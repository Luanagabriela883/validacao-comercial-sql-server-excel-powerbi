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Lojas" sheetId="5" state="visible" r:id="rId5"/>
    <sheet xmlns:r="http://schemas.openxmlformats.org/officeDocument/2006/relationships" name="Pedidos" sheetId="6" state="visible" r:id="rId6"/>
    <sheet xmlns:r="http://schemas.openxmlformats.org/officeDocument/2006/relationships" name="ItensPedido" sheetId="7" state="visible" r:id="rId7"/>
    <sheet xmlns:r="http://schemas.openxmlformats.org/officeDocument/2006/relationships" name="MetasMensais" sheetId="8" state="visible" r:id="rId8"/>
    <sheet xmlns:r="http://schemas.openxmlformats.org/officeDocument/2006/relationships" name="DicionarioDados" sheetId="9" state="visible" r:id="rId9"/>
    <sheet xmlns:r="http://schemas.openxmlformats.org/officeDocument/2006/relationships" name="Base_Analise" sheetId="10" state="visible" r:id="rId10"/>
    <sheet xmlns:r="http://schemas.openxmlformats.org/officeDocument/2006/relationships" name="Resumo_Mensal" sheetId="11" state="visible" r:id="rId11"/>
    <sheet xmlns:r="http://schemas.openxmlformats.org/officeDocument/2006/relationships" name="Lojas_Metas" sheetId="12" state="visible" r:id="rId12"/>
    <sheet xmlns:r="http://schemas.openxmlformats.org/officeDocument/2006/relationships" name="Metas_Mensais" sheetId="13" state="visible" r:id="rId13"/>
    <sheet xmlns:r="http://schemas.openxmlformats.org/officeDocument/2006/relationships" name="Categorias_Produtos" sheetId="14" state="visible" r:id="rId14"/>
    <sheet xmlns:r="http://schemas.openxmlformats.org/officeDocument/2006/relationships" name="Clientes_Receita" sheetId="15" state="visible" r:id="rId15"/>
    <sheet xmlns:r="http://schemas.openxmlformats.org/officeDocument/2006/relationships" name="Pagamentos_Descontos" sheetId="16" state="visible" r:id="rId16"/>
    <sheet xmlns:r="http://schemas.openxmlformats.org/officeDocument/2006/relationships" name="Conclusoes" sheetId="17" state="visible" r:id="rId17"/>
  </sheets>
  <definedNames>
    <definedName name="_xlnm._FilterDatabase" localSheetId="1" hidden="1">'Leia-me'!$A$1:$B$8</definedName>
    <definedName name="_xlnm._FilterDatabase" localSheetId="2" hidden="1">'Clientes'!$A$1:$F$351</definedName>
    <definedName name="_xlnm._FilterDatabase" localSheetId="3" hidden="1">'Produtos'!$A$1:$F$71</definedName>
    <definedName name="_xlnm._FilterDatabase" localSheetId="4" hidden="1">'Lojas'!$A$1:$E$9</definedName>
    <definedName name="_xlnm._FilterDatabase" localSheetId="5" hidden="1">'Pedidos'!$A$1:$G$1801</definedName>
    <definedName name="_xlnm._FilterDatabase" localSheetId="6" hidden="1">'ItensPedido'!$A$1:$E$4546</definedName>
    <definedName name="_xlnm._FilterDatabase" localSheetId="7" hidden="1">'MetasMensais'!$A$1:$C$193</definedName>
    <definedName name="_xlnm._FilterDatabase" localSheetId="8" hidden="1">'DicionarioDados'!$A$1:$C$33</definedName>
    <definedName name="_xlnm._FilterDatabase" localSheetId="9" hidden="1">'Base_Analise'!$A$1:$X$4546</definedName>
    <definedName name="_xlnm._FilterDatabase" localSheetId="10" hidden="1">'Resumo_Mensal'!$A$4:$I$28</definedName>
    <definedName name="_xlnm._FilterDatabase" localSheetId="11" hidden="1">'Lojas_Metas'!$A$4:$G$12</definedName>
    <definedName name="_xlnm._FilterDatabase" localSheetId="12" hidden="1">'Metas_Mensais'!$A$4:$F$196</definedName>
    <definedName name="_xlnm._FilterDatabase" localSheetId="13" hidden="1">'Categorias_Produtos'!$A$12:$F$82</definedName>
    <definedName name="_xlnm._FilterDatabase" localSheetId="14" hidden="1">'Clientes_Receita'!$A$4:$E$354</definedName>
    <definedName name="_xlnm._FilterDatabase" localSheetId="15" hidden="1">'Pagamentos_Descontos'!$A$4:$D$9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R$&quot;\ #,##0.00"/>
    <numFmt numFmtId="165" formatCode="0.0%"/>
    <numFmt numFmtId="166" formatCode="&quot;R$&quot; #,##0.00"/>
    <numFmt numFmtId="167" formatCode="mmm/yy"/>
    <numFmt numFmtId="168" formatCode="yyyy-mm-dd h:mm:ss"/>
    <numFmt numFmtId="169" formatCode="mmm/yyyy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ptos"/>
      <b val="1"/>
      <color rgb="00FFFFFF"/>
      <sz val="10"/>
    </font>
    <font>
      <name val="Aptos"/>
      <color rgb="000D2536"/>
      <sz val="10"/>
    </font>
    <font>
      <name val="Aptos Display"/>
      <b val="1"/>
      <color rgb="00F6EFE5"/>
      <sz val="20"/>
    </font>
    <font>
      <name val="Aptos"/>
      <i val="1"/>
      <color rgb="00F6EFE5"/>
      <sz val="10"/>
    </font>
    <font>
      <name val="Aptos"/>
      <b val="1"/>
      <color rgb="00D2974B"/>
      <sz val="11"/>
    </font>
    <font>
      <name val="Aptos"/>
      <b val="1"/>
      <color rgb="00D2974B"/>
      <sz val="9"/>
    </font>
    <font>
      <name val="Aptos Display"/>
      <b val="1"/>
      <color rgb="000D2536"/>
      <sz val="15"/>
    </font>
    <font>
      <name val="Aptos"/>
      <color rgb="000D2536"/>
      <sz val="11"/>
    </font>
    <font>
      <name val="Aptos"/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1C3849"/>
      </patternFill>
    </fill>
    <fill>
      <patternFill patternType="solid">
        <fgColor rgb="00F7F4EF"/>
      </patternFill>
    </fill>
    <fill>
      <patternFill patternType="solid">
        <fgColor rgb="000D2536"/>
      </patternFill>
    </fill>
    <fill>
      <patternFill patternType="solid">
        <fgColor rgb="00F6EF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2974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2" fontId="0" fillId="0" borderId="0" pivotButton="0" quotePrefix="0" xfId="0"/>
    <xf numFmtId="2" fontId="0" fillId="0" borderId="0" applyAlignment="1" pivotButton="0" quotePrefix="0" xfId="0">
      <alignment vertical="top"/>
    </xf>
    <xf numFmtId="0" fontId="4" fillId="5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 wrapText="1"/>
    </xf>
    <xf numFmtId="166" fontId="8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165" fontId="8" fillId="6" borderId="0" applyAlignment="1" pivotButton="0" quotePrefix="0" xfId="0">
      <alignment horizontal="center" vertical="center"/>
    </xf>
    <xf numFmtId="0" fontId="6" fillId="3" borderId="0" pivotButton="0" quotePrefix="0" xfId="0"/>
    <xf numFmtId="0" fontId="9" fillId="6" borderId="0" applyAlignment="1" pivotButton="0" quotePrefix="0" xfId="0">
      <alignment vertical="top" wrapText="1"/>
    </xf>
    <xf numFmtId="0" fontId="10" fillId="3" borderId="2" applyAlignment="1" pivotButton="0" quotePrefix="0" xfId="0">
      <alignment vertical="center" wrapText="1"/>
    </xf>
    <xf numFmtId="2" fontId="10" fillId="3" borderId="2" applyAlignment="1" pivotButton="0" quotePrefix="0" xfId="0">
      <alignment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2" fillId="3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9" fontId="3" fillId="4" borderId="0" applyAlignment="1" pivotButton="0" quotePrefix="0" xfId="0">
      <alignment vertical="center"/>
    </xf>
    <xf numFmtId="166" fontId="3" fillId="4" borderId="0" applyAlignment="1" pivotButton="0" quotePrefix="0" xfId="0">
      <alignment vertical="center"/>
    </xf>
    <xf numFmtId="165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9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3" fillId="4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169" fontId="3" fillId="4" borderId="0" applyAlignment="1" pivotButton="0" quotePrefix="0" xfId="0">
      <alignment vertical="center"/>
    </xf>
    <xf numFmtId="169" fontId="0" fillId="0" borderId="0" pivotButton="0" quotePrefix="0" xfId="0"/>
    <xf numFmtId="166" fontId="0" fillId="0" borderId="0" pivotButton="0" quotePrefix="0" xfId="0"/>
    <xf numFmtId="0" fontId="3" fillId="6" borderId="0" applyAlignment="1" pivotButton="0" quotePrefix="0" xfId="0">
      <alignment vertical="center" wrapText="1"/>
    </xf>
  </cellXfs>
  <cellStyles count="1">
    <cellStyle name="Normal" xfId="0" builtinId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bruto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'Resumo_Mensal'!C4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'Resumo_Mensal'!$I$5:$I$28</f>
            </numRef>
          </cat>
          <val>
            <numRef>
              <f>'Resumo_Mensal'!$C$5:$C$28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líquida por loja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'Lojas_Metas'!C4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'Lojas_Metas'!$B$5:$B$12</f>
            </numRef>
          </cat>
          <val>
            <numRef>
              <f>'Lojas_Metas'!$C$5:$C$12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'Categorias_Produtos'!D4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'Categorias_Produtos'!$A$5:$A$9</f>
            </numRef>
          </cat>
          <val>
            <numRef>
              <f>'Categorias_Produtos'!$D$5:$D$9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8" t="inlineStr">
        <is>
          <t>ANÁLISE COMERCIAL</t>
        </is>
      </c>
    </row>
    <row r="2" ht="24" customHeight="1">
      <c r="A2" s="9" t="inlineStr">
        <is>
          <t>VENDAS  •  PRODUTOS  •  CLIENTES  •  LOJAS  •  RENTABILIDADE</t>
        </is>
      </c>
    </row>
    <row r="4" ht="28" customHeight="1">
      <c r="A4" s="10" t="inlineStr">
        <is>
          <t>FATURAMENTO BRUTO</t>
        </is>
      </c>
      <c r="C4" s="10" t="inlineStr">
        <is>
          <t>PEDIDOS ENTREGUES</t>
        </is>
      </c>
      <c r="E4" s="10" t="inlineStr">
        <is>
          <t>TICKET MÉDIO</t>
        </is>
      </c>
      <c r="G4" s="10" t="inlineStr">
        <is>
          <t>LUCRO APÓS DESCONTOS</t>
        </is>
      </c>
      <c r="I4" s="10" t="inlineStr">
        <is>
          <t>MARGEM DE LUCRO</t>
        </is>
      </c>
      <c r="K4" s="10" t="inlineStr">
        <is>
          <t>DESCONTOS CONCEDIDOS</t>
        </is>
      </c>
    </row>
    <row r="5" ht="25" customHeight="1">
      <c r="A5" s="11">
        <f>SUM(Resumo_Mensal!C5:C28)</f>
        <v/>
      </c>
      <c r="C5" s="12">
        <f>SUM(Resumo_Mensal!H5:H28)</f>
        <v/>
      </c>
      <c r="E5" s="11">
        <f>IFERROR(SUM(Resumo_Mensal!E5:E28)/SUM(Resumo_Mensal!H5:H28),0)</f>
        <v/>
      </c>
      <c r="G5" s="11">
        <f>SUM(Resumo_Mensal!F5:F28)</f>
        <v/>
      </c>
      <c r="I5" s="13">
        <f>IFERROR(SUM(Resumo_Mensal!F5:F28)/SUM(Resumo_Mensal!E5:E28),0)</f>
        <v/>
      </c>
      <c r="K5" s="11">
        <f>SUM(Resumo_Mensal!D5:D28)</f>
        <v/>
      </c>
    </row>
    <row r="6" ht="18" customHeight="1"/>
    <row r="23">
      <c r="H23" s="14" t="inlineStr">
        <is>
          <t>COMO USAR</t>
        </is>
      </c>
    </row>
    <row r="24">
      <c r="H24" s="15" t="inlineStr">
        <is>
          <t>As abas de análise usam fórmulas para responder às 10 perguntas de negócio. Filtre as tabelas, ordene por receita/lucro e confira as conclusões. Ao abrir no Excel, aguarde o recálculo das fórmulas.</t>
        </is>
      </c>
    </row>
    <row r="25"/>
    <row r="26"/>
    <row r="27"/>
  </sheetData>
  <mergeCells count="16">
    <mergeCell ref="A4:B4"/>
    <mergeCell ref="G4:H4"/>
    <mergeCell ref="A2:L2"/>
    <mergeCell ref="E4:F4"/>
    <mergeCell ref="I4:J4"/>
    <mergeCell ref="H23:L23"/>
    <mergeCell ref="H24:L27"/>
    <mergeCell ref="A1:L1"/>
    <mergeCell ref="C5:D6"/>
    <mergeCell ref="A5:B6"/>
    <mergeCell ref="G5:H6"/>
    <mergeCell ref="E5:F6"/>
    <mergeCell ref="K5:L6"/>
    <mergeCell ref="I5:J6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7.95" customHeight="1">
      <c r="A1" s="16" t="inlineStr">
        <is>
          <t>Campo</t>
        </is>
      </c>
      <c r="B1" s="16" t="inlineStr">
        <is>
          <t>Descrição</t>
        </is>
      </c>
    </row>
    <row r="2">
      <c r="A2" s="2" t="inlineStr">
        <is>
          <t>Objetivo</t>
        </is>
      </c>
      <c r="B2" s="2" t="inlineStr">
        <is>
          <t>Projeto de portfólio de análise comercial e rentabilidade com SQL Server, Excel e Power BI.</t>
        </is>
      </c>
    </row>
    <row r="3">
      <c r="A3" s="2" t="inlineStr">
        <is>
          <t>Natureza dos dados</t>
        </is>
      </c>
      <c r="B3" s="2" t="inlineStr">
        <is>
          <t>Todos os registros são fictícios e foram gerados para fins educacionais; não representam uma empresa real.</t>
        </is>
      </c>
    </row>
    <row r="4">
      <c r="A4" s="2" t="inlineStr">
        <is>
          <t>Período</t>
        </is>
      </c>
      <c r="B4" s="2" t="inlineStr">
        <is>
          <t>Pedidos entre 01/01/2024 e 31/12/2025.</t>
        </is>
      </c>
    </row>
    <row r="5">
      <c r="A5" s="2" t="inlineStr">
        <is>
          <t>Tabelas</t>
        </is>
      </c>
      <c r="B5" s="2" t="inlineStr">
        <is>
          <t>Clientes, Produtos, Lojas, Pedidos, ItensPedido, MetasMensais e DicionarioDados.</t>
        </is>
      </c>
    </row>
    <row r="6">
      <c r="A6" s="2" t="inlineStr">
        <is>
          <t>Relacionamentos principais</t>
        </is>
      </c>
      <c r="B6" s="2" t="inlineStr">
        <is>
          <t>Pedidos.ClienteID -&gt; Clientes.ClienteID; Pedidos.LojaID -&gt; Lojas.LojaID; ItensPedido.PedidoID -&gt; Pedidos.PedidoID; ItensPedido.ProdutoID -&gt; Produtos.ProdutoID; MetasMensais.LojaID -&gt; Lojas.LojaID.</t>
        </is>
      </c>
    </row>
    <row r="7">
      <c r="A7" s="2" t="inlineStr">
        <is>
          <t>Observação importante</t>
        </is>
      </c>
      <c r="B7" s="2" t="inlineStr">
        <is>
          <t>As metas são referências fictícias. Para análises financeiras, defina claramente se cancelados/devolvidos serão excluídos e como tratar descontos.</t>
        </is>
      </c>
    </row>
    <row r="8">
      <c r="A8" s="2" t="inlineStr">
        <is>
          <t>Sugestão de uso</t>
        </is>
      </c>
      <c r="B8" s="2" t="inlineStr">
        <is>
          <t>Comece por auditoria e qualidade dos dados; depois faça consultas SQL, valide indicadores no Excel e crie o modelo e dashboard no Power BI.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6" customWidth="1" min="4" max="4"/>
    <col width="14" customWidth="1" min="5" max="5"/>
    <col width="21" customWidth="1" min="6" max="6"/>
  </cols>
  <sheetData>
    <row r="1" ht="27.95" customHeight="1">
      <c r="A1" s="16" t="inlineStr">
        <is>
          <t>ClienteID</t>
        </is>
      </c>
      <c r="B1" s="16" t="inlineStr">
        <is>
          <t>NomeCliente</t>
        </is>
      </c>
      <c r="C1" s="16" t="inlineStr">
        <is>
          <t>Segmento</t>
        </is>
      </c>
      <c r="D1" s="16" t="inlineStr">
        <is>
          <t>Cidade</t>
        </is>
      </c>
      <c r="E1" s="16" t="inlineStr">
        <is>
          <t>Regiao</t>
        </is>
      </c>
      <c r="F1" s="16" t="inlineStr">
        <is>
          <t>DataCadastro</t>
        </is>
      </c>
    </row>
    <row r="2">
      <c r="A2" s="2" t="inlineStr">
        <is>
          <t>C0001</t>
        </is>
      </c>
      <c r="B2" s="2" t="inlineStr">
        <is>
          <t>Daniel Silva</t>
        </is>
      </c>
      <c r="C2" s="2" t="inlineStr">
        <is>
          <t>Pequena Empresa</t>
        </is>
      </c>
      <c r="D2" s="2" t="inlineStr">
        <is>
          <t>Salvador</t>
        </is>
      </c>
      <c r="E2" s="2" t="inlineStr">
        <is>
          <t>Nordeste</t>
        </is>
      </c>
      <c r="F2" s="3" t="n">
        <v>45063</v>
      </c>
    </row>
    <row r="3">
      <c r="A3" s="2" t="inlineStr">
        <is>
          <t>C0002</t>
        </is>
      </c>
      <c r="B3" s="2" t="inlineStr">
        <is>
          <t>Eduarda Souza</t>
        </is>
      </c>
      <c r="C3" s="2" t="inlineStr">
        <is>
          <t>Pequena Empresa</t>
        </is>
      </c>
      <c r="D3" s="2" t="inlineStr">
        <is>
          <t>Campinas</t>
        </is>
      </c>
      <c r="E3" s="2" t="inlineStr">
        <is>
          <t>Sudeste</t>
        </is>
      </c>
      <c r="F3" s="3" t="n">
        <v>45678</v>
      </c>
    </row>
    <row r="4">
      <c r="A4" s="2" t="inlineStr">
        <is>
          <t>C0003</t>
        </is>
      </c>
      <c r="B4" s="2" t="inlineStr">
        <is>
          <t>Vitória Gomes</t>
        </is>
      </c>
      <c r="C4" s="2" t="inlineStr">
        <is>
          <t>Pessoa Física</t>
        </is>
      </c>
      <c r="D4" s="2" t="inlineStr">
        <is>
          <t>Rio de Janeiro</t>
        </is>
      </c>
      <c r="E4" s="2" t="inlineStr">
        <is>
          <t>Sudeste</t>
        </is>
      </c>
      <c r="F4" s="3" t="n">
        <v>44753</v>
      </c>
    </row>
    <row r="5">
      <c r="A5" s="2" t="inlineStr">
        <is>
          <t>C0004</t>
        </is>
      </c>
      <c r="B5" s="2" t="inlineStr">
        <is>
          <t>Henrique Barbosa</t>
        </is>
      </c>
      <c r="C5" s="2" t="inlineStr">
        <is>
          <t>Pequena Empresa</t>
        </is>
      </c>
      <c r="D5" s="2" t="inlineStr">
        <is>
          <t>Campinas</t>
        </is>
      </c>
      <c r="E5" s="2" t="inlineStr">
        <is>
          <t>Sudeste</t>
        </is>
      </c>
      <c r="F5" s="3" t="n">
        <v>45711</v>
      </c>
    </row>
    <row r="6">
      <c r="A6" s="2" t="inlineStr">
        <is>
          <t>C0005</t>
        </is>
      </c>
      <c r="B6" s="2" t="inlineStr">
        <is>
          <t>Beatriz Dias</t>
        </is>
      </c>
      <c r="C6" s="2" t="inlineStr">
        <is>
          <t>Pessoa Física</t>
        </is>
      </c>
      <c r="D6" s="2" t="inlineStr">
        <is>
          <t>Campinas</t>
        </is>
      </c>
      <c r="E6" s="2" t="inlineStr">
        <is>
          <t>Sudeste</t>
        </is>
      </c>
      <c r="F6" s="3" t="n">
        <v>45481</v>
      </c>
    </row>
    <row r="7">
      <c r="A7" s="2" t="inlineStr">
        <is>
          <t>C0006</t>
        </is>
      </c>
      <c r="B7" s="2" t="inlineStr">
        <is>
          <t>Isabela Silva</t>
        </is>
      </c>
      <c r="C7" s="2" t="inlineStr">
        <is>
          <t>Pequena Empresa</t>
        </is>
      </c>
      <c r="D7" s="2" t="inlineStr">
        <is>
          <t>Campo Grande</t>
        </is>
      </c>
      <c r="E7" s="2" t="inlineStr">
        <is>
          <t>Centro-Oeste</t>
        </is>
      </c>
      <c r="F7" s="3" t="n">
        <v>44888</v>
      </c>
    </row>
    <row r="8">
      <c r="A8" s="2" t="inlineStr">
        <is>
          <t>C0007</t>
        </is>
      </c>
      <c r="B8" s="2" t="inlineStr">
        <is>
          <t>Otávio Araújo</t>
        </is>
      </c>
      <c r="C8" s="2" t="inlineStr">
        <is>
          <t>Pessoa Física</t>
        </is>
      </c>
      <c r="D8" s="2" t="inlineStr">
        <is>
          <t>Recife</t>
        </is>
      </c>
      <c r="E8" s="2" t="inlineStr">
        <is>
          <t>Nordeste</t>
        </is>
      </c>
      <c r="F8" s="3" t="n">
        <v>45002</v>
      </c>
    </row>
    <row r="9">
      <c r="A9" s="2" t="inlineStr">
        <is>
          <t>C0008</t>
        </is>
      </c>
      <c r="B9" s="2" t="inlineStr">
        <is>
          <t>Larissa Souza</t>
        </is>
      </c>
      <c r="C9" s="2" t="inlineStr">
        <is>
          <t>Pessoa Física</t>
        </is>
      </c>
      <c r="D9" s="2" t="inlineStr">
        <is>
          <t>Fortaleza</t>
        </is>
      </c>
      <c r="E9" s="2" t="inlineStr">
        <is>
          <t>Nordeste</t>
        </is>
      </c>
      <c r="F9" s="3" t="n">
        <v>44760</v>
      </c>
    </row>
    <row r="10">
      <c r="A10" s="2" t="inlineStr">
        <is>
          <t>C0009</t>
        </is>
      </c>
      <c r="B10" s="2" t="inlineStr">
        <is>
          <t>André Fernandes</t>
        </is>
      </c>
      <c r="C10" s="2" t="inlineStr">
        <is>
          <t>Pequena Empresa</t>
        </is>
      </c>
      <c r="D10" s="2" t="inlineStr">
        <is>
          <t>Porto Alegre</t>
        </is>
      </c>
      <c r="E10" s="2" t="inlineStr">
        <is>
          <t>Sul</t>
        </is>
      </c>
      <c r="F10" s="3" t="n">
        <v>44650</v>
      </c>
    </row>
    <row r="11">
      <c r="A11" s="2" t="inlineStr">
        <is>
          <t>C0010</t>
        </is>
      </c>
      <c r="B11" s="2" t="inlineStr">
        <is>
          <t>Paula Dias</t>
        </is>
      </c>
      <c r="C11" s="2" t="inlineStr">
        <is>
          <t>Pessoa Física</t>
        </is>
      </c>
      <c r="D11" s="2" t="inlineStr">
        <is>
          <t>Recife</t>
        </is>
      </c>
      <c r="E11" s="2" t="inlineStr">
        <is>
          <t>Nordeste</t>
        </is>
      </c>
      <c r="F11" s="3" t="n">
        <v>45337</v>
      </c>
    </row>
    <row r="12">
      <c r="A12" s="2" t="inlineStr">
        <is>
          <t>C0011</t>
        </is>
      </c>
      <c r="B12" s="2" t="inlineStr">
        <is>
          <t>Thiago Lima</t>
        </is>
      </c>
      <c r="C12" s="2" t="inlineStr">
        <is>
          <t>Média Empresa</t>
        </is>
      </c>
      <c r="D12" s="2" t="inlineStr">
        <is>
          <t>Rio de Janeiro</t>
        </is>
      </c>
      <c r="E12" s="2" t="inlineStr">
        <is>
          <t>Sudeste</t>
        </is>
      </c>
      <c r="F12" s="3" t="n">
        <v>45828</v>
      </c>
    </row>
    <row r="13">
      <c r="A13" s="2" t="inlineStr">
        <is>
          <t>C0012</t>
        </is>
      </c>
      <c r="B13" s="2" t="inlineStr">
        <is>
          <t>Vitória Rodrigues</t>
        </is>
      </c>
      <c r="C13" s="2" t="inlineStr">
        <is>
          <t>Pequena Empresa</t>
        </is>
      </c>
      <c r="D13" s="2" t="inlineStr">
        <is>
          <t>Porto Alegre</t>
        </is>
      </c>
      <c r="E13" s="2" t="inlineStr">
        <is>
          <t>Sul</t>
        </is>
      </c>
      <c r="F13" s="3" t="n">
        <v>44655</v>
      </c>
    </row>
    <row r="14">
      <c r="A14" s="2" t="inlineStr">
        <is>
          <t>C0013</t>
        </is>
      </c>
      <c r="B14" s="2" t="inlineStr">
        <is>
          <t>Henrique Lima</t>
        </is>
      </c>
      <c r="C14" s="2" t="inlineStr">
        <is>
          <t>Grande Empresa</t>
        </is>
      </c>
      <c r="D14" s="2" t="inlineStr">
        <is>
          <t>Salvador</t>
        </is>
      </c>
      <c r="E14" s="2" t="inlineStr">
        <is>
          <t>Nordeste</t>
        </is>
      </c>
      <c r="F14" s="3" t="n">
        <v>45038</v>
      </c>
    </row>
    <row r="15">
      <c r="A15" s="2" t="inlineStr">
        <is>
          <t>C0014</t>
        </is>
      </c>
      <c r="B15" s="2" t="inlineStr">
        <is>
          <t>Natália Nascimento</t>
        </is>
      </c>
      <c r="C15" s="2" t="inlineStr">
        <is>
          <t>Pessoa Física</t>
        </is>
      </c>
      <c r="D15" s="2" t="inlineStr">
        <is>
          <t>Rio de Janeiro</t>
        </is>
      </c>
      <c r="E15" s="2" t="inlineStr">
        <is>
          <t>Sudeste</t>
        </is>
      </c>
      <c r="F15" s="3" t="n">
        <v>45309</v>
      </c>
    </row>
    <row r="16">
      <c r="A16" s="2" t="inlineStr">
        <is>
          <t>C0015</t>
        </is>
      </c>
      <c r="B16" s="2" t="inlineStr">
        <is>
          <t>Marcos Fernandes</t>
        </is>
      </c>
      <c r="C16" s="2" t="inlineStr">
        <is>
          <t>Pessoa Física</t>
        </is>
      </c>
      <c r="D16" s="2" t="inlineStr">
        <is>
          <t>Belo Horizonte</t>
        </is>
      </c>
      <c r="E16" s="2" t="inlineStr">
        <is>
          <t>Sudeste</t>
        </is>
      </c>
      <c r="F16" s="3" t="n">
        <v>45108</v>
      </c>
    </row>
    <row r="17">
      <c r="A17" s="2" t="inlineStr">
        <is>
          <t>C0016</t>
        </is>
      </c>
      <c r="B17" s="2" t="inlineStr">
        <is>
          <t>Gustavo Oliveira</t>
        </is>
      </c>
      <c r="C17" s="2" t="inlineStr">
        <is>
          <t>Pequena Empresa</t>
        </is>
      </c>
      <c r="D17" s="2" t="inlineStr">
        <is>
          <t>Recife</t>
        </is>
      </c>
      <c r="E17" s="2" t="inlineStr">
        <is>
          <t>Nordeste</t>
        </is>
      </c>
      <c r="F17" s="3" t="n">
        <v>44912</v>
      </c>
    </row>
    <row r="18">
      <c r="A18" s="2" t="inlineStr">
        <is>
          <t>C0017</t>
        </is>
      </c>
      <c r="B18" s="2" t="inlineStr">
        <is>
          <t>Caio Almeida</t>
        </is>
      </c>
      <c r="C18" s="2" t="inlineStr">
        <is>
          <t>Pessoa Física</t>
        </is>
      </c>
      <c r="D18" s="2" t="inlineStr">
        <is>
          <t>Goiânia</t>
        </is>
      </c>
      <c r="E18" s="2" t="inlineStr">
        <is>
          <t>Centro-Oeste</t>
        </is>
      </c>
      <c r="F18" s="3" t="n">
        <v>45339</v>
      </c>
    </row>
    <row r="19">
      <c r="A19" s="2" t="inlineStr">
        <is>
          <t>C0018</t>
        </is>
      </c>
      <c r="B19" s="2" t="inlineStr">
        <is>
          <t>Gustavo Dias</t>
        </is>
      </c>
      <c r="C19" s="2" t="inlineStr">
        <is>
          <t>Pessoa Física</t>
        </is>
      </c>
      <c r="D19" s="2" t="inlineStr">
        <is>
          <t>Curitiba</t>
        </is>
      </c>
      <c r="E19" s="2" t="inlineStr">
        <is>
          <t>Sul</t>
        </is>
      </c>
      <c r="F19" s="3" t="n">
        <v>45226</v>
      </c>
    </row>
    <row r="20">
      <c r="A20" s="2" t="inlineStr">
        <is>
          <t>C0019</t>
        </is>
      </c>
      <c r="B20" s="2" t="inlineStr">
        <is>
          <t>Luiza Santos</t>
        </is>
      </c>
      <c r="C20" s="2" t="inlineStr">
        <is>
          <t>Pessoa Física</t>
        </is>
      </c>
      <c r="D20" s="2" t="inlineStr">
        <is>
          <t>Fortaleza</t>
        </is>
      </c>
      <c r="E20" s="2" t="inlineStr">
        <is>
          <t>Nordeste</t>
        </is>
      </c>
      <c r="F20" s="3" t="n">
        <v>44627</v>
      </c>
    </row>
    <row r="21">
      <c r="A21" s="2" t="inlineStr">
        <is>
          <t>C0020</t>
        </is>
      </c>
      <c r="B21" s="2" t="inlineStr">
        <is>
          <t>Larissa Carvalho</t>
        </is>
      </c>
      <c r="C21" s="2" t="inlineStr">
        <is>
          <t>Pessoa Física</t>
        </is>
      </c>
      <c r="D21" s="2" t="inlineStr">
        <is>
          <t>Fortaleza</t>
        </is>
      </c>
      <c r="E21" s="2" t="inlineStr">
        <is>
          <t>Nordeste</t>
        </is>
      </c>
      <c r="F21" s="3" t="n">
        <v>44994</v>
      </c>
    </row>
    <row r="22">
      <c r="A22" s="2" t="inlineStr">
        <is>
          <t>C0021</t>
        </is>
      </c>
      <c r="B22" s="2" t="inlineStr">
        <is>
          <t>Júlia Araújo</t>
        </is>
      </c>
      <c r="C22" s="2" t="inlineStr">
        <is>
          <t>Pessoa Física</t>
        </is>
      </c>
      <c r="D22" s="2" t="inlineStr">
        <is>
          <t>Campo Grande</t>
        </is>
      </c>
      <c r="E22" s="2" t="inlineStr">
        <is>
          <t>Centro-Oeste</t>
        </is>
      </c>
      <c r="F22" s="3" t="n">
        <v>45584</v>
      </c>
    </row>
    <row r="23">
      <c r="A23" s="2" t="inlineStr">
        <is>
          <t>C0022</t>
        </is>
      </c>
      <c r="B23" s="2" t="inlineStr">
        <is>
          <t>Júlia Martins</t>
        </is>
      </c>
      <c r="C23" s="2" t="inlineStr">
        <is>
          <t>Pessoa Física</t>
        </is>
      </c>
      <c r="D23" s="2" t="inlineStr">
        <is>
          <t>Florianópolis</t>
        </is>
      </c>
      <c r="E23" s="2" t="inlineStr">
        <is>
          <t>Sul</t>
        </is>
      </c>
      <c r="F23" s="3" t="n">
        <v>44847</v>
      </c>
    </row>
    <row r="24">
      <c r="A24" s="2" t="inlineStr">
        <is>
          <t>C0023</t>
        </is>
      </c>
      <c r="B24" s="2" t="inlineStr">
        <is>
          <t>Caio Dias</t>
        </is>
      </c>
      <c r="C24" s="2" t="inlineStr">
        <is>
          <t>Pessoa Física</t>
        </is>
      </c>
      <c r="D24" s="2" t="inlineStr">
        <is>
          <t>Campinas</t>
        </is>
      </c>
      <c r="E24" s="2" t="inlineStr">
        <is>
          <t>Sudeste</t>
        </is>
      </c>
      <c r="F24" s="3" t="n">
        <v>45759</v>
      </c>
    </row>
    <row r="25">
      <c r="A25" s="2" t="inlineStr">
        <is>
          <t>C0024</t>
        </is>
      </c>
      <c r="B25" s="2" t="inlineStr">
        <is>
          <t>Júlia Carvalho</t>
        </is>
      </c>
      <c r="C25" s="2" t="inlineStr">
        <is>
          <t>Pessoa Física</t>
        </is>
      </c>
      <c r="D25" s="2" t="inlineStr">
        <is>
          <t>Florianópolis</t>
        </is>
      </c>
      <c r="E25" s="2" t="inlineStr">
        <is>
          <t>Sul</t>
        </is>
      </c>
      <c r="F25" s="3" t="n">
        <v>44845</v>
      </c>
    </row>
    <row r="26">
      <c r="A26" s="2" t="inlineStr">
        <is>
          <t>C0025</t>
        </is>
      </c>
      <c r="B26" s="2" t="inlineStr">
        <is>
          <t>Rafael Oliveira</t>
        </is>
      </c>
      <c r="C26" s="2" t="inlineStr">
        <is>
          <t>Pequena Empresa</t>
        </is>
      </c>
      <c r="D26" s="2" t="inlineStr">
        <is>
          <t>Goiânia</t>
        </is>
      </c>
      <c r="E26" s="2" t="inlineStr">
        <is>
          <t>Centro-Oeste</t>
        </is>
      </c>
      <c r="F26" s="3" t="n">
        <v>44786</v>
      </c>
    </row>
    <row r="27">
      <c r="A27" s="2" t="inlineStr">
        <is>
          <t>C0026</t>
        </is>
      </c>
      <c r="B27" s="2" t="inlineStr">
        <is>
          <t>Mariana Costa</t>
        </is>
      </c>
      <c r="C27" s="2" t="inlineStr">
        <is>
          <t>Média Empresa</t>
        </is>
      </c>
      <c r="D27" s="2" t="inlineStr">
        <is>
          <t>Belo Horizonte</t>
        </is>
      </c>
      <c r="E27" s="2" t="inlineStr">
        <is>
          <t>Sudeste</t>
        </is>
      </c>
      <c r="F27" s="3" t="n">
        <v>45426</v>
      </c>
    </row>
    <row r="28">
      <c r="A28" s="2" t="inlineStr">
        <is>
          <t>C0027</t>
        </is>
      </c>
      <c r="B28" s="2" t="inlineStr">
        <is>
          <t>Camila Carvalho</t>
        </is>
      </c>
      <c r="C28" s="2" t="inlineStr">
        <is>
          <t>Pessoa Física</t>
        </is>
      </c>
      <c r="D28" s="2" t="inlineStr">
        <is>
          <t>Campo Grande</t>
        </is>
      </c>
      <c r="E28" s="2" t="inlineStr">
        <is>
          <t>Centro-Oeste</t>
        </is>
      </c>
      <c r="F28" s="3" t="n">
        <v>45520</v>
      </c>
    </row>
    <row r="29">
      <c r="A29" s="2" t="inlineStr">
        <is>
          <t>C0028</t>
        </is>
      </c>
      <c r="B29" s="2" t="inlineStr">
        <is>
          <t>Isabela Dias</t>
        </is>
      </c>
      <c r="C29" s="2" t="inlineStr">
        <is>
          <t>Média Empresa</t>
        </is>
      </c>
      <c r="D29" s="2" t="inlineStr">
        <is>
          <t>Goiânia</t>
        </is>
      </c>
      <c r="E29" s="2" t="inlineStr">
        <is>
          <t>Centro-Oeste</t>
        </is>
      </c>
      <c r="F29" s="3" t="n">
        <v>44585</v>
      </c>
    </row>
    <row r="30">
      <c r="A30" s="2" t="inlineStr">
        <is>
          <t>C0029</t>
        </is>
      </c>
      <c r="B30" s="2" t="inlineStr">
        <is>
          <t>Caio Souza</t>
        </is>
      </c>
      <c r="C30" s="2" t="inlineStr">
        <is>
          <t>Pequena Empresa</t>
        </is>
      </c>
      <c r="D30" s="2" t="inlineStr">
        <is>
          <t>Salvador</t>
        </is>
      </c>
      <c r="E30" s="2" t="inlineStr">
        <is>
          <t>Nordeste</t>
        </is>
      </c>
      <c r="F30" s="3" t="n">
        <v>45661</v>
      </c>
    </row>
    <row r="31">
      <c r="A31" s="2" t="inlineStr">
        <is>
          <t>C0030</t>
        </is>
      </c>
      <c r="B31" s="2" t="inlineStr">
        <is>
          <t>Isabela Araújo</t>
        </is>
      </c>
      <c r="C31" s="2" t="inlineStr">
        <is>
          <t>Pessoa Física</t>
        </is>
      </c>
      <c r="D31" s="2" t="inlineStr">
        <is>
          <t>Fortaleza</t>
        </is>
      </c>
      <c r="E31" s="2" t="inlineStr">
        <is>
          <t>Nordeste</t>
        </is>
      </c>
      <c r="F31" s="3" t="n">
        <v>45452</v>
      </c>
    </row>
    <row r="32">
      <c r="A32" s="2" t="inlineStr">
        <is>
          <t>C0031</t>
        </is>
      </c>
      <c r="B32" s="2" t="inlineStr">
        <is>
          <t>Paula Silva</t>
        </is>
      </c>
      <c r="C32" s="2" t="inlineStr">
        <is>
          <t>Grande Empresa</t>
        </is>
      </c>
      <c r="D32" s="2" t="inlineStr">
        <is>
          <t>Belo Horizonte</t>
        </is>
      </c>
      <c r="E32" s="2" t="inlineStr">
        <is>
          <t>Sudeste</t>
        </is>
      </c>
      <c r="F32" s="3" t="n">
        <v>45101</v>
      </c>
    </row>
    <row r="33">
      <c r="A33" s="2" t="inlineStr">
        <is>
          <t>C0032</t>
        </is>
      </c>
      <c r="B33" s="2" t="inlineStr">
        <is>
          <t>Luiza Costa</t>
        </is>
      </c>
      <c r="C33" s="2" t="inlineStr">
        <is>
          <t>Pessoa Física</t>
        </is>
      </c>
      <c r="D33" s="2" t="inlineStr">
        <is>
          <t>Goiânia</t>
        </is>
      </c>
      <c r="E33" s="2" t="inlineStr">
        <is>
          <t>Centro-Oeste</t>
        </is>
      </c>
      <c r="F33" s="3" t="n">
        <v>44779</v>
      </c>
    </row>
    <row r="34">
      <c r="A34" s="2" t="inlineStr">
        <is>
          <t>C0033</t>
        </is>
      </c>
      <c r="B34" s="2" t="inlineStr">
        <is>
          <t>João Barbosa</t>
        </is>
      </c>
      <c r="C34" s="2" t="inlineStr">
        <is>
          <t>Pequena Empresa</t>
        </is>
      </c>
      <c r="D34" s="2" t="inlineStr">
        <is>
          <t>Salvador</t>
        </is>
      </c>
      <c r="E34" s="2" t="inlineStr">
        <is>
          <t>Nordeste</t>
        </is>
      </c>
      <c r="F34" s="3" t="n">
        <v>44875</v>
      </c>
    </row>
    <row r="35">
      <c r="A35" s="2" t="inlineStr">
        <is>
          <t>C0034</t>
        </is>
      </c>
      <c r="B35" s="2" t="inlineStr">
        <is>
          <t>Luiza Costa</t>
        </is>
      </c>
      <c r="C35" s="2" t="inlineStr">
        <is>
          <t>Pessoa Física</t>
        </is>
      </c>
      <c r="D35" s="2" t="inlineStr">
        <is>
          <t>Porto Alegre</t>
        </is>
      </c>
      <c r="E35" s="2" t="inlineStr">
        <is>
          <t>Sul</t>
        </is>
      </c>
      <c r="F35" s="3" t="n">
        <v>45648</v>
      </c>
    </row>
    <row r="36">
      <c r="A36" s="2" t="inlineStr">
        <is>
          <t>C0035</t>
        </is>
      </c>
      <c r="B36" s="2" t="inlineStr">
        <is>
          <t>Lucas Araújo</t>
        </is>
      </c>
      <c r="C36" s="2" t="inlineStr">
        <is>
          <t>Pessoa Física</t>
        </is>
      </c>
      <c r="D36" s="2" t="inlineStr">
        <is>
          <t>São Paulo</t>
        </is>
      </c>
      <c r="E36" s="2" t="inlineStr">
        <is>
          <t>Sudeste</t>
        </is>
      </c>
      <c r="F36" s="3" t="n">
        <v>44791</v>
      </c>
    </row>
    <row r="37">
      <c r="A37" s="2" t="inlineStr">
        <is>
          <t>C0036</t>
        </is>
      </c>
      <c r="B37" s="2" t="inlineStr">
        <is>
          <t>Júlia Lima</t>
        </is>
      </c>
      <c r="C37" s="2" t="inlineStr">
        <is>
          <t>Pessoa Física</t>
        </is>
      </c>
      <c r="D37" s="2" t="inlineStr">
        <is>
          <t>Porto Alegre</t>
        </is>
      </c>
      <c r="E37" s="2" t="inlineStr">
        <is>
          <t>Sul</t>
        </is>
      </c>
      <c r="F37" s="3" t="n">
        <v>45055</v>
      </c>
    </row>
    <row r="38">
      <c r="A38" s="2" t="inlineStr">
        <is>
          <t>C0037</t>
        </is>
      </c>
      <c r="B38" s="2" t="inlineStr">
        <is>
          <t>Camila Oliveira</t>
        </is>
      </c>
      <c r="C38" s="2" t="inlineStr">
        <is>
          <t>Pequena Empresa</t>
        </is>
      </c>
      <c r="D38" s="2" t="inlineStr">
        <is>
          <t>Campo Grande</t>
        </is>
      </c>
      <c r="E38" s="2" t="inlineStr">
        <is>
          <t>Centro-Oeste</t>
        </is>
      </c>
      <c r="F38" s="3" t="n">
        <v>44703</v>
      </c>
    </row>
    <row r="39">
      <c r="A39" s="2" t="inlineStr">
        <is>
          <t>C0038</t>
        </is>
      </c>
      <c r="B39" s="2" t="inlineStr">
        <is>
          <t>Thiago Pereira</t>
        </is>
      </c>
      <c r="C39" s="2" t="inlineStr">
        <is>
          <t>Pessoa Física</t>
        </is>
      </c>
      <c r="D39" s="2" t="inlineStr">
        <is>
          <t>Fortaleza</t>
        </is>
      </c>
      <c r="E39" s="2" t="inlineStr">
        <is>
          <t>Nordeste</t>
        </is>
      </c>
      <c r="F39" s="3" t="n">
        <v>45535</v>
      </c>
    </row>
    <row r="40">
      <c r="A40" s="2" t="inlineStr">
        <is>
          <t>C0039</t>
        </is>
      </c>
      <c r="B40" s="2" t="inlineStr">
        <is>
          <t>Felipe Nascimento</t>
        </is>
      </c>
      <c r="C40" s="2" t="inlineStr">
        <is>
          <t>Pessoa Física</t>
        </is>
      </c>
      <c r="D40" s="2" t="inlineStr">
        <is>
          <t>Goiânia</t>
        </is>
      </c>
      <c r="E40" s="2" t="inlineStr">
        <is>
          <t>Centro-Oeste</t>
        </is>
      </c>
      <c r="F40" s="3" t="n">
        <v>45804</v>
      </c>
    </row>
    <row r="41">
      <c r="A41" s="2" t="inlineStr">
        <is>
          <t>C0040</t>
        </is>
      </c>
      <c r="B41" s="2" t="inlineStr">
        <is>
          <t>Gabriela Dias</t>
        </is>
      </c>
      <c r="C41" s="2" t="inlineStr">
        <is>
          <t>Pequena Empresa</t>
        </is>
      </c>
      <c r="D41" s="2" t="inlineStr">
        <is>
          <t>Florianópolis</t>
        </is>
      </c>
      <c r="E41" s="2" t="inlineStr">
        <is>
          <t>Sul</t>
        </is>
      </c>
      <c r="F41" s="3" t="n">
        <v>44973</v>
      </c>
    </row>
    <row r="42">
      <c r="A42" s="2" t="inlineStr">
        <is>
          <t>C0041</t>
        </is>
      </c>
      <c r="B42" s="2" t="inlineStr">
        <is>
          <t>João Carvalho</t>
        </is>
      </c>
      <c r="C42" s="2" t="inlineStr">
        <is>
          <t>Grande Empresa</t>
        </is>
      </c>
      <c r="D42" s="2" t="inlineStr">
        <is>
          <t>Recife</t>
        </is>
      </c>
      <c r="E42" s="2" t="inlineStr">
        <is>
          <t>Nordeste</t>
        </is>
      </c>
      <c r="F42" s="3" t="n">
        <v>45326</v>
      </c>
    </row>
    <row r="43">
      <c r="A43" s="2" t="inlineStr">
        <is>
          <t>C0042</t>
        </is>
      </c>
      <c r="B43" s="2" t="inlineStr">
        <is>
          <t>Júlia Barbosa</t>
        </is>
      </c>
      <c r="C43" s="2" t="inlineStr">
        <is>
          <t>Pessoa Física</t>
        </is>
      </c>
      <c r="D43" s="2" t="inlineStr">
        <is>
          <t>Brasília</t>
        </is>
      </c>
      <c r="E43" s="2" t="inlineStr">
        <is>
          <t>Centro-Oeste</t>
        </is>
      </c>
      <c r="F43" s="3" t="n">
        <v>45069</v>
      </c>
    </row>
    <row r="44">
      <c r="A44" s="2" t="inlineStr">
        <is>
          <t>C0043</t>
        </is>
      </c>
      <c r="B44" s="2" t="inlineStr">
        <is>
          <t>Camila Araújo</t>
        </is>
      </c>
      <c r="C44" s="2" t="inlineStr">
        <is>
          <t>Pessoa Física</t>
        </is>
      </c>
      <c r="D44" s="2" t="inlineStr">
        <is>
          <t>Campinas</t>
        </is>
      </c>
      <c r="E44" s="2" t="inlineStr">
        <is>
          <t>Sudeste</t>
        </is>
      </c>
      <c r="F44" s="3" t="n">
        <v>45696</v>
      </c>
    </row>
    <row r="45">
      <c r="A45" s="2" t="inlineStr">
        <is>
          <t>C0044</t>
        </is>
      </c>
      <c r="B45" s="2" t="inlineStr">
        <is>
          <t>Vitória Almeida</t>
        </is>
      </c>
      <c r="C45" s="2" t="inlineStr">
        <is>
          <t>Pessoa Física</t>
        </is>
      </c>
      <c r="D45" s="2" t="inlineStr">
        <is>
          <t>Campinas</t>
        </is>
      </c>
      <c r="E45" s="2" t="inlineStr">
        <is>
          <t>Sudeste</t>
        </is>
      </c>
      <c r="F45" s="3" t="n">
        <v>45854</v>
      </c>
    </row>
    <row r="46">
      <c r="A46" s="2" t="inlineStr">
        <is>
          <t>C0045</t>
        </is>
      </c>
      <c r="B46" s="2" t="inlineStr">
        <is>
          <t>Henrique Oliveira</t>
        </is>
      </c>
      <c r="C46" s="2" t="inlineStr">
        <is>
          <t>Média Empresa</t>
        </is>
      </c>
      <c r="D46" s="2" t="inlineStr">
        <is>
          <t>São Paulo</t>
        </is>
      </c>
      <c r="E46" s="2" t="inlineStr">
        <is>
          <t>Sudeste</t>
        </is>
      </c>
      <c r="F46" s="3" t="n">
        <v>45238</v>
      </c>
    </row>
    <row r="47">
      <c r="A47" s="2" t="inlineStr">
        <is>
          <t>C0046</t>
        </is>
      </c>
      <c r="B47" s="2" t="inlineStr">
        <is>
          <t>Sofia Almeida</t>
        </is>
      </c>
      <c r="C47" s="2" t="inlineStr">
        <is>
          <t>Pessoa Física</t>
        </is>
      </c>
      <c r="D47" s="2" t="inlineStr">
        <is>
          <t>Rio de Janeiro</t>
        </is>
      </c>
      <c r="E47" s="2" t="inlineStr">
        <is>
          <t>Sudeste</t>
        </is>
      </c>
      <c r="F47" s="3" t="n">
        <v>45556</v>
      </c>
    </row>
    <row r="48">
      <c r="A48" s="2" t="inlineStr">
        <is>
          <t>C0047</t>
        </is>
      </c>
      <c r="B48" s="2" t="inlineStr">
        <is>
          <t>Thiago Pereira</t>
        </is>
      </c>
      <c r="C48" s="2" t="inlineStr">
        <is>
          <t>Pequena Empresa</t>
        </is>
      </c>
      <c r="D48" s="2" t="inlineStr">
        <is>
          <t>Campinas</t>
        </is>
      </c>
      <c r="E48" s="2" t="inlineStr">
        <is>
          <t>Sudeste</t>
        </is>
      </c>
      <c r="F48" s="3" t="n">
        <v>45731</v>
      </c>
    </row>
    <row r="49">
      <c r="A49" s="2" t="inlineStr">
        <is>
          <t>C0048</t>
        </is>
      </c>
      <c r="B49" s="2" t="inlineStr">
        <is>
          <t>Rafael Almeida</t>
        </is>
      </c>
      <c r="C49" s="2" t="inlineStr">
        <is>
          <t>Média Empresa</t>
        </is>
      </c>
      <c r="D49" s="2" t="inlineStr">
        <is>
          <t>Campo Grande</t>
        </is>
      </c>
      <c r="E49" s="2" t="inlineStr">
        <is>
          <t>Centro-Oeste</t>
        </is>
      </c>
      <c r="F49" s="3" t="n">
        <v>45395</v>
      </c>
    </row>
    <row r="50">
      <c r="A50" s="2" t="inlineStr">
        <is>
          <t>C0049</t>
        </is>
      </c>
      <c r="B50" s="2" t="inlineStr">
        <is>
          <t>Daniel Souza</t>
        </is>
      </c>
      <c r="C50" s="2" t="inlineStr">
        <is>
          <t>Pequena Empresa</t>
        </is>
      </c>
      <c r="D50" s="2" t="inlineStr">
        <is>
          <t>Campinas</t>
        </is>
      </c>
      <c r="E50" s="2" t="inlineStr">
        <is>
          <t>Sudeste</t>
        </is>
      </c>
      <c r="F50" s="3" t="n">
        <v>45287</v>
      </c>
    </row>
    <row r="51">
      <c r="A51" s="2" t="inlineStr">
        <is>
          <t>C0050</t>
        </is>
      </c>
      <c r="B51" s="2" t="inlineStr">
        <is>
          <t>Otávio Martins</t>
        </is>
      </c>
      <c r="C51" s="2" t="inlineStr">
        <is>
          <t>Média Empresa</t>
        </is>
      </c>
      <c r="D51" s="2" t="inlineStr">
        <is>
          <t>Florianópolis</t>
        </is>
      </c>
      <c r="E51" s="2" t="inlineStr">
        <is>
          <t>Sul</t>
        </is>
      </c>
      <c r="F51" s="3" t="n">
        <v>44672</v>
      </c>
    </row>
    <row r="52">
      <c r="A52" s="2" t="inlineStr">
        <is>
          <t>C0051</t>
        </is>
      </c>
      <c r="B52" s="2" t="inlineStr">
        <is>
          <t>Mariana Souza</t>
        </is>
      </c>
      <c r="C52" s="2" t="inlineStr">
        <is>
          <t>Pessoa Física</t>
        </is>
      </c>
      <c r="D52" s="2" t="inlineStr">
        <is>
          <t>Salvador</t>
        </is>
      </c>
      <c r="E52" s="2" t="inlineStr">
        <is>
          <t>Nordeste</t>
        </is>
      </c>
      <c r="F52" s="3" t="n">
        <v>45256</v>
      </c>
    </row>
    <row r="53">
      <c r="A53" s="2" t="inlineStr">
        <is>
          <t>C0052</t>
        </is>
      </c>
      <c r="B53" s="2" t="inlineStr">
        <is>
          <t>André Souza</t>
        </is>
      </c>
      <c r="C53" s="2" t="inlineStr">
        <is>
          <t>Pessoa Física</t>
        </is>
      </c>
      <c r="D53" s="2" t="inlineStr">
        <is>
          <t>Fortaleza</t>
        </is>
      </c>
      <c r="E53" s="2" t="inlineStr">
        <is>
          <t>Nordeste</t>
        </is>
      </c>
      <c r="F53" s="3" t="n">
        <v>44951</v>
      </c>
    </row>
    <row r="54">
      <c r="A54" s="2" t="inlineStr">
        <is>
          <t>C0053</t>
        </is>
      </c>
      <c r="B54" s="2" t="inlineStr">
        <is>
          <t>Paula Pereira</t>
        </is>
      </c>
      <c r="C54" s="2" t="inlineStr">
        <is>
          <t>Pessoa Física</t>
        </is>
      </c>
      <c r="D54" s="2" t="inlineStr">
        <is>
          <t>Goiânia</t>
        </is>
      </c>
      <c r="E54" s="2" t="inlineStr">
        <is>
          <t>Centro-Oeste</t>
        </is>
      </c>
      <c r="F54" s="3" t="n">
        <v>45132</v>
      </c>
    </row>
    <row r="55">
      <c r="A55" s="2" t="inlineStr">
        <is>
          <t>C0054</t>
        </is>
      </c>
      <c r="B55" s="2" t="inlineStr">
        <is>
          <t>Henrique Oliveira</t>
        </is>
      </c>
      <c r="C55" s="2" t="inlineStr">
        <is>
          <t>Pessoa Física</t>
        </is>
      </c>
      <c r="D55" s="2" t="inlineStr">
        <is>
          <t>Brasília</t>
        </is>
      </c>
      <c r="E55" s="2" t="inlineStr">
        <is>
          <t>Centro-Oeste</t>
        </is>
      </c>
      <c r="F55" s="3" t="n">
        <v>45689</v>
      </c>
    </row>
    <row r="56">
      <c r="A56" s="2" t="inlineStr">
        <is>
          <t>C0055</t>
        </is>
      </c>
      <c r="B56" s="2" t="inlineStr">
        <is>
          <t>Bruno Dias</t>
        </is>
      </c>
      <c r="C56" s="2" t="inlineStr">
        <is>
          <t>Média Empresa</t>
        </is>
      </c>
      <c r="D56" s="2" t="inlineStr">
        <is>
          <t>Rio de Janeiro</t>
        </is>
      </c>
      <c r="E56" s="2" t="inlineStr">
        <is>
          <t>Sudeste</t>
        </is>
      </c>
      <c r="F56" s="3" t="n">
        <v>44753</v>
      </c>
    </row>
    <row r="57">
      <c r="A57" s="2" t="inlineStr">
        <is>
          <t>C0056</t>
        </is>
      </c>
      <c r="B57" s="2" t="inlineStr">
        <is>
          <t>André Almeida</t>
        </is>
      </c>
      <c r="C57" s="2" t="inlineStr">
        <is>
          <t>Pessoa Física</t>
        </is>
      </c>
      <c r="D57" s="2" t="inlineStr">
        <is>
          <t>Fortaleza</t>
        </is>
      </c>
      <c r="E57" s="2" t="inlineStr">
        <is>
          <t>Nordeste</t>
        </is>
      </c>
      <c r="F57" s="3" t="n">
        <v>45556</v>
      </c>
    </row>
    <row r="58">
      <c r="A58" s="2" t="inlineStr">
        <is>
          <t>C0057</t>
        </is>
      </c>
      <c r="B58" s="2" t="inlineStr">
        <is>
          <t>Gabriela Carvalho</t>
        </is>
      </c>
      <c r="C58" s="2" t="inlineStr">
        <is>
          <t>Média Empresa</t>
        </is>
      </c>
      <c r="D58" s="2" t="inlineStr">
        <is>
          <t>Brasília</t>
        </is>
      </c>
      <c r="E58" s="2" t="inlineStr">
        <is>
          <t>Centro-Oeste</t>
        </is>
      </c>
      <c r="F58" s="3" t="n">
        <v>44899</v>
      </c>
    </row>
    <row r="59">
      <c r="A59" s="2" t="inlineStr">
        <is>
          <t>C0058</t>
        </is>
      </c>
      <c r="B59" s="2" t="inlineStr">
        <is>
          <t>Ana Carvalho</t>
        </is>
      </c>
      <c r="C59" s="2" t="inlineStr">
        <is>
          <t>Pessoa Física</t>
        </is>
      </c>
      <c r="D59" s="2" t="inlineStr">
        <is>
          <t>Florianópolis</t>
        </is>
      </c>
      <c r="E59" s="2" t="inlineStr">
        <is>
          <t>Sul</t>
        </is>
      </c>
      <c r="F59" s="3" t="n">
        <v>45493</v>
      </c>
    </row>
    <row r="60">
      <c r="A60" s="2" t="inlineStr">
        <is>
          <t>C0059</t>
        </is>
      </c>
      <c r="B60" s="2" t="inlineStr">
        <is>
          <t>Otávio Dias</t>
        </is>
      </c>
      <c r="C60" s="2" t="inlineStr">
        <is>
          <t>Pequena Empresa</t>
        </is>
      </c>
      <c r="D60" s="2" t="inlineStr">
        <is>
          <t>Curitiba</t>
        </is>
      </c>
      <c r="E60" s="2" t="inlineStr">
        <is>
          <t>Sul</t>
        </is>
      </c>
      <c r="F60" s="3" t="n">
        <v>45558</v>
      </c>
    </row>
    <row r="61">
      <c r="A61" s="2" t="inlineStr">
        <is>
          <t>C0060</t>
        </is>
      </c>
      <c r="B61" s="2" t="inlineStr">
        <is>
          <t>Gabriela Lima</t>
        </is>
      </c>
      <c r="C61" s="2" t="inlineStr">
        <is>
          <t>Pessoa Física</t>
        </is>
      </c>
      <c r="D61" s="2" t="inlineStr">
        <is>
          <t>Belo Horizonte</t>
        </is>
      </c>
      <c r="E61" s="2" t="inlineStr">
        <is>
          <t>Sudeste</t>
        </is>
      </c>
      <c r="F61" s="3" t="n">
        <v>44681</v>
      </c>
    </row>
    <row r="62">
      <c r="A62" s="2" t="inlineStr">
        <is>
          <t>C0061</t>
        </is>
      </c>
      <c r="B62" s="2" t="inlineStr">
        <is>
          <t>Caio Dias</t>
        </is>
      </c>
      <c r="C62" s="2" t="inlineStr">
        <is>
          <t>Pessoa Física</t>
        </is>
      </c>
      <c r="D62" s="2" t="inlineStr">
        <is>
          <t>Campo Grande</t>
        </is>
      </c>
      <c r="E62" s="2" t="inlineStr">
        <is>
          <t>Centro-Oeste</t>
        </is>
      </c>
      <c r="F62" s="3" t="n">
        <v>45204</v>
      </c>
    </row>
    <row r="63">
      <c r="A63" s="2" t="inlineStr">
        <is>
          <t>C0062</t>
        </is>
      </c>
      <c r="B63" s="2" t="inlineStr">
        <is>
          <t>Bruno Ribeiro</t>
        </is>
      </c>
      <c r="C63" s="2" t="inlineStr">
        <is>
          <t>Pessoa Física</t>
        </is>
      </c>
      <c r="D63" s="2" t="inlineStr">
        <is>
          <t>São Paulo</t>
        </is>
      </c>
      <c r="E63" s="2" t="inlineStr">
        <is>
          <t>Sudeste</t>
        </is>
      </c>
      <c r="F63" s="3" t="n">
        <v>45649</v>
      </c>
    </row>
    <row r="64">
      <c r="A64" s="2" t="inlineStr">
        <is>
          <t>C0063</t>
        </is>
      </c>
      <c r="B64" s="2" t="inlineStr">
        <is>
          <t>Bruno Barbosa</t>
        </is>
      </c>
      <c r="C64" s="2" t="inlineStr">
        <is>
          <t>Pessoa Física</t>
        </is>
      </c>
      <c r="D64" s="2" t="inlineStr">
        <is>
          <t>Belo Horizonte</t>
        </is>
      </c>
      <c r="E64" s="2" t="inlineStr">
        <is>
          <t>Sudeste</t>
        </is>
      </c>
      <c r="F64" s="3" t="n">
        <v>44942</v>
      </c>
    </row>
    <row r="65">
      <c r="A65" s="2" t="inlineStr">
        <is>
          <t>C0064</t>
        </is>
      </c>
      <c r="B65" s="2" t="inlineStr">
        <is>
          <t>Lucas Oliveira</t>
        </is>
      </c>
      <c r="C65" s="2" t="inlineStr">
        <is>
          <t>Pequena Empresa</t>
        </is>
      </c>
      <c r="D65" s="2" t="inlineStr">
        <is>
          <t>Rio de Janeiro</t>
        </is>
      </c>
      <c r="E65" s="2" t="inlineStr">
        <is>
          <t>Sudeste</t>
        </is>
      </c>
      <c r="F65" s="3" t="n">
        <v>45043</v>
      </c>
    </row>
    <row r="66">
      <c r="A66" s="2" t="inlineStr">
        <is>
          <t>C0065</t>
        </is>
      </c>
      <c r="B66" s="2" t="inlineStr">
        <is>
          <t>Daniel Almeida</t>
        </is>
      </c>
      <c r="C66" s="2" t="inlineStr">
        <is>
          <t>Pessoa Física</t>
        </is>
      </c>
      <c r="D66" s="2" t="inlineStr">
        <is>
          <t>Florianópolis</t>
        </is>
      </c>
      <c r="E66" s="2" t="inlineStr">
        <is>
          <t>Sul</t>
        </is>
      </c>
      <c r="F66" s="3" t="n">
        <v>44643</v>
      </c>
    </row>
    <row r="67">
      <c r="A67" s="2" t="inlineStr">
        <is>
          <t>C0066</t>
        </is>
      </c>
      <c r="B67" s="2" t="inlineStr">
        <is>
          <t>Camila Gomes</t>
        </is>
      </c>
      <c r="C67" s="2" t="inlineStr">
        <is>
          <t>Pequena Empresa</t>
        </is>
      </c>
      <c r="D67" s="2" t="inlineStr">
        <is>
          <t>Campo Grande</t>
        </is>
      </c>
      <c r="E67" s="2" t="inlineStr">
        <is>
          <t>Centro-Oeste</t>
        </is>
      </c>
      <c r="F67" s="3" t="n">
        <v>45719</v>
      </c>
    </row>
    <row r="68">
      <c r="A68" s="2" t="inlineStr">
        <is>
          <t>C0067</t>
        </is>
      </c>
      <c r="B68" s="2" t="inlineStr">
        <is>
          <t>Larissa Nascimento</t>
        </is>
      </c>
      <c r="C68" s="2" t="inlineStr">
        <is>
          <t>Pessoa Física</t>
        </is>
      </c>
      <c r="D68" s="2" t="inlineStr">
        <is>
          <t>Goiânia</t>
        </is>
      </c>
      <c r="E68" s="2" t="inlineStr">
        <is>
          <t>Centro-Oeste</t>
        </is>
      </c>
      <c r="F68" s="3" t="n">
        <v>45205</v>
      </c>
    </row>
    <row r="69">
      <c r="A69" s="2" t="inlineStr">
        <is>
          <t>C0068</t>
        </is>
      </c>
      <c r="B69" s="2" t="inlineStr">
        <is>
          <t>Isabela Carvalho</t>
        </is>
      </c>
      <c r="C69" s="2" t="inlineStr">
        <is>
          <t>Pessoa Física</t>
        </is>
      </c>
      <c r="D69" s="2" t="inlineStr">
        <is>
          <t>Campinas</t>
        </is>
      </c>
      <c r="E69" s="2" t="inlineStr">
        <is>
          <t>Sudeste</t>
        </is>
      </c>
      <c r="F69" s="3" t="n">
        <v>45176</v>
      </c>
    </row>
    <row r="70">
      <c r="A70" s="2" t="inlineStr">
        <is>
          <t>C0069</t>
        </is>
      </c>
      <c r="B70" s="2" t="inlineStr">
        <is>
          <t>Larissa Oliveira</t>
        </is>
      </c>
      <c r="C70" s="2" t="inlineStr">
        <is>
          <t>Pessoa Física</t>
        </is>
      </c>
      <c r="D70" s="2" t="inlineStr">
        <is>
          <t>Brasília</t>
        </is>
      </c>
      <c r="E70" s="2" t="inlineStr">
        <is>
          <t>Centro-Oeste</t>
        </is>
      </c>
      <c r="F70" s="3" t="n">
        <v>45834</v>
      </c>
    </row>
    <row r="71">
      <c r="A71" s="2" t="inlineStr">
        <is>
          <t>C0070</t>
        </is>
      </c>
      <c r="B71" s="2" t="inlineStr">
        <is>
          <t>Daniel Oliveira</t>
        </is>
      </c>
      <c r="C71" s="2" t="inlineStr">
        <is>
          <t>Pessoa Física</t>
        </is>
      </c>
      <c r="D71" s="2" t="inlineStr">
        <is>
          <t>Campo Grande</t>
        </is>
      </c>
      <c r="E71" s="2" t="inlineStr">
        <is>
          <t>Centro-Oeste</t>
        </is>
      </c>
      <c r="F71" s="3" t="n">
        <v>45598</v>
      </c>
    </row>
    <row r="72">
      <c r="A72" s="2" t="inlineStr">
        <is>
          <t>C0071</t>
        </is>
      </c>
      <c r="B72" s="2" t="inlineStr">
        <is>
          <t>Eduarda Fernandes</t>
        </is>
      </c>
      <c r="C72" s="2" t="inlineStr">
        <is>
          <t>Média Empresa</t>
        </is>
      </c>
      <c r="D72" s="2" t="inlineStr">
        <is>
          <t>Curitiba</t>
        </is>
      </c>
      <c r="E72" s="2" t="inlineStr">
        <is>
          <t>Sul</t>
        </is>
      </c>
      <c r="F72" s="3" t="n">
        <v>45062</v>
      </c>
    </row>
    <row r="73">
      <c r="A73" s="2" t="inlineStr">
        <is>
          <t>C0072</t>
        </is>
      </c>
      <c r="B73" s="2" t="inlineStr">
        <is>
          <t>João Costa</t>
        </is>
      </c>
      <c r="C73" s="2" t="inlineStr">
        <is>
          <t>Pessoa Física</t>
        </is>
      </c>
      <c r="D73" s="2" t="inlineStr">
        <is>
          <t>Porto Alegre</t>
        </is>
      </c>
      <c r="E73" s="2" t="inlineStr">
        <is>
          <t>Sul</t>
        </is>
      </c>
      <c r="F73" s="3" t="n">
        <v>45674</v>
      </c>
    </row>
    <row r="74">
      <c r="A74" s="2" t="inlineStr">
        <is>
          <t>C0073</t>
        </is>
      </c>
      <c r="B74" s="2" t="inlineStr">
        <is>
          <t>João Barbosa</t>
        </is>
      </c>
      <c r="C74" s="2" t="inlineStr">
        <is>
          <t>Pessoa Física</t>
        </is>
      </c>
      <c r="D74" s="2" t="inlineStr">
        <is>
          <t>Recife</t>
        </is>
      </c>
      <c r="E74" s="2" t="inlineStr">
        <is>
          <t>Nordeste</t>
        </is>
      </c>
      <c r="F74" s="3" t="n">
        <v>45697</v>
      </c>
    </row>
    <row r="75">
      <c r="A75" s="2" t="inlineStr">
        <is>
          <t>C0074</t>
        </is>
      </c>
      <c r="B75" s="2" t="inlineStr">
        <is>
          <t>Gustavo Souza</t>
        </is>
      </c>
      <c r="C75" s="2" t="inlineStr">
        <is>
          <t>Grande Empresa</t>
        </is>
      </c>
      <c r="D75" s="2" t="inlineStr">
        <is>
          <t>Curitiba</t>
        </is>
      </c>
      <c r="E75" s="2" t="inlineStr">
        <is>
          <t>Sul</t>
        </is>
      </c>
      <c r="F75" s="3" t="n">
        <v>44837</v>
      </c>
    </row>
    <row r="76">
      <c r="A76" s="2" t="inlineStr">
        <is>
          <t>C0075</t>
        </is>
      </c>
      <c r="B76" s="2" t="inlineStr">
        <is>
          <t>Daniel Souza</t>
        </is>
      </c>
      <c r="C76" s="2" t="inlineStr">
        <is>
          <t>Pequena Empresa</t>
        </is>
      </c>
      <c r="D76" s="2" t="inlineStr">
        <is>
          <t>Curitiba</t>
        </is>
      </c>
      <c r="E76" s="2" t="inlineStr">
        <is>
          <t>Sul</t>
        </is>
      </c>
      <c r="F76" s="3" t="n">
        <v>44880</v>
      </c>
    </row>
    <row r="77">
      <c r="A77" s="2" t="inlineStr">
        <is>
          <t>C0076</t>
        </is>
      </c>
      <c r="B77" s="2" t="inlineStr">
        <is>
          <t>João Rodrigues</t>
        </is>
      </c>
      <c r="C77" s="2" t="inlineStr">
        <is>
          <t>Pequena Empresa</t>
        </is>
      </c>
      <c r="D77" s="2" t="inlineStr">
        <is>
          <t>Curitiba</t>
        </is>
      </c>
      <c r="E77" s="2" t="inlineStr">
        <is>
          <t>Sul</t>
        </is>
      </c>
      <c r="F77" s="3" t="n">
        <v>44978</v>
      </c>
    </row>
    <row r="78">
      <c r="A78" s="2" t="inlineStr">
        <is>
          <t>C0077</t>
        </is>
      </c>
      <c r="B78" s="2" t="inlineStr">
        <is>
          <t>Mariana Nascimento</t>
        </is>
      </c>
      <c r="C78" s="2" t="inlineStr">
        <is>
          <t>Pessoa Física</t>
        </is>
      </c>
      <c r="D78" s="2" t="inlineStr">
        <is>
          <t>Salvador</t>
        </is>
      </c>
      <c r="E78" s="2" t="inlineStr">
        <is>
          <t>Nordeste</t>
        </is>
      </c>
      <c r="F78" s="3" t="n">
        <v>45076</v>
      </c>
    </row>
    <row r="79">
      <c r="A79" s="2" t="inlineStr">
        <is>
          <t>C0078</t>
        </is>
      </c>
      <c r="B79" s="2" t="inlineStr">
        <is>
          <t>Camila Gomes</t>
        </is>
      </c>
      <c r="C79" s="2" t="inlineStr">
        <is>
          <t>Média Empresa</t>
        </is>
      </c>
      <c r="D79" s="2" t="inlineStr">
        <is>
          <t>São Paulo</t>
        </is>
      </c>
      <c r="E79" s="2" t="inlineStr">
        <is>
          <t>Sudeste</t>
        </is>
      </c>
      <c r="F79" s="3" t="n">
        <v>44652</v>
      </c>
    </row>
    <row r="80">
      <c r="A80" s="2" t="inlineStr">
        <is>
          <t>C0079</t>
        </is>
      </c>
      <c r="B80" s="2" t="inlineStr">
        <is>
          <t>Larissa Pereira</t>
        </is>
      </c>
      <c r="C80" s="2" t="inlineStr">
        <is>
          <t>Pequena Empresa</t>
        </is>
      </c>
      <c r="D80" s="2" t="inlineStr">
        <is>
          <t>São Paulo</t>
        </is>
      </c>
      <c r="E80" s="2" t="inlineStr">
        <is>
          <t>Sudeste</t>
        </is>
      </c>
      <c r="F80" s="3" t="n">
        <v>45098</v>
      </c>
    </row>
    <row r="81">
      <c r="A81" s="2" t="inlineStr">
        <is>
          <t>C0080</t>
        </is>
      </c>
      <c r="B81" s="2" t="inlineStr">
        <is>
          <t>Caio Martins</t>
        </is>
      </c>
      <c r="C81" s="2" t="inlineStr">
        <is>
          <t>Pessoa Física</t>
        </is>
      </c>
      <c r="D81" s="2" t="inlineStr">
        <is>
          <t>Belo Horizonte</t>
        </is>
      </c>
      <c r="E81" s="2" t="inlineStr">
        <is>
          <t>Sudeste</t>
        </is>
      </c>
      <c r="F81" s="3" t="n">
        <v>45437</v>
      </c>
    </row>
    <row r="82">
      <c r="A82" s="2" t="inlineStr">
        <is>
          <t>C0081</t>
        </is>
      </c>
      <c r="B82" s="2" t="inlineStr">
        <is>
          <t>Ana Souza</t>
        </is>
      </c>
      <c r="C82" s="2" t="inlineStr">
        <is>
          <t>Pessoa Física</t>
        </is>
      </c>
      <c r="D82" s="2" t="inlineStr">
        <is>
          <t>Goiânia</t>
        </is>
      </c>
      <c r="E82" s="2" t="inlineStr">
        <is>
          <t>Centro-Oeste</t>
        </is>
      </c>
      <c r="F82" s="3" t="n">
        <v>44867</v>
      </c>
    </row>
    <row r="83">
      <c r="A83" s="2" t="inlineStr">
        <is>
          <t>C0082</t>
        </is>
      </c>
      <c r="B83" s="2" t="inlineStr">
        <is>
          <t>Bruno Fernandes</t>
        </is>
      </c>
      <c r="C83" s="2" t="inlineStr">
        <is>
          <t>Pequena Empresa</t>
        </is>
      </c>
      <c r="D83" s="2" t="inlineStr">
        <is>
          <t>Goiânia</t>
        </is>
      </c>
      <c r="E83" s="2" t="inlineStr">
        <is>
          <t>Centro-Oeste</t>
        </is>
      </c>
      <c r="F83" s="3" t="n">
        <v>44865</v>
      </c>
    </row>
    <row r="84">
      <c r="A84" s="2" t="inlineStr">
        <is>
          <t>C0083</t>
        </is>
      </c>
      <c r="B84" s="2" t="inlineStr">
        <is>
          <t>Eduarda Santos</t>
        </is>
      </c>
      <c r="C84" s="2" t="inlineStr">
        <is>
          <t>Pessoa Física</t>
        </is>
      </c>
      <c r="D84" s="2" t="inlineStr">
        <is>
          <t>Florianópolis</t>
        </is>
      </c>
      <c r="E84" s="2" t="inlineStr">
        <is>
          <t>Sul</t>
        </is>
      </c>
      <c r="F84" s="3" t="n">
        <v>44643</v>
      </c>
    </row>
    <row r="85">
      <c r="A85" s="2" t="inlineStr">
        <is>
          <t>C0084</t>
        </is>
      </c>
      <c r="B85" s="2" t="inlineStr">
        <is>
          <t>Gabriela Almeida</t>
        </is>
      </c>
      <c r="C85" s="2" t="inlineStr">
        <is>
          <t>Pequena Empresa</t>
        </is>
      </c>
      <c r="D85" s="2" t="inlineStr">
        <is>
          <t>Porto Alegre</t>
        </is>
      </c>
      <c r="E85" s="2" t="inlineStr">
        <is>
          <t>Sul</t>
        </is>
      </c>
      <c r="F85" s="3" t="n">
        <v>45286</v>
      </c>
    </row>
    <row r="86">
      <c r="A86" s="2" t="inlineStr">
        <is>
          <t>C0085</t>
        </is>
      </c>
      <c r="B86" s="2" t="inlineStr">
        <is>
          <t>Thiago Gomes</t>
        </is>
      </c>
      <c r="C86" s="2" t="inlineStr">
        <is>
          <t>Grande Empresa</t>
        </is>
      </c>
      <c r="D86" s="2" t="inlineStr">
        <is>
          <t>Fortaleza</t>
        </is>
      </c>
      <c r="E86" s="2" t="inlineStr">
        <is>
          <t>Nordeste</t>
        </is>
      </c>
      <c r="F86" s="3" t="n">
        <v>44878</v>
      </c>
    </row>
    <row r="87">
      <c r="A87" s="2" t="inlineStr">
        <is>
          <t>C0086</t>
        </is>
      </c>
      <c r="B87" s="2" t="inlineStr">
        <is>
          <t>André Costa</t>
        </is>
      </c>
      <c r="C87" s="2" t="inlineStr">
        <is>
          <t>Grande Empresa</t>
        </is>
      </c>
      <c r="D87" s="2" t="inlineStr">
        <is>
          <t>Campinas</t>
        </is>
      </c>
      <c r="E87" s="2" t="inlineStr">
        <is>
          <t>Sudeste</t>
        </is>
      </c>
      <c r="F87" s="3" t="n">
        <v>44924</v>
      </c>
    </row>
    <row r="88">
      <c r="A88" s="2" t="inlineStr">
        <is>
          <t>C0087</t>
        </is>
      </c>
      <c r="B88" s="2" t="inlineStr">
        <is>
          <t>Ana Costa</t>
        </is>
      </c>
      <c r="C88" s="2" t="inlineStr">
        <is>
          <t>Pequena Empresa</t>
        </is>
      </c>
      <c r="D88" s="2" t="inlineStr">
        <is>
          <t>Florianópolis</t>
        </is>
      </c>
      <c r="E88" s="2" t="inlineStr">
        <is>
          <t>Sul</t>
        </is>
      </c>
      <c r="F88" s="3" t="n">
        <v>45242</v>
      </c>
    </row>
    <row r="89">
      <c r="A89" s="2" t="inlineStr">
        <is>
          <t>C0088</t>
        </is>
      </c>
      <c r="B89" s="2" t="inlineStr">
        <is>
          <t>Gustavo Gomes</t>
        </is>
      </c>
      <c r="C89" s="2" t="inlineStr">
        <is>
          <t>Média Empresa</t>
        </is>
      </c>
      <c r="D89" s="2" t="inlineStr">
        <is>
          <t>Fortaleza</t>
        </is>
      </c>
      <c r="E89" s="2" t="inlineStr">
        <is>
          <t>Nordeste</t>
        </is>
      </c>
      <c r="F89" s="3" t="n">
        <v>45070</v>
      </c>
    </row>
    <row r="90">
      <c r="A90" s="2" t="inlineStr">
        <is>
          <t>C0089</t>
        </is>
      </c>
      <c r="B90" s="2" t="inlineStr">
        <is>
          <t>Felipe Souza</t>
        </is>
      </c>
      <c r="C90" s="2" t="inlineStr">
        <is>
          <t>Pessoa Física</t>
        </is>
      </c>
      <c r="D90" s="2" t="inlineStr">
        <is>
          <t>Curitiba</t>
        </is>
      </c>
      <c r="E90" s="2" t="inlineStr">
        <is>
          <t>Sul</t>
        </is>
      </c>
      <c r="F90" s="3" t="n">
        <v>44641</v>
      </c>
    </row>
    <row r="91">
      <c r="A91" s="2" t="inlineStr">
        <is>
          <t>C0090</t>
        </is>
      </c>
      <c r="B91" s="2" t="inlineStr">
        <is>
          <t>Henrique Rodrigues</t>
        </is>
      </c>
      <c r="C91" s="2" t="inlineStr">
        <is>
          <t>Média Empresa</t>
        </is>
      </c>
      <c r="D91" s="2" t="inlineStr">
        <is>
          <t>Brasília</t>
        </is>
      </c>
      <c r="E91" s="2" t="inlineStr">
        <is>
          <t>Centro-Oeste</t>
        </is>
      </c>
      <c r="F91" s="3" t="n">
        <v>45504</v>
      </c>
    </row>
    <row r="92">
      <c r="A92" s="2" t="inlineStr">
        <is>
          <t>C0091</t>
        </is>
      </c>
      <c r="B92" s="2" t="inlineStr">
        <is>
          <t>João Almeida</t>
        </is>
      </c>
      <c r="C92" s="2" t="inlineStr">
        <is>
          <t>Pessoa Física</t>
        </is>
      </c>
      <c r="D92" s="2" t="inlineStr">
        <is>
          <t>Porto Alegre</t>
        </is>
      </c>
      <c r="E92" s="2" t="inlineStr">
        <is>
          <t>Sul</t>
        </is>
      </c>
      <c r="F92" s="3" t="n">
        <v>44957</v>
      </c>
    </row>
    <row r="93">
      <c r="A93" s="2" t="inlineStr">
        <is>
          <t>C0092</t>
        </is>
      </c>
      <c r="B93" s="2" t="inlineStr">
        <is>
          <t>Larissa Nascimento</t>
        </is>
      </c>
      <c r="C93" s="2" t="inlineStr">
        <is>
          <t>Média Empresa</t>
        </is>
      </c>
      <c r="D93" s="2" t="inlineStr">
        <is>
          <t>Florianópolis</t>
        </is>
      </c>
      <c r="E93" s="2" t="inlineStr">
        <is>
          <t>Sul</t>
        </is>
      </c>
      <c r="F93" s="3" t="n">
        <v>45133</v>
      </c>
    </row>
    <row r="94">
      <c r="A94" s="2" t="inlineStr">
        <is>
          <t>C0093</t>
        </is>
      </c>
      <c r="B94" s="2" t="inlineStr">
        <is>
          <t>Mariana Barbosa</t>
        </is>
      </c>
      <c r="C94" s="2" t="inlineStr">
        <is>
          <t>Pessoa Física</t>
        </is>
      </c>
      <c r="D94" s="2" t="inlineStr">
        <is>
          <t>Porto Alegre</t>
        </is>
      </c>
      <c r="E94" s="2" t="inlineStr">
        <is>
          <t>Sul</t>
        </is>
      </c>
      <c r="F94" s="3" t="n">
        <v>45660</v>
      </c>
    </row>
    <row r="95">
      <c r="A95" s="2" t="inlineStr">
        <is>
          <t>C0094</t>
        </is>
      </c>
      <c r="B95" s="2" t="inlineStr">
        <is>
          <t>Ana Souza</t>
        </is>
      </c>
      <c r="C95" s="2" t="inlineStr">
        <is>
          <t>Média Empresa</t>
        </is>
      </c>
      <c r="D95" s="2" t="inlineStr">
        <is>
          <t>Porto Alegre</t>
        </is>
      </c>
      <c r="E95" s="2" t="inlineStr">
        <is>
          <t>Sul</t>
        </is>
      </c>
      <c r="F95" s="3" t="n">
        <v>45096</v>
      </c>
    </row>
    <row r="96">
      <c r="A96" s="2" t="inlineStr">
        <is>
          <t>C0095</t>
        </is>
      </c>
      <c r="B96" s="2" t="inlineStr">
        <is>
          <t>Vitória Nascimento</t>
        </is>
      </c>
      <c r="C96" s="2" t="inlineStr">
        <is>
          <t>Pessoa Física</t>
        </is>
      </c>
      <c r="D96" s="2" t="inlineStr">
        <is>
          <t>Belo Horizonte</t>
        </is>
      </c>
      <c r="E96" s="2" t="inlineStr">
        <is>
          <t>Sudeste</t>
        </is>
      </c>
      <c r="F96" s="3" t="n">
        <v>45783</v>
      </c>
    </row>
    <row r="97">
      <c r="A97" s="2" t="inlineStr">
        <is>
          <t>C0096</t>
        </is>
      </c>
      <c r="B97" s="2" t="inlineStr">
        <is>
          <t>Marcos Araújo</t>
        </is>
      </c>
      <c r="C97" s="2" t="inlineStr">
        <is>
          <t>Pessoa Física</t>
        </is>
      </c>
      <c r="D97" s="2" t="inlineStr">
        <is>
          <t>Florianópolis</t>
        </is>
      </c>
      <c r="E97" s="2" t="inlineStr">
        <is>
          <t>Sul</t>
        </is>
      </c>
      <c r="F97" s="3" t="n">
        <v>45609</v>
      </c>
    </row>
    <row r="98">
      <c r="A98" s="2" t="inlineStr">
        <is>
          <t>C0097</t>
        </is>
      </c>
      <c r="B98" s="2" t="inlineStr">
        <is>
          <t>Natália Rodrigues</t>
        </is>
      </c>
      <c r="C98" s="2" t="inlineStr">
        <is>
          <t>Pessoa Física</t>
        </is>
      </c>
      <c r="D98" s="2" t="inlineStr">
        <is>
          <t>Rio de Janeiro</t>
        </is>
      </c>
      <c r="E98" s="2" t="inlineStr">
        <is>
          <t>Sudeste</t>
        </is>
      </c>
      <c r="F98" s="3" t="n">
        <v>45455</v>
      </c>
    </row>
    <row r="99">
      <c r="A99" s="2" t="inlineStr">
        <is>
          <t>C0098</t>
        </is>
      </c>
      <c r="B99" s="2" t="inlineStr">
        <is>
          <t>Sofia Dias</t>
        </is>
      </c>
      <c r="C99" s="2" t="inlineStr">
        <is>
          <t>Pequena Empresa</t>
        </is>
      </c>
      <c r="D99" s="2" t="inlineStr">
        <is>
          <t>São Paulo</t>
        </is>
      </c>
      <c r="E99" s="2" t="inlineStr">
        <is>
          <t>Sudeste</t>
        </is>
      </c>
      <c r="F99" s="3" t="n">
        <v>44965</v>
      </c>
    </row>
    <row r="100">
      <c r="A100" s="2" t="inlineStr">
        <is>
          <t>C0099</t>
        </is>
      </c>
      <c r="B100" s="2" t="inlineStr">
        <is>
          <t>Otávio Oliveira</t>
        </is>
      </c>
      <c r="C100" s="2" t="inlineStr">
        <is>
          <t>Grande Empresa</t>
        </is>
      </c>
      <c r="D100" s="2" t="inlineStr">
        <is>
          <t>Porto Alegre</t>
        </is>
      </c>
      <c r="E100" s="2" t="inlineStr">
        <is>
          <t>Sul</t>
        </is>
      </c>
      <c r="F100" s="3" t="n">
        <v>45238</v>
      </c>
    </row>
    <row r="101">
      <c r="A101" s="2" t="inlineStr">
        <is>
          <t>C0100</t>
        </is>
      </c>
      <c r="B101" s="2" t="inlineStr">
        <is>
          <t>Larissa Souza</t>
        </is>
      </c>
      <c r="C101" s="2" t="inlineStr">
        <is>
          <t>Pequena Empresa</t>
        </is>
      </c>
      <c r="D101" s="2" t="inlineStr">
        <is>
          <t>Campo Grande</t>
        </is>
      </c>
      <c r="E101" s="2" t="inlineStr">
        <is>
          <t>Centro-Oeste</t>
        </is>
      </c>
      <c r="F101" s="3" t="n">
        <v>45177</v>
      </c>
    </row>
    <row r="102">
      <c r="A102" s="2" t="inlineStr">
        <is>
          <t>C0101</t>
        </is>
      </c>
      <c r="B102" s="2" t="inlineStr">
        <is>
          <t>João Gomes</t>
        </is>
      </c>
      <c r="C102" s="2" t="inlineStr">
        <is>
          <t>Pessoa Física</t>
        </is>
      </c>
      <c r="D102" s="2" t="inlineStr">
        <is>
          <t>Goiânia</t>
        </is>
      </c>
      <c r="E102" s="2" t="inlineStr">
        <is>
          <t>Centro-Oeste</t>
        </is>
      </c>
      <c r="F102" s="3" t="n">
        <v>45167</v>
      </c>
    </row>
    <row r="103">
      <c r="A103" s="2" t="inlineStr">
        <is>
          <t>C0102</t>
        </is>
      </c>
      <c r="B103" s="2" t="inlineStr">
        <is>
          <t>Eduarda Rodrigues</t>
        </is>
      </c>
      <c r="C103" s="2" t="inlineStr">
        <is>
          <t>Pessoa Física</t>
        </is>
      </c>
      <c r="D103" s="2" t="inlineStr">
        <is>
          <t>Goiânia</t>
        </is>
      </c>
      <c r="E103" s="2" t="inlineStr">
        <is>
          <t>Centro-Oeste</t>
        </is>
      </c>
      <c r="F103" s="3" t="n">
        <v>45338</v>
      </c>
    </row>
    <row r="104">
      <c r="A104" s="2" t="inlineStr">
        <is>
          <t>C0103</t>
        </is>
      </c>
      <c r="B104" s="2" t="inlineStr">
        <is>
          <t>Caio Costa</t>
        </is>
      </c>
      <c r="C104" s="2" t="inlineStr">
        <is>
          <t>Pequena Empresa</t>
        </is>
      </c>
      <c r="D104" s="2" t="inlineStr">
        <is>
          <t>Salvador</t>
        </is>
      </c>
      <c r="E104" s="2" t="inlineStr">
        <is>
          <t>Nordeste</t>
        </is>
      </c>
      <c r="F104" s="3" t="n">
        <v>45178</v>
      </c>
    </row>
    <row r="105">
      <c r="A105" s="2" t="inlineStr">
        <is>
          <t>C0104</t>
        </is>
      </c>
      <c r="B105" s="2" t="inlineStr">
        <is>
          <t>Thiago Silva</t>
        </is>
      </c>
      <c r="C105" s="2" t="inlineStr">
        <is>
          <t>Pessoa Física</t>
        </is>
      </c>
      <c r="D105" s="2" t="inlineStr">
        <is>
          <t>Florianópolis</t>
        </is>
      </c>
      <c r="E105" s="2" t="inlineStr">
        <is>
          <t>Sul</t>
        </is>
      </c>
      <c r="F105" s="3" t="n">
        <v>44992</v>
      </c>
    </row>
    <row r="106">
      <c r="A106" s="2" t="inlineStr">
        <is>
          <t>C0105</t>
        </is>
      </c>
      <c r="B106" s="2" t="inlineStr">
        <is>
          <t>Miguel Araújo</t>
        </is>
      </c>
      <c r="C106" s="2" t="inlineStr">
        <is>
          <t>Pessoa Física</t>
        </is>
      </c>
      <c r="D106" s="2" t="inlineStr">
        <is>
          <t>Florianópolis</t>
        </is>
      </c>
      <c r="E106" s="2" t="inlineStr">
        <is>
          <t>Sul</t>
        </is>
      </c>
      <c r="F106" s="3" t="n">
        <v>45467</v>
      </c>
    </row>
    <row r="107">
      <c r="A107" s="2" t="inlineStr">
        <is>
          <t>C0106</t>
        </is>
      </c>
      <c r="B107" s="2" t="inlineStr">
        <is>
          <t>Gabriela Barbosa</t>
        </is>
      </c>
      <c r="C107" s="2" t="inlineStr">
        <is>
          <t>Pessoa Física</t>
        </is>
      </c>
      <c r="D107" s="2" t="inlineStr">
        <is>
          <t>Salvador</t>
        </is>
      </c>
      <c r="E107" s="2" t="inlineStr">
        <is>
          <t>Nordeste</t>
        </is>
      </c>
      <c r="F107" s="3" t="n">
        <v>44909</v>
      </c>
    </row>
    <row r="108">
      <c r="A108" s="2" t="inlineStr">
        <is>
          <t>C0107</t>
        </is>
      </c>
      <c r="B108" s="2" t="inlineStr">
        <is>
          <t>Camila Lima</t>
        </is>
      </c>
      <c r="C108" s="2" t="inlineStr">
        <is>
          <t>Pessoa Física</t>
        </is>
      </c>
      <c r="D108" s="2" t="inlineStr">
        <is>
          <t>Salvador</t>
        </is>
      </c>
      <c r="E108" s="2" t="inlineStr">
        <is>
          <t>Nordeste</t>
        </is>
      </c>
      <c r="F108" s="3" t="n">
        <v>45858</v>
      </c>
    </row>
    <row r="109">
      <c r="A109" s="2" t="inlineStr">
        <is>
          <t>C0108</t>
        </is>
      </c>
      <c r="B109" s="2" t="inlineStr">
        <is>
          <t>Larissa Oliveira</t>
        </is>
      </c>
      <c r="C109" s="2" t="inlineStr">
        <is>
          <t>Média Empresa</t>
        </is>
      </c>
      <c r="D109" s="2" t="inlineStr">
        <is>
          <t>Campo Grande</t>
        </is>
      </c>
      <c r="E109" s="2" t="inlineStr">
        <is>
          <t>Centro-Oeste</t>
        </is>
      </c>
      <c r="F109" s="3" t="n">
        <v>45043</v>
      </c>
    </row>
    <row r="110">
      <c r="A110" s="2" t="inlineStr">
        <is>
          <t>C0109</t>
        </is>
      </c>
      <c r="B110" s="2" t="inlineStr">
        <is>
          <t>João Almeida</t>
        </is>
      </c>
      <c r="C110" s="2" t="inlineStr">
        <is>
          <t>Média Empresa</t>
        </is>
      </c>
      <c r="D110" s="2" t="inlineStr">
        <is>
          <t>Salvador</t>
        </is>
      </c>
      <c r="E110" s="2" t="inlineStr">
        <is>
          <t>Nordeste</t>
        </is>
      </c>
      <c r="F110" s="3" t="n">
        <v>44863</v>
      </c>
    </row>
    <row r="111">
      <c r="A111" s="2" t="inlineStr">
        <is>
          <t>C0110</t>
        </is>
      </c>
      <c r="B111" s="2" t="inlineStr">
        <is>
          <t>Bruno Almeida</t>
        </is>
      </c>
      <c r="C111" s="2" t="inlineStr">
        <is>
          <t>Grande Empresa</t>
        </is>
      </c>
      <c r="D111" s="2" t="inlineStr">
        <is>
          <t>São Paulo</t>
        </is>
      </c>
      <c r="E111" s="2" t="inlineStr">
        <is>
          <t>Sudeste</t>
        </is>
      </c>
      <c r="F111" s="3" t="n">
        <v>45813</v>
      </c>
    </row>
    <row r="112">
      <c r="A112" s="2" t="inlineStr">
        <is>
          <t>C0111</t>
        </is>
      </c>
      <c r="B112" s="2" t="inlineStr">
        <is>
          <t>Camila Martins</t>
        </is>
      </c>
      <c r="C112" s="2" t="inlineStr">
        <is>
          <t>Pessoa Física</t>
        </is>
      </c>
      <c r="D112" s="2" t="inlineStr">
        <is>
          <t>Fortaleza</t>
        </is>
      </c>
      <c r="E112" s="2" t="inlineStr">
        <is>
          <t>Nordeste</t>
        </is>
      </c>
      <c r="F112" s="3" t="n">
        <v>45851</v>
      </c>
    </row>
    <row r="113">
      <c r="A113" s="2" t="inlineStr">
        <is>
          <t>C0112</t>
        </is>
      </c>
      <c r="B113" s="2" t="inlineStr">
        <is>
          <t>Gabriela Carvalho</t>
        </is>
      </c>
      <c r="C113" s="2" t="inlineStr">
        <is>
          <t>Pessoa Física</t>
        </is>
      </c>
      <c r="D113" s="2" t="inlineStr">
        <is>
          <t>Campo Grande</t>
        </is>
      </c>
      <c r="E113" s="2" t="inlineStr">
        <is>
          <t>Centro-Oeste</t>
        </is>
      </c>
      <c r="F113" s="3" t="n">
        <v>45061</v>
      </c>
    </row>
    <row r="114">
      <c r="A114" s="2" t="inlineStr">
        <is>
          <t>C0113</t>
        </is>
      </c>
      <c r="B114" s="2" t="inlineStr">
        <is>
          <t>Mariana Silva</t>
        </is>
      </c>
      <c r="C114" s="2" t="inlineStr">
        <is>
          <t>Média Empresa</t>
        </is>
      </c>
      <c r="D114" s="2" t="inlineStr">
        <is>
          <t>Belo Horizonte</t>
        </is>
      </c>
      <c r="E114" s="2" t="inlineStr">
        <is>
          <t>Sudeste</t>
        </is>
      </c>
      <c r="F114" s="3" t="n">
        <v>44780</v>
      </c>
    </row>
    <row r="115">
      <c r="A115" s="2" t="inlineStr">
        <is>
          <t>C0114</t>
        </is>
      </c>
      <c r="B115" s="2" t="inlineStr">
        <is>
          <t>Otávio Almeida</t>
        </is>
      </c>
      <c r="C115" s="2" t="inlineStr">
        <is>
          <t>Pessoa Física</t>
        </is>
      </c>
      <c r="D115" s="2" t="inlineStr">
        <is>
          <t>Fortaleza</t>
        </is>
      </c>
      <c r="E115" s="2" t="inlineStr">
        <is>
          <t>Nordeste</t>
        </is>
      </c>
      <c r="F115" s="3" t="n">
        <v>45622</v>
      </c>
    </row>
    <row r="116">
      <c r="A116" s="2" t="inlineStr">
        <is>
          <t>C0115</t>
        </is>
      </c>
      <c r="B116" s="2" t="inlineStr">
        <is>
          <t>Bruno Dias</t>
        </is>
      </c>
      <c r="C116" s="2" t="inlineStr">
        <is>
          <t>Pessoa Física</t>
        </is>
      </c>
      <c r="D116" s="2" t="inlineStr">
        <is>
          <t>Brasília</t>
        </is>
      </c>
      <c r="E116" s="2" t="inlineStr">
        <is>
          <t>Centro-Oeste</t>
        </is>
      </c>
      <c r="F116" s="3" t="n">
        <v>44810</v>
      </c>
    </row>
    <row r="117">
      <c r="A117" s="2" t="inlineStr">
        <is>
          <t>C0116</t>
        </is>
      </c>
      <c r="B117" s="2" t="inlineStr">
        <is>
          <t>Eduarda Martins</t>
        </is>
      </c>
      <c r="C117" s="2" t="inlineStr">
        <is>
          <t>Pequena Empresa</t>
        </is>
      </c>
      <c r="D117" s="2" t="inlineStr">
        <is>
          <t>Brasília</t>
        </is>
      </c>
      <c r="E117" s="2" t="inlineStr">
        <is>
          <t>Centro-Oeste</t>
        </is>
      </c>
      <c r="F117" s="3" t="n">
        <v>45706</v>
      </c>
    </row>
    <row r="118">
      <c r="A118" s="2" t="inlineStr">
        <is>
          <t>C0117</t>
        </is>
      </c>
      <c r="B118" s="2" t="inlineStr">
        <is>
          <t>Larissa Martins</t>
        </is>
      </c>
      <c r="C118" s="2" t="inlineStr">
        <is>
          <t>Pequena Empresa</t>
        </is>
      </c>
      <c r="D118" s="2" t="inlineStr">
        <is>
          <t>Campo Grande</t>
        </is>
      </c>
      <c r="E118" s="2" t="inlineStr">
        <is>
          <t>Centro-Oeste</t>
        </is>
      </c>
      <c r="F118" s="3" t="n">
        <v>45595</v>
      </c>
    </row>
    <row r="119">
      <c r="A119" s="2" t="inlineStr">
        <is>
          <t>C0118</t>
        </is>
      </c>
      <c r="B119" s="2" t="inlineStr">
        <is>
          <t>Yasmin Dias</t>
        </is>
      </c>
      <c r="C119" s="2" t="inlineStr">
        <is>
          <t>Pessoa Física</t>
        </is>
      </c>
      <c r="D119" s="2" t="inlineStr">
        <is>
          <t>Florianópolis</t>
        </is>
      </c>
      <c r="E119" s="2" t="inlineStr">
        <is>
          <t>Sul</t>
        </is>
      </c>
      <c r="F119" s="3" t="n">
        <v>44887</v>
      </c>
    </row>
    <row r="120">
      <c r="A120" s="2" t="inlineStr">
        <is>
          <t>C0119</t>
        </is>
      </c>
      <c r="B120" s="2" t="inlineStr">
        <is>
          <t>André Ribeiro</t>
        </is>
      </c>
      <c r="C120" s="2" t="inlineStr">
        <is>
          <t>Pessoa Física</t>
        </is>
      </c>
      <c r="D120" s="2" t="inlineStr">
        <is>
          <t>Recife</t>
        </is>
      </c>
      <c r="E120" s="2" t="inlineStr">
        <is>
          <t>Nordeste</t>
        </is>
      </c>
      <c r="F120" s="3" t="n">
        <v>45068</v>
      </c>
    </row>
    <row r="121">
      <c r="A121" s="2" t="inlineStr">
        <is>
          <t>C0120</t>
        </is>
      </c>
      <c r="B121" s="2" t="inlineStr">
        <is>
          <t>Isabela Barbosa</t>
        </is>
      </c>
      <c r="C121" s="2" t="inlineStr">
        <is>
          <t>Pessoa Física</t>
        </is>
      </c>
      <c r="D121" s="2" t="inlineStr">
        <is>
          <t>Salvador</t>
        </is>
      </c>
      <c r="E121" s="2" t="inlineStr">
        <is>
          <t>Nordeste</t>
        </is>
      </c>
      <c r="F121" s="3" t="n">
        <v>45051</v>
      </c>
    </row>
    <row r="122">
      <c r="A122" s="2" t="inlineStr">
        <is>
          <t>C0121</t>
        </is>
      </c>
      <c r="B122" s="2" t="inlineStr">
        <is>
          <t>Paula Oliveira</t>
        </is>
      </c>
      <c r="C122" s="2" t="inlineStr">
        <is>
          <t>Pequena Empresa</t>
        </is>
      </c>
      <c r="D122" s="2" t="inlineStr">
        <is>
          <t>Curitiba</t>
        </is>
      </c>
      <c r="E122" s="2" t="inlineStr">
        <is>
          <t>Sul</t>
        </is>
      </c>
      <c r="F122" s="3" t="n">
        <v>45042</v>
      </c>
    </row>
    <row r="123">
      <c r="A123" s="2" t="inlineStr">
        <is>
          <t>C0122</t>
        </is>
      </c>
      <c r="B123" s="2" t="inlineStr">
        <is>
          <t>Larissa Araújo</t>
        </is>
      </c>
      <c r="C123" s="2" t="inlineStr">
        <is>
          <t>Média Empresa</t>
        </is>
      </c>
      <c r="D123" s="2" t="inlineStr">
        <is>
          <t>Curitiba</t>
        </is>
      </c>
      <c r="E123" s="2" t="inlineStr">
        <is>
          <t>Sul</t>
        </is>
      </c>
      <c r="F123" s="3" t="n">
        <v>44727</v>
      </c>
    </row>
    <row r="124">
      <c r="A124" s="2" t="inlineStr">
        <is>
          <t>C0123</t>
        </is>
      </c>
      <c r="B124" s="2" t="inlineStr">
        <is>
          <t>Eduarda Almeida</t>
        </is>
      </c>
      <c r="C124" s="2" t="inlineStr">
        <is>
          <t>Pessoa Física</t>
        </is>
      </c>
      <c r="D124" s="2" t="inlineStr">
        <is>
          <t>Belo Horizonte</t>
        </is>
      </c>
      <c r="E124" s="2" t="inlineStr">
        <is>
          <t>Sudeste</t>
        </is>
      </c>
      <c r="F124" s="3" t="n">
        <v>44874</v>
      </c>
    </row>
    <row r="125">
      <c r="A125" s="2" t="inlineStr">
        <is>
          <t>C0124</t>
        </is>
      </c>
      <c r="B125" s="2" t="inlineStr">
        <is>
          <t>Gabriela Oliveira</t>
        </is>
      </c>
      <c r="C125" s="2" t="inlineStr">
        <is>
          <t>Pessoa Física</t>
        </is>
      </c>
      <c r="D125" s="2" t="inlineStr">
        <is>
          <t>Recife</t>
        </is>
      </c>
      <c r="E125" s="2" t="inlineStr">
        <is>
          <t>Nordeste</t>
        </is>
      </c>
      <c r="F125" s="3" t="n">
        <v>45239</v>
      </c>
    </row>
    <row r="126">
      <c r="A126" s="2" t="inlineStr">
        <is>
          <t>C0125</t>
        </is>
      </c>
      <c r="B126" s="2" t="inlineStr">
        <is>
          <t>Paula Gomes</t>
        </is>
      </c>
      <c r="C126" s="2" t="inlineStr">
        <is>
          <t>Pessoa Física</t>
        </is>
      </c>
      <c r="D126" s="2" t="inlineStr">
        <is>
          <t>Goiânia</t>
        </is>
      </c>
      <c r="E126" s="2" t="inlineStr">
        <is>
          <t>Centro-Oeste</t>
        </is>
      </c>
      <c r="F126" s="3" t="n">
        <v>45422</v>
      </c>
    </row>
    <row r="127">
      <c r="A127" s="2" t="inlineStr">
        <is>
          <t>C0126</t>
        </is>
      </c>
      <c r="B127" s="2" t="inlineStr">
        <is>
          <t>Júlia Silva</t>
        </is>
      </c>
      <c r="C127" s="2" t="inlineStr">
        <is>
          <t>Média Empresa</t>
        </is>
      </c>
      <c r="D127" s="2" t="inlineStr">
        <is>
          <t>Florianópolis</t>
        </is>
      </c>
      <c r="E127" s="2" t="inlineStr">
        <is>
          <t>Sul</t>
        </is>
      </c>
      <c r="F127" s="3" t="n">
        <v>45741</v>
      </c>
    </row>
    <row r="128">
      <c r="A128" s="2" t="inlineStr">
        <is>
          <t>C0127</t>
        </is>
      </c>
      <c r="B128" s="2" t="inlineStr">
        <is>
          <t>Rafael Silva</t>
        </is>
      </c>
      <c r="C128" s="2" t="inlineStr">
        <is>
          <t>Grande Empresa</t>
        </is>
      </c>
      <c r="D128" s="2" t="inlineStr">
        <is>
          <t>Florianópolis</t>
        </is>
      </c>
      <c r="E128" s="2" t="inlineStr">
        <is>
          <t>Sul</t>
        </is>
      </c>
      <c r="F128" s="3" t="n">
        <v>45173</v>
      </c>
    </row>
    <row r="129">
      <c r="A129" s="2" t="inlineStr">
        <is>
          <t>C0128</t>
        </is>
      </c>
      <c r="B129" s="2" t="inlineStr">
        <is>
          <t>Natália Gomes</t>
        </is>
      </c>
      <c r="C129" s="2" t="inlineStr">
        <is>
          <t>Pessoa Física</t>
        </is>
      </c>
      <c r="D129" s="2" t="inlineStr">
        <is>
          <t>Fortaleza</t>
        </is>
      </c>
      <c r="E129" s="2" t="inlineStr">
        <is>
          <t>Nordeste</t>
        </is>
      </c>
      <c r="F129" s="3" t="n">
        <v>45680</v>
      </c>
    </row>
    <row r="130">
      <c r="A130" s="2" t="inlineStr">
        <is>
          <t>C0129</t>
        </is>
      </c>
      <c r="B130" s="2" t="inlineStr">
        <is>
          <t>Lucas Almeida</t>
        </is>
      </c>
      <c r="C130" s="2" t="inlineStr">
        <is>
          <t>Pessoa Física</t>
        </is>
      </c>
      <c r="D130" s="2" t="inlineStr">
        <is>
          <t>Fortaleza</t>
        </is>
      </c>
      <c r="E130" s="2" t="inlineStr">
        <is>
          <t>Nordeste</t>
        </is>
      </c>
      <c r="F130" s="3" t="n">
        <v>45120</v>
      </c>
    </row>
    <row r="131">
      <c r="A131" s="2" t="inlineStr">
        <is>
          <t>C0130</t>
        </is>
      </c>
      <c r="B131" s="2" t="inlineStr">
        <is>
          <t>Rafael Silva</t>
        </is>
      </c>
      <c r="C131" s="2" t="inlineStr">
        <is>
          <t>Pessoa Física</t>
        </is>
      </c>
      <c r="D131" s="2" t="inlineStr">
        <is>
          <t>Florianópolis</t>
        </is>
      </c>
      <c r="E131" s="2" t="inlineStr">
        <is>
          <t>Sul</t>
        </is>
      </c>
      <c r="F131" s="3" t="n">
        <v>45390</v>
      </c>
    </row>
    <row r="132">
      <c r="A132" s="2" t="inlineStr">
        <is>
          <t>C0131</t>
        </is>
      </c>
      <c r="B132" s="2" t="inlineStr">
        <is>
          <t>Felipe Martins</t>
        </is>
      </c>
      <c r="C132" s="2" t="inlineStr">
        <is>
          <t>Média Empresa</t>
        </is>
      </c>
      <c r="D132" s="2" t="inlineStr">
        <is>
          <t>Recife</t>
        </is>
      </c>
      <c r="E132" s="2" t="inlineStr">
        <is>
          <t>Nordeste</t>
        </is>
      </c>
      <c r="F132" s="3" t="n">
        <v>45836</v>
      </c>
    </row>
    <row r="133">
      <c r="A133" s="2" t="inlineStr">
        <is>
          <t>C0132</t>
        </is>
      </c>
      <c r="B133" s="2" t="inlineStr">
        <is>
          <t>Ana Carvalho</t>
        </is>
      </c>
      <c r="C133" s="2" t="inlineStr">
        <is>
          <t>Pequena Empresa</t>
        </is>
      </c>
      <c r="D133" s="2" t="inlineStr">
        <is>
          <t>Goiânia</t>
        </is>
      </c>
      <c r="E133" s="2" t="inlineStr">
        <is>
          <t>Centro-Oeste</t>
        </is>
      </c>
      <c r="F133" s="3" t="n">
        <v>44617</v>
      </c>
    </row>
    <row r="134">
      <c r="A134" s="2" t="inlineStr">
        <is>
          <t>C0133</t>
        </is>
      </c>
      <c r="B134" s="2" t="inlineStr">
        <is>
          <t>Mariana Gomes</t>
        </is>
      </c>
      <c r="C134" s="2" t="inlineStr">
        <is>
          <t>Pessoa Física</t>
        </is>
      </c>
      <c r="D134" s="2" t="inlineStr">
        <is>
          <t>Rio de Janeiro</t>
        </is>
      </c>
      <c r="E134" s="2" t="inlineStr">
        <is>
          <t>Sudeste</t>
        </is>
      </c>
      <c r="F134" s="3" t="n">
        <v>45507</v>
      </c>
    </row>
    <row r="135">
      <c r="A135" s="2" t="inlineStr">
        <is>
          <t>C0134</t>
        </is>
      </c>
      <c r="B135" s="2" t="inlineStr">
        <is>
          <t>Bruno Nascimento</t>
        </is>
      </c>
      <c r="C135" s="2" t="inlineStr">
        <is>
          <t>Pessoa Física</t>
        </is>
      </c>
      <c r="D135" s="2" t="inlineStr">
        <is>
          <t>Belo Horizonte</t>
        </is>
      </c>
      <c r="E135" s="2" t="inlineStr">
        <is>
          <t>Sudeste</t>
        </is>
      </c>
      <c r="F135" s="3" t="n">
        <v>44995</v>
      </c>
    </row>
    <row r="136">
      <c r="A136" s="2" t="inlineStr">
        <is>
          <t>C0135</t>
        </is>
      </c>
      <c r="B136" s="2" t="inlineStr">
        <is>
          <t>Larissa Araújo</t>
        </is>
      </c>
      <c r="C136" s="2" t="inlineStr">
        <is>
          <t>Pequena Empresa</t>
        </is>
      </c>
      <c r="D136" s="2" t="inlineStr">
        <is>
          <t>Brasília</t>
        </is>
      </c>
      <c r="E136" s="2" t="inlineStr">
        <is>
          <t>Centro-Oeste</t>
        </is>
      </c>
      <c r="F136" s="3" t="n">
        <v>45338</v>
      </c>
    </row>
    <row r="137">
      <c r="A137" s="2" t="inlineStr">
        <is>
          <t>C0136</t>
        </is>
      </c>
      <c r="B137" s="2" t="inlineStr">
        <is>
          <t>Luiza Gomes</t>
        </is>
      </c>
      <c r="C137" s="2" t="inlineStr">
        <is>
          <t>Pessoa Física</t>
        </is>
      </c>
      <c r="D137" s="2" t="inlineStr">
        <is>
          <t>Curitiba</t>
        </is>
      </c>
      <c r="E137" s="2" t="inlineStr">
        <is>
          <t>Sul</t>
        </is>
      </c>
      <c r="F137" s="3" t="n">
        <v>44729</v>
      </c>
    </row>
    <row r="138">
      <c r="A138" s="2" t="inlineStr">
        <is>
          <t>C0137</t>
        </is>
      </c>
      <c r="B138" s="2" t="inlineStr">
        <is>
          <t>Ana Dias</t>
        </is>
      </c>
      <c r="C138" s="2" t="inlineStr">
        <is>
          <t>Pessoa Física</t>
        </is>
      </c>
      <c r="D138" s="2" t="inlineStr">
        <is>
          <t>Brasília</t>
        </is>
      </c>
      <c r="E138" s="2" t="inlineStr">
        <is>
          <t>Centro-Oeste</t>
        </is>
      </c>
      <c r="F138" s="3" t="n">
        <v>45278</v>
      </c>
    </row>
    <row r="139">
      <c r="A139" s="2" t="inlineStr">
        <is>
          <t>C0138</t>
        </is>
      </c>
      <c r="B139" s="2" t="inlineStr">
        <is>
          <t>Mariana Oliveira</t>
        </is>
      </c>
      <c r="C139" s="2" t="inlineStr">
        <is>
          <t>Média Empresa</t>
        </is>
      </c>
      <c r="D139" s="2" t="inlineStr">
        <is>
          <t>Campinas</t>
        </is>
      </c>
      <c r="E139" s="2" t="inlineStr">
        <is>
          <t>Sudeste</t>
        </is>
      </c>
      <c r="F139" s="3" t="n">
        <v>44644</v>
      </c>
    </row>
    <row r="140">
      <c r="A140" s="2" t="inlineStr">
        <is>
          <t>C0139</t>
        </is>
      </c>
      <c r="B140" s="2" t="inlineStr">
        <is>
          <t>Ana Almeida</t>
        </is>
      </c>
      <c r="C140" s="2" t="inlineStr">
        <is>
          <t>Pessoa Física</t>
        </is>
      </c>
      <c r="D140" s="2" t="inlineStr">
        <is>
          <t>Fortaleza</t>
        </is>
      </c>
      <c r="E140" s="2" t="inlineStr">
        <is>
          <t>Nordeste</t>
        </is>
      </c>
      <c r="F140" s="3" t="n">
        <v>44603</v>
      </c>
    </row>
    <row r="141">
      <c r="A141" s="2" t="inlineStr">
        <is>
          <t>C0140</t>
        </is>
      </c>
      <c r="B141" s="2" t="inlineStr">
        <is>
          <t>Eduarda Almeida</t>
        </is>
      </c>
      <c r="C141" s="2" t="inlineStr">
        <is>
          <t>Pessoa Física</t>
        </is>
      </c>
      <c r="D141" s="2" t="inlineStr">
        <is>
          <t>Campo Grande</t>
        </is>
      </c>
      <c r="E141" s="2" t="inlineStr">
        <is>
          <t>Centro-Oeste</t>
        </is>
      </c>
      <c r="F141" s="3" t="n">
        <v>44796</v>
      </c>
    </row>
    <row r="142">
      <c r="A142" s="2" t="inlineStr">
        <is>
          <t>C0141</t>
        </is>
      </c>
      <c r="B142" s="2" t="inlineStr">
        <is>
          <t>Gabriela Martins</t>
        </is>
      </c>
      <c r="C142" s="2" t="inlineStr">
        <is>
          <t>Pequena Empresa</t>
        </is>
      </c>
      <c r="D142" s="2" t="inlineStr">
        <is>
          <t>Campo Grande</t>
        </is>
      </c>
      <c r="E142" s="2" t="inlineStr">
        <is>
          <t>Centro-Oeste</t>
        </is>
      </c>
      <c r="F142" s="3" t="n">
        <v>45317</v>
      </c>
    </row>
    <row r="143">
      <c r="A143" s="2" t="inlineStr">
        <is>
          <t>C0142</t>
        </is>
      </c>
      <c r="B143" s="2" t="inlineStr">
        <is>
          <t>Lucas Souza</t>
        </is>
      </c>
      <c r="C143" s="2" t="inlineStr">
        <is>
          <t>Pequena Empresa</t>
        </is>
      </c>
      <c r="D143" s="2" t="inlineStr">
        <is>
          <t>Belo Horizonte</t>
        </is>
      </c>
      <c r="E143" s="2" t="inlineStr">
        <is>
          <t>Sudeste</t>
        </is>
      </c>
      <c r="F143" s="3" t="n">
        <v>44897</v>
      </c>
    </row>
    <row r="144">
      <c r="A144" s="2" t="inlineStr">
        <is>
          <t>C0143</t>
        </is>
      </c>
      <c r="B144" s="2" t="inlineStr">
        <is>
          <t>Daniel Silva</t>
        </is>
      </c>
      <c r="C144" s="2" t="inlineStr">
        <is>
          <t>Grande Empresa</t>
        </is>
      </c>
      <c r="D144" s="2" t="inlineStr">
        <is>
          <t>Curitiba</t>
        </is>
      </c>
      <c r="E144" s="2" t="inlineStr">
        <is>
          <t>Sul</t>
        </is>
      </c>
      <c r="F144" s="3" t="n">
        <v>45741</v>
      </c>
    </row>
    <row r="145">
      <c r="A145" s="2" t="inlineStr">
        <is>
          <t>C0144</t>
        </is>
      </c>
      <c r="B145" s="2" t="inlineStr">
        <is>
          <t>Gustavo Carvalho</t>
        </is>
      </c>
      <c r="C145" s="2" t="inlineStr">
        <is>
          <t>Pessoa Física</t>
        </is>
      </c>
      <c r="D145" s="2" t="inlineStr">
        <is>
          <t>Salvador</t>
        </is>
      </c>
      <c r="E145" s="2" t="inlineStr">
        <is>
          <t>Nordeste</t>
        </is>
      </c>
      <c r="F145" s="3" t="n">
        <v>44968</v>
      </c>
    </row>
    <row r="146">
      <c r="A146" s="2" t="inlineStr">
        <is>
          <t>C0145</t>
        </is>
      </c>
      <c r="B146" s="2" t="inlineStr">
        <is>
          <t>Vitória Almeida</t>
        </is>
      </c>
      <c r="C146" s="2" t="inlineStr">
        <is>
          <t>Pessoa Física</t>
        </is>
      </c>
      <c r="D146" s="2" t="inlineStr">
        <is>
          <t>Rio de Janeiro</t>
        </is>
      </c>
      <c r="E146" s="2" t="inlineStr">
        <is>
          <t>Sudeste</t>
        </is>
      </c>
      <c r="F146" s="3" t="n">
        <v>45179</v>
      </c>
    </row>
    <row r="147">
      <c r="A147" s="2" t="inlineStr">
        <is>
          <t>C0146</t>
        </is>
      </c>
      <c r="B147" s="2" t="inlineStr">
        <is>
          <t>Lucas Souza</t>
        </is>
      </c>
      <c r="C147" s="2" t="inlineStr">
        <is>
          <t>Média Empresa</t>
        </is>
      </c>
      <c r="D147" s="2" t="inlineStr">
        <is>
          <t>Salvador</t>
        </is>
      </c>
      <c r="E147" s="2" t="inlineStr">
        <is>
          <t>Nordeste</t>
        </is>
      </c>
      <c r="F147" s="3" t="n">
        <v>45721</v>
      </c>
    </row>
    <row r="148">
      <c r="A148" s="2" t="inlineStr">
        <is>
          <t>C0147</t>
        </is>
      </c>
      <c r="B148" s="2" t="inlineStr">
        <is>
          <t>Bruno Fernandes</t>
        </is>
      </c>
      <c r="C148" s="2" t="inlineStr">
        <is>
          <t>Pessoa Física</t>
        </is>
      </c>
      <c r="D148" s="2" t="inlineStr">
        <is>
          <t>Fortaleza</t>
        </is>
      </c>
      <c r="E148" s="2" t="inlineStr">
        <is>
          <t>Nordeste</t>
        </is>
      </c>
      <c r="F148" s="3" t="n">
        <v>45320</v>
      </c>
    </row>
    <row r="149">
      <c r="A149" s="2" t="inlineStr">
        <is>
          <t>C0148</t>
        </is>
      </c>
      <c r="B149" s="2" t="inlineStr">
        <is>
          <t>Sofia Araújo</t>
        </is>
      </c>
      <c r="C149" s="2" t="inlineStr">
        <is>
          <t>Pessoa Física</t>
        </is>
      </c>
      <c r="D149" s="2" t="inlineStr">
        <is>
          <t>Rio de Janeiro</t>
        </is>
      </c>
      <c r="E149" s="2" t="inlineStr">
        <is>
          <t>Sudeste</t>
        </is>
      </c>
      <c r="F149" s="3" t="n">
        <v>45422</v>
      </c>
    </row>
    <row r="150">
      <c r="A150" s="2" t="inlineStr">
        <is>
          <t>C0149</t>
        </is>
      </c>
      <c r="B150" s="2" t="inlineStr">
        <is>
          <t>Daniel Gomes</t>
        </is>
      </c>
      <c r="C150" s="2" t="inlineStr">
        <is>
          <t>Grande Empresa</t>
        </is>
      </c>
      <c r="D150" s="2" t="inlineStr">
        <is>
          <t>Brasília</t>
        </is>
      </c>
      <c r="E150" s="2" t="inlineStr">
        <is>
          <t>Centro-Oeste</t>
        </is>
      </c>
      <c r="F150" s="3" t="n">
        <v>45503</v>
      </c>
    </row>
    <row r="151">
      <c r="A151" s="2" t="inlineStr">
        <is>
          <t>C0150</t>
        </is>
      </c>
      <c r="B151" s="2" t="inlineStr">
        <is>
          <t>Eduarda Gomes</t>
        </is>
      </c>
      <c r="C151" s="2" t="inlineStr">
        <is>
          <t>Pessoa Física</t>
        </is>
      </c>
      <c r="D151" s="2" t="inlineStr">
        <is>
          <t>Recife</t>
        </is>
      </c>
      <c r="E151" s="2" t="inlineStr">
        <is>
          <t>Nordeste</t>
        </is>
      </c>
      <c r="F151" s="3" t="n">
        <v>45630</v>
      </c>
    </row>
    <row r="152">
      <c r="A152" s="2" t="inlineStr">
        <is>
          <t>C0151</t>
        </is>
      </c>
      <c r="B152" s="2" t="inlineStr">
        <is>
          <t>Isabela Dias</t>
        </is>
      </c>
      <c r="C152" s="2" t="inlineStr">
        <is>
          <t>Pequena Empresa</t>
        </is>
      </c>
      <c r="D152" s="2" t="inlineStr">
        <is>
          <t>Salvador</t>
        </is>
      </c>
      <c r="E152" s="2" t="inlineStr">
        <is>
          <t>Nordeste</t>
        </is>
      </c>
      <c r="F152" s="3" t="n">
        <v>45514</v>
      </c>
    </row>
    <row r="153">
      <c r="A153" s="2" t="inlineStr">
        <is>
          <t>C0152</t>
        </is>
      </c>
      <c r="B153" s="2" t="inlineStr">
        <is>
          <t>Yasmin Nascimento</t>
        </is>
      </c>
      <c r="C153" s="2" t="inlineStr">
        <is>
          <t>Pessoa Física</t>
        </is>
      </c>
      <c r="D153" s="2" t="inlineStr">
        <is>
          <t>Florianópolis</t>
        </is>
      </c>
      <c r="E153" s="2" t="inlineStr">
        <is>
          <t>Sul</t>
        </is>
      </c>
      <c r="F153" s="3" t="n">
        <v>45064</v>
      </c>
    </row>
    <row r="154">
      <c r="A154" s="2" t="inlineStr">
        <is>
          <t>C0153</t>
        </is>
      </c>
      <c r="B154" s="2" t="inlineStr">
        <is>
          <t>Isabela Martins</t>
        </is>
      </c>
      <c r="C154" s="2" t="inlineStr">
        <is>
          <t>Pessoa Física</t>
        </is>
      </c>
      <c r="D154" s="2" t="inlineStr">
        <is>
          <t>Rio de Janeiro</t>
        </is>
      </c>
      <c r="E154" s="2" t="inlineStr">
        <is>
          <t>Sudeste</t>
        </is>
      </c>
      <c r="F154" s="3" t="n">
        <v>45513</v>
      </c>
    </row>
    <row r="155">
      <c r="A155" s="2" t="inlineStr">
        <is>
          <t>C0154</t>
        </is>
      </c>
      <c r="B155" s="2" t="inlineStr">
        <is>
          <t>Lucas Carvalho</t>
        </is>
      </c>
      <c r="C155" s="2" t="inlineStr">
        <is>
          <t>Pessoa Física</t>
        </is>
      </c>
      <c r="D155" s="2" t="inlineStr">
        <is>
          <t>Campo Grande</t>
        </is>
      </c>
      <c r="E155" s="2" t="inlineStr">
        <is>
          <t>Centro-Oeste</t>
        </is>
      </c>
      <c r="F155" s="3" t="n">
        <v>45574</v>
      </c>
    </row>
    <row r="156">
      <c r="A156" s="2" t="inlineStr">
        <is>
          <t>C0155</t>
        </is>
      </c>
      <c r="B156" s="2" t="inlineStr">
        <is>
          <t>Felipe Ribeiro</t>
        </is>
      </c>
      <c r="C156" s="2" t="inlineStr">
        <is>
          <t>Pessoa Física</t>
        </is>
      </c>
      <c r="D156" s="2" t="inlineStr">
        <is>
          <t>Porto Alegre</t>
        </is>
      </c>
      <c r="E156" s="2" t="inlineStr">
        <is>
          <t>Sul</t>
        </is>
      </c>
      <c r="F156" s="3" t="n">
        <v>45091</v>
      </c>
    </row>
    <row r="157">
      <c r="A157" s="2" t="inlineStr">
        <is>
          <t>C0156</t>
        </is>
      </c>
      <c r="B157" s="2" t="inlineStr">
        <is>
          <t>Isabela Nascimento</t>
        </is>
      </c>
      <c r="C157" s="2" t="inlineStr">
        <is>
          <t>Pessoa Física</t>
        </is>
      </c>
      <c r="D157" s="2" t="inlineStr">
        <is>
          <t>Porto Alegre</t>
        </is>
      </c>
      <c r="E157" s="2" t="inlineStr">
        <is>
          <t>Sul</t>
        </is>
      </c>
      <c r="F157" s="3" t="n">
        <v>45620</v>
      </c>
    </row>
    <row r="158">
      <c r="A158" s="2" t="inlineStr">
        <is>
          <t>C0157</t>
        </is>
      </c>
      <c r="B158" s="2" t="inlineStr">
        <is>
          <t>Camila Almeida</t>
        </is>
      </c>
      <c r="C158" s="2" t="inlineStr">
        <is>
          <t>Pequena Empresa</t>
        </is>
      </c>
      <c r="D158" s="2" t="inlineStr">
        <is>
          <t>Campinas</t>
        </is>
      </c>
      <c r="E158" s="2" t="inlineStr">
        <is>
          <t>Sudeste</t>
        </is>
      </c>
      <c r="F158" s="3" t="n">
        <v>45562</v>
      </c>
    </row>
    <row r="159">
      <c r="A159" s="2" t="inlineStr">
        <is>
          <t>C0158</t>
        </is>
      </c>
      <c r="B159" s="2" t="inlineStr">
        <is>
          <t>Luiza Almeida</t>
        </is>
      </c>
      <c r="C159" s="2" t="inlineStr">
        <is>
          <t>Pequena Empresa</t>
        </is>
      </c>
      <c r="D159" s="2" t="inlineStr">
        <is>
          <t>Goiânia</t>
        </is>
      </c>
      <c r="E159" s="2" t="inlineStr">
        <is>
          <t>Centro-Oeste</t>
        </is>
      </c>
      <c r="F159" s="3" t="n">
        <v>45567</v>
      </c>
    </row>
    <row r="160">
      <c r="A160" s="2" t="inlineStr">
        <is>
          <t>C0159</t>
        </is>
      </c>
      <c r="B160" s="2" t="inlineStr">
        <is>
          <t>Miguel Silva</t>
        </is>
      </c>
      <c r="C160" s="2" t="inlineStr">
        <is>
          <t>Pessoa Física</t>
        </is>
      </c>
      <c r="D160" s="2" t="inlineStr">
        <is>
          <t>Brasília</t>
        </is>
      </c>
      <c r="E160" s="2" t="inlineStr">
        <is>
          <t>Centro-Oeste</t>
        </is>
      </c>
      <c r="F160" s="3" t="n">
        <v>45015</v>
      </c>
    </row>
    <row r="161">
      <c r="A161" s="2" t="inlineStr">
        <is>
          <t>C0160</t>
        </is>
      </c>
      <c r="B161" s="2" t="inlineStr">
        <is>
          <t>Beatriz Almeida</t>
        </is>
      </c>
      <c r="C161" s="2" t="inlineStr">
        <is>
          <t>Pessoa Física</t>
        </is>
      </c>
      <c r="D161" s="2" t="inlineStr">
        <is>
          <t>Florianópolis</t>
        </is>
      </c>
      <c r="E161" s="2" t="inlineStr">
        <is>
          <t>Sul</t>
        </is>
      </c>
      <c r="F161" s="3" t="n">
        <v>45753</v>
      </c>
    </row>
    <row r="162">
      <c r="A162" s="2" t="inlineStr">
        <is>
          <t>C0161</t>
        </is>
      </c>
      <c r="B162" s="2" t="inlineStr">
        <is>
          <t>Rafael Dias</t>
        </is>
      </c>
      <c r="C162" s="2" t="inlineStr">
        <is>
          <t>Pessoa Física</t>
        </is>
      </c>
      <c r="D162" s="2" t="inlineStr">
        <is>
          <t>Porto Alegre</t>
        </is>
      </c>
      <c r="E162" s="2" t="inlineStr">
        <is>
          <t>Sul</t>
        </is>
      </c>
      <c r="F162" s="3" t="n">
        <v>45433</v>
      </c>
    </row>
    <row r="163">
      <c r="A163" s="2" t="inlineStr">
        <is>
          <t>C0162</t>
        </is>
      </c>
      <c r="B163" s="2" t="inlineStr">
        <is>
          <t>Thiago Araújo</t>
        </is>
      </c>
      <c r="C163" s="2" t="inlineStr">
        <is>
          <t>Pessoa Física</t>
        </is>
      </c>
      <c r="D163" s="2" t="inlineStr">
        <is>
          <t>Recife</t>
        </is>
      </c>
      <c r="E163" s="2" t="inlineStr">
        <is>
          <t>Nordeste</t>
        </is>
      </c>
      <c r="F163" s="3" t="n">
        <v>45491</v>
      </c>
    </row>
    <row r="164">
      <c r="A164" s="2" t="inlineStr">
        <is>
          <t>C0163</t>
        </is>
      </c>
      <c r="B164" s="2" t="inlineStr">
        <is>
          <t>João Nascimento</t>
        </is>
      </c>
      <c r="C164" s="2" t="inlineStr">
        <is>
          <t>Pessoa Física</t>
        </is>
      </c>
      <c r="D164" s="2" t="inlineStr">
        <is>
          <t>Curitiba</t>
        </is>
      </c>
      <c r="E164" s="2" t="inlineStr">
        <is>
          <t>Sul</t>
        </is>
      </c>
      <c r="F164" s="3" t="n">
        <v>44956</v>
      </c>
    </row>
    <row r="165">
      <c r="A165" s="2" t="inlineStr">
        <is>
          <t>C0164</t>
        </is>
      </c>
      <c r="B165" s="2" t="inlineStr">
        <is>
          <t>Daniel Dias</t>
        </is>
      </c>
      <c r="C165" s="2" t="inlineStr">
        <is>
          <t>Grande Empresa</t>
        </is>
      </c>
      <c r="D165" s="2" t="inlineStr">
        <is>
          <t>Porto Alegre</t>
        </is>
      </c>
      <c r="E165" s="2" t="inlineStr">
        <is>
          <t>Sul</t>
        </is>
      </c>
      <c r="F165" s="3" t="n">
        <v>44941</v>
      </c>
    </row>
    <row r="166">
      <c r="A166" s="2" t="inlineStr">
        <is>
          <t>C0165</t>
        </is>
      </c>
      <c r="B166" s="2" t="inlineStr">
        <is>
          <t>Gabriela Ribeiro</t>
        </is>
      </c>
      <c r="C166" s="2" t="inlineStr">
        <is>
          <t>Pessoa Física</t>
        </is>
      </c>
      <c r="D166" s="2" t="inlineStr">
        <is>
          <t>Campinas</t>
        </is>
      </c>
      <c r="E166" s="2" t="inlineStr">
        <is>
          <t>Sudeste</t>
        </is>
      </c>
      <c r="F166" s="3" t="n">
        <v>45769</v>
      </c>
    </row>
    <row r="167">
      <c r="A167" s="2" t="inlineStr">
        <is>
          <t>C0166</t>
        </is>
      </c>
      <c r="B167" s="2" t="inlineStr">
        <is>
          <t>Sofia Lima</t>
        </is>
      </c>
      <c r="C167" s="2" t="inlineStr">
        <is>
          <t>Grande Empresa</t>
        </is>
      </c>
      <c r="D167" s="2" t="inlineStr">
        <is>
          <t>Fortaleza</t>
        </is>
      </c>
      <c r="E167" s="2" t="inlineStr">
        <is>
          <t>Nordeste</t>
        </is>
      </c>
      <c r="F167" s="3" t="n">
        <v>44959</v>
      </c>
    </row>
    <row r="168">
      <c r="A168" s="2" t="inlineStr">
        <is>
          <t>C0167</t>
        </is>
      </c>
      <c r="B168" s="2" t="inlineStr">
        <is>
          <t>Henrique Fernandes</t>
        </is>
      </c>
      <c r="C168" s="2" t="inlineStr">
        <is>
          <t>Pessoa Física</t>
        </is>
      </c>
      <c r="D168" s="2" t="inlineStr">
        <is>
          <t>Curitiba</t>
        </is>
      </c>
      <c r="E168" s="2" t="inlineStr">
        <is>
          <t>Sul</t>
        </is>
      </c>
      <c r="F168" s="3" t="n">
        <v>44590</v>
      </c>
    </row>
    <row r="169">
      <c r="A169" s="2" t="inlineStr">
        <is>
          <t>C0168</t>
        </is>
      </c>
      <c r="B169" s="2" t="inlineStr">
        <is>
          <t>Thiago Pereira</t>
        </is>
      </c>
      <c r="C169" s="2" t="inlineStr">
        <is>
          <t>Pessoa Física</t>
        </is>
      </c>
      <c r="D169" s="2" t="inlineStr">
        <is>
          <t>Recife</t>
        </is>
      </c>
      <c r="E169" s="2" t="inlineStr">
        <is>
          <t>Nordeste</t>
        </is>
      </c>
      <c r="F169" s="3" t="n">
        <v>44673</v>
      </c>
    </row>
    <row r="170">
      <c r="A170" s="2" t="inlineStr">
        <is>
          <t>C0169</t>
        </is>
      </c>
      <c r="B170" s="2" t="inlineStr">
        <is>
          <t>João Pereira</t>
        </is>
      </c>
      <c r="C170" s="2" t="inlineStr">
        <is>
          <t>Pequena Empresa</t>
        </is>
      </c>
      <c r="D170" s="2" t="inlineStr">
        <is>
          <t>Goiânia</t>
        </is>
      </c>
      <c r="E170" s="2" t="inlineStr">
        <is>
          <t>Centro-Oeste</t>
        </is>
      </c>
      <c r="F170" s="3" t="n">
        <v>45567</v>
      </c>
    </row>
    <row r="171">
      <c r="A171" s="2" t="inlineStr">
        <is>
          <t>C0170</t>
        </is>
      </c>
      <c r="B171" s="2" t="inlineStr">
        <is>
          <t>André Silva</t>
        </is>
      </c>
      <c r="C171" s="2" t="inlineStr">
        <is>
          <t>Pessoa Física</t>
        </is>
      </c>
      <c r="D171" s="2" t="inlineStr">
        <is>
          <t>Rio de Janeiro</t>
        </is>
      </c>
      <c r="E171" s="2" t="inlineStr">
        <is>
          <t>Sudeste</t>
        </is>
      </c>
      <c r="F171" s="3" t="n">
        <v>45523</v>
      </c>
    </row>
    <row r="172">
      <c r="A172" s="2" t="inlineStr">
        <is>
          <t>C0171</t>
        </is>
      </c>
      <c r="B172" s="2" t="inlineStr">
        <is>
          <t>Paula Araújo</t>
        </is>
      </c>
      <c r="C172" s="2" t="inlineStr">
        <is>
          <t>Pessoa Física</t>
        </is>
      </c>
      <c r="D172" s="2" t="inlineStr">
        <is>
          <t>Brasília</t>
        </is>
      </c>
      <c r="E172" s="2" t="inlineStr">
        <is>
          <t>Centro-Oeste</t>
        </is>
      </c>
      <c r="F172" s="3" t="n">
        <v>44667</v>
      </c>
    </row>
    <row r="173">
      <c r="A173" s="2" t="inlineStr">
        <is>
          <t>C0172</t>
        </is>
      </c>
      <c r="B173" s="2" t="inlineStr">
        <is>
          <t>André Ribeiro</t>
        </is>
      </c>
      <c r="C173" s="2" t="inlineStr">
        <is>
          <t>Pessoa Física</t>
        </is>
      </c>
      <c r="D173" s="2" t="inlineStr">
        <is>
          <t>Curitiba</t>
        </is>
      </c>
      <c r="E173" s="2" t="inlineStr">
        <is>
          <t>Sul</t>
        </is>
      </c>
      <c r="F173" s="3" t="n">
        <v>44695</v>
      </c>
    </row>
    <row r="174">
      <c r="A174" s="2" t="inlineStr">
        <is>
          <t>C0173</t>
        </is>
      </c>
      <c r="B174" s="2" t="inlineStr">
        <is>
          <t>Rafael Oliveira</t>
        </is>
      </c>
      <c r="C174" s="2" t="inlineStr">
        <is>
          <t>Pessoa Física</t>
        </is>
      </c>
      <c r="D174" s="2" t="inlineStr">
        <is>
          <t>Florianópolis</t>
        </is>
      </c>
      <c r="E174" s="2" t="inlineStr">
        <is>
          <t>Sul</t>
        </is>
      </c>
      <c r="F174" s="3" t="n">
        <v>44671</v>
      </c>
    </row>
    <row r="175">
      <c r="A175" s="2" t="inlineStr">
        <is>
          <t>C0174</t>
        </is>
      </c>
      <c r="B175" s="2" t="inlineStr">
        <is>
          <t>Eduarda Lima</t>
        </is>
      </c>
      <c r="C175" s="2" t="inlineStr">
        <is>
          <t>Pessoa Física</t>
        </is>
      </c>
      <c r="D175" s="2" t="inlineStr">
        <is>
          <t>Belo Horizonte</t>
        </is>
      </c>
      <c r="E175" s="2" t="inlineStr">
        <is>
          <t>Sudeste</t>
        </is>
      </c>
      <c r="F175" s="3" t="n">
        <v>45070</v>
      </c>
    </row>
    <row r="176">
      <c r="A176" s="2" t="inlineStr">
        <is>
          <t>C0175</t>
        </is>
      </c>
      <c r="B176" s="2" t="inlineStr">
        <is>
          <t>Thiago Gomes</t>
        </is>
      </c>
      <c r="C176" s="2" t="inlineStr">
        <is>
          <t>Pequena Empresa</t>
        </is>
      </c>
      <c r="D176" s="2" t="inlineStr">
        <is>
          <t>Rio de Janeiro</t>
        </is>
      </c>
      <c r="E176" s="2" t="inlineStr">
        <is>
          <t>Sudeste</t>
        </is>
      </c>
      <c r="F176" s="3" t="n">
        <v>45828</v>
      </c>
    </row>
    <row r="177">
      <c r="A177" s="2" t="inlineStr">
        <is>
          <t>C0176</t>
        </is>
      </c>
      <c r="B177" s="2" t="inlineStr">
        <is>
          <t>Luiza Barbosa</t>
        </is>
      </c>
      <c r="C177" s="2" t="inlineStr">
        <is>
          <t>Pessoa Física</t>
        </is>
      </c>
      <c r="D177" s="2" t="inlineStr">
        <is>
          <t>Campinas</t>
        </is>
      </c>
      <c r="E177" s="2" t="inlineStr">
        <is>
          <t>Sudeste</t>
        </is>
      </c>
      <c r="F177" s="3" t="n">
        <v>45468</v>
      </c>
    </row>
    <row r="178">
      <c r="A178" s="2" t="inlineStr">
        <is>
          <t>C0177</t>
        </is>
      </c>
      <c r="B178" s="2" t="inlineStr">
        <is>
          <t>André Gomes</t>
        </is>
      </c>
      <c r="C178" s="2" t="inlineStr">
        <is>
          <t>Pessoa Física</t>
        </is>
      </c>
      <c r="D178" s="2" t="inlineStr">
        <is>
          <t>Curitiba</t>
        </is>
      </c>
      <c r="E178" s="2" t="inlineStr">
        <is>
          <t>Sul</t>
        </is>
      </c>
      <c r="F178" s="3" t="n">
        <v>45833</v>
      </c>
    </row>
    <row r="179">
      <c r="A179" s="2" t="inlineStr">
        <is>
          <t>C0178</t>
        </is>
      </c>
      <c r="B179" s="2" t="inlineStr">
        <is>
          <t>Lucas Souza</t>
        </is>
      </c>
      <c r="C179" s="2" t="inlineStr">
        <is>
          <t>Grande Empresa</t>
        </is>
      </c>
      <c r="D179" s="2" t="inlineStr">
        <is>
          <t>São Paulo</t>
        </is>
      </c>
      <c r="E179" s="2" t="inlineStr">
        <is>
          <t>Sudeste</t>
        </is>
      </c>
      <c r="F179" s="3" t="n">
        <v>44987</v>
      </c>
    </row>
    <row r="180">
      <c r="A180" s="2" t="inlineStr">
        <is>
          <t>C0179</t>
        </is>
      </c>
      <c r="B180" s="2" t="inlineStr">
        <is>
          <t>Gabriela Nascimento</t>
        </is>
      </c>
      <c r="C180" s="2" t="inlineStr">
        <is>
          <t>Pequena Empresa</t>
        </is>
      </c>
      <c r="D180" s="2" t="inlineStr">
        <is>
          <t>Salvador</t>
        </is>
      </c>
      <c r="E180" s="2" t="inlineStr">
        <is>
          <t>Nordeste</t>
        </is>
      </c>
      <c r="F180" s="3" t="n">
        <v>44883</v>
      </c>
    </row>
    <row r="181">
      <c r="A181" s="2" t="inlineStr">
        <is>
          <t>C0180</t>
        </is>
      </c>
      <c r="B181" s="2" t="inlineStr">
        <is>
          <t>Felipe Dias</t>
        </is>
      </c>
      <c r="C181" s="2" t="inlineStr">
        <is>
          <t>Pessoa Física</t>
        </is>
      </c>
      <c r="D181" s="2" t="inlineStr">
        <is>
          <t>Campinas</t>
        </is>
      </c>
      <c r="E181" s="2" t="inlineStr">
        <is>
          <t>Sudeste</t>
        </is>
      </c>
      <c r="F181" s="3" t="n">
        <v>44567</v>
      </c>
    </row>
    <row r="182">
      <c r="A182" s="2" t="inlineStr">
        <is>
          <t>C0181</t>
        </is>
      </c>
      <c r="B182" s="2" t="inlineStr">
        <is>
          <t>Paula Ribeiro</t>
        </is>
      </c>
      <c r="C182" s="2" t="inlineStr">
        <is>
          <t>Pessoa Física</t>
        </is>
      </c>
      <c r="D182" s="2" t="inlineStr">
        <is>
          <t>Florianópolis</t>
        </is>
      </c>
      <c r="E182" s="2" t="inlineStr">
        <is>
          <t>Sul</t>
        </is>
      </c>
      <c r="F182" s="3" t="n">
        <v>45036</v>
      </c>
    </row>
    <row r="183">
      <c r="A183" s="2" t="inlineStr">
        <is>
          <t>C0182</t>
        </is>
      </c>
      <c r="B183" s="2" t="inlineStr">
        <is>
          <t>Beatriz Lima</t>
        </is>
      </c>
      <c r="C183" s="2" t="inlineStr">
        <is>
          <t>Pequena Empresa</t>
        </is>
      </c>
      <c r="D183" s="2" t="inlineStr">
        <is>
          <t>Curitiba</t>
        </is>
      </c>
      <c r="E183" s="2" t="inlineStr">
        <is>
          <t>Sul</t>
        </is>
      </c>
      <c r="F183" s="3" t="n">
        <v>45491</v>
      </c>
    </row>
    <row r="184">
      <c r="A184" s="2" t="inlineStr">
        <is>
          <t>C0183</t>
        </is>
      </c>
      <c r="B184" s="2" t="inlineStr">
        <is>
          <t>Pedro Almeida</t>
        </is>
      </c>
      <c r="C184" s="2" t="inlineStr">
        <is>
          <t>Grande Empresa</t>
        </is>
      </c>
      <c r="D184" s="2" t="inlineStr">
        <is>
          <t>Rio de Janeiro</t>
        </is>
      </c>
      <c r="E184" s="2" t="inlineStr">
        <is>
          <t>Sudeste</t>
        </is>
      </c>
      <c r="F184" s="3" t="n">
        <v>45842</v>
      </c>
    </row>
    <row r="185">
      <c r="A185" s="2" t="inlineStr">
        <is>
          <t>C0184</t>
        </is>
      </c>
      <c r="B185" s="2" t="inlineStr">
        <is>
          <t>Pedro Rodrigues</t>
        </is>
      </c>
      <c r="C185" s="2" t="inlineStr">
        <is>
          <t>Pessoa Física</t>
        </is>
      </c>
      <c r="D185" s="2" t="inlineStr">
        <is>
          <t>Campo Grande</t>
        </is>
      </c>
      <c r="E185" s="2" t="inlineStr">
        <is>
          <t>Centro-Oeste</t>
        </is>
      </c>
      <c r="F185" s="3" t="n">
        <v>45677</v>
      </c>
    </row>
    <row r="186">
      <c r="A186" s="2" t="inlineStr">
        <is>
          <t>C0185</t>
        </is>
      </c>
      <c r="B186" s="2" t="inlineStr">
        <is>
          <t>Mariana Pereira</t>
        </is>
      </c>
      <c r="C186" s="2" t="inlineStr">
        <is>
          <t>Média Empresa</t>
        </is>
      </c>
      <c r="D186" s="2" t="inlineStr">
        <is>
          <t>Campinas</t>
        </is>
      </c>
      <c r="E186" s="2" t="inlineStr">
        <is>
          <t>Sudeste</t>
        </is>
      </c>
      <c r="F186" s="3" t="n">
        <v>44853</v>
      </c>
    </row>
    <row r="187">
      <c r="A187" s="2" t="inlineStr">
        <is>
          <t>C0186</t>
        </is>
      </c>
      <c r="B187" s="2" t="inlineStr">
        <is>
          <t>Bruno Costa</t>
        </is>
      </c>
      <c r="C187" s="2" t="inlineStr">
        <is>
          <t>Média Empresa</t>
        </is>
      </c>
      <c r="D187" s="2" t="inlineStr">
        <is>
          <t>Rio de Janeiro</t>
        </is>
      </c>
      <c r="E187" s="2" t="inlineStr">
        <is>
          <t>Sudeste</t>
        </is>
      </c>
      <c r="F187" s="3" t="n">
        <v>45780</v>
      </c>
    </row>
    <row r="188">
      <c r="A188" s="2" t="inlineStr">
        <is>
          <t>C0187</t>
        </is>
      </c>
      <c r="B188" s="2" t="inlineStr">
        <is>
          <t>Yasmin Lima</t>
        </is>
      </c>
      <c r="C188" s="2" t="inlineStr">
        <is>
          <t>Pessoa Física</t>
        </is>
      </c>
      <c r="D188" s="2" t="inlineStr">
        <is>
          <t>Recife</t>
        </is>
      </c>
      <c r="E188" s="2" t="inlineStr">
        <is>
          <t>Nordeste</t>
        </is>
      </c>
      <c r="F188" s="3" t="n">
        <v>45521</v>
      </c>
    </row>
    <row r="189">
      <c r="A189" s="2" t="inlineStr">
        <is>
          <t>C0188</t>
        </is>
      </c>
      <c r="B189" s="2" t="inlineStr">
        <is>
          <t>João Carvalho</t>
        </is>
      </c>
      <c r="C189" s="2" t="inlineStr">
        <is>
          <t>Grande Empresa</t>
        </is>
      </c>
      <c r="D189" s="2" t="inlineStr">
        <is>
          <t>Recife</t>
        </is>
      </c>
      <c r="E189" s="2" t="inlineStr">
        <is>
          <t>Nordeste</t>
        </is>
      </c>
      <c r="F189" s="3" t="n">
        <v>45586</v>
      </c>
    </row>
    <row r="190">
      <c r="A190" s="2" t="inlineStr">
        <is>
          <t>C0189</t>
        </is>
      </c>
      <c r="B190" s="2" t="inlineStr">
        <is>
          <t>Rafael Martins</t>
        </is>
      </c>
      <c r="C190" s="2" t="inlineStr">
        <is>
          <t>Pessoa Física</t>
        </is>
      </c>
      <c r="D190" s="2" t="inlineStr">
        <is>
          <t>Goiânia</t>
        </is>
      </c>
      <c r="E190" s="2" t="inlineStr">
        <is>
          <t>Centro-Oeste</t>
        </is>
      </c>
      <c r="F190" s="3" t="n">
        <v>44643</v>
      </c>
    </row>
    <row r="191">
      <c r="A191" s="2" t="inlineStr">
        <is>
          <t>C0190</t>
        </is>
      </c>
      <c r="B191" s="2" t="inlineStr">
        <is>
          <t>Caio Araújo</t>
        </is>
      </c>
      <c r="C191" s="2" t="inlineStr">
        <is>
          <t>Pequena Empresa</t>
        </is>
      </c>
      <c r="D191" s="2" t="inlineStr">
        <is>
          <t>Florianópolis</t>
        </is>
      </c>
      <c r="E191" s="2" t="inlineStr">
        <is>
          <t>Sul</t>
        </is>
      </c>
      <c r="F191" s="3" t="n">
        <v>44614</v>
      </c>
    </row>
    <row r="192">
      <c r="A192" s="2" t="inlineStr">
        <is>
          <t>C0191</t>
        </is>
      </c>
      <c r="B192" s="2" t="inlineStr">
        <is>
          <t>Henrique Silva</t>
        </is>
      </c>
      <c r="C192" s="2" t="inlineStr">
        <is>
          <t>Grande Empresa</t>
        </is>
      </c>
      <c r="D192" s="2" t="inlineStr">
        <is>
          <t>Rio de Janeiro</t>
        </is>
      </c>
      <c r="E192" s="2" t="inlineStr">
        <is>
          <t>Sudeste</t>
        </is>
      </c>
      <c r="F192" s="3" t="n">
        <v>45113</v>
      </c>
    </row>
    <row r="193">
      <c r="A193" s="2" t="inlineStr">
        <is>
          <t>C0192</t>
        </is>
      </c>
      <c r="B193" s="2" t="inlineStr">
        <is>
          <t>Bruno Costa</t>
        </is>
      </c>
      <c r="C193" s="2" t="inlineStr">
        <is>
          <t>Pessoa Física</t>
        </is>
      </c>
      <c r="D193" s="2" t="inlineStr">
        <is>
          <t>Campo Grande</t>
        </is>
      </c>
      <c r="E193" s="2" t="inlineStr">
        <is>
          <t>Centro-Oeste</t>
        </is>
      </c>
      <c r="F193" s="3" t="n">
        <v>45467</v>
      </c>
    </row>
    <row r="194">
      <c r="A194" s="2" t="inlineStr">
        <is>
          <t>C0193</t>
        </is>
      </c>
      <c r="B194" s="2" t="inlineStr">
        <is>
          <t>Felipe Gomes</t>
        </is>
      </c>
      <c r="C194" s="2" t="inlineStr">
        <is>
          <t>Pequena Empresa</t>
        </is>
      </c>
      <c r="D194" s="2" t="inlineStr">
        <is>
          <t>Curitiba</t>
        </is>
      </c>
      <c r="E194" s="2" t="inlineStr">
        <is>
          <t>Sul</t>
        </is>
      </c>
      <c r="F194" s="3" t="n">
        <v>45569</v>
      </c>
    </row>
    <row r="195">
      <c r="A195" s="2" t="inlineStr">
        <is>
          <t>C0194</t>
        </is>
      </c>
      <c r="B195" s="2" t="inlineStr">
        <is>
          <t>Rafael Fernandes</t>
        </is>
      </c>
      <c r="C195" s="2" t="inlineStr">
        <is>
          <t>Pessoa Física</t>
        </is>
      </c>
      <c r="D195" s="2" t="inlineStr">
        <is>
          <t>Rio de Janeiro</t>
        </is>
      </c>
      <c r="E195" s="2" t="inlineStr">
        <is>
          <t>Sudeste</t>
        </is>
      </c>
      <c r="F195" s="3" t="n">
        <v>45219</v>
      </c>
    </row>
    <row r="196">
      <c r="A196" s="2" t="inlineStr">
        <is>
          <t>C0195</t>
        </is>
      </c>
      <c r="B196" s="2" t="inlineStr">
        <is>
          <t>Daniel Costa</t>
        </is>
      </c>
      <c r="C196" s="2" t="inlineStr">
        <is>
          <t>Pessoa Física</t>
        </is>
      </c>
      <c r="D196" s="2" t="inlineStr">
        <is>
          <t>Salvador</t>
        </is>
      </c>
      <c r="E196" s="2" t="inlineStr">
        <is>
          <t>Nordeste</t>
        </is>
      </c>
      <c r="F196" s="3" t="n">
        <v>45576</v>
      </c>
    </row>
    <row r="197">
      <c r="A197" s="2" t="inlineStr">
        <is>
          <t>C0196</t>
        </is>
      </c>
      <c r="B197" s="2" t="inlineStr">
        <is>
          <t>Pedro Carvalho</t>
        </is>
      </c>
      <c r="C197" s="2" t="inlineStr">
        <is>
          <t>Média Empresa</t>
        </is>
      </c>
      <c r="D197" s="2" t="inlineStr">
        <is>
          <t>Curitiba</t>
        </is>
      </c>
      <c r="E197" s="2" t="inlineStr">
        <is>
          <t>Sul</t>
        </is>
      </c>
      <c r="F197" s="3" t="n">
        <v>45688</v>
      </c>
    </row>
    <row r="198">
      <c r="A198" s="2" t="inlineStr">
        <is>
          <t>C0197</t>
        </is>
      </c>
      <c r="B198" s="2" t="inlineStr">
        <is>
          <t>Paula Oliveira</t>
        </is>
      </c>
      <c r="C198" s="2" t="inlineStr">
        <is>
          <t>Pessoa Física</t>
        </is>
      </c>
      <c r="D198" s="2" t="inlineStr">
        <is>
          <t>São Paulo</t>
        </is>
      </c>
      <c r="E198" s="2" t="inlineStr">
        <is>
          <t>Sudeste</t>
        </is>
      </c>
      <c r="F198" s="3" t="n">
        <v>45224</v>
      </c>
    </row>
    <row r="199">
      <c r="A199" s="2" t="inlineStr">
        <is>
          <t>C0198</t>
        </is>
      </c>
      <c r="B199" s="2" t="inlineStr">
        <is>
          <t>Luiza Carvalho</t>
        </is>
      </c>
      <c r="C199" s="2" t="inlineStr">
        <is>
          <t>Média Empresa</t>
        </is>
      </c>
      <c r="D199" s="2" t="inlineStr">
        <is>
          <t>Rio de Janeiro</t>
        </is>
      </c>
      <c r="E199" s="2" t="inlineStr">
        <is>
          <t>Sudeste</t>
        </is>
      </c>
      <c r="F199" s="3" t="n">
        <v>44564</v>
      </c>
    </row>
    <row r="200">
      <c r="A200" s="2" t="inlineStr">
        <is>
          <t>C0199</t>
        </is>
      </c>
      <c r="B200" s="2" t="inlineStr">
        <is>
          <t>André Dias</t>
        </is>
      </c>
      <c r="C200" s="2" t="inlineStr">
        <is>
          <t>Pessoa Física</t>
        </is>
      </c>
      <c r="D200" s="2" t="inlineStr">
        <is>
          <t>Salvador</t>
        </is>
      </c>
      <c r="E200" s="2" t="inlineStr">
        <is>
          <t>Nordeste</t>
        </is>
      </c>
      <c r="F200" s="3" t="n">
        <v>44673</v>
      </c>
    </row>
    <row r="201">
      <c r="A201" s="2" t="inlineStr">
        <is>
          <t>C0200</t>
        </is>
      </c>
      <c r="B201" s="2" t="inlineStr">
        <is>
          <t>Sofia Fernandes</t>
        </is>
      </c>
      <c r="C201" s="2" t="inlineStr">
        <is>
          <t>Pequena Empresa</t>
        </is>
      </c>
      <c r="D201" s="2" t="inlineStr">
        <is>
          <t>Campinas</t>
        </is>
      </c>
      <c r="E201" s="2" t="inlineStr">
        <is>
          <t>Sudeste</t>
        </is>
      </c>
      <c r="F201" s="3" t="n">
        <v>45582</v>
      </c>
    </row>
    <row r="202">
      <c r="A202" s="2" t="inlineStr">
        <is>
          <t>C0201</t>
        </is>
      </c>
      <c r="B202" s="2" t="inlineStr">
        <is>
          <t>Paula Santos</t>
        </is>
      </c>
      <c r="C202" s="2" t="inlineStr">
        <is>
          <t>Pessoa Física</t>
        </is>
      </c>
      <c r="D202" s="2" t="inlineStr">
        <is>
          <t>Salvador</t>
        </is>
      </c>
      <c r="E202" s="2" t="inlineStr">
        <is>
          <t>Nordeste</t>
        </is>
      </c>
      <c r="F202" s="3" t="n">
        <v>45686</v>
      </c>
    </row>
    <row r="203">
      <c r="A203" s="2" t="inlineStr">
        <is>
          <t>C0202</t>
        </is>
      </c>
      <c r="B203" s="2" t="inlineStr">
        <is>
          <t>Gustavo Lima</t>
        </is>
      </c>
      <c r="C203" s="2" t="inlineStr">
        <is>
          <t>Pessoa Física</t>
        </is>
      </c>
      <c r="D203" s="2" t="inlineStr">
        <is>
          <t>Belo Horizonte</t>
        </is>
      </c>
      <c r="E203" s="2" t="inlineStr">
        <is>
          <t>Sudeste</t>
        </is>
      </c>
      <c r="F203" s="3" t="n">
        <v>45554</v>
      </c>
    </row>
    <row r="204">
      <c r="A204" s="2" t="inlineStr">
        <is>
          <t>C0203</t>
        </is>
      </c>
      <c r="B204" s="2" t="inlineStr">
        <is>
          <t>Ana Almeida</t>
        </is>
      </c>
      <c r="C204" s="2" t="inlineStr">
        <is>
          <t>Pequena Empresa</t>
        </is>
      </c>
      <c r="D204" s="2" t="inlineStr">
        <is>
          <t>Rio de Janeiro</t>
        </is>
      </c>
      <c r="E204" s="2" t="inlineStr">
        <is>
          <t>Sudeste</t>
        </is>
      </c>
      <c r="F204" s="3" t="n">
        <v>45198</v>
      </c>
    </row>
    <row r="205">
      <c r="A205" s="2" t="inlineStr">
        <is>
          <t>C0204</t>
        </is>
      </c>
      <c r="B205" s="2" t="inlineStr">
        <is>
          <t>Ana Dias</t>
        </is>
      </c>
      <c r="C205" s="2" t="inlineStr">
        <is>
          <t>Pessoa Física</t>
        </is>
      </c>
      <c r="D205" s="2" t="inlineStr">
        <is>
          <t>Goiânia</t>
        </is>
      </c>
      <c r="E205" s="2" t="inlineStr">
        <is>
          <t>Centro-Oeste</t>
        </is>
      </c>
      <c r="F205" s="3" t="n">
        <v>45022</v>
      </c>
    </row>
    <row r="206">
      <c r="A206" s="2" t="inlineStr">
        <is>
          <t>C0205</t>
        </is>
      </c>
      <c r="B206" s="2" t="inlineStr">
        <is>
          <t>Paula Souza</t>
        </is>
      </c>
      <c r="C206" s="2" t="inlineStr">
        <is>
          <t>Pequena Empresa</t>
        </is>
      </c>
      <c r="D206" s="2" t="inlineStr">
        <is>
          <t>Rio de Janeiro</t>
        </is>
      </c>
      <c r="E206" s="2" t="inlineStr">
        <is>
          <t>Sudeste</t>
        </is>
      </c>
      <c r="F206" s="3" t="n">
        <v>44877</v>
      </c>
    </row>
    <row r="207">
      <c r="A207" s="2" t="inlineStr">
        <is>
          <t>C0206</t>
        </is>
      </c>
      <c r="B207" s="2" t="inlineStr">
        <is>
          <t>Gustavo Lima</t>
        </is>
      </c>
      <c r="C207" s="2" t="inlineStr">
        <is>
          <t>Pessoa Física</t>
        </is>
      </c>
      <c r="D207" s="2" t="inlineStr">
        <is>
          <t>Brasília</t>
        </is>
      </c>
      <c r="E207" s="2" t="inlineStr">
        <is>
          <t>Centro-Oeste</t>
        </is>
      </c>
      <c r="F207" s="3" t="n">
        <v>45121</v>
      </c>
    </row>
    <row r="208">
      <c r="A208" s="2" t="inlineStr">
        <is>
          <t>C0207</t>
        </is>
      </c>
      <c r="B208" s="2" t="inlineStr">
        <is>
          <t>Yasmin Ribeiro</t>
        </is>
      </c>
      <c r="C208" s="2" t="inlineStr">
        <is>
          <t>Grande Empresa</t>
        </is>
      </c>
      <c r="D208" s="2" t="inlineStr">
        <is>
          <t>Florianópolis</t>
        </is>
      </c>
      <c r="E208" s="2" t="inlineStr">
        <is>
          <t>Sul</t>
        </is>
      </c>
      <c r="F208" s="3" t="n">
        <v>45061</v>
      </c>
    </row>
    <row r="209">
      <c r="A209" s="2" t="inlineStr">
        <is>
          <t>C0208</t>
        </is>
      </c>
      <c r="B209" s="2" t="inlineStr">
        <is>
          <t>Thiago Pereira</t>
        </is>
      </c>
      <c r="C209" s="2" t="inlineStr">
        <is>
          <t>Pessoa Física</t>
        </is>
      </c>
      <c r="D209" s="2" t="inlineStr">
        <is>
          <t>Brasília</t>
        </is>
      </c>
      <c r="E209" s="2" t="inlineStr">
        <is>
          <t>Centro-Oeste</t>
        </is>
      </c>
      <c r="F209" s="3" t="n">
        <v>45789</v>
      </c>
    </row>
    <row r="210">
      <c r="A210" s="2" t="inlineStr">
        <is>
          <t>C0209</t>
        </is>
      </c>
      <c r="B210" s="2" t="inlineStr">
        <is>
          <t>Caio Pereira</t>
        </is>
      </c>
      <c r="C210" s="2" t="inlineStr">
        <is>
          <t>Média Empresa</t>
        </is>
      </c>
      <c r="D210" s="2" t="inlineStr">
        <is>
          <t>Goiânia</t>
        </is>
      </c>
      <c r="E210" s="2" t="inlineStr">
        <is>
          <t>Centro-Oeste</t>
        </is>
      </c>
      <c r="F210" s="3" t="n">
        <v>45127</v>
      </c>
    </row>
    <row r="211">
      <c r="A211" s="2" t="inlineStr">
        <is>
          <t>C0210</t>
        </is>
      </c>
      <c r="B211" s="2" t="inlineStr">
        <is>
          <t>Miguel Gomes</t>
        </is>
      </c>
      <c r="C211" s="2" t="inlineStr">
        <is>
          <t>Pessoa Física</t>
        </is>
      </c>
      <c r="D211" s="2" t="inlineStr">
        <is>
          <t>Fortaleza</t>
        </is>
      </c>
      <c r="E211" s="2" t="inlineStr">
        <is>
          <t>Nordeste</t>
        </is>
      </c>
      <c r="F211" s="3" t="n">
        <v>45601</v>
      </c>
    </row>
    <row r="212">
      <c r="A212" s="2" t="inlineStr">
        <is>
          <t>C0211</t>
        </is>
      </c>
      <c r="B212" s="2" t="inlineStr">
        <is>
          <t>Yasmin Silva</t>
        </is>
      </c>
      <c r="C212" s="2" t="inlineStr">
        <is>
          <t>Pessoa Física</t>
        </is>
      </c>
      <c r="D212" s="2" t="inlineStr">
        <is>
          <t>Curitiba</t>
        </is>
      </c>
      <c r="E212" s="2" t="inlineStr">
        <is>
          <t>Sul</t>
        </is>
      </c>
      <c r="F212" s="3" t="n">
        <v>45173</v>
      </c>
    </row>
    <row r="213">
      <c r="A213" s="2" t="inlineStr">
        <is>
          <t>C0212</t>
        </is>
      </c>
      <c r="B213" s="2" t="inlineStr">
        <is>
          <t>Vitória Ribeiro</t>
        </is>
      </c>
      <c r="C213" s="2" t="inlineStr">
        <is>
          <t>Média Empresa</t>
        </is>
      </c>
      <c r="D213" s="2" t="inlineStr">
        <is>
          <t>Campo Grande</t>
        </is>
      </c>
      <c r="E213" s="2" t="inlineStr">
        <is>
          <t>Centro-Oeste</t>
        </is>
      </c>
      <c r="F213" s="3" t="n">
        <v>45476</v>
      </c>
    </row>
    <row r="214">
      <c r="A214" s="2" t="inlineStr">
        <is>
          <t>C0213</t>
        </is>
      </c>
      <c r="B214" s="2" t="inlineStr">
        <is>
          <t>Rafael Fernandes</t>
        </is>
      </c>
      <c r="C214" s="2" t="inlineStr">
        <is>
          <t>Pessoa Física</t>
        </is>
      </c>
      <c r="D214" s="2" t="inlineStr">
        <is>
          <t>Goiânia</t>
        </is>
      </c>
      <c r="E214" s="2" t="inlineStr">
        <is>
          <t>Centro-Oeste</t>
        </is>
      </c>
      <c r="F214" s="3" t="n">
        <v>45674</v>
      </c>
    </row>
    <row r="215">
      <c r="A215" s="2" t="inlineStr">
        <is>
          <t>C0214</t>
        </is>
      </c>
      <c r="B215" s="2" t="inlineStr">
        <is>
          <t>Paula Araújo</t>
        </is>
      </c>
      <c r="C215" s="2" t="inlineStr">
        <is>
          <t>Média Empresa</t>
        </is>
      </c>
      <c r="D215" s="2" t="inlineStr">
        <is>
          <t>Florianópolis</t>
        </is>
      </c>
      <c r="E215" s="2" t="inlineStr">
        <is>
          <t>Sul</t>
        </is>
      </c>
      <c r="F215" s="3" t="n">
        <v>45051</v>
      </c>
    </row>
    <row r="216">
      <c r="A216" s="2" t="inlineStr">
        <is>
          <t>C0215</t>
        </is>
      </c>
      <c r="B216" s="2" t="inlineStr">
        <is>
          <t>Natália Almeida</t>
        </is>
      </c>
      <c r="C216" s="2" t="inlineStr">
        <is>
          <t>Média Empresa</t>
        </is>
      </c>
      <c r="D216" s="2" t="inlineStr">
        <is>
          <t>Campo Grande</t>
        </is>
      </c>
      <c r="E216" s="2" t="inlineStr">
        <is>
          <t>Centro-Oeste</t>
        </is>
      </c>
      <c r="F216" s="3" t="n">
        <v>45403</v>
      </c>
    </row>
    <row r="217">
      <c r="A217" s="2" t="inlineStr">
        <is>
          <t>C0216</t>
        </is>
      </c>
      <c r="B217" s="2" t="inlineStr">
        <is>
          <t>Larissa Ribeiro</t>
        </is>
      </c>
      <c r="C217" s="2" t="inlineStr">
        <is>
          <t>Pequena Empresa</t>
        </is>
      </c>
      <c r="D217" s="2" t="inlineStr">
        <is>
          <t>São Paulo</t>
        </is>
      </c>
      <c r="E217" s="2" t="inlineStr">
        <is>
          <t>Sudeste</t>
        </is>
      </c>
      <c r="F217" s="3" t="n">
        <v>45342</v>
      </c>
    </row>
    <row r="218">
      <c r="A218" s="2" t="inlineStr">
        <is>
          <t>C0217</t>
        </is>
      </c>
      <c r="B218" s="2" t="inlineStr">
        <is>
          <t>Pedro Pereira</t>
        </is>
      </c>
      <c r="C218" s="2" t="inlineStr">
        <is>
          <t>Pessoa Física</t>
        </is>
      </c>
      <c r="D218" s="2" t="inlineStr">
        <is>
          <t>Florianópolis</t>
        </is>
      </c>
      <c r="E218" s="2" t="inlineStr">
        <is>
          <t>Sul</t>
        </is>
      </c>
      <c r="F218" s="3" t="n">
        <v>44637</v>
      </c>
    </row>
    <row r="219">
      <c r="A219" s="2" t="inlineStr">
        <is>
          <t>C0218</t>
        </is>
      </c>
      <c r="B219" s="2" t="inlineStr">
        <is>
          <t>Sofia Araújo</t>
        </is>
      </c>
      <c r="C219" s="2" t="inlineStr">
        <is>
          <t>Média Empresa</t>
        </is>
      </c>
      <c r="D219" s="2" t="inlineStr">
        <is>
          <t>Belo Horizonte</t>
        </is>
      </c>
      <c r="E219" s="2" t="inlineStr">
        <is>
          <t>Sudeste</t>
        </is>
      </c>
      <c r="F219" s="3" t="n">
        <v>45463</v>
      </c>
    </row>
    <row r="220">
      <c r="A220" s="2" t="inlineStr">
        <is>
          <t>C0219</t>
        </is>
      </c>
      <c r="B220" s="2" t="inlineStr">
        <is>
          <t>Sofia Martins</t>
        </is>
      </c>
      <c r="C220" s="2" t="inlineStr">
        <is>
          <t>Pessoa Física</t>
        </is>
      </c>
      <c r="D220" s="2" t="inlineStr">
        <is>
          <t>Rio de Janeiro</t>
        </is>
      </c>
      <c r="E220" s="2" t="inlineStr">
        <is>
          <t>Sudeste</t>
        </is>
      </c>
      <c r="F220" s="3" t="n">
        <v>44857</v>
      </c>
    </row>
    <row r="221">
      <c r="A221" s="2" t="inlineStr">
        <is>
          <t>C0220</t>
        </is>
      </c>
      <c r="B221" s="2" t="inlineStr">
        <is>
          <t>André Pereira</t>
        </is>
      </c>
      <c r="C221" s="2" t="inlineStr">
        <is>
          <t>Pessoa Física</t>
        </is>
      </c>
      <c r="D221" s="2" t="inlineStr">
        <is>
          <t>Florianópolis</t>
        </is>
      </c>
      <c r="E221" s="2" t="inlineStr">
        <is>
          <t>Sul</t>
        </is>
      </c>
      <c r="F221" s="3" t="n">
        <v>45104</v>
      </c>
    </row>
    <row r="222">
      <c r="A222" s="2" t="inlineStr">
        <is>
          <t>C0221</t>
        </is>
      </c>
      <c r="B222" s="2" t="inlineStr">
        <is>
          <t>Lucas Carvalho</t>
        </is>
      </c>
      <c r="C222" s="2" t="inlineStr">
        <is>
          <t>Pequena Empresa</t>
        </is>
      </c>
      <c r="D222" s="2" t="inlineStr">
        <is>
          <t>Porto Alegre</t>
        </is>
      </c>
      <c r="E222" s="2" t="inlineStr">
        <is>
          <t>Sul</t>
        </is>
      </c>
      <c r="F222" s="3" t="n">
        <v>45234</v>
      </c>
    </row>
    <row r="223">
      <c r="A223" s="2" t="inlineStr">
        <is>
          <t>C0222</t>
        </is>
      </c>
      <c r="B223" s="2" t="inlineStr">
        <is>
          <t>André Dias</t>
        </is>
      </c>
      <c r="C223" s="2" t="inlineStr">
        <is>
          <t>Pessoa Física</t>
        </is>
      </c>
      <c r="D223" s="2" t="inlineStr">
        <is>
          <t>Salvador</t>
        </is>
      </c>
      <c r="E223" s="2" t="inlineStr">
        <is>
          <t>Nordeste</t>
        </is>
      </c>
      <c r="F223" s="3" t="n">
        <v>45210</v>
      </c>
    </row>
    <row r="224">
      <c r="A224" s="2" t="inlineStr">
        <is>
          <t>C0223</t>
        </is>
      </c>
      <c r="B224" s="2" t="inlineStr">
        <is>
          <t>Beatriz Ribeiro</t>
        </is>
      </c>
      <c r="C224" s="2" t="inlineStr">
        <is>
          <t>Média Empresa</t>
        </is>
      </c>
      <c r="D224" s="2" t="inlineStr">
        <is>
          <t>Salvador</t>
        </is>
      </c>
      <c r="E224" s="2" t="inlineStr">
        <is>
          <t>Nordeste</t>
        </is>
      </c>
      <c r="F224" s="3" t="n">
        <v>44635</v>
      </c>
    </row>
    <row r="225">
      <c r="A225" s="2" t="inlineStr">
        <is>
          <t>C0224</t>
        </is>
      </c>
      <c r="B225" s="2" t="inlineStr">
        <is>
          <t>Camila Almeida</t>
        </is>
      </c>
      <c r="C225" s="2" t="inlineStr">
        <is>
          <t>Pequena Empresa</t>
        </is>
      </c>
      <c r="D225" s="2" t="inlineStr">
        <is>
          <t>Campo Grande</t>
        </is>
      </c>
      <c r="E225" s="2" t="inlineStr">
        <is>
          <t>Centro-Oeste</t>
        </is>
      </c>
      <c r="F225" s="3" t="n">
        <v>45150</v>
      </c>
    </row>
    <row r="226">
      <c r="A226" s="2" t="inlineStr">
        <is>
          <t>C0225</t>
        </is>
      </c>
      <c r="B226" s="2" t="inlineStr">
        <is>
          <t>Caio Oliveira</t>
        </is>
      </c>
      <c r="C226" s="2" t="inlineStr">
        <is>
          <t>Pessoa Física</t>
        </is>
      </c>
      <c r="D226" s="2" t="inlineStr">
        <is>
          <t>Campinas</t>
        </is>
      </c>
      <c r="E226" s="2" t="inlineStr">
        <is>
          <t>Sudeste</t>
        </is>
      </c>
      <c r="F226" s="3" t="n">
        <v>44763</v>
      </c>
    </row>
    <row r="227">
      <c r="A227" s="2" t="inlineStr">
        <is>
          <t>C0226</t>
        </is>
      </c>
      <c r="B227" s="2" t="inlineStr">
        <is>
          <t>Mariana Souza</t>
        </is>
      </c>
      <c r="C227" s="2" t="inlineStr">
        <is>
          <t>Pessoa Física</t>
        </is>
      </c>
      <c r="D227" s="2" t="inlineStr">
        <is>
          <t>Fortaleza</t>
        </is>
      </c>
      <c r="E227" s="2" t="inlineStr">
        <is>
          <t>Nordeste</t>
        </is>
      </c>
      <c r="F227" s="3" t="n">
        <v>45175</v>
      </c>
    </row>
    <row r="228">
      <c r="A228" s="2" t="inlineStr">
        <is>
          <t>C0227</t>
        </is>
      </c>
      <c r="B228" s="2" t="inlineStr">
        <is>
          <t>Bruno Araújo</t>
        </is>
      </c>
      <c r="C228" s="2" t="inlineStr">
        <is>
          <t>Média Empresa</t>
        </is>
      </c>
      <c r="D228" s="2" t="inlineStr">
        <is>
          <t>São Paulo</t>
        </is>
      </c>
      <c r="E228" s="2" t="inlineStr">
        <is>
          <t>Sudeste</t>
        </is>
      </c>
      <c r="F228" s="3" t="n">
        <v>45162</v>
      </c>
    </row>
    <row r="229">
      <c r="A229" s="2" t="inlineStr">
        <is>
          <t>C0228</t>
        </is>
      </c>
      <c r="B229" s="2" t="inlineStr">
        <is>
          <t>Marcos Gomes</t>
        </is>
      </c>
      <c r="C229" s="2" t="inlineStr">
        <is>
          <t>Pessoa Física</t>
        </is>
      </c>
      <c r="D229" s="2" t="inlineStr">
        <is>
          <t>Porto Alegre</t>
        </is>
      </c>
      <c r="E229" s="2" t="inlineStr">
        <is>
          <t>Sul</t>
        </is>
      </c>
      <c r="F229" s="3" t="n">
        <v>45649</v>
      </c>
    </row>
    <row r="230">
      <c r="A230" s="2" t="inlineStr">
        <is>
          <t>C0229</t>
        </is>
      </c>
      <c r="B230" s="2" t="inlineStr">
        <is>
          <t>Vitória Costa</t>
        </is>
      </c>
      <c r="C230" s="2" t="inlineStr">
        <is>
          <t>Pessoa Física</t>
        </is>
      </c>
      <c r="D230" s="2" t="inlineStr">
        <is>
          <t>Florianópolis</t>
        </is>
      </c>
      <c r="E230" s="2" t="inlineStr">
        <is>
          <t>Sul</t>
        </is>
      </c>
      <c r="F230" s="3" t="n">
        <v>44723</v>
      </c>
    </row>
    <row r="231">
      <c r="A231" s="2" t="inlineStr">
        <is>
          <t>C0230</t>
        </is>
      </c>
      <c r="B231" s="2" t="inlineStr">
        <is>
          <t>André Carvalho</t>
        </is>
      </c>
      <c r="C231" s="2" t="inlineStr">
        <is>
          <t>Pequena Empresa</t>
        </is>
      </c>
      <c r="D231" s="2" t="inlineStr">
        <is>
          <t>Campo Grande</t>
        </is>
      </c>
      <c r="E231" s="2" t="inlineStr">
        <is>
          <t>Centro-Oeste</t>
        </is>
      </c>
      <c r="F231" s="3" t="n">
        <v>45055</v>
      </c>
    </row>
    <row r="232">
      <c r="A232" s="2" t="inlineStr">
        <is>
          <t>C0231</t>
        </is>
      </c>
      <c r="B232" s="2" t="inlineStr">
        <is>
          <t>Gustavo Pereira</t>
        </is>
      </c>
      <c r="C232" s="2" t="inlineStr">
        <is>
          <t>Pessoa Física</t>
        </is>
      </c>
      <c r="D232" s="2" t="inlineStr">
        <is>
          <t>Brasília</t>
        </is>
      </c>
      <c r="E232" s="2" t="inlineStr">
        <is>
          <t>Centro-Oeste</t>
        </is>
      </c>
      <c r="F232" s="3" t="n">
        <v>45082</v>
      </c>
    </row>
    <row r="233">
      <c r="A233" s="2" t="inlineStr">
        <is>
          <t>C0232</t>
        </is>
      </c>
      <c r="B233" s="2" t="inlineStr">
        <is>
          <t>Isabela Silva</t>
        </is>
      </c>
      <c r="C233" s="2" t="inlineStr">
        <is>
          <t>Média Empresa</t>
        </is>
      </c>
      <c r="D233" s="2" t="inlineStr">
        <is>
          <t>Brasília</t>
        </is>
      </c>
      <c r="E233" s="2" t="inlineStr">
        <is>
          <t>Centro-Oeste</t>
        </is>
      </c>
      <c r="F233" s="3" t="n">
        <v>45514</v>
      </c>
    </row>
    <row r="234">
      <c r="A234" s="2" t="inlineStr">
        <is>
          <t>C0233</t>
        </is>
      </c>
      <c r="B234" s="2" t="inlineStr">
        <is>
          <t>Pedro Dias</t>
        </is>
      </c>
      <c r="C234" s="2" t="inlineStr">
        <is>
          <t>Pessoa Física</t>
        </is>
      </c>
      <c r="D234" s="2" t="inlineStr">
        <is>
          <t>Curitiba</t>
        </is>
      </c>
      <c r="E234" s="2" t="inlineStr">
        <is>
          <t>Sul</t>
        </is>
      </c>
      <c r="F234" s="3" t="n">
        <v>45466</v>
      </c>
    </row>
    <row r="235">
      <c r="A235" s="2" t="inlineStr">
        <is>
          <t>C0234</t>
        </is>
      </c>
      <c r="B235" s="2" t="inlineStr">
        <is>
          <t>Vitória Lima</t>
        </is>
      </c>
      <c r="C235" s="2" t="inlineStr">
        <is>
          <t>Pequena Empresa</t>
        </is>
      </c>
      <c r="D235" s="2" t="inlineStr">
        <is>
          <t>Porto Alegre</t>
        </is>
      </c>
      <c r="E235" s="2" t="inlineStr">
        <is>
          <t>Sul</t>
        </is>
      </c>
      <c r="F235" s="3" t="n">
        <v>45430</v>
      </c>
    </row>
    <row r="236">
      <c r="A236" s="2" t="inlineStr">
        <is>
          <t>C0235</t>
        </is>
      </c>
      <c r="B236" s="2" t="inlineStr">
        <is>
          <t>Isabela Martins</t>
        </is>
      </c>
      <c r="C236" s="2" t="inlineStr">
        <is>
          <t>Média Empresa</t>
        </is>
      </c>
      <c r="D236" s="2" t="inlineStr">
        <is>
          <t>Recife</t>
        </is>
      </c>
      <c r="E236" s="2" t="inlineStr">
        <is>
          <t>Nordeste</t>
        </is>
      </c>
      <c r="F236" s="3" t="n">
        <v>44969</v>
      </c>
    </row>
    <row r="237">
      <c r="A237" s="2" t="inlineStr">
        <is>
          <t>C0236</t>
        </is>
      </c>
      <c r="B237" s="2" t="inlineStr">
        <is>
          <t>André Ribeiro</t>
        </is>
      </c>
      <c r="C237" s="2" t="inlineStr">
        <is>
          <t>Pessoa Física</t>
        </is>
      </c>
      <c r="D237" s="2" t="inlineStr">
        <is>
          <t>Florianópolis</t>
        </is>
      </c>
      <c r="E237" s="2" t="inlineStr">
        <is>
          <t>Sul</t>
        </is>
      </c>
      <c r="F237" s="3" t="n">
        <v>45343</v>
      </c>
    </row>
    <row r="238">
      <c r="A238" s="2" t="inlineStr">
        <is>
          <t>C0237</t>
        </is>
      </c>
      <c r="B238" s="2" t="inlineStr">
        <is>
          <t>Marcos Lima</t>
        </is>
      </c>
      <c r="C238" s="2" t="inlineStr">
        <is>
          <t>Grande Empresa</t>
        </is>
      </c>
      <c r="D238" s="2" t="inlineStr">
        <is>
          <t>Campo Grande</t>
        </is>
      </c>
      <c r="E238" s="2" t="inlineStr">
        <is>
          <t>Centro-Oeste</t>
        </is>
      </c>
      <c r="F238" s="3" t="n">
        <v>45166</v>
      </c>
    </row>
    <row r="239">
      <c r="A239" s="2" t="inlineStr">
        <is>
          <t>C0238</t>
        </is>
      </c>
      <c r="B239" s="2" t="inlineStr">
        <is>
          <t>Yasmin Carvalho</t>
        </is>
      </c>
      <c r="C239" s="2" t="inlineStr">
        <is>
          <t>Pessoa Física</t>
        </is>
      </c>
      <c r="D239" s="2" t="inlineStr">
        <is>
          <t>São Paulo</t>
        </is>
      </c>
      <c r="E239" s="2" t="inlineStr">
        <is>
          <t>Sudeste</t>
        </is>
      </c>
      <c r="F239" s="3" t="n">
        <v>45721</v>
      </c>
    </row>
    <row r="240">
      <c r="A240" s="2" t="inlineStr">
        <is>
          <t>C0239</t>
        </is>
      </c>
      <c r="B240" s="2" t="inlineStr">
        <is>
          <t>Luiza Santos</t>
        </is>
      </c>
      <c r="C240" s="2" t="inlineStr">
        <is>
          <t>Média Empresa</t>
        </is>
      </c>
      <c r="D240" s="2" t="inlineStr">
        <is>
          <t>Salvador</t>
        </is>
      </c>
      <c r="E240" s="2" t="inlineStr">
        <is>
          <t>Nordeste</t>
        </is>
      </c>
      <c r="F240" s="3" t="n">
        <v>45579</v>
      </c>
    </row>
    <row r="241">
      <c r="A241" s="2" t="inlineStr">
        <is>
          <t>C0240</t>
        </is>
      </c>
      <c r="B241" s="2" t="inlineStr">
        <is>
          <t>Luiza Almeida</t>
        </is>
      </c>
      <c r="C241" s="2" t="inlineStr">
        <is>
          <t>Pequena Empresa</t>
        </is>
      </c>
      <c r="D241" s="2" t="inlineStr">
        <is>
          <t>Curitiba</t>
        </is>
      </c>
      <c r="E241" s="2" t="inlineStr">
        <is>
          <t>Sul</t>
        </is>
      </c>
      <c r="F241" s="3" t="n">
        <v>45283</v>
      </c>
    </row>
    <row r="242">
      <c r="A242" s="2" t="inlineStr">
        <is>
          <t>C0241</t>
        </is>
      </c>
      <c r="B242" s="2" t="inlineStr">
        <is>
          <t>Mariana Rodrigues</t>
        </is>
      </c>
      <c r="C242" s="2" t="inlineStr">
        <is>
          <t>Pequena Empresa</t>
        </is>
      </c>
      <c r="D242" s="2" t="inlineStr">
        <is>
          <t>Campinas</t>
        </is>
      </c>
      <c r="E242" s="2" t="inlineStr">
        <is>
          <t>Sudeste</t>
        </is>
      </c>
      <c r="F242" s="3" t="n">
        <v>44842</v>
      </c>
    </row>
    <row r="243">
      <c r="A243" s="2" t="inlineStr">
        <is>
          <t>C0242</t>
        </is>
      </c>
      <c r="B243" s="2" t="inlineStr">
        <is>
          <t>Daniel Santos</t>
        </is>
      </c>
      <c r="C243" s="2" t="inlineStr">
        <is>
          <t>Pessoa Física</t>
        </is>
      </c>
      <c r="D243" s="2" t="inlineStr">
        <is>
          <t>Salvador</t>
        </is>
      </c>
      <c r="E243" s="2" t="inlineStr">
        <is>
          <t>Nordeste</t>
        </is>
      </c>
      <c r="F243" s="3" t="n">
        <v>45464</v>
      </c>
    </row>
    <row r="244">
      <c r="A244" s="2" t="inlineStr">
        <is>
          <t>C0243</t>
        </is>
      </c>
      <c r="B244" s="2" t="inlineStr">
        <is>
          <t>Vitória Fernandes</t>
        </is>
      </c>
      <c r="C244" s="2" t="inlineStr">
        <is>
          <t>Pequena Empresa</t>
        </is>
      </c>
      <c r="D244" s="2" t="inlineStr">
        <is>
          <t>São Paulo</t>
        </is>
      </c>
      <c r="E244" s="2" t="inlineStr">
        <is>
          <t>Sudeste</t>
        </is>
      </c>
      <c r="F244" s="3" t="n">
        <v>44746</v>
      </c>
    </row>
    <row r="245">
      <c r="A245" s="2" t="inlineStr">
        <is>
          <t>C0244</t>
        </is>
      </c>
      <c r="B245" s="2" t="inlineStr">
        <is>
          <t>Larissa Gomes</t>
        </is>
      </c>
      <c r="C245" s="2" t="inlineStr">
        <is>
          <t>Pessoa Física</t>
        </is>
      </c>
      <c r="D245" s="2" t="inlineStr">
        <is>
          <t>Curitiba</t>
        </is>
      </c>
      <c r="E245" s="2" t="inlineStr">
        <is>
          <t>Sul</t>
        </is>
      </c>
      <c r="F245" s="3" t="n">
        <v>44832</v>
      </c>
    </row>
    <row r="246">
      <c r="A246" s="2" t="inlineStr">
        <is>
          <t>C0245</t>
        </is>
      </c>
      <c r="B246" s="2" t="inlineStr">
        <is>
          <t>Thiago Fernandes</t>
        </is>
      </c>
      <c r="C246" s="2" t="inlineStr">
        <is>
          <t>Pessoa Física</t>
        </is>
      </c>
      <c r="D246" s="2" t="inlineStr">
        <is>
          <t>Fortaleza</t>
        </is>
      </c>
      <c r="E246" s="2" t="inlineStr">
        <is>
          <t>Nordeste</t>
        </is>
      </c>
      <c r="F246" s="3" t="n">
        <v>45120</v>
      </c>
    </row>
    <row r="247">
      <c r="A247" s="2" t="inlineStr">
        <is>
          <t>C0246</t>
        </is>
      </c>
      <c r="B247" s="2" t="inlineStr">
        <is>
          <t>Isabela Ribeiro</t>
        </is>
      </c>
      <c r="C247" s="2" t="inlineStr">
        <is>
          <t>Grande Empresa</t>
        </is>
      </c>
      <c r="D247" s="2" t="inlineStr">
        <is>
          <t>Belo Horizonte</t>
        </is>
      </c>
      <c r="E247" s="2" t="inlineStr">
        <is>
          <t>Sudeste</t>
        </is>
      </c>
      <c r="F247" s="3" t="n">
        <v>45166</v>
      </c>
    </row>
    <row r="248">
      <c r="A248" s="2" t="inlineStr">
        <is>
          <t>C0247</t>
        </is>
      </c>
      <c r="B248" s="2" t="inlineStr">
        <is>
          <t>André Araújo</t>
        </is>
      </c>
      <c r="C248" s="2" t="inlineStr">
        <is>
          <t>Média Empresa</t>
        </is>
      </c>
      <c r="D248" s="2" t="inlineStr">
        <is>
          <t>Recife</t>
        </is>
      </c>
      <c r="E248" s="2" t="inlineStr">
        <is>
          <t>Nordeste</t>
        </is>
      </c>
      <c r="F248" s="3" t="n">
        <v>45521</v>
      </c>
    </row>
    <row r="249">
      <c r="A249" s="2" t="inlineStr">
        <is>
          <t>C0248</t>
        </is>
      </c>
      <c r="B249" s="2" t="inlineStr">
        <is>
          <t>Eduarda Almeida</t>
        </is>
      </c>
      <c r="C249" s="2" t="inlineStr">
        <is>
          <t>Média Empresa</t>
        </is>
      </c>
      <c r="D249" s="2" t="inlineStr">
        <is>
          <t>Rio de Janeiro</t>
        </is>
      </c>
      <c r="E249" s="2" t="inlineStr">
        <is>
          <t>Sudeste</t>
        </is>
      </c>
      <c r="F249" s="3" t="n">
        <v>45375</v>
      </c>
    </row>
    <row r="250">
      <c r="A250" s="2" t="inlineStr">
        <is>
          <t>C0249</t>
        </is>
      </c>
      <c r="B250" s="2" t="inlineStr">
        <is>
          <t>Thiago Fernandes</t>
        </is>
      </c>
      <c r="C250" s="2" t="inlineStr">
        <is>
          <t>Pessoa Física</t>
        </is>
      </c>
      <c r="D250" s="2" t="inlineStr">
        <is>
          <t>Fortaleza</t>
        </is>
      </c>
      <c r="E250" s="2" t="inlineStr">
        <is>
          <t>Nordeste</t>
        </is>
      </c>
      <c r="F250" s="3" t="n">
        <v>45370</v>
      </c>
    </row>
    <row r="251">
      <c r="A251" s="2" t="inlineStr">
        <is>
          <t>C0250</t>
        </is>
      </c>
      <c r="B251" s="2" t="inlineStr">
        <is>
          <t>Isabela Dias</t>
        </is>
      </c>
      <c r="C251" s="2" t="inlineStr">
        <is>
          <t>Pessoa Física</t>
        </is>
      </c>
      <c r="D251" s="2" t="inlineStr">
        <is>
          <t>São Paulo</t>
        </is>
      </c>
      <c r="E251" s="2" t="inlineStr">
        <is>
          <t>Sudeste</t>
        </is>
      </c>
      <c r="F251" s="3" t="n">
        <v>45316</v>
      </c>
    </row>
    <row r="252">
      <c r="A252" s="2" t="inlineStr">
        <is>
          <t>C0251</t>
        </is>
      </c>
      <c r="B252" s="2" t="inlineStr">
        <is>
          <t>Caio Nascimento</t>
        </is>
      </c>
      <c r="C252" s="2" t="inlineStr">
        <is>
          <t>Pequena Empresa</t>
        </is>
      </c>
      <c r="D252" s="2" t="inlineStr">
        <is>
          <t>Salvador</t>
        </is>
      </c>
      <c r="E252" s="2" t="inlineStr">
        <is>
          <t>Nordeste</t>
        </is>
      </c>
      <c r="F252" s="3" t="n">
        <v>45322</v>
      </c>
    </row>
    <row r="253">
      <c r="A253" s="2" t="inlineStr">
        <is>
          <t>C0252</t>
        </is>
      </c>
      <c r="B253" s="2" t="inlineStr">
        <is>
          <t>Pedro Almeida</t>
        </is>
      </c>
      <c r="C253" s="2" t="inlineStr">
        <is>
          <t>Pessoa Física</t>
        </is>
      </c>
      <c r="D253" s="2" t="inlineStr">
        <is>
          <t>Rio de Janeiro</t>
        </is>
      </c>
      <c r="E253" s="2" t="inlineStr">
        <is>
          <t>Sudeste</t>
        </is>
      </c>
      <c r="F253" s="3" t="n">
        <v>45830</v>
      </c>
    </row>
    <row r="254">
      <c r="A254" s="2" t="inlineStr">
        <is>
          <t>C0253</t>
        </is>
      </c>
      <c r="B254" s="2" t="inlineStr">
        <is>
          <t>Larissa Almeida</t>
        </is>
      </c>
      <c r="C254" s="2" t="inlineStr">
        <is>
          <t>Pequena Empresa</t>
        </is>
      </c>
      <c r="D254" s="2" t="inlineStr">
        <is>
          <t>Goiânia</t>
        </is>
      </c>
      <c r="E254" s="2" t="inlineStr">
        <is>
          <t>Centro-Oeste</t>
        </is>
      </c>
      <c r="F254" s="3" t="n">
        <v>45512</v>
      </c>
    </row>
    <row r="255">
      <c r="A255" s="2" t="inlineStr">
        <is>
          <t>C0254</t>
        </is>
      </c>
      <c r="B255" s="2" t="inlineStr">
        <is>
          <t>João Gomes</t>
        </is>
      </c>
      <c r="C255" s="2" t="inlineStr">
        <is>
          <t>Pessoa Física</t>
        </is>
      </c>
      <c r="D255" s="2" t="inlineStr">
        <is>
          <t>Recife</t>
        </is>
      </c>
      <c r="E255" s="2" t="inlineStr">
        <is>
          <t>Nordeste</t>
        </is>
      </c>
      <c r="F255" s="3" t="n">
        <v>44654</v>
      </c>
    </row>
    <row r="256">
      <c r="A256" s="2" t="inlineStr">
        <is>
          <t>C0255</t>
        </is>
      </c>
      <c r="B256" s="2" t="inlineStr">
        <is>
          <t>João Ribeiro</t>
        </is>
      </c>
      <c r="C256" s="2" t="inlineStr">
        <is>
          <t>Pessoa Física</t>
        </is>
      </c>
      <c r="D256" s="2" t="inlineStr">
        <is>
          <t>São Paulo</t>
        </is>
      </c>
      <c r="E256" s="2" t="inlineStr">
        <is>
          <t>Sudeste</t>
        </is>
      </c>
      <c r="F256" s="3" t="n">
        <v>45042</v>
      </c>
    </row>
    <row r="257">
      <c r="A257" s="2" t="inlineStr">
        <is>
          <t>C0256</t>
        </is>
      </c>
      <c r="B257" s="2" t="inlineStr">
        <is>
          <t>Eduarda Carvalho</t>
        </is>
      </c>
      <c r="C257" s="2" t="inlineStr">
        <is>
          <t>Pessoa Física</t>
        </is>
      </c>
      <c r="D257" s="2" t="inlineStr">
        <is>
          <t>Goiânia</t>
        </is>
      </c>
      <c r="E257" s="2" t="inlineStr">
        <is>
          <t>Centro-Oeste</t>
        </is>
      </c>
      <c r="F257" s="3" t="n">
        <v>45668</v>
      </c>
    </row>
    <row r="258">
      <c r="A258" s="2" t="inlineStr">
        <is>
          <t>C0257</t>
        </is>
      </c>
      <c r="B258" s="2" t="inlineStr">
        <is>
          <t>Vitória Pereira</t>
        </is>
      </c>
      <c r="C258" s="2" t="inlineStr">
        <is>
          <t>Média Empresa</t>
        </is>
      </c>
      <c r="D258" s="2" t="inlineStr">
        <is>
          <t>Florianópolis</t>
        </is>
      </c>
      <c r="E258" s="2" t="inlineStr">
        <is>
          <t>Sul</t>
        </is>
      </c>
      <c r="F258" s="3" t="n">
        <v>44764</v>
      </c>
    </row>
    <row r="259">
      <c r="A259" s="2" t="inlineStr">
        <is>
          <t>C0258</t>
        </is>
      </c>
      <c r="B259" s="2" t="inlineStr">
        <is>
          <t>Lucas Gomes</t>
        </is>
      </c>
      <c r="C259" s="2" t="inlineStr">
        <is>
          <t>Grande Empresa</t>
        </is>
      </c>
      <c r="D259" s="2" t="inlineStr">
        <is>
          <t>Brasília</t>
        </is>
      </c>
      <c r="E259" s="2" t="inlineStr">
        <is>
          <t>Centro-Oeste</t>
        </is>
      </c>
      <c r="F259" s="3" t="n">
        <v>45134</v>
      </c>
    </row>
    <row r="260">
      <c r="A260" s="2" t="inlineStr">
        <is>
          <t>C0259</t>
        </is>
      </c>
      <c r="B260" s="2" t="inlineStr">
        <is>
          <t>Beatriz Fernandes</t>
        </is>
      </c>
      <c r="C260" s="2" t="inlineStr">
        <is>
          <t>Pessoa Física</t>
        </is>
      </c>
      <c r="D260" s="2" t="inlineStr">
        <is>
          <t>São Paulo</t>
        </is>
      </c>
      <c r="E260" s="2" t="inlineStr">
        <is>
          <t>Sudeste</t>
        </is>
      </c>
      <c r="F260" s="3" t="n">
        <v>45472</v>
      </c>
    </row>
    <row r="261">
      <c r="A261" s="2" t="inlineStr">
        <is>
          <t>C0260</t>
        </is>
      </c>
      <c r="B261" s="2" t="inlineStr">
        <is>
          <t>André Fernandes</t>
        </is>
      </c>
      <c r="C261" s="2" t="inlineStr">
        <is>
          <t>Pessoa Física</t>
        </is>
      </c>
      <c r="D261" s="2" t="inlineStr">
        <is>
          <t>Campinas</t>
        </is>
      </c>
      <c r="E261" s="2" t="inlineStr">
        <is>
          <t>Sudeste</t>
        </is>
      </c>
      <c r="F261" s="3" t="n">
        <v>45314</v>
      </c>
    </row>
    <row r="262">
      <c r="A262" s="2" t="inlineStr">
        <is>
          <t>C0261</t>
        </is>
      </c>
      <c r="B262" s="2" t="inlineStr">
        <is>
          <t>Júlia Fernandes</t>
        </is>
      </c>
      <c r="C262" s="2" t="inlineStr">
        <is>
          <t>Pessoa Física</t>
        </is>
      </c>
      <c r="D262" s="2" t="inlineStr">
        <is>
          <t>Goiânia</t>
        </is>
      </c>
      <c r="E262" s="2" t="inlineStr">
        <is>
          <t>Centro-Oeste</t>
        </is>
      </c>
      <c r="F262" s="3" t="n">
        <v>45127</v>
      </c>
    </row>
    <row r="263">
      <c r="A263" s="2" t="inlineStr">
        <is>
          <t>C0262</t>
        </is>
      </c>
      <c r="B263" s="2" t="inlineStr">
        <is>
          <t>Daniel Martins</t>
        </is>
      </c>
      <c r="C263" s="2" t="inlineStr">
        <is>
          <t>Pessoa Física</t>
        </is>
      </c>
      <c r="D263" s="2" t="inlineStr">
        <is>
          <t>Campinas</t>
        </is>
      </c>
      <c r="E263" s="2" t="inlineStr">
        <is>
          <t>Sudeste</t>
        </is>
      </c>
      <c r="F263" s="3" t="n">
        <v>44996</v>
      </c>
    </row>
    <row r="264">
      <c r="A264" s="2" t="inlineStr">
        <is>
          <t>C0263</t>
        </is>
      </c>
      <c r="B264" s="2" t="inlineStr">
        <is>
          <t>Mariana Silva</t>
        </is>
      </c>
      <c r="C264" s="2" t="inlineStr">
        <is>
          <t>Pessoa Física</t>
        </is>
      </c>
      <c r="D264" s="2" t="inlineStr">
        <is>
          <t>Salvador</t>
        </is>
      </c>
      <c r="E264" s="2" t="inlineStr">
        <is>
          <t>Nordeste</t>
        </is>
      </c>
      <c r="F264" s="3" t="n">
        <v>45245</v>
      </c>
    </row>
    <row r="265">
      <c r="A265" s="2" t="inlineStr">
        <is>
          <t>C0264</t>
        </is>
      </c>
      <c r="B265" s="2" t="inlineStr">
        <is>
          <t>Eduarda Rodrigues</t>
        </is>
      </c>
      <c r="C265" s="2" t="inlineStr">
        <is>
          <t>Pessoa Física</t>
        </is>
      </c>
      <c r="D265" s="2" t="inlineStr">
        <is>
          <t>Campinas</t>
        </is>
      </c>
      <c r="E265" s="2" t="inlineStr">
        <is>
          <t>Sudeste</t>
        </is>
      </c>
      <c r="F265" s="3" t="n">
        <v>45697</v>
      </c>
    </row>
    <row r="266">
      <c r="A266" s="2" t="inlineStr">
        <is>
          <t>C0265</t>
        </is>
      </c>
      <c r="B266" s="2" t="inlineStr">
        <is>
          <t>Vitória Rodrigues</t>
        </is>
      </c>
      <c r="C266" s="2" t="inlineStr">
        <is>
          <t>Média Empresa</t>
        </is>
      </c>
      <c r="D266" s="2" t="inlineStr">
        <is>
          <t>Campinas</t>
        </is>
      </c>
      <c r="E266" s="2" t="inlineStr">
        <is>
          <t>Sudeste</t>
        </is>
      </c>
      <c r="F266" s="3" t="n">
        <v>45039</v>
      </c>
    </row>
    <row r="267">
      <c r="A267" s="2" t="inlineStr">
        <is>
          <t>C0266</t>
        </is>
      </c>
      <c r="B267" s="2" t="inlineStr">
        <is>
          <t>Luiza Pereira</t>
        </is>
      </c>
      <c r="C267" s="2" t="inlineStr">
        <is>
          <t>Média Empresa</t>
        </is>
      </c>
      <c r="D267" s="2" t="inlineStr">
        <is>
          <t>Porto Alegre</t>
        </is>
      </c>
      <c r="E267" s="2" t="inlineStr">
        <is>
          <t>Sul</t>
        </is>
      </c>
      <c r="F267" s="3" t="n">
        <v>45782</v>
      </c>
    </row>
    <row r="268">
      <c r="A268" s="2" t="inlineStr">
        <is>
          <t>C0267</t>
        </is>
      </c>
      <c r="B268" s="2" t="inlineStr">
        <is>
          <t>Isabela Pereira</t>
        </is>
      </c>
      <c r="C268" s="2" t="inlineStr">
        <is>
          <t>Grande Empresa</t>
        </is>
      </c>
      <c r="D268" s="2" t="inlineStr">
        <is>
          <t>São Paulo</t>
        </is>
      </c>
      <c r="E268" s="2" t="inlineStr">
        <is>
          <t>Sudeste</t>
        </is>
      </c>
      <c r="F268" s="3" t="n">
        <v>45668</v>
      </c>
    </row>
    <row r="269">
      <c r="A269" s="2" t="inlineStr">
        <is>
          <t>C0268</t>
        </is>
      </c>
      <c r="B269" s="2" t="inlineStr">
        <is>
          <t>Miguel Costa</t>
        </is>
      </c>
      <c r="C269" s="2" t="inlineStr">
        <is>
          <t>Pessoa Física</t>
        </is>
      </c>
      <c r="D269" s="2" t="inlineStr">
        <is>
          <t>Curitiba</t>
        </is>
      </c>
      <c r="E269" s="2" t="inlineStr">
        <is>
          <t>Sul</t>
        </is>
      </c>
      <c r="F269" s="3" t="n">
        <v>44614</v>
      </c>
    </row>
    <row r="270">
      <c r="A270" s="2" t="inlineStr">
        <is>
          <t>C0269</t>
        </is>
      </c>
      <c r="B270" s="2" t="inlineStr">
        <is>
          <t>Ana Fernandes</t>
        </is>
      </c>
      <c r="C270" s="2" t="inlineStr">
        <is>
          <t>Média Empresa</t>
        </is>
      </c>
      <c r="D270" s="2" t="inlineStr">
        <is>
          <t>Belo Horizonte</t>
        </is>
      </c>
      <c r="E270" s="2" t="inlineStr">
        <is>
          <t>Sudeste</t>
        </is>
      </c>
      <c r="F270" s="3" t="n">
        <v>45049</v>
      </c>
    </row>
    <row r="271">
      <c r="A271" s="2" t="inlineStr">
        <is>
          <t>C0270</t>
        </is>
      </c>
      <c r="B271" s="2" t="inlineStr">
        <is>
          <t>Larissa Silva</t>
        </is>
      </c>
      <c r="C271" s="2" t="inlineStr">
        <is>
          <t>Pessoa Física</t>
        </is>
      </c>
      <c r="D271" s="2" t="inlineStr">
        <is>
          <t>Campo Grande</t>
        </is>
      </c>
      <c r="E271" s="2" t="inlineStr">
        <is>
          <t>Centro-Oeste</t>
        </is>
      </c>
      <c r="F271" s="3" t="n">
        <v>44669</v>
      </c>
    </row>
    <row r="272">
      <c r="A272" s="2" t="inlineStr">
        <is>
          <t>C0271</t>
        </is>
      </c>
      <c r="B272" s="2" t="inlineStr">
        <is>
          <t>Caio Gomes</t>
        </is>
      </c>
      <c r="C272" s="2" t="inlineStr">
        <is>
          <t>Pessoa Física</t>
        </is>
      </c>
      <c r="D272" s="2" t="inlineStr">
        <is>
          <t>Belo Horizonte</t>
        </is>
      </c>
      <c r="E272" s="2" t="inlineStr">
        <is>
          <t>Sudeste</t>
        </is>
      </c>
      <c r="F272" s="3" t="n">
        <v>44692</v>
      </c>
    </row>
    <row r="273">
      <c r="A273" s="2" t="inlineStr">
        <is>
          <t>C0272</t>
        </is>
      </c>
      <c r="B273" s="2" t="inlineStr">
        <is>
          <t>Paula Fernandes</t>
        </is>
      </c>
      <c r="C273" s="2" t="inlineStr">
        <is>
          <t>Pessoa Física</t>
        </is>
      </c>
      <c r="D273" s="2" t="inlineStr">
        <is>
          <t>Brasília</t>
        </is>
      </c>
      <c r="E273" s="2" t="inlineStr">
        <is>
          <t>Centro-Oeste</t>
        </is>
      </c>
      <c r="F273" s="3" t="n">
        <v>44785</v>
      </c>
    </row>
    <row r="274">
      <c r="A274" s="2" t="inlineStr">
        <is>
          <t>C0273</t>
        </is>
      </c>
      <c r="B274" s="2" t="inlineStr">
        <is>
          <t>Sofia Almeida</t>
        </is>
      </c>
      <c r="C274" s="2" t="inlineStr">
        <is>
          <t>Grande Empresa</t>
        </is>
      </c>
      <c r="D274" s="2" t="inlineStr">
        <is>
          <t>Brasília</t>
        </is>
      </c>
      <c r="E274" s="2" t="inlineStr">
        <is>
          <t>Centro-Oeste</t>
        </is>
      </c>
      <c r="F274" s="3" t="n">
        <v>44650</v>
      </c>
    </row>
    <row r="275">
      <c r="A275" s="2" t="inlineStr">
        <is>
          <t>C0274</t>
        </is>
      </c>
      <c r="B275" s="2" t="inlineStr">
        <is>
          <t>Miguel Barbosa</t>
        </is>
      </c>
      <c r="C275" s="2" t="inlineStr">
        <is>
          <t>Pessoa Física</t>
        </is>
      </c>
      <c r="D275" s="2" t="inlineStr">
        <is>
          <t>Recife</t>
        </is>
      </c>
      <c r="E275" s="2" t="inlineStr">
        <is>
          <t>Nordeste</t>
        </is>
      </c>
      <c r="F275" s="3" t="n">
        <v>44625</v>
      </c>
    </row>
    <row r="276">
      <c r="A276" s="2" t="inlineStr">
        <is>
          <t>C0275</t>
        </is>
      </c>
      <c r="B276" s="2" t="inlineStr">
        <is>
          <t>Rafael Carvalho</t>
        </is>
      </c>
      <c r="C276" s="2" t="inlineStr">
        <is>
          <t>Pessoa Física</t>
        </is>
      </c>
      <c r="D276" s="2" t="inlineStr">
        <is>
          <t>São Paulo</t>
        </is>
      </c>
      <c r="E276" s="2" t="inlineStr">
        <is>
          <t>Sudeste</t>
        </is>
      </c>
      <c r="F276" s="3" t="n">
        <v>44783</v>
      </c>
    </row>
    <row r="277">
      <c r="A277" s="2" t="inlineStr">
        <is>
          <t>C0276</t>
        </is>
      </c>
      <c r="B277" s="2" t="inlineStr">
        <is>
          <t>Beatriz Martins</t>
        </is>
      </c>
      <c r="C277" s="2" t="inlineStr">
        <is>
          <t>Pessoa Física</t>
        </is>
      </c>
      <c r="D277" s="2" t="inlineStr">
        <is>
          <t>Brasília</t>
        </is>
      </c>
      <c r="E277" s="2" t="inlineStr">
        <is>
          <t>Centro-Oeste</t>
        </is>
      </c>
      <c r="F277" s="3" t="n">
        <v>44727</v>
      </c>
    </row>
    <row r="278">
      <c r="A278" s="2" t="inlineStr">
        <is>
          <t>C0277</t>
        </is>
      </c>
      <c r="B278" s="2" t="inlineStr">
        <is>
          <t>Lucas Pereira</t>
        </is>
      </c>
      <c r="C278" s="2" t="inlineStr">
        <is>
          <t>Pessoa Física</t>
        </is>
      </c>
      <c r="D278" s="2" t="inlineStr">
        <is>
          <t>Porto Alegre</t>
        </is>
      </c>
      <c r="E278" s="2" t="inlineStr">
        <is>
          <t>Sul</t>
        </is>
      </c>
      <c r="F278" s="3" t="n">
        <v>45125</v>
      </c>
    </row>
    <row r="279">
      <c r="A279" s="2" t="inlineStr">
        <is>
          <t>C0278</t>
        </is>
      </c>
      <c r="B279" s="2" t="inlineStr">
        <is>
          <t>Mariana Dias</t>
        </is>
      </c>
      <c r="C279" s="2" t="inlineStr">
        <is>
          <t>Pequena Empresa</t>
        </is>
      </c>
      <c r="D279" s="2" t="inlineStr">
        <is>
          <t>Campo Grande</t>
        </is>
      </c>
      <c r="E279" s="2" t="inlineStr">
        <is>
          <t>Centro-Oeste</t>
        </is>
      </c>
      <c r="F279" s="3" t="n">
        <v>45342</v>
      </c>
    </row>
    <row r="280">
      <c r="A280" s="2" t="inlineStr">
        <is>
          <t>C0279</t>
        </is>
      </c>
      <c r="B280" s="2" t="inlineStr">
        <is>
          <t>Sofia Lima</t>
        </is>
      </c>
      <c r="C280" s="2" t="inlineStr">
        <is>
          <t>Pessoa Física</t>
        </is>
      </c>
      <c r="D280" s="2" t="inlineStr">
        <is>
          <t>Campo Grande</t>
        </is>
      </c>
      <c r="E280" s="2" t="inlineStr">
        <is>
          <t>Centro-Oeste</t>
        </is>
      </c>
      <c r="F280" s="3" t="n">
        <v>45801</v>
      </c>
    </row>
    <row r="281">
      <c r="A281" s="2" t="inlineStr">
        <is>
          <t>C0280</t>
        </is>
      </c>
      <c r="B281" s="2" t="inlineStr">
        <is>
          <t>Daniel Souza</t>
        </is>
      </c>
      <c r="C281" s="2" t="inlineStr">
        <is>
          <t>Média Empresa</t>
        </is>
      </c>
      <c r="D281" s="2" t="inlineStr">
        <is>
          <t>Florianópolis</t>
        </is>
      </c>
      <c r="E281" s="2" t="inlineStr">
        <is>
          <t>Sul</t>
        </is>
      </c>
      <c r="F281" s="3" t="n">
        <v>45691</v>
      </c>
    </row>
    <row r="282">
      <c r="A282" s="2" t="inlineStr">
        <is>
          <t>C0281</t>
        </is>
      </c>
      <c r="B282" s="2" t="inlineStr">
        <is>
          <t>André Rodrigues</t>
        </is>
      </c>
      <c r="C282" s="2" t="inlineStr">
        <is>
          <t>Pessoa Física</t>
        </is>
      </c>
      <c r="D282" s="2" t="inlineStr">
        <is>
          <t>Recife</t>
        </is>
      </c>
      <c r="E282" s="2" t="inlineStr">
        <is>
          <t>Nordeste</t>
        </is>
      </c>
      <c r="F282" s="3" t="n">
        <v>45029</v>
      </c>
    </row>
    <row r="283">
      <c r="A283" s="2" t="inlineStr">
        <is>
          <t>C0282</t>
        </is>
      </c>
      <c r="B283" s="2" t="inlineStr">
        <is>
          <t>Larissa Martins</t>
        </is>
      </c>
      <c r="C283" s="2" t="inlineStr">
        <is>
          <t>Pessoa Física</t>
        </is>
      </c>
      <c r="D283" s="2" t="inlineStr">
        <is>
          <t>Florianópolis</t>
        </is>
      </c>
      <c r="E283" s="2" t="inlineStr">
        <is>
          <t>Sul</t>
        </is>
      </c>
      <c r="F283" s="3" t="n">
        <v>44756</v>
      </c>
    </row>
    <row r="284">
      <c r="A284" s="2" t="inlineStr">
        <is>
          <t>C0283</t>
        </is>
      </c>
      <c r="B284" s="2" t="inlineStr">
        <is>
          <t>Otávio Araújo</t>
        </is>
      </c>
      <c r="C284" s="2" t="inlineStr">
        <is>
          <t>Pequena Empresa</t>
        </is>
      </c>
      <c r="D284" s="2" t="inlineStr">
        <is>
          <t>Porto Alegre</t>
        </is>
      </c>
      <c r="E284" s="2" t="inlineStr">
        <is>
          <t>Sul</t>
        </is>
      </c>
      <c r="F284" s="3" t="n">
        <v>45328</v>
      </c>
    </row>
    <row r="285">
      <c r="A285" s="2" t="inlineStr">
        <is>
          <t>C0284</t>
        </is>
      </c>
      <c r="B285" s="2" t="inlineStr">
        <is>
          <t>Pedro Ribeiro</t>
        </is>
      </c>
      <c r="C285" s="2" t="inlineStr">
        <is>
          <t>Pessoa Física</t>
        </is>
      </c>
      <c r="D285" s="2" t="inlineStr">
        <is>
          <t>Belo Horizonte</t>
        </is>
      </c>
      <c r="E285" s="2" t="inlineStr">
        <is>
          <t>Sudeste</t>
        </is>
      </c>
      <c r="F285" s="3" t="n">
        <v>44736</v>
      </c>
    </row>
    <row r="286">
      <c r="A286" s="2" t="inlineStr">
        <is>
          <t>C0285</t>
        </is>
      </c>
      <c r="B286" s="2" t="inlineStr">
        <is>
          <t>Otávio Souza</t>
        </is>
      </c>
      <c r="C286" s="2" t="inlineStr">
        <is>
          <t>Pequena Empresa</t>
        </is>
      </c>
      <c r="D286" s="2" t="inlineStr">
        <is>
          <t>Rio de Janeiro</t>
        </is>
      </c>
      <c r="E286" s="2" t="inlineStr">
        <is>
          <t>Sudeste</t>
        </is>
      </c>
      <c r="F286" s="3" t="n">
        <v>45325</v>
      </c>
    </row>
    <row r="287">
      <c r="A287" s="2" t="inlineStr">
        <is>
          <t>C0286</t>
        </is>
      </c>
      <c r="B287" s="2" t="inlineStr">
        <is>
          <t>Eduarda Dias</t>
        </is>
      </c>
      <c r="C287" s="2" t="inlineStr">
        <is>
          <t>Pessoa Física</t>
        </is>
      </c>
      <c r="D287" s="2" t="inlineStr">
        <is>
          <t>Fortaleza</t>
        </is>
      </c>
      <c r="E287" s="2" t="inlineStr">
        <is>
          <t>Nordeste</t>
        </is>
      </c>
      <c r="F287" s="3" t="n">
        <v>45712</v>
      </c>
    </row>
    <row r="288">
      <c r="A288" s="2" t="inlineStr">
        <is>
          <t>C0287</t>
        </is>
      </c>
      <c r="B288" s="2" t="inlineStr">
        <is>
          <t>Larissa Souza</t>
        </is>
      </c>
      <c r="C288" s="2" t="inlineStr">
        <is>
          <t>Pessoa Física</t>
        </is>
      </c>
      <c r="D288" s="2" t="inlineStr">
        <is>
          <t>Goiânia</t>
        </is>
      </c>
      <c r="E288" s="2" t="inlineStr">
        <is>
          <t>Centro-Oeste</t>
        </is>
      </c>
      <c r="F288" s="3" t="n">
        <v>45428</v>
      </c>
    </row>
    <row r="289">
      <c r="A289" s="2" t="inlineStr">
        <is>
          <t>C0288</t>
        </is>
      </c>
      <c r="B289" s="2" t="inlineStr">
        <is>
          <t>Bruno Lima</t>
        </is>
      </c>
      <c r="C289" s="2" t="inlineStr">
        <is>
          <t>Pequena Empresa</t>
        </is>
      </c>
      <c r="D289" s="2" t="inlineStr">
        <is>
          <t>Recife</t>
        </is>
      </c>
      <c r="E289" s="2" t="inlineStr">
        <is>
          <t>Nordeste</t>
        </is>
      </c>
      <c r="F289" s="3" t="n">
        <v>45282</v>
      </c>
    </row>
    <row r="290">
      <c r="A290" s="2" t="inlineStr">
        <is>
          <t>C0289</t>
        </is>
      </c>
      <c r="B290" s="2" t="inlineStr">
        <is>
          <t>Vitória Barbosa</t>
        </is>
      </c>
      <c r="C290" s="2" t="inlineStr">
        <is>
          <t>Pessoa Física</t>
        </is>
      </c>
      <c r="D290" s="2" t="inlineStr">
        <is>
          <t>Rio de Janeiro</t>
        </is>
      </c>
      <c r="E290" s="2" t="inlineStr">
        <is>
          <t>Sudeste</t>
        </is>
      </c>
      <c r="F290" s="3" t="n">
        <v>45549</v>
      </c>
    </row>
    <row r="291">
      <c r="A291" s="2" t="inlineStr">
        <is>
          <t>C0290</t>
        </is>
      </c>
      <c r="B291" s="2" t="inlineStr">
        <is>
          <t>André Souza</t>
        </is>
      </c>
      <c r="C291" s="2" t="inlineStr">
        <is>
          <t>Pessoa Física</t>
        </is>
      </c>
      <c r="D291" s="2" t="inlineStr">
        <is>
          <t>Campinas</t>
        </is>
      </c>
      <c r="E291" s="2" t="inlineStr">
        <is>
          <t>Sudeste</t>
        </is>
      </c>
      <c r="F291" s="3" t="n">
        <v>45701</v>
      </c>
    </row>
    <row r="292">
      <c r="A292" s="2" t="inlineStr">
        <is>
          <t>C0291</t>
        </is>
      </c>
      <c r="B292" s="2" t="inlineStr">
        <is>
          <t>Daniel Nascimento</t>
        </is>
      </c>
      <c r="C292" s="2" t="inlineStr">
        <is>
          <t>Pessoa Física</t>
        </is>
      </c>
      <c r="D292" s="2" t="inlineStr">
        <is>
          <t>Porto Alegre</t>
        </is>
      </c>
      <c r="E292" s="2" t="inlineStr">
        <is>
          <t>Sul</t>
        </is>
      </c>
      <c r="F292" s="3" t="n">
        <v>45440</v>
      </c>
    </row>
    <row r="293">
      <c r="A293" s="2" t="inlineStr">
        <is>
          <t>C0292</t>
        </is>
      </c>
      <c r="B293" s="2" t="inlineStr">
        <is>
          <t>Luiza Dias</t>
        </is>
      </c>
      <c r="C293" s="2" t="inlineStr">
        <is>
          <t>Pessoa Física</t>
        </is>
      </c>
      <c r="D293" s="2" t="inlineStr">
        <is>
          <t>Goiânia</t>
        </is>
      </c>
      <c r="E293" s="2" t="inlineStr">
        <is>
          <t>Centro-Oeste</t>
        </is>
      </c>
      <c r="F293" s="3" t="n">
        <v>45109</v>
      </c>
    </row>
    <row r="294">
      <c r="A294" s="2" t="inlineStr">
        <is>
          <t>C0293</t>
        </is>
      </c>
      <c r="B294" s="2" t="inlineStr">
        <is>
          <t>Felipe Nascimento</t>
        </is>
      </c>
      <c r="C294" s="2" t="inlineStr">
        <is>
          <t>Pequena Empresa</t>
        </is>
      </c>
      <c r="D294" s="2" t="inlineStr">
        <is>
          <t>São Paulo</t>
        </is>
      </c>
      <c r="E294" s="2" t="inlineStr">
        <is>
          <t>Sudeste</t>
        </is>
      </c>
      <c r="F294" s="3" t="n">
        <v>45194</v>
      </c>
    </row>
    <row r="295">
      <c r="A295" s="2" t="inlineStr">
        <is>
          <t>C0294</t>
        </is>
      </c>
      <c r="B295" s="2" t="inlineStr">
        <is>
          <t>Marcos Silva</t>
        </is>
      </c>
      <c r="C295" s="2" t="inlineStr">
        <is>
          <t>Pessoa Física</t>
        </is>
      </c>
      <c r="D295" s="2" t="inlineStr">
        <is>
          <t>Porto Alegre</t>
        </is>
      </c>
      <c r="E295" s="2" t="inlineStr">
        <is>
          <t>Sul</t>
        </is>
      </c>
      <c r="F295" s="3" t="n">
        <v>44855</v>
      </c>
    </row>
    <row r="296">
      <c r="A296" s="2" t="inlineStr">
        <is>
          <t>C0295</t>
        </is>
      </c>
      <c r="B296" s="2" t="inlineStr">
        <is>
          <t>Pedro Carvalho</t>
        </is>
      </c>
      <c r="C296" s="2" t="inlineStr">
        <is>
          <t>Pessoa Física</t>
        </is>
      </c>
      <c r="D296" s="2" t="inlineStr">
        <is>
          <t>Campo Grande</t>
        </is>
      </c>
      <c r="E296" s="2" t="inlineStr">
        <is>
          <t>Centro-Oeste</t>
        </is>
      </c>
      <c r="F296" s="3" t="n">
        <v>45858</v>
      </c>
    </row>
    <row r="297">
      <c r="A297" s="2" t="inlineStr">
        <is>
          <t>C0296</t>
        </is>
      </c>
      <c r="B297" s="2" t="inlineStr">
        <is>
          <t>Camila Barbosa</t>
        </is>
      </c>
      <c r="C297" s="2" t="inlineStr">
        <is>
          <t>Pessoa Física</t>
        </is>
      </c>
      <c r="D297" s="2" t="inlineStr">
        <is>
          <t>São Paulo</t>
        </is>
      </c>
      <c r="E297" s="2" t="inlineStr">
        <is>
          <t>Sudeste</t>
        </is>
      </c>
      <c r="F297" s="3" t="n">
        <v>45421</v>
      </c>
    </row>
    <row r="298">
      <c r="A298" s="2" t="inlineStr">
        <is>
          <t>C0297</t>
        </is>
      </c>
      <c r="B298" s="2" t="inlineStr">
        <is>
          <t>Larissa Costa</t>
        </is>
      </c>
      <c r="C298" s="2" t="inlineStr">
        <is>
          <t>Pessoa Física</t>
        </is>
      </c>
      <c r="D298" s="2" t="inlineStr">
        <is>
          <t>Brasília</t>
        </is>
      </c>
      <c r="E298" s="2" t="inlineStr">
        <is>
          <t>Centro-Oeste</t>
        </is>
      </c>
      <c r="F298" s="3" t="n">
        <v>45226</v>
      </c>
    </row>
    <row r="299">
      <c r="A299" s="2" t="inlineStr">
        <is>
          <t>C0298</t>
        </is>
      </c>
      <c r="B299" s="2" t="inlineStr">
        <is>
          <t>Vitória Oliveira</t>
        </is>
      </c>
      <c r="C299" s="2" t="inlineStr">
        <is>
          <t>Média Empresa</t>
        </is>
      </c>
      <c r="D299" s="2" t="inlineStr">
        <is>
          <t>Fortaleza</t>
        </is>
      </c>
      <c r="E299" s="2" t="inlineStr">
        <is>
          <t>Nordeste</t>
        </is>
      </c>
      <c r="F299" s="3" t="n">
        <v>44880</v>
      </c>
    </row>
    <row r="300">
      <c r="A300" s="2" t="inlineStr">
        <is>
          <t>C0299</t>
        </is>
      </c>
      <c r="B300" s="2" t="inlineStr">
        <is>
          <t>Luiza Santos</t>
        </is>
      </c>
      <c r="C300" s="2" t="inlineStr">
        <is>
          <t>Pequena Empresa</t>
        </is>
      </c>
      <c r="D300" s="2" t="inlineStr">
        <is>
          <t>Belo Horizonte</t>
        </is>
      </c>
      <c r="E300" s="2" t="inlineStr">
        <is>
          <t>Sudeste</t>
        </is>
      </c>
      <c r="F300" s="3" t="n">
        <v>45119</v>
      </c>
    </row>
    <row r="301">
      <c r="A301" s="2" t="inlineStr">
        <is>
          <t>C0300</t>
        </is>
      </c>
      <c r="B301" s="2" t="inlineStr">
        <is>
          <t>Pedro Gomes</t>
        </is>
      </c>
      <c r="C301" s="2" t="inlineStr">
        <is>
          <t>Pessoa Física</t>
        </is>
      </c>
      <c r="D301" s="2" t="inlineStr">
        <is>
          <t>Brasília</t>
        </is>
      </c>
      <c r="E301" s="2" t="inlineStr">
        <is>
          <t>Centro-Oeste</t>
        </is>
      </c>
      <c r="F301" s="3" t="n">
        <v>45467</v>
      </c>
    </row>
    <row r="302">
      <c r="A302" s="2" t="inlineStr">
        <is>
          <t>C0301</t>
        </is>
      </c>
      <c r="B302" s="2" t="inlineStr">
        <is>
          <t>Isabela Rodrigues</t>
        </is>
      </c>
      <c r="C302" s="2" t="inlineStr">
        <is>
          <t>Pequena Empresa</t>
        </is>
      </c>
      <c r="D302" s="2" t="inlineStr">
        <is>
          <t>Florianópolis</t>
        </is>
      </c>
      <c r="E302" s="2" t="inlineStr">
        <is>
          <t>Sul</t>
        </is>
      </c>
      <c r="F302" s="3" t="n">
        <v>44795</v>
      </c>
    </row>
    <row r="303">
      <c r="A303" s="2" t="inlineStr">
        <is>
          <t>C0302</t>
        </is>
      </c>
      <c r="B303" s="2" t="inlineStr">
        <is>
          <t>Otávio Souza</t>
        </is>
      </c>
      <c r="C303" s="2" t="inlineStr">
        <is>
          <t>Pessoa Física</t>
        </is>
      </c>
      <c r="D303" s="2" t="inlineStr">
        <is>
          <t>Porto Alegre</t>
        </is>
      </c>
      <c r="E303" s="2" t="inlineStr">
        <is>
          <t>Sul</t>
        </is>
      </c>
      <c r="F303" s="3" t="n">
        <v>45776</v>
      </c>
    </row>
    <row r="304">
      <c r="A304" s="2" t="inlineStr">
        <is>
          <t>C0303</t>
        </is>
      </c>
      <c r="B304" s="2" t="inlineStr">
        <is>
          <t>Sofia Lima</t>
        </is>
      </c>
      <c r="C304" s="2" t="inlineStr">
        <is>
          <t>Pessoa Física</t>
        </is>
      </c>
      <c r="D304" s="2" t="inlineStr">
        <is>
          <t>Brasília</t>
        </is>
      </c>
      <c r="E304" s="2" t="inlineStr">
        <is>
          <t>Centro-Oeste</t>
        </is>
      </c>
      <c r="F304" s="3" t="n">
        <v>45371</v>
      </c>
    </row>
    <row r="305">
      <c r="A305" s="2" t="inlineStr">
        <is>
          <t>C0304</t>
        </is>
      </c>
      <c r="B305" s="2" t="inlineStr">
        <is>
          <t>Bruno Silva</t>
        </is>
      </c>
      <c r="C305" s="2" t="inlineStr">
        <is>
          <t>Pessoa Física</t>
        </is>
      </c>
      <c r="D305" s="2" t="inlineStr">
        <is>
          <t>Campo Grande</t>
        </is>
      </c>
      <c r="E305" s="2" t="inlineStr">
        <is>
          <t>Centro-Oeste</t>
        </is>
      </c>
      <c r="F305" s="3" t="n">
        <v>44994</v>
      </c>
    </row>
    <row r="306">
      <c r="A306" s="2" t="inlineStr">
        <is>
          <t>C0305</t>
        </is>
      </c>
      <c r="B306" s="2" t="inlineStr">
        <is>
          <t>Eduarda Nascimento</t>
        </is>
      </c>
      <c r="C306" s="2" t="inlineStr">
        <is>
          <t>Pessoa Física</t>
        </is>
      </c>
      <c r="D306" s="2" t="inlineStr">
        <is>
          <t>Fortaleza</t>
        </is>
      </c>
      <c r="E306" s="2" t="inlineStr">
        <is>
          <t>Nordeste</t>
        </is>
      </c>
      <c r="F306" s="3" t="n">
        <v>44807</v>
      </c>
    </row>
    <row r="307">
      <c r="A307" s="2" t="inlineStr">
        <is>
          <t>C0306</t>
        </is>
      </c>
      <c r="B307" s="2" t="inlineStr">
        <is>
          <t>Rafael Gomes</t>
        </is>
      </c>
      <c r="C307" s="2" t="inlineStr">
        <is>
          <t>Pessoa Física</t>
        </is>
      </c>
      <c r="D307" s="2" t="inlineStr">
        <is>
          <t>São Paulo</t>
        </is>
      </c>
      <c r="E307" s="2" t="inlineStr">
        <is>
          <t>Sudeste</t>
        </is>
      </c>
      <c r="F307" s="3" t="n">
        <v>45340</v>
      </c>
    </row>
    <row r="308">
      <c r="A308" s="2" t="inlineStr">
        <is>
          <t>C0307</t>
        </is>
      </c>
      <c r="B308" s="2" t="inlineStr">
        <is>
          <t>Beatriz Almeida</t>
        </is>
      </c>
      <c r="C308" s="2" t="inlineStr">
        <is>
          <t>Pessoa Física</t>
        </is>
      </c>
      <c r="D308" s="2" t="inlineStr">
        <is>
          <t>Goiânia</t>
        </is>
      </c>
      <c r="E308" s="2" t="inlineStr">
        <is>
          <t>Centro-Oeste</t>
        </is>
      </c>
      <c r="F308" s="3" t="n">
        <v>45287</v>
      </c>
    </row>
    <row r="309">
      <c r="A309" s="2" t="inlineStr">
        <is>
          <t>C0308</t>
        </is>
      </c>
      <c r="B309" s="2" t="inlineStr">
        <is>
          <t>Natália Santos</t>
        </is>
      </c>
      <c r="C309" s="2" t="inlineStr">
        <is>
          <t>Pessoa Física</t>
        </is>
      </c>
      <c r="D309" s="2" t="inlineStr">
        <is>
          <t>Rio de Janeiro</t>
        </is>
      </c>
      <c r="E309" s="2" t="inlineStr">
        <is>
          <t>Sudeste</t>
        </is>
      </c>
      <c r="F309" s="3" t="n">
        <v>45503</v>
      </c>
    </row>
    <row r="310">
      <c r="A310" s="2" t="inlineStr">
        <is>
          <t>C0309</t>
        </is>
      </c>
      <c r="B310" s="2" t="inlineStr">
        <is>
          <t>André Araújo</t>
        </is>
      </c>
      <c r="C310" s="2" t="inlineStr">
        <is>
          <t>Pessoa Física</t>
        </is>
      </c>
      <c r="D310" s="2" t="inlineStr">
        <is>
          <t>Rio de Janeiro</t>
        </is>
      </c>
      <c r="E310" s="2" t="inlineStr">
        <is>
          <t>Sudeste</t>
        </is>
      </c>
      <c r="F310" s="3" t="n">
        <v>45736</v>
      </c>
    </row>
    <row r="311">
      <c r="A311" s="2" t="inlineStr">
        <is>
          <t>C0310</t>
        </is>
      </c>
      <c r="B311" s="2" t="inlineStr">
        <is>
          <t>Beatriz Gomes</t>
        </is>
      </c>
      <c r="C311" s="2" t="inlineStr">
        <is>
          <t>Pessoa Física</t>
        </is>
      </c>
      <c r="D311" s="2" t="inlineStr">
        <is>
          <t>Florianópolis</t>
        </is>
      </c>
      <c r="E311" s="2" t="inlineStr">
        <is>
          <t>Sul</t>
        </is>
      </c>
      <c r="F311" s="3" t="n">
        <v>45391</v>
      </c>
    </row>
    <row r="312">
      <c r="A312" s="2" t="inlineStr">
        <is>
          <t>C0311</t>
        </is>
      </c>
      <c r="B312" s="2" t="inlineStr">
        <is>
          <t>Larissa Costa</t>
        </is>
      </c>
      <c r="C312" s="2" t="inlineStr">
        <is>
          <t>Média Empresa</t>
        </is>
      </c>
      <c r="D312" s="2" t="inlineStr">
        <is>
          <t>São Paulo</t>
        </is>
      </c>
      <c r="E312" s="2" t="inlineStr">
        <is>
          <t>Sudeste</t>
        </is>
      </c>
      <c r="F312" s="3" t="n">
        <v>45827</v>
      </c>
    </row>
    <row r="313">
      <c r="A313" s="2" t="inlineStr">
        <is>
          <t>C0312</t>
        </is>
      </c>
      <c r="B313" s="2" t="inlineStr">
        <is>
          <t>Yasmin Fernandes</t>
        </is>
      </c>
      <c r="C313" s="2" t="inlineStr">
        <is>
          <t>Pessoa Física</t>
        </is>
      </c>
      <c r="D313" s="2" t="inlineStr">
        <is>
          <t>Brasília</t>
        </is>
      </c>
      <c r="E313" s="2" t="inlineStr">
        <is>
          <t>Centro-Oeste</t>
        </is>
      </c>
      <c r="F313" s="3" t="n">
        <v>44778</v>
      </c>
    </row>
    <row r="314">
      <c r="A314" s="2" t="inlineStr">
        <is>
          <t>C0313</t>
        </is>
      </c>
      <c r="B314" s="2" t="inlineStr">
        <is>
          <t>Otávio Carvalho</t>
        </is>
      </c>
      <c r="C314" s="2" t="inlineStr">
        <is>
          <t>Pessoa Física</t>
        </is>
      </c>
      <c r="D314" s="2" t="inlineStr">
        <is>
          <t>Campinas</t>
        </is>
      </c>
      <c r="E314" s="2" t="inlineStr">
        <is>
          <t>Sudeste</t>
        </is>
      </c>
      <c r="F314" s="3" t="n">
        <v>45372</v>
      </c>
    </row>
    <row r="315">
      <c r="A315" s="2" t="inlineStr">
        <is>
          <t>C0314</t>
        </is>
      </c>
      <c r="B315" s="2" t="inlineStr">
        <is>
          <t>Caio Araújo</t>
        </is>
      </c>
      <c r="C315" s="2" t="inlineStr">
        <is>
          <t>Pessoa Física</t>
        </is>
      </c>
      <c r="D315" s="2" t="inlineStr">
        <is>
          <t>Curitiba</t>
        </is>
      </c>
      <c r="E315" s="2" t="inlineStr">
        <is>
          <t>Sul</t>
        </is>
      </c>
      <c r="F315" s="3" t="n">
        <v>44906</v>
      </c>
    </row>
    <row r="316">
      <c r="A316" s="2" t="inlineStr">
        <is>
          <t>C0315</t>
        </is>
      </c>
      <c r="B316" s="2" t="inlineStr">
        <is>
          <t>Sofia Souza</t>
        </is>
      </c>
      <c r="C316" s="2" t="inlineStr">
        <is>
          <t>Pessoa Física</t>
        </is>
      </c>
      <c r="D316" s="2" t="inlineStr">
        <is>
          <t>Rio de Janeiro</t>
        </is>
      </c>
      <c r="E316" s="2" t="inlineStr">
        <is>
          <t>Sudeste</t>
        </is>
      </c>
      <c r="F316" s="3" t="n">
        <v>44959</v>
      </c>
    </row>
    <row r="317">
      <c r="A317" s="2" t="inlineStr">
        <is>
          <t>C0316</t>
        </is>
      </c>
      <c r="B317" s="2" t="inlineStr">
        <is>
          <t>Marcos Fernandes</t>
        </is>
      </c>
      <c r="C317" s="2" t="inlineStr">
        <is>
          <t>Pequena Empresa</t>
        </is>
      </c>
      <c r="D317" s="2" t="inlineStr">
        <is>
          <t>Fortaleza</t>
        </is>
      </c>
      <c r="E317" s="2" t="inlineStr">
        <is>
          <t>Nordeste</t>
        </is>
      </c>
      <c r="F317" s="3" t="n">
        <v>44864</v>
      </c>
    </row>
    <row r="318">
      <c r="A318" s="2" t="inlineStr">
        <is>
          <t>C0317</t>
        </is>
      </c>
      <c r="B318" s="2" t="inlineStr">
        <is>
          <t>Daniel Pereira</t>
        </is>
      </c>
      <c r="C318" s="2" t="inlineStr">
        <is>
          <t>Pessoa Física</t>
        </is>
      </c>
      <c r="D318" s="2" t="inlineStr">
        <is>
          <t>Campinas</t>
        </is>
      </c>
      <c r="E318" s="2" t="inlineStr">
        <is>
          <t>Sudeste</t>
        </is>
      </c>
      <c r="F318" s="3" t="n">
        <v>44917</v>
      </c>
    </row>
    <row r="319">
      <c r="A319" s="2" t="inlineStr">
        <is>
          <t>C0318</t>
        </is>
      </c>
      <c r="B319" s="2" t="inlineStr">
        <is>
          <t>Eduarda Oliveira</t>
        </is>
      </c>
      <c r="C319" s="2" t="inlineStr">
        <is>
          <t>Pessoa Física</t>
        </is>
      </c>
      <c r="D319" s="2" t="inlineStr">
        <is>
          <t>Campo Grande</t>
        </is>
      </c>
      <c r="E319" s="2" t="inlineStr">
        <is>
          <t>Centro-Oeste</t>
        </is>
      </c>
      <c r="F319" s="3" t="n">
        <v>45848</v>
      </c>
    </row>
    <row r="320">
      <c r="A320" s="2" t="inlineStr">
        <is>
          <t>C0319</t>
        </is>
      </c>
      <c r="B320" s="2" t="inlineStr">
        <is>
          <t>Paula Martins</t>
        </is>
      </c>
      <c r="C320" s="2" t="inlineStr">
        <is>
          <t>Pequena Empresa</t>
        </is>
      </c>
      <c r="D320" s="2" t="inlineStr">
        <is>
          <t>Brasília</t>
        </is>
      </c>
      <c r="E320" s="2" t="inlineStr">
        <is>
          <t>Centro-Oeste</t>
        </is>
      </c>
      <c r="F320" s="3" t="n">
        <v>45718</v>
      </c>
    </row>
    <row r="321">
      <c r="A321" s="2" t="inlineStr">
        <is>
          <t>C0320</t>
        </is>
      </c>
      <c r="B321" s="2" t="inlineStr">
        <is>
          <t>Mariana Araújo</t>
        </is>
      </c>
      <c r="C321" s="2" t="inlineStr">
        <is>
          <t>Média Empresa</t>
        </is>
      </c>
      <c r="D321" s="2" t="inlineStr">
        <is>
          <t>Salvador</t>
        </is>
      </c>
      <c r="E321" s="2" t="inlineStr">
        <is>
          <t>Nordeste</t>
        </is>
      </c>
      <c r="F321" s="3" t="n">
        <v>45846</v>
      </c>
    </row>
    <row r="322">
      <c r="A322" s="2" t="inlineStr">
        <is>
          <t>C0321</t>
        </is>
      </c>
      <c r="B322" s="2" t="inlineStr">
        <is>
          <t>Eduarda Martins</t>
        </is>
      </c>
      <c r="C322" s="2" t="inlineStr">
        <is>
          <t>Pessoa Física</t>
        </is>
      </c>
      <c r="D322" s="2" t="inlineStr">
        <is>
          <t>Porto Alegre</t>
        </is>
      </c>
      <c r="E322" s="2" t="inlineStr">
        <is>
          <t>Sul</t>
        </is>
      </c>
      <c r="F322" s="3" t="n">
        <v>45467</v>
      </c>
    </row>
    <row r="323">
      <c r="A323" s="2" t="inlineStr">
        <is>
          <t>C0322</t>
        </is>
      </c>
      <c r="B323" s="2" t="inlineStr">
        <is>
          <t>João Nascimento</t>
        </is>
      </c>
      <c r="C323" s="2" t="inlineStr">
        <is>
          <t>Pequena Empresa</t>
        </is>
      </c>
      <c r="D323" s="2" t="inlineStr">
        <is>
          <t>Salvador</t>
        </is>
      </c>
      <c r="E323" s="2" t="inlineStr">
        <is>
          <t>Nordeste</t>
        </is>
      </c>
      <c r="F323" s="3" t="n">
        <v>45282</v>
      </c>
    </row>
    <row r="324">
      <c r="A324" s="2" t="inlineStr">
        <is>
          <t>C0323</t>
        </is>
      </c>
      <c r="B324" s="2" t="inlineStr">
        <is>
          <t>Camila Lima</t>
        </is>
      </c>
      <c r="C324" s="2" t="inlineStr">
        <is>
          <t>Pessoa Física</t>
        </is>
      </c>
      <c r="D324" s="2" t="inlineStr">
        <is>
          <t>Goiânia</t>
        </is>
      </c>
      <c r="E324" s="2" t="inlineStr">
        <is>
          <t>Centro-Oeste</t>
        </is>
      </c>
      <c r="F324" s="3" t="n">
        <v>44639</v>
      </c>
    </row>
    <row r="325">
      <c r="A325" s="2" t="inlineStr">
        <is>
          <t>C0324</t>
        </is>
      </c>
      <c r="B325" s="2" t="inlineStr">
        <is>
          <t>Marcos Lima</t>
        </is>
      </c>
      <c r="C325" s="2" t="inlineStr">
        <is>
          <t>Pessoa Física</t>
        </is>
      </c>
      <c r="D325" s="2" t="inlineStr">
        <is>
          <t>São Paulo</t>
        </is>
      </c>
      <c r="E325" s="2" t="inlineStr">
        <is>
          <t>Sudeste</t>
        </is>
      </c>
      <c r="F325" s="3" t="n">
        <v>44746</v>
      </c>
    </row>
    <row r="326">
      <c r="A326" s="2" t="inlineStr">
        <is>
          <t>C0325</t>
        </is>
      </c>
      <c r="B326" s="2" t="inlineStr">
        <is>
          <t>Lucas Barbosa</t>
        </is>
      </c>
      <c r="C326" s="2" t="inlineStr">
        <is>
          <t>Pessoa Física</t>
        </is>
      </c>
      <c r="D326" s="2" t="inlineStr">
        <is>
          <t>Campo Grande</t>
        </is>
      </c>
      <c r="E326" s="2" t="inlineStr">
        <is>
          <t>Centro-Oeste</t>
        </is>
      </c>
      <c r="F326" s="3" t="n">
        <v>45750</v>
      </c>
    </row>
    <row r="327">
      <c r="A327" s="2" t="inlineStr">
        <is>
          <t>C0326</t>
        </is>
      </c>
      <c r="B327" s="2" t="inlineStr">
        <is>
          <t>Miguel Santos</t>
        </is>
      </c>
      <c r="C327" s="2" t="inlineStr">
        <is>
          <t>Pessoa Física</t>
        </is>
      </c>
      <c r="D327" s="2" t="inlineStr">
        <is>
          <t>Goiânia</t>
        </is>
      </c>
      <c r="E327" s="2" t="inlineStr">
        <is>
          <t>Centro-Oeste</t>
        </is>
      </c>
      <c r="F327" s="3" t="n">
        <v>45732</v>
      </c>
    </row>
    <row r="328">
      <c r="A328" s="2" t="inlineStr">
        <is>
          <t>C0327</t>
        </is>
      </c>
      <c r="B328" s="2" t="inlineStr">
        <is>
          <t>Gabriela Araújo</t>
        </is>
      </c>
      <c r="C328" s="2" t="inlineStr">
        <is>
          <t>Pequena Empresa</t>
        </is>
      </c>
      <c r="D328" s="2" t="inlineStr">
        <is>
          <t>Salvador</t>
        </is>
      </c>
      <c r="E328" s="2" t="inlineStr">
        <is>
          <t>Nordeste</t>
        </is>
      </c>
      <c r="F328" s="3" t="n">
        <v>45588</v>
      </c>
    </row>
    <row r="329">
      <c r="A329" s="2" t="inlineStr">
        <is>
          <t>C0328</t>
        </is>
      </c>
      <c r="B329" s="2" t="inlineStr">
        <is>
          <t>Bruno Martins</t>
        </is>
      </c>
      <c r="C329" s="2" t="inlineStr">
        <is>
          <t>Pessoa Física</t>
        </is>
      </c>
      <c r="D329" s="2" t="inlineStr">
        <is>
          <t>Belo Horizonte</t>
        </is>
      </c>
      <c r="E329" s="2" t="inlineStr">
        <is>
          <t>Sudeste</t>
        </is>
      </c>
      <c r="F329" s="3" t="n">
        <v>45265</v>
      </c>
    </row>
    <row r="330">
      <c r="A330" s="2" t="inlineStr">
        <is>
          <t>C0329</t>
        </is>
      </c>
      <c r="B330" s="2" t="inlineStr">
        <is>
          <t>Camila Barbosa</t>
        </is>
      </c>
      <c r="C330" s="2" t="inlineStr">
        <is>
          <t>Pequena Empresa</t>
        </is>
      </c>
      <c r="D330" s="2" t="inlineStr">
        <is>
          <t>Recife</t>
        </is>
      </c>
      <c r="E330" s="2" t="inlineStr">
        <is>
          <t>Nordeste</t>
        </is>
      </c>
      <c r="F330" s="3" t="n">
        <v>44642</v>
      </c>
    </row>
    <row r="331">
      <c r="A331" s="2" t="inlineStr">
        <is>
          <t>C0330</t>
        </is>
      </c>
      <c r="B331" s="2" t="inlineStr">
        <is>
          <t>Beatriz Martins</t>
        </is>
      </c>
      <c r="C331" s="2" t="inlineStr">
        <is>
          <t>Grande Empresa</t>
        </is>
      </c>
      <c r="D331" s="2" t="inlineStr">
        <is>
          <t>Campinas</t>
        </is>
      </c>
      <c r="E331" s="2" t="inlineStr">
        <is>
          <t>Sudeste</t>
        </is>
      </c>
      <c r="F331" s="3" t="n">
        <v>45635</v>
      </c>
    </row>
    <row r="332">
      <c r="A332" s="2" t="inlineStr">
        <is>
          <t>C0331</t>
        </is>
      </c>
      <c r="B332" s="2" t="inlineStr">
        <is>
          <t>Lucas Costa</t>
        </is>
      </c>
      <c r="C332" s="2" t="inlineStr">
        <is>
          <t>Pessoa Física</t>
        </is>
      </c>
      <c r="D332" s="2" t="inlineStr">
        <is>
          <t>Goiânia</t>
        </is>
      </c>
      <c r="E332" s="2" t="inlineStr">
        <is>
          <t>Centro-Oeste</t>
        </is>
      </c>
      <c r="F332" s="3" t="n">
        <v>45141</v>
      </c>
    </row>
    <row r="333">
      <c r="A333" s="2" t="inlineStr">
        <is>
          <t>C0332</t>
        </is>
      </c>
      <c r="B333" s="2" t="inlineStr">
        <is>
          <t>Otávio Araújo</t>
        </is>
      </c>
      <c r="C333" s="2" t="inlineStr">
        <is>
          <t>Pequena Empresa</t>
        </is>
      </c>
      <c r="D333" s="2" t="inlineStr">
        <is>
          <t>Florianópolis</t>
        </is>
      </c>
      <c r="E333" s="2" t="inlineStr">
        <is>
          <t>Sul</t>
        </is>
      </c>
      <c r="F333" s="3" t="n">
        <v>44669</v>
      </c>
    </row>
    <row r="334">
      <c r="A334" s="2" t="inlineStr">
        <is>
          <t>C0333</t>
        </is>
      </c>
      <c r="B334" s="2" t="inlineStr">
        <is>
          <t>Mariana Araújo</t>
        </is>
      </c>
      <c r="C334" s="2" t="inlineStr">
        <is>
          <t>Pessoa Física</t>
        </is>
      </c>
      <c r="D334" s="2" t="inlineStr">
        <is>
          <t>Fortaleza</t>
        </is>
      </c>
      <c r="E334" s="2" t="inlineStr">
        <is>
          <t>Nordeste</t>
        </is>
      </c>
      <c r="F334" s="3" t="n">
        <v>44755</v>
      </c>
    </row>
    <row r="335">
      <c r="A335" s="2" t="inlineStr">
        <is>
          <t>C0334</t>
        </is>
      </c>
      <c r="B335" s="2" t="inlineStr">
        <is>
          <t>Pedro Carvalho</t>
        </is>
      </c>
      <c r="C335" s="2" t="inlineStr">
        <is>
          <t>Pessoa Física</t>
        </is>
      </c>
      <c r="D335" s="2" t="inlineStr">
        <is>
          <t>Goiânia</t>
        </is>
      </c>
      <c r="E335" s="2" t="inlineStr">
        <is>
          <t>Centro-Oeste</t>
        </is>
      </c>
      <c r="F335" s="3" t="n">
        <v>45796</v>
      </c>
    </row>
    <row r="336">
      <c r="A336" s="2" t="inlineStr">
        <is>
          <t>C0335</t>
        </is>
      </c>
      <c r="B336" s="2" t="inlineStr">
        <is>
          <t>Larissa Oliveira</t>
        </is>
      </c>
      <c r="C336" s="2" t="inlineStr">
        <is>
          <t>Pequena Empresa</t>
        </is>
      </c>
      <c r="D336" s="2" t="inlineStr">
        <is>
          <t>Belo Horizonte</t>
        </is>
      </c>
      <c r="E336" s="2" t="inlineStr">
        <is>
          <t>Sudeste</t>
        </is>
      </c>
      <c r="F336" s="3" t="n">
        <v>44851</v>
      </c>
    </row>
    <row r="337">
      <c r="A337" s="2" t="inlineStr">
        <is>
          <t>C0336</t>
        </is>
      </c>
      <c r="B337" s="2" t="inlineStr">
        <is>
          <t>João Carvalho</t>
        </is>
      </c>
      <c r="C337" s="2" t="inlineStr">
        <is>
          <t>Pessoa Física</t>
        </is>
      </c>
      <c r="D337" s="2" t="inlineStr">
        <is>
          <t>Porto Alegre</t>
        </is>
      </c>
      <c r="E337" s="2" t="inlineStr">
        <is>
          <t>Sul</t>
        </is>
      </c>
      <c r="F337" s="3" t="n">
        <v>44735</v>
      </c>
    </row>
    <row r="338">
      <c r="A338" s="2" t="inlineStr">
        <is>
          <t>C0337</t>
        </is>
      </c>
      <c r="B338" s="2" t="inlineStr">
        <is>
          <t>Thiago Carvalho</t>
        </is>
      </c>
      <c r="C338" s="2" t="inlineStr">
        <is>
          <t>Pequena Empresa</t>
        </is>
      </c>
      <c r="D338" s="2" t="inlineStr">
        <is>
          <t>Curitiba</t>
        </is>
      </c>
      <c r="E338" s="2" t="inlineStr">
        <is>
          <t>Sul</t>
        </is>
      </c>
      <c r="F338" s="3" t="n">
        <v>45234</v>
      </c>
    </row>
    <row r="339">
      <c r="A339" s="2" t="inlineStr">
        <is>
          <t>C0338</t>
        </is>
      </c>
      <c r="B339" s="2" t="inlineStr">
        <is>
          <t>Pedro Barbosa</t>
        </is>
      </c>
      <c r="C339" s="2" t="inlineStr">
        <is>
          <t>Pessoa Física</t>
        </is>
      </c>
      <c r="D339" s="2" t="inlineStr">
        <is>
          <t>Belo Horizonte</t>
        </is>
      </c>
      <c r="E339" s="2" t="inlineStr">
        <is>
          <t>Sudeste</t>
        </is>
      </c>
      <c r="F339" s="3" t="n">
        <v>45429</v>
      </c>
    </row>
    <row r="340">
      <c r="A340" s="2" t="inlineStr">
        <is>
          <t>C0339</t>
        </is>
      </c>
      <c r="B340" s="2" t="inlineStr">
        <is>
          <t>Marcos Silva</t>
        </is>
      </c>
      <c r="C340" s="2" t="inlineStr">
        <is>
          <t>Pessoa Física</t>
        </is>
      </c>
      <c r="D340" s="2" t="inlineStr">
        <is>
          <t>Goiânia</t>
        </is>
      </c>
      <c r="E340" s="2" t="inlineStr">
        <is>
          <t>Centro-Oeste</t>
        </is>
      </c>
      <c r="F340" s="3" t="n">
        <v>44931</v>
      </c>
    </row>
    <row r="341">
      <c r="A341" s="2" t="inlineStr">
        <is>
          <t>C0340</t>
        </is>
      </c>
      <c r="B341" s="2" t="inlineStr">
        <is>
          <t>Larissa Ribeiro</t>
        </is>
      </c>
      <c r="C341" s="2" t="inlineStr">
        <is>
          <t>Pessoa Física</t>
        </is>
      </c>
      <c r="D341" s="2" t="inlineStr">
        <is>
          <t>Campinas</t>
        </is>
      </c>
      <c r="E341" s="2" t="inlineStr">
        <is>
          <t>Sudeste</t>
        </is>
      </c>
      <c r="F341" s="3" t="n">
        <v>44843</v>
      </c>
    </row>
    <row r="342">
      <c r="A342" s="2" t="inlineStr">
        <is>
          <t>C0341</t>
        </is>
      </c>
      <c r="B342" s="2" t="inlineStr">
        <is>
          <t>Camila Lima</t>
        </is>
      </c>
      <c r="C342" s="2" t="inlineStr">
        <is>
          <t>Média Empresa</t>
        </is>
      </c>
      <c r="D342" s="2" t="inlineStr">
        <is>
          <t>Belo Horizonte</t>
        </is>
      </c>
      <c r="E342" s="2" t="inlineStr">
        <is>
          <t>Sudeste</t>
        </is>
      </c>
      <c r="F342" s="3" t="n">
        <v>44769</v>
      </c>
    </row>
    <row r="343">
      <c r="A343" s="2" t="inlineStr">
        <is>
          <t>C0342</t>
        </is>
      </c>
      <c r="B343" s="2" t="inlineStr">
        <is>
          <t>Luiza Dias</t>
        </is>
      </c>
      <c r="C343" s="2" t="inlineStr">
        <is>
          <t>Média Empresa</t>
        </is>
      </c>
      <c r="D343" s="2" t="inlineStr">
        <is>
          <t>Goiânia</t>
        </is>
      </c>
      <c r="E343" s="2" t="inlineStr">
        <is>
          <t>Centro-Oeste</t>
        </is>
      </c>
      <c r="F343" s="3" t="n">
        <v>45640</v>
      </c>
    </row>
    <row r="344">
      <c r="A344" s="2" t="inlineStr">
        <is>
          <t>C0343</t>
        </is>
      </c>
      <c r="B344" s="2" t="inlineStr">
        <is>
          <t>Pedro Araújo</t>
        </is>
      </c>
      <c r="C344" s="2" t="inlineStr">
        <is>
          <t>Média Empresa</t>
        </is>
      </c>
      <c r="D344" s="2" t="inlineStr">
        <is>
          <t>São Paulo</t>
        </is>
      </c>
      <c r="E344" s="2" t="inlineStr">
        <is>
          <t>Sudeste</t>
        </is>
      </c>
      <c r="F344" s="3" t="n">
        <v>45827</v>
      </c>
    </row>
    <row r="345">
      <c r="A345" s="2" t="inlineStr">
        <is>
          <t>C0344</t>
        </is>
      </c>
      <c r="B345" s="2" t="inlineStr">
        <is>
          <t>Lucas Carvalho</t>
        </is>
      </c>
      <c r="C345" s="2" t="inlineStr">
        <is>
          <t>Pessoa Física</t>
        </is>
      </c>
      <c r="D345" s="2" t="inlineStr">
        <is>
          <t>Belo Horizonte</t>
        </is>
      </c>
      <c r="E345" s="2" t="inlineStr">
        <is>
          <t>Sudeste</t>
        </is>
      </c>
      <c r="F345" s="3" t="n">
        <v>44932</v>
      </c>
    </row>
    <row r="346">
      <c r="A346" s="2" t="inlineStr">
        <is>
          <t>C0345</t>
        </is>
      </c>
      <c r="B346" s="2" t="inlineStr">
        <is>
          <t>Luiza Costa</t>
        </is>
      </c>
      <c r="C346" s="2" t="inlineStr">
        <is>
          <t>Pequena Empresa</t>
        </is>
      </c>
      <c r="D346" s="2" t="inlineStr">
        <is>
          <t>Recife</t>
        </is>
      </c>
      <c r="E346" s="2" t="inlineStr">
        <is>
          <t>Nordeste</t>
        </is>
      </c>
      <c r="F346" s="3" t="n">
        <v>44651</v>
      </c>
    </row>
    <row r="347">
      <c r="A347" s="2" t="inlineStr">
        <is>
          <t>C0346</t>
        </is>
      </c>
      <c r="B347" s="2" t="inlineStr">
        <is>
          <t>Marcos Almeida</t>
        </is>
      </c>
      <c r="C347" s="2" t="inlineStr">
        <is>
          <t>Grande Empresa</t>
        </is>
      </c>
      <c r="D347" s="2" t="inlineStr">
        <is>
          <t>Florianópolis</t>
        </is>
      </c>
      <c r="E347" s="2" t="inlineStr">
        <is>
          <t>Sul</t>
        </is>
      </c>
      <c r="F347" s="3" t="n">
        <v>45812</v>
      </c>
    </row>
    <row r="348">
      <c r="A348" s="2" t="inlineStr">
        <is>
          <t>C0347</t>
        </is>
      </c>
      <c r="B348" s="2" t="inlineStr">
        <is>
          <t>Luiza Martins</t>
        </is>
      </c>
      <c r="C348" s="2" t="inlineStr">
        <is>
          <t>Pessoa Física</t>
        </is>
      </c>
      <c r="D348" s="2" t="inlineStr">
        <is>
          <t>Curitiba</t>
        </is>
      </c>
      <c r="E348" s="2" t="inlineStr">
        <is>
          <t>Sul</t>
        </is>
      </c>
      <c r="F348" s="3" t="n">
        <v>45051</v>
      </c>
    </row>
    <row r="349">
      <c r="A349" s="2" t="inlineStr">
        <is>
          <t>C0348</t>
        </is>
      </c>
      <c r="B349" s="2" t="inlineStr">
        <is>
          <t>Miguel Ribeiro</t>
        </is>
      </c>
      <c r="C349" s="2" t="inlineStr">
        <is>
          <t>Média Empresa</t>
        </is>
      </c>
      <c r="D349" s="2" t="inlineStr">
        <is>
          <t>Curitiba</t>
        </is>
      </c>
      <c r="E349" s="2" t="inlineStr">
        <is>
          <t>Sul</t>
        </is>
      </c>
      <c r="F349" s="3" t="n">
        <v>44959</v>
      </c>
    </row>
    <row r="350">
      <c r="A350" s="2" t="inlineStr">
        <is>
          <t>C0349</t>
        </is>
      </c>
      <c r="B350" s="2" t="inlineStr">
        <is>
          <t>Pedro Martins</t>
        </is>
      </c>
      <c r="C350" s="2" t="inlineStr">
        <is>
          <t>Pessoa Física</t>
        </is>
      </c>
      <c r="D350" s="2" t="inlineStr">
        <is>
          <t>Porto Alegre</t>
        </is>
      </c>
      <c r="E350" s="2" t="inlineStr">
        <is>
          <t>Sul</t>
        </is>
      </c>
      <c r="F350" s="3" t="n">
        <v>45139</v>
      </c>
    </row>
    <row r="351">
      <c r="A351" s="2" t="inlineStr">
        <is>
          <t>C0350</t>
        </is>
      </c>
      <c r="B351" s="2" t="inlineStr">
        <is>
          <t>Natália Barbosa</t>
        </is>
      </c>
      <c r="C351" s="2" t="inlineStr">
        <is>
          <t>Pessoa Física</t>
        </is>
      </c>
      <c r="D351" s="2" t="inlineStr">
        <is>
          <t>Fortaleza</t>
        </is>
      </c>
      <c r="E351" s="2" t="inlineStr">
        <is>
          <t>Nordeste</t>
        </is>
      </c>
      <c r="F351" s="3" t="n">
        <v>44893</v>
      </c>
    </row>
  </sheetData>
  <autoFilter ref="A1:F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tabSelected="1" workbookViewId="0">
      <pane ySplit="1" topLeftCell="A2" activePane="bottomLeft" state="frozen"/>
      <selection pane="bottomLeft" activeCell="E1" sqref="E1:E1048576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5" customWidth="1" style="6" min="4" max="5"/>
    <col width="15" customWidth="1" min="5" max="5"/>
    <col width="15" customWidth="1" min="6" max="6"/>
  </cols>
  <sheetData>
    <row r="1" ht="27.95" customHeight="1">
      <c r="A1" s="16" t="inlineStr">
        <is>
          <t>ProdutoID</t>
        </is>
      </c>
      <c r="B1" s="16" t="inlineStr">
        <is>
          <t>NomeProduto</t>
        </is>
      </c>
      <c r="C1" s="16" t="inlineStr">
        <is>
          <t>Categoria</t>
        </is>
      </c>
      <c r="D1" s="17" t="inlineStr">
        <is>
          <t>CustoUnitario</t>
        </is>
      </c>
      <c r="E1" s="17" t="inlineStr">
        <is>
          <t>PrecoUnitario</t>
        </is>
      </c>
      <c r="F1" s="16" t="inlineStr">
        <is>
          <t>Fornecedor</t>
        </is>
      </c>
    </row>
    <row r="2">
      <c r="A2" s="2" t="inlineStr">
        <is>
          <t>P001</t>
        </is>
      </c>
      <c r="B2" s="2" t="inlineStr">
        <is>
          <t>Luminária Essencial 01</t>
        </is>
      </c>
      <c r="C2" s="2" t="inlineStr">
        <is>
          <t>Móveis</t>
        </is>
      </c>
      <c r="D2" s="7" t="n">
        <v>1093.14</v>
      </c>
      <c r="E2" s="7" t="n">
        <v>1929.3</v>
      </c>
      <c r="F2" s="2" t="inlineStr">
        <is>
          <t>Fornecedor 16</t>
        </is>
      </c>
    </row>
    <row r="3">
      <c r="A3" s="2" t="inlineStr">
        <is>
          <t>P002</t>
        </is>
      </c>
      <c r="B3" s="2" t="inlineStr">
        <is>
          <t>Pasta Compacto 02</t>
        </is>
      </c>
      <c r="C3" s="2" t="inlineStr">
        <is>
          <t>Papelaria</t>
        </is>
      </c>
      <c r="D3" s="7" t="n">
        <v>1682.52</v>
      </c>
      <c r="E3" s="7" t="n">
        <v>2787.33</v>
      </c>
      <c r="F3" s="2" t="inlineStr">
        <is>
          <t>Fornecedor 04</t>
        </is>
      </c>
    </row>
    <row r="4">
      <c r="A4" s="2" t="inlineStr">
        <is>
          <t>P003</t>
        </is>
      </c>
      <c r="B4" s="2" t="inlineStr">
        <is>
          <t>Caderno Compacto 03</t>
        </is>
      </c>
      <c r="C4" s="2" t="inlineStr">
        <is>
          <t>Papelaria</t>
        </is>
      </c>
      <c r="D4" s="7" t="n">
        <v>1376.45</v>
      </c>
      <c r="E4" s="7" t="n">
        <v>1875.79</v>
      </c>
      <c r="F4" s="2" t="inlineStr">
        <is>
          <t>Fornecedor 05</t>
        </is>
      </c>
    </row>
    <row r="5">
      <c r="A5" s="2" t="inlineStr">
        <is>
          <t>P004</t>
        </is>
      </c>
      <c r="B5" s="2" t="inlineStr">
        <is>
          <t>Smartphone Premium 04</t>
        </is>
      </c>
      <c r="C5" s="2" t="inlineStr">
        <is>
          <t>Telefonia</t>
        </is>
      </c>
      <c r="D5" s="7" t="n">
        <v>1704.19</v>
      </c>
      <c r="E5" s="7" t="n">
        <v>2264.47</v>
      </c>
      <c r="F5" s="2" t="inlineStr">
        <is>
          <t>Fornecedor 12</t>
        </is>
      </c>
    </row>
    <row r="6">
      <c r="A6" s="2" t="inlineStr">
        <is>
          <t>P005</t>
        </is>
      </c>
      <c r="B6" s="2" t="inlineStr">
        <is>
          <t>Memória RAM Plus 05</t>
        </is>
      </c>
      <c r="C6" s="2" t="inlineStr">
        <is>
          <t>Informática</t>
        </is>
      </c>
      <c r="D6" s="7" t="n">
        <v>107.22</v>
      </c>
      <c r="E6" s="7" t="n">
        <v>162.58</v>
      </c>
      <c r="F6" s="2" t="inlineStr">
        <is>
          <t>Fornecedor 13</t>
        </is>
      </c>
    </row>
    <row r="7">
      <c r="A7" s="2" t="inlineStr">
        <is>
          <t>P006</t>
        </is>
      </c>
      <c r="B7" s="2" t="inlineStr">
        <is>
          <t>SSD Essencial 06</t>
        </is>
      </c>
      <c r="C7" s="2" t="inlineStr">
        <is>
          <t>Informática</t>
        </is>
      </c>
      <c r="D7" s="7" t="n">
        <v>413.48</v>
      </c>
      <c r="E7" s="7" t="n">
        <v>576.1900000000001</v>
      </c>
      <c r="F7" s="2" t="inlineStr">
        <is>
          <t>Fornecedor 11</t>
        </is>
      </c>
    </row>
    <row r="8">
      <c r="A8" s="2" t="inlineStr">
        <is>
          <t>P007</t>
        </is>
      </c>
      <c r="B8" s="2" t="inlineStr">
        <is>
          <t>Mesa Premium 07</t>
        </is>
      </c>
      <c r="C8" s="2" t="inlineStr">
        <is>
          <t>Móveis</t>
        </is>
      </c>
      <c r="D8" s="7" t="n">
        <v>80.48999999999999</v>
      </c>
      <c r="E8" s="7" t="n">
        <v>144.45</v>
      </c>
      <c r="F8" s="2" t="inlineStr">
        <is>
          <t>Fornecedor 05</t>
        </is>
      </c>
    </row>
    <row r="9">
      <c r="A9" s="2" t="inlineStr">
        <is>
          <t>P008</t>
        </is>
      </c>
      <c r="B9" s="2" t="inlineStr">
        <is>
          <t>Cabo USB Essencial 08</t>
        </is>
      </c>
      <c r="C9" s="2" t="inlineStr">
        <is>
          <t>Telefonia</t>
        </is>
      </c>
      <c r="D9" s="7" t="n">
        <v>1112.24</v>
      </c>
      <c r="E9" s="7" t="n">
        <v>1987.49</v>
      </c>
      <c r="F9" s="2" t="inlineStr">
        <is>
          <t>Fornecedor 09</t>
        </is>
      </c>
    </row>
    <row r="10">
      <c r="A10" s="2" t="inlineStr">
        <is>
          <t>P009</t>
        </is>
      </c>
      <c r="B10" s="2" t="inlineStr">
        <is>
          <t>Luminária Compacto 09</t>
        </is>
      </c>
      <c r="C10" s="2" t="inlineStr">
        <is>
          <t>Móveis</t>
        </is>
      </c>
      <c r="D10" s="7" t="n">
        <v>279.34</v>
      </c>
      <c r="E10" s="7" t="n">
        <v>505.59</v>
      </c>
      <c r="F10" s="2" t="inlineStr">
        <is>
          <t>Fornecedor 17</t>
        </is>
      </c>
    </row>
    <row r="11">
      <c r="A11" s="2" t="inlineStr">
        <is>
          <t>P010</t>
        </is>
      </c>
      <c r="B11" s="2" t="inlineStr">
        <is>
          <t>Smartphone Essencial 10</t>
        </is>
      </c>
      <c r="C11" s="2" t="inlineStr">
        <is>
          <t>Telefonia</t>
        </is>
      </c>
      <c r="D11" s="7" t="n">
        <v>1399.8</v>
      </c>
      <c r="E11" s="7" t="n">
        <v>1874.64</v>
      </c>
      <c r="F11" s="2" t="inlineStr">
        <is>
          <t>Fornecedor 02</t>
        </is>
      </c>
    </row>
    <row r="12">
      <c r="A12" s="2" t="inlineStr">
        <is>
          <t>P011</t>
        </is>
      </c>
      <c r="B12" s="2" t="inlineStr">
        <is>
          <t>Armário Essencial 11</t>
        </is>
      </c>
      <c r="C12" s="2" t="inlineStr">
        <is>
          <t>Móveis</t>
        </is>
      </c>
      <c r="D12" s="7" t="n">
        <v>1154.45</v>
      </c>
      <c r="E12" s="7" t="n">
        <v>1843.98</v>
      </c>
      <c r="F12" s="2" t="inlineStr">
        <is>
          <t>Fornecedor 04</t>
        </is>
      </c>
    </row>
    <row r="13">
      <c r="A13" s="2" t="inlineStr">
        <is>
          <t>P012</t>
        </is>
      </c>
      <c r="B13" s="2" t="inlineStr">
        <is>
          <t>Tablet Compacto 12</t>
        </is>
      </c>
      <c r="C13" s="2" t="inlineStr">
        <is>
          <t>Telefonia</t>
        </is>
      </c>
      <c r="D13" s="7" t="n">
        <v>970.46</v>
      </c>
      <c r="E13" s="7" t="n">
        <v>1556.05</v>
      </c>
      <c r="F13" s="2" t="inlineStr">
        <is>
          <t>Fornecedor 08</t>
        </is>
      </c>
    </row>
    <row r="14">
      <c r="A14" s="2" t="inlineStr">
        <is>
          <t>P013</t>
        </is>
      </c>
      <c r="B14" s="2" t="inlineStr">
        <is>
          <t>Estante Plus 13</t>
        </is>
      </c>
      <c r="C14" s="2" t="inlineStr">
        <is>
          <t>Móveis</t>
        </is>
      </c>
      <c r="D14" s="7" t="n">
        <v>779.48</v>
      </c>
      <c r="E14" s="7" t="n">
        <v>1240.87</v>
      </c>
      <c r="F14" s="2" t="inlineStr">
        <is>
          <t>Fornecedor 14</t>
        </is>
      </c>
    </row>
    <row r="15">
      <c r="A15" s="2" t="inlineStr">
        <is>
          <t>P014</t>
        </is>
      </c>
      <c r="B15" s="2" t="inlineStr">
        <is>
          <t>Sofá Pro 14</t>
        </is>
      </c>
      <c r="C15" s="2" t="inlineStr">
        <is>
          <t>Móveis</t>
        </is>
      </c>
      <c r="D15" s="7" t="n">
        <v>1206.77</v>
      </c>
      <c r="E15" s="7" t="n">
        <v>1847.24</v>
      </c>
      <c r="F15" s="2" t="inlineStr">
        <is>
          <t>Fornecedor 03</t>
        </is>
      </c>
    </row>
    <row r="16">
      <c r="A16" s="2" t="inlineStr">
        <is>
          <t>P015</t>
        </is>
      </c>
      <c r="B16" s="2" t="inlineStr">
        <is>
          <t>Aspirador Compacto 15</t>
        </is>
      </c>
      <c r="C16" s="2" t="inlineStr">
        <is>
          <t>Eletroportáteis</t>
        </is>
      </c>
      <c r="D16" s="7" t="n">
        <v>919.1</v>
      </c>
      <c r="E16" s="7" t="n">
        <v>1693.15</v>
      </c>
      <c r="F16" s="2" t="inlineStr">
        <is>
          <t>Fornecedor 01</t>
        </is>
      </c>
    </row>
    <row r="17">
      <c r="A17" s="2" t="inlineStr">
        <is>
          <t>P016</t>
        </is>
      </c>
      <c r="B17" s="2" t="inlineStr">
        <is>
          <t>Cabo USB Pro 16</t>
        </is>
      </c>
      <c r="C17" s="2" t="inlineStr">
        <is>
          <t>Telefonia</t>
        </is>
      </c>
      <c r="D17" s="7" t="n">
        <v>89.84</v>
      </c>
      <c r="E17" s="7" t="n">
        <v>129.3</v>
      </c>
      <c r="F17" s="2" t="inlineStr">
        <is>
          <t>Fornecedor 09</t>
        </is>
      </c>
    </row>
    <row r="18">
      <c r="A18" s="2" t="inlineStr">
        <is>
          <t>P017</t>
        </is>
      </c>
      <c r="B18" s="2" t="inlineStr">
        <is>
          <t>SSD Max 17</t>
        </is>
      </c>
      <c r="C18" s="2" t="inlineStr">
        <is>
          <t>Informática</t>
        </is>
      </c>
      <c r="D18" s="7" t="n">
        <v>1421.87</v>
      </c>
      <c r="E18" s="7" t="n">
        <v>2006.28</v>
      </c>
      <c r="F18" s="2" t="inlineStr">
        <is>
          <t>Fornecedor 04</t>
        </is>
      </c>
    </row>
    <row r="19">
      <c r="A19" s="2" t="inlineStr">
        <is>
          <t>P018</t>
        </is>
      </c>
      <c r="B19" s="2" t="inlineStr">
        <is>
          <t>Ferro de passar Pro 18</t>
        </is>
      </c>
      <c r="C19" s="2" t="inlineStr">
        <is>
          <t>Eletroportáteis</t>
        </is>
      </c>
      <c r="D19" s="7" t="n">
        <v>1364.94</v>
      </c>
      <c r="E19" s="7" t="n">
        <v>1732.63</v>
      </c>
      <c r="F19" s="2" t="inlineStr">
        <is>
          <t>Fornecedor 18</t>
        </is>
      </c>
    </row>
    <row r="20">
      <c r="A20" s="2" t="inlineStr">
        <is>
          <t>P019</t>
        </is>
      </c>
      <c r="B20" s="2" t="inlineStr">
        <is>
          <t>Agenda Max 19</t>
        </is>
      </c>
      <c r="C20" s="2" t="inlineStr">
        <is>
          <t>Papelaria</t>
        </is>
      </c>
      <c r="D20" s="7" t="n">
        <v>1161.32</v>
      </c>
      <c r="E20" s="7" t="n">
        <v>2016.47</v>
      </c>
      <c r="F20" s="2" t="inlineStr">
        <is>
          <t>Fornecedor 15</t>
        </is>
      </c>
    </row>
    <row r="21">
      <c r="A21" s="2" t="inlineStr">
        <is>
          <t>P020</t>
        </is>
      </c>
      <c r="B21" s="2" t="inlineStr">
        <is>
          <t>Smartwatch Max 20</t>
        </is>
      </c>
      <c r="C21" s="2" t="inlineStr">
        <is>
          <t>Telefonia</t>
        </is>
      </c>
      <c r="D21" s="7" t="n">
        <v>337.91</v>
      </c>
      <c r="E21" s="7" t="n">
        <v>429.26</v>
      </c>
      <c r="F21" s="2" t="inlineStr">
        <is>
          <t>Fornecedor 15</t>
        </is>
      </c>
    </row>
    <row r="22">
      <c r="A22" s="2" t="inlineStr">
        <is>
          <t>P021</t>
        </is>
      </c>
      <c r="B22" s="2" t="inlineStr">
        <is>
          <t>Impressora Essencial 21</t>
        </is>
      </c>
      <c r="C22" s="2" t="inlineStr">
        <is>
          <t>Informática</t>
        </is>
      </c>
      <c r="D22" s="7" t="n">
        <v>372.44</v>
      </c>
      <c r="E22" s="7" t="n">
        <v>636.89</v>
      </c>
      <c r="F22" s="2" t="inlineStr">
        <is>
          <t>Fornecedor 11</t>
        </is>
      </c>
    </row>
    <row r="23">
      <c r="A23" s="2" t="inlineStr">
        <is>
          <t>P022</t>
        </is>
      </c>
      <c r="B23" s="2" t="inlineStr">
        <is>
          <t>Pasta Premium 22</t>
        </is>
      </c>
      <c r="C23" s="2" t="inlineStr">
        <is>
          <t>Papelaria</t>
        </is>
      </c>
      <c r="D23" s="7" t="n">
        <v>724.02</v>
      </c>
      <c r="E23" s="7" t="n">
        <v>1249.89</v>
      </c>
      <c r="F23" s="2" t="inlineStr">
        <is>
          <t>Fornecedor 09</t>
        </is>
      </c>
    </row>
    <row r="24">
      <c r="A24" s="2" t="inlineStr">
        <is>
          <t>P023</t>
        </is>
      </c>
      <c r="B24" s="2" t="inlineStr">
        <is>
          <t>Mouse Essencial 23</t>
        </is>
      </c>
      <c r="C24" s="2" t="inlineStr">
        <is>
          <t>Informática</t>
        </is>
      </c>
      <c r="D24" s="7" t="n">
        <v>523.5700000000001</v>
      </c>
      <c r="E24" s="7" t="n">
        <v>920.24</v>
      </c>
      <c r="F24" s="2" t="inlineStr">
        <is>
          <t>Fornecedor 11</t>
        </is>
      </c>
    </row>
    <row r="25">
      <c r="A25" s="2" t="inlineStr">
        <is>
          <t>P024</t>
        </is>
      </c>
      <c r="B25" s="2" t="inlineStr">
        <is>
          <t>Caderno Premium 24</t>
        </is>
      </c>
      <c r="C25" s="2" t="inlineStr">
        <is>
          <t>Papelaria</t>
        </is>
      </c>
      <c r="D25" s="7" t="n">
        <v>1441.22</v>
      </c>
      <c r="E25" s="7" t="n">
        <v>2122.57</v>
      </c>
      <c r="F25" s="2" t="inlineStr">
        <is>
          <t>Fornecedor 15</t>
        </is>
      </c>
    </row>
    <row r="26">
      <c r="A26" s="2" t="inlineStr">
        <is>
          <t>P025</t>
        </is>
      </c>
      <c r="B26" s="2" t="inlineStr">
        <is>
          <t>Carregador Premium 25</t>
        </is>
      </c>
      <c r="C26" s="2" t="inlineStr">
        <is>
          <t>Telefonia</t>
        </is>
      </c>
      <c r="D26" s="7" t="n">
        <v>1753.02</v>
      </c>
      <c r="E26" s="7" t="n">
        <v>2651.37</v>
      </c>
      <c r="F26" s="2" t="inlineStr">
        <is>
          <t>Fornecedor 12</t>
        </is>
      </c>
    </row>
    <row r="27">
      <c r="A27" s="2" t="inlineStr">
        <is>
          <t>P026</t>
        </is>
      </c>
      <c r="B27" s="2" t="inlineStr">
        <is>
          <t>Air fryer Essencial 26</t>
        </is>
      </c>
      <c r="C27" s="2" t="inlineStr">
        <is>
          <t>Eletroportáteis</t>
        </is>
      </c>
      <c r="D27" s="7" t="n">
        <v>1444.45</v>
      </c>
      <c r="E27" s="7" t="n">
        <v>2408.11</v>
      </c>
      <c r="F27" s="2" t="inlineStr">
        <is>
          <t>Fornecedor 14</t>
        </is>
      </c>
    </row>
    <row r="28">
      <c r="A28" s="2" t="inlineStr">
        <is>
          <t>P027</t>
        </is>
      </c>
      <c r="B28" s="2" t="inlineStr">
        <is>
          <t>Cafeteira Essencial 27</t>
        </is>
      </c>
      <c r="C28" s="2" t="inlineStr">
        <is>
          <t>Eletroportáteis</t>
        </is>
      </c>
      <c r="D28" s="7" t="n">
        <v>987.3099999999999</v>
      </c>
      <c r="E28" s="7" t="n">
        <v>1377.51</v>
      </c>
      <c r="F28" s="2" t="inlineStr">
        <is>
          <t>Fornecedor 11</t>
        </is>
      </c>
    </row>
    <row r="29">
      <c r="A29" s="2" t="inlineStr">
        <is>
          <t>P028</t>
        </is>
      </c>
      <c r="B29" s="2" t="inlineStr">
        <is>
          <t>Papel A4 Plus 28</t>
        </is>
      </c>
      <c r="C29" s="2" t="inlineStr">
        <is>
          <t>Papelaria</t>
        </is>
      </c>
      <c r="D29" s="7" t="n">
        <v>809.3</v>
      </c>
      <c r="E29" s="7" t="n">
        <v>1344.11</v>
      </c>
      <c r="F29" s="2" t="inlineStr">
        <is>
          <t>Fornecedor 15</t>
        </is>
      </c>
    </row>
    <row r="30">
      <c r="A30" s="2" t="inlineStr">
        <is>
          <t>P029</t>
        </is>
      </c>
      <c r="B30" s="2" t="inlineStr">
        <is>
          <t>Marcador Pro 29</t>
        </is>
      </c>
      <c r="C30" s="2" t="inlineStr">
        <is>
          <t>Papelaria</t>
        </is>
      </c>
      <c r="D30" s="7" t="n">
        <v>87.73</v>
      </c>
      <c r="E30" s="7" t="n">
        <v>154.66</v>
      </c>
      <c r="F30" s="2" t="inlineStr">
        <is>
          <t>Fornecedor 14</t>
        </is>
      </c>
    </row>
    <row r="31">
      <c r="A31" s="2" t="inlineStr">
        <is>
          <t>P030</t>
        </is>
      </c>
      <c r="B31" s="2" t="inlineStr">
        <is>
          <t>Grampeador Essencial 30</t>
        </is>
      </c>
      <c r="C31" s="2" t="inlineStr">
        <is>
          <t>Papelaria</t>
        </is>
      </c>
      <c r="D31" s="7" t="n">
        <v>1764.29</v>
      </c>
      <c r="E31" s="7" t="n">
        <v>3202.36</v>
      </c>
      <c r="F31" s="2" t="inlineStr">
        <is>
          <t>Fornecedor 13</t>
        </is>
      </c>
    </row>
    <row r="32">
      <c r="A32" s="2" t="inlineStr">
        <is>
          <t>P031</t>
        </is>
      </c>
      <c r="B32" s="2" t="inlineStr">
        <is>
          <t>Pasta Essencial 31</t>
        </is>
      </c>
      <c r="C32" s="2" t="inlineStr">
        <is>
          <t>Papelaria</t>
        </is>
      </c>
      <c r="D32" s="7" t="n">
        <v>1444.36</v>
      </c>
      <c r="E32" s="7" t="n">
        <v>2361.82</v>
      </c>
      <c r="F32" s="2" t="inlineStr">
        <is>
          <t>Fornecedor 05</t>
        </is>
      </c>
    </row>
    <row r="33">
      <c r="A33" s="2" t="inlineStr">
        <is>
          <t>P032</t>
        </is>
      </c>
      <c r="B33" s="2" t="inlineStr">
        <is>
          <t>Ferro de passar Essencial 32</t>
        </is>
      </c>
      <c r="C33" s="2" t="inlineStr">
        <is>
          <t>Eletroportáteis</t>
        </is>
      </c>
      <c r="D33" s="7" t="n">
        <v>1408.99</v>
      </c>
      <c r="E33" s="7" t="n">
        <v>1695.46</v>
      </c>
      <c r="F33" s="2" t="inlineStr">
        <is>
          <t>Fornecedor 08</t>
        </is>
      </c>
    </row>
    <row r="34">
      <c r="A34" s="2" t="inlineStr">
        <is>
          <t>P033</t>
        </is>
      </c>
      <c r="B34" s="2" t="inlineStr">
        <is>
          <t>Papel A4 Compacto 33</t>
        </is>
      </c>
      <c r="C34" s="2" t="inlineStr">
        <is>
          <t>Papelaria</t>
        </is>
      </c>
      <c r="D34" s="7" t="n">
        <v>696.54</v>
      </c>
      <c r="E34" s="7" t="n">
        <v>1086.64</v>
      </c>
      <c r="F34" s="2" t="inlineStr">
        <is>
          <t>Fornecedor 05</t>
        </is>
      </c>
    </row>
    <row r="35">
      <c r="A35" s="2" t="inlineStr">
        <is>
          <t>P034</t>
        </is>
      </c>
      <c r="B35" s="2" t="inlineStr">
        <is>
          <t>Carregador Compacto 34</t>
        </is>
      </c>
      <c r="C35" s="2" t="inlineStr">
        <is>
          <t>Telefonia</t>
        </is>
      </c>
      <c r="D35" s="7" t="n">
        <v>677.16</v>
      </c>
      <c r="E35" s="7" t="n">
        <v>1145.26</v>
      </c>
      <c r="F35" s="2" t="inlineStr">
        <is>
          <t>Fornecedor 05</t>
        </is>
      </c>
    </row>
    <row r="36">
      <c r="A36" s="2" t="inlineStr">
        <is>
          <t>P035</t>
        </is>
      </c>
      <c r="B36" s="2" t="inlineStr">
        <is>
          <t>Air fryer Plus 35</t>
        </is>
      </c>
      <c r="C36" s="2" t="inlineStr">
        <is>
          <t>Eletroportáteis</t>
        </is>
      </c>
      <c r="D36" s="7" t="n">
        <v>723.6799999999999</v>
      </c>
      <c r="E36" s="7" t="n">
        <v>1168.89</v>
      </c>
      <c r="F36" s="2" t="inlineStr">
        <is>
          <t>Fornecedor 04</t>
        </is>
      </c>
    </row>
    <row r="37">
      <c r="A37" s="2" t="inlineStr">
        <is>
          <t>P036</t>
        </is>
      </c>
      <c r="B37" s="2" t="inlineStr">
        <is>
          <t>Teclado Compacto 36</t>
        </is>
      </c>
      <c r="C37" s="2" t="inlineStr">
        <is>
          <t>Informática</t>
        </is>
      </c>
      <c r="D37" s="7" t="n">
        <v>904.29</v>
      </c>
      <c r="E37" s="7" t="n">
        <v>1301.53</v>
      </c>
      <c r="F37" s="2" t="inlineStr">
        <is>
          <t>Fornecedor 04</t>
        </is>
      </c>
    </row>
    <row r="38">
      <c r="A38" s="2" t="inlineStr">
        <is>
          <t>P037</t>
        </is>
      </c>
      <c r="B38" s="2" t="inlineStr">
        <is>
          <t>Agenda Compacto 37</t>
        </is>
      </c>
      <c r="C38" s="2" t="inlineStr">
        <is>
          <t>Papelaria</t>
        </is>
      </c>
      <c r="D38" s="7" t="n">
        <v>477.4</v>
      </c>
      <c r="E38" s="7" t="n">
        <v>706.08</v>
      </c>
      <c r="F38" s="2" t="inlineStr">
        <is>
          <t>Fornecedor 10</t>
        </is>
      </c>
    </row>
    <row r="39">
      <c r="A39" s="2" t="inlineStr">
        <is>
          <t>P038</t>
        </is>
      </c>
      <c r="B39" s="2" t="inlineStr">
        <is>
          <t>Fone de ouvido Premium 38</t>
        </is>
      </c>
      <c r="C39" s="2" t="inlineStr">
        <is>
          <t>Telefonia</t>
        </is>
      </c>
      <c r="D39" s="7" t="n">
        <v>231.28</v>
      </c>
      <c r="E39" s="7" t="n">
        <v>405.06</v>
      </c>
      <c r="F39" s="2" t="inlineStr">
        <is>
          <t>Fornecedor 06</t>
        </is>
      </c>
    </row>
    <row r="40">
      <c r="A40" s="2" t="inlineStr">
        <is>
          <t>P039</t>
        </is>
      </c>
      <c r="B40" s="2" t="inlineStr">
        <is>
          <t>Smartphone Pro 39</t>
        </is>
      </c>
      <c r="C40" s="2" t="inlineStr">
        <is>
          <t>Telefonia</t>
        </is>
      </c>
      <c r="D40" s="7" t="n">
        <v>1461.2</v>
      </c>
      <c r="E40" s="7" t="n">
        <v>2671.46</v>
      </c>
      <c r="F40" s="2" t="inlineStr">
        <is>
          <t>Fornecedor 12</t>
        </is>
      </c>
    </row>
    <row r="41">
      <c r="A41" s="2" t="inlineStr">
        <is>
          <t>P040</t>
        </is>
      </c>
      <c r="B41" s="2" t="inlineStr">
        <is>
          <t>Impressora Max 40</t>
        </is>
      </c>
      <c r="C41" s="2" t="inlineStr">
        <is>
          <t>Informática</t>
        </is>
      </c>
      <c r="D41" s="7" t="n">
        <v>1605.7</v>
      </c>
      <c r="E41" s="7" t="n">
        <v>2810.64</v>
      </c>
      <c r="F41" s="2" t="inlineStr">
        <is>
          <t>Fornecedor 06</t>
        </is>
      </c>
    </row>
    <row r="42">
      <c r="A42" s="2" t="inlineStr">
        <is>
          <t>P041</t>
        </is>
      </c>
      <c r="B42" s="2" t="inlineStr">
        <is>
          <t>Pasta Plus 41</t>
        </is>
      </c>
      <c r="C42" s="2" t="inlineStr">
        <is>
          <t>Papelaria</t>
        </is>
      </c>
      <c r="D42" s="7" t="n">
        <v>412.94</v>
      </c>
      <c r="E42" s="7" t="n">
        <v>759.83</v>
      </c>
      <c r="F42" s="2" t="inlineStr">
        <is>
          <t>Fornecedor 08</t>
        </is>
      </c>
    </row>
    <row r="43">
      <c r="A43" s="2" t="inlineStr">
        <is>
          <t>P042</t>
        </is>
      </c>
      <c r="B43" s="2" t="inlineStr">
        <is>
          <t>Smartphone Premium 42</t>
        </is>
      </c>
      <c r="C43" s="2" t="inlineStr">
        <is>
          <t>Telefonia</t>
        </is>
      </c>
      <c r="D43" s="7" t="n">
        <v>657.28</v>
      </c>
      <c r="E43" s="7" t="n">
        <v>1027.61</v>
      </c>
      <c r="F43" s="2" t="inlineStr">
        <is>
          <t>Fornecedor 18</t>
        </is>
      </c>
    </row>
    <row r="44">
      <c r="A44" s="2" t="inlineStr">
        <is>
          <t>P043</t>
        </is>
      </c>
      <c r="B44" s="2" t="inlineStr">
        <is>
          <t>Gaveteiro Premium 43</t>
        </is>
      </c>
      <c r="C44" s="2" t="inlineStr">
        <is>
          <t>Móveis</t>
        </is>
      </c>
      <c r="D44" s="7" t="n">
        <v>1593.03</v>
      </c>
      <c r="E44" s="7" t="n">
        <v>1949.95</v>
      </c>
      <c r="F44" s="2" t="inlineStr">
        <is>
          <t>Fornecedor 16</t>
        </is>
      </c>
    </row>
    <row r="45">
      <c r="A45" s="2" t="inlineStr">
        <is>
          <t>P044</t>
        </is>
      </c>
      <c r="B45" s="2" t="inlineStr">
        <is>
          <t>Ventilador Essencial 44</t>
        </is>
      </c>
      <c r="C45" s="2" t="inlineStr">
        <is>
          <t>Eletroportáteis</t>
        </is>
      </c>
      <c r="D45" s="7" t="n">
        <v>1387.27</v>
      </c>
      <c r="E45" s="7" t="n">
        <v>2402.25</v>
      </c>
      <c r="F45" s="2" t="inlineStr">
        <is>
          <t>Fornecedor 05</t>
        </is>
      </c>
    </row>
    <row r="46">
      <c r="A46" s="2" t="inlineStr">
        <is>
          <t>P045</t>
        </is>
      </c>
      <c r="B46" s="2" t="inlineStr">
        <is>
          <t>Grampeador Compacto 45</t>
        </is>
      </c>
      <c r="C46" s="2" t="inlineStr">
        <is>
          <t>Papelaria</t>
        </is>
      </c>
      <c r="D46" s="7" t="n">
        <v>144.61</v>
      </c>
      <c r="E46" s="7" t="n">
        <v>215.77</v>
      </c>
      <c r="F46" s="2" t="inlineStr">
        <is>
          <t>Fornecedor 12</t>
        </is>
      </c>
    </row>
    <row r="47">
      <c r="A47" s="2" t="inlineStr">
        <is>
          <t>P046</t>
        </is>
      </c>
      <c r="B47" s="2" t="inlineStr">
        <is>
          <t>Luminária Plus 46</t>
        </is>
      </c>
      <c r="C47" s="2" t="inlineStr">
        <is>
          <t>Móveis</t>
        </is>
      </c>
      <c r="D47" s="7" t="n">
        <v>1407.11</v>
      </c>
      <c r="E47" s="7" t="n">
        <v>2263.56</v>
      </c>
      <c r="F47" s="2" t="inlineStr">
        <is>
          <t>Fornecedor 05</t>
        </is>
      </c>
    </row>
    <row r="48">
      <c r="A48" s="2" t="inlineStr">
        <is>
          <t>P047</t>
        </is>
      </c>
      <c r="B48" s="2" t="inlineStr">
        <is>
          <t>Tablet Essencial 47</t>
        </is>
      </c>
      <c r="C48" s="2" t="inlineStr">
        <is>
          <t>Telefonia</t>
        </is>
      </c>
      <c r="D48" s="7" t="n">
        <v>1640.35</v>
      </c>
      <c r="E48" s="7" t="n">
        <v>1996.51</v>
      </c>
      <c r="F48" s="2" t="inlineStr">
        <is>
          <t>Fornecedor 17</t>
        </is>
      </c>
    </row>
    <row r="49">
      <c r="A49" s="2" t="inlineStr">
        <is>
          <t>P048</t>
        </is>
      </c>
      <c r="B49" s="2" t="inlineStr">
        <is>
          <t>Estante Max 48</t>
        </is>
      </c>
      <c r="C49" s="2" t="inlineStr">
        <is>
          <t>Móveis</t>
        </is>
      </c>
      <c r="D49" s="7" t="n">
        <v>306.41</v>
      </c>
      <c r="E49" s="7" t="n">
        <v>427.8</v>
      </c>
      <c r="F49" s="2" t="inlineStr">
        <is>
          <t>Fornecedor 08</t>
        </is>
      </c>
    </row>
    <row r="50">
      <c r="A50" s="2" t="inlineStr">
        <is>
          <t>P049</t>
        </is>
      </c>
      <c r="B50" s="2" t="inlineStr">
        <is>
          <t>Pasta Pro 49</t>
        </is>
      </c>
      <c r="C50" s="2" t="inlineStr">
        <is>
          <t>Papelaria</t>
        </is>
      </c>
      <c r="D50" s="7" t="n">
        <v>1612.13</v>
      </c>
      <c r="E50" s="7" t="n">
        <v>2816.03</v>
      </c>
      <c r="F50" s="2" t="inlineStr">
        <is>
          <t>Fornecedor 07</t>
        </is>
      </c>
    </row>
    <row r="51">
      <c r="A51" s="2" t="inlineStr">
        <is>
          <t>P050</t>
        </is>
      </c>
      <c r="B51" s="2" t="inlineStr">
        <is>
          <t>Air fryer Compacto 50</t>
        </is>
      </c>
      <c r="C51" s="2" t="inlineStr">
        <is>
          <t>Eletroportáteis</t>
        </is>
      </c>
      <c r="D51" s="7" t="n">
        <v>235.8</v>
      </c>
      <c r="E51" s="7" t="n">
        <v>326.09</v>
      </c>
      <c r="F51" s="2" t="inlineStr">
        <is>
          <t>Fornecedor 03</t>
        </is>
      </c>
    </row>
    <row r="52">
      <c r="A52" s="2" t="inlineStr">
        <is>
          <t>P051</t>
        </is>
      </c>
      <c r="B52" s="2" t="inlineStr">
        <is>
          <t>Ferro de passar Plus 51</t>
        </is>
      </c>
      <c r="C52" s="2" t="inlineStr">
        <is>
          <t>Eletroportáteis</t>
        </is>
      </c>
      <c r="D52" s="7" t="n">
        <v>313.52</v>
      </c>
      <c r="E52" s="7" t="n">
        <v>567.75</v>
      </c>
      <c r="F52" s="2" t="inlineStr">
        <is>
          <t>Fornecedor 06</t>
        </is>
      </c>
    </row>
    <row r="53">
      <c r="A53" s="2" t="inlineStr">
        <is>
          <t>P052</t>
        </is>
      </c>
      <c r="B53" s="2" t="inlineStr">
        <is>
          <t>Ferro de passar Compacto 52</t>
        </is>
      </c>
      <c r="C53" s="2" t="inlineStr">
        <is>
          <t>Eletroportáteis</t>
        </is>
      </c>
      <c r="D53" s="7" t="n">
        <v>1624.78</v>
      </c>
      <c r="E53" s="7" t="n">
        <v>2284.77</v>
      </c>
      <c r="F53" s="2" t="inlineStr">
        <is>
          <t>Fornecedor 02</t>
        </is>
      </c>
    </row>
    <row r="54">
      <c r="A54" s="2" t="inlineStr">
        <is>
          <t>P053</t>
        </is>
      </c>
      <c r="B54" s="2" t="inlineStr">
        <is>
          <t>Monitor Compacto 53</t>
        </is>
      </c>
      <c r="C54" s="2" t="inlineStr">
        <is>
          <t>Informática</t>
        </is>
      </c>
      <c r="D54" s="7" t="n">
        <v>93.29000000000001</v>
      </c>
      <c r="E54" s="7" t="n">
        <v>150.18</v>
      </c>
      <c r="F54" s="2" t="inlineStr">
        <is>
          <t>Fornecedor 09</t>
        </is>
      </c>
    </row>
    <row r="55">
      <c r="A55" s="2" t="inlineStr">
        <is>
          <t>P054</t>
        </is>
      </c>
      <c r="B55" s="2" t="inlineStr">
        <is>
          <t>Luminária Essencial 54</t>
        </is>
      </c>
      <c r="C55" s="2" t="inlineStr">
        <is>
          <t>Móveis</t>
        </is>
      </c>
      <c r="D55" s="7" t="n">
        <v>1034.98</v>
      </c>
      <c r="E55" s="7" t="n">
        <v>1649.9</v>
      </c>
      <c r="F55" s="2" t="inlineStr">
        <is>
          <t>Fornecedor 16</t>
        </is>
      </c>
    </row>
    <row r="56">
      <c r="A56" s="2" t="inlineStr">
        <is>
          <t>P055</t>
        </is>
      </c>
      <c r="B56" s="2" t="inlineStr">
        <is>
          <t>Air fryer Plus 55</t>
        </is>
      </c>
      <c r="C56" s="2" t="inlineStr">
        <is>
          <t>Eletroportáteis</t>
        </is>
      </c>
      <c r="D56" s="7" t="n">
        <v>1159.73</v>
      </c>
      <c r="E56" s="7" t="n">
        <v>1603.21</v>
      </c>
      <c r="F56" s="2" t="inlineStr">
        <is>
          <t>Fornecedor 13</t>
        </is>
      </c>
    </row>
    <row r="57">
      <c r="A57" s="2" t="inlineStr">
        <is>
          <t>P056</t>
        </is>
      </c>
      <c r="B57" s="2" t="inlineStr">
        <is>
          <t>Marcador Premium 56</t>
        </is>
      </c>
      <c r="C57" s="2" t="inlineStr">
        <is>
          <t>Papelaria</t>
        </is>
      </c>
      <c r="D57" s="7" t="n">
        <v>142.48</v>
      </c>
      <c r="E57" s="7" t="n">
        <v>173.85</v>
      </c>
      <c r="F57" s="2" t="inlineStr">
        <is>
          <t>Fornecedor 14</t>
        </is>
      </c>
    </row>
    <row r="58">
      <c r="A58" s="2" t="inlineStr">
        <is>
          <t>P057</t>
        </is>
      </c>
      <c r="B58" s="2" t="inlineStr">
        <is>
          <t>Cabo USB Pro 57</t>
        </is>
      </c>
      <c r="C58" s="2" t="inlineStr">
        <is>
          <t>Telefonia</t>
        </is>
      </c>
      <c r="D58" s="7" t="n">
        <v>376.79</v>
      </c>
      <c r="E58" s="7" t="n">
        <v>597.76</v>
      </c>
      <c r="F58" s="2" t="inlineStr">
        <is>
          <t>Fornecedor 11</t>
        </is>
      </c>
    </row>
    <row r="59">
      <c r="A59" s="2" t="inlineStr">
        <is>
          <t>P058</t>
        </is>
      </c>
      <c r="B59" s="2" t="inlineStr">
        <is>
          <t>Marcador Compacto 58</t>
        </is>
      </c>
      <c r="C59" s="2" t="inlineStr">
        <is>
          <t>Papelaria</t>
        </is>
      </c>
      <c r="D59" s="7" t="n">
        <v>245.81</v>
      </c>
      <c r="E59" s="7" t="n">
        <v>351.08</v>
      </c>
      <c r="F59" s="2" t="inlineStr">
        <is>
          <t>Fornecedor 04</t>
        </is>
      </c>
    </row>
    <row r="60">
      <c r="A60" s="2" t="inlineStr">
        <is>
          <t>P059</t>
        </is>
      </c>
      <c r="B60" s="2" t="inlineStr">
        <is>
          <t>Caneta Plus 59</t>
        </is>
      </c>
      <c r="C60" s="2" t="inlineStr">
        <is>
          <t>Papelaria</t>
        </is>
      </c>
      <c r="D60" s="7" t="n">
        <v>846.05</v>
      </c>
      <c r="E60" s="7" t="n">
        <v>1149.96</v>
      </c>
      <c r="F60" s="2" t="inlineStr">
        <is>
          <t>Fornecedor 05</t>
        </is>
      </c>
    </row>
    <row r="61">
      <c r="A61" s="2" t="inlineStr">
        <is>
          <t>P060</t>
        </is>
      </c>
      <c r="B61" s="2" t="inlineStr">
        <is>
          <t>Notebook Compacto 60</t>
        </is>
      </c>
      <c r="C61" s="2" t="inlineStr">
        <is>
          <t>Informática</t>
        </is>
      </c>
      <c r="D61" s="7" t="n">
        <v>530.9</v>
      </c>
      <c r="E61" s="7" t="n">
        <v>763.11</v>
      </c>
      <c r="F61" s="2" t="inlineStr">
        <is>
          <t>Fornecedor 14</t>
        </is>
      </c>
    </row>
    <row r="62">
      <c r="A62" s="2" t="inlineStr">
        <is>
          <t>P061</t>
        </is>
      </c>
      <c r="B62" s="2" t="inlineStr">
        <is>
          <t>Luminária Compacto 61</t>
        </is>
      </c>
      <c r="C62" s="2" t="inlineStr">
        <is>
          <t>Móveis</t>
        </is>
      </c>
      <c r="D62" s="7" t="n">
        <v>1625.33</v>
      </c>
      <c r="E62" s="7" t="n">
        <v>2803.74</v>
      </c>
      <c r="F62" s="2" t="inlineStr">
        <is>
          <t>Fornecedor 11</t>
        </is>
      </c>
    </row>
    <row r="63">
      <c r="A63" s="2" t="inlineStr">
        <is>
          <t>P062</t>
        </is>
      </c>
      <c r="B63" s="2" t="inlineStr">
        <is>
          <t>Luminária Premium 62</t>
        </is>
      </c>
      <c r="C63" s="2" t="inlineStr">
        <is>
          <t>Móveis</t>
        </is>
      </c>
      <c r="D63" s="7" t="n">
        <v>296.9</v>
      </c>
      <c r="E63" s="7" t="n">
        <v>548.46</v>
      </c>
      <c r="F63" s="2" t="inlineStr">
        <is>
          <t>Fornecedor 16</t>
        </is>
      </c>
    </row>
    <row r="64">
      <c r="A64" s="2" t="inlineStr">
        <is>
          <t>P063</t>
        </is>
      </c>
      <c r="B64" s="2" t="inlineStr">
        <is>
          <t>Marcador Compacto 63</t>
        </is>
      </c>
      <c r="C64" s="2" t="inlineStr">
        <is>
          <t>Papelaria</t>
        </is>
      </c>
      <c r="D64" s="7" t="n">
        <v>53.44</v>
      </c>
      <c r="E64" s="7" t="n">
        <v>96.90000000000001</v>
      </c>
      <c r="F64" s="2" t="inlineStr">
        <is>
          <t>Fornecedor 15</t>
        </is>
      </c>
    </row>
    <row r="65">
      <c r="A65" s="2" t="inlineStr">
        <is>
          <t>P064</t>
        </is>
      </c>
      <c r="B65" s="2" t="inlineStr">
        <is>
          <t>Mesa Pro 64</t>
        </is>
      </c>
      <c r="C65" s="2" t="inlineStr">
        <is>
          <t>Móveis</t>
        </is>
      </c>
      <c r="D65" s="7" t="n">
        <v>1055.02</v>
      </c>
      <c r="E65" s="7" t="n">
        <v>1279.32</v>
      </c>
      <c r="F65" s="2" t="inlineStr">
        <is>
          <t>Fornecedor 16</t>
        </is>
      </c>
    </row>
    <row r="66">
      <c r="A66" s="2" t="inlineStr">
        <is>
          <t>P065</t>
        </is>
      </c>
      <c r="B66" s="2" t="inlineStr">
        <is>
          <t>Ferro de passar Essencial 65</t>
        </is>
      </c>
      <c r="C66" s="2" t="inlineStr">
        <is>
          <t>Eletroportáteis</t>
        </is>
      </c>
      <c r="D66" s="7" t="n">
        <v>1214.47</v>
      </c>
      <c r="E66" s="7" t="n">
        <v>1665.59</v>
      </c>
      <c r="F66" s="2" t="inlineStr">
        <is>
          <t>Fornecedor 04</t>
        </is>
      </c>
    </row>
    <row r="67">
      <c r="A67" s="2" t="inlineStr">
        <is>
          <t>P066</t>
        </is>
      </c>
      <c r="B67" s="2" t="inlineStr">
        <is>
          <t>Fone de ouvido Premium 66</t>
        </is>
      </c>
      <c r="C67" s="2" t="inlineStr">
        <is>
          <t>Telefonia</t>
        </is>
      </c>
      <c r="D67" s="7" t="n">
        <v>1589.83</v>
      </c>
      <c r="E67" s="7" t="n">
        <v>2650.93</v>
      </c>
      <c r="F67" s="2" t="inlineStr">
        <is>
          <t>Fornecedor 12</t>
        </is>
      </c>
    </row>
    <row r="68">
      <c r="A68" s="2" t="inlineStr">
        <is>
          <t>P067</t>
        </is>
      </c>
      <c r="B68" s="2" t="inlineStr">
        <is>
          <t>Memória RAM Pro 67</t>
        </is>
      </c>
      <c r="C68" s="2" t="inlineStr">
        <is>
          <t>Informática</t>
        </is>
      </c>
      <c r="D68" s="7" t="n">
        <v>103.47</v>
      </c>
      <c r="E68" s="7" t="n">
        <v>161.04</v>
      </c>
      <c r="F68" s="2" t="inlineStr">
        <is>
          <t>Fornecedor 18</t>
        </is>
      </c>
    </row>
    <row r="69">
      <c r="A69" s="2" t="inlineStr">
        <is>
          <t>P068</t>
        </is>
      </c>
      <c r="B69" s="2" t="inlineStr">
        <is>
          <t>Caderno Compacto 68</t>
        </is>
      </c>
      <c r="C69" s="2" t="inlineStr">
        <is>
          <t>Papelaria</t>
        </is>
      </c>
      <c r="D69" s="7" t="n">
        <v>702.79</v>
      </c>
      <c r="E69" s="7" t="n">
        <v>1041.35</v>
      </c>
      <c r="F69" s="2" t="inlineStr">
        <is>
          <t>Fornecedor 09</t>
        </is>
      </c>
    </row>
    <row r="70">
      <c r="A70" s="2" t="inlineStr">
        <is>
          <t>P069</t>
        </is>
      </c>
      <c r="B70" s="2" t="inlineStr">
        <is>
          <t>Ferro de passar Essencial 69</t>
        </is>
      </c>
      <c r="C70" s="2" t="inlineStr">
        <is>
          <t>Eletroportáteis</t>
        </is>
      </c>
      <c r="D70" s="7" t="n">
        <v>1104.55</v>
      </c>
      <c r="E70" s="7" t="n">
        <v>1398.59</v>
      </c>
      <c r="F70" s="2" t="inlineStr">
        <is>
          <t>Fornecedor 13</t>
        </is>
      </c>
    </row>
    <row r="71">
      <c r="A71" s="2" t="inlineStr">
        <is>
          <t>P070</t>
        </is>
      </c>
      <c r="B71" s="2" t="inlineStr">
        <is>
          <t>Agenda Pro 70</t>
        </is>
      </c>
      <c r="C71" s="2" t="inlineStr">
        <is>
          <t>Papelaria</t>
        </is>
      </c>
      <c r="D71" s="7" t="n">
        <v>1776.38</v>
      </c>
      <c r="E71" s="7" t="n">
        <v>2760.05</v>
      </c>
      <c r="F71" s="2" t="inlineStr">
        <is>
          <t>Fornecedor 05</t>
        </is>
      </c>
    </row>
  </sheetData>
  <autoFilter ref="A1:F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  <col width="13" customWidth="1" min="5" max="5"/>
  </cols>
  <sheetData>
    <row r="1" ht="27.95" customHeight="1">
      <c r="A1" s="16" t="inlineStr">
        <is>
          <t>LojaID</t>
        </is>
      </c>
      <c r="B1" s="16" t="inlineStr">
        <is>
          <t>NomeLoja</t>
        </is>
      </c>
      <c r="C1" s="16" t="inlineStr">
        <is>
          <t>Cidade</t>
        </is>
      </c>
      <c r="D1" s="16" t="inlineStr">
        <is>
          <t>Regiao</t>
        </is>
      </c>
      <c r="E1" s="16" t="inlineStr">
        <is>
          <t>MetaMensal</t>
        </is>
      </c>
    </row>
    <row r="2">
      <c r="A2" s="2" t="inlineStr">
        <is>
          <t>L01</t>
        </is>
      </c>
      <c r="B2" s="2" t="inlineStr">
        <is>
          <t>Loja Paulista</t>
        </is>
      </c>
      <c r="C2" s="2" t="inlineStr">
        <is>
          <t>São Paulo</t>
        </is>
      </c>
      <c r="D2" s="2" t="inlineStr">
        <is>
          <t>Sudeste</t>
        </is>
      </c>
      <c r="E2" s="18" t="n">
        <v>145000</v>
      </c>
    </row>
    <row r="3">
      <c r="A3" s="2" t="inlineStr">
        <is>
          <t>L02</t>
        </is>
      </c>
      <c r="B3" s="2" t="inlineStr">
        <is>
          <t>Loja Campinas</t>
        </is>
      </c>
      <c r="C3" s="2" t="inlineStr">
        <is>
          <t>Campinas</t>
        </is>
      </c>
      <c r="D3" s="2" t="inlineStr">
        <is>
          <t>Sudeste</t>
        </is>
      </c>
      <c r="E3" s="18" t="n">
        <v>85000</v>
      </c>
    </row>
    <row r="4">
      <c r="A4" s="2" t="inlineStr">
        <is>
          <t>L03</t>
        </is>
      </c>
      <c r="B4" s="2" t="inlineStr">
        <is>
          <t>Loja Carioca</t>
        </is>
      </c>
      <c r="C4" s="2" t="inlineStr">
        <is>
          <t>Rio de Janeiro</t>
        </is>
      </c>
      <c r="D4" s="2" t="inlineStr">
        <is>
          <t>Sudeste</t>
        </is>
      </c>
      <c r="E4" s="18" t="n">
        <v>110000</v>
      </c>
    </row>
    <row r="5">
      <c r="A5" s="2" t="inlineStr">
        <is>
          <t>L04</t>
        </is>
      </c>
      <c r="B5" s="2" t="inlineStr">
        <is>
          <t>Loja Minas</t>
        </is>
      </c>
      <c r="C5" s="2" t="inlineStr">
        <is>
          <t>Belo Horizonte</t>
        </is>
      </c>
      <c r="D5" s="2" t="inlineStr">
        <is>
          <t>Sudeste</t>
        </is>
      </c>
      <c r="E5" s="18" t="n">
        <v>90000</v>
      </c>
    </row>
    <row r="6">
      <c r="A6" s="2" t="inlineStr">
        <is>
          <t>L05</t>
        </is>
      </c>
      <c r="B6" s="2" t="inlineStr">
        <is>
          <t>Loja Curitiba</t>
        </is>
      </c>
      <c r="C6" s="2" t="inlineStr">
        <is>
          <t>Curitiba</t>
        </is>
      </c>
      <c r="D6" s="2" t="inlineStr">
        <is>
          <t>Sul</t>
        </is>
      </c>
      <c r="E6" s="18" t="n">
        <v>78000</v>
      </c>
    </row>
    <row r="7">
      <c r="A7" s="2" t="inlineStr">
        <is>
          <t>L06</t>
        </is>
      </c>
      <c r="B7" s="2" t="inlineStr">
        <is>
          <t>Loja Gaúcha</t>
        </is>
      </c>
      <c r="C7" s="2" t="inlineStr">
        <is>
          <t>Porto Alegre</t>
        </is>
      </c>
      <c r="D7" s="2" t="inlineStr">
        <is>
          <t>Sul</t>
        </is>
      </c>
      <c r="E7" s="18" t="n">
        <v>72000</v>
      </c>
    </row>
    <row r="8">
      <c r="A8" s="2" t="inlineStr">
        <is>
          <t>L07</t>
        </is>
      </c>
      <c r="B8" s="2" t="inlineStr">
        <is>
          <t>Loja Capital</t>
        </is>
      </c>
      <c r="C8" s="2" t="inlineStr">
        <is>
          <t>Brasília</t>
        </is>
      </c>
      <c r="D8" s="2" t="inlineStr">
        <is>
          <t>Centro-Oeste</t>
        </is>
      </c>
      <c r="E8" s="18" t="n">
        <v>80000</v>
      </c>
    </row>
    <row r="9">
      <c r="A9" s="2" t="inlineStr">
        <is>
          <t>L08</t>
        </is>
      </c>
      <c r="B9" s="2" t="inlineStr">
        <is>
          <t>Loja Recife</t>
        </is>
      </c>
      <c r="C9" s="2" t="inlineStr">
        <is>
          <t>Recife</t>
        </is>
      </c>
      <c r="D9" s="2" t="inlineStr">
        <is>
          <t>Nordeste</t>
        </is>
      </c>
      <c r="E9" s="18" t="n">
        <v>65000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01"/>
  <sheetViews>
    <sheetView showGridLines="0" workbookViewId="0">
      <pane ySplit="1" topLeftCell="A2" activePane="bottomLeft" state="frozen"/>
      <selection pane="bottomLeft" activeCell="A1" sqref="A1:G1"/>
    </sheetView>
  </sheetViews>
  <sheetFormatPr baseColWidth="8" defaultRowHeight="15"/>
  <cols>
    <col width="13" customWidth="1" min="1" max="1"/>
    <col width="21" customWidth="1" min="2" max="2"/>
    <col width="13" customWidth="1" min="3" max="4"/>
    <col width="13" customWidth="1" min="4" max="4"/>
    <col width="18" customWidth="1" min="5" max="5"/>
    <col width="19" customWidth="1" min="6" max="7"/>
    <col width="19" customWidth="1" min="7" max="7"/>
  </cols>
  <sheetData>
    <row r="1" ht="27.95" customHeight="1">
      <c r="A1" s="16" t="inlineStr">
        <is>
          <t>PedidoID</t>
        </is>
      </c>
      <c r="B1" s="16" t="inlineStr">
        <is>
          <t>DataPedido</t>
        </is>
      </c>
      <c r="C1" s="16" t="inlineStr">
        <is>
          <t>ClienteID</t>
        </is>
      </c>
      <c r="D1" s="16" t="inlineStr">
        <is>
          <t>LojaID</t>
        </is>
      </c>
      <c r="E1" s="16" t="inlineStr">
        <is>
          <t>StatusPedido</t>
        </is>
      </c>
      <c r="F1" s="16" t="inlineStr">
        <is>
          <t>FormaPagamento</t>
        </is>
      </c>
      <c r="G1" s="16" t="inlineStr">
        <is>
          <t>DescontoPedidoPct</t>
        </is>
      </c>
    </row>
    <row r="2">
      <c r="A2" s="2" t="inlineStr">
        <is>
          <t>PED00001</t>
        </is>
      </c>
      <c r="B2" s="3" t="n">
        <v>45495</v>
      </c>
      <c r="C2" s="2" t="inlineStr">
        <is>
          <t>C0309</t>
        </is>
      </c>
      <c r="D2" s="2" t="inlineStr">
        <is>
          <t>L07</t>
        </is>
      </c>
      <c r="E2" s="2" t="inlineStr">
        <is>
          <t>Entregue</t>
        </is>
      </c>
      <c r="F2" s="2" t="inlineStr">
        <is>
          <t>Pix</t>
        </is>
      </c>
      <c r="G2" s="19" t="n">
        <v>0</v>
      </c>
    </row>
    <row r="3">
      <c r="A3" s="2" t="inlineStr">
        <is>
          <t>PED00002</t>
        </is>
      </c>
      <c r="B3" s="3" t="n">
        <v>45919</v>
      </c>
      <c r="C3" s="2" t="inlineStr">
        <is>
          <t>C0164</t>
        </is>
      </c>
      <c r="D3" s="2" t="inlineStr">
        <is>
          <t>L03</t>
        </is>
      </c>
      <c r="E3" s="2" t="inlineStr">
        <is>
          <t>Entregue</t>
        </is>
      </c>
      <c r="F3" s="2" t="inlineStr">
        <is>
          <t>Cartão de crédito</t>
        </is>
      </c>
      <c r="G3" s="19" t="n">
        <v>0.1</v>
      </c>
    </row>
    <row r="4">
      <c r="A4" s="2" t="inlineStr">
        <is>
          <t>PED00003</t>
        </is>
      </c>
      <c r="B4" s="3" t="n">
        <v>45718</v>
      </c>
      <c r="C4" s="2" t="inlineStr">
        <is>
          <t>C0299</t>
        </is>
      </c>
      <c r="D4" s="2" t="inlineStr">
        <is>
          <t>L05</t>
        </is>
      </c>
      <c r="E4" s="2" t="inlineStr">
        <is>
          <t>Entregue</t>
        </is>
      </c>
      <c r="F4" s="2" t="inlineStr">
        <is>
          <t>Cartão de débito</t>
        </is>
      </c>
      <c r="G4" s="19" t="n">
        <v>0.05</v>
      </c>
    </row>
    <row r="5">
      <c r="A5" s="2" t="inlineStr">
        <is>
          <t>PED00004</t>
        </is>
      </c>
      <c r="B5" s="3" t="n">
        <v>45884</v>
      </c>
      <c r="C5" s="2" t="inlineStr">
        <is>
          <t>C0296</t>
        </is>
      </c>
      <c r="D5" s="2" t="inlineStr">
        <is>
          <t>L04</t>
        </is>
      </c>
      <c r="E5" s="2" t="inlineStr">
        <is>
          <t>Entregue</t>
        </is>
      </c>
      <c r="F5" s="2" t="inlineStr">
        <is>
          <t>Cartão de crédito</t>
        </is>
      </c>
      <c r="G5" s="19" t="n">
        <v>0</v>
      </c>
    </row>
    <row r="6">
      <c r="A6" s="2" t="inlineStr">
        <is>
          <t>PED00005</t>
        </is>
      </c>
      <c r="B6" s="3" t="n">
        <v>45999</v>
      </c>
      <c r="C6" s="2" t="inlineStr">
        <is>
          <t>C0105</t>
        </is>
      </c>
      <c r="D6" s="2" t="inlineStr">
        <is>
          <t>L07</t>
        </is>
      </c>
      <c r="E6" s="2" t="inlineStr">
        <is>
          <t>Entregue</t>
        </is>
      </c>
      <c r="F6" s="2" t="inlineStr">
        <is>
          <t>Cartão de crédito</t>
        </is>
      </c>
      <c r="G6" s="19" t="n">
        <v>0.03</v>
      </c>
    </row>
    <row r="7">
      <c r="A7" s="2" t="inlineStr">
        <is>
          <t>PED00006</t>
        </is>
      </c>
      <c r="B7" s="3" t="n">
        <v>45984</v>
      </c>
      <c r="C7" s="2" t="inlineStr">
        <is>
          <t>C0349</t>
        </is>
      </c>
      <c r="D7" s="2" t="inlineStr">
        <is>
          <t>L05</t>
        </is>
      </c>
      <c r="E7" s="2" t="inlineStr">
        <is>
          <t>Entregue</t>
        </is>
      </c>
      <c r="F7" s="2" t="inlineStr">
        <is>
          <t>Pix</t>
        </is>
      </c>
      <c r="G7" s="19" t="n">
        <v>0</v>
      </c>
    </row>
    <row r="8">
      <c r="A8" s="2" t="inlineStr">
        <is>
          <t>PED00007</t>
        </is>
      </c>
      <c r="B8" s="3" t="n">
        <v>45572</v>
      </c>
      <c r="C8" s="2" t="inlineStr">
        <is>
          <t>C0148</t>
        </is>
      </c>
      <c r="D8" s="2" t="inlineStr">
        <is>
          <t>L02</t>
        </is>
      </c>
      <c r="E8" s="2" t="inlineStr">
        <is>
          <t>Entregue</t>
        </is>
      </c>
      <c r="F8" s="2" t="inlineStr">
        <is>
          <t>Cartão de crédito</t>
        </is>
      </c>
      <c r="G8" s="19" t="n">
        <v>0.1</v>
      </c>
    </row>
    <row r="9">
      <c r="A9" s="2" t="inlineStr">
        <is>
          <t>PED00008</t>
        </is>
      </c>
      <c r="B9" s="3" t="n">
        <v>45744</v>
      </c>
      <c r="C9" s="2" t="inlineStr">
        <is>
          <t>C0336</t>
        </is>
      </c>
      <c r="D9" s="2" t="inlineStr">
        <is>
          <t>L05</t>
        </is>
      </c>
      <c r="E9" s="2" t="inlineStr">
        <is>
          <t>Entregue</t>
        </is>
      </c>
      <c r="F9" s="2" t="inlineStr">
        <is>
          <t>Pix</t>
        </is>
      </c>
      <c r="G9" s="19" t="n">
        <v>0.1</v>
      </c>
    </row>
    <row r="10">
      <c r="A10" s="2" t="inlineStr">
        <is>
          <t>PED00009</t>
        </is>
      </c>
      <c r="B10" s="3" t="n">
        <v>45835</v>
      </c>
      <c r="C10" s="2" t="inlineStr">
        <is>
          <t>C0116</t>
        </is>
      </c>
      <c r="D10" s="2" t="inlineStr">
        <is>
          <t>L04</t>
        </is>
      </c>
      <c r="E10" s="2" t="inlineStr">
        <is>
          <t>Entregue</t>
        </is>
      </c>
      <c r="F10" s="2" t="inlineStr">
        <is>
          <t>Cartão de crédito</t>
        </is>
      </c>
      <c r="G10" s="19" t="n">
        <v>0.05</v>
      </c>
    </row>
    <row r="11">
      <c r="A11" s="2" t="inlineStr">
        <is>
          <t>PED00010</t>
        </is>
      </c>
      <c r="B11" s="3" t="n">
        <v>45453</v>
      </c>
      <c r="C11" s="2" t="inlineStr">
        <is>
          <t>C0209</t>
        </is>
      </c>
      <c r="D11" s="2" t="inlineStr">
        <is>
          <t>L08</t>
        </is>
      </c>
      <c r="E11" s="2" t="inlineStr">
        <is>
          <t>Entregue</t>
        </is>
      </c>
      <c r="F11" s="2" t="inlineStr">
        <is>
          <t>Pix</t>
        </is>
      </c>
      <c r="G11" s="19" t="n">
        <v>0.15</v>
      </c>
    </row>
    <row r="12">
      <c r="A12" s="2" t="inlineStr">
        <is>
          <t>PED00011</t>
        </is>
      </c>
      <c r="B12" s="3" t="n">
        <v>45330</v>
      </c>
      <c r="C12" s="2" t="inlineStr">
        <is>
          <t>C0090</t>
        </is>
      </c>
      <c r="D12" s="2" t="inlineStr">
        <is>
          <t>L07</t>
        </is>
      </c>
      <c r="E12" s="2" t="inlineStr">
        <is>
          <t>Cancelado</t>
        </is>
      </c>
      <c r="F12" s="2" t="inlineStr">
        <is>
          <t>Pix</t>
        </is>
      </c>
      <c r="G12" s="19" t="n">
        <v>0.1</v>
      </c>
    </row>
    <row r="13">
      <c r="A13" s="2" t="inlineStr">
        <is>
          <t>PED00012</t>
        </is>
      </c>
      <c r="B13" s="3" t="n">
        <v>45771</v>
      </c>
      <c r="C13" s="2" t="inlineStr">
        <is>
          <t>C0140</t>
        </is>
      </c>
      <c r="D13" s="2" t="inlineStr">
        <is>
          <t>L04</t>
        </is>
      </c>
      <c r="E13" s="2" t="inlineStr">
        <is>
          <t>Entregue</t>
        </is>
      </c>
      <c r="F13" s="2" t="inlineStr">
        <is>
          <t>Cartão de crédito</t>
        </is>
      </c>
      <c r="G13" s="19" t="n">
        <v>0.05</v>
      </c>
    </row>
    <row r="14">
      <c r="A14" s="2" t="inlineStr">
        <is>
          <t>PED00013</t>
        </is>
      </c>
      <c r="B14" s="3" t="n">
        <v>45729</v>
      </c>
      <c r="C14" s="2" t="inlineStr">
        <is>
          <t>C0264</t>
        </is>
      </c>
      <c r="D14" s="2" t="inlineStr">
        <is>
          <t>L06</t>
        </is>
      </c>
      <c r="E14" s="2" t="inlineStr">
        <is>
          <t>Entregue</t>
        </is>
      </c>
      <c r="F14" s="2" t="inlineStr">
        <is>
          <t>Cartão de crédito</t>
        </is>
      </c>
      <c r="G14" s="19" t="n">
        <v>0</v>
      </c>
    </row>
    <row r="15">
      <c r="A15" s="2" t="inlineStr">
        <is>
          <t>PED00014</t>
        </is>
      </c>
      <c r="B15" s="3" t="n">
        <v>45684</v>
      </c>
      <c r="C15" s="2" t="inlineStr">
        <is>
          <t>C0121</t>
        </is>
      </c>
      <c r="D15" s="2" t="inlineStr">
        <is>
          <t>L08</t>
        </is>
      </c>
      <c r="E15" s="2" t="inlineStr">
        <is>
          <t>Entregue</t>
        </is>
      </c>
      <c r="F15" s="2" t="inlineStr">
        <is>
          <t>Transferência</t>
        </is>
      </c>
      <c r="G15" s="19" t="n">
        <v>0</v>
      </c>
    </row>
    <row r="16">
      <c r="A16" s="2" t="inlineStr">
        <is>
          <t>PED00015</t>
        </is>
      </c>
      <c r="B16" s="3" t="n">
        <v>46012</v>
      </c>
      <c r="C16" s="2" t="inlineStr">
        <is>
          <t>C0160</t>
        </is>
      </c>
      <c r="D16" s="2" t="inlineStr">
        <is>
          <t>L02</t>
        </is>
      </c>
      <c r="E16" s="2" t="inlineStr">
        <is>
          <t>Entregue</t>
        </is>
      </c>
      <c r="F16" s="2" t="inlineStr">
        <is>
          <t>Boleto</t>
        </is>
      </c>
      <c r="G16" s="19" t="n">
        <v>0</v>
      </c>
    </row>
    <row r="17">
      <c r="A17" s="2" t="inlineStr">
        <is>
          <t>PED00016</t>
        </is>
      </c>
      <c r="B17" s="3" t="n">
        <v>45854</v>
      </c>
      <c r="C17" s="2" t="inlineStr">
        <is>
          <t>C0242</t>
        </is>
      </c>
      <c r="D17" s="2" t="inlineStr">
        <is>
          <t>L04</t>
        </is>
      </c>
      <c r="E17" s="2" t="inlineStr">
        <is>
          <t>Entregue</t>
        </is>
      </c>
      <c r="F17" s="2" t="inlineStr">
        <is>
          <t>Cartão de débito</t>
        </is>
      </c>
      <c r="G17" s="19" t="n">
        <v>0.05</v>
      </c>
    </row>
    <row r="18">
      <c r="A18" s="2" t="inlineStr">
        <is>
          <t>PED00017</t>
        </is>
      </c>
      <c r="B18" s="3" t="n">
        <v>45445</v>
      </c>
      <c r="C18" s="2" t="inlineStr">
        <is>
          <t>C0085</t>
        </is>
      </c>
      <c r="D18" s="2" t="inlineStr">
        <is>
          <t>L06</t>
        </is>
      </c>
      <c r="E18" s="2" t="inlineStr">
        <is>
          <t>Cancelado</t>
        </is>
      </c>
      <c r="F18" s="2" t="inlineStr">
        <is>
          <t>Cartão de crédito</t>
        </is>
      </c>
      <c r="G18" s="19" t="n">
        <v>0.05</v>
      </c>
    </row>
    <row r="19">
      <c r="A19" s="2" t="inlineStr">
        <is>
          <t>PED00018</t>
        </is>
      </c>
      <c r="B19" s="3" t="n">
        <v>45980</v>
      </c>
      <c r="C19" s="2" t="inlineStr">
        <is>
          <t>C0158</t>
        </is>
      </c>
      <c r="D19" s="2" t="inlineStr">
        <is>
          <t>L01</t>
        </is>
      </c>
      <c r="E19" s="2" t="inlineStr">
        <is>
          <t>Entregue</t>
        </is>
      </c>
      <c r="F19" s="2" t="inlineStr">
        <is>
          <t>Cartão de débito</t>
        </is>
      </c>
      <c r="G19" s="19" t="n">
        <v>0.05</v>
      </c>
    </row>
    <row r="20">
      <c r="A20" s="2" t="inlineStr">
        <is>
          <t>PED00019</t>
        </is>
      </c>
      <c r="B20" s="3" t="n">
        <v>45585</v>
      </c>
      <c r="C20" s="2" t="inlineStr">
        <is>
          <t>C0210</t>
        </is>
      </c>
      <c r="D20" s="2" t="inlineStr">
        <is>
          <t>L03</t>
        </is>
      </c>
      <c r="E20" s="2" t="inlineStr">
        <is>
          <t>Entregue</t>
        </is>
      </c>
      <c r="F20" s="2" t="inlineStr">
        <is>
          <t>Cartão de débito</t>
        </is>
      </c>
      <c r="G20" s="19" t="n">
        <v>0.15</v>
      </c>
    </row>
    <row r="21">
      <c r="A21" s="2" t="inlineStr">
        <is>
          <t>PED00020</t>
        </is>
      </c>
      <c r="B21" s="3" t="n">
        <v>45428</v>
      </c>
      <c r="C21" s="2" t="inlineStr">
        <is>
          <t>C0335</t>
        </is>
      </c>
      <c r="D21" s="2" t="inlineStr">
        <is>
          <t>L06</t>
        </is>
      </c>
      <c r="E21" s="2" t="inlineStr">
        <is>
          <t>Entregue</t>
        </is>
      </c>
      <c r="F21" s="2" t="inlineStr">
        <is>
          <t>Transferência</t>
        </is>
      </c>
      <c r="G21" s="19" t="n">
        <v>0</v>
      </c>
    </row>
    <row r="22">
      <c r="A22" s="2" t="inlineStr">
        <is>
          <t>PED00021</t>
        </is>
      </c>
      <c r="B22" s="3" t="n">
        <v>45597</v>
      </c>
      <c r="C22" s="2" t="inlineStr">
        <is>
          <t>C0238</t>
        </is>
      </c>
      <c r="D22" s="2" t="inlineStr">
        <is>
          <t>L07</t>
        </is>
      </c>
      <c r="E22" s="2" t="inlineStr">
        <is>
          <t>Entregue</t>
        </is>
      </c>
      <c r="F22" s="2" t="inlineStr">
        <is>
          <t>Cartão de débito</t>
        </is>
      </c>
      <c r="G22" s="19" t="n">
        <v>0</v>
      </c>
    </row>
    <row r="23">
      <c r="A23" s="2" t="inlineStr">
        <is>
          <t>PED00022</t>
        </is>
      </c>
      <c r="B23" s="3" t="n">
        <v>45721</v>
      </c>
      <c r="C23" s="2" t="inlineStr">
        <is>
          <t>C0315</t>
        </is>
      </c>
      <c r="D23" s="2" t="inlineStr">
        <is>
          <t>L01</t>
        </is>
      </c>
      <c r="E23" s="2" t="inlineStr">
        <is>
          <t>Entregue</t>
        </is>
      </c>
      <c r="F23" s="2" t="inlineStr">
        <is>
          <t>Pix</t>
        </is>
      </c>
      <c r="G23" s="19" t="n">
        <v>0.05</v>
      </c>
    </row>
    <row r="24">
      <c r="A24" s="2" t="inlineStr">
        <is>
          <t>PED00023</t>
        </is>
      </c>
      <c r="B24" s="3" t="n">
        <v>45349</v>
      </c>
      <c r="C24" s="2" t="inlineStr">
        <is>
          <t>C0072</t>
        </is>
      </c>
      <c r="D24" s="2" t="inlineStr">
        <is>
          <t>L05</t>
        </is>
      </c>
      <c r="E24" s="2" t="inlineStr">
        <is>
          <t>Entregue</t>
        </is>
      </c>
      <c r="F24" s="2" t="inlineStr">
        <is>
          <t>Boleto</t>
        </is>
      </c>
      <c r="G24" s="19" t="n">
        <v>0.05</v>
      </c>
    </row>
    <row r="25">
      <c r="A25" s="2" t="inlineStr">
        <is>
          <t>PED00024</t>
        </is>
      </c>
      <c r="B25" s="3" t="n">
        <v>45897</v>
      </c>
      <c r="C25" s="2" t="inlineStr">
        <is>
          <t>C0090</t>
        </is>
      </c>
      <c r="D25" s="2" t="inlineStr">
        <is>
          <t>L07</t>
        </is>
      </c>
      <c r="E25" s="2" t="inlineStr">
        <is>
          <t>Entregue</t>
        </is>
      </c>
      <c r="F25" s="2" t="inlineStr">
        <is>
          <t>Pix</t>
        </is>
      </c>
      <c r="G25" s="19" t="n">
        <v>0</v>
      </c>
    </row>
    <row r="26">
      <c r="A26" s="2" t="inlineStr">
        <is>
          <t>PED00025</t>
        </is>
      </c>
      <c r="B26" s="3" t="n">
        <v>45522</v>
      </c>
      <c r="C26" s="2" t="inlineStr">
        <is>
          <t>C0154</t>
        </is>
      </c>
      <c r="D26" s="2" t="inlineStr">
        <is>
          <t>L03</t>
        </is>
      </c>
      <c r="E26" s="2" t="inlineStr">
        <is>
          <t>Entregue</t>
        </is>
      </c>
      <c r="F26" s="2" t="inlineStr">
        <is>
          <t>Boleto</t>
        </is>
      </c>
      <c r="G26" s="19" t="n">
        <v>0.03</v>
      </c>
    </row>
    <row r="27">
      <c r="A27" s="2" t="inlineStr">
        <is>
          <t>PED00026</t>
        </is>
      </c>
      <c r="B27" s="3" t="n">
        <v>45366</v>
      </c>
      <c r="C27" s="2" t="inlineStr">
        <is>
          <t>C0097</t>
        </is>
      </c>
      <c r="D27" s="2" t="inlineStr">
        <is>
          <t>L04</t>
        </is>
      </c>
      <c r="E27" s="2" t="inlineStr">
        <is>
          <t>Entregue</t>
        </is>
      </c>
      <c r="F27" s="2" t="inlineStr">
        <is>
          <t>Boleto</t>
        </is>
      </c>
      <c r="G27" s="19" t="n">
        <v>0</v>
      </c>
    </row>
    <row r="28">
      <c r="A28" s="2" t="inlineStr">
        <is>
          <t>PED00027</t>
        </is>
      </c>
      <c r="B28" s="3" t="n">
        <v>45660</v>
      </c>
      <c r="C28" s="2" t="inlineStr">
        <is>
          <t>C0263</t>
        </is>
      </c>
      <c r="D28" s="2" t="inlineStr">
        <is>
          <t>L08</t>
        </is>
      </c>
      <c r="E28" s="2" t="inlineStr">
        <is>
          <t>Entregue</t>
        </is>
      </c>
      <c r="F28" s="2" t="inlineStr">
        <is>
          <t>Cartão de débito</t>
        </is>
      </c>
      <c r="G28" s="19" t="n">
        <v>0.05</v>
      </c>
    </row>
    <row r="29">
      <c r="A29" s="2" t="inlineStr">
        <is>
          <t>PED00028</t>
        </is>
      </c>
      <c r="B29" s="3" t="n">
        <v>45890</v>
      </c>
      <c r="C29" s="2" t="inlineStr">
        <is>
          <t>C0297</t>
        </is>
      </c>
      <c r="D29" s="2" t="inlineStr">
        <is>
          <t>L07</t>
        </is>
      </c>
      <c r="E29" s="2" t="inlineStr">
        <is>
          <t>Entregue</t>
        </is>
      </c>
      <c r="F29" s="2" t="inlineStr">
        <is>
          <t>Pix</t>
        </is>
      </c>
      <c r="G29" s="19" t="n">
        <v>0</v>
      </c>
    </row>
    <row r="30">
      <c r="A30" s="2" t="inlineStr">
        <is>
          <t>PED00029</t>
        </is>
      </c>
      <c r="B30" s="3" t="n">
        <v>45652</v>
      </c>
      <c r="C30" s="2" t="inlineStr">
        <is>
          <t>C0087</t>
        </is>
      </c>
      <c r="D30" s="2" t="inlineStr">
        <is>
          <t>L03</t>
        </is>
      </c>
      <c r="E30" s="2" t="inlineStr">
        <is>
          <t>Entregue</t>
        </is>
      </c>
      <c r="F30" s="2" t="inlineStr">
        <is>
          <t>Cartão de crédito</t>
        </is>
      </c>
      <c r="G30" s="19" t="n">
        <v>0.1</v>
      </c>
    </row>
    <row r="31">
      <c r="A31" s="2" t="inlineStr">
        <is>
          <t>PED00030</t>
        </is>
      </c>
      <c r="B31" s="3" t="n">
        <v>45937</v>
      </c>
      <c r="C31" s="2" t="inlineStr">
        <is>
          <t>C0119</t>
        </is>
      </c>
      <c r="D31" s="2" t="inlineStr">
        <is>
          <t>L02</t>
        </is>
      </c>
      <c r="E31" s="2" t="inlineStr">
        <is>
          <t>Entregue</t>
        </is>
      </c>
      <c r="F31" s="2" t="inlineStr">
        <is>
          <t>Pix</t>
        </is>
      </c>
      <c r="G31" s="19" t="n">
        <v>0.03</v>
      </c>
    </row>
    <row r="32">
      <c r="A32" s="2" t="inlineStr">
        <is>
          <t>PED00031</t>
        </is>
      </c>
      <c r="B32" s="3" t="n">
        <v>45573</v>
      </c>
      <c r="C32" s="2" t="inlineStr">
        <is>
          <t>C0275</t>
        </is>
      </c>
      <c r="D32" s="2" t="inlineStr">
        <is>
          <t>L05</t>
        </is>
      </c>
      <c r="E32" s="2" t="inlineStr">
        <is>
          <t>Entregue</t>
        </is>
      </c>
      <c r="F32" s="2" t="inlineStr">
        <is>
          <t>Cartão de débito</t>
        </is>
      </c>
      <c r="G32" s="19" t="n">
        <v>0.05</v>
      </c>
    </row>
    <row r="33">
      <c r="A33" s="2" t="inlineStr">
        <is>
          <t>PED00032</t>
        </is>
      </c>
      <c r="B33" s="3" t="n">
        <v>45870</v>
      </c>
      <c r="C33" s="2" t="inlineStr">
        <is>
          <t>C0125</t>
        </is>
      </c>
      <c r="D33" s="2" t="inlineStr">
        <is>
          <t>L04</t>
        </is>
      </c>
      <c r="E33" s="2" t="inlineStr">
        <is>
          <t>Entregue</t>
        </is>
      </c>
      <c r="F33" s="2" t="inlineStr">
        <is>
          <t>Cartão de débito</t>
        </is>
      </c>
      <c r="G33" s="19" t="n">
        <v>0</v>
      </c>
    </row>
    <row r="34">
      <c r="A34" s="2" t="inlineStr">
        <is>
          <t>PED00033</t>
        </is>
      </c>
      <c r="B34" s="3" t="n">
        <v>45335</v>
      </c>
      <c r="C34" s="2" t="inlineStr">
        <is>
          <t>C0118</t>
        </is>
      </c>
      <c r="D34" s="2" t="inlineStr">
        <is>
          <t>L04</t>
        </is>
      </c>
      <c r="E34" s="2" t="inlineStr">
        <is>
          <t>Em processamento</t>
        </is>
      </c>
      <c r="F34" s="2" t="inlineStr">
        <is>
          <t>Cartão de débito</t>
        </is>
      </c>
      <c r="G34" s="19" t="n">
        <v>0.03</v>
      </c>
    </row>
    <row r="35">
      <c r="A35" s="2" t="inlineStr">
        <is>
          <t>PED00034</t>
        </is>
      </c>
      <c r="B35" s="3" t="n">
        <v>45614</v>
      </c>
      <c r="C35" s="2" t="inlineStr">
        <is>
          <t>C0009</t>
        </is>
      </c>
      <c r="D35" s="2" t="inlineStr">
        <is>
          <t>L04</t>
        </is>
      </c>
      <c r="E35" s="2" t="inlineStr">
        <is>
          <t>Entregue</t>
        </is>
      </c>
      <c r="F35" s="2" t="inlineStr">
        <is>
          <t>Cartão de débito</t>
        </is>
      </c>
      <c r="G35" s="19" t="n">
        <v>0.05</v>
      </c>
    </row>
    <row r="36">
      <c r="A36" s="2" t="inlineStr">
        <is>
          <t>PED00035</t>
        </is>
      </c>
      <c r="B36" s="3" t="n">
        <v>45845</v>
      </c>
      <c r="C36" s="2" t="inlineStr">
        <is>
          <t>C0170</t>
        </is>
      </c>
      <c r="D36" s="2" t="inlineStr">
        <is>
          <t>L07</t>
        </is>
      </c>
      <c r="E36" s="2" t="inlineStr">
        <is>
          <t>Entregue</t>
        </is>
      </c>
      <c r="F36" s="2" t="inlineStr">
        <is>
          <t>Pix</t>
        </is>
      </c>
      <c r="G36" s="19" t="n">
        <v>0.15</v>
      </c>
    </row>
    <row r="37">
      <c r="A37" s="2" t="inlineStr">
        <is>
          <t>PED00036</t>
        </is>
      </c>
      <c r="B37" s="3" t="n">
        <v>45626</v>
      </c>
      <c r="C37" s="2" t="inlineStr">
        <is>
          <t>C0016</t>
        </is>
      </c>
      <c r="D37" s="2" t="inlineStr">
        <is>
          <t>L05</t>
        </is>
      </c>
      <c r="E37" s="2" t="inlineStr">
        <is>
          <t>Entregue</t>
        </is>
      </c>
      <c r="F37" s="2" t="inlineStr">
        <is>
          <t>Cartão de crédito</t>
        </is>
      </c>
      <c r="G37" s="19" t="n">
        <v>0</v>
      </c>
    </row>
    <row r="38">
      <c r="A38" s="2" t="inlineStr">
        <is>
          <t>PED00037</t>
        </is>
      </c>
      <c r="B38" s="3" t="n">
        <v>45376</v>
      </c>
      <c r="C38" s="2" t="inlineStr">
        <is>
          <t>C0138</t>
        </is>
      </c>
      <c r="D38" s="2" t="inlineStr">
        <is>
          <t>L03</t>
        </is>
      </c>
      <c r="E38" s="2" t="inlineStr">
        <is>
          <t>Entregue</t>
        </is>
      </c>
      <c r="F38" s="2" t="inlineStr">
        <is>
          <t>Cartão de débito</t>
        </is>
      </c>
      <c r="G38" s="19" t="n">
        <v>0</v>
      </c>
    </row>
    <row r="39">
      <c r="A39" s="2" t="inlineStr">
        <is>
          <t>PED00038</t>
        </is>
      </c>
      <c r="B39" s="3" t="n">
        <v>45396</v>
      </c>
      <c r="C39" s="2" t="inlineStr">
        <is>
          <t>C0068</t>
        </is>
      </c>
      <c r="D39" s="2" t="inlineStr">
        <is>
          <t>L02</t>
        </is>
      </c>
      <c r="E39" s="2" t="inlineStr">
        <is>
          <t>Entregue</t>
        </is>
      </c>
      <c r="F39" s="2" t="inlineStr">
        <is>
          <t>Cartão de crédito</t>
        </is>
      </c>
      <c r="G39" s="19" t="n">
        <v>0.03</v>
      </c>
    </row>
    <row r="40">
      <c r="A40" s="2" t="inlineStr">
        <is>
          <t>PED00039</t>
        </is>
      </c>
      <c r="B40" s="3" t="n">
        <v>45686</v>
      </c>
      <c r="C40" s="2" t="inlineStr">
        <is>
          <t>C0007</t>
        </is>
      </c>
      <c r="D40" s="2" t="inlineStr">
        <is>
          <t>L05</t>
        </is>
      </c>
      <c r="E40" s="2" t="inlineStr">
        <is>
          <t>Entregue</t>
        </is>
      </c>
      <c r="F40" s="2" t="inlineStr">
        <is>
          <t>Cartão de débito</t>
        </is>
      </c>
      <c r="G40" s="19" t="n">
        <v>0.05</v>
      </c>
    </row>
    <row r="41">
      <c r="A41" s="2" t="inlineStr">
        <is>
          <t>PED00040</t>
        </is>
      </c>
      <c r="B41" s="3" t="n">
        <v>45574</v>
      </c>
      <c r="C41" s="2" t="inlineStr">
        <is>
          <t>C0216</t>
        </is>
      </c>
      <c r="D41" s="2" t="inlineStr">
        <is>
          <t>L05</t>
        </is>
      </c>
      <c r="E41" s="2" t="inlineStr">
        <is>
          <t>Entregue</t>
        </is>
      </c>
      <c r="F41" s="2" t="inlineStr">
        <is>
          <t>Pix</t>
        </is>
      </c>
      <c r="G41" s="19" t="n">
        <v>0</v>
      </c>
    </row>
    <row r="42">
      <c r="A42" s="2" t="inlineStr">
        <is>
          <t>PED00041</t>
        </is>
      </c>
      <c r="B42" s="3" t="n">
        <v>45927</v>
      </c>
      <c r="C42" s="2" t="inlineStr">
        <is>
          <t>C0195</t>
        </is>
      </c>
      <c r="D42" s="2" t="inlineStr">
        <is>
          <t>L06</t>
        </is>
      </c>
      <c r="E42" s="2" t="inlineStr">
        <is>
          <t>Entregue</t>
        </is>
      </c>
      <c r="F42" s="2" t="inlineStr">
        <is>
          <t>Cartão de crédito</t>
        </is>
      </c>
      <c r="G42" s="19" t="n">
        <v>0.1</v>
      </c>
    </row>
    <row r="43">
      <c r="A43" s="2" t="inlineStr">
        <is>
          <t>PED00042</t>
        </is>
      </c>
      <c r="B43" s="3" t="n">
        <v>46003</v>
      </c>
      <c r="C43" s="2" t="inlineStr">
        <is>
          <t>C0325</t>
        </is>
      </c>
      <c r="D43" s="2" t="inlineStr">
        <is>
          <t>L08</t>
        </is>
      </c>
      <c r="E43" s="2" t="inlineStr">
        <is>
          <t>Devolvido</t>
        </is>
      </c>
      <c r="F43" s="2" t="inlineStr">
        <is>
          <t>Cartão de débito</t>
        </is>
      </c>
      <c r="G43" s="19" t="n">
        <v>0</v>
      </c>
    </row>
    <row r="44">
      <c r="A44" s="2" t="inlineStr">
        <is>
          <t>PED00043</t>
        </is>
      </c>
      <c r="B44" s="3" t="n">
        <v>45990</v>
      </c>
      <c r="C44" s="2" t="inlineStr">
        <is>
          <t>C0282</t>
        </is>
      </c>
      <c r="D44" s="2" t="inlineStr">
        <is>
          <t>L01</t>
        </is>
      </c>
      <c r="E44" s="2" t="inlineStr">
        <is>
          <t>Em processamento</t>
        </is>
      </c>
      <c r="F44" s="2" t="inlineStr">
        <is>
          <t>Cartão de crédito</t>
        </is>
      </c>
      <c r="G44" s="19" t="n">
        <v>0.05</v>
      </c>
    </row>
    <row r="45">
      <c r="A45" s="2" t="inlineStr">
        <is>
          <t>PED00044</t>
        </is>
      </c>
      <c r="B45" s="3" t="n">
        <v>45940</v>
      </c>
      <c r="C45" s="2" t="inlineStr">
        <is>
          <t>C0156</t>
        </is>
      </c>
      <c r="D45" s="2" t="inlineStr">
        <is>
          <t>L04</t>
        </is>
      </c>
      <c r="E45" s="2" t="inlineStr">
        <is>
          <t>Entregue</t>
        </is>
      </c>
      <c r="F45" s="2" t="inlineStr">
        <is>
          <t>Pix</t>
        </is>
      </c>
      <c r="G45" s="19" t="n">
        <v>0.03</v>
      </c>
    </row>
    <row r="46">
      <c r="A46" s="2" t="inlineStr">
        <is>
          <t>PED00045</t>
        </is>
      </c>
      <c r="B46" s="3" t="n">
        <v>45720</v>
      </c>
      <c r="C46" s="2" t="inlineStr">
        <is>
          <t>C0279</t>
        </is>
      </c>
      <c r="D46" s="2" t="inlineStr">
        <is>
          <t>L01</t>
        </is>
      </c>
      <c r="E46" s="2" t="inlineStr">
        <is>
          <t>Entregue</t>
        </is>
      </c>
      <c r="F46" s="2" t="inlineStr">
        <is>
          <t>Cartão de crédito</t>
        </is>
      </c>
      <c r="G46" s="19" t="n">
        <v>0.1</v>
      </c>
    </row>
    <row r="47">
      <c r="A47" s="2" t="inlineStr">
        <is>
          <t>PED00046</t>
        </is>
      </c>
      <c r="B47" s="3" t="n">
        <v>45337</v>
      </c>
      <c r="C47" s="2" t="inlineStr">
        <is>
          <t>C0289</t>
        </is>
      </c>
      <c r="D47" s="2" t="inlineStr">
        <is>
          <t>L07</t>
        </is>
      </c>
      <c r="E47" s="2" t="inlineStr">
        <is>
          <t>Devolvido</t>
        </is>
      </c>
      <c r="F47" s="2" t="inlineStr">
        <is>
          <t>Cartão de crédito</t>
        </is>
      </c>
      <c r="G47" s="19" t="n">
        <v>0.1</v>
      </c>
    </row>
    <row r="48">
      <c r="A48" s="2" t="inlineStr">
        <is>
          <t>PED00047</t>
        </is>
      </c>
      <c r="B48" s="3" t="n">
        <v>45823</v>
      </c>
      <c r="C48" s="2" t="inlineStr">
        <is>
          <t>C0286</t>
        </is>
      </c>
      <c r="D48" s="2" t="inlineStr">
        <is>
          <t>L04</t>
        </is>
      </c>
      <c r="E48" s="2" t="inlineStr">
        <is>
          <t>Entregue</t>
        </is>
      </c>
      <c r="F48" s="2" t="inlineStr">
        <is>
          <t>Cartão de crédito</t>
        </is>
      </c>
      <c r="G48" s="19" t="n">
        <v>0.1</v>
      </c>
    </row>
    <row r="49">
      <c r="A49" s="2" t="inlineStr">
        <is>
          <t>PED00048</t>
        </is>
      </c>
      <c r="B49" s="3" t="n">
        <v>45437</v>
      </c>
      <c r="C49" s="2" t="inlineStr">
        <is>
          <t>C0179</t>
        </is>
      </c>
      <c r="D49" s="2" t="inlineStr">
        <is>
          <t>L05</t>
        </is>
      </c>
      <c r="E49" s="2" t="inlineStr">
        <is>
          <t>Entregue</t>
        </is>
      </c>
      <c r="F49" s="2" t="inlineStr">
        <is>
          <t>Cartão de débito</t>
        </is>
      </c>
      <c r="G49" s="19" t="n">
        <v>0.03</v>
      </c>
    </row>
    <row r="50">
      <c r="A50" s="2" t="inlineStr">
        <is>
          <t>PED00049</t>
        </is>
      </c>
      <c r="B50" s="3" t="n">
        <v>46019</v>
      </c>
      <c r="C50" s="2" t="inlineStr">
        <is>
          <t>C0059</t>
        </is>
      </c>
      <c r="D50" s="2" t="inlineStr">
        <is>
          <t>L01</t>
        </is>
      </c>
      <c r="E50" s="2" t="inlineStr">
        <is>
          <t>Cancelado</t>
        </is>
      </c>
      <c r="F50" s="2" t="inlineStr">
        <is>
          <t>Cartão de crédito</t>
        </is>
      </c>
      <c r="G50" s="19" t="n">
        <v>0.05</v>
      </c>
    </row>
    <row r="51">
      <c r="A51" s="2" t="inlineStr">
        <is>
          <t>PED00050</t>
        </is>
      </c>
      <c r="B51" s="3" t="n">
        <v>45630</v>
      </c>
      <c r="C51" s="2" t="inlineStr">
        <is>
          <t>C0287</t>
        </is>
      </c>
      <c r="D51" s="2" t="inlineStr">
        <is>
          <t>L07</t>
        </is>
      </c>
      <c r="E51" s="2" t="inlineStr">
        <is>
          <t>Em processamento</t>
        </is>
      </c>
      <c r="F51" s="2" t="inlineStr">
        <is>
          <t>Pix</t>
        </is>
      </c>
      <c r="G51" s="19" t="n">
        <v>0</v>
      </c>
    </row>
    <row r="52">
      <c r="A52" s="2" t="inlineStr">
        <is>
          <t>PED00051</t>
        </is>
      </c>
      <c r="B52" s="3" t="n">
        <v>45494</v>
      </c>
      <c r="C52" s="2" t="inlineStr">
        <is>
          <t>C0231</t>
        </is>
      </c>
      <c r="D52" s="2" t="inlineStr">
        <is>
          <t>L07</t>
        </is>
      </c>
      <c r="E52" s="2" t="inlineStr">
        <is>
          <t>Entregue</t>
        </is>
      </c>
      <c r="F52" s="2" t="inlineStr">
        <is>
          <t>Cartão de débito</t>
        </is>
      </c>
      <c r="G52" s="19" t="n">
        <v>0</v>
      </c>
    </row>
    <row r="53">
      <c r="A53" s="2" t="inlineStr">
        <is>
          <t>PED00052</t>
        </is>
      </c>
      <c r="B53" s="3" t="n">
        <v>45946</v>
      </c>
      <c r="C53" s="2" t="inlineStr">
        <is>
          <t>C0161</t>
        </is>
      </c>
      <c r="D53" s="2" t="inlineStr">
        <is>
          <t>L07</t>
        </is>
      </c>
      <c r="E53" s="2" t="inlineStr">
        <is>
          <t>Entregue</t>
        </is>
      </c>
      <c r="F53" s="2" t="inlineStr">
        <is>
          <t>Cartão de crédito</t>
        </is>
      </c>
      <c r="G53" s="19" t="n">
        <v>0</v>
      </c>
    </row>
    <row r="54">
      <c r="A54" s="2" t="inlineStr">
        <is>
          <t>PED00053</t>
        </is>
      </c>
      <c r="B54" s="3" t="n">
        <v>45725</v>
      </c>
      <c r="C54" s="2" t="inlineStr">
        <is>
          <t>C0096</t>
        </is>
      </c>
      <c r="D54" s="2" t="inlineStr">
        <is>
          <t>L08</t>
        </is>
      </c>
      <c r="E54" s="2" t="inlineStr">
        <is>
          <t>Entregue</t>
        </is>
      </c>
      <c r="F54" s="2" t="inlineStr">
        <is>
          <t>Cartão de débito</t>
        </is>
      </c>
      <c r="G54" s="19" t="n">
        <v>0.05</v>
      </c>
    </row>
    <row r="55">
      <c r="A55" s="2" t="inlineStr">
        <is>
          <t>PED00054</t>
        </is>
      </c>
      <c r="B55" s="3" t="n">
        <v>45993</v>
      </c>
      <c r="C55" s="2" t="inlineStr">
        <is>
          <t>C0252</t>
        </is>
      </c>
      <c r="D55" s="2" t="inlineStr">
        <is>
          <t>L07</t>
        </is>
      </c>
      <c r="E55" s="2" t="inlineStr">
        <is>
          <t>Entregue</t>
        </is>
      </c>
      <c r="F55" s="2" t="inlineStr">
        <is>
          <t>Cartão de crédito</t>
        </is>
      </c>
      <c r="G55" s="19" t="n">
        <v>0</v>
      </c>
    </row>
    <row r="56">
      <c r="A56" s="2" t="inlineStr">
        <is>
          <t>PED00055</t>
        </is>
      </c>
      <c r="B56" s="3" t="n">
        <v>45854</v>
      </c>
      <c r="C56" s="2" t="inlineStr">
        <is>
          <t>C0262</t>
        </is>
      </c>
      <c r="D56" s="2" t="inlineStr">
        <is>
          <t>L02</t>
        </is>
      </c>
      <c r="E56" s="2" t="inlineStr">
        <is>
          <t>Entregue</t>
        </is>
      </c>
      <c r="F56" s="2" t="inlineStr">
        <is>
          <t>Pix</t>
        </is>
      </c>
      <c r="G56" s="19" t="n">
        <v>0.03</v>
      </c>
    </row>
    <row r="57">
      <c r="A57" s="2" t="inlineStr">
        <is>
          <t>PED00056</t>
        </is>
      </c>
      <c r="B57" s="3" t="n">
        <v>45534</v>
      </c>
      <c r="C57" s="2" t="inlineStr">
        <is>
          <t>C0108</t>
        </is>
      </c>
      <c r="D57" s="2" t="inlineStr">
        <is>
          <t>L06</t>
        </is>
      </c>
      <c r="E57" s="2" t="inlineStr">
        <is>
          <t>Cancelado</t>
        </is>
      </c>
      <c r="F57" s="2" t="inlineStr">
        <is>
          <t>Cartão de crédito</t>
        </is>
      </c>
      <c r="G57" s="19" t="n">
        <v>0.03</v>
      </c>
    </row>
    <row r="58">
      <c r="A58" s="2" t="inlineStr">
        <is>
          <t>PED00057</t>
        </is>
      </c>
      <c r="B58" s="3" t="n">
        <v>45818</v>
      </c>
      <c r="C58" s="2" t="inlineStr">
        <is>
          <t>C0348</t>
        </is>
      </c>
      <c r="D58" s="2" t="inlineStr">
        <is>
          <t>L02</t>
        </is>
      </c>
      <c r="E58" s="2" t="inlineStr">
        <is>
          <t>Entregue</t>
        </is>
      </c>
      <c r="F58" s="2" t="inlineStr">
        <is>
          <t>Cartão de débito</t>
        </is>
      </c>
      <c r="G58" s="19" t="n">
        <v>0</v>
      </c>
    </row>
    <row r="59">
      <c r="A59" s="2" t="inlineStr">
        <is>
          <t>PED00058</t>
        </is>
      </c>
      <c r="B59" s="3" t="n">
        <v>45427</v>
      </c>
      <c r="C59" s="2" t="inlineStr">
        <is>
          <t>C0128</t>
        </is>
      </c>
      <c r="D59" s="2" t="inlineStr">
        <is>
          <t>L03</t>
        </is>
      </c>
      <c r="E59" s="2" t="inlineStr">
        <is>
          <t>Entregue</t>
        </is>
      </c>
      <c r="F59" s="2" t="inlineStr">
        <is>
          <t>Cartão de débito</t>
        </is>
      </c>
      <c r="G59" s="19" t="n">
        <v>0.05</v>
      </c>
    </row>
    <row r="60">
      <c r="A60" s="2" t="inlineStr">
        <is>
          <t>PED00059</t>
        </is>
      </c>
      <c r="B60" s="3" t="n">
        <v>45576</v>
      </c>
      <c r="C60" s="2" t="inlineStr">
        <is>
          <t>C0189</t>
        </is>
      </c>
      <c r="D60" s="2" t="inlineStr">
        <is>
          <t>L08</t>
        </is>
      </c>
      <c r="E60" s="2" t="inlineStr">
        <is>
          <t>Em processamento</t>
        </is>
      </c>
      <c r="F60" s="2" t="inlineStr">
        <is>
          <t>Cartão de crédito</t>
        </is>
      </c>
      <c r="G60" s="19" t="n">
        <v>0</v>
      </c>
    </row>
    <row r="61">
      <c r="A61" s="2" t="inlineStr">
        <is>
          <t>PED00060</t>
        </is>
      </c>
      <c r="B61" s="3" t="n">
        <v>45622</v>
      </c>
      <c r="C61" s="2" t="inlineStr">
        <is>
          <t>C0146</t>
        </is>
      </c>
      <c r="D61" s="2" t="inlineStr">
        <is>
          <t>L06</t>
        </is>
      </c>
      <c r="E61" s="2" t="inlineStr">
        <is>
          <t>Entregue</t>
        </is>
      </c>
      <c r="F61" s="2" t="inlineStr">
        <is>
          <t>Pix</t>
        </is>
      </c>
      <c r="G61" s="19" t="n">
        <v>0.1</v>
      </c>
    </row>
    <row r="62">
      <c r="A62" s="2" t="inlineStr">
        <is>
          <t>PED00061</t>
        </is>
      </c>
      <c r="B62" s="3" t="n">
        <v>45730</v>
      </c>
      <c r="C62" s="2" t="inlineStr">
        <is>
          <t>C0104</t>
        </is>
      </c>
      <c r="D62" s="2" t="inlineStr">
        <is>
          <t>L03</t>
        </is>
      </c>
      <c r="E62" s="2" t="inlineStr">
        <is>
          <t>Cancelado</t>
        </is>
      </c>
      <c r="F62" s="2" t="inlineStr">
        <is>
          <t>Pix</t>
        </is>
      </c>
      <c r="G62" s="19" t="n">
        <v>0.1</v>
      </c>
    </row>
    <row r="63">
      <c r="A63" s="2" t="inlineStr">
        <is>
          <t>PED00062</t>
        </is>
      </c>
      <c r="B63" s="3" t="n">
        <v>46012</v>
      </c>
      <c r="C63" s="2" t="inlineStr">
        <is>
          <t>C0049</t>
        </is>
      </c>
      <c r="D63" s="2" t="inlineStr">
        <is>
          <t>L01</t>
        </is>
      </c>
      <c r="E63" s="2" t="inlineStr">
        <is>
          <t>Entregue</t>
        </is>
      </c>
      <c r="F63" s="2" t="inlineStr">
        <is>
          <t>Pix</t>
        </is>
      </c>
      <c r="G63" s="19" t="n">
        <v>0.05</v>
      </c>
    </row>
    <row r="64">
      <c r="A64" s="2" t="inlineStr">
        <is>
          <t>PED00063</t>
        </is>
      </c>
      <c r="B64" s="3" t="n">
        <v>46002</v>
      </c>
      <c r="C64" s="2" t="inlineStr">
        <is>
          <t>C0068</t>
        </is>
      </c>
      <c r="D64" s="2" t="inlineStr">
        <is>
          <t>L08</t>
        </is>
      </c>
      <c r="E64" s="2" t="inlineStr">
        <is>
          <t>Entregue</t>
        </is>
      </c>
      <c r="F64" s="2" t="inlineStr">
        <is>
          <t>Cartão de crédito</t>
        </is>
      </c>
      <c r="G64" s="19" t="n">
        <v>0.05</v>
      </c>
    </row>
    <row r="65">
      <c r="A65" s="2" t="inlineStr">
        <is>
          <t>PED00064</t>
        </is>
      </c>
      <c r="B65" s="3" t="n">
        <v>45683</v>
      </c>
      <c r="C65" s="2" t="inlineStr">
        <is>
          <t>C0069</t>
        </is>
      </c>
      <c r="D65" s="2" t="inlineStr">
        <is>
          <t>L03</t>
        </is>
      </c>
      <c r="E65" s="2" t="inlineStr">
        <is>
          <t>Entregue</t>
        </is>
      </c>
      <c r="F65" s="2" t="inlineStr">
        <is>
          <t>Cartão de crédito</t>
        </is>
      </c>
      <c r="G65" s="19" t="n">
        <v>0.05</v>
      </c>
    </row>
    <row r="66">
      <c r="A66" s="2" t="inlineStr">
        <is>
          <t>PED00065</t>
        </is>
      </c>
      <c r="B66" s="3" t="n">
        <v>45447</v>
      </c>
      <c r="C66" s="2" t="inlineStr">
        <is>
          <t>C0211</t>
        </is>
      </c>
      <c r="D66" s="2" t="inlineStr">
        <is>
          <t>L08</t>
        </is>
      </c>
      <c r="E66" s="2" t="inlineStr">
        <is>
          <t>Cancelado</t>
        </is>
      </c>
      <c r="F66" s="2" t="inlineStr">
        <is>
          <t>Pix</t>
        </is>
      </c>
      <c r="G66" s="19" t="n">
        <v>0</v>
      </c>
    </row>
    <row r="67">
      <c r="A67" s="2" t="inlineStr">
        <is>
          <t>PED00066</t>
        </is>
      </c>
      <c r="B67" s="3" t="n">
        <v>45914</v>
      </c>
      <c r="C67" s="2" t="inlineStr">
        <is>
          <t>C0146</t>
        </is>
      </c>
      <c r="D67" s="2" t="inlineStr">
        <is>
          <t>L01</t>
        </is>
      </c>
      <c r="E67" s="2" t="inlineStr">
        <is>
          <t>Cancelado</t>
        </is>
      </c>
      <c r="F67" s="2" t="inlineStr">
        <is>
          <t>Cartão de crédito</t>
        </is>
      </c>
      <c r="G67" s="19" t="n">
        <v>0</v>
      </c>
    </row>
    <row r="68">
      <c r="A68" s="2" t="inlineStr">
        <is>
          <t>PED00067</t>
        </is>
      </c>
      <c r="B68" s="3" t="n">
        <v>45537</v>
      </c>
      <c r="C68" s="2" t="inlineStr">
        <is>
          <t>C0254</t>
        </is>
      </c>
      <c r="D68" s="2" t="inlineStr">
        <is>
          <t>L07</t>
        </is>
      </c>
      <c r="E68" s="2" t="inlineStr">
        <is>
          <t>Entregue</t>
        </is>
      </c>
      <c r="F68" s="2" t="inlineStr">
        <is>
          <t>Cartão de crédito</t>
        </is>
      </c>
      <c r="G68" s="19" t="n">
        <v>0.05</v>
      </c>
    </row>
    <row r="69">
      <c r="A69" s="2" t="inlineStr">
        <is>
          <t>PED00068</t>
        </is>
      </c>
      <c r="B69" s="3" t="n">
        <v>45666</v>
      </c>
      <c r="C69" s="2" t="inlineStr">
        <is>
          <t>C0280</t>
        </is>
      </c>
      <c r="D69" s="2" t="inlineStr">
        <is>
          <t>L03</t>
        </is>
      </c>
      <c r="E69" s="2" t="inlineStr">
        <is>
          <t>Entregue</t>
        </is>
      </c>
      <c r="F69" s="2" t="inlineStr">
        <is>
          <t>Transferência</t>
        </is>
      </c>
      <c r="G69" s="19" t="n">
        <v>0.1</v>
      </c>
    </row>
    <row r="70">
      <c r="A70" s="2" t="inlineStr">
        <is>
          <t>PED00069</t>
        </is>
      </c>
      <c r="B70" s="3" t="n">
        <v>45353</v>
      </c>
      <c r="C70" s="2" t="inlineStr">
        <is>
          <t>C0204</t>
        </is>
      </c>
      <c r="D70" s="2" t="inlineStr">
        <is>
          <t>L05</t>
        </is>
      </c>
      <c r="E70" s="2" t="inlineStr">
        <is>
          <t>Entregue</t>
        </is>
      </c>
      <c r="F70" s="2" t="inlineStr">
        <is>
          <t>Cartão de crédito</t>
        </is>
      </c>
      <c r="G70" s="19" t="n">
        <v>0</v>
      </c>
    </row>
    <row r="71">
      <c r="A71" s="2" t="inlineStr">
        <is>
          <t>PED00070</t>
        </is>
      </c>
      <c r="B71" s="3" t="n">
        <v>45692</v>
      </c>
      <c r="C71" s="2" t="inlineStr">
        <is>
          <t>C0301</t>
        </is>
      </c>
      <c r="D71" s="2" t="inlineStr">
        <is>
          <t>L02</t>
        </is>
      </c>
      <c r="E71" s="2" t="inlineStr">
        <is>
          <t>Entregue</t>
        </is>
      </c>
      <c r="F71" s="2" t="inlineStr">
        <is>
          <t>Cartão de crédito</t>
        </is>
      </c>
      <c r="G71" s="19" t="n">
        <v>0.15</v>
      </c>
    </row>
    <row r="72">
      <c r="A72" s="2" t="inlineStr">
        <is>
          <t>PED00071</t>
        </is>
      </c>
      <c r="B72" s="3" t="n">
        <v>45974</v>
      </c>
      <c r="C72" s="2" t="inlineStr">
        <is>
          <t>C0337</t>
        </is>
      </c>
      <c r="D72" s="2" t="inlineStr">
        <is>
          <t>L03</t>
        </is>
      </c>
      <c r="E72" s="2" t="inlineStr">
        <is>
          <t>Entregue</t>
        </is>
      </c>
      <c r="F72" s="2" t="inlineStr">
        <is>
          <t>Cartão de débito</t>
        </is>
      </c>
      <c r="G72" s="19" t="n">
        <v>0.05</v>
      </c>
    </row>
    <row r="73">
      <c r="A73" s="2" t="inlineStr">
        <is>
          <t>PED00072</t>
        </is>
      </c>
      <c r="B73" s="3" t="n">
        <v>45557</v>
      </c>
      <c r="C73" s="2" t="inlineStr">
        <is>
          <t>C0086</t>
        </is>
      </c>
      <c r="D73" s="2" t="inlineStr">
        <is>
          <t>L06</t>
        </is>
      </c>
      <c r="E73" s="2" t="inlineStr">
        <is>
          <t>Entregue</t>
        </is>
      </c>
      <c r="F73" s="2" t="inlineStr">
        <is>
          <t>Cartão de débito</t>
        </is>
      </c>
      <c r="G73" s="19" t="n">
        <v>0</v>
      </c>
    </row>
    <row r="74">
      <c r="A74" s="2" t="inlineStr">
        <is>
          <t>PED00073</t>
        </is>
      </c>
      <c r="B74" s="3" t="n">
        <v>45462</v>
      </c>
      <c r="C74" s="2" t="inlineStr">
        <is>
          <t>C0189</t>
        </is>
      </c>
      <c r="D74" s="2" t="inlineStr">
        <is>
          <t>L03</t>
        </is>
      </c>
      <c r="E74" s="2" t="inlineStr">
        <is>
          <t>Entregue</t>
        </is>
      </c>
      <c r="F74" s="2" t="inlineStr">
        <is>
          <t>Pix</t>
        </is>
      </c>
      <c r="G74" s="19" t="n">
        <v>0.05</v>
      </c>
    </row>
    <row r="75">
      <c r="A75" s="2" t="inlineStr">
        <is>
          <t>PED00074</t>
        </is>
      </c>
      <c r="B75" s="3" t="n">
        <v>45328</v>
      </c>
      <c r="C75" s="2" t="inlineStr">
        <is>
          <t>C0284</t>
        </is>
      </c>
      <c r="D75" s="2" t="inlineStr">
        <is>
          <t>L07</t>
        </is>
      </c>
      <c r="E75" s="2" t="inlineStr">
        <is>
          <t>Entregue</t>
        </is>
      </c>
      <c r="F75" s="2" t="inlineStr">
        <is>
          <t>Pix</t>
        </is>
      </c>
      <c r="G75" s="19" t="n">
        <v>0.1</v>
      </c>
    </row>
    <row r="76">
      <c r="A76" s="2" t="inlineStr">
        <is>
          <t>PED00075</t>
        </is>
      </c>
      <c r="B76" s="3" t="n">
        <v>45820</v>
      </c>
      <c r="C76" s="2" t="inlineStr">
        <is>
          <t>C0024</t>
        </is>
      </c>
      <c r="D76" s="2" t="inlineStr">
        <is>
          <t>L07</t>
        </is>
      </c>
      <c r="E76" s="2" t="inlineStr">
        <is>
          <t>Entregue</t>
        </is>
      </c>
      <c r="F76" s="2" t="inlineStr">
        <is>
          <t>Cartão de crédito</t>
        </is>
      </c>
      <c r="G76" s="19" t="n">
        <v>0</v>
      </c>
    </row>
    <row r="77">
      <c r="A77" s="2" t="inlineStr">
        <is>
          <t>PED00076</t>
        </is>
      </c>
      <c r="B77" s="3" t="n">
        <v>45492</v>
      </c>
      <c r="C77" s="2" t="inlineStr">
        <is>
          <t>C0280</t>
        </is>
      </c>
      <c r="D77" s="2" t="inlineStr">
        <is>
          <t>L04</t>
        </is>
      </c>
      <c r="E77" s="2" t="inlineStr">
        <is>
          <t>Entregue</t>
        </is>
      </c>
      <c r="F77" s="2" t="inlineStr">
        <is>
          <t>Boleto</t>
        </is>
      </c>
      <c r="G77" s="19" t="n">
        <v>0</v>
      </c>
    </row>
    <row r="78">
      <c r="A78" s="2" t="inlineStr">
        <is>
          <t>PED00077</t>
        </is>
      </c>
      <c r="B78" s="3" t="n">
        <v>45721</v>
      </c>
      <c r="C78" s="2" t="inlineStr">
        <is>
          <t>C0252</t>
        </is>
      </c>
      <c r="D78" s="2" t="inlineStr">
        <is>
          <t>L01</t>
        </is>
      </c>
      <c r="E78" s="2" t="inlineStr">
        <is>
          <t>Devolvido</t>
        </is>
      </c>
      <c r="F78" s="2" t="inlineStr">
        <is>
          <t>Pix</t>
        </is>
      </c>
      <c r="G78" s="19" t="n">
        <v>0</v>
      </c>
    </row>
    <row r="79">
      <c r="A79" s="2" t="inlineStr">
        <is>
          <t>PED00078</t>
        </is>
      </c>
      <c r="B79" s="3" t="n">
        <v>46009</v>
      </c>
      <c r="C79" s="2" t="inlineStr">
        <is>
          <t>C0191</t>
        </is>
      </c>
      <c r="D79" s="2" t="inlineStr">
        <is>
          <t>L08</t>
        </is>
      </c>
      <c r="E79" s="2" t="inlineStr">
        <is>
          <t>Devolvido</t>
        </is>
      </c>
      <c r="F79" s="2" t="inlineStr">
        <is>
          <t>Pix</t>
        </is>
      </c>
      <c r="G79" s="19" t="n">
        <v>0</v>
      </c>
    </row>
    <row r="80">
      <c r="A80" s="2" t="inlineStr">
        <is>
          <t>PED00079</t>
        </is>
      </c>
      <c r="B80" s="3" t="n">
        <v>45737</v>
      </c>
      <c r="C80" s="2" t="inlineStr">
        <is>
          <t>C0340</t>
        </is>
      </c>
      <c r="D80" s="2" t="inlineStr">
        <is>
          <t>L03</t>
        </is>
      </c>
      <c r="E80" s="2" t="inlineStr">
        <is>
          <t>Entregue</t>
        </is>
      </c>
      <c r="F80" s="2" t="inlineStr">
        <is>
          <t>Pix</t>
        </is>
      </c>
      <c r="G80" s="19" t="n">
        <v>0</v>
      </c>
    </row>
    <row r="81">
      <c r="A81" s="2" t="inlineStr">
        <is>
          <t>PED00080</t>
        </is>
      </c>
      <c r="B81" s="3" t="n">
        <v>45415</v>
      </c>
      <c r="C81" s="2" t="inlineStr">
        <is>
          <t>C0275</t>
        </is>
      </c>
      <c r="D81" s="2" t="inlineStr">
        <is>
          <t>L06</t>
        </is>
      </c>
      <c r="E81" s="2" t="inlineStr">
        <is>
          <t>Devolvido</t>
        </is>
      </c>
      <c r="F81" s="2" t="inlineStr">
        <is>
          <t>Pix</t>
        </is>
      </c>
      <c r="G81" s="19" t="n">
        <v>0</v>
      </c>
    </row>
    <row r="82">
      <c r="A82" s="2" t="inlineStr">
        <is>
          <t>PED00081</t>
        </is>
      </c>
      <c r="B82" s="3" t="n">
        <v>45333</v>
      </c>
      <c r="C82" s="2" t="inlineStr">
        <is>
          <t>C0111</t>
        </is>
      </c>
      <c r="D82" s="2" t="inlineStr">
        <is>
          <t>L06</t>
        </is>
      </c>
      <c r="E82" s="2" t="inlineStr">
        <is>
          <t>Entregue</t>
        </is>
      </c>
      <c r="F82" s="2" t="inlineStr">
        <is>
          <t>Cartão de débito</t>
        </is>
      </c>
      <c r="G82" s="19" t="n">
        <v>0.15</v>
      </c>
    </row>
    <row r="83">
      <c r="A83" s="2" t="inlineStr">
        <is>
          <t>PED00082</t>
        </is>
      </c>
      <c r="B83" s="3" t="n">
        <v>45755</v>
      </c>
      <c r="C83" s="2" t="inlineStr">
        <is>
          <t>C0285</t>
        </is>
      </c>
      <c r="D83" s="2" t="inlineStr">
        <is>
          <t>L04</t>
        </is>
      </c>
      <c r="E83" s="2" t="inlineStr">
        <is>
          <t>Entregue</t>
        </is>
      </c>
      <c r="F83" s="2" t="inlineStr">
        <is>
          <t>Pix</t>
        </is>
      </c>
      <c r="G83" s="19" t="n">
        <v>0.1</v>
      </c>
    </row>
    <row r="84">
      <c r="A84" s="2" t="inlineStr">
        <is>
          <t>PED00083</t>
        </is>
      </c>
      <c r="B84" s="3" t="n">
        <v>45425</v>
      </c>
      <c r="C84" s="2" t="inlineStr">
        <is>
          <t>C0102</t>
        </is>
      </c>
      <c r="D84" s="2" t="inlineStr">
        <is>
          <t>L07</t>
        </is>
      </c>
      <c r="E84" s="2" t="inlineStr">
        <is>
          <t>Entregue</t>
        </is>
      </c>
      <c r="F84" s="2" t="inlineStr">
        <is>
          <t>Cartão de crédito</t>
        </is>
      </c>
      <c r="G84" s="19" t="n">
        <v>0.05</v>
      </c>
    </row>
    <row r="85">
      <c r="A85" s="2" t="inlineStr">
        <is>
          <t>PED00084</t>
        </is>
      </c>
      <c r="B85" s="3" t="n">
        <v>45631</v>
      </c>
      <c r="C85" s="2" t="inlineStr">
        <is>
          <t>C0063</t>
        </is>
      </c>
      <c r="D85" s="2" t="inlineStr">
        <is>
          <t>L01</t>
        </is>
      </c>
      <c r="E85" s="2" t="inlineStr">
        <is>
          <t>Em processamento</t>
        </is>
      </c>
      <c r="F85" s="2" t="inlineStr">
        <is>
          <t>Pix</t>
        </is>
      </c>
      <c r="G85" s="19" t="n">
        <v>0.1</v>
      </c>
    </row>
    <row r="86">
      <c r="A86" s="2" t="inlineStr">
        <is>
          <t>PED00085</t>
        </is>
      </c>
      <c r="B86" s="3" t="n">
        <v>45483</v>
      </c>
      <c r="C86" s="2" t="inlineStr">
        <is>
          <t>C0141</t>
        </is>
      </c>
      <c r="D86" s="2" t="inlineStr">
        <is>
          <t>L05</t>
        </is>
      </c>
      <c r="E86" s="2" t="inlineStr">
        <is>
          <t>Entregue</t>
        </is>
      </c>
      <c r="F86" s="2" t="inlineStr">
        <is>
          <t>Pix</t>
        </is>
      </c>
      <c r="G86" s="19" t="n">
        <v>0.05</v>
      </c>
    </row>
    <row r="87">
      <c r="A87" s="2" t="inlineStr">
        <is>
          <t>PED00086</t>
        </is>
      </c>
      <c r="B87" s="3" t="n">
        <v>45830</v>
      </c>
      <c r="C87" s="2" t="inlineStr">
        <is>
          <t>C0128</t>
        </is>
      </c>
      <c r="D87" s="2" t="inlineStr">
        <is>
          <t>L01</t>
        </is>
      </c>
      <c r="E87" s="2" t="inlineStr">
        <is>
          <t>Devolvido</t>
        </is>
      </c>
      <c r="F87" s="2" t="inlineStr">
        <is>
          <t>Cartão de débito</t>
        </is>
      </c>
      <c r="G87" s="19" t="n">
        <v>0</v>
      </c>
    </row>
    <row r="88">
      <c r="A88" s="2" t="inlineStr">
        <is>
          <t>PED00087</t>
        </is>
      </c>
      <c r="B88" s="3" t="n">
        <v>45579</v>
      </c>
      <c r="C88" s="2" t="inlineStr">
        <is>
          <t>C0030</t>
        </is>
      </c>
      <c r="D88" s="2" t="inlineStr">
        <is>
          <t>L08</t>
        </is>
      </c>
      <c r="E88" s="2" t="inlineStr">
        <is>
          <t>Entregue</t>
        </is>
      </c>
      <c r="F88" s="2" t="inlineStr">
        <is>
          <t>Cartão de débito</t>
        </is>
      </c>
      <c r="G88" s="19" t="n">
        <v>0.15</v>
      </c>
    </row>
    <row r="89">
      <c r="A89" s="2" t="inlineStr">
        <is>
          <t>PED00088</t>
        </is>
      </c>
      <c r="B89" s="3" t="n">
        <v>45472</v>
      </c>
      <c r="C89" s="2" t="inlineStr">
        <is>
          <t>C0122</t>
        </is>
      </c>
      <c r="D89" s="2" t="inlineStr">
        <is>
          <t>L06</t>
        </is>
      </c>
      <c r="E89" s="2" t="inlineStr">
        <is>
          <t>Entregue</t>
        </is>
      </c>
      <c r="F89" s="2" t="inlineStr">
        <is>
          <t>Cartão de débito</t>
        </is>
      </c>
      <c r="G89" s="19" t="n">
        <v>0.1</v>
      </c>
    </row>
    <row r="90">
      <c r="A90" s="2" t="inlineStr">
        <is>
          <t>PED00089</t>
        </is>
      </c>
      <c r="B90" s="3" t="n">
        <v>45868</v>
      </c>
      <c r="C90" s="2" t="inlineStr">
        <is>
          <t>C0097</t>
        </is>
      </c>
      <c r="D90" s="2" t="inlineStr">
        <is>
          <t>L08</t>
        </is>
      </c>
      <c r="E90" s="2" t="inlineStr">
        <is>
          <t>Entregue</t>
        </is>
      </c>
      <c r="F90" s="2" t="inlineStr">
        <is>
          <t>Pix</t>
        </is>
      </c>
      <c r="G90" s="19" t="n">
        <v>0</v>
      </c>
    </row>
    <row r="91">
      <c r="A91" s="2" t="inlineStr">
        <is>
          <t>PED00090</t>
        </is>
      </c>
      <c r="B91" s="3" t="n">
        <v>45631</v>
      </c>
      <c r="C91" s="2" t="inlineStr">
        <is>
          <t>C0315</t>
        </is>
      </c>
      <c r="D91" s="2" t="inlineStr">
        <is>
          <t>L04</t>
        </is>
      </c>
      <c r="E91" s="2" t="inlineStr">
        <is>
          <t>Entregue</t>
        </is>
      </c>
      <c r="F91" s="2" t="inlineStr">
        <is>
          <t>Cartão de crédito</t>
        </is>
      </c>
      <c r="G91" s="19" t="n">
        <v>0</v>
      </c>
    </row>
    <row r="92">
      <c r="A92" s="2" t="inlineStr">
        <is>
          <t>PED00091</t>
        </is>
      </c>
      <c r="B92" s="3" t="n">
        <v>45697</v>
      </c>
      <c r="C92" s="2" t="inlineStr">
        <is>
          <t>C0301</t>
        </is>
      </c>
      <c r="D92" s="2" t="inlineStr">
        <is>
          <t>L02</t>
        </is>
      </c>
      <c r="E92" s="2" t="inlineStr">
        <is>
          <t>Entregue</t>
        </is>
      </c>
      <c r="F92" s="2" t="inlineStr">
        <is>
          <t>Cartão de crédito</t>
        </is>
      </c>
      <c r="G92" s="19" t="n">
        <v>0.15</v>
      </c>
    </row>
    <row r="93">
      <c r="A93" s="2" t="inlineStr">
        <is>
          <t>PED00092</t>
        </is>
      </c>
      <c r="B93" s="3" t="n">
        <v>45895</v>
      </c>
      <c r="C93" s="2" t="inlineStr">
        <is>
          <t>C0090</t>
        </is>
      </c>
      <c r="D93" s="2" t="inlineStr">
        <is>
          <t>L07</t>
        </is>
      </c>
      <c r="E93" s="2" t="inlineStr">
        <is>
          <t>Entregue</t>
        </is>
      </c>
      <c r="F93" s="2" t="inlineStr">
        <is>
          <t>Cartão de débito</t>
        </is>
      </c>
      <c r="G93" s="19" t="n">
        <v>0</v>
      </c>
    </row>
    <row r="94">
      <c r="A94" s="2" t="inlineStr">
        <is>
          <t>PED00093</t>
        </is>
      </c>
      <c r="B94" s="3" t="n">
        <v>45436</v>
      </c>
      <c r="C94" s="2" t="inlineStr">
        <is>
          <t>C0170</t>
        </is>
      </c>
      <c r="D94" s="2" t="inlineStr">
        <is>
          <t>L02</t>
        </is>
      </c>
      <c r="E94" s="2" t="inlineStr">
        <is>
          <t>Entregue</t>
        </is>
      </c>
      <c r="F94" s="2" t="inlineStr">
        <is>
          <t>Transferência</t>
        </is>
      </c>
      <c r="G94" s="19" t="n">
        <v>0</v>
      </c>
    </row>
    <row r="95">
      <c r="A95" s="2" t="inlineStr">
        <is>
          <t>PED00094</t>
        </is>
      </c>
      <c r="B95" s="3" t="n">
        <v>45462</v>
      </c>
      <c r="C95" s="2" t="inlineStr">
        <is>
          <t>C0212</t>
        </is>
      </c>
      <c r="D95" s="2" t="inlineStr">
        <is>
          <t>L08</t>
        </is>
      </c>
      <c r="E95" s="2" t="inlineStr">
        <is>
          <t>Cancelado</t>
        </is>
      </c>
      <c r="F95" s="2" t="inlineStr">
        <is>
          <t>Cartão de crédito</t>
        </is>
      </c>
      <c r="G95" s="19" t="n">
        <v>0</v>
      </c>
    </row>
    <row r="96">
      <c r="A96" s="2" t="inlineStr">
        <is>
          <t>PED00095</t>
        </is>
      </c>
      <c r="B96" s="3" t="n">
        <v>45368</v>
      </c>
      <c r="C96" s="2" t="inlineStr">
        <is>
          <t>C0281</t>
        </is>
      </c>
      <c r="D96" s="2" t="inlineStr">
        <is>
          <t>L02</t>
        </is>
      </c>
      <c r="E96" s="2" t="inlineStr">
        <is>
          <t>Entregue</t>
        </is>
      </c>
      <c r="F96" s="2" t="inlineStr">
        <is>
          <t>Transferência</t>
        </is>
      </c>
      <c r="G96" s="19" t="n">
        <v>0.1</v>
      </c>
    </row>
    <row r="97">
      <c r="A97" s="2" t="inlineStr">
        <is>
          <t>PED00096</t>
        </is>
      </c>
      <c r="B97" s="3" t="n">
        <v>45845</v>
      </c>
      <c r="C97" s="2" t="inlineStr">
        <is>
          <t>C0136</t>
        </is>
      </c>
      <c r="D97" s="2" t="inlineStr">
        <is>
          <t>L05</t>
        </is>
      </c>
      <c r="E97" s="2" t="inlineStr">
        <is>
          <t>Entregue</t>
        </is>
      </c>
      <c r="F97" s="2" t="inlineStr">
        <is>
          <t>Pix</t>
        </is>
      </c>
      <c r="G97" s="19" t="n">
        <v>0</v>
      </c>
    </row>
    <row r="98">
      <c r="A98" s="2" t="inlineStr">
        <is>
          <t>PED00097</t>
        </is>
      </c>
      <c r="B98" s="3" t="n">
        <v>45318</v>
      </c>
      <c r="C98" s="2" t="inlineStr">
        <is>
          <t>C0106</t>
        </is>
      </c>
      <c r="D98" s="2" t="inlineStr">
        <is>
          <t>L03</t>
        </is>
      </c>
      <c r="E98" s="2" t="inlineStr">
        <is>
          <t>Entregue</t>
        </is>
      </c>
      <c r="F98" s="2" t="inlineStr">
        <is>
          <t>Transferência</t>
        </is>
      </c>
      <c r="G98" s="19" t="n">
        <v>0.03</v>
      </c>
    </row>
    <row r="99">
      <c r="A99" s="2" t="inlineStr">
        <is>
          <t>PED00098</t>
        </is>
      </c>
      <c r="B99" s="3" t="n">
        <v>45563</v>
      </c>
      <c r="C99" s="2" t="inlineStr">
        <is>
          <t>C0047</t>
        </is>
      </c>
      <c r="D99" s="2" t="inlineStr">
        <is>
          <t>L07</t>
        </is>
      </c>
      <c r="E99" s="2" t="inlineStr">
        <is>
          <t>Entregue</t>
        </is>
      </c>
      <c r="F99" s="2" t="inlineStr">
        <is>
          <t>Boleto</t>
        </is>
      </c>
      <c r="G99" s="19" t="n">
        <v>0</v>
      </c>
    </row>
    <row r="100">
      <c r="A100" s="2" t="inlineStr">
        <is>
          <t>PED00099</t>
        </is>
      </c>
      <c r="B100" s="3" t="n">
        <v>46005</v>
      </c>
      <c r="C100" s="2" t="inlineStr">
        <is>
          <t>C0342</t>
        </is>
      </c>
      <c r="D100" s="2" t="inlineStr">
        <is>
          <t>L02</t>
        </is>
      </c>
      <c r="E100" s="2" t="inlineStr">
        <is>
          <t>Entregue</t>
        </is>
      </c>
      <c r="F100" s="2" t="inlineStr">
        <is>
          <t>Cartão de crédito</t>
        </is>
      </c>
      <c r="G100" s="19" t="n">
        <v>0.03</v>
      </c>
    </row>
    <row r="101">
      <c r="A101" s="2" t="inlineStr">
        <is>
          <t>PED00100</t>
        </is>
      </c>
      <c r="B101" s="3" t="n">
        <v>45821</v>
      </c>
      <c r="C101" s="2" t="inlineStr">
        <is>
          <t>C0293</t>
        </is>
      </c>
      <c r="D101" s="2" t="inlineStr">
        <is>
          <t>L03</t>
        </is>
      </c>
      <c r="E101" s="2" t="inlineStr">
        <is>
          <t>Entregue</t>
        </is>
      </c>
      <c r="F101" s="2" t="inlineStr">
        <is>
          <t>Cartão de débito</t>
        </is>
      </c>
      <c r="G101" s="19" t="n">
        <v>0</v>
      </c>
    </row>
    <row r="102">
      <c r="A102" s="2" t="inlineStr">
        <is>
          <t>PED00101</t>
        </is>
      </c>
      <c r="B102" s="3" t="n">
        <v>45861</v>
      </c>
      <c r="C102" s="2" t="inlineStr">
        <is>
          <t>C0204</t>
        </is>
      </c>
      <c r="D102" s="2" t="inlineStr">
        <is>
          <t>L06</t>
        </is>
      </c>
      <c r="E102" s="2" t="inlineStr">
        <is>
          <t>Cancelado</t>
        </is>
      </c>
      <c r="F102" s="2" t="inlineStr">
        <is>
          <t>Cartão de crédito</t>
        </is>
      </c>
      <c r="G102" s="19" t="n">
        <v>0.1</v>
      </c>
    </row>
    <row r="103">
      <c r="A103" s="2" t="inlineStr">
        <is>
          <t>PED00102</t>
        </is>
      </c>
      <c r="B103" s="3" t="n">
        <v>45445</v>
      </c>
      <c r="C103" s="2" t="inlineStr">
        <is>
          <t>C0076</t>
        </is>
      </c>
      <c r="D103" s="2" t="inlineStr">
        <is>
          <t>L02</t>
        </is>
      </c>
      <c r="E103" s="2" t="inlineStr">
        <is>
          <t>Em processamento</t>
        </is>
      </c>
      <c r="F103" s="2" t="inlineStr">
        <is>
          <t>Cartão de crédito</t>
        </is>
      </c>
      <c r="G103" s="19" t="n">
        <v>0</v>
      </c>
    </row>
    <row r="104">
      <c r="A104" s="2" t="inlineStr">
        <is>
          <t>PED00103</t>
        </is>
      </c>
      <c r="B104" s="3" t="n">
        <v>45776</v>
      </c>
      <c r="C104" s="2" t="inlineStr">
        <is>
          <t>C0020</t>
        </is>
      </c>
      <c r="D104" s="2" t="inlineStr">
        <is>
          <t>L03</t>
        </is>
      </c>
      <c r="E104" s="2" t="inlineStr">
        <is>
          <t>Entregue</t>
        </is>
      </c>
      <c r="F104" s="2" t="inlineStr">
        <is>
          <t>Pix</t>
        </is>
      </c>
      <c r="G104" s="19" t="n">
        <v>0.05</v>
      </c>
    </row>
    <row r="105">
      <c r="A105" s="2" t="inlineStr">
        <is>
          <t>PED00104</t>
        </is>
      </c>
      <c r="B105" s="3" t="n">
        <v>45602</v>
      </c>
      <c r="C105" s="2" t="inlineStr">
        <is>
          <t>C0160</t>
        </is>
      </c>
      <c r="D105" s="2" t="inlineStr">
        <is>
          <t>L05</t>
        </is>
      </c>
      <c r="E105" s="2" t="inlineStr">
        <is>
          <t>Cancelado</t>
        </is>
      </c>
      <c r="F105" s="2" t="inlineStr">
        <is>
          <t>Boleto</t>
        </is>
      </c>
      <c r="G105" s="19" t="n">
        <v>0.05</v>
      </c>
    </row>
    <row r="106">
      <c r="A106" s="2" t="inlineStr">
        <is>
          <t>PED00105</t>
        </is>
      </c>
      <c r="B106" s="3" t="n">
        <v>45819</v>
      </c>
      <c r="C106" s="2" t="inlineStr">
        <is>
          <t>C0082</t>
        </is>
      </c>
      <c r="D106" s="2" t="inlineStr">
        <is>
          <t>L02</t>
        </is>
      </c>
      <c r="E106" s="2" t="inlineStr">
        <is>
          <t>Entregue</t>
        </is>
      </c>
      <c r="F106" s="2" t="inlineStr">
        <is>
          <t>Cartão de crédito</t>
        </is>
      </c>
      <c r="G106" s="19" t="n">
        <v>0</v>
      </c>
    </row>
    <row r="107">
      <c r="A107" s="2" t="inlineStr">
        <is>
          <t>PED00106</t>
        </is>
      </c>
      <c r="B107" s="3" t="n">
        <v>45942</v>
      </c>
      <c r="C107" s="2" t="inlineStr">
        <is>
          <t>C0064</t>
        </is>
      </c>
      <c r="D107" s="2" t="inlineStr">
        <is>
          <t>L01</t>
        </is>
      </c>
      <c r="E107" s="2" t="inlineStr">
        <is>
          <t>Entregue</t>
        </is>
      </c>
      <c r="F107" s="2" t="inlineStr">
        <is>
          <t>Cartão de crédito</t>
        </is>
      </c>
      <c r="G107" s="19" t="n">
        <v>0.03</v>
      </c>
    </row>
    <row r="108">
      <c r="A108" s="2" t="inlineStr">
        <is>
          <t>PED00107</t>
        </is>
      </c>
      <c r="B108" s="3" t="n">
        <v>45312</v>
      </c>
      <c r="C108" s="2" t="inlineStr">
        <is>
          <t>C0350</t>
        </is>
      </c>
      <c r="D108" s="2" t="inlineStr">
        <is>
          <t>L01</t>
        </is>
      </c>
      <c r="E108" s="2" t="inlineStr">
        <is>
          <t>Entregue</t>
        </is>
      </c>
      <c r="F108" s="2" t="inlineStr">
        <is>
          <t>Pix</t>
        </is>
      </c>
      <c r="G108" s="19" t="n">
        <v>0</v>
      </c>
    </row>
    <row r="109">
      <c r="A109" s="2" t="inlineStr">
        <is>
          <t>PED00108</t>
        </is>
      </c>
      <c r="B109" s="3" t="n">
        <v>45396</v>
      </c>
      <c r="C109" s="2" t="inlineStr">
        <is>
          <t>C0004</t>
        </is>
      </c>
      <c r="D109" s="2" t="inlineStr">
        <is>
          <t>L06</t>
        </is>
      </c>
      <c r="E109" s="2" t="inlineStr">
        <is>
          <t>Entregue</t>
        </is>
      </c>
      <c r="F109" s="2" t="inlineStr">
        <is>
          <t>Cartão de crédito</t>
        </is>
      </c>
      <c r="G109" s="19" t="n">
        <v>0</v>
      </c>
    </row>
    <row r="110">
      <c r="A110" s="2" t="inlineStr">
        <is>
          <t>PED00109</t>
        </is>
      </c>
      <c r="B110" s="3" t="n">
        <v>45597</v>
      </c>
      <c r="C110" s="2" t="inlineStr">
        <is>
          <t>C0097</t>
        </is>
      </c>
      <c r="D110" s="2" t="inlineStr">
        <is>
          <t>L03</t>
        </is>
      </c>
      <c r="E110" s="2" t="inlineStr">
        <is>
          <t>Entregue</t>
        </is>
      </c>
      <c r="F110" s="2" t="inlineStr">
        <is>
          <t>Pix</t>
        </is>
      </c>
      <c r="G110" s="19" t="n">
        <v>0</v>
      </c>
    </row>
    <row r="111">
      <c r="A111" s="2" t="inlineStr">
        <is>
          <t>PED00110</t>
        </is>
      </c>
      <c r="B111" s="3" t="n">
        <v>45486</v>
      </c>
      <c r="C111" s="2" t="inlineStr">
        <is>
          <t>C0176</t>
        </is>
      </c>
      <c r="D111" s="2" t="inlineStr">
        <is>
          <t>L04</t>
        </is>
      </c>
      <c r="E111" s="2" t="inlineStr">
        <is>
          <t>Entregue</t>
        </is>
      </c>
      <c r="F111" s="2" t="inlineStr">
        <is>
          <t>Cartão de crédito</t>
        </is>
      </c>
      <c r="G111" s="19" t="n">
        <v>0.03</v>
      </c>
    </row>
    <row r="112">
      <c r="A112" s="2" t="inlineStr">
        <is>
          <t>PED00111</t>
        </is>
      </c>
      <c r="B112" s="3" t="n">
        <v>45520</v>
      </c>
      <c r="C112" s="2" t="inlineStr">
        <is>
          <t>C0158</t>
        </is>
      </c>
      <c r="D112" s="2" t="inlineStr">
        <is>
          <t>L07</t>
        </is>
      </c>
      <c r="E112" s="2" t="inlineStr">
        <is>
          <t>Entregue</t>
        </is>
      </c>
      <c r="F112" s="2" t="inlineStr">
        <is>
          <t>Cartão de crédito</t>
        </is>
      </c>
      <c r="G112" s="19" t="n">
        <v>0</v>
      </c>
    </row>
    <row r="113">
      <c r="A113" s="2" t="inlineStr">
        <is>
          <t>PED00112</t>
        </is>
      </c>
      <c r="B113" s="3" t="n">
        <v>45775</v>
      </c>
      <c r="C113" s="2" t="inlineStr">
        <is>
          <t>C0100</t>
        </is>
      </c>
      <c r="D113" s="2" t="inlineStr">
        <is>
          <t>L02</t>
        </is>
      </c>
      <c r="E113" s="2" t="inlineStr">
        <is>
          <t>Cancelado</t>
        </is>
      </c>
      <c r="F113" s="2" t="inlineStr">
        <is>
          <t>Cartão de crédito</t>
        </is>
      </c>
      <c r="G113" s="19" t="n">
        <v>0</v>
      </c>
    </row>
    <row r="114">
      <c r="A114" s="2" t="inlineStr">
        <is>
          <t>PED00113</t>
        </is>
      </c>
      <c r="B114" s="3" t="n">
        <v>45711</v>
      </c>
      <c r="C114" s="2" t="inlineStr">
        <is>
          <t>C0292</t>
        </is>
      </c>
      <c r="D114" s="2" t="inlineStr">
        <is>
          <t>L08</t>
        </is>
      </c>
      <c r="E114" s="2" t="inlineStr">
        <is>
          <t>Entregue</t>
        </is>
      </c>
      <c r="F114" s="2" t="inlineStr">
        <is>
          <t>Boleto</t>
        </is>
      </c>
      <c r="G114" s="19" t="n">
        <v>0</v>
      </c>
    </row>
    <row r="115">
      <c r="A115" s="2" t="inlineStr">
        <is>
          <t>PED00114</t>
        </is>
      </c>
      <c r="B115" s="3" t="n">
        <v>45941</v>
      </c>
      <c r="C115" s="2" t="inlineStr">
        <is>
          <t>C0030</t>
        </is>
      </c>
      <c r="D115" s="2" t="inlineStr">
        <is>
          <t>L01</t>
        </is>
      </c>
      <c r="E115" s="2" t="inlineStr">
        <is>
          <t>Entregue</t>
        </is>
      </c>
      <c r="F115" s="2" t="inlineStr">
        <is>
          <t>Pix</t>
        </is>
      </c>
      <c r="G115" s="19" t="n">
        <v>0.1</v>
      </c>
    </row>
    <row r="116">
      <c r="A116" s="2" t="inlineStr">
        <is>
          <t>PED00115</t>
        </is>
      </c>
      <c r="B116" s="3" t="n">
        <v>45838</v>
      </c>
      <c r="C116" s="2" t="inlineStr">
        <is>
          <t>C0103</t>
        </is>
      </c>
      <c r="D116" s="2" t="inlineStr">
        <is>
          <t>L06</t>
        </is>
      </c>
      <c r="E116" s="2" t="inlineStr">
        <is>
          <t>Em processamento</t>
        </is>
      </c>
      <c r="F116" s="2" t="inlineStr">
        <is>
          <t>Boleto</t>
        </is>
      </c>
      <c r="G116" s="19" t="n">
        <v>0.05</v>
      </c>
    </row>
    <row r="117">
      <c r="A117" s="2" t="inlineStr">
        <is>
          <t>PED00116</t>
        </is>
      </c>
      <c r="B117" s="3" t="n">
        <v>45424</v>
      </c>
      <c r="C117" s="2" t="inlineStr">
        <is>
          <t>C0053</t>
        </is>
      </c>
      <c r="D117" s="2" t="inlineStr">
        <is>
          <t>L07</t>
        </is>
      </c>
      <c r="E117" s="2" t="inlineStr">
        <is>
          <t>Entregue</t>
        </is>
      </c>
      <c r="F117" s="2" t="inlineStr">
        <is>
          <t>Pix</t>
        </is>
      </c>
      <c r="G117" s="19" t="n">
        <v>0</v>
      </c>
    </row>
    <row r="118">
      <c r="A118" s="2" t="inlineStr">
        <is>
          <t>PED00117</t>
        </is>
      </c>
      <c r="B118" s="3" t="n">
        <v>45828</v>
      </c>
      <c r="C118" s="2" t="inlineStr">
        <is>
          <t>C0173</t>
        </is>
      </c>
      <c r="D118" s="2" t="inlineStr">
        <is>
          <t>L07</t>
        </is>
      </c>
      <c r="E118" s="2" t="inlineStr">
        <is>
          <t>Cancelado</t>
        </is>
      </c>
      <c r="F118" s="2" t="inlineStr">
        <is>
          <t>Transferência</t>
        </is>
      </c>
      <c r="G118" s="19" t="n">
        <v>0</v>
      </c>
    </row>
    <row r="119">
      <c r="A119" s="2" t="inlineStr">
        <is>
          <t>PED00118</t>
        </is>
      </c>
      <c r="B119" s="3" t="n">
        <v>45330</v>
      </c>
      <c r="C119" s="2" t="inlineStr">
        <is>
          <t>C0193</t>
        </is>
      </c>
      <c r="D119" s="2" t="inlineStr">
        <is>
          <t>L05</t>
        </is>
      </c>
      <c r="E119" s="2" t="inlineStr">
        <is>
          <t>Entregue</t>
        </is>
      </c>
      <c r="F119" s="2" t="inlineStr">
        <is>
          <t>Cartão de crédito</t>
        </is>
      </c>
      <c r="G119" s="19" t="n">
        <v>0.05</v>
      </c>
    </row>
    <row r="120">
      <c r="A120" s="2" t="inlineStr">
        <is>
          <t>PED00119</t>
        </is>
      </c>
      <c r="B120" s="3" t="n">
        <v>45998</v>
      </c>
      <c r="C120" s="2" t="inlineStr">
        <is>
          <t>C0060</t>
        </is>
      </c>
      <c r="D120" s="2" t="inlineStr">
        <is>
          <t>L07</t>
        </is>
      </c>
      <c r="E120" s="2" t="inlineStr">
        <is>
          <t>Entregue</t>
        </is>
      </c>
      <c r="F120" s="2" t="inlineStr">
        <is>
          <t>Pix</t>
        </is>
      </c>
      <c r="G120" s="19" t="n">
        <v>0</v>
      </c>
    </row>
    <row r="121">
      <c r="A121" s="2" t="inlineStr">
        <is>
          <t>PED00120</t>
        </is>
      </c>
      <c r="B121" s="3" t="n">
        <v>45399</v>
      </c>
      <c r="C121" s="2" t="inlineStr">
        <is>
          <t>C0262</t>
        </is>
      </c>
      <c r="D121" s="2" t="inlineStr">
        <is>
          <t>L02</t>
        </is>
      </c>
      <c r="E121" s="2" t="inlineStr">
        <is>
          <t>Entregue</t>
        </is>
      </c>
      <c r="F121" s="2" t="inlineStr">
        <is>
          <t>Cartão de débito</t>
        </is>
      </c>
      <c r="G121" s="19" t="n">
        <v>0.03</v>
      </c>
    </row>
    <row r="122">
      <c r="A122" s="2" t="inlineStr">
        <is>
          <t>PED00121</t>
        </is>
      </c>
      <c r="B122" s="3" t="n">
        <v>45784</v>
      </c>
      <c r="C122" s="2" t="inlineStr">
        <is>
          <t>C0170</t>
        </is>
      </c>
      <c r="D122" s="2" t="inlineStr">
        <is>
          <t>L04</t>
        </is>
      </c>
      <c r="E122" s="2" t="inlineStr">
        <is>
          <t>Entregue</t>
        </is>
      </c>
      <c r="F122" s="2" t="inlineStr">
        <is>
          <t>Cartão de débito</t>
        </is>
      </c>
      <c r="G122" s="19" t="n">
        <v>0.1</v>
      </c>
    </row>
    <row r="123">
      <c r="A123" s="2" t="inlineStr">
        <is>
          <t>PED00122</t>
        </is>
      </c>
      <c r="B123" s="3" t="n">
        <v>45470</v>
      </c>
      <c r="C123" s="2" t="inlineStr">
        <is>
          <t>C0021</t>
        </is>
      </c>
      <c r="D123" s="2" t="inlineStr">
        <is>
          <t>L05</t>
        </is>
      </c>
      <c r="E123" s="2" t="inlineStr">
        <is>
          <t>Entregue</t>
        </is>
      </c>
      <c r="F123" s="2" t="inlineStr">
        <is>
          <t>Cartão de débito</t>
        </is>
      </c>
      <c r="G123" s="19" t="n">
        <v>0.03</v>
      </c>
    </row>
    <row r="124">
      <c r="A124" s="2" t="inlineStr">
        <is>
          <t>PED00123</t>
        </is>
      </c>
      <c r="B124" s="3" t="n">
        <v>45954</v>
      </c>
      <c r="C124" s="2" t="inlineStr">
        <is>
          <t>C0088</t>
        </is>
      </c>
      <c r="D124" s="2" t="inlineStr">
        <is>
          <t>L06</t>
        </is>
      </c>
      <c r="E124" s="2" t="inlineStr">
        <is>
          <t>Entregue</t>
        </is>
      </c>
      <c r="F124" s="2" t="inlineStr">
        <is>
          <t>Cartão de crédito</t>
        </is>
      </c>
      <c r="G124" s="19" t="n">
        <v>0.05</v>
      </c>
    </row>
    <row r="125">
      <c r="A125" s="2" t="inlineStr">
        <is>
          <t>PED00124</t>
        </is>
      </c>
      <c r="B125" s="3" t="n">
        <v>45462</v>
      </c>
      <c r="C125" s="2" t="inlineStr">
        <is>
          <t>C0058</t>
        </is>
      </c>
      <c r="D125" s="2" t="inlineStr">
        <is>
          <t>L03</t>
        </is>
      </c>
      <c r="E125" s="2" t="inlineStr">
        <is>
          <t>Entregue</t>
        </is>
      </c>
      <c r="F125" s="2" t="inlineStr">
        <is>
          <t>Pix</t>
        </is>
      </c>
      <c r="G125" s="19" t="n">
        <v>0.1</v>
      </c>
    </row>
    <row r="126">
      <c r="A126" s="2" t="inlineStr">
        <is>
          <t>PED00125</t>
        </is>
      </c>
      <c r="B126" s="3" t="n">
        <v>45874</v>
      </c>
      <c r="C126" s="2" t="inlineStr">
        <is>
          <t>C0348</t>
        </is>
      </c>
      <c r="D126" s="2" t="inlineStr">
        <is>
          <t>L08</t>
        </is>
      </c>
      <c r="E126" s="2" t="inlineStr">
        <is>
          <t>Entregue</t>
        </is>
      </c>
      <c r="F126" s="2" t="inlineStr">
        <is>
          <t>Cartão de crédito</t>
        </is>
      </c>
      <c r="G126" s="19" t="n">
        <v>0</v>
      </c>
    </row>
    <row r="127">
      <c r="A127" s="2" t="inlineStr">
        <is>
          <t>PED00126</t>
        </is>
      </c>
      <c r="B127" s="3" t="n">
        <v>45713</v>
      </c>
      <c r="C127" s="2" t="inlineStr">
        <is>
          <t>C0226</t>
        </is>
      </c>
      <c r="D127" s="2" t="inlineStr">
        <is>
          <t>L01</t>
        </is>
      </c>
      <c r="E127" s="2" t="inlineStr">
        <is>
          <t>Entregue</t>
        </is>
      </c>
      <c r="F127" s="2" t="inlineStr">
        <is>
          <t>Cartão de crédito</t>
        </is>
      </c>
      <c r="G127" s="19" t="n">
        <v>0</v>
      </c>
    </row>
    <row r="128">
      <c r="A128" s="2" t="inlineStr">
        <is>
          <t>PED00127</t>
        </is>
      </c>
      <c r="B128" s="3" t="n">
        <v>45863</v>
      </c>
      <c r="C128" s="2" t="inlineStr">
        <is>
          <t>C0314</t>
        </is>
      </c>
      <c r="D128" s="2" t="inlineStr">
        <is>
          <t>L01</t>
        </is>
      </c>
      <c r="E128" s="2" t="inlineStr">
        <is>
          <t>Entregue</t>
        </is>
      </c>
      <c r="F128" s="2" t="inlineStr">
        <is>
          <t>Boleto</t>
        </is>
      </c>
      <c r="G128" s="19" t="n">
        <v>0.03</v>
      </c>
    </row>
    <row r="129">
      <c r="A129" s="2" t="inlineStr">
        <is>
          <t>PED00128</t>
        </is>
      </c>
      <c r="B129" s="3" t="n">
        <v>45343</v>
      </c>
      <c r="C129" s="2" t="inlineStr">
        <is>
          <t>C0260</t>
        </is>
      </c>
      <c r="D129" s="2" t="inlineStr">
        <is>
          <t>L04</t>
        </is>
      </c>
      <c r="E129" s="2" t="inlineStr">
        <is>
          <t>Entregue</t>
        </is>
      </c>
      <c r="F129" s="2" t="inlineStr">
        <is>
          <t>Cartão de crédito</t>
        </is>
      </c>
      <c r="G129" s="19" t="n">
        <v>0.1</v>
      </c>
    </row>
    <row r="130">
      <c r="A130" s="2" t="inlineStr">
        <is>
          <t>PED00129</t>
        </is>
      </c>
      <c r="B130" s="3" t="n">
        <v>45802</v>
      </c>
      <c r="C130" s="2" t="inlineStr">
        <is>
          <t>C0229</t>
        </is>
      </c>
      <c r="D130" s="2" t="inlineStr">
        <is>
          <t>L06</t>
        </is>
      </c>
      <c r="E130" s="2" t="inlineStr">
        <is>
          <t>Entregue</t>
        </is>
      </c>
      <c r="F130" s="2" t="inlineStr">
        <is>
          <t>Cartão de crédito</t>
        </is>
      </c>
      <c r="G130" s="19" t="n">
        <v>0.05</v>
      </c>
    </row>
    <row r="131">
      <c r="A131" s="2" t="inlineStr">
        <is>
          <t>PED00130</t>
        </is>
      </c>
      <c r="B131" s="3" t="n">
        <v>45385</v>
      </c>
      <c r="C131" s="2" t="inlineStr">
        <is>
          <t>C0310</t>
        </is>
      </c>
      <c r="D131" s="2" t="inlineStr">
        <is>
          <t>L05</t>
        </is>
      </c>
      <c r="E131" s="2" t="inlineStr">
        <is>
          <t>Em processamento</t>
        </is>
      </c>
      <c r="F131" s="2" t="inlineStr">
        <is>
          <t>Cartão de crédito</t>
        </is>
      </c>
      <c r="G131" s="19" t="n">
        <v>0.05</v>
      </c>
    </row>
    <row r="132">
      <c r="A132" s="2" t="inlineStr">
        <is>
          <t>PED00131</t>
        </is>
      </c>
      <c r="B132" s="3" t="n">
        <v>45926</v>
      </c>
      <c r="C132" s="2" t="inlineStr">
        <is>
          <t>C0308</t>
        </is>
      </c>
      <c r="D132" s="2" t="inlineStr">
        <is>
          <t>L08</t>
        </is>
      </c>
      <c r="E132" s="2" t="inlineStr">
        <is>
          <t>Entregue</t>
        </is>
      </c>
      <c r="F132" s="2" t="inlineStr">
        <is>
          <t>Cartão de crédito</t>
        </is>
      </c>
      <c r="G132" s="19" t="n">
        <v>0.03</v>
      </c>
    </row>
    <row r="133">
      <c r="A133" s="2" t="inlineStr">
        <is>
          <t>PED00132</t>
        </is>
      </c>
      <c r="B133" s="3" t="n">
        <v>45940</v>
      </c>
      <c r="C133" s="2" t="inlineStr">
        <is>
          <t>C0150</t>
        </is>
      </c>
      <c r="D133" s="2" t="inlineStr">
        <is>
          <t>L06</t>
        </is>
      </c>
      <c r="E133" s="2" t="inlineStr">
        <is>
          <t>Entregue</t>
        </is>
      </c>
      <c r="F133" s="2" t="inlineStr">
        <is>
          <t>Pix</t>
        </is>
      </c>
      <c r="G133" s="19" t="n">
        <v>0</v>
      </c>
    </row>
    <row r="134">
      <c r="A134" s="2" t="inlineStr">
        <is>
          <t>PED00133</t>
        </is>
      </c>
      <c r="B134" s="3" t="n">
        <v>45484</v>
      </c>
      <c r="C134" s="2" t="inlineStr">
        <is>
          <t>C0062</t>
        </is>
      </c>
      <c r="D134" s="2" t="inlineStr">
        <is>
          <t>L07</t>
        </is>
      </c>
      <c r="E134" s="2" t="inlineStr">
        <is>
          <t>Entregue</t>
        </is>
      </c>
      <c r="F134" s="2" t="inlineStr">
        <is>
          <t>Cartão de débito</t>
        </is>
      </c>
      <c r="G134" s="19" t="n">
        <v>0</v>
      </c>
    </row>
    <row r="135">
      <c r="A135" s="2" t="inlineStr">
        <is>
          <t>PED00134</t>
        </is>
      </c>
      <c r="B135" s="3" t="n">
        <v>45753</v>
      </c>
      <c r="C135" s="2" t="inlineStr">
        <is>
          <t>C0235</t>
        </is>
      </c>
      <c r="D135" s="2" t="inlineStr">
        <is>
          <t>L03</t>
        </is>
      </c>
      <c r="E135" s="2" t="inlineStr">
        <is>
          <t>Devolvido</t>
        </is>
      </c>
      <c r="F135" s="2" t="inlineStr">
        <is>
          <t>Pix</t>
        </is>
      </c>
      <c r="G135" s="19" t="n">
        <v>0.05</v>
      </c>
    </row>
    <row r="136">
      <c r="A136" s="2" t="inlineStr">
        <is>
          <t>PED00135</t>
        </is>
      </c>
      <c r="B136" s="3" t="n">
        <v>45965</v>
      </c>
      <c r="C136" s="2" t="inlineStr">
        <is>
          <t>C0308</t>
        </is>
      </c>
      <c r="D136" s="2" t="inlineStr">
        <is>
          <t>L06</t>
        </is>
      </c>
      <c r="E136" s="2" t="inlineStr">
        <is>
          <t>Entregue</t>
        </is>
      </c>
      <c r="F136" s="2" t="inlineStr">
        <is>
          <t>Cartão de crédito</t>
        </is>
      </c>
      <c r="G136" s="19" t="n">
        <v>0.15</v>
      </c>
    </row>
    <row r="137">
      <c r="A137" s="2" t="inlineStr">
        <is>
          <t>PED00136</t>
        </is>
      </c>
      <c r="B137" s="3" t="n">
        <v>45613</v>
      </c>
      <c r="C137" s="2" t="inlineStr">
        <is>
          <t>C0284</t>
        </is>
      </c>
      <c r="D137" s="2" t="inlineStr">
        <is>
          <t>L04</t>
        </is>
      </c>
      <c r="E137" s="2" t="inlineStr">
        <is>
          <t>Entregue</t>
        </is>
      </c>
      <c r="F137" s="2" t="inlineStr">
        <is>
          <t>Cartão de crédito</t>
        </is>
      </c>
      <c r="G137" s="19" t="n">
        <v>0</v>
      </c>
    </row>
    <row r="138">
      <c r="A138" s="2" t="inlineStr">
        <is>
          <t>PED00137</t>
        </is>
      </c>
      <c r="B138" s="3" t="n">
        <v>45652</v>
      </c>
      <c r="C138" s="2" t="inlineStr">
        <is>
          <t>C0288</t>
        </is>
      </c>
      <c r="D138" s="2" t="inlineStr">
        <is>
          <t>L08</t>
        </is>
      </c>
      <c r="E138" s="2" t="inlineStr">
        <is>
          <t>Entregue</t>
        </is>
      </c>
      <c r="F138" s="2" t="inlineStr">
        <is>
          <t>Boleto</t>
        </is>
      </c>
      <c r="G138" s="19" t="n">
        <v>0.05</v>
      </c>
    </row>
    <row r="139">
      <c r="A139" s="2" t="inlineStr">
        <is>
          <t>PED00138</t>
        </is>
      </c>
      <c r="B139" s="3" t="n">
        <v>45456</v>
      </c>
      <c r="C139" s="2" t="inlineStr">
        <is>
          <t>C0147</t>
        </is>
      </c>
      <c r="D139" s="2" t="inlineStr">
        <is>
          <t>L05</t>
        </is>
      </c>
      <c r="E139" s="2" t="inlineStr">
        <is>
          <t>Entregue</t>
        </is>
      </c>
      <c r="F139" s="2" t="inlineStr">
        <is>
          <t>Pix</t>
        </is>
      </c>
      <c r="G139" s="19" t="n">
        <v>0.1</v>
      </c>
    </row>
    <row r="140">
      <c r="A140" s="2" t="inlineStr">
        <is>
          <t>PED00139</t>
        </is>
      </c>
      <c r="B140" s="3" t="n">
        <v>45396</v>
      </c>
      <c r="C140" s="2" t="inlineStr">
        <is>
          <t>C0316</t>
        </is>
      </c>
      <c r="D140" s="2" t="inlineStr">
        <is>
          <t>L04</t>
        </is>
      </c>
      <c r="E140" s="2" t="inlineStr">
        <is>
          <t>Entregue</t>
        </is>
      </c>
      <c r="F140" s="2" t="inlineStr">
        <is>
          <t>Cartão de crédito</t>
        </is>
      </c>
      <c r="G140" s="19" t="n">
        <v>0</v>
      </c>
    </row>
    <row r="141">
      <c r="A141" s="2" t="inlineStr">
        <is>
          <t>PED00140</t>
        </is>
      </c>
      <c r="B141" s="3" t="n">
        <v>45549</v>
      </c>
      <c r="C141" s="2" t="inlineStr">
        <is>
          <t>C0104</t>
        </is>
      </c>
      <c r="D141" s="2" t="inlineStr">
        <is>
          <t>L08</t>
        </is>
      </c>
      <c r="E141" s="2" t="inlineStr">
        <is>
          <t>Cancelado</t>
        </is>
      </c>
      <c r="F141" s="2" t="inlineStr">
        <is>
          <t>Boleto</t>
        </is>
      </c>
      <c r="G141" s="19" t="n">
        <v>0.05</v>
      </c>
    </row>
    <row r="142">
      <c r="A142" s="2" t="inlineStr">
        <is>
          <t>PED00141</t>
        </is>
      </c>
      <c r="B142" s="3" t="n">
        <v>45678</v>
      </c>
      <c r="C142" s="2" t="inlineStr">
        <is>
          <t>C0021</t>
        </is>
      </c>
      <c r="D142" s="2" t="inlineStr">
        <is>
          <t>L07</t>
        </is>
      </c>
      <c r="E142" s="2" t="inlineStr">
        <is>
          <t>Entregue</t>
        </is>
      </c>
      <c r="F142" s="2" t="inlineStr">
        <is>
          <t>Pix</t>
        </is>
      </c>
      <c r="G142" s="19" t="n">
        <v>0</v>
      </c>
    </row>
    <row r="143">
      <c r="A143" s="2" t="inlineStr">
        <is>
          <t>PED00142</t>
        </is>
      </c>
      <c r="B143" s="3" t="n">
        <v>45855</v>
      </c>
      <c r="C143" s="2" t="inlineStr">
        <is>
          <t>C0184</t>
        </is>
      </c>
      <c r="D143" s="2" t="inlineStr">
        <is>
          <t>L02</t>
        </is>
      </c>
      <c r="E143" s="2" t="inlineStr">
        <is>
          <t>Entregue</t>
        </is>
      </c>
      <c r="F143" s="2" t="inlineStr">
        <is>
          <t>Pix</t>
        </is>
      </c>
      <c r="G143" s="19" t="n">
        <v>0</v>
      </c>
    </row>
    <row r="144">
      <c r="A144" s="2" t="inlineStr">
        <is>
          <t>PED00143</t>
        </is>
      </c>
      <c r="B144" s="3" t="n">
        <v>45848</v>
      </c>
      <c r="C144" s="2" t="inlineStr">
        <is>
          <t>C0275</t>
        </is>
      </c>
      <c r="D144" s="2" t="inlineStr">
        <is>
          <t>L07</t>
        </is>
      </c>
      <c r="E144" s="2" t="inlineStr">
        <is>
          <t>Entregue</t>
        </is>
      </c>
      <c r="F144" s="2" t="inlineStr">
        <is>
          <t>Pix</t>
        </is>
      </c>
      <c r="G144" s="19" t="n">
        <v>0</v>
      </c>
    </row>
    <row r="145">
      <c r="A145" s="2" t="inlineStr">
        <is>
          <t>PED00144</t>
        </is>
      </c>
      <c r="B145" s="3" t="n">
        <v>45956</v>
      </c>
      <c r="C145" s="2" t="inlineStr">
        <is>
          <t>C0005</t>
        </is>
      </c>
      <c r="D145" s="2" t="inlineStr">
        <is>
          <t>L02</t>
        </is>
      </c>
      <c r="E145" s="2" t="inlineStr">
        <is>
          <t>Entregue</t>
        </is>
      </c>
      <c r="F145" s="2" t="inlineStr">
        <is>
          <t>Cartão de crédito</t>
        </is>
      </c>
      <c r="G145" s="19" t="n">
        <v>0.1</v>
      </c>
    </row>
    <row r="146">
      <c r="A146" s="2" t="inlineStr">
        <is>
          <t>PED00145</t>
        </is>
      </c>
      <c r="B146" s="3" t="n">
        <v>45821</v>
      </c>
      <c r="C146" s="2" t="inlineStr">
        <is>
          <t>C0192</t>
        </is>
      </c>
      <c r="D146" s="2" t="inlineStr">
        <is>
          <t>L08</t>
        </is>
      </c>
      <c r="E146" s="2" t="inlineStr">
        <is>
          <t>Entregue</t>
        </is>
      </c>
      <c r="F146" s="2" t="inlineStr">
        <is>
          <t>Pix</t>
        </is>
      </c>
      <c r="G146" s="19" t="n">
        <v>0.05</v>
      </c>
    </row>
    <row r="147">
      <c r="A147" s="2" t="inlineStr">
        <is>
          <t>PED00146</t>
        </is>
      </c>
      <c r="B147" s="3" t="n">
        <v>45359</v>
      </c>
      <c r="C147" s="2" t="inlineStr">
        <is>
          <t>C0108</t>
        </is>
      </c>
      <c r="D147" s="2" t="inlineStr">
        <is>
          <t>L04</t>
        </is>
      </c>
      <c r="E147" s="2" t="inlineStr">
        <is>
          <t>Cancelado</t>
        </is>
      </c>
      <c r="F147" s="2" t="inlineStr">
        <is>
          <t>Cartão de crédito</t>
        </is>
      </c>
      <c r="G147" s="19" t="n">
        <v>0</v>
      </c>
    </row>
    <row r="148">
      <c r="A148" s="2" t="inlineStr">
        <is>
          <t>PED00147</t>
        </is>
      </c>
      <c r="B148" s="3" t="n">
        <v>45381</v>
      </c>
      <c r="C148" s="2" t="inlineStr">
        <is>
          <t>C0038</t>
        </is>
      </c>
      <c r="D148" s="2" t="inlineStr">
        <is>
          <t>L01</t>
        </is>
      </c>
      <c r="E148" s="2" t="inlineStr">
        <is>
          <t>Entregue</t>
        </is>
      </c>
      <c r="F148" s="2" t="inlineStr">
        <is>
          <t>Pix</t>
        </is>
      </c>
      <c r="G148" s="19" t="n">
        <v>0</v>
      </c>
    </row>
    <row r="149">
      <c r="A149" s="2" t="inlineStr">
        <is>
          <t>PED00148</t>
        </is>
      </c>
      <c r="B149" s="3" t="n">
        <v>45891</v>
      </c>
      <c r="C149" s="2" t="inlineStr">
        <is>
          <t>C0024</t>
        </is>
      </c>
      <c r="D149" s="2" t="inlineStr">
        <is>
          <t>L02</t>
        </is>
      </c>
      <c r="E149" s="2" t="inlineStr">
        <is>
          <t>Entregue</t>
        </is>
      </c>
      <c r="F149" s="2" t="inlineStr">
        <is>
          <t>Cartão de crédito</t>
        </is>
      </c>
      <c r="G149" s="19" t="n">
        <v>0</v>
      </c>
    </row>
    <row r="150">
      <c r="A150" s="2" t="inlineStr">
        <is>
          <t>PED00149</t>
        </is>
      </c>
      <c r="B150" s="3" t="n">
        <v>45850</v>
      </c>
      <c r="C150" s="2" t="inlineStr">
        <is>
          <t>C0152</t>
        </is>
      </c>
      <c r="D150" s="2" t="inlineStr">
        <is>
          <t>L03</t>
        </is>
      </c>
      <c r="E150" s="2" t="inlineStr">
        <is>
          <t>Entregue</t>
        </is>
      </c>
      <c r="F150" s="2" t="inlineStr">
        <is>
          <t>Boleto</t>
        </is>
      </c>
      <c r="G150" s="19" t="n">
        <v>0.15</v>
      </c>
    </row>
    <row r="151">
      <c r="A151" s="2" t="inlineStr">
        <is>
          <t>PED00150</t>
        </is>
      </c>
      <c r="B151" s="3" t="n">
        <v>45508</v>
      </c>
      <c r="C151" s="2" t="inlineStr">
        <is>
          <t>C0212</t>
        </is>
      </c>
      <c r="D151" s="2" t="inlineStr">
        <is>
          <t>L03</t>
        </is>
      </c>
      <c r="E151" s="2" t="inlineStr">
        <is>
          <t>Entregue</t>
        </is>
      </c>
      <c r="F151" s="2" t="inlineStr">
        <is>
          <t>Pix</t>
        </is>
      </c>
      <c r="G151" s="19" t="n">
        <v>0.1</v>
      </c>
    </row>
    <row r="152">
      <c r="A152" s="2" t="inlineStr">
        <is>
          <t>PED00151</t>
        </is>
      </c>
      <c r="B152" s="3" t="n">
        <v>45347</v>
      </c>
      <c r="C152" s="2" t="inlineStr">
        <is>
          <t>C0282</t>
        </is>
      </c>
      <c r="D152" s="2" t="inlineStr">
        <is>
          <t>L08</t>
        </is>
      </c>
      <c r="E152" s="2" t="inlineStr">
        <is>
          <t>Entregue</t>
        </is>
      </c>
      <c r="F152" s="2" t="inlineStr">
        <is>
          <t>Pix</t>
        </is>
      </c>
      <c r="G152" s="19" t="n">
        <v>0.05</v>
      </c>
    </row>
    <row r="153">
      <c r="A153" s="2" t="inlineStr">
        <is>
          <t>PED00152</t>
        </is>
      </c>
      <c r="B153" s="3" t="n">
        <v>45583</v>
      </c>
      <c r="C153" s="2" t="inlineStr">
        <is>
          <t>C0318</t>
        </is>
      </c>
      <c r="D153" s="2" t="inlineStr">
        <is>
          <t>L02</t>
        </is>
      </c>
      <c r="E153" s="2" t="inlineStr">
        <is>
          <t>Em processamento</t>
        </is>
      </c>
      <c r="F153" s="2" t="inlineStr">
        <is>
          <t>Pix</t>
        </is>
      </c>
      <c r="G153" s="19" t="n">
        <v>0.03</v>
      </c>
    </row>
    <row r="154">
      <c r="A154" s="2" t="inlineStr">
        <is>
          <t>PED00153</t>
        </is>
      </c>
      <c r="B154" s="3" t="n">
        <v>45948</v>
      </c>
      <c r="C154" s="2" t="inlineStr">
        <is>
          <t>C0224</t>
        </is>
      </c>
      <c r="D154" s="2" t="inlineStr">
        <is>
          <t>L05</t>
        </is>
      </c>
      <c r="E154" s="2" t="inlineStr">
        <is>
          <t>Cancelado</t>
        </is>
      </c>
      <c r="F154" s="2" t="inlineStr">
        <is>
          <t>Pix</t>
        </is>
      </c>
      <c r="G154" s="19" t="n">
        <v>0.05</v>
      </c>
    </row>
    <row r="155">
      <c r="A155" s="2" t="inlineStr">
        <is>
          <t>PED00154</t>
        </is>
      </c>
      <c r="B155" s="3" t="n">
        <v>45933</v>
      </c>
      <c r="C155" s="2" t="inlineStr">
        <is>
          <t>C0040</t>
        </is>
      </c>
      <c r="D155" s="2" t="inlineStr">
        <is>
          <t>L02</t>
        </is>
      </c>
      <c r="E155" s="2" t="inlineStr">
        <is>
          <t>Em processamento</t>
        </is>
      </c>
      <c r="F155" s="2" t="inlineStr">
        <is>
          <t>Cartão de débito</t>
        </is>
      </c>
      <c r="G155" s="19" t="n">
        <v>0.05</v>
      </c>
    </row>
    <row r="156">
      <c r="A156" s="2" t="inlineStr">
        <is>
          <t>PED00155</t>
        </is>
      </c>
      <c r="B156" s="3" t="n">
        <v>45589</v>
      </c>
      <c r="C156" s="2" t="inlineStr">
        <is>
          <t>C0069</t>
        </is>
      </c>
      <c r="D156" s="2" t="inlineStr">
        <is>
          <t>L08</t>
        </is>
      </c>
      <c r="E156" s="2" t="inlineStr">
        <is>
          <t>Entregue</t>
        </is>
      </c>
      <c r="F156" s="2" t="inlineStr">
        <is>
          <t>Pix</t>
        </is>
      </c>
      <c r="G156" s="19" t="n">
        <v>0</v>
      </c>
    </row>
    <row r="157">
      <c r="A157" s="2" t="inlineStr">
        <is>
          <t>PED00156</t>
        </is>
      </c>
      <c r="B157" s="3" t="n">
        <v>45920</v>
      </c>
      <c r="C157" s="2" t="inlineStr">
        <is>
          <t>C0085</t>
        </is>
      </c>
      <c r="D157" s="2" t="inlineStr">
        <is>
          <t>L03</t>
        </is>
      </c>
      <c r="E157" s="2" t="inlineStr">
        <is>
          <t>Entregue</t>
        </is>
      </c>
      <c r="F157" s="2" t="inlineStr">
        <is>
          <t>Pix</t>
        </is>
      </c>
      <c r="G157" s="19" t="n">
        <v>0.1</v>
      </c>
    </row>
    <row r="158">
      <c r="A158" s="2" t="inlineStr">
        <is>
          <t>PED00157</t>
        </is>
      </c>
      <c r="B158" s="3" t="n">
        <v>45822</v>
      </c>
      <c r="C158" s="2" t="inlineStr">
        <is>
          <t>C0185</t>
        </is>
      </c>
      <c r="D158" s="2" t="inlineStr">
        <is>
          <t>L07</t>
        </is>
      </c>
      <c r="E158" s="2" t="inlineStr">
        <is>
          <t>Entregue</t>
        </is>
      </c>
      <c r="F158" s="2" t="inlineStr">
        <is>
          <t>Cartão de crédito</t>
        </is>
      </c>
      <c r="G158" s="19" t="n">
        <v>0</v>
      </c>
    </row>
    <row r="159">
      <c r="A159" s="2" t="inlineStr">
        <is>
          <t>PED00158</t>
        </is>
      </c>
      <c r="B159" s="3" t="n">
        <v>45707</v>
      </c>
      <c r="C159" s="2" t="inlineStr">
        <is>
          <t>C0181</t>
        </is>
      </c>
      <c r="D159" s="2" t="inlineStr">
        <is>
          <t>L06</t>
        </is>
      </c>
      <c r="E159" s="2" t="inlineStr">
        <is>
          <t>Entregue</t>
        </is>
      </c>
      <c r="F159" s="2" t="inlineStr">
        <is>
          <t>Cartão de crédito</t>
        </is>
      </c>
      <c r="G159" s="19" t="n">
        <v>0.05</v>
      </c>
    </row>
    <row r="160">
      <c r="A160" s="2" t="inlineStr">
        <is>
          <t>PED00159</t>
        </is>
      </c>
      <c r="B160" s="3" t="n">
        <v>45483</v>
      </c>
      <c r="C160" s="2" t="inlineStr">
        <is>
          <t>C0081</t>
        </is>
      </c>
      <c r="D160" s="2" t="inlineStr">
        <is>
          <t>L06</t>
        </is>
      </c>
      <c r="E160" s="2" t="inlineStr">
        <is>
          <t>Entregue</t>
        </is>
      </c>
      <c r="F160" s="2" t="inlineStr">
        <is>
          <t>Cartão de débito</t>
        </is>
      </c>
      <c r="G160" s="19" t="n">
        <v>0.05</v>
      </c>
    </row>
    <row r="161">
      <c r="A161" s="2" t="inlineStr">
        <is>
          <t>PED00160</t>
        </is>
      </c>
      <c r="B161" s="3" t="n">
        <v>45712</v>
      </c>
      <c r="C161" s="2" t="inlineStr">
        <is>
          <t>C0012</t>
        </is>
      </c>
      <c r="D161" s="2" t="inlineStr">
        <is>
          <t>L04</t>
        </is>
      </c>
      <c r="E161" s="2" t="inlineStr">
        <is>
          <t>Entregue</t>
        </is>
      </c>
      <c r="F161" s="2" t="inlineStr">
        <is>
          <t>Cartão de crédito</t>
        </is>
      </c>
      <c r="G161" s="19" t="n">
        <v>0</v>
      </c>
    </row>
    <row r="162">
      <c r="A162" s="2" t="inlineStr">
        <is>
          <t>PED00161</t>
        </is>
      </c>
      <c r="B162" s="3" t="n">
        <v>45969</v>
      </c>
      <c r="C162" s="2" t="inlineStr">
        <is>
          <t>C0146</t>
        </is>
      </c>
      <c r="D162" s="2" t="inlineStr">
        <is>
          <t>L02</t>
        </is>
      </c>
      <c r="E162" s="2" t="inlineStr">
        <is>
          <t>Entregue</t>
        </is>
      </c>
      <c r="F162" s="2" t="inlineStr">
        <is>
          <t>Cartão de crédito</t>
        </is>
      </c>
      <c r="G162" s="19" t="n">
        <v>0.03</v>
      </c>
    </row>
    <row r="163">
      <c r="A163" s="2" t="inlineStr">
        <is>
          <t>PED00162</t>
        </is>
      </c>
      <c r="B163" s="3" t="n">
        <v>45967</v>
      </c>
      <c r="C163" s="2" t="inlineStr">
        <is>
          <t>C0262</t>
        </is>
      </c>
      <c r="D163" s="2" t="inlineStr">
        <is>
          <t>L05</t>
        </is>
      </c>
      <c r="E163" s="2" t="inlineStr">
        <is>
          <t>Entregue</t>
        </is>
      </c>
      <c r="F163" s="2" t="inlineStr">
        <is>
          <t>Cartão de débito</t>
        </is>
      </c>
      <c r="G163" s="19" t="n">
        <v>0.1</v>
      </c>
    </row>
    <row r="164">
      <c r="A164" s="2" t="inlineStr">
        <is>
          <t>PED00163</t>
        </is>
      </c>
      <c r="B164" s="3" t="n">
        <v>45445</v>
      </c>
      <c r="C164" s="2" t="inlineStr">
        <is>
          <t>C0311</t>
        </is>
      </c>
      <c r="D164" s="2" t="inlineStr">
        <is>
          <t>L02</t>
        </is>
      </c>
      <c r="E164" s="2" t="inlineStr">
        <is>
          <t>Entregue</t>
        </is>
      </c>
      <c r="F164" s="2" t="inlineStr">
        <is>
          <t>Boleto</t>
        </is>
      </c>
      <c r="G164" s="19" t="n">
        <v>0.05</v>
      </c>
    </row>
    <row r="165">
      <c r="A165" s="2" t="inlineStr">
        <is>
          <t>PED00164</t>
        </is>
      </c>
      <c r="B165" s="3" t="n">
        <v>45671</v>
      </c>
      <c r="C165" s="2" t="inlineStr">
        <is>
          <t>C0023</t>
        </is>
      </c>
      <c r="D165" s="2" t="inlineStr">
        <is>
          <t>L07</t>
        </is>
      </c>
      <c r="E165" s="2" t="inlineStr">
        <is>
          <t>Entregue</t>
        </is>
      </c>
      <c r="F165" s="2" t="inlineStr">
        <is>
          <t>Cartão de débito</t>
        </is>
      </c>
      <c r="G165" s="19" t="n">
        <v>0.1</v>
      </c>
    </row>
    <row r="166">
      <c r="A166" s="2" t="inlineStr">
        <is>
          <t>PED00165</t>
        </is>
      </c>
      <c r="B166" s="3" t="n">
        <v>45582</v>
      </c>
      <c r="C166" s="2" t="inlineStr">
        <is>
          <t>C0307</t>
        </is>
      </c>
      <c r="D166" s="2" t="inlineStr">
        <is>
          <t>L07</t>
        </is>
      </c>
      <c r="E166" s="2" t="inlineStr">
        <is>
          <t>Entregue</t>
        </is>
      </c>
      <c r="F166" s="2" t="inlineStr">
        <is>
          <t>Pix</t>
        </is>
      </c>
      <c r="G166" s="19" t="n">
        <v>0.05</v>
      </c>
    </row>
    <row r="167">
      <c r="A167" s="2" t="inlineStr">
        <is>
          <t>PED00166</t>
        </is>
      </c>
      <c r="B167" s="3" t="n">
        <v>45962</v>
      </c>
      <c r="C167" s="2" t="inlineStr">
        <is>
          <t>C0106</t>
        </is>
      </c>
      <c r="D167" s="2" t="inlineStr">
        <is>
          <t>L06</t>
        </is>
      </c>
      <c r="E167" s="2" t="inlineStr">
        <is>
          <t>Entregue</t>
        </is>
      </c>
      <c r="F167" s="2" t="inlineStr">
        <is>
          <t>Pix</t>
        </is>
      </c>
      <c r="G167" s="19" t="n">
        <v>0.03</v>
      </c>
    </row>
    <row r="168">
      <c r="A168" s="2" t="inlineStr">
        <is>
          <t>PED00167</t>
        </is>
      </c>
      <c r="B168" s="3" t="n">
        <v>45862</v>
      </c>
      <c r="C168" s="2" t="inlineStr">
        <is>
          <t>C0248</t>
        </is>
      </c>
      <c r="D168" s="2" t="inlineStr">
        <is>
          <t>L03</t>
        </is>
      </c>
      <c r="E168" s="2" t="inlineStr">
        <is>
          <t>Entregue</t>
        </is>
      </c>
      <c r="F168" s="2" t="inlineStr">
        <is>
          <t>Cartão de crédito</t>
        </is>
      </c>
      <c r="G168" s="19" t="n">
        <v>0</v>
      </c>
    </row>
    <row r="169">
      <c r="A169" s="2" t="inlineStr">
        <is>
          <t>PED00168</t>
        </is>
      </c>
      <c r="B169" s="3" t="n">
        <v>45749</v>
      </c>
      <c r="C169" s="2" t="inlineStr">
        <is>
          <t>C0083</t>
        </is>
      </c>
      <c r="D169" s="2" t="inlineStr">
        <is>
          <t>L02</t>
        </is>
      </c>
      <c r="E169" s="2" t="inlineStr">
        <is>
          <t>Entregue</t>
        </is>
      </c>
      <c r="F169" s="2" t="inlineStr">
        <is>
          <t>Cartão de crédito</t>
        </is>
      </c>
      <c r="G169" s="19" t="n">
        <v>0</v>
      </c>
    </row>
    <row r="170">
      <c r="A170" s="2" t="inlineStr">
        <is>
          <t>PED00169</t>
        </is>
      </c>
      <c r="B170" s="3" t="n">
        <v>45357</v>
      </c>
      <c r="C170" s="2" t="inlineStr">
        <is>
          <t>C0135</t>
        </is>
      </c>
      <c r="D170" s="2" t="inlineStr">
        <is>
          <t>L04</t>
        </is>
      </c>
      <c r="E170" s="2" t="inlineStr">
        <is>
          <t>Entregue</t>
        </is>
      </c>
      <c r="F170" s="2" t="inlineStr">
        <is>
          <t>Cartão de crédito</t>
        </is>
      </c>
      <c r="G170" s="19" t="n">
        <v>0.05</v>
      </c>
    </row>
    <row r="171">
      <c r="A171" s="2" t="inlineStr">
        <is>
          <t>PED00170</t>
        </is>
      </c>
      <c r="B171" s="3" t="n">
        <v>45465</v>
      </c>
      <c r="C171" s="2" t="inlineStr">
        <is>
          <t>C0346</t>
        </is>
      </c>
      <c r="D171" s="2" t="inlineStr">
        <is>
          <t>L01</t>
        </is>
      </c>
      <c r="E171" s="2" t="inlineStr">
        <is>
          <t>Entregue</t>
        </is>
      </c>
      <c r="F171" s="2" t="inlineStr">
        <is>
          <t>Cartão de crédito</t>
        </is>
      </c>
      <c r="G171" s="19" t="n">
        <v>0.15</v>
      </c>
    </row>
    <row r="172">
      <c r="A172" s="2" t="inlineStr">
        <is>
          <t>PED00171</t>
        </is>
      </c>
      <c r="B172" s="3" t="n">
        <v>45696</v>
      </c>
      <c r="C172" s="2" t="inlineStr">
        <is>
          <t>C0208</t>
        </is>
      </c>
      <c r="D172" s="2" t="inlineStr">
        <is>
          <t>L04</t>
        </is>
      </c>
      <c r="E172" s="2" t="inlineStr">
        <is>
          <t>Entregue</t>
        </is>
      </c>
      <c r="F172" s="2" t="inlineStr">
        <is>
          <t>Cartão de débito</t>
        </is>
      </c>
      <c r="G172" s="19" t="n">
        <v>0</v>
      </c>
    </row>
    <row r="173">
      <c r="A173" s="2" t="inlineStr">
        <is>
          <t>PED00172</t>
        </is>
      </c>
      <c r="B173" s="3" t="n">
        <v>45888</v>
      </c>
      <c r="C173" s="2" t="inlineStr">
        <is>
          <t>C0179</t>
        </is>
      </c>
      <c r="D173" s="2" t="inlineStr">
        <is>
          <t>L06</t>
        </is>
      </c>
      <c r="E173" s="2" t="inlineStr">
        <is>
          <t>Devolvido</t>
        </is>
      </c>
      <c r="F173" s="2" t="inlineStr">
        <is>
          <t>Pix</t>
        </is>
      </c>
      <c r="G173" s="19" t="n">
        <v>0.05</v>
      </c>
    </row>
    <row r="174">
      <c r="A174" s="2" t="inlineStr">
        <is>
          <t>PED00173</t>
        </is>
      </c>
      <c r="B174" s="3" t="n">
        <v>45708</v>
      </c>
      <c r="C174" s="2" t="inlineStr">
        <is>
          <t>C0260</t>
        </is>
      </c>
      <c r="D174" s="2" t="inlineStr">
        <is>
          <t>L02</t>
        </is>
      </c>
      <c r="E174" s="2" t="inlineStr">
        <is>
          <t>Entregue</t>
        </is>
      </c>
      <c r="F174" s="2" t="inlineStr">
        <is>
          <t>Cartão de crédito</t>
        </is>
      </c>
      <c r="G174" s="19" t="n">
        <v>0</v>
      </c>
    </row>
    <row r="175">
      <c r="A175" s="2" t="inlineStr">
        <is>
          <t>PED00174</t>
        </is>
      </c>
      <c r="B175" s="3" t="n">
        <v>45880</v>
      </c>
      <c r="C175" s="2" t="inlineStr">
        <is>
          <t>C0129</t>
        </is>
      </c>
      <c r="D175" s="2" t="inlineStr">
        <is>
          <t>L08</t>
        </is>
      </c>
      <c r="E175" s="2" t="inlineStr">
        <is>
          <t>Devolvido</t>
        </is>
      </c>
      <c r="F175" s="2" t="inlineStr">
        <is>
          <t>Cartão de crédito</t>
        </is>
      </c>
      <c r="G175" s="19" t="n">
        <v>0.05</v>
      </c>
    </row>
    <row r="176">
      <c r="A176" s="2" t="inlineStr">
        <is>
          <t>PED00175</t>
        </is>
      </c>
      <c r="B176" s="3" t="n">
        <v>45615</v>
      </c>
      <c r="C176" s="2" t="inlineStr">
        <is>
          <t>C0212</t>
        </is>
      </c>
      <c r="D176" s="2" t="inlineStr">
        <is>
          <t>L06</t>
        </is>
      </c>
      <c r="E176" s="2" t="inlineStr">
        <is>
          <t>Entregue</t>
        </is>
      </c>
      <c r="F176" s="2" t="inlineStr">
        <is>
          <t>Pix</t>
        </is>
      </c>
      <c r="G176" s="19" t="n">
        <v>0.1</v>
      </c>
    </row>
    <row r="177">
      <c r="A177" s="2" t="inlineStr">
        <is>
          <t>PED00176</t>
        </is>
      </c>
      <c r="B177" s="3" t="n">
        <v>45779</v>
      </c>
      <c r="C177" s="2" t="inlineStr">
        <is>
          <t>C0161</t>
        </is>
      </c>
      <c r="D177" s="2" t="inlineStr">
        <is>
          <t>L06</t>
        </is>
      </c>
      <c r="E177" s="2" t="inlineStr">
        <is>
          <t>Entregue</t>
        </is>
      </c>
      <c r="F177" s="2" t="inlineStr">
        <is>
          <t>Cartão de crédito</t>
        </is>
      </c>
      <c r="G177" s="19" t="n">
        <v>0</v>
      </c>
    </row>
    <row r="178">
      <c r="A178" s="2" t="inlineStr">
        <is>
          <t>PED00177</t>
        </is>
      </c>
      <c r="B178" s="3" t="n">
        <v>45656</v>
      </c>
      <c r="C178" s="2" t="inlineStr">
        <is>
          <t>C0080</t>
        </is>
      </c>
      <c r="D178" s="2" t="inlineStr">
        <is>
          <t>L02</t>
        </is>
      </c>
      <c r="E178" s="2" t="inlineStr">
        <is>
          <t>Entregue</t>
        </is>
      </c>
      <c r="F178" s="2" t="inlineStr">
        <is>
          <t>Pix</t>
        </is>
      </c>
      <c r="G178" s="19" t="n">
        <v>0.15</v>
      </c>
    </row>
    <row r="179">
      <c r="A179" s="2" t="inlineStr">
        <is>
          <t>PED00178</t>
        </is>
      </c>
      <c r="B179" s="3" t="n">
        <v>45880</v>
      </c>
      <c r="C179" s="2" t="inlineStr">
        <is>
          <t>C0141</t>
        </is>
      </c>
      <c r="D179" s="2" t="inlineStr">
        <is>
          <t>L08</t>
        </is>
      </c>
      <c r="E179" s="2" t="inlineStr">
        <is>
          <t>Entregue</t>
        </is>
      </c>
      <c r="F179" s="2" t="inlineStr">
        <is>
          <t>Cartão de débito</t>
        </is>
      </c>
      <c r="G179" s="19" t="n">
        <v>0.03</v>
      </c>
    </row>
    <row r="180">
      <c r="A180" s="2" t="inlineStr">
        <is>
          <t>PED00179</t>
        </is>
      </c>
      <c r="B180" s="3" t="n">
        <v>45647</v>
      </c>
      <c r="C180" s="2" t="inlineStr">
        <is>
          <t>C0202</t>
        </is>
      </c>
      <c r="D180" s="2" t="inlineStr">
        <is>
          <t>L03</t>
        </is>
      </c>
      <c r="E180" s="2" t="inlineStr">
        <is>
          <t>Entregue</t>
        </is>
      </c>
      <c r="F180" s="2" t="inlineStr">
        <is>
          <t>Pix</t>
        </is>
      </c>
      <c r="G180" s="19" t="n">
        <v>0.03</v>
      </c>
    </row>
    <row r="181">
      <c r="A181" s="2" t="inlineStr">
        <is>
          <t>PED00180</t>
        </is>
      </c>
      <c r="B181" s="3" t="n">
        <v>45483</v>
      </c>
      <c r="C181" s="2" t="inlineStr">
        <is>
          <t>C0281</t>
        </is>
      </c>
      <c r="D181" s="2" t="inlineStr">
        <is>
          <t>L05</t>
        </is>
      </c>
      <c r="E181" s="2" t="inlineStr">
        <is>
          <t>Entregue</t>
        </is>
      </c>
      <c r="F181" s="2" t="inlineStr">
        <is>
          <t>Cartão de crédito</t>
        </is>
      </c>
      <c r="G181" s="19" t="n">
        <v>0.05</v>
      </c>
    </row>
    <row r="182">
      <c r="A182" s="2" t="inlineStr">
        <is>
          <t>PED00181</t>
        </is>
      </c>
      <c r="B182" s="3" t="n">
        <v>45578</v>
      </c>
      <c r="C182" s="2" t="inlineStr">
        <is>
          <t>C0231</t>
        </is>
      </c>
      <c r="D182" s="2" t="inlineStr">
        <is>
          <t>L03</t>
        </is>
      </c>
      <c r="E182" s="2" t="inlineStr">
        <is>
          <t>Entregue</t>
        </is>
      </c>
      <c r="F182" s="2" t="inlineStr">
        <is>
          <t>Transferência</t>
        </is>
      </c>
      <c r="G182" s="19" t="n">
        <v>0.05</v>
      </c>
    </row>
    <row r="183">
      <c r="A183" s="2" t="inlineStr">
        <is>
          <t>PED00182</t>
        </is>
      </c>
      <c r="B183" s="3" t="n">
        <v>45937</v>
      </c>
      <c r="C183" s="2" t="inlineStr">
        <is>
          <t>C0265</t>
        </is>
      </c>
      <c r="D183" s="2" t="inlineStr">
        <is>
          <t>L06</t>
        </is>
      </c>
      <c r="E183" s="2" t="inlineStr">
        <is>
          <t>Entregue</t>
        </is>
      </c>
      <c r="F183" s="2" t="inlineStr">
        <is>
          <t>Pix</t>
        </is>
      </c>
      <c r="G183" s="19" t="n">
        <v>0.03</v>
      </c>
    </row>
    <row r="184">
      <c r="A184" s="2" t="inlineStr">
        <is>
          <t>PED00183</t>
        </is>
      </c>
      <c r="B184" s="3" t="n">
        <v>45661</v>
      </c>
      <c r="C184" s="2" t="inlineStr">
        <is>
          <t>C0185</t>
        </is>
      </c>
      <c r="D184" s="2" t="inlineStr">
        <is>
          <t>L05</t>
        </is>
      </c>
      <c r="E184" s="2" t="inlineStr">
        <is>
          <t>Entregue</t>
        </is>
      </c>
      <c r="F184" s="2" t="inlineStr">
        <is>
          <t>Cartão de crédito</t>
        </is>
      </c>
      <c r="G184" s="19" t="n">
        <v>0</v>
      </c>
    </row>
    <row r="185">
      <c r="A185" s="2" t="inlineStr">
        <is>
          <t>PED00184</t>
        </is>
      </c>
      <c r="B185" s="3" t="n">
        <v>45372</v>
      </c>
      <c r="C185" s="2" t="inlineStr">
        <is>
          <t>C0196</t>
        </is>
      </c>
      <c r="D185" s="2" t="inlineStr">
        <is>
          <t>L05</t>
        </is>
      </c>
      <c r="E185" s="2" t="inlineStr">
        <is>
          <t>Entregue</t>
        </is>
      </c>
      <c r="F185" s="2" t="inlineStr">
        <is>
          <t>Transferência</t>
        </is>
      </c>
      <c r="G185" s="19" t="n">
        <v>0.1</v>
      </c>
    </row>
    <row r="186">
      <c r="A186" s="2" t="inlineStr">
        <is>
          <t>PED00185</t>
        </is>
      </c>
      <c r="B186" s="3" t="n">
        <v>45565</v>
      </c>
      <c r="C186" s="2" t="inlineStr">
        <is>
          <t>C0310</t>
        </is>
      </c>
      <c r="D186" s="2" t="inlineStr">
        <is>
          <t>L07</t>
        </is>
      </c>
      <c r="E186" s="2" t="inlineStr">
        <is>
          <t>Entregue</t>
        </is>
      </c>
      <c r="F186" s="2" t="inlineStr">
        <is>
          <t>Cartão de crédito</t>
        </is>
      </c>
      <c r="G186" s="19" t="n">
        <v>0.1</v>
      </c>
    </row>
    <row r="187">
      <c r="A187" s="2" t="inlineStr">
        <is>
          <t>PED00186</t>
        </is>
      </c>
      <c r="B187" s="3" t="n">
        <v>45969</v>
      </c>
      <c r="C187" s="2" t="inlineStr">
        <is>
          <t>C0129</t>
        </is>
      </c>
      <c r="D187" s="2" t="inlineStr">
        <is>
          <t>L02</t>
        </is>
      </c>
      <c r="E187" s="2" t="inlineStr">
        <is>
          <t>Entregue</t>
        </is>
      </c>
      <c r="F187" s="2" t="inlineStr">
        <is>
          <t>Cartão de crédito</t>
        </is>
      </c>
      <c r="G187" s="19" t="n">
        <v>0</v>
      </c>
    </row>
    <row r="188">
      <c r="A188" s="2" t="inlineStr">
        <is>
          <t>PED00187</t>
        </is>
      </c>
      <c r="B188" s="3" t="n">
        <v>45426</v>
      </c>
      <c r="C188" s="2" t="inlineStr">
        <is>
          <t>C0270</t>
        </is>
      </c>
      <c r="D188" s="2" t="inlineStr">
        <is>
          <t>L03</t>
        </is>
      </c>
      <c r="E188" s="2" t="inlineStr">
        <is>
          <t>Entregue</t>
        </is>
      </c>
      <c r="F188" s="2" t="inlineStr">
        <is>
          <t>Cartão de crédito</t>
        </is>
      </c>
      <c r="G188" s="19" t="n">
        <v>0.1</v>
      </c>
    </row>
    <row r="189">
      <c r="A189" s="2" t="inlineStr">
        <is>
          <t>PED00188</t>
        </is>
      </c>
      <c r="B189" s="3" t="n">
        <v>46006</v>
      </c>
      <c r="C189" s="2" t="inlineStr">
        <is>
          <t>C0277</t>
        </is>
      </c>
      <c r="D189" s="2" t="inlineStr">
        <is>
          <t>L03</t>
        </is>
      </c>
      <c r="E189" s="2" t="inlineStr">
        <is>
          <t>Entregue</t>
        </is>
      </c>
      <c r="F189" s="2" t="inlineStr">
        <is>
          <t>Cartão de crédito</t>
        </is>
      </c>
      <c r="G189" s="19" t="n">
        <v>0.05</v>
      </c>
    </row>
    <row r="190">
      <c r="A190" s="2" t="inlineStr">
        <is>
          <t>PED00189</t>
        </is>
      </c>
      <c r="B190" s="3" t="n">
        <v>45827</v>
      </c>
      <c r="C190" s="2" t="inlineStr">
        <is>
          <t>C0070</t>
        </is>
      </c>
      <c r="D190" s="2" t="inlineStr">
        <is>
          <t>L06</t>
        </is>
      </c>
      <c r="E190" s="2" t="inlineStr">
        <is>
          <t>Entregue</t>
        </is>
      </c>
      <c r="F190" s="2" t="inlineStr">
        <is>
          <t>Cartão de crédito</t>
        </is>
      </c>
      <c r="G190" s="19" t="n">
        <v>0.05</v>
      </c>
    </row>
    <row r="191">
      <c r="A191" s="2" t="inlineStr">
        <is>
          <t>PED00190</t>
        </is>
      </c>
      <c r="B191" s="3" t="n">
        <v>45299</v>
      </c>
      <c r="C191" s="2" t="inlineStr">
        <is>
          <t>C0281</t>
        </is>
      </c>
      <c r="D191" s="2" t="inlineStr">
        <is>
          <t>L06</t>
        </is>
      </c>
      <c r="E191" s="2" t="inlineStr">
        <is>
          <t>Entregue</t>
        </is>
      </c>
      <c r="F191" s="2" t="inlineStr">
        <is>
          <t>Boleto</t>
        </is>
      </c>
      <c r="G191" s="19" t="n">
        <v>0.03</v>
      </c>
    </row>
    <row r="192">
      <c r="A192" s="2" t="inlineStr">
        <is>
          <t>PED00191</t>
        </is>
      </c>
      <c r="B192" s="3" t="n">
        <v>45919</v>
      </c>
      <c r="C192" s="2" t="inlineStr">
        <is>
          <t>C0140</t>
        </is>
      </c>
      <c r="D192" s="2" t="inlineStr">
        <is>
          <t>L05</t>
        </is>
      </c>
      <c r="E192" s="2" t="inlineStr">
        <is>
          <t>Entregue</t>
        </is>
      </c>
      <c r="F192" s="2" t="inlineStr">
        <is>
          <t>Cartão de crédito</t>
        </is>
      </c>
      <c r="G192" s="19" t="n">
        <v>0</v>
      </c>
    </row>
    <row r="193">
      <c r="A193" s="2" t="inlineStr">
        <is>
          <t>PED00192</t>
        </is>
      </c>
      <c r="B193" s="3" t="n">
        <v>45944</v>
      </c>
      <c r="C193" s="2" t="inlineStr">
        <is>
          <t>C0234</t>
        </is>
      </c>
      <c r="D193" s="2" t="inlineStr">
        <is>
          <t>L08</t>
        </is>
      </c>
      <c r="E193" s="2" t="inlineStr">
        <is>
          <t>Entregue</t>
        </is>
      </c>
      <c r="F193" s="2" t="inlineStr">
        <is>
          <t>Cartão de crédito</t>
        </is>
      </c>
      <c r="G193" s="19" t="n">
        <v>0</v>
      </c>
    </row>
    <row r="194">
      <c r="A194" s="2" t="inlineStr">
        <is>
          <t>PED00193</t>
        </is>
      </c>
      <c r="B194" s="3" t="n">
        <v>45396</v>
      </c>
      <c r="C194" s="2" t="inlineStr">
        <is>
          <t>C0145</t>
        </is>
      </c>
      <c r="D194" s="2" t="inlineStr">
        <is>
          <t>L05</t>
        </is>
      </c>
      <c r="E194" s="2" t="inlineStr">
        <is>
          <t>Entregue</t>
        </is>
      </c>
      <c r="F194" s="2" t="inlineStr">
        <is>
          <t>Cartão de crédito</t>
        </is>
      </c>
      <c r="G194" s="19" t="n">
        <v>0</v>
      </c>
    </row>
    <row r="195">
      <c r="A195" s="2" t="inlineStr">
        <is>
          <t>PED00194</t>
        </is>
      </c>
      <c r="B195" s="3" t="n">
        <v>45611</v>
      </c>
      <c r="C195" s="2" t="inlineStr">
        <is>
          <t>C0256</t>
        </is>
      </c>
      <c r="D195" s="2" t="inlineStr">
        <is>
          <t>L06</t>
        </is>
      </c>
      <c r="E195" s="2" t="inlineStr">
        <is>
          <t>Entregue</t>
        </is>
      </c>
      <c r="F195" s="2" t="inlineStr">
        <is>
          <t>Cartão de débito</t>
        </is>
      </c>
      <c r="G195" s="19" t="n">
        <v>0</v>
      </c>
    </row>
    <row r="196">
      <c r="A196" s="2" t="inlineStr">
        <is>
          <t>PED00195</t>
        </is>
      </c>
      <c r="B196" s="3" t="n">
        <v>45546</v>
      </c>
      <c r="C196" s="2" t="inlineStr">
        <is>
          <t>C0198</t>
        </is>
      </c>
      <c r="D196" s="2" t="inlineStr">
        <is>
          <t>L08</t>
        </is>
      </c>
      <c r="E196" s="2" t="inlineStr">
        <is>
          <t>Entregue</t>
        </is>
      </c>
      <c r="F196" s="2" t="inlineStr">
        <is>
          <t>Transferência</t>
        </is>
      </c>
      <c r="G196" s="19" t="n">
        <v>0</v>
      </c>
    </row>
    <row r="197">
      <c r="A197" s="2" t="inlineStr">
        <is>
          <t>PED00196</t>
        </is>
      </c>
      <c r="B197" s="3" t="n">
        <v>45854</v>
      </c>
      <c r="C197" s="2" t="inlineStr">
        <is>
          <t>C0267</t>
        </is>
      </c>
      <c r="D197" s="2" t="inlineStr">
        <is>
          <t>L02</t>
        </is>
      </c>
      <c r="E197" s="2" t="inlineStr">
        <is>
          <t>Entregue</t>
        </is>
      </c>
      <c r="F197" s="2" t="inlineStr">
        <is>
          <t>Cartão de crédito</t>
        </is>
      </c>
      <c r="G197" s="19" t="n">
        <v>0</v>
      </c>
    </row>
    <row r="198">
      <c r="A198" s="2" t="inlineStr">
        <is>
          <t>PED00197</t>
        </is>
      </c>
      <c r="B198" s="3" t="n">
        <v>45778</v>
      </c>
      <c r="C198" s="2" t="inlineStr">
        <is>
          <t>C0306</t>
        </is>
      </c>
      <c r="D198" s="2" t="inlineStr">
        <is>
          <t>L03</t>
        </is>
      </c>
      <c r="E198" s="2" t="inlineStr">
        <is>
          <t>Entregue</t>
        </is>
      </c>
      <c r="F198" s="2" t="inlineStr">
        <is>
          <t>Pix</t>
        </is>
      </c>
      <c r="G198" s="19" t="n">
        <v>0</v>
      </c>
    </row>
    <row r="199">
      <c r="A199" s="2" t="inlineStr">
        <is>
          <t>PED00198</t>
        </is>
      </c>
      <c r="B199" s="3" t="n">
        <v>45932</v>
      </c>
      <c r="C199" s="2" t="inlineStr">
        <is>
          <t>C0031</t>
        </is>
      </c>
      <c r="D199" s="2" t="inlineStr">
        <is>
          <t>L01</t>
        </is>
      </c>
      <c r="E199" s="2" t="inlineStr">
        <is>
          <t>Entregue</t>
        </is>
      </c>
      <c r="F199" s="2" t="inlineStr">
        <is>
          <t>Pix</t>
        </is>
      </c>
      <c r="G199" s="19" t="n">
        <v>0.03</v>
      </c>
    </row>
    <row r="200">
      <c r="A200" s="2" t="inlineStr">
        <is>
          <t>PED00199</t>
        </is>
      </c>
      <c r="B200" s="3" t="n">
        <v>45952</v>
      </c>
      <c r="C200" s="2" t="inlineStr">
        <is>
          <t>C0178</t>
        </is>
      </c>
      <c r="D200" s="2" t="inlineStr">
        <is>
          <t>L08</t>
        </is>
      </c>
      <c r="E200" s="2" t="inlineStr">
        <is>
          <t>Entregue</t>
        </is>
      </c>
      <c r="F200" s="2" t="inlineStr">
        <is>
          <t>Pix</t>
        </is>
      </c>
      <c r="G200" s="19" t="n">
        <v>0</v>
      </c>
    </row>
    <row r="201">
      <c r="A201" s="2" t="inlineStr">
        <is>
          <t>PED00200</t>
        </is>
      </c>
      <c r="B201" s="3" t="n">
        <v>45623</v>
      </c>
      <c r="C201" s="2" t="inlineStr">
        <is>
          <t>C0240</t>
        </is>
      </c>
      <c r="D201" s="2" t="inlineStr">
        <is>
          <t>L05</t>
        </is>
      </c>
      <c r="E201" s="2" t="inlineStr">
        <is>
          <t>Cancelado</t>
        </is>
      </c>
      <c r="F201" s="2" t="inlineStr">
        <is>
          <t>Cartão de crédito</t>
        </is>
      </c>
      <c r="G201" s="19" t="n">
        <v>0.1</v>
      </c>
    </row>
    <row r="202">
      <c r="A202" s="2" t="inlineStr">
        <is>
          <t>PED00201</t>
        </is>
      </c>
      <c r="B202" s="3" t="n">
        <v>45561</v>
      </c>
      <c r="C202" s="2" t="inlineStr">
        <is>
          <t>C0278</t>
        </is>
      </c>
      <c r="D202" s="2" t="inlineStr">
        <is>
          <t>L06</t>
        </is>
      </c>
      <c r="E202" s="2" t="inlineStr">
        <is>
          <t>Entregue</t>
        </is>
      </c>
      <c r="F202" s="2" t="inlineStr">
        <is>
          <t>Cartão de débito</t>
        </is>
      </c>
      <c r="G202" s="19" t="n">
        <v>0.03</v>
      </c>
    </row>
    <row r="203">
      <c r="A203" s="2" t="inlineStr">
        <is>
          <t>PED00202</t>
        </is>
      </c>
      <c r="B203" s="3" t="n">
        <v>45856</v>
      </c>
      <c r="C203" s="2" t="inlineStr">
        <is>
          <t>C0079</t>
        </is>
      </c>
      <c r="D203" s="2" t="inlineStr">
        <is>
          <t>L05</t>
        </is>
      </c>
      <c r="E203" s="2" t="inlineStr">
        <is>
          <t>Entregue</t>
        </is>
      </c>
      <c r="F203" s="2" t="inlineStr">
        <is>
          <t>Cartão de crédito</t>
        </is>
      </c>
      <c r="G203" s="19" t="n">
        <v>0</v>
      </c>
    </row>
    <row r="204">
      <c r="A204" s="2" t="inlineStr">
        <is>
          <t>PED00203</t>
        </is>
      </c>
      <c r="B204" s="3" t="n">
        <v>45789</v>
      </c>
      <c r="C204" s="2" t="inlineStr">
        <is>
          <t>C0099</t>
        </is>
      </c>
      <c r="D204" s="2" t="inlineStr">
        <is>
          <t>L02</t>
        </is>
      </c>
      <c r="E204" s="2" t="inlineStr">
        <is>
          <t>Entregue</t>
        </is>
      </c>
      <c r="F204" s="2" t="inlineStr">
        <is>
          <t>Cartão de crédito</t>
        </is>
      </c>
      <c r="G204" s="19" t="n">
        <v>0</v>
      </c>
    </row>
    <row r="205">
      <c r="A205" s="2" t="inlineStr">
        <is>
          <t>PED00204</t>
        </is>
      </c>
      <c r="B205" s="3" t="n">
        <v>45505</v>
      </c>
      <c r="C205" s="2" t="inlineStr">
        <is>
          <t>C0336</t>
        </is>
      </c>
      <c r="D205" s="2" t="inlineStr">
        <is>
          <t>L08</t>
        </is>
      </c>
      <c r="E205" s="2" t="inlineStr">
        <is>
          <t>Em processamento</t>
        </is>
      </c>
      <c r="F205" s="2" t="inlineStr">
        <is>
          <t>Cartão de débito</t>
        </is>
      </c>
      <c r="G205" s="19" t="n">
        <v>0.03</v>
      </c>
    </row>
    <row r="206">
      <c r="A206" s="2" t="inlineStr">
        <is>
          <t>PED00205</t>
        </is>
      </c>
      <c r="B206" s="3" t="n">
        <v>45371</v>
      </c>
      <c r="C206" s="2" t="inlineStr">
        <is>
          <t>C0111</t>
        </is>
      </c>
      <c r="D206" s="2" t="inlineStr">
        <is>
          <t>L02</t>
        </is>
      </c>
      <c r="E206" s="2" t="inlineStr">
        <is>
          <t>Entregue</t>
        </is>
      </c>
      <c r="F206" s="2" t="inlineStr">
        <is>
          <t>Pix</t>
        </is>
      </c>
      <c r="G206" s="19" t="n">
        <v>0</v>
      </c>
    </row>
    <row r="207">
      <c r="A207" s="2" t="inlineStr">
        <is>
          <t>PED00206</t>
        </is>
      </c>
      <c r="B207" s="3" t="n">
        <v>45863</v>
      </c>
      <c r="C207" s="2" t="inlineStr">
        <is>
          <t>C0286</t>
        </is>
      </c>
      <c r="D207" s="2" t="inlineStr">
        <is>
          <t>L07</t>
        </is>
      </c>
      <c r="E207" s="2" t="inlineStr">
        <is>
          <t>Entregue</t>
        </is>
      </c>
      <c r="F207" s="2" t="inlineStr">
        <is>
          <t>Cartão de débito</t>
        </is>
      </c>
      <c r="G207" s="19" t="n">
        <v>0.05</v>
      </c>
    </row>
    <row r="208">
      <c r="A208" s="2" t="inlineStr">
        <is>
          <t>PED00207</t>
        </is>
      </c>
      <c r="B208" s="3" t="n">
        <v>45652</v>
      </c>
      <c r="C208" s="2" t="inlineStr">
        <is>
          <t>C0162</t>
        </is>
      </c>
      <c r="D208" s="2" t="inlineStr">
        <is>
          <t>L06</t>
        </is>
      </c>
      <c r="E208" s="2" t="inlineStr">
        <is>
          <t>Cancelado</t>
        </is>
      </c>
      <c r="F208" s="2" t="inlineStr">
        <is>
          <t>Cartão de crédito</t>
        </is>
      </c>
      <c r="G208" s="19" t="n">
        <v>0.05</v>
      </c>
    </row>
    <row r="209">
      <c r="A209" s="2" t="inlineStr">
        <is>
          <t>PED00208</t>
        </is>
      </c>
      <c r="B209" s="3" t="n">
        <v>45583</v>
      </c>
      <c r="C209" s="2" t="inlineStr">
        <is>
          <t>C0306</t>
        </is>
      </c>
      <c r="D209" s="2" t="inlineStr">
        <is>
          <t>L01</t>
        </is>
      </c>
      <c r="E209" s="2" t="inlineStr">
        <is>
          <t>Entregue</t>
        </is>
      </c>
      <c r="F209" s="2" t="inlineStr">
        <is>
          <t>Transferência</t>
        </is>
      </c>
      <c r="G209" s="19" t="n">
        <v>0</v>
      </c>
    </row>
    <row r="210">
      <c r="A210" s="2" t="inlineStr">
        <is>
          <t>PED00209</t>
        </is>
      </c>
      <c r="B210" s="3" t="n">
        <v>45574</v>
      </c>
      <c r="C210" s="2" t="inlineStr">
        <is>
          <t>C0284</t>
        </is>
      </c>
      <c r="D210" s="2" t="inlineStr">
        <is>
          <t>L03</t>
        </is>
      </c>
      <c r="E210" s="2" t="inlineStr">
        <is>
          <t>Entregue</t>
        </is>
      </c>
      <c r="F210" s="2" t="inlineStr">
        <is>
          <t>Cartão de crédito</t>
        </is>
      </c>
      <c r="G210" s="19" t="n">
        <v>0</v>
      </c>
    </row>
    <row r="211">
      <c r="A211" s="2" t="inlineStr">
        <is>
          <t>PED00210</t>
        </is>
      </c>
      <c r="B211" s="3" t="n">
        <v>45514</v>
      </c>
      <c r="C211" s="2" t="inlineStr">
        <is>
          <t>C0040</t>
        </is>
      </c>
      <c r="D211" s="2" t="inlineStr">
        <is>
          <t>L06</t>
        </is>
      </c>
      <c r="E211" s="2" t="inlineStr">
        <is>
          <t>Entregue</t>
        </is>
      </c>
      <c r="F211" s="2" t="inlineStr">
        <is>
          <t>Pix</t>
        </is>
      </c>
      <c r="G211" s="19" t="n">
        <v>0.1</v>
      </c>
    </row>
    <row r="212">
      <c r="A212" s="2" t="inlineStr">
        <is>
          <t>PED00211</t>
        </is>
      </c>
      <c r="B212" s="3" t="n">
        <v>45736</v>
      </c>
      <c r="C212" s="2" t="inlineStr">
        <is>
          <t>C0214</t>
        </is>
      </c>
      <c r="D212" s="2" t="inlineStr">
        <is>
          <t>L02</t>
        </is>
      </c>
      <c r="E212" s="2" t="inlineStr">
        <is>
          <t>Cancelado</t>
        </is>
      </c>
      <c r="F212" s="2" t="inlineStr">
        <is>
          <t>Pix</t>
        </is>
      </c>
      <c r="G212" s="19" t="n">
        <v>0.05</v>
      </c>
    </row>
    <row r="213">
      <c r="A213" s="2" t="inlineStr">
        <is>
          <t>PED00212</t>
        </is>
      </c>
      <c r="B213" s="3" t="n">
        <v>45343</v>
      </c>
      <c r="C213" s="2" t="inlineStr">
        <is>
          <t>C0345</t>
        </is>
      </c>
      <c r="D213" s="2" t="inlineStr">
        <is>
          <t>L07</t>
        </is>
      </c>
      <c r="E213" s="2" t="inlineStr">
        <is>
          <t>Devolvido</t>
        </is>
      </c>
      <c r="F213" s="2" t="inlineStr">
        <is>
          <t>Cartão de débito</t>
        </is>
      </c>
      <c r="G213" s="19" t="n">
        <v>0.05</v>
      </c>
    </row>
    <row r="214">
      <c r="A214" s="2" t="inlineStr">
        <is>
          <t>PED00213</t>
        </is>
      </c>
      <c r="B214" s="3" t="n">
        <v>45427</v>
      </c>
      <c r="C214" s="2" t="inlineStr">
        <is>
          <t>C0173</t>
        </is>
      </c>
      <c r="D214" s="2" t="inlineStr">
        <is>
          <t>L02</t>
        </is>
      </c>
      <c r="E214" s="2" t="inlineStr">
        <is>
          <t>Entregue</t>
        </is>
      </c>
      <c r="F214" s="2" t="inlineStr">
        <is>
          <t>Cartão de débito</t>
        </is>
      </c>
      <c r="G214" s="19" t="n">
        <v>0.03</v>
      </c>
    </row>
    <row r="215">
      <c r="A215" s="2" t="inlineStr">
        <is>
          <t>PED00214</t>
        </is>
      </c>
      <c r="B215" s="3" t="n">
        <v>45494</v>
      </c>
      <c r="C215" s="2" t="inlineStr">
        <is>
          <t>C0250</t>
        </is>
      </c>
      <c r="D215" s="2" t="inlineStr">
        <is>
          <t>L07</t>
        </is>
      </c>
      <c r="E215" s="2" t="inlineStr">
        <is>
          <t>Entregue</t>
        </is>
      </c>
      <c r="F215" s="2" t="inlineStr">
        <is>
          <t>Pix</t>
        </is>
      </c>
      <c r="G215" s="19" t="n">
        <v>0.05</v>
      </c>
    </row>
    <row r="216">
      <c r="A216" s="2" t="inlineStr">
        <is>
          <t>PED00215</t>
        </is>
      </c>
      <c r="B216" s="3" t="n">
        <v>45648</v>
      </c>
      <c r="C216" s="2" t="inlineStr">
        <is>
          <t>C0098</t>
        </is>
      </c>
      <c r="D216" s="2" t="inlineStr">
        <is>
          <t>L06</t>
        </is>
      </c>
      <c r="E216" s="2" t="inlineStr">
        <is>
          <t>Entregue</t>
        </is>
      </c>
      <c r="F216" s="2" t="inlineStr">
        <is>
          <t>Cartão de crédito</t>
        </is>
      </c>
      <c r="G216" s="19" t="n">
        <v>0.05</v>
      </c>
    </row>
    <row r="217">
      <c r="A217" s="2" t="inlineStr">
        <is>
          <t>PED00216</t>
        </is>
      </c>
      <c r="B217" s="3" t="n">
        <v>45744</v>
      </c>
      <c r="C217" s="2" t="inlineStr">
        <is>
          <t>C0320</t>
        </is>
      </c>
      <c r="D217" s="2" t="inlineStr">
        <is>
          <t>L03</t>
        </is>
      </c>
      <c r="E217" s="2" t="inlineStr">
        <is>
          <t>Entregue</t>
        </is>
      </c>
      <c r="F217" s="2" t="inlineStr">
        <is>
          <t>Boleto</t>
        </is>
      </c>
      <c r="G217" s="19" t="n">
        <v>0</v>
      </c>
    </row>
    <row r="218">
      <c r="A218" s="2" t="inlineStr">
        <is>
          <t>PED00217</t>
        </is>
      </c>
      <c r="B218" s="3" t="n">
        <v>45643</v>
      </c>
      <c r="C218" s="2" t="inlineStr">
        <is>
          <t>C0057</t>
        </is>
      </c>
      <c r="D218" s="2" t="inlineStr">
        <is>
          <t>L05</t>
        </is>
      </c>
      <c r="E218" s="2" t="inlineStr">
        <is>
          <t>Entregue</t>
        </is>
      </c>
      <c r="F218" s="2" t="inlineStr">
        <is>
          <t>Pix</t>
        </is>
      </c>
      <c r="G218" s="19" t="n">
        <v>0</v>
      </c>
    </row>
    <row r="219">
      <c r="A219" s="2" t="inlineStr">
        <is>
          <t>PED00218</t>
        </is>
      </c>
      <c r="B219" s="3" t="n">
        <v>45436</v>
      </c>
      <c r="C219" s="2" t="inlineStr">
        <is>
          <t>C0343</t>
        </is>
      </c>
      <c r="D219" s="2" t="inlineStr">
        <is>
          <t>L01</t>
        </is>
      </c>
      <c r="E219" s="2" t="inlineStr">
        <is>
          <t>Entregue</t>
        </is>
      </c>
      <c r="F219" s="2" t="inlineStr">
        <is>
          <t>Boleto</t>
        </is>
      </c>
      <c r="G219" s="19" t="n">
        <v>0.03</v>
      </c>
    </row>
    <row r="220">
      <c r="A220" s="2" t="inlineStr">
        <is>
          <t>PED00219</t>
        </is>
      </c>
      <c r="B220" s="3" t="n">
        <v>45300</v>
      </c>
      <c r="C220" s="2" t="inlineStr">
        <is>
          <t>C0035</t>
        </is>
      </c>
      <c r="D220" s="2" t="inlineStr">
        <is>
          <t>L07</t>
        </is>
      </c>
      <c r="E220" s="2" t="inlineStr">
        <is>
          <t>Entregue</t>
        </is>
      </c>
      <c r="F220" s="2" t="inlineStr">
        <is>
          <t>Cartão de crédito</t>
        </is>
      </c>
      <c r="G220" s="19" t="n">
        <v>0.1</v>
      </c>
    </row>
    <row r="221">
      <c r="A221" s="2" t="inlineStr">
        <is>
          <t>PED00220</t>
        </is>
      </c>
      <c r="B221" s="3" t="n">
        <v>45812</v>
      </c>
      <c r="C221" s="2" t="inlineStr">
        <is>
          <t>C0051</t>
        </is>
      </c>
      <c r="D221" s="2" t="inlineStr">
        <is>
          <t>L06</t>
        </is>
      </c>
      <c r="E221" s="2" t="inlineStr">
        <is>
          <t>Entregue</t>
        </is>
      </c>
      <c r="F221" s="2" t="inlineStr">
        <is>
          <t>Cartão de crédito</t>
        </is>
      </c>
      <c r="G221" s="19" t="n">
        <v>0</v>
      </c>
    </row>
    <row r="222">
      <c r="A222" s="2" t="inlineStr">
        <is>
          <t>PED00221</t>
        </is>
      </c>
      <c r="B222" s="3" t="n">
        <v>45332</v>
      </c>
      <c r="C222" s="2" t="inlineStr">
        <is>
          <t>C0127</t>
        </is>
      </c>
      <c r="D222" s="2" t="inlineStr">
        <is>
          <t>L05</t>
        </is>
      </c>
      <c r="E222" s="2" t="inlineStr">
        <is>
          <t>Entregue</t>
        </is>
      </c>
      <c r="F222" s="2" t="inlineStr">
        <is>
          <t>Cartão de crédito</t>
        </is>
      </c>
      <c r="G222" s="19" t="n">
        <v>0</v>
      </c>
    </row>
    <row r="223">
      <c r="A223" s="2" t="inlineStr">
        <is>
          <t>PED00222</t>
        </is>
      </c>
      <c r="B223" s="3" t="n">
        <v>45932</v>
      </c>
      <c r="C223" s="2" t="inlineStr">
        <is>
          <t>C0132</t>
        </is>
      </c>
      <c r="D223" s="2" t="inlineStr">
        <is>
          <t>L07</t>
        </is>
      </c>
      <c r="E223" s="2" t="inlineStr">
        <is>
          <t>Em processamento</t>
        </is>
      </c>
      <c r="F223" s="2" t="inlineStr">
        <is>
          <t>Cartão de débito</t>
        </is>
      </c>
      <c r="G223" s="19" t="n">
        <v>0</v>
      </c>
    </row>
    <row r="224">
      <c r="A224" s="2" t="inlineStr">
        <is>
          <t>PED00223</t>
        </is>
      </c>
      <c r="B224" s="3" t="n">
        <v>45932</v>
      </c>
      <c r="C224" s="2" t="inlineStr">
        <is>
          <t>C0117</t>
        </is>
      </c>
      <c r="D224" s="2" t="inlineStr">
        <is>
          <t>L07</t>
        </is>
      </c>
      <c r="E224" s="2" t="inlineStr">
        <is>
          <t>Entregue</t>
        </is>
      </c>
      <c r="F224" s="2" t="inlineStr">
        <is>
          <t>Pix</t>
        </is>
      </c>
      <c r="G224" s="19" t="n">
        <v>0.15</v>
      </c>
    </row>
    <row r="225">
      <c r="A225" s="2" t="inlineStr">
        <is>
          <t>PED00224</t>
        </is>
      </c>
      <c r="B225" s="3" t="n">
        <v>45430</v>
      </c>
      <c r="C225" s="2" t="inlineStr">
        <is>
          <t>C0221</t>
        </is>
      </c>
      <c r="D225" s="2" t="inlineStr">
        <is>
          <t>L03</t>
        </is>
      </c>
      <c r="E225" s="2" t="inlineStr">
        <is>
          <t>Entregue</t>
        </is>
      </c>
      <c r="F225" s="2" t="inlineStr">
        <is>
          <t>Cartão de crédito</t>
        </is>
      </c>
      <c r="G225" s="19" t="n">
        <v>0</v>
      </c>
    </row>
    <row r="226">
      <c r="A226" s="2" t="inlineStr">
        <is>
          <t>PED00225</t>
        </is>
      </c>
      <c r="B226" s="3" t="n">
        <v>45617</v>
      </c>
      <c r="C226" s="2" t="inlineStr">
        <is>
          <t>C0075</t>
        </is>
      </c>
      <c r="D226" s="2" t="inlineStr">
        <is>
          <t>L01</t>
        </is>
      </c>
      <c r="E226" s="2" t="inlineStr">
        <is>
          <t>Entregue</t>
        </is>
      </c>
      <c r="F226" s="2" t="inlineStr">
        <is>
          <t>Boleto</t>
        </is>
      </c>
      <c r="G226" s="19" t="n">
        <v>0</v>
      </c>
    </row>
    <row r="227">
      <c r="A227" s="2" t="inlineStr">
        <is>
          <t>PED00226</t>
        </is>
      </c>
      <c r="B227" s="3" t="n">
        <v>45918</v>
      </c>
      <c r="C227" s="2" t="inlineStr">
        <is>
          <t>C0316</t>
        </is>
      </c>
      <c r="D227" s="2" t="inlineStr">
        <is>
          <t>L05</t>
        </is>
      </c>
      <c r="E227" s="2" t="inlineStr">
        <is>
          <t>Entregue</t>
        </is>
      </c>
      <c r="F227" s="2" t="inlineStr">
        <is>
          <t>Cartão de crédito</t>
        </is>
      </c>
      <c r="G227" s="19" t="n">
        <v>0.05</v>
      </c>
    </row>
    <row r="228">
      <c r="A228" s="2" t="inlineStr">
        <is>
          <t>PED00227</t>
        </is>
      </c>
      <c r="B228" s="3" t="n">
        <v>45772</v>
      </c>
      <c r="C228" s="2" t="inlineStr">
        <is>
          <t>C0333</t>
        </is>
      </c>
      <c r="D228" s="2" t="inlineStr">
        <is>
          <t>L06</t>
        </is>
      </c>
      <c r="E228" s="2" t="inlineStr">
        <is>
          <t>Entregue</t>
        </is>
      </c>
      <c r="F228" s="2" t="inlineStr">
        <is>
          <t>Cartão de crédito</t>
        </is>
      </c>
      <c r="G228" s="19" t="n">
        <v>0.03</v>
      </c>
    </row>
    <row r="229">
      <c r="A229" s="2" t="inlineStr">
        <is>
          <t>PED00228</t>
        </is>
      </c>
      <c r="B229" s="3" t="n">
        <v>45307</v>
      </c>
      <c r="C229" s="2" t="inlineStr">
        <is>
          <t>C0139</t>
        </is>
      </c>
      <c r="D229" s="2" t="inlineStr">
        <is>
          <t>L07</t>
        </is>
      </c>
      <c r="E229" s="2" t="inlineStr">
        <is>
          <t>Entregue</t>
        </is>
      </c>
      <c r="F229" s="2" t="inlineStr">
        <is>
          <t>Cartão de débito</t>
        </is>
      </c>
      <c r="G229" s="19" t="n">
        <v>0</v>
      </c>
    </row>
    <row r="230">
      <c r="A230" s="2" t="inlineStr">
        <is>
          <t>PED00229</t>
        </is>
      </c>
      <c r="B230" s="3" t="n">
        <v>45923</v>
      </c>
      <c r="C230" s="2" t="inlineStr">
        <is>
          <t>C0251</t>
        </is>
      </c>
      <c r="D230" s="2" t="inlineStr">
        <is>
          <t>L06</t>
        </is>
      </c>
      <c r="E230" s="2" t="inlineStr">
        <is>
          <t>Cancelado</t>
        </is>
      </c>
      <c r="F230" s="2" t="inlineStr">
        <is>
          <t>Boleto</t>
        </is>
      </c>
      <c r="G230" s="19" t="n">
        <v>0.03</v>
      </c>
    </row>
    <row r="231">
      <c r="A231" s="2" t="inlineStr">
        <is>
          <t>PED00230</t>
        </is>
      </c>
      <c r="B231" s="3" t="n">
        <v>45825</v>
      </c>
      <c r="C231" s="2" t="inlineStr">
        <is>
          <t>C0056</t>
        </is>
      </c>
      <c r="D231" s="2" t="inlineStr">
        <is>
          <t>L08</t>
        </is>
      </c>
      <c r="E231" s="2" t="inlineStr">
        <is>
          <t>Entregue</t>
        </is>
      </c>
      <c r="F231" s="2" t="inlineStr">
        <is>
          <t>Boleto</t>
        </is>
      </c>
      <c r="G231" s="19" t="n">
        <v>0.1</v>
      </c>
    </row>
    <row r="232">
      <c r="A232" s="2" t="inlineStr">
        <is>
          <t>PED00231</t>
        </is>
      </c>
      <c r="B232" s="3" t="n">
        <v>45342</v>
      </c>
      <c r="C232" s="2" t="inlineStr">
        <is>
          <t>C0098</t>
        </is>
      </c>
      <c r="D232" s="2" t="inlineStr">
        <is>
          <t>L05</t>
        </is>
      </c>
      <c r="E232" s="2" t="inlineStr">
        <is>
          <t>Entregue</t>
        </is>
      </c>
      <c r="F232" s="2" t="inlineStr">
        <is>
          <t>Boleto</t>
        </is>
      </c>
      <c r="G232" s="19" t="n">
        <v>0.1</v>
      </c>
    </row>
    <row r="233">
      <c r="A233" s="2" t="inlineStr">
        <is>
          <t>PED00232</t>
        </is>
      </c>
      <c r="B233" s="3" t="n">
        <v>45766</v>
      </c>
      <c r="C233" s="2" t="inlineStr">
        <is>
          <t>C0331</t>
        </is>
      </c>
      <c r="D233" s="2" t="inlineStr">
        <is>
          <t>L08</t>
        </is>
      </c>
      <c r="E233" s="2" t="inlineStr">
        <is>
          <t>Entregue</t>
        </is>
      </c>
      <c r="F233" s="2" t="inlineStr">
        <is>
          <t>Cartão de crédito</t>
        </is>
      </c>
      <c r="G233" s="19" t="n">
        <v>0</v>
      </c>
    </row>
    <row r="234">
      <c r="A234" s="2" t="inlineStr">
        <is>
          <t>PED00233</t>
        </is>
      </c>
      <c r="B234" s="3" t="n">
        <v>45757</v>
      </c>
      <c r="C234" s="2" t="inlineStr">
        <is>
          <t>C0047</t>
        </is>
      </c>
      <c r="D234" s="2" t="inlineStr">
        <is>
          <t>L05</t>
        </is>
      </c>
      <c r="E234" s="2" t="inlineStr">
        <is>
          <t>Entregue</t>
        </is>
      </c>
      <c r="F234" s="2" t="inlineStr">
        <is>
          <t>Cartão de crédito</t>
        </is>
      </c>
      <c r="G234" s="19" t="n">
        <v>0.05</v>
      </c>
    </row>
    <row r="235">
      <c r="A235" s="2" t="inlineStr">
        <is>
          <t>PED00234</t>
        </is>
      </c>
      <c r="B235" s="3" t="n">
        <v>45941</v>
      </c>
      <c r="C235" s="2" t="inlineStr">
        <is>
          <t>C0186</t>
        </is>
      </c>
      <c r="D235" s="2" t="inlineStr">
        <is>
          <t>L02</t>
        </is>
      </c>
      <c r="E235" s="2" t="inlineStr">
        <is>
          <t>Entregue</t>
        </is>
      </c>
      <c r="F235" s="2" t="inlineStr">
        <is>
          <t>Cartão de crédito</t>
        </is>
      </c>
      <c r="G235" s="19" t="n">
        <v>0.1</v>
      </c>
    </row>
    <row r="236">
      <c r="A236" s="2" t="inlineStr">
        <is>
          <t>PED00235</t>
        </is>
      </c>
      <c r="B236" s="3" t="n">
        <v>45967</v>
      </c>
      <c r="C236" s="2" t="inlineStr">
        <is>
          <t>C0077</t>
        </is>
      </c>
      <c r="D236" s="2" t="inlineStr">
        <is>
          <t>L03</t>
        </is>
      </c>
      <c r="E236" s="2" t="inlineStr">
        <is>
          <t>Cancelado</t>
        </is>
      </c>
      <c r="F236" s="2" t="inlineStr">
        <is>
          <t>Pix</t>
        </is>
      </c>
      <c r="G236" s="19" t="n">
        <v>0.05</v>
      </c>
    </row>
    <row r="237">
      <c r="A237" s="2" t="inlineStr">
        <is>
          <t>PED00236</t>
        </is>
      </c>
      <c r="B237" s="3" t="n">
        <v>45295</v>
      </c>
      <c r="C237" s="2" t="inlineStr">
        <is>
          <t>C0319</t>
        </is>
      </c>
      <c r="D237" s="2" t="inlineStr">
        <is>
          <t>L05</t>
        </is>
      </c>
      <c r="E237" s="2" t="inlineStr">
        <is>
          <t>Entregue</t>
        </is>
      </c>
      <c r="F237" s="2" t="inlineStr">
        <is>
          <t>Cartão de crédito</t>
        </is>
      </c>
      <c r="G237" s="19" t="n">
        <v>0.03</v>
      </c>
    </row>
    <row r="238">
      <c r="A238" s="2" t="inlineStr">
        <is>
          <t>PED00237</t>
        </is>
      </c>
      <c r="B238" s="3" t="n">
        <v>45504</v>
      </c>
      <c r="C238" s="2" t="inlineStr">
        <is>
          <t>C0026</t>
        </is>
      </c>
      <c r="D238" s="2" t="inlineStr">
        <is>
          <t>L03</t>
        </is>
      </c>
      <c r="E238" s="2" t="inlineStr">
        <is>
          <t>Entregue</t>
        </is>
      </c>
      <c r="F238" s="2" t="inlineStr">
        <is>
          <t>Cartão de crédito</t>
        </is>
      </c>
      <c r="G238" s="19" t="n">
        <v>0</v>
      </c>
    </row>
    <row r="239">
      <c r="A239" s="2" t="inlineStr">
        <is>
          <t>PED00238</t>
        </is>
      </c>
      <c r="B239" s="3" t="n">
        <v>45758</v>
      </c>
      <c r="C239" s="2" t="inlineStr">
        <is>
          <t>C0297</t>
        </is>
      </c>
      <c r="D239" s="2" t="inlineStr">
        <is>
          <t>L06</t>
        </is>
      </c>
      <c r="E239" s="2" t="inlineStr">
        <is>
          <t>Em processamento</t>
        </is>
      </c>
      <c r="F239" s="2" t="inlineStr">
        <is>
          <t>Pix</t>
        </is>
      </c>
      <c r="G239" s="19" t="n">
        <v>0</v>
      </c>
    </row>
    <row r="240">
      <c r="A240" s="2" t="inlineStr">
        <is>
          <t>PED00239</t>
        </is>
      </c>
      <c r="B240" s="3" t="n">
        <v>45416</v>
      </c>
      <c r="C240" s="2" t="inlineStr">
        <is>
          <t>C0141</t>
        </is>
      </c>
      <c r="D240" s="2" t="inlineStr">
        <is>
          <t>L06</t>
        </is>
      </c>
      <c r="E240" s="2" t="inlineStr">
        <is>
          <t>Entregue</t>
        </is>
      </c>
      <c r="F240" s="2" t="inlineStr">
        <is>
          <t>Cartão de crédito</t>
        </is>
      </c>
      <c r="G240" s="19" t="n">
        <v>0.05</v>
      </c>
    </row>
    <row r="241">
      <c r="A241" s="2" t="inlineStr">
        <is>
          <t>PED00240</t>
        </is>
      </c>
      <c r="B241" s="3" t="n">
        <v>45616</v>
      </c>
      <c r="C241" s="2" t="inlineStr">
        <is>
          <t>C0133</t>
        </is>
      </c>
      <c r="D241" s="2" t="inlineStr">
        <is>
          <t>L06</t>
        </is>
      </c>
      <c r="E241" s="2" t="inlineStr">
        <is>
          <t>Em processamento</t>
        </is>
      </c>
      <c r="F241" s="2" t="inlineStr">
        <is>
          <t>Cartão de crédito</t>
        </is>
      </c>
      <c r="G241" s="19" t="n">
        <v>0.03</v>
      </c>
    </row>
    <row r="242">
      <c r="A242" s="2" t="inlineStr">
        <is>
          <t>PED00241</t>
        </is>
      </c>
      <c r="B242" s="3" t="n">
        <v>45504</v>
      </c>
      <c r="C242" s="2" t="inlineStr">
        <is>
          <t>C0316</t>
        </is>
      </c>
      <c r="D242" s="2" t="inlineStr">
        <is>
          <t>L07</t>
        </is>
      </c>
      <c r="E242" s="2" t="inlineStr">
        <is>
          <t>Entregue</t>
        </is>
      </c>
      <c r="F242" s="2" t="inlineStr">
        <is>
          <t>Cartão de crédito</t>
        </is>
      </c>
      <c r="G242" s="19" t="n">
        <v>0.03</v>
      </c>
    </row>
    <row r="243">
      <c r="A243" s="2" t="inlineStr">
        <is>
          <t>PED00242</t>
        </is>
      </c>
      <c r="B243" s="3" t="n">
        <v>45633</v>
      </c>
      <c r="C243" s="2" t="inlineStr">
        <is>
          <t>C0175</t>
        </is>
      </c>
      <c r="D243" s="2" t="inlineStr">
        <is>
          <t>L07</t>
        </is>
      </c>
      <c r="E243" s="2" t="inlineStr">
        <is>
          <t>Entregue</t>
        </is>
      </c>
      <c r="F243" s="2" t="inlineStr">
        <is>
          <t>Cartão de crédito</t>
        </is>
      </c>
      <c r="G243" s="19" t="n">
        <v>0</v>
      </c>
    </row>
    <row r="244">
      <c r="A244" s="2" t="inlineStr">
        <is>
          <t>PED00243</t>
        </is>
      </c>
      <c r="B244" s="3" t="n">
        <v>45782</v>
      </c>
      <c r="C244" s="2" t="inlineStr">
        <is>
          <t>C0243</t>
        </is>
      </c>
      <c r="D244" s="2" t="inlineStr">
        <is>
          <t>L01</t>
        </is>
      </c>
      <c r="E244" s="2" t="inlineStr">
        <is>
          <t>Entregue</t>
        </is>
      </c>
      <c r="F244" s="2" t="inlineStr">
        <is>
          <t>Cartão de crédito</t>
        </is>
      </c>
      <c r="G244" s="19" t="n">
        <v>0.05</v>
      </c>
    </row>
    <row r="245">
      <c r="A245" s="2" t="inlineStr">
        <is>
          <t>PED00244</t>
        </is>
      </c>
      <c r="B245" s="3" t="n">
        <v>45631</v>
      </c>
      <c r="C245" s="2" t="inlineStr">
        <is>
          <t>C0182</t>
        </is>
      </c>
      <c r="D245" s="2" t="inlineStr">
        <is>
          <t>L02</t>
        </is>
      </c>
      <c r="E245" s="2" t="inlineStr">
        <is>
          <t>Devolvido</t>
        </is>
      </c>
      <c r="F245" s="2" t="inlineStr">
        <is>
          <t>Pix</t>
        </is>
      </c>
      <c r="G245" s="19" t="n">
        <v>0</v>
      </c>
    </row>
    <row r="246">
      <c r="A246" s="2" t="inlineStr">
        <is>
          <t>PED00245</t>
        </is>
      </c>
      <c r="B246" s="3" t="n">
        <v>45513</v>
      </c>
      <c r="C246" s="2" t="inlineStr">
        <is>
          <t>C0269</t>
        </is>
      </c>
      <c r="D246" s="2" t="inlineStr">
        <is>
          <t>L05</t>
        </is>
      </c>
      <c r="E246" s="2" t="inlineStr">
        <is>
          <t>Entregue</t>
        </is>
      </c>
      <c r="F246" s="2" t="inlineStr">
        <is>
          <t>Cartão de crédito</t>
        </is>
      </c>
      <c r="G246" s="19" t="n">
        <v>0</v>
      </c>
    </row>
    <row r="247">
      <c r="A247" s="2" t="inlineStr">
        <is>
          <t>PED00246</t>
        </is>
      </c>
      <c r="B247" s="3" t="n">
        <v>45786</v>
      </c>
      <c r="C247" s="2" t="inlineStr">
        <is>
          <t>C0257</t>
        </is>
      </c>
      <c r="D247" s="2" t="inlineStr">
        <is>
          <t>L03</t>
        </is>
      </c>
      <c r="E247" s="2" t="inlineStr">
        <is>
          <t>Entregue</t>
        </is>
      </c>
      <c r="F247" s="2" t="inlineStr">
        <is>
          <t>Boleto</t>
        </is>
      </c>
      <c r="G247" s="19" t="n">
        <v>0.05</v>
      </c>
    </row>
    <row r="248">
      <c r="A248" s="2" t="inlineStr">
        <is>
          <t>PED00247</t>
        </is>
      </c>
      <c r="B248" s="3" t="n">
        <v>45427</v>
      </c>
      <c r="C248" s="2" t="inlineStr">
        <is>
          <t>C0106</t>
        </is>
      </c>
      <c r="D248" s="2" t="inlineStr">
        <is>
          <t>L01</t>
        </is>
      </c>
      <c r="E248" s="2" t="inlineStr">
        <is>
          <t>Entregue</t>
        </is>
      </c>
      <c r="F248" s="2" t="inlineStr">
        <is>
          <t>Cartão de débito</t>
        </is>
      </c>
      <c r="G248" s="19" t="n">
        <v>0.03</v>
      </c>
    </row>
    <row r="249">
      <c r="A249" s="2" t="inlineStr">
        <is>
          <t>PED00248</t>
        </is>
      </c>
      <c r="B249" s="3" t="n">
        <v>45381</v>
      </c>
      <c r="C249" s="2" t="inlineStr">
        <is>
          <t>C0171</t>
        </is>
      </c>
      <c r="D249" s="2" t="inlineStr">
        <is>
          <t>L08</t>
        </is>
      </c>
      <c r="E249" s="2" t="inlineStr">
        <is>
          <t>Cancelado</t>
        </is>
      </c>
      <c r="F249" s="2" t="inlineStr">
        <is>
          <t>Pix</t>
        </is>
      </c>
      <c r="G249" s="19" t="n">
        <v>0.05</v>
      </c>
    </row>
    <row r="250">
      <c r="A250" s="2" t="inlineStr">
        <is>
          <t>PED00249</t>
        </is>
      </c>
      <c r="B250" s="3" t="n">
        <v>45444</v>
      </c>
      <c r="C250" s="2" t="inlineStr">
        <is>
          <t>C0081</t>
        </is>
      </c>
      <c r="D250" s="2" t="inlineStr">
        <is>
          <t>L05</t>
        </is>
      </c>
      <c r="E250" s="2" t="inlineStr">
        <is>
          <t>Entregue</t>
        </is>
      </c>
      <c r="F250" s="2" t="inlineStr">
        <is>
          <t>Transferência</t>
        </is>
      </c>
      <c r="G250" s="19" t="n">
        <v>0.03</v>
      </c>
    </row>
    <row r="251">
      <c r="A251" s="2" t="inlineStr">
        <is>
          <t>PED00250</t>
        </is>
      </c>
      <c r="B251" s="3" t="n">
        <v>45436</v>
      </c>
      <c r="C251" s="2" t="inlineStr">
        <is>
          <t>C0146</t>
        </is>
      </c>
      <c r="D251" s="2" t="inlineStr">
        <is>
          <t>L04</t>
        </is>
      </c>
      <c r="E251" s="2" t="inlineStr">
        <is>
          <t>Entregue</t>
        </is>
      </c>
      <c r="F251" s="2" t="inlineStr">
        <is>
          <t>Pix</t>
        </is>
      </c>
      <c r="G251" s="19" t="n">
        <v>0.1</v>
      </c>
    </row>
    <row r="252">
      <c r="A252" s="2" t="inlineStr">
        <is>
          <t>PED00251</t>
        </is>
      </c>
      <c r="B252" s="3" t="n">
        <v>45902</v>
      </c>
      <c r="C252" s="2" t="inlineStr">
        <is>
          <t>C0304</t>
        </is>
      </c>
      <c r="D252" s="2" t="inlineStr">
        <is>
          <t>L08</t>
        </is>
      </c>
      <c r="E252" s="2" t="inlineStr">
        <is>
          <t>Entregue</t>
        </is>
      </c>
      <c r="F252" s="2" t="inlineStr">
        <is>
          <t>Pix</t>
        </is>
      </c>
      <c r="G252" s="19" t="n">
        <v>0.1</v>
      </c>
    </row>
    <row r="253">
      <c r="A253" s="2" t="inlineStr">
        <is>
          <t>PED00252</t>
        </is>
      </c>
      <c r="B253" s="3" t="n">
        <v>45951</v>
      </c>
      <c r="C253" s="2" t="inlineStr">
        <is>
          <t>C0239</t>
        </is>
      </c>
      <c r="D253" s="2" t="inlineStr">
        <is>
          <t>L08</t>
        </is>
      </c>
      <c r="E253" s="2" t="inlineStr">
        <is>
          <t>Entregue</t>
        </is>
      </c>
      <c r="F253" s="2" t="inlineStr">
        <is>
          <t>Pix</t>
        </is>
      </c>
      <c r="G253" s="19" t="n">
        <v>0.1</v>
      </c>
    </row>
    <row r="254">
      <c r="A254" s="2" t="inlineStr">
        <is>
          <t>PED00253</t>
        </is>
      </c>
      <c r="B254" s="3" t="n">
        <v>45778</v>
      </c>
      <c r="C254" s="2" t="inlineStr">
        <is>
          <t>C0058</t>
        </is>
      </c>
      <c r="D254" s="2" t="inlineStr">
        <is>
          <t>L06</t>
        </is>
      </c>
      <c r="E254" s="2" t="inlineStr">
        <is>
          <t>Entregue</t>
        </is>
      </c>
      <c r="F254" s="2" t="inlineStr">
        <is>
          <t>Cartão de débito</t>
        </is>
      </c>
      <c r="G254" s="19" t="n">
        <v>0</v>
      </c>
    </row>
    <row r="255">
      <c r="A255" s="2" t="inlineStr">
        <is>
          <t>PED00254</t>
        </is>
      </c>
      <c r="B255" s="3" t="n">
        <v>45957</v>
      </c>
      <c r="C255" s="2" t="inlineStr">
        <is>
          <t>C0037</t>
        </is>
      </c>
      <c r="D255" s="2" t="inlineStr">
        <is>
          <t>L05</t>
        </is>
      </c>
      <c r="E255" s="2" t="inlineStr">
        <is>
          <t>Entregue</t>
        </is>
      </c>
      <c r="F255" s="2" t="inlineStr">
        <is>
          <t>Cartão de crédito</t>
        </is>
      </c>
      <c r="G255" s="19" t="n">
        <v>0</v>
      </c>
    </row>
    <row r="256">
      <c r="A256" s="2" t="inlineStr">
        <is>
          <t>PED00255</t>
        </is>
      </c>
      <c r="B256" s="3" t="n">
        <v>45642</v>
      </c>
      <c r="C256" s="2" t="inlineStr">
        <is>
          <t>C0279</t>
        </is>
      </c>
      <c r="D256" s="2" t="inlineStr">
        <is>
          <t>L04</t>
        </is>
      </c>
      <c r="E256" s="2" t="inlineStr">
        <is>
          <t>Entregue</t>
        </is>
      </c>
      <c r="F256" s="2" t="inlineStr">
        <is>
          <t>Cartão de crédito</t>
        </is>
      </c>
      <c r="G256" s="19" t="n">
        <v>0.05</v>
      </c>
    </row>
    <row r="257">
      <c r="A257" s="2" t="inlineStr">
        <is>
          <t>PED00256</t>
        </is>
      </c>
      <c r="B257" s="3" t="n">
        <v>45993</v>
      </c>
      <c r="C257" s="2" t="inlineStr">
        <is>
          <t>C0306</t>
        </is>
      </c>
      <c r="D257" s="2" t="inlineStr">
        <is>
          <t>L07</t>
        </is>
      </c>
      <c r="E257" s="2" t="inlineStr">
        <is>
          <t>Entregue</t>
        </is>
      </c>
      <c r="F257" s="2" t="inlineStr">
        <is>
          <t>Cartão de crédito</t>
        </is>
      </c>
      <c r="G257" s="19" t="n">
        <v>0</v>
      </c>
    </row>
    <row r="258">
      <c r="A258" s="2" t="inlineStr">
        <is>
          <t>PED00257</t>
        </is>
      </c>
      <c r="B258" s="3" t="n">
        <v>45943</v>
      </c>
      <c r="C258" s="2" t="inlineStr">
        <is>
          <t>C0001</t>
        </is>
      </c>
      <c r="D258" s="2" t="inlineStr">
        <is>
          <t>L03</t>
        </is>
      </c>
      <c r="E258" s="2" t="inlineStr">
        <is>
          <t>Entregue</t>
        </is>
      </c>
      <c r="F258" s="2" t="inlineStr">
        <is>
          <t>Cartão de crédito</t>
        </is>
      </c>
      <c r="G258" s="19" t="n">
        <v>0</v>
      </c>
    </row>
    <row r="259">
      <c r="A259" s="2" t="inlineStr">
        <is>
          <t>PED00258</t>
        </is>
      </c>
      <c r="B259" s="3" t="n">
        <v>45737</v>
      </c>
      <c r="C259" s="2" t="inlineStr">
        <is>
          <t>C0177</t>
        </is>
      </c>
      <c r="D259" s="2" t="inlineStr">
        <is>
          <t>L02</t>
        </is>
      </c>
      <c r="E259" s="2" t="inlineStr">
        <is>
          <t>Entregue</t>
        </is>
      </c>
      <c r="F259" s="2" t="inlineStr">
        <is>
          <t>Cartão de crédito</t>
        </is>
      </c>
      <c r="G259" s="19" t="n">
        <v>0.03</v>
      </c>
    </row>
    <row r="260">
      <c r="A260" s="2" t="inlineStr">
        <is>
          <t>PED00259</t>
        </is>
      </c>
      <c r="B260" s="3" t="n">
        <v>45932</v>
      </c>
      <c r="C260" s="2" t="inlineStr">
        <is>
          <t>C0163</t>
        </is>
      </c>
      <c r="D260" s="2" t="inlineStr">
        <is>
          <t>L07</t>
        </is>
      </c>
      <c r="E260" s="2" t="inlineStr">
        <is>
          <t>Entregue</t>
        </is>
      </c>
      <c r="F260" s="2" t="inlineStr">
        <is>
          <t>Cartão de crédito</t>
        </is>
      </c>
      <c r="G260" s="19" t="n">
        <v>0</v>
      </c>
    </row>
    <row r="261">
      <c r="A261" s="2" t="inlineStr">
        <is>
          <t>PED00260</t>
        </is>
      </c>
      <c r="B261" s="3" t="n">
        <v>45660</v>
      </c>
      <c r="C261" s="2" t="inlineStr">
        <is>
          <t>C0214</t>
        </is>
      </c>
      <c r="D261" s="2" t="inlineStr">
        <is>
          <t>L03</t>
        </is>
      </c>
      <c r="E261" s="2" t="inlineStr">
        <is>
          <t>Entregue</t>
        </is>
      </c>
      <c r="F261" s="2" t="inlineStr">
        <is>
          <t>Boleto</t>
        </is>
      </c>
      <c r="G261" s="19" t="n">
        <v>0</v>
      </c>
    </row>
    <row r="262">
      <c r="A262" s="2" t="inlineStr">
        <is>
          <t>PED00261</t>
        </is>
      </c>
      <c r="B262" s="3" t="n">
        <v>45965</v>
      </c>
      <c r="C262" s="2" t="inlineStr">
        <is>
          <t>C0224</t>
        </is>
      </c>
      <c r="D262" s="2" t="inlineStr">
        <is>
          <t>L03</t>
        </is>
      </c>
      <c r="E262" s="2" t="inlineStr">
        <is>
          <t>Entregue</t>
        </is>
      </c>
      <c r="F262" s="2" t="inlineStr">
        <is>
          <t>Cartão de crédito</t>
        </is>
      </c>
      <c r="G262" s="19" t="n">
        <v>0</v>
      </c>
    </row>
    <row r="263">
      <c r="A263" s="2" t="inlineStr">
        <is>
          <t>PED00262</t>
        </is>
      </c>
      <c r="B263" s="3" t="n">
        <v>45523</v>
      </c>
      <c r="C263" s="2" t="inlineStr">
        <is>
          <t>C0096</t>
        </is>
      </c>
      <c r="D263" s="2" t="inlineStr">
        <is>
          <t>L07</t>
        </is>
      </c>
      <c r="E263" s="2" t="inlineStr">
        <is>
          <t>Entregue</t>
        </is>
      </c>
      <c r="F263" s="2" t="inlineStr">
        <is>
          <t>Cartão de crédito</t>
        </is>
      </c>
      <c r="G263" s="19" t="n">
        <v>0.1</v>
      </c>
    </row>
    <row r="264">
      <c r="A264" s="2" t="inlineStr">
        <is>
          <t>PED00263</t>
        </is>
      </c>
      <c r="B264" s="3" t="n">
        <v>45873</v>
      </c>
      <c r="C264" s="2" t="inlineStr">
        <is>
          <t>C0248</t>
        </is>
      </c>
      <c r="D264" s="2" t="inlineStr">
        <is>
          <t>L06</t>
        </is>
      </c>
      <c r="E264" s="2" t="inlineStr">
        <is>
          <t>Entregue</t>
        </is>
      </c>
      <c r="F264" s="2" t="inlineStr">
        <is>
          <t>Cartão de crédito</t>
        </is>
      </c>
      <c r="G264" s="19" t="n">
        <v>0.05</v>
      </c>
    </row>
    <row r="265">
      <c r="A265" s="2" t="inlineStr">
        <is>
          <t>PED00264</t>
        </is>
      </c>
      <c r="B265" s="3" t="n">
        <v>45578</v>
      </c>
      <c r="C265" s="2" t="inlineStr">
        <is>
          <t>C0239</t>
        </is>
      </c>
      <c r="D265" s="2" t="inlineStr">
        <is>
          <t>L02</t>
        </is>
      </c>
      <c r="E265" s="2" t="inlineStr">
        <is>
          <t>Entregue</t>
        </is>
      </c>
      <c r="F265" s="2" t="inlineStr">
        <is>
          <t>Cartão de crédito</t>
        </is>
      </c>
      <c r="G265" s="19" t="n">
        <v>0</v>
      </c>
    </row>
    <row r="266">
      <c r="A266" s="2" t="inlineStr">
        <is>
          <t>PED00265</t>
        </is>
      </c>
      <c r="B266" s="3" t="n">
        <v>45879</v>
      </c>
      <c r="C266" s="2" t="inlineStr">
        <is>
          <t>C0170</t>
        </is>
      </c>
      <c r="D266" s="2" t="inlineStr">
        <is>
          <t>L07</t>
        </is>
      </c>
      <c r="E266" s="2" t="inlineStr">
        <is>
          <t>Entregue</t>
        </is>
      </c>
      <c r="F266" s="2" t="inlineStr">
        <is>
          <t>Transferência</t>
        </is>
      </c>
      <c r="G266" s="19" t="n">
        <v>0</v>
      </c>
    </row>
    <row r="267">
      <c r="A267" s="2" t="inlineStr">
        <is>
          <t>PED00266</t>
        </is>
      </c>
      <c r="B267" s="3" t="n">
        <v>45354</v>
      </c>
      <c r="C267" s="2" t="inlineStr">
        <is>
          <t>C0323</t>
        </is>
      </c>
      <c r="D267" s="2" t="inlineStr">
        <is>
          <t>L08</t>
        </is>
      </c>
      <c r="E267" s="2" t="inlineStr">
        <is>
          <t>Entregue</t>
        </is>
      </c>
      <c r="F267" s="2" t="inlineStr">
        <is>
          <t>Cartão de crédito</t>
        </is>
      </c>
      <c r="G267" s="19" t="n">
        <v>0.05</v>
      </c>
    </row>
    <row r="268">
      <c r="A268" s="2" t="inlineStr">
        <is>
          <t>PED00267</t>
        </is>
      </c>
      <c r="B268" s="3" t="n">
        <v>45550</v>
      </c>
      <c r="C268" s="2" t="inlineStr">
        <is>
          <t>C0068</t>
        </is>
      </c>
      <c r="D268" s="2" t="inlineStr">
        <is>
          <t>L05</t>
        </is>
      </c>
      <c r="E268" s="2" t="inlineStr">
        <is>
          <t>Entregue</t>
        </is>
      </c>
      <c r="F268" s="2" t="inlineStr">
        <is>
          <t>Pix</t>
        </is>
      </c>
      <c r="G268" s="19" t="n">
        <v>0.05</v>
      </c>
    </row>
    <row r="269">
      <c r="A269" s="2" t="inlineStr">
        <is>
          <t>PED00268</t>
        </is>
      </c>
      <c r="B269" s="3" t="n">
        <v>45643</v>
      </c>
      <c r="C269" s="2" t="inlineStr">
        <is>
          <t>C0044</t>
        </is>
      </c>
      <c r="D269" s="2" t="inlineStr">
        <is>
          <t>L03</t>
        </is>
      </c>
      <c r="E269" s="2" t="inlineStr">
        <is>
          <t>Entregue</t>
        </is>
      </c>
      <c r="F269" s="2" t="inlineStr">
        <is>
          <t>Cartão de débito</t>
        </is>
      </c>
      <c r="G269" s="19" t="n">
        <v>0.1</v>
      </c>
    </row>
    <row r="270">
      <c r="A270" s="2" t="inlineStr">
        <is>
          <t>PED00269</t>
        </is>
      </c>
      <c r="B270" s="3" t="n">
        <v>45562</v>
      </c>
      <c r="C270" s="2" t="inlineStr">
        <is>
          <t>C0060</t>
        </is>
      </c>
      <c r="D270" s="2" t="inlineStr">
        <is>
          <t>L01</t>
        </is>
      </c>
      <c r="E270" s="2" t="inlineStr">
        <is>
          <t>Entregue</t>
        </is>
      </c>
      <c r="F270" s="2" t="inlineStr">
        <is>
          <t>Cartão de crédito</t>
        </is>
      </c>
      <c r="G270" s="19" t="n">
        <v>0</v>
      </c>
    </row>
    <row r="271">
      <c r="A271" s="2" t="inlineStr">
        <is>
          <t>PED00270</t>
        </is>
      </c>
      <c r="B271" s="3" t="n">
        <v>45751</v>
      </c>
      <c r="C271" s="2" t="inlineStr">
        <is>
          <t>C0196</t>
        </is>
      </c>
      <c r="D271" s="2" t="inlineStr">
        <is>
          <t>L06</t>
        </is>
      </c>
      <c r="E271" s="2" t="inlineStr">
        <is>
          <t>Devolvido</t>
        </is>
      </c>
      <c r="F271" s="2" t="inlineStr">
        <is>
          <t>Cartão de débito</t>
        </is>
      </c>
      <c r="G271" s="19" t="n">
        <v>0</v>
      </c>
    </row>
    <row r="272">
      <c r="A272" s="2" t="inlineStr">
        <is>
          <t>PED00271</t>
        </is>
      </c>
      <c r="B272" s="3" t="n">
        <v>45491</v>
      </c>
      <c r="C272" s="2" t="inlineStr">
        <is>
          <t>C0267</t>
        </is>
      </c>
      <c r="D272" s="2" t="inlineStr">
        <is>
          <t>L06</t>
        </is>
      </c>
      <c r="E272" s="2" t="inlineStr">
        <is>
          <t>Entregue</t>
        </is>
      </c>
      <c r="F272" s="2" t="inlineStr">
        <is>
          <t>Transferência</t>
        </is>
      </c>
      <c r="G272" s="19" t="n">
        <v>0</v>
      </c>
    </row>
    <row r="273">
      <c r="A273" s="2" t="inlineStr">
        <is>
          <t>PED00272</t>
        </is>
      </c>
      <c r="B273" s="3" t="n">
        <v>45392</v>
      </c>
      <c r="C273" s="2" t="inlineStr">
        <is>
          <t>C0269</t>
        </is>
      </c>
      <c r="D273" s="2" t="inlineStr">
        <is>
          <t>L02</t>
        </is>
      </c>
      <c r="E273" s="2" t="inlineStr">
        <is>
          <t>Entregue</t>
        </is>
      </c>
      <c r="F273" s="2" t="inlineStr">
        <is>
          <t>Cartão de crédito</t>
        </is>
      </c>
      <c r="G273" s="19" t="n">
        <v>0.05</v>
      </c>
    </row>
    <row r="274">
      <c r="A274" s="2" t="inlineStr">
        <is>
          <t>PED00273</t>
        </is>
      </c>
      <c r="B274" s="3" t="n">
        <v>45514</v>
      </c>
      <c r="C274" s="2" t="inlineStr">
        <is>
          <t>C0307</t>
        </is>
      </c>
      <c r="D274" s="2" t="inlineStr">
        <is>
          <t>L02</t>
        </is>
      </c>
      <c r="E274" s="2" t="inlineStr">
        <is>
          <t>Entregue</t>
        </is>
      </c>
      <c r="F274" s="2" t="inlineStr">
        <is>
          <t>Pix</t>
        </is>
      </c>
      <c r="G274" s="19" t="n">
        <v>0.1</v>
      </c>
    </row>
    <row r="275">
      <c r="A275" s="2" t="inlineStr">
        <is>
          <t>PED00274</t>
        </is>
      </c>
      <c r="B275" s="3" t="n">
        <v>45551</v>
      </c>
      <c r="C275" s="2" t="inlineStr">
        <is>
          <t>C0151</t>
        </is>
      </c>
      <c r="D275" s="2" t="inlineStr">
        <is>
          <t>L08</t>
        </is>
      </c>
      <c r="E275" s="2" t="inlineStr">
        <is>
          <t>Entregue</t>
        </is>
      </c>
      <c r="F275" s="2" t="inlineStr">
        <is>
          <t>Pix</t>
        </is>
      </c>
      <c r="G275" s="19" t="n">
        <v>0.03</v>
      </c>
    </row>
    <row r="276">
      <c r="A276" s="2" t="inlineStr">
        <is>
          <t>PED00275</t>
        </is>
      </c>
      <c r="B276" s="3" t="n">
        <v>45694</v>
      </c>
      <c r="C276" s="2" t="inlineStr">
        <is>
          <t>C0092</t>
        </is>
      </c>
      <c r="D276" s="2" t="inlineStr">
        <is>
          <t>L08</t>
        </is>
      </c>
      <c r="E276" s="2" t="inlineStr">
        <is>
          <t>Entregue</t>
        </is>
      </c>
      <c r="F276" s="2" t="inlineStr">
        <is>
          <t>Cartão de crédito</t>
        </is>
      </c>
      <c r="G276" s="19" t="n">
        <v>0.03</v>
      </c>
    </row>
    <row r="277">
      <c r="A277" s="2" t="inlineStr">
        <is>
          <t>PED00276</t>
        </is>
      </c>
      <c r="B277" s="3" t="n">
        <v>45444</v>
      </c>
      <c r="C277" s="2" t="inlineStr">
        <is>
          <t>C0335</t>
        </is>
      </c>
      <c r="D277" s="2" t="inlineStr">
        <is>
          <t>L01</t>
        </is>
      </c>
      <c r="E277" s="2" t="inlineStr">
        <is>
          <t>Em processamento</t>
        </is>
      </c>
      <c r="F277" s="2" t="inlineStr">
        <is>
          <t>Cartão de crédito</t>
        </is>
      </c>
      <c r="G277" s="19" t="n">
        <v>0</v>
      </c>
    </row>
    <row r="278">
      <c r="A278" s="2" t="inlineStr">
        <is>
          <t>PED00277</t>
        </is>
      </c>
      <c r="B278" s="3" t="n">
        <v>45363</v>
      </c>
      <c r="C278" s="2" t="inlineStr">
        <is>
          <t>C0277</t>
        </is>
      </c>
      <c r="D278" s="2" t="inlineStr">
        <is>
          <t>L04</t>
        </is>
      </c>
      <c r="E278" s="2" t="inlineStr">
        <is>
          <t>Entregue</t>
        </is>
      </c>
      <c r="F278" s="2" t="inlineStr">
        <is>
          <t>Transferência</t>
        </is>
      </c>
      <c r="G278" s="19" t="n">
        <v>0.1</v>
      </c>
    </row>
    <row r="279">
      <c r="A279" s="2" t="inlineStr">
        <is>
          <t>PED00278</t>
        </is>
      </c>
      <c r="B279" s="3" t="n">
        <v>45954</v>
      </c>
      <c r="C279" s="2" t="inlineStr">
        <is>
          <t>C0047</t>
        </is>
      </c>
      <c r="D279" s="2" t="inlineStr">
        <is>
          <t>L06</t>
        </is>
      </c>
      <c r="E279" s="2" t="inlineStr">
        <is>
          <t>Entregue</t>
        </is>
      </c>
      <c r="F279" s="2" t="inlineStr">
        <is>
          <t>Transferência</t>
        </is>
      </c>
      <c r="G279" s="19" t="n">
        <v>0</v>
      </c>
    </row>
    <row r="280">
      <c r="A280" s="2" t="inlineStr">
        <is>
          <t>PED00279</t>
        </is>
      </c>
      <c r="B280" s="3" t="n">
        <v>46004</v>
      </c>
      <c r="C280" s="2" t="inlineStr">
        <is>
          <t>C0200</t>
        </is>
      </c>
      <c r="D280" s="2" t="inlineStr">
        <is>
          <t>L02</t>
        </is>
      </c>
      <c r="E280" s="2" t="inlineStr">
        <is>
          <t>Entregue</t>
        </is>
      </c>
      <c r="F280" s="2" t="inlineStr">
        <is>
          <t>Cartão de crédito</t>
        </is>
      </c>
      <c r="G280" s="19" t="n">
        <v>0</v>
      </c>
    </row>
    <row r="281">
      <c r="A281" s="2" t="inlineStr">
        <is>
          <t>PED00280</t>
        </is>
      </c>
      <c r="B281" s="3" t="n">
        <v>45607</v>
      </c>
      <c r="C281" s="2" t="inlineStr">
        <is>
          <t>C0256</t>
        </is>
      </c>
      <c r="D281" s="2" t="inlineStr">
        <is>
          <t>L08</t>
        </is>
      </c>
      <c r="E281" s="2" t="inlineStr">
        <is>
          <t>Devolvido</t>
        </is>
      </c>
      <c r="F281" s="2" t="inlineStr">
        <is>
          <t>Pix</t>
        </is>
      </c>
      <c r="G281" s="19" t="n">
        <v>0</v>
      </c>
    </row>
    <row r="282">
      <c r="A282" s="2" t="inlineStr">
        <is>
          <t>PED00281</t>
        </is>
      </c>
      <c r="B282" s="3" t="n">
        <v>45986</v>
      </c>
      <c r="C282" s="2" t="inlineStr">
        <is>
          <t>C0275</t>
        </is>
      </c>
      <c r="D282" s="2" t="inlineStr">
        <is>
          <t>L03</t>
        </is>
      </c>
      <c r="E282" s="2" t="inlineStr">
        <is>
          <t>Entregue</t>
        </is>
      </c>
      <c r="F282" s="2" t="inlineStr">
        <is>
          <t>Pix</t>
        </is>
      </c>
      <c r="G282" s="19" t="n">
        <v>0</v>
      </c>
    </row>
    <row r="283">
      <c r="A283" s="2" t="inlineStr">
        <is>
          <t>PED00282</t>
        </is>
      </c>
      <c r="B283" s="3" t="n">
        <v>45606</v>
      </c>
      <c r="C283" s="2" t="inlineStr">
        <is>
          <t>C0050</t>
        </is>
      </c>
      <c r="D283" s="2" t="inlineStr">
        <is>
          <t>L08</t>
        </is>
      </c>
      <c r="E283" s="2" t="inlineStr">
        <is>
          <t>Entregue</t>
        </is>
      </c>
      <c r="F283" s="2" t="inlineStr">
        <is>
          <t>Cartão de débito</t>
        </is>
      </c>
      <c r="G283" s="19" t="n">
        <v>0</v>
      </c>
    </row>
    <row r="284">
      <c r="A284" s="2" t="inlineStr">
        <is>
          <t>PED00283</t>
        </is>
      </c>
      <c r="B284" s="3" t="n">
        <v>45432</v>
      </c>
      <c r="C284" s="2" t="inlineStr">
        <is>
          <t>C0165</t>
        </is>
      </c>
      <c r="D284" s="2" t="inlineStr">
        <is>
          <t>L04</t>
        </is>
      </c>
      <c r="E284" s="2" t="inlineStr">
        <is>
          <t>Entregue</t>
        </is>
      </c>
      <c r="F284" s="2" t="inlineStr">
        <is>
          <t>Cartão de crédito</t>
        </is>
      </c>
      <c r="G284" s="19" t="n">
        <v>0</v>
      </c>
    </row>
    <row r="285">
      <c r="A285" s="2" t="inlineStr">
        <is>
          <t>PED00284</t>
        </is>
      </c>
      <c r="B285" s="3" t="n">
        <v>45670</v>
      </c>
      <c r="C285" s="2" t="inlineStr">
        <is>
          <t>C0284</t>
        </is>
      </c>
      <c r="D285" s="2" t="inlineStr">
        <is>
          <t>L03</t>
        </is>
      </c>
      <c r="E285" s="2" t="inlineStr">
        <is>
          <t>Entregue</t>
        </is>
      </c>
      <c r="F285" s="2" t="inlineStr">
        <is>
          <t>Boleto</t>
        </is>
      </c>
      <c r="G285" s="19" t="n">
        <v>0</v>
      </c>
    </row>
    <row r="286">
      <c r="A286" s="2" t="inlineStr">
        <is>
          <t>PED00285</t>
        </is>
      </c>
      <c r="B286" s="3" t="n">
        <v>45790</v>
      </c>
      <c r="C286" s="2" t="inlineStr">
        <is>
          <t>C0042</t>
        </is>
      </c>
      <c r="D286" s="2" t="inlineStr">
        <is>
          <t>L01</t>
        </is>
      </c>
      <c r="E286" s="2" t="inlineStr">
        <is>
          <t>Entregue</t>
        </is>
      </c>
      <c r="F286" s="2" t="inlineStr">
        <is>
          <t>Boleto</t>
        </is>
      </c>
      <c r="G286" s="19" t="n">
        <v>0.05</v>
      </c>
    </row>
    <row r="287">
      <c r="A287" s="2" t="inlineStr">
        <is>
          <t>PED00286</t>
        </is>
      </c>
      <c r="B287" s="3" t="n">
        <v>45917</v>
      </c>
      <c r="C287" s="2" t="inlineStr">
        <is>
          <t>C0020</t>
        </is>
      </c>
      <c r="D287" s="2" t="inlineStr">
        <is>
          <t>L03</t>
        </is>
      </c>
      <c r="E287" s="2" t="inlineStr">
        <is>
          <t>Entregue</t>
        </is>
      </c>
      <c r="F287" s="2" t="inlineStr">
        <is>
          <t>Cartão de crédito</t>
        </is>
      </c>
      <c r="G287" s="19" t="n">
        <v>0</v>
      </c>
    </row>
    <row r="288">
      <c r="A288" s="2" t="inlineStr">
        <is>
          <t>PED00287</t>
        </is>
      </c>
      <c r="B288" s="3" t="n">
        <v>45767</v>
      </c>
      <c r="C288" s="2" t="inlineStr">
        <is>
          <t>C0321</t>
        </is>
      </c>
      <c r="D288" s="2" t="inlineStr">
        <is>
          <t>L04</t>
        </is>
      </c>
      <c r="E288" s="2" t="inlineStr">
        <is>
          <t>Entregue</t>
        </is>
      </c>
      <c r="F288" s="2" t="inlineStr">
        <is>
          <t>Pix</t>
        </is>
      </c>
      <c r="G288" s="19" t="n">
        <v>0.1</v>
      </c>
    </row>
    <row r="289">
      <c r="A289" s="2" t="inlineStr">
        <is>
          <t>PED00288</t>
        </is>
      </c>
      <c r="B289" s="3" t="n">
        <v>45923</v>
      </c>
      <c r="C289" s="2" t="inlineStr">
        <is>
          <t>C0233</t>
        </is>
      </c>
      <c r="D289" s="2" t="inlineStr">
        <is>
          <t>L01</t>
        </is>
      </c>
      <c r="E289" s="2" t="inlineStr">
        <is>
          <t>Entregue</t>
        </is>
      </c>
      <c r="F289" s="2" t="inlineStr">
        <is>
          <t>Pix</t>
        </is>
      </c>
      <c r="G289" s="19" t="n">
        <v>0.03</v>
      </c>
    </row>
    <row r="290">
      <c r="A290" s="2" t="inlineStr">
        <is>
          <t>PED00289</t>
        </is>
      </c>
      <c r="B290" s="3" t="n">
        <v>45532</v>
      </c>
      <c r="C290" s="2" t="inlineStr">
        <is>
          <t>C0228</t>
        </is>
      </c>
      <c r="D290" s="2" t="inlineStr">
        <is>
          <t>L06</t>
        </is>
      </c>
      <c r="E290" s="2" t="inlineStr">
        <is>
          <t>Entregue</t>
        </is>
      </c>
      <c r="F290" s="2" t="inlineStr">
        <is>
          <t>Cartão de débito</t>
        </is>
      </c>
      <c r="G290" s="19" t="n">
        <v>0.1</v>
      </c>
    </row>
    <row r="291">
      <c r="A291" s="2" t="inlineStr">
        <is>
          <t>PED00290</t>
        </is>
      </c>
      <c r="B291" s="3" t="n">
        <v>45517</v>
      </c>
      <c r="C291" s="2" t="inlineStr">
        <is>
          <t>C0038</t>
        </is>
      </c>
      <c r="D291" s="2" t="inlineStr">
        <is>
          <t>L08</t>
        </is>
      </c>
      <c r="E291" s="2" t="inlineStr">
        <is>
          <t>Entregue</t>
        </is>
      </c>
      <c r="F291" s="2" t="inlineStr">
        <is>
          <t>Pix</t>
        </is>
      </c>
      <c r="G291" s="19" t="n">
        <v>0.03</v>
      </c>
    </row>
    <row r="292">
      <c r="A292" s="2" t="inlineStr">
        <is>
          <t>PED00291</t>
        </is>
      </c>
      <c r="B292" s="3" t="n">
        <v>45760</v>
      </c>
      <c r="C292" s="2" t="inlineStr">
        <is>
          <t>C0100</t>
        </is>
      </c>
      <c r="D292" s="2" t="inlineStr">
        <is>
          <t>L06</t>
        </is>
      </c>
      <c r="E292" s="2" t="inlineStr">
        <is>
          <t>Devolvido</t>
        </is>
      </c>
      <c r="F292" s="2" t="inlineStr">
        <is>
          <t>Pix</t>
        </is>
      </c>
      <c r="G292" s="19" t="n">
        <v>0</v>
      </c>
    </row>
    <row r="293">
      <c r="A293" s="2" t="inlineStr">
        <is>
          <t>PED00292</t>
        </is>
      </c>
      <c r="B293" s="3" t="n">
        <v>45452</v>
      </c>
      <c r="C293" s="2" t="inlineStr">
        <is>
          <t>C0327</t>
        </is>
      </c>
      <c r="D293" s="2" t="inlineStr">
        <is>
          <t>L03</t>
        </is>
      </c>
      <c r="E293" s="2" t="inlineStr">
        <is>
          <t>Entregue</t>
        </is>
      </c>
      <c r="F293" s="2" t="inlineStr">
        <is>
          <t>Cartão de crédito</t>
        </is>
      </c>
      <c r="G293" s="19" t="n">
        <v>0</v>
      </c>
    </row>
    <row r="294">
      <c r="A294" s="2" t="inlineStr">
        <is>
          <t>PED00293</t>
        </is>
      </c>
      <c r="B294" s="3" t="n">
        <v>45306</v>
      </c>
      <c r="C294" s="2" t="inlineStr">
        <is>
          <t>C0220</t>
        </is>
      </c>
      <c r="D294" s="2" t="inlineStr">
        <is>
          <t>L04</t>
        </is>
      </c>
      <c r="E294" s="2" t="inlineStr">
        <is>
          <t>Entregue</t>
        </is>
      </c>
      <c r="F294" s="2" t="inlineStr">
        <is>
          <t>Cartão de crédito</t>
        </is>
      </c>
      <c r="G294" s="19" t="n">
        <v>0</v>
      </c>
    </row>
    <row r="295">
      <c r="A295" s="2" t="inlineStr">
        <is>
          <t>PED00294</t>
        </is>
      </c>
      <c r="B295" s="3" t="n">
        <v>45755</v>
      </c>
      <c r="C295" s="2" t="inlineStr">
        <is>
          <t>C0254</t>
        </is>
      </c>
      <c r="D295" s="2" t="inlineStr">
        <is>
          <t>L04</t>
        </is>
      </c>
      <c r="E295" s="2" t="inlineStr">
        <is>
          <t>Entregue</t>
        </is>
      </c>
      <c r="F295" s="2" t="inlineStr">
        <is>
          <t>Cartão de débito</t>
        </is>
      </c>
      <c r="G295" s="19" t="n">
        <v>0.05</v>
      </c>
    </row>
    <row r="296">
      <c r="A296" s="2" t="inlineStr">
        <is>
          <t>PED00295</t>
        </is>
      </c>
      <c r="B296" s="3" t="n">
        <v>45977</v>
      </c>
      <c r="C296" s="2" t="inlineStr">
        <is>
          <t>C0157</t>
        </is>
      </c>
      <c r="D296" s="2" t="inlineStr">
        <is>
          <t>L03</t>
        </is>
      </c>
      <c r="E296" s="2" t="inlineStr">
        <is>
          <t>Entregue</t>
        </is>
      </c>
      <c r="F296" s="2" t="inlineStr">
        <is>
          <t>Boleto</t>
        </is>
      </c>
      <c r="G296" s="19" t="n">
        <v>0.05</v>
      </c>
    </row>
    <row r="297">
      <c r="A297" s="2" t="inlineStr">
        <is>
          <t>PED00296</t>
        </is>
      </c>
      <c r="B297" s="3" t="n">
        <v>46012</v>
      </c>
      <c r="C297" s="2" t="inlineStr">
        <is>
          <t>C0208</t>
        </is>
      </c>
      <c r="D297" s="2" t="inlineStr">
        <is>
          <t>L03</t>
        </is>
      </c>
      <c r="E297" s="2" t="inlineStr">
        <is>
          <t>Entregue</t>
        </is>
      </c>
      <c r="F297" s="2" t="inlineStr">
        <is>
          <t>Cartão de crédito</t>
        </is>
      </c>
      <c r="G297" s="19" t="n">
        <v>0.03</v>
      </c>
    </row>
    <row r="298">
      <c r="A298" s="2" t="inlineStr">
        <is>
          <t>PED00297</t>
        </is>
      </c>
      <c r="B298" s="3" t="n">
        <v>45504</v>
      </c>
      <c r="C298" s="2" t="inlineStr">
        <is>
          <t>C0042</t>
        </is>
      </c>
      <c r="D298" s="2" t="inlineStr">
        <is>
          <t>L06</t>
        </is>
      </c>
      <c r="E298" s="2" t="inlineStr">
        <is>
          <t>Entregue</t>
        </is>
      </c>
      <c r="F298" s="2" t="inlineStr">
        <is>
          <t>Pix</t>
        </is>
      </c>
      <c r="G298" s="19" t="n">
        <v>0.1</v>
      </c>
    </row>
    <row r="299">
      <c r="A299" s="2" t="inlineStr">
        <is>
          <t>PED00298</t>
        </is>
      </c>
      <c r="B299" s="3" t="n">
        <v>46018</v>
      </c>
      <c r="C299" s="2" t="inlineStr">
        <is>
          <t>C0105</t>
        </is>
      </c>
      <c r="D299" s="2" t="inlineStr">
        <is>
          <t>L03</t>
        </is>
      </c>
      <c r="E299" s="2" t="inlineStr">
        <is>
          <t>Devolvido</t>
        </is>
      </c>
      <c r="F299" s="2" t="inlineStr">
        <is>
          <t>Pix</t>
        </is>
      </c>
      <c r="G299" s="19" t="n">
        <v>0</v>
      </c>
    </row>
    <row r="300">
      <c r="A300" s="2" t="inlineStr">
        <is>
          <t>PED00299</t>
        </is>
      </c>
      <c r="B300" s="3" t="n">
        <v>45347</v>
      </c>
      <c r="C300" s="2" t="inlineStr">
        <is>
          <t>C0033</t>
        </is>
      </c>
      <c r="D300" s="2" t="inlineStr">
        <is>
          <t>L06</t>
        </is>
      </c>
      <c r="E300" s="2" t="inlineStr">
        <is>
          <t>Entregue</t>
        </is>
      </c>
      <c r="F300" s="2" t="inlineStr">
        <is>
          <t>Cartão de crédito</t>
        </is>
      </c>
      <c r="G300" s="19" t="n">
        <v>0.03</v>
      </c>
    </row>
    <row r="301">
      <c r="A301" s="2" t="inlineStr">
        <is>
          <t>PED00300</t>
        </is>
      </c>
      <c r="B301" s="3" t="n">
        <v>45591</v>
      </c>
      <c r="C301" s="2" t="inlineStr">
        <is>
          <t>C0232</t>
        </is>
      </c>
      <c r="D301" s="2" t="inlineStr">
        <is>
          <t>L06</t>
        </is>
      </c>
      <c r="E301" s="2" t="inlineStr">
        <is>
          <t>Entregue</t>
        </is>
      </c>
      <c r="F301" s="2" t="inlineStr">
        <is>
          <t>Boleto</t>
        </is>
      </c>
      <c r="G301" s="19" t="n">
        <v>0.1</v>
      </c>
    </row>
    <row r="302">
      <c r="A302" s="2" t="inlineStr">
        <is>
          <t>PED00301</t>
        </is>
      </c>
      <c r="B302" s="3" t="n">
        <v>45315</v>
      </c>
      <c r="C302" s="2" t="inlineStr">
        <is>
          <t>C0151</t>
        </is>
      </c>
      <c r="D302" s="2" t="inlineStr">
        <is>
          <t>L07</t>
        </is>
      </c>
      <c r="E302" s="2" t="inlineStr">
        <is>
          <t>Devolvido</t>
        </is>
      </c>
      <c r="F302" s="2" t="inlineStr">
        <is>
          <t>Cartão de crédito</t>
        </is>
      </c>
      <c r="G302" s="19" t="n">
        <v>0</v>
      </c>
    </row>
    <row r="303">
      <c r="A303" s="2" t="inlineStr">
        <is>
          <t>PED00302</t>
        </is>
      </c>
      <c r="B303" s="3" t="n">
        <v>45824</v>
      </c>
      <c r="C303" s="2" t="inlineStr">
        <is>
          <t>C0331</t>
        </is>
      </c>
      <c r="D303" s="2" t="inlineStr">
        <is>
          <t>L06</t>
        </is>
      </c>
      <c r="E303" s="2" t="inlineStr">
        <is>
          <t>Entregue</t>
        </is>
      </c>
      <c r="F303" s="2" t="inlineStr">
        <is>
          <t>Cartão de crédito</t>
        </is>
      </c>
      <c r="G303" s="19" t="n">
        <v>0.05</v>
      </c>
    </row>
    <row r="304">
      <c r="A304" s="2" t="inlineStr">
        <is>
          <t>PED00303</t>
        </is>
      </c>
      <c r="B304" s="3" t="n">
        <v>45558</v>
      </c>
      <c r="C304" s="2" t="inlineStr">
        <is>
          <t>C0117</t>
        </is>
      </c>
      <c r="D304" s="2" t="inlineStr">
        <is>
          <t>L08</t>
        </is>
      </c>
      <c r="E304" s="2" t="inlineStr">
        <is>
          <t>Entregue</t>
        </is>
      </c>
      <c r="F304" s="2" t="inlineStr">
        <is>
          <t>Pix</t>
        </is>
      </c>
      <c r="G304" s="19" t="n">
        <v>0.1</v>
      </c>
    </row>
    <row r="305">
      <c r="A305" s="2" t="inlineStr">
        <is>
          <t>PED00304</t>
        </is>
      </c>
      <c r="B305" s="3" t="n">
        <v>45456</v>
      </c>
      <c r="C305" s="2" t="inlineStr">
        <is>
          <t>C0275</t>
        </is>
      </c>
      <c r="D305" s="2" t="inlineStr">
        <is>
          <t>L05</t>
        </is>
      </c>
      <c r="E305" s="2" t="inlineStr">
        <is>
          <t>Entregue</t>
        </is>
      </c>
      <c r="F305" s="2" t="inlineStr">
        <is>
          <t>Pix</t>
        </is>
      </c>
      <c r="G305" s="19" t="n">
        <v>0.05</v>
      </c>
    </row>
    <row r="306">
      <c r="A306" s="2" t="inlineStr">
        <is>
          <t>PED00305</t>
        </is>
      </c>
      <c r="B306" s="3" t="n">
        <v>45644</v>
      </c>
      <c r="C306" s="2" t="inlineStr">
        <is>
          <t>C0076</t>
        </is>
      </c>
      <c r="D306" s="2" t="inlineStr">
        <is>
          <t>L06</t>
        </is>
      </c>
      <c r="E306" s="2" t="inlineStr">
        <is>
          <t>Entregue</t>
        </is>
      </c>
      <c r="F306" s="2" t="inlineStr">
        <is>
          <t>Transferência</t>
        </is>
      </c>
      <c r="G306" s="19" t="n">
        <v>0.03</v>
      </c>
    </row>
    <row r="307">
      <c r="A307" s="2" t="inlineStr">
        <is>
          <t>PED00306</t>
        </is>
      </c>
      <c r="B307" s="3" t="n">
        <v>45440</v>
      </c>
      <c r="C307" s="2" t="inlineStr">
        <is>
          <t>C0235</t>
        </is>
      </c>
      <c r="D307" s="2" t="inlineStr">
        <is>
          <t>L06</t>
        </is>
      </c>
      <c r="E307" s="2" t="inlineStr">
        <is>
          <t>Entregue</t>
        </is>
      </c>
      <c r="F307" s="2" t="inlineStr">
        <is>
          <t>Transferência</t>
        </is>
      </c>
      <c r="G307" s="19" t="n">
        <v>0.03</v>
      </c>
    </row>
    <row r="308">
      <c r="A308" s="2" t="inlineStr">
        <is>
          <t>PED00307</t>
        </is>
      </c>
      <c r="B308" s="3" t="n">
        <v>45974</v>
      </c>
      <c r="C308" s="2" t="inlineStr">
        <is>
          <t>C0076</t>
        </is>
      </c>
      <c r="D308" s="2" t="inlineStr">
        <is>
          <t>L08</t>
        </is>
      </c>
      <c r="E308" s="2" t="inlineStr">
        <is>
          <t>Entregue</t>
        </is>
      </c>
      <c r="F308" s="2" t="inlineStr">
        <is>
          <t>Pix</t>
        </is>
      </c>
      <c r="G308" s="19" t="n">
        <v>0.03</v>
      </c>
    </row>
    <row r="309">
      <c r="A309" s="2" t="inlineStr">
        <is>
          <t>PED00308</t>
        </is>
      </c>
      <c r="B309" s="3" t="n">
        <v>45517</v>
      </c>
      <c r="C309" s="2" t="inlineStr">
        <is>
          <t>C0229</t>
        </is>
      </c>
      <c r="D309" s="2" t="inlineStr">
        <is>
          <t>L06</t>
        </is>
      </c>
      <c r="E309" s="2" t="inlineStr">
        <is>
          <t>Entregue</t>
        </is>
      </c>
      <c r="F309" s="2" t="inlineStr">
        <is>
          <t>Pix</t>
        </is>
      </c>
      <c r="G309" s="19" t="n">
        <v>0.05</v>
      </c>
    </row>
    <row r="310">
      <c r="A310" s="2" t="inlineStr">
        <is>
          <t>PED00309</t>
        </is>
      </c>
      <c r="B310" s="3" t="n">
        <v>45491</v>
      </c>
      <c r="C310" s="2" t="inlineStr">
        <is>
          <t>C0252</t>
        </is>
      </c>
      <c r="D310" s="2" t="inlineStr">
        <is>
          <t>L06</t>
        </is>
      </c>
      <c r="E310" s="2" t="inlineStr">
        <is>
          <t>Entregue</t>
        </is>
      </c>
      <c r="F310" s="2" t="inlineStr">
        <is>
          <t>Cartão de crédito</t>
        </is>
      </c>
      <c r="G310" s="19" t="n">
        <v>0</v>
      </c>
    </row>
    <row r="311">
      <c r="A311" s="2" t="inlineStr">
        <is>
          <t>PED00310</t>
        </is>
      </c>
      <c r="B311" s="3" t="n">
        <v>45381</v>
      </c>
      <c r="C311" s="2" t="inlineStr">
        <is>
          <t>C0111</t>
        </is>
      </c>
      <c r="D311" s="2" t="inlineStr">
        <is>
          <t>L08</t>
        </is>
      </c>
      <c r="E311" s="2" t="inlineStr">
        <is>
          <t>Entregue</t>
        </is>
      </c>
      <c r="F311" s="2" t="inlineStr">
        <is>
          <t>Cartão de crédito</t>
        </is>
      </c>
      <c r="G311" s="19" t="n">
        <v>0.03</v>
      </c>
    </row>
    <row r="312">
      <c r="A312" s="2" t="inlineStr">
        <is>
          <t>PED00311</t>
        </is>
      </c>
      <c r="B312" s="3" t="n">
        <v>45893</v>
      </c>
      <c r="C312" s="2" t="inlineStr">
        <is>
          <t>C0307</t>
        </is>
      </c>
      <c r="D312" s="2" t="inlineStr">
        <is>
          <t>L02</t>
        </is>
      </c>
      <c r="E312" s="2" t="inlineStr">
        <is>
          <t>Entregue</t>
        </is>
      </c>
      <c r="F312" s="2" t="inlineStr">
        <is>
          <t>Pix</t>
        </is>
      </c>
      <c r="G312" s="19" t="n">
        <v>0.15</v>
      </c>
    </row>
    <row r="313">
      <c r="A313" s="2" t="inlineStr">
        <is>
          <t>PED00312</t>
        </is>
      </c>
      <c r="B313" s="3" t="n">
        <v>45946</v>
      </c>
      <c r="C313" s="2" t="inlineStr">
        <is>
          <t>C0140</t>
        </is>
      </c>
      <c r="D313" s="2" t="inlineStr">
        <is>
          <t>L07</t>
        </is>
      </c>
      <c r="E313" s="2" t="inlineStr">
        <is>
          <t>Entregue</t>
        </is>
      </c>
      <c r="F313" s="2" t="inlineStr">
        <is>
          <t>Cartão de crédito</t>
        </is>
      </c>
      <c r="G313" s="19" t="n">
        <v>0.03</v>
      </c>
    </row>
    <row r="314">
      <c r="A314" s="2" t="inlineStr">
        <is>
          <t>PED00313</t>
        </is>
      </c>
      <c r="B314" s="3" t="n">
        <v>45294</v>
      </c>
      <c r="C314" s="2" t="inlineStr">
        <is>
          <t>C0079</t>
        </is>
      </c>
      <c r="D314" s="2" t="inlineStr">
        <is>
          <t>L05</t>
        </is>
      </c>
      <c r="E314" s="2" t="inlineStr">
        <is>
          <t>Entregue</t>
        </is>
      </c>
      <c r="F314" s="2" t="inlineStr">
        <is>
          <t>Cartão de crédito</t>
        </is>
      </c>
      <c r="G314" s="19" t="n">
        <v>0.05</v>
      </c>
    </row>
    <row r="315">
      <c r="A315" s="2" t="inlineStr">
        <is>
          <t>PED00314</t>
        </is>
      </c>
      <c r="B315" s="3" t="n">
        <v>45996</v>
      </c>
      <c r="C315" s="2" t="inlineStr">
        <is>
          <t>C0331</t>
        </is>
      </c>
      <c r="D315" s="2" t="inlineStr">
        <is>
          <t>L04</t>
        </is>
      </c>
      <c r="E315" s="2" t="inlineStr">
        <is>
          <t>Entregue</t>
        </is>
      </c>
      <c r="F315" s="2" t="inlineStr">
        <is>
          <t>Cartão de débito</t>
        </is>
      </c>
      <c r="G315" s="19" t="n">
        <v>0.03</v>
      </c>
    </row>
    <row r="316">
      <c r="A316" s="2" t="inlineStr">
        <is>
          <t>PED00315</t>
        </is>
      </c>
      <c r="B316" s="3" t="n">
        <v>45657</v>
      </c>
      <c r="C316" s="2" t="inlineStr">
        <is>
          <t>C0084</t>
        </is>
      </c>
      <c r="D316" s="2" t="inlineStr">
        <is>
          <t>L01</t>
        </is>
      </c>
      <c r="E316" s="2" t="inlineStr">
        <is>
          <t>Entregue</t>
        </is>
      </c>
      <c r="F316" s="2" t="inlineStr">
        <is>
          <t>Cartão de crédito</t>
        </is>
      </c>
      <c r="G316" s="19" t="n">
        <v>0.1</v>
      </c>
    </row>
    <row r="317">
      <c r="A317" s="2" t="inlineStr">
        <is>
          <t>PED00316</t>
        </is>
      </c>
      <c r="B317" s="3" t="n">
        <v>45388</v>
      </c>
      <c r="C317" s="2" t="inlineStr">
        <is>
          <t>C0307</t>
        </is>
      </c>
      <c r="D317" s="2" t="inlineStr">
        <is>
          <t>L03</t>
        </is>
      </c>
      <c r="E317" s="2" t="inlineStr">
        <is>
          <t>Entregue</t>
        </is>
      </c>
      <c r="F317" s="2" t="inlineStr">
        <is>
          <t>Boleto</t>
        </is>
      </c>
      <c r="G317" s="19" t="n">
        <v>0.1</v>
      </c>
    </row>
    <row r="318">
      <c r="A318" s="2" t="inlineStr">
        <is>
          <t>PED00317</t>
        </is>
      </c>
      <c r="B318" s="3" t="n">
        <v>45788</v>
      </c>
      <c r="C318" s="2" t="inlineStr">
        <is>
          <t>C0211</t>
        </is>
      </c>
      <c r="D318" s="2" t="inlineStr">
        <is>
          <t>L06</t>
        </is>
      </c>
      <c r="E318" s="2" t="inlineStr">
        <is>
          <t>Em processamento</t>
        </is>
      </c>
      <c r="F318" s="2" t="inlineStr">
        <is>
          <t>Pix</t>
        </is>
      </c>
      <c r="G318" s="19" t="n">
        <v>0</v>
      </c>
    </row>
    <row r="319">
      <c r="A319" s="2" t="inlineStr">
        <is>
          <t>PED00318</t>
        </is>
      </c>
      <c r="B319" s="3" t="n">
        <v>45719</v>
      </c>
      <c r="C319" s="2" t="inlineStr">
        <is>
          <t>C0236</t>
        </is>
      </c>
      <c r="D319" s="2" t="inlineStr">
        <is>
          <t>L02</t>
        </is>
      </c>
      <c r="E319" s="2" t="inlineStr">
        <is>
          <t>Entregue</t>
        </is>
      </c>
      <c r="F319" s="2" t="inlineStr">
        <is>
          <t>Pix</t>
        </is>
      </c>
      <c r="G319" s="19" t="n">
        <v>0</v>
      </c>
    </row>
    <row r="320">
      <c r="A320" s="2" t="inlineStr">
        <is>
          <t>PED00319</t>
        </is>
      </c>
      <c r="B320" s="3" t="n">
        <v>45642</v>
      </c>
      <c r="C320" s="2" t="inlineStr">
        <is>
          <t>C0089</t>
        </is>
      </c>
      <c r="D320" s="2" t="inlineStr">
        <is>
          <t>L05</t>
        </is>
      </c>
      <c r="E320" s="2" t="inlineStr">
        <is>
          <t>Entregue</t>
        </is>
      </c>
      <c r="F320" s="2" t="inlineStr">
        <is>
          <t>Cartão de débito</t>
        </is>
      </c>
      <c r="G320" s="19" t="n">
        <v>0</v>
      </c>
    </row>
    <row r="321">
      <c r="A321" s="2" t="inlineStr">
        <is>
          <t>PED00320</t>
        </is>
      </c>
      <c r="B321" s="3" t="n">
        <v>45493</v>
      </c>
      <c r="C321" s="2" t="inlineStr">
        <is>
          <t>C0056</t>
        </is>
      </c>
      <c r="D321" s="2" t="inlineStr">
        <is>
          <t>L01</t>
        </is>
      </c>
      <c r="E321" s="2" t="inlineStr">
        <is>
          <t>Entregue</t>
        </is>
      </c>
      <c r="F321" s="2" t="inlineStr">
        <is>
          <t>Cartão de crédito</t>
        </is>
      </c>
      <c r="G321" s="19" t="n">
        <v>0</v>
      </c>
    </row>
    <row r="322">
      <c r="A322" s="2" t="inlineStr">
        <is>
          <t>PED00321</t>
        </is>
      </c>
      <c r="B322" s="3" t="n">
        <v>45302</v>
      </c>
      <c r="C322" s="2" t="inlineStr">
        <is>
          <t>C0050</t>
        </is>
      </c>
      <c r="D322" s="2" t="inlineStr">
        <is>
          <t>L02</t>
        </is>
      </c>
      <c r="E322" s="2" t="inlineStr">
        <is>
          <t>Em processamento</t>
        </is>
      </c>
      <c r="F322" s="2" t="inlineStr">
        <is>
          <t>Pix</t>
        </is>
      </c>
      <c r="G322" s="19" t="n">
        <v>0.1</v>
      </c>
    </row>
    <row r="323">
      <c r="A323" s="2" t="inlineStr">
        <is>
          <t>PED00322</t>
        </is>
      </c>
      <c r="B323" s="3" t="n">
        <v>45576</v>
      </c>
      <c r="C323" s="2" t="inlineStr">
        <is>
          <t>C0297</t>
        </is>
      </c>
      <c r="D323" s="2" t="inlineStr">
        <is>
          <t>L06</t>
        </is>
      </c>
      <c r="E323" s="2" t="inlineStr">
        <is>
          <t>Entregue</t>
        </is>
      </c>
      <c r="F323" s="2" t="inlineStr">
        <is>
          <t>Boleto</t>
        </is>
      </c>
      <c r="G323" s="19" t="n">
        <v>0.1</v>
      </c>
    </row>
    <row r="324">
      <c r="A324" s="2" t="inlineStr">
        <is>
          <t>PED00323</t>
        </is>
      </c>
      <c r="B324" s="3" t="n">
        <v>45842</v>
      </c>
      <c r="C324" s="2" t="inlineStr">
        <is>
          <t>C0003</t>
        </is>
      </c>
      <c r="D324" s="2" t="inlineStr">
        <is>
          <t>L02</t>
        </is>
      </c>
      <c r="E324" s="2" t="inlineStr">
        <is>
          <t>Em processamento</t>
        </is>
      </c>
      <c r="F324" s="2" t="inlineStr">
        <is>
          <t>Boleto</t>
        </is>
      </c>
      <c r="G324" s="19" t="n">
        <v>0.1</v>
      </c>
    </row>
    <row r="325">
      <c r="A325" s="2" t="inlineStr">
        <is>
          <t>PED00324</t>
        </is>
      </c>
      <c r="B325" s="3" t="n">
        <v>45726</v>
      </c>
      <c r="C325" s="2" t="inlineStr">
        <is>
          <t>C0110</t>
        </is>
      </c>
      <c r="D325" s="2" t="inlineStr">
        <is>
          <t>L04</t>
        </is>
      </c>
      <c r="E325" s="2" t="inlineStr">
        <is>
          <t>Entregue</t>
        </is>
      </c>
      <c r="F325" s="2" t="inlineStr">
        <is>
          <t>Cartão de débito</t>
        </is>
      </c>
      <c r="G325" s="19" t="n">
        <v>0</v>
      </c>
    </row>
    <row r="326">
      <c r="A326" s="2" t="inlineStr">
        <is>
          <t>PED00325</t>
        </is>
      </c>
      <c r="B326" s="3" t="n">
        <v>45376</v>
      </c>
      <c r="C326" s="2" t="inlineStr">
        <is>
          <t>C0168</t>
        </is>
      </c>
      <c r="D326" s="2" t="inlineStr">
        <is>
          <t>L08</t>
        </is>
      </c>
      <c r="E326" s="2" t="inlineStr">
        <is>
          <t>Entregue</t>
        </is>
      </c>
      <c r="F326" s="2" t="inlineStr">
        <is>
          <t>Pix</t>
        </is>
      </c>
      <c r="G326" s="19" t="n">
        <v>0.05</v>
      </c>
    </row>
    <row r="327">
      <c r="A327" s="2" t="inlineStr">
        <is>
          <t>PED00326</t>
        </is>
      </c>
      <c r="B327" s="3" t="n">
        <v>45363</v>
      </c>
      <c r="C327" s="2" t="inlineStr">
        <is>
          <t>C0244</t>
        </is>
      </c>
      <c r="D327" s="2" t="inlineStr">
        <is>
          <t>L06</t>
        </is>
      </c>
      <c r="E327" s="2" t="inlineStr">
        <is>
          <t>Entregue</t>
        </is>
      </c>
      <c r="F327" s="2" t="inlineStr">
        <is>
          <t>Transferência</t>
        </is>
      </c>
      <c r="G327" s="19" t="n">
        <v>0.03</v>
      </c>
    </row>
    <row r="328">
      <c r="A328" s="2" t="inlineStr">
        <is>
          <t>PED00327</t>
        </is>
      </c>
      <c r="B328" s="3" t="n">
        <v>45414</v>
      </c>
      <c r="C328" s="2" t="inlineStr">
        <is>
          <t>C0074</t>
        </is>
      </c>
      <c r="D328" s="2" t="inlineStr">
        <is>
          <t>L07</t>
        </is>
      </c>
      <c r="E328" s="2" t="inlineStr">
        <is>
          <t>Entregue</t>
        </is>
      </c>
      <c r="F328" s="2" t="inlineStr">
        <is>
          <t>Cartão de crédito</t>
        </is>
      </c>
      <c r="G328" s="19" t="n">
        <v>0</v>
      </c>
    </row>
    <row r="329">
      <c r="A329" s="2" t="inlineStr">
        <is>
          <t>PED00328</t>
        </is>
      </c>
      <c r="B329" s="3" t="n">
        <v>45887</v>
      </c>
      <c r="C329" s="2" t="inlineStr">
        <is>
          <t>C0304</t>
        </is>
      </c>
      <c r="D329" s="2" t="inlineStr">
        <is>
          <t>L05</t>
        </is>
      </c>
      <c r="E329" s="2" t="inlineStr">
        <is>
          <t>Entregue</t>
        </is>
      </c>
      <c r="F329" s="2" t="inlineStr">
        <is>
          <t>Cartão de débito</t>
        </is>
      </c>
      <c r="G329" s="19" t="n">
        <v>0.1</v>
      </c>
    </row>
    <row r="330">
      <c r="A330" s="2" t="inlineStr">
        <is>
          <t>PED00329</t>
        </is>
      </c>
      <c r="B330" s="3" t="n">
        <v>45793</v>
      </c>
      <c r="C330" s="2" t="inlineStr">
        <is>
          <t>C0255</t>
        </is>
      </c>
      <c r="D330" s="2" t="inlineStr">
        <is>
          <t>L04</t>
        </is>
      </c>
      <c r="E330" s="2" t="inlineStr">
        <is>
          <t>Entregue</t>
        </is>
      </c>
      <c r="F330" s="2" t="inlineStr">
        <is>
          <t>Pix</t>
        </is>
      </c>
      <c r="G330" s="19" t="n">
        <v>0</v>
      </c>
    </row>
    <row r="331">
      <c r="A331" s="2" t="inlineStr">
        <is>
          <t>PED00330</t>
        </is>
      </c>
      <c r="B331" s="3" t="n">
        <v>45475</v>
      </c>
      <c r="C331" s="2" t="inlineStr">
        <is>
          <t>C0196</t>
        </is>
      </c>
      <c r="D331" s="2" t="inlineStr">
        <is>
          <t>L06</t>
        </is>
      </c>
      <c r="E331" s="2" t="inlineStr">
        <is>
          <t>Entregue</t>
        </is>
      </c>
      <c r="F331" s="2" t="inlineStr">
        <is>
          <t>Cartão de crédito</t>
        </is>
      </c>
      <c r="G331" s="19" t="n">
        <v>0</v>
      </c>
    </row>
    <row r="332">
      <c r="A332" s="2" t="inlineStr">
        <is>
          <t>PED00331</t>
        </is>
      </c>
      <c r="B332" s="3" t="n">
        <v>45498</v>
      </c>
      <c r="C332" s="2" t="inlineStr">
        <is>
          <t>C0151</t>
        </is>
      </c>
      <c r="D332" s="2" t="inlineStr">
        <is>
          <t>L08</t>
        </is>
      </c>
      <c r="E332" s="2" t="inlineStr">
        <is>
          <t>Entregue</t>
        </is>
      </c>
      <c r="F332" s="2" t="inlineStr">
        <is>
          <t>Pix</t>
        </is>
      </c>
      <c r="G332" s="19" t="n">
        <v>0</v>
      </c>
    </row>
    <row r="333">
      <c r="A333" s="2" t="inlineStr">
        <is>
          <t>PED00332</t>
        </is>
      </c>
      <c r="B333" s="3" t="n">
        <v>45602</v>
      </c>
      <c r="C333" s="2" t="inlineStr">
        <is>
          <t>C0085</t>
        </is>
      </c>
      <c r="D333" s="2" t="inlineStr">
        <is>
          <t>L08</t>
        </is>
      </c>
      <c r="E333" s="2" t="inlineStr">
        <is>
          <t>Entregue</t>
        </is>
      </c>
      <c r="F333" s="2" t="inlineStr">
        <is>
          <t>Pix</t>
        </is>
      </c>
      <c r="G333" s="19" t="n">
        <v>0</v>
      </c>
    </row>
    <row r="334">
      <c r="A334" s="2" t="inlineStr">
        <is>
          <t>PED00333</t>
        </is>
      </c>
      <c r="B334" s="3" t="n">
        <v>45923</v>
      </c>
      <c r="C334" s="2" t="inlineStr">
        <is>
          <t>C0347</t>
        </is>
      </c>
      <c r="D334" s="2" t="inlineStr">
        <is>
          <t>L06</t>
        </is>
      </c>
      <c r="E334" s="2" t="inlineStr">
        <is>
          <t>Entregue</t>
        </is>
      </c>
      <c r="F334" s="2" t="inlineStr">
        <is>
          <t>Pix</t>
        </is>
      </c>
      <c r="G334" s="19" t="n">
        <v>0</v>
      </c>
    </row>
    <row r="335">
      <c r="A335" s="2" t="inlineStr">
        <is>
          <t>PED00334</t>
        </is>
      </c>
      <c r="B335" s="3" t="n">
        <v>45657</v>
      </c>
      <c r="C335" s="2" t="inlineStr">
        <is>
          <t>C0211</t>
        </is>
      </c>
      <c r="D335" s="2" t="inlineStr">
        <is>
          <t>L06</t>
        </is>
      </c>
      <c r="E335" s="2" t="inlineStr">
        <is>
          <t>Entregue</t>
        </is>
      </c>
      <c r="F335" s="2" t="inlineStr">
        <is>
          <t>Pix</t>
        </is>
      </c>
      <c r="G335" s="19" t="n">
        <v>0</v>
      </c>
    </row>
    <row r="336">
      <c r="A336" s="2" t="inlineStr">
        <is>
          <t>PED00335</t>
        </is>
      </c>
      <c r="B336" s="3" t="n">
        <v>45330</v>
      </c>
      <c r="C336" s="2" t="inlineStr">
        <is>
          <t>C0236</t>
        </is>
      </c>
      <c r="D336" s="2" t="inlineStr">
        <is>
          <t>L07</t>
        </is>
      </c>
      <c r="E336" s="2" t="inlineStr">
        <is>
          <t>Entregue</t>
        </is>
      </c>
      <c r="F336" s="2" t="inlineStr">
        <is>
          <t>Boleto</t>
        </is>
      </c>
      <c r="G336" s="19" t="n">
        <v>0</v>
      </c>
    </row>
    <row r="337">
      <c r="A337" s="2" t="inlineStr">
        <is>
          <t>PED00336</t>
        </is>
      </c>
      <c r="B337" s="3" t="n">
        <v>45800</v>
      </c>
      <c r="C337" s="2" t="inlineStr">
        <is>
          <t>C0258</t>
        </is>
      </c>
      <c r="D337" s="2" t="inlineStr">
        <is>
          <t>L06</t>
        </is>
      </c>
      <c r="E337" s="2" t="inlineStr">
        <is>
          <t>Entregue</t>
        </is>
      </c>
      <c r="F337" s="2" t="inlineStr">
        <is>
          <t>Pix</t>
        </is>
      </c>
      <c r="G337" s="19" t="n">
        <v>0.15</v>
      </c>
    </row>
    <row r="338">
      <c r="A338" s="2" t="inlineStr">
        <is>
          <t>PED00337</t>
        </is>
      </c>
      <c r="B338" s="3" t="n">
        <v>45586</v>
      </c>
      <c r="C338" s="2" t="inlineStr">
        <is>
          <t>C0136</t>
        </is>
      </c>
      <c r="D338" s="2" t="inlineStr">
        <is>
          <t>L01</t>
        </is>
      </c>
      <c r="E338" s="2" t="inlineStr">
        <is>
          <t>Entregue</t>
        </is>
      </c>
      <c r="F338" s="2" t="inlineStr">
        <is>
          <t>Cartão de crédito</t>
        </is>
      </c>
      <c r="G338" s="19" t="n">
        <v>0.1</v>
      </c>
    </row>
    <row r="339">
      <c r="A339" s="2" t="inlineStr">
        <is>
          <t>PED00338</t>
        </is>
      </c>
      <c r="B339" s="3" t="n">
        <v>45601</v>
      </c>
      <c r="C339" s="2" t="inlineStr">
        <is>
          <t>C0259</t>
        </is>
      </c>
      <c r="D339" s="2" t="inlineStr">
        <is>
          <t>L05</t>
        </is>
      </c>
      <c r="E339" s="2" t="inlineStr">
        <is>
          <t>Entregue</t>
        </is>
      </c>
      <c r="F339" s="2" t="inlineStr">
        <is>
          <t>Cartão de crédito</t>
        </is>
      </c>
      <c r="G339" s="19" t="n">
        <v>0</v>
      </c>
    </row>
    <row r="340">
      <c r="A340" s="2" t="inlineStr">
        <is>
          <t>PED00339</t>
        </is>
      </c>
      <c r="B340" s="3" t="n">
        <v>45820</v>
      </c>
      <c r="C340" s="2" t="inlineStr">
        <is>
          <t>C0096</t>
        </is>
      </c>
      <c r="D340" s="2" t="inlineStr">
        <is>
          <t>L08</t>
        </is>
      </c>
      <c r="E340" s="2" t="inlineStr">
        <is>
          <t>Entregue</t>
        </is>
      </c>
      <c r="F340" s="2" t="inlineStr">
        <is>
          <t>Transferência</t>
        </is>
      </c>
      <c r="G340" s="19" t="n">
        <v>0.05</v>
      </c>
    </row>
    <row r="341">
      <c r="A341" s="2" t="inlineStr">
        <is>
          <t>PED00340</t>
        </is>
      </c>
      <c r="B341" s="3" t="n">
        <v>45765</v>
      </c>
      <c r="C341" s="2" t="inlineStr">
        <is>
          <t>C0076</t>
        </is>
      </c>
      <c r="D341" s="2" t="inlineStr">
        <is>
          <t>L04</t>
        </is>
      </c>
      <c r="E341" s="2" t="inlineStr">
        <is>
          <t>Entregue</t>
        </is>
      </c>
      <c r="F341" s="2" t="inlineStr">
        <is>
          <t>Cartão de débito</t>
        </is>
      </c>
      <c r="G341" s="19" t="n">
        <v>0</v>
      </c>
    </row>
    <row r="342">
      <c r="A342" s="2" t="inlineStr">
        <is>
          <t>PED00341</t>
        </is>
      </c>
      <c r="B342" s="3" t="n">
        <v>45456</v>
      </c>
      <c r="C342" s="2" t="inlineStr">
        <is>
          <t>C0132</t>
        </is>
      </c>
      <c r="D342" s="2" t="inlineStr">
        <is>
          <t>L04</t>
        </is>
      </c>
      <c r="E342" s="2" t="inlineStr">
        <is>
          <t>Entregue</t>
        </is>
      </c>
      <c r="F342" s="2" t="inlineStr">
        <is>
          <t>Pix</t>
        </is>
      </c>
      <c r="G342" s="19" t="n">
        <v>0</v>
      </c>
    </row>
    <row r="343">
      <c r="A343" s="2" t="inlineStr">
        <is>
          <t>PED00342</t>
        </is>
      </c>
      <c r="B343" s="3" t="n">
        <v>45498</v>
      </c>
      <c r="C343" s="2" t="inlineStr">
        <is>
          <t>C0082</t>
        </is>
      </c>
      <c r="D343" s="2" t="inlineStr">
        <is>
          <t>L05</t>
        </is>
      </c>
      <c r="E343" s="2" t="inlineStr">
        <is>
          <t>Entregue</t>
        </is>
      </c>
      <c r="F343" s="2" t="inlineStr">
        <is>
          <t>Pix</t>
        </is>
      </c>
      <c r="G343" s="19" t="n">
        <v>0.1</v>
      </c>
    </row>
    <row r="344">
      <c r="A344" s="2" t="inlineStr">
        <is>
          <t>PED00343</t>
        </is>
      </c>
      <c r="B344" s="3" t="n">
        <v>45708</v>
      </c>
      <c r="C344" s="2" t="inlineStr">
        <is>
          <t>C0187</t>
        </is>
      </c>
      <c r="D344" s="2" t="inlineStr">
        <is>
          <t>L02</t>
        </is>
      </c>
      <c r="E344" s="2" t="inlineStr">
        <is>
          <t>Entregue</t>
        </is>
      </c>
      <c r="F344" s="2" t="inlineStr">
        <is>
          <t>Cartão de débito</t>
        </is>
      </c>
      <c r="G344" s="19" t="n">
        <v>0.1</v>
      </c>
    </row>
    <row r="345">
      <c r="A345" s="2" t="inlineStr">
        <is>
          <t>PED00344</t>
        </is>
      </c>
      <c r="B345" s="3" t="n">
        <v>45549</v>
      </c>
      <c r="C345" s="2" t="inlineStr">
        <is>
          <t>C0255</t>
        </is>
      </c>
      <c r="D345" s="2" t="inlineStr">
        <is>
          <t>L02</t>
        </is>
      </c>
      <c r="E345" s="2" t="inlineStr">
        <is>
          <t>Entregue</t>
        </is>
      </c>
      <c r="F345" s="2" t="inlineStr">
        <is>
          <t>Pix</t>
        </is>
      </c>
      <c r="G345" s="19" t="n">
        <v>0.1</v>
      </c>
    </row>
    <row r="346">
      <c r="A346" s="2" t="inlineStr">
        <is>
          <t>PED00345</t>
        </is>
      </c>
      <c r="B346" s="3" t="n">
        <v>45573</v>
      </c>
      <c r="C346" s="2" t="inlineStr">
        <is>
          <t>C0226</t>
        </is>
      </c>
      <c r="D346" s="2" t="inlineStr">
        <is>
          <t>L07</t>
        </is>
      </c>
      <c r="E346" s="2" t="inlineStr">
        <is>
          <t>Entregue</t>
        </is>
      </c>
      <c r="F346" s="2" t="inlineStr">
        <is>
          <t>Cartão de crédito</t>
        </is>
      </c>
      <c r="G346" s="19" t="n">
        <v>0.03</v>
      </c>
    </row>
    <row r="347">
      <c r="A347" s="2" t="inlineStr">
        <is>
          <t>PED00346</t>
        </is>
      </c>
      <c r="B347" s="3" t="n">
        <v>45440</v>
      </c>
      <c r="C347" s="2" t="inlineStr">
        <is>
          <t>C0186</t>
        </is>
      </c>
      <c r="D347" s="2" t="inlineStr">
        <is>
          <t>L08</t>
        </is>
      </c>
      <c r="E347" s="2" t="inlineStr">
        <is>
          <t>Entregue</t>
        </is>
      </c>
      <c r="F347" s="2" t="inlineStr">
        <is>
          <t>Cartão de débito</t>
        </is>
      </c>
      <c r="G347" s="19" t="n">
        <v>0</v>
      </c>
    </row>
    <row r="348">
      <c r="A348" s="2" t="inlineStr">
        <is>
          <t>PED00347</t>
        </is>
      </c>
      <c r="B348" s="3" t="n">
        <v>45553</v>
      </c>
      <c r="C348" s="2" t="inlineStr">
        <is>
          <t>C0155</t>
        </is>
      </c>
      <c r="D348" s="2" t="inlineStr">
        <is>
          <t>L02</t>
        </is>
      </c>
      <c r="E348" s="2" t="inlineStr">
        <is>
          <t>Em processamento</t>
        </is>
      </c>
      <c r="F348" s="2" t="inlineStr">
        <is>
          <t>Cartão de débito</t>
        </is>
      </c>
      <c r="G348" s="19" t="n">
        <v>0</v>
      </c>
    </row>
    <row r="349">
      <c r="A349" s="2" t="inlineStr">
        <is>
          <t>PED00348</t>
        </is>
      </c>
      <c r="B349" s="3" t="n">
        <v>45724</v>
      </c>
      <c r="C349" s="2" t="inlineStr">
        <is>
          <t>C0052</t>
        </is>
      </c>
      <c r="D349" s="2" t="inlineStr">
        <is>
          <t>L03</t>
        </is>
      </c>
      <c r="E349" s="2" t="inlineStr">
        <is>
          <t>Entregue</t>
        </is>
      </c>
      <c r="F349" s="2" t="inlineStr">
        <is>
          <t>Cartão de crédito</t>
        </is>
      </c>
      <c r="G349" s="19" t="n">
        <v>0</v>
      </c>
    </row>
    <row r="350">
      <c r="A350" s="2" t="inlineStr">
        <is>
          <t>PED00349</t>
        </is>
      </c>
      <c r="B350" s="3" t="n">
        <v>45496</v>
      </c>
      <c r="C350" s="2" t="inlineStr">
        <is>
          <t>C0322</t>
        </is>
      </c>
      <c r="D350" s="2" t="inlineStr">
        <is>
          <t>L05</t>
        </is>
      </c>
      <c r="E350" s="2" t="inlineStr">
        <is>
          <t>Entregue</t>
        </is>
      </c>
      <c r="F350" s="2" t="inlineStr">
        <is>
          <t>Pix</t>
        </is>
      </c>
      <c r="G350" s="19" t="n">
        <v>0</v>
      </c>
    </row>
    <row r="351">
      <c r="A351" s="2" t="inlineStr">
        <is>
          <t>PED00350</t>
        </is>
      </c>
      <c r="B351" s="3" t="n">
        <v>45558</v>
      </c>
      <c r="C351" s="2" t="inlineStr">
        <is>
          <t>C0089</t>
        </is>
      </c>
      <c r="D351" s="2" t="inlineStr">
        <is>
          <t>L06</t>
        </is>
      </c>
      <c r="E351" s="2" t="inlineStr">
        <is>
          <t>Entregue</t>
        </is>
      </c>
      <c r="F351" s="2" t="inlineStr">
        <is>
          <t>Pix</t>
        </is>
      </c>
      <c r="G351" s="19" t="n">
        <v>0</v>
      </c>
    </row>
    <row r="352">
      <c r="A352" s="2" t="inlineStr">
        <is>
          <t>PED00351</t>
        </is>
      </c>
      <c r="B352" s="3" t="n">
        <v>45521</v>
      </c>
      <c r="C352" s="2" t="inlineStr">
        <is>
          <t>C0011</t>
        </is>
      </c>
      <c r="D352" s="2" t="inlineStr">
        <is>
          <t>L01</t>
        </is>
      </c>
      <c r="E352" s="2" t="inlineStr">
        <is>
          <t>Em processamento</t>
        </is>
      </c>
      <c r="F352" s="2" t="inlineStr">
        <is>
          <t>Cartão de crédito</t>
        </is>
      </c>
      <c r="G352" s="19" t="n">
        <v>0.05</v>
      </c>
    </row>
    <row r="353">
      <c r="A353" s="2" t="inlineStr">
        <is>
          <t>PED00352</t>
        </is>
      </c>
      <c r="B353" s="3" t="n">
        <v>45830</v>
      </c>
      <c r="C353" s="2" t="inlineStr">
        <is>
          <t>C0223</t>
        </is>
      </c>
      <c r="D353" s="2" t="inlineStr">
        <is>
          <t>L08</t>
        </is>
      </c>
      <c r="E353" s="2" t="inlineStr">
        <is>
          <t>Cancelado</t>
        </is>
      </c>
      <c r="F353" s="2" t="inlineStr">
        <is>
          <t>Cartão de crédito</t>
        </is>
      </c>
      <c r="G353" s="19" t="n">
        <v>0</v>
      </c>
    </row>
    <row r="354">
      <c r="A354" s="2" t="inlineStr">
        <is>
          <t>PED00353</t>
        </is>
      </c>
      <c r="B354" s="3" t="n">
        <v>45425</v>
      </c>
      <c r="C354" s="2" t="inlineStr">
        <is>
          <t>C0221</t>
        </is>
      </c>
      <c r="D354" s="2" t="inlineStr">
        <is>
          <t>L04</t>
        </is>
      </c>
      <c r="E354" s="2" t="inlineStr">
        <is>
          <t>Entregue</t>
        </is>
      </c>
      <c r="F354" s="2" t="inlineStr">
        <is>
          <t>Transferência</t>
        </is>
      </c>
      <c r="G354" s="19" t="n">
        <v>0</v>
      </c>
    </row>
    <row r="355">
      <c r="A355" s="2" t="inlineStr">
        <is>
          <t>PED00354</t>
        </is>
      </c>
      <c r="B355" s="3" t="n">
        <v>45888</v>
      </c>
      <c r="C355" s="2" t="inlineStr">
        <is>
          <t>C0332</t>
        </is>
      </c>
      <c r="D355" s="2" t="inlineStr">
        <is>
          <t>L08</t>
        </is>
      </c>
      <c r="E355" s="2" t="inlineStr">
        <is>
          <t>Entregue</t>
        </is>
      </c>
      <c r="F355" s="2" t="inlineStr">
        <is>
          <t>Cartão de crédito</t>
        </is>
      </c>
      <c r="G355" s="19" t="n">
        <v>0.1</v>
      </c>
    </row>
    <row r="356">
      <c r="A356" s="2" t="inlineStr">
        <is>
          <t>PED00355</t>
        </is>
      </c>
      <c r="B356" s="3" t="n">
        <v>45338</v>
      </c>
      <c r="C356" s="2" t="inlineStr">
        <is>
          <t>C0003</t>
        </is>
      </c>
      <c r="D356" s="2" t="inlineStr">
        <is>
          <t>L05</t>
        </is>
      </c>
      <c r="E356" s="2" t="inlineStr">
        <is>
          <t>Entregue</t>
        </is>
      </c>
      <c r="F356" s="2" t="inlineStr">
        <is>
          <t>Cartão de crédito</t>
        </is>
      </c>
      <c r="G356" s="19" t="n">
        <v>0.15</v>
      </c>
    </row>
    <row r="357">
      <c r="A357" s="2" t="inlineStr">
        <is>
          <t>PED00356</t>
        </is>
      </c>
      <c r="B357" s="3" t="n">
        <v>45835</v>
      </c>
      <c r="C357" s="2" t="inlineStr">
        <is>
          <t>C0222</t>
        </is>
      </c>
      <c r="D357" s="2" t="inlineStr">
        <is>
          <t>L03</t>
        </is>
      </c>
      <c r="E357" s="2" t="inlineStr">
        <is>
          <t>Entregue</t>
        </is>
      </c>
      <c r="F357" s="2" t="inlineStr">
        <is>
          <t>Pix</t>
        </is>
      </c>
      <c r="G357" s="19" t="n">
        <v>0.15</v>
      </c>
    </row>
    <row r="358">
      <c r="A358" s="2" t="inlineStr">
        <is>
          <t>PED00357</t>
        </is>
      </c>
      <c r="B358" s="3" t="n">
        <v>45562</v>
      </c>
      <c r="C358" s="2" t="inlineStr">
        <is>
          <t>C0265</t>
        </is>
      </c>
      <c r="D358" s="2" t="inlineStr">
        <is>
          <t>L06</t>
        </is>
      </c>
      <c r="E358" s="2" t="inlineStr">
        <is>
          <t>Entregue</t>
        </is>
      </c>
      <c r="F358" s="2" t="inlineStr">
        <is>
          <t>Pix</t>
        </is>
      </c>
      <c r="G358" s="19" t="n">
        <v>0.05</v>
      </c>
    </row>
    <row r="359">
      <c r="A359" s="2" t="inlineStr">
        <is>
          <t>PED00358</t>
        </is>
      </c>
      <c r="B359" s="3" t="n">
        <v>45558</v>
      </c>
      <c r="C359" s="2" t="inlineStr">
        <is>
          <t>C0084</t>
        </is>
      </c>
      <c r="D359" s="2" t="inlineStr">
        <is>
          <t>L08</t>
        </is>
      </c>
      <c r="E359" s="2" t="inlineStr">
        <is>
          <t>Entregue</t>
        </is>
      </c>
      <c r="F359" s="2" t="inlineStr">
        <is>
          <t>Transferência</t>
        </is>
      </c>
      <c r="G359" s="19" t="n">
        <v>0.1</v>
      </c>
    </row>
    <row r="360">
      <c r="A360" s="2" t="inlineStr">
        <is>
          <t>PED00359</t>
        </is>
      </c>
      <c r="B360" s="3" t="n">
        <v>45760</v>
      </c>
      <c r="C360" s="2" t="inlineStr">
        <is>
          <t>C0253</t>
        </is>
      </c>
      <c r="D360" s="2" t="inlineStr">
        <is>
          <t>L02</t>
        </is>
      </c>
      <c r="E360" s="2" t="inlineStr">
        <is>
          <t>Cancelado</t>
        </is>
      </c>
      <c r="F360" s="2" t="inlineStr">
        <is>
          <t>Boleto</t>
        </is>
      </c>
      <c r="G360" s="19" t="n">
        <v>0</v>
      </c>
    </row>
    <row r="361">
      <c r="A361" s="2" t="inlineStr">
        <is>
          <t>PED00360</t>
        </is>
      </c>
      <c r="B361" s="3" t="n">
        <v>45812</v>
      </c>
      <c r="C361" s="2" t="inlineStr">
        <is>
          <t>C0140</t>
        </is>
      </c>
      <c r="D361" s="2" t="inlineStr">
        <is>
          <t>L04</t>
        </is>
      </c>
      <c r="E361" s="2" t="inlineStr">
        <is>
          <t>Entregue</t>
        </is>
      </c>
      <c r="F361" s="2" t="inlineStr">
        <is>
          <t>Transferência</t>
        </is>
      </c>
      <c r="G361" s="19" t="n">
        <v>0.03</v>
      </c>
    </row>
    <row r="362">
      <c r="A362" s="2" t="inlineStr">
        <is>
          <t>PED00361</t>
        </is>
      </c>
      <c r="B362" s="3" t="n">
        <v>45695</v>
      </c>
      <c r="C362" s="2" t="inlineStr">
        <is>
          <t>C0192</t>
        </is>
      </c>
      <c r="D362" s="2" t="inlineStr">
        <is>
          <t>L02</t>
        </is>
      </c>
      <c r="E362" s="2" t="inlineStr">
        <is>
          <t>Cancelado</t>
        </is>
      </c>
      <c r="F362" s="2" t="inlineStr">
        <is>
          <t>Pix</t>
        </is>
      </c>
      <c r="G362" s="19" t="n">
        <v>0</v>
      </c>
    </row>
    <row r="363">
      <c r="A363" s="2" t="inlineStr">
        <is>
          <t>PED00362</t>
        </is>
      </c>
      <c r="B363" s="3" t="n">
        <v>45424</v>
      </c>
      <c r="C363" s="2" t="inlineStr">
        <is>
          <t>C0109</t>
        </is>
      </c>
      <c r="D363" s="2" t="inlineStr">
        <is>
          <t>L01</t>
        </is>
      </c>
      <c r="E363" s="2" t="inlineStr">
        <is>
          <t>Entregue</t>
        </is>
      </c>
      <c r="F363" s="2" t="inlineStr">
        <is>
          <t>Pix</t>
        </is>
      </c>
      <c r="G363" s="19" t="n">
        <v>0.1</v>
      </c>
    </row>
    <row r="364">
      <c r="A364" s="2" t="inlineStr">
        <is>
          <t>PED00363</t>
        </is>
      </c>
      <c r="B364" s="3" t="n">
        <v>45689</v>
      </c>
      <c r="C364" s="2" t="inlineStr">
        <is>
          <t>C0207</t>
        </is>
      </c>
      <c r="D364" s="2" t="inlineStr">
        <is>
          <t>L05</t>
        </is>
      </c>
      <c r="E364" s="2" t="inlineStr">
        <is>
          <t>Entregue</t>
        </is>
      </c>
      <c r="F364" s="2" t="inlineStr">
        <is>
          <t>Transferência</t>
        </is>
      </c>
      <c r="G364" s="19" t="n">
        <v>0</v>
      </c>
    </row>
    <row r="365">
      <c r="A365" s="2" t="inlineStr">
        <is>
          <t>PED00364</t>
        </is>
      </c>
      <c r="B365" s="3" t="n">
        <v>45668</v>
      </c>
      <c r="C365" s="2" t="inlineStr">
        <is>
          <t>C0263</t>
        </is>
      </c>
      <c r="D365" s="2" t="inlineStr">
        <is>
          <t>L04</t>
        </is>
      </c>
      <c r="E365" s="2" t="inlineStr">
        <is>
          <t>Entregue</t>
        </is>
      </c>
      <c r="F365" s="2" t="inlineStr">
        <is>
          <t>Boleto</t>
        </is>
      </c>
      <c r="G365" s="19" t="n">
        <v>0.03</v>
      </c>
    </row>
    <row r="366">
      <c r="A366" s="2" t="inlineStr">
        <is>
          <t>PED00365</t>
        </is>
      </c>
      <c r="B366" s="3" t="n">
        <v>45521</v>
      </c>
      <c r="C366" s="2" t="inlineStr">
        <is>
          <t>C0332</t>
        </is>
      </c>
      <c r="D366" s="2" t="inlineStr">
        <is>
          <t>L03</t>
        </is>
      </c>
      <c r="E366" s="2" t="inlineStr">
        <is>
          <t>Em processamento</t>
        </is>
      </c>
      <c r="F366" s="2" t="inlineStr">
        <is>
          <t>Cartão de crédito</t>
        </is>
      </c>
      <c r="G366" s="19" t="n">
        <v>0.05</v>
      </c>
    </row>
    <row r="367">
      <c r="A367" s="2" t="inlineStr">
        <is>
          <t>PED00366</t>
        </is>
      </c>
      <c r="B367" s="3" t="n">
        <v>45781</v>
      </c>
      <c r="C367" s="2" t="inlineStr">
        <is>
          <t>C0154</t>
        </is>
      </c>
      <c r="D367" s="2" t="inlineStr">
        <is>
          <t>L03</t>
        </is>
      </c>
      <c r="E367" s="2" t="inlineStr">
        <is>
          <t>Devolvido</t>
        </is>
      </c>
      <c r="F367" s="2" t="inlineStr">
        <is>
          <t>Cartão de débito</t>
        </is>
      </c>
      <c r="G367" s="19" t="n">
        <v>0</v>
      </c>
    </row>
    <row r="368">
      <c r="A368" s="2" t="inlineStr">
        <is>
          <t>PED00367</t>
        </is>
      </c>
      <c r="B368" s="3" t="n">
        <v>45814</v>
      </c>
      <c r="C368" s="2" t="inlineStr">
        <is>
          <t>C0218</t>
        </is>
      </c>
      <c r="D368" s="2" t="inlineStr">
        <is>
          <t>L07</t>
        </is>
      </c>
      <c r="E368" s="2" t="inlineStr">
        <is>
          <t>Entregue</t>
        </is>
      </c>
      <c r="F368" s="2" t="inlineStr">
        <is>
          <t>Cartão de crédito</t>
        </is>
      </c>
      <c r="G368" s="19" t="n">
        <v>0.03</v>
      </c>
    </row>
    <row r="369">
      <c r="A369" s="2" t="inlineStr">
        <is>
          <t>PED00368</t>
        </is>
      </c>
      <c r="B369" s="3" t="n">
        <v>45478</v>
      </c>
      <c r="C369" s="2" t="inlineStr">
        <is>
          <t>C0202</t>
        </is>
      </c>
      <c r="D369" s="2" t="inlineStr">
        <is>
          <t>L01</t>
        </is>
      </c>
      <c r="E369" s="2" t="inlineStr">
        <is>
          <t>Entregue</t>
        </is>
      </c>
      <c r="F369" s="2" t="inlineStr">
        <is>
          <t>Boleto</t>
        </is>
      </c>
      <c r="G369" s="19" t="n">
        <v>0</v>
      </c>
    </row>
    <row r="370">
      <c r="A370" s="2" t="inlineStr">
        <is>
          <t>PED00369</t>
        </is>
      </c>
      <c r="B370" s="3" t="n">
        <v>45557</v>
      </c>
      <c r="C370" s="2" t="inlineStr">
        <is>
          <t>C0345</t>
        </is>
      </c>
      <c r="D370" s="2" t="inlineStr">
        <is>
          <t>L02</t>
        </is>
      </c>
      <c r="E370" s="2" t="inlineStr">
        <is>
          <t>Entregue</t>
        </is>
      </c>
      <c r="F370" s="2" t="inlineStr">
        <is>
          <t>Pix</t>
        </is>
      </c>
      <c r="G370" s="19" t="n">
        <v>0</v>
      </c>
    </row>
    <row r="371">
      <c r="A371" s="2" t="inlineStr">
        <is>
          <t>PED00370</t>
        </is>
      </c>
      <c r="B371" s="3" t="n">
        <v>45965</v>
      </c>
      <c r="C371" s="2" t="inlineStr">
        <is>
          <t>C0309</t>
        </is>
      </c>
      <c r="D371" s="2" t="inlineStr">
        <is>
          <t>L08</t>
        </is>
      </c>
      <c r="E371" s="2" t="inlineStr">
        <is>
          <t>Entregue</t>
        </is>
      </c>
      <c r="F371" s="2" t="inlineStr">
        <is>
          <t>Cartão de débito</t>
        </is>
      </c>
      <c r="G371" s="19" t="n">
        <v>0.05</v>
      </c>
    </row>
    <row r="372">
      <c r="A372" s="2" t="inlineStr">
        <is>
          <t>PED00371</t>
        </is>
      </c>
      <c r="B372" s="3" t="n">
        <v>45506</v>
      </c>
      <c r="C372" s="2" t="inlineStr">
        <is>
          <t>C0247</t>
        </is>
      </c>
      <c r="D372" s="2" t="inlineStr">
        <is>
          <t>L03</t>
        </is>
      </c>
      <c r="E372" s="2" t="inlineStr">
        <is>
          <t>Entregue</t>
        </is>
      </c>
      <c r="F372" s="2" t="inlineStr">
        <is>
          <t>Cartão de crédito</t>
        </is>
      </c>
      <c r="G372" s="19" t="n">
        <v>0.05</v>
      </c>
    </row>
    <row r="373">
      <c r="A373" s="2" t="inlineStr">
        <is>
          <t>PED00372</t>
        </is>
      </c>
      <c r="B373" s="3" t="n">
        <v>45752</v>
      </c>
      <c r="C373" s="2" t="inlineStr">
        <is>
          <t>C0300</t>
        </is>
      </c>
      <c r="D373" s="2" t="inlineStr">
        <is>
          <t>L04</t>
        </is>
      </c>
      <c r="E373" s="2" t="inlineStr">
        <is>
          <t>Entregue</t>
        </is>
      </c>
      <c r="F373" s="2" t="inlineStr">
        <is>
          <t>Cartão de crédito</t>
        </is>
      </c>
      <c r="G373" s="19" t="n">
        <v>0.1</v>
      </c>
    </row>
    <row r="374">
      <c r="A374" s="2" t="inlineStr">
        <is>
          <t>PED00373</t>
        </is>
      </c>
      <c r="B374" s="3" t="n">
        <v>45734</v>
      </c>
      <c r="C374" s="2" t="inlineStr">
        <is>
          <t>C0213</t>
        </is>
      </c>
      <c r="D374" s="2" t="inlineStr">
        <is>
          <t>L08</t>
        </is>
      </c>
      <c r="E374" s="2" t="inlineStr">
        <is>
          <t>Entregue</t>
        </is>
      </c>
      <c r="F374" s="2" t="inlineStr">
        <is>
          <t>Cartão de crédito</t>
        </is>
      </c>
      <c r="G374" s="19" t="n">
        <v>0.03</v>
      </c>
    </row>
    <row r="375">
      <c r="A375" s="2" t="inlineStr">
        <is>
          <t>PED00374</t>
        </is>
      </c>
      <c r="B375" s="3" t="n">
        <v>45791</v>
      </c>
      <c r="C375" s="2" t="inlineStr">
        <is>
          <t>C0119</t>
        </is>
      </c>
      <c r="D375" s="2" t="inlineStr">
        <is>
          <t>L01</t>
        </is>
      </c>
      <c r="E375" s="2" t="inlineStr">
        <is>
          <t>Entregue</t>
        </is>
      </c>
      <c r="F375" s="2" t="inlineStr">
        <is>
          <t>Cartão de crédito</t>
        </is>
      </c>
      <c r="G375" s="19" t="n">
        <v>0</v>
      </c>
    </row>
    <row r="376">
      <c r="A376" s="2" t="inlineStr">
        <is>
          <t>PED00375</t>
        </is>
      </c>
      <c r="B376" s="3" t="n">
        <v>45929</v>
      </c>
      <c r="C376" s="2" t="inlineStr">
        <is>
          <t>C0331</t>
        </is>
      </c>
      <c r="D376" s="2" t="inlineStr">
        <is>
          <t>L06</t>
        </is>
      </c>
      <c r="E376" s="2" t="inlineStr">
        <is>
          <t>Entregue</t>
        </is>
      </c>
      <c r="F376" s="2" t="inlineStr">
        <is>
          <t>Cartão de crédito</t>
        </is>
      </c>
      <c r="G376" s="19" t="n">
        <v>0</v>
      </c>
    </row>
    <row r="377">
      <c r="A377" s="2" t="inlineStr">
        <is>
          <t>PED00376</t>
        </is>
      </c>
      <c r="B377" s="3" t="n">
        <v>45964</v>
      </c>
      <c r="C377" s="2" t="inlineStr">
        <is>
          <t>C0240</t>
        </is>
      </c>
      <c r="D377" s="2" t="inlineStr">
        <is>
          <t>L03</t>
        </is>
      </c>
      <c r="E377" s="2" t="inlineStr">
        <is>
          <t>Cancelado</t>
        </is>
      </c>
      <c r="F377" s="2" t="inlineStr">
        <is>
          <t>Cartão de débito</t>
        </is>
      </c>
      <c r="G377" s="19" t="n">
        <v>0</v>
      </c>
    </row>
    <row r="378">
      <c r="A378" s="2" t="inlineStr">
        <is>
          <t>PED00377</t>
        </is>
      </c>
      <c r="B378" s="3" t="n">
        <v>45380</v>
      </c>
      <c r="C378" s="2" t="inlineStr">
        <is>
          <t>C0342</t>
        </is>
      </c>
      <c r="D378" s="2" t="inlineStr">
        <is>
          <t>L08</t>
        </is>
      </c>
      <c r="E378" s="2" t="inlineStr">
        <is>
          <t>Entregue</t>
        </is>
      </c>
      <c r="F378" s="2" t="inlineStr">
        <is>
          <t>Pix</t>
        </is>
      </c>
      <c r="G378" s="19" t="n">
        <v>0.05</v>
      </c>
    </row>
    <row r="379">
      <c r="A379" s="2" t="inlineStr">
        <is>
          <t>PED00378</t>
        </is>
      </c>
      <c r="B379" s="3" t="n">
        <v>45532</v>
      </c>
      <c r="C379" s="2" t="inlineStr">
        <is>
          <t>C0108</t>
        </is>
      </c>
      <c r="D379" s="2" t="inlineStr">
        <is>
          <t>L01</t>
        </is>
      </c>
      <c r="E379" s="2" t="inlineStr">
        <is>
          <t>Devolvido</t>
        </is>
      </c>
      <c r="F379" s="2" t="inlineStr">
        <is>
          <t>Cartão de crédito</t>
        </is>
      </c>
      <c r="G379" s="19" t="n">
        <v>0</v>
      </c>
    </row>
    <row r="380">
      <c r="A380" s="2" t="inlineStr">
        <is>
          <t>PED00379</t>
        </is>
      </c>
      <c r="B380" s="3" t="n">
        <v>45640</v>
      </c>
      <c r="C380" s="2" t="inlineStr">
        <is>
          <t>C0182</t>
        </is>
      </c>
      <c r="D380" s="2" t="inlineStr">
        <is>
          <t>L01</t>
        </is>
      </c>
      <c r="E380" s="2" t="inlineStr">
        <is>
          <t>Entregue</t>
        </is>
      </c>
      <c r="F380" s="2" t="inlineStr">
        <is>
          <t>Cartão de crédito</t>
        </is>
      </c>
      <c r="G380" s="19" t="n">
        <v>0.1</v>
      </c>
    </row>
    <row r="381">
      <c r="A381" s="2" t="inlineStr">
        <is>
          <t>PED00380</t>
        </is>
      </c>
      <c r="B381" s="3" t="n">
        <v>45867</v>
      </c>
      <c r="C381" s="2" t="inlineStr">
        <is>
          <t>C0022</t>
        </is>
      </c>
      <c r="D381" s="2" t="inlineStr">
        <is>
          <t>L02</t>
        </is>
      </c>
      <c r="E381" s="2" t="inlineStr">
        <is>
          <t>Entregue</t>
        </is>
      </c>
      <c r="F381" s="2" t="inlineStr">
        <is>
          <t>Pix</t>
        </is>
      </c>
      <c r="G381" s="19" t="n">
        <v>0</v>
      </c>
    </row>
    <row r="382">
      <c r="A382" s="2" t="inlineStr">
        <is>
          <t>PED00381</t>
        </is>
      </c>
      <c r="B382" s="3" t="n">
        <v>45664</v>
      </c>
      <c r="C382" s="2" t="inlineStr">
        <is>
          <t>C0172</t>
        </is>
      </c>
      <c r="D382" s="2" t="inlineStr">
        <is>
          <t>L03</t>
        </is>
      </c>
      <c r="E382" s="2" t="inlineStr">
        <is>
          <t>Entregue</t>
        </is>
      </c>
      <c r="F382" s="2" t="inlineStr">
        <is>
          <t>Pix</t>
        </is>
      </c>
      <c r="G382" s="19" t="n">
        <v>0.15</v>
      </c>
    </row>
    <row r="383">
      <c r="A383" s="2" t="inlineStr">
        <is>
          <t>PED00382</t>
        </is>
      </c>
      <c r="B383" s="3" t="n">
        <v>45972</v>
      </c>
      <c r="C383" s="2" t="inlineStr">
        <is>
          <t>C0126</t>
        </is>
      </c>
      <c r="D383" s="2" t="inlineStr">
        <is>
          <t>L03</t>
        </is>
      </c>
      <c r="E383" s="2" t="inlineStr">
        <is>
          <t>Entregue</t>
        </is>
      </c>
      <c r="F383" s="2" t="inlineStr">
        <is>
          <t>Cartão de crédito</t>
        </is>
      </c>
      <c r="G383" s="19" t="n">
        <v>0.1</v>
      </c>
    </row>
    <row r="384">
      <c r="A384" s="2" t="inlineStr">
        <is>
          <t>PED00383</t>
        </is>
      </c>
      <c r="B384" s="3" t="n">
        <v>45761</v>
      </c>
      <c r="C384" s="2" t="inlineStr">
        <is>
          <t>C0265</t>
        </is>
      </c>
      <c r="D384" s="2" t="inlineStr">
        <is>
          <t>L06</t>
        </is>
      </c>
      <c r="E384" s="2" t="inlineStr">
        <is>
          <t>Em processamento</t>
        </is>
      </c>
      <c r="F384" s="2" t="inlineStr">
        <is>
          <t>Cartão de crédito</t>
        </is>
      </c>
      <c r="G384" s="19" t="n">
        <v>0.1</v>
      </c>
    </row>
    <row r="385">
      <c r="A385" s="2" t="inlineStr">
        <is>
          <t>PED00384</t>
        </is>
      </c>
      <c r="B385" s="3" t="n">
        <v>45948</v>
      </c>
      <c r="C385" s="2" t="inlineStr">
        <is>
          <t>C0078</t>
        </is>
      </c>
      <c r="D385" s="2" t="inlineStr">
        <is>
          <t>L01</t>
        </is>
      </c>
      <c r="E385" s="2" t="inlineStr">
        <is>
          <t>Devolvido</t>
        </is>
      </c>
      <c r="F385" s="2" t="inlineStr">
        <is>
          <t>Transferência</t>
        </is>
      </c>
      <c r="G385" s="19" t="n">
        <v>0.1</v>
      </c>
    </row>
    <row r="386">
      <c r="A386" s="2" t="inlineStr">
        <is>
          <t>PED00385</t>
        </is>
      </c>
      <c r="B386" s="3" t="n">
        <v>45951</v>
      </c>
      <c r="C386" s="2" t="inlineStr">
        <is>
          <t>C0106</t>
        </is>
      </c>
      <c r="D386" s="2" t="inlineStr">
        <is>
          <t>L08</t>
        </is>
      </c>
      <c r="E386" s="2" t="inlineStr">
        <is>
          <t>Entregue</t>
        </is>
      </c>
      <c r="F386" s="2" t="inlineStr">
        <is>
          <t>Boleto</t>
        </is>
      </c>
      <c r="G386" s="19" t="n">
        <v>0.1</v>
      </c>
    </row>
    <row r="387">
      <c r="A387" s="2" t="inlineStr">
        <is>
          <t>PED00386</t>
        </is>
      </c>
      <c r="B387" s="3" t="n">
        <v>45421</v>
      </c>
      <c r="C387" s="2" t="inlineStr">
        <is>
          <t>C0267</t>
        </is>
      </c>
      <c r="D387" s="2" t="inlineStr">
        <is>
          <t>L05</t>
        </is>
      </c>
      <c r="E387" s="2" t="inlineStr">
        <is>
          <t>Entregue</t>
        </is>
      </c>
      <c r="F387" s="2" t="inlineStr">
        <is>
          <t>Cartão de crédito</t>
        </is>
      </c>
      <c r="G387" s="19" t="n">
        <v>0</v>
      </c>
    </row>
    <row r="388">
      <c r="A388" s="2" t="inlineStr">
        <is>
          <t>PED00387</t>
        </is>
      </c>
      <c r="B388" s="3" t="n">
        <v>45603</v>
      </c>
      <c r="C388" s="2" t="inlineStr">
        <is>
          <t>C0217</t>
        </is>
      </c>
      <c r="D388" s="2" t="inlineStr">
        <is>
          <t>L02</t>
        </is>
      </c>
      <c r="E388" s="2" t="inlineStr">
        <is>
          <t>Entregue</t>
        </is>
      </c>
      <c r="F388" s="2" t="inlineStr">
        <is>
          <t>Cartão de débito</t>
        </is>
      </c>
      <c r="G388" s="19" t="n">
        <v>0</v>
      </c>
    </row>
    <row r="389">
      <c r="A389" s="2" t="inlineStr">
        <is>
          <t>PED00388</t>
        </is>
      </c>
      <c r="B389" s="3" t="n">
        <v>45297</v>
      </c>
      <c r="C389" s="2" t="inlineStr">
        <is>
          <t>C0233</t>
        </is>
      </c>
      <c r="D389" s="2" t="inlineStr">
        <is>
          <t>L06</t>
        </is>
      </c>
      <c r="E389" s="2" t="inlineStr">
        <is>
          <t>Devolvido</t>
        </is>
      </c>
      <c r="F389" s="2" t="inlineStr">
        <is>
          <t>Cartão de débito</t>
        </is>
      </c>
      <c r="G389" s="19" t="n">
        <v>0.15</v>
      </c>
    </row>
    <row r="390">
      <c r="A390" s="2" t="inlineStr">
        <is>
          <t>PED00389</t>
        </is>
      </c>
      <c r="B390" s="3" t="n">
        <v>45545</v>
      </c>
      <c r="C390" s="2" t="inlineStr">
        <is>
          <t>C0054</t>
        </is>
      </c>
      <c r="D390" s="2" t="inlineStr">
        <is>
          <t>L06</t>
        </is>
      </c>
      <c r="E390" s="2" t="inlineStr">
        <is>
          <t>Entregue</t>
        </is>
      </c>
      <c r="F390" s="2" t="inlineStr">
        <is>
          <t>Pix</t>
        </is>
      </c>
      <c r="G390" s="19" t="n">
        <v>0.1</v>
      </c>
    </row>
    <row r="391">
      <c r="A391" s="2" t="inlineStr">
        <is>
          <t>PED00390</t>
        </is>
      </c>
      <c r="B391" s="3" t="n">
        <v>45779</v>
      </c>
      <c r="C391" s="2" t="inlineStr">
        <is>
          <t>C0110</t>
        </is>
      </c>
      <c r="D391" s="2" t="inlineStr">
        <is>
          <t>L08</t>
        </is>
      </c>
      <c r="E391" s="2" t="inlineStr">
        <is>
          <t>Entregue</t>
        </is>
      </c>
      <c r="F391" s="2" t="inlineStr">
        <is>
          <t>Cartão de débito</t>
        </is>
      </c>
      <c r="G391" s="19" t="n">
        <v>0</v>
      </c>
    </row>
    <row r="392">
      <c r="A392" s="2" t="inlineStr">
        <is>
          <t>PED00391</t>
        </is>
      </c>
      <c r="B392" s="3" t="n">
        <v>45458</v>
      </c>
      <c r="C392" s="2" t="inlineStr">
        <is>
          <t>C0074</t>
        </is>
      </c>
      <c r="D392" s="2" t="inlineStr">
        <is>
          <t>L03</t>
        </is>
      </c>
      <c r="E392" s="2" t="inlineStr">
        <is>
          <t>Entregue</t>
        </is>
      </c>
      <c r="F392" s="2" t="inlineStr">
        <is>
          <t>Cartão de crédito</t>
        </is>
      </c>
      <c r="G392" s="19" t="n">
        <v>0.15</v>
      </c>
    </row>
    <row r="393">
      <c r="A393" s="2" t="inlineStr">
        <is>
          <t>PED00392</t>
        </is>
      </c>
      <c r="B393" s="3" t="n">
        <v>45864</v>
      </c>
      <c r="C393" s="2" t="inlineStr">
        <is>
          <t>C0190</t>
        </is>
      </c>
      <c r="D393" s="2" t="inlineStr">
        <is>
          <t>L02</t>
        </is>
      </c>
      <c r="E393" s="2" t="inlineStr">
        <is>
          <t>Entregue</t>
        </is>
      </c>
      <c r="F393" s="2" t="inlineStr">
        <is>
          <t>Cartão de crédito</t>
        </is>
      </c>
      <c r="G393" s="19" t="n">
        <v>0</v>
      </c>
    </row>
    <row r="394">
      <c r="A394" s="2" t="inlineStr">
        <is>
          <t>PED00393</t>
        </is>
      </c>
      <c r="B394" s="3" t="n">
        <v>45895</v>
      </c>
      <c r="C394" s="2" t="inlineStr">
        <is>
          <t>C0216</t>
        </is>
      </c>
      <c r="D394" s="2" t="inlineStr">
        <is>
          <t>L01</t>
        </is>
      </c>
      <c r="E394" s="2" t="inlineStr">
        <is>
          <t>Em processamento</t>
        </is>
      </c>
      <c r="F394" s="2" t="inlineStr">
        <is>
          <t>Pix</t>
        </is>
      </c>
      <c r="G394" s="19" t="n">
        <v>0</v>
      </c>
    </row>
    <row r="395">
      <c r="A395" s="2" t="inlineStr">
        <is>
          <t>PED00394</t>
        </is>
      </c>
      <c r="B395" s="3" t="n">
        <v>45361</v>
      </c>
      <c r="C395" s="2" t="inlineStr">
        <is>
          <t>C0023</t>
        </is>
      </c>
      <c r="D395" s="2" t="inlineStr">
        <is>
          <t>L07</t>
        </is>
      </c>
      <c r="E395" s="2" t="inlineStr">
        <is>
          <t>Entregue</t>
        </is>
      </c>
      <c r="F395" s="2" t="inlineStr">
        <is>
          <t>Pix</t>
        </is>
      </c>
      <c r="G395" s="19" t="n">
        <v>0.03</v>
      </c>
    </row>
    <row r="396">
      <c r="A396" s="2" t="inlineStr">
        <is>
          <t>PED00395</t>
        </is>
      </c>
      <c r="B396" s="3" t="n">
        <v>45943</v>
      </c>
      <c r="C396" s="2" t="inlineStr">
        <is>
          <t>C0236</t>
        </is>
      </c>
      <c r="D396" s="2" t="inlineStr">
        <is>
          <t>L08</t>
        </is>
      </c>
      <c r="E396" s="2" t="inlineStr">
        <is>
          <t>Entregue</t>
        </is>
      </c>
      <c r="F396" s="2" t="inlineStr">
        <is>
          <t>Pix</t>
        </is>
      </c>
      <c r="G396" s="19" t="n">
        <v>0.05</v>
      </c>
    </row>
    <row r="397">
      <c r="A397" s="2" t="inlineStr">
        <is>
          <t>PED00396</t>
        </is>
      </c>
      <c r="B397" s="3" t="n">
        <v>45639</v>
      </c>
      <c r="C397" s="2" t="inlineStr">
        <is>
          <t>C0277</t>
        </is>
      </c>
      <c r="D397" s="2" t="inlineStr">
        <is>
          <t>L01</t>
        </is>
      </c>
      <c r="E397" s="2" t="inlineStr">
        <is>
          <t>Em processamento</t>
        </is>
      </c>
      <c r="F397" s="2" t="inlineStr">
        <is>
          <t>Boleto</t>
        </is>
      </c>
      <c r="G397" s="19" t="n">
        <v>0.05</v>
      </c>
    </row>
    <row r="398">
      <c r="A398" s="2" t="inlineStr">
        <is>
          <t>PED00397</t>
        </is>
      </c>
      <c r="B398" s="3" t="n">
        <v>45346</v>
      </c>
      <c r="C398" s="2" t="inlineStr">
        <is>
          <t>C0292</t>
        </is>
      </c>
      <c r="D398" s="2" t="inlineStr">
        <is>
          <t>L04</t>
        </is>
      </c>
      <c r="E398" s="2" t="inlineStr">
        <is>
          <t>Entregue</t>
        </is>
      </c>
      <c r="F398" s="2" t="inlineStr">
        <is>
          <t>Cartão de crédito</t>
        </is>
      </c>
      <c r="G398" s="19" t="n">
        <v>0</v>
      </c>
    </row>
    <row r="399">
      <c r="A399" s="2" t="inlineStr">
        <is>
          <t>PED00398</t>
        </is>
      </c>
      <c r="B399" s="3" t="n">
        <v>45838</v>
      </c>
      <c r="C399" s="2" t="inlineStr">
        <is>
          <t>C0311</t>
        </is>
      </c>
      <c r="D399" s="2" t="inlineStr">
        <is>
          <t>L06</t>
        </is>
      </c>
      <c r="E399" s="2" t="inlineStr">
        <is>
          <t>Entregue</t>
        </is>
      </c>
      <c r="F399" s="2" t="inlineStr">
        <is>
          <t>Pix</t>
        </is>
      </c>
      <c r="G399" s="19" t="n">
        <v>0.1</v>
      </c>
    </row>
    <row r="400">
      <c r="A400" s="2" t="inlineStr">
        <is>
          <t>PED00399</t>
        </is>
      </c>
      <c r="B400" s="3" t="n">
        <v>45832</v>
      </c>
      <c r="C400" s="2" t="inlineStr">
        <is>
          <t>C0163</t>
        </is>
      </c>
      <c r="D400" s="2" t="inlineStr">
        <is>
          <t>L07</t>
        </is>
      </c>
      <c r="E400" s="2" t="inlineStr">
        <is>
          <t>Entregue</t>
        </is>
      </c>
      <c r="F400" s="2" t="inlineStr">
        <is>
          <t>Pix</t>
        </is>
      </c>
      <c r="G400" s="19" t="n">
        <v>0</v>
      </c>
    </row>
    <row r="401">
      <c r="A401" s="2" t="inlineStr">
        <is>
          <t>PED00400</t>
        </is>
      </c>
      <c r="B401" s="3" t="n">
        <v>45449</v>
      </c>
      <c r="C401" s="2" t="inlineStr">
        <is>
          <t>C0158</t>
        </is>
      </c>
      <c r="D401" s="2" t="inlineStr">
        <is>
          <t>L07</t>
        </is>
      </c>
      <c r="E401" s="2" t="inlineStr">
        <is>
          <t>Entregue</t>
        </is>
      </c>
      <c r="F401" s="2" t="inlineStr">
        <is>
          <t>Pix</t>
        </is>
      </c>
      <c r="G401" s="19" t="n">
        <v>0.15</v>
      </c>
    </row>
    <row r="402">
      <c r="A402" s="2" t="inlineStr">
        <is>
          <t>PED00401</t>
        </is>
      </c>
      <c r="B402" s="3" t="n">
        <v>45437</v>
      </c>
      <c r="C402" s="2" t="inlineStr">
        <is>
          <t>C0212</t>
        </is>
      </c>
      <c r="D402" s="2" t="inlineStr">
        <is>
          <t>L06</t>
        </is>
      </c>
      <c r="E402" s="2" t="inlineStr">
        <is>
          <t>Entregue</t>
        </is>
      </c>
      <c r="F402" s="2" t="inlineStr">
        <is>
          <t>Boleto</t>
        </is>
      </c>
      <c r="G402" s="19" t="n">
        <v>0.1</v>
      </c>
    </row>
    <row r="403">
      <c r="A403" s="2" t="inlineStr">
        <is>
          <t>PED00402</t>
        </is>
      </c>
      <c r="B403" s="3" t="n">
        <v>45796</v>
      </c>
      <c r="C403" s="2" t="inlineStr">
        <is>
          <t>C0261</t>
        </is>
      </c>
      <c r="D403" s="2" t="inlineStr">
        <is>
          <t>L07</t>
        </is>
      </c>
      <c r="E403" s="2" t="inlineStr">
        <is>
          <t>Em processamento</t>
        </is>
      </c>
      <c r="F403" s="2" t="inlineStr">
        <is>
          <t>Pix</t>
        </is>
      </c>
      <c r="G403" s="19" t="n">
        <v>0</v>
      </c>
    </row>
    <row r="404">
      <c r="A404" s="2" t="inlineStr">
        <is>
          <t>PED00403</t>
        </is>
      </c>
      <c r="B404" s="3" t="n">
        <v>45544</v>
      </c>
      <c r="C404" s="2" t="inlineStr">
        <is>
          <t>C0285</t>
        </is>
      </c>
      <c r="D404" s="2" t="inlineStr">
        <is>
          <t>L03</t>
        </is>
      </c>
      <c r="E404" s="2" t="inlineStr">
        <is>
          <t>Entregue</t>
        </is>
      </c>
      <c r="F404" s="2" t="inlineStr">
        <is>
          <t>Cartão de crédito</t>
        </is>
      </c>
      <c r="G404" s="19" t="n">
        <v>0</v>
      </c>
    </row>
    <row r="405">
      <c r="A405" s="2" t="inlineStr">
        <is>
          <t>PED00404</t>
        </is>
      </c>
      <c r="B405" s="3" t="n">
        <v>45334</v>
      </c>
      <c r="C405" s="2" t="inlineStr">
        <is>
          <t>C0001</t>
        </is>
      </c>
      <c r="D405" s="2" t="inlineStr">
        <is>
          <t>L08</t>
        </is>
      </c>
      <c r="E405" s="2" t="inlineStr">
        <is>
          <t>Devolvido</t>
        </is>
      </c>
      <c r="F405" s="2" t="inlineStr">
        <is>
          <t>Cartão de crédito</t>
        </is>
      </c>
      <c r="G405" s="19" t="n">
        <v>0.05</v>
      </c>
    </row>
    <row r="406">
      <c r="A406" s="2" t="inlineStr">
        <is>
          <t>PED00405</t>
        </is>
      </c>
      <c r="B406" s="3" t="n">
        <v>45904</v>
      </c>
      <c r="C406" s="2" t="inlineStr">
        <is>
          <t>C0129</t>
        </is>
      </c>
      <c r="D406" s="2" t="inlineStr">
        <is>
          <t>L07</t>
        </is>
      </c>
      <c r="E406" s="2" t="inlineStr">
        <is>
          <t>Devolvido</t>
        </is>
      </c>
      <c r="F406" s="2" t="inlineStr">
        <is>
          <t>Cartão de débito</t>
        </is>
      </c>
      <c r="G406" s="19" t="n">
        <v>0</v>
      </c>
    </row>
    <row r="407">
      <c r="A407" s="2" t="inlineStr">
        <is>
          <t>PED00406</t>
        </is>
      </c>
      <c r="B407" s="3" t="n">
        <v>45917</v>
      </c>
      <c r="C407" s="2" t="inlineStr">
        <is>
          <t>C0259</t>
        </is>
      </c>
      <c r="D407" s="2" t="inlineStr">
        <is>
          <t>L06</t>
        </is>
      </c>
      <c r="E407" s="2" t="inlineStr">
        <is>
          <t>Cancelado</t>
        </is>
      </c>
      <c r="F407" s="2" t="inlineStr">
        <is>
          <t>Boleto</t>
        </is>
      </c>
      <c r="G407" s="19" t="n">
        <v>0.05</v>
      </c>
    </row>
    <row r="408">
      <c r="A408" s="2" t="inlineStr">
        <is>
          <t>PED00407</t>
        </is>
      </c>
      <c r="B408" s="3" t="n">
        <v>45861</v>
      </c>
      <c r="C408" s="2" t="inlineStr">
        <is>
          <t>C0251</t>
        </is>
      </c>
      <c r="D408" s="2" t="inlineStr">
        <is>
          <t>L07</t>
        </is>
      </c>
      <c r="E408" s="2" t="inlineStr">
        <is>
          <t>Entregue</t>
        </is>
      </c>
      <c r="F408" s="2" t="inlineStr">
        <is>
          <t>Cartão de débito</t>
        </is>
      </c>
      <c r="G408" s="19" t="n">
        <v>0.05</v>
      </c>
    </row>
    <row r="409">
      <c r="A409" s="2" t="inlineStr">
        <is>
          <t>PED00408</t>
        </is>
      </c>
      <c r="B409" s="3" t="n">
        <v>45747</v>
      </c>
      <c r="C409" s="2" t="inlineStr">
        <is>
          <t>C0345</t>
        </is>
      </c>
      <c r="D409" s="2" t="inlineStr">
        <is>
          <t>L02</t>
        </is>
      </c>
      <c r="E409" s="2" t="inlineStr">
        <is>
          <t>Entregue</t>
        </is>
      </c>
      <c r="F409" s="2" t="inlineStr">
        <is>
          <t>Cartão de débito</t>
        </is>
      </c>
      <c r="G409" s="19" t="n">
        <v>0.1</v>
      </c>
    </row>
    <row r="410">
      <c r="A410" s="2" t="inlineStr">
        <is>
          <t>PED00409</t>
        </is>
      </c>
      <c r="B410" s="3" t="n">
        <v>45312</v>
      </c>
      <c r="C410" s="2" t="inlineStr">
        <is>
          <t>C0144</t>
        </is>
      </c>
      <c r="D410" s="2" t="inlineStr">
        <is>
          <t>L06</t>
        </is>
      </c>
      <c r="E410" s="2" t="inlineStr">
        <is>
          <t>Entregue</t>
        </is>
      </c>
      <c r="F410" s="2" t="inlineStr">
        <is>
          <t>Cartão de débito</t>
        </is>
      </c>
      <c r="G410" s="19" t="n">
        <v>0.05</v>
      </c>
    </row>
    <row r="411">
      <c r="A411" s="2" t="inlineStr">
        <is>
          <t>PED00410</t>
        </is>
      </c>
      <c r="B411" s="3" t="n">
        <v>45576</v>
      </c>
      <c r="C411" s="2" t="inlineStr">
        <is>
          <t>C0292</t>
        </is>
      </c>
      <c r="D411" s="2" t="inlineStr">
        <is>
          <t>L08</t>
        </is>
      </c>
      <c r="E411" s="2" t="inlineStr">
        <is>
          <t>Entregue</t>
        </is>
      </c>
      <c r="F411" s="2" t="inlineStr">
        <is>
          <t>Pix</t>
        </is>
      </c>
      <c r="G411" s="19" t="n">
        <v>0.05</v>
      </c>
    </row>
    <row r="412">
      <c r="A412" s="2" t="inlineStr">
        <is>
          <t>PED00411</t>
        </is>
      </c>
      <c r="B412" s="3" t="n">
        <v>45572</v>
      </c>
      <c r="C412" s="2" t="inlineStr">
        <is>
          <t>C0099</t>
        </is>
      </c>
      <c r="D412" s="2" t="inlineStr">
        <is>
          <t>L01</t>
        </is>
      </c>
      <c r="E412" s="2" t="inlineStr">
        <is>
          <t>Devolvido</t>
        </is>
      </c>
      <c r="F412" s="2" t="inlineStr">
        <is>
          <t>Cartão de débito</t>
        </is>
      </c>
      <c r="G412" s="19" t="n">
        <v>0.03</v>
      </c>
    </row>
    <row r="413">
      <c r="A413" s="2" t="inlineStr">
        <is>
          <t>PED00412</t>
        </is>
      </c>
      <c r="B413" s="3" t="n">
        <v>45622</v>
      </c>
      <c r="C413" s="2" t="inlineStr">
        <is>
          <t>C0222</t>
        </is>
      </c>
      <c r="D413" s="2" t="inlineStr">
        <is>
          <t>L07</t>
        </is>
      </c>
      <c r="E413" s="2" t="inlineStr">
        <is>
          <t>Entregue</t>
        </is>
      </c>
      <c r="F413" s="2" t="inlineStr">
        <is>
          <t>Cartão de débito</t>
        </is>
      </c>
      <c r="G413" s="19" t="n">
        <v>0.03</v>
      </c>
    </row>
    <row r="414">
      <c r="A414" s="2" t="inlineStr">
        <is>
          <t>PED00413</t>
        </is>
      </c>
      <c r="B414" s="3" t="n">
        <v>45693</v>
      </c>
      <c r="C414" s="2" t="inlineStr">
        <is>
          <t>C0100</t>
        </is>
      </c>
      <c r="D414" s="2" t="inlineStr">
        <is>
          <t>L06</t>
        </is>
      </c>
      <c r="E414" s="2" t="inlineStr">
        <is>
          <t>Entregue</t>
        </is>
      </c>
      <c r="F414" s="2" t="inlineStr">
        <is>
          <t>Cartão de crédito</t>
        </is>
      </c>
      <c r="G414" s="19" t="n">
        <v>0</v>
      </c>
    </row>
    <row r="415">
      <c r="A415" s="2" t="inlineStr">
        <is>
          <t>PED00414</t>
        </is>
      </c>
      <c r="B415" s="3" t="n">
        <v>45316</v>
      </c>
      <c r="C415" s="2" t="inlineStr">
        <is>
          <t>C0304</t>
        </is>
      </c>
      <c r="D415" s="2" t="inlineStr">
        <is>
          <t>L06</t>
        </is>
      </c>
      <c r="E415" s="2" t="inlineStr">
        <is>
          <t>Cancelado</t>
        </is>
      </c>
      <c r="F415" s="2" t="inlineStr">
        <is>
          <t>Pix</t>
        </is>
      </c>
      <c r="G415" s="19" t="n">
        <v>0.03</v>
      </c>
    </row>
    <row r="416">
      <c r="A416" s="2" t="inlineStr">
        <is>
          <t>PED00415</t>
        </is>
      </c>
      <c r="B416" s="3" t="n">
        <v>45358</v>
      </c>
      <c r="C416" s="2" t="inlineStr">
        <is>
          <t>C0066</t>
        </is>
      </c>
      <c r="D416" s="2" t="inlineStr">
        <is>
          <t>L01</t>
        </is>
      </c>
      <c r="E416" s="2" t="inlineStr">
        <is>
          <t>Em processamento</t>
        </is>
      </c>
      <c r="F416" s="2" t="inlineStr">
        <is>
          <t>Cartão de crédito</t>
        </is>
      </c>
      <c r="G416" s="19" t="n">
        <v>0</v>
      </c>
    </row>
    <row r="417">
      <c r="A417" s="2" t="inlineStr">
        <is>
          <t>PED00416</t>
        </is>
      </c>
      <c r="B417" s="3" t="n">
        <v>45905</v>
      </c>
      <c r="C417" s="2" t="inlineStr">
        <is>
          <t>C0338</t>
        </is>
      </c>
      <c r="D417" s="2" t="inlineStr">
        <is>
          <t>L01</t>
        </is>
      </c>
      <c r="E417" s="2" t="inlineStr">
        <is>
          <t>Entregue</t>
        </is>
      </c>
      <c r="F417" s="2" t="inlineStr">
        <is>
          <t>Cartão de crédito</t>
        </is>
      </c>
      <c r="G417" s="19" t="n">
        <v>0.03</v>
      </c>
    </row>
    <row r="418">
      <c r="A418" s="2" t="inlineStr">
        <is>
          <t>PED00417</t>
        </is>
      </c>
      <c r="B418" s="3" t="n">
        <v>45490</v>
      </c>
      <c r="C418" s="2" t="inlineStr">
        <is>
          <t>C0294</t>
        </is>
      </c>
      <c r="D418" s="2" t="inlineStr">
        <is>
          <t>L03</t>
        </is>
      </c>
      <c r="E418" s="2" t="inlineStr">
        <is>
          <t>Entregue</t>
        </is>
      </c>
      <c r="F418" s="2" t="inlineStr">
        <is>
          <t>Pix</t>
        </is>
      </c>
      <c r="G418" s="19" t="n">
        <v>0.03</v>
      </c>
    </row>
    <row r="419">
      <c r="A419" s="2" t="inlineStr">
        <is>
          <t>PED00418</t>
        </is>
      </c>
      <c r="B419" s="3" t="n">
        <v>45658</v>
      </c>
      <c r="C419" s="2" t="inlineStr">
        <is>
          <t>C0160</t>
        </is>
      </c>
      <c r="D419" s="2" t="inlineStr">
        <is>
          <t>L03</t>
        </is>
      </c>
      <c r="E419" s="2" t="inlineStr">
        <is>
          <t>Entregue</t>
        </is>
      </c>
      <c r="F419" s="2" t="inlineStr">
        <is>
          <t>Pix</t>
        </is>
      </c>
      <c r="G419" s="19" t="n">
        <v>0</v>
      </c>
    </row>
    <row r="420">
      <c r="A420" s="2" t="inlineStr">
        <is>
          <t>PED00419</t>
        </is>
      </c>
      <c r="B420" s="3" t="n">
        <v>45864</v>
      </c>
      <c r="C420" s="2" t="inlineStr">
        <is>
          <t>C0028</t>
        </is>
      </c>
      <c r="D420" s="2" t="inlineStr">
        <is>
          <t>L07</t>
        </is>
      </c>
      <c r="E420" s="2" t="inlineStr">
        <is>
          <t>Entregue</t>
        </is>
      </c>
      <c r="F420" s="2" t="inlineStr">
        <is>
          <t>Transferência</t>
        </is>
      </c>
      <c r="G420" s="19" t="n">
        <v>0.05</v>
      </c>
    </row>
    <row r="421">
      <c r="A421" s="2" t="inlineStr">
        <is>
          <t>PED00420</t>
        </is>
      </c>
      <c r="B421" s="3" t="n">
        <v>46003</v>
      </c>
      <c r="C421" s="2" t="inlineStr">
        <is>
          <t>C0240</t>
        </is>
      </c>
      <c r="D421" s="2" t="inlineStr">
        <is>
          <t>L06</t>
        </is>
      </c>
      <c r="E421" s="2" t="inlineStr">
        <is>
          <t>Cancelado</t>
        </is>
      </c>
      <c r="F421" s="2" t="inlineStr">
        <is>
          <t>Cartão de crédito</t>
        </is>
      </c>
      <c r="G421" s="19" t="n">
        <v>0</v>
      </c>
    </row>
    <row r="422">
      <c r="A422" s="2" t="inlineStr">
        <is>
          <t>PED00421</t>
        </is>
      </c>
      <c r="B422" s="3" t="n">
        <v>45295</v>
      </c>
      <c r="C422" s="2" t="inlineStr">
        <is>
          <t>C0328</t>
        </is>
      </c>
      <c r="D422" s="2" t="inlineStr">
        <is>
          <t>L04</t>
        </is>
      </c>
      <c r="E422" s="2" t="inlineStr">
        <is>
          <t>Entregue</t>
        </is>
      </c>
      <c r="F422" s="2" t="inlineStr">
        <is>
          <t>Cartão de crédito</t>
        </is>
      </c>
      <c r="G422" s="19" t="n">
        <v>0</v>
      </c>
    </row>
    <row r="423">
      <c r="A423" s="2" t="inlineStr">
        <is>
          <t>PED00422</t>
        </is>
      </c>
      <c r="B423" s="3" t="n">
        <v>45367</v>
      </c>
      <c r="C423" s="2" t="inlineStr">
        <is>
          <t>C0184</t>
        </is>
      </c>
      <c r="D423" s="2" t="inlineStr">
        <is>
          <t>L01</t>
        </is>
      </c>
      <c r="E423" s="2" t="inlineStr">
        <is>
          <t>Entregue</t>
        </is>
      </c>
      <c r="F423" s="2" t="inlineStr">
        <is>
          <t>Pix</t>
        </is>
      </c>
      <c r="G423" s="19" t="n">
        <v>0.03</v>
      </c>
    </row>
    <row r="424">
      <c r="A424" s="2" t="inlineStr">
        <is>
          <t>PED00423</t>
        </is>
      </c>
      <c r="B424" s="3" t="n">
        <v>45543</v>
      </c>
      <c r="C424" s="2" t="inlineStr">
        <is>
          <t>C0092</t>
        </is>
      </c>
      <c r="D424" s="2" t="inlineStr">
        <is>
          <t>L04</t>
        </is>
      </c>
      <c r="E424" s="2" t="inlineStr">
        <is>
          <t>Entregue</t>
        </is>
      </c>
      <c r="F424" s="2" t="inlineStr">
        <is>
          <t>Cartão de débito</t>
        </is>
      </c>
      <c r="G424" s="19" t="n">
        <v>0.1</v>
      </c>
    </row>
    <row r="425">
      <c r="A425" s="2" t="inlineStr">
        <is>
          <t>PED00424</t>
        </is>
      </c>
      <c r="B425" s="3" t="n">
        <v>45405</v>
      </c>
      <c r="C425" s="2" t="inlineStr">
        <is>
          <t>C0174</t>
        </is>
      </c>
      <c r="D425" s="2" t="inlineStr">
        <is>
          <t>L04</t>
        </is>
      </c>
      <c r="E425" s="2" t="inlineStr">
        <is>
          <t>Entregue</t>
        </is>
      </c>
      <c r="F425" s="2" t="inlineStr">
        <is>
          <t>Pix</t>
        </is>
      </c>
      <c r="G425" s="19" t="n">
        <v>0.1</v>
      </c>
    </row>
    <row r="426">
      <c r="A426" s="2" t="inlineStr">
        <is>
          <t>PED00425</t>
        </is>
      </c>
      <c r="B426" s="3" t="n">
        <v>45617</v>
      </c>
      <c r="C426" s="2" t="inlineStr">
        <is>
          <t>C0307</t>
        </is>
      </c>
      <c r="D426" s="2" t="inlineStr">
        <is>
          <t>L07</t>
        </is>
      </c>
      <c r="E426" s="2" t="inlineStr">
        <is>
          <t>Devolvido</t>
        </is>
      </c>
      <c r="F426" s="2" t="inlineStr">
        <is>
          <t>Pix</t>
        </is>
      </c>
      <c r="G426" s="19" t="n">
        <v>0</v>
      </c>
    </row>
    <row r="427">
      <c r="A427" s="2" t="inlineStr">
        <is>
          <t>PED00426</t>
        </is>
      </c>
      <c r="B427" s="3" t="n">
        <v>45890</v>
      </c>
      <c r="C427" s="2" t="inlineStr">
        <is>
          <t>C0251</t>
        </is>
      </c>
      <c r="D427" s="2" t="inlineStr">
        <is>
          <t>L04</t>
        </is>
      </c>
      <c r="E427" s="2" t="inlineStr">
        <is>
          <t>Entregue</t>
        </is>
      </c>
      <c r="F427" s="2" t="inlineStr">
        <is>
          <t>Cartão de débito</t>
        </is>
      </c>
      <c r="G427" s="19" t="n">
        <v>0.1</v>
      </c>
    </row>
    <row r="428">
      <c r="A428" s="2" t="inlineStr">
        <is>
          <t>PED00427</t>
        </is>
      </c>
      <c r="B428" s="3" t="n">
        <v>45674</v>
      </c>
      <c r="C428" s="2" t="inlineStr">
        <is>
          <t>C0270</t>
        </is>
      </c>
      <c r="D428" s="2" t="inlineStr">
        <is>
          <t>L08</t>
        </is>
      </c>
      <c r="E428" s="2" t="inlineStr">
        <is>
          <t>Entregue</t>
        </is>
      </c>
      <c r="F428" s="2" t="inlineStr">
        <is>
          <t>Cartão de crédito</t>
        </is>
      </c>
      <c r="G428" s="19" t="n">
        <v>0</v>
      </c>
    </row>
    <row r="429">
      <c r="A429" s="2" t="inlineStr">
        <is>
          <t>PED00428</t>
        </is>
      </c>
      <c r="B429" s="3" t="n">
        <v>45605</v>
      </c>
      <c r="C429" s="2" t="inlineStr">
        <is>
          <t>C0218</t>
        </is>
      </c>
      <c r="D429" s="2" t="inlineStr">
        <is>
          <t>L07</t>
        </is>
      </c>
      <c r="E429" s="2" t="inlineStr">
        <is>
          <t>Entregue</t>
        </is>
      </c>
      <c r="F429" s="2" t="inlineStr">
        <is>
          <t>Boleto</t>
        </is>
      </c>
      <c r="G429" s="19" t="n">
        <v>0</v>
      </c>
    </row>
    <row r="430">
      <c r="A430" s="2" t="inlineStr">
        <is>
          <t>PED00429</t>
        </is>
      </c>
      <c r="B430" s="3" t="n">
        <v>45770</v>
      </c>
      <c r="C430" s="2" t="inlineStr">
        <is>
          <t>C0222</t>
        </is>
      </c>
      <c r="D430" s="2" t="inlineStr">
        <is>
          <t>L07</t>
        </is>
      </c>
      <c r="E430" s="2" t="inlineStr">
        <is>
          <t>Entregue</t>
        </is>
      </c>
      <c r="F430" s="2" t="inlineStr">
        <is>
          <t>Cartão de crédito</t>
        </is>
      </c>
      <c r="G430" s="19" t="n">
        <v>0</v>
      </c>
    </row>
    <row r="431">
      <c r="A431" s="2" t="inlineStr">
        <is>
          <t>PED00430</t>
        </is>
      </c>
      <c r="B431" s="3" t="n">
        <v>45659</v>
      </c>
      <c r="C431" s="2" t="inlineStr">
        <is>
          <t>C0043</t>
        </is>
      </c>
      <c r="D431" s="2" t="inlineStr">
        <is>
          <t>L05</t>
        </is>
      </c>
      <c r="E431" s="2" t="inlineStr">
        <is>
          <t>Cancelado</t>
        </is>
      </c>
      <c r="F431" s="2" t="inlineStr">
        <is>
          <t>Cartão de crédito</t>
        </is>
      </c>
      <c r="G431" s="19" t="n">
        <v>0.05</v>
      </c>
    </row>
    <row r="432">
      <c r="A432" s="2" t="inlineStr">
        <is>
          <t>PED00431</t>
        </is>
      </c>
      <c r="B432" s="3" t="n">
        <v>45991</v>
      </c>
      <c r="C432" s="2" t="inlineStr">
        <is>
          <t>C0141</t>
        </is>
      </c>
      <c r="D432" s="2" t="inlineStr">
        <is>
          <t>L04</t>
        </is>
      </c>
      <c r="E432" s="2" t="inlineStr">
        <is>
          <t>Entregue</t>
        </is>
      </c>
      <c r="F432" s="2" t="inlineStr">
        <is>
          <t>Transferência</t>
        </is>
      </c>
      <c r="G432" s="19" t="n">
        <v>0.15</v>
      </c>
    </row>
    <row r="433">
      <c r="A433" s="2" t="inlineStr">
        <is>
          <t>PED00432</t>
        </is>
      </c>
      <c r="B433" s="3" t="n">
        <v>45963</v>
      </c>
      <c r="C433" s="2" t="inlineStr">
        <is>
          <t>C0007</t>
        </is>
      </c>
      <c r="D433" s="2" t="inlineStr">
        <is>
          <t>L08</t>
        </is>
      </c>
      <c r="E433" s="2" t="inlineStr">
        <is>
          <t>Entregue</t>
        </is>
      </c>
      <c r="F433" s="2" t="inlineStr">
        <is>
          <t>Transferência</t>
        </is>
      </c>
      <c r="G433" s="19" t="n">
        <v>0.15</v>
      </c>
    </row>
    <row r="434">
      <c r="A434" s="2" t="inlineStr">
        <is>
          <t>PED00433</t>
        </is>
      </c>
      <c r="B434" s="3" t="n">
        <v>46006</v>
      </c>
      <c r="C434" s="2" t="inlineStr">
        <is>
          <t>C0214</t>
        </is>
      </c>
      <c r="D434" s="2" t="inlineStr">
        <is>
          <t>L04</t>
        </is>
      </c>
      <c r="E434" s="2" t="inlineStr">
        <is>
          <t>Entregue</t>
        </is>
      </c>
      <c r="F434" s="2" t="inlineStr">
        <is>
          <t>Boleto</t>
        </is>
      </c>
      <c r="G434" s="19" t="n">
        <v>0</v>
      </c>
    </row>
    <row r="435">
      <c r="A435" s="2" t="inlineStr">
        <is>
          <t>PED00434</t>
        </is>
      </c>
      <c r="B435" s="3" t="n">
        <v>45803</v>
      </c>
      <c r="C435" s="2" t="inlineStr">
        <is>
          <t>C0338</t>
        </is>
      </c>
      <c r="D435" s="2" t="inlineStr">
        <is>
          <t>L06</t>
        </is>
      </c>
      <c r="E435" s="2" t="inlineStr">
        <is>
          <t>Entregue</t>
        </is>
      </c>
      <c r="F435" s="2" t="inlineStr">
        <is>
          <t>Cartão de crédito</t>
        </is>
      </c>
      <c r="G435" s="19" t="n">
        <v>0.05</v>
      </c>
    </row>
    <row r="436">
      <c r="A436" s="2" t="inlineStr">
        <is>
          <t>PED00435</t>
        </is>
      </c>
      <c r="B436" s="3" t="n">
        <v>45449</v>
      </c>
      <c r="C436" s="2" t="inlineStr">
        <is>
          <t>C0170</t>
        </is>
      </c>
      <c r="D436" s="2" t="inlineStr">
        <is>
          <t>L07</t>
        </is>
      </c>
      <c r="E436" s="2" t="inlineStr">
        <is>
          <t>Devolvido</t>
        </is>
      </c>
      <c r="F436" s="2" t="inlineStr">
        <is>
          <t>Pix</t>
        </is>
      </c>
      <c r="G436" s="19" t="n">
        <v>0</v>
      </c>
    </row>
    <row r="437">
      <c r="A437" s="2" t="inlineStr">
        <is>
          <t>PED00436</t>
        </is>
      </c>
      <c r="B437" s="3" t="n">
        <v>45387</v>
      </c>
      <c r="C437" s="2" t="inlineStr">
        <is>
          <t>C0088</t>
        </is>
      </c>
      <c r="D437" s="2" t="inlineStr">
        <is>
          <t>L02</t>
        </is>
      </c>
      <c r="E437" s="2" t="inlineStr">
        <is>
          <t>Entregue</t>
        </is>
      </c>
      <c r="F437" s="2" t="inlineStr">
        <is>
          <t>Pix</t>
        </is>
      </c>
      <c r="G437" s="19" t="n">
        <v>0.1</v>
      </c>
    </row>
    <row r="438">
      <c r="A438" s="2" t="inlineStr">
        <is>
          <t>PED00437</t>
        </is>
      </c>
      <c r="B438" s="3" t="n">
        <v>45350</v>
      </c>
      <c r="C438" s="2" t="inlineStr">
        <is>
          <t>C0189</t>
        </is>
      </c>
      <c r="D438" s="2" t="inlineStr">
        <is>
          <t>L01</t>
        </is>
      </c>
      <c r="E438" s="2" t="inlineStr">
        <is>
          <t>Entregue</t>
        </is>
      </c>
      <c r="F438" s="2" t="inlineStr">
        <is>
          <t>Boleto</t>
        </is>
      </c>
      <c r="G438" s="19" t="n">
        <v>0</v>
      </c>
    </row>
    <row r="439">
      <c r="A439" s="2" t="inlineStr">
        <is>
          <t>PED00438</t>
        </is>
      </c>
      <c r="B439" s="3" t="n">
        <v>45362</v>
      </c>
      <c r="C439" s="2" t="inlineStr">
        <is>
          <t>C0200</t>
        </is>
      </c>
      <c r="D439" s="2" t="inlineStr">
        <is>
          <t>L04</t>
        </is>
      </c>
      <c r="E439" s="2" t="inlineStr">
        <is>
          <t>Entregue</t>
        </is>
      </c>
      <c r="F439" s="2" t="inlineStr">
        <is>
          <t>Pix</t>
        </is>
      </c>
      <c r="G439" s="19" t="n">
        <v>0.03</v>
      </c>
    </row>
    <row r="440">
      <c r="A440" s="2" t="inlineStr">
        <is>
          <t>PED00439</t>
        </is>
      </c>
      <c r="B440" s="3" t="n">
        <v>45357</v>
      </c>
      <c r="C440" s="2" t="inlineStr">
        <is>
          <t>C0205</t>
        </is>
      </c>
      <c r="D440" s="2" t="inlineStr">
        <is>
          <t>L04</t>
        </is>
      </c>
      <c r="E440" s="2" t="inlineStr">
        <is>
          <t>Entregue</t>
        </is>
      </c>
      <c r="F440" s="2" t="inlineStr">
        <is>
          <t>Boleto</t>
        </is>
      </c>
      <c r="G440" s="19" t="n">
        <v>0.1</v>
      </c>
    </row>
    <row r="441">
      <c r="A441" s="2" t="inlineStr">
        <is>
          <t>PED00440</t>
        </is>
      </c>
      <c r="B441" s="3" t="n">
        <v>46020</v>
      </c>
      <c r="C441" s="2" t="inlineStr">
        <is>
          <t>C0153</t>
        </is>
      </c>
      <c r="D441" s="2" t="inlineStr">
        <is>
          <t>L07</t>
        </is>
      </c>
      <c r="E441" s="2" t="inlineStr">
        <is>
          <t>Entregue</t>
        </is>
      </c>
      <c r="F441" s="2" t="inlineStr">
        <is>
          <t>Cartão de débito</t>
        </is>
      </c>
      <c r="G441" s="19" t="n">
        <v>0</v>
      </c>
    </row>
    <row r="442">
      <c r="A442" s="2" t="inlineStr">
        <is>
          <t>PED00441</t>
        </is>
      </c>
      <c r="B442" s="3" t="n">
        <v>46007</v>
      </c>
      <c r="C442" s="2" t="inlineStr">
        <is>
          <t>C0023</t>
        </is>
      </c>
      <c r="D442" s="2" t="inlineStr">
        <is>
          <t>L04</t>
        </is>
      </c>
      <c r="E442" s="2" t="inlineStr">
        <is>
          <t>Cancelado</t>
        </is>
      </c>
      <c r="F442" s="2" t="inlineStr">
        <is>
          <t>Pix</t>
        </is>
      </c>
      <c r="G442" s="19" t="n">
        <v>0.1</v>
      </c>
    </row>
    <row r="443">
      <c r="A443" s="2" t="inlineStr">
        <is>
          <t>PED00442</t>
        </is>
      </c>
      <c r="B443" s="3" t="n">
        <v>45669</v>
      </c>
      <c r="C443" s="2" t="inlineStr">
        <is>
          <t>C0040</t>
        </is>
      </c>
      <c r="D443" s="2" t="inlineStr">
        <is>
          <t>L02</t>
        </is>
      </c>
      <c r="E443" s="2" t="inlineStr">
        <is>
          <t>Entregue</t>
        </is>
      </c>
      <c r="F443" s="2" t="inlineStr">
        <is>
          <t>Cartão de débito</t>
        </is>
      </c>
      <c r="G443" s="19" t="n">
        <v>0</v>
      </c>
    </row>
    <row r="444">
      <c r="A444" s="2" t="inlineStr">
        <is>
          <t>PED00443</t>
        </is>
      </c>
      <c r="B444" s="3" t="n">
        <v>45366</v>
      </c>
      <c r="C444" s="2" t="inlineStr">
        <is>
          <t>C0328</t>
        </is>
      </c>
      <c r="D444" s="2" t="inlineStr">
        <is>
          <t>L08</t>
        </is>
      </c>
      <c r="E444" s="2" t="inlineStr">
        <is>
          <t>Entregue</t>
        </is>
      </c>
      <c r="F444" s="2" t="inlineStr">
        <is>
          <t>Cartão de débito</t>
        </is>
      </c>
      <c r="G444" s="19" t="n">
        <v>0.1</v>
      </c>
    </row>
    <row r="445">
      <c r="A445" s="2" t="inlineStr">
        <is>
          <t>PED00444</t>
        </is>
      </c>
      <c r="B445" s="3" t="n">
        <v>45788</v>
      </c>
      <c r="C445" s="2" t="inlineStr">
        <is>
          <t>C0237</t>
        </is>
      </c>
      <c r="D445" s="2" t="inlineStr">
        <is>
          <t>L02</t>
        </is>
      </c>
      <c r="E445" s="2" t="inlineStr">
        <is>
          <t>Entregue</t>
        </is>
      </c>
      <c r="F445" s="2" t="inlineStr">
        <is>
          <t>Cartão de crédito</t>
        </is>
      </c>
      <c r="G445" s="19" t="n">
        <v>0.05</v>
      </c>
    </row>
    <row r="446">
      <c r="A446" s="2" t="inlineStr">
        <is>
          <t>PED00445</t>
        </is>
      </c>
      <c r="B446" s="3" t="n">
        <v>45593</v>
      </c>
      <c r="C446" s="2" t="inlineStr">
        <is>
          <t>C0064</t>
        </is>
      </c>
      <c r="D446" s="2" t="inlineStr">
        <is>
          <t>L07</t>
        </is>
      </c>
      <c r="E446" s="2" t="inlineStr">
        <is>
          <t>Entregue</t>
        </is>
      </c>
      <c r="F446" s="2" t="inlineStr">
        <is>
          <t>Cartão de débito</t>
        </is>
      </c>
      <c r="G446" s="19" t="n">
        <v>0</v>
      </c>
    </row>
    <row r="447">
      <c r="A447" s="2" t="inlineStr">
        <is>
          <t>PED00446</t>
        </is>
      </c>
      <c r="B447" s="3" t="n">
        <v>45744</v>
      </c>
      <c r="C447" s="2" t="inlineStr">
        <is>
          <t>C0025</t>
        </is>
      </c>
      <c r="D447" s="2" t="inlineStr">
        <is>
          <t>L02</t>
        </is>
      </c>
      <c r="E447" s="2" t="inlineStr">
        <is>
          <t>Entregue</t>
        </is>
      </c>
      <c r="F447" s="2" t="inlineStr">
        <is>
          <t>Pix</t>
        </is>
      </c>
      <c r="G447" s="19" t="n">
        <v>0</v>
      </c>
    </row>
    <row r="448">
      <c r="A448" s="2" t="inlineStr">
        <is>
          <t>PED00447</t>
        </is>
      </c>
      <c r="B448" s="3" t="n">
        <v>45675</v>
      </c>
      <c r="C448" s="2" t="inlineStr">
        <is>
          <t>C0123</t>
        </is>
      </c>
      <c r="D448" s="2" t="inlineStr">
        <is>
          <t>L04</t>
        </is>
      </c>
      <c r="E448" s="2" t="inlineStr">
        <is>
          <t>Entregue</t>
        </is>
      </c>
      <c r="F448" s="2" t="inlineStr">
        <is>
          <t>Cartão de crédito</t>
        </is>
      </c>
      <c r="G448" s="19" t="n">
        <v>0.15</v>
      </c>
    </row>
    <row r="449">
      <c r="A449" s="2" t="inlineStr">
        <is>
          <t>PED00448</t>
        </is>
      </c>
      <c r="B449" s="3" t="n">
        <v>45463</v>
      </c>
      <c r="C449" s="2" t="inlineStr">
        <is>
          <t>C0086</t>
        </is>
      </c>
      <c r="D449" s="2" t="inlineStr">
        <is>
          <t>L01</t>
        </is>
      </c>
      <c r="E449" s="2" t="inlineStr">
        <is>
          <t>Entregue</t>
        </is>
      </c>
      <c r="F449" s="2" t="inlineStr">
        <is>
          <t>Pix</t>
        </is>
      </c>
      <c r="G449" s="19" t="n">
        <v>0</v>
      </c>
    </row>
    <row r="450">
      <c r="A450" s="2" t="inlineStr">
        <is>
          <t>PED00449</t>
        </is>
      </c>
      <c r="B450" s="3" t="n">
        <v>45961</v>
      </c>
      <c r="C450" s="2" t="inlineStr">
        <is>
          <t>C0162</t>
        </is>
      </c>
      <c r="D450" s="2" t="inlineStr">
        <is>
          <t>L01</t>
        </is>
      </c>
      <c r="E450" s="2" t="inlineStr">
        <is>
          <t>Entregue</t>
        </is>
      </c>
      <c r="F450" s="2" t="inlineStr">
        <is>
          <t>Cartão de crédito</t>
        </is>
      </c>
      <c r="G450" s="19" t="n">
        <v>0</v>
      </c>
    </row>
    <row r="451">
      <c r="A451" s="2" t="inlineStr">
        <is>
          <t>PED00450</t>
        </is>
      </c>
      <c r="B451" s="3" t="n">
        <v>45549</v>
      </c>
      <c r="C451" s="2" t="inlineStr">
        <is>
          <t>C0049</t>
        </is>
      </c>
      <c r="D451" s="2" t="inlineStr">
        <is>
          <t>L06</t>
        </is>
      </c>
      <c r="E451" s="2" t="inlineStr">
        <is>
          <t>Devolvido</t>
        </is>
      </c>
      <c r="F451" s="2" t="inlineStr">
        <is>
          <t>Cartão de débito</t>
        </is>
      </c>
      <c r="G451" s="19" t="n">
        <v>0.05</v>
      </c>
    </row>
    <row r="452">
      <c r="A452" s="2" t="inlineStr">
        <is>
          <t>PED00451</t>
        </is>
      </c>
      <c r="B452" s="3" t="n">
        <v>45419</v>
      </c>
      <c r="C452" s="2" t="inlineStr">
        <is>
          <t>C0159</t>
        </is>
      </c>
      <c r="D452" s="2" t="inlineStr">
        <is>
          <t>L04</t>
        </is>
      </c>
      <c r="E452" s="2" t="inlineStr">
        <is>
          <t>Entregue</t>
        </is>
      </c>
      <c r="F452" s="2" t="inlineStr">
        <is>
          <t>Cartão de débito</t>
        </is>
      </c>
      <c r="G452" s="19" t="n">
        <v>0.05</v>
      </c>
    </row>
    <row r="453">
      <c r="A453" s="2" t="inlineStr">
        <is>
          <t>PED00452</t>
        </is>
      </c>
      <c r="B453" s="3" t="n">
        <v>45676</v>
      </c>
      <c r="C453" s="2" t="inlineStr">
        <is>
          <t>C0105</t>
        </is>
      </c>
      <c r="D453" s="2" t="inlineStr">
        <is>
          <t>L01</t>
        </is>
      </c>
      <c r="E453" s="2" t="inlineStr">
        <is>
          <t>Entregue</t>
        </is>
      </c>
      <c r="F453" s="2" t="inlineStr">
        <is>
          <t>Cartão de débito</t>
        </is>
      </c>
      <c r="G453" s="19" t="n">
        <v>0.15</v>
      </c>
    </row>
    <row r="454">
      <c r="A454" s="2" t="inlineStr">
        <is>
          <t>PED00453</t>
        </is>
      </c>
      <c r="B454" s="3" t="n">
        <v>45716</v>
      </c>
      <c r="C454" s="2" t="inlineStr">
        <is>
          <t>C0332</t>
        </is>
      </c>
      <c r="D454" s="2" t="inlineStr">
        <is>
          <t>L05</t>
        </is>
      </c>
      <c r="E454" s="2" t="inlineStr">
        <is>
          <t>Entregue</t>
        </is>
      </c>
      <c r="F454" s="2" t="inlineStr">
        <is>
          <t>Pix</t>
        </is>
      </c>
      <c r="G454" s="19" t="n">
        <v>0.05</v>
      </c>
    </row>
    <row r="455">
      <c r="A455" s="2" t="inlineStr">
        <is>
          <t>PED00454</t>
        </is>
      </c>
      <c r="B455" s="3" t="n">
        <v>46004</v>
      </c>
      <c r="C455" s="2" t="inlineStr">
        <is>
          <t>C0114</t>
        </is>
      </c>
      <c r="D455" s="2" t="inlineStr">
        <is>
          <t>L07</t>
        </is>
      </c>
      <c r="E455" s="2" t="inlineStr">
        <is>
          <t>Entregue</t>
        </is>
      </c>
      <c r="F455" s="2" t="inlineStr">
        <is>
          <t>Pix</t>
        </is>
      </c>
      <c r="G455" s="19" t="n">
        <v>0.05</v>
      </c>
    </row>
    <row r="456">
      <c r="A456" s="2" t="inlineStr">
        <is>
          <t>PED00455</t>
        </is>
      </c>
      <c r="B456" s="3" t="n">
        <v>45941</v>
      </c>
      <c r="C456" s="2" t="inlineStr">
        <is>
          <t>C0073</t>
        </is>
      </c>
      <c r="D456" s="2" t="inlineStr">
        <is>
          <t>L04</t>
        </is>
      </c>
      <c r="E456" s="2" t="inlineStr">
        <is>
          <t>Entregue</t>
        </is>
      </c>
      <c r="F456" s="2" t="inlineStr">
        <is>
          <t>Pix</t>
        </is>
      </c>
      <c r="G456" s="19" t="n">
        <v>0.03</v>
      </c>
    </row>
    <row r="457">
      <c r="A457" s="2" t="inlineStr">
        <is>
          <t>PED00456</t>
        </is>
      </c>
      <c r="B457" s="3" t="n">
        <v>45942</v>
      </c>
      <c r="C457" s="2" t="inlineStr">
        <is>
          <t>C0104</t>
        </is>
      </c>
      <c r="D457" s="2" t="inlineStr">
        <is>
          <t>L05</t>
        </is>
      </c>
      <c r="E457" s="2" t="inlineStr">
        <is>
          <t>Cancelado</t>
        </is>
      </c>
      <c r="F457" s="2" t="inlineStr">
        <is>
          <t>Cartão de crédito</t>
        </is>
      </c>
      <c r="G457" s="19" t="n">
        <v>0.15</v>
      </c>
    </row>
    <row r="458">
      <c r="A458" s="2" t="inlineStr">
        <is>
          <t>PED00457</t>
        </is>
      </c>
      <c r="B458" s="3" t="n">
        <v>45451</v>
      </c>
      <c r="C458" s="2" t="inlineStr">
        <is>
          <t>C0247</t>
        </is>
      </c>
      <c r="D458" s="2" t="inlineStr">
        <is>
          <t>L01</t>
        </is>
      </c>
      <c r="E458" s="2" t="inlineStr">
        <is>
          <t>Entregue</t>
        </is>
      </c>
      <c r="F458" s="2" t="inlineStr">
        <is>
          <t>Cartão de crédito</t>
        </is>
      </c>
      <c r="G458" s="19" t="n">
        <v>0</v>
      </c>
    </row>
    <row r="459">
      <c r="A459" s="2" t="inlineStr">
        <is>
          <t>PED00458</t>
        </is>
      </c>
      <c r="B459" s="3" t="n">
        <v>45450</v>
      </c>
      <c r="C459" s="2" t="inlineStr">
        <is>
          <t>C0098</t>
        </is>
      </c>
      <c r="D459" s="2" t="inlineStr">
        <is>
          <t>L01</t>
        </is>
      </c>
      <c r="E459" s="2" t="inlineStr">
        <is>
          <t>Entregue</t>
        </is>
      </c>
      <c r="F459" s="2" t="inlineStr">
        <is>
          <t>Cartão de crédito</t>
        </is>
      </c>
      <c r="G459" s="19" t="n">
        <v>0.05</v>
      </c>
    </row>
    <row r="460">
      <c r="A460" s="2" t="inlineStr">
        <is>
          <t>PED00459</t>
        </is>
      </c>
      <c r="B460" s="3" t="n">
        <v>45894</v>
      </c>
      <c r="C460" s="2" t="inlineStr">
        <is>
          <t>C0037</t>
        </is>
      </c>
      <c r="D460" s="2" t="inlineStr">
        <is>
          <t>L07</t>
        </is>
      </c>
      <c r="E460" s="2" t="inlineStr">
        <is>
          <t>Cancelado</t>
        </is>
      </c>
      <c r="F460" s="2" t="inlineStr">
        <is>
          <t>Transferência</t>
        </is>
      </c>
      <c r="G460" s="19" t="n">
        <v>0</v>
      </c>
    </row>
    <row r="461">
      <c r="A461" s="2" t="inlineStr">
        <is>
          <t>PED00460</t>
        </is>
      </c>
      <c r="B461" s="3" t="n">
        <v>45938</v>
      </c>
      <c r="C461" s="2" t="inlineStr">
        <is>
          <t>C0347</t>
        </is>
      </c>
      <c r="D461" s="2" t="inlineStr">
        <is>
          <t>L01</t>
        </is>
      </c>
      <c r="E461" s="2" t="inlineStr">
        <is>
          <t>Entregue</t>
        </is>
      </c>
      <c r="F461" s="2" t="inlineStr">
        <is>
          <t>Cartão de crédito</t>
        </is>
      </c>
      <c r="G461" s="19" t="n">
        <v>0</v>
      </c>
    </row>
    <row r="462">
      <c r="A462" s="2" t="inlineStr">
        <is>
          <t>PED00461</t>
        </is>
      </c>
      <c r="B462" s="3" t="n">
        <v>45411</v>
      </c>
      <c r="C462" s="2" t="inlineStr">
        <is>
          <t>C0048</t>
        </is>
      </c>
      <c r="D462" s="2" t="inlineStr">
        <is>
          <t>L07</t>
        </is>
      </c>
      <c r="E462" s="2" t="inlineStr">
        <is>
          <t>Entregue</t>
        </is>
      </c>
      <c r="F462" s="2" t="inlineStr">
        <is>
          <t>Cartão de crédito</t>
        </is>
      </c>
      <c r="G462" s="19" t="n">
        <v>0.1</v>
      </c>
    </row>
    <row r="463">
      <c r="A463" s="2" t="inlineStr">
        <is>
          <t>PED00462</t>
        </is>
      </c>
      <c r="B463" s="3" t="n">
        <v>45837</v>
      </c>
      <c r="C463" s="2" t="inlineStr">
        <is>
          <t>C0338</t>
        </is>
      </c>
      <c r="D463" s="2" t="inlineStr">
        <is>
          <t>L07</t>
        </is>
      </c>
      <c r="E463" s="2" t="inlineStr">
        <is>
          <t>Entregue</t>
        </is>
      </c>
      <c r="F463" s="2" t="inlineStr">
        <is>
          <t>Cartão de débito</t>
        </is>
      </c>
      <c r="G463" s="19" t="n">
        <v>0.05</v>
      </c>
    </row>
    <row r="464">
      <c r="A464" s="2" t="inlineStr">
        <is>
          <t>PED00463</t>
        </is>
      </c>
      <c r="B464" s="3" t="n">
        <v>46005</v>
      </c>
      <c r="C464" s="2" t="inlineStr">
        <is>
          <t>C0214</t>
        </is>
      </c>
      <c r="D464" s="2" t="inlineStr">
        <is>
          <t>L07</t>
        </is>
      </c>
      <c r="E464" s="2" t="inlineStr">
        <is>
          <t>Entregue</t>
        </is>
      </c>
      <c r="F464" s="2" t="inlineStr">
        <is>
          <t>Cartão de débito</t>
        </is>
      </c>
      <c r="G464" s="19" t="n">
        <v>0</v>
      </c>
    </row>
    <row r="465">
      <c r="A465" s="2" t="inlineStr">
        <is>
          <t>PED00464</t>
        </is>
      </c>
      <c r="B465" s="3" t="n">
        <v>45509</v>
      </c>
      <c r="C465" s="2" t="inlineStr">
        <is>
          <t>C0096</t>
        </is>
      </c>
      <c r="D465" s="2" t="inlineStr">
        <is>
          <t>L04</t>
        </is>
      </c>
      <c r="E465" s="2" t="inlineStr">
        <is>
          <t>Entregue</t>
        </is>
      </c>
      <c r="F465" s="2" t="inlineStr">
        <is>
          <t>Pix</t>
        </is>
      </c>
      <c r="G465" s="19" t="n">
        <v>0.05</v>
      </c>
    </row>
    <row r="466">
      <c r="A466" s="2" t="inlineStr">
        <is>
          <t>PED00465</t>
        </is>
      </c>
      <c r="B466" s="3" t="n">
        <v>45592</v>
      </c>
      <c r="C466" s="2" t="inlineStr">
        <is>
          <t>C0044</t>
        </is>
      </c>
      <c r="D466" s="2" t="inlineStr">
        <is>
          <t>L07</t>
        </is>
      </c>
      <c r="E466" s="2" t="inlineStr">
        <is>
          <t>Entregue</t>
        </is>
      </c>
      <c r="F466" s="2" t="inlineStr">
        <is>
          <t>Pix</t>
        </is>
      </c>
      <c r="G466" s="19" t="n">
        <v>0</v>
      </c>
    </row>
    <row r="467">
      <c r="A467" s="2" t="inlineStr">
        <is>
          <t>PED00466</t>
        </is>
      </c>
      <c r="B467" s="3" t="n">
        <v>45334</v>
      </c>
      <c r="C467" s="2" t="inlineStr">
        <is>
          <t>C0050</t>
        </is>
      </c>
      <c r="D467" s="2" t="inlineStr">
        <is>
          <t>L04</t>
        </is>
      </c>
      <c r="E467" s="2" t="inlineStr">
        <is>
          <t>Entregue</t>
        </is>
      </c>
      <c r="F467" s="2" t="inlineStr">
        <is>
          <t>Pix</t>
        </is>
      </c>
      <c r="G467" s="19" t="n">
        <v>0.05</v>
      </c>
    </row>
    <row r="468">
      <c r="A468" s="2" t="inlineStr">
        <is>
          <t>PED00467</t>
        </is>
      </c>
      <c r="B468" s="3" t="n">
        <v>45394</v>
      </c>
      <c r="C468" s="2" t="inlineStr">
        <is>
          <t>C0002</t>
        </is>
      </c>
      <c r="D468" s="2" t="inlineStr">
        <is>
          <t>L08</t>
        </is>
      </c>
      <c r="E468" s="2" t="inlineStr">
        <is>
          <t>Cancelado</t>
        </is>
      </c>
      <c r="F468" s="2" t="inlineStr">
        <is>
          <t>Cartão de crédito</t>
        </is>
      </c>
      <c r="G468" s="19" t="n">
        <v>0.1</v>
      </c>
    </row>
    <row r="469">
      <c r="A469" s="2" t="inlineStr">
        <is>
          <t>PED00468</t>
        </is>
      </c>
      <c r="B469" s="3" t="n">
        <v>45295</v>
      </c>
      <c r="C469" s="2" t="inlineStr">
        <is>
          <t>C0327</t>
        </is>
      </c>
      <c r="D469" s="2" t="inlineStr">
        <is>
          <t>L06</t>
        </is>
      </c>
      <c r="E469" s="2" t="inlineStr">
        <is>
          <t>Entregue</t>
        </is>
      </c>
      <c r="F469" s="2" t="inlineStr">
        <is>
          <t>Cartão de crédito</t>
        </is>
      </c>
      <c r="G469" s="19" t="n">
        <v>0</v>
      </c>
    </row>
    <row r="470">
      <c r="A470" s="2" t="inlineStr">
        <is>
          <t>PED00469</t>
        </is>
      </c>
      <c r="B470" s="3" t="n">
        <v>45394</v>
      </c>
      <c r="C470" s="2" t="inlineStr">
        <is>
          <t>C0198</t>
        </is>
      </c>
      <c r="D470" s="2" t="inlineStr">
        <is>
          <t>L05</t>
        </is>
      </c>
      <c r="E470" s="2" t="inlineStr">
        <is>
          <t>Entregue</t>
        </is>
      </c>
      <c r="F470" s="2" t="inlineStr">
        <is>
          <t>Cartão de débito</t>
        </is>
      </c>
      <c r="G470" s="19" t="n">
        <v>0.1</v>
      </c>
    </row>
    <row r="471">
      <c r="A471" s="2" t="inlineStr">
        <is>
          <t>PED00470</t>
        </is>
      </c>
      <c r="B471" s="3" t="n">
        <v>45970</v>
      </c>
      <c r="C471" s="2" t="inlineStr">
        <is>
          <t>C0277</t>
        </is>
      </c>
      <c r="D471" s="2" t="inlineStr">
        <is>
          <t>L04</t>
        </is>
      </c>
      <c r="E471" s="2" t="inlineStr">
        <is>
          <t>Entregue</t>
        </is>
      </c>
      <c r="F471" s="2" t="inlineStr">
        <is>
          <t>Pix</t>
        </is>
      </c>
      <c r="G471" s="19" t="n">
        <v>0.1</v>
      </c>
    </row>
    <row r="472">
      <c r="A472" s="2" t="inlineStr">
        <is>
          <t>PED00471</t>
        </is>
      </c>
      <c r="B472" s="3" t="n">
        <v>45779</v>
      </c>
      <c r="C472" s="2" t="inlineStr">
        <is>
          <t>C0344</t>
        </is>
      </c>
      <c r="D472" s="2" t="inlineStr">
        <is>
          <t>L02</t>
        </is>
      </c>
      <c r="E472" s="2" t="inlineStr">
        <is>
          <t>Entregue</t>
        </is>
      </c>
      <c r="F472" s="2" t="inlineStr">
        <is>
          <t>Boleto</t>
        </is>
      </c>
      <c r="G472" s="19" t="n">
        <v>0.05</v>
      </c>
    </row>
    <row r="473">
      <c r="A473" s="2" t="inlineStr">
        <is>
          <t>PED00472</t>
        </is>
      </c>
      <c r="B473" s="3" t="n">
        <v>45678</v>
      </c>
      <c r="C473" s="2" t="inlineStr">
        <is>
          <t>C0196</t>
        </is>
      </c>
      <c r="D473" s="2" t="inlineStr">
        <is>
          <t>L07</t>
        </is>
      </c>
      <c r="E473" s="2" t="inlineStr">
        <is>
          <t>Entregue</t>
        </is>
      </c>
      <c r="F473" s="2" t="inlineStr">
        <is>
          <t>Pix</t>
        </is>
      </c>
      <c r="G473" s="19" t="n">
        <v>0</v>
      </c>
    </row>
    <row r="474">
      <c r="A474" s="2" t="inlineStr">
        <is>
          <t>PED00473</t>
        </is>
      </c>
      <c r="B474" s="3" t="n">
        <v>45484</v>
      </c>
      <c r="C474" s="2" t="inlineStr">
        <is>
          <t>C0060</t>
        </is>
      </c>
      <c r="D474" s="2" t="inlineStr">
        <is>
          <t>L06</t>
        </is>
      </c>
      <c r="E474" s="2" t="inlineStr">
        <is>
          <t>Entregue</t>
        </is>
      </c>
      <c r="F474" s="2" t="inlineStr">
        <is>
          <t>Pix</t>
        </is>
      </c>
      <c r="G474" s="19" t="n">
        <v>0</v>
      </c>
    </row>
    <row r="475">
      <c r="A475" s="2" t="inlineStr">
        <is>
          <t>PED00474</t>
        </is>
      </c>
      <c r="B475" s="3" t="n">
        <v>45421</v>
      </c>
      <c r="C475" s="2" t="inlineStr">
        <is>
          <t>C0267</t>
        </is>
      </c>
      <c r="D475" s="2" t="inlineStr">
        <is>
          <t>L04</t>
        </is>
      </c>
      <c r="E475" s="2" t="inlineStr">
        <is>
          <t>Entregue</t>
        </is>
      </c>
      <c r="F475" s="2" t="inlineStr">
        <is>
          <t>Pix</t>
        </is>
      </c>
      <c r="G475" s="19" t="n">
        <v>0.1</v>
      </c>
    </row>
    <row r="476">
      <c r="A476" s="2" t="inlineStr">
        <is>
          <t>PED00475</t>
        </is>
      </c>
      <c r="B476" s="3" t="n">
        <v>45973</v>
      </c>
      <c r="C476" s="2" t="inlineStr">
        <is>
          <t>C0018</t>
        </is>
      </c>
      <c r="D476" s="2" t="inlineStr">
        <is>
          <t>L06</t>
        </is>
      </c>
      <c r="E476" s="2" t="inlineStr">
        <is>
          <t>Entregue</t>
        </is>
      </c>
      <c r="F476" s="2" t="inlineStr">
        <is>
          <t>Transferência</t>
        </is>
      </c>
      <c r="G476" s="19" t="n">
        <v>0</v>
      </c>
    </row>
    <row r="477">
      <c r="A477" s="2" t="inlineStr">
        <is>
          <t>PED00476</t>
        </is>
      </c>
      <c r="B477" s="3" t="n">
        <v>45791</v>
      </c>
      <c r="C477" s="2" t="inlineStr">
        <is>
          <t>C0201</t>
        </is>
      </c>
      <c r="D477" s="2" t="inlineStr">
        <is>
          <t>L05</t>
        </is>
      </c>
      <c r="E477" s="2" t="inlineStr">
        <is>
          <t>Devolvido</t>
        </is>
      </c>
      <c r="F477" s="2" t="inlineStr">
        <is>
          <t>Cartão de crédito</t>
        </is>
      </c>
      <c r="G477" s="19" t="n">
        <v>0.1</v>
      </c>
    </row>
    <row r="478">
      <c r="A478" s="2" t="inlineStr">
        <is>
          <t>PED00477</t>
        </is>
      </c>
      <c r="B478" s="3" t="n">
        <v>45886</v>
      </c>
      <c r="C478" s="2" t="inlineStr">
        <is>
          <t>C0028</t>
        </is>
      </c>
      <c r="D478" s="2" t="inlineStr">
        <is>
          <t>L05</t>
        </is>
      </c>
      <c r="E478" s="2" t="inlineStr">
        <is>
          <t>Entregue</t>
        </is>
      </c>
      <c r="F478" s="2" t="inlineStr">
        <is>
          <t>Pix</t>
        </is>
      </c>
      <c r="G478" s="19" t="n">
        <v>0</v>
      </c>
    </row>
    <row r="479">
      <c r="A479" s="2" t="inlineStr">
        <is>
          <t>PED00478</t>
        </is>
      </c>
      <c r="B479" s="3" t="n">
        <v>45986</v>
      </c>
      <c r="C479" s="2" t="inlineStr">
        <is>
          <t>C0076</t>
        </is>
      </c>
      <c r="D479" s="2" t="inlineStr">
        <is>
          <t>L07</t>
        </is>
      </c>
      <c r="E479" s="2" t="inlineStr">
        <is>
          <t>Em processamento</t>
        </is>
      </c>
      <c r="F479" s="2" t="inlineStr">
        <is>
          <t>Cartão de crédito</t>
        </is>
      </c>
      <c r="G479" s="19" t="n">
        <v>0.1</v>
      </c>
    </row>
    <row r="480">
      <c r="A480" s="2" t="inlineStr">
        <is>
          <t>PED00479</t>
        </is>
      </c>
      <c r="B480" s="3" t="n">
        <v>45413</v>
      </c>
      <c r="C480" s="2" t="inlineStr">
        <is>
          <t>C0124</t>
        </is>
      </c>
      <c r="D480" s="2" t="inlineStr">
        <is>
          <t>L07</t>
        </is>
      </c>
      <c r="E480" s="2" t="inlineStr">
        <is>
          <t>Entregue</t>
        </is>
      </c>
      <c r="F480" s="2" t="inlineStr">
        <is>
          <t>Cartão de débito</t>
        </is>
      </c>
      <c r="G480" s="19" t="n">
        <v>0.15</v>
      </c>
    </row>
    <row r="481">
      <c r="A481" s="2" t="inlineStr">
        <is>
          <t>PED00480</t>
        </is>
      </c>
      <c r="B481" s="3" t="n">
        <v>45376</v>
      </c>
      <c r="C481" s="2" t="inlineStr">
        <is>
          <t>C0063</t>
        </is>
      </c>
      <c r="D481" s="2" t="inlineStr">
        <is>
          <t>L08</t>
        </is>
      </c>
      <c r="E481" s="2" t="inlineStr">
        <is>
          <t>Entregue</t>
        </is>
      </c>
      <c r="F481" s="2" t="inlineStr">
        <is>
          <t>Boleto</t>
        </is>
      </c>
      <c r="G481" s="19" t="n">
        <v>0</v>
      </c>
    </row>
    <row r="482">
      <c r="A482" s="2" t="inlineStr">
        <is>
          <t>PED00481</t>
        </is>
      </c>
      <c r="B482" s="3" t="n">
        <v>45393</v>
      </c>
      <c r="C482" s="2" t="inlineStr">
        <is>
          <t>C0167</t>
        </is>
      </c>
      <c r="D482" s="2" t="inlineStr">
        <is>
          <t>L02</t>
        </is>
      </c>
      <c r="E482" s="2" t="inlineStr">
        <is>
          <t>Entregue</t>
        </is>
      </c>
      <c r="F482" s="2" t="inlineStr">
        <is>
          <t>Boleto</t>
        </is>
      </c>
      <c r="G482" s="19" t="n">
        <v>0.03</v>
      </c>
    </row>
    <row r="483">
      <c r="A483" s="2" t="inlineStr">
        <is>
          <t>PED00482</t>
        </is>
      </c>
      <c r="B483" s="3" t="n">
        <v>45823</v>
      </c>
      <c r="C483" s="2" t="inlineStr">
        <is>
          <t>C0300</t>
        </is>
      </c>
      <c r="D483" s="2" t="inlineStr">
        <is>
          <t>L02</t>
        </is>
      </c>
      <c r="E483" s="2" t="inlineStr">
        <is>
          <t>Entregue</t>
        </is>
      </c>
      <c r="F483" s="2" t="inlineStr">
        <is>
          <t>Pix</t>
        </is>
      </c>
      <c r="G483" s="19" t="n">
        <v>0.05</v>
      </c>
    </row>
    <row r="484">
      <c r="A484" s="2" t="inlineStr">
        <is>
          <t>PED00483</t>
        </is>
      </c>
      <c r="B484" s="3" t="n">
        <v>45613</v>
      </c>
      <c r="C484" s="2" t="inlineStr">
        <is>
          <t>C0063</t>
        </is>
      </c>
      <c r="D484" s="2" t="inlineStr">
        <is>
          <t>L01</t>
        </is>
      </c>
      <c r="E484" s="2" t="inlineStr">
        <is>
          <t>Entregue</t>
        </is>
      </c>
      <c r="F484" s="2" t="inlineStr">
        <is>
          <t>Pix</t>
        </is>
      </c>
      <c r="G484" s="19" t="n">
        <v>0</v>
      </c>
    </row>
    <row r="485">
      <c r="A485" s="2" t="inlineStr">
        <is>
          <t>PED00484</t>
        </is>
      </c>
      <c r="B485" s="3" t="n">
        <v>45599</v>
      </c>
      <c r="C485" s="2" t="inlineStr">
        <is>
          <t>C0024</t>
        </is>
      </c>
      <c r="D485" s="2" t="inlineStr">
        <is>
          <t>L05</t>
        </is>
      </c>
      <c r="E485" s="2" t="inlineStr">
        <is>
          <t>Entregue</t>
        </is>
      </c>
      <c r="F485" s="2" t="inlineStr">
        <is>
          <t>Cartão de crédito</t>
        </is>
      </c>
      <c r="G485" s="19" t="n">
        <v>0.05</v>
      </c>
    </row>
    <row r="486">
      <c r="A486" s="2" t="inlineStr">
        <is>
          <t>PED00485</t>
        </is>
      </c>
      <c r="B486" s="3" t="n">
        <v>45512</v>
      </c>
      <c r="C486" s="2" t="inlineStr">
        <is>
          <t>C0069</t>
        </is>
      </c>
      <c r="D486" s="2" t="inlineStr">
        <is>
          <t>L04</t>
        </is>
      </c>
      <c r="E486" s="2" t="inlineStr">
        <is>
          <t>Entregue</t>
        </is>
      </c>
      <c r="F486" s="2" t="inlineStr">
        <is>
          <t>Pix</t>
        </is>
      </c>
      <c r="G486" s="19" t="n">
        <v>0.05</v>
      </c>
    </row>
    <row r="487">
      <c r="A487" s="2" t="inlineStr">
        <is>
          <t>PED00486</t>
        </is>
      </c>
      <c r="B487" s="3" t="n">
        <v>45552</v>
      </c>
      <c r="C487" s="2" t="inlineStr">
        <is>
          <t>C0347</t>
        </is>
      </c>
      <c r="D487" s="2" t="inlineStr">
        <is>
          <t>L07</t>
        </is>
      </c>
      <c r="E487" s="2" t="inlineStr">
        <is>
          <t>Em processamento</t>
        </is>
      </c>
      <c r="F487" s="2" t="inlineStr">
        <is>
          <t>Pix</t>
        </is>
      </c>
      <c r="G487" s="19" t="n">
        <v>0</v>
      </c>
    </row>
    <row r="488">
      <c r="A488" s="2" t="inlineStr">
        <is>
          <t>PED00487</t>
        </is>
      </c>
      <c r="B488" s="3" t="n">
        <v>45736</v>
      </c>
      <c r="C488" s="2" t="inlineStr">
        <is>
          <t>C0195</t>
        </is>
      </c>
      <c r="D488" s="2" t="inlineStr">
        <is>
          <t>L01</t>
        </is>
      </c>
      <c r="E488" s="2" t="inlineStr">
        <is>
          <t>Devolvido</t>
        </is>
      </c>
      <c r="F488" s="2" t="inlineStr">
        <is>
          <t>Pix</t>
        </is>
      </c>
      <c r="G488" s="19" t="n">
        <v>0</v>
      </c>
    </row>
    <row r="489">
      <c r="A489" s="2" t="inlineStr">
        <is>
          <t>PED00488</t>
        </is>
      </c>
      <c r="B489" s="3" t="n">
        <v>45441</v>
      </c>
      <c r="C489" s="2" t="inlineStr">
        <is>
          <t>C0116</t>
        </is>
      </c>
      <c r="D489" s="2" t="inlineStr">
        <is>
          <t>L05</t>
        </is>
      </c>
      <c r="E489" s="2" t="inlineStr">
        <is>
          <t>Entregue</t>
        </is>
      </c>
      <c r="F489" s="2" t="inlineStr">
        <is>
          <t>Cartão de crédito</t>
        </is>
      </c>
      <c r="G489" s="19" t="n">
        <v>0.15</v>
      </c>
    </row>
    <row r="490">
      <c r="A490" s="2" t="inlineStr">
        <is>
          <t>PED00489</t>
        </is>
      </c>
      <c r="B490" s="3" t="n">
        <v>45793</v>
      </c>
      <c r="C490" s="2" t="inlineStr">
        <is>
          <t>C0049</t>
        </is>
      </c>
      <c r="D490" s="2" t="inlineStr">
        <is>
          <t>L06</t>
        </is>
      </c>
      <c r="E490" s="2" t="inlineStr">
        <is>
          <t>Entregue</t>
        </is>
      </c>
      <c r="F490" s="2" t="inlineStr">
        <is>
          <t>Boleto</t>
        </is>
      </c>
      <c r="G490" s="19" t="n">
        <v>0.03</v>
      </c>
    </row>
    <row r="491">
      <c r="A491" s="2" t="inlineStr">
        <is>
          <t>PED00490</t>
        </is>
      </c>
      <c r="B491" s="3" t="n">
        <v>45900</v>
      </c>
      <c r="C491" s="2" t="inlineStr">
        <is>
          <t>C0207</t>
        </is>
      </c>
      <c r="D491" s="2" t="inlineStr">
        <is>
          <t>L08</t>
        </is>
      </c>
      <c r="E491" s="2" t="inlineStr">
        <is>
          <t>Entregue</t>
        </is>
      </c>
      <c r="F491" s="2" t="inlineStr">
        <is>
          <t>Pix</t>
        </is>
      </c>
      <c r="G491" s="19" t="n">
        <v>0.05</v>
      </c>
    </row>
    <row r="492">
      <c r="A492" s="2" t="inlineStr">
        <is>
          <t>PED00491</t>
        </is>
      </c>
      <c r="B492" s="3" t="n">
        <v>45986</v>
      </c>
      <c r="C492" s="2" t="inlineStr">
        <is>
          <t>C0312</t>
        </is>
      </c>
      <c r="D492" s="2" t="inlineStr">
        <is>
          <t>L07</t>
        </is>
      </c>
      <c r="E492" s="2" t="inlineStr">
        <is>
          <t>Entregue</t>
        </is>
      </c>
      <c r="F492" s="2" t="inlineStr">
        <is>
          <t>Pix</t>
        </is>
      </c>
      <c r="G492" s="19" t="n">
        <v>0.15</v>
      </c>
    </row>
    <row r="493">
      <c r="A493" s="2" t="inlineStr">
        <is>
          <t>PED00492</t>
        </is>
      </c>
      <c r="B493" s="3" t="n">
        <v>45384</v>
      </c>
      <c r="C493" s="2" t="inlineStr">
        <is>
          <t>C0325</t>
        </is>
      </c>
      <c r="D493" s="2" t="inlineStr">
        <is>
          <t>L02</t>
        </is>
      </c>
      <c r="E493" s="2" t="inlineStr">
        <is>
          <t>Entregue</t>
        </is>
      </c>
      <c r="F493" s="2" t="inlineStr">
        <is>
          <t>Pix</t>
        </is>
      </c>
      <c r="G493" s="19" t="n">
        <v>0</v>
      </c>
    </row>
    <row r="494">
      <c r="A494" s="2" t="inlineStr">
        <is>
          <t>PED00493</t>
        </is>
      </c>
      <c r="B494" s="3" t="n">
        <v>45801</v>
      </c>
      <c r="C494" s="2" t="inlineStr">
        <is>
          <t>C0264</t>
        </is>
      </c>
      <c r="D494" s="2" t="inlineStr">
        <is>
          <t>L02</t>
        </is>
      </c>
      <c r="E494" s="2" t="inlineStr">
        <is>
          <t>Entregue</t>
        </is>
      </c>
      <c r="F494" s="2" t="inlineStr">
        <is>
          <t>Cartão de crédito</t>
        </is>
      </c>
      <c r="G494" s="19" t="n">
        <v>0.1</v>
      </c>
    </row>
    <row r="495">
      <c r="A495" s="2" t="inlineStr">
        <is>
          <t>PED00494</t>
        </is>
      </c>
      <c r="B495" s="3" t="n">
        <v>45915</v>
      </c>
      <c r="C495" s="2" t="inlineStr">
        <is>
          <t>C0022</t>
        </is>
      </c>
      <c r="D495" s="2" t="inlineStr">
        <is>
          <t>L08</t>
        </is>
      </c>
      <c r="E495" s="2" t="inlineStr">
        <is>
          <t>Devolvido</t>
        </is>
      </c>
      <c r="F495" s="2" t="inlineStr">
        <is>
          <t>Cartão de débito</t>
        </is>
      </c>
      <c r="G495" s="19" t="n">
        <v>0.1</v>
      </c>
    </row>
    <row r="496">
      <c r="A496" s="2" t="inlineStr">
        <is>
          <t>PED00495</t>
        </is>
      </c>
      <c r="B496" s="3" t="n">
        <v>45724</v>
      </c>
      <c r="C496" s="2" t="inlineStr">
        <is>
          <t>C0254</t>
        </is>
      </c>
      <c r="D496" s="2" t="inlineStr">
        <is>
          <t>L07</t>
        </is>
      </c>
      <c r="E496" s="2" t="inlineStr">
        <is>
          <t>Entregue</t>
        </is>
      </c>
      <c r="F496" s="2" t="inlineStr">
        <is>
          <t>Transferência</t>
        </is>
      </c>
      <c r="G496" s="19" t="n">
        <v>0</v>
      </c>
    </row>
    <row r="497">
      <c r="A497" s="2" t="inlineStr">
        <is>
          <t>PED00496</t>
        </is>
      </c>
      <c r="B497" s="3" t="n">
        <v>45604</v>
      </c>
      <c r="C497" s="2" t="inlineStr">
        <is>
          <t>C0330</t>
        </is>
      </c>
      <c r="D497" s="2" t="inlineStr">
        <is>
          <t>L01</t>
        </is>
      </c>
      <c r="E497" s="2" t="inlineStr">
        <is>
          <t>Em processamento</t>
        </is>
      </c>
      <c r="F497" s="2" t="inlineStr">
        <is>
          <t>Boleto</t>
        </is>
      </c>
      <c r="G497" s="19" t="n">
        <v>0.1</v>
      </c>
    </row>
    <row r="498">
      <c r="A498" s="2" t="inlineStr">
        <is>
          <t>PED00497</t>
        </is>
      </c>
      <c r="B498" s="3" t="n">
        <v>45654</v>
      </c>
      <c r="C498" s="2" t="inlineStr">
        <is>
          <t>C0055</t>
        </is>
      </c>
      <c r="D498" s="2" t="inlineStr">
        <is>
          <t>L01</t>
        </is>
      </c>
      <c r="E498" s="2" t="inlineStr">
        <is>
          <t>Entregue</t>
        </is>
      </c>
      <c r="F498" s="2" t="inlineStr">
        <is>
          <t>Cartão de débito</t>
        </is>
      </c>
      <c r="G498" s="19" t="n">
        <v>0</v>
      </c>
    </row>
    <row r="499">
      <c r="A499" s="2" t="inlineStr">
        <is>
          <t>PED00498</t>
        </is>
      </c>
      <c r="B499" s="3" t="n">
        <v>45818</v>
      </c>
      <c r="C499" s="2" t="inlineStr">
        <is>
          <t>C0079</t>
        </is>
      </c>
      <c r="D499" s="2" t="inlineStr">
        <is>
          <t>L07</t>
        </is>
      </c>
      <c r="E499" s="2" t="inlineStr">
        <is>
          <t>Entregue</t>
        </is>
      </c>
      <c r="F499" s="2" t="inlineStr">
        <is>
          <t>Cartão de crédito</t>
        </is>
      </c>
      <c r="G499" s="19" t="n">
        <v>0</v>
      </c>
    </row>
    <row r="500">
      <c r="A500" s="2" t="inlineStr">
        <is>
          <t>PED00499</t>
        </is>
      </c>
      <c r="B500" s="3" t="n">
        <v>45964</v>
      </c>
      <c r="C500" s="2" t="inlineStr">
        <is>
          <t>C0225</t>
        </is>
      </c>
      <c r="D500" s="2" t="inlineStr">
        <is>
          <t>L03</t>
        </is>
      </c>
      <c r="E500" s="2" t="inlineStr">
        <is>
          <t>Entregue</t>
        </is>
      </c>
      <c r="F500" s="2" t="inlineStr">
        <is>
          <t>Cartão de débito</t>
        </is>
      </c>
      <c r="G500" s="19" t="n">
        <v>0</v>
      </c>
    </row>
    <row r="501">
      <c r="A501" s="2" t="inlineStr">
        <is>
          <t>PED00500</t>
        </is>
      </c>
      <c r="B501" s="3" t="n">
        <v>45564</v>
      </c>
      <c r="C501" s="2" t="inlineStr">
        <is>
          <t>C0061</t>
        </is>
      </c>
      <c r="D501" s="2" t="inlineStr">
        <is>
          <t>L07</t>
        </is>
      </c>
      <c r="E501" s="2" t="inlineStr">
        <is>
          <t>Entregue</t>
        </is>
      </c>
      <c r="F501" s="2" t="inlineStr">
        <is>
          <t>Cartão de crédito</t>
        </is>
      </c>
      <c r="G501" s="19" t="n">
        <v>0.05</v>
      </c>
    </row>
    <row r="502">
      <c r="A502" s="2" t="inlineStr">
        <is>
          <t>PED00501</t>
        </is>
      </c>
      <c r="B502" s="3" t="n">
        <v>45690</v>
      </c>
      <c r="C502" s="2" t="inlineStr">
        <is>
          <t>C0068</t>
        </is>
      </c>
      <c r="D502" s="2" t="inlineStr">
        <is>
          <t>L02</t>
        </is>
      </c>
      <c r="E502" s="2" t="inlineStr">
        <is>
          <t>Em processamento</t>
        </is>
      </c>
      <c r="F502" s="2" t="inlineStr">
        <is>
          <t>Cartão de débito</t>
        </is>
      </c>
      <c r="G502" s="19" t="n">
        <v>0</v>
      </c>
    </row>
    <row r="503">
      <c r="A503" s="2" t="inlineStr">
        <is>
          <t>PED00502</t>
        </is>
      </c>
      <c r="B503" s="3" t="n">
        <v>45300</v>
      </c>
      <c r="C503" s="2" t="inlineStr">
        <is>
          <t>C0223</t>
        </is>
      </c>
      <c r="D503" s="2" t="inlineStr">
        <is>
          <t>L08</t>
        </is>
      </c>
      <c r="E503" s="2" t="inlineStr">
        <is>
          <t>Entregue</t>
        </is>
      </c>
      <c r="F503" s="2" t="inlineStr">
        <is>
          <t>Cartão de crédito</t>
        </is>
      </c>
      <c r="G503" s="19" t="n">
        <v>0.05</v>
      </c>
    </row>
    <row r="504">
      <c r="A504" s="2" t="inlineStr">
        <is>
          <t>PED00503</t>
        </is>
      </c>
      <c r="B504" s="3" t="n">
        <v>46009</v>
      </c>
      <c r="C504" s="2" t="inlineStr">
        <is>
          <t>C0127</t>
        </is>
      </c>
      <c r="D504" s="2" t="inlineStr">
        <is>
          <t>L07</t>
        </is>
      </c>
      <c r="E504" s="2" t="inlineStr">
        <is>
          <t>Entregue</t>
        </is>
      </c>
      <c r="F504" s="2" t="inlineStr">
        <is>
          <t>Cartão de débito</t>
        </is>
      </c>
      <c r="G504" s="19" t="n">
        <v>0.1</v>
      </c>
    </row>
    <row r="505">
      <c r="A505" s="2" t="inlineStr">
        <is>
          <t>PED00504</t>
        </is>
      </c>
      <c r="B505" s="3" t="n">
        <v>45488</v>
      </c>
      <c r="C505" s="2" t="inlineStr">
        <is>
          <t>C0075</t>
        </is>
      </c>
      <c r="D505" s="2" t="inlineStr">
        <is>
          <t>L07</t>
        </is>
      </c>
      <c r="E505" s="2" t="inlineStr">
        <is>
          <t>Entregue</t>
        </is>
      </c>
      <c r="F505" s="2" t="inlineStr">
        <is>
          <t>Pix</t>
        </is>
      </c>
      <c r="G505" s="19" t="n">
        <v>0.1</v>
      </c>
    </row>
    <row r="506">
      <c r="A506" s="2" t="inlineStr">
        <is>
          <t>PED00505</t>
        </is>
      </c>
      <c r="B506" s="3" t="n">
        <v>45354</v>
      </c>
      <c r="C506" s="2" t="inlineStr">
        <is>
          <t>C0262</t>
        </is>
      </c>
      <c r="D506" s="2" t="inlineStr">
        <is>
          <t>L07</t>
        </is>
      </c>
      <c r="E506" s="2" t="inlineStr">
        <is>
          <t>Entregue</t>
        </is>
      </c>
      <c r="F506" s="2" t="inlineStr">
        <is>
          <t>Pix</t>
        </is>
      </c>
      <c r="G506" s="19" t="n">
        <v>0</v>
      </c>
    </row>
    <row r="507">
      <c r="A507" s="2" t="inlineStr">
        <is>
          <t>PED00506</t>
        </is>
      </c>
      <c r="B507" s="3" t="n">
        <v>45968</v>
      </c>
      <c r="C507" s="2" t="inlineStr">
        <is>
          <t>C0165</t>
        </is>
      </c>
      <c r="D507" s="2" t="inlineStr">
        <is>
          <t>L04</t>
        </is>
      </c>
      <c r="E507" s="2" t="inlineStr">
        <is>
          <t>Entregue</t>
        </is>
      </c>
      <c r="F507" s="2" t="inlineStr">
        <is>
          <t>Pix</t>
        </is>
      </c>
      <c r="G507" s="19" t="n">
        <v>0.05</v>
      </c>
    </row>
    <row r="508">
      <c r="A508" s="2" t="inlineStr">
        <is>
          <t>PED00507</t>
        </is>
      </c>
      <c r="B508" s="3" t="n">
        <v>45857</v>
      </c>
      <c r="C508" s="2" t="inlineStr">
        <is>
          <t>C0067</t>
        </is>
      </c>
      <c r="D508" s="2" t="inlineStr">
        <is>
          <t>L06</t>
        </is>
      </c>
      <c r="E508" s="2" t="inlineStr">
        <is>
          <t>Entregue</t>
        </is>
      </c>
      <c r="F508" s="2" t="inlineStr">
        <is>
          <t>Cartão de débito</t>
        </is>
      </c>
      <c r="G508" s="19" t="n">
        <v>0.05</v>
      </c>
    </row>
    <row r="509">
      <c r="A509" s="2" t="inlineStr">
        <is>
          <t>PED00508</t>
        </is>
      </c>
      <c r="B509" s="3" t="n">
        <v>45892</v>
      </c>
      <c r="C509" s="2" t="inlineStr">
        <is>
          <t>C0336</t>
        </is>
      </c>
      <c r="D509" s="2" t="inlineStr">
        <is>
          <t>L04</t>
        </is>
      </c>
      <c r="E509" s="2" t="inlineStr">
        <is>
          <t>Entregue</t>
        </is>
      </c>
      <c r="F509" s="2" t="inlineStr">
        <is>
          <t>Cartão de crédito</t>
        </is>
      </c>
      <c r="G509" s="19" t="n">
        <v>0</v>
      </c>
    </row>
    <row r="510">
      <c r="A510" s="2" t="inlineStr">
        <is>
          <t>PED00509</t>
        </is>
      </c>
      <c r="B510" s="3" t="n">
        <v>45751</v>
      </c>
      <c r="C510" s="2" t="inlineStr">
        <is>
          <t>C0323</t>
        </is>
      </c>
      <c r="D510" s="2" t="inlineStr">
        <is>
          <t>L02</t>
        </is>
      </c>
      <c r="E510" s="2" t="inlineStr">
        <is>
          <t>Em processamento</t>
        </is>
      </c>
      <c r="F510" s="2" t="inlineStr">
        <is>
          <t>Pix</t>
        </is>
      </c>
      <c r="G510" s="19" t="n">
        <v>0</v>
      </c>
    </row>
    <row r="511">
      <c r="A511" s="2" t="inlineStr">
        <is>
          <t>PED00510</t>
        </is>
      </c>
      <c r="B511" s="3" t="n">
        <v>45740</v>
      </c>
      <c r="C511" s="2" t="inlineStr">
        <is>
          <t>C0261</t>
        </is>
      </c>
      <c r="D511" s="2" t="inlineStr">
        <is>
          <t>L07</t>
        </is>
      </c>
      <c r="E511" s="2" t="inlineStr">
        <is>
          <t>Entregue</t>
        </is>
      </c>
      <c r="F511" s="2" t="inlineStr">
        <is>
          <t>Cartão de crédito</t>
        </is>
      </c>
      <c r="G511" s="19" t="n">
        <v>0.05</v>
      </c>
    </row>
    <row r="512">
      <c r="A512" s="2" t="inlineStr">
        <is>
          <t>PED00511</t>
        </is>
      </c>
      <c r="B512" s="3" t="n">
        <v>46005</v>
      </c>
      <c r="C512" s="2" t="inlineStr">
        <is>
          <t>C0005</t>
        </is>
      </c>
      <c r="D512" s="2" t="inlineStr">
        <is>
          <t>L08</t>
        </is>
      </c>
      <c r="E512" s="2" t="inlineStr">
        <is>
          <t>Entregue</t>
        </is>
      </c>
      <c r="F512" s="2" t="inlineStr">
        <is>
          <t>Cartão de débito</t>
        </is>
      </c>
      <c r="G512" s="19" t="n">
        <v>0</v>
      </c>
    </row>
    <row r="513">
      <c r="A513" s="2" t="inlineStr">
        <is>
          <t>PED00512</t>
        </is>
      </c>
      <c r="B513" s="3" t="n">
        <v>45344</v>
      </c>
      <c r="C513" s="2" t="inlineStr">
        <is>
          <t>C0329</t>
        </is>
      </c>
      <c r="D513" s="2" t="inlineStr">
        <is>
          <t>L04</t>
        </is>
      </c>
      <c r="E513" s="2" t="inlineStr">
        <is>
          <t>Devolvido</t>
        </is>
      </c>
      <c r="F513" s="2" t="inlineStr">
        <is>
          <t>Pix</t>
        </is>
      </c>
      <c r="G513" s="19" t="n">
        <v>0</v>
      </c>
    </row>
    <row r="514">
      <c r="A514" s="2" t="inlineStr">
        <is>
          <t>PED00513</t>
        </is>
      </c>
      <c r="B514" s="3" t="n">
        <v>45350</v>
      </c>
      <c r="C514" s="2" t="inlineStr">
        <is>
          <t>C0321</t>
        </is>
      </c>
      <c r="D514" s="2" t="inlineStr">
        <is>
          <t>L01</t>
        </is>
      </c>
      <c r="E514" s="2" t="inlineStr">
        <is>
          <t>Cancelado</t>
        </is>
      </c>
      <c r="F514" s="2" t="inlineStr">
        <is>
          <t>Pix</t>
        </is>
      </c>
      <c r="G514" s="19" t="n">
        <v>0.15</v>
      </c>
    </row>
    <row r="515">
      <c r="A515" s="2" t="inlineStr">
        <is>
          <t>PED00514</t>
        </is>
      </c>
      <c r="B515" s="3" t="n">
        <v>45889</v>
      </c>
      <c r="C515" s="2" t="inlineStr">
        <is>
          <t>C0055</t>
        </is>
      </c>
      <c r="D515" s="2" t="inlineStr">
        <is>
          <t>L07</t>
        </is>
      </c>
      <c r="E515" s="2" t="inlineStr">
        <is>
          <t>Em processamento</t>
        </is>
      </c>
      <c r="F515" s="2" t="inlineStr">
        <is>
          <t>Pix</t>
        </is>
      </c>
      <c r="G515" s="19" t="n">
        <v>0.05</v>
      </c>
    </row>
    <row r="516">
      <c r="A516" s="2" t="inlineStr">
        <is>
          <t>PED00515</t>
        </is>
      </c>
      <c r="B516" s="3" t="n">
        <v>45736</v>
      </c>
      <c r="C516" s="2" t="inlineStr">
        <is>
          <t>C0189</t>
        </is>
      </c>
      <c r="D516" s="2" t="inlineStr">
        <is>
          <t>L03</t>
        </is>
      </c>
      <c r="E516" s="2" t="inlineStr">
        <is>
          <t>Em processamento</t>
        </is>
      </c>
      <c r="F516" s="2" t="inlineStr">
        <is>
          <t>Pix</t>
        </is>
      </c>
      <c r="G516" s="19" t="n">
        <v>0</v>
      </c>
    </row>
    <row r="517">
      <c r="A517" s="2" t="inlineStr">
        <is>
          <t>PED00516</t>
        </is>
      </c>
      <c r="B517" s="3" t="n">
        <v>45476</v>
      </c>
      <c r="C517" s="2" t="inlineStr">
        <is>
          <t>C0332</t>
        </is>
      </c>
      <c r="D517" s="2" t="inlineStr">
        <is>
          <t>L05</t>
        </is>
      </c>
      <c r="E517" s="2" t="inlineStr">
        <is>
          <t>Entregue</t>
        </is>
      </c>
      <c r="F517" s="2" t="inlineStr">
        <is>
          <t>Pix</t>
        </is>
      </c>
      <c r="G517" s="19" t="n">
        <v>0</v>
      </c>
    </row>
    <row r="518">
      <c r="A518" s="2" t="inlineStr">
        <is>
          <t>PED00517</t>
        </is>
      </c>
      <c r="B518" s="3" t="n">
        <v>45704</v>
      </c>
      <c r="C518" s="2" t="inlineStr">
        <is>
          <t>C0052</t>
        </is>
      </c>
      <c r="D518" s="2" t="inlineStr">
        <is>
          <t>L03</t>
        </is>
      </c>
      <c r="E518" s="2" t="inlineStr">
        <is>
          <t>Entregue</t>
        </is>
      </c>
      <c r="F518" s="2" t="inlineStr">
        <is>
          <t>Cartão de débito</t>
        </is>
      </c>
      <c r="G518" s="19" t="n">
        <v>0.05</v>
      </c>
    </row>
    <row r="519">
      <c r="A519" s="2" t="inlineStr">
        <is>
          <t>PED00518</t>
        </is>
      </c>
      <c r="B519" s="3" t="n">
        <v>45546</v>
      </c>
      <c r="C519" s="2" t="inlineStr">
        <is>
          <t>C0043</t>
        </is>
      </c>
      <c r="D519" s="2" t="inlineStr">
        <is>
          <t>L05</t>
        </is>
      </c>
      <c r="E519" s="2" t="inlineStr">
        <is>
          <t>Entregue</t>
        </is>
      </c>
      <c r="F519" s="2" t="inlineStr">
        <is>
          <t>Cartão de crédito</t>
        </is>
      </c>
      <c r="G519" s="19" t="n">
        <v>0</v>
      </c>
    </row>
    <row r="520">
      <c r="A520" s="2" t="inlineStr">
        <is>
          <t>PED00519</t>
        </is>
      </c>
      <c r="B520" s="3" t="n">
        <v>45313</v>
      </c>
      <c r="C520" s="2" t="inlineStr">
        <is>
          <t>C0023</t>
        </is>
      </c>
      <c r="D520" s="2" t="inlineStr">
        <is>
          <t>L02</t>
        </is>
      </c>
      <c r="E520" s="2" t="inlineStr">
        <is>
          <t>Entregue</t>
        </is>
      </c>
      <c r="F520" s="2" t="inlineStr">
        <is>
          <t>Pix</t>
        </is>
      </c>
      <c r="G520" s="19" t="n">
        <v>0.1</v>
      </c>
    </row>
    <row r="521">
      <c r="A521" s="2" t="inlineStr">
        <is>
          <t>PED00520</t>
        </is>
      </c>
      <c r="B521" s="3" t="n">
        <v>45523</v>
      </c>
      <c r="C521" s="2" t="inlineStr">
        <is>
          <t>C0197</t>
        </is>
      </c>
      <c r="D521" s="2" t="inlineStr">
        <is>
          <t>L02</t>
        </is>
      </c>
      <c r="E521" s="2" t="inlineStr">
        <is>
          <t>Entregue</t>
        </is>
      </c>
      <c r="F521" s="2" t="inlineStr">
        <is>
          <t>Transferência</t>
        </is>
      </c>
      <c r="G521" s="19" t="n">
        <v>0</v>
      </c>
    </row>
    <row r="522">
      <c r="A522" s="2" t="inlineStr">
        <is>
          <t>PED00521</t>
        </is>
      </c>
      <c r="B522" s="3" t="n">
        <v>45995</v>
      </c>
      <c r="C522" s="2" t="inlineStr">
        <is>
          <t>C0155</t>
        </is>
      </c>
      <c r="D522" s="2" t="inlineStr">
        <is>
          <t>L05</t>
        </is>
      </c>
      <c r="E522" s="2" t="inlineStr">
        <is>
          <t>Entregue</t>
        </is>
      </c>
      <c r="F522" s="2" t="inlineStr">
        <is>
          <t>Pix</t>
        </is>
      </c>
      <c r="G522" s="19" t="n">
        <v>0.1</v>
      </c>
    </row>
    <row r="523">
      <c r="A523" s="2" t="inlineStr">
        <is>
          <t>PED00522</t>
        </is>
      </c>
      <c r="B523" s="3" t="n">
        <v>45781</v>
      </c>
      <c r="C523" s="2" t="inlineStr">
        <is>
          <t>C0035</t>
        </is>
      </c>
      <c r="D523" s="2" t="inlineStr">
        <is>
          <t>L02</t>
        </is>
      </c>
      <c r="E523" s="2" t="inlineStr">
        <is>
          <t>Entregue</t>
        </is>
      </c>
      <c r="F523" s="2" t="inlineStr">
        <is>
          <t>Transferência</t>
        </is>
      </c>
      <c r="G523" s="19" t="n">
        <v>0</v>
      </c>
    </row>
    <row r="524">
      <c r="A524" s="2" t="inlineStr">
        <is>
          <t>PED00523</t>
        </is>
      </c>
      <c r="B524" s="3" t="n">
        <v>45618</v>
      </c>
      <c r="C524" s="2" t="inlineStr">
        <is>
          <t>C0254</t>
        </is>
      </c>
      <c r="D524" s="2" t="inlineStr">
        <is>
          <t>L07</t>
        </is>
      </c>
      <c r="E524" s="2" t="inlineStr">
        <is>
          <t>Entregue</t>
        </is>
      </c>
      <c r="F524" s="2" t="inlineStr">
        <is>
          <t>Transferência</t>
        </is>
      </c>
      <c r="G524" s="19" t="n">
        <v>0.05</v>
      </c>
    </row>
    <row r="525">
      <c r="A525" s="2" t="inlineStr">
        <is>
          <t>PED00524</t>
        </is>
      </c>
      <c r="B525" s="3" t="n">
        <v>45886</v>
      </c>
      <c r="C525" s="2" t="inlineStr">
        <is>
          <t>C0216</t>
        </is>
      </c>
      <c r="D525" s="2" t="inlineStr">
        <is>
          <t>L04</t>
        </is>
      </c>
      <c r="E525" s="2" t="inlineStr">
        <is>
          <t>Entregue</t>
        </is>
      </c>
      <c r="F525" s="2" t="inlineStr">
        <is>
          <t>Pix</t>
        </is>
      </c>
      <c r="G525" s="19" t="n">
        <v>0</v>
      </c>
    </row>
    <row r="526">
      <c r="A526" s="2" t="inlineStr">
        <is>
          <t>PED00525</t>
        </is>
      </c>
      <c r="B526" s="3" t="n">
        <v>45540</v>
      </c>
      <c r="C526" s="2" t="inlineStr">
        <is>
          <t>C0108</t>
        </is>
      </c>
      <c r="D526" s="2" t="inlineStr">
        <is>
          <t>L04</t>
        </is>
      </c>
      <c r="E526" s="2" t="inlineStr">
        <is>
          <t>Entregue</t>
        </is>
      </c>
      <c r="F526" s="2" t="inlineStr">
        <is>
          <t>Pix</t>
        </is>
      </c>
      <c r="G526" s="19" t="n">
        <v>0.15</v>
      </c>
    </row>
    <row r="527">
      <c r="A527" s="2" t="inlineStr">
        <is>
          <t>PED00526</t>
        </is>
      </c>
      <c r="B527" s="3" t="n">
        <v>45322</v>
      </c>
      <c r="C527" s="2" t="inlineStr">
        <is>
          <t>C0076</t>
        </is>
      </c>
      <c r="D527" s="2" t="inlineStr">
        <is>
          <t>L06</t>
        </is>
      </c>
      <c r="E527" s="2" t="inlineStr">
        <is>
          <t>Entregue</t>
        </is>
      </c>
      <c r="F527" s="2" t="inlineStr">
        <is>
          <t>Pix</t>
        </is>
      </c>
      <c r="G527" s="19" t="n">
        <v>0</v>
      </c>
    </row>
    <row r="528">
      <c r="A528" s="2" t="inlineStr">
        <is>
          <t>PED00527</t>
        </is>
      </c>
      <c r="B528" s="3" t="n">
        <v>45585</v>
      </c>
      <c r="C528" s="2" t="inlineStr">
        <is>
          <t>C0057</t>
        </is>
      </c>
      <c r="D528" s="2" t="inlineStr">
        <is>
          <t>L03</t>
        </is>
      </c>
      <c r="E528" s="2" t="inlineStr">
        <is>
          <t>Entregue</t>
        </is>
      </c>
      <c r="F528" s="2" t="inlineStr">
        <is>
          <t>Cartão de crédito</t>
        </is>
      </c>
      <c r="G528" s="19" t="n">
        <v>0.05</v>
      </c>
    </row>
    <row r="529">
      <c r="A529" s="2" t="inlineStr">
        <is>
          <t>PED00528</t>
        </is>
      </c>
      <c r="B529" s="3" t="n">
        <v>45988</v>
      </c>
      <c r="C529" s="2" t="inlineStr">
        <is>
          <t>C0233</t>
        </is>
      </c>
      <c r="D529" s="2" t="inlineStr">
        <is>
          <t>L05</t>
        </is>
      </c>
      <c r="E529" s="2" t="inlineStr">
        <is>
          <t>Em processamento</t>
        </is>
      </c>
      <c r="F529" s="2" t="inlineStr">
        <is>
          <t>Cartão de crédito</t>
        </is>
      </c>
      <c r="G529" s="19" t="n">
        <v>0.05</v>
      </c>
    </row>
    <row r="530">
      <c r="A530" s="2" t="inlineStr">
        <is>
          <t>PED00529</t>
        </is>
      </c>
      <c r="B530" s="3" t="n">
        <v>45508</v>
      </c>
      <c r="C530" s="2" t="inlineStr">
        <is>
          <t>C0206</t>
        </is>
      </c>
      <c r="D530" s="2" t="inlineStr">
        <is>
          <t>L01</t>
        </is>
      </c>
      <c r="E530" s="2" t="inlineStr">
        <is>
          <t>Entregue</t>
        </is>
      </c>
      <c r="F530" s="2" t="inlineStr">
        <is>
          <t>Pix</t>
        </is>
      </c>
      <c r="G530" s="19" t="n">
        <v>0.05</v>
      </c>
    </row>
    <row r="531">
      <c r="A531" s="2" t="inlineStr">
        <is>
          <t>PED00530</t>
        </is>
      </c>
      <c r="B531" s="3" t="n">
        <v>45491</v>
      </c>
      <c r="C531" s="2" t="inlineStr">
        <is>
          <t>C0139</t>
        </is>
      </c>
      <c r="D531" s="2" t="inlineStr">
        <is>
          <t>L02</t>
        </is>
      </c>
      <c r="E531" s="2" t="inlineStr">
        <is>
          <t>Entregue</t>
        </is>
      </c>
      <c r="F531" s="2" t="inlineStr">
        <is>
          <t>Cartão de crédito</t>
        </is>
      </c>
      <c r="G531" s="19" t="n">
        <v>0.1</v>
      </c>
    </row>
    <row r="532">
      <c r="A532" s="2" t="inlineStr">
        <is>
          <t>PED00531</t>
        </is>
      </c>
      <c r="B532" s="3" t="n">
        <v>45608</v>
      </c>
      <c r="C532" s="2" t="inlineStr">
        <is>
          <t>C0097</t>
        </is>
      </c>
      <c r="D532" s="2" t="inlineStr">
        <is>
          <t>L04</t>
        </is>
      </c>
      <c r="E532" s="2" t="inlineStr">
        <is>
          <t>Entregue</t>
        </is>
      </c>
      <c r="F532" s="2" t="inlineStr">
        <is>
          <t>Pix</t>
        </is>
      </c>
      <c r="G532" s="19" t="n">
        <v>0</v>
      </c>
    </row>
    <row r="533">
      <c r="A533" s="2" t="inlineStr">
        <is>
          <t>PED00532</t>
        </is>
      </c>
      <c r="B533" s="3" t="n">
        <v>45391</v>
      </c>
      <c r="C533" s="2" t="inlineStr">
        <is>
          <t>C0170</t>
        </is>
      </c>
      <c r="D533" s="2" t="inlineStr">
        <is>
          <t>L07</t>
        </is>
      </c>
      <c r="E533" s="2" t="inlineStr">
        <is>
          <t>Em processamento</t>
        </is>
      </c>
      <c r="F533" s="2" t="inlineStr">
        <is>
          <t>Cartão de crédito</t>
        </is>
      </c>
      <c r="G533" s="19" t="n">
        <v>0.03</v>
      </c>
    </row>
    <row r="534">
      <c r="A534" s="2" t="inlineStr">
        <is>
          <t>PED00533</t>
        </is>
      </c>
      <c r="B534" s="3" t="n">
        <v>45387</v>
      </c>
      <c r="C534" s="2" t="inlineStr">
        <is>
          <t>C0119</t>
        </is>
      </c>
      <c r="D534" s="2" t="inlineStr">
        <is>
          <t>L04</t>
        </is>
      </c>
      <c r="E534" s="2" t="inlineStr">
        <is>
          <t>Entregue</t>
        </is>
      </c>
      <c r="F534" s="2" t="inlineStr">
        <is>
          <t>Cartão de crédito</t>
        </is>
      </c>
      <c r="G534" s="19" t="n">
        <v>0.05</v>
      </c>
    </row>
    <row r="535">
      <c r="A535" s="2" t="inlineStr">
        <is>
          <t>PED00534</t>
        </is>
      </c>
      <c r="B535" s="3" t="n">
        <v>45959</v>
      </c>
      <c r="C535" s="2" t="inlineStr">
        <is>
          <t>C0268</t>
        </is>
      </c>
      <c r="D535" s="2" t="inlineStr">
        <is>
          <t>L06</t>
        </is>
      </c>
      <c r="E535" s="2" t="inlineStr">
        <is>
          <t>Entregue</t>
        </is>
      </c>
      <c r="F535" s="2" t="inlineStr">
        <is>
          <t>Pix</t>
        </is>
      </c>
      <c r="G535" s="19" t="n">
        <v>0</v>
      </c>
    </row>
    <row r="536">
      <c r="A536" s="2" t="inlineStr">
        <is>
          <t>PED00535</t>
        </is>
      </c>
      <c r="B536" s="3" t="n">
        <v>45391</v>
      </c>
      <c r="C536" s="2" t="inlineStr">
        <is>
          <t>C0008</t>
        </is>
      </c>
      <c r="D536" s="2" t="inlineStr">
        <is>
          <t>L03</t>
        </is>
      </c>
      <c r="E536" s="2" t="inlineStr">
        <is>
          <t>Entregue</t>
        </is>
      </c>
      <c r="F536" s="2" t="inlineStr">
        <is>
          <t>Pix</t>
        </is>
      </c>
      <c r="G536" s="19" t="n">
        <v>0.1</v>
      </c>
    </row>
    <row r="537">
      <c r="A537" s="2" t="inlineStr">
        <is>
          <t>PED00536</t>
        </is>
      </c>
      <c r="B537" s="3" t="n">
        <v>45556</v>
      </c>
      <c r="C537" s="2" t="inlineStr">
        <is>
          <t>C0243</t>
        </is>
      </c>
      <c r="D537" s="2" t="inlineStr">
        <is>
          <t>L05</t>
        </is>
      </c>
      <c r="E537" s="2" t="inlineStr">
        <is>
          <t>Entregue</t>
        </is>
      </c>
      <c r="F537" s="2" t="inlineStr">
        <is>
          <t>Cartão de crédito</t>
        </is>
      </c>
      <c r="G537" s="19" t="n">
        <v>0.1</v>
      </c>
    </row>
    <row r="538">
      <c r="A538" s="2" t="inlineStr">
        <is>
          <t>PED00537</t>
        </is>
      </c>
      <c r="B538" s="3" t="n">
        <v>45990</v>
      </c>
      <c r="C538" s="2" t="inlineStr">
        <is>
          <t>C0022</t>
        </is>
      </c>
      <c r="D538" s="2" t="inlineStr">
        <is>
          <t>L01</t>
        </is>
      </c>
      <c r="E538" s="2" t="inlineStr">
        <is>
          <t>Entregue</t>
        </is>
      </c>
      <c r="F538" s="2" t="inlineStr">
        <is>
          <t>Pix</t>
        </is>
      </c>
      <c r="G538" s="19" t="n">
        <v>0.1</v>
      </c>
    </row>
    <row r="539">
      <c r="A539" s="2" t="inlineStr">
        <is>
          <t>PED00538</t>
        </is>
      </c>
      <c r="B539" s="3" t="n">
        <v>45700</v>
      </c>
      <c r="C539" s="2" t="inlineStr">
        <is>
          <t>C0038</t>
        </is>
      </c>
      <c r="D539" s="2" t="inlineStr">
        <is>
          <t>L04</t>
        </is>
      </c>
      <c r="E539" s="2" t="inlineStr">
        <is>
          <t>Entregue</t>
        </is>
      </c>
      <c r="F539" s="2" t="inlineStr">
        <is>
          <t>Cartão de crédito</t>
        </is>
      </c>
      <c r="G539" s="19" t="n">
        <v>0</v>
      </c>
    </row>
    <row r="540">
      <c r="A540" s="2" t="inlineStr">
        <is>
          <t>PED00539</t>
        </is>
      </c>
      <c r="B540" s="3" t="n">
        <v>45698</v>
      </c>
      <c r="C540" s="2" t="inlineStr">
        <is>
          <t>C0222</t>
        </is>
      </c>
      <c r="D540" s="2" t="inlineStr">
        <is>
          <t>L04</t>
        </is>
      </c>
      <c r="E540" s="2" t="inlineStr">
        <is>
          <t>Entregue</t>
        </is>
      </c>
      <c r="F540" s="2" t="inlineStr">
        <is>
          <t>Pix</t>
        </is>
      </c>
      <c r="G540" s="19" t="n">
        <v>0</v>
      </c>
    </row>
    <row r="541">
      <c r="A541" s="2" t="inlineStr">
        <is>
          <t>PED00540</t>
        </is>
      </c>
      <c r="B541" s="3" t="n">
        <v>45324</v>
      </c>
      <c r="C541" s="2" t="inlineStr">
        <is>
          <t>C0308</t>
        </is>
      </c>
      <c r="D541" s="2" t="inlineStr">
        <is>
          <t>L07</t>
        </is>
      </c>
      <c r="E541" s="2" t="inlineStr">
        <is>
          <t>Entregue</t>
        </is>
      </c>
      <c r="F541" s="2" t="inlineStr">
        <is>
          <t>Cartão de débito</t>
        </is>
      </c>
      <c r="G541" s="19" t="n">
        <v>0.1</v>
      </c>
    </row>
    <row r="542">
      <c r="A542" s="2" t="inlineStr">
        <is>
          <t>PED00541</t>
        </is>
      </c>
      <c r="B542" s="3" t="n">
        <v>45480</v>
      </c>
      <c r="C542" s="2" t="inlineStr">
        <is>
          <t>C0028</t>
        </is>
      </c>
      <c r="D542" s="2" t="inlineStr">
        <is>
          <t>L02</t>
        </is>
      </c>
      <c r="E542" s="2" t="inlineStr">
        <is>
          <t>Em processamento</t>
        </is>
      </c>
      <c r="F542" s="2" t="inlineStr">
        <is>
          <t>Cartão de crédito</t>
        </is>
      </c>
      <c r="G542" s="19" t="n">
        <v>0.15</v>
      </c>
    </row>
    <row r="543">
      <c r="A543" s="2" t="inlineStr">
        <is>
          <t>PED00542</t>
        </is>
      </c>
      <c r="B543" s="3" t="n">
        <v>46005</v>
      </c>
      <c r="C543" s="2" t="inlineStr">
        <is>
          <t>C0224</t>
        </is>
      </c>
      <c r="D543" s="2" t="inlineStr">
        <is>
          <t>L06</t>
        </is>
      </c>
      <c r="E543" s="2" t="inlineStr">
        <is>
          <t>Em processamento</t>
        </is>
      </c>
      <c r="F543" s="2" t="inlineStr">
        <is>
          <t>Cartão de crédito</t>
        </is>
      </c>
      <c r="G543" s="19" t="n">
        <v>0.1</v>
      </c>
    </row>
    <row r="544">
      <c r="A544" s="2" t="inlineStr">
        <is>
          <t>PED00543</t>
        </is>
      </c>
      <c r="B544" s="3" t="n">
        <v>45446</v>
      </c>
      <c r="C544" s="2" t="inlineStr">
        <is>
          <t>C0235</t>
        </is>
      </c>
      <c r="D544" s="2" t="inlineStr">
        <is>
          <t>L03</t>
        </is>
      </c>
      <c r="E544" s="2" t="inlineStr">
        <is>
          <t>Entregue</t>
        </is>
      </c>
      <c r="F544" s="2" t="inlineStr">
        <is>
          <t>Pix</t>
        </is>
      </c>
      <c r="G544" s="19" t="n">
        <v>0.1</v>
      </c>
    </row>
    <row r="545">
      <c r="A545" s="2" t="inlineStr">
        <is>
          <t>PED00544</t>
        </is>
      </c>
      <c r="B545" s="3" t="n">
        <v>45329</v>
      </c>
      <c r="C545" s="2" t="inlineStr">
        <is>
          <t>C0112</t>
        </is>
      </c>
      <c r="D545" s="2" t="inlineStr">
        <is>
          <t>L04</t>
        </is>
      </c>
      <c r="E545" s="2" t="inlineStr">
        <is>
          <t>Entregue</t>
        </is>
      </c>
      <c r="F545" s="2" t="inlineStr">
        <is>
          <t>Cartão de crédito</t>
        </is>
      </c>
      <c r="G545" s="19" t="n">
        <v>0</v>
      </c>
    </row>
    <row r="546">
      <c r="A546" s="2" t="inlineStr">
        <is>
          <t>PED00545</t>
        </is>
      </c>
      <c r="B546" s="3" t="n">
        <v>45664</v>
      </c>
      <c r="C546" s="2" t="inlineStr">
        <is>
          <t>C0009</t>
        </is>
      </c>
      <c r="D546" s="2" t="inlineStr">
        <is>
          <t>L05</t>
        </is>
      </c>
      <c r="E546" s="2" t="inlineStr">
        <is>
          <t>Em processamento</t>
        </is>
      </c>
      <c r="F546" s="2" t="inlineStr">
        <is>
          <t>Cartão de crédito</t>
        </is>
      </c>
      <c r="G546" s="19" t="n">
        <v>0.1</v>
      </c>
    </row>
    <row r="547">
      <c r="A547" s="2" t="inlineStr">
        <is>
          <t>PED00546</t>
        </is>
      </c>
      <c r="B547" s="3" t="n">
        <v>45730</v>
      </c>
      <c r="C547" s="2" t="inlineStr">
        <is>
          <t>C0192</t>
        </is>
      </c>
      <c r="D547" s="2" t="inlineStr">
        <is>
          <t>L03</t>
        </is>
      </c>
      <c r="E547" s="2" t="inlineStr">
        <is>
          <t>Entregue</t>
        </is>
      </c>
      <c r="F547" s="2" t="inlineStr">
        <is>
          <t>Pix</t>
        </is>
      </c>
      <c r="G547" s="19" t="n">
        <v>0.03</v>
      </c>
    </row>
    <row r="548">
      <c r="A548" s="2" t="inlineStr">
        <is>
          <t>PED00547</t>
        </is>
      </c>
      <c r="B548" s="3" t="n">
        <v>45381</v>
      </c>
      <c r="C548" s="2" t="inlineStr">
        <is>
          <t>C0054</t>
        </is>
      </c>
      <c r="D548" s="2" t="inlineStr">
        <is>
          <t>L02</t>
        </is>
      </c>
      <c r="E548" s="2" t="inlineStr">
        <is>
          <t>Entregue</t>
        </is>
      </c>
      <c r="F548" s="2" t="inlineStr">
        <is>
          <t>Cartão de crédito</t>
        </is>
      </c>
      <c r="G548" s="19" t="n">
        <v>0</v>
      </c>
    </row>
    <row r="549">
      <c r="A549" s="2" t="inlineStr">
        <is>
          <t>PED00548</t>
        </is>
      </c>
      <c r="B549" s="3" t="n">
        <v>45722</v>
      </c>
      <c r="C549" s="2" t="inlineStr">
        <is>
          <t>C0109</t>
        </is>
      </c>
      <c r="D549" s="2" t="inlineStr">
        <is>
          <t>L04</t>
        </is>
      </c>
      <c r="E549" s="2" t="inlineStr">
        <is>
          <t>Entregue</t>
        </is>
      </c>
      <c r="F549" s="2" t="inlineStr">
        <is>
          <t>Cartão de crédito</t>
        </is>
      </c>
      <c r="G549" s="19" t="n">
        <v>0</v>
      </c>
    </row>
    <row r="550">
      <c r="A550" s="2" t="inlineStr">
        <is>
          <t>PED00549</t>
        </is>
      </c>
      <c r="B550" s="3" t="n">
        <v>45966</v>
      </c>
      <c r="C550" s="2" t="inlineStr">
        <is>
          <t>C0136</t>
        </is>
      </c>
      <c r="D550" s="2" t="inlineStr">
        <is>
          <t>L05</t>
        </is>
      </c>
      <c r="E550" s="2" t="inlineStr">
        <is>
          <t>Cancelado</t>
        </is>
      </c>
      <c r="F550" s="2" t="inlineStr">
        <is>
          <t>Cartão de débito</t>
        </is>
      </c>
      <c r="G550" s="19" t="n">
        <v>0</v>
      </c>
    </row>
    <row r="551">
      <c r="A551" s="2" t="inlineStr">
        <is>
          <t>PED00550</t>
        </is>
      </c>
      <c r="B551" s="3" t="n">
        <v>45906</v>
      </c>
      <c r="C551" s="2" t="inlineStr">
        <is>
          <t>C0163</t>
        </is>
      </c>
      <c r="D551" s="2" t="inlineStr">
        <is>
          <t>L06</t>
        </is>
      </c>
      <c r="E551" s="2" t="inlineStr">
        <is>
          <t>Entregue</t>
        </is>
      </c>
      <c r="F551" s="2" t="inlineStr">
        <is>
          <t>Cartão de crédito</t>
        </is>
      </c>
      <c r="G551" s="19" t="n">
        <v>0.03</v>
      </c>
    </row>
    <row r="552">
      <c r="A552" s="2" t="inlineStr">
        <is>
          <t>PED00551</t>
        </is>
      </c>
      <c r="B552" s="3" t="n">
        <v>45617</v>
      </c>
      <c r="C552" s="2" t="inlineStr">
        <is>
          <t>C0265</t>
        </is>
      </c>
      <c r="D552" s="2" t="inlineStr">
        <is>
          <t>L03</t>
        </is>
      </c>
      <c r="E552" s="2" t="inlineStr">
        <is>
          <t>Entregue</t>
        </is>
      </c>
      <c r="F552" s="2" t="inlineStr">
        <is>
          <t>Pix</t>
        </is>
      </c>
      <c r="G552" s="19" t="n">
        <v>0.1</v>
      </c>
    </row>
    <row r="553">
      <c r="A553" s="2" t="inlineStr">
        <is>
          <t>PED00552</t>
        </is>
      </c>
      <c r="B553" s="3" t="n">
        <v>45318</v>
      </c>
      <c r="C553" s="2" t="inlineStr">
        <is>
          <t>C0224</t>
        </is>
      </c>
      <c r="D553" s="2" t="inlineStr">
        <is>
          <t>L01</t>
        </is>
      </c>
      <c r="E553" s="2" t="inlineStr">
        <is>
          <t>Entregue</t>
        </is>
      </c>
      <c r="F553" s="2" t="inlineStr">
        <is>
          <t>Cartão de crédito</t>
        </is>
      </c>
      <c r="G553" s="19" t="n">
        <v>0</v>
      </c>
    </row>
    <row r="554">
      <c r="A554" s="2" t="inlineStr">
        <is>
          <t>PED00553</t>
        </is>
      </c>
      <c r="B554" s="3" t="n">
        <v>45519</v>
      </c>
      <c r="C554" s="2" t="inlineStr">
        <is>
          <t>C0153</t>
        </is>
      </c>
      <c r="D554" s="2" t="inlineStr">
        <is>
          <t>L04</t>
        </is>
      </c>
      <c r="E554" s="2" t="inlineStr">
        <is>
          <t>Entregue</t>
        </is>
      </c>
      <c r="F554" s="2" t="inlineStr">
        <is>
          <t>Pix</t>
        </is>
      </c>
      <c r="G554" s="19" t="n">
        <v>0.1</v>
      </c>
    </row>
    <row r="555">
      <c r="A555" s="2" t="inlineStr">
        <is>
          <t>PED00554</t>
        </is>
      </c>
      <c r="B555" s="3" t="n">
        <v>45902</v>
      </c>
      <c r="C555" s="2" t="inlineStr">
        <is>
          <t>C0063</t>
        </is>
      </c>
      <c r="D555" s="2" t="inlineStr">
        <is>
          <t>L02</t>
        </is>
      </c>
      <c r="E555" s="2" t="inlineStr">
        <is>
          <t>Entregue</t>
        </is>
      </c>
      <c r="F555" s="2" t="inlineStr">
        <is>
          <t>Pix</t>
        </is>
      </c>
      <c r="G555" s="19" t="n">
        <v>0</v>
      </c>
    </row>
    <row r="556">
      <c r="A556" s="2" t="inlineStr">
        <is>
          <t>PED00555</t>
        </is>
      </c>
      <c r="B556" s="3" t="n">
        <v>45395</v>
      </c>
      <c r="C556" s="2" t="inlineStr">
        <is>
          <t>C0252</t>
        </is>
      </c>
      <c r="D556" s="2" t="inlineStr">
        <is>
          <t>L01</t>
        </is>
      </c>
      <c r="E556" s="2" t="inlineStr">
        <is>
          <t>Entregue</t>
        </is>
      </c>
      <c r="F556" s="2" t="inlineStr">
        <is>
          <t>Cartão de crédito</t>
        </is>
      </c>
      <c r="G556" s="19" t="n">
        <v>0.05</v>
      </c>
    </row>
    <row r="557">
      <c r="A557" s="2" t="inlineStr">
        <is>
          <t>PED00556</t>
        </is>
      </c>
      <c r="B557" s="3" t="n">
        <v>45753</v>
      </c>
      <c r="C557" s="2" t="inlineStr">
        <is>
          <t>C0083</t>
        </is>
      </c>
      <c r="D557" s="2" t="inlineStr">
        <is>
          <t>L03</t>
        </is>
      </c>
      <c r="E557" s="2" t="inlineStr">
        <is>
          <t>Entregue</t>
        </is>
      </c>
      <c r="F557" s="2" t="inlineStr">
        <is>
          <t>Boleto</t>
        </is>
      </c>
      <c r="G557" s="19" t="n">
        <v>0.05</v>
      </c>
    </row>
    <row r="558">
      <c r="A558" s="2" t="inlineStr">
        <is>
          <t>PED00557</t>
        </is>
      </c>
      <c r="B558" s="3" t="n">
        <v>45416</v>
      </c>
      <c r="C558" s="2" t="inlineStr">
        <is>
          <t>C0099</t>
        </is>
      </c>
      <c r="D558" s="2" t="inlineStr">
        <is>
          <t>L01</t>
        </is>
      </c>
      <c r="E558" s="2" t="inlineStr">
        <is>
          <t>Entregue</t>
        </is>
      </c>
      <c r="F558" s="2" t="inlineStr">
        <is>
          <t>Cartão de crédito</t>
        </is>
      </c>
      <c r="G558" s="19" t="n">
        <v>0.05</v>
      </c>
    </row>
    <row r="559">
      <c r="A559" s="2" t="inlineStr">
        <is>
          <t>PED00558</t>
        </is>
      </c>
      <c r="B559" s="3" t="n">
        <v>45627</v>
      </c>
      <c r="C559" s="2" t="inlineStr">
        <is>
          <t>C0071</t>
        </is>
      </c>
      <c r="D559" s="2" t="inlineStr">
        <is>
          <t>L04</t>
        </is>
      </c>
      <c r="E559" s="2" t="inlineStr">
        <is>
          <t>Entregue</t>
        </is>
      </c>
      <c r="F559" s="2" t="inlineStr">
        <is>
          <t>Cartão de débito</t>
        </is>
      </c>
      <c r="G559" s="19" t="n">
        <v>0</v>
      </c>
    </row>
    <row r="560">
      <c r="A560" s="2" t="inlineStr">
        <is>
          <t>PED00559</t>
        </is>
      </c>
      <c r="B560" s="3" t="n">
        <v>45799</v>
      </c>
      <c r="C560" s="2" t="inlineStr">
        <is>
          <t>C0224</t>
        </is>
      </c>
      <c r="D560" s="2" t="inlineStr">
        <is>
          <t>L07</t>
        </is>
      </c>
      <c r="E560" s="2" t="inlineStr">
        <is>
          <t>Em processamento</t>
        </is>
      </c>
      <c r="F560" s="2" t="inlineStr">
        <is>
          <t>Pix</t>
        </is>
      </c>
      <c r="G560" s="19" t="n">
        <v>0</v>
      </c>
    </row>
    <row r="561">
      <c r="A561" s="2" t="inlineStr">
        <is>
          <t>PED00560</t>
        </is>
      </c>
      <c r="B561" s="3" t="n">
        <v>45402</v>
      </c>
      <c r="C561" s="2" t="inlineStr">
        <is>
          <t>C0311</t>
        </is>
      </c>
      <c r="D561" s="2" t="inlineStr">
        <is>
          <t>L07</t>
        </is>
      </c>
      <c r="E561" s="2" t="inlineStr">
        <is>
          <t>Entregue</t>
        </is>
      </c>
      <c r="F561" s="2" t="inlineStr">
        <is>
          <t>Cartão de crédito</t>
        </is>
      </c>
      <c r="G561" s="19" t="n">
        <v>0</v>
      </c>
    </row>
    <row r="562">
      <c r="A562" s="2" t="inlineStr">
        <is>
          <t>PED00561</t>
        </is>
      </c>
      <c r="B562" s="3" t="n">
        <v>45835</v>
      </c>
      <c r="C562" s="2" t="inlineStr">
        <is>
          <t>C0181</t>
        </is>
      </c>
      <c r="D562" s="2" t="inlineStr">
        <is>
          <t>L07</t>
        </is>
      </c>
      <c r="E562" s="2" t="inlineStr">
        <is>
          <t>Entregue</t>
        </is>
      </c>
      <c r="F562" s="2" t="inlineStr">
        <is>
          <t>Pix</t>
        </is>
      </c>
      <c r="G562" s="19" t="n">
        <v>0</v>
      </c>
    </row>
    <row r="563">
      <c r="A563" s="2" t="inlineStr">
        <is>
          <t>PED00562</t>
        </is>
      </c>
      <c r="B563" s="3" t="n">
        <v>45621</v>
      </c>
      <c r="C563" s="2" t="inlineStr">
        <is>
          <t>C0120</t>
        </is>
      </c>
      <c r="D563" s="2" t="inlineStr">
        <is>
          <t>L02</t>
        </is>
      </c>
      <c r="E563" s="2" t="inlineStr">
        <is>
          <t>Entregue</t>
        </is>
      </c>
      <c r="F563" s="2" t="inlineStr">
        <is>
          <t>Cartão de crédito</t>
        </is>
      </c>
      <c r="G563" s="19" t="n">
        <v>0.03</v>
      </c>
    </row>
    <row r="564">
      <c r="A564" s="2" t="inlineStr">
        <is>
          <t>PED00563</t>
        </is>
      </c>
      <c r="B564" s="3" t="n">
        <v>45979</v>
      </c>
      <c r="C564" s="2" t="inlineStr">
        <is>
          <t>C0039</t>
        </is>
      </c>
      <c r="D564" s="2" t="inlineStr">
        <is>
          <t>L07</t>
        </is>
      </c>
      <c r="E564" s="2" t="inlineStr">
        <is>
          <t>Entregue</t>
        </is>
      </c>
      <c r="F564" s="2" t="inlineStr">
        <is>
          <t>Cartão de crédito</t>
        </is>
      </c>
      <c r="G564" s="19" t="n">
        <v>0.1</v>
      </c>
    </row>
    <row r="565">
      <c r="A565" s="2" t="inlineStr">
        <is>
          <t>PED00564</t>
        </is>
      </c>
      <c r="B565" s="3" t="n">
        <v>45573</v>
      </c>
      <c r="C565" s="2" t="inlineStr">
        <is>
          <t>C0216</t>
        </is>
      </c>
      <c r="D565" s="2" t="inlineStr">
        <is>
          <t>L02</t>
        </is>
      </c>
      <c r="E565" s="2" t="inlineStr">
        <is>
          <t>Entregue</t>
        </is>
      </c>
      <c r="F565" s="2" t="inlineStr">
        <is>
          <t>Pix</t>
        </is>
      </c>
      <c r="G565" s="19" t="n">
        <v>0</v>
      </c>
    </row>
    <row r="566">
      <c r="A566" s="2" t="inlineStr">
        <is>
          <t>PED00565</t>
        </is>
      </c>
      <c r="B566" s="3" t="n">
        <v>45764</v>
      </c>
      <c r="C566" s="2" t="inlineStr">
        <is>
          <t>C0146</t>
        </is>
      </c>
      <c r="D566" s="2" t="inlineStr">
        <is>
          <t>L03</t>
        </is>
      </c>
      <c r="E566" s="2" t="inlineStr">
        <is>
          <t>Cancelado</t>
        </is>
      </c>
      <c r="F566" s="2" t="inlineStr">
        <is>
          <t>Cartão de crédito</t>
        </is>
      </c>
      <c r="G566" s="19" t="n">
        <v>0.1</v>
      </c>
    </row>
    <row r="567">
      <c r="A567" s="2" t="inlineStr">
        <is>
          <t>PED00566</t>
        </is>
      </c>
      <c r="B567" s="3" t="n">
        <v>45797</v>
      </c>
      <c r="C567" s="2" t="inlineStr">
        <is>
          <t>C0314</t>
        </is>
      </c>
      <c r="D567" s="2" t="inlineStr">
        <is>
          <t>L01</t>
        </is>
      </c>
      <c r="E567" s="2" t="inlineStr">
        <is>
          <t>Entregue</t>
        </is>
      </c>
      <c r="F567" s="2" t="inlineStr">
        <is>
          <t>Cartão de débito</t>
        </is>
      </c>
      <c r="G567" s="19" t="n">
        <v>0.03</v>
      </c>
    </row>
    <row r="568">
      <c r="A568" s="2" t="inlineStr">
        <is>
          <t>PED00567</t>
        </is>
      </c>
      <c r="B568" s="3" t="n">
        <v>45669</v>
      </c>
      <c r="C568" s="2" t="inlineStr">
        <is>
          <t>C0276</t>
        </is>
      </c>
      <c r="D568" s="2" t="inlineStr">
        <is>
          <t>L01</t>
        </is>
      </c>
      <c r="E568" s="2" t="inlineStr">
        <is>
          <t>Em processamento</t>
        </is>
      </c>
      <c r="F568" s="2" t="inlineStr">
        <is>
          <t>Boleto</t>
        </is>
      </c>
      <c r="G568" s="19" t="n">
        <v>0</v>
      </c>
    </row>
    <row r="569">
      <c r="A569" s="2" t="inlineStr">
        <is>
          <t>PED00568</t>
        </is>
      </c>
      <c r="B569" s="3" t="n">
        <v>45433</v>
      </c>
      <c r="C569" s="2" t="inlineStr">
        <is>
          <t>C0299</t>
        </is>
      </c>
      <c r="D569" s="2" t="inlineStr">
        <is>
          <t>L08</t>
        </is>
      </c>
      <c r="E569" s="2" t="inlineStr">
        <is>
          <t>Entregue</t>
        </is>
      </c>
      <c r="F569" s="2" t="inlineStr">
        <is>
          <t>Pix</t>
        </is>
      </c>
      <c r="G569" s="19" t="n">
        <v>0</v>
      </c>
    </row>
    <row r="570">
      <c r="A570" s="2" t="inlineStr">
        <is>
          <t>PED00569</t>
        </is>
      </c>
      <c r="B570" s="3" t="n">
        <v>45786</v>
      </c>
      <c r="C570" s="2" t="inlineStr">
        <is>
          <t>C0116</t>
        </is>
      </c>
      <c r="D570" s="2" t="inlineStr">
        <is>
          <t>L02</t>
        </is>
      </c>
      <c r="E570" s="2" t="inlineStr">
        <is>
          <t>Entregue</t>
        </is>
      </c>
      <c r="F570" s="2" t="inlineStr">
        <is>
          <t>Pix</t>
        </is>
      </c>
      <c r="G570" s="19" t="n">
        <v>0</v>
      </c>
    </row>
    <row r="571">
      <c r="A571" s="2" t="inlineStr">
        <is>
          <t>PED00570</t>
        </is>
      </c>
      <c r="B571" s="3" t="n">
        <v>45791</v>
      </c>
      <c r="C571" s="2" t="inlineStr">
        <is>
          <t>C0054</t>
        </is>
      </c>
      <c r="D571" s="2" t="inlineStr">
        <is>
          <t>L06</t>
        </is>
      </c>
      <c r="E571" s="2" t="inlineStr">
        <is>
          <t>Entregue</t>
        </is>
      </c>
      <c r="F571" s="2" t="inlineStr">
        <is>
          <t>Cartão de crédito</t>
        </is>
      </c>
      <c r="G571" s="19" t="n">
        <v>0.03</v>
      </c>
    </row>
    <row r="572">
      <c r="A572" s="2" t="inlineStr">
        <is>
          <t>PED00571</t>
        </is>
      </c>
      <c r="B572" s="3" t="n">
        <v>45362</v>
      </c>
      <c r="C572" s="2" t="inlineStr">
        <is>
          <t>C0143</t>
        </is>
      </c>
      <c r="D572" s="2" t="inlineStr">
        <is>
          <t>L07</t>
        </is>
      </c>
      <c r="E572" s="2" t="inlineStr">
        <is>
          <t>Entregue</t>
        </is>
      </c>
      <c r="F572" s="2" t="inlineStr">
        <is>
          <t>Pix</t>
        </is>
      </c>
      <c r="G572" s="19" t="n">
        <v>0.1</v>
      </c>
    </row>
    <row r="573">
      <c r="A573" s="2" t="inlineStr">
        <is>
          <t>PED00572</t>
        </is>
      </c>
      <c r="B573" s="3" t="n">
        <v>45755</v>
      </c>
      <c r="C573" s="2" t="inlineStr">
        <is>
          <t>C0181</t>
        </is>
      </c>
      <c r="D573" s="2" t="inlineStr">
        <is>
          <t>L05</t>
        </is>
      </c>
      <c r="E573" s="2" t="inlineStr">
        <is>
          <t>Entregue</t>
        </is>
      </c>
      <c r="F573" s="2" t="inlineStr">
        <is>
          <t>Cartão de crédito</t>
        </is>
      </c>
      <c r="G573" s="19" t="n">
        <v>0</v>
      </c>
    </row>
    <row r="574">
      <c r="A574" s="2" t="inlineStr">
        <is>
          <t>PED00573</t>
        </is>
      </c>
      <c r="B574" s="3" t="n">
        <v>45346</v>
      </c>
      <c r="C574" s="2" t="inlineStr">
        <is>
          <t>C0226</t>
        </is>
      </c>
      <c r="D574" s="2" t="inlineStr">
        <is>
          <t>L05</t>
        </is>
      </c>
      <c r="E574" s="2" t="inlineStr">
        <is>
          <t>Entregue</t>
        </is>
      </c>
      <c r="F574" s="2" t="inlineStr">
        <is>
          <t>Pix</t>
        </is>
      </c>
      <c r="G574" s="19" t="n">
        <v>0</v>
      </c>
    </row>
    <row r="575">
      <c r="A575" s="2" t="inlineStr">
        <is>
          <t>PED00574</t>
        </is>
      </c>
      <c r="B575" s="3" t="n">
        <v>45346</v>
      </c>
      <c r="C575" s="2" t="inlineStr">
        <is>
          <t>C0019</t>
        </is>
      </c>
      <c r="D575" s="2" t="inlineStr">
        <is>
          <t>L05</t>
        </is>
      </c>
      <c r="E575" s="2" t="inlineStr">
        <is>
          <t>Entregue</t>
        </is>
      </c>
      <c r="F575" s="2" t="inlineStr">
        <is>
          <t>Cartão de crédito</t>
        </is>
      </c>
      <c r="G575" s="19" t="n">
        <v>0</v>
      </c>
    </row>
    <row r="576">
      <c r="A576" s="2" t="inlineStr">
        <is>
          <t>PED00575</t>
        </is>
      </c>
      <c r="B576" s="3" t="n">
        <v>45295</v>
      </c>
      <c r="C576" s="2" t="inlineStr">
        <is>
          <t>C0049</t>
        </is>
      </c>
      <c r="D576" s="2" t="inlineStr">
        <is>
          <t>L03</t>
        </is>
      </c>
      <c r="E576" s="2" t="inlineStr">
        <is>
          <t>Entregue</t>
        </is>
      </c>
      <c r="F576" s="2" t="inlineStr">
        <is>
          <t>Cartão de débito</t>
        </is>
      </c>
      <c r="G576" s="19" t="n">
        <v>0.03</v>
      </c>
    </row>
    <row r="577">
      <c r="A577" s="2" t="inlineStr">
        <is>
          <t>PED00576</t>
        </is>
      </c>
      <c r="B577" s="3" t="n">
        <v>45437</v>
      </c>
      <c r="C577" s="2" t="inlineStr">
        <is>
          <t>C0007</t>
        </is>
      </c>
      <c r="D577" s="2" t="inlineStr">
        <is>
          <t>L08</t>
        </is>
      </c>
      <c r="E577" s="2" t="inlineStr">
        <is>
          <t>Entregue</t>
        </is>
      </c>
      <c r="F577" s="2" t="inlineStr">
        <is>
          <t>Pix</t>
        </is>
      </c>
      <c r="G577" s="19" t="n">
        <v>0.15</v>
      </c>
    </row>
    <row r="578">
      <c r="A578" s="2" t="inlineStr">
        <is>
          <t>PED00577</t>
        </is>
      </c>
      <c r="B578" s="3" t="n">
        <v>45829</v>
      </c>
      <c r="C578" s="2" t="inlineStr">
        <is>
          <t>C0258</t>
        </is>
      </c>
      <c r="D578" s="2" t="inlineStr">
        <is>
          <t>L03</t>
        </is>
      </c>
      <c r="E578" s="2" t="inlineStr">
        <is>
          <t>Entregue</t>
        </is>
      </c>
      <c r="F578" s="2" t="inlineStr">
        <is>
          <t>Cartão de débito</t>
        </is>
      </c>
      <c r="G578" s="19" t="n">
        <v>0</v>
      </c>
    </row>
    <row r="579">
      <c r="A579" s="2" t="inlineStr">
        <is>
          <t>PED00578</t>
        </is>
      </c>
      <c r="B579" s="3" t="n">
        <v>45971</v>
      </c>
      <c r="C579" s="2" t="inlineStr">
        <is>
          <t>C0306</t>
        </is>
      </c>
      <c r="D579" s="2" t="inlineStr">
        <is>
          <t>L08</t>
        </is>
      </c>
      <c r="E579" s="2" t="inlineStr">
        <is>
          <t>Entregue</t>
        </is>
      </c>
      <c r="F579" s="2" t="inlineStr">
        <is>
          <t>Cartão de débito</t>
        </is>
      </c>
      <c r="G579" s="19" t="n">
        <v>0.05</v>
      </c>
    </row>
    <row r="580">
      <c r="A580" s="2" t="inlineStr">
        <is>
          <t>PED00579</t>
        </is>
      </c>
      <c r="B580" s="3" t="n">
        <v>45437</v>
      </c>
      <c r="C580" s="2" t="inlineStr">
        <is>
          <t>C0183</t>
        </is>
      </c>
      <c r="D580" s="2" t="inlineStr">
        <is>
          <t>L08</t>
        </is>
      </c>
      <c r="E580" s="2" t="inlineStr">
        <is>
          <t>Entregue</t>
        </is>
      </c>
      <c r="F580" s="2" t="inlineStr">
        <is>
          <t>Cartão de crédito</t>
        </is>
      </c>
      <c r="G580" s="19" t="n">
        <v>0.05</v>
      </c>
    </row>
    <row r="581">
      <c r="A581" s="2" t="inlineStr">
        <is>
          <t>PED00580</t>
        </is>
      </c>
      <c r="B581" s="3" t="n">
        <v>45933</v>
      </c>
      <c r="C581" s="2" t="inlineStr">
        <is>
          <t>C0348</t>
        </is>
      </c>
      <c r="D581" s="2" t="inlineStr">
        <is>
          <t>L08</t>
        </is>
      </c>
      <c r="E581" s="2" t="inlineStr">
        <is>
          <t>Devolvido</t>
        </is>
      </c>
      <c r="F581" s="2" t="inlineStr">
        <is>
          <t>Boleto</t>
        </is>
      </c>
      <c r="G581" s="19" t="n">
        <v>0</v>
      </c>
    </row>
    <row r="582">
      <c r="A582" s="2" t="inlineStr">
        <is>
          <t>PED00581</t>
        </is>
      </c>
      <c r="B582" s="3" t="n">
        <v>45872</v>
      </c>
      <c r="C582" s="2" t="inlineStr">
        <is>
          <t>C0178</t>
        </is>
      </c>
      <c r="D582" s="2" t="inlineStr">
        <is>
          <t>L05</t>
        </is>
      </c>
      <c r="E582" s="2" t="inlineStr">
        <is>
          <t>Entregue</t>
        </is>
      </c>
      <c r="F582" s="2" t="inlineStr">
        <is>
          <t>Pix</t>
        </is>
      </c>
      <c r="G582" s="19" t="n">
        <v>0.1</v>
      </c>
    </row>
    <row r="583">
      <c r="A583" s="2" t="inlineStr">
        <is>
          <t>PED00582</t>
        </is>
      </c>
      <c r="B583" s="3" t="n">
        <v>45863</v>
      </c>
      <c r="C583" s="2" t="inlineStr">
        <is>
          <t>C0341</t>
        </is>
      </c>
      <c r="D583" s="2" t="inlineStr">
        <is>
          <t>L03</t>
        </is>
      </c>
      <c r="E583" s="2" t="inlineStr">
        <is>
          <t>Entregue</t>
        </is>
      </c>
      <c r="F583" s="2" t="inlineStr">
        <is>
          <t>Pix</t>
        </is>
      </c>
      <c r="G583" s="19" t="n">
        <v>0.1</v>
      </c>
    </row>
    <row r="584">
      <c r="A584" s="2" t="inlineStr">
        <is>
          <t>PED00583</t>
        </is>
      </c>
      <c r="B584" s="3" t="n">
        <v>45418</v>
      </c>
      <c r="C584" s="2" t="inlineStr">
        <is>
          <t>C0028</t>
        </is>
      </c>
      <c r="D584" s="2" t="inlineStr">
        <is>
          <t>L08</t>
        </is>
      </c>
      <c r="E584" s="2" t="inlineStr">
        <is>
          <t>Entregue</t>
        </is>
      </c>
      <c r="F584" s="2" t="inlineStr">
        <is>
          <t>Cartão de crédito</t>
        </is>
      </c>
      <c r="G584" s="19" t="n">
        <v>0.05</v>
      </c>
    </row>
    <row r="585">
      <c r="A585" s="2" t="inlineStr">
        <is>
          <t>PED00584</t>
        </is>
      </c>
      <c r="B585" s="3" t="n">
        <v>45806</v>
      </c>
      <c r="C585" s="2" t="inlineStr">
        <is>
          <t>C0341</t>
        </is>
      </c>
      <c r="D585" s="2" t="inlineStr">
        <is>
          <t>L03</t>
        </is>
      </c>
      <c r="E585" s="2" t="inlineStr">
        <is>
          <t>Em processamento</t>
        </is>
      </c>
      <c r="F585" s="2" t="inlineStr">
        <is>
          <t>Cartão de débito</t>
        </is>
      </c>
      <c r="G585" s="19" t="n">
        <v>0</v>
      </c>
    </row>
    <row r="586">
      <c r="A586" s="2" t="inlineStr">
        <is>
          <t>PED00585</t>
        </is>
      </c>
      <c r="B586" s="3" t="n">
        <v>45392</v>
      </c>
      <c r="C586" s="2" t="inlineStr">
        <is>
          <t>C0134</t>
        </is>
      </c>
      <c r="D586" s="2" t="inlineStr">
        <is>
          <t>L05</t>
        </is>
      </c>
      <c r="E586" s="2" t="inlineStr">
        <is>
          <t>Entregue</t>
        </is>
      </c>
      <c r="F586" s="2" t="inlineStr">
        <is>
          <t>Pix</t>
        </is>
      </c>
      <c r="G586" s="19" t="n">
        <v>0.03</v>
      </c>
    </row>
    <row r="587">
      <c r="A587" s="2" t="inlineStr">
        <is>
          <t>PED00586</t>
        </is>
      </c>
      <c r="B587" s="3" t="n">
        <v>45739</v>
      </c>
      <c r="C587" s="2" t="inlineStr">
        <is>
          <t>C0050</t>
        </is>
      </c>
      <c r="D587" s="2" t="inlineStr">
        <is>
          <t>L03</t>
        </is>
      </c>
      <c r="E587" s="2" t="inlineStr">
        <is>
          <t>Entregue</t>
        </is>
      </c>
      <c r="F587" s="2" t="inlineStr">
        <is>
          <t>Cartão de débito</t>
        </is>
      </c>
      <c r="G587" s="19" t="n">
        <v>0.03</v>
      </c>
    </row>
    <row r="588">
      <c r="A588" s="2" t="inlineStr">
        <is>
          <t>PED00587</t>
        </is>
      </c>
      <c r="B588" s="3" t="n">
        <v>45382</v>
      </c>
      <c r="C588" s="2" t="inlineStr">
        <is>
          <t>C0072</t>
        </is>
      </c>
      <c r="D588" s="2" t="inlineStr">
        <is>
          <t>L05</t>
        </is>
      </c>
      <c r="E588" s="2" t="inlineStr">
        <is>
          <t>Entregue</t>
        </is>
      </c>
      <c r="F588" s="2" t="inlineStr">
        <is>
          <t>Cartão de crédito</t>
        </is>
      </c>
      <c r="G588" s="19" t="n">
        <v>0</v>
      </c>
    </row>
    <row r="589">
      <c r="A589" s="2" t="inlineStr">
        <is>
          <t>PED00588</t>
        </is>
      </c>
      <c r="B589" s="3" t="n">
        <v>45378</v>
      </c>
      <c r="C589" s="2" t="inlineStr">
        <is>
          <t>C0029</t>
        </is>
      </c>
      <c r="D589" s="2" t="inlineStr">
        <is>
          <t>L05</t>
        </is>
      </c>
      <c r="E589" s="2" t="inlineStr">
        <is>
          <t>Cancelado</t>
        </is>
      </c>
      <c r="F589" s="2" t="inlineStr">
        <is>
          <t>Cartão de crédito</t>
        </is>
      </c>
      <c r="G589" s="19" t="n">
        <v>0</v>
      </c>
    </row>
    <row r="590">
      <c r="A590" s="2" t="inlineStr">
        <is>
          <t>PED00589</t>
        </is>
      </c>
      <c r="B590" s="3" t="n">
        <v>45354</v>
      </c>
      <c r="C590" s="2" t="inlineStr">
        <is>
          <t>C0063</t>
        </is>
      </c>
      <c r="D590" s="2" t="inlineStr">
        <is>
          <t>L01</t>
        </is>
      </c>
      <c r="E590" s="2" t="inlineStr">
        <is>
          <t>Entregue</t>
        </is>
      </c>
      <c r="F590" s="2" t="inlineStr">
        <is>
          <t>Cartão de crédito</t>
        </is>
      </c>
      <c r="G590" s="19" t="n">
        <v>0.03</v>
      </c>
    </row>
    <row r="591">
      <c r="A591" s="2" t="inlineStr">
        <is>
          <t>PED00590</t>
        </is>
      </c>
      <c r="B591" s="3" t="n">
        <v>45398</v>
      </c>
      <c r="C591" s="2" t="inlineStr">
        <is>
          <t>C0243</t>
        </is>
      </c>
      <c r="D591" s="2" t="inlineStr">
        <is>
          <t>L01</t>
        </is>
      </c>
      <c r="E591" s="2" t="inlineStr">
        <is>
          <t>Cancelado</t>
        </is>
      </c>
      <c r="F591" s="2" t="inlineStr">
        <is>
          <t>Cartão de crédito</t>
        </is>
      </c>
      <c r="G591" s="19" t="n">
        <v>0</v>
      </c>
    </row>
    <row r="592">
      <c r="A592" s="2" t="inlineStr">
        <is>
          <t>PED00591</t>
        </is>
      </c>
      <c r="B592" s="3" t="n">
        <v>45532</v>
      </c>
      <c r="C592" s="2" t="inlineStr">
        <is>
          <t>C0280</t>
        </is>
      </c>
      <c r="D592" s="2" t="inlineStr">
        <is>
          <t>L05</t>
        </is>
      </c>
      <c r="E592" s="2" t="inlineStr">
        <is>
          <t>Cancelado</t>
        </is>
      </c>
      <c r="F592" s="2" t="inlineStr">
        <is>
          <t>Cartão de débito</t>
        </is>
      </c>
      <c r="G592" s="19" t="n">
        <v>0.1</v>
      </c>
    </row>
    <row r="593">
      <c r="A593" s="2" t="inlineStr">
        <is>
          <t>PED00592</t>
        </is>
      </c>
      <c r="B593" s="3" t="n">
        <v>45779</v>
      </c>
      <c r="C593" s="2" t="inlineStr">
        <is>
          <t>C0246</t>
        </is>
      </c>
      <c r="D593" s="2" t="inlineStr">
        <is>
          <t>L05</t>
        </is>
      </c>
      <c r="E593" s="2" t="inlineStr">
        <is>
          <t>Entregue</t>
        </is>
      </c>
      <c r="F593" s="2" t="inlineStr">
        <is>
          <t>Pix</t>
        </is>
      </c>
      <c r="G593" s="19" t="n">
        <v>0.05</v>
      </c>
    </row>
    <row r="594">
      <c r="A594" s="2" t="inlineStr">
        <is>
          <t>PED00593</t>
        </is>
      </c>
      <c r="B594" s="3" t="n">
        <v>45443</v>
      </c>
      <c r="C594" s="2" t="inlineStr">
        <is>
          <t>C0015</t>
        </is>
      </c>
      <c r="D594" s="2" t="inlineStr">
        <is>
          <t>L05</t>
        </is>
      </c>
      <c r="E594" s="2" t="inlineStr">
        <is>
          <t>Entregue</t>
        </is>
      </c>
      <c r="F594" s="2" t="inlineStr">
        <is>
          <t>Cartão de crédito</t>
        </is>
      </c>
      <c r="G594" s="19" t="n">
        <v>0</v>
      </c>
    </row>
    <row r="595">
      <c r="A595" s="2" t="inlineStr">
        <is>
          <t>PED00594</t>
        </is>
      </c>
      <c r="B595" s="3" t="n">
        <v>45761</v>
      </c>
      <c r="C595" s="2" t="inlineStr">
        <is>
          <t>C0142</t>
        </is>
      </c>
      <c r="D595" s="2" t="inlineStr">
        <is>
          <t>L01</t>
        </is>
      </c>
      <c r="E595" s="2" t="inlineStr">
        <is>
          <t>Devolvido</t>
        </is>
      </c>
      <c r="F595" s="2" t="inlineStr">
        <is>
          <t>Cartão de crédito</t>
        </is>
      </c>
      <c r="G595" s="19" t="n">
        <v>0.1</v>
      </c>
    </row>
    <row r="596">
      <c r="A596" s="2" t="inlineStr">
        <is>
          <t>PED00595</t>
        </is>
      </c>
      <c r="B596" s="3" t="n">
        <v>45868</v>
      </c>
      <c r="C596" s="2" t="inlineStr">
        <is>
          <t>C0174</t>
        </is>
      </c>
      <c r="D596" s="2" t="inlineStr">
        <is>
          <t>L08</t>
        </is>
      </c>
      <c r="E596" s="2" t="inlineStr">
        <is>
          <t>Entregue</t>
        </is>
      </c>
      <c r="F596" s="2" t="inlineStr">
        <is>
          <t>Cartão de débito</t>
        </is>
      </c>
      <c r="G596" s="19" t="n">
        <v>0</v>
      </c>
    </row>
    <row r="597">
      <c r="A597" s="2" t="inlineStr">
        <is>
          <t>PED00596</t>
        </is>
      </c>
      <c r="B597" s="3" t="n">
        <v>45811</v>
      </c>
      <c r="C597" s="2" t="inlineStr">
        <is>
          <t>C0338</t>
        </is>
      </c>
      <c r="D597" s="2" t="inlineStr">
        <is>
          <t>L05</t>
        </is>
      </c>
      <c r="E597" s="2" t="inlineStr">
        <is>
          <t>Entregue</t>
        </is>
      </c>
      <c r="F597" s="2" t="inlineStr">
        <is>
          <t>Cartão de crédito</t>
        </is>
      </c>
      <c r="G597" s="19" t="n">
        <v>0.15</v>
      </c>
    </row>
    <row r="598">
      <c r="A598" s="2" t="inlineStr">
        <is>
          <t>PED00597</t>
        </is>
      </c>
      <c r="B598" s="3" t="n">
        <v>45400</v>
      </c>
      <c r="C598" s="2" t="inlineStr">
        <is>
          <t>C0256</t>
        </is>
      </c>
      <c r="D598" s="2" t="inlineStr">
        <is>
          <t>L08</t>
        </is>
      </c>
      <c r="E598" s="2" t="inlineStr">
        <is>
          <t>Entregue</t>
        </is>
      </c>
      <c r="F598" s="2" t="inlineStr">
        <is>
          <t>Pix</t>
        </is>
      </c>
      <c r="G598" s="19" t="n">
        <v>0.1</v>
      </c>
    </row>
    <row r="599">
      <c r="A599" s="2" t="inlineStr">
        <is>
          <t>PED00598</t>
        </is>
      </c>
      <c r="B599" s="3" t="n">
        <v>45913</v>
      </c>
      <c r="C599" s="2" t="inlineStr">
        <is>
          <t>C0324</t>
        </is>
      </c>
      <c r="D599" s="2" t="inlineStr">
        <is>
          <t>L01</t>
        </is>
      </c>
      <c r="E599" s="2" t="inlineStr">
        <is>
          <t>Em processamento</t>
        </is>
      </c>
      <c r="F599" s="2" t="inlineStr">
        <is>
          <t>Cartão de crédito</t>
        </is>
      </c>
      <c r="G599" s="19" t="n">
        <v>0.05</v>
      </c>
    </row>
    <row r="600">
      <c r="A600" s="2" t="inlineStr">
        <is>
          <t>PED00599</t>
        </is>
      </c>
      <c r="B600" s="3" t="n">
        <v>45736</v>
      </c>
      <c r="C600" s="2" t="inlineStr">
        <is>
          <t>C0271</t>
        </is>
      </c>
      <c r="D600" s="2" t="inlineStr">
        <is>
          <t>L04</t>
        </is>
      </c>
      <c r="E600" s="2" t="inlineStr">
        <is>
          <t>Entregue</t>
        </is>
      </c>
      <c r="F600" s="2" t="inlineStr">
        <is>
          <t>Pix</t>
        </is>
      </c>
      <c r="G600" s="19" t="n">
        <v>0.15</v>
      </c>
    </row>
    <row r="601">
      <c r="A601" s="2" t="inlineStr">
        <is>
          <t>PED00600</t>
        </is>
      </c>
      <c r="B601" s="3" t="n">
        <v>45660</v>
      </c>
      <c r="C601" s="2" t="inlineStr">
        <is>
          <t>C0209</t>
        </is>
      </c>
      <c r="D601" s="2" t="inlineStr">
        <is>
          <t>L02</t>
        </is>
      </c>
      <c r="E601" s="2" t="inlineStr">
        <is>
          <t>Entregue</t>
        </is>
      </c>
      <c r="F601" s="2" t="inlineStr">
        <is>
          <t>Cartão de débito</t>
        </is>
      </c>
      <c r="G601" s="19" t="n">
        <v>0.15</v>
      </c>
    </row>
    <row r="602">
      <c r="A602" s="2" t="inlineStr">
        <is>
          <t>PED00601</t>
        </is>
      </c>
      <c r="B602" s="3" t="n">
        <v>45433</v>
      </c>
      <c r="C602" s="2" t="inlineStr">
        <is>
          <t>C0035</t>
        </is>
      </c>
      <c r="D602" s="2" t="inlineStr">
        <is>
          <t>L08</t>
        </is>
      </c>
      <c r="E602" s="2" t="inlineStr">
        <is>
          <t>Entregue</t>
        </is>
      </c>
      <c r="F602" s="2" t="inlineStr">
        <is>
          <t>Cartão de crédito</t>
        </is>
      </c>
      <c r="G602" s="19" t="n">
        <v>0</v>
      </c>
    </row>
    <row r="603">
      <c r="A603" s="2" t="inlineStr">
        <is>
          <t>PED00602</t>
        </is>
      </c>
      <c r="B603" s="3" t="n">
        <v>45528</v>
      </c>
      <c r="C603" s="2" t="inlineStr">
        <is>
          <t>C0027</t>
        </is>
      </c>
      <c r="D603" s="2" t="inlineStr">
        <is>
          <t>L06</t>
        </is>
      </c>
      <c r="E603" s="2" t="inlineStr">
        <is>
          <t>Entregue</t>
        </is>
      </c>
      <c r="F603" s="2" t="inlineStr">
        <is>
          <t>Cartão de débito</t>
        </is>
      </c>
      <c r="G603" s="19" t="n">
        <v>0</v>
      </c>
    </row>
    <row r="604">
      <c r="A604" s="2" t="inlineStr">
        <is>
          <t>PED00603</t>
        </is>
      </c>
      <c r="B604" s="3" t="n">
        <v>46006</v>
      </c>
      <c r="C604" s="2" t="inlineStr">
        <is>
          <t>C0057</t>
        </is>
      </c>
      <c r="D604" s="2" t="inlineStr">
        <is>
          <t>L08</t>
        </is>
      </c>
      <c r="E604" s="2" t="inlineStr">
        <is>
          <t>Em processamento</t>
        </is>
      </c>
      <c r="F604" s="2" t="inlineStr">
        <is>
          <t>Transferência</t>
        </is>
      </c>
      <c r="G604" s="19" t="n">
        <v>0.05</v>
      </c>
    </row>
    <row r="605">
      <c r="A605" s="2" t="inlineStr">
        <is>
          <t>PED00604</t>
        </is>
      </c>
      <c r="B605" s="3" t="n">
        <v>45352</v>
      </c>
      <c r="C605" s="2" t="inlineStr">
        <is>
          <t>C0072</t>
        </is>
      </c>
      <c r="D605" s="2" t="inlineStr">
        <is>
          <t>L04</t>
        </is>
      </c>
      <c r="E605" s="2" t="inlineStr">
        <is>
          <t>Entregue</t>
        </is>
      </c>
      <c r="F605" s="2" t="inlineStr">
        <is>
          <t>Cartão de débito</t>
        </is>
      </c>
      <c r="G605" s="19" t="n">
        <v>0.1</v>
      </c>
    </row>
    <row r="606">
      <c r="A606" s="2" t="inlineStr">
        <is>
          <t>PED00605</t>
        </is>
      </c>
      <c r="B606" s="3" t="n">
        <v>45364</v>
      </c>
      <c r="C606" s="2" t="inlineStr">
        <is>
          <t>C0214</t>
        </is>
      </c>
      <c r="D606" s="2" t="inlineStr">
        <is>
          <t>L02</t>
        </is>
      </c>
      <c r="E606" s="2" t="inlineStr">
        <is>
          <t>Cancelado</t>
        </is>
      </c>
      <c r="F606" s="2" t="inlineStr">
        <is>
          <t>Cartão de crédito</t>
        </is>
      </c>
      <c r="G606" s="19" t="n">
        <v>0</v>
      </c>
    </row>
    <row r="607">
      <c r="A607" s="2" t="inlineStr">
        <is>
          <t>PED00606</t>
        </is>
      </c>
      <c r="B607" s="3" t="n">
        <v>45313</v>
      </c>
      <c r="C607" s="2" t="inlineStr">
        <is>
          <t>C0029</t>
        </is>
      </c>
      <c r="D607" s="2" t="inlineStr">
        <is>
          <t>L01</t>
        </is>
      </c>
      <c r="E607" s="2" t="inlineStr">
        <is>
          <t>Entregue</t>
        </is>
      </c>
      <c r="F607" s="2" t="inlineStr">
        <is>
          <t>Cartão de débito</t>
        </is>
      </c>
      <c r="G607" s="19" t="n">
        <v>0.03</v>
      </c>
    </row>
    <row r="608">
      <c r="A608" s="2" t="inlineStr">
        <is>
          <t>PED00607</t>
        </is>
      </c>
      <c r="B608" s="3" t="n">
        <v>45668</v>
      </c>
      <c r="C608" s="2" t="inlineStr">
        <is>
          <t>C0181</t>
        </is>
      </c>
      <c r="D608" s="2" t="inlineStr">
        <is>
          <t>L04</t>
        </is>
      </c>
      <c r="E608" s="2" t="inlineStr">
        <is>
          <t>Entregue</t>
        </is>
      </c>
      <c r="F608" s="2" t="inlineStr">
        <is>
          <t>Boleto</t>
        </is>
      </c>
      <c r="G608" s="19" t="n">
        <v>0</v>
      </c>
    </row>
    <row r="609">
      <c r="A609" s="2" t="inlineStr">
        <is>
          <t>PED00608</t>
        </is>
      </c>
      <c r="B609" s="3" t="n">
        <v>45841</v>
      </c>
      <c r="C609" s="2" t="inlineStr">
        <is>
          <t>C0291</t>
        </is>
      </c>
      <c r="D609" s="2" t="inlineStr">
        <is>
          <t>L01</t>
        </is>
      </c>
      <c r="E609" s="2" t="inlineStr">
        <is>
          <t>Devolvido</t>
        </is>
      </c>
      <c r="F609" s="2" t="inlineStr">
        <is>
          <t>Pix</t>
        </is>
      </c>
      <c r="G609" s="19" t="n">
        <v>0.05</v>
      </c>
    </row>
    <row r="610">
      <c r="A610" s="2" t="inlineStr">
        <is>
          <t>PED00609</t>
        </is>
      </c>
      <c r="B610" s="3" t="n">
        <v>45417</v>
      </c>
      <c r="C610" s="2" t="inlineStr">
        <is>
          <t>C0337</t>
        </is>
      </c>
      <c r="D610" s="2" t="inlineStr">
        <is>
          <t>L02</t>
        </is>
      </c>
      <c r="E610" s="2" t="inlineStr">
        <is>
          <t>Entregue</t>
        </is>
      </c>
      <c r="F610" s="2" t="inlineStr">
        <is>
          <t>Boleto</t>
        </is>
      </c>
      <c r="G610" s="19" t="n">
        <v>0</v>
      </c>
    </row>
    <row r="611">
      <c r="A611" s="2" t="inlineStr">
        <is>
          <t>PED00610</t>
        </is>
      </c>
      <c r="B611" s="3" t="n">
        <v>45565</v>
      </c>
      <c r="C611" s="2" t="inlineStr">
        <is>
          <t>C0164</t>
        </is>
      </c>
      <c r="D611" s="2" t="inlineStr">
        <is>
          <t>L02</t>
        </is>
      </c>
      <c r="E611" s="2" t="inlineStr">
        <is>
          <t>Entregue</t>
        </is>
      </c>
      <c r="F611" s="2" t="inlineStr">
        <is>
          <t>Boleto</t>
        </is>
      </c>
      <c r="G611" s="19" t="n">
        <v>0.05</v>
      </c>
    </row>
    <row r="612">
      <c r="A612" s="2" t="inlineStr">
        <is>
          <t>PED00611</t>
        </is>
      </c>
      <c r="B612" s="3" t="n">
        <v>45437</v>
      </c>
      <c r="C612" s="2" t="inlineStr">
        <is>
          <t>C0019</t>
        </is>
      </c>
      <c r="D612" s="2" t="inlineStr">
        <is>
          <t>L04</t>
        </is>
      </c>
      <c r="E612" s="2" t="inlineStr">
        <is>
          <t>Entregue</t>
        </is>
      </c>
      <c r="F612" s="2" t="inlineStr">
        <is>
          <t>Cartão de crédito</t>
        </is>
      </c>
      <c r="G612" s="19" t="n">
        <v>0.03</v>
      </c>
    </row>
    <row r="613">
      <c r="A613" s="2" t="inlineStr">
        <is>
          <t>PED00612</t>
        </is>
      </c>
      <c r="B613" s="3" t="n">
        <v>45894</v>
      </c>
      <c r="C613" s="2" t="inlineStr">
        <is>
          <t>C0197</t>
        </is>
      </c>
      <c r="D613" s="2" t="inlineStr">
        <is>
          <t>L05</t>
        </is>
      </c>
      <c r="E613" s="2" t="inlineStr">
        <is>
          <t>Cancelado</t>
        </is>
      </c>
      <c r="F613" s="2" t="inlineStr">
        <is>
          <t>Pix</t>
        </is>
      </c>
      <c r="G613" s="19" t="n">
        <v>0</v>
      </c>
    </row>
    <row r="614">
      <c r="A614" s="2" t="inlineStr">
        <is>
          <t>PED00613</t>
        </is>
      </c>
      <c r="B614" s="3" t="n">
        <v>45604</v>
      </c>
      <c r="C614" s="2" t="inlineStr">
        <is>
          <t>C0017</t>
        </is>
      </c>
      <c r="D614" s="2" t="inlineStr">
        <is>
          <t>L06</t>
        </is>
      </c>
      <c r="E614" s="2" t="inlineStr">
        <is>
          <t>Em processamento</t>
        </is>
      </c>
      <c r="F614" s="2" t="inlineStr">
        <is>
          <t>Boleto</t>
        </is>
      </c>
      <c r="G614" s="19" t="n">
        <v>0.05</v>
      </c>
    </row>
    <row r="615">
      <c r="A615" s="2" t="inlineStr">
        <is>
          <t>PED00614</t>
        </is>
      </c>
      <c r="B615" s="3" t="n">
        <v>45729</v>
      </c>
      <c r="C615" s="2" t="inlineStr">
        <is>
          <t>C0030</t>
        </is>
      </c>
      <c r="D615" s="2" t="inlineStr">
        <is>
          <t>L02</t>
        </is>
      </c>
      <c r="E615" s="2" t="inlineStr">
        <is>
          <t>Entregue</t>
        </is>
      </c>
      <c r="F615" s="2" t="inlineStr">
        <is>
          <t>Transferência</t>
        </is>
      </c>
      <c r="G615" s="19" t="n">
        <v>0.1</v>
      </c>
    </row>
    <row r="616">
      <c r="A616" s="2" t="inlineStr">
        <is>
          <t>PED00615</t>
        </is>
      </c>
      <c r="B616" s="3" t="n">
        <v>45682</v>
      </c>
      <c r="C616" s="2" t="inlineStr">
        <is>
          <t>C0240</t>
        </is>
      </c>
      <c r="D616" s="2" t="inlineStr">
        <is>
          <t>L04</t>
        </is>
      </c>
      <c r="E616" s="2" t="inlineStr">
        <is>
          <t>Entregue</t>
        </is>
      </c>
      <c r="F616" s="2" t="inlineStr">
        <is>
          <t>Pix</t>
        </is>
      </c>
      <c r="G616" s="19" t="n">
        <v>0.1</v>
      </c>
    </row>
    <row r="617">
      <c r="A617" s="2" t="inlineStr">
        <is>
          <t>PED00616</t>
        </is>
      </c>
      <c r="B617" s="3" t="n">
        <v>45562</v>
      </c>
      <c r="C617" s="2" t="inlineStr">
        <is>
          <t>C0092</t>
        </is>
      </c>
      <c r="D617" s="2" t="inlineStr">
        <is>
          <t>L08</t>
        </is>
      </c>
      <c r="E617" s="2" t="inlineStr">
        <is>
          <t>Entregue</t>
        </is>
      </c>
      <c r="F617" s="2" t="inlineStr">
        <is>
          <t>Cartão de crédito</t>
        </is>
      </c>
      <c r="G617" s="19" t="n">
        <v>0.03</v>
      </c>
    </row>
    <row r="618">
      <c r="A618" s="2" t="inlineStr">
        <is>
          <t>PED00617</t>
        </is>
      </c>
      <c r="B618" s="3" t="n">
        <v>45442</v>
      </c>
      <c r="C618" s="2" t="inlineStr">
        <is>
          <t>C0317</t>
        </is>
      </c>
      <c r="D618" s="2" t="inlineStr">
        <is>
          <t>L01</t>
        </is>
      </c>
      <c r="E618" s="2" t="inlineStr">
        <is>
          <t>Entregue</t>
        </is>
      </c>
      <c r="F618" s="2" t="inlineStr">
        <is>
          <t>Cartão de crédito</t>
        </is>
      </c>
      <c r="G618" s="19" t="n">
        <v>0</v>
      </c>
    </row>
    <row r="619">
      <c r="A619" s="2" t="inlineStr">
        <is>
          <t>PED00618</t>
        </is>
      </c>
      <c r="B619" s="3" t="n">
        <v>45557</v>
      </c>
      <c r="C619" s="2" t="inlineStr">
        <is>
          <t>C0132</t>
        </is>
      </c>
      <c r="D619" s="2" t="inlineStr">
        <is>
          <t>L01</t>
        </is>
      </c>
      <c r="E619" s="2" t="inlineStr">
        <is>
          <t>Entregue</t>
        </is>
      </c>
      <c r="F619" s="2" t="inlineStr">
        <is>
          <t>Boleto</t>
        </is>
      </c>
      <c r="G619" s="19" t="n">
        <v>0</v>
      </c>
    </row>
    <row r="620">
      <c r="A620" s="2" t="inlineStr">
        <is>
          <t>PED00619</t>
        </is>
      </c>
      <c r="B620" s="3" t="n">
        <v>45989</v>
      </c>
      <c r="C620" s="2" t="inlineStr">
        <is>
          <t>C0213</t>
        </is>
      </c>
      <c r="D620" s="2" t="inlineStr">
        <is>
          <t>L02</t>
        </is>
      </c>
      <c r="E620" s="2" t="inlineStr">
        <is>
          <t>Entregue</t>
        </is>
      </c>
      <c r="F620" s="2" t="inlineStr">
        <is>
          <t>Boleto</t>
        </is>
      </c>
      <c r="G620" s="19" t="n">
        <v>0</v>
      </c>
    </row>
    <row r="621">
      <c r="A621" s="2" t="inlineStr">
        <is>
          <t>PED00620</t>
        </is>
      </c>
      <c r="B621" s="3" t="n">
        <v>45593</v>
      </c>
      <c r="C621" s="2" t="inlineStr">
        <is>
          <t>C0319</t>
        </is>
      </c>
      <c r="D621" s="2" t="inlineStr">
        <is>
          <t>L01</t>
        </is>
      </c>
      <c r="E621" s="2" t="inlineStr">
        <is>
          <t>Entregue</t>
        </is>
      </c>
      <c r="F621" s="2" t="inlineStr">
        <is>
          <t>Pix</t>
        </is>
      </c>
      <c r="G621" s="19" t="n">
        <v>0.1</v>
      </c>
    </row>
    <row r="622">
      <c r="A622" s="2" t="inlineStr">
        <is>
          <t>PED00621</t>
        </is>
      </c>
      <c r="B622" s="3" t="n">
        <v>45445</v>
      </c>
      <c r="C622" s="2" t="inlineStr">
        <is>
          <t>C0196</t>
        </is>
      </c>
      <c r="D622" s="2" t="inlineStr">
        <is>
          <t>L02</t>
        </is>
      </c>
      <c r="E622" s="2" t="inlineStr">
        <is>
          <t>Em processamento</t>
        </is>
      </c>
      <c r="F622" s="2" t="inlineStr">
        <is>
          <t>Transferência</t>
        </is>
      </c>
      <c r="G622" s="19" t="n">
        <v>0.15</v>
      </c>
    </row>
    <row r="623">
      <c r="A623" s="2" t="inlineStr">
        <is>
          <t>PED00622</t>
        </is>
      </c>
      <c r="B623" s="3" t="n">
        <v>45567</v>
      </c>
      <c r="C623" s="2" t="inlineStr">
        <is>
          <t>C0100</t>
        </is>
      </c>
      <c r="D623" s="2" t="inlineStr">
        <is>
          <t>L05</t>
        </is>
      </c>
      <c r="E623" s="2" t="inlineStr">
        <is>
          <t>Em processamento</t>
        </is>
      </c>
      <c r="F623" s="2" t="inlineStr">
        <is>
          <t>Cartão de crédito</t>
        </is>
      </c>
      <c r="G623" s="19" t="n">
        <v>0.1</v>
      </c>
    </row>
    <row r="624">
      <c r="A624" s="2" t="inlineStr">
        <is>
          <t>PED00623</t>
        </is>
      </c>
      <c r="B624" s="3" t="n">
        <v>45527</v>
      </c>
      <c r="C624" s="2" t="inlineStr">
        <is>
          <t>C0292</t>
        </is>
      </c>
      <c r="D624" s="2" t="inlineStr">
        <is>
          <t>L03</t>
        </is>
      </c>
      <c r="E624" s="2" t="inlineStr">
        <is>
          <t>Em processamento</t>
        </is>
      </c>
      <c r="F624" s="2" t="inlineStr">
        <is>
          <t>Pix</t>
        </is>
      </c>
      <c r="G624" s="19" t="n">
        <v>0.1</v>
      </c>
    </row>
    <row r="625">
      <c r="A625" s="2" t="inlineStr">
        <is>
          <t>PED00624</t>
        </is>
      </c>
      <c r="B625" s="3" t="n">
        <v>45494</v>
      </c>
      <c r="C625" s="2" t="inlineStr">
        <is>
          <t>C0093</t>
        </is>
      </c>
      <c r="D625" s="2" t="inlineStr">
        <is>
          <t>L08</t>
        </is>
      </c>
      <c r="E625" s="2" t="inlineStr">
        <is>
          <t>Entregue</t>
        </is>
      </c>
      <c r="F625" s="2" t="inlineStr">
        <is>
          <t>Pix</t>
        </is>
      </c>
      <c r="G625" s="19" t="n">
        <v>0</v>
      </c>
    </row>
    <row r="626">
      <c r="A626" s="2" t="inlineStr">
        <is>
          <t>PED00625</t>
        </is>
      </c>
      <c r="B626" s="3" t="n">
        <v>45834</v>
      </c>
      <c r="C626" s="2" t="inlineStr">
        <is>
          <t>C0199</t>
        </is>
      </c>
      <c r="D626" s="2" t="inlineStr">
        <is>
          <t>L07</t>
        </is>
      </c>
      <c r="E626" s="2" t="inlineStr">
        <is>
          <t>Entregue</t>
        </is>
      </c>
      <c r="F626" s="2" t="inlineStr">
        <is>
          <t>Cartão de crédito</t>
        </is>
      </c>
      <c r="G626" s="19" t="n">
        <v>0.03</v>
      </c>
    </row>
    <row r="627">
      <c r="A627" s="2" t="inlineStr">
        <is>
          <t>PED00626</t>
        </is>
      </c>
      <c r="B627" s="3" t="n">
        <v>45752</v>
      </c>
      <c r="C627" s="2" t="inlineStr">
        <is>
          <t>C0224</t>
        </is>
      </c>
      <c r="D627" s="2" t="inlineStr">
        <is>
          <t>L05</t>
        </is>
      </c>
      <c r="E627" s="2" t="inlineStr">
        <is>
          <t>Entregue</t>
        </is>
      </c>
      <c r="F627" s="2" t="inlineStr">
        <is>
          <t>Cartão de débito</t>
        </is>
      </c>
      <c r="G627" s="19" t="n">
        <v>0.05</v>
      </c>
    </row>
    <row r="628">
      <c r="A628" s="2" t="inlineStr">
        <is>
          <t>PED00627</t>
        </is>
      </c>
      <c r="B628" s="3" t="n">
        <v>45812</v>
      </c>
      <c r="C628" s="2" t="inlineStr">
        <is>
          <t>C0302</t>
        </is>
      </c>
      <c r="D628" s="2" t="inlineStr">
        <is>
          <t>L05</t>
        </is>
      </c>
      <c r="E628" s="2" t="inlineStr">
        <is>
          <t>Em processamento</t>
        </is>
      </c>
      <c r="F628" s="2" t="inlineStr">
        <is>
          <t>Pix</t>
        </is>
      </c>
      <c r="G628" s="19" t="n">
        <v>0</v>
      </c>
    </row>
    <row r="629">
      <c r="A629" s="2" t="inlineStr">
        <is>
          <t>PED00628</t>
        </is>
      </c>
      <c r="B629" s="3" t="n">
        <v>45618</v>
      </c>
      <c r="C629" s="2" t="inlineStr">
        <is>
          <t>C0092</t>
        </is>
      </c>
      <c r="D629" s="2" t="inlineStr">
        <is>
          <t>L03</t>
        </is>
      </c>
      <c r="E629" s="2" t="inlineStr">
        <is>
          <t>Entregue</t>
        </is>
      </c>
      <c r="F629" s="2" t="inlineStr">
        <is>
          <t>Boleto</t>
        </is>
      </c>
      <c r="G629" s="19" t="n">
        <v>0.1</v>
      </c>
    </row>
    <row r="630">
      <c r="A630" s="2" t="inlineStr">
        <is>
          <t>PED00629</t>
        </is>
      </c>
      <c r="B630" s="3" t="n">
        <v>45741</v>
      </c>
      <c r="C630" s="2" t="inlineStr">
        <is>
          <t>C0115</t>
        </is>
      </c>
      <c r="D630" s="2" t="inlineStr">
        <is>
          <t>L03</t>
        </is>
      </c>
      <c r="E630" s="2" t="inlineStr">
        <is>
          <t>Entregue</t>
        </is>
      </c>
      <c r="F630" s="2" t="inlineStr">
        <is>
          <t>Boleto</t>
        </is>
      </c>
      <c r="G630" s="19" t="n">
        <v>0.15</v>
      </c>
    </row>
    <row r="631">
      <c r="A631" s="2" t="inlineStr">
        <is>
          <t>PED00630</t>
        </is>
      </c>
      <c r="B631" s="3" t="n">
        <v>45844</v>
      </c>
      <c r="C631" s="2" t="inlineStr">
        <is>
          <t>C0276</t>
        </is>
      </c>
      <c r="D631" s="2" t="inlineStr">
        <is>
          <t>L04</t>
        </is>
      </c>
      <c r="E631" s="2" t="inlineStr">
        <is>
          <t>Entregue</t>
        </is>
      </c>
      <c r="F631" s="2" t="inlineStr">
        <is>
          <t>Cartão de débito</t>
        </is>
      </c>
      <c r="G631" s="19" t="n">
        <v>0</v>
      </c>
    </row>
    <row r="632">
      <c r="A632" s="2" t="inlineStr">
        <is>
          <t>PED00631</t>
        </is>
      </c>
      <c r="B632" s="3" t="n">
        <v>45756</v>
      </c>
      <c r="C632" s="2" t="inlineStr">
        <is>
          <t>C0152</t>
        </is>
      </c>
      <c r="D632" s="2" t="inlineStr">
        <is>
          <t>L02</t>
        </is>
      </c>
      <c r="E632" s="2" t="inlineStr">
        <is>
          <t>Entregue</t>
        </is>
      </c>
      <c r="F632" s="2" t="inlineStr">
        <is>
          <t>Boleto</t>
        </is>
      </c>
      <c r="G632" s="19" t="n">
        <v>0</v>
      </c>
    </row>
    <row r="633">
      <c r="A633" s="2" t="inlineStr">
        <is>
          <t>PED00632</t>
        </is>
      </c>
      <c r="B633" s="3" t="n">
        <v>45811</v>
      </c>
      <c r="C633" s="2" t="inlineStr">
        <is>
          <t>C0172</t>
        </is>
      </c>
      <c r="D633" s="2" t="inlineStr">
        <is>
          <t>L05</t>
        </is>
      </c>
      <c r="E633" s="2" t="inlineStr">
        <is>
          <t>Entregue</t>
        </is>
      </c>
      <c r="F633" s="2" t="inlineStr">
        <is>
          <t>Cartão de débito</t>
        </is>
      </c>
      <c r="G633" s="19" t="n">
        <v>0.05</v>
      </c>
    </row>
    <row r="634">
      <c r="A634" s="2" t="inlineStr">
        <is>
          <t>PED00633</t>
        </is>
      </c>
      <c r="B634" s="3" t="n">
        <v>45394</v>
      </c>
      <c r="C634" s="2" t="inlineStr">
        <is>
          <t>C0267</t>
        </is>
      </c>
      <c r="D634" s="2" t="inlineStr">
        <is>
          <t>L06</t>
        </is>
      </c>
      <c r="E634" s="2" t="inlineStr">
        <is>
          <t>Entregue</t>
        </is>
      </c>
      <c r="F634" s="2" t="inlineStr">
        <is>
          <t>Cartão de crédito</t>
        </is>
      </c>
      <c r="G634" s="19" t="n">
        <v>0.1</v>
      </c>
    </row>
    <row r="635">
      <c r="A635" s="2" t="inlineStr">
        <is>
          <t>PED00634</t>
        </is>
      </c>
      <c r="B635" s="3" t="n">
        <v>45483</v>
      </c>
      <c r="C635" s="2" t="inlineStr">
        <is>
          <t>C0255</t>
        </is>
      </c>
      <c r="D635" s="2" t="inlineStr">
        <is>
          <t>L05</t>
        </is>
      </c>
      <c r="E635" s="2" t="inlineStr">
        <is>
          <t>Entregue</t>
        </is>
      </c>
      <c r="F635" s="2" t="inlineStr">
        <is>
          <t>Cartão de crédito</t>
        </is>
      </c>
      <c r="G635" s="19" t="n">
        <v>0</v>
      </c>
    </row>
    <row r="636">
      <c r="A636" s="2" t="inlineStr">
        <is>
          <t>PED00635</t>
        </is>
      </c>
      <c r="B636" s="3" t="n">
        <v>45331</v>
      </c>
      <c r="C636" s="2" t="inlineStr">
        <is>
          <t>C0215</t>
        </is>
      </c>
      <c r="D636" s="2" t="inlineStr">
        <is>
          <t>L05</t>
        </is>
      </c>
      <c r="E636" s="2" t="inlineStr">
        <is>
          <t>Entregue</t>
        </is>
      </c>
      <c r="F636" s="2" t="inlineStr">
        <is>
          <t>Cartão de crédito</t>
        </is>
      </c>
      <c r="G636" s="19" t="n">
        <v>0</v>
      </c>
    </row>
    <row r="637">
      <c r="A637" s="2" t="inlineStr">
        <is>
          <t>PED00636</t>
        </is>
      </c>
      <c r="B637" s="3" t="n">
        <v>45793</v>
      </c>
      <c r="C637" s="2" t="inlineStr">
        <is>
          <t>C0323</t>
        </is>
      </c>
      <c r="D637" s="2" t="inlineStr">
        <is>
          <t>L07</t>
        </is>
      </c>
      <c r="E637" s="2" t="inlineStr">
        <is>
          <t>Entregue</t>
        </is>
      </c>
      <c r="F637" s="2" t="inlineStr">
        <is>
          <t>Cartão de crédito</t>
        </is>
      </c>
      <c r="G637" s="19" t="n">
        <v>0</v>
      </c>
    </row>
    <row r="638">
      <c r="A638" s="2" t="inlineStr">
        <is>
          <t>PED00637</t>
        </is>
      </c>
      <c r="B638" s="3" t="n">
        <v>45545</v>
      </c>
      <c r="C638" s="2" t="inlineStr">
        <is>
          <t>C0340</t>
        </is>
      </c>
      <c r="D638" s="2" t="inlineStr">
        <is>
          <t>L07</t>
        </is>
      </c>
      <c r="E638" s="2" t="inlineStr">
        <is>
          <t>Entregue</t>
        </is>
      </c>
      <c r="F638" s="2" t="inlineStr">
        <is>
          <t>Cartão de crédito</t>
        </is>
      </c>
      <c r="G638" s="19" t="n">
        <v>0</v>
      </c>
    </row>
    <row r="639">
      <c r="A639" s="2" t="inlineStr">
        <is>
          <t>PED00638</t>
        </is>
      </c>
      <c r="B639" s="3" t="n">
        <v>45787</v>
      </c>
      <c r="C639" s="2" t="inlineStr">
        <is>
          <t>C0251</t>
        </is>
      </c>
      <c r="D639" s="2" t="inlineStr">
        <is>
          <t>L07</t>
        </is>
      </c>
      <c r="E639" s="2" t="inlineStr">
        <is>
          <t>Entregue</t>
        </is>
      </c>
      <c r="F639" s="2" t="inlineStr">
        <is>
          <t>Pix</t>
        </is>
      </c>
      <c r="G639" s="19" t="n">
        <v>0</v>
      </c>
    </row>
    <row r="640">
      <c r="A640" s="2" t="inlineStr">
        <is>
          <t>PED00639</t>
        </is>
      </c>
      <c r="B640" s="3" t="n">
        <v>45559</v>
      </c>
      <c r="C640" s="2" t="inlineStr">
        <is>
          <t>C0346</t>
        </is>
      </c>
      <c r="D640" s="2" t="inlineStr">
        <is>
          <t>L06</t>
        </is>
      </c>
      <c r="E640" s="2" t="inlineStr">
        <is>
          <t>Entregue</t>
        </is>
      </c>
      <c r="F640" s="2" t="inlineStr">
        <is>
          <t>Cartão de débito</t>
        </is>
      </c>
      <c r="G640" s="19" t="n">
        <v>0.03</v>
      </c>
    </row>
    <row r="641">
      <c r="A641" s="2" t="inlineStr">
        <is>
          <t>PED00640</t>
        </is>
      </c>
      <c r="B641" s="3" t="n">
        <v>45750</v>
      </c>
      <c r="C641" s="2" t="inlineStr">
        <is>
          <t>C0210</t>
        </is>
      </c>
      <c r="D641" s="2" t="inlineStr">
        <is>
          <t>L04</t>
        </is>
      </c>
      <c r="E641" s="2" t="inlineStr">
        <is>
          <t>Entregue</t>
        </is>
      </c>
      <c r="F641" s="2" t="inlineStr">
        <is>
          <t>Pix</t>
        </is>
      </c>
      <c r="G641" s="19" t="n">
        <v>0</v>
      </c>
    </row>
    <row r="642">
      <c r="A642" s="2" t="inlineStr">
        <is>
          <t>PED00641</t>
        </is>
      </c>
      <c r="B642" s="3" t="n">
        <v>45858</v>
      </c>
      <c r="C642" s="2" t="inlineStr">
        <is>
          <t>C0033</t>
        </is>
      </c>
      <c r="D642" s="2" t="inlineStr">
        <is>
          <t>L01</t>
        </is>
      </c>
      <c r="E642" s="2" t="inlineStr">
        <is>
          <t>Entregue</t>
        </is>
      </c>
      <c r="F642" s="2" t="inlineStr">
        <is>
          <t>Cartão de crédito</t>
        </is>
      </c>
      <c r="G642" s="19" t="n">
        <v>0</v>
      </c>
    </row>
    <row r="643">
      <c r="A643" s="2" t="inlineStr">
        <is>
          <t>PED00642</t>
        </is>
      </c>
      <c r="B643" s="3" t="n">
        <v>45589</v>
      </c>
      <c r="C643" s="2" t="inlineStr">
        <is>
          <t>C0083</t>
        </is>
      </c>
      <c r="D643" s="2" t="inlineStr">
        <is>
          <t>L06</t>
        </is>
      </c>
      <c r="E643" s="2" t="inlineStr">
        <is>
          <t>Entregue</t>
        </is>
      </c>
      <c r="F643" s="2" t="inlineStr">
        <is>
          <t>Pix</t>
        </is>
      </c>
      <c r="G643" s="19" t="n">
        <v>0.05</v>
      </c>
    </row>
    <row r="644">
      <c r="A644" s="2" t="inlineStr">
        <is>
          <t>PED00643</t>
        </is>
      </c>
      <c r="B644" s="3" t="n">
        <v>45963</v>
      </c>
      <c r="C644" s="2" t="inlineStr">
        <is>
          <t>C0206</t>
        </is>
      </c>
      <c r="D644" s="2" t="inlineStr">
        <is>
          <t>L03</t>
        </is>
      </c>
      <c r="E644" s="2" t="inlineStr">
        <is>
          <t>Entregue</t>
        </is>
      </c>
      <c r="F644" s="2" t="inlineStr">
        <is>
          <t>Boleto</t>
        </is>
      </c>
      <c r="G644" s="19" t="n">
        <v>0.1</v>
      </c>
    </row>
    <row r="645">
      <c r="A645" s="2" t="inlineStr">
        <is>
          <t>PED00644</t>
        </is>
      </c>
      <c r="B645" s="3" t="n">
        <v>45717</v>
      </c>
      <c r="C645" s="2" t="inlineStr">
        <is>
          <t>C0011</t>
        </is>
      </c>
      <c r="D645" s="2" t="inlineStr">
        <is>
          <t>L01</t>
        </is>
      </c>
      <c r="E645" s="2" t="inlineStr">
        <is>
          <t>Entregue</t>
        </is>
      </c>
      <c r="F645" s="2" t="inlineStr">
        <is>
          <t>Cartão de crédito</t>
        </is>
      </c>
      <c r="G645" s="19" t="n">
        <v>0.1</v>
      </c>
    </row>
    <row r="646">
      <c r="A646" s="2" t="inlineStr">
        <is>
          <t>PED00645</t>
        </is>
      </c>
      <c r="B646" s="3" t="n">
        <v>45611</v>
      </c>
      <c r="C646" s="2" t="inlineStr">
        <is>
          <t>C0166</t>
        </is>
      </c>
      <c r="D646" s="2" t="inlineStr">
        <is>
          <t>L07</t>
        </is>
      </c>
      <c r="E646" s="2" t="inlineStr">
        <is>
          <t>Entregue</t>
        </is>
      </c>
      <c r="F646" s="2" t="inlineStr">
        <is>
          <t>Pix</t>
        </is>
      </c>
      <c r="G646" s="19" t="n">
        <v>0</v>
      </c>
    </row>
    <row r="647">
      <c r="A647" s="2" t="inlineStr">
        <is>
          <t>PED00646</t>
        </is>
      </c>
      <c r="B647" s="3" t="n">
        <v>45677</v>
      </c>
      <c r="C647" s="2" t="inlineStr">
        <is>
          <t>C0150</t>
        </is>
      </c>
      <c r="D647" s="2" t="inlineStr">
        <is>
          <t>L07</t>
        </is>
      </c>
      <c r="E647" s="2" t="inlineStr">
        <is>
          <t>Entregue</t>
        </is>
      </c>
      <c r="F647" s="2" t="inlineStr">
        <is>
          <t>Transferência</t>
        </is>
      </c>
      <c r="G647" s="19" t="n">
        <v>0.03</v>
      </c>
    </row>
    <row r="648">
      <c r="A648" s="2" t="inlineStr">
        <is>
          <t>PED00647</t>
        </is>
      </c>
      <c r="B648" s="3" t="n">
        <v>45673</v>
      </c>
      <c r="C648" s="2" t="inlineStr">
        <is>
          <t>C0280</t>
        </is>
      </c>
      <c r="D648" s="2" t="inlineStr">
        <is>
          <t>L02</t>
        </is>
      </c>
      <c r="E648" s="2" t="inlineStr">
        <is>
          <t>Entregue</t>
        </is>
      </c>
      <c r="F648" s="2" t="inlineStr">
        <is>
          <t>Cartão de crédito</t>
        </is>
      </c>
      <c r="G648" s="19" t="n">
        <v>0</v>
      </c>
    </row>
    <row r="649">
      <c r="A649" s="2" t="inlineStr">
        <is>
          <t>PED00648</t>
        </is>
      </c>
      <c r="B649" s="3" t="n">
        <v>45465</v>
      </c>
      <c r="C649" s="2" t="inlineStr">
        <is>
          <t>C0107</t>
        </is>
      </c>
      <c r="D649" s="2" t="inlineStr">
        <is>
          <t>L08</t>
        </is>
      </c>
      <c r="E649" s="2" t="inlineStr">
        <is>
          <t>Entregue</t>
        </is>
      </c>
      <c r="F649" s="2" t="inlineStr">
        <is>
          <t>Pix</t>
        </is>
      </c>
      <c r="G649" s="19" t="n">
        <v>0</v>
      </c>
    </row>
    <row r="650">
      <c r="A650" s="2" t="inlineStr">
        <is>
          <t>PED00649</t>
        </is>
      </c>
      <c r="B650" s="3" t="n">
        <v>45998</v>
      </c>
      <c r="C650" s="2" t="inlineStr">
        <is>
          <t>C0108</t>
        </is>
      </c>
      <c r="D650" s="2" t="inlineStr">
        <is>
          <t>L08</t>
        </is>
      </c>
      <c r="E650" s="2" t="inlineStr">
        <is>
          <t>Entregue</t>
        </is>
      </c>
      <c r="F650" s="2" t="inlineStr">
        <is>
          <t>Pix</t>
        </is>
      </c>
      <c r="G650" s="19" t="n">
        <v>0.05</v>
      </c>
    </row>
    <row r="651">
      <c r="A651" s="2" t="inlineStr">
        <is>
          <t>PED00650</t>
        </is>
      </c>
      <c r="B651" s="3" t="n">
        <v>45727</v>
      </c>
      <c r="C651" s="2" t="inlineStr">
        <is>
          <t>C0040</t>
        </is>
      </c>
      <c r="D651" s="2" t="inlineStr">
        <is>
          <t>L07</t>
        </is>
      </c>
      <c r="E651" s="2" t="inlineStr">
        <is>
          <t>Entregue</t>
        </is>
      </c>
      <c r="F651" s="2" t="inlineStr">
        <is>
          <t>Pix</t>
        </is>
      </c>
      <c r="G651" s="19" t="n">
        <v>0.03</v>
      </c>
    </row>
    <row r="652">
      <c r="A652" s="2" t="inlineStr">
        <is>
          <t>PED00651</t>
        </is>
      </c>
      <c r="B652" s="3" t="n">
        <v>45331</v>
      </c>
      <c r="C652" s="2" t="inlineStr">
        <is>
          <t>C0218</t>
        </is>
      </c>
      <c r="D652" s="2" t="inlineStr">
        <is>
          <t>L08</t>
        </is>
      </c>
      <c r="E652" s="2" t="inlineStr">
        <is>
          <t>Entregue</t>
        </is>
      </c>
      <c r="F652" s="2" t="inlineStr">
        <is>
          <t>Cartão de débito</t>
        </is>
      </c>
      <c r="G652" s="19" t="n">
        <v>0.03</v>
      </c>
    </row>
    <row r="653">
      <c r="A653" s="2" t="inlineStr">
        <is>
          <t>PED00652</t>
        </is>
      </c>
      <c r="B653" s="3" t="n">
        <v>45921</v>
      </c>
      <c r="C653" s="2" t="inlineStr">
        <is>
          <t>C0191</t>
        </is>
      </c>
      <c r="D653" s="2" t="inlineStr">
        <is>
          <t>L03</t>
        </is>
      </c>
      <c r="E653" s="2" t="inlineStr">
        <is>
          <t>Entregue</t>
        </is>
      </c>
      <c r="F653" s="2" t="inlineStr">
        <is>
          <t>Cartão de crédito</t>
        </is>
      </c>
      <c r="G653" s="19" t="n">
        <v>0</v>
      </c>
    </row>
    <row r="654">
      <c r="A654" s="2" t="inlineStr">
        <is>
          <t>PED00653</t>
        </is>
      </c>
      <c r="B654" s="3" t="n">
        <v>45460</v>
      </c>
      <c r="C654" s="2" t="inlineStr">
        <is>
          <t>C0269</t>
        </is>
      </c>
      <c r="D654" s="2" t="inlineStr">
        <is>
          <t>L08</t>
        </is>
      </c>
      <c r="E654" s="2" t="inlineStr">
        <is>
          <t>Entregue</t>
        </is>
      </c>
      <c r="F654" s="2" t="inlineStr">
        <is>
          <t>Cartão de crédito</t>
        </is>
      </c>
      <c r="G654" s="19" t="n">
        <v>0</v>
      </c>
    </row>
    <row r="655">
      <c r="A655" s="2" t="inlineStr">
        <is>
          <t>PED00654</t>
        </is>
      </c>
      <c r="B655" s="3" t="n">
        <v>46002</v>
      </c>
      <c r="C655" s="2" t="inlineStr">
        <is>
          <t>C0049</t>
        </is>
      </c>
      <c r="D655" s="2" t="inlineStr">
        <is>
          <t>L08</t>
        </is>
      </c>
      <c r="E655" s="2" t="inlineStr">
        <is>
          <t>Entregue</t>
        </is>
      </c>
      <c r="F655" s="2" t="inlineStr">
        <is>
          <t>Pix</t>
        </is>
      </c>
      <c r="G655" s="19" t="n">
        <v>0.03</v>
      </c>
    </row>
    <row r="656">
      <c r="A656" s="2" t="inlineStr">
        <is>
          <t>PED00655</t>
        </is>
      </c>
      <c r="B656" s="3" t="n">
        <v>45645</v>
      </c>
      <c r="C656" s="2" t="inlineStr">
        <is>
          <t>C0322</t>
        </is>
      </c>
      <c r="D656" s="2" t="inlineStr">
        <is>
          <t>L01</t>
        </is>
      </c>
      <c r="E656" s="2" t="inlineStr">
        <is>
          <t>Em processamento</t>
        </is>
      </c>
      <c r="F656" s="2" t="inlineStr">
        <is>
          <t>Pix</t>
        </is>
      </c>
      <c r="G656" s="19" t="n">
        <v>0.1</v>
      </c>
    </row>
    <row r="657">
      <c r="A657" s="2" t="inlineStr">
        <is>
          <t>PED00656</t>
        </is>
      </c>
      <c r="B657" s="3" t="n">
        <v>45421</v>
      </c>
      <c r="C657" s="2" t="inlineStr">
        <is>
          <t>C0268</t>
        </is>
      </c>
      <c r="D657" s="2" t="inlineStr">
        <is>
          <t>L07</t>
        </is>
      </c>
      <c r="E657" s="2" t="inlineStr">
        <is>
          <t>Entregue</t>
        </is>
      </c>
      <c r="F657" s="2" t="inlineStr">
        <is>
          <t>Cartão de débito</t>
        </is>
      </c>
      <c r="G657" s="19" t="n">
        <v>0.05</v>
      </c>
    </row>
    <row r="658">
      <c r="A658" s="2" t="inlineStr">
        <is>
          <t>PED00657</t>
        </is>
      </c>
      <c r="B658" s="3" t="n">
        <v>45921</v>
      </c>
      <c r="C658" s="2" t="inlineStr">
        <is>
          <t>C0076</t>
        </is>
      </c>
      <c r="D658" s="2" t="inlineStr">
        <is>
          <t>L03</t>
        </is>
      </c>
      <c r="E658" s="2" t="inlineStr">
        <is>
          <t>Entregue</t>
        </is>
      </c>
      <c r="F658" s="2" t="inlineStr">
        <is>
          <t>Boleto</t>
        </is>
      </c>
      <c r="G658" s="19" t="n">
        <v>0</v>
      </c>
    </row>
    <row r="659">
      <c r="A659" s="2" t="inlineStr">
        <is>
          <t>PED00658</t>
        </is>
      </c>
      <c r="B659" s="3" t="n">
        <v>45655</v>
      </c>
      <c r="C659" s="2" t="inlineStr">
        <is>
          <t>C0160</t>
        </is>
      </c>
      <c r="D659" s="2" t="inlineStr">
        <is>
          <t>L06</t>
        </is>
      </c>
      <c r="E659" s="2" t="inlineStr">
        <is>
          <t>Entregue</t>
        </is>
      </c>
      <c r="F659" s="2" t="inlineStr">
        <is>
          <t>Boleto</t>
        </is>
      </c>
      <c r="G659" s="19" t="n">
        <v>0.1</v>
      </c>
    </row>
    <row r="660">
      <c r="A660" s="2" t="inlineStr">
        <is>
          <t>PED00659</t>
        </is>
      </c>
      <c r="B660" s="3" t="n">
        <v>45726</v>
      </c>
      <c r="C660" s="2" t="inlineStr">
        <is>
          <t>C0110</t>
        </is>
      </c>
      <c r="D660" s="2" t="inlineStr">
        <is>
          <t>L04</t>
        </is>
      </c>
      <c r="E660" s="2" t="inlineStr">
        <is>
          <t>Entregue</t>
        </is>
      </c>
      <c r="F660" s="2" t="inlineStr">
        <is>
          <t>Pix</t>
        </is>
      </c>
      <c r="G660" s="19" t="n">
        <v>0.05</v>
      </c>
    </row>
    <row r="661">
      <c r="A661" s="2" t="inlineStr">
        <is>
          <t>PED00660</t>
        </is>
      </c>
      <c r="B661" s="3" t="n">
        <v>45892</v>
      </c>
      <c r="C661" s="2" t="inlineStr">
        <is>
          <t>C0159</t>
        </is>
      </c>
      <c r="D661" s="2" t="inlineStr">
        <is>
          <t>L06</t>
        </is>
      </c>
      <c r="E661" s="2" t="inlineStr">
        <is>
          <t>Entregue</t>
        </is>
      </c>
      <c r="F661" s="2" t="inlineStr">
        <is>
          <t>Cartão de crédito</t>
        </is>
      </c>
      <c r="G661" s="19" t="n">
        <v>0</v>
      </c>
    </row>
    <row r="662">
      <c r="A662" s="2" t="inlineStr">
        <is>
          <t>PED00661</t>
        </is>
      </c>
      <c r="B662" s="3" t="n">
        <v>45774</v>
      </c>
      <c r="C662" s="2" t="inlineStr">
        <is>
          <t>C0312</t>
        </is>
      </c>
      <c r="D662" s="2" t="inlineStr">
        <is>
          <t>L08</t>
        </is>
      </c>
      <c r="E662" s="2" t="inlineStr">
        <is>
          <t>Entregue</t>
        </is>
      </c>
      <c r="F662" s="2" t="inlineStr">
        <is>
          <t>Cartão de crédito</t>
        </is>
      </c>
      <c r="G662" s="19" t="n">
        <v>0.1</v>
      </c>
    </row>
    <row r="663">
      <c r="A663" s="2" t="inlineStr">
        <is>
          <t>PED00662</t>
        </is>
      </c>
      <c r="B663" s="3" t="n">
        <v>45721</v>
      </c>
      <c r="C663" s="2" t="inlineStr">
        <is>
          <t>C0062</t>
        </is>
      </c>
      <c r="D663" s="2" t="inlineStr">
        <is>
          <t>L01</t>
        </is>
      </c>
      <c r="E663" s="2" t="inlineStr">
        <is>
          <t>Entregue</t>
        </is>
      </c>
      <c r="F663" s="2" t="inlineStr">
        <is>
          <t>Cartão de débito</t>
        </is>
      </c>
      <c r="G663" s="19" t="n">
        <v>0</v>
      </c>
    </row>
    <row r="664">
      <c r="A664" s="2" t="inlineStr">
        <is>
          <t>PED00663</t>
        </is>
      </c>
      <c r="B664" s="3" t="n">
        <v>45972</v>
      </c>
      <c r="C664" s="2" t="inlineStr">
        <is>
          <t>C0207</t>
        </is>
      </c>
      <c r="D664" s="2" t="inlineStr">
        <is>
          <t>L07</t>
        </is>
      </c>
      <c r="E664" s="2" t="inlineStr">
        <is>
          <t>Cancelado</t>
        </is>
      </c>
      <c r="F664" s="2" t="inlineStr">
        <is>
          <t>Cartão de crédito</t>
        </is>
      </c>
      <c r="G664" s="19" t="n">
        <v>0</v>
      </c>
    </row>
    <row r="665">
      <c r="A665" s="2" t="inlineStr">
        <is>
          <t>PED00664</t>
        </is>
      </c>
      <c r="B665" s="3" t="n">
        <v>45610</v>
      </c>
      <c r="C665" s="2" t="inlineStr">
        <is>
          <t>C0141</t>
        </is>
      </c>
      <c r="D665" s="2" t="inlineStr">
        <is>
          <t>L06</t>
        </is>
      </c>
      <c r="E665" s="2" t="inlineStr">
        <is>
          <t>Entregue</t>
        </is>
      </c>
      <c r="F665" s="2" t="inlineStr">
        <is>
          <t>Cartão de crédito</t>
        </is>
      </c>
      <c r="G665" s="19" t="n">
        <v>0.1</v>
      </c>
    </row>
    <row r="666">
      <c r="A666" s="2" t="inlineStr">
        <is>
          <t>PED00665</t>
        </is>
      </c>
      <c r="B666" s="3" t="n">
        <v>45478</v>
      </c>
      <c r="C666" s="2" t="inlineStr">
        <is>
          <t>C0045</t>
        </is>
      </c>
      <c r="D666" s="2" t="inlineStr">
        <is>
          <t>L03</t>
        </is>
      </c>
      <c r="E666" s="2" t="inlineStr">
        <is>
          <t>Entregue</t>
        </is>
      </c>
      <c r="F666" s="2" t="inlineStr">
        <is>
          <t>Cartão de crédito</t>
        </is>
      </c>
      <c r="G666" s="19" t="n">
        <v>0</v>
      </c>
    </row>
    <row r="667">
      <c r="A667" s="2" t="inlineStr">
        <is>
          <t>PED00666</t>
        </is>
      </c>
      <c r="B667" s="3" t="n">
        <v>45375</v>
      </c>
      <c r="C667" s="2" t="inlineStr">
        <is>
          <t>C0127</t>
        </is>
      </c>
      <c r="D667" s="2" t="inlineStr">
        <is>
          <t>L05</t>
        </is>
      </c>
      <c r="E667" s="2" t="inlineStr">
        <is>
          <t>Cancelado</t>
        </is>
      </c>
      <c r="F667" s="2" t="inlineStr">
        <is>
          <t>Cartão de crédito</t>
        </is>
      </c>
      <c r="G667" s="19" t="n">
        <v>0.1</v>
      </c>
    </row>
    <row r="668">
      <c r="A668" s="2" t="inlineStr">
        <is>
          <t>PED00667</t>
        </is>
      </c>
      <c r="B668" s="3" t="n">
        <v>45585</v>
      </c>
      <c r="C668" s="2" t="inlineStr">
        <is>
          <t>C0092</t>
        </is>
      </c>
      <c r="D668" s="2" t="inlineStr">
        <is>
          <t>L05</t>
        </is>
      </c>
      <c r="E668" s="2" t="inlineStr">
        <is>
          <t>Entregue</t>
        </is>
      </c>
      <c r="F668" s="2" t="inlineStr">
        <is>
          <t>Pix</t>
        </is>
      </c>
      <c r="G668" s="19" t="n">
        <v>0</v>
      </c>
    </row>
    <row r="669">
      <c r="A669" s="2" t="inlineStr">
        <is>
          <t>PED00668</t>
        </is>
      </c>
      <c r="B669" s="3" t="n">
        <v>46006</v>
      </c>
      <c r="C669" s="2" t="inlineStr">
        <is>
          <t>C0226</t>
        </is>
      </c>
      <c r="D669" s="2" t="inlineStr">
        <is>
          <t>L05</t>
        </is>
      </c>
      <c r="E669" s="2" t="inlineStr">
        <is>
          <t>Entregue</t>
        </is>
      </c>
      <c r="F669" s="2" t="inlineStr">
        <is>
          <t>Cartão de crédito</t>
        </is>
      </c>
      <c r="G669" s="19" t="n">
        <v>0</v>
      </c>
    </row>
    <row r="670">
      <c r="A670" s="2" t="inlineStr">
        <is>
          <t>PED00669</t>
        </is>
      </c>
      <c r="B670" s="3" t="n">
        <v>45647</v>
      </c>
      <c r="C670" s="2" t="inlineStr">
        <is>
          <t>C0331</t>
        </is>
      </c>
      <c r="D670" s="2" t="inlineStr">
        <is>
          <t>L05</t>
        </is>
      </c>
      <c r="E670" s="2" t="inlineStr">
        <is>
          <t>Entregue</t>
        </is>
      </c>
      <c r="F670" s="2" t="inlineStr">
        <is>
          <t>Cartão de débito</t>
        </is>
      </c>
      <c r="G670" s="19" t="n">
        <v>0.03</v>
      </c>
    </row>
    <row r="671">
      <c r="A671" s="2" t="inlineStr">
        <is>
          <t>PED00670</t>
        </is>
      </c>
      <c r="B671" s="3" t="n">
        <v>45673</v>
      </c>
      <c r="C671" s="2" t="inlineStr">
        <is>
          <t>C0289</t>
        </is>
      </c>
      <c r="D671" s="2" t="inlineStr">
        <is>
          <t>L07</t>
        </is>
      </c>
      <c r="E671" s="2" t="inlineStr">
        <is>
          <t>Entregue</t>
        </is>
      </c>
      <c r="F671" s="2" t="inlineStr">
        <is>
          <t>Boleto</t>
        </is>
      </c>
      <c r="G671" s="19" t="n">
        <v>0</v>
      </c>
    </row>
    <row r="672">
      <c r="A672" s="2" t="inlineStr">
        <is>
          <t>PED00671</t>
        </is>
      </c>
      <c r="B672" s="3" t="n">
        <v>45723</v>
      </c>
      <c r="C672" s="2" t="inlineStr">
        <is>
          <t>C0244</t>
        </is>
      </c>
      <c r="D672" s="2" t="inlineStr">
        <is>
          <t>L06</t>
        </is>
      </c>
      <c r="E672" s="2" t="inlineStr">
        <is>
          <t>Entregue</t>
        </is>
      </c>
      <c r="F672" s="2" t="inlineStr">
        <is>
          <t>Boleto</t>
        </is>
      </c>
      <c r="G672" s="19" t="n">
        <v>0</v>
      </c>
    </row>
    <row r="673">
      <c r="A673" s="2" t="inlineStr">
        <is>
          <t>PED00672</t>
        </is>
      </c>
      <c r="B673" s="3" t="n">
        <v>45899</v>
      </c>
      <c r="C673" s="2" t="inlineStr">
        <is>
          <t>C0295</t>
        </is>
      </c>
      <c r="D673" s="2" t="inlineStr">
        <is>
          <t>L07</t>
        </is>
      </c>
      <c r="E673" s="2" t="inlineStr">
        <is>
          <t>Entregue</t>
        </is>
      </c>
      <c r="F673" s="2" t="inlineStr">
        <is>
          <t>Cartão de crédito</t>
        </is>
      </c>
      <c r="G673" s="19" t="n">
        <v>0</v>
      </c>
    </row>
    <row r="674">
      <c r="A674" s="2" t="inlineStr">
        <is>
          <t>PED00673</t>
        </is>
      </c>
      <c r="B674" s="3" t="n">
        <v>45723</v>
      </c>
      <c r="C674" s="2" t="inlineStr">
        <is>
          <t>C0219</t>
        </is>
      </c>
      <c r="D674" s="2" t="inlineStr">
        <is>
          <t>L05</t>
        </is>
      </c>
      <c r="E674" s="2" t="inlineStr">
        <is>
          <t>Em processamento</t>
        </is>
      </c>
      <c r="F674" s="2" t="inlineStr">
        <is>
          <t>Cartão de crédito</t>
        </is>
      </c>
      <c r="G674" s="19" t="n">
        <v>0</v>
      </c>
    </row>
    <row r="675">
      <c r="A675" s="2" t="inlineStr">
        <is>
          <t>PED00674</t>
        </is>
      </c>
      <c r="B675" s="3" t="n">
        <v>45633</v>
      </c>
      <c r="C675" s="2" t="inlineStr">
        <is>
          <t>C0028</t>
        </is>
      </c>
      <c r="D675" s="2" t="inlineStr">
        <is>
          <t>L02</t>
        </is>
      </c>
      <c r="E675" s="2" t="inlineStr">
        <is>
          <t>Entregue</t>
        </is>
      </c>
      <c r="F675" s="2" t="inlineStr">
        <is>
          <t>Cartão de débito</t>
        </is>
      </c>
      <c r="G675" s="19" t="n">
        <v>0.1</v>
      </c>
    </row>
    <row r="676">
      <c r="A676" s="2" t="inlineStr">
        <is>
          <t>PED00675</t>
        </is>
      </c>
      <c r="B676" s="3" t="n">
        <v>45374</v>
      </c>
      <c r="C676" s="2" t="inlineStr">
        <is>
          <t>C0095</t>
        </is>
      </c>
      <c r="D676" s="2" t="inlineStr">
        <is>
          <t>L04</t>
        </is>
      </c>
      <c r="E676" s="2" t="inlineStr">
        <is>
          <t>Cancelado</t>
        </is>
      </c>
      <c r="F676" s="2" t="inlineStr">
        <is>
          <t>Cartão de crédito</t>
        </is>
      </c>
      <c r="G676" s="19" t="n">
        <v>0.05</v>
      </c>
    </row>
    <row r="677">
      <c r="A677" s="2" t="inlineStr">
        <is>
          <t>PED00676</t>
        </is>
      </c>
      <c r="B677" s="3" t="n">
        <v>45394</v>
      </c>
      <c r="C677" s="2" t="inlineStr">
        <is>
          <t>C0242</t>
        </is>
      </c>
      <c r="D677" s="2" t="inlineStr">
        <is>
          <t>L07</t>
        </is>
      </c>
      <c r="E677" s="2" t="inlineStr">
        <is>
          <t>Entregue</t>
        </is>
      </c>
      <c r="F677" s="2" t="inlineStr">
        <is>
          <t>Boleto</t>
        </is>
      </c>
      <c r="G677" s="19" t="n">
        <v>0.05</v>
      </c>
    </row>
    <row r="678">
      <c r="A678" s="2" t="inlineStr">
        <is>
          <t>PED00677</t>
        </is>
      </c>
      <c r="B678" s="3" t="n">
        <v>45838</v>
      </c>
      <c r="C678" s="2" t="inlineStr">
        <is>
          <t>C0037</t>
        </is>
      </c>
      <c r="D678" s="2" t="inlineStr">
        <is>
          <t>L06</t>
        </is>
      </c>
      <c r="E678" s="2" t="inlineStr">
        <is>
          <t>Entregue</t>
        </is>
      </c>
      <c r="F678" s="2" t="inlineStr">
        <is>
          <t>Cartão de débito</t>
        </is>
      </c>
      <c r="G678" s="19" t="n">
        <v>0.05</v>
      </c>
    </row>
    <row r="679">
      <c r="A679" s="2" t="inlineStr">
        <is>
          <t>PED00678</t>
        </is>
      </c>
      <c r="B679" s="3" t="n">
        <v>45699</v>
      </c>
      <c r="C679" s="2" t="inlineStr">
        <is>
          <t>C0040</t>
        </is>
      </c>
      <c r="D679" s="2" t="inlineStr">
        <is>
          <t>L04</t>
        </is>
      </c>
      <c r="E679" s="2" t="inlineStr">
        <is>
          <t>Entregue</t>
        </is>
      </c>
      <c r="F679" s="2" t="inlineStr">
        <is>
          <t>Pix</t>
        </is>
      </c>
      <c r="G679" s="19" t="n">
        <v>0</v>
      </c>
    </row>
    <row r="680">
      <c r="A680" s="2" t="inlineStr">
        <is>
          <t>PED00679</t>
        </is>
      </c>
      <c r="B680" s="3" t="n">
        <v>45784</v>
      </c>
      <c r="C680" s="2" t="inlineStr">
        <is>
          <t>C0018</t>
        </is>
      </c>
      <c r="D680" s="2" t="inlineStr">
        <is>
          <t>L05</t>
        </is>
      </c>
      <c r="E680" s="2" t="inlineStr">
        <is>
          <t>Em processamento</t>
        </is>
      </c>
      <c r="F680" s="2" t="inlineStr">
        <is>
          <t>Cartão de crédito</t>
        </is>
      </c>
      <c r="G680" s="19" t="n">
        <v>0</v>
      </c>
    </row>
    <row r="681">
      <c r="A681" s="2" t="inlineStr">
        <is>
          <t>PED00680</t>
        </is>
      </c>
      <c r="B681" s="3" t="n">
        <v>45423</v>
      </c>
      <c r="C681" s="2" t="inlineStr">
        <is>
          <t>C0295</t>
        </is>
      </c>
      <c r="D681" s="2" t="inlineStr">
        <is>
          <t>L07</t>
        </is>
      </c>
      <c r="E681" s="2" t="inlineStr">
        <is>
          <t>Entregue</t>
        </is>
      </c>
      <c r="F681" s="2" t="inlineStr">
        <is>
          <t>Pix</t>
        </is>
      </c>
      <c r="G681" s="19" t="n">
        <v>0.05</v>
      </c>
    </row>
    <row r="682">
      <c r="A682" s="2" t="inlineStr">
        <is>
          <t>PED00681</t>
        </is>
      </c>
      <c r="B682" s="3" t="n">
        <v>45776</v>
      </c>
      <c r="C682" s="2" t="inlineStr">
        <is>
          <t>C0172</t>
        </is>
      </c>
      <c r="D682" s="2" t="inlineStr">
        <is>
          <t>L06</t>
        </is>
      </c>
      <c r="E682" s="2" t="inlineStr">
        <is>
          <t>Entregue</t>
        </is>
      </c>
      <c r="F682" s="2" t="inlineStr">
        <is>
          <t>Pix</t>
        </is>
      </c>
      <c r="G682" s="19" t="n">
        <v>0.03</v>
      </c>
    </row>
    <row r="683">
      <c r="A683" s="2" t="inlineStr">
        <is>
          <t>PED00682</t>
        </is>
      </c>
      <c r="B683" s="3" t="n">
        <v>45757</v>
      </c>
      <c r="C683" s="2" t="inlineStr">
        <is>
          <t>C0223</t>
        </is>
      </c>
      <c r="D683" s="2" t="inlineStr">
        <is>
          <t>L01</t>
        </is>
      </c>
      <c r="E683" s="2" t="inlineStr">
        <is>
          <t>Entregue</t>
        </is>
      </c>
      <c r="F683" s="2" t="inlineStr">
        <is>
          <t>Pix</t>
        </is>
      </c>
      <c r="G683" s="19" t="n">
        <v>0.1</v>
      </c>
    </row>
    <row r="684">
      <c r="A684" s="2" t="inlineStr">
        <is>
          <t>PED00683</t>
        </is>
      </c>
      <c r="B684" s="3" t="n">
        <v>45847</v>
      </c>
      <c r="C684" s="2" t="inlineStr">
        <is>
          <t>C0137</t>
        </is>
      </c>
      <c r="D684" s="2" t="inlineStr">
        <is>
          <t>L03</t>
        </is>
      </c>
      <c r="E684" s="2" t="inlineStr">
        <is>
          <t>Entregue</t>
        </is>
      </c>
      <c r="F684" s="2" t="inlineStr">
        <is>
          <t>Cartão de crédito</t>
        </is>
      </c>
      <c r="G684" s="19" t="n">
        <v>0.03</v>
      </c>
    </row>
    <row r="685">
      <c r="A685" s="2" t="inlineStr">
        <is>
          <t>PED00684</t>
        </is>
      </c>
      <c r="B685" s="3" t="n">
        <v>45378</v>
      </c>
      <c r="C685" s="2" t="inlineStr">
        <is>
          <t>C0274</t>
        </is>
      </c>
      <c r="D685" s="2" t="inlineStr">
        <is>
          <t>L02</t>
        </is>
      </c>
      <c r="E685" s="2" t="inlineStr">
        <is>
          <t>Entregue</t>
        </is>
      </c>
      <c r="F685" s="2" t="inlineStr">
        <is>
          <t>Pix</t>
        </is>
      </c>
      <c r="G685" s="19" t="n">
        <v>0.03</v>
      </c>
    </row>
    <row r="686">
      <c r="A686" s="2" t="inlineStr">
        <is>
          <t>PED00685</t>
        </is>
      </c>
      <c r="B686" s="3" t="n">
        <v>45816</v>
      </c>
      <c r="C686" s="2" t="inlineStr">
        <is>
          <t>C0041</t>
        </is>
      </c>
      <c r="D686" s="2" t="inlineStr">
        <is>
          <t>L06</t>
        </is>
      </c>
      <c r="E686" s="2" t="inlineStr">
        <is>
          <t>Em processamento</t>
        </is>
      </c>
      <c r="F686" s="2" t="inlineStr">
        <is>
          <t>Cartão de débito</t>
        </is>
      </c>
      <c r="G686" s="19" t="n">
        <v>0.03</v>
      </c>
    </row>
    <row r="687">
      <c r="A687" s="2" t="inlineStr">
        <is>
          <t>PED00686</t>
        </is>
      </c>
      <c r="B687" s="3" t="n">
        <v>45373</v>
      </c>
      <c r="C687" s="2" t="inlineStr">
        <is>
          <t>C0222</t>
        </is>
      </c>
      <c r="D687" s="2" t="inlineStr">
        <is>
          <t>L02</t>
        </is>
      </c>
      <c r="E687" s="2" t="inlineStr">
        <is>
          <t>Entregue</t>
        </is>
      </c>
      <c r="F687" s="2" t="inlineStr">
        <is>
          <t>Cartão de crédito</t>
        </is>
      </c>
      <c r="G687" s="19" t="n">
        <v>0.15</v>
      </c>
    </row>
    <row r="688">
      <c r="A688" s="2" t="inlineStr">
        <is>
          <t>PED00687</t>
        </is>
      </c>
      <c r="B688" s="3" t="n">
        <v>45575</v>
      </c>
      <c r="C688" s="2" t="inlineStr">
        <is>
          <t>C0257</t>
        </is>
      </c>
      <c r="D688" s="2" t="inlineStr">
        <is>
          <t>L01</t>
        </is>
      </c>
      <c r="E688" s="2" t="inlineStr">
        <is>
          <t>Entregue</t>
        </is>
      </c>
      <c r="F688" s="2" t="inlineStr">
        <is>
          <t>Boleto</t>
        </is>
      </c>
      <c r="G688" s="19" t="n">
        <v>0.05</v>
      </c>
    </row>
    <row r="689">
      <c r="A689" s="2" t="inlineStr">
        <is>
          <t>PED00688</t>
        </is>
      </c>
      <c r="B689" s="3" t="n">
        <v>45905</v>
      </c>
      <c r="C689" s="2" t="inlineStr">
        <is>
          <t>C0326</t>
        </is>
      </c>
      <c r="D689" s="2" t="inlineStr">
        <is>
          <t>L06</t>
        </is>
      </c>
      <c r="E689" s="2" t="inlineStr">
        <is>
          <t>Entregue</t>
        </is>
      </c>
      <c r="F689" s="2" t="inlineStr">
        <is>
          <t>Pix</t>
        </is>
      </c>
      <c r="G689" s="19" t="n">
        <v>0.05</v>
      </c>
    </row>
    <row r="690">
      <c r="A690" s="2" t="inlineStr">
        <is>
          <t>PED00689</t>
        </is>
      </c>
      <c r="B690" s="3" t="n">
        <v>45863</v>
      </c>
      <c r="C690" s="2" t="inlineStr">
        <is>
          <t>C0007</t>
        </is>
      </c>
      <c r="D690" s="2" t="inlineStr">
        <is>
          <t>L06</t>
        </is>
      </c>
      <c r="E690" s="2" t="inlineStr">
        <is>
          <t>Entregue</t>
        </is>
      </c>
      <c r="F690" s="2" t="inlineStr">
        <is>
          <t>Cartão de crédito</t>
        </is>
      </c>
      <c r="G690" s="19" t="n">
        <v>0.03</v>
      </c>
    </row>
    <row r="691">
      <c r="A691" s="2" t="inlineStr">
        <is>
          <t>PED00690</t>
        </is>
      </c>
      <c r="B691" s="3" t="n">
        <v>45968</v>
      </c>
      <c r="C691" s="2" t="inlineStr">
        <is>
          <t>C0293</t>
        </is>
      </c>
      <c r="D691" s="2" t="inlineStr">
        <is>
          <t>L02</t>
        </is>
      </c>
      <c r="E691" s="2" t="inlineStr">
        <is>
          <t>Entregue</t>
        </is>
      </c>
      <c r="F691" s="2" t="inlineStr">
        <is>
          <t>Cartão de crédito</t>
        </is>
      </c>
      <c r="G691" s="19" t="n">
        <v>0</v>
      </c>
    </row>
    <row r="692">
      <c r="A692" s="2" t="inlineStr">
        <is>
          <t>PED00691</t>
        </is>
      </c>
      <c r="B692" s="3" t="n">
        <v>45614</v>
      </c>
      <c r="C692" s="2" t="inlineStr">
        <is>
          <t>C0232</t>
        </is>
      </c>
      <c r="D692" s="2" t="inlineStr">
        <is>
          <t>L08</t>
        </is>
      </c>
      <c r="E692" s="2" t="inlineStr">
        <is>
          <t>Entregue</t>
        </is>
      </c>
      <c r="F692" s="2" t="inlineStr">
        <is>
          <t>Cartão de crédito</t>
        </is>
      </c>
      <c r="G692" s="19" t="n">
        <v>0</v>
      </c>
    </row>
    <row r="693">
      <c r="A693" s="2" t="inlineStr">
        <is>
          <t>PED00692</t>
        </is>
      </c>
      <c r="B693" s="3" t="n">
        <v>45794</v>
      </c>
      <c r="C693" s="2" t="inlineStr">
        <is>
          <t>C0121</t>
        </is>
      </c>
      <c r="D693" s="2" t="inlineStr">
        <is>
          <t>L07</t>
        </is>
      </c>
      <c r="E693" s="2" t="inlineStr">
        <is>
          <t>Em processamento</t>
        </is>
      </c>
      <c r="F693" s="2" t="inlineStr">
        <is>
          <t>Pix</t>
        </is>
      </c>
      <c r="G693" s="19" t="n">
        <v>0.05</v>
      </c>
    </row>
    <row r="694">
      <c r="A694" s="2" t="inlineStr">
        <is>
          <t>PED00693</t>
        </is>
      </c>
      <c r="B694" s="3" t="n">
        <v>45720</v>
      </c>
      <c r="C694" s="2" t="inlineStr">
        <is>
          <t>C0307</t>
        </is>
      </c>
      <c r="D694" s="2" t="inlineStr">
        <is>
          <t>L05</t>
        </is>
      </c>
      <c r="E694" s="2" t="inlineStr">
        <is>
          <t>Entregue</t>
        </is>
      </c>
      <c r="F694" s="2" t="inlineStr">
        <is>
          <t>Cartão de crédito</t>
        </is>
      </c>
      <c r="G694" s="19" t="n">
        <v>0</v>
      </c>
    </row>
    <row r="695">
      <c r="A695" s="2" t="inlineStr">
        <is>
          <t>PED00694</t>
        </is>
      </c>
      <c r="B695" s="3" t="n">
        <v>45295</v>
      </c>
      <c r="C695" s="2" t="inlineStr">
        <is>
          <t>C0273</t>
        </is>
      </c>
      <c r="D695" s="2" t="inlineStr">
        <is>
          <t>L06</t>
        </is>
      </c>
      <c r="E695" s="2" t="inlineStr">
        <is>
          <t>Entregue</t>
        </is>
      </c>
      <c r="F695" s="2" t="inlineStr">
        <is>
          <t>Cartão de crédito</t>
        </is>
      </c>
      <c r="G695" s="19" t="n">
        <v>0.05</v>
      </c>
    </row>
    <row r="696">
      <c r="A696" s="2" t="inlineStr">
        <is>
          <t>PED00695</t>
        </is>
      </c>
      <c r="B696" s="3" t="n">
        <v>45943</v>
      </c>
      <c r="C696" s="2" t="inlineStr">
        <is>
          <t>C0015</t>
        </is>
      </c>
      <c r="D696" s="2" t="inlineStr">
        <is>
          <t>L04</t>
        </is>
      </c>
      <c r="E696" s="2" t="inlineStr">
        <is>
          <t>Entregue</t>
        </is>
      </c>
      <c r="F696" s="2" t="inlineStr">
        <is>
          <t>Cartão de crédito</t>
        </is>
      </c>
      <c r="G696" s="19" t="n">
        <v>0.15</v>
      </c>
    </row>
    <row r="697">
      <c r="A697" s="2" t="inlineStr">
        <is>
          <t>PED00696</t>
        </is>
      </c>
      <c r="B697" s="3" t="n">
        <v>45907</v>
      </c>
      <c r="C697" s="2" t="inlineStr">
        <is>
          <t>C0335</t>
        </is>
      </c>
      <c r="D697" s="2" t="inlineStr">
        <is>
          <t>L07</t>
        </is>
      </c>
      <c r="E697" s="2" t="inlineStr">
        <is>
          <t>Entregue</t>
        </is>
      </c>
      <c r="F697" s="2" t="inlineStr">
        <is>
          <t>Boleto</t>
        </is>
      </c>
      <c r="G697" s="19" t="n">
        <v>0.1</v>
      </c>
    </row>
    <row r="698">
      <c r="A698" s="2" t="inlineStr">
        <is>
          <t>PED00697</t>
        </is>
      </c>
      <c r="B698" s="3" t="n">
        <v>45775</v>
      </c>
      <c r="C698" s="2" t="inlineStr">
        <is>
          <t>C0103</t>
        </is>
      </c>
      <c r="D698" s="2" t="inlineStr">
        <is>
          <t>L06</t>
        </is>
      </c>
      <c r="E698" s="2" t="inlineStr">
        <is>
          <t>Entregue</t>
        </is>
      </c>
      <c r="F698" s="2" t="inlineStr">
        <is>
          <t>Pix</t>
        </is>
      </c>
      <c r="G698" s="19" t="n">
        <v>0</v>
      </c>
    </row>
    <row r="699">
      <c r="A699" s="2" t="inlineStr">
        <is>
          <t>PED00698</t>
        </is>
      </c>
      <c r="B699" s="3" t="n">
        <v>45631</v>
      </c>
      <c r="C699" s="2" t="inlineStr">
        <is>
          <t>C0082</t>
        </is>
      </c>
      <c r="D699" s="2" t="inlineStr">
        <is>
          <t>L04</t>
        </is>
      </c>
      <c r="E699" s="2" t="inlineStr">
        <is>
          <t>Entregue</t>
        </is>
      </c>
      <c r="F699" s="2" t="inlineStr">
        <is>
          <t>Transferência</t>
        </is>
      </c>
      <c r="G699" s="19" t="n">
        <v>0</v>
      </c>
    </row>
    <row r="700">
      <c r="A700" s="2" t="inlineStr">
        <is>
          <t>PED00699</t>
        </is>
      </c>
      <c r="B700" s="3" t="n">
        <v>45686</v>
      </c>
      <c r="C700" s="2" t="inlineStr">
        <is>
          <t>C0037</t>
        </is>
      </c>
      <c r="D700" s="2" t="inlineStr">
        <is>
          <t>L07</t>
        </is>
      </c>
      <c r="E700" s="2" t="inlineStr">
        <is>
          <t>Em processamento</t>
        </is>
      </c>
      <c r="F700" s="2" t="inlineStr">
        <is>
          <t>Boleto</t>
        </is>
      </c>
      <c r="G700" s="19" t="n">
        <v>0.03</v>
      </c>
    </row>
    <row r="701">
      <c r="A701" s="2" t="inlineStr">
        <is>
          <t>PED00700</t>
        </is>
      </c>
      <c r="B701" s="3" t="n">
        <v>45664</v>
      </c>
      <c r="C701" s="2" t="inlineStr">
        <is>
          <t>C0205</t>
        </is>
      </c>
      <c r="D701" s="2" t="inlineStr">
        <is>
          <t>L08</t>
        </is>
      </c>
      <c r="E701" s="2" t="inlineStr">
        <is>
          <t>Entregue</t>
        </is>
      </c>
      <c r="F701" s="2" t="inlineStr">
        <is>
          <t>Pix</t>
        </is>
      </c>
      <c r="G701" s="19" t="n">
        <v>0</v>
      </c>
    </row>
    <row r="702">
      <c r="A702" s="2" t="inlineStr">
        <is>
          <t>PED00701</t>
        </is>
      </c>
      <c r="B702" s="3" t="n">
        <v>45786</v>
      </c>
      <c r="C702" s="2" t="inlineStr">
        <is>
          <t>C0108</t>
        </is>
      </c>
      <c r="D702" s="2" t="inlineStr">
        <is>
          <t>L05</t>
        </is>
      </c>
      <c r="E702" s="2" t="inlineStr">
        <is>
          <t>Entregue</t>
        </is>
      </c>
      <c r="F702" s="2" t="inlineStr">
        <is>
          <t>Cartão de crédito</t>
        </is>
      </c>
      <c r="G702" s="19" t="n">
        <v>0</v>
      </c>
    </row>
    <row r="703">
      <c r="A703" s="2" t="inlineStr">
        <is>
          <t>PED00702</t>
        </is>
      </c>
      <c r="B703" s="3" t="n">
        <v>45587</v>
      </c>
      <c r="C703" s="2" t="inlineStr">
        <is>
          <t>C0014</t>
        </is>
      </c>
      <c r="D703" s="2" t="inlineStr">
        <is>
          <t>L04</t>
        </is>
      </c>
      <c r="E703" s="2" t="inlineStr">
        <is>
          <t>Cancelado</t>
        </is>
      </c>
      <c r="F703" s="2" t="inlineStr">
        <is>
          <t>Cartão de crédito</t>
        </is>
      </c>
      <c r="G703" s="19" t="n">
        <v>0.05</v>
      </c>
    </row>
    <row r="704">
      <c r="A704" s="2" t="inlineStr">
        <is>
          <t>PED00703</t>
        </is>
      </c>
      <c r="B704" s="3" t="n">
        <v>46003</v>
      </c>
      <c r="C704" s="2" t="inlineStr">
        <is>
          <t>C0066</t>
        </is>
      </c>
      <c r="D704" s="2" t="inlineStr">
        <is>
          <t>L03</t>
        </is>
      </c>
      <c r="E704" s="2" t="inlineStr">
        <is>
          <t>Entregue</t>
        </is>
      </c>
      <c r="F704" s="2" t="inlineStr">
        <is>
          <t>Boleto</t>
        </is>
      </c>
      <c r="G704" s="19" t="n">
        <v>0</v>
      </c>
    </row>
    <row r="705">
      <c r="A705" s="2" t="inlineStr">
        <is>
          <t>PED00704</t>
        </is>
      </c>
      <c r="B705" s="3" t="n">
        <v>45821</v>
      </c>
      <c r="C705" s="2" t="inlineStr">
        <is>
          <t>C0208</t>
        </is>
      </c>
      <c r="D705" s="2" t="inlineStr">
        <is>
          <t>L08</t>
        </is>
      </c>
      <c r="E705" s="2" t="inlineStr">
        <is>
          <t>Entregue</t>
        </is>
      </c>
      <c r="F705" s="2" t="inlineStr">
        <is>
          <t>Pix</t>
        </is>
      </c>
      <c r="G705" s="19" t="n">
        <v>0</v>
      </c>
    </row>
    <row r="706">
      <c r="A706" s="2" t="inlineStr">
        <is>
          <t>PED00705</t>
        </is>
      </c>
      <c r="B706" s="3" t="n">
        <v>45788</v>
      </c>
      <c r="C706" s="2" t="inlineStr">
        <is>
          <t>C0332</t>
        </is>
      </c>
      <c r="D706" s="2" t="inlineStr">
        <is>
          <t>L03</t>
        </is>
      </c>
      <c r="E706" s="2" t="inlineStr">
        <is>
          <t>Cancelado</t>
        </is>
      </c>
      <c r="F706" s="2" t="inlineStr">
        <is>
          <t>Cartão de crédito</t>
        </is>
      </c>
      <c r="G706" s="19" t="n">
        <v>0.03</v>
      </c>
    </row>
    <row r="707">
      <c r="A707" s="2" t="inlineStr">
        <is>
          <t>PED00706</t>
        </is>
      </c>
      <c r="B707" s="3" t="n">
        <v>45414</v>
      </c>
      <c r="C707" s="2" t="inlineStr">
        <is>
          <t>C0333</t>
        </is>
      </c>
      <c r="D707" s="2" t="inlineStr">
        <is>
          <t>L04</t>
        </is>
      </c>
      <c r="E707" s="2" t="inlineStr">
        <is>
          <t>Entregue</t>
        </is>
      </c>
      <c r="F707" s="2" t="inlineStr">
        <is>
          <t>Cartão de crédito</t>
        </is>
      </c>
      <c r="G707" s="19" t="n">
        <v>0.1</v>
      </c>
    </row>
    <row r="708">
      <c r="A708" s="2" t="inlineStr">
        <is>
          <t>PED00707</t>
        </is>
      </c>
      <c r="B708" s="3" t="n">
        <v>45373</v>
      </c>
      <c r="C708" s="2" t="inlineStr">
        <is>
          <t>C0029</t>
        </is>
      </c>
      <c r="D708" s="2" t="inlineStr">
        <is>
          <t>L08</t>
        </is>
      </c>
      <c r="E708" s="2" t="inlineStr">
        <is>
          <t>Entregue</t>
        </is>
      </c>
      <c r="F708" s="2" t="inlineStr">
        <is>
          <t>Pix</t>
        </is>
      </c>
      <c r="G708" s="19" t="n">
        <v>0</v>
      </c>
    </row>
    <row r="709">
      <c r="A709" s="2" t="inlineStr">
        <is>
          <t>PED00708</t>
        </is>
      </c>
      <c r="B709" s="3" t="n">
        <v>45357</v>
      </c>
      <c r="C709" s="2" t="inlineStr">
        <is>
          <t>C0068</t>
        </is>
      </c>
      <c r="D709" s="2" t="inlineStr">
        <is>
          <t>L05</t>
        </is>
      </c>
      <c r="E709" s="2" t="inlineStr">
        <is>
          <t>Entregue</t>
        </is>
      </c>
      <c r="F709" s="2" t="inlineStr">
        <is>
          <t>Pix</t>
        </is>
      </c>
      <c r="G709" s="19" t="n">
        <v>0.05</v>
      </c>
    </row>
    <row r="710">
      <c r="A710" s="2" t="inlineStr">
        <is>
          <t>PED00709</t>
        </is>
      </c>
      <c r="B710" s="3" t="n">
        <v>45779</v>
      </c>
      <c r="C710" s="2" t="inlineStr">
        <is>
          <t>C0102</t>
        </is>
      </c>
      <c r="D710" s="2" t="inlineStr">
        <is>
          <t>L02</t>
        </is>
      </c>
      <c r="E710" s="2" t="inlineStr">
        <is>
          <t>Entregue</t>
        </is>
      </c>
      <c r="F710" s="2" t="inlineStr">
        <is>
          <t>Pix</t>
        </is>
      </c>
      <c r="G710" s="19" t="n">
        <v>0.03</v>
      </c>
    </row>
    <row r="711">
      <c r="A711" s="2" t="inlineStr">
        <is>
          <t>PED00710</t>
        </is>
      </c>
      <c r="B711" s="3" t="n">
        <v>45708</v>
      </c>
      <c r="C711" s="2" t="inlineStr">
        <is>
          <t>C0308</t>
        </is>
      </c>
      <c r="D711" s="2" t="inlineStr">
        <is>
          <t>L05</t>
        </is>
      </c>
      <c r="E711" s="2" t="inlineStr">
        <is>
          <t>Entregue</t>
        </is>
      </c>
      <c r="F711" s="2" t="inlineStr">
        <is>
          <t>Pix</t>
        </is>
      </c>
      <c r="G711" s="19" t="n">
        <v>0.03</v>
      </c>
    </row>
    <row r="712">
      <c r="A712" s="2" t="inlineStr">
        <is>
          <t>PED00711</t>
        </is>
      </c>
      <c r="B712" s="3" t="n">
        <v>45608</v>
      </c>
      <c r="C712" s="2" t="inlineStr">
        <is>
          <t>C0321</t>
        </is>
      </c>
      <c r="D712" s="2" t="inlineStr">
        <is>
          <t>L08</t>
        </is>
      </c>
      <c r="E712" s="2" t="inlineStr">
        <is>
          <t>Entregue</t>
        </is>
      </c>
      <c r="F712" s="2" t="inlineStr">
        <is>
          <t>Cartão de débito</t>
        </is>
      </c>
      <c r="G712" s="19" t="n">
        <v>0</v>
      </c>
    </row>
    <row r="713">
      <c r="A713" s="2" t="inlineStr">
        <is>
          <t>PED00712</t>
        </is>
      </c>
      <c r="B713" s="3" t="n">
        <v>45359</v>
      </c>
      <c r="C713" s="2" t="inlineStr">
        <is>
          <t>C0222</t>
        </is>
      </c>
      <c r="D713" s="2" t="inlineStr">
        <is>
          <t>L05</t>
        </is>
      </c>
      <c r="E713" s="2" t="inlineStr">
        <is>
          <t>Entregue</t>
        </is>
      </c>
      <c r="F713" s="2" t="inlineStr">
        <is>
          <t>Boleto</t>
        </is>
      </c>
      <c r="G713" s="19" t="n">
        <v>0</v>
      </c>
    </row>
    <row r="714">
      <c r="A714" s="2" t="inlineStr">
        <is>
          <t>PED00713</t>
        </is>
      </c>
      <c r="B714" s="3" t="n">
        <v>45599</v>
      </c>
      <c r="C714" s="2" t="inlineStr">
        <is>
          <t>C0313</t>
        </is>
      </c>
      <c r="D714" s="2" t="inlineStr">
        <is>
          <t>L04</t>
        </is>
      </c>
      <c r="E714" s="2" t="inlineStr">
        <is>
          <t>Entregue</t>
        </is>
      </c>
      <c r="F714" s="2" t="inlineStr">
        <is>
          <t>Pix</t>
        </is>
      </c>
      <c r="G714" s="19" t="n">
        <v>0</v>
      </c>
    </row>
    <row r="715">
      <c r="A715" s="2" t="inlineStr">
        <is>
          <t>PED00714</t>
        </is>
      </c>
      <c r="B715" s="3" t="n">
        <v>45561</v>
      </c>
      <c r="C715" s="2" t="inlineStr">
        <is>
          <t>C0242</t>
        </is>
      </c>
      <c r="D715" s="2" t="inlineStr">
        <is>
          <t>L05</t>
        </is>
      </c>
      <c r="E715" s="2" t="inlineStr">
        <is>
          <t>Entregue</t>
        </is>
      </c>
      <c r="F715" s="2" t="inlineStr">
        <is>
          <t>Pix</t>
        </is>
      </c>
      <c r="G715" s="19" t="n">
        <v>0.05</v>
      </c>
    </row>
    <row r="716">
      <c r="A716" s="2" t="inlineStr">
        <is>
          <t>PED00715</t>
        </is>
      </c>
      <c r="B716" s="3" t="n">
        <v>45759</v>
      </c>
      <c r="C716" s="2" t="inlineStr">
        <is>
          <t>C0141</t>
        </is>
      </c>
      <c r="D716" s="2" t="inlineStr">
        <is>
          <t>L01</t>
        </is>
      </c>
      <c r="E716" s="2" t="inlineStr">
        <is>
          <t>Entregue</t>
        </is>
      </c>
      <c r="F716" s="2" t="inlineStr">
        <is>
          <t>Pix</t>
        </is>
      </c>
      <c r="G716" s="19" t="n">
        <v>0.05</v>
      </c>
    </row>
    <row r="717">
      <c r="A717" s="2" t="inlineStr">
        <is>
          <t>PED00716</t>
        </is>
      </c>
      <c r="B717" s="3" t="n">
        <v>45496</v>
      </c>
      <c r="C717" s="2" t="inlineStr">
        <is>
          <t>C0111</t>
        </is>
      </c>
      <c r="D717" s="2" t="inlineStr">
        <is>
          <t>L08</t>
        </is>
      </c>
      <c r="E717" s="2" t="inlineStr">
        <is>
          <t>Cancelado</t>
        </is>
      </c>
      <c r="F717" s="2" t="inlineStr">
        <is>
          <t>Pix</t>
        </is>
      </c>
      <c r="G717" s="19" t="n">
        <v>0</v>
      </c>
    </row>
    <row r="718">
      <c r="A718" s="2" t="inlineStr">
        <is>
          <t>PED00717</t>
        </is>
      </c>
      <c r="B718" s="3" t="n">
        <v>46015</v>
      </c>
      <c r="C718" s="2" t="inlineStr">
        <is>
          <t>C0250</t>
        </is>
      </c>
      <c r="D718" s="2" t="inlineStr">
        <is>
          <t>L04</t>
        </is>
      </c>
      <c r="E718" s="2" t="inlineStr">
        <is>
          <t>Entregue</t>
        </is>
      </c>
      <c r="F718" s="2" t="inlineStr">
        <is>
          <t>Cartão de crédito</t>
        </is>
      </c>
      <c r="G718" s="19" t="n">
        <v>0</v>
      </c>
    </row>
    <row r="719">
      <c r="A719" s="2" t="inlineStr">
        <is>
          <t>PED00718</t>
        </is>
      </c>
      <c r="B719" s="3" t="n">
        <v>45583</v>
      </c>
      <c r="C719" s="2" t="inlineStr">
        <is>
          <t>C0057</t>
        </is>
      </c>
      <c r="D719" s="2" t="inlineStr">
        <is>
          <t>L08</t>
        </is>
      </c>
      <c r="E719" s="2" t="inlineStr">
        <is>
          <t>Entregue</t>
        </is>
      </c>
      <c r="F719" s="2" t="inlineStr">
        <is>
          <t>Cartão de débito</t>
        </is>
      </c>
      <c r="G719" s="19" t="n">
        <v>0</v>
      </c>
    </row>
    <row r="720">
      <c r="A720" s="2" t="inlineStr">
        <is>
          <t>PED00719</t>
        </is>
      </c>
      <c r="B720" s="3" t="n">
        <v>45862</v>
      </c>
      <c r="C720" s="2" t="inlineStr">
        <is>
          <t>C0272</t>
        </is>
      </c>
      <c r="D720" s="2" t="inlineStr">
        <is>
          <t>L05</t>
        </is>
      </c>
      <c r="E720" s="2" t="inlineStr">
        <is>
          <t>Entregue</t>
        </is>
      </c>
      <c r="F720" s="2" t="inlineStr">
        <is>
          <t>Pix</t>
        </is>
      </c>
      <c r="G720" s="19" t="n">
        <v>0.05</v>
      </c>
    </row>
    <row r="721">
      <c r="A721" s="2" t="inlineStr">
        <is>
          <t>PED00720</t>
        </is>
      </c>
      <c r="B721" s="3" t="n">
        <v>45315</v>
      </c>
      <c r="C721" s="2" t="inlineStr">
        <is>
          <t>C0072</t>
        </is>
      </c>
      <c r="D721" s="2" t="inlineStr">
        <is>
          <t>L02</t>
        </is>
      </c>
      <c r="E721" s="2" t="inlineStr">
        <is>
          <t>Entregue</t>
        </is>
      </c>
      <c r="F721" s="2" t="inlineStr">
        <is>
          <t>Cartão de crédito</t>
        </is>
      </c>
      <c r="G721" s="19" t="n">
        <v>0.1</v>
      </c>
    </row>
    <row r="722">
      <c r="A722" s="2" t="inlineStr">
        <is>
          <t>PED00721</t>
        </is>
      </c>
      <c r="B722" s="3" t="n">
        <v>45941</v>
      </c>
      <c r="C722" s="2" t="inlineStr">
        <is>
          <t>C0035</t>
        </is>
      </c>
      <c r="D722" s="2" t="inlineStr">
        <is>
          <t>L02</t>
        </is>
      </c>
      <c r="E722" s="2" t="inlineStr">
        <is>
          <t>Entregue</t>
        </is>
      </c>
      <c r="F722" s="2" t="inlineStr">
        <is>
          <t>Transferência</t>
        </is>
      </c>
      <c r="G722" s="19" t="n">
        <v>0.1</v>
      </c>
    </row>
    <row r="723">
      <c r="A723" s="2" t="inlineStr">
        <is>
          <t>PED00722</t>
        </is>
      </c>
      <c r="B723" s="3" t="n">
        <v>45366</v>
      </c>
      <c r="C723" s="2" t="inlineStr">
        <is>
          <t>C0221</t>
        </is>
      </c>
      <c r="D723" s="2" t="inlineStr">
        <is>
          <t>L05</t>
        </is>
      </c>
      <c r="E723" s="2" t="inlineStr">
        <is>
          <t>Entregue</t>
        </is>
      </c>
      <c r="F723" s="2" t="inlineStr">
        <is>
          <t>Boleto</t>
        </is>
      </c>
      <c r="G723" s="19" t="n">
        <v>0.15</v>
      </c>
    </row>
    <row r="724">
      <c r="A724" s="2" t="inlineStr">
        <is>
          <t>PED00723</t>
        </is>
      </c>
      <c r="B724" s="3" t="n">
        <v>45639</v>
      </c>
      <c r="C724" s="2" t="inlineStr">
        <is>
          <t>C0233</t>
        </is>
      </c>
      <c r="D724" s="2" t="inlineStr">
        <is>
          <t>L07</t>
        </is>
      </c>
      <c r="E724" s="2" t="inlineStr">
        <is>
          <t>Cancelado</t>
        </is>
      </c>
      <c r="F724" s="2" t="inlineStr">
        <is>
          <t>Cartão de crédito</t>
        </is>
      </c>
      <c r="G724" s="19" t="n">
        <v>0</v>
      </c>
    </row>
    <row r="725">
      <c r="A725" s="2" t="inlineStr">
        <is>
          <t>PED00724</t>
        </is>
      </c>
      <c r="B725" s="3" t="n">
        <v>45760</v>
      </c>
      <c r="C725" s="2" t="inlineStr">
        <is>
          <t>C0335</t>
        </is>
      </c>
      <c r="D725" s="2" t="inlineStr">
        <is>
          <t>L04</t>
        </is>
      </c>
      <c r="E725" s="2" t="inlineStr">
        <is>
          <t>Entregue</t>
        </is>
      </c>
      <c r="F725" s="2" t="inlineStr">
        <is>
          <t>Cartão de crédito</t>
        </is>
      </c>
      <c r="G725" s="19" t="n">
        <v>0</v>
      </c>
    </row>
    <row r="726">
      <c r="A726" s="2" t="inlineStr">
        <is>
          <t>PED00725</t>
        </is>
      </c>
      <c r="B726" s="3" t="n">
        <v>45614</v>
      </c>
      <c r="C726" s="2" t="inlineStr">
        <is>
          <t>C0118</t>
        </is>
      </c>
      <c r="D726" s="2" t="inlineStr">
        <is>
          <t>L04</t>
        </is>
      </c>
      <c r="E726" s="2" t="inlineStr">
        <is>
          <t>Entregue</t>
        </is>
      </c>
      <c r="F726" s="2" t="inlineStr">
        <is>
          <t>Pix</t>
        </is>
      </c>
      <c r="G726" s="19" t="n">
        <v>0.15</v>
      </c>
    </row>
    <row r="727">
      <c r="A727" s="2" t="inlineStr">
        <is>
          <t>PED00726</t>
        </is>
      </c>
      <c r="B727" s="3" t="n">
        <v>45676</v>
      </c>
      <c r="C727" s="2" t="inlineStr">
        <is>
          <t>C0014</t>
        </is>
      </c>
      <c r="D727" s="2" t="inlineStr">
        <is>
          <t>L08</t>
        </is>
      </c>
      <c r="E727" s="2" t="inlineStr">
        <is>
          <t>Cancelado</t>
        </is>
      </c>
      <c r="F727" s="2" t="inlineStr">
        <is>
          <t>Boleto</t>
        </is>
      </c>
      <c r="G727" s="19" t="n">
        <v>0</v>
      </c>
    </row>
    <row r="728">
      <c r="A728" s="2" t="inlineStr">
        <is>
          <t>PED00727</t>
        </is>
      </c>
      <c r="B728" s="3" t="n">
        <v>45681</v>
      </c>
      <c r="C728" s="2" t="inlineStr">
        <is>
          <t>C0303</t>
        </is>
      </c>
      <c r="D728" s="2" t="inlineStr">
        <is>
          <t>L02</t>
        </is>
      </c>
      <c r="E728" s="2" t="inlineStr">
        <is>
          <t>Entregue</t>
        </is>
      </c>
      <c r="F728" s="2" t="inlineStr">
        <is>
          <t>Pix</t>
        </is>
      </c>
      <c r="G728" s="19" t="n">
        <v>0.1</v>
      </c>
    </row>
    <row r="729">
      <c r="A729" s="2" t="inlineStr">
        <is>
          <t>PED00728</t>
        </is>
      </c>
      <c r="B729" s="3" t="n">
        <v>45384</v>
      </c>
      <c r="C729" s="2" t="inlineStr">
        <is>
          <t>C0260</t>
        </is>
      </c>
      <c r="D729" s="2" t="inlineStr">
        <is>
          <t>L06</t>
        </is>
      </c>
      <c r="E729" s="2" t="inlineStr">
        <is>
          <t>Entregue</t>
        </is>
      </c>
      <c r="F729" s="2" t="inlineStr">
        <is>
          <t>Cartão de crédito</t>
        </is>
      </c>
      <c r="G729" s="19" t="n">
        <v>0.1</v>
      </c>
    </row>
    <row r="730">
      <c r="A730" s="2" t="inlineStr">
        <is>
          <t>PED00729</t>
        </is>
      </c>
      <c r="B730" s="3" t="n">
        <v>45394</v>
      </c>
      <c r="C730" s="2" t="inlineStr">
        <is>
          <t>C0182</t>
        </is>
      </c>
      <c r="D730" s="2" t="inlineStr">
        <is>
          <t>L06</t>
        </is>
      </c>
      <c r="E730" s="2" t="inlineStr">
        <is>
          <t>Em processamento</t>
        </is>
      </c>
      <c r="F730" s="2" t="inlineStr">
        <is>
          <t>Cartão de débito</t>
        </is>
      </c>
      <c r="G730" s="19" t="n">
        <v>0.03</v>
      </c>
    </row>
    <row r="731">
      <c r="A731" s="2" t="inlineStr">
        <is>
          <t>PED00730</t>
        </is>
      </c>
      <c r="B731" s="3" t="n">
        <v>45301</v>
      </c>
      <c r="C731" s="2" t="inlineStr">
        <is>
          <t>C0066</t>
        </is>
      </c>
      <c r="D731" s="2" t="inlineStr">
        <is>
          <t>L03</t>
        </is>
      </c>
      <c r="E731" s="2" t="inlineStr">
        <is>
          <t>Entregue</t>
        </is>
      </c>
      <c r="F731" s="2" t="inlineStr">
        <is>
          <t>Cartão de crédito</t>
        </is>
      </c>
      <c r="G731" s="19" t="n">
        <v>0</v>
      </c>
    </row>
    <row r="732">
      <c r="A732" s="2" t="inlineStr">
        <is>
          <t>PED00731</t>
        </is>
      </c>
      <c r="B732" s="3" t="n">
        <v>45976</v>
      </c>
      <c r="C732" s="2" t="inlineStr">
        <is>
          <t>C0093</t>
        </is>
      </c>
      <c r="D732" s="2" t="inlineStr">
        <is>
          <t>L06</t>
        </is>
      </c>
      <c r="E732" s="2" t="inlineStr">
        <is>
          <t>Cancelado</t>
        </is>
      </c>
      <c r="F732" s="2" t="inlineStr">
        <is>
          <t>Pix</t>
        </is>
      </c>
      <c r="G732" s="19" t="n">
        <v>0</v>
      </c>
    </row>
    <row r="733">
      <c r="A733" s="2" t="inlineStr">
        <is>
          <t>PED00732</t>
        </is>
      </c>
      <c r="B733" s="3" t="n">
        <v>45318</v>
      </c>
      <c r="C733" s="2" t="inlineStr">
        <is>
          <t>C0170</t>
        </is>
      </c>
      <c r="D733" s="2" t="inlineStr">
        <is>
          <t>L01</t>
        </is>
      </c>
      <c r="E733" s="2" t="inlineStr">
        <is>
          <t>Cancelado</t>
        </is>
      </c>
      <c r="F733" s="2" t="inlineStr">
        <is>
          <t>Pix</t>
        </is>
      </c>
      <c r="G733" s="19" t="n">
        <v>0.1</v>
      </c>
    </row>
    <row r="734">
      <c r="A734" s="2" t="inlineStr">
        <is>
          <t>PED00733</t>
        </is>
      </c>
      <c r="B734" s="3" t="n">
        <v>45717</v>
      </c>
      <c r="C734" s="2" t="inlineStr">
        <is>
          <t>C0275</t>
        </is>
      </c>
      <c r="D734" s="2" t="inlineStr">
        <is>
          <t>L08</t>
        </is>
      </c>
      <c r="E734" s="2" t="inlineStr">
        <is>
          <t>Entregue</t>
        </is>
      </c>
      <c r="F734" s="2" t="inlineStr">
        <is>
          <t>Cartão de crédito</t>
        </is>
      </c>
      <c r="G734" s="19" t="n">
        <v>0.05</v>
      </c>
    </row>
    <row r="735">
      <c r="A735" s="2" t="inlineStr">
        <is>
          <t>PED00734</t>
        </is>
      </c>
      <c r="B735" s="3" t="n">
        <v>45390</v>
      </c>
      <c r="C735" s="2" t="inlineStr">
        <is>
          <t>C0245</t>
        </is>
      </c>
      <c r="D735" s="2" t="inlineStr">
        <is>
          <t>L08</t>
        </is>
      </c>
      <c r="E735" s="2" t="inlineStr">
        <is>
          <t>Entregue</t>
        </is>
      </c>
      <c r="F735" s="2" t="inlineStr">
        <is>
          <t>Boleto</t>
        </is>
      </c>
      <c r="G735" s="19" t="n">
        <v>0</v>
      </c>
    </row>
    <row r="736">
      <c r="A736" s="2" t="inlineStr">
        <is>
          <t>PED00735</t>
        </is>
      </c>
      <c r="B736" s="3" t="n">
        <v>45967</v>
      </c>
      <c r="C736" s="2" t="inlineStr">
        <is>
          <t>C0043</t>
        </is>
      </c>
      <c r="D736" s="2" t="inlineStr">
        <is>
          <t>L02</t>
        </is>
      </c>
      <c r="E736" s="2" t="inlineStr">
        <is>
          <t>Entregue</t>
        </is>
      </c>
      <c r="F736" s="2" t="inlineStr">
        <is>
          <t>Pix</t>
        </is>
      </c>
      <c r="G736" s="19" t="n">
        <v>0.05</v>
      </c>
    </row>
    <row r="737">
      <c r="A737" s="2" t="inlineStr">
        <is>
          <t>PED00736</t>
        </is>
      </c>
      <c r="B737" s="3" t="n">
        <v>45896</v>
      </c>
      <c r="C737" s="2" t="inlineStr">
        <is>
          <t>C0267</t>
        </is>
      </c>
      <c r="D737" s="2" t="inlineStr">
        <is>
          <t>L05</t>
        </is>
      </c>
      <c r="E737" s="2" t="inlineStr">
        <is>
          <t>Entregue</t>
        </is>
      </c>
      <c r="F737" s="2" t="inlineStr">
        <is>
          <t>Pix</t>
        </is>
      </c>
      <c r="G737" s="19" t="n">
        <v>0.03</v>
      </c>
    </row>
    <row r="738">
      <c r="A738" s="2" t="inlineStr">
        <is>
          <t>PED00737</t>
        </is>
      </c>
      <c r="B738" s="3" t="n">
        <v>45698</v>
      </c>
      <c r="C738" s="2" t="inlineStr">
        <is>
          <t>C0166</t>
        </is>
      </c>
      <c r="D738" s="2" t="inlineStr">
        <is>
          <t>L01</t>
        </is>
      </c>
      <c r="E738" s="2" t="inlineStr">
        <is>
          <t>Entregue</t>
        </is>
      </c>
      <c r="F738" s="2" t="inlineStr">
        <is>
          <t>Cartão de crédito</t>
        </is>
      </c>
      <c r="G738" s="19" t="n">
        <v>0</v>
      </c>
    </row>
    <row r="739">
      <c r="A739" s="2" t="inlineStr">
        <is>
          <t>PED00738</t>
        </is>
      </c>
      <c r="B739" s="3" t="n">
        <v>45637</v>
      </c>
      <c r="C739" s="2" t="inlineStr">
        <is>
          <t>C0173</t>
        </is>
      </c>
      <c r="D739" s="2" t="inlineStr">
        <is>
          <t>L03</t>
        </is>
      </c>
      <c r="E739" s="2" t="inlineStr">
        <is>
          <t>Entregue</t>
        </is>
      </c>
      <c r="F739" s="2" t="inlineStr">
        <is>
          <t>Cartão de débito</t>
        </is>
      </c>
      <c r="G739" s="19" t="n">
        <v>0.03</v>
      </c>
    </row>
    <row r="740">
      <c r="A740" s="2" t="inlineStr">
        <is>
          <t>PED00739</t>
        </is>
      </c>
      <c r="B740" s="3" t="n">
        <v>45760</v>
      </c>
      <c r="C740" s="2" t="inlineStr">
        <is>
          <t>C0057</t>
        </is>
      </c>
      <c r="D740" s="2" t="inlineStr">
        <is>
          <t>L02</t>
        </is>
      </c>
      <c r="E740" s="2" t="inlineStr">
        <is>
          <t>Entregue</t>
        </is>
      </c>
      <c r="F740" s="2" t="inlineStr">
        <is>
          <t>Pix</t>
        </is>
      </c>
      <c r="G740" s="19" t="n">
        <v>0.1</v>
      </c>
    </row>
    <row r="741">
      <c r="A741" s="2" t="inlineStr">
        <is>
          <t>PED00740</t>
        </is>
      </c>
      <c r="B741" s="3" t="n">
        <v>45815</v>
      </c>
      <c r="C741" s="2" t="inlineStr">
        <is>
          <t>C0100</t>
        </is>
      </c>
      <c r="D741" s="2" t="inlineStr">
        <is>
          <t>L03</t>
        </is>
      </c>
      <c r="E741" s="2" t="inlineStr">
        <is>
          <t>Cancelado</t>
        </is>
      </c>
      <c r="F741" s="2" t="inlineStr">
        <is>
          <t>Pix</t>
        </is>
      </c>
      <c r="G741" s="19" t="n">
        <v>0</v>
      </c>
    </row>
    <row r="742">
      <c r="A742" s="2" t="inlineStr">
        <is>
          <t>PED00741</t>
        </is>
      </c>
      <c r="B742" s="3" t="n">
        <v>45835</v>
      </c>
      <c r="C742" s="2" t="inlineStr">
        <is>
          <t>C0086</t>
        </is>
      </c>
      <c r="D742" s="2" t="inlineStr">
        <is>
          <t>L06</t>
        </is>
      </c>
      <c r="E742" s="2" t="inlineStr">
        <is>
          <t>Entregue</t>
        </is>
      </c>
      <c r="F742" s="2" t="inlineStr">
        <is>
          <t>Cartão de débito</t>
        </is>
      </c>
      <c r="G742" s="19" t="n">
        <v>0.05</v>
      </c>
    </row>
    <row r="743">
      <c r="A743" s="2" t="inlineStr">
        <is>
          <t>PED00742</t>
        </is>
      </c>
      <c r="B743" s="3" t="n">
        <v>45771</v>
      </c>
      <c r="C743" s="2" t="inlineStr">
        <is>
          <t>C0165</t>
        </is>
      </c>
      <c r="D743" s="2" t="inlineStr">
        <is>
          <t>L03</t>
        </is>
      </c>
      <c r="E743" s="2" t="inlineStr">
        <is>
          <t>Entregue</t>
        </is>
      </c>
      <c r="F743" s="2" t="inlineStr">
        <is>
          <t>Pix</t>
        </is>
      </c>
      <c r="G743" s="19" t="n">
        <v>0</v>
      </c>
    </row>
    <row r="744">
      <c r="A744" s="2" t="inlineStr">
        <is>
          <t>PED00743</t>
        </is>
      </c>
      <c r="B744" s="3" t="n">
        <v>45540</v>
      </c>
      <c r="C744" s="2" t="inlineStr">
        <is>
          <t>C0201</t>
        </is>
      </c>
      <c r="D744" s="2" t="inlineStr">
        <is>
          <t>L03</t>
        </is>
      </c>
      <c r="E744" s="2" t="inlineStr">
        <is>
          <t>Entregue</t>
        </is>
      </c>
      <c r="F744" s="2" t="inlineStr">
        <is>
          <t>Cartão de crédito</t>
        </is>
      </c>
      <c r="G744" s="19" t="n">
        <v>0</v>
      </c>
    </row>
    <row r="745">
      <c r="A745" s="2" t="inlineStr">
        <is>
          <t>PED00744</t>
        </is>
      </c>
      <c r="B745" s="3" t="n">
        <v>45303</v>
      </c>
      <c r="C745" s="2" t="inlineStr">
        <is>
          <t>C0327</t>
        </is>
      </c>
      <c r="D745" s="2" t="inlineStr">
        <is>
          <t>L02</t>
        </is>
      </c>
      <c r="E745" s="2" t="inlineStr">
        <is>
          <t>Entregue</t>
        </is>
      </c>
      <c r="F745" s="2" t="inlineStr">
        <is>
          <t>Cartão de crédito</t>
        </is>
      </c>
      <c r="G745" s="19" t="n">
        <v>0.1</v>
      </c>
    </row>
    <row r="746">
      <c r="A746" s="2" t="inlineStr">
        <is>
          <t>PED00745</t>
        </is>
      </c>
      <c r="B746" s="3" t="n">
        <v>45641</v>
      </c>
      <c r="C746" s="2" t="inlineStr">
        <is>
          <t>C0140</t>
        </is>
      </c>
      <c r="D746" s="2" t="inlineStr">
        <is>
          <t>L01</t>
        </is>
      </c>
      <c r="E746" s="2" t="inlineStr">
        <is>
          <t>Entregue</t>
        </is>
      </c>
      <c r="F746" s="2" t="inlineStr">
        <is>
          <t>Boleto</t>
        </is>
      </c>
      <c r="G746" s="19" t="n">
        <v>0</v>
      </c>
    </row>
    <row r="747">
      <c r="A747" s="2" t="inlineStr">
        <is>
          <t>PED00746</t>
        </is>
      </c>
      <c r="B747" s="3" t="n">
        <v>45909</v>
      </c>
      <c r="C747" s="2" t="inlineStr">
        <is>
          <t>C0307</t>
        </is>
      </c>
      <c r="D747" s="2" t="inlineStr">
        <is>
          <t>L06</t>
        </is>
      </c>
      <c r="E747" s="2" t="inlineStr">
        <is>
          <t>Entregue</t>
        </is>
      </c>
      <c r="F747" s="2" t="inlineStr">
        <is>
          <t>Cartão de débito</t>
        </is>
      </c>
      <c r="G747" s="19" t="n">
        <v>0.03</v>
      </c>
    </row>
    <row r="748">
      <c r="A748" s="2" t="inlineStr">
        <is>
          <t>PED00747</t>
        </is>
      </c>
      <c r="B748" s="3" t="n">
        <v>45812</v>
      </c>
      <c r="C748" s="2" t="inlineStr">
        <is>
          <t>C0169</t>
        </is>
      </c>
      <c r="D748" s="2" t="inlineStr">
        <is>
          <t>L07</t>
        </is>
      </c>
      <c r="E748" s="2" t="inlineStr">
        <is>
          <t>Entregue</t>
        </is>
      </c>
      <c r="F748" s="2" t="inlineStr">
        <is>
          <t>Pix</t>
        </is>
      </c>
      <c r="G748" s="19" t="n">
        <v>0</v>
      </c>
    </row>
    <row r="749">
      <c r="A749" s="2" t="inlineStr">
        <is>
          <t>PED00748</t>
        </is>
      </c>
      <c r="B749" s="3" t="n">
        <v>45897</v>
      </c>
      <c r="C749" s="2" t="inlineStr">
        <is>
          <t>C0223</t>
        </is>
      </c>
      <c r="D749" s="2" t="inlineStr">
        <is>
          <t>L05</t>
        </is>
      </c>
      <c r="E749" s="2" t="inlineStr">
        <is>
          <t>Entregue</t>
        </is>
      </c>
      <c r="F749" s="2" t="inlineStr">
        <is>
          <t>Cartão de débito</t>
        </is>
      </c>
      <c r="G749" s="19" t="n">
        <v>0.05</v>
      </c>
    </row>
    <row r="750">
      <c r="A750" s="2" t="inlineStr">
        <is>
          <t>PED00749</t>
        </is>
      </c>
      <c r="B750" s="3" t="n">
        <v>45536</v>
      </c>
      <c r="C750" s="2" t="inlineStr">
        <is>
          <t>C0185</t>
        </is>
      </c>
      <c r="D750" s="2" t="inlineStr">
        <is>
          <t>L07</t>
        </is>
      </c>
      <c r="E750" s="2" t="inlineStr">
        <is>
          <t>Entregue</t>
        </is>
      </c>
      <c r="F750" s="2" t="inlineStr">
        <is>
          <t>Cartão de débito</t>
        </is>
      </c>
      <c r="G750" s="19" t="n">
        <v>0</v>
      </c>
    </row>
    <row r="751">
      <c r="A751" s="2" t="inlineStr">
        <is>
          <t>PED00750</t>
        </is>
      </c>
      <c r="B751" s="3" t="n">
        <v>45513</v>
      </c>
      <c r="C751" s="2" t="inlineStr">
        <is>
          <t>C0291</t>
        </is>
      </c>
      <c r="D751" s="2" t="inlineStr">
        <is>
          <t>L03</t>
        </is>
      </c>
      <c r="E751" s="2" t="inlineStr">
        <is>
          <t>Entregue</t>
        </is>
      </c>
      <c r="F751" s="2" t="inlineStr">
        <is>
          <t>Boleto</t>
        </is>
      </c>
      <c r="G751" s="19" t="n">
        <v>0</v>
      </c>
    </row>
    <row r="752">
      <c r="A752" s="2" t="inlineStr">
        <is>
          <t>PED00751</t>
        </is>
      </c>
      <c r="B752" s="3" t="n">
        <v>45561</v>
      </c>
      <c r="C752" s="2" t="inlineStr">
        <is>
          <t>C0083</t>
        </is>
      </c>
      <c r="D752" s="2" t="inlineStr">
        <is>
          <t>L04</t>
        </is>
      </c>
      <c r="E752" s="2" t="inlineStr">
        <is>
          <t>Entregue</t>
        </is>
      </c>
      <c r="F752" s="2" t="inlineStr">
        <is>
          <t>Boleto</t>
        </is>
      </c>
      <c r="G752" s="19" t="n">
        <v>0.05</v>
      </c>
    </row>
    <row r="753">
      <c r="A753" s="2" t="inlineStr">
        <is>
          <t>PED00752</t>
        </is>
      </c>
      <c r="B753" s="3" t="n">
        <v>45605</v>
      </c>
      <c r="C753" s="2" t="inlineStr">
        <is>
          <t>C0052</t>
        </is>
      </c>
      <c r="D753" s="2" t="inlineStr">
        <is>
          <t>L02</t>
        </is>
      </c>
      <c r="E753" s="2" t="inlineStr">
        <is>
          <t>Entregue</t>
        </is>
      </c>
      <c r="F753" s="2" t="inlineStr">
        <is>
          <t>Pix</t>
        </is>
      </c>
      <c r="G753" s="19" t="n">
        <v>0.03</v>
      </c>
    </row>
    <row r="754">
      <c r="A754" s="2" t="inlineStr">
        <is>
          <t>PED00753</t>
        </is>
      </c>
      <c r="B754" s="3" t="n">
        <v>45789</v>
      </c>
      <c r="C754" s="2" t="inlineStr">
        <is>
          <t>C0180</t>
        </is>
      </c>
      <c r="D754" s="2" t="inlineStr">
        <is>
          <t>L06</t>
        </is>
      </c>
      <c r="E754" s="2" t="inlineStr">
        <is>
          <t>Entregue</t>
        </is>
      </c>
      <c r="F754" s="2" t="inlineStr">
        <is>
          <t>Boleto</t>
        </is>
      </c>
      <c r="G754" s="19" t="n">
        <v>0.05</v>
      </c>
    </row>
    <row r="755">
      <c r="A755" s="2" t="inlineStr">
        <is>
          <t>PED00754</t>
        </is>
      </c>
      <c r="B755" s="3" t="n">
        <v>45971</v>
      </c>
      <c r="C755" s="2" t="inlineStr">
        <is>
          <t>C0208</t>
        </is>
      </c>
      <c r="D755" s="2" t="inlineStr">
        <is>
          <t>L05</t>
        </is>
      </c>
      <c r="E755" s="2" t="inlineStr">
        <is>
          <t>Entregue</t>
        </is>
      </c>
      <c r="F755" s="2" t="inlineStr">
        <is>
          <t>Cartão de crédito</t>
        </is>
      </c>
      <c r="G755" s="19" t="n">
        <v>0</v>
      </c>
    </row>
    <row r="756">
      <c r="A756" s="2" t="inlineStr">
        <is>
          <t>PED00755</t>
        </is>
      </c>
      <c r="B756" s="3" t="n">
        <v>45592</v>
      </c>
      <c r="C756" s="2" t="inlineStr">
        <is>
          <t>C0315</t>
        </is>
      </c>
      <c r="D756" s="2" t="inlineStr">
        <is>
          <t>L02</t>
        </is>
      </c>
      <c r="E756" s="2" t="inlineStr">
        <is>
          <t>Entregue</t>
        </is>
      </c>
      <c r="F756" s="2" t="inlineStr">
        <is>
          <t>Pix</t>
        </is>
      </c>
      <c r="G756" s="19" t="n">
        <v>0.1</v>
      </c>
    </row>
    <row r="757">
      <c r="A757" s="2" t="inlineStr">
        <is>
          <t>PED00756</t>
        </is>
      </c>
      <c r="B757" s="3" t="n">
        <v>45523</v>
      </c>
      <c r="C757" s="2" t="inlineStr">
        <is>
          <t>C0226</t>
        </is>
      </c>
      <c r="D757" s="2" t="inlineStr">
        <is>
          <t>L04</t>
        </is>
      </c>
      <c r="E757" s="2" t="inlineStr">
        <is>
          <t>Entregue</t>
        </is>
      </c>
      <c r="F757" s="2" t="inlineStr">
        <is>
          <t>Pix</t>
        </is>
      </c>
      <c r="G757" s="19" t="n">
        <v>0.15</v>
      </c>
    </row>
    <row r="758">
      <c r="A758" s="2" t="inlineStr">
        <is>
          <t>PED00757</t>
        </is>
      </c>
      <c r="B758" s="3" t="n">
        <v>45664</v>
      </c>
      <c r="C758" s="2" t="inlineStr">
        <is>
          <t>C0135</t>
        </is>
      </c>
      <c r="D758" s="2" t="inlineStr">
        <is>
          <t>L07</t>
        </is>
      </c>
      <c r="E758" s="2" t="inlineStr">
        <is>
          <t>Entregue</t>
        </is>
      </c>
      <c r="F758" s="2" t="inlineStr">
        <is>
          <t>Boleto</t>
        </is>
      </c>
      <c r="G758" s="19" t="n">
        <v>0.1</v>
      </c>
    </row>
    <row r="759">
      <c r="A759" s="2" t="inlineStr">
        <is>
          <t>PED00758</t>
        </is>
      </c>
      <c r="B759" s="3" t="n">
        <v>45544</v>
      </c>
      <c r="C759" s="2" t="inlineStr">
        <is>
          <t>C0276</t>
        </is>
      </c>
      <c r="D759" s="2" t="inlineStr">
        <is>
          <t>L03</t>
        </is>
      </c>
      <c r="E759" s="2" t="inlineStr">
        <is>
          <t>Entregue</t>
        </is>
      </c>
      <c r="F759" s="2" t="inlineStr">
        <is>
          <t>Boleto</t>
        </is>
      </c>
      <c r="G759" s="19" t="n">
        <v>0.15</v>
      </c>
    </row>
    <row r="760">
      <c r="A760" s="2" t="inlineStr">
        <is>
          <t>PED00759</t>
        </is>
      </c>
      <c r="B760" s="3" t="n">
        <v>45521</v>
      </c>
      <c r="C760" s="2" t="inlineStr">
        <is>
          <t>C0239</t>
        </is>
      </c>
      <c r="D760" s="2" t="inlineStr">
        <is>
          <t>L05</t>
        </is>
      </c>
      <c r="E760" s="2" t="inlineStr">
        <is>
          <t>Entregue</t>
        </is>
      </c>
      <c r="F760" s="2" t="inlineStr">
        <is>
          <t>Pix</t>
        </is>
      </c>
      <c r="G760" s="19" t="n">
        <v>0.05</v>
      </c>
    </row>
    <row r="761">
      <c r="A761" s="2" t="inlineStr">
        <is>
          <t>PED00760</t>
        </is>
      </c>
      <c r="B761" s="3" t="n">
        <v>45350</v>
      </c>
      <c r="C761" s="2" t="inlineStr">
        <is>
          <t>C0178</t>
        </is>
      </c>
      <c r="D761" s="2" t="inlineStr">
        <is>
          <t>L08</t>
        </is>
      </c>
      <c r="E761" s="2" t="inlineStr">
        <is>
          <t>Cancelado</t>
        </is>
      </c>
      <c r="F761" s="2" t="inlineStr">
        <is>
          <t>Pix</t>
        </is>
      </c>
      <c r="G761" s="19" t="n">
        <v>0.05</v>
      </c>
    </row>
    <row r="762">
      <c r="A762" s="2" t="inlineStr">
        <is>
          <t>PED00761</t>
        </is>
      </c>
      <c r="B762" s="3" t="n">
        <v>45320</v>
      </c>
      <c r="C762" s="2" t="inlineStr">
        <is>
          <t>C0307</t>
        </is>
      </c>
      <c r="D762" s="2" t="inlineStr">
        <is>
          <t>L08</t>
        </is>
      </c>
      <c r="E762" s="2" t="inlineStr">
        <is>
          <t>Entregue</t>
        </is>
      </c>
      <c r="F762" s="2" t="inlineStr">
        <is>
          <t>Cartão de débito</t>
        </is>
      </c>
      <c r="G762" s="19" t="n">
        <v>0</v>
      </c>
    </row>
    <row r="763">
      <c r="A763" s="2" t="inlineStr">
        <is>
          <t>PED00762</t>
        </is>
      </c>
      <c r="B763" s="3" t="n">
        <v>45812</v>
      </c>
      <c r="C763" s="2" t="inlineStr">
        <is>
          <t>C0209</t>
        </is>
      </c>
      <c r="D763" s="2" t="inlineStr">
        <is>
          <t>L03</t>
        </is>
      </c>
      <c r="E763" s="2" t="inlineStr">
        <is>
          <t>Entregue</t>
        </is>
      </c>
      <c r="F763" s="2" t="inlineStr">
        <is>
          <t>Transferência</t>
        </is>
      </c>
      <c r="G763" s="19" t="n">
        <v>0.05</v>
      </c>
    </row>
    <row r="764">
      <c r="A764" s="2" t="inlineStr">
        <is>
          <t>PED00763</t>
        </is>
      </c>
      <c r="B764" s="3" t="n">
        <v>45477</v>
      </c>
      <c r="C764" s="2" t="inlineStr">
        <is>
          <t>C0016</t>
        </is>
      </c>
      <c r="D764" s="2" t="inlineStr">
        <is>
          <t>L08</t>
        </is>
      </c>
      <c r="E764" s="2" t="inlineStr">
        <is>
          <t>Entregue</t>
        </is>
      </c>
      <c r="F764" s="2" t="inlineStr">
        <is>
          <t>Cartão de crédito</t>
        </is>
      </c>
      <c r="G764" s="19" t="n">
        <v>0</v>
      </c>
    </row>
    <row r="765">
      <c r="A765" s="2" t="inlineStr">
        <is>
          <t>PED00764</t>
        </is>
      </c>
      <c r="B765" s="3" t="n">
        <v>45610</v>
      </c>
      <c r="C765" s="2" t="inlineStr">
        <is>
          <t>C0182</t>
        </is>
      </c>
      <c r="D765" s="2" t="inlineStr">
        <is>
          <t>L03</t>
        </is>
      </c>
      <c r="E765" s="2" t="inlineStr">
        <is>
          <t>Entregue</t>
        </is>
      </c>
      <c r="F765" s="2" t="inlineStr">
        <is>
          <t>Boleto</t>
        </is>
      </c>
      <c r="G765" s="19" t="n">
        <v>0.03</v>
      </c>
    </row>
    <row r="766">
      <c r="A766" s="2" t="inlineStr">
        <is>
          <t>PED00765</t>
        </is>
      </c>
      <c r="B766" s="3" t="n">
        <v>45954</v>
      </c>
      <c r="C766" s="2" t="inlineStr">
        <is>
          <t>C0325</t>
        </is>
      </c>
      <c r="D766" s="2" t="inlineStr">
        <is>
          <t>L02</t>
        </is>
      </c>
      <c r="E766" s="2" t="inlineStr">
        <is>
          <t>Entregue</t>
        </is>
      </c>
      <c r="F766" s="2" t="inlineStr">
        <is>
          <t>Cartão de débito</t>
        </is>
      </c>
      <c r="G766" s="19" t="n">
        <v>0.03</v>
      </c>
    </row>
    <row r="767">
      <c r="A767" s="2" t="inlineStr">
        <is>
          <t>PED00766</t>
        </is>
      </c>
      <c r="B767" s="3" t="n">
        <v>45674</v>
      </c>
      <c r="C767" s="2" t="inlineStr">
        <is>
          <t>C0049</t>
        </is>
      </c>
      <c r="D767" s="2" t="inlineStr">
        <is>
          <t>L03</t>
        </is>
      </c>
      <c r="E767" s="2" t="inlineStr">
        <is>
          <t>Entregue</t>
        </is>
      </c>
      <c r="F767" s="2" t="inlineStr">
        <is>
          <t>Transferência</t>
        </is>
      </c>
      <c r="G767" s="19" t="n">
        <v>0</v>
      </c>
    </row>
    <row r="768">
      <c r="A768" s="2" t="inlineStr">
        <is>
          <t>PED00767</t>
        </is>
      </c>
      <c r="B768" s="3" t="n">
        <v>45468</v>
      </c>
      <c r="C768" s="2" t="inlineStr">
        <is>
          <t>C0097</t>
        </is>
      </c>
      <c r="D768" s="2" t="inlineStr">
        <is>
          <t>L08</t>
        </is>
      </c>
      <c r="E768" s="2" t="inlineStr">
        <is>
          <t>Entregue</t>
        </is>
      </c>
      <c r="F768" s="2" t="inlineStr">
        <is>
          <t>Pix</t>
        </is>
      </c>
      <c r="G768" s="19" t="n">
        <v>0</v>
      </c>
    </row>
    <row r="769">
      <c r="A769" s="2" t="inlineStr">
        <is>
          <t>PED00768</t>
        </is>
      </c>
      <c r="B769" s="3" t="n">
        <v>45415</v>
      </c>
      <c r="C769" s="2" t="inlineStr">
        <is>
          <t>C0160</t>
        </is>
      </c>
      <c r="D769" s="2" t="inlineStr">
        <is>
          <t>L05</t>
        </is>
      </c>
      <c r="E769" s="2" t="inlineStr">
        <is>
          <t>Entregue</t>
        </is>
      </c>
      <c r="F769" s="2" t="inlineStr">
        <is>
          <t>Cartão de débito</t>
        </is>
      </c>
      <c r="G769" s="19" t="n">
        <v>0.05</v>
      </c>
    </row>
    <row r="770">
      <c r="A770" s="2" t="inlineStr">
        <is>
          <t>PED00769</t>
        </is>
      </c>
      <c r="B770" s="3" t="n">
        <v>45919</v>
      </c>
      <c r="C770" s="2" t="inlineStr">
        <is>
          <t>C0173</t>
        </is>
      </c>
      <c r="D770" s="2" t="inlineStr">
        <is>
          <t>L08</t>
        </is>
      </c>
      <c r="E770" s="2" t="inlineStr">
        <is>
          <t>Em processamento</t>
        </is>
      </c>
      <c r="F770" s="2" t="inlineStr">
        <is>
          <t>Cartão de crédito</t>
        </is>
      </c>
      <c r="G770" s="19" t="n">
        <v>0</v>
      </c>
    </row>
    <row r="771">
      <c r="A771" s="2" t="inlineStr">
        <is>
          <t>PED00770</t>
        </is>
      </c>
      <c r="B771" s="3" t="n">
        <v>45484</v>
      </c>
      <c r="C771" s="2" t="inlineStr">
        <is>
          <t>C0207</t>
        </is>
      </c>
      <c r="D771" s="2" t="inlineStr">
        <is>
          <t>L01</t>
        </is>
      </c>
      <c r="E771" s="2" t="inlineStr">
        <is>
          <t>Entregue</t>
        </is>
      </c>
      <c r="F771" s="2" t="inlineStr">
        <is>
          <t>Boleto</t>
        </is>
      </c>
      <c r="G771" s="19" t="n">
        <v>0.1</v>
      </c>
    </row>
    <row r="772">
      <c r="A772" s="2" t="inlineStr">
        <is>
          <t>PED00771</t>
        </is>
      </c>
      <c r="B772" s="3" t="n">
        <v>45494</v>
      </c>
      <c r="C772" s="2" t="inlineStr">
        <is>
          <t>C0150</t>
        </is>
      </c>
      <c r="D772" s="2" t="inlineStr">
        <is>
          <t>L07</t>
        </is>
      </c>
      <c r="E772" s="2" t="inlineStr">
        <is>
          <t>Entregue</t>
        </is>
      </c>
      <c r="F772" s="2" t="inlineStr">
        <is>
          <t>Cartão de crédito</t>
        </is>
      </c>
      <c r="G772" s="19" t="n">
        <v>0.03</v>
      </c>
    </row>
    <row r="773">
      <c r="A773" s="2" t="inlineStr">
        <is>
          <t>PED00772</t>
        </is>
      </c>
      <c r="B773" s="3" t="n">
        <v>45992</v>
      </c>
      <c r="C773" s="2" t="inlineStr">
        <is>
          <t>C0029</t>
        </is>
      </c>
      <c r="D773" s="2" t="inlineStr">
        <is>
          <t>L01</t>
        </is>
      </c>
      <c r="E773" s="2" t="inlineStr">
        <is>
          <t>Entregue</t>
        </is>
      </c>
      <c r="F773" s="2" t="inlineStr">
        <is>
          <t>Pix</t>
        </is>
      </c>
      <c r="G773" s="19" t="n">
        <v>0.1</v>
      </c>
    </row>
    <row r="774">
      <c r="A774" s="2" t="inlineStr">
        <is>
          <t>PED00773</t>
        </is>
      </c>
      <c r="B774" s="3" t="n">
        <v>45345</v>
      </c>
      <c r="C774" s="2" t="inlineStr">
        <is>
          <t>C0223</t>
        </is>
      </c>
      <c r="D774" s="2" t="inlineStr">
        <is>
          <t>L03</t>
        </is>
      </c>
      <c r="E774" s="2" t="inlineStr">
        <is>
          <t>Entregue</t>
        </is>
      </c>
      <c r="F774" s="2" t="inlineStr">
        <is>
          <t>Cartão de débito</t>
        </is>
      </c>
      <c r="G774" s="19" t="n">
        <v>0</v>
      </c>
    </row>
    <row r="775">
      <c r="A775" s="2" t="inlineStr">
        <is>
          <t>PED00774</t>
        </is>
      </c>
      <c r="B775" s="3" t="n">
        <v>46021</v>
      </c>
      <c r="C775" s="2" t="inlineStr">
        <is>
          <t>C0164</t>
        </is>
      </c>
      <c r="D775" s="2" t="inlineStr">
        <is>
          <t>L02</t>
        </is>
      </c>
      <c r="E775" s="2" t="inlineStr">
        <is>
          <t>Entregue</t>
        </is>
      </c>
      <c r="F775" s="2" t="inlineStr">
        <is>
          <t>Cartão de crédito</t>
        </is>
      </c>
      <c r="G775" s="19" t="n">
        <v>0.05</v>
      </c>
    </row>
    <row r="776">
      <c r="A776" s="2" t="inlineStr">
        <is>
          <t>PED00775</t>
        </is>
      </c>
      <c r="B776" s="3" t="n">
        <v>45630</v>
      </c>
      <c r="C776" s="2" t="inlineStr">
        <is>
          <t>C0091</t>
        </is>
      </c>
      <c r="D776" s="2" t="inlineStr">
        <is>
          <t>L07</t>
        </is>
      </c>
      <c r="E776" s="2" t="inlineStr">
        <is>
          <t>Cancelado</t>
        </is>
      </c>
      <c r="F776" s="2" t="inlineStr">
        <is>
          <t>Cartão de crédito</t>
        </is>
      </c>
      <c r="G776" s="19" t="n">
        <v>0.1</v>
      </c>
    </row>
    <row r="777">
      <c r="A777" s="2" t="inlineStr">
        <is>
          <t>PED00776</t>
        </is>
      </c>
      <c r="B777" s="3" t="n">
        <v>45556</v>
      </c>
      <c r="C777" s="2" t="inlineStr">
        <is>
          <t>C0217</t>
        </is>
      </c>
      <c r="D777" s="2" t="inlineStr">
        <is>
          <t>L05</t>
        </is>
      </c>
      <c r="E777" s="2" t="inlineStr">
        <is>
          <t>Entregue</t>
        </is>
      </c>
      <c r="F777" s="2" t="inlineStr">
        <is>
          <t>Boleto</t>
        </is>
      </c>
      <c r="G777" s="19" t="n">
        <v>0.05</v>
      </c>
    </row>
    <row r="778">
      <c r="A778" s="2" t="inlineStr">
        <is>
          <t>PED00777</t>
        </is>
      </c>
      <c r="B778" s="3" t="n">
        <v>45791</v>
      </c>
      <c r="C778" s="2" t="inlineStr">
        <is>
          <t>C0130</t>
        </is>
      </c>
      <c r="D778" s="2" t="inlineStr">
        <is>
          <t>L01</t>
        </is>
      </c>
      <c r="E778" s="2" t="inlineStr">
        <is>
          <t>Entregue</t>
        </is>
      </c>
      <c r="F778" s="2" t="inlineStr">
        <is>
          <t>Cartão de crédito</t>
        </is>
      </c>
      <c r="G778" s="19" t="n">
        <v>0.05</v>
      </c>
    </row>
    <row r="779">
      <c r="A779" s="2" t="inlineStr">
        <is>
          <t>PED00778</t>
        </is>
      </c>
      <c r="B779" s="3" t="n">
        <v>45479</v>
      </c>
      <c r="C779" s="2" t="inlineStr">
        <is>
          <t>C0275</t>
        </is>
      </c>
      <c r="D779" s="2" t="inlineStr">
        <is>
          <t>L06</t>
        </is>
      </c>
      <c r="E779" s="2" t="inlineStr">
        <is>
          <t>Entregue</t>
        </is>
      </c>
      <c r="F779" s="2" t="inlineStr">
        <is>
          <t>Cartão de débito</t>
        </is>
      </c>
      <c r="G779" s="19" t="n">
        <v>0.15</v>
      </c>
    </row>
    <row r="780">
      <c r="A780" s="2" t="inlineStr">
        <is>
          <t>PED00779</t>
        </is>
      </c>
      <c r="B780" s="3" t="n">
        <v>45498</v>
      </c>
      <c r="C780" s="2" t="inlineStr">
        <is>
          <t>C0045</t>
        </is>
      </c>
      <c r="D780" s="2" t="inlineStr">
        <is>
          <t>L08</t>
        </is>
      </c>
      <c r="E780" s="2" t="inlineStr">
        <is>
          <t>Entregue</t>
        </is>
      </c>
      <c r="F780" s="2" t="inlineStr">
        <is>
          <t>Cartão de crédito</t>
        </is>
      </c>
      <c r="G780" s="19" t="n">
        <v>0</v>
      </c>
    </row>
    <row r="781">
      <c r="A781" s="2" t="inlineStr">
        <is>
          <t>PED00780</t>
        </is>
      </c>
      <c r="B781" s="3" t="n">
        <v>45361</v>
      </c>
      <c r="C781" s="2" t="inlineStr">
        <is>
          <t>C0124</t>
        </is>
      </c>
      <c r="D781" s="2" t="inlineStr">
        <is>
          <t>L07</t>
        </is>
      </c>
      <c r="E781" s="2" t="inlineStr">
        <is>
          <t>Entregue</t>
        </is>
      </c>
      <c r="F781" s="2" t="inlineStr">
        <is>
          <t>Cartão de crédito</t>
        </is>
      </c>
      <c r="G781" s="19" t="n">
        <v>0</v>
      </c>
    </row>
    <row r="782">
      <c r="A782" s="2" t="inlineStr">
        <is>
          <t>PED00781</t>
        </is>
      </c>
      <c r="B782" s="3" t="n">
        <v>45548</v>
      </c>
      <c r="C782" s="2" t="inlineStr">
        <is>
          <t>C0090</t>
        </is>
      </c>
      <c r="D782" s="2" t="inlineStr">
        <is>
          <t>L06</t>
        </is>
      </c>
      <c r="E782" s="2" t="inlineStr">
        <is>
          <t>Entregue</t>
        </is>
      </c>
      <c r="F782" s="2" t="inlineStr">
        <is>
          <t>Boleto</t>
        </is>
      </c>
      <c r="G782" s="19" t="n">
        <v>0</v>
      </c>
    </row>
    <row r="783">
      <c r="A783" s="2" t="inlineStr">
        <is>
          <t>PED00782</t>
        </is>
      </c>
      <c r="B783" s="3" t="n">
        <v>45741</v>
      </c>
      <c r="C783" s="2" t="inlineStr">
        <is>
          <t>C0013</t>
        </is>
      </c>
      <c r="D783" s="2" t="inlineStr">
        <is>
          <t>L08</t>
        </is>
      </c>
      <c r="E783" s="2" t="inlineStr">
        <is>
          <t>Entregue</t>
        </is>
      </c>
      <c r="F783" s="2" t="inlineStr">
        <is>
          <t>Pix</t>
        </is>
      </c>
      <c r="G783" s="19" t="n">
        <v>0.03</v>
      </c>
    </row>
    <row r="784">
      <c r="A784" s="2" t="inlineStr">
        <is>
          <t>PED00783</t>
        </is>
      </c>
      <c r="B784" s="3" t="n">
        <v>45621</v>
      </c>
      <c r="C784" s="2" t="inlineStr">
        <is>
          <t>C0190</t>
        </is>
      </c>
      <c r="D784" s="2" t="inlineStr">
        <is>
          <t>L01</t>
        </is>
      </c>
      <c r="E784" s="2" t="inlineStr">
        <is>
          <t>Entregue</t>
        </is>
      </c>
      <c r="F784" s="2" t="inlineStr">
        <is>
          <t>Pix</t>
        </is>
      </c>
      <c r="G784" s="19" t="n">
        <v>0</v>
      </c>
    </row>
    <row r="785">
      <c r="A785" s="2" t="inlineStr">
        <is>
          <t>PED00784</t>
        </is>
      </c>
      <c r="B785" s="3" t="n">
        <v>45869</v>
      </c>
      <c r="C785" s="2" t="inlineStr">
        <is>
          <t>C0280</t>
        </is>
      </c>
      <c r="D785" s="2" t="inlineStr">
        <is>
          <t>L02</t>
        </is>
      </c>
      <c r="E785" s="2" t="inlineStr">
        <is>
          <t>Entregue</t>
        </is>
      </c>
      <c r="F785" s="2" t="inlineStr">
        <is>
          <t>Cartão de débito</t>
        </is>
      </c>
      <c r="G785" s="19" t="n">
        <v>0.03</v>
      </c>
    </row>
    <row r="786">
      <c r="A786" s="2" t="inlineStr">
        <is>
          <t>PED00785</t>
        </is>
      </c>
      <c r="B786" s="3" t="n">
        <v>45782</v>
      </c>
      <c r="C786" s="2" t="inlineStr">
        <is>
          <t>C0079</t>
        </is>
      </c>
      <c r="D786" s="2" t="inlineStr">
        <is>
          <t>L08</t>
        </is>
      </c>
      <c r="E786" s="2" t="inlineStr">
        <is>
          <t>Entregue</t>
        </is>
      </c>
      <c r="F786" s="2" t="inlineStr">
        <is>
          <t>Cartão de crédito</t>
        </is>
      </c>
      <c r="G786" s="19" t="n">
        <v>0</v>
      </c>
    </row>
    <row r="787">
      <c r="A787" s="2" t="inlineStr">
        <is>
          <t>PED00786</t>
        </is>
      </c>
      <c r="B787" s="3" t="n">
        <v>46019</v>
      </c>
      <c r="C787" s="2" t="inlineStr">
        <is>
          <t>C0278</t>
        </is>
      </c>
      <c r="D787" s="2" t="inlineStr">
        <is>
          <t>L04</t>
        </is>
      </c>
      <c r="E787" s="2" t="inlineStr">
        <is>
          <t>Devolvido</t>
        </is>
      </c>
      <c r="F787" s="2" t="inlineStr">
        <is>
          <t>Pix</t>
        </is>
      </c>
      <c r="G787" s="19" t="n">
        <v>0.05</v>
      </c>
    </row>
    <row r="788">
      <c r="A788" s="2" t="inlineStr">
        <is>
          <t>PED00787</t>
        </is>
      </c>
      <c r="B788" s="3" t="n">
        <v>45755</v>
      </c>
      <c r="C788" s="2" t="inlineStr">
        <is>
          <t>C0228</t>
        </is>
      </c>
      <c r="D788" s="2" t="inlineStr">
        <is>
          <t>L07</t>
        </is>
      </c>
      <c r="E788" s="2" t="inlineStr">
        <is>
          <t>Entregue</t>
        </is>
      </c>
      <c r="F788" s="2" t="inlineStr">
        <is>
          <t>Cartão de crédito</t>
        </is>
      </c>
      <c r="G788" s="19" t="n">
        <v>0.05</v>
      </c>
    </row>
    <row r="789">
      <c r="A789" s="2" t="inlineStr">
        <is>
          <t>PED00788</t>
        </is>
      </c>
      <c r="B789" s="3" t="n">
        <v>45487</v>
      </c>
      <c r="C789" s="2" t="inlineStr">
        <is>
          <t>C0292</t>
        </is>
      </c>
      <c r="D789" s="2" t="inlineStr">
        <is>
          <t>L04</t>
        </is>
      </c>
      <c r="E789" s="2" t="inlineStr">
        <is>
          <t>Em processamento</t>
        </is>
      </c>
      <c r="F789" s="2" t="inlineStr">
        <is>
          <t>Cartão de débito</t>
        </is>
      </c>
      <c r="G789" s="19" t="n">
        <v>0.1</v>
      </c>
    </row>
    <row r="790">
      <c r="A790" s="2" t="inlineStr">
        <is>
          <t>PED00789</t>
        </is>
      </c>
      <c r="B790" s="3" t="n">
        <v>45847</v>
      </c>
      <c r="C790" s="2" t="inlineStr">
        <is>
          <t>C0334</t>
        </is>
      </c>
      <c r="D790" s="2" t="inlineStr">
        <is>
          <t>L08</t>
        </is>
      </c>
      <c r="E790" s="2" t="inlineStr">
        <is>
          <t>Entregue</t>
        </is>
      </c>
      <c r="F790" s="2" t="inlineStr">
        <is>
          <t>Cartão de débito</t>
        </is>
      </c>
      <c r="G790" s="19" t="n">
        <v>0.1</v>
      </c>
    </row>
    <row r="791">
      <c r="A791" s="2" t="inlineStr">
        <is>
          <t>PED00790</t>
        </is>
      </c>
      <c r="B791" s="3" t="n">
        <v>45316</v>
      </c>
      <c r="C791" s="2" t="inlineStr">
        <is>
          <t>C0106</t>
        </is>
      </c>
      <c r="D791" s="2" t="inlineStr">
        <is>
          <t>L07</t>
        </is>
      </c>
      <c r="E791" s="2" t="inlineStr">
        <is>
          <t>Entregue</t>
        </is>
      </c>
      <c r="F791" s="2" t="inlineStr">
        <is>
          <t>Pix</t>
        </is>
      </c>
      <c r="G791" s="19" t="n">
        <v>0.15</v>
      </c>
    </row>
    <row r="792">
      <c r="A792" s="2" t="inlineStr">
        <is>
          <t>PED00791</t>
        </is>
      </c>
      <c r="B792" s="3" t="n">
        <v>45917</v>
      </c>
      <c r="C792" s="2" t="inlineStr">
        <is>
          <t>C0314</t>
        </is>
      </c>
      <c r="D792" s="2" t="inlineStr">
        <is>
          <t>L01</t>
        </is>
      </c>
      <c r="E792" s="2" t="inlineStr">
        <is>
          <t>Entregue</t>
        </is>
      </c>
      <c r="F792" s="2" t="inlineStr">
        <is>
          <t>Cartão de débito</t>
        </is>
      </c>
      <c r="G792" s="19" t="n">
        <v>0</v>
      </c>
    </row>
    <row r="793">
      <c r="A793" s="2" t="inlineStr">
        <is>
          <t>PED00792</t>
        </is>
      </c>
      <c r="B793" s="3" t="n">
        <v>45657</v>
      </c>
      <c r="C793" s="2" t="inlineStr">
        <is>
          <t>C0104</t>
        </is>
      </c>
      <c r="D793" s="2" t="inlineStr">
        <is>
          <t>L03</t>
        </is>
      </c>
      <c r="E793" s="2" t="inlineStr">
        <is>
          <t>Em processamento</t>
        </is>
      </c>
      <c r="F793" s="2" t="inlineStr">
        <is>
          <t>Pix</t>
        </is>
      </c>
      <c r="G793" s="19" t="n">
        <v>0</v>
      </c>
    </row>
    <row r="794">
      <c r="A794" s="2" t="inlineStr">
        <is>
          <t>PED00793</t>
        </is>
      </c>
      <c r="B794" s="3" t="n">
        <v>45459</v>
      </c>
      <c r="C794" s="2" t="inlineStr">
        <is>
          <t>C0213</t>
        </is>
      </c>
      <c r="D794" s="2" t="inlineStr">
        <is>
          <t>L02</t>
        </is>
      </c>
      <c r="E794" s="2" t="inlineStr">
        <is>
          <t>Entregue</t>
        </is>
      </c>
      <c r="F794" s="2" t="inlineStr">
        <is>
          <t>Cartão de crédito</t>
        </is>
      </c>
      <c r="G794" s="19" t="n">
        <v>0</v>
      </c>
    </row>
    <row r="795">
      <c r="A795" s="2" t="inlineStr">
        <is>
          <t>PED00794</t>
        </is>
      </c>
      <c r="B795" s="3" t="n">
        <v>45682</v>
      </c>
      <c r="C795" s="2" t="inlineStr">
        <is>
          <t>C0243</t>
        </is>
      </c>
      <c r="D795" s="2" t="inlineStr">
        <is>
          <t>L07</t>
        </is>
      </c>
      <c r="E795" s="2" t="inlineStr">
        <is>
          <t>Entregue</t>
        </is>
      </c>
      <c r="F795" s="2" t="inlineStr">
        <is>
          <t>Cartão de débito</t>
        </is>
      </c>
      <c r="G795" s="19" t="n">
        <v>0.05</v>
      </c>
    </row>
    <row r="796">
      <c r="A796" s="2" t="inlineStr">
        <is>
          <t>PED00795</t>
        </is>
      </c>
      <c r="B796" s="3" t="n">
        <v>45445</v>
      </c>
      <c r="C796" s="2" t="inlineStr">
        <is>
          <t>C0057</t>
        </is>
      </c>
      <c r="D796" s="2" t="inlineStr">
        <is>
          <t>L04</t>
        </is>
      </c>
      <c r="E796" s="2" t="inlineStr">
        <is>
          <t>Devolvido</t>
        </is>
      </c>
      <c r="F796" s="2" t="inlineStr">
        <is>
          <t>Cartão de crédito</t>
        </is>
      </c>
      <c r="G796" s="19" t="n">
        <v>0.05</v>
      </c>
    </row>
    <row r="797">
      <c r="A797" s="2" t="inlineStr">
        <is>
          <t>PED00796</t>
        </is>
      </c>
      <c r="B797" s="3" t="n">
        <v>46009</v>
      </c>
      <c r="C797" s="2" t="inlineStr">
        <is>
          <t>C0157</t>
        </is>
      </c>
      <c r="D797" s="2" t="inlineStr">
        <is>
          <t>L05</t>
        </is>
      </c>
      <c r="E797" s="2" t="inlineStr">
        <is>
          <t>Entregue</t>
        </is>
      </c>
      <c r="F797" s="2" t="inlineStr">
        <is>
          <t>Cartão de crédito</t>
        </is>
      </c>
      <c r="G797" s="19" t="n">
        <v>0</v>
      </c>
    </row>
    <row r="798">
      <c r="A798" s="2" t="inlineStr">
        <is>
          <t>PED00797</t>
        </is>
      </c>
      <c r="B798" s="3" t="n">
        <v>45681</v>
      </c>
      <c r="C798" s="2" t="inlineStr">
        <is>
          <t>C0103</t>
        </is>
      </c>
      <c r="D798" s="2" t="inlineStr">
        <is>
          <t>L08</t>
        </is>
      </c>
      <c r="E798" s="2" t="inlineStr">
        <is>
          <t>Entregue</t>
        </is>
      </c>
      <c r="F798" s="2" t="inlineStr">
        <is>
          <t>Pix</t>
        </is>
      </c>
      <c r="G798" s="19" t="n">
        <v>0.05</v>
      </c>
    </row>
    <row r="799">
      <c r="A799" s="2" t="inlineStr">
        <is>
          <t>PED00798</t>
        </is>
      </c>
      <c r="B799" s="3" t="n">
        <v>45857</v>
      </c>
      <c r="C799" s="2" t="inlineStr">
        <is>
          <t>C0099</t>
        </is>
      </c>
      <c r="D799" s="2" t="inlineStr">
        <is>
          <t>L08</t>
        </is>
      </c>
      <c r="E799" s="2" t="inlineStr">
        <is>
          <t>Entregue</t>
        </is>
      </c>
      <c r="F799" s="2" t="inlineStr">
        <is>
          <t>Pix</t>
        </is>
      </c>
      <c r="G799" s="19" t="n">
        <v>0.03</v>
      </c>
    </row>
    <row r="800">
      <c r="A800" s="2" t="inlineStr">
        <is>
          <t>PED00799</t>
        </is>
      </c>
      <c r="B800" s="3" t="n">
        <v>45877</v>
      </c>
      <c r="C800" s="2" t="inlineStr">
        <is>
          <t>C0122</t>
        </is>
      </c>
      <c r="D800" s="2" t="inlineStr">
        <is>
          <t>L02</t>
        </is>
      </c>
      <c r="E800" s="2" t="inlineStr">
        <is>
          <t>Cancelado</t>
        </is>
      </c>
      <c r="F800" s="2" t="inlineStr">
        <is>
          <t>Pix</t>
        </is>
      </c>
      <c r="G800" s="19" t="n">
        <v>0</v>
      </c>
    </row>
    <row r="801">
      <c r="A801" s="2" t="inlineStr">
        <is>
          <t>PED00800</t>
        </is>
      </c>
      <c r="B801" s="3" t="n">
        <v>45385</v>
      </c>
      <c r="C801" s="2" t="inlineStr">
        <is>
          <t>C0002</t>
        </is>
      </c>
      <c r="D801" s="2" t="inlineStr">
        <is>
          <t>L07</t>
        </is>
      </c>
      <c r="E801" s="2" t="inlineStr">
        <is>
          <t>Entregue</t>
        </is>
      </c>
      <c r="F801" s="2" t="inlineStr">
        <is>
          <t>Pix</t>
        </is>
      </c>
      <c r="G801" s="19" t="n">
        <v>0</v>
      </c>
    </row>
    <row r="802">
      <c r="A802" s="2" t="inlineStr">
        <is>
          <t>PED00801</t>
        </is>
      </c>
      <c r="B802" s="3" t="n">
        <v>45494</v>
      </c>
      <c r="C802" s="2" t="inlineStr">
        <is>
          <t>C0254</t>
        </is>
      </c>
      <c r="D802" s="2" t="inlineStr">
        <is>
          <t>L03</t>
        </is>
      </c>
      <c r="E802" s="2" t="inlineStr">
        <is>
          <t>Entregue</t>
        </is>
      </c>
      <c r="F802" s="2" t="inlineStr">
        <is>
          <t>Cartão de débito</t>
        </is>
      </c>
      <c r="G802" s="19" t="n">
        <v>0.05</v>
      </c>
    </row>
    <row r="803">
      <c r="A803" s="2" t="inlineStr">
        <is>
          <t>PED00802</t>
        </is>
      </c>
      <c r="B803" s="3" t="n">
        <v>45484</v>
      </c>
      <c r="C803" s="2" t="inlineStr">
        <is>
          <t>C0096</t>
        </is>
      </c>
      <c r="D803" s="2" t="inlineStr">
        <is>
          <t>L06</t>
        </is>
      </c>
      <c r="E803" s="2" t="inlineStr">
        <is>
          <t>Entregue</t>
        </is>
      </c>
      <c r="F803" s="2" t="inlineStr">
        <is>
          <t>Pix</t>
        </is>
      </c>
      <c r="G803" s="19" t="n">
        <v>0</v>
      </c>
    </row>
    <row r="804">
      <c r="A804" s="2" t="inlineStr">
        <is>
          <t>PED00803</t>
        </is>
      </c>
      <c r="B804" s="3" t="n">
        <v>45457</v>
      </c>
      <c r="C804" s="2" t="inlineStr">
        <is>
          <t>C0034</t>
        </is>
      </c>
      <c r="D804" s="2" t="inlineStr">
        <is>
          <t>L01</t>
        </is>
      </c>
      <c r="E804" s="2" t="inlineStr">
        <is>
          <t>Entregue</t>
        </is>
      </c>
      <c r="F804" s="2" t="inlineStr">
        <is>
          <t>Cartão de crédito</t>
        </is>
      </c>
      <c r="G804" s="19" t="n">
        <v>0.05</v>
      </c>
    </row>
    <row r="805">
      <c r="A805" s="2" t="inlineStr">
        <is>
          <t>PED00804</t>
        </is>
      </c>
      <c r="B805" s="3" t="n">
        <v>45989</v>
      </c>
      <c r="C805" s="2" t="inlineStr">
        <is>
          <t>C0311</t>
        </is>
      </c>
      <c r="D805" s="2" t="inlineStr">
        <is>
          <t>L02</t>
        </is>
      </c>
      <c r="E805" s="2" t="inlineStr">
        <is>
          <t>Entregue</t>
        </is>
      </c>
      <c r="F805" s="2" t="inlineStr">
        <is>
          <t>Cartão de débito</t>
        </is>
      </c>
      <c r="G805" s="19" t="n">
        <v>0</v>
      </c>
    </row>
    <row r="806">
      <c r="A806" s="2" t="inlineStr">
        <is>
          <t>PED00805</t>
        </is>
      </c>
      <c r="B806" s="3" t="n">
        <v>45486</v>
      </c>
      <c r="C806" s="2" t="inlineStr">
        <is>
          <t>C0117</t>
        </is>
      </c>
      <c r="D806" s="2" t="inlineStr">
        <is>
          <t>L03</t>
        </is>
      </c>
      <c r="E806" s="2" t="inlineStr">
        <is>
          <t>Entregue</t>
        </is>
      </c>
      <c r="F806" s="2" t="inlineStr">
        <is>
          <t>Cartão de crédito</t>
        </is>
      </c>
      <c r="G806" s="19" t="n">
        <v>0.03</v>
      </c>
    </row>
    <row r="807">
      <c r="A807" s="2" t="inlineStr">
        <is>
          <t>PED00806</t>
        </is>
      </c>
      <c r="B807" s="3" t="n">
        <v>45686</v>
      </c>
      <c r="C807" s="2" t="inlineStr">
        <is>
          <t>C0215</t>
        </is>
      </c>
      <c r="D807" s="2" t="inlineStr">
        <is>
          <t>L01</t>
        </is>
      </c>
      <c r="E807" s="2" t="inlineStr">
        <is>
          <t>Cancelado</t>
        </is>
      </c>
      <c r="F807" s="2" t="inlineStr">
        <is>
          <t>Cartão de débito</t>
        </is>
      </c>
      <c r="G807" s="19" t="n">
        <v>0</v>
      </c>
    </row>
    <row r="808">
      <c r="A808" s="2" t="inlineStr">
        <is>
          <t>PED00807</t>
        </is>
      </c>
      <c r="B808" s="3" t="n">
        <v>45569</v>
      </c>
      <c r="C808" s="2" t="inlineStr">
        <is>
          <t>C0173</t>
        </is>
      </c>
      <c r="D808" s="2" t="inlineStr">
        <is>
          <t>L04</t>
        </is>
      </c>
      <c r="E808" s="2" t="inlineStr">
        <is>
          <t>Entregue</t>
        </is>
      </c>
      <c r="F808" s="2" t="inlineStr">
        <is>
          <t>Cartão de crédito</t>
        </is>
      </c>
      <c r="G808" s="19" t="n">
        <v>0</v>
      </c>
    </row>
    <row r="809">
      <c r="A809" s="2" t="inlineStr">
        <is>
          <t>PED00808</t>
        </is>
      </c>
      <c r="B809" s="3" t="n">
        <v>45532</v>
      </c>
      <c r="C809" s="2" t="inlineStr">
        <is>
          <t>C0266</t>
        </is>
      </c>
      <c r="D809" s="2" t="inlineStr">
        <is>
          <t>L08</t>
        </is>
      </c>
      <c r="E809" s="2" t="inlineStr">
        <is>
          <t>Entregue</t>
        </is>
      </c>
      <c r="F809" s="2" t="inlineStr">
        <is>
          <t>Cartão de crédito</t>
        </is>
      </c>
      <c r="G809" s="19" t="n">
        <v>0</v>
      </c>
    </row>
    <row r="810">
      <c r="A810" s="2" t="inlineStr">
        <is>
          <t>PED00809</t>
        </is>
      </c>
      <c r="B810" s="3" t="n">
        <v>45424</v>
      </c>
      <c r="C810" s="2" t="inlineStr">
        <is>
          <t>C0272</t>
        </is>
      </c>
      <c r="D810" s="2" t="inlineStr">
        <is>
          <t>L05</t>
        </is>
      </c>
      <c r="E810" s="2" t="inlineStr">
        <is>
          <t>Entregue</t>
        </is>
      </c>
      <c r="F810" s="2" t="inlineStr">
        <is>
          <t>Cartão de crédito</t>
        </is>
      </c>
      <c r="G810" s="19" t="n">
        <v>0.05</v>
      </c>
    </row>
    <row r="811">
      <c r="A811" s="2" t="inlineStr">
        <is>
          <t>PED00810</t>
        </is>
      </c>
      <c r="B811" s="3" t="n">
        <v>45719</v>
      </c>
      <c r="C811" s="2" t="inlineStr">
        <is>
          <t>C0127</t>
        </is>
      </c>
      <c r="D811" s="2" t="inlineStr">
        <is>
          <t>L04</t>
        </is>
      </c>
      <c r="E811" s="2" t="inlineStr">
        <is>
          <t>Em processamento</t>
        </is>
      </c>
      <c r="F811" s="2" t="inlineStr">
        <is>
          <t>Cartão de débito</t>
        </is>
      </c>
      <c r="G811" s="19" t="n">
        <v>0.1</v>
      </c>
    </row>
    <row r="812">
      <c r="A812" s="2" t="inlineStr">
        <is>
          <t>PED00811</t>
        </is>
      </c>
      <c r="B812" s="3" t="n">
        <v>45547</v>
      </c>
      <c r="C812" s="2" t="inlineStr">
        <is>
          <t>C0251</t>
        </is>
      </c>
      <c r="D812" s="2" t="inlineStr">
        <is>
          <t>L08</t>
        </is>
      </c>
      <c r="E812" s="2" t="inlineStr">
        <is>
          <t>Em processamento</t>
        </is>
      </c>
      <c r="F812" s="2" t="inlineStr">
        <is>
          <t>Pix</t>
        </is>
      </c>
      <c r="G812" s="19" t="n">
        <v>0.1</v>
      </c>
    </row>
    <row r="813">
      <c r="A813" s="2" t="inlineStr">
        <is>
          <t>PED00812</t>
        </is>
      </c>
      <c r="B813" s="3" t="n">
        <v>45564</v>
      </c>
      <c r="C813" s="2" t="inlineStr">
        <is>
          <t>C0035</t>
        </is>
      </c>
      <c r="D813" s="2" t="inlineStr">
        <is>
          <t>L08</t>
        </is>
      </c>
      <c r="E813" s="2" t="inlineStr">
        <is>
          <t>Entregue</t>
        </is>
      </c>
      <c r="F813" s="2" t="inlineStr">
        <is>
          <t>Pix</t>
        </is>
      </c>
      <c r="G813" s="19" t="n">
        <v>0.05</v>
      </c>
    </row>
    <row r="814">
      <c r="A814" s="2" t="inlineStr">
        <is>
          <t>PED00813</t>
        </is>
      </c>
      <c r="B814" s="3" t="n">
        <v>45571</v>
      </c>
      <c r="C814" s="2" t="inlineStr">
        <is>
          <t>C0164</t>
        </is>
      </c>
      <c r="D814" s="2" t="inlineStr">
        <is>
          <t>L08</t>
        </is>
      </c>
      <c r="E814" s="2" t="inlineStr">
        <is>
          <t>Devolvido</t>
        </is>
      </c>
      <c r="F814" s="2" t="inlineStr">
        <is>
          <t>Cartão de crédito</t>
        </is>
      </c>
      <c r="G814" s="19" t="n">
        <v>0.03</v>
      </c>
    </row>
    <row r="815">
      <c r="A815" s="2" t="inlineStr">
        <is>
          <t>PED00814</t>
        </is>
      </c>
      <c r="B815" s="3" t="n">
        <v>45559</v>
      </c>
      <c r="C815" s="2" t="inlineStr">
        <is>
          <t>C0105</t>
        </is>
      </c>
      <c r="D815" s="2" t="inlineStr">
        <is>
          <t>L03</t>
        </is>
      </c>
      <c r="E815" s="2" t="inlineStr">
        <is>
          <t>Entregue</t>
        </is>
      </c>
      <c r="F815" s="2" t="inlineStr">
        <is>
          <t>Pix</t>
        </is>
      </c>
      <c r="G815" s="19" t="n">
        <v>0.05</v>
      </c>
    </row>
    <row r="816">
      <c r="A816" s="2" t="inlineStr">
        <is>
          <t>PED00815</t>
        </is>
      </c>
      <c r="B816" s="3" t="n">
        <v>45452</v>
      </c>
      <c r="C816" s="2" t="inlineStr">
        <is>
          <t>C0305</t>
        </is>
      </c>
      <c r="D816" s="2" t="inlineStr">
        <is>
          <t>L08</t>
        </is>
      </c>
      <c r="E816" s="2" t="inlineStr">
        <is>
          <t>Entregue</t>
        </is>
      </c>
      <c r="F816" s="2" t="inlineStr">
        <is>
          <t>Pix</t>
        </is>
      </c>
      <c r="G816" s="19" t="n">
        <v>0</v>
      </c>
    </row>
    <row r="817">
      <c r="A817" s="2" t="inlineStr">
        <is>
          <t>PED00816</t>
        </is>
      </c>
      <c r="B817" s="3" t="n">
        <v>45626</v>
      </c>
      <c r="C817" s="2" t="inlineStr">
        <is>
          <t>C0283</t>
        </is>
      </c>
      <c r="D817" s="2" t="inlineStr">
        <is>
          <t>L08</t>
        </is>
      </c>
      <c r="E817" s="2" t="inlineStr">
        <is>
          <t>Entregue</t>
        </is>
      </c>
      <c r="F817" s="2" t="inlineStr">
        <is>
          <t>Pix</t>
        </is>
      </c>
      <c r="G817" s="19" t="n">
        <v>0.05</v>
      </c>
    </row>
    <row r="818">
      <c r="A818" s="2" t="inlineStr">
        <is>
          <t>PED00817</t>
        </is>
      </c>
      <c r="B818" s="3" t="n">
        <v>45332</v>
      </c>
      <c r="C818" s="2" t="inlineStr">
        <is>
          <t>C0262</t>
        </is>
      </c>
      <c r="D818" s="2" t="inlineStr">
        <is>
          <t>L01</t>
        </is>
      </c>
      <c r="E818" s="2" t="inlineStr">
        <is>
          <t>Entregue</t>
        </is>
      </c>
      <c r="F818" s="2" t="inlineStr">
        <is>
          <t>Cartão de débito</t>
        </is>
      </c>
      <c r="G818" s="19" t="n">
        <v>0.03</v>
      </c>
    </row>
    <row r="819">
      <c r="A819" s="2" t="inlineStr">
        <is>
          <t>PED00818</t>
        </is>
      </c>
      <c r="B819" s="3" t="n">
        <v>45702</v>
      </c>
      <c r="C819" s="2" t="inlineStr">
        <is>
          <t>C0280</t>
        </is>
      </c>
      <c r="D819" s="2" t="inlineStr">
        <is>
          <t>L01</t>
        </is>
      </c>
      <c r="E819" s="2" t="inlineStr">
        <is>
          <t>Entregue</t>
        </is>
      </c>
      <c r="F819" s="2" t="inlineStr">
        <is>
          <t>Cartão de crédito</t>
        </is>
      </c>
      <c r="G819" s="19" t="n">
        <v>0</v>
      </c>
    </row>
    <row r="820">
      <c r="A820" s="2" t="inlineStr">
        <is>
          <t>PED00819</t>
        </is>
      </c>
      <c r="B820" s="3" t="n">
        <v>45410</v>
      </c>
      <c r="C820" s="2" t="inlineStr">
        <is>
          <t>C0134</t>
        </is>
      </c>
      <c r="D820" s="2" t="inlineStr">
        <is>
          <t>L04</t>
        </is>
      </c>
      <c r="E820" s="2" t="inlineStr">
        <is>
          <t>Entregue</t>
        </is>
      </c>
      <c r="F820" s="2" t="inlineStr">
        <is>
          <t>Cartão de crédito</t>
        </is>
      </c>
      <c r="G820" s="19" t="n">
        <v>0.03</v>
      </c>
    </row>
    <row r="821">
      <c r="A821" s="2" t="inlineStr">
        <is>
          <t>PED00820</t>
        </is>
      </c>
      <c r="B821" s="3" t="n">
        <v>45530</v>
      </c>
      <c r="C821" s="2" t="inlineStr">
        <is>
          <t>C0079</t>
        </is>
      </c>
      <c r="D821" s="2" t="inlineStr">
        <is>
          <t>L03</t>
        </is>
      </c>
      <c r="E821" s="2" t="inlineStr">
        <is>
          <t>Entregue</t>
        </is>
      </c>
      <c r="F821" s="2" t="inlineStr">
        <is>
          <t>Cartão de crédito</t>
        </is>
      </c>
      <c r="G821" s="19" t="n">
        <v>0.05</v>
      </c>
    </row>
    <row r="822">
      <c r="A822" s="2" t="inlineStr">
        <is>
          <t>PED00821</t>
        </is>
      </c>
      <c r="B822" s="3" t="n">
        <v>45505</v>
      </c>
      <c r="C822" s="2" t="inlineStr">
        <is>
          <t>C0118</t>
        </is>
      </c>
      <c r="D822" s="2" t="inlineStr">
        <is>
          <t>L08</t>
        </is>
      </c>
      <c r="E822" s="2" t="inlineStr">
        <is>
          <t>Entregue</t>
        </is>
      </c>
      <c r="F822" s="2" t="inlineStr">
        <is>
          <t>Cartão de débito</t>
        </is>
      </c>
      <c r="G822" s="19" t="n">
        <v>0.05</v>
      </c>
    </row>
    <row r="823">
      <c r="A823" s="2" t="inlineStr">
        <is>
          <t>PED00822</t>
        </is>
      </c>
      <c r="B823" s="3" t="n">
        <v>45580</v>
      </c>
      <c r="C823" s="2" t="inlineStr">
        <is>
          <t>C0137</t>
        </is>
      </c>
      <c r="D823" s="2" t="inlineStr">
        <is>
          <t>L06</t>
        </is>
      </c>
      <c r="E823" s="2" t="inlineStr">
        <is>
          <t>Entregue</t>
        </is>
      </c>
      <c r="F823" s="2" t="inlineStr">
        <is>
          <t>Pix</t>
        </is>
      </c>
      <c r="G823" s="19" t="n">
        <v>0</v>
      </c>
    </row>
    <row r="824">
      <c r="A824" s="2" t="inlineStr">
        <is>
          <t>PED00823</t>
        </is>
      </c>
      <c r="B824" s="3" t="n">
        <v>45979</v>
      </c>
      <c r="C824" s="2" t="inlineStr">
        <is>
          <t>C0263</t>
        </is>
      </c>
      <c r="D824" s="2" t="inlineStr">
        <is>
          <t>L07</t>
        </is>
      </c>
      <c r="E824" s="2" t="inlineStr">
        <is>
          <t>Entregue</t>
        </is>
      </c>
      <c r="F824" s="2" t="inlineStr">
        <is>
          <t>Pix</t>
        </is>
      </c>
      <c r="G824" s="19" t="n">
        <v>0</v>
      </c>
    </row>
    <row r="825">
      <c r="A825" s="2" t="inlineStr">
        <is>
          <t>PED00824</t>
        </is>
      </c>
      <c r="B825" s="3" t="n">
        <v>45597</v>
      </c>
      <c r="C825" s="2" t="inlineStr">
        <is>
          <t>C0346</t>
        </is>
      </c>
      <c r="D825" s="2" t="inlineStr">
        <is>
          <t>L04</t>
        </is>
      </c>
      <c r="E825" s="2" t="inlineStr">
        <is>
          <t>Cancelado</t>
        </is>
      </c>
      <c r="F825" s="2" t="inlineStr">
        <is>
          <t>Cartão de débito</t>
        </is>
      </c>
      <c r="G825" s="19" t="n">
        <v>0</v>
      </c>
    </row>
    <row r="826">
      <c r="A826" s="2" t="inlineStr">
        <is>
          <t>PED00825</t>
        </is>
      </c>
      <c r="B826" s="3" t="n">
        <v>45550</v>
      </c>
      <c r="C826" s="2" t="inlineStr">
        <is>
          <t>C0112</t>
        </is>
      </c>
      <c r="D826" s="2" t="inlineStr">
        <is>
          <t>L01</t>
        </is>
      </c>
      <c r="E826" s="2" t="inlineStr">
        <is>
          <t>Entregue</t>
        </is>
      </c>
      <c r="F826" s="2" t="inlineStr">
        <is>
          <t>Pix</t>
        </is>
      </c>
      <c r="G826" s="19" t="n">
        <v>0</v>
      </c>
    </row>
    <row r="827">
      <c r="A827" s="2" t="inlineStr">
        <is>
          <t>PED00826</t>
        </is>
      </c>
      <c r="B827" s="3" t="n">
        <v>45795</v>
      </c>
      <c r="C827" s="2" t="inlineStr">
        <is>
          <t>C0246</t>
        </is>
      </c>
      <c r="D827" s="2" t="inlineStr">
        <is>
          <t>L05</t>
        </is>
      </c>
      <c r="E827" s="2" t="inlineStr">
        <is>
          <t>Entregue</t>
        </is>
      </c>
      <c r="F827" s="2" t="inlineStr">
        <is>
          <t>Cartão de crédito</t>
        </is>
      </c>
      <c r="G827" s="19" t="n">
        <v>0.1</v>
      </c>
    </row>
    <row r="828">
      <c r="A828" s="2" t="inlineStr">
        <is>
          <t>PED00827</t>
        </is>
      </c>
      <c r="B828" s="3" t="n">
        <v>45926</v>
      </c>
      <c r="C828" s="2" t="inlineStr">
        <is>
          <t>C0026</t>
        </is>
      </c>
      <c r="D828" s="2" t="inlineStr">
        <is>
          <t>L01</t>
        </is>
      </c>
      <c r="E828" s="2" t="inlineStr">
        <is>
          <t>Em processamento</t>
        </is>
      </c>
      <c r="F828" s="2" t="inlineStr">
        <is>
          <t>Boleto</t>
        </is>
      </c>
      <c r="G828" s="19" t="n">
        <v>0</v>
      </c>
    </row>
    <row r="829">
      <c r="A829" s="2" t="inlineStr">
        <is>
          <t>PED00828</t>
        </is>
      </c>
      <c r="B829" s="3" t="n">
        <v>45673</v>
      </c>
      <c r="C829" s="2" t="inlineStr">
        <is>
          <t>C0039</t>
        </is>
      </c>
      <c r="D829" s="2" t="inlineStr">
        <is>
          <t>L05</t>
        </is>
      </c>
      <c r="E829" s="2" t="inlineStr">
        <is>
          <t>Entregue</t>
        </is>
      </c>
      <c r="F829" s="2" t="inlineStr">
        <is>
          <t>Pix</t>
        </is>
      </c>
      <c r="G829" s="19" t="n">
        <v>0.1</v>
      </c>
    </row>
    <row r="830">
      <c r="A830" s="2" t="inlineStr">
        <is>
          <t>PED00829</t>
        </is>
      </c>
      <c r="B830" s="3" t="n">
        <v>45779</v>
      </c>
      <c r="C830" s="2" t="inlineStr">
        <is>
          <t>C0090</t>
        </is>
      </c>
      <c r="D830" s="2" t="inlineStr">
        <is>
          <t>L01</t>
        </is>
      </c>
      <c r="E830" s="2" t="inlineStr">
        <is>
          <t>Entregue</t>
        </is>
      </c>
      <c r="F830" s="2" t="inlineStr">
        <is>
          <t>Cartão de débito</t>
        </is>
      </c>
      <c r="G830" s="19" t="n">
        <v>0.03</v>
      </c>
    </row>
    <row r="831">
      <c r="A831" s="2" t="inlineStr">
        <is>
          <t>PED00830</t>
        </is>
      </c>
      <c r="B831" s="3" t="n">
        <v>45305</v>
      </c>
      <c r="C831" s="2" t="inlineStr">
        <is>
          <t>C0296</t>
        </is>
      </c>
      <c r="D831" s="2" t="inlineStr">
        <is>
          <t>L01</t>
        </is>
      </c>
      <c r="E831" s="2" t="inlineStr">
        <is>
          <t>Entregue</t>
        </is>
      </c>
      <c r="F831" s="2" t="inlineStr">
        <is>
          <t>Transferência</t>
        </is>
      </c>
      <c r="G831" s="19" t="n">
        <v>0.1</v>
      </c>
    </row>
    <row r="832">
      <c r="A832" s="2" t="inlineStr">
        <is>
          <t>PED00831</t>
        </is>
      </c>
      <c r="B832" s="3" t="n">
        <v>45957</v>
      </c>
      <c r="C832" s="2" t="inlineStr">
        <is>
          <t>C0023</t>
        </is>
      </c>
      <c r="D832" s="2" t="inlineStr">
        <is>
          <t>L07</t>
        </is>
      </c>
      <c r="E832" s="2" t="inlineStr">
        <is>
          <t>Entregue</t>
        </is>
      </c>
      <c r="F832" s="2" t="inlineStr">
        <is>
          <t>Cartão de débito</t>
        </is>
      </c>
      <c r="G832" s="19" t="n">
        <v>0.1</v>
      </c>
    </row>
    <row r="833">
      <c r="A833" s="2" t="inlineStr">
        <is>
          <t>PED00832</t>
        </is>
      </c>
      <c r="B833" s="3" t="n">
        <v>45856</v>
      </c>
      <c r="C833" s="2" t="inlineStr">
        <is>
          <t>C0277</t>
        </is>
      </c>
      <c r="D833" s="2" t="inlineStr">
        <is>
          <t>L03</t>
        </is>
      </c>
      <c r="E833" s="2" t="inlineStr">
        <is>
          <t>Entregue</t>
        </is>
      </c>
      <c r="F833" s="2" t="inlineStr">
        <is>
          <t>Cartão de crédito</t>
        </is>
      </c>
      <c r="G833" s="19" t="n">
        <v>0</v>
      </c>
    </row>
    <row r="834">
      <c r="A834" s="2" t="inlineStr">
        <is>
          <t>PED00833</t>
        </is>
      </c>
      <c r="B834" s="3" t="n">
        <v>45734</v>
      </c>
      <c r="C834" s="2" t="inlineStr">
        <is>
          <t>C0045</t>
        </is>
      </c>
      <c r="D834" s="2" t="inlineStr">
        <is>
          <t>L05</t>
        </is>
      </c>
      <c r="E834" s="2" t="inlineStr">
        <is>
          <t>Cancelado</t>
        </is>
      </c>
      <c r="F834" s="2" t="inlineStr">
        <is>
          <t>Cartão de crédito</t>
        </is>
      </c>
      <c r="G834" s="19" t="n">
        <v>0</v>
      </c>
    </row>
    <row r="835">
      <c r="A835" s="2" t="inlineStr">
        <is>
          <t>PED00834</t>
        </is>
      </c>
      <c r="B835" s="3" t="n">
        <v>45440</v>
      </c>
      <c r="C835" s="2" t="inlineStr">
        <is>
          <t>C0307</t>
        </is>
      </c>
      <c r="D835" s="2" t="inlineStr">
        <is>
          <t>L06</t>
        </is>
      </c>
      <c r="E835" s="2" t="inlineStr">
        <is>
          <t>Entregue</t>
        </is>
      </c>
      <c r="F835" s="2" t="inlineStr">
        <is>
          <t>Cartão de débito</t>
        </is>
      </c>
      <c r="G835" s="19" t="n">
        <v>0</v>
      </c>
    </row>
    <row r="836">
      <c r="A836" s="2" t="inlineStr">
        <is>
          <t>PED00835</t>
        </is>
      </c>
      <c r="B836" s="3" t="n">
        <v>45460</v>
      </c>
      <c r="C836" s="2" t="inlineStr">
        <is>
          <t>C0117</t>
        </is>
      </c>
      <c r="D836" s="2" t="inlineStr">
        <is>
          <t>L06</t>
        </is>
      </c>
      <c r="E836" s="2" t="inlineStr">
        <is>
          <t>Entregue</t>
        </is>
      </c>
      <c r="F836" s="2" t="inlineStr">
        <is>
          <t>Cartão de crédito</t>
        </is>
      </c>
      <c r="G836" s="19" t="n">
        <v>0.1</v>
      </c>
    </row>
    <row r="837">
      <c r="A837" s="2" t="inlineStr">
        <is>
          <t>PED00836</t>
        </is>
      </c>
      <c r="B837" s="3" t="n">
        <v>45996</v>
      </c>
      <c r="C837" s="2" t="inlineStr">
        <is>
          <t>C0055</t>
        </is>
      </c>
      <c r="D837" s="2" t="inlineStr">
        <is>
          <t>L04</t>
        </is>
      </c>
      <c r="E837" s="2" t="inlineStr">
        <is>
          <t>Entregue</t>
        </is>
      </c>
      <c r="F837" s="2" t="inlineStr">
        <is>
          <t>Cartão de crédito</t>
        </is>
      </c>
      <c r="G837" s="19" t="n">
        <v>0.1</v>
      </c>
    </row>
    <row r="838">
      <c r="A838" s="2" t="inlineStr">
        <is>
          <t>PED00837</t>
        </is>
      </c>
      <c r="B838" s="3" t="n">
        <v>45487</v>
      </c>
      <c r="C838" s="2" t="inlineStr">
        <is>
          <t>C0013</t>
        </is>
      </c>
      <c r="D838" s="2" t="inlineStr">
        <is>
          <t>L01</t>
        </is>
      </c>
      <c r="E838" s="2" t="inlineStr">
        <is>
          <t>Entregue</t>
        </is>
      </c>
      <c r="F838" s="2" t="inlineStr">
        <is>
          <t>Pix</t>
        </is>
      </c>
      <c r="G838" s="19" t="n">
        <v>0</v>
      </c>
    </row>
    <row r="839">
      <c r="A839" s="2" t="inlineStr">
        <is>
          <t>PED00838</t>
        </is>
      </c>
      <c r="B839" s="3" t="n">
        <v>45643</v>
      </c>
      <c r="C839" s="2" t="inlineStr">
        <is>
          <t>C0199</t>
        </is>
      </c>
      <c r="D839" s="2" t="inlineStr">
        <is>
          <t>L06</t>
        </is>
      </c>
      <c r="E839" s="2" t="inlineStr">
        <is>
          <t>Entregue</t>
        </is>
      </c>
      <c r="F839" s="2" t="inlineStr">
        <is>
          <t>Cartão de crédito</t>
        </is>
      </c>
      <c r="G839" s="19" t="n">
        <v>0.05</v>
      </c>
    </row>
    <row r="840">
      <c r="A840" s="2" t="inlineStr">
        <is>
          <t>PED00839</t>
        </is>
      </c>
      <c r="B840" s="3" t="n">
        <v>45776</v>
      </c>
      <c r="C840" s="2" t="inlineStr">
        <is>
          <t>C0197</t>
        </is>
      </c>
      <c r="D840" s="2" t="inlineStr">
        <is>
          <t>L02</t>
        </is>
      </c>
      <c r="E840" s="2" t="inlineStr">
        <is>
          <t>Entregue</t>
        </is>
      </c>
      <c r="F840" s="2" t="inlineStr">
        <is>
          <t>Cartão de crédito</t>
        </is>
      </c>
      <c r="G840" s="19" t="n">
        <v>0.1</v>
      </c>
    </row>
    <row r="841">
      <c r="A841" s="2" t="inlineStr">
        <is>
          <t>PED00840</t>
        </is>
      </c>
      <c r="B841" s="3" t="n">
        <v>45327</v>
      </c>
      <c r="C841" s="2" t="inlineStr">
        <is>
          <t>C0166</t>
        </is>
      </c>
      <c r="D841" s="2" t="inlineStr">
        <is>
          <t>L05</t>
        </is>
      </c>
      <c r="E841" s="2" t="inlineStr">
        <is>
          <t>Entregue</t>
        </is>
      </c>
      <c r="F841" s="2" t="inlineStr">
        <is>
          <t>Cartão de débito</t>
        </is>
      </c>
      <c r="G841" s="19" t="n">
        <v>0.03</v>
      </c>
    </row>
    <row r="842">
      <c r="A842" s="2" t="inlineStr">
        <is>
          <t>PED00841</t>
        </is>
      </c>
      <c r="B842" s="3" t="n">
        <v>45573</v>
      </c>
      <c r="C842" s="2" t="inlineStr">
        <is>
          <t>C0290</t>
        </is>
      </c>
      <c r="D842" s="2" t="inlineStr">
        <is>
          <t>L07</t>
        </is>
      </c>
      <c r="E842" s="2" t="inlineStr">
        <is>
          <t>Entregue</t>
        </is>
      </c>
      <c r="F842" s="2" t="inlineStr">
        <is>
          <t>Cartão de crédito</t>
        </is>
      </c>
      <c r="G842" s="19" t="n">
        <v>0.05</v>
      </c>
    </row>
    <row r="843">
      <c r="A843" s="2" t="inlineStr">
        <is>
          <t>PED00842</t>
        </is>
      </c>
      <c r="B843" s="3" t="n">
        <v>45589</v>
      </c>
      <c r="C843" s="2" t="inlineStr">
        <is>
          <t>C0308</t>
        </is>
      </c>
      <c r="D843" s="2" t="inlineStr">
        <is>
          <t>L06</t>
        </is>
      </c>
      <c r="E843" s="2" t="inlineStr">
        <is>
          <t>Entregue</t>
        </is>
      </c>
      <c r="F843" s="2" t="inlineStr">
        <is>
          <t>Cartão de débito</t>
        </is>
      </c>
      <c r="G843" s="19" t="n">
        <v>0.15</v>
      </c>
    </row>
    <row r="844">
      <c r="A844" s="2" t="inlineStr">
        <is>
          <t>PED00843</t>
        </is>
      </c>
      <c r="B844" s="3" t="n">
        <v>45961</v>
      </c>
      <c r="C844" s="2" t="inlineStr">
        <is>
          <t>C0091</t>
        </is>
      </c>
      <c r="D844" s="2" t="inlineStr">
        <is>
          <t>L07</t>
        </is>
      </c>
      <c r="E844" s="2" t="inlineStr">
        <is>
          <t>Entregue</t>
        </is>
      </c>
      <c r="F844" s="2" t="inlineStr">
        <is>
          <t>Pix</t>
        </is>
      </c>
      <c r="G844" s="19" t="n">
        <v>0</v>
      </c>
    </row>
    <row r="845">
      <c r="A845" s="2" t="inlineStr">
        <is>
          <t>PED00844</t>
        </is>
      </c>
      <c r="B845" s="3" t="n">
        <v>45911</v>
      </c>
      <c r="C845" s="2" t="inlineStr">
        <is>
          <t>C0289</t>
        </is>
      </c>
      <c r="D845" s="2" t="inlineStr">
        <is>
          <t>L01</t>
        </is>
      </c>
      <c r="E845" s="2" t="inlineStr">
        <is>
          <t>Entregue</t>
        </is>
      </c>
      <c r="F845" s="2" t="inlineStr">
        <is>
          <t>Cartão de crédito</t>
        </is>
      </c>
      <c r="G845" s="19" t="n">
        <v>0.05</v>
      </c>
    </row>
    <row r="846">
      <c r="A846" s="2" t="inlineStr">
        <is>
          <t>PED00845</t>
        </is>
      </c>
      <c r="B846" s="3" t="n">
        <v>45848</v>
      </c>
      <c r="C846" s="2" t="inlineStr">
        <is>
          <t>C0055</t>
        </is>
      </c>
      <c r="D846" s="2" t="inlineStr">
        <is>
          <t>L07</t>
        </is>
      </c>
      <c r="E846" s="2" t="inlineStr">
        <is>
          <t>Entregue</t>
        </is>
      </c>
      <c r="F846" s="2" t="inlineStr">
        <is>
          <t>Pix</t>
        </is>
      </c>
      <c r="G846" s="19" t="n">
        <v>0.03</v>
      </c>
    </row>
    <row r="847">
      <c r="A847" s="2" t="inlineStr">
        <is>
          <t>PED00846</t>
        </is>
      </c>
      <c r="B847" s="3" t="n">
        <v>45541</v>
      </c>
      <c r="C847" s="2" t="inlineStr">
        <is>
          <t>C0071</t>
        </is>
      </c>
      <c r="D847" s="2" t="inlineStr">
        <is>
          <t>L02</t>
        </is>
      </c>
      <c r="E847" s="2" t="inlineStr">
        <is>
          <t>Entregue</t>
        </is>
      </c>
      <c r="F847" s="2" t="inlineStr">
        <is>
          <t>Pix</t>
        </is>
      </c>
      <c r="G847" s="19" t="n">
        <v>0</v>
      </c>
    </row>
    <row r="848">
      <c r="A848" s="2" t="inlineStr">
        <is>
          <t>PED00847</t>
        </is>
      </c>
      <c r="B848" s="3" t="n">
        <v>45360</v>
      </c>
      <c r="C848" s="2" t="inlineStr">
        <is>
          <t>C0337</t>
        </is>
      </c>
      <c r="D848" s="2" t="inlineStr">
        <is>
          <t>L03</t>
        </is>
      </c>
      <c r="E848" s="2" t="inlineStr">
        <is>
          <t>Entregue</t>
        </is>
      </c>
      <c r="F848" s="2" t="inlineStr">
        <is>
          <t>Pix</t>
        </is>
      </c>
      <c r="G848" s="19" t="n">
        <v>0</v>
      </c>
    </row>
    <row r="849">
      <c r="A849" s="2" t="inlineStr">
        <is>
          <t>PED00848</t>
        </is>
      </c>
      <c r="B849" s="3" t="n">
        <v>45303</v>
      </c>
      <c r="C849" s="2" t="inlineStr">
        <is>
          <t>C0191</t>
        </is>
      </c>
      <c r="D849" s="2" t="inlineStr">
        <is>
          <t>L01</t>
        </is>
      </c>
      <c r="E849" s="2" t="inlineStr">
        <is>
          <t>Entregue</t>
        </is>
      </c>
      <c r="F849" s="2" t="inlineStr">
        <is>
          <t>Pix</t>
        </is>
      </c>
      <c r="G849" s="19" t="n">
        <v>0.03</v>
      </c>
    </row>
    <row r="850">
      <c r="A850" s="2" t="inlineStr">
        <is>
          <t>PED00849</t>
        </is>
      </c>
      <c r="B850" s="3" t="n">
        <v>45783</v>
      </c>
      <c r="C850" s="2" t="inlineStr">
        <is>
          <t>C0110</t>
        </is>
      </c>
      <c r="D850" s="2" t="inlineStr">
        <is>
          <t>L04</t>
        </is>
      </c>
      <c r="E850" s="2" t="inlineStr">
        <is>
          <t>Entregue</t>
        </is>
      </c>
      <c r="F850" s="2" t="inlineStr">
        <is>
          <t>Cartão de crédito</t>
        </is>
      </c>
      <c r="G850" s="19" t="n">
        <v>0</v>
      </c>
    </row>
    <row r="851">
      <c r="A851" s="2" t="inlineStr">
        <is>
          <t>PED00850</t>
        </is>
      </c>
      <c r="B851" s="3" t="n">
        <v>45975</v>
      </c>
      <c r="C851" s="2" t="inlineStr">
        <is>
          <t>C0066</t>
        </is>
      </c>
      <c r="D851" s="2" t="inlineStr">
        <is>
          <t>L03</t>
        </is>
      </c>
      <c r="E851" s="2" t="inlineStr">
        <is>
          <t>Cancelado</t>
        </is>
      </c>
      <c r="F851" s="2" t="inlineStr">
        <is>
          <t>Pix</t>
        </is>
      </c>
      <c r="G851" s="19" t="n">
        <v>0.03</v>
      </c>
    </row>
    <row r="852">
      <c r="A852" s="2" t="inlineStr">
        <is>
          <t>PED00851</t>
        </is>
      </c>
      <c r="B852" s="3" t="n">
        <v>45522</v>
      </c>
      <c r="C852" s="2" t="inlineStr">
        <is>
          <t>C0066</t>
        </is>
      </c>
      <c r="D852" s="2" t="inlineStr">
        <is>
          <t>L08</t>
        </is>
      </c>
      <c r="E852" s="2" t="inlineStr">
        <is>
          <t>Entregue</t>
        </is>
      </c>
      <c r="F852" s="2" t="inlineStr">
        <is>
          <t>Cartão de débito</t>
        </is>
      </c>
      <c r="G852" s="19" t="n">
        <v>0.1</v>
      </c>
    </row>
    <row r="853">
      <c r="A853" s="2" t="inlineStr">
        <is>
          <t>PED00852</t>
        </is>
      </c>
      <c r="B853" s="3" t="n">
        <v>45441</v>
      </c>
      <c r="C853" s="2" t="inlineStr">
        <is>
          <t>C0329</t>
        </is>
      </c>
      <c r="D853" s="2" t="inlineStr">
        <is>
          <t>L01</t>
        </is>
      </c>
      <c r="E853" s="2" t="inlineStr">
        <is>
          <t>Entregue</t>
        </is>
      </c>
      <c r="F853" s="2" t="inlineStr">
        <is>
          <t>Cartão de crédito</t>
        </is>
      </c>
      <c r="G853" s="19" t="n">
        <v>0.03</v>
      </c>
    </row>
    <row r="854">
      <c r="A854" s="2" t="inlineStr">
        <is>
          <t>PED00853</t>
        </is>
      </c>
      <c r="B854" s="3" t="n">
        <v>45990</v>
      </c>
      <c r="C854" s="2" t="inlineStr">
        <is>
          <t>C0310</t>
        </is>
      </c>
      <c r="D854" s="2" t="inlineStr">
        <is>
          <t>L03</t>
        </is>
      </c>
      <c r="E854" s="2" t="inlineStr">
        <is>
          <t>Entregue</t>
        </is>
      </c>
      <c r="F854" s="2" t="inlineStr">
        <is>
          <t>Pix</t>
        </is>
      </c>
      <c r="G854" s="19" t="n">
        <v>0.03</v>
      </c>
    </row>
    <row r="855">
      <c r="A855" s="2" t="inlineStr">
        <is>
          <t>PED00854</t>
        </is>
      </c>
      <c r="B855" s="3" t="n">
        <v>45817</v>
      </c>
      <c r="C855" s="2" t="inlineStr">
        <is>
          <t>C0117</t>
        </is>
      </c>
      <c r="D855" s="2" t="inlineStr">
        <is>
          <t>L06</t>
        </is>
      </c>
      <c r="E855" s="2" t="inlineStr">
        <is>
          <t>Em processamento</t>
        </is>
      </c>
      <c r="F855" s="2" t="inlineStr">
        <is>
          <t>Cartão de crédito</t>
        </is>
      </c>
      <c r="G855" s="19" t="n">
        <v>0</v>
      </c>
    </row>
    <row r="856">
      <c r="A856" s="2" t="inlineStr">
        <is>
          <t>PED00855</t>
        </is>
      </c>
      <c r="B856" s="3" t="n">
        <v>45984</v>
      </c>
      <c r="C856" s="2" t="inlineStr">
        <is>
          <t>C0211</t>
        </is>
      </c>
      <c r="D856" s="2" t="inlineStr">
        <is>
          <t>L05</t>
        </is>
      </c>
      <c r="E856" s="2" t="inlineStr">
        <is>
          <t>Entregue</t>
        </is>
      </c>
      <c r="F856" s="2" t="inlineStr">
        <is>
          <t>Cartão de crédito</t>
        </is>
      </c>
      <c r="G856" s="19" t="n">
        <v>0.05</v>
      </c>
    </row>
    <row r="857">
      <c r="A857" s="2" t="inlineStr">
        <is>
          <t>PED00856</t>
        </is>
      </c>
      <c r="B857" s="3" t="n">
        <v>45469</v>
      </c>
      <c r="C857" s="2" t="inlineStr">
        <is>
          <t>C0061</t>
        </is>
      </c>
      <c r="D857" s="2" t="inlineStr">
        <is>
          <t>L05</t>
        </is>
      </c>
      <c r="E857" s="2" t="inlineStr">
        <is>
          <t>Entregue</t>
        </is>
      </c>
      <c r="F857" s="2" t="inlineStr">
        <is>
          <t>Pix</t>
        </is>
      </c>
      <c r="G857" s="19" t="n">
        <v>0.1</v>
      </c>
    </row>
    <row r="858">
      <c r="A858" s="2" t="inlineStr">
        <is>
          <t>PED00857</t>
        </is>
      </c>
      <c r="B858" s="3" t="n">
        <v>45677</v>
      </c>
      <c r="C858" s="2" t="inlineStr">
        <is>
          <t>C0282</t>
        </is>
      </c>
      <c r="D858" s="2" t="inlineStr">
        <is>
          <t>L07</t>
        </is>
      </c>
      <c r="E858" s="2" t="inlineStr">
        <is>
          <t>Entregue</t>
        </is>
      </c>
      <c r="F858" s="2" t="inlineStr">
        <is>
          <t>Pix</t>
        </is>
      </c>
      <c r="G858" s="19" t="n">
        <v>0.1</v>
      </c>
    </row>
    <row r="859">
      <c r="A859" s="2" t="inlineStr">
        <is>
          <t>PED00858</t>
        </is>
      </c>
      <c r="B859" s="3" t="n">
        <v>45477</v>
      </c>
      <c r="C859" s="2" t="inlineStr">
        <is>
          <t>C0063</t>
        </is>
      </c>
      <c r="D859" s="2" t="inlineStr">
        <is>
          <t>L06</t>
        </is>
      </c>
      <c r="E859" s="2" t="inlineStr">
        <is>
          <t>Entregue</t>
        </is>
      </c>
      <c r="F859" s="2" t="inlineStr">
        <is>
          <t>Transferência</t>
        </is>
      </c>
      <c r="G859" s="19" t="n">
        <v>0</v>
      </c>
    </row>
    <row r="860">
      <c r="A860" s="2" t="inlineStr">
        <is>
          <t>PED00859</t>
        </is>
      </c>
      <c r="B860" s="3" t="n">
        <v>45390</v>
      </c>
      <c r="C860" s="2" t="inlineStr">
        <is>
          <t>C0217</t>
        </is>
      </c>
      <c r="D860" s="2" t="inlineStr">
        <is>
          <t>L04</t>
        </is>
      </c>
      <c r="E860" s="2" t="inlineStr">
        <is>
          <t>Entregue</t>
        </is>
      </c>
      <c r="F860" s="2" t="inlineStr">
        <is>
          <t>Cartão de crédito</t>
        </is>
      </c>
      <c r="G860" s="19" t="n">
        <v>0</v>
      </c>
    </row>
    <row r="861">
      <c r="A861" s="2" t="inlineStr">
        <is>
          <t>PED00860</t>
        </is>
      </c>
      <c r="B861" s="3" t="n">
        <v>45517</v>
      </c>
      <c r="C861" s="2" t="inlineStr">
        <is>
          <t>C0317</t>
        </is>
      </c>
      <c r="D861" s="2" t="inlineStr">
        <is>
          <t>L05</t>
        </is>
      </c>
      <c r="E861" s="2" t="inlineStr">
        <is>
          <t>Em processamento</t>
        </is>
      </c>
      <c r="F861" s="2" t="inlineStr">
        <is>
          <t>Cartão de crédito</t>
        </is>
      </c>
      <c r="G861" s="19" t="n">
        <v>0</v>
      </c>
    </row>
    <row r="862">
      <c r="A862" s="2" t="inlineStr">
        <is>
          <t>PED00861</t>
        </is>
      </c>
      <c r="B862" s="3" t="n">
        <v>45684</v>
      </c>
      <c r="C862" s="2" t="inlineStr">
        <is>
          <t>C0105</t>
        </is>
      </c>
      <c r="D862" s="2" t="inlineStr">
        <is>
          <t>L01</t>
        </is>
      </c>
      <c r="E862" s="2" t="inlineStr">
        <is>
          <t>Em processamento</t>
        </is>
      </c>
      <c r="F862" s="2" t="inlineStr">
        <is>
          <t>Pix</t>
        </is>
      </c>
      <c r="G862" s="19" t="n">
        <v>0.05</v>
      </c>
    </row>
    <row r="863">
      <c r="A863" s="2" t="inlineStr">
        <is>
          <t>PED00862</t>
        </is>
      </c>
      <c r="B863" s="3" t="n">
        <v>45906</v>
      </c>
      <c r="C863" s="2" t="inlineStr">
        <is>
          <t>C0198</t>
        </is>
      </c>
      <c r="D863" s="2" t="inlineStr">
        <is>
          <t>L08</t>
        </is>
      </c>
      <c r="E863" s="2" t="inlineStr">
        <is>
          <t>Entregue</t>
        </is>
      </c>
      <c r="F863" s="2" t="inlineStr">
        <is>
          <t>Pix</t>
        </is>
      </c>
      <c r="G863" s="19" t="n">
        <v>0</v>
      </c>
    </row>
    <row r="864">
      <c r="A864" s="2" t="inlineStr">
        <is>
          <t>PED00863</t>
        </is>
      </c>
      <c r="B864" s="3" t="n">
        <v>45739</v>
      </c>
      <c r="C864" s="2" t="inlineStr">
        <is>
          <t>C0269</t>
        </is>
      </c>
      <c r="D864" s="2" t="inlineStr">
        <is>
          <t>L06</t>
        </is>
      </c>
      <c r="E864" s="2" t="inlineStr">
        <is>
          <t>Entregue</t>
        </is>
      </c>
      <c r="F864" s="2" t="inlineStr">
        <is>
          <t>Cartão de crédito</t>
        </is>
      </c>
      <c r="G864" s="19" t="n">
        <v>0.05</v>
      </c>
    </row>
    <row r="865">
      <c r="A865" s="2" t="inlineStr">
        <is>
          <t>PED00864</t>
        </is>
      </c>
      <c r="B865" s="3" t="n">
        <v>45589</v>
      </c>
      <c r="C865" s="2" t="inlineStr">
        <is>
          <t>C0119</t>
        </is>
      </c>
      <c r="D865" s="2" t="inlineStr">
        <is>
          <t>L07</t>
        </is>
      </c>
      <c r="E865" s="2" t="inlineStr">
        <is>
          <t>Entregue</t>
        </is>
      </c>
      <c r="F865" s="2" t="inlineStr">
        <is>
          <t>Cartão de crédito</t>
        </is>
      </c>
      <c r="G865" s="19" t="n">
        <v>0</v>
      </c>
    </row>
    <row r="866">
      <c r="A866" s="2" t="inlineStr">
        <is>
          <t>PED00865</t>
        </is>
      </c>
      <c r="B866" s="3" t="n">
        <v>45558</v>
      </c>
      <c r="C866" s="2" t="inlineStr">
        <is>
          <t>C0246</t>
        </is>
      </c>
      <c r="D866" s="2" t="inlineStr">
        <is>
          <t>L03</t>
        </is>
      </c>
      <c r="E866" s="2" t="inlineStr">
        <is>
          <t>Entregue</t>
        </is>
      </c>
      <c r="F866" s="2" t="inlineStr">
        <is>
          <t>Boleto</t>
        </is>
      </c>
      <c r="G866" s="19" t="n">
        <v>0.05</v>
      </c>
    </row>
    <row r="867">
      <c r="A867" s="2" t="inlineStr">
        <is>
          <t>PED00866</t>
        </is>
      </c>
      <c r="B867" s="3" t="n">
        <v>45343</v>
      </c>
      <c r="C867" s="2" t="inlineStr">
        <is>
          <t>C0129</t>
        </is>
      </c>
      <c r="D867" s="2" t="inlineStr">
        <is>
          <t>L02</t>
        </is>
      </c>
      <c r="E867" s="2" t="inlineStr">
        <is>
          <t>Entregue</t>
        </is>
      </c>
      <c r="F867" s="2" t="inlineStr">
        <is>
          <t>Pix</t>
        </is>
      </c>
      <c r="G867" s="19" t="n">
        <v>0</v>
      </c>
    </row>
    <row r="868">
      <c r="A868" s="2" t="inlineStr">
        <is>
          <t>PED00867</t>
        </is>
      </c>
      <c r="B868" s="3" t="n">
        <v>45526</v>
      </c>
      <c r="C868" s="2" t="inlineStr">
        <is>
          <t>C0210</t>
        </is>
      </c>
      <c r="D868" s="2" t="inlineStr">
        <is>
          <t>L05</t>
        </is>
      </c>
      <c r="E868" s="2" t="inlineStr">
        <is>
          <t>Entregue</t>
        </is>
      </c>
      <c r="F868" s="2" t="inlineStr">
        <is>
          <t>Pix</t>
        </is>
      </c>
      <c r="G868" s="19" t="n">
        <v>0.1</v>
      </c>
    </row>
    <row r="869">
      <c r="A869" s="2" t="inlineStr">
        <is>
          <t>PED00868</t>
        </is>
      </c>
      <c r="B869" s="3" t="n">
        <v>45360</v>
      </c>
      <c r="C869" s="2" t="inlineStr">
        <is>
          <t>C0052</t>
        </is>
      </c>
      <c r="D869" s="2" t="inlineStr">
        <is>
          <t>L05</t>
        </is>
      </c>
      <c r="E869" s="2" t="inlineStr">
        <is>
          <t>Entregue</t>
        </is>
      </c>
      <c r="F869" s="2" t="inlineStr">
        <is>
          <t>Pix</t>
        </is>
      </c>
      <c r="G869" s="19" t="n">
        <v>0</v>
      </c>
    </row>
    <row r="870">
      <c r="A870" s="2" t="inlineStr">
        <is>
          <t>PED00869</t>
        </is>
      </c>
      <c r="B870" s="3" t="n">
        <v>45467</v>
      </c>
      <c r="C870" s="2" t="inlineStr">
        <is>
          <t>C0140</t>
        </is>
      </c>
      <c r="D870" s="2" t="inlineStr">
        <is>
          <t>L01</t>
        </is>
      </c>
      <c r="E870" s="2" t="inlineStr">
        <is>
          <t>Entregue</t>
        </is>
      </c>
      <c r="F870" s="2" t="inlineStr">
        <is>
          <t>Boleto</t>
        </is>
      </c>
      <c r="G870" s="19" t="n">
        <v>0</v>
      </c>
    </row>
    <row r="871">
      <c r="A871" s="2" t="inlineStr">
        <is>
          <t>PED00870</t>
        </is>
      </c>
      <c r="B871" s="3" t="n">
        <v>45915</v>
      </c>
      <c r="C871" s="2" t="inlineStr">
        <is>
          <t>C0189</t>
        </is>
      </c>
      <c r="D871" s="2" t="inlineStr">
        <is>
          <t>L05</t>
        </is>
      </c>
      <c r="E871" s="2" t="inlineStr">
        <is>
          <t>Entregue</t>
        </is>
      </c>
      <c r="F871" s="2" t="inlineStr">
        <is>
          <t>Cartão de crédito</t>
        </is>
      </c>
      <c r="G871" s="19" t="n">
        <v>0.05</v>
      </c>
    </row>
    <row r="872">
      <c r="A872" s="2" t="inlineStr">
        <is>
          <t>PED00871</t>
        </is>
      </c>
      <c r="B872" s="3" t="n">
        <v>45855</v>
      </c>
      <c r="C872" s="2" t="inlineStr">
        <is>
          <t>C0278</t>
        </is>
      </c>
      <c r="D872" s="2" t="inlineStr">
        <is>
          <t>L07</t>
        </is>
      </c>
      <c r="E872" s="2" t="inlineStr">
        <is>
          <t>Cancelado</t>
        </is>
      </c>
      <c r="F872" s="2" t="inlineStr">
        <is>
          <t>Cartão de crédito</t>
        </is>
      </c>
      <c r="G872" s="19" t="n">
        <v>0.05</v>
      </c>
    </row>
    <row r="873">
      <c r="A873" s="2" t="inlineStr">
        <is>
          <t>PED00872</t>
        </is>
      </c>
      <c r="B873" s="3" t="n">
        <v>45329</v>
      </c>
      <c r="C873" s="2" t="inlineStr">
        <is>
          <t>C0106</t>
        </is>
      </c>
      <c r="D873" s="2" t="inlineStr">
        <is>
          <t>L02</t>
        </is>
      </c>
      <c r="E873" s="2" t="inlineStr">
        <is>
          <t>Entregue</t>
        </is>
      </c>
      <c r="F873" s="2" t="inlineStr">
        <is>
          <t>Cartão de crédito</t>
        </is>
      </c>
      <c r="G873" s="19" t="n">
        <v>0</v>
      </c>
    </row>
    <row r="874">
      <c r="A874" s="2" t="inlineStr">
        <is>
          <t>PED00873</t>
        </is>
      </c>
      <c r="B874" s="3" t="n">
        <v>45442</v>
      </c>
      <c r="C874" s="2" t="inlineStr">
        <is>
          <t>C0231</t>
        </is>
      </c>
      <c r="D874" s="2" t="inlineStr">
        <is>
          <t>L03</t>
        </is>
      </c>
      <c r="E874" s="2" t="inlineStr">
        <is>
          <t>Entregue</t>
        </is>
      </c>
      <c r="F874" s="2" t="inlineStr">
        <is>
          <t>Pix</t>
        </is>
      </c>
      <c r="G874" s="19" t="n">
        <v>0</v>
      </c>
    </row>
    <row r="875">
      <c r="A875" s="2" t="inlineStr">
        <is>
          <t>PED00874</t>
        </is>
      </c>
      <c r="B875" s="3" t="n">
        <v>45700</v>
      </c>
      <c r="C875" s="2" t="inlineStr">
        <is>
          <t>C0239</t>
        </is>
      </c>
      <c r="D875" s="2" t="inlineStr">
        <is>
          <t>L08</t>
        </is>
      </c>
      <c r="E875" s="2" t="inlineStr">
        <is>
          <t>Entregue</t>
        </is>
      </c>
      <c r="F875" s="2" t="inlineStr">
        <is>
          <t>Pix</t>
        </is>
      </c>
      <c r="G875" s="19" t="n">
        <v>0</v>
      </c>
    </row>
    <row r="876">
      <c r="A876" s="2" t="inlineStr">
        <is>
          <t>PED00875</t>
        </is>
      </c>
      <c r="B876" s="3" t="n">
        <v>45782</v>
      </c>
      <c r="C876" s="2" t="inlineStr">
        <is>
          <t>C0035</t>
        </is>
      </c>
      <c r="D876" s="2" t="inlineStr">
        <is>
          <t>L06</t>
        </is>
      </c>
      <c r="E876" s="2" t="inlineStr">
        <is>
          <t>Entregue</t>
        </is>
      </c>
      <c r="F876" s="2" t="inlineStr">
        <is>
          <t>Pix</t>
        </is>
      </c>
      <c r="G876" s="19" t="n">
        <v>0.03</v>
      </c>
    </row>
    <row r="877">
      <c r="A877" s="2" t="inlineStr">
        <is>
          <t>PED00876</t>
        </is>
      </c>
      <c r="B877" s="3" t="n">
        <v>45568</v>
      </c>
      <c r="C877" s="2" t="inlineStr">
        <is>
          <t>C0031</t>
        </is>
      </c>
      <c r="D877" s="2" t="inlineStr">
        <is>
          <t>L01</t>
        </is>
      </c>
      <c r="E877" s="2" t="inlineStr">
        <is>
          <t>Entregue</t>
        </is>
      </c>
      <c r="F877" s="2" t="inlineStr">
        <is>
          <t>Cartão de crédito</t>
        </is>
      </c>
      <c r="G877" s="19" t="n">
        <v>0</v>
      </c>
    </row>
    <row r="878">
      <c r="A878" s="2" t="inlineStr">
        <is>
          <t>PED00877</t>
        </is>
      </c>
      <c r="B878" s="3" t="n">
        <v>45891</v>
      </c>
      <c r="C878" s="2" t="inlineStr">
        <is>
          <t>C0064</t>
        </is>
      </c>
      <c r="D878" s="2" t="inlineStr">
        <is>
          <t>L08</t>
        </is>
      </c>
      <c r="E878" s="2" t="inlineStr">
        <is>
          <t>Entregue</t>
        </is>
      </c>
      <c r="F878" s="2" t="inlineStr">
        <is>
          <t>Cartão de crédito</t>
        </is>
      </c>
      <c r="G878" s="19" t="n">
        <v>0.03</v>
      </c>
    </row>
    <row r="879">
      <c r="A879" s="2" t="inlineStr">
        <is>
          <t>PED00878</t>
        </is>
      </c>
      <c r="B879" s="3" t="n">
        <v>45437</v>
      </c>
      <c r="C879" s="2" t="inlineStr">
        <is>
          <t>C0101</t>
        </is>
      </c>
      <c r="D879" s="2" t="inlineStr">
        <is>
          <t>L02</t>
        </is>
      </c>
      <c r="E879" s="2" t="inlineStr">
        <is>
          <t>Entregue</t>
        </is>
      </c>
      <c r="F879" s="2" t="inlineStr">
        <is>
          <t>Pix</t>
        </is>
      </c>
      <c r="G879" s="19" t="n">
        <v>0</v>
      </c>
    </row>
    <row r="880">
      <c r="A880" s="2" t="inlineStr">
        <is>
          <t>PED00879</t>
        </is>
      </c>
      <c r="B880" s="3" t="n">
        <v>45874</v>
      </c>
      <c r="C880" s="2" t="inlineStr">
        <is>
          <t>C0100</t>
        </is>
      </c>
      <c r="D880" s="2" t="inlineStr">
        <is>
          <t>L07</t>
        </is>
      </c>
      <c r="E880" s="2" t="inlineStr">
        <is>
          <t>Entregue</t>
        </is>
      </c>
      <c r="F880" s="2" t="inlineStr">
        <is>
          <t>Boleto</t>
        </is>
      </c>
      <c r="G880" s="19" t="n">
        <v>0.03</v>
      </c>
    </row>
    <row r="881">
      <c r="A881" s="2" t="inlineStr">
        <is>
          <t>PED00880</t>
        </is>
      </c>
      <c r="B881" s="3" t="n">
        <v>45461</v>
      </c>
      <c r="C881" s="2" t="inlineStr">
        <is>
          <t>C0345</t>
        </is>
      </c>
      <c r="D881" s="2" t="inlineStr">
        <is>
          <t>L08</t>
        </is>
      </c>
      <c r="E881" s="2" t="inlineStr">
        <is>
          <t>Entregue</t>
        </is>
      </c>
      <c r="F881" s="2" t="inlineStr">
        <is>
          <t>Cartão de crédito</t>
        </is>
      </c>
      <c r="G881" s="19" t="n">
        <v>0.1</v>
      </c>
    </row>
    <row r="882">
      <c r="A882" s="2" t="inlineStr">
        <is>
          <t>PED00881</t>
        </is>
      </c>
      <c r="B882" s="3" t="n">
        <v>45630</v>
      </c>
      <c r="C882" s="2" t="inlineStr">
        <is>
          <t>C0324</t>
        </is>
      </c>
      <c r="D882" s="2" t="inlineStr">
        <is>
          <t>L06</t>
        </is>
      </c>
      <c r="E882" s="2" t="inlineStr">
        <is>
          <t>Entregue</t>
        </is>
      </c>
      <c r="F882" s="2" t="inlineStr">
        <is>
          <t>Cartão de crédito</t>
        </is>
      </c>
      <c r="G882" s="19" t="n">
        <v>0.1</v>
      </c>
    </row>
    <row r="883">
      <c r="A883" s="2" t="inlineStr">
        <is>
          <t>PED00882</t>
        </is>
      </c>
      <c r="B883" s="3" t="n">
        <v>45706</v>
      </c>
      <c r="C883" s="2" t="inlineStr">
        <is>
          <t>C0027</t>
        </is>
      </c>
      <c r="D883" s="2" t="inlineStr">
        <is>
          <t>L05</t>
        </is>
      </c>
      <c r="E883" s="2" t="inlineStr">
        <is>
          <t>Entregue</t>
        </is>
      </c>
      <c r="F883" s="2" t="inlineStr">
        <is>
          <t>Pix</t>
        </is>
      </c>
      <c r="G883" s="19" t="n">
        <v>0.1</v>
      </c>
    </row>
    <row r="884">
      <c r="A884" s="2" t="inlineStr">
        <is>
          <t>PED00883</t>
        </is>
      </c>
      <c r="B884" s="3" t="n">
        <v>45872</v>
      </c>
      <c r="C884" s="2" t="inlineStr">
        <is>
          <t>C0170</t>
        </is>
      </c>
      <c r="D884" s="2" t="inlineStr">
        <is>
          <t>L05</t>
        </is>
      </c>
      <c r="E884" s="2" t="inlineStr">
        <is>
          <t>Entregue</t>
        </is>
      </c>
      <c r="F884" s="2" t="inlineStr">
        <is>
          <t>Pix</t>
        </is>
      </c>
      <c r="G884" s="19" t="n">
        <v>0.03</v>
      </c>
    </row>
    <row r="885">
      <c r="A885" s="2" t="inlineStr">
        <is>
          <t>PED00884</t>
        </is>
      </c>
      <c r="B885" s="3" t="n">
        <v>45795</v>
      </c>
      <c r="C885" s="2" t="inlineStr">
        <is>
          <t>C0203</t>
        </is>
      </c>
      <c r="D885" s="2" t="inlineStr">
        <is>
          <t>L04</t>
        </is>
      </c>
      <c r="E885" s="2" t="inlineStr">
        <is>
          <t>Entregue</t>
        </is>
      </c>
      <c r="F885" s="2" t="inlineStr">
        <is>
          <t>Cartão de débito</t>
        </is>
      </c>
      <c r="G885" s="19" t="n">
        <v>0</v>
      </c>
    </row>
    <row r="886">
      <c r="A886" s="2" t="inlineStr">
        <is>
          <t>PED00885</t>
        </is>
      </c>
      <c r="B886" s="3" t="n">
        <v>45445</v>
      </c>
      <c r="C886" s="2" t="inlineStr">
        <is>
          <t>C0277</t>
        </is>
      </c>
      <c r="D886" s="2" t="inlineStr">
        <is>
          <t>L07</t>
        </is>
      </c>
      <c r="E886" s="2" t="inlineStr">
        <is>
          <t>Entregue</t>
        </is>
      </c>
      <c r="F886" s="2" t="inlineStr">
        <is>
          <t>Pix</t>
        </is>
      </c>
      <c r="G886" s="19" t="n">
        <v>0.15</v>
      </c>
    </row>
    <row r="887">
      <c r="A887" s="2" t="inlineStr">
        <is>
          <t>PED00886</t>
        </is>
      </c>
      <c r="B887" s="3" t="n">
        <v>45333</v>
      </c>
      <c r="C887" s="2" t="inlineStr">
        <is>
          <t>C0085</t>
        </is>
      </c>
      <c r="D887" s="2" t="inlineStr">
        <is>
          <t>L05</t>
        </is>
      </c>
      <c r="E887" s="2" t="inlineStr">
        <is>
          <t>Entregue</t>
        </is>
      </c>
      <c r="F887" s="2" t="inlineStr">
        <is>
          <t>Pix</t>
        </is>
      </c>
      <c r="G887" s="19" t="n">
        <v>0.05</v>
      </c>
    </row>
    <row r="888">
      <c r="A888" s="2" t="inlineStr">
        <is>
          <t>PED00887</t>
        </is>
      </c>
      <c r="B888" s="3" t="n">
        <v>46008</v>
      </c>
      <c r="C888" s="2" t="inlineStr">
        <is>
          <t>C0264</t>
        </is>
      </c>
      <c r="D888" s="2" t="inlineStr">
        <is>
          <t>L02</t>
        </is>
      </c>
      <c r="E888" s="2" t="inlineStr">
        <is>
          <t>Entregue</t>
        </is>
      </c>
      <c r="F888" s="2" t="inlineStr">
        <is>
          <t>Pix</t>
        </is>
      </c>
      <c r="G888" s="19" t="n">
        <v>0</v>
      </c>
    </row>
    <row r="889">
      <c r="A889" s="2" t="inlineStr">
        <is>
          <t>PED00888</t>
        </is>
      </c>
      <c r="B889" s="3" t="n">
        <v>45592</v>
      </c>
      <c r="C889" s="2" t="inlineStr">
        <is>
          <t>C0335</t>
        </is>
      </c>
      <c r="D889" s="2" t="inlineStr">
        <is>
          <t>L07</t>
        </is>
      </c>
      <c r="E889" s="2" t="inlineStr">
        <is>
          <t>Entregue</t>
        </is>
      </c>
      <c r="F889" s="2" t="inlineStr">
        <is>
          <t>Boleto</t>
        </is>
      </c>
      <c r="G889" s="19" t="n">
        <v>0.1</v>
      </c>
    </row>
    <row r="890">
      <c r="A890" s="2" t="inlineStr">
        <is>
          <t>PED00889</t>
        </is>
      </c>
      <c r="B890" s="3" t="n">
        <v>45367</v>
      </c>
      <c r="C890" s="2" t="inlineStr">
        <is>
          <t>C0145</t>
        </is>
      </c>
      <c r="D890" s="2" t="inlineStr">
        <is>
          <t>L06</t>
        </is>
      </c>
      <c r="E890" s="2" t="inlineStr">
        <is>
          <t>Entregue</t>
        </is>
      </c>
      <c r="F890" s="2" t="inlineStr">
        <is>
          <t>Cartão de crédito</t>
        </is>
      </c>
      <c r="G890" s="19" t="n">
        <v>0.05</v>
      </c>
    </row>
    <row r="891">
      <c r="A891" s="2" t="inlineStr">
        <is>
          <t>PED00890</t>
        </is>
      </c>
      <c r="B891" s="3" t="n">
        <v>45452</v>
      </c>
      <c r="C891" s="2" t="inlineStr">
        <is>
          <t>C0201</t>
        </is>
      </c>
      <c r="D891" s="2" t="inlineStr">
        <is>
          <t>L04</t>
        </is>
      </c>
      <c r="E891" s="2" t="inlineStr">
        <is>
          <t>Entregue</t>
        </is>
      </c>
      <c r="F891" s="2" t="inlineStr">
        <is>
          <t>Pix</t>
        </is>
      </c>
      <c r="G891" s="19" t="n">
        <v>0.1</v>
      </c>
    </row>
    <row r="892">
      <c r="A892" s="2" t="inlineStr">
        <is>
          <t>PED00891</t>
        </is>
      </c>
      <c r="B892" s="3" t="n">
        <v>45614</v>
      </c>
      <c r="C892" s="2" t="inlineStr">
        <is>
          <t>C0291</t>
        </is>
      </c>
      <c r="D892" s="2" t="inlineStr">
        <is>
          <t>L03</t>
        </is>
      </c>
      <c r="E892" s="2" t="inlineStr">
        <is>
          <t>Entregue</t>
        </is>
      </c>
      <c r="F892" s="2" t="inlineStr">
        <is>
          <t>Cartão de débito</t>
        </is>
      </c>
      <c r="G892" s="19" t="n">
        <v>0.15</v>
      </c>
    </row>
    <row r="893">
      <c r="A893" s="2" t="inlineStr">
        <is>
          <t>PED00892</t>
        </is>
      </c>
      <c r="B893" s="3" t="n">
        <v>45576</v>
      </c>
      <c r="C893" s="2" t="inlineStr">
        <is>
          <t>C0104</t>
        </is>
      </c>
      <c r="D893" s="2" t="inlineStr">
        <is>
          <t>L03</t>
        </is>
      </c>
      <c r="E893" s="2" t="inlineStr">
        <is>
          <t>Entregue</t>
        </is>
      </c>
      <c r="F893" s="2" t="inlineStr">
        <is>
          <t>Cartão de débito</t>
        </is>
      </c>
      <c r="G893" s="19" t="n">
        <v>0.05</v>
      </c>
    </row>
    <row r="894">
      <c r="A894" s="2" t="inlineStr">
        <is>
          <t>PED00893</t>
        </is>
      </c>
      <c r="B894" s="3" t="n">
        <v>45809</v>
      </c>
      <c r="C894" s="2" t="inlineStr">
        <is>
          <t>C0141</t>
        </is>
      </c>
      <c r="D894" s="2" t="inlineStr">
        <is>
          <t>L07</t>
        </is>
      </c>
      <c r="E894" s="2" t="inlineStr">
        <is>
          <t>Cancelado</t>
        </is>
      </c>
      <c r="F894" s="2" t="inlineStr">
        <is>
          <t>Transferência</t>
        </is>
      </c>
      <c r="G894" s="19" t="n">
        <v>0.05</v>
      </c>
    </row>
    <row r="895">
      <c r="A895" s="2" t="inlineStr">
        <is>
          <t>PED00894</t>
        </is>
      </c>
      <c r="B895" s="3" t="n">
        <v>45310</v>
      </c>
      <c r="C895" s="2" t="inlineStr">
        <is>
          <t>C0209</t>
        </is>
      </c>
      <c r="D895" s="2" t="inlineStr">
        <is>
          <t>L02</t>
        </is>
      </c>
      <c r="E895" s="2" t="inlineStr">
        <is>
          <t>Entregue</t>
        </is>
      </c>
      <c r="F895" s="2" t="inlineStr">
        <is>
          <t>Boleto</t>
        </is>
      </c>
      <c r="G895" s="19" t="n">
        <v>0.1</v>
      </c>
    </row>
    <row r="896">
      <c r="A896" s="2" t="inlineStr">
        <is>
          <t>PED00895</t>
        </is>
      </c>
      <c r="B896" s="3" t="n">
        <v>45526</v>
      </c>
      <c r="C896" s="2" t="inlineStr">
        <is>
          <t>C0021</t>
        </is>
      </c>
      <c r="D896" s="2" t="inlineStr">
        <is>
          <t>L04</t>
        </is>
      </c>
      <c r="E896" s="2" t="inlineStr">
        <is>
          <t>Em processamento</t>
        </is>
      </c>
      <c r="F896" s="2" t="inlineStr">
        <is>
          <t>Cartão de crédito</t>
        </is>
      </c>
      <c r="G896" s="19" t="n">
        <v>0</v>
      </c>
    </row>
    <row r="897">
      <c r="A897" s="2" t="inlineStr">
        <is>
          <t>PED00896</t>
        </is>
      </c>
      <c r="B897" s="3" t="n">
        <v>45947</v>
      </c>
      <c r="C897" s="2" t="inlineStr">
        <is>
          <t>C0157</t>
        </is>
      </c>
      <c r="D897" s="2" t="inlineStr">
        <is>
          <t>L01</t>
        </is>
      </c>
      <c r="E897" s="2" t="inlineStr">
        <is>
          <t>Entregue</t>
        </is>
      </c>
      <c r="F897" s="2" t="inlineStr">
        <is>
          <t>Cartão de crédito</t>
        </is>
      </c>
      <c r="G897" s="19" t="n">
        <v>0.03</v>
      </c>
    </row>
    <row r="898">
      <c r="A898" s="2" t="inlineStr">
        <is>
          <t>PED00897</t>
        </is>
      </c>
      <c r="B898" s="3" t="n">
        <v>45954</v>
      </c>
      <c r="C898" s="2" t="inlineStr">
        <is>
          <t>C0126</t>
        </is>
      </c>
      <c r="D898" s="2" t="inlineStr">
        <is>
          <t>L08</t>
        </is>
      </c>
      <c r="E898" s="2" t="inlineStr">
        <is>
          <t>Entregue</t>
        </is>
      </c>
      <c r="F898" s="2" t="inlineStr">
        <is>
          <t>Pix</t>
        </is>
      </c>
      <c r="G898" s="19" t="n">
        <v>0.05</v>
      </c>
    </row>
    <row r="899">
      <c r="A899" s="2" t="inlineStr">
        <is>
          <t>PED00898</t>
        </is>
      </c>
      <c r="B899" s="3" t="n">
        <v>45391</v>
      </c>
      <c r="C899" s="2" t="inlineStr">
        <is>
          <t>C0148</t>
        </is>
      </c>
      <c r="D899" s="2" t="inlineStr">
        <is>
          <t>L05</t>
        </is>
      </c>
      <c r="E899" s="2" t="inlineStr">
        <is>
          <t>Devolvido</t>
        </is>
      </c>
      <c r="F899" s="2" t="inlineStr">
        <is>
          <t>Cartão de débito</t>
        </is>
      </c>
      <c r="G899" s="19" t="n">
        <v>0.05</v>
      </c>
    </row>
    <row r="900">
      <c r="A900" s="2" t="inlineStr">
        <is>
          <t>PED00899</t>
        </is>
      </c>
      <c r="B900" s="3" t="n">
        <v>45295</v>
      </c>
      <c r="C900" s="2" t="inlineStr">
        <is>
          <t>C0123</t>
        </is>
      </c>
      <c r="D900" s="2" t="inlineStr">
        <is>
          <t>L02</t>
        </is>
      </c>
      <c r="E900" s="2" t="inlineStr">
        <is>
          <t>Entregue</t>
        </is>
      </c>
      <c r="F900" s="2" t="inlineStr">
        <is>
          <t>Cartão de débito</t>
        </is>
      </c>
      <c r="G900" s="19" t="n">
        <v>0.1</v>
      </c>
    </row>
    <row r="901">
      <c r="A901" s="2" t="inlineStr">
        <is>
          <t>PED00900</t>
        </is>
      </c>
      <c r="B901" s="3" t="n">
        <v>45485</v>
      </c>
      <c r="C901" s="2" t="inlineStr">
        <is>
          <t>C0280</t>
        </is>
      </c>
      <c r="D901" s="2" t="inlineStr">
        <is>
          <t>L05</t>
        </is>
      </c>
      <c r="E901" s="2" t="inlineStr">
        <is>
          <t>Entregue</t>
        </is>
      </c>
      <c r="F901" s="2" t="inlineStr">
        <is>
          <t>Boleto</t>
        </is>
      </c>
      <c r="G901" s="19" t="n">
        <v>0.05</v>
      </c>
    </row>
    <row r="902">
      <c r="A902" s="2" t="inlineStr">
        <is>
          <t>PED00901</t>
        </is>
      </c>
      <c r="B902" s="3" t="n">
        <v>45816</v>
      </c>
      <c r="C902" s="2" t="inlineStr">
        <is>
          <t>C0207</t>
        </is>
      </c>
      <c r="D902" s="2" t="inlineStr">
        <is>
          <t>L04</t>
        </is>
      </c>
      <c r="E902" s="2" t="inlineStr">
        <is>
          <t>Entregue</t>
        </is>
      </c>
      <c r="F902" s="2" t="inlineStr">
        <is>
          <t>Cartão de crédito</t>
        </is>
      </c>
      <c r="G902" s="19" t="n">
        <v>0.03</v>
      </c>
    </row>
    <row r="903">
      <c r="A903" s="2" t="inlineStr">
        <is>
          <t>PED00902</t>
        </is>
      </c>
      <c r="B903" s="3" t="n">
        <v>45484</v>
      </c>
      <c r="C903" s="2" t="inlineStr">
        <is>
          <t>C0002</t>
        </is>
      </c>
      <c r="D903" s="2" t="inlineStr">
        <is>
          <t>L06</t>
        </is>
      </c>
      <c r="E903" s="2" t="inlineStr">
        <is>
          <t>Entregue</t>
        </is>
      </c>
      <c r="F903" s="2" t="inlineStr">
        <is>
          <t>Cartão de crédito</t>
        </is>
      </c>
      <c r="G903" s="19" t="n">
        <v>0</v>
      </c>
    </row>
    <row r="904">
      <c r="A904" s="2" t="inlineStr">
        <is>
          <t>PED00903</t>
        </is>
      </c>
      <c r="B904" s="3" t="n">
        <v>45866</v>
      </c>
      <c r="C904" s="2" t="inlineStr">
        <is>
          <t>C0060</t>
        </is>
      </c>
      <c r="D904" s="2" t="inlineStr">
        <is>
          <t>L03</t>
        </is>
      </c>
      <c r="E904" s="2" t="inlineStr">
        <is>
          <t>Entregue</t>
        </is>
      </c>
      <c r="F904" s="2" t="inlineStr">
        <is>
          <t>Cartão de crédito</t>
        </is>
      </c>
      <c r="G904" s="19" t="n">
        <v>0.03</v>
      </c>
    </row>
    <row r="905">
      <c r="A905" s="2" t="inlineStr">
        <is>
          <t>PED00904</t>
        </is>
      </c>
      <c r="B905" s="3" t="n">
        <v>45972</v>
      </c>
      <c r="C905" s="2" t="inlineStr">
        <is>
          <t>C0071</t>
        </is>
      </c>
      <c r="D905" s="2" t="inlineStr">
        <is>
          <t>L05</t>
        </is>
      </c>
      <c r="E905" s="2" t="inlineStr">
        <is>
          <t>Entregue</t>
        </is>
      </c>
      <c r="F905" s="2" t="inlineStr">
        <is>
          <t>Transferência</t>
        </is>
      </c>
      <c r="G905" s="19" t="n">
        <v>0</v>
      </c>
    </row>
    <row r="906">
      <c r="A906" s="2" t="inlineStr">
        <is>
          <t>PED00905</t>
        </is>
      </c>
      <c r="B906" s="3" t="n">
        <v>45909</v>
      </c>
      <c r="C906" s="2" t="inlineStr">
        <is>
          <t>C0307</t>
        </is>
      </c>
      <c r="D906" s="2" t="inlineStr">
        <is>
          <t>L02</t>
        </is>
      </c>
      <c r="E906" s="2" t="inlineStr">
        <is>
          <t>Entregue</t>
        </is>
      </c>
      <c r="F906" s="2" t="inlineStr">
        <is>
          <t>Pix</t>
        </is>
      </c>
      <c r="G906" s="19" t="n">
        <v>0</v>
      </c>
    </row>
    <row r="907">
      <c r="A907" s="2" t="inlineStr">
        <is>
          <t>PED00906</t>
        </is>
      </c>
      <c r="B907" s="3" t="n">
        <v>45610</v>
      </c>
      <c r="C907" s="2" t="inlineStr">
        <is>
          <t>C0282</t>
        </is>
      </c>
      <c r="D907" s="2" t="inlineStr">
        <is>
          <t>L02</t>
        </is>
      </c>
      <c r="E907" s="2" t="inlineStr">
        <is>
          <t>Entregue</t>
        </is>
      </c>
      <c r="F907" s="2" t="inlineStr">
        <is>
          <t>Cartão de crédito</t>
        </is>
      </c>
      <c r="G907" s="19" t="n">
        <v>0.05</v>
      </c>
    </row>
    <row r="908">
      <c r="A908" s="2" t="inlineStr">
        <is>
          <t>PED00907</t>
        </is>
      </c>
      <c r="B908" s="3" t="n">
        <v>45345</v>
      </c>
      <c r="C908" s="2" t="inlineStr">
        <is>
          <t>C0071</t>
        </is>
      </c>
      <c r="D908" s="2" t="inlineStr">
        <is>
          <t>L02</t>
        </is>
      </c>
      <c r="E908" s="2" t="inlineStr">
        <is>
          <t>Entregue</t>
        </is>
      </c>
      <c r="F908" s="2" t="inlineStr">
        <is>
          <t>Boleto</t>
        </is>
      </c>
      <c r="G908" s="19" t="n">
        <v>0</v>
      </c>
    </row>
    <row r="909">
      <c r="A909" s="2" t="inlineStr">
        <is>
          <t>PED00908</t>
        </is>
      </c>
      <c r="B909" s="3" t="n">
        <v>45874</v>
      </c>
      <c r="C909" s="2" t="inlineStr">
        <is>
          <t>C0054</t>
        </is>
      </c>
      <c r="D909" s="2" t="inlineStr">
        <is>
          <t>L01</t>
        </is>
      </c>
      <c r="E909" s="2" t="inlineStr">
        <is>
          <t>Entregue</t>
        </is>
      </c>
      <c r="F909" s="2" t="inlineStr">
        <is>
          <t>Cartão de débito</t>
        </is>
      </c>
      <c r="G909" s="19" t="n">
        <v>0</v>
      </c>
    </row>
    <row r="910">
      <c r="A910" s="2" t="inlineStr">
        <is>
          <t>PED00909</t>
        </is>
      </c>
      <c r="B910" s="3" t="n">
        <v>45852</v>
      </c>
      <c r="C910" s="2" t="inlineStr">
        <is>
          <t>C0122</t>
        </is>
      </c>
      <c r="D910" s="2" t="inlineStr">
        <is>
          <t>L01</t>
        </is>
      </c>
      <c r="E910" s="2" t="inlineStr">
        <is>
          <t>Entregue</t>
        </is>
      </c>
      <c r="F910" s="2" t="inlineStr">
        <is>
          <t>Cartão de crédito</t>
        </is>
      </c>
      <c r="G910" s="19" t="n">
        <v>0</v>
      </c>
    </row>
    <row r="911">
      <c r="A911" s="2" t="inlineStr">
        <is>
          <t>PED00910</t>
        </is>
      </c>
      <c r="B911" s="3" t="n">
        <v>45911</v>
      </c>
      <c r="C911" s="2" t="inlineStr">
        <is>
          <t>C0255</t>
        </is>
      </c>
      <c r="D911" s="2" t="inlineStr">
        <is>
          <t>L01</t>
        </is>
      </c>
      <c r="E911" s="2" t="inlineStr">
        <is>
          <t>Devolvido</t>
        </is>
      </c>
      <c r="F911" s="2" t="inlineStr">
        <is>
          <t>Cartão de crédito</t>
        </is>
      </c>
      <c r="G911" s="19" t="n">
        <v>0</v>
      </c>
    </row>
    <row r="912">
      <c r="A912" s="2" t="inlineStr">
        <is>
          <t>PED00911</t>
        </is>
      </c>
      <c r="B912" s="3" t="n">
        <v>46020</v>
      </c>
      <c r="C912" s="2" t="inlineStr">
        <is>
          <t>C0021</t>
        </is>
      </c>
      <c r="D912" s="2" t="inlineStr">
        <is>
          <t>L04</t>
        </is>
      </c>
      <c r="E912" s="2" t="inlineStr">
        <is>
          <t>Devolvido</t>
        </is>
      </c>
      <c r="F912" s="2" t="inlineStr">
        <is>
          <t>Cartão de débito</t>
        </is>
      </c>
      <c r="G912" s="19" t="n">
        <v>0.05</v>
      </c>
    </row>
    <row r="913">
      <c r="A913" s="2" t="inlineStr">
        <is>
          <t>PED00912</t>
        </is>
      </c>
      <c r="B913" s="3" t="n">
        <v>45401</v>
      </c>
      <c r="C913" s="2" t="inlineStr">
        <is>
          <t>C0175</t>
        </is>
      </c>
      <c r="D913" s="2" t="inlineStr">
        <is>
          <t>L04</t>
        </is>
      </c>
      <c r="E913" s="2" t="inlineStr">
        <is>
          <t>Entregue</t>
        </is>
      </c>
      <c r="F913" s="2" t="inlineStr">
        <is>
          <t>Pix</t>
        </is>
      </c>
      <c r="G913" s="19" t="n">
        <v>0.05</v>
      </c>
    </row>
    <row r="914">
      <c r="A914" s="2" t="inlineStr">
        <is>
          <t>PED00913</t>
        </is>
      </c>
      <c r="B914" s="3" t="n">
        <v>45967</v>
      </c>
      <c r="C914" s="2" t="inlineStr">
        <is>
          <t>C0266</t>
        </is>
      </c>
      <c r="D914" s="2" t="inlineStr">
        <is>
          <t>L05</t>
        </is>
      </c>
      <c r="E914" s="2" t="inlineStr">
        <is>
          <t>Entregue</t>
        </is>
      </c>
      <c r="F914" s="2" t="inlineStr">
        <is>
          <t>Pix</t>
        </is>
      </c>
      <c r="G914" s="19" t="n">
        <v>0.05</v>
      </c>
    </row>
    <row r="915">
      <c r="A915" s="2" t="inlineStr">
        <is>
          <t>PED00914</t>
        </is>
      </c>
      <c r="B915" s="3" t="n">
        <v>45970</v>
      </c>
      <c r="C915" s="2" t="inlineStr">
        <is>
          <t>C0125</t>
        </is>
      </c>
      <c r="D915" s="2" t="inlineStr">
        <is>
          <t>L08</t>
        </is>
      </c>
      <c r="E915" s="2" t="inlineStr">
        <is>
          <t>Entregue</t>
        </is>
      </c>
      <c r="F915" s="2" t="inlineStr">
        <is>
          <t>Pix</t>
        </is>
      </c>
      <c r="G915" s="19" t="n">
        <v>0</v>
      </c>
    </row>
    <row r="916">
      <c r="A916" s="2" t="inlineStr">
        <is>
          <t>PED00915</t>
        </is>
      </c>
      <c r="B916" s="3" t="n">
        <v>45353</v>
      </c>
      <c r="C916" s="2" t="inlineStr">
        <is>
          <t>C0235</t>
        </is>
      </c>
      <c r="D916" s="2" t="inlineStr">
        <is>
          <t>L05</t>
        </is>
      </c>
      <c r="E916" s="2" t="inlineStr">
        <is>
          <t>Entregue</t>
        </is>
      </c>
      <c r="F916" s="2" t="inlineStr">
        <is>
          <t>Pix</t>
        </is>
      </c>
      <c r="G916" s="19" t="n">
        <v>0</v>
      </c>
    </row>
    <row r="917">
      <c r="A917" s="2" t="inlineStr">
        <is>
          <t>PED00916</t>
        </is>
      </c>
      <c r="B917" s="3" t="n">
        <v>45757</v>
      </c>
      <c r="C917" s="2" t="inlineStr">
        <is>
          <t>C0179</t>
        </is>
      </c>
      <c r="D917" s="2" t="inlineStr">
        <is>
          <t>L05</t>
        </is>
      </c>
      <c r="E917" s="2" t="inlineStr">
        <is>
          <t>Entregue</t>
        </is>
      </c>
      <c r="F917" s="2" t="inlineStr">
        <is>
          <t>Cartão de crédito</t>
        </is>
      </c>
      <c r="G917" s="19" t="n">
        <v>0.05</v>
      </c>
    </row>
    <row r="918">
      <c r="A918" s="2" t="inlineStr">
        <is>
          <t>PED00917</t>
        </is>
      </c>
      <c r="B918" s="3" t="n">
        <v>45532</v>
      </c>
      <c r="C918" s="2" t="inlineStr">
        <is>
          <t>C0331</t>
        </is>
      </c>
      <c r="D918" s="2" t="inlineStr">
        <is>
          <t>L08</t>
        </is>
      </c>
      <c r="E918" s="2" t="inlineStr">
        <is>
          <t>Entregue</t>
        </is>
      </c>
      <c r="F918" s="2" t="inlineStr">
        <is>
          <t>Transferência</t>
        </is>
      </c>
      <c r="G918" s="19" t="n">
        <v>0.03</v>
      </c>
    </row>
    <row r="919">
      <c r="A919" s="2" t="inlineStr">
        <is>
          <t>PED00918</t>
        </is>
      </c>
      <c r="B919" s="3" t="n">
        <v>45705</v>
      </c>
      <c r="C919" s="2" t="inlineStr">
        <is>
          <t>C0011</t>
        </is>
      </c>
      <c r="D919" s="2" t="inlineStr">
        <is>
          <t>L02</t>
        </is>
      </c>
      <c r="E919" s="2" t="inlineStr">
        <is>
          <t>Entregue</t>
        </is>
      </c>
      <c r="F919" s="2" t="inlineStr">
        <is>
          <t>Boleto</t>
        </is>
      </c>
      <c r="G919" s="19" t="n">
        <v>0</v>
      </c>
    </row>
    <row r="920">
      <c r="A920" s="2" t="inlineStr">
        <is>
          <t>PED00919</t>
        </is>
      </c>
      <c r="B920" s="3" t="n">
        <v>45312</v>
      </c>
      <c r="C920" s="2" t="inlineStr">
        <is>
          <t>C0168</t>
        </is>
      </c>
      <c r="D920" s="2" t="inlineStr">
        <is>
          <t>L07</t>
        </is>
      </c>
      <c r="E920" s="2" t="inlineStr">
        <is>
          <t>Entregue</t>
        </is>
      </c>
      <c r="F920" s="2" t="inlineStr">
        <is>
          <t>Pix</t>
        </is>
      </c>
      <c r="G920" s="19" t="n">
        <v>0</v>
      </c>
    </row>
    <row r="921">
      <c r="A921" s="2" t="inlineStr">
        <is>
          <t>PED00920</t>
        </is>
      </c>
      <c r="B921" s="3" t="n">
        <v>46004</v>
      </c>
      <c r="C921" s="2" t="inlineStr">
        <is>
          <t>C0140</t>
        </is>
      </c>
      <c r="D921" s="2" t="inlineStr">
        <is>
          <t>L04</t>
        </is>
      </c>
      <c r="E921" s="2" t="inlineStr">
        <is>
          <t>Entregue</t>
        </is>
      </c>
      <c r="F921" s="2" t="inlineStr">
        <is>
          <t>Cartão de crédito</t>
        </is>
      </c>
      <c r="G921" s="19" t="n">
        <v>0.15</v>
      </c>
    </row>
    <row r="922">
      <c r="A922" s="2" t="inlineStr">
        <is>
          <t>PED00921</t>
        </is>
      </c>
      <c r="B922" s="3" t="n">
        <v>45538</v>
      </c>
      <c r="C922" s="2" t="inlineStr">
        <is>
          <t>C0273</t>
        </is>
      </c>
      <c r="D922" s="2" t="inlineStr">
        <is>
          <t>L06</t>
        </is>
      </c>
      <c r="E922" s="2" t="inlineStr">
        <is>
          <t>Entregue</t>
        </is>
      </c>
      <c r="F922" s="2" t="inlineStr">
        <is>
          <t>Cartão de crédito</t>
        </is>
      </c>
      <c r="G922" s="19" t="n">
        <v>0.03</v>
      </c>
    </row>
    <row r="923">
      <c r="A923" s="2" t="inlineStr">
        <is>
          <t>PED00922</t>
        </is>
      </c>
      <c r="B923" s="3" t="n">
        <v>45853</v>
      </c>
      <c r="C923" s="2" t="inlineStr">
        <is>
          <t>C0226</t>
        </is>
      </c>
      <c r="D923" s="2" t="inlineStr">
        <is>
          <t>L03</t>
        </is>
      </c>
      <c r="E923" s="2" t="inlineStr">
        <is>
          <t>Entregue</t>
        </is>
      </c>
      <c r="F923" s="2" t="inlineStr">
        <is>
          <t>Pix</t>
        </is>
      </c>
      <c r="G923" s="19" t="n">
        <v>0</v>
      </c>
    </row>
    <row r="924">
      <c r="A924" s="2" t="inlineStr">
        <is>
          <t>PED00923</t>
        </is>
      </c>
      <c r="B924" s="3" t="n">
        <v>45579</v>
      </c>
      <c r="C924" s="2" t="inlineStr">
        <is>
          <t>C0330</t>
        </is>
      </c>
      <c r="D924" s="2" t="inlineStr">
        <is>
          <t>L08</t>
        </is>
      </c>
      <c r="E924" s="2" t="inlineStr">
        <is>
          <t>Em processamento</t>
        </is>
      </c>
      <c r="F924" s="2" t="inlineStr">
        <is>
          <t>Pix</t>
        </is>
      </c>
      <c r="G924" s="19" t="n">
        <v>0.1</v>
      </c>
    </row>
    <row r="925">
      <c r="A925" s="2" t="inlineStr">
        <is>
          <t>PED00924</t>
        </is>
      </c>
      <c r="B925" s="3" t="n">
        <v>46004</v>
      </c>
      <c r="C925" s="2" t="inlineStr">
        <is>
          <t>C0004</t>
        </is>
      </c>
      <c r="D925" s="2" t="inlineStr">
        <is>
          <t>L08</t>
        </is>
      </c>
      <c r="E925" s="2" t="inlineStr">
        <is>
          <t>Entregue</t>
        </is>
      </c>
      <c r="F925" s="2" t="inlineStr">
        <is>
          <t>Pix</t>
        </is>
      </c>
      <c r="G925" s="19" t="n">
        <v>0</v>
      </c>
    </row>
    <row r="926">
      <c r="A926" s="2" t="inlineStr">
        <is>
          <t>PED00925</t>
        </is>
      </c>
      <c r="B926" s="3" t="n">
        <v>45649</v>
      </c>
      <c r="C926" s="2" t="inlineStr">
        <is>
          <t>C0183</t>
        </is>
      </c>
      <c r="D926" s="2" t="inlineStr">
        <is>
          <t>L08</t>
        </is>
      </c>
      <c r="E926" s="2" t="inlineStr">
        <is>
          <t>Entregue</t>
        </is>
      </c>
      <c r="F926" s="2" t="inlineStr">
        <is>
          <t>Pix</t>
        </is>
      </c>
      <c r="G926" s="19" t="n">
        <v>0.05</v>
      </c>
    </row>
    <row r="927">
      <c r="A927" s="2" t="inlineStr">
        <is>
          <t>PED00926</t>
        </is>
      </c>
      <c r="B927" s="3" t="n">
        <v>45501</v>
      </c>
      <c r="C927" s="2" t="inlineStr">
        <is>
          <t>C0188</t>
        </is>
      </c>
      <c r="D927" s="2" t="inlineStr">
        <is>
          <t>L05</t>
        </is>
      </c>
      <c r="E927" s="2" t="inlineStr">
        <is>
          <t>Cancelado</t>
        </is>
      </c>
      <c r="F927" s="2" t="inlineStr">
        <is>
          <t>Cartão de crédito</t>
        </is>
      </c>
      <c r="G927" s="19" t="n">
        <v>0.05</v>
      </c>
    </row>
    <row r="928">
      <c r="A928" s="2" t="inlineStr">
        <is>
          <t>PED00927</t>
        </is>
      </c>
      <c r="B928" s="3" t="n">
        <v>45717</v>
      </c>
      <c r="C928" s="2" t="inlineStr">
        <is>
          <t>C0056</t>
        </is>
      </c>
      <c r="D928" s="2" t="inlineStr">
        <is>
          <t>L07</t>
        </is>
      </c>
      <c r="E928" s="2" t="inlineStr">
        <is>
          <t>Entregue</t>
        </is>
      </c>
      <c r="F928" s="2" t="inlineStr">
        <is>
          <t>Cartão de débito</t>
        </is>
      </c>
      <c r="G928" s="19" t="n">
        <v>0</v>
      </c>
    </row>
    <row r="929">
      <c r="A929" s="2" t="inlineStr">
        <is>
          <t>PED00928</t>
        </is>
      </c>
      <c r="B929" s="3" t="n">
        <v>45872</v>
      </c>
      <c r="C929" s="2" t="inlineStr">
        <is>
          <t>C0111</t>
        </is>
      </c>
      <c r="D929" s="2" t="inlineStr">
        <is>
          <t>L08</t>
        </is>
      </c>
      <c r="E929" s="2" t="inlineStr">
        <is>
          <t>Entregue</t>
        </is>
      </c>
      <c r="F929" s="2" t="inlineStr">
        <is>
          <t>Cartão de crédito</t>
        </is>
      </c>
      <c r="G929" s="19" t="n">
        <v>0.1</v>
      </c>
    </row>
    <row r="930">
      <c r="A930" s="2" t="inlineStr">
        <is>
          <t>PED00929</t>
        </is>
      </c>
      <c r="B930" s="3" t="n">
        <v>45594</v>
      </c>
      <c r="C930" s="2" t="inlineStr">
        <is>
          <t>C0193</t>
        </is>
      </c>
      <c r="D930" s="2" t="inlineStr">
        <is>
          <t>L08</t>
        </is>
      </c>
      <c r="E930" s="2" t="inlineStr">
        <is>
          <t>Em processamento</t>
        </is>
      </c>
      <c r="F930" s="2" t="inlineStr">
        <is>
          <t>Boleto</t>
        </is>
      </c>
      <c r="G930" s="19" t="n">
        <v>0</v>
      </c>
    </row>
    <row r="931">
      <c r="A931" s="2" t="inlineStr">
        <is>
          <t>PED00930</t>
        </is>
      </c>
      <c r="B931" s="3" t="n">
        <v>45430</v>
      </c>
      <c r="C931" s="2" t="inlineStr">
        <is>
          <t>C0028</t>
        </is>
      </c>
      <c r="D931" s="2" t="inlineStr">
        <is>
          <t>L03</t>
        </is>
      </c>
      <c r="E931" s="2" t="inlineStr">
        <is>
          <t>Entregue</t>
        </is>
      </c>
      <c r="F931" s="2" t="inlineStr">
        <is>
          <t>Pix</t>
        </is>
      </c>
      <c r="G931" s="19" t="n">
        <v>0</v>
      </c>
    </row>
    <row r="932">
      <c r="A932" s="2" t="inlineStr">
        <is>
          <t>PED00931</t>
        </is>
      </c>
      <c r="B932" s="3" t="n">
        <v>45794</v>
      </c>
      <c r="C932" s="2" t="inlineStr">
        <is>
          <t>C0106</t>
        </is>
      </c>
      <c r="D932" s="2" t="inlineStr">
        <is>
          <t>L03</t>
        </is>
      </c>
      <c r="E932" s="2" t="inlineStr">
        <is>
          <t>Entregue</t>
        </is>
      </c>
      <c r="F932" s="2" t="inlineStr">
        <is>
          <t>Pix</t>
        </is>
      </c>
      <c r="G932" s="19" t="n">
        <v>0.05</v>
      </c>
    </row>
    <row r="933">
      <c r="A933" s="2" t="inlineStr">
        <is>
          <t>PED00932</t>
        </is>
      </c>
      <c r="B933" s="3" t="n">
        <v>45763</v>
      </c>
      <c r="C933" s="2" t="inlineStr">
        <is>
          <t>C0085</t>
        </is>
      </c>
      <c r="D933" s="2" t="inlineStr">
        <is>
          <t>L05</t>
        </is>
      </c>
      <c r="E933" s="2" t="inlineStr">
        <is>
          <t>Devolvido</t>
        </is>
      </c>
      <c r="F933" s="2" t="inlineStr">
        <is>
          <t>Cartão de crédito</t>
        </is>
      </c>
      <c r="G933" s="19" t="n">
        <v>0</v>
      </c>
    </row>
    <row r="934">
      <c r="A934" s="2" t="inlineStr">
        <is>
          <t>PED00933</t>
        </is>
      </c>
      <c r="B934" s="3" t="n">
        <v>45323</v>
      </c>
      <c r="C934" s="2" t="inlineStr">
        <is>
          <t>C0043</t>
        </is>
      </c>
      <c r="D934" s="2" t="inlineStr">
        <is>
          <t>L06</t>
        </is>
      </c>
      <c r="E934" s="2" t="inlineStr">
        <is>
          <t>Entregue</t>
        </is>
      </c>
      <c r="F934" s="2" t="inlineStr">
        <is>
          <t>Cartão de débito</t>
        </is>
      </c>
      <c r="G934" s="19" t="n">
        <v>0.05</v>
      </c>
    </row>
    <row r="935">
      <c r="A935" s="2" t="inlineStr">
        <is>
          <t>PED00934</t>
        </is>
      </c>
      <c r="B935" s="3" t="n">
        <v>45741</v>
      </c>
      <c r="C935" s="2" t="inlineStr">
        <is>
          <t>C0276</t>
        </is>
      </c>
      <c r="D935" s="2" t="inlineStr">
        <is>
          <t>L06</t>
        </is>
      </c>
      <c r="E935" s="2" t="inlineStr">
        <is>
          <t>Entregue</t>
        </is>
      </c>
      <c r="F935" s="2" t="inlineStr">
        <is>
          <t>Cartão de crédito</t>
        </is>
      </c>
      <c r="G935" s="19" t="n">
        <v>0.15</v>
      </c>
    </row>
    <row r="936">
      <c r="A936" s="2" t="inlineStr">
        <is>
          <t>PED00935</t>
        </is>
      </c>
      <c r="B936" s="3" t="n">
        <v>45980</v>
      </c>
      <c r="C936" s="2" t="inlineStr">
        <is>
          <t>C0059</t>
        </is>
      </c>
      <c r="D936" s="2" t="inlineStr">
        <is>
          <t>L05</t>
        </is>
      </c>
      <c r="E936" s="2" t="inlineStr">
        <is>
          <t>Entregue</t>
        </is>
      </c>
      <c r="F936" s="2" t="inlineStr">
        <is>
          <t>Pix</t>
        </is>
      </c>
      <c r="G936" s="19" t="n">
        <v>0</v>
      </c>
    </row>
    <row r="937">
      <c r="A937" s="2" t="inlineStr">
        <is>
          <t>PED00936</t>
        </is>
      </c>
      <c r="B937" s="3" t="n">
        <v>45333</v>
      </c>
      <c r="C937" s="2" t="inlineStr">
        <is>
          <t>C0260</t>
        </is>
      </c>
      <c r="D937" s="2" t="inlineStr">
        <is>
          <t>L07</t>
        </is>
      </c>
      <c r="E937" s="2" t="inlineStr">
        <is>
          <t>Entregue</t>
        </is>
      </c>
      <c r="F937" s="2" t="inlineStr">
        <is>
          <t>Pix</t>
        </is>
      </c>
      <c r="G937" s="19" t="n">
        <v>0</v>
      </c>
    </row>
    <row r="938">
      <c r="A938" s="2" t="inlineStr">
        <is>
          <t>PED00937</t>
        </is>
      </c>
      <c r="B938" s="3" t="n">
        <v>45417</v>
      </c>
      <c r="C938" s="2" t="inlineStr">
        <is>
          <t>C0121</t>
        </is>
      </c>
      <c r="D938" s="2" t="inlineStr">
        <is>
          <t>L07</t>
        </is>
      </c>
      <c r="E938" s="2" t="inlineStr">
        <is>
          <t>Entregue</t>
        </is>
      </c>
      <c r="F938" s="2" t="inlineStr">
        <is>
          <t>Pix</t>
        </is>
      </c>
      <c r="G938" s="19" t="n">
        <v>0</v>
      </c>
    </row>
    <row r="939">
      <c r="A939" s="2" t="inlineStr">
        <is>
          <t>PED00938</t>
        </is>
      </c>
      <c r="B939" s="3" t="n">
        <v>45857</v>
      </c>
      <c r="C939" s="2" t="inlineStr">
        <is>
          <t>C0021</t>
        </is>
      </c>
      <c r="D939" s="2" t="inlineStr">
        <is>
          <t>L08</t>
        </is>
      </c>
      <c r="E939" s="2" t="inlineStr">
        <is>
          <t>Entregue</t>
        </is>
      </c>
      <c r="F939" s="2" t="inlineStr">
        <is>
          <t>Pix</t>
        </is>
      </c>
      <c r="G939" s="19" t="n">
        <v>0</v>
      </c>
    </row>
    <row r="940">
      <c r="A940" s="2" t="inlineStr">
        <is>
          <t>PED00939</t>
        </is>
      </c>
      <c r="B940" s="3" t="n">
        <v>45861</v>
      </c>
      <c r="C940" s="2" t="inlineStr">
        <is>
          <t>C0271</t>
        </is>
      </c>
      <c r="D940" s="2" t="inlineStr">
        <is>
          <t>L01</t>
        </is>
      </c>
      <c r="E940" s="2" t="inlineStr">
        <is>
          <t>Entregue</t>
        </is>
      </c>
      <c r="F940" s="2" t="inlineStr">
        <is>
          <t>Cartão de débito</t>
        </is>
      </c>
      <c r="G940" s="19" t="n">
        <v>0.15</v>
      </c>
    </row>
    <row r="941">
      <c r="A941" s="2" t="inlineStr">
        <is>
          <t>PED00940</t>
        </is>
      </c>
      <c r="B941" s="3" t="n">
        <v>45450</v>
      </c>
      <c r="C941" s="2" t="inlineStr">
        <is>
          <t>C0345</t>
        </is>
      </c>
      <c r="D941" s="2" t="inlineStr">
        <is>
          <t>L02</t>
        </is>
      </c>
      <c r="E941" s="2" t="inlineStr">
        <is>
          <t>Entregue</t>
        </is>
      </c>
      <c r="F941" s="2" t="inlineStr">
        <is>
          <t>Cartão de crédito</t>
        </is>
      </c>
      <c r="G941" s="19" t="n">
        <v>0.05</v>
      </c>
    </row>
    <row r="942">
      <c r="A942" s="2" t="inlineStr">
        <is>
          <t>PED00941</t>
        </is>
      </c>
      <c r="B942" s="3" t="n">
        <v>45833</v>
      </c>
      <c r="C942" s="2" t="inlineStr">
        <is>
          <t>C0221</t>
        </is>
      </c>
      <c r="D942" s="2" t="inlineStr">
        <is>
          <t>L04</t>
        </is>
      </c>
      <c r="E942" s="2" t="inlineStr">
        <is>
          <t>Entregue</t>
        </is>
      </c>
      <c r="F942" s="2" t="inlineStr">
        <is>
          <t>Transferência</t>
        </is>
      </c>
      <c r="G942" s="19" t="n">
        <v>0</v>
      </c>
    </row>
    <row r="943">
      <c r="A943" s="2" t="inlineStr">
        <is>
          <t>PED00942</t>
        </is>
      </c>
      <c r="B943" s="3" t="n">
        <v>45674</v>
      </c>
      <c r="C943" s="2" t="inlineStr">
        <is>
          <t>C0149</t>
        </is>
      </c>
      <c r="D943" s="2" t="inlineStr">
        <is>
          <t>L01</t>
        </is>
      </c>
      <c r="E943" s="2" t="inlineStr">
        <is>
          <t>Entregue</t>
        </is>
      </c>
      <c r="F943" s="2" t="inlineStr">
        <is>
          <t>Cartão de débito</t>
        </is>
      </c>
      <c r="G943" s="19" t="n">
        <v>0.05</v>
      </c>
    </row>
    <row r="944">
      <c r="A944" s="2" t="inlineStr">
        <is>
          <t>PED00943</t>
        </is>
      </c>
      <c r="B944" s="3" t="n">
        <v>45378</v>
      </c>
      <c r="C944" s="2" t="inlineStr">
        <is>
          <t>C0241</t>
        </is>
      </c>
      <c r="D944" s="2" t="inlineStr">
        <is>
          <t>L07</t>
        </is>
      </c>
      <c r="E944" s="2" t="inlineStr">
        <is>
          <t>Entregue</t>
        </is>
      </c>
      <c r="F944" s="2" t="inlineStr">
        <is>
          <t>Cartão de débito</t>
        </is>
      </c>
      <c r="G944" s="19" t="n">
        <v>0.1</v>
      </c>
    </row>
    <row r="945">
      <c r="A945" s="2" t="inlineStr">
        <is>
          <t>PED00944</t>
        </is>
      </c>
      <c r="B945" s="3" t="n">
        <v>45539</v>
      </c>
      <c r="C945" s="2" t="inlineStr">
        <is>
          <t>C0285</t>
        </is>
      </c>
      <c r="D945" s="2" t="inlineStr">
        <is>
          <t>L03</t>
        </is>
      </c>
      <c r="E945" s="2" t="inlineStr">
        <is>
          <t>Cancelado</t>
        </is>
      </c>
      <c r="F945" s="2" t="inlineStr">
        <is>
          <t>Pix</t>
        </is>
      </c>
      <c r="G945" s="19" t="n">
        <v>0.05</v>
      </c>
    </row>
    <row r="946">
      <c r="A946" s="2" t="inlineStr">
        <is>
          <t>PED00945</t>
        </is>
      </c>
      <c r="B946" s="3" t="n">
        <v>45588</v>
      </c>
      <c r="C946" s="2" t="inlineStr">
        <is>
          <t>C0328</t>
        </is>
      </c>
      <c r="D946" s="2" t="inlineStr">
        <is>
          <t>L01</t>
        </is>
      </c>
      <c r="E946" s="2" t="inlineStr">
        <is>
          <t>Devolvido</t>
        </is>
      </c>
      <c r="F946" s="2" t="inlineStr">
        <is>
          <t>Pix</t>
        </is>
      </c>
      <c r="G946" s="19" t="n">
        <v>0</v>
      </c>
    </row>
    <row r="947">
      <c r="A947" s="2" t="inlineStr">
        <is>
          <t>PED00946</t>
        </is>
      </c>
      <c r="B947" s="3" t="n">
        <v>45893</v>
      </c>
      <c r="C947" s="2" t="inlineStr">
        <is>
          <t>C0162</t>
        </is>
      </c>
      <c r="D947" s="2" t="inlineStr">
        <is>
          <t>L02</t>
        </is>
      </c>
      <c r="E947" s="2" t="inlineStr">
        <is>
          <t>Entregue</t>
        </is>
      </c>
      <c r="F947" s="2" t="inlineStr">
        <is>
          <t>Pix</t>
        </is>
      </c>
      <c r="G947" s="19" t="n">
        <v>0</v>
      </c>
    </row>
    <row r="948">
      <c r="A948" s="2" t="inlineStr">
        <is>
          <t>PED00947</t>
        </is>
      </c>
      <c r="B948" s="3" t="n">
        <v>45769</v>
      </c>
      <c r="C948" s="2" t="inlineStr">
        <is>
          <t>C0064</t>
        </is>
      </c>
      <c r="D948" s="2" t="inlineStr">
        <is>
          <t>L01</t>
        </is>
      </c>
      <c r="E948" s="2" t="inlineStr">
        <is>
          <t>Entregue</t>
        </is>
      </c>
      <c r="F948" s="2" t="inlineStr">
        <is>
          <t>Pix</t>
        </is>
      </c>
      <c r="G948" s="19" t="n">
        <v>0.05</v>
      </c>
    </row>
    <row r="949">
      <c r="A949" s="2" t="inlineStr">
        <is>
          <t>PED00948</t>
        </is>
      </c>
      <c r="B949" s="3" t="n">
        <v>45370</v>
      </c>
      <c r="C949" s="2" t="inlineStr">
        <is>
          <t>C0043</t>
        </is>
      </c>
      <c r="D949" s="2" t="inlineStr">
        <is>
          <t>L08</t>
        </is>
      </c>
      <c r="E949" s="2" t="inlineStr">
        <is>
          <t>Entregue</t>
        </is>
      </c>
      <c r="F949" s="2" t="inlineStr">
        <is>
          <t>Cartão de crédito</t>
        </is>
      </c>
      <c r="G949" s="19" t="n">
        <v>0</v>
      </c>
    </row>
    <row r="950">
      <c r="A950" s="2" t="inlineStr">
        <is>
          <t>PED00949</t>
        </is>
      </c>
      <c r="B950" s="3" t="n">
        <v>45481</v>
      </c>
      <c r="C950" s="2" t="inlineStr">
        <is>
          <t>C0107</t>
        </is>
      </c>
      <c r="D950" s="2" t="inlineStr">
        <is>
          <t>L01</t>
        </is>
      </c>
      <c r="E950" s="2" t="inlineStr">
        <is>
          <t>Devolvido</t>
        </is>
      </c>
      <c r="F950" s="2" t="inlineStr">
        <is>
          <t>Pix</t>
        </is>
      </c>
      <c r="G950" s="19" t="n">
        <v>0</v>
      </c>
    </row>
    <row r="951">
      <c r="A951" s="2" t="inlineStr">
        <is>
          <t>PED00950</t>
        </is>
      </c>
      <c r="B951" s="3" t="n">
        <v>45582</v>
      </c>
      <c r="C951" s="2" t="inlineStr">
        <is>
          <t>C0306</t>
        </is>
      </c>
      <c r="D951" s="2" t="inlineStr">
        <is>
          <t>L02</t>
        </is>
      </c>
      <c r="E951" s="2" t="inlineStr">
        <is>
          <t>Devolvido</t>
        </is>
      </c>
      <c r="F951" s="2" t="inlineStr">
        <is>
          <t>Boleto</t>
        </is>
      </c>
      <c r="G951" s="19" t="n">
        <v>0.1</v>
      </c>
    </row>
    <row r="952">
      <c r="A952" s="2" t="inlineStr">
        <is>
          <t>PED00951</t>
        </is>
      </c>
      <c r="B952" s="3" t="n">
        <v>45844</v>
      </c>
      <c r="C952" s="2" t="inlineStr">
        <is>
          <t>C0150</t>
        </is>
      </c>
      <c r="D952" s="2" t="inlineStr">
        <is>
          <t>L04</t>
        </is>
      </c>
      <c r="E952" s="2" t="inlineStr">
        <is>
          <t>Entregue</t>
        </is>
      </c>
      <c r="F952" s="2" t="inlineStr">
        <is>
          <t>Cartão de crédito</t>
        </is>
      </c>
      <c r="G952" s="19" t="n">
        <v>0</v>
      </c>
    </row>
    <row r="953">
      <c r="A953" s="2" t="inlineStr">
        <is>
          <t>PED00952</t>
        </is>
      </c>
      <c r="B953" s="3" t="n">
        <v>45466</v>
      </c>
      <c r="C953" s="2" t="inlineStr">
        <is>
          <t>C0081</t>
        </is>
      </c>
      <c r="D953" s="2" t="inlineStr">
        <is>
          <t>L04</t>
        </is>
      </c>
      <c r="E953" s="2" t="inlineStr">
        <is>
          <t>Entregue</t>
        </is>
      </c>
      <c r="F953" s="2" t="inlineStr">
        <is>
          <t>Cartão de crédito</t>
        </is>
      </c>
      <c r="G953" s="19" t="n">
        <v>0</v>
      </c>
    </row>
    <row r="954">
      <c r="A954" s="2" t="inlineStr">
        <is>
          <t>PED00953</t>
        </is>
      </c>
      <c r="B954" s="3" t="n">
        <v>45593</v>
      </c>
      <c r="C954" s="2" t="inlineStr">
        <is>
          <t>C0067</t>
        </is>
      </c>
      <c r="D954" s="2" t="inlineStr">
        <is>
          <t>L07</t>
        </is>
      </c>
      <c r="E954" s="2" t="inlineStr">
        <is>
          <t>Em processamento</t>
        </is>
      </c>
      <c r="F954" s="2" t="inlineStr">
        <is>
          <t>Pix</t>
        </is>
      </c>
      <c r="G954" s="19" t="n">
        <v>0</v>
      </c>
    </row>
    <row r="955">
      <c r="A955" s="2" t="inlineStr">
        <is>
          <t>PED00954</t>
        </is>
      </c>
      <c r="B955" s="3" t="n">
        <v>45730</v>
      </c>
      <c r="C955" s="2" t="inlineStr">
        <is>
          <t>C0223</t>
        </is>
      </c>
      <c r="D955" s="2" t="inlineStr">
        <is>
          <t>L01</t>
        </is>
      </c>
      <c r="E955" s="2" t="inlineStr">
        <is>
          <t>Entregue</t>
        </is>
      </c>
      <c r="F955" s="2" t="inlineStr">
        <is>
          <t>Pix</t>
        </is>
      </c>
      <c r="G955" s="19" t="n">
        <v>0.05</v>
      </c>
    </row>
    <row r="956">
      <c r="A956" s="2" t="inlineStr">
        <is>
          <t>PED00955</t>
        </is>
      </c>
      <c r="B956" s="3" t="n">
        <v>45661</v>
      </c>
      <c r="C956" s="2" t="inlineStr">
        <is>
          <t>C0200</t>
        </is>
      </c>
      <c r="D956" s="2" t="inlineStr">
        <is>
          <t>L07</t>
        </is>
      </c>
      <c r="E956" s="2" t="inlineStr">
        <is>
          <t>Cancelado</t>
        </is>
      </c>
      <c r="F956" s="2" t="inlineStr">
        <is>
          <t>Pix</t>
        </is>
      </c>
      <c r="G956" s="19" t="n">
        <v>0.1</v>
      </c>
    </row>
    <row r="957">
      <c r="A957" s="2" t="inlineStr">
        <is>
          <t>PED00956</t>
        </is>
      </c>
      <c r="B957" s="3" t="n">
        <v>45509</v>
      </c>
      <c r="C957" s="2" t="inlineStr">
        <is>
          <t>C0052</t>
        </is>
      </c>
      <c r="D957" s="2" t="inlineStr">
        <is>
          <t>L03</t>
        </is>
      </c>
      <c r="E957" s="2" t="inlineStr">
        <is>
          <t>Entregue</t>
        </is>
      </c>
      <c r="F957" s="2" t="inlineStr">
        <is>
          <t>Pix</t>
        </is>
      </c>
      <c r="G957" s="19" t="n">
        <v>0</v>
      </c>
    </row>
    <row r="958">
      <c r="A958" s="2" t="inlineStr">
        <is>
          <t>PED00957</t>
        </is>
      </c>
      <c r="B958" s="3" t="n">
        <v>45877</v>
      </c>
      <c r="C958" s="2" t="inlineStr">
        <is>
          <t>C0056</t>
        </is>
      </c>
      <c r="D958" s="2" t="inlineStr">
        <is>
          <t>L08</t>
        </is>
      </c>
      <c r="E958" s="2" t="inlineStr">
        <is>
          <t>Entregue</t>
        </is>
      </c>
      <c r="F958" s="2" t="inlineStr">
        <is>
          <t>Cartão de crédito</t>
        </is>
      </c>
      <c r="G958" s="19" t="n">
        <v>0.05</v>
      </c>
    </row>
    <row r="959">
      <c r="A959" s="2" t="inlineStr">
        <is>
          <t>PED00958</t>
        </is>
      </c>
      <c r="B959" s="3" t="n">
        <v>45832</v>
      </c>
      <c r="C959" s="2" t="inlineStr">
        <is>
          <t>C0230</t>
        </is>
      </c>
      <c r="D959" s="2" t="inlineStr">
        <is>
          <t>L04</t>
        </is>
      </c>
      <c r="E959" s="2" t="inlineStr">
        <is>
          <t>Entregue</t>
        </is>
      </c>
      <c r="F959" s="2" t="inlineStr">
        <is>
          <t>Pix</t>
        </is>
      </c>
      <c r="G959" s="19" t="n">
        <v>0.1</v>
      </c>
    </row>
    <row r="960">
      <c r="A960" s="2" t="inlineStr">
        <is>
          <t>PED00959</t>
        </is>
      </c>
      <c r="B960" s="3" t="n">
        <v>45340</v>
      </c>
      <c r="C960" s="2" t="inlineStr">
        <is>
          <t>C0260</t>
        </is>
      </c>
      <c r="D960" s="2" t="inlineStr">
        <is>
          <t>L06</t>
        </is>
      </c>
      <c r="E960" s="2" t="inlineStr">
        <is>
          <t>Devolvido</t>
        </is>
      </c>
      <c r="F960" s="2" t="inlineStr">
        <is>
          <t>Cartão de crédito</t>
        </is>
      </c>
      <c r="G960" s="19" t="n">
        <v>0</v>
      </c>
    </row>
    <row r="961">
      <c r="A961" s="2" t="inlineStr">
        <is>
          <t>PED00960</t>
        </is>
      </c>
      <c r="B961" s="3" t="n">
        <v>45704</v>
      </c>
      <c r="C961" s="2" t="inlineStr">
        <is>
          <t>C0307</t>
        </is>
      </c>
      <c r="D961" s="2" t="inlineStr">
        <is>
          <t>L07</t>
        </is>
      </c>
      <c r="E961" s="2" t="inlineStr">
        <is>
          <t>Entregue</t>
        </is>
      </c>
      <c r="F961" s="2" t="inlineStr">
        <is>
          <t>Cartão de crédito</t>
        </is>
      </c>
      <c r="G961" s="19" t="n">
        <v>0</v>
      </c>
    </row>
    <row r="962">
      <c r="A962" s="2" t="inlineStr">
        <is>
          <t>PED00961</t>
        </is>
      </c>
      <c r="B962" s="3" t="n">
        <v>45546</v>
      </c>
      <c r="C962" s="2" t="inlineStr">
        <is>
          <t>C0076</t>
        </is>
      </c>
      <c r="D962" s="2" t="inlineStr">
        <is>
          <t>L06</t>
        </is>
      </c>
      <c r="E962" s="2" t="inlineStr">
        <is>
          <t>Entregue</t>
        </is>
      </c>
      <c r="F962" s="2" t="inlineStr">
        <is>
          <t>Pix</t>
        </is>
      </c>
      <c r="G962" s="19" t="n">
        <v>0.1</v>
      </c>
    </row>
    <row r="963">
      <c r="A963" s="2" t="inlineStr">
        <is>
          <t>PED00962</t>
        </is>
      </c>
      <c r="B963" s="3" t="n">
        <v>45348</v>
      </c>
      <c r="C963" s="2" t="inlineStr">
        <is>
          <t>C0209</t>
        </is>
      </c>
      <c r="D963" s="2" t="inlineStr">
        <is>
          <t>L01</t>
        </is>
      </c>
      <c r="E963" s="2" t="inlineStr">
        <is>
          <t>Devolvido</t>
        </is>
      </c>
      <c r="F963" s="2" t="inlineStr">
        <is>
          <t>Cartão de crédito</t>
        </is>
      </c>
      <c r="G963" s="19" t="n">
        <v>0</v>
      </c>
    </row>
    <row r="964">
      <c r="A964" s="2" t="inlineStr">
        <is>
          <t>PED00963</t>
        </is>
      </c>
      <c r="B964" s="3" t="n">
        <v>45744</v>
      </c>
      <c r="C964" s="2" t="inlineStr">
        <is>
          <t>C0090</t>
        </is>
      </c>
      <c r="D964" s="2" t="inlineStr">
        <is>
          <t>L04</t>
        </is>
      </c>
      <c r="E964" s="2" t="inlineStr">
        <is>
          <t>Entregue</t>
        </is>
      </c>
      <c r="F964" s="2" t="inlineStr">
        <is>
          <t>Boleto</t>
        </is>
      </c>
      <c r="G964" s="19" t="n">
        <v>0.05</v>
      </c>
    </row>
    <row r="965">
      <c r="A965" s="2" t="inlineStr">
        <is>
          <t>PED00964</t>
        </is>
      </c>
      <c r="B965" s="3" t="n">
        <v>45824</v>
      </c>
      <c r="C965" s="2" t="inlineStr">
        <is>
          <t>C0071</t>
        </is>
      </c>
      <c r="D965" s="2" t="inlineStr">
        <is>
          <t>L01</t>
        </is>
      </c>
      <c r="E965" s="2" t="inlineStr">
        <is>
          <t>Cancelado</t>
        </is>
      </c>
      <c r="F965" s="2" t="inlineStr">
        <is>
          <t>Transferência</t>
        </is>
      </c>
      <c r="G965" s="19" t="n">
        <v>0.1</v>
      </c>
    </row>
    <row r="966">
      <c r="A966" s="2" t="inlineStr">
        <is>
          <t>PED00965</t>
        </is>
      </c>
      <c r="B966" s="3" t="n">
        <v>45564</v>
      </c>
      <c r="C966" s="2" t="inlineStr">
        <is>
          <t>C0048</t>
        </is>
      </c>
      <c r="D966" s="2" t="inlineStr">
        <is>
          <t>L07</t>
        </is>
      </c>
      <c r="E966" s="2" t="inlineStr">
        <is>
          <t>Entregue</t>
        </is>
      </c>
      <c r="F966" s="2" t="inlineStr">
        <is>
          <t>Cartão de crédito</t>
        </is>
      </c>
      <c r="G966" s="19" t="n">
        <v>0.05</v>
      </c>
    </row>
    <row r="967">
      <c r="A967" s="2" t="inlineStr">
        <is>
          <t>PED00966</t>
        </is>
      </c>
      <c r="B967" s="3" t="n">
        <v>45415</v>
      </c>
      <c r="C967" s="2" t="inlineStr">
        <is>
          <t>C0129</t>
        </is>
      </c>
      <c r="D967" s="2" t="inlineStr">
        <is>
          <t>L04</t>
        </is>
      </c>
      <c r="E967" s="2" t="inlineStr">
        <is>
          <t>Entregue</t>
        </is>
      </c>
      <c r="F967" s="2" t="inlineStr">
        <is>
          <t>Cartão de crédito</t>
        </is>
      </c>
      <c r="G967" s="19" t="n">
        <v>0</v>
      </c>
    </row>
    <row r="968">
      <c r="A968" s="2" t="inlineStr">
        <is>
          <t>PED00967</t>
        </is>
      </c>
      <c r="B968" s="3" t="n">
        <v>45298</v>
      </c>
      <c r="C968" s="2" t="inlineStr">
        <is>
          <t>C0342</t>
        </is>
      </c>
      <c r="D968" s="2" t="inlineStr">
        <is>
          <t>L07</t>
        </is>
      </c>
      <c r="E968" s="2" t="inlineStr">
        <is>
          <t>Entregue</t>
        </is>
      </c>
      <c r="F968" s="2" t="inlineStr">
        <is>
          <t>Boleto</t>
        </is>
      </c>
      <c r="G968" s="19" t="n">
        <v>0</v>
      </c>
    </row>
    <row r="969">
      <c r="A969" s="2" t="inlineStr">
        <is>
          <t>PED00968</t>
        </is>
      </c>
      <c r="B969" s="3" t="n">
        <v>45374</v>
      </c>
      <c r="C969" s="2" t="inlineStr">
        <is>
          <t>C0151</t>
        </is>
      </c>
      <c r="D969" s="2" t="inlineStr">
        <is>
          <t>L02</t>
        </is>
      </c>
      <c r="E969" s="2" t="inlineStr">
        <is>
          <t>Cancelado</t>
        </is>
      </c>
      <c r="F969" s="2" t="inlineStr">
        <is>
          <t>Cartão de crédito</t>
        </is>
      </c>
      <c r="G969" s="19" t="n">
        <v>0.03</v>
      </c>
    </row>
    <row r="970">
      <c r="A970" s="2" t="inlineStr">
        <is>
          <t>PED00969</t>
        </is>
      </c>
      <c r="B970" s="3" t="n">
        <v>45799</v>
      </c>
      <c r="C970" s="2" t="inlineStr">
        <is>
          <t>C0226</t>
        </is>
      </c>
      <c r="D970" s="2" t="inlineStr">
        <is>
          <t>L08</t>
        </is>
      </c>
      <c r="E970" s="2" t="inlineStr">
        <is>
          <t>Entregue</t>
        </is>
      </c>
      <c r="F970" s="2" t="inlineStr">
        <is>
          <t>Cartão de crédito</t>
        </is>
      </c>
      <c r="G970" s="19" t="n">
        <v>0</v>
      </c>
    </row>
    <row r="971">
      <c r="A971" s="2" t="inlineStr">
        <is>
          <t>PED00970</t>
        </is>
      </c>
      <c r="B971" s="3" t="n">
        <v>45908</v>
      </c>
      <c r="C971" s="2" t="inlineStr">
        <is>
          <t>C0035</t>
        </is>
      </c>
      <c r="D971" s="2" t="inlineStr">
        <is>
          <t>L05</t>
        </is>
      </c>
      <c r="E971" s="2" t="inlineStr">
        <is>
          <t>Entregue</t>
        </is>
      </c>
      <c r="F971" s="2" t="inlineStr">
        <is>
          <t>Boleto</t>
        </is>
      </c>
      <c r="G971" s="19" t="n">
        <v>0.05</v>
      </c>
    </row>
    <row r="972">
      <c r="A972" s="2" t="inlineStr">
        <is>
          <t>PED00971</t>
        </is>
      </c>
      <c r="B972" s="3" t="n">
        <v>45613</v>
      </c>
      <c r="C972" s="2" t="inlineStr">
        <is>
          <t>C0184</t>
        </is>
      </c>
      <c r="D972" s="2" t="inlineStr">
        <is>
          <t>L03</t>
        </is>
      </c>
      <c r="E972" s="2" t="inlineStr">
        <is>
          <t>Entregue</t>
        </is>
      </c>
      <c r="F972" s="2" t="inlineStr">
        <is>
          <t>Boleto</t>
        </is>
      </c>
      <c r="G972" s="19" t="n">
        <v>0</v>
      </c>
    </row>
    <row r="973">
      <c r="A973" s="2" t="inlineStr">
        <is>
          <t>PED00972</t>
        </is>
      </c>
      <c r="B973" s="3" t="n">
        <v>45396</v>
      </c>
      <c r="C973" s="2" t="inlineStr">
        <is>
          <t>C0041</t>
        </is>
      </c>
      <c r="D973" s="2" t="inlineStr">
        <is>
          <t>L03</t>
        </is>
      </c>
      <c r="E973" s="2" t="inlineStr">
        <is>
          <t>Entregue</t>
        </is>
      </c>
      <c r="F973" s="2" t="inlineStr">
        <is>
          <t>Pix</t>
        </is>
      </c>
      <c r="G973" s="19" t="n">
        <v>0.05</v>
      </c>
    </row>
    <row r="974">
      <c r="A974" s="2" t="inlineStr">
        <is>
          <t>PED00973</t>
        </is>
      </c>
      <c r="B974" s="3" t="n">
        <v>45416</v>
      </c>
      <c r="C974" s="2" t="inlineStr">
        <is>
          <t>C0098</t>
        </is>
      </c>
      <c r="D974" s="2" t="inlineStr">
        <is>
          <t>L04</t>
        </is>
      </c>
      <c r="E974" s="2" t="inlineStr">
        <is>
          <t>Entregue</t>
        </is>
      </c>
      <c r="F974" s="2" t="inlineStr">
        <is>
          <t>Boleto</t>
        </is>
      </c>
      <c r="G974" s="19" t="n">
        <v>0.03</v>
      </c>
    </row>
    <row r="975">
      <c r="A975" s="2" t="inlineStr">
        <is>
          <t>PED00974</t>
        </is>
      </c>
      <c r="B975" s="3" t="n">
        <v>45814</v>
      </c>
      <c r="C975" s="2" t="inlineStr">
        <is>
          <t>C0023</t>
        </is>
      </c>
      <c r="D975" s="2" t="inlineStr">
        <is>
          <t>L02</t>
        </is>
      </c>
      <c r="E975" s="2" t="inlineStr">
        <is>
          <t>Entregue</t>
        </is>
      </c>
      <c r="F975" s="2" t="inlineStr">
        <is>
          <t>Pix</t>
        </is>
      </c>
      <c r="G975" s="19" t="n">
        <v>0</v>
      </c>
    </row>
    <row r="976">
      <c r="A976" s="2" t="inlineStr">
        <is>
          <t>PED00975</t>
        </is>
      </c>
      <c r="B976" s="3" t="n">
        <v>45803</v>
      </c>
      <c r="C976" s="2" t="inlineStr">
        <is>
          <t>C0342</t>
        </is>
      </c>
      <c r="D976" s="2" t="inlineStr">
        <is>
          <t>L03</t>
        </is>
      </c>
      <c r="E976" s="2" t="inlineStr">
        <is>
          <t>Em processamento</t>
        </is>
      </c>
      <c r="F976" s="2" t="inlineStr">
        <is>
          <t>Pix</t>
        </is>
      </c>
      <c r="G976" s="19" t="n">
        <v>0.1</v>
      </c>
    </row>
    <row r="977">
      <c r="A977" s="2" t="inlineStr">
        <is>
          <t>PED00976</t>
        </is>
      </c>
      <c r="B977" s="3" t="n">
        <v>45795</v>
      </c>
      <c r="C977" s="2" t="inlineStr">
        <is>
          <t>C0311</t>
        </is>
      </c>
      <c r="D977" s="2" t="inlineStr">
        <is>
          <t>L08</t>
        </is>
      </c>
      <c r="E977" s="2" t="inlineStr">
        <is>
          <t>Entregue</t>
        </is>
      </c>
      <c r="F977" s="2" t="inlineStr">
        <is>
          <t>Cartão de crédito</t>
        </is>
      </c>
      <c r="G977" s="19" t="n">
        <v>0.1</v>
      </c>
    </row>
    <row r="978">
      <c r="A978" s="2" t="inlineStr">
        <is>
          <t>PED00977</t>
        </is>
      </c>
      <c r="B978" s="3" t="n">
        <v>46011</v>
      </c>
      <c r="C978" s="2" t="inlineStr">
        <is>
          <t>C0302</t>
        </is>
      </c>
      <c r="D978" s="2" t="inlineStr">
        <is>
          <t>L07</t>
        </is>
      </c>
      <c r="E978" s="2" t="inlineStr">
        <is>
          <t>Entregue</t>
        </is>
      </c>
      <c r="F978" s="2" t="inlineStr">
        <is>
          <t>Boleto</t>
        </is>
      </c>
      <c r="G978" s="19" t="n">
        <v>0</v>
      </c>
    </row>
    <row r="979">
      <c r="A979" s="2" t="inlineStr">
        <is>
          <t>PED00978</t>
        </is>
      </c>
      <c r="B979" s="3" t="n">
        <v>45442</v>
      </c>
      <c r="C979" s="2" t="inlineStr">
        <is>
          <t>C0008</t>
        </is>
      </c>
      <c r="D979" s="2" t="inlineStr">
        <is>
          <t>L06</t>
        </is>
      </c>
      <c r="E979" s="2" t="inlineStr">
        <is>
          <t>Entregue</t>
        </is>
      </c>
      <c r="F979" s="2" t="inlineStr">
        <is>
          <t>Cartão de crédito</t>
        </is>
      </c>
      <c r="G979" s="19" t="n">
        <v>0</v>
      </c>
    </row>
    <row r="980">
      <c r="A980" s="2" t="inlineStr">
        <is>
          <t>PED00979</t>
        </is>
      </c>
      <c r="B980" s="3" t="n">
        <v>45307</v>
      </c>
      <c r="C980" s="2" t="inlineStr">
        <is>
          <t>C0172</t>
        </is>
      </c>
      <c r="D980" s="2" t="inlineStr">
        <is>
          <t>L08</t>
        </is>
      </c>
      <c r="E980" s="2" t="inlineStr">
        <is>
          <t>Em processamento</t>
        </is>
      </c>
      <c r="F980" s="2" t="inlineStr">
        <is>
          <t>Cartão de débito</t>
        </is>
      </c>
      <c r="G980" s="19" t="n">
        <v>0</v>
      </c>
    </row>
    <row r="981">
      <c r="A981" s="2" t="inlineStr">
        <is>
          <t>PED00980</t>
        </is>
      </c>
      <c r="B981" s="3" t="n">
        <v>45470</v>
      </c>
      <c r="C981" s="2" t="inlineStr">
        <is>
          <t>C0038</t>
        </is>
      </c>
      <c r="D981" s="2" t="inlineStr">
        <is>
          <t>L03</t>
        </is>
      </c>
      <c r="E981" s="2" t="inlineStr">
        <is>
          <t>Entregue</t>
        </is>
      </c>
      <c r="F981" s="2" t="inlineStr">
        <is>
          <t>Cartão de crédito</t>
        </is>
      </c>
      <c r="G981" s="19" t="n">
        <v>0.03</v>
      </c>
    </row>
    <row r="982">
      <c r="A982" s="2" t="inlineStr">
        <is>
          <t>PED00981</t>
        </is>
      </c>
      <c r="B982" s="3" t="n">
        <v>45421</v>
      </c>
      <c r="C982" s="2" t="inlineStr">
        <is>
          <t>C0020</t>
        </is>
      </c>
      <c r="D982" s="2" t="inlineStr">
        <is>
          <t>L06</t>
        </is>
      </c>
      <c r="E982" s="2" t="inlineStr">
        <is>
          <t>Entregue</t>
        </is>
      </c>
      <c r="F982" s="2" t="inlineStr">
        <is>
          <t>Transferência</t>
        </is>
      </c>
      <c r="G982" s="19" t="n">
        <v>0.05</v>
      </c>
    </row>
    <row r="983">
      <c r="A983" s="2" t="inlineStr">
        <is>
          <t>PED00982</t>
        </is>
      </c>
      <c r="B983" s="3" t="n">
        <v>45590</v>
      </c>
      <c r="C983" s="2" t="inlineStr">
        <is>
          <t>C0332</t>
        </is>
      </c>
      <c r="D983" s="2" t="inlineStr">
        <is>
          <t>L03</t>
        </is>
      </c>
      <c r="E983" s="2" t="inlineStr">
        <is>
          <t>Entregue</t>
        </is>
      </c>
      <c r="F983" s="2" t="inlineStr">
        <is>
          <t>Cartão de crédito</t>
        </is>
      </c>
      <c r="G983" s="19" t="n">
        <v>0.1</v>
      </c>
    </row>
    <row r="984">
      <c r="A984" s="2" t="inlineStr">
        <is>
          <t>PED00983</t>
        </is>
      </c>
      <c r="B984" s="3" t="n">
        <v>45962</v>
      </c>
      <c r="C984" s="2" t="inlineStr">
        <is>
          <t>C0226</t>
        </is>
      </c>
      <c r="D984" s="2" t="inlineStr">
        <is>
          <t>L02</t>
        </is>
      </c>
      <c r="E984" s="2" t="inlineStr">
        <is>
          <t>Entregue</t>
        </is>
      </c>
      <c r="F984" s="2" t="inlineStr">
        <is>
          <t>Pix</t>
        </is>
      </c>
      <c r="G984" s="19" t="n">
        <v>0.1</v>
      </c>
    </row>
    <row r="985">
      <c r="A985" s="2" t="inlineStr">
        <is>
          <t>PED00984</t>
        </is>
      </c>
      <c r="B985" s="3" t="n">
        <v>45922</v>
      </c>
      <c r="C985" s="2" t="inlineStr">
        <is>
          <t>C0232</t>
        </is>
      </c>
      <c r="D985" s="2" t="inlineStr">
        <is>
          <t>L05</t>
        </is>
      </c>
      <c r="E985" s="2" t="inlineStr">
        <is>
          <t>Entregue</t>
        </is>
      </c>
      <c r="F985" s="2" t="inlineStr">
        <is>
          <t>Pix</t>
        </is>
      </c>
      <c r="G985" s="19" t="n">
        <v>0.05</v>
      </c>
    </row>
    <row r="986">
      <c r="A986" s="2" t="inlineStr">
        <is>
          <t>PED00985</t>
        </is>
      </c>
      <c r="B986" s="3" t="n">
        <v>45449</v>
      </c>
      <c r="C986" s="2" t="inlineStr">
        <is>
          <t>C0067</t>
        </is>
      </c>
      <c r="D986" s="2" t="inlineStr">
        <is>
          <t>L06</t>
        </is>
      </c>
      <c r="E986" s="2" t="inlineStr">
        <is>
          <t>Entregue</t>
        </is>
      </c>
      <c r="F986" s="2" t="inlineStr">
        <is>
          <t>Pix</t>
        </is>
      </c>
      <c r="G986" s="19" t="n">
        <v>0.15</v>
      </c>
    </row>
    <row r="987">
      <c r="A987" s="2" t="inlineStr">
        <is>
          <t>PED00986</t>
        </is>
      </c>
      <c r="B987" s="3" t="n">
        <v>45700</v>
      </c>
      <c r="C987" s="2" t="inlineStr">
        <is>
          <t>C0330</t>
        </is>
      </c>
      <c r="D987" s="2" t="inlineStr">
        <is>
          <t>L03</t>
        </is>
      </c>
      <c r="E987" s="2" t="inlineStr">
        <is>
          <t>Entregue</t>
        </is>
      </c>
      <c r="F987" s="2" t="inlineStr">
        <is>
          <t>Cartão de débito</t>
        </is>
      </c>
      <c r="G987" s="19" t="n">
        <v>0</v>
      </c>
    </row>
    <row r="988">
      <c r="A988" s="2" t="inlineStr">
        <is>
          <t>PED00987</t>
        </is>
      </c>
      <c r="B988" s="3" t="n">
        <v>45578</v>
      </c>
      <c r="C988" s="2" t="inlineStr">
        <is>
          <t>C0278</t>
        </is>
      </c>
      <c r="D988" s="2" t="inlineStr">
        <is>
          <t>L03</t>
        </is>
      </c>
      <c r="E988" s="2" t="inlineStr">
        <is>
          <t>Entregue</t>
        </is>
      </c>
      <c r="F988" s="2" t="inlineStr">
        <is>
          <t>Cartão de crédito</t>
        </is>
      </c>
      <c r="G988" s="19" t="n">
        <v>0</v>
      </c>
    </row>
    <row r="989">
      <c r="A989" s="2" t="inlineStr">
        <is>
          <t>PED00988</t>
        </is>
      </c>
      <c r="B989" s="3" t="n">
        <v>45918</v>
      </c>
      <c r="C989" s="2" t="inlineStr">
        <is>
          <t>C0151</t>
        </is>
      </c>
      <c r="D989" s="2" t="inlineStr">
        <is>
          <t>L03</t>
        </is>
      </c>
      <c r="E989" s="2" t="inlineStr">
        <is>
          <t>Entregue</t>
        </is>
      </c>
      <c r="F989" s="2" t="inlineStr">
        <is>
          <t>Cartão de crédito</t>
        </is>
      </c>
      <c r="G989" s="19" t="n">
        <v>0</v>
      </c>
    </row>
    <row r="990">
      <c r="A990" s="2" t="inlineStr">
        <is>
          <t>PED00989</t>
        </is>
      </c>
      <c r="B990" s="3" t="n">
        <v>45878</v>
      </c>
      <c r="C990" s="2" t="inlineStr">
        <is>
          <t>C0053</t>
        </is>
      </c>
      <c r="D990" s="2" t="inlineStr">
        <is>
          <t>L06</t>
        </is>
      </c>
      <c r="E990" s="2" t="inlineStr">
        <is>
          <t>Entregue</t>
        </is>
      </c>
      <c r="F990" s="2" t="inlineStr">
        <is>
          <t>Pix</t>
        </is>
      </c>
      <c r="G990" s="19" t="n">
        <v>0.05</v>
      </c>
    </row>
    <row r="991">
      <c r="A991" s="2" t="inlineStr">
        <is>
          <t>PED00990</t>
        </is>
      </c>
      <c r="B991" s="3" t="n">
        <v>45643</v>
      </c>
      <c r="C991" s="2" t="inlineStr">
        <is>
          <t>C0272</t>
        </is>
      </c>
      <c r="D991" s="2" t="inlineStr">
        <is>
          <t>L06</t>
        </is>
      </c>
      <c r="E991" s="2" t="inlineStr">
        <is>
          <t>Entregue</t>
        </is>
      </c>
      <c r="F991" s="2" t="inlineStr">
        <is>
          <t>Boleto</t>
        </is>
      </c>
      <c r="G991" s="19" t="n">
        <v>0.1</v>
      </c>
    </row>
    <row r="992">
      <c r="A992" s="2" t="inlineStr">
        <is>
          <t>PED00991</t>
        </is>
      </c>
      <c r="B992" s="3" t="n">
        <v>45953</v>
      </c>
      <c r="C992" s="2" t="inlineStr">
        <is>
          <t>C0251</t>
        </is>
      </c>
      <c r="D992" s="2" t="inlineStr">
        <is>
          <t>L05</t>
        </is>
      </c>
      <c r="E992" s="2" t="inlineStr">
        <is>
          <t>Em processamento</t>
        </is>
      </c>
      <c r="F992" s="2" t="inlineStr">
        <is>
          <t>Boleto</t>
        </is>
      </c>
      <c r="G992" s="19" t="n">
        <v>0.03</v>
      </c>
    </row>
    <row r="993">
      <c r="A993" s="2" t="inlineStr">
        <is>
          <t>PED00992</t>
        </is>
      </c>
      <c r="B993" s="3" t="n">
        <v>45586</v>
      </c>
      <c r="C993" s="2" t="inlineStr">
        <is>
          <t>C0134</t>
        </is>
      </c>
      <c r="D993" s="2" t="inlineStr">
        <is>
          <t>L04</t>
        </is>
      </c>
      <c r="E993" s="2" t="inlineStr">
        <is>
          <t>Entregue</t>
        </is>
      </c>
      <c r="F993" s="2" t="inlineStr">
        <is>
          <t>Pix</t>
        </is>
      </c>
      <c r="G993" s="19" t="n">
        <v>0.05</v>
      </c>
    </row>
    <row r="994">
      <c r="A994" s="2" t="inlineStr">
        <is>
          <t>PED00993</t>
        </is>
      </c>
      <c r="B994" s="3" t="n">
        <v>45664</v>
      </c>
      <c r="C994" s="2" t="inlineStr">
        <is>
          <t>C0108</t>
        </is>
      </c>
      <c r="D994" s="2" t="inlineStr">
        <is>
          <t>L07</t>
        </is>
      </c>
      <c r="E994" s="2" t="inlineStr">
        <is>
          <t>Entregue</t>
        </is>
      </c>
      <c r="F994" s="2" t="inlineStr">
        <is>
          <t>Cartão de crédito</t>
        </is>
      </c>
      <c r="G994" s="19" t="n">
        <v>0.03</v>
      </c>
    </row>
    <row r="995">
      <c r="A995" s="2" t="inlineStr">
        <is>
          <t>PED00994</t>
        </is>
      </c>
      <c r="B995" s="3" t="n">
        <v>45721</v>
      </c>
      <c r="C995" s="2" t="inlineStr">
        <is>
          <t>C0244</t>
        </is>
      </c>
      <c r="D995" s="2" t="inlineStr">
        <is>
          <t>L02</t>
        </is>
      </c>
      <c r="E995" s="2" t="inlineStr">
        <is>
          <t>Entregue</t>
        </is>
      </c>
      <c r="F995" s="2" t="inlineStr">
        <is>
          <t>Cartão de crédito</t>
        </is>
      </c>
      <c r="G995" s="19" t="n">
        <v>0.1</v>
      </c>
    </row>
    <row r="996">
      <c r="A996" s="2" t="inlineStr">
        <is>
          <t>PED00995</t>
        </is>
      </c>
      <c r="B996" s="3" t="n">
        <v>45950</v>
      </c>
      <c r="C996" s="2" t="inlineStr">
        <is>
          <t>C0056</t>
        </is>
      </c>
      <c r="D996" s="2" t="inlineStr">
        <is>
          <t>L05</t>
        </is>
      </c>
      <c r="E996" s="2" t="inlineStr">
        <is>
          <t>Em processamento</t>
        </is>
      </c>
      <c r="F996" s="2" t="inlineStr">
        <is>
          <t>Cartão de débito</t>
        </is>
      </c>
      <c r="G996" s="19" t="n">
        <v>0</v>
      </c>
    </row>
    <row r="997">
      <c r="A997" s="2" t="inlineStr">
        <is>
          <t>PED00996</t>
        </is>
      </c>
      <c r="B997" s="3" t="n">
        <v>45776</v>
      </c>
      <c r="C997" s="2" t="inlineStr">
        <is>
          <t>C0288</t>
        </is>
      </c>
      <c r="D997" s="2" t="inlineStr">
        <is>
          <t>L01</t>
        </is>
      </c>
      <c r="E997" s="2" t="inlineStr">
        <is>
          <t>Entregue</t>
        </is>
      </c>
      <c r="F997" s="2" t="inlineStr">
        <is>
          <t>Cartão de débito</t>
        </is>
      </c>
      <c r="G997" s="19" t="n">
        <v>0.05</v>
      </c>
    </row>
    <row r="998">
      <c r="A998" s="2" t="inlineStr">
        <is>
          <t>PED00997</t>
        </is>
      </c>
      <c r="B998" s="3" t="n">
        <v>45831</v>
      </c>
      <c r="C998" s="2" t="inlineStr">
        <is>
          <t>C0286</t>
        </is>
      </c>
      <c r="D998" s="2" t="inlineStr">
        <is>
          <t>L06</t>
        </is>
      </c>
      <c r="E998" s="2" t="inlineStr">
        <is>
          <t>Entregue</t>
        </is>
      </c>
      <c r="F998" s="2" t="inlineStr">
        <is>
          <t>Boleto</t>
        </is>
      </c>
      <c r="G998" s="19" t="n">
        <v>0.1</v>
      </c>
    </row>
    <row r="999">
      <c r="A999" s="2" t="inlineStr">
        <is>
          <t>PED00998</t>
        </is>
      </c>
      <c r="B999" s="3" t="n">
        <v>45578</v>
      </c>
      <c r="C999" s="2" t="inlineStr">
        <is>
          <t>C0153</t>
        </is>
      </c>
      <c r="D999" s="2" t="inlineStr">
        <is>
          <t>L03</t>
        </is>
      </c>
      <c r="E999" s="2" t="inlineStr">
        <is>
          <t>Entregue</t>
        </is>
      </c>
      <c r="F999" s="2" t="inlineStr">
        <is>
          <t>Cartão de débito</t>
        </is>
      </c>
      <c r="G999" s="19" t="n">
        <v>0.03</v>
      </c>
    </row>
    <row r="1000">
      <c r="A1000" s="2" t="inlineStr">
        <is>
          <t>PED00999</t>
        </is>
      </c>
      <c r="B1000" s="3" t="n">
        <v>45730</v>
      </c>
      <c r="C1000" s="2" t="inlineStr">
        <is>
          <t>C0171</t>
        </is>
      </c>
      <c r="D1000" s="2" t="inlineStr">
        <is>
          <t>L01</t>
        </is>
      </c>
      <c r="E1000" s="2" t="inlineStr">
        <is>
          <t>Entregue</t>
        </is>
      </c>
      <c r="F1000" s="2" t="inlineStr">
        <is>
          <t>Boleto</t>
        </is>
      </c>
      <c r="G1000" s="19" t="n">
        <v>0.1</v>
      </c>
    </row>
    <row r="1001">
      <c r="A1001" s="2" t="inlineStr">
        <is>
          <t>PED01000</t>
        </is>
      </c>
      <c r="B1001" s="3" t="n">
        <v>45954</v>
      </c>
      <c r="C1001" s="2" t="inlineStr">
        <is>
          <t>C0119</t>
        </is>
      </c>
      <c r="D1001" s="2" t="inlineStr">
        <is>
          <t>L02</t>
        </is>
      </c>
      <c r="E1001" s="2" t="inlineStr">
        <is>
          <t>Em processamento</t>
        </is>
      </c>
      <c r="F1001" s="2" t="inlineStr">
        <is>
          <t>Pix</t>
        </is>
      </c>
      <c r="G1001" s="19" t="n">
        <v>0.1</v>
      </c>
    </row>
    <row r="1002">
      <c r="A1002" s="2" t="inlineStr">
        <is>
          <t>PED01001</t>
        </is>
      </c>
      <c r="B1002" s="3" t="n">
        <v>45582</v>
      </c>
      <c r="C1002" s="2" t="inlineStr">
        <is>
          <t>C0156</t>
        </is>
      </c>
      <c r="D1002" s="2" t="inlineStr">
        <is>
          <t>L05</t>
        </is>
      </c>
      <c r="E1002" s="2" t="inlineStr">
        <is>
          <t>Cancelado</t>
        </is>
      </c>
      <c r="F1002" s="2" t="inlineStr">
        <is>
          <t>Cartão de crédito</t>
        </is>
      </c>
      <c r="G1002" s="19" t="n">
        <v>0</v>
      </c>
    </row>
    <row r="1003">
      <c r="A1003" s="2" t="inlineStr">
        <is>
          <t>PED01002</t>
        </is>
      </c>
      <c r="B1003" s="3" t="n">
        <v>45591</v>
      </c>
      <c r="C1003" s="2" t="inlineStr">
        <is>
          <t>C0330</t>
        </is>
      </c>
      <c r="D1003" s="2" t="inlineStr">
        <is>
          <t>L07</t>
        </is>
      </c>
      <c r="E1003" s="2" t="inlineStr">
        <is>
          <t>Entregue</t>
        </is>
      </c>
      <c r="F1003" s="2" t="inlineStr">
        <is>
          <t>Pix</t>
        </is>
      </c>
      <c r="G1003" s="19" t="n">
        <v>0</v>
      </c>
    </row>
    <row r="1004">
      <c r="A1004" s="2" t="inlineStr">
        <is>
          <t>PED01003</t>
        </is>
      </c>
      <c r="B1004" s="3" t="n">
        <v>45469</v>
      </c>
      <c r="C1004" s="2" t="inlineStr">
        <is>
          <t>C0279</t>
        </is>
      </c>
      <c r="D1004" s="2" t="inlineStr">
        <is>
          <t>L02</t>
        </is>
      </c>
      <c r="E1004" s="2" t="inlineStr">
        <is>
          <t>Entregue</t>
        </is>
      </c>
      <c r="F1004" s="2" t="inlineStr">
        <is>
          <t>Pix</t>
        </is>
      </c>
      <c r="G1004" s="19" t="n">
        <v>0</v>
      </c>
    </row>
    <row r="1005">
      <c r="A1005" s="2" t="inlineStr">
        <is>
          <t>PED01004</t>
        </is>
      </c>
      <c r="B1005" s="3" t="n">
        <v>45933</v>
      </c>
      <c r="C1005" s="2" t="inlineStr">
        <is>
          <t>C0157</t>
        </is>
      </c>
      <c r="D1005" s="2" t="inlineStr">
        <is>
          <t>L02</t>
        </is>
      </c>
      <c r="E1005" s="2" t="inlineStr">
        <is>
          <t>Entregue</t>
        </is>
      </c>
      <c r="F1005" s="2" t="inlineStr">
        <is>
          <t>Cartão de débito</t>
        </is>
      </c>
      <c r="G1005" s="19" t="n">
        <v>0.1</v>
      </c>
    </row>
    <row r="1006">
      <c r="A1006" s="2" t="inlineStr">
        <is>
          <t>PED01005</t>
        </is>
      </c>
      <c r="B1006" s="3" t="n">
        <v>45837</v>
      </c>
      <c r="C1006" s="2" t="inlineStr">
        <is>
          <t>C0085</t>
        </is>
      </c>
      <c r="D1006" s="2" t="inlineStr">
        <is>
          <t>L08</t>
        </is>
      </c>
      <c r="E1006" s="2" t="inlineStr">
        <is>
          <t>Entregue</t>
        </is>
      </c>
      <c r="F1006" s="2" t="inlineStr">
        <is>
          <t>Cartão de débito</t>
        </is>
      </c>
      <c r="G1006" s="19" t="n">
        <v>0.05</v>
      </c>
    </row>
    <row r="1007">
      <c r="A1007" s="2" t="inlineStr">
        <is>
          <t>PED01006</t>
        </is>
      </c>
      <c r="B1007" s="3" t="n">
        <v>45620</v>
      </c>
      <c r="C1007" s="2" t="inlineStr">
        <is>
          <t>C0134</t>
        </is>
      </c>
      <c r="D1007" s="2" t="inlineStr">
        <is>
          <t>L06</t>
        </is>
      </c>
      <c r="E1007" s="2" t="inlineStr">
        <is>
          <t>Entregue</t>
        </is>
      </c>
      <c r="F1007" s="2" t="inlineStr">
        <is>
          <t>Pix</t>
        </is>
      </c>
      <c r="G1007" s="19" t="n">
        <v>0</v>
      </c>
    </row>
    <row r="1008">
      <c r="A1008" s="2" t="inlineStr">
        <is>
          <t>PED01007</t>
        </is>
      </c>
      <c r="B1008" s="3" t="n">
        <v>45815</v>
      </c>
      <c r="C1008" s="2" t="inlineStr">
        <is>
          <t>C0343</t>
        </is>
      </c>
      <c r="D1008" s="2" t="inlineStr">
        <is>
          <t>L08</t>
        </is>
      </c>
      <c r="E1008" s="2" t="inlineStr">
        <is>
          <t>Entregue</t>
        </is>
      </c>
      <c r="F1008" s="2" t="inlineStr">
        <is>
          <t>Cartão de crédito</t>
        </is>
      </c>
      <c r="G1008" s="19" t="n">
        <v>0</v>
      </c>
    </row>
    <row r="1009">
      <c r="A1009" s="2" t="inlineStr">
        <is>
          <t>PED01008</t>
        </is>
      </c>
      <c r="B1009" s="3" t="n">
        <v>45742</v>
      </c>
      <c r="C1009" s="2" t="inlineStr">
        <is>
          <t>C0062</t>
        </is>
      </c>
      <c r="D1009" s="2" t="inlineStr">
        <is>
          <t>L08</t>
        </is>
      </c>
      <c r="E1009" s="2" t="inlineStr">
        <is>
          <t>Entregue</t>
        </is>
      </c>
      <c r="F1009" s="2" t="inlineStr">
        <is>
          <t>Cartão de crédito</t>
        </is>
      </c>
      <c r="G1009" s="19" t="n">
        <v>0</v>
      </c>
    </row>
    <row r="1010">
      <c r="A1010" s="2" t="inlineStr">
        <is>
          <t>PED01009</t>
        </is>
      </c>
      <c r="B1010" s="3" t="n">
        <v>45882</v>
      </c>
      <c r="C1010" s="2" t="inlineStr">
        <is>
          <t>C0291</t>
        </is>
      </c>
      <c r="D1010" s="2" t="inlineStr">
        <is>
          <t>L04</t>
        </is>
      </c>
      <c r="E1010" s="2" t="inlineStr">
        <is>
          <t>Entregue</t>
        </is>
      </c>
      <c r="F1010" s="2" t="inlineStr">
        <is>
          <t>Boleto</t>
        </is>
      </c>
      <c r="G1010" s="19" t="n">
        <v>0.15</v>
      </c>
    </row>
    <row r="1011">
      <c r="A1011" s="2" t="inlineStr">
        <is>
          <t>PED01010</t>
        </is>
      </c>
      <c r="B1011" s="3" t="n">
        <v>45542</v>
      </c>
      <c r="C1011" s="2" t="inlineStr">
        <is>
          <t>C0296</t>
        </is>
      </c>
      <c r="D1011" s="2" t="inlineStr">
        <is>
          <t>L04</t>
        </is>
      </c>
      <c r="E1011" s="2" t="inlineStr">
        <is>
          <t>Entregue</t>
        </is>
      </c>
      <c r="F1011" s="2" t="inlineStr">
        <is>
          <t>Boleto</t>
        </is>
      </c>
      <c r="G1011" s="19" t="n">
        <v>0</v>
      </c>
    </row>
    <row r="1012">
      <c r="A1012" s="2" t="inlineStr">
        <is>
          <t>PED01011</t>
        </is>
      </c>
      <c r="B1012" s="3" t="n">
        <v>45516</v>
      </c>
      <c r="C1012" s="2" t="inlineStr">
        <is>
          <t>C0083</t>
        </is>
      </c>
      <c r="D1012" s="2" t="inlineStr">
        <is>
          <t>L07</t>
        </is>
      </c>
      <c r="E1012" s="2" t="inlineStr">
        <is>
          <t>Entregue</t>
        </is>
      </c>
      <c r="F1012" s="2" t="inlineStr">
        <is>
          <t>Boleto</t>
        </is>
      </c>
      <c r="G1012" s="19" t="n">
        <v>0.05</v>
      </c>
    </row>
    <row r="1013">
      <c r="A1013" s="2" t="inlineStr">
        <is>
          <t>PED01012</t>
        </is>
      </c>
      <c r="B1013" s="3" t="n">
        <v>45888</v>
      </c>
      <c r="C1013" s="2" t="inlineStr">
        <is>
          <t>C0225</t>
        </is>
      </c>
      <c r="D1013" s="2" t="inlineStr">
        <is>
          <t>L01</t>
        </is>
      </c>
      <c r="E1013" s="2" t="inlineStr">
        <is>
          <t>Entregue</t>
        </is>
      </c>
      <c r="F1013" s="2" t="inlineStr">
        <is>
          <t>Pix</t>
        </is>
      </c>
      <c r="G1013" s="19" t="n">
        <v>0</v>
      </c>
    </row>
    <row r="1014">
      <c r="A1014" s="2" t="inlineStr">
        <is>
          <t>PED01013</t>
        </is>
      </c>
      <c r="B1014" s="3" t="n">
        <v>45831</v>
      </c>
      <c r="C1014" s="2" t="inlineStr">
        <is>
          <t>C0255</t>
        </is>
      </c>
      <c r="D1014" s="2" t="inlineStr">
        <is>
          <t>L02</t>
        </is>
      </c>
      <c r="E1014" s="2" t="inlineStr">
        <is>
          <t>Entregue</t>
        </is>
      </c>
      <c r="F1014" s="2" t="inlineStr">
        <is>
          <t>Cartão de débito</t>
        </is>
      </c>
      <c r="G1014" s="19" t="n">
        <v>0.1</v>
      </c>
    </row>
    <row r="1015">
      <c r="A1015" s="2" t="inlineStr">
        <is>
          <t>PED01014</t>
        </is>
      </c>
      <c r="B1015" s="3" t="n">
        <v>45983</v>
      </c>
      <c r="C1015" s="2" t="inlineStr">
        <is>
          <t>C0051</t>
        </is>
      </c>
      <c r="D1015" s="2" t="inlineStr">
        <is>
          <t>L03</t>
        </is>
      </c>
      <c r="E1015" s="2" t="inlineStr">
        <is>
          <t>Entregue</t>
        </is>
      </c>
      <c r="F1015" s="2" t="inlineStr">
        <is>
          <t>Cartão de crédito</t>
        </is>
      </c>
      <c r="G1015" s="19" t="n">
        <v>0.1</v>
      </c>
    </row>
    <row r="1016">
      <c r="A1016" s="2" t="inlineStr">
        <is>
          <t>PED01015</t>
        </is>
      </c>
      <c r="B1016" s="3" t="n">
        <v>45649</v>
      </c>
      <c r="C1016" s="2" t="inlineStr">
        <is>
          <t>C0108</t>
        </is>
      </c>
      <c r="D1016" s="2" t="inlineStr">
        <is>
          <t>L06</t>
        </is>
      </c>
      <c r="E1016" s="2" t="inlineStr">
        <is>
          <t>Entregue</t>
        </is>
      </c>
      <c r="F1016" s="2" t="inlineStr">
        <is>
          <t>Cartão de crédito</t>
        </is>
      </c>
      <c r="G1016" s="19" t="n">
        <v>0</v>
      </c>
    </row>
    <row r="1017">
      <c r="A1017" s="2" t="inlineStr">
        <is>
          <t>PED01016</t>
        </is>
      </c>
      <c r="B1017" s="3" t="n">
        <v>45952</v>
      </c>
      <c r="C1017" s="2" t="inlineStr">
        <is>
          <t>C0042</t>
        </is>
      </c>
      <c r="D1017" s="2" t="inlineStr">
        <is>
          <t>L06</t>
        </is>
      </c>
      <c r="E1017" s="2" t="inlineStr">
        <is>
          <t>Entregue</t>
        </is>
      </c>
      <c r="F1017" s="2" t="inlineStr">
        <is>
          <t>Pix</t>
        </is>
      </c>
      <c r="G1017" s="19" t="n">
        <v>0.1</v>
      </c>
    </row>
    <row r="1018">
      <c r="A1018" s="2" t="inlineStr">
        <is>
          <t>PED01017</t>
        </is>
      </c>
      <c r="B1018" s="3" t="n">
        <v>45387</v>
      </c>
      <c r="C1018" s="2" t="inlineStr">
        <is>
          <t>C0012</t>
        </is>
      </c>
      <c r="D1018" s="2" t="inlineStr">
        <is>
          <t>L03</t>
        </is>
      </c>
      <c r="E1018" s="2" t="inlineStr">
        <is>
          <t>Entregue</t>
        </is>
      </c>
      <c r="F1018" s="2" t="inlineStr">
        <is>
          <t>Pix</t>
        </is>
      </c>
      <c r="G1018" s="19" t="n">
        <v>0.1</v>
      </c>
    </row>
    <row r="1019">
      <c r="A1019" s="2" t="inlineStr">
        <is>
          <t>PED01018</t>
        </is>
      </c>
      <c r="B1019" s="3" t="n">
        <v>45899</v>
      </c>
      <c r="C1019" s="2" t="inlineStr">
        <is>
          <t>C0256</t>
        </is>
      </c>
      <c r="D1019" s="2" t="inlineStr">
        <is>
          <t>L02</t>
        </is>
      </c>
      <c r="E1019" s="2" t="inlineStr">
        <is>
          <t>Entregue</t>
        </is>
      </c>
      <c r="F1019" s="2" t="inlineStr">
        <is>
          <t>Pix</t>
        </is>
      </c>
      <c r="G1019" s="19" t="n">
        <v>0</v>
      </c>
    </row>
    <row r="1020">
      <c r="A1020" s="2" t="inlineStr">
        <is>
          <t>PED01019</t>
        </is>
      </c>
      <c r="B1020" s="3" t="n">
        <v>45434</v>
      </c>
      <c r="C1020" s="2" t="inlineStr">
        <is>
          <t>C0028</t>
        </is>
      </c>
      <c r="D1020" s="2" t="inlineStr">
        <is>
          <t>L02</t>
        </is>
      </c>
      <c r="E1020" s="2" t="inlineStr">
        <is>
          <t>Entregue</t>
        </is>
      </c>
      <c r="F1020" s="2" t="inlineStr">
        <is>
          <t>Cartão de débito</t>
        </is>
      </c>
      <c r="G1020" s="19" t="n">
        <v>0</v>
      </c>
    </row>
    <row r="1021">
      <c r="A1021" s="2" t="inlineStr">
        <is>
          <t>PED01020</t>
        </is>
      </c>
      <c r="B1021" s="3" t="n">
        <v>45334</v>
      </c>
      <c r="C1021" s="2" t="inlineStr">
        <is>
          <t>C0062</t>
        </is>
      </c>
      <c r="D1021" s="2" t="inlineStr">
        <is>
          <t>L01</t>
        </is>
      </c>
      <c r="E1021" s="2" t="inlineStr">
        <is>
          <t>Entregue</t>
        </is>
      </c>
      <c r="F1021" s="2" t="inlineStr">
        <is>
          <t>Cartão de débito</t>
        </is>
      </c>
      <c r="G1021" s="19" t="n">
        <v>0.05</v>
      </c>
    </row>
    <row r="1022">
      <c r="A1022" s="2" t="inlineStr">
        <is>
          <t>PED01021</t>
        </is>
      </c>
      <c r="B1022" s="3" t="n">
        <v>45600</v>
      </c>
      <c r="C1022" s="2" t="inlineStr">
        <is>
          <t>C0267</t>
        </is>
      </c>
      <c r="D1022" s="2" t="inlineStr">
        <is>
          <t>L02</t>
        </is>
      </c>
      <c r="E1022" s="2" t="inlineStr">
        <is>
          <t>Entregue</t>
        </is>
      </c>
      <c r="F1022" s="2" t="inlineStr">
        <is>
          <t>Cartão de débito</t>
        </is>
      </c>
      <c r="G1022" s="19" t="n">
        <v>0</v>
      </c>
    </row>
    <row r="1023">
      <c r="A1023" s="2" t="inlineStr">
        <is>
          <t>PED01022</t>
        </is>
      </c>
      <c r="B1023" s="3" t="n">
        <v>45932</v>
      </c>
      <c r="C1023" s="2" t="inlineStr">
        <is>
          <t>C0269</t>
        </is>
      </c>
      <c r="D1023" s="2" t="inlineStr">
        <is>
          <t>L03</t>
        </is>
      </c>
      <c r="E1023" s="2" t="inlineStr">
        <is>
          <t>Em processamento</t>
        </is>
      </c>
      <c r="F1023" s="2" t="inlineStr">
        <is>
          <t>Boleto</t>
        </is>
      </c>
      <c r="G1023" s="19" t="n">
        <v>0.05</v>
      </c>
    </row>
    <row r="1024">
      <c r="A1024" s="2" t="inlineStr">
        <is>
          <t>PED01023</t>
        </is>
      </c>
      <c r="B1024" s="3" t="n">
        <v>45490</v>
      </c>
      <c r="C1024" s="2" t="inlineStr">
        <is>
          <t>C0188</t>
        </is>
      </c>
      <c r="D1024" s="2" t="inlineStr">
        <is>
          <t>L06</t>
        </is>
      </c>
      <c r="E1024" s="2" t="inlineStr">
        <is>
          <t>Entregue</t>
        </is>
      </c>
      <c r="F1024" s="2" t="inlineStr">
        <is>
          <t>Cartão de débito</t>
        </is>
      </c>
      <c r="G1024" s="19" t="n">
        <v>0</v>
      </c>
    </row>
    <row r="1025">
      <c r="A1025" s="2" t="inlineStr">
        <is>
          <t>PED01024</t>
        </is>
      </c>
      <c r="B1025" s="3" t="n">
        <v>45413</v>
      </c>
      <c r="C1025" s="2" t="inlineStr">
        <is>
          <t>C0073</t>
        </is>
      </c>
      <c r="D1025" s="2" t="inlineStr">
        <is>
          <t>L05</t>
        </is>
      </c>
      <c r="E1025" s="2" t="inlineStr">
        <is>
          <t>Entregue</t>
        </is>
      </c>
      <c r="F1025" s="2" t="inlineStr">
        <is>
          <t>Boleto</t>
        </is>
      </c>
      <c r="G1025" s="19" t="n">
        <v>0.03</v>
      </c>
    </row>
    <row r="1026">
      <c r="A1026" s="2" t="inlineStr">
        <is>
          <t>PED01025</t>
        </is>
      </c>
      <c r="B1026" s="3" t="n">
        <v>45368</v>
      </c>
      <c r="C1026" s="2" t="inlineStr">
        <is>
          <t>C0080</t>
        </is>
      </c>
      <c r="D1026" s="2" t="inlineStr">
        <is>
          <t>L01</t>
        </is>
      </c>
      <c r="E1026" s="2" t="inlineStr">
        <is>
          <t>Entregue</t>
        </is>
      </c>
      <c r="F1026" s="2" t="inlineStr">
        <is>
          <t>Cartão de crédito</t>
        </is>
      </c>
      <c r="G1026" s="19" t="n">
        <v>0</v>
      </c>
    </row>
    <row r="1027">
      <c r="A1027" s="2" t="inlineStr">
        <is>
          <t>PED01026</t>
        </is>
      </c>
      <c r="B1027" s="3" t="n">
        <v>45576</v>
      </c>
      <c r="C1027" s="2" t="inlineStr">
        <is>
          <t>C0031</t>
        </is>
      </c>
      <c r="D1027" s="2" t="inlineStr">
        <is>
          <t>L03</t>
        </is>
      </c>
      <c r="E1027" s="2" t="inlineStr">
        <is>
          <t>Entregue</t>
        </is>
      </c>
      <c r="F1027" s="2" t="inlineStr">
        <is>
          <t>Pix</t>
        </is>
      </c>
      <c r="G1027" s="19" t="n">
        <v>0.05</v>
      </c>
    </row>
    <row r="1028">
      <c r="A1028" s="2" t="inlineStr">
        <is>
          <t>PED01027</t>
        </is>
      </c>
      <c r="B1028" s="3" t="n">
        <v>45299</v>
      </c>
      <c r="C1028" s="2" t="inlineStr">
        <is>
          <t>C0114</t>
        </is>
      </c>
      <c r="D1028" s="2" t="inlineStr">
        <is>
          <t>L05</t>
        </is>
      </c>
      <c r="E1028" s="2" t="inlineStr">
        <is>
          <t>Entregue</t>
        </is>
      </c>
      <c r="F1028" s="2" t="inlineStr">
        <is>
          <t>Pix</t>
        </is>
      </c>
      <c r="G1028" s="19" t="n">
        <v>0</v>
      </c>
    </row>
    <row r="1029">
      <c r="A1029" s="2" t="inlineStr">
        <is>
          <t>PED01028</t>
        </is>
      </c>
      <c r="B1029" s="3" t="n">
        <v>45607</v>
      </c>
      <c r="C1029" s="2" t="inlineStr">
        <is>
          <t>C0319</t>
        </is>
      </c>
      <c r="D1029" s="2" t="inlineStr">
        <is>
          <t>L02</t>
        </is>
      </c>
      <c r="E1029" s="2" t="inlineStr">
        <is>
          <t>Entregue</t>
        </is>
      </c>
      <c r="F1029" s="2" t="inlineStr">
        <is>
          <t>Cartão de crédito</t>
        </is>
      </c>
      <c r="G1029" s="19" t="n">
        <v>0.1</v>
      </c>
    </row>
    <row r="1030">
      <c r="A1030" s="2" t="inlineStr">
        <is>
          <t>PED01029</t>
        </is>
      </c>
      <c r="B1030" s="3" t="n">
        <v>45432</v>
      </c>
      <c r="C1030" s="2" t="inlineStr">
        <is>
          <t>C0129</t>
        </is>
      </c>
      <c r="D1030" s="2" t="inlineStr">
        <is>
          <t>L08</t>
        </is>
      </c>
      <c r="E1030" s="2" t="inlineStr">
        <is>
          <t>Entregue</t>
        </is>
      </c>
      <c r="F1030" s="2" t="inlineStr">
        <is>
          <t>Pix</t>
        </is>
      </c>
      <c r="G1030" s="19" t="n">
        <v>0.03</v>
      </c>
    </row>
    <row r="1031">
      <c r="A1031" s="2" t="inlineStr">
        <is>
          <t>PED01030</t>
        </is>
      </c>
      <c r="B1031" s="3" t="n">
        <v>45574</v>
      </c>
      <c r="C1031" s="2" t="inlineStr">
        <is>
          <t>C0047</t>
        </is>
      </c>
      <c r="D1031" s="2" t="inlineStr">
        <is>
          <t>L08</t>
        </is>
      </c>
      <c r="E1031" s="2" t="inlineStr">
        <is>
          <t>Entregue</t>
        </is>
      </c>
      <c r="F1031" s="2" t="inlineStr">
        <is>
          <t>Cartão de crédito</t>
        </is>
      </c>
      <c r="G1031" s="19" t="n">
        <v>0.03</v>
      </c>
    </row>
    <row r="1032">
      <c r="A1032" s="2" t="inlineStr">
        <is>
          <t>PED01031</t>
        </is>
      </c>
      <c r="B1032" s="3" t="n">
        <v>45642</v>
      </c>
      <c r="C1032" s="2" t="inlineStr">
        <is>
          <t>C0032</t>
        </is>
      </c>
      <c r="D1032" s="2" t="inlineStr">
        <is>
          <t>L08</t>
        </is>
      </c>
      <c r="E1032" s="2" t="inlineStr">
        <is>
          <t>Entregue</t>
        </is>
      </c>
      <c r="F1032" s="2" t="inlineStr">
        <is>
          <t>Cartão de crédito</t>
        </is>
      </c>
      <c r="G1032" s="19" t="n">
        <v>0</v>
      </c>
    </row>
    <row r="1033">
      <c r="A1033" s="2" t="inlineStr">
        <is>
          <t>PED01032</t>
        </is>
      </c>
      <c r="B1033" s="3" t="n">
        <v>45373</v>
      </c>
      <c r="C1033" s="2" t="inlineStr">
        <is>
          <t>C0025</t>
        </is>
      </c>
      <c r="D1033" s="2" t="inlineStr">
        <is>
          <t>L05</t>
        </is>
      </c>
      <c r="E1033" s="2" t="inlineStr">
        <is>
          <t>Entregue</t>
        </is>
      </c>
      <c r="F1033" s="2" t="inlineStr">
        <is>
          <t>Cartão de crédito</t>
        </is>
      </c>
      <c r="G1033" s="19" t="n">
        <v>0</v>
      </c>
    </row>
    <row r="1034">
      <c r="A1034" s="2" t="inlineStr">
        <is>
          <t>PED01033</t>
        </is>
      </c>
      <c r="B1034" s="3" t="n">
        <v>45649</v>
      </c>
      <c r="C1034" s="2" t="inlineStr">
        <is>
          <t>C0273</t>
        </is>
      </c>
      <c r="D1034" s="2" t="inlineStr">
        <is>
          <t>L06</t>
        </is>
      </c>
      <c r="E1034" s="2" t="inlineStr">
        <is>
          <t>Entregue</t>
        </is>
      </c>
      <c r="F1034" s="2" t="inlineStr">
        <is>
          <t>Cartão de débito</t>
        </is>
      </c>
      <c r="G1034" s="19" t="n">
        <v>0.05</v>
      </c>
    </row>
    <row r="1035">
      <c r="A1035" s="2" t="inlineStr">
        <is>
          <t>PED01034</t>
        </is>
      </c>
      <c r="B1035" s="3" t="n">
        <v>45497</v>
      </c>
      <c r="C1035" s="2" t="inlineStr">
        <is>
          <t>C0311</t>
        </is>
      </c>
      <c r="D1035" s="2" t="inlineStr">
        <is>
          <t>L07</t>
        </is>
      </c>
      <c r="E1035" s="2" t="inlineStr">
        <is>
          <t>Entregue</t>
        </is>
      </c>
      <c r="F1035" s="2" t="inlineStr">
        <is>
          <t>Cartão de débito</t>
        </is>
      </c>
      <c r="G1035" s="19" t="n">
        <v>0.1</v>
      </c>
    </row>
    <row r="1036">
      <c r="A1036" s="2" t="inlineStr">
        <is>
          <t>PED01035</t>
        </is>
      </c>
      <c r="B1036" s="3" t="n">
        <v>45716</v>
      </c>
      <c r="C1036" s="2" t="inlineStr">
        <is>
          <t>C0218</t>
        </is>
      </c>
      <c r="D1036" s="2" t="inlineStr">
        <is>
          <t>L02</t>
        </is>
      </c>
      <c r="E1036" s="2" t="inlineStr">
        <is>
          <t>Entregue</t>
        </is>
      </c>
      <c r="F1036" s="2" t="inlineStr">
        <is>
          <t>Cartão de crédito</t>
        </is>
      </c>
      <c r="G1036" s="19" t="n">
        <v>0.05</v>
      </c>
    </row>
    <row r="1037">
      <c r="A1037" s="2" t="inlineStr">
        <is>
          <t>PED01036</t>
        </is>
      </c>
      <c r="B1037" s="3" t="n">
        <v>45891</v>
      </c>
      <c r="C1037" s="2" t="inlineStr">
        <is>
          <t>C0121</t>
        </is>
      </c>
      <c r="D1037" s="2" t="inlineStr">
        <is>
          <t>L02</t>
        </is>
      </c>
      <c r="E1037" s="2" t="inlineStr">
        <is>
          <t>Cancelado</t>
        </is>
      </c>
      <c r="F1037" s="2" t="inlineStr">
        <is>
          <t>Cartão de crédito</t>
        </is>
      </c>
      <c r="G1037" s="19" t="n">
        <v>0.05</v>
      </c>
    </row>
    <row r="1038">
      <c r="A1038" s="2" t="inlineStr">
        <is>
          <t>PED01037</t>
        </is>
      </c>
      <c r="B1038" s="3" t="n">
        <v>45805</v>
      </c>
      <c r="C1038" s="2" t="inlineStr">
        <is>
          <t>C0020</t>
        </is>
      </c>
      <c r="D1038" s="2" t="inlineStr">
        <is>
          <t>L05</t>
        </is>
      </c>
      <c r="E1038" s="2" t="inlineStr">
        <is>
          <t>Entregue</t>
        </is>
      </c>
      <c r="F1038" s="2" t="inlineStr">
        <is>
          <t>Cartão de crédito</t>
        </is>
      </c>
      <c r="G1038" s="19" t="n">
        <v>0.03</v>
      </c>
    </row>
    <row r="1039">
      <c r="A1039" s="2" t="inlineStr">
        <is>
          <t>PED01038</t>
        </is>
      </c>
      <c r="B1039" s="3" t="n">
        <v>45683</v>
      </c>
      <c r="C1039" s="2" t="inlineStr">
        <is>
          <t>C0051</t>
        </is>
      </c>
      <c r="D1039" s="2" t="inlineStr">
        <is>
          <t>L03</t>
        </is>
      </c>
      <c r="E1039" s="2" t="inlineStr">
        <is>
          <t>Entregue</t>
        </is>
      </c>
      <c r="F1039" s="2" t="inlineStr">
        <is>
          <t>Pix</t>
        </is>
      </c>
      <c r="G1039" s="19" t="n">
        <v>0</v>
      </c>
    </row>
    <row r="1040">
      <c r="A1040" s="2" t="inlineStr">
        <is>
          <t>PED01039</t>
        </is>
      </c>
      <c r="B1040" s="3" t="n">
        <v>45997</v>
      </c>
      <c r="C1040" s="2" t="inlineStr">
        <is>
          <t>C0264</t>
        </is>
      </c>
      <c r="D1040" s="2" t="inlineStr">
        <is>
          <t>L05</t>
        </is>
      </c>
      <c r="E1040" s="2" t="inlineStr">
        <is>
          <t>Entregue</t>
        </is>
      </c>
      <c r="F1040" s="2" t="inlineStr">
        <is>
          <t>Boleto</t>
        </is>
      </c>
      <c r="G1040" s="19" t="n">
        <v>0.15</v>
      </c>
    </row>
    <row r="1041">
      <c r="A1041" s="2" t="inlineStr">
        <is>
          <t>PED01040</t>
        </is>
      </c>
      <c r="B1041" s="3" t="n">
        <v>45968</v>
      </c>
      <c r="C1041" s="2" t="inlineStr">
        <is>
          <t>C0072</t>
        </is>
      </c>
      <c r="D1041" s="2" t="inlineStr">
        <is>
          <t>L01</t>
        </is>
      </c>
      <c r="E1041" s="2" t="inlineStr">
        <is>
          <t>Entregue</t>
        </is>
      </c>
      <c r="F1041" s="2" t="inlineStr">
        <is>
          <t>Pix</t>
        </is>
      </c>
      <c r="G1041" s="19" t="n">
        <v>0.03</v>
      </c>
    </row>
    <row r="1042">
      <c r="A1042" s="2" t="inlineStr">
        <is>
          <t>PED01041</t>
        </is>
      </c>
      <c r="B1042" s="3" t="n">
        <v>45850</v>
      </c>
      <c r="C1042" s="2" t="inlineStr">
        <is>
          <t>C0043</t>
        </is>
      </c>
      <c r="D1042" s="2" t="inlineStr">
        <is>
          <t>L04</t>
        </is>
      </c>
      <c r="E1042" s="2" t="inlineStr">
        <is>
          <t>Entregue</t>
        </is>
      </c>
      <c r="F1042" s="2" t="inlineStr">
        <is>
          <t>Cartão de débito</t>
        </is>
      </c>
      <c r="G1042" s="19" t="n">
        <v>0.05</v>
      </c>
    </row>
    <row r="1043">
      <c r="A1043" s="2" t="inlineStr">
        <is>
          <t>PED01042</t>
        </is>
      </c>
      <c r="B1043" s="3" t="n">
        <v>45314</v>
      </c>
      <c r="C1043" s="2" t="inlineStr">
        <is>
          <t>C0276</t>
        </is>
      </c>
      <c r="D1043" s="2" t="inlineStr">
        <is>
          <t>L05</t>
        </is>
      </c>
      <c r="E1043" s="2" t="inlineStr">
        <is>
          <t>Em processamento</t>
        </is>
      </c>
      <c r="F1043" s="2" t="inlineStr">
        <is>
          <t>Cartão de crédito</t>
        </is>
      </c>
      <c r="G1043" s="19" t="n">
        <v>0.1</v>
      </c>
    </row>
    <row r="1044">
      <c r="A1044" s="2" t="inlineStr">
        <is>
          <t>PED01043</t>
        </is>
      </c>
      <c r="B1044" s="3" t="n">
        <v>45742</v>
      </c>
      <c r="C1044" s="2" t="inlineStr">
        <is>
          <t>C0260</t>
        </is>
      </c>
      <c r="D1044" s="2" t="inlineStr">
        <is>
          <t>L06</t>
        </is>
      </c>
      <c r="E1044" s="2" t="inlineStr">
        <is>
          <t>Entregue</t>
        </is>
      </c>
      <c r="F1044" s="2" t="inlineStr">
        <is>
          <t>Pix</t>
        </is>
      </c>
      <c r="G1044" s="19" t="n">
        <v>0</v>
      </c>
    </row>
    <row r="1045">
      <c r="A1045" s="2" t="inlineStr">
        <is>
          <t>PED01044</t>
        </is>
      </c>
      <c r="B1045" s="3" t="n">
        <v>45385</v>
      </c>
      <c r="C1045" s="2" t="inlineStr">
        <is>
          <t>C0332</t>
        </is>
      </c>
      <c r="D1045" s="2" t="inlineStr">
        <is>
          <t>L02</t>
        </is>
      </c>
      <c r="E1045" s="2" t="inlineStr">
        <is>
          <t>Em processamento</t>
        </is>
      </c>
      <c r="F1045" s="2" t="inlineStr">
        <is>
          <t>Cartão de crédito</t>
        </is>
      </c>
      <c r="G1045" s="19" t="n">
        <v>0.03</v>
      </c>
    </row>
    <row r="1046">
      <c r="A1046" s="2" t="inlineStr">
        <is>
          <t>PED01045</t>
        </is>
      </c>
      <c r="B1046" s="3" t="n">
        <v>45336</v>
      </c>
      <c r="C1046" s="2" t="inlineStr">
        <is>
          <t>C0302</t>
        </is>
      </c>
      <c r="D1046" s="2" t="inlineStr">
        <is>
          <t>L06</t>
        </is>
      </c>
      <c r="E1046" s="2" t="inlineStr">
        <is>
          <t>Entregue</t>
        </is>
      </c>
      <c r="F1046" s="2" t="inlineStr">
        <is>
          <t>Pix</t>
        </is>
      </c>
      <c r="G1046" s="19" t="n">
        <v>0.1</v>
      </c>
    </row>
    <row r="1047">
      <c r="A1047" s="2" t="inlineStr">
        <is>
          <t>PED01046</t>
        </is>
      </c>
      <c r="B1047" s="3" t="n">
        <v>45798</v>
      </c>
      <c r="C1047" s="2" t="inlineStr">
        <is>
          <t>C0283</t>
        </is>
      </c>
      <c r="D1047" s="2" t="inlineStr">
        <is>
          <t>L04</t>
        </is>
      </c>
      <c r="E1047" s="2" t="inlineStr">
        <is>
          <t>Entregue</t>
        </is>
      </c>
      <c r="F1047" s="2" t="inlineStr">
        <is>
          <t>Pix</t>
        </is>
      </c>
      <c r="G1047" s="19" t="n">
        <v>0.1</v>
      </c>
    </row>
    <row r="1048">
      <c r="A1048" s="2" t="inlineStr">
        <is>
          <t>PED01047</t>
        </is>
      </c>
      <c r="B1048" s="3" t="n">
        <v>45699</v>
      </c>
      <c r="C1048" s="2" t="inlineStr">
        <is>
          <t>C0094</t>
        </is>
      </c>
      <c r="D1048" s="2" t="inlineStr">
        <is>
          <t>L05</t>
        </is>
      </c>
      <c r="E1048" s="2" t="inlineStr">
        <is>
          <t>Entregue</t>
        </is>
      </c>
      <c r="F1048" s="2" t="inlineStr">
        <is>
          <t>Boleto</t>
        </is>
      </c>
      <c r="G1048" s="19" t="n">
        <v>0.1</v>
      </c>
    </row>
    <row r="1049">
      <c r="A1049" s="2" t="inlineStr">
        <is>
          <t>PED01048</t>
        </is>
      </c>
      <c r="B1049" s="3" t="n">
        <v>45447</v>
      </c>
      <c r="C1049" s="2" t="inlineStr">
        <is>
          <t>C0034</t>
        </is>
      </c>
      <c r="D1049" s="2" t="inlineStr">
        <is>
          <t>L08</t>
        </is>
      </c>
      <c r="E1049" s="2" t="inlineStr">
        <is>
          <t>Entregue</t>
        </is>
      </c>
      <c r="F1049" s="2" t="inlineStr">
        <is>
          <t>Cartão de crédito</t>
        </is>
      </c>
      <c r="G1049" s="19" t="n">
        <v>0</v>
      </c>
    </row>
    <row r="1050">
      <c r="A1050" s="2" t="inlineStr">
        <is>
          <t>PED01049</t>
        </is>
      </c>
      <c r="B1050" s="3" t="n">
        <v>45937</v>
      </c>
      <c r="C1050" s="2" t="inlineStr">
        <is>
          <t>C0209</t>
        </is>
      </c>
      <c r="D1050" s="2" t="inlineStr">
        <is>
          <t>L05</t>
        </is>
      </c>
      <c r="E1050" s="2" t="inlineStr">
        <is>
          <t>Entregue</t>
        </is>
      </c>
      <c r="F1050" s="2" t="inlineStr">
        <is>
          <t>Pix</t>
        </is>
      </c>
      <c r="G1050" s="19" t="n">
        <v>0.03</v>
      </c>
    </row>
    <row r="1051">
      <c r="A1051" s="2" t="inlineStr">
        <is>
          <t>PED01050</t>
        </is>
      </c>
      <c r="B1051" s="3" t="n">
        <v>45696</v>
      </c>
      <c r="C1051" s="2" t="inlineStr">
        <is>
          <t>C0246</t>
        </is>
      </c>
      <c r="D1051" s="2" t="inlineStr">
        <is>
          <t>L03</t>
        </is>
      </c>
      <c r="E1051" s="2" t="inlineStr">
        <is>
          <t>Devolvido</t>
        </is>
      </c>
      <c r="F1051" s="2" t="inlineStr">
        <is>
          <t>Cartão de débito</t>
        </is>
      </c>
      <c r="G1051" s="19" t="n">
        <v>0.03</v>
      </c>
    </row>
    <row r="1052">
      <c r="A1052" s="2" t="inlineStr">
        <is>
          <t>PED01051</t>
        </is>
      </c>
      <c r="B1052" s="3" t="n">
        <v>45546</v>
      </c>
      <c r="C1052" s="2" t="inlineStr">
        <is>
          <t>C0184</t>
        </is>
      </c>
      <c r="D1052" s="2" t="inlineStr">
        <is>
          <t>L03</t>
        </is>
      </c>
      <c r="E1052" s="2" t="inlineStr">
        <is>
          <t>Devolvido</t>
        </is>
      </c>
      <c r="F1052" s="2" t="inlineStr">
        <is>
          <t>Boleto</t>
        </is>
      </c>
      <c r="G1052" s="19" t="n">
        <v>0.05</v>
      </c>
    </row>
    <row r="1053">
      <c r="A1053" s="2" t="inlineStr">
        <is>
          <t>PED01052</t>
        </is>
      </c>
      <c r="B1053" s="3" t="n">
        <v>45292</v>
      </c>
      <c r="C1053" s="2" t="inlineStr">
        <is>
          <t>C0175</t>
        </is>
      </c>
      <c r="D1053" s="2" t="inlineStr">
        <is>
          <t>L03</t>
        </is>
      </c>
      <c r="E1053" s="2" t="inlineStr">
        <is>
          <t>Devolvido</t>
        </is>
      </c>
      <c r="F1053" s="2" t="inlineStr">
        <is>
          <t>Pix</t>
        </is>
      </c>
      <c r="G1053" s="19" t="n">
        <v>0</v>
      </c>
    </row>
    <row r="1054">
      <c r="A1054" s="2" t="inlineStr">
        <is>
          <t>PED01053</t>
        </is>
      </c>
      <c r="B1054" s="3" t="n">
        <v>45799</v>
      </c>
      <c r="C1054" s="2" t="inlineStr">
        <is>
          <t>C0075</t>
        </is>
      </c>
      <c r="D1054" s="2" t="inlineStr">
        <is>
          <t>L05</t>
        </is>
      </c>
      <c r="E1054" s="2" t="inlineStr">
        <is>
          <t>Entregue</t>
        </is>
      </c>
      <c r="F1054" s="2" t="inlineStr">
        <is>
          <t>Pix</t>
        </is>
      </c>
      <c r="G1054" s="19" t="n">
        <v>0</v>
      </c>
    </row>
    <row r="1055">
      <c r="A1055" s="2" t="inlineStr">
        <is>
          <t>PED01054</t>
        </is>
      </c>
      <c r="B1055" s="3" t="n">
        <v>45872</v>
      </c>
      <c r="C1055" s="2" t="inlineStr">
        <is>
          <t>C0214</t>
        </is>
      </c>
      <c r="D1055" s="2" t="inlineStr">
        <is>
          <t>L07</t>
        </is>
      </c>
      <c r="E1055" s="2" t="inlineStr">
        <is>
          <t>Cancelado</t>
        </is>
      </c>
      <c r="F1055" s="2" t="inlineStr">
        <is>
          <t>Cartão de crédito</t>
        </is>
      </c>
      <c r="G1055" s="19" t="n">
        <v>0.05</v>
      </c>
    </row>
    <row r="1056">
      <c r="A1056" s="2" t="inlineStr">
        <is>
          <t>PED01055</t>
        </is>
      </c>
      <c r="B1056" s="3" t="n">
        <v>45856</v>
      </c>
      <c r="C1056" s="2" t="inlineStr">
        <is>
          <t>C0075</t>
        </is>
      </c>
      <c r="D1056" s="2" t="inlineStr">
        <is>
          <t>L02</t>
        </is>
      </c>
      <c r="E1056" s="2" t="inlineStr">
        <is>
          <t>Entregue</t>
        </is>
      </c>
      <c r="F1056" s="2" t="inlineStr">
        <is>
          <t>Cartão de crédito</t>
        </is>
      </c>
      <c r="G1056" s="19" t="n">
        <v>0</v>
      </c>
    </row>
    <row r="1057">
      <c r="A1057" s="2" t="inlineStr">
        <is>
          <t>PED01056</t>
        </is>
      </c>
      <c r="B1057" s="3" t="n">
        <v>45887</v>
      </c>
      <c r="C1057" s="2" t="inlineStr">
        <is>
          <t>C0203</t>
        </is>
      </c>
      <c r="D1057" s="2" t="inlineStr">
        <is>
          <t>L08</t>
        </is>
      </c>
      <c r="E1057" s="2" t="inlineStr">
        <is>
          <t>Entregue</t>
        </is>
      </c>
      <c r="F1057" s="2" t="inlineStr">
        <is>
          <t>Cartão de crédito</t>
        </is>
      </c>
      <c r="G1057" s="19" t="n">
        <v>0.03</v>
      </c>
    </row>
    <row r="1058">
      <c r="A1058" s="2" t="inlineStr">
        <is>
          <t>PED01057</t>
        </is>
      </c>
      <c r="B1058" s="3" t="n">
        <v>45905</v>
      </c>
      <c r="C1058" s="2" t="inlineStr">
        <is>
          <t>C0348</t>
        </is>
      </c>
      <c r="D1058" s="2" t="inlineStr">
        <is>
          <t>L03</t>
        </is>
      </c>
      <c r="E1058" s="2" t="inlineStr">
        <is>
          <t>Entregue</t>
        </is>
      </c>
      <c r="F1058" s="2" t="inlineStr">
        <is>
          <t>Cartão de débito</t>
        </is>
      </c>
      <c r="G1058" s="19" t="n">
        <v>0.03</v>
      </c>
    </row>
    <row r="1059">
      <c r="A1059" s="2" t="inlineStr">
        <is>
          <t>PED01058</t>
        </is>
      </c>
      <c r="B1059" s="3" t="n">
        <v>45355</v>
      </c>
      <c r="C1059" s="2" t="inlineStr">
        <is>
          <t>C0117</t>
        </is>
      </c>
      <c r="D1059" s="2" t="inlineStr">
        <is>
          <t>L07</t>
        </is>
      </c>
      <c r="E1059" s="2" t="inlineStr">
        <is>
          <t>Entregue</t>
        </is>
      </c>
      <c r="F1059" s="2" t="inlineStr">
        <is>
          <t>Pix</t>
        </is>
      </c>
      <c r="G1059" s="19" t="n">
        <v>0</v>
      </c>
    </row>
    <row r="1060">
      <c r="A1060" s="2" t="inlineStr">
        <is>
          <t>PED01059</t>
        </is>
      </c>
      <c r="B1060" s="3" t="n">
        <v>45963</v>
      </c>
      <c r="C1060" s="2" t="inlineStr">
        <is>
          <t>C0334</t>
        </is>
      </c>
      <c r="D1060" s="2" t="inlineStr">
        <is>
          <t>L05</t>
        </is>
      </c>
      <c r="E1060" s="2" t="inlineStr">
        <is>
          <t>Entregue</t>
        </is>
      </c>
      <c r="F1060" s="2" t="inlineStr">
        <is>
          <t>Pix</t>
        </is>
      </c>
      <c r="G1060" s="19" t="n">
        <v>0.15</v>
      </c>
    </row>
    <row r="1061">
      <c r="A1061" s="2" t="inlineStr">
        <is>
          <t>PED01060</t>
        </is>
      </c>
      <c r="B1061" s="3" t="n">
        <v>45862</v>
      </c>
      <c r="C1061" s="2" t="inlineStr">
        <is>
          <t>C0315</t>
        </is>
      </c>
      <c r="D1061" s="2" t="inlineStr">
        <is>
          <t>L07</t>
        </is>
      </c>
      <c r="E1061" s="2" t="inlineStr">
        <is>
          <t>Entregue</t>
        </is>
      </c>
      <c r="F1061" s="2" t="inlineStr">
        <is>
          <t>Cartão de crédito</t>
        </is>
      </c>
      <c r="G1061" s="19" t="n">
        <v>0</v>
      </c>
    </row>
    <row r="1062">
      <c r="A1062" s="2" t="inlineStr">
        <is>
          <t>PED01061</t>
        </is>
      </c>
      <c r="B1062" s="3" t="n">
        <v>45793</v>
      </c>
      <c r="C1062" s="2" t="inlineStr">
        <is>
          <t>C0227</t>
        </is>
      </c>
      <c r="D1062" s="2" t="inlineStr">
        <is>
          <t>L06</t>
        </is>
      </c>
      <c r="E1062" s="2" t="inlineStr">
        <is>
          <t>Entregue</t>
        </is>
      </c>
      <c r="F1062" s="2" t="inlineStr">
        <is>
          <t>Pix</t>
        </is>
      </c>
      <c r="G1062" s="19" t="n">
        <v>0.03</v>
      </c>
    </row>
    <row r="1063">
      <c r="A1063" s="2" t="inlineStr">
        <is>
          <t>PED01062</t>
        </is>
      </c>
      <c r="B1063" s="3" t="n">
        <v>45588</v>
      </c>
      <c r="C1063" s="2" t="inlineStr">
        <is>
          <t>C0028</t>
        </is>
      </c>
      <c r="D1063" s="2" t="inlineStr">
        <is>
          <t>L02</t>
        </is>
      </c>
      <c r="E1063" s="2" t="inlineStr">
        <is>
          <t>Entregue</t>
        </is>
      </c>
      <c r="F1063" s="2" t="inlineStr">
        <is>
          <t>Cartão de crédito</t>
        </is>
      </c>
      <c r="G1063" s="19" t="n">
        <v>0.05</v>
      </c>
    </row>
    <row r="1064">
      <c r="A1064" s="2" t="inlineStr">
        <is>
          <t>PED01063</t>
        </is>
      </c>
      <c r="B1064" s="3" t="n">
        <v>45471</v>
      </c>
      <c r="C1064" s="2" t="inlineStr">
        <is>
          <t>C0078</t>
        </is>
      </c>
      <c r="D1064" s="2" t="inlineStr">
        <is>
          <t>L05</t>
        </is>
      </c>
      <c r="E1064" s="2" t="inlineStr">
        <is>
          <t>Entregue</t>
        </is>
      </c>
      <c r="F1064" s="2" t="inlineStr">
        <is>
          <t>Cartão de débito</t>
        </is>
      </c>
      <c r="G1064" s="19" t="n">
        <v>0.03</v>
      </c>
    </row>
    <row r="1065">
      <c r="A1065" s="2" t="inlineStr">
        <is>
          <t>PED01064</t>
        </is>
      </c>
      <c r="B1065" s="3" t="n">
        <v>45549</v>
      </c>
      <c r="C1065" s="2" t="inlineStr">
        <is>
          <t>C0274</t>
        </is>
      </c>
      <c r="D1065" s="2" t="inlineStr">
        <is>
          <t>L07</t>
        </is>
      </c>
      <c r="E1065" s="2" t="inlineStr">
        <is>
          <t>Devolvido</t>
        </is>
      </c>
      <c r="F1065" s="2" t="inlineStr">
        <is>
          <t>Pix</t>
        </is>
      </c>
      <c r="G1065" s="19" t="n">
        <v>0.1</v>
      </c>
    </row>
    <row r="1066">
      <c r="A1066" s="2" t="inlineStr">
        <is>
          <t>PED01065</t>
        </is>
      </c>
      <c r="B1066" s="3" t="n">
        <v>45864</v>
      </c>
      <c r="C1066" s="2" t="inlineStr">
        <is>
          <t>C0066</t>
        </is>
      </c>
      <c r="D1066" s="2" t="inlineStr">
        <is>
          <t>L04</t>
        </is>
      </c>
      <c r="E1066" s="2" t="inlineStr">
        <is>
          <t>Cancelado</t>
        </is>
      </c>
      <c r="F1066" s="2" t="inlineStr">
        <is>
          <t>Pix</t>
        </is>
      </c>
      <c r="G1066" s="19" t="n">
        <v>0.05</v>
      </c>
    </row>
    <row r="1067">
      <c r="A1067" s="2" t="inlineStr">
        <is>
          <t>PED01066</t>
        </is>
      </c>
      <c r="B1067" s="3" t="n">
        <v>45526</v>
      </c>
      <c r="C1067" s="2" t="inlineStr">
        <is>
          <t>C0246</t>
        </is>
      </c>
      <c r="D1067" s="2" t="inlineStr">
        <is>
          <t>L06</t>
        </is>
      </c>
      <c r="E1067" s="2" t="inlineStr">
        <is>
          <t>Entregue</t>
        </is>
      </c>
      <c r="F1067" s="2" t="inlineStr">
        <is>
          <t>Cartão de crédito</t>
        </is>
      </c>
      <c r="G1067" s="19" t="n">
        <v>0.05</v>
      </c>
    </row>
    <row r="1068">
      <c r="A1068" s="2" t="inlineStr">
        <is>
          <t>PED01067</t>
        </is>
      </c>
      <c r="B1068" s="3" t="n">
        <v>45563</v>
      </c>
      <c r="C1068" s="2" t="inlineStr">
        <is>
          <t>C0264</t>
        </is>
      </c>
      <c r="D1068" s="2" t="inlineStr">
        <is>
          <t>L03</t>
        </is>
      </c>
      <c r="E1068" s="2" t="inlineStr">
        <is>
          <t>Entregue</t>
        </is>
      </c>
      <c r="F1068" s="2" t="inlineStr">
        <is>
          <t>Pix</t>
        </is>
      </c>
      <c r="G1068" s="19" t="n">
        <v>0.03</v>
      </c>
    </row>
    <row r="1069">
      <c r="A1069" s="2" t="inlineStr">
        <is>
          <t>PED01068</t>
        </is>
      </c>
      <c r="B1069" s="3" t="n">
        <v>45604</v>
      </c>
      <c r="C1069" s="2" t="inlineStr">
        <is>
          <t>C0335</t>
        </is>
      </c>
      <c r="D1069" s="2" t="inlineStr">
        <is>
          <t>L06</t>
        </is>
      </c>
      <c r="E1069" s="2" t="inlineStr">
        <is>
          <t>Entregue</t>
        </is>
      </c>
      <c r="F1069" s="2" t="inlineStr">
        <is>
          <t>Cartão de crédito</t>
        </is>
      </c>
      <c r="G1069" s="19" t="n">
        <v>0.05</v>
      </c>
    </row>
    <row r="1070">
      <c r="A1070" s="2" t="inlineStr">
        <is>
          <t>PED01069</t>
        </is>
      </c>
      <c r="B1070" s="3" t="n">
        <v>45927</v>
      </c>
      <c r="C1070" s="2" t="inlineStr">
        <is>
          <t>C0044</t>
        </is>
      </c>
      <c r="D1070" s="2" t="inlineStr">
        <is>
          <t>L08</t>
        </is>
      </c>
      <c r="E1070" s="2" t="inlineStr">
        <is>
          <t>Entregue</t>
        </is>
      </c>
      <c r="F1070" s="2" t="inlineStr">
        <is>
          <t>Cartão de débito</t>
        </is>
      </c>
      <c r="G1070" s="19" t="n">
        <v>0.05</v>
      </c>
    </row>
    <row r="1071">
      <c r="A1071" s="2" t="inlineStr">
        <is>
          <t>PED01070</t>
        </is>
      </c>
      <c r="B1071" s="3" t="n">
        <v>45680</v>
      </c>
      <c r="C1071" s="2" t="inlineStr">
        <is>
          <t>C0087</t>
        </is>
      </c>
      <c r="D1071" s="2" t="inlineStr">
        <is>
          <t>L02</t>
        </is>
      </c>
      <c r="E1071" s="2" t="inlineStr">
        <is>
          <t>Em processamento</t>
        </is>
      </c>
      <c r="F1071" s="2" t="inlineStr">
        <is>
          <t>Cartão de crédito</t>
        </is>
      </c>
      <c r="G1071" s="19" t="n">
        <v>0</v>
      </c>
    </row>
    <row r="1072">
      <c r="A1072" s="2" t="inlineStr">
        <is>
          <t>PED01071</t>
        </is>
      </c>
      <c r="B1072" s="3" t="n">
        <v>45527</v>
      </c>
      <c r="C1072" s="2" t="inlineStr">
        <is>
          <t>C0167</t>
        </is>
      </c>
      <c r="D1072" s="2" t="inlineStr">
        <is>
          <t>L03</t>
        </is>
      </c>
      <c r="E1072" s="2" t="inlineStr">
        <is>
          <t>Entregue</t>
        </is>
      </c>
      <c r="F1072" s="2" t="inlineStr">
        <is>
          <t>Boleto</t>
        </is>
      </c>
      <c r="G1072" s="19" t="n">
        <v>0</v>
      </c>
    </row>
    <row r="1073">
      <c r="A1073" s="2" t="inlineStr">
        <is>
          <t>PED01072</t>
        </is>
      </c>
      <c r="B1073" s="3" t="n">
        <v>45398</v>
      </c>
      <c r="C1073" s="2" t="inlineStr">
        <is>
          <t>C0264</t>
        </is>
      </c>
      <c r="D1073" s="2" t="inlineStr">
        <is>
          <t>L02</t>
        </is>
      </c>
      <c r="E1073" s="2" t="inlineStr">
        <is>
          <t>Entregue</t>
        </is>
      </c>
      <c r="F1073" s="2" t="inlineStr">
        <is>
          <t>Cartão de crédito</t>
        </is>
      </c>
      <c r="G1073" s="19" t="n">
        <v>0.03</v>
      </c>
    </row>
    <row r="1074">
      <c r="A1074" s="2" t="inlineStr">
        <is>
          <t>PED01073</t>
        </is>
      </c>
      <c r="B1074" s="3" t="n">
        <v>45660</v>
      </c>
      <c r="C1074" s="2" t="inlineStr">
        <is>
          <t>C0134</t>
        </is>
      </c>
      <c r="D1074" s="2" t="inlineStr">
        <is>
          <t>L05</t>
        </is>
      </c>
      <c r="E1074" s="2" t="inlineStr">
        <is>
          <t>Entregue</t>
        </is>
      </c>
      <c r="F1074" s="2" t="inlineStr">
        <is>
          <t>Cartão de débito</t>
        </is>
      </c>
      <c r="G1074" s="19" t="n">
        <v>0</v>
      </c>
    </row>
    <row r="1075">
      <c r="A1075" s="2" t="inlineStr">
        <is>
          <t>PED01074</t>
        </is>
      </c>
      <c r="B1075" s="3" t="n">
        <v>45401</v>
      </c>
      <c r="C1075" s="2" t="inlineStr">
        <is>
          <t>C0008</t>
        </is>
      </c>
      <c r="D1075" s="2" t="inlineStr">
        <is>
          <t>L06</t>
        </is>
      </c>
      <c r="E1075" s="2" t="inlineStr">
        <is>
          <t>Entregue</t>
        </is>
      </c>
      <c r="F1075" s="2" t="inlineStr">
        <is>
          <t>Cartão de crédito</t>
        </is>
      </c>
      <c r="G1075" s="19" t="n">
        <v>0</v>
      </c>
    </row>
    <row r="1076">
      <c r="A1076" s="2" t="inlineStr">
        <is>
          <t>PED01075</t>
        </is>
      </c>
      <c r="B1076" s="3" t="n">
        <v>45873</v>
      </c>
      <c r="C1076" s="2" t="inlineStr">
        <is>
          <t>C0297</t>
        </is>
      </c>
      <c r="D1076" s="2" t="inlineStr">
        <is>
          <t>L07</t>
        </is>
      </c>
      <c r="E1076" s="2" t="inlineStr">
        <is>
          <t>Devolvido</t>
        </is>
      </c>
      <c r="F1076" s="2" t="inlineStr">
        <is>
          <t>Cartão de crédito</t>
        </is>
      </c>
      <c r="G1076" s="19" t="n">
        <v>0.1</v>
      </c>
    </row>
    <row r="1077">
      <c r="A1077" s="2" t="inlineStr">
        <is>
          <t>PED01076</t>
        </is>
      </c>
      <c r="B1077" s="3" t="n">
        <v>45383</v>
      </c>
      <c r="C1077" s="2" t="inlineStr">
        <is>
          <t>C0307</t>
        </is>
      </c>
      <c r="D1077" s="2" t="inlineStr">
        <is>
          <t>L07</t>
        </is>
      </c>
      <c r="E1077" s="2" t="inlineStr">
        <is>
          <t>Entregue</t>
        </is>
      </c>
      <c r="F1077" s="2" t="inlineStr">
        <is>
          <t>Pix</t>
        </is>
      </c>
      <c r="G1077" s="19" t="n">
        <v>0</v>
      </c>
    </row>
    <row r="1078">
      <c r="A1078" s="2" t="inlineStr">
        <is>
          <t>PED01077</t>
        </is>
      </c>
      <c r="B1078" s="3" t="n">
        <v>45533</v>
      </c>
      <c r="C1078" s="2" t="inlineStr">
        <is>
          <t>C0122</t>
        </is>
      </c>
      <c r="D1078" s="2" t="inlineStr">
        <is>
          <t>L02</t>
        </is>
      </c>
      <c r="E1078" s="2" t="inlineStr">
        <is>
          <t>Entregue</t>
        </is>
      </c>
      <c r="F1078" s="2" t="inlineStr">
        <is>
          <t>Pix</t>
        </is>
      </c>
      <c r="G1078" s="19" t="n">
        <v>0.05</v>
      </c>
    </row>
    <row r="1079">
      <c r="A1079" s="2" t="inlineStr">
        <is>
          <t>PED01078</t>
        </is>
      </c>
      <c r="B1079" s="3" t="n">
        <v>45883</v>
      </c>
      <c r="C1079" s="2" t="inlineStr">
        <is>
          <t>C0286</t>
        </is>
      </c>
      <c r="D1079" s="2" t="inlineStr">
        <is>
          <t>L04</t>
        </is>
      </c>
      <c r="E1079" s="2" t="inlineStr">
        <is>
          <t>Entregue</t>
        </is>
      </c>
      <c r="F1079" s="2" t="inlineStr">
        <is>
          <t>Pix</t>
        </is>
      </c>
      <c r="G1079" s="19" t="n">
        <v>0.1</v>
      </c>
    </row>
    <row r="1080">
      <c r="A1080" s="2" t="inlineStr">
        <is>
          <t>PED01079</t>
        </is>
      </c>
      <c r="B1080" s="3" t="n">
        <v>45356</v>
      </c>
      <c r="C1080" s="2" t="inlineStr">
        <is>
          <t>C0268</t>
        </is>
      </c>
      <c r="D1080" s="2" t="inlineStr">
        <is>
          <t>L07</t>
        </is>
      </c>
      <c r="E1080" s="2" t="inlineStr">
        <is>
          <t>Entregue</t>
        </is>
      </c>
      <c r="F1080" s="2" t="inlineStr">
        <is>
          <t>Cartão de crédito</t>
        </is>
      </c>
      <c r="G1080" s="19" t="n">
        <v>0</v>
      </c>
    </row>
    <row r="1081">
      <c r="A1081" s="2" t="inlineStr">
        <is>
          <t>PED01080</t>
        </is>
      </c>
      <c r="B1081" s="3" t="n">
        <v>45852</v>
      </c>
      <c r="C1081" s="2" t="inlineStr">
        <is>
          <t>C0043</t>
        </is>
      </c>
      <c r="D1081" s="2" t="inlineStr">
        <is>
          <t>L05</t>
        </is>
      </c>
      <c r="E1081" s="2" t="inlineStr">
        <is>
          <t>Entregue</t>
        </is>
      </c>
      <c r="F1081" s="2" t="inlineStr">
        <is>
          <t>Cartão de crédito</t>
        </is>
      </c>
      <c r="G1081" s="19" t="n">
        <v>0</v>
      </c>
    </row>
    <row r="1082">
      <c r="A1082" s="2" t="inlineStr">
        <is>
          <t>PED01081</t>
        </is>
      </c>
      <c r="B1082" s="3" t="n">
        <v>45618</v>
      </c>
      <c r="C1082" s="2" t="inlineStr">
        <is>
          <t>C0333</t>
        </is>
      </c>
      <c r="D1082" s="2" t="inlineStr">
        <is>
          <t>L04</t>
        </is>
      </c>
      <c r="E1082" s="2" t="inlineStr">
        <is>
          <t>Entregue</t>
        </is>
      </c>
      <c r="F1082" s="2" t="inlineStr">
        <is>
          <t>Pix</t>
        </is>
      </c>
      <c r="G1082" s="19" t="n">
        <v>0.03</v>
      </c>
    </row>
    <row r="1083">
      <c r="A1083" s="2" t="inlineStr">
        <is>
          <t>PED01082</t>
        </is>
      </c>
      <c r="B1083" s="3" t="n">
        <v>45855</v>
      </c>
      <c r="C1083" s="2" t="inlineStr">
        <is>
          <t>C0329</t>
        </is>
      </c>
      <c r="D1083" s="2" t="inlineStr">
        <is>
          <t>L03</t>
        </is>
      </c>
      <c r="E1083" s="2" t="inlineStr">
        <is>
          <t>Entregue</t>
        </is>
      </c>
      <c r="F1083" s="2" t="inlineStr">
        <is>
          <t>Pix</t>
        </is>
      </c>
      <c r="G1083" s="19" t="n">
        <v>0.1</v>
      </c>
    </row>
    <row r="1084">
      <c r="A1084" s="2" t="inlineStr">
        <is>
          <t>PED01083</t>
        </is>
      </c>
      <c r="B1084" s="3" t="n">
        <v>45670</v>
      </c>
      <c r="C1084" s="2" t="inlineStr">
        <is>
          <t>C0143</t>
        </is>
      </c>
      <c r="D1084" s="2" t="inlineStr">
        <is>
          <t>L06</t>
        </is>
      </c>
      <c r="E1084" s="2" t="inlineStr">
        <is>
          <t>Em processamento</t>
        </is>
      </c>
      <c r="F1084" s="2" t="inlineStr">
        <is>
          <t>Cartão de crédito</t>
        </is>
      </c>
      <c r="G1084" s="19" t="n">
        <v>0.03</v>
      </c>
    </row>
    <row r="1085">
      <c r="A1085" s="2" t="inlineStr">
        <is>
          <t>PED01084</t>
        </is>
      </c>
      <c r="B1085" s="3" t="n">
        <v>45735</v>
      </c>
      <c r="C1085" s="2" t="inlineStr">
        <is>
          <t>C0343</t>
        </is>
      </c>
      <c r="D1085" s="2" t="inlineStr">
        <is>
          <t>L07</t>
        </is>
      </c>
      <c r="E1085" s="2" t="inlineStr">
        <is>
          <t>Entregue</t>
        </is>
      </c>
      <c r="F1085" s="2" t="inlineStr">
        <is>
          <t>Pix</t>
        </is>
      </c>
      <c r="G1085" s="19" t="n">
        <v>0</v>
      </c>
    </row>
    <row r="1086">
      <c r="A1086" s="2" t="inlineStr">
        <is>
          <t>PED01085</t>
        </is>
      </c>
      <c r="B1086" s="3" t="n">
        <v>45749</v>
      </c>
      <c r="C1086" s="2" t="inlineStr">
        <is>
          <t>C0278</t>
        </is>
      </c>
      <c r="D1086" s="2" t="inlineStr">
        <is>
          <t>L06</t>
        </is>
      </c>
      <c r="E1086" s="2" t="inlineStr">
        <is>
          <t>Entregue</t>
        </is>
      </c>
      <c r="F1086" s="2" t="inlineStr">
        <is>
          <t>Cartão de crédito</t>
        </is>
      </c>
      <c r="G1086" s="19" t="n">
        <v>0.1</v>
      </c>
    </row>
    <row r="1087">
      <c r="A1087" s="2" t="inlineStr">
        <is>
          <t>PED01086</t>
        </is>
      </c>
      <c r="B1087" s="3" t="n">
        <v>45859</v>
      </c>
      <c r="C1087" s="2" t="inlineStr">
        <is>
          <t>C0073</t>
        </is>
      </c>
      <c r="D1087" s="2" t="inlineStr">
        <is>
          <t>L07</t>
        </is>
      </c>
      <c r="E1087" s="2" t="inlineStr">
        <is>
          <t>Entregue</t>
        </is>
      </c>
      <c r="F1087" s="2" t="inlineStr">
        <is>
          <t>Cartão de crédito</t>
        </is>
      </c>
      <c r="G1087" s="19" t="n">
        <v>0.05</v>
      </c>
    </row>
    <row r="1088">
      <c r="A1088" s="2" t="inlineStr">
        <is>
          <t>PED01087</t>
        </is>
      </c>
      <c r="B1088" s="3" t="n">
        <v>45844</v>
      </c>
      <c r="C1088" s="2" t="inlineStr">
        <is>
          <t>C0222</t>
        </is>
      </c>
      <c r="D1088" s="2" t="inlineStr">
        <is>
          <t>L02</t>
        </is>
      </c>
      <c r="E1088" s="2" t="inlineStr">
        <is>
          <t>Entregue</t>
        </is>
      </c>
      <c r="F1088" s="2" t="inlineStr">
        <is>
          <t>Transferência</t>
        </is>
      </c>
      <c r="G1088" s="19" t="n">
        <v>0.05</v>
      </c>
    </row>
    <row r="1089">
      <c r="A1089" s="2" t="inlineStr">
        <is>
          <t>PED01088</t>
        </is>
      </c>
      <c r="B1089" s="3" t="n">
        <v>45371</v>
      </c>
      <c r="C1089" s="2" t="inlineStr">
        <is>
          <t>C0292</t>
        </is>
      </c>
      <c r="D1089" s="2" t="inlineStr">
        <is>
          <t>L08</t>
        </is>
      </c>
      <c r="E1089" s="2" t="inlineStr">
        <is>
          <t>Em processamento</t>
        </is>
      </c>
      <c r="F1089" s="2" t="inlineStr">
        <is>
          <t>Pix</t>
        </is>
      </c>
      <c r="G1089" s="19" t="n">
        <v>0.05</v>
      </c>
    </row>
    <row r="1090">
      <c r="A1090" s="2" t="inlineStr">
        <is>
          <t>PED01089</t>
        </is>
      </c>
      <c r="B1090" s="3" t="n">
        <v>45659</v>
      </c>
      <c r="C1090" s="2" t="inlineStr">
        <is>
          <t>C0233</t>
        </is>
      </c>
      <c r="D1090" s="2" t="inlineStr">
        <is>
          <t>L03</t>
        </is>
      </c>
      <c r="E1090" s="2" t="inlineStr">
        <is>
          <t>Entregue</t>
        </is>
      </c>
      <c r="F1090" s="2" t="inlineStr">
        <is>
          <t>Pix</t>
        </is>
      </c>
      <c r="G1090" s="19" t="n">
        <v>0</v>
      </c>
    </row>
    <row r="1091">
      <c r="A1091" s="2" t="inlineStr">
        <is>
          <t>PED01090</t>
        </is>
      </c>
      <c r="B1091" s="3" t="n">
        <v>45791</v>
      </c>
      <c r="C1091" s="2" t="inlineStr">
        <is>
          <t>C0152</t>
        </is>
      </c>
      <c r="D1091" s="2" t="inlineStr">
        <is>
          <t>L07</t>
        </is>
      </c>
      <c r="E1091" s="2" t="inlineStr">
        <is>
          <t>Entregue</t>
        </is>
      </c>
      <c r="F1091" s="2" t="inlineStr">
        <is>
          <t>Cartão de débito</t>
        </is>
      </c>
      <c r="G1091" s="19" t="n">
        <v>0</v>
      </c>
    </row>
    <row r="1092">
      <c r="A1092" s="2" t="inlineStr">
        <is>
          <t>PED01091</t>
        </is>
      </c>
      <c r="B1092" s="3" t="n">
        <v>45780</v>
      </c>
      <c r="C1092" s="2" t="inlineStr">
        <is>
          <t>C0172</t>
        </is>
      </c>
      <c r="D1092" s="2" t="inlineStr">
        <is>
          <t>L02</t>
        </is>
      </c>
      <c r="E1092" s="2" t="inlineStr">
        <is>
          <t>Entregue</t>
        </is>
      </c>
      <c r="F1092" s="2" t="inlineStr">
        <is>
          <t>Cartão de débito</t>
        </is>
      </c>
      <c r="G1092" s="19" t="n">
        <v>0.1</v>
      </c>
    </row>
    <row r="1093">
      <c r="A1093" s="2" t="inlineStr">
        <is>
          <t>PED01092</t>
        </is>
      </c>
      <c r="B1093" s="3" t="n">
        <v>45294</v>
      </c>
      <c r="C1093" s="2" t="inlineStr">
        <is>
          <t>C0296</t>
        </is>
      </c>
      <c r="D1093" s="2" t="inlineStr">
        <is>
          <t>L03</t>
        </is>
      </c>
      <c r="E1093" s="2" t="inlineStr">
        <is>
          <t>Entregue</t>
        </is>
      </c>
      <c r="F1093" s="2" t="inlineStr">
        <is>
          <t>Boleto</t>
        </is>
      </c>
      <c r="G1093" s="19" t="n">
        <v>0.03</v>
      </c>
    </row>
    <row r="1094">
      <c r="A1094" s="2" t="inlineStr">
        <is>
          <t>PED01093</t>
        </is>
      </c>
      <c r="B1094" s="3" t="n">
        <v>45939</v>
      </c>
      <c r="C1094" s="2" t="inlineStr">
        <is>
          <t>C0205</t>
        </is>
      </c>
      <c r="D1094" s="2" t="inlineStr">
        <is>
          <t>L04</t>
        </is>
      </c>
      <c r="E1094" s="2" t="inlineStr">
        <is>
          <t>Em processamento</t>
        </is>
      </c>
      <c r="F1094" s="2" t="inlineStr">
        <is>
          <t>Boleto</t>
        </is>
      </c>
      <c r="G1094" s="19" t="n">
        <v>0</v>
      </c>
    </row>
    <row r="1095">
      <c r="A1095" s="2" t="inlineStr">
        <is>
          <t>PED01094</t>
        </is>
      </c>
      <c r="B1095" s="3" t="n">
        <v>45824</v>
      </c>
      <c r="C1095" s="2" t="inlineStr">
        <is>
          <t>C0334</t>
        </is>
      </c>
      <c r="D1095" s="2" t="inlineStr">
        <is>
          <t>L03</t>
        </is>
      </c>
      <c r="E1095" s="2" t="inlineStr">
        <is>
          <t>Entregue</t>
        </is>
      </c>
      <c r="F1095" s="2" t="inlineStr">
        <is>
          <t>Pix</t>
        </is>
      </c>
      <c r="G1095" s="19" t="n">
        <v>0.03</v>
      </c>
    </row>
    <row r="1096">
      <c r="A1096" s="2" t="inlineStr">
        <is>
          <t>PED01095</t>
        </is>
      </c>
      <c r="B1096" s="3" t="n">
        <v>45847</v>
      </c>
      <c r="C1096" s="2" t="inlineStr">
        <is>
          <t>C0192</t>
        </is>
      </c>
      <c r="D1096" s="2" t="inlineStr">
        <is>
          <t>L01</t>
        </is>
      </c>
      <c r="E1096" s="2" t="inlineStr">
        <is>
          <t>Entregue</t>
        </is>
      </c>
      <c r="F1096" s="2" t="inlineStr">
        <is>
          <t>Pix</t>
        </is>
      </c>
      <c r="G1096" s="19" t="n">
        <v>0</v>
      </c>
    </row>
    <row r="1097">
      <c r="A1097" s="2" t="inlineStr">
        <is>
          <t>PED01096</t>
        </is>
      </c>
      <c r="B1097" s="3" t="n">
        <v>45964</v>
      </c>
      <c r="C1097" s="2" t="inlineStr">
        <is>
          <t>C0045</t>
        </is>
      </c>
      <c r="D1097" s="2" t="inlineStr">
        <is>
          <t>L06</t>
        </is>
      </c>
      <c r="E1097" s="2" t="inlineStr">
        <is>
          <t>Entregue</t>
        </is>
      </c>
      <c r="F1097" s="2" t="inlineStr">
        <is>
          <t>Pix</t>
        </is>
      </c>
      <c r="G1097" s="19" t="n">
        <v>0.1</v>
      </c>
    </row>
    <row r="1098">
      <c r="A1098" s="2" t="inlineStr">
        <is>
          <t>PED01097</t>
        </is>
      </c>
      <c r="B1098" s="3" t="n">
        <v>45988</v>
      </c>
      <c r="C1098" s="2" t="inlineStr">
        <is>
          <t>C0008</t>
        </is>
      </c>
      <c r="D1098" s="2" t="inlineStr">
        <is>
          <t>L01</t>
        </is>
      </c>
      <c r="E1098" s="2" t="inlineStr">
        <is>
          <t>Em processamento</t>
        </is>
      </c>
      <c r="F1098" s="2" t="inlineStr">
        <is>
          <t>Pix</t>
        </is>
      </c>
      <c r="G1098" s="19" t="n">
        <v>0.05</v>
      </c>
    </row>
    <row r="1099">
      <c r="A1099" s="2" t="inlineStr">
        <is>
          <t>PED01098</t>
        </is>
      </c>
      <c r="B1099" s="3" t="n">
        <v>45577</v>
      </c>
      <c r="C1099" s="2" t="inlineStr">
        <is>
          <t>C0242</t>
        </is>
      </c>
      <c r="D1099" s="2" t="inlineStr">
        <is>
          <t>L02</t>
        </is>
      </c>
      <c r="E1099" s="2" t="inlineStr">
        <is>
          <t>Entregue</t>
        </is>
      </c>
      <c r="F1099" s="2" t="inlineStr">
        <is>
          <t>Cartão de débito</t>
        </is>
      </c>
      <c r="G1099" s="19" t="n">
        <v>0.15</v>
      </c>
    </row>
    <row r="1100">
      <c r="A1100" s="2" t="inlineStr">
        <is>
          <t>PED01099</t>
        </is>
      </c>
      <c r="B1100" s="3" t="n">
        <v>45652</v>
      </c>
      <c r="C1100" s="2" t="inlineStr">
        <is>
          <t>C0288</t>
        </is>
      </c>
      <c r="D1100" s="2" t="inlineStr">
        <is>
          <t>L07</t>
        </is>
      </c>
      <c r="E1100" s="2" t="inlineStr">
        <is>
          <t>Entregue</t>
        </is>
      </c>
      <c r="F1100" s="2" t="inlineStr">
        <is>
          <t>Pix</t>
        </is>
      </c>
      <c r="G1100" s="19" t="n">
        <v>0.03</v>
      </c>
    </row>
    <row r="1101">
      <c r="A1101" s="2" t="inlineStr">
        <is>
          <t>PED01100</t>
        </is>
      </c>
      <c r="B1101" s="3" t="n">
        <v>45447</v>
      </c>
      <c r="C1101" s="2" t="inlineStr">
        <is>
          <t>C0216</t>
        </is>
      </c>
      <c r="D1101" s="2" t="inlineStr">
        <is>
          <t>L01</t>
        </is>
      </c>
      <c r="E1101" s="2" t="inlineStr">
        <is>
          <t>Entregue</t>
        </is>
      </c>
      <c r="F1101" s="2" t="inlineStr">
        <is>
          <t>Pix</t>
        </is>
      </c>
      <c r="G1101" s="19" t="n">
        <v>0.03</v>
      </c>
    </row>
    <row r="1102">
      <c r="A1102" s="2" t="inlineStr">
        <is>
          <t>PED01101</t>
        </is>
      </c>
      <c r="B1102" s="3" t="n">
        <v>45516</v>
      </c>
      <c r="C1102" s="2" t="inlineStr">
        <is>
          <t>C0129</t>
        </is>
      </c>
      <c r="D1102" s="2" t="inlineStr">
        <is>
          <t>L05</t>
        </is>
      </c>
      <c r="E1102" s="2" t="inlineStr">
        <is>
          <t>Em processamento</t>
        </is>
      </c>
      <c r="F1102" s="2" t="inlineStr">
        <is>
          <t>Cartão de crédito</t>
        </is>
      </c>
      <c r="G1102" s="19" t="n">
        <v>0.03</v>
      </c>
    </row>
    <row r="1103">
      <c r="A1103" s="2" t="inlineStr">
        <is>
          <t>PED01102</t>
        </is>
      </c>
      <c r="B1103" s="3" t="n">
        <v>45373</v>
      </c>
      <c r="C1103" s="2" t="inlineStr">
        <is>
          <t>C0187</t>
        </is>
      </c>
      <c r="D1103" s="2" t="inlineStr">
        <is>
          <t>L07</t>
        </is>
      </c>
      <c r="E1103" s="2" t="inlineStr">
        <is>
          <t>Entregue</t>
        </is>
      </c>
      <c r="F1103" s="2" t="inlineStr">
        <is>
          <t>Cartão de crédito</t>
        </is>
      </c>
      <c r="G1103" s="19" t="n">
        <v>0.05</v>
      </c>
    </row>
    <row r="1104">
      <c r="A1104" s="2" t="inlineStr">
        <is>
          <t>PED01103</t>
        </is>
      </c>
      <c r="B1104" s="3" t="n">
        <v>45624</v>
      </c>
      <c r="C1104" s="2" t="inlineStr">
        <is>
          <t>C0055</t>
        </is>
      </c>
      <c r="D1104" s="2" t="inlineStr">
        <is>
          <t>L01</t>
        </is>
      </c>
      <c r="E1104" s="2" t="inlineStr">
        <is>
          <t>Entregue</t>
        </is>
      </c>
      <c r="F1104" s="2" t="inlineStr">
        <is>
          <t>Cartão de débito</t>
        </is>
      </c>
      <c r="G1104" s="19" t="n">
        <v>0.05</v>
      </c>
    </row>
    <row r="1105">
      <c r="A1105" s="2" t="inlineStr">
        <is>
          <t>PED01104</t>
        </is>
      </c>
      <c r="B1105" s="3" t="n">
        <v>45995</v>
      </c>
      <c r="C1105" s="2" t="inlineStr">
        <is>
          <t>C0010</t>
        </is>
      </c>
      <c r="D1105" s="2" t="inlineStr">
        <is>
          <t>L03</t>
        </is>
      </c>
      <c r="E1105" s="2" t="inlineStr">
        <is>
          <t>Entregue</t>
        </is>
      </c>
      <c r="F1105" s="2" t="inlineStr">
        <is>
          <t>Pix</t>
        </is>
      </c>
      <c r="G1105" s="19" t="n">
        <v>0.1</v>
      </c>
    </row>
    <row r="1106">
      <c r="A1106" s="2" t="inlineStr">
        <is>
          <t>PED01105</t>
        </is>
      </c>
      <c r="B1106" s="3" t="n">
        <v>45566</v>
      </c>
      <c r="C1106" s="2" t="inlineStr">
        <is>
          <t>C0043</t>
        </is>
      </c>
      <c r="D1106" s="2" t="inlineStr">
        <is>
          <t>L03</t>
        </is>
      </c>
      <c r="E1106" s="2" t="inlineStr">
        <is>
          <t>Devolvido</t>
        </is>
      </c>
      <c r="F1106" s="2" t="inlineStr">
        <is>
          <t>Boleto</t>
        </is>
      </c>
      <c r="G1106" s="19" t="n">
        <v>0.05</v>
      </c>
    </row>
    <row r="1107">
      <c r="A1107" s="2" t="inlineStr">
        <is>
          <t>PED01106</t>
        </is>
      </c>
      <c r="B1107" s="3" t="n">
        <v>45657</v>
      </c>
      <c r="C1107" s="2" t="inlineStr">
        <is>
          <t>C0031</t>
        </is>
      </c>
      <c r="D1107" s="2" t="inlineStr">
        <is>
          <t>L01</t>
        </is>
      </c>
      <c r="E1107" s="2" t="inlineStr">
        <is>
          <t>Entregue</t>
        </is>
      </c>
      <c r="F1107" s="2" t="inlineStr">
        <is>
          <t>Cartão de crédito</t>
        </is>
      </c>
      <c r="G1107" s="19" t="n">
        <v>0.1</v>
      </c>
    </row>
    <row r="1108">
      <c r="A1108" s="2" t="inlineStr">
        <is>
          <t>PED01107</t>
        </is>
      </c>
      <c r="B1108" s="3" t="n">
        <v>45940</v>
      </c>
      <c r="C1108" s="2" t="inlineStr">
        <is>
          <t>C0317</t>
        </is>
      </c>
      <c r="D1108" s="2" t="inlineStr">
        <is>
          <t>L06</t>
        </is>
      </c>
      <c r="E1108" s="2" t="inlineStr">
        <is>
          <t>Entregue</t>
        </is>
      </c>
      <c r="F1108" s="2" t="inlineStr">
        <is>
          <t>Pix</t>
        </is>
      </c>
      <c r="G1108" s="19" t="n">
        <v>0.15</v>
      </c>
    </row>
    <row r="1109">
      <c r="A1109" s="2" t="inlineStr">
        <is>
          <t>PED01108</t>
        </is>
      </c>
      <c r="B1109" s="3" t="n">
        <v>46017</v>
      </c>
      <c r="C1109" s="2" t="inlineStr">
        <is>
          <t>C0303</t>
        </is>
      </c>
      <c r="D1109" s="2" t="inlineStr">
        <is>
          <t>L06</t>
        </is>
      </c>
      <c r="E1109" s="2" t="inlineStr">
        <is>
          <t>Entregue</t>
        </is>
      </c>
      <c r="F1109" s="2" t="inlineStr">
        <is>
          <t>Boleto</t>
        </is>
      </c>
      <c r="G1109" s="19" t="n">
        <v>0.05</v>
      </c>
    </row>
    <row r="1110">
      <c r="A1110" s="2" t="inlineStr">
        <is>
          <t>PED01109</t>
        </is>
      </c>
      <c r="B1110" s="3" t="n">
        <v>45648</v>
      </c>
      <c r="C1110" s="2" t="inlineStr">
        <is>
          <t>C0065</t>
        </is>
      </c>
      <c r="D1110" s="2" t="inlineStr">
        <is>
          <t>L01</t>
        </is>
      </c>
      <c r="E1110" s="2" t="inlineStr">
        <is>
          <t>Cancelado</t>
        </is>
      </c>
      <c r="F1110" s="2" t="inlineStr">
        <is>
          <t>Cartão de crédito</t>
        </is>
      </c>
      <c r="G1110" s="19" t="n">
        <v>0.03</v>
      </c>
    </row>
    <row r="1111">
      <c r="A1111" s="2" t="inlineStr">
        <is>
          <t>PED01110</t>
        </is>
      </c>
      <c r="B1111" s="3" t="n">
        <v>45922</v>
      </c>
      <c r="C1111" s="2" t="inlineStr">
        <is>
          <t>C0316</t>
        </is>
      </c>
      <c r="D1111" s="2" t="inlineStr">
        <is>
          <t>L03</t>
        </is>
      </c>
      <c r="E1111" s="2" t="inlineStr">
        <is>
          <t>Em processamento</t>
        </is>
      </c>
      <c r="F1111" s="2" t="inlineStr">
        <is>
          <t>Cartão de crédito</t>
        </is>
      </c>
      <c r="G1111" s="19" t="n">
        <v>0.05</v>
      </c>
    </row>
    <row r="1112">
      <c r="A1112" s="2" t="inlineStr">
        <is>
          <t>PED01111</t>
        </is>
      </c>
      <c r="B1112" s="3" t="n">
        <v>45790</v>
      </c>
      <c r="C1112" s="2" t="inlineStr">
        <is>
          <t>C0292</t>
        </is>
      </c>
      <c r="D1112" s="2" t="inlineStr">
        <is>
          <t>L01</t>
        </is>
      </c>
      <c r="E1112" s="2" t="inlineStr">
        <is>
          <t>Entregue</t>
        </is>
      </c>
      <c r="F1112" s="2" t="inlineStr">
        <is>
          <t>Cartão de crédito</t>
        </is>
      </c>
      <c r="G1112" s="19" t="n">
        <v>0.03</v>
      </c>
    </row>
    <row r="1113">
      <c r="A1113" s="2" t="inlineStr">
        <is>
          <t>PED01112</t>
        </is>
      </c>
      <c r="B1113" s="3" t="n">
        <v>45515</v>
      </c>
      <c r="C1113" s="2" t="inlineStr">
        <is>
          <t>C0340</t>
        </is>
      </c>
      <c r="D1113" s="2" t="inlineStr">
        <is>
          <t>L04</t>
        </is>
      </c>
      <c r="E1113" s="2" t="inlineStr">
        <is>
          <t>Entregue</t>
        </is>
      </c>
      <c r="F1113" s="2" t="inlineStr">
        <is>
          <t>Pix</t>
        </is>
      </c>
      <c r="G1113" s="19" t="n">
        <v>0.05</v>
      </c>
    </row>
    <row r="1114">
      <c r="A1114" s="2" t="inlineStr">
        <is>
          <t>PED01113</t>
        </is>
      </c>
      <c r="B1114" s="3" t="n">
        <v>45680</v>
      </c>
      <c r="C1114" s="2" t="inlineStr">
        <is>
          <t>C0161</t>
        </is>
      </c>
      <c r="D1114" s="2" t="inlineStr">
        <is>
          <t>L05</t>
        </is>
      </c>
      <c r="E1114" s="2" t="inlineStr">
        <is>
          <t>Entregue</t>
        </is>
      </c>
      <c r="F1114" s="2" t="inlineStr">
        <is>
          <t>Cartão de crédito</t>
        </is>
      </c>
      <c r="G1114" s="19" t="n">
        <v>0</v>
      </c>
    </row>
    <row r="1115">
      <c r="A1115" s="2" t="inlineStr">
        <is>
          <t>PED01114</t>
        </is>
      </c>
      <c r="B1115" s="3" t="n">
        <v>45445</v>
      </c>
      <c r="C1115" s="2" t="inlineStr">
        <is>
          <t>C0113</t>
        </is>
      </c>
      <c r="D1115" s="2" t="inlineStr">
        <is>
          <t>L04</t>
        </is>
      </c>
      <c r="E1115" s="2" t="inlineStr">
        <is>
          <t>Entregue</t>
        </is>
      </c>
      <c r="F1115" s="2" t="inlineStr">
        <is>
          <t>Boleto</t>
        </is>
      </c>
      <c r="G1115" s="19" t="n">
        <v>0</v>
      </c>
    </row>
    <row r="1116">
      <c r="A1116" s="2" t="inlineStr">
        <is>
          <t>PED01115</t>
        </is>
      </c>
      <c r="B1116" s="3" t="n">
        <v>45715</v>
      </c>
      <c r="C1116" s="2" t="inlineStr">
        <is>
          <t>C0262</t>
        </is>
      </c>
      <c r="D1116" s="2" t="inlineStr">
        <is>
          <t>L05</t>
        </is>
      </c>
      <c r="E1116" s="2" t="inlineStr">
        <is>
          <t>Entregue</t>
        </is>
      </c>
      <c r="F1116" s="2" t="inlineStr">
        <is>
          <t>Pix</t>
        </is>
      </c>
      <c r="G1116" s="19" t="n">
        <v>0.1</v>
      </c>
    </row>
    <row r="1117">
      <c r="A1117" s="2" t="inlineStr">
        <is>
          <t>PED01116</t>
        </is>
      </c>
      <c r="B1117" s="3" t="n">
        <v>45923</v>
      </c>
      <c r="C1117" s="2" t="inlineStr">
        <is>
          <t>C0004</t>
        </is>
      </c>
      <c r="D1117" s="2" t="inlineStr">
        <is>
          <t>L05</t>
        </is>
      </c>
      <c r="E1117" s="2" t="inlineStr">
        <is>
          <t>Em processamento</t>
        </is>
      </c>
      <c r="F1117" s="2" t="inlineStr">
        <is>
          <t>Cartão de crédito</t>
        </is>
      </c>
      <c r="G1117" s="19" t="n">
        <v>0.15</v>
      </c>
    </row>
    <row r="1118">
      <c r="A1118" s="2" t="inlineStr">
        <is>
          <t>PED01117</t>
        </is>
      </c>
      <c r="B1118" s="3" t="n">
        <v>45538</v>
      </c>
      <c r="C1118" s="2" t="inlineStr">
        <is>
          <t>C0215</t>
        </is>
      </c>
      <c r="D1118" s="2" t="inlineStr">
        <is>
          <t>L03</t>
        </is>
      </c>
      <c r="E1118" s="2" t="inlineStr">
        <is>
          <t>Entregue</t>
        </is>
      </c>
      <c r="F1118" s="2" t="inlineStr">
        <is>
          <t>Boleto</t>
        </is>
      </c>
      <c r="G1118" s="19" t="n">
        <v>0</v>
      </c>
    </row>
    <row r="1119">
      <c r="A1119" s="2" t="inlineStr">
        <is>
          <t>PED01118</t>
        </is>
      </c>
      <c r="B1119" s="3" t="n">
        <v>45902</v>
      </c>
      <c r="C1119" s="2" t="inlineStr">
        <is>
          <t>C0065</t>
        </is>
      </c>
      <c r="D1119" s="2" t="inlineStr">
        <is>
          <t>L01</t>
        </is>
      </c>
      <c r="E1119" s="2" t="inlineStr">
        <is>
          <t>Em processamento</t>
        </is>
      </c>
      <c r="F1119" s="2" t="inlineStr">
        <is>
          <t>Pix</t>
        </is>
      </c>
      <c r="G1119" s="19" t="n">
        <v>0.1</v>
      </c>
    </row>
    <row r="1120">
      <c r="A1120" s="2" t="inlineStr">
        <is>
          <t>PED01119</t>
        </is>
      </c>
      <c r="B1120" s="3" t="n">
        <v>45419</v>
      </c>
      <c r="C1120" s="2" t="inlineStr">
        <is>
          <t>C0268</t>
        </is>
      </c>
      <c r="D1120" s="2" t="inlineStr">
        <is>
          <t>L08</t>
        </is>
      </c>
      <c r="E1120" s="2" t="inlineStr">
        <is>
          <t>Entregue</t>
        </is>
      </c>
      <c r="F1120" s="2" t="inlineStr">
        <is>
          <t>Cartão de débito</t>
        </is>
      </c>
      <c r="G1120" s="19" t="n">
        <v>0.03</v>
      </c>
    </row>
    <row r="1121">
      <c r="A1121" s="2" t="inlineStr">
        <is>
          <t>PED01120</t>
        </is>
      </c>
      <c r="B1121" s="3" t="n">
        <v>45894</v>
      </c>
      <c r="C1121" s="2" t="inlineStr">
        <is>
          <t>C0161</t>
        </is>
      </c>
      <c r="D1121" s="2" t="inlineStr">
        <is>
          <t>L08</t>
        </is>
      </c>
      <c r="E1121" s="2" t="inlineStr">
        <is>
          <t>Entregue</t>
        </is>
      </c>
      <c r="F1121" s="2" t="inlineStr">
        <is>
          <t>Cartão de crédito</t>
        </is>
      </c>
      <c r="G1121" s="19" t="n">
        <v>0.05</v>
      </c>
    </row>
    <row r="1122">
      <c r="A1122" s="2" t="inlineStr">
        <is>
          <t>PED01121</t>
        </is>
      </c>
      <c r="B1122" s="3" t="n">
        <v>45639</v>
      </c>
      <c r="C1122" s="2" t="inlineStr">
        <is>
          <t>C0122</t>
        </is>
      </c>
      <c r="D1122" s="2" t="inlineStr">
        <is>
          <t>L08</t>
        </is>
      </c>
      <c r="E1122" s="2" t="inlineStr">
        <is>
          <t>Entregue</t>
        </is>
      </c>
      <c r="F1122" s="2" t="inlineStr">
        <is>
          <t>Cartão de débito</t>
        </is>
      </c>
      <c r="G1122" s="19" t="n">
        <v>0.05</v>
      </c>
    </row>
    <row r="1123">
      <c r="A1123" s="2" t="inlineStr">
        <is>
          <t>PED01122</t>
        </is>
      </c>
      <c r="B1123" s="3" t="n">
        <v>45887</v>
      </c>
      <c r="C1123" s="2" t="inlineStr">
        <is>
          <t>C0246</t>
        </is>
      </c>
      <c r="D1123" s="2" t="inlineStr">
        <is>
          <t>L03</t>
        </is>
      </c>
      <c r="E1123" s="2" t="inlineStr">
        <is>
          <t>Entregue</t>
        </is>
      </c>
      <c r="F1123" s="2" t="inlineStr">
        <is>
          <t>Pix</t>
        </is>
      </c>
      <c r="G1123" s="19" t="n">
        <v>0.15</v>
      </c>
    </row>
    <row r="1124">
      <c r="A1124" s="2" t="inlineStr">
        <is>
          <t>PED01123</t>
        </is>
      </c>
      <c r="B1124" s="3" t="n">
        <v>45293</v>
      </c>
      <c r="C1124" s="2" t="inlineStr">
        <is>
          <t>C0028</t>
        </is>
      </c>
      <c r="D1124" s="2" t="inlineStr">
        <is>
          <t>L03</t>
        </is>
      </c>
      <c r="E1124" s="2" t="inlineStr">
        <is>
          <t>Entregue</t>
        </is>
      </c>
      <c r="F1124" s="2" t="inlineStr">
        <is>
          <t>Cartão de crédito</t>
        </is>
      </c>
      <c r="G1124" s="19" t="n">
        <v>0.03</v>
      </c>
    </row>
    <row r="1125">
      <c r="A1125" s="2" t="inlineStr">
        <is>
          <t>PED01124</t>
        </is>
      </c>
      <c r="B1125" s="3" t="n">
        <v>45829</v>
      </c>
      <c r="C1125" s="2" t="inlineStr">
        <is>
          <t>C0057</t>
        </is>
      </c>
      <c r="D1125" s="2" t="inlineStr">
        <is>
          <t>L02</t>
        </is>
      </c>
      <c r="E1125" s="2" t="inlineStr">
        <is>
          <t>Entregue</t>
        </is>
      </c>
      <c r="F1125" s="2" t="inlineStr">
        <is>
          <t>Transferência</t>
        </is>
      </c>
      <c r="G1125" s="19" t="n">
        <v>0</v>
      </c>
    </row>
    <row r="1126">
      <c r="A1126" s="2" t="inlineStr">
        <is>
          <t>PED01125</t>
        </is>
      </c>
      <c r="B1126" s="3" t="n">
        <v>46004</v>
      </c>
      <c r="C1126" s="2" t="inlineStr">
        <is>
          <t>C0077</t>
        </is>
      </c>
      <c r="D1126" s="2" t="inlineStr">
        <is>
          <t>L04</t>
        </is>
      </c>
      <c r="E1126" s="2" t="inlineStr">
        <is>
          <t>Cancelado</t>
        </is>
      </c>
      <c r="F1126" s="2" t="inlineStr">
        <is>
          <t>Pix</t>
        </is>
      </c>
      <c r="G1126" s="19" t="n">
        <v>0.03</v>
      </c>
    </row>
    <row r="1127">
      <c r="A1127" s="2" t="inlineStr">
        <is>
          <t>PED01126</t>
        </is>
      </c>
      <c r="B1127" s="3" t="n">
        <v>45425</v>
      </c>
      <c r="C1127" s="2" t="inlineStr">
        <is>
          <t>C0258</t>
        </is>
      </c>
      <c r="D1127" s="2" t="inlineStr">
        <is>
          <t>L02</t>
        </is>
      </c>
      <c r="E1127" s="2" t="inlineStr">
        <is>
          <t>Entregue</t>
        </is>
      </c>
      <c r="F1127" s="2" t="inlineStr">
        <is>
          <t>Boleto</t>
        </is>
      </c>
      <c r="G1127" s="19" t="n">
        <v>0</v>
      </c>
    </row>
    <row r="1128">
      <c r="A1128" s="2" t="inlineStr">
        <is>
          <t>PED01127</t>
        </is>
      </c>
      <c r="B1128" s="3" t="n">
        <v>45759</v>
      </c>
      <c r="C1128" s="2" t="inlineStr">
        <is>
          <t>C0236</t>
        </is>
      </c>
      <c r="D1128" s="2" t="inlineStr">
        <is>
          <t>L06</t>
        </is>
      </c>
      <c r="E1128" s="2" t="inlineStr">
        <is>
          <t>Entregue</t>
        </is>
      </c>
      <c r="F1128" s="2" t="inlineStr">
        <is>
          <t>Cartão de crédito</t>
        </is>
      </c>
      <c r="G1128" s="19" t="n">
        <v>0.05</v>
      </c>
    </row>
    <row r="1129">
      <c r="A1129" s="2" t="inlineStr">
        <is>
          <t>PED01128</t>
        </is>
      </c>
      <c r="B1129" s="3" t="n">
        <v>45994</v>
      </c>
      <c r="C1129" s="2" t="inlineStr">
        <is>
          <t>C0038</t>
        </is>
      </c>
      <c r="D1129" s="2" t="inlineStr">
        <is>
          <t>L08</t>
        </is>
      </c>
      <c r="E1129" s="2" t="inlineStr">
        <is>
          <t>Entregue</t>
        </is>
      </c>
      <c r="F1129" s="2" t="inlineStr">
        <is>
          <t>Boleto</t>
        </is>
      </c>
      <c r="G1129" s="19" t="n">
        <v>0</v>
      </c>
    </row>
    <row r="1130">
      <c r="A1130" s="2" t="inlineStr">
        <is>
          <t>PED01129</t>
        </is>
      </c>
      <c r="B1130" s="3" t="n">
        <v>45721</v>
      </c>
      <c r="C1130" s="2" t="inlineStr">
        <is>
          <t>C0250</t>
        </is>
      </c>
      <c r="D1130" s="2" t="inlineStr">
        <is>
          <t>L01</t>
        </is>
      </c>
      <c r="E1130" s="2" t="inlineStr">
        <is>
          <t>Entregue</t>
        </is>
      </c>
      <c r="F1130" s="2" t="inlineStr">
        <is>
          <t>Cartão de crédito</t>
        </is>
      </c>
      <c r="G1130" s="19" t="n">
        <v>0.03</v>
      </c>
    </row>
    <row r="1131">
      <c r="A1131" s="2" t="inlineStr">
        <is>
          <t>PED01130</t>
        </is>
      </c>
      <c r="B1131" s="3" t="n">
        <v>46009</v>
      </c>
      <c r="C1131" s="2" t="inlineStr">
        <is>
          <t>C0202</t>
        </is>
      </c>
      <c r="D1131" s="2" t="inlineStr">
        <is>
          <t>L03</t>
        </is>
      </c>
      <c r="E1131" s="2" t="inlineStr">
        <is>
          <t>Entregue</t>
        </is>
      </c>
      <c r="F1131" s="2" t="inlineStr">
        <is>
          <t>Cartão de crédito</t>
        </is>
      </c>
      <c r="G1131" s="19" t="n">
        <v>0</v>
      </c>
    </row>
    <row r="1132">
      <c r="A1132" s="2" t="inlineStr">
        <is>
          <t>PED01131</t>
        </is>
      </c>
      <c r="B1132" s="3" t="n">
        <v>45733</v>
      </c>
      <c r="C1132" s="2" t="inlineStr">
        <is>
          <t>C0201</t>
        </is>
      </c>
      <c r="D1132" s="2" t="inlineStr">
        <is>
          <t>L04</t>
        </is>
      </c>
      <c r="E1132" s="2" t="inlineStr">
        <is>
          <t>Entregue</t>
        </is>
      </c>
      <c r="F1132" s="2" t="inlineStr">
        <is>
          <t>Cartão de crédito</t>
        </is>
      </c>
      <c r="G1132" s="19" t="n">
        <v>0</v>
      </c>
    </row>
    <row r="1133">
      <c r="A1133" s="2" t="inlineStr">
        <is>
          <t>PED01132</t>
        </is>
      </c>
      <c r="B1133" s="3" t="n">
        <v>45424</v>
      </c>
      <c r="C1133" s="2" t="inlineStr">
        <is>
          <t>C0087</t>
        </is>
      </c>
      <c r="D1133" s="2" t="inlineStr">
        <is>
          <t>L07</t>
        </is>
      </c>
      <c r="E1133" s="2" t="inlineStr">
        <is>
          <t>Entregue</t>
        </is>
      </c>
      <c r="F1133" s="2" t="inlineStr">
        <is>
          <t>Boleto</t>
        </is>
      </c>
      <c r="G1133" s="19" t="n">
        <v>0</v>
      </c>
    </row>
    <row r="1134">
      <c r="A1134" s="2" t="inlineStr">
        <is>
          <t>PED01133</t>
        </is>
      </c>
      <c r="B1134" s="3" t="n">
        <v>45643</v>
      </c>
      <c r="C1134" s="2" t="inlineStr">
        <is>
          <t>C0336</t>
        </is>
      </c>
      <c r="D1134" s="2" t="inlineStr">
        <is>
          <t>L06</t>
        </is>
      </c>
      <c r="E1134" s="2" t="inlineStr">
        <is>
          <t>Entregue</t>
        </is>
      </c>
      <c r="F1134" s="2" t="inlineStr">
        <is>
          <t>Pix</t>
        </is>
      </c>
      <c r="G1134" s="19" t="n">
        <v>0.05</v>
      </c>
    </row>
    <row r="1135">
      <c r="A1135" s="2" t="inlineStr">
        <is>
          <t>PED01134</t>
        </is>
      </c>
      <c r="B1135" s="3" t="n">
        <v>45991</v>
      </c>
      <c r="C1135" s="2" t="inlineStr">
        <is>
          <t>C0195</t>
        </is>
      </c>
      <c r="D1135" s="2" t="inlineStr">
        <is>
          <t>L05</t>
        </is>
      </c>
      <c r="E1135" s="2" t="inlineStr">
        <is>
          <t>Entregue</t>
        </is>
      </c>
      <c r="F1135" s="2" t="inlineStr">
        <is>
          <t>Cartão de crédito</t>
        </is>
      </c>
      <c r="G1135" s="19" t="n">
        <v>0.1</v>
      </c>
    </row>
    <row r="1136">
      <c r="A1136" s="2" t="inlineStr">
        <is>
          <t>PED01135</t>
        </is>
      </c>
      <c r="B1136" s="3" t="n">
        <v>45371</v>
      </c>
      <c r="C1136" s="2" t="inlineStr">
        <is>
          <t>C0041</t>
        </is>
      </c>
      <c r="D1136" s="2" t="inlineStr">
        <is>
          <t>L06</t>
        </is>
      </c>
      <c r="E1136" s="2" t="inlineStr">
        <is>
          <t>Cancelado</t>
        </is>
      </c>
      <c r="F1136" s="2" t="inlineStr">
        <is>
          <t>Cartão de crédito</t>
        </is>
      </c>
      <c r="G1136" s="19" t="n">
        <v>0</v>
      </c>
    </row>
    <row r="1137">
      <c r="A1137" s="2" t="inlineStr">
        <is>
          <t>PED01136</t>
        </is>
      </c>
      <c r="B1137" s="3" t="n">
        <v>45983</v>
      </c>
      <c r="C1137" s="2" t="inlineStr">
        <is>
          <t>C0138</t>
        </is>
      </c>
      <c r="D1137" s="2" t="inlineStr">
        <is>
          <t>L08</t>
        </is>
      </c>
      <c r="E1137" s="2" t="inlineStr">
        <is>
          <t>Entregue</t>
        </is>
      </c>
      <c r="F1137" s="2" t="inlineStr">
        <is>
          <t>Cartão de crédito</t>
        </is>
      </c>
      <c r="G1137" s="19" t="n">
        <v>0.05</v>
      </c>
    </row>
    <row r="1138">
      <c r="A1138" s="2" t="inlineStr">
        <is>
          <t>PED01137</t>
        </is>
      </c>
      <c r="B1138" s="3" t="n">
        <v>45683</v>
      </c>
      <c r="C1138" s="2" t="inlineStr">
        <is>
          <t>C0033</t>
        </is>
      </c>
      <c r="D1138" s="2" t="inlineStr">
        <is>
          <t>L07</t>
        </is>
      </c>
      <c r="E1138" s="2" t="inlineStr">
        <is>
          <t>Entregue</t>
        </is>
      </c>
      <c r="F1138" s="2" t="inlineStr">
        <is>
          <t>Pix</t>
        </is>
      </c>
      <c r="G1138" s="19" t="n">
        <v>0</v>
      </c>
    </row>
    <row r="1139">
      <c r="A1139" s="2" t="inlineStr">
        <is>
          <t>PED01138</t>
        </is>
      </c>
      <c r="B1139" s="3" t="n">
        <v>45925</v>
      </c>
      <c r="C1139" s="2" t="inlineStr">
        <is>
          <t>C0157</t>
        </is>
      </c>
      <c r="D1139" s="2" t="inlineStr">
        <is>
          <t>L02</t>
        </is>
      </c>
      <c r="E1139" s="2" t="inlineStr">
        <is>
          <t>Entregue</t>
        </is>
      </c>
      <c r="F1139" s="2" t="inlineStr">
        <is>
          <t>Pix</t>
        </is>
      </c>
      <c r="G1139" s="19" t="n">
        <v>0</v>
      </c>
    </row>
    <row r="1140">
      <c r="A1140" s="2" t="inlineStr">
        <is>
          <t>PED01139</t>
        </is>
      </c>
      <c r="B1140" s="3" t="n">
        <v>45749</v>
      </c>
      <c r="C1140" s="2" t="inlineStr">
        <is>
          <t>C0094</t>
        </is>
      </c>
      <c r="D1140" s="2" t="inlineStr">
        <is>
          <t>L02</t>
        </is>
      </c>
      <c r="E1140" s="2" t="inlineStr">
        <is>
          <t>Cancelado</t>
        </is>
      </c>
      <c r="F1140" s="2" t="inlineStr">
        <is>
          <t>Pix</t>
        </is>
      </c>
      <c r="G1140" s="19" t="n">
        <v>0.03</v>
      </c>
    </row>
    <row r="1141">
      <c r="A1141" s="2" t="inlineStr">
        <is>
          <t>PED01140</t>
        </is>
      </c>
      <c r="B1141" s="3" t="n">
        <v>45717</v>
      </c>
      <c r="C1141" s="2" t="inlineStr">
        <is>
          <t>C0060</t>
        </is>
      </c>
      <c r="D1141" s="2" t="inlineStr">
        <is>
          <t>L05</t>
        </is>
      </c>
      <c r="E1141" s="2" t="inlineStr">
        <is>
          <t>Entregue</t>
        </is>
      </c>
      <c r="F1141" s="2" t="inlineStr">
        <is>
          <t>Boleto</t>
        </is>
      </c>
      <c r="G1141" s="19" t="n">
        <v>0</v>
      </c>
    </row>
    <row r="1142">
      <c r="A1142" s="2" t="inlineStr">
        <is>
          <t>PED01141</t>
        </is>
      </c>
      <c r="B1142" s="3" t="n">
        <v>45656</v>
      </c>
      <c r="C1142" s="2" t="inlineStr">
        <is>
          <t>C0086</t>
        </is>
      </c>
      <c r="D1142" s="2" t="inlineStr">
        <is>
          <t>L03</t>
        </is>
      </c>
      <c r="E1142" s="2" t="inlineStr">
        <is>
          <t>Em processamento</t>
        </is>
      </c>
      <c r="F1142" s="2" t="inlineStr">
        <is>
          <t>Pix</t>
        </is>
      </c>
      <c r="G1142" s="19" t="n">
        <v>0.05</v>
      </c>
    </row>
    <row r="1143">
      <c r="A1143" s="2" t="inlineStr">
        <is>
          <t>PED01142</t>
        </is>
      </c>
      <c r="B1143" s="3" t="n">
        <v>45472</v>
      </c>
      <c r="C1143" s="2" t="inlineStr">
        <is>
          <t>C0222</t>
        </is>
      </c>
      <c r="D1143" s="2" t="inlineStr">
        <is>
          <t>L08</t>
        </is>
      </c>
      <c r="E1143" s="2" t="inlineStr">
        <is>
          <t>Entregue</t>
        </is>
      </c>
      <c r="F1143" s="2" t="inlineStr">
        <is>
          <t>Cartão de débito</t>
        </is>
      </c>
      <c r="G1143" s="19" t="n">
        <v>0.05</v>
      </c>
    </row>
    <row r="1144">
      <c r="A1144" s="2" t="inlineStr">
        <is>
          <t>PED01143</t>
        </is>
      </c>
      <c r="B1144" s="3" t="n">
        <v>45712</v>
      </c>
      <c r="C1144" s="2" t="inlineStr">
        <is>
          <t>C0175</t>
        </is>
      </c>
      <c r="D1144" s="2" t="inlineStr">
        <is>
          <t>L03</t>
        </is>
      </c>
      <c r="E1144" s="2" t="inlineStr">
        <is>
          <t>Entregue</t>
        </is>
      </c>
      <c r="F1144" s="2" t="inlineStr">
        <is>
          <t>Cartão de crédito</t>
        </is>
      </c>
      <c r="G1144" s="19" t="n">
        <v>0.03</v>
      </c>
    </row>
    <row r="1145">
      <c r="A1145" s="2" t="inlineStr">
        <is>
          <t>PED01144</t>
        </is>
      </c>
      <c r="B1145" s="3" t="n">
        <v>45936</v>
      </c>
      <c r="C1145" s="2" t="inlineStr">
        <is>
          <t>C0183</t>
        </is>
      </c>
      <c r="D1145" s="2" t="inlineStr">
        <is>
          <t>L03</t>
        </is>
      </c>
      <c r="E1145" s="2" t="inlineStr">
        <is>
          <t>Entregue</t>
        </is>
      </c>
      <c r="F1145" s="2" t="inlineStr">
        <is>
          <t>Boleto</t>
        </is>
      </c>
      <c r="G1145" s="19" t="n">
        <v>0</v>
      </c>
    </row>
    <row r="1146">
      <c r="A1146" s="2" t="inlineStr">
        <is>
          <t>PED01145</t>
        </is>
      </c>
      <c r="B1146" s="3" t="n">
        <v>45491</v>
      </c>
      <c r="C1146" s="2" t="inlineStr">
        <is>
          <t>C0062</t>
        </is>
      </c>
      <c r="D1146" s="2" t="inlineStr">
        <is>
          <t>L07</t>
        </is>
      </c>
      <c r="E1146" s="2" t="inlineStr">
        <is>
          <t>Entregue</t>
        </is>
      </c>
      <c r="F1146" s="2" t="inlineStr">
        <is>
          <t>Pix</t>
        </is>
      </c>
      <c r="G1146" s="19" t="n">
        <v>0.15</v>
      </c>
    </row>
    <row r="1147">
      <c r="A1147" s="2" t="inlineStr">
        <is>
          <t>PED01146</t>
        </is>
      </c>
      <c r="B1147" s="3" t="n">
        <v>45494</v>
      </c>
      <c r="C1147" s="2" t="inlineStr">
        <is>
          <t>C0194</t>
        </is>
      </c>
      <c r="D1147" s="2" t="inlineStr">
        <is>
          <t>L06</t>
        </is>
      </c>
      <c r="E1147" s="2" t="inlineStr">
        <is>
          <t>Entregue</t>
        </is>
      </c>
      <c r="F1147" s="2" t="inlineStr">
        <is>
          <t>Pix</t>
        </is>
      </c>
      <c r="G1147" s="19" t="n">
        <v>0.1</v>
      </c>
    </row>
    <row r="1148">
      <c r="A1148" s="2" t="inlineStr">
        <is>
          <t>PED01147</t>
        </is>
      </c>
      <c r="B1148" s="3" t="n">
        <v>45938</v>
      </c>
      <c r="C1148" s="2" t="inlineStr">
        <is>
          <t>C0249</t>
        </is>
      </c>
      <c r="D1148" s="2" t="inlineStr">
        <is>
          <t>L04</t>
        </is>
      </c>
      <c r="E1148" s="2" t="inlineStr">
        <is>
          <t>Entregue</t>
        </is>
      </c>
      <c r="F1148" s="2" t="inlineStr">
        <is>
          <t>Cartão de débito</t>
        </is>
      </c>
      <c r="G1148" s="19" t="n">
        <v>0.15</v>
      </c>
    </row>
    <row r="1149">
      <c r="A1149" s="2" t="inlineStr">
        <is>
          <t>PED01148</t>
        </is>
      </c>
      <c r="B1149" s="3" t="n">
        <v>45524</v>
      </c>
      <c r="C1149" s="2" t="inlineStr">
        <is>
          <t>C0316</t>
        </is>
      </c>
      <c r="D1149" s="2" t="inlineStr">
        <is>
          <t>L04</t>
        </is>
      </c>
      <c r="E1149" s="2" t="inlineStr">
        <is>
          <t>Em processamento</t>
        </is>
      </c>
      <c r="F1149" s="2" t="inlineStr">
        <is>
          <t>Cartão de crédito</t>
        </is>
      </c>
      <c r="G1149" s="19" t="n">
        <v>0</v>
      </c>
    </row>
    <row r="1150">
      <c r="A1150" s="2" t="inlineStr">
        <is>
          <t>PED01149</t>
        </is>
      </c>
      <c r="B1150" s="3" t="n">
        <v>45811</v>
      </c>
      <c r="C1150" s="2" t="inlineStr">
        <is>
          <t>C0180</t>
        </is>
      </c>
      <c r="D1150" s="2" t="inlineStr">
        <is>
          <t>L01</t>
        </is>
      </c>
      <c r="E1150" s="2" t="inlineStr">
        <is>
          <t>Entregue</t>
        </is>
      </c>
      <c r="F1150" s="2" t="inlineStr">
        <is>
          <t>Pix</t>
        </is>
      </c>
      <c r="G1150" s="19" t="n">
        <v>0</v>
      </c>
    </row>
    <row r="1151">
      <c r="A1151" s="2" t="inlineStr">
        <is>
          <t>PED01150</t>
        </is>
      </c>
      <c r="B1151" s="3" t="n">
        <v>45952</v>
      </c>
      <c r="C1151" s="2" t="inlineStr">
        <is>
          <t>C0284</t>
        </is>
      </c>
      <c r="D1151" s="2" t="inlineStr">
        <is>
          <t>L04</t>
        </is>
      </c>
      <c r="E1151" s="2" t="inlineStr">
        <is>
          <t>Em processamento</t>
        </is>
      </c>
      <c r="F1151" s="2" t="inlineStr">
        <is>
          <t>Cartão de crédito</t>
        </is>
      </c>
      <c r="G1151" s="19" t="n">
        <v>0.03</v>
      </c>
    </row>
    <row r="1152">
      <c r="A1152" s="2" t="inlineStr">
        <is>
          <t>PED01151</t>
        </is>
      </c>
      <c r="B1152" s="3" t="n">
        <v>45448</v>
      </c>
      <c r="C1152" s="2" t="inlineStr">
        <is>
          <t>C0073</t>
        </is>
      </c>
      <c r="D1152" s="2" t="inlineStr">
        <is>
          <t>L03</t>
        </is>
      </c>
      <c r="E1152" s="2" t="inlineStr">
        <is>
          <t>Em processamento</t>
        </is>
      </c>
      <c r="F1152" s="2" t="inlineStr">
        <is>
          <t>Cartão de crédito</t>
        </is>
      </c>
      <c r="G1152" s="19" t="n">
        <v>0.05</v>
      </c>
    </row>
    <row r="1153">
      <c r="A1153" s="2" t="inlineStr">
        <is>
          <t>PED01152</t>
        </is>
      </c>
      <c r="B1153" s="3" t="n">
        <v>45993</v>
      </c>
      <c r="C1153" s="2" t="inlineStr">
        <is>
          <t>C0324</t>
        </is>
      </c>
      <c r="D1153" s="2" t="inlineStr">
        <is>
          <t>L03</t>
        </is>
      </c>
      <c r="E1153" s="2" t="inlineStr">
        <is>
          <t>Entregue</t>
        </is>
      </c>
      <c r="F1153" s="2" t="inlineStr">
        <is>
          <t>Transferência</t>
        </is>
      </c>
      <c r="G1153" s="19" t="n">
        <v>0</v>
      </c>
    </row>
    <row r="1154">
      <c r="A1154" s="2" t="inlineStr">
        <is>
          <t>PED01153</t>
        </is>
      </c>
      <c r="B1154" s="3" t="n">
        <v>45942</v>
      </c>
      <c r="C1154" s="2" t="inlineStr">
        <is>
          <t>C0246</t>
        </is>
      </c>
      <c r="D1154" s="2" t="inlineStr">
        <is>
          <t>L04</t>
        </is>
      </c>
      <c r="E1154" s="2" t="inlineStr">
        <is>
          <t>Entregue</t>
        </is>
      </c>
      <c r="F1154" s="2" t="inlineStr">
        <is>
          <t>Cartão de crédito</t>
        </is>
      </c>
      <c r="G1154" s="19" t="n">
        <v>0.03</v>
      </c>
    </row>
    <row r="1155">
      <c r="A1155" s="2" t="inlineStr">
        <is>
          <t>PED01154</t>
        </is>
      </c>
      <c r="B1155" s="3" t="n">
        <v>45864</v>
      </c>
      <c r="C1155" s="2" t="inlineStr">
        <is>
          <t>C0157</t>
        </is>
      </c>
      <c r="D1155" s="2" t="inlineStr">
        <is>
          <t>L02</t>
        </is>
      </c>
      <c r="E1155" s="2" t="inlineStr">
        <is>
          <t>Entregue</t>
        </is>
      </c>
      <c r="F1155" s="2" t="inlineStr">
        <is>
          <t>Cartão de crédito</t>
        </is>
      </c>
      <c r="G1155" s="19" t="n">
        <v>0</v>
      </c>
    </row>
    <row r="1156">
      <c r="A1156" s="2" t="inlineStr">
        <is>
          <t>PED01155</t>
        </is>
      </c>
      <c r="B1156" s="3" t="n">
        <v>45776</v>
      </c>
      <c r="C1156" s="2" t="inlineStr">
        <is>
          <t>C0337</t>
        </is>
      </c>
      <c r="D1156" s="2" t="inlineStr">
        <is>
          <t>L06</t>
        </is>
      </c>
      <c r="E1156" s="2" t="inlineStr">
        <is>
          <t>Entregue</t>
        </is>
      </c>
      <c r="F1156" s="2" t="inlineStr">
        <is>
          <t>Pix</t>
        </is>
      </c>
      <c r="G1156" s="19" t="n">
        <v>0</v>
      </c>
    </row>
    <row r="1157">
      <c r="A1157" s="2" t="inlineStr">
        <is>
          <t>PED01156</t>
        </is>
      </c>
      <c r="B1157" s="3" t="n">
        <v>45360</v>
      </c>
      <c r="C1157" s="2" t="inlineStr">
        <is>
          <t>C0189</t>
        </is>
      </c>
      <c r="D1157" s="2" t="inlineStr">
        <is>
          <t>L02</t>
        </is>
      </c>
      <c r="E1157" s="2" t="inlineStr">
        <is>
          <t>Entregue</t>
        </is>
      </c>
      <c r="F1157" s="2" t="inlineStr">
        <is>
          <t>Cartão de débito</t>
        </is>
      </c>
      <c r="G1157" s="19" t="n">
        <v>0</v>
      </c>
    </row>
    <row r="1158">
      <c r="A1158" s="2" t="inlineStr">
        <is>
          <t>PED01157</t>
        </is>
      </c>
      <c r="B1158" s="3" t="n">
        <v>45897</v>
      </c>
      <c r="C1158" s="2" t="inlineStr">
        <is>
          <t>C0165</t>
        </is>
      </c>
      <c r="D1158" s="2" t="inlineStr">
        <is>
          <t>L08</t>
        </is>
      </c>
      <c r="E1158" s="2" t="inlineStr">
        <is>
          <t>Entregue</t>
        </is>
      </c>
      <c r="F1158" s="2" t="inlineStr">
        <is>
          <t>Cartão de crédito</t>
        </is>
      </c>
      <c r="G1158" s="19" t="n">
        <v>0</v>
      </c>
    </row>
    <row r="1159">
      <c r="A1159" s="2" t="inlineStr">
        <is>
          <t>PED01158</t>
        </is>
      </c>
      <c r="B1159" s="3" t="n">
        <v>45364</v>
      </c>
      <c r="C1159" s="2" t="inlineStr">
        <is>
          <t>C0319</t>
        </is>
      </c>
      <c r="D1159" s="2" t="inlineStr">
        <is>
          <t>L08</t>
        </is>
      </c>
      <c r="E1159" s="2" t="inlineStr">
        <is>
          <t>Entregue</t>
        </is>
      </c>
      <c r="F1159" s="2" t="inlineStr">
        <is>
          <t>Cartão de débito</t>
        </is>
      </c>
      <c r="G1159" s="19" t="n">
        <v>0</v>
      </c>
    </row>
    <row r="1160">
      <c r="A1160" s="2" t="inlineStr">
        <is>
          <t>PED01159</t>
        </is>
      </c>
      <c r="B1160" s="3" t="n">
        <v>45836</v>
      </c>
      <c r="C1160" s="2" t="inlineStr">
        <is>
          <t>C0291</t>
        </is>
      </c>
      <c r="D1160" s="2" t="inlineStr">
        <is>
          <t>L08</t>
        </is>
      </c>
      <c r="E1160" s="2" t="inlineStr">
        <is>
          <t>Entregue</t>
        </is>
      </c>
      <c r="F1160" s="2" t="inlineStr">
        <is>
          <t>Cartão de crédito</t>
        </is>
      </c>
      <c r="G1160" s="19" t="n">
        <v>0.03</v>
      </c>
    </row>
    <row r="1161">
      <c r="A1161" s="2" t="inlineStr">
        <is>
          <t>PED01160</t>
        </is>
      </c>
      <c r="B1161" s="3" t="n">
        <v>45528</v>
      </c>
      <c r="C1161" s="2" t="inlineStr">
        <is>
          <t>C0041</t>
        </is>
      </c>
      <c r="D1161" s="2" t="inlineStr">
        <is>
          <t>L03</t>
        </is>
      </c>
      <c r="E1161" s="2" t="inlineStr">
        <is>
          <t>Entregue</t>
        </is>
      </c>
      <c r="F1161" s="2" t="inlineStr">
        <is>
          <t>Cartão de crédito</t>
        </is>
      </c>
      <c r="G1161" s="19" t="n">
        <v>0.05</v>
      </c>
    </row>
    <row r="1162">
      <c r="A1162" s="2" t="inlineStr">
        <is>
          <t>PED01161</t>
        </is>
      </c>
      <c r="B1162" s="3" t="n">
        <v>45839</v>
      </c>
      <c r="C1162" s="2" t="inlineStr">
        <is>
          <t>C0319</t>
        </is>
      </c>
      <c r="D1162" s="2" t="inlineStr">
        <is>
          <t>L08</t>
        </is>
      </c>
      <c r="E1162" s="2" t="inlineStr">
        <is>
          <t>Entregue</t>
        </is>
      </c>
      <c r="F1162" s="2" t="inlineStr">
        <is>
          <t>Cartão de crédito</t>
        </is>
      </c>
      <c r="G1162" s="19" t="n">
        <v>0</v>
      </c>
    </row>
    <row r="1163">
      <c r="A1163" s="2" t="inlineStr">
        <is>
          <t>PED01162</t>
        </is>
      </c>
      <c r="B1163" s="3" t="n">
        <v>45980</v>
      </c>
      <c r="C1163" s="2" t="inlineStr">
        <is>
          <t>C0297</t>
        </is>
      </c>
      <c r="D1163" s="2" t="inlineStr">
        <is>
          <t>L06</t>
        </is>
      </c>
      <c r="E1163" s="2" t="inlineStr">
        <is>
          <t>Entregue</t>
        </is>
      </c>
      <c r="F1163" s="2" t="inlineStr">
        <is>
          <t>Pix</t>
        </is>
      </c>
      <c r="G1163" s="19" t="n">
        <v>0</v>
      </c>
    </row>
    <row r="1164">
      <c r="A1164" s="2" t="inlineStr">
        <is>
          <t>PED01163</t>
        </is>
      </c>
      <c r="B1164" s="3" t="n">
        <v>45649</v>
      </c>
      <c r="C1164" s="2" t="inlineStr">
        <is>
          <t>C0249</t>
        </is>
      </c>
      <c r="D1164" s="2" t="inlineStr">
        <is>
          <t>L07</t>
        </is>
      </c>
      <c r="E1164" s="2" t="inlineStr">
        <is>
          <t>Entregue</t>
        </is>
      </c>
      <c r="F1164" s="2" t="inlineStr">
        <is>
          <t>Pix</t>
        </is>
      </c>
      <c r="G1164" s="19" t="n">
        <v>0.05</v>
      </c>
    </row>
    <row r="1165">
      <c r="A1165" s="2" t="inlineStr">
        <is>
          <t>PED01164</t>
        </is>
      </c>
      <c r="B1165" s="3" t="n">
        <v>45878</v>
      </c>
      <c r="C1165" s="2" t="inlineStr">
        <is>
          <t>C0230</t>
        </is>
      </c>
      <c r="D1165" s="2" t="inlineStr">
        <is>
          <t>L08</t>
        </is>
      </c>
      <c r="E1165" s="2" t="inlineStr">
        <is>
          <t>Em processamento</t>
        </is>
      </c>
      <c r="F1165" s="2" t="inlineStr">
        <is>
          <t>Boleto</t>
        </is>
      </c>
      <c r="G1165" s="19" t="n">
        <v>0</v>
      </c>
    </row>
    <row r="1166">
      <c r="A1166" s="2" t="inlineStr">
        <is>
          <t>PED01165</t>
        </is>
      </c>
      <c r="B1166" s="3" t="n">
        <v>45687</v>
      </c>
      <c r="C1166" s="2" t="inlineStr">
        <is>
          <t>C0140</t>
        </is>
      </c>
      <c r="D1166" s="2" t="inlineStr">
        <is>
          <t>L07</t>
        </is>
      </c>
      <c r="E1166" s="2" t="inlineStr">
        <is>
          <t>Entregue</t>
        </is>
      </c>
      <c r="F1166" s="2" t="inlineStr">
        <is>
          <t>Transferência</t>
        </is>
      </c>
      <c r="G1166" s="19" t="n">
        <v>0.03</v>
      </c>
    </row>
    <row r="1167">
      <c r="A1167" s="2" t="inlineStr">
        <is>
          <t>PED01166</t>
        </is>
      </c>
      <c r="B1167" s="3" t="n">
        <v>45520</v>
      </c>
      <c r="C1167" s="2" t="inlineStr">
        <is>
          <t>C0165</t>
        </is>
      </c>
      <c r="D1167" s="2" t="inlineStr">
        <is>
          <t>L04</t>
        </is>
      </c>
      <c r="E1167" s="2" t="inlineStr">
        <is>
          <t>Entregue</t>
        </is>
      </c>
      <c r="F1167" s="2" t="inlineStr">
        <is>
          <t>Cartão de crédito</t>
        </is>
      </c>
      <c r="G1167" s="19" t="n">
        <v>0.03</v>
      </c>
    </row>
    <row r="1168">
      <c r="A1168" s="2" t="inlineStr">
        <is>
          <t>PED01167</t>
        </is>
      </c>
      <c r="B1168" s="3" t="n">
        <v>45456</v>
      </c>
      <c r="C1168" s="2" t="inlineStr">
        <is>
          <t>C0237</t>
        </is>
      </c>
      <c r="D1168" s="2" t="inlineStr">
        <is>
          <t>L07</t>
        </is>
      </c>
      <c r="E1168" s="2" t="inlineStr">
        <is>
          <t>Entregue</t>
        </is>
      </c>
      <c r="F1168" s="2" t="inlineStr">
        <is>
          <t>Cartão de crédito</t>
        </is>
      </c>
      <c r="G1168" s="19" t="n">
        <v>0</v>
      </c>
    </row>
    <row r="1169">
      <c r="A1169" s="2" t="inlineStr">
        <is>
          <t>PED01168</t>
        </is>
      </c>
      <c r="B1169" s="3" t="n">
        <v>45927</v>
      </c>
      <c r="C1169" s="2" t="inlineStr">
        <is>
          <t>C0287</t>
        </is>
      </c>
      <c r="D1169" s="2" t="inlineStr">
        <is>
          <t>L06</t>
        </is>
      </c>
      <c r="E1169" s="2" t="inlineStr">
        <is>
          <t>Entregue</t>
        </is>
      </c>
      <c r="F1169" s="2" t="inlineStr">
        <is>
          <t>Cartão de crédito</t>
        </is>
      </c>
      <c r="G1169" s="19" t="n">
        <v>0</v>
      </c>
    </row>
    <row r="1170">
      <c r="A1170" s="2" t="inlineStr">
        <is>
          <t>PED01169</t>
        </is>
      </c>
      <c r="B1170" s="3" t="n">
        <v>45366</v>
      </c>
      <c r="C1170" s="2" t="inlineStr">
        <is>
          <t>C0157</t>
        </is>
      </c>
      <c r="D1170" s="2" t="inlineStr">
        <is>
          <t>L02</t>
        </is>
      </c>
      <c r="E1170" s="2" t="inlineStr">
        <is>
          <t>Entregue</t>
        </is>
      </c>
      <c r="F1170" s="2" t="inlineStr">
        <is>
          <t>Boleto</t>
        </is>
      </c>
      <c r="G1170" s="19" t="n">
        <v>0.05</v>
      </c>
    </row>
    <row r="1171">
      <c r="A1171" s="2" t="inlineStr">
        <is>
          <t>PED01170</t>
        </is>
      </c>
      <c r="B1171" s="3" t="n">
        <v>45984</v>
      </c>
      <c r="C1171" s="2" t="inlineStr">
        <is>
          <t>C0337</t>
        </is>
      </c>
      <c r="D1171" s="2" t="inlineStr">
        <is>
          <t>L03</t>
        </is>
      </c>
      <c r="E1171" s="2" t="inlineStr">
        <is>
          <t>Entregue</t>
        </is>
      </c>
      <c r="F1171" s="2" t="inlineStr">
        <is>
          <t>Pix</t>
        </is>
      </c>
      <c r="G1171" s="19" t="n">
        <v>0</v>
      </c>
    </row>
    <row r="1172">
      <c r="A1172" s="2" t="inlineStr">
        <is>
          <t>PED01171</t>
        </is>
      </c>
      <c r="B1172" s="3" t="n">
        <v>45826</v>
      </c>
      <c r="C1172" s="2" t="inlineStr">
        <is>
          <t>C0299</t>
        </is>
      </c>
      <c r="D1172" s="2" t="inlineStr">
        <is>
          <t>L05</t>
        </is>
      </c>
      <c r="E1172" s="2" t="inlineStr">
        <is>
          <t>Entregue</t>
        </is>
      </c>
      <c r="F1172" s="2" t="inlineStr">
        <is>
          <t>Pix</t>
        </is>
      </c>
      <c r="G1172" s="19" t="n">
        <v>0.15</v>
      </c>
    </row>
    <row r="1173">
      <c r="A1173" s="2" t="inlineStr">
        <is>
          <t>PED01172</t>
        </is>
      </c>
      <c r="B1173" s="3" t="n">
        <v>45891</v>
      </c>
      <c r="C1173" s="2" t="inlineStr">
        <is>
          <t>C0068</t>
        </is>
      </c>
      <c r="D1173" s="2" t="inlineStr">
        <is>
          <t>L03</t>
        </is>
      </c>
      <c r="E1173" s="2" t="inlineStr">
        <is>
          <t>Entregue</t>
        </is>
      </c>
      <c r="F1173" s="2" t="inlineStr">
        <is>
          <t>Pix</t>
        </is>
      </c>
      <c r="G1173" s="19" t="n">
        <v>0</v>
      </c>
    </row>
    <row r="1174">
      <c r="A1174" s="2" t="inlineStr">
        <is>
          <t>PED01173</t>
        </is>
      </c>
      <c r="B1174" s="3" t="n">
        <v>45656</v>
      </c>
      <c r="C1174" s="2" t="inlineStr">
        <is>
          <t>C0055</t>
        </is>
      </c>
      <c r="D1174" s="2" t="inlineStr">
        <is>
          <t>L03</t>
        </is>
      </c>
      <c r="E1174" s="2" t="inlineStr">
        <is>
          <t>Entregue</t>
        </is>
      </c>
      <c r="F1174" s="2" t="inlineStr">
        <is>
          <t>Pix</t>
        </is>
      </c>
      <c r="G1174" s="19" t="n">
        <v>0.1</v>
      </c>
    </row>
    <row r="1175">
      <c r="A1175" s="2" t="inlineStr">
        <is>
          <t>PED01174</t>
        </is>
      </c>
      <c r="B1175" s="3" t="n">
        <v>45935</v>
      </c>
      <c r="C1175" s="2" t="inlineStr">
        <is>
          <t>C0347</t>
        </is>
      </c>
      <c r="D1175" s="2" t="inlineStr">
        <is>
          <t>L08</t>
        </is>
      </c>
      <c r="E1175" s="2" t="inlineStr">
        <is>
          <t>Devolvido</t>
        </is>
      </c>
      <c r="F1175" s="2" t="inlineStr">
        <is>
          <t>Cartão de crédito</t>
        </is>
      </c>
      <c r="G1175" s="19" t="n">
        <v>0.03</v>
      </c>
    </row>
    <row r="1176">
      <c r="A1176" s="2" t="inlineStr">
        <is>
          <t>PED01175</t>
        </is>
      </c>
      <c r="B1176" s="3" t="n">
        <v>45341</v>
      </c>
      <c r="C1176" s="2" t="inlineStr">
        <is>
          <t>C0105</t>
        </is>
      </c>
      <c r="D1176" s="2" t="inlineStr">
        <is>
          <t>L05</t>
        </is>
      </c>
      <c r="E1176" s="2" t="inlineStr">
        <is>
          <t>Em processamento</t>
        </is>
      </c>
      <c r="F1176" s="2" t="inlineStr">
        <is>
          <t>Pix</t>
        </is>
      </c>
      <c r="G1176" s="19" t="n">
        <v>0</v>
      </c>
    </row>
    <row r="1177">
      <c r="A1177" s="2" t="inlineStr">
        <is>
          <t>PED01176</t>
        </is>
      </c>
      <c r="B1177" s="3" t="n">
        <v>45965</v>
      </c>
      <c r="C1177" s="2" t="inlineStr">
        <is>
          <t>C0203</t>
        </is>
      </c>
      <c r="D1177" s="2" t="inlineStr">
        <is>
          <t>L01</t>
        </is>
      </c>
      <c r="E1177" s="2" t="inlineStr">
        <is>
          <t>Entregue</t>
        </is>
      </c>
      <c r="F1177" s="2" t="inlineStr">
        <is>
          <t>Cartão de débito</t>
        </is>
      </c>
      <c r="G1177" s="19" t="n">
        <v>0.15</v>
      </c>
    </row>
    <row r="1178">
      <c r="A1178" s="2" t="inlineStr">
        <is>
          <t>PED01177</t>
        </is>
      </c>
      <c r="B1178" s="3" t="n">
        <v>45790</v>
      </c>
      <c r="C1178" s="2" t="inlineStr">
        <is>
          <t>C0225</t>
        </is>
      </c>
      <c r="D1178" s="2" t="inlineStr">
        <is>
          <t>L05</t>
        </is>
      </c>
      <c r="E1178" s="2" t="inlineStr">
        <is>
          <t>Entregue</t>
        </is>
      </c>
      <c r="F1178" s="2" t="inlineStr">
        <is>
          <t>Pix</t>
        </is>
      </c>
      <c r="G1178" s="19" t="n">
        <v>0.15</v>
      </c>
    </row>
    <row r="1179">
      <c r="A1179" s="2" t="inlineStr">
        <is>
          <t>PED01178</t>
        </is>
      </c>
      <c r="B1179" s="3" t="n">
        <v>45340</v>
      </c>
      <c r="C1179" s="2" t="inlineStr">
        <is>
          <t>C0084</t>
        </is>
      </c>
      <c r="D1179" s="2" t="inlineStr">
        <is>
          <t>L03</t>
        </is>
      </c>
      <c r="E1179" s="2" t="inlineStr">
        <is>
          <t>Entregue</t>
        </is>
      </c>
      <c r="F1179" s="2" t="inlineStr">
        <is>
          <t>Cartão de crédito</t>
        </is>
      </c>
      <c r="G1179" s="19" t="n">
        <v>0</v>
      </c>
    </row>
    <row r="1180">
      <c r="A1180" s="2" t="inlineStr">
        <is>
          <t>PED01179</t>
        </is>
      </c>
      <c r="B1180" s="3" t="n">
        <v>45495</v>
      </c>
      <c r="C1180" s="2" t="inlineStr">
        <is>
          <t>C0103</t>
        </is>
      </c>
      <c r="D1180" s="2" t="inlineStr">
        <is>
          <t>L03</t>
        </is>
      </c>
      <c r="E1180" s="2" t="inlineStr">
        <is>
          <t>Entregue</t>
        </is>
      </c>
      <c r="F1180" s="2" t="inlineStr">
        <is>
          <t>Pix</t>
        </is>
      </c>
      <c r="G1180" s="19" t="n">
        <v>0.1</v>
      </c>
    </row>
    <row r="1181">
      <c r="A1181" s="2" t="inlineStr">
        <is>
          <t>PED01180</t>
        </is>
      </c>
      <c r="B1181" s="3" t="n">
        <v>45402</v>
      </c>
      <c r="C1181" s="2" t="inlineStr">
        <is>
          <t>C0111</t>
        </is>
      </c>
      <c r="D1181" s="2" t="inlineStr">
        <is>
          <t>L04</t>
        </is>
      </c>
      <c r="E1181" s="2" t="inlineStr">
        <is>
          <t>Cancelado</t>
        </is>
      </c>
      <c r="F1181" s="2" t="inlineStr">
        <is>
          <t>Pix</t>
        </is>
      </c>
      <c r="G1181" s="19" t="n">
        <v>0</v>
      </c>
    </row>
    <row r="1182">
      <c r="A1182" s="2" t="inlineStr">
        <is>
          <t>PED01181</t>
        </is>
      </c>
      <c r="B1182" s="3" t="n">
        <v>45759</v>
      </c>
      <c r="C1182" s="2" t="inlineStr">
        <is>
          <t>C0187</t>
        </is>
      </c>
      <c r="D1182" s="2" t="inlineStr">
        <is>
          <t>L01</t>
        </is>
      </c>
      <c r="E1182" s="2" t="inlineStr">
        <is>
          <t>Entregue</t>
        </is>
      </c>
      <c r="F1182" s="2" t="inlineStr">
        <is>
          <t>Cartão de crédito</t>
        </is>
      </c>
      <c r="G1182" s="19" t="n">
        <v>0.1</v>
      </c>
    </row>
    <row r="1183">
      <c r="A1183" s="2" t="inlineStr">
        <is>
          <t>PED01182</t>
        </is>
      </c>
      <c r="B1183" s="3" t="n">
        <v>45469</v>
      </c>
      <c r="C1183" s="2" t="inlineStr">
        <is>
          <t>C0119</t>
        </is>
      </c>
      <c r="D1183" s="2" t="inlineStr">
        <is>
          <t>L05</t>
        </is>
      </c>
      <c r="E1183" s="2" t="inlineStr">
        <is>
          <t>Entregue</t>
        </is>
      </c>
      <c r="F1183" s="2" t="inlineStr">
        <is>
          <t>Pix</t>
        </is>
      </c>
      <c r="G1183" s="19" t="n">
        <v>0</v>
      </c>
    </row>
    <row r="1184">
      <c r="A1184" s="2" t="inlineStr">
        <is>
          <t>PED01183</t>
        </is>
      </c>
      <c r="B1184" s="3" t="n">
        <v>45887</v>
      </c>
      <c r="C1184" s="2" t="inlineStr">
        <is>
          <t>C0009</t>
        </is>
      </c>
      <c r="D1184" s="2" t="inlineStr">
        <is>
          <t>L02</t>
        </is>
      </c>
      <c r="E1184" s="2" t="inlineStr">
        <is>
          <t>Entregue</t>
        </is>
      </c>
      <c r="F1184" s="2" t="inlineStr">
        <is>
          <t>Pix</t>
        </is>
      </c>
      <c r="G1184" s="19" t="n">
        <v>0</v>
      </c>
    </row>
    <row r="1185">
      <c r="A1185" s="2" t="inlineStr">
        <is>
          <t>PED01184</t>
        </is>
      </c>
      <c r="B1185" s="3" t="n">
        <v>45779</v>
      </c>
      <c r="C1185" s="2" t="inlineStr">
        <is>
          <t>C0329</t>
        </is>
      </c>
      <c r="D1185" s="2" t="inlineStr">
        <is>
          <t>L08</t>
        </is>
      </c>
      <c r="E1185" s="2" t="inlineStr">
        <is>
          <t>Entregue</t>
        </is>
      </c>
      <c r="F1185" s="2" t="inlineStr">
        <is>
          <t>Pix</t>
        </is>
      </c>
      <c r="G1185" s="19" t="n">
        <v>0</v>
      </c>
    </row>
    <row r="1186">
      <c r="A1186" s="2" t="inlineStr">
        <is>
          <t>PED01185</t>
        </is>
      </c>
      <c r="B1186" s="3" t="n">
        <v>45772</v>
      </c>
      <c r="C1186" s="2" t="inlineStr">
        <is>
          <t>C0323</t>
        </is>
      </c>
      <c r="D1186" s="2" t="inlineStr">
        <is>
          <t>L03</t>
        </is>
      </c>
      <c r="E1186" s="2" t="inlineStr">
        <is>
          <t>Entregue</t>
        </is>
      </c>
      <c r="F1186" s="2" t="inlineStr">
        <is>
          <t>Boleto</t>
        </is>
      </c>
      <c r="G1186" s="19" t="n">
        <v>0</v>
      </c>
    </row>
    <row r="1187">
      <c r="A1187" s="2" t="inlineStr">
        <is>
          <t>PED01186</t>
        </is>
      </c>
      <c r="B1187" s="3" t="n">
        <v>45996</v>
      </c>
      <c r="C1187" s="2" t="inlineStr">
        <is>
          <t>C0176</t>
        </is>
      </c>
      <c r="D1187" s="2" t="inlineStr">
        <is>
          <t>L07</t>
        </is>
      </c>
      <c r="E1187" s="2" t="inlineStr">
        <is>
          <t>Entregue</t>
        </is>
      </c>
      <c r="F1187" s="2" t="inlineStr">
        <is>
          <t>Cartão de crédito</t>
        </is>
      </c>
      <c r="G1187" s="19" t="n">
        <v>0.05</v>
      </c>
    </row>
    <row r="1188">
      <c r="A1188" s="2" t="inlineStr">
        <is>
          <t>PED01187</t>
        </is>
      </c>
      <c r="B1188" s="3" t="n">
        <v>45817</v>
      </c>
      <c r="C1188" s="2" t="inlineStr">
        <is>
          <t>C0022</t>
        </is>
      </c>
      <c r="D1188" s="2" t="inlineStr">
        <is>
          <t>L04</t>
        </is>
      </c>
      <c r="E1188" s="2" t="inlineStr">
        <is>
          <t>Entregue</t>
        </is>
      </c>
      <c r="F1188" s="2" t="inlineStr">
        <is>
          <t>Transferência</t>
        </is>
      </c>
      <c r="G1188" s="19" t="n">
        <v>0.03</v>
      </c>
    </row>
    <row r="1189">
      <c r="A1189" s="2" t="inlineStr">
        <is>
          <t>PED01188</t>
        </is>
      </c>
      <c r="B1189" s="3" t="n">
        <v>46003</v>
      </c>
      <c r="C1189" s="2" t="inlineStr">
        <is>
          <t>C0182</t>
        </is>
      </c>
      <c r="D1189" s="2" t="inlineStr">
        <is>
          <t>L03</t>
        </is>
      </c>
      <c r="E1189" s="2" t="inlineStr">
        <is>
          <t>Entregue</t>
        </is>
      </c>
      <c r="F1189" s="2" t="inlineStr">
        <is>
          <t>Cartão de débito</t>
        </is>
      </c>
      <c r="G1189" s="19" t="n">
        <v>0.1</v>
      </c>
    </row>
    <row r="1190">
      <c r="A1190" s="2" t="inlineStr">
        <is>
          <t>PED01189</t>
        </is>
      </c>
      <c r="B1190" s="3" t="n">
        <v>45796</v>
      </c>
      <c r="C1190" s="2" t="inlineStr">
        <is>
          <t>C0199</t>
        </is>
      </c>
      <c r="D1190" s="2" t="inlineStr">
        <is>
          <t>L05</t>
        </is>
      </c>
      <c r="E1190" s="2" t="inlineStr">
        <is>
          <t>Entregue</t>
        </is>
      </c>
      <c r="F1190" s="2" t="inlineStr">
        <is>
          <t>Cartão de crédito</t>
        </is>
      </c>
      <c r="G1190" s="19" t="n">
        <v>0</v>
      </c>
    </row>
    <row r="1191">
      <c r="A1191" s="2" t="inlineStr">
        <is>
          <t>PED01190</t>
        </is>
      </c>
      <c r="B1191" s="3" t="n">
        <v>45472</v>
      </c>
      <c r="C1191" s="2" t="inlineStr">
        <is>
          <t>C0193</t>
        </is>
      </c>
      <c r="D1191" s="2" t="inlineStr">
        <is>
          <t>L06</t>
        </is>
      </c>
      <c r="E1191" s="2" t="inlineStr">
        <is>
          <t>Entregue</t>
        </is>
      </c>
      <c r="F1191" s="2" t="inlineStr">
        <is>
          <t>Pix</t>
        </is>
      </c>
      <c r="G1191" s="19" t="n">
        <v>0.1</v>
      </c>
    </row>
    <row r="1192">
      <c r="A1192" s="2" t="inlineStr">
        <is>
          <t>PED01191</t>
        </is>
      </c>
      <c r="B1192" s="3" t="n">
        <v>45601</v>
      </c>
      <c r="C1192" s="2" t="inlineStr">
        <is>
          <t>C0227</t>
        </is>
      </c>
      <c r="D1192" s="2" t="inlineStr">
        <is>
          <t>L01</t>
        </is>
      </c>
      <c r="E1192" s="2" t="inlineStr">
        <is>
          <t>Entregue</t>
        </is>
      </c>
      <c r="F1192" s="2" t="inlineStr">
        <is>
          <t>Cartão de débito</t>
        </is>
      </c>
      <c r="G1192" s="19" t="n">
        <v>0.03</v>
      </c>
    </row>
    <row r="1193">
      <c r="A1193" s="2" t="inlineStr">
        <is>
          <t>PED01192</t>
        </is>
      </c>
      <c r="B1193" s="3" t="n">
        <v>45992</v>
      </c>
      <c r="C1193" s="2" t="inlineStr">
        <is>
          <t>C0179</t>
        </is>
      </c>
      <c r="D1193" s="2" t="inlineStr">
        <is>
          <t>L02</t>
        </is>
      </c>
      <c r="E1193" s="2" t="inlineStr">
        <is>
          <t>Entregue</t>
        </is>
      </c>
      <c r="F1193" s="2" t="inlineStr">
        <is>
          <t>Boleto</t>
        </is>
      </c>
      <c r="G1193" s="19" t="n">
        <v>0</v>
      </c>
    </row>
    <row r="1194">
      <c r="A1194" s="2" t="inlineStr">
        <is>
          <t>PED01193</t>
        </is>
      </c>
      <c r="B1194" s="3" t="n">
        <v>45530</v>
      </c>
      <c r="C1194" s="2" t="inlineStr">
        <is>
          <t>C0138</t>
        </is>
      </c>
      <c r="D1194" s="2" t="inlineStr">
        <is>
          <t>L03</t>
        </is>
      </c>
      <c r="E1194" s="2" t="inlineStr">
        <is>
          <t>Entregue</t>
        </is>
      </c>
      <c r="F1194" s="2" t="inlineStr">
        <is>
          <t>Cartão de crédito</t>
        </is>
      </c>
      <c r="G1194" s="19" t="n">
        <v>0</v>
      </c>
    </row>
    <row r="1195">
      <c r="A1195" s="2" t="inlineStr">
        <is>
          <t>PED01194</t>
        </is>
      </c>
      <c r="B1195" s="3" t="n">
        <v>45374</v>
      </c>
      <c r="C1195" s="2" t="inlineStr">
        <is>
          <t>C0205</t>
        </is>
      </c>
      <c r="D1195" s="2" t="inlineStr">
        <is>
          <t>L06</t>
        </is>
      </c>
      <c r="E1195" s="2" t="inlineStr">
        <is>
          <t>Entregue</t>
        </is>
      </c>
      <c r="F1195" s="2" t="inlineStr">
        <is>
          <t>Pix</t>
        </is>
      </c>
      <c r="G1195" s="19" t="n">
        <v>0.05</v>
      </c>
    </row>
    <row r="1196">
      <c r="A1196" s="2" t="inlineStr">
        <is>
          <t>PED01195</t>
        </is>
      </c>
      <c r="B1196" s="3" t="n">
        <v>45446</v>
      </c>
      <c r="C1196" s="2" t="inlineStr">
        <is>
          <t>C0304</t>
        </is>
      </c>
      <c r="D1196" s="2" t="inlineStr">
        <is>
          <t>L05</t>
        </is>
      </c>
      <c r="E1196" s="2" t="inlineStr">
        <is>
          <t>Entregue</t>
        </is>
      </c>
      <c r="F1196" s="2" t="inlineStr">
        <is>
          <t>Cartão de crédito</t>
        </is>
      </c>
      <c r="G1196" s="19" t="n">
        <v>0.1</v>
      </c>
    </row>
    <row r="1197">
      <c r="A1197" s="2" t="inlineStr">
        <is>
          <t>PED01196</t>
        </is>
      </c>
      <c r="B1197" s="3" t="n">
        <v>45953</v>
      </c>
      <c r="C1197" s="2" t="inlineStr">
        <is>
          <t>C0210</t>
        </is>
      </c>
      <c r="D1197" s="2" t="inlineStr">
        <is>
          <t>L03</t>
        </is>
      </c>
      <c r="E1197" s="2" t="inlineStr">
        <is>
          <t>Cancelado</t>
        </is>
      </c>
      <c r="F1197" s="2" t="inlineStr">
        <is>
          <t>Cartão de débito</t>
        </is>
      </c>
      <c r="G1197" s="19" t="n">
        <v>0.05</v>
      </c>
    </row>
    <row r="1198">
      <c r="A1198" s="2" t="inlineStr">
        <is>
          <t>PED01197</t>
        </is>
      </c>
      <c r="B1198" s="3" t="n">
        <v>45336</v>
      </c>
      <c r="C1198" s="2" t="inlineStr">
        <is>
          <t>C0140</t>
        </is>
      </c>
      <c r="D1198" s="2" t="inlineStr">
        <is>
          <t>L04</t>
        </is>
      </c>
      <c r="E1198" s="2" t="inlineStr">
        <is>
          <t>Entregue</t>
        </is>
      </c>
      <c r="F1198" s="2" t="inlineStr">
        <is>
          <t>Pix</t>
        </is>
      </c>
      <c r="G1198" s="19" t="n">
        <v>0.1</v>
      </c>
    </row>
    <row r="1199">
      <c r="A1199" s="2" t="inlineStr">
        <is>
          <t>PED01198</t>
        </is>
      </c>
      <c r="B1199" s="3" t="n">
        <v>45370</v>
      </c>
      <c r="C1199" s="2" t="inlineStr">
        <is>
          <t>C0191</t>
        </is>
      </c>
      <c r="D1199" s="2" t="inlineStr">
        <is>
          <t>L05</t>
        </is>
      </c>
      <c r="E1199" s="2" t="inlineStr">
        <is>
          <t>Entregue</t>
        </is>
      </c>
      <c r="F1199" s="2" t="inlineStr">
        <is>
          <t>Boleto</t>
        </is>
      </c>
      <c r="G1199" s="19" t="n">
        <v>0</v>
      </c>
    </row>
    <row r="1200">
      <c r="A1200" s="2" t="inlineStr">
        <is>
          <t>PED01199</t>
        </is>
      </c>
      <c r="B1200" s="3" t="n">
        <v>45300</v>
      </c>
      <c r="C1200" s="2" t="inlineStr">
        <is>
          <t>C0054</t>
        </is>
      </c>
      <c r="D1200" s="2" t="inlineStr">
        <is>
          <t>L02</t>
        </is>
      </c>
      <c r="E1200" s="2" t="inlineStr">
        <is>
          <t>Entregue</t>
        </is>
      </c>
      <c r="F1200" s="2" t="inlineStr">
        <is>
          <t>Pix</t>
        </is>
      </c>
      <c r="G1200" s="19" t="n">
        <v>0.03</v>
      </c>
    </row>
    <row r="1201">
      <c r="A1201" s="2" t="inlineStr">
        <is>
          <t>PED01200</t>
        </is>
      </c>
      <c r="B1201" s="3" t="n">
        <v>45875</v>
      </c>
      <c r="C1201" s="2" t="inlineStr">
        <is>
          <t>C0258</t>
        </is>
      </c>
      <c r="D1201" s="2" t="inlineStr">
        <is>
          <t>L08</t>
        </is>
      </c>
      <c r="E1201" s="2" t="inlineStr">
        <is>
          <t>Entregue</t>
        </is>
      </c>
      <c r="F1201" s="2" t="inlineStr">
        <is>
          <t>Cartão de crédito</t>
        </is>
      </c>
      <c r="G1201" s="19" t="n">
        <v>0</v>
      </c>
    </row>
    <row r="1202">
      <c r="A1202" s="2" t="inlineStr">
        <is>
          <t>PED01201</t>
        </is>
      </c>
      <c r="B1202" s="3" t="n">
        <v>45413</v>
      </c>
      <c r="C1202" s="2" t="inlineStr">
        <is>
          <t>C0306</t>
        </is>
      </c>
      <c r="D1202" s="2" t="inlineStr">
        <is>
          <t>L07</t>
        </is>
      </c>
      <c r="E1202" s="2" t="inlineStr">
        <is>
          <t>Entregue</t>
        </is>
      </c>
      <c r="F1202" s="2" t="inlineStr">
        <is>
          <t>Pix</t>
        </is>
      </c>
      <c r="G1202" s="19" t="n">
        <v>0.05</v>
      </c>
    </row>
    <row r="1203">
      <c r="A1203" s="2" t="inlineStr">
        <is>
          <t>PED01202</t>
        </is>
      </c>
      <c r="B1203" s="3" t="n">
        <v>45440</v>
      </c>
      <c r="C1203" s="2" t="inlineStr">
        <is>
          <t>C0092</t>
        </is>
      </c>
      <c r="D1203" s="2" t="inlineStr">
        <is>
          <t>L02</t>
        </is>
      </c>
      <c r="E1203" s="2" t="inlineStr">
        <is>
          <t>Entregue</t>
        </is>
      </c>
      <c r="F1203" s="2" t="inlineStr">
        <is>
          <t>Pix</t>
        </is>
      </c>
      <c r="G1203" s="19" t="n">
        <v>0.05</v>
      </c>
    </row>
    <row r="1204">
      <c r="A1204" s="2" t="inlineStr">
        <is>
          <t>PED01203</t>
        </is>
      </c>
      <c r="B1204" s="3" t="n">
        <v>45407</v>
      </c>
      <c r="C1204" s="2" t="inlineStr">
        <is>
          <t>C0145</t>
        </is>
      </c>
      <c r="D1204" s="2" t="inlineStr">
        <is>
          <t>L08</t>
        </is>
      </c>
      <c r="E1204" s="2" t="inlineStr">
        <is>
          <t>Em processamento</t>
        </is>
      </c>
      <c r="F1204" s="2" t="inlineStr">
        <is>
          <t>Boleto</t>
        </is>
      </c>
      <c r="G1204" s="19" t="n">
        <v>0.03</v>
      </c>
    </row>
    <row r="1205">
      <c r="A1205" s="2" t="inlineStr">
        <is>
          <t>PED01204</t>
        </is>
      </c>
      <c r="B1205" s="3" t="n">
        <v>45818</v>
      </c>
      <c r="C1205" s="2" t="inlineStr">
        <is>
          <t>C0102</t>
        </is>
      </c>
      <c r="D1205" s="2" t="inlineStr">
        <is>
          <t>L02</t>
        </is>
      </c>
      <c r="E1205" s="2" t="inlineStr">
        <is>
          <t>Entregue</t>
        </is>
      </c>
      <c r="F1205" s="2" t="inlineStr">
        <is>
          <t>Pix</t>
        </is>
      </c>
      <c r="G1205" s="19" t="n">
        <v>0</v>
      </c>
    </row>
    <row r="1206">
      <c r="A1206" s="2" t="inlineStr">
        <is>
          <t>PED01205</t>
        </is>
      </c>
      <c r="B1206" s="3" t="n">
        <v>45648</v>
      </c>
      <c r="C1206" s="2" t="inlineStr">
        <is>
          <t>C0101</t>
        </is>
      </c>
      <c r="D1206" s="2" t="inlineStr">
        <is>
          <t>L03</t>
        </is>
      </c>
      <c r="E1206" s="2" t="inlineStr">
        <is>
          <t>Entregue</t>
        </is>
      </c>
      <c r="F1206" s="2" t="inlineStr">
        <is>
          <t>Pix</t>
        </is>
      </c>
      <c r="G1206" s="19" t="n">
        <v>0</v>
      </c>
    </row>
    <row r="1207">
      <c r="A1207" s="2" t="inlineStr">
        <is>
          <t>PED01206</t>
        </is>
      </c>
      <c r="B1207" s="3" t="n">
        <v>45922</v>
      </c>
      <c r="C1207" s="2" t="inlineStr">
        <is>
          <t>C0088</t>
        </is>
      </c>
      <c r="D1207" s="2" t="inlineStr">
        <is>
          <t>L01</t>
        </is>
      </c>
      <c r="E1207" s="2" t="inlineStr">
        <is>
          <t>Entregue</t>
        </is>
      </c>
      <c r="F1207" s="2" t="inlineStr">
        <is>
          <t>Cartão de crédito</t>
        </is>
      </c>
      <c r="G1207" s="19" t="n">
        <v>0.05</v>
      </c>
    </row>
    <row r="1208">
      <c r="A1208" s="2" t="inlineStr">
        <is>
          <t>PED01207</t>
        </is>
      </c>
      <c r="B1208" s="3" t="n">
        <v>45524</v>
      </c>
      <c r="C1208" s="2" t="inlineStr">
        <is>
          <t>C0091</t>
        </is>
      </c>
      <c r="D1208" s="2" t="inlineStr">
        <is>
          <t>L04</t>
        </is>
      </c>
      <c r="E1208" s="2" t="inlineStr">
        <is>
          <t>Cancelado</t>
        </is>
      </c>
      <c r="F1208" s="2" t="inlineStr">
        <is>
          <t>Cartão de crédito</t>
        </is>
      </c>
      <c r="G1208" s="19" t="n">
        <v>0.1</v>
      </c>
    </row>
    <row r="1209">
      <c r="A1209" s="2" t="inlineStr">
        <is>
          <t>PED01208</t>
        </is>
      </c>
      <c r="B1209" s="3" t="n">
        <v>45704</v>
      </c>
      <c r="C1209" s="2" t="inlineStr">
        <is>
          <t>C0091</t>
        </is>
      </c>
      <c r="D1209" s="2" t="inlineStr">
        <is>
          <t>L07</t>
        </is>
      </c>
      <c r="E1209" s="2" t="inlineStr">
        <is>
          <t>Entregue</t>
        </is>
      </c>
      <c r="F1209" s="2" t="inlineStr">
        <is>
          <t>Pix</t>
        </is>
      </c>
      <c r="G1209" s="19" t="n">
        <v>0.03</v>
      </c>
    </row>
    <row r="1210">
      <c r="A1210" s="2" t="inlineStr">
        <is>
          <t>PED01209</t>
        </is>
      </c>
      <c r="B1210" s="3" t="n">
        <v>45483</v>
      </c>
      <c r="C1210" s="2" t="inlineStr">
        <is>
          <t>C0237</t>
        </is>
      </c>
      <c r="D1210" s="2" t="inlineStr">
        <is>
          <t>L02</t>
        </is>
      </c>
      <c r="E1210" s="2" t="inlineStr">
        <is>
          <t>Entregue</t>
        </is>
      </c>
      <c r="F1210" s="2" t="inlineStr">
        <is>
          <t>Cartão de crédito</t>
        </is>
      </c>
      <c r="G1210" s="19" t="n">
        <v>0.1</v>
      </c>
    </row>
    <row r="1211">
      <c r="A1211" s="2" t="inlineStr">
        <is>
          <t>PED01210</t>
        </is>
      </c>
      <c r="B1211" s="3" t="n">
        <v>45463</v>
      </c>
      <c r="C1211" s="2" t="inlineStr">
        <is>
          <t>C0004</t>
        </is>
      </c>
      <c r="D1211" s="2" t="inlineStr">
        <is>
          <t>L02</t>
        </is>
      </c>
      <c r="E1211" s="2" t="inlineStr">
        <is>
          <t>Cancelado</t>
        </is>
      </c>
      <c r="F1211" s="2" t="inlineStr">
        <is>
          <t>Cartão de débito</t>
        </is>
      </c>
      <c r="G1211" s="19" t="n">
        <v>0</v>
      </c>
    </row>
    <row r="1212">
      <c r="A1212" s="2" t="inlineStr">
        <is>
          <t>PED01211</t>
        </is>
      </c>
      <c r="B1212" s="3" t="n">
        <v>45711</v>
      </c>
      <c r="C1212" s="2" t="inlineStr">
        <is>
          <t>C0060</t>
        </is>
      </c>
      <c r="D1212" s="2" t="inlineStr">
        <is>
          <t>L08</t>
        </is>
      </c>
      <c r="E1212" s="2" t="inlineStr">
        <is>
          <t>Em processamento</t>
        </is>
      </c>
      <c r="F1212" s="2" t="inlineStr">
        <is>
          <t>Cartão de débito</t>
        </is>
      </c>
      <c r="G1212" s="19" t="n">
        <v>0</v>
      </c>
    </row>
    <row r="1213">
      <c r="A1213" s="2" t="inlineStr">
        <is>
          <t>PED01212</t>
        </is>
      </c>
      <c r="B1213" s="3" t="n">
        <v>45446</v>
      </c>
      <c r="C1213" s="2" t="inlineStr">
        <is>
          <t>C0201</t>
        </is>
      </c>
      <c r="D1213" s="2" t="inlineStr">
        <is>
          <t>L07</t>
        </is>
      </c>
      <c r="E1213" s="2" t="inlineStr">
        <is>
          <t>Entregue</t>
        </is>
      </c>
      <c r="F1213" s="2" t="inlineStr">
        <is>
          <t>Transferência</t>
        </is>
      </c>
      <c r="G1213" s="19" t="n">
        <v>0</v>
      </c>
    </row>
    <row r="1214">
      <c r="A1214" s="2" t="inlineStr">
        <is>
          <t>PED01213</t>
        </is>
      </c>
      <c r="B1214" s="3" t="n">
        <v>45923</v>
      </c>
      <c r="C1214" s="2" t="inlineStr">
        <is>
          <t>C0260</t>
        </is>
      </c>
      <c r="D1214" s="2" t="inlineStr">
        <is>
          <t>L03</t>
        </is>
      </c>
      <c r="E1214" s="2" t="inlineStr">
        <is>
          <t>Entregue</t>
        </is>
      </c>
      <c r="F1214" s="2" t="inlineStr">
        <is>
          <t>Pix</t>
        </is>
      </c>
      <c r="G1214" s="19" t="n">
        <v>0</v>
      </c>
    </row>
    <row r="1215">
      <c r="A1215" s="2" t="inlineStr">
        <is>
          <t>PED01214</t>
        </is>
      </c>
      <c r="B1215" s="3" t="n">
        <v>45747</v>
      </c>
      <c r="C1215" s="2" t="inlineStr">
        <is>
          <t>C0138</t>
        </is>
      </c>
      <c r="D1215" s="2" t="inlineStr">
        <is>
          <t>L08</t>
        </is>
      </c>
      <c r="E1215" s="2" t="inlineStr">
        <is>
          <t>Entregue</t>
        </is>
      </c>
      <c r="F1215" s="2" t="inlineStr">
        <is>
          <t>Cartão de crédito</t>
        </is>
      </c>
      <c r="G1215" s="19" t="n">
        <v>0.03</v>
      </c>
    </row>
    <row r="1216">
      <c r="A1216" s="2" t="inlineStr">
        <is>
          <t>PED01215</t>
        </is>
      </c>
      <c r="B1216" s="3" t="n">
        <v>45574</v>
      </c>
      <c r="C1216" s="2" t="inlineStr">
        <is>
          <t>C0039</t>
        </is>
      </c>
      <c r="D1216" s="2" t="inlineStr">
        <is>
          <t>L04</t>
        </is>
      </c>
      <c r="E1216" s="2" t="inlineStr">
        <is>
          <t>Entregue</t>
        </is>
      </c>
      <c r="F1216" s="2" t="inlineStr">
        <is>
          <t>Cartão de débito</t>
        </is>
      </c>
      <c r="G1216" s="19" t="n">
        <v>0.1</v>
      </c>
    </row>
    <row r="1217">
      <c r="A1217" s="2" t="inlineStr">
        <is>
          <t>PED01216</t>
        </is>
      </c>
      <c r="B1217" s="3" t="n">
        <v>45823</v>
      </c>
      <c r="C1217" s="2" t="inlineStr">
        <is>
          <t>C0323</t>
        </is>
      </c>
      <c r="D1217" s="2" t="inlineStr">
        <is>
          <t>L06</t>
        </is>
      </c>
      <c r="E1217" s="2" t="inlineStr">
        <is>
          <t>Entregue</t>
        </is>
      </c>
      <c r="F1217" s="2" t="inlineStr">
        <is>
          <t>Cartão de débito</t>
        </is>
      </c>
      <c r="G1217" s="19" t="n">
        <v>0.03</v>
      </c>
    </row>
    <row r="1218">
      <c r="A1218" s="2" t="inlineStr">
        <is>
          <t>PED01217</t>
        </is>
      </c>
      <c r="B1218" s="3" t="n">
        <v>45911</v>
      </c>
      <c r="C1218" s="2" t="inlineStr">
        <is>
          <t>C0086</t>
        </is>
      </c>
      <c r="D1218" s="2" t="inlineStr">
        <is>
          <t>L07</t>
        </is>
      </c>
      <c r="E1218" s="2" t="inlineStr">
        <is>
          <t>Cancelado</t>
        </is>
      </c>
      <c r="F1218" s="2" t="inlineStr">
        <is>
          <t>Cartão de crédito</t>
        </is>
      </c>
      <c r="G1218" s="19" t="n">
        <v>0</v>
      </c>
    </row>
    <row r="1219">
      <c r="A1219" s="2" t="inlineStr">
        <is>
          <t>PED01218</t>
        </is>
      </c>
      <c r="B1219" s="3" t="n">
        <v>45550</v>
      </c>
      <c r="C1219" s="2" t="inlineStr">
        <is>
          <t>C0184</t>
        </is>
      </c>
      <c r="D1219" s="2" t="inlineStr">
        <is>
          <t>L02</t>
        </is>
      </c>
      <c r="E1219" s="2" t="inlineStr">
        <is>
          <t>Entregue</t>
        </is>
      </c>
      <c r="F1219" s="2" t="inlineStr">
        <is>
          <t>Pix</t>
        </is>
      </c>
      <c r="G1219" s="19" t="n">
        <v>0.1</v>
      </c>
    </row>
    <row r="1220">
      <c r="A1220" s="2" t="inlineStr">
        <is>
          <t>PED01219</t>
        </is>
      </c>
      <c r="B1220" s="3" t="n">
        <v>45400</v>
      </c>
      <c r="C1220" s="2" t="inlineStr">
        <is>
          <t>C0284</t>
        </is>
      </c>
      <c r="D1220" s="2" t="inlineStr">
        <is>
          <t>L06</t>
        </is>
      </c>
      <c r="E1220" s="2" t="inlineStr">
        <is>
          <t>Entregue</t>
        </is>
      </c>
      <c r="F1220" s="2" t="inlineStr">
        <is>
          <t>Boleto</t>
        </is>
      </c>
      <c r="G1220" s="19" t="n">
        <v>0</v>
      </c>
    </row>
    <row r="1221">
      <c r="A1221" s="2" t="inlineStr">
        <is>
          <t>PED01220</t>
        </is>
      </c>
      <c r="B1221" s="3" t="n">
        <v>45656</v>
      </c>
      <c r="C1221" s="2" t="inlineStr">
        <is>
          <t>C0331</t>
        </is>
      </c>
      <c r="D1221" s="2" t="inlineStr">
        <is>
          <t>L04</t>
        </is>
      </c>
      <c r="E1221" s="2" t="inlineStr">
        <is>
          <t>Entregue</t>
        </is>
      </c>
      <c r="F1221" s="2" t="inlineStr">
        <is>
          <t>Transferência</t>
        </is>
      </c>
      <c r="G1221" s="19" t="n">
        <v>0</v>
      </c>
    </row>
    <row r="1222">
      <c r="A1222" s="2" t="inlineStr">
        <is>
          <t>PED01221</t>
        </is>
      </c>
      <c r="B1222" s="3" t="n">
        <v>45593</v>
      </c>
      <c r="C1222" s="2" t="inlineStr">
        <is>
          <t>C0222</t>
        </is>
      </c>
      <c r="D1222" s="2" t="inlineStr">
        <is>
          <t>L08</t>
        </is>
      </c>
      <c r="E1222" s="2" t="inlineStr">
        <is>
          <t>Entregue</t>
        </is>
      </c>
      <c r="F1222" s="2" t="inlineStr">
        <is>
          <t>Cartão de crédito</t>
        </is>
      </c>
      <c r="G1222" s="19" t="n">
        <v>0.03</v>
      </c>
    </row>
    <row r="1223">
      <c r="A1223" s="2" t="inlineStr">
        <is>
          <t>PED01222</t>
        </is>
      </c>
      <c r="B1223" s="3" t="n">
        <v>45729</v>
      </c>
      <c r="C1223" s="2" t="inlineStr">
        <is>
          <t>C0191</t>
        </is>
      </c>
      <c r="D1223" s="2" t="inlineStr">
        <is>
          <t>L02</t>
        </is>
      </c>
      <c r="E1223" s="2" t="inlineStr">
        <is>
          <t>Entregue</t>
        </is>
      </c>
      <c r="F1223" s="2" t="inlineStr">
        <is>
          <t>Pix</t>
        </is>
      </c>
      <c r="G1223" s="19" t="n">
        <v>0</v>
      </c>
    </row>
    <row r="1224">
      <c r="A1224" s="2" t="inlineStr">
        <is>
          <t>PED01223</t>
        </is>
      </c>
      <c r="B1224" s="3" t="n">
        <v>45421</v>
      </c>
      <c r="C1224" s="2" t="inlineStr">
        <is>
          <t>C0060</t>
        </is>
      </c>
      <c r="D1224" s="2" t="inlineStr">
        <is>
          <t>L06</t>
        </is>
      </c>
      <c r="E1224" s="2" t="inlineStr">
        <is>
          <t>Em processamento</t>
        </is>
      </c>
      <c r="F1224" s="2" t="inlineStr">
        <is>
          <t>Cartão de crédito</t>
        </is>
      </c>
      <c r="G1224" s="19" t="n">
        <v>0.03</v>
      </c>
    </row>
    <row r="1225">
      <c r="A1225" s="2" t="inlineStr">
        <is>
          <t>PED01224</t>
        </is>
      </c>
      <c r="B1225" s="3" t="n">
        <v>45300</v>
      </c>
      <c r="C1225" s="2" t="inlineStr">
        <is>
          <t>C0170</t>
        </is>
      </c>
      <c r="D1225" s="2" t="inlineStr">
        <is>
          <t>L04</t>
        </is>
      </c>
      <c r="E1225" s="2" t="inlineStr">
        <is>
          <t>Entregue</t>
        </is>
      </c>
      <c r="F1225" s="2" t="inlineStr">
        <is>
          <t>Cartão de crédito</t>
        </is>
      </c>
      <c r="G1225" s="19" t="n">
        <v>0.05</v>
      </c>
    </row>
    <row r="1226">
      <c r="A1226" s="2" t="inlineStr">
        <is>
          <t>PED01225</t>
        </is>
      </c>
      <c r="B1226" s="3" t="n">
        <v>45993</v>
      </c>
      <c r="C1226" s="2" t="inlineStr">
        <is>
          <t>C0167</t>
        </is>
      </c>
      <c r="D1226" s="2" t="inlineStr">
        <is>
          <t>L06</t>
        </is>
      </c>
      <c r="E1226" s="2" t="inlineStr">
        <is>
          <t>Entregue</t>
        </is>
      </c>
      <c r="F1226" s="2" t="inlineStr">
        <is>
          <t>Cartão de crédito</t>
        </is>
      </c>
      <c r="G1226" s="19" t="n">
        <v>0</v>
      </c>
    </row>
    <row r="1227">
      <c r="A1227" s="2" t="inlineStr">
        <is>
          <t>PED01226</t>
        </is>
      </c>
      <c r="B1227" s="3" t="n">
        <v>45792</v>
      </c>
      <c r="C1227" s="2" t="inlineStr">
        <is>
          <t>C0042</t>
        </is>
      </c>
      <c r="D1227" s="2" t="inlineStr">
        <is>
          <t>L03</t>
        </is>
      </c>
      <c r="E1227" s="2" t="inlineStr">
        <is>
          <t>Entregue</t>
        </is>
      </c>
      <c r="F1227" s="2" t="inlineStr">
        <is>
          <t>Cartão de débito</t>
        </is>
      </c>
      <c r="G1227" s="19" t="n">
        <v>0</v>
      </c>
    </row>
    <row r="1228">
      <c r="A1228" s="2" t="inlineStr">
        <is>
          <t>PED01227</t>
        </is>
      </c>
      <c r="B1228" s="3" t="n">
        <v>45422</v>
      </c>
      <c r="C1228" s="2" t="inlineStr">
        <is>
          <t>C0338</t>
        </is>
      </c>
      <c r="D1228" s="2" t="inlineStr">
        <is>
          <t>L03</t>
        </is>
      </c>
      <c r="E1228" s="2" t="inlineStr">
        <is>
          <t>Em processamento</t>
        </is>
      </c>
      <c r="F1228" s="2" t="inlineStr">
        <is>
          <t>Boleto</t>
        </is>
      </c>
      <c r="G1228" s="19" t="n">
        <v>0</v>
      </c>
    </row>
    <row r="1229">
      <c r="A1229" s="2" t="inlineStr">
        <is>
          <t>PED01228</t>
        </is>
      </c>
      <c r="B1229" s="3" t="n">
        <v>45544</v>
      </c>
      <c r="C1229" s="2" t="inlineStr">
        <is>
          <t>C0317</t>
        </is>
      </c>
      <c r="D1229" s="2" t="inlineStr">
        <is>
          <t>L06</t>
        </is>
      </c>
      <c r="E1229" s="2" t="inlineStr">
        <is>
          <t>Entregue</t>
        </is>
      </c>
      <c r="F1229" s="2" t="inlineStr">
        <is>
          <t>Cartão de débito</t>
        </is>
      </c>
      <c r="G1229" s="19" t="n">
        <v>0</v>
      </c>
    </row>
    <row r="1230">
      <c r="A1230" s="2" t="inlineStr">
        <is>
          <t>PED01229</t>
        </is>
      </c>
      <c r="B1230" s="3" t="n">
        <v>45395</v>
      </c>
      <c r="C1230" s="2" t="inlineStr">
        <is>
          <t>C0208</t>
        </is>
      </c>
      <c r="D1230" s="2" t="inlineStr">
        <is>
          <t>L02</t>
        </is>
      </c>
      <c r="E1230" s="2" t="inlineStr">
        <is>
          <t>Devolvido</t>
        </is>
      </c>
      <c r="F1230" s="2" t="inlineStr">
        <is>
          <t>Cartão de crédito</t>
        </is>
      </c>
      <c r="G1230" s="19" t="n">
        <v>0</v>
      </c>
    </row>
    <row r="1231">
      <c r="A1231" s="2" t="inlineStr">
        <is>
          <t>PED01230</t>
        </is>
      </c>
      <c r="B1231" s="3" t="n">
        <v>45833</v>
      </c>
      <c r="C1231" s="2" t="inlineStr">
        <is>
          <t>C0327</t>
        </is>
      </c>
      <c r="D1231" s="2" t="inlineStr">
        <is>
          <t>L01</t>
        </is>
      </c>
      <c r="E1231" s="2" t="inlineStr">
        <is>
          <t>Entregue</t>
        </is>
      </c>
      <c r="F1231" s="2" t="inlineStr">
        <is>
          <t>Cartão de crédito</t>
        </is>
      </c>
      <c r="G1231" s="19" t="n">
        <v>0</v>
      </c>
    </row>
    <row r="1232">
      <c r="A1232" s="2" t="inlineStr">
        <is>
          <t>PED01231</t>
        </is>
      </c>
      <c r="B1232" s="3" t="n">
        <v>45596</v>
      </c>
      <c r="C1232" s="2" t="inlineStr">
        <is>
          <t>C0225</t>
        </is>
      </c>
      <c r="D1232" s="2" t="inlineStr">
        <is>
          <t>L05</t>
        </is>
      </c>
      <c r="E1232" s="2" t="inlineStr">
        <is>
          <t>Entregue</t>
        </is>
      </c>
      <c r="F1232" s="2" t="inlineStr">
        <is>
          <t>Cartão de débito</t>
        </is>
      </c>
      <c r="G1232" s="19" t="n">
        <v>0.03</v>
      </c>
    </row>
    <row r="1233">
      <c r="A1233" s="2" t="inlineStr">
        <is>
          <t>PED01232</t>
        </is>
      </c>
      <c r="B1233" s="3" t="n">
        <v>45633</v>
      </c>
      <c r="C1233" s="2" t="inlineStr">
        <is>
          <t>C0119</t>
        </is>
      </c>
      <c r="D1233" s="2" t="inlineStr">
        <is>
          <t>L08</t>
        </is>
      </c>
      <c r="E1233" s="2" t="inlineStr">
        <is>
          <t>Entregue</t>
        </is>
      </c>
      <c r="F1233" s="2" t="inlineStr">
        <is>
          <t>Pix</t>
        </is>
      </c>
      <c r="G1233" s="19" t="n">
        <v>0</v>
      </c>
    </row>
    <row r="1234">
      <c r="A1234" s="2" t="inlineStr">
        <is>
          <t>PED01233</t>
        </is>
      </c>
      <c r="B1234" s="3" t="n">
        <v>45825</v>
      </c>
      <c r="C1234" s="2" t="inlineStr">
        <is>
          <t>C0308</t>
        </is>
      </c>
      <c r="D1234" s="2" t="inlineStr">
        <is>
          <t>L03</t>
        </is>
      </c>
      <c r="E1234" s="2" t="inlineStr">
        <is>
          <t>Entregue</t>
        </is>
      </c>
      <c r="F1234" s="2" t="inlineStr">
        <is>
          <t>Pix</t>
        </is>
      </c>
      <c r="G1234" s="19" t="n">
        <v>0.03</v>
      </c>
    </row>
    <row r="1235">
      <c r="A1235" s="2" t="inlineStr">
        <is>
          <t>PED01234</t>
        </is>
      </c>
      <c r="B1235" s="3" t="n">
        <v>45584</v>
      </c>
      <c r="C1235" s="2" t="inlineStr">
        <is>
          <t>C0285</t>
        </is>
      </c>
      <c r="D1235" s="2" t="inlineStr">
        <is>
          <t>L07</t>
        </is>
      </c>
      <c r="E1235" s="2" t="inlineStr">
        <is>
          <t>Entregue</t>
        </is>
      </c>
      <c r="F1235" s="2" t="inlineStr">
        <is>
          <t>Cartão de débito</t>
        </is>
      </c>
      <c r="G1235" s="19" t="n">
        <v>0</v>
      </c>
    </row>
    <row r="1236">
      <c r="A1236" s="2" t="inlineStr">
        <is>
          <t>PED01235</t>
        </is>
      </c>
      <c r="B1236" s="3" t="n">
        <v>45509</v>
      </c>
      <c r="C1236" s="2" t="inlineStr">
        <is>
          <t>C0168</t>
        </is>
      </c>
      <c r="D1236" s="2" t="inlineStr">
        <is>
          <t>L04</t>
        </is>
      </c>
      <c r="E1236" s="2" t="inlineStr">
        <is>
          <t>Entregue</t>
        </is>
      </c>
      <c r="F1236" s="2" t="inlineStr">
        <is>
          <t>Cartão de débito</t>
        </is>
      </c>
      <c r="G1236" s="19" t="n">
        <v>0.03</v>
      </c>
    </row>
    <row r="1237">
      <c r="A1237" s="2" t="inlineStr">
        <is>
          <t>PED01236</t>
        </is>
      </c>
      <c r="B1237" s="3" t="n">
        <v>45484</v>
      </c>
      <c r="C1237" s="2" t="inlineStr">
        <is>
          <t>C0150</t>
        </is>
      </c>
      <c r="D1237" s="2" t="inlineStr">
        <is>
          <t>L05</t>
        </is>
      </c>
      <c r="E1237" s="2" t="inlineStr">
        <is>
          <t>Cancelado</t>
        </is>
      </c>
      <c r="F1237" s="2" t="inlineStr">
        <is>
          <t>Cartão de crédito</t>
        </is>
      </c>
      <c r="G1237" s="19" t="n">
        <v>0.05</v>
      </c>
    </row>
    <row r="1238">
      <c r="A1238" s="2" t="inlineStr">
        <is>
          <t>PED01237</t>
        </is>
      </c>
      <c r="B1238" s="3" t="n">
        <v>45521</v>
      </c>
      <c r="C1238" s="2" t="inlineStr">
        <is>
          <t>C0108</t>
        </is>
      </c>
      <c r="D1238" s="2" t="inlineStr">
        <is>
          <t>L07</t>
        </is>
      </c>
      <c r="E1238" s="2" t="inlineStr">
        <is>
          <t>Entregue</t>
        </is>
      </c>
      <c r="F1238" s="2" t="inlineStr">
        <is>
          <t>Cartão de crédito</t>
        </is>
      </c>
      <c r="G1238" s="19" t="n">
        <v>0</v>
      </c>
    </row>
    <row r="1239">
      <c r="A1239" s="2" t="inlineStr">
        <is>
          <t>PED01238</t>
        </is>
      </c>
      <c r="B1239" s="3" t="n">
        <v>45321</v>
      </c>
      <c r="C1239" s="2" t="inlineStr">
        <is>
          <t>C0019</t>
        </is>
      </c>
      <c r="D1239" s="2" t="inlineStr">
        <is>
          <t>L02</t>
        </is>
      </c>
      <c r="E1239" s="2" t="inlineStr">
        <is>
          <t>Entregue</t>
        </is>
      </c>
      <c r="F1239" s="2" t="inlineStr">
        <is>
          <t>Cartão de crédito</t>
        </is>
      </c>
      <c r="G1239" s="19" t="n">
        <v>0</v>
      </c>
    </row>
    <row r="1240">
      <c r="A1240" s="2" t="inlineStr">
        <is>
          <t>PED01239</t>
        </is>
      </c>
      <c r="B1240" s="3" t="n">
        <v>45389</v>
      </c>
      <c r="C1240" s="2" t="inlineStr">
        <is>
          <t>C0044</t>
        </is>
      </c>
      <c r="D1240" s="2" t="inlineStr">
        <is>
          <t>L07</t>
        </is>
      </c>
      <c r="E1240" s="2" t="inlineStr">
        <is>
          <t>Entregue</t>
        </is>
      </c>
      <c r="F1240" s="2" t="inlineStr">
        <is>
          <t>Pix</t>
        </is>
      </c>
      <c r="G1240" s="19" t="n">
        <v>0</v>
      </c>
    </row>
    <row r="1241">
      <c r="A1241" s="2" t="inlineStr">
        <is>
          <t>PED01240</t>
        </is>
      </c>
      <c r="B1241" s="3" t="n">
        <v>45888</v>
      </c>
      <c r="C1241" s="2" t="inlineStr">
        <is>
          <t>C0190</t>
        </is>
      </c>
      <c r="D1241" s="2" t="inlineStr">
        <is>
          <t>L08</t>
        </is>
      </c>
      <c r="E1241" s="2" t="inlineStr">
        <is>
          <t>Entregue</t>
        </is>
      </c>
      <c r="F1241" s="2" t="inlineStr">
        <is>
          <t>Boleto</t>
        </is>
      </c>
      <c r="G1241" s="19" t="n">
        <v>0</v>
      </c>
    </row>
    <row r="1242">
      <c r="A1242" s="2" t="inlineStr">
        <is>
          <t>PED01241</t>
        </is>
      </c>
      <c r="B1242" s="3" t="n">
        <v>45365</v>
      </c>
      <c r="C1242" s="2" t="inlineStr">
        <is>
          <t>C0226</t>
        </is>
      </c>
      <c r="D1242" s="2" t="inlineStr">
        <is>
          <t>L08</t>
        </is>
      </c>
      <c r="E1242" s="2" t="inlineStr">
        <is>
          <t>Entregue</t>
        </is>
      </c>
      <c r="F1242" s="2" t="inlineStr">
        <is>
          <t>Cartão de crédito</t>
        </is>
      </c>
      <c r="G1242" s="19" t="n">
        <v>0.1</v>
      </c>
    </row>
    <row r="1243">
      <c r="A1243" s="2" t="inlineStr">
        <is>
          <t>PED01242</t>
        </is>
      </c>
      <c r="B1243" s="3" t="n">
        <v>45598</v>
      </c>
      <c r="C1243" s="2" t="inlineStr">
        <is>
          <t>C0135</t>
        </is>
      </c>
      <c r="D1243" s="2" t="inlineStr">
        <is>
          <t>L06</t>
        </is>
      </c>
      <c r="E1243" s="2" t="inlineStr">
        <is>
          <t>Entregue</t>
        </is>
      </c>
      <c r="F1243" s="2" t="inlineStr">
        <is>
          <t>Cartão de débito</t>
        </is>
      </c>
      <c r="G1243" s="19" t="n">
        <v>0.1</v>
      </c>
    </row>
    <row r="1244">
      <c r="A1244" s="2" t="inlineStr">
        <is>
          <t>PED01243</t>
        </is>
      </c>
      <c r="B1244" s="3" t="n">
        <v>45692</v>
      </c>
      <c r="C1244" s="2" t="inlineStr">
        <is>
          <t>C0268</t>
        </is>
      </c>
      <c r="D1244" s="2" t="inlineStr">
        <is>
          <t>L02</t>
        </is>
      </c>
      <c r="E1244" s="2" t="inlineStr">
        <is>
          <t>Entregue</t>
        </is>
      </c>
      <c r="F1244" s="2" t="inlineStr">
        <is>
          <t>Cartão de débito</t>
        </is>
      </c>
      <c r="G1244" s="19" t="n">
        <v>0.05</v>
      </c>
    </row>
    <row r="1245">
      <c r="A1245" s="2" t="inlineStr">
        <is>
          <t>PED01244</t>
        </is>
      </c>
      <c r="B1245" s="3" t="n">
        <v>45841</v>
      </c>
      <c r="C1245" s="2" t="inlineStr">
        <is>
          <t>C0059</t>
        </is>
      </c>
      <c r="D1245" s="2" t="inlineStr">
        <is>
          <t>L02</t>
        </is>
      </c>
      <c r="E1245" s="2" t="inlineStr">
        <is>
          <t>Entregue</t>
        </is>
      </c>
      <c r="F1245" s="2" t="inlineStr">
        <is>
          <t>Cartão de crédito</t>
        </is>
      </c>
      <c r="G1245" s="19" t="n">
        <v>0.15</v>
      </c>
    </row>
    <row r="1246">
      <c r="A1246" s="2" t="inlineStr">
        <is>
          <t>PED01245</t>
        </is>
      </c>
      <c r="B1246" s="3" t="n">
        <v>45399</v>
      </c>
      <c r="C1246" s="2" t="inlineStr">
        <is>
          <t>C0228</t>
        </is>
      </c>
      <c r="D1246" s="2" t="inlineStr">
        <is>
          <t>L08</t>
        </is>
      </c>
      <c r="E1246" s="2" t="inlineStr">
        <is>
          <t>Entregue</t>
        </is>
      </c>
      <c r="F1246" s="2" t="inlineStr">
        <is>
          <t>Cartão de crédito</t>
        </is>
      </c>
      <c r="G1246" s="19" t="n">
        <v>0</v>
      </c>
    </row>
    <row r="1247">
      <c r="A1247" s="2" t="inlineStr">
        <is>
          <t>PED01246</t>
        </is>
      </c>
      <c r="B1247" s="3" t="n">
        <v>45976</v>
      </c>
      <c r="C1247" s="2" t="inlineStr">
        <is>
          <t>C0164</t>
        </is>
      </c>
      <c r="D1247" s="2" t="inlineStr">
        <is>
          <t>L04</t>
        </is>
      </c>
      <c r="E1247" s="2" t="inlineStr">
        <is>
          <t>Entregue</t>
        </is>
      </c>
      <c r="F1247" s="2" t="inlineStr">
        <is>
          <t>Cartão de crédito</t>
        </is>
      </c>
      <c r="G1247" s="19" t="n">
        <v>0.05</v>
      </c>
    </row>
    <row r="1248">
      <c r="A1248" s="2" t="inlineStr">
        <is>
          <t>PED01247</t>
        </is>
      </c>
      <c r="B1248" s="3" t="n">
        <v>45546</v>
      </c>
      <c r="C1248" s="2" t="inlineStr">
        <is>
          <t>C0273</t>
        </is>
      </c>
      <c r="D1248" s="2" t="inlineStr">
        <is>
          <t>L03</t>
        </is>
      </c>
      <c r="E1248" s="2" t="inlineStr">
        <is>
          <t>Cancelado</t>
        </is>
      </c>
      <c r="F1248" s="2" t="inlineStr">
        <is>
          <t>Transferência</t>
        </is>
      </c>
      <c r="G1248" s="19" t="n">
        <v>0</v>
      </c>
    </row>
    <row r="1249">
      <c r="A1249" s="2" t="inlineStr">
        <is>
          <t>PED01248</t>
        </is>
      </c>
      <c r="B1249" s="3" t="n">
        <v>45395</v>
      </c>
      <c r="C1249" s="2" t="inlineStr">
        <is>
          <t>C0258</t>
        </is>
      </c>
      <c r="D1249" s="2" t="inlineStr">
        <is>
          <t>L02</t>
        </is>
      </c>
      <c r="E1249" s="2" t="inlineStr">
        <is>
          <t>Entregue</t>
        </is>
      </c>
      <c r="F1249" s="2" t="inlineStr">
        <is>
          <t>Cartão de crédito</t>
        </is>
      </c>
      <c r="G1249" s="19" t="n">
        <v>0.1</v>
      </c>
    </row>
    <row r="1250">
      <c r="A1250" s="2" t="inlineStr">
        <is>
          <t>PED01249</t>
        </is>
      </c>
      <c r="B1250" s="3" t="n">
        <v>45835</v>
      </c>
      <c r="C1250" s="2" t="inlineStr">
        <is>
          <t>C0255</t>
        </is>
      </c>
      <c r="D1250" s="2" t="inlineStr">
        <is>
          <t>L04</t>
        </is>
      </c>
      <c r="E1250" s="2" t="inlineStr">
        <is>
          <t>Entregue</t>
        </is>
      </c>
      <c r="F1250" s="2" t="inlineStr">
        <is>
          <t>Cartão de crédito</t>
        </is>
      </c>
      <c r="G1250" s="19" t="n">
        <v>0.1</v>
      </c>
    </row>
    <row r="1251">
      <c r="A1251" s="2" t="inlineStr">
        <is>
          <t>PED01250</t>
        </is>
      </c>
      <c r="B1251" s="3" t="n">
        <v>45873</v>
      </c>
      <c r="C1251" s="2" t="inlineStr">
        <is>
          <t>C0126</t>
        </is>
      </c>
      <c r="D1251" s="2" t="inlineStr">
        <is>
          <t>L04</t>
        </is>
      </c>
      <c r="E1251" s="2" t="inlineStr">
        <is>
          <t>Entregue</t>
        </is>
      </c>
      <c r="F1251" s="2" t="inlineStr">
        <is>
          <t>Cartão de débito</t>
        </is>
      </c>
      <c r="G1251" s="19" t="n">
        <v>0</v>
      </c>
    </row>
    <row r="1252">
      <c r="A1252" s="2" t="inlineStr">
        <is>
          <t>PED01251</t>
        </is>
      </c>
      <c r="B1252" s="3" t="n">
        <v>45732</v>
      </c>
      <c r="C1252" s="2" t="inlineStr">
        <is>
          <t>C0047</t>
        </is>
      </c>
      <c r="D1252" s="2" t="inlineStr">
        <is>
          <t>L06</t>
        </is>
      </c>
      <c r="E1252" s="2" t="inlineStr">
        <is>
          <t>Entregue</t>
        </is>
      </c>
      <c r="F1252" s="2" t="inlineStr">
        <is>
          <t>Pix</t>
        </is>
      </c>
      <c r="G1252" s="19" t="n">
        <v>0.05</v>
      </c>
    </row>
    <row r="1253">
      <c r="A1253" s="2" t="inlineStr">
        <is>
          <t>PED01252</t>
        </is>
      </c>
      <c r="B1253" s="3" t="n">
        <v>45537</v>
      </c>
      <c r="C1253" s="2" t="inlineStr">
        <is>
          <t>C0300</t>
        </is>
      </c>
      <c r="D1253" s="2" t="inlineStr">
        <is>
          <t>L08</t>
        </is>
      </c>
      <c r="E1253" s="2" t="inlineStr">
        <is>
          <t>Entregue</t>
        </is>
      </c>
      <c r="F1253" s="2" t="inlineStr">
        <is>
          <t>Cartão de crédito</t>
        </is>
      </c>
      <c r="G1253" s="19" t="n">
        <v>0.1</v>
      </c>
    </row>
    <row r="1254">
      <c r="A1254" s="2" t="inlineStr">
        <is>
          <t>PED01253</t>
        </is>
      </c>
      <c r="B1254" s="3" t="n">
        <v>45987</v>
      </c>
      <c r="C1254" s="2" t="inlineStr">
        <is>
          <t>C0315</t>
        </is>
      </c>
      <c r="D1254" s="2" t="inlineStr">
        <is>
          <t>L01</t>
        </is>
      </c>
      <c r="E1254" s="2" t="inlineStr">
        <is>
          <t>Entregue</t>
        </is>
      </c>
      <c r="F1254" s="2" t="inlineStr">
        <is>
          <t>Cartão de débito</t>
        </is>
      </c>
      <c r="G1254" s="19" t="n">
        <v>0.1</v>
      </c>
    </row>
    <row r="1255">
      <c r="A1255" s="2" t="inlineStr">
        <is>
          <t>PED01254</t>
        </is>
      </c>
      <c r="B1255" s="3" t="n">
        <v>45957</v>
      </c>
      <c r="C1255" s="2" t="inlineStr">
        <is>
          <t>C0194</t>
        </is>
      </c>
      <c r="D1255" s="2" t="inlineStr">
        <is>
          <t>L07</t>
        </is>
      </c>
      <c r="E1255" s="2" t="inlineStr">
        <is>
          <t>Entregue</t>
        </is>
      </c>
      <c r="F1255" s="2" t="inlineStr">
        <is>
          <t>Boleto</t>
        </is>
      </c>
      <c r="G1255" s="19" t="n">
        <v>0</v>
      </c>
    </row>
    <row r="1256">
      <c r="A1256" s="2" t="inlineStr">
        <is>
          <t>PED01255</t>
        </is>
      </c>
      <c r="B1256" s="3" t="n">
        <v>45399</v>
      </c>
      <c r="C1256" s="2" t="inlineStr">
        <is>
          <t>C0320</t>
        </is>
      </c>
      <c r="D1256" s="2" t="inlineStr">
        <is>
          <t>L08</t>
        </is>
      </c>
      <c r="E1256" s="2" t="inlineStr">
        <is>
          <t>Em processamento</t>
        </is>
      </c>
      <c r="F1256" s="2" t="inlineStr">
        <is>
          <t>Cartão de crédito</t>
        </is>
      </c>
      <c r="G1256" s="19" t="n">
        <v>0.1</v>
      </c>
    </row>
    <row r="1257">
      <c r="A1257" s="2" t="inlineStr">
        <is>
          <t>PED01256</t>
        </is>
      </c>
      <c r="B1257" s="3" t="n">
        <v>45485</v>
      </c>
      <c r="C1257" s="2" t="inlineStr">
        <is>
          <t>C0343</t>
        </is>
      </c>
      <c r="D1257" s="2" t="inlineStr">
        <is>
          <t>L01</t>
        </is>
      </c>
      <c r="E1257" s="2" t="inlineStr">
        <is>
          <t>Entregue</t>
        </is>
      </c>
      <c r="F1257" s="2" t="inlineStr">
        <is>
          <t>Transferência</t>
        </is>
      </c>
      <c r="G1257" s="19" t="n">
        <v>0</v>
      </c>
    </row>
    <row r="1258">
      <c r="A1258" s="2" t="inlineStr">
        <is>
          <t>PED01257</t>
        </is>
      </c>
      <c r="B1258" s="3" t="n">
        <v>45813</v>
      </c>
      <c r="C1258" s="2" t="inlineStr">
        <is>
          <t>C0053</t>
        </is>
      </c>
      <c r="D1258" s="2" t="inlineStr">
        <is>
          <t>L05</t>
        </is>
      </c>
      <c r="E1258" s="2" t="inlineStr">
        <is>
          <t>Entregue</t>
        </is>
      </c>
      <c r="F1258" s="2" t="inlineStr">
        <is>
          <t>Cartão de débito</t>
        </is>
      </c>
      <c r="G1258" s="19" t="n">
        <v>0.03</v>
      </c>
    </row>
    <row r="1259">
      <c r="A1259" s="2" t="inlineStr">
        <is>
          <t>PED01258</t>
        </is>
      </c>
      <c r="B1259" s="3" t="n">
        <v>45337</v>
      </c>
      <c r="C1259" s="2" t="inlineStr">
        <is>
          <t>C0215</t>
        </is>
      </c>
      <c r="D1259" s="2" t="inlineStr">
        <is>
          <t>L08</t>
        </is>
      </c>
      <c r="E1259" s="2" t="inlineStr">
        <is>
          <t>Entregue</t>
        </is>
      </c>
      <c r="F1259" s="2" t="inlineStr">
        <is>
          <t>Cartão de débito</t>
        </is>
      </c>
      <c r="G1259" s="19" t="n">
        <v>0.1</v>
      </c>
    </row>
    <row r="1260">
      <c r="A1260" s="2" t="inlineStr">
        <is>
          <t>PED01259</t>
        </is>
      </c>
      <c r="B1260" s="3" t="n">
        <v>45651</v>
      </c>
      <c r="C1260" s="2" t="inlineStr">
        <is>
          <t>C0058</t>
        </is>
      </c>
      <c r="D1260" s="2" t="inlineStr">
        <is>
          <t>L04</t>
        </is>
      </c>
      <c r="E1260" s="2" t="inlineStr">
        <is>
          <t>Cancelado</t>
        </is>
      </c>
      <c r="F1260" s="2" t="inlineStr">
        <is>
          <t>Cartão de débito</t>
        </is>
      </c>
      <c r="G1260" s="19" t="n">
        <v>0.03</v>
      </c>
    </row>
    <row r="1261">
      <c r="A1261" s="2" t="inlineStr">
        <is>
          <t>PED01260</t>
        </is>
      </c>
      <c r="B1261" s="3" t="n">
        <v>45684</v>
      </c>
      <c r="C1261" s="2" t="inlineStr">
        <is>
          <t>C0139</t>
        </is>
      </c>
      <c r="D1261" s="2" t="inlineStr">
        <is>
          <t>L01</t>
        </is>
      </c>
      <c r="E1261" s="2" t="inlineStr">
        <is>
          <t>Entregue</t>
        </is>
      </c>
      <c r="F1261" s="2" t="inlineStr">
        <is>
          <t>Boleto</t>
        </is>
      </c>
      <c r="G1261" s="19" t="n">
        <v>0.05</v>
      </c>
    </row>
    <row r="1262">
      <c r="A1262" s="2" t="inlineStr">
        <is>
          <t>PED01261</t>
        </is>
      </c>
      <c r="B1262" s="3" t="n">
        <v>45511</v>
      </c>
      <c r="C1262" s="2" t="inlineStr">
        <is>
          <t>C0208</t>
        </is>
      </c>
      <c r="D1262" s="2" t="inlineStr">
        <is>
          <t>L05</t>
        </is>
      </c>
      <c r="E1262" s="2" t="inlineStr">
        <is>
          <t>Entregue</t>
        </is>
      </c>
      <c r="F1262" s="2" t="inlineStr">
        <is>
          <t>Cartão de crédito</t>
        </is>
      </c>
      <c r="G1262" s="19" t="n">
        <v>0.1</v>
      </c>
    </row>
    <row r="1263">
      <c r="A1263" s="2" t="inlineStr">
        <is>
          <t>PED01262</t>
        </is>
      </c>
      <c r="B1263" s="3" t="n">
        <v>45407</v>
      </c>
      <c r="C1263" s="2" t="inlineStr">
        <is>
          <t>C0179</t>
        </is>
      </c>
      <c r="D1263" s="2" t="inlineStr">
        <is>
          <t>L04</t>
        </is>
      </c>
      <c r="E1263" s="2" t="inlineStr">
        <is>
          <t>Entregue</t>
        </is>
      </c>
      <c r="F1263" s="2" t="inlineStr">
        <is>
          <t>Cartão de crédito</t>
        </is>
      </c>
      <c r="G1263" s="19" t="n">
        <v>0</v>
      </c>
    </row>
    <row r="1264">
      <c r="A1264" s="2" t="inlineStr">
        <is>
          <t>PED01263</t>
        </is>
      </c>
      <c r="B1264" s="3" t="n">
        <v>45562</v>
      </c>
      <c r="C1264" s="2" t="inlineStr">
        <is>
          <t>C0086</t>
        </is>
      </c>
      <c r="D1264" s="2" t="inlineStr">
        <is>
          <t>L01</t>
        </is>
      </c>
      <c r="E1264" s="2" t="inlineStr">
        <is>
          <t>Em processamento</t>
        </is>
      </c>
      <c r="F1264" s="2" t="inlineStr">
        <is>
          <t>Pix</t>
        </is>
      </c>
      <c r="G1264" s="19" t="n">
        <v>0.1</v>
      </c>
    </row>
    <row r="1265">
      <c r="A1265" s="2" t="inlineStr">
        <is>
          <t>PED01264</t>
        </is>
      </c>
      <c r="B1265" s="3" t="n">
        <v>46013</v>
      </c>
      <c r="C1265" s="2" t="inlineStr">
        <is>
          <t>C0140</t>
        </is>
      </c>
      <c r="D1265" s="2" t="inlineStr">
        <is>
          <t>L02</t>
        </is>
      </c>
      <c r="E1265" s="2" t="inlineStr">
        <is>
          <t>Entregue</t>
        </is>
      </c>
      <c r="F1265" s="2" t="inlineStr">
        <is>
          <t>Pix</t>
        </is>
      </c>
      <c r="G1265" s="19" t="n">
        <v>0</v>
      </c>
    </row>
    <row r="1266">
      <c r="A1266" s="2" t="inlineStr">
        <is>
          <t>PED01265</t>
        </is>
      </c>
      <c r="B1266" s="3" t="n">
        <v>45768</v>
      </c>
      <c r="C1266" s="2" t="inlineStr">
        <is>
          <t>C0015</t>
        </is>
      </c>
      <c r="D1266" s="2" t="inlineStr">
        <is>
          <t>L08</t>
        </is>
      </c>
      <c r="E1266" s="2" t="inlineStr">
        <is>
          <t>Entregue</t>
        </is>
      </c>
      <c r="F1266" s="2" t="inlineStr">
        <is>
          <t>Cartão de crédito</t>
        </is>
      </c>
      <c r="G1266" s="19" t="n">
        <v>0</v>
      </c>
    </row>
    <row r="1267">
      <c r="A1267" s="2" t="inlineStr">
        <is>
          <t>PED01266</t>
        </is>
      </c>
      <c r="B1267" s="3" t="n">
        <v>45402</v>
      </c>
      <c r="C1267" s="2" t="inlineStr">
        <is>
          <t>C0274</t>
        </is>
      </c>
      <c r="D1267" s="2" t="inlineStr">
        <is>
          <t>L01</t>
        </is>
      </c>
      <c r="E1267" s="2" t="inlineStr">
        <is>
          <t>Entregue</t>
        </is>
      </c>
      <c r="F1267" s="2" t="inlineStr">
        <is>
          <t>Pix</t>
        </is>
      </c>
      <c r="G1267" s="19" t="n">
        <v>0.03</v>
      </c>
    </row>
    <row r="1268">
      <c r="A1268" s="2" t="inlineStr">
        <is>
          <t>PED01267</t>
        </is>
      </c>
      <c r="B1268" s="3" t="n">
        <v>45444</v>
      </c>
      <c r="C1268" s="2" t="inlineStr">
        <is>
          <t>C0280</t>
        </is>
      </c>
      <c r="D1268" s="2" t="inlineStr">
        <is>
          <t>L07</t>
        </is>
      </c>
      <c r="E1268" s="2" t="inlineStr">
        <is>
          <t>Entregue</t>
        </is>
      </c>
      <c r="F1268" s="2" t="inlineStr">
        <is>
          <t>Cartão de crédito</t>
        </is>
      </c>
      <c r="G1268" s="19" t="n">
        <v>0</v>
      </c>
    </row>
    <row r="1269">
      <c r="A1269" s="2" t="inlineStr">
        <is>
          <t>PED01268</t>
        </is>
      </c>
      <c r="B1269" s="3" t="n">
        <v>45768</v>
      </c>
      <c r="C1269" s="2" t="inlineStr">
        <is>
          <t>C0244</t>
        </is>
      </c>
      <c r="D1269" s="2" t="inlineStr">
        <is>
          <t>L06</t>
        </is>
      </c>
      <c r="E1269" s="2" t="inlineStr">
        <is>
          <t>Entregue</t>
        </is>
      </c>
      <c r="F1269" s="2" t="inlineStr">
        <is>
          <t>Pix</t>
        </is>
      </c>
      <c r="G1269" s="19" t="n">
        <v>0</v>
      </c>
    </row>
    <row r="1270">
      <c r="A1270" s="2" t="inlineStr">
        <is>
          <t>PED01269</t>
        </is>
      </c>
      <c r="B1270" s="3" t="n">
        <v>45327</v>
      </c>
      <c r="C1270" s="2" t="inlineStr">
        <is>
          <t>C0336</t>
        </is>
      </c>
      <c r="D1270" s="2" t="inlineStr">
        <is>
          <t>L08</t>
        </is>
      </c>
      <c r="E1270" s="2" t="inlineStr">
        <is>
          <t>Entregue</t>
        </is>
      </c>
      <c r="F1270" s="2" t="inlineStr">
        <is>
          <t>Pix</t>
        </is>
      </c>
      <c r="G1270" s="19" t="n">
        <v>0</v>
      </c>
    </row>
    <row r="1271">
      <c r="A1271" s="2" t="inlineStr">
        <is>
          <t>PED01270</t>
        </is>
      </c>
      <c r="B1271" s="3" t="n">
        <v>45709</v>
      </c>
      <c r="C1271" s="2" t="inlineStr">
        <is>
          <t>C0058</t>
        </is>
      </c>
      <c r="D1271" s="2" t="inlineStr">
        <is>
          <t>L08</t>
        </is>
      </c>
      <c r="E1271" s="2" t="inlineStr">
        <is>
          <t>Entregue</t>
        </is>
      </c>
      <c r="F1271" s="2" t="inlineStr">
        <is>
          <t>Pix</t>
        </is>
      </c>
      <c r="G1271" s="19" t="n">
        <v>0.1</v>
      </c>
    </row>
    <row r="1272">
      <c r="A1272" s="2" t="inlineStr">
        <is>
          <t>PED01271</t>
        </is>
      </c>
      <c r="B1272" s="3" t="n">
        <v>45955</v>
      </c>
      <c r="C1272" s="2" t="inlineStr">
        <is>
          <t>C0204</t>
        </is>
      </c>
      <c r="D1272" s="2" t="inlineStr">
        <is>
          <t>L01</t>
        </is>
      </c>
      <c r="E1272" s="2" t="inlineStr">
        <is>
          <t>Entregue</t>
        </is>
      </c>
      <c r="F1272" s="2" t="inlineStr">
        <is>
          <t>Pix</t>
        </is>
      </c>
      <c r="G1272" s="19" t="n">
        <v>0.1</v>
      </c>
    </row>
    <row r="1273">
      <c r="A1273" s="2" t="inlineStr">
        <is>
          <t>PED01272</t>
        </is>
      </c>
      <c r="B1273" s="3" t="n">
        <v>45570</v>
      </c>
      <c r="C1273" s="2" t="inlineStr">
        <is>
          <t>C0157</t>
        </is>
      </c>
      <c r="D1273" s="2" t="inlineStr">
        <is>
          <t>L08</t>
        </is>
      </c>
      <c r="E1273" s="2" t="inlineStr">
        <is>
          <t>Entregue</t>
        </is>
      </c>
      <c r="F1273" s="2" t="inlineStr">
        <is>
          <t>Cartão de crédito</t>
        </is>
      </c>
      <c r="G1273" s="19" t="n">
        <v>0</v>
      </c>
    </row>
    <row r="1274">
      <c r="A1274" s="2" t="inlineStr">
        <is>
          <t>PED01273</t>
        </is>
      </c>
      <c r="B1274" s="3" t="n">
        <v>45768</v>
      </c>
      <c r="C1274" s="2" t="inlineStr">
        <is>
          <t>C0309</t>
        </is>
      </c>
      <c r="D1274" s="2" t="inlineStr">
        <is>
          <t>L05</t>
        </is>
      </c>
      <c r="E1274" s="2" t="inlineStr">
        <is>
          <t>Entregue</t>
        </is>
      </c>
      <c r="F1274" s="2" t="inlineStr">
        <is>
          <t>Pix</t>
        </is>
      </c>
      <c r="G1274" s="19" t="n">
        <v>0.15</v>
      </c>
    </row>
    <row r="1275">
      <c r="A1275" s="2" t="inlineStr">
        <is>
          <t>PED01274</t>
        </is>
      </c>
      <c r="B1275" s="3" t="n">
        <v>45845</v>
      </c>
      <c r="C1275" s="2" t="inlineStr">
        <is>
          <t>C0180</t>
        </is>
      </c>
      <c r="D1275" s="2" t="inlineStr">
        <is>
          <t>L02</t>
        </is>
      </c>
      <c r="E1275" s="2" t="inlineStr">
        <is>
          <t>Entregue</t>
        </is>
      </c>
      <c r="F1275" s="2" t="inlineStr">
        <is>
          <t>Pix</t>
        </is>
      </c>
      <c r="G1275" s="19" t="n">
        <v>0</v>
      </c>
    </row>
    <row r="1276">
      <c r="A1276" s="2" t="inlineStr">
        <is>
          <t>PED01275</t>
        </is>
      </c>
      <c r="B1276" s="3" t="n">
        <v>45840</v>
      </c>
      <c r="C1276" s="2" t="inlineStr">
        <is>
          <t>C0212</t>
        </is>
      </c>
      <c r="D1276" s="2" t="inlineStr">
        <is>
          <t>L05</t>
        </is>
      </c>
      <c r="E1276" s="2" t="inlineStr">
        <is>
          <t>Entregue</t>
        </is>
      </c>
      <c r="F1276" s="2" t="inlineStr">
        <is>
          <t>Cartão de crédito</t>
        </is>
      </c>
      <c r="G1276" s="19" t="n">
        <v>0.1</v>
      </c>
    </row>
    <row r="1277">
      <c r="A1277" s="2" t="inlineStr">
        <is>
          <t>PED01276</t>
        </is>
      </c>
      <c r="B1277" s="3" t="n">
        <v>45870</v>
      </c>
      <c r="C1277" s="2" t="inlineStr">
        <is>
          <t>C0057</t>
        </is>
      </c>
      <c r="D1277" s="2" t="inlineStr">
        <is>
          <t>L01</t>
        </is>
      </c>
      <c r="E1277" s="2" t="inlineStr">
        <is>
          <t>Entregue</t>
        </is>
      </c>
      <c r="F1277" s="2" t="inlineStr">
        <is>
          <t>Cartão de crédito</t>
        </is>
      </c>
      <c r="G1277" s="19" t="n">
        <v>0.03</v>
      </c>
    </row>
    <row r="1278">
      <c r="A1278" s="2" t="inlineStr">
        <is>
          <t>PED01277</t>
        </is>
      </c>
      <c r="B1278" s="3" t="n">
        <v>45833</v>
      </c>
      <c r="C1278" s="2" t="inlineStr">
        <is>
          <t>C0104</t>
        </is>
      </c>
      <c r="D1278" s="2" t="inlineStr">
        <is>
          <t>L07</t>
        </is>
      </c>
      <c r="E1278" s="2" t="inlineStr">
        <is>
          <t>Entregue</t>
        </is>
      </c>
      <c r="F1278" s="2" t="inlineStr">
        <is>
          <t>Cartão de débito</t>
        </is>
      </c>
      <c r="G1278" s="19" t="n">
        <v>0</v>
      </c>
    </row>
    <row r="1279">
      <c r="A1279" s="2" t="inlineStr">
        <is>
          <t>PED01278</t>
        </is>
      </c>
      <c r="B1279" s="3" t="n">
        <v>45567</v>
      </c>
      <c r="C1279" s="2" t="inlineStr">
        <is>
          <t>C0262</t>
        </is>
      </c>
      <c r="D1279" s="2" t="inlineStr">
        <is>
          <t>L07</t>
        </is>
      </c>
      <c r="E1279" s="2" t="inlineStr">
        <is>
          <t>Entregue</t>
        </is>
      </c>
      <c r="F1279" s="2" t="inlineStr">
        <is>
          <t>Boleto</t>
        </is>
      </c>
      <c r="G1279" s="19" t="n">
        <v>0</v>
      </c>
    </row>
    <row r="1280">
      <c r="A1280" s="2" t="inlineStr">
        <is>
          <t>PED01279</t>
        </is>
      </c>
      <c r="B1280" s="3" t="n">
        <v>45618</v>
      </c>
      <c r="C1280" s="2" t="inlineStr">
        <is>
          <t>C0141</t>
        </is>
      </c>
      <c r="D1280" s="2" t="inlineStr">
        <is>
          <t>L07</t>
        </is>
      </c>
      <c r="E1280" s="2" t="inlineStr">
        <is>
          <t>Entregue</t>
        </is>
      </c>
      <c r="F1280" s="2" t="inlineStr">
        <is>
          <t>Cartão de débito</t>
        </is>
      </c>
      <c r="G1280" s="19" t="n">
        <v>0</v>
      </c>
    </row>
    <row r="1281">
      <c r="A1281" s="2" t="inlineStr">
        <is>
          <t>PED01280</t>
        </is>
      </c>
      <c r="B1281" s="3" t="n">
        <v>45994</v>
      </c>
      <c r="C1281" s="2" t="inlineStr">
        <is>
          <t>C0076</t>
        </is>
      </c>
      <c r="D1281" s="2" t="inlineStr">
        <is>
          <t>L01</t>
        </is>
      </c>
      <c r="E1281" s="2" t="inlineStr">
        <is>
          <t>Entregue</t>
        </is>
      </c>
      <c r="F1281" s="2" t="inlineStr">
        <is>
          <t>Cartão de crédito</t>
        </is>
      </c>
      <c r="G1281" s="19" t="n">
        <v>0.1</v>
      </c>
    </row>
    <row r="1282">
      <c r="A1282" s="2" t="inlineStr">
        <is>
          <t>PED01281</t>
        </is>
      </c>
      <c r="B1282" s="3" t="n">
        <v>45537</v>
      </c>
      <c r="C1282" s="2" t="inlineStr">
        <is>
          <t>C0304</t>
        </is>
      </c>
      <c r="D1282" s="2" t="inlineStr">
        <is>
          <t>L02</t>
        </is>
      </c>
      <c r="E1282" s="2" t="inlineStr">
        <is>
          <t>Entregue</t>
        </is>
      </c>
      <c r="F1282" s="2" t="inlineStr">
        <is>
          <t>Pix</t>
        </is>
      </c>
      <c r="G1282" s="19" t="n">
        <v>0.03</v>
      </c>
    </row>
    <row r="1283">
      <c r="A1283" s="2" t="inlineStr">
        <is>
          <t>PED01282</t>
        </is>
      </c>
      <c r="B1283" s="3" t="n">
        <v>45934</v>
      </c>
      <c r="C1283" s="2" t="inlineStr">
        <is>
          <t>C0078</t>
        </is>
      </c>
      <c r="D1283" s="2" t="inlineStr">
        <is>
          <t>L04</t>
        </is>
      </c>
      <c r="E1283" s="2" t="inlineStr">
        <is>
          <t>Entregue</t>
        </is>
      </c>
      <c r="F1283" s="2" t="inlineStr">
        <is>
          <t>Cartão de crédito</t>
        </is>
      </c>
      <c r="G1283" s="19" t="n">
        <v>0.1</v>
      </c>
    </row>
    <row r="1284">
      <c r="A1284" s="2" t="inlineStr">
        <is>
          <t>PED01283</t>
        </is>
      </c>
      <c r="B1284" s="3" t="n">
        <v>45852</v>
      </c>
      <c r="C1284" s="2" t="inlineStr">
        <is>
          <t>C0218</t>
        </is>
      </c>
      <c r="D1284" s="2" t="inlineStr">
        <is>
          <t>L08</t>
        </is>
      </c>
      <c r="E1284" s="2" t="inlineStr">
        <is>
          <t>Devolvido</t>
        </is>
      </c>
      <c r="F1284" s="2" t="inlineStr">
        <is>
          <t>Cartão de crédito</t>
        </is>
      </c>
      <c r="G1284" s="19" t="n">
        <v>0</v>
      </c>
    </row>
    <row r="1285">
      <c r="A1285" s="2" t="inlineStr">
        <is>
          <t>PED01284</t>
        </is>
      </c>
      <c r="B1285" s="3" t="n">
        <v>45736</v>
      </c>
      <c r="C1285" s="2" t="inlineStr">
        <is>
          <t>C0061</t>
        </is>
      </c>
      <c r="D1285" s="2" t="inlineStr">
        <is>
          <t>L02</t>
        </is>
      </c>
      <c r="E1285" s="2" t="inlineStr">
        <is>
          <t>Entregue</t>
        </is>
      </c>
      <c r="F1285" s="2" t="inlineStr">
        <is>
          <t>Pix</t>
        </is>
      </c>
      <c r="G1285" s="19" t="n">
        <v>0.03</v>
      </c>
    </row>
    <row r="1286">
      <c r="A1286" s="2" t="inlineStr">
        <is>
          <t>PED01285</t>
        </is>
      </c>
      <c r="B1286" s="3" t="n">
        <v>45310</v>
      </c>
      <c r="C1286" s="2" t="inlineStr">
        <is>
          <t>C0097</t>
        </is>
      </c>
      <c r="D1286" s="2" t="inlineStr">
        <is>
          <t>L05</t>
        </is>
      </c>
      <c r="E1286" s="2" t="inlineStr">
        <is>
          <t>Entregue</t>
        </is>
      </c>
      <c r="F1286" s="2" t="inlineStr">
        <is>
          <t>Cartão de crédito</t>
        </is>
      </c>
      <c r="G1286" s="19" t="n">
        <v>0</v>
      </c>
    </row>
    <row r="1287">
      <c r="A1287" s="2" t="inlineStr">
        <is>
          <t>PED01286</t>
        </is>
      </c>
      <c r="B1287" s="3" t="n">
        <v>45749</v>
      </c>
      <c r="C1287" s="2" t="inlineStr">
        <is>
          <t>C0165</t>
        </is>
      </c>
      <c r="D1287" s="2" t="inlineStr">
        <is>
          <t>L07</t>
        </is>
      </c>
      <c r="E1287" s="2" t="inlineStr">
        <is>
          <t>Em processamento</t>
        </is>
      </c>
      <c r="F1287" s="2" t="inlineStr">
        <is>
          <t>Cartão de crédito</t>
        </is>
      </c>
      <c r="G1287" s="19" t="n">
        <v>0</v>
      </c>
    </row>
    <row r="1288">
      <c r="A1288" s="2" t="inlineStr">
        <is>
          <t>PED01287</t>
        </is>
      </c>
      <c r="B1288" s="3" t="n">
        <v>45308</v>
      </c>
      <c r="C1288" s="2" t="inlineStr">
        <is>
          <t>C0072</t>
        </is>
      </c>
      <c r="D1288" s="2" t="inlineStr">
        <is>
          <t>L02</t>
        </is>
      </c>
      <c r="E1288" s="2" t="inlineStr">
        <is>
          <t>Entregue</t>
        </is>
      </c>
      <c r="F1288" s="2" t="inlineStr">
        <is>
          <t>Pix</t>
        </is>
      </c>
      <c r="G1288" s="19" t="n">
        <v>0</v>
      </c>
    </row>
    <row r="1289">
      <c r="A1289" s="2" t="inlineStr">
        <is>
          <t>PED01288</t>
        </is>
      </c>
      <c r="B1289" s="3" t="n">
        <v>45835</v>
      </c>
      <c r="C1289" s="2" t="inlineStr">
        <is>
          <t>C0178</t>
        </is>
      </c>
      <c r="D1289" s="2" t="inlineStr">
        <is>
          <t>L02</t>
        </is>
      </c>
      <c r="E1289" s="2" t="inlineStr">
        <is>
          <t>Entregue</t>
        </is>
      </c>
      <c r="F1289" s="2" t="inlineStr">
        <is>
          <t>Cartão de débito</t>
        </is>
      </c>
      <c r="G1289" s="19" t="n">
        <v>0.1</v>
      </c>
    </row>
    <row r="1290">
      <c r="A1290" s="2" t="inlineStr">
        <is>
          <t>PED01289</t>
        </is>
      </c>
      <c r="B1290" s="3" t="n">
        <v>45757</v>
      </c>
      <c r="C1290" s="2" t="inlineStr">
        <is>
          <t>C0009</t>
        </is>
      </c>
      <c r="D1290" s="2" t="inlineStr">
        <is>
          <t>L01</t>
        </is>
      </c>
      <c r="E1290" s="2" t="inlineStr">
        <is>
          <t>Entregue</t>
        </is>
      </c>
      <c r="F1290" s="2" t="inlineStr">
        <is>
          <t>Pix</t>
        </is>
      </c>
      <c r="G1290" s="19" t="n">
        <v>0</v>
      </c>
    </row>
    <row r="1291">
      <c r="A1291" s="2" t="inlineStr">
        <is>
          <t>PED01290</t>
        </is>
      </c>
      <c r="B1291" s="3" t="n">
        <v>45646</v>
      </c>
      <c r="C1291" s="2" t="inlineStr">
        <is>
          <t>C0290</t>
        </is>
      </c>
      <c r="D1291" s="2" t="inlineStr">
        <is>
          <t>L01</t>
        </is>
      </c>
      <c r="E1291" s="2" t="inlineStr">
        <is>
          <t>Entregue</t>
        </is>
      </c>
      <c r="F1291" s="2" t="inlineStr">
        <is>
          <t>Boleto</t>
        </is>
      </c>
      <c r="G1291" s="19" t="n">
        <v>0</v>
      </c>
    </row>
    <row r="1292">
      <c r="A1292" s="2" t="inlineStr">
        <is>
          <t>PED01291</t>
        </is>
      </c>
      <c r="B1292" s="3" t="n">
        <v>45471</v>
      </c>
      <c r="C1292" s="2" t="inlineStr">
        <is>
          <t>C0103</t>
        </is>
      </c>
      <c r="D1292" s="2" t="inlineStr">
        <is>
          <t>L03</t>
        </is>
      </c>
      <c r="E1292" s="2" t="inlineStr">
        <is>
          <t>Entregue</t>
        </is>
      </c>
      <c r="F1292" s="2" t="inlineStr">
        <is>
          <t>Transferência</t>
        </is>
      </c>
      <c r="G1292" s="19" t="n">
        <v>0.05</v>
      </c>
    </row>
    <row r="1293">
      <c r="A1293" s="2" t="inlineStr">
        <is>
          <t>PED01292</t>
        </is>
      </c>
      <c r="B1293" s="3" t="n">
        <v>45562</v>
      </c>
      <c r="C1293" s="2" t="inlineStr">
        <is>
          <t>C0273</t>
        </is>
      </c>
      <c r="D1293" s="2" t="inlineStr">
        <is>
          <t>L06</t>
        </is>
      </c>
      <c r="E1293" s="2" t="inlineStr">
        <is>
          <t>Entregue</t>
        </is>
      </c>
      <c r="F1293" s="2" t="inlineStr">
        <is>
          <t>Cartão de débito</t>
        </is>
      </c>
      <c r="G1293" s="19" t="n">
        <v>0.03</v>
      </c>
    </row>
    <row r="1294">
      <c r="A1294" s="2" t="inlineStr">
        <is>
          <t>PED01293</t>
        </is>
      </c>
      <c r="B1294" s="3" t="n">
        <v>45439</v>
      </c>
      <c r="C1294" s="2" t="inlineStr">
        <is>
          <t>C0226</t>
        </is>
      </c>
      <c r="D1294" s="2" t="inlineStr">
        <is>
          <t>L07</t>
        </is>
      </c>
      <c r="E1294" s="2" t="inlineStr">
        <is>
          <t>Devolvido</t>
        </is>
      </c>
      <c r="F1294" s="2" t="inlineStr">
        <is>
          <t>Boleto</t>
        </is>
      </c>
      <c r="G1294" s="19" t="n">
        <v>0</v>
      </c>
    </row>
    <row r="1295">
      <c r="A1295" s="2" t="inlineStr">
        <is>
          <t>PED01294</t>
        </is>
      </c>
      <c r="B1295" s="3" t="n">
        <v>45557</v>
      </c>
      <c r="C1295" s="2" t="inlineStr">
        <is>
          <t>C0121</t>
        </is>
      </c>
      <c r="D1295" s="2" t="inlineStr">
        <is>
          <t>L06</t>
        </is>
      </c>
      <c r="E1295" s="2" t="inlineStr">
        <is>
          <t>Entregue</t>
        </is>
      </c>
      <c r="F1295" s="2" t="inlineStr">
        <is>
          <t>Cartão de crédito</t>
        </is>
      </c>
      <c r="G1295" s="19" t="n">
        <v>0.03</v>
      </c>
    </row>
    <row r="1296">
      <c r="A1296" s="2" t="inlineStr">
        <is>
          <t>PED01295</t>
        </is>
      </c>
      <c r="B1296" s="3" t="n">
        <v>45761</v>
      </c>
      <c r="C1296" s="2" t="inlineStr">
        <is>
          <t>C0343</t>
        </is>
      </c>
      <c r="D1296" s="2" t="inlineStr">
        <is>
          <t>L03</t>
        </is>
      </c>
      <c r="E1296" s="2" t="inlineStr">
        <is>
          <t>Entregue</t>
        </is>
      </c>
      <c r="F1296" s="2" t="inlineStr">
        <is>
          <t>Transferência</t>
        </is>
      </c>
      <c r="G1296" s="19" t="n">
        <v>0.03</v>
      </c>
    </row>
    <row r="1297">
      <c r="A1297" s="2" t="inlineStr">
        <is>
          <t>PED01296</t>
        </is>
      </c>
      <c r="B1297" s="3" t="n">
        <v>45814</v>
      </c>
      <c r="C1297" s="2" t="inlineStr">
        <is>
          <t>C0139</t>
        </is>
      </c>
      <c r="D1297" s="2" t="inlineStr">
        <is>
          <t>L05</t>
        </is>
      </c>
      <c r="E1297" s="2" t="inlineStr">
        <is>
          <t>Entregue</t>
        </is>
      </c>
      <c r="F1297" s="2" t="inlineStr">
        <is>
          <t>Cartão de débito</t>
        </is>
      </c>
      <c r="G1297" s="19" t="n">
        <v>0.05</v>
      </c>
    </row>
    <row r="1298">
      <c r="A1298" s="2" t="inlineStr">
        <is>
          <t>PED01297</t>
        </is>
      </c>
      <c r="B1298" s="3" t="n">
        <v>45600</v>
      </c>
      <c r="C1298" s="2" t="inlineStr">
        <is>
          <t>C0075</t>
        </is>
      </c>
      <c r="D1298" s="2" t="inlineStr">
        <is>
          <t>L03</t>
        </is>
      </c>
      <c r="E1298" s="2" t="inlineStr">
        <is>
          <t>Entregue</t>
        </is>
      </c>
      <c r="F1298" s="2" t="inlineStr">
        <is>
          <t>Boleto</t>
        </is>
      </c>
      <c r="G1298" s="19" t="n">
        <v>0.1</v>
      </c>
    </row>
    <row r="1299">
      <c r="A1299" s="2" t="inlineStr">
        <is>
          <t>PED01298</t>
        </is>
      </c>
      <c r="B1299" s="3" t="n">
        <v>45446</v>
      </c>
      <c r="C1299" s="2" t="inlineStr">
        <is>
          <t>C0045</t>
        </is>
      </c>
      <c r="D1299" s="2" t="inlineStr">
        <is>
          <t>L06</t>
        </is>
      </c>
      <c r="E1299" s="2" t="inlineStr">
        <is>
          <t>Entregue</t>
        </is>
      </c>
      <c r="F1299" s="2" t="inlineStr">
        <is>
          <t>Cartão de crédito</t>
        </is>
      </c>
      <c r="G1299" s="19" t="n">
        <v>0</v>
      </c>
    </row>
    <row r="1300">
      <c r="A1300" s="2" t="inlineStr">
        <is>
          <t>PED01299</t>
        </is>
      </c>
      <c r="B1300" s="3" t="n">
        <v>45382</v>
      </c>
      <c r="C1300" s="2" t="inlineStr">
        <is>
          <t>C0064</t>
        </is>
      </c>
      <c r="D1300" s="2" t="inlineStr">
        <is>
          <t>L02</t>
        </is>
      </c>
      <c r="E1300" s="2" t="inlineStr">
        <is>
          <t>Entregue</t>
        </is>
      </c>
      <c r="F1300" s="2" t="inlineStr">
        <is>
          <t>Cartão de crédito</t>
        </is>
      </c>
      <c r="G1300" s="19" t="n">
        <v>0.1</v>
      </c>
    </row>
    <row r="1301">
      <c r="A1301" s="2" t="inlineStr">
        <is>
          <t>PED01300</t>
        </is>
      </c>
      <c r="B1301" s="3" t="n">
        <v>45586</v>
      </c>
      <c r="C1301" s="2" t="inlineStr">
        <is>
          <t>C0257</t>
        </is>
      </c>
      <c r="D1301" s="2" t="inlineStr">
        <is>
          <t>L03</t>
        </is>
      </c>
      <c r="E1301" s="2" t="inlineStr">
        <is>
          <t>Entregue</t>
        </is>
      </c>
      <c r="F1301" s="2" t="inlineStr">
        <is>
          <t>Cartão de crédito</t>
        </is>
      </c>
      <c r="G1301" s="19" t="n">
        <v>0</v>
      </c>
    </row>
    <row r="1302">
      <c r="A1302" s="2" t="inlineStr">
        <is>
          <t>PED01301</t>
        </is>
      </c>
      <c r="B1302" s="3" t="n">
        <v>45610</v>
      </c>
      <c r="C1302" s="2" t="inlineStr">
        <is>
          <t>C0101</t>
        </is>
      </c>
      <c r="D1302" s="2" t="inlineStr">
        <is>
          <t>L05</t>
        </is>
      </c>
      <c r="E1302" s="2" t="inlineStr">
        <is>
          <t>Entregue</t>
        </is>
      </c>
      <c r="F1302" s="2" t="inlineStr">
        <is>
          <t>Cartão de débito</t>
        </is>
      </c>
      <c r="G1302" s="19" t="n">
        <v>0</v>
      </c>
    </row>
    <row r="1303">
      <c r="A1303" s="2" t="inlineStr">
        <is>
          <t>PED01302</t>
        </is>
      </c>
      <c r="B1303" s="3" t="n">
        <v>45832</v>
      </c>
      <c r="C1303" s="2" t="inlineStr">
        <is>
          <t>C0218</t>
        </is>
      </c>
      <c r="D1303" s="2" t="inlineStr">
        <is>
          <t>L01</t>
        </is>
      </c>
      <c r="E1303" s="2" t="inlineStr">
        <is>
          <t>Cancelado</t>
        </is>
      </c>
      <c r="F1303" s="2" t="inlineStr">
        <is>
          <t>Pix</t>
        </is>
      </c>
      <c r="G1303" s="19" t="n">
        <v>0</v>
      </c>
    </row>
    <row r="1304">
      <c r="A1304" s="2" t="inlineStr">
        <is>
          <t>PED01303</t>
        </is>
      </c>
      <c r="B1304" s="3" t="n">
        <v>45898</v>
      </c>
      <c r="C1304" s="2" t="inlineStr">
        <is>
          <t>C0319</t>
        </is>
      </c>
      <c r="D1304" s="2" t="inlineStr">
        <is>
          <t>L01</t>
        </is>
      </c>
      <c r="E1304" s="2" t="inlineStr">
        <is>
          <t>Entregue</t>
        </is>
      </c>
      <c r="F1304" s="2" t="inlineStr">
        <is>
          <t>Cartão de débito</t>
        </is>
      </c>
      <c r="G1304" s="19" t="n">
        <v>0</v>
      </c>
    </row>
    <row r="1305">
      <c r="A1305" s="2" t="inlineStr">
        <is>
          <t>PED01304</t>
        </is>
      </c>
      <c r="B1305" s="3" t="n">
        <v>45411</v>
      </c>
      <c r="C1305" s="2" t="inlineStr">
        <is>
          <t>C0124</t>
        </is>
      </c>
      <c r="D1305" s="2" t="inlineStr">
        <is>
          <t>L02</t>
        </is>
      </c>
      <c r="E1305" s="2" t="inlineStr">
        <is>
          <t>Entregue</t>
        </is>
      </c>
      <c r="F1305" s="2" t="inlineStr">
        <is>
          <t>Cartão de crédito</t>
        </is>
      </c>
      <c r="G1305" s="19" t="n">
        <v>0</v>
      </c>
    </row>
    <row r="1306">
      <c r="A1306" s="2" t="inlineStr">
        <is>
          <t>PED01305</t>
        </is>
      </c>
      <c r="B1306" s="3" t="n">
        <v>45556</v>
      </c>
      <c r="C1306" s="2" t="inlineStr">
        <is>
          <t>C0051</t>
        </is>
      </c>
      <c r="D1306" s="2" t="inlineStr">
        <is>
          <t>L05</t>
        </is>
      </c>
      <c r="E1306" s="2" t="inlineStr">
        <is>
          <t>Cancelado</t>
        </is>
      </c>
      <c r="F1306" s="2" t="inlineStr">
        <is>
          <t>Cartão de crédito</t>
        </is>
      </c>
      <c r="G1306" s="19" t="n">
        <v>0.1</v>
      </c>
    </row>
    <row r="1307">
      <c r="A1307" s="2" t="inlineStr">
        <is>
          <t>PED01306</t>
        </is>
      </c>
      <c r="B1307" s="3" t="n">
        <v>45637</v>
      </c>
      <c r="C1307" s="2" t="inlineStr">
        <is>
          <t>C0272</t>
        </is>
      </c>
      <c r="D1307" s="2" t="inlineStr">
        <is>
          <t>L03</t>
        </is>
      </c>
      <c r="E1307" s="2" t="inlineStr">
        <is>
          <t>Entregue</t>
        </is>
      </c>
      <c r="F1307" s="2" t="inlineStr">
        <is>
          <t>Pix</t>
        </is>
      </c>
      <c r="G1307" s="19" t="n">
        <v>0.1</v>
      </c>
    </row>
    <row r="1308">
      <c r="A1308" s="2" t="inlineStr">
        <is>
          <t>PED01307</t>
        </is>
      </c>
      <c r="B1308" s="3" t="n">
        <v>45717</v>
      </c>
      <c r="C1308" s="2" t="inlineStr">
        <is>
          <t>C0055</t>
        </is>
      </c>
      <c r="D1308" s="2" t="inlineStr">
        <is>
          <t>L07</t>
        </is>
      </c>
      <c r="E1308" s="2" t="inlineStr">
        <is>
          <t>Entregue</t>
        </is>
      </c>
      <c r="F1308" s="2" t="inlineStr">
        <is>
          <t>Cartão de débito</t>
        </is>
      </c>
      <c r="G1308" s="19" t="n">
        <v>0</v>
      </c>
    </row>
    <row r="1309">
      <c r="A1309" s="2" t="inlineStr">
        <is>
          <t>PED01308</t>
        </is>
      </c>
      <c r="B1309" s="3" t="n">
        <v>45415</v>
      </c>
      <c r="C1309" s="2" t="inlineStr">
        <is>
          <t>C0275</t>
        </is>
      </c>
      <c r="D1309" s="2" t="inlineStr">
        <is>
          <t>L04</t>
        </is>
      </c>
      <c r="E1309" s="2" t="inlineStr">
        <is>
          <t>Entregue</t>
        </is>
      </c>
      <c r="F1309" s="2" t="inlineStr">
        <is>
          <t>Cartão de débito</t>
        </is>
      </c>
      <c r="G1309" s="19" t="n">
        <v>0</v>
      </c>
    </row>
    <row r="1310">
      <c r="A1310" s="2" t="inlineStr">
        <is>
          <t>PED01309</t>
        </is>
      </c>
      <c r="B1310" s="3" t="n">
        <v>45958</v>
      </c>
      <c r="C1310" s="2" t="inlineStr">
        <is>
          <t>C0132</t>
        </is>
      </c>
      <c r="D1310" s="2" t="inlineStr">
        <is>
          <t>L05</t>
        </is>
      </c>
      <c r="E1310" s="2" t="inlineStr">
        <is>
          <t>Entregue</t>
        </is>
      </c>
      <c r="F1310" s="2" t="inlineStr">
        <is>
          <t>Cartão de débito</t>
        </is>
      </c>
      <c r="G1310" s="19" t="n">
        <v>0</v>
      </c>
    </row>
    <row r="1311">
      <c r="A1311" s="2" t="inlineStr">
        <is>
          <t>PED01310</t>
        </is>
      </c>
      <c r="B1311" s="3" t="n">
        <v>45685</v>
      </c>
      <c r="C1311" s="2" t="inlineStr">
        <is>
          <t>C0309</t>
        </is>
      </c>
      <c r="D1311" s="2" t="inlineStr">
        <is>
          <t>L07</t>
        </is>
      </c>
      <c r="E1311" s="2" t="inlineStr">
        <is>
          <t>Entregue</t>
        </is>
      </c>
      <c r="F1311" s="2" t="inlineStr">
        <is>
          <t>Cartão de débito</t>
        </is>
      </c>
      <c r="G1311" s="19" t="n">
        <v>0</v>
      </c>
    </row>
    <row r="1312">
      <c r="A1312" s="2" t="inlineStr">
        <is>
          <t>PED01311</t>
        </is>
      </c>
      <c r="B1312" s="3" t="n">
        <v>45665</v>
      </c>
      <c r="C1312" s="2" t="inlineStr">
        <is>
          <t>C0073</t>
        </is>
      </c>
      <c r="D1312" s="2" t="inlineStr">
        <is>
          <t>L02</t>
        </is>
      </c>
      <c r="E1312" s="2" t="inlineStr">
        <is>
          <t>Entregue</t>
        </is>
      </c>
      <c r="F1312" s="2" t="inlineStr">
        <is>
          <t>Cartão de débito</t>
        </is>
      </c>
      <c r="G1312" s="19" t="n">
        <v>0.1</v>
      </c>
    </row>
    <row r="1313">
      <c r="A1313" s="2" t="inlineStr">
        <is>
          <t>PED01312</t>
        </is>
      </c>
      <c r="B1313" s="3" t="n">
        <v>45452</v>
      </c>
      <c r="C1313" s="2" t="inlineStr">
        <is>
          <t>C0145</t>
        </is>
      </c>
      <c r="D1313" s="2" t="inlineStr">
        <is>
          <t>L04</t>
        </is>
      </c>
      <c r="E1313" s="2" t="inlineStr">
        <is>
          <t>Entregue</t>
        </is>
      </c>
      <c r="F1313" s="2" t="inlineStr">
        <is>
          <t>Cartão de débito</t>
        </is>
      </c>
      <c r="G1313" s="19" t="n">
        <v>0.05</v>
      </c>
    </row>
    <row r="1314">
      <c r="A1314" s="2" t="inlineStr">
        <is>
          <t>PED01313</t>
        </is>
      </c>
      <c r="B1314" s="3" t="n">
        <v>45615</v>
      </c>
      <c r="C1314" s="2" t="inlineStr">
        <is>
          <t>C0118</t>
        </is>
      </c>
      <c r="D1314" s="2" t="inlineStr">
        <is>
          <t>L01</t>
        </is>
      </c>
      <c r="E1314" s="2" t="inlineStr">
        <is>
          <t>Entregue</t>
        </is>
      </c>
      <c r="F1314" s="2" t="inlineStr">
        <is>
          <t>Cartão de crédito</t>
        </is>
      </c>
      <c r="G1314" s="19" t="n">
        <v>0</v>
      </c>
    </row>
    <row r="1315">
      <c r="A1315" s="2" t="inlineStr">
        <is>
          <t>PED01314</t>
        </is>
      </c>
      <c r="B1315" s="3" t="n">
        <v>45921</v>
      </c>
      <c r="C1315" s="2" t="inlineStr">
        <is>
          <t>C0169</t>
        </is>
      </c>
      <c r="D1315" s="2" t="inlineStr">
        <is>
          <t>L04</t>
        </is>
      </c>
      <c r="E1315" s="2" t="inlineStr">
        <is>
          <t>Entregue</t>
        </is>
      </c>
      <c r="F1315" s="2" t="inlineStr">
        <is>
          <t>Pix</t>
        </is>
      </c>
      <c r="G1315" s="19" t="n">
        <v>0</v>
      </c>
    </row>
    <row r="1316">
      <c r="A1316" s="2" t="inlineStr">
        <is>
          <t>PED01315</t>
        </is>
      </c>
      <c r="B1316" s="3" t="n">
        <v>45802</v>
      </c>
      <c r="C1316" s="2" t="inlineStr">
        <is>
          <t>C0216</t>
        </is>
      </c>
      <c r="D1316" s="2" t="inlineStr">
        <is>
          <t>L05</t>
        </is>
      </c>
      <c r="E1316" s="2" t="inlineStr">
        <is>
          <t>Entregue</t>
        </is>
      </c>
      <c r="F1316" s="2" t="inlineStr">
        <is>
          <t>Pix</t>
        </is>
      </c>
      <c r="G1316" s="19" t="n">
        <v>0.03</v>
      </c>
    </row>
    <row r="1317">
      <c r="A1317" s="2" t="inlineStr">
        <is>
          <t>PED01316</t>
        </is>
      </c>
      <c r="B1317" s="3" t="n">
        <v>45796</v>
      </c>
      <c r="C1317" s="2" t="inlineStr">
        <is>
          <t>C0169</t>
        </is>
      </c>
      <c r="D1317" s="2" t="inlineStr">
        <is>
          <t>L02</t>
        </is>
      </c>
      <c r="E1317" s="2" t="inlineStr">
        <is>
          <t>Entregue</t>
        </is>
      </c>
      <c r="F1317" s="2" t="inlineStr">
        <is>
          <t>Cartão de crédito</t>
        </is>
      </c>
      <c r="G1317" s="19" t="n">
        <v>0.05</v>
      </c>
    </row>
    <row r="1318">
      <c r="A1318" s="2" t="inlineStr">
        <is>
          <t>PED01317</t>
        </is>
      </c>
      <c r="B1318" s="3" t="n">
        <v>45979</v>
      </c>
      <c r="C1318" s="2" t="inlineStr">
        <is>
          <t>C0307</t>
        </is>
      </c>
      <c r="D1318" s="2" t="inlineStr">
        <is>
          <t>L08</t>
        </is>
      </c>
      <c r="E1318" s="2" t="inlineStr">
        <is>
          <t>Entregue</t>
        </is>
      </c>
      <c r="F1318" s="2" t="inlineStr">
        <is>
          <t>Cartão de débito</t>
        </is>
      </c>
      <c r="G1318" s="19" t="n">
        <v>0</v>
      </c>
    </row>
    <row r="1319">
      <c r="A1319" s="2" t="inlineStr">
        <is>
          <t>PED01318</t>
        </is>
      </c>
      <c r="B1319" s="3" t="n">
        <v>45765</v>
      </c>
      <c r="C1319" s="2" t="inlineStr">
        <is>
          <t>C0240</t>
        </is>
      </c>
      <c r="D1319" s="2" t="inlineStr">
        <is>
          <t>L03</t>
        </is>
      </c>
      <c r="E1319" s="2" t="inlineStr">
        <is>
          <t>Entregue</t>
        </is>
      </c>
      <c r="F1319" s="2" t="inlineStr">
        <is>
          <t>Pix</t>
        </is>
      </c>
      <c r="G1319" s="19" t="n">
        <v>0</v>
      </c>
    </row>
    <row r="1320">
      <c r="A1320" s="2" t="inlineStr">
        <is>
          <t>PED01319</t>
        </is>
      </c>
      <c r="B1320" s="3" t="n">
        <v>45784</v>
      </c>
      <c r="C1320" s="2" t="inlineStr">
        <is>
          <t>C0273</t>
        </is>
      </c>
      <c r="D1320" s="2" t="inlineStr">
        <is>
          <t>L04</t>
        </is>
      </c>
      <c r="E1320" s="2" t="inlineStr">
        <is>
          <t>Entregue</t>
        </is>
      </c>
      <c r="F1320" s="2" t="inlineStr">
        <is>
          <t>Cartão de débito</t>
        </is>
      </c>
      <c r="G1320" s="19" t="n">
        <v>0</v>
      </c>
    </row>
    <row r="1321">
      <c r="A1321" s="2" t="inlineStr">
        <is>
          <t>PED01320</t>
        </is>
      </c>
      <c r="B1321" s="3" t="n">
        <v>45366</v>
      </c>
      <c r="C1321" s="2" t="inlineStr">
        <is>
          <t>C0155</t>
        </is>
      </c>
      <c r="D1321" s="2" t="inlineStr">
        <is>
          <t>L06</t>
        </is>
      </c>
      <c r="E1321" s="2" t="inlineStr">
        <is>
          <t>Entregue</t>
        </is>
      </c>
      <c r="F1321" s="2" t="inlineStr">
        <is>
          <t>Cartão de débito</t>
        </is>
      </c>
      <c r="G1321" s="19" t="n">
        <v>0</v>
      </c>
    </row>
    <row r="1322">
      <c r="A1322" s="2" t="inlineStr">
        <is>
          <t>PED01321</t>
        </is>
      </c>
      <c r="B1322" s="3" t="n">
        <v>45695</v>
      </c>
      <c r="C1322" s="2" t="inlineStr">
        <is>
          <t>C0271</t>
        </is>
      </c>
      <c r="D1322" s="2" t="inlineStr">
        <is>
          <t>L07</t>
        </is>
      </c>
      <c r="E1322" s="2" t="inlineStr">
        <is>
          <t>Devolvido</t>
        </is>
      </c>
      <c r="F1322" s="2" t="inlineStr">
        <is>
          <t>Boleto</t>
        </is>
      </c>
      <c r="G1322" s="19" t="n">
        <v>0</v>
      </c>
    </row>
    <row r="1323">
      <c r="A1323" s="2" t="inlineStr">
        <is>
          <t>PED01322</t>
        </is>
      </c>
      <c r="B1323" s="3" t="n">
        <v>45678</v>
      </c>
      <c r="C1323" s="2" t="inlineStr">
        <is>
          <t>C0350</t>
        </is>
      </c>
      <c r="D1323" s="2" t="inlineStr">
        <is>
          <t>L04</t>
        </is>
      </c>
      <c r="E1323" s="2" t="inlineStr">
        <is>
          <t>Entregue</t>
        </is>
      </c>
      <c r="F1323" s="2" t="inlineStr">
        <is>
          <t>Boleto</t>
        </is>
      </c>
      <c r="G1323" s="19" t="n">
        <v>0.1</v>
      </c>
    </row>
    <row r="1324">
      <c r="A1324" s="2" t="inlineStr">
        <is>
          <t>PED01323</t>
        </is>
      </c>
      <c r="B1324" s="3" t="n">
        <v>45808</v>
      </c>
      <c r="C1324" s="2" t="inlineStr">
        <is>
          <t>C0244</t>
        </is>
      </c>
      <c r="D1324" s="2" t="inlineStr">
        <is>
          <t>L01</t>
        </is>
      </c>
      <c r="E1324" s="2" t="inlineStr">
        <is>
          <t>Entregue</t>
        </is>
      </c>
      <c r="F1324" s="2" t="inlineStr">
        <is>
          <t>Cartão de débito</t>
        </is>
      </c>
      <c r="G1324" s="19" t="n">
        <v>0</v>
      </c>
    </row>
    <row r="1325">
      <c r="A1325" s="2" t="inlineStr">
        <is>
          <t>PED01324</t>
        </is>
      </c>
      <c r="B1325" s="3" t="n">
        <v>45671</v>
      </c>
      <c r="C1325" s="2" t="inlineStr">
        <is>
          <t>C0121</t>
        </is>
      </c>
      <c r="D1325" s="2" t="inlineStr">
        <is>
          <t>L05</t>
        </is>
      </c>
      <c r="E1325" s="2" t="inlineStr">
        <is>
          <t>Entregue</t>
        </is>
      </c>
      <c r="F1325" s="2" t="inlineStr">
        <is>
          <t>Cartão de débito</t>
        </is>
      </c>
      <c r="G1325" s="19" t="n">
        <v>0.05</v>
      </c>
    </row>
    <row r="1326">
      <c r="A1326" s="2" t="inlineStr">
        <is>
          <t>PED01325</t>
        </is>
      </c>
      <c r="B1326" s="3" t="n">
        <v>45777</v>
      </c>
      <c r="C1326" s="2" t="inlineStr">
        <is>
          <t>C0257</t>
        </is>
      </c>
      <c r="D1326" s="2" t="inlineStr">
        <is>
          <t>L08</t>
        </is>
      </c>
      <c r="E1326" s="2" t="inlineStr">
        <is>
          <t>Entregue</t>
        </is>
      </c>
      <c r="F1326" s="2" t="inlineStr">
        <is>
          <t>Cartão de crédito</t>
        </is>
      </c>
      <c r="G1326" s="19" t="n">
        <v>0</v>
      </c>
    </row>
    <row r="1327">
      <c r="A1327" s="2" t="inlineStr">
        <is>
          <t>PED01326</t>
        </is>
      </c>
      <c r="B1327" s="3" t="n">
        <v>45780</v>
      </c>
      <c r="C1327" s="2" t="inlineStr">
        <is>
          <t>C0108</t>
        </is>
      </c>
      <c r="D1327" s="2" t="inlineStr">
        <is>
          <t>L07</t>
        </is>
      </c>
      <c r="E1327" s="2" t="inlineStr">
        <is>
          <t>Entregue</t>
        </is>
      </c>
      <c r="F1327" s="2" t="inlineStr">
        <is>
          <t>Pix</t>
        </is>
      </c>
      <c r="G1327" s="19" t="n">
        <v>0.05</v>
      </c>
    </row>
    <row r="1328">
      <c r="A1328" s="2" t="inlineStr">
        <is>
          <t>PED01327</t>
        </is>
      </c>
      <c r="B1328" s="3" t="n">
        <v>45785</v>
      </c>
      <c r="C1328" s="2" t="inlineStr">
        <is>
          <t>C0053</t>
        </is>
      </c>
      <c r="D1328" s="2" t="inlineStr">
        <is>
          <t>L02</t>
        </is>
      </c>
      <c r="E1328" s="2" t="inlineStr">
        <is>
          <t>Entregue</t>
        </is>
      </c>
      <c r="F1328" s="2" t="inlineStr">
        <is>
          <t>Cartão de débito</t>
        </is>
      </c>
      <c r="G1328" s="19" t="n">
        <v>0.1</v>
      </c>
    </row>
    <row r="1329">
      <c r="A1329" s="2" t="inlineStr">
        <is>
          <t>PED01328</t>
        </is>
      </c>
      <c r="B1329" s="3" t="n">
        <v>45672</v>
      </c>
      <c r="C1329" s="2" t="inlineStr">
        <is>
          <t>C0059</t>
        </is>
      </c>
      <c r="D1329" s="2" t="inlineStr">
        <is>
          <t>L05</t>
        </is>
      </c>
      <c r="E1329" s="2" t="inlineStr">
        <is>
          <t>Entregue</t>
        </is>
      </c>
      <c r="F1329" s="2" t="inlineStr">
        <is>
          <t>Cartão de crédito</t>
        </is>
      </c>
      <c r="G1329" s="19" t="n">
        <v>0.05</v>
      </c>
    </row>
    <row r="1330">
      <c r="A1330" s="2" t="inlineStr">
        <is>
          <t>PED01329</t>
        </is>
      </c>
      <c r="B1330" s="3" t="n">
        <v>45890</v>
      </c>
      <c r="C1330" s="2" t="inlineStr">
        <is>
          <t>C0092</t>
        </is>
      </c>
      <c r="D1330" s="2" t="inlineStr">
        <is>
          <t>L03</t>
        </is>
      </c>
      <c r="E1330" s="2" t="inlineStr">
        <is>
          <t>Entregue</t>
        </is>
      </c>
      <c r="F1330" s="2" t="inlineStr">
        <is>
          <t>Pix</t>
        </is>
      </c>
      <c r="G1330" s="19" t="n">
        <v>0</v>
      </c>
    </row>
    <row r="1331">
      <c r="A1331" s="2" t="inlineStr">
        <is>
          <t>PED01330</t>
        </is>
      </c>
      <c r="B1331" s="3" t="n">
        <v>45374</v>
      </c>
      <c r="C1331" s="2" t="inlineStr">
        <is>
          <t>C0205</t>
        </is>
      </c>
      <c r="D1331" s="2" t="inlineStr">
        <is>
          <t>L04</t>
        </is>
      </c>
      <c r="E1331" s="2" t="inlineStr">
        <is>
          <t>Entregue</t>
        </is>
      </c>
      <c r="F1331" s="2" t="inlineStr">
        <is>
          <t>Cartão de débito</t>
        </is>
      </c>
      <c r="G1331" s="19" t="n">
        <v>0.1</v>
      </c>
    </row>
    <row r="1332">
      <c r="A1332" s="2" t="inlineStr">
        <is>
          <t>PED01331</t>
        </is>
      </c>
      <c r="B1332" s="3" t="n">
        <v>45407</v>
      </c>
      <c r="C1332" s="2" t="inlineStr">
        <is>
          <t>C0226</t>
        </is>
      </c>
      <c r="D1332" s="2" t="inlineStr">
        <is>
          <t>L03</t>
        </is>
      </c>
      <c r="E1332" s="2" t="inlineStr">
        <is>
          <t>Entregue</t>
        </is>
      </c>
      <c r="F1332" s="2" t="inlineStr">
        <is>
          <t>Cartão de débito</t>
        </is>
      </c>
      <c r="G1332" s="19" t="n">
        <v>0.03</v>
      </c>
    </row>
    <row r="1333">
      <c r="A1333" s="2" t="inlineStr">
        <is>
          <t>PED01332</t>
        </is>
      </c>
      <c r="B1333" s="3" t="n">
        <v>45624</v>
      </c>
      <c r="C1333" s="2" t="inlineStr">
        <is>
          <t>C0134</t>
        </is>
      </c>
      <c r="D1333" s="2" t="inlineStr">
        <is>
          <t>L01</t>
        </is>
      </c>
      <c r="E1333" s="2" t="inlineStr">
        <is>
          <t>Entregue</t>
        </is>
      </c>
      <c r="F1333" s="2" t="inlineStr">
        <is>
          <t>Cartão de crédito</t>
        </is>
      </c>
      <c r="G1333" s="19" t="n">
        <v>0.05</v>
      </c>
    </row>
    <row r="1334">
      <c r="A1334" s="2" t="inlineStr">
        <is>
          <t>PED01333</t>
        </is>
      </c>
      <c r="B1334" s="3" t="n">
        <v>45519</v>
      </c>
      <c r="C1334" s="2" t="inlineStr">
        <is>
          <t>C0179</t>
        </is>
      </c>
      <c r="D1334" s="2" t="inlineStr">
        <is>
          <t>L01</t>
        </is>
      </c>
      <c r="E1334" s="2" t="inlineStr">
        <is>
          <t>Entregue</t>
        </is>
      </c>
      <c r="F1334" s="2" t="inlineStr">
        <is>
          <t>Cartão de débito</t>
        </is>
      </c>
      <c r="G1334" s="19" t="n">
        <v>0.1</v>
      </c>
    </row>
    <row r="1335">
      <c r="A1335" s="2" t="inlineStr">
        <is>
          <t>PED01334</t>
        </is>
      </c>
      <c r="B1335" s="3" t="n">
        <v>45953</v>
      </c>
      <c r="C1335" s="2" t="inlineStr">
        <is>
          <t>C0170</t>
        </is>
      </c>
      <c r="D1335" s="2" t="inlineStr">
        <is>
          <t>L03</t>
        </is>
      </c>
      <c r="E1335" s="2" t="inlineStr">
        <is>
          <t>Entregue</t>
        </is>
      </c>
      <c r="F1335" s="2" t="inlineStr">
        <is>
          <t>Pix</t>
        </is>
      </c>
      <c r="G1335" s="19" t="n">
        <v>0.05</v>
      </c>
    </row>
    <row r="1336">
      <c r="A1336" s="2" t="inlineStr">
        <is>
          <t>PED01335</t>
        </is>
      </c>
      <c r="B1336" s="3" t="n">
        <v>45292</v>
      </c>
      <c r="C1336" s="2" t="inlineStr">
        <is>
          <t>C0259</t>
        </is>
      </c>
      <c r="D1336" s="2" t="inlineStr">
        <is>
          <t>L07</t>
        </is>
      </c>
      <c r="E1336" s="2" t="inlineStr">
        <is>
          <t>Entregue</t>
        </is>
      </c>
      <c r="F1336" s="2" t="inlineStr">
        <is>
          <t>Pix</t>
        </is>
      </c>
      <c r="G1336" s="19" t="n">
        <v>0.05</v>
      </c>
    </row>
    <row r="1337">
      <c r="A1337" s="2" t="inlineStr">
        <is>
          <t>PED01336</t>
        </is>
      </c>
      <c r="B1337" s="3" t="n">
        <v>45598</v>
      </c>
      <c r="C1337" s="2" t="inlineStr">
        <is>
          <t>C0122</t>
        </is>
      </c>
      <c r="D1337" s="2" t="inlineStr">
        <is>
          <t>L01</t>
        </is>
      </c>
      <c r="E1337" s="2" t="inlineStr">
        <is>
          <t>Entregue</t>
        </is>
      </c>
      <c r="F1337" s="2" t="inlineStr">
        <is>
          <t>Cartão de crédito</t>
        </is>
      </c>
      <c r="G1337" s="19" t="n">
        <v>0.1</v>
      </c>
    </row>
    <row r="1338">
      <c r="A1338" s="2" t="inlineStr">
        <is>
          <t>PED01337</t>
        </is>
      </c>
      <c r="B1338" s="3" t="n">
        <v>45449</v>
      </c>
      <c r="C1338" s="2" t="inlineStr">
        <is>
          <t>C0192</t>
        </is>
      </c>
      <c r="D1338" s="2" t="inlineStr">
        <is>
          <t>L06</t>
        </is>
      </c>
      <c r="E1338" s="2" t="inlineStr">
        <is>
          <t>Entregue</t>
        </is>
      </c>
      <c r="F1338" s="2" t="inlineStr">
        <is>
          <t>Transferência</t>
        </is>
      </c>
      <c r="G1338" s="19" t="n">
        <v>0</v>
      </c>
    </row>
    <row r="1339">
      <c r="A1339" s="2" t="inlineStr">
        <is>
          <t>PED01338</t>
        </is>
      </c>
      <c r="B1339" s="3" t="n">
        <v>45505</v>
      </c>
      <c r="C1339" s="2" t="inlineStr">
        <is>
          <t>C0320</t>
        </is>
      </c>
      <c r="D1339" s="2" t="inlineStr">
        <is>
          <t>L04</t>
        </is>
      </c>
      <c r="E1339" s="2" t="inlineStr">
        <is>
          <t>Entregue</t>
        </is>
      </c>
      <c r="F1339" s="2" t="inlineStr">
        <is>
          <t>Pix</t>
        </is>
      </c>
      <c r="G1339" s="19" t="n">
        <v>0.1</v>
      </c>
    </row>
    <row r="1340">
      <c r="A1340" s="2" t="inlineStr">
        <is>
          <t>PED01339</t>
        </is>
      </c>
      <c r="B1340" s="3" t="n">
        <v>45319</v>
      </c>
      <c r="C1340" s="2" t="inlineStr">
        <is>
          <t>C0178</t>
        </is>
      </c>
      <c r="D1340" s="2" t="inlineStr">
        <is>
          <t>L04</t>
        </is>
      </c>
      <c r="E1340" s="2" t="inlineStr">
        <is>
          <t>Entregue</t>
        </is>
      </c>
      <c r="F1340" s="2" t="inlineStr">
        <is>
          <t>Cartão de débito</t>
        </is>
      </c>
      <c r="G1340" s="19" t="n">
        <v>0.1</v>
      </c>
    </row>
    <row r="1341">
      <c r="A1341" s="2" t="inlineStr">
        <is>
          <t>PED01340</t>
        </is>
      </c>
      <c r="B1341" s="3" t="n">
        <v>45429</v>
      </c>
      <c r="C1341" s="2" t="inlineStr">
        <is>
          <t>C0029</t>
        </is>
      </c>
      <c r="D1341" s="2" t="inlineStr">
        <is>
          <t>L02</t>
        </is>
      </c>
      <c r="E1341" s="2" t="inlineStr">
        <is>
          <t>Entregue</t>
        </is>
      </c>
      <c r="F1341" s="2" t="inlineStr">
        <is>
          <t>Transferência</t>
        </is>
      </c>
      <c r="G1341" s="19" t="n">
        <v>0</v>
      </c>
    </row>
    <row r="1342">
      <c r="A1342" s="2" t="inlineStr">
        <is>
          <t>PED01341</t>
        </is>
      </c>
      <c r="B1342" s="3" t="n">
        <v>45455</v>
      </c>
      <c r="C1342" s="2" t="inlineStr">
        <is>
          <t>C0034</t>
        </is>
      </c>
      <c r="D1342" s="2" t="inlineStr">
        <is>
          <t>L01</t>
        </is>
      </c>
      <c r="E1342" s="2" t="inlineStr">
        <is>
          <t>Entregue</t>
        </is>
      </c>
      <c r="F1342" s="2" t="inlineStr">
        <is>
          <t>Cartão de crédito</t>
        </is>
      </c>
      <c r="G1342" s="19" t="n">
        <v>0.1</v>
      </c>
    </row>
    <row r="1343">
      <c r="A1343" s="2" t="inlineStr">
        <is>
          <t>PED01342</t>
        </is>
      </c>
      <c r="B1343" s="3" t="n">
        <v>45394</v>
      </c>
      <c r="C1343" s="2" t="inlineStr">
        <is>
          <t>C0247</t>
        </is>
      </c>
      <c r="D1343" s="2" t="inlineStr">
        <is>
          <t>L06</t>
        </is>
      </c>
      <c r="E1343" s="2" t="inlineStr">
        <is>
          <t>Entregue</t>
        </is>
      </c>
      <c r="F1343" s="2" t="inlineStr">
        <is>
          <t>Cartão de crédito</t>
        </is>
      </c>
      <c r="G1343" s="19" t="n">
        <v>0.1</v>
      </c>
    </row>
    <row r="1344">
      <c r="A1344" s="2" t="inlineStr">
        <is>
          <t>PED01343</t>
        </is>
      </c>
      <c r="B1344" s="3" t="n">
        <v>45727</v>
      </c>
      <c r="C1344" s="2" t="inlineStr">
        <is>
          <t>C0062</t>
        </is>
      </c>
      <c r="D1344" s="2" t="inlineStr">
        <is>
          <t>L08</t>
        </is>
      </c>
      <c r="E1344" s="2" t="inlineStr">
        <is>
          <t>Entregue</t>
        </is>
      </c>
      <c r="F1344" s="2" t="inlineStr">
        <is>
          <t>Pix</t>
        </is>
      </c>
      <c r="G1344" s="19" t="n">
        <v>0</v>
      </c>
    </row>
    <row r="1345">
      <c r="A1345" s="2" t="inlineStr">
        <is>
          <t>PED01344</t>
        </is>
      </c>
      <c r="B1345" s="3" t="n">
        <v>45631</v>
      </c>
      <c r="C1345" s="2" t="inlineStr">
        <is>
          <t>C0182</t>
        </is>
      </c>
      <c r="D1345" s="2" t="inlineStr">
        <is>
          <t>L01</t>
        </is>
      </c>
      <c r="E1345" s="2" t="inlineStr">
        <is>
          <t>Entregue</t>
        </is>
      </c>
      <c r="F1345" s="2" t="inlineStr">
        <is>
          <t>Pix</t>
        </is>
      </c>
      <c r="G1345" s="19" t="n">
        <v>0.05</v>
      </c>
    </row>
    <row r="1346">
      <c r="A1346" s="2" t="inlineStr">
        <is>
          <t>PED01345</t>
        </is>
      </c>
      <c r="B1346" s="3" t="n">
        <v>45342</v>
      </c>
      <c r="C1346" s="2" t="inlineStr">
        <is>
          <t>C0265</t>
        </is>
      </c>
      <c r="D1346" s="2" t="inlineStr">
        <is>
          <t>L08</t>
        </is>
      </c>
      <c r="E1346" s="2" t="inlineStr">
        <is>
          <t>Entregue</t>
        </is>
      </c>
      <c r="F1346" s="2" t="inlineStr">
        <is>
          <t>Cartão de crédito</t>
        </is>
      </c>
      <c r="G1346" s="19" t="n">
        <v>0.05</v>
      </c>
    </row>
    <row r="1347">
      <c r="A1347" s="2" t="inlineStr">
        <is>
          <t>PED01346</t>
        </is>
      </c>
      <c r="B1347" s="3" t="n">
        <v>45805</v>
      </c>
      <c r="C1347" s="2" t="inlineStr">
        <is>
          <t>C0280</t>
        </is>
      </c>
      <c r="D1347" s="2" t="inlineStr">
        <is>
          <t>L04</t>
        </is>
      </c>
      <c r="E1347" s="2" t="inlineStr">
        <is>
          <t>Entregue</t>
        </is>
      </c>
      <c r="F1347" s="2" t="inlineStr">
        <is>
          <t>Pix</t>
        </is>
      </c>
      <c r="G1347" s="19" t="n">
        <v>0.1</v>
      </c>
    </row>
    <row r="1348">
      <c r="A1348" s="2" t="inlineStr">
        <is>
          <t>PED01347</t>
        </is>
      </c>
      <c r="B1348" s="3" t="n">
        <v>45847</v>
      </c>
      <c r="C1348" s="2" t="inlineStr">
        <is>
          <t>C0248</t>
        </is>
      </c>
      <c r="D1348" s="2" t="inlineStr">
        <is>
          <t>L08</t>
        </is>
      </c>
      <c r="E1348" s="2" t="inlineStr">
        <is>
          <t>Entregue</t>
        </is>
      </c>
      <c r="F1348" s="2" t="inlineStr">
        <is>
          <t>Cartão de crédito</t>
        </is>
      </c>
      <c r="G1348" s="19" t="n">
        <v>0</v>
      </c>
    </row>
    <row r="1349">
      <c r="A1349" s="2" t="inlineStr">
        <is>
          <t>PED01348</t>
        </is>
      </c>
      <c r="B1349" s="3" t="n">
        <v>45461</v>
      </c>
      <c r="C1349" s="2" t="inlineStr">
        <is>
          <t>C0175</t>
        </is>
      </c>
      <c r="D1349" s="2" t="inlineStr">
        <is>
          <t>L08</t>
        </is>
      </c>
      <c r="E1349" s="2" t="inlineStr">
        <is>
          <t>Entregue</t>
        </is>
      </c>
      <c r="F1349" s="2" t="inlineStr">
        <is>
          <t>Cartão de crédito</t>
        </is>
      </c>
      <c r="G1349" s="19" t="n">
        <v>0.15</v>
      </c>
    </row>
    <row r="1350">
      <c r="A1350" s="2" t="inlineStr">
        <is>
          <t>PED01349</t>
        </is>
      </c>
      <c r="B1350" s="3" t="n">
        <v>45488</v>
      </c>
      <c r="C1350" s="2" t="inlineStr">
        <is>
          <t>C0278</t>
        </is>
      </c>
      <c r="D1350" s="2" t="inlineStr">
        <is>
          <t>L03</t>
        </is>
      </c>
      <c r="E1350" s="2" t="inlineStr">
        <is>
          <t>Devolvido</t>
        </is>
      </c>
      <c r="F1350" s="2" t="inlineStr">
        <is>
          <t>Cartão de crédito</t>
        </is>
      </c>
      <c r="G1350" s="19" t="n">
        <v>0.03</v>
      </c>
    </row>
    <row r="1351">
      <c r="A1351" s="2" t="inlineStr">
        <is>
          <t>PED01350</t>
        </is>
      </c>
      <c r="B1351" s="3" t="n">
        <v>45944</v>
      </c>
      <c r="C1351" s="2" t="inlineStr">
        <is>
          <t>C0164</t>
        </is>
      </c>
      <c r="D1351" s="2" t="inlineStr">
        <is>
          <t>L06</t>
        </is>
      </c>
      <c r="E1351" s="2" t="inlineStr">
        <is>
          <t>Entregue</t>
        </is>
      </c>
      <c r="F1351" s="2" t="inlineStr">
        <is>
          <t>Cartão de crédito</t>
        </is>
      </c>
      <c r="G1351" s="19" t="n">
        <v>0</v>
      </c>
    </row>
    <row r="1352">
      <c r="A1352" s="2" t="inlineStr">
        <is>
          <t>PED01351</t>
        </is>
      </c>
      <c r="B1352" s="3" t="n">
        <v>45400</v>
      </c>
      <c r="C1352" s="2" t="inlineStr">
        <is>
          <t>C0274</t>
        </is>
      </c>
      <c r="D1352" s="2" t="inlineStr">
        <is>
          <t>L03</t>
        </is>
      </c>
      <c r="E1352" s="2" t="inlineStr">
        <is>
          <t>Entregue</t>
        </is>
      </c>
      <c r="F1352" s="2" t="inlineStr">
        <is>
          <t>Cartão de débito</t>
        </is>
      </c>
      <c r="G1352" s="19" t="n">
        <v>0.1</v>
      </c>
    </row>
    <row r="1353">
      <c r="A1353" s="2" t="inlineStr">
        <is>
          <t>PED01352</t>
        </is>
      </c>
      <c r="B1353" s="3" t="n">
        <v>45476</v>
      </c>
      <c r="C1353" s="2" t="inlineStr">
        <is>
          <t>C0331</t>
        </is>
      </c>
      <c r="D1353" s="2" t="inlineStr">
        <is>
          <t>L01</t>
        </is>
      </c>
      <c r="E1353" s="2" t="inlineStr">
        <is>
          <t>Entregue</t>
        </is>
      </c>
      <c r="F1353" s="2" t="inlineStr">
        <is>
          <t>Boleto</t>
        </is>
      </c>
      <c r="G1353" s="19" t="n">
        <v>0.1</v>
      </c>
    </row>
    <row r="1354">
      <c r="A1354" s="2" t="inlineStr">
        <is>
          <t>PED01353</t>
        </is>
      </c>
      <c r="B1354" s="3" t="n">
        <v>45912</v>
      </c>
      <c r="C1354" s="2" t="inlineStr">
        <is>
          <t>C0336</t>
        </is>
      </c>
      <c r="D1354" s="2" t="inlineStr">
        <is>
          <t>L07</t>
        </is>
      </c>
      <c r="E1354" s="2" t="inlineStr">
        <is>
          <t>Entregue</t>
        </is>
      </c>
      <c r="F1354" s="2" t="inlineStr">
        <is>
          <t>Cartão de débito</t>
        </is>
      </c>
      <c r="G1354" s="19" t="n">
        <v>0.03</v>
      </c>
    </row>
    <row r="1355">
      <c r="A1355" s="2" t="inlineStr">
        <is>
          <t>PED01354</t>
        </is>
      </c>
      <c r="B1355" s="3" t="n">
        <v>45642</v>
      </c>
      <c r="C1355" s="2" t="inlineStr">
        <is>
          <t>C0027</t>
        </is>
      </c>
      <c r="D1355" s="2" t="inlineStr">
        <is>
          <t>L06</t>
        </is>
      </c>
      <c r="E1355" s="2" t="inlineStr">
        <is>
          <t>Entregue</t>
        </is>
      </c>
      <c r="F1355" s="2" t="inlineStr">
        <is>
          <t>Pix</t>
        </is>
      </c>
      <c r="G1355" s="19" t="n">
        <v>0.03</v>
      </c>
    </row>
    <row r="1356">
      <c r="A1356" s="2" t="inlineStr">
        <is>
          <t>PED01355</t>
        </is>
      </c>
      <c r="B1356" s="3" t="n">
        <v>45880</v>
      </c>
      <c r="C1356" s="2" t="inlineStr">
        <is>
          <t>C0113</t>
        </is>
      </c>
      <c r="D1356" s="2" t="inlineStr">
        <is>
          <t>L04</t>
        </is>
      </c>
      <c r="E1356" s="2" t="inlineStr">
        <is>
          <t>Entregue</t>
        </is>
      </c>
      <c r="F1356" s="2" t="inlineStr">
        <is>
          <t>Pix</t>
        </is>
      </c>
      <c r="G1356" s="19" t="n">
        <v>0.05</v>
      </c>
    </row>
    <row r="1357">
      <c r="A1357" s="2" t="inlineStr">
        <is>
          <t>PED01356</t>
        </is>
      </c>
      <c r="B1357" s="3" t="n">
        <v>45898</v>
      </c>
      <c r="C1357" s="2" t="inlineStr">
        <is>
          <t>C0114</t>
        </is>
      </c>
      <c r="D1357" s="2" t="inlineStr">
        <is>
          <t>L07</t>
        </is>
      </c>
      <c r="E1357" s="2" t="inlineStr">
        <is>
          <t>Cancelado</t>
        </is>
      </c>
      <c r="F1357" s="2" t="inlineStr">
        <is>
          <t>Cartão de débito</t>
        </is>
      </c>
      <c r="G1357" s="19" t="n">
        <v>0</v>
      </c>
    </row>
    <row r="1358">
      <c r="A1358" s="2" t="inlineStr">
        <is>
          <t>PED01357</t>
        </is>
      </c>
      <c r="B1358" s="3" t="n">
        <v>45330</v>
      </c>
      <c r="C1358" s="2" t="inlineStr">
        <is>
          <t>C0165</t>
        </is>
      </c>
      <c r="D1358" s="2" t="inlineStr">
        <is>
          <t>L07</t>
        </is>
      </c>
      <c r="E1358" s="2" t="inlineStr">
        <is>
          <t>Entregue</t>
        </is>
      </c>
      <c r="F1358" s="2" t="inlineStr">
        <is>
          <t>Pix</t>
        </is>
      </c>
      <c r="G1358" s="19" t="n">
        <v>0.05</v>
      </c>
    </row>
    <row r="1359">
      <c r="A1359" s="2" t="inlineStr">
        <is>
          <t>PED01358</t>
        </is>
      </c>
      <c r="B1359" s="3" t="n">
        <v>45830</v>
      </c>
      <c r="C1359" s="2" t="inlineStr">
        <is>
          <t>C0182</t>
        </is>
      </c>
      <c r="D1359" s="2" t="inlineStr">
        <is>
          <t>L01</t>
        </is>
      </c>
      <c r="E1359" s="2" t="inlineStr">
        <is>
          <t>Entregue</t>
        </is>
      </c>
      <c r="F1359" s="2" t="inlineStr">
        <is>
          <t>Cartão de crédito</t>
        </is>
      </c>
      <c r="G1359" s="19" t="n">
        <v>0.03</v>
      </c>
    </row>
    <row r="1360">
      <c r="A1360" s="2" t="inlineStr">
        <is>
          <t>PED01359</t>
        </is>
      </c>
      <c r="B1360" s="3" t="n">
        <v>45966</v>
      </c>
      <c r="C1360" s="2" t="inlineStr">
        <is>
          <t>C0076</t>
        </is>
      </c>
      <c r="D1360" s="2" t="inlineStr">
        <is>
          <t>L04</t>
        </is>
      </c>
      <c r="E1360" s="2" t="inlineStr">
        <is>
          <t>Entregue</t>
        </is>
      </c>
      <c r="F1360" s="2" t="inlineStr">
        <is>
          <t>Pix</t>
        </is>
      </c>
      <c r="G1360" s="19" t="n">
        <v>0.1</v>
      </c>
    </row>
    <row r="1361">
      <c r="A1361" s="2" t="inlineStr">
        <is>
          <t>PED01360</t>
        </is>
      </c>
      <c r="B1361" s="3" t="n">
        <v>45924</v>
      </c>
      <c r="C1361" s="2" t="inlineStr">
        <is>
          <t>C0133</t>
        </is>
      </c>
      <c r="D1361" s="2" t="inlineStr">
        <is>
          <t>L05</t>
        </is>
      </c>
      <c r="E1361" s="2" t="inlineStr">
        <is>
          <t>Entregue</t>
        </is>
      </c>
      <c r="F1361" s="2" t="inlineStr">
        <is>
          <t>Transferência</t>
        </is>
      </c>
      <c r="G1361" s="19" t="n">
        <v>0</v>
      </c>
    </row>
    <row r="1362">
      <c r="A1362" s="2" t="inlineStr">
        <is>
          <t>PED01361</t>
        </is>
      </c>
      <c r="B1362" s="3" t="n">
        <v>45724</v>
      </c>
      <c r="C1362" s="2" t="inlineStr">
        <is>
          <t>C0107</t>
        </is>
      </c>
      <c r="D1362" s="2" t="inlineStr">
        <is>
          <t>L05</t>
        </is>
      </c>
      <c r="E1362" s="2" t="inlineStr">
        <is>
          <t>Entregue</t>
        </is>
      </c>
      <c r="F1362" s="2" t="inlineStr">
        <is>
          <t>Pix</t>
        </is>
      </c>
      <c r="G1362" s="19" t="n">
        <v>0.15</v>
      </c>
    </row>
    <row r="1363">
      <c r="A1363" s="2" t="inlineStr">
        <is>
          <t>PED01362</t>
        </is>
      </c>
      <c r="B1363" s="3" t="n">
        <v>45468</v>
      </c>
      <c r="C1363" s="2" t="inlineStr">
        <is>
          <t>C0154</t>
        </is>
      </c>
      <c r="D1363" s="2" t="inlineStr">
        <is>
          <t>L03</t>
        </is>
      </c>
      <c r="E1363" s="2" t="inlineStr">
        <is>
          <t>Entregue</t>
        </is>
      </c>
      <c r="F1363" s="2" t="inlineStr">
        <is>
          <t>Pix</t>
        </is>
      </c>
      <c r="G1363" s="19" t="n">
        <v>0.03</v>
      </c>
    </row>
    <row r="1364">
      <c r="A1364" s="2" t="inlineStr">
        <is>
          <t>PED01363</t>
        </is>
      </c>
      <c r="B1364" s="3" t="n">
        <v>45635</v>
      </c>
      <c r="C1364" s="2" t="inlineStr">
        <is>
          <t>C0101</t>
        </is>
      </c>
      <c r="D1364" s="2" t="inlineStr">
        <is>
          <t>L07</t>
        </is>
      </c>
      <c r="E1364" s="2" t="inlineStr">
        <is>
          <t>Entregue</t>
        </is>
      </c>
      <c r="F1364" s="2" t="inlineStr">
        <is>
          <t>Cartão de crédito</t>
        </is>
      </c>
      <c r="G1364" s="19" t="n">
        <v>0.05</v>
      </c>
    </row>
    <row r="1365">
      <c r="A1365" s="2" t="inlineStr">
        <is>
          <t>PED01364</t>
        </is>
      </c>
      <c r="B1365" s="3" t="n">
        <v>45670</v>
      </c>
      <c r="C1365" s="2" t="inlineStr">
        <is>
          <t>C0116</t>
        </is>
      </c>
      <c r="D1365" s="2" t="inlineStr">
        <is>
          <t>L07</t>
        </is>
      </c>
      <c r="E1365" s="2" t="inlineStr">
        <is>
          <t>Cancelado</t>
        </is>
      </c>
      <c r="F1365" s="2" t="inlineStr">
        <is>
          <t>Pix</t>
        </is>
      </c>
      <c r="G1365" s="19" t="n">
        <v>0.03</v>
      </c>
    </row>
    <row r="1366">
      <c r="A1366" s="2" t="inlineStr">
        <is>
          <t>PED01365</t>
        </is>
      </c>
      <c r="B1366" s="3" t="n">
        <v>46015</v>
      </c>
      <c r="C1366" s="2" t="inlineStr">
        <is>
          <t>C0137</t>
        </is>
      </c>
      <c r="D1366" s="2" t="inlineStr">
        <is>
          <t>L02</t>
        </is>
      </c>
      <c r="E1366" s="2" t="inlineStr">
        <is>
          <t>Entregue</t>
        </is>
      </c>
      <c r="F1366" s="2" t="inlineStr">
        <is>
          <t>Transferência</t>
        </is>
      </c>
      <c r="G1366" s="19" t="n">
        <v>0</v>
      </c>
    </row>
    <row r="1367">
      <c r="A1367" s="2" t="inlineStr">
        <is>
          <t>PED01366</t>
        </is>
      </c>
      <c r="B1367" s="3" t="n">
        <v>45385</v>
      </c>
      <c r="C1367" s="2" t="inlineStr">
        <is>
          <t>C0201</t>
        </is>
      </c>
      <c r="D1367" s="2" t="inlineStr">
        <is>
          <t>L05</t>
        </is>
      </c>
      <c r="E1367" s="2" t="inlineStr">
        <is>
          <t>Entregue</t>
        </is>
      </c>
      <c r="F1367" s="2" t="inlineStr">
        <is>
          <t>Cartão de débito</t>
        </is>
      </c>
      <c r="G1367" s="19" t="n">
        <v>0.05</v>
      </c>
    </row>
    <row r="1368">
      <c r="A1368" s="2" t="inlineStr">
        <is>
          <t>PED01367</t>
        </is>
      </c>
      <c r="B1368" s="3" t="n">
        <v>45809</v>
      </c>
      <c r="C1368" s="2" t="inlineStr">
        <is>
          <t>C0268</t>
        </is>
      </c>
      <c r="D1368" s="2" t="inlineStr">
        <is>
          <t>L05</t>
        </is>
      </c>
      <c r="E1368" s="2" t="inlineStr">
        <is>
          <t>Entregue</t>
        </is>
      </c>
      <c r="F1368" s="2" t="inlineStr">
        <is>
          <t>Cartão de crédito</t>
        </is>
      </c>
      <c r="G1368" s="19" t="n">
        <v>0</v>
      </c>
    </row>
    <row r="1369">
      <c r="A1369" s="2" t="inlineStr">
        <is>
          <t>PED01368</t>
        </is>
      </c>
      <c r="B1369" s="3" t="n">
        <v>45716</v>
      </c>
      <c r="C1369" s="2" t="inlineStr">
        <is>
          <t>C0240</t>
        </is>
      </c>
      <c r="D1369" s="2" t="inlineStr">
        <is>
          <t>L03</t>
        </is>
      </c>
      <c r="E1369" s="2" t="inlineStr">
        <is>
          <t>Entregue</t>
        </is>
      </c>
      <c r="F1369" s="2" t="inlineStr">
        <is>
          <t>Cartão de crédito</t>
        </is>
      </c>
      <c r="G1369" s="19" t="n">
        <v>0</v>
      </c>
    </row>
    <row r="1370">
      <c r="A1370" s="2" t="inlineStr">
        <is>
          <t>PED01369</t>
        </is>
      </c>
      <c r="B1370" s="3" t="n">
        <v>45353</v>
      </c>
      <c r="C1370" s="2" t="inlineStr">
        <is>
          <t>C0077</t>
        </is>
      </c>
      <c r="D1370" s="2" t="inlineStr">
        <is>
          <t>L08</t>
        </is>
      </c>
      <c r="E1370" s="2" t="inlineStr">
        <is>
          <t>Entregue</t>
        </is>
      </c>
      <c r="F1370" s="2" t="inlineStr">
        <is>
          <t>Cartão de débito</t>
        </is>
      </c>
      <c r="G1370" s="19" t="n">
        <v>0.05</v>
      </c>
    </row>
    <row r="1371">
      <c r="A1371" s="2" t="inlineStr">
        <is>
          <t>PED01370</t>
        </is>
      </c>
      <c r="B1371" s="3" t="n">
        <v>45757</v>
      </c>
      <c r="C1371" s="2" t="inlineStr">
        <is>
          <t>C0333</t>
        </is>
      </c>
      <c r="D1371" s="2" t="inlineStr">
        <is>
          <t>L07</t>
        </is>
      </c>
      <c r="E1371" s="2" t="inlineStr">
        <is>
          <t>Entregue</t>
        </is>
      </c>
      <c r="F1371" s="2" t="inlineStr">
        <is>
          <t>Transferência</t>
        </is>
      </c>
      <c r="G1371" s="19" t="n">
        <v>0</v>
      </c>
    </row>
    <row r="1372">
      <c r="A1372" s="2" t="inlineStr">
        <is>
          <t>PED01371</t>
        </is>
      </c>
      <c r="B1372" s="3" t="n">
        <v>45508</v>
      </c>
      <c r="C1372" s="2" t="inlineStr">
        <is>
          <t>C0014</t>
        </is>
      </c>
      <c r="D1372" s="2" t="inlineStr">
        <is>
          <t>L07</t>
        </is>
      </c>
      <c r="E1372" s="2" t="inlineStr">
        <is>
          <t>Entregue</t>
        </is>
      </c>
      <c r="F1372" s="2" t="inlineStr">
        <is>
          <t>Cartão de crédito</t>
        </is>
      </c>
      <c r="G1372" s="19" t="n">
        <v>0</v>
      </c>
    </row>
    <row r="1373">
      <c r="A1373" s="2" t="inlineStr">
        <is>
          <t>PED01372</t>
        </is>
      </c>
      <c r="B1373" s="3" t="n">
        <v>45816</v>
      </c>
      <c r="C1373" s="2" t="inlineStr">
        <is>
          <t>C0232</t>
        </is>
      </c>
      <c r="D1373" s="2" t="inlineStr">
        <is>
          <t>L07</t>
        </is>
      </c>
      <c r="E1373" s="2" t="inlineStr">
        <is>
          <t>Entregue</t>
        </is>
      </c>
      <c r="F1373" s="2" t="inlineStr">
        <is>
          <t>Cartão de crédito</t>
        </is>
      </c>
      <c r="G1373" s="19" t="n">
        <v>0</v>
      </c>
    </row>
    <row r="1374">
      <c r="A1374" s="2" t="inlineStr">
        <is>
          <t>PED01373</t>
        </is>
      </c>
      <c r="B1374" s="3" t="n">
        <v>45924</v>
      </c>
      <c r="C1374" s="2" t="inlineStr">
        <is>
          <t>C0258</t>
        </is>
      </c>
      <c r="D1374" s="2" t="inlineStr">
        <is>
          <t>L08</t>
        </is>
      </c>
      <c r="E1374" s="2" t="inlineStr">
        <is>
          <t>Devolvido</t>
        </is>
      </c>
      <c r="F1374" s="2" t="inlineStr">
        <is>
          <t>Pix</t>
        </is>
      </c>
      <c r="G1374" s="19" t="n">
        <v>0.1</v>
      </c>
    </row>
    <row r="1375">
      <c r="A1375" s="2" t="inlineStr">
        <is>
          <t>PED01374</t>
        </is>
      </c>
      <c r="B1375" s="3" t="n">
        <v>45703</v>
      </c>
      <c r="C1375" s="2" t="inlineStr">
        <is>
          <t>C0350</t>
        </is>
      </c>
      <c r="D1375" s="2" t="inlineStr">
        <is>
          <t>L08</t>
        </is>
      </c>
      <c r="E1375" s="2" t="inlineStr">
        <is>
          <t>Entregue</t>
        </is>
      </c>
      <c r="F1375" s="2" t="inlineStr">
        <is>
          <t>Cartão de crédito</t>
        </is>
      </c>
      <c r="G1375" s="19" t="n">
        <v>0</v>
      </c>
    </row>
    <row r="1376">
      <c r="A1376" s="2" t="inlineStr">
        <is>
          <t>PED01375</t>
        </is>
      </c>
      <c r="B1376" s="3" t="n">
        <v>45984</v>
      </c>
      <c r="C1376" s="2" t="inlineStr">
        <is>
          <t>C0008</t>
        </is>
      </c>
      <c r="D1376" s="2" t="inlineStr">
        <is>
          <t>L08</t>
        </is>
      </c>
      <c r="E1376" s="2" t="inlineStr">
        <is>
          <t>Entregue</t>
        </is>
      </c>
      <c r="F1376" s="2" t="inlineStr">
        <is>
          <t>Cartão de débito</t>
        </is>
      </c>
      <c r="G1376" s="19" t="n">
        <v>0.05</v>
      </c>
    </row>
    <row r="1377">
      <c r="A1377" s="2" t="inlineStr">
        <is>
          <t>PED01376</t>
        </is>
      </c>
      <c r="B1377" s="3" t="n">
        <v>45500</v>
      </c>
      <c r="C1377" s="2" t="inlineStr">
        <is>
          <t>C0120</t>
        </is>
      </c>
      <c r="D1377" s="2" t="inlineStr">
        <is>
          <t>L08</t>
        </is>
      </c>
      <c r="E1377" s="2" t="inlineStr">
        <is>
          <t>Entregue</t>
        </is>
      </c>
      <c r="F1377" s="2" t="inlineStr">
        <is>
          <t>Cartão de débito</t>
        </is>
      </c>
      <c r="G1377" s="19" t="n">
        <v>0.1</v>
      </c>
    </row>
    <row r="1378">
      <c r="A1378" s="2" t="inlineStr">
        <is>
          <t>PED01377</t>
        </is>
      </c>
      <c r="B1378" s="3" t="n">
        <v>46004</v>
      </c>
      <c r="C1378" s="2" t="inlineStr">
        <is>
          <t>C0303</t>
        </is>
      </c>
      <c r="D1378" s="2" t="inlineStr">
        <is>
          <t>L04</t>
        </is>
      </c>
      <c r="E1378" s="2" t="inlineStr">
        <is>
          <t>Devolvido</t>
        </is>
      </c>
      <c r="F1378" s="2" t="inlineStr">
        <is>
          <t>Pix</t>
        </is>
      </c>
      <c r="G1378" s="19" t="n">
        <v>0.1</v>
      </c>
    </row>
    <row r="1379">
      <c r="A1379" s="2" t="inlineStr">
        <is>
          <t>PED01378</t>
        </is>
      </c>
      <c r="B1379" s="3" t="n">
        <v>45556</v>
      </c>
      <c r="C1379" s="2" t="inlineStr">
        <is>
          <t>C0311</t>
        </is>
      </c>
      <c r="D1379" s="2" t="inlineStr">
        <is>
          <t>L03</t>
        </is>
      </c>
      <c r="E1379" s="2" t="inlineStr">
        <is>
          <t>Em processamento</t>
        </is>
      </c>
      <c r="F1379" s="2" t="inlineStr">
        <is>
          <t>Pix</t>
        </is>
      </c>
      <c r="G1379" s="19" t="n">
        <v>0.03</v>
      </c>
    </row>
    <row r="1380">
      <c r="A1380" s="2" t="inlineStr">
        <is>
          <t>PED01379</t>
        </is>
      </c>
      <c r="B1380" s="3" t="n">
        <v>45369</v>
      </c>
      <c r="C1380" s="2" t="inlineStr">
        <is>
          <t>C0239</t>
        </is>
      </c>
      <c r="D1380" s="2" t="inlineStr">
        <is>
          <t>L02</t>
        </is>
      </c>
      <c r="E1380" s="2" t="inlineStr">
        <is>
          <t>Entregue</t>
        </is>
      </c>
      <c r="F1380" s="2" t="inlineStr">
        <is>
          <t>Cartão de crédito</t>
        </is>
      </c>
      <c r="G1380" s="19" t="n">
        <v>0.1</v>
      </c>
    </row>
    <row r="1381">
      <c r="A1381" s="2" t="inlineStr">
        <is>
          <t>PED01380</t>
        </is>
      </c>
      <c r="B1381" s="3" t="n">
        <v>45885</v>
      </c>
      <c r="C1381" s="2" t="inlineStr">
        <is>
          <t>C0027</t>
        </is>
      </c>
      <c r="D1381" s="2" t="inlineStr">
        <is>
          <t>L02</t>
        </is>
      </c>
      <c r="E1381" s="2" t="inlineStr">
        <is>
          <t>Entregue</t>
        </is>
      </c>
      <c r="F1381" s="2" t="inlineStr">
        <is>
          <t>Boleto</t>
        </is>
      </c>
      <c r="G1381" s="19" t="n">
        <v>0.1</v>
      </c>
    </row>
    <row r="1382">
      <c r="A1382" s="2" t="inlineStr">
        <is>
          <t>PED01381</t>
        </is>
      </c>
      <c r="B1382" s="3" t="n">
        <v>45451</v>
      </c>
      <c r="C1382" s="2" t="inlineStr">
        <is>
          <t>C0212</t>
        </is>
      </c>
      <c r="D1382" s="2" t="inlineStr">
        <is>
          <t>L05</t>
        </is>
      </c>
      <c r="E1382" s="2" t="inlineStr">
        <is>
          <t>Entregue</t>
        </is>
      </c>
      <c r="F1382" s="2" t="inlineStr">
        <is>
          <t>Boleto</t>
        </is>
      </c>
      <c r="G1382" s="19" t="n">
        <v>0</v>
      </c>
    </row>
    <row r="1383">
      <c r="A1383" s="2" t="inlineStr">
        <is>
          <t>PED01382</t>
        </is>
      </c>
      <c r="B1383" s="3" t="n">
        <v>45455</v>
      </c>
      <c r="C1383" s="2" t="inlineStr">
        <is>
          <t>C0206</t>
        </is>
      </c>
      <c r="D1383" s="2" t="inlineStr">
        <is>
          <t>L03</t>
        </is>
      </c>
      <c r="E1383" s="2" t="inlineStr">
        <is>
          <t>Entregue</t>
        </is>
      </c>
      <c r="F1383" s="2" t="inlineStr">
        <is>
          <t>Cartão de crédito</t>
        </is>
      </c>
      <c r="G1383" s="19" t="n">
        <v>0</v>
      </c>
    </row>
    <row r="1384">
      <c r="A1384" s="2" t="inlineStr">
        <is>
          <t>PED01383</t>
        </is>
      </c>
      <c r="B1384" s="3" t="n">
        <v>45626</v>
      </c>
      <c r="C1384" s="2" t="inlineStr">
        <is>
          <t>C0016</t>
        </is>
      </c>
      <c r="D1384" s="2" t="inlineStr">
        <is>
          <t>L01</t>
        </is>
      </c>
      <c r="E1384" s="2" t="inlineStr">
        <is>
          <t>Entregue</t>
        </is>
      </c>
      <c r="F1384" s="2" t="inlineStr">
        <is>
          <t>Cartão de crédito</t>
        </is>
      </c>
      <c r="G1384" s="19" t="n">
        <v>0.05</v>
      </c>
    </row>
    <row r="1385">
      <c r="A1385" s="2" t="inlineStr">
        <is>
          <t>PED01384</t>
        </is>
      </c>
      <c r="B1385" s="3" t="n">
        <v>45427</v>
      </c>
      <c r="C1385" s="2" t="inlineStr">
        <is>
          <t>C0008</t>
        </is>
      </c>
      <c r="D1385" s="2" t="inlineStr">
        <is>
          <t>L01</t>
        </is>
      </c>
      <c r="E1385" s="2" t="inlineStr">
        <is>
          <t>Entregue</t>
        </is>
      </c>
      <c r="F1385" s="2" t="inlineStr">
        <is>
          <t>Cartão de débito</t>
        </is>
      </c>
      <c r="G1385" s="19" t="n">
        <v>0</v>
      </c>
    </row>
    <row r="1386">
      <c r="A1386" s="2" t="inlineStr">
        <is>
          <t>PED01385</t>
        </is>
      </c>
      <c r="B1386" s="3" t="n">
        <v>45723</v>
      </c>
      <c r="C1386" s="2" t="inlineStr">
        <is>
          <t>C0100</t>
        </is>
      </c>
      <c r="D1386" s="2" t="inlineStr">
        <is>
          <t>L05</t>
        </is>
      </c>
      <c r="E1386" s="2" t="inlineStr">
        <is>
          <t>Entregue</t>
        </is>
      </c>
      <c r="F1386" s="2" t="inlineStr">
        <is>
          <t>Pix</t>
        </is>
      </c>
      <c r="G1386" s="19" t="n">
        <v>0.1</v>
      </c>
    </row>
    <row r="1387">
      <c r="A1387" s="2" t="inlineStr">
        <is>
          <t>PED01386</t>
        </is>
      </c>
      <c r="B1387" s="3" t="n">
        <v>45298</v>
      </c>
      <c r="C1387" s="2" t="inlineStr">
        <is>
          <t>C0042</t>
        </is>
      </c>
      <c r="D1387" s="2" t="inlineStr">
        <is>
          <t>L03</t>
        </is>
      </c>
      <c r="E1387" s="2" t="inlineStr">
        <is>
          <t>Entregue</t>
        </is>
      </c>
      <c r="F1387" s="2" t="inlineStr">
        <is>
          <t>Cartão de débito</t>
        </is>
      </c>
      <c r="G1387" s="19" t="n">
        <v>0.1</v>
      </c>
    </row>
    <row r="1388">
      <c r="A1388" s="2" t="inlineStr">
        <is>
          <t>PED01387</t>
        </is>
      </c>
      <c r="B1388" s="3" t="n">
        <v>45706</v>
      </c>
      <c r="C1388" s="2" t="inlineStr">
        <is>
          <t>C0031</t>
        </is>
      </c>
      <c r="D1388" s="2" t="inlineStr">
        <is>
          <t>L04</t>
        </is>
      </c>
      <c r="E1388" s="2" t="inlineStr">
        <is>
          <t>Entregue</t>
        </is>
      </c>
      <c r="F1388" s="2" t="inlineStr">
        <is>
          <t>Cartão de crédito</t>
        </is>
      </c>
      <c r="G1388" s="19" t="n">
        <v>0.03</v>
      </c>
    </row>
    <row r="1389">
      <c r="A1389" s="2" t="inlineStr">
        <is>
          <t>PED01388</t>
        </is>
      </c>
      <c r="B1389" s="3" t="n">
        <v>45998</v>
      </c>
      <c r="C1389" s="2" t="inlineStr">
        <is>
          <t>C0158</t>
        </is>
      </c>
      <c r="D1389" s="2" t="inlineStr">
        <is>
          <t>L01</t>
        </is>
      </c>
      <c r="E1389" s="2" t="inlineStr">
        <is>
          <t>Entregue</t>
        </is>
      </c>
      <c r="F1389" s="2" t="inlineStr">
        <is>
          <t>Pix</t>
        </is>
      </c>
      <c r="G1389" s="19" t="n">
        <v>0.05</v>
      </c>
    </row>
    <row r="1390">
      <c r="A1390" s="2" t="inlineStr">
        <is>
          <t>PED01389</t>
        </is>
      </c>
      <c r="B1390" s="3" t="n">
        <v>45308</v>
      </c>
      <c r="C1390" s="2" t="inlineStr">
        <is>
          <t>C0125</t>
        </is>
      </c>
      <c r="D1390" s="2" t="inlineStr">
        <is>
          <t>L07</t>
        </is>
      </c>
      <c r="E1390" s="2" t="inlineStr">
        <is>
          <t>Cancelado</t>
        </is>
      </c>
      <c r="F1390" s="2" t="inlineStr">
        <is>
          <t>Pix</t>
        </is>
      </c>
      <c r="G1390" s="19" t="n">
        <v>0.1</v>
      </c>
    </row>
    <row r="1391">
      <c r="A1391" s="2" t="inlineStr">
        <is>
          <t>PED01390</t>
        </is>
      </c>
      <c r="B1391" s="3" t="n">
        <v>45822</v>
      </c>
      <c r="C1391" s="2" t="inlineStr">
        <is>
          <t>C0190</t>
        </is>
      </c>
      <c r="D1391" s="2" t="inlineStr">
        <is>
          <t>L05</t>
        </is>
      </c>
      <c r="E1391" s="2" t="inlineStr">
        <is>
          <t>Em processamento</t>
        </is>
      </c>
      <c r="F1391" s="2" t="inlineStr">
        <is>
          <t>Cartão de crédito</t>
        </is>
      </c>
      <c r="G1391" s="19" t="n">
        <v>0</v>
      </c>
    </row>
    <row r="1392">
      <c r="A1392" s="2" t="inlineStr">
        <is>
          <t>PED01391</t>
        </is>
      </c>
      <c r="B1392" s="3" t="n">
        <v>45704</v>
      </c>
      <c r="C1392" s="2" t="inlineStr">
        <is>
          <t>C0238</t>
        </is>
      </c>
      <c r="D1392" s="2" t="inlineStr">
        <is>
          <t>L07</t>
        </is>
      </c>
      <c r="E1392" s="2" t="inlineStr">
        <is>
          <t>Entregue</t>
        </is>
      </c>
      <c r="F1392" s="2" t="inlineStr">
        <is>
          <t>Pix</t>
        </is>
      </c>
      <c r="G1392" s="19" t="n">
        <v>0</v>
      </c>
    </row>
    <row r="1393">
      <c r="A1393" s="2" t="inlineStr">
        <is>
          <t>PED01392</t>
        </is>
      </c>
      <c r="B1393" s="3" t="n">
        <v>45688</v>
      </c>
      <c r="C1393" s="2" t="inlineStr">
        <is>
          <t>C0095</t>
        </is>
      </c>
      <c r="D1393" s="2" t="inlineStr">
        <is>
          <t>L03</t>
        </is>
      </c>
      <c r="E1393" s="2" t="inlineStr">
        <is>
          <t>Devolvido</t>
        </is>
      </c>
      <c r="F1393" s="2" t="inlineStr">
        <is>
          <t>Cartão de crédito</t>
        </is>
      </c>
      <c r="G1393" s="19" t="n">
        <v>0</v>
      </c>
    </row>
    <row r="1394">
      <c r="A1394" s="2" t="inlineStr">
        <is>
          <t>PED01393</t>
        </is>
      </c>
      <c r="B1394" s="3" t="n">
        <v>45485</v>
      </c>
      <c r="C1394" s="2" t="inlineStr">
        <is>
          <t>C0177</t>
        </is>
      </c>
      <c r="D1394" s="2" t="inlineStr">
        <is>
          <t>L07</t>
        </is>
      </c>
      <c r="E1394" s="2" t="inlineStr">
        <is>
          <t>Entregue</t>
        </is>
      </c>
      <c r="F1394" s="2" t="inlineStr">
        <is>
          <t>Cartão de crédito</t>
        </is>
      </c>
      <c r="G1394" s="19" t="n">
        <v>0.1</v>
      </c>
    </row>
    <row r="1395">
      <c r="A1395" s="2" t="inlineStr">
        <is>
          <t>PED01394</t>
        </is>
      </c>
      <c r="B1395" s="3" t="n">
        <v>45799</v>
      </c>
      <c r="C1395" s="2" t="inlineStr">
        <is>
          <t>C0231</t>
        </is>
      </c>
      <c r="D1395" s="2" t="inlineStr">
        <is>
          <t>L03</t>
        </is>
      </c>
      <c r="E1395" s="2" t="inlineStr">
        <is>
          <t>Entregue</t>
        </is>
      </c>
      <c r="F1395" s="2" t="inlineStr">
        <is>
          <t>Cartão de débito</t>
        </is>
      </c>
      <c r="G1395" s="19" t="n">
        <v>0</v>
      </c>
    </row>
    <row r="1396">
      <c r="A1396" s="2" t="inlineStr">
        <is>
          <t>PED01395</t>
        </is>
      </c>
      <c r="B1396" s="3" t="n">
        <v>45549</v>
      </c>
      <c r="C1396" s="2" t="inlineStr">
        <is>
          <t>C0312</t>
        </is>
      </c>
      <c r="D1396" s="2" t="inlineStr">
        <is>
          <t>L04</t>
        </is>
      </c>
      <c r="E1396" s="2" t="inlineStr">
        <is>
          <t>Entregue</t>
        </is>
      </c>
      <c r="F1396" s="2" t="inlineStr">
        <is>
          <t>Pix</t>
        </is>
      </c>
      <c r="G1396" s="19" t="n">
        <v>0.03</v>
      </c>
    </row>
    <row r="1397">
      <c r="A1397" s="2" t="inlineStr">
        <is>
          <t>PED01396</t>
        </is>
      </c>
      <c r="B1397" s="3" t="n">
        <v>45302</v>
      </c>
      <c r="C1397" s="2" t="inlineStr">
        <is>
          <t>C0016</t>
        </is>
      </c>
      <c r="D1397" s="2" t="inlineStr">
        <is>
          <t>L01</t>
        </is>
      </c>
      <c r="E1397" s="2" t="inlineStr">
        <is>
          <t>Em processamento</t>
        </is>
      </c>
      <c r="F1397" s="2" t="inlineStr">
        <is>
          <t>Pix</t>
        </is>
      </c>
      <c r="G1397" s="19" t="n">
        <v>0</v>
      </c>
    </row>
    <row r="1398">
      <c r="A1398" s="2" t="inlineStr">
        <is>
          <t>PED01397</t>
        </is>
      </c>
      <c r="B1398" s="3" t="n">
        <v>45799</v>
      </c>
      <c r="C1398" s="2" t="inlineStr">
        <is>
          <t>C0165</t>
        </is>
      </c>
      <c r="D1398" s="2" t="inlineStr">
        <is>
          <t>L03</t>
        </is>
      </c>
      <c r="E1398" s="2" t="inlineStr">
        <is>
          <t>Em processamento</t>
        </is>
      </c>
      <c r="F1398" s="2" t="inlineStr">
        <is>
          <t>Cartão de débito</t>
        </is>
      </c>
      <c r="G1398" s="19" t="n">
        <v>0.03</v>
      </c>
    </row>
    <row r="1399">
      <c r="A1399" s="2" t="inlineStr">
        <is>
          <t>PED01398</t>
        </is>
      </c>
      <c r="B1399" s="3" t="n">
        <v>45979</v>
      </c>
      <c r="C1399" s="2" t="inlineStr">
        <is>
          <t>C0197</t>
        </is>
      </c>
      <c r="D1399" s="2" t="inlineStr">
        <is>
          <t>L05</t>
        </is>
      </c>
      <c r="E1399" s="2" t="inlineStr">
        <is>
          <t>Entregue</t>
        </is>
      </c>
      <c r="F1399" s="2" t="inlineStr">
        <is>
          <t>Cartão de débito</t>
        </is>
      </c>
      <c r="G1399" s="19" t="n">
        <v>0.1</v>
      </c>
    </row>
    <row r="1400">
      <c r="A1400" s="2" t="inlineStr">
        <is>
          <t>PED01399</t>
        </is>
      </c>
      <c r="B1400" s="3" t="n">
        <v>45956</v>
      </c>
      <c r="C1400" s="2" t="inlineStr">
        <is>
          <t>C0078</t>
        </is>
      </c>
      <c r="D1400" s="2" t="inlineStr">
        <is>
          <t>L01</t>
        </is>
      </c>
      <c r="E1400" s="2" t="inlineStr">
        <is>
          <t>Entregue</t>
        </is>
      </c>
      <c r="F1400" s="2" t="inlineStr">
        <is>
          <t>Pix</t>
        </is>
      </c>
      <c r="G1400" s="19" t="n">
        <v>0.1</v>
      </c>
    </row>
    <row r="1401">
      <c r="A1401" s="2" t="inlineStr">
        <is>
          <t>PED01400</t>
        </is>
      </c>
      <c r="B1401" s="3" t="n">
        <v>45396</v>
      </c>
      <c r="C1401" s="2" t="inlineStr">
        <is>
          <t>C0319</t>
        </is>
      </c>
      <c r="D1401" s="2" t="inlineStr">
        <is>
          <t>L05</t>
        </is>
      </c>
      <c r="E1401" s="2" t="inlineStr">
        <is>
          <t>Entregue</t>
        </is>
      </c>
      <c r="F1401" s="2" t="inlineStr">
        <is>
          <t>Cartão de crédito</t>
        </is>
      </c>
      <c r="G1401" s="19" t="n">
        <v>0</v>
      </c>
    </row>
    <row r="1402">
      <c r="A1402" s="2" t="inlineStr">
        <is>
          <t>PED01401</t>
        </is>
      </c>
      <c r="B1402" s="3" t="n">
        <v>45633</v>
      </c>
      <c r="C1402" s="2" t="inlineStr">
        <is>
          <t>C0246</t>
        </is>
      </c>
      <c r="D1402" s="2" t="inlineStr">
        <is>
          <t>L03</t>
        </is>
      </c>
      <c r="E1402" s="2" t="inlineStr">
        <is>
          <t>Entregue</t>
        </is>
      </c>
      <c r="F1402" s="2" t="inlineStr">
        <is>
          <t>Cartão de crédito</t>
        </is>
      </c>
      <c r="G1402" s="19" t="n">
        <v>0.05</v>
      </c>
    </row>
    <row r="1403">
      <c r="A1403" s="2" t="inlineStr">
        <is>
          <t>PED01402</t>
        </is>
      </c>
      <c r="B1403" s="3" t="n">
        <v>45793</v>
      </c>
      <c r="C1403" s="2" t="inlineStr">
        <is>
          <t>C0254</t>
        </is>
      </c>
      <c r="D1403" s="2" t="inlineStr">
        <is>
          <t>L04</t>
        </is>
      </c>
      <c r="E1403" s="2" t="inlineStr">
        <is>
          <t>Entregue</t>
        </is>
      </c>
      <c r="F1403" s="2" t="inlineStr">
        <is>
          <t>Pix</t>
        </is>
      </c>
      <c r="G1403" s="19" t="n">
        <v>0.15</v>
      </c>
    </row>
    <row r="1404">
      <c r="A1404" s="2" t="inlineStr">
        <is>
          <t>PED01403</t>
        </is>
      </c>
      <c r="B1404" s="3" t="n">
        <v>45442</v>
      </c>
      <c r="C1404" s="2" t="inlineStr">
        <is>
          <t>C0171</t>
        </is>
      </c>
      <c r="D1404" s="2" t="inlineStr">
        <is>
          <t>L02</t>
        </is>
      </c>
      <c r="E1404" s="2" t="inlineStr">
        <is>
          <t>Entregue</t>
        </is>
      </c>
      <c r="F1404" s="2" t="inlineStr">
        <is>
          <t>Cartão de crédito</t>
        </is>
      </c>
      <c r="G1404" s="19" t="n">
        <v>0</v>
      </c>
    </row>
    <row r="1405">
      <c r="A1405" s="2" t="inlineStr">
        <is>
          <t>PED01404</t>
        </is>
      </c>
      <c r="B1405" s="3" t="n">
        <v>45751</v>
      </c>
      <c r="C1405" s="2" t="inlineStr">
        <is>
          <t>C0147</t>
        </is>
      </c>
      <c r="D1405" s="2" t="inlineStr">
        <is>
          <t>L01</t>
        </is>
      </c>
      <c r="E1405" s="2" t="inlineStr">
        <is>
          <t>Entregue</t>
        </is>
      </c>
      <c r="F1405" s="2" t="inlineStr">
        <is>
          <t>Cartão de crédito</t>
        </is>
      </c>
      <c r="G1405" s="19" t="n">
        <v>0</v>
      </c>
    </row>
    <row r="1406">
      <c r="A1406" s="2" t="inlineStr">
        <is>
          <t>PED01405</t>
        </is>
      </c>
      <c r="B1406" s="3" t="n">
        <v>45715</v>
      </c>
      <c r="C1406" s="2" t="inlineStr">
        <is>
          <t>C0165</t>
        </is>
      </c>
      <c r="D1406" s="2" t="inlineStr">
        <is>
          <t>L02</t>
        </is>
      </c>
      <c r="E1406" s="2" t="inlineStr">
        <is>
          <t>Entregue</t>
        </is>
      </c>
      <c r="F1406" s="2" t="inlineStr">
        <is>
          <t>Cartão de crédito</t>
        </is>
      </c>
      <c r="G1406" s="19" t="n">
        <v>0.1</v>
      </c>
    </row>
    <row r="1407">
      <c r="A1407" s="2" t="inlineStr">
        <is>
          <t>PED01406</t>
        </is>
      </c>
      <c r="B1407" s="3" t="n">
        <v>45684</v>
      </c>
      <c r="C1407" s="2" t="inlineStr">
        <is>
          <t>C0099</t>
        </is>
      </c>
      <c r="D1407" s="2" t="inlineStr">
        <is>
          <t>L05</t>
        </is>
      </c>
      <c r="E1407" s="2" t="inlineStr">
        <is>
          <t>Entregue</t>
        </is>
      </c>
      <c r="F1407" s="2" t="inlineStr">
        <is>
          <t>Cartão de débito</t>
        </is>
      </c>
      <c r="G1407" s="19" t="n">
        <v>0.03</v>
      </c>
    </row>
    <row r="1408">
      <c r="A1408" s="2" t="inlineStr">
        <is>
          <t>PED01407</t>
        </is>
      </c>
      <c r="B1408" s="3" t="n">
        <v>45620</v>
      </c>
      <c r="C1408" s="2" t="inlineStr">
        <is>
          <t>C0232</t>
        </is>
      </c>
      <c r="D1408" s="2" t="inlineStr">
        <is>
          <t>L05</t>
        </is>
      </c>
      <c r="E1408" s="2" t="inlineStr">
        <is>
          <t>Entregue</t>
        </is>
      </c>
      <c r="F1408" s="2" t="inlineStr">
        <is>
          <t>Cartão de débito</t>
        </is>
      </c>
      <c r="G1408" s="19" t="n">
        <v>0</v>
      </c>
    </row>
    <row r="1409">
      <c r="A1409" s="2" t="inlineStr">
        <is>
          <t>PED01408</t>
        </is>
      </c>
      <c r="B1409" s="3" t="n">
        <v>45303</v>
      </c>
      <c r="C1409" s="2" t="inlineStr">
        <is>
          <t>C0301</t>
        </is>
      </c>
      <c r="D1409" s="2" t="inlineStr">
        <is>
          <t>L04</t>
        </is>
      </c>
      <c r="E1409" s="2" t="inlineStr">
        <is>
          <t>Em processamento</t>
        </is>
      </c>
      <c r="F1409" s="2" t="inlineStr">
        <is>
          <t>Cartão de débito</t>
        </is>
      </c>
      <c r="G1409" s="19" t="n">
        <v>0.05</v>
      </c>
    </row>
    <row r="1410">
      <c r="A1410" s="2" t="inlineStr">
        <is>
          <t>PED01409</t>
        </is>
      </c>
      <c r="B1410" s="3" t="n">
        <v>46020</v>
      </c>
      <c r="C1410" s="2" t="inlineStr">
        <is>
          <t>C0280</t>
        </is>
      </c>
      <c r="D1410" s="2" t="inlineStr">
        <is>
          <t>L03</t>
        </is>
      </c>
      <c r="E1410" s="2" t="inlineStr">
        <is>
          <t>Entregue</t>
        </is>
      </c>
      <c r="F1410" s="2" t="inlineStr">
        <is>
          <t>Cartão de débito</t>
        </is>
      </c>
      <c r="G1410" s="19" t="n">
        <v>0</v>
      </c>
    </row>
    <row r="1411">
      <c r="A1411" s="2" t="inlineStr">
        <is>
          <t>PED01410</t>
        </is>
      </c>
      <c r="B1411" s="3" t="n">
        <v>45332</v>
      </c>
      <c r="C1411" s="2" t="inlineStr">
        <is>
          <t>C0123</t>
        </is>
      </c>
      <c r="D1411" s="2" t="inlineStr">
        <is>
          <t>L06</t>
        </is>
      </c>
      <c r="E1411" s="2" t="inlineStr">
        <is>
          <t>Em processamento</t>
        </is>
      </c>
      <c r="F1411" s="2" t="inlineStr">
        <is>
          <t>Cartão de crédito</t>
        </is>
      </c>
      <c r="G1411" s="19" t="n">
        <v>0</v>
      </c>
    </row>
    <row r="1412">
      <c r="A1412" s="2" t="inlineStr">
        <is>
          <t>PED01411</t>
        </is>
      </c>
      <c r="B1412" s="3" t="n">
        <v>45534</v>
      </c>
      <c r="C1412" s="2" t="inlineStr">
        <is>
          <t>C0176</t>
        </is>
      </c>
      <c r="D1412" s="2" t="inlineStr">
        <is>
          <t>L07</t>
        </is>
      </c>
      <c r="E1412" s="2" t="inlineStr">
        <is>
          <t>Entregue</t>
        </is>
      </c>
      <c r="F1412" s="2" t="inlineStr">
        <is>
          <t>Pix</t>
        </is>
      </c>
      <c r="G1412" s="19" t="n">
        <v>0</v>
      </c>
    </row>
    <row r="1413">
      <c r="A1413" s="2" t="inlineStr">
        <is>
          <t>PED01412</t>
        </is>
      </c>
      <c r="B1413" s="3" t="n">
        <v>45412</v>
      </c>
      <c r="C1413" s="2" t="inlineStr">
        <is>
          <t>C0307</t>
        </is>
      </c>
      <c r="D1413" s="2" t="inlineStr">
        <is>
          <t>L02</t>
        </is>
      </c>
      <c r="E1413" s="2" t="inlineStr">
        <is>
          <t>Entregue</t>
        </is>
      </c>
      <c r="F1413" s="2" t="inlineStr">
        <is>
          <t>Cartão de débito</t>
        </is>
      </c>
      <c r="G1413" s="19" t="n">
        <v>0.05</v>
      </c>
    </row>
    <row r="1414">
      <c r="A1414" s="2" t="inlineStr">
        <is>
          <t>PED01413</t>
        </is>
      </c>
      <c r="B1414" s="3" t="n">
        <v>45340</v>
      </c>
      <c r="C1414" s="2" t="inlineStr">
        <is>
          <t>C0176</t>
        </is>
      </c>
      <c r="D1414" s="2" t="inlineStr">
        <is>
          <t>L03</t>
        </is>
      </c>
      <c r="E1414" s="2" t="inlineStr">
        <is>
          <t>Entregue</t>
        </is>
      </c>
      <c r="F1414" s="2" t="inlineStr">
        <is>
          <t>Pix</t>
        </is>
      </c>
      <c r="G1414" s="19" t="n">
        <v>0.05</v>
      </c>
    </row>
    <row r="1415">
      <c r="A1415" s="2" t="inlineStr">
        <is>
          <t>PED01414</t>
        </is>
      </c>
      <c r="B1415" s="3" t="n">
        <v>45992</v>
      </c>
      <c r="C1415" s="2" t="inlineStr">
        <is>
          <t>C0345</t>
        </is>
      </c>
      <c r="D1415" s="2" t="inlineStr">
        <is>
          <t>L03</t>
        </is>
      </c>
      <c r="E1415" s="2" t="inlineStr">
        <is>
          <t>Entregue</t>
        </is>
      </c>
      <c r="F1415" s="2" t="inlineStr">
        <is>
          <t>Pix</t>
        </is>
      </c>
      <c r="G1415" s="19" t="n">
        <v>0.05</v>
      </c>
    </row>
    <row r="1416">
      <c r="A1416" s="2" t="inlineStr">
        <is>
          <t>PED01415</t>
        </is>
      </c>
      <c r="B1416" s="3" t="n">
        <v>46006</v>
      </c>
      <c r="C1416" s="2" t="inlineStr">
        <is>
          <t>C0030</t>
        </is>
      </c>
      <c r="D1416" s="2" t="inlineStr">
        <is>
          <t>L03</t>
        </is>
      </c>
      <c r="E1416" s="2" t="inlineStr">
        <is>
          <t>Em processamento</t>
        </is>
      </c>
      <c r="F1416" s="2" t="inlineStr">
        <is>
          <t>Boleto</t>
        </is>
      </c>
      <c r="G1416" s="19" t="n">
        <v>0</v>
      </c>
    </row>
    <row r="1417">
      <c r="A1417" s="2" t="inlineStr">
        <is>
          <t>PED01416</t>
        </is>
      </c>
      <c r="B1417" s="3" t="n">
        <v>45688</v>
      </c>
      <c r="C1417" s="2" t="inlineStr">
        <is>
          <t>C0209</t>
        </is>
      </c>
      <c r="D1417" s="2" t="inlineStr">
        <is>
          <t>L03</t>
        </is>
      </c>
      <c r="E1417" s="2" t="inlineStr">
        <is>
          <t>Cancelado</t>
        </is>
      </c>
      <c r="F1417" s="2" t="inlineStr">
        <is>
          <t>Pix</t>
        </is>
      </c>
      <c r="G1417" s="19" t="n">
        <v>0</v>
      </c>
    </row>
    <row r="1418">
      <c r="A1418" s="2" t="inlineStr">
        <is>
          <t>PED01417</t>
        </is>
      </c>
      <c r="B1418" s="3" t="n">
        <v>45674</v>
      </c>
      <c r="C1418" s="2" t="inlineStr">
        <is>
          <t>C0249</t>
        </is>
      </c>
      <c r="D1418" s="2" t="inlineStr">
        <is>
          <t>L08</t>
        </is>
      </c>
      <c r="E1418" s="2" t="inlineStr">
        <is>
          <t>Entregue</t>
        </is>
      </c>
      <c r="F1418" s="2" t="inlineStr">
        <is>
          <t>Boleto</t>
        </is>
      </c>
      <c r="G1418" s="19" t="n">
        <v>0.03</v>
      </c>
    </row>
    <row r="1419">
      <c r="A1419" s="2" t="inlineStr">
        <is>
          <t>PED01418</t>
        </is>
      </c>
      <c r="B1419" s="3" t="n">
        <v>45697</v>
      </c>
      <c r="C1419" s="2" t="inlineStr">
        <is>
          <t>C0123</t>
        </is>
      </c>
      <c r="D1419" s="2" t="inlineStr">
        <is>
          <t>L07</t>
        </is>
      </c>
      <c r="E1419" s="2" t="inlineStr">
        <is>
          <t>Cancelado</t>
        </is>
      </c>
      <c r="F1419" s="2" t="inlineStr">
        <is>
          <t>Cartão de crédito</t>
        </is>
      </c>
      <c r="G1419" s="19" t="n">
        <v>0</v>
      </c>
    </row>
    <row r="1420">
      <c r="A1420" s="2" t="inlineStr">
        <is>
          <t>PED01419</t>
        </is>
      </c>
      <c r="B1420" s="3" t="n">
        <v>45513</v>
      </c>
      <c r="C1420" s="2" t="inlineStr">
        <is>
          <t>C0301</t>
        </is>
      </c>
      <c r="D1420" s="2" t="inlineStr">
        <is>
          <t>L01</t>
        </is>
      </c>
      <c r="E1420" s="2" t="inlineStr">
        <is>
          <t>Entregue</t>
        </is>
      </c>
      <c r="F1420" s="2" t="inlineStr">
        <is>
          <t>Transferência</t>
        </is>
      </c>
      <c r="G1420" s="19" t="n">
        <v>0</v>
      </c>
    </row>
    <row r="1421">
      <c r="A1421" s="2" t="inlineStr">
        <is>
          <t>PED01420</t>
        </is>
      </c>
      <c r="B1421" s="3" t="n">
        <v>45671</v>
      </c>
      <c r="C1421" s="2" t="inlineStr">
        <is>
          <t>C0292</t>
        </is>
      </c>
      <c r="D1421" s="2" t="inlineStr">
        <is>
          <t>L08</t>
        </is>
      </c>
      <c r="E1421" s="2" t="inlineStr">
        <is>
          <t>Entregue</t>
        </is>
      </c>
      <c r="F1421" s="2" t="inlineStr">
        <is>
          <t>Cartão de crédito</t>
        </is>
      </c>
      <c r="G1421" s="19" t="n">
        <v>0.1</v>
      </c>
    </row>
    <row r="1422">
      <c r="A1422" s="2" t="inlineStr">
        <is>
          <t>PED01421</t>
        </is>
      </c>
      <c r="B1422" s="3" t="n">
        <v>45796</v>
      </c>
      <c r="C1422" s="2" t="inlineStr">
        <is>
          <t>C0152</t>
        </is>
      </c>
      <c r="D1422" s="2" t="inlineStr">
        <is>
          <t>L06</t>
        </is>
      </c>
      <c r="E1422" s="2" t="inlineStr">
        <is>
          <t>Entregue</t>
        </is>
      </c>
      <c r="F1422" s="2" t="inlineStr">
        <is>
          <t>Pix</t>
        </is>
      </c>
      <c r="G1422" s="19" t="n">
        <v>0.05</v>
      </c>
    </row>
    <row r="1423">
      <c r="A1423" s="2" t="inlineStr">
        <is>
          <t>PED01422</t>
        </is>
      </c>
      <c r="B1423" s="3" t="n">
        <v>45581</v>
      </c>
      <c r="C1423" s="2" t="inlineStr">
        <is>
          <t>C0170</t>
        </is>
      </c>
      <c r="D1423" s="2" t="inlineStr">
        <is>
          <t>L07</t>
        </is>
      </c>
      <c r="E1423" s="2" t="inlineStr">
        <is>
          <t>Devolvido</t>
        </is>
      </c>
      <c r="F1423" s="2" t="inlineStr">
        <is>
          <t>Pix</t>
        </is>
      </c>
      <c r="G1423" s="19" t="n">
        <v>0</v>
      </c>
    </row>
    <row r="1424">
      <c r="A1424" s="2" t="inlineStr">
        <is>
          <t>PED01423</t>
        </is>
      </c>
      <c r="B1424" s="3" t="n">
        <v>45434</v>
      </c>
      <c r="C1424" s="2" t="inlineStr">
        <is>
          <t>C0159</t>
        </is>
      </c>
      <c r="D1424" s="2" t="inlineStr">
        <is>
          <t>L07</t>
        </is>
      </c>
      <c r="E1424" s="2" t="inlineStr">
        <is>
          <t>Entregue</t>
        </is>
      </c>
      <c r="F1424" s="2" t="inlineStr">
        <is>
          <t>Pix</t>
        </is>
      </c>
      <c r="G1424" s="19" t="n">
        <v>0.03</v>
      </c>
    </row>
    <row r="1425">
      <c r="A1425" s="2" t="inlineStr">
        <is>
          <t>PED01424</t>
        </is>
      </c>
      <c r="B1425" s="3" t="n">
        <v>45495</v>
      </c>
      <c r="C1425" s="2" t="inlineStr">
        <is>
          <t>C0349</t>
        </is>
      </c>
      <c r="D1425" s="2" t="inlineStr">
        <is>
          <t>L01</t>
        </is>
      </c>
      <c r="E1425" s="2" t="inlineStr">
        <is>
          <t>Entregue</t>
        </is>
      </c>
      <c r="F1425" s="2" t="inlineStr">
        <is>
          <t>Pix</t>
        </is>
      </c>
      <c r="G1425" s="19" t="n">
        <v>0.05</v>
      </c>
    </row>
    <row r="1426">
      <c r="A1426" s="2" t="inlineStr">
        <is>
          <t>PED01425</t>
        </is>
      </c>
      <c r="B1426" s="3" t="n">
        <v>46018</v>
      </c>
      <c r="C1426" s="2" t="inlineStr">
        <is>
          <t>C0193</t>
        </is>
      </c>
      <c r="D1426" s="2" t="inlineStr">
        <is>
          <t>L05</t>
        </is>
      </c>
      <c r="E1426" s="2" t="inlineStr">
        <is>
          <t>Entregue</t>
        </is>
      </c>
      <c r="F1426" s="2" t="inlineStr">
        <is>
          <t>Cartão de crédito</t>
        </is>
      </c>
      <c r="G1426" s="19" t="n">
        <v>0</v>
      </c>
    </row>
    <row r="1427">
      <c r="A1427" s="2" t="inlineStr">
        <is>
          <t>PED01426</t>
        </is>
      </c>
      <c r="B1427" s="3" t="n">
        <v>45599</v>
      </c>
      <c r="C1427" s="2" t="inlineStr">
        <is>
          <t>C0208</t>
        </is>
      </c>
      <c r="D1427" s="2" t="inlineStr">
        <is>
          <t>L04</t>
        </is>
      </c>
      <c r="E1427" s="2" t="inlineStr">
        <is>
          <t>Entregue</t>
        </is>
      </c>
      <c r="F1427" s="2" t="inlineStr">
        <is>
          <t>Cartão de crédito</t>
        </is>
      </c>
      <c r="G1427" s="19" t="n">
        <v>0</v>
      </c>
    </row>
    <row r="1428">
      <c r="A1428" s="2" t="inlineStr">
        <is>
          <t>PED01427</t>
        </is>
      </c>
      <c r="B1428" s="3" t="n">
        <v>45299</v>
      </c>
      <c r="C1428" s="2" t="inlineStr">
        <is>
          <t>C0192</t>
        </is>
      </c>
      <c r="D1428" s="2" t="inlineStr">
        <is>
          <t>L08</t>
        </is>
      </c>
      <c r="E1428" s="2" t="inlineStr">
        <is>
          <t>Entregue</t>
        </is>
      </c>
      <c r="F1428" s="2" t="inlineStr">
        <is>
          <t>Pix</t>
        </is>
      </c>
      <c r="G1428" s="19" t="n">
        <v>0</v>
      </c>
    </row>
    <row r="1429">
      <c r="A1429" s="2" t="inlineStr">
        <is>
          <t>PED01428</t>
        </is>
      </c>
      <c r="B1429" s="3" t="n">
        <v>45909</v>
      </c>
      <c r="C1429" s="2" t="inlineStr">
        <is>
          <t>C0185</t>
        </is>
      </c>
      <c r="D1429" s="2" t="inlineStr">
        <is>
          <t>L07</t>
        </is>
      </c>
      <c r="E1429" s="2" t="inlineStr">
        <is>
          <t>Entregue</t>
        </is>
      </c>
      <c r="F1429" s="2" t="inlineStr">
        <is>
          <t>Pix</t>
        </is>
      </c>
      <c r="G1429" s="19" t="n">
        <v>0.1</v>
      </c>
    </row>
    <row r="1430">
      <c r="A1430" s="2" t="inlineStr">
        <is>
          <t>PED01429</t>
        </is>
      </c>
      <c r="B1430" s="3" t="n">
        <v>45507</v>
      </c>
      <c r="C1430" s="2" t="inlineStr">
        <is>
          <t>C0290</t>
        </is>
      </c>
      <c r="D1430" s="2" t="inlineStr">
        <is>
          <t>L07</t>
        </is>
      </c>
      <c r="E1430" s="2" t="inlineStr">
        <is>
          <t>Entregue</t>
        </is>
      </c>
      <c r="F1430" s="2" t="inlineStr">
        <is>
          <t>Pix</t>
        </is>
      </c>
      <c r="G1430" s="19" t="n">
        <v>0.1</v>
      </c>
    </row>
    <row r="1431">
      <c r="A1431" s="2" t="inlineStr">
        <is>
          <t>PED01430</t>
        </is>
      </c>
      <c r="B1431" s="3" t="n">
        <v>45534</v>
      </c>
      <c r="C1431" s="2" t="inlineStr">
        <is>
          <t>C0319</t>
        </is>
      </c>
      <c r="D1431" s="2" t="inlineStr">
        <is>
          <t>L03</t>
        </is>
      </c>
      <c r="E1431" s="2" t="inlineStr">
        <is>
          <t>Entregue</t>
        </is>
      </c>
      <c r="F1431" s="2" t="inlineStr">
        <is>
          <t>Cartão de crédito</t>
        </is>
      </c>
      <c r="G1431" s="19" t="n">
        <v>0</v>
      </c>
    </row>
    <row r="1432">
      <c r="A1432" s="2" t="inlineStr">
        <is>
          <t>PED01431</t>
        </is>
      </c>
      <c r="B1432" s="3" t="n">
        <v>45881</v>
      </c>
      <c r="C1432" s="2" t="inlineStr">
        <is>
          <t>C0049</t>
        </is>
      </c>
      <c r="D1432" s="2" t="inlineStr">
        <is>
          <t>L05</t>
        </is>
      </c>
      <c r="E1432" s="2" t="inlineStr">
        <is>
          <t>Entregue</t>
        </is>
      </c>
      <c r="F1432" s="2" t="inlineStr">
        <is>
          <t>Pix</t>
        </is>
      </c>
      <c r="G1432" s="19" t="n">
        <v>0.03</v>
      </c>
    </row>
    <row r="1433">
      <c r="A1433" s="2" t="inlineStr">
        <is>
          <t>PED01432</t>
        </is>
      </c>
      <c r="B1433" s="3" t="n">
        <v>45509</v>
      </c>
      <c r="C1433" s="2" t="inlineStr">
        <is>
          <t>C0153</t>
        </is>
      </c>
      <c r="D1433" s="2" t="inlineStr">
        <is>
          <t>L08</t>
        </is>
      </c>
      <c r="E1433" s="2" t="inlineStr">
        <is>
          <t>Entregue</t>
        </is>
      </c>
      <c r="F1433" s="2" t="inlineStr">
        <is>
          <t>Cartão de crédito</t>
        </is>
      </c>
      <c r="G1433" s="19" t="n">
        <v>0.03</v>
      </c>
    </row>
    <row r="1434">
      <c r="A1434" s="2" t="inlineStr">
        <is>
          <t>PED01433</t>
        </is>
      </c>
      <c r="B1434" s="3" t="n">
        <v>45874</v>
      </c>
      <c r="C1434" s="2" t="inlineStr">
        <is>
          <t>C0312</t>
        </is>
      </c>
      <c r="D1434" s="2" t="inlineStr">
        <is>
          <t>L02</t>
        </is>
      </c>
      <c r="E1434" s="2" t="inlineStr">
        <is>
          <t>Entregue</t>
        </is>
      </c>
      <c r="F1434" s="2" t="inlineStr">
        <is>
          <t>Transferência</t>
        </is>
      </c>
      <c r="G1434" s="19" t="n">
        <v>0</v>
      </c>
    </row>
    <row r="1435">
      <c r="A1435" s="2" t="inlineStr">
        <is>
          <t>PED01434</t>
        </is>
      </c>
      <c r="B1435" s="3" t="n">
        <v>45510</v>
      </c>
      <c r="C1435" s="2" t="inlineStr">
        <is>
          <t>C0345</t>
        </is>
      </c>
      <c r="D1435" s="2" t="inlineStr">
        <is>
          <t>L03</t>
        </is>
      </c>
      <c r="E1435" s="2" t="inlineStr">
        <is>
          <t>Entregue</t>
        </is>
      </c>
      <c r="F1435" s="2" t="inlineStr">
        <is>
          <t>Cartão de débito</t>
        </is>
      </c>
      <c r="G1435" s="19" t="n">
        <v>0.15</v>
      </c>
    </row>
    <row r="1436">
      <c r="A1436" s="2" t="inlineStr">
        <is>
          <t>PED01435</t>
        </is>
      </c>
      <c r="B1436" s="3" t="n">
        <v>45326</v>
      </c>
      <c r="C1436" s="2" t="inlineStr">
        <is>
          <t>C0204</t>
        </is>
      </c>
      <c r="D1436" s="2" t="inlineStr">
        <is>
          <t>L07</t>
        </is>
      </c>
      <c r="E1436" s="2" t="inlineStr">
        <is>
          <t>Em processamento</t>
        </is>
      </c>
      <c r="F1436" s="2" t="inlineStr">
        <is>
          <t>Cartão de débito</t>
        </is>
      </c>
      <c r="G1436" s="19" t="n">
        <v>0</v>
      </c>
    </row>
    <row r="1437">
      <c r="A1437" s="2" t="inlineStr">
        <is>
          <t>PED01436</t>
        </is>
      </c>
      <c r="B1437" s="3" t="n">
        <v>45330</v>
      </c>
      <c r="C1437" s="2" t="inlineStr">
        <is>
          <t>C0328</t>
        </is>
      </c>
      <c r="D1437" s="2" t="inlineStr">
        <is>
          <t>L08</t>
        </is>
      </c>
      <c r="E1437" s="2" t="inlineStr">
        <is>
          <t>Entregue</t>
        </is>
      </c>
      <c r="F1437" s="2" t="inlineStr">
        <is>
          <t>Pix</t>
        </is>
      </c>
      <c r="G1437" s="19" t="n">
        <v>0</v>
      </c>
    </row>
    <row r="1438">
      <c r="A1438" s="2" t="inlineStr">
        <is>
          <t>PED01437</t>
        </is>
      </c>
      <c r="B1438" s="3" t="n">
        <v>45455</v>
      </c>
      <c r="C1438" s="2" t="inlineStr">
        <is>
          <t>C0008</t>
        </is>
      </c>
      <c r="D1438" s="2" t="inlineStr">
        <is>
          <t>L01</t>
        </is>
      </c>
      <c r="E1438" s="2" t="inlineStr">
        <is>
          <t>Entregue</t>
        </is>
      </c>
      <c r="F1438" s="2" t="inlineStr">
        <is>
          <t>Cartão de crédito</t>
        </is>
      </c>
      <c r="G1438" s="19" t="n">
        <v>0.1</v>
      </c>
    </row>
    <row r="1439">
      <c r="A1439" s="2" t="inlineStr">
        <is>
          <t>PED01438</t>
        </is>
      </c>
      <c r="B1439" s="3" t="n">
        <v>45892</v>
      </c>
      <c r="C1439" s="2" t="inlineStr">
        <is>
          <t>C0107</t>
        </is>
      </c>
      <c r="D1439" s="2" t="inlineStr">
        <is>
          <t>L02</t>
        </is>
      </c>
      <c r="E1439" s="2" t="inlineStr">
        <is>
          <t>Entregue</t>
        </is>
      </c>
      <c r="F1439" s="2" t="inlineStr">
        <is>
          <t>Pix</t>
        </is>
      </c>
      <c r="G1439" s="19" t="n">
        <v>0.05</v>
      </c>
    </row>
    <row r="1440">
      <c r="A1440" s="2" t="inlineStr">
        <is>
          <t>PED01439</t>
        </is>
      </c>
      <c r="B1440" s="3" t="n">
        <v>45895</v>
      </c>
      <c r="C1440" s="2" t="inlineStr">
        <is>
          <t>C0318</t>
        </is>
      </c>
      <c r="D1440" s="2" t="inlineStr">
        <is>
          <t>L06</t>
        </is>
      </c>
      <c r="E1440" s="2" t="inlineStr">
        <is>
          <t>Entregue</t>
        </is>
      </c>
      <c r="F1440" s="2" t="inlineStr">
        <is>
          <t>Pix</t>
        </is>
      </c>
      <c r="G1440" s="19" t="n">
        <v>0</v>
      </c>
    </row>
    <row r="1441">
      <c r="A1441" s="2" t="inlineStr">
        <is>
          <t>PED01440</t>
        </is>
      </c>
      <c r="B1441" s="3" t="n">
        <v>45682</v>
      </c>
      <c r="C1441" s="2" t="inlineStr">
        <is>
          <t>C0052</t>
        </is>
      </c>
      <c r="D1441" s="2" t="inlineStr">
        <is>
          <t>L03</t>
        </is>
      </c>
      <c r="E1441" s="2" t="inlineStr">
        <is>
          <t>Entregue</t>
        </is>
      </c>
      <c r="F1441" s="2" t="inlineStr">
        <is>
          <t>Cartão de débito</t>
        </is>
      </c>
      <c r="G1441" s="19" t="n">
        <v>0.05</v>
      </c>
    </row>
    <row r="1442">
      <c r="A1442" s="2" t="inlineStr">
        <is>
          <t>PED01441</t>
        </is>
      </c>
      <c r="B1442" s="3" t="n">
        <v>45489</v>
      </c>
      <c r="C1442" s="2" t="inlineStr">
        <is>
          <t>C0303</t>
        </is>
      </c>
      <c r="D1442" s="2" t="inlineStr">
        <is>
          <t>L05</t>
        </is>
      </c>
      <c r="E1442" s="2" t="inlineStr">
        <is>
          <t>Em processamento</t>
        </is>
      </c>
      <c r="F1442" s="2" t="inlineStr">
        <is>
          <t>Pix</t>
        </is>
      </c>
      <c r="G1442" s="19" t="n">
        <v>0.1</v>
      </c>
    </row>
    <row r="1443">
      <c r="A1443" s="2" t="inlineStr">
        <is>
          <t>PED01442</t>
        </is>
      </c>
      <c r="B1443" s="3" t="n">
        <v>45830</v>
      </c>
      <c r="C1443" s="2" t="inlineStr">
        <is>
          <t>C0330</t>
        </is>
      </c>
      <c r="D1443" s="2" t="inlineStr">
        <is>
          <t>L08</t>
        </is>
      </c>
      <c r="E1443" s="2" t="inlineStr">
        <is>
          <t>Entregue</t>
        </is>
      </c>
      <c r="F1443" s="2" t="inlineStr">
        <is>
          <t>Cartão de crédito</t>
        </is>
      </c>
      <c r="G1443" s="19" t="n">
        <v>0.15</v>
      </c>
    </row>
    <row r="1444">
      <c r="A1444" s="2" t="inlineStr">
        <is>
          <t>PED01443</t>
        </is>
      </c>
      <c r="B1444" s="3" t="n">
        <v>45553</v>
      </c>
      <c r="C1444" s="2" t="inlineStr">
        <is>
          <t>C0295</t>
        </is>
      </c>
      <c r="D1444" s="2" t="inlineStr">
        <is>
          <t>L06</t>
        </is>
      </c>
      <c r="E1444" s="2" t="inlineStr">
        <is>
          <t>Entregue</t>
        </is>
      </c>
      <c r="F1444" s="2" t="inlineStr">
        <is>
          <t>Cartão de crédito</t>
        </is>
      </c>
      <c r="G1444" s="19" t="n">
        <v>0.15</v>
      </c>
    </row>
    <row r="1445">
      <c r="A1445" s="2" t="inlineStr">
        <is>
          <t>PED01444</t>
        </is>
      </c>
      <c r="B1445" s="3" t="n">
        <v>45688</v>
      </c>
      <c r="C1445" s="2" t="inlineStr">
        <is>
          <t>C0099</t>
        </is>
      </c>
      <c r="D1445" s="2" t="inlineStr">
        <is>
          <t>L04</t>
        </is>
      </c>
      <c r="E1445" s="2" t="inlineStr">
        <is>
          <t>Devolvido</t>
        </is>
      </c>
      <c r="F1445" s="2" t="inlineStr">
        <is>
          <t>Boleto</t>
        </is>
      </c>
      <c r="G1445" s="19" t="n">
        <v>0.1</v>
      </c>
    </row>
    <row r="1446">
      <c r="A1446" s="2" t="inlineStr">
        <is>
          <t>PED01445</t>
        </is>
      </c>
      <c r="B1446" s="3" t="n">
        <v>45436</v>
      </c>
      <c r="C1446" s="2" t="inlineStr">
        <is>
          <t>C0214</t>
        </is>
      </c>
      <c r="D1446" s="2" t="inlineStr">
        <is>
          <t>L02</t>
        </is>
      </c>
      <c r="E1446" s="2" t="inlineStr">
        <is>
          <t>Entregue</t>
        </is>
      </c>
      <c r="F1446" s="2" t="inlineStr">
        <is>
          <t>Pix</t>
        </is>
      </c>
      <c r="G1446" s="19" t="n">
        <v>0</v>
      </c>
    </row>
    <row r="1447">
      <c r="A1447" s="2" t="inlineStr">
        <is>
          <t>PED01446</t>
        </is>
      </c>
      <c r="B1447" s="3" t="n">
        <v>45827</v>
      </c>
      <c r="C1447" s="2" t="inlineStr">
        <is>
          <t>C0205</t>
        </is>
      </c>
      <c r="D1447" s="2" t="inlineStr">
        <is>
          <t>L06</t>
        </is>
      </c>
      <c r="E1447" s="2" t="inlineStr">
        <is>
          <t>Entregue</t>
        </is>
      </c>
      <c r="F1447" s="2" t="inlineStr">
        <is>
          <t>Cartão de débito</t>
        </is>
      </c>
      <c r="G1447" s="19" t="n">
        <v>0.1</v>
      </c>
    </row>
    <row r="1448">
      <c r="A1448" s="2" t="inlineStr">
        <is>
          <t>PED01447</t>
        </is>
      </c>
      <c r="B1448" s="3" t="n">
        <v>45749</v>
      </c>
      <c r="C1448" s="2" t="inlineStr">
        <is>
          <t>C0173</t>
        </is>
      </c>
      <c r="D1448" s="2" t="inlineStr">
        <is>
          <t>L07</t>
        </is>
      </c>
      <c r="E1448" s="2" t="inlineStr">
        <is>
          <t>Entregue</t>
        </is>
      </c>
      <c r="F1448" s="2" t="inlineStr">
        <is>
          <t>Boleto</t>
        </is>
      </c>
      <c r="G1448" s="19" t="n">
        <v>0</v>
      </c>
    </row>
    <row r="1449">
      <c r="A1449" s="2" t="inlineStr">
        <is>
          <t>PED01448</t>
        </is>
      </c>
      <c r="B1449" s="3" t="n">
        <v>45624</v>
      </c>
      <c r="C1449" s="2" t="inlineStr">
        <is>
          <t>C0055</t>
        </is>
      </c>
      <c r="D1449" s="2" t="inlineStr">
        <is>
          <t>L03</t>
        </is>
      </c>
      <c r="E1449" s="2" t="inlineStr">
        <is>
          <t>Entregue</t>
        </is>
      </c>
      <c r="F1449" s="2" t="inlineStr">
        <is>
          <t>Pix</t>
        </is>
      </c>
      <c r="G1449" s="19" t="n">
        <v>0</v>
      </c>
    </row>
    <row r="1450">
      <c r="A1450" s="2" t="inlineStr">
        <is>
          <t>PED01449</t>
        </is>
      </c>
      <c r="B1450" s="3" t="n">
        <v>45595</v>
      </c>
      <c r="C1450" s="2" t="inlineStr">
        <is>
          <t>C0003</t>
        </is>
      </c>
      <c r="D1450" s="2" t="inlineStr">
        <is>
          <t>L03</t>
        </is>
      </c>
      <c r="E1450" s="2" t="inlineStr">
        <is>
          <t>Entregue</t>
        </is>
      </c>
      <c r="F1450" s="2" t="inlineStr">
        <is>
          <t>Cartão de débito</t>
        </is>
      </c>
      <c r="G1450" s="19" t="n">
        <v>0</v>
      </c>
    </row>
    <row r="1451">
      <c r="A1451" s="2" t="inlineStr">
        <is>
          <t>PED01450</t>
        </is>
      </c>
      <c r="B1451" s="3" t="n">
        <v>45334</v>
      </c>
      <c r="C1451" s="2" t="inlineStr">
        <is>
          <t>C0033</t>
        </is>
      </c>
      <c r="D1451" s="2" t="inlineStr">
        <is>
          <t>L08</t>
        </is>
      </c>
      <c r="E1451" s="2" t="inlineStr">
        <is>
          <t>Entregue</t>
        </is>
      </c>
      <c r="F1451" s="2" t="inlineStr">
        <is>
          <t>Pix</t>
        </is>
      </c>
      <c r="G1451" s="19" t="n">
        <v>0</v>
      </c>
    </row>
    <row r="1452">
      <c r="A1452" s="2" t="inlineStr">
        <is>
          <t>PED01451</t>
        </is>
      </c>
      <c r="B1452" s="3" t="n">
        <v>45323</v>
      </c>
      <c r="C1452" s="2" t="inlineStr">
        <is>
          <t>C0312</t>
        </is>
      </c>
      <c r="D1452" s="2" t="inlineStr">
        <is>
          <t>L05</t>
        </is>
      </c>
      <c r="E1452" s="2" t="inlineStr">
        <is>
          <t>Entregue</t>
        </is>
      </c>
      <c r="F1452" s="2" t="inlineStr">
        <is>
          <t>Pix</t>
        </is>
      </c>
      <c r="G1452" s="19" t="n">
        <v>0.05</v>
      </c>
    </row>
    <row r="1453">
      <c r="A1453" s="2" t="inlineStr">
        <is>
          <t>PED01452</t>
        </is>
      </c>
      <c r="B1453" s="3" t="n">
        <v>45779</v>
      </c>
      <c r="C1453" s="2" t="inlineStr">
        <is>
          <t>C0306</t>
        </is>
      </c>
      <c r="D1453" s="2" t="inlineStr">
        <is>
          <t>L08</t>
        </is>
      </c>
      <c r="E1453" s="2" t="inlineStr">
        <is>
          <t>Cancelado</t>
        </is>
      </c>
      <c r="F1453" s="2" t="inlineStr">
        <is>
          <t>Boleto</t>
        </is>
      </c>
      <c r="G1453" s="19" t="n">
        <v>0.1</v>
      </c>
    </row>
    <row r="1454">
      <c r="A1454" s="2" t="inlineStr">
        <is>
          <t>PED01453</t>
        </is>
      </c>
      <c r="B1454" s="3" t="n">
        <v>45654</v>
      </c>
      <c r="C1454" s="2" t="inlineStr">
        <is>
          <t>C0194</t>
        </is>
      </c>
      <c r="D1454" s="2" t="inlineStr">
        <is>
          <t>L08</t>
        </is>
      </c>
      <c r="E1454" s="2" t="inlineStr">
        <is>
          <t>Entregue</t>
        </is>
      </c>
      <c r="F1454" s="2" t="inlineStr">
        <is>
          <t>Cartão de crédito</t>
        </is>
      </c>
      <c r="G1454" s="19" t="n">
        <v>0.15</v>
      </c>
    </row>
    <row r="1455">
      <c r="A1455" s="2" t="inlineStr">
        <is>
          <t>PED01454</t>
        </is>
      </c>
      <c r="B1455" s="3" t="n">
        <v>45734</v>
      </c>
      <c r="C1455" s="2" t="inlineStr">
        <is>
          <t>C0001</t>
        </is>
      </c>
      <c r="D1455" s="2" t="inlineStr">
        <is>
          <t>L03</t>
        </is>
      </c>
      <c r="E1455" s="2" t="inlineStr">
        <is>
          <t>Entregue</t>
        </is>
      </c>
      <c r="F1455" s="2" t="inlineStr">
        <is>
          <t>Pix</t>
        </is>
      </c>
      <c r="G1455" s="19" t="n">
        <v>0</v>
      </c>
    </row>
    <row r="1456">
      <c r="A1456" s="2" t="inlineStr">
        <is>
          <t>PED01455</t>
        </is>
      </c>
      <c r="B1456" s="3" t="n">
        <v>45611</v>
      </c>
      <c r="C1456" s="2" t="inlineStr">
        <is>
          <t>C0079</t>
        </is>
      </c>
      <c r="D1456" s="2" t="inlineStr">
        <is>
          <t>L01</t>
        </is>
      </c>
      <c r="E1456" s="2" t="inlineStr">
        <is>
          <t>Entregue</t>
        </is>
      </c>
      <c r="F1456" s="2" t="inlineStr">
        <is>
          <t>Cartão de crédito</t>
        </is>
      </c>
      <c r="G1456" s="19" t="n">
        <v>0.03</v>
      </c>
    </row>
    <row r="1457">
      <c r="A1457" s="2" t="inlineStr">
        <is>
          <t>PED01456</t>
        </is>
      </c>
      <c r="B1457" s="3" t="n">
        <v>45964</v>
      </c>
      <c r="C1457" s="2" t="inlineStr">
        <is>
          <t>C0159</t>
        </is>
      </c>
      <c r="D1457" s="2" t="inlineStr">
        <is>
          <t>L02</t>
        </is>
      </c>
      <c r="E1457" s="2" t="inlineStr">
        <is>
          <t>Entregue</t>
        </is>
      </c>
      <c r="F1457" s="2" t="inlineStr">
        <is>
          <t>Cartão de crédito</t>
        </is>
      </c>
      <c r="G1457" s="19" t="n">
        <v>0</v>
      </c>
    </row>
    <row r="1458">
      <c r="A1458" s="2" t="inlineStr">
        <is>
          <t>PED01457</t>
        </is>
      </c>
      <c r="B1458" s="3" t="n">
        <v>45575</v>
      </c>
      <c r="C1458" s="2" t="inlineStr">
        <is>
          <t>C0055</t>
        </is>
      </c>
      <c r="D1458" s="2" t="inlineStr">
        <is>
          <t>L07</t>
        </is>
      </c>
      <c r="E1458" s="2" t="inlineStr">
        <is>
          <t>Entregue</t>
        </is>
      </c>
      <c r="F1458" s="2" t="inlineStr">
        <is>
          <t>Cartão de crédito</t>
        </is>
      </c>
      <c r="G1458" s="19" t="n">
        <v>0</v>
      </c>
    </row>
    <row r="1459">
      <c r="A1459" s="2" t="inlineStr">
        <is>
          <t>PED01458</t>
        </is>
      </c>
      <c r="B1459" s="3" t="n">
        <v>45896</v>
      </c>
      <c r="C1459" s="2" t="inlineStr">
        <is>
          <t>C0110</t>
        </is>
      </c>
      <c r="D1459" s="2" t="inlineStr">
        <is>
          <t>L02</t>
        </is>
      </c>
      <c r="E1459" s="2" t="inlineStr">
        <is>
          <t>Entregue</t>
        </is>
      </c>
      <c r="F1459" s="2" t="inlineStr">
        <is>
          <t>Transferência</t>
        </is>
      </c>
      <c r="G1459" s="19" t="n">
        <v>0.03</v>
      </c>
    </row>
    <row r="1460">
      <c r="A1460" s="2" t="inlineStr">
        <is>
          <t>PED01459</t>
        </is>
      </c>
      <c r="B1460" s="3" t="n">
        <v>45315</v>
      </c>
      <c r="C1460" s="2" t="inlineStr">
        <is>
          <t>C0216</t>
        </is>
      </c>
      <c r="D1460" s="2" t="inlineStr">
        <is>
          <t>L03</t>
        </is>
      </c>
      <c r="E1460" s="2" t="inlineStr">
        <is>
          <t>Entregue</t>
        </is>
      </c>
      <c r="F1460" s="2" t="inlineStr">
        <is>
          <t>Cartão de crédito</t>
        </is>
      </c>
      <c r="G1460" s="19" t="n">
        <v>0</v>
      </c>
    </row>
    <row r="1461">
      <c r="A1461" s="2" t="inlineStr">
        <is>
          <t>PED01460</t>
        </is>
      </c>
      <c r="B1461" s="3" t="n">
        <v>45349</v>
      </c>
      <c r="C1461" s="2" t="inlineStr">
        <is>
          <t>C0019</t>
        </is>
      </c>
      <c r="D1461" s="2" t="inlineStr">
        <is>
          <t>L07</t>
        </is>
      </c>
      <c r="E1461" s="2" t="inlineStr">
        <is>
          <t>Entregue</t>
        </is>
      </c>
      <c r="F1461" s="2" t="inlineStr">
        <is>
          <t>Pix</t>
        </is>
      </c>
      <c r="G1461" s="19" t="n">
        <v>0.1</v>
      </c>
    </row>
    <row r="1462">
      <c r="A1462" s="2" t="inlineStr">
        <is>
          <t>PED01461</t>
        </is>
      </c>
      <c r="B1462" s="3" t="n">
        <v>45722</v>
      </c>
      <c r="C1462" s="2" t="inlineStr">
        <is>
          <t>C0255</t>
        </is>
      </c>
      <c r="D1462" s="2" t="inlineStr">
        <is>
          <t>L06</t>
        </is>
      </c>
      <c r="E1462" s="2" t="inlineStr">
        <is>
          <t>Entregue</t>
        </is>
      </c>
      <c r="F1462" s="2" t="inlineStr">
        <is>
          <t>Cartão de crédito</t>
        </is>
      </c>
      <c r="G1462" s="19" t="n">
        <v>0</v>
      </c>
    </row>
    <row r="1463">
      <c r="A1463" s="2" t="inlineStr">
        <is>
          <t>PED01462</t>
        </is>
      </c>
      <c r="B1463" s="3" t="n">
        <v>45915</v>
      </c>
      <c r="C1463" s="2" t="inlineStr">
        <is>
          <t>C0322</t>
        </is>
      </c>
      <c r="D1463" s="2" t="inlineStr">
        <is>
          <t>L07</t>
        </is>
      </c>
      <c r="E1463" s="2" t="inlineStr">
        <is>
          <t>Entregue</t>
        </is>
      </c>
      <c r="F1463" s="2" t="inlineStr">
        <is>
          <t>Cartão de débito</t>
        </is>
      </c>
      <c r="G1463" s="19" t="n">
        <v>0</v>
      </c>
    </row>
    <row r="1464">
      <c r="A1464" s="2" t="inlineStr">
        <is>
          <t>PED01463</t>
        </is>
      </c>
      <c r="B1464" s="3" t="n">
        <v>45993</v>
      </c>
      <c r="C1464" s="2" t="inlineStr">
        <is>
          <t>C0246</t>
        </is>
      </c>
      <c r="D1464" s="2" t="inlineStr">
        <is>
          <t>L07</t>
        </is>
      </c>
      <c r="E1464" s="2" t="inlineStr">
        <is>
          <t>Entregue</t>
        </is>
      </c>
      <c r="F1464" s="2" t="inlineStr">
        <is>
          <t>Pix</t>
        </is>
      </c>
      <c r="G1464" s="19" t="n">
        <v>0</v>
      </c>
    </row>
    <row r="1465">
      <c r="A1465" s="2" t="inlineStr">
        <is>
          <t>PED01464</t>
        </is>
      </c>
      <c r="B1465" s="3" t="n">
        <v>45909</v>
      </c>
      <c r="C1465" s="2" t="inlineStr">
        <is>
          <t>C0015</t>
        </is>
      </c>
      <c r="D1465" s="2" t="inlineStr">
        <is>
          <t>L06</t>
        </is>
      </c>
      <c r="E1465" s="2" t="inlineStr">
        <is>
          <t>Entregue</t>
        </is>
      </c>
      <c r="F1465" s="2" t="inlineStr">
        <is>
          <t>Cartão de crédito</t>
        </is>
      </c>
      <c r="G1465" s="19" t="n">
        <v>0.1</v>
      </c>
    </row>
    <row r="1466">
      <c r="A1466" s="2" t="inlineStr">
        <is>
          <t>PED01465</t>
        </is>
      </c>
      <c r="B1466" s="3" t="n">
        <v>45963</v>
      </c>
      <c r="C1466" s="2" t="inlineStr">
        <is>
          <t>C0051</t>
        </is>
      </c>
      <c r="D1466" s="2" t="inlineStr">
        <is>
          <t>L03</t>
        </is>
      </c>
      <c r="E1466" s="2" t="inlineStr">
        <is>
          <t>Entregue</t>
        </is>
      </c>
      <c r="F1466" s="2" t="inlineStr">
        <is>
          <t>Pix</t>
        </is>
      </c>
      <c r="G1466" s="19" t="n">
        <v>0.1</v>
      </c>
    </row>
    <row r="1467">
      <c r="A1467" s="2" t="inlineStr">
        <is>
          <t>PED01466</t>
        </is>
      </c>
      <c r="B1467" s="3" t="n">
        <v>45902</v>
      </c>
      <c r="C1467" s="2" t="inlineStr">
        <is>
          <t>C0019</t>
        </is>
      </c>
      <c r="D1467" s="2" t="inlineStr">
        <is>
          <t>L02</t>
        </is>
      </c>
      <c r="E1467" s="2" t="inlineStr">
        <is>
          <t>Entregue</t>
        </is>
      </c>
      <c r="F1467" s="2" t="inlineStr">
        <is>
          <t>Cartão de crédito</t>
        </is>
      </c>
      <c r="G1467" s="19" t="n">
        <v>0</v>
      </c>
    </row>
    <row r="1468">
      <c r="A1468" s="2" t="inlineStr">
        <is>
          <t>PED01467</t>
        </is>
      </c>
      <c r="B1468" s="3" t="n">
        <v>45757</v>
      </c>
      <c r="C1468" s="2" t="inlineStr">
        <is>
          <t>C0024</t>
        </is>
      </c>
      <c r="D1468" s="2" t="inlineStr">
        <is>
          <t>L04</t>
        </is>
      </c>
      <c r="E1468" s="2" t="inlineStr">
        <is>
          <t>Entregue</t>
        </is>
      </c>
      <c r="F1468" s="2" t="inlineStr">
        <is>
          <t>Pix</t>
        </is>
      </c>
      <c r="G1468" s="19" t="n">
        <v>0.03</v>
      </c>
    </row>
    <row r="1469">
      <c r="A1469" s="2" t="inlineStr">
        <is>
          <t>PED01468</t>
        </is>
      </c>
      <c r="B1469" s="3" t="n">
        <v>45654</v>
      </c>
      <c r="C1469" s="2" t="inlineStr">
        <is>
          <t>C0229</t>
        </is>
      </c>
      <c r="D1469" s="2" t="inlineStr">
        <is>
          <t>L01</t>
        </is>
      </c>
      <c r="E1469" s="2" t="inlineStr">
        <is>
          <t>Entregue</t>
        </is>
      </c>
      <c r="F1469" s="2" t="inlineStr">
        <is>
          <t>Cartão de crédito</t>
        </is>
      </c>
      <c r="G1469" s="19" t="n">
        <v>0.05</v>
      </c>
    </row>
    <row r="1470">
      <c r="A1470" s="2" t="inlineStr">
        <is>
          <t>PED01469</t>
        </is>
      </c>
      <c r="B1470" s="3" t="n">
        <v>45658</v>
      </c>
      <c r="C1470" s="2" t="inlineStr">
        <is>
          <t>C0066</t>
        </is>
      </c>
      <c r="D1470" s="2" t="inlineStr">
        <is>
          <t>L02</t>
        </is>
      </c>
      <c r="E1470" s="2" t="inlineStr">
        <is>
          <t>Entregue</t>
        </is>
      </c>
      <c r="F1470" s="2" t="inlineStr">
        <is>
          <t>Cartão de crédito</t>
        </is>
      </c>
      <c r="G1470" s="19" t="n">
        <v>0.05</v>
      </c>
    </row>
    <row r="1471">
      <c r="A1471" s="2" t="inlineStr">
        <is>
          <t>PED01470</t>
        </is>
      </c>
      <c r="B1471" s="3" t="n">
        <v>45607</v>
      </c>
      <c r="C1471" s="2" t="inlineStr">
        <is>
          <t>C0248</t>
        </is>
      </c>
      <c r="D1471" s="2" t="inlineStr">
        <is>
          <t>L01</t>
        </is>
      </c>
      <c r="E1471" s="2" t="inlineStr">
        <is>
          <t>Entregue</t>
        </is>
      </c>
      <c r="F1471" s="2" t="inlineStr">
        <is>
          <t>Cartão de débito</t>
        </is>
      </c>
      <c r="G1471" s="19" t="n">
        <v>0.05</v>
      </c>
    </row>
    <row r="1472">
      <c r="A1472" s="2" t="inlineStr">
        <is>
          <t>PED01471</t>
        </is>
      </c>
      <c r="B1472" s="3" t="n">
        <v>45753</v>
      </c>
      <c r="C1472" s="2" t="inlineStr">
        <is>
          <t>C0317</t>
        </is>
      </c>
      <c r="D1472" s="2" t="inlineStr">
        <is>
          <t>L08</t>
        </is>
      </c>
      <c r="E1472" s="2" t="inlineStr">
        <is>
          <t>Entregue</t>
        </is>
      </c>
      <c r="F1472" s="2" t="inlineStr">
        <is>
          <t>Boleto</t>
        </is>
      </c>
      <c r="G1472" s="19" t="n">
        <v>0</v>
      </c>
    </row>
    <row r="1473">
      <c r="A1473" s="2" t="inlineStr">
        <is>
          <t>PED01472</t>
        </is>
      </c>
      <c r="B1473" s="3" t="n">
        <v>45529</v>
      </c>
      <c r="C1473" s="2" t="inlineStr">
        <is>
          <t>C0217</t>
        </is>
      </c>
      <c r="D1473" s="2" t="inlineStr">
        <is>
          <t>L07</t>
        </is>
      </c>
      <c r="E1473" s="2" t="inlineStr">
        <is>
          <t>Em processamento</t>
        </is>
      </c>
      <c r="F1473" s="2" t="inlineStr">
        <is>
          <t>Cartão de débito</t>
        </is>
      </c>
      <c r="G1473" s="19" t="n">
        <v>0</v>
      </c>
    </row>
    <row r="1474">
      <c r="A1474" s="2" t="inlineStr">
        <is>
          <t>PED01473</t>
        </is>
      </c>
      <c r="B1474" s="3" t="n">
        <v>45802</v>
      </c>
      <c r="C1474" s="2" t="inlineStr">
        <is>
          <t>C0260</t>
        </is>
      </c>
      <c r="D1474" s="2" t="inlineStr">
        <is>
          <t>L04</t>
        </is>
      </c>
      <c r="E1474" s="2" t="inlineStr">
        <is>
          <t>Cancelado</t>
        </is>
      </c>
      <c r="F1474" s="2" t="inlineStr">
        <is>
          <t>Cartão de crédito</t>
        </is>
      </c>
      <c r="G1474" s="19" t="n">
        <v>0.1</v>
      </c>
    </row>
    <row r="1475">
      <c r="A1475" s="2" t="inlineStr">
        <is>
          <t>PED01474</t>
        </is>
      </c>
      <c r="B1475" s="3" t="n">
        <v>45505</v>
      </c>
      <c r="C1475" s="2" t="inlineStr">
        <is>
          <t>C0020</t>
        </is>
      </c>
      <c r="D1475" s="2" t="inlineStr">
        <is>
          <t>L03</t>
        </is>
      </c>
      <c r="E1475" s="2" t="inlineStr">
        <is>
          <t>Entregue</t>
        </is>
      </c>
      <c r="F1475" s="2" t="inlineStr">
        <is>
          <t>Pix</t>
        </is>
      </c>
      <c r="G1475" s="19" t="n">
        <v>0.03</v>
      </c>
    </row>
    <row r="1476">
      <c r="A1476" s="2" t="inlineStr">
        <is>
          <t>PED01475</t>
        </is>
      </c>
      <c r="B1476" s="3" t="n">
        <v>45735</v>
      </c>
      <c r="C1476" s="2" t="inlineStr">
        <is>
          <t>C0200</t>
        </is>
      </c>
      <c r="D1476" s="2" t="inlineStr">
        <is>
          <t>L01</t>
        </is>
      </c>
      <c r="E1476" s="2" t="inlineStr">
        <is>
          <t>Em processamento</t>
        </is>
      </c>
      <c r="F1476" s="2" t="inlineStr">
        <is>
          <t>Boleto</t>
        </is>
      </c>
      <c r="G1476" s="19" t="n">
        <v>0</v>
      </c>
    </row>
    <row r="1477">
      <c r="A1477" s="2" t="inlineStr">
        <is>
          <t>PED01476</t>
        </is>
      </c>
      <c r="B1477" s="3" t="n">
        <v>45916</v>
      </c>
      <c r="C1477" s="2" t="inlineStr">
        <is>
          <t>C0059</t>
        </is>
      </c>
      <c r="D1477" s="2" t="inlineStr">
        <is>
          <t>L07</t>
        </is>
      </c>
      <c r="E1477" s="2" t="inlineStr">
        <is>
          <t>Entregue</t>
        </is>
      </c>
      <c r="F1477" s="2" t="inlineStr">
        <is>
          <t>Pix</t>
        </is>
      </c>
      <c r="G1477" s="19" t="n">
        <v>0</v>
      </c>
    </row>
    <row r="1478">
      <c r="A1478" s="2" t="inlineStr">
        <is>
          <t>PED01477</t>
        </is>
      </c>
      <c r="B1478" s="3" t="n">
        <v>45706</v>
      </c>
      <c r="C1478" s="2" t="inlineStr">
        <is>
          <t>C0290</t>
        </is>
      </c>
      <c r="D1478" s="2" t="inlineStr">
        <is>
          <t>L02</t>
        </is>
      </c>
      <c r="E1478" s="2" t="inlineStr">
        <is>
          <t>Entregue</t>
        </is>
      </c>
      <c r="F1478" s="2" t="inlineStr">
        <is>
          <t>Boleto</t>
        </is>
      </c>
      <c r="G1478" s="19" t="n">
        <v>0.1</v>
      </c>
    </row>
    <row r="1479">
      <c r="A1479" s="2" t="inlineStr">
        <is>
          <t>PED01478</t>
        </is>
      </c>
      <c r="B1479" s="3" t="n">
        <v>45687</v>
      </c>
      <c r="C1479" s="2" t="inlineStr">
        <is>
          <t>C0030</t>
        </is>
      </c>
      <c r="D1479" s="2" t="inlineStr">
        <is>
          <t>L05</t>
        </is>
      </c>
      <c r="E1479" s="2" t="inlineStr">
        <is>
          <t>Entregue</t>
        </is>
      </c>
      <c r="F1479" s="2" t="inlineStr">
        <is>
          <t>Pix</t>
        </is>
      </c>
      <c r="G1479" s="19" t="n">
        <v>0.03</v>
      </c>
    </row>
    <row r="1480">
      <c r="A1480" s="2" t="inlineStr">
        <is>
          <t>PED01479</t>
        </is>
      </c>
      <c r="B1480" s="3" t="n">
        <v>45972</v>
      </c>
      <c r="C1480" s="2" t="inlineStr">
        <is>
          <t>C0327</t>
        </is>
      </c>
      <c r="D1480" s="2" t="inlineStr">
        <is>
          <t>L04</t>
        </is>
      </c>
      <c r="E1480" s="2" t="inlineStr">
        <is>
          <t>Devolvido</t>
        </is>
      </c>
      <c r="F1480" s="2" t="inlineStr">
        <is>
          <t>Cartão de débito</t>
        </is>
      </c>
      <c r="G1480" s="19" t="n">
        <v>0</v>
      </c>
    </row>
    <row r="1481">
      <c r="A1481" s="2" t="inlineStr">
        <is>
          <t>PED01480</t>
        </is>
      </c>
      <c r="B1481" s="3" t="n">
        <v>45880</v>
      </c>
      <c r="C1481" s="2" t="inlineStr">
        <is>
          <t>C0331</t>
        </is>
      </c>
      <c r="D1481" s="2" t="inlineStr">
        <is>
          <t>L07</t>
        </is>
      </c>
      <c r="E1481" s="2" t="inlineStr">
        <is>
          <t>Entregue</t>
        </is>
      </c>
      <c r="F1481" s="2" t="inlineStr">
        <is>
          <t>Pix</t>
        </is>
      </c>
      <c r="G1481" s="19" t="n">
        <v>0.03</v>
      </c>
    </row>
    <row r="1482">
      <c r="A1482" s="2" t="inlineStr">
        <is>
          <t>PED01481</t>
        </is>
      </c>
      <c r="B1482" s="3" t="n">
        <v>45678</v>
      </c>
      <c r="C1482" s="2" t="inlineStr">
        <is>
          <t>C0213</t>
        </is>
      </c>
      <c r="D1482" s="2" t="inlineStr">
        <is>
          <t>L07</t>
        </is>
      </c>
      <c r="E1482" s="2" t="inlineStr">
        <is>
          <t>Entregue</t>
        </is>
      </c>
      <c r="F1482" s="2" t="inlineStr">
        <is>
          <t>Pix</t>
        </is>
      </c>
      <c r="G1482" s="19" t="n">
        <v>0</v>
      </c>
    </row>
    <row r="1483">
      <c r="A1483" s="2" t="inlineStr">
        <is>
          <t>PED01482</t>
        </is>
      </c>
      <c r="B1483" s="3" t="n">
        <v>45423</v>
      </c>
      <c r="C1483" s="2" t="inlineStr">
        <is>
          <t>C0069</t>
        </is>
      </c>
      <c r="D1483" s="2" t="inlineStr">
        <is>
          <t>L04</t>
        </is>
      </c>
      <c r="E1483" s="2" t="inlineStr">
        <is>
          <t>Entregue</t>
        </is>
      </c>
      <c r="F1483" s="2" t="inlineStr">
        <is>
          <t>Cartão de crédito</t>
        </is>
      </c>
      <c r="G1483" s="19" t="n">
        <v>0</v>
      </c>
    </row>
    <row r="1484">
      <c r="A1484" s="2" t="inlineStr">
        <is>
          <t>PED01483</t>
        </is>
      </c>
      <c r="B1484" s="3" t="n">
        <v>45603</v>
      </c>
      <c r="C1484" s="2" t="inlineStr">
        <is>
          <t>C0142</t>
        </is>
      </c>
      <c r="D1484" s="2" t="inlineStr">
        <is>
          <t>L07</t>
        </is>
      </c>
      <c r="E1484" s="2" t="inlineStr">
        <is>
          <t>Entregue</t>
        </is>
      </c>
      <c r="F1484" s="2" t="inlineStr">
        <is>
          <t>Pix</t>
        </is>
      </c>
      <c r="G1484" s="19" t="n">
        <v>0.05</v>
      </c>
    </row>
    <row r="1485">
      <c r="A1485" s="2" t="inlineStr">
        <is>
          <t>PED01484</t>
        </is>
      </c>
      <c r="B1485" s="3" t="n">
        <v>45696</v>
      </c>
      <c r="C1485" s="2" t="inlineStr">
        <is>
          <t>C0185</t>
        </is>
      </c>
      <c r="D1485" s="2" t="inlineStr">
        <is>
          <t>L07</t>
        </is>
      </c>
      <c r="E1485" s="2" t="inlineStr">
        <is>
          <t>Cancelado</t>
        </is>
      </c>
      <c r="F1485" s="2" t="inlineStr">
        <is>
          <t>Pix</t>
        </is>
      </c>
      <c r="G1485" s="19" t="n">
        <v>0.1</v>
      </c>
    </row>
    <row r="1486">
      <c r="A1486" s="2" t="inlineStr">
        <is>
          <t>PED01485</t>
        </is>
      </c>
      <c r="B1486" s="3" t="n">
        <v>45940</v>
      </c>
      <c r="C1486" s="2" t="inlineStr">
        <is>
          <t>C0172</t>
        </is>
      </c>
      <c r="D1486" s="2" t="inlineStr">
        <is>
          <t>L06</t>
        </is>
      </c>
      <c r="E1486" s="2" t="inlineStr">
        <is>
          <t>Entregue</t>
        </is>
      </c>
      <c r="F1486" s="2" t="inlineStr">
        <is>
          <t>Pix</t>
        </is>
      </c>
      <c r="G1486" s="19" t="n">
        <v>0</v>
      </c>
    </row>
    <row r="1487">
      <c r="A1487" s="2" t="inlineStr">
        <is>
          <t>PED01486</t>
        </is>
      </c>
      <c r="B1487" s="3" t="n">
        <v>45623</v>
      </c>
      <c r="C1487" s="2" t="inlineStr">
        <is>
          <t>C0002</t>
        </is>
      </c>
      <c r="D1487" s="2" t="inlineStr">
        <is>
          <t>L03</t>
        </is>
      </c>
      <c r="E1487" s="2" t="inlineStr">
        <is>
          <t>Entregue</t>
        </is>
      </c>
      <c r="F1487" s="2" t="inlineStr">
        <is>
          <t>Cartão de crédito</t>
        </is>
      </c>
      <c r="G1487" s="19" t="n">
        <v>0</v>
      </c>
    </row>
    <row r="1488">
      <c r="A1488" s="2" t="inlineStr">
        <is>
          <t>PED01487</t>
        </is>
      </c>
      <c r="B1488" s="3" t="n">
        <v>45526</v>
      </c>
      <c r="C1488" s="2" t="inlineStr">
        <is>
          <t>C0294</t>
        </is>
      </c>
      <c r="D1488" s="2" t="inlineStr">
        <is>
          <t>L01</t>
        </is>
      </c>
      <c r="E1488" s="2" t="inlineStr">
        <is>
          <t>Entregue</t>
        </is>
      </c>
      <c r="F1488" s="2" t="inlineStr">
        <is>
          <t>Cartão de débito</t>
        </is>
      </c>
      <c r="G1488" s="19" t="n">
        <v>0.15</v>
      </c>
    </row>
    <row r="1489">
      <c r="A1489" s="2" t="inlineStr">
        <is>
          <t>PED01488</t>
        </is>
      </c>
      <c r="B1489" s="3" t="n">
        <v>46004</v>
      </c>
      <c r="C1489" s="2" t="inlineStr">
        <is>
          <t>C0043</t>
        </is>
      </c>
      <c r="D1489" s="2" t="inlineStr">
        <is>
          <t>L06</t>
        </is>
      </c>
      <c r="E1489" s="2" t="inlineStr">
        <is>
          <t>Entregue</t>
        </is>
      </c>
      <c r="F1489" s="2" t="inlineStr">
        <is>
          <t>Pix</t>
        </is>
      </c>
      <c r="G1489" s="19" t="n">
        <v>0.1</v>
      </c>
    </row>
    <row r="1490">
      <c r="A1490" s="2" t="inlineStr">
        <is>
          <t>PED01489</t>
        </is>
      </c>
      <c r="B1490" s="3" t="n">
        <v>45894</v>
      </c>
      <c r="C1490" s="2" t="inlineStr">
        <is>
          <t>C0235</t>
        </is>
      </c>
      <c r="D1490" s="2" t="inlineStr">
        <is>
          <t>L08</t>
        </is>
      </c>
      <c r="E1490" s="2" t="inlineStr">
        <is>
          <t>Entregue</t>
        </is>
      </c>
      <c r="F1490" s="2" t="inlineStr">
        <is>
          <t>Pix</t>
        </is>
      </c>
      <c r="G1490" s="19" t="n">
        <v>0</v>
      </c>
    </row>
    <row r="1491">
      <c r="A1491" s="2" t="inlineStr">
        <is>
          <t>PED01490</t>
        </is>
      </c>
      <c r="B1491" s="3" t="n">
        <v>45353</v>
      </c>
      <c r="C1491" s="2" t="inlineStr">
        <is>
          <t>C0052</t>
        </is>
      </c>
      <c r="D1491" s="2" t="inlineStr">
        <is>
          <t>L08</t>
        </is>
      </c>
      <c r="E1491" s="2" t="inlineStr">
        <is>
          <t>Devolvido</t>
        </is>
      </c>
      <c r="F1491" s="2" t="inlineStr">
        <is>
          <t>Pix</t>
        </is>
      </c>
      <c r="G1491" s="19" t="n">
        <v>0</v>
      </c>
    </row>
    <row r="1492">
      <c r="A1492" s="2" t="inlineStr">
        <is>
          <t>PED01491</t>
        </is>
      </c>
      <c r="B1492" s="3" t="n">
        <v>45735</v>
      </c>
      <c r="C1492" s="2" t="inlineStr">
        <is>
          <t>C0247</t>
        </is>
      </c>
      <c r="D1492" s="2" t="inlineStr">
        <is>
          <t>L07</t>
        </is>
      </c>
      <c r="E1492" s="2" t="inlineStr">
        <is>
          <t>Entregue</t>
        </is>
      </c>
      <c r="F1492" s="2" t="inlineStr">
        <is>
          <t>Pix</t>
        </is>
      </c>
      <c r="G1492" s="19" t="n">
        <v>0.1</v>
      </c>
    </row>
    <row r="1493">
      <c r="A1493" s="2" t="inlineStr">
        <is>
          <t>PED01492</t>
        </is>
      </c>
      <c r="B1493" s="3" t="n">
        <v>45725</v>
      </c>
      <c r="C1493" s="2" t="inlineStr">
        <is>
          <t>C0155</t>
        </is>
      </c>
      <c r="D1493" s="2" t="inlineStr">
        <is>
          <t>L03</t>
        </is>
      </c>
      <c r="E1493" s="2" t="inlineStr">
        <is>
          <t>Entregue</t>
        </is>
      </c>
      <c r="F1493" s="2" t="inlineStr">
        <is>
          <t>Cartão de crédito</t>
        </is>
      </c>
      <c r="G1493" s="19" t="n">
        <v>0</v>
      </c>
    </row>
    <row r="1494">
      <c r="A1494" s="2" t="inlineStr">
        <is>
          <t>PED01493</t>
        </is>
      </c>
      <c r="B1494" s="3" t="n">
        <v>45475</v>
      </c>
      <c r="C1494" s="2" t="inlineStr">
        <is>
          <t>C0101</t>
        </is>
      </c>
      <c r="D1494" s="2" t="inlineStr">
        <is>
          <t>L01</t>
        </is>
      </c>
      <c r="E1494" s="2" t="inlineStr">
        <is>
          <t>Entregue</t>
        </is>
      </c>
      <c r="F1494" s="2" t="inlineStr">
        <is>
          <t>Pix</t>
        </is>
      </c>
      <c r="G1494" s="19" t="n">
        <v>0</v>
      </c>
    </row>
    <row r="1495">
      <c r="A1495" s="2" t="inlineStr">
        <is>
          <t>PED01494</t>
        </is>
      </c>
      <c r="B1495" s="3" t="n">
        <v>45954</v>
      </c>
      <c r="C1495" s="2" t="inlineStr">
        <is>
          <t>C0172</t>
        </is>
      </c>
      <c r="D1495" s="2" t="inlineStr">
        <is>
          <t>L01</t>
        </is>
      </c>
      <c r="E1495" s="2" t="inlineStr">
        <is>
          <t>Entregue</t>
        </is>
      </c>
      <c r="F1495" s="2" t="inlineStr">
        <is>
          <t>Boleto</t>
        </is>
      </c>
      <c r="G1495" s="19" t="n">
        <v>0</v>
      </c>
    </row>
    <row r="1496">
      <c r="A1496" s="2" t="inlineStr">
        <is>
          <t>PED01495</t>
        </is>
      </c>
      <c r="B1496" s="3" t="n">
        <v>45614</v>
      </c>
      <c r="C1496" s="2" t="inlineStr">
        <is>
          <t>C0039</t>
        </is>
      </c>
      <c r="D1496" s="2" t="inlineStr">
        <is>
          <t>L05</t>
        </is>
      </c>
      <c r="E1496" s="2" t="inlineStr">
        <is>
          <t>Entregue</t>
        </is>
      </c>
      <c r="F1496" s="2" t="inlineStr">
        <is>
          <t>Cartão de crédito</t>
        </is>
      </c>
      <c r="G1496" s="19" t="n">
        <v>0</v>
      </c>
    </row>
    <row r="1497">
      <c r="A1497" s="2" t="inlineStr">
        <is>
          <t>PED01496</t>
        </is>
      </c>
      <c r="B1497" s="3" t="n">
        <v>45823</v>
      </c>
      <c r="C1497" s="2" t="inlineStr">
        <is>
          <t>C0073</t>
        </is>
      </c>
      <c r="D1497" s="2" t="inlineStr">
        <is>
          <t>L03</t>
        </is>
      </c>
      <c r="E1497" s="2" t="inlineStr">
        <is>
          <t>Entregue</t>
        </is>
      </c>
      <c r="F1497" s="2" t="inlineStr">
        <is>
          <t>Pix</t>
        </is>
      </c>
      <c r="G1497" s="19" t="n">
        <v>0</v>
      </c>
    </row>
    <row r="1498">
      <c r="A1498" s="2" t="inlineStr">
        <is>
          <t>PED01497</t>
        </is>
      </c>
      <c r="B1498" s="3" t="n">
        <v>45506</v>
      </c>
      <c r="C1498" s="2" t="inlineStr">
        <is>
          <t>C0115</t>
        </is>
      </c>
      <c r="D1498" s="2" t="inlineStr">
        <is>
          <t>L02</t>
        </is>
      </c>
      <c r="E1498" s="2" t="inlineStr">
        <is>
          <t>Entregue</t>
        </is>
      </c>
      <c r="F1498" s="2" t="inlineStr">
        <is>
          <t>Cartão de crédito</t>
        </is>
      </c>
      <c r="G1498" s="19" t="n">
        <v>0</v>
      </c>
    </row>
    <row r="1499">
      <c r="A1499" s="2" t="inlineStr">
        <is>
          <t>PED01498</t>
        </is>
      </c>
      <c r="B1499" s="3" t="n">
        <v>45713</v>
      </c>
      <c r="C1499" s="2" t="inlineStr">
        <is>
          <t>C0348</t>
        </is>
      </c>
      <c r="D1499" s="2" t="inlineStr">
        <is>
          <t>L05</t>
        </is>
      </c>
      <c r="E1499" s="2" t="inlineStr">
        <is>
          <t>Entregue</t>
        </is>
      </c>
      <c r="F1499" s="2" t="inlineStr">
        <is>
          <t>Pix</t>
        </is>
      </c>
      <c r="G1499" s="19" t="n">
        <v>0</v>
      </c>
    </row>
    <row r="1500">
      <c r="A1500" s="2" t="inlineStr">
        <is>
          <t>PED01499</t>
        </is>
      </c>
      <c r="B1500" s="3" t="n">
        <v>45731</v>
      </c>
      <c r="C1500" s="2" t="inlineStr">
        <is>
          <t>C0099</t>
        </is>
      </c>
      <c r="D1500" s="2" t="inlineStr">
        <is>
          <t>L05</t>
        </is>
      </c>
      <c r="E1500" s="2" t="inlineStr">
        <is>
          <t>Entregue</t>
        </is>
      </c>
      <c r="F1500" s="2" t="inlineStr">
        <is>
          <t>Pix</t>
        </is>
      </c>
      <c r="G1500" s="19" t="n">
        <v>0.1</v>
      </c>
    </row>
    <row r="1501">
      <c r="A1501" s="2" t="inlineStr">
        <is>
          <t>PED01500</t>
        </is>
      </c>
      <c r="B1501" s="3" t="n">
        <v>45684</v>
      </c>
      <c r="C1501" s="2" t="inlineStr">
        <is>
          <t>C0207</t>
        </is>
      </c>
      <c r="D1501" s="2" t="inlineStr">
        <is>
          <t>L06</t>
        </is>
      </c>
      <c r="E1501" s="2" t="inlineStr">
        <is>
          <t>Entregue</t>
        </is>
      </c>
      <c r="F1501" s="2" t="inlineStr">
        <is>
          <t>Cartão de crédito</t>
        </is>
      </c>
      <c r="G1501" s="19" t="n">
        <v>0</v>
      </c>
    </row>
    <row r="1502">
      <c r="A1502" s="2" t="inlineStr">
        <is>
          <t>PED01501</t>
        </is>
      </c>
      <c r="B1502" s="3" t="n">
        <v>45718</v>
      </c>
      <c r="C1502" s="2" t="inlineStr">
        <is>
          <t>C0214</t>
        </is>
      </c>
      <c r="D1502" s="2" t="inlineStr">
        <is>
          <t>L05</t>
        </is>
      </c>
      <c r="E1502" s="2" t="inlineStr">
        <is>
          <t>Entregue</t>
        </is>
      </c>
      <c r="F1502" s="2" t="inlineStr">
        <is>
          <t>Cartão de crédito</t>
        </is>
      </c>
      <c r="G1502" s="19" t="n">
        <v>0.15</v>
      </c>
    </row>
    <row r="1503">
      <c r="A1503" s="2" t="inlineStr">
        <is>
          <t>PED01502</t>
        </is>
      </c>
      <c r="B1503" s="3" t="n">
        <v>45455</v>
      </c>
      <c r="C1503" s="2" t="inlineStr">
        <is>
          <t>C0148</t>
        </is>
      </c>
      <c r="D1503" s="2" t="inlineStr">
        <is>
          <t>L08</t>
        </is>
      </c>
      <c r="E1503" s="2" t="inlineStr">
        <is>
          <t>Entregue</t>
        </is>
      </c>
      <c r="F1503" s="2" t="inlineStr">
        <is>
          <t>Boleto</t>
        </is>
      </c>
      <c r="G1503" s="19" t="n">
        <v>0.1</v>
      </c>
    </row>
    <row r="1504">
      <c r="A1504" s="2" t="inlineStr">
        <is>
          <t>PED01503</t>
        </is>
      </c>
      <c r="B1504" s="3" t="n">
        <v>45709</v>
      </c>
      <c r="C1504" s="2" t="inlineStr">
        <is>
          <t>C0066</t>
        </is>
      </c>
      <c r="D1504" s="2" t="inlineStr">
        <is>
          <t>L06</t>
        </is>
      </c>
      <c r="E1504" s="2" t="inlineStr">
        <is>
          <t>Entregue</t>
        </is>
      </c>
      <c r="F1504" s="2" t="inlineStr">
        <is>
          <t>Pix</t>
        </is>
      </c>
      <c r="G1504" s="19" t="n">
        <v>0</v>
      </c>
    </row>
    <row r="1505">
      <c r="A1505" s="2" t="inlineStr">
        <is>
          <t>PED01504</t>
        </is>
      </c>
      <c r="B1505" s="3" t="n">
        <v>45852</v>
      </c>
      <c r="C1505" s="2" t="inlineStr">
        <is>
          <t>C0115</t>
        </is>
      </c>
      <c r="D1505" s="2" t="inlineStr">
        <is>
          <t>L06</t>
        </is>
      </c>
      <c r="E1505" s="2" t="inlineStr">
        <is>
          <t>Entregue</t>
        </is>
      </c>
      <c r="F1505" s="2" t="inlineStr">
        <is>
          <t>Boleto</t>
        </is>
      </c>
      <c r="G1505" s="19" t="n">
        <v>0</v>
      </c>
    </row>
    <row r="1506">
      <c r="A1506" s="2" t="inlineStr">
        <is>
          <t>PED01505</t>
        </is>
      </c>
      <c r="B1506" s="3" t="n">
        <v>45773</v>
      </c>
      <c r="C1506" s="2" t="inlineStr">
        <is>
          <t>C0303</t>
        </is>
      </c>
      <c r="D1506" s="2" t="inlineStr">
        <is>
          <t>L04</t>
        </is>
      </c>
      <c r="E1506" s="2" t="inlineStr">
        <is>
          <t>Entregue</t>
        </is>
      </c>
      <c r="F1506" s="2" t="inlineStr">
        <is>
          <t>Cartão de débito</t>
        </is>
      </c>
      <c r="G1506" s="19" t="n">
        <v>0.05</v>
      </c>
    </row>
    <row r="1507">
      <c r="A1507" s="2" t="inlineStr">
        <is>
          <t>PED01506</t>
        </is>
      </c>
      <c r="B1507" s="3" t="n">
        <v>45963</v>
      </c>
      <c r="C1507" s="2" t="inlineStr">
        <is>
          <t>C0101</t>
        </is>
      </c>
      <c r="D1507" s="2" t="inlineStr">
        <is>
          <t>L08</t>
        </is>
      </c>
      <c r="E1507" s="2" t="inlineStr">
        <is>
          <t>Entregue</t>
        </is>
      </c>
      <c r="F1507" s="2" t="inlineStr">
        <is>
          <t>Pix</t>
        </is>
      </c>
      <c r="G1507" s="19" t="n">
        <v>0.03</v>
      </c>
    </row>
    <row r="1508">
      <c r="A1508" s="2" t="inlineStr">
        <is>
          <t>PED01507</t>
        </is>
      </c>
      <c r="B1508" s="3" t="n">
        <v>45462</v>
      </c>
      <c r="C1508" s="2" t="inlineStr">
        <is>
          <t>C0003</t>
        </is>
      </c>
      <c r="D1508" s="2" t="inlineStr">
        <is>
          <t>L02</t>
        </is>
      </c>
      <c r="E1508" s="2" t="inlineStr">
        <is>
          <t>Entregue</t>
        </is>
      </c>
      <c r="F1508" s="2" t="inlineStr">
        <is>
          <t>Cartão de crédito</t>
        </is>
      </c>
      <c r="G1508" s="19" t="n">
        <v>0.1</v>
      </c>
    </row>
    <row r="1509">
      <c r="A1509" s="2" t="inlineStr">
        <is>
          <t>PED01508</t>
        </is>
      </c>
      <c r="B1509" s="3" t="n">
        <v>45439</v>
      </c>
      <c r="C1509" s="2" t="inlineStr">
        <is>
          <t>C0297</t>
        </is>
      </c>
      <c r="D1509" s="2" t="inlineStr">
        <is>
          <t>L03</t>
        </is>
      </c>
      <c r="E1509" s="2" t="inlineStr">
        <is>
          <t>Entregue</t>
        </is>
      </c>
      <c r="F1509" s="2" t="inlineStr">
        <is>
          <t>Cartão de débito</t>
        </is>
      </c>
      <c r="G1509" s="19" t="n">
        <v>0</v>
      </c>
    </row>
    <row r="1510">
      <c r="A1510" s="2" t="inlineStr">
        <is>
          <t>PED01509</t>
        </is>
      </c>
      <c r="B1510" s="3" t="n">
        <v>45937</v>
      </c>
      <c r="C1510" s="2" t="inlineStr">
        <is>
          <t>C0154</t>
        </is>
      </c>
      <c r="D1510" s="2" t="inlineStr">
        <is>
          <t>L01</t>
        </is>
      </c>
      <c r="E1510" s="2" t="inlineStr">
        <is>
          <t>Entregue</t>
        </is>
      </c>
      <c r="F1510" s="2" t="inlineStr">
        <is>
          <t>Cartão de débito</t>
        </is>
      </c>
      <c r="G1510" s="19" t="n">
        <v>0</v>
      </c>
    </row>
    <row r="1511">
      <c r="A1511" s="2" t="inlineStr">
        <is>
          <t>PED01510</t>
        </is>
      </c>
      <c r="B1511" s="3" t="n">
        <v>45855</v>
      </c>
      <c r="C1511" s="2" t="inlineStr">
        <is>
          <t>C0115</t>
        </is>
      </c>
      <c r="D1511" s="2" t="inlineStr">
        <is>
          <t>L04</t>
        </is>
      </c>
      <c r="E1511" s="2" t="inlineStr">
        <is>
          <t>Entregue</t>
        </is>
      </c>
      <c r="F1511" s="2" t="inlineStr">
        <is>
          <t>Cartão de crédito</t>
        </is>
      </c>
      <c r="G1511" s="19" t="n">
        <v>0</v>
      </c>
    </row>
    <row r="1512">
      <c r="A1512" s="2" t="inlineStr">
        <is>
          <t>PED01511</t>
        </is>
      </c>
      <c r="B1512" s="3" t="n">
        <v>45779</v>
      </c>
      <c r="C1512" s="2" t="inlineStr">
        <is>
          <t>C0341</t>
        </is>
      </c>
      <c r="D1512" s="2" t="inlineStr">
        <is>
          <t>L07</t>
        </is>
      </c>
      <c r="E1512" s="2" t="inlineStr">
        <is>
          <t>Cancelado</t>
        </is>
      </c>
      <c r="F1512" s="2" t="inlineStr">
        <is>
          <t>Cartão de crédito</t>
        </is>
      </c>
      <c r="G1512" s="19" t="n">
        <v>0</v>
      </c>
    </row>
    <row r="1513">
      <c r="A1513" s="2" t="inlineStr">
        <is>
          <t>PED01512</t>
        </is>
      </c>
      <c r="B1513" s="3" t="n">
        <v>45736</v>
      </c>
      <c r="C1513" s="2" t="inlineStr">
        <is>
          <t>C0253</t>
        </is>
      </c>
      <c r="D1513" s="2" t="inlineStr">
        <is>
          <t>L04</t>
        </is>
      </c>
      <c r="E1513" s="2" t="inlineStr">
        <is>
          <t>Entregue</t>
        </is>
      </c>
      <c r="F1513" s="2" t="inlineStr">
        <is>
          <t>Transferência</t>
        </is>
      </c>
      <c r="G1513" s="19" t="n">
        <v>0.1</v>
      </c>
    </row>
    <row r="1514">
      <c r="A1514" s="2" t="inlineStr">
        <is>
          <t>PED01513</t>
        </is>
      </c>
      <c r="B1514" s="3" t="n">
        <v>45962</v>
      </c>
      <c r="C1514" s="2" t="inlineStr">
        <is>
          <t>C0303</t>
        </is>
      </c>
      <c r="D1514" s="2" t="inlineStr">
        <is>
          <t>L02</t>
        </is>
      </c>
      <c r="E1514" s="2" t="inlineStr">
        <is>
          <t>Entregue</t>
        </is>
      </c>
      <c r="F1514" s="2" t="inlineStr">
        <is>
          <t>Pix</t>
        </is>
      </c>
      <c r="G1514" s="19" t="n">
        <v>0</v>
      </c>
    </row>
    <row r="1515">
      <c r="A1515" s="2" t="inlineStr">
        <is>
          <t>PED01514</t>
        </is>
      </c>
      <c r="B1515" s="3" t="n">
        <v>45927</v>
      </c>
      <c r="C1515" s="2" t="inlineStr">
        <is>
          <t>C0309</t>
        </is>
      </c>
      <c r="D1515" s="2" t="inlineStr">
        <is>
          <t>L01</t>
        </is>
      </c>
      <c r="E1515" s="2" t="inlineStr">
        <is>
          <t>Entregue</t>
        </is>
      </c>
      <c r="F1515" s="2" t="inlineStr">
        <is>
          <t>Pix</t>
        </is>
      </c>
      <c r="G1515" s="19" t="n">
        <v>0.15</v>
      </c>
    </row>
    <row r="1516">
      <c r="A1516" s="2" t="inlineStr">
        <is>
          <t>PED01515</t>
        </is>
      </c>
      <c r="B1516" s="3" t="n">
        <v>45354</v>
      </c>
      <c r="C1516" s="2" t="inlineStr">
        <is>
          <t>C0245</t>
        </is>
      </c>
      <c r="D1516" s="2" t="inlineStr">
        <is>
          <t>L02</t>
        </is>
      </c>
      <c r="E1516" s="2" t="inlineStr">
        <is>
          <t>Entregue</t>
        </is>
      </c>
      <c r="F1516" s="2" t="inlineStr">
        <is>
          <t>Boleto</t>
        </is>
      </c>
      <c r="G1516" s="19" t="n">
        <v>0.05</v>
      </c>
    </row>
    <row r="1517">
      <c r="A1517" s="2" t="inlineStr">
        <is>
          <t>PED01516</t>
        </is>
      </c>
      <c r="B1517" s="3" t="n">
        <v>45784</v>
      </c>
      <c r="C1517" s="2" t="inlineStr">
        <is>
          <t>C0051</t>
        </is>
      </c>
      <c r="D1517" s="2" t="inlineStr">
        <is>
          <t>L02</t>
        </is>
      </c>
      <c r="E1517" s="2" t="inlineStr">
        <is>
          <t>Entregue</t>
        </is>
      </c>
      <c r="F1517" s="2" t="inlineStr">
        <is>
          <t>Pix</t>
        </is>
      </c>
      <c r="G1517" s="19" t="n">
        <v>0.1</v>
      </c>
    </row>
    <row r="1518">
      <c r="A1518" s="2" t="inlineStr">
        <is>
          <t>PED01517</t>
        </is>
      </c>
      <c r="B1518" s="3" t="n">
        <v>45860</v>
      </c>
      <c r="C1518" s="2" t="inlineStr">
        <is>
          <t>C0336</t>
        </is>
      </c>
      <c r="D1518" s="2" t="inlineStr">
        <is>
          <t>L02</t>
        </is>
      </c>
      <c r="E1518" s="2" t="inlineStr">
        <is>
          <t>Entregue</t>
        </is>
      </c>
      <c r="F1518" s="2" t="inlineStr">
        <is>
          <t>Pix</t>
        </is>
      </c>
      <c r="G1518" s="19" t="n">
        <v>0.1</v>
      </c>
    </row>
    <row r="1519">
      <c r="A1519" s="2" t="inlineStr">
        <is>
          <t>PED01518</t>
        </is>
      </c>
      <c r="B1519" s="3" t="n">
        <v>45914</v>
      </c>
      <c r="C1519" s="2" t="inlineStr">
        <is>
          <t>C0110</t>
        </is>
      </c>
      <c r="D1519" s="2" t="inlineStr">
        <is>
          <t>L07</t>
        </is>
      </c>
      <c r="E1519" s="2" t="inlineStr">
        <is>
          <t>Entregue</t>
        </is>
      </c>
      <c r="F1519" s="2" t="inlineStr">
        <is>
          <t>Cartão de crédito</t>
        </is>
      </c>
      <c r="G1519" s="19" t="n">
        <v>0.03</v>
      </c>
    </row>
    <row r="1520">
      <c r="A1520" s="2" t="inlineStr">
        <is>
          <t>PED01519</t>
        </is>
      </c>
      <c r="B1520" s="3" t="n">
        <v>45944</v>
      </c>
      <c r="C1520" s="2" t="inlineStr">
        <is>
          <t>C0256</t>
        </is>
      </c>
      <c r="D1520" s="2" t="inlineStr">
        <is>
          <t>L05</t>
        </is>
      </c>
      <c r="E1520" s="2" t="inlineStr">
        <is>
          <t>Entregue</t>
        </is>
      </c>
      <c r="F1520" s="2" t="inlineStr">
        <is>
          <t>Pix</t>
        </is>
      </c>
      <c r="G1520" s="19" t="n">
        <v>0.15</v>
      </c>
    </row>
    <row r="1521">
      <c r="A1521" s="2" t="inlineStr">
        <is>
          <t>PED01520</t>
        </is>
      </c>
      <c r="B1521" s="3" t="n">
        <v>45413</v>
      </c>
      <c r="C1521" s="2" t="inlineStr">
        <is>
          <t>C0179</t>
        </is>
      </c>
      <c r="D1521" s="2" t="inlineStr">
        <is>
          <t>L05</t>
        </is>
      </c>
      <c r="E1521" s="2" t="inlineStr">
        <is>
          <t>Cancelado</t>
        </is>
      </c>
      <c r="F1521" s="2" t="inlineStr">
        <is>
          <t>Pix</t>
        </is>
      </c>
      <c r="G1521" s="19" t="n">
        <v>0</v>
      </c>
    </row>
    <row r="1522">
      <c r="A1522" s="2" t="inlineStr">
        <is>
          <t>PED01521</t>
        </is>
      </c>
      <c r="B1522" s="3" t="n">
        <v>45622</v>
      </c>
      <c r="C1522" s="2" t="inlineStr">
        <is>
          <t>C0090</t>
        </is>
      </c>
      <c r="D1522" s="2" t="inlineStr">
        <is>
          <t>L08</t>
        </is>
      </c>
      <c r="E1522" s="2" t="inlineStr">
        <is>
          <t>Entregue</t>
        </is>
      </c>
      <c r="F1522" s="2" t="inlineStr">
        <is>
          <t>Boleto</t>
        </is>
      </c>
      <c r="G1522" s="19" t="n">
        <v>0</v>
      </c>
    </row>
    <row r="1523">
      <c r="A1523" s="2" t="inlineStr">
        <is>
          <t>PED01522</t>
        </is>
      </c>
      <c r="B1523" s="3" t="n">
        <v>45659</v>
      </c>
      <c r="C1523" s="2" t="inlineStr">
        <is>
          <t>C0219</t>
        </is>
      </c>
      <c r="D1523" s="2" t="inlineStr">
        <is>
          <t>L07</t>
        </is>
      </c>
      <c r="E1523" s="2" t="inlineStr">
        <is>
          <t>Entregue</t>
        </is>
      </c>
      <c r="F1523" s="2" t="inlineStr">
        <is>
          <t>Cartão de crédito</t>
        </is>
      </c>
      <c r="G1523" s="19" t="n">
        <v>0.15</v>
      </c>
    </row>
    <row r="1524">
      <c r="A1524" s="2" t="inlineStr">
        <is>
          <t>PED01523</t>
        </is>
      </c>
      <c r="B1524" s="3" t="n">
        <v>45703</v>
      </c>
      <c r="C1524" s="2" t="inlineStr">
        <is>
          <t>C0107</t>
        </is>
      </c>
      <c r="D1524" s="2" t="inlineStr">
        <is>
          <t>L06</t>
        </is>
      </c>
      <c r="E1524" s="2" t="inlineStr">
        <is>
          <t>Entregue</t>
        </is>
      </c>
      <c r="F1524" s="2" t="inlineStr">
        <is>
          <t>Cartão de crédito</t>
        </is>
      </c>
      <c r="G1524" s="19" t="n">
        <v>0.1</v>
      </c>
    </row>
    <row r="1525">
      <c r="A1525" s="2" t="inlineStr">
        <is>
          <t>PED01524</t>
        </is>
      </c>
      <c r="B1525" s="3" t="n">
        <v>45971</v>
      </c>
      <c r="C1525" s="2" t="inlineStr">
        <is>
          <t>C0022</t>
        </is>
      </c>
      <c r="D1525" s="2" t="inlineStr">
        <is>
          <t>L02</t>
        </is>
      </c>
      <c r="E1525" s="2" t="inlineStr">
        <is>
          <t>Entregue</t>
        </is>
      </c>
      <c r="F1525" s="2" t="inlineStr">
        <is>
          <t>Transferência</t>
        </is>
      </c>
      <c r="G1525" s="19" t="n">
        <v>0.1</v>
      </c>
    </row>
    <row r="1526">
      <c r="A1526" s="2" t="inlineStr">
        <is>
          <t>PED01525</t>
        </is>
      </c>
      <c r="B1526" s="3" t="n">
        <v>45813</v>
      </c>
      <c r="C1526" s="2" t="inlineStr">
        <is>
          <t>C0332</t>
        </is>
      </c>
      <c r="D1526" s="2" t="inlineStr">
        <is>
          <t>L07</t>
        </is>
      </c>
      <c r="E1526" s="2" t="inlineStr">
        <is>
          <t>Cancelado</t>
        </is>
      </c>
      <c r="F1526" s="2" t="inlineStr">
        <is>
          <t>Pix</t>
        </is>
      </c>
      <c r="G1526" s="19" t="n">
        <v>0.1</v>
      </c>
    </row>
    <row r="1527">
      <c r="A1527" s="2" t="inlineStr">
        <is>
          <t>PED01526</t>
        </is>
      </c>
      <c r="B1527" s="3" t="n">
        <v>45905</v>
      </c>
      <c r="C1527" s="2" t="inlineStr">
        <is>
          <t>C0031</t>
        </is>
      </c>
      <c r="D1527" s="2" t="inlineStr">
        <is>
          <t>L05</t>
        </is>
      </c>
      <c r="E1527" s="2" t="inlineStr">
        <is>
          <t>Devolvido</t>
        </is>
      </c>
      <c r="F1527" s="2" t="inlineStr">
        <is>
          <t>Cartão de débito</t>
        </is>
      </c>
      <c r="G1527" s="19" t="n">
        <v>0</v>
      </c>
    </row>
    <row r="1528">
      <c r="A1528" s="2" t="inlineStr">
        <is>
          <t>PED01527</t>
        </is>
      </c>
      <c r="B1528" s="3" t="n">
        <v>45488</v>
      </c>
      <c r="C1528" s="2" t="inlineStr">
        <is>
          <t>C0257</t>
        </is>
      </c>
      <c r="D1528" s="2" t="inlineStr">
        <is>
          <t>L02</t>
        </is>
      </c>
      <c r="E1528" s="2" t="inlineStr">
        <is>
          <t>Entregue</t>
        </is>
      </c>
      <c r="F1528" s="2" t="inlineStr">
        <is>
          <t>Boleto</t>
        </is>
      </c>
      <c r="G1528" s="19" t="n">
        <v>0.05</v>
      </c>
    </row>
    <row r="1529">
      <c r="A1529" s="2" t="inlineStr">
        <is>
          <t>PED01528</t>
        </is>
      </c>
      <c r="B1529" s="3" t="n">
        <v>45861</v>
      </c>
      <c r="C1529" s="2" t="inlineStr">
        <is>
          <t>C0080</t>
        </is>
      </c>
      <c r="D1529" s="2" t="inlineStr">
        <is>
          <t>L05</t>
        </is>
      </c>
      <c r="E1529" s="2" t="inlineStr">
        <is>
          <t>Entregue</t>
        </is>
      </c>
      <c r="F1529" s="2" t="inlineStr">
        <is>
          <t>Pix</t>
        </is>
      </c>
      <c r="G1529" s="19" t="n">
        <v>0</v>
      </c>
    </row>
    <row r="1530">
      <c r="A1530" s="2" t="inlineStr">
        <is>
          <t>PED01529</t>
        </is>
      </c>
      <c r="B1530" s="3" t="n">
        <v>45901</v>
      </c>
      <c r="C1530" s="2" t="inlineStr">
        <is>
          <t>C0153</t>
        </is>
      </c>
      <c r="D1530" s="2" t="inlineStr">
        <is>
          <t>L01</t>
        </is>
      </c>
      <c r="E1530" s="2" t="inlineStr">
        <is>
          <t>Entregue</t>
        </is>
      </c>
      <c r="F1530" s="2" t="inlineStr">
        <is>
          <t>Pix</t>
        </is>
      </c>
      <c r="G1530" s="19" t="n">
        <v>0.05</v>
      </c>
    </row>
    <row r="1531">
      <c r="A1531" s="2" t="inlineStr">
        <is>
          <t>PED01530</t>
        </is>
      </c>
      <c r="B1531" s="3" t="n">
        <v>45613</v>
      </c>
      <c r="C1531" s="2" t="inlineStr">
        <is>
          <t>C0100</t>
        </is>
      </c>
      <c r="D1531" s="2" t="inlineStr">
        <is>
          <t>L06</t>
        </is>
      </c>
      <c r="E1531" s="2" t="inlineStr">
        <is>
          <t>Devolvido</t>
        </is>
      </c>
      <c r="F1531" s="2" t="inlineStr">
        <is>
          <t>Boleto</t>
        </is>
      </c>
      <c r="G1531" s="19" t="n">
        <v>0.1</v>
      </c>
    </row>
    <row r="1532">
      <c r="A1532" s="2" t="inlineStr">
        <is>
          <t>PED01531</t>
        </is>
      </c>
      <c r="B1532" s="3" t="n">
        <v>45299</v>
      </c>
      <c r="C1532" s="2" t="inlineStr">
        <is>
          <t>C0224</t>
        </is>
      </c>
      <c r="D1532" s="2" t="inlineStr">
        <is>
          <t>L05</t>
        </is>
      </c>
      <c r="E1532" s="2" t="inlineStr">
        <is>
          <t>Entregue</t>
        </is>
      </c>
      <c r="F1532" s="2" t="inlineStr">
        <is>
          <t>Cartão de débito</t>
        </is>
      </c>
      <c r="G1532" s="19" t="n">
        <v>0.05</v>
      </c>
    </row>
    <row r="1533">
      <c r="A1533" s="2" t="inlineStr">
        <is>
          <t>PED01532</t>
        </is>
      </c>
      <c r="B1533" s="3" t="n">
        <v>45919</v>
      </c>
      <c r="C1533" s="2" t="inlineStr">
        <is>
          <t>C0171</t>
        </is>
      </c>
      <c r="D1533" s="2" t="inlineStr">
        <is>
          <t>L03</t>
        </is>
      </c>
      <c r="E1533" s="2" t="inlineStr">
        <is>
          <t>Entregue</t>
        </is>
      </c>
      <c r="F1533" s="2" t="inlineStr">
        <is>
          <t>Cartão de crédito</t>
        </is>
      </c>
      <c r="G1533" s="19" t="n">
        <v>0.1</v>
      </c>
    </row>
    <row r="1534">
      <c r="A1534" s="2" t="inlineStr">
        <is>
          <t>PED01533</t>
        </is>
      </c>
      <c r="B1534" s="3" t="n">
        <v>45916</v>
      </c>
      <c r="C1534" s="2" t="inlineStr">
        <is>
          <t>C0115</t>
        </is>
      </c>
      <c r="D1534" s="2" t="inlineStr">
        <is>
          <t>L01</t>
        </is>
      </c>
      <c r="E1534" s="2" t="inlineStr">
        <is>
          <t>Entregue</t>
        </is>
      </c>
      <c r="F1534" s="2" t="inlineStr">
        <is>
          <t>Cartão de débito</t>
        </is>
      </c>
      <c r="G1534" s="19" t="n">
        <v>0.03</v>
      </c>
    </row>
    <row r="1535">
      <c r="A1535" s="2" t="inlineStr">
        <is>
          <t>PED01534</t>
        </is>
      </c>
      <c r="B1535" s="3" t="n">
        <v>45704</v>
      </c>
      <c r="C1535" s="2" t="inlineStr">
        <is>
          <t>C0306</t>
        </is>
      </c>
      <c r="D1535" s="2" t="inlineStr">
        <is>
          <t>L01</t>
        </is>
      </c>
      <c r="E1535" s="2" t="inlineStr">
        <is>
          <t>Entregue</t>
        </is>
      </c>
      <c r="F1535" s="2" t="inlineStr">
        <is>
          <t>Cartão de crédito</t>
        </is>
      </c>
      <c r="G1535" s="19" t="n">
        <v>0</v>
      </c>
    </row>
    <row r="1536">
      <c r="A1536" s="2" t="inlineStr">
        <is>
          <t>PED01535</t>
        </is>
      </c>
      <c r="B1536" s="3" t="n">
        <v>45576</v>
      </c>
      <c r="C1536" s="2" t="inlineStr">
        <is>
          <t>C0096</t>
        </is>
      </c>
      <c r="D1536" s="2" t="inlineStr">
        <is>
          <t>L01</t>
        </is>
      </c>
      <c r="E1536" s="2" t="inlineStr">
        <is>
          <t>Cancelado</t>
        </is>
      </c>
      <c r="F1536" s="2" t="inlineStr">
        <is>
          <t>Cartão de crédito</t>
        </is>
      </c>
      <c r="G1536" s="19" t="n">
        <v>0.03</v>
      </c>
    </row>
    <row r="1537">
      <c r="A1537" s="2" t="inlineStr">
        <is>
          <t>PED01536</t>
        </is>
      </c>
      <c r="B1537" s="3" t="n">
        <v>45722</v>
      </c>
      <c r="C1537" s="2" t="inlineStr">
        <is>
          <t>C0236</t>
        </is>
      </c>
      <c r="D1537" s="2" t="inlineStr">
        <is>
          <t>L04</t>
        </is>
      </c>
      <c r="E1537" s="2" t="inlineStr">
        <is>
          <t>Entregue</t>
        </is>
      </c>
      <c r="F1537" s="2" t="inlineStr">
        <is>
          <t>Cartão de débito</t>
        </is>
      </c>
      <c r="G1537" s="19" t="n">
        <v>0</v>
      </c>
    </row>
    <row r="1538">
      <c r="A1538" s="2" t="inlineStr">
        <is>
          <t>PED01537</t>
        </is>
      </c>
      <c r="B1538" s="3" t="n">
        <v>45517</v>
      </c>
      <c r="C1538" s="2" t="inlineStr">
        <is>
          <t>C0326</t>
        </is>
      </c>
      <c r="D1538" s="2" t="inlineStr">
        <is>
          <t>L01</t>
        </is>
      </c>
      <c r="E1538" s="2" t="inlineStr">
        <is>
          <t>Entregue</t>
        </is>
      </c>
      <c r="F1538" s="2" t="inlineStr">
        <is>
          <t>Pix</t>
        </is>
      </c>
      <c r="G1538" s="19" t="n">
        <v>0.05</v>
      </c>
    </row>
    <row r="1539">
      <c r="A1539" s="2" t="inlineStr">
        <is>
          <t>PED01538</t>
        </is>
      </c>
      <c r="B1539" s="3" t="n">
        <v>45301</v>
      </c>
      <c r="C1539" s="2" t="inlineStr">
        <is>
          <t>C0273</t>
        </is>
      </c>
      <c r="D1539" s="2" t="inlineStr">
        <is>
          <t>L05</t>
        </is>
      </c>
      <c r="E1539" s="2" t="inlineStr">
        <is>
          <t>Entregue</t>
        </is>
      </c>
      <c r="F1539" s="2" t="inlineStr">
        <is>
          <t>Pix</t>
        </is>
      </c>
      <c r="G1539" s="19" t="n">
        <v>0</v>
      </c>
    </row>
    <row r="1540">
      <c r="A1540" s="2" t="inlineStr">
        <is>
          <t>PED01539</t>
        </is>
      </c>
      <c r="B1540" s="3" t="n">
        <v>45421</v>
      </c>
      <c r="C1540" s="2" t="inlineStr">
        <is>
          <t>C0158</t>
        </is>
      </c>
      <c r="D1540" s="2" t="inlineStr">
        <is>
          <t>L02</t>
        </is>
      </c>
      <c r="E1540" s="2" t="inlineStr">
        <is>
          <t>Entregue</t>
        </is>
      </c>
      <c r="F1540" s="2" t="inlineStr">
        <is>
          <t>Cartão de crédito</t>
        </is>
      </c>
      <c r="G1540" s="19" t="n">
        <v>0.1</v>
      </c>
    </row>
    <row r="1541">
      <c r="A1541" s="2" t="inlineStr">
        <is>
          <t>PED01540</t>
        </is>
      </c>
      <c r="B1541" s="3" t="n">
        <v>45321</v>
      </c>
      <c r="C1541" s="2" t="inlineStr">
        <is>
          <t>C0197</t>
        </is>
      </c>
      <c r="D1541" s="2" t="inlineStr">
        <is>
          <t>L03</t>
        </is>
      </c>
      <c r="E1541" s="2" t="inlineStr">
        <is>
          <t>Cancelado</t>
        </is>
      </c>
      <c r="F1541" s="2" t="inlineStr">
        <is>
          <t>Cartão de crédito</t>
        </is>
      </c>
      <c r="G1541" s="19" t="n">
        <v>0</v>
      </c>
    </row>
    <row r="1542">
      <c r="A1542" s="2" t="inlineStr">
        <is>
          <t>PED01541</t>
        </is>
      </c>
      <c r="B1542" s="3" t="n">
        <v>45510</v>
      </c>
      <c r="C1542" s="2" t="inlineStr">
        <is>
          <t>C0114</t>
        </is>
      </c>
      <c r="D1542" s="2" t="inlineStr">
        <is>
          <t>L03</t>
        </is>
      </c>
      <c r="E1542" s="2" t="inlineStr">
        <is>
          <t>Entregue</t>
        </is>
      </c>
      <c r="F1542" s="2" t="inlineStr">
        <is>
          <t>Cartão de crédito</t>
        </is>
      </c>
      <c r="G1542" s="19" t="n">
        <v>0.05</v>
      </c>
    </row>
    <row r="1543">
      <c r="A1543" s="2" t="inlineStr">
        <is>
          <t>PED01542</t>
        </is>
      </c>
      <c r="B1543" s="3" t="n">
        <v>45523</v>
      </c>
      <c r="C1543" s="2" t="inlineStr">
        <is>
          <t>C0024</t>
        </is>
      </c>
      <c r="D1543" s="2" t="inlineStr">
        <is>
          <t>L05</t>
        </is>
      </c>
      <c r="E1543" s="2" t="inlineStr">
        <is>
          <t>Entregue</t>
        </is>
      </c>
      <c r="F1543" s="2" t="inlineStr">
        <is>
          <t>Cartão de débito</t>
        </is>
      </c>
      <c r="G1543" s="19" t="n">
        <v>0.05</v>
      </c>
    </row>
    <row r="1544">
      <c r="A1544" s="2" t="inlineStr">
        <is>
          <t>PED01543</t>
        </is>
      </c>
      <c r="B1544" s="3" t="n">
        <v>45426</v>
      </c>
      <c r="C1544" s="2" t="inlineStr">
        <is>
          <t>C0014</t>
        </is>
      </c>
      <c r="D1544" s="2" t="inlineStr">
        <is>
          <t>L05</t>
        </is>
      </c>
      <c r="E1544" s="2" t="inlineStr">
        <is>
          <t>Entregue</t>
        </is>
      </c>
      <c r="F1544" s="2" t="inlineStr">
        <is>
          <t>Cartão de crédito</t>
        </is>
      </c>
      <c r="G1544" s="19" t="n">
        <v>0.1</v>
      </c>
    </row>
    <row r="1545">
      <c r="A1545" s="2" t="inlineStr">
        <is>
          <t>PED01544</t>
        </is>
      </c>
      <c r="B1545" s="3" t="n">
        <v>45472</v>
      </c>
      <c r="C1545" s="2" t="inlineStr">
        <is>
          <t>C0208</t>
        </is>
      </c>
      <c r="D1545" s="2" t="inlineStr">
        <is>
          <t>L07</t>
        </is>
      </c>
      <c r="E1545" s="2" t="inlineStr">
        <is>
          <t>Entregue</t>
        </is>
      </c>
      <c r="F1545" s="2" t="inlineStr">
        <is>
          <t>Cartão de crédito</t>
        </is>
      </c>
      <c r="G1545" s="19" t="n">
        <v>0.15</v>
      </c>
    </row>
    <row r="1546">
      <c r="A1546" s="2" t="inlineStr">
        <is>
          <t>PED01545</t>
        </is>
      </c>
      <c r="B1546" s="3" t="n">
        <v>45325</v>
      </c>
      <c r="C1546" s="2" t="inlineStr">
        <is>
          <t>C0111</t>
        </is>
      </c>
      <c r="D1546" s="2" t="inlineStr">
        <is>
          <t>L02</t>
        </is>
      </c>
      <c r="E1546" s="2" t="inlineStr">
        <is>
          <t>Cancelado</t>
        </is>
      </c>
      <c r="F1546" s="2" t="inlineStr">
        <is>
          <t>Cartão de crédito</t>
        </is>
      </c>
      <c r="G1546" s="19" t="n">
        <v>0.03</v>
      </c>
    </row>
    <row r="1547">
      <c r="A1547" s="2" t="inlineStr">
        <is>
          <t>PED01546</t>
        </is>
      </c>
      <c r="B1547" s="3" t="n">
        <v>45400</v>
      </c>
      <c r="C1547" s="2" t="inlineStr">
        <is>
          <t>C0296</t>
        </is>
      </c>
      <c r="D1547" s="2" t="inlineStr">
        <is>
          <t>L04</t>
        </is>
      </c>
      <c r="E1547" s="2" t="inlineStr">
        <is>
          <t>Entregue</t>
        </is>
      </c>
      <c r="F1547" s="2" t="inlineStr">
        <is>
          <t>Pix</t>
        </is>
      </c>
      <c r="G1547" s="19" t="n">
        <v>0.05</v>
      </c>
    </row>
    <row r="1548">
      <c r="A1548" s="2" t="inlineStr">
        <is>
          <t>PED01547</t>
        </is>
      </c>
      <c r="B1548" s="3" t="n">
        <v>45887</v>
      </c>
      <c r="C1548" s="2" t="inlineStr">
        <is>
          <t>C0332</t>
        </is>
      </c>
      <c r="D1548" s="2" t="inlineStr">
        <is>
          <t>L06</t>
        </is>
      </c>
      <c r="E1548" s="2" t="inlineStr">
        <is>
          <t>Entregue</t>
        </is>
      </c>
      <c r="F1548" s="2" t="inlineStr">
        <is>
          <t>Cartão de crédito</t>
        </is>
      </c>
      <c r="G1548" s="19" t="n">
        <v>0</v>
      </c>
    </row>
    <row r="1549">
      <c r="A1549" s="2" t="inlineStr">
        <is>
          <t>PED01548</t>
        </is>
      </c>
      <c r="B1549" s="3" t="n">
        <v>45294</v>
      </c>
      <c r="C1549" s="2" t="inlineStr">
        <is>
          <t>C0231</t>
        </is>
      </c>
      <c r="D1549" s="2" t="inlineStr">
        <is>
          <t>L03</t>
        </is>
      </c>
      <c r="E1549" s="2" t="inlineStr">
        <is>
          <t>Entregue</t>
        </is>
      </c>
      <c r="F1549" s="2" t="inlineStr">
        <is>
          <t>Pix</t>
        </is>
      </c>
      <c r="G1549" s="19" t="n">
        <v>0.1</v>
      </c>
    </row>
    <row r="1550">
      <c r="A1550" s="2" t="inlineStr">
        <is>
          <t>PED01549</t>
        </is>
      </c>
      <c r="B1550" s="3" t="n">
        <v>45583</v>
      </c>
      <c r="C1550" s="2" t="inlineStr">
        <is>
          <t>C0170</t>
        </is>
      </c>
      <c r="D1550" s="2" t="inlineStr">
        <is>
          <t>L07</t>
        </is>
      </c>
      <c r="E1550" s="2" t="inlineStr">
        <is>
          <t>Entregue</t>
        </is>
      </c>
      <c r="F1550" s="2" t="inlineStr">
        <is>
          <t>Cartão de débito</t>
        </is>
      </c>
      <c r="G1550" s="19" t="n">
        <v>0.1</v>
      </c>
    </row>
    <row r="1551">
      <c r="A1551" s="2" t="inlineStr">
        <is>
          <t>PED01550</t>
        </is>
      </c>
      <c r="B1551" s="3" t="n">
        <v>45398</v>
      </c>
      <c r="C1551" s="2" t="inlineStr">
        <is>
          <t>C0042</t>
        </is>
      </c>
      <c r="D1551" s="2" t="inlineStr">
        <is>
          <t>L08</t>
        </is>
      </c>
      <c r="E1551" s="2" t="inlineStr">
        <is>
          <t>Devolvido</t>
        </is>
      </c>
      <c r="F1551" s="2" t="inlineStr">
        <is>
          <t>Cartão de crédito</t>
        </is>
      </c>
      <c r="G1551" s="19" t="n">
        <v>0.03</v>
      </c>
    </row>
    <row r="1552">
      <c r="A1552" s="2" t="inlineStr">
        <is>
          <t>PED01551</t>
        </is>
      </c>
      <c r="B1552" s="3" t="n">
        <v>45420</v>
      </c>
      <c r="C1552" s="2" t="inlineStr">
        <is>
          <t>C0014</t>
        </is>
      </c>
      <c r="D1552" s="2" t="inlineStr">
        <is>
          <t>L03</t>
        </is>
      </c>
      <c r="E1552" s="2" t="inlineStr">
        <is>
          <t>Entregue</t>
        </is>
      </c>
      <c r="F1552" s="2" t="inlineStr">
        <is>
          <t>Cartão de débito</t>
        </is>
      </c>
      <c r="G1552" s="19" t="n">
        <v>0.05</v>
      </c>
    </row>
    <row r="1553">
      <c r="A1553" s="2" t="inlineStr">
        <is>
          <t>PED01552</t>
        </is>
      </c>
      <c r="B1553" s="3" t="n">
        <v>45543</v>
      </c>
      <c r="C1553" s="2" t="inlineStr">
        <is>
          <t>C0036</t>
        </is>
      </c>
      <c r="D1553" s="2" t="inlineStr">
        <is>
          <t>L02</t>
        </is>
      </c>
      <c r="E1553" s="2" t="inlineStr">
        <is>
          <t>Entregue</t>
        </is>
      </c>
      <c r="F1553" s="2" t="inlineStr">
        <is>
          <t>Cartão de crédito</t>
        </is>
      </c>
      <c r="G1553" s="19" t="n">
        <v>0.05</v>
      </c>
    </row>
    <row r="1554">
      <c r="A1554" s="2" t="inlineStr">
        <is>
          <t>PED01553</t>
        </is>
      </c>
      <c r="B1554" s="3" t="n">
        <v>45992</v>
      </c>
      <c r="C1554" s="2" t="inlineStr">
        <is>
          <t>C0249</t>
        </is>
      </c>
      <c r="D1554" s="2" t="inlineStr">
        <is>
          <t>L02</t>
        </is>
      </c>
      <c r="E1554" s="2" t="inlineStr">
        <is>
          <t>Entregue</t>
        </is>
      </c>
      <c r="F1554" s="2" t="inlineStr">
        <is>
          <t>Cartão de crédito</t>
        </is>
      </c>
      <c r="G1554" s="19" t="n">
        <v>0</v>
      </c>
    </row>
    <row r="1555">
      <c r="A1555" s="2" t="inlineStr">
        <is>
          <t>PED01554</t>
        </is>
      </c>
      <c r="B1555" s="3" t="n">
        <v>45668</v>
      </c>
      <c r="C1555" s="2" t="inlineStr">
        <is>
          <t>C0213</t>
        </is>
      </c>
      <c r="D1555" s="2" t="inlineStr">
        <is>
          <t>L04</t>
        </is>
      </c>
      <c r="E1555" s="2" t="inlineStr">
        <is>
          <t>Em processamento</t>
        </is>
      </c>
      <c r="F1555" s="2" t="inlineStr">
        <is>
          <t>Pix</t>
        </is>
      </c>
      <c r="G1555" s="19" t="n">
        <v>0</v>
      </c>
    </row>
    <row r="1556">
      <c r="A1556" s="2" t="inlineStr">
        <is>
          <t>PED01555</t>
        </is>
      </c>
      <c r="B1556" s="3" t="n">
        <v>45542</v>
      </c>
      <c r="C1556" s="2" t="inlineStr">
        <is>
          <t>C0233</t>
        </is>
      </c>
      <c r="D1556" s="2" t="inlineStr">
        <is>
          <t>L06</t>
        </is>
      </c>
      <c r="E1556" s="2" t="inlineStr">
        <is>
          <t>Entregue</t>
        </is>
      </c>
      <c r="F1556" s="2" t="inlineStr">
        <is>
          <t>Pix</t>
        </is>
      </c>
      <c r="G1556" s="19" t="n">
        <v>0.05</v>
      </c>
    </row>
    <row r="1557">
      <c r="A1557" s="2" t="inlineStr">
        <is>
          <t>PED01556</t>
        </is>
      </c>
      <c r="B1557" s="3" t="n">
        <v>45919</v>
      </c>
      <c r="C1557" s="2" t="inlineStr">
        <is>
          <t>C0107</t>
        </is>
      </c>
      <c r="D1557" s="2" t="inlineStr">
        <is>
          <t>L03</t>
        </is>
      </c>
      <c r="E1557" s="2" t="inlineStr">
        <is>
          <t>Devolvido</t>
        </is>
      </c>
      <c r="F1557" s="2" t="inlineStr">
        <is>
          <t>Cartão de débito</t>
        </is>
      </c>
      <c r="G1557" s="19" t="n">
        <v>0.03</v>
      </c>
    </row>
    <row r="1558">
      <c r="A1558" s="2" t="inlineStr">
        <is>
          <t>PED01557</t>
        </is>
      </c>
      <c r="B1558" s="3" t="n">
        <v>45641</v>
      </c>
      <c r="C1558" s="2" t="inlineStr">
        <is>
          <t>C0108</t>
        </is>
      </c>
      <c r="D1558" s="2" t="inlineStr">
        <is>
          <t>L03</t>
        </is>
      </c>
      <c r="E1558" s="2" t="inlineStr">
        <is>
          <t>Entregue</t>
        </is>
      </c>
      <c r="F1558" s="2" t="inlineStr">
        <is>
          <t>Pix</t>
        </is>
      </c>
      <c r="G1558" s="19" t="n">
        <v>0</v>
      </c>
    </row>
    <row r="1559">
      <c r="A1559" s="2" t="inlineStr">
        <is>
          <t>PED01558</t>
        </is>
      </c>
      <c r="B1559" s="3" t="n">
        <v>45479</v>
      </c>
      <c r="C1559" s="2" t="inlineStr">
        <is>
          <t>C0144</t>
        </is>
      </c>
      <c r="D1559" s="2" t="inlineStr">
        <is>
          <t>L06</t>
        </is>
      </c>
      <c r="E1559" s="2" t="inlineStr">
        <is>
          <t>Em processamento</t>
        </is>
      </c>
      <c r="F1559" s="2" t="inlineStr">
        <is>
          <t>Pix</t>
        </is>
      </c>
      <c r="G1559" s="19" t="n">
        <v>0.1</v>
      </c>
    </row>
    <row r="1560">
      <c r="A1560" s="2" t="inlineStr">
        <is>
          <t>PED01559</t>
        </is>
      </c>
      <c r="B1560" s="3" t="n">
        <v>45558</v>
      </c>
      <c r="C1560" s="2" t="inlineStr">
        <is>
          <t>C0271</t>
        </is>
      </c>
      <c r="D1560" s="2" t="inlineStr">
        <is>
          <t>L08</t>
        </is>
      </c>
      <c r="E1560" s="2" t="inlineStr">
        <is>
          <t>Entregue</t>
        </is>
      </c>
      <c r="F1560" s="2" t="inlineStr">
        <is>
          <t>Cartão de crédito</t>
        </is>
      </c>
      <c r="G1560" s="19" t="n">
        <v>0</v>
      </c>
    </row>
    <row r="1561">
      <c r="A1561" s="2" t="inlineStr">
        <is>
          <t>PED01560</t>
        </is>
      </c>
      <c r="B1561" s="3" t="n">
        <v>45297</v>
      </c>
      <c r="C1561" s="2" t="inlineStr">
        <is>
          <t>C0212</t>
        </is>
      </c>
      <c r="D1561" s="2" t="inlineStr">
        <is>
          <t>L03</t>
        </is>
      </c>
      <c r="E1561" s="2" t="inlineStr">
        <is>
          <t>Devolvido</t>
        </is>
      </c>
      <c r="F1561" s="2" t="inlineStr">
        <is>
          <t>Cartão de crédito</t>
        </is>
      </c>
      <c r="G1561" s="19" t="n">
        <v>0</v>
      </c>
    </row>
    <row r="1562">
      <c r="A1562" s="2" t="inlineStr">
        <is>
          <t>PED01561</t>
        </is>
      </c>
      <c r="B1562" s="3" t="n">
        <v>45920</v>
      </c>
      <c r="C1562" s="2" t="inlineStr">
        <is>
          <t>C0226</t>
        </is>
      </c>
      <c r="D1562" s="2" t="inlineStr">
        <is>
          <t>L04</t>
        </is>
      </c>
      <c r="E1562" s="2" t="inlineStr">
        <is>
          <t>Entregue</t>
        </is>
      </c>
      <c r="F1562" s="2" t="inlineStr">
        <is>
          <t>Boleto</t>
        </is>
      </c>
      <c r="G1562" s="19" t="n">
        <v>0.1</v>
      </c>
    </row>
    <row r="1563">
      <c r="A1563" s="2" t="inlineStr">
        <is>
          <t>PED01562</t>
        </is>
      </c>
      <c r="B1563" s="3" t="n">
        <v>45964</v>
      </c>
      <c r="C1563" s="2" t="inlineStr">
        <is>
          <t>C0191</t>
        </is>
      </c>
      <c r="D1563" s="2" t="inlineStr">
        <is>
          <t>L01</t>
        </is>
      </c>
      <c r="E1563" s="2" t="inlineStr">
        <is>
          <t>Entregue</t>
        </is>
      </c>
      <c r="F1563" s="2" t="inlineStr">
        <is>
          <t>Cartão de débito</t>
        </is>
      </c>
      <c r="G1563" s="19" t="n">
        <v>0</v>
      </c>
    </row>
    <row r="1564">
      <c r="A1564" s="2" t="inlineStr">
        <is>
          <t>PED01563</t>
        </is>
      </c>
      <c r="B1564" s="3" t="n">
        <v>45432</v>
      </c>
      <c r="C1564" s="2" t="inlineStr">
        <is>
          <t>C0192</t>
        </is>
      </c>
      <c r="D1564" s="2" t="inlineStr">
        <is>
          <t>L02</t>
        </is>
      </c>
      <c r="E1564" s="2" t="inlineStr">
        <is>
          <t>Cancelado</t>
        </is>
      </c>
      <c r="F1564" s="2" t="inlineStr">
        <is>
          <t>Pix</t>
        </is>
      </c>
      <c r="G1564" s="19" t="n">
        <v>0.05</v>
      </c>
    </row>
    <row r="1565">
      <c r="A1565" s="2" t="inlineStr">
        <is>
          <t>PED01564</t>
        </is>
      </c>
      <c r="B1565" s="3" t="n">
        <v>45988</v>
      </c>
      <c r="C1565" s="2" t="inlineStr">
        <is>
          <t>C0074</t>
        </is>
      </c>
      <c r="D1565" s="2" t="inlineStr">
        <is>
          <t>L04</t>
        </is>
      </c>
      <c r="E1565" s="2" t="inlineStr">
        <is>
          <t>Entregue</t>
        </is>
      </c>
      <c r="F1565" s="2" t="inlineStr">
        <is>
          <t>Cartão de crédito</t>
        </is>
      </c>
      <c r="G1565" s="19" t="n">
        <v>0.1</v>
      </c>
    </row>
    <row r="1566">
      <c r="A1566" s="2" t="inlineStr">
        <is>
          <t>PED01565</t>
        </is>
      </c>
      <c r="B1566" s="3" t="n">
        <v>45937</v>
      </c>
      <c r="C1566" s="2" t="inlineStr">
        <is>
          <t>C0113</t>
        </is>
      </c>
      <c r="D1566" s="2" t="inlineStr">
        <is>
          <t>L03</t>
        </is>
      </c>
      <c r="E1566" s="2" t="inlineStr">
        <is>
          <t>Cancelado</t>
        </is>
      </c>
      <c r="F1566" s="2" t="inlineStr">
        <is>
          <t>Cartão de débito</t>
        </is>
      </c>
      <c r="G1566" s="19" t="n">
        <v>0.1</v>
      </c>
    </row>
    <row r="1567">
      <c r="A1567" s="2" t="inlineStr">
        <is>
          <t>PED01566</t>
        </is>
      </c>
      <c r="B1567" s="3" t="n">
        <v>45342</v>
      </c>
      <c r="C1567" s="2" t="inlineStr">
        <is>
          <t>C0347</t>
        </is>
      </c>
      <c r="D1567" s="2" t="inlineStr">
        <is>
          <t>L05</t>
        </is>
      </c>
      <c r="E1567" s="2" t="inlineStr">
        <is>
          <t>Entregue</t>
        </is>
      </c>
      <c r="F1567" s="2" t="inlineStr">
        <is>
          <t>Pix</t>
        </is>
      </c>
      <c r="G1567" s="19" t="n">
        <v>0</v>
      </c>
    </row>
    <row r="1568">
      <c r="A1568" s="2" t="inlineStr">
        <is>
          <t>PED01567</t>
        </is>
      </c>
      <c r="B1568" s="3" t="n">
        <v>45882</v>
      </c>
      <c r="C1568" s="2" t="inlineStr">
        <is>
          <t>C0196</t>
        </is>
      </c>
      <c r="D1568" s="2" t="inlineStr">
        <is>
          <t>L01</t>
        </is>
      </c>
      <c r="E1568" s="2" t="inlineStr">
        <is>
          <t>Em processamento</t>
        </is>
      </c>
      <c r="F1568" s="2" t="inlineStr">
        <is>
          <t>Cartão de crédito</t>
        </is>
      </c>
      <c r="G1568" s="19" t="n">
        <v>0.1</v>
      </c>
    </row>
    <row r="1569">
      <c r="A1569" s="2" t="inlineStr">
        <is>
          <t>PED01568</t>
        </is>
      </c>
      <c r="B1569" s="3" t="n">
        <v>45737</v>
      </c>
      <c r="C1569" s="2" t="inlineStr">
        <is>
          <t>C0307</t>
        </is>
      </c>
      <c r="D1569" s="2" t="inlineStr">
        <is>
          <t>L03</t>
        </is>
      </c>
      <c r="E1569" s="2" t="inlineStr">
        <is>
          <t>Entregue</t>
        </is>
      </c>
      <c r="F1569" s="2" t="inlineStr">
        <is>
          <t>Transferência</t>
        </is>
      </c>
      <c r="G1569" s="19" t="n">
        <v>0.1</v>
      </c>
    </row>
    <row r="1570">
      <c r="A1570" s="2" t="inlineStr">
        <is>
          <t>PED01569</t>
        </is>
      </c>
      <c r="B1570" s="3" t="n">
        <v>45387</v>
      </c>
      <c r="C1570" s="2" t="inlineStr">
        <is>
          <t>C0289</t>
        </is>
      </c>
      <c r="D1570" s="2" t="inlineStr">
        <is>
          <t>L04</t>
        </is>
      </c>
      <c r="E1570" s="2" t="inlineStr">
        <is>
          <t>Entregue</t>
        </is>
      </c>
      <c r="F1570" s="2" t="inlineStr">
        <is>
          <t>Cartão de débito</t>
        </is>
      </c>
      <c r="G1570" s="19" t="n">
        <v>0.15</v>
      </c>
    </row>
    <row r="1571">
      <c r="A1571" s="2" t="inlineStr">
        <is>
          <t>PED01570</t>
        </is>
      </c>
      <c r="B1571" s="3" t="n">
        <v>45513</v>
      </c>
      <c r="C1571" s="2" t="inlineStr">
        <is>
          <t>C0269</t>
        </is>
      </c>
      <c r="D1571" s="2" t="inlineStr">
        <is>
          <t>L01</t>
        </is>
      </c>
      <c r="E1571" s="2" t="inlineStr">
        <is>
          <t>Entregue</t>
        </is>
      </c>
      <c r="F1571" s="2" t="inlineStr">
        <is>
          <t>Cartão de crédito</t>
        </is>
      </c>
      <c r="G1571" s="19" t="n">
        <v>0</v>
      </c>
    </row>
    <row r="1572">
      <c r="A1572" s="2" t="inlineStr">
        <is>
          <t>PED01571</t>
        </is>
      </c>
      <c r="B1572" s="3" t="n">
        <v>45813</v>
      </c>
      <c r="C1572" s="2" t="inlineStr">
        <is>
          <t>C0175</t>
        </is>
      </c>
      <c r="D1572" s="2" t="inlineStr">
        <is>
          <t>L02</t>
        </is>
      </c>
      <c r="E1572" s="2" t="inlineStr">
        <is>
          <t>Entregue</t>
        </is>
      </c>
      <c r="F1572" s="2" t="inlineStr">
        <is>
          <t>Cartão de débito</t>
        </is>
      </c>
      <c r="G1572" s="19" t="n">
        <v>0</v>
      </c>
    </row>
    <row r="1573">
      <c r="A1573" s="2" t="inlineStr">
        <is>
          <t>PED01572</t>
        </is>
      </c>
      <c r="B1573" s="3" t="n">
        <v>45946</v>
      </c>
      <c r="C1573" s="2" t="inlineStr">
        <is>
          <t>C0007</t>
        </is>
      </c>
      <c r="D1573" s="2" t="inlineStr">
        <is>
          <t>L02</t>
        </is>
      </c>
      <c r="E1573" s="2" t="inlineStr">
        <is>
          <t>Em processamento</t>
        </is>
      </c>
      <c r="F1573" s="2" t="inlineStr">
        <is>
          <t>Cartão de crédito</t>
        </is>
      </c>
      <c r="G1573" s="19" t="n">
        <v>0</v>
      </c>
    </row>
    <row r="1574">
      <c r="A1574" s="2" t="inlineStr">
        <is>
          <t>PED01573</t>
        </is>
      </c>
      <c r="B1574" s="3" t="n">
        <v>45914</v>
      </c>
      <c r="C1574" s="2" t="inlineStr">
        <is>
          <t>C0020</t>
        </is>
      </c>
      <c r="D1574" s="2" t="inlineStr">
        <is>
          <t>L03</t>
        </is>
      </c>
      <c r="E1574" s="2" t="inlineStr">
        <is>
          <t>Cancelado</t>
        </is>
      </c>
      <c r="F1574" s="2" t="inlineStr">
        <is>
          <t>Cartão de débito</t>
        </is>
      </c>
      <c r="G1574" s="19" t="n">
        <v>0.05</v>
      </c>
    </row>
    <row r="1575">
      <c r="A1575" s="2" t="inlineStr">
        <is>
          <t>PED01574</t>
        </is>
      </c>
      <c r="B1575" s="3" t="n">
        <v>45690</v>
      </c>
      <c r="C1575" s="2" t="inlineStr">
        <is>
          <t>C0218</t>
        </is>
      </c>
      <c r="D1575" s="2" t="inlineStr">
        <is>
          <t>L07</t>
        </is>
      </c>
      <c r="E1575" s="2" t="inlineStr">
        <is>
          <t>Entregue</t>
        </is>
      </c>
      <c r="F1575" s="2" t="inlineStr">
        <is>
          <t>Cartão de crédito</t>
        </is>
      </c>
      <c r="G1575" s="19" t="n">
        <v>0.03</v>
      </c>
    </row>
    <row r="1576">
      <c r="A1576" s="2" t="inlineStr">
        <is>
          <t>PED01575</t>
        </is>
      </c>
      <c r="B1576" s="3" t="n">
        <v>45504</v>
      </c>
      <c r="C1576" s="2" t="inlineStr">
        <is>
          <t>C0192</t>
        </is>
      </c>
      <c r="D1576" s="2" t="inlineStr">
        <is>
          <t>L04</t>
        </is>
      </c>
      <c r="E1576" s="2" t="inlineStr">
        <is>
          <t>Entregue</t>
        </is>
      </c>
      <c r="F1576" s="2" t="inlineStr">
        <is>
          <t>Cartão de crédito</t>
        </is>
      </c>
      <c r="G1576" s="19" t="n">
        <v>0</v>
      </c>
    </row>
    <row r="1577">
      <c r="A1577" s="2" t="inlineStr">
        <is>
          <t>PED01576</t>
        </is>
      </c>
      <c r="B1577" s="3" t="n">
        <v>45545</v>
      </c>
      <c r="C1577" s="2" t="inlineStr">
        <is>
          <t>C0297</t>
        </is>
      </c>
      <c r="D1577" s="2" t="inlineStr">
        <is>
          <t>L03</t>
        </is>
      </c>
      <c r="E1577" s="2" t="inlineStr">
        <is>
          <t>Entregue</t>
        </is>
      </c>
      <c r="F1577" s="2" t="inlineStr">
        <is>
          <t>Cartão de crédito</t>
        </is>
      </c>
      <c r="G1577" s="19" t="n">
        <v>0.05</v>
      </c>
    </row>
    <row r="1578">
      <c r="A1578" s="2" t="inlineStr">
        <is>
          <t>PED01577</t>
        </is>
      </c>
      <c r="B1578" s="3" t="n">
        <v>45989</v>
      </c>
      <c r="C1578" s="2" t="inlineStr">
        <is>
          <t>C0170</t>
        </is>
      </c>
      <c r="D1578" s="2" t="inlineStr">
        <is>
          <t>L05</t>
        </is>
      </c>
      <c r="E1578" s="2" t="inlineStr">
        <is>
          <t>Em processamento</t>
        </is>
      </c>
      <c r="F1578" s="2" t="inlineStr">
        <is>
          <t>Cartão de crédito</t>
        </is>
      </c>
      <c r="G1578" s="19" t="n">
        <v>0.03</v>
      </c>
    </row>
    <row r="1579">
      <c r="A1579" s="2" t="inlineStr">
        <is>
          <t>PED01578</t>
        </is>
      </c>
      <c r="B1579" s="3" t="n">
        <v>45553</v>
      </c>
      <c r="C1579" s="2" t="inlineStr">
        <is>
          <t>C0163</t>
        </is>
      </c>
      <c r="D1579" s="2" t="inlineStr">
        <is>
          <t>L02</t>
        </is>
      </c>
      <c r="E1579" s="2" t="inlineStr">
        <is>
          <t>Entregue</t>
        </is>
      </c>
      <c r="F1579" s="2" t="inlineStr">
        <is>
          <t>Cartão de débito</t>
        </is>
      </c>
      <c r="G1579" s="19" t="n">
        <v>0.05</v>
      </c>
    </row>
    <row r="1580">
      <c r="A1580" s="2" t="inlineStr">
        <is>
          <t>PED01579</t>
        </is>
      </c>
      <c r="B1580" s="3" t="n">
        <v>45599</v>
      </c>
      <c r="C1580" s="2" t="inlineStr">
        <is>
          <t>C0219</t>
        </is>
      </c>
      <c r="D1580" s="2" t="inlineStr">
        <is>
          <t>L02</t>
        </is>
      </c>
      <c r="E1580" s="2" t="inlineStr">
        <is>
          <t>Devolvido</t>
        </is>
      </c>
      <c r="F1580" s="2" t="inlineStr">
        <is>
          <t>Pix</t>
        </is>
      </c>
      <c r="G1580" s="19" t="n">
        <v>0.03</v>
      </c>
    </row>
    <row r="1581">
      <c r="A1581" s="2" t="inlineStr">
        <is>
          <t>PED01580</t>
        </is>
      </c>
      <c r="B1581" s="3" t="n">
        <v>45778</v>
      </c>
      <c r="C1581" s="2" t="inlineStr">
        <is>
          <t>C0241</t>
        </is>
      </c>
      <c r="D1581" s="2" t="inlineStr">
        <is>
          <t>L08</t>
        </is>
      </c>
      <c r="E1581" s="2" t="inlineStr">
        <is>
          <t>Em processamento</t>
        </is>
      </c>
      <c r="F1581" s="2" t="inlineStr">
        <is>
          <t>Transferência</t>
        </is>
      </c>
      <c r="G1581" s="19" t="n">
        <v>0</v>
      </c>
    </row>
    <row r="1582">
      <c r="A1582" s="2" t="inlineStr">
        <is>
          <t>PED01581</t>
        </is>
      </c>
      <c r="B1582" s="3" t="n">
        <v>45376</v>
      </c>
      <c r="C1582" s="2" t="inlineStr">
        <is>
          <t>C0075</t>
        </is>
      </c>
      <c r="D1582" s="2" t="inlineStr">
        <is>
          <t>L02</t>
        </is>
      </c>
      <c r="E1582" s="2" t="inlineStr">
        <is>
          <t>Entregue</t>
        </is>
      </c>
      <c r="F1582" s="2" t="inlineStr">
        <is>
          <t>Pix</t>
        </is>
      </c>
      <c r="G1582" s="19" t="n">
        <v>0.1</v>
      </c>
    </row>
    <row r="1583">
      <c r="A1583" s="2" t="inlineStr">
        <is>
          <t>PED01582</t>
        </is>
      </c>
      <c r="B1583" s="3" t="n">
        <v>45986</v>
      </c>
      <c r="C1583" s="2" t="inlineStr">
        <is>
          <t>C0027</t>
        </is>
      </c>
      <c r="D1583" s="2" t="inlineStr">
        <is>
          <t>L06</t>
        </is>
      </c>
      <c r="E1583" s="2" t="inlineStr">
        <is>
          <t>Entregue</t>
        </is>
      </c>
      <c r="F1583" s="2" t="inlineStr">
        <is>
          <t>Cartão de crédito</t>
        </is>
      </c>
      <c r="G1583" s="19" t="n">
        <v>0.1</v>
      </c>
    </row>
    <row r="1584">
      <c r="A1584" s="2" t="inlineStr">
        <is>
          <t>PED01583</t>
        </is>
      </c>
      <c r="B1584" s="3" t="n">
        <v>45736</v>
      </c>
      <c r="C1584" s="2" t="inlineStr">
        <is>
          <t>C0180</t>
        </is>
      </c>
      <c r="D1584" s="2" t="inlineStr">
        <is>
          <t>L07</t>
        </is>
      </c>
      <c r="E1584" s="2" t="inlineStr">
        <is>
          <t>Entregue</t>
        </is>
      </c>
      <c r="F1584" s="2" t="inlineStr">
        <is>
          <t>Cartão de crédito</t>
        </is>
      </c>
      <c r="G1584" s="19" t="n">
        <v>0</v>
      </c>
    </row>
    <row r="1585">
      <c r="A1585" s="2" t="inlineStr">
        <is>
          <t>PED01584</t>
        </is>
      </c>
      <c r="B1585" s="3" t="n">
        <v>45580</v>
      </c>
      <c r="C1585" s="2" t="inlineStr">
        <is>
          <t>C0071</t>
        </is>
      </c>
      <c r="D1585" s="2" t="inlineStr">
        <is>
          <t>L07</t>
        </is>
      </c>
      <c r="E1585" s="2" t="inlineStr">
        <is>
          <t>Entregue</t>
        </is>
      </c>
      <c r="F1585" s="2" t="inlineStr">
        <is>
          <t>Cartão de crédito</t>
        </is>
      </c>
      <c r="G1585" s="19" t="n">
        <v>0.1</v>
      </c>
    </row>
    <row r="1586">
      <c r="A1586" s="2" t="inlineStr">
        <is>
          <t>PED01585</t>
        </is>
      </c>
      <c r="B1586" s="3" t="n">
        <v>46001</v>
      </c>
      <c r="C1586" s="2" t="inlineStr">
        <is>
          <t>C0146</t>
        </is>
      </c>
      <c r="D1586" s="2" t="inlineStr">
        <is>
          <t>L08</t>
        </is>
      </c>
      <c r="E1586" s="2" t="inlineStr">
        <is>
          <t>Entregue</t>
        </is>
      </c>
      <c r="F1586" s="2" t="inlineStr">
        <is>
          <t>Cartão de crédito</t>
        </is>
      </c>
      <c r="G1586" s="19" t="n">
        <v>0.05</v>
      </c>
    </row>
    <row r="1587">
      <c r="A1587" s="2" t="inlineStr">
        <is>
          <t>PED01586</t>
        </is>
      </c>
      <c r="B1587" s="3" t="n">
        <v>45362</v>
      </c>
      <c r="C1587" s="2" t="inlineStr">
        <is>
          <t>C0204</t>
        </is>
      </c>
      <c r="D1587" s="2" t="inlineStr">
        <is>
          <t>L03</t>
        </is>
      </c>
      <c r="E1587" s="2" t="inlineStr">
        <is>
          <t>Entregue</t>
        </is>
      </c>
      <c r="F1587" s="2" t="inlineStr">
        <is>
          <t>Pix</t>
        </is>
      </c>
      <c r="G1587" s="19" t="n">
        <v>0</v>
      </c>
    </row>
    <row r="1588">
      <c r="A1588" s="2" t="inlineStr">
        <is>
          <t>PED01587</t>
        </is>
      </c>
      <c r="B1588" s="3" t="n">
        <v>45500</v>
      </c>
      <c r="C1588" s="2" t="inlineStr">
        <is>
          <t>C0113</t>
        </is>
      </c>
      <c r="D1588" s="2" t="inlineStr">
        <is>
          <t>L06</t>
        </is>
      </c>
      <c r="E1588" s="2" t="inlineStr">
        <is>
          <t>Entregue</t>
        </is>
      </c>
      <c r="F1588" s="2" t="inlineStr">
        <is>
          <t>Cartão de crédito</t>
        </is>
      </c>
      <c r="G1588" s="19" t="n">
        <v>0</v>
      </c>
    </row>
    <row r="1589">
      <c r="A1589" s="2" t="inlineStr">
        <is>
          <t>PED01588</t>
        </is>
      </c>
      <c r="B1589" s="3" t="n">
        <v>45550</v>
      </c>
      <c r="C1589" s="2" t="inlineStr">
        <is>
          <t>C0197</t>
        </is>
      </c>
      <c r="D1589" s="2" t="inlineStr">
        <is>
          <t>L04</t>
        </is>
      </c>
      <c r="E1589" s="2" t="inlineStr">
        <is>
          <t>Devolvido</t>
        </is>
      </c>
      <c r="F1589" s="2" t="inlineStr">
        <is>
          <t>Cartão de débito</t>
        </is>
      </c>
      <c r="G1589" s="19" t="n">
        <v>0.1</v>
      </c>
    </row>
    <row r="1590">
      <c r="A1590" s="2" t="inlineStr">
        <is>
          <t>PED01589</t>
        </is>
      </c>
      <c r="B1590" s="3" t="n">
        <v>45843</v>
      </c>
      <c r="C1590" s="2" t="inlineStr">
        <is>
          <t>C0171</t>
        </is>
      </c>
      <c r="D1590" s="2" t="inlineStr">
        <is>
          <t>L05</t>
        </is>
      </c>
      <c r="E1590" s="2" t="inlineStr">
        <is>
          <t>Cancelado</t>
        </is>
      </c>
      <c r="F1590" s="2" t="inlineStr">
        <is>
          <t>Cartão de crédito</t>
        </is>
      </c>
      <c r="G1590" s="19" t="n">
        <v>0</v>
      </c>
    </row>
    <row r="1591">
      <c r="A1591" s="2" t="inlineStr">
        <is>
          <t>PED01590</t>
        </is>
      </c>
      <c r="B1591" s="3" t="n">
        <v>45972</v>
      </c>
      <c r="C1591" s="2" t="inlineStr">
        <is>
          <t>C0026</t>
        </is>
      </c>
      <c r="D1591" s="2" t="inlineStr">
        <is>
          <t>L02</t>
        </is>
      </c>
      <c r="E1591" s="2" t="inlineStr">
        <is>
          <t>Entregue</t>
        </is>
      </c>
      <c r="F1591" s="2" t="inlineStr">
        <is>
          <t>Cartão de débito</t>
        </is>
      </c>
      <c r="G1591" s="19" t="n">
        <v>0.1</v>
      </c>
    </row>
    <row r="1592">
      <c r="A1592" s="2" t="inlineStr">
        <is>
          <t>PED01591</t>
        </is>
      </c>
      <c r="B1592" s="3" t="n">
        <v>45959</v>
      </c>
      <c r="C1592" s="2" t="inlineStr">
        <is>
          <t>C0104</t>
        </is>
      </c>
      <c r="D1592" s="2" t="inlineStr">
        <is>
          <t>L01</t>
        </is>
      </c>
      <c r="E1592" s="2" t="inlineStr">
        <is>
          <t>Cancelado</t>
        </is>
      </c>
      <c r="F1592" s="2" t="inlineStr">
        <is>
          <t>Cartão de débito</t>
        </is>
      </c>
      <c r="G1592" s="19" t="n">
        <v>0</v>
      </c>
    </row>
    <row r="1593">
      <c r="A1593" s="2" t="inlineStr">
        <is>
          <t>PED01592</t>
        </is>
      </c>
      <c r="B1593" s="3" t="n">
        <v>45305</v>
      </c>
      <c r="C1593" s="2" t="inlineStr">
        <is>
          <t>C0046</t>
        </is>
      </c>
      <c r="D1593" s="2" t="inlineStr">
        <is>
          <t>L01</t>
        </is>
      </c>
      <c r="E1593" s="2" t="inlineStr">
        <is>
          <t>Entregue</t>
        </is>
      </c>
      <c r="F1593" s="2" t="inlineStr">
        <is>
          <t>Pix</t>
        </is>
      </c>
      <c r="G1593" s="19" t="n">
        <v>0</v>
      </c>
    </row>
    <row r="1594">
      <c r="A1594" s="2" t="inlineStr">
        <is>
          <t>PED01593</t>
        </is>
      </c>
      <c r="B1594" s="3" t="n">
        <v>45528</v>
      </c>
      <c r="C1594" s="2" t="inlineStr">
        <is>
          <t>C0172</t>
        </is>
      </c>
      <c r="D1594" s="2" t="inlineStr">
        <is>
          <t>L05</t>
        </is>
      </c>
      <c r="E1594" s="2" t="inlineStr">
        <is>
          <t>Entregue</t>
        </is>
      </c>
      <c r="F1594" s="2" t="inlineStr">
        <is>
          <t>Cartão de crédito</t>
        </is>
      </c>
      <c r="G1594" s="19" t="n">
        <v>0.1</v>
      </c>
    </row>
    <row r="1595">
      <c r="A1595" s="2" t="inlineStr">
        <is>
          <t>PED01594</t>
        </is>
      </c>
      <c r="B1595" s="3" t="n">
        <v>45838</v>
      </c>
      <c r="C1595" s="2" t="inlineStr">
        <is>
          <t>C0330</t>
        </is>
      </c>
      <c r="D1595" s="2" t="inlineStr">
        <is>
          <t>L01</t>
        </is>
      </c>
      <c r="E1595" s="2" t="inlineStr">
        <is>
          <t>Entregue</t>
        </is>
      </c>
      <c r="F1595" s="2" t="inlineStr">
        <is>
          <t>Cartão de débito</t>
        </is>
      </c>
      <c r="G1595" s="19" t="n">
        <v>0</v>
      </c>
    </row>
    <row r="1596">
      <c r="A1596" s="2" t="inlineStr">
        <is>
          <t>PED01595</t>
        </is>
      </c>
      <c r="B1596" s="3" t="n">
        <v>45877</v>
      </c>
      <c r="C1596" s="2" t="inlineStr">
        <is>
          <t>C0156</t>
        </is>
      </c>
      <c r="D1596" s="2" t="inlineStr">
        <is>
          <t>L08</t>
        </is>
      </c>
      <c r="E1596" s="2" t="inlineStr">
        <is>
          <t>Em processamento</t>
        </is>
      </c>
      <c r="F1596" s="2" t="inlineStr">
        <is>
          <t>Transferência</t>
        </is>
      </c>
      <c r="G1596" s="19" t="n">
        <v>0.05</v>
      </c>
    </row>
    <row r="1597">
      <c r="A1597" s="2" t="inlineStr">
        <is>
          <t>PED01596</t>
        </is>
      </c>
      <c r="B1597" s="3" t="n">
        <v>45499</v>
      </c>
      <c r="C1597" s="2" t="inlineStr">
        <is>
          <t>C0310</t>
        </is>
      </c>
      <c r="D1597" s="2" t="inlineStr">
        <is>
          <t>L08</t>
        </is>
      </c>
      <c r="E1597" s="2" t="inlineStr">
        <is>
          <t>Entregue</t>
        </is>
      </c>
      <c r="F1597" s="2" t="inlineStr">
        <is>
          <t>Pix</t>
        </is>
      </c>
      <c r="G1597" s="19" t="n">
        <v>0</v>
      </c>
    </row>
    <row r="1598">
      <c r="A1598" s="2" t="inlineStr">
        <is>
          <t>PED01597</t>
        </is>
      </c>
      <c r="B1598" s="3" t="n">
        <v>45398</v>
      </c>
      <c r="C1598" s="2" t="inlineStr">
        <is>
          <t>C0208</t>
        </is>
      </c>
      <c r="D1598" s="2" t="inlineStr">
        <is>
          <t>L08</t>
        </is>
      </c>
      <c r="E1598" s="2" t="inlineStr">
        <is>
          <t>Entregue</t>
        </is>
      </c>
      <c r="F1598" s="2" t="inlineStr">
        <is>
          <t>Cartão de débito</t>
        </is>
      </c>
      <c r="G1598" s="19" t="n">
        <v>0</v>
      </c>
    </row>
    <row r="1599">
      <c r="A1599" s="2" t="inlineStr">
        <is>
          <t>PED01598</t>
        </is>
      </c>
      <c r="B1599" s="3" t="n">
        <v>45533</v>
      </c>
      <c r="C1599" s="2" t="inlineStr">
        <is>
          <t>C0222</t>
        </is>
      </c>
      <c r="D1599" s="2" t="inlineStr">
        <is>
          <t>L06</t>
        </is>
      </c>
      <c r="E1599" s="2" t="inlineStr">
        <is>
          <t>Entregue</t>
        </is>
      </c>
      <c r="F1599" s="2" t="inlineStr">
        <is>
          <t>Cartão de débito</t>
        </is>
      </c>
      <c r="G1599" s="19" t="n">
        <v>0</v>
      </c>
    </row>
    <row r="1600">
      <c r="A1600" s="2" t="inlineStr">
        <is>
          <t>PED01599</t>
        </is>
      </c>
      <c r="B1600" s="3" t="n">
        <v>45303</v>
      </c>
      <c r="C1600" s="2" t="inlineStr">
        <is>
          <t>C0292</t>
        </is>
      </c>
      <c r="D1600" s="2" t="inlineStr">
        <is>
          <t>L04</t>
        </is>
      </c>
      <c r="E1600" s="2" t="inlineStr">
        <is>
          <t>Entregue</t>
        </is>
      </c>
      <c r="F1600" s="2" t="inlineStr">
        <is>
          <t>Cartão de crédito</t>
        </is>
      </c>
      <c r="G1600" s="19" t="n">
        <v>0.1</v>
      </c>
    </row>
    <row r="1601">
      <c r="A1601" s="2" t="inlineStr">
        <is>
          <t>PED01600</t>
        </is>
      </c>
      <c r="B1601" s="3" t="n">
        <v>45909</v>
      </c>
      <c r="C1601" s="2" t="inlineStr">
        <is>
          <t>C0254</t>
        </is>
      </c>
      <c r="D1601" s="2" t="inlineStr">
        <is>
          <t>L07</t>
        </is>
      </c>
      <c r="E1601" s="2" t="inlineStr">
        <is>
          <t>Entregue</t>
        </is>
      </c>
      <c r="F1601" s="2" t="inlineStr">
        <is>
          <t>Cartão de crédito</t>
        </is>
      </c>
      <c r="G1601" s="19" t="n">
        <v>0</v>
      </c>
    </row>
    <row r="1602">
      <c r="A1602" s="2" t="inlineStr">
        <is>
          <t>PED01601</t>
        </is>
      </c>
      <c r="B1602" s="3" t="n">
        <v>45688</v>
      </c>
      <c r="C1602" s="2" t="inlineStr">
        <is>
          <t>C0169</t>
        </is>
      </c>
      <c r="D1602" s="2" t="inlineStr">
        <is>
          <t>L08</t>
        </is>
      </c>
      <c r="E1602" s="2" t="inlineStr">
        <is>
          <t>Entregue</t>
        </is>
      </c>
      <c r="F1602" s="2" t="inlineStr">
        <is>
          <t>Pix</t>
        </is>
      </c>
      <c r="G1602" s="19" t="n">
        <v>0</v>
      </c>
    </row>
    <row r="1603">
      <c r="A1603" s="2" t="inlineStr">
        <is>
          <t>PED01602</t>
        </is>
      </c>
      <c r="B1603" s="3" t="n">
        <v>45336</v>
      </c>
      <c r="C1603" s="2" t="inlineStr">
        <is>
          <t>C0003</t>
        </is>
      </c>
      <c r="D1603" s="2" t="inlineStr">
        <is>
          <t>L03</t>
        </is>
      </c>
      <c r="E1603" s="2" t="inlineStr">
        <is>
          <t>Entregue</t>
        </is>
      </c>
      <c r="F1603" s="2" t="inlineStr">
        <is>
          <t>Cartão de crédito</t>
        </is>
      </c>
      <c r="G1603" s="19" t="n">
        <v>0.05</v>
      </c>
    </row>
    <row r="1604">
      <c r="A1604" s="2" t="inlineStr">
        <is>
          <t>PED01603</t>
        </is>
      </c>
      <c r="B1604" s="3" t="n">
        <v>45309</v>
      </c>
      <c r="C1604" s="2" t="inlineStr">
        <is>
          <t>C0073</t>
        </is>
      </c>
      <c r="D1604" s="2" t="inlineStr">
        <is>
          <t>L04</t>
        </is>
      </c>
      <c r="E1604" s="2" t="inlineStr">
        <is>
          <t>Entregue</t>
        </is>
      </c>
      <c r="F1604" s="2" t="inlineStr">
        <is>
          <t>Pix</t>
        </is>
      </c>
      <c r="G1604" s="19" t="n">
        <v>0.1</v>
      </c>
    </row>
    <row r="1605">
      <c r="A1605" s="2" t="inlineStr">
        <is>
          <t>PED01604</t>
        </is>
      </c>
      <c r="B1605" s="3" t="n">
        <v>45467</v>
      </c>
      <c r="C1605" s="2" t="inlineStr">
        <is>
          <t>C0293</t>
        </is>
      </c>
      <c r="D1605" s="2" t="inlineStr">
        <is>
          <t>L01</t>
        </is>
      </c>
      <c r="E1605" s="2" t="inlineStr">
        <is>
          <t>Entregue</t>
        </is>
      </c>
      <c r="F1605" s="2" t="inlineStr">
        <is>
          <t>Cartão de crédito</t>
        </is>
      </c>
      <c r="G1605" s="19" t="n">
        <v>0</v>
      </c>
    </row>
    <row r="1606">
      <c r="A1606" s="2" t="inlineStr">
        <is>
          <t>PED01605</t>
        </is>
      </c>
      <c r="B1606" s="3" t="n">
        <v>45468</v>
      </c>
      <c r="C1606" s="2" t="inlineStr">
        <is>
          <t>C0198</t>
        </is>
      </c>
      <c r="D1606" s="2" t="inlineStr">
        <is>
          <t>L07</t>
        </is>
      </c>
      <c r="E1606" s="2" t="inlineStr">
        <is>
          <t>Entregue</t>
        </is>
      </c>
      <c r="F1606" s="2" t="inlineStr">
        <is>
          <t>Cartão de débito</t>
        </is>
      </c>
      <c r="G1606" s="19" t="n">
        <v>0.05</v>
      </c>
    </row>
    <row r="1607">
      <c r="A1607" s="2" t="inlineStr">
        <is>
          <t>PED01606</t>
        </is>
      </c>
      <c r="B1607" s="3" t="n">
        <v>45998</v>
      </c>
      <c r="C1607" s="2" t="inlineStr">
        <is>
          <t>C0048</t>
        </is>
      </c>
      <c r="D1607" s="2" t="inlineStr">
        <is>
          <t>L05</t>
        </is>
      </c>
      <c r="E1607" s="2" t="inlineStr">
        <is>
          <t>Entregue</t>
        </is>
      </c>
      <c r="F1607" s="2" t="inlineStr">
        <is>
          <t>Boleto</t>
        </is>
      </c>
      <c r="G1607" s="19" t="n">
        <v>0.15</v>
      </c>
    </row>
    <row r="1608">
      <c r="A1608" s="2" t="inlineStr">
        <is>
          <t>PED01607</t>
        </is>
      </c>
      <c r="B1608" s="3" t="n">
        <v>45505</v>
      </c>
      <c r="C1608" s="2" t="inlineStr">
        <is>
          <t>C0186</t>
        </is>
      </c>
      <c r="D1608" s="2" t="inlineStr">
        <is>
          <t>L05</t>
        </is>
      </c>
      <c r="E1608" s="2" t="inlineStr">
        <is>
          <t>Entregue</t>
        </is>
      </c>
      <c r="F1608" s="2" t="inlineStr">
        <is>
          <t>Cartão de crédito</t>
        </is>
      </c>
      <c r="G1608" s="19" t="n">
        <v>0</v>
      </c>
    </row>
    <row r="1609">
      <c r="A1609" s="2" t="inlineStr">
        <is>
          <t>PED01608</t>
        </is>
      </c>
      <c r="B1609" s="3" t="n">
        <v>45974</v>
      </c>
      <c r="C1609" s="2" t="inlineStr">
        <is>
          <t>C0138</t>
        </is>
      </c>
      <c r="D1609" s="2" t="inlineStr">
        <is>
          <t>L04</t>
        </is>
      </c>
      <c r="E1609" s="2" t="inlineStr">
        <is>
          <t>Entregue</t>
        </is>
      </c>
      <c r="F1609" s="2" t="inlineStr">
        <is>
          <t>Cartão de crédito</t>
        </is>
      </c>
      <c r="G1609" s="19" t="n">
        <v>0.1</v>
      </c>
    </row>
    <row r="1610">
      <c r="A1610" s="2" t="inlineStr">
        <is>
          <t>PED01609</t>
        </is>
      </c>
      <c r="B1610" s="3" t="n">
        <v>45538</v>
      </c>
      <c r="C1610" s="2" t="inlineStr">
        <is>
          <t>C0079</t>
        </is>
      </c>
      <c r="D1610" s="2" t="inlineStr">
        <is>
          <t>L01</t>
        </is>
      </c>
      <c r="E1610" s="2" t="inlineStr">
        <is>
          <t>Cancelado</t>
        </is>
      </c>
      <c r="F1610" s="2" t="inlineStr">
        <is>
          <t>Cartão de débito</t>
        </is>
      </c>
      <c r="G1610" s="19" t="n">
        <v>0.03</v>
      </c>
    </row>
    <row r="1611">
      <c r="A1611" s="2" t="inlineStr">
        <is>
          <t>PED01610</t>
        </is>
      </c>
      <c r="B1611" s="3" t="n">
        <v>45710</v>
      </c>
      <c r="C1611" s="2" t="inlineStr">
        <is>
          <t>C0313</t>
        </is>
      </c>
      <c r="D1611" s="2" t="inlineStr">
        <is>
          <t>L04</t>
        </is>
      </c>
      <c r="E1611" s="2" t="inlineStr">
        <is>
          <t>Entregue</t>
        </is>
      </c>
      <c r="F1611" s="2" t="inlineStr">
        <is>
          <t>Cartão de crédito</t>
        </is>
      </c>
      <c r="G1611" s="19" t="n">
        <v>0</v>
      </c>
    </row>
    <row r="1612">
      <c r="A1612" s="2" t="inlineStr">
        <is>
          <t>PED01611</t>
        </is>
      </c>
      <c r="B1612" s="3" t="n">
        <v>45567</v>
      </c>
      <c r="C1612" s="2" t="inlineStr">
        <is>
          <t>C0206</t>
        </is>
      </c>
      <c r="D1612" s="2" t="inlineStr">
        <is>
          <t>L08</t>
        </is>
      </c>
      <c r="E1612" s="2" t="inlineStr">
        <is>
          <t>Entregue</t>
        </is>
      </c>
      <c r="F1612" s="2" t="inlineStr">
        <is>
          <t>Cartão de débito</t>
        </is>
      </c>
      <c r="G1612" s="19" t="n">
        <v>0</v>
      </c>
    </row>
    <row r="1613">
      <c r="A1613" s="2" t="inlineStr">
        <is>
          <t>PED01612</t>
        </is>
      </c>
      <c r="B1613" s="3" t="n">
        <v>45492</v>
      </c>
      <c r="C1613" s="2" t="inlineStr">
        <is>
          <t>C0291</t>
        </is>
      </c>
      <c r="D1613" s="2" t="inlineStr">
        <is>
          <t>L01</t>
        </is>
      </c>
      <c r="E1613" s="2" t="inlineStr">
        <is>
          <t>Entregue</t>
        </is>
      </c>
      <c r="F1613" s="2" t="inlineStr">
        <is>
          <t>Cartão de crédito</t>
        </is>
      </c>
      <c r="G1613" s="19" t="n">
        <v>0.1</v>
      </c>
    </row>
    <row r="1614">
      <c r="A1614" s="2" t="inlineStr">
        <is>
          <t>PED01613</t>
        </is>
      </c>
      <c r="B1614" s="3" t="n">
        <v>45994</v>
      </c>
      <c r="C1614" s="2" t="inlineStr">
        <is>
          <t>C0003</t>
        </is>
      </c>
      <c r="D1614" s="2" t="inlineStr">
        <is>
          <t>L04</t>
        </is>
      </c>
      <c r="E1614" s="2" t="inlineStr">
        <is>
          <t>Entregue</t>
        </is>
      </c>
      <c r="F1614" s="2" t="inlineStr">
        <is>
          <t>Pix</t>
        </is>
      </c>
      <c r="G1614" s="19" t="n">
        <v>0.03</v>
      </c>
    </row>
    <row r="1615">
      <c r="A1615" s="2" t="inlineStr">
        <is>
          <t>PED01614</t>
        </is>
      </c>
      <c r="B1615" s="3" t="n">
        <v>45599</v>
      </c>
      <c r="C1615" s="2" t="inlineStr">
        <is>
          <t>C0176</t>
        </is>
      </c>
      <c r="D1615" s="2" t="inlineStr">
        <is>
          <t>L01</t>
        </is>
      </c>
      <c r="E1615" s="2" t="inlineStr">
        <is>
          <t>Entregue</t>
        </is>
      </c>
      <c r="F1615" s="2" t="inlineStr">
        <is>
          <t>Transferência</t>
        </is>
      </c>
      <c r="G1615" s="19" t="n">
        <v>0</v>
      </c>
    </row>
    <row r="1616">
      <c r="A1616" s="2" t="inlineStr">
        <is>
          <t>PED01615</t>
        </is>
      </c>
      <c r="B1616" s="3" t="n">
        <v>45767</v>
      </c>
      <c r="C1616" s="2" t="inlineStr">
        <is>
          <t>C0306</t>
        </is>
      </c>
      <c r="D1616" s="2" t="inlineStr">
        <is>
          <t>L05</t>
        </is>
      </c>
      <c r="E1616" s="2" t="inlineStr">
        <is>
          <t>Entregue</t>
        </is>
      </c>
      <c r="F1616" s="2" t="inlineStr">
        <is>
          <t>Cartão de débito</t>
        </is>
      </c>
      <c r="G1616" s="19" t="n">
        <v>0.05</v>
      </c>
    </row>
    <row r="1617">
      <c r="A1617" s="2" t="inlineStr">
        <is>
          <t>PED01616</t>
        </is>
      </c>
      <c r="B1617" s="3" t="n">
        <v>45702</v>
      </c>
      <c r="C1617" s="2" t="inlineStr">
        <is>
          <t>C0184</t>
        </is>
      </c>
      <c r="D1617" s="2" t="inlineStr">
        <is>
          <t>L03</t>
        </is>
      </c>
      <c r="E1617" s="2" t="inlineStr">
        <is>
          <t>Cancelado</t>
        </is>
      </c>
      <c r="F1617" s="2" t="inlineStr">
        <is>
          <t>Cartão de débito</t>
        </is>
      </c>
      <c r="G1617" s="19" t="n">
        <v>0</v>
      </c>
    </row>
    <row r="1618">
      <c r="A1618" s="2" t="inlineStr">
        <is>
          <t>PED01617</t>
        </is>
      </c>
      <c r="B1618" s="3" t="n">
        <v>45799</v>
      </c>
      <c r="C1618" s="2" t="inlineStr">
        <is>
          <t>C0115</t>
        </is>
      </c>
      <c r="D1618" s="2" t="inlineStr">
        <is>
          <t>L04</t>
        </is>
      </c>
      <c r="E1618" s="2" t="inlineStr">
        <is>
          <t>Entregue</t>
        </is>
      </c>
      <c r="F1618" s="2" t="inlineStr">
        <is>
          <t>Cartão de débito</t>
        </is>
      </c>
      <c r="G1618" s="19" t="n">
        <v>0</v>
      </c>
    </row>
    <row r="1619">
      <c r="A1619" s="2" t="inlineStr">
        <is>
          <t>PED01618</t>
        </is>
      </c>
      <c r="B1619" s="3" t="n">
        <v>45932</v>
      </c>
      <c r="C1619" s="2" t="inlineStr">
        <is>
          <t>C0042</t>
        </is>
      </c>
      <c r="D1619" s="2" t="inlineStr">
        <is>
          <t>L04</t>
        </is>
      </c>
      <c r="E1619" s="2" t="inlineStr">
        <is>
          <t>Entregue</t>
        </is>
      </c>
      <c r="F1619" s="2" t="inlineStr">
        <is>
          <t>Pix</t>
        </is>
      </c>
      <c r="G1619" s="19" t="n">
        <v>0.05</v>
      </c>
    </row>
    <row r="1620">
      <c r="A1620" s="2" t="inlineStr">
        <is>
          <t>PED01619</t>
        </is>
      </c>
      <c r="B1620" s="3" t="n">
        <v>45545</v>
      </c>
      <c r="C1620" s="2" t="inlineStr">
        <is>
          <t>C0227</t>
        </is>
      </c>
      <c r="D1620" s="2" t="inlineStr">
        <is>
          <t>L05</t>
        </is>
      </c>
      <c r="E1620" s="2" t="inlineStr">
        <is>
          <t>Entregue</t>
        </is>
      </c>
      <c r="F1620" s="2" t="inlineStr">
        <is>
          <t>Transferência</t>
        </is>
      </c>
      <c r="G1620" s="19" t="n">
        <v>0</v>
      </c>
    </row>
    <row r="1621">
      <c r="A1621" s="2" t="inlineStr">
        <is>
          <t>PED01620</t>
        </is>
      </c>
      <c r="B1621" s="3" t="n">
        <v>45725</v>
      </c>
      <c r="C1621" s="2" t="inlineStr">
        <is>
          <t>C0086</t>
        </is>
      </c>
      <c r="D1621" s="2" t="inlineStr">
        <is>
          <t>L07</t>
        </is>
      </c>
      <c r="E1621" s="2" t="inlineStr">
        <is>
          <t>Entregue</t>
        </is>
      </c>
      <c r="F1621" s="2" t="inlineStr">
        <is>
          <t>Pix</t>
        </is>
      </c>
      <c r="G1621" s="19" t="n">
        <v>0.05</v>
      </c>
    </row>
    <row r="1622">
      <c r="A1622" s="2" t="inlineStr">
        <is>
          <t>PED01621</t>
        </is>
      </c>
      <c r="B1622" s="3" t="n">
        <v>45962</v>
      </c>
      <c r="C1622" s="2" t="inlineStr">
        <is>
          <t>C0227</t>
        </is>
      </c>
      <c r="D1622" s="2" t="inlineStr">
        <is>
          <t>L07</t>
        </is>
      </c>
      <c r="E1622" s="2" t="inlineStr">
        <is>
          <t>Entregue</t>
        </is>
      </c>
      <c r="F1622" s="2" t="inlineStr">
        <is>
          <t>Cartão de crédito</t>
        </is>
      </c>
      <c r="G1622" s="19" t="n">
        <v>0.1</v>
      </c>
    </row>
    <row r="1623">
      <c r="A1623" s="2" t="inlineStr">
        <is>
          <t>PED01622</t>
        </is>
      </c>
      <c r="B1623" s="3" t="n">
        <v>45925</v>
      </c>
      <c r="C1623" s="2" t="inlineStr">
        <is>
          <t>C0307</t>
        </is>
      </c>
      <c r="D1623" s="2" t="inlineStr">
        <is>
          <t>L06</t>
        </is>
      </c>
      <c r="E1623" s="2" t="inlineStr">
        <is>
          <t>Em processamento</t>
        </is>
      </c>
      <c r="F1623" s="2" t="inlineStr">
        <is>
          <t>Cartão de crédito</t>
        </is>
      </c>
      <c r="G1623" s="19" t="n">
        <v>0.03</v>
      </c>
    </row>
    <row r="1624">
      <c r="A1624" s="2" t="inlineStr">
        <is>
          <t>PED01623</t>
        </is>
      </c>
      <c r="B1624" s="3" t="n">
        <v>45922</v>
      </c>
      <c r="C1624" s="2" t="inlineStr">
        <is>
          <t>C0303</t>
        </is>
      </c>
      <c r="D1624" s="2" t="inlineStr">
        <is>
          <t>L03</t>
        </is>
      </c>
      <c r="E1624" s="2" t="inlineStr">
        <is>
          <t>Em processamento</t>
        </is>
      </c>
      <c r="F1624" s="2" t="inlineStr">
        <is>
          <t>Pix</t>
        </is>
      </c>
      <c r="G1624" s="19" t="n">
        <v>0.05</v>
      </c>
    </row>
    <row r="1625">
      <c r="A1625" s="2" t="inlineStr">
        <is>
          <t>PED01624</t>
        </is>
      </c>
      <c r="B1625" s="3" t="n">
        <v>45861</v>
      </c>
      <c r="C1625" s="2" t="inlineStr">
        <is>
          <t>C0272</t>
        </is>
      </c>
      <c r="D1625" s="2" t="inlineStr">
        <is>
          <t>L01</t>
        </is>
      </c>
      <c r="E1625" s="2" t="inlineStr">
        <is>
          <t>Entregue</t>
        </is>
      </c>
      <c r="F1625" s="2" t="inlineStr">
        <is>
          <t>Cartão de crédito</t>
        </is>
      </c>
      <c r="G1625" s="19" t="n">
        <v>0.1</v>
      </c>
    </row>
    <row r="1626">
      <c r="A1626" s="2" t="inlineStr">
        <is>
          <t>PED01625</t>
        </is>
      </c>
      <c r="B1626" s="3" t="n">
        <v>45471</v>
      </c>
      <c r="C1626" s="2" t="inlineStr">
        <is>
          <t>C0122</t>
        </is>
      </c>
      <c r="D1626" s="2" t="inlineStr">
        <is>
          <t>L02</t>
        </is>
      </c>
      <c r="E1626" s="2" t="inlineStr">
        <is>
          <t>Entregue</t>
        </is>
      </c>
      <c r="F1626" s="2" t="inlineStr">
        <is>
          <t>Pix</t>
        </is>
      </c>
      <c r="G1626" s="19" t="n">
        <v>0</v>
      </c>
    </row>
    <row r="1627">
      <c r="A1627" s="2" t="inlineStr">
        <is>
          <t>PED01626</t>
        </is>
      </c>
      <c r="B1627" s="3" t="n">
        <v>45896</v>
      </c>
      <c r="C1627" s="2" t="inlineStr">
        <is>
          <t>C0013</t>
        </is>
      </c>
      <c r="D1627" s="2" t="inlineStr">
        <is>
          <t>L05</t>
        </is>
      </c>
      <c r="E1627" s="2" t="inlineStr">
        <is>
          <t>Entregue</t>
        </is>
      </c>
      <c r="F1627" s="2" t="inlineStr">
        <is>
          <t>Pix</t>
        </is>
      </c>
      <c r="G1627" s="19" t="n">
        <v>0</v>
      </c>
    </row>
    <row r="1628">
      <c r="A1628" s="2" t="inlineStr">
        <is>
          <t>PED01627</t>
        </is>
      </c>
      <c r="B1628" s="3" t="n">
        <v>45787</v>
      </c>
      <c r="C1628" s="2" t="inlineStr">
        <is>
          <t>C0248</t>
        </is>
      </c>
      <c r="D1628" s="2" t="inlineStr">
        <is>
          <t>L02</t>
        </is>
      </c>
      <c r="E1628" s="2" t="inlineStr">
        <is>
          <t>Entregue</t>
        </is>
      </c>
      <c r="F1628" s="2" t="inlineStr">
        <is>
          <t>Pix</t>
        </is>
      </c>
      <c r="G1628" s="19" t="n">
        <v>0</v>
      </c>
    </row>
    <row r="1629">
      <c r="A1629" s="2" t="inlineStr">
        <is>
          <t>PED01628</t>
        </is>
      </c>
      <c r="B1629" s="3" t="n">
        <v>45911</v>
      </c>
      <c r="C1629" s="2" t="inlineStr">
        <is>
          <t>C0065</t>
        </is>
      </c>
      <c r="D1629" s="2" t="inlineStr">
        <is>
          <t>L07</t>
        </is>
      </c>
      <c r="E1629" s="2" t="inlineStr">
        <is>
          <t>Em processamento</t>
        </is>
      </c>
      <c r="F1629" s="2" t="inlineStr">
        <is>
          <t>Transferência</t>
        </is>
      </c>
      <c r="G1629" s="19" t="n">
        <v>0.1</v>
      </c>
    </row>
    <row r="1630">
      <c r="A1630" s="2" t="inlineStr">
        <is>
          <t>PED01629</t>
        </is>
      </c>
      <c r="B1630" s="3" t="n">
        <v>45392</v>
      </c>
      <c r="C1630" s="2" t="inlineStr">
        <is>
          <t>C0304</t>
        </is>
      </c>
      <c r="D1630" s="2" t="inlineStr">
        <is>
          <t>L04</t>
        </is>
      </c>
      <c r="E1630" s="2" t="inlineStr">
        <is>
          <t>Entregue</t>
        </is>
      </c>
      <c r="F1630" s="2" t="inlineStr">
        <is>
          <t>Boleto</t>
        </is>
      </c>
      <c r="G1630" s="19" t="n">
        <v>0.1</v>
      </c>
    </row>
    <row r="1631">
      <c r="A1631" s="2" t="inlineStr">
        <is>
          <t>PED01630</t>
        </is>
      </c>
      <c r="B1631" s="3" t="n">
        <v>45818</v>
      </c>
      <c r="C1631" s="2" t="inlineStr">
        <is>
          <t>C0350</t>
        </is>
      </c>
      <c r="D1631" s="2" t="inlineStr">
        <is>
          <t>L08</t>
        </is>
      </c>
      <c r="E1631" s="2" t="inlineStr">
        <is>
          <t>Entregue</t>
        </is>
      </c>
      <c r="F1631" s="2" t="inlineStr">
        <is>
          <t>Cartão de crédito</t>
        </is>
      </c>
      <c r="G1631" s="19" t="n">
        <v>0</v>
      </c>
    </row>
    <row r="1632">
      <c r="A1632" s="2" t="inlineStr">
        <is>
          <t>PED01631</t>
        </is>
      </c>
      <c r="B1632" s="3" t="n">
        <v>45541</v>
      </c>
      <c r="C1632" s="2" t="inlineStr">
        <is>
          <t>C0287</t>
        </is>
      </c>
      <c r="D1632" s="2" t="inlineStr">
        <is>
          <t>L08</t>
        </is>
      </c>
      <c r="E1632" s="2" t="inlineStr">
        <is>
          <t>Entregue</t>
        </is>
      </c>
      <c r="F1632" s="2" t="inlineStr">
        <is>
          <t>Pix</t>
        </is>
      </c>
      <c r="G1632" s="19" t="n">
        <v>0</v>
      </c>
    </row>
    <row r="1633">
      <c r="A1633" s="2" t="inlineStr">
        <is>
          <t>PED01632</t>
        </is>
      </c>
      <c r="B1633" s="3" t="n">
        <v>45762</v>
      </c>
      <c r="C1633" s="2" t="inlineStr">
        <is>
          <t>C0348</t>
        </is>
      </c>
      <c r="D1633" s="2" t="inlineStr">
        <is>
          <t>L06</t>
        </is>
      </c>
      <c r="E1633" s="2" t="inlineStr">
        <is>
          <t>Entregue</t>
        </is>
      </c>
      <c r="F1633" s="2" t="inlineStr">
        <is>
          <t>Pix</t>
        </is>
      </c>
      <c r="G1633" s="19" t="n">
        <v>0.05</v>
      </c>
    </row>
    <row r="1634">
      <c r="A1634" s="2" t="inlineStr">
        <is>
          <t>PED01633</t>
        </is>
      </c>
      <c r="B1634" s="3" t="n">
        <v>45369</v>
      </c>
      <c r="C1634" s="2" t="inlineStr">
        <is>
          <t>C0125</t>
        </is>
      </c>
      <c r="D1634" s="2" t="inlineStr">
        <is>
          <t>L03</t>
        </is>
      </c>
      <c r="E1634" s="2" t="inlineStr">
        <is>
          <t>Entregue</t>
        </is>
      </c>
      <c r="F1634" s="2" t="inlineStr">
        <is>
          <t>Pix</t>
        </is>
      </c>
      <c r="G1634" s="19" t="n">
        <v>0.1</v>
      </c>
    </row>
    <row r="1635">
      <c r="A1635" s="2" t="inlineStr">
        <is>
          <t>PED01634</t>
        </is>
      </c>
      <c r="B1635" s="3" t="n">
        <v>45392</v>
      </c>
      <c r="C1635" s="2" t="inlineStr">
        <is>
          <t>C0121</t>
        </is>
      </c>
      <c r="D1635" s="2" t="inlineStr">
        <is>
          <t>L03</t>
        </is>
      </c>
      <c r="E1635" s="2" t="inlineStr">
        <is>
          <t>Entregue</t>
        </is>
      </c>
      <c r="F1635" s="2" t="inlineStr">
        <is>
          <t>Pix</t>
        </is>
      </c>
      <c r="G1635" s="19" t="n">
        <v>0</v>
      </c>
    </row>
    <row r="1636">
      <c r="A1636" s="2" t="inlineStr">
        <is>
          <t>PED01635</t>
        </is>
      </c>
      <c r="B1636" s="3" t="n">
        <v>45870</v>
      </c>
      <c r="C1636" s="2" t="inlineStr">
        <is>
          <t>C0347</t>
        </is>
      </c>
      <c r="D1636" s="2" t="inlineStr">
        <is>
          <t>L02</t>
        </is>
      </c>
      <c r="E1636" s="2" t="inlineStr">
        <is>
          <t>Entregue</t>
        </is>
      </c>
      <c r="F1636" s="2" t="inlineStr">
        <is>
          <t>Cartão de débito</t>
        </is>
      </c>
      <c r="G1636" s="19" t="n">
        <v>0.15</v>
      </c>
    </row>
    <row r="1637">
      <c r="A1637" s="2" t="inlineStr">
        <is>
          <t>PED01636</t>
        </is>
      </c>
      <c r="B1637" s="3" t="n">
        <v>45424</v>
      </c>
      <c r="C1637" s="2" t="inlineStr">
        <is>
          <t>C0042</t>
        </is>
      </c>
      <c r="D1637" s="2" t="inlineStr">
        <is>
          <t>L05</t>
        </is>
      </c>
      <c r="E1637" s="2" t="inlineStr">
        <is>
          <t>Entregue</t>
        </is>
      </c>
      <c r="F1637" s="2" t="inlineStr">
        <is>
          <t>Pix</t>
        </is>
      </c>
      <c r="G1637" s="19" t="n">
        <v>0</v>
      </c>
    </row>
    <row r="1638">
      <c r="A1638" s="2" t="inlineStr">
        <is>
          <t>PED01637</t>
        </is>
      </c>
      <c r="B1638" s="3" t="n">
        <v>45320</v>
      </c>
      <c r="C1638" s="2" t="inlineStr">
        <is>
          <t>C0335</t>
        </is>
      </c>
      <c r="D1638" s="2" t="inlineStr">
        <is>
          <t>L06</t>
        </is>
      </c>
      <c r="E1638" s="2" t="inlineStr">
        <is>
          <t>Entregue</t>
        </is>
      </c>
      <c r="F1638" s="2" t="inlineStr">
        <is>
          <t>Pix</t>
        </is>
      </c>
      <c r="G1638" s="19" t="n">
        <v>0</v>
      </c>
    </row>
    <row r="1639">
      <c r="A1639" s="2" t="inlineStr">
        <is>
          <t>PED01638</t>
        </is>
      </c>
      <c r="B1639" s="3" t="n">
        <v>45664</v>
      </c>
      <c r="C1639" s="2" t="inlineStr">
        <is>
          <t>C0216</t>
        </is>
      </c>
      <c r="D1639" s="2" t="inlineStr">
        <is>
          <t>L08</t>
        </is>
      </c>
      <c r="E1639" s="2" t="inlineStr">
        <is>
          <t>Entregue</t>
        </is>
      </c>
      <c r="F1639" s="2" t="inlineStr">
        <is>
          <t>Cartão de crédito</t>
        </is>
      </c>
      <c r="G1639" s="19" t="n">
        <v>0</v>
      </c>
    </row>
    <row r="1640">
      <c r="A1640" s="2" t="inlineStr">
        <is>
          <t>PED01639</t>
        </is>
      </c>
      <c r="B1640" s="3" t="n">
        <v>45727</v>
      </c>
      <c r="C1640" s="2" t="inlineStr">
        <is>
          <t>C0124</t>
        </is>
      </c>
      <c r="D1640" s="2" t="inlineStr">
        <is>
          <t>L06</t>
        </is>
      </c>
      <c r="E1640" s="2" t="inlineStr">
        <is>
          <t>Entregue</t>
        </is>
      </c>
      <c r="F1640" s="2" t="inlineStr">
        <is>
          <t>Pix</t>
        </is>
      </c>
      <c r="G1640" s="19" t="n">
        <v>0</v>
      </c>
    </row>
    <row r="1641">
      <c r="A1641" s="2" t="inlineStr">
        <is>
          <t>PED01640</t>
        </is>
      </c>
      <c r="B1641" s="3" t="n">
        <v>45339</v>
      </c>
      <c r="C1641" s="2" t="inlineStr">
        <is>
          <t>C0085</t>
        </is>
      </c>
      <c r="D1641" s="2" t="inlineStr">
        <is>
          <t>L03</t>
        </is>
      </c>
      <c r="E1641" s="2" t="inlineStr">
        <is>
          <t>Entregue</t>
        </is>
      </c>
      <c r="F1641" s="2" t="inlineStr">
        <is>
          <t>Cartão de crédito</t>
        </is>
      </c>
      <c r="G1641" s="19" t="n">
        <v>0.05</v>
      </c>
    </row>
    <row r="1642">
      <c r="A1642" s="2" t="inlineStr">
        <is>
          <t>PED01641</t>
        </is>
      </c>
      <c r="B1642" s="3" t="n">
        <v>45979</v>
      </c>
      <c r="C1642" s="2" t="inlineStr">
        <is>
          <t>C0053</t>
        </is>
      </c>
      <c r="D1642" s="2" t="inlineStr">
        <is>
          <t>L06</t>
        </is>
      </c>
      <c r="E1642" s="2" t="inlineStr">
        <is>
          <t>Entregue</t>
        </is>
      </c>
      <c r="F1642" s="2" t="inlineStr">
        <is>
          <t>Cartão de crédito</t>
        </is>
      </c>
      <c r="G1642" s="19" t="n">
        <v>0</v>
      </c>
    </row>
    <row r="1643">
      <c r="A1643" s="2" t="inlineStr">
        <is>
          <t>PED01642</t>
        </is>
      </c>
      <c r="B1643" s="3" t="n">
        <v>45548</v>
      </c>
      <c r="C1643" s="2" t="inlineStr">
        <is>
          <t>C0199</t>
        </is>
      </c>
      <c r="D1643" s="2" t="inlineStr">
        <is>
          <t>L06</t>
        </is>
      </c>
      <c r="E1643" s="2" t="inlineStr">
        <is>
          <t>Entregue</t>
        </is>
      </c>
      <c r="F1643" s="2" t="inlineStr">
        <is>
          <t>Transferência</t>
        </is>
      </c>
      <c r="G1643" s="19" t="n">
        <v>0</v>
      </c>
    </row>
    <row r="1644">
      <c r="A1644" s="2" t="inlineStr">
        <is>
          <t>PED01643</t>
        </is>
      </c>
      <c r="B1644" s="3" t="n">
        <v>45320</v>
      </c>
      <c r="C1644" s="2" t="inlineStr">
        <is>
          <t>C0143</t>
        </is>
      </c>
      <c r="D1644" s="2" t="inlineStr">
        <is>
          <t>L04</t>
        </is>
      </c>
      <c r="E1644" s="2" t="inlineStr">
        <is>
          <t>Entregue</t>
        </is>
      </c>
      <c r="F1644" s="2" t="inlineStr">
        <is>
          <t>Cartão de crédito</t>
        </is>
      </c>
      <c r="G1644" s="19" t="n">
        <v>0.05</v>
      </c>
    </row>
    <row r="1645">
      <c r="A1645" s="2" t="inlineStr">
        <is>
          <t>PED01644</t>
        </is>
      </c>
      <c r="B1645" s="3" t="n">
        <v>46015</v>
      </c>
      <c r="C1645" s="2" t="inlineStr">
        <is>
          <t>C0305</t>
        </is>
      </c>
      <c r="D1645" s="2" t="inlineStr">
        <is>
          <t>L02</t>
        </is>
      </c>
      <c r="E1645" s="2" t="inlineStr">
        <is>
          <t>Entregue</t>
        </is>
      </c>
      <c r="F1645" s="2" t="inlineStr">
        <is>
          <t>Pix</t>
        </is>
      </c>
      <c r="G1645" s="19" t="n">
        <v>0.1</v>
      </c>
    </row>
    <row r="1646">
      <c r="A1646" s="2" t="inlineStr">
        <is>
          <t>PED01645</t>
        </is>
      </c>
      <c r="B1646" s="3" t="n">
        <v>45994</v>
      </c>
      <c r="C1646" s="2" t="inlineStr">
        <is>
          <t>C0075</t>
        </is>
      </c>
      <c r="D1646" s="2" t="inlineStr">
        <is>
          <t>L02</t>
        </is>
      </c>
      <c r="E1646" s="2" t="inlineStr">
        <is>
          <t>Entregue</t>
        </is>
      </c>
      <c r="F1646" s="2" t="inlineStr">
        <is>
          <t>Cartão de crédito</t>
        </is>
      </c>
      <c r="G1646" s="19" t="n">
        <v>0</v>
      </c>
    </row>
    <row r="1647">
      <c r="A1647" s="2" t="inlineStr">
        <is>
          <t>PED01646</t>
        </is>
      </c>
      <c r="B1647" s="3" t="n">
        <v>45381</v>
      </c>
      <c r="C1647" s="2" t="inlineStr">
        <is>
          <t>C0275</t>
        </is>
      </c>
      <c r="D1647" s="2" t="inlineStr">
        <is>
          <t>L02</t>
        </is>
      </c>
      <c r="E1647" s="2" t="inlineStr">
        <is>
          <t>Entregue</t>
        </is>
      </c>
      <c r="F1647" s="2" t="inlineStr">
        <is>
          <t>Cartão de crédito</t>
        </is>
      </c>
      <c r="G1647" s="19" t="n">
        <v>0.15</v>
      </c>
    </row>
    <row r="1648">
      <c r="A1648" s="2" t="inlineStr">
        <is>
          <t>PED01647</t>
        </is>
      </c>
      <c r="B1648" s="3" t="n">
        <v>45825</v>
      </c>
      <c r="C1648" s="2" t="inlineStr">
        <is>
          <t>C0336</t>
        </is>
      </c>
      <c r="D1648" s="2" t="inlineStr">
        <is>
          <t>L05</t>
        </is>
      </c>
      <c r="E1648" s="2" t="inlineStr">
        <is>
          <t>Cancelado</t>
        </is>
      </c>
      <c r="F1648" s="2" t="inlineStr">
        <is>
          <t>Cartão de crédito</t>
        </is>
      </c>
      <c r="G1648" s="19" t="n">
        <v>0</v>
      </c>
    </row>
    <row r="1649">
      <c r="A1649" s="2" t="inlineStr">
        <is>
          <t>PED01648</t>
        </is>
      </c>
      <c r="B1649" s="3" t="n">
        <v>45635</v>
      </c>
      <c r="C1649" s="2" t="inlineStr">
        <is>
          <t>C0214</t>
        </is>
      </c>
      <c r="D1649" s="2" t="inlineStr">
        <is>
          <t>L06</t>
        </is>
      </c>
      <c r="E1649" s="2" t="inlineStr">
        <is>
          <t>Entregue</t>
        </is>
      </c>
      <c r="F1649" s="2" t="inlineStr">
        <is>
          <t>Pix</t>
        </is>
      </c>
      <c r="G1649" s="19" t="n">
        <v>0.05</v>
      </c>
    </row>
    <row r="1650">
      <c r="A1650" s="2" t="inlineStr">
        <is>
          <t>PED01649</t>
        </is>
      </c>
      <c r="B1650" s="3" t="n">
        <v>45541</v>
      </c>
      <c r="C1650" s="2" t="inlineStr">
        <is>
          <t>C0049</t>
        </is>
      </c>
      <c r="D1650" s="2" t="inlineStr">
        <is>
          <t>L07</t>
        </is>
      </c>
      <c r="E1650" s="2" t="inlineStr">
        <is>
          <t>Entregue</t>
        </is>
      </c>
      <c r="F1650" s="2" t="inlineStr">
        <is>
          <t>Pix</t>
        </is>
      </c>
      <c r="G1650" s="19" t="n">
        <v>0.05</v>
      </c>
    </row>
    <row r="1651">
      <c r="A1651" s="2" t="inlineStr">
        <is>
          <t>PED01650</t>
        </is>
      </c>
      <c r="B1651" s="3" t="n">
        <v>46019</v>
      </c>
      <c r="C1651" s="2" t="inlineStr">
        <is>
          <t>C0303</t>
        </is>
      </c>
      <c r="D1651" s="2" t="inlineStr">
        <is>
          <t>L01</t>
        </is>
      </c>
      <c r="E1651" s="2" t="inlineStr">
        <is>
          <t>Entregue</t>
        </is>
      </c>
      <c r="F1651" s="2" t="inlineStr">
        <is>
          <t>Transferência</t>
        </is>
      </c>
      <c r="G1651" s="19" t="n">
        <v>0</v>
      </c>
    </row>
    <row r="1652">
      <c r="A1652" s="2" t="inlineStr">
        <is>
          <t>PED01651</t>
        </is>
      </c>
      <c r="B1652" s="3" t="n">
        <v>45370</v>
      </c>
      <c r="C1652" s="2" t="inlineStr">
        <is>
          <t>C0219</t>
        </is>
      </c>
      <c r="D1652" s="2" t="inlineStr">
        <is>
          <t>L08</t>
        </is>
      </c>
      <c r="E1652" s="2" t="inlineStr">
        <is>
          <t>Entregue</t>
        </is>
      </c>
      <c r="F1652" s="2" t="inlineStr">
        <is>
          <t>Cartão de débito</t>
        </is>
      </c>
      <c r="G1652" s="19" t="n">
        <v>0.05</v>
      </c>
    </row>
    <row r="1653">
      <c r="A1653" s="2" t="inlineStr">
        <is>
          <t>PED01652</t>
        </is>
      </c>
      <c r="B1653" s="3" t="n">
        <v>45723</v>
      </c>
      <c r="C1653" s="2" t="inlineStr">
        <is>
          <t>C0062</t>
        </is>
      </c>
      <c r="D1653" s="2" t="inlineStr">
        <is>
          <t>L04</t>
        </is>
      </c>
      <c r="E1653" s="2" t="inlineStr">
        <is>
          <t>Entregue</t>
        </is>
      </c>
      <c r="F1653" s="2" t="inlineStr">
        <is>
          <t>Cartão de crédito</t>
        </is>
      </c>
      <c r="G1653" s="19" t="n">
        <v>0.03</v>
      </c>
    </row>
    <row r="1654">
      <c r="A1654" s="2" t="inlineStr">
        <is>
          <t>PED01653</t>
        </is>
      </c>
      <c r="B1654" s="3" t="n">
        <v>45459</v>
      </c>
      <c r="C1654" s="2" t="inlineStr">
        <is>
          <t>C0308</t>
        </is>
      </c>
      <c r="D1654" s="2" t="inlineStr">
        <is>
          <t>L06</t>
        </is>
      </c>
      <c r="E1654" s="2" t="inlineStr">
        <is>
          <t>Entregue</t>
        </is>
      </c>
      <c r="F1654" s="2" t="inlineStr">
        <is>
          <t>Cartão de crédito</t>
        </is>
      </c>
      <c r="G1654" s="19" t="n">
        <v>0.1</v>
      </c>
    </row>
    <row r="1655">
      <c r="A1655" s="2" t="inlineStr">
        <is>
          <t>PED01654</t>
        </is>
      </c>
      <c r="B1655" s="3" t="n">
        <v>45892</v>
      </c>
      <c r="C1655" s="2" t="inlineStr">
        <is>
          <t>C0281</t>
        </is>
      </c>
      <c r="D1655" s="2" t="inlineStr">
        <is>
          <t>L02</t>
        </is>
      </c>
      <c r="E1655" s="2" t="inlineStr">
        <is>
          <t>Entregue</t>
        </is>
      </c>
      <c r="F1655" s="2" t="inlineStr">
        <is>
          <t>Boleto</t>
        </is>
      </c>
      <c r="G1655" s="19" t="n">
        <v>0.15</v>
      </c>
    </row>
    <row r="1656">
      <c r="A1656" s="2" t="inlineStr">
        <is>
          <t>PED01655</t>
        </is>
      </c>
      <c r="B1656" s="3" t="n">
        <v>45642</v>
      </c>
      <c r="C1656" s="2" t="inlineStr">
        <is>
          <t>C0055</t>
        </is>
      </c>
      <c r="D1656" s="2" t="inlineStr">
        <is>
          <t>L08</t>
        </is>
      </c>
      <c r="E1656" s="2" t="inlineStr">
        <is>
          <t>Entregue</t>
        </is>
      </c>
      <c r="F1656" s="2" t="inlineStr">
        <is>
          <t>Pix</t>
        </is>
      </c>
      <c r="G1656" s="19" t="n">
        <v>0.05</v>
      </c>
    </row>
    <row r="1657">
      <c r="A1657" s="2" t="inlineStr">
        <is>
          <t>PED01656</t>
        </is>
      </c>
      <c r="B1657" s="3" t="n">
        <v>45478</v>
      </c>
      <c r="C1657" s="2" t="inlineStr">
        <is>
          <t>C0097</t>
        </is>
      </c>
      <c r="D1657" s="2" t="inlineStr">
        <is>
          <t>L07</t>
        </is>
      </c>
      <c r="E1657" s="2" t="inlineStr">
        <is>
          <t>Entregue</t>
        </is>
      </c>
      <c r="F1657" s="2" t="inlineStr">
        <is>
          <t>Pix</t>
        </is>
      </c>
      <c r="G1657" s="19" t="n">
        <v>0.03</v>
      </c>
    </row>
    <row r="1658">
      <c r="A1658" s="2" t="inlineStr">
        <is>
          <t>PED01657</t>
        </is>
      </c>
      <c r="B1658" s="3" t="n">
        <v>45617</v>
      </c>
      <c r="C1658" s="2" t="inlineStr">
        <is>
          <t>C0120</t>
        </is>
      </c>
      <c r="D1658" s="2" t="inlineStr">
        <is>
          <t>L02</t>
        </is>
      </c>
      <c r="E1658" s="2" t="inlineStr">
        <is>
          <t>Entregue</t>
        </is>
      </c>
      <c r="F1658" s="2" t="inlineStr">
        <is>
          <t>Pix</t>
        </is>
      </c>
      <c r="G1658" s="19" t="n">
        <v>0</v>
      </c>
    </row>
    <row r="1659">
      <c r="A1659" s="2" t="inlineStr">
        <is>
          <t>PED01658</t>
        </is>
      </c>
      <c r="B1659" s="3" t="n">
        <v>45958</v>
      </c>
      <c r="C1659" s="2" t="inlineStr">
        <is>
          <t>C0301</t>
        </is>
      </c>
      <c r="D1659" s="2" t="inlineStr">
        <is>
          <t>L07</t>
        </is>
      </c>
      <c r="E1659" s="2" t="inlineStr">
        <is>
          <t>Entregue</t>
        </is>
      </c>
      <c r="F1659" s="2" t="inlineStr">
        <is>
          <t>Pix</t>
        </is>
      </c>
      <c r="G1659" s="19" t="n">
        <v>0.1</v>
      </c>
    </row>
    <row r="1660">
      <c r="A1660" s="2" t="inlineStr">
        <is>
          <t>PED01659</t>
        </is>
      </c>
      <c r="B1660" s="3" t="n">
        <v>45763</v>
      </c>
      <c r="C1660" s="2" t="inlineStr">
        <is>
          <t>C0248</t>
        </is>
      </c>
      <c r="D1660" s="2" t="inlineStr">
        <is>
          <t>L04</t>
        </is>
      </c>
      <c r="E1660" s="2" t="inlineStr">
        <is>
          <t>Entregue</t>
        </is>
      </c>
      <c r="F1660" s="2" t="inlineStr">
        <is>
          <t>Boleto</t>
        </is>
      </c>
      <c r="G1660" s="19" t="n">
        <v>0.1</v>
      </c>
    </row>
    <row r="1661">
      <c r="A1661" s="2" t="inlineStr">
        <is>
          <t>PED01660</t>
        </is>
      </c>
      <c r="B1661" s="3" t="n">
        <v>45731</v>
      </c>
      <c r="C1661" s="2" t="inlineStr">
        <is>
          <t>C0232</t>
        </is>
      </c>
      <c r="D1661" s="2" t="inlineStr">
        <is>
          <t>L01</t>
        </is>
      </c>
      <c r="E1661" s="2" t="inlineStr">
        <is>
          <t>Entregue</t>
        </is>
      </c>
      <c r="F1661" s="2" t="inlineStr">
        <is>
          <t>Pix</t>
        </is>
      </c>
      <c r="G1661" s="19" t="n">
        <v>0.03</v>
      </c>
    </row>
    <row r="1662">
      <c r="A1662" s="2" t="inlineStr">
        <is>
          <t>PED01661</t>
        </is>
      </c>
      <c r="B1662" s="3" t="n">
        <v>45466</v>
      </c>
      <c r="C1662" s="2" t="inlineStr">
        <is>
          <t>C0139</t>
        </is>
      </c>
      <c r="D1662" s="2" t="inlineStr">
        <is>
          <t>L02</t>
        </is>
      </c>
      <c r="E1662" s="2" t="inlineStr">
        <is>
          <t>Entregue</t>
        </is>
      </c>
      <c r="F1662" s="2" t="inlineStr">
        <is>
          <t>Cartão de crédito</t>
        </is>
      </c>
      <c r="G1662" s="19" t="n">
        <v>0.1</v>
      </c>
    </row>
    <row r="1663">
      <c r="A1663" s="2" t="inlineStr">
        <is>
          <t>PED01662</t>
        </is>
      </c>
      <c r="B1663" s="3" t="n">
        <v>45956</v>
      </c>
      <c r="C1663" s="2" t="inlineStr">
        <is>
          <t>C0159</t>
        </is>
      </c>
      <c r="D1663" s="2" t="inlineStr">
        <is>
          <t>L05</t>
        </is>
      </c>
      <c r="E1663" s="2" t="inlineStr">
        <is>
          <t>Entregue</t>
        </is>
      </c>
      <c r="F1663" s="2" t="inlineStr">
        <is>
          <t>Pix</t>
        </is>
      </c>
      <c r="G1663" s="19" t="n">
        <v>0.15</v>
      </c>
    </row>
    <row r="1664">
      <c r="A1664" s="2" t="inlineStr">
        <is>
          <t>PED01663</t>
        </is>
      </c>
      <c r="B1664" s="3" t="n">
        <v>45385</v>
      </c>
      <c r="C1664" s="2" t="inlineStr">
        <is>
          <t>C0061</t>
        </is>
      </c>
      <c r="D1664" s="2" t="inlineStr">
        <is>
          <t>L07</t>
        </is>
      </c>
      <c r="E1664" s="2" t="inlineStr">
        <is>
          <t>Entregue</t>
        </is>
      </c>
      <c r="F1664" s="2" t="inlineStr">
        <is>
          <t>Transferência</t>
        </is>
      </c>
      <c r="G1664" s="19" t="n">
        <v>0</v>
      </c>
    </row>
    <row r="1665">
      <c r="A1665" s="2" t="inlineStr">
        <is>
          <t>PED01664</t>
        </is>
      </c>
      <c r="B1665" s="3" t="n">
        <v>45358</v>
      </c>
      <c r="C1665" s="2" t="inlineStr">
        <is>
          <t>C0099</t>
        </is>
      </c>
      <c r="D1665" s="2" t="inlineStr">
        <is>
          <t>L08</t>
        </is>
      </c>
      <c r="E1665" s="2" t="inlineStr">
        <is>
          <t>Entregue</t>
        </is>
      </c>
      <c r="F1665" s="2" t="inlineStr">
        <is>
          <t>Pix</t>
        </is>
      </c>
      <c r="G1665" s="19" t="n">
        <v>0.05</v>
      </c>
    </row>
    <row r="1666">
      <c r="A1666" s="2" t="inlineStr">
        <is>
          <t>PED01665</t>
        </is>
      </c>
      <c r="B1666" s="3" t="n">
        <v>45686</v>
      </c>
      <c r="C1666" s="2" t="inlineStr">
        <is>
          <t>C0039</t>
        </is>
      </c>
      <c r="D1666" s="2" t="inlineStr">
        <is>
          <t>L02</t>
        </is>
      </c>
      <c r="E1666" s="2" t="inlineStr">
        <is>
          <t>Entregue</t>
        </is>
      </c>
      <c r="F1666" s="2" t="inlineStr">
        <is>
          <t>Pix</t>
        </is>
      </c>
      <c r="G1666" s="19" t="n">
        <v>0</v>
      </c>
    </row>
    <row r="1667">
      <c r="A1667" s="2" t="inlineStr">
        <is>
          <t>PED01666</t>
        </is>
      </c>
      <c r="B1667" s="3" t="n">
        <v>45725</v>
      </c>
      <c r="C1667" s="2" t="inlineStr">
        <is>
          <t>C0308</t>
        </is>
      </c>
      <c r="D1667" s="2" t="inlineStr">
        <is>
          <t>L03</t>
        </is>
      </c>
      <c r="E1667" s="2" t="inlineStr">
        <is>
          <t>Entregue</t>
        </is>
      </c>
      <c r="F1667" s="2" t="inlineStr">
        <is>
          <t>Cartão de crédito</t>
        </is>
      </c>
      <c r="G1667" s="19" t="n">
        <v>0</v>
      </c>
    </row>
    <row r="1668">
      <c r="A1668" s="2" t="inlineStr">
        <is>
          <t>PED01667</t>
        </is>
      </c>
      <c r="B1668" s="3" t="n">
        <v>45488</v>
      </c>
      <c r="C1668" s="2" t="inlineStr">
        <is>
          <t>C0312</t>
        </is>
      </c>
      <c r="D1668" s="2" t="inlineStr">
        <is>
          <t>L01</t>
        </is>
      </c>
      <c r="E1668" s="2" t="inlineStr">
        <is>
          <t>Cancelado</t>
        </is>
      </c>
      <c r="F1668" s="2" t="inlineStr">
        <is>
          <t>Cartão de débito</t>
        </is>
      </c>
      <c r="G1668" s="19" t="n">
        <v>0.1</v>
      </c>
    </row>
    <row r="1669">
      <c r="A1669" s="2" t="inlineStr">
        <is>
          <t>PED01668</t>
        </is>
      </c>
      <c r="B1669" s="3" t="n">
        <v>45484</v>
      </c>
      <c r="C1669" s="2" t="inlineStr">
        <is>
          <t>C0139</t>
        </is>
      </c>
      <c r="D1669" s="2" t="inlineStr">
        <is>
          <t>L07</t>
        </is>
      </c>
      <c r="E1669" s="2" t="inlineStr">
        <is>
          <t>Entregue</t>
        </is>
      </c>
      <c r="F1669" s="2" t="inlineStr">
        <is>
          <t>Cartão de débito</t>
        </is>
      </c>
      <c r="G1669" s="19" t="n">
        <v>0.05</v>
      </c>
    </row>
    <row r="1670">
      <c r="A1670" s="2" t="inlineStr">
        <is>
          <t>PED01669</t>
        </is>
      </c>
      <c r="B1670" s="3" t="n">
        <v>45831</v>
      </c>
      <c r="C1670" s="2" t="inlineStr">
        <is>
          <t>C0196</t>
        </is>
      </c>
      <c r="D1670" s="2" t="inlineStr">
        <is>
          <t>L07</t>
        </is>
      </c>
      <c r="E1670" s="2" t="inlineStr">
        <is>
          <t>Em processamento</t>
        </is>
      </c>
      <c r="F1670" s="2" t="inlineStr">
        <is>
          <t>Pix</t>
        </is>
      </c>
      <c r="G1670" s="19" t="n">
        <v>0</v>
      </c>
    </row>
    <row r="1671">
      <c r="A1671" s="2" t="inlineStr">
        <is>
          <t>PED01670</t>
        </is>
      </c>
      <c r="B1671" s="3" t="n">
        <v>45927</v>
      </c>
      <c r="C1671" s="2" t="inlineStr">
        <is>
          <t>C0069</t>
        </is>
      </c>
      <c r="D1671" s="2" t="inlineStr">
        <is>
          <t>L06</t>
        </is>
      </c>
      <c r="E1671" s="2" t="inlineStr">
        <is>
          <t>Entregue</t>
        </is>
      </c>
      <c r="F1671" s="2" t="inlineStr">
        <is>
          <t>Cartão de crédito</t>
        </is>
      </c>
      <c r="G1671" s="19" t="n">
        <v>0</v>
      </c>
    </row>
    <row r="1672">
      <c r="A1672" s="2" t="inlineStr">
        <is>
          <t>PED01671</t>
        </is>
      </c>
      <c r="B1672" s="3" t="n">
        <v>45729</v>
      </c>
      <c r="C1672" s="2" t="inlineStr">
        <is>
          <t>C0310</t>
        </is>
      </c>
      <c r="D1672" s="2" t="inlineStr">
        <is>
          <t>L07</t>
        </is>
      </c>
      <c r="E1672" s="2" t="inlineStr">
        <is>
          <t>Entregue</t>
        </is>
      </c>
      <c r="F1672" s="2" t="inlineStr">
        <is>
          <t>Pix</t>
        </is>
      </c>
      <c r="G1672" s="19" t="n">
        <v>0.05</v>
      </c>
    </row>
    <row r="1673">
      <c r="A1673" s="2" t="inlineStr">
        <is>
          <t>PED01672</t>
        </is>
      </c>
      <c r="B1673" s="3" t="n">
        <v>45855</v>
      </c>
      <c r="C1673" s="2" t="inlineStr">
        <is>
          <t>C0261</t>
        </is>
      </c>
      <c r="D1673" s="2" t="inlineStr">
        <is>
          <t>L08</t>
        </is>
      </c>
      <c r="E1673" s="2" t="inlineStr">
        <is>
          <t>Entregue</t>
        </is>
      </c>
      <c r="F1673" s="2" t="inlineStr">
        <is>
          <t>Pix</t>
        </is>
      </c>
      <c r="G1673" s="19" t="n">
        <v>0</v>
      </c>
    </row>
    <row r="1674">
      <c r="A1674" s="2" t="inlineStr">
        <is>
          <t>PED01673</t>
        </is>
      </c>
      <c r="B1674" s="3" t="n">
        <v>46009</v>
      </c>
      <c r="C1674" s="2" t="inlineStr">
        <is>
          <t>C0055</t>
        </is>
      </c>
      <c r="D1674" s="2" t="inlineStr">
        <is>
          <t>L08</t>
        </is>
      </c>
      <c r="E1674" s="2" t="inlineStr">
        <is>
          <t>Entregue</t>
        </is>
      </c>
      <c r="F1674" s="2" t="inlineStr">
        <is>
          <t>Boleto</t>
        </is>
      </c>
      <c r="G1674" s="19" t="n">
        <v>0</v>
      </c>
    </row>
    <row r="1675">
      <c r="A1675" s="2" t="inlineStr">
        <is>
          <t>PED01674</t>
        </is>
      </c>
      <c r="B1675" s="3" t="n">
        <v>45750</v>
      </c>
      <c r="C1675" s="2" t="inlineStr">
        <is>
          <t>C0053</t>
        </is>
      </c>
      <c r="D1675" s="2" t="inlineStr">
        <is>
          <t>L06</t>
        </is>
      </c>
      <c r="E1675" s="2" t="inlineStr">
        <is>
          <t>Entregue</t>
        </is>
      </c>
      <c r="F1675" s="2" t="inlineStr">
        <is>
          <t>Cartão de débito</t>
        </is>
      </c>
      <c r="G1675" s="19" t="n">
        <v>0</v>
      </c>
    </row>
    <row r="1676">
      <c r="A1676" s="2" t="inlineStr">
        <is>
          <t>PED01675</t>
        </is>
      </c>
      <c r="B1676" s="3" t="n">
        <v>45559</v>
      </c>
      <c r="C1676" s="2" t="inlineStr">
        <is>
          <t>C0289</t>
        </is>
      </c>
      <c r="D1676" s="2" t="inlineStr">
        <is>
          <t>L03</t>
        </is>
      </c>
      <c r="E1676" s="2" t="inlineStr">
        <is>
          <t>Entregue</t>
        </is>
      </c>
      <c r="F1676" s="2" t="inlineStr">
        <is>
          <t>Cartão de débito</t>
        </is>
      </c>
      <c r="G1676" s="19" t="n">
        <v>0.15</v>
      </c>
    </row>
    <row r="1677">
      <c r="A1677" s="2" t="inlineStr">
        <is>
          <t>PED01676</t>
        </is>
      </c>
      <c r="B1677" s="3" t="n">
        <v>45309</v>
      </c>
      <c r="C1677" s="2" t="inlineStr">
        <is>
          <t>C0331</t>
        </is>
      </c>
      <c r="D1677" s="2" t="inlineStr">
        <is>
          <t>L06</t>
        </is>
      </c>
      <c r="E1677" s="2" t="inlineStr">
        <is>
          <t>Entregue</t>
        </is>
      </c>
      <c r="F1677" s="2" t="inlineStr">
        <is>
          <t>Cartão de crédito</t>
        </is>
      </c>
      <c r="G1677" s="19" t="n">
        <v>0.05</v>
      </c>
    </row>
    <row r="1678">
      <c r="A1678" s="2" t="inlineStr">
        <is>
          <t>PED01677</t>
        </is>
      </c>
      <c r="B1678" s="3" t="n">
        <v>45841</v>
      </c>
      <c r="C1678" s="2" t="inlineStr">
        <is>
          <t>C0301</t>
        </is>
      </c>
      <c r="D1678" s="2" t="inlineStr">
        <is>
          <t>L03</t>
        </is>
      </c>
      <c r="E1678" s="2" t="inlineStr">
        <is>
          <t>Em processamento</t>
        </is>
      </c>
      <c r="F1678" s="2" t="inlineStr">
        <is>
          <t>Cartão de débito</t>
        </is>
      </c>
      <c r="G1678" s="19" t="n">
        <v>0</v>
      </c>
    </row>
    <row r="1679">
      <c r="A1679" s="2" t="inlineStr">
        <is>
          <t>PED01678</t>
        </is>
      </c>
      <c r="B1679" s="3" t="n">
        <v>45547</v>
      </c>
      <c r="C1679" s="2" t="inlineStr">
        <is>
          <t>C0265</t>
        </is>
      </c>
      <c r="D1679" s="2" t="inlineStr">
        <is>
          <t>L05</t>
        </is>
      </c>
      <c r="E1679" s="2" t="inlineStr">
        <is>
          <t>Entregue</t>
        </is>
      </c>
      <c r="F1679" s="2" t="inlineStr">
        <is>
          <t>Cartão de débito</t>
        </is>
      </c>
      <c r="G1679" s="19" t="n">
        <v>0</v>
      </c>
    </row>
    <row r="1680">
      <c r="A1680" s="2" t="inlineStr">
        <is>
          <t>PED01679</t>
        </is>
      </c>
      <c r="B1680" s="3" t="n">
        <v>45436</v>
      </c>
      <c r="C1680" s="2" t="inlineStr">
        <is>
          <t>C0225</t>
        </is>
      </c>
      <c r="D1680" s="2" t="inlineStr">
        <is>
          <t>L07</t>
        </is>
      </c>
      <c r="E1680" s="2" t="inlineStr">
        <is>
          <t>Entregue</t>
        </is>
      </c>
      <c r="F1680" s="2" t="inlineStr">
        <is>
          <t>Pix</t>
        </is>
      </c>
      <c r="G1680" s="19" t="n">
        <v>0.1</v>
      </c>
    </row>
    <row r="1681">
      <c r="A1681" s="2" t="inlineStr">
        <is>
          <t>PED01680</t>
        </is>
      </c>
      <c r="B1681" s="3" t="n">
        <v>45778</v>
      </c>
      <c r="C1681" s="2" t="inlineStr">
        <is>
          <t>C0025</t>
        </is>
      </c>
      <c r="D1681" s="2" t="inlineStr">
        <is>
          <t>L04</t>
        </is>
      </c>
      <c r="E1681" s="2" t="inlineStr">
        <is>
          <t>Entregue</t>
        </is>
      </c>
      <c r="F1681" s="2" t="inlineStr">
        <is>
          <t>Cartão de crédito</t>
        </is>
      </c>
      <c r="G1681" s="19" t="n">
        <v>0</v>
      </c>
    </row>
    <row r="1682">
      <c r="A1682" s="2" t="inlineStr">
        <is>
          <t>PED01681</t>
        </is>
      </c>
      <c r="B1682" s="3" t="n">
        <v>45580</v>
      </c>
      <c r="C1682" s="2" t="inlineStr">
        <is>
          <t>C0109</t>
        </is>
      </c>
      <c r="D1682" s="2" t="inlineStr">
        <is>
          <t>L05</t>
        </is>
      </c>
      <c r="E1682" s="2" t="inlineStr">
        <is>
          <t>Entregue</t>
        </is>
      </c>
      <c r="F1682" s="2" t="inlineStr">
        <is>
          <t>Cartão de débito</t>
        </is>
      </c>
      <c r="G1682" s="19" t="n">
        <v>0</v>
      </c>
    </row>
    <row r="1683">
      <c r="A1683" s="2" t="inlineStr">
        <is>
          <t>PED01682</t>
        </is>
      </c>
      <c r="B1683" s="3" t="n">
        <v>45780</v>
      </c>
      <c r="C1683" s="2" t="inlineStr">
        <is>
          <t>C0025</t>
        </is>
      </c>
      <c r="D1683" s="2" t="inlineStr">
        <is>
          <t>L08</t>
        </is>
      </c>
      <c r="E1683" s="2" t="inlineStr">
        <is>
          <t>Cancelado</t>
        </is>
      </c>
      <c r="F1683" s="2" t="inlineStr">
        <is>
          <t>Cartão de débito</t>
        </is>
      </c>
      <c r="G1683" s="19" t="n">
        <v>0.1</v>
      </c>
    </row>
    <row r="1684">
      <c r="A1684" s="2" t="inlineStr">
        <is>
          <t>PED01683</t>
        </is>
      </c>
      <c r="B1684" s="3" t="n">
        <v>45689</v>
      </c>
      <c r="C1684" s="2" t="inlineStr">
        <is>
          <t>C0126</t>
        </is>
      </c>
      <c r="D1684" s="2" t="inlineStr">
        <is>
          <t>L07</t>
        </is>
      </c>
      <c r="E1684" s="2" t="inlineStr">
        <is>
          <t>Entregue</t>
        </is>
      </c>
      <c r="F1684" s="2" t="inlineStr">
        <is>
          <t>Pix</t>
        </is>
      </c>
      <c r="G1684" s="19" t="n">
        <v>0</v>
      </c>
    </row>
    <row r="1685">
      <c r="A1685" s="2" t="inlineStr">
        <is>
          <t>PED01684</t>
        </is>
      </c>
      <c r="B1685" s="3" t="n">
        <v>45584</v>
      </c>
      <c r="C1685" s="2" t="inlineStr">
        <is>
          <t>C0258</t>
        </is>
      </c>
      <c r="D1685" s="2" t="inlineStr">
        <is>
          <t>L06</t>
        </is>
      </c>
      <c r="E1685" s="2" t="inlineStr">
        <is>
          <t>Entregue</t>
        </is>
      </c>
      <c r="F1685" s="2" t="inlineStr">
        <is>
          <t>Cartão de crédito</t>
        </is>
      </c>
      <c r="G1685" s="19" t="n">
        <v>0</v>
      </c>
    </row>
    <row r="1686">
      <c r="A1686" s="2" t="inlineStr">
        <is>
          <t>PED01685</t>
        </is>
      </c>
      <c r="B1686" s="3" t="n">
        <v>45783</v>
      </c>
      <c r="C1686" s="2" t="inlineStr">
        <is>
          <t>C0216</t>
        </is>
      </c>
      <c r="D1686" s="2" t="inlineStr">
        <is>
          <t>L08</t>
        </is>
      </c>
      <c r="E1686" s="2" t="inlineStr">
        <is>
          <t>Entregue</t>
        </is>
      </c>
      <c r="F1686" s="2" t="inlineStr">
        <is>
          <t>Pix</t>
        </is>
      </c>
      <c r="G1686" s="19" t="n">
        <v>0.03</v>
      </c>
    </row>
    <row r="1687">
      <c r="A1687" s="2" t="inlineStr">
        <is>
          <t>PED01686</t>
        </is>
      </c>
      <c r="B1687" s="3" t="n">
        <v>45504</v>
      </c>
      <c r="C1687" s="2" t="inlineStr">
        <is>
          <t>C0334</t>
        </is>
      </c>
      <c r="D1687" s="2" t="inlineStr">
        <is>
          <t>L04</t>
        </is>
      </c>
      <c r="E1687" s="2" t="inlineStr">
        <is>
          <t>Entregue</t>
        </is>
      </c>
      <c r="F1687" s="2" t="inlineStr">
        <is>
          <t>Cartão de crédito</t>
        </is>
      </c>
      <c r="G1687" s="19" t="n">
        <v>0.1</v>
      </c>
    </row>
    <row r="1688">
      <c r="A1688" s="2" t="inlineStr">
        <is>
          <t>PED01687</t>
        </is>
      </c>
      <c r="B1688" s="3" t="n">
        <v>45561</v>
      </c>
      <c r="C1688" s="2" t="inlineStr">
        <is>
          <t>C0176</t>
        </is>
      </c>
      <c r="D1688" s="2" t="inlineStr">
        <is>
          <t>L04</t>
        </is>
      </c>
      <c r="E1688" s="2" t="inlineStr">
        <is>
          <t>Entregue</t>
        </is>
      </c>
      <c r="F1688" s="2" t="inlineStr">
        <is>
          <t>Transferência</t>
        </is>
      </c>
      <c r="G1688" s="19" t="n">
        <v>0</v>
      </c>
    </row>
    <row r="1689">
      <c r="A1689" s="2" t="inlineStr">
        <is>
          <t>PED01688</t>
        </is>
      </c>
      <c r="B1689" s="3" t="n">
        <v>45938</v>
      </c>
      <c r="C1689" s="2" t="inlineStr">
        <is>
          <t>C0350</t>
        </is>
      </c>
      <c r="D1689" s="2" t="inlineStr">
        <is>
          <t>L01</t>
        </is>
      </c>
      <c r="E1689" s="2" t="inlineStr">
        <is>
          <t>Cancelado</t>
        </is>
      </c>
      <c r="F1689" s="2" t="inlineStr">
        <is>
          <t>Pix</t>
        </is>
      </c>
      <c r="G1689" s="19" t="n">
        <v>0.03</v>
      </c>
    </row>
    <row r="1690">
      <c r="A1690" s="2" t="inlineStr">
        <is>
          <t>PED01689</t>
        </is>
      </c>
      <c r="B1690" s="3" t="n">
        <v>45873</v>
      </c>
      <c r="C1690" s="2" t="inlineStr">
        <is>
          <t>C0303</t>
        </is>
      </c>
      <c r="D1690" s="2" t="inlineStr">
        <is>
          <t>L07</t>
        </is>
      </c>
      <c r="E1690" s="2" t="inlineStr">
        <is>
          <t>Cancelado</t>
        </is>
      </c>
      <c r="F1690" s="2" t="inlineStr">
        <is>
          <t>Transferência</t>
        </is>
      </c>
      <c r="G1690" s="19" t="n">
        <v>0</v>
      </c>
    </row>
    <row r="1691">
      <c r="A1691" s="2" t="inlineStr">
        <is>
          <t>PED01690</t>
        </is>
      </c>
      <c r="B1691" s="3" t="n">
        <v>45750</v>
      </c>
      <c r="C1691" s="2" t="inlineStr">
        <is>
          <t>C0142</t>
        </is>
      </c>
      <c r="D1691" s="2" t="inlineStr">
        <is>
          <t>L07</t>
        </is>
      </c>
      <c r="E1691" s="2" t="inlineStr">
        <is>
          <t>Entregue</t>
        </is>
      </c>
      <c r="F1691" s="2" t="inlineStr">
        <is>
          <t>Pix</t>
        </is>
      </c>
      <c r="G1691" s="19" t="n">
        <v>0</v>
      </c>
    </row>
    <row r="1692">
      <c r="A1692" s="2" t="inlineStr">
        <is>
          <t>PED01691</t>
        </is>
      </c>
      <c r="B1692" s="3" t="n">
        <v>45579</v>
      </c>
      <c r="C1692" s="2" t="inlineStr">
        <is>
          <t>C0237</t>
        </is>
      </c>
      <c r="D1692" s="2" t="inlineStr">
        <is>
          <t>L07</t>
        </is>
      </c>
      <c r="E1692" s="2" t="inlineStr">
        <is>
          <t>Entregue</t>
        </is>
      </c>
      <c r="F1692" s="2" t="inlineStr">
        <is>
          <t>Cartão de crédito</t>
        </is>
      </c>
      <c r="G1692" s="19" t="n">
        <v>0.1</v>
      </c>
    </row>
    <row r="1693">
      <c r="A1693" s="2" t="inlineStr">
        <is>
          <t>PED01692</t>
        </is>
      </c>
      <c r="B1693" s="3" t="n">
        <v>45906</v>
      </c>
      <c r="C1693" s="2" t="inlineStr">
        <is>
          <t>C0301</t>
        </is>
      </c>
      <c r="D1693" s="2" t="inlineStr">
        <is>
          <t>L06</t>
        </is>
      </c>
      <c r="E1693" s="2" t="inlineStr">
        <is>
          <t>Entregue</t>
        </is>
      </c>
      <c r="F1693" s="2" t="inlineStr">
        <is>
          <t>Cartão de crédito</t>
        </is>
      </c>
      <c r="G1693" s="19" t="n">
        <v>0</v>
      </c>
    </row>
    <row r="1694">
      <c r="A1694" s="2" t="inlineStr">
        <is>
          <t>PED01693</t>
        </is>
      </c>
      <c r="B1694" s="3" t="n">
        <v>45784</v>
      </c>
      <c r="C1694" s="2" t="inlineStr">
        <is>
          <t>C0349</t>
        </is>
      </c>
      <c r="D1694" s="2" t="inlineStr">
        <is>
          <t>L04</t>
        </is>
      </c>
      <c r="E1694" s="2" t="inlineStr">
        <is>
          <t>Entregue</t>
        </is>
      </c>
      <c r="F1694" s="2" t="inlineStr">
        <is>
          <t>Cartão de crédito</t>
        </is>
      </c>
      <c r="G1694" s="19" t="n">
        <v>0.1</v>
      </c>
    </row>
    <row r="1695">
      <c r="A1695" s="2" t="inlineStr">
        <is>
          <t>PED01694</t>
        </is>
      </c>
      <c r="B1695" s="3" t="n">
        <v>45382</v>
      </c>
      <c r="C1695" s="2" t="inlineStr">
        <is>
          <t>C0273</t>
        </is>
      </c>
      <c r="D1695" s="2" t="inlineStr">
        <is>
          <t>L07</t>
        </is>
      </c>
      <c r="E1695" s="2" t="inlineStr">
        <is>
          <t>Entregue</t>
        </is>
      </c>
      <c r="F1695" s="2" t="inlineStr">
        <is>
          <t>Pix</t>
        </is>
      </c>
      <c r="G1695" s="19" t="n">
        <v>0</v>
      </c>
    </row>
    <row r="1696">
      <c r="A1696" s="2" t="inlineStr">
        <is>
          <t>PED01695</t>
        </is>
      </c>
      <c r="B1696" s="3" t="n">
        <v>45560</v>
      </c>
      <c r="C1696" s="2" t="inlineStr">
        <is>
          <t>C0145</t>
        </is>
      </c>
      <c r="D1696" s="2" t="inlineStr">
        <is>
          <t>L02</t>
        </is>
      </c>
      <c r="E1696" s="2" t="inlineStr">
        <is>
          <t>Entregue</t>
        </is>
      </c>
      <c r="F1696" s="2" t="inlineStr">
        <is>
          <t>Boleto</t>
        </is>
      </c>
      <c r="G1696" s="19" t="n">
        <v>0.1</v>
      </c>
    </row>
    <row r="1697">
      <c r="A1697" s="2" t="inlineStr">
        <is>
          <t>PED01696</t>
        </is>
      </c>
      <c r="B1697" s="3" t="n">
        <v>45523</v>
      </c>
      <c r="C1697" s="2" t="inlineStr">
        <is>
          <t>C0183</t>
        </is>
      </c>
      <c r="D1697" s="2" t="inlineStr">
        <is>
          <t>L02</t>
        </is>
      </c>
      <c r="E1697" s="2" t="inlineStr">
        <is>
          <t>Entregue</t>
        </is>
      </c>
      <c r="F1697" s="2" t="inlineStr">
        <is>
          <t>Cartão de débito</t>
        </is>
      </c>
      <c r="G1697" s="19" t="n">
        <v>0.05</v>
      </c>
    </row>
    <row r="1698">
      <c r="A1698" s="2" t="inlineStr">
        <is>
          <t>PED01697</t>
        </is>
      </c>
      <c r="B1698" s="3" t="n">
        <v>45674</v>
      </c>
      <c r="C1698" s="2" t="inlineStr">
        <is>
          <t>C0101</t>
        </is>
      </c>
      <c r="D1698" s="2" t="inlineStr">
        <is>
          <t>L05</t>
        </is>
      </c>
      <c r="E1698" s="2" t="inlineStr">
        <is>
          <t>Em processamento</t>
        </is>
      </c>
      <c r="F1698" s="2" t="inlineStr">
        <is>
          <t>Transferência</t>
        </is>
      </c>
      <c r="G1698" s="19" t="n">
        <v>0.1</v>
      </c>
    </row>
    <row r="1699">
      <c r="A1699" s="2" t="inlineStr">
        <is>
          <t>PED01698</t>
        </is>
      </c>
      <c r="B1699" s="3" t="n">
        <v>45945</v>
      </c>
      <c r="C1699" s="2" t="inlineStr">
        <is>
          <t>C0086</t>
        </is>
      </c>
      <c r="D1699" s="2" t="inlineStr">
        <is>
          <t>L02</t>
        </is>
      </c>
      <c r="E1699" s="2" t="inlineStr">
        <is>
          <t>Entregue</t>
        </is>
      </c>
      <c r="F1699" s="2" t="inlineStr">
        <is>
          <t>Cartão de crédito</t>
        </is>
      </c>
      <c r="G1699" s="19" t="n">
        <v>0</v>
      </c>
    </row>
    <row r="1700">
      <c r="A1700" s="2" t="inlineStr">
        <is>
          <t>PED01699</t>
        </is>
      </c>
      <c r="B1700" s="3" t="n">
        <v>45676</v>
      </c>
      <c r="C1700" s="2" t="inlineStr">
        <is>
          <t>C0170</t>
        </is>
      </c>
      <c r="D1700" s="2" t="inlineStr">
        <is>
          <t>L06</t>
        </is>
      </c>
      <c r="E1700" s="2" t="inlineStr">
        <is>
          <t>Entregue</t>
        </is>
      </c>
      <c r="F1700" s="2" t="inlineStr">
        <is>
          <t>Cartão de débito</t>
        </is>
      </c>
      <c r="G1700" s="19" t="n">
        <v>0.15</v>
      </c>
    </row>
    <row r="1701">
      <c r="A1701" s="2" t="inlineStr">
        <is>
          <t>PED01700</t>
        </is>
      </c>
      <c r="B1701" s="3" t="n">
        <v>45512</v>
      </c>
      <c r="C1701" s="2" t="inlineStr">
        <is>
          <t>C0276</t>
        </is>
      </c>
      <c r="D1701" s="2" t="inlineStr">
        <is>
          <t>L04</t>
        </is>
      </c>
      <c r="E1701" s="2" t="inlineStr">
        <is>
          <t>Em processamento</t>
        </is>
      </c>
      <c r="F1701" s="2" t="inlineStr">
        <is>
          <t>Pix</t>
        </is>
      </c>
      <c r="G1701" s="19" t="n">
        <v>0</v>
      </c>
    </row>
    <row r="1702">
      <c r="A1702" s="2" t="inlineStr">
        <is>
          <t>PED01701</t>
        </is>
      </c>
      <c r="B1702" s="3" t="n">
        <v>45556</v>
      </c>
      <c r="C1702" s="2" t="inlineStr">
        <is>
          <t>C0198</t>
        </is>
      </c>
      <c r="D1702" s="2" t="inlineStr">
        <is>
          <t>L04</t>
        </is>
      </c>
      <c r="E1702" s="2" t="inlineStr">
        <is>
          <t>Entregue</t>
        </is>
      </c>
      <c r="F1702" s="2" t="inlineStr">
        <is>
          <t>Cartão de débito</t>
        </is>
      </c>
      <c r="G1702" s="19" t="n">
        <v>0.15</v>
      </c>
    </row>
    <row r="1703">
      <c r="A1703" s="2" t="inlineStr">
        <is>
          <t>PED01702</t>
        </is>
      </c>
      <c r="B1703" s="3" t="n">
        <v>45670</v>
      </c>
      <c r="C1703" s="2" t="inlineStr">
        <is>
          <t>C0295</t>
        </is>
      </c>
      <c r="D1703" s="2" t="inlineStr">
        <is>
          <t>L08</t>
        </is>
      </c>
      <c r="E1703" s="2" t="inlineStr">
        <is>
          <t>Entregue</t>
        </is>
      </c>
      <c r="F1703" s="2" t="inlineStr">
        <is>
          <t>Pix</t>
        </is>
      </c>
      <c r="G1703" s="19" t="n">
        <v>0.05</v>
      </c>
    </row>
    <row r="1704">
      <c r="A1704" s="2" t="inlineStr">
        <is>
          <t>PED01703</t>
        </is>
      </c>
      <c r="B1704" s="3" t="n">
        <v>45450</v>
      </c>
      <c r="C1704" s="2" t="inlineStr">
        <is>
          <t>C0242</t>
        </is>
      </c>
      <c r="D1704" s="2" t="inlineStr">
        <is>
          <t>L04</t>
        </is>
      </c>
      <c r="E1704" s="2" t="inlineStr">
        <is>
          <t>Entregue</t>
        </is>
      </c>
      <c r="F1704" s="2" t="inlineStr">
        <is>
          <t>Transferência</t>
        </is>
      </c>
      <c r="G1704" s="19" t="n">
        <v>0</v>
      </c>
    </row>
    <row r="1705">
      <c r="A1705" s="2" t="inlineStr">
        <is>
          <t>PED01704</t>
        </is>
      </c>
      <c r="B1705" s="3" t="n">
        <v>45347</v>
      </c>
      <c r="C1705" s="2" t="inlineStr">
        <is>
          <t>C0033</t>
        </is>
      </c>
      <c r="D1705" s="2" t="inlineStr">
        <is>
          <t>L06</t>
        </is>
      </c>
      <c r="E1705" s="2" t="inlineStr">
        <is>
          <t>Entregue</t>
        </is>
      </c>
      <c r="F1705" s="2" t="inlineStr">
        <is>
          <t>Pix</t>
        </is>
      </c>
      <c r="G1705" s="19" t="n">
        <v>0.1</v>
      </c>
    </row>
    <row r="1706">
      <c r="A1706" s="2" t="inlineStr">
        <is>
          <t>PED01705</t>
        </is>
      </c>
      <c r="B1706" s="3" t="n">
        <v>45709</v>
      </c>
      <c r="C1706" s="2" t="inlineStr">
        <is>
          <t>C0185</t>
        </is>
      </c>
      <c r="D1706" s="2" t="inlineStr">
        <is>
          <t>L05</t>
        </is>
      </c>
      <c r="E1706" s="2" t="inlineStr">
        <is>
          <t>Entregue</t>
        </is>
      </c>
      <c r="F1706" s="2" t="inlineStr">
        <is>
          <t>Pix</t>
        </is>
      </c>
      <c r="G1706" s="19" t="n">
        <v>0.03</v>
      </c>
    </row>
    <row r="1707">
      <c r="A1707" s="2" t="inlineStr">
        <is>
          <t>PED01706</t>
        </is>
      </c>
      <c r="B1707" s="3" t="n">
        <v>45392</v>
      </c>
      <c r="C1707" s="2" t="inlineStr">
        <is>
          <t>C0073</t>
        </is>
      </c>
      <c r="D1707" s="2" t="inlineStr">
        <is>
          <t>L07</t>
        </is>
      </c>
      <c r="E1707" s="2" t="inlineStr">
        <is>
          <t>Em processamento</t>
        </is>
      </c>
      <c r="F1707" s="2" t="inlineStr">
        <is>
          <t>Boleto</t>
        </is>
      </c>
      <c r="G1707" s="19" t="n">
        <v>0.05</v>
      </c>
    </row>
    <row r="1708">
      <c r="A1708" s="2" t="inlineStr">
        <is>
          <t>PED01707</t>
        </is>
      </c>
      <c r="B1708" s="3" t="n">
        <v>45397</v>
      </c>
      <c r="C1708" s="2" t="inlineStr">
        <is>
          <t>C0012</t>
        </is>
      </c>
      <c r="D1708" s="2" t="inlineStr">
        <is>
          <t>L07</t>
        </is>
      </c>
      <c r="E1708" s="2" t="inlineStr">
        <is>
          <t>Devolvido</t>
        </is>
      </c>
      <c r="F1708" s="2" t="inlineStr">
        <is>
          <t>Boleto</t>
        </is>
      </c>
      <c r="G1708" s="19" t="n">
        <v>0.05</v>
      </c>
    </row>
    <row r="1709">
      <c r="A1709" s="2" t="inlineStr">
        <is>
          <t>PED01708</t>
        </is>
      </c>
      <c r="B1709" s="3" t="n">
        <v>45940</v>
      </c>
      <c r="C1709" s="2" t="inlineStr">
        <is>
          <t>C0256</t>
        </is>
      </c>
      <c r="D1709" s="2" t="inlineStr">
        <is>
          <t>L06</t>
        </is>
      </c>
      <c r="E1709" s="2" t="inlineStr">
        <is>
          <t>Em processamento</t>
        </is>
      </c>
      <c r="F1709" s="2" t="inlineStr">
        <is>
          <t>Cartão de crédito</t>
        </is>
      </c>
      <c r="G1709" s="19" t="n">
        <v>0.05</v>
      </c>
    </row>
    <row r="1710">
      <c r="A1710" s="2" t="inlineStr">
        <is>
          <t>PED01709</t>
        </is>
      </c>
      <c r="B1710" s="3" t="n">
        <v>46017</v>
      </c>
      <c r="C1710" s="2" t="inlineStr">
        <is>
          <t>C0045</t>
        </is>
      </c>
      <c r="D1710" s="2" t="inlineStr">
        <is>
          <t>L01</t>
        </is>
      </c>
      <c r="E1710" s="2" t="inlineStr">
        <is>
          <t>Entregue</t>
        </is>
      </c>
      <c r="F1710" s="2" t="inlineStr">
        <is>
          <t>Cartão de crédito</t>
        </is>
      </c>
      <c r="G1710" s="19" t="n">
        <v>0</v>
      </c>
    </row>
    <row r="1711">
      <c r="A1711" s="2" t="inlineStr">
        <is>
          <t>PED01710</t>
        </is>
      </c>
      <c r="B1711" s="3" t="n">
        <v>45922</v>
      </c>
      <c r="C1711" s="2" t="inlineStr">
        <is>
          <t>C0253</t>
        </is>
      </c>
      <c r="D1711" s="2" t="inlineStr">
        <is>
          <t>L03</t>
        </is>
      </c>
      <c r="E1711" s="2" t="inlineStr">
        <is>
          <t>Entregue</t>
        </is>
      </c>
      <c r="F1711" s="2" t="inlineStr">
        <is>
          <t>Pix</t>
        </is>
      </c>
      <c r="G1711" s="19" t="n">
        <v>0.03</v>
      </c>
    </row>
    <row r="1712">
      <c r="A1712" s="2" t="inlineStr">
        <is>
          <t>PED01711</t>
        </is>
      </c>
      <c r="B1712" s="3" t="n">
        <v>45337</v>
      </c>
      <c r="C1712" s="2" t="inlineStr">
        <is>
          <t>C0170</t>
        </is>
      </c>
      <c r="D1712" s="2" t="inlineStr">
        <is>
          <t>L01</t>
        </is>
      </c>
      <c r="E1712" s="2" t="inlineStr">
        <is>
          <t>Entregue</t>
        </is>
      </c>
      <c r="F1712" s="2" t="inlineStr">
        <is>
          <t>Pix</t>
        </is>
      </c>
      <c r="G1712" s="19" t="n">
        <v>0.05</v>
      </c>
    </row>
    <row r="1713">
      <c r="A1713" s="2" t="inlineStr">
        <is>
          <t>PED01712</t>
        </is>
      </c>
      <c r="B1713" s="3" t="n">
        <v>45478</v>
      </c>
      <c r="C1713" s="2" t="inlineStr">
        <is>
          <t>C0135</t>
        </is>
      </c>
      <c r="D1713" s="2" t="inlineStr">
        <is>
          <t>L01</t>
        </is>
      </c>
      <c r="E1713" s="2" t="inlineStr">
        <is>
          <t>Entregue</t>
        </is>
      </c>
      <c r="F1713" s="2" t="inlineStr">
        <is>
          <t>Cartão de crédito</t>
        </is>
      </c>
      <c r="G1713" s="19" t="n">
        <v>0</v>
      </c>
    </row>
    <row r="1714">
      <c r="A1714" s="2" t="inlineStr">
        <is>
          <t>PED01713</t>
        </is>
      </c>
      <c r="B1714" s="3" t="n">
        <v>45315</v>
      </c>
      <c r="C1714" s="2" t="inlineStr">
        <is>
          <t>C0132</t>
        </is>
      </c>
      <c r="D1714" s="2" t="inlineStr">
        <is>
          <t>L02</t>
        </is>
      </c>
      <c r="E1714" s="2" t="inlineStr">
        <is>
          <t>Entregue</t>
        </is>
      </c>
      <c r="F1714" s="2" t="inlineStr">
        <is>
          <t>Transferência</t>
        </is>
      </c>
      <c r="G1714" s="19" t="n">
        <v>0.05</v>
      </c>
    </row>
    <row r="1715">
      <c r="A1715" s="2" t="inlineStr">
        <is>
          <t>PED01714</t>
        </is>
      </c>
      <c r="B1715" s="3" t="n">
        <v>45654</v>
      </c>
      <c r="C1715" s="2" t="inlineStr">
        <is>
          <t>C0221</t>
        </is>
      </c>
      <c r="D1715" s="2" t="inlineStr">
        <is>
          <t>L03</t>
        </is>
      </c>
      <c r="E1715" s="2" t="inlineStr">
        <is>
          <t>Entregue</t>
        </is>
      </c>
      <c r="F1715" s="2" t="inlineStr">
        <is>
          <t>Cartão de crédito</t>
        </is>
      </c>
      <c r="G1715" s="19" t="n">
        <v>0.03</v>
      </c>
    </row>
    <row r="1716">
      <c r="A1716" s="2" t="inlineStr">
        <is>
          <t>PED01715</t>
        </is>
      </c>
      <c r="B1716" s="3" t="n">
        <v>45423</v>
      </c>
      <c r="C1716" s="2" t="inlineStr">
        <is>
          <t>C0071</t>
        </is>
      </c>
      <c r="D1716" s="2" t="inlineStr">
        <is>
          <t>L01</t>
        </is>
      </c>
      <c r="E1716" s="2" t="inlineStr">
        <is>
          <t>Cancelado</t>
        </is>
      </c>
      <c r="F1716" s="2" t="inlineStr">
        <is>
          <t>Transferência</t>
        </is>
      </c>
      <c r="G1716" s="19" t="n">
        <v>0.1</v>
      </c>
    </row>
    <row r="1717">
      <c r="A1717" s="2" t="inlineStr">
        <is>
          <t>PED01716</t>
        </is>
      </c>
      <c r="B1717" s="3" t="n">
        <v>45504</v>
      </c>
      <c r="C1717" s="2" t="inlineStr">
        <is>
          <t>C0169</t>
        </is>
      </c>
      <c r="D1717" s="2" t="inlineStr">
        <is>
          <t>L02</t>
        </is>
      </c>
      <c r="E1717" s="2" t="inlineStr">
        <is>
          <t>Entregue</t>
        </is>
      </c>
      <c r="F1717" s="2" t="inlineStr">
        <is>
          <t>Cartão de débito</t>
        </is>
      </c>
      <c r="G1717" s="19" t="n">
        <v>0.1</v>
      </c>
    </row>
    <row r="1718">
      <c r="A1718" s="2" t="inlineStr">
        <is>
          <t>PED01717</t>
        </is>
      </c>
      <c r="B1718" s="3" t="n">
        <v>45895</v>
      </c>
      <c r="C1718" s="2" t="inlineStr">
        <is>
          <t>C0063</t>
        </is>
      </c>
      <c r="D1718" s="2" t="inlineStr">
        <is>
          <t>L05</t>
        </is>
      </c>
      <c r="E1718" s="2" t="inlineStr">
        <is>
          <t>Entregue</t>
        </is>
      </c>
      <c r="F1718" s="2" t="inlineStr">
        <is>
          <t>Cartão de crédito</t>
        </is>
      </c>
      <c r="G1718" s="19" t="n">
        <v>0</v>
      </c>
    </row>
    <row r="1719">
      <c r="A1719" s="2" t="inlineStr">
        <is>
          <t>PED01718</t>
        </is>
      </c>
      <c r="B1719" s="3" t="n">
        <v>45710</v>
      </c>
      <c r="C1719" s="2" t="inlineStr">
        <is>
          <t>C0243</t>
        </is>
      </c>
      <c r="D1719" s="2" t="inlineStr">
        <is>
          <t>L04</t>
        </is>
      </c>
      <c r="E1719" s="2" t="inlineStr">
        <is>
          <t>Entregue</t>
        </is>
      </c>
      <c r="F1719" s="2" t="inlineStr">
        <is>
          <t>Cartão de débito</t>
        </is>
      </c>
      <c r="G1719" s="19" t="n">
        <v>0</v>
      </c>
    </row>
    <row r="1720">
      <c r="A1720" s="2" t="inlineStr">
        <is>
          <t>PED01719</t>
        </is>
      </c>
      <c r="B1720" s="3" t="n">
        <v>45705</v>
      </c>
      <c r="C1720" s="2" t="inlineStr">
        <is>
          <t>C0321</t>
        </is>
      </c>
      <c r="D1720" s="2" t="inlineStr">
        <is>
          <t>L07</t>
        </is>
      </c>
      <c r="E1720" s="2" t="inlineStr">
        <is>
          <t>Cancelado</t>
        </is>
      </c>
      <c r="F1720" s="2" t="inlineStr">
        <is>
          <t>Cartão de crédito</t>
        </is>
      </c>
      <c r="G1720" s="19" t="n">
        <v>0.05</v>
      </c>
    </row>
    <row r="1721">
      <c r="A1721" s="2" t="inlineStr">
        <is>
          <t>PED01720</t>
        </is>
      </c>
      <c r="B1721" s="3" t="n">
        <v>45970</v>
      </c>
      <c r="C1721" s="2" t="inlineStr">
        <is>
          <t>C0274</t>
        </is>
      </c>
      <c r="D1721" s="2" t="inlineStr">
        <is>
          <t>L03</t>
        </is>
      </c>
      <c r="E1721" s="2" t="inlineStr">
        <is>
          <t>Cancelado</t>
        </is>
      </c>
      <c r="F1721" s="2" t="inlineStr">
        <is>
          <t>Pix</t>
        </is>
      </c>
      <c r="G1721" s="19" t="n">
        <v>0.1</v>
      </c>
    </row>
    <row r="1722">
      <c r="A1722" s="2" t="inlineStr">
        <is>
          <t>PED01721</t>
        </is>
      </c>
      <c r="B1722" s="3" t="n">
        <v>45840</v>
      </c>
      <c r="C1722" s="2" t="inlineStr">
        <is>
          <t>C0153</t>
        </is>
      </c>
      <c r="D1722" s="2" t="inlineStr">
        <is>
          <t>L07</t>
        </is>
      </c>
      <c r="E1722" s="2" t="inlineStr">
        <is>
          <t>Entregue</t>
        </is>
      </c>
      <c r="F1722" s="2" t="inlineStr">
        <is>
          <t>Cartão de crédito</t>
        </is>
      </c>
      <c r="G1722" s="19" t="n">
        <v>0.03</v>
      </c>
    </row>
    <row r="1723">
      <c r="A1723" s="2" t="inlineStr">
        <is>
          <t>PED01722</t>
        </is>
      </c>
      <c r="B1723" s="3" t="n">
        <v>45516</v>
      </c>
      <c r="C1723" s="2" t="inlineStr">
        <is>
          <t>C0246</t>
        </is>
      </c>
      <c r="D1723" s="2" t="inlineStr">
        <is>
          <t>L05</t>
        </is>
      </c>
      <c r="E1723" s="2" t="inlineStr">
        <is>
          <t>Entregue</t>
        </is>
      </c>
      <c r="F1723" s="2" t="inlineStr">
        <is>
          <t>Cartão de crédito</t>
        </is>
      </c>
      <c r="G1723" s="19" t="n">
        <v>0.1</v>
      </c>
    </row>
    <row r="1724">
      <c r="A1724" s="2" t="inlineStr">
        <is>
          <t>PED01723</t>
        </is>
      </c>
      <c r="B1724" s="3" t="n">
        <v>45644</v>
      </c>
      <c r="C1724" s="2" t="inlineStr">
        <is>
          <t>C0169</t>
        </is>
      </c>
      <c r="D1724" s="2" t="inlineStr">
        <is>
          <t>L03</t>
        </is>
      </c>
      <c r="E1724" s="2" t="inlineStr">
        <is>
          <t>Em processamento</t>
        </is>
      </c>
      <c r="F1724" s="2" t="inlineStr">
        <is>
          <t>Cartão de débito</t>
        </is>
      </c>
      <c r="G1724" s="19" t="n">
        <v>0.03</v>
      </c>
    </row>
    <row r="1725">
      <c r="A1725" s="2" t="inlineStr">
        <is>
          <t>PED01724</t>
        </is>
      </c>
      <c r="B1725" s="3" t="n">
        <v>45831</v>
      </c>
      <c r="C1725" s="2" t="inlineStr">
        <is>
          <t>C0198</t>
        </is>
      </c>
      <c r="D1725" s="2" t="inlineStr">
        <is>
          <t>L03</t>
        </is>
      </c>
      <c r="E1725" s="2" t="inlineStr">
        <is>
          <t>Entregue</t>
        </is>
      </c>
      <c r="F1725" s="2" t="inlineStr">
        <is>
          <t>Cartão de crédito</t>
        </is>
      </c>
      <c r="G1725" s="19" t="n">
        <v>0</v>
      </c>
    </row>
    <row r="1726">
      <c r="A1726" s="2" t="inlineStr">
        <is>
          <t>PED01725</t>
        </is>
      </c>
      <c r="B1726" s="3" t="n">
        <v>45948</v>
      </c>
      <c r="C1726" s="2" t="inlineStr">
        <is>
          <t>C0224</t>
        </is>
      </c>
      <c r="D1726" s="2" t="inlineStr">
        <is>
          <t>L05</t>
        </is>
      </c>
      <c r="E1726" s="2" t="inlineStr">
        <is>
          <t>Cancelado</t>
        </is>
      </c>
      <c r="F1726" s="2" t="inlineStr">
        <is>
          <t>Cartão de crédito</t>
        </is>
      </c>
      <c r="G1726" s="19" t="n">
        <v>0.03</v>
      </c>
    </row>
    <row r="1727">
      <c r="A1727" s="2" t="inlineStr">
        <is>
          <t>PED01726</t>
        </is>
      </c>
      <c r="B1727" s="3" t="n">
        <v>45488</v>
      </c>
      <c r="C1727" s="2" t="inlineStr">
        <is>
          <t>C0020</t>
        </is>
      </c>
      <c r="D1727" s="2" t="inlineStr">
        <is>
          <t>L02</t>
        </is>
      </c>
      <c r="E1727" s="2" t="inlineStr">
        <is>
          <t>Entregue</t>
        </is>
      </c>
      <c r="F1727" s="2" t="inlineStr">
        <is>
          <t>Cartão de crédito</t>
        </is>
      </c>
      <c r="G1727" s="19" t="n">
        <v>0.03</v>
      </c>
    </row>
    <row r="1728">
      <c r="A1728" s="2" t="inlineStr">
        <is>
          <t>PED01727</t>
        </is>
      </c>
      <c r="B1728" s="3" t="n">
        <v>45463</v>
      </c>
      <c r="C1728" s="2" t="inlineStr">
        <is>
          <t>C0246</t>
        </is>
      </c>
      <c r="D1728" s="2" t="inlineStr">
        <is>
          <t>L07</t>
        </is>
      </c>
      <c r="E1728" s="2" t="inlineStr">
        <is>
          <t>Entregue</t>
        </is>
      </c>
      <c r="F1728" s="2" t="inlineStr">
        <is>
          <t>Pix</t>
        </is>
      </c>
      <c r="G1728" s="19" t="n">
        <v>0.05</v>
      </c>
    </row>
    <row r="1729">
      <c r="A1729" s="2" t="inlineStr">
        <is>
          <t>PED01728</t>
        </is>
      </c>
      <c r="B1729" s="3" t="n">
        <v>45599</v>
      </c>
      <c r="C1729" s="2" t="inlineStr">
        <is>
          <t>C0284</t>
        </is>
      </c>
      <c r="D1729" s="2" t="inlineStr">
        <is>
          <t>L01</t>
        </is>
      </c>
      <c r="E1729" s="2" t="inlineStr">
        <is>
          <t>Entregue</t>
        </is>
      </c>
      <c r="F1729" s="2" t="inlineStr">
        <is>
          <t>Boleto</t>
        </is>
      </c>
      <c r="G1729" s="19" t="n">
        <v>0.1</v>
      </c>
    </row>
    <row r="1730">
      <c r="A1730" s="2" t="inlineStr">
        <is>
          <t>PED01729</t>
        </is>
      </c>
      <c r="B1730" s="3" t="n">
        <v>45398</v>
      </c>
      <c r="C1730" s="2" t="inlineStr">
        <is>
          <t>C0178</t>
        </is>
      </c>
      <c r="D1730" s="2" t="inlineStr">
        <is>
          <t>L06</t>
        </is>
      </c>
      <c r="E1730" s="2" t="inlineStr">
        <is>
          <t>Entregue</t>
        </is>
      </c>
      <c r="F1730" s="2" t="inlineStr">
        <is>
          <t>Cartão de crédito</t>
        </is>
      </c>
      <c r="G1730" s="19" t="n">
        <v>0</v>
      </c>
    </row>
    <row r="1731">
      <c r="A1731" s="2" t="inlineStr">
        <is>
          <t>PED01730</t>
        </is>
      </c>
      <c r="B1731" s="3" t="n">
        <v>45704</v>
      </c>
      <c r="C1731" s="2" t="inlineStr">
        <is>
          <t>C0325</t>
        </is>
      </c>
      <c r="D1731" s="2" t="inlineStr">
        <is>
          <t>L03</t>
        </is>
      </c>
      <c r="E1731" s="2" t="inlineStr">
        <is>
          <t>Entregue</t>
        </is>
      </c>
      <c r="F1731" s="2" t="inlineStr">
        <is>
          <t>Pix</t>
        </is>
      </c>
      <c r="G1731" s="19" t="n">
        <v>0</v>
      </c>
    </row>
    <row r="1732">
      <c r="A1732" s="2" t="inlineStr">
        <is>
          <t>PED01731</t>
        </is>
      </c>
      <c r="B1732" s="3" t="n">
        <v>45905</v>
      </c>
      <c r="C1732" s="2" t="inlineStr">
        <is>
          <t>C0079</t>
        </is>
      </c>
      <c r="D1732" s="2" t="inlineStr">
        <is>
          <t>L06</t>
        </is>
      </c>
      <c r="E1732" s="2" t="inlineStr">
        <is>
          <t>Entregue</t>
        </is>
      </c>
      <c r="F1732" s="2" t="inlineStr">
        <is>
          <t>Cartão de débito</t>
        </is>
      </c>
      <c r="G1732" s="19" t="n">
        <v>0.1</v>
      </c>
    </row>
    <row r="1733">
      <c r="A1733" s="2" t="inlineStr">
        <is>
          <t>PED01732</t>
        </is>
      </c>
      <c r="B1733" s="3" t="n">
        <v>45379</v>
      </c>
      <c r="C1733" s="2" t="inlineStr">
        <is>
          <t>C0183</t>
        </is>
      </c>
      <c r="D1733" s="2" t="inlineStr">
        <is>
          <t>L06</t>
        </is>
      </c>
      <c r="E1733" s="2" t="inlineStr">
        <is>
          <t>Entregue</t>
        </is>
      </c>
      <c r="F1733" s="2" t="inlineStr">
        <is>
          <t>Cartão de débito</t>
        </is>
      </c>
      <c r="G1733" s="19" t="n">
        <v>0.05</v>
      </c>
    </row>
    <row r="1734">
      <c r="A1734" s="2" t="inlineStr">
        <is>
          <t>PED01733</t>
        </is>
      </c>
      <c r="B1734" s="3" t="n">
        <v>45558</v>
      </c>
      <c r="C1734" s="2" t="inlineStr">
        <is>
          <t>C0112</t>
        </is>
      </c>
      <c r="D1734" s="2" t="inlineStr">
        <is>
          <t>L06</t>
        </is>
      </c>
      <c r="E1734" s="2" t="inlineStr">
        <is>
          <t>Entregue</t>
        </is>
      </c>
      <c r="F1734" s="2" t="inlineStr">
        <is>
          <t>Cartão de crédito</t>
        </is>
      </c>
      <c r="G1734" s="19" t="n">
        <v>0</v>
      </c>
    </row>
    <row r="1735">
      <c r="A1735" s="2" t="inlineStr">
        <is>
          <t>PED01734</t>
        </is>
      </c>
      <c r="B1735" s="3" t="n">
        <v>45394</v>
      </c>
      <c r="C1735" s="2" t="inlineStr">
        <is>
          <t>C0311</t>
        </is>
      </c>
      <c r="D1735" s="2" t="inlineStr">
        <is>
          <t>L02</t>
        </is>
      </c>
      <c r="E1735" s="2" t="inlineStr">
        <is>
          <t>Entregue</t>
        </is>
      </c>
      <c r="F1735" s="2" t="inlineStr">
        <is>
          <t>Cartão de crédito</t>
        </is>
      </c>
      <c r="G1735" s="19" t="n">
        <v>0</v>
      </c>
    </row>
    <row r="1736">
      <c r="A1736" s="2" t="inlineStr">
        <is>
          <t>PED01735</t>
        </is>
      </c>
      <c r="B1736" s="3" t="n">
        <v>45926</v>
      </c>
      <c r="C1736" s="2" t="inlineStr">
        <is>
          <t>C0278</t>
        </is>
      </c>
      <c r="D1736" s="2" t="inlineStr">
        <is>
          <t>L03</t>
        </is>
      </c>
      <c r="E1736" s="2" t="inlineStr">
        <is>
          <t>Entregue</t>
        </is>
      </c>
      <c r="F1736" s="2" t="inlineStr">
        <is>
          <t>Cartão de débito</t>
        </is>
      </c>
      <c r="G1736" s="19" t="n">
        <v>0</v>
      </c>
    </row>
    <row r="1737">
      <c r="A1737" s="2" t="inlineStr">
        <is>
          <t>PED01736</t>
        </is>
      </c>
      <c r="B1737" s="3" t="n">
        <v>45662</v>
      </c>
      <c r="C1737" s="2" t="inlineStr">
        <is>
          <t>C0167</t>
        </is>
      </c>
      <c r="D1737" s="2" t="inlineStr">
        <is>
          <t>L05</t>
        </is>
      </c>
      <c r="E1737" s="2" t="inlineStr">
        <is>
          <t>Entregue</t>
        </is>
      </c>
      <c r="F1737" s="2" t="inlineStr">
        <is>
          <t>Pix</t>
        </is>
      </c>
      <c r="G1737" s="19" t="n">
        <v>0.1</v>
      </c>
    </row>
    <row r="1738">
      <c r="A1738" s="2" t="inlineStr">
        <is>
          <t>PED01737</t>
        </is>
      </c>
      <c r="B1738" s="3" t="n">
        <v>45841</v>
      </c>
      <c r="C1738" s="2" t="inlineStr">
        <is>
          <t>C0242</t>
        </is>
      </c>
      <c r="D1738" s="2" t="inlineStr">
        <is>
          <t>L08</t>
        </is>
      </c>
      <c r="E1738" s="2" t="inlineStr">
        <is>
          <t>Entregue</t>
        </is>
      </c>
      <c r="F1738" s="2" t="inlineStr">
        <is>
          <t>Boleto</t>
        </is>
      </c>
      <c r="G1738" s="19" t="n">
        <v>0.1</v>
      </c>
    </row>
    <row r="1739">
      <c r="A1739" s="2" t="inlineStr">
        <is>
          <t>PED01738</t>
        </is>
      </c>
      <c r="B1739" s="3" t="n">
        <v>45564</v>
      </c>
      <c r="C1739" s="2" t="inlineStr">
        <is>
          <t>C0314</t>
        </is>
      </c>
      <c r="D1739" s="2" t="inlineStr">
        <is>
          <t>L01</t>
        </is>
      </c>
      <c r="E1739" s="2" t="inlineStr">
        <is>
          <t>Entregue</t>
        </is>
      </c>
      <c r="F1739" s="2" t="inlineStr">
        <is>
          <t>Boleto</t>
        </is>
      </c>
      <c r="G1739" s="19" t="n">
        <v>0.05</v>
      </c>
    </row>
    <row r="1740">
      <c r="A1740" s="2" t="inlineStr">
        <is>
          <t>PED01739</t>
        </is>
      </c>
      <c r="B1740" s="3" t="n">
        <v>45971</v>
      </c>
      <c r="C1740" s="2" t="inlineStr">
        <is>
          <t>C0025</t>
        </is>
      </c>
      <c r="D1740" s="2" t="inlineStr">
        <is>
          <t>L02</t>
        </is>
      </c>
      <c r="E1740" s="2" t="inlineStr">
        <is>
          <t>Entregue</t>
        </is>
      </c>
      <c r="F1740" s="2" t="inlineStr">
        <is>
          <t>Cartão de crédito</t>
        </is>
      </c>
      <c r="G1740" s="19" t="n">
        <v>0</v>
      </c>
    </row>
    <row r="1741">
      <c r="A1741" s="2" t="inlineStr">
        <is>
          <t>PED01740</t>
        </is>
      </c>
      <c r="B1741" s="3" t="n">
        <v>45967</v>
      </c>
      <c r="C1741" s="2" t="inlineStr">
        <is>
          <t>C0135</t>
        </is>
      </c>
      <c r="D1741" s="2" t="inlineStr">
        <is>
          <t>L08</t>
        </is>
      </c>
      <c r="E1741" s="2" t="inlineStr">
        <is>
          <t>Entregue</t>
        </is>
      </c>
      <c r="F1741" s="2" t="inlineStr">
        <is>
          <t>Cartão de crédito</t>
        </is>
      </c>
      <c r="G1741" s="19" t="n">
        <v>0</v>
      </c>
    </row>
    <row r="1742">
      <c r="A1742" s="2" t="inlineStr">
        <is>
          <t>PED01741</t>
        </is>
      </c>
      <c r="B1742" s="3" t="n">
        <v>45447</v>
      </c>
      <c r="C1742" s="2" t="inlineStr">
        <is>
          <t>C0122</t>
        </is>
      </c>
      <c r="D1742" s="2" t="inlineStr">
        <is>
          <t>L03</t>
        </is>
      </c>
      <c r="E1742" s="2" t="inlineStr">
        <is>
          <t>Entregue</t>
        </is>
      </c>
      <c r="F1742" s="2" t="inlineStr">
        <is>
          <t>Transferência</t>
        </is>
      </c>
      <c r="G1742" s="19" t="n">
        <v>0</v>
      </c>
    </row>
    <row r="1743">
      <c r="A1743" s="2" t="inlineStr">
        <is>
          <t>PED01742</t>
        </is>
      </c>
      <c r="B1743" s="3" t="n">
        <v>45791</v>
      </c>
      <c r="C1743" s="2" t="inlineStr">
        <is>
          <t>C0186</t>
        </is>
      </c>
      <c r="D1743" s="2" t="inlineStr">
        <is>
          <t>L02</t>
        </is>
      </c>
      <c r="E1743" s="2" t="inlineStr">
        <is>
          <t>Entregue</t>
        </is>
      </c>
      <c r="F1743" s="2" t="inlineStr">
        <is>
          <t>Cartão de crédito</t>
        </is>
      </c>
      <c r="G1743" s="19" t="n">
        <v>0</v>
      </c>
    </row>
    <row r="1744">
      <c r="A1744" s="2" t="inlineStr">
        <is>
          <t>PED01743</t>
        </is>
      </c>
      <c r="B1744" s="3" t="n">
        <v>45396</v>
      </c>
      <c r="C1744" s="2" t="inlineStr">
        <is>
          <t>C0129</t>
        </is>
      </c>
      <c r="D1744" s="2" t="inlineStr">
        <is>
          <t>L07</t>
        </is>
      </c>
      <c r="E1744" s="2" t="inlineStr">
        <is>
          <t>Entregue</t>
        </is>
      </c>
      <c r="F1744" s="2" t="inlineStr">
        <is>
          <t>Transferência</t>
        </is>
      </c>
      <c r="G1744" s="19" t="n">
        <v>0.03</v>
      </c>
    </row>
    <row r="1745">
      <c r="A1745" s="2" t="inlineStr">
        <is>
          <t>PED01744</t>
        </is>
      </c>
      <c r="B1745" s="3" t="n">
        <v>45619</v>
      </c>
      <c r="C1745" s="2" t="inlineStr">
        <is>
          <t>C0293</t>
        </is>
      </c>
      <c r="D1745" s="2" t="inlineStr">
        <is>
          <t>L06</t>
        </is>
      </c>
      <c r="E1745" s="2" t="inlineStr">
        <is>
          <t>Devolvido</t>
        </is>
      </c>
      <c r="F1745" s="2" t="inlineStr">
        <is>
          <t>Cartão de crédito</t>
        </is>
      </c>
      <c r="G1745" s="19" t="n">
        <v>0</v>
      </c>
    </row>
    <row r="1746">
      <c r="A1746" s="2" t="inlineStr">
        <is>
          <t>PED01745</t>
        </is>
      </c>
      <c r="B1746" s="3" t="n">
        <v>45328</v>
      </c>
      <c r="C1746" s="2" t="inlineStr">
        <is>
          <t>C0197</t>
        </is>
      </c>
      <c r="D1746" s="2" t="inlineStr">
        <is>
          <t>L08</t>
        </is>
      </c>
      <c r="E1746" s="2" t="inlineStr">
        <is>
          <t>Entregue</t>
        </is>
      </c>
      <c r="F1746" s="2" t="inlineStr">
        <is>
          <t>Cartão de crédito</t>
        </is>
      </c>
      <c r="G1746" s="19" t="n">
        <v>0.05</v>
      </c>
    </row>
    <row r="1747">
      <c r="A1747" s="2" t="inlineStr">
        <is>
          <t>PED01746</t>
        </is>
      </c>
      <c r="B1747" s="3" t="n">
        <v>46012</v>
      </c>
      <c r="C1747" s="2" t="inlineStr">
        <is>
          <t>C0080</t>
        </is>
      </c>
      <c r="D1747" s="2" t="inlineStr">
        <is>
          <t>L02</t>
        </is>
      </c>
      <c r="E1747" s="2" t="inlineStr">
        <is>
          <t>Entregue</t>
        </is>
      </c>
      <c r="F1747" s="2" t="inlineStr">
        <is>
          <t>Cartão de crédito</t>
        </is>
      </c>
      <c r="G1747" s="19" t="n">
        <v>0.1</v>
      </c>
    </row>
    <row r="1748">
      <c r="A1748" s="2" t="inlineStr">
        <is>
          <t>PED01747</t>
        </is>
      </c>
      <c r="B1748" s="3" t="n">
        <v>45790</v>
      </c>
      <c r="C1748" s="2" t="inlineStr">
        <is>
          <t>C0123</t>
        </is>
      </c>
      <c r="D1748" s="2" t="inlineStr">
        <is>
          <t>L06</t>
        </is>
      </c>
      <c r="E1748" s="2" t="inlineStr">
        <is>
          <t>Cancelado</t>
        </is>
      </c>
      <c r="F1748" s="2" t="inlineStr">
        <is>
          <t>Cartão de débito</t>
        </is>
      </c>
      <c r="G1748" s="19" t="n">
        <v>0.05</v>
      </c>
    </row>
    <row r="1749">
      <c r="A1749" s="2" t="inlineStr">
        <is>
          <t>PED01748</t>
        </is>
      </c>
      <c r="B1749" s="3" t="n">
        <v>45645</v>
      </c>
      <c r="C1749" s="2" t="inlineStr">
        <is>
          <t>C0055</t>
        </is>
      </c>
      <c r="D1749" s="2" t="inlineStr">
        <is>
          <t>L04</t>
        </is>
      </c>
      <c r="E1749" s="2" t="inlineStr">
        <is>
          <t>Entregue</t>
        </is>
      </c>
      <c r="F1749" s="2" t="inlineStr">
        <is>
          <t>Pix</t>
        </is>
      </c>
      <c r="G1749" s="19" t="n">
        <v>0</v>
      </c>
    </row>
    <row r="1750">
      <c r="A1750" s="2" t="inlineStr">
        <is>
          <t>PED01749</t>
        </is>
      </c>
      <c r="B1750" s="3" t="n">
        <v>45783</v>
      </c>
      <c r="C1750" s="2" t="inlineStr">
        <is>
          <t>C0291</t>
        </is>
      </c>
      <c r="D1750" s="2" t="inlineStr">
        <is>
          <t>L07</t>
        </is>
      </c>
      <c r="E1750" s="2" t="inlineStr">
        <is>
          <t>Entregue</t>
        </is>
      </c>
      <c r="F1750" s="2" t="inlineStr">
        <is>
          <t>Cartão de débito</t>
        </is>
      </c>
      <c r="G1750" s="19" t="n">
        <v>0</v>
      </c>
    </row>
    <row r="1751">
      <c r="A1751" s="2" t="inlineStr">
        <is>
          <t>PED01750</t>
        </is>
      </c>
      <c r="B1751" s="3" t="n">
        <v>45525</v>
      </c>
      <c r="C1751" s="2" t="inlineStr">
        <is>
          <t>C0187</t>
        </is>
      </c>
      <c r="D1751" s="2" t="inlineStr">
        <is>
          <t>L07</t>
        </is>
      </c>
      <c r="E1751" s="2" t="inlineStr">
        <is>
          <t>Cancelado</t>
        </is>
      </c>
      <c r="F1751" s="2" t="inlineStr">
        <is>
          <t>Cartão de crédito</t>
        </is>
      </c>
      <c r="G1751" s="19" t="n">
        <v>0</v>
      </c>
    </row>
    <row r="1752">
      <c r="A1752" s="2" t="inlineStr">
        <is>
          <t>PED01751</t>
        </is>
      </c>
      <c r="B1752" s="3" t="n">
        <v>45436</v>
      </c>
      <c r="C1752" s="2" t="inlineStr">
        <is>
          <t>C0260</t>
        </is>
      </c>
      <c r="D1752" s="2" t="inlineStr">
        <is>
          <t>L07</t>
        </is>
      </c>
      <c r="E1752" s="2" t="inlineStr">
        <is>
          <t>Entregue</t>
        </is>
      </c>
      <c r="F1752" s="2" t="inlineStr">
        <is>
          <t>Cartão de crédito</t>
        </is>
      </c>
      <c r="G1752" s="19" t="n">
        <v>0</v>
      </c>
    </row>
    <row r="1753">
      <c r="A1753" s="2" t="inlineStr">
        <is>
          <t>PED01752</t>
        </is>
      </c>
      <c r="B1753" s="3" t="n">
        <v>45462</v>
      </c>
      <c r="C1753" s="2" t="inlineStr">
        <is>
          <t>C0039</t>
        </is>
      </c>
      <c r="D1753" s="2" t="inlineStr">
        <is>
          <t>L05</t>
        </is>
      </c>
      <c r="E1753" s="2" t="inlineStr">
        <is>
          <t>Entregue</t>
        </is>
      </c>
      <c r="F1753" s="2" t="inlineStr">
        <is>
          <t>Pix</t>
        </is>
      </c>
      <c r="G1753" s="19" t="n">
        <v>0.1</v>
      </c>
    </row>
    <row r="1754">
      <c r="A1754" s="2" t="inlineStr">
        <is>
          <t>PED01753</t>
        </is>
      </c>
      <c r="B1754" s="3" t="n">
        <v>45562</v>
      </c>
      <c r="C1754" s="2" t="inlineStr">
        <is>
          <t>C0323</t>
        </is>
      </c>
      <c r="D1754" s="2" t="inlineStr">
        <is>
          <t>L05</t>
        </is>
      </c>
      <c r="E1754" s="2" t="inlineStr">
        <is>
          <t>Entregue</t>
        </is>
      </c>
      <c r="F1754" s="2" t="inlineStr">
        <is>
          <t>Cartão de crédito</t>
        </is>
      </c>
      <c r="G1754" s="19" t="n">
        <v>0</v>
      </c>
    </row>
    <row r="1755">
      <c r="A1755" s="2" t="inlineStr">
        <is>
          <t>PED01754</t>
        </is>
      </c>
      <c r="B1755" s="3" t="n">
        <v>45996</v>
      </c>
      <c r="C1755" s="2" t="inlineStr">
        <is>
          <t>C0273</t>
        </is>
      </c>
      <c r="D1755" s="2" t="inlineStr">
        <is>
          <t>L06</t>
        </is>
      </c>
      <c r="E1755" s="2" t="inlineStr">
        <is>
          <t>Entregue</t>
        </is>
      </c>
      <c r="F1755" s="2" t="inlineStr">
        <is>
          <t>Cartão de crédito</t>
        </is>
      </c>
      <c r="G1755" s="19" t="n">
        <v>0.03</v>
      </c>
    </row>
    <row r="1756">
      <c r="A1756" s="2" t="inlineStr">
        <is>
          <t>PED01755</t>
        </is>
      </c>
      <c r="B1756" s="3" t="n">
        <v>45394</v>
      </c>
      <c r="C1756" s="2" t="inlineStr">
        <is>
          <t>C0304</t>
        </is>
      </c>
      <c r="D1756" s="2" t="inlineStr">
        <is>
          <t>L04</t>
        </is>
      </c>
      <c r="E1756" s="2" t="inlineStr">
        <is>
          <t>Entregue</t>
        </is>
      </c>
      <c r="F1756" s="2" t="inlineStr">
        <is>
          <t>Transferência</t>
        </is>
      </c>
      <c r="G1756" s="19" t="n">
        <v>0.03</v>
      </c>
    </row>
    <row r="1757">
      <c r="A1757" s="2" t="inlineStr">
        <is>
          <t>PED01756</t>
        </is>
      </c>
      <c r="B1757" s="3" t="n">
        <v>45683</v>
      </c>
      <c r="C1757" s="2" t="inlineStr">
        <is>
          <t>C0344</t>
        </is>
      </c>
      <c r="D1757" s="2" t="inlineStr">
        <is>
          <t>L03</t>
        </is>
      </c>
      <c r="E1757" s="2" t="inlineStr">
        <is>
          <t>Entregue</t>
        </is>
      </c>
      <c r="F1757" s="2" t="inlineStr">
        <is>
          <t>Boleto</t>
        </is>
      </c>
      <c r="G1757" s="19" t="n">
        <v>0</v>
      </c>
    </row>
    <row r="1758">
      <c r="A1758" s="2" t="inlineStr">
        <is>
          <t>PED01757</t>
        </is>
      </c>
      <c r="B1758" s="3" t="n">
        <v>45745</v>
      </c>
      <c r="C1758" s="2" t="inlineStr">
        <is>
          <t>C0087</t>
        </is>
      </c>
      <c r="D1758" s="2" t="inlineStr">
        <is>
          <t>L04</t>
        </is>
      </c>
      <c r="E1758" s="2" t="inlineStr">
        <is>
          <t>Em processamento</t>
        </is>
      </c>
      <c r="F1758" s="2" t="inlineStr">
        <is>
          <t>Pix</t>
        </is>
      </c>
      <c r="G1758" s="19" t="n">
        <v>0</v>
      </c>
    </row>
    <row r="1759">
      <c r="A1759" s="2" t="inlineStr">
        <is>
          <t>PED01758</t>
        </is>
      </c>
      <c r="B1759" s="3" t="n">
        <v>45723</v>
      </c>
      <c r="C1759" s="2" t="inlineStr">
        <is>
          <t>C0339</t>
        </is>
      </c>
      <c r="D1759" s="2" t="inlineStr">
        <is>
          <t>L08</t>
        </is>
      </c>
      <c r="E1759" s="2" t="inlineStr">
        <is>
          <t>Entregue</t>
        </is>
      </c>
      <c r="F1759" s="2" t="inlineStr">
        <is>
          <t>Transferência</t>
        </is>
      </c>
      <c r="G1759" s="19" t="n">
        <v>0</v>
      </c>
    </row>
    <row r="1760">
      <c r="A1760" s="2" t="inlineStr">
        <is>
          <t>PED01759</t>
        </is>
      </c>
      <c r="B1760" s="3" t="n">
        <v>45943</v>
      </c>
      <c r="C1760" s="2" t="inlineStr">
        <is>
          <t>C0214</t>
        </is>
      </c>
      <c r="D1760" s="2" t="inlineStr">
        <is>
          <t>L03</t>
        </is>
      </c>
      <c r="E1760" s="2" t="inlineStr">
        <is>
          <t>Em processamento</t>
        </is>
      </c>
      <c r="F1760" s="2" t="inlineStr">
        <is>
          <t>Cartão de crédito</t>
        </is>
      </c>
      <c r="G1760" s="19" t="n">
        <v>0</v>
      </c>
    </row>
    <row r="1761">
      <c r="A1761" s="2" t="inlineStr">
        <is>
          <t>PED01760</t>
        </is>
      </c>
      <c r="B1761" s="3" t="n">
        <v>45979</v>
      </c>
      <c r="C1761" s="2" t="inlineStr">
        <is>
          <t>C0083</t>
        </is>
      </c>
      <c r="D1761" s="2" t="inlineStr">
        <is>
          <t>L07</t>
        </is>
      </c>
      <c r="E1761" s="2" t="inlineStr">
        <is>
          <t>Cancelado</t>
        </is>
      </c>
      <c r="F1761" s="2" t="inlineStr">
        <is>
          <t>Cartão de crédito</t>
        </is>
      </c>
      <c r="G1761" s="19" t="n">
        <v>0.1</v>
      </c>
    </row>
    <row r="1762">
      <c r="A1762" s="2" t="inlineStr">
        <is>
          <t>PED01761</t>
        </is>
      </c>
      <c r="B1762" s="3" t="n">
        <v>45993</v>
      </c>
      <c r="C1762" s="2" t="inlineStr">
        <is>
          <t>C0119</t>
        </is>
      </c>
      <c r="D1762" s="2" t="inlineStr">
        <is>
          <t>L01</t>
        </is>
      </c>
      <c r="E1762" s="2" t="inlineStr">
        <is>
          <t>Entregue</t>
        </is>
      </c>
      <c r="F1762" s="2" t="inlineStr">
        <is>
          <t>Boleto</t>
        </is>
      </c>
      <c r="G1762" s="19" t="n">
        <v>0.1</v>
      </c>
    </row>
    <row r="1763">
      <c r="A1763" s="2" t="inlineStr">
        <is>
          <t>PED01762</t>
        </is>
      </c>
      <c r="B1763" s="3" t="n">
        <v>45346</v>
      </c>
      <c r="C1763" s="2" t="inlineStr">
        <is>
          <t>C0064</t>
        </is>
      </c>
      <c r="D1763" s="2" t="inlineStr">
        <is>
          <t>L02</t>
        </is>
      </c>
      <c r="E1763" s="2" t="inlineStr">
        <is>
          <t>Entregue</t>
        </is>
      </c>
      <c r="F1763" s="2" t="inlineStr">
        <is>
          <t>Cartão de crédito</t>
        </is>
      </c>
      <c r="G1763" s="19" t="n">
        <v>0.05</v>
      </c>
    </row>
    <row r="1764">
      <c r="A1764" s="2" t="inlineStr">
        <is>
          <t>PED01763</t>
        </is>
      </c>
      <c r="B1764" s="3" t="n">
        <v>45303</v>
      </c>
      <c r="C1764" s="2" t="inlineStr">
        <is>
          <t>C0237</t>
        </is>
      </c>
      <c r="D1764" s="2" t="inlineStr">
        <is>
          <t>L05</t>
        </is>
      </c>
      <c r="E1764" s="2" t="inlineStr">
        <is>
          <t>Entregue</t>
        </is>
      </c>
      <c r="F1764" s="2" t="inlineStr">
        <is>
          <t>Transferência</t>
        </is>
      </c>
      <c r="G1764" s="19" t="n">
        <v>0.1</v>
      </c>
    </row>
    <row r="1765">
      <c r="A1765" s="2" t="inlineStr">
        <is>
          <t>PED01764</t>
        </is>
      </c>
      <c r="B1765" s="3" t="n">
        <v>45433</v>
      </c>
      <c r="C1765" s="2" t="inlineStr">
        <is>
          <t>C0175</t>
        </is>
      </c>
      <c r="D1765" s="2" t="inlineStr">
        <is>
          <t>L03</t>
        </is>
      </c>
      <c r="E1765" s="2" t="inlineStr">
        <is>
          <t>Entregue</t>
        </is>
      </c>
      <c r="F1765" s="2" t="inlineStr">
        <is>
          <t>Pix</t>
        </is>
      </c>
      <c r="G1765" s="19" t="n">
        <v>0</v>
      </c>
    </row>
    <row r="1766">
      <c r="A1766" s="2" t="inlineStr">
        <is>
          <t>PED01765</t>
        </is>
      </c>
      <c r="B1766" s="3" t="n">
        <v>45909</v>
      </c>
      <c r="C1766" s="2" t="inlineStr">
        <is>
          <t>C0119</t>
        </is>
      </c>
      <c r="D1766" s="2" t="inlineStr">
        <is>
          <t>L04</t>
        </is>
      </c>
      <c r="E1766" s="2" t="inlineStr">
        <is>
          <t>Entregue</t>
        </is>
      </c>
      <c r="F1766" s="2" t="inlineStr">
        <is>
          <t>Cartão de crédito</t>
        </is>
      </c>
      <c r="G1766" s="19" t="n">
        <v>0</v>
      </c>
    </row>
    <row r="1767">
      <c r="A1767" s="2" t="inlineStr">
        <is>
          <t>PED01766</t>
        </is>
      </c>
      <c r="B1767" s="3" t="n">
        <v>45751</v>
      </c>
      <c r="C1767" s="2" t="inlineStr">
        <is>
          <t>C0123</t>
        </is>
      </c>
      <c r="D1767" s="2" t="inlineStr">
        <is>
          <t>L06</t>
        </is>
      </c>
      <c r="E1767" s="2" t="inlineStr">
        <is>
          <t>Cancelado</t>
        </is>
      </c>
      <c r="F1767" s="2" t="inlineStr">
        <is>
          <t>Cartão de crédito</t>
        </is>
      </c>
      <c r="G1767" s="19" t="n">
        <v>0</v>
      </c>
    </row>
    <row r="1768">
      <c r="A1768" s="2" t="inlineStr">
        <is>
          <t>PED01767</t>
        </is>
      </c>
      <c r="B1768" s="3" t="n">
        <v>45382</v>
      </c>
      <c r="C1768" s="2" t="inlineStr">
        <is>
          <t>C0078</t>
        </is>
      </c>
      <c r="D1768" s="2" t="inlineStr">
        <is>
          <t>L04</t>
        </is>
      </c>
      <c r="E1768" s="2" t="inlineStr">
        <is>
          <t>Entregue</t>
        </is>
      </c>
      <c r="F1768" s="2" t="inlineStr">
        <is>
          <t>Cartão de crédito</t>
        </is>
      </c>
      <c r="G1768" s="19" t="n">
        <v>0</v>
      </c>
    </row>
    <row r="1769">
      <c r="A1769" s="2" t="inlineStr">
        <is>
          <t>PED01768</t>
        </is>
      </c>
      <c r="B1769" s="3" t="n">
        <v>45367</v>
      </c>
      <c r="C1769" s="2" t="inlineStr">
        <is>
          <t>C0067</t>
        </is>
      </c>
      <c r="D1769" s="2" t="inlineStr">
        <is>
          <t>L05</t>
        </is>
      </c>
      <c r="E1769" s="2" t="inlineStr">
        <is>
          <t>Em processamento</t>
        </is>
      </c>
      <c r="F1769" s="2" t="inlineStr">
        <is>
          <t>Cartão de débito</t>
        </is>
      </c>
      <c r="G1769" s="19" t="n">
        <v>0</v>
      </c>
    </row>
    <row r="1770">
      <c r="A1770" s="2" t="inlineStr">
        <is>
          <t>PED01769</t>
        </is>
      </c>
      <c r="B1770" s="3" t="n">
        <v>45941</v>
      </c>
      <c r="C1770" s="2" t="inlineStr">
        <is>
          <t>C0324</t>
        </is>
      </c>
      <c r="D1770" s="2" t="inlineStr">
        <is>
          <t>L06</t>
        </is>
      </c>
      <c r="E1770" s="2" t="inlineStr">
        <is>
          <t>Entregue</t>
        </is>
      </c>
      <c r="F1770" s="2" t="inlineStr">
        <is>
          <t>Cartão de crédito</t>
        </is>
      </c>
      <c r="G1770" s="19" t="n">
        <v>0.03</v>
      </c>
    </row>
    <row r="1771">
      <c r="A1771" s="2" t="inlineStr">
        <is>
          <t>PED01770</t>
        </is>
      </c>
      <c r="B1771" s="3" t="n">
        <v>45767</v>
      </c>
      <c r="C1771" s="2" t="inlineStr">
        <is>
          <t>C0342</t>
        </is>
      </c>
      <c r="D1771" s="2" t="inlineStr">
        <is>
          <t>L07</t>
        </is>
      </c>
      <c r="E1771" s="2" t="inlineStr">
        <is>
          <t>Cancelado</t>
        </is>
      </c>
      <c r="F1771" s="2" t="inlineStr">
        <is>
          <t>Pix</t>
        </is>
      </c>
      <c r="G1771" s="19" t="n">
        <v>0</v>
      </c>
    </row>
    <row r="1772">
      <c r="A1772" s="2" t="inlineStr">
        <is>
          <t>PED01771</t>
        </is>
      </c>
      <c r="B1772" s="3" t="n">
        <v>45525</v>
      </c>
      <c r="C1772" s="2" t="inlineStr">
        <is>
          <t>C0116</t>
        </is>
      </c>
      <c r="D1772" s="2" t="inlineStr">
        <is>
          <t>L03</t>
        </is>
      </c>
      <c r="E1772" s="2" t="inlineStr">
        <is>
          <t>Entregue</t>
        </is>
      </c>
      <c r="F1772" s="2" t="inlineStr">
        <is>
          <t>Cartão de débito</t>
        </is>
      </c>
      <c r="G1772" s="19" t="n">
        <v>0.05</v>
      </c>
    </row>
    <row r="1773">
      <c r="A1773" s="2" t="inlineStr">
        <is>
          <t>PED01772</t>
        </is>
      </c>
      <c r="B1773" s="3" t="n">
        <v>45838</v>
      </c>
      <c r="C1773" s="2" t="inlineStr">
        <is>
          <t>C0023</t>
        </is>
      </c>
      <c r="D1773" s="2" t="inlineStr">
        <is>
          <t>L05</t>
        </is>
      </c>
      <c r="E1773" s="2" t="inlineStr">
        <is>
          <t>Entregue</t>
        </is>
      </c>
      <c r="F1773" s="2" t="inlineStr">
        <is>
          <t>Transferência</t>
        </is>
      </c>
      <c r="G1773" s="19" t="n">
        <v>0.05</v>
      </c>
    </row>
    <row r="1774">
      <c r="A1774" s="2" t="inlineStr">
        <is>
          <t>PED01773</t>
        </is>
      </c>
      <c r="B1774" s="3" t="n">
        <v>45688</v>
      </c>
      <c r="C1774" s="2" t="inlineStr">
        <is>
          <t>C0011</t>
        </is>
      </c>
      <c r="D1774" s="2" t="inlineStr">
        <is>
          <t>L06</t>
        </is>
      </c>
      <c r="E1774" s="2" t="inlineStr">
        <is>
          <t>Cancelado</t>
        </is>
      </c>
      <c r="F1774" s="2" t="inlineStr">
        <is>
          <t>Pix</t>
        </is>
      </c>
      <c r="G1774" s="19" t="n">
        <v>0</v>
      </c>
    </row>
    <row r="1775">
      <c r="A1775" s="2" t="inlineStr">
        <is>
          <t>PED01774</t>
        </is>
      </c>
      <c r="B1775" s="3" t="n">
        <v>45606</v>
      </c>
      <c r="C1775" s="2" t="inlineStr">
        <is>
          <t>C0231</t>
        </is>
      </c>
      <c r="D1775" s="2" t="inlineStr">
        <is>
          <t>L06</t>
        </is>
      </c>
      <c r="E1775" s="2" t="inlineStr">
        <is>
          <t>Entregue</t>
        </is>
      </c>
      <c r="F1775" s="2" t="inlineStr">
        <is>
          <t>Cartão de débito</t>
        </is>
      </c>
      <c r="G1775" s="19" t="n">
        <v>0</v>
      </c>
    </row>
    <row r="1776">
      <c r="A1776" s="2" t="inlineStr">
        <is>
          <t>PED01775</t>
        </is>
      </c>
      <c r="B1776" s="3" t="n">
        <v>45637</v>
      </c>
      <c r="C1776" s="2" t="inlineStr">
        <is>
          <t>C0138</t>
        </is>
      </c>
      <c r="D1776" s="2" t="inlineStr">
        <is>
          <t>L01</t>
        </is>
      </c>
      <c r="E1776" s="2" t="inlineStr">
        <is>
          <t>Entregue</t>
        </is>
      </c>
      <c r="F1776" s="2" t="inlineStr">
        <is>
          <t>Cartão de crédito</t>
        </is>
      </c>
      <c r="G1776" s="19" t="n">
        <v>0.05</v>
      </c>
    </row>
    <row r="1777">
      <c r="A1777" s="2" t="inlineStr">
        <is>
          <t>PED01776</t>
        </is>
      </c>
      <c r="B1777" s="3" t="n">
        <v>45896</v>
      </c>
      <c r="C1777" s="2" t="inlineStr">
        <is>
          <t>C0306</t>
        </is>
      </c>
      <c r="D1777" s="2" t="inlineStr">
        <is>
          <t>L03</t>
        </is>
      </c>
      <c r="E1777" s="2" t="inlineStr">
        <is>
          <t>Em processamento</t>
        </is>
      </c>
      <c r="F1777" s="2" t="inlineStr">
        <is>
          <t>Transferência</t>
        </is>
      </c>
      <c r="G1777" s="19" t="n">
        <v>0.05</v>
      </c>
    </row>
    <row r="1778">
      <c r="A1778" s="2" t="inlineStr">
        <is>
          <t>PED01777</t>
        </is>
      </c>
      <c r="B1778" s="3" t="n">
        <v>45745</v>
      </c>
      <c r="C1778" s="2" t="inlineStr">
        <is>
          <t>C0226</t>
        </is>
      </c>
      <c r="D1778" s="2" t="inlineStr">
        <is>
          <t>L08</t>
        </is>
      </c>
      <c r="E1778" s="2" t="inlineStr">
        <is>
          <t>Entregue</t>
        </is>
      </c>
      <c r="F1778" s="2" t="inlineStr">
        <is>
          <t>Cartão de crédito</t>
        </is>
      </c>
      <c r="G1778" s="19" t="n">
        <v>0</v>
      </c>
    </row>
    <row r="1779">
      <c r="A1779" s="2" t="inlineStr">
        <is>
          <t>PED01778</t>
        </is>
      </c>
      <c r="B1779" s="3" t="n">
        <v>45978</v>
      </c>
      <c r="C1779" s="2" t="inlineStr">
        <is>
          <t>C0044</t>
        </is>
      </c>
      <c r="D1779" s="2" t="inlineStr">
        <is>
          <t>L01</t>
        </is>
      </c>
      <c r="E1779" s="2" t="inlineStr">
        <is>
          <t>Em processamento</t>
        </is>
      </c>
      <c r="F1779" s="2" t="inlineStr">
        <is>
          <t>Cartão de débito</t>
        </is>
      </c>
      <c r="G1779" s="19" t="n">
        <v>0.15</v>
      </c>
    </row>
    <row r="1780">
      <c r="A1780" s="2" t="inlineStr">
        <is>
          <t>PED01779</t>
        </is>
      </c>
      <c r="B1780" s="3" t="n">
        <v>45325</v>
      </c>
      <c r="C1780" s="2" t="inlineStr">
        <is>
          <t>C0209</t>
        </is>
      </c>
      <c r="D1780" s="2" t="inlineStr">
        <is>
          <t>L03</t>
        </is>
      </c>
      <c r="E1780" s="2" t="inlineStr">
        <is>
          <t>Entregue</t>
        </is>
      </c>
      <c r="F1780" s="2" t="inlineStr">
        <is>
          <t>Pix</t>
        </is>
      </c>
      <c r="G1780" s="19" t="n">
        <v>0</v>
      </c>
    </row>
    <row r="1781">
      <c r="A1781" s="2" t="inlineStr">
        <is>
          <t>PED01780</t>
        </is>
      </c>
      <c r="B1781" s="3" t="n">
        <v>45524</v>
      </c>
      <c r="C1781" s="2" t="inlineStr">
        <is>
          <t>C0349</t>
        </is>
      </c>
      <c r="D1781" s="2" t="inlineStr">
        <is>
          <t>L01</t>
        </is>
      </c>
      <c r="E1781" s="2" t="inlineStr">
        <is>
          <t>Entregue</t>
        </is>
      </c>
      <c r="F1781" s="2" t="inlineStr">
        <is>
          <t>Cartão de crédito</t>
        </is>
      </c>
      <c r="G1781" s="19" t="n">
        <v>0</v>
      </c>
    </row>
    <row r="1782">
      <c r="A1782" s="2" t="inlineStr">
        <is>
          <t>PED01781</t>
        </is>
      </c>
      <c r="B1782" s="3" t="n">
        <v>45643</v>
      </c>
      <c r="C1782" s="2" t="inlineStr">
        <is>
          <t>C0125</t>
        </is>
      </c>
      <c r="D1782" s="2" t="inlineStr">
        <is>
          <t>L08</t>
        </is>
      </c>
      <c r="E1782" s="2" t="inlineStr">
        <is>
          <t>Entregue</t>
        </is>
      </c>
      <c r="F1782" s="2" t="inlineStr">
        <is>
          <t>Pix</t>
        </is>
      </c>
      <c r="G1782" s="19" t="n">
        <v>0.1</v>
      </c>
    </row>
    <row r="1783">
      <c r="A1783" s="2" t="inlineStr">
        <is>
          <t>PED01782</t>
        </is>
      </c>
      <c r="B1783" s="3" t="n">
        <v>45302</v>
      </c>
      <c r="C1783" s="2" t="inlineStr">
        <is>
          <t>C0132</t>
        </is>
      </c>
      <c r="D1783" s="2" t="inlineStr">
        <is>
          <t>L03</t>
        </is>
      </c>
      <c r="E1783" s="2" t="inlineStr">
        <is>
          <t>Entregue</t>
        </is>
      </c>
      <c r="F1783" s="2" t="inlineStr">
        <is>
          <t>Transferência</t>
        </is>
      </c>
      <c r="G1783" s="19" t="n">
        <v>0.1</v>
      </c>
    </row>
    <row r="1784">
      <c r="A1784" s="2" t="inlineStr">
        <is>
          <t>PED01783</t>
        </is>
      </c>
      <c r="B1784" s="3" t="n">
        <v>45427</v>
      </c>
      <c r="C1784" s="2" t="inlineStr">
        <is>
          <t>C0187</t>
        </is>
      </c>
      <c r="D1784" s="2" t="inlineStr">
        <is>
          <t>L06</t>
        </is>
      </c>
      <c r="E1784" s="2" t="inlineStr">
        <is>
          <t>Entregue</t>
        </is>
      </c>
      <c r="F1784" s="2" t="inlineStr">
        <is>
          <t>Cartão de crédito</t>
        </is>
      </c>
      <c r="G1784" s="19" t="n">
        <v>0.1</v>
      </c>
    </row>
    <row r="1785">
      <c r="A1785" s="2" t="inlineStr">
        <is>
          <t>PED01784</t>
        </is>
      </c>
      <c r="B1785" s="3" t="n">
        <v>45625</v>
      </c>
      <c r="C1785" s="2" t="inlineStr">
        <is>
          <t>C0287</t>
        </is>
      </c>
      <c r="D1785" s="2" t="inlineStr">
        <is>
          <t>L07</t>
        </is>
      </c>
      <c r="E1785" s="2" t="inlineStr">
        <is>
          <t>Devolvido</t>
        </is>
      </c>
      <c r="F1785" s="2" t="inlineStr">
        <is>
          <t>Boleto</t>
        </is>
      </c>
      <c r="G1785" s="19" t="n">
        <v>0.15</v>
      </c>
    </row>
    <row r="1786">
      <c r="A1786" s="2" t="inlineStr">
        <is>
          <t>PED01785</t>
        </is>
      </c>
      <c r="B1786" s="3" t="n">
        <v>46008</v>
      </c>
      <c r="C1786" s="2" t="inlineStr">
        <is>
          <t>C0040</t>
        </is>
      </c>
      <c r="D1786" s="2" t="inlineStr">
        <is>
          <t>L05</t>
        </is>
      </c>
      <c r="E1786" s="2" t="inlineStr">
        <is>
          <t>Entregue</t>
        </is>
      </c>
      <c r="F1786" s="2" t="inlineStr">
        <is>
          <t>Cartão de débito</t>
        </is>
      </c>
      <c r="G1786" s="19" t="n">
        <v>0.03</v>
      </c>
    </row>
    <row r="1787">
      <c r="A1787" s="2" t="inlineStr">
        <is>
          <t>PED01786</t>
        </is>
      </c>
      <c r="B1787" s="3" t="n">
        <v>45623</v>
      </c>
      <c r="C1787" s="2" t="inlineStr">
        <is>
          <t>C0041</t>
        </is>
      </c>
      <c r="D1787" s="2" t="inlineStr">
        <is>
          <t>L01</t>
        </is>
      </c>
      <c r="E1787" s="2" t="inlineStr">
        <is>
          <t>Entregue</t>
        </is>
      </c>
      <c r="F1787" s="2" t="inlineStr">
        <is>
          <t>Cartão de crédito</t>
        </is>
      </c>
      <c r="G1787" s="19" t="n">
        <v>0</v>
      </c>
    </row>
    <row r="1788">
      <c r="A1788" s="2" t="inlineStr">
        <is>
          <t>PED01787</t>
        </is>
      </c>
      <c r="B1788" s="3" t="n">
        <v>46012</v>
      </c>
      <c r="C1788" s="2" t="inlineStr">
        <is>
          <t>C0336</t>
        </is>
      </c>
      <c r="D1788" s="2" t="inlineStr">
        <is>
          <t>L01</t>
        </is>
      </c>
      <c r="E1788" s="2" t="inlineStr">
        <is>
          <t>Entregue</t>
        </is>
      </c>
      <c r="F1788" s="2" t="inlineStr">
        <is>
          <t>Boleto</t>
        </is>
      </c>
      <c r="G1788" s="19" t="n">
        <v>0</v>
      </c>
    </row>
    <row r="1789">
      <c r="A1789" s="2" t="inlineStr">
        <is>
          <t>PED01788</t>
        </is>
      </c>
      <c r="B1789" s="3" t="n">
        <v>46004</v>
      </c>
      <c r="C1789" s="2" t="inlineStr">
        <is>
          <t>C0035</t>
        </is>
      </c>
      <c r="D1789" s="2" t="inlineStr">
        <is>
          <t>L01</t>
        </is>
      </c>
      <c r="E1789" s="2" t="inlineStr">
        <is>
          <t>Cancelado</t>
        </is>
      </c>
      <c r="F1789" s="2" t="inlineStr">
        <is>
          <t>Pix</t>
        </is>
      </c>
      <c r="G1789" s="19" t="n">
        <v>0</v>
      </c>
    </row>
    <row r="1790">
      <c r="A1790" s="2" t="inlineStr">
        <is>
          <t>PED01789</t>
        </is>
      </c>
      <c r="B1790" s="3" t="n">
        <v>45784</v>
      </c>
      <c r="C1790" s="2" t="inlineStr">
        <is>
          <t>C0274</t>
        </is>
      </c>
      <c r="D1790" s="2" t="inlineStr">
        <is>
          <t>L06</t>
        </is>
      </c>
      <c r="E1790" s="2" t="inlineStr">
        <is>
          <t>Entregue</t>
        </is>
      </c>
      <c r="F1790" s="2" t="inlineStr">
        <is>
          <t>Cartão de crédito</t>
        </is>
      </c>
      <c r="G1790" s="19" t="n">
        <v>0.1</v>
      </c>
    </row>
    <row r="1791">
      <c r="A1791" s="2" t="inlineStr">
        <is>
          <t>PED01790</t>
        </is>
      </c>
      <c r="B1791" s="3" t="n">
        <v>45797</v>
      </c>
      <c r="C1791" s="2" t="inlineStr">
        <is>
          <t>C0073</t>
        </is>
      </c>
      <c r="D1791" s="2" t="inlineStr">
        <is>
          <t>L04</t>
        </is>
      </c>
      <c r="E1791" s="2" t="inlineStr">
        <is>
          <t>Entregue</t>
        </is>
      </c>
      <c r="F1791" s="2" t="inlineStr">
        <is>
          <t>Pix</t>
        </is>
      </c>
      <c r="G1791" s="19" t="n">
        <v>0.03</v>
      </c>
    </row>
    <row r="1792">
      <c r="A1792" s="2" t="inlineStr">
        <is>
          <t>PED01791</t>
        </is>
      </c>
      <c r="B1792" s="3" t="n">
        <v>45566</v>
      </c>
      <c r="C1792" s="2" t="inlineStr">
        <is>
          <t>C0340</t>
        </is>
      </c>
      <c r="D1792" s="2" t="inlineStr">
        <is>
          <t>L06</t>
        </is>
      </c>
      <c r="E1792" s="2" t="inlineStr">
        <is>
          <t>Entregue</t>
        </is>
      </c>
      <c r="F1792" s="2" t="inlineStr">
        <is>
          <t>Pix</t>
        </is>
      </c>
      <c r="G1792" s="19" t="n">
        <v>0.05</v>
      </c>
    </row>
    <row r="1793">
      <c r="A1793" s="2" t="inlineStr">
        <is>
          <t>PED01792</t>
        </is>
      </c>
      <c r="B1793" s="3" t="n">
        <v>45734</v>
      </c>
      <c r="C1793" s="2" t="inlineStr">
        <is>
          <t>C0255</t>
        </is>
      </c>
      <c r="D1793" s="2" t="inlineStr">
        <is>
          <t>L08</t>
        </is>
      </c>
      <c r="E1793" s="2" t="inlineStr">
        <is>
          <t>Entregue</t>
        </is>
      </c>
      <c r="F1793" s="2" t="inlineStr">
        <is>
          <t>Pix</t>
        </is>
      </c>
      <c r="G1793" s="19" t="n">
        <v>0</v>
      </c>
    </row>
    <row r="1794">
      <c r="A1794" s="2" t="inlineStr">
        <is>
          <t>PED01793</t>
        </is>
      </c>
      <c r="B1794" s="3" t="n">
        <v>45450</v>
      </c>
      <c r="C1794" s="2" t="inlineStr">
        <is>
          <t>C0282</t>
        </is>
      </c>
      <c r="D1794" s="2" t="inlineStr">
        <is>
          <t>L06</t>
        </is>
      </c>
      <c r="E1794" s="2" t="inlineStr">
        <is>
          <t>Entregue</t>
        </is>
      </c>
      <c r="F1794" s="2" t="inlineStr">
        <is>
          <t>Pix</t>
        </is>
      </c>
      <c r="G1794" s="19" t="n">
        <v>0</v>
      </c>
    </row>
    <row r="1795">
      <c r="A1795" s="2" t="inlineStr">
        <is>
          <t>PED01794</t>
        </is>
      </c>
      <c r="B1795" s="3" t="n">
        <v>45938</v>
      </c>
      <c r="C1795" s="2" t="inlineStr">
        <is>
          <t>C0191</t>
        </is>
      </c>
      <c r="D1795" s="2" t="inlineStr">
        <is>
          <t>L06</t>
        </is>
      </c>
      <c r="E1795" s="2" t="inlineStr">
        <is>
          <t>Entregue</t>
        </is>
      </c>
      <c r="F1795" s="2" t="inlineStr">
        <is>
          <t>Pix</t>
        </is>
      </c>
      <c r="G1795" s="19" t="n">
        <v>0.1</v>
      </c>
    </row>
    <row r="1796">
      <c r="A1796" s="2" t="inlineStr">
        <is>
          <t>PED01795</t>
        </is>
      </c>
      <c r="B1796" s="3" t="n">
        <v>45609</v>
      </c>
      <c r="C1796" s="2" t="inlineStr">
        <is>
          <t>C0094</t>
        </is>
      </c>
      <c r="D1796" s="2" t="inlineStr">
        <is>
          <t>L05</t>
        </is>
      </c>
      <c r="E1796" s="2" t="inlineStr">
        <is>
          <t>Entregue</t>
        </is>
      </c>
      <c r="F1796" s="2" t="inlineStr">
        <is>
          <t>Cartão de crédito</t>
        </is>
      </c>
      <c r="G1796" s="19" t="n">
        <v>0</v>
      </c>
    </row>
    <row r="1797">
      <c r="A1797" s="2" t="inlineStr">
        <is>
          <t>PED01796</t>
        </is>
      </c>
      <c r="B1797" s="3" t="n">
        <v>45363</v>
      </c>
      <c r="C1797" s="2" t="inlineStr">
        <is>
          <t>C0092</t>
        </is>
      </c>
      <c r="D1797" s="2" t="inlineStr">
        <is>
          <t>L05</t>
        </is>
      </c>
      <c r="E1797" s="2" t="inlineStr">
        <is>
          <t>Entregue</t>
        </is>
      </c>
      <c r="F1797" s="2" t="inlineStr">
        <is>
          <t>Transferência</t>
        </is>
      </c>
      <c r="G1797" s="19" t="n">
        <v>0.15</v>
      </c>
    </row>
    <row r="1798">
      <c r="A1798" s="2" t="inlineStr">
        <is>
          <t>PED01797</t>
        </is>
      </c>
      <c r="B1798" s="3" t="n">
        <v>45765</v>
      </c>
      <c r="C1798" s="2" t="inlineStr">
        <is>
          <t>C0266</t>
        </is>
      </c>
      <c r="D1798" s="2" t="inlineStr">
        <is>
          <t>L08</t>
        </is>
      </c>
      <c r="E1798" s="2" t="inlineStr">
        <is>
          <t>Entregue</t>
        </is>
      </c>
      <c r="F1798" s="2" t="inlineStr">
        <is>
          <t>Transferência</t>
        </is>
      </c>
      <c r="G1798" s="19" t="n">
        <v>0</v>
      </c>
    </row>
    <row r="1799">
      <c r="A1799" s="2" t="inlineStr">
        <is>
          <t>PED01798</t>
        </is>
      </c>
      <c r="B1799" s="3" t="n">
        <v>45984</v>
      </c>
      <c r="C1799" s="2" t="inlineStr">
        <is>
          <t>C0332</t>
        </is>
      </c>
      <c r="D1799" s="2" t="inlineStr">
        <is>
          <t>L01</t>
        </is>
      </c>
      <c r="E1799" s="2" t="inlineStr">
        <is>
          <t>Cancelado</t>
        </is>
      </c>
      <c r="F1799" s="2" t="inlineStr">
        <is>
          <t>Cartão de crédito</t>
        </is>
      </c>
      <c r="G1799" s="19" t="n">
        <v>0.05</v>
      </c>
    </row>
    <row r="1800">
      <c r="A1800" s="2" t="inlineStr">
        <is>
          <t>PED01799</t>
        </is>
      </c>
      <c r="B1800" s="3" t="n">
        <v>45933</v>
      </c>
      <c r="C1800" s="2" t="inlineStr">
        <is>
          <t>C0016</t>
        </is>
      </c>
      <c r="D1800" s="2" t="inlineStr">
        <is>
          <t>L01</t>
        </is>
      </c>
      <c r="E1800" s="2" t="inlineStr">
        <is>
          <t>Entregue</t>
        </is>
      </c>
      <c r="F1800" s="2" t="inlineStr">
        <is>
          <t>Pix</t>
        </is>
      </c>
      <c r="G1800" s="19" t="n">
        <v>0</v>
      </c>
    </row>
    <row r="1801">
      <c r="A1801" s="2" t="inlineStr">
        <is>
          <t>PED01800</t>
        </is>
      </c>
      <c r="B1801" s="3" t="n">
        <v>45420</v>
      </c>
      <c r="C1801" s="2" t="inlineStr">
        <is>
          <t>C0188</t>
        </is>
      </c>
      <c r="D1801" s="2" t="inlineStr">
        <is>
          <t>L05</t>
        </is>
      </c>
      <c r="E1801" s="2" t="inlineStr">
        <is>
          <t>Entregue</t>
        </is>
      </c>
      <c r="F1801" s="2" t="inlineStr">
        <is>
          <t>Boleto</t>
        </is>
      </c>
      <c r="G1801" s="19" t="n">
        <v>0</v>
      </c>
    </row>
  </sheetData>
  <autoFilter ref="A1:G18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46"/>
  <sheetViews>
    <sheetView showGridLines="0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14" customWidth="1" min="1" max="1"/>
    <col width="13" customWidth="1" min="2" max="4"/>
    <col width="13" customWidth="1" min="3" max="3"/>
    <col width="13" customWidth="1" min="4" max="4"/>
    <col width="17" customWidth="1" min="5" max="5"/>
  </cols>
  <sheetData>
    <row r="1" ht="27.95" customHeight="1">
      <c r="A1" s="16" t="inlineStr">
        <is>
          <t>ItemPedidoID</t>
        </is>
      </c>
      <c r="B1" s="16" t="inlineStr">
        <is>
          <t>PedidoID</t>
        </is>
      </c>
      <c r="C1" s="16" t="inlineStr">
        <is>
          <t>ProdutoID</t>
        </is>
      </c>
      <c r="D1" s="16" t="inlineStr">
        <is>
          <t>Quantidade</t>
        </is>
      </c>
      <c r="E1" s="16" t="inlineStr">
        <is>
          <t>DescontoItemPct</t>
        </is>
      </c>
    </row>
    <row r="2">
      <c r="A2" s="2" t="inlineStr">
        <is>
          <t>IT00001_01</t>
        </is>
      </c>
      <c r="B2" s="2" t="inlineStr">
        <is>
          <t>PED00001</t>
        </is>
      </c>
      <c r="C2" s="2" t="inlineStr">
        <is>
          <t>P061</t>
        </is>
      </c>
      <c r="D2" s="2" t="n">
        <v>2</v>
      </c>
      <c r="E2" s="19" t="n">
        <v>0</v>
      </c>
    </row>
    <row r="3">
      <c r="A3" s="2" t="inlineStr">
        <is>
          <t>IT00001_02</t>
        </is>
      </c>
      <c r="B3" s="2" t="inlineStr">
        <is>
          <t>PED00001</t>
        </is>
      </c>
      <c r="C3" s="2" t="inlineStr">
        <is>
          <t>P067</t>
        </is>
      </c>
      <c r="D3" s="2" t="n">
        <v>2</v>
      </c>
      <c r="E3" s="19" t="n">
        <v>0</v>
      </c>
    </row>
    <row r="4">
      <c r="A4" s="2" t="inlineStr">
        <is>
          <t>IT00002_01</t>
        </is>
      </c>
      <c r="B4" s="2" t="inlineStr">
        <is>
          <t>PED00002</t>
        </is>
      </c>
      <c r="C4" s="2" t="inlineStr">
        <is>
          <t>P065</t>
        </is>
      </c>
      <c r="D4" s="2" t="n">
        <v>2</v>
      </c>
      <c r="E4" s="19" t="n">
        <v>0</v>
      </c>
    </row>
    <row r="5">
      <c r="A5" s="2" t="inlineStr">
        <is>
          <t>IT00002_02</t>
        </is>
      </c>
      <c r="B5" s="2" t="inlineStr">
        <is>
          <t>PED00002</t>
        </is>
      </c>
      <c r="C5" s="2" t="inlineStr">
        <is>
          <t>P066</t>
        </is>
      </c>
      <c r="D5" s="2" t="n">
        <v>2</v>
      </c>
      <c r="E5" s="19" t="n">
        <v>0</v>
      </c>
    </row>
    <row r="6">
      <c r="A6" s="2" t="inlineStr">
        <is>
          <t>IT00002_03</t>
        </is>
      </c>
      <c r="B6" s="2" t="inlineStr">
        <is>
          <t>PED00002</t>
        </is>
      </c>
      <c r="C6" s="2" t="inlineStr">
        <is>
          <t>P069</t>
        </is>
      </c>
      <c r="D6" s="2" t="n">
        <v>1</v>
      </c>
      <c r="E6" s="19" t="n">
        <v>0</v>
      </c>
    </row>
    <row r="7">
      <c r="A7" s="2" t="inlineStr">
        <is>
          <t>IT00003_01</t>
        </is>
      </c>
      <c r="B7" s="2" t="inlineStr">
        <is>
          <t>PED00003</t>
        </is>
      </c>
      <c r="C7" s="2" t="inlineStr">
        <is>
          <t>P061</t>
        </is>
      </c>
      <c r="D7" s="2" t="n">
        <v>1</v>
      </c>
      <c r="E7" s="19" t="n">
        <v>0.02</v>
      </c>
    </row>
    <row r="8">
      <c r="A8" s="2" t="inlineStr">
        <is>
          <t>IT00004_01</t>
        </is>
      </c>
      <c r="B8" s="2" t="inlineStr">
        <is>
          <t>PED00004</t>
        </is>
      </c>
      <c r="C8" s="2" t="inlineStr">
        <is>
          <t>P049</t>
        </is>
      </c>
      <c r="D8" s="2" t="n">
        <v>1</v>
      </c>
      <c r="E8" s="19" t="n">
        <v>0.05</v>
      </c>
    </row>
    <row r="9">
      <c r="A9" s="2" t="inlineStr">
        <is>
          <t>IT00004_02</t>
        </is>
      </c>
      <c r="B9" s="2" t="inlineStr">
        <is>
          <t>PED00004</t>
        </is>
      </c>
      <c r="C9" s="2" t="inlineStr">
        <is>
          <t>P019</t>
        </is>
      </c>
      <c r="D9" s="2" t="n">
        <v>1</v>
      </c>
      <c r="E9" s="19" t="n">
        <v>0</v>
      </c>
    </row>
    <row r="10">
      <c r="A10" s="2" t="inlineStr">
        <is>
          <t>IT00004_03</t>
        </is>
      </c>
      <c r="B10" s="2" t="inlineStr">
        <is>
          <t>PED00004</t>
        </is>
      </c>
      <c r="C10" s="2" t="inlineStr">
        <is>
          <t>P032</t>
        </is>
      </c>
      <c r="D10" s="2" t="n">
        <v>1</v>
      </c>
      <c r="E10" s="19" t="n">
        <v>0</v>
      </c>
    </row>
    <row r="11">
      <c r="A11" s="2" t="inlineStr">
        <is>
          <t>IT00005_01</t>
        </is>
      </c>
      <c r="B11" s="2" t="inlineStr">
        <is>
          <t>PED00005</t>
        </is>
      </c>
      <c r="C11" s="2" t="inlineStr">
        <is>
          <t>P008</t>
        </is>
      </c>
      <c r="D11" s="2" t="n">
        <v>2</v>
      </c>
      <c r="E11" s="19" t="n">
        <v>0.1</v>
      </c>
    </row>
    <row r="12">
      <c r="A12" s="2" t="inlineStr">
        <is>
          <t>IT00005_02</t>
        </is>
      </c>
      <c r="B12" s="2" t="inlineStr">
        <is>
          <t>PED00005</t>
        </is>
      </c>
      <c r="C12" s="2" t="inlineStr">
        <is>
          <t>P018</t>
        </is>
      </c>
      <c r="D12" s="2" t="n">
        <v>2</v>
      </c>
      <c r="E12" s="19" t="n">
        <v>0</v>
      </c>
    </row>
    <row r="13">
      <c r="A13" s="2" t="inlineStr">
        <is>
          <t>IT00005_03</t>
        </is>
      </c>
      <c r="B13" s="2" t="inlineStr">
        <is>
          <t>PED00005</t>
        </is>
      </c>
      <c r="C13" s="2" t="inlineStr">
        <is>
          <t>P067</t>
        </is>
      </c>
      <c r="D13" s="2" t="n">
        <v>5</v>
      </c>
      <c r="E13" s="19" t="n">
        <v>0</v>
      </c>
    </row>
    <row r="14">
      <c r="A14" s="2" t="inlineStr">
        <is>
          <t>IT00005_04</t>
        </is>
      </c>
      <c r="B14" s="2" t="inlineStr">
        <is>
          <t>PED00005</t>
        </is>
      </c>
      <c r="C14" s="2" t="inlineStr">
        <is>
          <t>P027</t>
        </is>
      </c>
      <c r="D14" s="2" t="n">
        <v>2</v>
      </c>
      <c r="E14" s="19" t="n">
        <v>0</v>
      </c>
    </row>
    <row r="15">
      <c r="A15" s="2" t="inlineStr">
        <is>
          <t>IT00006_01</t>
        </is>
      </c>
      <c r="B15" s="2" t="inlineStr">
        <is>
          <t>PED00006</t>
        </is>
      </c>
      <c r="C15" s="2" t="inlineStr">
        <is>
          <t>P029</t>
        </is>
      </c>
      <c r="D15" s="2" t="n">
        <v>3</v>
      </c>
      <c r="E15" s="19" t="n">
        <v>0.02</v>
      </c>
    </row>
    <row r="16">
      <c r="A16" s="2" t="inlineStr">
        <is>
          <t>IT00006_02</t>
        </is>
      </c>
      <c r="B16" s="2" t="inlineStr">
        <is>
          <t>PED00006</t>
        </is>
      </c>
      <c r="C16" s="2" t="inlineStr">
        <is>
          <t>P039</t>
        </is>
      </c>
      <c r="D16" s="2" t="n">
        <v>2</v>
      </c>
      <c r="E16" s="19" t="n">
        <v>0</v>
      </c>
    </row>
    <row r="17">
      <c r="A17" s="2" t="inlineStr">
        <is>
          <t>IT00006_03</t>
        </is>
      </c>
      <c r="B17" s="2" t="inlineStr">
        <is>
          <t>PED00006</t>
        </is>
      </c>
      <c r="C17" s="2" t="inlineStr">
        <is>
          <t>P037</t>
        </is>
      </c>
      <c r="D17" s="2" t="n">
        <v>2</v>
      </c>
      <c r="E17" s="19" t="n">
        <v>0.05</v>
      </c>
    </row>
    <row r="18">
      <c r="A18" s="2" t="inlineStr">
        <is>
          <t>IT00007_01</t>
        </is>
      </c>
      <c r="B18" s="2" t="inlineStr">
        <is>
          <t>PED00007</t>
        </is>
      </c>
      <c r="C18" s="2" t="inlineStr">
        <is>
          <t>P045</t>
        </is>
      </c>
      <c r="D18" s="2" t="n">
        <v>1</v>
      </c>
      <c r="E18" s="19" t="n">
        <v>0</v>
      </c>
    </row>
    <row r="19">
      <c r="A19" s="2" t="inlineStr">
        <is>
          <t>IT00007_02</t>
        </is>
      </c>
      <c r="B19" s="2" t="inlineStr">
        <is>
          <t>PED00007</t>
        </is>
      </c>
      <c r="C19" s="2" t="inlineStr">
        <is>
          <t>P019</t>
        </is>
      </c>
      <c r="D19" s="2" t="n">
        <v>3</v>
      </c>
      <c r="E19" s="19" t="n">
        <v>0</v>
      </c>
    </row>
    <row r="20">
      <c r="A20" s="2" t="inlineStr">
        <is>
          <t>IT00008_01</t>
        </is>
      </c>
      <c r="B20" s="2" t="inlineStr">
        <is>
          <t>PED00008</t>
        </is>
      </c>
      <c r="C20" s="2" t="inlineStr">
        <is>
          <t>P035</t>
        </is>
      </c>
      <c r="D20" s="2" t="n">
        <v>1</v>
      </c>
      <c r="E20" s="19" t="n">
        <v>0.02</v>
      </c>
    </row>
    <row r="21">
      <c r="A21" s="2" t="inlineStr">
        <is>
          <t>IT00008_02</t>
        </is>
      </c>
      <c r="B21" s="2" t="inlineStr">
        <is>
          <t>PED00008</t>
        </is>
      </c>
      <c r="C21" s="2" t="inlineStr">
        <is>
          <t>P018</t>
        </is>
      </c>
      <c r="D21" s="2" t="n">
        <v>1</v>
      </c>
      <c r="E21" s="19" t="n">
        <v>0</v>
      </c>
    </row>
    <row r="22">
      <c r="A22" s="2" t="inlineStr">
        <is>
          <t>IT00009_01</t>
        </is>
      </c>
      <c r="B22" s="2" t="inlineStr">
        <is>
          <t>PED00009</t>
        </is>
      </c>
      <c r="C22" s="2" t="inlineStr">
        <is>
          <t>P018</t>
        </is>
      </c>
      <c r="D22" s="2" t="n">
        <v>1</v>
      </c>
      <c r="E22" s="19" t="n">
        <v>0</v>
      </c>
    </row>
    <row r="23">
      <c r="A23" s="2" t="inlineStr">
        <is>
          <t>IT00010_01</t>
        </is>
      </c>
      <c r="B23" s="2" t="inlineStr">
        <is>
          <t>PED00010</t>
        </is>
      </c>
      <c r="C23" s="2" t="inlineStr">
        <is>
          <t>P008</t>
        </is>
      </c>
      <c r="D23" s="2" t="n">
        <v>2</v>
      </c>
      <c r="E23" s="19" t="n">
        <v>0</v>
      </c>
    </row>
    <row r="24">
      <c r="A24" s="2" t="inlineStr">
        <is>
          <t>IT00010_02</t>
        </is>
      </c>
      <c r="B24" s="2" t="inlineStr">
        <is>
          <t>PED00010</t>
        </is>
      </c>
      <c r="C24" s="2" t="inlineStr">
        <is>
          <t>P012</t>
        </is>
      </c>
      <c r="D24" s="2" t="n">
        <v>3</v>
      </c>
      <c r="E24" s="19" t="n">
        <v>0.05</v>
      </c>
    </row>
    <row r="25">
      <c r="A25" s="2" t="inlineStr">
        <is>
          <t>IT00011_01</t>
        </is>
      </c>
      <c r="B25" s="2" t="inlineStr">
        <is>
          <t>PED00011</t>
        </is>
      </c>
      <c r="C25" s="2" t="inlineStr">
        <is>
          <t>P051</t>
        </is>
      </c>
      <c r="D25" s="2" t="n">
        <v>1</v>
      </c>
      <c r="E25" s="19" t="n">
        <v>0</v>
      </c>
    </row>
    <row r="26">
      <c r="A26" s="2" t="inlineStr">
        <is>
          <t>IT00011_02</t>
        </is>
      </c>
      <c r="B26" s="2" t="inlineStr">
        <is>
          <t>PED00011</t>
        </is>
      </c>
      <c r="C26" s="2" t="inlineStr">
        <is>
          <t>P064</t>
        </is>
      </c>
      <c r="D26" s="2" t="n">
        <v>1</v>
      </c>
      <c r="E26" s="19" t="n">
        <v>0.1</v>
      </c>
    </row>
    <row r="27">
      <c r="A27" s="2" t="inlineStr">
        <is>
          <t>IT00011_03</t>
        </is>
      </c>
      <c r="B27" s="2" t="inlineStr">
        <is>
          <t>PED00011</t>
        </is>
      </c>
      <c r="C27" s="2" t="inlineStr">
        <is>
          <t>P024</t>
        </is>
      </c>
      <c r="D27" s="2" t="n">
        <v>1</v>
      </c>
      <c r="E27" s="19" t="n">
        <v>0.1</v>
      </c>
    </row>
    <row r="28">
      <c r="A28" s="2" t="inlineStr">
        <is>
          <t>IT00011_04</t>
        </is>
      </c>
      <c r="B28" s="2" t="inlineStr">
        <is>
          <t>PED00011</t>
        </is>
      </c>
      <c r="C28" s="2" t="inlineStr">
        <is>
          <t>P038</t>
        </is>
      </c>
      <c r="D28" s="2" t="n">
        <v>2</v>
      </c>
      <c r="E28" s="19" t="n">
        <v>0</v>
      </c>
    </row>
    <row r="29">
      <c r="A29" s="2" t="inlineStr">
        <is>
          <t>IT00011_05</t>
        </is>
      </c>
      <c r="B29" s="2" t="inlineStr">
        <is>
          <t>PED00011</t>
        </is>
      </c>
      <c r="C29" s="2" t="inlineStr">
        <is>
          <t>P005</t>
        </is>
      </c>
      <c r="D29" s="2" t="n">
        <v>5</v>
      </c>
      <c r="E29" s="19" t="n">
        <v>0.05</v>
      </c>
    </row>
    <row r="30">
      <c r="A30" s="2" t="inlineStr">
        <is>
          <t>IT00012_01</t>
        </is>
      </c>
      <c r="B30" s="2" t="inlineStr">
        <is>
          <t>PED00012</t>
        </is>
      </c>
      <c r="C30" s="2" t="inlineStr">
        <is>
          <t>P024</t>
        </is>
      </c>
      <c r="D30" s="2" t="n">
        <v>3</v>
      </c>
      <c r="E30" s="19" t="n">
        <v>0</v>
      </c>
    </row>
    <row r="31">
      <c r="A31" s="2" t="inlineStr">
        <is>
          <t>IT00012_02</t>
        </is>
      </c>
      <c r="B31" s="2" t="inlineStr">
        <is>
          <t>PED00012</t>
        </is>
      </c>
      <c r="C31" s="2" t="inlineStr">
        <is>
          <t>P002</t>
        </is>
      </c>
      <c r="D31" s="2" t="n">
        <v>3</v>
      </c>
      <c r="E31" s="19" t="n">
        <v>0</v>
      </c>
    </row>
    <row r="32">
      <c r="A32" s="2" t="inlineStr">
        <is>
          <t>IT00012_03</t>
        </is>
      </c>
      <c r="B32" s="2" t="inlineStr">
        <is>
          <t>PED00012</t>
        </is>
      </c>
      <c r="C32" s="2" t="inlineStr">
        <is>
          <t>P044</t>
        </is>
      </c>
      <c r="D32" s="2" t="n">
        <v>4</v>
      </c>
      <c r="E32" s="19" t="n">
        <v>0.05</v>
      </c>
    </row>
    <row r="33">
      <c r="A33" s="2" t="inlineStr">
        <is>
          <t>IT00013_01</t>
        </is>
      </c>
      <c r="B33" s="2" t="inlineStr">
        <is>
          <t>PED00013</t>
        </is>
      </c>
      <c r="C33" s="2" t="inlineStr">
        <is>
          <t>P042</t>
        </is>
      </c>
      <c r="D33" s="2" t="n">
        <v>5</v>
      </c>
      <c r="E33" s="19" t="n">
        <v>0</v>
      </c>
    </row>
    <row r="34">
      <c r="A34" s="2" t="inlineStr">
        <is>
          <t>IT00014_01</t>
        </is>
      </c>
      <c r="B34" s="2" t="inlineStr">
        <is>
          <t>PED00014</t>
        </is>
      </c>
      <c r="C34" s="2" t="inlineStr">
        <is>
          <t>P002</t>
        </is>
      </c>
      <c r="D34" s="2" t="n">
        <v>2</v>
      </c>
      <c r="E34" s="19" t="n">
        <v>0</v>
      </c>
    </row>
    <row r="35">
      <c r="A35" s="2" t="inlineStr">
        <is>
          <t>IT00014_02</t>
        </is>
      </c>
      <c r="B35" s="2" t="inlineStr">
        <is>
          <t>PED00014</t>
        </is>
      </c>
      <c r="C35" s="2" t="inlineStr">
        <is>
          <t>P034</t>
        </is>
      </c>
      <c r="D35" s="2" t="n">
        <v>1</v>
      </c>
      <c r="E35" s="19" t="n">
        <v>0</v>
      </c>
    </row>
    <row r="36">
      <c r="A36" s="2" t="inlineStr">
        <is>
          <t>IT00014_03</t>
        </is>
      </c>
      <c r="B36" s="2" t="inlineStr">
        <is>
          <t>PED00014</t>
        </is>
      </c>
      <c r="C36" s="2" t="inlineStr">
        <is>
          <t>P047</t>
        </is>
      </c>
      <c r="D36" s="2" t="n">
        <v>1</v>
      </c>
      <c r="E36" s="19" t="n">
        <v>0</v>
      </c>
    </row>
    <row r="37">
      <c r="A37" s="2" t="inlineStr">
        <is>
          <t>IT00015_01</t>
        </is>
      </c>
      <c r="B37" s="2" t="inlineStr">
        <is>
          <t>PED00015</t>
        </is>
      </c>
      <c r="C37" s="2" t="inlineStr">
        <is>
          <t>P018</t>
        </is>
      </c>
      <c r="D37" s="2" t="n">
        <v>1</v>
      </c>
      <c r="E37" s="19" t="n">
        <v>0.02</v>
      </c>
    </row>
    <row r="38">
      <c r="A38" s="2" t="inlineStr">
        <is>
          <t>IT00015_02</t>
        </is>
      </c>
      <c r="B38" s="2" t="inlineStr">
        <is>
          <t>PED00015</t>
        </is>
      </c>
      <c r="C38" s="2" t="inlineStr">
        <is>
          <t>P062</t>
        </is>
      </c>
      <c r="D38" s="2" t="n">
        <v>2</v>
      </c>
      <c r="E38" s="19" t="n">
        <v>0</v>
      </c>
    </row>
    <row r="39">
      <c r="A39" s="2" t="inlineStr">
        <is>
          <t>IT00016_01</t>
        </is>
      </c>
      <c r="B39" s="2" t="inlineStr">
        <is>
          <t>PED00016</t>
        </is>
      </c>
      <c r="C39" s="2" t="inlineStr">
        <is>
          <t>P068</t>
        </is>
      </c>
      <c r="D39" s="2" t="n">
        <v>1</v>
      </c>
      <c r="E39" s="19" t="n">
        <v>0</v>
      </c>
    </row>
    <row r="40">
      <c r="A40" s="2" t="inlineStr">
        <is>
          <t>IT00016_02</t>
        </is>
      </c>
      <c r="B40" s="2" t="inlineStr">
        <is>
          <t>PED00016</t>
        </is>
      </c>
      <c r="C40" s="2" t="inlineStr">
        <is>
          <t>P058</t>
        </is>
      </c>
      <c r="D40" s="2" t="n">
        <v>1</v>
      </c>
      <c r="E40" s="19" t="n">
        <v>0</v>
      </c>
    </row>
    <row r="41">
      <c r="A41" s="2" t="inlineStr">
        <is>
          <t>IT00016_03</t>
        </is>
      </c>
      <c r="B41" s="2" t="inlineStr">
        <is>
          <t>PED00016</t>
        </is>
      </c>
      <c r="C41" s="2" t="inlineStr">
        <is>
          <t>P047</t>
        </is>
      </c>
      <c r="D41" s="2" t="n">
        <v>2</v>
      </c>
      <c r="E41" s="19" t="n">
        <v>0</v>
      </c>
    </row>
    <row r="42">
      <c r="A42" s="2" t="inlineStr">
        <is>
          <t>IT00017_01</t>
        </is>
      </c>
      <c r="B42" s="2" t="inlineStr">
        <is>
          <t>PED00017</t>
        </is>
      </c>
      <c r="C42" s="2" t="inlineStr">
        <is>
          <t>P063</t>
        </is>
      </c>
      <c r="D42" s="2" t="n">
        <v>2</v>
      </c>
      <c r="E42" s="19" t="n">
        <v>0</v>
      </c>
    </row>
    <row r="43">
      <c r="A43" s="2" t="inlineStr">
        <is>
          <t>IT00017_02</t>
        </is>
      </c>
      <c r="B43" s="2" t="inlineStr">
        <is>
          <t>PED00017</t>
        </is>
      </c>
      <c r="C43" s="2" t="inlineStr">
        <is>
          <t>P012</t>
        </is>
      </c>
      <c r="D43" s="2" t="n">
        <v>1</v>
      </c>
      <c r="E43" s="19" t="n">
        <v>0</v>
      </c>
    </row>
    <row r="44">
      <c r="A44" s="2" t="inlineStr">
        <is>
          <t>IT00017_03</t>
        </is>
      </c>
      <c r="B44" s="2" t="inlineStr">
        <is>
          <t>PED00017</t>
        </is>
      </c>
      <c r="C44" s="2" t="inlineStr">
        <is>
          <t>P066</t>
        </is>
      </c>
      <c r="D44" s="2" t="n">
        <v>2</v>
      </c>
      <c r="E44" s="19" t="n">
        <v>0</v>
      </c>
    </row>
    <row r="45">
      <c r="A45" s="2" t="inlineStr">
        <is>
          <t>IT00018_01</t>
        </is>
      </c>
      <c r="B45" s="2" t="inlineStr">
        <is>
          <t>PED00018</t>
        </is>
      </c>
      <c r="C45" s="2" t="inlineStr">
        <is>
          <t>P006</t>
        </is>
      </c>
      <c r="D45" s="2" t="n">
        <v>3</v>
      </c>
      <c r="E45" s="19" t="n">
        <v>0</v>
      </c>
    </row>
    <row r="46">
      <c r="A46" s="2" t="inlineStr">
        <is>
          <t>IT00018_02</t>
        </is>
      </c>
      <c r="B46" s="2" t="inlineStr">
        <is>
          <t>PED00018</t>
        </is>
      </c>
      <c r="C46" s="2" t="inlineStr">
        <is>
          <t>P055</t>
        </is>
      </c>
      <c r="D46" s="2" t="n">
        <v>1</v>
      </c>
      <c r="E46" s="19" t="n">
        <v>0.05</v>
      </c>
    </row>
    <row r="47">
      <c r="A47" s="2" t="inlineStr">
        <is>
          <t>IT00018_03</t>
        </is>
      </c>
      <c r="B47" s="2" t="inlineStr">
        <is>
          <t>PED00018</t>
        </is>
      </c>
      <c r="C47" s="2" t="inlineStr">
        <is>
          <t>P045</t>
        </is>
      </c>
      <c r="D47" s="2" t="n">
        <v>10</v>
      </c>
      <c r="E47" s="19" t="n">
        <v>0</v>
      </c>
    </row>
    <row r="48">
      <c r="A48" s="2" t="inlineStr">
        <is>
          <t>IT00019_01</t>
        </is>
      </c>
      <c r="B48" s="2" t="inlineStr">
        <is>
          <t>PED00019</t>
        </is>
      </c>
      <c r="C48" s="2" t="inlineStr">
        <is>
          <t>P054</t>
        </is>
      </c>
      <c r="D48" s="2" t="n">
        <v>2</v>
      </c>
      <c r="E48" s="19" t="n">
        <v>0.05</v>
      </c>
    </row>
    <row r="49">
      <c r="A49" s="2" t="inlineStr">
        <is>
          <t>IT00019_02</t>
        </is>
      </c>
      <c r="B49" s="2" t="inlineStr">
        <is>
          <t>PED00019</t>
        </is>
      </c>
      <c r="C49" s="2" t="inlineStr">
        <is>
          <t>P048</t>
        </is>
      </c>
      <c r="D49" s="2" t="n">
        <v>1</v>
      </c>
      <c r="E49" s="19" t="n">
        <v>0</v>
      </c>
    </row>
    <row r="50">
      <c r="A50" s="2" t="inlineStr">
        <is>
          <t>IT00019_03</t>
        </is>
      </c>
      <c r="B50" s="2" t="inlineStr">
        <is>
          <t>PED00019</t>
        </is>
      </c>
      <c r="C50" s="2" t="inlineStr">
        <is>
          <t>P049</t>
        </is>
      </c>
      <c r="D50" s="2" t="n">
        <v>5</v>
      </c>
      <c r="E50" s="19" t="n">
        <v>0.05</v>
      </c>
    </row>
    <row r="51">
      <c r="A51" s="2" t="inlineStr">
        <is>
          <t>IT00020_01</t>
        </is>
      </c>
      <c r="B51" s="2" t="inlineStr">
        <is>
          <t>PED00020</t>
        </is>
      </c>
      <c r="C51" s="2" t="inlineStr">
        <is>
          <t>P029</t>
        </is>
      </c>
      <c r="D51" s="2" t="n">
        <v>3</v>
      </c>
      <c r="E51" s="19" t="n">
        <v>0.02</v>
      </c>
    </row>
    <row r="52">
      <c r="A52" s="2" t="inlineStr">
        <is>
          <t>IT00021_01</t>
        </is>
      </c>
      <c r="B52" s="2" t="inlineStr">
        <is>
          <t>PED00021</t>
        </is>
      </c>
      <c r="C52" s="2" t="inlineStr">
        <is>
          <t>P036</t>
        </is>
      </c>
      <c r="D52" s="2" t="n">
        <v>5</v>
      </c>
      <c r="E52" s="19" t="n">
        <v>0.02</v>
      </c>
    </row>
    <row r="53">
      <c r="A53" s="2" t="inlineStr">
        <is>
          <t>IT00021_02</t>
        </is>
      </c>
      <c r="B53" s="2" t="inlineStr">
        <is>
          <t>PED00021</t>
        </is>
      </c>
      <c r="C53" s="2" t="inlineStr">
        <is>
          <t>P025</t>
        </is>
      </c>
      <c r="D53" s="2" t="n">
        <v>1</v>
      </c>
      <c r="E53" s="19" t="n">
        <v>0.05</v>
      </c>
    </row>
    <row r="54">
      <c r="A54" s="2" t="inlineStr">
        <is>
          <t>IT00022_01</t>
        </is>
      </c>
      <c r="B54" s="2" t="inlineStr">
        <is>
          <t>PED00022</t>
        </is>
      </c>
      <c r="C54" s="2" t="inlineStr">
        <is>
          <t>P007</t>
        </is>
      </c>
      <c r="D54" s="2" t="n">
        <v>3</v>
      </c>
      <c r="E54" s="19" t="n">
        <v>0</v>
      </c>
    </row>
    <row r="55">
      <c r="A55" s="2" t="inlineStr">
        <is>
          <t>IT00022_02</t>
        </is>
      </c>
      <c r="B55" s="2" t="inlineStr">
        <is>
          <t>PED00022</t>
        </is>
      </c>
      <c r="C55" s="2" t="inlineStr">
        <is>
          <t>P032</t>
        </is>
      </c>
      <c r="D55" s="2" t="n">
        <v>1</v>
      </c>
      <c r="E55" s="19" t="n">
        <v>0</v>
      </c>
    </row>
    <row r="56">
      <c r="A56" s="2" t="inlineStr">
        <is>
          <t>IT00023_01</t>
        </is>
      </c>
      <c r="B56" s="2" t="inlineStr">
        <is>
          <t>PED00023</t>
        </is>
      </c>
      <c r="C56" s="2" t="inlineStr">
        <is>
          <t>P042</t>
        </is>
      </c>
      <c r="D56" s="2" t="n">
        <v>4</v>
      </c>
      <c r="E56" s="19" t="n">
        <v>0.1</v>
      </c>
    </row>
    <row r="57">
      <c r="A57" s="2" t="inlineStr">
        <is>
          <t>IT00023_02</t>
        </is>
      </c>
      <c r="B57" s="2" t="inlineStr">
        <is>
          <t>PED00023</t>
        </is>
      </c>
      <c r="C57" s="2" t="inlineStr">
        <is>
          <t>P031</t>
        </is>
      </c>
      <c r="D57" s="2" t="n">
        <v>2</v>
      </c>
      <c r="E57" s="19" t="n">
        <v>0</v>
      </c>
    </row>
    <row r="58">
      <c r="A58" s="2" t="inlineStr">
        <is>
          <t>IT00023_03</t>
        </is>
      </c>
      <c r="B58" s="2" t="inlineStr">
        <is>
          <t>PED00023</t>
        </is>
      </c>
      <c r="C58" s="2" t="inlineStr">
        <is>
          <t>P039</t>
        </is>
      </c>
      <c r="D58" s="2" t="n">
        <v>1</v>
      </c>
      <c r="E58" s="19" t="n">
        <v>0</v>
      </c>
    </row>
    <row r="59">
      <c r="A59" s="2" t="inlineStr">
        <is>
          <t>IT00024_01</t>
        </is>
      </c>
      <c r="B59" s="2" t="inlineStr">
        <is>
          <t>PED00024</t>
        </is>
      </c>
      <c r="C59" s="2" t="inlineStr">
        <is>
          <t>P049</t>
        </is>
      </c>
      <c r="D59" s="2" t="n">
        <v>2</v>
      </c>
      <c r="E59" s="19" t="n">
        <v>0</v>
      </c>
    </row>
    <row r="60">
      <c r="A60" s="2" t="inlineStr">
        <is>
          <t>IT00024_02</t>
        </is>
      </c>
      <c r="B60" s="2" t="inlineStr">
        <is>
          <t>PED00024</t>
        </is>
      </c>
      <c r="C60" s="2" t="inlineStr">
        <is>
          <t>P068</t>
        </is>
      </c>
      <c r="D60" s="2" t="n">
        <v>1</v>
      </c>
      <c r="E60" s="19" t="n">
        <v>0</v>
      </c>
    </row>
    <row r="61">
      <c r="A61" s="2" t="inlineStr">
        <is>
          <t>IT00024_03</t>
        </is>
      </c>
      <c r="B61" s="2" t="inlineStr">
        <is>
          <t>PED00024</t>
        </is>
      </c>
      <c r="C61" s="2" t="inlineStr">
        <is>
          <t>P041</t>
        </is>
      </c>
      <c r="D61" s="2" t="n">
        <v>2</v>
      </c>
      <c r="E61" s="19" t="n">
        <v>0</v>
      </c>
    </row>
    <row r="62">
      <c r="A62" s="2" t="inlineStr">
        <is>
          <t>IT00025_01</t>
        </is>
      </c>
      <c r="B62" s="2" t="inlineStr">
        <is>
          <t>PED00025</t>
        </is>
      </c>
      <c r="C62" s="2" t="inlineStr">
        <is>
          <t>P068</t>
        </is>
      </c>
      <c r="D62" s="2" t="n">
        <v>1</v>
      </c>
      <c r="E62" s="19" t="n">
        <v>0</v>
      </c>
    </row>
    <row r="63">
      <c r="A63" s="2" t="inlineStr">
        <is>
          <t>IT00025_02</t>
        </is>
      </c>
      <c r="B63" s="2" t="inlineStr">
        <is>
          <t>PED00025</t>
        </is>
      </c>
      <c r="C63" s="2" t="inlineStr">
        <is>
          <t>P018</t>
        </is>
      </c>
      <c r="D63" s="2" t="n">
        <v>4</v>
      </c>
      <c r="E63" s="19" t="n">
        <v>0.05</v>
      </c>
    </row>
    <row r="64">
      <c r="A64" s="2" t="inlineStr">
        <is>
          <t>IT00025_03</t>
        </is>
      </c>
      <c r="B64" s="2" t="inlineStr">
        <is>
          <t>PED00025</t>
        </is>
      </c>
      <c r="C64" s="2" t="inlineStr">
        <is>
          <t>P050</t>
        </is>
      </c>
      <c r="D64" s="2" t="n">
        <v>1</v>
      </c>
      <c r="E64" s="19" t="n">
        <v>0.02</v>
      </c>
    </row>
    <row r="65">
      <c r="A65" s="2" t="inlineStr">
        <is>
          <t>IT00025_04</t>
        </is>
      </c>
      <c r="B65" s="2" t="inlineStr">
        <is>
          <t>PED00025</t>
        </is>
      </c>
      <c r="C65" s="2" t="inlineStr">
        <is>
          <t>P032</t>
        </is>
      </c>
      <c r="D65" s="2" t="n">
        <v>1</v>
      </c>
      <c r="E65" s="19" t="n">
        <v>0</v>
      </c>
    </row>
    <row r="66">
      <c r="A66" s="2" t="inlineStr">
        <is>
          <t>IT00025_05</t>
        </is>
      </c>
      <c r="B66" s="2" t="inlineStr">
        <is>
          <t>PED00025</t>
        </is>
      </c>
      <c r="C66" s="2" t="inlineStr">
        <is>
          <t>P033</t>
        </is>
      </c>
      <c r="D66" s="2" t="n">
        <v>2</v>
      </c>
      <c r="E66" s="19" t="n">
        <v>0</v>
      </c>
    </row>
    <row r="67">
      <c r="A67" s="2" t="inlineStr">
        <is>
          <t>IT00026_01</t>
        </is>
      </c>
      <c r="B67" s="2" t="inlineStr">
        <is>
          <t>PED00026</t>
        </is>
      </c>
      <c r="C67" s="2" t="inlineStr">
        <is>
          <t>P002</t>
        </is>
      </c>
      <c r="D67" s="2" t="n">
        <v>4</v>
      </c>
      <c r="E67" s="19" t="n">
        <v>0.02</v>
      </c>
    </row>
    <row r="68">
      <c r="A68" s="2" t="inlineStr">
        <is>
          <t>IT00026_02</t>
        </is>
      </c>
      <c r="B68" s="2" t="inlineStr">
        <is>
          <t>PED00026</t>
        </is>
      </c>
      <c r="C68" s="2" t="inlineStr">
        <is>
          <t>P028</t>
        </is>
      </c>
      <c r="D68" s="2" t="n">
        <v>3</v>
      </c>
      <c r="E68" s="19" t="n">
        <v>0</v>
      </c>
    </row>
    <row r="69">
      <c r="A69" s="2" t="inlineStr">
        <is>
          <t>IT00026_03</t>
        </is>
      </c>
      <c r="B69" s="2" t="inlineStr">
        <is>
          <t>PED00026</t>
        </is>
      </c>
      <c r="C69" s="2" t="inlineStr">
        <is>
          <t>P025</t>
        </is>
      </c>
      <c r="D69" s="2" t="n">
        <v>1</v>
      </c>
      <c r="E69" s="19" t="n">
        <v>0</v>
      </c>
    </row>
    <row r="70">
      <c r="A70" s="2" t="inlineStr">
        <is>
          <t>IT00026_04</t>
        </is>
      </c>
      <c r="B70" s="2" t="inlineStr">
        <is>
          <t>PED00026</t>
        </is>
      </c>
      <c r="C70" s="2" t="inlineStr">
        <is>
          <t>P016</t>
        </is>
      </c>
      <c r="D70" s="2" t="n">
        <v>1</v>
      </c>
      <c r="E70" s="19" t="n">
        <v>0</v>
      </c>
    </row>
    <row r="71">
      <c r="A71" s="2" t="inlineStr">
        <is>
          <t>IT00026_05</t>
        </is>
      </c>
      <c r="B71" s="2" t="inlineStr">
        <is>
          <t>PED00026</t>
        </is>
      </c>
      <c r="C71" s="2" t="inlineStr">
        <is>
          <t>P062</t>
        </is>
      </c>
      <c r="D71" s="2" t="n">
        <v>2</v>
      </c>
      <c r="E71" s="19" t="n">
        <v>0</v>
      </c>
    </row>
    <row r="72">
      <c r="A72" s="2" t="inlineStr">
        <is>
          <t>IT00027_01</t>
        </is>
      </c>
      <c r="B72" s="2" t="inlineStr">
        <is>
          <t>PED00027</t>
        </is>
      </c>
      <c r="C72" s="2" t="inlineStr">
        <is>
          <t>P041</t>
        </is>
      </c>
      <c r="D72" s="2" t="n">
        <v>1</v>
      </c>
      <c r="E72" s="19" t="n">
        <v>0</v>
      </c>
    </row>
    <row r="73">
      <c r="A73" s="2" t="inlineStr">
        <is>
          <t>IT00027_02</t>
        </is>
      </c>
      <c r="B73" s="2" t="inlineStr">
        <is>
          <t>PED00027</t>
        </is>
      </c>
      <c r="C73" s="2" t="inlineStr">
        <is>
          <t>P027</t>
        </is>
      </c>
      <c r="D73" s="2" t="n">
        <v>4</v>
      </c>
      <c r="E73" s="19" t="n">
        <v>0.02</v>
      </c>
    </row>
    <row r="74">
      <c r="A74" s="2" t="inlineStr">
        <is>
          <t>IT00027_03</t>
        </is>
      </c>
      <c r="B74" s="2" t="inlineStr">
        <is>
          <t>PED00027</t>
        </is>
      </c>
      <c r="C74" s="2" t="inlineStr">
        <is>
          <t>P048</t>
        </is>
      </c>
      <c r="D74" s="2" t="n">
        <v>1</v>
      </c>
      <c r="E74" s="19" t="n">
        <v>0</v>
      </c>
    </row>
    <row r="75">
      <c r="A75" s="2" t="inlineStr">
        <is>
          <t>IT00028_01</t>
        </is>
      </c>
      <c r="B75" s="2" t="inlineStr">
        <is>
          <t>PED00028</t>
        </is>
      </c>
      <c r="C75" s="2" t="inlineStr">
        <is>
          <t>P032</t>
        </is>
      </c>
      <c r="D75" s="2" t="n">
        <v>1</v>
      </c>
      <c r="E75" s="19" t="n">
        <v>0.05</v>
      </c>
    </row>
    <row r="76">
      <c r="A76" s="2" t="inlineStr">
        <is>
          <t>IT00028_02</t>
        </is>
      </c>
      <c r="B76" s="2" t="inlineStr">
        <is>
          <t>PED00028</t>
        </is>
      </c>
      <c r="C76" s="2" t="inlineStr">
        <is>
          <t>P064</t>
        </is>
      </c>
      <c r="D76" s="2" t="n">
        <v>5</v>
      </c>
      <c r="E76" s="19" t="n">
        <v>0</v>
      </c>
    </row>
    <row r="77">
      <c r="A77" s="2" t="inlineStr">
        <is>
          <t>IT00028_03</t>
        </is>
      </c>
      <c r="B77" s="2" t="inlineStr">
        <is>
          <t>PED00028</t>
        </is>
      </c>
      <c r="C77" s="2" t="inlineStr">
        <is>
          <t>P044</t>
        </is>
      </c>
      <c r="D77" s="2" t="n">
        <v>2</v>
      </c>
      <c r="E77" s="19" t="n">
        <v>0</v>
      </c>
    </row>
    <row r="78">
      <c r="A78" s="2" t="inlineStr">
        <is>
          <t>IT00029_01</t>
        </is>
      </c>
      <c r="B78" s="2" t="inlineStr">
        <is>
          <t>PED00029</t>
        </is>
      </c>
      <c r="C78" s="2" t="inlineStr">
        <is>
          <t>P008</t>
        </is>
      </c>
      <c r="D78" s="2" t="n">
        <v>3</v>
      </c>
      <c r="E78" s="19" t="n">
        <v>0</v>
      </c>
    </row>
    <row r="79">
      <c r="A79" s="2" t="inlineStr">
        <is>
          <t>IT00029_02</t>
        </is>
      </c>
      <c r="B79" s="2" t="inlineStr">
        <is>
          <t>PED00029</t>
        </is>
      </c>
      <c r="C79" s="2" t="inlineStr">
        <is>
          <t>P068</t>
        </is>
      </c>
      <c r="D79" s="2" t="n">
        <v>3</v>
      </c>
      <c r="E79" s="19" t="n">
        <v>0</v>
      </c>
    </row>
    <row r="80">
      <c r="A80" s="2" t="inlineStr">
        <is>
          <t>IT00029_03</t>
        </is>
      </c>
      <c r="B80" s="2" t="inlineStr">
        <is>
          <t>PED00029</t>
        </is>
      </c>
      <c r="C80" s="2" t="inlineStr">
        <is>
          <t>P005</t>
        </is>
      </c>
      <c r="D80" s="2" t="n">
        <v>1</v>
      </c>
      <c r="E80" s="19" t="n">
        <v>0</v>
      </c>
    </row>
    <row r="81">
      <c r="A81" s="2" t="inlineStr">
        <is>
          <t>IT00030_01</t>
        </is>
      </c>
      <c r="B81" s="2" t="inlineStr">
        <is>
          <t>PED00030</t>
        </is>
      </c>
      <c r="C81" s="2" t="inlineStr">
        <is>
          <t>P062</t>
        </is>
      </c>
      <c r="D81" s="2" t="n">
        <v>1</v>
      </c>
      <c r="E81" s="19" t="n">
        <v>0</v>
      </c>
    </row>
    <row r="82">
      <c r="A82" s="2" t="inlineStr">
        <is>
          <t>IT00030_02</t>
        </is>
      </c>
      <c r="B82" s="2" t="inlineStr">
        <is>
          <t>PED00030</t>
        </is>
      </c>
      <c r="C82" s="2" t="inlineStr">
        <is>
          <t>P063</t>
        </is>
      </c>
      <c r="D82" s="2" t="n">
        <v>1</v>
      </c>
      <c r="E82" s="19" t="n">
        <v>0</v>
      </c>
    </row>
    <row r="83">
      <c r="A83" s="2" t="inlineStr">
        <is>
          <t>IT00031_01</t>
        </is>
      </c>
      <c r="B83" s="2" t="inlineStr">
        <is>
          <t>PED00031</t>
        </is>
      </c>
      <c r="C83" s="2" t="inlineStr">
        <is>
          <t>P023</t>
        </is>
      </c>
      <c r="D83" s="2" t="n">
        <v>1</v>
      </c>
      <c r="E83" s="19" t="n">
        <v>0</v>
      </c>
    </row>
    <row r="84">
      <c r="A84" s="2" t="inlineStr">
        <is>
          <t>IT00031_02</t>
        </is>
      </c>
      <c r="B84" s="2" t="inlineStr">
        <is>
          <t>PED00031</t>
        </is>
      </c>
      <c r="C84" s="2" t="inlineStr">
        <is>
          <t>P014</t>
        </is>
      </c>
      <c r="D84" s="2" t="n">
        <v>2</v>
      </c>
      <c r="E84" s="19" t="n">
        <v>0.05</v>
      </c>
    </row>
    <row r="85">
      <c r="A85" s="2" t="inlineStr">
        <is>
          <t>IT00031_03</t>
        </is>
      </c>
      <c r="B85" s="2" t="inlineStr">
        <is>
          <t>PED00031</t>
        </is>
      </c>
      <c r="C85" s="2" t="inlineStr">
        <is>
          <t>P013</t>
        </is>
      </c>
      <c r="D85" s="2" t="n">
        <v>1</v>
      </c>
      <c r="E85" s="19" t="n">
        <v>0</v>
      </c>
    </row>
    <row r="86">
      <c r="A86" s="2" t="inlineStr">
        <is>
          <t>IT00031_04</t>
        </is>
      </c>
      <c r="B86" s="2" t="inlineStr">
        <is>
          <t>PED00031</t>
        </is>
      </c>
      <c r="C86" s="2" t="inlineStr">
        <is>
          <t>P068</t>
        </is>
      </c>
      <c r="D86" s="2" t="n">
        <v>1</v>
      </c>
      <c r="E86" s="19" t="n">
        <v>0</v>
      </c>
    </row>
    <row r="87">
      <c r="A87" s="2" t="inlineStr">
        <is>
          <t>IT00032_01</t>
        </is>
      </c>
      <c r="B87" s="2" t="inlineStr">
        <is>
          <t>PED00032</t>
        </is>
      </c>
      <c r="C87" s="2" t="inlineStr">
        <is>
          <t>P005</t>
        </is>
      </c>
      <c r="D87" s="2" t="n">
        <v>1</v>
      </c>
      <c r="E87" s="19" t="n">
        <v>0</v>
      </c>
    </row>
    <row r="88">
      <c r="A88" s="2" t="inlineStr">
        <is>
          <t>IT00032_02</t>
        </is>
      </c>
      <c r="B88" s="2" t="inlineStr">
        <is>
          <t>PED00032</t>
        </is>
      </c>
      <c r="C88" s="2" t="inlineStr">
        <is>
          <t>P012</t>
        </is>
      </c>
      <c r="D88" s="2" t="n">
        <v>1</v>
      </c>
      <c r="E88" s="19" t="n">
        <v>0</v>
      </c>
    </row>
    <row r="89">
      <c r="A89" s="2" t="inlineStr">
        <is>
          <t>IT00032_03</t>
        </is>
      </c>
      <c r="B89" s="2" t="inlineStr">
        <is>
          <t>PED00032</t>
        </is>
      </c>
      <c r="C89" s="2" t="inlineStr">
        <is>
          <t>P052</t>
        </is>
      </c>
      <c r="D89" s="2" t="n">
        <v>2</v>
      </c>
      <c r="E89" s="19" t="n">
        <v>0.02</v>
      </c>
    </row>
    <row r="90">
      <c r="A90" s="2" t="inlineStr">
        <is>
          <t>IT00032_04</t>
        </is>
      </c>
      <c r="B90" s="2" t="inlineStr">
        <is>
          <t>PED00032</t>
        </is>
      </c>
      <c r="C90" s="2" t="inlineStr">
        <is>
          <t>P049</t>
        </is>
      </c>
      <c r="D90" s="2" t="n">
        <v>2</v>
      </c>
      <c r="E90" s="19" t="n">
        <v>0.05</v>
      </c>
    </row>
    <row r="91">
      <c r="A91" s="2" t="inlineStr">
        <is>
          <t>IT00032_05</t>
        </is>
      </c>
      <c r="B91" s="2" t="inlineStr">
        <is>
          <t>PED00032</t>
        </is>
      </c>
      <c r="C91" s="2" t="inlineStr">
        <is>
          <t>P061</t>
        </is>
      </c>
      <c r="D91" s="2" t="n">
        <v>1</v>
      </c>
      <c r="E91" s="19" t="n">
        <v>0</v>
      </c>
    </row>
    <row r="92">
      <c r="A92" s="2" t="inlineStr">
        <is>
          <t>IT00033_01</t>
        </is>
      </c>
      <c r="B92" s="2" t="inlineStr">
        <is>
          <t>PED00033</t>
        </is>
      </c>
      <c r="C92" s="2" t="inlineStr">
        <is>
          <t>P010</t>
        </is>
      </c>
      <c r="D92" s="2" t="n">
        <v>4</v>
      </c>
      <c r="E92" s="19" t="n">
        <v>0</v>
      </c>
    </row>
    <row r="93">
      <c r="A93" s="2" t="inlineStr">
        <is>
          <t>IT00033_02</t>
        </is>
      </c>
      <c r="B93" s="2" t="inlineStr">
        <is>
          <t>PED00033</t>
        </is>
      </c>
      <c r="C93" s="2" t="inlineStr">
        <is>
          <t>P036</t>
        </is>
      </c>
      <c r="D93" s="2" t="n">
        <v>1</v>
      </c>
      <c r="E93" s="19" t="n">
        <v>0.05</v>
      </c>
    </row>
    <row r="94">
      <c r="A94" s="2" t="inlineStr">
        <is>
          <t>IT00034_01</t>
        </is>
      </c>
      <c r="B94" s="2" t="inlineStr">
        <is>
          <t>PED00034</t>
        </is>
      </c>
      <c r="C94" s="2" t="inlineStr">
        <is>
          <t>P010</t>
        </is>
      </c>
      <c r="D94" s="2" t="n">
        <v>1</v>
      </c>
      <c r="E94" s="19" t="n">
        <v>0</v>
      </c>
    </row>
    <row r="95">
      <c r="A95" s="2" t="inlineStr">
        <is>
          <t>IT00034_02</t>
        </is>
      </c>
      <c r="B95" s="2" t="inlineStr">
        <is>
          <t>PED00034</t>
        </is>
      </c>
      <c r="C95" s="2" t="inlineStr">
        <is>
          <t>P039</t>
        </is>
      </c>
      <c r="D95" s="2" t="n">
        <v>3</v>
      </c>
      <c r="E95" s="19" t="n">
        <v>0</v>
      </c>
    </row>
    <row r="96">
      <c r="A96" s="2" t="inlineStr">
        <is>
          <t>IT00035_01</t>
        </is>
      </c>
      <c r="B96" s="2" t="inlineStr">
        <is>
          <t>PED00035</t>
        </is>
      </c>
      <c r="C96" s="2" t="inlineStr">
        <is>
          <t>P065</t>
        </is>
      </c>
      <c r="D96" s="2" t="n">
        <v>1</v>
      </c>
      <c r="E96" s="19" t="n">
        <v>0</v>
      </c>
    </row>
    <row r="97">
      <c r="A97" s="2" t="inlineStr">
        <is>
          <t>IT00035_02</t>
        </is>
      </c>
      <c r="B97" s="2" t="inlineStr">
        <is>
          <t>PED00035</t>
        </is>
      </c>
      <c r="C97" s="2" t="inlineStr">
        <is>
          <t>P045</t>
        </is>
      </c>
      <c r="D97" s="2" t="n">
        <v>1</v>
      </c>
      <c r="E97" s="19" t="n">
        <v>0</v>
      </c>
    </row>
    <row r="98">
      <c r="A98" s="2" t="inlineStr">
        <is>
          <t>IT00035_03</t>
        </is>
      </c>
      <c r="B98" s="2" t="inlineStr">
        <is>
          <t>PED00035</t>
        </is>
      </c>
      <c r="C98" s="2" t="inlineStr">
        <is>
          <t>P007</t>
        </is>
      </c>
      <c r="D98" s="2" t="n">
        <v>2</v>
      </c>
      <c r="E98" s="19" t="n">
        <v>0</v>
      </c>
    </row>
    <row r="99">
      <c r="A99" s="2" t="inlineStr">
        <is>
          <t>IT00036_01</t>
        </is>
      </c>
      <c r="B99" s="2" t="inlineStr">
        <is>
          <t>PED00036</t>
        </is>
      </c>
      <c r="C99" s="2" t="inlineStr">
        <is>
          <t>P049</t>
        </is>
      </c>
      <c r="D99" s="2" t="n">
        <v>2</v>
      </c>
      <c r="E99" s="19" t="n">
        <v>0.02</v>
      </c>
    </row>
    <row r="100">
      <c r="A100" s="2" t="inlineStr">
        <is>
          <t>IT00036_02</t>
        </is>
      </c>
      <c r="B100" s="2" t="inlineStr">
        <is>
          <t>PED00036</t>
        </is>
      </c>
      <c r="C100" s="2" t="inlineStr">
        <is>
          <t>P056</t>
        </is>
      </c>
      <c r="D100" s="2" t="n">
        <v>1</v>
      </c>
      <c r="E100" s="19" t="n">
        <v>0</v>
      </c>
    </row>
    <row r="101">
      <c r="A101" s="2" t="inlineStr">
        <is>
          <t>IT00036_03</t>
        </is>
      </c>
      <c r="B101" s="2" t="inlineStr">
        <is>
          <t>PED00036</t>
        </is>
      </c>
      <c r="C101" s="2" t="inlineStr">
        <is>
          <t>P024</t>
        </is>
      </c>
      <c r="D101" s="2" t="n">
        <v>3</v>
      </c>
      <c r="E101" s="19" t="n">
        <v>0.02</v>
      </c>
    </row>
    <row r="102">
      <c r="A102" s="2" t="inlineStr">
        <is>
          <t>IT00037_01</t>
        </is>
      </c>
      <c r="B102" s="2" t="inlineStr">
        <is>
          <t>PED00037</t>
        </is>
      </c>
      <c r="C102" s="2" t="inlineStr">
        <is>
          <t>P047</t>
        </is>
      </c>
      <c r="D102" s="2" t="n">
        <v>1</v>
      </c>
      <c r="E102" s="19" t="n">
        <v>0.05</v>
      </c>
    </row>
    <row r="103">
      <c r="A103" s="2" t="inlineStr">
        <is>
          <t>IT00037_02</t>
        </is>
      </c>
      <c r="B103" s="2" t="inlineStr">
        <is>
          <t>PED00037</t>
        </is>
      </c>
      <c r="C103" s="2" t="inlineStr">
        <is>
          <t>P014</t>
        </is>
      </c>
      <c r="D103" s="2" t="n">
        <v>2</v>
      </c>
      <c r="E103" s="19" t="n">
        <v>0.02</v>
      </c>
    </row>
    <row r="104">
      <c r="A104" s="2" t="inlineStr">
        <is>
          <t>IT00038_01</t>
        </is>
      </c>
      <c r="B104" s="2" t="inlineStr">
        <is>
          <t>PED00038</t>
        </is>
      </c>
      <c r="C104" s="2" t="inlineStr">
        <is>
          <t>P004</t>
        </is>
      </c>
      <c r="D104" s="2" t="n">
        <v>1</v>
      </c>
      <c r="E104" s="19" t="n">
        <v>0</v>
      </c>
    </row>
    <row r="105">
      <c r="A105" s="2" t="inlineStr">
        <is>
          <t>IT00038_02</t>
        </is>
      </c>
      <c r="B105" s="2" t="inlineStr">
        <is>
          <t>PED00038</t>
        </is>
      </c>
      <c r="C105" s="2" t="inlineStr">
        <is>
          <t>P012</t>
        </is>
      </c>
      <c r="D105" s="2" t="n">
        <v>2</v>
      </c>
      <c r="E105" s="19" t="n">
        <v>0</v>
      </c>
    </row>
    <row r="106">
      <c r="A106" s="2" t="inlineStr">
        <is>
          <t>IT00039_01</t>
        </is>
      </c>
      <c r="B106" s="2" t="inlineStr">
        <is>
          <t>PED00039</t>
        </is>
      </c>
      <c r="C106" s="2" t="inlineStr">
        <is>
          <t>P032</t>
        </is>
      </c>
      <c r="D106" s="2" t="n">
        <v>2</v>
      </c>
      <c r="E106" s="19" t="n">
        <v>0</v>
      </c>
    </row>
    <row r="107">
      <c r="A107" s="2" t="inlineStr">
        <is>
          <t>IT00039_02</t>
        </is>
      </c>
      <c r="B107" s="2" t="inlineStr">
        <is>
          <t>PED00039</t>
        </is>
      </c>
      <c r="C107" s="2" t="inlineStr">
        <is>
          <t>P067</t>
        </is>
      </c>
      <c r="D107" s="2" t="n">
        <v>1</v>
      </c>
      <c r="E107" s="19" t="n">
        <v>0</v>
      </c>
    </row>
    <row r="108">
      <c r="A108" s="2" t="inlineStr">
        <is>
          <t>IT00039_03</t>
        </is>
      </c>
      <c r="B108" s="2" t="inlineStr">
        <is>
          <t>PED00039</t>
        </is>
      </c>
      <c r="C108" s="2" t="inlineStr">
        <is>
          <t>P022</t>
        </is>
      </c>
      <c r="D108" s="2" t="n">
        <v>1</v>
      </c>
      <c r="E108" s="19" t="n">
        <v>0</v>
      </c>
    </row>
    <row r="109">
      <c r="A109" s="2" t="inlineStr">
        <is>
          <t>IT00040_01</t>
        </is>
      </c>
      <c r="B109" s="2" t="inlineStr">
        <is>
          <t>PED00040</t>
        </is>
      </c>
      <c r="C109" s="2" t="inlineStr">
        <is>
          <t>P064</t>
        </is>
      </c>
      <c r="D109" s="2" t="n">
        <v>2</v>
      </c>
      <c r="E109" s="19" t="n">
        <v>0</v>
      </c>
    </row>
    <row r="110">
      <c r="A110" s="2" t="inlineStr">
        <is>
          <t>IT00040_02</t>
        </is>
      </c>
      <c r="B110" s="2" t="inlineStr">
        <is>
          <t>PED00040</t>
        </is>
      </c>
      <c r="C110" s="2" t="inlineStr">
        <is>
          <t>P026</t>
        </is>
      </c>
      <c r="D110" s="2" t="n">
        <v>1</v>
      </c>
      <c r="E110" s="19" t="n">
        <v>0</v>
      </c>
    </row>
    <row r="111">
      <c r="A111" s="2" t="inlineStr">
        <is>
          <t>IT00041_01</t>
        </is>
      </c>
      <c r="B111" s="2" t="inlineStr">
        <is>
          <t>PED00041</t>
        </is>
      </c>
      <c r="C111" s="2" t="inlineStr">
        <is>
          <t>P018</t>
        </is>
      </c>
      <c r="D111" s="2" t="n">
        <v>2</v>
      </c>
      <c r="E111" s="19" t="n">
        <v>0.02</v>
      </c>
    </row>
    <row r="112">
      <c r="A112" s="2" t="inlineStr">
        <is>
          <t>IT00041_02</t>
        </is>
      </c>
      <c r="B112" s="2" t="inlineStr">
        <is>
          <t>PED00041</t>
        </is>
      </c>
      <c r="C112" s="2" t="inlineStr">
        <is>
          <t>P039</t>
        </is>
      </c>
      <c r="D112" s="2" t="n">
        <v>2</v>
      </c>
      <c r="E112" s="19" t="n">
        <v>0</v>
      </c>
    </row>
    <row r="113">
      <c r="A113" s="2" t="inlineStr">
        <is>
          <t>IT00041_03</t>
        </is>
      </c>
      <c r="B113" s="2" t="inlineStr">
        <is>
          <t>PED00041</t>
        </is>
      </c>
      <c r="C113" s="2" t="inlineStr">
        <is>
          <t>P042</t>
        </is>
      </c>
      <c r="D113" s="2" t="n">
        <v>1</v>
      </c>
      <c r="E113" s="19" t="n">
        <v>0</v>
      </c>
    </row>
    <row r="114">
      <c r="A114" s="2" t="inlineStr">
        <is>
          <t>IT00042_01</t>
        </is>
      </c>
      <c r="B114" s="2" t="inlineStr">
        <is>
          <t>PED00042</t>
        </is>
      </c>
      <c r="C114" s="2" t="inlineStr">
        <is>
          <t>P051</t>
        </is>
      </c>
      <c r="D114" s="2" t="n">
        <v>1</v>
      </c>
      <c r="E114" s="19" t="n">
        <v>0</v>
      </c>
    </row>
    <row r="115">
      <c r="A115" s="2" t="inlineStr">
        <is>
          <t>IT00042_02</t>
        </is>
      </c>
      <c r="B115" s="2" t="inlineStr">
        <is>
          <t>PED00042</t>
        </is>
      </c>
      <c r="C115" s="2" t="inlineStr">
        <is>
          <t>P047</t>
        </is>
      </c>
      <c r="D115" s="2" t="n">
        <v>2</v>
      </c>
      <c r="E115" s="19" t="n">
        <v>0</v>
      </c>
    </row>
    <row r="116">
      <c r="A116" s="2" t="inlineStr">
        <is>
          <t>IT00043_01</t>
        </is>
      </c>
      <c r="B116" s="2" t="inlineStr">
        <is>
          <t>PED00043</t>
        </is>
      </c>
      <c r="C116" s="2" t="inlineStr">
        <is>
          <t>P038</t>
        </is>
      </c>
      <c r="D116" s="2" t="n">
        <v>3</v>
      </c>
      <c r="E116" s="19" t="n">
        <v>0.02</v>
      </c>
    </row>
    <row r="117">
      <c r="A117" s="2" t="inlineStr">
        <is>
          <t>IT00043_02</t>
        </is>
      </c>
      <c r="B117" s="2" t="inlineStr">
        <is>
          <t>PED00043</t>
        </is>
      </c>
      <c r="C117" s="2" t="inlineStr">
        <is>
          <t>P009</t>
        </is>
      </c>
      <c r="D117" s="2" t="n">
        <v>1</v>
      </c>
      <c r="E117" s="19" t="n">
        <v>0</v>
      </c>
    </row>
    <row r="118">
      <c r="A118" s="2" t="inlineStr">
        <is>
          <t>IT00044_01</t>
        </is>
      </c>
      <c r="B118" s="2" t="inlineStr">
        <is>
          <t>PED00044</t>
        </is>
      </c>
      <c r="C118" s="2" t="inlineStr">
        <is>
          <t>P058</t>
        </is>
      </c>
      <c r="D118" s="2" t="n">
        <v>2</v>
      </c>
      <c r="E118" s="19" t="n">
        <v>0</v>
      </c>
    </row>
    <row r="119">
      <c r="A119" s="2" t="inlineStr">
        <is>
          <t>IT00044_02</t>
        </is>
      </c>
      <c r="B119" s="2" t="inlineStr">
        <is>
          <t>PED00044</t>
        </is>
      </c>
      <c r="C119" s="2" t="inlineStr">
        <is>
          <t>P062</t>
        </is>
      </c>
      <c r="D119" s="2" t="n">
        <v>4</v>
      </c>
      <c r="E119" s="19" t="n">
        <v>0.05</v>
      </c>
    </row>
    <row r="120">
      <c r="A120" s="2" t="inlineStr">
        <is>
          <t>IT00045_01</t>
        </is>
      </c>
      <c r="B120" s="2" t="inlineStr">
        <is>
          <t>PED00045</t>
        </is>
      </c>
      <c r="C120" s="2" t="inlineStr">
        <is>
          <t>P011</t>
        </is>
      </c>
      <c r="D120" s="2" t="n">
        <v>3</v>
      </c>
      <c r="E120" s="19" t="n">
        <v>0.02</v>
      </c>
    </row>
    <row r="121">
      <c r="A121" s="2" t="inlineStr">
        <is>
          <t>IT00045_02</t>
        </is>
      </c>
      <c r="B121" s="2" t="inlineStr">
        <is>
          <t>PED00045</t>
        </is>
      </c>
      <c r="C121" s="2" t="inlineStr">
        <is>
          <t>P014</t>
        </is>
      </c>
      <c r="D121" s="2" t="n">
        <v>1</v>
      </c>
      <c r="E121" s="19" t="n">
        <v>0</v>
      </c>
    </row>
    <row r="122">
      <c r="A122" s="2" t="inlineStr">
        <is>
          <t>IT00046_01</t>
        </is>
      </c>
      <c r="B122" s="2" t="inlineStr">
        <is>
          <t>PED00046</t>
        </is>
      </c>
      <c r="C122" s="2" t="inlineStr">
        <is>
          <t>P013</t>
        </is>
      </c>
      <c r="D122" s="2" t="n">
        <v>1</v>
      </c>
      <c r="E122" s="19" t="n">
        <v>0</v>
      </c>
    </row>
    <row r="123">
      <c r="A123" s="2" t="inlineStr">
        <is>
          <t>IT00047_01</t>
        </is>
      </c>
      <c r="B123" s="2" t="inlineStr">
        <is>
          <t>PED00047</t>
        </is>
      </c>
      <c r="C123" s="2" t="inlineStr">
        <is>
          <t>P065</t>
        </is>
      </c>
      <c r="D123" s="2" t="n">
        <v>10</v>
      </c>
      <c r="E123" s="19" t="n">
        <v>0</v>
      </c>
    </row>
    <row r="124">
      <c r="A124" s="2" t="inlineStr">
        <is>
          <t>IT00047_02</t>
        </is>
      </c>
      <c r="B124" s="2" t="inlineStr">
        <is>
          <t>PED00047</t>
        </is>
      </c>
      <c r="C124" s="2" t="inlineStr">
        <is>
          <t>P020</t>
        </is>
      </c>
      <c r="D124" s="2" t="n">
        <v>1</v>
      </c>
      <c r="E124" s="19" t="n">
        <v>0.05</v>
      </c>
    </row>
    <row r="125">
      <c r="A125" s="2" t="inlineStr">
        <is>
          <t>IT00047_03</t>
        </is>
      </c>
      <c r="B125" s="2" t="inlineStr">
        <is>
          <t>PED00047</t>
        </is>
      </c>
      <c r="C125" s="2" t="inlineStr">
        <is>
          <t>P045</t>
        </is>
      </c>
      <c r="D125" s="2" t="n">
        <v>1</v>
      </c>
      <c r="E125" s="19" t="n">
        <v>0.05</v>
      </c>
    </row>
    <row r="126">
      <c r="A126" s="2" t="inlineStr">
        <is>
          <t>IT00048_01</t>
        </is>
      </c>
      <c r="B126" s="2" t="inlineStr">
        <is>
          <t>PED00048</t>
        </is>
      </c>
      <c r="C126" s="2" t="inlineStr">
        <is>
          <t>P013</t>
        </is>
      </c>
      <c r="D126" s="2" t="n">
        <v>3</v>
      </c>
      <c r="E126" s="19" t="n">
        <v>0</v>
      </c>
    </row>
    <row r="127">
      <c r="A127" s="2" t="inlineStr">
        <is>
          <t>IT00048_02</t>
        </is>
      </c>
      <c r="B127" s="2" t="inlineStr">
        <is>
          <t>PED00048</t>
        </is>
      </c>
      <c r="C127" s="2" t="inlineStr">
        <is>
          <t>P057</t>
        </is>
      </c>
      <c r="D127" s="2" t="n">
        <v>1</v>
      </c>
      <c r="E127" s="19" t="n">
        <v>0</v>
      </c>
    </row>
    <row r="128">
      <c r="A128" s="2" t="inlineStr">
        <is>
          <t>IT00049_01</t>
        </is>
      </c>
      <c r="B128" s="2" t="inlineStr">
        <is>
          <t>PED00049</t>
        </is>
      </c>
      <c r="C128" s="2" t="inlineStr">
        <is>
          <t>P032</t>
        </is>
      </c>
      <c r="D128" s="2" t="n">
        <v>2</v>
      </c>
      <c r="E128" s="19" t="n">
        <v>0</v>
      </c>
    </row>
    <row r="129">
      <c r="A129" s="2" t="inlineStr">
        <is>
          <t>IT00050_01</t>
        </is>
      </c>
      <c r="B129" s="2" t="inlineStr">
        <is>
          <t>PED00050</t>
        </is>
      </c>
      <c r="C129" s="2" t="inlineStr">
        <is>
          <t>P056</t>
        </is>
      </c>
      <c r="D129" s="2" t="n">
        <v>1</v>
      </c>
      <c r="E129" s="19" t="n">
        <v>0.02</v>
      </c>
    </row>
    <row r="130">
      <c r="A130" s="2" t="inlineStr">
        <is>
          <t>IT00051_01</t>
        </is>
      </c>
      <c r="B130" s="2" t="inlineStr">
        <is>
          <t>PED00051</t>
        </is>
      </c>
      <c r="C130" s="2" t="inlineStr">
        <is>
          <t>P009</t>
        </is>
      </c>
      <c r="D130" s="2" t="n">
        <v>1</v>
      </c>
      <c r="E130" s="19" t="n">
        <v>0</v>
      </c>
    </row>
    <row r="131">
      <c r="A131" s="2" t="inlineStr">
        <is>
          <t>IT00051_02</t>
        </is>
      </c>
      <c r="B131" s="2" t="inlineStr">
        <is>
          <t>PED00051</t>
        </is>
      </c>
      <c r="C131" s="2" t="inlineStr">
        <is>
          <t>P014</t>
        </is>
      </c>
      <c r="D131" s="2" t="n">
        <v>2</v>
      </c>
      <c r="E131" s="19" t="n">
        <v>0</v>
      </c>
    </row>
    <row r="132">
      <c r="A132" s="2" t="inlineStr">
        <is>
          <t>IT00051_03</t>
        </is>
      </c>
      <c r="B132" s="2" t="inlineStr">
        <is>
          <t>PED00051</t>
        </is>
      </c>
      <c r="C132" s="2" t="inlineStr">
        <is>
          <t>P069</t>
        </is>
      </c>
      <c r="D132" s="2" t="n">
        <v>4</v>
      </c>
      <c r="E132" s="19" t="n">
        <v>0</v>
      </c>
    </row>
    <row r="133">
      <c r="A133" s="2" t="inlineStr">
        <is>
          <t>IT00052_01</t>
        </is>
      </c>
      <c r="B133" s="2" t="inlineStr">
        <is>
          <t>PED00052</t>
        </is>
      </c>
      <c r="C133" s="2" t="inlineStr">
        <is>
          <t>P023</t>
        </is>
      </c>
      <c r="D133" s="2" t="n">
        <v>1</v>
      </c>
      <c r="E133" s="19" t="n">
        <v>0</v>
      </c>
    </row>
    <row r="134">
      <c r="A134" s="2" t="inlineStr">
        <is>
          <t>IT00052_02</t>
        </is>
      </c>
      <c r="B134" s="2" t="inlineStr">
        <is>
          <t>PED00052</t>
        </is>
      </c>
      <c r="C134" s="2" t="inlineStr">
        <is>
          <t>P039</t>
        </is>
      </c>
      <c r="D134" s="2" t="n">
        <v>1</v>
      </c>
      <c r="E134" s="19" t="n">
        <v>0</v>
      </c>
    </row>
    <row r="135">
      <c r="A135" s="2" t="inlineStr">
        <is>
          <t>IT00052_03</t>
        </is>
      </c>
      <c r="B135" s="2" t="inlineStr">
        <is>
          <t>PED00052</t>
        </is>
      </c>
      <c r="C135" s="2" t="inlineStr">
        <is>
          <t>P011</t>
        </is>
      </c>
      <c r="D135" s="2" t="n">
        <v>1</v>
      </c>
      <c r="E135" s="19" t="n">
        <v>0</v>
      </c>
    </row>
    <row r="136">
      <c r="A136" s="2" t="inlineStr">
        <is>
          <t>IT00052_04</t>
        </is>
      </c>
      <c r="B136" s="2" t="inlineStr">
        <is>
          <t>PED00052</t>
        </is>
      </c>
      <c r="C136" s="2" t="inlineStr">
        <is>
          <t>P018</t>
        </is>
      </c>
      <c r="D136" s="2" t="n">
        <v>2</v>
      </c>
      <c r="E136" s="19" t="n">
        <v>0</v>
      </c>
    </row>
    <row r="137">
      <c r="A137" s="2" t="inlineStr">
        <is>
          <t>IT00053_01</t>
        </is>
      </c>
      <c r="B137" s="2" t="inlineStr">
        <is>
          <t>PED00053</t>
        </is>
      </c>
      <c r="C137" s="2" t="inlineStr">
        <is>
          <t>P022</t>
        </is>
      </c>
      <c r="D137" s="2" t="n">
        <v>1</v>
      </c>
      <c r="E137" s="19" t="n">
        <v>0</v>
      </c>
    </row>
    <row r="138">
      <c r="A138" s="2" t="inlineStr">
        <is>
          <t>IT00053_02</t>
        </is>
      </c>
      <c r="B138" s="2" t="inlineStr">
        <is>
          <t>PED00053</t>
        </is>
      </c>
      <c r="C138" s="2" t="inlineStr">
        <is>
          <t>P063</t>
        </is>
      </c>
      <c r="D138" s="2" t="n">
        <v>1</v>
      </c>
      <c r="E138" s="19" t="n">
        <v>0</v>
      </c>
    </row>
    <row r="139">
      <c r="A139" s="2" t="inlineStr">
        <is>
          <t>IT00053_03</t>
        </is>
      </c>
      <c r="B139" s="2" t="inlineStr">
        <is>
          <t>PED00053</t>
        </is>
      </c>
      <c r="C139" s="2" t="inlineStr">
        <is>
          <t>P037</t>
        </is>
      </c>
      <c r="D139" s="2" t="n">
        <v>1</v>
      </c>
      <c r="E139" s="19" t="n">
        <v>0</v>
      </c>
    </row>
    <row r="140">
      <c r="A140" s="2" t="inlineStr">
        <is>
          <t>IT00053_04</t>
        </is>
      </c>
      <c r="B140" s="2" t="inlineStr">
        <is>
          <t>PED00053</t>
        </is>
      </c>
      <c r="C140" s="2" t="inlineStr">
        <is>
          <t>P018</t>
        </is>
      </c>
      <c r="D140" s="2" t="n">
        <v>3</v>
      </c>
      <c r="E140" s="19" t="n">
        <v>0.1</v>
      </c>
    </row>
    <row r="141">
      <c r="A141" s="2" t="inlineStr">
        <is>
          <t>IT00053_05</t>
        </is>
      </c>
      <c r="B141" s="2" t="inlineStr">
        <is>
          <t>PED00053</t>
        </is>
      </c>
      <c r="C141" s="2" t="inlineStr">
        <is>
          <t>P024</t>
        </is>
      </c>
      <c r="D141" s="2" t="n">
        <v>2</v>
      </c>
      <c r="E141" s="19" t="n">
        <v>0</v>
      </c>
    </row>
    <row r="142">
      <c r="A142" s="2" t="inlineStr">
        <is>
          <t>IT00054_01</t>
        </is>
      </c>
      <c r="B142" s="2" t="inlineStr">
        <is>
          <t>PED00054</t>
        </is>
      </c>
      <c r="C142" s="2" t="inlineStr">
        <is>
          <t>P029</t>
        </is>
      </c>
      <c r="D142" s="2" t="n">
        <v>1</v>
      </c>
      <c r="E142" s="19" t="n">
        <v>0</v>
      </c>
    </row>
    <row r="143">
      <c r="A143" s="2" t="inlineStr">
        <is>
          <t>IT00054_02</t>
        </is>
      </c>
      <c r="B143" s="2" t="inlineStr">
        <is>
          <t>PED00054</t>
        </is>
      </c>
      <c r="C143" s="2" t="inlineStr">
        <is>
          <t>P038</t>
        </is>
      </c>
      <c r="D143" s="2" t="n">
        <v>1</v>
      </c>
      <c r="E143" s="19" t="n">
        <v>0</v>
      </c>
    </row>
    <row r="144">
      <c r="A144" s="2" t="inlineStr">
        <is>
          <t>IT00054_03</t>
        </is>
      </c>
      <c r="B144" s="2" t="inlineStr">
        <is>
          <t>PED00054</t>
        </is>
      </c>
      <c r="C144" s="2" t="inlineStr">
        <is>
          <t>P005</t>
        </is>
      </c>
      <c r="D144" s="2" t="n">
        <v>3</v>
      </c>
      <c r="E144" s="19" t="n">
        <v>0.02</v>
      </c>
    </row>
    <row r="145">
      <c r="A145" s="2" t="inlineStr">
        <is>
          <t>IT00055_01</t>
        </is>
      </c>
      <c r="B145" s="2" t="inlineStr">
        <is>
          <t>PED00055</t>
        </is>
      </c>
      <c r="C145" s="2" t="inlineStr">
        <is>
          <t>P070</t>
        </is>
      </c>
      <c r="D145" s="2" t="n">
        <v>1</v>
      </c>
      <c r="E145" s="19" t="n">
        <v>0.05</v>
      </c>
    </row>
    <row r="146">
      <c r="A146" s="2" t="inlineStr">
        <is>
          <t>IT00055_02</t>
        </is>
      </c>
      <c r="B146" s="2" t="inlineStr">
        <is>
          <t>PED00055</t>
        </is>
      </c>
      <c r="C146" s="2" t="inlineStr">
        <is>
          <t>P006</t>
        </is>
      </c>
      <c r="D146" s="2" t="n">
        <v>3</v>
      </c>
      <c r="E146" s="19" t="n">
        <v>0</v>
      </c>
    </row>
    <row r="147">
      <c r="A147" s="2" t="inlineStr">
        <is>
          <t>IT00055_03</t>
        </is>
      </c>
      <c r="B147" s="2" t="inlineStr">
        <is>
          <t>PED00055</t>
        </is>
      </c>
      <c r="C147" s="2" t="inlineStr">
        <is>
          <t>P057</t>
        </is>
      </c>
      <c r="D147" s="2" t="n">
        <v>10</v>
      </c>
      <c r="E147" s="19" t="n">
        <v>0</v>
      </c>
    </row>
    <row r="148">
      <c r="A148" s="2" t="inlineStr">
        <is>
          <t>IT00055_04</t>
        </is>
      </c>
      <c r="B148" s="2" t="inlineStr">
        <is>
          <t>PED00055</t>
        </is>
      </c>
      <c r="C148" s="2" t="inlineStr">
        <is>
          <t>P028</t>
        </is>
      </c>
      <c r="D148" s="2" t="n">
        <v>1</v>
      </c>
      <c r="E148" s="19" t="n">
        <v>0.05</v>
      </c>
    </row>
    <row r="149">
      <c r="A149" s="2" t="inlineStr">
        <is>
          <t>IT00055_05</t>
        </is>
      </c>
      <c r="B149" s="2" t="inlineStr">
        <is>
          <t>PED00055</t>
        </is>
      </c>
      <c r="C149" s="2" t="inlineStr">
        <is>
          <t>P055</t>
        </is>
      </c>
      <c r="D149" s="2" t="n">
        <v>2</v>
      </c>
      <c r="E149" s="19" t="n">
        <v>0.1</v>
      </c>
    </row>
    <row r="150">
      <c r="A150" s="2" t="inlineStr">
        <is>
          <t>IT00056_01</t>
        </is>
      </c>
      <c r="B150" s="2" t="inlineStr">
        <is>
          <t>PED00056</t>
        </is>
      </c>
      <c r="C150" s="2" t="inlineStr">
        <is>
          <t>P027</t>
        </is>
      </c>
      <c r="D150" s="2" t="n">
        <v>2</v>
      </c>
      <c r="E150" s="19" t="n">
        <v>0</v>
      </c>
    </row>
    <row r="151">
      <c r="A151" s="2" t="inlineStr">
        <is>
          <t>IT00056_02</t>
        </is>
      </c>
      <c r="B151" s="2" t="inlineStr">
        <is>
          <t>PED00056</t>
        </is>
      </c>
      <c r="C151" s="2" t="inlineStr">
        <is>
          <t>P008</t>
        </is>
      </c>
      <c r="D151" s="2" t="n">
        <v>1</v>
      </c>
      <c r="E151" s="19" t="n">
        <v>0.1</v>
      </c>
    </row>
    <row r="152">
      <c r="A152" s="2" t="inlineStr">
        <is>
          <t>IT00056_03</t>
        </is>
      </c>
      <c r="B152" s="2" t="inlineStr">
        <is>
          <t>PED00056</t>
        </is>
      </c>
      <c r="C152" s="2" t="inlineStr">
        <is>
          <t>P045</t>
        </is>
      </c>
      <c r="D152" s="2" t="n">
        <v>1</v>
      </c>
      <c r="E152" s="19" t="n">
        <v>0</v>
      </c>
    </row>
    <row r="153">
      <c r="A153" s="2" t="inlineStr">
        <is>
          <t>IT00057_01</t>
        </is>
      </c>
      <c r="B153" s="2" t="inlineStr">
        <is>
          <t>PED00057</t>
        </is>
      </c>
      <c r="C153" s="2" t="inlineStr">
        <is>
          <t>P036</t>
        </is>
      </c>
      <c r="D153" s="2" t="n">
        <v>4</v>
      </c>
      <c r="E153" s="19" t="n">
        <v>0</v>
      </c>
    </row>
    <row r="154">
      <c r="A154" s="2" t="inlineStr">
        <is>
          <t>IT00058_01</t>
        </is>
      </c>
      <c r="B154" s="2" t="inlineStr">
        <is>
          <t>PED00058</t>
        </is>
      </c>
      <c r="C154" s="2" t="inlineStr">
        <is>
          <t>P063</t>
        </is>
      </c>
      <c r="D154" s="2" t="n">
        <v>2</v>
      </c>
      <c r="E154" s="19" t="n">
        <v>0</v>
      </c>
    </row>
    <row r="155">
      <c r="A155" s="2" t="inlineStr">
        <is>
          <t>IT00058_02</t>
        </is>
      </c>
      <c r="B155" s="2" t="inlineStr">
        <is>
          <t>PED00058</t>
        </is>
      </c>
      <c r="C155" s="2" t="inlineStr">
        <is>
          <t>P019</t>
        </is>
      </c>
      <c r="D155" s="2" t="n">
        <v>1</v>
      </c>
      <c r="E155" s="19" t="n">
        <v>0.02</v>
      </c>
    </row>
    <row r="156">
      <c r="A156" s="2" t="inlineStr">
        <is>
          <t>IT00058_03</t>
        </is>
      </c>
      <c r="B156" s="2" t="inlineStr">
        <is>
          <t>PED00058</t>
        </is>
      </c>
      <c r="C156" s="2" t="inlineStr">
        <is>
          <t>P035</t>
        </is>
      </c>
      <c r="D156" s="2" t="n">
        <v>3</v>
      </c>
      <c r="E156" s="19" t="n">
        <v>0</v>
      </c>
    </row>
    <row r="157">
      <c r="A157" s="2" t="inlineStr">
        <is>
          <t>IT00059_01</t>
        </is>
      </c>
      <c r="B157" s="2" t="inlineStr">
        <is>
          <t>PED00059</t>
        </is>
      </c>
      <c r="C157" s="2" t="inlineStr">
        <is>
          <t>P012</t>
        </is>
      </c>
      <c r="D157" s="2" t="n">
        <v>4</v>
      </c>
      <c r="E157" s="19" t="n">
        <v>0.02</v>
      </c>
    </row>
    <row r="158">
      <c r="A158" s="2" t="inlineStr">
        <is>
          <t>IT00059_02</t>
        </is>
      </c>
      <c r="B158" s="2" t="inlineStr">
        <is>
          <t>PED00059</t>
        </is>
      </c>
      <c r="C158" s="2" t="inlineStr">
        <is>
          <t>P059</t>
        </is>
      </c>
      <c r="D158" s="2" t="n">
        <v>1</v>
      </c>
      <c r="E158" s="19" t="n">
        <v>0.1</v>
      </c>
    </row>
    <row r="159">
      <c r="A159" s="2" t="inlineStr">
        <is>
          <t>IT00059_03</t>
        </is>
      </c>
      <c r="B159" s="2" t="inlineStr">
        <is>
          <t>PED00059</t>
        </is>
      </c>
      <c r="C159" s="2" t="inlineStr">
        <is>
          <t>P046</t>
        </is>
      </c>
      <c r="D159" s="2" t="n">
        <v>3</v>
      </c>
      <c r="E159" s="19" t="n">
        <v>0</v>
      </c>
    </row>
    <row r="160">
      <c r="A160" s="2" t="inlineStr">
        <is>
          <t>IT00060_01</t>
        </is>
      </c>
      <c r="B160" s="2" t="inlineStr">
        <is>
          <t>PED00060</t>
        </is>
      </c>
      <c r="C160" s="2" t="inlineStr">
        <is>
          <t>P007</t>
        </is>
      </c>
      <c r="D160" s="2" t="n">
        <v>2</v>
      </c>
      <c r="E160" s="19" t="n">
        <v>0.05</v>
      </c>
    </row>
    <row r="161">
      <c r="A161" s="2" t="inlineStr">
        <is>
          <t>IT00060_02</t>
        </is>
      </c>
      <c r="B161" s="2" t="inlineStr">
        <is>
          <t>PED00060</t>
        </is>
      </c>
      <c r="C161" s="2" t="inlineStr">
        <is>
          <t>P006</t>
        </is>
      </c>
      <c r="D161" s="2" t="n">
        <v>1</v>
      </c>
      <c r="E161" s="19" t="n">
        <v>0.05</v>
      </c>
    </row>
    <row r="162">
      <c r="A162" s="2" t="inlineStr">
        <is>
          <t>IT00060_03</t>
        </is>
      </c>
      <c r="B162" s="2" t="inlineStr">
        <is>
          <t>PED00060</t>
        </is>
      </c>
      <c r="C162" s="2" t="inlineStr">
        <is>
          <t>P013</t>
        </is>
      </c>
      <c r="D162" s="2" t="n">
        <v>1</v>
      </c>
      <c r="E162" s="19" t="n">
        <v>0</v>
      </c>
    </row>
    <row r="163">
      <c r="A163" s="2" t="inlineStr">
        <is>
          <t>IT00061_01</t>
        </is>
      </c>
      <c r="B163" s="2" t="inlineStr">
        <is>
          <t>PED00061</t>
        </is>
      </c>
      <c r="C163" s="2" t="inlineStr">
        <is>
          <t>P012</t>
        </is>
      </c>
      <c r="D163" s="2" t="n">
        <v>1</v>
      </c>
      <c r="E163" s="19" t="n">
        <v>0.05</v>
      </c>
    </row>
    <row r="164">
      <c r="A164" s="2" t="inlineStr">
        <is>
          <t>IT00061_02</t>
        </is>
      </c>
      <c r="B164" s="2" t="inlineStr">
        <is>
          <t>PED00061</t>
        </is>
      </c>
      <c r="C164" s="2" t="inlineStr">
        <is>
          <t>P047</t>
        </is>
      </c>
      <c r="D164" s="2" t="n">
        <v>1</v>
      </c>
      <c r="E164" s="19" t="n">
        <v>0</v>
      </c>
    </row>
    <row r="165">
      <c r="A165" s="2" t="inlineStr">
        <is>
          <t>IT00061_03</t>
        </is>
      </c>
      <c r="B165" s="2" t="inlineStr">
        <is>
          <t>PED00061</t>
        </is>
      </c>
      <c r="C165" s="2" t="inlineStr">
        <is>
          <t>P033</t>
        </is>
      </c>
      <c r="D165" s="2" t="n">
        <v>1</v>
      </c>
      <c r="E165" s="19" t="n">
        <v>0.02</v>
      </c>
    </row>
    <row r="166">
      <c r="A166" s="2" t="inlineStr">
        <is>
          <t>IT00061_04</t>
        </is>
      </c>
      <c r="B166" s="2" t="inlineStr">
        <is>
          <t>PED00061</t>
        </is>
      </c>
      <c r="C166" s="2" t="inlineStr">
        <is>
          <t>P011</t>
        </is>
      </c>
      <c r="D166" s="2" t="n">
        <v>1</v>
      </c>
      <c r="E166" s="19" t="n">
        <v>0.02</v>
      </c>
    </row>
    <row r="167">
      <c r="A167" s="2" t="inlineStr">
        <is>
          <t>IT00062_01</t>
        </is>
      </c>
      <c r="B167" s="2" t="inlineStr">
        <is>
          <t>PED00062</t>
        </is>
      </c>
      <c r="C167" s="2" t="inlineStr">
        <is>
          <t>P057</t>
        </is>
      </c>
      <c r="D167" s="2" t="n">
        <v>1</v>
      </c>
      <c r="E167" s="19" t="n">
        <v>0</v>
      </c>
    </row>
    <row r="168">
      <c r="A168" s="2" t="inlineStr">
        <is>
          <t>IT00062_02</t>
        </is>
      </c>
      <c r="B168" s="2" t="inlineStr">
        <is>
          <t>PED00062</t>
        </is>
      </c>
      <c r="C168" s="2" t="inlineStr">
        <is>
          <t>P002</t>
        </is>
      </c>
      <c r="D168" s="2" t="n">
        <v>1</v>
      </c>
      <c r="E168" s="19" t="n">
        <v>0.05</v>
      </c>
    </row>
    <row r="169">
      <c r="A169" s="2" t="inlineStr">
        <is>
          <t>IT00063_01</t>
        </is>
      </c>
      <c r="B169" s="2" t="inlineStr">
        <is>
          <t>PED00063</t>
        </is>
      </c>
      <c r="C169" s="2" t="inlineStr">
        <is>
          <t>P041</t>
        </is>
      </c>
      <c r="D169" s="2" t="n">
        <v>1</v>
      </c>
      <c r="E169" s="19" t="n">
        <v>0</v>
      </c>
    </row>
    <row r="170">
      <c r="A170" s="2" t="inlineStr">
        <is>
          <t>IT00064_01</t>
        </is>
      </c>
      <c r="B170" s="2" t="inlineStr">
        <is>
          <t>PED00064</t>
        </is>
      </c>
      <c r="C170" s="2" t="inlineStr">
        <is>
          <t>P045</t>
        </is>
      </c>
      <c r="D170" s="2" t="n">
        <v>3</v>
      </c>
      <c r="E170" s="19" t="n">
        <v>0</v>
      </c>
    </row>
    <row r="171">
      <c r="A171" s="2" t="inlineStr">
        <is>
          <t>IT00065_01</t>
        </is>
      </c>
      <c r="B171" s="2" t="inlineStr">
        <is>
          <t>PED00065</t>
        </is>
      </c>
      <c r="C171" s="2" t="inlineStr">
        <is>
          <t>P050</t>
        </is>
      </c>
      <c r="D171" s="2" t="n">
        <v>1</v>
      </c>
      <c r="E171" s="19" t="n">
        <v>0</v>
      </c>
    </row>
    <row r="172">
      <c r="A172" s="2" t="inlineStr">
        <is>
          <t>IT00065_02</t>
        </is>
      </c>
      <c r="B172" s="2" t="inlineStr">
        <is>
          <t>PED00065</t>
        </is>
      </c>
      <c r="C172" s="2" t="inlineStr">
        <is>
          <t>P045</t>
        </is>
      </c>
      <c r="D172" s="2" t="n">
        <v>1</v>
      </c>
      <c r="E172" s="19" t="n">
        <v>0</v>
      </c>
    </row>
    <row r="173">
      <c r="A173" s="2" t="inlineStr">
        <is>
          <t>IT00065_03</t>
        </is>
      </c>
      <c r="B173" s="2" t="inlineStr">
        <is>
          <t>PED00065</t>
        </is>
      </c>
      <c r="C173" s="2" t="inlineStr">
        <is>
          <t>P055</t>
        </is>
      </c>
      <c r="D173" s="2" t="n">
        <v>2</v>
      </c>
      <c r="E173" s="19" t="n">
        <v>0</v>
      </c>
    </row>
    <row r="174">
      <c r="A174" s="2" t="inlineStr">
        <is>
          <t>IT00066_01</t>
        </is>
      </c>
      <c r="B174" s="2" t="inlineStr">
        <is>
          <t>PED00066</t>
        </is>
      </c>
      <c r="C174" s="2" t="inlineStr">
        <is>
          <t>P066</t>
        </is>
      </c>
      <c r="D174" s="2" t="n">
        <v>3</v>
      </c>
      <c r="E174" s="19" t="n">
        <v>0</v>
      </c>
    </row>
    <row r="175">
      <c r="A175" s="2" t="inlineStr">
        <is>
          <t>IT00066_02</t>
        </is>
      </c>
      <c r="B175" s="2" t="inlineStr">
        <is>
          <t>PED00066</t>
        </is>
      </c>
      <c r="C175" s="2" t="inlineStr">
        <is>
          <t>P025</t>
        </is>
      </c>
      <c r="D175" s="2" t="n">
        <v>1</v>
      </c>
      <c r="E175" s="19" t="n">
        <v>0.05</v>
      </c>
    </row>
    <row r="176">
      <c r="A176" s="2" t="inlineStr">
        <is>
          <t>IT00067_01</t>
        </is>
      </c>
      <c r="B176" s="2" t="inlineStr">
        <is>
          <t>PED00067</t>
        </is>
      </c>
      <c r="C176" s="2" t="inlineStr">
        <is>
          <t>P002</t>
        </is>
      </c>
      <c r="D176" s="2" t="n">
        <v>5</v>
      </c>
      <c r="E176" s="19" t="n">
        <v>0</v>
      </c>
    </row>
    <row r="177">
      <c r="A177" s="2" t="inlineStr">
        <is>
          <t>IT00067_02</t>
        </is>
      </c>
      <c r="B177" s="2" t="inlineStr">
        <is>
          <t>PED00067</t>
        </is>
      </c>
      <c r="C177" s="2" t="inlineStr">
        <is>
          <t>P047</t>
        </is>
      </c>
      <c r="D177" s="2" t="n">
        <v>4</v>
      </c>
      <c r="E177" s="19" t="n">
        <v>0</v>
      </c>
    </row>
    <row r="178">
      <c r="A178" s="2" t="inlineStr">
        <is>
          <t>IT00068_01</t>
        </is>
      </c>
      <c r="B178" s="2" t="inlineStr">
        <is>
          <t>PED00068</t>
        </is>
      </c>
      <c r="C178" s="2" t="inlineStr">
        <is>
          <t>P009</t>
        </is>
      </c>
      <c r="D178" s="2" t="n">
        <v>1</v>
      </c>
      <c r="E178" s="19" t="n">
        <v>0</v>
      </c>
    </row>
    <row r="179">
      <c r="A179" s="2" t="inlineStr">
        <is>
          <t>IT00069_01</t>
        </is>
      </c>
      <c r="B179" s="2" t="inlineStr">
        <is>
          <t>PED00069</t>
        </is>
      </c>
      <c r="C179" s="2" t="inlineStr">
        <is>
          <t>P011</t>
        </is>
      </c>
      <c r="D179" s="2" t="n">
        <v>1</v>
      </c>
      <c r="E179" s="19" t="n">
        <v>0</v>
      </c>
    </row>
    <row r="180">
      <c r="A180" s="2" t="inlineStr">
        <is>
          <t>IT00069_02</t>
        </is>
      </c>
      <c r="B180" s="2" t="inlineStr">
        <is>
          <t>PED00069</t>
        </is>
      </c>
      <c r="C180" s="2" t="inlineStr">
        <is>
          <t>P069</t>
        </is>
      </c>
      <c r="D180" s="2" t="n">
        <v>2</v>
      </c>
      <c r="E180" s="19" t="n">
        <v>0</v>
      </c>
    </row>
    <row r="181">
      <c r="A181" s="2" t="inlineStr">
        <is>
          <t>IT00069_03</t>
        </is>
      </c>
      <c r="B181" s="2" t="inlineStr">
        <is>
          <t>PED00069</t>
        </is>
      </c>
      <c r="C181" s="2" t="inlineStr">
        <is>
          <t>P020</t>
        </is>
      </c>
      <c r="D181" s="2" t="n">
        <v>3</v>
      </c>
      <c r="E181" s="19" t="n">
        <v>0</v>
      </c>
    </row>
    <row r="182">
      <c r="A182" s="2" t="inlineStr">
        <is>
          <t>IT00070_01</t>
        </is>
      </c>
      <c r="B182" s="2" t="inlineStr">
        <is>
          <t>PED00070</t>
        </is>
      </c>
      <c r="C182" s="2" t="inlineStr">
        <is>
          <t>P032</t>
        </is>
      </c>
      <c r="D182" s="2" t="n">
        <v>4</v>
      </c>
      <c r="E182" s="19" t="n">
        <v>0</v>
      </c>
    </row>
    <row r="183">
      <c r="A183" s="2" t="inlineStr">
        <is>
          <t>IT00070_02</t>
        </is>
      </c>
      <c r="B183" s="2" t="inlineStr">
        <is>
          <t>PED00070</t>
        </is>
      </c>
      <c r="C183" s="2" t="inlineStr">
        <is>
          <t>P012</t>
        </is>
      </c>
      <c r="D183" s="2" t="n">
        <v>2</v>
      </c>
      <c r="E183" s="19" t="n">
        <v>0</v>
      </c>
    </row>
    <row r="184">
      <c r="A184" s="2" t="inlineStr">
        <is>
          <t>IT00071_01</t>
        </is>
      </c>
      <c r="B184" s="2" t="inlineStr">
        <is>
          <t>PED00071</t>
        </is>
      </c>
      <c r="C184" s="2" t="inlineStr">
        <is>
          <t>P045</t>
        </is>
      </c>
      <c r="D184" s="2" t="n">
        <v>2</v>
      </c>
      <c r="E184" s="19" t="n">
        <v>0.02</v>
      </c>
    </row>
    <row r="185">
      <c r="A185" s="2" t="inlineStr">
        <is>
          <t>IT00072_01</t>
        </is>
      </c>
      <c r="B185" s="2" t="inlineStr">
        <is>
          <t>PED00072</t>
        </is>
      </c>
      <c r="C185" s="2" t="inlineStr">
        <is>
          <t>P004</t>
        </is>
      </c>
      <c r="D185" s="2" t="n">
        <v>2</v>
      </c>
      <c r="E185" s="19" t="n">
        <v>0</v>
      </c>
    </row>
    <row r="186">
      <c r="A186" s="2" t="inlineStr">
        <is>
          <t>IT00072_02</t>
        </is>
      </c>
      <c r="B186" s="2" t="inlineStr">
        <is>
          <t>PED00072</t>
        </is>
      </c>
      <c r="C186" s="2" t="inlineStr">
        <is>
          <t>P043</t>
        </is>
      </c>
      <c r="D186" s="2" t="n">
        <v>5</v>
      </c>
      <c r="E186" s="19" t="n">
        <v>0</v>
      </c>
    </row>
    <row r="187">
      <c r="A187" s="2" t="inlineStr">
        <is>
          <t>IT00072_03</t>
        </is>
      </c>
      <c r="B187" s="2" t="inlineStr">
        <is>
          <t>PED00072</t>
        </is>
      </c>
      <c r="C187" s="2" t="inlineStr">
        <is>
          <t>P055</t>
        </is>
      </c>
      <c r="D187" s="2" t="n">
        <v>2</v>
      </c>
      <c r="E187" s="19" t="n">
        <v>0</v>
      </c>
    </row>
    <row r="188">
      <c r="A188" s="2" t="inlineStr">
        <is>
          <t>IT00072_04</t>
        </is>
      </c>
      <c r="B188" s="2" t="inlineStr">
        <is>
          <t>PED00072</t>
        </is>
      </c>
      <c r="C188" s="2" t="inlineStr">
        <is>
          <t>P035</t>
        </is>
      </c>
      <c r="D188" s="2" t="n">
        <v>1</v>
      </c>
      <c r="E188" s="19" t="n">
        <v>0.05</v>
      </c>
    </row>
    <row r="189">
      <c r="A189" s="2" t="inlineStr">
        <is>
          <t>IT00073_01</t>
        </is>
      </c>
      <c r="B189" s="2" t="inlineStr">
        <is>
          <t>PED00073</t>
        </is>
      </c>
      <c r="C189" s="2" t="inlineStr">
        <is>
          <t>P030</t>
        </is>
      </c>
      <c r="D189" s="2" t="n">
        <v>1</v>
      </c>
      <c r="E189" s="19" t="n">
        <v>0.05</v>
      </c>
    </row>
    <row r="190">
      <c r="A190" s="2" t="inlineStr">
        <is>
          <t>IT00073_02</t>
        </is>
      </c>
      <c r="B190" s="2" t="inlineStr">
        <is>
          <t>PED00073</t>
        </is>
      </c>
      <c r="C190" s="2" t="inlineStr">
        <is>
          <t>P066</t>
        </is>
      </c>
      <c r="D190" s="2" t="n">
        <v>1</v>
      </c>
      <c r="E190" s="19" t="n">
        <v>0</v>
      </c>
    </row>
    <row r="191">
      <c r="A191" s="2" t="inlineStr">
        <is>
          <t>IT00073_03</t>
        </is>
      </c>
      <c r="B191" s="2" t="inlineStr">
        <is>
          <t>PED00073</t>
        </is>
      </c>
      <c r="C191" s="2" t="inlineStr">
        <is>
          <t>P001</t>
        </is>
      </c>
      <c r="D191" s="2" t="n">
        <v>1</v>
      </c>
      <c r="E191" s="19" t="n">
        <v>0</v>
      </c>
    </row>
    <row r="192">
      <c r="A192" s="2" t="inlineStr">
        <is>
          <t>IT00074_01</t>
        </is>
      </c>
      <c r="B192" s="2" t="inlineStr">
        <is>
          <t>PED00074</t>
        </is>
      </c>
      <c r="C192" s="2" t="inlineStr">
        <is>
          <t>P010</t>
        </is>
      </c>
      <c r="D192" s="2" t="n">
        <v>1</v>
      </c>
      <c r="E192" s="19" t="n">
        <v>0.02</v>
      </c>
    </row>
    <row r="193">
      <c r="A193" s="2" t="inlineStr">
        <is>
          <t>IT00074_02</t>
        </is>
      </c>
      <c r="B193" s="2" t="inlineStr">
        <is>
          <t>PED00074</t>
        </is>
      </c>
      <c r="C193" s="2" t="inlineStr">
        <is>
          <t>P048</t>
        </is>
      </c>
      <c r="D193" s="2" t="n">
        <v>1</v>
      </c>
      <c r="E193" s="19" t="n">
        <v>0</v>
      </c>
    </row>
    <row r="194">
      <c r="A194" s="2" t="inlineStr">
        <is>
          <t>IT00075_01</t>
        </is>
      </c>
      <c r="B194" s="2" t="inlineStr">
        <is>
          <t>PED00075</t>
        </is>
      </c>
      <c r="C194" s="2" t="inlineStr">
        <is>
          <t>P042</t>
        </is>
      </c>
      <c r="D194" s="2" t="n">
        <v>1</v>
      </c>
      <c r="E194" s="19" t="n">
        <v>0</v>
      </c>
    </row>
    <row r="195">
      <c r="A195" s="2" t="inlineStr">
        <is>
          <t>IT00075_02</t>
        </is>
      </c>
      <c r="B195" s="2" t="inlineStr">
        <is>
          <t>PED00075</t>
        </is>
      </c>
      <c r="C195" s="2" t="inlineStr">
        <is>
          <t>P012</t>
        </is>
      </c>
      <c r="D195" s="2" t="n">
        <v>3</v>
      </c>
      <c r="E195" s="19" t="n">
        <v>0.02</v>
      </c>
    </row>
    <row r="196">
      <c r="A196" s="2" t="inlineStr">
        <is>
          <t>IT00075_03</t>
        </is>
      </c>
      <c r="B196" s="2" t="inlineStr">
        <is>
          <t>PED00075</t>
        </is>
      </c>
      <c r="C196" s="2" t="inlineStr">
        <is>
          <t>P059</t>
        </is>
      </c>
      <c r="D196" s="2" t="n">
        <v>1</v>
      </c>
      <c r="E196" s="19" t="n">
        <v>0</v>
      </c>
    </row>
    <row r="197">
      <c r="A197" s="2" t="inlineStr">
        <is>
          <t>IT00075_04</t>
        </is>
      </c>
      <c r="B197" s="2" t="inlineStr">
        <is>
          <t>PED00075</t>
        </is>
      </c>
      <c r="C197" s="2" t="inlineStr">
        <is>
          <t>P002</t>
        </is>
      </c>
      <c r="D197" s="2" t="n">
        <v>5</v>
      </c>
      <c r="E197" s="19" t="n">
        <v>0.1</v>
      </c>
    </row>
    <row r="198">
      <c r="A198" s="2" t="inlineStr">
        <is>
          <t>IT00076_01</t>
        </is>
      </c>
      <c r="B198" s="2" t="inlineStr">
        <is>
          <t>PED00076</t>
        </is>
      </c>
      <c r="C198" s="2" t="inlineStr">
        <is>
          <t>P002</t>
        </is>
      </c>
      <c r="D198" s="2" t="n">
        <v>3</v>
      </c>
      <c r="E198" s="19" t="n">
        <v>0</v>
      </c>
    </row>
    <row r="199">
      <c r="A199" s="2" t="inlineStr">
        <is>
          <t>IT00076_02</t>
        </is>
      </c>
      <c r="B199" s="2" t="inlineStr">
        <is>
          <t>PED00076</t>
        </is>
      </c>
      <c r="C199" s="2" t="inlineStr">
        <is>
          <t>P043</t>
        </is>
      </c>
      <c r="D199" s="2" t="n">
        <v>3</v>
      </c>
      <c r="E199" s="19" t="n">
        <v>0</v>
      </c>
    </row>
    <row r="200">
      <c r="A200" s="2" t="inlineStr">
        <is>
          <t>IT00076_03</t>
        </is>
      </c>
      <c r="B200" s="2" t="inlineStr">
        <is>
          <t>PED00076</t>
        </is>
      </c>
      <c r="C200" s="2" t="inlineStr">
        <is>
          <t>P001</t>
        </is>
      </c>
      <c r="D200" s="2" t="n">
        <v>1</v>
      </c>
      <c r="E200" s="19" t="n">
        <v>0.1</v>
      </c>
    </row>
    <row r="201">
      <c r="A201" s="2" t="inlineStr">
        <is>
          <t>IT00077_01</t>
        </is>
      </c>
      <c r="B201" s="2" t="inlineStr">
        <is>
          <t>PED00077</t>
        </is>
      </c>
      <c r="C201" s="2" t="inlineStr">
        <is>
          <t>P030</t>
        </is>
      </c>
      <c r="D201" s="2" t="n">
        <v>4</v>
      </c>
      <c r="E201" s="19" t="n">
        <v>0</v>
      </c>
    </row>
    <row r="202">
      <c r="A202" s="2" t="inlineStr">
        <is>
          <t>IT00078_01</t>
        </is>
      </c>
      <c r="B202" s="2" t="inlineStr">
        <is>
          <t>PED00078</t>
        </is>
      </c>
      <c r="C202" s="2" t="inlineStr">
        <is>
          <t>P051</t>
        </is>
      </c>
      <c r="D202" s="2" t="n">
        <v>1</v>
      </c>
      <c r="E202" s="19" t="n">
        <v>0</v>
      </c>
    </row>
    <row r="203">
      <c r="A203" s="2" t="inlineStr">
        <is>
          <t>IT00079_01</t>
        </is>
      </c>
      <c r="B203" s="2" t="inlineStr">
        <is>
          <t>PED00079</t>
        </is>
      </c>
      <c r="C203" s="2" t="inlineStr">
        <is>
          <t>P042</t>
        </is>
      </c>
      <c r="D203" s="2" t="n">
        <v>1</v>
      </c>
      <c r="E203" s="19" t="n">
        <v>0.05</v>
      </c>
    </row>
    <row r="204">
      <c r="A204" s="2" t="inlineStr">
        <is>
          <t>IT00079_02</t>
        </is>
      </c>
      <c r="B204" s="2" t="inlineStr">
        <is>
          <t>PED00079</t>
        </is>
      </c>
      <c r="C204" s="2" t="inlineStr">
        <is>
          <t>P041</t>
        </is>
      </c>
      <c r="D204" s="2" t="n">
        <v>1</v>
      </c>
      <c r="E204" s="19" t="n">
        <v>0.02</v>
      </c>
    </row>
    <row r="205">
      <c r="A205" s="2" t="inlineStr">
        <is>
          <t>IT00079_03</t>
        </is>
      </c>
      <c r="B205" s="2" t="inlineStr">
        <is>
          <t>PED00079</t>
        </is>
      </c>
      <c r="C205" s="2" t="inlineStr">
        <is>
          <t>P058</t>
        </is>
      </c>
      <c r="D205" s="2" t="n">
        <v>1</v>
      </c>
      <c r="E205" s="19" t="n">
        <v>0</v>
      </c>
    </row>
    <row r="206">
      <c r="A206" s="2" t="inlineStr">
        <is>
          <t>IT00079_04</t>
        </is>
      </c>
      <c r="B206" s="2" t="inlineStr">
        <is>
          <t>PED00079</t>
        </is>
      </c>
      <c r="C206" s="2" t="inlineStr">
        <is>
          <t>P035</t>
        </is>
      </c>
      <c r="D206" s="2" t="n">
        <v>2</v>
      </c>
      <c r="E206" s="19" t="n">
        <v>0</v>
      </c>
    </row>
    <row r="207">
      <c r="A207" s="2" t="inlineStr">
        <is>
          <t>IT00080_01</t>
        </is>
      </c>
      <c r="B207" s="2" t="inlineStr">
        <is>
          <t>PED00080</t>
        </is>
      </c>
      <c r="C207" s="2" t="inlineStr">
        <is>
          <t>P016</t>
        </is>
      </c>
      <c r="D207" s="2" t="n">
        <v>1</v>
      </c>
      <c r="E207" s="19" t="n">
        <v>0.02</v>
      </c>
    </row>
    <row r="208">
      <c r="A208" s="2" t="inlineStr">
        <is>
          <t>IT00080_02</t>
        </is>
      </c>
      <c r="B208" s="2" t="inlineStr">
        <is>
          <t>PED00080</t>
        </is>
      </c>
      <c r="C208" s="2" t="inlineStr">
        <is>
          <t>P012</t>
        </is>
      </c>
      <c r="D208" s="2" t="n">
        <v>3</v>
      </c>
      <c r="E208" s="19" t="n">
        <v>0.02</v>
      </c>
    </row>
    <row r="209">
      <c r="A209" s="2" t="inlineStr">
        <is>
          <t>IT00081_01</t>
        </is>
      </c>
      <c r="B209" s="2" t="inlineStr">
        <is>
          <t>PED00081</t>
        </is>
      </c>
      <c r="C209" s="2" t="inlineStr">
        <is>
          <t>P007</t>
        </is>
      </c>
      <c r="D209" s="2" t="n">
        <v>1</v>
      </c>
      <c r="E209" s="19" t="n">
        <v>0.1</v>
      </c>
    </row>
    <row r="210">
      <c r="A210" s="2" t="inlineStr">
        <is>
          <t>IT00081_02</t>
        </is>
      </c>
      <c r="B210" s="2" t="inlineStr">
        <is>
          <t>PED00081</t>
        </is>
      </c>
      <c r="C210" s="2" t="inlineStr">
        <is>
          <t>P039</t>
        </is>
      </c>
      <c r="D210" s="2" t="n">
        <v>1</v>
      </c>
      <c r="E210" s="19" t="n">
        <v>0</v>
      </c>
    </row>
    <row r="211">
      <c r="A211" s="2" t="inlineStr">
        <is>
          <t>IT00082_01</t>
        </is>
      </c>
      <c r="B211" s="2" t="inlineStr">
        <is>
          <t>PED00082</t>
        </is>
      </c>
      <c r="C211" s="2" t="inlineStr">
        <is>
          <t>P008</t>
        </is>
      </c>
      <c r="D211" s="2" t="n">
        <v>3</v>
      </c>
      <c r="E211" s="19" t="n">
        <v>0.1</v>
      </c>
    </row>
    <row r="212">
      <c r="A212" s="2" t="inlineStr">
        <is>
          <t>IT00083_01</t>
        </is>
      </c>
      <c r="B212" s="2" t="inlineStr">
        <is>
          <t>PED00083</t>
        </is>
      </c>
      <c r="C212" s="2" t="inlineStr">
        <is>
          <t>P034</t>
        </is>
      </c>
      <c r="D212" s="2" t="n">
        <v>10</v>
      </c>
      <c r="E212" s="19" t="n">
        <v>0</v>
      </c>
    </row>
    <row r="213">
      <c r="A213" s="2" t="inlineStr">
        <is>
          <t>IT00083_02</t>
        </is>
      </c>
      <c r="B213" s="2" t="inlineStr">
        <is>
          <t>PED00083</t>
        </is>
      </c>
      <c r="C213" s="2" t="inlineStr">
        <is>
          <t>P010</t>
        </is>
      </c>
      <c r="D213" s="2" t="n">
        <v>2</v>
      </c>
      <c r="E213" s="19" t="n">
        <v>0.05</v>
      </c>
    </row>
    <row r="214">
      <c r="A214" s="2" t="inlineStr">
        <is>
          <t>IT00083_03</t>
        </is>
      </c>
      <c r="B214" s="2" t="inlineStr">
        <is>
          <t>PED00083</t>
        </is>
      </c>
      <c r="C214" s="2" t="inlineStr">
        <is>
          <t>P003</t>
        </is>
      </c>
      <c r="D214" s="2" t="n">
        <v>1</v>
      </c>
      <c r="E214" s="19" t="n">
        <v>0.05</v>
      </c>
    </row>
    <row r="215">
      <c r="A215" s="2" t="inlineStr">
        <is>
          <t>IT00084_01</t>
        </is>
      </c>
      <c r="B215" s="2" t="inlineStr">
        <is>
          <t>PED00084</t>
        </is>
      </c>
      <c r="C215" s="2" t="inlineStr">
        <is>
          <t>P051</t>
        </is>
      </c>
      <c r="D215" s="2" t="n">
        <v>1</v>
      </c>
      <c r="E215" s="19" t="n">
        <v>0.02</v>
      </c>
    </row>
    <row r="216">
      <c r="A216" s="2" t="inlineStr">
        <is>
          <t>IT00084_02</t>
        </is>
      </c>
      <c r="B216" s="2" t="inlineStr">
        <is>
          <t>PED00084</t>
        </is>
      </c>
      <c r="C216" s="2" t="inlineStr">
        <is>
          <t>P064</t>
        </is>
      </c>
      <c r="D216" s="2" t="n">
        <v>1</v>
      </c>
      <c r="E216" s="19" t="n">
        <v>0</v>
      </c>
    </row>
    <row r="217">
      <c r="A217" s="2" t="inlineStr">
        <is>
          <t>IT00085_01</t>
        </is>
      </c>
      <c r="B217" s="2" t="inlineStr">
        <is>
          <t>PED00085</t>
        </is>
      </c>
      <c r="C217" s="2" t="inlineStr">
        <is>
          <t>P038</t>
        </is>
      </c>
      <c r="D217" s="2" t="n">
        <v>4</v>
      </c>
      <c r="E217" s="19" t="n">
        <v>0</v>
      </c>
    </row>
    <row r="218">
      <c r="A218" s="2" t="inlineStr">
        <is>
          <t>IT00085_02</t>
        </is>
      </c>
      <c r="B218" s="2" t="inlineStr">
        <is>
          <t>PED00085</t>
        </is>
      </c>
      <c r="C218" s="2" t="inlineStr">
        <is>
          <t>P064</t>
        </is>
      </c>
      <c r="D218" s="2" t="n">
        <v>1</v>
      </c>
      <c r="E218" s="19" t="n">
        <v>0</v>
      </c>
    </row>
    <row r="219">
      <c r="A219" s="2" t="inlineStr">
        <is>
          <t>IT00085_03</t>
        </is>
      </c>
      <c r="B219" s="2" t="inlineStr">
        <is>
          <t>PED00085</t>
        </is>
      </c>
      <c r="C219" s="2" t="inlineStr">
        <is>
          <t>P053</t>
        </is>
      </c>
      <c r="D219" s="2" t="n">
        <v>1</v>
      </c>
      <c r="E219" s="19" t="n">
        <v>0</v>
      </c>
    </row>
    <row r="220">
      <c r="A220" s="2" t="inlineStr">
        <is>
          <t>IT00086_01</t>
        </is>
      </c>
      <c r="B220" s="2" t="inlineStr">
        <is>
          <t>PED00086</t>
        </is>
      </c>
      <c r="C220" s="2" t="inlineStr">
        <is>
          <t>P063</t>
        </is>
      </c>
      <c r="D220" s="2" t="n">
        <v>1</v>
      </c>
      <c r="E220" s="19" t="n">
        <v>0</v>
      </c>
    </row>
    <row r="221">
      <c r="A221" s="2" t="inlineStr">
        <is>
          <t>IT00086_02</t>
        </is>
      </c>
      <c r="B221" s="2" t="inlineStr">
        <is>
          <t>PED00086</t>
        </is>
      </c>
      <c r="C221" s="2" t="inlineStr">
        <is>
          <t>P045</t>
        </is>
      </c>
      <c r="D221" s="2" t="n">
        <v>1</v>
      </c>
      <c r="E221" s="19" t="n">
        <v>0</v>
      </c>
    </row>
    <row r="222">
      <c r="A222" s="2" t="inlineStr">
        <is>
          <t>IT00086_03</t>
        </is>
      </c>
      <c r="B222" s="2" t="inlineStr">
        <is>
          <t>PED00086</t>
        </is>
      </c>
      <c r="C222" s="2" t="inlineStr">
        <is>
          <t>P065</t>
        </is>
      </c>
      <c r="D222" s="2" t="n">
        <v>1</v>
      </c>
      <c r="E222" s="19" t="n">
        <v>0.05</v>
      </c>
    </row>
    <row r="223">
      <c r="A223" s="2" t="inlineStr">
        <is>
          <t>IT00087_01</t>
        </is>
      </c>
      <c r="B223" s="2" t="inlineStr">
        <is>
          <t>PED00087</t>
        </is>
      </c>
      <c r="C223" s="2" t="inlineStr">
        <is>
          <t>P013</t>
        </is>
      </c>
      <c r="D223" s="2" t="n">
        <v>3</v>
      </c>
      <c r="E223" s="19" t="n">
        <v>0.05</v>
      </c>
    </row>
    <row r="224">
      <c r="A224" s="2" t="inlineStr">
        <is>
          <t>IT00087_02</t>
        </is>
      </c>
      <c r="B224" s="2" t="inlineStr">
        <is>
          <t>PED00087</t>
        </is>
      </c>
      <c r="C224" s="2" t="inlineStr">
        <is>
          <t>P032</t>
        </is>
      </c>
      <c r="D224" s="2" t="n">
        <v>1</v>
      </c>
      <c r="E224" s="19" t="n">
        <v>0.1</v>
      </c>
    </row>
    <row r="225">
      <c r="A225" s="2" t="inlineStr">
        <is>
          <t>IT00087_03</t>
        </is>
      </c>
      <c r="B225" s="2" t="inlineStr">
        <is>
          <t>PED00087</t>
        </is>
      </c>
      <c r="C225" s="2" t="inlineStr">
        <is>
          <t>P031</t>
        </is>
      </c>
      <c r="D225" s="2" t="n">
        <v>1</v>
      </c>
      <c r="E225" s="19" t="n">
        <v>0.05</v>
      </c>
    </row>
    <row r="226">
      <c r="A226" s="2" t="inlineStr">
        <is>
          <t>IT00087_04</t>
        </is>
      </c>
      <c r="B226" s="2" t="inlineStr">
        <is>
          <t>PED00087</t>
        </is>
      </c>
      <c r="C226" s="2" t="inlineStr">
        <is>
          <t>P035</t>
        </is>
      </c>
      <c r="D226" s="2" t="n">
        <v>3</v>
      </c>
      <c r="E226" s="19" t="n">
        <v>0</v>
      </c>
    </row>
    <row r="227">
      <c r="A227" s="2" t="inlineStr">
        <is>
          <t>IT00087_05</t>
        </is>
      </c>
      <c r="B227" s="2" t="inlineStr">
        <is>
          <t>PED00087</t>
        </is>
      </c>
      <c r="C227" s="2" t="inlineStr">
        <is>
          <t>P069</t>
        </is>
      </c>
      <c r="D227" s="2" t="n">
        <v>3</v>
      </c>
      <c r="E227" s="19" t="n">
        <v>0.05</v>
      </c>
    </row>
    <row r="228">
      <c r="A228" s="2" t="inlineStr">
        <is>
          <t>IT00088_01</t>
        </is>
      </c>
      <c r="B228" s="2" t="inlineStr">
        <is>
          <t>PED00088</t>
        </is>
      </c>
      <c r="C228" s="2" t="inlineStr">
        <is>
          <t>P046</t>
        </is>
      </c>
      <c r="D228" s="2" t="n">
        <v>5</v>
      </c>
      <c r="E228" s="19" t="n">
        <v>0</v>
      </c>
    </row>
    <row r="229">
      <c r="A229" s="2" t="inlineStr">
        <is>
          <t>IT00089_01</t>
        </is>
      </c>
      <c r="B229" s="2" t="inlineStr">
        <is>
          <t>PED00089</t>
        </is>
      </c>
      <c r="C229" s="2" t="inlineStr">
        <is>
          <t>P029</t>
        </is>
      </c>
      <c r="D229" s="2" t="n">
        <v>1</v>
      </c>
      <c r="E229" s="19" t="n">
        <v>0</v>
      </c>
    </row>
    <row r="230">
      <c r="A230" s="2" t="inlineStr">
        <is>
          <t>IT00090_01</t>
        </is>
      </c>
      <c r="B230" s="2" t="inlineStr">
        <is>
          <t>PED00090</t>
        </is>
      </c>
      <c r="C230" s="2" t="inlineStr">
        <is>
          <t>P042</t>
        </is>
      </c>
      <c r="D230" s="2" t="n">
        <v>2</v>
      </c>
      <c r="E230" s="19" t="n">
        <v>0.05</v>
      </c>
    </row>
    <row r="231">
      <c r="A231" s="2" t="inlineStr">
        <is>
          <t>IT00090_02</t>
        </is>
      </c>
      <c r="B231" s="2" t="inlineStr">
        <is>
          <t>PED00090</t>
        </is>
      </c>
      <c r="C231" s="2" t="inlineStr">
        <is>
          <t>P008</t>
        </is>
      </c>
      <c r="D231" s="2" t="n">
        <v>3</v>
      </c>
      <c r="E231" s="19" t="n">
        <v>0.05</v>
      </c>
    </row>
    <row r="232">
      <c r="A232" s="2" t="inlineStr">
        <is>
          <t>IT00090_03</t>
        </is>
      </c>
      <c r="B232" s="2" t="inlineStr">
        <is>
          <t>PED00090</t>
        </is>
      </c>
      <c r="C232" s="2" t="inlineStr">
        <is>
          <t>P003</t>
        </is>
      </c>
      <c r="D232" s="2" t="n">
        <v>4</v>
      </c>
      <c r="E232" s="19" t="n">
        <v>0.1</v>
      </c>
    </row>
    <row r="233">
      <c r="A233" s="2" t="inlineStr">
        <is>
          <t>IT00090_04</t>
        </is>
      </c>
      <c r="B233" s="2" t="inlineStr">
        <is>
          <t>PED00090</t>
        </is>
      </c>
      <c r="C233" s="2" t="inlineStr">
        <is>
          <t>P019</t>
        </is>
      </c>
      <c r="D233" s="2" t="n">
        <v>1</v>
      </c>
      <c r="E233" s="19" t="n">
        <v>0.05</v>
      </c>
    </row>
    <row r="234">
      <c r="A234" s="2" t="inlineStr">
        <is>
          <t>IT00091_01</t>
        </is>
      </c>
      <c r="B234" s="2" t="inlineStr">
        <is>
          <t>PED00091</t>
        </is>
      </c>
      <c r="C234" s="2" t="inlineStr">
        <is>
          <t>P056</t>
        </is>
      </c>
      <c r="D234" s="2" t="n">
        <v>1</v>
      </c>
      <c r="E234" s="19" t="n">
        <v>0.1</v>
      </c>
    </row>
    <row r="235">
      <c r="A235" s="2" t="inlineStr">
        <is>
          <t>IT00091_02</t>
        </is>
      </c>
      <c r="B235" s="2" t="inlineStr">
        <is>
          <t>PED00091</t>
        </is>
      </c>
      <c r="C235" s="2" t="inlineStr">
        <is>
          <t>P063</t>
        </is>
      </c>
      <c r="D235" s="2" t="n">
        <v>2</v>
      </c>
      <c r="E235" s="19" t="n">
        <v>0.05</v>
      </c>
    </row>
    <row r="236">
      <c r="A236" s="2" t="inlineStr">
        <is>
          <t>IT00091_03</t>
        </is>
      </c>
      <c r="B236" s="2" t="inlineStr">
        <is>
          <t>PED00091</t>
        </is>
      </c>
      <c r="C236" s="2" t="inlineStr">
        <is>
          <t>P041</t>
        </is>
      </c>
      <c r="D236" s="2" t="n">
        <v>3</v>
      </c>
      <c r="E236" s="19" t="n">
        <v>0</v>
      </c>
    </row>
    <row r="237">
      <c r="A237" s="2" t="inlineStr">
        <is>
          <t>IT00092_01</t>
        </is>
      </c>
      <c r="B237" s="2" t="inlineStr">
        <is>
          <t>PED00092</t>
        </is>
      </c>
      <c r="C237" s="2" t="inlineStr">
        <is>
          <t>P051</t>
        </is>
      </c>
      <c r="D237" s="2" t="n">
        <v>2</v>
      </c>
      <c r="E237" s="19" t="n">
        <v>0.05</v>
      </c>
    </row>
    <row r="238">
      <c r="A238" s="2" t="inlineStr">
        <is>
          <t>IT00092_02</t>
        </is>
      </c>
      <c r="B238" s="2" t="inlineStr">
        <is>
          <t>PED00092</t>
        </is>
      </c>
      <c r="C238" s="2" t="inlineStr">
        <is>
          <t>P005</t>
        </is>
      </c>
      <c r="D238" s="2" t="n">
        <v>5</v>
      </c>
      <c r="E238" s="19" t="n">
        <v>0</v>
      </c>
    </row>
    <row r="239">
      <c r="A239" s="2" t="inlineStr">
        <is>
          <t>IT00092_03</t>
        </is>
      </c>
      <c r="B239" s="2" t="inlineStr">
        <is>
          <t>PED00092</t>
        </is>
      </c>
      <c r="C239" s="2" t="inlineStr">
        <is>
          <t>P024</t>
        </is>
      </c>
      <c r="D239" s="2" t="n">
        <v>2</v>
      </c>
      <c r="E239" s="19" t="n">
        <v>0.05</v>
      </c>
    </row>
    <row r="240">
      <c r="A240" s="2" t="inlineStr">
        <is>
          <t>IT00093_01</t>
        </is>
      </c>
      <c r="B240" s="2" t="inlineStr">
        <is>
          <t>PED00093</t>
        </is>
      </c>
      <c r="C240" s="2" t="inlineStr">
        <is>
          <t>P012</t>
        </is>
      </c>
      <c r="D240" s="2" t="n">
        <v>1</v>
      </c>
      <c r="E240" s="19" t="n">
        <v>0</v>
      </c>
    </row>
    <row r="241">
      <c r="A241" s="2" t="inlineStr">
        <is>
          <t>IT00093_02</t>
        </is>
      </c>
      <c r="B241" s="2" t="inlineStr">
        <is>
          <t>PED00093</t>
        </is>
      </c>
      <c r="C241" s="2" t="inlineStr">
        <is>
          <t>P043</t>
        </is>
      </c>
      <c r="D241" s="2" t="n">
        <v>1</v>
      </c>
      <c r="E241" s="19" t="n">
        <v>0</v>
      </c>
    </row>
    <row r="242">
      <c r="A242" s="2" t="inlineStr">
        <is>
          <t>IT00093_03</t>
        </is>
      </c>
      <c r="B242" s="2" t="inlineStr">
        <is>
          <t>PED00093</t>
        </is>
      </c>
      <c r="C242" s="2" t="inlineStr">
        <is>
          <t>P058</t>
        </is>
      </c>
      <c r="D242" s="2" t="n">
        <v>1</v>
      </c>
      <c r="E242" s="19" t="n">
        <v>0</v>
      </c>
    </row>
    <row r="243">
      <c r="A243" s="2" t="inlineStr">
        <is>
          <t>IT00093_04</t>
        </is>
      </c>
      <c r="B243" s="2" t="inlineStr">
        <is>
          <t>PED00093</t>
        </is>
      </c>
      <c r="C243" s="2" t="inlineStr">
        <is>
          <t>P002</t>
        </is>
      </c>
      <c r="D243" s="2" t="n">
        <v>1</v>
      </c>
      <c r="E243" s="19" t="n">
        <v>0.02</v>
      </c>
    </row>
    <row r="244">
      <c r="A244" s="2" t="inlineStr">
        <is>
          <t>IT00094_01</t>
        </is>
      </c>
      <c r="B244" s="2" t="inlineStr">
        <is>
          <t>PED00094</t>
        </is>
      </c>
      <c r="C244" s="2" t="inlineStr">
        <is>
          <t>P029</t>
        </is>
      </c>
      <c r="D244" s="2" t="n">
        <v>3</v>
      </c>
      <c r="E244" s="19" t="n">
        <v>0</v>
      </c>
    </row>
    <row r="245">
      <c r="A245" s="2" t="inlineStr">
        <is>
          <t>IT00094_02</t>
        </is>
      </c>
      <c r="B245" s="2" t="inlineStr">
        <is>
          <t>PED00094</t>
        </is>
      </c>
      <c r="C245" s="2" t="inlineStr">
        <is>
          <t>P021</t>
        </is>
      </c>
      <c r="D245" s="2" t="n">
        <v>1</v>
      </c>
      <c r="E245" s="19" t="n">
        <v>0</v>
      </c>
    </row>
    <row r="246">
      <c r="A246" s="2" t="inlineStr">
        <is>
          <t>IT00094_03</t>
        </is>
      </c>
      <c r="B246" s="2" t="inlineStr">
        <is>
          <t>PED00094</t>
        </is>
      </c>
      <c r="C246" s="2" t="inlineStr">
        <is>
          <t>P058</t>
        </is>
      </c>
      <c r="D246" s="2" t="n">
        <v>1</v>
      </c>
      <c r="E246" s="19" t="n">
        <v>0</v>
      </c>
    </row>
    <row r="247">
      <c r="A247" s="2" t="inlineStr">
        <is>
          <t>IT00094_04</t>
        </is>
      </c>
      <c r="B247" s="2" t="inlineStr">
        <is>
          <t>PED00094</t>
        </is>
      </c>
      <c r="C247" s="2" t="inlineStr">
        <is>
          <t>P010</t>
        </is>
      </c>
      <c r="D247" s="2" t="n">
        <v>4</v>
      </c>
      <c r="E247" s="19" t="n">
        <v>0</v>
      </c>
    </row>
    <row r="248">
      <c r="A248" s="2" t="inlineStr">
        <is>
          <t>IT00095_01</t>
        </is>
      </c>
      <c r="B248" s="2" t="inlineStr">
        <is>
          <t>PED00095</t>
        </is>
      </c>
      <c r="C248" s="2" t="inlineStr">
        <is>
          <t>P056</t>
        </is>
      </c>
      <c r="D248" s="2" t="n">
        <v>1</v>
      </c>
      <c r="E248" s="19" t="n">
        <v>0</v>
      </c>
    </row>
    <row r="249">
      <c r="A249" s="2" t="inlineStr">
        <is>
          <t>IT00095_02</t>
        </is>
      </c>
      <c r="B249" s="2" t="inlineStr">
        <is>
          <t>PED00095</t>
        </is>
      </c>
      <c r="C249" s="2" t="inlineStr">
        <is>
          <t>P022</t>
        </is>
      </c>
      <c r="D249" s="2" t="n">
        <v>5</v>
      </c>
      <c r="E249" s="19" t="n">
        <v>0</v>
      </c>
    </row>
    <row r="250">
      <c r="A250" s="2" t="inlineStr">
        <is>
          <t>IT00095_03</t>
        </is>
      </c>
      <c r="B250" s="2" t="inlineStr">
        <is>
          <t>PED00095</t>
        </is>
      </c>
      <c r="C250" s="2" t="inlineStr">
        <is>
          <t>P021</t>
        </is>
      </c>
      <c r="D250" s="2" t="n">
        <v>2</v>
      </c>
      <c r="E250" s="19" t="n">
        <v>0.05</v>
      </c>
    </row>
    <row r="251">
      <c r="A251" s="2" t="inlineStr">
        <is>
          <t>IT00096_01</t>
        </is>
      </c>
      <c r="B251" s="2" t="inlineStr">
        <is>
          <t>PED00096</t>
        </is>
      </c>
      <c r="C251" s="2" t="inlineStr">
        <is>
          <t>P063</t>
        </is>
      </c>
      <c r="D251" s="2" t="n">
        <v>1</v>
      </c>
      <c r="E251" s="19" t="n">
        <v>0</v>
      </c>
    </row>
    <row r="252">
      <c r="A252" s="2" t="inlineStr">
        <is>
          <t>IT00096_02</t>
        </is>
      </c>
      <c r="B252" s="2" t="inlineStr">
        <is>
          <t>PED00096</t>
        </is>
      </c>
      <c r="C252" s="2" t="inlineStr">
        <is>
          <t>P020</t>
        </is>
      </c>
      <c r="D252" s="2" t="n">
        <v>1</v>
      </c>
      <c r="E252" s="19" t="n">
        <v>0.02</v>
      </c>
    </row>
    <row r="253">
      <c r="A253" s="2" t="inlineStr">
        <is>
          <t>IT00096_03</t>
        </is>
      </c>
      <c r="B253" s="2" t="inlineStr">
        <is>
          <t>PED00096</t>
        </is>
      </c>
      <c r="C253" s="2" t="inlineStr">
        <is>
          <t>P007</t>
        </is>
      </c>
      <c r="D253" s="2" t="n">
        <v>2</v>
      </c>
      <c r="E253" s="19" t="n">
        <v>0</v>
      </c>
    </row>
    <row r="254">
      <c r="A254" s="2" t="inlineStr">
        <is>
          <t>IT00097_01</t>
        </is>
      </c>
      <c r="B254" s="2" t="inlineStr">
        <is>
          <t>PED00097</t>
        </is>
      </c>
      <c r="C254" s="2" t="inlineStr">
        <is>
          <t>P051</t>
        </is>
      </c>
      <c r="D254" s="2" t="n">
        <v>2</v>
      </c>
      <c r="E254" s="19" t="n">
        <v>0.05</v>
      </c>
    </row>
    <row r="255">
      <c r="A255" s="2" t="inlineStr">
        <is>
          <t>IT00098_01</t>
        </is>
      </c>
      <c r="B255" s="2" t="inlineStr">
        <is>
          <t>PED00098</t>
        </is>
      </c>
      <c r="C255" s="2" t="inlineStr">
        <is>
          <t>P034</t>
        </is>
      </c>
      <c r="D255" s="2" t="n">
        <v>2</v>
      </c>
      <c r="E255" s="19" t="n">
        <v>0</v>
      </c>
    </row>
    <row r="256">
      <c r="A256" s="2" t="inlineStr">
        <is>
          <t>IT00098_02</t>
        </is>
      </c>
      <c r="B256" s="2" t="inlineStr">
        <is>
          <t>PED00098</t>
        </is>
      </c>
      <c r="C256" s="2" t="inlineStr">
        <is>
          <t>P057</t>
        </is>
      </c>
      <c r="D256" s="2" t="n">
        <v>1</v>
      </c>
      <c r="E256" s="19" t="n">
        <v>0</v>
      </c>
    </row>
    <row r="257">
      <c r="A257" s="2" t="inlineStr">
        <is>
          <t>IT00099_01</t>
        </is>
      </c>
      <c r="B257" s="2" t="inlineStr">
        <is>
          <t>PED00099</t>
        </is>
      </c>
      <c r="C257" s="2" t="inlineStr">
        <is>
          <t>P030</t>
        </is>
      </c>
      <c r="D257" s="2" t="n">
        <v>5</v>
      </c>
      <c r="E257" s="19" t="n">
        <v>0.02</v>
      </c>
    </row>
    <row r="258">
      <c r="A258" s="2" t="inlineStr">
        <is>
          <t>IT00099_02</t>
        </is>
      </c>
      <c r="B258" s="2" t="inlineStr">
        <is>
          <t>PED00099</t>
        </is>
      </c>
      <c r="C258" s="2" t="inlineStr">
        <is>
          <t>P008</t>
        </is>
      </c>
      <c r="D258" s="2" t="n">
        <v>5</v>
      </c>
      <c r="E258" s="19" t="n">
        <v>0</v>
      </c>
    </row>
    <row r="259">
      <c r="A259" s="2" t="inlineStr">
        <is>
          <t>IT00099_03</t>
        </is>
      </c>
      <c r="B259" s="2" t="inlineStr">
        <is>
          <t>PED00099</t>
        </is>
      </c>
      <c r="C259" s="2" t="inlineStr">
        <is>
          <t>P050</t>
        </is>
      </c>
      <c r="D259" s="2" t="n">
        <v>1</v>
      </c>
      <c r="E259" s="19" t="n">
        <v>0</v>
      </c>
    </row>
    <row r="260">
      <c r="A260" s="2" t="inlineStr">
        <is>
          <t>IT00099_04</t>
        </is>
      </c>
      <c r="B260" s="2" t="inlineStr">
        <is>
          <t>PED00099</t>
        </is>
      </c>
      <c r="C260" s="2" t="inlineStr">
        <is>
          <t>P067</t>
        </is>
      </c>
      <c r="D260" s="2" t="n">
        <v>1</v>
      </c>
      <c r="E260" s="19" t="n">
        <v>0.05</v>
      </c>
    </row>
    <row r="261">
      <c r="A261" s="2" t="inlineStr">
        <is>
          <t>IT00099_05</t>
        </is>
      </c>
      <c r="B261" s="2" t="inlineStr">
        <is>
          <t>PED00099</t>
        </is>
      </c>
      <c r="C261" s="2" t="inlineStr">
        <is>
          <t>P054</t>
        </is>
      </c>
      <c r="D261" s="2" t="n">
        <v>1</v>
      </c>
      <c r="E261" s="19" t="n">
        <v>0</v>
      </c>
    </row>
    <row r="262">
      <c r="A262" s="2" t="inlineStr">
        <is>
          <t>IT00100_01</t>
        </is>
      </c>
      <c r="B262" s="2" t="inlineStr">
        <is>
          <t>PED00100</t>
        </is>
      </c>
      <c r="C262" s="2" t="inlineStr">
        <is>
          <t>P028</t>
        </is>
      </c>
      <c r="D262" s="2" t="n">
        <v>1</v>
      </c>
      <c r="E262" s="19" t="n">
        <v>0.02</v>
      </c>
    </row>
    <row r="263">
      <c r="A263" s="2" t="inlineStr">
        <is>
          <t>IT00100_02</t>
        </is>
      </c>
      <c r="B263" s="2" t="inlineStr">
        <is>
          <t>PED00100</t>
        </is>
      </c>
      <c r="C263" s="2" t="inlineStr">
        <is>
          <t>P025</t>
        </is>
      </c>
      <c r="D263" s="2" t="n">
        <v>1</v>
      </c>
      <c r="E263" s="19" t="n">
        <v>0.05</v>
      </c>
    </row>
    <row r="264">
      <c r="A264" s="2" t="inlineStr">
        <is>
          <t>IT00100_03</t>
        </is>
      </c>
      <c r="B264" s="2" t="inlineStr">
        <is>
          <t>PED00100</t>
        </is>
      </c>
      <c r="C264" s="2" t="inlineStr">
        <is>
          <t>P017</t>
        </is>
      </c>
      <c r="D264" s="2" t="n">
        <v>1</v>
      </c>
      <c r="E264" s="19" t="n">
        <v>0</v>
      </c>
    </row>
    <row r="265">
      <c r="A265" s="2" t="inlineStr">
        <is>
          <t>IT00100_04</t>
        </is>
      </c>
      <c r="B265" s="2" t="inlineStr">
        <is>
          <t>PED00100</t>
        </is>
      </c>
      <c r="C265" s="2" t="inlineStr">
        <is>
          <t>P006</t>
        </is>
      </c>
      <c r="D265" s="2" t="n">
        <v>1</v>
      </c>
      <c r="E265" s="19" t="n">
        <v>0.02</v>
      </c>
    </row>
    <row r="266">
      <c r="A266" s="2" t="inlineStr">
        <is>
          <t>IT00100_05</t>
        </is>
      </c>
      <c r="B266" s="2" t="inlineStr">
        <is>
          <t>PED00100</t>
        </is>
      </c>
      <c r="C266" s="2" t="inlineStr">
        <is>
          <t>P055</t>
        </is>
      </c>
      <c r="D266" s="2" t="n">
        <v>3</v>
      </c>
      <c r="E266" s="19" t="n">
        <v>0</v>
      </c>
    </row>
    <row r="267">
      <c r="A267" s="2" t="inlineStr">
        <is>
          <t>IT00101_01</t>
        </is>
      </c>
      <c r="B267" s="2" t="inlineStr">
        <is>
          <t>PED00101</t>
        </is>
      </c>
      <c r="C267" s="2" t="inlineStr">
        <is>
          <t>P067</t>
        </is>
      </c>
      <c r="D267" s="2" t="n">
        <v>3</v>
      </c>
      <c r="E267" s="19" t="n">
        <v>0</v>
      </c>
    </row>
    <row r="268">
      <c r="A268" s="2" t="inlineStr">
        <is>
          <t>IT00102_01</t>
        </is>
      </c>
      <c r="B268" s="2" t="inlineStr">
        <is>
          <t>PED00102</t>
        </is>
      </c>
      <c r="C268" s="2" t="inlineStr">
        <is>
          <t>P069</t>
        </is>
      </c>
      <c r="D268" s="2" t="n">
        <v>4</v>
      </c>
      <c r="E268" s="19" t="n">
        <v>0</v>
      </c>
    </row>
    <row r="269">
      <c r="A269" s="2" t="inlineStr">
        <is>
          <t>IT00102_02</t>
        </is>
      </c>
      <c r="B269" s="2" t="inlineStr">
        <is>
          <t>PED00102</t>
        </is>
      </c>
      <c r="C269" s="2" t="inlineStr">
        <is>
          <t>P045</t>
        </is>
      </c>
      <c r="D269" s="2" t="n">
        <v>2</v>
      </c>
      <c r="E269" s="19" t="n">
        <v>0</v>
      </c>
    </row>
    <row r="270">
      <c r="A270" s="2" t="inlineStr">
        <is>
          <t>IT00103_01</t>
        </is>
      </c>
      <c r="B270" s="2" t="inlineStr">
        <is>
          <t>PED00103</t>
        </is>
      </c>
      <c r="C270" s="2" t="inlineStr">
        <is>
          <t>P005</t>
        </is>
      </c>
      <c r="D270" s="2" t="n">
        <v>2</v>
      </c>
      <c r="E270" s="19" t="n">
        <v>0</v>
      </c>
    </row>
    <row r="271">
      <c r="A271" s="2" t="inlineStr">
        <is>
          <t>IT00103_02</t>
        </is>
      </c>
      <c r="B271" s="2" t="inlineStr">
        <is>
          <t>PED00103</t>
        </is>
      </c>
      <c r="C271" s="2" t="inlineStr">
        <is>
          <t>P051</t>
        </is>
      </c>
      <c r="D271" s="2" t="n">
        <v>2</v>
      </c>
      <c r="E271" s="19" t="n">
        <v>0</v>
      </c>
    </row>
    <row r="272">
      <c r="A272" s="2" t="inlineStr">
        <is>
          <t>IT00103_03</t>
        </is>
      </c>
      <c r="B272" s="2" t="inlineStr">
        <is>
          <t>PED00103</t>
        </is>
      </c>
      <c r="C272" s="2" t="inlineStr">
        <is>
          <t>P043</t>
        </is>
      </c>
      <c r="D272" s="2" t="n">
        <v>1</v>
      </c>
      <c r="E272" s="19" t="n">
        <v>0</v>
      </c>
    </row>
    <row r="273">
      <c r="A273" s="2" t="inlineStr">
        <is>
          <t>IT00104_01</t>
        </is>
      </c>
      <c r="B273" s="2" t="inlineStr">
        <is>
          <t>PED00104</t>
        </is>
      </c>
      <c r="C273" s="2" t="inlineStr">
        <is>
          <t>P030</t>
        </is>
      </c>
      <c r="D273" s="2" t="n">
        <v>1</v>
      </c>
      <c r="E273" s="19" t="n">
        <v>0</v>
      </c>
    </row>
    <row r="274">
      <c r="A274" s="2" t="inlineStr">
        <is>
          <t>IT00104_02</t>
        </is>
      </c>
      <c r="B274" s="2" t="inlineStr">
        <is>
          <t>PED00104</t>
        </is>
      </c>
      <c r="C274" s="2" t="inlineStr">
        <is>
          <t>P018</t>
        </is>
      </c>
      <c r="D274" s="2" t="n">
        <v>2</v>
      </c>
      <c r="E274" s="19" t="n">
        <v>0</v>
      </c>
    </row>
    <row r="275">
      <c r="A275" s="2" t="inlineStr">
        <is>
          <t>IT00104_03</t>
        </is>
      </c>
      <c r="B275" s="2" t="inlineStr">
        <is>
          <t>PED00104</t>
        </is>
      </c>
      <c r="C275" s="2" t="inlineStr">
        <is>
          <t>P039</t>
        </is>
      </c>
      <c r="D275" s="2" t="n">
        <v>1</v>
      </c>
      <c r="E275" s="19" t="n">
        <v>0.05</v>
      </c>
    </row>
    <row r="276">
      <c r="A276" s="2" t="inlineStr">
        <is>
          <t>IT00104_04</t>
        </is>
      </c>
      <c r="B276" s="2" t="inlineStr">
        <is>
          <t>PED00104</t>
        </is>
      </c>
      <c r="C276" s="2" t="inlineStr">
        <is>
          <t>P057</t>
        </is>
      </c>
      <c r="D276" s="2" t="n">
        <v>3</v>
      </c>
      <c r="E276" s="19" t="n">
        <v>0.02</v>
      </c>
    </row>
    <row r="277">
      <c r="A277" s="2" t="inlineStr">
        <is>
          <t>IT00104_05</t>
        </is>
      </c>
      <c r="B277" s="2" t="inlineStr">
        <is>
          <t>PED00104</t>
        </is>
      </c>
      <c r="C277" s="2" t="inlineStr">
        <is>
          <t>P042</t>
        </is>
      </c>
      <c r="D277" s="2" t="n">
        <v>4</v>
      </c>
      <c r="E277" s="19" t="n">
        <v>0.05</v>
      </c>
    </row>
    <row r="278">
      <c r="A278" s="2" t="inlineStr">
        <is>
          <t>IT00105_01</t>
        </is>
      </c>
      <c r="B278" s="2" t="inlineStr">
        <is>
          <t>PED00105</t>
        </is>
      </c>
      <c r="C278" s="2" t="inlineStr">
        <is>
          <t>P004</t>
        </is>
      </c>
      <c r="D278" s="2" t="n">
        <v>3</v>
      </c>
      <c r="E278" s="19" t="n">
        <v>0</v>
      </c>
    </row>
    <row r="279">
      <c r="A279" s="2" t="inlineStr">
        <is>
          <t>IT00105_02</t>
        </is>
      </c>
      <c r="B279" s="2" t="inlineStr">
        <is>
          <t>PED00105</t>
        </is>
      </c>
      <c r="C279" s="2" t="inlineStr">
        <is>
          <t>P023</t>
        </is>
      </c>
      <c r="D279" s="2" t="n">
        <v>2</v>
      </c>
      <c r="E279" s="19" t="n">
        <v>0.05</v>
      </c>
    </row>
    <row r="280">
      <c r="A280" s="2" t="inlineStr">
        <is>
          <t>IT00105_03</t>
        </is>
      </c>
      <c r="B280" s="2" t="inlineStr">
        <is>
          <t>PED00105</t>
        </is>
      </c>
      <c r="C280" s="2" t="inlineStr">
        <is>
          <t>P025</t>
        </is>
      </c>
      <c r="D280" s="2" t="n">
        <v>3</v>
      </c>
      <c r="E280" s="19" t="n">
        <v>0</v>
      </c>
    </row>
    <row r="281">
      <c r="A281" s="2" t="inlineStr">
        <is>
          <t>IT00105_04</t>
        </is>
      </c>
      <c r="B281" s="2" t="inlineStr">
        <is>
          <t>PED00105</t>
        </is>
      </c>
      <c r="C281" s="2" t="inlineStr">
        <is>
          <t>P026</t>
        </is>
      </c>
      <c r="D281" s="2" t="n">
        <v>3</v>
      </c>
      <c r="E281" s="19" t="n">
        <v>0</v>
      </c>
    </row>
    <row r="282">
      <c r="A282" s="2" t="inlineStr">
        <is>
          <t>IT00106_01</t>
        </is>
      </c>
      <c r="B282" s="2" t="inlineStr">
        <is>
          <t>PED00106</t>
        </is>
      </c>
      <c r="C282" s="2" t="inlineStr">
        <is>
          <t>P061</t>
        </is>
      </c>
      <c r="D282" s="2" t="n">
        <v>1</v>
      </c>
      <c r="E282" s="19" t="n">
        <v>0</v>
      </c>
    </row>
    <row r="283">
      <c r="A283" s="2" t="inlineStr">
        <is>
          <t>IT00106_02</t>
        </is>
      </c>
      <c r="B283" s="2" t="inlineStr">
        <is>
          <t>PED00106</t>
        </is>
      </c>
      <c r="C283" s="2" t="inlineStr">
        <is>
          <t>P045</t>
        </is>
      </c>
      <c r="D283" s="2" t="n">
        <v>1</v>
      </c>
      <c r="E283" s="19" t="n">
        <v>0</v>
      </c>
    </row>
    <row r="284">
      <c r="A284" s="2" t="inlineStr">
        <is>
          <t>IT00106_03</t>
        </is>
      </c>
      <c r="B284" s="2" t="inlineStr">
        <is>
          <t>PED00106</t>
        </is>
      </c>
      <c r="C284" s="2" t="inlineStr">
        <is>
          <t>P021</t>
        </is>
      </c>
      <c r="D284" s="2" t="n">
        <v>5</v>
      </c>
      <c r="E284" s="19" t="n">
        <v>0.05</v>
      </c>
    </row>
    <row r="285">
      <c r="A285" s="2" t="inlineStr">
        <is>
          <t>IT00106_04</t>
        </is>
      </c>
      <c r="B285" s="2" t="inlineStr">
        <is>
          <t>PED00106</t>
        </is>
      </c>
      <c r="C285" s="2" t="inlineStr">
        <is>
          <t>P034</t>
        </is>
      </c>
      <c r="D285" s="2" t="n">
        <v>2</v>
      </c>
      <c r="E285" s="19" t="n">
        <v>0.02</v>
      </c>
    </row>
    <row r="286">
      <c r="A286" s="2" t="inlineStr">
        <is>
          <t>IT00106_05</t>
        </is>
      </c>
      <c r="B286" s="2" t="inlineStr">
        <is>
          <t>PED00106</t>
        </is>
      </c>
      <c r="C286" s="2" t="inlineStr">
        <is>
          <t>P012</t>
        </is>
      </c>
      <c r="D286" s="2" t="n">
        <v>1</v>
      </c>
      <c r="E286" s="19" t="n">
        <v>0</v>
      </c>
    </row>
    <row r="287">
      <c r="A287" s="2" t="inlineStr">
        <is>
          <t>IT00107_01</t>
        </is>
      </c>
      <c r="B287" s="2" t="inlineStr">
        <is>
          <t>PED00107</t>
        </is>
      </c>
      <c r="C287" s="2" t="inlineStr">
        <is>
          <t>P029</t>
        </is>
      </c>
      <c r="D287" s="2" t="n">
        <v>2</v>
      </c>
      <c r="E287" s="19" t="n">
        <v>0</v>
      </c>
    </row>
    <row r="288">
      <c r="A288" s="2" t="inlineStr">
        <is>
          <t>IT00107_02</t>
        </is>
      </c>
      <c r="B288" s="2" t="inlineStr">
        <is>
          <t>PED00107</t>
        </is>
      </c>
      <c r="C288" s="2" t="inlineStr">
        <is>
          <t>P033</t>
        </is>
      </c>
      <c r="D288" s="2" t="n">
        <v>1</v>
      </c>
      <c r="E288" s="19" t="n">
        <v>0</v>
      </c>
    </row>
    <row r="289">
      <c r="A289" s="2" t="inlineStr">
        <is>
          <t>IT00107_03</t>
        </is>
      </c>
      <c r="B289" s="2" t="inlineStr">
        <is>
          <t>PED00107</t>
        </is>
      </c>
      <c r="C289" s="2" t="inlineStr">
        <is>
          <t>P040</t>
        </is>
      </c>
      <c r="D289" s="2" t="n">
        <v>2</v>
      </c>
      <c r="E289" s="19" t="n">
        <v>0.02</v>
      </c>
    </row>
    <row r="290">
      <c r="A290" s="2" t="inlineStr">
        <is>
          <t>IT00107_04</t>
        </is>
      </c>
      <c r="B290" s="2" t="inlineStr">
        <is>
          <t>PED00107</t>
        </is>
      </c>
      <c r="C290" s="2" t="inlineStr">
        <is>
          <t>P036</t>
        </is>
      </c>
      <c r="D290" s="2" t="n">
        <v>3</v>
      </c>
      <c r="E290" s="19" t="n">
        <v>0</v>
      </c>
    </row>
    <row r="291">
      <c r="A291" s="2" t="inlineStr">
        <is>
          <t>IT00108_01</t>
        </is>
      </c>
      <c r="B291" s="2" t="inlineStr">
        <is>
          <t>PED00108</t>
        </is>
      </c>
      <c r="C291" s="2" t="inlineStr">
        <is>
          <t>P062</t>
        </is>
      </c>
      <c r="D291" s="2" t="n">
        <v>10</v>
      </c>
      <c r="E291" s="19" t="n">
        <v>0</v>
      </c>
    </row>
    <row r="292">
      <c r="A292" s="2" t="inlineStr">
        <is>
          <t>IT00108_02</t>
        </is>
      </c>
      <c r="B292" s="2" t="inlineStr">
        <is>
          <t>PED00108</t>
        </is>
      </c>
      <c r="C292" s="2" t="inlineStr">
        <is>
          <t>P009</t>
        </is>
      </c>
      <c r="D292" s="2" t="n">
        <v>4</v>
      </c>
      <c r="E292" s="19" t="n">
        <v>0</v>
      </c>
    </row>
    <row r="293">
      <c r="A293" s="2" t="inlineStr">
        <is>
          <t>IT00108_03</t>
        </is>
      </c>
      <c r="B293" s="2" t="inlineStr">
        <is>
          <t>PED00108</t>
        </is>
      </c>
      <c r="C293" s="2" t="inlineStr">
        <is>
          <t>P044</t>
        </is>
      </c>
      <c r="D293" s="2" t="n">
        <v>3</v>
      </c>
      <c r="E293" s="19" t="n">
        <v>0.05</v>
      </c>
    </row>
    <row r="294">
      <c r="A294" s="2" t="inlineStr">
        <is>
          <t>IT00109_01</t>
        </is>
      </c>
      <c r="B294" s="2" t="inlineStr">
        <is>
          <t>PED00109</t>
        </is>
      </c>
      <c r="C294" s="2" t="inlineStr">
        <is>
          <t>P052</t>
        </is>
      </c>
      <c r="D294" s="2" t="n">
        <v>2</v>
      </c>
      <c r="E294" s="19" t="n">
        <v>0.1</v>
      </c>
    </row>
    <row r="295">
      <c r="A295" s="2" t="inlineStr">
        <is>
          <t>IT00109_02</t>
        </is>
      </c>
      <c r="B295" s="2" t="inlineStr">
        <is>
          <t>PED00109</t>
        </is>
      </c>
      <c r="C295" s="2" t="inlineStr">
        <is>
          <t>P041</t>
        </is>
      </c>
      <c r="D295" s="2" t="n">
        <v>1</v>
      </c>
      <c r="E295" s="19" t="n">
        <v>0</v>
      </c>
    </row>
    <row r="296">
      <c r="A296" s="2" t="inlineStr">
        <is>
          <t>IT00109_03</t>
        </is>
      </c>
      <c r="B296" s="2" t="inlineStr">
        <is>
          <t>PED00109</t>
        </is>
      </c>
      <c r="C296" s="2" t="inlineStr">
        <is>
          <t>P018</t>
        </is>
      </c>
      <c r="D296" s="2" t="n">
        <v>1</v>
      </c>
      <c r="E296" s="19" t="n">
        <v>0</v>
      </c>
    </row>
    <row r="297">
      <c r="A297" s="2" t="inlineStr">
        <is>
          <t>IT00109_04</t>
        </is>
      </c>
      <c r="B297" s="2" t="inlineStr">
        <is>
          <t>PED00109</t>
        </is>
      </c>
      <c r="C297" s="2" t="inlineStr">
        <is>
          <t>P004</t>
        </is>
      </c>
      <c r="D297" s="2" t="n">
        <v>3</v>
      </c>
      <c r="E297" s="19" t="n">
        <v>0</v>
      </c>
    </row>
    <row r="298">
      <c r="A298" s="2" t="inlineStr">
        <is>
          <t>IT00110_01</t>
        </is>
      </c>
      <c r="B298" s="2" t="inlineStr">
        <is>
          <t>PED00110</t>
        </is>
      </c>
      <c r="C298" s="2" t="inlineStr">
        <is>
          <t>P046</t>
        </is>
      </c>
      <c r="D298" s="2" t="n">
        <v>1</v>
      </c>
      <c r="E298" s="19" t="n">
        <v>0</v>
      </c>
    </row>
    <row r="299">
      <c r="A299" s="2" t="inlineStr">
        <is>
          <t>IT00110_02</t>
        </is>
      </c>
      <c r="B299" s="2" t="inlineStr">
        <is>
          <t>PED00110</t>
        </is>
      </c>
      <c r="C299" s="2" t="inlineStr">
        <is>
          <t>P065</t>
        </is>
      </c>
      <c r="D299" s="2" t="n">
        <v>3</v>
      </c>
      <c r="E299" s="19" t="n">
        <v>0.02</v>
      </c>
    </row>
    <row r="300">
      <c r="A300" s="2" t="inlineStr">
        <is>
          <t>IT00110_03</t>
        </is>
      </c>
      <c r="B300" s="2" t="inlineStr">
        <is>
          <t>PED00110</t>
        </is>
      </c>
      <c r="C300" s="2" t="inlineStr">
        <is>
          <t>P039</t>
        </is>
      </c>
      <c r="D300" s="2" t="n">
        <v>2</v>
      </c>
      <c r="E300" s="19" t="n">
        <v>0.05</v>
      </c>
    </row>
    <row r="301">
      <c r="A301" s="2" t="inlineStr">
        <is>
          <t>IT00110_04</t>
        </is>
      </c>
      <c r="B301" s="2" t="inlineStr">
        <is>
          <t>PED00110</t>
        </is>
      </c>
      <c r="C301" s="2" t="inlineStr">
        <is>
          <t>P022</t>
        </is>
      </c>
      <c r="D301" s="2" t="n">
        <v>5</v>
      </c>
      <c r="E301" s="19" t="n">
        <v>0.05</v>
      </c>
    </row>
    <row r="302">
      <c r="A302" s="2" t="inlineStr">
        <is>
          <t>IT00110_05</t>
        </is>
      </c>
      <c r="B302" s="2" t="inlineStr">
        <is>
          <t>PED00110</t>
        </is>
      </c>
      <c r="C302" s="2" t="inlineStr">
        <is>
          <t>P024</t>
        </is>
      </c>
      <c r="D302" s="2" t="n">
        <v>2</v>
      </c>
      <c r="E302" s="19" t="n">
        <v>0</v>
      </c>
    </row>
    <row r="303">
      <c r="A303" s="2" t="inlineStr">
        <is>
          <t>IT00111_01</t>
        </is>
      </c>
      <c r="B303" s="2" t="inlineStr">
        <is>
          <t>PED00111</t>
        </is>
      </c>
      <c r="C303" s="2" t="inlineStr">
        <is>
          <t>P016</t>
        </is>
      </c>
      <c r="D303" s="2" t="n">
        <v>1</v>
      </c>
      <c r="E303" s="19" t="n">
        <v>0</v>
      </c>
    </row>
    <row r="304">
      <c r="A304" s="2" t="inlineStr">
        <is>
          <t>IT00111_02</t>
        </is>
      </c>
      <c r="B304" s="2" t="inlineStr">
        <is>
          <t>PED00111</t>
        </is>
      </c>
      <c r="C304" s="2" t="inlineStr">
        <is>
          <t>P061</t>
        </is>
      </c>
      <c r="D304" s="2" t="n">
        <v>2</v>
      </c>
      <c r="E304" s="19" t="n">
        <v>0</v>
      </c>
    </row>
    <row r="305">
      <c r="A305" s="2" t="inlineStr">
        <is>
          <t>IT00112_01</t>
        </is>
      </c>
      <c r="B305" s="2" t="inlineStr">
        <is>
          <t>PED00112</t>
        </is>
      </c>
      <c r="C305" s="2" t="inlineStr">
        <is>
          <t>P020</t>
        </is>
      </c>
      <c r="D305" s="2" t="n">
        <v>1</v>
      </c>
      <c r="E305" s="19" t="n">
        <v>0</v>
      </c>
    </row>
    <row r="306">
      <c r="A306" s="2" t="inlineStr">
        <is>
          <t>IT00113_01</t>
        </is>
      </c>
      <c r="B306" s="2" t="inlineStr">
        <is>
          <t>PED00113</t>
        </is>
      </c>
      <c r="C306" s="2" t="inlineStr">
        <is>
          <t>P043</t>
        </is>
      </c>
      <c r="D306" s="2" t="n">
        <v>2</v>
      </c>
      <c r="E306" s="19" t="n">
        <v>0</v>
      </c>
    </row>
    <row r="307">
      <c r="A307" s="2" t="inlineStr">
        <is>
          <t>IT00114_01</t>
        </is>
      </c>
      <c r="B307" s="2" t="inlineStr">
        <is>
          <t>PED00114</t>
        </is>
      </c>
      <c r="C307" s="2" t="inlineStr">
        <is>
          <t>P021</t>
        </is>
      </c>
      <c r="D307" s="2" t="n">
        <v>1</v>
      </c>
      <c r="E307" s="19" t="n">
        <v>0</v>
      </c>
    </row>
    <row r="308">
      <c r="A308" s="2" t="inlineStr">
        <is>
          <t>IT00114_02</t>
        </is>
      </c>
      <c r="B308" s="2" t="inlineStr">
        <is>
          <t>PED00114</t>
        </is>
      </c>
      <c r="C308" s="2" t="inlineStr">
        <is>
          <t>P063</t>
        </is>
      </c>
      <c r="D308" s="2" t="n">
        <v>2</v>
      </c>
      <c r="E308" s="19" t="n">
        <v>0</v>
      </c>
    </row>
    <row r="309">
      <c r="A309" s="2" t="inlineStr">
        <is>
          <t>IT00114_03</t>
        </is>
      </c>
      <c r="B309" s="2" t="inlineStr">
        <is>
          <t>PED00114</t>
        </is>
      </c>
      <c r="C309" s="2" t="inlineStr">
        <is>
          <t>P012</t>
        </is>
      </c>
      <c r="D309" s="2" t="n">
        <v>2</v>
      </c>
      <c r="E309" s="19" t="n">
        <v>0</v>
      </c>
    </row>
    <row r="310">
      <c r="A310" s="2" t="inlineStr">
        <is>
          <t>IT00115_01</t>
        </is>
      </c>
      <c r="B310" s="2" t="inlineStr">
        <is>
          <t>PED00115</t>
        </is>
      </c>
      <c r="C310" s="2" t="inlineStr">
        <is>
          <t>P003</t>
        </is>
      </c>
      <c r="D310" s="2" t="n">
        <v>2</v>
      </c>
      <c r="E310" s="19" t="n">
        <v>0</v>
      </c>
    </row>
    <row r="311">
      <c r="A311" s="2" t="inlineStr">
        <is>
          <t>IT00115_02</t>
        </is>
      </c>
      <c r="B311" s="2" t="inlineStr">
        <is>
          <t>PED00115</t>
        </is>
      </c>
      <c r="C311" s="2" t="inlineStr">
        <is>
          <t>P001</t>
        </is>
      </c>
      <c r="D311" s="2" t="n">
        <v>2</v>
      </c>
      <c r="E311" s="19" t="n">
        <v>0</v>
      </c>
    </row>
    <row r="312">
      <c r="A312" s="2" t="inlineStr">
        <is>
          <t>IT00116_01</t>
        </is>
      </c>
      <c r="B312" s="2" t="inlineStr">
        <is>
          <t>PED00116</t>
        </is>
      </c>
      <c r="C312" s="2" t="inlineStr">
        <is>
          <t>P038</t>
        </is>
      </c>
      <c r="D312" s="2" t="n">
        <v>2</v>
      </c>
      <c r="E312" s="19" t="n">
        <v>0</v>
      </c>
    </row>
    <row r="313">
      <c r="A313" s="2" t="inlineStr">
        <is>
          <t>IT00117_01</t>
        </is>
      </c>
      <c r="B313" s="2" t="inlineStr">
        <is>
          <t>PED00117</t>
        </is>
      </c>
      <c r="C313" s="2" t="inlineStr">
        <is>
          <t>P046</t>
        </is>
      </c>
      <c r="D313" s="2" t="n">
        <v>1</v>
      </c>
      <c r="E313" s="19" t="n">
        <v>0</v>
      </c>
    </row>
    <row r="314">
      <c r="A314" s="2" t="inlineStr">
        <is>
          <t>IT00117_02</t>
        </is>
      </c>
      <c r="B314" s="2" t="inlineStr">
        <is>
          <t>PED00117</t>
        </is>
      </c>
      <c r="C314" s="2" t="inlineStr">
        <is>
          <t>P025</t>
        </is>
      </c>
      <c r="D314" s="2" t="n">
        <v>10</v>
      </c>
      <c r="E314" s="19" t="n">
        <v>0</v>
      </c>
    </row>
    <row r="315">
      <c r="A315" s="2" t="inlineStr">
        <is>
          <t>IT00117_03</t>
        </is>
      </c>
      <c r="B315" s="2" t="inlineStr">
        <is>
          <t>PED00117</t>
        </is>
      </c>
      <c r="C315" s="2" t="inlineStr">
        <is>
          <t>P022</t>
        </is>
      </c>
      <c r="D315" s="2" t="n">
        <v>1</v>
      </c>
      <c r="E315" s="19" t="n">
        <v>0</v>
      </c>
    </row>
    <row r="316">
      <c r="A316" s="2" t="inlineStr">
        <is>
          <t>IT00117_04</t>
        </is>
      </c>
      <c r="B316" s="2" t="inlineStr">
        <is>
          <t>PED00117</t>
        </is>
      </c>
      <c r="C316" s="2" t="inlineStr">
        <is>
          <t>P052</t>
        </is>
      </c>
      <c r="D316" s="2" t="n">
        <v>1</v>
      </c>
      <c r="E316" s="19" t="n">
        <v>0.02</v>
      </c>
    </row>
    <row r="317">
      <c r="A317" s="2" t="inlineStr">
        <is>
          <t>IT00118_01</t>
        </is>
      </c>
      <c r="B317" s="2" t="inlineStr">
        <is>
          <t>PED00118</t>
        </is>
      </c>
      <c r="C317" s="2" t="inlineStr">
        <is>
          <t>P014</t>
        </is>
      </c>
      <c r="D317" s="2" t="n">
        <v>2</v>
      </c>
      <c r="E317" s="19" t="n">
        <v>0</v>
      </c>
    </row>
    <row r="318">
      <c r="A318" s="2" t="inlineStr">
        <is>
          <t>IT00119_01</t>
        </is>
      </c>
      <c r="B318" s="2" t="inlineStr">
        <is>
          <t>PED00119</t>
        </is>
      </c>
      <c r="C318" s="2" t="inlineStr">
        <is>
          <t>P027</t>
        </is>
      </c>
      <c r="D318" s="2" t="n">
        <v>2</v>
      </c>
      <c r="E318" s="19" t="n">
        <v>0</v>
      </c>
    </row>
    <row r="319">
      <c r="A319" s="2" t="inlineStr">
        <is>
          <t>IT00119_02</t>
        </is>
      </c>
      <c r="B319" s="2" t="inlineStr">
        <is>
          <t>PED00119</t>
        </is>
      </c>
      <c r="C319" s="2" t="inlineStr">
        <is>
          <t>P002</t>
        </is>
      </c>
      <c r="D319" s="2" t="n">
        <v>2</v>
      </c>
      <c r="E319" s="19" t="n">
        <v>0</v>
      </c>
    </row>
    <row r="320">
      <c r="A320" s="2" t="inlineStr">
        <is>
          <t>IT00119_03</t>
        </is>
      </c>
      <c r="B320" s="2" t="inlineStr">
        <is>
          <t>PED00119</t>
        </is>
      </c>
      <c r="C320" s="2" t="inlineStr">
        <is>
          <t>P039</t>
        </is>
      </c>
      <c r="D320" s="2" t="n">
        <v>3</v>
      </c>
      <c r="E320" s="19" t="n">
        <v>0</v>
      </c>
    </row>
    <row r="321">
      <c r="A321" s="2" t="inlineStr">
        <is>
          <t>IT00120_01</t>
        </is>
      </c>
      <c r="B321" s="2" t="inlineStr">
        <is>
          <t>PED00120</t>
        </is>
      </c>
      <c r="C321" s="2" t="inlineStr">
        <is>
          <t>P034</t>
        </is>
      </c>
      <c r="D321" s="2" t="n">
        <v>1</v>
      </c>
      <c r="E321" s="19" t="n">
        <v>0</v>
      </c>
    </row>
    <row r="322">
      <c r="A322" s="2" t="inlineStr">
        <is>
          <t>IT00120_02</t>
        </is>
      </c>
      <c r="B322" s="2" t="inlineStr">
        <is>
          <t>PED00120</t>
        </is>
      </c>
      <c r="C322" s="2" t="inlineStr">
        <is>
          <t>P067</t>
        </is>
      </c>
      <c r="D322" s="2" t="n">
        <v>1</v>
      </c>
      <c r="E322" s="19" t="n">
        <v>0</v>
      </c>
    </row>
    <row r="323">
      <c r="A323" s="2" t="inlineStr">
        <is>
          <t>IT00120_03</t>
        </is>
      </c>
      <c r="B323" s="2" t="inlineStr">
        <is>
          <t>PED00120</t>
        </is>
      </c>
      <c r="C323" s="2" t="inlineStr">
        <is>
          <t>P026</t>
        </is>
      </c>
      <c r="D323" s="2" t="n">
        <v>4</v>
      </c>
      <c r="E323" s="19" t="n">
        <v>0.02</v>
      </c>
    </row>
    <row r="324">
      <c r="A324" s="2" t="inlineStr">
        <is>
          <t>IT00121_01</t>
        </is>
      </c>
      <c r="B324" s="2" t="inlineStr">
        <is>
          <t>PED00121</t>
        </is>
      </c>
      <c r="C324" s="2" t="inlineStr">
        <is>
          <t>P064</t>
        </is>
      </c>
      <c r="D324" s="2" t="n">
        <v>1</v>
      </c>
      <c r="E324" s="19" t="n">
        <v>0.02</v>
      </c>
    </row>
    <row r="325">
      <c r="A325" s="2" t="inlineStr">
        <is>
          <t>IT00121_02</t>
        </is>
      </c>
      <c r="B325" s="2" t="inlineStr">
        <is>
          <t>PED00121</t>
        </is>
      </c>
      <c r="C325" s="2" t="inlineStr">
        <is>
          <t>P020</t>
        </is>
      </c>
      <c r="D325" s="2" t="n">
        <v>4</v>
      </c>
      <c r="E325" s="19" t="n">
        <v>0</v>
      </c>
    </row>
    <row r="326">
      <c r="A326" s="2" t="inlineStr">
        <is>
          <t>IT00121_03</t>
        </is>
      </c>
      <c r="B326" s="2" t="inlineStr">
        <is>
          <t>PED00121</t>
        </is>
      </c>
      <c r="C326" s="2" t="inlineStr">
        <is>
          <t>P012</t>
        </is>
      </c>
      <c r="D326" s="2" t="n">
        <v>2</v>
      </c>
      <c r="E326" s="19" t="n">
        <v>0.1</v>
      </c>
    </row>
    <row r="327">
      <c r="A327" s="2" t="inlineStr">
        <is>
          <t>IT00121_04</t>
        </is>
      </c>
      <c r="B327" s="2" t="inlineStr">
        <is>
          <t>PED00121</t>
        </is>
      </c>
      <c r="C327" s="2" t="inlineStr">
        <is>
          <t>P066</t>
        </is>
      </c>
      <c r="D327" s="2" t="n">
        <v>1</v>
      </c>
      <c r="E327" s="19" t="n">
        <v>0</v>
      </c>
    </row>
    <row r="328">
      <c r="A328" s="2" t="inlineStr">
        <is>
          <t>IT00122_01</t>
        </is>
      </c>
      <c r="B328" s="2" t="inlineStr">
        <is>
          <t>PED00122</t>
        </is>
      </c>
      <c r="C328" s="2" t="inlineStr">
        <is>
          <t>P006</t>
        </is>
      </c>
      <c r="D328" s="2" t="n">
        <v>1</v>
      </c>
      <c r="E328" s="19" t="n">
        <v>0</v>
      </c>
    </row>
    <row r="329">
      <c r="A329" s="2" t="inlineStr">
        <is>
          <t>IT00123_01</t>
        </is>
      </c>
      <c r="B329" s="2" t="inlineStr">
        <is>
          <t>PED00123</t>
        </is>
      </c>
      <c r="C329" s="2" t="inlineStr">
        <is>
          <t>P012</t>
        </is>
      </c>
      <c r="D329" s="2" t="n">
        <v>1</v>
      </c>
      <c r="E329" s="19" t="n">
        <v>0</v>
      </c>
    </row>
    <row r="330">
      <c r="A330" s="2" t="inlineStr">
        <is>
          <t>IT00123_02</t>
        </is>
      </c>
      <c r="B330" s="2" t="inlineStr">
        <is>
          <t>PED00123</t>
        </is>
      </c>
      <c r="C330" s="2" t="inlineStr">
        <is>
          <t>P048</t>
        </is>
      </c>
      <c r="D330" s="2" t="n">
        <v>2</v>
      </c>
      <c r="E330" s="19" t="n">
        <v>0.05</v>
      </c>
    </row>
    <row r="331">
      <c r="A331" s="2" t="inlineStr">
        <is>
          <t>IT00123_03</t>
        </is>
      </c>
      <c r="B331" s="2" t="inlineStr">
        <is>
          <t>PED00123</t>
        </is>
      </c>
      <c r="C331" s="2" t="inlineStr">
        <is>
          <t>P044</t>
        </is>
      </c>
      <c r="D331" s="2" t="n">
        <v>2</v>
      </c>
      <c r="E331" s="19" t="n">
        <v>0</v>
      </c>
    </row>
    <row r="332">
      <c r="A332" s="2" t="inlineStr">
        <is>
          <t>IT00123_04</t>
        </is>
      </c>
      <c r="B332" s="2" t="inlineStr">
        <is>
          <t>PED00123</t>
        </is>
      </c>
      <c r="C332" s="2" t="inlineStr">
        <is>
          <t>P024</t>
        </is>
      </c>
      <c r="D332" s="2" t="n">
        <v>2</v>
      </c>
      <c r="E332" s="19" t="n">
        <v>0.05</v>
      </c>
    </row>
    <row r="333">
      <c r="A333" s="2" t="inlineStr">
        <is>
          <t>IT00124_01</t>
        </is>
      </c>
      <c r="B333" s="2" t="inlineStr">
        <is>
          <t>PED00124</t>
        </is>
      </c>
      <c r="C333" s="2" t="inlineStr">
        <is>
          <t>P054</t>
        </is>
      </c>
      <c r="D333" s="2" t="n">
        <v>4</v>
      </c>
      <c r="E333" s="19" t="n">
        <v>0</v>
      </c>
    </row>
    <row r="334">
      <c r="A334" s="2" t="inlineStr">
        <is>
          <t>IT00125_01</t>
        </is>
      </c>
      <c r="B334" s="2" t="inlineStr">
        <is>
          <t>PED00125</t>
        </is>
      </c>
      <c r="C334" s="2" t="inlineStr">
        <is>
          <t>P017</t>
        </is>
      </c>
      <c r="D334" s="2" t="n">
        <v>2</v>
      </c>
      <c r="E334" s="19" t="n">
        <v>0</v>
      </c>
    </row>
    <row r="335">
      <c r="A335" s="2" t="inlineStr">
        <is>
          <t>IT00126_01</t>
        </is>
      </c>
      <c r="B335" s="2" t="inlineStr">
        <is>
          <t>PED00126</t>
        </is>
      </c>
      <c r="C335" s="2" t="inlineStr">
        <is>
          <t>P068</t>
        </is>
      </c>
      <c r="D335" s="2" t="n">
        <v>2</v>
      </c>
      <c r="E335" s="19" t="n">
        <v>0.02</v>
      </c>
    </row>
    <row r="336">
      <c r="A336" s="2" t="inlineStr">
        <is>
          <t>IT00126_02</t>
        </is>
      </c>
      <c r="B336" s="2" t="inlineStr">
        <is>
          <t>PED00126</t>
        </is>
      </c>
      <c r="C336" s="2" t="inlineStr">
        <is>
          <t>P029</t>
        </is>
      </c>
      <c r="D336" s="2" t="n">
        <v>1</v>
      </c>
      <c r="E336" s="19" t="n">
        <v>0.02</v>
      </c>
    </row>
    <row r="337">
      <c r="A337" s="2" t="inlineStr">
        <is>
          <t>IT00126_03</t>
        </is>
      </c>
      <c r="B337" s="2" t="inlineStr">
        <is>
          <t>PED00126</t>
        </is>
      </c>
      <c r="C337" s="2" t="inlineStr">
        <is>
          <t>P044</t>
        </is>
      </c>
      <c r="D337" s="2" t="n">
        <v>1</v>
      </c>
      <c r="E337" s="19" t="n">
        <v>0</v>
      </c>
    </row>
    <row r="338">
      <c r="A338" s="2" t="inlineStr">
        <is>
          <t>IT00126_04</t>
        </is>
      </c>
      <c r="B338" s="2" t="inlineStr">
        <is>
          <t>PED00126</t>
        </is>
      </c>
      <c r="C338" s="2" t="inlineStr">
        <is>
          <t>P067</t>
        </is>
      </c>
      <c r="D338" s="2" t="n">
        <v>2</v>
      </c>
      <c r="E338" s="19" t="n">
        <v>0</v>
      </c>
    </row>
    <row r="339">
      <c r="A339" s="2" t="inlineStr">
        <is>
          <t>IT00127_01</t>
        </is>
      </c>
      <c r="B339" s="2" t="inlineStr">
        <is>
          <t>PED00127</t>
        </is>
      </c>
      <c r="C339" s="2" t="inlineStr">
        <is>
          <t>P064</t>
        </is>
      </c>
      <c r="D339" s="2" t="n">
        <v>1</v>
      </c>
      <c r="E339" s="19" t="n">
        <v>0</v>
      </c>
    </row>
    <row r="340">
      <c r="A340" s="2" t="inlineStr">
        <is>
          <t>IT00127_02</t>
        </is>
      </c>
      <c r="B340" s="2" t="inlineStr">
        <is>
          <t>PED00127</t>
        </is>
      </c>
      <c r="C340" s="2" t="inlineStr">
        <is>
          <t>P022</t>
        </is>
      </c>
      <c r="D340" s="2" t="n">
        <v>1</v>
      </c>
      <c r="E340" s="19" t="n">
        <v>0.1</v>
      </c>
    </row>
    <row r="341">
      <c r="A341" s="2" t="inlineStr">
        <is>
          <t>IT00128_01</t>
        </is>
      </c>
      <c r="B341" s="2" t="inlineStr">
        <is>
          <t>PED00128</t>
        </is>
      </c>
      <c r="C341" s="2" t="inlineStr">
        <is>
          <t>P057</t>
        </is>
      </c>
      <c r="D341" s="2" t="n">
        <v>3</v>
      </c>
      <c r="E341" s="19" t="n">
        <v>0</v>
      </c>
    </row>
    <row r="342">
      <c r="A342" s="2" t="inlineStr">
        <is>
          <t>IT00129_01</t>
        </is>
      </c>
      <c r="B342" s="2" t="inlineStr">
        <is>
          <t>PED00129</t>
        </is>
      </c>
      <c r="C342" s="2" t="inlineStr">
        <is>
          <t>P053</t>
        </is>
      </c>
      <c r="D342" s="2" t="n">
        <v>1</v>
      </c>
      <c r="E342" s="19" t="n">
        <v>0</v>
      </c>
    </row>
    <row r="343">
      <c r="A343" s="2" t="inlineStr">
        <is>
          <t>IT00130_01</t>
        </is>
      </c>
      <c r="B343" s="2" t="inlineStr">
        <is>
          <t>PED00130</t>
        </is>
      </c>
      <c r="C343" s="2" t="inlineStr">
        <is>
          <t>P044</t>
        </is>
      </c>
      <c r="D343" s="2" t="n">
        <v>3</v>
      </c>
      <c r="E343" s="19" t="n">
        <v>0.05</v>
      </c>
    </row>
    <row r="344">
      <c r="A344" s="2" t="inlineStr">
        <is>
          <t>IT00130_02</t>
        </is>
      </c>
      <c r="B344" s="2" t="inlineStr">
        <is>
          <t>PED00130</t>
        </is>
      </c>
      <c r="C344" s="2" t="inlineStr">
        <is>
          <t>P047</t>
        </is>
      </c>
      <c r="D344" s="2" t="n">
        <v>3</v>
      </c>
      <c r="E344" s="19" t="n">
        <v>0</v>
      </c>
    </row>
    <row r="345">
      <c r="A345" s="2" t="inlineStr">
        <is>
          <t>IT00131_01</t>
        </is>
      </c>
      <c r="B345" s="2" t="inlineStr">
        <is>
          <t>PED00131</t>
        </is>
      </c>
      <c r="C345" s="2" t="inlineStr">
        <is>
          <t>P029</t>
        </is>
      </c>
      <c r="D345" s="2" t="n">
        <v>1</v>
      </c>
      <c r="E345" s="19" t="n">
        <v>0</v>
      </c>
    </row>
    <row r="346">
      <c r="A346" s="2" t="inlineStr">
        <is>
          <t>IT00132_01</t>
        </is>
      </c>
      <c r="B346" s="2" t="inlineStr">
        <is>
          <t>PED00132</t>
        </is>
      </c>
      <c r="C346" s="2" t="inlineStr">
        <is>
          <t>P053</t>
        </is>
      </c>
      <c r="D346" s="2" t="n">
        <v>1</v>
      </c>
      <c r="E346" s="19" t="n">
        <v>0</v>
      </c>
    </row>
    <row r="347">
      <c r="A347" s="2" t="inlineStr">
        <is>
          <t>IT00133_01</t>
        </is>
      </c>
      <c r="B347" s="2" t="inlineStr">
        <is>
          <t>PED00133</t>
        </is>
      </c>
      <c r="C347" s="2" t="inlineStr">
        <is>
          <t>P054</t>
        </is>
      </c>
      <c r="D347" s="2" t="n">
        <v>4</v>
      </c>
      <c r="E347" s="19" t="n">
        <v>0.05</v>
      </c>
    </row>
    <row r="348">
      <c r="A348" s="2" t="inlineStr">
        <is>
          <t>IT00133_02</t>
        </is>
      </c>
      <c r="B348" s="2" t="inlineStr">
        <is>
          <t>PED00133</t>
        </is>
      </c>
      <c r="C348" s="2" t="inlineStr">
        <is>
          <t>P006</t>
        </is>
      </c>
      <c r="D348" s="2" t="n">
        <v>2</v>
      </c>
      <c r="E348" s="19" t="n">
        <v>0.02</v>
      </c>
    </row>
    <row r="349">
      <c r="A349" s="2" t="inlineStr">
        <is>
          <t>IT00134_01</t>
        </is>
      </c>
      <c r="B349" s="2" t="inlineStr">
        <is>
          <t>PED00134</t>
        </is>
      </c>
      <c r="C349" s="2" t="inlineStr">
        <is>
          <t>P056</t>
        </is>
      </c>
      <c r="D349" s="2" t="n">
        <v>3</v>
      </c>
      <c r="E349" s="19" t="n">
        <v>0.05</v>
      </c>
    </row>
    <row r="350">
      <c r="A350" s="2" t="inlineStr">
        <is>
          <t>IT00134_02</t>
        </is>
      </c>
      <c r="B350" s="2" t="inlineStr">
        <is>
          <t>PED00134</t>
        </is>
      </c>
      <c r="C350" s="2" t="inlineStr">
        <is>
          <t>P062</t>
        </is>
      </c>
      <c r="D350" s="2" t="n">
        <v>2</v>
      </c>
      <c r="E350" s="19" t="n">
        <v>0</v>
      </c>
    </row>
    <row r="351">
      <c r="A351" s="2" t="inlineStr">
        <is>
          <t>IT00134_03</t>
        </is>
      </c>
      <c r="B351" s="2" t="inlineStr">
        <is>
          <t>PED00134</t>
        </is>
      </c>
      <c r="C351" s="2" t="inlineStr">
        <is>
          <t>P066</t>
        </is>
      </c>
      <c r="D351" s="2" t="n">
        <v>3</v>
      </c>
      <c r="E351" s="19" t="n">
        <v>0</v>
      </c>
    </row>
    <row r="352">
      <c r="A352" s="2" t="inlineStr">
        <is>
          <t>IT00135_01</t>
        </is>
      </c>
      <c r="B352" s="2" t="inlineStr">
        <is>
          <t>PED00135</t>
        </is>
      </c>
      <c r="C352" s="2" t="inlineStr">
        <is>
          <t>P032</t>
        </is>
      </c>
      <c r="D352" s="2" t="n">
        <v>5</v>
      </c>
      <c r="E352" s="19" t="n">
        <v>0</v>
      </c>
    </row>
    <row r="353">
      <c r="A353" s="2" t="inlineStr">
        <is>
          <t>IT00135_02</t>
        </is>
      </c>
      <c r="B353" s="2" t="inlineStr">
        <is>
          <t>PED00135</t>
        </is>
      </c>
      <c r="C353" s="2" t="inlineStr">
        <is>
          <t>P036</t>
        </is>
      </c>
      <c r="D353" s="2" t="n">
        <v>1</v>
      </c>
      <c r="E353" s="19" t="n">
        <v>0</v>
      </c>
    </row>
    <row r="354">
      <c r="A354" s="2" t="inlineStr">
        <is>
          <t>IT00135_03</t>
        </is>
      </c>
      <c r="B354" s="2" t="inlineStr">
        <is>
          <t>PED00135</t>
        </is>
      </c>
      <c r="C354" s="2" t="inlineStr">
        <is>
          <t>P051</t>
        </is>
      </c>
      <c r="D354" s="2" t="n">
        <v>3</v>
      </c>
      <c r="E354" s="19" t="n">
        <v>0.02</v>
      </c>
    </row>
    <row r="355">
      <c r="A355" s="2" t="inlineStr">
        <is>
          <t>IT00135_04</t>
        </is>
      </c>
      <c r="B355" s="2" t="inlineStr">
        <is>
          <t>PED00135</t>
        </is>
      </c>
      <c r="C355" s="2" t="inlineStr">
        <is>
          <t>P044</t>
        </is>
      </c>
      <c r="D355" s="2" t="n">
        <v>1</v>
      </c>
      <c r="E355" s="19" t="n">
        <v>0.02</v>
      </c>
    </row>
    <row r="356">
      <c r="A356" s="2" t="inlineStr">
        <is>
          <t>IT00136_01</t>
        </is>
      </c>
      <c r="B356" s="2" t="inlineStr">
        <is>
          <t>PED00136</t>
        </is>
      </c>
      <c r="C356" s="2" t="inlineStr">
        <is>
          <t>P017</t>
        </is>
      </c>
      <c r="D356" s="2" t="n">
        <v>2</v>
      </c>
      <c r="E356" s="19" t="n">
        <v>0.02</v>
      </c>
    </row>
    <row r="357">
      <c r="A357" s="2" t="inlineStr">
        <is>
          <t>IT00136_02</t>
        </is>
      </c>
      <c r="B357" s="2" t="inlineStr">
        <is>
          <t>PED00136</t>
        </is>
      </c>
      <c r="C357" s="2" t="inlineStr">
        <is>
          <t>P023</t>
        </is>
      </c>
      <c r="D357" s="2" t="n">
        <v>1</v>
      </c>
      <c r="E357" s="19" t="n">
        <v>0</v>
      </c>
    </row>
    <row r="358">
      <c r="A358" s="2" t="inlineStr">
        <is>
          <t>IT00137_01</t>
        </is>
      </c>
      <c r="B358" s="2" t="inlineStr">
        <is>
          <t>PED00137</t>
        </is>
      </c>
      <c r="C358" s="2" t="inlineStr">
        <is>
          <t>P069</t>
        </is>
      </c>
      <c r="D358" s="2" t="n">
        <v>3</v>
      </c>
      <c r="E358" s="19" t="n">
        <v>0</v>
      </c>
    </row>
    <row r="359">
      <c r="A359" s="2" t="inlineStr">
        <is>
          <t>IT00137_02</t>
        </is>
      </c>
      <c r="B359" s="2" t="inlineStr">
        <is>
          <t>PED00137</t>
        </is>
      </c>
      <c r="C359" s="2" t="inlineStr">
        <is>
          <t>P037</t>
        </is>
      </c>
      <c r="D359" s="2" t="n">
        <v>1</v>
      </c>
      <c r="E359" s="19" t="n">
        <v>0</v>
      </c>
    </row>
    <row r="360">
      <c r="A360" s="2" t="inlineStr">
        <is>
          <t>IT00137_03</t>
        </is>
      </c>
      <c r="B360" s="2" t="inlineStr">
        <is>
          <t>PED00137</t>
        </is>
      </c>
      <c r="C360" s="2" t="inlineStr">
        <is>
          <t>P055</t>
        </is>
      </c>
      <c r="D360" s="2" t="n">
        <v>2</v>
      </c>
      <c r="E360" s="19" t="n">
        <v>0</v>
      </c>
    </row>
    <row r="361">
      <c r="A361" s="2" t="inlineStr">
        <is>
          <t>IT00138_01</t>
        </is>
      </c>
      <c r="B361" s="2" t="inlineStr">
        <is>
          <t>PED00138</t>
        </is>
      </c>
      <c r="C361" s="2" t="inlineStr">
        <is>
          <t>P070</t>
        </is>
      </c>
      <c r="D361" s="2" t="n">
        <v>1</v>
      </c>
      <c r="E361" s="19" t="n">
        <v>0.05</v>
      </c>
    </row>
    <row r="362">
      <c r="A362" s="2" t="inlineStr">
        <is>
          <t>IT00139_01</t>
        </is>
      </c>
      <c r="B362" s="2" t="inlineStr">
        <is>
          <t>PED00139</t>
        </is>
      </c>
      <c r="C362" s="2" t="inlineStr">
        <is>
          <t>P037</t>
        </is>
      </c>
      <c r="D362" s="2" t="n">
        <v>1</v>
      </c>
      <c r="E362" s="19" t="n">
        <v>0.1</v>
      </c>
    </row>
    <row r="363">
      <c r="A363" s="2" t="inlineStr">
        <is>
          <t>IT00139_02</t>
        </is>
      </c>
      <c r="B363" s="2" t="inlineStr">
        <is>
          <t>PED00139</t>
        </is>
      </c>
      <c r="C363" s="2" t="inlineStr">
        <is>
          <t>P007</t>
        </is>
      </c>
      <c r="D363" s="2" t="n">
        <v>5</v>
      </c>
      <c r="E363" s="19" t="n">
        <v>0</v>
      </c>
    </row>
    <row r="364">
      <c r="A364" s="2" t="inlineStr">
        <is>
          <t>IT00139_03</t>
        </is>
      </c>
      <c r="B364" s="2" t="inlineStr">
        <is>
          <t>PED00139</t>
        </is>
      </c>
      <c r="C364" s="2" t="inlineStr">
        <is>
          <t>P049</t>
        </is>
      </c>
      <c r="D364" s="2" t="n">
        <v>2</v>
      </c>
      <c r="E364" s="19" t="n">
        <v>0</v>
      </c>
    </row>
    <row r="365">
      <c r="A365" s="2" t="inlineStr">
        <is>
          <t>IT00140_01</t>
        </is>
      </c>
      <c r="B365" s="2" t="inlineStr">
        <is>
          <t>PED00140</t>
        </is>
      </c>
      <c r="C365" s="2" t="inlineStr">
        <is>
          <t>P070</t>
        </is>
      </c>
      <c r="D365" s="2" t="n">
        <v>1</v>
      </c>
      <c r="E365" s="19" t="n">
        <v>0</v>
      </c>
    </row>
    <row r="366">
      <c r="A366" s="2" t="inlineStr">
        <is>
          <t>IT00140_02</t>
        </is>
      </c>
      <c r="B366" s="2" t="inlineStr">
        <is>
          <t>PED00140</t>
        </is>
      </c>
      <c r="C366" s="2" t="inlineStr">
        <is>
          <t>P026</t>
        </is>
      </c>
      <c r="D366" s="2" t="n">
        <v>2</v>
      </c>
      <c r="E366" s="19" t="n">
        <v>0</v>
      </c>
    </row>
    <row r="367">
      <c r="A367" s="2" t="inlineStr">
        <is>
          <t>IT00140_03</t>
        </is>
      </c>
      <c r="B367" s="2" t="inlineStr">
        <is>
          <t>PED00140</t>
        </is>
      </c>
      <c r="C367" s="2" t="inlineStr">
        <is>
          <t>P025</t>
        </is>
      </c>
      <c r="D367" s="2" t="n">
        <v>1</v>
      </c>
      <c r="E367" s="19" t="n">
        <v>0</v>
      </c>
    </row>
    <row r="368">
      <c r="A368" s="2" t="inlineStr">
        <is>
          <t>IT00141_01</t>
        </is>
      </c>
      <c r="B368" s="2" t="inlineStr">
        <is>
          <t>PED00141</t>
        </is>
      </c>
      <c r="C368" s="2" t="inlineStr">
        <is>
          <t>P001</t>
        </is>
      </c>
      <c r="D368" s="2" t="n">
        <v>1</v>
      </c>
      <c r="E368" s="19" t="n">
        <v>0.05</v>
      </c>
    </row>
    <row r="369">
      <c r="A369" s="2" t="inlineStr">
        <is>
          <t>IT00141_02</t>
        </is>
      </c>
      <c r="B369" s="2" t="inlineStr">
        <is>
          <t>PED00141</t>
        </is>
      </c>
      <c r="C369" s="2" t="inlineStr">
        <is>
          <t>P043</t>
        </is>
      </c>
      <c r="D369" s="2" t="n">
        <v>2</v>
      </c>
      <c r="E369" s="19" t="n">
        <v>0.02</v>
      </c>
    </row>
    <row r="370">
      <c r="A370" s="2" t="inlineStr">
        <is>
          <t>IT00141_03</t>
        </is>
      </c>
      <c r="B370" s="2" t="inlineStr">
        <is>
          <t>PED00141</t>
        </is>
      </c>
      <c r="C370" s="2" t="inlineStr">
        <is>
          <t>P060</t>
        </is>
      </c>
      <c r="D370" s="2" t="n">
        <v>2</v>
      </c>
      <c r="E370" s="19" t="n">
        <v>0.05</v>
      </c>
    </row>
    <row r="371">
      <c r="A371" s="2" t="inlineStr">
        <is>
          <t>IT00141_04</t>
        </is>
      </c>
      <c r="B371" s="2" t="inlineStr">
        <is>
          <t>PED00141</t>
        </is>
      </c>
      <c r="C371" s="2" t="inlineStr">
        <is>
          <t>P020</t>
        </is>
      </c>
      <c r="D371" s="2" t="n">
        <v>1</v>
      </c>
      <c r="E371" s="19" t="n">
        <v>0.02</v>
      </c>
    </row>
    <row r="372">
      <c r="A372" s="2" t="inlineStr">
        <is>
          <t>IT00142_01</t>
        </is>
      </c>
      <c r="B372" s="2" t="inlineStr">
        <is>
          <t>PED00142</t>
        </is>
      </c>
      <c r="C372" s="2" t="inlineStr">
        <is>
          <t>P009</t>
        </is>
      </c>
      <c r="D372" s="2" t="n">
        <v>3</v>
      </c>
      <c r="E372" s="19" t="n">
        <v>0</v>
      </c>
    </row>
    <row r="373">
      <c r="A373" s="2" t="inlineStr">
        <is>
          <t>IT00143_01</t>
        </is>
      </c>
      <c r="B373" s="2" t="inlineStr">
        <is>
          <t>PED00143</t>
        </is>
      </c>
      <c r="C373" s="2" t="inlineStr">
        <is>
          <t>P047</t>
        </is>
      </c>
      <c r="D373" s="2" t="n">
        <v>1</v>
      </c>
      <c r="E373" s="19" t="n">
        <v>0.02</v>
      </c>
    </row>
    <row r="374">
      <c r="A374" s="2" t="inlineStr">
        <is>
          <t>IT00143_02</t>
        </is>
      </c>
      <c r="B374" s="2" t="inlineStr">
        <is>
          <t>PED00143</t>
        </is>
      </c>
      <c r="C374" s="2" t="inlineStr">
        <is>
          <t>P038</t>
        </is>
      </c>
      <c r="D374" s="2" t="n">
        <v>2</v>
      </c>
      <c r="E374" s="19" t="n">
        <v>0.1</v>
      </c>
    </row>
    <row r="375">
      <c r="A375" s="2" t="inlineStr">
        <is>
          <t>IT00144_01</t>
        </is>
      </c>
      <c r="B375" s="2" t="inlineStr">
        <is>
          <t>PED00144</t>
        </is>
      </c>
      <c r="C375" s="2" t="inlineStr">
        <is>
          <t>P032</t>
        </is>
      </c>
      <c r="D375" s="2" t="n">
        <v>1</v>
      </c>
      <c r="E375" s="19" t="n">
        <v>0.02</v>
      </c>
    </row>
    <row r="376">
      <c r="A376" s="2" t="inlineStr">
        <is>
          <t>IT00144_02</t>
        </is>
      </c>
      <c r="B376" s="2" t="inlineStr">
        <is>
          <t>PED00144</t>
        </is>
      </c>
      <c r="C376" s="2" t="inlineStr">
        <is>
          <t>P006</t>
        </is>
      </c>
      <c r="D376" s="2" t="n">
        <v>1</v>
      </c>
      <c r="E376" s="19" t="n">
        <v>0</v>
      </c>
    </row>
    <row r="377">
      <c r="A377" s="2" t="inlineStr">
        <is>
          <t>IT00144_03</t>
        </is>
      </c>
      <c r="B377" s="2" t="inlineStr">
        <is>
          <t>PED00144</t>
        </is>
      </c>
      <c r="C377" s="2" t="inlineStr">
        <is>
          <t>P042</t>
        </is>
      </c>
      <c r="D377" s="2" t="n">
        <v>3</v>
      </c>
      <c r="E377" s="19" t="n">
        <v>0</v>
      </c>
    </row>
    <row r="378">
      <c r="A378" s="2" t="inlineStr">
        <is>
          <t>IT00145_01</t>
        </is>
      </c>
      <c r="B378" s="2" t="inlineStr">
        <is>
          <t>PED00145</t>
        </is>
      </c>
      <c r="C378" s="2" t="inlineStr">
        <is>
          <t>P011</t>
        </is>
      </c>
      <c r="D378" s="2" t="n">
        <v>1</v>
      </c>
      <c r="E378" s="19" t="n">
        <v>0.1</v>
      </c>
    </row>
    <row r="379">
      <c r="A379" s="2" t="inlineStr">
        <is>
          <t>IT00145_02</t>
        </is>
      </c>
      <c r="B379" s="2" t="inlineStr">
        <is>
          <t>PED00145</t>
        </is>
      </c>
      <c r="C379" s="2" t="inlineStr">
        <is>
          <t>P013</t>
        </is>
      </c>
      <c r="D379" s="2" t="n">
        <v>2</v>
      </c>
      <c r="E379" s="19" t="n">
        <v>0</v>
      </c>
    </row>
    <row r="380">
      <c r="A380" s="2" t="inlineStr">
        <is>
          <t>IT00146_01</t>
        </is>
      </c>
      <c r="B380" s="2" t="inlineStr">
        <is>
          <t>PED00146</t>
        </is>
      </c>
      <c r="C380" s="2" t="inlineStr">
        <is>
          <t>P056</t>
        </is>
      </c>
      <c r="D380" s="2" t="n">
        <v>3</v>
      </c>
      <c r="E380" s="19" t="n">
        <v>0</v>
      </c>
    </row>
    <row r="381">
      <c r="A381" s="2" t="inlineStr">
        <is>
          <t>IT00146_02</t>
        </is>
      </c>
      <c r="B381" s="2" t="inlineStr">
        <is>
          <t>PED00146</t>
        </is>
      </c>
      <c r="C381" s="2" t="inlineStr">
        <is>
          <t>P010</t>
        </is>
      </c>
      <c r="D381" s="2" t="n">
        <v>2</v>
      </c>
      <c r="E381" s="19" t="n">
        <v>0</v>
      </c>
    </row>
    <row r="382">
      <c r="A382" s="2" t="inlineStr">
        <is>
          <t>IT00147_01</t>
        </is>
      </c>
      <c r="B382" s="2" t="inlineStr">
        <is>
          <t>PED00147</t>
        </is>
      </c>
      <c r="C382" s="2" t="inlineStr">
        <is>
          <t>P034</t>
        </is>
      </c>
      <c r="D382" s="2" t="n">
        <v>2</v>
      </c>
      <c r="E382" s="19" t="n">
        <v>0</v>
      </c>
    </row>
    <row r="383">
      <c r="A383" s="2" t="inlineStr">
        <is>
          <t>IT00147_02</t>
        </is>
      </c>
      <c r="B383" s="2" t="inlineStr">
        <is>
          <t>PED00147</t>
        </is>
      </c>
      <c r="C383" s="2" t="inlineStr">
        <is>
          <t>P053</t>
        </is>
      </c>
      <c r="D383" s="2" t="n">
        <v>1</v>
      </c>
      <c r="E383" s="19" t="n">
        <v>0.02</v>
      </c>
    </row>
    <row r="384">
      <c r="A384" s="2" t="inlineStr">
        <is>
          <t>IT00147_03</t>
        </is>
      </c>
      <c r="B384" s="2" t="inlineStr">
        <is>
          <t>PED00147</t>
        </is>
      </c>
      <c r="C384" s="2" t="inlineStr">
        <is>
          <t>P050</t>
        </is>
      </c>
      <c r="D384" s="2" t="n">
        <v>2</v>
      </c>
      <c r="E384" s="19" t="n">
        <v>0</v>
      </c>
    </row>
    <row r="385">
      <c r="A385" s="2" t="inlineStr">
        <is>
          <t>IT00147_04</t>
        </is>
      </c>
      <c r="B385" s="2" t="inlineStr">
        <is>
          <t>PED00147</t>
        </is>
      </c>
      <c r="C385" s="2" t="inlineStr">
        <is>
          <t>P058</t>
        </is>
      </c>
      <c r="D385" s="2" t="n">
        <v>2</v>
      </c>
      <c r="E385" s="19" t="n">
        <v>0.02</v>
      </c>
    </row>
    <row r="386">
      <c r="A386" s="2" t="inlineStr">
        <is>
          <t>IT00148_01</t>
        </is>
      </c>
      <c r="B386" s="2" t="inlineStr">
        <is>
          <t>PED00148</t>
        </is>
      </c>
      <c r="C386" s="2" t="inlineStr">
        <is>
          <t>P012</t>
        </is>
      </c>
      <c r="D386" s="2" t="n">
        <v>1</v>
      </c>
      <c r="E386" s="19" t="n">
        <v>0.05</v>
      </c>
    </row>
    <row r="387">
      <c r="A387" s="2" t="inlineStr">
        <is>
          <t>IT00148_02</t>
        </is>
      </c>
      <c r="B387" s="2" t="inlineStr">
        <is>
          <t>PED00148</t>
        </is>
      </c>
      <c r="C387" s="2" t="inlineStr">
        <is>
          <t>P037</t>
        </is>
      </c>
      <c r="D387" s="2" t="n">
        <v>1</v>
      </c>
      <c r="E387" s="19" t="n">
        <v>0</v>
      </c>
    </row>
    <row r="388">
      <c r="A388" s="2" t="inlineStr">
        <is>
          <t>IT00148_03</t>
        </is>
      </c>
      <c r="B388" s="2" t="inlineStr">
        <is>
          <t>PED00148</t>
        </is>
      </c>
      <c r="C388" s="2" t="inlineStr">
        <is>
          <t>P057</t>
        </is>
      </c>
      <c r="D388" s="2" t="n">
        <v>1</v>
      </c>
      <c r="E388" s="19" t="n">
        <v>0.02</v>
      </c>
    </row>
    <row r="389">
      <c r="A389" s="2" t="inlineStr">
        <is>
          <t>IT00149_01</t>
        </is>
      </c>
      <c r="B389" s="2" t="inlineStr">
        <is>
          <t>PED00149</t>
        </is>
      </c>
      <c r="C389" s="2" t="inlineStr">
        <is>
          <t>P048</t>
        </is>
      </c>
      <c r="D389" s="2" t="n">
        <v>1</v>
      </c>
      <c r="E389" s="19" t="n">
        <v>0</v>
      </c>
    </row>
    <row r="390">
      <c r="A390" s="2" t="inlineStr">
        <is>
          <t>IT00149_02</t>
        </is>
      </c>
      <c r="B390" s="2" t="inlineStr">
        <is>
          <t>PED00149</t>
        </is>
      </c>
      <c r="C390" s="2" t="inlineStr">
        <is>
          <t>P002</t>
        </is>
      </c>
      <c r="D390" s="2" t="n">
        <v>1</v>
      </c>
      <c r="E390" s="19" t="n">
        <v>0</v>
      </c>
    </row>
    <row r="391">
      <c r="A391" s="2" t="inlineStr">
        <is>
          <t>IT00149_03</t>
        </is>
      </c>
      <c r="B391" s="2" t="inlineStr">
        <is>
          <t>PED00149</t>
        </is>
      </c>
      <c r="C391" s="2" t="inlineStr">
        <is>
          <t>P019</t>
        </is>
      </c>
      <c r="D391" s="2" t="n">
        <v>1</v>
      </c>
      <c r="E391" s="19" t="n">
        <v>0</v>
      </c>
    </row>
    <row r="392">
      <c r="A392" s="2" t="inlineStr">
        <is>
          <t>IT00149_04</t>
        </is>
      </c>
      <c r="B392" s="2" t="inlineStr">
        <is>
          <t>PED00149</t>
        </is>
      </c>
      <c r="C392" s="2" t="inlineStr">
        <is>
          <t>P016</t>
        </is>
      </c>
      <c r="D392" s="2" t="n">
        <v>3</v>
      </c>
      <c r="E392" s="19" t="n">
        <v>0.02</v>
      </c>
    </row>
    <row r="393">
      <c r="A393" s="2" t="inlineStr">
        <is>
          <t>IT00150_01</t>
        </is>
      </c>
      <c r="B393" s="2" t="inlineStr">
        <is>
          <t>PED00150</t>
        </is>
      </c>
      <c r="C393" s="2" t="inlineStr">
        <is>
          <t>P024</t>
        </is>
      </c>
      <c r="D393" s="2" t="n">
        <v>2</v>
      </c>
      <c r="E393" s="19" t="n">
        <v>0</v>
      </c>
    </row>
    <row r="394">
      <c r="A394" s="2" t="inlineStr">
        <is>
          <t>IT00151_01</t>
        </is>
      </c>
      <c r="B394" s="2" t="inlineStr">
        <is>
          <t>PED00151</t>
        </is>
      </c>
      <c r="C394" s="2" t="inlineStr">
        <is>
          <t>P026</t>
        </is>
      </c>
      <c r="D394" s="2" t="n">
        <v>5</v>
      </c>
      <c r="E394" s="19" t="n">
        <v>0</v>
      </c>
    </row>
    <row r="395">
      <c r="A395" s="2" t="inlineStr">
        <is>
          <t>IT00151_02</t>
        </is>
      </c>
      <c r="B395" s="2" t="inlineStr">
        <is>
          <t>PED00151</t>
        </is>
      </c>
      <c r="C395" s="2" t="inlineStr">
        <is>
          <t>P063</t>
        </is>
      </c>
      <c r="D395" s="2" t="n">
        <v>2</v>
      </c>
      <c r="E395" s="19" t="n">
        <v>0</v>
      </c>
    </row>
    <row r="396">
      <c r="A396" s="2" t="inlineStr">
        <is>
          <t>IT00152_01</t>
        </is>
      </c>
      <c r="B396" s="2" t="inlineStr">
        <is>
          <t>PED00152</t>
        </is>
      </c>
      <c r="C396" s="2" t="inlineStr">
        <is>
          <t>P040</t>
        </is>
      </c>
      <c r="D396" s="2" t="n">
        <v>3</v>
      </c>
      <c r="E396" s="19" t="n">
        <v>0.1</v>
      </c>
    </row>
    <row r="397">
      <c r="A397" s="2" t="inlineStr">
        <is>
          <t>IT00152_02</t>
        </is>
      </c>
      <c r="B397" s="2" t="inlineStr">
        <is>
          <t>PED00152</t>
        </is>
      </c>
      <c r="C397" s="2" t="inlineStr">
        <is>
          <t>P020</t>
        </is>
      </c>
      <c r="D397" s="2" t="n">
        <v>1</v>
      </c>
      <c r="E397" s="19" t="n">
        <v>0</v>
      </c>
    </row>
    <row r="398">
      <c r="A398" s="2" t="inlineStr">
        <is>
          <t>IT00152_03</t>
        </is>
      </c>
      <c r="B398" s="2" t="inlineStr">
        <is>
          <t>PED00152</t>
        </is>
      </c>
      <c r="C398" s="2" t="inlineStr">
        <is>
          <t>P047</t>
        </is>
      </c>
      <c r="D398" s="2" t="n">
        <v>3</v>
      </c>
      <c r="E398" s="19" t="n">
        <v>0.02</v>
      </c>
    </row>
    <row r="399">
      <c r="A399" s="2" t="inlineStr">
        <is>
          <t>IT00153_01</t>
        </is>
      </c>
      <c r="B399" s="2" t="inlineStr">
        <is>
          <t>PED00153</t>
        </is>
      </c>
      <c r="C399" s="2" t="inlineStr">
        <is>
          <t>P060</t>
        </is>
      </c>
      <c r="D399" s="2" t="n">
        <v>2</v>
      </c>
      <c r="E399" s="19" t="n">
        <v>0</v>
      </c>
    </row>
    <row r="400">
      <c r="A400" s="2" t="inlineStr">
        <is>
          <t>IT00153_02</t>
        </is>
      </c>
      <c r="B400" s="2" t="inlineStr">
        <is>
          <t>PED00153</t>
        </is>
      </c>
      <c r="C400" s="2" t="inlineStr">
        <is>
          <t>P058</t>
        </is>
      </c>
      <c r="D400" s="2" t="n">
        <v>2</v>
      </c>
      <c r="E400" s="19" t="n">
        <v>0</v>
      </c>
    </row>
    <row r="401">
      <c r="A401" s="2" t="inlineStr">
        <is>
          <t>IT00153_03</t>
        </is>
      </c>
      <c r="B401" s="2" t="inlineStr">
        <is>
          <t>PED00153</t>
        </is>
      </c>
      <c r="C401" s="2" t="inlineStr">
        <is>
          <t>P046</t>
        </is>
      </c>
      <c r="D401" s="2" t="n">
        <v>1</v>
      </c>
      <c r="E401" s="19" t="n">
        <v>0.05</v>
      </c>
    </row>
    <row r="402">
      <c r="A402" s="2" t="inlineStr">
        <is>
          <t>IT00153_04</t>
        </is>
      </c>
      <c r="B402" s="2" t="inlineStr">
        <is>
          <t>PED00153</t>
        </is>
      </c>
      <c r="C402" s="2" t="inlineStr">
        <is>
          <t>P040</t>
        </is>
      </c>
      <c r="D402" s="2" t="n">
        <v>4</v>
      </c>
      <c r="E402" s="19" t="n">
        <v>0</v>
      </c>
    </row>
    <row r="403">
      <c r="A403" s="2" t="inlineStr">
        <is>
          <t>IT00154_01</t>
        </is>
      </c>
      <c r="B403" s="2" t="inlineStr">
        <is>
          <t>PED00154</t>
        </is>
      </c>
      <c r="C403" s="2" t="inlineStr">
        <is>
          <t>P052</t>
        </is>
      </c>
      <c r="D403" s="2" t="n">
        <v>2</v>
      </c>
      <c r="E403" s="19" t="n">
        <v>0.1</v>
      </c>
    </row>
    <row r="404">
      <c r="A404" s="2" t="inlineStr">
        <is>
          <t>IT00154_02</t>
        </is>
      </c>
      <c r="B404" s="2" t="inlineStr">
        <is>
          <t>PED00154</t>
        </is>
      </c>
      <c r="C404" s="2" t="inlineStr">
        <is>
          <t>P028</t>
        </is>
      </c>
      <c r="D404" s="2" t="n">
        <v>2</v>
      </c>
      <c r="E404" s="19" t="n">
        <v>0.02</v>
      </c>
    </row>
    <row r="405">
      <c r="A405" s="2" t="inlineStr">
        <is>
          <t>IT00154_03</t>
        </is>
      </c>
      <c r="B405" s="2" t="inlineStr">
        <is>
          <t>PED00154</t>
        </is>
      </c>
      <c r="C405" s="2" t="inlineStr">
        <is>
          <t>P005</t>
        </is>
      </c>
      <c r="D405" s="2" t="n">
        <v>1</v>
      </c>
      <c r="E405" s="19" t="n">
        <v>0</v>
      </c>
    </row>
    <row r="406">
      <c r="A406" s="2" t="inlineStr">
        <is>
          <t>IT00154_04</t>
        </is>
      </c>
      <c r="B406" s="2" t="inlineStr">
        <is>
          <t>PED00154</t>
        </is>
      </c>
      <c r="C406" s="2" t="inlineStr">
        <is>
          <t>P034</t>
        </is>
      </c>
      <c r="D406" s="2" t="n">
        <v>3</v>
      </c>
      <c r="E406" s="19" t="n">
        <v>0.02</v>
      </c>
    </row>
    <row r="407">
      <c r="A407" s="2" t="inlineStr">
        <is>
          <t>IT00155_01</t>
        </is>
      </c>
      <c r="B407" s="2" t="inlineStr">
        <is>
          <t>PED00155</t>
        </is>
      </c>
      <c r="C407" s="2" t="inlineStr">
        <is>
          <t>P031</t>
        </is>
      </c>
      <c r="D407" s="2" t="n">
        <v>3</v>
      </c>
      <c r="E407" s="19" t="n">
        <v>0.05</v>
      </c>
    </row>
    <row r="408">
      <c r="A408" s="2" t="inlineStr">
        <is>
          <t>IT00156_01</t>
        </is>
      </c>
      <c r="B408" s="2" t="inlineStr">
        <is>
          <t>PED00156</t>
        </is>
      </c>
      <c r="C408" s="2" t="inlineStr">
        <is>
          <t>P019</t>
        </is>
      </c>
      <c r="D408" s="2" t="n">
        <v>1</v>
      </c>
      <c r="E408" s="19" t="n">
        <v>0.02</v>
      </c>
    </row>
    <row r="409">
      <c r="A409" s="2" t="inlineStr">
        <is>
          <t>IT00156_02</t>
        </is>
      </c>
      <c r="B409" s="2" t="inlineStr">
        <is>
          <t>PED00156</t>
        </is>
      </c>
      <c r="C409" s="2" t="inlineStr">
        <is>
          <t>P062</t>
        </is>
      </c>
      <c r="D409" s="2" t="n">
        <v>1</v>
      </c>
      <c r="E409" s="19" t="n">
        <v>0</v>
      </c>
    </row>
    <row r="410">
      <c r="A410" s="2" t="inlineStr">
        <is>
          <t>IT00156_03</t>
        </is>
      </c>
      <c r="B410" s="2" t="inlineStr">
        <is>
          <t>PED00156</t>
        </is>
      </c>
      <c r="C410" s="2" t="inlineStr">
        <is>
          <t>P046</t>
        </is>
      </c>
      <c r="D410" s="2" t="n">
        <v>1</v>
      </c>
      <c r="E410" s="19" t="n">
        <v>0.02</v>
      </c>
    </row>
    <row r="411">
      <c r="A411" s="2" t="inlineStr">
        <is>
          <t>IT00157_01</t>
        </is>
      </c>
      <c r="B411" s="2" t="inlineStr">
        <is>
          <t>PED00157</t>
        </is>
      </c>
      <c r="C411" s="2" t="inlineStr">
        <is>
          <t>P042</t>
        </is>
      </c>
      <c r="D411" s="2" t="n">
        <v>2</v>
      </c>
      <c r="E411" s="19" t="n">
        <v>0</v>
      </c>
    </row>
    <row r="412">
      <c r="A412" s="2" t="inlineStr">
        <is>
          <t>IT00157_02</t>
        </is>
      </c>
      <c r="B412" s="2" t="inlineStr">
        <is>
          <t>PED00157</t>
        </is>
      </c>
      <c r="C412" s="2" t="inlineStr">
        <is>
          <t>P014</t>
        </is>
      </c>
      <c r="D412" s="2" t="n">
        <v>1</v>
      </c>
      <c r="E412" s="19" t="n">
        <v>0</v>
      </c>
    </row>
    <row r="413">
      <c r="A413" s="2" t="inlineStr">
        <is>
          <t>IT00157_03</t>
        </is>
      </c>
      <c r="B413" s="2" t="inlineStr">
        <is>
          <t>PED00157</t>
        </is>
      </c>
      <c r="C413" s="2" t="inlineStr">
        <is>
          <t>P067</t>
        </is>
      </c>
      <c r="D413" s="2" t="n">
        <v>2</v>
      </c>
      <c r="E413" s="19" t="n">
        <v>0.05</v>
      </c>
    </row>
    <row r="414">
      <c r="A414" s="2" t="inlineStr">
        <is>
          <t>IT00157_04</t>
        </is>
      </c>
      <c r="B414" s="2" t="inlineStr">
        <is>
          <t>PED00157</t>
        </is>
      </c>
      <c r="C414" s="2" t="inlineStr">
        <is>
          <t>P036</t>
        </is>
      </c>
      <c r="D414" s="2" t="n">
        <v>1</v>
      </c>
      <c r="E414" s="19" t="n">
        <v>0</v>
      </c>
    </row>
    <row r="415">
      <c r="A415" s="2" t="inlineStr">
        <is>
          <t>IT00157_05</t>
        </is>
      </c>
      <c r="B415" s="2" t="inlineStr">
        <is>
          <t>PED00157</t>
        </is>
      </c>
      <c r="C415" s="2" t="inlineStr">
        <is>
          <t>P034</t>
        </is>
      </c>
      <c r="D415" s="2" t="n">
        <v>5</v>
      </c>
      <c r="E415" s="19" t="n">
        <v>0</v>
      </c>
    </row>
    <row r="416">
      <c r="A416" s="2" t="inlineStr">
        <is>
          <t>IT00158_01</t>
        </is>
      </c>
      <c r="B416" s="2" t="inlineStr">
        <is>
          <t>PED00158</t>
        </is>
      </c>
      <c r="C416" s="2" t="inlineStr">
        <is>
          <t>P018</t>
        </is>
      </c>
      <c r="D416" s="2" t="n">
        <v>1</v>
      </c>
      <c r="E416" s="19" t="n">
        <v>0</v>
      </c>
    </row>
    <row r="417">
      <c r="A417" s="2" t="inlineStr">
        <is>
          <t>IT00158_02</t>
        </is>
      </c>
      <c r="B417" s="2" t="inlineStr">
        <is>
          <t>PED00158</t>
        </is>
      </c>
      <c r="C417" s="2" t="inlineStr">
        <is>
          <t>P057</t>
        </is>
      </c>
      <c r="D417" s="2" t="n">
        <v>2</v>
      </c>
      <c r="E417" s="19" t="n">
        <v>0</v>
      </c>
    </row>
    <row r="418">
      <c r="A418" s="2" t="inlineStr">
        <is>
          <t>IT00159_01</t>
        </is>
      </c>
      <c r="B418" s="2" t="inlineStr">
        <is>
          <t>PED00159</t>
        </is>
      </c>
      <c r="C418" s="2" t="inlineStr">
        <is>
          <t>P043</t>
        </is>
      </c>
      <c r="D418" s="2" t="n">
        <v>2</v>
      </c>
      <c r="E418" s="19" t="n">
        <v>0</v>
      </c>
    </row>
    <row r="419">
      <c r="A419" s="2" t="inlineStr">
        <is>
          <t>IT00159_02</t>
        </is>
      </c>
      <c r="B419" s="2" t="inlineStr">
        <is>
          <t>PED00159</t>
        </is>
      </c>
      <c r="C419" s="2" t="inlineStr">
        <is>
          <t>P015</t>
        </is>
      </c>
      <c r="D419" s="2" t="n">
        <v>1</v>
      </c>
      <c r="E419" s="19" t="n">
        <v>0</v>
      </c>
    </row>
    <row r="420">
      <c r="A420" s="2" t="inlineStr">
        <is>
          <t>IT00160_01</t>
        </is>
      </c>
      <c r="B420" s="2" t="inlineStr">
        <is>
          <t>PED00160</t>
        </is>
      </c>
      <c r="C420" s="2" t="inlineStr">
        <is>
          <t>P006</t>
        </is>
      </c>
      <c r="D420" s="2" t="n">
        <v>1</v>
      </c>
      <c r="E420" s="19" t="n">
        <v>0.05</v>
      </c>
    </row>
    <row r="421">
      <c r="A421" s="2" t="inlineStr">
        <is>
          <t>IT00160_02</t>
        </is>
      </c>
      <c r="B421" s="2" t="inlineStr">
        <is>
          <t>PED00160</t>
        </is>
      </c>
      <c r="C421" s="2" t="inlineStr">
        <is>
          <t>P019</t>
        </is>
      </c>
      <c r="D421" s="2" t="n">
        <v>2</v>
      </c>
      <c r="E421" s="19" t="n">
        <v>0</v>
      </c>
    </row>
    <row r="422">
      <c r="A422" s="2" t="inlineStr">
        <is>
          <t>IT00160_03</t>
        </is>
      </c>
      <c r="B422" s="2" t="inlineStr">
        <is>
          <t>PED00160</t>
        </is>
      </c>
      <c r="C422" s="2" t="inlineStr">
        <is>
          <t>P008</t>
        </is>
      </c>
      <c r="D422" s="2" t="n">
        <v>5</v>
      </c>
      <c r="E422" s="19" t="n">
        <v>0</v>
      </c>
    </row>
    <row r="423">
      <c r="A423" s="2" t="inlineStr">
        <is>
          <t>IT00161_01</t>
        </is>
      </c>
      <c r="B423" s="2" t="inlineStr">
        <is>
          <t>PED00161</t>
        </is>
      </c>
      <c r="C423" s="2" t="inlineStr">
        <is>
          <t>P029</t>
        </is>
      </c>
      <c r="D423" s="2" t="n">
        <v>2</v>
      </c>
      <c r="E423" s="19" t="n">
        <v>0.02</v>
      </c>
    </row>
    <row r="424">
      <c r="A424" s="2" t="inlineStr">
        <is>
          <t>IT00161_02</t>
        </is>
      </c>
      <c r="B424" s="2" t="inlineStr">
        <is>
          <t>PED00161</t>
        </is>
      </c>
      <c r="C424" s="2" t="inlineStr">
        <is>
          <t>P053</t>
        </is>
      </c>
      <c r="D424" s="2" t="n">
        <v>3</v>
      </c>
      <c r="E424" s="19" t="n">
        <v>0</v>
      </c>
    </row>
    <row r="425">
      <c r="A425" s="2" t="inlineStr">
        <is>
          <t>IT00162_01</t>
        </is>
      </c>
      <c r="B425" s="2" t="inlineStr">
        <is>
          <t>PED00162</t>
        </is>
      </c>
      <c r="C425" s="2" t="inlineStr">
        <is>
          <t>P009</t>
        </is>
      </c>
      <c r="D425" s="2" t="n">
        <v>1</v>
      </c>
      <c r="E425" s="19" t="n">
        <v>0</v>
      </c>
    </row>
    <row r="426">
      <c r="A426" s="2" t="inlineStr">
        <is>
          <t>IT00162_02</t>
        </is>
      </c>
      <c r="B426" s="2" t="inlineStr">
        <is>
          <t>PED00162</t>
        </is>
      </c>
      <c r="C426" s="2" t="inlineStr">
        <is>
          <t>P030</t>
        </is>
      </c>
      <c r="D426" s="2" t="n">
        <v>1</v>
      </c>
      <c r="E426" s="19" t="n">
        <v>0.05</v>
      </c>
    </row>
    <row r="427">
      <c r="A427" s="2" t="inlineStr">
        <is>
          <t>IT00162_03</t>
        </is>
      </c>
      <c r="B427" s="2" t="inlineStr">
        <is>
          <t>PED00162</t>
        </is>
      </c>
      <c r="C427" s="2" t="inlineStr">
        <is>
          <t>P049</t>
        </is>
      </c>
      <c r="D427" s="2" t="n">
        <v>2</v>
      </c>
      <c r="E427" s="19" t="n">
        <v>0</v>
      </c>
    </row>
    <row r="428">
      <c r="A428" s="2" t="inlineStr">
        <is>
          <t>IT00163_01</t>
        </is>
      </c>
      <c r="B428" s="2" t="inlineStr">
        <is>
          <t>PED00163</t>
        </is>
      </c>
      <c r="C428" s="2" t="inlineStr">
        <is>
          <t>P069</t>
        </is>
      </c>
      <c r="D428" s="2" t="n">
        <v>2</v>
      </c>
      <c r="E428" s="19" t="n">
        <v>0</v>
      </c>
    </row>
    <row r="429">
      <c r="A429" s="2" t="inlineStr">
        <is>
          <t>IT00163_02</t>
        </is>
      </c>
      <c r="B429" s="2" t="inlineStr">
        <is>
          <t>PED00163</t>
        </is>
      </c>
      <c r="C429" s="2" t="inlineStr">
        <is>
          <t>P065</t>
        </is>
      </c>
      <c r="D429" s="2" t="n">
        <v>2</v>
      </c>
      <c r="E429" s="19" t="n">
        <v>0.05</v>
      </c>
    </row>
    <row r="430">
      <c r="A430" s="2" t="inlineStr">
        <is>
          <t>IT00163_03</t>
        </is>
      </c>
      <c r="B430" s="2" t="inlineStr">
        <is>
          <t>PED00163</t>
        </is>
      </c>
      <c r="C430" s="2" t="inlineStr">
        <is>
          <t>P016</t>
        </is>
      </c>
      <c r="D430" s="2" t="n">
        <v>4</v>
      </c>
      <c r="E430" s="19" t="n">
        <v>0.02</v>
      </c>
    </row>
    <row r="431">
      <c r="A431" s="2" t="inlineStr">
        <is>
          <t>IT00163_04</t>
        </is>
      </c>
      <c r="B431" s="2" t="inlineStr">
        <is>
          <t>PED00163</t>
        </is>
      </c>
      <c r="C431" s="2" t="inlineStr">
        <is>
          <t>P012</t>
        </is>
      </c>
      <c r="D431" s="2" t="n">
        <v>2</v>
      </c>
      <c r="E431" s="19" t="n">
        <v>0</v>
      </c>
    </row>
    <row r="432">
      <c r="A432" s="2" t="inlineStr">
        <is>
          <t>IT00164_01</t>
        </is>
      </c>
      <c r="B432" s="2" t="inlineStr">
        <is>
          <t>PED00164</t>
        </is>
      </c>
      <c r="C432" s="2" t="inlineStr">
        <is>
          <t>P013</t>
        </is>
      </c>
      <c r="D432" s="2" t="n">
        <v>1</v>
      </c>
      <c r="E432" s="19" t="n">
        <v>0</v>
      </c>
    </row>
    <row r="433">
      <c r="A433" s="2" t="inlineStr">
        <is>
          <t>IT00164_02</t>
        </is>
      </c>
      <c r="B433" s="2" t="inlineStr">
        <is>
          <t>PED00164</t>
        </is>
      </c>
      <c r="C433" s="2" t="inlineStr">
        <is>
          <t>P055</t>
        </is>
      </c>
      <c r="D433" s="2" t="n">
        <v>1</v>
      </c>
      <c r="E433" s="19" t="n">
        <v>0.05</v>
      </c>
    </row>
    <row r="434">
      <c r="A434" s="2" t="inlineStr">
        <is>
          <t>IT00165_01</t>
        </is>
      </c>
      <c r="B434" s="2" t="inlineStr">
        <is>
          <t>PED00165</t>
        </is>
      </c>
      <c r="C434" s="2" t="inlineStr">
        <is>
          <t>P067</t>
        </is>
      </c>
      <c r="D434" s="2" t="n">
        <v>1</v>
      </c>
      <c r="E434" s="19" t="n">
        <v>0</v>
      </c>
    </row>
    <row r="435">
      <c r="A435" s="2" t="inlineStr">
        <is>
          <t>IT00166_01</t>
        </is>
      </c>
      <c r="B435" s="2" t="inlineStr">
        <is>
          <t>PED00166</t>
        </is>
      </c>
      <c r="C435" s="2" t="inlineStr">
        <is>
          <t>P034</t>
        </is>
      </c>
      <c r="D435" s="2" t="n">
        <v>2</v>
      </c>
      <c r="E435" s="19" t="n">
        <v>0</v>
      </c>
    </row>
    <row r="436">
      <c r="A436" s="2" t="inlineStr">
        <is>
          <t>IT00166_02</t>
        </is>
      </c>
      <c r="B436" s="2" t="inlineStr">
        <is>
          <t>PED00166</t>
        </is>
      </c>
      <c r="C436" s="2" t="inlineStr">
        <is>
          <t>P069</t>
        </is>
      </c>
      <c r="D436" s="2" t="n">
        <v>10</v>
      </c>
      <c r="E436" s="19" t="n">
        <v>0</v>
      </c>
    </row>
    <row r="437">
      <c r="A437" s="2" t="inlineStr">
        <is>
          <t>IT00166_03</t>
        </is>
      </c>
      <c r="B437" s="2" t="inlineStr">
        <is>
          <t>PED00166</t>
        </is>
      </c>
      <c r="C437" s="2" t="inlineStr">
        <is>
          <t>P055</t>
        </is>
      </c>
      <c r="D437" s="2" t="n">
        <v>1</v>
      </c>
      <c r="E437" s="19" t="n">
        <v>0</v>
      </c>
    </row>
    <row r="438">
      <c r="A438" s="2" t="inlineStr">
        <is>
          <t>IT00167_01</t>
        </is>
      </c>
      <c r="B438" s="2" t="inlineStr">
        <is>
          <t>PED00167</t>
        </is>
      </c>
      <c r="C438" s="2" t="inlineStr">
        <is>
          <t>P045</t>
        </is>
      </c>
      <c r="D438" s="2" t="n">
        <v>3</v>
      </c>
      <c r="E438" s="19" t="n">
        <v>0.05</v>
      </c>
    </row>
    <row r="439">
      <c r="A439" s="2" t="inlineStr">
        <is>
          <t>IT00167_02</t>
        </is>
      </c>
      <c r="B439" s="2" t="inlineStr">
        <is>
          <t>PED00167</t>
        </is>
      </c>
      <c r="C439" s="2" t="inlineStr">
        <is>
          <t>P051</t>
        </is>
      </c>
      <c r="D439" s="2" t="n">
        <v>2</v>
      </c>
      <c r="E439" s="19" t="n">
        <v>0.02</v>
      </c>
    </row>
    <row r="440">
      <c r="A440" s="2" t="inlineStr">
        <is>
          <t>IT00168_01</t>
        </is>
      </c>
      <c r="B440" s="2" t="inlineStr">
        <is>
          <t>PED00168</t>
        </is>
      </c>
      <c r="C440" s="2" t="inlineStr">
        <is>
          <t>P007</t>
        </is>
      </c>
      <c r="D440" s="2" t="n">
        <v>5</v>
      </c>
      <c r="E440" s="19" t="n">
        <v>0</v>
      </c>
    </row>
    <row r="441">
      <c r="A441" s="2" t="inlineStr">
        <is>
          <t>IT00168_02</t>
        </is>
      </c>
      <c r="B441" s="2" t="inlineStr">
        <is>
          <t>PED00168</t>
        </is>
      </c>
      <c r="C441" s="2" t="inlineStr">
        <is>
          <t>P021</t>
        </is>
      </c>
      <c r="D441" s="2" t="n">
        <v>1</v>
      </c>
      <c r="E441" s="19" t="n">
        <v>0</v>
      </c>
    </row>
    <row r="442">
      <c r="A442" s="2" t="inlineStr">
        <is>
          <t>IT00168_03</t>
        </is>
      </c>
      <c r="B442" s="2" t="inlineStr">
        <is>
          <t>PED00168</t>
        </is>
      </c>
      <c r="C442" s="2" t="inlineStr">
        <is>
          <t>P050</t>
        </is>
      </c>
      <c r="D442" s="2" t="n">
        <v>4</v>
      </c>
      <c r="E442" s="19" t="n">
        <v>0</v>
      </c>
    </row>
    <row r="443">
      <c r="A443" s="2" t="inlineStr">
        <is>
          <t>IT00169_01</t>
        </is>
      </c>
      <c r="B443" s="2" t="inlineStr">
        <is>
          <t>PED00169</t>
        </is>
      </c>
      <c r="C443" s="2" t="inlineStr">
        <is>
          <t>P052</t>
        </is>
      </c>
      <c r="D443" s="2" t="n">
        <v>2</v>
      </c>
      <c r="E443" s="19" t="n">
        <v>0</v>
      </c>
    </row>
    <row r="444">
      <c r="A444" s="2" t="inlineStr">
        <is>
          <t>IT00169_02</t>
        </is>
      </c>
      <c r="B444" s="2" t="inlineStr">
        <is>
          <t>PED00169</t>
        </is>
      </c>
      <c r="C444" s="2" t="inlineStr">
        <is>
          <t>P067</t>
        </is>
      </c>
      <c r="D444" s="2" t="n">
        <v>1</v>
      </c>
      <c r="E444" s="19" t="n">
        <v>0.02</v>
      </c>
    </row>
    <row r="445">
      <c r="A445" s="2" t="inlineStr">
        <is>
          <t>IT00169_03</t>
        </is>
      </c>
      <c r="B445" s="2" t="inlineStr">
        <is>
          <t>PED00169</t>
        </is>
      </c>
      <c r="C445" s="2" t="inlineStr">
        <is>
          <t>P037</t>
        </is>
      </c>
      <c r="D445" s="2" t="n">
        <v>3</v>
      </c>
      <c r="E445" s="19" t="n">
        <v>0</v>
      </c>
    </row>
    <row r="446">
      <c r="A446" s="2" t="inlineStr">
        <is>
          <t>IT00169_04</t>
        </is>
      </c>
      <c r="B446" s="2" t="inlineStr">
        <is>
          <t>PED00169</t>
        </is>
      </c>
      <c r="C446" s="2" t="inlineStr">
        <is>
          <t>P008</t>
        </is>
      </c>
      <c r="D446" s="2" t="n">
        <v>1</v>
      </c>
      <c r="E446" s="19" t="n">
        <v>0</v>
      </c>
    </row>
    <row r="447">
      <c r="A447" s="2" t="inlineStr">
        <is>
          <t>IT00169_05</t>
        </is>
      </c>
      <c r="B447" s="2" t="inlineStr">
        <is>
          <t>PED00169</t>
        </is>
      </c>
      <c r="C447" s="2" t="inlineStr">
        <is>
          <t>P023</t>
        </is>
      </c>
      <c r="D447" s="2" t="n">
        <v>2</v>
      </c>
      <c r="E447" s="19" t="n">
        <v>0</v>
      </c>
    </row>
    <row r="448">
      <c r="A448" s="2" t="inlineStr">
        <is>
          <t>IT00170_01</t>
        </is>
      </c>
      <c r="B448" s="2" t="inlineStr">
        <is>
          <t>PED00170</t>
        </is>
      </c>
      <c r="C448" s="2" t="inlineStr">
        <is>
          <t>P036</t>
        </is>
      </c>
      <c r="D448" s="2" t="n">
        <v>3</v>
      </c>
      <c r="E448" s="19" t="n">
        <v>0</v>
      </c>
    </row>
    <row r="449">
      <c r="A449" s="2" t="inlineStr">
        <is>
          <t>IT00171_01</t>
        </is>
      </c>
      <c r="B449" s="2" t="inlineStr">
        <is>
          <t>PED00171</t>
        </is>
      </c>
      <c r="C449" s="2" t="inlineStr">
        <is>
          <t>P037</t>
        </is>
      </c>
      <c r="D449" s="2" t="n">
        <v>3</v>
      </c>
      <c r="E449" s="19" t="n">
        <v>0</v>
      </c>
    </row>
    <row r="450">
      <c r="A450" s="2" t="inlineStr">
        <is>
          <t>IT00172_01</t>
        </is>
      </c>
      <c r="B450" s="2" t="inlineStr">
        <is>
          <t>PED00172</t>
        </is>
      </c>
      <c r="C450" s="2" t="inlineStr">
        <is>
          <t>P052</t>
        </is>
      </c>
      <c r="D450" s="2" t="n">
        <v>2</v>
      </c>
      <c r="E450" s="19" t="n">
        <v>0</v>
      </c>
    </row>
    <row r="451">
      <c r="A451" s="2" t="inlineStr">
        <is>
          <t>IT00173_01</t>
        </is>
      </c>
      <c r="B451" s="2" t="inlineStr">
        <is>
          <t>PED00173</t>
        </is>
      </c>
      <c r="C451" s="2" t="inlineStr">
        <is>
          <t>P066</t>
        </is>
      </c>
      <c r="D451" s="2" t="n">
        <v>5</v>
      </c>
      <c r="E451" s="19" t="n">
        <v>0.05</v>
      </c>
    </row>
    <row r="452">
      <c r="A452" s="2" t="inlineStr">
        <is>
          <t>IT00174_01</t>
        </is>
      </c>
      <c r="B452" s="2" t="inlineStr">
        <is>
          <t>PED00174</t>
        </is>
      </c>
      <c r="C452" s="2" t="inlineStr">
        <is>
          <t>P059</t>
        </is>
      </c>
      <c r="D452" s="2" t="n">
        <v>1</v>
      </c>
      <c r="E452" s="19" t="n">
        <v>0</v>
      </c>
    </row>
    <row r="453">
      <c r="A453" s="2" t="inlineStr">
        <is>
          <t>IT00174_02</t>
        </is>
      </c>
      <c r="B453" s="2" t="inlineStr">
        <is>
          <t>PED00174</t>
        </is>
      </c>
      <c r="C453" s="2" t="inlineStr">
        <is>
          <t>P004</t>
        </is>
      </c>
      <c r="D453" s="2" t="n">
        <v>2</v>
      </c>
      <c r="E453" s="19" t="n">
        <v>0.1</v>
      </c>
    </row>
    <row r="454">
      <c r="A454" s="2" t="inlineStr">
        <is>
          <t>IT00174_03</t>
        </is>
      </c>
      <c r="B454" s="2" t="inlineStr">
        <is>
          <t>PED00174</t>
        </is>
      </c>
      <c r="C454" s="2" t="inlineStr">
        <is>
          <t>P062</t>
        </is>
      </c>
      <c r="D454" s="2" t="n">
        <v>2</v>
      </c>
      <c r="E454" s="19" t="n">
        <v>0</v>
      </c>
    </row>
    <row r="455">
      <c r="A455" s="2" t="inlineStr">
        <is>
          <t>IT00175_01</t>
        </is>
      </c>
      <c r="B455" s="2" t="inlineStr">
        <is>
          <t>PED00175</t>
        </is>
      </c>
      <c r="C455" s="2" t="inlineStr">
        <is>
          <t>P012</t>
        </is>
      </c>
      <c r="D455" s="2" t="n">
        <v>2</v>
      </c>
      <c r="E455" s="19" t="n">
        <v>0.05</v>
      </c>
    </row>
    <row r="456">
      <c r="A456" s="2" t="inlineStr">
        <is>
          <t>IT00175_02</t>
        </is>
      </c>
      <c r="B456" s="2" t="inlineStr">
        <is>
          <t>PED00175</t>
        </is>
      </c>
      <c r="C456" s="2" t="inlineStr">
        <is>
          <t>P052</t>
        </is>
      </c>
      <c r="D456" s="2" t="n">
        <v>1</v>
      </c>
      <c r="E456" s="19" t="n">
        <v>0.05</v>
      </c>
    </row>
    <row r="457">
      <c r="A457" s="2" t="inlineStr">
        <is>
          <t>IT00176_01</t>
        </is>
      </c>
      <c r="B457" s="2" t="inlineStr">
        <is>
          <t>PED00176</t>
        </is>
      </c>
      <c r="C457" s="2" t="inlineStr">
        <is>
          <t>P025</t>
        </is>
      </c>
      <c r="D457" s="2" t="n">
        <v>1</v>
      </c>
      <c r="E457" s="19" t="n">
        <v>0</v>
      </c>
    </row>
    <row r="458">
      <c r="A458" s="2" t="inlineStr">
        <is>
          <t>IT00176_02</t>
        </is>
      </c>
      <c r="B458" s="2" t="inlineStr">
        <is>
          <t>PED00176</t>
        </is>
      </c>
      <c r="C458" s="2" t="inlineStr">
        <is>
          <t>P064</t>
        </is>
      </c>
      <c r="D458" s="2" t="n">
        <v>1</v>
      </c>
      <c r="E458" s="19" t="n">
        <v>0</v>
      </c>
    </row>
    <row r="459">
      <c r="A459" s="2" t="inlineStr">
        <is>
          <t>IT00176_03</t>
        </is>
      </c>
      <c r="B459" s="2" t="inlineStr">
        <is>
          <t>PED00176</t>
        </is>
      </c>
      <c r="C459" s="2" t="inlineStr">
        <is>
          <t>P026</t>
        </is>
      </c>
      <c r="D459" s="2" t="n">
        <v>3</v>
      </c>
      <c r="E459" s="19" t="n">
        <v>0.05</v>
      </c>
    </row>
    <row r="460">
      <c r="A460" s="2" t="inlineStr">
        <is>
          <t>IT00177_01</t>
        </is>
      </c>
      <c r="B460" s="2" t="inlineStr">
        <is>
          <t>PED00177</t>
        </is>
      </c>
      <c r="C460" s="2" t="inlineStr">
        <is>
          <t>P001</t>
        </is>
      </c>
      <c r="D460" s="2" t="n">
        <v>5</v>
      </c>
      <c r="E460" s="19" t="n">
        <v>0.05</v>
      </c>
    </row>
    <row r="461">
      <c r="A461" s="2" t="inlineStr">
        <is>
          <t>IT00177_02</t>
        </is>
      </c>
      <c r="B461" s="2" t="inlineStr">
        <is>
          <t>PED00177</t>
        </is>
      </c>
      <c r="C461" s="2" t="inlineStr">
        <is>
          <t>P070</t>
        </is>
      </c>
      <c r="D461" s="2" t="n">
        <v>1</v>
      </c>
      <c r="E461" s="19" t="n">
        <v>0</v>
      </c>
    </row>
    <row r="462">
      <c r="A462" s="2" t="inlineStr">
        <is>
          <t>IT00178_01</t>
        </is>
      </c>
      <c r="B462" s="2" t="inlineStr">
        <is>
          <t>PED00178</t>
        </is>
      </c>
      <c r="C462" s="2" t="inlineStr">
        <is>
          <t>P017</t>
        </is>
      </c>
      <c r="D462" s="2" t="n">
        <v>2</v>
      </c>
      <c r="E462" s="19" t="n">
        <v>0</v>
      </c>
    </row>
    <row r="463">
      <c r="A463" s="2" t="inlineStr">
        <is>
          <t>IT00178_02</t>
        </is>
      </c>
      <c r="B463" s="2" t="inlineStr">
        <is>
          <t>PED00178</t>
        </is>
      </c>
      <c r="C463" s="2" t="inlineStr">
        <is>
          <t>P007</t>
        </is>
      </c>
      <c r="D463" s="2" t="n">
        <v>5</v>
      </c>
      <c r="E463" s="19" t="n">
        <v>0</v>
      </c>
    </row>
    <row r="464">
      <c r="A464" s="2" t="inlineStr">
        <is>
          <t>IT00179_01</t>
        </is>
      </c>
      <c r="B464" s="2" t="inlineStr">
        <is>
          <t>PED00179</t>
        </is>
      </c>
      <c r="C464" s="2" t="inlineStr">
        <is>
          <t>P002</t>
        </is>
      </c>
      <c r="D464" s="2" t="n">
        <v>1</v>
      </c>
      <c r="E464" s="19" t="n">
        <v>0</v>
      </c>
    </row>
    <row r="465">
      <c r="A465" s="2" t="inlineStr">
        <is>
          <t>IT00179_02</t>
        </is>
      </c>
      <c r="B465" s="2" t="inlineStr">
        <is>
          <t>PED00179</t>
        </is>
      </c>
      <c r="C465" s="2" t="inlineStr">
        <is>
          <t>P027</t>
        </is>
      </c>
      <c r="D465" s="2" t="n">
        <v>1</v>
      </c>
      <c r="E465" s="19" t="n">
        <v>0.05</v>
      </c>
    </row>
    <row r="466">
      <c r="A466" s="2" t="inlineStr">
        <is>
          <t>IT00180_01</t>
        </is>
      </c>
      <c r="B466" s="2" t="inlineStr">
        <is>
          <t>PED00180</t>
        </is>
      </c>
      <c r="C466" s="2" t="inlineStr">
        <is>
          <t>P064</t>
        </is>
      </c>
      <c r="D466" s="2" t="n">
        <v>1</v>
      </c>
      <c r="E466" s="19" t="n">
        <v>0.02</v>
      </c>
    </row>
    <row r="467">
      <c r="A467" s="2" t="inlineStr">
        <is>
          <t>IT00180_02</t>
        </is>
      </c>
      <c r="B467" s="2" t="inlineStr">
        <is>
          <t>PED00180</t>
        </is>
      </c>
      <c r="C467" s="2" t="inlineStr">
        <is>
          <t>P055</t>
        </is>
      </c>
      <c r="D467" s="2" t="n">
        <v>1</v>
      </c>
      <c r="E467" s="19" t="n">
        <v>0.05</v>
      </c>
    </row>
    <row r="468">
      <c r="A468" s="2" t="inlineStr">
        <is>
          <t>IT00181_01</t>
        </is>
      </c>
      <c r="B468" s="2" t="inlineStr">
        <is>
          <t>PED00181</t>
        </is>
      </c>
      <c r="C468" s="2" t="inlineStr">
        <is>
          <t>P035</t>
        </is>
      </c>
      <c r="D468" s="2" t="n">
        <v>1</v>
      </c>
      <c r="E468" s="19" t="n">
        <v>0.05</v>
      </c>
    </row>
    <row r="469">
      <c r="A469" s="2" t="inlineStr">
        <is>
          <t>IT00181_02</t>
        </is>
      </c>
      <c r="B469" s="2" t="inlineStr">
        <is>
          <t>PED00181</t>
        </is>
      </c>
      <c r="C469" s="2" t="inlineStr">
        <is>
          <t>P031</t>
        </is>
      </c>
      <c r="D469" s="2" t="n">
        <v>3</v>
      </c>
      <c r="E469" s="19" t="n">
        <v>0</v>
      </c>
    </row>
    <row r="470">
      <c r="A470" s="2" t="inlineStr">
        <is>
          <t>IT00181_03</t>
        </is>
      </c>
      <c r="B470" s="2" t="inlineStr">
        <is>
          <t>PED00181</t>
        </is>
      </c>
      <c r="C470" s="2" t="inlineStr">
        <is>
          <t>P056</t>
        </is>
      </c>
      <c r="D470" s="2" t="n">
        <v>1</v>
      </c>
      <c r="E470" s="19" t="n">
        <v>0</v>
      </c>
    </row>
    <row r="471">
      <c r="A471" s="2" t="inlineStr">
        <is>
          <t>IT00181_04</t>
        </is>
      </c>
      <c r="B471" s="2" t="inlineStr">
        <is>
          <t>PED00181</t>
        </is>
      </c>
      <c r="C471" s="2" t="inlineStr">
        <is>
          <t>P049</t>
        </is>
      </c>
      <c r="D471" s="2" t="n">
        <v>1</v>
      </c>
      <c r="E471" s="19" t="n">
        <v>0.05</v>
      </c>
    </row>
    <row r="472">
      <c r="A472" s="2" t="inlineStr">
        <is>
          <t>IT00182_01</t>
        </is>
      </c>
      <c r="B472" s="2" t="inlineStr">
        <is>
          <t>PED00182</t>
        </is>
      </c>
      <c r="C472" s="2" t="inlineStr">
        <is>
          <t>P051</t>
        </is>
      </c>
      <c r="D472" s="2" t="n">
        <v>1</v>
      </c>
      <c r="E472" s="19" t="n">
        <v>0.05</v>
      </c>
    </row>
    <row r="473">
      <c r="A473" s="2" t="inlineStr">
        <is>
          <t>IT00182_02</t>
        </is>
      </c>
      <c r="B473" s="2" t="inlineStr">
        <is>
          <t>PED00182</t>
        </is>
      </c>
      <c r="C473" s="2" t="inlineStr">
        <is>
          <t>P013</t>
        </is>
      </c>
      <c r="D473" s="2" t="n">
        <v>2</v>
      </c>
      <c r="E473" s="19" t="n">
        <v>0</v>
      </c>
    </row>
    <row r="474">
      <c r="A474" s="2" t="inlineStr">
        <is>
          <t>IT00182_03</t>
        </is>
      </c>
      <c r="B474" s="2" t="inlineStr">
        <is>
          <t>PED00182</t>
        </is>
      </c>
      <c r="C474" s="2" t="inlineStr">
        <is>
          <t>P021</t>
        </is>
      </c>
      <c r="D474" s="2" t="n">
        <v>2</v>
      </c>
      <c r="E474" s="19" t="n">
        <v>0</v>
      </c>
    </row>
    <row r="475">
      <c r="A475" s="2" t="inlineStr">
        <is>
          <t>IT00183_01</t>
        </is>
      </c>
      <c r="B475" s="2" t="inlineStr">
        <is>
          <t>PED00183</t>
        </is>
      </c>
      <c r="C475" s="2" t="inlineStr">
        <is>
          <t>P026</t>
        </is>
      </c>
      <c r="D475" s="2" t="n">
        <v>5</v>
      </c>
      <c r="E475" s="19" t="n">
        <v>0</v>
      </c>
    </row>
    <row r="476">
      <c r="A476" s="2" t="inlineStr">
        <is>
          <t>IT00183_02</t>
        </is>
      </c>
      <c r="B476" s="2" t="inlineStr">
        <is>
          <t>PED00183</t>
        </is>
      </c>
      <c r="C476" s="2" t="inlineStr">
        <is>
          <t>P069</t>
        </is>
      </c>
      <c r="D476" s="2" t="n">
        <v>1</v>
      </c>
      <c r="E476" s="19" t="n">
        <v>0</v>
      </c>
    </row>
    <row r="477">
      <c r="A477" s="2" t="inlineStr">
        <is>
          <t>IT00183_03</t>
        </is>
      </c>
      <c r="B477" s="2" t="inlineStr">
        <is>
          <t>PED00183</t>
        </is>
      </c>
      <c r="C477" s="2" t="inlineStr">
        <is>
          <t>P023</t>
        </is>
      </c>
      <c r="D477" s="2" t="n">
        <v>3</v>
      </c>
      <c r="E477" s="19" t="n">
        <v>0</v>
      </c>
    </row>
    <row r="478">
      <c r="A478" s="2" t="inlineStr">
        <is>
          <t>IT00184_01</t>
        </is>
      </c>
      <c r="B478" s="2" t="inlineStr">
        <is>
          <t>PED00184</t>
        </is>
      </c>
      <c r="C478" s="2" t="inlineStr">
        <is>
          <t>P044</t>
        </is>
      </c>
      <c r="D478" s="2" t="n">
        <v>3</v>
      </c>
      <c r="E478" s="19" t="n">
        <v>0</v>
      </c>
    </row>
    <row r="479">
      <c r="A479" s="2" t="inlineStr">
        <is>
          <t>IT00184_02</t>
        </is>
      </c>
      <c r="B479" s="2" t="inlineStr">
        <is>
          <t>PED00184</t>
        </is>
      </c>
      <c r="C479" s="2" t="inlineStr">
        <is>
          <t>P054</t>
        </is>
      </c>
      <c r="D479" s="2" t="n">
        <v>1</v>
      </c>
      <c r="E479" s="19" t="n">
        <v>0</v>
      </c>
    </row>
    <row r="480">
      <c r="A480" s="2" t="inlineStr">
        <is>
          <t>IT00184_03</t>
        </is>
      </c>
      <c r="B480" s="2" t="inlineStr">
        <is>
          <t>PED00184</t>
        </is>
      </c>
      <c r="C480" s="2" t="inlineStr">
        <is>
          <t>P052</t>
        </is>
      </c>
      <c r="D480" s="2" t="n">
        <v>1</v>
      </c>
      <c r="E480" s="19" t="n">
        <v>0</v>
      </c>
    </row>
    <row r="481">
      <c r="A481" s="2" t="inlineStr">
        <is>
          <t>IT00185_01</t>
        </is>
      </c>
      <c r="B481" s="2" t="inlineStr">
        <is>
          <t>PED00185</t>
        </is>
      </c>
      <c r="C481" s="2" t="inlineStr">
        <is>
          <t>P067</t>
        </is>
      </c>
      <c r="D481" s="2" t="n">
        <v>1</v>
      </c>
      <c r="E481" s="19" t="n">
        <v>0</v>
      </c>
    </row>
    <row r="482">
      <c r="A482" s="2" t="inlineStr">
        <is>
          <t>IT00185_02</t>
        </is>
      </c>
      <c r="B482" s="2" t="inlineStr">
        <is>
          <t>PED00185</t>
        </is>
      </c>
      <c r="C482" s="2" t="inlineStr">
        <is>
          <t>P058</t>
        </is>
      </c>
      <c r="D482" s="2" t="n">
        <v>1</v>
      </c>
      <c r="E482" s="19" t="n">
        <v>0.02</v>
      </c>
    </row>
    <row r="483">
      <c r="A483" s="2" t="inlineStr">
        <is>
          <t>IT00186_01</t>
        </is>
      </c>
      <c r="B483" s="2" t="inlineStr">
        <is>
          <t>PED00186</t>
        </is>
      </c>
      <c r="C483" s="2" t="inlineStr">
        <is>
          <t>P061</t>
        </is>
      </c>
      <c r="D483" s="2" t="n">
        <v>3</v>
      </c>
      <c r="E483" s="19" t="n">
        <v>0</v>
      </c>
    </row>
    <row r="484">
      <c r="A484" s="2" t="inlineStr">
        <is>
          <t>IT00186_02</t>
        </is>
      </c>
      <c r="B484" s="2" t="inlineStr">
        <is>
          <t>PED00186</t>
        </is>
      </c>
      <c r="C484" s="2" t="inlineStr">
        <is>
          <t>P007</t>
        </is>
      </c>
      <c r="D484" s="2" t="n">
        <v>1</v>
      </c>
      <c r="E484" s="19" t="n">
        <v>0</v>
      </c>
    </row>
    <row r="485">
      <c r="A485" s="2" t="inlineStr">
        <is>
          <t>IT00186_03</t>
        </is>
      </c>
      <c r="B485" s="2" t="inlineStr">
        <is>
          <t>PED00186</t>
        </is>
      </c>
      <c r="C485" s="2" t="inlineStr">
        <is>
          <t>P004</t>
        </is>
      </c>
      <c r="D485" s="2" t="n">
        <v>2</v>
      </c>
      <c r="E485" s="19" t="n">
        <v>0.05</v>
      </c>
    </row>
    <row r="486">
      <c r="A486" s="2" t="inlineStr">
        <is>
          <t>IT00186_04</t>
        </is>
      </c>
      <c r="B486" s="2" t="inlineStr">
        <is>
          <t>PED00186</t>
        </is>
      </c>
      <c r="C486" s="2" t="inlineStr">
        <is>
          <t>P051</t>
        </is>
      </c>
      <c r="D486" s="2" t="n">
        <v>1</v>
      </c>
      <c r="E486" s="19" t="n">
        <v>0</v>
      </c>
    </row>
    <row r="487">
      <c r="A487" s="2" t="inlineStr">
        <is>
          <t>IT00186_05</t>
        </is>
      </c>
      <c r="B487" s="2" t="inlineStr">
        <is>
          <t>PED00186</t>
        </is>
      </c>
      <c r="C487" s="2" t="inlineStr">
        <is>
          <t>P068</t>
        </is>
      </c>
      <c r="D487" s="2" t="n">
        <v>1</v>
      </c>
      <c r="E487" s="19" t="n">
        <v>0</v>
      </c>
    </row>
    <row r="488">
      <c r="A488" s="2" t="inlineStr">
        <is>
          <t>IT00187_01</t>
        </is>
      </c>
      <c r="B488" s="2" t="inlineStr">
        <is>
          <t>PED00187</t>
        </is>
      </c>
      <c r="C488" s="2" t="inlineStr">
        <is>
          <t>P061</t>
        </is>
      </c>
      <c r="D488" s="2" t="n">
        <v>5</v>
      </c>
      <c r="E488" s="19" t="n">
        <v>0</v>
      </c>
    </row>
    <row r="489">
      <c r="A489" s="2" t="inlineStr">
        <is>
          <t>IT00187_02</t>
        </is>
      </c>
      <c r="B489" s="2" t="inlineStr">
        <is>
          <t>PED00187</t>
        </is>
      </c>
      <c r="C489" s="2" t="inlineStr">
        <is>
          <t>P060</t>
        </is>
      </c>
      <c r="D489" s="2" t="n">
        <v>1</v>
      </c>
      <c r="E489" s="19" t="n">
        <v>0</v>
      </c>
    </row>
    <row r="490">
      <c r="A490" s="2" t="inlineStr">
        <is>
          <t>IT00188_01</t>
        </is>
      </c>
      <c r="B490" s="2" t="inlineStr">
        <is>
          <t>PED00188</t>
        </is>
      </c>
      <c r="C490" s="2" t="inlineStr">
        <is>
          <t>P056</t>
        </is>
      </c>
      <c r="D490" s="2" t="n">
        <v>4</v>
      </c>
      <c r="E490" s="19" t="n">
        <v>0</v>
      </c>
    </row>
    <row r="491">
      <c r="A491" s="2" t="inlineStr">
        <is>
          <t>IT00188_02</t>
        </is>
      </c>
      <c r="B491" s="2" t="inlineStr">
        <is>
          <t>PED00188</t>
        </is>
      </c>
      <c r="C491" s="2" t="inlineStr">
        <is>
          <t>P068</t>
        </is>
      </c>
      <c r="D491" s="2" t="n">
        <v>1</v>
      </c>
      <c r="E491" s="19" t="n">
        <v>0</v>
      </c>
    </row>
    <row r="492">
      <c r="A492" s="2" t="inlineStr">
        <is>
          <t>IT00188_03</t>
        </is>
      </c>
      <c r="B492" s="2" t="inlineStr">
        <is>
          <t>PED00188</t>
        </is>
      </c>
      <c r="C492" s="2" t="inlineStr">
        <is>
          <t>P069</t>
        </is>
      </c>
      <c r="D492" s="2" t="n">
        <v>1</v>
      </c>
      <c r="E492" s="19" t="n">
        <v>0</v>
      </c>
    </row>
    <row r="493">
      <c r="A493" s="2" t="inlineStr">
        <is>
          <t>IT00188_04</t>
        </is>
      </c>
      <c r="B493" s="2" t="inlineStr">
        <is>
          <t>PED00188</t>
        </is>
      </c>
      <c r="C493" s="2" t="inlineStr">
        <is>
          <t>P040</t>
        </is>
      </c>
      <c r="D493" s="2" t="n">
        <v>1</v>
      </c>
      <c r="E493" s="19" t="n">
        <v>0</v>
      </c>
    </row>
    <row r="494">
      <c r="A494" s="2" t="inlineStr">
        <is>
          <t>IT00189_01</t>
        </is>
      </c>
      <c r="B494" s="2" t="inlineStr">
        <is>
          <t>PED00189</t>
        </is>
      </c>
      <c r="C494" s="2" t="inlineStr">
        <is>
          <t>P062</t>
        </is>
      </c>
      <c r="D494" s="2" t="n">
        <v>1</v>
      </c>
      <c r="E494" s="19" t="n">
        <v>0</v>
      </c>
    </row>
    <row r="495">
      <c r="A495" s="2" t="inlineStr">
        <is>
          <t>IT00189_02</t>
        </is>
      </c>
      <c r="B495" s="2" t="inlineStr">
        <is>
          <t>PED00189</t>
        </is>
      </c>
      <c r="C495" s="2" t="inlineStr">
        <is>
          <t>P039</t>
        </is>
      </c>
      <c r="D495" s="2" t="n">
        <v>1</v>
      </c>
      <c r="E495" s="19" t="n">
        <v>0</v>
      </c>
    </row>
    <row r="496">
      <c r="A496" s="2" t="inlineStr">
        <is>
          <t>IT00190_01</t>
        </is>
      </c>
      <c r="B496" s="2" t="inlineStr">
        <is>
          <t>PED00190</t>
        </is>
      </c>
      <c r="C496" s="2" t="inlineStr">
        <is>
          <t>P050</t>
        </is>
      </c>
      <c r="D496" s="2" t="n">
        <v>1</v>
      </c>
      <c r="E496" s="19" t="n">
        <v>0</v>
      </c>
    </row>
    <row r="497">
      <c r="A497" s="2" t="inlineStr">
        <is>
          <t>IT00190_02</t>
        </is>
      </c>
      <c r="B497" s="2" t="inlineStr">
        <is>
          <t>PED00190</t>
        </is>
      </c>
      <c r="C497" s="2" t="inlineStr">
        <is>
          <t>P049</t>
        </is>
      </c>
      <c r="D497" s="2" t="n">
        <v>2</v>
      </c>
      <c r="E497" s="19" t="n">
        <v>0</v>
      </c>
    </row>
    <row r="498">
      <c r="A498" s="2" t="inlineStr">
        <is>
          <t>IT00191_01</t>
        </is>
      </c>
      <c r="B498" s="2" t="inlineStr">
        <is>
          <t>PED00191</t>
        </is>
      </c>
      <c r="C498" s="2" t="inlineStr">
        <is>
          <t>P009</t>
        </is>
      </c>
      <c r="D498" s="2" t="n">
        <v>1</v>
      </c>
      <c r="E498" s="19" t="n">
        <v>0</v>
      </c>
    </row>
    <row r="499">
      <c r="A499" s="2" t="inlineStr">
        <is>
          <t>IT00192_01</t>
        </is>
      </c>
      <c r="B499" s="2" t="inlineStr">
        <is>
          <t>PED00192</t>
        </is>
      </c>
      <c r="C499" s="2" t="inlineStr">
        <is>
          <t>P007</t>
        </is>
      </c>
      <c r="D499" s="2" t="n">
        <v>5</v>
      </c>
      <c r="E499" s="19" t="n">
        <v>0</v>
      </c>
    </row>
    <row r="500">
      <c r="A500" s="2" t="inlineStr">
        <is>
          <t>IT00193_01</t>
        </is>
      </c>
      <c r="B500" s="2" t="inlineStr">
        <is>
          <t>PED00193</t>
        </is>
      </c>
      <c r="C500" s="2" t="inlineStr">
        <is>
          <t>P002</t>
        </is>
      </c>
      <c r="D500" s="2" t="n">
        <v>2</v>
      </c>
      <c r="E500" s="19" t="n">
        <v>0</v>
      </c>
    </row>
    <row r="501">
      <c r="A501" s="2" t="inlineStr">
        <is>
          <t>IT00194_01</t>
        </is>
      </c>
      <c r="B501" s="2" t="inlineStr">
        <is>
          <t>PED00194</t>
        </is>
      </c>
      <c r="C501" s="2" t="inlineStr">
        <is>
          <t>P019</t>
        </is>
      </c>
      <c r="D501" s="2" t="n">
        <v>1</v>
      </c>
      <c r="E501" s="19" t="n">
        <v>0</v>
      </c>
    </row>
    <row r="502">
      <c r="A502" s="2" t="inlineStr">
        <is>
          <t>IT00194_02</t>
        </is>
      </c>
      <c r="B502" s="2" t="inlineStr">
        <is>
          <t>PED00194</t>
        </is>
      </c>
      <c r="C502" s="2" t="inlineStr">
        <is>
          <t>P008</t>
        </is>
      </c>
      <c r="D502" s="2" t="n">
        <v>1</v>
      </c>
      <c r="E502" s="19" t="n">
        <v>0.05</v>
      </c>
    </row>
    <row r="503">
      <c r="A503" s="2" t="inlineStr">
        <is>
          <t>IT00194_03</t>
        </is>
      </c>
      <c r="B503" s="2" t="inlineStr">
        <is>
          <t>PED00194</t>
        </is>
      </c>
      <c r="C503" s="2" t="inlineStr">
        <is>
          <t>P035</t>
        </is>
      </c>
      <c r="D503" s="2" t="n">
        <v>3</v>
      </c>
      <c r="E503" s="19" t="n">
        <v>0.05</v>
      </c>
    </row>
    <row r="504">
      <c r="A504" s="2" t="inlineStr">
        <is>
          <t>IT00194_04</t>
        </is>
      </c>
      <c r="B504" s="2" t="inlineStr">
        <is>
          <t>PED00194</t>
        </is>
      </c>
      <c r="C504" s="2" t="inlineStr">
        <is>
          <t>P051</t>
        </is>
      </c>
      <c r="D504" s="2" t="n">
        <v>1</v>
      </c>
      <c r="E504" s="19" t="n">
        <v>0.02</v>
      </c>
    </row>
    <row r="505">
      <c r="A505" s="2" t="inlineStr">
        <is>
          <t>IT00195_01</t>
        </is>
      </c>
      <c r="B505" s="2" t="inlineStr">
        <is>
          <t>PED00195</t>
        </is>
      </c>
      <c r="C505" s="2" t="inlineStr">
        <is>
          <t>P013</t>
        </is>
      </c>
      <c r="D505" s="2" t="n">
        <v>2</v>
      </c>
      <c r="E505" s="19" t="n">
        <v>0.02</v>
      </c>
    </row>
    <row r="506">
      <c r="A506" s="2" t="inlineStr">
        <is>
          <t>IT00195_02</t>
        </is>
      </c>
      <c r="B506" s="2" t="inlineStr">
        <is>
          <t>PED00195</t>
        </is>
      </c>
      <c r="C506" s="2" t="inlineStr">
        <is>
          <t>P067</t>
        </is>
      </c>
      <c r="D506" s="2" t="n">
        <v>1</v>
      </c>
      <c r="E506" s="19" t="n">
        <v>0</v>
      </c>
    </row>
    <row r="507">
      <c r="A507" s="2" t="inlineStr">
        <is>
          <t>IT00195_03</t>
        </is>
      </c>
      <c r="B507" s="2" t="inlineStr">
        <is>
          <t>PED00195</t>
        </is>
      </c>
      <c r="C507" s="2" t="inlineStr">
        <is>
          <t>P027</t>
        </is>
      </c>
      <c r="D507" s="2" t="n">
        <v>2</v>
      </c>
      <c r="E507" s="19" t="n">
        <v>0</v>
      </c>
    </row>
    <row r="508">
      <c r="A508" s="2" t="inlineStr">
        <is>
          <t>IT00196_01</t>
        </is>
      </c>
      <c r="B508" s="2" t="inlineStr">
        <is>
          <t>PED00196</t>
        </is>
      </c>
      <c r="C508" s="2" t="inlineStr">
        <is>
          <t>P028</t>
        </is>
      </c>
      <c r="D508" s="2" t="n">
        <v>1</v>
      </c>
      <c r="E508" s="19" t="n">
        <v>0</v>
      </c>
    </row>
    <row r="509">
      <c r="A509" s="2" t="inlineStr">
        <is>
          <t>IT00196_02</t>
        </is>
      </c>
      <c r="B509" s="2" t="inlineStr">
        <is>
          <t>PED00196</t>
        </is>
      </c>
      <c r="C509" s="2" t="inlineStr">
        <is>
          <t>P015</t>
        </is>
      </c>
      <c r="D509" s="2" t="n">
        <v>1</v>
      </c>
      <c r="E509" s="19" t="n">
        <v>0</v>
      </c>
    </row>
    <row r="510">
      <c r="A510" s="2" t="inlineStr">
        <is>
          <t>IT00196_03</t>
        </is>
      </c>
      <c r="B510" s="2" t="inlineStr">
        <is>
          <t>PED00196</t>
        </is>
      </c>
      <c r="C510" s="2" t="inlineStr">
        <is>
          <t>P031</t>
        </is>
      </c>
      <c r="D510" s="2" t="n">
        <v>3</v>
      </c>
      <c r="E510" s="19" t="n">
        <v>0</v>
      </c>
    </row>
    <row r="511">
      <c r="A511" s="2" t="inlineStr">
        <is>
          <t>IT00196_04</t>
        </is>
      </c>
      <c r="B511" s="2" t="inlineStr">
        <is>
          <t>PED00196</t>
        </is>
      </c>
      <c r="C511" s="2" t="inlineStr">
        <is>
          <t>P056</t>
        </is>
      </c>
      <c r="D511" s="2" t="n">
        <v>1</v>
      </c>
      <c r="E511" s="19" t="n">
        <v>0.02</v>
      </c>
    </row>
    <row r="512">
      <c r="A512" s="2" t="inlineStr">
        <is>
          <t>IT00197_01</t>
        </is>
      </c>
      <c r="B512" s="2" t="inlineStr">
        <is>
          <t>PED00197</t>
        </is>
      </c>
      <c r="C512" s="2" t="inlineStr">
        <is>
          <t>P044</t>
        </is>
      </c>
      <c r="D512" s="2" t="n">
        <v>5</v>
      </c>
      <c r="E512" s="19" t="n">
        <v>0.1</v>
      </c>
    </row>
    <row r="513">
      <c r="A513" s="2" t="inlineStr">
        <is>
          <t>IT00198_01</t>
        </is>
      </c>
      <c r="B513" s="2" t="inlineStr">
        <is>
          <t>PED00198</t>
        </is>
      </c>
      <c r="C513" s="2" t="inlineStr">
        <is>
          <t>P063</t>
        </is>
      </c>
      <c r="D513" s="2" t="n">
        <v>1</v>
      </c>
      <c r="E513" s="19" t="n">
        <v>0.1</v>
      </c>
    </row>
    <row r="514">
      <c r="A514" s="2" t="inlineStr">
        <is>
          <t>IT00199_01</t>
        </is>
      </c>
      <c r="B514" s="2" t="inlineStr">
        <is>
          <t>PED00199</t>
        </is>
      </c>
      <c r="C514" s="2" t="inlineStr">
        <is>
          <t>P033</t>
        </is>
      </c>
      <c r="D514" s="2" t="n">
        <v>3</v>
      </c>
      <c r="E514" s="19" t="n">
        <v>0</v>
      </c>
    </row>
    <row r="515">
      <c r="A515" s="2" t="inlineStr">
        <is>
          <t>IT00199_02</t>
        </is>
      </c>
      <c r="B515" s="2" t="inlineStr">
        <is>
          <t>PED00199</t>
        </is>
      </c>
      <c r="C515" s="2" t="inlineStr">
        <is>
          <t>P006</t>
        </is>
      </c>
      <c r="D515" s="2" t="n">
        <v>2</v>
      </c>
      <c r="E515" s="19" t="n">
        <v>0</v>
      </c>
    </row>
    <row r="516">
      <c r="A516" s="2" t="inlineStr">
        <is>
          <t>IT00199_03</t>
        </is>
      </c>
      <c r="B516" s="2" t="inlineStr">
        <is>
          <t>PED00199</t>
        </is>
      </c>
      <c r="C516" s="2" t="inlineStr">
        <is>
          <t>P063</t>
        </is>
      </c>
      <c r="D516" s="2" t="n">
        <v>2</v>
      </c>
      <c r="E516" s="19" t="n">
        <v>0</v>
      </c>
    </row>
    <row r="517">
      <c r="A517" s="2" t="inlineStr">
        <is>
          <t>IT00200_01</t>
        </is>
      </c>
      <c r="B517" s="2" t="inlineStr">
        <is>
          <t>PED00200</t>
        </is>
      </c>
      <c r="C517" s="2" t="inlineStr">
        <is>
          <t>P068</t>
        </is>
      </c>
      <c r="D517" s="2" t="n">
        <v>1</v>
      </c>
      <c r="E517" s="19" t="n">
        <v>0</v>
      </c>
    </row>
    <row r="518">
      <c r="A518" s="2" t="inlineStr">
        <is>
          <t>IT00201_01</t>
        </is>
      </c>
      <c r="B518" s="2" t="inlineStr">
        <is>
          <t>PED00201</t>
        </is>
      </c>
      <c r="C518" s="2" t="inlineStr">
        <is>
          <t>P003</t>
        </is>
      </c>
      <c r="D518" s="2" t="n">
        <v>1</v>
      </c>
      <c r="E518" s="19" t="n">
        <v>0</v>
      </c>
    </row>
    <row r="519">
      <c r="A519" s="2" t="inlineStr">
        <is>
          <t>IT00201_02</t>
        </is>
      </c>
      <c r="B519" s="2" t="inlineStr">
        <is>
          <t>PED00201</t>
        </is>
      </c>
      <c r="C519" s="2" t="inlineStr">
        <is>
          <t>P047</t>
        </is>
      </c>
      <c r="D519" s="2" t="n">
        <v>5</v>
      </c>
      <c r="E519" s="19" t="n">
        <v>0.05</v>
      </c>
    </row>
    <row r="520">
      <c r="A520" s="2" t="inlineStr">
        <is>
          <t>IT00201_03</t>
        </is>
      </c>
      <c r="B520" s="2" t="inlineStr">
        <is>
          <t>PED00201</t>
        </is>
      </c>
      <c r="C520" s="2" t="inlineStr">
        <is>
          <t>P031</t>
        </is>
      </c>
      <c r="D520" s="2" t="n">
        <v>1</v>
      </c>
      <c r="E520" s="19" t="n">
        <v>0.02</v>
      </c>
    </row>
    <row r="521">
      <c r="A521" s="2" t="inlineStr">
        <is>
          <t>IT00202_01</t>
        </is>
      </c>
      <c r="B521" s="2" t="inlineStr">
        <is>
          <t>PED00202</t>
        </is>
      </c>
      <c r="C521" s="2" t="inlineStr">
        <is>
          <t>P009</t>
        </is>
      </c>
      <c r="D521" s="2" t="n">
        <v>3</v>
      </c>
      <c r="E521" s="19" t="n">
        <v>0</v>
      </c>
    </row>
    <row r="522">
      <c r="A522" s="2" t="inlineStr">
        <is>
          <t>IT00202_02</t>
        </is>
      </c>
      <c r="B522" s="2" t="inlineStr">
        <is>
          <t>PED00202</t>
        </is>
      </c>
      <c r="C522" s="2" t="inlineStr">
        <is>
          <t>P006</t>
        </is>
      </c>
      <c r="D522" s="2" t="n">
        <v>4</v>
      </c>
      <c r="E522" s="19" t="n">
        <v>0</v>
      </c>
    </row>
    <row r="523">
      <c r="A523" s="2" t="inlineStr">
        <is>
          <t>IT00203_01</t>
        </is>
      </c>
      <c r="B523" s="2" t="inlineStr">
        <is>
          <t>PED00203</t>
        </is>
      </c>
      <c r="C523" s="2" t="inlineStr">
        <is>
          <t>P033</t>
        </is>
      </c>
      <c r="D523" s="2" t="n">
        <v>1</v>
      </c>
      <c r="E523" s="19" t="n">
        <v>0</v>
      </c>
    </row>
    <row r="524">
      <c r="A524" s="2" t="inlineStr">
        <is>
          <t>IT00203_02</t>
        </is>
      </c>
      <c r="B524" s="2" t="inlineStr">
        <is>
          <t>PED00203</t>
        </is>
      </c>
      <c r="C524" s="2" t="inlineStr">
        <is>
          <t>P007</t>
        </is>
      </c>
      <c r="D524" s="2" t="n">
        <v>1</v>
      </c>
      <c r="E524" s="19" t="n">
        <v>0.05</v>
      </c>
    </row>
    <row r="525">
      <c r="A525" s="2" t="inlineStr">
        <is>
          <t>IT00204_01</t>
        </is>
      </c>
      <c r="B525" s="2" t="inlineStr">
        <is>
          <t>PED00204</t>
        </is>
      </c>
      <c r="C525" s="2" t="inlineStr">
        <is>
          <t>P047</t>
        </is>
      </c>
      <c r="D525" s="2" t="n">
        <v>3</v>
      </c>
      <c r="E525" s="19" t="n">
        <v>0</v>
      </c>
    </row>
    <row r="526">
      <c r="A526" s="2" t="inlineStr">
        <is>
          <t>IT00204_02</t>
        </is>
      </c>
      <c r="B526" s="2" t="inlineStr">
        <is>
          <t>PED00204</t>
        </is>
      </c>
      <c r="C526" s="2" t="inlineStr">
        <is>
          <t>P054</t>
        </is>
      </c>
      <c r="D526" s="2" t="n">
        <v>2</v>
      </c>
      <c r="E526" s="19" t="n">
        <v>0</v>
      </c>
    </row>
    <row r="527">
      <c r="A527" s="2" t="inlineStr">
        <is>
          <t>IT00204_03</t>
        </is>
      </c>
      <c r="B527" s="2" t="inlineStr">
        <is>
          <t>PED00204</t>
        </is>
      </c>
      <c r="C527" s="2" t="inlineStr">
        <is>
          <t>P048</t>
        </is>
      </c>
      <c r="D527" s="2" t="n">
        <v>3</v>
      </c>
      <c r="E527" s="19" t="n">
        <v>0.05</v>
      </c>
    </row>
    <row r="528">
      <c r="A528" s="2" t="inlineStr">
        <is>
          <t>IT00205_01</t>
        </is>
      </c>
      <c r="B528" s="2" t="inlineStr">
        <is>
          <t>PED00205</t>
        </is>
      </c>
      <c r="C528" s="2" t="inlineStr">
        <is>
          <t>P032</t>
        </is>
      </c>
      <c r="D528" s="2" t="n">
        <v>2</v>
      </c>
      <c r="E528" s="19" t="n">
        <v>0.05</v>
      </c>
    </row>
    <row r="529">
      <c r="A529" s="2" t="inlineStr">
        <is>
          <t>IT00206_01</t>
        </is>
      </c>
      <c r="B529" s="2" t="inlineStr">
        <is>
          <t>PED00206</t>
        </is>
      </c>
      <c r="C529" s="2" t="inlineStr">
        <is>
          <t>P055</t>
        </is>
      </c>
      <c r="D529" s="2" t="n">
        <v>3</v>
      </c>
      <c r="E529" s="19" t="n">
        <v>0</v>
      </c>
    </row>
    <row r="530">
      <c r="A530" s="2" t="inlineStr">
        <is>
          <t>IT00206_02</t>
        </is>
      </c>
      <c r="B530" s="2" t="inlineStr">
        <is>
          <t>PED00206</t>
        </is>
      </c>
      <c r="C530" s="2" t="inlineStr">
        <is>
          <t>P014</t>
        </is>
      </c>
      <c r="D530" s="2" t="n">
        <v>2</v>
      </c>
      <c r="E530" s="19" t="n">
        <v>0.02</v>
      </c>
    </row>
    <row r="531">
      <c r="A531" s="2" t="inlineStr">
        <is>
          <t>IT00206_03</t>
        </is>
      </c>
      <c r="B531" s="2" t="inlineStr">
        <is>
          <t>PED00206</t>
        </is>
      </c>
      <c r="C531" s="2" t="inlineStr">
        <is>
          <t>P022</t>
        </is>
      </c>
      <c r="D531" s="2" t="n">
        <v>2</v>
      </c>
      <c r="E531" s="19" t="n">
        <v>0</v>
      </c>
    </row>
    <row r="532">
      <c r="A532" s="2" t="inlineStr">
        <is>
          <t>IT00207_01</t>
        </is>
      </c>
      <c r="B532" s="2" t="inlineStr">
        <is>
          <t>PED00207</t>
        </is>
      </c>
      <c r="C532" s="2" t="inlineStr">
        <is>
          <t>P042</t>
        </is>
      </c>
      <c r="D532" s="2" t="n">
        <v>1</v>
      </c>
      <c r="E532" s="19" t="n">
        <v>0</v>
      </c>
    </row>
    <row r="533">
      <c r="A533" s="2" t="inlineStr">
        <is>
          <t>IT00207_02</t>
        </is>
      </c>
      <c r="B533" s="2" t="inlineStr">
        <is>
          <t>PED00207</t>
        </is>
      </c>
      <c r="C533" s="2" t="inlineStr">
        <is>
          <t>P031</t>
        </is>
      </c>
      <c r="D533" s="2" t="n">
        <v>3</v>
      </c>
      <c r="E533" s="19" t="n">
        <v>0</v>
      </c>
    </row>
    <row r="534">
      <c r="A534" s="2" t="inlineStr">
        <is>
          <t>IT00207_03</t>
        </is>
      </c>
      <c r="B534" s="2" t="inlineStr">
        <is>
          <t>PED00207</t>
        </is>
      </c>
      <c r="C534" s="2" t="inlineStr">
        <is>
          <t>P070</t>
        </is>
      </c>
      <c r="D534" s="2" t="n">
        <v>2</v>
      </c>
      <c r="E534" s="19" t="n">
        <v>0.1</v>
      </c>
    </row>
    <row r="535">
      <c r="A535" s="2" t="inlineStr">
        <is>
          <t>IT00207_04</t>
        </is>
      </c>
      <c r="B535" s="2" t="inlineStr">
        <is>
          <t>PED00207</t>
        </is>
      </c>
      <c r="C535" s="2" t="inlineStr">
        <is>
          <t>P028</t>
        </is>
      </c>
      <c r="D535" s="2" t="n">
        <v>1</v>
      </c>
      <c r="E535" s="19" t="n">
        <v>0</v>
      </c>
    </row>
    <row r="536">
      <c r="A536" s="2" t="inlineStr">
        <is>
          <t>IT00208_01</t>
        </is>
      </c>
      <c r="B536" s="2" t="inlineStr">
        <is>
          <t>PED00208</t>
        </is>
      </c>
      <c r="C536" s="2" t="inlineStr">
        <is>
          <t>P029</t>
        </is>
      </c>
      <c r="D536" s="2" t="n">
        <v>4</v>
      </c>
      <c r="E536" s="19" t="n">
        <v>0</v>
      </c>
    </row>
    <row r="537">
      <c r="A537" s="2" t="inlineStr">
        <is>
          <t>IT00208_02</t>
        </is>
      </c>
      <c r="B537" s="2" t="inlineStr">
        <is>
          <t>PED00208</t>
        </is>
      </c>
      <c r="C537" s="2" t="inlineStr">
        <is>
          <t>P028</t>
        </is>
      </c>
      <c r="D537" s="2" t="n">
        <v>3</v>
      </c>
      <c r="E537" s="19" t="n">
        <v>0.02</v>
      </c>
    </row>
    <row r="538">
      <c r="A538" s="2" t="inlineStr">
        <is>
          <t>IT00209_01</t>
        </is>
      </c>
      <c r="B538" s="2" t="inlineStr">
        <is>
          <t>PED00209</t>
        </is>
      </c>
      <c r="C538" s="2" t="inlineStr">
        <is>
          <t>P032</t>
        </is>
      </c>
      <c r="D538" s="2" t="n">
        <v>1</v>
      </c>
      <c r="E538" s="19" t="n">
        <v>0</v>
      </c>
    </row>
    <row r="539">
      <c r="A539" s="2" t="inlineStr">
        <is>
          <t>IT00209_02</t>
        </is>
      </c>
      <c r="B539" s="2" t="inlineStr">
        <is>
          <t>PED00209</t>
        </is>
      </c>
      <c r="C539" s="2" t="inlineStr">
        <is>
          <t>P030</t>
        </is>
      </c>
      <c r="D539" s="2" t="n">
        <v>2</v>
      </c>
      <c r="E539" s="19" t="n">
        <v>0</v>
      </c>
    </row>
    <row r="540">
      <c r="A540" s="2" t="inlineStr">
        <is>
          <t>IT00210_01</t>
        </is>
      </c>
      <c r="B540" s="2" t="inlineStr">
        <is>
          <t>PED00210</t>
        </is>
      </c>
      <c r="C540" s="2" t="inlineStr">
        <is>
          <t>P013</t>
        </is>
      </c>
      <c r="D540" s="2" t="n">
        <v>3</v>
      </c>
      <c r="E540" s="19" t="n">
        <v>0</v>
      </c>
    </row>
    <row r="541">
      <c r="A541" s="2" t="inlineStr">
        <is>
          <t>IT00210_02</t>
        </is>
      </c>
      <c r="B541" s="2" t="inlineStr">
        <is>
          <t>PED00210</t>
        </is>
      </c>
      <c r="C541" s="2" t="inlineStr">
        <is>
          <t>P039</t>
        </is>
      </c>
      <c r="D541" s="2" t="n">
        <v>1</v>
      </c>
      <c r="E541" s="19" t="n">
        <v>0</v>
      </c>
    </row>
    <row r="542">
      <c r="A542" s="2" t="inlineStr">
        <is>
          <t>IT00210_03</t>
        </is>
      </c>
      <c r="B542" s="2" t="inlineStr">
        <is>
          <t>PED00210</t>
        </is>
      </c>
      <c r="C542" s="2" t="inlineStr">
        <is>
          <t>P005</t>
        </is>
      </c>
      <c r="D542" s="2" t="n">
        <v>3</v>
      </c>
      <c r="E542" s="19" t="n">
        <v>0</v>
      </c>
    </row>
    <row r="543">
      <c r="A543" s="2" t="inlineStr">
        <is>
          <t>IT00211_01</t>
        </is>
      </c>
      <c r="B543" s="2" t="inlineStr">
        <is>
          <t>PED00211</t>
        </is>
      </c>
      <c r="C543" s="2" t="inlineStr">
        <is>
          <t>P002</t>
        </is>
      </c>
      <c r="D543" s="2" t="n">
        <v>1</v>
      </c>
      <c r="E543" s="19" t="n">
        <v>0</v>
      </c>
    </row>
    <row r="544">
      <c r="A544" s="2" t="inlineStr">
        <is>
          <t>IT00211_02</t>
        </is>
      </c>
      <c r="B544" s="2" t="inlineStr">
        <is>
          <t>PED00211</t>
        </is>
      </c>
      <c r="C544" s="2" t="inlineStr">
        <is>
          <t>P049</t>
        </is>
      </c>
      <c r="D544" s="2" t="n">
        <v>2</v>
      </c>
      <c r="E544" s="19" t="n">
        <v>0</v>
      </c>
    </row>
    <row r="545">
      <c r="A545" s="2" t="inlineStr">
        <is>
          <t>IT00211_03</t>
        </is>
      </c>
      <c r="B545" s="2" t="inlineStr">
        <is>
          <t>PED00211</t>
        </is>
      </c>
      <c r="C545" s="2" t="inlineStr">
        <is>
          <t>P007</t>
        </is>
      </c>
      <c r="D545" s="2" t="n">
        <v>2</v>
      </c>
      <c r="E545" s="19" t="n">
        <v>0</v>
      </c>
    </row>
    <row r="546">
      <c r="A546" s="2" t="inlineStr">
        <is>
          <t>IT00212_01</t>
        </is>
      </c>
      <c r="B546" s="2" t="inlineStr">
        <is>
          <t>PED00212</t>
        </is>
      </c>
      <c r="C546" s="2" t="inlineStr">
        <is>
          <t>P056</t>
        </is>
      </c>
      <c r="D546" s="2" t="n">
        <v>1</v>
      </c>
      <c r="E546" s="19" t="n">
        <v>0</v>
      </c>
    </row>
    <row r="547">
      <c r="A547" s="2" t="inlineStr">
        <is>
          <t>IT00213_01</t>
        </is>
      </c>
      <c r="B547" s="2" t="inlineStr">
        <is>
          <t>PED00213</t>
        </is>
      </c>
      <c r="C547" s="2" t="inlineStr">
        <is>
          <t>P052</t>
        </is>
      </c>
      <c r="D547" s="2" t="n">
        <v>2</v>
      </c>
      <c r="E547" s="19" t="n">
        <v>0.02</v>
      </c>
    </row>
    <row r="548">
      <c r="A548" s="2" t="inlineStr">
        <is>
          <t>IT00213_02</t>
        </is>
      </c>
      <c r="B548" s="2" t="inlineStr">
        <is>
          <t>PED00213</t>
        </is>
      </c>
      <c r="C548" s="2" t="inlineStr">
        <is>
          <t>P065</t>
        </is>
      </c>
      <c r="D548" s="2" t="n">
        <v>3</v>
      </c>
      <c r="E548" s="19" t="n">
        <v>0</v>
      </c>
    </row>
    <row r="549">
      <c r="A549" s="2" t="inlineStr">
        <is>
          <t>IT00214_01</t>
        </is>
      </c>
      <c r="B549" s="2" t="inlineStr">
        <is>
          <t>PED00214</t>
        </is>
      </c>
      <c r="C549" s="2" t="inlineStr">
        <is>
          <t>P032</t>
        </is>
      </c>
      <c r="D549" s="2" t="n">
        <v>3</v>
      </c>
      <c r="E549" s="19" t="n">
        <v>0</v>
      </c>
    </row>
    <row r="550">
      <c r="A550" s="2" t="inlineStr">
        <is>
          <t>IT00214_02</t>
        </is>
      </c>
      <c r="B550" s="2" t="inlineStr">
        <is>
          <t>PED00214</t>
        </is>
      </c>
      <c r="C550" s="2" t="inlineStr">
        <is>
          <t>P010</t>
        </is>
      </c>
      <c r="D550" s="2" t="n">
        <v>4</v>
      </c>
      <c r="E550" s="19" t="n">
        <v>0</v>
      </c>
    </row>
    <row r="551">
      <c r="A551" s="2" t="inlineStr">
        <is>
          <t>IT00214_03</t>
        </is>
      </c>
      <c r="B551" s="2" t="inlineStr">
        <is>
          <t>PED00214</t>
        </is>
      </c>
      <c r="C551" s="2" t="inlineStr">
        <is>
          <t>P035</t>
        </is>
      </c>
      <c r="D551" s="2" t="n">
        <v>2</v>
      </c>
      <c r="E551" s="19" t="n">
        <v>0</v>
      </c>
    </row>
    <row r="552">
      <c r="A552" s="2" t="inlineStr">
        <is>
          <t>IT00215_01</t>
        </is>
      </c>
      <c r="B552" s="2" t="inlineStr">
        <is>
          <t>PED00215</t>
        </is>
      </c>
      <c r="C552" s="2" t="inlineStr">
        <is>
          <t>P045</t>
        </is>
      </c>
      <c r="D552" s="2" t="n">
        <v>2</v>
      </c>
      <c r="E552" s="19" t="n">
        <v>0.1</v>
      </c>
    </row>
    <row r="553">
      <c r="A553" s="2" t="inlineStr">
        <is>
          <t>IT00216_01</t>
        </is>
      </c>
      <c r="B553" s="2" t="inlineStr">
        <is>
          <t>PED00216</t>
        </is>
      </c>
      <c r="C553" s="2" t="inlineStr">
        <is>
          <t>P020</t>
        </is>
      </c>
      <c r="D553" s="2" t="n">
        <v>3</v>
      </c>
      <c r="E553" s="19" t="n">
        <v>0</v>
      </c>
    </row>
    <row r="554">
      <c r="A554" s="2" t="inlineStr">
        <is>
          <t>IT00216_02</t>
        </is>
      </c>
      <c r="B554" s="2" t="inlineStr">
        <is>
          <t>PED00216</t>
        </is>
      </c>
      <c r="C554" s="2" t="inlineStr">
        <is>
          <t>P011</t>
        </is>
      </c>
      <c r="D554" s="2" t="n">
        <v>2</v>
      </c>
      <c r="E554" s="19" t="n">
        <v>0</v>
      </c>
    </row>
    <row r="555">
      <c r="A555" s="2" t="inlineStr">
        <is>
          <t>IT00216_03</t>
        </is>
      </c>
      <c r="B555" s="2" t="inlineStr">
        <is>
          <t>PED00216</t>
        </is>
      </c>
      <c r="C555" s="2" t="inlineStr">
        <is>
          <t>P015</t>
        </is>
      </c>
      <c r="D555" s="2" t="n">
        <v>3</v>
      </c>
      <c r="E555" s="19" t="n">
        <v>0</v>
      </c>
    </row>
    <row r="556">
      <c r="A556" s="2" t="inlineStr">
        <is>
          <t>IT00217_01</t>
        </is>
      </c>
      <c r="B556" s="2" t="inlineStr">
        <is>
          <t>PED00217</t>
        </is>
      </c>
      <c r="C556" s="2" t="inlineStr">
        <is>
          <t>P027</t>
        </is>
      </c>
      <c r="D556" s="2" t="n">
        <v>2</v>
      </c>
      <c r="E556" s="19" t="n">
        <v>0</v>
      </c>
    </row>
    <row r="557">
      <c r="A557" s="2" t="inlineStr">
        <is>
          <t>IT00217_02</t>
        </is>
      </c>
      <c r="B557" s="2" t="inlineStr">
        <is>
          <t>PED00217</t>
        </is>
      </c>
      <c r="C557" s="2" t="inlineStr">
        <is>
          <t>P070</t>
        </is>
      </c>
      <c r="D557" s="2" t="n">
        <v>2</v>
      </c>
      <c r="E557" s="19" t="n">
        <v>0.02</v>
      </c>
    </row>
    <row r="558">
      <c r="A558" s="2" t="inlineStr">
        <is>
          <t>IT00218_01</t>
        </is>
      </c>
      <c r="B558" s="2" t="inlineStr">
        <is>
          <t>PED00218</t>
        </is>
      </c>
      <c r="C558" s="2" t="inlineStr">
        <is>
          <t>P008</t>
        </is>
      </c>
      <c r="D558" s="2" t="n">
        <v>1</v>
      </c>
      <c r="E558" s="19" t="n">
        <v>0.02</v>
      </c>
    </row>
    <row r="559">
      <c r="A559" s="2" t="inlineStr">
        <is>
          <t>IT00218_02</t>
        </is>
      </c>
      <c r="B559" s="2" t="inlineStr">
        <is>
          <t>PED00218</t>
        </is>
      </c>
      <c r="C559" s="2" t="inlineStr">
        <is>
          <t>P037</t>
        </is>
      </c>
      <c r="D559" s="2" t="n">
        <v>1</v>
      </c>
      <c r="E559" s="19" t="n">
        <v>0</v>
      </c>
    </row>
    <row r="560">
      <c r="A560" s="2" t="inlineStr">
        <is>
          <t>IT00219_01</t>
        </is>
      </c>
      <c r="B560" s="2" t="inlineStr">
        <is>
          <t>PED00219</t>
        </is>
      </c>
      <c r="C560" s="2" t="inlineStr">
        <is>
          <t>P014</t>
        </is>
      </c>
      <c r="D560" s="2" t="n">
        <v>1</v>
      </c>
      <c r="E560" s="19" t="n">
        <v>0.05</v>
      </c>
    </row>
    <row r="561">
      <c r="A561" s="2" t="inlineStr">
        <is>
          <t>IT00219_02</t>
        </is>
      </c>
      <c r="B561" s="2" t="inlineStr">
        <is>
          <t>PED00219</t>
        </is>
      </c>
      <c r="C561" s="2" t="inlineStr">
        <is>
          <t>P003</t>
        </is>
      </c>
      <c r="D561" s="2" t="n">
        <v>1</v>
      </c>
      <c r="E561" s="19" t="n">
        <v>0.1</v>
      </c>
    </row>
    <row r="562">
      <c r="A562" s="2" t="inlineStr">
        <is>
          <t>IT00220_01</t>
        </is>
      </c>
      <c r="B562" s="2" t="inlineStr">
        <is>
          <t>PED00220</t>
        </is>
      </c>
      <c r="C562" s="2" t="inlineStr">
        <is>
          <t>P059</t>
        </is>
      </c>
      <c r="D562" s="2" t="n">
        <v>2</v>
      </c>
      <c r="E562" s="19" t="n">
        <v>0.02</v>
      </c>
    </row>
    <row r="563">
      <c r="A563" s="2" t="inlineStr">
        <is>
          <t>IT00221_01</t>
        </is>
      </c>
      <c r="B563" s="2" t="inlineStr">
        <is>
          <t>PED00221</t>
        </is>
      </c>
      <c r="C563" s="2" t="inlineStr">
        <is>
          <t>P046</t>
        </is>
      </c>
      <c r="D563" s="2" t="n">
        <v>1</v>
      </c>
      <c r="E563" s="19" t="n">
        <v>0.1</v>
      </c>
    </row>
    <row r="564">
      <c r="A564" s="2" t="inlineStr">
        <is>
          <t>IT00221_02</t>
        </is>
      </c>
      <c r="B564" s="2" t="inlineStr">
        <is>
          <t>PED00221</t>
        </is>
      </c>
      <c r="C564" s="2" t="inlineStr">
        <is>
          <t>P039</t>
        </is>
      </c>
      <c r="D564" s="2" t="n">
        <v>2</v>
      </c>
      <c r="E564" s="19" t="n">
        <v>0.05</v>
      </c>
    </row>
    <row r="565">
      <c r="A565" s="2" t="inlineStr">
        <is>
          <t>IT00222_01</t>
        </is>
      </c>
      <c r="B565" s="2" t="inlineStr">
        <is>
          <t>PED00222</t>
        </is>
      </c>
      <c r="C565" s="2" t="inlineStr">
        <is>
          <t>P036</t>
        </is>
      </c>
      <c r="D565" s="2" t="n">
        <v>1</v>
      </c>
      <c r="E565" s="19" t="n">
        <v>0</v>
      </c>
    </row>
    <row r="566">
      <c r="A566" s="2" t="inlineStr">
        <is>
          <t>IT00222_02</t>
        </is>
      </c>
      <c r="B566" s="2" t="inlineStr">
        <is>
          <t>PED00222</t>
        </is>
      </c>
      <c r="C566" s="2" t="inlineStr">
        <is>
          <t>P029</t>
        </is>
      </c>
      <c r="D566" s="2" t="n">
        <v>1</v>
      </c>
      <c r="E566" s="19" t="n">
        <v>0.02</v>
      </c>
    </row>
    <row r="567">
      <c r="A567" s="2" t="inlineStr">
        <is>
          <t>IT00222_03</t>
        </is>
      </c>
      <c r="B567" s="2" t="inlineStr">
        <is>
          <t>PED00222</t>
        </is>
      </c>
      <c r="C567" s="2" t="inlineStr">
        <is>
          <t>P020</t>
        </is>
      </c>
      <c r="D567" s="2" t="n">
        <v>2</v>
      </c>
      <c r="E567" s="19" t="n">
        <v>0.02</v>
      </c>
    </row>
    <row r="568">
      <c r="A568" s="2" t="inlineStr">
        <is>
          <t>IT00223_01</t>
        </is>
      </c>
      <c r="B568" s="2" t="inlineStr">
        <is>
          <t>PED00223</t>
        </is>
      </c>
      <c r="C568" s="2" t="inlineStr">
        <is>
          <t>P043</t>
        </is>
      </c>
      <c r="D568" s="2" t="n">
        <v>1</v>
      </c>
      <c r="E568" s="19" t="n">
        <v>0</v>
      </c>
    </row>
    <row r="569">
      <c r="A569" s="2" t="inlineStr">
        <is>
          <t>IT00223_02</t>
        </is>
      </c>
      <c r="B569" s="2" t="inlineStr">
        <is>
          <t>PED00223</t>
        </is>
      </c>
      <c r="C569" s="2" t="inlineStr">
        <is>
          <t>P058</t>
        </is>
      </c>
      <c r="D569" s="2" t="n">
        <v>2</v>
      </c>
      <c r="E569" s="19" t="n">
        <v>0.05</v>
      </c>
    </row>
    <row r="570">
      <c r="A570" s="2" t="inlineStr">
        <is>
          <t>IT00223_03</t>
        </is>
      </c>
      <c r="B570" s="2" t="inlineStr">
        <is>
          <t>PED00223</t>
        </is>
      </c>
      <c r="C570" s="2" t="inlineStr">
        <is>
          <t>P070</t>
        </is>
      </c>
      <c r="D570" s="2" t="n">
        <v>4</v>
      </c>
      <c r="E570" s="19" t="n">
        <v>0</v>
      </c>
    </row>
    <row r="571">
      <c r="A571" s="2" t="inlineStr">
        <is>
          <t>IT00223_04</t>
        </is>
      </c>
      <c r="B571" s="2" t="inlineStr">
        <is>
          <t>PED00223</t>
        </is>
      </c>
      <c r="C571" s="2" t="inlineStr">
        <is>
          <t>P017</t>
        </is>
      </c>
      <c r="D571" s="2" t="n">
        <v>3</v>
      </c>
      <c r="E571" s="19" t="n">
        <v>0</v>
      </c>
    </row>
    <row r="572">
      <c r="A572" s="2" t="inlineStr">
        <is>
          <t>IT00224_01</t>
        </is>
      </c>
      <c r="B572" s="2" t="inlineStr">
        <is>
          <t>PED00224</t>
        </is>
      </c>
      <c r="C572" s="2" t="inlineStr">
        <is>
          <t>P069</t>
        </is>
      </c>
      <c r="D572" s="2" t="n">
        <v>5</v>
      </c>
      <c r="E572" s="19" t="n">
        <v>0</v>
      </c>
    </row>
    <row r="573">
      <c r="A573" s="2" t="inlineStr">
        <is>
          <t>IT00225_01</t>
        </is>
      </c>
      <c r="B573" s="2" t="inlineStr">
        <is>
          <t>PED00225</t>
        </is>
      </c>
      <c r="C573" s="2" t="inlineStr">
        <is>
          <t>P057</t>
        </is>
      </c>
      <c r="D573" s="2" t="n">
        <v>1</v>
      </c>
      <c r="E573" s="19" t="n">
        <v>0</v>
      </c>
    </row>
    <row r="574">
      <c r="A574" s="2" t="inlineStr">
        <is>
          <t>IT00225_02</t>
        </is>
      </c>
      <c r="B574" s="2" t="inlineStr">
        <is>
          <t>PED00225</t>
        </is>
      </c>
      <c r="C574" s="2" t="inlineStr">
        <is>
          <t>P036</t>
        </is>
      </c>
      <c r="D574" s="2" t="n">
        <v>1</v>
      </c>
      <c r="E574" s="19" t="n">
        <v>0</v>
      </c>
    </row>
    <row r="575">
      <c r="A575" s="2" t="inlineStr">
        <is>
          <t>IT00226_01</t>
        </is>
      </c>
      <c r="B575" s="2" t="inlineStr">
        <is>
          <t>PED00226</t>
        </is>
      </c>
      <c r="C575" s="2" t="inlineStr">
        <is>
          <t>P004</t>
        </is>
      </c>
      <c r="D575" s="2" t="n">
        <v>1</v>
      </c>
      <c r="E575" s="19" t="n">
        <v>0.02</v>
      </c>
    </row>
    <row r="576">
      <c r="A576" s="2" t="inlineStr">
        <is>
          <t>IT00226_02</t>
        </is>
      </c>
      <c r="B576" s="2" t="inlineStr">
        <is>
          <t>PED00226</t>
        </is>
      </c>
      <c r="C576" s="2" t="inlineStr">
        <is>
          <t>P046</t>
        </is>
      </c>
      <c r="D576" s="2" t="n">
        <v>1</v>
      </c>
      <c r="E576" s="19" t="n">
        <v>0.05</v>
      </c>
    </row>
    <row r="577">
      <c r="A577" s="2" t="inlineStr">
        <is>
          <t>IT00227_01</t>
        </is>
      </c>
      <c r="B577" s="2" t="inlineStr">
        <is>
          <t>PED00227</t>
        </is>
      </c>
      <c r="C577" s="2" t="inlineStr">
        <is>
          <t>P029</t>
        </is>
      </c>
      <c r="D577" s="2" t="n">
        <v>1</v>
      </c>
      <c r="E577" s="19" t="n">
        <v>0.02</v>
      </c>
    </row>
    <row r="578">
      <c r="A578" s="2" t="inlineStr">
        <is>
          <t>IT00228_01</t>
        </is>
      </c>
      <c r="B578" s="2" t="inlineStr">
        <is>
          <t>PED00228</t>
        </is>
      </c>
      <c r="C578" s="2" t="inlineStr">
        <is>
          <t>P023</t>
        </is>
      </c>
      <c r="D578" s="2" t="n">
        <v>4</v>
      </c>
      <c r="E578" s="19" t="n">
        <v>0.1</v>
      </c>
    </row>
    <row r="579">
      <c r="A579" s="2" t="inlineStr">
        <is>
          <t>IT00229_01</t>
        </is>
      </c>
      <c r="B579" s="2" t="inlineStr">
        <is>
          <t>PED00229</t>
        </is>
      </c>
      <c r="C579" s="2" t="inlineStr">
        <is>
          <t>P049</t>
        </is>
      </c>
      <c r="D579" s="2" t="n">
        <v>2</v>
      </c>
      <c r="E579" s="19" t="n">
        <v>0.02</v>
      </c>
    </row>
    <row r="580">
      <c r="A580" s="2" t="inlineStr">
        <is>
          <t>IT00229_02</t>
        </is>
      </c>
      <c r="B580" s="2" t="inlineStr">
        <is>
          <t>PED00229</t>
        </is>
      </c>
      <c r="C580" s="2" t="inlineStr">
        <is>
          <t>P041</t>
        </is>
      </c>
      <c r="D580" s="2" t="n">
        <v>2</v>
      </c>
      <c r="E580" s="19" t="n">
        <v>0</v>
      </c>
    </row>
    <row r="581">
      <c r="A581" s="2" t="inlineStr">
        <is>
          <t>IT00229_03</t>
        </is>
      </c>
      <c r="B581" s="2" t="inlineStr">
        <is>
          <t>PED00229</t>
        </is>
      </c>
      <c r="C581" s="2" t="inlineStr">
        <is>
          <t>P051</t>
        </is>
      </c>
      <c r="D581" s="2" t="n">
        <v>4</v>
      </c>
      <c r="E581" s="19" t="n">
        <v>0.02</v>
      </c>
    </row>
    <row r="582">
      <c r="A582" s="2" t="inlineStr">
        <is>
          <t>IT00230_01</t>
        </is>
      </c>
      <c r="B582" s="2" t="inlineStr">
        <is>
          <t>PED00230</t>
        </is>
      </c>
      <c r="C582" s="2" t="inlineStr">
        <is>
          <t>P069</t>
        </is>
      </c>
      <c r="D582" s="2" t="n">
        <v>10</v>
      </c>
      <c r="E582" s="19" t="n">
        <v>0</v>
      </c>
    </row>
    <row r="583">
      <c r="A583" s="2" t="inlineStr">
        <is>
          <t>IT00230_02</t>
        </is>
      </c>
      <c r="B583" s="2" t="inlineStr">
        <is>
          <t>PED00230</t>
        </is>
      </c>
      <c r="C583" s="2" t="inlineStr">
        <is>
          <t>P051</t>
        </is>
      </c>
      <c r="D583" s="2" t="n">
        <v>1</v>
      </c>
      <c r="E583" s="19" t="n">
        <v>0.02</v>
      </c>
    </row>
    <row r="584">
      <c r="A584" s="2" t="inlineStr">
        <is>
          <t>IT00231_01</t>
        </is>
      </c>
      <c r="B584" s="2" t="inlineStr">
        <is>
          <t>PED00231</t>
        </is>
      </c>
      <c r="C584" s="2" t="inlineStr">
        <is>
          <t>P022</t>
        </is>
      </c>
      <c r="D584" s="2" t="n">
        <v>1</v>
      </c>
      <c r="E584" s="19" t="n">
        <v>0.05</v>
      </c>
    </row>
    <row r="585">
      <c r="A585" s="2" t="inlineStr">
        <is>
          <t>IT00231_02</t>
        </is>
      </c>
      <c r="B585" s="2" t="inlineStr">
        <is>
          <t>PED00231</t>
        </is>
      </c>
      <c r="C585" s="2" t="inlineStr">
        <is>
          <t>P055</t>
        </is>
      </c>
      <c r="D585" s="2" t="n">
        <v>2</v>
      </c>
      <c r="E585" s="19" t="n">
        <v>0.05</v>
      </c>
    </row>
    <row r="586">
      <c r="A586" s="2" t="inlineStr">
        <is>
          <t>IT00232_01</t>
        </is>
      </c>
      <c r="B586" s="2" t="inlineStr">
        <is>
          <t>PED00232</t>
        </is>
      </c>
      <c r="C586" s="2" t="inlineStr">
        <is>
          <t>P070</t>
        </is>
      </c>
      <c r="D586" s="2" t="n">
        <v>1</v>
      </c>
      <c r="E586" s="19" t="n">
        <v>0</v>
      </c>
    </row>
    <row r="587">
      <c r="A587" s="2" t="inlineStr">
        <is>
          <t>IT00232_02</t>
        </is>
      </c>
      <c r="B587" s="2" t="inlineStr">
        <is>
          <t>PED00232</t>
        </is>
      </c>
      <c r="C587" s="2" t="inlineStr">
        <is>
          <t>P018</t>
        </is>
      </c>
      <c r="D587" s="2" t="n">
        <v>1</v>
      </c>
      <c r="E587" s="19" t="n">
        <v>0</v>
      </c>
    </row>
    <row r="588">
      <c r="A588" s="2" t="inlineStr">
        <is>
          <t>IT00232_03</t>
        </is>
      </c>
      <c r="B588" s="2" t="inlineStr">
        <is>
          <t>PED00232</t>
        </is>
      </c>
      <c r="C588" s="2" t="inlineStr">
        <is>
          <t>P051</t>
        </is>
      </c>
      <c r="D588" s="2" t="n">
        <v>3</v>
      </c>
      <c r="E588" s="19" t="n">
        <v>0</v>
      </c>
    </row>
    <row r="589">
      <c r="A589" s="2" t="inlineStr">
        <is>
          <t>IT00233_01</t>
        </is>
      </c>
      <c r="B589" s="2" t="inlineStr">
        <is>
          <t>PED00233</t>
        </is>
      </c>
      <c r="C589" s="2" t="inlineStr">
        <is>
          <t>P016</t>
        </is>
      </c>
      <c r="D589" s="2" t="n">
        <v>1</v>
      </c>
      <c r="E589" s="19" t="n">
        <v>0.02</v>
      </c>
    </row>
    <row r="590">
      <c r="A590" s="2" t="inlineStr">
        <is>
          <t>IT00234_01</t>
        </is>
      </c>
      <c r="B590" s="2" t="inlineStr">
        <is>
          <t>PED00234</t>
        </is>
      </c>
      <c r="C590" s="2" t="inlineStr">
        <is>
          <t>P021</t>
        </is>
      </c>
      <c r="D590" s="2" t="n">
        <v>2</v>
      </c>
      <c r="E590" s="19" t="n">
        <v>0</v>
      </c>
    </row>
    <row r="591">
      <c r="A591" s="2" t="inlineStr">
        <is>
          <t>IT00234_02</t>
        </is>
      </c>
      <c r="B591" s="2" t="inlineStr">
        <is>
          <t>PED00234</t>
        </is>
      </c>
      <c r="C591" s="2" t="inlineStr">
        <is>
          <t>P049</t>
        </is>
      </c>
      <c r="D591" s="2" t="n">
        <v>1</v>
      </c>
      <c r="E591" s="19" t="n">
        <v>0</v>
      </c>
    </row>
    <row r="592">
      <c r="A592" s="2" t="inlineStr">
        <is>
          <t>IT00235_01</t>
        </is>
      </c>
      <c r="B592" s="2" t="inlineStr">
        <is>
          <t>PED00235</t>
        </is>
      </c>
      <c r="C592" s="2" t="inlineStr">
        <is>
          <t>P040</t>
        </is>
      </c>
      <c r="D592" s="2" t="n">
        <v>1</v>
      </c>
      <c r="E592" s="19" t="n">
        <v>0</v>
      </c>
    </row>
    <row r="593">
      <c r="A593" s="2" t="inlineStr">
        <is>
          <t>IT00235_02</t>
        </is>
      </c>
      <c r="B593" s="2" t="inlineStr">
        <is>
          <t>PED00235</t>
        </is>
      </c>
      <c r="C593" s="2" t="inlineStr">
        <is>
          <t>P058</t>
        </is>
      </c>
      <c r="D593" s="2" t="n">
        <v>4</v>
      </c>
      <c r="E593" s="19" t="n">
        <v>0.1</v>
      </c>
    </row>
    <row r="594">
      <c r="A594" s="2" t="inlineStr">
        <is>
          <t>IT00236_01</t>
        </is>
      </c>
      <c r="B594" s="2" t="inlineStr">
        <is>
          <t>PED00236</t>
        </is>
      </c>
      <c r="C594" s="2" t="inlineStr">
        <is>
          <t>P064</t>
        </is>
      </c>
      <c r="D594" s="2" t="n">
        <v>2</v>
      </c>
      <c r="E594" s="19" t="n">
        <v>0</v>
      </c>
    </row>
    <row r="595">
      <c r="A595" s="2" t="inlineStr">
        <is>
          <t>IT00236_02</t>
        </is>
      </c>
      <c r="B595" s="2" t="inlineStr">
        <is>
          <t>PED00236</t>
        </is>
      </c>
      <c r="C595" s="2" t="inlineStr">
        <is>
          <t>P031</t>
        </is>
      </c>
      <c r="D595" s="2" t="n">
        <v>2</v>
      </c>
      <c r="E595" s="19" t="n">
        <v>0</v>
      </c>
    </row>
    <row r="596">
      <c r="A596" s="2" t="inlineStr">
        <is>
          <t>IT00236_03</t>
        </is>
      </c>
      <c r="B596" s="2" t="inlineStr">
        <is>
          <t>PED00236</t>
        </is>
      </c>
      <c r="C596" s="2" t="inlineStr">
        <is>
          <t>P028</t>
        </is>
      </c>
      <c r="D596" s="2" t="n">
        <v>4</v>
      </c>
      <c r="E596" s="19" t="n">
        <v>0</v>
      </c>
    </row>
    <row r="597">
      <c r="A597" s="2" t="inlineStr">
        <is>
          <t>IT00236_04</t>
        </is>
      </c>
      <c r="B597" s="2" t="inlineStr">
        <is>
          <t>PED00236</t>
        </is>
      </c>
      <c r="C597" s="2" t="inlineStr">
        <is>
          <t>P061</t>
        </is>
      </c>
      <c r="D597" s="2" t="n">
        <v>2</v>
      </c>
      <c r="E597" s="19" t="n">
        <v>0.05</v>
      </c>
    </row>
    <row r="598">
      <c r="A598" s="2" t="inlineStr">
        <is>
          <t>IT00237_01</t>
        </is>
      </c>
      <c r="B598" s="2" t="inlineStr">
        <is>
          <t>PED00237</t>
        </is>
      </c>
      <c r="C598" s="2" t="inlineStr">
        <is>
          <t>P039</t>
        </is>
      </c>
      <c r="D598" s="2" t="n">
        <v>1</v>
      </c>
      <c r="E598" s="19" t="n">
        <v>0.1</v>
      </c>
    </row>
    <row r="599">
      <c r="A599" s="2" t="inlineStr">
        <is>
          <t>IT00237_02</t>
        </is>
      </c>
      <c r="B599" s="2" t="inlineStr">
        <is>
          <t>PED00237</t>
        </is>
      </c>
      <c r="C599" s="2" t="inlineStr">
        <is>
          <t>P043</t>
        </is>
      </c>
      <c r="D599" s="2" t="n">
        <v>1</v>
      </c>
      <c r="E599" s="19" t="n">
        <v>0</v>
      </c>
    </row>
    <row r="600">
      <c r="A600" s="2" t="inlineStr">
        <is>
          <t>IT00237_03</t>
        </is>
      </c>
      <c r="B600" s="2" t="inlineStr">
        <is>
          <t>PED00237</t>
        </is>
      </c>
      <c r="C600" s="2" t="inlineStr">
        <is>
          <t>P012</t>
        </is>
      </c>
      <c r="D600" s="2" t="n">
        <v>2</v>
      </c>
      <c r="E600" s="19" t="n">
        <v>0.02</v>
      </c>
    </row>
    <row r="601">
      <c r="A601" s="2" t="inlineStr">
        <is>
          <t>IT00237_04</t>
        </is>
      </c>
      <c r="B601" s="2" t="inlineStr">
        <is>
          <t>PED00237</t>
        </is>
      </c>
      <c r="C601" s="2" t="inlineStr">
        <is>
          <t>P007</t>
        </is>
      </c>
      <c r="D601" s="2" t="n">
        <v>2</v>
      </c>
      <c r="E601" s="19" t="n">
        <v>0</v>
      </c>
    </row>
    <row r="602">
      <c r="A602" s="2" t="inlineStr">
        <is>
          <t>IT00238_01</t>
        </is>
      </c>
      <c r="B602" s="2" t="inlineStr">
        <is>
          <t>PED00238</t>
        </is>
      </c>
      <c r="C602" s="2" t="inlineStr">
        <is>
          <t>P049</t>
        </is>
      </c>
      <c r="D602" s="2" t="n">
        <v>3</v>
      </c>
      <c r="E602" s="19" t="n">
        <v>0.05</v>
      </c>
    </row>
    <row r="603">
      <c r="A603" s="2" t="inlineStr">
        <is>
          <t>IT00238_02</t>
        </is>
      </c>
      <c r="B603" s="2" t="inlineStr">
        <is>
          <t>PED00238</t>
        </is>
      </c>
      <c r="C603" s="2" t="inlineStr">
        <is>
          <t>P009</t>
        </is>
      </c>
      <c r="D603" s="2" t="n">
        <v>1</v>
      </c>
      <c r="E603" s="19" t="n">
        <v>0</v>
      </c>
    </row>
    <row r="604">
      <c r="A604" s="2" t="inlineStr">
        <is>
          <t>IT00239_01</t>
        </is>
      </c>
      <c r="B604" s="2" t="inlineStr">
        <is>
          <t>PED00239</t>
        </is>
      </c>
      <c r="C604" s="2" t="inlineStr">
        <is>
          <t>P014</t>
        </is>
      </c>
      <c r="D604" s="2" t="n">
        <v>2</v>
      </c>
      <c r="E604" s="19" t="n">
        <v>0.02</v>
      </c>
    </row>
    <row r="605">
      <c r="A605" s="2" t="inlineStr">
        <is>
          <t>IT00239_02</t>
        </is>
      </c>
      <c r="B605" s="2" t="inlineStr">
        <is>
          <t>PED00239</t>
        </is>
      </c>
      <c r="C605" s="2" t="inlineStr">
        <is>
          <t>P068</t>
        </is>
      </c>
      <c r="D605" s="2" t="n">
        <v>5</v>
      </c>
      <c r="E605" s="19" t="n">
        <v>0.1</v>
      </c>
    </row>
    <row r="606">
      <c r="A606" s="2" t="inlineStr">
        <is>
          <t>IT00239_03</t>
        </is>
      </c>
      <c r="B606" s="2" t="inlineStr">
        <is>
          <t>PED00239</t>
        </is>
      </c>
      <c r="C606" s="2" t="inlineStr">
        <is>
          <t>P012</t>
        </is>
      </c>
      <c r="D606" s="2" t="n">
        <v>1</v>
      </c>
      <c r="E606" s="19" t="n">
        <v>0</v>
      </c>
    </row>
    <row r="607">
      <c r="A607" s="2" t="inlineStr">
        <is>
          <t>IT00240_01</t>
        </is>
      </c>
      <c r="B607" s="2" t="inlineStr">
        <is>
          <t>PED00240</t>
        </is>
      </c>
      <c r="C607" s="2" t="inlineStr">
        <is>
          <t>P064</t>
        </is>
      </c>
      <c r="D607" s="2" t="n">
        <v>3</v>
      </c>
      <c r="E607" s="19" t="n">
        <v>0.1</v>
      </c>
    </row>
    <row r="608">
      <c r="A608" s="2" t="inlineStr">
        <is>
          <t>IT00240_02</t>
        </is>
      </c>
      <c r="B608" s="2" t="inlineStr">
        <is>
          <t>PED00240</t>
        </is>
      </c>
      <c r="C608" s="2" t="inlineStr">
        <is>
          <t>P024</t>
        </is>
      </c>
      <c r="D608" s="2" t="n">
        <v>1</v>
      </c>
      <c r="E608" s="19" t="n">
        <v>0</v>
      </c>
    </row>
    <row r="609">
      <c r="A609" s="2" t="inlineStr">
        <is>
          <t>IT00240_03</t>
        </is>
      </c>
      <c r="B609" s="2" t="inlineStr">
        <is>
          <t>PED00240</t>
        </is>
      </c>
      <c r="C609" s="2" t="inlineStr">
        <is>
          <t>P030</t>
        </is>
      </c>
      <c r="D609" s="2" t="n">
        <v>2</v>
      </c>
      <c r="E609" s="19" t="n">
        <v>0</v>
      </c>
    </row>
    <row r="610">
      <c r="A610" s="2" t="inlineStr">
        <is>
          <t>IT00241_01</t>
        </is>
      </c>
      <c r="B610" s="2" t="inlineStr">
        <is>
          <t>PED00241</t>
        </is>
      </c>
      <c r="C610" s="2" t="inlineStr">
        <is>
          <t>P002</t>
        </is>
      </c>
      <c r="D610" s="2" t="n">
        <v>1</v>
      </c>
      <c r="E610" s="19" t="n">
        <v>0</v>
      </c>
    </row>
    <row r="611">
      <c r="A611" s="2" t="inlineStr">
        <is>
          <t>IT00241_02</t>
        </is>
      </c>
      <c r="B611" s="2" t="inlineStr">
        <is>
          <t>PED00241</t>
        </is>
      </c>
      <c r="C611" s="2" t="inlineStr">
        <is>
          <t>P026</t>
        </is>
      </c>
      <c r="D611" s="2" t="n">
        <v>1</v>
      </c>
      <c r="E611" s="19" t="n">
        <v>0</v>
      </c>
    </row>
    <row r="612">
      <c r="A612" s="2" t="inlineStr">
        <is>
          <t>IT00241_03</t>
        </is>
      </c>
      <c r="B612" s="2" t="inlineStr">
        <is>
          <t>PED00241</t>
        </is>
      </c>
      <c r="C612" s="2" t="inlineStr">
        <is>
          <t>P037</t>
        </is>
      </c>
      <c r="D612" s="2" t="n">
        <v>3</v>
      </c>
      <c r="E612" s="19" t="n">
        <v>0</v>
      </c>
    </row>
    <row r="613">
      <c r="A613" s="2" t="inlineStr">
        <is>
          <t>IT00242_01</t>
        </is>
      </c>
      <c r="B613" s="2" t="inlineStr">
        <is>
          <t>PED00242</t>
        </is>
      </c>
      <c r="C613" s="2" t="inlineStr">
        <is>
          <t>P043</t>
        </is>
      </c>
      <c r="D613" s="2" t="n">
        <v>3</v>
      </c>
      <c r="E613" s="19" t="n">
        <v>0.05</v>
      </c>
    </row>
    <row r="614">
      <c r="A614" s="2" t="inlineStr">
        <is>
          <t>IT00243_01</t>
        </is>
      </c>
      <c r="B614" s="2" t="inlineStr">
        <is>
          <t>PED00243</t>
        </is>
      </c>
      <c r="C614" s="2" t="inlineStr">
        <is>
          <t>P069</t>
        </is>
      </c>
      <c r="D614" s="2" t="n">
        <v>4</v>
      </c>
      <c r="E614" s="19" t="n">
        <v>0</v>
      </c>
    </row>
    <row r="615">
      <c r="A615" s="2" t="inlineStr">
        <is>
          <t>IT00243_02</t>
        </is>
      </c>
      <c r="B615" s="2" t="inlineStr">
        <is>
          <t>PED00243</t>
        </is>
      </c>
      <c r="C615" s="2" t="inlineStr">
        <is>
          <t>P043</t>
        </is>
      </c>
      <c r="D615" s="2" t="n">
        <v>2</v>
      </c>
      <c r="E615" s="19" t="n">
        <v>0</v>
      </c>
    </row>
    <row r="616">
      <c r="A616" s="2" t="inlineStr">
        <is>
          <t>IT00243_03</t>
        </is>
      </c>
      <c r="B616" s="2" t="inlineStr">
        <is>
          <t>PED00243</t>
        </is>
      </c>
      <c r="C616" s="2" t="inlineStr">
        <is>
          <t>P060</t>
        </is>
      </c>
      <c r="D616" s="2" t="n">
        <v>2</v>
      </c>
      <c r="E616" s="19" t="n">
        <v>0</v>
      </c>
    </row>
    <row r="617">
      <c r="A617" s="2" t="inlineStr">
        <is>
          <t>IT00243_04</t>
        </is>
      </c>
      <c r="B617" s="2" t="inlineStr">
        <is>
          <t>PED00243</t>
        </is>
      </c>
      <c r="C617" s="2" t="inlineStr">
        <is>
          <t>P053</t>
        </is>
      </c>
      <c r="D617" s="2" t="n">
        <v>1</v>
      </c>
      <c r="E617" s="19" t="n">
        <v>0</v>
      </c>
    </row>
    <row r="618">
      <c r="A618" s="2" t="inlineStr">
        <is>
          <t>IT00244_01</t>
        </is>
      </c>
      <c r="B618" s="2" t="inlineStr">
        <is>
          <t>PED00244</t>
        </is>
      </c>
      <c r="C618" s="2" t="inlineStr">
        <is>
          <t>P069</t>
        </is>
      </c>
      <c r="D618" s="2" t="n">
        <v>4</v>
      </c>
      <c r="E618" s="19" t="n">
        <v>0.02</v>
      </c>
    </row>
    <row r="619">
      <c r="A619" s="2" t="inlineStr">
        <is>
          <t>IT00244_02</t>
        </is>
      </c>
      <c r="B619" s="2" t="inlineStr">
        <is>
          <t>PED00244</t>
        </is>
      </c>
      <c r="C619" s="2" t="inlineStr">
        <is>
          <t>P022</t>
        </is>
      </c>
      <c r="D619" s="2" t="n">
        <v>3</v>
      </c>
      <c r="E619" s="19" t="n">
        <v>0</v>
      </c>
    </row>
    <row r="620">
      <c r="A620" s="2" t="inlineStr">
        <is>
          <t>IT00244_03</t>
        </is>
      </c>
      <c r="B620" s="2" t="inlineStr">
        <is>
          <t>PED00244</t>
        </is>
      </c>
      <c r="C620" s="2" t="inlineStr">
        <is>
          <t>P050</t>
        </is>
      </c>
      <c r="D620" s="2" t="n">
        <v>1</v>
      </c>
      <c r="E620" s="19" t="n">
        <v>0</v>
      </c>
    </row>
    <row r="621">
      <c r="A621" s="2" t="inlineStr">
        <is>
          <t>IT00244_04</t>
        </is>
      </c>
      <c r="B621" s="2" t="inlineStr">
        <is>
          <t>PED00244</t>
        </is>
      </c>
      <c r="C621" s="2" t="inlineStr">
        <is>
          <t>P024</t>
        </is>
      </c>
      <c r="D621" s="2" t="n">
        <v>2</v>
      </c>
      <c r="E621" s="19" t="n">
        <v>0</v>
      </c>
    </row>
    <row r="622">
      <c r="A622" s="2" t="inlineStr">
        <is>
          <t>IT00244_05</t>
        </is>
      </c>
      <c r="B622" s="2" t="inlineStr">
        <is>
          <t>PED00244</t>
        </is>
      </c>
      <c r="C622" s="2" t="inlineStr">
        <is>
          <t>P015</t>
        </is>
      </c>
      <c r="D622" s="2" t="n">
        <v>2</v>
      </c>
      <c r="E622" s="19" t="n">
        <v>0.1</v>
      </c>
    </row>
    <row r="623">
      <c r="A623" s="2" t="inlineStr">
        <is>
          <t>IT00245_01</t>
        </is>
      </c>
      <c r="B623" s="2" t="inlineStr">
        <is>
          <t>PED00245</t>
        </is>
      </c>
      <c r="C623" s="2" t="inlineStr">
        <is>
          <t>P012</t>
        </is>
      </c>
      <c r="D623" s="2" t="n">
        <v>2</v>
      </c>
      <c r="E623" s="19" t="n">
        <v>0</v>
      </c>
    </row>
    <row r="624">
      <c r="A624" s="2" t="inlineStr">
        <is>
          <t>IT00246_01</t>
        </is>
      </c>
      <c r="B624" s="2" t="inlineStr">
        <is>
          <t>PED00246</t>
        </is>
      </c>
      <c r="C624" s="2" t="inlineStr">
        <is>
          <t>P042</t>
        </is>
      </c>
      <c r="D624" s="2" t="n">
        <v>3</v>
      </c>
      <c r="E624" s="19" t="n">
        <v>0</v>
      </c>
    </row>
    <row r="625">
      <c r="A625" s="2" t="inlineStr">
        <is>
          <t>IT00246_02</t>
        </is>
      </c>
      <c r="B625" s="2" t="inlineStr">
        <is>
          <t>PED00246</t>
        </is>
      </c>
      <c r="C625" s="2" t="inlineStr">
        <is>
          <t>P019</t>
        </is>
      </c>
      <c r="D625" s="2" t="n">
        <v>10</v>
      </c>
      <c r="E625" s="19" t="n">
        <v>0</v>
      </c>
    </row>
    <row r="626">
      <c r="A626" s="2" t="inlineStr">
        <is>
          <t>IT00247_01</t>
        </is>
      </c>
      <c r="B626" s="2" t="inlineStr">
        <is>
          <t>PED00247</t>
        </is>
      </c>
      <c r="C626" s="2" t="inlineStr">
        <is>
          <t>P006</t>
        </is>
      </c>
      <c r="D626" s="2" t="n">
        <v>2</v>
      </c>
      <c r="E626" s="19" t="n">
        <v>0</v>
      </c>
    </row>
    <row r="627">
      <c r="A627" s="2" t="inlineStr">
        <is>
          <t>IT00248_01</t>
        </is>
      </c>
      <c r="B627" s="2" t="inlineStr">
        <is>
          <t>PED00248</t>
        </is>
      </c>
      <c r="C627" s="2" t="inlineStr">
        <is>
          <t>P003</t>
        </is>
      </c>
      <c r="D627" s="2" t="n">
        <v>1</v>
      </c>
      <c r="E627" s="19" t="n">
        <v>0</v>
      </c>
    </row>
    <row r="628">
      <c r="A628" s="2" t="inlineStr">
        <is>
          <t>IT00248_02</t>
        </is>
      </c>
      <c r="B628" s="2" t="inlineStr">
        <is>
          <t>PED00248</t>
        </is>
      </c>
      <c r="C628" s="2" t="inlineStr">
        <is>
          <t>P040</t>
        </is>
      </c>
      <c r="D628" s="2" t="n">
        <v>1</v>
      </c>
      <c r="E628" s="19" t="n">
        <v>0</v>
      </c>
    </row>
    <row r="629">
      <c r="A629" s="2" t="inlineStr">
        <is>
          <t>IT00248_03</t>
        </is>
      </c>
      <c r="B629" s="2" t="inlineStr">
        <is>
          <t>PED00248</t>
        </is>
      </c>
      <c r="C629" s="2" t="inlineStr">
        <is>
          <t>P027</t>
        </is>
      </c>
      <c r="D629" s="2" t="n">
        <v>2</v>
      </c>
      <c r="E629" s="19" t="n">
        <v>0</v>
      </c>
    </row>
    <row r="630">
      <c r="A630" s="2" t="inlineStr">
        <is>
          <t>IT00249_01</t>
        </is>
      </c>
      <c r="B630" s="2" t="inlineStr">
        <is>
          <t>PED00249</t>
        </is>
      </c>
      <c r="C630" s="2" t="inlineStr">
        <is>
          <t>P070</t>
        </is>
      </c>
      <c r="D630" s="2" t="n">
        <v>1</v>
      </c>
      <c r="E630" s="19" t="n">
        <v>0</v>
      </c>
    </row>
    <row r="631">
      <c r="A631" s="2" t="inlineStr">
        <is>
          <t>IT00250_01</t>
        </is>
      </c>
      <c r="B631" s="2" t="inlineStr">
        <is>
          <t>PED00250</t>
        </is>
      </c>
      <c r="C631" s="2" t="inlineStr">
        <is>
          <t>P007</t>
        </is>
      </c>
      <c r="D631" s="2" t="n">
        <v>2</v>
      </c>
      <c r="E631" s="19" t="n">
        <v>0.02</v>
      </c>
    </row>
    <row r="632">
      <c r="A632" s="2" t="inlineStr">
        <is>
          <t>IT00250_02</t>
        </is>
      </c>
      <c r="B632" s="2" t="inlineStr">
        <is>
          <t>PED00250</t>
        </is>
      </c>
      <c r="C632" s="2" t="inlineStr">
        <is>
          <t>P017</t>
        </is>
      </c>
      <c r="D632" s="2" t="n">
        <v>1</v>
      </c>
      <c r="E632" s="19" t="n">
        <v>0</v>
      </c>
    </row>
    <row r="633">
      <c r="A633" s="2" t="inlineStr">
        <is>
          <t>IT00250_03</t>
        </is>
      </c>
      <c r="B633" s="2" t="inlineStr">
        <is>
          <t>PED00250</t>
        </is>
      </c>
      <c r="C633" s="2" t="inlineStr">
        <is>
          <t>P004</t>
        </is>
      </c>
      <c r="D633" s="2" t="n">
        <v>2</v>
      </c>
      <c r="E633" s="19" t="n">
        <v>0</v>
      </c>
    </row>
    <row r="634">
      <c r="A634" s="2" t="inlineStr">
        <is>
          <t>IT00251_01</t>
        </is>
      </c>
      <c r="B634" s="2" t="inlineStr">
        <is>
          <t>PED00251</t>
        </is>
      </c>
      <c r="C634" s="2" t="inlineStr">
        <is>
          <t>P069</t>
        </is>
      </c>
      <c r="D634" s="2" t="n">
        <v>2</v>
      </c>
      <c r="E634" s="19" t="n">
        <v>0</v>
      </c>
    </row>
    <row r="635">
      <c r="A635" s="2" t="inlineStr">
        <is>
          <t>IT00251_02</t>
        </is>
      </c>
      <c r="B635" s="2" t="inlineStr">
        <is>
          <t>PED00251</t>
        </is>
      </c>
      <c r="C635" s="2" t="inlineStr">
        <is>
          <t>P011</t>
        </is>
      </c>
      <c r="D635" s="2" t="n">
        <v>3</v>
      </c>
      <c r="E635" s="19" t="n">
        <v>0.02</v>
      </c>
    </row>
    <row r="636">
      <c r="A636" s="2" t="inlineStr">
        <is>
          <t>IT00251_03</t>
        </is>
      </c>
      <c r="B636" s="2" t="inlineStr">
        <is>
          <t>PED00251</t>
        </is>
      </c>
      <c r="C636" s="2" t="inlineStr">
        <is>
          <t>P060</t>
        </is>
      </c>
      <c r="D636" s="2" t="n">
        <v>1</v>
      </c>
      <c r="E636" s="19" t="n">
        <v>0</v>
      </c>
    </row>
    <row r="637">
      <c r="A637" s="2" t="inlineStr">
        <is>
          <t>IT00252_01</t>
        </is>
      </c>
      <c r="B637" s="2" t="inlineStr">
        <is>
          <t>PED00252</t>
        </is>
      </c>
      <c r="C637" s="2" t="inlineStr">
        <is>
          <t>P047</t>
        </is>
      </c>
      <c r="D637" s="2" t="n">
        <v>2</v>
      </c>
      <c r="E637" s="19" t="n">
        <v>0.02</v>
      </c>
    </row>
    <row r="638">
      <c r="A638" s="2" t="inlineStr">
        <is>
          <t>IT00252_02</t>
        </is>
      </c>
      <c r="B638" s="2" t="inlineStr">
        <is>
          <t>PED00252</t>
        </is>
      </c>
      <c r="C638" s="2" t="inlineStr">
        <is>
          <t>P051</t>
        </is>
      </c>
      <c r="D638" s="2" t="n">
        <v>3</v>
      </c>
      <c r="E638" s="19" t="n">
        <v>0.05</v>
      </c>
    </row>
    <row r="639">
      <c r="A639" s="2" t="inlineStr">
        <is>
          <t>IT00252_03</t>
        </is>
      </c>
      <c r="B639" s="2" t="inlineStr">
        <is>
          <t>PED00252</t>
        </is>
      </c>
      <c r="C639" s="2" t="inlineStr">
        <is>
          <t>P024</t>
        </is>
      </c>
      <c r="D639" s="2" t="n">
        <v>2</v>
      </c>
      <c r="E639" s="19" t="n">
        <v>0</v>
      </c>
    </row>
    <row r="640">
      <c r="A640" s="2" t="inlineStr">
        <is>
          <t>IT00253_01</t>
        </is>
      </c>
      <c r="B640" s="2" t="inlineStr">
        <is>
          <t>PED00253</t>
        </is>
      </c>
      <c r="C640" s="2" t="inlineStr">
        <is>
          <t>P017</t>
        </is>
      </c>
      <c r="D640" s="2" t="n">
        <v>1</v>
      </c>
      <c r="E640" s="19" t="n">
        <v>0.05</v>
      </c>
    </row>
    <row r="641">
      <c r="A641" s="2" t="inlineStr">
        <is>
          <t>IT00253_02</t>
        </is>
      </c>
      <c r="B641" s="2" t="inlineStr">
        <is>
          <t>PED00253</t>
        </is>
      </c>
      <c r="C641" s="2" t="inlineStr">
        <is>
          <t>P066</t>
        </is>
      </c>
      <c r="D641" s="2" t="n">
        <v>3</v>
      </c>
      <c r="E641" s="19" t="n">
        <v>0</v>
      </c>
    </row>
    <row r="642">
      <c r="A642" s="2" t="inlineStr">
        <is>
          <t>IT00254_01</t>
        </is>
      </c>
      <c r="B642" s="2" t="inlineStr">
        <is>
          <t>PED00254</t>
        </is>
      </c>
      <c r="C642" s="2" t="inlineStr">
        <is>
          <t>P021</t>
        </is>
      </c>
      <c r="D642" s="2" t="n">
        <v>1</v>
      </c>
      <c r="E642" s="19" t="n">
        <v>0</v>
      </c>
    </row>
    <row r="643">
      <c r="A643" s="2" t="inlineStr">
        <is>
          <t>IT00254_02</t>
        </is>
      </c>
      <c r="B643" s="2" t="inlineStr">
        <is>
          <t>PED00254</t>
        </is>
      </c>
      <c r="C643" s="2" t="inlineStr">
        <is>
          <t>P062</t>
        </is>
      </c>
      <c r="D643" s="2" t="n">
        <v>2</v>
      </c>
      <c r="E643" s="19" t="n">
        <v>0</v>
      </c>
    </row>
    <row r="644">
      <c r="A644" s="2" t="inlineStr">
        <is>
          <t>IT00254_03</t>
        </is>
      </c>
      <c r="B644" s="2" t="inlineStr">
        <is>
          <t>PED00254</t>
        </is>
      </c>
      <c r="C644" s="2" t="inlineStr">
        <is>
          <t>P050</t>
        </is>
      </c>
      <c r="D644" s="2" t="n">
        <v>10</v>
      </c>
      <c r="E644" s="19" t="n">
        <v>0</v>
      </c>
    </row>
    <row r="645">
      <c r="A645" s="2" t="inlineStr">
        <is>
          <t>IT00255_01</t>
        </is>
      </c>
      <c r="B645" s="2" t="inlineStr">
        <is>
          <t>PED00255</t>
        </is>
      </c>
      <c r="C645" s="2" t="inlineStr">
        <is>
          <t>P063</t>
        </is>
      </c>
      <c r="D645" s="2" t="n">
        <v>1</v>
      </c>
      <c r="E645" s="19" t="n">
        <v>0</v>
      </c>
    </row>
    <row r="646">
      <c r="A646" s="2" t="inlineStr">
        <is>
          <t>IT00255_02</t>
        </is>
      </c>
      <c r="B646" s="2" t="inlineStr">
        <is>
          <t>PED00255</t>
        </is>
      </c>
      <c r="C646" s="2" t="inlineStr">
        <is>
          <t>P015</t>
        </is>
      </c>
      <c r="D646" s="2" t="n">
        <v>2</v>
      </c>
      <c r="E646" s="19" t="n">
        <v>0</v>
      </c>
    </row>
    <row r="647">
      <c r="A647" s="2" t="inlineStr">
        <is>
          <t>IT00255_03</t>
        </is>
      </c>
      <c r="B647" s="2" t="inlineStr">
        <is>
          <t>PED00255</t>
        </is>
      </c>
      <c r="C647" s="2" t="inlineStr">
        <is>
          <t>P060</t>
        </is>
      </c>
      <c r="D647" s="2" t="n">
        <v>1</v>
      </c>
      <c r="E647" s="19" t="n">
        <v>0</v>
      </c>
    </row>
    <row r="648">
      <c r="A648" s="2" t="inlineStr">
        <is>
          <t>IT00256_01</t>
        </is>
      </c>
      <c r="B648" s="2" t="inlineStr">
        <is>
          <t>PED00256</t>
        </is>
      </c>
      <c r="C648" s="2" t="inlineStr">
        <is>
          <t>P018</t>
        </is>
      </c>
      <c r="D648" s="2" t="n">
        <v>4</v>
      </c>
      <c r="E648" s="19" t="n">
        <v>0.05</v>
      </c>
    </row>
    <row r="649">
      <c r="A649" s="2" t="inlineStr">
        <is>
          <t>IT00257_01</t>
        </is>
      </c>
      <c r="B649" s="2" t="inlineStr">
        <is>
          <t>PED00257</t>
        </is>
      </c>
      <c r="C649" s="2" t="inlineStr">
        <is>
          <t>P058</t>
        </is>
      </c>
      <c r="D649" s="2" t="n">
        <v>2</v>
      </c>
      <c r="E649" s="19" t="n">
        <v>0</v>
      </c>
    </row>
    <row r="650">
      <c r="A650" s="2" t="inlineStr">
        <is>
          <t>IT00257_02</t>
        </is>
      </c>
      <c r="B650" s="2" t="inlineStr">
        <is>
          <t>PED00257</t>
        </is>
      </c>
      <c r="C650" s="2" t="inlineStr">
        <is>
          <t>P026</t>
        </is>
      </c>
      <c r="D650" s="2" t="n">
        <v>2</v>
      </c>
      <c r="E650" s="19" t="n">
        <v>0.05</v>
      </c>
    </row>
    <row r="651">
      <c r="A651" s="2" t="inlineStr">
        <is>
          <t>IT00257_03</t>
        </is>
      </c>
      <c r="B651" s="2" t="inlineStr">
        <is>
          <t>PED00257</t>
        </is>
      </c>
      <c r="C651" s="2" t="inlineStr">
        <is>
          <t>P027</t>
        </is>
      </c>
      <c r="D651" s="2" t="n">
        <v>1</v>
      </c>
      <c r="E651" s="19" t="n">
        <v>0.05</v>
      </c>
    </row>
    <row r="652">
      <c r="A652" s="2" t="inlineStr">
        <is>
          <t>IT00258_01</t>
        </is>
      </c>
      <c r="B652" s="2" t="inlineStr">
        <is>
          <t>PED00258</t>
        </is>
      </c>
      <c r="C652" s="2" t="inlineStr">
        <is>
          <t>P038</t>
        </is>
      </c>
      <c r="D652" s="2" t="n">
        <v>1</v>
      </c>
      <c r="E652" s="19" t="n">
        <v>0</v>
      </c>
    </row>
    <row r="653">
      <c r="A653" s="2" t="inlineStr">
        <is>
          <t>IT00258_02</t>
        </is>
      </c>
      <c r="B653" s="2" t="inlineStr">
        <is>
          <t>PED00258</t>
        </is>
      </c>
      <c r="C653" s="2" t="inlineStr">
        <is>
          <t>P008</t>
        </is>
      </c>
      <c r="D653" s="2" t="n">
        <v>5</v>
      </c>
      <c r="E653" s="19" t="n">
        <v>0</v>
      </c>
    </row>
    <row r="654">
      <c r="A654" s="2" t="inlineStr">
        <is>
          <t>IT00258_03</t>
        </is>
      </c>
      <c r="B654" s="2" t="inlineStr">
        <is>
          <t>PED00258</t>
        </is>
      </c>
      <c r="C654" s="2" t="inlineStr">
        <is>
          <t>P048</t>
        </is>
      </c>
      <c r="D654" s="2" t="n">
        <v>1</v>
      </c>
      <c r="E654" s="19" t="n">
        <v>0</v>
      </c>
    </row>
    <row r="655">
      <c r="A655" s="2" t="inlineStr">
        <is>
          <t>IT00258_04</t>
        </is>
      </c>
      <c r="B655" s="2" t="inlineStr">
        <is>
          <t>PED00258</t>
        </is>
      </c>
      <c r="C655" s="2" t="inlineStr">
        <is>
          <t>P007</t>
        </is>
      </c>
      <c r="D655" s="2" t="n">
        <v>2</v>
      </c>
      <c r="E655" s="19" t="n">
        <v>0</v>
      </c>
    </row>
    <row r="656">
      <c r="A656" s="2" t="inlineStr">
        <is>
          <t>IT00259_01</t>
        </is>
      </c>
      <c r="B656" s="2" t="inlineStr">
        <is>
          <t>PED00259</t>
        </is>
      </c>
      <c r="C656" s="2" t="inlineStr">
        <is>
          <t>P018</t>
        </is>
      </c>
      <c r="D656" s="2" t="n">
        <v>1</v>
      </c>
      <c r="E656" s="19" t="n">
        <v>0</v>
      </c>
    </row>
    <row r="657">
      <c r="A657" s="2" t="inlineStr">
        <is>
          <t>IT00260_01</t>
        </is>
      </c>
      <c r="B657" s="2" t="inlineStr">
        <is>
          <t>PED00260</t>
        </is>
      </c>
      <c r="C657" s="2" t="inlineStr">
        <is>
          <t>P003</t>
        </is>
      </c>
      <c r="D657" s="2" t="n">
        <v>1</v>
      </c>
      <c r="E657" s="19" t="n">
        <v>0.05</v>
      </c>
    </row>
    <row r="658">
      <c r="A658" s="2" t="inlineStr">
        <is>
          <t>IT00261_01</t>
        </is>
      </c>
      <c r="B658" s="2" t="inlineStr">
        <is>
          <t>PED00261</t>
        </is>
      </c>
      <c r="C658" s="2" t="inlineStr">
        <is>
          <t>P055</t>
        </is>
      </c>
      <c r="D658" s="2" t="n">
        <v>2</v>
      </c>
      <c r="E658" s="19" t="n">
        <v>0</v>
      </c>
    </row>
    <row r="659">
      <c r="A659" s="2" t="inlineStr">
        <is>
          <t>IT00261_02</t>
        </is>
      </c>
      <c r="B659" s="2" t="inlineStr">
        <is>
          <t>PED00261</t>
        </is>
      </c>
      <c r="C659" s="2" t="inlineStr">
        <is>
          <t>P024</t>
        </is>
      </c>
      <c r="D659" s="2" t="n">
        <v>3</v>
      </c>
      <c r="E659" s="19" t="n">
        <v>0</v>
      </c>
    </row>
    <row r="660">
      <c r="A660" s="2" t="inlineStr">
        <is>
          <t>IT00262_01</t>
        </is>
      </c>
      <c r="B660" s="2" t="inlineStr">
        <is>
          <t>PED00262</t>
        </is>
      </c>
      <c r="C660" s="2" t="inlineStr">
        <is>
          <t>P065</t>
        </is>
      </c>
      <c r="D660" s="2" t="n">
        <v>1</v>
      </c>
      <c r="E660" s="19" t="n">
        <v>0</v>
      </c>
    </row>
    <row r="661">
      <c r="A661" s="2" t="inlineStr">
        <is>
          <t>IT00262_02</t>
        </is>
      </c>
      <c r="B661" s="2" t="inlineStr">
        <is>
          <t>PED00262</t>
        </is>
      </c>
      <c r="C661" s="2" t="inlineStr">
        <is>
          <t>P035</t>
        </is>
      </c>
      <c r="D661" s="2" t="n">
        <v>1</v>
      </c>
      <c r="E661" s="19" t="n">
        <v>0.1</v>
      </c>
    </row>
    <row r="662">
      <c r="A662" s="2" t="inlineStr">
        <is>
          <t>IT00263_01</t>
        </is>
      </c>
      <c r="B662" s="2" t="inlineStr">
        <is>
          <t>PED00263</t>
        </is>
      </c>
      <c r="C662" s="2" t="inlineStr">
        <is>
          <t>P068</t>
        </is>
      </c>
      <c r="D662" s="2" t="n">
        <v>10</v>
      </c>
      <c r="E662" s="19" t="n">
        <v>0.1</v>
      </c>
    </row>
    <row r="663">
      <c r="A663" s="2" t="inlineStr">
        <is>
          <t>IT00264_01</t>
        </is>
      </c>
      <c r="B663" s="2" t="inlineStr">
        <is>
          <t>PED00264</t>
        </is>
      </c>
      <c r="C663" s="2" t="inlineStr">
        <is>
          <t>P010</t>
        </is>
      </c>
      <c r="D663" s="2" t="n">
        <v>2</v>
      </c>
      <c r="E663" s="19" t="n">
        <v>0.05</v>
      </c>
    </row>
    <row r="664">
      <c r="A664" s="2" t="inlineStr">
        <is>
          <t>IT00264_02</t>
        </is>
      </c>
      <c r="B664" s="2" t="inlineStr">
        <is>
          <t>PED00264</t>
        </is>
      </c>
      <c r="C664" s="2" t="inlineStr">
        <is>
          <t>P070</t>
        </is>
      </c>
      <c r="D664" s="2" t="n">
        <v>2</v>
      </c>
      <c r="E664" s="19" t="n">
        <v>0</v>
      </c>
    </row>
    <row r="665">
      <c r="A665" s="2" t="inlineStr">
        <is>
          <t>IT00264_03</t>
        </is>
      </c>
      <c r="B665" s="2" t="inlineStr">
        <is>
          <t>PED00264</t>
        </is>
      </c>
      <c r="C665" s="2" t="inlineStr">
        <is>
          <t>P040</t>
        </is>
      </c>
      <c r="D665" s="2" t="n">
        <v>2</v>
      </c>
      <c r="E665" s="19" t="n">
        <v>0.05</v>
      </c>
    </row>
    <row r="666">
      <c r="A666" s="2" t="inlineStr">
        <is>
          <t>IT00265_01</t>
        </is>
      </c>
      <c r="B666" s="2" t="inlineStr">
        <is>
          <t>PED00265</t>
        </is>
      </c>
      <c r="C666" s="2" t="inlineStr">
        <is>
          <t>P039</t>
        </is>
      </c>
      <c r="D666" s="2" t="n">
        <v>3</v>
      </c>
      <c r="E666" s="19" t="n">
        <v>0</v>
      </c>
    </row>
    <row r="667">
      <c r="A667" s="2" t="inlineStr">
        <is>
          <t>IT00266_01</t>
        </is>
      </c>
      <c r="B667" s="2" t="inlineStr">
        <is>
          <t>PED00266</t>
        </is>
      </c>
      <c r="C667" s="2" t="inlineStr">
        <is>
          <t>P004</t>
        </is>
      </c>
      <c r="D667" s="2" t="n">
        <v>2</v>
      </c>
      <c r="E667" s="19" t="n">
        <v>0</v>
      </c>
    </row>
    <row r="668">
      <c r="A668" s="2" t="inlineStr">
        <is>
          <t>IT00266_02</t>
        </is>
      </c>
      <c r="B668" s="2" t="inlineStr">
        <is>
          <t>PED00266</t>
        </is>
      </c>
      <c r="C668" s="2" t="inlineStr">
        <is>
          <t>P037</t>
        </is>
      </c>
      <c r="D668" s="2" t="n">
        <v>1</v>
      </c>
      <c r="E668" s="19" t="n">
        <v>0.02</v>
      </c>
    </row>
    <row r="669">
      <c r="A669" s="2" t="inlineStr">
        <is>
          <t>IT00267_01</t>
        </is>
      </c>
      <c r="B669" s="2" t="inlineStr">
        <is>
          <t>PED00267</t>
        </is>
      </c>
      <c r="C669" s="2" t="inlineStr">
        <is>
          <t>P020</t>
        </is>
      </c>
      <c r="D669" s="2" t="n">
        <v>3</v>
      </c>
      <c r="E669" s="19" t="n">
        <v>0</v>
      </c>
    </row>
    <row r="670">
      <c r="A670" s="2" t="inlineStr">
        <is>
          <t>IT00267_02</t>
        </is>
      </c>
      <c r="B670" s="2" t="inlineStr">
        <is>
          <t>PED00267</t>
        </is>
      </c>
      <c r="C670" s="2" t="inlineStr">
        <is>
          <t>P058</t>
        </is>
      </c>
      <c r="D670" s="2" t="n">
        <v>3</v>
      </c>
      <c r="E670" s="19" t="n">
        <v>0</v>
      </c>
    </row>
    <row r="671">
      <c r="A671" s="2" t="inlineStr">
        <is>
          <t>IT00267_03</t>
        </is>
      </c>
      <c r="B671" s="2" t="inlineStr">
        <is>
          <t>PED00267</t>
        </is>
      </c>
      <c r="C671" s="2" t="inlineStr">
        <is>
          <t>P048</t>
        </is>
      </c>
      <c r="D671" s="2" t="n">
        <v>3</v>
      </c>
      <c r="E671" s="19" t="n">
        <v>0.05</v>
      </c>
    </row>
    <row r="672">
      <c r="A672" s="2" t="inlineStr">
        <is>
          <t>IT00268_01</t>
        </is>
      </c>
      <c r="B672" s="2" t="inlineStr">
        <is>
          <t>PED00268</t>
        </is>
      </c>
      <c r="C672" s="2" t="inlineStr">
        <is>
          <t>P053</t>
        </is>
      </c>
      <c r="D672" s="2" t="n">
        <v>2</v>
      </c>
      <c r="E672" s="19" t="n">
        <v>0.02</v>
      </c>
    </row>
    <row r="673">
      <c r="A673" s="2" t="inlineStr">
        <is>
          <t>IT00268_02</t>
        </is>
      </c>
      <c r="B673" s="2" t="inlineStr">
        <is>
          <t>PED00268</t>
        </is>
      </c>
      <c r="C673" s="2" t="inlineStr">
        <is>
          <t>P050</t>
        </is>
      </c>
      <c r="D673" s="2" t="n">
        <v>1</v>
      </c>
      <c r="E673" s="19" t="n">
        <v>0</v>
      </c>
    </row>
    <row r="674">
      <c r="A674" s="2" t="inlineStr">
        <is>
          <t>IT00268_03</t>
        </is>
      </c>
      <c r="B674" s="2" t="inlineStr">
        <is>
          <t>PED00268</t>
        </is>
      </c>
      <c r="C674" s="2" t="inlineStr">
        <is>
          <t>P031</t>
        </is>
      </c>
      <c r="D674" s="2" t="n">
        <v>3</v>
      </c>
      <c r="E674" s="19" t="n">
        <v>0</v>
      </c>
    </row>
    <row r="675">
      <c r="A675" s="2" t="inlineStr">
        <is>
          <t>IT00269_01</t>
        </is>
      </c>
      <c r="B675" s="2" t="inlineStr">
        <is>
          <t>PED00269</t>
        </is>
      </c>
      <c r="C675" s="2" t="inlineStr">
        <is>
          <t>P069</t>
        </is>
      </c>
      <c r="D675" s="2" t="n">
        <v>2</v>
      </c>
      <c r="E675" s="19" t="n">
        <v>0</v>
      </c>
    </row>
    <row r="676">
      <c r="A676" s="2" t="inlineStr">
        <is>
          <t>IT00269_02</t>
        </is>
      </c>
      <c r="B676" s="2" t="inlineStr">
        <is>
          <t>PED00269</t>
        </is>
      </c>
      <c r="C676" s="2" t="inlineStr">
        <is>
          <t>P030</t>
        </is>
      </c>
      <c r="D676" s="2" t="n">
        <v>1</v>
      </c>
      <c r="E676" s="19" t="n">
        <v>0</v>
      </c>
    </row>
    <row r="677">
      <c r="A677" s="2" t="inlineStr">
        <is>
          <t>IT00269_03</t>
        </is>
      </c>
      <c r="B677" s="2" t="inlineStr">
        <is>
          <t>PED00269</t>
        </is>
      </c>
      <c r="C677" s="2" t="inlineStr">
        <is>
          <t>P049</t>
        </is>
      </c>
      <c r="D677" s="2" t="n">
        <v>2</v>
      </c>
      <c r="E677" s="19" t="n">
        <v>0</v>
      </c>
    </row>
    <row r="678">
      <c r="A678" s="2" t="inlineStr">
        <is>
          <t>IT00270_01</t>
        </is>
      </c>
      <c r="B678" s="2" t="inlineStr">
        <is>
          <t>PED00270</t>
        </is>
      </c>
      <c r="C678" s="2" t="inlineStr">
        <is>
          <t>P046</t>
        </is>
      </c>
      <c r="D678" s="2" t="n">
        <v>1</v>
      </c>
      <c r="E678" s="19" t="n">
        <v>0.05</v>
      </c>
    </row>
    <row r="679">
      <c r="A679" s="2" t="inlineStr">
        <is>
          <t>IT00270_02</t>
        </is>
      </c>
      <c r="B679" s="2" t="inlineStr">
        <is>
          <t>PED00270</t>
        </is>
      </c>
      <c r="C679" s="2" t="inlineStr">
        <is>
          <t>P056</t>
        </is>
      </c>
      <c r="D679" s="2" t="n">
        <v>1</v>
      </c>
      <c r="E679" s="19" t="n">
        <v>0</v>
      </c>
    </row>
    <row r="680">
      <c r="A680" s="2" t="inlineStr">
        <is>
          <t>IT00270_03</t>
        </is>
      </c>
      <c r="B680" s="2" t="inlineStr">
        <is>
          <t>PED00270</t>
        </is>
      </c>
      <c r="C680" s="2" t="inlineStr">
        <is>
          <t>P035</t>
        </is>
      </c>
      <c r="D680" s="2" t="n">
        <v>2</v>
      </c>
      <c r="E680" s="19" t="n">
        <v>0.02</v>
      </c>
    </row>
    <row r="681">
      <c r="A681" s="2" t="inlineStr">
        <is>
          <t>IT00270_04</t>
        </is>
      </c>
      <c r="B681" s="2" t="inlineStr">
        <is>
          <t>PED00270</t>
        </is>
      </c>
      <c r="C681" s="2" t="inlineStr">
        <is>
          <t>P043</t>
        </is>
      </c>
      <c r="D681" s="2" t="n">
        <v>1</v>
      </c>
      <c r="E681" s="19" t="n">
        <v>0.02</v>
      </c>
    </row>
    <row r="682">
      <c r="A682" s="2" t="inlineStr">
        <is>
          <t>IT00271_01</t>
        </is>
      </c>
      <c r="B682" s="2" t="inlineStr">
        <is>
          <t>PED00271</t>
        </is>
      </c>
      <c r="C682" s="2" t="inlineStr">
        <is>
          <t>P002</t>
        </is>
      </c>
      <c r="D682" s="2" t="n">
        <v>3</v>
      </c>
      <c r="E682" s="19" t="n">
        <v>0</v>
      </c>
    </row>
    <row r="683">
      <c r="A683" s="2" t="inlineStr">
        <is>
          <t>IT00272_01</t>
        </is>
      </c>
      <c r="B683" s="2" t="inlineStr">
        <is>
          <t>PED00272</t>
        </is>
      </c>
      <c r="C683" s="2" t="inlineStr">
        <is>
          <t>P005</t>
        </is>
      </c>
      <c r="D683" s="2" t="n">
        <v>2</v>
      </c>
      <c r="E683" s="19" t="n">
        <v>0</v>
      </c>
    </row>
    <row r="684">
      <c r="A684" s="2" t="inlineStr">
        <is>
          <t>IT00272_02</t>
        </is>
      </c>
      <c r="B684" s="2" t="inlineStr">
        <is>
          <t>PED00272</t>
        </is>
      </c>
      <c r="C684" s="2" t="inlineStr">
        <is>
          <t>P004</t>
        </is>
      </c>
      <c r="D684" s="2" t="n">
        <v>2</v>
      </c>
      <c r="E684" s="19" t="n">
        <v>0.05</v>
      </c>
    </row>
    <row r="685">
      <c r="A685" s="2" t="inlineStr">
        <is>
          <t>IT00273_01</t>
        </is>
      </c>
      <c r="B685" s="2" t="inlineStr">
        <is>
          <t>PED00273</t>
        </is>
      </c>
      <c r="C685" s="2" t="inlineStr">
        <is>
          <t>P024</t>
        </is>
      </c>
      <c r="D685" s="2" t="n">
        <v>4</v>
      </c>
      <c r="E685" s="19" t="n">
        <v>0.02</v>
      </c>
    </row>
    <row r="686">
      <c r="A686" s="2" t="inlineStr">
        <is>
          <t>IT00274_01</t>
        </is>
      </c>
      <c r="B686" s="2" t="inlineStr">
        <is>
          <t>PED00274</t>
        </is>
      </c>
      <c r="C686" s="2" t="inlineStr">
        <is>
          <t>P055</t>
        </is>
      </c>
      <c r="D686" s="2" t="n">
        <v>1</v>
      </c>
      <c r="E686" s="19" t="n">
        <v>0</v>
      </c>
    </row>
    <row r="687">
      <c r="A687" s="2" t="inlineStr">
        <is>
          <t>IT00274_02</t>
        </is>
      </c>
      <c r="B687" s="2" t="inlineStr">
        <is>
          <t>PED00274</t>
        </is>
      </c>
      <c r="C687" s="2" t="inlineStr">
        <is>
          <t>P042</t>
        </is>
      </c>
      <c r="D687" s="2" t="n">
        <v>1</v>
      </c>
      <c r="E687" s="19" t="n">
        <v>0.1</v>
      </c>
    </row>
    <row r="688">
      <c r="A688" s="2" t="inlineStr">
        <is>
          <t>IT00274_03</t>
        </is>
      </c>
      <c r="B688" s="2" t="inlineStr">
        <is>
          <t>PED00274</t>
        </is>
      </c>
      <c r="C688" s="2" t="inlineStr">
        <is>
          <t>P033</t>
        </is>
      </c>
      <c r="D688" s="2" t="n">
        <v>1</v>
      </c>
      <c r="E688" s="19" t="n">
        <v>0.05</v>
      </c>
    </row>
    <row r="689">
      <c r="A689" s="2" t="inlineStr">
        <is>
          <t>IT00274_04</t>
        </is>
      </c>
      <c r="B689" s="2" t="inlineStr">
        <is>
          <t>PED00274</t>
        </is>
      </c>
      <c r="C689" s="2" t="inlineStr">
        <is>
          <t>P021</t>
        </is>
      </c>
      <c r="D689" s="2" t="n">
        <v>1</v>
      </c>
      <c r="E689" s="19" t="n">
        <v>0</v>
      </c>
    </row>
    <row r="690">
      <c r="A690" s="2" t="inlineStr">
        <is>
          <t>IT00274_05</t>
        </is>
      </c>
      <c r="B690" s="2" t="inlineStr">
        <is>
          <t>PED00274</t>
        </is>
      </c>
      <c r="C690" s="2" t="inlineStr">
        <is>
          <t>P010</t>
        </is>
      </c>
      <c r="D690" s="2" t="n">
        <v>5</v>
      </c>
      <c r="E690" s="19" t="n">
        <v>0</v>
      </c>
    </row>
    <row r="691">
      <c r="A691" s="2" t="inlineStr">
        <is>
          <t>IT00275_01</t>
        </is>
      </c>
      <c r="B691" s="2" t="inlineStr">
        <is>
          <t>PED00275</t>
        </is>
      </c>
      <c r="C691" s="2" t="inlineStr">
        <is>
          <t>P014</t>
        </is>
      </c>
      <c r="D691" s="2" t="n">
        <v>1</v>
      </c>
      <c r="E691" s="19" t="n">
        <v>0</v>
      </c>
    </row>
    <row r="692">
      <c r="A692" s="2" t="inlineStr">
        <is>
          <t>IT00275_02</t>
        </is>
      </c>
      <c r="B692" s="2" t="inlineStr">
        <is>
          <t>PED00275</t>
        </is>
      </c>
      <c r="C692" s="2" t="inlineStr">
        <is>
          <t>P057</t>
        </is>
      </c>
      <c r="D692" s="2" t="n">
        <v>2</v>
      </c>
      <c r="E692" s="19" t="n">
        <v>0</v>
      </c>
    </row>
    <row r="693">
      <c r="A693" s="2" t="inlineStr">
        <is>
          <t>IT00275_03</t>
        </is>
      </c>
      <c r="B693" s="2" t="inlineStr">
        <is>
          <t>PED00275</t>
        </is>
      </c>
      <c r="C693" s="2" t="inlineStr">
        <is>
          <t>P034</t>
        </is>
      </c>
      <c r="D693" s="2" t="n">
        <v>2</v>
      </c>
      <c r="E693" s="19" t="n">
        <v>0.05</v>
      </c>
    </row>
    <row r="694">
      <c r="A694" s="2" t="inlineStr">
        <is>
          <t>IT00276_01</t>
        </is>
      </c>
      <c r="B694" s="2" t="inlineStr">
        <is>
          <t>PED00276</t>
        </is>
      </c>
      <c r="C694" s="2" t="inlineStr">
        <is>
          <t>P051</t>
        </is>
      </c>
      <c r="D694" s="2" t="n">
        <v>3</v>
      </c>
      <c r="E694" s="19" t="n">
        <v>0.02</v>
      </c>
    </row>
    <row r="695">
      <c r="A695" s="2" t="inlineStr">
        <is>
          <t>IT00276_02</t>
        </is>
      </c>
      <c r="B695" s="2" t="inlineStr">
        <is>
          <t>PED00276</t>
        </is>
      </c>
      <c r="C695" s="2" t="inlineStr">
        <is>
          <t>P001</t>
        </is>
      </c>
      <c r="D695" s="2" t="n">
        <v>2</v>
      </c>
      <c r="E695" s="19" t="n">
        <v>0</v>
      </c>
    </row>
    <row r="696">
      <c r="A696" s="2" t="inlineStr">
        <is>
          <t>IT00276_03</t>
        </is>
      </c>
      <c r="B696" s="2" t="inlineStr">
        <is>
          <t>PED00276</t>
        </is>
      </c>
      <c r="C696" s="2" t="inlineStr">
        <is>
          <t>P066</t>
        </is>
      </c>
      <c r="D696" s="2" t="n">
        <v>3</v>
      </c>
      <c r="E696" s="19" t="n">
        <v>0.05</v>
      </c>
    </row>
    <row r="697">
      <c r="A697" s="2" t="inlineStr">
        <is>
          <t>IT00277_01</t>
        </is>
      </c>
      <c r="B697" s="2" t="inlineStr">
        <is>
          <t>PED00277</t>
        </is>
      </c>
      <c r="C697" s="2" t="inlineStr">
        <is>
          <t>P069</t>
        </is>
      </c>
      <c r="D697" s="2" t="n">
        <v>1</v>
      </c>
      <c r="E697" s="19" t="n">
        <v>0</v>
      </c>
    </row>
    <row r="698">
      <c r="A698" s="2" t="inlineStr">
        <is>
          <t>IT00277_02</t>
        </is>
      </c>
      <c r="B698" s="2" t="inlineStr">
        <is>
          <t>PED00277</t>
        </is>
      </c>
      <c r="C698" s="2" t="inlineStr">
        <is>
          <t>P046</t>
        </is>
      </c>
      <c r="D698" s="2" t="n">
        <v>1</v>
      </c>
      <c r="E698" s="19" t="n">
        <v>0.1</v>
      </c>
    </row>
    <row r="699">
      <c r="A699" s="2" t="inlineStr">
        <is>
          <t>IT00278_01</t>
        </is>
      </c>
      <c r="B699" s="2" t="inlineStr">
        <is>
          <t>PED00278</t>
        </is>
      </c>
      <c r="C699" s="2" t="inlineStr">
        <is>
          <t>P038</t>
        </is>
      </c>
      <c r="D699" s="2" t="n">
        <v>1</v>
      </c>
      <c r="E699" s="19" t="n">
        <v>0</v>
      </c>
    </row>
    <row r="700">
      <c r="A700" s="2" t="inlineStr">
        <is>
          <t>IT00278_02</t>
        </is>
      </c>
      <c r="B700" s="2" t="inlineStr">
        <is>
          <t>PED00278</t>
        </is>
      </c>
      <c r="C700" s="2" t="inlineStr">
        <is>
          <t>P026</t>
        </is>
      </c>
      <c r="D700" s="2" t="n">
        <v>1</v>
      </c>
      <c r="E700" s="19" t="n">
        <v>0</v>
      </c>
    </row>
    <row r="701">
      <c r="A701" s="2" t="inlineStr">
        <is>
          <t>IT00279_01</t>
        </is>
      </c>
      <c r="B701" s="2" t="inlineStr">
        <is>
          <t>PED00279</t>
        </is>
      </c>
      <c r="C701" s="2" t="inlineStr">
        <is>
          <t>P025</t>
        </is>
      </c>
      <c r="D701" s="2" t="n">
        <v>1</v>
      </c>
      <c r="E701" s="19" t="n">
        <v>0.02</v>
      </c>
    </row>
    <row r="702">
      <c r="A702" s="2" t="inlineStr">
        <is>
          <t>IT00279_02</t>
        </is>
      </c>
      <c r="B702" s="2" t="inlineStr">
        <is>
          <t>PED00279</t>
        </is>
      </c>
      <c r="C702" s="2" t="inlineStr">
        <is>
          <t>P018</t>
        </is>
      </c>
      <c r="D702" s="2" t="n">
        <v>2</v>
      </c>
      <c r="E702" s="19" t="n">
        <v>0</v>
      </c>
    </row>
    <row r="703">
      <c r="A703" s="2" t="inlineStr">
        <is>
          <t>IT00279_03</t>
        </is>
      </c>
      <c r="B703" s="2" t="inlineStr">
        <is>
          <t>PED00279</t>
        </is>
      </c>
      <c r="C703" s="2" t="inlineStr">
        <is>
          <t>P005</t>
        </is>
      </c>
      <c r="D703" s="2" t="n">
        <v>1</v>
      </c>
      <c r="E703" s="19" t="n">
        <v>0</v>
      </c>
    </row>
    <row r="704">
      <c r="A704" s="2" t="inlineStr">
        <is>
          <t>IT00280_01</t>
        </is>
      </c>
      <c r="B704" s="2" t="inlineStr">
        <is>
          <t>PED00280</t>
        </is>
      </c>
      <c r="C704" s="2" t="inlineStr">
        <is>
          <t>P006</t>
        </is>
      </c>
      <c r="D704" s="2" t="n">
        <v>1</v>
      </c>
      <c r="E704" s="19" t="n">
        <v>0.05</v>
      </c>
    </row>
    <row r="705">
      <c r="A705" s="2" t="inlineStr">
        <is>
          <t>IT00280_02</t>
        </is>
      </c>
      <c r="B705" s="2" t="inlineStr">
        <is>
          <t>PED00280</t>
        </is>
      </c>
      <c r="C705" s="2" t="inlineStr">
        <is>
          <t>P052</t>
        </is>
      </c>
      <c r="D705" s="2" t="n">
        <v>2</v>
      </c>
      <c r="E705" s="19" t="n">
        <v>0</v>
      </c>
    </row>
    <row r="706">
      <c r="A706" s="2" t="inlineStr">
        <is>
          <t>IT00281_01</t>
        </is>
      </c>
      <c r="B706" s="2" t="inlineStr">
        <is>
          <t>PED00281</t>
        </is>
      </c>
      <c r="C706" s="2" t="inlineStr">
        <is>
          <t>P063</t>
        </is>
      </c>
      <c r="D706" s="2" t="n">
        <v>4</v>
      </c>
      <c r="E706" s="19" t="n">
        <v>0</v>
      </c>
    </row>
    <row r="707">
      <c r="A707" s="2" t="inlineStr">
        <is>
          <t>IT00281_02</t>
        </is>
      </c>
      <c r="B707" s="2" t="inlineStr">
        <is>
          <t>PED00281</t>
        </is>
      </c>
      <c r="C707" s="2" t="inlineStr">
        <is>
          <t>P003</t>
        </is>
      </c>
      <c r="D707" s="2" t="n">
        <v>1</v>
      </c>
      <c r="E707" s="19" t="n">
        <v>0</v>
      </c>
    </row>
    <row r="708">
      <c r="A708" s="2" t="inlineStr">
        <is>
          <t>IT00281_03</t>
        </is>
      </c>
      <c r="B708" s="2" t="inlineStr">
        <is>
          <t>PED00281</t>
        </is>
      </c>
      <c r="C708" s="2" t="inlineStr">
        <is>
          <t>P061</t>
        </is>
      </c>
      <c r="D708" s="2" t="n">
        <v>1</v>
      </c>
      <c r="E708" s="19" t="n">
        <v>0</v>
      </c>
    </row>
    <row r="709">
      <c r="A709" s="2" t="inlineStr">
        <is>
          <t>IT00282_01</t>
        </is>
      </c>
      <c r="B709" s="2" t="inlineStr">
        <is>
          <t>PED00282</t>
        </is>
      </c>
      <c r="C709" s="2" t="inlineStr">
        <is>
          <t>P015</t>
        </is>
      </c>
      <c r="D709" s="2" t="n">
        <v>3</v>
      </c>
      <c r="E709" s="19" t="n">
        <v>0</v>
      </c>
    </row>
    <row r="710">
      <c r="A710" s="2" t="inlineStr">
        <is>
          <t>IT00282_02</t>
        </is>
      </c>
      <c r="B710" s="2" t="inlineStr">
        <is>
          <t>PED00282</t>
        </is>
      </c>
      <c r="C710" s="2" t="inlineStr">
        <is>
          <t>P064</t>
        </is>
      </c>
      <c r="D710" s="2" t="n">
        <v>3</v>
      </c>
      <c r="E710" s="19" t="n">
        <v>0.1</v>
      </c>
    </row>
    <row r="711">
      <c r="A711" s="2" t="inlineStr">
        <is>
          <t>IT00282_03</t>
        </is>
      </c>
      <c r="B711" s="2" t="inlineStr">
        <is>
          <t>PED00282</t>
        </is>
      </c>
      <c r="C711" s="2" t="inlineStr">
        <is>
          <t>P029</t>
        </is>
      </c>
      <c r="D711" s="2" t="n">
        <v>2</v>
      </c>
      <c r="E711" s="19" t="n">
        <v>0</v>
      </c>
    </row>
    <row r="712">
      <c r="A712" s="2" t="inlineStr">
        <is>
          <t>IT00282_04</t>
        </is>
      </c>
      <c r="B712" s="2" t="inlineStr">
        <is>
          <t>PED00282</t>
        </is>
      </c>
      <c r="C712" s="2" t="inlineStr">
        <is>
          <t>P009</t>
        </is>
      </c>
      <c r="D712" s="2" t="n">
        <v>5</v>
      </c>
      <c r="E712" s="19" t="n">
        <v>0</v>
      </c>
    </row>
    <row r="713">
      <c r="A713" s="2" t="inlineStr">
        <is>
          <t>IT00283_01</t>
        </is>
      </c>
      <c r="B713" s="2" t="inlineStr">
        <is>
          <t>PED00283</t>
        </is>
      </c>
      <c r="C713" s="2" t="inlineStr">
        <is>
          <t>P019</t>
        </is>
      </c>
      <c r="D713" s="2" t="n">
        <v>3</v>
      </c>
      <c r="E713" s="19" t="n">
        <v>0</v>
      </c>
    </row>
    <row r="714">
      <c r="A714" s="2" t="inlineStr">
        <is>
          <t>IT00284_01</t>
        </is>
      </c>
      <c r="B714" s="2" t="inlineStr">
        <is>
          <t>PED00284</t>
        </is>
      </c>
      <c r="C714" s="2" t="inlineStr">
        <is>
          <t>P049</t>
        </is>
      </c>
      <c r="D714" s="2" t="n">
        <v>3</v>
      </c>
      <c r="E714" s="19" t="n">
        <v>0</v>
      </c>
    </row>
    <row r="715">
      <c r="A715" s="2" t="inlineStr">
        <is>
          <t>IT00285_01</t>
        </is>
      </c>
      <c r="B715" s="2" t="inlineStr">
        <is>
          <t>PED00285</t>
        </is>
      </c>
      <c r="C715" s="2" t="inlineStr">
        <is>
          <t>P037</t>
        </is>
      </c>
      <c r="D715" s="2" t="n">
        <v>2</v>
      </c>
      <c r="E715" s="19" t="n">
        <v>0</v>
      </c>
    </row>
    <row r="716">
      <c r="A716" s="2" t="inlineStr">
        <is>
          <t>IT00285_02</t>
        </is>
      </c>
      <c r="B716" s="2" t="inlineStr">
        <is>
          <t>PED00285</t>
        </is>
      </c>
      <c r="C716" s="2" t="inlineStr">
        <is>
          <t>P054</t>
        </is>
      </c>
      <c r="D716" s="2" t="n">
        <v>2</v>
      </c>
      <c r="E716" s="19" t="n">
        <v>0</v>
      </c>
    </row>
    <row r="717">
      <c r="A717" s="2" t="inlineStr">
        <is>
          <t>IT00285_03</t>
        </is>
      </c>
      <c r="B717" s="2" t="inlineStr">
        <is>
          <t>PED00285</t>
        </is>
      </c>
      <c r="C717" s="2" t="inlineStr">
        <is>
          <t>P061</t>
        </is>
      </c>
      <c r="D717" s="2" t="n">
        <v>1</v>
      </c>
      <c r="E717" s="19" t="n">
        <v>0.05</v>
      </c>
    </row>
    <row r="718">
      <c r="A718" s="2" t="inlineStr">
        <is>
          <t>IT00286_01</t>
        </is>
      </c>
      <c r="B718" s="2" t="inlineStr">
        <is>
          <t>PED00286</t>
        </is>
      </c>
      <c r="C718" s="2" t="inlineStr">
        <is>
          <t>P039</t>
        </is>
      </c>
      <c r="D718" s="2" t="n">
        <v>2</v>
      </c>
      <c r="E718" s="19" t="n">
        <v>0</v>
      </c>
    </row>
    <row r="719">
      <c r="A719" s="2" t="inlineStr">
        <is>
          <t>IT00286_02</t>
        </is>
      </c>
      <c r="B719" s="2" t="inlineStr">
        <is>
          <t>PED00286</t>
        </is>
      </c>
      <c r="C719" s="2" t="inlineStr">
        <is>
          <t>P045</t>
        </is>
      </c>
      <c r="D719" s="2" t="n">
        <v>10</v>
      </c>
      <c r="E719" s="19" t="n">
        <v>0.1</v>
      </c>
    </row>
    <row r="720">
      <c r="A720" s="2" t="inlineStr">
        <is>
          <t>IT00286_03</t>
        </is>
      </c>
      <c r="B720" s="2" t="inlineStr">
        <is>
          <t>PED00286</t>
        </is>
      </c>
      <c r="C720" s="2" t="inlineStr">
        <is>
          <t>P054</t>
        </is>
      </c>
      <c r="D720" s="2" t="n">
        <v>2</v>
      </c>
      <c r="E720" s="19" t="n">
        <v>0.05</v>
      </c>
    </row>
    <row r="721">
      <c r="A721" s="2" t="inlineStr">
        <is>
          <t>IT00286_04</t>
        </is>
      </c>
      <c r="B721" s="2" t="inlineStr">
        <is>
          <t>PED00286</t>
        </is>
      </c>
      <c r="C721" s="2" t="inlineStr">
        <is>
          <t>P001</t>
        </is>
      </c>
      <c r="D721" s="2" t="n">
        <v>10</v>
      </c>
      <c r="E721" s="19" t="n">
        <v>0</v>
      </c>
    </row>
    <row r="722">
      <c r="A722" s="2" t="inlineStr">
        <is>
          <t>IT00287_01</t>
        </is>
      </c>
      <c r="B722" s="2" t="inlineStr">
        <is>
          <t>PED00287</t>
        </is>
      </c>
      <c r="C722" s="2" t="inlineStr">
        <is>
          <t>P061</t>
        </is>
      </c>
      <c r="D722" s="2" t="n">
        <v>1</v>
      </c>
      <c r="E722" s="19" t="n">
        <v>0.05</v>
      </c>
    </row>
    <row r="723">
      <c r="A723" s="2" t="inlineStr">
        <is>
          <t>IT00287_02</t>
        </is>
      </c>
      <c r="B723" s="2" t="inlineStr">
        <is>
          <t>PED00287</t>
        </is>
      </c>
      <c r="C723" s="2" t="inlineStr">
        <is>
          <t>P064</t>
        </is>
      </c>
      <c r="D723" s="2" t="n">
        <v>1</v>
      </c>
      <c r="E723" s="19" t="n">
        <v>0</v>
      </c>
    </row>
    <row r="724">
      <c r="A724" s="2" t="inlineStr">
        <is>
          <t>IT00287_03</t>
        </is>
      </c>
      <c r="B724" s="2" t="inlineStr">
        <is>
          <t>PED00287</t>
        </is>
      </c>
      <c r="C724" s="2" t="inlineStr">
        <is>
          <t>P023</t>
        </is>
      </c>
      <c r="D724" s="2" t="n">
        <v>1</v>
      </c>
      <c r="E724" s="19" t="n">
        <v>0</v>
      </c>
    </row>
    <row r="725">
      <c r="A725" s="2" t="inlineStr">
        <is>
          <t>IT00288_01</t>
        </is>
      </c>
      <c r="B725" s="2" t="inlineStr">
        <is>
          <t>PED00288</t>
        </is>
      </c>
      <c r="C725" s="2" t="inlineStr">
        <is>
          <t>P004</t>
        </is>
      </c>
      <c r="D725" s="2" t="n">
        <v>2</v>
      </c>
      <c r="E725" s="19" t="n">
        <v>0</v>
      </c>
    </row>
    <row r="726">
      <c r="A726" s="2" t="inlineStr">
        <is>
          <t>IT00289_01</t>
        </is>
      </c>
      <c r="B726" s="2" t="inlineStr">
        <is>
          <t>PED00289</t>
        </is>
      </c>
      <c r="C726" s="2" t="inlineStr">
        <is>
          <t>P015</t>
        </is>
      </c>
      <c r="D726" s="2" t="n">
        <v>1</v>
      </c>
      <c r="E726" s="19" t="n">
        <v>0</v>
      </c>
    </row>
    <row r="727">
      <c r="A727" s="2" t="inlineStr">
        <is>
          <t>IT00289_02</t>
        </is>
      </c>
      <c r="B727" s="2" t="inlineStr">
        <is>
          <t>PED00289</t>
        </is>
      </c>
      <c r="C727" s="2" t="inlineStr">
        <is>
          <t>P042</t>
        </is>
      </c>
      <c r="D727" s="2" t="n">
        <v>1</v>
      </c>
      <c r="E727" s="19" t="n">
        <v>0</v>
      </c>
    </row>
    <row r="728">
      <c r="A728" s="2" t="inlineStr">
        <is>
          <t>IT00290_01</t>
        </is>
      </c>
      <c r="B728" s="2" t="inlineStr">
        <is>
          <t>PED00290</t>
        </is>
      </c>
      <c r="C728" s="2" t="inlineStr">
        <is>
          <t>P059</t>
        </is>
      </c>
      <c r="D728" s="2" t="n">
        <v>1</v>
      </c>
      <c r="E728" s="19" t="n">
        <v>0</v>
      </c>
    </row>
    <row r="729">
      <c r="A729" s="2" t="inlineStr">
        <is>
          <t>IT00291_01</t>
        </is>
      </c>
      <c r="B729" s="2" t="inlineStr">
        <is>
          <t>PED00291</t>
        </is>
      </c>
      <c r="C729" s="2" t="inlineStr">
        <is>
          <t>P008</t>
        </is>
      </c>
      <c r="D729" s="2" t="n">
        <v>1</v>
      </c>
      <c r="E729" s="19" t="n">
        <v>0</v>
      </c>
    </row>
    <row r="730">
      <c r="A730" s="2" t="inlineStr">
        <is>
          <t>IT00291_02</t>
        </is>
      </c>
      <c r="B730" s="2" t="inlineStr">
        <is>
          <t>PED00291</t>
        </is>
      </c>
      <c r="C730" s="2" t="inlineStr">
        <is>
          <t>P036</t>
        </is>
      </c>
      <c r="D730" s="2" t="n">
        <v>1</v>
      </c>
      <c r="E730" s="19" t="n">
        <v>0.02</v>
      </c>
    </row>
    <row r="731">
      <c r="A731" s="2" t="inlineStr">
        <is>
          <t>IT00291_03</t>
        </is>
      </c>
      <c r="B731" s="2" t="inlineStr">
        <is>
          <t>PED00291</t>
        </is>
      </c>
      <c r="C731" s="2" t="inlineStr">
        <is>
          <t>P018</t>
        </is>
      </c>
      <c r="D731" s="2" t="n">
        <v>1</v>
      </c>
      <c r="E731" s="19" t="n">
        <v>0</v>
      </c>
    </row>
    <row r="732">
      <c r="A732" s="2" t="inlineStr">
        <is>
          <t>IT00292_01</t>
        </is>
      </c>
      <c r="B732" s="2" t="inlineStr">
        <is>
          <t>PED00292</t>
        </is>
      </c>
      <c r="C732" s="2" t="inlineStr">
        <is>
          <t>P067</t>
        </is>
      </c>
      <c r="D732" s="2" t="n">
        <v>4</v>
      </c>
      <c r="E732" s="19" t="n">
        <v>0</v>
      </c>
    </row>
    <row r="733">
      <c r="A733" s="2" t="inlineStr">
        <is>
          <t>IT00292_02</t>
        </is>
      </c>
      <c r="B733" s="2" t="inlineStr">
        <is>
          <t>PED00292</t>
        </is>
      </c>
      <c r="C733" s="2" t="inlineStr">
        <is>
          <t>P063</t>
        </is>
      </c>
      <c r="D733" s="2" t="n">
        <v>2</v>
      </c>
      <c r="E733" s="19" t="n">
        <v>0</v>
      </c>
    </row>
    <row r="734">
      <c r="A734" s="2" t="inlineStr">
        <is>
          <t>IT00293_01</t>
        </is>
      </c>
      <c r="B734" s="2" t="inlineStr">
        <is>
          <t>PED00293</t>
        </is>
      </c>
      <c r="C734" s="2" t="inlineStr">
        <is>
          <t>P020</t>
        </is>
      </c>
      <c r="D734" s="2" t="n">
        <v>1</v>
      </c>
      <c r="E734" s="19" t="n">
        <v>0</v>
      </c>
    </row>
    <row r="735">
      <c r="A735" s="2" t="inlineStr">
        <is>
          <t>IT00293_02</t>
        </is>
      </c>
      <c r="B735" s="2" t="inlineStr">
        <is>
          <t>PED00293</t>
        </is>
      </c>
      <c r="C735" s="2" t="inlineStr">
        <is>
          <t>P001</t>
        </is>
      </c>
      <c r="D735" s="2" t="n">
        <v>3</v>
      </c>
      <c r="E735" s="19" t="n">
        <v>0</v>
      </c>
    </row>
    <row r="736">
      <c r="A736" s="2" t="inlineStr">
        <is>
          <t>IT00293_03</t>
        </is>
      </c>
      <c r="B736" s="2" t="inlineStr">
        <is>
          <t>PED00293</t>
        </is>
      </c>
      <c r="C736" s="2" t="inlineStr">
        <is>
          <t>P054</t>
        </is>
      </c>
      <c r="D736" s="2" t="n">
        <v>2</v>
      </c>
      <c r="E736" s="19" t="n">
        <v>0</v>
      </c>
    </row>
    <row r="737">
      <c r="A737" s="2" t="inlineStr">
        <is>
          <t>IT00293_04</t>
        </is>
      </c>
      <c r="B737" s="2" t="inlineStr">
        <is>
          <t>PED00293</t>
        </is>
      </c>
      <c r="C737" s="2" t="inlineStr">
        <is>
          <t>P006</t>
        </is>
      </c>
      <c r="D737" s="2" t="n">
        <v>3</v>
      </c>
      <c r="E737" s="19" t="n">
        <v>0.05</v>
      </c>
    </row>
    <row r="738">
      <c r="A738" s="2" t="inlineStr">
        <is>
          <t>IT00294_01</t>
        </is>
      </c>
      <c r="B738" s="2" t="inlineStr">
        <is>
          <t>PED00294</t>
        </is>
      </c>
      <c r="C738" s="2" t="inlineStr">
        <is>
          <t>P028</t>
        </is>
      </c>
      <c r="D738" s="2" t="n">
        <v>1</v>
      </c>
      <c r="E738" s="19" t="n">
        <v>0</v>
      </c>
    </row>
    <row r="739">
      <c r="A739" s="2" t="inlineStr">
        <is>
          <t>IT00294_02</t>
        </is>
      </c>
      <c r="B739" s="2" t="inlineStr">
        <is>
          <t>PED00294</t>
        </is>
      </c>
      <c r="C739" s="2" t="inlineStr">
        <is>
          <t>P017</t>
        </is>
      </c>
      <c r="D739" s="2" t="n">
        <v>10</v>
      </c>
      <c r="E739" s="19" t="n">
        <v>0</v>
      </c>
    </row>
    <row r="740">
      <c r="A740" s="2" t="inlineStr">
        <is>
          <t>IT00295_01</t>
        </is>
      </c>
      <c r="B740" s="2" t="inlineStr">
        <is>
          <t>PED00295</t>
        </is>
      </c>
      <c r="C740" s="2" t="inlineStr">
        <is>
          <t>P059</t>
        </is>
      </c>
      <c r="D740" s="2" t="n">
        <v>2</v>
      </c>
      <c r="E740" s="19" t="n">
        <v>0</v>
      </c>
    </row>
    <row r="741">
      <c r="A741" s="2" t="inlineStr">
        <is>
          <t>IT00296_01</t>
        </is>
      </c>
      <c r="B741" s="2" t="inlineStr">
        <is>
          <t>PED00296</t>
        </is>
      </c>
      <c r="C741" s="2" t="inlineStr">
        <is>
          <t>P010</t>
        </is>
      </c>
      <c r="D741" s="2" t="n">
        <v>2</v>
      </c>
      <c r="E741" s="19" t="n">
        <v>0</v>
      </c>
    </row>
    <row r="742">
      <c r="A742" s="2" t="inlineStr">
        <is>
          <t>IT00296_02</t>
        </is>
      </c>
      <c r="B742" s="2" t="inlineStr">
        <is>
          <t>PED00296</t>
        </is>
      </c>
      <c r="C742" s="2" t="inlineStr">
        <is>
          <t>P050</t>
        </is>
      </c>
      <c r="D742" s="2" t="n">
        <v>3</v>
      </c>
      <c r="E742" s="19" t="n">
        <v>0.02</v>
      </c>
    </row>
    <row r="743">
      <c r="A743" s="2" t="inlineStr">
        <is>
          <t>IT00296_03</t>
        </is>
      </c>
      <c r="B743" s="2" t="inlineStr">
        <is>
          <t>PED00296</t>
        </is>
      </c>
      <c r="C743" s="2" t="inlineStr">
        <is>
          <t>P043</t>
        </is>
      </c>
      <c r="D743" s="2" t="n">
        <v>2</v>
      </c>
      <c r="E743" s="19" t="n">
        <v>0</v>
      </c>
    </row>
    <row r="744">
      <c r="A744" s="2" t="inlineStr">
        <is>
          <t>IT00297_01</t>
        </is>
      </c>
      <c r="B744" s="2" t="inlineStr">
        <is>
          <t>PED00297</t>
        </is>
      </c>
      <c r="C744" s="2" t="inlineStr">
        <is>
          <t>P007</t>
        </is>
      </c>
      <c r="D744" s="2" t="n">
        <v>1</v>
      </c>
      <c r="E744" s="19" t="n">
        <v>0</v>
      </c>
    </row>
    <row r="745">
      <c r="A745" s="2" t="inlineStr">
        <is>
          <t>IT00297_02</t>
        </is>
      </c>
      <c r="B745" s="2" t="inlineStr">
        <is>
          <t>PED00297</t>
        </is>
      </c>
      <c r="C745" s="2" t="inlineStr">
        <is>
          <t>P015</t>
        </is>
      </c>
      <c r="D745" s="2" t="n">
        <v>1</v>
      </c>
      <c r="E745" s="19" t="n">
        <v>0</v>
      </c>
    </row>
    <row r="746">
      <c r="A746" s="2" t="inlineStr">
        <is>
          <t>IT00297_03</t>
        </is>
      </c>
      <c r="B746" s="2" t="inlineStr">
        <is>
          <t>PED00297</t>
        </is>
      </c>
      <c r="C746" s="2" t="inlineStr">
        <is>
          <t>P050</t>
        </is>
      </c>
      <c r="D746" s="2" t="n">
        <v>2</v>
      </c>
      <c r="E746" s="19" t="n">
        <v>0</v>
      </c>
    </row>
    <row r="747">
      <c r="A747" s="2" t="inlineStr">
        <is>
          <t>IT00298_01</t>
        </is>
      </c>
      <c r="B747" s="2" t="inlineStr">
        <is>
          <t>PED00298</t>
        </is>
      </c>
      <c r="C747" s="2" t="inlineStr">
        <is>
          <t>P027</t>
        </is>
      </c>
      <c r="D747" s="2" t="n">
        <v>1</v>
      </c>
      <c r="E747" s="19" t="n">
        <v>0.05</v>
      </c>
    </row>
    <row r="748">
      <c r="A748" s="2" t="inlineStr">
        <is>
          <t>IT00298_02</t>
        </is>
      </c>
      <c r="B748" s="2" t="inlineStr">
        <is>
          <t>PED00298</t>
        </is>
      </c>
      <c r="C748" s="2" t="inlineStr">
        <is>
          <t>P029</t>
        </is>
      </c>
      <c r="D748" s="2" t="n">
        <v>2</v>
      </c>
      <c r="E748" s="19" t="n">
        <v>0</v>
      </c>
    </row>
    <row r="749">
      <c r="A749" s="2" t="inlineStr">
        <is>
          <t>IT00299_01</t>
        </is>
      </c>
      <c r="B749" s="2" t="inlineStr">
        <is>
          <t>PED00299</t>
        </is>
      </c>
      <c r="C749" s="2" t="inlineStr">
        <is>
          <t>P069</t>
        </is>
      </c>
      <c r="D749" s="2" t="n">
        <v>2</v>
      </c>
      <c r="E749" s="19" t="n">
        <v>0</v>
      </c>
    </row>
    <row r="750">
      <c r="A750" s="2" t="inlineStr">
        <is>
          <t>IT00300_01</t>
        </is>
      </c>
      <c r="B750" s="2" t="inlineStr">
        <is>
          <t>PED00300</t>
        </is>
      </c>
      <c r="C750" s="2" t="inlineStr">
        <is>
          <t>P009</t>
        </is>
      </c>
      <c r="D750" s="2" t="n">
        <v>1</v>
      </c>
      <c r="E750" s="19" t="n">
        <v>0</v>
      </c>
    </row>
    <row r="751">
      <c r="A751" s="2" t="inlineStr">
        <is>
          <t>IT00300_02</t>
        </is>
      </c>
      <c r="B751" s="2" t="inlineStr">
        <is>
          <t>PED00300</t>
        </is>
      </c>
      <c r="C751" s="2" t="inlineStr">
        <is>
          <t>P025</t>
        </is>
      </c>
      <c r="D751" s="2" t="n">
        <v>5</v>
      </c>
      <c r="E751" s="19" t="n">
        <v>0</v>
      </c>
    </row>
    <row r="752">
      <c r="A752" s="2" t="inlineStr">
        <is>
          <t>IT00300_03</t>
        </is>
      </c>
      <c r="B752" s="2" t="inlineStr">
        <is>
          <t>PED00300</t>
        </is>
      </c>
      <c r="C752" s="2" t="inlineStr">
        <is>
          <t>P059</t>
        </is>
      </c>
      <c r="D752" s="2" t="n">
        <v>1</v>
      </c>
      <c r="E752" s="19" t="n">
        <v>0</v>
      </c>
    </row>
    <row r="753">
      <c r="A753" s="2" t="inlineStr">
        <is>
          <t>IT00300_04</t>
        </is>
      </c>
      <c r="B753" s="2" t="inlineStr">
        <is>
          <t>PED00300</t>
        </is>
      </c>
      <c r="C753" s="2" t="inlineStr">
        <is>
          <t>P012</t>
        </is>
      </c>
      <c r="D753" s="2" t="n">
        <v>1</v>
      </c>
      <c r="E753" s="19" t="n">
        <v>0</v>
      </c>
    </row>
    <row r="754">
      <c r="A754" s="2" t="inlineStr">
        <is>
          <t>IT00300_05</t>
        </is>
      </c>
      <c r="B754" s="2" t="inlineStr">
        <is>
          <t>PED00300</t>
        </is>
      </c>
      <c r="C754" s="2" t="inlineStr">
        <is>
          <t>P011</t>
        </is>
      </c>
      <c r="D754" s="2" t="n">
        <v>1</v>
      </c>
      <c r="E754" s="19" t="n">
        <v>0.1</v>
      </c>
    </row>
    <row r="755">
      <c r="A755" s="2" t="inlineStr">
        <is>
          <t>IT00301_01</t>
        </is>
      </c>
      <c r="B755" s="2" t="inlineStr">
        <is>
          <t>PED00301</t>
        </is>
      </c>
      <c r="C755" s="2" t="inlineStr">
        <is>
          <t>P057</t>
        </is>
      </c>
      <c r="D755" s="2" t="n">
        <v>1</v>
      </c>
      <c r="E755" s="19" t="n">
        <v>0</v>
      </c>
    </row>
    <row r="756">
      <c r="A756" s="2" t="inlineStr">
        <is>
          <t>IT00301_02</t>
        </is>
      </c>
      <c r="B756" s="2" t="inlineStr">
        <is>
          <t>PED00301</t>
        </is>
      </c>
      <c r="C756" s="2" t="inlineStr">
        <is>
          <t>P003</t>
        </is>
      </c>
      <c r="D756" s="2" t="n">
        <v>4</v>
      </c>
      <c r="E756" s="19" t="n">
        <v>0</v>
      </c>
    </row>
    <row r="757">
      <c r="A757" s="2" t="inlineStr">
        <is>
          <t>IT00302_01</t>
        </is>
      </c>
      <c r="B757" s="2" t="inlineStr">
        <is>
          <t>PED00302</t>
        </is>
      </c>
      <c r="C757" s="2" t="inlineStr">
        <is>
          <t>P068</t>
        </is>
      </c>
      <c r="D757" s="2" t="n">
        <v>2</v>
      </c>
      <c r="E757" s="19" t="n">
        <v>0</v>
      </c>
    </row>
    <row r="758">
      <c r="A758" s="2" t="inlineStr">
        <is>
          <t>IT00302_02</t>
        </is>
      </c>
      <c r="B758" s="2" t="inlineStr">
        <is>
          <t>PED00302</t>
        </is>
      </c>
      <c r="C758" s="2" t="inlineStr">
        <is>
          <t>P057</t>
        </is>
      </c>
      <c r="D758" s="2" t="n">
        <v>4</v>
      </c>
      <c r="E758" s="19" t="n">
        <v>0</v>
      </c>
    </row>
    <row r="759">
      <c r="A759" s="2" t="inlineStr">
        <is>
          <t>IT00303_01</t>
        </is>
      </c>
      <c r="B759" s="2" t="inlineStr">
        <is>
          <t>PED00303</t>
        </is>
      </c>
      <c r="C759" s="2" t="inlineStr">
        <is>
          <t>P037</t>
        </is>
      </c>
      <c r="D759" s="2" t="n">
        <v>2</v>
      </c>
      <c r="E759" s="19" t="n">
        <v>0</v>
      </c>
    </row>
    <row r="760">
      <c r="A760" s="2" t="inlineStr">
        <is>
          <t>IT00304_01</t>
        </is>
      </c>
      <c r="B760" s="2" t="inlineStr">
        <is>
          <t>PED00304</t>
        </is>
      </c>
      <c r="C760" s="2" t="inlineStr">
        <is>
          <t>P020</t>
        </is>
      </c>
      <c r="D760" s="2" t="n">
        <v>1</v>
      </c>
      <c r="E760" s="19" t="n">
        <v>0</v>
      </c>
    </row>
    <row r="761">
      <c r="A761" s="2" t="inlineStr">
        <is>
          <t>IT00304_02</t>
        </is>
      </c>
      <c r="B761" s="2" t="inlineStr">
        <is>
          <t>PED00304</t>
        </is>
      </c>
      <c r="C761" s="2" t="inlineStr">
        <is>
          <t>P021</t>
        </is>
      </c>
      <c r="D761" s="2" t="n">
        <v>1</v>
      </c>
      <c r="E761" s="19" t="n">
        <v>0</v>
      </c>
    </row>
    <row r="762">
      <c r="A762" s="2" t="inlineStr">
        <is>
          <t>IT00304_03</t>
        </is>
      </c>
      <c r="B762" s="2" t="inlineStr">
        <is>
          <t>PED00304</t>
        </is>
      </c>
      <c r="C762" s="2" t="inlineStr">
        <is>
          <t>P031</t>
        </is>
      </c>
      <c r="D762" s="2" t="n">
        <v>1</v>
      </c>
      <c r="E762" s="19" t="n">
        <v>0</v>
      </c>
    </row>
    <row r="763">
      <c r="A763" s="2" t="inlineStr">
        <is>
          <t>IT00304_04</t>
        </is>
      </c>
      <c r="B763" s="2" t="inlineStr">
        <is>
          <t>PED00304</t>
        </is>
      </c>
      <c r="C763" s="2" t="inlineStr">
        <is>
          <t>P015</t>
        </is>
      </c>
      <c r="D763" s="2" t="n">
        <v>1</v>
      </c>
      <c r="E763" s="19" t="n">
        <v>0</v>
      </c>
    </row>
    <row r="764">
      <c r="A764" s="2" t="inlineStr">
        <is>
          <t>IT00305_01</t>
        </is>
      </c>
      <c r="B764" s="2" t="inlineStr">
        <is>
          <t>PED00305</t>
        </is>
      </c>
      <c r="C764" s="2" t="inlineStr">
        <is>
          <t>P004</t>
        </is>
      </c>
      <c r="D764" s="2" t="n">
        <v>1</v>
      </c>
      <c r="E764" s="19" t="n">
        <v>0</v>
      </c>
    </row>
    <row r="765">
      <c r="A765" s="2" t="inlineStr">
        <is>
          <t>IT00306_01</t>
        </is>
      </c>
      <c r="B765" s="2" t="inlineStr">
        <is>
          <t>PED00306</t>
        </is>
      </c>
      <c r="C765" s="2" t="inlineStr">
        <is>
          <t>P038</t>
        </is>
      </c>
      <c r="D765" s="2" t="n">
        <v>4</v>
      </c>
      <c r="E765" s="19" t="n">
        <v>0.1</v>
      </c>
    </row>
    <row r="766">
      <c r="A766" s="2" t="inlineStr">
        <is>
          <t>IT00306_02</t>
        </is>
      </c>
      <c r="B766" s="2" t="inlineStr">
        <is>
          <t>PED00306</t>
        </is>
      </c>
      <c r="C766" s="2" t="inlineStr">
        <is>
          <t>P061</t>
        </is>
      </c>
      <c r="D766" s="2" t="n">
        <v>3</v>
      </c>
      <c r="E766" s="19" t="n">
        <v>0.1</v>
      </c>
    </row>
    <row r="767">
      <c r="A767" s="2" t="inlineStr">
        <is>
          <t>IT00307_01</t>
        </is>
      </c>
      <c r="B767" s="2" t="inlineStr">
        <is>
          <t>PED00307</t>
        </is>
      </c>
      <c r="C767" s="2" t="inlineStr">
        <is>
          <t>P015</t>
        </is>
      </c>
      <c r="D767" s="2" t="n">
        <v>1</v>
      </c>
      <c r="E767" s="19" t="n">
        <v>0</v>
      </c>
    </row>
    <row r="768">
      <c r="A768" s="2" t="inlineStr">
        <is>
          <t>IT00308_01</t>
        </is>
      </c>
      <c r="B768" s="2" t="inlineStr">
        <is>
          <t>PED00308</t>
        </is>
      </c>
      <c r="C768" s="2" t="inlineStr">
        <is>
          <t>P029</t>
        </is>
      </c>
      <c r="D768" s="2" t="n">
        <v>1</v>
      </c>
      <c r="E768" s="19" t="n">
        <v>0</v>
      </c>
    </row>
    <row r="769">
      <c r="A769" s="2" t="inlineStr">
        <is>
          <t>IT00308_02</t>
        </is>
      </c>
      <c r="B769" s="2" t="inlineStr">
        <is>
          <t>PED00308</t>
        </is>
      </c>
      <c r="C769" s="2" t="inlineStr">
        <is>
          <t>P036</t>
        </is>
      </c>
      <c r="D769" s="2" t="n">
        <v>2</v>
      </c>
      <c r="E769" s="19" t="n">
        <v>0.02</v>
      </c>
    </row>
    <row r="770">
      <c r="A770" s="2" t="inlineStr">
        <is>
          <t>IT00308_03</t>
        </is>
      </c>
      <c r="B770" s="2" t="inlineStr">
        <is>
          <t>PED00308</t>
        </is>
      </c>
      <c r="C770" s="2" t="inlineStr">
        <is>
          <t>P026</t>
        </is>
      </c>
      <c r="D770" s="2" t="n">
        <v>1</v>
      </c>
      <c r="E770" s="19" t="n">
        <v>0</v>
      </c>
    </row>
    <row r="771">
      <c r="A771" s="2" t="inlineStr">
        <is>
          <t>IT00309_01</t>
        </is>
      </c>
      <c r="B771" s="2" t="inlineStr">
        <is>
          <t>PED00309</t>
        </is>
      </c>
      <c r="C771" s="2" t="inlineStr">
        <is>
          <t>P051</t>
        </is>
      </c>
      <c r="D771" s="2" t="n">
        <v>1</v>
      </c>
      <c r="E771" s="19" t="n">
        <v>0</v>
      </c>
    </row>
    <row r="772">
      <c r="A772" s="2" t="inlineStr">
        <is>
          <t>IT00309_02</t>
        </is>
      </c>
      <c r="B772" s="2" t="inlineStr">
        <is>
          <t>PED00309</t>
        </is>
      </c>
      <c r="C772" s="2" t="inlineStr">
        <is>
          <t>P019</t>
        </is>
      </c>
      <c r="D772" s="2" t="n">
        <v>1</v>
      </c>
      <c r="E772" s="19" t="n">
        <v>0</v>
      </c>
    </row>
    <row r="773">
      <c r="A773" s="2" t="inlineStr">
        <is>
          <t>IT00309_03</t>
        </is>
      </c>
      <c r="B773" s="2" t="inlineStr">
        <is>
          <t>PED00309</t>
        </is>
      </c>
      <c r="C773" s="2" t="inlineStr">
        <is>
          <t>P055</t>
        </is>
      </c>
      <c r="D773" s="2" t="n">
        <v>5</v>
      </c>
      <c r="E773" s="19" t="n">
        <v>0.05</v>
      </c>
    </row>
    <row r="774">
      <c r="A774" s="2" t="inlineStr">
        <is>
          <t>IT00310_01</t>
        </is>
      </c>
      <c r="B774" s="2" t="inlineStr">
        <is>
          <t>PED00310</t>
        </is>
      </c>
      <c r="C774" s="2" t="inlineStr">
        <is>
          <t>P055</t>
        </is>
      </c>
      <c r="D774" s="2" t="n">
        <v>3</v>
      </c>
      <c r="E774" s="19" t="n">
        <v>0</v>
      </c>
    </row>
    <row r="775">
      <c r="A775" s="2" t="inlineStr">
        <is>
          <t>IT00311_01</t>
        </is>
      </c>
      <c r="B775" s="2" t="inlineStr">
        <is>
          <t>PED00311</t>
        </is>
      </c>
      <c r="C775" s="2" t="inlineStr">
        <is>
          <t>P043</t>
        </is>
      </c>
      <c r="D775" s="2" t="n">
        <v>5</v>
      </c>
      <c r="E775" s="19" t="n">
        <v>0</v>
      </c>
    </row>
    <row r="776">
      <c r="A776" s="2" t="inlineStr">
        <is>
          <t>IT00311_02</t>
        </is>
      </c>
      <c r="B776" s="2" t="inlineStr">
        <is>
          <t>PED00311</t>
        </is>
      </c>
      <c r="C776" s="2" t="inlineStr">
        <is>
          <t>P009</t>
        </is>
      </c>
      <c r="D776" s="2" t="n">
        <v>1</v>
      </c>
      <c r="E776" s="19" t="n">
        <v>0</v>
      </c>
    </row>
    <row r="777">
      <c r="A777" s="2" t="inlineStr">
        <is>
          <t>IT00312_01</t>
        </is>
      </c>
      <c r="B777" s="2" t="inlineStr">
        <is>
          <t>PED00312</t>
        </is>
      </c>
      <c r="C777" s="2" t="inlineStr">
        <is>
          <t>P026</t>
        </is>
      </c>
      <c r="D777" s="2" t="n">
        <v>2</v>
      </c>
      <c r="E777" s="19" t="n">
        <v>0</v>
      </c>
    </row>
    <row r="778">
      <c r="A778" s="2" t="inlineStr">
        <is>
          <t>IT00312_02</t>
        </is>
      </c>
      <c r="B778" s="2" t="inlineStr">
        <is>
          <t>PED00312</t>
        </is>
      </c>
      <c r="C778" s="2" t="inlineStr">
        <is>
          <t>P024</t>
        </is>
      </c>
      <c r="D778" s="2" t="n">
        <v>3</v>
      </c>
      <c r="E778" s="19" t="n">
        <v>0.05</v>
      </c>
    </row>
    <row r="779">
      <c r="A779" s="2" t="inlineStr">
        <is>
          <t>IT00312_03</t>
        </is>
      </c>
      <c r="B779" s="2" t="inlineStr">
        <is>
          <t>PED00312</t>
        </is>
      </c>
      <c r="C779" s="2" t="inlineStr">
        <is>
          <t>P049</t>
        </is>
      </c>
      <c r="D779" s="2" t="n">
        <v>1</v>
      </c>
      <c r="E779" s="19" t="n">
        <v>0</v>
      </c>
    </row>
    <row r="780">
      <c r="A780" s="2" t="inlineStr">
        <is>
          <t>IT00312_04</t>
        </is>
      </c>
      <c r="B780" s="2" t="inlineStr">
        <is>
          <t>PED00312</t>
        </is>
      </c>
      <c r="C780" s="2" t="inlineStr">
        <is>
          <t>P038</t>
        </is>
      </c>
      <c r="D780" s="2" t="n">
        <v>2</v>
      </c>
      <c r="E780" s="19" t="n">
        <v>0</v>
      </c>
    </row>
    <row r="781">
      <c r="A781" s="2" t="inlineStr">
        <is>
          <t>IT00313_01</t>
        </is>
      </c>
      <c r="B781" s="2" t="inlineStr">
        <is>
          <t>PED00313</t>
        </is>
      </c>
      <c r="C781" s="2" t="inlineStr">
        <is>
          <t>P037</t>
        </is>
      </c>
      <c r="D781" s="2" t="n">
        <v>1</v>
      </c>
      <c r="E781" s="19" t="n">
        <v>0</v>
      </c>
    </row>
    <row r="782">
      <c r="A782" s="2" t="inlineStr">
        <is>
          <t>IT00314_01</t>
        </is>
      </c>
      <c r="B782" s="2" t="inlineStr">
        <is>
          <t>PED00314</t>
        </is>
      </c>
      <c r="C782" s="2" t="inlineStr">
        <is>
          <t>P047</t>
        </is>
      </c>
      <c r="D782" s="2" t="n">
        <v>5</v>
      </c>
      <c r="E782" s="19" t="n">
        <v>0.05</v>
      </c>
    </row>
    <row r="783">
      <c r="A783" s="2" t="inlineStr">
        <is>
          <t>IT00314_02</t>
        </is>
      </c>
      <c r="B783" s="2" t="inlineStr">
        <is>
          <t>PED00314</t>
        </is>
      </c>
      <c r="C783" s="2" t="inlineStr">
        <is>
          <t>P062</t>
        </is>
      </c>
      <c r="D783" s="2" t="n">
        <v>1</v>
      </c>
      <c r="E783" s="19" t="n">
        <v>0.02</v>
      </c>
    </row>
    <row r="784">
      <c r="A784" s="2" t="inlineStr">
        <is>
          <t>IT00314_03</t>
        </is>
      </c>
      <c r="B784" s="2" t="inlineStr">
        <is>
          <t>PED00314</t>
        </is>
      </c>
      <c r="C784" s="2" t="inlineStr">
        <is>
          <t>P056</t>
        </is>
      </c>
      <c r="D784" s="2" t="n">
        <v>1</v>
      </c>
      <c r="E784" s="19" t="n">
        <v>0</v>
      </c>
    </row>
    <row r="785">
      <c r="A785" s="2" t="inlineStr">
        <is>
          <t>IT00314_04</t>
        </is>
      </c>
      <c r="B785" s="2" t="inlineStr">
        <is>
          <t>PED00314</t>
        </is>
      </c>
      <c r="C785" s="2" t="inlineStr">
        <is>
          <t>P034</t>
        </is>
      </c>
      <c r="D785" s="2" t="n">
        <v>2</v>
      </c>
      <c r="E785" s="19" t="n">
        <v>0</v>
      </c>
    </row>
    <row r="786">
      <c r="A786" s="2" t="inlineStr">
        <is>
          <t>IT00314_05</t>
        </is>
      </c>
      <c r="B786" s="2" t="inlineStr">
        <is>
          <t>PED00314</t>
        </is>
      </c>
      <c r="C786" s="2" t="inlineStr">
        <is>
          <t>P061</t>
        </is>
      </c>
      <c r="D786" s="2" t="n">
        <v>2</v>
      </c>
      <c r="E786" s="19" t="n">
        <v>0.02</v>
      </c>
    </row>
    <row r="787">
      <c r="A787" s="2" t="inlineStr">
        <is>
          <t>IT00315_01</t>
        </is>
      </c>
      <c r="B787" s="2" t="inlineStr">
        <is>
          <t>PED00315</t>
        </is>
      </c>
      <c r="C787" s="2" t="inlineStr">
        <is>
          <t>P038</t>
        </is>
      </c>
      <c r="D787" s="2" t="n">
        <v>2</v>
      </c>
      <c r="E787" s="19" t="n">
        <v>0</v>
      </c>
    </row>
    <row r="788">
      <c r="A788" s="2" t="inlineStr">
        <is>
          <t>IT00315_02</t>
        </is>
      </c>
      <c r="B788" s="2" t="inlineStr">
        <is>
          <t>PED00315</t>
        </is>
      </c>
      <c r="C788" s="2" t="inlineStr">
        <is>
          <t>P068</t>
        </is>
      </c>
      <c r="D788" s="2" t="n">
        <v>1</v>
      </c>
      <c r="E788" s="19" t="n">
        <v>0</v>
      </c>
    </row>
    <row r="789">
      <c r="A789" s="2" t="inlineStr">
        <is>
          <t>IT00316_01</t>
        </is>
      </c>
      <c r="B789" s="2" t="inlineStr">
        <is>
          <t>PED00316</t>
        </is>
      </c>
      <c r="C789" s="2" t="inlineStr">
        <is>
          <t>P039</t>
        </is>
      </c>
      <c r="D789" s="2" t="n">
        <v>1</v>
      </c>
      <c r="E789" s="19" t="n">
        <v>0</v>
      </c>
    </row>
    <row r="790">
      <c r="A790" s="2" t="inlineStr">
        <is>
          <t>IT00316_02</t>
        </is>
      </c>
      <c r="B790" s="2" t="inlineStr">
        <is>
          <t>PED00316</t>
        </is>
      </c>
      <c r="C790" s="2" t="inlineStr">
        <is>
          <t>P035</t>
        </is>
      </c>
      <c r="D790" s="2" t="n">
        <v>3</v>
      </c>
      <c r="E790" s="19" t="n">
        <v>0</v>
      </c>
    </row>
    <row r="791">
      <c r="A791" s="2" t="inlineStr">
        <is>
          <t>IT00316_03</t>
        </is>
      </c>
      <c r="B791" s="2" t="inlineStr">
        <is>
          <t>PED00316</t>
        </is>
      </c>
      <c r="C791" s="2" t="inlineStr">
        <is>
          <t>P047</t>
        </is>
      </c>
      <c r="D791" s="2" t="n">
        <v>2</v>
      </c>
      <c r="E791" s="19" t="n">
        <v>0</v>
      </c>
    </row>
    <row r="792">
      <c r="A792" s="2" t="inlineStr">
        <is>
          <t>IT00317_01</t>
        </is>
      </c>
      <c r="B792" s="2" t="inlineStr">
        <is>
          <t>PED00317</t>
        </is>
      </c>
      <c r="C792" s="2" t="inlineStr">
        <is>
          <t>P025</t>
        </is>
      </c>
      <c r="D792" s="2" t="n">
        <v>3</v>
      </c>
      <c r="E792" s="19" t="n">
        <v>0.02</v>
      </c>
    </row>
    <row r="793">
      <c r="A793" s="2" t="inlineStr">
        <is>
          <t>IT00317_02</t>
        </is>
      </c>
      <c r="B793" s="2" t="inlineStr">
        <is>
          <t>PED00317</t>
        </is>
      </c>
      <c r="C793" s="2" t="inlineStr">
        <is>
          <t>P068</t>
        </is>
      </c>
      <c r="D793" s="2" t="n">
        <v>3</v>
      </c>
      <c r="E793" s="19" t="n">
        <v>0.05</v>
      </c>
    </row>
    <row r="794">
      <c r="A794" s="2" t="inlineStr">
        <is>
          <t>IT00318_01</t>
        </is>
      </c>
      <c r="B794" s="2" t="inlineStr">
        <is>
          <t>PED00318</t>
        </is>
      </c>
      <c r="C794" s="2" t="inlineStr">
        <is>
          <t>P047</t>
        </is>
      </c>
      <c r="D794" s="2" t="n">
        <v>3</v>
      </c>
      <c r="E794" s="19" t="n">
        <v>0.05</v>
      </c>
    </row>
    <row r="795">
      <c r="A795" s="2" t="inlineStr">
        <is>
          <t>IT00318_02</t>
        </is>
      </c>
      <c r="B795" s="2" t="inlineStr">
        <is>
          <t>PED00318</t>
        </is>
      </c>
      <c r="C795" s="2" t="inlineStr">
        <is>
          <t>P018</t>
        </is>
      </c>
      <c r="D795" s="2" t="n">
        <v>2</v>
      </c>
      <c r="E795" s="19" t="n">
        <v>0.02</v>
      </c>
    </row>
    <row r="796">
      <c r="A796" s="2" t="inlineStr">
        <is>
          <t>IT00319_01</t>
        </is>
      </c>
      <c r="B796" s="2" t="inlineStr">
        <is>
          <t>PED00319</t>
        </is>
      </c>
      <c r="C796" s="2" t="inlineStr">
        <is>
          <t>P019</t>
        </is>
      </c>
      <c r="D796" s="2" t="n">
        <v>1</v>
      </c>
      <c r="E796" s="19" t="n">
        <v>0.1</v>
      </c>
    </row>
    <row r="797">
      <c r="A797" s="2" t="inlineStr">
        <is>
          <t>IT00319_02</t>
        </is>
      </c>
      <c r="B797" s="2" t="inlineStr">
        <is>
          <t>PED00319</t>
        </is>
      </c>
      <c r="C797" s="2" t="inlineStr">
        <is>
          <t>P030</t>
        </is>
      </c>
      <c r="D797" s="2" t="n">
        <v>2</v>
      </c>
      <c r="E797" s="19" t="n">
        <v>0.02</v>
      </c>
    </row>
    <row r="798">
      <c r="A798" s="2" t="inlineStr">
        <is>
          <t>IT00319_03</t>
        </is>
      </c>
      <c r="B798" s="2" t="inlineStr">
        <is>
          <t>PED00319</t>
        </is>
      </c>
      <c r="C798" s="2" t="inlineStr">
        <is>
          <t>P040</t>
        </is>
      </c>
      <c r="D798" s="2" t="n">
        <v>1</v>
      </c>
      <c r="E798" s="19" t="n">
        <v>0</v>
      </c>
    </row>
    <row r="799">
      <c r="A799" s="2" t="inlineStr">
        <is>
          <t>IT00319_04</t>
        </is>
      </c>
      <c r="B799" s="2" t="inlineStr">
        <is>
          <t>PED00319</t>
        </is>
      </c>
      <c r="C799" s="2" t="inlineStr">
        <is>
          <t>P017</t>
        </is>
      </c>
      <c r="D799" s="2" t="n">
        <v>2</v>
      </c>
      <c r="E799" s="19" t="n">
        <v>0</v>
      </c>
    </row>
    <row r="800">
      <c r="A800" s="2" t="inlineStr">
        <is>
          <t>IT00320_01</t>
        </is>
      </c>
      <c r="B800" s="2" t="inlineStr">
        <is>
          <t>PED00320</t>
        </is>
      </c>
      <c r="C800" s="2" t="inlineStr">
        <is>
          <t>P033</t>
        </is>
      </c>
      <c r="D800" s="2" t="n">
        <v>1</v>
      </c>
      <c r="E800" s="19" t="n">
        <v>0</v>
      </c>
    </row>
    <row r="801">
      <c r="A801" s="2" t="inlineStr">
        <is>
          <t>IT00321_01</t>
        </is>
      </c>
      <c r="B801" s="2" t="inlineStr">
        <is>
          <t>PED00321</t>
        </is>
      </c>
      <c r="C801" s="2" t="inlineStr">
        <is>
          <t>P045</t>
        </is>
      </c>
      <c r="D801" s="2" t="n">
        <v>1</v>
      </c>
      <c r="E801" s="19" t="n">
        <v>0</v>
      </c>
    </row>
    <row r="802">
      <c r="A802" s="2" t="inlineStr">
        <is>
          <t>IT00322_01</t>
        </is>
      </c>
      <c r="B802" s="2" t="inlineStr">
        <is>
          <t>PED00322</t>
        </is>
      </c>
      <c r="C802" s="2" t="inlineStr">
        <is>
          <t>P065</t>
        </is>
      </c>
      <c r="D802" s="2" t="n">
        <v>3</v>
      </c>
      <c r="E802" s="19" t="n">
        <v>0.02</v>
      </c>
    </row>
    <row r="803">
      <c r="A803" s="2" t="inlineStr">
        <is>
          <t>IT00322_02</t>
        </is>
      </c>
      <c r="B803" s="2" t="inlineStr">
        <is>
          <t>PED00322</t>
        </is>
      </c>
      <c r="C803" s="2" t="inlineStr">
        <is>
          <t>P009</t>
        </is>
      </c>
      <c r="D803" s="2" t="n">
        <v>2</v>
      </c>
      <c r="E803" s="19" t="n">
        <v>0.02</v>
      </c>
    </row>
    <row r="804">
      <c r="A804" s="2" t="inlineStr">
        <is>
          <t>IT00322_03</t>
        </is>
      </c>
      <c r="B804" s="2" t="inlineStr">
        <is>
          <t>PED00322</t>
        </is>
      </c>
      <c r="C804" s="2" t="inlineStr">
        <is>
          <t>P013</t>
        </is>
      </c>
      <c r="D804" s="2" t="n">
        <v>5</v>
      </c>
      <c r="E804" s="19" t="n">
        <v>0</v>
      </c>
    </row>
    <row r="805">
      <c r="A805" s="2" t="inlineStr">
        <is>
          <t>IT00323_01</t>
        </is>
      </c>
      <c r="B805" s="2" t="inlineStr">
        <is>
          <t>PED00323</t>
        </is>
      </c>
      <c r="C805" s="2" t="inlineStr">
        <is>
          <t>P024</t>
        </is>
      </c>
      <c r="D805" s="2" t="n">
        <v>2</v>
      </c>
      <c r="E805" s="19" t="n">
        <v>0</v>
      </c>
    </row>
    <row r="806">
      <c r="A806" s="2" t="inlineStr">
        <is>
          <t>IT00323_02</t>
        </is>
      </c>
      <c r="B806" s="2" t="inlineStr">
        <is>
          <t>PED00323</t>
        </is>
      </c>
      <c r="C806" s="2" t="inlineStr">
        <is>
          <t>P057</t>
        </is>
      </c>
      <c r="D806" s="2" t="n">
        <v>3</v>
      </c>
      <c r="E806" s="19" t="n">
        <v>0.1</v>
      </c>
    </row>
    <row r="807">
      <c r="A807" s="2" t="inlineStr">
        <is>
          <t>IT00324_01</t>
        </is>
      </c>
      <c r="B807" s="2" t="inlineStr">
        <is>
          <t>PED00324</t>
        </is>
      </c>
      <c r="C807" s="2" t="inlineStr">
        <is>
          <t>P067</t>
        </is>
      </c>
      <c r="D807" s="2" t="n">
        <v>2</v>
      </c>
      <c r="E807" s="19" t="n">
        <v>0</v>
      </c>
    </row>
    <row r="808">
      <c r="A808" s="2" t="inlineStr">
        <is>
          <t>IT00324_02</t>
        </is>
      </c>
      <c r="B808" s="2" t="inlineStr">
        <is>
          <t>PED00324</t>
        </is>
      </c>
      <c r="C808" s="2" t="inlineStr">
        <is>
          <t>P018</t>
        </is>
      </c>
      <c r="D808" s="2" t="n">
        <v>1</v>
      </c>
      <c r="E808" s="19" t="n">
        <v>0.02</v>
      </c>
    </row>
    <row r="809">
      <c r="A809" s="2" t="inlineStr">
        <is>
          <t>IT00325_01</t>
        </is>
      </c>
      <c r="B809" s="2" t="inlineStr">
        <is>
          <t>PED00325</t>
        </is>
      </c>
      <c r="C809" s="2" t="inlineStr">
        <is>
          <t>P057</t>
        </is>
      </c>
      <c r="D809" s="2" t="n">
        <v>2</v>
      </c>
      <c r="E809" s="19" t="n">
        <v>0</v>
      </c>
    </row>
    <row r="810">
      <c r="A810" s="2" t="inlineStr">
        <is>
          <t>IT00325_02</t>
        </is>
      </c>
      <c r="B810" s="2" t="inlineStr">
        <is>
          <t>PED00325</t>
        </is>
      </c>
      <c r="C810" s="2" t="inlineStr">
        <is>
          <t>P029</t>
        </is>
      </c>
      <c r="D810" s="2" t="n">
        <v>4</v>
      </c>
      <c r="E810" s="19" t="n">
        <v>0</v>
      </c>
    </row>
    <row r="811">
      <c r="A811" s="2" t="inlineStr">
        <is>
          <t>IT00326_01</t>
        </is>
      </c>
      <c r="B811" s="2" t="inlineStr">
        <is>
          <t>PED00326</t>
        </is>
      </c>
      <c r="C811" s="2" t="inlineStr">
        <is>
          <t>P057</t>
        </is>
      </c>
      <c r="D811" s="2" t="n">
        <v>2</v>
      </c>
      <c r="E811" s="19" t="n">
        <v>0.02</v>
      </c>
    </row>
    <row r="812">
      <c r="A812" s="2" t="inlineStr">
        <is>
          <t>IT00327_01</t>
        </is>
      </c>
      <c r="B812" s="2" t="inlineStr">
        <is>
          <t>PED00327</t>
        </is>
      </c>
      <c r="C812" s="2" t="inlineStr">
        <is>
          <t>P022</t>
        </is>
      </c>
      <c r="D812" s="2" t="n">
        <v>1</v>
      </c>
      <c r="E812" s="19" t="n">
        <v>0</v>
      </c>
    </row>
    <row r="813">
      <c r="A813" s="2" t="inlineStr">
        <is>
          <t>IT00327_02</t>
        </is>
      </c>
      <c r="B813" s="2" t="inlineStr">
        <is>
          <t>PED00327</t>
        </is>
      </c>
      <c r="C813" s="2" t="inlineStr">
        <is>
          <t>P009</t>
        </is>
      </c>
      <c r="D813" s="2" t="n">
        <v>10</v>
      </c>
      <c r="E813" s="19" t="n">
        <v>0</v>
      </c>
    </row>
    <row r="814">
      <c r="A814" s="2" t="inlineStr">
        <is>
          <t>IT00327_03</t>
        </is>
      </c>
      <c r="B814" s="2" t="inlineStr">
        <is>
          <t>PED00327</t>
        </is>
      </c>
      <c r="C814" s="2" t="inlineStr">
        <is>
          <t>P047</t>
        </is>
      </c>
      <c r="D814" s="2" t="n">
        <v>3</v>
      </c>
      <c r="E814" s="19" t="n">
        <v>0.02</v>
      </c>
    </row>
    <row r="815">
      <c r="A815" s="2" t="inlineStr">
        <is>
          <t>IT00327_04</t>
        </is>
      </c>
      <c r="B815" s="2" t="inlineStr">
        <is>
          <t>PED00327</t>
        </is>
      </c>
      <c r="C815" s="2" t="inlineStr">
        <is>
          <t>P026</t>
        </is>
      </c>
      <c r="D815" s="2" t="n">
        <v>1</v>
      </c>
      <c r="E815" s="19" t="n">
        <v>0.02</v>
      </c>
    </row>
    <row r="816">
      <c r="A816" s="2" t="inlineStr">
        <is>
          <t>IT00328_01</t>
        </is>
      </c>
      <c r="B816" s="2" t="inlineStr">
        <is>
          <t>PED00328</t>
        </is>
      </c>
      <c r="C816" s="2" t="inlineStr">
        <is>
          <t>P052</t>
        </is>
      </c>
      <c r="D816" s="2" t="n">
        <v>2</v>
      </c>
      <c r="E816" s="19" t="n">
        <v>0</v>
      </c>
    </row>
    <row r="817">
      <c r="A817" s="2" t="inlineStr">
        <is>
          <t>IT00328_02</t>
        </is>
      </c>
      <c r="B817" s="2" t="inlineStr">
        <is>
          <t>PED00328</t>
        </is>
      </c>
      <c r="C817" s="2" t="inlineStr">
        <is>
          <t>P063</t>
        </is>
      </c>
      <c r="D817" s="2" t="n">
        <v>2</v>
      </c>
      <c r="E817" s="19" t="n">
        <v>0</v>
      </c>
    </row>
    <row r="818">
      <c r="A818" s="2" t="inlineStr">
        <is>
          <t>IT00329_01</t>
        </is>
      </c>
      <c r="B818" s="2" t="inlineStr">
        <is>
          <t>PED00329</t>
        </is>
      </c>
      <c r="C818" s="2" t="inlineStr">
        <is>
          <t>P009</t>
        </is>
      </c>
      <c r="D818" s="2" t="n">
        <v>2</v>
      </c>
      <c r="E818" s="19" t="n">
        <v>0</v>
      </c>
    </row>
    <row r="819">
      <c r="A819" s="2" t="inlineStr">
        <is>
          <t>IT00330_01</t>
        </is>
      </c>
      <c r="B819" s="2" t="inlineStr">
        <is>
          <t>PED00330</t>
        </is>
      </c>
      <c r="C819" s="2" t="inlineStr">
        <is>
          <t>P067</t>
        </is>
      </c>
      <c r="D819" s="2" t="n">
        <v>3</v>
      </c>
      <c r="E819" s="19" t="n">
        <v>0.02</v>
      </c>
    </row>
    <row r="820">
      <c r="A820" s="2" t="inlineStr">
        <is>
          <t>IT00331_01</t>
        </is>
      </c>
      <c r="B820" s="2" t="inlineStr">
        <is>
          <t>PED00331</t>
        </is>
      </c>
      <c r="C820" s="2" t="inlineStr">
        <is>
          <t>P070</t>
        </is>
      </c>
      <c r="D820" s="2" t="n">
        <v>4</v>
      </c>
      <c r="E820" s="19" t="n">
        <v>0</v>
      </c>
    </row>
    <row r="821">
      <c r="A821" s="2" t="inlineStr">
        <is>
          <t>IT00331_02</t>
        </is>
      </c>
      <c r="B821" s="2" t="inlineStr">
        <is>
          <t>PED00331</t>
        </is>
      </c>
      <c r="C821" s="2" t="inlineStr">
        <is>
          <t>P003</t>
        </is>
      </c>
      <c r="D821" s="2" t="n">
        <v>2</v>
      </c>
      <c r="E821" s="19" t="n">
        <v>0.05</v>
      </c>
    </row>
    <row r="822">
      <c r="A822" s="2" t="inlineStr">
        <is>
          <t>IT00331_03</t>
        </is>
      </c>
      <c r="B822" s="2" t="inlineStr">
        <is>
          <t>PED00331</t>
        </is>
      </c>
      <c r="C822" s="2" t="inlineStr">
        <is>
          <t>P005</t>
        </is>
      </c>
      <c r="D822" s="2" t="n">
        <v>2</v>
      </c>
      <c r="E822" s="19" t="n">
        <v>0</v>
      </c>
    </row>
    <row r="823">
      <c r="A823" s="2" t="inlineStr">
        <is>
          <t>IT00331_04</t>
        </is>
      </c>
      <c r="B823" s="2" t="inlineStr">
        <is>
          <t>PED00331</t>
        </is>
      </c>
      <c r="C823" s="2" t="inlineStr">
        <is>
          <t>P056</t>
        </is>
      </c>
      <c r="D823" s="2" t="n">
        <v>1</v>
      </c>
      <c r="E823" s="19" t="n">
        <v>0.02</v>
      </c>
    </row>
    <row r="824">
      <c r="A824" s="2" t="inlineStr">
        <is>
          <t>IT00332_01</t>
        </is>
      </c>
      <c r="B824" s="2" t="inlineStr">
        <is>
          <t>PED00332</t>
        </is>
      </c>
      <c r="C824" s="2" t="inlineStr">
        <is>
          <t>P063</t>
        </is>
      </c>
      <c r="D824" s="2" t="n">
        <v>2</v>
      </c>
      <c r="E824" s="19" t="n">
        <v>0.05</v>
      </c>
    </row>
    <row r="825">
      <c r="A825" s="2" t="inlineStr">
        <is>
          <t>IT00332_02</t>
        </is>
      </c>
      <c r="B825" s="2" t="inlineStr">
        <is>
          <t>PED00332</t>
        </is>
      </c>
      <c r="C825" s="2" t="inlineStr">
        <is>
          <t>P070</t>
        </is>
      </c>
      <c r="D825" s="2" t="n">
        <v>2</v>
      </c>
      <c r="E825" s="19" t="n">
        <v>0</v>
      </c>
    </row>
    <row r="826">
      <c r="A826" s="2" t="inlineStr">
        <is>
          <t>IT00332_03</t>
        </is>
      </c>
      <c r="B826" s="2" t="inlineStr">
        <is>
          <t>PED00332</t>
        </is>
      </c>
      <c r="C826" s="2" t="inlineStr">
        <is>
          <t>P061</t>
        </is>
      </c>
      <c r="D826" s="2" t="n">
        <v>2</v>
      </c>
      <c r="E826" s="19" t="n">
        <v>0.1</v>
      </c>
    </row>
    <row r="827">
      <c r="A827" s="2" t="inlineStr">
        <is>
          <t>IT00333_01</t>
        </is>
      </c>
      <c r="B827" s="2" t="inlineStr">
        <is>
          <t>PED00333</t>
        </is>
      </c>
      <c r="C827" s="2" t="inlineStr">
        <is>
          <t>P017</t>
        </is>
      </c>
      <c r="D827" s="2" t="n">
        <v>3</v>
      </c>
      <c r="E827" s="19" t="n">
        <v>0</v>
      </c>
    </row>
    <row r="828">
      <c r="A828" s="2" t="inlineStr">
        <is>
          <t>IT00333_02</t>
        </is>
      </c>
      <c r="B828" s="2" t="inlineStr">
        <is>
          <t>PED00333</t>
        </is>
      </c>
      <c r="C828" s="2" t="inlineStr">
        <is>
          <t>P047</t>
        </is>
      </c>
      <c r="D828" s="2" t="n">
        <v>3</v>
      </c>
      <c r="E828" s="19" t="n">
        <v>0</v>
      </c>
    </row>
    <row r="829">
      <c r="A829" s="2" t="inlineStr">
        <is>
          <t>IT00333_03</t>
        </is>
      </c>
      <c r="B829" s="2" t="inlineStr">
        <is>
          <t>PED00333</t>
        </is>
      </c>
      <c r="C829" s="2" t="inlineStr">
        <is>
          <t>P045</t>
        </is>
      </c>
      <c r="D829" s="2" t="n">
        <v>1</v>
      </c>
      <c r="E829" s="19" t="n">
        <v>0</v>
      </c>
    </row>
    <row r="830">
      <c r="A830" s="2" t="inlineStr">
        <is>
          <t>IT00334_01</t>
        </is>
      </c>
      <c r="B830" s="2" t="inlineStr">
        <is>
          <t>PED00334</t>
        </is>
      </c>
      <c r="C830" s="2" t="inlineStr">
        <is>
          <t>P011</t>
        </is>
      </c>
      <c r="D830" s="2" t="n">
        <v>4</v>
      </c>
      <c r="E830" s="19" t="n">
        <v>0</v>
      </c>
    </row>
    <row r="831">
      <c r="A831" s="2" t="inlineStr">
        <is>
          <t>IT00334_02</t>
        </is>
      </c>
      <c r="B831" s="2" t="inlineStr">
        <is>
          <t>PED00334</t>
        </is>
      </c>
      <c r="C831" s="2" t="inlineStr">
        <is>
          <t>P009</t>
        </is>
      </c>
      <c r="D831" s="2" t="n">
        <v>1</v>
      </c>
      <c r="E831" s="19" t="n">
        <v>0</v>
      </c>
    </row>
    <row r="832">
      <c r="A832" s="2" t="inlineStr">
        <is>
          <t>IT00335_01</t>
        </is>
      </c>
      <c r="B832" s="2" t="inlineStr">
        <is>
          <t>PED00335</t>
        </is>
      </c>
      <c r="C832" s="2" t="inlineStr">
        <is>
          <t>P003</t>
        </is>
      </c>
      <c r="D832" s="2" t="n">
        <v>2</v>
      </c>
      <c r="E832" s="19" t="n">
        <v>0</v>
      </c>
    </row>
    <row r="833">
      <c r="A833" s="2" t="inlineStr">
        <is>
          <t>IT00335_02</t>
        </is>
      </c>
      <c r="B833" s="2" t="inlineStr">
        <is>
          <t>PED00335</t>
        </is>
      </c>
      <c r="C833" s="2" t="inlineStr">
        <is>
          <t>P041</t>
        </is>
      </c>
      <c r="D833" s="2" t="n">
        <v>1</v>
      </c>
      <c r="E833" s="19" t="n">
        <v>0</v>
      </c>
    </row>
    <row r="834">
      <c r="A834" s="2" t="inlineStr">
        <is>
          <t>IT00335_03</t>
        </is>
      </c>
      <c r="B834" s="2" t="inlineStr">
        <is>
          <t>PED00335</t>
        </is>
      </c>
      <c r="C834" s="2" t="inlineStr">
        <is>
          <t>P049</t>
        </is>
      </c>
      <c r="D834" s="2" t="n">
        <v>2</v>
      </c>
      <c r="E834" s="19" t="n">
        <v>0</v>
      </c>
    </row>
    <row r="835">
      <c r="A835" s="2" t="inlineStr">
        <is>
          <t>IT00336_01</t>
        </is>
      </c>
      <c r="B835" s="2" t="inlineStr">
        <is>
          <t>PED00336</t>
        </is>
      </c>
      <c r="C835" s="2" t="inlineStr">
        <is>
          <t>P010</t>
        </is>
      </c>
      <c r="D835" s="2" t="n">
        <v>3</v>
      </c>
      <c r="E835" s="19" t="n">
        <v>0</v>
      </c>
    </row>
    <row r="836">
      <c r="A836" s="2" t="inlineStr">
        <is>
          <t>IT00337_01</t>
        </is>
      </c>
      <c r="B836" s="2" t="inlineStr">
        <is>
          <t>PED00337</t>
        </is>
      </c>
      <c r="C836" s="2" t="inlineStr">
        <is>
          <t>P012</t>
        </is>
      </c>
      <c r="D836" s="2" t="n">
        <v>1</v>
      </c>
      <c r="E836" s="19" t="n">
        <v>0</v>
      </c>
    </row>
    <row r="837">
      <c r="A837" s="2" t="inlineStr">
        <is>
          <t>IT00337_02</t>
        </is>
      </c>
      <c r="B837" s="2" t="inlineStr">
        <is>
          <t>PED00337</t>
        </is>
      </c>
      <c r="C837" s="2" t="inlineStr">
        <is>
          <t>P013</t>
        </is>
      </c>
      <c r="D837" s="2" t="n">
        <v>2</v>
      </c>
      <c r="E837" s="19" t="n">
        <v>0</v>
      </c>
    </row>
    <row r="838">
      <c r="A838" s="2" t="inlineStr">
        <is>
          <t>IT00337_03</t>
        </is>
      </c>
      <c r="B838" s="2" t="inlineStr">
        <is>
          <t>PED00337</t>
        </is>
      </c>
      <c r="C838" s="2" t="inlineStr">
        <is>
          <t>P044</t>
        </is>
      </c>
      <c r="D838" s="2" t="n">
        <v>1</v>
      </c>
      <c r="E838" s="19" t="n">
        <v>0</v>
      </c>
    </row>
    <row r="839">
      <c r="A839" s="2" t="inlineStr">
        <is>
          <t>IT00338_01</t>
        </is>
      </c>
      <c r="B839" s="2" t="inlineStr">
        <is>
          <t>PED00338</t>
        </is>
      </c>
      <c r="C839" s="2" t="inlineStr">
        <is>
          <t>P066</t>
        </is>
      </c>
      <c r="D839" s="2" t="n">
        <v>2</v>
      </c>
      <c r="E839" s="19" t="n">
        <v>0</v>
      </c>
    </row>
    <row r="840">
      <c r="A840" s="2" t="inlineStr">
        <is>
          <t>IT00338_02</t>
        </is>
      </c>
      <c r="B840" s="2" t="inlineStr">
        <is>
          <t>PED00338</t>
        </is>
      </c>
      <c r="C840" s="2" t="inlineStr">
        <is>
          <t>P059</t>
        </is>
      </c>
      <c r="D840" s="2" t="n">
        <v>4</v>
      </c>
      <c r="E840" s="19" t="n">
        <v>0</v>
      </c>
    </row>
    <row r="841">
      <c r="A841" s="2" t="inlineStr">
        <is>
          <t>IT00339_01</t>
        </is>
      </c>
      <c r="B841" s="2" t="inlineStr">
        <is>
          <t>PED00339</t>
        </is>
      </c>
      <c r="C841" s="2" t="inlineStr">
        <is>
          <t>P069</t>
        </is>
      </c>
      <c r="D841" s="2" t="n">
        <v>5</v>
      </c>
      <c r="E841" s="19" t="n">
        <v>0.02</v>
      </c>
    </row>
    <row r="842">
      <c r="A842" s="2" t="inlineStr">
        <is>
          <t>IT00339_02</t>
        </is>
      </c>
      <c r="B842" s="2" t="inlineStr">
        <is>
          <t>PED00339</t>
        </is>
      </c>
      <c r="C842" s="2" t="inlineStr">
        <is>
          <t>P056</t>
        </is>
      </c>
      <c r="D842" s="2" t="n">
        <v>1</v>
      </c>
      <c r="E842" s="19" t="n">
        <v>0</v>
      </c>
    </row>
    <row r="843">
      <c r="A843" s="2" t="inlineStr">
        <is>
          <t>IT00340_01</t>
        </is>
      </c>
      <c r="B843" s="2" t="inlineStr">
        <is>
          <t>PED00340</t>
        </is>
      </c>
      <c r="C843" s="2" t="inlineStr">
        <is>
          <t>P041</t>
        </is>
      </c>
      <c r="D843" s="2" t="n">
        <v>2</v>
      </c>
      <c r="E843" s="19" t="n">
        <v>0.05</v>
      </c>
    </row>
    <row r="844">
      <c r="A844" s="2" t="inlineStr">
        <is>
          <t>IT00340_02</t>
        </is>
      </c>
      <c r="B844" s="2" t="inlineStr">
        <is>
          <t>PED00340</t>
        </is>
      </c>
      <c r="C844" s="2" t="inlineStr">
        <is>
          <t>P009</t>
        </is>
      </c>
      <c r="D844" s="2" t="n">
        <v>1</v>
      </c>
      <c r="E844" s="19" t="n">
        <v>0</v>
      </c>
    </row>
    <row r="845">
      <c r="A845" s="2" t="inlineStr">
        <is>
          <t>IT00341_01</t>
        </is>
      </c>
      <c r="B845" s="2" t="inlineStr">
        <is>
          <t>PED00341</t>
        </is>
      </c>
      <c r="C845" s="2" t="inlineStr">
        <is>
          <t>P040</t>
        </is>
      </c>
      <c r="D845" s="2" t="n">
        <v>2</v>
      </c>
      <c r="E845" s="19" t="n">
        <v>0.1</v>
      </c>
    </row>
    <row r="846">
      <c r="A846" s="2" t="inlineStr">
        <is>
          <t>IT00341_02</t>
        </is>
      </c>
      <c r="B846" s="2" t="inlineStr">
        <is>
          <t>PED00341</t>
        </is>
      </c>
      <c r="C846" s="2" t="inlineStr">
        <is>
          <t>P060</t>
        </is>
      </c>
      <c r="D846" s="2" t="n">
        <v>2</v>
      </c>
      <c r="E846" s="19" t="n">
        <v>0.05</v>
      </c>
    </row>
    <row r="847">
      <c r="A847" s="2" t="inlineStr">
        <is>
          <t>IT00342_01</t>
        </is>
      </c>
      <c r="B847" s="2" t="inlineStr">
        <is>
          <t>PED00342</t>
        </is>
      </c>
      <c r="C847" s="2" t="inlineStr">
        <is>
          <t>P023</t>
        </is>
      </c>
      <c r="D847" s="2" t="n">
        <v>3</v>
      </c>
      <c r="E847" s="19" t="n">
        <v>0</v>
      </c>
    </row>
    <row r="848">
      <c r="A848" s="2" t="inlineStr">
        <is>
          <t>IT00342_02</t>
        </is>
      </c>
      <c r="B848" s="2" t="inlineStr">
        <is>
          <t>PED00342</t>
        </is>
      </c>
      <c r="C848" s="2" t="inlineStr">
        <is>
          <t>P006</t>
        </is>
      </c>
      <c r="D848" s="2" t="n">
        <v>4</v>
      </c>
      <c r="E848" s="19" t="n">
        <v>0</v>
      </c>
    </row>
    <row r="849">
      <c r="A849" s="2" t="inlineStr">
        <is>
          <t>IT00342_03</t>
        </is>
      </c>
      <c r="B849" s="2" t="inlineStr">
        <is>
          <t>PED00342</t>
        </is>
      </c>
      <c r="C849" s="2" t="inlineStr">
        <is>
          <t>P063</t>
        </is>
      </c>
      <c r="D849" s="2" t="n">
        <v>1</v>
      </c>
      <c r="E849" s="19" t="n">
        <v>0</v>
      </c>
    </row>
    <row r="850">
      <c r="A850" s="2" t="inlineStr">
        <is>
          <t>IT00343_01</t>
        </is>
      </c>
      <c r="B850" s="2" t="inlineStr">
        <is>
          <t>PED00343</t>
        </is>
      </c>
      <c r="C850" s="2" t="inlineStr">
        <is>
          <t>P065</t>
        </is>
      </c>
      <c r="D850" s="2" t="n">
        <v>2</v>
      </c>
      <c r="E850" s="19" t="n">
        <v>0.05</v>
      </c>
    </row>
    <row r="851">
      <c r="A851" s="2" t="inlineStr">
        <is>
          <t>IT00343_02</t>
        </is>
      </c>
      <c r="B851" s="2" t="inlineStr">
        <is>
          <t>PED00343</t>
        </is>
      </c>
      <c r="C851" s="2" t="inlineStr">
        <is>
          <t>P016</t>
        </is>
      </c>
      <c r="D851" s="2" t="n">
        <v>5</v>
      </c>
      <c r="E851" s="19" t="n">
        <v>0.05</v>
      </c>
    </row>
    <row r="852">
      <c r="A852" s="2" t="inlineStr">
        <is>
          <t>IT00344_01</t>
        </is>
      </c>
      <c r="B852" s="2" t="inlineStr">
        <is>
          <t>PED00344</t>
        </is>
      </c>
      <c r="C852" s="2" t="inlineStr">
        <is>
          <t>P050</t>
        </is>
      </c>
      <c r="D852" s="2" t="n">
        <v>5</v>
      </c>
      <c r="E852" s="19" t="n">
        <v>0</v>
      </c>
    </row>
    <row r="853">
      <c r="A853" s="2" t="inlineStr">
        <is>
          <t>IT00344_02</t>
        </is>
      </c>
      <c r="B853" s="2" t="inlineStr">
        <is>
          <t>PED00344</t>
        </is>
      </c>
      <c r="C853" s="2" t="inlineStr">
        <is>
          <t>P031</t>
        </is>
      </c>
      <c r="D853" s="2" t="n">
        <v>1</v>
      </c>
      <c r="E853" s="19" t="n">
        <v>0</v>
      </c>
    </row>
    <row r="854">
      <c r="A854" s="2" t="inlineStr">
        <is>
          <t>IT00345_01</t>
        </is>
      </c>
      <c r="B854" s="2" t="inlineStr">
        <is>
          <t>PED00345</t>
        </is>
      </c>
      <c r="C854" s="2" t="inlineStr">
        <is>
          <t>P015</t>
        </is>
      </c>
      <c r="D854" s="2" t="n">
        <v>2</v>
      </c>
      <c r="E854" s="19" t="n">
        <v>0</v>
      </c>
    </row>
    <row r="855">
      <c r="A855" s="2" t="inlineStr">
        <is>
          <t>IT00345_02</t>
        </is>
      </c>
      <c r="B855" s="2" t="inlineStr">
        <is>
          <t>PED00345</t>
        </is>
      </c>
      <c r="C855" s="2" t="inlineStr">
        <is>
          <t>P041</t>
        </is>
      </c>
      <c r="D855" s="2" t="n">
        <v>1</v>
      </c>
      <c r="E855" s="19" t="n">
        <v>0</v>
      </c>
    </row>
    <row r="856">
      <c r="A856" s="2" t="inlineStr">
        <is>
          <t>IT00346_01</t>
        </is>
      </c>
      <c r="B856" s="2" t="inlineStr">
        <is>
          <t>PED00346</t>
        </is>
      </c>
      <c r="C856" s="2" t="inlineStr">
        <is>
          <t>P005</t>
        </is>
      </c>
      <c r="D856" s="2" t="n">
        <v>1</v>
      </c>
      <c r="E856" s="19" t="n">
        <v>0.1</v>
      </c>
    </row>
    <row r="857">
      <c r="A857" s="2" t="inlineStr">
        <is>
          <t>IT00346_02</t>
        </is>
      </c>
      <c r="B857" s="2" t="inlineStr">
        <is>
          <t>PED00346</t>
        </is>
      </c>
      <c r="C857" s="2" t="inlineStr">
        <is>
          <t>P007</t>
        </is>
      </c>
      <c r="D857" s="2" t="n">
        <v>1</v>
      </c>
      <c r="E857" s="19" t="n">
        <v>0.05</v>
      </c>
    </row>
    <row r="858">
      <c r="A858" s="2" t="inlineStr">
        <is>
          <t>IT00346_03</t>
        </is>
      </c>
      <c r="B858" s="2" t="inlineStr">
        <is>
          <t>PED00346</t>
        </is>
      </c>
      <c r="C858" s="2" t="inlineStr">
        <is>
          <t>P031</t>
        </is>
      </c>
      <c r="D858" s="2" t="n">
        <v>1</v>
      </c>
      <c r="E858" s="19" t="n">
        <v>0.05</v>
      </c>
    </row>
    <row r="859">
      <c r="A859" s="2" t="inlineStr">
        <is>
          <t>IT00346_04</t>
        </is>
      </c>
      <c r="B859" s="2" t="inlineStr">
        <is>
          <t>PED00346</t>
        </is>
      </c>
      <c r="C859" s="2" t="inlineStr">
        <is>
          <t>P033</t>
        </is>
      </c>
      <c r="D859" s="2" t="n">
        <v>4</v>
      </c>
      <c r="E859" s="19" t="n">
        <v>0</v>
      </c>
    </row>
    <row r="860">
      <c r="A860" s="2" t="inlineStr">
        <is>
          <t>IT00346_05</t>
        </is>
      </c>
      <c r="B860" s="2" t="inlineStr">
        <is>
          <t>PED00346</t>
        </is>
      </c>
      <c r="C860" s="2" t="inlineStr">
        <is>
          <t>P050</t>
        </is>
      </c>
      <c r="D860" s="2" t="n">
        <v>4</v>
      </c>
      <c r="E860" s="19" t="n">
        <v>0</v>
      </c>
    </row>
    <row r="861">
      <c r="A861" s="2" t="inlineStr">
        <is>
          <t>IT00347_01</t>
        </is>
      </c>
      <c r="B861" s="2" t="inlineStr">
        <is>
          <t>PED00347</t>
        </is>
      </c>
      <c r="C861" s="2" t="inlineStr">
        <is>
          <t>P021</t>
        </is>
      </c>
      <c r="D861" s="2" t="n">
        <v>3</v>
      </c>
      <c r="E861" s="19" t="n">
        <v>0</v>
      </c>
    </row>
    <row r="862">
      <c r="A862" s="2" t="inlineStr">
        <is>
          <t>IT00347_02</t>
        </is>
      </c>
      <c r="B862" s="2" t="inlineStr">
        <is>
          <t>PED00347</t>
        </is>
      </c>
      <c r="C862" s="2" t="inlineStr">
        <is>
          <t>P057</t>
        </is>
      </c>
      <c r="D862" s="2" t="n">
        <v>1</v>
      </c>
      <c r="E862" s="19" t="n">
        <v>0.02</v>
      </c>
    </row>
    <row r="863">
      <c r="A863" s="2" t="inlineStr">
        <is>
          <t>IT00347_03</t>
        </is>
      </c>
      <c r="B863" s="2" t="inlineStr">
        <is>
          <t>PED00347</t>
        </is>
      </c>
      <c r="C863" s="2" t="inlineStr">
        <is>
          <t>P041</t>
        </is>
      </c>
      <c r="D863" s="2" t="n">
        <v>2</v>
      </c>
      <c r="E863" s="19" t="n">
        <v>0.02</v>
      </c>
    </row>
    <row r="864">
      <c r="A864" s="2" t="inlineStr">
        <is>
          <t>IT00347_04</t>
        </is>
      </c>
      <c r="B864" s="2" t="inlineStr">
        <is>
          <t>PED00347</t>
        </is>
      </c>
      <c r="C864" s="2" t="inlineStr">
        <is>
          <t>P053</t>
        </is>
      </c>
      <c r="D864" s="2" t="n">
        <v>4</v>
      </c>
      <c r="E864" s="19" t="n">
        <v>0</v>
      </c>
    </row>
    <row r="865">
      <c r="A865" s="2" t="inlineStr">
        <is>
          <t>IT00348_01</t>
        </is>
      </c>
      <c r="B865" s="2" t="inlineStr">
        <is>
          <t>PED00348</t>
        </is>
      </c>
      <c r="C865" s="2" t="inlineStr">
        <is>
          <t>P042</t>
        </is>
      </c>
      <c r="D865" s="2" t="n">
        <v>3</v>
      </c>
      <c r="E865" s="19" t="n">
        <v>0</v>
      </c>
    </row>
    <row r="866">
      <c r="A866" s="2" t="inlineStr">
        <is>
          <t>IT00348_02</t>
        </is>
      </c>
      <c r="B866" s="2" t="inlineStr">
        <is>
          <t>PED00348</t>
        </is>
      </c>
      <c r="C866" s="2" t="inlineStr">
        <is>
          <t>P059</t>
        </is>
      </c>
      <c r="D866" s="2" t="n">
        <v>1</v>
      </c>
      <c r="E866" s="19" t="n">
        <v>0</v>
      </c>
    </row>
    <row r="867">
      <c r="A867" s="2" t="inlineStr">
        <is>
          <t>IT00348_03</t>
        </is>
      </c>
      <c r="B867" s="2" t="inlineStr">
        <is>
          <t>PED00348</t>
        </is>
      </c>
      <c r="C867" s="2" t="inlineStr">
        <is>
          <t>P004</t>
        </is>
      </c>
      <c r="D867" s="2" t="n">
        <v>2</v>
      </c>
      <c r="E867" s="19" t="n">
        <v>0</v>
      </c>
    </row>
    <row r="868">
      <c r="A868" s="2" t="inlineStr">
        <is>
          <t>IT00349_01</t>
        </is>
      </c>
      <c r="B868" s="2" t="inlineStr">
        <is>
          <t>PED00349</t>
        </is>
      </c>
      <c r="C868" s="2" t="inlineStr">
        <is>
          <t>P017</t>
        </is>
      </c>
      <c r="D868" s="2" t="n">
        <v>3</v>
      </c>
      <c r="E868" s="19" t="n">
        <v>0</v>
      </c>
    </row>
    <row r="869">
      <c r="A869" s="2" t="inlineStr">
        <is>
          <t>IT00349_02</t>
        </is>
      </c>
      <c r="B869" s="2" t="inlineStr">
        <is>
          <t>PED00349</t>
        </is>
      </c>
      <c r="C869" s="2" t="inlineStr">
        <is>
          <t>P053</t>
        </is>
      </c>
      <c r="D869" s="2" t="n">
        <v>2</v>
      </c>
      <c r="E869" s="19" t="n">
        <v>0.02</v>
      </c>
    </row>
    <row r="870">
      <c r="A870" s="2" t="inlineStr">
        <is>
          <t>IT00350_01</t>
        </is>
      </c>
      <c r="B870" s="2" t="inlineStr">
        <is>
          <t>PED00350</t>
        </is>
      </c>
      <c r="C870" s="2" t="inlineStr">
        <is>
          <t>P049</t>
        </is>
      </c>
      <c r="D870" s="2" t="n">
        <v>5</v>
      </c>
      <c r="E870" s="19" t="n">
        <v>0.05</v>
      </c>
    </row>
    <row r="871">
      <c r="A871" s="2" t="inlineStr">
        <is>
          <t>IT00351_01</t>
        </is>
      </c>
      <c r="B871" s="2" t="inlineStr">
        <is>
          <t>PED00351</t>
        </is>
      </c>
      <c r="C871" s="2" t="inlineStr">
        <is>
          <t>P060</t>
        </is>
      </c>
      <c r="D871" s="2" t="n">
        <v>1</v>
      </c>
      <c r="E871" s="19" t="n">
        <v>0</v>
      </c>
    </row>
    <row r="872">
      <c r="A872" s="2" t="inlineStr">
        <is>
          <t>IT00351_02</t>
        </is>
      </c>
      <c r="B872" s="2" t="inlineStr">
        <is>
          <t>PED00351</t>
        </is>
      </c>
      <c r="C872" s="2" t="inlineStr">
        <is>
          <t>P026</t>
        </is>
      </c>
      <c r="D872" s="2" t="n">
        <v>2</v>
      </c>
      <c r="E872" s="19" t="n">
        <v>0</v>
      </c>
    </row>
    <row r="873">
      <c r="A873" s="2" t="inlineStr">
        <is>
          <t>IT00351_03</t>
        </is>
      </c>
      <c r="B873" s="2" t="inlineStr">
        <is>
          <t>PED00351</t>
        </is>
      </c>
      <c r="C873" s="2" t="inlineStr">
        <is>
          <t>P034</t>
        </is>
      </c>
      <c r="D873" s="2" t="n">
        <v>5</v>
      </c>
      <c r="E873" s="19" t="n">
        <v>0</v>
      </c>
    </row>
    <row r="874">
      <c r="A874" s="2" t="inlineStr">
        <is>
          <t>IT00351_04</t>
        </is>
      </c>
      <c r="B874" s="2" t="inlineStr">
        <is>
          <t>PED00351</t>
        </is>
      </c>
      <c r="C874" s="2" t="inlineStr">
        <is>
          <t>P022</t>
        </is>
      </c>
      <c r="D874" s="2" t="n">
        <v>2</v>
      </c>
      <c r="E874" s="19" t="n">
        <v>0</v>
      </c>
    </row>
    <row r="875">
      <c r="A875" s="2" t="inlineStr">
        <is>
          <t>IT00352_01</t>
        </is>
      </c>
      <c r="B875" s="2" t="inlineStr">
        <is>
          <t>PED00352</t>
        </is>
      </c>
      <c r="C875" s="2" t="inlineStr">
        <is>
          <t>P035</t>
        </is>
      </c>
      <c r="D875" s="2" t="n">
        <v>1</v>
      </c>
      <c r="E875" s="19" t="n">
        <v>0</v>
      </c>
    </row>
    <row r="876">
      <c r="A876" s="2" t="inlineStr">
        <is>
          <t>IT00353_01</t>
        </is>
      </c>
      <c r="B876" s="2" t="inlineStr">
        <is>
          <t>PED00353</t>
        </is>
      </c>
      <c r="C876" s="2" t="inlineStr">
        <is>
          <t>P054</t>
        </is>
      </c>
      <c r="D876" s="2" t="n">
        <v>3</v>
      </c>
      <c r="E876" s="19" t="n">
        <v>0</v>
      </c>
    </row>
    <row r="877">
      <c r="A877" s="2" t="inlineStr">
        <is>
          <t>IT00353_02</t>
        </is>
      </c>
      <c r="B877" s="2" t="inlineStr">
        <is>
          <t>PED00353</t>
        </is>
      </c>
      <c r="C877" s="2" t="inlineStr">
        <is>
          <t>P024</t>
        </is>
      </c>
      <c r="D877" s="2" t="n">
        <v>5</v>
      </c>
      <c r="E877" s="19" t="n">
        <v>0</v>
      </c>
    </row>
    <row r="878">
      <c r="A878" s="2" t="inlineStr">
        <is>
          <t>IT00353_03</t>
        </is>
      </c>
      <c r="B878" s="2" t="inlineStr">
        <is>
          <t>PED00353</t>
        </is>
      </c>
      <c r="C878" s="2" t="inlineStr">
        <is>
          <t>P053</t>
        </is>
      </c>
      <c r="D878" s="2" t="n">
        <v>2</v>
      </c>
      <c r="E878" s="19" t="n">
        <v>0</v>
      </c>
    </row>
    <row r="879">
      <c r="A879" s="2" t="inlineStr">
        <is>
          <t>IT00354_01</t>
        </is>
      </c>
      <c r="B879" s="2" t="inlineStr">
        <is>
          <t>PED00354</t>
        </is>
      </c>
      <c r="C879" s="2" t="inlineStr">
        <is>
          <t>P051</t>
        </is>
      </c>
      <c r="D879" s="2" t="n">
        <v>1</v>
      </c>
      <c r="E879" s="19" t="n">
        <v>0</v>
      </c>
    </row>
    <row r="880">
      <c r="A880" s="2" t="inlineStr">
        <is>
          <t>IT00354_02</t>
        </is>
      </c>
      <c r="B880" s="2" t="inlineStr">
        <is>
          <t>PED00354</t>
        </is>
      </c>
      <c r="C880" s="2" t="inlineStr">
        <is>
          <t>P028</t>
        </is>
      </c>
      <c r="D880" s="2" t="n">
        <v>1</v>
      </c>
      <c r="E880" s="19" t="n">
        <v>0.05</v>
      </c>
    </row>
    <row r="881">
      <c r="A881" s="2" t="inlineStr">
        <is>
          <t>IT00354_03</t>
        </is>
      </c>
      <c r="B881" s="2" t="inlineStr">
        <is>
          <t>PED00354</t>
        </is>
      </c>
      <c r="C881" s="2" t="inlineStr">
        <is>
          <t>P050</t>
        </is>
      </c>
      <c r="D881" s="2" t="n">
        <v>2</v>
      </c>
      <c r="E881" s="19" t="n">
        <v>0</v>
      </c>
    </row>
    <row r="882">
      <c r="A882" s="2" t="inlineStr">
        <is>
          <t>IT00354_04</t>
        </is>
      </c>
      <c r="B882" s="2" t="inlineStr">
        <is>
          <t>PED00354</t>
        </is>
      </c>
      <c r="C882" s="2" t="inlineStr">
        <is>
          <t>P055</t>
        </is>
      </c>
      <c r="D882" s="2" t="n">
        <v>2</v>
      </c>
      <c r="E882" s="19" t="n">
        <v>0.02</v>
      </c>
    </row>
    <row r="883">
      <c r="A883" s="2" t="inlineStr">
        <is>
          <t>IT00354_05</t>
        </is>
      </c>
      <c r="B883" s="2" t="inlineStr">
        <is>
          <t>PED00354</t>
        </is>
      </c>
      <c r="C883" s="2" t="inlineStr">
        <is>
          <t>P033</t>
        </is>
      </c>
      <c r="D883" s="2" t="n">
        <v>3</v>
      </c>
      <c r="E883" s="19" t="n">
        <v>0.02</v>
      </c>
    </row>
    <row r="884">
      <c r="A884" s="2" t="inlineStr">
        <is>
          <t>IT00355_01</t>
        </is>
      </c>
      <c r="B884" s="2" t="inlineStr">
        <is>
          <t>PED00355</t>
        </is>
      </c>
      <c r="C884" s="2" t="inlineStr">
        <is>
          <t>P017</t>
        </is>
      </c>
      <c r="D884" s="2" t="n">
        <v>1</v>
      </c>
      <c r="E884" s="19" t="n">
        <v>0</v>
      </c>
    </row>
    <row r="885">
      <c r="A885" s="2" t="inlineStr">
        <is>
          <t>IT00355_02</t>
        </is>
      </c>
      <c r="B885" s="2" t="inlineStr">
        <is>
          <t>PED00355</t>
        </is>
      </c>
      <c r="C885" s="2" t="inlineStr">
        <is>
          <t>P006</t>
        </is>
      </c>
      <c r="D885" s="2" t="n">
        <v>5</v>
      </c>
      <c r="E885" s="19" t="n">
        <v>0.05</v>
      </c>
    </row>
    <row r="886">
      <c r="A886" s="2" t="inlineStr">
        <is>
          <t>IT00355_03</t>
        </is>
      </c>
      <c r="B886" s="2" t="inlineStr">
        <is>
          <t>PED00355</t>
        </is>
      </c>
      <c r="C886" s="2" t="inlineStr">
        <is>
          <t>P023</t>
        </is>
      </c>
      <c r="D886" s="2" t="n">
        <v>1</v>
      </c>
      <c r="E886" s="19" t="n">
        <v>0</v>
      </c>
    </row>
    <row r="887">
      <c r="A887" s="2" t="inlineStr">
        <is>
          <t>IT00356_01</t>
        </is>
      </c>
      <c r="B887" s="2" t="inlineStr">
        <is>
          <t>PED00356</t>
        </is>
      </c>
      <c r="C887" s="2" t="inlineStr">
        <is>
          <t>P036</t>
        </is>
      </c>
      <c r="D887" s="2" t="n">
        <v>4</v>
      </c>
      <c r="E887" s="19" t="n">
        <v>0</v>
      </c>
    </row>
    <row r="888">
      <c r="A888" s="2" t="inlineStr">
        <is>
          <t>IT00356_02</t>
        </is>
      </c>
      <c r="B888" s="2" t="inlineStr">
        <is>
          <t>PED00356</t>
        </is>
      </c>
      <c r="C888" s="2" t="inlineStr">
        <is>
          <t>P047</t>
        </is>
      </c>
      <c r="D888" s="2" t="n">
        <v>4</v>
      </c>
      <c r="E888" s="19" t="n">
        <v>0</v>
      </c>
    </row>
    <row r="889">
      <c r="A889" s="2" t="inlineStr">
        <is>
          <t>IT00357_01</t>
        </is>
      </c>
      <c r="B889" s="2" t="inlineStr">
        <is>
          <t>PED00357</t>
        </is>
      </c>
      <c r="C889" s="2" t="inlineStr">
        <is>
          <t>P020</t>
        </is>
      </c>
      <c r="D889" s="2" t="n">
        <v>1</v>
      </c>
      <c r="E889" s="19" t="n">
        <v>0</v>
      </c>
    </row>
    <row r="890">
      <c r="A890" s="2" t="inlineStr">
        <is>
          <t>IT00357_02</t>
        </is>
      </c>
      <c r="B890" s="2" t="inlineStr">
        <is>
          <t>PED00357</t>
        </is>
      </c>
      <c r="C890" s="2" t="inlineStr">
        <is>
          <t>P057</t>
        </is>
      </c>
      <c r="D890" s="2" t="n">
        <v>1</v>
      </c>
      <c r="E890" s="19" t="n">
        <v>0</v>
      </c>
    </row>
    <row r="891">
      <c r="A891" s="2" t="inlineStr">
        <is>
          <t>IT00358_01</t>
        </is>
      </c>
      <c r="B891" s="2" t="inlineStr">
        <is>
          <t>PED00358</t>
        </is>
      </c>
      <c r="C891" s="2" t="inlineStr">
        <is>
          <t>P046</t>
        </is>
      </c>
      <c r="D891" s="2" t="n">
        <v>10</v>
      </c>
      <c r="E891" s="19" t="n">
        <v>0</v>
      </c>
    </row>
    <row r="892">
      <c r="A892" s="2" t="inlineStr">
        <is>
          <t>IT00359_01</t>
        </is>
      </c>
      <c r="B892" s="2" t="inlineStr">
        <is>
          <t>PED00359</t>
        </is>
      </c>
      <c r="C892" s="2" t="inlineStr">
        <is>
          <t>P037</t>
        </is>
      </c>
      <c r="D892" s="2" t="n">
        <v>1</v>
      </c>
      <c r="E892" s="19" t="n">
        <v>0</v>
      </c>
    </row>
    <row r="893">
      <c r="A893" s="2" t="inlineStr">
        <is>
          <t>IT00360_01</t>
        </is>
      </c>
      <c r="B893" s="2" t="inlineStr">
        <is>
          <t>PED00360</t>
        </is>
      </c>
      <c r="C893" s="2" t="inlineStr">
        <is>
          <t>P054</t>
        </is>
      </c>
      <c r="D893" s="2" t="n">
        <v>3</v>
      </c>
      <c r="E893" s="19" t="n">
        <v>0.02</v>
      </c>
    </row>
    <row r="894">
      <c r="A894" s="2" t="inlineStr">
        <is>
          <t>IT00360_02</t>
        </is>
      </c>
      <c r="B894" s="2" t="inlineStr">
        <is>
          <t>PED00360</t>
        </is>
      </c>
      <c r="C894" s="2" t="inlineStr">
        <is>
          <t>P010</t>
        </is>
      </c>
      <c r="D894" s="2" t="n">
        <v>4</v>
      </c>
      <c r="E894" s="19" t="n">
        <v>0</v>
      </c>
    </row>
    <row r="895">
      <c r="A895" s="2" t="inlineStr">
        <is>
          <t>IT00360_03</t>
        </is>
      </c>
      <c r="B895" s="2" t="inlineStr">
        <is>
          <t>PED00360</t>
        </is>
      </c>
      <c r="C895" s="2" t="inlineStr">
        <is>
          <t>P032</t>
        </is>
      </c>
      <c r="D895" s="2" t="n">
        <v>2</v>
      </c>
      <c r="E895" s="19" t="n">
        <v>0.02</v>
      </c>
    </row>
    <row r="896">
      <c r="A896" s="2" t="inlineStr">
        <is>
          <t>IT00361_01</t>
        </is>
      </c>
      <c r="B896" s="2" t="inlineStr">
        <is>
          <t>PED00361</t>
        </is>
      </c>
      <c r="C896" s="2" t="inlineStr">
        <is>
          <t>P062</t>
        </is>
      </c>
      <c r="D896" s="2" t="n">
        <v>1</v>
      </c>
      <c r="E896" s="19" t="n">
        <v>0</v>
      </c>
    </row>
    <row r="897">
      <c r="A897" s="2" t="inlineStr">
        <is>
          <t>IT00361_02</t>
        </is>
      </c>
      <c r="B897" s="2" t="inlineStr">
        <is>
          <t>PED00361</t>
        </is>
      </c>
      <c r="C897" s="2" t="inlineStr">
        <is>
          <t>P059</t>
        </is>
      </c>
      <c r="D897" s="2" t="n">
        <v>2</v>
      </c>
      <c r="E897" s="19" t="n">
        <v>0</v>
      </c>
    </row>
    <row r="898">
      <c r="A898" s="2" t="inlineStr">
        <is>
          <t>IT00361_03</t>
        </is>
      </c>
      <c r="B898" s="2" t="inlineStr">
        <is>
          <t>PED00361</t>
        </is>
      </c>
      <c r="C898" s="2" t="inlineStr">
        <is>
          <t>P035</t>
        </is>
      </c>
      <c r="D898" s="2" t="n">
        <v>5</v>
      </c>
      <c r="E898" s="19" t="n">
        <v>0.1</v>
      </c>
    </row>
    <row r="899">
      <c r="A899" s="2" t="inlineStr">
        <is>
          <t>IT00361_04</t>
        </is>
      </c>
      <c r="B899" s="2" t="inlineStr">
        <is>
          <t>PED00361</t>
        </is>
      </c>
      <c r="C899" s="2" t="inlineStr">
        <is>
          <t>P001</t>
        </is>
      </c>
      <c r="D899" s="2" t="n">
        <v>4</v>
      </c>
      <c r="E899" s="19" t="n">
        <v>0.02</v>
      </c>
    </row>
    <row r="900">
      <c r="A900" s="2" t="inlineStr">
        <is>
          <t>IT00362_01</t>
        </is>
      </c>
      <c r="B900" s="2" t="inlineStr">
        <is>
          <t>PED00362</t>
        </is>
      </c>
      <c r="C900" s="2" t="inlineStr">
        <is>
          <t>P049</t>
        </is>
      </c>
      <c r="D900" s="2" t="n">
        <v>1</v>
      </c>
      <c r="E900" s="19" t="n">
        <v>0</v>
      </c>
    </row>
    <row r="901">
      <c r="A901" s="2" t="inlineStr">
        <is>
          <t>IT00362_02</t>
        </is>
      </c>
      <c r="B901" s="2" t="inlineStr">
        <is>
          <t>PED00362</t>
        </is>
      </c>
      <c r="C901" s="2" t="inlineStr">
        <is>
          <t>P012</t>
        </is>
      </c>
      <c r="D901" s="2" t="n">
        <v>3</v>
      </c>
      <c r="E901" s="19" t="n">
        <v>0</v>
      </c>
    </row>
    <row r="902">
      <c r="A902" s="2" t="inlineStr">
        <is>
          <t>IT00362_03</t>
        </is>
      </c>
      <c r="B902" s="2" t="inlineStr">
        <is>
          <t>PED00362</t>
        </is>
      </c>
      <c r="C902" s="2" t="inlineStr">
        <is>
          <t>P052</t>
        </is>
      </c>
      <c r="D902" s="2" t="n">
        <v>1</v>
      </c>
      <c r="E902" s="19" t="n">
        <v>0</v>
      </c>
    </row>
    <row r="903">
      <c r="A903" s="2" t="inlineStr">
        <is>
          <t>IT00363_01</t>
        </is>
      </c>
      <c r="B903" s="2" t="inlineStr">
        <is>
          <t>PED00363</t>
        </is>
      </c>
      <c r="C903" s="2" t="inlineStr">
        <is>
          <t>P056</t>
        </is>
      </c>
      <c r="D903" s="2" t="n">
        <v>4</v>
      </c>
      <c r="E903" s="19" t="n">
        <v>0</v>
      </c>
    </row>
    <row r="904">
      <c r="A904" s="2" t="inlineStr">
        <is>
          <t>IT00363_02</t>
        </is>
      </c>
      <c r="B904" s="2" t="inlineStr">
        <is>
          <t>PED00363</t>
        </is>
      </c>
      <c r="C904" s="2" t="inlineStr">
        <is>
          <t>P040</t>
        </is>
      </c>
      <c r="D904" s="2" t="n">
        <v>1</v>
      </c>
      <c r="E904" s="19" t="n">
        <v>0</v>
      </c>
    </row>
    <row r="905">
      <c r="A905" s="2" t="inlineStr">
        <is>
          <t>IT00364_01</t>
        </is>
      </c>
      <c r="B905" s="2" t="inlineStr">
        <is>
          <t>PED00364</t>
        </is>
      </c>
      <c r="C905" s="2" t="inlineStr">
        <is>
          <t>P055</t>
        </is>
      </c>
      <c r="D905" s="2" t="n">
        <v>2</v>
      </c>
      <c r="E905" s="19" t="n">
        <v>0</v>
      </c>
    </row>
    <row r="906">
      <c r="A906" s="2" t="inlineStr">
        <is>
          <t>IT00364_02</t>
        </is>
      </c>
      <c r="B906" s="2" t="inlineStr">
        <is>
          <t>PED00364</t>
        </is>
      </c>
      <c r="C906" s="2" t="inlineStr">
        <is>
          <t>P012</t>
        </is>
      </c>
      <c r="D906" s="2" t="n">
        <v>2</v>
      </c>
      <c r="E906" s="19" t="n">
        <v>0</v>
      </c>
    </row>
    <row r="907">
      <c r="A907" s="2" t="inlineStr">
        <is>
          <t>IT00364_03</t>
        </is>
      </c>
      <c r="B907" s="2" t="inlineStr">
        <is>
          <t>PED00364</t>
        </is>
      </c>
      <c r="C907" s="2" t="inlineStr">
        <is>
          <t>P048</t>
        </is>
      </c>
      <c r="D907" s="2" t="n">
        <v>1</v>
      </c>
      <c r="E907" s="19" t="n">
        <v>0</v>
      </c>
    </row>
    <row r="908">
      <c r="A908" s="2" t="inlineStr">
        <is>
          <t>IT00365_01</t>
        </is>
      </c>
      <c r="B908" s="2" t="inlineStr">
        <is>
          <t>PED00365</t>
        </is>
      </c>
      <c r="C908" s="2" t="inlineStr">
        <is>
          <t>P060</t>
        </is>
      </c>
      <c r="D908" s="2" t="n">
        <v>2</v>
      </c>
      <c r="E908" s="19" t="n">
        <v>0.05</v>
      </c>
    </row>
    <row r="909">
      <c r="A909" s="2" t="inlineStr">
        <is>
          <t>IT00366_01</t>
        </is>
      </c>
      <c r="B909" s="2" t="inlineStr">
        <is>
          <t>PED00366</t>
        </is>
      </c>
      <c r="C909" s="2" t="inlineStr">
        <is>
          <t>P055</t>
        </is>
      </c>
      <c r="D909" s="2" t="n">
        <v>2</v>
      </c>
      <c r="E909" s="19" t="n">
        <v>0</v>
      </c>
    </row>
    <row r="910">
      <c r="A910" s="2" t="inlineStr">
        <is>
          <t>IT00366_02</t>
        </is>
      </c>
      <c r="B910" s="2" t="inlineStr">
        <is>
          <t>PED00366</t>
        </is>
      </c>
      <c r="C910" s="2" t="inlineStr">
        <is>
          <t>P038</t>
        </is>
      </c>
      <c r="D910" s="2" t="n">
        <v>4</v>
      </c>
      <c r="E910" s="19" t="n">
        <v>0</v>
      </c>
    </row>
    <row r="911">
      <c r="A911" s="2" t="inlineStr">
        <is>
          <t>IT00367_01</t>
        </is>
      </c>
      <c r="B911" s="2" t="inlineStr">
        <is>
          <t>PED00367</t>
        </is>
      </c>
      <c r="C911" s="2" t="inlineStr">
        <is>
          <t>P033</t>
        </is>
      </c>
      <c r="D911" s="2" t="n">
        <v>3</v>
      </c>
      <c r="E911" s="19" t="n">
        <v>0</v>
      </c>
    </row>
    <row r="912">
      <c r="A912" s="2" t="inlineStr">
        <is>
          <t>IT00367_02</t>
        </is>
      </c>
      <c r="B912" s="2" t="inlineStr">
        <is>
          <t>PED00367</t>
        </is>
      </c>
      <c r="C912" s="2" t="inlineStr">
        <is>
          <t>P011</t>
        </is>
      </c>
      <c r="D912" s="2" t="n">
        <v>3</v>
      </c>
      <c r="E912" s="19" t="n">
        <v>0</v>
      </c>
    </row>
    <row r="913">
      <c r="A913" s="2" t="inlineStr">
        <is>
          <t>IT00368_01</t>
        </is>
      </c>
      <c r="B913" s="2" t="inlineStr">
        <is>
          <t>PED00368</t>
        </is>
      </c>
      <c r="C913" s="2" t="inlineStr">
        <is>
          <t>P059</t>
        </is>
      </c>
      <c r="D913" s="2" t="n">
        <v>1</v>
      </c>
      <c r="E913" s="19" t="n">
        <v>0.05</v>
      </c>
    </row>
    <row r="914">
      <c r="A914" s="2" t="inlineStr">
        <is>
          <t>IT00368_02</t>
        </is>
      </c>
      <c r="B914" s="2" t="inlineStr">
        <is>
          <t>PED00368</t>
        </is>
      </c>
      <c r="C914" s="2" t="inlineStr">
        <is>
          <t>P058</t>
        </is>
      </c>
      <c r="D914" s="2" t="n">
        <v>3</v>
      </c>
      <c r="E914" s="19" t="n">
        <v>0</v>
      </c>
    </row>
    <row r="915">
      <c r="A915" s="2" t="inlineStr">
        <is>
          <t>IT00368_03</t>
        </is>
      </c>
      <c r="B915" s="2" t="inlineStr">
        <is>
          <t>PED00368</t>
        </is>
      </c>
      <c r="C915" s="2" t="inlineStr">
        <is>
          <t>P034</t>
        </is>
      </c>
      <c r="D915" s="2" t="n">
        <v>1</v>
      </c>
      <c r="E915" s="19" t="n">
        <v>0.1</v>
      </c>
    </row>
    <row r="916">
      <c r="A916" s="2" t="inlineStr">
        <is>
          <t>IT00369_01</t>
        </is>
      </c>
      <c r="B916" s="2" t="inlineStr">
        <is>
          <t>PED00369</t>
        </is>
      </c>
      <c r="C916" s="2" t="inlineStr">
        <is>
          <t>P062</t>
        </is>
      </c>
      <c r="D916" s="2" t="n">
        <v>2</v>
      </c>
      <c r="E916" s="19" t="n">
        <v>0</v>
      </c>
    </row>
    <row r="917">
      <c r="A917" s="2" t="inlineStr">
        <is>
          <t>IT00370_01</t>
        </is>
      </c>
      <c r="B917" s="2" t="inlineStr">
        <is>
          <t>PED00370</t>
        </is>
      </c>
      <c r="C917" s="2" t="inlineStr">
        <is>
          <t>P051</t>
        </is>
      </c>
      <c r="D917" s="2" t="n">
        <v>1</v>
      </c>
      <c r="E917" s="19" t="n">
        <v>0</v>
      </c>
    </row>
    <row r="918">
      <c r="A918" s="2" t="inlineStr">
        <is>
          <t>IT00370_02</t>
        </is>
      </c>
      <c r="B918" s="2" t="inlineStr">
        <is>
          <t>PED00370</t>
        </is>
      </c>
      <c r="C918" s="2" t="inlineStr">
        <is>
          <t>P039</t>
        </is>
      </c>
      <c r="D918" s="2" t="n">
        <v>1</v>
      </c>
      <c r="E918" s="19" t="n">
        <v>0</v>
      </c>
    </row>
    <row r="919">
      <c r="A919" s="2" t="inlineStr">
        <is>
          <t>IT00370_03</t>
        </is>
      </c>
      <c r="B919" s="2" t="inlineStr">
        <is>
          <t>PED00370</t>
        </is>
      </c>
      <c r="C919" s="2" t="inlineStr">
        <is>
          <t>P012</t>
        </is>
      </c>
      <c r="D919" s="2" t="n">
        <v>5</v>
      </c>
      <c r="E919" s="19" t="n">
        <v>0.05</v>
      </c>
    </row>
    <row r="920">
      <c r="A920" s="2" t="inlineStr">
        <is>
          <t>IT00371_01</t>
        </is>
      </c>
      <c r="B920" s="2" t="inlineStr">
        <is>
          <t>PED00371</t>
        </is>
      </c>
      <c r="C920" s="2" t="inlineStr">
        <is>
          <t>P025</t>
        </is>
      </c>
      <c r="D920" s="2" t="n">
        <v>1</v>
      </c>
      <c r="E920" s="19" t="n">
        <v>0</v>
      </c>
    </row>
    <row r="921">
      <c r="A921" s="2" t="inlineStr">
        <is>
          <t>IT00371_02</t>
        </is>
      </c>
      <c r="B921" s="2" t="inlineStr">
        <is>
          <t>PED00371</t>
        </is>
      </c>
      <c r="C921" s="2" t="inlineStr">
        <is>
          <t>P012</t>
        </is>
      </c>
      <c r="D921" s="2" t="n">
        <v>1</v>
      </c>
      <c r="E921" s="19" t="n">
        <v>0.05</v>
      </c>
    </row>
    <row r="922">
      <c r="A922" s="2" t="inlineStr">
        <is>
          <t>IT00371_03</t>
        </is>
      </c>
      <c r="B922" s="2" t="inlineStr">
        <is>
          <t>PED00371</t>
        </is>
      </c>
      <c r="C922" s="2" t="inlineStr">
        <is>
          <t>P039</t>
        </is>
      </c>
      <c r="D922" s="2" t="n">
        <v>3</v>
      </c>
      <c r="E922" s="19" t="n">
        <v>0</v>
      </c>
    </row>
    <row r="923">
      <c r="A923" s="2" t="inlineStr">
        <is>
          <t>IT00371_04</t>
        </is>
      </c>
      <c r="B923" s="2" t="inlineStr">
        <is>
          <t>PED00371</t>
        </is>
      </c>
      <c r="C923" s="2" t="inlineStr">
        <is>
          <t>P060</t>
        </is>
      </c>
      <c r="D923" s="2" t="n">
        <v>2</v>
      </c>
      <c r="E923" s="19" t="n">
        <v>0</v>
      </c>
    </row>
    <row r="924">
      <c r="A924" s="2" t="inlineStr">
        <is>
          <t>IT00372_01</t>
        </is>
      </c>
      <c r="B924" s="2" t="inlineStr">
        <is>
          <t>PED00372</t>
        </is>
      </c>
      <c r="C924" s="2" t="inlineStr">
        <is>
          <t>P002</t>
        </is>
      </c>
      <c r="D924" s="2" t="n">
        <v>1</v>
      </c>
      <c r="E924" s="19" t="n">
        <v>0.05</v>
      </c>
    </row>
    <row r="925">
      <c r="A925" s="2" t="inlineStr">
        <is>
          <t>IT00373_01</t>
        </is>
      </c>
      <c r="B925" s="2" t="inlineStr">
        <is>
          <t>PED00373</t>
        </is>
      </c>
      <c r="C925" s="2" t="inlineStr">
        <is>
          <t>P063</t>
        </is>
      </c>
      <c r="D925" s="2" t="n">
        <v>2</v>
      </c>
      <c r="E925" s="19" t="n">
        <v>0</v>
      </c>
    </row>
    <row r="926">
      <c r="A926" s="2" t="inlineStr">
        <is>
          <t>IT00373_02</t>
        </is>
      </c>
      <c r="B926" s="2" t="inlineStr">
        <is>
          <t>PED00373</t>
        </is>
      </c>
      <c r="C926" s="2" t="inlineStr">
        <is>
          <t>P052</t>
        </is>
      </c>
      <c r="D926" s="2" t="n">
        <v>2</v>
      </c>
      <c r="E926" s="19" t="n">
        <v>0.02</v>
      </c>
    </row>
    <row r="927">
      <c r="A927" s="2" t="inlineStr">
        <is>
          <t>IT00374_01</t>
        </is>
      </c>
      <c r="B927" s="2" t="inlineStr">
        <is>
          <t>PED00374</t>
        </is>
      </c>
      <c r="C927" s="2" t="inlineStr">
        <is>
          <t>P054</t>
        </is>
      </c>
      <c r="D927" s="2" t="n">
        <v>4</v>
      </c>
      <c r="E927" s="19" t="n">
        <v>0</v>
      </c>
    </row>
    <row r="928">
      <c r="A928" s="2" t="inlineStr">
        <is>
          <t>IT00375_01</t>
        </is>
      </c>
      <c r="B928" s="2" t="inlineStr">
        <is>
          <t>PED00375</t>
        </is>
      </c>
      <c r="C928" s="2" t="inlineStr">
        <is>
          <t>P061</t>
        </is>
      </c>
      <c r="D928" s="2" t="n">
        <v>1</v>
      </c>
      <c r="E928" s="19" t="n">
        <v>0</v>
      </c>
    </row>
    <row r="929">
      <c r="A929" s="2" t="inlineStr">
        <is>
          <t>IT00375_02</t>
        </is>
      </c>
      <c r="B929" s="2" t="inlineStr">
        <is>
          <t>PED00375</t>
        </is>
      </c>
      <c r="C929" s="2" t="inlineStr">
        <is>
          <t>P045</t>
        </is>
      </c>
      <c r="D929" s="2" t="n">
        <v>4</v>
      </c>
      <c r="E929" s="19" t="n">
        <v>0</v>
      </c>
    </row>
    <row r="930">
      <c r="A930" s="2" t="inlineStr">
        <is>
          <t>IT00375_03</t>
        </is>
      </c>
      <c r="B930" s="2" t="inlineStr">
        <is>
          <t>PED00375</t>
        </is>
      </c>
      <c r="C930" s="2" t="inlineStr">
        <is>
          <t>P057</t>
        </is>
      </c>
      <c r="D930" s="2" t="n">
        <v>2</v>
      </c>
      <c r="E930" s="19" t="n">
        <v>0.05</v>
      </c>
    </row>
    <row r="931">
      <c r="A931" s="2" t="inlineStr">
        <is>
          <t>IT00376_01</t>
        </is>
      </c>
      <c r="B931" s="2" t="inlineStr">
        <is>
          <t>PED00376</t>
        </is>
      </c>
      <c r="C931" s="2" t="inlineStr">
        <is>
          <t>P047</t>
        </is>
      </c>
      <c r="D931" s="2" t="n">
        <v>3</v>
      </c>
      <c r="E931" s="19" t="n">
        <v>0.05</v>
      </c>
    </row>
    <row r="932">
      <c r="A932" s="2" t="inlineStr">
        <is>
          <t>IT00376_02</t>
        </is>
      </c>
      <c r="B932" s="2" t="inlineStr">
        <is>
          <t>PED00376</t>
        </is>
      </c>
      <c r="C932" s="2" t="inlineStr">
        <is>
          <t>P061</t>
        </is>
      </c>
      <c r="D932" s="2" t="n">
        <v>2</v>
      </c>
      <c r="E932" s="19" t="n">
        <v>0</v>
      </c>
    </row>
    <row r="933">
      <c r="A933" s="2" t="inlineStr">
        <is>
          <t>IT00377_01</t>
        </is>
      </c>
      <c r="B933" s="2" t="inlineStr">
        <is>
          <t>PED00377</t>
        </is>
      </c>
      <c r="C933" s="2" t="inlineStr">
        <is>
          <t>P054</t>
        </is>
      </c>
      <c r="D933" s="2" t="n">
        <v>5</v>
      </c>
      <c r="E933" s="19" t="n">
        <v>0</v>
      </c>
    </row>
    <row r="934">
      <c r="A934" s="2" t="inlineStr">
        <is>
          <t>IT00378_01</t>
        </is>
      </c>
      <c r="B934" s="2" t="inlineStr">
        <is>
          <t>PED00378</t>
        </is>
      </c>
      <c r="C934" s="2" t="inlineStr">
        <is>
          <t>P023</t>
        </is>
      </c>
      <c r="D934" s="2" t="n">
        <v>3</v>
      </c>
      <c r="E934" s="19" t="n">
        <v>0</v>
      </c>
    </row>
    <row r="935">
      <c r="A935" s="2" t="inlineStr">
        <is>
          <t>IT00378_02</t>
        </is>
      </c>
      <c r="B935" s="2" t="inlineStr">
        <is>
          <t>PED00378</t>
        </is>
      </c>
      <c r="C935" s="2" t="inlineStr">
        <is>
          <t>P065</t>
        </is>
      </c>
      <c r="D935" s="2" t="n">
        <v>1</v>
      </c>
      <c r="E935" s="19" t="n">
        <v>0</v>
      </c>
    </row>
    <row r="936">
      <c r="A936" s="2" t="inlineStr">
        <is>
          <t>IT00378_03</t>
        </is>
      </c>
      <c r="B936" s="2" t="inlineStr">
        <is>
          <t>PED00378</t>
        </is>
      </c>
      <c r="C936" s="2" t="inlineStr">
        <is>
          <t>P005</t>
        </is>
      </c>
      <c r="D936" s="2" t="n">
        <v>2</v>
      </c>
      <c r="E936" s="19" t="n">
        <v>0</v>
      </c>
    </row>
    <row r="937">
      <c r="A937" s="2" t="inlineStr">
        <is>
          <t>IT00379_01</t>
        </is>
      </c>
      <c r="B937" s="2" t="inlineStr">
        <is>
          <t>PED00379</t>
        </is>
      </c>
      <c r="C937" s="2" t="inlineStr">
        <is>
          <t>P066</t>
        </is>
      </c>
      <c r="D937" s="2" t="n">
        <v>3</v>
      </c>
      <c r="E937" s="19" t="n">
        <v>0.1</v>
      </c>
    </row>
    <row r="938">
      <c r="A938" s="2" t="inlineStr">
        <is>
          <t>IT00379_02</t>
        </is>
      </c>
      <c r="B938" s="2" t="inlineStr">
        <is>
          <t>PED00379</t>
        </is>
      </c>
      <c r="C938" s="2" t="inlineStr">
        <is>
          <t>P014</t>
        </is>
      </c>
      <c r="D938" s="2" t="n">
        <v>3</v>
      </c>
      <c r="E938" s="19" t="n">
        <v>0.1</v>
      </c>
    </row>
    <row r="939">
      <c r="A939" s="2" t="inlineStr">
        <is>
          <t>IT00379_03</t>
        </is>
      </c>
      <c r="B939" s="2" t="inlineStr">
        <is>
          <t>PED00379</t>
        </is>
      </c>
      <c r="C939" s="2" t="inlineStr">
        <is>
          <t>P007</t>
        </is>
      </c>
      <c r="D939" s="2" t="n">
        <v>3</v>
      </c>
      <c r="E939" s="19" t="n">
        <v>0</v>
      </c>
    </row>
    <row r="940">
      <c r="A940" s="2" t="inlineStr">
        <is>
          <t>IT00379_04</t>
        </is>
      </c>
      <c r="B940" s="2" t="inlineStr">
        <is>
          <t>PED00379</t>
        </is>
      </c>
      <c r="C940" s="2" t="inlineStr">
        <is>
          <t>P057</t>
        </is>
      </c>
      <c r="D940" s="2" t="n">
        <v>4</v>
      </c>
      <c r="E940" s="19" t="n">
        <v>0</v>
      </c>
    </row>
    <row r="941">
      <c r="A941" s="2" t="inlineStr">
        <is>
          <t>IT00380_01</t>
        </is>
      </c>
      <c r="B941" s="2" t="inlineStr">
        <is>
          <t>PED00380</t>
        </is>
      </c>
      <c r="C941" s="2" t="inlineStr">
        <is>
          <t>P038</t>
        </is>
      </c>
      <c r="D941" s="2" t="n">
        <v>3</v>
      </c>
      <c r="E941" s="19" t="n">
        <v>0</v>
      </c>
    </row>
    <row r="942">
      <c r="A942" s="2" t="inlineStr">
        <is>
          <t>IT00380_02</t>
        </is>
      </c>
      <c r="B942" s="2" t="inlineStr">
        <is>
          <t>PED00380</t>
        </is>
      </c>
      <c r="C942" s="2" t="inlineStr">
        <is>
          <t>P057</t>
        </is>
      </c>
      <c r="D942" s="2" t="n">
        <v>4</v>
      </c>
      <c r="E942" s="19" t="n">
        <v>0</v>
      </c>
    </row>
    <row r="943">
      <c r="A943" s="2" t="inlineStr">
        <is>
          <t>IT00381_01</t>
        </is>
      </c>
      <c r="B943" s="2" t="inlineStr">
        <is>
          <t>PED00381</t>
        </is>
      </c>
      <c r="C943" s="2" t="inlineStr">
        <is>
          <t>P001</t>
        </is>
      </c>
      <c r="D943" s="2" t="n">
        <v>1</v>
      </c>
      <c r="E943" s="19" t="n">
        <v>0</v>
      </c>
    </row>
    <row r="944">
      <c r="A944" s="2" t="inlineStr">
        <is>
          <t>IT00381_02</t>
        </is>
      </c>
      <c r="B944" s="2" t="inlineStr">
        <is>
          <t>PED00381</t>
        </is>
      </c>
      <c r="C944" s="2" t="inlineStr">
        <is>
          <t>P032</t>
        </is>
      </c>
      <c r="D944" s="2" t="n">
        <v>1</v>
      </c>
      <c r="E944" s="19" t="n">
        <v>0</v>
      </c>
    </row>
    <row r="945">
      <c r="A945" s="2" t="inlineStr">
        <is>
          <t>IT00381_03</t>
        </is>
      </c>
      <c r="B945" s="2" t="inlineStr">
        <is>
          <t>PED00381</t>
        </is>
      </c>
      <c r="C945" s="2" t="inlineStr">
        <is>
          <t>P061</t>
        </is>
      </c>
      <c r="D945" s="2" t="n">
        <v>3</v>
      </c>
      <c r="E945" s="19" t="n">
        <v>0</v>
      </c>
    </row>
    <row r="946">
      <c r="A946" s="2" t="inlineStr">
        <is>
          <t>IT00382_01</t>
        </is>
      </c>
      <c r="B946" s="2" t="inlineStr">
        <is>
          <t>PED00382</t>
        </is>
      </c>
      <c r="C946" s="2" t="inlineStr">
        <is>
          <t>P055</t>
        </is>
      </c>
      <c r="D946" s="2" t="n">
        <v>1</v>
      </c>
      <c r="E946" s="19" t="n">
        <v>0</v>
      </c>
    </row>
    <row r="947">
      <c r="A947" s="2" t="inlineStr">
        <is>
          <t>IT00383_01</t>
        </is>
      </c>
      <c r="B947" s="2" t="inlineStr">
        <is>
          <t>PED00383</t>
        </is>
      </c>
      <c r="C947" s="2" t="inlineStr">
        <is>
          <t>P067</t>
        </is>
      </c>
      <c r="D947" s="2" t="n">
        <v>1</v>
      </c>
      <c r="E947" s="19" t="n">
        <v>0</v>
      </c>
    </row>
    <row r="948">
      <c r="A948" s="2" t="inlineStr">
        <is>
          <t>IT00383_02</t>
        </is>
      </c>
      <c r="B948" s="2" t="inlineStr">
        <is>
          <t>PED00383</t>
        </is>
      </c>
      <c r="C948" s="2" t="inlineStr">
        <is>
          <t>P009</t>
        </is>
      </c>
      <c r="D948" s="2" t="n">
        <v>3</v>
      </c>
      <c r="E948" s="19" t="n">
        <v>0</v>
      </c>
    </row>
    <row r="949">
      <c r="A949" s="2" t="inlineStr">
        <is>
          <t>IT00383_03</t>
        </is>
      </c>
      <c r="B949" s="2" t="inlineStr">
        <is>
          <t>PED00383</t>
        </is>
      </c>
      <c r="C949" s="2" t="inlineStr">
        <is>
          <t>P011</t>
        </is>
      </c>
      <c r="D949" s="2" t="n">
        <v>1</v>
      </c>
      <c r="E949" s="19" t="n">
        <v>0</v>
      </c>
    </row>
    <row r="950">
      <c r="A950" s="2" t="inlineStr">
        <is>
          <t>IT00384_01</t>
        </is>
      </c>
      <c r="B950" s="2" t="inlineStr">
        <is>
          <t>PED00384</t>
        </is>
      </c>
      <c r="C950" s="2" t="inlineStr">
        <is>
          <t>P038</t>
        </is>
      </c>
      <c r="D950" s="2" t="n">
        <v>3</v>
      </c>
      <c r="E950" s="19" t="n">
        <v>0</v>
      </c>
    </row>
    <row r="951">
      <c r="A951" s="2" t="inlineStr">
        <is>
          <t>IT00384_02</t>
        </is>
      </c>
      <c r="B951" s="2" t="inlineStr">
        <is>
          <t>PED00384</t>
        </is>
      </c>
      <c r="C951" s="2" t="inlineStr">
        <is>
          <t>P054</t>
        </is>
      </c>
      <c r="D951" s="2" t="n">
        <v>1</v>
      </c>
      <c r="E951" s="19" t="n">
        <v>0.05</v>
      </c>
    </row>
    <row r="952">
      <c r="A952" s="2" t="inlineStr">
        <is>
          <t>IT00384_03</t>
        </is>
      </c>
      <c r="B952" s="2" t="inlineStr">
        <is>
          <t>PED00384</t>
        </is>
      </c>
      <c r="C952" s="2" t="inlineStr">
        <is>
          <t>P052</t>
        </is>
      </c>
      <c r="D952" s="2" t="n">
        <v>4</v>
      </c>
      <c r="E952" s="19" t="n">
        <v>0</v>
      </c>
    </row>
    <row r="953">
      <c r="A953" s="2" t="inlineStr">
        <is>
          <t>IT00384_04</t>
        </is>
      </c>
      <c r="B953" s="2" t="inlineStr">
        <is>
          <t>PED00384</t>
        </is>
      </c>
      <c r="C953" s="2" t="inlineStr">
        <is>
          <t>P039</t>
        </is>
      </c>
      <c r="D953" s="2" t="n">
        <v>1</v>
      </c>
      <c r="E953" s="19" t="n">
        <v>0</v>
      </c>
    </row>
    <row r="954">
      <c r="A954" s="2" t="inlineStr">
        <is>
          <t>IT00385_01</t>
        </is>
      </c>
      <c r="B954" s="2" t="inlineStr">
        <is>
          <t>PED00385</t>
        </is>
      </c>
      <c r="C954" s="2" t="inlineStr">
        <is>
          <t>P026</t>
        </is>
      </c>
      <c r="D954" s="2" t="n">
        <v>1</v>
      </c>
      <c r="E954" s="19" t="n">
        <v>0</v>
      </c>
    </row>
    <row r="955">
      <c r="A955" s="2" t="inlineStr">
        <is>
          <t>IT00385_02</t>
        </is>
      </c>
      <c r="B955" s="2" t="inlineStr">
        <is>
          <t>PED00385</t>
        </is>
      </c>
      <c r="C955" s="2" t="inlineStr">
        <is>
          <t>P039</t>
        </is>
      </c>
      <c r="D955" s="2" t="n">
        <v>1</v>
      </c>
      <c r="E955" s="19" t="n">
        <v>0.02</v>
      </c>
    </row>
    <row r="956">
      <c r="A956" s="2" t="inlineStr">
        <is>
          <t>IT00386_01</t>
        </is>
      </c>
      <c r="B956" s="2" t="inlineStr">
        <is>
          <t>PED00386</t>
        </is>
      </c>
      <c r="C956" s="2" t="inlineStr">
        <is>
          <t>P021</t>
        </is>
      </c>
      <c r="D956" s="2" t="n">
        <v>1</v>
      </c>
      <c r="E956" s="19" t="n">
        <v>0.02</v>
      </c>
    </row>
    <row r="957">
      <c r="A957" s="2" t="inlineStr">
        <is>
          <t>IT00386_02</t>
        </is>
      </c>
      <c r="B957" s="2" t="inlineStr">
        <is>
          <t>PED00386</t>
        </is>
      </c>
      <c r="C957" s="2" t="inlineStr">
        <is>
          <t>P003</t>
        </is>
      </c>
      <c r="D957" s="2" t="n">
        <v>2</v>
      </c>
      <c r="E957" s="19" t="n">
        <v>0</v>
      </c>
    </row>
    <row r="958">
      <c r="A958" s="2" t="inlineStr">
        <is>
          <t>IT00387_01</t>
        </is>
      </c>
      <c r="B958" s="2" t="inlineStr">
        <is>
          <t>PED00387</t>
        </is>
      </c>
      <c r="C958" s="2" t="inlineStr">
        <is>
          <t>P016</t>
        </is>
      </c>
      <c r="D958" s="2" t="n">
        <v>3</v>
      </c>
      <c r="E958" s="19" t="n">
        <v>0.05</v>
      </c>
    </row>
    <row r="959">
      <c r="A959" s="2" t="inlineStr">
        <is>
          <t>IT00387_02</t>
        </is>
      </c>
      <c r="B959" s="2" t="inlineStr">
        <is>
          <t>PED00387</t>
        </is>
      </c>
      <c r="C959" s="2" t="inlineStr">
        <is>
          <t>P007</t>
        </is>
      </c>
      <c r="D959" s="2" t="n">
        <v>2</v>
      </c>
      <c r="E959" s="19" t="n">
        <v>0</v>
      </c>
    </row>
    <row r="960">
      <c r="A960" s="2" t="inlineStr">
        <is>
          <t>IT00388_01</t>
        </is>
      </c>
      <c r="B960" s="2" t="inlineStr">
        <is>
          <t>PED00388</t>
        </is>
      </c>
      <c r="C960" s="2" t="inlineStr">
        <is>
          <t>P069</t>
        </is>
      </c>
      <c r="D960" s="2" t="n">
        <v>1</v>
      </c>
      <c r="E960" s="19" t="n">
        <v>0.02</v>
      </c>
    </row>
    <row r="961">
      <c r="A961" s="2" t="inlineStr">
        <is>
          <t>IT00388_02</t>
        </is>
      </c>
      <c r="B961" s="2" t="inlineStr">
        <is>
          <t>PED00388</t>
        </is>
      </c>
      <c r="C961" s="2" t="inlineStr">
        <is>
          <t>P030</t>
        </is>
      </c>
      <c r="D961" s="2" t="n">
        <v>3</v>
      </c>
      <c r="E961" s="19" t="n">
        <v>0</v>
      </c>
    </row>
    <row r="962">
      <c r="A962" s="2" t="inlineStr">
        <is>
          <t>IT00388_03</t>
        </is>
      </c>
      <c r="B962" s="2" t="inlineStr">
        <is>
          <t>PED00388</t>
        </is>
      </c>
      <c r="C962" s="2" t="inlineStr">
        <is>
          <t>P045</t>
        </is>
      </c>
      <c r="D962" s="2" t="n">
        <v>1</v>
      </c>
      <c r="E962" s="19" t="n">
        <v>0</v>
      </c>
    </row>
    <row r="963">
      <c r="A963" s="2" t="inlineStr">
        <is>
          <t>IT00389_01</t>
        </is>
      </c>
      <c r="B963" s="2" t="inlineStr">
        <is>
          <t>PED00389</t>
        </is>
      </c>
      <c r="C963" s="2" t="inlineStr">
        <is>
          <t>P019</t>
        </is>
      </c>
      <c r="D963" s="2" t="n">
        <v>3</v>
      </c>
      <c r="E963" s="19" t="n">
        <v>0</v>
      </c>
    </row>
    <row r="964">
      <c r="A964" s="2" t="inlineStr">
        <is>
          <t>IT00389_02</t>
        </is>
      </c>
      <c r="B964" s="2" t="inlineStr">
        <is>
          <t>PED00389</t>
        </is>
      </c>
      <c r="C964" s="2" t="inlineStr">
        <is>
          <t>P055</t>
        </is>
      </c>
      <c r="D964" s="2" t="n">
        <v>1</v>
      </c>
      <c r="E964" s="19" t="n">
        <v>0.05</v>
      </c>
    </row>
    <row r="965">
      <c r="A965" s="2" t="inlineStr">
        <is>
          <t>IT00390_01</t>
        </is>
      </c>
      <c r="B965" s="2" t="inlineStr">
        <is>
          <t>PED00390</t>
        </is>
      </c>
      <c r="C965" s="2" t="inlineStr">
        <is>
          <t>P051</t>
        </is>
      </c>
      <c r="D965" s="2" t="n">
        <v>2</v>
      </c>
      <c r="E965" s="19" t="n">
        <v>0.1</v>
      </c>
    </row>
    <row r="966">
      <c r="A966" s="2" t="inlineStr">
        <is>
          <t>IT00390_02</t>
        </is>
      </c>
      <c r="B966" s="2" t="inlineStr">
        <is>
          <t>PED00390</t>
        </is>
      </c>
      <c r="C966" s="2" t="inlineStr">
        <is>
          <t>P034</t>
        </is>
      </c>
      <c r="D966" s="2" t="n">
        <v>2</v>
      </c>
      <c r="E966" s="19" t="n">
        <v>0.05</v>
      </c>
    </row>
    <row r="967">
      <c r="A967" s="2" t="inlineStr">
        <is>
          <t>IT00390_03</t>
        </is>
      </c>
      <c r="B967" s="2" t="inlineStr">
        <is>
          <t>PED00390</t>
        </is>
      </c>
      <c r="C967" s="2" t="inlineStr">
        <is>
          <t>P064</t>
        </is>
      </c>
      <c r="D967" s="2" t="n">
        <v>3</v>
      </c>
      <c r="E967" s="19" t="n">
        <v>0</v>
      </c>
    </row>
    <row r="968">
      <c r="A968" s="2" t="inlineStr">
        <is>
          <t>IT00391_01</t>
        </is>
      </c>
      <c r="B968" s="2" t="inlineStr">
        <is>
          <t>PED00391</t>
        </is>
      </c>
      <c r="C968" s="2" t="inlineStr">
        <is>
          <t>P068</t>
        </is>
      </c>
      <c r="D968" s="2" t="n">
        <v>2</v>
      </c>
      <c r="E968" s="19" t="n">
        <v>0</v>
      </c>
    </row>
    <row r="969">
      <c r="A969" s="2" t="inlineStr">
        <is>
          <t>IT00391_02</t>
        </is>
      </c>
      <c r="B969" s="2" t="inlineStr">
        <is>
          <t>PED00391</t>
        </is>
      </c>
      <c r="C969" s="2" t="inlineStr">
        <is>
          <t>P016</t>
        </is>
      </c>
      <c r="D969" s="2" t="n">
        <v>1</v>
      </c>
      <c r="E969" s="19" t="n">
        <v>0</v>
      </c>
    </row>
    <row r="970">
      <c r="A970" s="2" t="inlineStr">
        <is>
          <t>IT00392_01</t>
        </is>
      </c>
      <c r="B970" s="2" t="inlineStr">
        <is>
          <t>PED00392</t>
        </is>
      </c>
      <c r="C970" s="2" t="inlineStr">
        <is>
          <t>P006</t>
        </is>
      </c>
      <c r="D970" s="2" t="n">
        <v>1</v>
      </c>
      <c r="E970" s="19" t="n">
        <v>0</v>
      </c>
    </row>
    <row r="971">
      <c r="A971" s="2" t="inlineStr">
        <is>
          <t>IT00392_02</t>
        </is>
      </c>
      <c r="B971" s="2" t="inlineStr">
        <is>
          <t>PED00392</t>
        </is>
      </c>
      <c r="C971" s="2" t="inlineStr">
        <is>
          <t>P067</t>
        </is>
      </c>
      <c r="D971" s="2" t="n">
        <v>1</v>
      </c>
      <c r="E971" s="19" t="n">
        <v>0</v>
      </c>
    </row>
    <row r="972">
      <c r="A972" s="2" t="inlineStr">
        <is>
          <t>IT00392_03</t>
        </is>
      </c>
      <c r="B972" s="2" t="inlineStr">
        <is>
          <t>PED00392</t>
        </is>
      </c>
      <c r="C972" s="2" t="inlineStr">
        <is>
          <t>P020</t>
        </is>
      </c>
      <c r="D972" s="2" t="n">
        <v>1</v>
      </c>
      <c r="E972" s="19" t="n">
        <v>0</v>
      </c>
    </row>
    <row r="973">
      <c r="A973" s="2" t="inlineStr">
        <is>
          <t>IT00393_01</t>
        </is>
      </c>
      <c r="B973" s="2" t="inlineStr">
        <is>
          <t>PED00393</t>
        </is>
      </c>
      <c r="C973" s="2" t="inlineStr">
        <is>
          <t>P063</t>
        </is>
      </c>
      <c r="D973" s="2" t="n">
        <v>1</v>
      </c>
      <c r="E973" s="19" t="n">
        <v>0</v>
      </c>
    </row>
    <row r="974">
      <c r="A974" s="2" t="inlineStr">
        <is>
          <t>IT00394_01</t>
        </is>
      </c>
      <c r="B974" s="2" t="inlineStr">
        <is>
          <t>PED00394</t>
        </is>
      </c>
      <c r="C974" s="2" t="inlineStr">
        <is>
          <t>P049</t>
        </is>
      </c>
      <c r="D974" s="2" t="n">
        <v>3</v>
      </c>
      <c r="E974" s="19" t="n">
        <v>0.05</v>
      </c>
    </row>
    <row r="975">
      <c r="A975" s="2" t="inlineStr">
        <is>
          <t>IT00394_02</t>
        </is>
      </c>
      <c r="B975" s="2" t="inlineStr">
        <is>
          <t>PED00394</t>
        </is>
      </c>
      <c r="C975" s="2" t="inlineStr">
        <is>
          <t>P061</t>
        </is>
      </c>
      <c r="D975" s="2" t="n">
        <v>1</v>
      </c>
      <c r="E975" s="19" t="n">
        <v>0</v>
      </c>
    </row>
    <row r="976">
      <c r="A976" s="2" t="inlineStr">
        <is>
          <t>IT00395_01</t>
        </is>
      </c>
      <c r="B976" s="2" t="inlineStr">
        <is>
          <t>PED00395</t>
        </is>
      </c>
      <c r="C976" s="2" t="inlineStr">
        <is>
          <t>P053</t>
        </is>
      </c>
      <c r="D976" s="2" t="n">
        <v>1</v>
      </c>
      <c r="E976" s="19" t="n">
        <v>0.05</v>
      </c>
    </row>
    <row r="977">
      <c r="A977" s="2" t="inlineStr">
        <is>
          <t>IT00396_01</t>
        </is>
      </c>
      <c r="B977" s="2" t="inlineStr">
        <is>
          <t>PED00396</t>
        </is>
      </c>
      <c r="C977" s="2" t="inlineStr">
        <is>
          <t>P022</t>
        </is>
      </c>
      <c r="D977" s="2" t="n">
        <v>2</v>
      </c>
      <c r="E977" s="19" t="n">
        <v>0</v>
      </c>
    </row>
    <row r="978">
      <c r="A978" s="2" t="inlineStr">
        <is>
          <t>IT00396_02</t>
        </is>
      </c>
      <c r="B978" s="2" t="inlineStr">
        <is>
          <t>PED00396</t>
        </is>
      </c>
      <c r="C978" s="2" t="inlineStr">
        <is>
          <t>P004</t>
        </is>
      </c>
      <c r="D978" s="2" t="n">
        <v>2</v>
      </c>
      <c r="E978" s="19" t="n">
        <v>0</v>
      </c>
    </row>
    <row r="979">
      <c r="A979" s="2" t="inlineStr">
        <is>
          <t>IT00396_03</t>
        </is>
      </c>
      <c r="B979" s="2" t="inlineStr">
        <is>
          <t>PED00396</t>
        </is>
      </c>
      <c r="C979" s="2" t="inlineStr">
        <is>
          <t>P040</t>
        </is>
      </c>
      <c r="D979" s="2" t="n">
        <v>2</v>
      </c>
      <c r="E979" s="19" t="n">
        <v>0</v>
      </c>
    </row>
    <row r="980">
      <c r="A980" s="2" t="inlineStr">
        <is>
          <t>IT00397_01</t>
        </is>
      </c>
      <c r="B980" s="2" t="inlineStr">
        <is>
          <t>PED00397</t>
        </is>
      </c>
      <c r="C980" s="2" t="inlineStr">
        <is>
          <t>P069</t>
        </is>
      </c>
      <c r="D980" s="2" t="n">
        <v>1</v>
      </c>
      <c r="E980" s="19" t="n">
        <v>0</v>
      </c>
    </row>
    <row r="981">
      <c r="A981" s="2" t="inlineStr">
        <is>
          <t>IT00397_02</t>
        </is>
      </c>
      <c r="B981" s="2" t="inlineStr">
        <is>
          <t>PED00397</t>
        </is>
      </c>
      <c r="C981" s="2" t="inlineStr">
        <is>
          <t>P024</t>
        </is>
      </c>
      <c r="D981" s="2" t="n">
        <v>3</v>
      </c>
      <c r="E981" s="19" t="n">
        <v>0.05</v>
      </c>
    </row>
    <row r="982">
      <c r="A982" s="2" t="inlineStr">
        <is>
          <t>IT00397_03</t>
        </is>
      </c>
      <c r="B982" s="2" t="inlineStr">
        <is>
          <t>PED00397</t>
        </is>
      </c>
      <c r="C982" s="2" t="inlineStr">
        <is>
          <t>P003</t>
        </is>
      </c>
      <c r="D982" s="2" t="n">
        <v>2</v>
      </c>
      <c r="E982" s="19" t="n">
        <v>0</v>
      </c>
    </row>
    <row r="983">
      <c r="A983" s="2" t="inlineStr">
        <is>
          <t>IT00398_01</t>
        </is>
      </c>
      <c r="B983" s="2" t="inlineStr">
        <is>
          <t>PED00398</t>
        </is>
      </c>
      <c r="C983" s="2" t="inlineStr">
        <is>
          <t>P056</t>
        </is>
      </c>
      <c r="D983" s="2" t="n">
        <v>1</v>
      </c>
      <c r="E983" s="19" t="n">
        <v>0</v>
      </c>
    </row>
    <row r="984">
      <c r="A984" s="2" t="inlineStr">
        <is>
          <t>IT00399_01</t>
        </is>
      </c>
      <c r="B984" s="2" t="inlineStr">
        <is>
          <t>PED00399</t>
        </is>
      </c>
      <c r="C984" s="2" t="inlineStr">
        <is>
          <t>P019</t>
        </is>
      </c>
      <c r="D984" s="2" t="n">
        <v>1</v>
      </c>
      <c r="E984" s="19" t="n">
        <v>0.02</v>
      </c>
    </row>
    <row r="985">
      <c r="A985" s="2" t="inlineStr">
        <is>
          <t>IT00400_01</t>
        </is>
      </c>
      <c r="B985" s="2" t="inlineStr">
        <is>
          <t>PED00400</t>
        </is>
      </c>
      <c r="C985" s="2" t="inlineStr">
        <is>
          <t>P008</t>
        </is>
      </c>
      <c r="D985" s="2" t="n">
        <v>1</v>
      </c>
      <c r="E985" s="19" t="n">
        <v>0</v>
      </c>
    </row>
    <row r="986">
      <c r="A986" s="2" t="inlineStr">
        <is>
          <t>IT00401_01</t>
        </is>
      </c>
      <c r="B986" s="2" t="inlineStr">
        <is>
          <t>PED00401</t>
        </is>
      </c>
      <c r="C986" s="2" t="inlineStr">
        <is>
          <t>P031</t>
        </is>
      </c>
      <c r="D986" s="2" t="n">
        <v>3</v>
      </c>
      <c r="E986" s="19" t="n">
        <v>0</v>
      </c>
    </row>
    <row r="987">
      <c r="A987" s="2" t="inlineStr">
        <is>
          <t>IT00402_01</t>
        </is>
      </c>
      <c r="B987" s="2" t="inlineStr">
        <is>
          <t>PED00402</t>
        </is>
      </c>
      <c r="C987" s="2" t="inlineStr">
        <is>
          <t>P009</t>
        </is>
      </c>
      <c r="D987" s="2" t="n">
        <v>1</v>
      </c>
      <c r="E987" s="19" t="n">
        <v>0</v>
      </c>
    </row>
    <row r="988">
      <c r="A988" s="2" t="inlineStr">
        <is>
          <t>IT00402_02</t>
        </is>
      </c>
      <c r="B988" s="2" t="inlineStr">
        <is>
          <t>PED00402</t>
        </is>
      </c>
      <c r="C988" s="2" t="inlineStr">
        <is>
          <t>P062</t>
        </is>
      </c>
      <c r="D988" s="2" t="n">
        <v>4</v>
      </c>
      <c r="E988" s="19" t="n">
        <v>0</v>
      </c>
    </row>
    <row r="989">
      <c r="A989" s="2" t="inlineStr">
        <is>
          <t>IT00402_03</t>
        </is>
      </c>
      <c r="B989" s="2" t="inlineStr">
        <is>
          <t>PED00402</t>
        </is>
      </c>
      <c r="C989" s="2" t="inlineStr">
        <is>
          <t>P004</t>
        </is>
      </c>
      <c r="D989" s="2" t="n">
        <v>5</v>
      </c>
      <c r="E989" s="19" t="n">
        <v>0.02</v>
      </c>
    </row>
    <row r="990">
      <c r="A990" s="2" t="inlineStr">
        <is>
          <t>IT00403_01</t>
        </is>
      </c>
      <c r="B990" s="2" t="inlineStr">
        <is>
          <t>PED00403</t>
        </is>
      </c>
      <c r="C990" s="2" t="inlineStr">
        <is>
          <t>P027</t>
        </is>
      </c>
      <c r="D990" s="2" t="n">
        <v>2</v>
      </c>
      <c r="E990" s="19" t="n">
        <v>0</v>
      </c>
    </row>
    <row r="991">
      <c r="A991" s="2" t="inlineStr">
        <is>
          <t>IT00403_02</t>
        </is>
      </c>
      <c r="B991" s="2" t="inlineStr">
        <is>
          <t>PED00403</t>
        </is>
      </c>
      <c r="C991" s="2" t="inlineStr">
        <is>
          <t>P019</t>
        </is>
      </c>
      <c r="D991" s="2" t="n">
        <v>1</v>
      </c>
      <c r="E991" s="19" t="n">
        <v>0.1</v>
      </c>
    </row>
    <row r="992">
      <c r="A992" s="2" t="inlineStr">
        <is>
          <t>IT00403_03</t>
        </is>
      </c>
      <c r="B992" s="2" t="inlineStr">
        <is>
          <t>PED00403</t>
        </is>
      </c>
      <c r="C992" s="2" t="inlineStr">
        <is>
          <t>P048</t>
        </is>
      </c>
      <c r="D992" s="2" t="n">
        <v>5</v>
      </c>
      <c r="E992" s="19" t="n">
        <v>0</v>
      </c>
    </row>
    <row r="993">
      <c r="A993" s="2" t="inlineStr">
        <is>
          <t>IT00404_01</t>
        </is>
      </c>
      <c r="B993" s="2" t="inlineStr">
        <is>
          <t>PED00404</t>
        </is>
      </c>
      <c r="C993" s="2" t="inlineStr">
        <is>
          <t>P008</t>
        </is>
      </c>
      <c r="D993" s="2" t="n">
        <v>5</v>
      </c>
      <c r="E993" s="19" t="n">
        <v>0</v>
      </c>
    </row>
    <row r="994">
      <c r="A994" s="2" t="inlineStr">
        <is>
          <t>IT00405_01</t>
        </is>
      </c>
      <c r="B994" s="2" t="inlineStr">
        <is>
          <t>PED00405</t>
        </is>
      </c>
      <c r="C994" s="2" t="inlineStr">
        <is>
          <t>P037</t>
        </is>
      </c>
      <c r="D994" s="2" t="n">
        <v>2</v>
      </c>
      <c r="E994" s="19" t="n">
        <v>0</v>
      </c>
    </row>
    <row r="995">
      <c r="A995" s="2" t="inlineStr">
        <is>
          <t>IT00405_02</t>
        </is>
      </c>
      <c r="B995" s="2" t="inlineStr">
        <is>
          <t>PED00405</t>
        </is>
      </c>
      <c r="C995" s="2" t="inlineStr">
        <is>
          <t>P006</t>
        </is>
      </c>
      <c r="D995" s="2" t="n">
        <v>1</v>
      </c>
      <c r="E995" s="19" t="n">
        <v>0</v>
      </c>
    </row>
    <row r="996">
      <c r="A996" s="2" t="inlineStr">
        <is>
          <t>IT00405_03</t>
        </is>
      </c>
      <c r="B996" s="2" t="inlineStr">
        <is>
          <t>PED00405</t>
        </is>
      </c>
      <c r="C996" s="2" t="inlineStr">
        <is>
          <t>P021</t>
        </is>
      </c>
      <c r="D996" s="2" t="n">
        <v>1</v>
      </c>
      <c r="E996" s="19" t="n">
        <v>0</v>
      </c>
    </row>
    <row r="997">
      <c r="A997" s="2" t="inlineStr">
        <is>
          <t>IT00405_04</t>
        </is>
      </c>
      <c r="B997" s="2" t="inlineStr">
        <is>
          <t>PED00405</t>
        </is>
      </c>
      <c r="C997" s="2" t="inlineStr">
        <is>
          <t>P069</t>
        </is>
      </c>
      <c r="D997" s="2" t="n">
        <v>1</v>
      </c>
      <c r="E997" s="19" t="n">
        <v>0</v>
      </c>
    </row>
    <row r="998">
      <c r="A998" s="2" t="inlineStr">
        <is>
          <t>IT00406_01</t>
        </is>
      </c>
      <c r="B998" s="2" t="inlineStr">
        <is>
          <t>PED00406</t>
        </is>
      </c>
      <c r="C998" s="2" t="inlineStr">
        <is>
          <t>P058</t>
        </is>
      </c>
      <c r="D998" s="2" t="n">
        <v>1</v>
      </c>
      <c r="E998" s="19" t="n">
        <v>0.1</v>
      </c>
    </row>
    <row r="999">
      <c r="A999" s="2" t="inlineStr">
        <is>
          <t>IT00406_02</t>
        </is>
      </c>
      <c r="B999" s="2" t="inlineStr">
        <is>
          <t>PED00406</t>
        </is>
      </c>
      <c r="C999" s="2" t="inlineStr">
        <is>
          <t>P035</t>
        </is>
      </c>
      <c r="D999" s="2" t="n">
        <v>1</v>
      </c>
      <c r="E999" s="19" t="n">
        <v>0.05</v>
      </c>
    </row>
    <row r="1000">
      <c r="A1000" s="2" t="inlineStr">
        <is>
          <t>IT00406_03</t>
        </is>
      </c>
      <c r="B1000" s="2" t="inlineStr">
        <is>
          <t>PED00406</t>
        </is>
      </c>
      <c r="C1000" s="2" t="inlineStr">
        <is>
          <t>P032</t>
        </is>
      </c>
      <c r="D1000" s="2" t="n">
        <v>1</v>
      </c>
      <c r="E1000" s="19" t="n">
        <v>0.05</v>
      </c>
    </row>
    <row r="1001">
      <c r="A1001" s="2" t="inlineStr">
        <is>
          <t>IT00406_04</t>
        </is>
      </c>
      <c r="B1001" s="2" t="inlineStr">
        <is>
          <t>PED00406</t>
        </is>
      </c>
      <c r="C1001" s="2" t="inlineStr">
        <is>
          <t>P042</t>
        </is>
      </c>
      <c r="D1001" s="2" t="n">
        <v>2</v>
      </c>
      <c r="E1001" s="19" t="n">
        <v>0</v>
      </c>
    </row>
    <row r="1002">
      <c r="A1002" s="2" t="inlineStr">
        <is>
          <t>IT00406_05</t>
        </is>
      </c>
      <c r="B1002" s="2" t="inlineStr">
        <is>
          <t>PED00406</t>
        </is>
      </c>
      <c r="C1002" s="2" t="inlineStr">
        <is>
          <t>P044</t>
        </is>
      </c>
      <c r="D1002" s="2" t="n">
        <v>1</v>
      </c>
      <c r="E1002" s="19" t="n">
        <v>0</v>
      </c>
    </row>
    <row r="1003">
      <c r="A1003" s="2" t="inlineStr">
        <is>
          <t>IT00407_01</t>
        </is>
      </c>
      <c r="B1003" s="2" t="inlineStr">
        <is>
          <t>PED00407</t>
        </is>
      </c>
      <c r="C1003" s="2" t="inlineStr">
        <is>
          <t>P004</t>
        </is>
      </c>
      <c r="D1003" s="2" t="n">
        <v>4</v>
      </c>
      <c r="E1003" s="19" t="n">
        <v>0.05</v>
      </c>
    </row>
    <row r="1004">
      <c r="A1004" s="2" t="inlineStr">
        <is>
          <t>IT00408_01</t>
        </is>
      </c>
      <c r="B1004" s="2" t="inlineStr">
        <is>
          <t>PED00408</t>
        </is>
      </c>
      <c r="C1004" s="2" t="inlineStr">
        <is>
          <t>P023</t>
        </is>
      </c>
      <c r="D1004" s="2" t="n">
        <v>1</v>
      </c>
      <c r="E1004" s="19" t="n">
        <v>0</v>
      </c>
    </row>
    <row r="1005">
      <c r="A1005" s="2" t="inlineStr">
        <is>
          <t>IT00408_02</t>
        </is>
      </c>
      <c r="B1005" s="2" t="inlineStr">
        <is>
          <t>PED00408</t>
        </is>
      </c>
      <c r="C1005" s="2" t="inlineStr">
        <is>
          <t>P002</t>
        </is>
      </c>
      <c r="D1005" s="2" t="n">
        <v>1</v>
      </c>
      <c r="E1005" s="19" t="n">
        <v>0</v>
      </c>
    </row>
    <row r="1006">
      <c r="A1006" s="2" t="inlineStr">
        <is>
          <t>IT00409_01</t>
        </is>
      </c>
      <c r="B1006" s="2" t="inlineStr">
        <is>
          <t>PED00409</t>
        </is>
      </c>
      <c r="C1006" s="2" t="inlineStr">
        <is>
          <t>P029</t>
        </is>
      </c>
      <c r="D1006" s="2" t="n">
        <v>1</v>
      </c>
      <c r="E1006" s="19" t="n">
        <v>0</v>
      </c>
    </row>
    <row r="1007">
      <c r="A1007" s="2" t="inlineStr">
        <is>
          <t>IT00409_02</t>
        </is>
      </c>
      <c r="B1007" s="2" t="inlineStr">
        <is>
          <t>PED00409</t>
        </is>
      </c>
      <c r="C1007" s="2" t="inlineStr">
        <is>
          <t>P030</t>
        </is>
      </c>
      <c r="D1007" s="2" t="n">
        <v>3</v>
      </c>
      <c r="E1007" s="19" t="n">
        <v>0</v>
      </c>
    </row>
    <row r="1008">
      <c r="A1008" s="2" t="inlineStr">
        <is>
          <t>IT00409_03</t>
        </is>
      </c>
      <c r="B1008" s="2" t="inlineStr">
        <is>
          <t>PED00409</t>
        </is>
      </c>
      <c r="C1008" s="2" t="inlineStr">
        <is>
          <t>P064</t>
        </is>
      </c>
      <c r="D1008" s="2" t="n">
        <v>1</v>
      </c>
      <c r="E1008" s="19" t="n">
        <v>0.1</v>
      </c>
    </row>
    <row r="1009">
      <c r="A1009" s="2" t="inlineStr">
        <is>
          <t>IT00409_04</t>
        </is>
      </c>
      <c r="B1009" s="2" t="inlineStr">
        <is>
          <t>PED00409</t>
        </is>
      </c>
      <c r="C1009" s="2" t="inlineStr">
        <is>
          <t>P047</t>
        </is>
      </c>
      <c r="D1009" s="2" t="n">
        <v>2</v>
      </c>
      <c r="E1009" s="19" t="n">
        <v>0</v>
      </c>
    </row>
    <row r="1010">
      <c r="A1010" s="2" t="inlineStr">
        <is>
          <t>IT00410_01</t>
        </is>
      </c>
      <c r="B1010" s="2" t="inlineStr">
        <is>
          <t>PED00410</t>
        </is>
      </c>
      <c r="C1010" s="2" t="inlineStr">
        <is>
          <t>P023</t>
        </is>
      </c>
      <c r="D1010" s="2" t="n">
        <v>3</v>
      </c>
      <c r="E1010" s="19" t="n">
        <v>0</v>
      </c>
    </row>
    <row r="1011">
      <c r="A1011" s="2" t="inlineStr">
        <is>
          <t>IT00410_02</t>
        </is>
      </c>
      <c r="B1011" s="2" t="inlineStr">
        <is>
          <t>PED00410</t>
        </is>
      </c>
      <c r="C1011" s="2" t="inlineStr">
        <is>
          <t>P009</t>
        </is>
      </c>
      <c r="D1011" s="2" t="n">
        <v>5</v>
      </c>
      <c r="E1011" s="19" t="n">
        <v>0.05</v>
      </c>
    </row>
    <row r="1012">
      <c r="A1012" s="2" t="inlineStr">
        <is>
          <t>IT00410_03</t>
        </is>
      </c>
      <c r="B1012" s="2" t="inlineStr">
        <is>
          <t>PED00410</t>
        </is>
      </c>
      <c r="C1012" s="2" t="inlineStr">
        <is>
          <t>P017</t>
        </is>
      </c>
      <c r="D1012" s="2" t="n">
        <v>4</v>
      </c>
      <c r="E1012" s="19" t="n">
        <v>0.02</v>
      </c>
    </row>
    <row r="1013">
      <c r="A1013" s="2" t="inlineStr">
        <is>
          <t>IT00411_01</t>
        </is>
      </c>
      <c r="B1013" s="2" t="inlineStr">
        <is>
          <t>PED00411</t>
        </is>
      </c>
      <c r="C1013" s="2" t="inlineStr">
        <is>
          <t>P059</t>
        </is>
      </c>
      <c r="D1013" s="2" t="n">
        <v>5</v>
      </c>
      <c r="E1013" s="19" t="n">
        <v>0</v>
      </c>
    </row>
    <row r="1014">
      <c r="A1014" s="2" t="inlineStr">
        <is>
          <t>IT00411_02</t>
        </is>
      </c>
      <c r="B1014" s="2" t="inlineStr">
        <is>
          <t>PED00411</t>
        </is>
      </c>
      <c r="C1014" s="2" t="inlineStr">
        <is>
          <t>P001</t>
        </is>
      </c>
      <c r="D1014" s="2" t="n">
        <v>5</v>
      </c>
      <c r="E1014" s="19" t="n">
        <v>0</v>
      </c>
    </row>
    <row r="1015">
      <c r="A1015" s="2" t="inlineStr">
        <is>
          <t>IT00412_01</t>
        </is>
      </c>
      <c r="B1015" s="2" t="inlineStr">
        <is>
          <t>PED00412</t>
        </is>
      </c>
      <c r="C1015" s="2" t="inlineStr">
        <is>
          <t>P006</t>
        </is>
      </c>
      <c r="D1015" s="2" t="n">
        <v>1</v>
      </c>
      <c r="E1015" s="19" t="n">
        <v>0.05</v>
      </c>
    </row>
    <row r="1016">
      <c r="A1016" s="2" t="inlineStr">
        <is>
          <t>IT00412_02</t>
        </is>
      </c>
      <c r="B1016" s="2" t="inlineStr">
        <is>
          <t>PED00412</t>
        </is>
      </c>
      <c r="C1016" s="2" t="inlineStr">
        <is>
          <t>P029</t>
        </is>
      </c>
      <c r="D1016" s="2" t="n">
        <v>2</v>
      </c>
      <c r="E1016" s="19" t="n">
        <v>0</v>
      </c>
    </row>
    <row r="1017">
      <c r="A1017" s="2" t="inlineStr">
        <is>
          <t>IT00413_01</t>
        </is>
      </c>
      <c r="B1017" s="2" t="inlineStr">
        <is>
          <t>PED00413</t>
        </is>
      </c>
      <c r="C1017" s="2" t="inlineStr">
        <is>
          <t>P055</t>
        </is>
      </c>
      <c r="D1017" s="2" t="n">
        <v>1</v>
      </c>
      <c r="E1017" s="19" t="n">
        <v>0</v>
      </c>
    </row>
    <row r="1018">
      <c r="A1018" s="2" t="inlineStr">
        <is>
          <t>IT00413_02</t>
        </is>
      </c>
      <c r="B1018" s="2" t="inlineStr">
        <is>
          <t>PED00413</t>
        </is>
      </c>
      <c r="C1018" s="2" t="inlineStr">
        <is>
          <t>P010</t>
        </is>
      </c>
      <c r="D1018" s="2" t="n">
        <v>1</v>
      </c>
      <c r="E1018" s="19" t="n">
        <v>0</v>
      </c>
    </row>
    <row r="1019">
      <c r="A1019" s="2" t="inlineStr">
        <is>
          <t>IT00413_03</t>
        </is>
      </c>
      <c r="B1019" s="2" t="inlineStr">
        <is>
          <t>PED00413</t>
        </is>
      </c>
      <c r="C1019" s="2" t="inlineStr">
        <is>
          <t>P032</t>
        </is>
      </c>
      <c r="D1019" s="2" t="n">
        <v>1</v>
      </c>
      <c r="E1019" s="19" t="n">
        <v>0</v>
      </c>
    </row>
    <row r="1020">
      <c r="A1020" s="2" t="inlineStr">
        <is>
          <t>IT00414_01</t>
        </is>
      </c>
      <c r="B1020" s="2" t="inlineStr">
        <is>
          <t>PED00414</t>
        </is>
      </c>
      <c r="C1020" s="2" t="inlineStr">
        <is>
          <t>P007</t>
        </is>
      </c>
      <c r="D1020" s="2" t="n">
        <v>3</v>
      </c>
      <c r="E1020" s="19" t="n">
        <v>0</v>
      </c>
    </row>
    <row r="1021">
      <c r="A1021" s="2" t="inlineStr">
        <is>
          <t>IT00414_02</t>
        </is>
      </c>
      <c r="B1021" s="2" t="inlineStr">
        <is>
          <t>PED00414</t>
        </is>
      </c>
      <c r="C1021" s="2" t="inlineStr">
        <is>
          <t>P043</t>
        </is>
      </c>
      <c r="D1021" s="2" t="n">
        <v>3</v>
      </c>
      <c r="E1021" s="19" t="n">
        <v>0</v>
      </c>
    </row>
    <row r="1022">
      <c r="A1022" s="2" t="inlineStr">
        <is>
          <t>IT00414_03</t>
        </is>
      </c>
      <c r="B1022" s="2" t="inlineStr">
        <is>
          <t>PED00414</t>
        </is>
      </c>
      <c r="C1022" s="2" t="inlineStr">
        <is>
          <t>P067</t>
        </is>
      </c>
      <c r="D1022" s="2" t="n">
        <v>2</v>
      </c>
      <c r="E1022" s="19" t="n">
        <v>0</v>
      </c>
    </row>
    <row r="1023">
      <c r="A1023" s="2" t="inlineStr">
        <is>
          <t>IT00414_04</t>
        </is>
      </c>
      <c r="B1023" s="2" t="inlineStr">
        <is>
          <t>PED00414</t>
        </is>
      </c>
      <c r="C1023" s="2" t="inlineStr">
        <is>
          <t>P031</t>
        </is>
      </c>
      <c r="D1023" s="2" t="n">
        <v>1</v>
      </c>
      <c r="E1023" s="19" t="n">
        <v>0</v>
      </c>
    </row>
    <row r="1024">
      <c r="A1024" s="2" t="inlineStr">
        <is>
          <t>IT00414_05</t>
        </is>
      </c>
      <c r="B1024" s="2" t="inlineStr">
        <is>
          <t>PED00414</t>
        </is>
      </c>
      <c r="C1024" s="2" t="inlineStr">
        <is>
          <t>P010</t>
        </is>
      </c>
      <c r="D1024" s="2" t="n">
        <v>1</v>
      </c>
      <c r="E1024" s="19" t="n">
        <v>0.05</v>
      </c>
    </row>
    <row r="1025">
      <c r="A1025" s="2" t="inlineStr">
        <is>
          <t>IT00415_01</t>
        </is>
      </c>
      <c r="B1025" s="2" t="inlineStr">
        <is>
          <t>PED00415</t>
        </is>
      </c>
      <c r="C1025" s="2" t="inlineStr">
        <is>
          <t>P009</t>
        </is>
      </c>
      <c r="D1025" s="2" t="n">
        <v>2</v>
      </c>
      <c r="E1025" s="19" t="n">
        <v>0</v>
      </c>
    </row>
    <row r="1026">
      <c r="A1026" s="2" t="inlineStr">
        <is>
          <t>IT00415_02</t>
        </is>
      </c>
      <c r="B1026" s="2" t="inlineStr">
        <is>
          <t>PED00415</t>
        </is>
      </c>
      <c r="C1026" s="2" t="inlineStr">
        <is>
          <t>P014</t>
        </is>
      </c>
      <c r="D1026" s="2" t="n">
        <v>1</v>
      </c>
      <c r="E1026" s="19" t="n">
        <v>0</v>
      </c>
    </row>
    <row r="1027">
      <c r="A1027" s="2" t="inlineStr">
        <is>
          <t>IT00415_03</t>
        </is>
      </c>
      <c r="B1027" s="2" t="inlineStr">
        <is>
          <t>PED00415</t>
        </is>
      </c>
      <c r="C1027" s="2" t="inlineStr">
        <is>
          <t>P008</t>
        </is>
      </c>
      <c r="D1027" s="2" t="n">
        <v>3</v>
      </c>
      <c r="E1027" s="19" t="n">
        <v>0</v>
      </c>
    </row>
    <row r="1028">
      <c r="A1028" s="2" t="inlineStr">
        <is>
          <t>IT00416_01</t>
        </is>
      </c>
      <c r="B1028" s="2" t="inlineStr">
        <is>
          <t>PED00416</t>
        </is>
      </c>
      <c r="C1028" s="2" t="inlineStr">
        <is>
          <t>P013</t>
        </is>
      </c>
      <c r="D1028" s="2" t="n">
        <v>2</v>
      </c>
      <c r="E1028" s="19" t="n">
        <v>0</v>
      </c>
    </row>
    <row r="1029">
      <c r="A1029" s="2" t="inlineStr">
        <is>
          <t>IT00416_02</t>
        </is>
      </c>
      <c r="B1029" s="2" t="inlineStr">
        <is>
          <t>PED00416</t>
        </is>
      </c>
      <c r="C1029" s="2" t="inlineStr">
        <is>
          <t>P044</t>
        </is>
      </c>
      <c r="D1029" s="2" t="n">
        <v>1</v>
      </c>
      <c r="E1029" s="19" t="n">
        <v>0</v>
      </c>
    </row>
    <row r="1030">
      <c r="A1030" s="2" t="inlineStr">
        <is>
          <t>IT00416_03</t>
        </is>
      </c>
      <c r="B1030" s="2" t="inlineStr">
        <is>
          <t>PED00416</t>
        </is>
      </c>
      <c r="C1030" s="2" t="inlineStr">
        <is>
          <t>P004</t>
        </is>
      </c>
      <c r="D1030" s="2" t="n">
        <v>2</v>
      </c>
      <c r="E1030" s="19" t="n">
        <v>0</v>
      </c>
    </row>
    <row r="1031">
      <c r="A1031" s="2" t="inlineStr">
        <is>
          <t>IT00417_01</t>
        </is>
      </c>
      <c r="B1031" s="2" t="inlineStr">
        <is>
          <t>PED00417</t>
        </is>
      </c>
      <c r="C1031" s="2" t="inlineStr">
        <is>
          <t>P057</t>
        </is>
      </c>
      <c r="D1031" s="2" t="n">
        <v>1</v>
      </c>
      <c r="E1031" s="19" t="n">
        <v>0</v>
      </c>
    </row>
    <row r="1032">
      <c r="A1032" s="2" t="inlineStr">
        <is>
          <t>IT00417_02</t>
        </is>
      </c>
      <c r="B1032" s="2" t="inlineStr">
        <is>
          <t>PED00417</t>
        </is>
      </c>
      <c r="C1032" s="2" t="inlineStr">
        <is>
          <t>P024</t>
        </is>
      </c>
      <c r="D1032" s="2" t="n">
        <v>1</v>
      </c>
      <c r="E1032" s="19" t="n">
        <v>0</v>
      </c>
    </row>
    <row r="1033">
      <c r="A1033" s="2" t="inlineStr">
        <is>
          <t>IT00417_03</t>
        </is>
      </c>
      <c r="B1033" s="2" t="inlineStr">
        <is>
          <t>PED00417</t>
        </is>
      </c>
      <c r="C1033" s="2" t="inlineStr">
        <is>
          <t>P032</t>
        </is>
      </c>
      <c r="D1033" s="2" t="n">
        <v>2</v>
      </c>
      <c r="E1033" s="19" t="n">
        <v>0.02</v>
      </c>
    </row>
    <row r="1034">
      <c r="A1034" s="2" t="inlineStr">
        <is>
          <t>IT00418_01</t>
        </is>
      </c>
      <c r="B1034" s="2" t="inlineStr">
        <is>
          <t>PED00418</t>
        </is>
      </c>
      <c r="C1034" s="2" t="inlineStr">
        <is>
          <t>P002</t>
        </is>
      </c>
      <c r="D1034" s="2" t="n">
        <v>2</v>
      </c>
      <c r="E1034" s="19" t="n">
        <v>0.02</v>
      </c>
    </row>
    <row r="1035">
      <c r="A1035" s="2" t="inlineStr">
        <is>
          <t>IT00418_02</t>
        </is>
      </c>
      <c r="B1035" s="2" t="inlineStr">
        <is>
          <t>PED00418</t>
        </is>
      </c>
      <c r="C1035" s="2" t="inlineStr">
        <is>
          <t>P067</t>
        </is>
      </c>
      <c r="D1035" s="2" t="n">
        <v>1</v>
      </c>
      <c r="E1035" s="19" t="n">
        <v>0</v>
      </c>
    </row>
    <row r="1036">
      <c r="A1036" s="2" t="inlineStr">
        <is>
          <t>IT00419_01</t>
        </is>
      </c>
      <c r="B1036" s="2" t="inlineStr">
        <is>
          <t>PED00419</t>
        </is>
      </c>
      <c r="C1036" s="2" t="inlineStr">
        <is>
          <t>P009</t>
        </is>
      </c>
      <c r="D1036" s="2" t="n">
        <v>1</v>
      </c>
      <c r="E1036" s="19" t="n">
        <v>0.02</v>
      </c>
    </row>
    <row r="1037">
      <c r="A1037" s="2" t="inlineStr">
        <is>
          <t>IT00420_01</t>
        </is>
      </c>
      <c r="B1037" s="2" t="inlineStr">
        <is>
          <t>PED00420</t>
        </is>
      </c>
      <c r="C1037" s="2" t="inlineStr">
        <is>
          <t>P043</t>
        </is>
      </c>
      <c r="D1037" s="2" t="n">
        <v>1</v>
      </c>
      <c r="E1037" s="19" t="n">
        <v>0.05</v>
      </c>
    </row>
    <row r="1038">
      <c r="A1038" s="2" t="inlineStr">
        <is>
          <t>IT00420_02</t>
        </is>
      </c>
      <c r="B1038" s="2" t="inlineStr">
        <is>
          <t>PED00420</t>
        </is>
      </c>
      <c r="C1038" s="2" t="inlineStr">
        <is>
          <t>P021</t>
        </is>
      </c>
      <c r="D1038" s="2" t="n">
        <v>4</v>
      </c>
      <c r="E1038" s="19" t="n">
        <v>0</v>
      </c>
    </row>
    <row r="1039">
      <c r="A1039" s="2" t="inlineStr">
        <is>
          <t>IT00421_01</t>
        </is>
      </c>
      <c r="B1039" s="2" t="inlineStr">
        <is>
          <t>PED00421</t>
        </is>
      </c>
      <c r="C1039" s="2" t="inlineStr">
        <is>
          <t>P043</t>
        </is>
      </c>
      <c r="D1039" s="2" t="n">
        <v>1</v>
      </c>
      <c r="E1039" s="19" t="n">
        <v>0</v>
      </c>
    </row>
    <row r="1040">
      <c r="A1040" s="2" t="inlineStr">
        <is>
          <t>IT00421_02</t>
        </is>
      </c>
      <c r="B1040" s="2" t="inlineStr">
        <is>
          <t>PED00421</t>
        </is>
      </c>
      <c r="C1040" s="2" t="inlineStr">
        <is>
          <t>P049</t>
        </is>
      </c>
      <c r="D1040" s="2" t="n">
        <v>10</v>
      </c>
      <c r="E1040" s="19" t="n">
        <v>0</v>
      </c>
    </row>
    <row r="1041">
      <c r="A1041" s="2" t="inlineStr">
        <is>
          <t>IT00422_01</t>
        </is>
      </c>
      <c r="B1041" s="2" t="inlineStr">
        <is>
          <t>PED00422</t>
        </is>
      </c>
      <c r="C1041" s="2" t="inlineStr">
        <is>
          <t>P047</t>
        </is>
      </c>
      <c r="D1041" s="2" t="n">
        <v>1</v>
      </c>
      <c r="E1041" s="19" t="n">
        <v>0</v>
      </c>
    </row>
    <row r="1042">
      <c r="A1042" s="2" t="inlineStr">
        <is>
          <t>IT00422_02</t>
        </is>
      </c>
      <c r="B1042" s="2" t="inlineStr">
        <is>
          <t>PED00422</t>
        </is>
      </c>
      <c r="C1042" s="2" t="inlineStr">
        <is>
          <t>P006</t>
        </is>
      </c>
      <c r="D1042" s="2" t="n">
        <v>1</v>
      </c>
      <c r="E1042" s="19" t="n">
        <v>0</v>
      </c>
    </row>
    <row r="1043">
      <c r="A1043" s="2" t="inlineStr">
        <is>
          <t>IT00422_03</t>
        </is>
      </c>
      <c r="B1043" s="2" t="inlineStr">
        <is>
          <t>PED00422</t>
        </is>
      </c>
      <c r="C1043" s="2" t="inlineStr">
        <is>
          <t>P004</t>
        </is>
      </c>
      <c r="D1043" s="2" t="n">
        <v>1</v>
      </c>
      <c r="E1043" s="19" t="n">
        <v>0.05</v>
      </c>
    </row>
    <row r="1044">
      <c r="A1044" s="2" t="inlineStr">
        <is>
          <t>IT00423_01</t>
        </is>
      </c>
      <c r="B1044" s="2" t="inlineStr">
        <is>
          <t>PED00423</t>
        </is>
      </c>
      <c r="C1044" s="2" t="inlineStr">
        <is>
          <t>P018</t>
        </is>
      </c>
      <c r="D1044" s="2" t="n">
        <v>1</v>
      </c>
      <c r="E1044" s="19" t="n">
        <v>0.02</v>
      </c>
    </row>
    <row r="1045">
      <c r="A1045" s="2" t="inlineStr">
        <is>
          <t>IT00424_01</t>
        </is>
      </c>
      <c r="B1045" s="2" t="inlineStr">
        <is>
          <t>PED00424</t>
        </is>
      </c>
      <c r="C1045" s="2" t="inlineStr">
        <is>
          <t>P068</t>
        </is>
      </c>
      <c r="D1045" s="2" t="n">
        <v>1</v>
      </c>
      <c r="E1045" s="19" t="n">
        <v>0.05</v>
      </c>
    </row>
    <row r="1046">
      <c r="A1046" s="2" t="inlineStr">
        <is>
          <t>IT00424_02</t>
        </is>
      </c>
      <c r="B1046" s="2" t="inlineStr">
        <is>
          <t>PED00424</t>
        </is>
      </c>
      <c r="C1046" s="2" t="inlineStr">
        <is>
          <t>P056</t>
        </is>
      </c>
      <c r="D1046" s="2" t="n">
        <v>1</v>
      </c>
      <c r="E1046" s="19" t="n">
        <v>0</v>
      </c>
    </row>
    <row r="1047">
      <c r="A1047" s="2" t="inlineStr">
        <is>
          <t>IT00424_03</t>
        </is>
      </c>
      <c r="B1047" s="2" t="inlineStr">
        <is>
          <t>PED00424</t>
        </is>
      </c>
      <c r="C1047" s="2" t="inlineStr">
        <is>
          <t>P009</t>
        </is>
      </c>
      <c r="D1047" s="2" t="n">
        <v>2</v>
      </c>
      <c r="E1047" s="19" t="n">
        <v>0.02</v>
      </c>
    </row>
    <row r="1048">
      <c r="A1048" s="2" t="inlineStr">
        <is>
          <t>IT00425_01</t>
        </is>
      </c>
      <c r="B1048" s="2" t="inlineStr">
        <is>
          <t>PED00425</t>
        </is>
      </c>
      <c r="C1048" s="2" t="inlineStr">
        <is>
          <t>P025</t>
        </is>
      </c>
      <c r="D1048" s="2" t="n">
        <v>3</v>
      </c>
      <c r="E1048" s="19" t="n">
        <v>0</v>
      </c>
    </row>
    <row r="1049">
      <c r="A1049" s="2" t="inlineStr">
        <is>
          <t>IT00425_02</t>
        </is>
      </c>
      <c r="B1049" s="2" t="inlineStr">
        <is>
          <t>PED00425</t>
        </is>
      </c>
      <c r="C1049" s="2" t="inlineStr">
        <is>
          <t>P069</t>
        </is>
      </c>
      <c r="D1049" s="2" t="n">
        <v>1</v>
      </c>
      <c r="E1049" s="19" t="n">
        <v>0.02</v>
      </c>
    </row>
    <row r="1050">
      <c r="A1050" s="2" t="inlineStr">
        <is>
          <t>IT00425_03</t>
        </is>
      </c>
      <c r="B1050" s="2" t="inlineStr">
        <is>
          <t>PED00425</t>
        </is>
      </c>
      <c r="C1050" s="2" t="inlineStr">
        <is>
          <t>P038</t>
        </is>
      </c>
      <c r="D1050" s="2" t="n">
        <v>4</v>
      </c>
      <c r="E1050" s="19" t="n">
        <v>0.05</v>
      </c>
    </row>
    <row r="1051">
      <c r="A1051" s="2" t="inlineStr">
        <is>
          <t>IT00426_01</t>
        </is>
      </c>
      <c r="B1051" s="2" t="inlineStr">
        <is>
          <t>PED00426</t>
        </is>
      </c>
      <c r="C1051" s="2" t="inlineStr">
        <is>
          <t>P022</t>
        </is>
      </c>
      <c r="D1051" s="2" t="n">
        <v>3</v>
      </c>
      <c r="E1051" s="19" t="n">
        <v>0</v>
      </c>
    </row>
    <row r="1052">
      <c r="A1052" s="2" t="inlineStr">
        <is>
          <t>IT00426_02</t>
        </is>
      </c>
      <c r="B1052" s="2" t="inlineStr">
        <is>
          <t>PED00426</t>
        </is>
      </c>
      <c r="C1052" s="2" t="inlineStr">
        <is>
          <t>P066</t>
        </is>
      </c>
      <c r="D1052" s="2" t="n">
        <v>2</v>
      </c>
      <c r="E1052" s="19" t="n">
        <v>0</v>
      </c>
    </row>
    <row r="1053">
      <c r="A1053" s="2" t="inlineStr">
        <is>
          <t>IT00426_03</t>
        </is>
      </c>
      <c r="B1053" s="2" t="inlineStr">
        <is>
          <t>PED00426</t>
        </is>
      </c>
      <c r="C1053" s="2" t="inlineStr">
        <is>
          <t>P050</t>
        </is>
      </c>
      <c r="D1053" s="2" t="n">
        <v>2</v>
      </c>
      <c r="E1053" s="19" t="n">
        <v>0</v>
      </c>
    </row>
    <row r="1054">
      <c r="A1054" s="2" t="inlineStr">
        <is>
          <t>IT00427_01</t>
        </is>
      </c>
      <c r="B1054" s="2" t="inlineStr">
        <is>
          <t>PED00427</t>
        </is>
      </c>
      <c r="C1054" s="2" t="inlineStr">
        <is>
          <t>P005</t>
        </is>
      </c>
      <c r="D1054" s="2" t="n">
        <v>1</v>
      </c>
      <c r="E1054" s="19" t="n">
        <v>0</v>
      </c>
    </row>
    <row r="1055">
      <c r="A1055" s="2" t="inlineStr">
        <is>
          <t>IT00427_02</t>
        </is>
      </c>
      <c r="B1055" s="2" t="inlineStr">
        <is>
          <t>PED00427</t>
        </is>
      </c>
      <c r="C1055" s="2" t="inlineStr">
        <is>
          <t>P027</t>
        </is>
      </c>
      <c r="D1055" s="2" t="n">
        <v>4</v>
      </c>
      <c r="E1055" s="19" t="n">
        <v>0</v>
      </c>
    </row>
    <row r="1056">
      <c r="A1056" s="2" t="inlineStr">
        <is>
          <t>IT00428_01</t>
        </is>
      </c>
      <c r="B1056" s="2" t="inlineStr">
        <is>
          <t>PED00428</t>
        </is>
      </c>
      <c r="C1056" s="2" t="inlineStr">
        <is>
          <t>P018</t>
        </is>
      </c>
      <c r="D1056" s="2" t="n">
        <v>2</v>
      </c>
      <c r="E1056" s="19" t="n">
        <v>0</v>
      </c>
    </row>
    <row r="1057">
      <c r="A1057" s="2" t="inlineStr">
        <is>
          <t>IT00428_02</t>
        </is>
      </c>
      <c r="B1057" s="2" t="inlineStr">
        <is>
          <t>PED00428</t>
        </is>
      </c>
      <c r="C1057" s="2" t="inlineStr">
        <is>
          <t>P011</t>
        </is>
      </c>
      <c r="D1057" s="2" t="n">
        <v>2</v>
      </c>
      <c r="E1057" s="19" t="n">
        <v>0</v>
      </c>
    </row>
    <row r="1058">
      <c r="A1058" s="2" t="inlineStr">
        <is>
          <t>IT00428_03</t>
        </is>
      </c>
      <c r="B1058" s="2" t="inlineStr">
        <is>
          <t>PED00428</t>
        </is>
      </c>
      <c r="C1058" s="2" t="inlineStr">
        <is>
          <t>P038</t>
        </is>
      </c>
      <c r="D1058" s="2" t="n">
        <v>2</v>
      </c>
      <c r="E1058" s="19" t="n">
        <v>0</v>
      </c>
    </row>
    <row r="1059">
      <c r="A1059" s="2" t="inlineStr">
        <is>
          <t>IT00429_01</t>
        </is>
      </c>
      <c r="B1059" s="2" t="inlineStr">
        <is>
          <t>PED00429</t>
        </is>
      </c>
      <c r="C1059" s="2" t="inlineStr">
        <is>
          <t>P057</t>
        </is>
      </c>
      <c r="D1059" s="2" t="n">
        <v>1</v>
      </c>
      <c r="E1059" s="19" t="n">
        <v>0</v>
      </c>
    </row>
    <row r="1060">
      <c r="A1060" s="2" t="inlineStr">
        <is>
          <t>IT00430_01</t>
        </is>
      </c>
      <c r="B1060" s="2" t="inlineStr">
        <is>
          <t>PED00430</t>
        </is>
      </c>
      <c r="C1060" s="2" t="inlineStr">
        <is>
          <t>P030</t>
        </is>
      </c>
      <c r="D1060" s="2" t="n">
        <v>1</v>
      </c>
      <c r="E1060" s="19" t="n">
        <v>0</v>
      </c>
    </row>
    <row r="1061">
      <c r="A1061" s="2" t="inlineStr">
        <is>
          <t>IT00430_02</t>
        </is>
      </c>
      <c r="B1061" s="2" t="inlineStr">
        <is>
          <t>PED00430</t>
        </is>
      </c>
      <c r="C1061" s="2" t="inlineStr">
        <is>
          <t>P013</t>
        </is>
      </c>
      <c r="D1061" s="2" t="n">
        <v>1</v>
      </c>
      <c r="E1061" s="19" t="n">
        <v>0</v>
      </c>
    </row>
    <row r="1062">
      <c r="A1062" s="2" t="inlineStr">
        <is>
          <t>IT00430_03</t>
        </is>
      </c>
      <c r="B1062" s="2" t="inlineStr">
        <is>
          <t>PED00430</t>
        </is>
      </c>
      <c r="C1062" s="2" t="inlineStr">
        <is>
          <t>P016</t>
        </is>
      </c>
      <c r="D1062" s="2" t="n">
        <v>1</v>
      </c>
      <c r="E1062" s="19" t="n">
        <v>0</v>
      </c>
    </row>
    <row r="1063">
      <c r="A1063" s="2" t="inlineStr">
        <is>
          <t>IT00431_01</t>
        </is>
      </c>
      <c r="B1063" s="2" t="inlineStr">
        <is>
          <t>PED00431</t>
        </is>
      </c>
      <c r="C1063" s="2" t="inlineStr">
        <is>
          <t>P070</t>
        </is>
      </c>
      <c r="D1063" s="2" t="n">
        <v>3</v>
      </c>
      <c r="E1063" s="19" t="n">
        <v>0</v>
      </c>
    </row>
    <row r="1064">
      <c r="A1064" s="2" t="inlineStr">
        <is>
          <t>IT00431_02</t>
        </is>
      </c>
      <c r="B1064" s="2" t="inlineStr">
        <is>
          <t>PED00431</t>
        </is>
      </c>
      <c r="C1064" s="2" t="inlineStr">
        <is>
          <t>P034</t>
        </is>
      </c>
      <c r="D1064" s="2" t="n">
        <v>1</v>
      </c>
      <c r="E1064" s="19" t="n">
        <v>0.1</v>
      </c>
    </row>
    <row r="1065">
      <c r="A1065" s="2" t="inlineStr">
        <is>
          <t>IT00431_03</t>
        </is>
      </c>
      <c r="B1065" s="2" t="inlineStr">
        <is>
          <t>PED00431</t>
        </is>
      </c>
      <c r="C1065" s="2" t="inlineStr">
        <is>
          <t>P002</t>
        </is>
      </c>
      <c r="D1065" s="2" t="n">
        <v>5</v>
      </c>
      <c r="E1065" s="19" t="n">
        <v>0.05</v>
      </c>
    </row>
    <row r="1066">
      <c r="A1066" s="2" t="inlineStr">
        <is>
          <t>IT00432_01</t>
        </is>
      </c>
      <c r="B1066" s="2" t="inlineStr">
        <is>
          <t>PED00432</t>
        </is>
      </c>
      <c r="C1066" s="2" t="inlineStr">
        <is>
          <t>P030</t>
        </is>
      </c>
      <c r="D1066" s="2" t="n">
        <v>2</v>
      </c>
      <c r="E1066" s="19" t="n">
        <v>0</v>
      </c>
    </row>
    <row r="1067">
      <c r="A1067" s="2" t="inlineStr">
        <is>
          <t>IT00432_02</t>
        </is>
      </c>
      <c r="B1067" s="2" t="inlineStr">
        <is>
          <t>PED00432</t>
        </is>
      </c>
      <c r="C1067" s="2" t="inlineStr">
        <is>
          <t>P027</t>
        </is>
      </c>
      <c r="D1067" s="2" t="n">
        <v>2</v>
      </c>
      <c r="E1067" s="19" t="n">
        <v>0.05</v>
      </c>
    </row>
    <row r="1068">
      <c r="A1068" s="2" t="inlineStr">
        <is>
          <t>IT00432_03</t>
        </is>
      </c>
      <c r="B1068" s="2" t="inlineStr">
        <is>
          <t>PED00432</t>
        </is>
      </c>
      <c r="C1068" s="2" t="inlineStr">
        <is>
          <t>P061</t>
        </is>
      </c>
      <c r="D1068" s="2" t="n">
        <v>1</v>
      </c>
      <c r="E1068" s="19" t="n">
        <v>0</v>
      </c>
    </row>
    <row r="1069">
      <c r="A1069" s="2" t="inlineStr">
        <is>
          <t>IT00432_04</t>
        </is>
      </c>
      <c r="B1069" s="2" t="inlineStr">
        <is>
          <t>PED00432</t>
        </is>
      </c>
      <c r="C1069" s="2" t="inlineStr">
        <is>
          <t>P067</t>
        </is>
      </c>
      <c r="D1069" s="2" t="n">
        <v>3</v>
      </c>
      <c r="E1069" s="19" t="n">
        <v>0</v>
      </c>
    </row>
    <row r="1070">
      <c r="A1070" s="2" t="inlineStr">
        <is>
          <t>IT00433_01</t>
        </is>
      </c>
      <c r="B1070" s="2" t="inlineStr">
        <is>
          <t>PED00433</t>
        </is>
      </c>
      <c r="C1070" s="2" t="inlineStr">
        <is>
          <t>P017</t>
        </is>
      </c>
      <c r="D1070" s="2" t="n">
        <v>1</v>
      </c>
      <c r="E1070" s="19" t="n">
        <v>0.02</v>
      </c>
    </row>
    <row r="1071">
      <c r="A1071" s="2" t="inlineStr">
        <is>
          <t>IT00434_01</t>
        </is>
      </c>
      <c r="B1071" s="2" t="inlineStr">
        <is>
          <t>PED00434</t>
        </is>
      </c>
      <c r="C1071" s="2" t="inlineStr">
        <is>
          <t>P069</t>
        </is>
      </c>
      <c r="D1071" s="2" t="n">
        <v>1</v>
      </c>
      <c r="E1071" s="19" t="n">
        <v>0</v>
      </c>
    </row>
    <row r="1072">
      <c r="A1072" s="2" t="inlineStr">
        <is>
          <t>IT00434_02</t>
        </is>
      </c>
      <c r="B1072" s="2" t="inlineStr">
        <is>
          <t>PED00434</t>
        </is>
      </c>
      <c r="C1072" s="2" t="inlineStr">
        <is>
          <t>P039</t>
        </is>
      </c>
      <c r="D1072" s="2" t="n">
        <v>3</v>
      </c>
      <c r="E1072" s="19" t="n">
        <v>0.05</v>
      </c>
    </row>
    <row r="1073">
      <c r="A1073" s="2" t="inlineStr">
        <is>
          <t>IT00435_01</t>
        </is>
      </c>
      <c r="B1073" s="2" t="inlineStr">
        <is>
          <t>PED00435</t>
        </is>
      </c>
      <c r="C1073" s="2" t="inlineStr">
        <is>
          <t>P025</t>
        </is>
      </c>
      <c r="D1073" s="2" t="n">
        <v>1</v>
      </c>
      <c r="E1073" s="19" t="n">
        <v>0</v>
      </c>
    </row>
    <row r="1074">
      <c r="A1074" s="2" t="inlineStr">
        <is>
          <t>IT00435_02</t>
        </is>
      </c>
      <c r="B1074" s="2" t="inlineStr">
        <is>
          <t>PED00435</t>
        </is>
      </c>
      <c r="C1074" s="2" t="inlineStr">
        <is>
          <t>P061</t>
        </is>
      </c>
      <c r="D1074" s="2" t="n">
        <v>2</v>
      </c>
      <c r="E1074" s="19" t="n">
        <v>0.05</v>
      </c>
    </row>
    <row r="1075">
      <c r="A1075" s="2" t="inlineStr">
        <is>
          <t>IT00436_01</t>
        </is>
      </c>
      <c r="B1075" s="2" t="inlineStr">
        <is>
          <t>PED00436</t>
        </is>
      </c>
      <c r="C1075" s="2" t="inlineStr">
        <is>
          <t>P004</t>
        </is>
      </c>
      <c r="D1075" s="2" t="n">
        <v>1</v>
      </c>
      <c r="E1075" s="19" t="n">
        <v>0.1</v>
      </c>
    </row>
    <row r="1076">
      <c r="A1076" s="2" t="inlineStr">
        <is>
          <t>IT00436_02</t>
        </is>
      </c>
      <c r="B1076" s="2" t="inlineStr">
        <is>
          <t>PED00436</t>
        </is>
      </c>
      <c r="C1076" s="2" t="inlineStr">
        <is>
          <t>P024</t>
        </is>
      </c>
      <c r="D1076" s="2" t="n">
        <v>1</v>
      </c>
      <c r="E1076" s="19" t="n">
        <v>0</v>
      </c>
    </row>
    <row r="1077">
      <c r="A1077" s="2" t="inlineStr">
        <is>
          <t>IT00436_03</t>
        </is>
      </c>
      <c r="B1077" s="2" t="inlineStr">
        <is>
          <t>PED00436</t>
        </is>
      </c>
      <c r="C1077" s="2" t="inlineStr">
        <is>
          <t>P026</t>
        </is>
      </c>
      <c r="D1077" s="2" t="n">
        <v>2</v>
      </c>
      <c r="E1077" s="19" t="n">
        <v>0</v>
      </c>
    </row>
    <row r="1078">
      <c r="A1078" s="2" t="inlineStr">
        <is>
          <t>IT00437_01</t>
        </is>
      </c>
      <c r="B1078" s="2" t="inlineStr">
        <is>
          <t>PED00437</t>
        </is>
      </c>
      <c r="C1078" s="2" t="inlineStr">
        <is>
          <t>P015</t>
        </is>
      </c>
      <c r="D1078" s="2" t="n">
        <v>1</v>
      </c>
      <c r="E1078" s="19" t="n">
        <v>0</v>
      </c>
    </row>
    <row r="1079">
      <c r="A1079" s="2" t="inlineStr">
        <is>
          <t>IT00438_01</t>
        </is>
      </c>
      <c r="B1079" s="2" t="inlineStr">
        <is>
          <t>PED00438</t>
        </is>
      </c>
      <c r="C1079" s="2" t="inlineStr">
        <is>
          <t>P061</t>
        </is>
      </c>
      <c r="D1079" s="2" t="n">
        <v>2</v>
      </c>
      <c r="E1079" s="19" t="n">
        <v>0</v>
      </c>
    </row>
    <row r="1080">
      <c r="A1080" s="2" t="inlineStr">
        <is>
          <t>IT00438_02</t>
        </is>
      </c>
      <c r="B1080" s="2" t="inlineStr">
        <is>
          <t>PED00438</t>
        </is>
      </c>
      <c r="C1080" s="2" t="inlineStr">
        <is>
          <t>P021</t>
        </is>
      </c>
      <c r="D1080" s="2" t="n">
        <v>2</v>
      </c>
      <c r="E1080" s="19" t="n">
        <v>0</v>
      </c>
    </row>
    <row r="1081">
      <c r="A1081" s="2" t="inlineStr">
        <is>
          <t>IT00438_03</t>
        </is>
      </c>
      <c r="B1081" s="2" t="inlineStr">
        <is>
          <t>PED00438</t>
        </is>
      </c>
      <c r="C1081" s="2" t="inlineStr">
        <is>
          <t>P040</t>
        </is>
      </c>
      <c r="D1081" s="2" t="n">
        <v>1</v>
      </c>
      <c r="E1081" s="19" t="n">
        <v>0</v>
      </c>
    </row>
    <row r="1082">
      <c r="A1082" s="2" t="inlineStr">
        <is>
          <t>IT00439_01</t>
        </is>
      </c>
      <c r="B1082" s="2" t="inlineStr">
        <is>
          <t>PED00439</t>
        </is>
      </c>
      <c r="C1082" s="2" t="inlineStr">
        <is>
          <t>P006</t>
        </is>
      </c>
      <c r="D1082" s="2" t="n">
        <v>1</v>
      </c>
      <c r="E1082" s="19" t="n">
        <v>0.05</v>
      </c>
    </row>
    <row r="1083">
      <c r="A1083" s="2" t="inlineStr">
        <is>
          <t>IT00439_02</t>
        </is>
      </c>
      <c r="B1083" s="2" t="inlineStr">
        <is>
          <t>PED00439</t>
        </is>
      </c>
      <c r="C1083" s="2" t="inlineStr">
        <is>
          <t>P012</t>
        </is>
      </c>
      <c r="D1083" s="2" t="n">
        <v>2</v>
      </c>
      <c r="E1083" s="19" t="n">
        <v>0.02</v>
      </c>
    </row>
    <row r="1084">
      <c r="A1084" s="2" t="inlineStr">
        <is>
          <t>IT00440_01</t>
        </is>
      </c>
      <c r="B1084" s="2" t="inlineStr">
        <is>
          <t>PED00440</t>
        </is>
      </c>
      <c r="C1084" s="2" t="inlineStr">
        <is>
          <t>P056</t>
        </is>
      </c>
      <c r="D1084" s="2" t="n">
        <v>1</v>
      </c>
      <c r="E1084" s="19" t="n">
        <v>0.02</v>
      </c>
    </row>
    <row r="1085">
      <c r="A1085" s="2" t="inlineStr">
        <is>
          <t>IT00440_02</t>
        </is>
      </c>
      <c r="B1085" s="2" t="inlineStr">
        <is>
          <t>PED00440</t>
        </is>
      </c>
      <c r="C1085" s="2" t="inlineStr">
        <is>
          <t>P059</t>
        </is>
      </c>
      <c r="D1085" s="2" t="n">
        <v>2</v>
      </c>
      <c r="E1085" s="19" t="n">
        <v>0</v>
      </c>
    </row>
    <row r="1086">
      <c r="A1086" s="2" t="inlineStr">
        <is>
          <t>IT00441_01</t>
        </is>
      </c>
      <c r="B1086" s="2" t="inlineStr">
        <is>
          <t>PED00441</t>
        </is>
      </c>
      <c r="C1086" s="2" t="inlineStr">
        <is>
          <t>P009</t>
        </is>
      </c>
      <c r="D1086" s="2" t="n">
        <v>4</v>
      </c>
      <c r="E1086" s="19" t="n">
        <v>0</v>
      </c>
    </row>
    <row r="1087">
      <c r="A1087" s="2" t="inlineStr">
        <is>
          <t>IT00441_02</t>
        </is>
      </c>
      <c r="B1087" s="2" t="inlineStr">
        <is>
          <t>PED00441</t>
        </is>
      </c>
      <c r="C1087" s="2" t="inlineStr">
        <is>
          <t>P028</t>
        </is>
      </c>
      <c r="D1087" s="2" t="n">
        <v>3</v>
      </c>
      <c r="E1087" s="19" t="n">
        <v>0</v>
      </c>
    </row>
    <row r="1088">
      <c r="A1088" s="2" t="inlineStr">
        <is>
          <t>IT00442_01</t>
        </is>
      </c>
      <c r="B1088" s="2" t="inlineStr">
        <is>
          <t>PED00442</t>
        </is>
      </c>
      <c r="C1088" s="2" t="inlineStr">
        <is>
          <t>P027</t>
        </is>
      </c>
      <c r="D1088" s="2" t="n">
        <v>2</v>
      </c>
      <c r="E1088" s="19" t="n">
        <v>0</v>
      </c>
    </row>
    <row r="1089">
      <c r="A1089" s="2" t="inlineStr">
        <is>
          <t>IT00443_01</t>
        </is>
      </c>
      <c r="B1089" s="2" t="inlineStr">
        <is>
          <t>PED00443</t>
        </is>
      </c>
      <c r="C1089" s="2" t="inlineStr">
        <is>
          <t>P002</t>
        </is>
      </c>
      <c r="D1089" s="2" t="n">
        <v>1</v>
      </c>
      <c r="E1089" s="19" t="n">
        <v>0.05</v>
      </c>
    </row>
    <row r="1090">
      <c r="A1090" s="2" t="inlineStr">
        <is>
          <t>IT00443_02</t>
        </is>
      </c>
      <c r="B1090" s="2" t="inlineStr">
        <is>
          <t>PED00443</t>
        </is>
      </c>
      <c r="C1090" s="2" t="inlineStr">
        <is>
          <t>P033</t>
        </is>
      </c>
      <c r="D1090" s="2" t="n">
        <v>1</v>
      </c>
      <c r="E1090" s="19" t="n">
        <v>0.02</v>
      </c>
    </row>
    <row r="1091">
      <c r="A1091" s="2" t="inlineStr">
        <is>
          <t>IT00444_01</t>
        </is>
      </c>
      <c r="B1091" s="2" t="inlineStr">
        <is>
          <t>PED00444</t>
        </is>
      </c>
      <c r="C1091" s="2" t="inlineStr">
        <is>
          <t>P061</t>
        </is>
      </c>
      <c r="D1091" s="2" t="n">
        <v>3</v>
      </c>
      <c r="E1091" s="19" t="n">
        <v>0</v>
      </c>
    </row>
    <row r="1092">
      <c r="A1092" s="2" t="inlineStr">
        <is>
          <t>IT00444_02</t>
        </is>
      </c>
      <c r="B1092" s="2" t="inlineStr">
        <is>
          <t>PED00444</t>
        </is>
      </c>
      <c r="C1092" s="2" t="inlineStr">
        <is>
          <t>P036</t>
        </is>
      </c>
      <c r="D1092" s="2" t="n">
        <v>1</v>
      </c>
      <c r="E1092" s="19" t="n">
        <v>0</v>
      </c>
    </row>
    <row r="1093">
      <c r="A1093" s="2" t="inlineStr">
        <is>
          <t>IT00445_01</t>
        </is>
      </c>
      <c r="B1093" s="2" t="inlineStr">
        <is>
          <t>PED00445</t>
        </is>
      </c>
      <c r="C1093" s="2" t="inlineStr">
        <is>
          <t>P057</t>
        </is>
      </c>
      <c r="D1093" s="2" t="n">
        <v>1</v>
      </c>
      <c r="E1093" s="19" t="n">
        <v>0.02</v>
      </c>
    </row>
    <row r="1094">
      <c r="A1094" s="2" t="inlineStr">
        <is>
          <t>IT00445_02</t>
        </is>
      </c>
      <c r="B1094" s="2" t="inlineStr">
        <is>
          <t>PED00445</t>
        </is>
      </c>
      <c r="C1094" s="2" t="inlineStr">
        <is>
          <t>P046</t>
        </is>
      </c>
      <c r="D1094" s="2" t="n">
        <v>4</v>
      </c>
      <c r="E1094" s="19" t="n">
        <v>0</v>
      </c>
    </row>
    <row r="1095">
      <c r="A1095" s="2" t="inlineStr">
        <is>
          <t>IT00446_01</t>
        </is>
      </c>
      <c r="B1095" s="2" t="inlineStr">
        <is>
          <t>PED00446</t>
        </is>
      </c>
      <c r="C1095" s="2" t="inlineStr">
        <is>
          <t>P049</t>
        </is>
      </c>
      <c r="D1095" s="2" t="n">
        <v>3</v>
      </c>
      <c r="E1095" s="19" t="n">
        <v>0.05</v>
      </c>
    </row>
    <row r="1096">
      <c r="A1096" s="2" t="inlineStr">
        <is>
          <t>IT00447_01</t>
        </is>
      </c>
      <c r="B1096" s="2" t="inlineStr">
        <is>
          <t>PED00447</t>
        </is>
      </c>
      <c r="C1096" s="2" t="inlineStr">
        <is>
          <t>P025</t>
        </is>
      </c>
      <c r="D1096" s="2" t="n">
        <v>1</v>
      </c>
      <c r="E1096" s="19" t="n">
        <v>0.05</v>
      </c>
    </row>
    <row r="1097">
      <c r="A1097" s="2" t="inlineStr">
        <is>
          <t>IT00447_02</t>
        </is>
      </c>
      <c r="B1097" s="2" t="inlineStr">
        <is>
          <t>PED00447</t>
        </is>
      </c>
      <c r="C1097" s="2" t="inlineStr">
        <is>
          <t>P009</t>
        </is>
      </c>
      <c r="D1097" s="2" t="n">
        <v>3</v>
      </c>
      <c r="E1097" s="19" t="n">
        <v>0.05</v>
      </c>
    </row>
    <row r="1098">
      <c r="A1098" s="2" t="inlineStr">
        <is>
          <t>IT00448_01</t>
        </is>
      </c>
      <c r="B1098" s="2" t="inlineStr">
        <is>
          <t>PED00448</t>
        </is>
      </c>
      <c r="C1098" s="2" t="inlineStr">
        <is>
          <t>P025</t>
        </is>
      </c>
      <c r="D1098" s="2" t="n">
        <v>1</v>
      </c>
      <c r="E1098" s="19" t="n">
        <v>0</v>
      </c>
    </row>
    <row r="1099">
      <c r="A1099" s="2" t="inlineStr">
        <is>
          <t>IT00448_02</t>
        </is>
      </c>
      <c r="B1099" s="2" t="inlineStr">
        <is>
          <t>PED00448</t>
        </is>
      </c>
      <c r="C1099" s="2" t="inlineStr">
        <is>
          <t>P027</t>
        </is>
      </c>
      <c r="D1099" s="2" t="n">
        <v>1</v>
      </c>
      <c r="E1099" s="19" t="n">
        <v>0</v>
      </c>
    </row>
    <row r="1100">
      <c r="A1100" s="2" t="inlineStr">
        <is>
          <t>IT00448_03</t>
        </is>
      </c>
      <c r="B1100" s="2" t="inlineStr">
        <is>
          <t>PED00448</t>
        </is>
      </c>
      <c r="C1100" s="2" t="inlineStr">
        <is>
          <t>P070</t>
        </is>
      </c>
      <c r="D1100" s="2" t="n">
        <v>1</v>
      </c>
      <c r="E1100" s="19" t="n">
        <v>0</v>
      </c>
    </row>
    <row r="1101">
      <c r="A1101" s="2" t="inlineStr">
        <is>
          <t>IT00449_01</t>
        </is>
      </c>
      <c r="B1101" s="2" t="inlineStr">
        <is>
          <t>PED00449</t>
        </is>
      </c>
      <c r="C1101" s="2" t="inlineStr">
        <is>
          <t>P048</t>
        </is>
      </c>
      <c r="D1101" s="2" t="n">
        <v>1</v>
      </c>
      <c r="E1101" s="19" t="n">
        <v>0.02</v>
      </c>
    </row>
    <row r="1102">
      <c r="A1102" s="2" t="inlineStr">
        <is>
          <t>IT00449_02</t>
        </is>
      </c>
      <c r="B1102" s="2" t="inlineStr">
        <is>
          <t>PED00449</t>
        </is>
      </c>
      <c r="C1102" s="2" t="inlineStr">
        <is>
          <t>P006</t>
        </is>
      </c>
      <c r="D1102" s="2" t="n">
        <v>2</v>
      </c>
      <c r="E1102" s="19" t="n">
        <v>0.1</v>
      </c>
    </row>
    <row r="1103">
      <c r="A1103" s="2" t="inlineStr">
        <is>
          <t>IT00449_03</t>
        </is>
      </c>
      <c r="B1103" s="2" t="inlineStr">
        <is>
          <t>PED00449</t>
        </is>
      </c>
      <c r="C1103" s="2" t="inlineStr">
        <is>
          <t>P009</t>
        </is>
      </c>
      <c r="D1103" s="2" t="n">
        <v>3</v>
      </c>
      <c r="E1103" s="19" t="n">
        <v>0.02</v>
      </c>
    </row>
    <row r="1104">
      <c r="A1104" s="2" t="inlineStr">
        <is>
          <t>IT00449_04</t>
        </is>
      </c>
      <c r="B1104" s="2" t="inlineStr">
        <is>
          <t>PED00449</t>
        </is>
      </c>
      <c r="C1104" s="2" t="inlineStr">
        <is>
          <t>P028</t>
        </is>
      </c>
      <c r="D1104" s="2" t="n">
        <v>4</v>
      </c>
      <c r="E1104" s="19" t="n">
        <v>0</v>
      </c>
    </row>
    <row r="1105">
      <c r="A1105" s="2" t="inlineStr">
        <is>
          <t>IT00450_01</t>
        </is>
      </c>
      <c r="B1105" s="2" t="inlineStr">
        <is>
          <t>PED00450</t>
        </is>
      </c>
      <c r="C1105" s="2" t="inlineStr">
        <is>
          <t>P018</t>
        </is>
      </c>
      <c r="D1105" s="2" t="n">
        <v>1</v>
      </c>
      <c r="E1105" s="19" t="n">
        <v>0</v>
      </c>
    </row>
    <row r="1106">
      <c r="A1106" s="2" t="inlineStr">
        <is>
          <t>IT00450_02</t>
        </is>
      </c>
      <c r="B1106" s="2" t="inlineStr">
        <is>
          <t>PED00450</t>
        </is>
      </c>
      <c r="C1106" s="2" t="inlineStr">
        <is>
          <t>P043</t>
        </is>
      </c>
      <c r="D1106" s="2" t="n">
        <v>4</v>
      </c>
      <c r="E1106" s="19" t="n">
        <v>0</v>
      </c>
    </row>
    <row r="1107">
      <c r="A1107" s="2" t="inlineStr">
        <is>
          <t>IT00450_03</t>
        </is>
      </c>
      <c r="B1107" s="2" t="inlineStr">
        <is>
          <t>PED00450</t>
        </is>
      </c>
      <c r="C1107" s="2" t="inlineStr">
        <is>
          <t>P023</t>
        </is>
      </c>
      <c r="D1107" s="2" t="n">
        <v>2</v>
      </c>
      <c r="E1107" s="19" t="n">
        <v>0.02</v>
      </c>
    </row>
    <row r="1108">
      <c r="A1108" s="2" t="inlineStr">
        <is>
          <t>IT00450_04</t>
        </is>
      </c>
      <c r="B1108" s="2" t="inlineStr">
        <is>
          <t>PED00450</t>
        </is>
      </c>
      <c r="C1108" s="2" t="inlineStr">
        <is>
          <t>P041</t>
        </is>
      </c>
      <c r="D1108" s="2" t="n">
        <v>2</v>
      </c>
      <c r="E1108" s="19" t="n">
        <v>0.02</v>
      </c>
    </row>
    <row r="1109">
      <c r="A1109" s="2" t="inlineStr">
        <is>
          <t>IT00450_05</t>
        </is>
      </c>
      <c r="B1109" s="2" t="inlineStr">
        <is>
          <t>PED00450</t>
        </is>
      </c>
      <c r="C1109" s="2" t="inlineStr">
        <is>
          <t>P062</t>
        </is>
      </c>
      <c r="D1109" s="2" t="n">
        <v>1</v>
      </c>
      <c r="E1109" s="19" t="n">
        <v>0</v>
      </c>
    </row>
    <row r="1110">
      <c r="A1110" s="2" t="inlineStr">
        <is>
          <t>IT00451_01</t>
        </is>
      </c>
      <c r="B1110" s="2" t="inlineStr">
        <is>
          <t>PED00451</t>
        </is>
      </c>
      <c r="C1110" s="2" t="inlineStr">
        <is>
          <t>P048</t>
        </is>
      </c>
      <c r="D1110" s="2" t="n">
        <v>2</v>
      </c>
      <c r="E1110" s="19" t="n">
        <v>0</v>
      </c>
    </row>
    <row r="1111">
      <c r="A1111" s="2" t="inlineStr">
        <is>
          <t>IT00452_01</t>
        </is>
      </c>
      <c r="B1111" s="2" t="inlineStr">
        <is>
          <t>PED00452</t>
        </is>
      </c>
      <c r="C1111" s="2" t="inlineStr">
        <is>
          <t>P043</t>
        </is>
      </c>
      <c r="D1111" s="2" t="n">
        <v>1</v>
      </c>
      <c r="E1111" s="19" t="n">
        <v>0</v>
      </c>
    </row>
    <row r="1112">
      <c r="A1112" s="2" t="inlineStr">
        <is>
          <t>IT00452_02</t>
        </is>
      </c>
      <c r="B1112" s="2" t="inlineStr">
        <is>
          <t>PED00452</t>
        </is>
      </c>
      <c r="C1112" s="2" t="inlineStr">
        <is>
          <t>P018</t>
        </is>
      </c>
      <c r="D1112" s="2" t="n">
        <v>3</v>
      </c>
      <c r="E1112" s="19" t="n">
        <v>0</v>
      </c>
    </row>
    <row r="1113">
      <c r="A1113" s="2" t="inlineStr">
        <is>
          <t>IT00453_01</t>
        </is>
      </c>
      <c r="B1113" s="2" t="inlineStr">
        <is>
          <t>PED00453</t>
        </is>
      </c>
      <c r="C1113" s="2" t="inlineStr">
        <is>
          <t>P027</t>
        </is>
      </c>
      <c r="D1113" s="2" t="n">
        <v>1</v>
      </c>
      <c r="E1113" s="19" t="n">
        <v>0.05</v>
      </c>
    </row>
    <row r="1114">
      <c r="A1114" s="2" t="inlineStr">
        <is>
          <t>IT00453_02</t>
        </is>
      </c>
      <c r="B1114" s="2" t="inlineStr">
        <is>
          <t>PED00453</t>
        </is>
      </c>
      <c r="C1114" s="2" t="inlineStr">
        <is>
          <t>P070</t>
        </is>
      </c>
      <c r="D1114" s="2" t="n">
        <v>10</v>
      </c>
      <c r="E1114" s="19" t="n">
        <v>0.05</v>
      </c>
    </row>
    <row r="1115">
      <c r="A1115" s="2" t="inlineStr">
        <is>
          <t>IT00454_01</t>
        </is>
      </c>
      <c r="B1115" s="2" t="inlineStr">
        <is>
          <t>PED00454</t>
        </is>
      </c>
      <c r="C1115" s="2" t="inlineStr">
        <is>
          <t>P063</t>
        </is>
      </c>
      <c r="D1115" s="2" t="n">
        <v>1</v>
      </c>
      <c r="E1115" s="19" t="n">
        <v>0</v>
      </c>
    </row>
    <row r="1116">
      <c r="A1116" s="2" t="inlineStr">
        <is>
          <t>IT00455_01</t>
        </is>
      </c>
      <c r="B1116" s="2" t="inlineStr">
        <is>
          <t>PED00455</t>
        </is>
      </c>
      <c r="C1116" s="2" t="inlineStr">
        <is>
          <t>P027</t>
        </is>
      </c>
      <c r="D1116" s="2" t="n">
        <v>2</v>
      </c>
      <c r="E1116" s="19" t="n">
        <v>0</v>
      </c>
    </row>
    <row r="1117">
      <c r="A1117" s="2" t="inlineStr">
        <is>
          <t>IT00455_02</t>
        </is>
      </c>
      <c r="B1117" s="2" t="inlineStr">
        <is>
          <t>PED00455</t>
        </is>
      </c>
      <c r="C1117" s="2" t="inlineStr">
        <is>
          <t>P031</t>
        </is>
      </c>
      <c r="D1117" s="2" t="n">
        <v>1</v>
      </c>
      <c r="E1117" s="19" t="n">
        <v>0</v>
      </c>
    </row>
    <row r="1118">
      <c r="A1118" s="2" t="inlineStr">
        <is>
          <t>IT00455_03</t>
        </is>
      </c>
      <c r="B1118" s="2" t="inlineStr">
        <is>
          <t>PED00455</t>
        </is>
      </c>
      <c r="C1118" s="2" t="inlineStr">
        <is>
          <t>P065</t>
        </is>
      </c>
      <c r="D1118" s="2" t="n">
        <v>2</v>
      </c>
      <c r="E1118" s="19" t="n">
        <v>0</v>
      </c>
    </row>
    <row r="1119">
      <c r="A1119" s="2" t="inlineStr">
        <is>
          <t>IT00455_04</t>
        </is>
      </c>
      <c r="B1119" s="2" t="inlineStr">
        <is>
          <t>PED00455</t>
        </is>
      </c>
      <c r="C1119" s="2" t="inlineStr">
        <is>
          <t>P011</t>
        </is>
      </c>
      <c r="D1119" s="2" t="n">
        <v>1</v>
      </c>
      <c r="E1119" s="19" t="n">
        <v>0</v>
      </c>
    </row>
    <row r="1120">
      <c r="A1120" s="2" t="inlineStr">
        <is>
          <t>IT00456_01</t>
        </is>
      </c>
      <c r="B1120" s="2" t="inlineStr">
        <is>
          <t>PED00456</t>
        </is>
      </c>
      <c r="C1120" s="2" t="inlineStr">
        <is>
          <t>P049</t>
        </is>
      </c>
      <c r="D1120" s="2" t="n">
        <v>2</v>
      </c>
      <c r="E1120" s="19" t="n">
        <v>0</v>
      </c>
    </row>
    <row r="1121">
      <c r="A1121" s="2" t="inlineStr">
        <is>
          <t>IT00456_02</t>
        </is>
      </c>
      <c r="B1121" s="2" t="inlineStr">
        <is>
          <t>PED00456</t>
        </is>
      </c>
      <c r="C1121" s="2" t="inlineStr">
        <is>
          <t>P022</t>
        </is>
      </c>
      <c r="D1121" s="2" t="n">
        <v>2</v>
      </c>
      <c r="E1121" s="19" t="n">
        <v>0</v>
      </c>
    </row>
    <row r="1122">
      <c r="A1122" s="2" t="inlineStr">
        <is>
          <t>IT00457_01</t>
        </is>
      </c>
      <c r="B1122" s="2" t="inlineStr">
        <is>
          <t>PED00457</t>
        </is>
      </c>
      <c r="C1122" s="2" t="inlineStr">
        <is>
          <t>P039</t>
        </is>
      </c>
      <c r="D1122" s="2" t="n">
        <v>1</v>
      </c>
      <c r="E1122" s="19" t="n">
        <v>0</v>
      </c>
    </row>
    <row r="1123">
      <c r="A1123" s="2" t="inlineStr">
        <is>
          <t>IT00457_02</t>
        </is>
      </c>
      <c r="B1123" s="2" t="inlineStr">
        <is>
          <t>PED00457</t>
        </is>
      </c>
      <c r="C1123" s="2" t="inlineStr">
        <is>
          <t>P069</t>
        </is>
      </c>
      <c r="D1123" s="2" t="n">
        <v>2</v>
      </c>
      <c r="E1123" s="19" t="n">
        <v>0</v>
      </c>
    </row>
    <row r="1124">
      <c r="A1124" s="2" t="inlineStr">
        <is>
          <t>IT00457_03</t>
        </is>
      </c>
      <c r="B1124" s="2" t="inlineStr">
        <is>
          <t>PED00457</t>
        </is>
      </c>
      <c r="C1124" s="2" t="inlineStr">
        <is>
          <t>P020</t>
        </is>
      </c>
      <c r="D1124" s="2" t="n">
        <v>2</v>
      </c>
      <c r="E1124" s="19" t="n">
        <v>0</v>
      </c>
    </row>
    <row r="1125">
      <c r="A1125" s="2" t="inlineStr">
        <is>
          <t>IT00457_04</t>
        </is>
      </c>
      <c r="B1125" s="2" t="inlineStr">
        <is>
          <t>PED00457</t>
        </is>
      </c>
      <c r="C1125" s="2" t="inlineStr">
        <is>
          <t>P023</t>
        </is>
      </c>
      <c r="D1125" s="2" t="n">
        <v>1</v>
      </c>
      <c r="E1125" s="19" t="n">
        <v>0</v>
      </c>
    </row>
    <row r="1126">
      <c r="A1126" s="2" t="inlineStr">
        <is>
          <t>IT00458_01</t>
        </is>
      </c>
      <c r="B1126" s="2" t="inlineStr">
        <is>
          <t>PED00458</t>
        </is>
      </c>
      <c r="C1126" s="2" t="inlineStr">
        <is>
          <t>P054</t>
        </is>
      </c>
      <c r="D1126" s="2" t="n">
        <v>5</v>
      </c>
      <c r="E1126" s="19" t="n">
        <v>0</v>
      </c>
    </row>
    <row r="1127">
      <c r="A1127" s="2" t="inlineStr">
        <is>
          <t>IT00458_02</t>
        </is>
      </c>
      <c r="B1127" s="2" t="inlineStr">
        <is>
          <t>PED00458</t>
        </is>
      </c>
      <c r="C1127" s="2" t="inlineStr">
        <is>
          <t>P051</t>
        </is>
      </c>
      <c r="D1127" s="2" t="n">
        <v>2</v>
      </c>
      <c r="E1127" s="19" t="n">
        <v>0</v>
      </c>
    </row>
    <row r="1128">
      <c r="A1128" s="2" t="inlineStr">
        <is>
          <t>IT00459_01</t>
        </is>
      </c>
      <c r="B1128" s="2" t="inlineStr">
        <is>
          <t>PED00459</t>
        </is>
      </c>
      <c r="C1128" s="2" t="inlineStr">
        <is>
          <t>P021</t>
        </is>
      </c>
      <c r="D1128" s="2" t="n">
        <v>2</v>
      </c>
      <c r="E1128" s="19" t="n">
        <v>0</v>
      </c>
    </row>
    <row r="1129">
      <c r="A1129" s="2" t="inlineStr">
        <is>
          <t>IT00459_02</t>
        </is>
      </c>
      <c r="B1129" s="2" t="inlineStr">
        <is>
          <t>PED00459</t>
        </is>
      </c>
      <c r="C1129" s="2" t="inlineStr">
        <is>
          <t>P025</t>
        </is>
      </c>
      <c r="D1129" s="2" t="n">
        <v>2</v>
      </c>
      <c r="E1129" s="19" t="n">
        <v>0.02</v>
      </c>
    </row>
    <row r="1130">
      <c r="A1130" s="2" t="inlineStr">
        <is>
          <t>IT00459_03</t>
        </is>
      </c>
      <c r="B1130" s="2" t="inlineStr">
        <is>
          <t>PED00459</t>
        </is>
      </c>
      <c r="C1130" s="2" t="inlineStr">
        <is>
          <t>P056</t>
        </is>
      </c>
      <c r="D1130" s="2" t="n">
        <v>2</v>
      </c>
      <c r="E1130" s="19" t="n">
        <v>0.05</v>
      </c>
    </row>
    <row r="1131">
      <c r="A1131" s="2" t="inlineStr">
        <is>
          <t>IT00459_04</t>
        </is>
      </c>
      <c r="B1131" s="2" t="inlineStr">
        <is>
          <t>PED00459</t>
        </is>
      </c>
      <c r="C1131" s="2" t="inlineStr">
        <is>
          <t>P033</t>
        </is>
      </c>
      <c r="D1131" s="2" t="n">
        <v>3</v>
      </c>
      <c r="E1131" s="19" t="n">
        <v>0</v>
      </c>
    </row>
    <row r="1132">
      <c r="A1132" s="2" t="inlineStr">
        <is>
          <t>IT00459_05</t>
        </is>
      </c>
      <c r="B1132" s="2" t="inlineStr">
        <is>
          <t>PED00459</t>
        </is>
      </c>
      <c r="C1132" s="2" t="inlineStr">
        <is>
          <t>P045</t>
        </is>
      </c>
      <c r="D1132" s="2" t="n">
        <v>1</v>
      </c>
      <c r="E1132" s="19" t="n">
        <v>0.05</v>
      </c>
    </row>
    <row r="1133">
      <c r="A1133" s="2" t="inlineStr">
        <is>
          <t>IT00460_01</t>
        </is>
      </c>
      <c r="B1133" s="2" t="inlineStr">
        <is>
          <t>PED00460</t>
        </is>
      </c>
      <c r="C1133" s="2" t="inlineStr">
        <is>
          <t>P019</t>
        </is>
      </c>
      <c r="D1133" s="2" t="n">
        <v>1</v>
      </c>
      <c r="E1133" s="19" t="n">
        <v>0</v>
      </c>
    </row>
    <row r="1134">
      <c r="A1134" s="2" t="inlineStr">
        <is>
          <t>IT00460_02</t>
        </is>
      </c>
      <c r="B1134" s="2" t="inlineStr">
        <is>
          <t>PED00460</t>
        </is>
      </c>
      <c r="C1134" s="2" t="inlineStr">
        <is>
          <t>P033</t>
        </is>
      </c>
      <c r="D1134" s="2" t="n">
        <v>2</v>
      </c>
      <c r="E1134" s="19" t="n">
        <v>0</v>
      </c>
    </row>
    <row r="1135">
      <c r="A1135" s="2" t="inlineStr">
        <is>
          <t>IT00461_01</t>
        </is>
      </c>
      <c r="B1135" s="2" t="inlineStr">
        <is>
          <t>PED00461</t>
        </is>
      </c>
      <c r="C1135" s="2" t="inlineStr">
        <is>
          <t>P025</t>
        </is>
      </c>
      <c r="D1135" s="2" t="n">
        <v>1</v>
      </c>
      <c r="E1135" s="19" t="n">
        <v>0</v>
      </c>
    </row>
    <row r="1136">
      <c r="A1136" s="2" t="inlineStr">
        <is>
          <t>IT00461_02</t>
        </is>
      </c>
      <c r="B1136" s="2" t="inlineStr">
        <is>
          <t>PED00461</t>
        </is>
      </c>
      <c r="C1136" s="2" t="inlineStr">
        <is>
          <t>P055</t>
        </is>
      </c>
      <c r="D1136" s="2" t="n">
        <v>2</v>
      </c>
      <c r="E1136" s="19" t="n">
        <v>0</v>
      </c>
    </row>
    <row r="1137">
      <c r="A1137" s="2" t="inlineStr">
        <is>
          <t>IT00462_01</t>
        </is>
      </c>
      <c r="B1137" s="2" t="inlineStr">
        <is>
          <t>PED00462</t>
        </is>
      </c>
      <c r="C1137" s="2" t="inlineStr">
        <is>
          <t>P012</t>
        </is>
      </c>
      <c r="D1137" s="2" t="n">
        <v>1</v>
      </c>
      <c r="E1137" s="19" t="n">
        <v>0</v>
      </c>
    </row>
    <row r="1138">
      <c r="A1138" s="2" t="inlineStr">
        <is>
          <t>IT00462_02</t>
        </is>
      </c>
      <c r="B1138" s="2" t="inlineStr">
        <is>
          <t>PED00462</t>
        </is>
      </c>
      <c r="C1138" s="2" t="inlineStr">
        <is>
          <t>P014</t>
        </is>
      </c>
      <c r="D1138" s="2" t="n">
        <v>3</v>
      </c>
      <c r="E1138" s="19" t="n">
        <v>0.02</v>
      </c>
    </row>
    <row r="1139">
      <c r="A1139" s="2" t="inlineStr">
        <is>
          <t>IT00462_03</t>
        </is>
      </c>
      <c r="B1139" s="2" t="inlineStr">
        <is>
          <t>PED00462</t>
        </is>
      </c>
      <c r="C1139" s="2" t="inlineStr">
        <is>
          <t>P045</t>
        </is>
      </c>
      <c r="D1139" s="2" t="n">
        <v>1</v>
      </c>
      <c r="E1139" s="19" t="n">
        <v>0</v>
      </c>
    </row>
    <row r="1140">
      <c r="A1140" s="2" t="inlineStr">
        <is>
          <t>IT00462_04</t>
        </is>
      </c>
      <c r="B1140" s="2" t="inlineStr">
        <is>
          <t>PED00462</t>
        </is>
      </c>
      <c r="C1140" s="2" t="inlineStr">
        <is>
          <t>P019</t>
        </is>
      </c>
      <c r="D1140" s="2" t="n">
        <v>2</v>
      </c>
      <c r="E1140" s="19" t="n">
        <v>0</v>
      </c>
    </row>
    <row r="1141">
      <c r="A1141" s="2" t="inlineStr">
        <is>
          <t>IT00463_01</t>
        </is>
      </c>
      <c r="B1141" s="2" t="inlineStr">
        <is>
          <t>PED00463</t>
        </is>
      </c>
      <c r="C1141" s="2" t="inlineStr">
        <is>
          <t>P018</t>
        </is>
      </c>
      <c r="D1141" s="2" t="n">
        <v>2</v>
      </c>
      <c r="E1141" s="19" t="n">
        <v>0</v>
      </c>
    </row>
    <row r="1142">
      <c r="A1142" s="2" t="inlineStr">
        <is>
          <t>IT00463_02</t>
        </is>
      </c>
      <c r="B1142" s="2" t="inlineStr">
        <is>
          <t>PED00463</t>
        </is>
      </c>
      <c r="C1142" s="2" t="inlineStr">
        <is>
          <t>P026</t>
        </is>
      </c>
      <c r="D1142" s="2" t="n">
        <v>1</v>
      </c>
      <c r="E1142" s="19" t="n">
        <v>0</v>
      </c>
    </row>
    <row r="1143">
      <c r="A1143" s="2" t="inlineStr">
        <is>
          <t>IT00464_01</t>
        </is>
      </c>
      <c r="B1143" s="2" t="inlineStr">
        <is>
          <t>PED00464</t>
        </is>
      </c>
      <c r="C1143" s="2" t="inlineStr">
        <is>
          <t>P053</t>
        </is>
      </c>
      <c r="D1143" s="2" t="n">
        <v>2</v>
      </c>
      <c r="E1143" s="19" t="n">
        <v>0</v>
      </c>
    </row>
    <row r="1144">
      <c r="A1144" s="2" t="inlineStr">
        <is>
          <t>IT00464_02</t>
        </is>
      </c>
      <c r="B1144" s="2" t="inlineStr">
        <is>
          <t>PED00464</t>
        </is>
      </c>
      <c r="C1144" s="2" t="inlineStr">
        <is>
          <t>P057</t>
        </is>
      </c>
      <c r="D1144" s="2" t="n">
        <v>4</v>
      </c>
      <c r="E1144" s="19" t="n">
        <v>0</v>
      </c>
    </row>
    <row r="1145">
      <c r="A1145" s="2" t="inlineStr">
        <is>
          <t>IT00465_01</t>
        </is>
      </c>
      <c r="B1145" s="2" t="inlineStr">
        <is>
          <t>PED00465</t>
        </is>
      </c>
      <c r="C1145" s="2" t="inlineStr">
        <is>
          <t>P063</t>
        </is>
      </c>
      <c r="D1145" s="2" t="n">
        <v>1</v>
      </c>
      <c r="E1145" s="19" t="n">
        <v>0</v>
      </c>
    </row>
    <row r="1146">
      <c r="A1146" s="2" t="inlineStr">
        <is>
          <t>IT00465_02</t>
        </is>
      </c>
      <c r="B1146" s="2" t="inlineStr">
        <is>
          <t>PED00465</t>
        </is>
      </c>
      <c r="C1146" s="2" t="inlineStr">
        <is>
          <t>P013</t>
        </is>
      </c>
      <c r="D1146" s="2" t="n">
        <v>5</v>
      </c>
      <c r="E1146" s="19" t="n">
        <v>0.02</v>
      </c>
    </row>
    <row r="1147">
      <c r="A1147" s="2" t="inlineStr">
        <is>
          <t>IT00466_01</t>
        </is>
      </c>
      <c r="B1147" s="2" t="inlineStr">
        <is>
          <t>PED00466</t>
        </is>
      </c>
      <c r="C1147" s="2" t="inlineStr">
        <is>
          <t>P035</t>
        </is>
      </c>
      <c r="D1147" s="2" t="n">
        <v>1</v>
      </c>
      <c r="E1147" s="19" t="n">
        <v>0.02</v>
      </c>
    </row>
    <row r="1148">
      <c r="A1148" s="2" t="inlineStr">
        <is>
          <t>IT00466_02</t>
        </is>
      </c>
      <c r="B1148" s="2" t="inlineStr">
        <is>
          <t>PED00466</t>
        </is>
      </c>
      <c r="C1148" s="2" t="inlineStr">
        <is>
          <t>P063</t>
        </is>
      </c>
      <c r="D1148" s="2" t="n">
        <v>1</v>
      </c>
      <c r="E1148" s="19" t="n">
        <v>0</v>
      </c>
    </row>
    <row r="1149">
      <c r="A1149" s="2" t="inlineStr">
        <is>
          <t>IT00466_03</t>
        </is>
      </c>
      <c r="B1149" s="2" t="inlineStr">
        <is>
          <t>PED00466</t>
        </is>
      </c>
      <c r="C1149" s="2" t="inlineStr">
        <is>
          <t>P061</t>
        </is>
      </c>
      <c r="D1149" s="2" t="n">
        <v>1</v>
      </c>
      <c r="E1149" s="19" t="n">
        <v>0</v>
      </c>
    </row>
    <row r="1150">
      <c r="A1150" s="2" t="inlineStr">
        <is>
          <t>IT00466_04</t>
        </is>
      </c>
      <c r="B1150" s="2" t="inlineStr">
        <is>
          <t>PED00466</t>
        </is>
      </c>
      <c r="C1150" s="2" t="inlineStr">
        <is>
          <t>P044</t>
        </is>
      </c>
      <c r="D1150" s="2" t="n">
        <v>1</v>
      </c>
      <c r="E1150" s="19" t="n">
        <v>0</v>
      </c>
    </row>
    <row r="1151">
      <c r="A1151" s="2" t="inlineStr">
        <is>
          <t>IT00466_05</t>
        </is>
      </c>
      <c r="B1151" s="2" t="inlineStr">
        <is>
          <t>PED00466</t>
        </is>
      </c>
      <c r="C1151" s="2" t="inlineStr">
        <is>
          <t>P055</t>
        </is>
      </c>
      <c r="D1151" s="2" t="n">
        <v>5</v>
      </c>
      <c r="E1151" s="19" t="n">
        <v>0.05</v>
      </c>
    </row>
    <row r="1152">
      <c r="A1152" s="2" t="inlineStr">
        <is>
          <t>IT00467_01</t>
        </is>
      </c>
      <c r="B1152" s="2" t="inlineStr">
        <is>
          <t>PED00467</t>
        </is>
      </c>
      <c r="C1152" s="2" t="inlineStr">
        <is>
          <t>P004</t>
        </is>
      </c>
      <c r="D1152" s="2" t="n">
        <v>5</v>
      </c>
      <c r="E1152" s="19" t="n">
        <v>0.02</v>
      </c>
    </row>
    <row r="1153">
      <c r="A1153" s="2" t="inlineStr">
        <is>
          <t>IT00467_02</t>
        </is>
      </c>
      <c r="B1153" s="2" t="inlineStr">
        <is>
          <t>PED00467</t>
        </is>
      </c>
      <c r="C1153" s="2" t="inlineStr">
        <is>
          <t>P016</t>
        </is>
      </c>
      <c r="D1153" s="2" t="n">
        <v>1</v>
      </c>
      <c r="E1153" s="19" t="n">
        <v>0</v>
      </c>
    </row>
    <row r="1154">
      <c r="A1154" s="2" t="inlineStr">
        <is>
          <t>IT00467_03</t>
        </is>
      </c>
      <c r="B1154" s="2" t="inlineStr">
        <is>
          <t>PED00467</t>
        </is>
      </c>
      <c r="C1154" s="2" t="inlineStr">
        <is>
          <t>P068</t>
        </is>
      </c>
      <c r="D1154" s="2" t="n">
        <v>2</v>
      </c>
      <c r="E1154" s="19" t="n">
        <v>0.05</v>
      </c>
    </row>
    <row r="1155">
      <c r="A1155" s="2" t="inlineStr">
        <is>
          <t>IT00467_04</t>
        </is>
      </c>
      <c r="B1155" s="2" t="inlineStr">
        <is>
          <t>PED00467</t>
        </is>
      </c>
      <c r="C1155" s="2" t="inlineStr">
        <is>
          <t>P036</t>
        </is>
      </c>
      <c r="D1155" s="2" t="n">
        <v>2</v>
      </c>
      <c r="E1155" s="19" t="n">
        <v>0.02</v>
      </c>
    </row>
    <row r="1156">
      <c r="A1156" s="2" t="inlineStr">
        <is>
          <t>IT00468_01</t>
        </is>
      </c>
      <c r="B1156" s="2" t="inlineStr">
        <is>
          <t>PED00468</t>
        </is>
      </c>
      <c r="C1156" s="2" t="inlineStr">
        <is>
          <t>P042</t>
        </is>
      </c>
      <c r="D1156" s="2" t="n">
        <v>1</v>
      </c>
      <c r="E1156" s="19" t="n">
        <v>0</v>
      </c>
    </row>
    <row r="1157">
      <c r="A1157" s="2" t="inlineStr">
        <is>
          <t>IT00468_02</t>
        </is>
      </c>
      <c r="B1157" s="2" t="inlineStr">
        <is>
          <t>PED00468</t>
        </is>
      </c>
      <c r="C1157" s="2" t="inlineStr">
        <is>
          <t>P057</t>
        </is>
      </c>
      <c r="D1157" s="2" t="n">
        <v>1</v>
      </c>
      <c r="E1157" s="19" t="n">
        <v>0</v>
      </c>
    </row>
    <row r="1158">
      <c r="A1158" s="2" t="inlineStr">
        <is>
          <t>IT00468_03</t>
        </is>
      </c>
      <c r="B1158" s="2" t="inlineStr">
        <is>
          <t>PED00468</t>
        </is>
      </c>
      <c r="C1158" s="2" t="inlineStr">
        <is>
          <t>P030</t>
        </is>
      </c>
      <c r="D1158" s="2" t="n">
        <v>5</v>
      </c>
      <c r="E1158" s="19" t="n">
        <v>0.05</v>
      </c>
    </row>
    <row r="1159">
      <c r="A1159" s="2" t="inlineStr">
        <is>
          <t>IT00468_04</t>
        </is>
      </c>
      <c r="B1159" s="2" t="inlineStr">
        <is>
          <t>PED00468</t>
        </is>
      </c>
      <c r="C1159" s="2" t="inlineStr">
        <is>
          <t>P063</t>
        </is>
      </c>
      <c r="D1159" s="2" t="n">
        <v>10</v>
      </c>
      <c r="E1159" s="19" t="n">
        <v>0.05</v>
      </c>
    </row>
    <row r="1160">
      <c r="A1160" s="2" t="inlineStr">
        <is>
          <t>IT00469_01</t>
        </is>
      </c>
      <c r="B1160" s="2" t="inlineStr">
        <is>
          <t>PED00469</t>
        </is>
      </c>
      <c r="C1160" s="2" t="inlineStr">
        <is>
          <t>P065</t>
        </is>
      </c>
      <c r="D1160" s="2" t="n">
        <v>3</v>
      </c>
      <c r="E1160" s="19" t="n">
        <v>0</v>
      </c>
    </row>
    <row r="1161">
      <c r="A1161" s="2" t="inlineStr">
        <is>
          <t>IT00469_02</t>
        </is>
      </c>
      <c r="B1161" s="2" t="inlineStr">
        <is>
          <t>PED00469</t>
        </is>
      </c>
      <c r="C1161" s="2" t="inlineStr">
        <is>
          <t>P005</t>
        </is>
      </c>
      <c r="D1161" s="2" t="n">
        <v>2</v>
      </c>
      <c r="E1161" s="19" t="n">
        <v>0</v>
      </c>
    </row>
    <row r="1162">
      <c r="A1162" s="2" t="inlineStr">
        <is>
          <t>IT00469_03</t>
        </is>
      </c>
      <c r="B1162" s="2" t="inlineStr">
        <is>
          <t>PED00469</t>
        </is>
      </c>
      <c r="C1162" s="2" t="inlineStr">
        <is>
          <t>P017</t>
        </is>
      </c>
      <c r="D1162" s="2" t="n">
        <v>4</v>
      </c>
      <c r="E1162" s="19" t="n">
        <v>0</v>
      </c>
    </row>
    <row r="1163">
      <c r="A1163" s="2" t="inlineStr">
        <is>
          <t>IT00469_04</t>
        </is>
      </c>
      <c r="B1163" s="2" t="inlineStr">
        <is>
          <t>PED00469</t>
        </is>
      </c>
      <c r="C1163" s="2" t="inlineStr">
        <is>
          <t>P064</t>
        </is>
      </c>
      <c r="D1163" s="2" t="n">
        <v>2</v>
      </c>
      <c r="E1163" s="19" t="n">
        <v>0</v>
      </c>
    </row>
    <row r="1164">
      <c r="A1164" s="2" t="inlineStr">
        <is>
          <t>IT00470_01</t>
        </is>
      </c>
      <c r="B1164" s="2" t="inlineStr">
        <is>
          <t>PED00470</t>
        </is>
      </c>
      <c r="C1164" s="2" t="inlineStr">
        <is>
          <t>P014</t>
        </is>
      </c>
      <c r="D1164" s="2" t="n">
        <v>1</v>
      </c>
      <c r="E1164" s="19" t="n">
        <v>0.05</v>
      </c>
    </row>
    <row r="1165">
      <c r="A1165" s="2" t="inlineStr">
        <is>
          <t>IT00470_02</t>
        </is>
      </c>
      <c r="B1165" s="2" t="inlineStr">
        <is>
          <t>PED00470</t>
        </is>
      </c>
      <c r="C1165" s="2" t="inlineStr">
        <is>
          <t>P056</t>
        </is>
      </c>
      <c r="D1165" s="2" t="n">
        <v>4</v>
      </c>
      <c r="E1165" s="19" t="n">
        <v>0.02</v>
      </c>
    </row>
    <row r="1166">
      <c r="A1166" s="2" t="inlineStr">
        <is>
          <t>IT00470_03</t>
        </is>
      </c>
      <c r="B1166" s="2" t="inlineStr">
        <is>
          <t>PED00470</t>
        </is>
      </c>
      <c r="C1166" s="2" t="inlineStr">
        <is>
          <t>P004</t>
        </is>
      </c>
      <c r="D1166" s="2" t="n">
        <v>1</v>
      </c>
      <c r="E1166" s="19" t="n">
        <v>0</v>
      </c>
    </row>
    <row r="1167">
      <c r="A1167" s="2" t="inlineStr">
        <is>
          <t>IT00471_01</t>
        </is>
      </c>
      <c r="B1167" s="2" t="inlineStr">
        <is>
          <t>PED00471</t>
        </is>
      </c>
      <c r="C1167" s="2" t="inlineStr">
        <is>
          <t>P043</t>
        </is>
      </c>
      <c r="D1167" s="2" t="n">
        <v>5</v>
      </c>
      <c r="E1167" s="19" t="n">
        <v>0.02</v>
      </c>
    </row>
    <row r="1168">
      <c r="A1168" s="2" t="inlineStr">
        <is>
          <t>IT00471_02</t>
        </is>
      </c>
      <c r="B1168" s="2" t="inlineStr">
        <is>
          <t>PED00471</t>
        </is>
      </c>
      <c r="C1168" s="2" t="inlineStr">
        <is>
          <t>P029</t>
        </is>
      </c>
      <c r="D1168" s="2" t="n">
        <v>2</v>
      </c>
      <c r="E1168" s="19" t="n">
        <v>0</v>
      </c>
    </row>
    <row r="1169">
      <c r="A1169" s="2" t="inlineStr">
        <is>
          <t>IT00472_01</t>
        </is>
      </c>
      <c r="B1169" s="2" t="inlineStr">
        <is>
          <t>PED00472</t>
        </is>
      </c>
      <c r="C1169" s="2" t="inlineStr">
        <is>
          <t>P012</t>
        </is>
      </c>
      <c r="D1169" s="2" t="n">
        <v>1</v>
      </c>
      <c r="E1169" s="19" t="n">
        <v>0</v>
      </c>
    </row>
    <row r="1170">
      <c r="A1170" s="2" t="inlineStr">
        <is>
          <t>IT00473_01</t>
        </is>
      </c>
      <c r="B1170" s="2" t="inlineStr">
        <is>
          <t>PED00473</t>
        </is>
      </c>
      <c r="C1170" s="2" t="inlineStr">
        <is>
          <t>P040</t>
        </is>
      </c>
      <c r="D1170" s="2" t="n">
        <v>1</v>
      </c>
      <c r="E1170" s="19" t="n">
        <v>0</v>
      </c>
    </row>
    <row r="1171">
      <c r="A1171" s="2" t="inlineStr">
        <is>
          <t>IT00473_02</t>
        </is>
      </c>
      <c r="B1171" s="2" t="inlineStr">
        <is>
          <t>PED00473</t>
        </is>
      </c>
      <c r="C1171" s="2" t="inlineStr">
        <is>
          <t>P008</t>
        </is>
      </c>
      <c r="D1171" s="2" t="n">
        <v>2</v>
      </c>
      <c r="E1171" s="19" t="n">
        <v>0.02</v>
      </c>
    </row>
    <row r="1172">
      <c r="A1172" s="2" t="inlineStr">
        <is>
          <t>IT00473_03</t>
        </is>
      </c>
      <c r="B1172" s="2" t="inlineStr">
        <is>
          <t>PED00473</t>
        </is>
      </c>
      <c r="C1172" s="2" t="inlineStr">
        <is>
          <t>P069</t>
        </is>
      </c>
      <c r="D1172" s="2" t="n">
        <v>3</v>
      </c>
      <c r="E1172" s="19" t="n">
        <v>0.05</v>
      </c>
    </row>
    <row r="1173">
      <c r="A1173" s="2" t="inlineStr">
        <is>
          <t>IT00474_01</t>
        </is>
      </c>
      <c r="B1173" s="2" t="inlineStr">
        <is>
          <t>PED00474</t>
        </is>
      </c>
      <c r="C1173" s="2" t="inlineStr">
        <is>
          <t>P038</t>
        </is>
      </c>
      <c r="D1173" s="2" t="n">
        <v>2</v>
      </c>
      <c r="E1173" s="19" t="n">
        <v>0</v>
      </c>
    </row>
    <row r="1174">
      <c r="A1174" s="2" t="inlineStr">
        <is>
          <t>IT00474_02</t>
        </is>
      </c>
      <c r="B1174" s="2" t="inlineStr">
        <is>
          <t>PED00474</t>
        </is>
      </c>
      <c r="C1174" s="2" t="inlineStr">
        <is>
          <t>P029</t>
        </is>
      </c>
      <c r="D1174" s="2" t="n">
        <v>2</v>
      </c>
      <c r="E1174" s="19" t="n">
        <v>0</v>
      </c>
    </row>
    <row r="1175">
      <c r="A1175" s="2" t="inlineStr">
        <is>
          <t>IT00475_01</t>
        </is>
      </c>
      <c r="B1175" s="2" t="inlineStr">
        <is>
          <t>PED00475</t>
        </is>
      </c>
      <c r="C1175" s="2" t="inlineStr">
        <is>
          <t>P062</t>
        </is>
      </c>
      <c r="D1175" s="2" t="n">
        <v>1</v>
      </c>
      <c r="E1175" s="19" t="n">
        <v>0.05</v>
      </c>
    </row>
    <row r="1176">
      <c r="A1176" s="2" t="inlineStr">
        <is>
          <t>IT00475_02</t>
        </is>
      </c>
      <c r="B1176" s="2" t="inlineStr">
        <is>
          <t>PED00475</t>
        </is>
      </c>
      <c r="C1176" s="2" t="inlineStr">
        <is>
          <t>P028</t>
        </is>
      </c>
      <c r="D1176" s="2" t="n">
        <v>1</v>
      </c>
      <c r="E1176" s="19" t="n">
        <v>0.02</v>
      </c>
    </row>
    <row r="1177">
      <c r="A1177" s="2" t="inlineStr">
        <is>
          <t>IT00475_03</t>
        </is>
      </c>
      <c r="B1177" s="2" t="inlineStr">
        <is>
          <t>PED00475</t>
        </is>
      </c>
      <c r="C1177" s="2" t="inlineStr">
        <is>
          <t>P064</t>
        </is>
      </c>
      <c r="D1177" s="2" t="n">
        <v>3</v>
      </c>
      <c r="E1177" s="19" t="n">
        <v>0.05</v>
      </c>
    </row>
    <row r="1178">
      <c r="A1178" s="2" t="inlineStr">
        <is>
          <t>IT00475_04</t>
        </is>
      </c>
      <c r="B1178" s="2" t="inlineStr">
        <is>
          <t>PED00475</t>
        </is>
      </c>
      <c r="C1178" s="2" t="inlineStr">
        <is>
          <t>P038</t>
        </is>
      </c>
      <c r="D1178" s="2" t="n">
        <v>1</v>
      </c>
      <c r="E1178" s="19" t="n">
        <v>0.02</v>
      </c>
    </row>
    <row r="1179">
      <c r="A1179" s="2" t="inlineStr">
        <is>
          <t>IT00475_05</t>
        </is>
      </c>
      <c r="B1179" s="2" t="inlineStr">
        <is>
          <t>PED00475</t>
        </is>
      </c>
      <c r="C1179" s="2" t="inlineStr">
        <is>
          <t>P049</t>
        </is>
      </c>
      <c r="D1179" s="2" t="n">
        <v>4</v>
      </c>
      <c r="E1179" s="19" t="n">
        <v>0.02</v>
      </c>
    </row>
    <row r="1180">
      <c r="A1180" s="2" t="inlineStr">
        <is>
          <t>IT00476_01</t>
        </is>
      </c>
      <c r="B1180" s="2" t="inlineStr">
        <is>
          <t>PED00476</t>
        </is>
      </c>
      <c r="C1180" s="2" t="inlineStr">
        <is>
          <t>P051</t>
        </is>
      </c>
      <c r="D1180" s="2" t="n">
        <v>3</v>
      </c>
      <c r="E1180" s="19" t="n">
        <v>0</v>
      </c>
    </row>
    <row r="1181">
      <c r="A1181" s="2" t="inlineStr">
        <is>
          <t>IT00476_02</t>
        </is>
      </c>
      <c r="B1181" s="2" t="inlineStr">
        <is>
          <t>PED00476</t>
        </is>
      </c>
      <c r="C1181" s="2" t="inlineStr">
        <is>
          <t>P044</t>
        </is>
      </c>
      <c r="D1181" s="2" t="n">
        <v>2</v>
      </c>
      <c r="E1181" s="19" t="n">
        <v>0</v>
      </c>
    </row>
    <row r="1182">
      <c r="A1182" s="2" t="inlineStr">
        <is>
          <t>IT00476_03</t>
        </is>
      </c>
      <c r="B1182" s="2" t="inlineStr">
        <is>
          <t>PED00476</t>
        </is>
      </c>
      <c r="C1182" s="2" t="inlineStr">
        <is>
          <t>P055</t>
        </is>
      </c>
      <c r="D1182" s="2" t="n">
        <v>2</v>
      </c>
      <c r="E1182" s="19" t="n">
        <v>0</v>
      </c>
    </row>
    <row r="1183">
      <c r="A1183" s="2" t="inlineStr">
        <is>
          <t>IT00476_04</t>
        </is>
      </c>
      <c r="B1183" s="2" t="inlineStr">
        <is>
          <t>PED00476</t>
        </is>
      </c>
      <c r="C1183" s="2" t="inlineStr">
        <is>
          <t>P061</t>
        </is>
      </c>
      <c r="D1183" s="2" t="n">
        <v>4</v>
      </c>
      <c r="E1183" s="19" t="n">
        <v>0</v>
      </c>
    </row>
    <row r="1184">
      <c r="A1184" s="2" t="inlineStr">
        <is>
          <t>IT00476_05</t>
        </is>
      </c>
      <c r="B1184" s="2" t="inlineStr">
        <is>
          <t>PED00476</t>
        </is>
      </c>
      <c r="C1184" s="2" t="inlineStr">
        <is>
          <t>P045</t>
        </is>
      </c>
      <c r="D1184" s="2" t="n">
        <v>1</v>
      </c>
      <c r="E1184" s="19" t="n">
        <v>0.02</v>
      </c>
    </row>
    <row r="1185">
      <c r="A1185" s="2" t="inlineStr">
        <is>
          <t>IT00477_01</t>
        </is>
      </c>
      <c r="B1185" s="2" t="inlineStr">
        <is>
          <t>PED00477</t>
        </is>
      </c>
      <c r="C1185" s="2" t="inlineStr">
        <is>
          <t>P038</t>
        </is>
      </c>
      <c r="D1185" s="2" t="n">
        <v>1</v>
      </c>
      <c r="E1185" s="19" t="n">
        <v>0.02</v>
      </c>
    </row>
    <row r="1186">
      <c r="A1186" s="2" t="inlineStr">
        <is>
          <t>IT00477_02</t>
        </is>
      </c>
      <c r="B1186" s="2" t="inlineStr">
        <is>
          <t>PED00477</t>
        </is>
      </c>
      <c r="C1186" s="2" t="inlineStr">
        <is>
          <t>P019</t>
        </is>
      </c>
      <c r="D1186" s="2" t="n">
        <v>3</v>
      </c>
      <c r="E1186" s="19" t="n">
        <v>0</v>
      </c>
    </row>
    <row r="1187">
      <c r="A1187" s="2" t="inlineStr">
        <is>
          <t>IT00477_03</t>
        </is>
      </c>
      <c r="B1187" s="2" t="inlineStr">
        <is>
          <t>PED00477</t>
        </is>
      </c>
      <c r="C1187" s="2" t="inlineStr">
        <is>
          <t>P027</t>
        </is>
      </c>
      <c r="D1187" s="2" t="n">
        <v>3</v>
      </c>
      <c r="E1187" s="19" t="n">
        <v>0</v>
      </c>
    </row>
    <row r="1188">
      <c r="A1188" s="2" t="inlineStr">
        <is>
          <t>IT00478_01</t>
        </is>
      </c>
      <c r="B1188" s="2" t="inlineStr">
        <is>
          <t>PED00478</t>
        </is>
      </c>
      <c r="C1188" s="2" t="inlineStr">
        <is>
          <t>P013</t>
        </is>
      </c>
      <c r="D1188" s="2" t="n">
        <v>5</v>
      </c>
      <c r="E1188" s="19" t="n">
        <v>0</v>
      </c>
    </row>
    <row r="1189">
      <c r="A1189" s="2" t="inlineStr">
        <is>
          <t>IT00478_02</t>
        </is>
      </c>
      <c r="B1189" s="2" t="inlineStr">
        <is>
          <t>PED00478</t>
        </is>
      </c>
      <c r="C1189" s="2" t="inlineStr">
        <is>
          <t>P046</t>
        </is>
      </c>
      <c r="D1189" s="2" t="n">
        <v>2</v>
      </c>
      <c r="E1189" s="19" t="n">
        <v>0</v>
      </c>
    </row>
    <row r="1190">
      <c r="A1190" s="2" t="inlineStr">
        <is>
          <t>IT00478_03</t>
        </is>
      </c>
      <c r="B1190" s="2" t="inlineStr">
        <is>
          <t>PED00478</t>
        </is>
      </c>
      <c r="C1190" s="2" t="inlineStr">
        <is>
          <t>P061</t>
        </is>
      </c>
      <c r="D1190" s="2" t="n">
        <v>2</v>
      </c>
      <c r="E1190" s="19" t="n">
        <v>0</v>
      </c>
    </row>
    <row r="1191">
      <c r="A1191" s="2" t="inlineStr">
        <is>
          <t>IT00478_04</t>
        </is>
      </c>
      <c r="B1191" s="2" t="inlineStr">
        <is>
          <t>PED00478</t>
        </is>
      </c>
      <c r="C1191" s="2" t="inlineStr">
        <is>
          <t>P023</t>
        </is>
      </c>
      <c r="D1191" s="2" t="n">
        <v>3</v>
      </c>
      <c r="E1191" s="19" t="n">
        <v>0</v>
      </c>
    </row>
    <row r="1192">
      <c r="A1192" s="2" t="inlineStr">
        <is>
          <t>IT00479_01</t>
        </is>
      </c>
      <c r="B1192" s="2" t="inlineStr">
        <is>
          <t>PED00479</t>
        </is>
      </c>
      <c r="C1192" s="2" t="inlineStr">
        <is>
          <t>P049</t>
        </is>
      </c>
      <c r="D1192" s="2" t="n">
        <v>4</v>
      </c>
      <c r="E1192" s="19" t="n">
        <v>0.02</v>
      </c>
    </row>
    <row r="1193">
      <c r="A1193" s="2" t="inlineStr">
        <is>
          <t>IT00479_02</t>
        </is>
      </c>
      <c r="B1193" s="2" t="inlineStr">
        <is>
          <t>PED00479</t>
        </is>
      </c>
      <c r="C1193" s="2" t="inlineStr">
        <is>
          <t>P012</t>
        </is>
      </c>
      <c r="D1193" s="2" t="n">
        <v>1</v>
      </c>
      <c r="E1193" s="19" t="n">
        <v>0.02</v>
      </c>
    </row>
    <row r="1194">
      <c r="A1194" s="2" t="inlineStr">
        <is>
          <t>IT00479_03</t>
        </is>
      </c>
      <c r="B1194" s="2" t="inlineStr">
        <is>
          <t>PED00479</t>
        </is>
      </c>
      <c r="C1194" s="2" t="inlineStr">
        <is>
          <t>P060</t>
        </is>
      </c>
      <c r="D1194" s="2" t="n">
        <v>1</v>
      </c>
      <c r="E1194" s="19" t="n">
        <v>0</v>
      </c>
    </row>
    <row r="1195">
      <c r="A1195" s="2" t="inlineStr">
        <is>
          <t>IT00480_01</t>
        </is>
      </c>
      <c r="B1195" s="2" t="inlineStr">
        <is>
          <t>PED00480</t>
        </is>
      </c>
      <c r="C1195" s="2" t="inlineStr">
        <is>
          <t>P062</t>
        </is>
      </c>
      <c r="D1195" s="2" t="n">
        <v>3</v>
      </c>
      <c r="E1195" s="19" t="n">
        <v>0</v>
      </c>
    </row>
    <row r="1196">
      <c r="A1196" s="2" t="inlineStr">
        <is>
          <t>IT00480_02</t>
        </is>
      </c>
      <c r="B1196" s="2" t="inlineStr">
        <is>
          <t>PED00480</t>
        </is>
      </c>
      <c r="C1196" s="2" t="inlineStr">
        <is>
          <t>P036</t>
        </is>
      </c>
      <c r="D1196" s="2" t="n">
        <v>2</v>
      </c>
      <c r="E1196" s="19" t="n">
        <v>0</v>
      </c>
    </row>
    <row r="1197">
      <c r="A1197" s="2" t="inlineStr">
        <is>
          <t>IT00480_03</t>
        </is>
      </c>
      <c r="B1197" s="2" t="inlineStr">
        <is>
          <t>PED00480</t>
        </is>
      </c>
      <c r="C1197" s="2" t="inlineStr">
        <is>
          <t>P013</t>
        </is>
      </c>
      <c r="D1197" s="2" t="n">
        <v>2</v>
      </c>
      <c r="E1197" s="19" t="n">
        <v>0</v>
      </c>
    </row>
    <row r="1198">
      <c r="A1198" s="2" t="inlineStr">
        <is>
          <t>IT00481_01</t>
        </is>
      </c>
      <c r="B1198" s="2" t="inlineStr">
        <is>
          <t>PED00481</t>
        </is>
      </c>
      <c r="C1198" s="2" t="inlineStr">
        <is>
          <t>P003</t>
        </is>
      </c>
      <c r="D1198" s="2" t="n">
        <v>2</v>
      </c>
      <c r="E1198" s="19" t="n">
        <v>0</v>
      </c>
    </row>
    <row r="1199">
      <c r="A1199" s="2" t="inlineStr">
        <is>
          <t>IT00481_02</t>
        </is>
      </c>
      <c r="B1199" s="2" t="inlineStr">
        <is>
          <t>PED00481</t>
        </is>
      </c>
      <c r="C1199" s="2" t="inlineStr">
        <is>
          <t>P051</t>
        </is>
      </c>
      <c r="D1199" s="2" t="n">
        <v>3</v>
      </c>
      <c r="E1199" s="19" t="n">
        <v>0</v>
      </c>
    </row>
    <row r="1200">
      <c r="A1200" s="2" t="inlineStr">
        <is>
          <t>IT00482_01</t>
        </is>
      </c>
      <c r="B1200" s="2" t="inlineStr">
        <is>
          <t>PED00482</t>
        </is>
      </c>
      <c r="C1200" s="2" t="inlineStr">
        <is>
          <t>P024</t>
        </is>
      </c>
      <c r="D1200" s="2" t="n">
        <v>1</v>
      </c>
      <c r="E1200" s="19" t="n">
        <v>0</v>
      </c>
    </row>
    <row r="1201">
      <c r="A1201" s="2" t="inlineStr">
        <is>
          <t>IT00483_01</t>
        </is>
      </c>
      <c r="B1201" s="2" t="inlineStr">
        <is>
          <t>PED00483</t>
        </is>
      </c>
      <c r="C1201" s="2" t="inlineStr">
        <is>
          <t>P005</t>
        </is>
      </c>
      <c r="D1201" s="2" t="n">
        <v>2</v>
      </c>
      <c r="E1201" s="19" t="n">
        <v>0</v>
      </c>
    </row>
    <row r="1202">
      <c r="A1202" s="2" t="inlineStr">
        <is>
          <t>IT00483_02</t>
        </is>
      </c>
      <c r="B1202" s="2" t="inlineStr">
        <is>
          <t>PED00483</t>
        </is>
      </c>
      <c r="C1202" s="2" t="inlineStr">
        <is>
          <t>P011</t>
        </is>
      </c>
      <c r="D1202" s="2" t="n">
        <v>2</v>
      </c>
      <c r="E1202" s="19" t="n">
        <v>0</v>
      </c>
    </row>
    <row r="1203">
      <c r="A1203" s="2" t="inlineStr">
        <is>
          <t>IT00483_03</t>
        </is>
      </c>
      <c r="B1203" s="2" t="inlineStr">
        <is>
          <t>PED00483</t>
        </is>
      </c>
      <c r="C1203" s="2" t="inlineStr">
        <is>
          <t>P016</t>
        </is>
      </c>
      <c r="D1203" s="2" t="n">
        <v>5</v>
      </c>
      <c r="E1203" s="19" t="n">
        <v>0</v>
      </c>
    </row>
    <row r="1204">
      <c r="A1204" s="2" t="inlineStr">
        <is>
          <t>IT00484_01</t>
        </is>
      </c>
      <c r="B1204" s="2" t="inlineStr">
        <is>
          <t>PED00484</t>
        </is>
      </c>
      <c r="C1204" s="2" t="inlineStr">
        <is>
          <t>P067</t>
        </is>
      </c>
      <c r="D1204" s="2" t="n">
        <v>2</v>
      </c>
      <c r="E1204" s="19" t="n">
        <v>0.02</v>
      </c>
    </row>
    <row r="1205">
      <c r="A1205" s="2" t="inlineStr">
        <is>
          <t>IT00484_02</t>
        </is>
      </c>
      <c r="B1205" s="2" t="inlineStr">
        <is>
          <t>PED00484</t>
        </is>
      </c>
      <c r="C1205" s="2" t="inlineStr">
        <is>
          <t>P046</t>
        </is>
      </c>
      <c r="D1205" s="2" t="n">
        <v>2</v>
      </c>
      <c r="E1205" s="19" t="n">
        <v>0</v>
      </c>
    </row>
    <row r="1206">
      <c r="A1206" s="2" t="inlineStr">
        <is>
          <t>IT00484_03</t>
        </is>
      </c>
      <c r="B1206" s="2" t="inlineStr">
        <is>
          <t>PED00484</t>
        </is>
      </c>
      <c r="C1206" s="2" t="inlineStr">
        <is>
          <t>P069</t>
        </is>
      </c>
      <c r="D1206" s="2" t="n">
        <v>1</v>
      </c>
      <c r="E1206" s="19" t="n">
        <v>0</v>
      </c>
    </row>
    <row r="1207">
      <c r="A1207" s="2" t="inlineStr">
        <is>
          <t>IT00485_01</t>
        </is>
      </c>
      <c r="B1207" s="2" t="inlineStr">
        <is>
          <t>PED00485</t>
        </is>
      </c>
      <c r="C1207" s="2" t="inlineStr">
        <is>
          <t>P033</t>
        </is>
      </c>
      <c r="D1207" s="2" t="n">
        <v>1</v>
      </c>
      <c r="E1207" s="19" t="n">
        <v>0.05</v>
      </c>
    </row>
    <row r="1208">
      <c r="A1208" s="2" t="inlineStr">
        <is>
          <t>IT00485_02</t>
        </is>
      </c>
      <c r="B1208" s="2" t="inlineStr">
        <is>
          <t>PED00485</t>
        </is>
      </c>
      <c r="C1208" s="2" t="inlineStr">
        <is>
          <t>P034</t>
        </is>
      </c>
      <c r="D1208" s="2" t="n">
        <v>1</v>
      </c>
      <c r="E1208" s="19" t="n">
        <v>0</v>
      </c>
    </row>
    <row r="1209">
      <c r="A1209" s="2" t="inlineStr">
        <is>
          <t>IT00486_01</t>
        </is>
      </c>
      <c r="B1209" s="2" t="inlineStr">
        <is>
          <t>PED00486</t>
        </is>
      </c>
      <c r="C1209" s="2" t="inlineStr">
        <is>
          <t>P035</t>
        </is>
      </c>
      <c r="D1209" s="2" t="n">
        <v>2</v>
      </c>
      <c r="E1209" s="19" t="n">
        <v>0</v>
      </c>
    </row>
    <row r="1210">
      <c r="A1210" s="2" t="inlineStr">
        <is>
          <t>IT00486_02</t>
        </is>
      </c>
      <c r="B1210" s="2" t="inlineStr">
        <is>
          <t>PED00486</t>
        </is>
      </c>
      <c r="C1210" s="2" t="inlineStr">
        <is>
          <t>P025</t>
        </is>
      </c>
      <c r="D1210" s="2" t="n">
        <v>2</v>
      </c>
      <c r="E1210" s="19" t="n">
        <v>0</v>
      </c>
    </row>
    <row r="1211">
      <c r="A1211" s="2" t="inlineStr">
        <is>
          <t>IT00486_03</t>
        </is>
      </c>
      <c r="B1211" s="2" t="inlineStr">
        <is>
          <t>PED00486</t>
        </is>
      </c>
      <c r="C1211" s="2" t="inlineStr">
        <is>
          <t>P048</t>
        </is>
      </c>
      <c r="D1211" s="2" t="n">
        <v>3</v>
      </c>
      <c r="E1211" s="19" t="n">
        <v>0</v>
      </c>
    </row>
    <row r="1212">
      <c r="A1212" s="2" t="inlineStr">
        <is>
          <t>IT00487_01</t>
        </is>
      </c>
      <c r="B1212" s="2" t="inlineStr">
        <is>
          <t>PED00487</t>
        </is>
      </c>
      <c r="C1212" s="2" t="inlineStr">
        <is>
          <t>P053</t>
        </is>
      </c>
      <c r="D1212" s="2" t="n">
        <v>1</v>
      </c>
      <c r="E1212" s="19" t="n">
        <v>0</v>
      </c>
    </row>
    <row r="1213">
      <c r="A1213" s="2" t="inlineStr">
        <is>
          <t>IT00487_02</t>
        </is>
      </c>
      <c r="B1213" s="2" t="inlineStr">
        <is>
          <t>PED00487</t>
        </is>
      </c>
      <c r="C1213" s="2" t="inlineStr">
        <is>
          <t>P009</t>
        </is>
      </c>
      <c r="D1213" s="2" t="n">
        <v>4</v>
      </c>
      <c r="E1213" s="19" t="n">
        <v>0.02</v>
      </c>
    </row>
    <row r="1214">
      <c r="A1214" s="2" t="inlineStr">
        <is>
          <t>IT00488_01</t>
        </is>
      </c>
      <c r="B1214" s="2" t="inlineStr">
        <is>
          <t>PED00488</t>
        </is>
      </c>
      <c r="C1214" s="2" t="inlineStr">
        <is>
          <t>P014</t>
        </is>
      </c>
      <c r="D1214" s="2" t="n">
        <v>1</v>
      </c>
      <c r="E1214" s="19" t="n">
        <v>0.02</v>
      </c>
    </row>
    <row r="1215">
      <c r="A1215" s="2" t="inlineStr">
        <is>
          <t>IT00488_02</t>
        </is>
      </c>
      <c r="B1215" s="2" t="inlineStr">
        <is>
          <t>PED00488</t>
        </is>
      </c>
      <c r="C1215" s="2" t="inlineStr">
        <is>
          <t>P016</t>
        </is>
      </c>
      <c r="D1215" s="2" t="n">
        <v>1</v>
      </c>
      <c r="E1215" s="19" t="n">
        <v>0.05</v>
      </c>
    </row>
    <row r="1216">
      <c r="A1216" s="2" t="inlineStr">
        <is>
          <t>IT00489_01</t>
        </is>
      </c>
      <c r="B1216" s="2" t="inlineStr">
        <is>
          <t>PED00489</t>
        </is>
      </c>
      <c r="C1216" s="2" t="inlineStr">
        <is>
          <t>P007</t>
        </is>
      </c>
      <c r="D1216" s="2" t="n">
        <v>5</v>
      </c>
      <c r="E1216" s="19" t="n">
        <v>0</v>
      </c>
    </row>
    <row r="1217">
      <c r="A1217" s="2" t="inlineStr">
        <is>
          <t>IT00489_02</t>
        </is>
      </c>
      <c r="B1217" s="2" t="inlineStr">
        <is>
          <t>PED00489</t>
        </is>
      </c>
      <c r="C1217" s="2" t="inlineStr">
        <is>
          <t>P022</t>
        </is>
      </c>
      <c r="D1217" s="2" t="n">
        <v>1</v>
      </c>
      <c r="E1217" s="19" t="n">
        <v>0.02</v>
      </c>
    </row>
    <row r="1218">
      <c r="A1218" s="2" t="inlineStr">
        <is>
          <t>IT00489_03</t>
        </is>
      </c>
      <c r="B1218" s="2" t="inlineStr">
        <is>
          <t>PED00489</t>
        </is>
      </c>
      <c r="C1218" s="2" t="inlineStr">
        <is>
          <t>P041</t>
        </is>
      </c>
      <c r="D1218" s="2" t="n">
        <v>5</v>
      </c>
      <c r="E1218" s="19" t="n">
        <v>0</v>
      </c>
    </row>
    <row r="1219">
      <c r="A1219" s="2" t="inlineStr">
        <is>
          <t>IT00490_01</t>
        </is>
      </c>
      <c r="B1219" s="2" t="inlineStr">
        <is>
          <t>PED00490</t>
        </is>
      </c>
      <c r="C1219" s="2" t="inlineStr">
        <is>
          <t>P017</t>
        </is>
      </c>
      <c r="D1219" s="2" t="n">
        <v>2</v>
      </c>
      <c r="E1219" s="19" t="n">
        <v>0</v>
      </c>
    </row>
    <row r="1220">
      <c r="A1220" s="2" t="inlineStr">
        <is>
          <t>IT00490_02</t>
        </is>
      </c>
      <c r="B1220" s="2" t="inlineStr">
        <is>
          <t>PED00490</t>
        </is>
      </c>
      <c r="C1220" s="2" t="inlineStr">
        <is>
          <t>P019</t>
        </is>
      </c>
      <c r="D1220" s="2" t="n">
        <v>4</v>
      </c>
      <c r="E1220" s="19" t="n">
        <v>0</v>
      </c>
    </row>
    <row r="1221">
      <c r="A1221" s="2" t="inlineStr">
        <is>
          <t>IT00490_03</t>
        </is>
      </c>
      <c r="B1221" s="2" t="inlineStr">
        <is>
          <t>PED00490</t>
        </is>
      </c>
      <c r="C1221" s="2" t="inlineStr">
        <is>
          <t>P049</t>
        </is>
      </c>
      <c r="D1221" s="2" t="n">
        <v>1</v>
      </c>
      <c r="E1221" s="19" t="n">
        <v>0.02</v>
      </c>
    </row>
    <row r="1222">
      <c r="A1222" s="2" t="inlineStr">
        <is>
          <t>IT00491_01</t>
        </is>
      </c>
      <c r="B1222" s="2" t="inlineStr">
        <is>
          <t>PED00491</t>
        </is>
      </c>
      <c r="C1222" s="2" t="inlineStr">
        <is>
          <t>P065</t>
        </is>
      </c>
      <c r="D1222" s="2" t="n">
        <v>2</v>
      </c>
      <c r="E1222" s="19" t="n">
        <v>0.02</v>
      </c>
    </row>
    <row r="1223">
      <c r="A1223" s="2" t="inlineStr">
        <is>
          <t>IT00491_02</t>
        </is>
      </c>
      <c r="B1223" s="2" t="inlineStr">
        <is>
          <t>PED00491</t>
        </is>
      </c>
      <c r="C1223" s="2" t="inlineStr">
        <is>
          <t>P037</t>
        </is>
      </c>
      <c r="D1223" s="2" t="n">
        <v>4</v>
      </c>
      <c r="E1223" s="19" t="n">
        <v>0</v>
      </c>
    </row>
    <row r="1224">
      <c r="A1224" s="2" t="inlineStr">
        <is>
          <t>IT00491_03</t>
        </is>
      </c>
      <c r="B1224" s="2" t="inlineStr">
        <is>
          <t>PED00491</t>
        </is>
      </c>
      <c r="C1224" s="2" t="inlineStr">
        <is>
          <t>P036</t>
        </is>
      </c>
      <c r="D1224" s="2" t="n">
        <v>2</v>
      </c>
      <c r="E1224" s="19" t="n">
        <v>0</v>
      </c>
    </row>
    <row r="1225">
      <c r="A1225" s="2" t="inlineStr">
        <is>
          <t>IT00491_04</t>
        </is>
      </c>
      <c r="B1225" s="2" t="inlineStr">
        <is>
          <t>PED00491</t>
        </is>
      </c>
      <c r="C1225" s="2" t="inlineStr">
        <is>
          <t>P055</t>
        </is>
      </c>
      <c r="D1225" s="2" t="n">
        <v>1</v>
      </c>
      <c r="E1225" s="19" t="n">
        <v>0.02</v>
      </c>
    </row>
    <row r="1226">
      <c r="A1226" s="2" t="inlineStr">
        <is>
          <t>IT00492_01</t>
        </is>
      </c>
      <c r="B1226" s="2" t="inlineStr">
        <is>
          <t>PED00492</t>
        </is>
      </c>
      <c r="C1226" s="2" t="inlineStr">
        <is>
          <t>P011</t>
        </is>
      </c>
      <c r="D1226" s="2" t="n">
        <v>3</v>
      </c>
      <c r="E1226" s="19" t="n">
        <v>0</v>
      </c>
    </row>
    <row r="1227">
      <c r="A1227" s="2" t="inlineStr">
        <is>
          <t>IT00492_02</t>
        </is>
      </c>
      <c r="B1227" s="2" t="inlineStr">
        <is>
          <t>PED00492</t>
        </is>
      </c>
      <c r="C1227" s="2" t="inlineStr">
        <is>
          <t>P037</t>
        </is>
      </c>
      <c r="D1227" s="2" t="n">
        <v>5</v>
      </c>
      <c r="E1227" s="19" t="n">
        <v>0.02</v>
      </c>
    </row>
    <row r="1228">
      <c r="A1228" s="2" t="inlineStr">
        <is>
          <t>IT00492_03</t>
        </is>
      </c>
      <c r="B1228" s="2" t="inlineStr">
        <is>
          <t>PED00492</t>
        </is>
      </c>
      <c r="C1228" s="2" t="inlineStr">
        <is>
          <t>P064</t>
        </is>
      </c>
      <c r="D1228" s="2" t="n">
        <v>5</v>
      </c>
      <c r="E1228" s="19" t="n">
        <v>0</v>
      </c>
    </row>
    <row r="1229">
      <c r="A1229" s="2" t="inlineStr">
        <is>
          <t>IT00493_01</t>
        </is>
      </c>
      <c r="B1229" s="2" t="inlineStr">
        <is>
          <t>PED00493</t>
        </is>
      </c>
      <c r="C1229" s="2" t="inlineStr">
        <is>
          <t>P055</t>
        </is>
      </c>
      <c r="D1229" s="2" t="n">
        <v>1</v>
      </c>
      <c r="E1229" s="19" t="n">
        <v>0.02</v>
      </c>
    </row>
    <row r="1230">
      <c r="A1230" s="2" t="inlineStr">
        <is>
          <t>IT00493_02</t>
        </is>
      </c>
      <c r="B1230" s="2" t="inlineStr">
        <is>
          <t>PED00493</t>
        </is>
      </c>
      <c r="C1230" s="2" t="inlineStr">
        <is>
          <t>P069</t>
        </is>
      </c>
      <c r="D1230" s="2" t="n">
        <v>5</v>
      </c>
      <c r="E1230" s="19" t="n">
        <v>0.05</v>
      </c>
    </row>
    <row r="1231">
      <c r="A1231" s="2" t="inlineStr">
        <is>
          <t>IT00493_03</t>
        </is>
      </c>
      <c r="B1231" s="2" t="inlineStr">
        <is>
          <t>PED00493</t>
        </is>
      </c>
      <c r="C1231" s="2" t="inlineStr">
        <is>
          <t>P045</t>
        </is>
      </c>
      <c r="D1231" s="2" t="n">
        <v>4</v>
      </c>
      <c r="E1231" s="19" t="n">
        <v>0</v>
      </c>
    </row>
    <row r="1232">
      <c r="A1232" s="2" t="inlineStr">
        <is>
          <t>IT00494_01</t>
        </is>
      </c>
      <c r="B1232" s="2" t="inlineStr">
        <is>
          <t>PED00494</t>
        </is>
      </c>
      <c r="C1232" s="2" t="inlineStr">
        <is>
          <t>P029</t>
        </is>
      </c>
      <c r="D1232" s="2" t="n">
        <v>1</v>
      </c>
      <c r="E1232" s="19" t="n">
        <v>0.05</v>
      </c>
    </row>
    <row r="1233">
      <c r="A1233" s="2" t="inlineStr">
        <is>
          <t>IT00494_02</t>
        </is>
      </c>
      <c r="B1233" s="2" t="inlineStr">
        <is>
          <t>PED00494</t>
        </is>
      </c>
      <c r="C1233" s="2" t="inlineStr">
        <is>
          <t>P023</t>
        </is>
      </c>
      <c r="D1233" s="2" t="n">
        <v>2</v>
      </c>
      <c r="E1233" s="19" t="n">
        <v>0.1</v>
      </c>
    </row>
    <row r="1234">
      <c r="A1234" s="2" t="inlineStr">
        <is>
          <t>IT00495_01</t>
        </is>
      </c>
      <c r="B1234" s="2" t="inlineStr">
        <is>
          <t>PED00495</t>
        </is>
      </c>
      <c r="C1234" s="2" t="inlineStr">
        <is>
          <t>P070</t>
        </is>
      </c>
      <c r="D1234" s="2" t="n">
        <v>1</v>
      </c>
      <c r="E1234" s="19" t="n">
        <v>0</v>
      </c>
    </row>
    <row r="1235">
      <c r="A1235" s="2" t="inlineStr">
        <is>
          <t>IT00495_02</t>
        </is>
      </c>
      <c r="B1235" s="2" t="inlineStr">
        <is>
          <t>PED00495</t>
        </is>
      </c>
      <c r="C1235" s="2" t="inlineStr">
        <is>
          <t>P016</t>
        </is>
      </c>
      <c r="D1235" s="2" t="n">
        <v>1</v>
      </c>
      <c r="E1235" s="19" t="n">
        <v>0.02</v>
      </c>
    </row>
    <row r="1236">
      <c r="A1236" s="2" t="inlineStr">
        <is>
          <t>IT00495_03</t>
        </is>
      </c>
      <c r="B1236" s="2" t="inlineStr">
        <is>
          <t>PED00495</t>
        </is>
      </c>
      <c r="C1236" s="2" t="inlineStr">
        <is>
          <t>P038</t>
        </is>
      </c>
      <c r="D1236" s="2" t="n">
        <v>2</v>
      </c>
      <c r="E1236" s="19" t="n">
        <v>0</v>
      </c>
    </row>
    <row r="1237">
      <c r="A1237" s="2" t="inlineStr">
        <is>
          <t>IT00496_01</t>
        </is>
      </c>
      <c r="B1237" s="2" t="inlineStr">
        <is>
          <t>PED00496</t>
        </is>
      </c>
      <c r="C1237" s="2" t="inlineStr">
        <is>
          <t>P001</t>
        </is>
      </c>
      <c r="D1237" s="2" t="n">
        <v>2</v>
      </c>
      <c r="E1237" s="19" t="n">
        <v>0</v>
      </c>
    </row>
    <row r="1238">
      <c r="A1238" s="2" t="inlineStr">
        <is>
          <t>IT00497_01</t>
        </is>
      </c>
      <c r="B1238" s="2" t="inlineStr">
        <is>
          <t>PED00497</t>
        </is>
      </c>
      <c r="C1238" s="2" t="inlineStr">
        <is>
          <t>P056</t>
        </is>
      </c>
      <c r="D1238" s="2" t="n">
        <v>2</v>
      </c>
      <c r="E1238" s="19" t="n">
        <v>0</v>
      </c>
    </row>
    <row r="1239">
      <c r="A1239" s="2" t="inlineStr">
        <is>
          <t>IT00498_01</t>
        </is>
      </c>
      <c r="B1239" s="2" t="inlineStr">
        <is>
          <t>PED00498</t>
        </is>
      </c>
      <c r="C1239" s="2" t="inlineStr">
        <is>
          <t>P029</t>
        </is>
      </c>
      <c r="D1239" s="2" t="n">
        <v>1</v>
      </c>
      <c r="E1239" s="19" t="n">
        <v>0</v>
      </c>
    </row>
    <row r="1240">
      <c r="A1240" s="2" t="inlineStr">
        <is>
          <t>IT00498_02</t>
        </is>
      </c>
      <c r="B1240" s="2" t="inlineStr">
        <is>
          <t>PED00498</t>
        </is>
      </c>
      <c r="C1240" s="2" t="inlineStr">
        <is>
          <t>P061</t>
        </is>
      </c>
      <c r="D1240" s="2" t="n">
        <v>4</v>
      </c>
      <c r="E1240" s="19" t="n">
        <v>0</v>
      </c>
    </row>
    <row r="1241">
      <c r="A1241" s="2" t="inlineStr">
        <is>
          <t>IT00498_03</t>
        </is>
      </c>
      <c r="B1241" s="2" t="inlineStr">
        <is>
          <t>PED00498</t>
        </is>
      </c>
      <c r="C1241" s="2" t="inlineStr">
        <is>
          <t>P051</t>
        </is>
      </c>
      <c r="D1241" s="2" t="n">
        <v>1</v>
      </c>
      <c r="E1241" s="19" t="n">
        <v>0.1</v>
      </c>
    </row>
    <row r="1242">
      <c r="A1242" s="2" t="inlineStr">
        <is>
          <t>IT00499_01</t>
        </is>
      </c>
      <c r="B1242" s="2" t="inlineStr">
        <is>
          <t>PED00499</t>
        </is>
      </c>
      <c r="C1242" s="2" t="inlineStr">
        <is>
          <t>P026</t>
        </is>
      </c>
      <c r="D1242" s="2" t="n">
        <v>1</v>
      </c>
      <c r="E1242" s="19" t="n">
        <v>0</v>
      </c>
    </row>
    <row r="1243">
      <c r="A1243" s="2" t="inlineStr">
        <is>
          <t>IT00499_02</t>
        </is>
      </c>
      <c r="B1243" s="2" t="inlineStr">
        <is>
          <t>PED00499</t>
        </is>
      </c>
      <c r="C1243" s="2" t="inlineStr">
        <is>
          <t>P015</t>
        </is>
      </c>
      <c r="D1243" s="2" t="n">
        <v>3</v>
      </c>
      <c r="E1243" s="19" t="n">
        <v>0.05</v>
      </c>
    </row>
    <row r="1244">
      <c r="A1244" s="2" t="inlineStr">
        <is>
          <t>IT00499_03</t>
        </is>
      </c>
      <c r="B1244" s="2" t="inlineStr">
        <is>
          <t>PED00499</t>
        </is>
      </c>
      <c r="C1244" s="2" t="inlineStr">
        <is>
          <t>P025</t>
        </is>
      </c>
      <c r="D1244" s="2" t="n">
        <v>1</v>
      </c>
      <c r="E1244" s="19" t="n">
        <v>0</v>
      </c>
    </row>
    <row r="1245">
      <c r="A1245" s="2" t="inlineStr">
        <is>
          <t>IT00499_04</t>
        </is>
      </c>
      <c r="B1245" s="2" t="inlineStr">
        <is>
          <t>PED00499</t>
        </is>
      </c>
      <c r="C1245" s="2" t="inlineStr">
        <is>
          <t>P037</t>
        </is>
      </c>
      <c r="D1245" s="2" t="n">
        <v>2</v>
      </c>
      <c r="E1245" s="19" t="n">
        <v>0.02</v>
      </c>
    </row>
    <row r="1246">
      <c r="A1246" s="2" t="inlineStr">
        <is>
          <t>IT00500_01</t>
        </is>
      </c>
      <c r="B1246" s="2" t="inlineStr">
        <is>
          <t>PED00500</t>
        </is>
      </c>
      <c r="C1246" s="2" t="inlineStr">
        <is>
          <t>P052</t>
        </is>
      </c>
      <c r="D1246" s="2" t="n">
        <v>2</v>
      </c>
      <c r="E1246" s="19" t="n">
        <v>0.05</v>
      </c>
    </row>
    <row r="1247">
      <c r="A1247" s="2" t="inlineStr">
        <is>
          <t>IT00501_01</t>
        </is>
      </c>
      <c r="B1247" s="2" t="inlineStr">
        <is>
          <t>PED00501</t>
        </is>
      </c>
      <c r="C1247" s="2" t="inlineStr">
        <is>
          <t>P002</t>
        </is>
      </c>
      <c r="D1247" s="2" t="n">
        <v>1</v>
      </c>
      <c r="E1247" s="19" t="n">
        <v>0.05</v>
      </c>
    </row>
    <row r="1248">
      <c r="A1248" s="2" t="inlineStr">
        <is>
          <t>IT00501_02</t>
        </is>
      </c>
      <c r="B1248" s="2" t="inlineStr">
        <is>
          <t>PED00501</t>
        </is>
      </c>
      <c r="C1248" s="2" t="inlineStr">
        <is>
          <t>P031</t>
        </is>
      </c>
      <c r="D1248" s="2" t="n">
        <v>2</v>
      </c>
      <c r="E1248" s="19" t="n">
        <v>0</v>
      </c>
    </row>
    <row r="1249">
      <c r="A1249" s="2" t="inlineStr">
        <is>
          <t>IT00502_01</t>
        </is>
      </c>
      <c r="B1249" s="2" t="inlineStr">
        <is>
          <t>PED00502</t>
        </is>
      </c>
      <c r="C1249" s="2" t="inlineStr">
        <is>
          <t>P020</t>
        </is>
      </c>
      <c r="D1249" s="2" t="n">
        <v>1</v>
      </c>
      <c r="E1249" s="19" t="n">
        <v>0</v>
      </c>
    </row>
    <row r="1250">
      <c r="A1250" s="2" t="inlineStr">
        <is>
          <t>IT00502_02</t>
        </is>
      </c>
      <c r="B1250" s="2" t="inlineStr">
        <is>
          <t>PED00502</t>
        </is>
      </c>
      <c r="C1250" s="2" t="inlineStr">
        <is>
          <t>P066</t>
        </is>
      </c>
      <c r="D1250" s="2" t="n">
        <v>1</v>
      </c>
      <c r="E1250" s="19" t="n">
        <v>0</v>
      </c>
    </row>
    <row r="1251">
      <c r="A1251" s="2" t="inlineStr">
        <is>
          <t>IT00503_01</t>
        </is>
      </c>
      <c r="B1251" s="2" t="inlineStr">
        <is>
          <t>PED00503</t>
        </is>
      </c>
      <c r="C1251" s="2" t="inlineStr">
        <is>
          <t>P065</t>
        </is>
      </c>
      <c r="D1251" s="2" t="n">
        <v>10</v>
      </c>
      <c r="E1251" s="19" t="n">
        <v>0</v>
      </c>
    </row>
    <row r="1252">
      <c r="A1252" s="2" t="inlineStr">
        <is>
          <t>IT00503_02</t>
        </is>
      </c>
      <c r="B1252" s="2" t="inlineStr">
        <is>
          <t>PED00503</t>
        </is>
      </c>
      <c r="C1252" s="2" t="inlineStr">
        <is>
          <t>P024</t>
        </is>
      </c>
      <c r="D1252" s="2" t="n">
        <v>2</v>
      </c>
      <c r="E1252" s="19" t="n">
        <v>0</v>
      </c>
    </row>
    <row r="1253">
      <c r="A1253" s="2" t="inlineStr">
        <is>
          <t>IT00503_03</t>
        </is>
      </c>
      <c r="B1253" s="2" t="inlineStr">
        <is>
          <t>PED00503</t>
        </is>
      </c>
      <c r="C1253" s="2" t="inlineStr">
        <is>
          <t>P025</t>
        </is>
      </c>
      <c r="D1253" s="2" t="n">
        <v>1</v>
      </c>
      <c r="E1253" s="19" t="n">
        <v>0</v>
      </c>
    </row>
    <row r="1254">
      <c r="A1254" s="2" t="inlineStr">
        <is>
          <t>IT00504_01</t>
        </is>
      </c>
      <c r="B1254" s="2" t="inlineStr">
        <is>
          <t>PED00504</t>
        </is>
      </c>
      <c r="C1254" s="2" t="inlineStr">
        <is>
          <t>P068</t>
        </is>
      </c>
      <c r="D1254" s="2" t="n">
        <v>3</v>
      </c>
      <c r="E1254" s="19" t="n">
        <v>0.1</v>
      </c>
    </row>
    <row r="1255">
      <c r="A1255" s="2" t="inlineStr">
        <is>
          <t>IT00504_02</t>
        </is>
      </c>
      <c r="B1255" s="2" t="inlineStr">
        <is>
          <t>PED00504</t>
        </is>
      </c>
      <c r="C1255" s="2" t="inlineStr">
        <is>
          <t>P040</t>
        </is>
      </c>
      <c r="D1255" s="2" t="n">
        <v>1</v>
      </c>
      <c r="E1255" s="19" t="n">
        <v>0</v>
      </c>
    </row>
    <row r="1256">
      <c r="A1256" s="2" t="inlineStr">
        <is>
          <t>IT00505_01</t>
        </is>
      </c>
      <c r="B1256" s="2" t="inlineStr">
        <is>
          <t>PED00505</t>
        </is>
      </c>
      <c r="C1256" s="2" t="inlineStr">
        <is>
          <t>P045</t>
        </is>
      </c>
      <c r="D1256" s="2" t="n">
        <v>1</v>
      </c>
      <c r="E1256" s="19" t="n">
        <v>0.05</v>
      </c>
    </row>
    <row r="1257">
      <c r="A1257" s="2" t="inlineStr">
        <is>
          <t>IT00505_02</t>
        </is>
      </c>
      <c r="B1257" s="2" t="inlineStr">
        <is>
          <t>PED00505</t>
        </is>
      </c>
      <c r="C1257" s="2" t="inlineStr">
        <is>
          <t>P054</t>
        </is>
      </c>
      <c r="D1257" s="2" t="n">
        <v>1</v>
      </c>
      <c r="E1257" s="19" t="n">
        <v>0</v>
      </c>
    </row>
    <row r="1258">
      <c r="A1258" s="2" t="inlineStr">
        <is>
          <t>IT00506_01</t>
        </is>
      </c>
      <c r="B1258" s="2" t="inlineStr">
        <is>
          <t>PED00506</t>
        </is>
      </c>
      <c r="C1258" s="2" t="inlineStr">
        <is>
          <t>P033</t>
        </is>
      </c>
      <c r="D1258" s="2" t="n">
        <v>1</v>
      </c>
      <c r="E1258" s="19" t="n">
        <v>0</v>
      </c>
    </row>
    <row r="1259">
      <c r="A1259" s="2" t="inlineStr">
        <is>
          <t>IT00506_02</t>
        </is>
      </c>
      <c r="B1259" s="2" t="inlineStr">
        <is>
          <t>PED00506</t>
        </is>
      </c>
      <c r="C1259" s="2" t="inlineStr">
        <is>
          <t>P063</t>
        </is>
      </c>
      <c r="D1259" s="2" t="n">
        <v>1</v>
      </c>
      <c r="E1259" s="19" t="n">
        <v>0</v>
      </c>
    </row>
    <row r="1260">
      <c r="A1260" s="2" t="inlineStr">
        <is>
          <t>IT00507_01</t>
        </is>
      </c>
      <c r="B1260" s="2" t="inlineStr">
        <is>
          <t>PED00507</t>
        </is>
      </c>
      <c r="C1260" s="2" t="inlineStr">
        <is>
          <t>P048</t>
        </is>
      </c>
      <c r="D1260" s="2" t="n">
        <v>1</v>
      </c>
      <c r="E1260" s="19" t="n">
        <v>0</v>
      </c>
    </row>
    <row r="1261">
      <c r="A1261" s="2" t="inlineStr">
        <is>
          <t>IT00507_02</t>
        </is>
      </c>
      <c r="B1261" s="2" t="inlineStr">
        <is>
          <t>PED00507</t>
        </is>
      </c>
      <c r="C1261" s="2" t="inlineStr">
        <is>
          <t>P031</t>
        </is>
      </c>
      <c r="D1261" s="2" t="n">
        <v>4</v>
      </c>
      <c r="E1261" s="19" t="n">
        <v>0</v>
      </c>
    </row>
    <row r="1262">
      <c r="A1262" s="2" t="inlineStr">
        <is>
          <t>IT00507_03</t>
        </is>
      </c>
      <c r="B1262" s="2" t="inlineStr">
        <is>
          <t>PED00507</t>
        </is>
      </c>
      <c r="C1262" s="2" t="inlineStr">
        <is>
          <t>P036</t>
        </is>
      </c>
      <c r="D1262" s="2" t="n">
        <v>3</v>
      </c>
      <c r="E1262" s="19" t="n">
        <v>0</v>
      </c>
    </row>
    <row r="1263">
      <c r="A1263" s="2" t="inlineStr">
        <is>
          <t>IT00508_01</t>
        </is>
      </c>
      <c r="B1263" s="2" t="inlineStr">
        <is>
          <t>PED00508</t>
        </is>
      </c>
      <c r="C1263" s="2" t="inlineStr">
        <is>
          <t>P044</t>
        </is>
      </c>
      <c r="D1263" s="2" t="n">
        <v>3</v>
      </c>
      <c r="E1263" s="19" t="n">
        <v>0</v>
      </c>
    </row>
    <row r="1264">
      <c r="A1264" s="2" t="inlineStr">
        <is>
          <t>IT00508_02</t>
        </is>
      </c>
      <c r="B1264" s="2" t="inlineStr">
        <is>
          <t>PED00508</t>
        </is>
      </c>
      <c r="C1264" s="2" t="inlineStr">
        <is>
          <t>P039</t>
        </is>
      </c>
      <c r="D1264" s="2" t="n">
        <v>1</v>
      </c>
      <c r="E1264" s="19" t="n">
        <v>0</v>
      </c>
    </row>
    <row r="1265">
      <c r="A1265" s="2" t="inlineStr">
        <is>
          <t>IT00508_03</t>
        </is>
      </c>
      <c r="B1265" s="2" t="inlineStr">
        <is>
          <t>PED00508</t>
        </is>
      </c>
      <c r="C1265" s="2" t="inlineStr">
        <is>
          <t>P061</t>
        </is>
      </c>
      <c r="D1265" s="2" t="n">
        <v>1</v>
      </c>
      <c r="E1265" s="19" t="n">
        <v>0.05</v>
      </c>
    </row>
    <row r="1266">
      <c r="A1266" s="2" t="inlineStr">
        <is>
          <t>IT00508_04</t>
        </is>
      </c>
      <c r="B1266" s="2" t="inlineStr">
        <is>
          <t>PED00508</t>
        </is>
      </c>
      <c r="C1266" s="2" t="inlineStr">
        <is>
          <t>P026</t>
        </is>
      </c>
      <c r="D1266" s="2" t="n">
        <v>4</v>
      </c>
      <c r="E1266" s="19" t="n">
        <v>0.05</v>
      </c>
    </row>
    <row r="1267">
      <c r="A1267" s="2" t="inlineStr">
        <is>
          <t>IT00508_05</t>
        </is>
      </c>
      <c r="B1267" s="2" t="inlineStr">
        <is>
          <t>PED00508</t>
        </is>
      </c>
      <c r="C1267" s="2" t="inlineStr">
        <is>
          <t>P069</t>
        </is>
      </c>
      <c r="D1267" s="2" t="n">
        <v>5</v>
      </c>
      <c r="E1267" s="19" t="n">
        <v>0.05</v>
      </c>
    </row>
    <row r="1268">
      <c r="A1268" s="2" t="inlineStr">
        <is>
          <t>IT00509_01</t>
        </is>
      </c>
      <c r="B1268" s="2" t="inlineStr">
        <is>
          <t>PED00509</t>
        </is>
      </c>
      <c r="C1268" s="2" t="inlineStr">
        <is>
          <t>P065</t>
        </is>
      </c>
      <c r="D1268" s="2" t="n">
        <v>1</v>
      </c>
      <c r="E1268" s="19" t="n">
        <v>0.1</v>
      </c>
    </row>
    <row r="1269">
      <c r="A1269" s="2" t="inlineStr">
        <is>
          <t>IT00509_02</t>
        </is>
      </c>
      <c r="B1269" s="2" t="inlineStr">
        <is>
          <t>PED00509</t>
        </is>
      </c>
      <c r="C1269" s="2" t="inlineStr">
        <is>
          <t>P003</t>
        </is>
      </c>
      <c r="D1269" s="2" t="n">
        <v>1</v>
      </c>
      <c r="E1269" s="19" t="n">
        <v>0.1</v>
      </c>
    </row>
    <row r="1270">
      <c r="A1270" s="2" t="inlineStr">
        <is>
          <t>IT00509_03</t>
        </is>
      </c>
      <c r="B1270" s="2" t="inlineStr">
        <is>
          <t>PED00509</t>
        </is>
      </c>
      <c r="C1270" s="2" t="inlineStr">
        <is>
          <t>P022</t>
        </is>
      </c>
      <c r="D1270" s="2" t="n">
        <v>1</v>
      </c>
      <c r="E1270" s="19" t="n">
        <v>0.05</v>
      </c>
    </row>
    <row r="1271">
      <c r="A1271" s="2" t="inlineStr">
        <is>
          <t>IT00509_04</t>
        </is>
      </c>
      <c r="B1271" s="2" t="inlineStr">
        <is>
          <t>PED00509</t>
        </is>
      </c>
      <c r="C1271" s="2" t="inlineStr">
        <is>
          <t>P036</t>
        </is>
      </c>
      <c r="D1271" s="2" t="n">
        <v>2</v>
      </c>
      <c r="E1271" s="19" t="n">
        <v>0</v>
      </c>
    </row>
    <row r="1272">
      <c r="A1272" s="2" t="inlineStr">
        <is>
          <t>IT00509_05</t>
        </is>
      </c>
      <c r="B1272" s="2" t="inlineStr">
        <is>
          <t>PED00509</t>
        </is>
      </c>
      <c r="C1272" s="2" t="inlineStr">
        <is>
          <t>P017</t>
        </is>
      </c>
      <c r="D1272" s="2" t="n">
        <v>2</v>
      </c>
      <c r="E1272" s="19" t="n">
        <v>0</v>
      </c>
    </row>
    <row r="1273">
      <c r="A1273" s="2" t="inlineStr">
        <is>
          <t>IT00510_01</t>
        </is>
      </c>
      <c r="B1273" s="2" t="inlineStr">
        <is>
          <t>PED00510</t>
        </is>
      </c>
      <c r="C1273" s="2" t="inlineStr">
        <is>
          <t>P001</t>
        </is>
      </c>
      <c r="D1273" s="2" t="n">
        <v>1</v>
      </c>
      <c r="E1273" s="19" t="n">
        <v>0</v>
      </c>
    </row>
    <row r="1274">
      <c r="A1274" s="2" t="inlineStr">
        <is>
          <t>IT00511_01</t>
        </is>
      </c>
      <c r="B1274" s="2" t="inlineStr">
        <is>
          <t>PED00511</t>
        </is>
      </c>
      <c r="C1274" s="2" t="inlineStr">
        <is>
          <t>P038</t>
        </is>
      </c>
      <c r="D1274" s="2" t="n">
        <v>1</v>
      </c>
      <c r="E1274" s="19" t="n">
        <v>0</v>
      </c>
    </row>
    <row r="1275">
      <c r="A1275" s="2" t="inlineStr">
        <is>
          <t>IT00511_02</t>
        </is>
      </c>
      <c r="B1275" s="2" t="inlineStr">
        <is>
          <t>PED00511</t>
        </is>
      </c>
      <c r="C1275" s="2" t="inlineStr">
        <is>
          <t>P035</t>
        </is>
      </c>
      <c r="D1275" s="2" t="n">
        <v>1</v>
      </c>
      <c r="E1275" s="19" t="n">
        <v>0</v>
      </c>
    </row>
    <row r="1276">
      <c r="A1276" s="2" t="inlineStr">
        <is>
          <t>IT00511_03</t>
        </is>
      </c>
      <c r="B1276" s="2" t="inlineStr">
        <is>
          <t>PED00511</t>
        </is>
      </c>
      <c r="C1276" s="2" t="inlineStr">
        <is>
          <t>P016</t>
        </is>
      </c>
      <c r="D1276" s="2" t="n">
        <v>5</v>
      </c>
      <c r="E1276" s="19" t="n">
        <v>0</v>
      </c>
    </row>
    <row r="1277">
      <c r="A1277" s="2" t="inlineStr">
        <is>
          <t>IT00511_04</t>
        </is>
      </c>
      <c r="B1277" s="2" t="inlineStr">
        <is>
          <t>PED00511</t>
        </is>
      </c>
      <c r="C1277" s="2" t="inlineStr">
        <is>
          <t>P022</t>
        </is>
      </c>
      <c r="D1277" s="2" t="n">
        <v>1</v>
      </c>
      <c r="E1277" s="19" t="n">
        <v>0.05</v>
      </c>
    </row>
    <row r="1278">
      <c r="A1278" s="2" t="inlineStr">
        <is>
          <t>IT00512_01</t>
        </is>
      </c>
      <c r="B1278" s="2" t="inlineStr">
        <is>
          <t>PED00512</t>
        </is>
      </c>
      <c r="C1278" s="2" t="inlineStr">
        <is>
          <t>P048</t>
        </is>
      </c>
      <c r="D1278" s="2" t="n">
        <v>5</v>
      </c>
      <c r="E1278" s="19" t="n">
        <v>0.05</v>
      </c>
    </row>
    <row r="1279">
      <c r="A1279" s="2" t="inlineStr">
        <is>
          <t>IT00512_02</t>
        </is>
      </c>
      <c r="B1279" s="2" t="inlineStr">
        <is>
          <t>PED00512</t>
        </is>
      </c>
      <c r="C1279" s="2" t="inlineStr">
        <is>
          <t>P042</t>
        </is>
      </c>
      <c r="D1279" s="2" t="n">
        <v>1</v>
      </c>
      <c r="E1279" s="19" t="n">
        <v>0</v>
      </c>
    </row>
    <row r="1280">
      <c r="A1280" s="2" t="inlineStr">
        <is>
          <t>IT00512_03</t>
        </is>
      </c>
      <c r="B1280" s="2" t="inlineStr">
        <is>
          <t>PED00512</t>
        </is>
      </c>
      <c r="C1280" s="2" t="inlineStr">
        <is>
          <t>P011</t>
        </is>
      </c>
      <c r="D1280" s="2" t="n">
        <v>4</v>
      </c>
      <c r="E1280" s="19" t="n">
        <v>0</v>
      </c>
    </row>
    <row r="1281">
      <c r="A1281" s="2" t="inlineStr">
        <is>
          <t>IT00513_01</t>
        </is>
      </c>
      <c r="B1281" s="2" t="inlineStr">
        <is>
          <t>PED00513</t>
        </is>
      </c>
      <c r="C1281" s="2" t="inlineStr">
        <is>
          <t>P003</t>
        </is>
      </c>
      <c r="D1281" s="2" t="n">
        <v>2</v>
      </c>
      <c r="E1281" s="19" t="n">
        <v>0.1</v>
      </c>
    </row>
    <row r="1282">
      <c r="A1282" s="2" t="inlineStr">
        <is>
          <t>IT00514_01</t>
        </is>
      </c>
      <c r="B1282" s="2" t="inlineStr">
        <is>
          <t>PED00514</t>
        </is>
      </c>
      <c r="C1282" s="2" t="inlineStr">
        <is>
          <t>P027</t>
        </is>
      </c>
      <c r="D1282" s="2" t="n">
        <v>1</v>
      </c>
      <c r="E1282" s="19" t="n">
        <v>0</v>
      </c>
    </row>
    <row r="1283">
      <c r="A1283" s="2" t="inlineStr">
        <is>
          <t>IT00514_02</t>
        </is>
      </c>
      <c r="B1283" s="2" t="inlineStr">
        <is>
          <t>PED00514</t>
        </is>
      </c>
      <c r="C1283" s="2" t="inlineStr">
        <is>
          <t>P057</t>
        </is>
      </c>
      <c r="D1283" s="2" t="n">
        <v>2</v>
      </c>
      <c r="E1283" s="19" t="n">
        <v>0.05</v>
      </c>
    </row>
    <row r="1284">
      <c r="A1284" s="2" t="inlineStr">
        <is>
          <t>IT00514_03</t>
        </is>
      </c>
      <c r="B1284" s="2" t="inlineStr">
        <is>
          <t>PED00514</t>
        </is>
      </c>
      <c r="C1284" s="2" t="inlineStr">
        <is>
          <t>P029</t>
        </is>
      </c>
      <c r="D1284" s="2" t="n">
        <v>1</v>
      </c>
      <c r="E1284" s="19" t="n">
        <v>0</v>
      </c>
    </row>
    <row r="1285">
      <c r="A1285" s="2" t="inlineStr">
        <is>
          <t>IT00515_01</t>
        </is>
      </c>
      <c r="B1285" s="2" t="inlineStr">
        <is>
          <t>PED00515</t>
        </is>
      </c>
      <c r="C1285" s="2" t="inlineStr">
        <is>
          <t>P023</t>
        </is>
      </c>
      <c r="D1285" s="2" t="n">
        <v>1</v>
      </c>
      <c r="E1285" s="19" t="n">
        <v>0</v>
      </c>
    </row>
    <row r="1286">
      <c r="A1286" s="2" t="inlineStr">
        <is>
          <t>IT00516_01</t>
        </is>
      </c>
      <c r="B1286" s="2" t="inlineStr">
        <is>
          <t>PED00516</t>
        </is>
      </c>
      <c r="C1286" s="2" t="inlineStr">
        <is>
          <t>P025</t>
        </is>
      </c>
      <c r="D1286" s="2" t="n">
        <v>1</v>
      </c>
      <c r="E1286" s="19" t="n">
        <v>0</v>
      </c>
    </row>
    <row r="1287">
      <c r="A1287" s="2" t="inlineStr">
        <is>
          <t>IT00516_02</t>
        </is>
      </c>
      <c r="B1287" s="2" t="inlineStr">
        <is>
          <t>PED00516</t>
        </is>
      </c>
      <c r="C1287" s="2" t="inlineStr">
        <is>
          <t>P009</t>
        </is>
      </c>
      <c r="D1287" s="2" t="n">
        <v>2</v>
      </c>
      <c r="E1287" s="19" t="n">
        <v>0</v>
      </c>
    </row>
    <row r="1288">
      <c r="A1288" s="2" t="inlineStr">
        <is>
          <t>IT00517_01</t>
        </is>
      </c>
      <c r="B1288" s="2" t="inlineStr">
        <is>
          <t>PED00517</t>
        </is>
      </c>
      <c r="C1288" s="2" t="inlineStr">
        <is>
          <t>P003</t>
        </is>
      </c>
      <c r="D1288" s="2" t="n">
        <v>3</v>
      </c>
      <c r="E1288" s="19" t="n">
        <v>0.02</v>
      </c>
    </row>
    <row r="1289">
      <c r="A1289" s="2" t="inlineStr">
        <is>
          <t>IT00517_02</t>
        </is>
      </c>
      <c r="B1289" s="2" t="inlineStr">
        <is>
          <t>PED00517</t>
        </is>
      </c>
      <c r="C1289" s="2" t="inlineStr">
        <is>
          <t>P015</t>
        </is>
      </c>
      <c r="D1289" s="2" t="n">
        <v>2</v>
      </c>
      <c r="E1289" s="19" t="n">
        <v>0</v>
      </c>
    </row>
    <row r="1290">
      <c r="A1290" s="2" t="inlineStr">
        <is>
          <t>IT00518_01</t>
        </is>
      </c>
      <c r="B1290" s="2" t="inlineStr">
        <is>
          <t>PED00518</t>
        </is>
      </c>
      <c r="C1290" s="2" t="inlineStr">
        <is>
          <t>P014</t>
        </is>
      </c>
      <c r="D1290" s="2" t="n">
        <v>1</v>
      </c>
      <c r="E1290" s="19" t="n">
        <v>0.02</v>
      </c>
    </row>
    <row r="1291">
      <c r="A1291" s="2" t="inlineStr">
        <is>
          <t>IT00518_02</t>
        </is>
      </c>
      <c r="B1291" s="2" t="inlineStr">
        <is>
          <t>PED00518</t>
        </is>
      </c>
      <c r="C1291" s="2" t="inlineStr">
        <is>
          <t>P070</t>
        </is>
      </c>
      <c r="D1291" s="2" t="n">
        <v>4</v>
      </c>
      <c r="E1291" s="19" t="n">
        <v>0.05</v>
      </c>
    </row>
    <row r="1292">
      <c r="A1292" s="2" t="inlineStr">
        <is>
          <t>IT00518_03</t>
        </is>
      </c>
      <c r="B1292" s="2" t="inlineStr">
        <is>
          <t>PED00518</t>
        </is>
      </c>
      <c r="C1292" s="2" t="inlineStr">
        <is>
          <t>P044</t>
        </is>
      </c>
      <c r="D1292" s="2" t="n">
        <v>1</v>
      </c>
      <c r="E1292" s="19" t="n">
        <v>0</v>
      </c>
    </row>
    <row r="1293">
      <c r="A1293" s="2" t="inlineStr">
        <is>
          <t>IT00518_04</t>
        </is>
      </c>
      <c r="B1293" s="2" t="inlineStr">
        <is>
          <t>PED00518</t>
        </is>
      </c>
      <c r="C1293" s="2" t="inlineStr">
        <is>
          <t>P011</t>
        </is>
      </c>
      <c r="D1293" s="2" t="n">
        <v>1</v>
      </c>
      <c r="E1293" s="19" t="n">
        <v>0</v>
      </c>
    </row>
    <row r="1294">
      <c r="A1294" s="2" t="inlineStr">
        <is>
          <t>IT00518_05</t>
        </is>
      </c>
      <c r="B1294" s="2" t="inlineStr">
        <is>
          <t>PED00518</t>
        </is>
      </c>
      <c r="C1294" s="2" t="inlineStr">
        <is>
          <t>P026</t>
        </is>
      </c>
      <c r="D1294" s="2" t="n">
        <v>1</v>
      </c>
      <c r="E1294" s="19" t="n">
        <v>0</v>
      </c>
    </row>
    <row r="1295">
      <c r="A1295" s="2" t="inlineStr">
        <is>
          <t>IT00519_01</t>
        </is>
      </c>
      <c r="B1295" s="2" t="inlineStr">
        <is>
          <t>PED00519</t>
        </is>
      </c>
      <c r="C1295" s="2" t="inlineStr">
        <is>
          <t>P001</t>
        </is>
      </c>
      <c r="D1295" s="2" t="n">
        <v>1</v>
      </c>
      <c r="E1295" s="19" t="n">
        <v>0</v>
      </c>
    </row>
    <row r="1296">
      <c r="A1296" s="2" t="inlineStr">
        <is>
          <t>IT00519_02</t>
        </is>
      </c>
      <c r="B1296" s="2" t="inlineStr">
        <is>
          <t>PED00519</t>
        </is>
      </c>
      <c r="C1296" s="2" t="inlineStr">
        <is>
          <t>P029</t>
        </is>
      </c>
      <c r="D1296" s="2" t="n">
        <v>1</v>
      </c>
      <c r="E1296" s="19" t="n">
        <v>0.02</v>
      </c>
    </row>
    <row r="1297">
      <c r="A1297" s="2" t="inlineStr">
        <is>
          <t>IT00520_01</t>
        </is>
      </c>
      <c r="B1297" s="2" t="inlineStr">
        <is>
          <t>PED00520</t>
        </is>
      </c>
      <c r="C1297" s="2" t="inlineStr">
        <is>
          <t>P037</t>
        </is>
      </c>
      <c r="D1297" s="2" t="n">
        <v>1</v>
      </c>
      <c r="E1297" s="19" t="n">
        <v>0.05</v>
      </c>
    </row>
    <row r="1298">
      <c r="A1298" s="2" t="inlineStr">
        <is>
          <t>IT00520_02</t>
        </is>
      </c>
      <c r="B1298" s="2" t="inlineStr">
        <is>
          <t>PED00520</t>
        </is>
      </c>
      <c r="C1298" s="2" t="inlineStr">
        <is>
          <t>P046</t>
        </is>
      </c>
      <c r="D1298" s="2" t="n">
        <v>1</v>
      </c>
      <c r="E1298" s="19" t="n">
        <v>0</v>
      </c>
    </row>
    <row r="1299">
      <c r="A1299" s="2" t="inlineStr">
        <is>
          <t>IT00520_03</t>
        </is>
      </c>
      <c r="B1299" s="2" t="inlineStr">
        <is>
          <t>PED00520</t>
        </is>
      </c>
      <c r="C1299" s="2" t="inlineStr">
        <is>
          <t>P010</t>
        </is>
      </c>
      <c r="D1299" s="2" t="n">
        <v>1</v>
      </c>
      <c r="E1299" s="19" t="n">
        <v>0</v>
      </c>
    </row>
    <row r="1300">
      <c r="A1300" s="2" t="inlineStr">
        <is>
          <t>IT00520_04</t>
        </is>
      </c>
      <c r="B1300" s="2" t="inlineStr">
        <is>
          <t>PED00520</t>
        </is>
      </c>
      <c r="C1300" s="2" t="inlineStr">
        <is>
          <t>P043</t>
        </is>
      </c>
      <c r="D1300" s="2" t="n">
        <v>1</v>
      </c>
      <c r="E1300" s="19" t="n">
        <v>0</v>
      </c>
    </row>
    <row r="1301">
      <c r="A1301" s="2" t="inlineStr">
        <is>
          <t>IT00520_05</t>
        </is>
      </c>
      <c r="B1301" s="2" t="inlineStr">
        <is>
          <t>PED00520</t>
        </is>
      </c>
      <c r="C1301" s="2" t="inlineStr">
        <is>
          <t>P016</t>
        </is>
      </c>
      <c r="D1301" s="2" t="n">
        <v>2</v>
      </c>
      <c r="E1301" s="19" t="n">
        <v>0.05</v>
      </c>
    </row>
    <row r="1302">
      <c r="A1302" s="2" t="inlineStr">
        <is>
          <t>IT00521_01</t>
        </is>
      </c>
      <c r="B1302" s="2" t="inlineStr">
        <is>
          <t>PED00521</t>
        </is>
      </c>
      <c r="C1302" s="2" t="inlineStr">
        <is>
          <t>P034</t>
        </is>
      </c>
      <c r="D1302" s="2" t="n">
        <v>4</v>
      </c>
      <c r="E1302" s="19" t="n">
        <v>0.1</v>
      </c>
    </row>
    <row r="1303">
      <c r="A1303" s="2" t="inlineStr">
        <is>
          <t>IT00521_02</t>
        </is>
      </c>
      <c r="B1303" s="2" t="inlineStr">
        <is>
          <t>PED00521</t>
        </is>
      </c>
      <c r="C1303" s="2" t="inlineStr">
        <is>
          <t>P010</t>
        </is>
      </c>
      <c r="D1303" s="2" t="n">
        <v>3</v>
      </c>
      <c r="E1303" s="19" t="n">
        <v>0</v>
      </c>
    </row>
    <row r="1304">
      <c r="A1304" s="2" t="inlineStr">
        <is>
          <t>IT00521_03</t>
        </is>
      </c>
      <c r="B1304" s="2" t="inlineStr">
        <is>
          <t>PED00521</t>
        </is>
      </c>
      <c r="C1304" s="2" t="inlineStr">
        <is>
          <t>P001</t>
        </is>
      </c>
      <c r="D1304" s="2" t="n">
        <v>1</v>
      </c>
      <c r="E1304" s="19" t="n">
        <v>0</v>
      </c>
    </row>
    <row r="1305">
      <c r="A1305" s="2" t="inlineStr">
        <is>
          <t>IT00522_01</t>
        </is>
      </c>
      <c r="B1305" s="2" t="inlineStr">
        <is>
          <t>PED00522</t>
        </is>
      </c>
      <c r="C1305" s="2" t="inlineStr">
        <is>
          <t>P017</t>
        </is>
      </c>
      <c r="D1305" s="2" t="n">
        <v>1</v>
      </c>
      <c r="E1305" s="19" t="n">
        <v>0</v>
      </c>
    </row>
    <row r="1306">
      <c r="A1306" s="2" t="inlineStr">
        <is>
          <t>IT00523_01</t>
        </is>
      </c>
      <c r="B1306" s="2" t="inlineStr">
        <is>
          <t>PED00523</t>
        </is>
      </c>
      <c r="C1306" s="2" t="inlineStr">
        <is>
          <t>P018</t>
        </is>
      </c>
      <c r="D1306" s="2" t="n">
        <v>1</v>
      </c>
      <c r="E1306" s="19" t="n">
        <v>0</v>
      </c>
    </row>
    <row r="1307">
      <c r="A1307" s="2" t="inlineStr">
        <is>
          <t>IT00523_02</t>
        </is>
      </c>
      <c r="B1307" s="2" t="inlineStr">
        <is>
          <t>PED00523</t>
        </is>
      </c>
      <c r="C1307" s="2" t="inlineStr">
        <is>
          <t>P032</t>
        </is>
      </c>
      <c r="D1307" s="2" t="n">
        <v>2</v>
      </c>
      <c r="E1307" s="19" t="n">
        <v>0</v>
      </c>
    </row>
    <row r="1308">
      <c r="A1308" s="2" t="inlineStr">
        <is>
          <t>IT00523_03</t>
        </is>
      </c>
      <c r="B1308" s="2" t="inlineStr">
        <is>
          <t>PED00523</t>
        </is>
      </c>
      <c r="C1308" s="2" t="inlineStr">
        <is>
          <t>P050</t>
        </is>
      </c>
      <c r="D1308" s="2" t="n">
        <v>3</v>
      </c>
      <c r="E1308" s="19" t="n">
        <v>0</v>
      </c>
    </row>
    <row r="1309">
      <c r="A1309" s="2" t="inlineStr">
        <is>
          <t>IT00524_01</t>
        </is>
      </c>
      <c r="B1309" s="2" t="inlineStr">
        <is>
          <t>PED00524</t>
        </is>
      </c>
      <c r="C1309" s="2" t="inlineStr">
        <is>
          <t>P003</t>
        </is>
      </c>
      <c r="D1309" s="2" t="n">
        <v>1</v>
      </c>
      <c r="E1309" s="19" t="n">
        <v>0</v>
      </c>
    </row>
    <row r="1310">
      <c r="A1310" s="2" t="inlineStr">
        <is>
          <t>IT00524_02</t>
        </is>
      </c>
      <c r="B1310" s="2" t="inlineStr">
        <is>
          <t>PED00524</t>
        </is>
      </c>
      <c r="C1310" s="2" t="inlineStr">
        <is>
          <t>P047</t>
        </is>
      </c>
      <c r="D1310" s="2" t="n">
        <v>3</v>
      </c>
      <c r="E1310" s="19" t="n">
        <v>0.05</v>
      </c>
    </row>
    <row r="1311">
      <c r="A1311" s="2" t="inlineStr">
        <is>
          <t>IT00524_03</t>
        </is>
      </c>
      <c r="B1311" s="2" t="inlineStr">
        <is>
          <t>PED00524</t>
        </is>
      </c>
      <c r="C1311" s="2" t="inlineStr">
        <is>
          <t>P061</t>
        </is>
      </c>
      <c r="D1311" s="2" t="n">
        <v>3</v>
      </c>
      <c r="E1311" s="19" t="n">
        <v>0</v>
      </c>
    </row>
    <row r="1312">
      <c r="A1312" s="2" t="inlineStr">
        <is>
          <t>IT00524_04</t>
        </is>
      </c>
      <c r="B1312" s="2" t="inlineStr">
        <is>
          <t>PED00524</t>
        </is>
      </c>
      <c r="C1312" s="2" t="inlineStr">
        <is>
          <t>P018</t>
        </is>
      </c>
      <c r="D1312" s="2" t="n">
        <v>1</v>
      </c>
      <c r="E1312" s="19" t="n">
        <v>0.05</v>
      </c>
    </row>
    <row r="1313">
      <c r="A1313" s="2" t="inlineStr">
        <is>
          <t>IT00524_05</t>
        </is>
      </c>
      <c r="B1313" s="2" t="inlineStr">
        <is>
          <t>PED00524</t>
        </is>
      </c>
      <c r="C1313" s="2" t="inlineStr">
        <is>
          <t>P015</t>
        </is>
      </c>
      <c r="D1313" s="2" t="n">
        <v>5</v>
      </c>
      <c r="E1313" s="19" t="n">
        <v>0.05</v>
      </c>
    </row>
    <row r="1314">
      <c r="A1314" s="2" t="inlineStr">
        <is>
          <t>IT00525_01</t>
        </is>
      </c>
      <c r="B1314" s="2" t="inlineStr">
        <is>
          <t>PED00525</t>
        </is>
      </c>
      <c r="C1314" s="2" t="inlineStr">
        <is>
          <t>P049</t>
        </is>
      </c>
      <c r="D1314" s="2" t="n">
        <v>1</v>
      </c>
      <c r="E1314" s="19" t="n">
        <v>0.02</v>
      </c>
    </row>
    <row r="1315">
      <c r="A1315" s="2" t="inlineStr">
        <is>
          <t>IT00525_02</t>
        </is>
      </c>
      <c r="B1315" s="2" t="inlineStr">
        <is>
          <t>PED00525</t>
        </is>
      </c>
      <c r="C1315" s="2" t="inlineStr">
        <is>
          <t>P004</t>
        </is>
      </c>
      <c r="D1315" s="2" t="n">
        <v>2</v>
      </c>
      <c r="E1315" s="19" t="n">
        <v>0</v>
      </c>
    </row>
    <row r="1316">
      <c r="A1316" s="2" t="inlineStr">
        <is>
          <t>IT00525_03</t>
        </is>
      </c>
      <c r="B1316" s="2" t="inlineStr">
        <is>
          <t>PED00525</t>
        </is>
      </c>
      <c r="C1316" s="2" t="inlineStr">
        <is>
          <t>P055</t>
        </is>
      </c>
      <c r="D1316" s="2" t="n">
        <v>3</v>
      </c>
      <c r="E1316" s="19" t="n">
        <v>0.05</v>
      </c>
    </row>
    <row r="1317">
      <c r="A1317" s="2" t="inlineStr">
        <is>
          <t>IT00526_01</t>
        </is>
      </c>
      <c r="B1317" s="2" t="inlineStr">
        <is>
          <t>PED00526</t>
        </is>
      </c>
      <c r="C1317" s="2" t="inlineStr">
        <is>
          <t>P054</t>
        </is>
      </c>
      <c r="D1317" s="2" t="n">
        <v>3</v>
      </c>
      <c r="E1317" s="19" t="n">
        <v>0.02</v>
      </c>
    </row>
    <row r="1318">
      <c r="A1318" s="2" t="inlineStr">
        <is>
          <t>IT00526_02</t>
        </is>
      </c>
      <c r="B1318" s="2" t="inlineStr">
        <is>
          <t>PED00526</t>
        </is>
      </c>
      <c r="C1318" s="2" t="inlineStr">
        <is>
          <t>P020</t>
        </is>
      </c>
      <c r="D1318" s="2" t="n">
        <v>2</v>
      </c>
      <c r="E1318" s="19" t="n">
        <v>0</v>
      </c>
    </row>
    <row r="1319">
      <c r="A1319" s="2" t="inlineStr">
        <is>
          <t>IT00526_03</t>
        </is>
      </c>
      <c r="B1319" s="2" t="inlineStr">
        <is>
          <t>PED00526</t>
        </is>
      </c>
      <c r="C1319" s="2" t="inlineStr">
        <is>
          <t>P024</t>
        </is>
      </c>
      <c r="D1319" s="2" t="n">
        <v>1</v>
      </c>
      <c r="E1319" s="19" t="n">
        <v>0</v>
      </c>
    </row>
    <row r="1320">
      <c r="A1320" s="2" t="inlineStr">
        <is>
          <t>IT00526_04</t>
        </is>
      </c>
      <c r="B1320" s="2" t="inlineStr">
        <is>
          <t>PED00526</t>
        </is>
      </c>
      <c r="C1320" s="2" t="inlineStr">
        <is>
          <t>P061</t>
        </is>
      </c>
      <c r="D1320" s="2" t="n">
        <v>3</v>
      </c>
      <c r="E1320" s="19" t="n">
        <v>0.02</v>
      </c>
    </row>
    <row r="1321">
      <c r="A1321" s="2" t="inlineStr">
        <is>
          <t>IT00527_01</t>
        </is>
      </c>
      <c r="B1321" s="2" t="inlineStr">
        <is>
          <t>PED00527</t>
        </is>
      </c>
      <c r="C1321" s="2" t="inlineStr">
        <is>
          <t>P021</t>
        </is>
      </c>
      <c r="D1321" s="2" t="n">
        <v>1</v>
      </c>
      <c r="E1321" s="19" t="n">
        <v>0.05</v>
      </c>
    </row>
    <row r="1322">
      <c r="A1322" s="2" t="inlineStr">
        <is>
          <t>IT00528_01</t>
        </is>
      </c>
      <c r="B1322" s="2" t="inlineStr">
        <is>
          <t>PED00528</t>
        </is>
      </c>
      <c r="C1322" s="2" t="inlineStr">
        <is>
          <t>P021</t>
        </is>
      </c>
      <c r="D1322" s="2" t="n">
        <v>5</v>
      </c>
      <c r="E1322" s="19" t="n">
        <v>0</v>
      </c>
    </row>
    <row r="1323">
      <c r="A1323" s="2" t="inlineStr">
        <is>
          <t>IT00528_02</t>
        </is>
      </c>
      <c r="B1323" s="2" t="inlineStr">
        <is>
          <t>PED00528</t>
        </is>
      </c>
      <c r="C1323" s="2" t="inlineStr">
        <is>
          <t>P035</t>
        </is>
      </c>
      <c r="D1323" s="2" t="n">
        <v>5</v>
      </c>
      <c r="E1323" s="19" t="n">
        <v>0</v>
      </c>
    </row>
    <row r="1324">
      <c r="A1324" s="2" t="inlineStr">
        <is>
          <t>IT00529_01</t>
        </is>
      </c>
      <c r="B1324" s="2" t="inlineStr">
        <is>
          <t>PED00529</t>
        </is>
      </c>
      <c r="C1324" s="2" t="inlineStr">
        <is>
          <t>P010</t>
        </is>
      </c>
      <c r="D1324" s="2" t="n">
        <v>1</v>
      </c>
      <c r="E1324" s="19" t="n">
        <v>0</v>
      </c>
    </row>
    <row r="1325">
      <c r="A1325" s="2" t="inlineStr">
        <is>
          <t>IT00529_02</t>
        </is>
      </c>
      <c r="B1325" s="2" t="inlineStr">
        <is>
          <t>PED00529</t>
        </is>
      </c>
      <c r="C1325" s="2" t="inlineStr">
        <is>
          <t>P060</t>
        </is>
      </c>
      <c r="D1325" s="2" t="n">
        <v>3</v>
      </c>
      <c r="E1325" s="19" t="n">
        <v>0</v>
      </c>
    </row>
    <row r="1326">
      <c r="A1326" s="2" t="inlineStr">
        <is>
          <t>IT00529_03</t>
        </is>
      </c>
      <c r="B1326" s="2" t="inlineStr">
        <is>
          <t>PED00529</t>
        </is>
      </c>
      <c r="C1326" s="2" t="inlineStr">
        <is>
          <t>P062</t>
        </is>
      </c>
      <c r="D1326" s="2" t="n">
        <v>3</v>
      </c>
      <c r="E1326" s="19" t="n">
        <v>0</v>
      </c>
    </row>
    <row r="1327">
      <c r="A1327" s="2" t="inlineStr">
        <is>
          <t>IT00530_01</t>
        </is>
      </c>
      <c r="B1327" s="2" t="inlineStr">
        <is>
          <t>PED00530</t>
        </is>
      </c>
      <c r="C1327" s="2" t="inlineStr">
        <is>
          <t>P031</t>
        </is>
      </c>
      <c r="D1327" s="2" t="n">
        <v>1</v>
      </c>
      <c r="E1327" s="19" t="n">
        <v>0</v>
      </c>
    </row>
    <row r="1328">
      <c r="A1328" s="2" t="inlineStr">
        <is>
          <t>IT00530_02</t>
        </is>
      </c>
      <c r="B1328" s="2" t="inlineStr">
        <is>
          <t>PED00530</t>
        </is>
      </c>
      <c r="C1328" s="2" t="inlineStr">
        <is>
          <t>P037</t>
        </is>
      </c>
      <c r="D1328" s="2" t="n">
        <v>1</v>
      </c>
      <c r="E1328" s="19" t="n">
        <v>0</v>
      </c>
    </row>
    <row r="1329">
      <c r="A1329" s="2" t="inlineStr">
        <is>
          <t>IT00531_01</t>
        </is>
      </c>
      <c r="B1329" s="2" t="inlineStr">
        <is>
          <t>PED00531</t>
        </is>
      </c>
      <c r="C1329" s="2" t="inlineStr">
        <is>
          <t>P006</t>
        </is>
      </c>
      <c r="D1329" s="2" t="n">
        <v>5</v>
      </c>
      <c r="E1329" s="19" t="n">
        <v>0</v>
      </c>
    </row>
    <row r="1330">
      <c r="A1330" s="2" t="inlineStr">
        <is>
          <t>IT00531_02</t>
        </is>
      </c>
      <c r="B1330" s="2" t="inlineStr">
        <is>
          <t>PED00531</t>
        </is>
      </c>
      <c r="C1330" s="2" t="inlineStr">
        <is>
          <t>P062</t>
        </is>
      </c>
      <c r="D1330" s="2" t="n">
        <v>1</v>
      </c>
      <c r="E1330" s="19" t="n">
        <v>0</v>
      </c>
    </row>
    <row r="1331">
      <c r="A1331" s="2" t="inlineStr">
        <is>
          <t>IT00531_03</t>
        </is>
      </c>
      <c r="B1331" s="2" t="inlineStr">
        <is>
          <t>PED00531</t>
        </is>
      </c>
      <c r="C1331" s="2" t="inlineStr">
        <is>
          <t>P007</t>
        </is>
      </c>
      <c r="D1331" s="2" t="n">
        <v>1</v>
      </c>
      <c r="E1331" s="19" t="n">
        <v>0</v>
      </c>
    </row>
    <row r="1332">
      <c r="A1332" s="2" t="inlineStr">
        <is>
          <t>IT00531_04</t>
        </is>
      </c>
      <c r="B1332" s="2" t="inlineStr">
        <is>
          <t>PED00531</t>
        </is>
      </c>
      <c r="C1332" s="2" t="inlineStr">
        <is>
          <t>P041</t>
        </is>
      </c>
      <c r="D1332" s="2" t="n">
        <v>3</v>
      </c>
      <c r="E1332" s="19" t="n">
        <v>0.02</v>
      </c>
    </row>
    <row r="1333">
      <c r="A1333" s="2" t="inlineStr">
        <is>
          <t>IT00531_05</t>
        </is>
      </c>
      <c r="B1333" s="2" t="inlineStr">
        <is>
          <t>PED00531</t>
        </is>
      </c>
      <c r="C1333" s="2" t="inlineStr">
        <is>
          <t>P012</t>
        </is>
      </c>
      <c r="D1333" s="2" t="n">
        <v>5</v>
      </c>
      <c r="E1333" s="19" t="n">
        <v>0.02</v>
      </c>
    </row>
    <row r="1334">
      <c r="A1334" s="2" t="inlineStr">
        <is>
          <t>IT00532_01</t>
        </is>
      </c>
      <c r="B1334" s="2" t="inlineStr">
        <is>
          <t>PED00532</t>
        </is>
      </c>
      <c r="C1334" s="2" t="inlineStr">
        <is>
          <t>P004</t>
        </is>
      </c>
      <c r="D1334" s="2" t="n">
        <v>2</v>
      </c>
      <c r="E1334" s="19" t="n">
        <v>0.05</v>
      </c>
    </row>
    <row r="1335">
      <c r="A1335" s="2" t="inlineStr">
        <is>
          <t>IT00532_02</t>
        </is>
      </c>
      <c r="B1335" s="2" t="inlineStr">
        <is>
          <t>PED00532</t>
        </is>
      </c>
      <c r="C1335" s="2" t="inlineStr">
        <is>
          <t>P049</t>
        </is>
      </c>
      <c r="D1335" s="2" t="n">
        <v>1</v>
      </c>
      <c r="E1335" s="19" t="n">
        <v>0</v>
      </c>
    </row>
    <row r="1336">
      <c r="A1336" s="2" t="inlineStr">
        <is>
          <t>IT00532_03</t>
        </is>
      </c>
      <c r="B1336" s="2" t="inlineStr">
        <is>
          <t>PED00532</t>
        </is>
      </c>
      <c r="C1336" s="2" t="inlineStr">
        <is>
          <t>P062</t>
        </is>
      </c>
      <c r="D1336" s="2" t="n">
        <v>2</v>
      </c>
      <c r="E1336" s="19" t="n">
        <v>0.05</v>
      </c>
    </row>
    <row r="1337">
      <c r="A1337" s="2" t="inlineStr">
        <is>
          <t>IT00533_01</t>
        </is>
      </c>
      <c r="B1337" s="2" t="inlineStr">
        <is>
          <t>PED00533</t>
        </is>
      </c>
      <c r="C1337" s="2" t="inlineStr">
        <is>
          <t>P065</t>
        </is>
      </c>
      <c r="D1337" s="2" t="n">
        <v>2</v>
      </c>
      <c r="E1337" s="19" t="n">
        <v>0.02</v>
      </c>
    </row>
    <row r="1338">
      <c r="A1338" s="2" t="inlineStr">
        <is>
          <t>IT00534_01</t>
        </is>
      </c>
      <c r="B1338" s="2" t="inlineStr">
        <is>
          <t>PED00534</t>
        </is>
      </c>
      <c r="C1338" s="2" t="inlineStr">
        <is>
          <t>P056</t>
        </is>
      </c>
      <c r="D1338" s="2" t="n">
        <v>1</v>
      </c>
      <c r="E1338" s="19" t="n">
        <v>0.1</v>
      </c>
    </row>
    <row r="1339">
      <c r="A1339" s="2" t="inlineStr">
        <is>
          <t>IT00534_02</t>
        </is>
      </c>
      <c r="B1339" s="2" t="inlineStr">
        <is>
          <t>PED00534</t>
        </is>
      </c>
      <c r="C1339" s="2" t="inlineStr">
        <is>
          <t>P006</t>
        </is>
      </c>
      <c r="D1339" s="2" t="n">
        <v>2</v>
      </c>
      <c r="E1339" s="19" t="n">
        <v>0.1</v>
      </c>
    </row>
    <row r="1340">
      <c r="A1340" s="2" t="inlineStr">
        <is>
          <t>IT00534_03</t>
        </is>
      </c>
      <c r="B1340" s="2" t="inlineStr">
        <is>
          <t>PED00534</t>
        </is>
      </c>
      <c r="C1340" s="2" t="inlineStr">
        <is>
          <t>P050</t>
        </is>
      </c>
      <c r="D1340" s="2" t="n">
        <v>2</v>
      </c>
      <c r="E1340" s="19" t="n">
        <v>0.1</v>
      </c>
    </row>
    <row r="1341">
      <c r="A1341" s="2" t="inlineStr">
        <is>
          <t>IT00535_01</t>
        </is>
      </c>
      <c r="B1341" s="2" t="inlineStr">
        <is>
          <t>PED00535</t>
        </is>
      </c>
      <c r="C1341" s="2" t="inlineStr">
        <is>
          <t>P012</t>
        </is>
      </c>
      <c r="D1341" s="2" t="n">
        <v>1</v>
      </c>
      <c r="E1341" s="19" t="n">
        <v>0.05</v>
      </c>
    </row>
    <row r="1342">
      <c r="A1342" s="2" t="inlineStr">
        <is>
          <t>IT00535_02</t>
        </is>
      </c>
      <c r="B1342" s="2" t="inlineStr">
        <is>
          <t>PED00535</t>
        </is>
      </c>
      <c r="C1342" s="2" t="inlineStr">
        <is>
          <t>P064</t>
        </is>
      </c>
      <c r="D1342" s="2" t="n">
        <v>1</v>
      </c>
      <c r="E1342" s="19" t="n">
        <v>0</v>
      </c>
    </row>
    <row r="1343">
      <c r="A1343" s="2" t="inlineStr">
        <is>
          <t>IT00535_03</t>
        </is>
      </c>
      <c r="B1343" s="2" t="inlineStr">
        <is>
          <t>PED00535</t>
        </is>
      </c>
      <c r="C1343" s="2" t="inlineStr">
        <is>
          <t>P013</t>
        </is>
      </c>
      <c r="D1343" s="2" t="n">
        <v>1</v>
      </c>
      <c r="E1343" s="19" t="n">
        <v>0</v>
      </c>
    </row>
    <row r="1344">
      <c r="A1344" s="2" t="inlineStr">
        <is>
          <t>IT00535_04</t>
        </is>
      </c>
      <c r="B1344" s="2" t="inlineStr">
        <is>
          <t>PED00535</t>
        </is>
      </c>
      <c r="C1344" s="2" t="inlineStr">
        <is>
          <t>P059</t>
        </is>
      </c>
      <c r="D1344" s="2" t="n">
        <v>1</v>
      </c>
      <c r="E1344" s="19" t="n">
        <v>0.02</v>
      </c>
    </row>
    <row r="1345">
      <c r="A1345" s="2" t="inlineStr">
        <is>
          <t>IT00536_01</t>
        </is>
      </c>
      <c r="B1345" s="2" t="inlineStr">
        <is>
          <t>PED00536</t>
        </is>
      </c>
      <c r="C1345" s="2" t="inlineStr">
        <is>
          <t>P063</t>
        </is>
      </c>
      <c r="D1345" s="2" t="n">
        <v>1</v>
      </c>
      <c r="E1345" s="19" t="n">
        <v>0</v>
      </c>
    </row>
    <row r="1346">
      <c r="A1346" s="2" t="inlineStr">
        <is>
          <t>IT00536_02</t>
        </is>
      </c>
      <c r="B1346" s="2" t="inlineStr">
        <is>
          <t>PED00536</t>
        </is>
      </c>
      <c r="C1346" s="2" t="inlineStr">
        <is>
          <t>P006</t>
        </is>
      </c>
      <c r="D1346" s="2" t="n">
        <v>2</v>
      </c>
      <c r="E1346" s="19" t="n">
        <v>0</v>
      </c>
    </row>
    <row r="1347">
      <c r="A1347" s="2" t="inlineStr">
        <is>
          <t>IT00536_03</t>
        </is>
      </c>
      <c r="B1347" s="2" t="inlineStr">
        <is>
          <t>PED00536</t>
        </is>
      </c>
      <c r="C1347" s="2" t="inlineStr">
        <is>
          <t>P047</t>
        </is>
      </c>
      <c r="D1347" s="2" t="n">
        <v>2</v>
      </c>
      <c r="E1347" s="19" t="n">
        <v>0</v>
      </c>
    </row>
    <row r="1348">
      <c r="A1348" s="2" t="inlineStr">
        <is>
          <t>IT00536_04</t>
        </is>
      </c>
      <c r="B1348" s="2" t="inlineStr">
        <is>
          <t>PED00536</t>
        </is>
      </c>
      <c r="C1348" s="2" t="inlineStr">
        <is>
          <t>P037</t>
        </is>
      </c>
      <c r="D1348" s="2" t="n">
        <v>1</v>
      </c>
      <c r="E1348" s="19" t="n">
        <v>0</v>
      </c>
    </row>
    <row r="1349">
      <c r="A1349" s="2" t="inlineStr">
        <is>
          <t>IT00536_05</t>
        </is>
      </c>
      <c r="B1349" s="2" t="inlineStr">
        <is>
          <t>PED00536</t>
        </is>
      </c>
      <c r="C1349" s="2" t="inlineStr">
        <is>
          <t>P052</t>
        </is>
      </c>
      <c r="D1349" s="2" t="n">
        <v>1</v>
      </c>
      <c r="E1349" s="19" t="n">
        <v>0</v>
      </c>
    </row>
    <row r="1350">
      <c r="A1350" s="2" t="inlineStr">
        <is>
          <t>IT00537_01</t>
        </is>
      </c>
      <c r="B1350" s="2" t="inlineStr">
        <is>
          <t>PED00537</t>
        </is>
      </c>
      <c r="C1350" s="2" t="inlineStr">
        <is>
          <t>P014</t>
        </is>
      </c>
      <c r="D1350" s="2" t="n">
        <v>1</v>
      </c>
      <c r="E1350" s="19" t="n">
        <v>0</v>
      </c>
    </row>
    <row r="1351">
      <c r="A1351" s="2" t="inlineStr">
        <is>
          <t>IT00538_01</t>
        </is>
      </c>
      <c r="B1351" s="2" t="inlineStr">
        <is>
          <t>PED00538</t>
        </is>
      </c>
      <c r="C1351" s="2" t="inlineStr">
        <is>
          <t>P069</t>
        </is>
      </c>
      <c r="D1351" s="2" t="n">
        <v>1</v>
      </c>
      <c r="E1351" s="19" t="n">
        <v>0</v>
      </c>
    </row>
    <row r="1352">
      <c r="A1352" s="2" t="inlineStr">
        <is>
          <t>IT00538_02</t>
        </is>
      </c>
      <c r="B1352" s="2" t="inlineStr">
        <is>
          <t>PED00538</t>
        </is>
      </c>
      <c r="C1352" s="2" t="inlineStr">
        <is>
          <t>P060</t>
        </is>
      </c>
      <c r="D1352" s="2" t="n">
        <v>1</v>
      </c>
      <c r="E1352" s="19" t="n">
        <v>0.1</v>
      </c>
    </row>
    <row r="1353">
      <c r="A1353" s="2" t="inlineStr">
        <is>
          <t>IT00539_01</t>
        </is>
      </c>
      <c r="B1353" s="2" t="inlineStr">
        <is>
          <t>PED00539</t>
        </is>
      </c>
      <c r="C1353" s="2" t="inlineStr">
        <is>
          <t>P028</t>
        </is>
      </c>
      <c r="D1353" s="2" t="n">
        <v>1</v>
      </c>
      <c r="E1353" s="19" t="n">
        <v>0</v>
      </c>
    </row>
    <row r="1354">
      <c r="A1354" s="2" t="inlineStr">
        <is>
          <t>IT00539_02</t>
        </is>
      </c>
      <c r="B1354" s="2" t="inlineStr">
        <is>
          <t>PED00539</t>
        </is>
      </c>
      <c r="C1354" s="2" t="inlineStr">
        <is>
          <t>P061</t>
        </is>
      </c>
      <c r="D1354" s="2" t="n">
        <v>1</v>
      </c>
      <c r="E1354" s="19" t="n">
        <v>0</v>
      </c>
    </row>
    <row r="1355">
      <c r="A1355" s="2" t="inlineStr">
        <is>
          <t>IT00539_03</t>
        </is>
      </c>
      <c r="B1355" s="2" t="inlineStr">
        <is>
          <t>PED00539</t>
        </is>
      </c>
      <c r="C1355" s="2" t="inlineStr">
        <is>
          <t>P015</t>
        </is>
      </c>
      <c r="D1355" s="2" t="n">
        <v>2</v>
      </c>
      <c r="E1355" s="19" t="n">
        <v>0</v>
      </c>
    </row>
    <row r="1356">
      <c r="A1356" s="2" t="inlineStr">
        <is>
          <t>IT00540_01</t>
        </is>
      </c>
      <c r="B1356" s="2" t="inlineStr">
        <is>
          <t>PED00540</t>
        </is>
      </c>
      <c r="C1356" s="2" t="inlineStr">
        <is>
          <t>P028</t>
        </is>
      </c>
      <c r="D1356" s="2" t="n">
        <v>1</v>
      </c>
      <c r="E1356" s="19" t="n">
        <v>0</v>
      </c>
    </row>
    <row r="1357">
      <c r="A1357" s="2" t="inlineStr">
        <is>
          <t>IT00540_02</t>
        </is>
      </c>
      <c r="B1357" s="2" t="inlineStr">
        <is>
          <t>PED00540</t>
        </is>
      </c>
      <c r="C1357" s="2" t="inlineStr">
        <is>
          <t>P007</t>
        </is>
      </c>
      <c r="D1357" s="2" t="n">
        <v>1</v>
      </c>
      <c r="E1357" s="19" t="n">
        <v>0</v>
      </c>
    </row>
    <row r="1358">
      <c r="A1358" s="2" t="inlineStr">
        <is>
          <t>IT00540_03</t>
        </is>
      </c>
      <c r="B1358" s="2" t="inlineStr">
        <is>
          <t>PED00540</t>
        </is>
      </c>
      <c r="C1358" s="2" t="inlineStr">
        <is>
          <t>P003</t>
        </is>
      </c>
      <c r="D1358" s="2" t="n">
        <v>1</v>
      </c>
      <c r="E1358" s="19" t="n">
        <v>0.05</v>
      </c>
    </row>
    <row r="1359">
      <c r="A1359" s="2" t="inlineStr">
        <is>
          <t>IT00540_04</t>
        </is>
      </c>
      <c r="B1359" s="2" t="inlineStr">
        <is>
          <t>PED00540</t>
        </is>
      </c>
      <c r="C1359" s="2" t="inlineStr">
        <is>
          <t>P055</t>
        </is>
      </c>
      <c r="D1359" s="2" t="n">
        <v>2</v>
      </c>
      <c r="E1359" s="19" t="n">
        <v>0</v>
      </c>
    </row>
    <row r="1360">
      <c r="A1360" s="2" t="inlineStr">
        <is>
          <t>IT00540_05</t>
        </is>
      </c>
      <c r="B1360" s="2" t="inlineStr">
        <is>
          <t>PED00540</t>
        </is>
      </c>
      <c r="C1360" s="2" t="inlineStr">
        <is>
          <t>P035</t>
        </is>
      </c>
      <c r="D1360" s="2" t="n">
        <v>1</v>
      </c>
      <c r="E1360" s="19" t="n">
        <v>0.05</v>
      </c>
    </row>
    <row r="1361">
      <c r="A1361" s="2" t="inlineStr">
        <is>
          <t>IT00541_01</t>
        </is>
      </c>
      <c r="B1361" s="2" t="inlineStr">
        <is>
          <t>PED00541</t>
        </is>
      </c>
      <c r="C1361" s="2" t="inlineStr">
        <is>
          <t>P026</t>
        </is>
      </c>
      <c r="D1361" s="2" t="n">
        <v>5</v>
      </c>
      <c r="E1361" s="19" t="n">
        <v>0</v>
      </c>
    </row>
    <row r="1362">
      <c r="A1362" s="2" t="inlineStr">
        <is>
          <t>IT00541_02</t>
        </is>
      </c>
      <c r="B1362" s="2" t="inlineStr">
        <is>
          <t>PED00541</t>
        </is>
      </c>
      <c r="C1362" s="2" t="inlineStr">
        <is>
          <t>P045</t>
        </is>
      </c>
      <c r="D1362" s="2" t="n">
        <v>2</v>
      </c>
      <c r="E1362" s="19" t="n">
        <v>0.02</v>
      </c>
    </row>
    <row r="1363">
      <c r="A1363" s="2" t="inlineStr">
        <is>
          <t>IT00542_01</t>
        </is>
      </c>
      <c r="B1363" s="2" t="inlineStr">
        <is>
          <t>PED00542</t>
        </is>
      </c>
      <c r="C1363" s="2" t="inlineStr">
        <is>
          <t>P026</t>
        </is>
      </c>
      <c r="D1363" s="2" t="n">
        <v>1</v>
      </c>
      <c r="E1363" s="19" t="n">
        <v>0.1</v>
      </c>
    </row>
    <row r="1364">
      <c r="A1364" s="2" t="inlineStr">
        <is>
          <t>IT00542_02</t>
        </is>
      </c>
      <c r="B1364" s="2" t="inlineStr">
        <is>
          <t>PED00542</t>
        </is>
      </c>
      <c r="C1364" s="2" t="inlineStr">
        <is>
          <t>P010</t>
        </is>
      </c>
      <c r="D1364" s="2" t="n">
        <v>5</v>
      </c>
      <c r="E1364" s="19" t="n">
        <v>0.02</v>
      </c>
    </row>
    <row r="1365">
      <c r="A1365" s="2" t="inlineStr">
        <is>
          <t>IT00542_03</t>
        </is>
      </c>
      <c r="B1365" s="2" t="inlineStr">
        <is>
          <t>PED00542</t>
        </is>
      </c>
      <c r="C1365" s="2" t="inlineStr">
        <is>
          <t>P019</t>
        </is>
      </c>
      <c r="D1365" s="2" t="n">
        <v>3</v>
      </c>
      <c r="E1365" s="19" t="n">
        <v>0</v>
      </c>
    </row>
    <row r="1366">
      <c r="A1366" s="2" t="inlineStr">
        <is>
          <t>IT00543_01</t>
        </is>
      </c>
      <c r="B1366" s="2" t="inlineStr">
        <is>
          <t>PED00543</t>
        </is>
      </c>
      <c r="C1366" s="2" t="inlineStr">
        <is>
          <t>P034</t>
        </is>
      </c>
      <c r="D1366" s="2" t="n">
        <v>10</v>
      </c>
      <c r="E1366" s="19" t="n">
        <v>0.05</v>
      </c>
    </row>
    <row r="1367">
      <c r="A1367" s="2" t="inlineStr">
        <is>
          <t>IT00543_02</t>
        </is>
      </c>
      <c r="B1367" s="2" t="inlineStr">
        <is>
          <t>PED00543</t>
        </is>
      </c>
      <c r="C1367" s="2" t="inlineStr">
        <is>
          <t>P067</t>
        </is>
      </c>
      <c r="D1367" s="2" t="n">
        <v>4</v>
      </c>
      <c r="E1367" s="19" t="n">
        <v>0</v>
      </c>
    </row>
    <row r="1368">
      <c r="A1368" s="2" t="inlineStr">
        <is>
          <t>IT00543_03</t>
        </is>
      </c>
      <c r="B1368" s="2" t="inlineStr">
        <is>
          <t>PED00543</t>
        </is>
      </c>
      <c r="C1368" s="2" t="inlineStr">
        <is>
          <t>P001</t>
        </is>
      </c>
      <c r="D1368" s="2" t="n">
        <v>2</v>
      </c>
      <c r="E1368" s="19" t="n">
        <v>0</v>
      </c>
    </row>
    <row r="1369">
      <c r="A1369" s="2" t="inlineStr">
        <is>
          <t>IT00544_01</t>
        </is>
      </c>
      <c r="B1369" s="2" t="inlineStr">
        <is>
          <t>PED00544</t>
        </is>
      </c>
      <c r="C1369" s="2" t="inlineStr">
        <is>
          <t>P045</t>
        </is>
      </c>
      <c r="D1369" s="2" t="n">
        <v>5</v>
      </c>
      <c r="E1369" s="19" t="n">
        <v>0.1</v>
      </c>
    </row>
    <row r="1370">
      <c r="A1370" s="2" t="inlineStr">
        <is>
          <t>IT00544_02</t>
        </is>
      </c>
      <c r="B1370" s="2" t="inlineStr">
        <is>
          <t>PED00544</t>
        </is>
      </c>
      <c r="C1370" s="2" t="inlineStr">
        <is>
          <t>P027</t>
        </is>
      </c>
      <c r="D1370" s="2" t="n">
        <v>2</v>
      </c>
      <c r="E1370" s="19" t="n">
        <v>0</v>
      </c>
    </row>
    <row r="1371">
      <c r="A1371" s="2" t="inlineStr">
        <is>
          <t>IT00545_01</t>
        </is>
      </c>
      <c r="B1371" s="2" t="inlineStr">
        <is>
          <t>PED00545</t>
        </is>
      </c>
      <c r="C1371" s="2" t="inlineStr">
        <is>
          <t>P059</t>
        </is>
      </c>
      <c r="D1371" s="2" t="n">
        <v>1</v>
      </c>
      <c r="E1371" s="19" t="n">
        <v>0</v>
      </c>
    </row>
    <row r="1372">
      <c r="A1372" s="2" t="inlineStr">
        <is>
          <t>IT00545_02</t>
        </is>
      </c>
      <c r="B1372" s="2" t="inlineStr">
        <is>
          <t>PED00545</t>
        </is>
      </c>
      <c r="C1372" s="2" t="inlineStr">
        <is>
          <t>P053</t>
        </is>
      </c>
      <c r="D1372" s="2" t="n">
        <v>2</v>
      </c>
      <c r="E1372" s="19" t="n">
        <v>0.02</v>
      </c>
    </row>
    <row r="1373">
      <c r="A1373" s="2" t="inlineStr">
        <is>
          <t>IT00545_03</t>
        </is>
      </c>
      <c r="B1373" s="2" t="inlineStr">
        <is>
          <t>PED00545</t>
        </is>
      </c>
      <c r="C1373" s="2" t="inlineStr">
        <is>
          <t>P046</t>
        </is>
      </c>
      <c r="D1373" s="2" t="n">
        <v>1</v>
      </c>
      <c r="E1373" s="19" t="n">
        <v>0</v>
      </c>
    </row>
    <row r="1374">
      <c r="A1374" s="2" t="inlineStr">
        <is>
          <t>IT00546_01</t>
        </is>
      </c>
      <c r="B1374" s="2" t="inlineStr">
        <is>
          <t>PED00546</t>
        </is>
      </c>
      <c r="C1374" s="2" t="inlineStr">
        <is>
          <t>P056</t>
        </is>
      </c>
      <c r="D1374" s="2" t="n">
        <v>3</v>
      </c>
      <c r="E1374" s="19" t="n">
        <v>0.05</v>
      </c>
    </row>
    <row r="1375">
      <c r="A1375" s="2" t="inlineStr">
        <is>
          <t>IT00546_02</t>
        </is>
      </c>
      <c r="B1375" s="2" t="inlineStr">
        <is>
          <t>PED00546</t>
        </is>
      </c>
      <c r="C1375" s="2" t="inlineStr">
        <is>
          <t>P037</t>
        </is>
      </c>
      <c r="D1375" s="2" t="n">
        <v>4</v>
      </c>
      <c r="E1375" s="19" t="n">
        <v>0</v>
      </c>
    </row>
    <row r="1376">
      <c r="A1376" s="2" t="inlineStr">
        <is>
          <t>IT00547_01</t>
        </is>
      </c>
      <c r="B1376" s="2" t="inlineStr">
        <is>
          <t>PED00547</t>
        </is>
      </c>
      <c r="C1376" s="2" t="inlineStr">
        <is>
          <t>P070</t>
        </is>
      </c>
      <c r="D1376" s="2" t="n">
        <v>2</v>
      </c>
      <c r="E1376" s="19" t="n">
        <v>0</v>
      </c>
    </row>
    <row r="1377">
      <c r="A1377" s="2" t="inlineStr">
        <is>
          <t>IT00547_02</t>
        </is>
      </c>
      <c r="B1377" s="2" t="inlineStr">
        <is>
          <t>PED00547</t>
        </is>
      </c>
      <c r="C1377" s="2" t="inlineStr">
        <is>
          <t>P013</t>
        </is>
      </c>
      <c r="D1377" s="2" t="n">
        <v>3</v>
      </c>
      <c r="E1377" s="19" t="n">
        <v>0.02</v>
      </c>
    </row>
    <row r="1378">
      <c r="A1378" s="2" t="inlineStr">
        <is>
          <t>IT00548_01</t>
        </is>
      </c>
      <c r="B1378" s="2" t="inlineStr">
        <is>
          <t>PED00548</t>
        </is>
      </c>
      <c r="C1378" s="2" t="inlineStr">
        <is>
          <t>P016</t>
        </is>
      </c>
      <c r="D1378" s="2" t="n">
        <v>4</v>
      </c>
      <c r="E1378" s="19" t="n">
        <v>0</v>
      </c>
    </row>
    <row r="1379">
      <c r="A1379" s="2" t="inlineStr">
        <is>
          <t>IT00548_02</t>
        </is>
      </c>
      <c r="B1379" s="2" t="inlineStr">
        <is>
          <t>PED00548</t>
        </is>
      </c>
      <c r="C1379" s="2" t="inlineStr">
        <is>
          <t>P045</t>
        </is>
      </c>
      <c r="D1379" s="2" t="n">
        <v>3</v>
      </c>
      <c r="E1379" s="19" t="n">
        <v>0</v>
      </c>
    </row>
    <row r="1380">
      <c r="A1380" s="2" t="inlineStr">
        <is>
          <t>IT00548_03</t>
        </is>
      </c>
      <c r="B1380" s="2" t="inlineStr">
        <is>
          <t>PED00548</t>
        </is>
      </c>
      <c r="C1380" s="2" t="inlineStr">
        <is>
          <t>P060</t>
        </is>
      </c>
      <c r="D1380" s="2" t="n">
        <v>5</v>
      </c>
      <c r="E1380" s="19" t="n">
        <v>0.02</v>
      </c>
    </row>
    <row r="1381">
      <c r="A1381" s="2" t="inlineStr">
        <is>
          <t>IT00548_04</t>
        </is>
      </c>
      <c r="B1381" s="2" t="inlineStr">
        <is>
          <t>PED00548</t>
        </is>
      </c>
      <c r="C1381" s="2" t="inlineStr">
        <is>
          <t>P053</t>
        </is>
      </c>
      <c r="D1381" s="2" t="n">
        <v>2</v>
      </c>
      <c r="E1381" s="19" t="n">
        <v>0</v>
      </c>
    </row>
    <row r="1382">
      <c r="A1382" s="2" t="inlineStr">
        <is>
          <t>IT00549_01</t>
        </is>
      </c>
      <c r="B1382" s="2" t="inlineStr">
        <is>
          <t>PED00549</t>
        </is>
      </c>
      <c r="C1382" s="2" t="inlineStr">
        <is>
          <t>P054</t>
        </is>
      </c>
      <c r="D1382" s="2" t="n">
        <v>1</v>
      </c>
      <c r="E1382" s="19" t="n">
        <v>0</v>
      </c>
    </row>
    <row r="1383">
      <c r="A1383" s="2" t="inlineStr">
        <is>
          <t>IT00549_02</t>
        </is>
      </c>
      <c r="B1383" s="2" t="inlineStr">
        <is>
          <t>PED00549</t>
        </is>
      </c>
      <c r="C1383" s="2" t="inlineStr">
        <is>
          <t>P005</t>
        </is>
      </c>
      <c r="D1383" s="2" t="n">
        <v>1</v>
      </c>
      <c r="E1383" s="19" t="n">
        <v>0.05</v>
      </c>
    </row>
    <row r="1384">
      <c r="A1384" s="2" t="inlineStr">
        <is>
          <t>IT00550_01</t>
        </is>
      </c>
      <c r="B1384" s="2" t="inlineStr">
        <is>
          <t>PED00550</t>
        </is>
      </c>
      <c r="C1384" s="2" t="inlineStr">
        <is>
          <t>P051</t>
        </is>
      </c>
      <c r="D1384" s="2" t="n">
        <v>3</v>
      </c>
      <c r="E1384" s="19" t="n">
        <v>0</v>
      </c>
    </row>
    <row r="1385">
      <c r="A1385" s="2" t="inlineStr">
        <is>
          <t>IT00550_02</t>
        </is>
      </c>
      <c r="B1385" s="2" t="inlineStr">
        <is>
          <t>PED00550</t>
        </is>
      </c>
      <c r="C1385" s="2" t="inlineStr">
        <is>
          <t>P025</t>
        </is>
      </c>
      <c r="D1385" s="2" t="n">
        <v>1</v>
      </c>
      <c r="E1385" s="19" t="n">
        <v>0</v>
      </c>
    </row>
    <row r="1386">
      <c r="A1386" s="2" t="inlineStr">
        <is>
          <t>IT00550_03</t>
        </is>
      </c>
      <c r="B1386" s="2" t="inlineStr">
        <is>
          <t>PED00550</t>
        </is>
      </c>
      <c r="C1386" s="2" t="inlineStr">
        <is>
          <t>P007</t>
        </is>
      </c>
      <c r="D1386" s="2" t="n">
        <v>5</v>
      </c>
      <c r="E1386" s="19" t="n">
        <v>0</v>
      </c>
    </row>
    <row r="1387">
      <c r="A1387" s="2" t="inlineStr">
        <is>
          <t>IT00551_01</t>
        </is>
      </c>
      <c r="B1387" s="2" t="inlineStr">
        <is>
          <t>PED00551</t>
        </is>
      </c>
      <c r="C1387" s="2" t="inlineStr">
        <is>
          <t>P051</t>
        </is>
      </c>
      <c r="D1387" s="2" t="n">
        <v>3</v>
      </c>
      <c r="E1387" s="19" t="n">
        <v>0</v>
      </c>
    </row>
    <row r="1388">
      <c r="A1388" s="2" t="inlineStr">
        <is>
          <t>IT00551_02</t>
        </is>
      </c>
      <c r="B1388" s="2" t="inlineStr">
        <is>
          <t>PED00551</t>
        </is>
      </c>
      <c r="C1388" s="2" t="inlineStr">
        <is>
          <t>P034</t>
        </is>
      </c>
      <c r="D1388" s="2" t="n">
        <v>1</v>
      </c>
      <c r="E1388" s="19" t="n">
        <v>0</v>
      </c>
    </row>
    <row r="1389">
      <c r="A1389" s="2" t="inlineStr">
        <is>
          <t>IT00552_01</t>
        </is>
      </c>
      <c r="B1389" s="2" t="inlineStr">
        <is>
          <t>PED00552</t>
        </is>
      </c>
      <c r="C1389" s="2" t="inlineStr">
        <is>
          <t>P011</t>
        </is>
      </c>
      <c r="D1389" s="2" t="n">
        <v>3</v>
      </c>
      <c r="E1389" s="19" t="n">
        <v>0</v>
      </c>
    </row>
    <row r="1390">
      <c r="A1390" s="2" t="inlineStr">
        <is>
          <t>IT00552_02</t>
        </is>
      </c>
      <c r="B1390" s="2" t="inlineStr">
        <is>
          <t>PED00552</t>
        </is>
      </c>
      <c r="C1390" s="2" t="inlineStr">
        <is>
          <t>P049</t>
        </is>
      </c>
      <c r="D1390" s="2" t="n">
        <v>2</v>
      </c>
      <c r="E1390" s="19" t="n">
        <v>0</v>
      </c>
    </row>
    <row r="1391">
      <c r="A1391" s="2" t="inlineStr">
        <is>
          <t>IT00552_03</t>
        </is>
      </c>
      <c r="B1391" s="2" t="inlineStr">
        <is>
          <t>PED00552</t>
        </is>
      </c>
      <c r="C1391" s="2" t="inlineStr">
        <is>
          <t>P004</t>
        </is>
      </c>
      <c r="D1391" s="2" t="n">
        <v>1</v>
      </c>
      <c r="E1391" s="19" t="n">
        <v>0</v>
      </c>
    </row>
    <row r="1392">
      <c r="A1392" s="2" t="inlineStr">
        <is>
          <t>IT00553_01</t>
        </is>
      </c>
      <c r="B1392" s="2" t="inlineStr">
        <is>
          <t>PED00553</t>
        </is>
      </c>
      <c r="C1392" s="2" t="inlineStr">
        <is>
          <t>P034</t>
        </is>
      </c>
      <c r="D1392" s="2" t="n">
        <v>1</v>
      </c>
      <c r="E1392" s="19" t="n">
        <v>0</v>
      </c>
    </row>
    <row r="1393">
      <c r="A1393" s="2" t="inlineStr">
        <is>
          <t>IT00553_02</t>
        </is>
      </c>
      <c r="B1393" s="2" t="inlineStr">
        <is>
          <t>PED00553</t>
        </is>
      </c>
      <c r="C1393" s="2" t="inlineStr">
        <is>
          <t>P007</t>
        </is>
      </c>
      <c r="D1393" s="2" t="n">
        <v>1</v>
      </c>
      <c r="E1393" s="19" t="n">
        <v>0.1</v>
      </c>
    </row>
    <row r="1394">
      <c r="A1394" s="2" t="inlineStr">
        <is>
          <t>IT00553_03</t>
        </is>
      </c>
      <c r="B1394" s="2" t="inlineStr">
        <is>
          <t>PED00553</t>
        </is>
      </c>
      <c r="C1394" s="2" t="inlineStr">
        <is>
          <t>P036</t>
        </is>
      </c>
      <c r="D1394" s="2" t="n">
        <v>4</v>
      </c>
      <c r="E1394" s="19" t="n">
        <v>0</v>
      </c>
    </row>
    <row r="1395">
      <c r="A1395" s="2" t="inlineStr">
        <is>
          <t>IT00554_01</t>
        </is>
      </c>
      <c r="B1395" s="2" t="inlineStr">
        <is>
          <t>PED00554</t>
        </is>
      </c>
      <c r="C1395" s="2" t="inlineStr">
        <is>
          <t>P047</t>
        </is>
      </c>
      <c r="D1395" s="2" t="n">
        <v>4</v>
      </c>
      <c r="E1395" s="19" t="n">
        <v>0</v>
      </c>
    </row>
    <row r="1396">
      <c r="A1396" s="2" t="inlineStr">
        <is>
          <t>IT00555_01</t>
        </is>
      </c>
      <c r="B1396" s="2" t="inlineStr">
        <is>
          <t>PED00555</t>
        </is>
      </c>
      <c r="C1396" s="2" t="inlineStr">
        <is>
          <t>P054</t>
        </is>
      </c>
      <c r="D1396" s="2" t="n">
        <v>1</v>
      </c>
      <c r="E1396" s="19" t="n">
        <v>0</v>
      </c>
    </row>
    <row r="1397">
      <c r="A1397" s="2" t="inlineStr">
        <is>
          <t>IT00556_01</t>
        </is>
      </c>
      <c r="B1397" s="2" t="inlineStr">
        <is>
          <t>PED00556</t>
        </is>
      </c>
      <c r="C1397" s="2" t="inlineStr">
        <is>
          <t>P005</t>
        </is>
      </c>
      <c r="D1397" s="2" t="n">
        <v>10</v>
      </c>
      <c r="E1397" s="19" t="n">
        <v>0</v>
      </c>
    </row>
    <row r="1398">
      <c r="A1398" s="2" t="inlineStr">
        <is>
          <t>IT00556_02</t>
        </is>
      </c>
      <c r="B1398" s="2" t="inlineStr">
        <is>
          <t>PED00556</t>
        </is>
      </c>
      <c r="C1398" s="2" t="inlineStr">
        <is>
          <t>P016</t>
        </is>
      </c>
      <c r="D1398" s="2" t="n">
        <v>2</v>
      </c>
      <c r="E1398" s="19" t="n">
        <v>0</v>
      </c>
    </row>
    <row r="1399">
      <c r="A1399" s="2" t="inlineStr">
        <is>
          <t>IT00556_03</t>
        </is>
      </c>
      <c r="B1399" s="2" t="inlineStr">
        <is>
          <t>PED00556</t>
        </is>
      </c>
      <c r="C1399" s="2" t="inlineStr">
        <is>
          <t>P044</t>
        </is>
      </c>
      <c r="D1399" s="2" t="n">
        <v>1</v>
      </c>
      <c r="E1399" s="19" t="n">
        <v>0.02</v>
      </c>
    </row>
    <row r="1400">
      <c r="A1400" s="2" t="inlineStr">
        <is>
          <t>IT00557_01</t>
        </is>
      </c>
      <c r="B1400" s="2" t="inlineStr">
        <is>
          <t>PED00557</t>
        </is>
      </c>
      <c r="C1400" s="2" t="inlineStr">
        <is>
          <t>P047</t>
        </is>
      </c>
      <c r="D1400" s="2" t="n">
        <v>1</v>
      </c>
      <c r="E1400" s="19" t="n">
        <v>0</v>
      </c>
    </row>
    <row r="1401">
      <c r="A1401" s="2" t="inlineStr">
        <is>
          <t>IT00558_01</t>
        </is>
      </c>
      <c r="B1401" s="2" t="inlineStr">
        <is>
          <t>PED00558</t>
        </is>
      </c>
      <c r="C1401" s="2" t="inlineStr">
        <is>
          <t>P026</t>
        </is>
      </c>
      <c r="D1401" s="2" t="n">
        <v>1</v>
      </c>
      <c r="E1401" s="19" t="n">
        <v>0</v>
      </c>
    </row>
    <row r="1402">
      <c r="A1402" s="2" t="inlineStr">
        <is>
          <t>IT00558_02</t>
        </is>
      </c>
      <c r="B1402" s="2" t="inlineStr">
        <is>
          <t>PED00558</t>
        </is>
      </c>
      <c r="C1402" s="2" t="inlineStr">
        <is>
          <t>P012</t>
        </is>
      </c>
      <c r="D1402" s="2" t="n">
        <v>1</v>
      </c>
      <c r="E1402" s="19" t="n">
        <v>0.02</v>
      </c>
    </row>
    <row r="1403">
      <c r="A1403" s="2" t="inlineStr">
        <is>
          <t>IT00559_01</t>
        </is>
      </c>
      <c r="B1403" s="2" t="inlineStr">
        <is>
          <t>PED00559</t>
        </is>
      </c>
      <c r="C1403" s="2" t="inlineStr">
        <is>
          <t>P036</t>
        </is>
      </c>
      <c r="D1403" s="2" t="n">
        <v>1</v>
      </c>
      <c r="E1403" s="19" t="n">
        <v>0</v>
      </c>
    </row>
    <row r="1404">
      <c r="A1404" s="2" t="inlineStr">
        <is>
          <t>IT00559_02</t>
        </is>
      </c>
      <c r="B1404" s="2" t="inlineStr">
        <is>
          <t>PED00559</t>
        </is>
      </c>
      <c r="C1404" s="2" t="inlineStr">
        <is>
          <t>P051</t>
        </is>
      </c>
      <c r="D1404" s="2" t="n">
        <v>3</v>
      </c>
      <c r="E1404" s="19" t="n">
        <v>0</v>
      </c>
    </row>
    <row r="1405">
      <c r="A1405" s="2" t="inlineStr">
        <is>
          <t>IT00559_03</t>
        </is>
      </c>
      <c r="B1405" s="2" t="inlineStr">
        <is>
          <t>PED00559</t>
        </is>
      </c>
      <c r="C1405" s="2" t="inlineStr">
        <is>
          <t>P014</t>
        </is>
      </c>
      <c r="D1405" s="2" t="n">
        <v>2</v>
      </c>
      <c r="E1405" s="19" t="n">
        <v>0</v>
      </c>
    </row>
    <row r="1406">
      <c r="A1406" s="2" t="inlineStr">
        <is>
          <t>IT00559_04</t>
        </is>
      </c>
      <c r="B1406" s="2" t="inlineStr">
        <is>
          <t>PED00559</t>
        </is>
      </c>
      <c r="C1406" s="2" t="inlineStr">
        <is>
          <t>P040</t>
        </is>
      </c>
      <c r="D1406" s="2" t="n">
        <v>1</v>
      </c>
      <c r="E1406" s="19" t="n">
        <v>0</v>
      </c>
    </row>
    <row r="1407">
      <c r="A1407" s="2" t="inlineStr">
        <is>
          <t>IT00560_01</t>
        </is>
      </c>
      <c r="B1407" s="2" t="inlineStr">
        <is>
          <t>PED00560</t>
        </is>
      </c>
      <c r="C1407" s="2" t="inlineStr">
        <is>
          <t>P009</t>
        </is>
      </c>
      <c r="D1407" s="2" t="n">
        <v>4</v>
      </c>
      <c r="E1407" s="19" t="n">
        <v>0.1</v>
      </c>
    </row>
    <row r="1408">
      <c r="A1408" s="2" t="inlineStr">
        <is>
          <t>IT00560_02</t>
        </is>
      </c>
      <c r="B1408" s="2" t="inlineStr">
        <is>
          <t>PED00560</t>
        </is>
      </c>
      <c r="C1408" s="2" t="inlineStr">
        <is>
          <t>P058</t>
        </is>
      </c>
      <c r="D1408" s="2" t="n">
        <v>1</v>
      </c>
      <c r="E1408" s="19" t="n">
        <v>0</v>
      </c>
    </row>
    <row r="1409">
      <c r="A1409" s="2" t="inlineStr">
        <is>
          <t>IT00560_03</t>
        </is>
      </c>
      <c r="B1409" s="2" t="inlineStr">
        <is>
          <t>PED00560</t>
        </is>
      </c>
      <c r="C1409" s="2" t="inlineStr">
        <is>
          <t>P022</t>
        </is>
      </c>
      <c r="D1409" s="2" t="n">
        <v>2</v>
      </c>
      <c r="E1409" s="19" t="n">
        <v>0.05</v>
      </c>
    </row>
    <row r="1410">
      <c r="A1410" s="2" t="inlineStr">
        <is>
          <t>IT00561_01</t>
        </is>
      </c>
      <c r="B1410" s="2" t="inlineStr">
        <is>
          <t>PED00561</t>
        </is>
      </c>
      <c r="C1410" s="2" t="inlineStr">
        <is>
          <t>P046</t>
        </is>
      </c>
      <c r="D1410" s="2" t="n">
        <v>2</v>
      </c>
      <c r="E1410" s="19" t="n">
        <v>0</v>
      </c>
    </row>
    <row r="1411">
      <c r="A1411" s="2" t="inlineStr">
        <is>
          <t>IT00561_02</t>
        </is>
      </c>
      <c r="B1411" s="2" t="inlineStr">
        <is>
          <t>PED00561</t>
        </is>
      </c>
      <c r="C1411" s="2" t="inlineStr">
        <is>
          <t>P032</t>
        </is>
      </c>
      <c r="D1411" s="2" t="n">
        <v>3</v>
      </c>
      <c r="E1411" s="19" t="n">
        <v>0</v>
      </c>
    </row>
    <row r="1412">
      <c r="A1412" s="2" t="inlineStr">
        <is>
          <t>IT00561_03</t>
        </is>
      </c>
      <c r="B1412" s="2" t="inlineStr">
        <is>
          <t>PED00561</t>
        </is>
      </c>
      <c r="C1412" s="2" t="inlineStr">
        <is>
          <t>P010</t>
        </is>
      </c>
      <c r="D1412" s="2" t="n">
        <v>1</v>
      </c>
      <c r="E1412" s="19" t="n">
        <v>0</v>
      </c>
    </row>
    <row r="1413">
      <c r="A1413" s="2" t="inlineStr">
        <is>
          <t>IT00561_04</t>
        </is>
      </c>
      <c r="B1413" s="2" t="inlineStr">
        <is>
          <t>PED00561</t>
        </is>
      </c>
      <c r="C1413" s="2" t="inlineStr">
        <is>
          <t>P028</t>
        </is>
      </c>
      <c r="D1413" s="2" t="n">
        <v>1</v>
      </c>
      <c r="E1413" s="19" t="n">
        <v>0</v>
      </c>
    </row>
    <row r="1414">
      <c r="A1414" s="2" t="inlineStr">
        <is>
          <t>IT00562_01</t>
        </is>
      </c>
      <c r="B1414" s="2" t="inlineStr">
        <is>
          <t>PED00562</t>
        </is>
      </c>
      <c r="C1414" s="2" t="inlineStr">
        <is>
          <t>P036</t>
        </is>
      </c>
      <c r="D1414" s="2" t="n">
        <v>3</v>
      </c>
      <c r="E1414" s="19" t="n">
        <v>0.05</v>
      </c>
    </row>
    <row r="1415">
      <c r="A1415" s="2" t="inlineStr">
        <is>
          <t>IT00563_01</t>
        </is>
      </c>
      <c r="B1415" s="2" t="inlineStr">
        <is>
          <t>PED00563</t>
        </is>
      </c>
      <c r="C1415" s="2" t="inlineStr">
        <is>
          <t>P007</t>
        </is>
      </c>
      <c r="D1415" s="2" t="n">
        <v>3</v>
      </c>
      <c r="E1415" s="19" t="n">
        <v>0</v>
      </c>
    </row>
    <row r="1416">
      <c r="A1416" s="2" t="inlineStr">
        <is>
          <t>IT00564_01</t>
        </is>
      </c>
      <c r="B1416" s="2" t="inlineStr">
        <is>
          <t>PED00564</t>
        </is>
      </c>
      <c r="C1416" s="2" t="inlineStr">
        <is>
          <t>P003</t>
        </is>
      </c>
      <c r="D1416" s="2" t="n">
        <v>1</v>
      </c>
      <c r="E1416" s="19" t="n">
        <v>0.02</v>
      </c>
    </row>
    <row r="1417">
      <c r="A1417" s="2" t="inlineStr">
        <is>
          <t>IT00564_02</t>
        </is>
      </c>
      <c r="B1417" s="2" t="inlineStr">
        <is>
          <t>PED00564</t>
        </is>
      </c>
      <c r="C1417" s="2" t="inlineStr">
        <is>
          <t>P037</t>
        </is>
      </c>
      <c r="D1417" s="2" t="n">
        <v>2</v>
      </c>
      <c r="E1417" s="19" t="n">
        <v>0</v>
      </c>
    </row>
    <row r="1418">
      <c r="A1418" s="2" t="inlineStr">
        <is>
          <t>IT00565_01</t>
        </is>
      </c>
      <c r="B1418" s="2" t="inlineStr">
        <is>
          <t>PED00565</t>
        </is>
      </c>
      <c r="C1418" s="2" t="inlineStr">
        <is>
          <t>P006</t>
        </is>
      </c>
      <c r="D1418" s="2" t="n">
        <v>2</v>
      </c>
      <c r="E1418" s="19" t="n">
        <v>0.05</v>
      </c>
    </row>
    <row r="1419">
      <c r="A1419" s="2" t="inlineStr">
        <is>
          <t>IT00565_02</t>
        </is>
      </c>
      <c r="B1419" s="2" t="inlineStr">
        <is>
          <t>PED00565</t>
        </is>
      </c>
      <c r="C1419" s="2" t="inlineStr">
        <is>
          <t>P044</t>
        </is>
      </c>
      <c r="D1419" s="2" t="n">
        <v>1</v>
      </c>
      <c r="E1419" s="19" t="n">
        <v>0</v>
      </c>
    </row>
    <row r="1420">
      <c r="A1420" s="2" t="inlineStr">
        <is>
          <t>IT00565_03</t>
        </is>
      </c>
      <c r="B1420" s="2" t="inlineStr">
        <is>
          <t>PED00565</t>
        </is>
      </c>
      <c r="C1420" s="2" t="inlineStr">
        <is>
          <t>P003</t>
        </is>
      </c>
      <c r="D1420" s="2" t="n">
        <v>1</v>
      </c>
      <c r="E1420" s="19" t="n">
        <v>0</v>
      </c>
    </row>
    <row r="1421">
      <c r="A1421" s="2" t="inlineStr">
        <is>
          <t>IT00565_04</t>
        </is>
      </c>
      <c r="B1421" s="2" t="inlineStr">
        <is>
          <t>PED00565</t>
        </is>
      </c>
      <c r="C1421" s="2" t="inlineStr">
        <is>
          <t>P009</t>
        </is>
      </c>
      <c r="D1421" s="2" t="n">
        <v>1</v>
      </c>
      <c r="E1421" s="19" t="n">
        <v>0.02</v>
      </c>
    </row>
    <row r="1422">
      <c r="A1422" s="2" t="inlineStr">
        <is>
          <t>IT00566_01</t>
        </is>
      </c>
      <c r="B1422" s="2" t="inlineStr">
        <is>
          <t>PED00566</t>
        </is>
      </c>
      <c r="C1422" s="2" t="inlineStr">
        <is>
          <t>P016</t>
        </is>
      </c>
      <c r="D1422" s="2" t="n">
        <v>1</v>
      </c>
      <c r="E1422" s="19" t="n">
        <v>0.05</v>
      </c>
    </row>
    <row r="1423">
      <c r="A1423" s="2" t="inlineStr">
        <is>
          <t>IT00566_02</t>
        </is>
      </c>
      <c r="B1423" s="2" t="inlineStr">
        <is>
          <t>PED00566</t>
        </is>
      </c>
      <c r="C1423" s="2" t="inlineStr">
        <is>
          <t>P048</t>
        </is>
      </c>
      <c r="D1423" s="2" t="n">
        <v>1</v>
      </c>
      <c r="E1423" s="19" t="n">
        <v>0.1</v>
      </c>
    </row>
    <row r="1424">
      <c r="A1424" s="2" t="inlineStr">
        <is>
          <t>IT00566_03</t>
        </is>
      </c>
      <c r="B1424" s="2" t="inlineStr">
        <is>
          <t>PED00566</t>
        </is>
      </c>
      <c r="C1424" s="2" t="inlineStr">
        <is>
          <t>P014</t>
        </is>
      </c>
      <c r="D1424" s="2" t="n">
        <v>4</v>
      </c>
      <c r="E1424" s="19" t="n">
        <v>0.02</v>
      </c>
    </row>
    <row r="1425">
      <c r="A1425" s="2" t="inlineStr">
        <is>
          <t>IT00566_04</t>
        </is>
      </c>
      <c r="B1425" s="2" t="inlineStr">
        <is>
          <t>PED00566</t>
        </is>
      </c>
      <c r="C1425" s="2" t="inlineStr">
        <is>
          <t>P004</t>
        </is>
      </c>
      <c r="D1425" s="2" t="n">
        <v>1</v>
      </c>
      <c r="E1425" s="19" t="n">
        <v>0</v>
      </c>
    </row>
    <row r="1426">
      <c r="A1426" s="2" t="inlineStr">
        <is>
          <t>IT00567_01</t>
        </is>
      </c>
      <c r="B1426" s="2" t="inlineStr">
        <is>
          <t>PED00567</t>
        </is>
      </c>
      <c r="C1426" s="2" t="inlineStr">
        <is>
          <t>P015</t>
        </is>
      </c>
      <c r="D1426" s="2" t="n">
        <v>1</v>
      </c>
      <c r="E1426" s="19" t="n">
        <v>0</v>
      </c>
    </row>
    <row r="1427">
      <c r="A1427" s="2" t="inlineStr">
        <is>
          <t>IT00567_02</t>
        </is>
      </c>
      <c r="B1427" s="2" t="inlineStr">
        <is>
          <t>PED00567</t>
        </is>
      </c>
      <c r="C1427" s="2" t="inlineStr">
        <is>
          <t>P007</t>
        </is>
      </c>
      <c r="D1427" s="2" t="n">
        <v>2</v>
      </c>
      <c r="E1427" s="19" t="n">
        <v>0.05</v>
      </c>
    </row>
    <row r="1428">
      <c r="A1428" s="2" t="inlineStr">
        <is>
          <t>IT00567_03</t>
        </is>
      </c>
      <c r="B1428" s="2" t="inlineStr">
        <is>
          <t>PED00567</t>
        </is>
      </c>
      <c r="C1428" s="2" t="inlineStr">
        <is>
          <t>P039</t>
        </is>
      </c>
      <c r="D1428" s="2" t="n">
        <v>1</v>
      </c>
      <c r="E1428" s="19" t="n">
        <v>0</v>
      </c>
    </row>
    <row r="1429">
      <c r="A1429" s="2" t="inlineStr">
        <is>
          <t>IT00568_01</t>
        </is>
      </c>
      <c r="B1429" s="2" t="inlineStr">
        <is>
          <t>PED00568</t>
        </is>
      </c>
      <c r="C1429" s="2" t="inlineStr">
        <is>
          <t>P053</t>
        </is>
      </c>
      <c r="D1429" s="2" t="n">
        <v>2</v>
      </c>
      <c r="E1429" s="19" t="n">
        <v>0</v>
      </c>
    </row>
    <row r="1430">
      <c r="A1430" s="2" t="inlineStr">
        <is>
          <t>IT00568_02</t>
        </is>
      </c>
      <c r="B1430" s="2" t="inlineStr">
        <is>
          <t>PED00568</t>
        </is>
      </c>
      <c r="C1430" s="2" t="inlineStr">
        <is>
          <t>P058</t>
        </is>
      </c>
      <c r="D1430" s="2" t="n">
        <v>2</v>
      </c>
      <c r="E1430" s="19" t="n">
        <v>0</v>
      </c>
    </row>
    <row r="1431">
      <c r="A1431" s="2" t="inlineStr">
        <is>
          <t>IT00568_03</t>
        </is>
      </c>
      <c r="B1431" s="2" t="inlineStr">
        <is>
          <t>PED00568</t>
        </is>
      </c>
      <c r="C1431" s="2" t="inlineStr">
        <is>
          <t>P016</t>
        </is>
      </c>
      <c r="D1431" s="2" t="n">
        <v>1</v>
      </c>
      <c r="E1431" s="19" t="n">
        <v>0.02</v>
      </c>
    </row>
    <row r="1432">
      <c r="A1432" s="2" t="inlineStr">
        <is>
          <t>IT00569_01</t>
        </is>
      </c>
      <c r="B1432" s="2" t="inlineStr">
        <is>
          <t>PED00569</t>
        </is>
      </c>
      <c r="C1432" s="2" t="inlineStr">
        <is>
          <t>P032</t>
        </is>
      </c>
      <c r="D1432" s="2" t="n">
        <v>1</v>
      </c>
      <c r="E1432" s="19" t="n">
        <v>0</v>
      </c>
    </row>
    <row r="1433">
      <c r="A1433" s="2" t="inlineStr">
        <is>
          <t>IT00569_02</t>
        </is>
      </c>
      <c r="B1433" s="2" t="inlineStr">
        <is>
          <t>PED00569</t>
        </is>
      </c>
      <c r="C1433" s="2" t="inlineStr">
        <is>
          <t>P027</t>
        </is>
      </c>
      <c r="D1433" s="2" t="n">
        <v>1</v>
      </c>
      <c r="E1433" s="19" t="n">
        <v>0.02</v>
      </c>
    </row>
    <row r="1434">
      <c r="A1434" s="2" t="inlineStr">
        <is>
          <t>IT00569_03</t>
        </is>
      </c>
      <c r="B1434" s="2" t="inlineStr">
        <is>
          <t>PED00569</t>
        </is>
      </c>
      <c r="C1434" s="2" t="inlineStr">
        <is>
          <t>P010</t>
        </is>
      </c>
      <c r="D1434" s="2" t="n">
        <v>2</v>
      </c>
      <c r="E1434" s="19" t="n">
        <v>0</v>
      </c>
    </row>
    <row r="1435">
      <c r="A1435" s="2" t="inlineStr">
        <is>
          <t>IT00570_01</t>
        </is>
      </c>
      <c r="B1435" s="2" t="inlineStr">
        <is>
          <t>PED00570</t>
        </is>
      </c>
      <c r="C1435" s="2" t="inlineStr">
        <is>
          <t>P040</t>
        </is>
      </c>
      <c r="D1435" s="2" t="n">
        <v>1</v>
      </c>
      <c r="E1435" s="19" t="n">
        <v>0</v>
      </c>
    </row>
    <row r="1436">
      <c r="A1436" s="2" t="inlineStr">
        <is>
          <t>IT00570_02</t>
        </is>
      </c>
      <c r="B1436" s="2" t="inlineStr">
        <is>
          <t>PED00570</t>
        </is>
      </c>
      <c r="C1436" s="2" t="inlineStr">
        <is>
          <t>P059</t>
        </is>
      </c>
      <c r="D1436" s="2" t="n">
        <v>4</v>
      </c>
      <c r="E1436" s="19" t="n">
        <v>0</v>
      </c>
    </row>
    <row r="1437">
      <c r="A1437" s="2" t="inlineStr">
        <is>
          <t>IT00570_03</t>
        </is>
      </c>
      <c r="B1437" s="2" t="inlineStr">
        <is>
          <t>PED00570</t>
        </is>
      </c>
      <c r="C1437" s="2" t="inlineStr">
        <is>
          <t>P020</t>
        </is>
      </c>
      <c r="D1437" s="2" t="n">
        <v>2</v>
      </c>
      <c r="E1437" s="19" t="n">
        <v>0</v>
      </c>
    </row>
    <row r="1438">
      <c r="A1438" s="2" t="inlineStr">
        <is>
          <t>IT00570_04</t>
        </is>
      </c>
      <c r="B1438" s="2" t="inlineStr">
        <is>
          <t>PED00570</t>
        </is>
      </c>
      <c r="C1438" s="2" t="inlineStr">
        <is>
          <t>P065</t>
        </is>
      </c>
      <c r="D1438" s="2" t="n">
        <v>1</v>
      </c>
      <c r="E1438" s="19" t="n">
        <v>0</v>
      </c>
    </row>
    <row r="1439">
      <c r="A1439" s="2" t="inlineStr">
        <is>
          <t>IT00571_01</t>
        </is>
      </c>
      <c r="B1439" s="2" t="inlineStr">
        <is>
          <t>PED00571</t>
        </is>
      </c>
      <c r="C1439" s="2" t="inlineStr">
        <is>
          <t>P019</t>
        </is>
      </c>
      <c r="D1439" s="2" t="n">
        <v>3</v>
      </c>
      <c r="E1439" s="19" t="n">
        <v>0</v>
      </c>
    </row>
    <row r="1440">
      <c r="A1440" s="2" t="inlineStr">
        <is>
          <t>IT00571_02</t>
        </is>
      </c>
      <c r="B1440" s="2" t="inlineStr">
        <is>
          <t>PED00571</t>
        </is>
      </c>
      <c r="C1440" s="2" t="inlineStr">
        <is>
          <t>P060</t>
        </is>
      </c>
      <c r="D1440" s="2" t="n">
        <v>4</v>
      </c>
      <c r="E1440" s="19" t="n">
        <v>0</v>
      </c>
    </row>
    <row r="1441">
      <c r="A1441" s="2" t="inlineStr">
        <is>
          <t>IT00571_03</t>
        </is>
      </c>
      <c r="B1441" s="2" t="inlineStr">
        <is>
          <t>PED00571</t>
        </is>
      </c>
      <c r="C1441" s="2" t="inlineStr">
        <is>
          <t>P014</t>
        </is>
      </c>
      <c r="D1441" s="2" t="n">
        <v>1</v>
      </c>
      <c r="E1441" s="19" t="n">
        <v>0.02</v>
      </c>
    </row>
    <row r="1442">
      <c r="A1442" s="2" t="inlineStr">
        <is>
          <t>IT00572_01</t>
        </is>
      </c>
      <c r="B1442" s="2" t="inlineStr">
        <is>
          <t>PED00572</t>
        </is>
      </c>
      <c r="C1442" s="2" t="inlineStr">
        <is>
          <t>P051</t>
        </is>
      </c>
      <c r="D1442" s="2" t="n">
        <v>2</v>
      </c>
      <c r="E1442" s="19" t="n">
        <v>0</v>
      </c>
    </row>
    <row r="1443">
      <c r="A1443" s="2" t="inlineStr">
        <is>
          <t>IT00573_01</t>
        </is>
      </c>
      <c r="B1443" s="2" t="inlineStr">
        <is>
          <t>PED00573</t>
        </is>
      </c>
      <c r="C1443" s="2" t="inlineStr">
        <is>
          <t>P025</t>
        </is>
      </c>
      <c r="D1443" s="2" t="n">
        <v>2</v>
      </c>
      <c r="E1443" s="19" t="n">
        <v>0</v>
      </c>
    </row>
    <row r="1444">
      <c r="A1444" s="2" t="inlineStr">
        <is>
          <t>IT00573_02</t>
        </is>
      </c>
      <c r="B1444" s="2" t="inlineStr">
        <is>
          <t>PED00573</t>
        </is>
      </c>
      <c r="C1444" s="2" t="inlineStr">
        <is>
          <t>P038</t>
        </is>
      </c>
      <c r="D1444" s="2" t="n">
        <v>2</v>
      </c>
      <c r="E1444" s="19" t="n">
        <v>0</v>
      </c>
    </row>
    <row r="1445">
      <c r="A1445" s="2" t="inlineStr">
        <is>
          <t>IT00573_03</t>
        </is>
      </c>
      <c r="B1445" s="2" t="inlineStr">
        <is>
          <t>PED00573</t>
        </is>
      </c>
      <c r="C1445" s="2" t="inlineStr">
        <is>
          <t>P052</t>
        </is>
      </c>
      <c r="D1445" s="2" t="n">
        <v>2</v>
      </c>
      <c r="E1445" s="19" t="n">
        <v>0</v>
      </c>
    </row>
    <row r="1446">
      <c r="A1446" s="2" t="inlineStr">
        <is>
          <t>IT00573_04</t>
        </is>
      </c>
      <c r="B1446" s="2" t="inlineStr">
        <is>
          <t>PED00573</t>
        </is>
      </c>
      <c r="C1446" s="2" t="inlineStr">
        <is>
          <t>P023</t>
        </is>
      </c>
      <c r="D1446" s="2" t="n">
        <v>5</v>
      </c>
      <c r="E1446" s="19" t="n">
        <v>0</v>
      </c>
    </row>
    <row r="1447">
      <c r="A1447" s="2" t="inlineStr">
        <is>
          <t>IT00574_01</t>
        </is>
      </c>
      <c r="B1447" s="2" t="inlineStr">
        <is>
          <t>PED00574</t>
        </is>
      </c>
      <c r="C1447" s="2" t="inlineStr">
        <is>
          <t>P052</t>
        </is>
      </c>
      <c r="D1447" s="2" t="n">
        <v>3</v>
      </c>
      <c r="E1447" s="19" t="n">
        <v>0.05</v>
      </c>
    </row>
    <row r="1448">
      <c r="A1448" s="2" t="inlineStr">
        <is>
          <t>IT00574_02</t>
        </is>
      </c>
      <c r="B1448" s="2" t="inlineStr">
        <is>
          <t>PED00574</t>
        </is>
      </c>
      <c r="C1448" s="2" t="inlineStr">
        <is>
          <t>P051</t>
        </is>
      </c>
      <c r="D1448" s="2" t="n">
        <v>1</v>
      </c>
      <c r="E1448" s="19" t="n">
        <v>0</v>
      </c>
    </row>
    <row r="1449">
      <c r="A1449" s="2" t="inlineStr">
        <is>
          <t>IT00574_03</t>
        </is>
      </c>
      <c r="B1449" s="2" t="inlineStr">
        <is>
          <t>PED00574</t>
        </is>
      </c>
      <c r="C1449" s="2" t="inlineStr">
        <is>
          <t>P013</t>
        </is>
      </c>
      <c r="D1449" s="2" t="n">
        <v>3</v>
      </c>
      <c r="E1449" s="19" t="n">
        <v>0</v>
      </c>
    </row>
    <row r="1450">
      <c r="A1450" s="2" t="inlineStr">
        <is>
          <t>IT00574_04</t>
        </is>
      </c>
      <c r="B1450" s="2" t="inlineStr">
        <is>
          <t>PED00574</t>
        </is>
      </c>
      <c r="C1450" s="2" t="inlineStr">
        <is>
          <t>P029</t>
        </is>
      </c>
      <c r="D1450" s="2" t="n">
        <v>1</v>
      </c>
      <c r="E1450" s="19" t="n">
        <v>0</v>
      </c>
    </row>
    <row r="1451">
      <c r="A1451" s="2" t="inlineStr">
        <is>
          <t>IT00575_01</t>
        </is>
      </c>
      <c r="B1451" s="2" t="inlineStr">
        <is>
          <t>PED00575</t>
        </is>
      </c>
      <c r="C1451" s="2" t="inlineStr">
        <is>
          <t>P031</t>
        </is>
      </c>
      <c r="D1451" s="2" t="n">
        <v>1</v>
      </c>
      <c r="E1451" s="19" t="n">
        <v>0</v>
      </c>
    </row>
    <row r="1452">
      <c r="A1452" s="2" t="inlineStr">
        <is>
          <t>IT00575_02</t>
        </is>
      </c>
      <c r="B1452" s="2" t="inlineStr">
        <is>
          <t>PED00575</t>
        </is>
      </c>
      <c r="C1452" s="2" t="inlineStr">
        <is>
          <t>P022</t>
        </is>
      </c>
      <c r="D1452" s="2" t="n">
        <v>1</v>
      </c>
      <c r="E1452" s="19" t="n">
        <v>0.05</v>
      </c>
    </row>
    <row r="1453">
      <c r="A1453" s="2" t="inlineStr">
        <is>
          <t>IT00576_01</t>
        </is>
      </c>
      <c r="B1453" s="2" t="inlineStr">
        <is>
          <t>PED00576</t>
        </is>
      </c>
      <c r="C1453" s="2" t="inlineStr">
        <is>
          <t>P022</t>
        </is>
      </c>
      <c r="D1453" s="2" t="n">
        <v>2</v>
      </c>
      <c r="E1453" s="19" t="n">
        <v>0</v>
      </c>
    </row>
    <row r="1454">
      <c r="A1454" s="2" t="inlineStr">
        <is>
          <t>IT00576_02</t>
        </is>
      </c>
      <c r="B1454" s="2" t="inlineStr">
        <is>
          <t>PED00576</t>
        </is>
      </c>
      <c r="C1454" s="2" t="inlineStr">
        <is>
          <t>P002</t>
        </is>
      </c>
      <c r="D1454" s="2" t="n">
        <v>1</v>
      </c>
      <c r="E1454" s="19" t="n">
        <v>0</v>
      </c>
    </row>
    <row r="1455">
      <c r="A1455" s="2" t="inlineStr">
        <is>
          <t>IT00576_03</t>
        </is>
      </c>
      <c r="B1455" s="2" t="inlineStr">
        <is>
          <t>PED00576</t>
        </is>
      </c>
      <c r="C1455" s="2" t="inlineStr">
        <is>
          <t>P046</t>
        </is>
      </c>
      <c r="D1455" s="2" t="n">
        <v>3</v>
      </c>
      <c r="E1455" s="19" t="n">
        <v>0</v>
      </c>
    </row>
    <row r="1456">
      <c r="A1456" s="2" t="inlineStr">
        <is>
          <t>IT00576_04</t>
        </is>
      </c>
      <c r="B1456" s="2" t="inlineStr">
        <is>
          <t>PED00576</t>
        </is>
      </c>
      <c r="C1456" s="2" t="inlineStr">
        <is>
          <t>P061</t>
        </is>
      </c>
      <c r="D1456" s="2" t="n">
        <v>10</v>
      </c>
      <c r="E1456" s="19" t="n">
        <v>0.05</v>
      </c>
    </row>
    <row r="1457">
      <c r="A1457" s="2" t="inlineStr">
        <is>
          <t>IT00577_01</t>
        </is>
      </c>
      <c r="B1457" s="2" t="inlineStr">
        <is>
          <t>PED00577</t>
        </is>
      </c>
      <c r="C1457" s="2" t="inlineStr">
        <is>
          <t>P043</t>
        </is>
      </c>
      <c r="D1457" s="2" t="n">
        <v>10</v>
      </c>
      <c r="E1457" s="19" t="n">
        <v>0</v>
      </c>
    </row>
    <row r="1458">
      <c r="A1458" s="2" t="inlineStr">
        <is>
          <t>IT00577_02</t>
        </is>
      </c>
      <c r="B1458" s="2" t="inlineStr">
        <is>
          <t>PED00577</t>
        </is>
      </c>
      <c r="C1458" s="2" t="inlineStr">
        <is>
          <t>P058</t>
        </is>
      </c>
      <c r="D1458" s="2" t="n">
        <v>2</v>
      </c>
      <c r="E1458" s="19" t="n">
        <v>0</v>
      </c>
    </row>
    <row r="1459">
      <c r="A1459" s="2" t="inlineStr">
        <is>
          <t>IT00577_03</t>
        </is>
      </c>
      <c r="B1459" s="2" t="inlineStr">
        <is>
          <t>PED00577</t>
        </is>
      </c>
      <c r="C1459" s="2" t="inlineStr">
        <is>
          <t>P063</t>
        </is>
      </c>
      <c r="D1459" s="2" t="n">
        <v>1</v>
      </c>
      <c r="E1459" s="19" t="n">
        <v>0</v>
      </c>
    </row>
    <row r="1460">
      <c r="A1460" s="2" t="inlineStr">
        <is>
          <t>IT00577_04</t>
        </is>
      </c>
      <c r="B1460" s="2" t="inlineStr">
        <is>
          <t>PED00577</t>
        </is>
      </c>
      <c r="C1460" s="2" t="inlineStr">
        <is>
          <t>P045</t>
        </is>
      </c>
      <c r="D1460" s="2" t="n">
        <v>3</v>
      </c>
      <c r="E1460" s="19" t="n">
        <v>0.05</v>
      </c>
    </row>
    <row r="1461">
      <c r="A1461" s="2" t="inlineStr">
        <is>
          <t>IT00578_01</t>
        </is>
      </c>
      <c r="B1461" s="2" t="inlineStr">
        <is>
          <t>PED00578</t>
        </is>
      </c>
      <c r="C1461" s="2" t="inlineStr">
        <is>
          <t>P053</t>
        </is>
      </c>
      <c r="D1461" s="2" t="n">
        <v>4</v>
      </c>
      <c r="E1461" s="19" t="n">
        <v>0.02</v>
      </c>
    </row>
    <row r="1462">
      <c r="A1462" s="2" t="inlineStr">
        <is>
          <t>IT00579_01</t>
        </is>
      </c>
      <c r="B1462" s="2" t="inlineStr">
        <is>
          <t>PED00579</t>
        </is>
      </c>
      <c r="C1462" s="2" t="inlineStr">
        <is>
          <t>P027</t>
        </is>
      </c>
      <c r="D1462" s="2" t="n">
        <v>1</v>
      </c>
      <c r="E1462" s="19" t="n">
        <v>0.1</v>
      </c>
    </row>
    <row r="1463">
      <c r="A1463" s="2" t="inlineStr">
        <is>
          <t>IT00579_02</t>
        </is>
      </c>
      <c r="B1463" s="2" t="inlineStr">
        <is>
          <t>PED00579</t>
        </is>
      </c>
      <c r="C1463" s="2" t="inlineStr">
        <is>
          <t>P012</t>
        </is>
      </c>
      <c r="D1463" s="2" t="n">
        <v>2</v>
      </c>
      <c r="E1463" s="19" t="n">
        <v>0.1</v>
      </c>
    </row>
    <row r="1464">
      <c r="A1464" s="2" t="inlineStr">
        <is>
          <t>IT00580_01</t>
        </is>
      </c>
      <c r="B1464" s="2" t="inlineStr">
        <is>
          <t>PED00580</t>
        </is>
      </c>
      <c r="C1464" s="2" t="inlineStr">
        <is>
          <t>P045</t>
        </is>
      </c>
      <c r="D1464" s="2" t="n">
        <v>5</v>
      </c>
      <c r="E1464" s="19" t="n">
        <v>0</v>
      </c>
    </row>
    <row r="1465">
      <c r="A1465" s="2" t="inlineStr">
        <is>
          <t>IT00580_02</t>
        </is>
      </c>
      <c r="B1465" s="2" t="inlineStr">
        <is>
          <t>PED00580</t>
        </is>
      </c>
      <c r="C1465" s="2" t="inlineStr">
        <is>
          <t>P043</t>
        </is>
      </c>
      <c r="D1465" s="2" t="n">
        <v>1</v>
      </c>
      <c r="E1465" s="19" t="n">
        <v>0</v>
      </c>
    </row>
    <row r="1466">
      <c r="A1466" s="2" t="inlineStr">
        <is>
          <t>IT00580_03</t>
        </is>
      </c>
      <c r="B1466" s="2" t="inlineStr">
        <is>
          <t>PED00580</t>
        </is>
      </c>
      <c r="C1466" s="2" t="inlineStr">
        <is>
          <t>P051</t>
        </is>
      </c>
      <c r="D1466" s="2" t="n">
        <v>3</v>
      </c>
      <c r="E1466" s="19" t="n">
        <v>0.05</v>
      </c>
    </row>
    <row r="1467">
      <c r="A1467" s="2" t="inlineStr">
        <is>
          <t>IT00580_04</t>
        </is>
      </c>
      <c r="B1467" s="2" t="inlineStr">
        <is>
          <t>PED00580</t>
        </is>
      </c>
      <c r="C1467" s="2" t="inlineStr">
        <is>
          <t>P054</t>
        </is>
      </c>
      <c r="D1467" s="2" t="n">
        <v>1</v>
      </c>
      <c r="E1467" s="19" t="n">
        <v>0.02</v>
      </c>
    </row>
    <row r="1468">
      <c r="A1468" s="2" t="inlineStr">
        <is>
          <t>IT00581_01</t>
        </is>
      </c>
      <c r="B1468" s="2" t="inlineStr">
        <is>
          <t>PED00581</t>
        </is>
      </c>
      <c r="C1468" s="2" t="inlineStr">
        <is>
          <t>P020</t>
        </is>
      </c>
      <c r="D1468" s="2" t="n">
        <v>2</v>
      </c>
      <c r="E1468" s="19" t="n">
        <v>0</v>
      </c>
    </row>
    <row r="1469">
      <c r="A1469" s="2" t="inlineStr">
        <is>
          <t>IT00582_01</t>
        </is>
      </c>
      <c r="B1469" s="2" t="inlineStr">
        <is>
          <t>PED00582</t>
        </is>
      </c>
      <c r="C1469" s="2" t="inlineStr">
        <is>
          <t>P006</t>
        </is>
      </c>
      <c r="D1469" s="2" t="n">
        <v>1</v>
      </c>
      <c r="E1469" s="19" t="n">
        <v>0.05</v>
      </c>
    </row>
    <row r="1470">
      <c r="A1470" s="2" t="inlineStr">
        <is>
          <t>IT00583_01</t>
        </is>
      </c>
      <c r="B1470" s="2" t="inlineStr">
        <is>
          <t>PED00583</t>
        </is>
      </c>
      <c r="C1470" s="2" t="inlineStr">
        <is>
          <t>P033</t>
        </is>
      </c>
      <c r="D1470" s="2" t="n">
        <v>1</v>
      </c>
      <c r="E1470" s="19" t="n">
        <v>0.05</v>
      </c>
    </row>
    <row r="1471">
      <c r="A1471" s="2" t="inlineStr">
        <is>
          <t>IT00584_01</t>
        </is>
      </c>
      <c r="B1471" s="2" t="inlineStr">
        <is>
          <t>PED00584</t>
        </is>
      </c>
      <c r="C1471" s="2" t="inlineStr">
        <is>
          <t>P056</t>
        </is>
      </c>
      <c r="D1471" s="2" t="n">
        <v>1</v>
      </c>
      <c r="E1471" s="19" t="n">
        <v>0</v>
      </c>
    </row>
    <row r="1472">
      <c r="A1472" s="2" t="inlineStr">
        <is>
          <t>IT00584_02</t>
        </is>
      </c>
      <c r="B1472" s="2" t="inlineStr">
        <is>
          <t>PED00584</t>
        </is>
      </c>
      <c r="C1472" s="2" t="inlineStr">
        <is>
          <t>P011</t>
        </is>
      </c>
      <c r="D1472" s="2" t="n">
        <v>1</v>
      </c>
      <c r="E1472" s="19" t="n">
        <v>0.05</v>
      </c>
    </row>
    <row r="1473">
      <c r="A1473" s="2" t="inlineStr">
        <is>
          <t>IT00584_03</t>
        </is>
      </c>
      <c r="B1473" s="2" t="inlineStr">
        <is>
          <t>PED00584</t>
        </is>
      </c>
      <c r="C1473" s="2" t="inlineStr">
        <is>
          <t>P038</t>
        </is>
      </c>
      <c r="D1473" s="2" t="n">
        <v>2</v>
      </c>
      <c r="E1473" s="19" t="n">
        <v>0</v>
      </c>
    </row>
    <row r="1474">
      <c r="A1474" s="2" t="inlineStr">
        <is>
          <t>IT00585_01</t>
        </is>
      </c>
      <c r="B1474" s="2" t="inlineStr">
        <is>
          <t>PED00585</t>
        </is>
      </c>
      <c r="C1474" s="2" t="inlineStr">
        <is>
          <t>P018</t>
        </is>
      </c>
      <c r="D1474" s="2" t="n">
        <v>2</v>
      </c>
      <c r="E1474" s="19" t="n">
        <v>0</v>
      </c>
    </row>
    <row r="1475">
      <c r="A1475" s="2" t="inlineStr">
        <is>
          <t>IT00585_02</t>
        </is>
      </c>
      <c r="B1475" s="2" t="inlineStr">
        <is>
          <t>PED00585</t>
        </is>
      </c>
      <c r="C1475" s="2" t="inlineStr">
        <is>
          <t>P026</t>
        </is>
      </c>
      <c r="D1475" s="2" t="n">
        <v>1</v>
      </c>
      <c r="E1475" s="19" t="n">
        <v>0</v>
      </c>
    </row>
    <row r="1476">
      <c r="A1476" s="2" t="inlineStr">
        <is>
          <t>IT00585_03</t>
        </is>
      </c>
      <c r="B1476" s="2" t="inlineStr">
        <is>
          <t>PED00585</t>
        </is>
      </c>
      <c r="C1476" s="2" t="inlineStr">
        <is>
          <t>P033</t>
        </is>
      </c>
      <c r="D1476" s="2" t="n">
        <v>2</v>
      </c>
      <c r="E1476" s="19" t="n">
        <v>0</v>
      </c>
    </row>
    <row r="1477">
      <c r="A1477" s="2" t="inlineStr">
        <is>
          <t>IT00585_04</t>
        </is>
      </c>
      <c r="B1477" s="2" t="inlineStr">
        <is>
          <t>PED00585</t>
        </is>
      </c>
      <c r="C1477" s="2" t="inlineStr">
        <is>
          <t>P054</t>
        </is>
      </c>
      <c r="D1477" s="2" t="n">
        <v>1</v>
      </c>
      <c r="E1477" s="19" t="n">
        <v>0.05</v>
      </c>
    </row>
    <row r="1478">
      <c r="A1478" s="2" t="inlineStr">
        <is>
          <t>IT00586_01</t>
        </is>
      </c>
      <c r="B1478" s="2" t="inlineStr">
        <is>
          <t>PED00586</t>
        </is>
      </c>
      <c r="C1478" s="2" t="inlineStr">
        <is>
          <t>P046</t>
        </is>
      </c>
      <c r="D1478" s="2" t="n">
        <v>2</v>
      </c>
      <c r="E1478" s="19" t="n">
        <v>0.1</v>
      </c>
    </row>
    <row r="1479">
      <c r="A1479" s="2" t="inlineStr">
        <is>
          <t>IT00586_02</t>
        </is>
      </c>
      <c r="B1479" s="2" t="inlineStr">
        <is>
          <t>PED00586</t>
        </is>
      </c>
      <c r="C1479" s="2" t="inlineStr">
        <is>
          <t>P060</t>
        </is>
      </c>
      <c r="D1479" s="2" t="n">
        <v>2</v>
      </c>
      <c r="E1479" s="19" t="n">
        <v>0.05</v>
      </c>
    </row>
    <row r="1480">
      <c r="A1480" s="2" t="inlineStr">
        <is>
          <t>IT00586_03</t>
        </is>
      </c>
      <c r="B1480" s="2" t="inlineStr">
        <is>
          <t>PED00586</t>
        </is>
      </c>
      <c r="C1480" s="2" t="inlineStr">
        <is>
          <t>P055</t>
        </is>
      </c>
      <c r="D1480" s="2" t="n">
        <v>1</v>
      </c>
      <c r="E1480" s="19" t="n">
        <v>0.02</v>
      </c>
    </row>
    <row r="1481">
      <c r="A1481" s="2" t="inlineStr">
        <is>
          <t>IT00587_01</t>
        </is>
      </c>
      <c r="B1481" s="2" t="inlineStr">
        <is>
          <t>PED00587</t>
        </is>
      </c>
      <c r="C1481" s="2" t="inlineStr">
        <is>
          <t>P038</t>
        </is>
      </c>
      <c r="D1481" s="2" t="n">
        <v>1</v>
      </c>
      <c r="E1481" s="19" t="n">
        <v>0.02</v>
      </c>
    </row>
    <row r="1482">
      <c r="A1482" s="2" t="inlineStr">
        <is>
          <t>IT00587_02</t>
        </is>
      </c>
      <c r="B1482" s="2" t="inlineStr">
        <is>
          <t>PED00587</t>
        </is>
      </c>
      <c r="C1482" s="2" t="inlineStr">
        <is>
          <t>P007</t>
        </is>
      </c>
      <c r="D1482" s="2" t="n">
        <v>2</v>
      </c>
      <c r="E1482" s="19" t="n">
        <v>0.02</v>
      </c>
    </row>
    <row r="1483">
      <c r="A1483" s="2" t="inlineStr">
        <is>
          <t>IT00587_03</t>
        </is>
      </c>
      <c r="B1483" s="2" t="inlineStr">
        <is>
          <t>PED00587</t>
        </is>
      </c>
      <c r="C1483" s="2" t="inlineStr">
        <is>
          <t>P051</t>
        </is>
      </c>
      <c r="D1483" s="2" t="n">
        <v>2</v>
      </c>
      <c r="E1483" s="19" t="n">
        <v>0.05</v>
      </c>
    </row>
    <row r="1484">
      <c r="A1484" s="2" t="inlineStr">
        <is>
          <t>IT00588_01</t>
        </is>
      </c>
      <c r="B1484" s="2" t="inlineStr">
        <is>
          <t>PED00588</t>
        </is>
      </c>
      <c r="C1484" s="2" t="inlineStr">
        <is>
          <t>P038</t>
        </is>
      </c>
      <c r="D1484" s="2" t="n">
        <v>2</v>
      </c>
      <c r="E1484" s="19" t="n">
        <v>0.02</v>
      </c>
    </row>
    <row r="1485">
      <c r="A1485" s="2" t="inlineStr">
        <is>
          <t>IT00589_01</t>
        </is>
      </c>
      <c r="B1485" s="2" t="inlineStr">
        <is>
          <t>PED00589</t>
        </is>
      </c>
      <c r="C1485" s="2" t="inlineStr">
        <is>
          <t>P018</t>
        </is>
      </c>
      <c r="D1485" s="2" t="n">
        <v>3</v>
      </c>
      <c r="E1485" s="19" t="n">
        <v>0.05</v>
      </c>
    </row>
    <row r="1486">
      <c r="A1486" s="2" t="inlineStr">
        <is>
          <t>IT00589_02</t>
        </is>
      </c>
      <c r="B1486" s="2" t="inlineStr">
        <is>
          <t>PED00589</t>
        </is>
      </c>
      <c r="C1486" s="2" t="inlineStr">
        <is>
          <t>P029</t>
        </is>
      </c>
      <c r="D1486" s="2" t="n">
        <v>3</v>
      </c>
      <c r="E1486" s="19" t="n">
        <v>0</v>
      </c>
    </row>
    <row r="1487">
      <c r="A1487" s="2" t="inlineStr">
        <is>
          <t>IT00589_03</t>
        </is>
      </c>
      <c r="B1487" s="2" t="inlineStr">
        <is>
          <t>PED00589</t>
        </is>
      </c>
      <c r="C1487" s="2" t="inlineStr">
        <is>
          <t>P020</t>
        </is>
      </c>
      <c r="D1487" s="2" t="n">
        <v>1</v>
      </c>
      <c r="E1487" s="19" t="n">
        <v>0</v>
      </c>
    </row>
    <row r="1488">
      <c r="A1488" s="2" t="inlineStr">
        <is>
          <t>IT00589_04</t>
        </is>
      </c>
      <c r="B1488" s="2" t="inlineStr">
        <is>
          <t>PED00589</t>
        </is>
      </c>
      <c r="C1488" s="2" t="inlineStr">
        <is>
          <t>P039</t>
        </is>
      </c>
      <c r="D1488" s="2" t="n">
        <v>1</v>
      </c>
      <c r="E1488" s="19" t="n">
        <v>0.05</v>
      </c>
    </row>
    <row r="1489">
      <c r="A1489" s="2" t="inlineStr">
        <is>
          <t>IT00589_05</t>
        </is>
      </c>
      <c r="B1489" s="2" t="inlineStr">
        <is>
          <t>PED00589</t>
        </is>
      </c>
      <c r="C1489" s="2" t="inlineStr">
        <is>
          <t>P040</t>
        </is>
      </c>
      <c r="D1489" s="2" t="n">
        <v>2</v>
      </c>
      <c r="E1489" s="19" t="n">
        <v>0</v>
      </c>
    </row>
    <row r="1490">
      <c r="A1490" s="2" t="inlineStr">
        <is>
          <t>IT00590_01</t>
        </is>
      </c>
      <c r="B1490" s="2" t="inlineStr">
        <is>
          <t>PED00590</t>
        </is>
      </c>
      <c r="C1490" s="2" t="inlineStr">
        <is>
          <t>P052</t>
        </is>
      </c>
      <c r="D1490" s="2" t="n">
        <v>2</v>
      </c>
      <c r="E1490" s="19" t="n">
        <v>0</v>
      </c>
    </row>
    <row r="1491">
      <c r="A1491" s="2" t="inlineStr">
        <is>
          <t>IT00591_01</t>
        </is>
      </c>
      <c r="B1491" s="2" t="inlineStr">
        <is>
          <t>PED00591</t>
        </is>
      </c>
      <c r="C1491" s="2" t="inlineStr">
        <is>
          <t>P056</t>
        </is>
      </c>
      <c r="D1491" s="2" t="n">
        <v>1</v>
      </c>
      <c r="E1491" s="19" t="n">
        <v>0.05</v>
      </c>
    </row>
    <row r="1492">
      <c r="A1492" s="2" t="inlineStr">
        <is>
          <t>IT00591_02</t>
        </is>
      </c>
      <c r="B1492" s="2" t="inlineStr">
        <is>
          <t>PED00591</t>
        </is>
      </c>
      <c r="C1492" s="2" t="inlineStr">
        <is>
          <t>P019</t>
        </is>
      </c>
      <c r="D1492" s="2" t="n">
        <v>2</v>
      </c>
      <c r="E1492" s="19" t="n">
        <v>0</v>
      </c>
    </row>
    <row r="1493">
      <c r="A1493" s="2" t="inlineStr">
        <is>
          <t>IT00591_03</t>
        </is>
      </c>
      <c r="B1493" s="2" t="inlineStr">
        <is>
          <t>PED00591</t>
        </is>
      </c>
      <c r="C1493" s="2" t="inlineStr">
        <is>
          <t>P003</t>
        </is>
      </c>
      <c r="D1493" s="2" t="n">
        <v>3</v>
      </c>
      <c r="E1493" s="19" t="n">
        <v>0</v>
      </c>
    </row>
    <row r="1494">
      <c r="A1494" s="2" t="inlineStr">
        <is>
          <t>IT00592_01</t>
        </is>
      </c>
      <c r="B1494" s="2" t="inlineStr">
        <is>
          <t>PED00592</t>
        </is>
      </c>
      <c r="C1494" s="2" t="inlineStr">
        <is>
          <t>P036</t>
        </is>
      </c>
      <c r="D1494" s="2" t="n">
        <v>1</v>
      </c>
      <c r="E1494" s="19" t="n">
        <v>0.02</v>
      </c>
    </row>
    <row r="1495">
      <c r="A1495" s="2" t="inlineStr">
        <is>
          <t>IT00592_02</t>
        </is>
      </c>
      <c r="B1495" s="2" t="inlineStr">
        <is>
          <t>PED00592</t>
        </is>
      </c>
      <c r="C1495" s="2" t="inlineStr">
        <is>
          <t>P051</t>
        </is>
      </c>
      <c r="D1495" s="2" t="n">
        <v>2</v>
      </c>
      <c r="E1495" s="19" t="n">
        <v>0.05</v>
      </c>
    </row>
    <row r="1496">
      <c r="A1496" s="2" t="inlineStr">
        <is>
          <t>IT00593_01</t>
        </is>
      </c>
      <c r="B1496" s="2" t="inlineStr">
        <is>
          <t>PED00593</t>
        </is>
      </c>
      <c r="C1496" s="2" t="inlineStr">
        <is>
          <t>P057</t>
        </is>
      </c>
      <c r="D1496" s="2" t="n">
        <v>4</v>
      </c>
      <c r="E1496" s="19" t="n">
        <v>0</v>
      </c>
    </row>
    <row r="1497">
      <c r="A1497" s="2" t="inlineStr">
        <is>
          <t>IT00593_02</t>
        </is>
      </c>
      <c r="B1497" s="2" t="inlineStr">
        <is>
          <t>PED00593</t>
        </is>
      </c>
      <c r="C1497" s="2" t="inlineStr">
        <is>
          <t>P006</t>
        </is>
      </c>
      <c r="D1497" s="2" t="n">
        <v>1</v>
      </c>
      <c r="E1497" s="19" t="n">
        <v>0.05</v>
      </c>
    </row>
    <row r="1498">
      <c r="A1498" s="2" t="inlineStr">
        <is>
          <t>IT00594_01</t>
        </is>
      </c>
      <c r="B1498" s="2" t="inlineStr">
        <is>
          <t>PED00594</t>
        </is>
      </c>
      <c r="C1498" s="2" t="inlineStr">
        <is>
          <t>P045</t>
        </is>
      </c>
      <c r="D1498" s="2" t="n">
        <v>1</v>
      </c>
      <c r="E1498" s="19" t="n">
        <v>0</v>
      </c>
    </row>
    <row r="1499">
      <c r="A1499" s="2" t="inlineStr">
        <is>
          <t>IT00594_02</t>
        </is>
      </c>
      <c r="B1499" s="2" t="inlineStr">
        <is>
          <t>PED00594</t>
        </is>
      </c>
      <c r="C1499" s="2" t="inlineStr">
        <is>
          <t>P068</t>
        </is>
      </c>
      <c r="D1499" s="2" t="n">
        <v>2</v>
      </c>
      <c r="E1499" s="19" t="n">
        <v>0</v>
      </c>
    </row>
    <row r="1500">
      <c r="A1500" s="2" t="inlineStr">
        <is>
          <t>IT00595_01</t>
        </is>
      </c>
      <c r="B1500" s="2" t="inlineStr">
        <is>
          <t>PED00595</t>
        </is>
      </c>
      <c r="C1500" s="2" t="inlineStr">
        <is>
          <t>P039</t>
        </is>
      </c>
      <c r="D1500" s="2" t="n">
        <v>4</v>
      </c>
      <c r="E1500" s="19" t="n">
        <v>0</v>
      </c>
    </row>
    <row r="1501">
      <c r="A1501" s="2" t="inlineStr">
        <is>
          <t>IT00595_02</t>
        </is>
      </c>
      <c r="B1501" s="2" t="inlineStr">
        <is>
          <t>PED00595</t>
        </is>
      </c>
      <c r="C1501" s="2" t="inlineStr">
        <is>
          <t>P051</t>
        </is>
      </c>
      <c r="D1501" s="2" t="n">
        <v>1</v>
      </c>
      <c r="E1501" s="19" t="n">
        <v>0</v>
      </c>
    </row>
    <row r="1502">
      <c r="A1502" s="2" t="inlineStr">
        <is>
          <t>IT00595_03</t>
        </is>
      </c>
      <c r="B1502" s="2" t="inlineStr">
        <is>
          <t>PED00595</t>
        </is>
      </c>
      <c r="C1502" s="2" t="inlineStr">
        <is>
          <t>P009</t>
        </is>
      </c>
      <c r="D1502" s="2" t="n">
        <v>2</v>
      </c>
      <c r="E1502" s="19" t="n">
        <v>0</v>
      </c>
    </row>
    <row r="1503">
      <c r="A1503" s="2" t="inlineStr">
        <is>
          <t>IT00596_01</t>
        </is>
      </c>
      <c r="B1503" s="2" t="inlineStr">
        <is>
          <t>PED00596</t>
        </is>
      </c>
      <c r="C1503" s="2" t="inlineStr">
        <is>
          <t>P052</t>
        </is>
      </c>
      <c r="D1503" s="2" t="n">
        <v>1</v>
      </c>
      <c r="E1503" s="19" t="n">
        <v>0.05</v>
      </c>
    </row>
    <row r="1504">
      <c r="A1504" s="2" t="inlineStr">
        <is>
          <t>IT00596_02</t>
        </is>
      </c>
      <c r="B1504" s="2" t="inlineStr">
        <is>
          <t>PED00596</t>
        </is>
      </c>
      <c r="C1504" s="2" t="inlineStr">
        <is>
          <t>P009</t>
        </is>
      </c>
      <c r="D1504" s="2" t="n">
        <v>1</v>
      </c>
      <c r="E1504" s="19" t="n">
        <v>0</v>
      </c>
    </row>
    <row r="1505">
      <c r="A1505" s="2" t="inlineStr">
        <is>
          <t>IT00597_01</t>
        </is>
      </c>
      <c r="B1505" s="2" t="inlineStr">
        <is>
          <t>PED00597</t>
        </is>
      </c>
      <c r="C1505" s="2" t="inlineStr">
        <is>
          <t>P031</t>
        </is>
      </c>
      <c r="D1505" s="2" t="n">
        <v>3</v>
      </c>
      <c r="E1505" s="19" t="n">
        <v>0</v>
      </c>
    </row>
    <row r="1506">
      <c r="A1506" s="2" t="inlineStr">
        <is>
          <t>IT00597_02</t>
        </is>
      </c>
      <c r="B1506" s="2" t="inlineStr">
        <is>
          <t>PED00597</t>
        </is>
      </c>
      <c r="C1506" s="2" t="inlineStr">
        <is>
          <t>P014</t>
        </is>
      </c>
      <c r="D1506" s="2" t="n">
        <v>1</v>
      </c>
      <c r="E1506" s="19" t="n">
        <v>0</v>
      </c>
    </row>
    <row r="1507">
      <c r="A1507" s="2" t="inlineStr">
        <is>
          <t>IT00597_03</t>
        </is>
      </c>
      <c r="B1507" s="2" t="inlineStr">
        <is>
          <t>PED00597</t>
        </is>
      </c>
      <c r="C1507" s="2" t="inlineStr">
        <is>
          <t>P023</t>
        </is>
      </c>
      <c r="D1507" s="2" t="n">
        <v>1</v>
      </c>
      <c r="E1507" s="19" t="n">
        <v>0.05</v>
      </c>
    </row>
    <row r="1508">
      <c r="A1508" s="2" t="inlineStr">
        <is>
          <t>IT00597_04</t>
        </is>
      </c>
      <c r="B1508" s="2" t="inlineStr">
        <is>
          <t>PED00597</t>
        </is>
      </c>
      <c r="C1508" s="2" t="inlineStr">
        <is>
          <t>P050</t>
        </is>
      </c>
      <c r="D1508" s="2" t="n">
        <v>1</v>
      </c>
      <c r="E1508" s="19" t="n">
        <v>0.02</v>
      </c>
    </row>
    <row r="1509">
      <c r="A1509" s="2" t="inlineStr">
        <is>
          <t>IT00598_01</t>
        </is>
      </c>
      <c r="B1509" s="2" t="inlineStr">
        <is>
          <t>PED00598</t>
        </is>
      </c>
      <c r="C1509" s="2" t="inlineStr">
        <is>
          <t>P026</t>
        </is>
      </c>
      <c r="D1509" s="2" t="n">
        <v>2</v>
      </c>
      <c r="E1509" s="19" t="n">
        <v>0.02</v>
      </c>
    </row>
    <row r="1510">
      <c r="A1510" s="2" t="inlineStr">
        <is>
          <t>IT00598_02</t>
        </is>
      </c>
      <c r="B1510" s="2" t="inlineStr">
        <is>
          <t>PED00598</t>
        </is>
      </c>
      <c r="C1510" s="2" t="inlineStr">
        <is>
          <t>P033</t>
        </is>
      </c>
      <c r="D1510" s="2" t="n">
        <v>1</v>
      </c>
      <c r="E1510" s="19" t="n">
        <v>0.02</v>
      </c>
    </row>
    <row r="1511">
      <c r="A1511" s="2" t="inlineStr">
        <is>
          <t>IT00599_01</t>
        </is>
      </c>
      <c r="B1511" s="2" t="inlineStr">
        <is>
          <t>PED00599</t>
        </is>
      </c>
      <c r="C1511" s="2" t="inlineStr">
        <is>
          <t>P005</t>
        </is>
      </c>
      <c r="D1511" s="2" t="n">
        <v>3</v>
      </c>
      <c r="E1511" s="19" t="n">
        <v>0.05</v>
      </c>
    </row>
    <row r="1512">
      <c r="A1512" s="2" t="inlineStr">
        <is>
          <t>IT00600_01</t>
        </is>
      </c>
      <c r="B1512" s="2" t="inlineStr">
        <is>
          <t>PED00600</t>
        </is>
      </c>
      <c r="C1512" s="2" t="inlineStr">
        <is>
          <t>P068</t>
        </is>
      </c>
      <c r="D1512" s="2" t="n">
        <v>3</v>
      </c>
      <c r="E1512" s="19" t="n">
        <v>0</v>
      </c>
    </row>
    <row r="1513">
      <c r="A1513" s="2" t="inlineStr">
        <is>
          <t>IT00600_02</t>
        </is>
      </c>
      <c r="B1513" s="2" t="inlineStr">
        <is>
          <t>PED00600</t>
        </is>
      </c>
      <c r="C1513" s="2" t="inlineStr">
        <is>
          <t>P064</t>
        </is>
      </c>
      <c r="D1513" s="2" t="n">
        <v>2</v>
      </c>
      <c r="E1513" s="19" t="n">
        <v>0</v>
      </c>
    </row>
    <row r="1514">
      <c r="A1514" s="2" t="inlineStr">
        <is>
          <t>IT00600_03</t>
        </is>
      </c>
      <c r="B1514" s="2" t="inlineStr">
        <is>
          <t>PED00600</t>
        </is>
      </c>
      <c r="C1514" s="2" t="inlineStr">
        <is>
          <t>P025</t>
        </is>
      </c>
      <c r="D1514" s="2" t="n">
        <v>2</v>
      </c>
      <c r="E1514" s="19" t="n">
        <v>0</v>
      </c>
    </row>
    <row r="1515">
      <c r="A1515" s="2" t="inlineStr">
        <is>
          <t>IT00601_01</t>
        </is>
      </c>
      <c r="B1515" s="2" t="inlineStr">
        <is>
          <t>PED00601</t>
        </is>
      </c>
      <c r="C1515" s="2" t="inlineStr">
        <is>
          <t>P067</t>
        </is>
      </c>
      <c r="D1515" s="2" t="n">
        <v>1</v>
      </c>
      <c r="E1515" s="19" t="n">
        <v>0</v>
      </c>
    </row>
    <row r="1516">
      <c r="A1516" s="2" t="inlineStr">
        <is>
          <t>IT00602_01</t>
        </is>
      </c>
      <c r="B1516" s="2" t="inlineStr">
        <is>
          <t>PED00602</t>
        </is>
      </c>
      <c r="C1516" s="2" t="inlineStr">
        <is>
          <t>P050</t>
        </is>
      </c>
      <c r="D1516" s="2" t="n">
        <v>5</v>
      </c>
      <c r="E1516" s="19" t="n">
        <v>0</v>
      </c>
    </row>
    <row r="1517">
      <c r="A1517" s="2" t="inlineStr">
        <is>
          <t>IT00602_02</t>
        </is>
      </c>
      <c r="B1517" s="2" t="inlineStr">
        <is>
          <t>PED00602</t>
        </is>
      </c>
      <c r="C1517" s="2" t="inlineStr">
        <is>
          <t>P046</t>
        </is>
      </c>
      <c r="D1517" s="2" t="n">
        <v>2</v>
      </c>
      <c r="E1517" s="19" t="n">
        <v>0.05</v>
      </c>
    </row>
    <row r="1518">
      <c r="A1518" s="2" t="inlineStr">
        <is>
          <t>IT00602_03</t>
        </is>
      </c>
      <c r="B1518" s="2" t="inlineStr">
        <is>
          <t>PED00602</t>
        </is>
      </c>
      <c r="C1518" s="2" t="inlineStr">
        <is>
          <t>P009</t>
        </is>
      </c>
      <c r="D1518" s="2" t="n">
        <v>5</v>
      </c>
      <c r="E1518" s="19" t="n">
        <v>0</v>
      </c>
    </row>
    <row r="1519">
      <c r="A1519" s="2" t="inlineStr">
        <is>
          <t>IT00602_04</t>
        </is>
      </c>
      <c r="B1519" s="2" t="inlineStr">
        <is>
          <t>PED00602</t>
        </is>
      </c>
      <c r="C1519" s="2" t="inlineStr">
        <is>
          <t>P021</t>
        </is>
      </c>
      <c r="D1519" s="2" t="n">
        <v>1</v>
      </c>
      <c r="E1519" s="19" t="n">
        <v>0</v>
      </c>
    </row>
    <row r="1520">
      <c r="A1520" s="2" t="inlineStr">
        <is>
          <t>IT00603_01</t>
        </is>
      </c>
      <c r="B1520" s="2" t="inlineStr">
        <is>
          <t>PED00603</t>
        </is>
      </c>
      <c r="C1520" s="2" t="inlineStr">
        <is>
          <t>P054</t>
        </is>
      </c>
      <c r="D1520" s="2" t="n">
        <v>1</v>
      </c>
      <c r="E1520" s="19" t="n">
        <v>0</v>
      </c>
    </row>
    <row r="1521">
      <c r="A1521" s="2" t="inlineStr">
        <is>
          <t>IT00604_01</t>
        </is>
      </c>
      <c r="B1521" s="2" t="inlineStr">
        <is>
          <t>PED00604</t>
        </is>
      </c>
      <c r="C1521" s="2" t="inlineStr">
        <is>
          <t>P008</t>
        </is>
      </c>
      <c r="D1521" s="2" t="n">
        <v>1</v>
      </c>
      <c r="E1521" s="19" t="n">
        <v>0.05</v>
      </c>
    </row>
    <row r="1522">
      <c r="A1522" s="2" t="inlineStr">
        <is>
          <t>IT00604_02</t>
        </is>
      </c>
      <c r="B1522" s="2" t="inlineStr">
        <is>
          <t>PED00604</t>
        </is>
      </c>
      <c r="C1522" s="2" t="inlineStr">
        <is>
          <t>P031</t>
        </is>
      </c>
      <c r="D1522" s="2" t="n">
        <v>4</v>
      </c>
      <c r="E1522" s="19" t="n">
        <v>0.02</v>
      </c>
    </row>
    <row r="1523">
      <c r="A1523" s="2" t="inlineStr">
        <is>
          <t>IT00604_03</t>
        </is>
      </c>
      <c r="B1523" s="2" t="inlineStr">
        <is>
          <t>PED00604</t>
        </is>
      </c>
      <c r="C1523" s="2" t="inlineStr">
        <is>
          <t>P064</t>
        </is>
      </c>
      <c r="D1523" s="2" t="n">
        <v>3</v>
      </c>
      <c r="E1523" s="19" t="n">
        <v>0</v>
      </c>
    </row>
    <row r="1524">
      <c r="A1524" s="2" t="inlineStr">
        <is>
          <t>IT00605_01</t>
        </is>
      </c>
      <c r="B1524" s="2" t="inlineStr">
        <is>
          <t>PED00605</t>
        </is>
      </c>
      <c r="C1524" s="2" t="inlineStr">
        <is>
          <t>P014</t>
        </is>
      </c>
      <c r="D1524" s="2" t="n">
        <v>2</v>
      </c>
      <c r="E1524" s="19" t="n">
        <v>0.02</v>
      </c>
    </row>
    <row r="1525">
      <c r="A1525" s="2" t="inlineStr">
        <is>
          <t>IT00605_02</t>
        </is>
      </c>
      <c r="B1525" s="2" t="inlineStr">
        <is>
          <t>PED00605</t>
        </is>
      </c>
      <c r="C1525" s="2" t="inlineStr">
        <is>
          <t>P005</t>
        </is>
      </c>
      <c r="D1525" s="2" t="n">
        <v>2</v>
      </c>
      <c r="E1525" s="19" t="n">
        <v>0</v>
      </c>
    </row>
    <row r="1526">
      <c r="A1526" s="2" t="inlineStr">
        <is>
          <t>IT00605_03</t>
        </is>
      </c>
      <c r="B1526" s="2" t="inlineStr">
        <is>
          <t>PED00605</t>
        </is>
      </c>
      <c r="C1526" s="2" t="inlineStr">
        <is>
          <t>P064</t>
        </is>
      </c>
      <c r="D1526" s="2" t="n">
        <v>3</v>
      </c>
      <c r="E1526" s="19" t="n">
        <v>0.1</v>
      </c>
    </row>
    <row r="1527">
      <c r="A1527" s="2" t="inlineStr">
        <is>
          <t>IT00606_01</t>
        </is>
      </c>
      <c r="B1527" s="2" t="inlineStr">
        <is>
          <t>PED00606</t>
        </is>
      </c>
      <c r="C1527" s="2" t="inlineStr">
        <is>
          <t>P003</t>
        </is>
      </c>
      <c r="D1527" s="2" t="n">
        <v>3</v>
      </c>
      <c r="E1527" s="19" t="n">
        <v>0.02</v>
      </c>
    </row>
    <row r="1528">
      <c r="A1528" s="2" t="inlineStr">
        <is>
          <t>IT00606_02</t>
        </is>
      </c>
      <c r="B1528" s="2" t="inlineStr">
        <is>
          <t>PED00606</t>
        </is>
      </c>
      <c r="C1528" s="2" t="inlineStr">
        <is>
          <t>P062</t>
        </is>
      </c>
      <c r="D1528" s="2" t="n">
        <v>2</v>
      </c>
      <c r="E1528" s="19" t="n">
        <v>0</v>
      </c>
    </row>
    <row r="1529">
      <c r="A1529" s="2" t="inlineStr">
        <is>
          <t>IT00606_03</t>
        </is>
      </c>
      <c r="B1529" s="2" t="inlineStr">
        <is>
          <t>PED00606</t>
        </is>
      </c>
      <c r="C1529" s="2" t="inlineStr">
        <is>
          <t>P007</t>
        </is>
      </c>
      <c r="D1529" s="2" t="n">
        <v>1</v>
      </c>
      <c r="E1529" s="19" t="n">
        <v>0</v>
      </c>
    </row>
    <row r="1530">
      <c r="A1530" s="2" t="inlineStr">
        <is>
          <t>IT00606_04</t>
        </is>
      </c>
      <c r="B1530" s="2" t="inlineStr">
        <is>
          <t>PED00606</t>
        </is>
      </c>
      <c r="C1530" s="2" t="inlineStr">
        <is>
          <t>P050</t>
        </is>
      </c>
      <c r="D1530" s="2" t="n">
        <v>4</v>
      </c>
      <c r="E1530" s="19" t="n">
        <v>0.1</v>
      </c>
    </row>
    <row r="1531">
      <c r="A1531" s="2" t="inlineStr">
        <is>
          <t>IT00607_01</t>
        </is>
      </c>
      <c r="B1531" s="2" t="inlineStr">
        <is>
          <t>PED00607</t>
        </is>
      </c>
      <c r="C1531" s="2" t="inlineStr">
        <is>
          <t>P002</t>
        </is>
      </c>
      <c r="D1531" s="2" t="n">
        <v>1</v>
      </c>
      <c r="E1531" s="19" t="n">
        <v>0.02</v>
      </c>
    </row>
    <row r="1532">
      <c r="A1532" s="2" t="inlineStr">
        <is>
          <t>IT00608_01</t>
        </is>
      </c>
      <c r="B1532" s="2" t="inlineStr">
        <is>
          <t>PED00608</t>
        </is>
      </c>
      <c r="C1532" s="2" t="inlineStr">
        <is>
          <t>P010</t>
        </is>
      </c>
      <c r="D1532" s="2" t="n">
        <v>1</v>
      </c>
      <c r="E1532" s="19" t="n">
        <v>0</v>
      </c>
    </row>
    <row r="1533">
      <c r="A1533" s="2" t="inlineStr">
        <is>
          <t>IT00608_02</t>
        </is>
      </c>
      <c r="B1533" s="2" t="inlineStr">
        <is>
          <t>PED00608</t>
        </is>
      </c>
      <c r="C1533" s="2" t="inlineStr">
        <is>
          <t>P008</t>
        </is>
      </c>
      <c r="D1533" s="2" t="n">
        <v>1</v>
      </c>
      <c r="E1533" s="19" t="n">
        <v>0.02</v>
      </c>
    </row>
    <row r="1534">
      <c r="A1534" s="2" t="inlineStr">
        <is>
          <t>IT00608_03</t>
        </is>
      </c>
      <c r="B1534" s="2" t="inlineStr">
        <is>
          <t>PED00608</t>
        </is>
      </c>
      <c r="C1534" s="2" t="inlineStr">
        <is>
          <t>P017</t>
        </is>
      </c>
      <c r="D1534" s="2" t="n">
        <v>1</v>
      </c>
      <c r="E1534" s="19" t="n">
        <v>0</v>
      </c>
    </row>
    <row r="1535">
      <c r="A1535" s="2" t="inlineStr">
        <is>
          <t>IT00608_04</t>
        </is>
      </c>
      <c r="B1535" s="2" t="inlineStr">
        <is>
          <t>PED00608</t>
        </is>
      </c>
      <c r="C1535" s="2" t="inlineStr">
        <is>
          <t>P057</t>
        </is>
      </c>
      <c r="D1535" s="2" t="n">
        <v>2</v>
      </c>
      <c r="E1535" s="19" t="n">
        <v>0</v>
      </c>
    </row>
    <row r="1536">
      <c r="A1536" s="2" t="inlineStr">
        <is>
          <t>IT00609_01</t>
        </is>
      </c>
      <c r="B1536" s="2" t="inlineStr">
        <is>
          <t>PED00609</t>
        </is>
      </c>
      <c r="C1536" s="2" t="inlineStr">
        <is>
          <t>P046</t>
        </is>
      </c>
      <c r="D1536" s="2" t="n">
        <v>3</v>
      </c>
      <c r="E1536" s="19" t="n">
        <v>0.05</v>
      </c>
    </row>
    <row r="1537">
      <c r="A1537" s="2" t="inlineStr">
        <is>
          <t>IT00609_02</t>
        </is>
      </c>
      <c r="B1537" s="2" t="inlineStr">
        <is>
          <t>PED00609</t>
        </is>
      </c>
      <c r="C1537" s="2" t="inlineStr">
        <is>
          <t>P029</t>
        </is>
      </c>
      <c r="D1537" s="2" t="n">
        <v>3</v>
      </c>
      <c r="E1537" s="19" t="n">
        <v>0</v>
      </c>
    </row>
    <row r="1538">
      <c r="A1538" s="2" t="inlineStr">
        <is>
          <t>IT00609_03</t>
        </is>
      </c>
      <c r="B1538" s="2" t="inlineStr">
        <is>
          <t>PED00609</t>
        </is>
      </c>
      <c r="C1538" s="2" t="inlineStr">
        <is>
          <t>P057</t>
        </is>
      </c>
      <c r="D1538" s="2" t="n">
        <v>2</v>
      </c>
      <c r="E1538" s="19" t="n">
        <v>0</v>
      </c>
    </row>
    <row r="1539">
      <c r="A1539" s="2" t="inlineStr">
        <is>
          <t>IT00610_01</t>
        </is>
      </c>
      <c r="B1539" s="2" t="inlineStr">
        <is>
          <t>PED00610</t>
        </is>
      </c>
      <c r="C1539" s="2" t="inlineStr">
        <is>
          <t>P036</t>
        </is>
      </c>
      <c r="D1539" s="2" t="n">
        <v>4</v>
      </c>
      <c r="E1539" s="19" t="n">
        <v>0.05</v>
      </c>
    </row>
    <row r="1540">
      <c r="A1540" s="2" t="inlineStr">
        <is>
          <t>IT00610_02</t>
        </is>
      </c>
      <c r="B1540" s="2" t="inlineStr">
        <is>
          <t>PED00610</t>
        </is>
      </c>
      <c r="C1540" s="2" t="inlineStr">
        <is>
          <t>P011</t>
        </is>
      </c>
      <c r="D1540" s="2" t="n">
        <v>2</v>
      </c>
      <c r="E1540" s="19" t="n">
        <v>0</v>
      </c>
    </row>
    <row r="1541">
      <c r="A1541" s="2" t="inlineStr">
        <is>
          <t>IT00610_03</t>
        </is>
      </c>
      <c r="B1541" s="2" t="inlineStr">
        <is>
          <t>PED00610</t>
        </is>
      </c>
      <c r="C1541" s="2" t="inlineStr">
        <is>
          <t>P027</t>
        </is>
      </c>
      <c r="D1541" s="2" t="n">
        <v>2</v>
      </c>
      <c r="E1541" s="19" t="n">
        <v>0</v>
      </c>
    </row>
    <row r="1542">
      <c r="A1542" s="2" t="inlineStr">
        <is>
          <t>IT00611_01</t>
        </is>
      </c>
      <c r="B1542" s="2" t="inlineStr">
        <is>
          <t>PED00611</t>
        </is>
      </c>
      <c r="C1542" s="2" t="inlineStr">
        <is>
          <t>P064</t>
        </is>
      </c>
      <c r="D1542" s="2" t="n">
        <v>3</v>
      </c>
      <c r="E1542" s="19" t="n">
        <v>0</v>
      </c>
    </row>
    <row r="1543">
      <c r="A1543" s="2" t="inlineStr">
        <is>
          <t>IT00612_01</t>
        </is>
      </c>
      <c r="B1543" s="2" t="inlineStr">
        <is>
          <t>PED00612</t>
        </is>
      </c>
      <c r="C1543" s="2" t="inlineStr">
        <is>
          <t>P064</t>
        </is>
      </c>
      <c r="D1543" s="2" t="n">
        <v>1</v>
      </c>
      <c r="E1543" s="19" t="n">
        <v>0</v>
      </c>
    </row>
    <row r="1544">
      <c r="A1544" s="2" t="inlineStr">
        <is>
          <t>IT00612_02</t>
        </is>
      </c>
      <c r="B1544" s="2" t="inlineStr">
        <is>
          <t>PED00612</t>
        </is>
      </c>
      <c r="C1544" s="2" t="inlineStr">
        <is>
          <t>P003</t>
        </is>
      </c>
      <c r="D1544" s="2" t="n">
        <v>1</v>
      </c>
      <c r="E1544" s="19" t="n">
        <v>0</v>
      </c>
    </row>
    <row r="1545">
      <c r="A1545" s="2" t="inlineStr">
        <is>
          <t>IT00612_03</t>
        </is>
      </c>
      <c r="B1545" s="2" t="inlineStr">
        <is>
          <t>PED00612</t>
        </is>
      </c>
      <c r="C1545" s="2" t="inlineStr">
        <is>
          <t>P049</t>
        </is>
      </c>
      <c r="D1545" s="2" t="n">
        <v>2</v>
      </c>
      <c r="E1545" s="19" t="n">
        <v>0</v>
      </c>
    </row>
    <row r="1546">
      <c r="A1546" s="2" t="inlineStr">
        <is>
          <t>IT00613_01</t>
        </is>
      </c>
      <c r="B1546" s="2" t="inlineStr">
        <is>
          <t>PED00613</t>
        </is>
      </c>
      <c r="C1546" s="2" t="inlineStr">
        <is>
          <t>P034</t>
        </is>
      </c>
      <c r="D1546" s="2" t="n">
        <v>3</v>
      </c>
      <c r="E1546" s="19" t="n">
        <v>0</v>
      </c>
    </row>
    <row r="1547">
      <c r="A1547" s="2" t="inlineStr">
        <is>
          <t>IT00613_02</t>
        </is>
      </c>
      <c r="B1547" s="2" t="inlineStr">
        <is>
          <t>PED00613</t>
        </is>
      </c>
      <c r="C1547" s="2" t="inlineStr">
        <is>
          <t>P028</t>
        </is>
      </c>
      <c r="D1547" s="2" t="n">
        <v>3</v>
      </c>
      <c r="E1547" s="19" t="n">
        <v>0</v>
      </c>
    </row>
    <row r="1548">
      <c r="A1548" s="2" t="inlineStr">
        <is>
          <t>IT00614_01</t>
        </is>
      </c>
      <c r="B1548" s="2" t="inlineStr">
        <is>
          <t>PED00614</t>
        </is>
      </c>
      <c r="C1548" s="2" t="inlineStr">
        <is>
          <t>P069</t>
        </is>
      </c>
      <c r="D1548" s="2" t="n">
        <v>2</v>
      </c>
      <c r="E1548" s="19" t="n">
        <v>0.02</v>
      </c>
    </row>
    <row r="1549">
      <c r="A1549" s="2" t="inlineStr">
        <is>
          <t>IT00614_02</t>
        </is>
      </c>
      <c r="B1549" s="2" t="inlineStr">
        <is>
          <t>PED00614</t>
        </is>
      </c>
      <c r="C1549" s="2" t="inlineStr">
        <is>
          <t>P060</t>
        </is>
      </c>
      <c r="D1549" s="2" t="n">
        <v>3</v>
      </c>
      <c r="E1549" s="19" t="n">
        <v>0</v>
      </c>
    </row>
    <row r="1550">
      <c r="A1550" s="2" t="inlineStr">
        <is>
          <t>IT00615_01</t>
        </is>
      </c>
      <c r="B1550" s="2" t="inlineStr">
        <is>
          <t>PED00615</t>
        </is>
      </c>
      <c r="C1550" s="2" t="inlineStr">
        <is>
          <t>P011</t>
        </is>
      </c>
      <c r="D1550" s="2" t="n">
        <v>2</v>
      </c>
      <c r="E1550" s="19" t="n">
        <v>0</v>
      </c>
    </row>
    <row r="1551">
      <c r="A1551" s="2" t="inlineStr">
        <is>
          <t>IT00615_02</t>
        </is>
      </c>
      <c r="B1551" s="2" t="inlineStr">
        <is>
          <t>PED00615</t>
        </is>
      </c>
      <c r="C1551" s="2" t="inlineStr">
        <is>
          <t>P032</t>
        </is>
      </c>
      <c r="D1551" s="2" t="n">
        <v>1</v>
      </c>
      <c r="E1551" s="19" t="n">
        <v>0</v>
      </c>
    </row>
    <row r="1552">
      <c r="A1552" s="2" t="inlineStr">
        <is>
          <t>IT00615_03</t>
        </is>
      </c>
      <c r="B1552" s="2" t="inlineStr">
        <is>
          <t>PED00615</t>
        </is>
      </c>
      <c r="C1552" s="2" t="inlineStr">
        <is>
          <t>P070</t>
        </is>
      </c>
      <c r="D1552" s="2" t="n">
        <v>1</v>
      </c>
      <c r="E1552" s="19" t="n">
        <v>0.02</v>
      </c>
    </row>
    <row r="1553">
      <c r="A1553" s="2" t="inlineStr">
        <is>
          <t>IT00615_04</t>
        </is>
      </c>
      <c r="B1553" s="2" t="inlineStr">
        <is>
          <t>PED00615</t>
        </is>
      </c>
      <c r="C1553" s="2" t="inlineStr">
        <is>
          <t>P038</t>
        </is>
      </c>
      <c r="D1553" s="2" t="n">
        <v>3</v>
      </c>
      <c r="E1553" s="19" t="n">
        <v>0</v>
      </c>
    </row>
    <row r="1554">
      <c r="A1554" s="2" t="inlineStr">
        <is>
          <t>IT00615_05</t>
        </is>
      </c>
      <c r="B1554" s="2" t="inlineStr">
        <is>
          <t>PED00615</t>
        </is>
      </c>
      <c r="C1554" s="2" t="inlineStr">
        <is>
          <t>P044</t>
        </is>
      </c>
      <c r="D1554" s="2" t="n">
        <v>1</v>
      </c>
      <c r="E1554" s="19" t="n">
        <v>0.02</v>
      </c>
    </row>
    <row r="1555">
      <c r="A1555" s="2" t="inlineStr">
        <is>
          <t>IT00616_01</t>
        </is>
      </c>
      <c r="B1555" s="2" t="inlineStr">
        <is>
          <t>PED00616</t>
        </is>
      </c>
      <c r="C1555" s="2" t="inlineStr">
        <is>
          <t>P062</t>
        </is>
      </c>
      <c r="D1555" s="2" t="n">
        <v>1</v>
      </c>
      <c r="E1555" s="19" t="n">
        <v>0</v>
      </c>
    </row>
    <row r="1556">
      <c r="A1556" s="2" t="inlineStr">
        <is>
          <t>IT00616_02</t>
        </is>
      </c>
      <c r="B1556" s="2" t="inlineStr">
        <is>
          <t>PED00616</t>
        </is>
      </c>
      <c r="C1556" s="2" t="inlineStr">
        <is>
          <t>P028</t>
        </is>
      </c>
      <c r="D1556" s="2" t="n">
        <v>1</v>
      </c>
      <c r="E1556" s="19" t="n">
        <v>0</v>
      </c>
    </row>
    <row r="1557">
      <c r="A1557" s="2" t="inlineStr">
        <is>
          <t>IT00616_03</t>
        </is>
      </c>
      <c r="B1557" s="2" t="inlineStr">
        <is>
          <t>PED00616</t>
        </is>
      </c>
      <c r="C1557" s="2" t="inlineStr">
        <is>
          <t>P053</t>
        </is>
      </c>
      <c r="D1557" s="2" t="n">
        <v>1</v>
      </c>
      <c r="E1557" s="19" t="n">
        <v>0.02</v>
      </c>
    </row>
    <row r="1558">
      <c r="A1558" s="2" t="inlineStr">
        <is>
          <t>IT00616_04</t>
        </is>
      </c>
      <c r="B1558" s="2" t="inlineStr">
        <is>
          <t>PED00616</t>
        </is>
      </c>
      <c r="C1558" s="2" t="inlineStr">
        <is>
          <t>P008</t>
        </is>
      </c>
      <c r="D1558" s="2" t="n">
        <v>1</v>
      </c>
      <c r="E1558" s="19" t="n">
        <v>0.05</v>
      </c>
    </row>
    <row r="1559">
      <c r="A1559" s="2" t="inlineStr">
        <is>
          <t>IT00616_05</t>
        </is>
      </c>
      <c r="B1559" s="2" t="inlineStr">
        <is>
          <t>PED00616</t>
        </is>
      </c>
      <c r="C1559" s="2" t="inlineStr">
        <is>
          <t>P011</t>
        </is>
      </c>
      <c r="D1559" s="2" t="n">
        <v>1</v>
      </c>
      <c r="E1559" s="19" t="n">
        <v>0</v>
      </c>
    </row>
    <row r="1560">
      <c r="A1560" s="2" t="inlineStr">
        <is>
          <t>IT00617_01</t>
        </is>
      </c>
      <c r="B1560" s="2" t="inlineStr">
        <is>
          <t>PED00617</t>
        </is>
      </c>
      <c r="C1560" s="2" t="inlineStr">
        <is>
          <t>P057</t>
        </is>
      </c>
      <c r="D1560" s="2" t="n">
        <v>1</v>
      </c>
      <c r="E1560" s="19" t="n">
        <v>0.02</v>
      </c>
    </row>
    <row r="1561">
      <c r="A1561" s="2" t="inlineStr">
        <is>
          <t>IT00617_02</t>
        </is>
      </c>
      <c r="B1561" s="2" t="inlineStr">
        <is>
          <t>PED00617</t>
        </is>
      </c>
      <c r="C1561" s="2" t="inlineStr">
        <is>
          <t>P041</t>
        </is>
      </c>
      <c r="D1561" s="2" t="n">
        <v>1</v>
      </c>
      <c r="E1561" s="19" t="n">
        <v>0.02</v>
      </c>
    </row>
    <row r="1562">
      <c r="A1562" s="2" t="inlineStr">
        <is>
          <t>IT00618_01</t>
        </is>
      </c>
      <c r="B1562" s="2" t="inlineStr">
        <is>
          <t>PED00618</t>
        </is>
      </c>
      <c r="C1562" s="2" t="inlineStr">
        <is>
          <t>P031</t>
        </is>
      </c>
      <c r="D1562" s="2" t="n">
        <v>1</v>
      </c>
      <c r="E1562" s="19" t="n">
        <v>0</v>
      </c>
    </row>
    <row r="1563">
      <c r="A1563" s="2" t="inlineStr">
        <is>
          <t>IT00618_02</t>
        </is>
      </c>
      <c r="B1563" s="2" t="inlineStr">
        <is>
          <t>PED00618</t>
        </is>
      </c>
      <c r="C1563" s="2" t="inlineStr">
        <is>
          <t>P045</t>
        </is>
      </c>
      <c r="D1563" s="2" t="n">
        <v>2</v>
      </c>
      <c r="E1563" s="19" t="n">
        <v>0</v>
      </c>
    </row>
    <row r="1564">
      <c r="A1564" s="2" t="inlineStr">
        <is>
          <t>IT00618_03</t>
        </is>
      </c>
      <c r="B1564" s="2" t="inlineStr">
        <is>
          <t>PED00618</t>
        </is>
      </c>
      <c r="C1564" s="2" t="inlineStr">
        <is>
          <t>P014</t>
        </is>
      </c>
      <c r="D1564" s="2" t="n">
        <v>1</v>
      </c>
      <c r="E1564" s="19" t="n">
        <v>0</v>
      </c>
    </row>
    <row r="1565">
      <c r="A1565" s="2" t="inlineStr">
        <is>
          <t>IT00619_01</t>
        </is>
      </c>
      <c r="B1565" s="2" t="inlineStr">
        <is>
          <t>PED00619</t>
        </is>
      </c>
      <c r="C1565" s="2" t="inlineStr">
        <is>
          <t>P047</t>
        </is>
      </c>
      <c r="D1565" s="2" t="n">
        <v>5</v>
      </c>
      <c r="E1565" s="19" t="n">
        <v>0.05</v>
      </c>
    </row>
    <row r="1566">
      <c r="A1566" s="2" t="inlineStr">
        <is>
          <t>IT00619_02</t>
        </is>
      </c>
      <c r="B1566" s="2" t="inlineStr">
        <is>
          <t>PED00619</t>
        </is>
      </c>
      <c r="C1566" s="2" t="inlineStr">
        <is>
          <t>P043</t>
        </is>
      </c>
      <c r="D1566" s="2" t="n">
        <v>1</v>
      </c>
      <c r="E1566" s="19" t="n">
        <v>0.05</v>
      </c>
    </row>
    <row r="1567">
      <c r="A1567" s="2" t="inlineStr">
        <is>
          <t>IT00620_01</t>
        </is>
      </c>
      <c r="B1567" s="2" t="inlineStr">
        <is>
          <t>PED00620</t>
        </is>
      </c>
      <c r="C1567" s="2" t="inlineStr">
        <is>
          <t>P004</t>
        </is>
      </c>
      <c r="D1567" s="2" t="n">
        <v>2</v>
      </c>
      <c r="E1567" s="19" t="n">
        <v>0.02</v>
      </c>
    </row>
    <row r="1568">
      <c r="A1568" s="2" t="inlineStr">
        <is>
          <t>IT00620_02</t>
        </is>
      </c>
      <c r="B1568" s="2" t="inlineStr">
        <is>
          <t>PED00620</t>
        </is>
      </c>
      <c r="C1568" s="2" t="inlineStr">
        <is>
          <t>P014</t>
        </is>
      </c>
      <c r="D1568" s="2" t="n">
        <v>2</v>
      </c>
      <c r="E1568" s="19" t="n">
        <v>0</v>
      </c>
    </row>
    <row r="1569">
      <c r="A1569" s="2" t="inlineStr">
        <is>
          <t>IT00620_03</t>
        </is>
      </c>
      <c r="B1569" s="2" t="inlineStr">
        <is>
          <t>PED00620</t>
        </is>
      </c>
      <c r="C1569" s="2" t="inlineStr">
        <is>
          <t>P028</t>
        </is>
      </c>
      <c r="D1569" s="2" t="n">
        <v>1</v>
      </c>
      <c r="E1569" s="19" t="n">
        <v>0</v>
      </c>
    </row>
    <row r="1570">
      <c r="A1570" s="2" t="inlineStr">
        <is>
          <t>IT00620_04</t>
        </is>
      </c>
      <c r="B1570" s="2" t="inlineStr">
        <is>
          <t>PED00620</t>
        </is>
      </c>
      <c r="C1570" s="2" t="inlineStr">
        <is>
          <t>P041</t>
        </is>
      </c>
      <c r="D1570" s="2" t="n">
        <v>3</v>
      </c>
      <c r="E1570" s="19" t="n">
        <v>0</v>
      </c>
    </row>
    <row r="1571">
      <c r="A1571" s="2" t="inlineStr">
        <is>
          <t>IT00621_01</t>
        </is>
      </c>
      <c r="B1571" s="2" t="inlineStr">
        <is>
          <t>PED00621</t>
        </is>
      </c>
      <c r="C1571" s="2" t="inlineStr">
        <is>
          <t>P054</t>
        </is>
      </c>
      <c r="D1571" s="2" t="n">
        <v>3</v>
      </c>
      <c r="E1571" s="19" t="n">
        <v>0</v>
      </c>
    </row>
    <row r="1572">
      <c r="A1572" s="2" t="inlineStr">
        <is>
          <t>IT00621_02</t>
        </is>
      </c>
      <c r="B1572" s="2" t="inlineStr">
        <is>
          <t>PED00621</t>
        </is>
      </c>
      <c r="C1572" s="2" t="inlineStr">
        <is>
          <t>P069</t>
        </is>
      </c>
      <c r="D1572" s="2" t="n">
        <v>1</v>
      </c>
      <c r="E1572" s="19" t="n">
        <v>0</v>
      </c>
    </row>
    <row r="1573">
      <c r="A1573" s="2" t="inlineStr">
        <is>
          <t>IT00621_03</t>
        </is>
      </c>
      <c r="B1573" s="2" t="inlineStr">
        <is>
          <t>PED00621</t>
        </is>
      </c>
      <c r="C1573" s="2" t="inlineStr">
        <is>
          <t>P016</t>
        </is>
      </c>
      <c r="D1573" s="2" t="n">
        <v>2</v>
      </c>
      <c r="E1573" s="19" t="n">
        <v>0</v>
      </c>
    </row>
    <row r="1574">
      <c r="A1574" s="2" t="inlineStr">
        <is>
          <t>IT00622_01</t>
        </is>
      </c>
      <c r="B1574" s="2" t="inlineStr">
        <is>
          <t>PED00622</t>
        </is>
      </c>
      <c r="C1574" s="2" t="inlineStr">
        <is>
          <t>P030</t>
        </is>
      </c>
      <c r="D1574" s="2" t="n">
        <v>2</v>
      </c>
      <c r="E1574" s="19" t="n">
        <v>0.1</v>
      </c>
    </row>
    <row r="1575">
      <c r="A1575" s="2" t="inlineStr">
        <is>
          <t>IT00622_02</t>
        </is>
      </c>
      <c r="B1575" s="2" t="inlineStr">
        <is>
          <t>PED00622</t>
        </is>
      </c>
      <c r="C1575" s="2" t="inlineStr">
        <is>
          <t>P059</t>
        </is>
      </c>
      <c r="D1575" s="2" t="n">
        <v>1</v>
      </c>
      <c r="E1575" s="19" t="n">
        <v>0</v>
      </c>
    </row>
    <row r="1576">
      <c r="A1576" s="2" t="inlineStr">
        <is>
          <t>IT00622_03</t>
        </is>
      </c>
      <c r="B1576" s="2" t="inlineStr">
        <is>
          <t>PED00622</t>
        </is>
      </c>
      <c r="C1576" s="2" t="inlineStr">
        <is>
          <t>P041</t>
        </is>
      </c>
      <c r="D1576" s="2" t="n">
        <v>2</v>
      </c>
      <c r="E1576" s="19" t="n">
        <v>0</v>
      </c>
    </row>
    <row r="1577">
      <c r="A1577" s="2" t="inlineStr">
        <is>
          <t>IT00622_04</t>
        </is>
      </c>
      <c r="B1577" s="2" t="inlineStr">
        <is>
          <t>PED00622</t>
        </is>
      </c>
      <c r="C1577" s="2" t="inlineStr">
        <is>
          <t>P015</t>
        </is>
      </c>
      <c r="D1577" s="2" t="n">
        <v>1</v>
      </c>
      <c r="E1577" s="19" t="n">
        <v>0</v>
      </c>
    </row>
    <row r="1578">
      <c r="A1578" s="2" t="inlineStr">
        <is>
          <t>IT00622_05</t>
        </is>
      </c>
      <c r="B1578" s="2" t="inlineStr">
        <is>
          <t>PED00622</t>
        </is>
      </c>
      <c r="C1578" s="2" t="inlineStr">
        <is>
          <t>P031</t>
        </is>
      </c>
      <c r="D1578" s="2" t="n">
        <v>1</v>
      </c>
      <c r="E1578" s="19" t="n">
        <v>0.02</v>
      </c>
    </row>
    <row r="1579">
      <c r="A1579" s="2" t="inlineStr">
        <is>
          <t>IT00623_01</t>
        </is>
      </c>
      <c r="B1579" s="2" t="inlineStr">
        <is>
          <t>PED00623</t>
        </is>
      </c>
      <c r="C1579" s="2" t="inlineStr">
        <is>
          <t>P018</t>
        </is>
      </c>
      <c r="D1579" s="2" t="n">
        <v>1</v>
      </c>
      <c r="E1579" s="19" t="n">
        <v>0</v>
      </c>
    </row>
    <row r="1580">
      <c r="A1580" s="2" t="inlineStr">
        <is>
          <t>IT00623_02</t>
        </is>
      </c>
      <c r="B1580" s="2" t="inlineStr">
        <is>
          <t>PED00623</t>
        </is>
      </c>
      <c r="C1580" s="2" t="inlineStr">
        <is>
          <t>P034</t>
        </is>
      </c>
      <c r="D1580" s="2" t="n">
        <v>1</v>
      </c>
      <c r="E1580" s="19" t="n">
        <v>0</v>
      </c>
    </row>
    <row r="1581">
      <c r="A1581" s="2" t="inlineStr">
        <is>
          <t>IT00623_03</t>
        </is>
      </c>
      <c r="B1581" s="2" t="inlineStr">
        <is>
          <t>PED00623</t>
        </is>
      </c>
      <c r="C1581" s="2" t="inlineStr">
        <is>
          <t>P037</t>
        </is>
      </c>
      <c r="D1581" s="2" t="n">
        <v>1</v>
      </c>
      <c r="E1581" s="19" t="n">
        <v>0</v>
      </c>
    </row>
    <row r="1582">
      <c r="A1582" s="2" t="inlineStr">
        <is>
          <t>IT00624_01</t>
        </is>
      </c>
      <c r="B1582" s="2" t="inlineStr">
        <is>
          <t>PED00624</t>
        </is>
      </c>
      <c r="C1582" s="2" t="inlineStr">
        <is>
          <t>P061</t>
        </is>
      </c>
      <c r="D1582" s="2" t="n">
        <v>4</v>
      </c>
      <c r="E1582" s="19" t="n">
        <v>0.05</v>
      </c>
    </row>
    <row r="1583">
      <c r="A1583" s="2" t="inlineStr">
        <is>
          <t>IT00624_02</t>
        </is>
      </c>
      <c r="B1583" s="2" t="inlineStr">
        <is>
          <t>PED00624</t>
        </is>
      </c>
      <c r="C1583" s="2" t="inlineStr">
        <is>
          <t>P013</t>
        </is>
      </c>
      <c r="D1583" s="2" t="n">
        <v>1</v>
      </c>
      <c r="E1583" s="19" t="n">
        <v>0</v>
      </c>
    </row>
    <row r="1584">
      <c r="A1584" s="2" t="inlineStr">
        <is>
          <t>IT00624_03</t>
        </is>
      </c>
      <c r="B1584" s="2" t="inlineStr">
        <is>
          <t>PED00624</t>
        </is>
      </c>
      <c r="C1584" s="2" t="inlineStr">
        <is>
          <t>P017</t>
        </is>
      </c>
      <c r="D1584" s="2" t="n">
        <v>1</v>
      </c>
      <c r="E1584" s="19" t="n">
        <v>0</v>
      </c>
    </row>
    <row r="1585">
      <c r="A1585" s="2" t="inlineStr">
        <is>
          <t>IT00625_01</t>
        </is>
      </c>
      <c r="B1585" s="2" t="inlineStr">
        <is>
          <t>PED00625</t>
        </is>
      </c>
      <c r="C1585" s="2" t="inlineStr">
        <is>
          <t>P016</t>
        </is>
      </c>
      <c r="D1585" s="2" t="n">
        <v>10</v>
      </c>
      <c r="E1585" s="19" t="n">
        <v>0</v>
      </c>
    </row>
    <row r="1586">
      <c r="A1586" s="2" t="inlineStr">
        <is>
          <t>IT00625_02</t>
        </is>
      </c>
      <c r="B1586" s="2" t="inlineStr">
        <is>
          <t>PED00625</t>
        </is>
      </c>
      <c r="C1586" s="2" t="inlineStr">
        <is>
          <t>P044</t>
        </is>
      </c>
      <c r="D1586" s="2" t="n">
        <v>3</v>
      </c>
      <c r="E1586" s="19" t="n">
        <v>0</v>
      </c>
    </row>
    <row r="1587">
      <c r="A1587" s="2" t="inlineStr">
        <is>
          <t>IT00625_03</t>
        </is>
      </c>
      <c r="B1587" s="2" t="inlineStr">
        <is>
          <t>PED00625</t>
        </is>
      </c>
      <c r="C1587" s="2" t="inlineStr">
        <is>
          <t>P014</t>
        </is>
      </c>
      <c r="D1587" s="2" t="n">
        <v>2</v>
      </c>
      <c r="E1587" s="19" t="n">
        <v>0</v>
      </c>
    </row>
    <row r="1588">
      <c r="A1588" s="2" t="inlineStr">
        <is>
          <t>IT00626_01</t>
        </is>
      </c>
      <c r="B1588" s="2" t="inlineStr">
        <is>
          <t>PED00626</t>
        </is>
      </c>
      <c r="C1588" s="2" t="inlineStr">
        <is>
          <t>P066</t>
        </is>
      </c>
      <c r="D1588" s="2" t="n">
        <v>4</v>
      </c>
      <c r="E1588" s="19" t="n">
        <v>0</v>
      </c>
    </row>
    <row r="1589">
      <c r="A1589" s="2" t="inlineStr">
        <is>
          <t>IT00626_02</t>
        </is>
      </c>
      <c r="B1589" s="2" t="inlineStr">
        <is>
          <t>PED00626</t>
        </is>
      </c>
      <c r="C1589" s="2" t="inlineStr">
        <is>
          <t>P011</t>
        </is>
      </c>
      <c r="D1589" s="2" t="n">
        <v>1</v>
      </c>
      <c r="E1589" s="19" t="n">
        <v>0</v>
      </c>
    </row>
    <row r="1590">
      <c r="A1590" s="2" t="inlineStr">
        <is>
          <t>IT00626_03</t>
        </is>
      </c>
      <c r="B1590" s="2" t="inlineStr">
        <is>
          <t>PED00626</t>
        </is>
      </c>
      <c r="C1590" s="2" t="inlineStr">
        <is>
          <t>P020</t>
        </is>
      </c>
      <c r="D1590" s="2" t="n">
        <v>1</v>
      </c>
      <c r="E1590" s="19" t="n">
        <v>0</v>
      </c>
    </row>
    <row r="1591">
      <c r="A1591" s="2" t="inlineStr">
        <is>
          <t>IT00627_01</t>
        </is>
      </c>
      <c r="B1591" s="2" t="inlineStr">
        <is>
          <t>PED00627</t>
        </is>
      </c>
      <c r="C1591" s="2" t="inlineStr">
        <is>
          <t>P067</t>
        </is>
      </c>
      <c r="D1591" s="2" t="n">
        <v>2</v>
      </c>
      <c r="E1591" s="19" t="n">
        <v>0.05</v>
      </c>
    </row>
    <row r="1592">
      <c r="A1592" s="2" t="inlineStr">
        <is>
          <t>IT00627_02</t>
        </is>
      </c>
      <c r="B1592" s="2" t="inlineStr">
        <is>
          <t>PED00627</t>
        </is>
      </c>
      <c r="C1592" s="2" t="inlineStr">
        <is>
          <t>P068</t>
        </is>
      </c>
      <c r="D1592" s="2" t="n">
        <v>2</v>
      </c>
      <c r="E1592" s="19" t="n">
        <v>0</v>
      </c>
    </row>
    <row r="1593">
      <c r="A1593" s="2" t="inlineStr">
        <is>
          <t>IT00628_01</t>
        </is>
      </c>
      <c r="B1593" s="2" t="inlineStr">
        <is>
          <t>PED00628</t>
        </is>
      </c>
      <c r="C1593" s="2" t="inlineStr">
        <is>
          <t>P056</t>
        </is>
      </c>
      <c r="D1593" s="2" t="n">
        <v>2</v>
      </c>
      <c r="E1593" s="19" t="n">
        <v>0</v>
      </c>
    </row>
    <row r="1594">
      <c r="A1594" s="2" t="inlineStr">
        <is>
          <t>IT00628_02</t>
        </is>
      </c>
      <c r="B1594" s="2" t="inlineStr">
        <is>
          <t>PED00628</t>
        </is>
      </c>
      <c r="C1594" s="2" t="inlineStr">
        <is>
          <t>P067</t>
        </is>
      </c>
      <c r="D1594" s="2" t="n">
        <v>1</v>
      </c>
      <c r="E1594" s="19" t="n">
        <v>0</v>
      </c>
    </row>
    <row r="1595">
      <c r="A1595" s="2" t="inlineStr">
        <is>
          <t>IT00628_03</t>
        </is>
      </c>
      <c r="B1595" s="2" t="inlineStr">
        <is>
          <t>PED00628</t>
        </is>
      </c>
      <c r="C1595" s="2" t="inlineStr">
        <is>
          <t>P036</t>
        </is>
      </c>
      <c r="D1595" s="2" t="n">
        <v>1</v>
      </c>
      <c r="E1595" s="19" t="n">
        <v>0</v>
      </c>
    </row>
    <row r="1596">
      <c r="A1596" s="2" t="inlineStr">
        <is>
          <t>IT00629_01</t>
        </is>
      </c>
      <c r="B1596" s="2" t="inlineStr">
        <is>
          <t>PED00629</t>
        </is>
      </c>
      <c r="C1596" s="2" t="inlineStr">
        <is>
          <t>P030</t>
        </is>
      </c>
      <c r="D1596" s="2" t="n">
        <v>1</v>
      </c>
      <c r="E1596" s="19" t="n">
        <v>0</v>
      </c>
    </row>
    <row r="1597">
      <c r="A1597" s="2" t="inlineStr">
        <is>
          <t>IT00629_02</t>
        </is>
      </c>
      <c r="B1597" s="2" t="inlineStr">
        <is>
          <t>PED00629</t>
        </is>
      </c>
      <c r="C1597" s="2" t="inlineStr">
        <is>
          <t>P036</t>
        </is>
      </c>
      <c r="D1597" s="2" t="n">
        <v>2</v>
      </c>
      <c r="E1597" s="19" t="n">
        <v>0</v>
      </c>
    </row>
    <row r="1598">
      <c r="A1598" s="2" t="inlineStr">
        <is>
          <t>IT00629_03</t>
        </is>
      </c>
      <c r="B1598" s="2" t="inlineStr">
        <is>
          <t>PED00629</t>
        </is>
      </c>
      <c r="C1598" s="2" t="inlineStr">
        <is>
          <t>P019</t>
        </is>
      </c>
      <c r="D1598" s="2" t="n">
        <v>2</v>
      </c>
      <c r="E1598" s="19" t="n">
        <v>0</v>
      </c>
    </row>
    <row r="1599">
      <c r="A1599" s="2" t="inlineStr">
        <is>
          <t>IT00630_01</t>
        </is>
      </c>
      <c r="B1599" s="2" t="inlineStr">
        <is>
          <t>PED00630</t>
        </is>
      </c>
      <c r="C1599" s="2" t="inlineStr">
        <is>
          <t>P055</t>
        </is>
      </c>
      <c r="D1599" s="2" t="n">
        <v>3</v>
      </c>
      <c r="E1599" s="19" t="n">
        <v>0</v>
      </c>
    </row>
    <row r="1600">
      <c r="A1600" s="2" t="inlineStr">
        <is>
          <t>IT00631_01</t>
        </is>
      </c>
      <c r="B1600" s="2" t="inlineStr">
        <is>
          <t>PED00631</t>
        </is>
      </c>
      <c r="C1600" s="2" t="inlineStr">
        <is>
          <t>P064</t>
        </is>
      </c>
      <c r="D1600" s="2" t="n">
        <v>10</v>
      </c>
      <c r="E1600" s="19" t="n">
        <v>0.02</v>
      </c>
    </row>
    <row r="1601">
      <c r="A1601" s="2" t="inlineStr">
        <is>
          <t>IT00631_02</t>
        </is>
      </c>
      <c r="B1601" s="2" t="inlineStr">
        <is>
          <t>PED00631</t>
        </is>
      </c>
      <c r="C1601" s="2" t="inlineStr">
        <is>
          <t>P034</t>
        </is>
      </c>
      <c r="D1601" s="2" t="n">
        <v>1</v>
      </c>
      <c r="E1601" s="19" t="n">
        <v>0</v>
      </c>
    </row>
    <row r="1602">
      <c r="A1602" s="2" t="inlineStr">
        <is>
          <t>IT00631_03</t>
        </is>
      </c>
      <c r="B1602" s="2" t="inlineStr">
        <is>
          <t>PED00631</t>
        </is>
      </c>
      <c r="C1602" s="2" t="inlineStr">
        <is>
          <t>P012</t>
        </is>
      </c>
      <c r="D1602" s="2" t="n">
        <v>1</v>
      </c>
      <c r="E1602" s="19" t="n">
        <v>0.02</v>
      </c>
    </row>
    <row r="1603">
      <c r="A1603" s="2" t="inlineStr">
        <is>
          <t>IT00631_04</t>
        </is>
      </c>
      <c r="B1603" s="2" t="inlineStr">
        <is>
          <t>PED00631</t>
        </is>
      </c>
      <c r="C1603" s="2" t="inlineStr">
        <is>
          <t>P018</t>
        </is>
      </c>
      <c r="D1603" s="2" t="n">
        <v>3</v>
      </c>
      <c r="E1603" s="19" t="n">
        <v>0</v>
      </c>
    </row>
    <row r="1604">
      <c r="A1604" s="2" t="inlineStr">
        <is>
          <t>IT00632_01</t>
        </is>
      </c>
      <c r="B1604" s="2" t="inlineStr">
        <is>
          <t>PED00632</t>
        </is>
      </c>
      <c r="C1604" s="2" t="inlineStr">
        <is>
          <t>P041</t>
        </is>
      </c>
      <c r="D1604" s="2" t="n">
        <v>4</v>
      </c>
      <c r="E1604" s="19" t="n">
        <v>0</v>
      </c>
    </row>
    <row r="1605">
      <c r="A1605" s="2" t="inlineStr">
        <is>
          <t>IT00633_01</t>
        </is>
      </c>
      <c r="B1605" s="2" t="inlineStr">
        <is>
          <t>PED00633</t>
        </is>
      </c>
      <c r="C1605" s="2" t="inlineStr">
        <is>
          <t>P002</t>
        </is>
      </c>
      <c r="D1605" s="2" t="n">
        <v>2</v>
      </c>
      <c r="E1605" s="19" t="n">
        <v>0.05</v>
      </c>
    </row>
    <row r="1606">
      <c r="A1606" s="2" t="inlineStr">
        <is>
          <t>IT00633_02</t>
        </is>
      </c>
      <c r="B1606" s="2" t="inlineStr">
        <is>
          <t>PED00633</t>
        </is>
      </c>
      <c r="C1606" s="2" t="inlineStr">
        <is>
          <t>P032</t>
        </is>
      </c>
      <c r="D1606" s="2" t="n">
        <v>1</v>
      </c>
      <c r="E1606" s="19" t="n">
        <v>0</v>
      </c>
    </row>
    <row r="1607">
      <c r="A1607" s="2" t="inlineStr">
        <is>
          <t>IT00633_03</t>
        </is>
      </c>
      <c r="B1607" s="2" t="inlineStr">
        <is>
          <t>PED00633</t>
        </is>
      </c>
      <c r="C1607" s="2" t="inlineStr">
        <is>
          <t>P018</t>
        </is>
      </c>
      <c r="D1607" s="2" t="n">
        <v>2</v>
      </c>
      <c r="E1607" s="19" t="n">
        <v>0</v>
      </c>
    </row>
    <row r="1608">
      <c r="A1608" s="2" t="inlineStr">
        <is>
          <t>IT00634_01</t>
        </is>
      </c>
      <c r="B1608" s="2" t="inlineStr">
        <is>
          <t>PED00634</t>
        </is>
      </c>
      <c r="C1608" s="2" t="inlineStr">
        <is>
          <t>P028</t>
        </is>
      </c>
      <c r="D1608" s="2" t="n">
        <v>2</v>
      </c>
      <c r="E1608" s="19" t="n">
        <v>0</v>
      </c>
    </row>
    <row r="1609">
      <c r="A1609" s="2" t="inlineStr">
        <is>
          <t>IT00634_02</t>
        </is>
      </c>
      <c r="B1609" s="2" t="inlineStr">
        <is>
          <t>PED00634</t>
        </is>
      </c>
      <c r="C1609" s="2" t="inlineStr">
        <is>
          <t>P001</t>
        </is>
      </c>
      <c r="D1609" s="2" t="n">
        <v>2</v>
      </c>
      <c r="E1609" s="19" t="n">
        <v>0.02</v>
      </c>
    </row>
    <row r="1610">
      <c r="A1610" s="2" t="inlineStr">
        <is>
          <t>IT00635_01</t>
        </is>
      </c>
      <c r="B1610" s="2" t="inlineStr">
        <is>
          <t>PED00635</t>
        </is>
      </c>
      <c r="C1610" s="2" t="inlineStr">
        <is>
          <t>P068</t>
        </is>
      </c>
      <c r="D1610" s="2" t="n">
        <v>4</v>
      </c>
      <c r="E1610" s="19" t="n">
        <v>0.05</v>
      </c>
    </row>
    <row r="1611">
      <c r="A1611" s="2" t="inlineStr">
        <is>
          <t>IT00635_02</t>
        </is>
      </c>
      <c r="B1611" s="2" t="inlineStr">
        <is>
          <t>PED00635</t>
        </is>
      </c>
      <c r="C1611" s="2" t="inlineStr">
        <is>
          <t>P024</t>
        </is>
      </c>
      <c r="D1611" s="2" t="n">
        <v>4</v>
      </c>
      <c r="E1611" s="19" t="n">
        <v>0.02</v>
      </c>
    </row>
    <row r="1612">
      <c r="A1612" s="2" t="inlineStr">
        <is>
          <t>IT00636_01</t>
        </is>
      </c>
      <c r="B1612" s="2" t="inlineStr">
        <is>
          <t>PED00636</t>
        </is>
      </c>
      <c r="C1612" s="2" t="inlineStr">
        <is>
          <t>P037</t>
        </is>
      </c>
      <c r="D1612" s="2" t="n">
        <v>1</v>
      </c>
      <c r="E1612" s="19" t="n">
        <v>0</v>
      </c>
    </row>
    <row r="1613">
      <c r="A1613" s="2" t="inlineStr">
        <is>
          <t>IT00637_01</t>
        </is>
      </c>
      <c r="B1613" s="2" t="inlineStr">
        <is>
          <t>PED00637</t>
        </is>
      </c>
      <c r="C1613" s="2" t="inlineStr">
        <is>
          <t>P051</t>
        </is>
      </c>
      <c r="D1613" s="2" t="n">
        <v>3</v>
      </c>
      <c r="E1613" s="19" t="n">
        <v>0.02</v>
      </c>
    </row>
    <row r="1614">
      <c r="A1614" s="2" t="inlineStr">
        <is>
          <t>IT00638_01</t>
        </is>
      </c>
      <c r="B1614" s="2" t="inlineStr">
        <is>
          <t>PED00638</t>
        </is>
      </c>
      <c r="C1614" s="2" t="inlineStr">
        <is>
          <t>P053</t>
        </is>
      </c>
      <c r="D1614" s="2" t="n">
        <v>1</v>
      </c>
      <c r="E1614" s="19" t="n">
        <v>0.02</v>
      </c>
    </row>
    <row r="1615">
      <c r="A1615" s="2" t="inlineStr">
        <is>
          <t>IT00639_01</t>
        </is>
      </c>
      <c r="B1615" s="2" t="inlineStr">
        <is>
          <t>PED00639</t>
        </is>
      </c>
      <c r="C1615" s="2" t="inlineStr">
        <is>
          <t>P007</t>
        </is>
      </c>
      <c r="D1615" s="2" t="n">
        <v>2</v>
      </c>
      <c r="E1615" s="19" t="n">
        <v>0</v>
      </c>
    </row>
    <row r="1616">
      <c r="A1616" s="2" t="inlineStr">
        <is>
          <t>IT00639_02</t>
        </is>
      </c>
      <c r="B1616" s="2" t="inlineStr">
        <is>
          <t>PED00639</t>
        </is>
      </c>
      <c r="C1616" s="2" t="inlineStr">
        <is>
          <t>P035</t>
        </is>
      </c>
      <c r="D1616" s="2" t="n">
        <v>2</v>
      </c>
      <c r="E1616" s="19" t="n">
        <v>0</v>
      </c>
    </row>
    <row r="1617">
      <c r="A1617" s="2" t="inlineStr">
        <is>
          <t>IT00640_01</t>
        </is>
      </c>
      <c r="B1617" s="2" t="inlineStr">
        <is>
          <t>PED00640</t>
        </is>
      </c>
      <c r="C1617" s="2" t="inlineStr">
        <is>
          <t>P043</t>
        </is>
      </c>
      <c r="D1617" s="2" t="n">
        <v>1</v>
      </c>
      <c r="E1617" s="19" t="n">
        <v>0.02</v>
      </c>
    </row>
    <row r="1618">
      <c r="A1618" s="2" t="inlineStr">
        <is>
          <t>IT00640_02</t>
        </is>
      </c>
      <c r="B1618" s="2" t="inlineStr">
        <is>
          <t>PED00640</t>
        </is>
      </c>
      <c r="C1618" s="2" t="inlineStr">
        <is>
          <t>P017</t>
        </is>
      </c>
      <c r="D1618" s="2" t="n">
        <v>3</v>
      </c>
      <c r="E1618" s="19" t="n">
        <v>0</v>
      </c>
    </row>
    <row r="1619">
      <c r="A1619" s="2" t="inlineStr">
        <is>
          <t>IT00640_03</t>
        </is>
      </c>
      <c r="B1619" s="2" t="inlineStr">
        <is>
          <t>PED00640</t>
        </is>
      </c>
      <c r="C1619" s="2" t="inlineStr">
        <is>
          <t>P070</t>
        </is>
      </c>
      <c r="D1619" s="2" t="n">
        <v>3</v>
      </c>
      <c r="E1619" s="19" t="n">
        <v>0.05</v>
      </c>
    </row>
    <row r="1620">
      <c r="A1620" s="2" t="inlineStr">
        <is>
          <t>IT00641_01</t>
        </is>
      </c>
      <c r="B1620" s="2" t="inlineStr">
        <is>
          <t>PED00641</t>
        </is>
      </c>
      <c r="C1620" s="2" t="inlineStr">
        <is>
          <t>P069</t>
        </is>
      </c>
      <c r="D1620" s="2" t="n">
        <v>1</v>
      </c>
      <c r="E1620" s="19" t="n">
        <v>0.02</v>
      </c>
    </row>
    <row r="1621">
      <c r="A1621" s="2" t="inlineStr">
        <is>
          <t>IT00642_01</t>
        </is>
      </c>
      <c r="B1621" s="2" t="inlineStr">
        <is>
          <t>PED00642</t>
        </is>
      </c>
      <c r="C1621" s="2" t="inlineStr">
        <is>
          <t>P005</t>
        </is>
      </c>
      <c r="D1621" s="2" t="n">
        <v>1</v>
      </c>
      <c r="E1621" s="19" t="n">
        <v>0</v>
      </c>
    </row>
    <row r="1622">
      <c r="A1622" s="2" t="inlineStr">
        <is>
          <t>IT00642_02</t>
        </is>
      </c>
      <c r="B1622" s="2" t="inlineStr">
        <is>
          <t>PED00642</t>
        </is>
      </c>
      <c r="C1622" s="2" t="inlineStr">
        <is>
          <t>P003</t>
        </is>
      </c>
      <c r="D1622" s="2" t="n">
        <v>1</v>
      </c>
      <c r="E1622" s="19" t="n">
        <v>0</v>
      </c>
    </row>
    <row r="1623">
      <c r="A1623" s="2" t="inlineStr">
        <is>
          <t>IT00642_03</t>
        </is>
      </c>
      <c r="B1623" s="2" t="inlineStr">
        <is>
          <t>PED00642</t>
        </is>
      </c>
      <c r="C1623" s="2" t="inlineStr">
        <is>
          <t>P068</t>
        </is>
      </c>
      <c r="D1623" s="2" t="n">
        <v>1</v>
      </c>
      <c r="E1623" s="19" t="n">
        <v>0.02</v>
      </c>
    </row>
    <row r="1624">
      <c r="A1624" s="2" t="inlineStr">
        <is>
          <t>IT00642_04</t>
        </is>
      </c>
      <c r="B1624" s="2" t="inlineStr">
        <is>
          <t>PED00642</t>
        </is>
      </c>
      <c r="C1624" s="2" t="inlineStr">
        <is>
          <t>P014</t>
        </is>
      </c>
      <c r="D1624" s="2" t="n">
        <v>1</v>
      </c>
      <c r="E1624" s="19" t="n">
        <v>0</v>
      </c>
    </row>
    <row r="1625">
      <c r="A1625" s="2" t="inlineStr">
        <is>
          <t>IT00642_05</t>
        </is>
      </c>
      <c r="B1625" s="2" t="inlineStr">
        <is>
          <t>PED00642</t>
        </is>
      </c>
      <c r="C1625" s="2" t="inlineStr">
        <is>
          <t>P065</t>
        </is>
      </c>
      <c r="D1625" s="2" t="n">
        <v>1</v>
      </c>
      <c r="E1625" s="19" t="n">
        <v>0.02</v>
      </c>
    </row>
    <row r="1626">
      <c r="A1626" s="2" t="inlineStr">
        <is>
          <t>IT00643_01</t>
        </is>
      </c>
      <c r="B1626" s="2" t="inlineStr">
        <is>
          <t>PED00643</t>
        </is>
      </c>
      <c r="C1626" s="2" t="inlineStr">
        <is>
          <t>P065</t>
        </is>
      </c>
      <c r="D1626" s="2" t="n">
        <v>3</v>
      </c>
      <c r="E1626" s="19" t="n">
        <v>0.02</v>
      </c>
    </row>
    <row r="1627">
      <c r="A1627" s="2" t="inlineStr">
        <is>
          <t>IT00644_01</t>
        </is>
      </c>
      <c r="B1627" s="2" t="inlineStr">
        <is>
          <t>PED00644</t>
        </is>
      </c>
      <c r="C1627" s="2" t="inlineStr">
        <is>
          <t>P051</t>
        </is>
      </c>
      <c r="D1627" s="2" t="n">
        <v>1</v>
      </c>
      <c r="E1627" s="19" t="n">
        <v>0</v>
      </c>
    </row>
    <row r="1628">
      <c r="A1628" s="2" t="inlineStr">
        <is>
          <t>IT00645_01</t>
        </is>
      </c>
      <c r="B1628" s="2" t="inlineStr">
        <is>
          <t>PED00645</t>
        </is>
      </c>
      <c r="C1628" s="2" t="inlineStr">
        <is>
          <t>P034</t>
        </is>
      </c>
      <c r="D1628" s="2" t="n">
        <v>5</v>
      </c>
      <c r="E1628" s="19" t="n">
        <v>0</v>
      </c>
    </row>
    <row r="1629">
      <c r="A1629" s="2" t="inlineStr">
        <is>
          <t>IT00646_01</t>
        </is>
      </c>
      <c r="B1629" s="2" t="inlineStr">
        <is>
          <t>PED00646</t>
        </is>
      </c>
      <c r="C1629" s="2" t="inlineStr">
        <is>
          <t>P069</t>
        </is>
      </c>
      <c r="D1629" s="2" t="n">
        <v>1</v>
      </c>
      <c r="E1629" s="19" t="n">
        <v>0</v>
      </c>
    </row>
    <row r="1630">
      <c r="A1630" s="2" t="inlineStr">
        <is>
          <t>IT00646_02</t>
        </is>
      </c>
      <c r="B1630" s="2" t="inlineStr">
        <is>
          <t>PED00646</t>
        </is>
      </c>
      <c r="C1630" s="2" t="inlineStr">
        <is>
          <t>P065</t>
        </is>
      </c>
      <c r="D1630" s="2" t="n">
        <v>2</v>
      </c>
      <c r="E1630" s="19" t="n">
        <v>0</v>
      </c>
    </row>
    <row r="1631">
      <c r="A1631" s="2" t="inlineStr">
        <is>
          <t>IT00647_01</t>
        </is>
      </c>
      <c r="B1631" s="2" t="inlineStr">
        <is>
          <t>PED00647</t>
        </is>
      </c>
      <c r="C1631" s="2" t="inlineStr">
        <is>
          <t>P058</t>
        </is>
      </c>
      <c r="D1631" s="2" t="n">
        <v>2</v>
      </c>
      <c r="E1631" s="19" t="n">
        <v>0</v>
      </c>
    </row>
    <row r="1632">
      <c r="A1632" s="2" t="inlineStr">
        <is>
          <t>IT00647_02</t>
        </is>
      </c>
      <c r="B1632" s="2" t="inlineStr">
        <is>
          <t>PED00647</t>
        </is>
      </c>
      <c r="C1632" s="2" t="inlineStr">
        <is>
          <t>P048</t>
        </is>
      </c>
      <c r="D1632" s="2" t="n">
        <v>1</v>
      </c>
      <c r="E1632" s="19" t="n">
        <v>0.05</v>
      </c>
    </row>
    <row r="1633">
      <c r="A1633" s="2" t="inlineStr">
        <is>
          <t>IT00647_03</t>
        </is>
      </c>
      <c r="B1633" s="2" t="inlineStr">
        <is>
          <t>PED00647</t>
        </is>
      </c>
      <c r="C1633" s="2" t="inlineStr">
        <is>
          <t>P062</t>
        </is>
      </c>
      <c r="D1633" s="2" t="n">
        <v>5</v>
      </c>
      <c r="E1633" s="19" t="n">
        <v>0</v>
      </c>
    </row>
    <row r="1634">
      <c r="A1634" s="2" t="inlineStr">
        <is>
          <t>IT00648_01</t>
        </is>
      </c>
      <c r="B1634" s="2" t="inlineStr">
        <is>
          <t>PED00648</t>
        </is>
      </c>
      <c r="C1634" s="2" t="inlineStr">
        <is>
          <t>P067</t>
        </is>
      </c>
      <c r="D1634" s="2" t="n">
        <v>1</v>
      </c>
      <c r="E1634" s="19" t="n">
        <v>0</v>
      </c>
    </row>
    <row r="1635">
      <c r="A1635" s="2" t="inlineStr">
        <is>
          <t>IT00648_02</t>
        </is>
      </c>
      <c r="B1635" s="2" t="inlineStr">
        <is>
          <t>PED00648</t>
        </is>
      </c>
      <c r="C1635" s="2" t="inlineStr">
        <is>
          <t>P030</t>
        </is>
      </c>
      <c r="D1635" s="2" t="n">
        <v>1</v>
      </c>
      <c r="E1635" s="19" t="n">
        <v>0</v>
      </c>
    </row>
    <row r="1636">
      <c r="A1636" s="2" t="inlineStr">
        <is>
          <t>IT00648_03</t>
        </is>
      </c>
      <c r="B1636" s="2" t="inlineStr">
        <is>
          <t>PED00648</t>
        </is>
      </c>
      <c r="C1636" s="2" t="inlineStr">
        <is>
          <t>P008</t>
        </is>
      </c>
      <c r="D1636" s="2" t="n">
        <v>1</v>
      </c>
      <c r="E1636" s="19" t="n">
        <v>0</v>
      </c>
    </row>
    <row r="1637">
      <c r="A1637" s="2" t="inlineStr">
        <is>
          <t>IT00648_04</t>
        </is>
      </c>
      <c r="B1637" s="2" t="inlineStr">
        <is>
          <t>PED00648</t>
        </is>
      </c>
      <c r="C1637" s="2" t="inlineStr">
        <is>
          <t>P064</t>
        </is>
      </c>
      <c r="D1637" s="2" t="n">
        <v>1</v>
      </c>
      <c r="E1637" s="19" t="n">
        <v>0</v>
      </c>
    </row>
    <row r="1638">
      <c r="A1638" s="2" t="inlineStr">
        <is>
          <t>IT00649_01</t>
        </is>
      </c>
      <c r="B1638" s="2" t="inlineStr">
        <is>
          <t>PED00649</t>
        </is>
      </c>
      <c r="C1638" s="2" t="inlineStr">
        <is>
          <t>P062</t>
        </is>
      </c>
      <c r="D1638" s="2" t="n">
        <v>2</v>
      </c>
      <c r="E1638" s="19" t="n">
        <v>0.02</v>
      </c>
    </row>
    <row r="1639">
      <c r="A1639" s="2" t="inlineStr">
        <is>
          <t>IT00649_02</t>
        </is>
      </c>
      <c r="B1639" s="2" t="inlineStr">
        <is>
          <t>PED00649</t>
        </is>
      </c>
      <c r="C1639" s="2" t="inlineStr">
        <is>
          <t>P066</t>
        </is>
      </c>
      <c r="D1639" s="2" t="n">
        <v>3</v>
      </c>
      <c r="E1639" s="19" t="n">
        <v>0.05</v>
      </c>
    </row>
    <row r="1640">
      <c r="A1640" s="2" t="inlineStr">
        <is>
          <t>IT00650_01</t>
        </is>
      </c>
      <c r="B1640" s="2" t="inlineStr">
        <is>
          <t>PED00650</t>
        </is>
      </c>
      <c r="C1640" s="2" t="inlineStr">
        <is>
          <t>P026</t>
        </is>
      </c>
      <c r="D1640" s="2" t="n">
        <v>2</v>
      </c>
      <c r="E1640" s="19" t="n">
        <v>0.1</v>
      </c>
    </row>
    <row r="1641">
      <c r="A1641" s="2" t="inlineStr">
        <is>
          <t>IT00651_01</t>
        </is>
      </c>
      <c r="B1641" s="2" t="inlineStr">
        <is>
          <t>PED00651</t>
        </is>
      </c>
      <c r="C1641" s="2" t="inlineStr">
        <is>
          <t>P054</t>
        </is>
      </c>
      <c r="D1641" s="2" t="n">
        <v>1</v>
      </c>
      <c r="E1641" s="19" t="n">
        <v>0</v>
      </c>
    </row>
    <row r="1642">
      <c r="A1642" s="2" t="inlineStr">
        <is>
          <t>IT00651_02</t>
        </is>
      </c>
      <c r="B1642" s="2" t="inlineStr">
        <is>
          <t>PED00651</t>
        </is>
      </c>
      <c r="C1642" s="2" t="inlineStr">
        <is>
          <t>P052</t>
        </is>
      </c>
      <c r="D1642" s="2" t="n">
        <v>1</v>
      </c>
      <c r="E1642" s="19" t="n">
        <v>0.05</v>
      </c>
    </row>
    <row r="1643">
      <c r="A1643" s="2" t="inlineStr">
        <is>
          <t>IT00651_03</t>
        </is>
      </c>
      <c r="B1643" s="2" t="inlineStr">
        <is>
          <t>PED00651</t>
        </is>
      </c>
      <c r="C1643" s="2" t="inlineStr">
        <is>
          <t>P002</t>
        </is>
      </c>
      <c r="D1643" s="2" t="n">
        <v>2</v>
      </c>
      <c r="E1643" s="19" t="n">
        <v>0</v>
      </c>
    </row>
    <row r="1644">
      <c r="A1644" s="2" t="inlineStr">
        <is>
          <t>IT00652_01</t>
        </is>
      </c>
      <c r="B1644" s="2" t="inlineStr">
        <is>
          <t>PED00652</t>
        </is>
      </c>
      <c r="C1644" s="2" t="inlineStr">
        <is>
          <t>P048</t>
        </is>
      </c>
      <c r="D1644" s="2" t="n">
        <v>2</v>
      </c>
      <c r="E1644" s="19" t="n">
        <v>0</v>
      </c>
    </row>
    <row r="1645">
      <c r="A1645" s="2" t="inlineStr">
        <is>
          <t>IT00652_02</t>
        </is>
      </c>
      <c r="B1645" s="2" t="inlineStr">
        <is>
          <t>PED00652</t>
        </is>
      </c>
      <c r="C1645" s="2" t="inlineStr">
        <is>
          <t>P067</t>
        </is>
      </c>
      <c r="D1645" s="2" t="n">
        <v>1</v>
      </c>
      <c r="E1645" s="19" t="n">
        <v>0.02</v>
      </c>
    </row>
    <row r="1646">
      <c r="A1646" s="2" t="inlineStr">
        <is>
          <t>IT00652_03</t>
        </is>
      </c>
      <c r="B1646" s="2" t="inlineStr">
        <is>
          <t>PED00652</t>
        </is>
      </c>
      <c r="C1646" s="2" t="inlineStr">
        <is>
          <t>P033</t>
        </is>
      </c>
      <c r="D1646" s="2" t="n">
        <v>10</v>
      </c>
      <c r="E1646" s="19" t="n">
        <v>0.05</v>
      </c>
    </row>
    <row r="1647">
      <c r="A1647" s="2" t="inlineStr">
        <is>
          <t>IT00653_01</t>
        </is>
      </c>
      <c r="B1647" s="2" t="inlineStr">
        <is>
          <t>PED00653</t>
        </is>
      </c>
      <c r="C1647" s="2" t="inlineStr">
        <is>
          <t>P001</t>
        </is>
      </c>
      <c r="D1647" s="2" t="n">
        <v>1</v>
      </c>
      <c r="E1647" s="19" t="n">
        <v>0</v>
      </c>
    </row>
    <row r="1648">
      <c r="A1648" s="2" t="inlineStr">
        <is>
          <t>IT00654_01</t>
        </is>
      </c>
      <c r="B1648" s="2" t="inlineStr">
        <is>
          <t>PED00654</t>
        </is>
      </c>
      <c r="C1648" s="2" t="inlineStr">
        <is>
          <t>P045</t>
        </is>
      </c>
      <c r="D1648" s="2" t="n">
        <v>2</v>
      </c>
      <c r="E1648" s="19" t="n">
        <v>0.05</v>
      </c>
    </row>
    <row r="1649">
      <c r="A1649" s="2" t="inlineStr">
        <is>
          <t>IT00655_01</t>
        </is>
      </c>
      <c r="B1649" s="2" t="inlineStr">
        <is>
          <t>PED00655</t>
        </is>
      </c>
      <c r="C1649" s="2" t="inlineStr">
        <is>
          <t>P040</t>
        </is>
      </c>
      <c r="D1649" s="2" t="n">
        <v>2</v>
      </c>
      <c r="E1649" s="19" t="n">
        <v>0</v>
      </c>
    </row>
    <row r="1650">
      <c r="A1650" s="2" t="inlineStr">
        <is>
          <t>IT00655_02</t>
        </is>
      </c>
      <c r="B1650" s="2" t="inlineStr">
        <is>
          <t>PED00655</t>
        </is>
      </c>
      <c r="C1650" s="2" t="inlineStr">
        <is>
          <t>P048</t>
        </is>
      </c>
      <c r="D1650" s="2" t="n">
        <v>1</v>
      </c>
      <c r="E1650" s="19" t="n">
        <v>0</v>
      </c>
    </row>
    <row r="1651">
      <c r="A1651" s="2" t="inlineStr">
        <is>
          <t>IT00655_03</t>
        </is>
      </c>
      <c r="B1651" s="2" t="inlineStr">
        <is>
          <t>PED00655</t>
        </is>
      </c>
      <c r="C1651" s="2" t="inlineStr">
        <is>
          <t>P052</t>
        </is>
      </c>
      <c r="D1651" s="2" t="n">
        <v>1</v>
      </c>
      <c r="E1651" s="19" t="n">
        <v>0</v>
      </c>
    </row>
    <row r="1652">
      <c r="A1652" s="2" t="inlineStr">
        <is>
          <t>IT00655_04</t>
        </is>
      </c>
      <c r="B1652" s="2" t="inlineStr">
        <is>
          <t>PED00655</t>
        </is>
      </c>
      <c r="C1652" s="2" t="inlineStr">
        <is>
          <t>P033</t>
        </is>
      </c>
      <c r="D1652" s="2" t="n">
        <v>1</v>
      </c>
      <c r="E1652" s="19" t="n">
        <v>0</v>
      </c>
    </row>
    <row r="1653">
      <c r="A1653" s="2" t="inlineStr">
        <is>
          <t>IT00656_01</t>
        </is>
      </c>
      <c r="B1653" s="2" t="inlineStr">
        <is>
          <t>PED00656</t>
        </is>
      </c>
      <c r="C1653" s="2" t="inlineStr">
        <is>
          <t>P061</t>
        </is>
      </c>
      <c r="D1653" s="2" t="n">
        <v>1</v>
      </c>
      <c r="E1653" s="19" t="n">
        <v>0.02</v>
      </c>
    </row>
    <row r="1654">
      <c r="A1654" s="2" t="inlineStr">
        <is>
          <t>IT00656_02</t>
        </is>
      </c>
      <c r="B1654" s="2" t="inlineStr">
        <is>
          <t>PED00656</t>
        </is>
      </c>
      <c r="C1654" s="2" t="inlineStr">
        <is>
          <t>P027</t>
        </is>
      </c>
      <c r="D1654" s="2" t="n">
        <v>10</v>
      </c>
      <c r="E1654" s="19" t="n">
        <v>0</v>
      </c>
    </row>
    <row r="1655">
      <c r="A1655" s="2" t="inlineStr">
        <is>
          <t>IT00657_01</t>
        </is>
      </c>
      <c r="B1655" s="2" t="inlineStr">
        <is>
          <t>PED00657</t>
        </is>
      </c>
      <c r="C1655" s="2" t="inlineStr">
        <is>
          <t>P007</t>
        </is>
      </c>
      <c r="D1655" s="2" t="n">
        <v>2</v>
      </c>
      <c r="E1655" s="19" t="n">
        <v>0</v>
      </c>
    </row>
    <row r="1656">
      <c r="A1656" s="2" t="inlineStr">
        <is>
          <t>IT00657_02</t>
        </is>
      </c>
      <c r="B1656" s="2" t="inlineStr">
        <is>
          <t>PED00657</t>
        </is>
      </c>
      <c r="C1656" s="2" t="inlineStr">
        <is>
          <t>P018</t>
        </is>
      </c>
      <c r="D1656" s="2" t="n">
        <v>1</v>
      </c>
      <c r="E1656" s="19" t="n">
        <v>0.02</v>
      </c>
    </row>
    <row r="1657">
      <c r="A1657" s="2" t="inlineStr">
        <is>
          <t>IT00657_03</t>
        </is>
      </c>
      <c r="B1657" s="2" t="inlineStr">
        <is>
          <t>PED00657</t>
        </is>
      </c>
      <c r="C1657" s="2" t="inlineStr">
        <is>
          <t>P066</t>
        </is>
      </c>
      <c r="D1657" s="2" t="n">
        <v>1</v>
      </c>
      <c r="E1657" s="19" t="n">
        <v>0</v>
      </c>
    </row>
    <row r="1658">
      <c r="A1658" s="2" t="inlineStr">
        <is>
          <t>IT00657_04</t>
        </is>
      </c>
      <c r="B1658" s="2" t="inlineStr">
        <is>
          <t>PED00657</t>
        </is>
      </c>
      <c r="C1658" s="2" t="inlineStr">
        <is>
          <t>P057</t>
        </is>
      </c>
      <c r="D1658" s="2" t="n">
        <v>3</v>
      </c>
      <c r="E1658" s="19" t="n">
        <v>0.02</v>
      </c>
    </row>
    <row r="1659">
      <c r="A1659" s="2" t="inlineStr">
        <is>
          <t>IT00658_01</t>
        </is>
      </c>
      <c r="B1659" s="2" t="inlineStr">
        <is>
          <t>PED00658</t>
        </is>
      </c>
      <c r="C1659" s="2" t="inlineStr">
        <is>
          <t>P036</t>
        </is>
      </c>
      <c r="D1659" s="2" t="n">
        <v>2</v>
      </c>
      <c r="E1659" s="19" t="n">
        <v>0</v>
      </c>
    </row>
    <row r="1660">
      <c r="A1660" s="2" t="inlineStr">
        <is>
          <t>IT00658_02</t>
        </is>
      </c>
      <c r="B1660" s="2" t="inlineStr">
        <is>
          <t>PED00658</t>
        </is>
      </c>
      <c r="C1660" s="2" t="inlineStr">
        <is>
          <t>P019</t>
        </is>
      </c>
      <c r="D1660" s="2" t="n">
        <v>1</v>
      </c>
      <c r="E1660" s="19" t="n">
        <v>0.05</v>
      </c>
    </row>
    <row r="1661">
      <c r="A1661" s="2" t="inlineStr">
        <is>
          <t>IT00658_03</t>
        </is>
      </c>
      <c r="B1661" s="2" t="inlineStr">
        <is>
          <t>PED00658</t>
        </is>
      </c>
      <c r="C1661" s="2" t="inlineStr">
        <is>
          <t>P056</t>
        </is>
      </c>
      <c r="D1661" s="2" t="n">
        <v>2</v>
      </c>
      <c r="E1661" s="19" t="n">
        <v>0</v>
      </c>
    </row>
    <row r="1662">
      <c r="A1662" s="2" t="inlineStr">
        <is>
          <t>IT00658_04</t>
        </is>
      </c>
      <c r="B1662" s="2" t="inlineStr">
        <is>
          <t>PED00658</t>
        </is>
      </c>
      <c r="C1662" s="2" t="inlineStr">
        <is>
          <t>P057</t>
        </is>
      </c>
      <c r="D1662" s="2" t="n">
        <v>4</v>
      </c>
      <c r="E1662" s="19" t="n">
        <v>0.05</v>
      </c>
    </row>
    <row r="1663">
      <c r="A1663" s="2" t="inlineStr">
        <is>
          <t>IT00658_05</t>
        </is>
      </c>
      <c r="B1663" s="2" t="inlineStr">
        <is>
          <t>PED00658</t>
        </is>
      </c>
      <c r="C1663" s="2" t="inlineStr">
        <is>
          <t>P063</t>
        </is>
      </c>
      <c r="D1663" s="2" t="n">
        <v>3</v>
      </c>
      <c r="E1663" s="19" t="n">
        <v>0</v>
      </c>
    </row>
    <row r="1664">
      <c r="A1664" s="2" t="inlineStr">
        <is>
          <t>IT00659_01</t>
        </is>
      </c>
      <c r="B1664" s="2" t="inlineStr">
        <is>
          <t>PED00659</t>
        </is>
      </c>
      <c r="C1664" s="2" t="inlineStr">
        <is>
          <t>P057</t>
        </is>
      </c>
      <c r="D1664" s="2" t="n">
        <v>1</v>
      </c>
      <c r="E1664" s="19" t="n">
        <v>0</v>
      </c>
    </row>
    <row r="1665">
      <c r="A1665" s="2" t="inlineStr">
        <is>
          <t>IT00660_01</t>
        </is>
      </c>
      <c r="B1665" s="2" t="inlineStr">
        <is>
          <t>PED00660</t>
        </is>
      </c>
      <c r="C1665" s="2" t="inlineStr">
        <is>
          <t>P035</t>
        </is>
      </c>
      <c r="D1665" s="2" t="n">
        <v>1</v>
      </c>
      <c r="E1665" s="19" t="n">
        <v>0.1</v>
      </c>
    </row>
    <row r="1666">
      <c r="A1666" s="2" t="inlineStr">
        <is>
          <t>IT00660_02</t>
        </is>
      </c>
      <c r="B1666" s="2" t="inlineStr">
        <is>
          <t>PED00660</t>
        </is>
      </c>
      <c r="C1666" s="2" t="inlineStr">
        <is>
          <t>P005</t>
        </is>
      </c>
      <c r="D1666" s="2" t="n">
        <v>3</v>
      </c>
      <c r="E1666" s="19" t="n">
        <v>0</v>
      </c>
    </row>
    <row r="1667">
      <c r="A1667" s="2" t="inlineStr">
        <is>
          <t>IT00660_03</t>
        </is>
      </c>
      <c r="B1667" s="2" t="inlineStr">
        <is>
          <t>PED00660</t>
        </is>
      </c>
      <c r="C1667" s="2" t="inlineStr">
        <is>
          <t>P036</t>
        </is>
      </c>
      <c r="D1667" s="2" t="n">
        <v>1</v>
      </c>
      <c r="E1667" s="19" t="n">
        <v>0</v>
      </c>
    </row>
    <row r="1668">
      <c r="A1668" s="2" t="inlineStr">
        <is>
          <t>IT00660_04</t>
        </is>
      </c>
      <c r="B1668" s="2" t="inlineStr">
        <is>
          <t>PED00660</t>
        </is>
      </c>
      <c r="C1668" s="2" t="inlineStr">
        <is>
          <t>P062</t>
        </is>
      </c>
      <c r="D1668" s="2" t="n">
        <v>1</v>
      </c>
      <c r="E1668" s="19" t="n">
        <v>0.02</v>
      </c>
    </row>
    <row r="1669">
      <c r="A1669" s="2" t="inlineStr">
        <is>
          <t>IT00661_01</t>
        </is>
      </c>
      <c r="B1669" s="2" t="inlineStr">
        <is>
          <t>PED00661</t>
        </is>
      </c>
      <c r="C1669" s="2" t="inlineStr">
        <is>
          <t>P014</t>
        </is>
      </c>
      <c r="D1669" s="2" t="n">
        <v>1</v>
      </c>
      <c r="E1669" s="19" t="n">
        <v>0.05</v>
      </c>
    </row>
    <row r="1670">
      <c r="A1670" s="2" t="inlineStr">
        <is>
          <t>IT00661_02</t>
        </is>
      </c>
      <c r="B1670" s="2" t="inlineStr">
        <is>
          <t>PED00661</t>
        </is>
      </c>
      <c r="C1670" s="2" t="inlineStr">
        <is>
          <t>P005</t>
        </is>
      </c>
      <c r="D1670" s="2" t="n">
        <v>1</v>
      </c>
      <c r="E1670" s="19" t="n">
        <v>0.02</v>
      </c>
    </row>
    <row r="1671">
      <c r="A1671" s="2" t="inlineStr">
        <is>
          <t>IT00661_03</t>
        </is>
      </c>
      <c r="B1671" s="2" t="inlineStr">
        <is>
          <t>PED00661</t>
        </is>
      </c>
      <c r="C1671" s="2" t="inlineStr">
        <is>
          <t>P048</t>
        </is>
      </c>
      <c r="D1671" s="2" t="n">
        <v>4</v>
      </c>
      <c r="E1671" s="19" t="n">
        <v>0</v>
      </c>
    </row>
    <row r="1672">
      <c r="A1672" s="2" t="inlineStr">
        <is>
          <t>IT00662_01</t>
        </is>
      </c>
      <c r="B1672" s="2" t="inlineStr">
        <is>
          <t>PED00662</t>
        </is>
      </c>
      <c r="C1672" s="2" t="inlineStr">
        <is>
          <t>P036</t>
        </is>
      </c>
      <c r="D1672" s="2" t="n">
        <v>3</v>
      </c>
      <c r="E1672" s="19" t="n">
        <v>0.05</v>
      </c>
    </row>
    <row r="1673">
      <c r="A1673" s="2" t="inlineStr">
        <is>
          <t>IT00662_02</t>
        </is>
      </c>
      <c r="B1673" s="2" t="inlineStr">
        <is>
          <t>PED00662</t>
        </is>
      </c>
      <c r="C1673" s="2" t="inlineStr">
        <is>
          <t>P025</t>
        </is>
      </c>
      <c r="D1673" s="2" t="n">
        <v>1</v>
      </c>
      <c r="E1673" s="19" t="n">
        <v>0.02</v>
      </c>
    </row>
    <row r="1674">
      <c r="A1674" s="2" t="inlineStr">
        <is>
          <t>IT00662_03</t>
        </is>
      </c>
      <c r="B1674" s="2" t="inlineStr">
        <is>
          <t>PED00662</t>
        </is>
      </c>
      <c r="C1674" s="2" t="inlineStr">
        <is>
          <t>P003</t>
        </is>
      </c>
      <c r="D1674" s="2" t="n">
        <v>4</v>
      </c>
      <c r="E1674" s="19" t="n">
        <v>0</v>
      </c>
    </row>
    <row r="1675">
      <c r="A1675" s="2" t="inlineStr">
        <is>
          <t>IT00662_04</t>
        </is>
      </c>
      <c r="B1675" s="2" t="inlineStr">
        <is>
          <t>PED00662</t>
        </is>
      </c>
      <c r="C1675" s="2" t="inlineStr">
        <is>
          <t>P043</t>
        </is>
      </c>
      <c r="D1675" s="2" t="n">
        <v>5</v>
      </c>
      <c r="E1675" s="19" t="n">
        <v>0</v>
      </c>
    </row>
    <row r="1676">
      <c r="A1676" s="2" t="inlineStr">
        <is>
          <t>IT00663_01</t>
        </is>
      </c>
      <c r="B1676" s="2" t="inlineStr">
        <is>
          <t>PED00663</t>
        </is>
      </c>
      <c r="C1676" s="2" t="inlineStr">
        <is>
          <t>P065</t>
        </is>
      </c>
      <c r="D1676" s="2" t="n">
        <v>1</v>
      </c>
      <c r="E1676" s="19" t="n">
        <v>0</v>
      </c>
    </row>
    <row r="1677">
      <c r="A1677" s="2" t="inlineStr">
        <is>
          <t>IT00663_02</t>
        </is>
      </c>
      <c r="B1677" s="2" t="inlineStr">
        <is>
          <t>PED00663</t>
        </is>
      </c>
      <c r="C1677" s="2" t="inlineStr">
        <is>
          <t>P019</t>
        </is>
      </c>
      <c r="D1677" s="2" t="n">
        <v>2</v>
      </c>
      <c r="E1677" s="19" t="n">
        <v>0.02</v>
      </c>
    </row>
    <row r="1678">
      <c r="A1678" s="2" t="inlineStr">
        <is>
          <t>IT00663_03</t>
        </is>
      </c>
      <c r="B1678" s="2" t="inlineStr">
        <is>
          <t>PED00663</t>
        </is>
      </c>
      <c r="C1678" s="2" t="inlineStr">
        <is>
          <t>P035</t>
        </is>
      </c>
      <c r="D1678" s="2" t="n">
        <v>1</v>
      </c>
      <c r="E1678" s="19" t="n">
        <v>0</v>
      </c>
    </row>
    <row r="1679">
      <c r="A1679" s="2" t="inlineStr">
        <is>
          <t>IT00663_04</t>
        </is>
      </c>
      <c r="B1679" s="2" t="inlineStr">
        <is>
          <t>PED00663</t>
        </is>
      </c>
      <c r="C1679" s="2" t="inlineStr">
        <is>
          <t>P011</t>
        </is>
      </c>
      <c r="D1679" s="2" t="n">
        <v>3</v>
      </c>
      <c r="E1679" s="19" t="n">
        <v>0.05</v>
      </c>
    </row>
    <row r="1680">
      <c r="A1680" s="2" t="inlineStr">
        <is>
          <t>IT00664_01</t>
        </is>
      </c>
      <c r="B1680" s="2" t="inlineStr">
        <is>
          <t>PED00664</t>
        </is>
      </c>
      <c r="C1680" s="2" t="inlineStr">
        <is>
          <t>P060</t>
        </is>
      </c>
      <c r="D1680" s="2" t="n">
        <v>1</v>
      </c>
      <c r="E1680" s="19" t="n">
        <v>0.05</v>
      </c>
    </row>
    <row r="1681">
      <c r="A1681" s="2" t="inlineStr">
        <is>
          <t>IT00665_01</t>
        </is>
      </c>
      <c r="B1681" s="2" t="inlineStr">
        <is>
          <t>PED00665</t>
        </is>
      </c>
      <c r="C1681" s="2" t="inlineStr">
        <is>
          <t>P002</t>
        </is>
      </c>
      <c r="D1681" s="2" t="n">
        <v>1</v>
      </c>
      <c r="E1681" s="19" t="n">
        <v>0</v>
      </c>
    </row>
    <row r="1682">
      <c r="A1682" s="2" t="inlineStr">
        <is>
          <t>IT00666_01</t>
        </is>
      </c>
      <c r="B1682" s="2" t="inlineStr">
        <is>
          <t>PED00666</t>
        </is>
      </c>
      <c r="C1682" s="2" t="inlineStr">
        <is>
          <t>P017</t>
        </is>
      </c>
      <c r="D1682" s="2" t="n">
        <v>1</v>
      </c>
      <c r="E1682" s="19" t="n">
        <v>0</v>
      </c>
    </row>
    <row r="1683">
      <c r="A1683" s="2" t="inlineStr">
        <is>
          <t>IT00667_01</t>
        </is>
      </c>
      <c r="B1683" s="2" t="inlineStr">
        <is>
          <t>PED00667</t>
        </is>
      </c>
      <c r="C1683" s="2" t="inlineStr">
        <is>
          <t>P026</t>
        </is>
      </c>
      <c r="D1683" s="2" t="n">
        <v>1</v>
      </c>
      <c r="E1683" s="19" t="n">
        <v>0</v>
      </c>
    </row>
    <row r="1684">
      <c r="A1684" s="2" t="inlineStr">
        <is>
          <t>IT00668_01</t>
        </is>
      </c>
      <c r="B1684" s="2" t="inlineStr">
        <is>
          <t>PED00668</t>
        </is>
      </c>
      <c r="C1684" s="2" t="inlineStr">
        <is>
          <t>P067</t>
        </is>
      </c>
      <c r="D1684" s="2" t="n">
        <v>1</v>
      </c>
      <c r="E1684" s="19" t="n">
        <v>0.05</v>
      </c>
    </row>
    <row r="1685">
      <c r="A1685" s="2" t="inlineStr">
        <is>
          <t>IT00668_02</t>
        </is>
      </c>
      <c r="B1685" s="2" t="inlineStr">
        <is>
          <t>PED00668</t>
        </is>
      </c>
      <c r="C1685" s="2" t="inlineStr">
        <is>
          <t>P058</t>
        </is>
      </c>
      <c r="D1685" s="2" t="n">
        <v>1</v>
      </c>
      <c r="E1685" s="19" t="n">
        <v>0</v>
      </c>
    </row>
    <row r="1686">
      <c r="A1686" s="2" t="inlineStr">
        <is>
          <t>IT00668_03</t>
        </is>
      </c>
      <c r="B1686" s="2" t="inlineStr">
        <is>
          <t>PED00668</t>
        </is>
      </c>
      <c r="C1686" s="2" t="inlineStr">
        <is>
          <t>P022</t>
        </is>
      </c>
      <c r="D1686" s="2" t="n">
        <v>1</v>
      </c>
      <c r="E1686" s="19" t="n">
        <v>0.02</v>
      </c>
    </row>
    <row r="1687">
      <c r="A1687" s="2" t="inlineStr">
        <is>
          <t>IT00669_01</t>
        </is>
      </c>
      <c r="B1687" s="2" t="inlineStr">
        <is>
          <t>PED00669</t>
        </is>
      </c>
      <c r="C1687" s="2" t="inlineStr">
        <is>
          <t>P035</t>
        </is>
      </c>
      <c r="D1687" s="2" t="n">
        <v>1</v>
      </c>
      <c r="E1687" s="19" t="n">
        <v>0</v>
      </c>
    </row>
    <row r="1688">
      <c r="A1688" s="2" t="inlineStr">
        <is>
          <t>IT00669_02</t>
        </is>
      </c>
      <c r="B1688" s="2" t="inlineStr">
        <is>
          <t>PED00669</t>
        </is>
      </c>
      <c r="C1688" s="2" t="inlineStr">
        <is>
          <t>P012</t>
        </is>
      </c>
      <c r="D1688" s="2" t="n">
        <v>1</v>
      </c>
      <c r="E1688" s="19" t="n">
        <v>0</v>
      </c>
    </row>
    <row r="1689">
      <c r="A1689" s="2" t="inlineStr">
        <is>
          <t>IT00669_03</t>
        </is>
      </c>
      <c r="B1689" s="2" t="inlineStr">
        <is>
          <t>PED00669</t>
        </is>
      </c>
      <c r="C1689" s="2" t="inlineStr">
        <is>
          <t>P066</t>
        </is>
      </c>
      <c r="D1689" s="2" t="n">
        <v>2</v>
      </c>
      <c r="E1689" s="19" t="n">
        <v>0</v>
      </c>
    </row>
    <row r="1690">
      <c r="A1690" s="2" t="inlineStr">
        <is>
          <t>IT00669_04</t>
        </is>
      </c>
      <c r="B1690" s="2" t="inlineStr">
        <is>
          <t>PED00669</t>
        </is>
      </c>
      <c r="C1690" s="2" t="inlineStr">
        <is>
          <t>P027</t>
        </is>
      </c>
      <c r="D1690" s="2" t="n">
        <v>1</v>
      </c>
      <c r="E1690" s="19" t="n">
        <v>0</v>
      </c>
    </row>
    <row r="1691">
      <c r="A1691" s="2" t="inlineStr">
        <is>
          <t>IT00670_01</t>
        </is>
      </c>
      <c r="B1691" s="2" t="inlineStr">
        <is>
          <t>PED00670</t>
        </is>
      </c>
      <c r="C1691" s="2" t="inlineStr">
        <is>
          <t>P046</t>
        </is>
      </c>
      <c r="D1691" s="2" t="n">
        <v>4</v>
      </c>
      <c r="E1691" s="19" t="n">
        <v>0</v>
      </c>
    </row>
    <row r="1692">
      <c r="A1692" s="2" t="inlineStr">
        <is>
          <t>IT00671_01</t>
        </is>
      </c>
      <c r="B1692" s="2" t="inlineStr">
        <is>
          <t>PED00671</t>
        </is>
      </c>
      <c r="C1692" s="2" t="inlineStr">
        <is>
          <t>P021</t>
        </is>
      </c>
      <c r="D1692" s="2" t="n">
        <v>2</v>
      </c>
      <c r="E1692" s="19" t="n">
        <v>0.02</v>
      </c>
    </row>
    <row r="1693">
      <c r="A1693" s="2" t="inlineStr">
        <is>
          <t>IT00671_02</t>
        </is>
      </c>
      <c r="B1693" s="2" t="inlineStr">
        <is>
          <t>PED00671</t>
        </is>
      </c>
      <c r="C1693" s="2" t="inlineStr">
        <is>
          <t>P060</t>
        </is>
      </c>
      <c r="D1693" s="2" t="n">
        <v>2</v>
      </c>
      <c r="E1693" s="19" t="n">
        <v>0</v>
      </c>
    </row>
    <row r="1694">
      <c r="A1694" s="2" t="inlineStr">
        <is>
          <t>IT00672_01</t>
        </is>
      </c>
      <c r="B1694" s="2" t="inlineStr">
        <is>
          <t>PED00672</t>
        </is>
      </c>
      <c r="C1694" s="2" t="inlineStr">
        <is>
          <t>P044</t>
        </is>
      </c>
      <c r="D1694" s="2" t="n">
        <v>1</v>
      </c>
      <c r="E1694" s="19" t="n">
        <v>0.1</v>
      </c>
    </row>
    <row r="1695">
      <c r="A1695" s="2" t="inlineStr">
        <is>
          <t>IT00672_02</t>
        </is>
      </c>
      <c r="B1695" s="2" t="inlineStr">
        <is>
          <t>PED00672</t>
        </is>
      </c>
      <c r="C1695" s="2" t="inlineStr">
        <is>
          <t>P062</t>
        </is>
      </c>
      <c r="D1695" s="2" t="n">
        <v>4</v>
      </c>
      <c r="E1695" s="19" t="n">
        <v>0.02</v>
      </c>
    </row>
    <row r="1696">
      <c r="A1696" s="2" t="inlineStr">
        <is>
          <t>IT00672_03</t>
        </is>
      </c>
      <c r="B1696" s="2" t="inlineStr">
        <is>
          <t>PED00672</t>
        </is>
      </c>
      <c r="C1696" s="2" t="inlineStr">
        <is>
          <t>P052</t>
        </is>
      </c>
      <c r="D1696" s="2" t="n">
        <v>4</v>
      </c>
      <c r="E1696" s="19" t="n">
        <v>0</v>
      </c>
    </row>
    <row r="1697">
      <c r="A1697" s="2" t="inlineStr">
        <is>
          <t>IT00673_01</t>
        </is>
      </c>
      <c r="B1697" s="2" t="inlineStr">
        <is>
          <t>PED00673</t>
        </is>
      </c>
      <c r="C1697" s="2" t="inlineStr">
        <is>
          <t>P039</t>
        </is>
      </c>
      <c r="D1697" s="2" t="n">
        <v>1</v>
      </c>
      <c r="E1697" s="19" t="n">
        <v>0.1</v>
      </c>
    </row>
    <row r="1698">
      <c r="A1698" s="2" t="inlineStr">
        <is>
          <t>IT00673_02</t>
        </is>
      </c>
      <c r="B1698" s="2" t="inlineStr">
        <is>
          <t>PED00673</t>
        </is>
      </c>
      <c r="C1698" s="2" t="inlineStr">
        <is>
          <t>P068</t>
        </is>
      </c>
      <c r="D1698" s="2" t="n">
        <v>3</v>
      </c>
      <c r="E1698" s="19" t="n">
        <v>0</v>
      </c>
    </row>
    <row r="1699">
      <c r="A1699" s="2" t="inlineStr">
        <is>
          <t>IT00674_01</t>
        </is>
      </c>
      <c r="B1699" s="2" t="inlineStr">
        <is>
          <t>PED00674</t>
        </is>
      </c>
      <c r="C1699" s="2" t="inlineStr">
        <is>
          <t>P022</t>
        </is>
      </c>
      <c r="D1699" s="2" t="n">
        <v>1</v>
      </c>
      <c r="E1699" s="19" t="n">
        <v>0</v>
      </c>
    </row>
    <row r="1700">
      <c r="A1700" s="2" t="inlineStr">
        <is>
          <t>IT00674_02</t>
        </is>
      </c>
      <c r="B1700" s="2" t="inlineStr">
        <is>
          <t>PED00674</t>
        </is>
      </c>
      <c r="C1700" s="2" t="inlineStr">
        <is>
          <t>P059</t>
        </is>
      </c>
      <c r="D1700" s="2" t="n">
        <v>4</v>
      </c>
      <c r="E1700" s="19" t="n">
        <v>0</v>
      </c>
    </row>
    <row r="1701">
      <c r="A1701" s="2" t="inlineStr">
        <is>
          <t>IT00675_01</t>
        </is>
      </c>
      <c r="B1701" s="2" t="inlineStr">
        <is>
          <t>PED00675</t>
        </is>
      </c>
      <c r="C1701" s="2" t="inlineStr">
        <is>
          <t>P048</t>
        </is>
      </c>
      <c r="D1701" s="2" t="n">
        <v>1</v>
      </c>
      <c r="E1701" s="19" t="n">
        <v>0</v>
      </c>
    </row>
    <row r="1702">
      <c r="A1702" s="2" t="inlineStr">
        <is>
          <t>IT00676_01</t>
        </is>
      </c>
      <c r="B1702" s="2" t="inlineStr">
        <is>
          <t>PED00676</t>
        </is>
      </c>
      <c r="C1702" s="2" t="inlineStr">
        <is>
          <t>P032</t>
        </is>
      </c>
      <c r="D1702" s="2" t="n">
        <v>1</v>
      </c>
      <c r="E1702" s="19" t="n">
        <v>0.05</v>
      </c>
    </row>
    <row r="1703">
      <c r="A1703" s="2" t="inlineStr">
        <is>
          <t>IT00676_02</t>
        </is>
      </c>
      <c r="B1703" s="2" t="inlineStr">
        <is>
          <t>PED00676</t>
        </is>
      </c>
      <c r="C1703" s="2" t="inlineStr">
        <is>
          <t>P013</t>
        </is>
      </c>
      <c r="D1703" s="2" t="n">
        <v>1</v>
      </c>
      <c r="E1703" s="19" t="n">
        <v>0</v>
      </c>
    </row>
    <row r="1704">
      <c r="A1704" s="2" t="inlineStr">
        <is>
          <t>IT00676_03</t>
        </is>
      </c>
      <c r="B1704" s="2" t="inlineStr">
        <is>
          <t>PED00676</t>
        </is>
      </c>
      <c r="C1704" s="2" t="inlineStr">
        <is>
          <t>P050</t>
        </is>
      </c>
      <c r="D1704" s="2" t="n">
        <v>1</v>
      </c>
      <c r="E1704" s="19" t="n">
        <v>0.02</v>
      </c>
    </row>
    <row r="1705">
      <c r="A1705" s="2" t="inlineStr">
        <is>
          <t>IT00676_04</t>
        </is>
      </c>
      <c r="B1705" s="2" t="inlineStr">
        <is>
          <t>PED00676</t>
        </is>
      </c>
      <c r="C1705" s="2" t="inlineStr">
        <is>
          <t>P017</t>
        </is>
      </c>
      <c r="D1705" s="2" t="n">
        <v>4</v>
      </c>
      <c r="E1705" s="19" t="n">
        <v>0</v>
      </c>
    </row>
    <row r="1706">
      <c r="A1706" s="2" t="inlineStr">
        <is>
          <t>IT00677_01</t>
        </is>
      </c>
      <c r="B1706" s="2" t="inlineStr">
        <is>
          <t>PED00677</t>
        </is>
      </c>
      <c r="C1706" s="2" t="inlineStr">
        <is>
          <t>P023</t>
        </is>
      </c>
      <c r="D1706" s="2" t="n">
        <v>1</v>
      </c>
      <c r="E1706" s="19" t="n">
        <v>0</v>
      </c>
    </row>
    <row r="1707">
      <c r="A1707" s="2" t="inlineStr">
        <is>
          <t>IT00677_02</t>
        </is>
      </c>
      <c r="B1707" s="2" t="inlineStr">
        <is>
          <t>PED00677</t>
        </is>
      </c>
      <c r="C1707" s="2" t="inlineStr">
        <is>
          <t>P031</t>
        </is>
      </c>
      <c r="D1707" s="2" t="n">
        <v>3</v>
      </c>
      <c r="E1707" s="19" t="n">
        <v>0</v>
      </c>
    </row>
    <row r="1708">
      <c r="A1708" s="2" t="inlineStr">
        <is>
          <t>IT00678_01</t>
        </is>
      </c>
      <c r="B1708" s="2" t="inlineStr">
        <is>
          <t>PED00678</t>
        </is>
      </c>
      <c r="C1708" s="2" t="inlineStr">
        <is>
          <t>P044</t>
        </is>
      </c>
      <c r="D1708" s="2" t="n">
        <v>2</v>
      </c>
      <c r="E1708" s="19" t="n">
        <v>0</v>
      </c>
    </row>
    <row r="1709">
      <c r="A1709" s="2" t="inlineStr">
        <is>
          <t>IT00678_02</t>
        </is>
      </c>
      <c r="B1709" s="2" t="inlineStr">
        <is>
          <t>PED00678</t>
        </is>
      </c>
      <c r="C1709" s="2" t="inlineStr">
        <is>
          <t>P050</t>
        </is>
      </c>
      <c r="D1709" s="2" t="n">
        <v>1</v>
      </c>
      <c r="E1709" s="19" t="n">
        <v>0</v>
      </c>
    </row>
    <row r="1710">
      <c r="A1710" s="2" t="inlineStr">
        <is>
          <t>IT00679_01</t>
        </is>
      </c>
      <c r="B1710" s="2" t="inlineStr">
        <is>
          <t>PED00679</t>
        </is>
      </c>
      <c r="C1710" s="2" t="inlineStr">
        <is>
          <t>P014</t>
        </is>
      </c>
      <c r="D1710" s="2" t="n">
        <v>1</v>
      </c>
      <c r="E1710" s="19" t="n">
        <v>0.02</v>
      </c>
    </row>
    <row r="1711">
      <c r="A1711" s="2" t="inlineStr">
        <is>
          <t>IT00679_02</t>
        </is>
      </c>
      <c r="B1711" s="2" t="inlineStr">
        <is>
          <t>PED00679</t>
        </is>
      </c>
      <c r="C1711" s="2" t="inlineStr">
        <is>
          <t>P060</t>
        </is>
      </c>
      <c r="D1711" s="2" t="n">
        <v>2</v>
      </c>
      <c r="E1711" s="19" t="n">
        <v>0</v>
      </c>
    </row>
    <row r="1712">
      <c r="A1712" s="2" t="inlineStr">
        <is>
          <t>IT00679_03</t>
        </is>
      </c>
      <c r="B1712" s="2" t="inlineStr">
        <is>
          <t>PED00679</t>
        </is>
      </c>
      <c r="C1712" s="2" t="inlineStr">
        <is>
          <t>P011</t>
        </is>
      </c>
      <c r="D1712" s="2" t="n">
        <v>3</v>
      </c>
      <c r="E1712" s="19" t="n">
        <v>0</v>
      </c>
    </row>
    <row r="1713">
      <c r="A1713" s="2" t="inlineStr">
        <is>
          <t>IT00680_01</t>
        </is>
      </c>
      <c r="B1713" s="2" t="inlineStr">
        <is>
          <t>PED00680</t>
        </is>
      </c>
      <c r="C1713" s="2" t="inlineStr">
        <is>
          <t>P055</t>
        </is>
      </c>
      <c r="D1713" s="2" t="n">
        <v>2</v>
      </c>
      <c r="E1713" s="19" t="n">
        <v>0.02</v>
      </c>
    </row>
    <row r="1714">
      <c r="A1714" s="2" t="inlineStr">
        <is>
          <t>IT00680_02</t>
        </is>
      </c>
      <c r="B1714" s="2" t="inlineStr">
        <is>
          <t>PED00680</t>
        </is>
      </c>
      <c r="C1714" s="2" t="inlineStr">
        <is>
          <t>P007</t>
        </is>
      </c>
      <c r="D1714" s="2" t="n">
        <v>1</v>
      </c>
      <c r="E1714" s="19" t="n">
        <v>0.05</v>
      </c>
    </row>
    <row r="1715">
      <c r="A1715" s="2" t="inlineStr">
        <is>
          <t>IT00680_03</t>
        </is>
      </c>
      <c r="B1715" s="2" t="inlineStr">
        <is>
          <t>PED00680</t>
        </is>
      </c>
      <c r="C1715" s="2" t="inlineStr">
        <is>
          <t>P039</t>
        </is>
      </c>
      <c r="D1715" s="2" t="n">
        <v>4</v>
      </c>
      <c r="E1715" s="19" t="n">
        <v>0</v>
      </c>
    </row>
    <row r="1716">
      <c r="A1716" s="2" t="inlineStr">
        <is>
          <t>IT00681_01</t>
        </is>
      </c>
      <c r="B1716" s="2" t="inlineStr">
        <is>
          <t>PED00681</t>
        </is>
      </c>
      <c r="C1716" s="2" t="inlineStr">
        <is>
          <t>P011</t>
        </is>
      </c>
      <c r="D1716" s="2" t="n">
        <v>1</v>
      </c>
      <c r="E1716" s="19" t="n">
        <v>0.05</v>
      </c>
    </row>
    <row r="1717">
      <c r="A1717" s="2" t="inlineStr">
        <is>
          <t>IT00681_02</t>
        </is>
      </c>
      <c r="B1717" s="2" t="inlineStr">
        <is>
          <t>PED00681</t>
        </is>
      </c>
      <c r="C1717" s="2" t="inlineStr">
        <is>
          <t>P020</t>
        </is>
      </c>
      <c r="D1717" s="2" t="n">
        <v>2</v>
      </c>
      <c r="E1717" s="19" t="n">
        <v>0</v>
      </c>
    </row>
    <row r="1718">
      <c r="A1718" s="2" t="inlineStr">
        <is>
          <t>IT00681_03</t>
        </is>
      </c>
      <c r="B1718" s="2" t="inlineStr">
        <is>
          <t>PED00681</t>
        </is>
      </c>
      <c r="C1718" s="2" t="inlineStr">
        <is>
          <t>P001</t>
        </is>
      </c>
      <c r="D1718" s="2" t="n">
        <v>3</v>
      </c>
      <c r="E1718" s="19" t="n">
        <v>0.02</v>
      </c>
    </row>
    <row r="1719">
      <c r="A1719" s="2" t="inlineStr">
        <is>
          <t>IT00682_01</t>
        </is>
      </c>
      <c r="B1719" s="2" t="inlineStr">
        <is>
          <t>PED00682</t>
        </is>
      </c>
      <c r="C1719" s="2" t="inlineStr">
        <is>
          <t>P007</t>
        </is>
      </c>
      <c r="D1719" s="2" t="n">
        <v>1</v>
      </c>
      <c r="E1719" s="19" t="n">
        <v>0</v>
      </c>
    </row>
    <row r="1720">
      <c r="A1720" s="2" t="inlineStr">
        <is>
          <t>IT00682_02</t>
        </is>
      </c>
      <c r="B1720" s="2" t="inlineStr">
        <is>
          <t>PED00682</t>
        </is>
      </c>
      <c r="C1720" s="2" t="inlineStr">
        <is>
          <t>P048</t>
        </is>
      </c>
      <c r="D1720" s="2" t="n">
        <v>1</v>
      </c>
      <c r="E1720" s="19" t="n">
        <v>0.05</v>
      </c>
    </row>
    <row r="1721">
      <c r="A1721" s="2" t="inlineStr">
        <is>
          <t>IT00683_01</t>
        </is>
      </c>
      <c r="B1721" s="2" t="inlineStr">
        <is>
          <t>PED00683</t>
        </is>
      </c>
      <c r="C1721" s="2" t="inlineStr">
        <is>
          <t>P005</t>
        </is>
      </c>
      <c r="D1721" s="2" t="n">
        <v>1</v>
      </c>
      <c r="E1721" s="19" t="n">
        <v>0</v>
      </c>
    </row>
    <row r="1722">
      <c r="A1722" s="2" t="inlineStr">
        <is>
          <t>IT00683_02</t>
        </is>
      </c>
      <c r="B1722" s="2" t="inlineStr">
        <is>
          <t>PED00683</t>
        </is>
      </c>
      <c r="C1722" s="2" t="inlineStr">
        <is>
          <t>P015</t>
        </is>
      </c>
      <c r="D1722" s="2" t="n">
        <v>3</v>
      </c>
      <c r="E1722" s="19" t="n">
        <v>0</v>
      </c>
    </row>
    <row r="1723">
      <c r="A1723" s="2" t="inlineStr">
        <is>
          <t>IT00684_01</t>
        </is>
      </c>
      <c r="B1723" s="2" t="inlineStr">
        <is>
          <t>PED00684</t>
        </is>
      </c>
      <c r="C1723" s="2" t="inlineStr">
        <is>
          <t>P045</t>
        </is>
      </c>
      <c r="D1723" s="2" t="n">
        <v>2</v>
      </c>
      <c r="E1723" s="19" t="n">
        <v>0</v>
      </c>
    </row>
    <row r="1724">
      <c r="A1724" s="2" t="inlineStr">
        <is>
          <t>IT00684_02</t>
        </is>
      </c>
      <c r="B1724" s="2" t="inlineStr">
        <is>
          <t>PED00684</t>
        </is>
      </c>
      <c r="C1724" s="2" t="inlineStr">
        <is>
          <t>P059</t>
        </is>
      </c>
      <c r="D1724" s="2" t="n">
        <v>1</v>
      </c>
      <c r="E1724" s="19" t="n">
        <v>0</v>
      </c>
    </row>
    <row r="1725">
      <c r="A1725" s="2" t="inlineStr">
        <is>
          <t>IT00684_03</t>
        </is>
      </c>
      <c r="B1725" s="2" t="inlineStr">
        <is>
          <t>PED00684</t>
        </is>
      </c>
      <c r="C1725" s="2" t="inlineStr">
        <is>
          <t>P032</t>
        </is>
      </c>
      <c r="D1725" s="2" t="n">
        <v>2</v>
      </c>
      <c r="E1725" s="19" t="n">
        <v>0.02</v>
      </c>
    </row>
    <row r="1726">
      <c r="A1726" s="2" t="inlineStr">
        <is>
          <t>IT00684_04</t>
        </is>
      </c>
      <c r="B1726" s="2" t="inlineStr">
        <is>
          <t>PED00684</t>
        </is>
      </c>
      <c r="C1726" s="2" t="inlineStr">
        <is>
          <t>P068</t>
        </is>
      </c>
      <c r="D1726" s="2" t="n">
        <v>3</v>
      </c>
      <c r="E1726" s="19" t="n">
        <v>0</v>
      </c>
    </row>
    <row r="1727">
      <c r="A1727" s="2" t="inlineStr">
        <is>
          <t>IT00685_01</t>
        </is>
      </c>
      <c r="B1727" s="2" t="inlineStr">
        <is>
          <t>PED00685</t>
        </is>
      </c>
      <c r="C1727" s="2" t="inlineStr">
        <is>
          <t>P033</t>
        </is>
      </c>
      <c r="D1727" s="2" t="n">
        <v>3</v>
      </c>
      <c r="E1727" s="19" t="n">
        <v>0.02</v>
      </c>
    </row>
    <row r="1728">
      <c r="A1728" s="2" t="inlineStr">
        <is>
          <t>IT00686_01</t>
        </is>
      </c>
      <c r="B1728" s="2" t="inlineStr">
        <is>
          <t>PED00686</t>
        </is>
      </c>
      <c r="C1728" s="2" t="inlineStr">
        <is>
          <t>P070</t>
        </is>
      </c>
      <c r="D1728" s="2" t="n">
        <v>1</v>
      </c>
      <c r="E1728" s="19" t="n">
        <v>0</v>
      </c>
    </row>
    <row r="1729">
      <c r="A1729" s="2" t="inlineStr">
        <is>
          <t>IT00686_02</t>
        </is>
      </c>
      <c r="B1729" s="2" t="inlineStr">
        <is>
          <t>PED00686</t>
        </is>
      </c>
      <c r="C1729" s="2" t="inlineStr">
        <is>
          <t>P032</t>
        </is>
      </c>
      <c r="D1729" s="2" t="n">
        <v>3</v>
      </c>
      <c r="E1729" s="19" t="n">
        <v>0</v>
      </c>
    </row>
    <row r="1730">
      <c r="A1730" s="2" t="inlineStr">
        <is>
          <t>IT00686_03</t>
        </is>
      </c>
      <c r="B1730" s="2" t="inlineStr">
        <is>
          <t>PED00686</t>
        </is>
      </c>
      <c r="C1730" s="2" t="inlineStr">
        <is>
          <t>P007</t>
        </is>
      </c>
      <c r="D1730" s="2" t="n">
        <v>3</v>
      </c>
      <c r="E1730" s="19" t="n">
        <v>0.02</v>
      </c>
    </row>
    <row r="1731">
      <c r="A1731" s="2" t="inlineStr">
        <is>
          <t>IT00687_01</t>
        </is>
      </c>
      <c r="B1731" s="2" t="inlineStr">
        <is>
          <t>PED00687</t>
        </is>
      </c>
      <c r="C1731" s="2" t="inlineStr">
        <is>
          <t>P053</t>
        </is>
      </c>
      <c r="D1731" s="2" t="n">
        <v>1</v>
      </c>
      <c r="E1731" s="19" t="n">
        <v>0</v>
      </c>
    </row>
    <row r="1732">
      <c r="A1732" s="2" t="inlineStr">
        <is>
          <t>IT00687_02</t>
        </is>
      </c>
      <c r="B1732" s="2" t="inlineStr">
        <is>
          <t>PED00687</t>
        </is>
      </c>
      <c r="C1732" s="2" t="inlineStr">
        <is>
          <t>P027</t>
        </is>
      </c>
      <c r="D1732" s="2" t="n">
        <v>1</v>
      </c>
      <c r="E1732" s="19" t="n">
        <v>0</v>
      </c>
    </row>
    <row r="1733">
      <c r="A1733" s="2" t="inlineStr">
        <is>
          <t>IT00688_01</t>
        </is>
      </c>
      <c r="B1733" s="2" t="inlineStr">
        <is>
          <t>PED00688</t>
        </is>
      </c>
      <c r="C1733" s="2" t="inlineStr">
        <is>
          <t>P037</t>
        </is>
      </c>
      <c r="D1733" s="2" t="n">
        <v>2</v>
      </c>
      <c r="E1733" s="19" t="n">
        <v>0</v>
      </c>
    </row>
    <row r="1734">
      <c r="A1734" s="2" t="inlineStr">
        <is>
          <t>IT00688_02</t>
        </is>
      </c>
      <c r="B1734" s="2" t="inlineStr">
        <is>
          <t>PED00688</t>
        </is>
      </c>
      <c r="C1734" s="2" t="inlineStr">
        <is>
          <t>P059</t>
        </is>
      </c>
      <c r="D1734" s="2" t="n">
        <v>1</v>
      </c>
      <c r="E1734" s="19" t="n">
        <v>0</v>
      </c>
    </row>
    <row r="1735">
      <c r="A1735" s="2" t="inlineStr">
        <is>
          <t>IT00689_01</t>
        </is>
      </c>
      <c r="B1735" s="2" t="inlineStr">
        <is>
          <t>PED00689</t>
        </is>
      </c>
      <c r="C1735" s="2" t="inlineStr">
        <is>
          <t>P064</t>
        </is>
      </c>
      <c r="D1735" s="2" t="n">
        <v>2</v>
      </c>
      <c r="E1735" s="19" t="n">
        <v>0</v>
      </c>
    </row>
    <row r="1736">
      <c r="A1736" s="2" t="inlineStr">
        <is>
          <t>IT00689_02</t>
        </is>
      </c>
      <c r="B1736" s="2" t="inlineStr">
        <is>
          <t>PED00689</t>
        </is>
      </c>
      <c r="C1736" s="2" t="inlineStr">
        <is>
          <t>P027</t>
        </is>
      </c>
      <c r="D1736" s="2" t="n">
        <v>1</v>
      </c>
      <c r="E1736" s="19" t="n">
        <v>0</v>
      </c>
    </row>
    <row r="1737">
      <c r="A1737" s="2" t="inlineStr">
        <is>
          <t>IT00690_01</t>
        </is>
      </c>
      <c r="B1737" s="2" t="inlineStr">
        <is>
          <t>PED00690</t>
        </is>
      </c>
      <c r="C1737" s="2" t="inlineStr">
        <is>
          <t>P068</t>
        </is>
      </c>
      <c r="D1737" s="2" t="n">
        <v>1</v>
      </c>
      <c r="E1737" s="19" t="n">
        <v>0</v>
      </c>
    </row>
    <row r="1738">
      <c r="A1738" s="2" t="inlineStr">
        <is>
          <t>IT00691_01</t>
        </is>
      </c>
      <c r="B1738" s="2" t="inlineStr">
        <is>
          <t>PED00691</t>
        </is>
      </c>
      <c r="C1738" s="2" t="inlineStr">
        <is>
          <t>P056</t>
        </is>
      </c>
      <c r="D1738" s="2" t="n">
        <v>10</v>
      </c>
      <c r="E1738" s="19" t="n">
        <v>0</v>
      </c>
    </row>
    <row r="1739">
      <c r="A1739" s="2" t="inlineStr">
        <is>
          <t>IT00691_02</t>
        </is>
      </c>
      <c r="B1739" s="2" t="inlineStr">
        <is>
          <t>PED00691</t>
        </is>
      </c>
      <c r="C1739" s="2" t="inlineStr">
        <is>
          <t>P054</t>
        </is>
      </c>
      <c r="D1739" s="2" t="n">
        <v>5</v>
      </c>
      <c r="E1739" s="19" t="n">
        <v>0</v>
      </c>
    </row>
    <row r="1740">
      <c r="A1740" s="2" t="inlineStr">
        <is>
          <t>IT00692_01</t>
        </is>
      </c>
      <c r="B1740" s="2" t="inlineStr">
        <is>
          <t>PED00692</t>
        </is>
      </c>
      <c r="C1740" s="2" t="inlineStr">
        <is>
          <t>P013</t>
        </is>
      </c>
      <c r="D1740" s="2" t="n">
        <v>2</v>
      </c>
      <c r="E1740" s="19" t="n">
        <v>0</v>
      </c>
    </row>
    <row r="1741">
      <c r="A1741" s="2" t="inlineStr">
        <is>
          <t>IT00692_02</t>
        </is>
      </c>
      <c r="B1741" s="2" t="inlineStr">
        <is>
          <t>PED00692</t>
        </is>
      </c>
      <c r="C1741" s="2" t="inlineStr">
        <is>
          <t>P051</t>
        </is>
      </c>
      <c r="D1741" s="2" t="n">
        <v>1</v>
      </c>
      <c r="E1741" s="19" t="n">
        <v>0.02</v>
      </c>
    </row>
    <row r="1742">
      <c r="A1742" s="2" t="inlineStr">
        <is>
          <t>IT00692_03</t>
        </is>
      </c>
      <c r="B1742" s="2" t="inlineStr">
        <is>
          <t>PED00692</t>
        </is>
      </c>
      <c r="C1742" s="2" t="inlineStr">
        <is>
          <t>P028</t>
        </is>
      </c>
      <c r="D1742" s="2" t="n">
        <v>3</v>
      </c>
      <c r="E1742" s="19" t="n">
        <v>0</v>
      </c>
    </row>
    <row r="1743">
      <c r="A1743" s="2" t="inlineStr">
        <is>
          <t>IT00692_04</t>
        </is>
      </c>
      <c r="B1743" s="2" t="inlineStr">
        <is>
          <t>PED00692</t>
        </is>
      </c>
      <c r="C1743" s="2" t="inlineStr">
        <is>
          <t>P015</t>
        </is>
      </c>
      <c r="D1743" s="2" t="n">
        <v>1</v>
      </c>
      <c r="E1743" s="19" t="n">
        <v>0.02</v>
      </c>
    </row>
    <row r="1744">
      <c r="A1744" s="2" t="inlineStr">
        <is>
          <t>IT00693_01</t>
        </is>
      </c>
      <c r="B1744" s="2" t="inlineStr">
        <is>
          <t>PED00693</t>
        </is>
      </c>
      <c r="C1744" s="2" t="inlineStr">
        <is>
          <t>P041</t>
        </is>
      </c>
      <c r="D1744" s="2" t="n">
        <v>1</v>
      </c>
      <c r="E1744" s="19" t="n">
        <v>0</v>
      </c>
    </row>
    <row r="1745">
      <c r="A1745" s="2" t="inlineStr">
        <is>
          <t>IT00693_02</t>
        </is>
      </c>
      <c r="B1745" s="2" t="inlineStr">
        <is>
          <t>PED00693</t>
        </is>
      </c>
      <c r="C1745" s="2" t="inlineStr">
        <is>
          <t>P065</t>
        </is>
      </c>
      <c r="D1745" s="2" t="n">
        <v>3</v>
      </c>
      <c r="E1745" s="19" t="n">
        <v>0</v>
      </c>
    </row>
    <row r="1746">
      <c r="A1746" s="2" t="inlineStr">
        <is>
          <t>IT00693_03</t>
        </is>
      </c>
      <c r="B1746" s="2" t="inlineStr">
        <is>
          <t>PED00693</t>
        </is>
      </c>
      <c r="C1746" s="2" t="inlineStr">
        <is>
          <t>P069</t>
        </is>
      </c>
      <c r="D1746" s="2" t="n">
        <v>4</v>
      </c>
      <c r="E1746" s="19" t="n">
        <v>0</v>
      </c>
    </row>
    <row r="1747">
      <c r="A1747" s="2" t="inlineStr">
        <is>
          <t>IT00693_04</t>
        </is>
      </c>
      <c r="B1747" s="2" t="inlineStr">
        <is>
          <t>PED00693</t>
        </is>
      </c>
      <c r="C1747" s="2" t="inlineStr">
        <is>
          <t>P051</t>
        </is>
      </c>
      <c r="D1747" s="2" t="n">
        <v>4</v>
      </c>
      <c r="E1747" s="19" t="n">
        <v>0</v>
      </c>
    </row>
    <row r="1748">
      <c r="A1748" s="2" t="inlineStr">
        <is>
          <t>IT00694_01</t>
        </is>
      </c>
      <c r="B1748" s="2" t="inlineStr">
        <is>
          <t>PED00694</t>
        </is>
      </c>
      <c r="C1748" s="2" t="inlineStr">
        <is>
          <t>P054</t>
        </is>
      </c>
      <c r="D1748" s="2" t="n">
        <v>5</v>
      </c>
      <c r="E1748" s="19" t="n">
        <v>0</v>
      </c>
    </row>
    <row r="1749">
      <c r="A1749" s="2" t="inlineStr">
        <is>
          <t>IT00695_01</t>
        </is>
      </c>
      <c r="B1749" s="2" t="inlineStr">
        <is>
          <t>PED00695</t>
        </is>
      </c>
      <c r="C1749" s="2" t="inlineStr">
        <is>
          <t>P053</t>
        </is>
      </c>
      <c r="D1749" s="2" t="n">
        <v>2</v>
      </c>
      <c r="E1749" s="19" t="n">
        <v>0</v>
      </c>
    </row>
    <row r="1750">
      <c r="A1750" s="2" t="inlineStr">
        <is>
          <t>IT00695_02</t>
        </is>
      </c>
      <c r="B1750" s="2" t="inlineStr">
        <is>
          <t>PED00695</t>
        </is>
      </c>
      <c r="C1750" s="2" t="inlineStr">
        <is>
          <t>P003</t>
        </is>
      </c>
      <c r="D1750" s="2" t="n">
        <v>2</v>
      </c>
      <c r="E1750" s="19" t="n">
        <v>0.02</v>
      </c>
    </row>
    <row r="1751">
      <c r="A1751" s="2" t="inlineStr">
        <is>
          <t>IT00695_03</t>
        </is>
      </c>
      <c r="B1751" s="2" t="inlineStr">
        <is>
          <t>PED00695</t>
        </is>
      </c>
      <c r="C1751" s="2" t="inlineStr">
        <is>
          <t>P042</t>
        </is>
      </c>
      <c r="D1751" s="2" t="n">
        <v>5</v>
      </c>
      <c r="E1751" s="19" t="n">
        <v>0</v>
      </c>
    </row>
    <row r="1752">
      <c r="A1752" s="2" t="inlineStr">
        <is>
          <t>IT00696_01</t>
        </is>
      </c>
      <c r="B1752" s="2" t="inlineStr">
        <is>
          <t>PED00696</t>
        </is>
      </c>
      <c r="C1752" s="2" t="inlineStr">
        <is>
          <t>P048</t>
        </is>
      </c>
      <c r="D1752" s="2" t="n">
        <v>3</v>
      </c>
      <c r="E1752" s="19" t="n">
        <v>0</v>
      </c>
    </row>
    <row r="1753">
      <c r="A1753" s="2" t="inlineStr">
        <is>
          <t>IT00697_01</t>
        </is>
      </c>
      <c r="B1753" s="2" t="inlineStr">
        <is>
          <t>PED00697</t>
        </is>
      </c>
      <c r="C1753" s="2" t="inlineStr">
        <is>
          <t>P059</t>
        </is>
      </c>
      <c r="D1753" s="2" t="n">
        <v>10</v>
      </c>
      <c r="E1753" s="19" t="n">
        <v>0.02</v>
      </c>
    </row>
    <row r="1754">
      <c r="A1754" s="2" t="inlineStr">
        <is>
          <t>IT00697_02</t>
        </is>
      </c>
      <c r="B1754" s="2" t="inlineStr">
        <is>
          <t>PED00697</t>
        </is>
      </c>
      <c r="C1754" s="2" t="inlineStr">
        <is>
          <t>P032</t>
        </is>
      </c>
      <c r="D1754" s="2" t="n">
        <v>5</v>
      </c>
      <c r="E1754" s="19" t="n">
        <v>0</v>
      </c>
    </row>
    <row r="1755">
      <c r="A1755" s="2" t="inlineStr">
        <is>
          <t>IT00697_03</t>
        </is>
      </c>
      <c r="B1755" s="2" t="inlineStr">
        <is>
          <t>PED00697</t>
        </is>
      </c>
      <c r="C1755" s="2" t="inlineStr">
        <is>
          <t>P057</t>
        </is>
      </c>
      <c r="D1755" s="2" t="n">
        <v>1</v>
      </c>
      <c r="E1755" s="19" t="n">
        <v>0</v>
      </c>
    </row>
    <row r="1756">
      <c r="A1756" s="2" t="inlineStr">
        <is>
          <t>IT00698_01</t>
        </is>
      </c>
      <c r="B1756" s="2" t="inlineStr">
        <is>
          <t>PED00698</t>
        </is>
      </c>
      <c r="C1756" s="2" t="inlineStr">
        <is>
          <t>P053</t>
        </is>
      </c>
      <c r="D1756" s="2" t="n">
        <v>4</v>
      </c>
      <c r="E1756" s="19" t="n">
        <v>0.1</v>
      </c>
    </row>
    <row r="1757">
      <c r="A1757" s="2" t="inlineStr">
        <is>
          <t>IT00699_01</t>
        </is>
      </c>
      <c r="B1757" s="2" t="inlineStr">
        <is>
          <t>PED00699</t>
        </is>
      </c>
      <c r="C1757" s="2" t="inlineStr">
        <is>
          <t>P069</t>
        </is>
      </c>
      <c r="D1757" s="2" t="n">
        <v>2</v>
      </c>
      <c r="E1757" s="19" t="n">
        <v>0.02</v>
      </c>
    </row>
    <row r="1758">
      <c r="A1758" s="2" t="inlineStr">
        <is>
          <t>IT00699_02</t>
        </is>
      </c>
      <c r="B1758" s="2" t="inlineStr">
        <is>
          <t>PED00699</t>
        </is>
      </c>
      <c r="C1758" s="2" t="inlineStr">
        <is>
          <t>P004</t>
        </is>
      </c>
      <c r="D1758" s="2" t="n">
        <v>1</v>
      </c>
      <c r="E1758" s="19" t="n">
        <v>0</v>
      </c>
    </row>
    <row r="1759">
      <c r="A1759" s="2" t="inlineStr">
        <is>
          <t>IT00699_03</t>
        </is>
      </c>
      <c r="B1759" s="2" t="inlineStr">
        <is>
          <t>PED00699</t>
        </is>
      </c>
      <c r="C1759" s="2" t="inlineStr">
        <is>
          <t>P057</t>
        </is>
      </c>
      <c r="D1759" s="2" t="n">
        <v>3</v>
      </c>
      <c r="E1759" s="19" t="n">
        <v>0.02</v>
      </c>
    </row>
    <row r="1760">
      <c r="A1760" s="2" t="inlineStr">
        <is>
          <t>IT00700_01</t>
        </is>
      </c>
      <c r="B1760" s="2" t="inlineStr">
        <is>
          <t>PED00700</t>
        </is>
      </c>
      <c r="C1760" s="2" t="inlineStr">
        <is>
          <t>P015</t>
        </is>
      </c>
      <c r="D1760" s="2" t="n">
        <v>1</v>
      </c>
      <c r="E1760" s="19" t="n">
        <v>0.02</v>
      </c>
    </row>
    <row r="1761">
      <c r="A1761" s="2" t="inlineStr">
        <is>
          <t>IT00700_02</t>
        </is>
      </c>
      <c r="B1761" s="2" t="inlineStr">
        <is>
          <t>PED00700</t>
        </is>
      </c>
      <c r="C1761" s="2" t="inlineStr">
        <is>
          <t>P022</t>
        </is>
      </c>
      <c r="D1761" s="2" t="n">
        <v>1</v>
      </c>
      <c r="E1761" s="19" t="n">
        <v>0</v>
      </c>
    </row>
    <row r="1762">
      <c r="A1762" s="2" t="inlineStr">
        <is>
          <t>IT00701_01</t>
        </is>
      </c>
      <c r="B1762" s="2" t="inlineStr">
        <is>
          <t>PED00701</t>
        </is>
      </c>
      <c r="C1762" s="2" t="inlineStr">
        <is>
          <t>P063</t>
        </is>
      </c>
      <c r="D1762" s="2" t="n">
        <v>1</v>
      </c>
      <c r="E1762" s="19" t="n">
        <v>0</v>
      </c>
    </row>
    <row r="1763">
      <c r="A1763" s="2" t="inlineStr">
        <is>
          <t>IT00701_02</t>
        </is>
      </c>
      <c r="B1763" s="2" t="inlineStr">
        <is>
          <t>PED00701</t>
        </is>
      </c>
      <c r="C1763" s="2" t="inlineStr">
        <is>
          <t>P032</t>
        </is>
      </c>
      <c r="D1763" s="2" t="n">
        <v>3</v>
      </c>
      <c r="E1763" s="19" t="n">
        <v>0.02</v>
      </c>
    </row>
    <row r="1764">
      <c r="A1764" s="2" t="inlineStr">
        <is>
          <t>IT00701_03</t>
        </is>
      </c>
      <c r="B1764" s="2" t="inlineStr">
        <is>
          <t>PED00701</t>
        </is>
      </c>
      <c r="C1764" s="2" t="inlineStr">
        <is>
          <t>P034</t>
        </is>
      </c>
      <c r="D1764" s="2" t="n">
        <v>2</v>
      </c>
      <c r="E1764" s="19" t="n">
        <v>0</v>
      </c>
    </row>
    <row r="1765">
      <c r="A1765" s="2" t="inlineStr">
        <is>
          <t>IT00701_04</t>
        </is>
      </c>
      <c r="B1765" s="2" t="inlineStr">
        <is>
          <t>PED00701</t>
        </is>
      </c>
      <c r="C1765" s="2" t="inlineStr">
        <is>
          <t>P044</t>
        </is>
      </c>
      <c r="D1765" s="2" t="n">
        <v>3</v>
      </c>
      <c r="E1765" s="19" t="n">
        <v>0</v>
      </c>
    </row>
    <row r="1766">
      <c r="A1766" s="2" t="inlineStr">
        <is>
          <t>IT00702_01</t>
        </is>
      </c>
      <c r="B1766" s="2" t="inlineStr">
        <is>
          <t>PED00702</t>
        </is>
      </c>
      <c r="C1766" s="2" t="inlineStr">
        <is>
          <t>P021</t>
        </is>
      </c>
      <c r="D1766" s="2" t="n">
        <v>2</v>
      </c>
      <c r="E1766" s="19" t="n">
        <v>0</v>
      </c>
    </row>
    <row r="1767">
      <c r="A1767" s="2" t="inlineStr">
        <is>
          <t>IT00702_02</t>
        </is>
      </c>
      <c r="B1767" s="2" t="inlineStr">
        <is>
          <t>PED00702</t>
        </is>
      </c>
      <c r="C1767" s="2" t="inlineStr">
        <is>
          <t>P040</t>
        </is>
      </c>
      <c r="D1767" s="2" t="n">
        <v>1</v>
      </c>
      <c r="E1767" s="19" t="n">
        <v>0.02</v>
      </c>
    </row>
    <row r="1768">
      <c r="A1768" s="2" t="inlineStr">
        <is>
          <t>IT00703_01</t>
        </is>
      </c>
      <c r="B1768" s="2" t="inlineStr">
        <is>
          <t>PED00703</t>
        </is>
      </c>
      <c r="C1768" s="2" t="inlineStr">
        <is>
          <t>P028</t>
        </is>
      </c>
      <c r="D1768" s="2" t="n">
        <v>1</v>
      </c>
      <c r="E1768" s="19" t="n">
        <v>0</v>
      </c>
    </row>
    <row r="1769">
      <c r="A1769" s="2" t="inlineStr">
        <is>
          <t>IT00703_02</t>
        </is>
      </c>
      <c r="B1769" s="2" t="inlineStr">
        <is>
          <t>PED00703</t>
        </is>
      </c>
      <c r="C1769" s="2" t="inlineStr">
        <is>
          <t>P039</t>
        </is>
      </c>
      <c r="D1769" s="2" t="n">
        <v>1</v>
      </c>
      <c r="E1769" s="19" t="n">
        <v>0</v>
      </c>
    </row>
    <row r="1770">
      <c r="A1770" s="2" t="inlineStr">
        <is>
          <t>IT00704_01</t>
        </is>
      </c>
      <c r="B1770" s="2" t="inlineStr">
        <is>
          <t>PED00704</t>
        </is>
      </c>
      <c r="C1770" s="2" t="inlineStr">
        <is>
          <t>P065</t>
        </is>
      </c>
      <c r="D1770" s="2" t="n">
        <v>1</v>
      </c>
      <c r="E1770" s="19" t="n">
        <v>0</v>
      </c>
    </row>
    <row r="1771">
      <c r="A1771" s="2" t="inlineStr">
        <is>
          <t>IT00705_01</t>
        </is>
      </c>
      <c r="B1771" s="2" t="inlineStr">
        <is>
          <t>PED00705</t>
        </is>
      </c>
      <c r="C1771" s="2" t="inlineStr">
        <is>
          <t>P009</t>
        </is>
      </c>
      <c r="D1771" s="2" t="n">
        <v>1</v>
      </c>
      <c r="E1771" s="19" t="n">
        <v>0</v>
      </c>
    </row>
    <row r="1772">
      <c r="A1772" s="2" t="inlineStr">
        <is>
          <t>IT00705_02</t>
        </is>
      </c>
      <c r="B1772" s="2" t="inlineStr">
        <is>
          <t>PED00705</t>
        </is>
      </c>
      <c r="C1772" s="2" t="inlineStr">
        <is>
          <t>P044</t>
        </is>
      </c>
      <c r="D1772" s="2" t="n">
        <v>1</v>
      </c>
      <c r="E1772" s="19" t="n">
        <v>0</v>
      </c>
    </row>
    <row r="1773">
      <c r="A1773" s="2" t="inlineStr">
        <is>
          <t>IT00706_01</t>
        </is>
      </c>
      <c r="B1773" s="2" t="inlineStr">
        <is>
          <t>PED00706</t>
        </is>
      </c>
      <c r="C1773" s="2" t="inlineStr">
        <is>
          <t>P068</t>
        </is>
      </c>
      <c r="D1773" s="2" t="n">
        <v>2</v>
      </c>
      <c r="E1773" s="19" t="n">
        <v>0</v>
      </c>
    </row>
    <row r="1774">
      <c r="A1774" s="2" t="inlineStr">
        <is>
          <t>IT00706_02</t>
        </is>
      </c>
      <c r="B1774" s="2" t="inlineStr">
        <is>
          <t>PED00706</t>
        </is>
      </c>
      <c r="C1774" s="2" t="inlineStr">
        <is>
          <t>P030</t>
        </is>
      </c>
      <c r="D1774" s="2" t="n">
        <v>1</v>
      </c>
      <c r="E1774" s="19" t="n">
        <v>0</v>
      </c>
    </row>
    <row r="1775">
      <c r="A1775" s="2" t="inlineStr">
        <is>
          <t>IT00706_03</t>
        </is>
      </c>
      <c r="B1775" s="2" t="inlineStr">
        <is>
          <t>PED00706</t>
        </is>
      </c>
      <c r="C1775" s="2" t="inlineStr">
        <is>
          <t>P026</t>
        </is>
      </c>
      <c r="D1775" s="2" t="n">
        <v>1</v>
      </c>
      <c r="E1775" s="19" t="n">
        <v>0</v>
      </c>
    </row>
    <row r="1776">
      <c r="A1776" s="2" t="inlineStr">
        <is>
          <t>IT00706_04</t>
        </is>
      </c>
      <c r="B1776" s="2" t="inlineStr">
        <is>
          <t>PED00706</t>
        </is>
      </c>
      <c r="C1776" s="2" t="inlineStr">
        <is>
          <t>P047</t>
        </is>
      </c>
      <c r="D1776" s="2" t="n">
        <v>2</v>
      </c>
      <c r="E1776" s="19" t="n">
        <v>0.02</v>
      </c>
    </row>
    <row r="1777">
      <c r="A1777" s="2" t="inlineStr">
        <is>
          <t>IT00707_01</t>
        </is>
      </c>
      <c r="B1777" s="2" t="inlineStr">
        <is>
          <t>PED00707</t>
        </is>
      </c>
      <c r="C1777" s="2" t="inlineStr">
        <is>
          <t>P032</t>
        </is>
      </c>
      <c r="D1777" s="2" t="n">
        <v>1</v>
      </c>
      <c r="E1777" s="19" t="n">
        <v>0.1</v>
      </c>
    </row>
    <row r="1778">
      <c r="A1778" s="2" t="inlineStr">
        <is>
          <t>IT00707_02</t>
        </is>
      </c>
      <c r="B1778" s="2" t="inlineStr">
        <is>
          <t>PED00707</t>
        </is>
      </c>
      <c r="C1778" s="2" t="inlineStr">
        <is>
          <t>P030</t>
        </is>
      </c>
      <c r="D1778" s="2" t="n">
        <v>1</v>
      </c>
      <c r="E1778" s="19" t="n">
        <v>0</v>
      </c>
    </row>
    <row r="1779">
      <c r="A1779" s="2" t="inlineStr">
        <is>
          <t>IT00707_03</t>
        </is>
      </c>
      <c r="B1779" s="2" t="inlineStr">
        <is>
          <t>PED00707</t>
        </is>
      </c>
      <c r="C1779" s="2" t="inlineStr">
        <is>
          <t>P059</t>
        </is>
      </c>
      <c r="D1779" s="2" t="n">
        <v>3</v>
      </c>
      <c r="E1779" s="19" t="n">
        <v>0.02</v>
      </c>
    </row>
    <row r="1780">
      <c r="A1780" s="2" t="inlineStr">
        <is>
          <t>IT00708_01</t>
        </is>
      </c>
      <c r="B1780" s="2" t="inlineStr">
        <is>
          <t>PED00708</t>
        </is>
      </c>
      <c r="C1780" s="2" t="inlineStr">
        <is>
          <t>P060</t>
        </is>
      </c>
      <c r="D1780" s="2" t="n">
        <v>4</v>
      </c>
      <c r="E1780" s="19" t="n">
        <v>0</v>
      </c>
    </row>
    <row r="1781">
      <c r="A1781" s="2" t="inlineStr">
        <is>
          <t>IT00708_02</t>
        </is>
      </c>
      <c r="B1781" s="2" t="inlineStr">
        <is>
          <t>PED00708</t>
        </is>
      </c>
      <c r="C1781" s="2" t="inlineStr">
        <is>
          <t>P013</t>
        </is>
      </c>
      <c r="D1781" s="2" t="n">
        <v>3</v>
      </c>
      <c r="E1781" s="19" t="n">
        <v>0</v>
      </c>
    </row>
    <row r="1782">
      <c r="A1782" s="2" t="inlineStr">
        <is>
          <t>IT00708_03</t>
        </is>
      </c>
      <c r="B1782" s="2" t="inlineStr">
        <is>
          <t>PED00708</t>
        </is>
      </c>
      <c r="C1782" s="2" t="inlineStr">
        <is>
          <t>P069</t>
        </is>
      </c>
      <c r="D1782" s="2" t="n">
        <v>2</v>
      </c>
      <c r="E1782" s="19" t="n">
        <v>0</v>
      </c>
    </row>
    <row r="1783">
      <c r="A1783" s="2" t="inlineStr">
        <is>
          <t>IT00709_01</t>
        </is>
      </c>
      <c r="B1783" s="2" t="inlineStr">
        <is>
          <t>PED00709</t>
        </is>
      </c>
      <c r="C1783" s="2" t="inlineStr">
        <is>
          <t>P056</t>
        </is>
      </c>
      <c r="D1783" s="2" t="n">
        <v>3</v>
      </c>
      <c r="E1783" s="19" t="n">
        <v>0</v>
      </c>
    </row>
    <row r="1784">
      <c r="A1784" s="2" t="inlineStr">
        <is>
          <t>IT00709_02</t>
        </is>
      </c>
      <c r="B1784" s="2" t="inlineStr">
        <is>
          <t>PED00709</t>
        </is>
      </c>
      <c r="C1784" s="2" t="inlineStr">
        <is>
          <t>P015</t>
        </is>
      </c>
      <c r="D1784" s="2" t="n">
        <v>3</v>
      </c>
      <c r="E1784" s="19" t="n">
        <v>0</v>
      </c>
    </row>
    <row r="1785">
      <c r="A1785" s="2" t="inlineStr">
        <is>
          <t>IT00709_03</t>
        </is>
      </c>
      <c r="B1785" s="2" t="inlineStr">
        <is>
          <t>PED00709</t>
        </is>
      </c>
      <c r="C1785" s="2" t="inlineStr">
        <is>
          <t>P057</t>
        </is>
      </c>
      <c r="D1785" s="2" t="n">
        <v>2</v>
      </c>
      <c r="E1785" s="19" t="n">
        <v>0</v>
      </c>
    </row>
    <row r="1786">
      <c r="A1786" s="2" t="inlineStr">
        <is>
          <t>IT00710_01</t>
        </is>
      </c>
      <c r="B1786" s="2" t="inlineStr">
        <is>
          <t>PED00710</t>
        </is>
      </c>
      <c r="C1786" s="2" t="inlineStr">
        <is>
          <t>P039</t>
        </is>
      </c>
      <c r="D1786" s="2" t="n">
        <v>4</v>
      </c>
      <c r="E1786" s="19" t="n">
        <v>0</v>
      </c>
    </row>
    <row r="1787">
      <c r="A1787" s="2" t="inlineStr">
        <is>
          <t>IT00710_02</t>
        </is>
      </c>
      <c r="B1787" s="2" t="inlineStr">
        <is>
          <t>PED00710</t>
        </is>
      </c>
      <c r="C1787" s="2" t="inlineStr">
        <is>
          <t>P034</t>
        </is>
      </c>
      <c r="D1787" s="2" t="n">
        <v>1</v>
      </c>
      <c r="E1787" s="19" t="n">
        <v>0</v>
      </c>
    </row>
    <row r="1788">
      <c r="A1788" s="2" t="inlineStr">
        <is>
          <t>IT00711_01</t>
        </is>
      </c>
      <c r="B1788" s="2" t="inlineStr">
        <is>
          <t>PED00711</t>
        </is>
      </c>
      <c r="C1788" s="2" t="inlineStr">
        <is>
          <t>P066</t>
        </is>
      </c>
      <c r="D1788" s="2" t="n">
        <v>2</v>
      </c>
      <c r="E1788" s="19" t="n">
        <v>0</v>
      </c>
    </row>
    <row r="1789">
      <c r="A1789" s="2" t="inlineStr">
        <is>
          <t>IT00712_01</t>
        </is>
      </c>
      <c r="B1789" s="2" t="inlineStr">
        <is>
          <t>PED00712</t>
        </is>
      </c>
      <c r="C1789" s="2" t="inlineStr">
        <is>
          <t>P024</t>
        </is>
      </c>
      <c r="D1789" s="2" t="n">
        <v>3</v>
      </c>
      <c r="E1789" s="19" t="n">
        <v>0</v>
      </c>
    </row>
    <row r="1790">
      <c r="A1790" s="2" t="inlineStr">
        <is>
          <t>IT00712_02</t>
        </is>
      </c>
      <c r="B1790" s="2" t="inlineStr">
        <is>
          <t>PED00712</t>
        </is>
      </c>
      <c r="C1790" s="2" t="inlineStr">
        <is>
          <t>P025</t>
        </is>
      </c>
      <c r="D1790" s="2" t="n">
        <v>2</v>
      </c>
      <c r="E1790" s="19" t="n">
        <v>0</v>
      </c>
    </row>
    <row r="1791">
      <c r="A1791" s="2" t="inlineStr">
        <is>
          <t>IT00712_03</t>
        </is>
      </c>
      <c r="B1791" s="2" t="inlineStr">
        <is>
          <t>PED00712</t>
        </is>
      </c>
      <c r="C1791" s="2" t="inlineStr">
        <is>
          <t>P014</t>
        </is>
      </c>
      <c r="D1791" s="2" t="n">
        <v>2</v>
      </c>
      <c r="E1791" s="19" t="n">
        <v>0</v>
      </c>
    </row>
    <row r="1792">
      <c r="A1792" s="2" t="inlineStr">
        <is>
          <t>IT00713_01</t>
        </is>
      </c>
      <c r="B1792" s="2" t="inlineStr">
        <is>
          <t>PED00713</t>
        </is>
      </c>
      <c r="C1792" s="2" t="inlineStr">
        <is>
          <t>P022</t>
        </is>
      </c>
      <c r="D1792" s="2" t="n">
        <v>5</v>
      </c>
      <c r="E1792" s="19" t="n">
        <v>0.1</v>
      </c>
    </row>
    <row r="1793">
      <c r="A1793" s="2" t="inlineStr">
        <is>
          <t>IT00713_02</t>
        </is>
      </c>
      <c r="B1793" s="2" t="inlineStr">
        <is>
          <t>PED00713</t>
        </is>
      </c>
      <c r="C1793" s="2" t="inlineStr">
        <is>
          <t>P021</t>
        </is>
      </c>
      <c r="D1793" s="2" t="n">
        <v>2</v>
      </c>
      <c r="E1793" s="19" t="n">
        <v>0.02</v>
      </c>
    </row>
    <row r="1794">
      <c r="A1794" s="2" t="inlineStr">
        <is>
          <t>IT00713_03</t>
        </is>
      </c>
      <c r="B1794" s="2" t="inlineStr">
        <is>
          <t>PED00713</t>
        </is>
      </c>
      <c r="C1794" s="2" t="inlineStr">
        <is>
          <t>P042</t>
        </is>
      </c>
      <c r="D1794" s="2" t="n">
        <v>3</v>
      </c>
      <c r="E1794" s="19" t="n">
        <v>0</v>
      </c>
    </row>
    <row r="1795">
      <c r="A1795" s="2" t="inlineStr">
        <is>
          <t>IT00714_01</t>
        </is>
      </c>
      <c r="B1795" s="2" t="inlineStr">
        <is>
          <t>PED00714</t>
        </is>
      </c>
      <c r="C1795" s="2" t="inlineStr">
        <is>
          <t>P041</t>
        </is>
      </c>
      <c r="D1795" s="2" t="n">
        <v>2</v>
      </c>
      <c r="E1795" s="19" t="n">
        <v>0.02</v>
      </c>
    </row>
    <row r="1796">
      <c r="A1796" s="2" t="inlineStr">
        <is>
          <t>IT00714_02</t>
        </is>
      </c>
      <c r="B1796" s="2" t="inlineStr">
        <is>
          <t>PED00714</t>
        </is>
      </c>
      <c r="C1796" s="2" t="inlineStr">
        <is>
          <t>P058</t>
        </is>
      </c>
      <c r="D1796" s="2" t="n">
        <v>1</v>
      </c>
      <c r="E1796" s="19" t="n">
        <v>0.05</v>
      </c>
    </row>
    <row r="1797">
      <c r="A1797" s="2" t="inlineStr">
        <is>
          <t>IT00714_03</t>
        </is>
      </c>
      <c r="B1797" s="2" t="inlineStr">
        <is>
          <t>PED00714</t>
        </is>
      </c>
      <c r="C1797" s="2" t="inlineStr">
        <is>
          <t>P040</t>
        </is>
      </c>
      <c r="D1797" s="2" t="n">
        <v>1</v>
      </c>
      <c r="E1797" s="19" t="n">
        <v>0</v>
      </c>
    </row>
    <row r="1798">
      <c r="A1798" s="2" t="inlineStr">
        <is>
          <t>IT00714_04</t>
        </is>
      </c>
      <c r="B1798" s="2" t="inlineStr">
        <is>
          <t>PED00714</t>
        </is>
      </c>
      <c r="C1798" s="2" t="inlineStr">
        <is>
          <t>P055</t>
        </is>
      </c>
      <c r="D1798" s="2" t="n">
        <v>2</v>
      </c>
      <c r="E1798" s="19" t="n">
        <v>0</v>
      </c>
    </row>
    <row r="1799">
      <c r="A1799" s="2" t="inlineStr">
        <is>
          <t>IT00715_01</t>
        </is>
      </c>
      <c r="B1799" s="2" t="inlineStr">
        <is>
          <t>PED00715</t>
        </is>
      </c>
      <c r="C1799" s="2" t="inlineStr">
        <is>
          <t>P048</t>
        </is>
      </c>
      <c r="D1799" s="2" t="n">
        <v>1</v>
      </c>
      <c r="E1799" s="19" t="n">
        <v>0.02</v>
      </c>
    </row>
    <row r="1800">
      <c r="A1800" s="2" t="inlineStr">
        <is>
          <t>IT00715_02</t>
        </is>
      </c>
      <c r="B1800" s="2" t="inlineStr">
        <is>
          <t>PED00715</t>
        </is>
      </c>
      <c r="C1800" s="2" t="inlineStr">
        <is>
          <t>P004</t>
        </is>
      </c>
      <c r="D1800" s="2" t="n">
        <v>1</v>
      </c>
      <c r="E1800" s="19" t="n">
        <v>0</v>
      </c>
    </row>
    <row r="1801">
      <c r="A1801" s="2" t="inlineStr">
        <is>
          <t>IT00716_01</t>
        </is>
      </c>
      <c r="B1801" s="2" t="inlineStr">
        <is>
          <t>PED00716</t>
        </is>
      </c>
      <c r="C1801" s="2" t="inlineStr">
        <is>
          <t>P062</t>
        </is>
      </c>
      <c r="D1801" s="2" t="n">
        <v>5</v>
      </c>
      <c r="E1801" s="19" t="n">
        <v>0.05</v>
      </c>
    </row>
    <row r="1802">
      <c r="A1802" s="2" t="inlineStr">
        <is>
          <t>IT00716_02</t>
        </is>
      </c>
      <c r="B1802" s="2" t="inlineStr">
        <is>
          <t>PED00716</t>
        </is>
      </c>
      <c r="C1802" s="2" t="inlineStr">
        <is>
          <t>P061</t>
        </is>
      </c>
      <c r="D1802" s="2" t="n">
        <v>3</v>
      </c>
      <c r="E1802" s="19" t="n">
        <v>0</v>
      </c>
    </row>
    <row r="1803">
      <c r="A1803" s="2" t="inlineStr">
        <is>
          <t>IT00717_01</t>
        </is>
      </c>
      <c r="B1803" s="2" t="inlineStr">
        <is>
          <t>PED00717</t>
        </is>
      </c>
      <c r="C1803" s="2" t="inlineStr">
        <is>
          <t>P044</t>
        </is>
      </c>
      <c r="D1803" s="2" t="n">
        <v>1</v>
      </c>
      <c r="E1803" s="19" t="n">
        <v>0</v>
      </c>
    </row>
    <row r="1804">
      <c r="A1804" s="2" t="inlineStr">
        <is>
          <t>IT00718_01</t>
        </is>
      </c>
      <c r="B1804" s="2" t="inlineStr">
        <is>
          <t>PED00718</t>
        </is>
      </c>
      <c r="C1804" s="2" t="inlineStr">
        <is>
          <t>P053</t>
        </is>
      </c>
      <c r="D1804" s="2" t="n">
        <v>2</v>
      </c>
      <c r="E1804" s="19" t="n">
        <v>0</v>
      </c>
    </row>
    <row r="1805">
      <c r="A1805" s="2" t="inlineStr">
        <is>
          <t>IT00718_02</t>
        </is>
      </c>
      <c r="B1805" s="2" t="inlineStr">
        <is>
          <t>PED00718</t>
        </is>
      </c>
      <c r="C1805" s="2" t="inlineStr">
        <is>
          <t>P020</t>
        </is>
      </c>
      <c r="D1805" s="2" t="n">
        <v>2</v>
      </c>
      <c r="E1805" s="19" t="n">
        <v>0</v>
      </c>
    </row>
    <row r="1806">
      <c r="A1806" s="2" t="inlineStr">
        <is>
          <t>IT00718_03</t>
        </is>
      </c>
      <c r="B1806" s="2" t="inlineStr">
        <is>
          <t>PED00718</t>
        </is>
      </c>
      <c r="C1806" s="2" t="inlineStr">
        <is>
          <t>P039</t>
        </is>
      </c>
      <c r="D1806" s="2" t="n">
        <v>2</v>
      </c>
      <c r="E1806" s="19" t="n">
        <v>0.02</v>
      </c>
    </row>
    <row r="1807">
      <c r="A1807" s="2" t="inlineStr">
        <is>
          <t>IT00719_01</t>
        </is>
      </c>
      <c r="B1807" s="2" t="inlineStr">
        <is>
          <t>PED00719</t>
        </is>
      </c>
      <c r="C1807" s="2" t="inlineStr">
        <is>
          <t>P041</t>
        </is>
      </c>
      <c r="D1807" s="2" t="n">
        <v>1</v>
      </c>
      <c r="E1807" s="19" t="n">
        <v>0</v>
      </c>
    </row>
    <row r="1808">
      <c r="A1808" s="2" t="inlineStr">
        <is>
          <t>IT00719_02</t>
        </is>
      </c>
      <c r="B1808" s="2" t="inlineStr">
        <is>
          <t>PED00719</t>
        </is>
      </c>
      <c r="C1808" s="2" t="inlineStr">
        <is>
          <t>P047</t>
        </is>
      </c>
      <c r="D1808" s="2" t="n">
        <v>2</v>
      </c>
      <c r="E1808" s="19" t="n">
        <v>0</v>
      </c>
    </row>
    <row r="1809">
      <c r="A1809" s="2" t="inlineStr">
        <is>
          <t>IT00719_03</t>
        </is>
      </c>
      <c r="B1809" s="2" t="inlineStr">
        <is>
          <t>PED00719</t>
        </is>
      </c>
      <c r="C1809" s="2" t="inlineStr">
        <is>
          <t>P058</t>
        </is>
      </c>
      <c r="D1809" s="2" t="n">
        <v>2</v>
      </c>
      <c r="E1809" s="19" t="n">
        <v>0.02</v>
      </c>
    </row>
    <row r="1810">
      <c r="A1810" s="2" t="inlineStr">
        <is>
          <t>IT00719_04</t>
        </is>
      </c>
      <c r="B1810" s="2" t="inlineStr">
        <is>
          <t>PED00719</t>
        </is>
      </c>
      <c r="C1810" s="2" t="inlineStr">
        <is>
          <t>P028</t>
        </is>
      </c>
      <c r="D1810" s="2" t="n">
        <v>1</v>
      </c>
      <c r="E1810" s="19" t="n">
        <v>0.02</v>
      </c>
    </row>
    <row r="1811">
      <c r="A1811" s="2" t="inlineStr">
        <is>
          <t>IT00720_01</t>
        </is>
      </c>
      <c r="B1811" s="2" t="inlineStr">
        <is>
          <t>PED00720</t>
        </is>
      </c>
      <c r="C1811" s="2" t="inlineStr">
        <is>
          <t>P068</t>
        </is>
      </c>
      <c r="D1811" s="2" t="n">
        <v>1</v>
      </c>
      <c r="E1811" s="19" t="n">
        <v>0</v>
      </c>
    </row>
    <row r="1812">
      <c r="A1812" s="2" t="inlineStr">
        <is>
          <t>IT00720_02</t>
        </is>
      </c>
      <c r="B1812" s="2" t="inlineStr">
        <is>
          <t>PED00720</t>
        </is>
      </c>
      <c r="C1812" s="2" t="inlineStr">
        <is>
          <t>P008</t>
        </is>
      </c>
      <c r="D1812" s="2" t="n">
        <v>1</v>
      </c>
      <c r="E1812" s="19" t="n">
        <v>0</v>
      </c>
    </row>
    <row r="1813">
      <c r="A1813" s="2" t="inlineStr">
        <is>
          <t>IT00720_03</t>
        </is>
      </c>
      <c r="B1813" s="2" t="inlineStr">
        <is>
          <t>PED00720</t>
        </is>
      </c>
      <c r="C1813" s="2" t="inlineStr">
        <is>
          <t>P066</t>
        </is>
      </c>
      <c r="D1813" s="2" t="n">
        <v>3</v>
      </c>
      <c r="E1813" s="19" t="n">
        <v>0.02</v>
      </c>
    </row>
    <row r="1814">
      <c r="A1814" s="2" t="inlineStr">
        <is>
          <t>IT00720_04</t>
        </is>
      </c>
      <c r="B1814" s="2" t="inlineStr">
        <is>
          <t>PED00720</t>
        </is>
      </c>
      <c r="C1814" s="2" t="inlineStr">
        <is>
          <t>P048</t>
        </is>
      </c>
      <c r="D1814" s="2" t="n">
        <v>2</v>
      </c>
      <c r="E1814" s="19" t="n">
        <v>0</v>
      </c>
    </row>
    <row r="1815">
      <c r="A1815" s="2" t="inlineStr">
        <is>
          <t>IT00721_01</t>
        </is>
      </c>
      <c r="B1815" s="2" t="inlineStr">
        <is>
          <t>PED00721</t>
        </is>
      </c>
      <c r="C1815" s="2" t="inlineStr">
        <is>
          <t>P066</t>
        </is>
      </c>
      <c r="D1815" s="2" t="n">
        <v>2</v>
      </c>
      <c r="E1815" s="19" t="n">
        <v>0</v>
      </c>
    </row>
    <row r="1816">
      <c r="A1816" s="2" t="inlineStr">
        <is>
          <t>IT00721_02</t>
        </is>
      </c>
      <c r="B1816" s="2" t="inlineStr">
        <is>
          <t>PED00721</t>
        </is>
      </c>
      <c r="C1816" s="2" t="inlineStr">
        <is>
          <t>P012</t>
        </is>
      </c>
      <c r="D1816" s="2" t="n">
        <v>2</v>
      </c>
      <c r="E1816" s="19" t="n">
        <v>0</v>
      </c>
    </row>
    <row r="1817">
      <c r="A1817" s="2" t="inlineStr">
        <is>
          <t>IT00722_01</t>
        </is>
      </c>
      <c r="B1817" s="2" t="inlineStr">
        <is>
          <t>PED00722</t>
        </is>
      </c>
      <c r="C1817" s="2" t="inlineStr">
        <is>
          <t>P043</t>
        </is>
      </c>
      <c r="D1817" s="2" t="n">
        <v>1</v>
      </c>
      <c r="E1817" s="19" t="n">
        <v>0</v>
      </c>
    </row>
    <row r="1818">
      <c r="A1818" s="2" t="inlineStr">
        <is>
          <t>IT00723_01</t>
        </is>
      </c>
      <c r="B1818" s="2" t="inlineStr">
        <is>
          <t>PED00723</t>
        </is>
      </c>
      <c r="C1818" s="2" t="inlineStr">
        <is>
          <t>P050</t>
        </is>
      </c>
      <c r="D1818" s="2" t="n">
        <v>1</v>
      </c>
      <c r="E1818" s="19" t="n">
        <v>0</v>
      </c>
    </row>
    <row r="1819">
      <c r="A1819" s="2" t="inlineStr">
        <is>
          <t>IT00723_02</t>
        </is>
      </c>
      <c r="B1819" s="2" t="inlineStr">
        <is>
          <t>PED00723</t>
        </is>
      </c>
      <c r="C1819" s="2" t="inlineStr">
        <is>
          <t>P003</t>
        </is>
      </c>
      <c r="D1819" s="2" t="n">
        <v>1</v>
      </c>
      <c r="E1819" s="19" t="n">
        <v>0</v>
      </c>
    </row>
    <row r="1820">
      <c r="A1820" s="2" t="inlineStr">
        <is>
          <t>IT00723_03</t>
        </is>
      </c>
      <c r="B1820" s="2" t="inlineStr">
        <is>
          <t>PED00723</t>
        </is>
      </c>
      <c r="C1820" s="2" t="inlineStr">
        <is>
          <t>P002</t>
        </is>
      </c>
      <c r="D1820" s="2" t="n">
        <v>2</v>
      </c>
      <c r="E1820" s="19" t="n">
        <v>0</v>
      </c>
    </row>
    <row r="1821">
      <c r="A1821" s="2" t="inlineStr">
        <is>
          <t>IT00724_01</t>
        </is>
      </c>
      <c r="B1821" s="2" t="inlineStr">
        <is>
          <t>PED00724</t>
        </is>
      </c>
      <c r="C1821" s="2" t="inlineStr">
        <is>
          <t>P020</t>
        </is>
      </c>
      <c r="D1821" s="2" t="n">
        <v>1</v>
      </c>
      <c r="E1821" s="19" t="n">
        <v>0</v>
      </c>
    </row>
    <row r="1822">
      <c r="A1822" s="2" t="inlineStr">
        <is>
          <t>IT00724_02</t>
        </is>
      </c>
      <c r="B1822" s="2" t="inlineStr">
        <is>
          <t>PED00724</t>
        </is>
      </c>
      <c r="C1822" s="2" t="inlineStr">
        <is>
          <t>P025</t>
        </is>
      </c>
      <c r="D1822" s="2" t="n">
        <v>2</v>
      </c>
      <c r="E1822" s="19" t="n">
        <v>0.05</v>
      </c>
    </row>
    <row r="1823">
      <c r="A1823" s="2" t="inlineStr">
        <is>
          <t>IT00724_03</t>
        </is>
      </c>
      <c r="B1823" s="2" t="inlineStr">
        <is>
          <t>PED00724</t>
        </is>
      </c>
      <c r="C1823" s="2" t="inlineStr">
        <is>
          <t>P019</t>
        </is>
      </c>
      <c r="D1823" s="2" t="n">
        <v>1</v>
      </c>
      <c r="E1823" s="19" t="n">
        <v>0</v>
      </c>
    </row>
    <row r="1824">
      <c r="A1824" s="2" t="inlineStr">
        <is>
          <t>IT00724_04</t>
        </is>
      </c>
      <c r="B1824" s="2" t="inlineStr">
        <is>
          <t>PED00724</t>
        </is>
      </c>
      <c r="C1824" s="2" t="inlineStr">
        <is>
          <t>P027</t>
        </is>
      </c>
      <c r="D1824" s="2" t="n">
        <v>1</v>
      </c>
      <c r="E1824" s="19" t="n">
        <v>0</v>
      </c>
    </row>
    <row r="1825">
      <c r="A1825" s="2" t="inlineStr">
        <is>
          <t>IT00725_01</t>
        </is>
      </c>
      <c r="B1825" s="2" t="inlineStr">
        <is>
          <t>PED00725</t>
        </is>
      </c>
      <c r="C1825" s="2" t="inlineStr">
        <is>
          <t>P028</t>
        </is>
      </c>
      <c r="D1825" s="2" t="n">
        <v>1</v>
      </c>
      <c r="E1825" s="19" t="n">
        <v>0.05</v>
      </c>
    </row>
    <row r="1826">
      <c r="A1826" s="2" t="inlineStr">
        <is>
          <t>IT00725_02</t>
        </is>
      </c>
      <c r="B1826" s="2" t="inlineStr">
        <is>
          <t>PED00725</t>
        </is>
      </c>
      <c r="C1826" s="2" t="inlineStr">
        <is>
          <t>P046</t>
        </is>
      </c>
      <c r="D1826" s="2" t="n">
        <v>5</v>
      </c>
      <c r="E1826" s="19" t="n">
        <v>0</v>
      </c>
    </row>
    <row r="1827">
      <c r="A1827" s="2" t="inlineStr">
        <is>
          <t>IT00726_01</t>
        </is>
      </c>
      <c r="B1827" s="2" t="inlineStr">
        <is>
          <t>PED00726</t>
        </is>
      </c>
      <c r="C1827" s="2" t="inlineStr">
        <is>
          <t>P057</t>
        </is>
      </c>
      <c r="D1827" s="2" t="n">
        <v>1</v>
      </c>
      <c r="E1827" s="19" t="n">
        <v>0</v>
      </c>
    </row>
    <row r="1828">
      <c r="A1828" s="2" t="inlineStr">
        <is>
          <t>IT00727_01</t>
        </is>
      </c>
      <c r="B1828" s="2" t="inlineStr">
        <is>
          <t>PED00727</t>
        </is>
      </c>
      <c r="C1828" s="2" t="inlineStr">
        <is>
          <t>P016</t>
        </is>
      </c>
      <c r="D1828" s="2" t="n">
        <v>1</v>
      </c>
      <c r="E1828" s="19" t="n">
        <v>0</v>
      </c>
    </row>
    <row r="1829">
      <c r="A1829" s="2" t="inlineStr">
        <is>
          <t>IT00727_02</t>
        </is>
      </c>
      <c r="B1829" s="2" t="inlineStr">
        <is>
          <t>PED00727</t>
        </is>
      </c>
      <c r="C1829" s="2" t="inlineStr">
        <is>
          <t>P021</t>
        </is>
      </c>
      <c r="D1829" s="2" t="n">
        <v>2</v>
      </c>
      <c r="E1829" s="19" t="n">
        <v>0.02</v>
      </c>
    </row>
    <row r="1830">
      <c r="A1830" s="2" t="inlineStr">
        <is>
          <t>IT00727_03</t>
        </is>
      </c>
      <c r="B1830" s="2" t="inlineStr">
        <is>
          <t>PED00727</t>
        </is>
      </c>
      <c r="C1830" s="2" t="inlineStr">
        <is>
          <t>P027</t>
        </is>
      </c>
      <c r="D1830" s="2" t="n">
        <v>1</v>
      </c>
      <c r="E1830" s="19" t="n">
        <v>0</v>
      </c>
    </row>
    <row r="1831">
      <c r="A1831" s="2" t="inlineStr">
        <is>
          <t>IT00728_01</t>
        </is>
      </c>
      <c r="B1831" s="2" t="inlineStr">
        <is>
          <t>PED00728</t>
        </is>
      </c>
      <c r="C1831" s="2" t="inlineStr">
        <is>
          <t>P049</t>
        </is>
      </c>
      <c r="D1831" s="2" t="n">
        <v>3</v>
      </c>
      <c r="E1831" s="19" t="n">
        <v>0</v>
      </c>
    </row>
    <row r="1832">
      <c r="A1832" s="2" t="inlineStr">
        <is>
          <t>IT00729_01</t>
        </is>
      </c>
      <c r="B1832" s="2" t="inlineStr">
        <is>
          <t>PED00729</t>
        </is>
      </c>
      <c r="C1832" s="2" t="inlineStr">
        <is>
          <t>P039</t>
        </is>
      </c>
      <c r="D1832" s="2" t="n">
        <v>4</v>
      </c>
      <c r="E1832" s="19" t="n">
        <v>0</v>
      </c>
    </row>
    <row r="1833">
      <c r="A1833" s="2" t="inlineStr">
        <is>
          <t>IT00729_02</t>
        </is>
      </c>
      <c r="B1833" s="2" t="inlineStr">
        <is>
          <t>PED00729</t>
        </is>
      </c>
      <c r="C1833" s="2" t="inlineStr">
        <is>
          <t>P030</t>
        </is>
      </c>
      <c r="D1833" s="2" t="n">
        <v>5</v>
      </c>
      <c r="E1833" s="19" t="n">
        <v>0.02</v>
      </c>
    </row>
    <row r="1834">
      <c r="A1834" s="2" t="inlineStr">
        <is>
          <t>IT00729_03</t>
        </is>
      </c>
      <c r="B1834" s="2" t="inlineStr">
        <is>
          <t>PED00729</t>
        </is>
      </c>
      <c r="C1834" s="2" t="inlineStr">
        <is>
          <t>P011</t>
        </is>
      </c>
      <c r="D1834" s="2" t="n">
        <v>4</v>
      </c>
      <c r="E1834" s="19" t="n">
        <v>0</v>
      </c>
    </row>
    <row r="1835">
      <c r="A1835" s="2" t="inlineStr">
        <is>
          <t>IT00729_04</t>
        </is>
      </c>
      <c r="B1835" s="2" t="inlineStr">
        <is>
          <t>PED00729</t>
        </is>
      </c>
      <c r="C1835" s="2" t="inlineStr">
        <is>
          <t>P050</t>
        </is>
      </c>
      <c r="D1835" s="2" t="n">
        <v>3</v>
      </c>
      <c r="E1835" s="19" t="n">
        <v>0</v>
      </c>
    </row>
    <row r="1836">
      <c r="A1836" s="2" t="inlineStr">
        <is>
          <t>IT00730_01</t>
        </is>
      </c>
      <c r="B1836" s="2" t="inlineStr">
        <is>
          <t>PED00730</t>
        </is>
      </c>
      <c r="C1836" s="2" t="inlineStr">
        <is>
          <t>P027</t>
        </is>
      </c>
      <c r="D1836" s="2" t="n">
        <v>2</v>
      </c>
      <c r="E1836" s="19" t="n">
        <v>0.05</v>
      </c>
    </row>
    <row r="1837">
      <c r="A1837" s="2" t="inlineStr">
        <is>
          <t>IT00730_02</t>
        </is>
      </c>
      <c r="B1837" s="2" t="inlineStr">
        <is>
          <t>PED00730</t>
        </is>
      </c>
      <c r="C1837" s="2" t="inlineStr">
        <is>
          <t>P038</t>
        </is>
      </c>
      <c r="D1837" s="2" t="n">
        <v>1</v>
      </c>
      <c r="E1837" s="19" t="n">
        <v>0</v>
      </c>
    </row>
    <row r="1838">
      <c r="A1838" s="2" t="inlineStr">
        <is>
          <t>IT00730_03</t>
        </is>
      </c>
      <c r="B1838" s="2" t="inlineStr">
        <is>
          <t>PED00730</t>
        </is>
      </c>
      <c r="C1838" s="2" t="inlineStr">
        <is>
          <t>P048</t>
        </is>
      </c>
      <c r="D1838" s="2" t="n">
        <v>2</v>
      </c>
      <c r="E1838" s="19" t="n">
        <v>0</v>
      </c>
    </row>
    <row r="1839">
      <c r="A1839" s="2" t="inlineStr">
        <is>
          <t>IT00731_01</t>
        </is>
      </c>
      <c r="B1839" s="2" t="inlineStr">
        <is>
          <t>PED00731</t>
        </is>
      </c>
      <c r="C1839" s="2" t="inlineStr">
        <is>
          <t>P040</t>
        </is>
      </c>
      <c r="D1839" s="2" t="n">
        <v>2</v>
      </c>
      <c r="E1839" s="19" t="n">
        <v>0.05</v>
      </c>
    </row>
    <row r="1840">
      <c r="A1840" s="2" t="inlineStr">
        <is>
          <t>IT00731_02</t>
        </is>
      </c>
      <c r="B1840" s="2" t="inlineStr">
        <is>
          <t>PED00731</t>
        </is>
      </c>
      <c r="C1840" s="2" t="inlineStr">
        <is>
          <t>P052</t>
        </is>
      </c>
      <c r="D1840" s="2" t="n">
        <v>1</v>
      </c>
      <c r="E1840" s="19" t="n">
        <v>0</v>
      </c>
    </row>
    <row r="1841">
      <c r="A1841" s="2" t="inlineStr">
        <is>
          <t>IT00732_01</t>
        </is>
      </c>
      <c r="B1841" s="2" t="inlineStr">
        <is>
          <t>PED00732</t>
        </is>
      </c>
      <c r="C1841" s="2" t="inlineStr">
        <is>
          <t>P006</t>
        </is>
      </c>
      <c r="D1841" s="2" t="n">
        <v>1</v>
      </c>
      <c r="E1841" s="19" t="n">
        <v>0</v>
      </c>
    </row>
    <row r="1842">
      <c r="A1842" s="2" t="inlineStr">
        <is>
          <t>IT00732_02</t>
        </is>
      </c>
      <c r="B1842" s="2" t="inlineStr">
        <is>
          <t>PED00732</t>
        </is>
      </c>
      <c r="C1842" s="2" t="inlineStr">
        <is>
          <t>P070</t>
        </is>
      </c>
      <c r="D1842" s="2" t="n">
        <v>1</v>
      </c>
      <c r="E1842" s="19" t="n">
        <v>0</v>
      </c>
    </row>
    <row r="1843">
      <c r="A1843" s="2" t="inlineStr">
        <is>
          <t>IT00732_03</t>
        </is>
      </c>
      <c r="B1843" s="2" t="inlineStr">
        <is>
          <t>PED00732</t>
        </is>
      </c>
      <c r="C1843" s="2" t="inlineStr">
        <is>
          <t>P049</t>
        </is>
      </c>
      <c r="D1843" s="2" t="n">
        <v>1</v>
      </c>
      <c r="E1843" s="19" t="n">
        <v>0</v>
      </c>
    </row>
    <row r="1844">
      <c r="A1844" s="2" t="inlineStr">
        <is>
          <t>IT00732_04</t>
        </is>
      </c>
      <c r="B1844" s="2" t="inlineStr">
        <is>
          <t>PED00732</t>
        </is>
      </c>
      <c r="C1844" s="2" t="inlineStr">
        <is>
          <t>P068</t>
        </is>
      </c>
      <c r="D1844" s="2" t="n">
        <v>5</v>
      </c>
      <c r="E1844" s="19" t="n">
        <v>0</v>
      </c>
    </row>
    <row r="1845">
      <c r="A1845" s="2" t="inlineStr">
        <is>
          <t>IT00733_01</t>
        </is>
      </c>
      <c r="B1845" s="2" t="inlineStr">
        <is>
          <t>PED00733</t>
        </is>
      </c>
      <c r="C1845" s="2" t="inlineStr">
        <is>
          <t>P061</t>
        </is>
      </c>
      <c r="D1845" s="2" t="n">
        <v>1</v>
      </c>
      <c r="E1845" s="19" t="n">
        <v>0.02</v>
      </c>
    </row>
    <row r="1846">
      <c r="A1846" s="2" t="inlineStr">
        <is>
          <t>IT00733_02</t>
        </is>
      </c>
      <c r="B1846" s="2" t="inlineStr">
        <is>
          <t>PED00733</t>
        </is>
      </c>
      <c r="C1846" s="2" t="inlineStr">
        <is>
          <t>P033</t>
        </is>
      </c>
      <c r="D1846" s="2" t="n">
        <v>1</v>
      </c>
      <c r="E1846" s="19" t="n">
        <v>0</v>
      </c>
    </row>
    <row r="1847">
      <c r="A1847" s="2" t="inlineStr">
        <is>
          <t>IT00734_01</t>
        </is>
      </c>
      <c r="B1847" s="2" t="inlineStr">
        <is>
          <t>PED00734</t>
        </is>
      </c>
      <c r="C1847" s="2" t="inlineStr">
        <is>
          <t>P017</t>
        </is>
      </c>
      <c r="D1847" s="2" t="n">
        <v>3</v>
      </c>
      <c r="E1847" s="19" t="n">
        <v>0</v>
      </c>
    </row>
    <row r="1848">
      <c r="A1848" s="2" t="inlineStr">
        <is>
          <t>IT00735_01</t>
        </is>
      </c>
      <c r="B1848" s="2" t="inlineStr">
        <is>
          <t>PED00735</t>
        </is>
      </c>
      <c r="C1848" s="2" t="inlineStr">
        <is>
          <t>P033</t>
        </is>
      </c>
      <c r="D1848" s="2" t="n">
        <v>3</v>
      </c>
      <c r="E1848" s="19" t="n">
        <v>0</v>
      </c>
    </row>
    <row r="1849">
      <c r="A1849" s="2" t="inlineStr">
        <is>
          <t>IT00735_02</t>
        </is>
      </c>
      <c r="B1849" s="2" t="inlineStr">
        <is>
          <t>PED00735</t>
        </is>
      </c>
      <c r="C1849" s="2" t="inlineStr">
        <is>
          <t>P024</t>
        </is>
      </c>
      <c r="D1849" s="2" t="n">
        <v>3</v>
      </c>
      <c r="E1849" s="19" t="n">
        <v>0</v>
      </c>
    </row>
    <row r="1850">
      <c r="A1850" s="2" t="inlineStr">
        <is>
          <t>IT00736_01</t>
        </is>
      </c>
      <c r="B1850" s="2" t="inlineStr">
        <is>
          <t>PED00736</t>
        </is>
      </c>
      <c r="C1850" s="2" t="inlineStr">
        <is>
          <t>P005</t>
        </is>
      </c>
      <c r="D1850" s="2" t="n">
        <v>3</v>
      </c>
      <c r="E1850" s="19" t="n">
        <v>0.1</v>
      </c>
    </row>
    <row r="1851">
      <c r="A1851" s="2" t="inlineStr">
        <is>
          <t>IT00736_02</t>
        </is>
      </c>
      <c r="B1851" s="2" t="inlineStr">
        <is>
          <t>PED00736</t>
        </is>
      </c>
      <c r="C1851" s="2" t="inlineStr">
        <is>
          <t>P050</t>
        </is>
      </c>
      <c r="D1851" s="2" t="n">
        <v>1</v>
      </c>
      <c r="E1851" s="19" t="n">
        <v>0</v>
      </c>
    </row>
    <row r="1852">
      <c r="A1852" s="2" t="inlineStr">
        <is>
          <t>IT00736_03</t>
        </is>
      </c>
      <c r="B1852" s="2" t="inlineStr">
        <is>
          <t>PED00736</t>
        </is>
      </c>
      <c r="C1852" s="2" t="inlineStr">
        <is>
          <t>P007</t>
        </is>
      </c>
      <c r="D1852" s="2" t="n">
        <v>3</v>
      </c>
      <c r="E1852" s="19" t="n">
        <v>0</v>
      </c>
    </row>
    <row r="1853">
      <c r="A1853" s="2" t="inlineStr">
        <is>
          <t>IT00737_01</t>
        </is>
      </c>
      <c r="B1853" s="2" t="inlineStr">
        <is>
          <t>PED00737</t>
        </is>
      </c>
      <c r="C1853" s="2" t="inlineStr">
        <is>
          <t>P052</t>
        </is>
      </c>
      <c r="D1853" s="2" t="n">
        <v>2</v>
      </c>
      <c r="E1853" s="19" t="n">
        <v>0</v>
      </c>
    </row>
    <row r="1854">
      <c r="A1854" s="2" t="inlineStr">
        <is>
          <t>IT00737_02</t>
        </is>
      </c>
      <c r="B1854" s="2" t="inlineStr">
        <is>
          <t>PED00737</t>
        </is>
      </c>
      <c r="C1854" s="2" t="inlineStr">
        <is>
          <t>P058</t>
        </is>
      </c>
      <c r="D1854" s="2" t="n">
        <v>2</v>
      </c>
      <c r="E1854" s="19" t="n">
        <v>0.02</v>
      </c>
    </row>
    <row r="1855">
      <c r="A1855" s="2" t="inlineStr">
        <is>
          <t>IT00737_03</t>
        </is>
      </c>
      <c r="B1855" s="2" t="inlineStr">
        <is>
          <t>PED00737</t>
        </is>
      </c>
      <c r="C1855" s="2" t="inlineStr">
        <is>
          <t>P028</t>
        </is>
      </c>
      <c r="D1855" s="2" t="n">
        <v>2</v>
      </c>
      <c r="E1855" s="19" t="n">
        <v>0</v>
      </c>
    </row>
    <row r="1856">
      <c r="A1856" s="2" t="inlineStr">
        <is>
          <t>IT00738_01</t>
        </is>
      </c>
      <c r="B1856" s="2" t="inlineStr">
        <is>
          <t>PED00738</t>
        </is>
      </c>
      <c r="C1856" s="2" t="inlineStr">
        <is>
          <t>P013</t>
        </is>
      </c>
      <c r="D1856" s="2" t="n">
        <v>1</v>
      </c>
      <c r="E1856" s="19" t="n">
        <v>0.02</v>
      </c>
    </row>
    <row r="1857">
      <c r="A1857" s="2" t="inlineStr">
        <is>
          <t>IT00738_02</t>
        </is>
      </c>
      <c r="B1857" s="2" t="inlineStr">
        <is>
          <t>PED00738</t>
        </is>
      </c>
      <c r="C1857" s="2" t="inlineStr">
        <is>
          <t>P044</t>
        </is>
      </c>
      <c r="D1857" s="2" t="n">
        <v>2</v>
      </c>
      <c r="E1857" s="19" t="n">
        <v>0</v>
      </c>
    </row>
    <row r="1858">
      <c r="A1858" s="2" t="inlineStr">
        <is>
          <t>IT00738_03</t>
        </is>
      </c>
      <c r="B1858" s="2" t="inlineStr">
        <is>
          <t>PED00738</t>
        </is>
      </c>
      <c r="C1858" s="2" t="inlineStr">
        <is>
          <t>P067</t>
        </is>
      </c>
      <c r="D1858" s="2" t="n">
        <v>2</v>
      </c>
      <c r="E1858" s="19" t="n">
        <v>0</v>
      </c>
    </row>
    <row r="1859">
      <c r="A1859" s="2" t="inlineStr">
        <is>
          <t>IT00739_01</t>
        </is>
      </c>
      <c r="B1859" s="2" t="inlineStr">
        <is>
          <t>PED00739</t>
        </is>
      </c>
      <c r="C1859" s="2" t="inlineStr">
        <is>
          <t>P056</t>
        </is>
      </c>
      <c r="D1859" s="2" t="n">
        <v>5</v>
      </c>
      <c r="E1859" s="19" t="n">
        <v>0.1</v>
      </c>
    </row>
    <row r="1860">
      <c r="A1860" s="2" t="inlineStr">
        <is>
          <t>IT00739_02</t>
        </is>
      </c>
      <c r="B1860" s="2" t="inlineStr">
        <is>
          <t>PED00739</t>
        </is>
      </c>
      <c r="C1860" s="2" t="inlineStr">
        <is>
          <t>P011</t>
        </is>
      </c>
      <c r="D1860" s="2" t="n">
        <v>1</v>
      </c>
      <c r="E1860" s="19" t="n">
        <v>0.05</v>
      </c>
    </row>
    <row r="1861">
      <c r="A1861" s="2" t="inlineStr">
        <is>
          <t>IT00740_01</t>
        </is>
      </c>
      <c r="B1861" s="2" t="inlineStr">
        <is>
          <t>PED00740</t>
        </is>
      </c>
      <c r="C1861" s="2" t="inlineStr">
        <is>
          <t>P046</t>
        </is>
      </c>
      <c r="D1861" s="2" t="n">
        <v>2</v>
      </c>
      <c r="E1861" s="19" t="n">
        <v>0</v>
      </c>
    </row>
    <row r="1862">
      <c r="A1862" s="2" t="inlineStr">
        <is>
          <t>IT00740_02</t>
        </is>
      </c>
      <c r="B1862" s="2" t="inlineStr">
        <is>
          <t>PED00740</t>
        </is>
      </c>
      <c r="C1862" s="2" t="inlineStr">
        <is>
          <t>P068</t>
        </is>
      </c>
      <c r="D1862" s="2" t="n">
        <v>1</v>
      </c>
      <c r="E1862" s="19" t="n">
        <v>0</v>
      </c>
    </row>
    <row r="1863">
      <c r="A1863" s="2" t="inlineStr">
        <is>
          <t>IT00740_03</t>
        </is>
      </c>
      <c r="B1863" s="2" t="inlineStr">
        <is>
          <t>PED00740</t>
        </is>
      </c>
      <c r="C1863" s="2" t="inlineStr">
        <is>
          <t>P020</t>
        </is>
      </c>
      <c r="D1863" s="2" t="n">
        <v>2</v>
      </c>
      <c r="E1863" s="19" t="n">
        <v>0.02</v>
      </c>
    </row>
    <row r="1864">
      <c r="A1864" s="2" t="inlineStr">
        <is>
          <t>IT00741_01</t>
        </is>
      </c>
      <c r="B1864" s="2" t="inlineStr">
        <is>
          <t>PED00741</t>
        </is>
      </c>
      <c r="C1864" s="2" t="inlineStr">
        <is>
          <t>P029</t>
        </is>
      </c>
      <c r="D1864" s="2" t="n">
        <v>4</v>
      </c>
      <c r="E1864" s="19" t="n">
        <v>0</v>
      </c>
    </row>
    <row r="1865">
      <c r="A1865" s="2" t="inlineStr">
        <is>
          <t>IT00741_02</t>
        </is>
      </c>
      <c r="B1865" s="2" t="inlineStr">
        <is>
          <t>PED00741</t>
        </is>
      </c>
      <c r="C1865" s="2" t="inlineStr">
        <is>
          <t>P020</t>
        </is>
      </c>
      <c r="D1865" s="2" t="n">
        <v>5</v>
      </c>
      <c r="E1865" s="19" t="n">
        <v>0.05</v>
      </c>
    </row>
    <row r="1866">
      <c r="A1866" s="2" t="inlineStr">
        <is>
          <t>IT00741_03</t>
        </is>
      </c>
      <c r="B1866" s="2" t="inlineStr">
        <is>
          <t>PED00741</t>
        </is>
      </c>
      <c r="C1866" s="2" t="inlineStr">
        <is>
          <t>P070</t>
        </is>
      </c>
      <c r="D1866" s="2" t="n">
        <v>1</v>
      </c>
      <c r="E1866" s="19" t="n">
        <v>0.05</v>
      </c>
    </row>
    <row r="1867">
      <c r="A1867" s="2" t="inlineStr">
        <is>
          <t>IT00741_04</t>
        </is>
      </c>
      <c r="B1867" s="2" t="inlineStr">
        <is>
          <t>PED00741</t>
        </is>
      </c>
      <c r="C1867" s="2" t="inlineStr">
        <is>
          <t>P055</t>
        </is>
      </c>
      <c r="D1867" s="2" t="n">
        <v>5</v>
      </c>
      <c r="E1867" s="19" t="n">
        <v>0.05</v>
      </c>
    </row>
    <row r="1868">
      <c r="A1868" s="2" t="inlineStr">
        <is>
          <t>IT00742_01</t>
        </is>
      </c>
      <c r="B1868" s="2" t="inlineStr">
        <is>
          <t>PED00742</t>
        </is>
      </c>
      <c r="C1868" s="2" t="inlineStr">
        <is>
          <t>P040</t>
        </is>
      </c>
      <c r="D1868" s="2" t="n">
        <v>1</v>
      </c>
      <c r="E1868" s="19" t="n">
        <v>0</v>
      </c>
    </row>
    <row r="1869">
      <c r="A1869" s="2" t="inlineStr">
        <is>
          <t>IT00742_02</t>
        </is>
      </c>
      <c r="B1869" s="2" t="inlineStr">
        <is>
          <t>PED00742</t>
        </is>
      </c>
      <c r="C1869" s="2" t="inlineStr">
        <is>
          <t>P027</t>
        </is>
      </c>
      <c r="D1869" s="2" t="n">
        <v>1</v>
      </c>
      <c r="E1869" s="19" t="n">
        <v>0.05</v>
      </c>
    </row>
    <row r="1870">
      <c r="A1870" s="2" t="inlineStr">
        <is>
          <t>IT00742_03</t>
        </is>
      </c>
      <c r="B1870" s="2" t="inlineStr">
        <is>
          <t>PED00742</t>
        </is>
      </c>
      <c r="C1870" s="2" t="inlineStr">
        <is>
          <t>P009</t>
        </is>
      </c>
      <c r="D1870" s="2" t="n">
        <v>3</v>
      </c>
      <c r="E1870" s="19" t="n">
        <v>0.05</v>
      </c>
    </row>
    <row r="1871">
      <c r="A1871" s="2" t="inlineStr">
        <is>
          <t>IT00743_01</t>
        </is>
      </c>
      <c r="B1871" s="2" t="inlineStr">
        <is>
          <t>PED00743</t>
        </is>
      </c>
      <c r="C1871" s="2" t="inlineStr">
        <is>
          <t>P010</t>
        </is>
      </c>
      <c r="D1871" s="2" t="n">
        <v>4</v>
      </c>
      <c r="E1871" s="19" t="n">
        <v>0</v>
      </c>
    </row>
    <row r="1872">
      <c r="A1872" s="2" t="inlineStr">
        <is>
          <t>IT00743_02</t>
        </is>
      </c>
      <c r="B1872" s="2" t="inlineStr">
        <is>
          <t>PED00743</t>
        </is>
      </c>
      <c r="C1872" s="2" t="inlineStr">
        <is>
          <t>P029</t>
        </is>
      </c>
      <c r="D1872" s="2" t="n">
        <v>3</v>
      </c>
      <c r="E1872" s="19" t="n">
        <v>0.05</v>
      </c>
    </row>
    <row r="1873">
      <c r="A1873" s="2" t="inlineStr">
        <is>
          <t>IT00743_03</t>
        </is>
      </c>
      <c r="B1873" s="2" t="inlineStr">
        <is>
          <t>PED00743</t>
        </is>
      </c>
      <c r="C1873" s="2" t="inlineStr">
        <is>
          <t>P036</t>
        </is>
      </c>
      <c r="D1873" s="2" t="n">
        <v>1</v>
      </c>
      <c r="E1873" s="19" t="n">
        <v>0</v>
      </c>
    </row>
    <row r="1874">
      <c r="A1874" s="2" t="inlineStr">
        <is>
          <t>IT00743_04</t>
        </is>
      </c>
      <c r="B1874" s="2" t="inlineStr">
        <is>
          <t>PED00743</t>
        </is>
      </c>
      <c r="C1874" s="2" t="inlineStr">
        <is>
          <t>P018</t>
        </is>
      </c>
      <c r="D1874" s="2" t="n">
        <v>2</v>
      </c>
      <c r="E1874" s="19" t="n">
        <v>0.02</v>
      </c>
    </row>
    <row r="1875">
      <c r="A1875" s="2" t="inlineStr">
        <is>
          <t>IT00744_01</t>
        </is>
      </c>
      <c r="B1875" s="2" t="inlineStr">
        <is>
          <t>PED00744</t>
        </is>
      </c>
      <c r="C1875" s="2" t="inlineStr">
        <is>
          <t>P030</t>
        </is>
      </c>
      <c r="D1875" s="2" t="n">
        <v>3</v>
      </c>
      <c r="E1875" s="19" t="n">
        <v>0</v>
      </c>
    </row>
    <row r="1876">
      <c r="A1876" s="2" t="inlineStr">
        <is>
          <t>IT00744_02</t>
        </is>
      </c>
      <c r="B1876" s="2" t="inlineStr">
        <is>
          <t>PED00744</t>
        </is>
      </c>
      <c r="C1876" s="2" t="inlineStr">
        <is>
          <t>P057</t>
        </is>
      </c>
      <c r="D1876" s="2" t="n">
        <v>2</v>
      </c>
      <c r="E1876" s="19" t="n">
        <v>0</v>
      </c>
    </row>
    <row r="1877">
      <c r="A1877" s="2" t="inlineStr">
        <is>
          <t>IT00744_03</t>
        </is>
      </c>
      <c r="B1877" s="2" t="inlineStr">
        <is>
          <t>PED00744</t>
        </is>
      </c>
      <c r="C1877" s="2" t="inlineStr">
        <is>
          <t>P039</t>
        </is>
      </c>
      <c r="D1877" s="2" t="n">
        <v>4</v>
      </c>
      <c r="E1877" s="19" t="n">
        <v>0.02</v>
      </c>
    </row>
    <row r="1878">
      <c r="A1878" s="2" t="inlineStr">
        <is>
          <t>IT00745_01</t>
        </is>
      </c>
      <c r="B1878" s="2" t="inlineStr">
        <is>
          <t>PED00745</t>
        </is>
      </c>
      <c r="C1878" s="2" t="inlineStr">
        <is>
          <t>P022</t>
        </is>
      </c>
      <c r="D1878" s="2" t="n">
        <v>3</v>
      </c>
      <c r="E1878" s="19" t="n">
        <v>0</v>
      </c>
    </row>
    <row r="1879">
      <c r="A1879" s="2" t="inlineStr">
        <is>
          <t>IT00745_02</t>
        </is>
      </c>
      <c r="B1879" s="2" t="inlineStr">
        <is>
          <t>PED00745</t>
        </is>
      </c>
      <c r="C1879" s="2" t="inlineStr">
        <is>
          <t>P063</t>
        </is>
      </c>
      <c r="D1879" s="2" t="n">
        <v>1</v>
      </c>
      <c r="E1879" s="19" t="n">
        <v>0.1</v>
      </c>
    </row>
    <row r="1880">
      <c r="A1880" s="2" t="inlineStr">
        <is>
          <t>IT00746_01</t>
        </is>
      </c>
      <c r="B1880" s="2" t="inlineStr">
        <is>
          <t>PED00746</t>
        </is>
      </c>
      <c r="C1880" s="2" t="inlineStr">
        <is>
          <t>P056</t>
        </is>
      </c>
      <c r="D1880" s="2" t="n">
        <v>2</v>
      </c>
      <c r="E1880" s="19" t="n">
        <v>0.05</v>
      </c>
    </row>
    <row r="1881">
      <c r="A1881" s="2" t="inlineStr">
        <is>
          <t>IT00746_02</t>
        </is>
      </c>
      <c r="B1881" s="2" t="inlineStr">
        <is>
          <t>PED00746</t>
        </is>
      </c>
      <c r="C1881" s="2" t="inlineStr">
        <is>
          <t>P054</t>
        </is>
      </c>
      <c r="D1881" s="2" t="n">
        <v>1</v>
      </c>
      <c r="E1881" s="19" t="n">
        <v>0.02</v>
      </c>
    </row>
    <row r="1882">
      <c r="A1882" s="2" t="inlineStr">
        <is>
          <t>IT00746_03</t>
        </is>
      </c>
      <c r="B1882" s="2" t="inlineStr">
        <is>
          <t>PED00746</t>
        </is>
      </c>
      <c r="C1882" s="2" t="inlineStr">
        <is>
          <t>P008</t>
        </is>
      </c>
      <c r="D1882" s="2" t="n">
        <v>1</v>
      </c>
      <c r="E1882" s="19" t="n">
        <v>0</v>
      </c>
    </row>
    <row r="1883">
      <c r="A1883" s="2" t="inlineStr">
        <is>
          <t>IT00747_01</t>
        </is>
      </c>
      <c r="B1883" s="2" t="inlineStr">
        <is>
          <t>PED00747</t>
        </is>
      </c>
      <c r="C1883" s="2" t="inlineStr">
        <is>
          <t>P063</t>
        </is>
      </c>
      <c r="D1883" s="2" t="n">
        <v>1</v>
      </c>
      <c r="E1883" s="19" t="n">
        <v>0</v>
      </c>
    </row>
    <row r="1884">
      <c r="A1884" s="2" t="inlineStr">
        <is>
          <t>IT00748_01</t>
        </is>
      </c>
      <c r="B1884" s="2" t="inlineStr">
        <is>
          <t>PED00748</t>
        </is>
      </c>
      <c r="C1884" s="2" t="inlineStr">
        <is>
          <t>P049</t>
        </is>
      </c>
      <c r="D1884" s="2" t="n">
        <v>2</v>
      </c>
      <c r="E1884" s="19" t="n">
        <v>0</v>
      </c>
    </row>
    <row r="1885">
      <c r="A1885" s="2" t="inlineStr">
        <is>
          <t>IT00748_02</t>
        </is>
      </c>
      <c r="B1885" s="2" t="inlineStr">
        <is>
          <t>PED00748</t>
        </is>
      </c>
      <c r="C1885" s="2" t="inlineStr">
        <is>
          <t>P067</t>
        </is>
      </c>
      <c r="D1885" s="2" t="n">
        <v>3</v>
      </c>
      <c r="E1885" s="19" t="n">
        <v>0.1</v>
      </c>
    </row>
    <row r="1886">
      <c r="A1886" s="2" t="inlineStr">
        <is>
          <t>IT00748_03</t>
        </is>
      </c>
      <c r="B1886" s="2" t="inlineStr">
        <is>
          <t>PED00748</t>
        </is>
      </c>
      <c r="C1886" s="2" t="inlineStr">
        <is>
          <t>P006</t>
        </is>
      </c>
      <c r="D1886" s="2" t="n">
        <v>2</v>
      </c>
      <c r="E1886" s="19" t="n">
        <v>0</v>
      </c>
    </row>
    <row r="1887">
      <c r="A1887" s="2" t="inlineStr">
        <is>
          <t>IT00749_01</t>
        </is>
      </c>
      <c r="B1887" s="2" t="inlineStr">
        <is>
          <t>PED00749</t>
        </is>
      </c>
      <c r="C1887" s="2" t="inlineStr">
        <is>
          <t>P057</t>
        </is>
      </c>
      <c r="D1887" s="2" t="n">
        <v>1</v>
      </c>
      <c r="E1887" s="19" t="n">
        <v>0</v>
      </c>
    </row>
    <row r="1888">
      <c r="A1888" s="2" t="inlineStr">
        <is>
          <t>IT00749_02</t>
        </is>
      </c>
      <c r="B1888" s="2" t="inlineStr">
        <is>
          <t>PED00749</t>
        </is>
      </c>
      <c r="C1888" s="2" t="inlineStr">
        <is>
          <t>P059</t>
        </is>
      </c>
      <c r="D1888" s="2" t="n">
        <v>3</v>
      </c>
      <c r="E1888" s="19" t="n">
        <v>0.02</v>
      </c>
    </row>
    <row r="1889">
      <c r="A1889" s="2" t="inlineStr">
        <is>
          <t>IT00749_03</t>
        </is>
      </c>
      <c r="B1889" s="2" t="inlineStr">
        <is>
          <t>PED00749</t>
        </is>
      </c>
      <c r="C1889" s="2" t="inlineStr">
        <is>
          <t>P067</t>
        </is>
      </c>
      <c r="D1889" s="2" t="n">
        <v>2</v>
      </c>
      <c r="E1889" s="19" t="n">
        <v>0.05</v>
      </c>
    </row>
    <row r="1890">
      <c r="A1890" s="2" t="inlineStr">
        <is>
          <t>IT00750_01</t>
        </is>
      </c>
      <c r="B1890" s="2" t="inlineStr">
        <is>
          <t>PED00750</t>
        </is>
      </c>
      <c r="C1890" s="2" t="inlineStr">
        <is>
          <t>P004</t>
        </is>
      </c>
      <c r="D1890" s="2" t="n">
        <v>3</v>
      </c>
      <c r="E1890" s="19" t="n">
        <v>0</v>
      </c>
    </row>
    <row r="1891">
      <c r="A1891" s="2" t="inlineStr">
        <is>
          <t>IT00750_02</t>
        </is>
      </c>
      <c r="B1891" s="2" t="inlineStr">
        <is>
          <t>PED00750</t>
        </is>
      </c>
      <c r="C1891" s="2" t="inlineStr">
        <is>
          <t>P059</t>
        </is>
      </c>
      <c r="D1891" s="2" t="n">
        <v>5</v>
      </c>
      <c r="E1891" s="19" t="n">
        <v>0</v>
      </c>
    </row>
    <row r="1892">
      <c r="A1892" s="2" t="inlineStr">
        <is>
          <t>IT00750_03</t>
        </is>
      </c>
      <c r="B1892" s="2" t="inlineStr">
        <is>
          <t>PED00750</t>
        </is>
      </c>
      <c r="C1892" s="2" t="inlineStr">
        <is>
          <t>P033</t>
        </is>
      </c>
      <c r="D1892" s="2" t="n">
        <v>2</v>
      </c>
      <c r="E1892" s="19" t="n">
        <v>0</v>
      </c>
    </row>
    <row r="1893">
      <c r="A1893" s="2" t="inlineStr">
        <is>
          <t>IT00750_04</t>
        </is>
      </c>
      <c r="B1893" s="2" t="inlineStr">
        <is>
          <t>PED00750</t>
        </is>
      </c>
      <c r="C1893" s="2" t="inlineStr">
        <is>
          <t>P046</t>
        </is>
      </c>
      <c r="D1893" s="2" t="n">
        <v>2</v>
      </c>
      <c r="E1893" s="19" t="n">
        <v>0.1</v>
      </c>
    </row>
    <row r="1894">
      <c r="A1894" s="2" t="inlineStr">
        <is>
          <t>IT00751_01</t>
        </is>
      </c>
      <c r="B1894" s="2" t="inlineStr">
        <is>
          <t>PED00751</t>
        </is>
      </c>
      <c r="C1894" s="2" t="inlineStr">
        <is>
          <t>P045</t>
        </is>
      </c>
      <c r="D1894" s="2" t="n">
        <v>4</v>
      </c>
      <c r="E1894" s="19" t="n">
        <v>0</v>
      </c>
    </row>
    <row r="1895">
      <c r="A1895" s="2" t="inlineStr">
        <is>
          <t>IT00751_02</t>
        </is>
      </c>
      <c r="B1895" s="2" t="inlineStr">
        <is>
          <t>PED00751</t>
        </is>
      </c>
      <c r="C1895" s="2" t="inlineStr">
        <is>
          <t>P023</t>
        </is>
      </c>
      <c r="D1895" s="2" t="n">
        <v>2</v>
      </c>
      <c r="E1895" s="19" t="n">
        <v>0.02</v>
      </c>
    </row>
    <row r="1896">
      <c r="A1896" s="2" t="inlineStr">
        <is>
          <t>IT00751_03</t>
        </is>
      </c>
      <c r="B1896" s="2" t="inlineStr">
        <is>
          <t>PED00751</t>
        </is>
      </c>
      <c r="C1896" s="2" t="inlineStr">
        <is>
          <t>P064</t>
        </is>
      </c>
      <c r="D1896" s="2" t="n">
        <v>3</v>
      </c>
      <c r="E1896" s="19" t="n">
        <v>0</v>
      </c>
    </row>
    <row r="1897">
      <c r="A1897" s="2" t="inlineStr">
        <is>
          <t>IT00752_01</t>
        </is>
      </c>
      <c r="B1897" s="2" t="inlineStr">
        <is>
          <t>PED00752</t>
        </is>
      </c>
      <c r="C1897" s="2" t="inlineStr">
        <is>
          <t>P049</t>
        </is>
      </c>
      <c r="D1897" s="2" t="n">
        <v>1</v>
      </c>
      <c r="E1897" s="19" t="n">
        <v>0.05</v>
      </c>
    </row>
    <row r="1898">
      <c r="A1898" s="2" t="inlineStr">
        <is>
          <t>IT00753_01</t>
        </is>
      </c>
      <c r="B1898" s="2" t="inlineStr">
        <is>
          <t>PED00753</t>
        </is>
      </c>
      <c r="C1898" s="2" t="inlineStr">
        <is>
          <t>P042</t>
        </is>
      </c>
      <c r="D1898" s="2" t="n">
        <v>4</v>
      </c>
      <c r="E1898" s="19" t="n">
        <v>0.02</v>
      </c>
    </row>
    <row r="1899">
      <c r="A1899" s="2" t="inlineStr">
        <is>
          <t>IT00753_02</t>
        </is>
      </c>
      <c r="B1899" s="2" t="inlineStr">
        <is>
          <t>PED00753</t>
        </is>
      </c>
      <c r="C1899" s="2" t="inlineStr">
        <is>
          <t>P003</t>
        </is>
      </c>
      <c r="D1899" s="2" t="n">
        <v>2</v>
      </c>
      <c r="E1899" s="19" t="n">
        <v>0.02</v>
      </c>
    </row>
    <row r="1900">
      <c r="A1900" s="2" t="inlineStr">
        <is>
          <t>IT00753_03</t>
        </is>
      </c>
      <c r="B1900" s="2" t="inlineStr">
        <is>
          <t>PED00753</t>
        </is>
      </c>
      <c r="C1900" s="2" t="inlineStr">
        <is>
          <t>P015</t>
        </is>
      </c>
      <c r="D1900" s="2" t="n">
        <v>2</v>
      </c>
      <c r="E1900" s="19" t="n">
        <v>0</v>
      </c>
    </row>
    <row r="1901">
      <c r="A1901" s="2" t="inlineStr">
        <is>
          <t>IT00753_04</t>
        </is>
      </c>
      <c r="B1901" s="2" t="inlineStr">
        <is>
          <t>PED00753</t>
        </is>
      </c>
      <c r="C1901" s="2" t="inlineStr">
        <is>
          <t>P025</t>
        </is>
      </c>
      <c r="D1901" s="2" t="n">
        <v>2</v>
      </c>
      <c r="E1901" s="19" t="n">
        <v>0</v>
      </c>
    </row>
    <row r="1902">
      <c r="A1902" s="2" t="inlineStr">
        <is>
          <t>IT00753_05</t>
        </is>
      </c>
      <c r="B1902" s="2" t="inlineStr">
        <is>
          <t>PED00753</t>
        </is>
      </c>
      <c r="C1902" s="2" t="inlineStr">
        <is>
          <t>P040</t>
        </is>
      </c>
      <c r="D1902" s="2" t="n">
        <v>1</v>
      </c>
      <c r="E1902" s="19" t="n">
        <v>0</v>
      </c>
    </row>
    <row r="1903">
      <c r="A1903" s="2" t="inlineStr">
        <is>
          <t>IT00754_01</t>
        </is>
      </c>
      <c r="B1903" s="2" t="inlineStr">
        <is>
          <t>PED00754</t>
        </is>
      </c>
      <c r="C1903" s="2" t="inlineStr">
        <is>
          <t>P050</t>
        </is>
      </c>
      <c r="D1903" s="2" t="n">
        <v>1</v>
      </c>
      <c r="E1903" s="19" t="n">
        <v>0.1</v>
      </c>
    </row>
    <row r="1904">
      <c r="A1904" s="2" t="inlineStr">
        <is>
          <t>IT00755_01</t>
        </is>
      </c>
      <c r="B1904" s="2" t="inlineStr">
        <is>
          <t>PED00755</t>
        </is>
      </c>
      <c r="C1904" s="2" t="inlineStr">
        <is>
          <t>P020</t>
        </is>
      </c>
      <c r="D1904" s="2" t="n">
        <v>1</v>
      </c>
      <c r="E1904" s="19" t="n">
        <v>0</v>
      </c>
    </row>
    <row r="1905">
      <c r="A1905" s="2" t="inlineStr">
        <is>
          <t>IT00755_02</t>
        </is>
      </c>
      <c r="B1905" s="2" t="inlineStr">
        <is>
          <t>PED00755</t>
        </is>
      </c>
      <c r="C1905" s="2" t="inlineStr">
        <is>
          <t>P036</t>
        </is>
      </c>
      <c r="D1905" s="2" t="n">
        <v>2</v>
      </c>
      <c r="E1905" s="19" t="n">
        <v>0</v>
      </c>
    </row>
    <row r="1906">
      <c r="A1906" s="2" t="inlineStr">
        <is>
          <t>IT00756_01</t>
        </is>
      </c>
      <c r="B1906" s="2" t="inlineStr">
        <is>
          <t>PED00756</t>
        </is>
      </c>
      <c r="C1906" s="2" t="inlineStr">
        <is>
          <t>P062</t>
        </is>
      </c>
      <c r="D1906" s="2" t="n">
        <v>1</v>
      </c>
      <c r="E1906" s="19" t="n">
        <v>0.05</v>
      </c>
    </row>
    <row r="1907">
      <c r="A1907" s="2" t="inlineStr">
        <is>
          <t>IT00756_02</t>
        </is>
      </c>
      <c r="B1907" s="2" t="inlineStr">
        <is>
          <t>PED00756</t>
        </is>
      </c>
      <c r="C1907" s="2" t="inlineStr">
        <is>
          <t>P057</t>
        </is>
      </c>
      <c r="D1907" s="2" t="n">
        <v>2</v>
      </c>
      <c r="E1907" s="19" t="n">
        <v>0</v>
      </c>
    </row>
    <row r="1908">
      <c r="A1908" s="2" t="inlineStr">
        <is>
          <t>IT00756_03</t>
        </is>
      </c>
      <c r="B1908" s="2" t="inlineStr">
        <is>
          <t>PED00756</t>
        </is>
      </c>
      <c r="C1908" s="2" t="inlineStr">
        <is>
          <t>P054</t>
        </is>
      </c>
      <c r="D1908" s="2" t="n">
        <v>4</v>
      </c>
      <c r="E1908" s="19" t="n">
        <v>0.1</v>
      </c>
    </row>
    <row r="1909">
      <c r="A1909" s="2" t="inlineStr">
        <is>
          <t>IT00756_04</t>
        </is>
      </c>
      <c r="B1909" s="2" t="inlineStr">
        <is>
          <t>PED00756</t>
        </is>
      </c>
      <c r="C1909" s="2" t="inlineStr">
        <is>
          <t>P025</t>
        </is>
      </c>
      <c r="D1909" s="2" t="n">
        <v>3</v>
      </c>
      <c r="E1909" s="19" t="n">
        <v>0.02</v>
      </c>
    </row>
    <row r="1910">
      <c r="A1910" s="2" t="inlineStr">
        <is>
          <t>IT00757_01</t>
        </is>
      </c>
      <c r="B1910" s="2" t="inlineStr">
        <is>
          <t>PED00757</t>
        </is>
      </c>
      <c r="C1910" s="2" t="inlineStr">
        <is>
          <t>P046</t>
        </is>
      </c>
      <c r="D1910" s="2" t="n">
        <v>5</v>
      </c>
      <c r="E1910" s="19" t="n">
        <v>0</v>
      </c>
    </row>
    <row r="1911">
      <c r="A1911" s="2" t="inlineStr">
        <is>
          <t>IT00757_02</t>
        </is>
      </c>
      <c r="B1911" s="2" t="inlineStr">
        <is>
          <t>PED00757</t>
        </is>
      </c>
      <c r="C1911" s="2" t="inlineStr">
        <is>
          <t>P010</t>
        </is>
      </c>
      <c r="D1911" s="2" t="n">
        <v>4</v>
      </c>
      <c r="E1911" s="19" t="n">
        <v>0.1</v>
      </c>
    </row>
    <row r="1912">
      <c r="A1912" s="2" t="inlineStr">
        <is>
          <t>IT00758_01</t>
        </is>
      </c>
      <c r="B1912" s="2" t="inlineStr">
        <is>
          <t>PED00758</t>
        </is>
      </c>
      <c r="C1912" s="2" t="inlineStr">
        <is>
          <t>P069</t>
        </is>
      </c>
      <c r="D1912" s="2" t="n">
        <v>3</v>
      </c>
      <c r="E1912" s="19" t="n">
        <v>0</v>
      </c>
    </row>
    <row r="1913">
      <c r="A1913" s="2" t="inlineStr">
        <is>
          <t>IT00758_02</t>
        </is>
      </c>
      <c r="B1913" s="2" t="inlineStr">
        <is>
          <t>PED00758</t>
        </is>
      </c>
      <c r="C1913" s="2" t="inlineStr">
        <is>
          <t>P041</t>
        </is>
      </c>
      <c r="D1913" s="2" t="n">
        <v>3</v>
      </c>
      <c r="E1913" s="19" t="n">
        <v>0.02</v>
      </c>
    </row>
    <row r="1914">
      <c r="A1914" s="2" t="inlineStr">
        <is>
          <t>IT00758_03</t>
        </is>
      </c>
      <c r="B1914" s="2" t="inlineStr">
        <is>
          <t>PED00758</t>
        </is>
      </c>
      <c r="C1914" s="2" t="inlineStr">
        <is>
          <t>P014</t>
        </is>
      </c>
      <c r="D1914" s="2" t="n">
        <v>2</v>
      </c>
      <c r="E1914" s="19" t="n">
        <v>0</v>
      </c>
    </row>
    <row r="1915">
      <c r="A1915" s="2" t="inlineStr">
        <is>
          <t>IT00759_01</t>
        </is>
      </c>
      <c r="B1915" s="2" t="inlineStr">
        <is>
          <t>PED00759</t>
        </is>
      </c>
      <c r="C1915" s="2" t="inlineStr">
        <is>
          <t>P056</t>
        </is>
      </c>
      <c r="D1915" s="2" t="n">
        <v>5</v>
      </c>
      <c r="E1915" s="19" t="n">
        <v>0</v>
      </c>
    </row>
    <row r="1916">
      <c r="A1916" s="2" t="inlineStr">
        <is>
          <t>IT00759_02</t>
        </is>
      </c>
      <c r="B1916" s="2" t="inlineStr">
        <is>
          <t>PED00759</t>
        </is>
      </c>
      <c r="C1916" s="2" t="inlineStr">
        <is>
          <t>P009</t>
        </is>
      </c>
      <c r="D1916" s="2" t="n">
        <v>2</v>
      </c>
      <c r="E1916" s="19" t="n">
        <v>0</v>
      </c>
    </row>
    <row r="1917">
      <c r="A1917" s="2" t="inlineStr">
        <is>
          <t>IT00760_01</t>
        </is>
      </c>
      <c r="B1917" s="2" t="inlineStr">
        <is>
          <t>PED00760</t>
        </is>
      </c>
      <c r="C1917" s="2" t="inlineStr">
        <is>
          <t>P036</t>
        </is>
      </c>
      <c r="D1917" s="2" t="n">
        <v>2</v>
      </c>
      <c r="E1917" s="19" t="n">
        <v>0.05</v>
      </c>
    </row>
    <row r="1918">
      <c r="A1918" s="2" t="inlineStr">
        <is>
          <t>IT00761_01</t>
        </is>
      </c>
      <c r="B1918" s="2" t="inlineStr">
        <is>
          <t>PED00761</t>
        </is>
      </c>
      <c r="C1918" s="2" t="inlineStr">
        <is>
          <t>P058</t>
        </is>
      </c>
      <c r="D1918" s="2" t="n">
        <v>2</v>
      </c>
      <c r="E1918" s="19" t="n">
        <v>0.02</v>
      </c>
    </row>
    <row r="1919">
      <c r="A1919" s="2" t="inlineStr">
        <is>
          <t>IT00761_02</t>
        </is>
      </c>
      <c r="B1919" s="2" t="inlineStr">
        <is>
          <t>PED00761</t>
        </is>
      </c>
      <c r="C1919" s="2" t="inlineStr">
        <is>
          <t>P040</t>
        </is>
      </c>
      <c r="D1919" s="2" t="n">
        <v>1</v>
      </c>
      <c r="E1919" s="19" t="n">
        <v>0</v>
      </c>
    </row>
    <row r="1920">
      <c r="A1920" s="2" t="inlineStr">
        <is>
          <t>IT00762_01</t>
        </is>
      </c>
      <c r="B1920" s="2" t="inlineStr">
        <is>
          <t>PED00762</t>
        </is>
      </c>
      <c r="C1920" s="2" t="inlineStr">
        <is>
          <t>P007</t>
        </is>
      </c>
      <c r="D1920" s="2" t="n">
        <v>2</v>
      </c>
      <c r="E1920" s="19" t="n">
        <v>0</v>
      </c>
    </row>
    <row r="1921">
      <c r="A1921" s="2" t="inlineStr">
        <is>
          <t>IT00762_02</t>
        </is>
      </c>
      <c r="B1921" s="2" t="inlineStr">
        <is>
          <t>PED00762</t>
        </is>
      </c>
      <c r="C1921" s="2" t="inlineStr">
        <is>
          <t>P046</t>
        </is>
      </c>
      <c r="D1921" s="2" t="n">
        <v>3</v>
      </c>
      <c r="E1921" s="19" t="n">
        <v>0.02</v>
      </c>
    </row>
    <row r="1922">
      <c r="A1922" s="2" t="inlineStr">
        <is>
          <t>IT00762_03</t>
        </is>
      </c>
      <c r="B1922" s="2" t="inlineStr">
        <is>
          <t>PED00762</t>
        </is>
      </c>
      <c r="C1922" s="2" t="inlineStr">
        <is>
          <t>P016</t>
        </is>
      </c>
      <c r="D1922" s="2" t="n">
        <v>1</v>
      </c>
      <c r="E1922" s="19" t="n">
        <v>0</v>
      </c>
    </row>
    <row r="1923">
      <c r="A1923" s="2" t="inlineStr">
        <is>
          <t>IT00762_04</t>
        </is>
      </c>
      <c r="B1923" s="2" t="inlineStr">
        <is>
          <t>PED00762</t>
        </is>
      </c>
      <c r="C1923" s="2" t="inlineStr">
        <is>
          <t>P010</t>
        </is>
      </c>
      <c r="D1923" s="2" t="n">
        <v>3</v>
      </c>
      <c r="E1923" s="19" t="n">
        <v>0</v>
      </c>
    </row>
    <row r="1924">
      <c r="A1924" s="2" t="inlineStr">
        <is>
          <t>IT00763_01</t>
        </is>
      </c>
      <c r="B1924" s="2" t="inlineStr">
        <is>
          <t>PED00763</t>
        </is>
      </c>
      <c r="C1924" s="2" t="inlineStr">
        <is>
          <t>P050</t>
        </is>
      </c>
      <c r="D1924" s="2" t="n">
        <v>1</v>
      </c>
      <c r="E1924" s="19" t="n">
        <v>0</v>
      </c>
    </row>
    <row r="1925">
      <c r="A1925" s="2" t="inlineStr">
        <is>
          <t>IT00763_02</t>
        </is>
      </c>
      <c r="B1925" s="2" t="inlineStr">
        <is>
          <t>PED00763</t>
        </is>
      </c>
      <c r="C1925" s="2" t="inlineStr">
        <is>
          <t>P053</t>
        </is>
      </c>
      <c r="D1925" s="2" t="n">
        <v>3</v>
      </c>
      <c r="E1925" s="19" t="n">
        <v>0</v>
      </c>
    </row>
    <row r="1926">
      <c r="A1926" s="2" t="inlineStr">
        <is>
          <t>IT00764_01</t>
        </is>
      </c>
      <c r="B1926" s="2" t="inlineStr">
        <is>
          <t>PED00764</t>
        </is>
      </c>
      <c r="C1926" s="2" t="inlineStr">
        <is>
          <t>P052</t>
        </is>
      </c>
      <c r="D1926" s="2" t="n">
        <v>1</v>
      </c>
      <c r="E1926" s="19" t="n">
        <v>0</v>
      </c>
    </row>
    <row r="1927">
      <c r="A1927" s="2" t="inlineStr">
        <is>
          <t>IT00765_01</t>
        </is>
      </c>
      <c r="B1927" s="2" t="inlineStr">
        <is>
          <t>PED00765</t>
        </is>
      </c>
      <c r="C1927" s="2" t="inlineStr">
        <is>
          <t>P008</t>
        </is>
      </c>
      <c r="D1927" s="2" t="n">
        <v>10</v>
      </c>
      <c r="E1927" s="19" t="n">
        <v>0</v>
      </c>
    </row>
    <row r="1928">
      <c r="A1928" s="2" t="inlineStr">
        <is>
          <t>IT00766_01</t>
        </is>
      </c>
      <c r="B1928" s="2" t="inlineStr">
        <is>
          <t>PED00766</t>
        </is>
      </c>
      <c r="C1928" s="2" t="inlineStr">
        <is>
          <t>P040</t>
        </is>
      </c>
      <c r="D1928" s="2" t="n">
        <v>3</v>
      </c>
      <c r="E1928" s="19" t="n">
        <v>0</v>
      </c>
    </row>
    <row r="1929">
      <c r="A1929" s="2" t="inlineStr">
        <is>
          <t>IT00766_02</t>
        </is>
      </c>
      <c r="B1929" s="2" t="inlineStr">
        <is>
          <t>PED00766</t>
        </is>
      </c>
      <c r="C1929" s="2" t="inlineStr">
        <is>
          <t>P004</t>
        </is>
      </c>
      <c r="D1929" s="2" t="n">
        <v>1</v>
      </c>
      <c r="E1929" s="19" t="n">
        <v>0</v>
      </c>
    </row>
    <row r="1930">
      <c r="A1930" s="2" t="inlineStr">
        <is>
          <t>IT00767_01</t>
        </is>
      </c>
      <c r="B1930" s="2" t="inlineStr">
        <is>
          <t>PED00767</t>
        </is>
      </c>
      <c r="C1930" s="2" t="inlineStr">
        <is>
          <t>P020</t>
        </is>
      </c>
      <c r="D1930" s="2" t="n">
        <v>3</v>
      </c>
      <c r="E1930" s="19" t="n">
        <v>0.05</v>
      </c>
    </row>
    <row r="1931">
      <c r="A1931" s="2" t="inlineStr">
        <is>
          <t>IT00767_02</t>
        </is>
      </c>
      <c r="B1931" s="2" t="inlineStr">
        <is>
          <t>PED00767</t>
        </is>
      </c>
      <c r="C1931" s="2" t="inlineStr">
        <is>
          <t>P048</t>
        </is>
      </c>
      <c r="D1931" s="2" t="n">
        <v>1</v>
      </c>
      <c r="E1931" s="19" t="n">
        <v>0</v>
      </c>
    </row>
    <row r="1932">
      <c r="A1932" s="2" t="inlineStr">
        <is>
          <t>IT00767_03</t>
        </is>
      </c>
      <c r="B1932" s="2" t="inlineStr">
        <is>
          <t>PED00767</t>
        </is>
      </c>
      <c r="C1932" s="2" t="inlineStr">
        <is>
          <t>P023</t>
        </is>
      </c>
      <c r="D1932" s="2" t="n">
        <v>3</v>
      </c>
      <c r="E1932" s="19" t="n">
        <v>0</v>
      </c>
    </row>
    <row r="1933">
      <c r="A1933" s="2" t="inlineStr">
        <is>
          <t>IT00767_04</t>
        </is>
      </c>
      <c r="B1933" s="2" t="inlineStr">
        <is>
          <t>PED00767</t>
        </is>
      </c>
      <c r="C1933" s="2" t="inlineStr">
        <is>
          <t>P057</t>
        </is>
      </c>
      <c r="D1933" s="2" t="n">
        <v>1</v>
      </c>
      <c r="E1933" s="19" t="n">
        <v>0</v>
      </c>
    </row>
    <row r="1934">
      <c r="A1934" s="2" t="inlineStr">
        <is>
          <t>IT00768_01</t>
        </is>
      </c>
      <c r="B1934" s="2" t="inlineStr">
        <is>
          <t>PED00768</t>
        </is>
      </c>
      <c r="C1934" s="2" t="inlineStr">
        <is>
          <t>P013</t>
        </is>
      </c>
      <c r="D1934" s="2" t="n">
        <v>2</v>
      </c>
      <c r="E1934" s="19" t="n">
        <v>0</v>
      </c>
    </row>
    <row r="1935">
      <c r="A1935" s="2" t="inlineStr">
        <is>
          <t>IT00769_01</t>
        </is>
      </c>
      <c r="B1935" s="2" t="inlineStr">
        <is>
          <t>PED00769</t>
        </is>
      </c>
      <c r="C1935" s="2" t="inlineStr">
        <is>
          <t>P015</t>
        </is>
      </c>
      <c r="D1935" s="2" t="n">
        <v>1</v>
      </c>
      <c r="E1935" s="19" t="n">
        <v>0</v>
      </c>
    </row>
    <row r="1936">
      <c r="A1936" s="2" t="inlineStr">
        <is>
          <t>IT00769_02</t>
        </is>
      </c>
      <c r="B1936" s="2" t="inlineStr">
        <is>
          <t>PED00769</t>
        </is>
      </c>
      <c r="C1936" s="2" t="inlineStr">
        <is>
          <t>P009</t>
        </is>
      </c>
      <c r="D1936" s="2" t="n">
        <v>1</v>
      </c>
      <c r="E1936" s="19" t="n">
        <v>0.05</v>
      </c>
    </row>
    <row r="1937">
      <c r="A1937" s="2" t="inlineStr">
        <is>
          <t>IT00770_01</t>
        </is>
      </c>
      <c r="B1937" s="2" t="inlineStr">
        <is>
          <t>PED00770</t>
        </is>
      </c>
      <c r="C1937" s="2" t="inlineStr">
        <is>
          <t>P013</t>
        </is>
      </c>
      <c r="D1937" s="2" t="n">
        <v>4</v>
      </c>
      <c r="E1937" s="19" t="n">
        <v>0</v>
      </c>
    </row>
    <row r="1938">
      <c r="A1938" s="2" t="inlineStr">
        <is>
          <t>IT00770_02</t>
        </is>
      </c>
      <c r="B1938" s="2" t="inlineStr">
        <is>
          <t>PED00770</t>
        </is>
      </c>
      <c r="C1938" s="2" t="inlineStr">
        <is>
          <t>P067</t>
        </is>
      </c>
      <c r="D1938" s="2" t="n">
        <v>3</v>
      </c>
      <c r="E1938" s="19" t="n">
        <v>0</v>
      </c>
    </row>
    <row r="1939">
      <c r="A1939" s="2" t="inlineStr">
        <is>
          <t>IT00770_03</t>
        </is>
      </c>
      <c r="B1939" s="2" t="inlineStr">
        <is>
          <t>PED00770</t>
        </is>
      </c>
      <c r="C1939" s="2" t="inlineStr">
        <is>
          <t>P012</t>
        </is>
      </c>
      <c r="D1939" s="2" t="n">
        <v>3</v>
      </c>
      <c r="E1939" s="19" t="n">
        <v>0</v>
      </c>
    </row>
    <row r="1940">
      <c r="A1940" s="2" t="inlineStr">
        <is>
          <t>IT00770_04</t>
        </is>
      </c>
      <c r="B1940" s="2" t="inlineStr">
        <is>
          <t>PED00770</t>
        </is>
      </c>
      <c r="C1940" s="2" t="inlineStr">
        <is>
          <t>P042</t>
        </is>
      </c>
      <c r="D1940" s="2" t="n">
        <v>1</v>
      </c>
      <c r="E1940" s="19" t="n">
        <v>0</v>
      </c>
    </row>
    <row r="1941">
      <c r="A1941" s="2" t="inlineStr">
        <is>
          <t>IT00771_01</t>
        </is>
      </c>
      <c r="B1941" s="2" t="inlineStr">
        <is>
          <t>PED00771</t>
        </is>
      </c>
      <c r="C1941" s="2" t="inlineStr">
        <is>
          <t>P042</t>
        </is>
      </c>
      <c r="D1941" s="2" t="n">
        <v>2</v>
      </c>
      <c r="E1941" s="19" t="n">
        <v>0</v>
      </c>
    </row>
    <row r="1942">
      <c r="A1942" s="2" t="inlineStr">
        <is>
          <t>IT00771_02</t>
        </is>
      </c>
      <c r="B1942" s="2" t="inlineStr">
        <is>
          <t>PED00771</t>
        </is>
      </c>
      <c r="C1942" s="2" t="inlineStr">
        <is>
          <t>P062</t>
        </is>
      </c>
      <c r="D1942" s="2" t="n">
        <v>10</v>
      </c>
      <c r="E1942" s="19" t="n">
        <v>0.02</v>
      </c>
    </row>
    <row r="1943">
      <c r="A1943" s="2" t="inlineStr">
        <is>
          <t>IT00772_01</t>
        </is>
      </c>
      <c r="B1943" s="2" t="inlineStr">
        <is>
          <t>PED00772</t>
        </is>
      </c>
      <c r="C1943" s="2" t="inlineStr">
        <is>
          <t>P070</t>
        </is>
      </c>
      <c r="D1943" s="2" t="n">
        <v>3</v>
      </c>
      <c r="E1943" s="19" t="n">
        <v>0</v>
      </c>
    </row>
    <row r="1944">
      <c r="A1944" s="2" t="inlineStr">
        <is>
          <t>IT00772_02</t>
        </is>
      </c>
      <c r="B1944" s="2" t="inlineStr">
        <is>
          <t>PED00772</t>
        </is>
      </c>
      <c r="C1944" s="2" t="inlineStr">
        <is>
          <t>P023</t>
        </is>
      </c>
      <c r="D1944" s="2" t="n">
        <v>1</v>
      </c>
      <c r="E1944" s="19" t="n">
        <v>0</v>
      </c>
    </row>
    <row r="1945">
      <c r="A1945" s="2" t="inlineStr">
        <is>
          <t>IT00772_03</t>
        </is>
      </c>
      <c r="B1945" s="2" t="inlineStr">
        <is>
          <t>PED00772</t>
        </is>
      </c>
      <c r="C1945" s="2" t="inlineStr">
        <is>
          <t>P041</t>
        </is>
      </c>
      <c r="D1945" s="2" t="n">
        <v>1</v>
      </c>
      <c r="E1945" s="19" t="n">
        <v>0.1</v>
      </c>
    </row>
    <row r="1946">
      <c r="A1946" s="2" t="inlineStr">
        <is>
          <t>IT00773_01</t>
        </is>
      </c>
      <c r="B1946" s="2" t="inlineStr">
        <is>
          <t>PED00773</t>
        </is>
      </c>
      <c r="C1946" s="2" t="inlineStr">
        <is>
          <t>P059</t>
        </is>
      </c>
      <c r="D1946" s="2" t="n">
        <v>5</v>
      </c>
      <c r="E1946" s="19" t="n">
        <v>0.05</v>
      </c>
    </row>
    <row r="1947">
      <c r="A1947" s="2" t="inlineStr">
        <is>
          <t>IT00774_01</t>
        </is>
      </c>
      <c r="B1947" s="2" t="inlineStr">
        <is>
          <t>PED00774</t>
        </is>
      </c>
      <c r="C1947" s="2" t="inlineStr">
        <is>
          <t>P006</t>
        </is>
      </c>
      <c r="D1947" s="2" t="n">
        <v>4</v>
      </c>
      <c r="E1947" s="19" t="n">
        <v>0</v>
      </c>
    </row>
    <row r="1948">
      <c r="A1948" s="2" t="inlineStr">
        <is>
          <t>IT00774_02</t>
        </is>
      </c>
      <c r="B1948" s="2" t="inlineStr">
        <is>
          <t>PED00774</t>
        </is>
      </c>
      <c r="C1948" s="2" t="inlineStr">
        <is>
          <t>P049</t>
        </is>
      </c>
      <c r="D1948" s="2" t="n">
        <v>1</v>
      </c>
      <c r="E1948" s="19" t="n">
        <v>0.05</v>
      </c>
    </row>
    <row r="1949">
      <c r="A1949" s="2" t="inlineStr">
        <is>
          <t>IT00774_03</t>
        </is>
      </c>
      <c r="B1949" s="2" t="inlineStr">
        <is>
          <t>PED00774</t>
        </is>
      </c>
      <c r="C1949" s="2" t="inlineStr">
        <is>
          <t>P027</t>
        </is>
      </c>
      <c r="D1949" s="2" t="n">
        <v>2</v>
      </c>
      <c r="E1949" s="19" t="n">
        <v>0.05</v>
      </c>
    </row>
    <row r="1950">
      <c r="A1950" s="2" t="inlineStr">
        <is>
          <t>IT00775_01</t>
        </is>
      </c>
      <c r="B1950" s="2" t="inlineStr">
        <is>
          <t>PED00775</t>
        </is>
      </c>
      <c r="C1950" s="2" t="inlineStr">
        <is>
          <t>P019</t>
        </is>
      </c>
      <c r="D1950" s="2" t="n">
        <v>2</v>
      </c>
      <c r="E1950" s="19" t="n">
        <v>0</v>
      </c>
    </row>
    <row r="1951">
      <c r="A1951" s="2" t="inlineStr">
        <is>
          <t>IT00776_01</t>
        </is>
      </c>
      <c r="B1951" s="2" t="inlineStr">
        <is>
          <t>PED00776</t>
        </is>
      </c>
      <c r="C1951" s="2" t="inlineStr">
        <is>
          <t>P002</t>
        </is>
      </c>
      <c r="D1951" s="2" t="n">
        <v>3</v>
      </c>
      <c r="E1951" s="19" t="n">
        <v>0</v>
      </c>
    </row>
    <row r="1952">
      <c r="A1952" s="2" t="inlineStr">
        <is>
          <t>IT00776_02</t>
        </is>
      </c>
      <c r="B1952" s="2" t="inlineStr">
        <is>
          <t>PED00776</t>
        </is>
      </c>
      <c r="C1952" s="2" t="inlineStr">
        <is>
          <t>P054</t>
        </is>
      </c>
      <c r="D1952" s="2" t="n">
        <v>3</v>
      </c>
      <c r="E1952" s="19" t="n">
        <v>0</v>
      </c>
    </row>
    <row r="1953">
      <c r="A1953" s="2" t="inlineStr">
        <is>
          <t>IT00777_01</t>
        </is>
      </c>
      <c r="B1953" s="2" t="inlineStr">
        <is>
          <t>PED00777</t>
        </is>
      </c>
      <c r="C1953" s="2" t="inlineStr">
        <is>
          <t>P029</t>
        </is>
      </c>
      <c r="D1953" s="2" t="n">
        <v>2</v>
      </c>
      <c r="E1953" s="19" t="n">
        <v>0</v>
      </c>
    </row>
    <row r="1954">
      <c r="A1954" s="2" t="inlineStr">
        <is>
          <t>IT00777_02</t>
        </is>
      </c>
      <c r="B1954" s="2" t="inlineStr">
        <is>
          <t>PED00777</t>
        </is>
      </c>
      <c r="C1954" s="2" t="inlineStr">
        <is>
          <t>P010</t>
        </is>
      </c>
      <c r="D1954" s="2" t="n">
        <v>4</v>
      </c>
      <c r="E1954" s="19" t="n">
        <v>0</v>
      </c>
    </row>
    <row r="1955">
      <c r="A1955" s="2" t="inlineStr">
        <is>
          <t>IT00778_01</t>
        </is>
      </c>
      <c r="B1955" s="2" t="inlineStr">
        <is>
          <t>PED00778</t>
        </is>
      </c>
      <c r="C1955" s="2" t="inlineStr">
        <is>
          <t>P051</t>
        </is>
      </c>
      <c r="D1955" s="2" t="n">
        <v>1</v>
      </c>
      <c r="E1955" s="19" t="n">
        <v>0.05</v>
      </c>
    </row>
    <row r="1956">
      <c r="A1956" s="2" t="inlineStr">
        <is>
          <t>IT00778_02</t>
        </is>
      </c>
      <c r="B1956" s="2" t="inlineStr">
        <is>
          <t>PED00778</t>
        </is>
      </c>
      <c r="C1956" s="2" t="inlineStr">
        <is>
          <t>P037</t>
        </is>
      </c>
      <c r="D1956" s="2" t="n">
        <v>1</v>
      </c>
      <c r="E1956" s="19" t="n">
        <v>0.02</v>
      </c>
    </row>
    <row r="1957">
      <c r="A1957" s="2" t="inlineStr">
        <is>
          <t>IT00778_03</t>
        </is>
      </c>
      <c r="B1957" s="2" t="inlineStr">
        <is>
          <t>PED00778</t>
        </is>
      </c>
      <c r="C1957" s="2" t="inlineStr">
        <is>
          <t>P069</t>
        </is>
      </c>
      <c r="D1957" s="2" t="n">
        <v>1</v>
      </c>
      <c r="E1957" s="19" t="n">
        <v>0.05</v>
      </c>
    </row>
    <row r="1958">
      <c r="A1958" s="2" t="inlineStr">
        <is>
          <t>IT00779_01</t>
        </is>
      </c>
      <c r="B1958" s="2" t="inlineStr">
        <is>
          <t>PED00779</t>
        </is>
      </c>
      <c r="C1958" s="2" t="inlineStr">
        <is>
          <t>P015</t>
        </is>
      </c>
      <c r="D1958" s="2" t="n">
        <v>1</v>
      </c>
      <c r="E1958" s="19" t="n">
        <v>0</v>
      </c>
    </row>
    <row r="1959">
      <c r="A1959" s="2" t="inlineStr">
        <is>
          <t>IT00779_02</t>
        </is>
      </c>
      <c r="B1959" s="2" t="inlineStr">
        <is>
          <t>PED00779</t>
        </is>
      </c>
      <c r="C1959" s="2" t="inlineStr">
        <is>
          <t>P030</t>
        </is>
      </c>
      <c r="D1959" s="2" t="n">
        <v>1</v>
      </c>
      <c r="E1959" s="19" t="n">
        <v>0.02</v>
      </c>
    </row>
    <row r="1960">
      <c r="A1960" s="2" t="inlineStr">
        <is>
          <t>IT00780_01</t>
        </is>
      </c>
      <c r="B1960" s="2" t="inlineStr">
        <is>
          <t>PED00780</t>
        </is>
      </c>
      <c r="C1960" s="2" t="inlineStr">
        <is>
          <t>P006</t>
        </is>
      </c>
      <c r="D1960" s="2" t="n">
        <v>3</v>
      </c>
      <c r="E1960" s="19" t="n">
        <v>0.02</v>
      </c>
    </row>
    <row r="1961">
      <c r="A1961" s="2" t="inlineStr">
        <is>
          <t>IT00780_02</t>
        </is>
      </c>
      <c r="B1961" s="2" t="inlineStr">
        <is>
          <t>PED00780</t>
        </is>
      </c>
      <c r="C1961" s="2" t="inlineStr">
        <is>
          <t>P065</t>
        </is>
      </c>
      <c r="D1961" s="2" t="n">
        <v>1</v>
      </c>
      <c r="E1961" s="19" t="n">
        <v>0</v>
      </c>
    </row>
    <row r="1962">
      <c r="A1962" s="2" t="inlineStr">
        <is>
          <t>IT00780_03</t>
        </is>
      </c>
      <c r="B1962" s="2" t="inlineStr">
        <is>
          <t>PED00780</t>
        </is>
      </c>
      <c r="C1962" s="2" t="inlineStr">
        <is>
          <t>P025</t>
        </is>
      </c>
      <c r="D1962" s="2" t="n">
        <v>1</v>
      </c>
      <c r="E1962" s="19" t="n">
        <v>0.05</v>
      </c>
    </row>
    <row r="1963">
      <c r="A1963" s="2" t="inlineStr">
        <is>
          <t>IT00781_01</t>
        </is>
      </c>
      <c r="B1963" s="2" t="inlineStr">
        <is>
          <t>PED00781</t>
        </is>
      </c>
      <c r="C1963" s="2" t="inlineStr">
        <is>
          <t>P038</t>
        </is>
      </c>
      <c r="D1963" s="2" t="n">
        <v>1</v>
      </c>
      <c r="E1963" s="19" t="n">
        <v>0</v>
      </c>
    </row>
    <row r="1964">
      <c r="A1964" s="2" t="inlineStr">
        <is>
          <t>IT00781_02</t>
        </is>
      </c>
      <c r="B1964" s="2" t="inlineStr">
        <is>
          <t>PED00781</t>
        </is>
      </c>
      <c r="C1964" s="2" t="inlineStr">
        <is>
          <t>P065</t>
        </is>
      </c>
      <c r="D1964" s="2" t="n">
        <v>1</v>
      </c>
      <c r="E1964" s="19" t="n">
        <v>0.02</v>
      </c>
    </row>
    <row r="1965">
      <c r="A1965" s="2" t="inlineStr">
        <is>
          <t>IT00782_01</t>
        </is>
      </c>
      <c r="B1965" s="2" t="inlineStr">
        <is>
          <t>PED00782</t>
        </is>
      </c>
      <c r="C1965" s="2" t="inlineStr">
        <is>
          <t>P019</t>
        </is>
      </c>
      <c r="D1965" s="2" t="n">
        <v>1</v>
      </c>
      <c r="E1965" s="19" t="n">
        <v>0</v>
      </c>
    </row>
    <row r="1966">
      <c r="A1966" s="2" t="inlineStr">
        <is>
          <t>IT00782_02</t>
        </is>
      </c>
      <c r="B1966" s="2" t="inlineStr">
        <is>
          <t>PED00782</t>
        </is>
      </c>
      <c r="C1966" s="2" t="inlineStr">
        <is>
          <t>P041</t>
        </is>
      </c>
      <c r="D1966" s="2" t="n">
        <v>2</v>
      </c>
      <c r="E1966" s="19" t="n">
        <v>0</v>
      </c>
    </row>
    <row r="1967">
      <c r="A1967" s="2" t="inlineStr">
        <is>
          <t>IT00782_03</t>
        </is>
      </c>
      <c r="B1967" s="2" t="inlineStr">
        <is>
          <t>PED00782</t>
        </is>
      </c>
      <c r="C1967" s="2" t="inlineStr">
        <is>
          <t>P008</t>
        </is>
      </c>
      <c r="D1967" s="2" t="n">
        <v>3</v>
      </c>
      <c r="E1967" s="19" t="n">
        <v>0.02</v>
      </c>
    </row>
    <row r="1968">
      <c r="A1968" s="2" t="inlineStr">
        <is>
          <t>IT00783_01</t>
        </is>
      </c>
      <c r="B1968" s="2" t="inlineStr">
        <is>
          <t>PED00783</t>
        </is>
      </c>
      <c r="C1968" s="2" t="inlineStr">
        <is>
          <t>P008</t>
        </is>
      </c>
      <c r="D1968" s="2" t="n">
        <v>3</v>
      </c>
      <c r="E1968" s="19" t="n">
        <v>0</v>
      </c>
    </row>
    <row r="1969">
      <c r="A1969" s="2" t="inlineStr">
        <is>
          <t>IT00783_02</t>
        </is>
      </c>
      <c r="B1969" s="2" t="inlineStr">
        <is>
          <t>PED00783</t>
        </is>
      </c>
      <c r="C1969" s="2" t="inlineStr">
        <is>
          <t>P050</t>
        </is>
      </c>
      <c r="D1969" s="2" t="n">
        <v>1</v>
      </c>
      <c r="E1969" s="19" t="n">
        <v>0</v>
      </c>
    </row>
    <row r="1970">
      <c r="A1970" s="2" t="inlineStr">
        <is>
          <t>IT00784_01</t>
        </is>
      </c>
      <c r="B1970" s="2" t="inlineStr">
        <is>
          <t>PED00784</t>
        </is>
      </c>
      <c r="C1970" s="2" t="inlineStr">
        <is>
          <t>P050</t>
        </is>
      </c>
      <c r="D1970" s="2" t="n">
        <v>4</v>
      </c>
      <c r="E1970" s="19" t="n">
        <v>0</v>
      </c>
    </row>
    <row r="1971">
      <c r="A1971" s="2" t="inlineStr">
        <is>
          <t>IT00784_02</t>
        </is>
      </c>
      <c r="B1971" s="2" t="inlineStr">
        <is>
          <t>PED00784</t>
        </is>
      </c>
      <c r="C1971" s="2" t="inlineStr">
        <is>
          <t>P037</t>
        </is>
      </c>
      <c r="D1971" s="2" t="n">
        <v>2</v>
      </c>
      <c r="E1971" s="19" t="n">
        <v>0</v>
      </c>
    </row>
    <row r="1972">
      <c r="A1972" s="2" t="inlineStr">
        <is>
          <t>IT00784_03</t>
        </is>
      </c>
      <c r="B1972" s="2" t="inlineStr">
        <is>
          <t>PED00784</t>
        </is>
      </c>
      <c r="C1972" s="2" t="inlineStr">
        <is>
          <t>P058</t>
        </is>
      </c>
      <c r="D1972" s="2" t="n">
        <v>10</v>
      </c>
      <c r="E1972" s="19" t="n">
        <v>0</v>
      </c>
    </row>
    <row r="1973">
      <c r="A1973" s="2" t="inlineStr">
        <is>
          <t>IT00785_01</t>
        </is>
      </c>
      <c r="B1973" s="2" t="inlineStr">
        <is>
          <t>PED00785</t>
        </is>
      </c>
      <c r="C1973" s="2" t="inlineStr">
        <is>
          <t>P023</t>
        </is>
      </c>
      <c r="D1973" s="2" t="n">
        <v>4</v>
      </c>
      <c r="E1973" s="19" t="n">
        <v>0</v>
      </c>
    </row>
    <row r="1974">
      <c r="A1974" s="2" t="inlineStr">
        <is>
          <t>IT00785_02</t>
        </is>
      </c>
      <c r="B1974" s="2" t="inlineStr">
        <is>
          <t>PED00785</t>
        </is>
      </c>
      <c r="C1974" s="2" t="inlineStr">
        <is>
          <t>P050</t>
        </is>
      </c>
      <c r="D1974" s="2" t="n">
        <v>1</v>
      </c>
      <c r="E1974" s="19" t="n">
        <v>0.05</v>
      </c>
    </row>
    <row r="1975">
      <c r="A1975" s="2" t="inlineStr">
        <is>
          <t>IT00785_03</t>
        </is>
      </c>
      <c r="B1975" s="2" t="inlineStr">
        <is>
          <t>PED00785</t>
        </is>
      </c>
      <c r="C1975" s="2" t="inlineStr">
        <is>
          <t>P033</t>
        </is>
      </c>
      <c r="D1975" s="2" t="n">
        <v>1</v>
      </c>
      <c r="E1975" s="19" t="n">
        <v>0</v>
      </c>
    </row>
    <row r="1976">
      <c r="A1976" s="2" t="inlineStr">
        <is>
          <t>IT00786_01</t>
        </is>
      </c>
      <c r="B1976" s="2" t="inlineStr">
        <is>
          <t>PED00786</t>
        </is>
      </c>
      <c r="C1976" s="2" t="inlineStr">
        <is>
          <t>P052</t>
        </is>
      </c>
      <c r="D1976" s="2" t="n">
        <v>2</v>
      </c>
      <c r="E1976" s="19" t="n">
        <v>0</v>
      </c>
    </row>
    <row r="1977">
      <c r="A1977" s="2" t="inlineStr">
        <is>
          <t>IT00787_01</t>
        </is>
      </c>
      <c r="B1977" s="2" t="inlineStr">
        <is>
          <t>PED00787</t>
        </is>
      </c>
      <c r="C1977" s="2" t="inlineStr">
        <is>
          <t>P068</t>
        </is>
      </c>
      <c r="D1977" s="2" t="n">
        <v>1</v>
      </c>
      <c r="E1977" s="19" t="n">
        <v>0</v>
      </c>
    </row>
    <row r="1978">
      <c r="A1978" s="2" t="inlineStr">
        <is>
          <t>IT00788_01</t>
        </is>
      </c>
      <c r="B1978" s="2" t="inlineStr">
        <is>
          <t>PED00788</t>
        </is>
      </c>
      <c r="C1978" s="2" t="inlineStr">
        <is>
          <t>P060</t>
        </is>
      </c>
      <c r="D1978" s="2" t="n">
        <v>1</v>
      </c>
      <c r="E1978" s="19" t="n">
        <v>0</v>
      </c>
    </row>
    <row r="1979">
      <c r="A1979" s="2" t="inlineStr">
        <is>
          <t>IT00788_02</t>
        </is>
      </c>
      <c r="B1979" s="2" t="inlineStr">
        <is>
          <t>PED00788</t>
        </is>
      </c>
      <c r="C1979" s="2" t="inlineStr">
        <is>
          <t>P053</t>
        </is>
      </c>
      <c r="D1979" s="2" t="n">
        <v>1</v>
      </c>
      <c r="E1979" s="19" t="n">
        <v>0</v>
      </c>
    </row>
    <row r="1980">
      <c r="A1980" s="2" t="inlineStr">
        <is>
          <t>IT00789_01</t>
        </is>
      </c>
      <c r="B1980" s="2" t="inlineStr">
        <is>
          <t>PED00789</t>
        </is>
      </c>
      <c r="C1980" s="2" t="inlineStr">
        <is>
          <t>P007</t>
        </is>
      </c>
      <c r="D1980" s="2" t="n">
        <v>1</v>
      </c>
      <c r="E1980" s="19" t="n">
        <v>0.05</v>
      </c>
    </row>
    <row r="1981">
      <c r="A1981" s="2" t="inlineStr">
        <is>
          <t>IT00789_02</t>
        </is>
      </c>
      <c r="B1981" s="2" t="inlineStr">
        <is>
          <t>PED00789</t>
        </is>
      </c>
      <c r="C1981" s="2" t="inlineStr">
        <is>
          <t>P026</t>
        </is>
      </c>
      <c r="D1981" s="2" t="n">
        <v>2</v>
      </c>
      <c r="E1981" s="19" t="n">
        <v>0.05</v>
      </c>
    </row>
    <row r="1982">
      <c r="A1982" s="2" t="inlineStr">
        <is>
          <t>IT00789_03</t>
        </is>
      </c>
      <c r="B1982" s="2" t="inlineStr">
        <is>
          <t>PED00789</t>
        </is>
      </c>
      <c r="C1982" s="2" t="inlineStr">
        <is>
          <t>P028</t>
        </is>
      </c>
      <c r="D1982" s="2" t="n">
        <v>2</v>
      </c>
      <c r="E1982" s="19" t="n">
        <v>0.05</v>
      </c>
    </row>
    <row r="1983">
      <c r="A1983" s="2" t="inlineStr">
        <is>
          <t>IT00790_01</t>
        </is>
      </c>
      <c r="B1983" s="2" t="inlineStr">
        <is>
          <t>PED00790</t>
        </is>
      </c>
      <c r="C1983" s="2" t="inlineStr">
        <is>
          <t>P020</t>
        </is>
      </c>
      <c r="D1983" s="2" t="n">
        <v>1</v>
      </c>
      <c r="E1983" s="19" t="n">
        <v>0</v>
      </c>
    </row>
    <row r="1984">
      <c r="A1984" s="2" t="inlineStr">
        <is>
          <t>IT00790_02</t>
        </is>
      </c>
      <c r="B1984" s="2" t="inlineStr">
        <is>
          <t>PED00790</t>
        </is>
      </c>
      <c r="C1984" s="2" t="inlineStr">
        <is>
          <t>P052</t>
        </is>
      </c>
      <c r="D1984" s="2" t="n">
        <v>1</v>
      </c>
      <c r="E1984" s="19" t="n">
        <v>0.02</v>
      </c>
    </row>
    <row r="1985">
      <c r="A1985" s="2" t="inlineStr">
        <is>
          <t>IT00790_03</t>
        </is>
      </c>
      <c r="B1985" s="2" t="inlineStr">
        <is>
          <t>PED00790</t>
        </is>
      </c>
      <c r="C1985" s="2" t="inlineStr">
        <is>
          <t>P026</t>
        </is>
      </c>
      <c r="D1985" s="2" t="n">
        <v>3</v>
      </c>
      <c r="E1985" s="19" t="n">
        <v>0</v>
      </c>
    </row>
    <row r="1986">
      <c r="A1986" s="2" t="inlineStr">
        <is>
          <t>IT00791_01</t>
        </is>
      </c>
      <c r="B1986" s="2" t="inlineStr">
        <is>
          <t>PED00791</t>
        </is>
      </c>
      <c r="C1986" s="2" t="inlineStr">
        <is>
          <t>P007</t>
        </is>
      </c>
      <c r="D1986" s="2" t="n">
        <v>1</v>
      </c>
      <c r="E1986" s="19" t="n">
        <v>0</v>
      </c>
    </row>
    <row r="1987">
      <c r="A1987" s="2" t="inlineStr">
        <is>
          <t>IT00792_01</t>
        </is>
      </c>
      <c r="B1987" s="2" t="inlineStr">
        <is>
          <t>PED00792</t>
        </is>
      </c>
      <c r="C1987" s="2" t="inlineStr">
        <is>
          <t>P041</t>
        </is>
      </c>
      <c r="D1987" s="2" t="n">
        <v>1</v>
      </c>
      <c r="E1987" s="19" t="n">
        <v>0</v>
      </c>
    </row>
    <row r="1988">
      <c r="A1988" s="2" t="inlineStr">
        <is>
          <t>IT00792_02</t>
        </is>
      </c>
      <c r="B1988" s="2" t="inlineStr">
        <is>
          <t>PED00792</t>
        </is>
      </c>
      <c r="C1988" s="2" t="inlineStr">
        <is>
          <t>P058</t>
        </is>
      </c>
      <c r="D1988" s="2" t="n">
        <v>1</v>
      </c>
      <c r="E1988" s="19" t="n">
        <v>0.05</v>
      </c>
    </row>
    <row r="1989">
      <c r="A1989" s="2" t="inlineStr">
        <is>
          <t>IT00792_03</t>
        </is>
      </c>
      <c r="B1989" s="2" t="inlineStr">
        <is>
          <t>PED00792</t>
        </is>
      </c>
      <c r="C1989" s="2" t="inlineStr">
        <is>
          <t>P061</t>
        </is>
      </c>
      <c r="D1989" s="2" t="n">
        <v>1</v>
      </c>
      <c r="E1989" s="19" t="n">
        <v>0.05</v>
      </c>
    </row>
    <row r="1990">
      <c r="A1990" s="2" t="inlineStr">
        <is>
          <t>IT00793_01</t>
        </is>
      </c>
      <c r="B1990" s="2" t="inlineStr">
        <is>
          <t>PED00793</t>
        </is>
      </c>
      <c r="C1990" s="2" t="inlineStr">
        <is>
          <t>P061</t>
        </is>
      </c>
      <c r="D1990" s="2" t="n">
        <v>5</v>
      </c>
      <c r="E1990" s="19" t="n">
        <v>0.02</v>
      </c>
    </row>
    <row r="1991">
      <c r="A1991" s="2" t="inlineStr">
        <is>
          <t>IT00793_02</t>
        </is>
      </c>
      <c r="B1991" s="2" t="inlineStr">
        <is>
          <t>PED00793</t>
        </is>
      </c>
      <c r="C1991" s="2" t="inlineStr">
        <is>
          <t>P036</t>
        </is>
      </c>
      <c r="D1991" s="2" t="n">
        <v>1</v>
      </c>
      <c r="E1991" s="19" t="n">
        <v>0</v>
      </c>
    </row>
    <row r="1992">
      <c r="A1992" s="2" t="inlineStr">
        <is>
          <t>IT00793_03</t>
        </is>
      </c>
      <c r="B1992" s="2" t="inlineStr">
        <is>
          <t>PED00793</t>
        </is>
      </c>
      <c r="C1992" s="2" t="inlineStr">
        <is>
          <t>P032</t>
        </is>
      </c>
      <c r="D1992" s="2" t="n">
        <v>3</v>
      </c>
      <c r="E1992" s="19" t="n">
        <v>0</v>
      </c>
    </row>
    <row r="1993">
      <c r="A1993" s="2" t="inlineStr">
        <is>
          <t>IT00794_01</t>
        </is>
      </c>
      <c r="B1993" s="2" t="inlineStr">
        <is>
          <t>PED00794</t>
        </is>
      </c>
      <c r="C1993" s="2" t="inlineStr">
        <is>
          <t>P047</t>
        </is>
      </c>
      <c r="D1993" s="2" t="n">
        <v>5</v>
      </c>
      <c r="E1993" s="19" t="n">
        <v>0.05</v>
      </c>
    </row>
    <row r="1994">
      <c r="A1994" s="2" t="inlineStr">
        <is>
          <t>IT00794_02</t>
        </is>
      </c>
      <c r="B1994" s="2" t="inlineStr">
        <is>
          <t>PED00794</t>
        </is>
      </c>
      <c r="C1994" s="2" t="inlineStr">
        <is>
          <t>P057</t>
        </is>
      </c>
      <c r="D1994" s="2" t="n">
        <v>2</v>
      </c>
      <c r="E1994" s="19" t="n">
        <v>0.05</v>
      </c>
    </row>
    <row r="1995">
      <c r="A1995" s="2" t="inlineStr">
        <is>
          <t>IT00794_03</t>
        </is>
      </c>
      <c r="B1995" s="2" t="inlineStr">
        <is>
          <t>PED00794</t>
        </is>
      </c>
      <c r="C1995" s="2" t="inlineStr">
        <is>
          <t>P024</t>
        </is>
      </c>
      <c r="D1995" s="2" t="n">
        <v>10</v>
      </c>
      <c r="E1995" s="19" t="n">
        <v>0.05</v>
      </c>
    </row>
    <row r="1996">
      <c r="A1996" s="2" t="inlineStr">
        <is>
          <t>IT00794_04</t>
        </is>
      </c>
      <c r="B1996" s="2" t="inlineStr">
        <is>
          <t>PED00794</t>
        </is>
      </c>
      <c r="C1996" s="2" t="inlineStr">
        <is>
          <t>P058</t>
        </is>
      </c>
      <c r="D1996" s="2" t="n">
        <v>1</v>
      </c>
      <c r="E1996" s="19" t="n">
        <v>0</v>
      </c>
    </row>
    <row r="1997">
      <c r="A1997" s="2" t="inlineStr">
        <is>
          <t>IT00794_05</t>
        </is>
      </c>
      <c r="B1997" s="2" t="inlineStr">
        <is>
          <t>PED00794</t>
        </is>
      </c>
      <c r="C1997" s="2" t="inlineStr">
        <is>
          <t>P003</t>
        </is>
      </c>
      <c r="D1997" s="2" t="n">
        <v>1</v>
      </c>
      <c r="E1997" s="19" t="n">
        <v>0</v>
      </c>
    </row>
    <row r="1998">
      <c r="A1998" s="2" t="inlineStr">
        <is>
          <t>IT00795_01</t>
        </is>
      </c>
      <c r="B1998" s="2" t="inlineStr">
        <is>
          <t>PED00795</t>
        </is>
      </c>
      <c r="C1998" s="2" t="inlineStr">
        <is>
          <t>P011</t>
        </is>
      </c>
      <c r="D1998" s="2" t="n">
        <v>10</v>
      </c>
      <c r="E1998" s="19" t="n">
        <v>0</v>
      </c>
    </row>
    <row r="1999">
      <c r="A1999" s="2" t="inlineStr">
        <is>
          <t>IT00795_02</t>
        </is>
      </c>
      <c r="B1999" s="2" t="inlineStr">
        <is>
          <t>PED00795</t>
        </is>
      </c>
      <c r="C1999" s="2" t="inlineStr">
        <is>
          <t>P046</t>
        </is>
      </c>
      <c r="D1999" s="2" t="n">
        <v>1</v>
      </c>
      <c r="E1999" s="19" t="n">
        <v>0</v>
      </c>
    </row>
    <row r="2000">
      <c r="A2000" s="2" t="inlineStr">
        <is>
          <t>IT00795_03</t>
        </is>
      </c>
      <c r="B2000" s="2" t="inlineStr">
        <is>
          <t>PED00795</t>
        </is>
      </c>
      <c r="C2000" s="2" t="inlineStr">
        <is>
          <t>P064</t>
        </is>
      </c>
      <c r="D2000" s="2" t="n">
        <v>10</v>
      </c>
      <c r="E2000" s="19" t="n">
        <v>0.05</v>
      </c>
    </row>
    <row r="2001">
      <c r="A2001" s="2" t="inlineStr">
        <is>
          <t>IT00795_04</t>
        </is>
      </c>
      <c r="B2001" s="2" t="inlineStr">
        <is>
          <t>PED00795</t>
        </is>
      </c>
      <c r="C2001" s="2" t="inlineStr">
        <is>
          <t>P003</t>
        </is>
      </c>
      <c r="D2001" s="2" t="n">
        <v>1</v>
      </c>
      <c r="E2001" s="19" t="n">
        <v>0</v>
      </c>
    </row>
    <row r="2002">
      <c r="A2002" s="2" t="inlineStr">
        <is>
          <t>IT00795_05</t>
        </is>
      </c>
      <c r="B2002" s="2" t="inlineStr">
        <is>
          <t>PED00795</t>
        </is>
      </c>
      <c r="C2002" s="2" t="inlineStr">
        <is>
          <t>P054</t>
        </is>
      </c>
      <c r="D2002" s="2" t="n">
        <v>1</v>
      </c>
      <c r="E2002" s="19" t="n">
        <v>0</v>
      </c>
    </row>
    <row r="2003">
      <c r="A2003" s="2" t="inlineStr">
        <is>
          <t>IT00796_01</t>
        </is>
      </c>
      <c r="B2003" s="2" t="inlineStr">
        <is>
          <t>PED00796</t>
        </is>
      </c>
      <c r="C2003" s="2" t="inlineStr">
        <is>
          <t>P059</t>
        </is>
      </c>
      <c r="D2003" s="2" t="n">
        <v>2</v>
      </c>
      <c r="E2003" s="19" t="n">
        <v>0</v>
      </c>
    </row>
    <row r="2004">
      <c r="A2004" s="2" t="inlineStr">
        <is>
          <t>IT00796_02</t>
        </is>
      </c>
      <c r="B2004" s="2" t="inlineStr">
        <is>
          <t>PED00796</t>
        </is>
      </c>
      <c r="C2004" s="2" t="inlineStr">
        <is>
          <t>P011</t>
        </is>
      </c>
      <c r="D2004" s="2" t="n">
        <v>5</v>
      </c>
      <c r="E2004" s="19" t="n">
        <v>0</v>
      </c>
    </row>
    <row r="2005">
      <c r="A2005" s="2" t="inlineStr">
        <is>
          <t>IT00796_03</t>
        </is>
      </c>
      <c r="B2005" s="2" t="inlineStr">
        <is>
          <t>PED00796</t>
        </is>
      </c>
      <c r="C2005" s="2" t="inlineStr">
        <is>
          <t>P043</t>
        </is>
      </c>
      <c r="D2005" s="2" t="n">
        <v>3</v>
      </c>
      <c r="E2005" s="19" t="n">
        <v>0</v>
      </c>
    </row>
    <row r="2006">
      <c r="A2006" s="2" t="inlineStr">
        <is>
          <t>IT00797_01</t>
        </is>
      </c>
      <c r="B2006" s="2" t="inlineStr">
        <is>
          <t>PED00797</t>
        </is>
      </c>
      <c r="C2006" s="2" t="inlineStr">
        <is>
          <t>P043</t>
        </is>
      </c>
      <c r="D2006" s="2" t="n">
        <v>4</v>
      </c>
      <c r="E2006" s="19" t="n">
        <v>0.02</v>
      </c>
    </row>
    <row r="2007">
      <c r="A2007" s="2" t="inlineStr">
        <is>
          <t>IT00797_02</t>
        </is>
      </c>
      <c r="B2007" s="2" t="inlineStr">
        <is>
          <t>PED00797</t>
        </is>
      </c>
      <c r="C2007" s="2" t="inlineStr">
        <is>
          <t>P047</t>
        </is>
      </c>
      <c r="D2007" s="2" t="n">
        <v>1</v>
      </c>
      <c r="E2007" s="19" t="n">
        <v>0</v>
      </c>
    </row>
    <row r="2008">
      <c r="A2008" s="2" t="inlineStr">
        <is>
          <t>IT00797_03</t>
        </is>
      </c>
      <c r="B2008" s="2" t="inlineStr">
        <is>
          <t>PED00797</t>
        </is>
      </c>
      <c r="C2008" s="2" t="inlineStr">
        <is>
          <t>P066</t>
        </is>
      </c>
      <c r="D2008" s="2" t="n">
        <v>5</v>
      </c>
      <c r="E2008" s="19" t="n">
        <v>0.02</v>
      </c>
    </row>
    <row r="2009">
      <c r="A2009" s="2" t="inlineStr">
        <is>
          <t>IT00798_01</t>
        </is>
      </c>
      <c r="B2009" s="2" t="inlineStr">
        <is>
          <t>PED00798</t>
        </is>
      </c>
      <c r="C2009" s="2" t="inlineStr">
        <is>
          <t>P041</t>
        </is>
      </c>
      <c r="D2009" s="2" t="n">
        <v>1</v>
      </c>
      <c r="E2009" s="19" t="n">
        <v>0</v>
      </c>
    </row>
    <row r="2010">
      <c r="A2010" s="2" t="inlineStr">
        <is>
          <t>IT00798_02</t>
        </is>
      </c>
      <c r="B2010" s="2" t="inlineStr">
        <is>
          <t>PED00798</t>
        </is>
      </c>
      <c r="C2010" s="2" t="inlineStr">
        <is>
          <t>P066</t>
        </is>
      </c>
      <c r="D2010" s="2" t="n">
        <v>3</v>
      </c>
      <c r="E2010" s="19" t="n">
        <v>0</v>
      </c>
    </row>
    <row r="2011">
      <c r="A2011" s="2" t="inlineStr">
        <is>
          <t>IT00798_03</t>
        </is>
      </c>
      <c r="B2011" s="2" t="inlineStr">
        <is>
          <t>PED00798</t>
        </is>
      </c>
      <c r="C2011" s="2" t="inlineStr">
        <is>
          <t>P015</t>
        </is>
      </c>
      <c r="D2011" s="2" t="n">
        <v>1</v>
      </c>
      <c r="E2011" s="19" t="n">
        <v>0</v>
      </c>
    </row>
    <row r="2012">
      <c r="A2012" s="2" t="inlineStr">
        <is>
          <t>IT00799_01</t>
        </is>
      </c>
      <c r="B2012" s="2" t="inlineStr">
        <is>
          <t>PED00799</t>
        </is>
      </c>
      <c r="C2012" s="2" t="inlineStr">
        <is>
          <t>P010</t>
        </is>
      </c>
      <c r="D2012" s="2" t="n">
        <v>3</v>
      </c>
      <c r="E2012" s="19" t="n">
        <v>0</v>
      </c>
    </row>
    <row r="2013">
      <c r="A2013" s="2" t="inlineStr">
        <is>
          <t>IT00799_02</t>
        </is>
      </c>
      <c r="B2013" s="2" t="inlineStr">
        <is>
          <t>PED00799</t>
        </is>
      </c>
      <c r="C2013" s="2" t="inlineStr">
        <is>
          <t>P020</t>
        </is>
      </c>
      <c r="D2013" s="2" t="n">
        <v>1</v>
      </c>
      <c r="E2013" s="19" t="n">
        <v>0.02</v>
      </c>
    </row>
    <row r="2014">
      <c r="A2014" s="2" t="inlineStr">
        <is>
          <t>IT00799_03</t>
        </is>
      </c>
      <c r="B2014" s="2" t="inlineStr">
        <is>
          <t>PED00799</t>
        </is>
      </c>
      <c r="C2014" s="2" t="inlineStr">
        <is>
          <t>P059</t>
        </is>
      </c>
      <c r="D2014" s="2" t="n">
        <v>1</v>
      </c>
      <c r="E2014" s="19" t="n">
        <v>0.02</v>
      </c>
    </row>
    <row r="2015">
      <c r="A2015" s="2" t="inlineStr">
        <is>
          <t>IT00799_04</t>
        </is>
      </c>
      <c r="B2015" s="2" t="inlineStr">
        <is>
          <t>PED00799</t>
        </is>
      </c>
      <c r="C2015" s="2" t="inlineStr">
        <is>
          <t>P043</t>
        </is>
      </c>
      <c r="D2015" s="2" t="n">
        <v>1</v>
      </c>
      <c r="E2015" s="19" t="n">
        <v>0</v>
      </c>
    </row>
    <row r="2016">
      <c r="A2016" s="2" t="inlineStr">
        <is>
          <t>IT00800_01</t>
        </is>
      </c>
      <c r="B2016" s="2" t="inlineStr">
        <is>
          <t>PED00800</t>
        </is>
      </c>
      <c r="C2016" s="2" t="inlineStr">
        <is>
          <t>P042</t>
        </is>
      </c>
      <c r="D2016" s="2" t="n">
        <v>2</v>
      </c>
      <c r="E2016" s="19" t="n">
        <v>0</v>
      </c>
    </row>
    <row r="2017">
      <c r="A2017" s="2" t="inlineStr">
        <is>
          <t>IT00801_01</t>
        </is>
      </c>
      <c r="B2017" s="2" t="inlineStr">
        <is>
          <t>PED00801</t>
        </is>
      </c>
      <c r="C2017" s="2" t="inlineStr">
        <is>
          <t>P057</t>
        </is>
      </c>
      <c r="D2017" s="2" t="n">
        <v>1</v>
      </c>
      <c r="E2017" s="19" t="n">
        <v>0.1</v>
      </c>
    </row>
    <row r="2018">
      <c r="A2018" s="2" t="inlineStr">
        <is>
          <t>IT00801_02</t>
        </is>
      </c>
      <c r="B2018" s="2" t="inlineStr">
        <is>
          <t>PED00801</t>
        </is>
      </c>
      <c r="C2018" s="2" t="inlineStr">
        <is>
          <t>P024</t>
        </is>
      </c>
      <c r="D2018" s="2" t="n">
        <v>1</v>
      </c>
      <c r="E2018" s="19" t="n">
        <v>0.05</v>
      </c>
    </row>
    <row r="2019">
      <c r="A2019" s="2" t="inlineStr">
        <is>
          <t>IT00801_03</t>
        </is>
      </c>
      <c r="B2019" s="2" t="inlineStr">
        <is>
          <t>PED00801</t>
        </is>
      </c>
      <c r="C2019" s="2" t="inlineStr">
        <is>
          <t>P065</t>
        </is>
      </c>
      <c r="D2019" s="2" t="n">
        <v>2</v>
      </c>
      <c r="E2019" s="19" t="n">
        <v>0</v>
      </c>
    </row>
    <row r="2020">
      <c r="A2020" s="2" t="inlineStr">
        <is>
          <t>IT00801_04</t>
        </is>
      </c>
      <c r="B2020" s="2" t="inlineStr">
        <is>
          <t>PED00801</t>
        </is>
      </c>
      <c r="C2020" s="2" t="inlineStr">
        <is>
          <t>P001</t>
        </is>
      </c>
      <c r="D2020" s="2" t="n">
        <v>1</v>
      </c>
      <c r="E2020" s="19" t="n">
        <v>0.02</v>
      </c>
    </row>
    <row r="2021">
      <c r="A2021" s="2" t="inlineStr">
        <is>
          <t>IT00802_01</t>
        </is>
      </c>
      <c r="B2021" s="2" t="inlineStr">
        <is>
          <t>PED00802</t>
        </is>
      </c>
      <c r="C2021" s="2" t="inlineStr">
        <is>
          <t>P038</t>
        </is>
      </c>
      <c r="D2021" s="2" t="n">
        <v>1</v>
      </c>
      <c r="E2021" s="19" t="n">
        <v>0</v>
      </c>
    </row>
    <row r="2022">
      <c r="A2022" s="2" t="inlineStr">
        <is>
          <t>IT00802_02</t>
        </is>
      </c>
      <c r="B2022" s="2" t="inlineStr">
        <is>
          <t>PED00802</t>
        </is>
      </c>
      <c r="C2022" s="2" t="inlineStr">
        <is>
          <t>P053</t>
        </is>
      </c>
      <c r="D2022" s="2" t="n">
        <v>1</v>
      </c>
      <c r="E2022" s="19" t="n">
        <v>0</v>
      </c>
    </row>
    <row r="2023">
      <c r="A2023" s="2" t="inlineStr">
        <is>
          <t>IT00802_03</t>
        </is>
      </c>
      <c r="B2023" s="2" t="inlineStr">
        <is>
          <t>PED00802</t>
        </is>
      </c>
      <c r="C2023" s="2" t="inlineStr">
        <is>
          <t>P065</t>
        </is>
      </c>
      <c r="D2023" s="2" t="n">
        <v>1</v>
      </c>
      <c r="E2023" s="19" t="n">
        <v>0.05</v>
      </c>
    </row>
    <row r="2024">
      <c r="A2024" s="2" t="inlineStr">
        <is>
          <t>IT00802_04</t>
        </is>
      </c>
      <c r="B2024" s="2" t="inlineStr">
        <is>
          <t>PED00802</t>
        </is>
      </c>
      <c r="C2024" s="2" t="inlineStr">
        <is>
          <t>P037</t>
        </is>
      </c>
      <c r="D2024" s="2" t="n">
        <v>2</v>
      </c>
      <c r="E2024" s="19" t="n">
        <v>0</v>
      </c>
    </row>
    <row r="2025">
      <c r="A2025" s="2" t="inlineStr">
        <is>
          <t>IT00803_01</t>
        </is>
      </c>
      <c r="B2025" s="2" t="inlineStr">
        <is>
          <t>PED00803</t>
        </is>
      </c>
      <c r="C2025" s="2" t="inlineStr">
        <is>
          <t>P056</t>
        </is>
      </c>
      <c r="D2025" s="2" t="n">
        <v>1</v>
      </c>
      <c r="E2025" s="19" t="n">
        <v>0.02</v>
      </c>
    </row>
    <row r="2026">
      <c r="A2026" s="2" t="inlineStr">
        <is>
          <t>IT00803_02</t>
        </is>
      </c>
      <c r="B2026" s="2" t="inlineStr">
        <is>
          <t>PED00803</t>
        </is>
      </c>
      <c r="C2026" s="2" t="inlineStr">
        <is>
          <t>P011</t>
        </is>
      </c>
      <c r="D2026" s="2" t="n">
        <v>1</v>
      </c>
      <c r="E2026" s="19" t="n">
        <v>0</v>
      </c>
    </row>
    <row r="2027">
      <c r="A2027" s="2" t="inlineStr">
        <is>
          <t>IT00803_03</t>
        </is>
      </c>
      <c r="B2027" s="2" t="inlineStr">
        <is>
          <t>PED00803</t>
        </is>
      </c>
      <c r="C2027" s="2" t="inlineStr">
        <is>
          <t>P058</t>
        </is>
      </c>
      <c r="D2027" s="2" t="n">
        <v>4</v>
      </c>
      <c r="E2027" s="19" t="n">
        <v>0</v>
      </c>
    </row>
    <row r="2028">
      <c r="A2028" s="2" t="inlineStr">
        <is>
          <t>IT00804_01</t>
        </is>
      </c>
      <c r="B2028" s="2" t="inlineStr">
        <is>
          <t>PED00804</t>
        </is>
      </c>
      <c r="C2028" s="2" t="inlineStr">
        <is>
          <t>P062</t>
        </is>
      </c>
      <c r="D2028" s="2" t="n">
        <v>2</v>
      </c>
      <c r="E2028" s="19" t="n">
        <v>0.02</v>
      </c>
    </row>
    <row r="2029">
      <c r="A2029" s="2" t="inlineStr">
        <is>
          <t>IT00804_02</t>
        </is>
      </c>
      <c r="B2029" s="2" t="inlineStr">
        <is>
          <t>PED00804</t>
        </is>
      </c>
      <c r="C2029" s="2" t="inlineStr">
        <is>
          <t>P048</t>
        </is>
      </c>
      <c r="D2029" s="2" t="n">
        <v>1</v>
      </c>
      <c r="E2029" s="19" t="n">
        <v>0.1</v>
      </c>
    </row>
    <row r="2030">
      <c r="A2030" s="2" t="inlineStr">
        <is>
          <t>IT00805_01</t>
        </is>
      </c>
      <c r="B2030" s="2" t="inlineStr">
        <is>
          <t>PED00805</t>
        </is>
      </c>
      <c r="C2030" s="2" t="inlineStr">
        <is>
          <t>P052</t>
        </is>
      </c>
      <c r="D2030" s="2" t="n">
        <v>4</v>
      </c>
      <c r="E2030" s="19" t="n">
        <v>0</v>
      </c>
    </row>
    <row r="2031">
      <c r="A2031" s="2" t="inlineStr">
        <is>
          <t>IT00805_02</t>
        </is>
      </c>
      <c r="B2031" s="2" t="inlineStr">
        <is>
          <t>PED00805</t>
        </is>
      </c>
      <c r="C2031" s="2" t="inlineStr">
        <is>
          <t>P060</t>
        </is>
      </c>
      <c r="D2031" s="2" t="n">
        <v>1</v>
      </c>
      <c r="E2031" s="19" t="n">
        <v>0.02</v>
      </c>
    </row>
    <row r="2032">
      <c r="A2032" s="2" t="inlineStr">
        <is>
          <t>IT00806_01</t>
        </is>
      </c>
      <c r="B2032" s="2" t="inlineStr">
        <is>
          <t>PED00806</t>
        </is>
      </c>
      <c r="C2032" s="2" t="inlineStr">
        <is>
          <t>P020</t>
        </is>
      </c>
      <c r="D2032" s="2" t="n">
        <v>2</v>
      </c>
      <c r="E2032" s="19" t="n">
        <v>0.05</v>
      </c>
    </row>
    <row r="2033">
      <c r="A2033" s="2" t="inlineStr">
        <is>
          <t>IT00806_02</t>
        </is>
      </c>
      <c r="B2033" s="2" t="inlineStr">
        <is>
          <t>PED00806</t>
        </is>
      </c>
      <c r="C2033" s="2" t="inlineStr">
        <is>
          <t>P052</t>
        </is>
      </c>
      <c r="D2033" s="2" t="n">
        <v>4</v>
      </c>
      <c r="E2033" s="19" t="n">
        <v>0</v>
      </c>
    </row>
    <row r="2034">
      <c r="A2034" s="2" t="inlineStr">
        <is>
          <t>IT00806_03</t>
        </is>
      </c>
      <c r="B2034" s="2" t="inlineStr">
        <is>
          <t>PED00806</t>
        </is>
      </c>
      <c r="C2034" s="2" t="inlineStr">
        <is>
          <t>P047</t>
        </is>
      </c>
      <c r="D2034" s="2" t="n">
        <v>5</v>
      </c>
      <c r="E2034" s="19" t="n">
        <v>0</v>
      </c>
    </row>
    <row r="2035">
      <c r="A2035" s="2" t="inlineStr">
        <is>
          <t>IT00806_04</t>
        </is>
      </c>
      <c r="B2035" s="2" t="inlineStr">
        <is>
          <t>PED00806</t>
        </is>
      </c>
      <c r="C2035" s="2" t="inlineStr">
        <is>
          <t>P002</t>
        </is>
      </c>
      <c r="D2035" s="2" t="n">
        <v>1</v>
      </c>
      <c r="E2035" s="19" t="n">
        <v>0</v>
      </c>
    </row>
    <row r="2036">
      <c r="A2036" s="2" t="inlineStr">
        <is>
          <t>IT00807_01</t>
        </is>
      </c>
      <c r="B2036" s="2" t="inlineStr">
        <is>
          <t>PED00807</t>
        </is>
      </c>
      <c r="C2036" s="2" t="inlineStr">
        <is>
          <t>P036</t>
        </is>
      </c>
      <c r="D2036" s="2" t="n">
        <v>2</v>
      </c>
      <c r="E2036" s="19" t="n">
        <v>0.05</v>
      </c>
    </row>
    <row r="2037">
      <c r="A2037" s="2" t="inlineStr">
        <is>
          <t>IT00807_02</t>
        </is>
      </c>
      <c r="B2037" s="2" t="inlineStr">
        <is>
          <t>PED00807</t>
        </is>
      </c>
      <c r="C2037" s="2" t="inlineStr">
        <is>
          <t>P030</t>
        </is>
      </c>
      <c r="D2037" s="2" t="n">
        <v>1</v>
      </c>
      <c r="E2037" s="19" t="n">
        <v>0.1</v>
      </c>
    </row>
    <row r="2038">
      <c r="A2038" s="2" t="inlineStr">
        <is>
          <t>IT00807_03</t>
        </is>
      </c>
      <c r="B2038" s="2" t="inlineStr">
        <is>
          <t>PED00807</t>
        </is>
      </c>
      <c r="C2038" s="2" t="inlineStr">
        <is>
          <t>P025</t>
        </is>
      </c>
      <c r="D2038" s="2" t="n">
        <v>1</v>
      </c>
      <c r="E2038" s="19" t="n">
        <v>0.1</v>
      </c>
    </row>
    <row r="2039">
      <c r="A2039" s="2" t="inlineStr">
        <is>
          <t>IT00807_04</t>
        </is>
      </c>
      <c r="B2039" s="2" t="inlineStr">
        <is>
          <t>PED00807</t>
        </is>
      </c>
      <c r="C2039" s="2" t="inlineStr">
        <is>
          <t>P063</t>
        </is>
      </c>
      <c r="D2039" s="2" t="n">
        <v>1</v>
      </c>
      <c r="E2039" s="19" t="n">
        <v>0</v>
      </c>
    </row>
    <row r="2040">
      <c r="A2040" s="2" t="inlineStr">
        <is>
          <t>IT00807_05</t>
        </is>
      </c>
      <c r="B2040" s="2" t="inlineStr">
        <is>
          <t>PED00807</t>
        </is>
      </c>
      <c r="C2040" s="2" t="inlineStr">
        <is>
          <t>P064</t>
        </is>
      </c>
      <c r="D2040" s="2" t="n">
        <v>2</v>
      </c>
      <c r="E2040" s="19" t="n">
        <v>0</v>
      </c>
    </row>
    <row r="2041">
      <c r="A2041" s="2" t="inlineStr">
        <is>
          <t>IT00808_01</t>
        </is>
      </c>
      <c r="B2041" s="2" t="inlineStr">
        <is>
          <t>PED00808</t>
        </is>
      </c>
      <c r="C2041" s="2" t="inlineStr">
        <is>
          <t>P021</t>
        </is>
      </c>
      <c r="D2041" s="2" t="n">
        <v>2</v>
      </c>
      <c r="E2041" s="19" t="n">
        <v>0.02</v>
      </c>
    </row>
    <row r="2042">
      <c r="A2042" s="2" t="inlineStr">
        <is>
          <t>IT00808_02</t>
        </is>
      </c>
      <c r="B2042" s="2" t="inlineStr">
        <is>
          <t>PED00808</t>
        </is>
      </c>
      <c r="C2042" s="2" t="inlineStr">
        <is>
          <t>P044</t>
        </is>
      </c>
      <c r="D2042" s="2" t="n">
        <v>2</v>
      </c>
      <c r="E2042" s="19" t="n">
        <v>0</v>
      </c>
    </row>
    <row r="2043">
      <c r="A2043" s="2" t="inlineStr">
        <is>
          <t>IT00809_01</t>
        </is>
      </c>
      <c r="B2043" s="2" t="inlineStr">
        <is>
          <t>PED00809</t>
        </is>
      </c>
      <c r="C2043" s="2" t="inlineStr">
        <is>
          <t>P061</t>
        </is>
      </c>
      <c r="D2043" s="2" t="n">
        <v>1</v>
      </c>
      <c r="E2043" s="19" t="n">
        <v>0</v>
      </c>
    </row>
    <row r="2044">
      <c r="A2044" s="2" t="inlineStr">
        <is>
          <t>IT00810_01</t>
        </is>
      </c>
      <c r="B2044" s="2" t="inlineStr">
        <is>
          <t>PED00810</t>
        </is>
      </c>
      <c r="C2044" s="2" t="inlineStr">
        <is>
          <t>P061</t>
        </is>
      </c>
      <c r="D2044" s="2" t="n">
        <v>2</v>
      </c>
      <c r="E2044" s="19" t="n">
        <v>0.05</v>
      </c>
    </row>
    <row r="2045">
      <c r="A2045" s="2" t="inlineStr">
        <is>
          <t>IT00810_02</t>
        </is>
      </c>
      <c r="B2045" s="2" t="inlineStr">
        <is>
          <t>PED00810</t>
        </is>
      </c>
      <c r="C2045" s="2" t="inlineStr">
        <is>
          <t>P036</t>
        </is>
      </c>
      <c r="D2045" s="2" t="n">
        <v>5</v>
      </c>
      <c r="E2045" s="19" t="n">
        <v>0.02</v>
      </c>
    </row>
    <row r="2046">
      <c r="A2046" s="2" t="inlineStr">
        <is>
          <t>IT00810_03</t>
        </is>
      </c>
      <c r="B2046" s="2" t="inlineStr">
        <is>
          <t>PED00810</t>
        </is>
      </c>
      <c r="C2046" s="2" t="inlineStr">
        <is>
          <t>P044</t>
        </is>
      </c>
      <c r="D2046" s="2" t="n">
        <v>2</v>
      </c>
      <c r="E2046" s="19" t="n">
        <v>0.05</v>
      </c>
    </row>
    <row r="2047">
      <c r="A2047" s="2" t="inlineStr">
        <is>
          <t>IT00810_04</t>
        </is>
      </c>
      <c r="B2047" s="2" t="inlineStr">
        <is>
          <t>PED00810</t>
        </is>
      </c>
      <c r="C2047" s="2" t="inlineStr">
        <is>
          <t>P043</t>
        </is>
      </c>
      <c r="D2047" s="2" t="n">
        <v>3</v>
      </c>
      <c r="E2047" s="19" t="n">
        <v>0</v>
      </c>
    </row>
    <row r="2048">
      <c r="A2048" s="2" t="inlineStr">
        <is>
          <t>IT00811_01</t>
        </is>
      </c>
      <c r="B2048" s="2" t="inlineStr">
        <is>
          <t>PED00811</t>
        </is>
      </c>
      <c r="C2048" s="2" t="inlineStr">
        <is>
          <t>P019</t>
        </is>
      </c>
      <c r="D2048" s="2" t="n">
        <v>1</v>
      </c>
      <c r="E2048" s="19" t="n">
        <v>0</v>
      </c>
    </row>
    <row r="2049">
      <c r="A2049" s="2" t="inlineStr">
        <is>
          <t>IT00811_02</t>
        </is>
      </c>
      <c r="B2049" s="2" t="inlineStr">
        <is>
          <t>PED00811</t>
        </is>
      </c>
      <c r="C2049" s="2" t="inlineStr">
        <is>
          <t>P042</t>
        </is>
      </c>
      <c r="D2049" s="2" t="n">
        <v>2</v>
      </c>
      <c r="E2049" s="19" t="n">
        <v>0.05</v>
      </c>
    </row>
    <row r="2050">
      <c r="A2050" s="2" t="inlineStr">
        <is>
          <t>IT00812_01</t>
        </is>
      </c>
      <c r="B2050" s="2" t="inlineStr">
        <is>
          <t>PED00812</t>
        </is>
      </c>
      <c r="C2050" s="2" t="inlineStr">
        <is>
          <t>P047</t>
        </is>
      </c>
      <c r="D2050" s="2" t="n">
        <v>1</v>
      </c>
      <c r="E2050" s="19" t="n">
        <v>0</v>
      </c>
    </row>
    <row r="2051">
      <c r="A2051" s="2" t="inlineStr">
        <is>
          <t>IT00812_02</t>
        </is>
      </c>
      <c r="B2051" s="2" t="inlineStr">
        <is>
          <t>PED00812</t>
        </is>
      </c>
      <c r="C2051" s="2" t="inlineStr">
        <is>
          <t>P008</t>
        </is>
      </c>
      <c r="D2051" s="2" t="n">
        <v>1</v>
      </c>
      <c r="E2051" s="19" t="n">
        <v>0.05</v>
      </c>
    </row>
    <row r="2052">
      <c r="A2052" s="2" t="inlineStr">
        <is>
          <t>IT00812_03</t>
        </is>
      </c>
      <c r="B2052" s="2" t="inlineStr">
        <is>
          <t>PED00812</t>
        </is>
      </c>
      <c r="C2052" s="2" t="inlineStr">
        <is>
          <t>P061</t>
        </is>
      </c>
      <c r="D2052" s="2" t="n">
        <v>2</v>
      </c>
      <c r="E2052" s="19" t="n">
        <v>0</v>
      </c>
    </row>
    <row r="2053">
      <c r="A2053" s="2" t="inlineStr">
        <is>
          <t>IT00813_01</t>
        </is>
      </c>
      <c r="B2053" s="2" t="inlineStr">
        <is>
          <t>PED00813</t>
        </is>
      </c>
      <c r="C2053" s="2" t="inlineStr">
        <is>
          <t>P025</t>
        </is>
      </c>
      <c r="D2053" s="2" t="n">
        <v>3</v>
      </c>
      <c r="E2053" s="19" t="n">
        <v>0</v>
      </c>
    </row>
    <row r="2054">
      <c r="A2054" s="2" t="inlineStr">
        <is>
          <t>IT00813_02</t>
        </is>
      </c>
      <c r="B2054" s="2" t="inlineStr">
        <is>
          <t>PED00813</t>
        </is>
      </c>
      <c r="C2054" s="2" t="inlineStr">
        <is>
          <t>P016</t>
        </is>
      </c>
      <c r="D2054" s="2" t="n">
        <v>3</v>
      </c>
      <c r="E2054" s="19" t="n">
        <v>0</v>
      </c>
    </row>
    <row r="2055">
      <c r="A2055" s="2" t="inlineStr">
        <is>
          <t>IT00813_03</t>
        </is>
      </c>
      <c r="B2055" s="2" t="inlineStr">
        <is>
          <t>PED00813</t>
        </is>
      </c>
      <c r="C2055" s="2" t="inlineStr">
        <is>
          <t>P038</t>
        </is>
      </c>
      <c r="D2055" s="2" t="n">
        <v>3</v>
      </c>
      <c r="E2055" s="19" t="n">
        <v>0</v>
      </c>
    </row>
    <row r="2056">
      <c r="A2056" s="2" t="inlineStr">
        <is>
          <t>IT00813_04</t>
        </is>
      </c>
      <c r="B2056" s="2" t="inlineStr">
        <is>
          <t>PED00813</t>
        </is>
      </c>
      <c r="C2056" s="2" t="inlineStr">
        <is>
          <t>P008</t>
        </is>
      </c>
      <c r="D2056" s="2" t="n">
        <v>3</v>
      </c>
      <c r="E2056" s="19" t="n">
        <v>0</v>
      </c>
    </row>
    <row r="2057">
      <c r="A2057" s="2" t="inlineStr">
        <is>
          <t>IT00814_01</t>
        </is>
      </c>
      <c r="B2057" s="2" t="inlineStr">
        <is>
          <t>PED00814</t>
        </is>
      </c>
      <c r="C2057" s="2" t="inlineStr">
        <is>
          <t>P048</t>
        </is>
      </c>
      <c r="D2057" s="2" t="n">
        <v>3</v>
      </c>
      <c r="E2057" s="19" t="n">
        <v>0.1</v>
      </c>
    </row>
    <row r="2058">
      <c r="A2058" s="2" t="inlineStr">
        <is>
          <t>IT00814_02</t>
        </is>
      </c>
      <c r="B2058" s="2" t="inlineStr">
        <is>
          <t>PED00814</t>
        </is>
      </c>
      <c r="C2058" s="2" t="inlineStr">
        <is>
          <t>P060</t>
        </is>
      </c>
      <c r="D2058" s="2" t="n">
        <v>2</v>
      </c>
      <c r="E2058" s="19" t="n">
        <v>0</v>
      </c>
    </row>
    <row r="2059">
      <c r="A2059" s="2" t="inlineStr">
        <is>
          <t>IT00815_01</t>
        </is>
      </c>
      <c r="B2059" s="2" t="inlineStr">
        <is>
          <t>PED00815</t>
        </is>
      </c>
      <c r="C2059" s="2" t="inlineStr">
        <is>
          <t>P059</t>
        </is>
      </c>
      <c r="D2059" s="2" t="n">
        <v>1</v>
      </c>
      <c r="E2059" s="19" t="n">
        <v>0</v>
      </c>
    </row>
    <row r="2060">
      <c r="A2060" s="2" t="inlineStr">
        <is>
          <t>IT00815_02</t>
        </is>
      </c>
      <c r="B2060" s="2" t="inlineStr">
        <is>
          <t>PED00815</t>
        </is>
      </c>
      <c r="C2060" s="2" t="inlineStr">
        <is>
          <t>P037</t>
        </is>
      </c>
      <c r="D2060" s="2" t="n">
        <v>5</v>
      </c>
      <c r="E2060" s="19" t="n">
        <v>0</v>
      </c>
    </row>
    <row r="2061">
      <c r="A2061" s="2" t="inlineStr">
        <is>
          <t>IT00816_01</t>
        </is>
      </c>
      <c r="B2061" s="2" t="inlineStr">
        <is>
          <t>PED00816</t>
        </is>
      </c>
      <c r="C2061" s="2" t="inlineStr">
        <is>
          <t>P056</t>
        </is>
      </c>
      <c r="D2061" s="2" t="n">
        <v>1</v>
      </c>
      <c r="E2061" s="19" t="n">
        <v>0</v>
      </c>
    </row>
    <row r="2062">
      <c r="A2062" s="2" t="inlineStr">
        <is>
          <t>IT00816_02</t>
        </is>
      </c>
      <c r="B2062" s="2" t="inlineStr">
        <is>
          <t>PED00816</t>
        </is>
      </c>
      <c r="C2062" s="2" t="inlineStr">
        <is>
          <t>P042</t>
        </is>
      </c>
      <c r="D2062" s="2" t="n">
        <v>3</v>
      </c>
      <c r="E2062" s="19" t="n">
        <v>0</v>
      </c>
    </row>
    <row r="2063">
      <c r="A2063" s="2" t="inlineStr">
        <is>
          <t>IT00816_03</t>
        </is>
      </c>
      <c r="B2063" s="2" t="inlineStr">
        <is>
          <t>PED00816</t>
        </is>
      </c>
      <c r="C2063" s="2" t="inlineStr">
        <is>
          <t>P051</t>
        </is>
      </c>
      <c r="D2063" s="2" t="n">
        <v>1</v>
      </c>
      <c r="E2063" s="19" t="n">
        <v>0.02</v>
      </c>
    </row>
    <row r="2064">
      <c r="A2064" s="2" t="inlineStr">
        <is>
          <t>IT00817_01</t>
        </is>
      </c>
      <c r="B2064" s="2" t="inlineStr">
        <is>
          <t>PED00817</t>
        </is>
      </c>
      <c r="C2064" s="2" t="inlineStr">
        <is>
          <t>P018</t>
        </is>
      </c>
      <c r="D2064" s="2" t="n">
        <v>1</v>
      </c>
      <c r="E2064" s="19" t="n">
        <v>0.02</v>
      </c>
    </row>
    <row r="2065">
      <c r="A2065" s="2" t="inlineStr">
        <is>
          <t>IT00817_02</t>
        </is>
      </c>
      <c r="B2065" s="2" t="inlineStr">
        <is>
          <t>PED00817</t>
        </is>
      </c>
      <c r="C2065" s="2" t="inlineStr">
        <is>
          <t>P020</t>
        </is>
      </c>
      <c r="D2065" s="2" t="n">
        <v>1</v>
      </c>
      <c r="E2065" s="19" t="n">
        <v>0</v>
      </c>
    </row>
    <row r="2066">
      <c r="A2066" s="2" t="inlineStr">
        <is>
          <t>IT00817_03</t>
        </is>
      </c>
      <c r="B2066" s="2" t="inlineStr">
        <is>
          <t>PED00817</t>
        </is>
      </c>
      <c r="C2066" s="2" t="inlineStr">
        <is>
          <t>P014</t>
        </is>
      </c>
      <c r="D2066" s="2" t="n">
        <v>1</v>
      </c>
      <c r="E2066" s="19" t="n">
        <v>0</v>
      </c>
    </row>
    <row r="2067">
      <c r="A2067" s="2" t="inlineStr">
        <is>
          <t>IT00817_04</t>
        </is>
      </c>
      <c r="B2067" s="2" t="inlineStr">
        <is>
          <t>PED00817</t>
        </is>
      </c>
      <c r="C2067" s="2" t="inlineStr">
        <is>
          <t>P067</t>
        </is>
      </c>
      <c r="D2067" s="2" t="n">
        <v>1</v>
      </c>
      <c r="E2067" s="19" t="n">
        <v>0</v>
      </c>
    </row>
    <row r="2068">
      <c r="A2068" s="2" t="inlineStr">
        <is>
          <t>IT00818_01</t>
        </is>
      </c>
      <c r="B2068" s="2" t="inlineStr">
        <is>
          <t>PED00818</t>
        </is>
      </c>
      <c r="C2068" s="2" t="inlineStr">
        <is>
          <t>P012</t>
        </is>
      </c>
      <c r="D2068" s="2" t="n">
        <v>3</v>
      </c>
      <c r="E2068" s="19" t="n">
        <v>0</v>
      </c>
    </row>
    <row r="2069">
      <c r="A2069" s="2" t="inlineStr">
        <is>
          <t>IT00819_01</t>
        </is>
      </c>
      <c r="B2069" s="2" t="inlineStr">
        <is>
          <t>PED00819</t>
        </is>
      </c>
      <c r="C2069" s="2" t="inlineStr">
        <is>
          <t>P029</t>
        </is>
      </c>
      <c r="D2069" s="2" t="n">
        <v>2</v>
      </c>
      <c r="E2069" s="19" t="n">
        <v>0</v>
      </c>
    </row>
    <row r="2070">
      <c r="A2070" s="2" t="inlineStr">
        <is>
          <t>IT00820_01</t>
        </is>
      </c>
      <c r="B2070" s="2" t="inlineStr">
        <is>
          <t>PED00820</t>
        </is>
      </c>
      <c r="C2070" s="2" t="inlineStr">
        <is>
          <t>P003</t>
        </is>
      </c>
      <c r="D2070" s="2" t="n">
        <v>2</v>
      </c>
      <c r="E2070" s="19" t="n">
        <v>0.02</v>
      </c>
    </row>
    <row r="2071">
      <c r="A2071" s="2" t="inlineStr">
        <is>
          <t>IT00820_02</t>
        </is>
      </c>
      <c r="B2071" s="2" t="inlineStr">
        <is>
          <t>PED00820</t>
        </is>
      </c>
      <c r="C2071" s="2" t="inlineStr">
        <is>
          <t>P066</t>
        </is>
      </c>
      <c r="D2071" s="2" t="n">
        <v>2</v>
      </c>
      <c r="E2071" s="19" t="n">
        <v>0</v>
      </c>
    </row>
    <row r="2072">
      <c r="A2072" s="2" t="inlineStr">
        <is>
          <t>IT00820_03</t>
        </is>
      </c>
      <c r="B2072" s="2" t="inlineStr">
        <is>
          <t>PED00820</t>
        </is>
      </c>
      <c r="C2072" s="2" t="inlineStr">
        <is>
          <t>P038</t>
        </is>
      </c>
      <c r="D2072" s="2" t="n">
        <v>1</v>
      </c>
      <c r="E2072" s="19" t="n">
        <v>0</v>
      </c>
    </row>
    <row r="2073">
      <c r="A2073" s="2" t="inlineStr">
        <is>
          <t>IT00821_01</t>
        </is>
      </c>
      <c r="B2073" s="2" t="inlineStr">
        <is>
          <t>PED00821</t>
        </is>
      </c>
      <c r="C2073" s="2" t="inlineStr">
        <is>
          <t>P022</t>
        </is>
      </c>
      <c r="D2073" s="2" t="n">
        <v>1</v>
      </c>
      <c r="E2073" s="19" t="n">
        <v>0</v>
      </c>
    </row>
    <row r="2074">
      <c r="A2074" s="2" t="inlineStr">
        <is>
          <t>IT00821_02</t>
        </is>
      </c>
      <c r="B2074" s="2" t="inlineStr">
        <is>
          <t>PED00821</t>
        </is>
      </c>
      <c r="C2074" s="2" t="inlineStr">
        <is>
          <t>P051</t>
        </is>
      </c>
      <c r="D2074" s="2" t="n">
        <v>4</v>
      </c>
      <c r="E2074" s="19" t="n">
        <v>0.02</v>
      </c>
    </row>
    <row r="2075">
      <c r="A2075" s="2" t="inlineStr">
        <is>
          <t>IT00822_01</t>
        </is>
      </c>
      <c r="B2075" s="2" t="inlineStr">
        <is>
          <t>PED00822</t>
        </is>
      </c>
      <c r="C2075" s="2" t="inlineStr">
        <is>
          <t>P043</t>
        </is>
      </c>
      <c r="D2075" s="2" t="n">
        <v>4</v>
      </c>
      <c r="E2075" s="19" t="n">
        <v>0</v>
      </c>
    </row>
    <row r="2076">
      <c r="A2076" s="2" t="inlineStr">
        <is>
          <t>IT00822_02</t>
        </is>
      </c>
      <c r="B2076" s="2" t="inlineStr">
        <is>
          <t>PED00822</t>
        </is>
      </c>
      <c r="C2076" s="2" t="inlineStr">
        <is>
          <t>P026</t>
        </is>
      </c>
      <c r="D2076" s="2" t="n">
        <v>2</v>
      </c>
      <c r="E2076" s="19" t="n">
        <v>0</v>
      </c>
    </row>
    <row r="2077">
      <c r="A2077" s="2" t="inlineStr">
        <is>
          <t>IT00822_03</t>
        </is>
      </c>
      <c r="B2077" s="2" t="inlineStr">
        <is>
          <t>PED00822</t>
        </is>
      </c>
      <c r="C2077" s="2" t="inlineStr">
        <is>
          <t>P042</t>
        </is>
      </c>
      <c r="D2077" s="2" t="n">
        <v>2</v>
      </c>
      <c r="E2077" s="19" t="n">
        <v>0.1</v>
      </c>
    </row>
    <row r="2078">
      <c r="A2078" s="2" t="inlineStr">
        <is>
          <t>IT00823_01</t>
        </is>
      </c>
      <c r="B2078" s="2" t="inlineStr">
        <is>
          <t>PED00823</t>
        </is>
      </c>
      <c r="C2078" s="2" t="inlineStr">
        <is>
          <t>P027</t>
        </is>
      </c>
      <c r="D2078" s="2" t="n">
        <v>1</v>
      </c>
      <c r="E2078" s="19" t="n">
        <v>0</v>
      </c>
    </row>
    <row r="2079">
      <c r="A2079" s="2" t="inlineStr">
        <is>
          <t>IT00824_01</t>
        </is>
      </c>
      <c r="B2079" s="2" t="inlineStr">
        <is>
          <t>PED00824</t>
        </is>
      </c>
      <c r="C2079" s="2" t="inlineStr">
        <is>
          <t>P030</t>
        </is>
      </c>
      <c r="D2079" s="2" t="n">
        <v>2</v>
      </c>
      <c r="E2079" s="19" t="n">
        <v>0.05</v>
      </c>
    </row>
    <row r="2080">
      <c r="A2080" s="2" t="inlineStr">
        <is>
          <t>IT00825_01</t>
        </is>
      </c>
      <c r="B2080" s="2" t="inlineStr">
        <is>
          <t>PED00825</t>
        </is>
      </c>
      <c r="C2080" s="2" t="inlineStr">
        <is>
          <t>P064</t>
        </is>
      </c>
      <c r="D2080" s="2" t="n">
        <v>3</v>
      </c>
      <c r="E2080" s="19" t="n">
        <v>0</v>
      </c>
    </row>
    <row r="2081">
      <c r="A2081" s="2" t="inlineStr">
        <is>
          <t>IT00825_02</t>
        </is>
      </c>
      <c r="B2081" s="2" t="inlineStr">
        <is>
          <t>PED00825</t>
        </is>
      </c>
      <c r="C2081" s="2" t="inlineStr">
        <is>
          <t>P050</t>
        </is>
      </c>
      <c r="D2081" s="2" t="n">
        <v>1</v>
      </c>
      <c r="E2081" s="19" t="n">
        <v>0.02</v>
      </c>
    </row>
    <row r="2082">
      <c r="A2082" s="2" t="inlineStr">
        <is>
          <t>IT00826_01</t>
        </is>
      </c>
      <c r="B2082" s="2" t="inlineStr">
        <is>
          <t>PED00826</t>
        </is>
      </c>
      <c r="C2082" s="2" t="inlineStr">
        <is>
          <t>P014</t>
        </is>
      </c>
      <c r="D2082" s="2" t="n">
        <v>4</v>
      </c>
      <c r="E2082" s="19" t="n">
        <v>0.05</v>
      </c>
    </row>
    <row r="2083">
      <c r="A2083" s="2" t="inlineStr">
        <is>
          <t>IT00827_01</t>
        </is>
      </c>
      <c r="B2083" s="2" t="inlineStr">
        <is>
          <t>PED00827</t>
        </is>
      </c>
      <c r="C2083" s="2" t="inlineStr">
        <is>
          <t>P021</t>
        </is>
      </c>
      <c r="D2083" s="2" t="n">
        <v>1</v>
      </c>
      <c r="E2083" s="19" t="n">
        <v>0</v>
      </c>
    </row>
    <row r="2084">
      <c r="A2084" s="2" t="inlineStr">
        <is>
          <t>IT00827_02</t>
        </is>
      </c>
      <c r="B2084" s="2" t="inlineStr">
        <is>
          <t>PED00827</t>
        </is>
      </c>
      <c r="C2084" s="2" t="inlineStr">
        <is>
          <t>P013</t>
        </is>
      </c>
      <c r="D2084" s="2" t="n">
        <v>1</v>
      </c>
      <c r="E2084" s="19" t="n">
        <v>0</v>
      </c>
    </row>
    <row r="2085">
      <c r="A2085" s="2" t="inlineStr">
        <is>
          <t>IT00828_01</t>
        </is>
      </c>
      <c r="B2085" s="2" t="inlineStr">
        <is>
          <t>PED00828</t>
        </is>
      </c>
      <c r="C2085" s="2" t="inlineStr">
        <is>
          <t>P039</t>
        </is>
      </c>
      <c r="D2085" s="2" t="n">
        <v>5</v>
      </c>
      <c r="E2085" s="19" t="n">
        <v>0.05</v>
      </c>
    </row>
    <row r="2086">
      <c r="A2086" s="2" t="inlineStr">
        <is>
          <t>IT00828_02</t>
        </is>
      </c>
      <c r="B2086" s="2" t="inlineStr">
        <is>
          <t>PED00828</t>
        </is>
      </c>
      <c r="C2086" s="2" t="inlineStr">
        <is>
          <t>P019</t>
        </is>
      </c>
      <c r="D2086" s="2" t="n">
        <v>3</v>
      </c>
      <c r="E2086" s="19" t="n">
        <v>0</v>
      </c>
    </row>
    <row r="2087">
      <c r="A2087" s="2" t="inlineStr">
        <is>
          <t>IT00828_03</t>
        </is>
      </c>
      <c r="B2087" s="2" t="inlineStr">
        <is>
          <t>PED00828</t>
        </is>
      </c>
      <c r="C2087" s="2" t="inlineStr">
        <is>
          <t>P034</t>
        </is>
      </c>
      <c r="D2087" s="2" t="n">
        <v>4</v>
      </c>
      <c r="E2087" s="19" t="n">
        <v>0.02</v>
      </c>
    </row>
    <row r="2088">
      <c r="A2088" s="2" t="inlineStr">
        <is>
          <t>IT00828_04</t>
        </is>
      </c>
      <c r="B2088" s="2" t="inlineStr">
        <is>
          <t>PED00828</t>
        </is>
      </c>
      <c r="C2088" s="2" t="inlineStr">
        <is>
          <t>P059</t>
        </is>
      </c>
      <c r="D2088" s="2" t="n">
        <v>2</v>
      </c>
      <c r="E2088" s="19" t="n">
        <v>0</v>
      </c>
    </row>
    <row r="2089">
      <c r="A2089" s="2" t="inlineStr">
        <is>
          <t>IT00829_01</t>
        </is>
      </c>
      <c r="B2089" s="2" t="inlineStr">
        <is>
          <t>PED00829</t>
        </is>
      </c>
      <c r="C2089" s="2" t="inlineStr">
        <is>
          <t>P035</t>
        </is>
      </c>
      <c r="D2089" s="2" t="n">
        <v>3</v>
      </c>
      <c r="E2089" s="19" t="n">
        <v>0</v>
      </c>
    </row>
    <row r="2090">
      <c r="A2090" s="2" t="inlineStr">
        <is>
          <t>IT00829_02</t>
        </is>
      </c>
      <c r="B2090" s="2" t="inlineStr">
        <is>
          <t>PED00829</t>
        </is>
      </c>
      <c r="C2090" s="2" t="inlineStr">
        <is>
          <t>P003</t>
        </is>
      </c>
      <c r="D2090" s="2" t="n">
        <v>1</v>
      </c>
      <c r="E2090" s="19" t="n">
        <v>0.02</v>
      </c>
    </row>
    <row r="2091">
      <c r="A2091" s="2" t="inlineStr">
        <is>
          <t>IT00829_03</t>
        </is>
      </c>
      <c r="B2091" s="2" t="inlineStr">
        <is>
          <t>PED00829</t>
        </is>
      </c>
      <c r="C2091" s="2" t="inlineStr">
        <is>
          <t>P062</t>
        </is>
      </c>
      <c r="D2091" s="2" t="n">
        <v>1</v>
      </c>
      <c r="E2091" s="19" t="n">
        <v>0</v>
      </c>
    </row>
    <row r="2092">
      <c r="A2092" s="2" t="inlineStr">
        <is>
          <t>IT00829_04</t>
        </is>
      </c>
      <c r="B2092" s="2" t="inlineStr">
        <is>
          <t>PED00829</t>
        </is>
      </c>
      <c r="C2092" s="2" t="inlineStr">
        <is>
          <t>P009</t>
        </is>
      </c>
      <c r="D2092" s="2" t="n">
        <v>3</v>
      </c>
      <c r="E2092" s="19" t="n">
        <v>0</v>
      </c>
    </row>
    <row r="2093">
      <c r="A2093" s="2" t="inlineStr">
        <is>
          <t>IT00830_01</t>
        </is>
      </c>
      <c r="B2093" s="2" t="inlineStr">
        <is>
          <t>PED00830</t>
        </is>
      </c>
      <c r="C2093" s="2" t="inlineStr">
        <is>
          <t>P062</t>
        </is>
      </c>
      <c r="D2093" s="2" t="n">
        <v>1</v>
      </c>
      <c r="E2093" s="19" t="n">
        <v>0</v>
      </c>
    </row>
    <row r="2094">
      <c r="A2094" s="2" t="inlineStr">
        <is>
          <t>IT00830_02</t>
        </is>
      </c>
      <c r="B2094" s="2" t="inlineStr">
        <is>
          <t>PED00830</t>
        </is>
      </c>
      <c r="C2094" s="2" t="inlineStr">
        <is>
          <t>P026</t>
        </is>
      </c>
      <c r="D2094" s="2" t="n">
        <v>4</v>
      </c>
      <c r="E2094" s="19" t="n">
        <v>0</v>
      </c>
    </row>
    <row r="2095">
      <c r="A2095" s="2" t="inlineStr">
        <is>
          <t>IT00830_03</t>
        </is>
      </c>
      <c r="B2095" s="2" t="inlineStr">
        <is>
          <t>PED00830</t>
        </is>
      </c>
      <c r="C2095" s="2" t="inlineStr">
        <is>
          <t>P035</t>
        </is>
      </c>
      <c r="D2095" s="2" t="n">
        <v>2</v>
      </c>
      <c r="E2095" s="19" t="n">
        <v>0</v>
      </c>
    </row>
    <row r="2096">
      <c r="A2096" s="2" t="inlineStr">
        <is>
          <t>IT00831_01</t>
        </is>
      </c>
      <c r="B2096" s="2" t="inlineStr">
        <is>
          <t>PED00831</t>
        </is>
      </c>
      <c r="C2096" s="2" t="inlineStr">
        <is>
          <t>P007</t>
        </is>
      </c>
      <c r="D2096" s="2" t="n">
        <v>1</v>
      </c>
      <c r="E2096" s="19" t="n">
        <v>0</v>
      </c>
    </row>
    <row r="2097">
      <c r="A2097" s="2" t="inlineStr">
        <is>
          <t>IT00831_02</t>
        </is>
      </c>
      <c r="B2097" s="2" t="inlineStr">
        <is>
          <t>PED00831</t>
        </is>
      </c>
      <c r="C2097" s="2" t="inlineStr">
        <is>
          <t>P037</t>
        </is>
      </c>
      <c r="D2097" s="2" t="n">
        <v>3</v>
      </c>
      <c r="E2097" s="19" t="n">
        <v>0</v>
      </c>
    </row>
    <row r="2098">
      <c r="A2098" s="2" t="inlineStr">
        <is>
          <t>IT00831_03</t>
        </is>
      </c>
      <c r="B2098" s="2" t="inlineStr">
        <is>
          <t>PED00831</t>
        </is>
      </c>
      <c r="C2098" s="2" t="inlineStr">
        <is>
          <t>P047</t>
        </is>
      </c>
      <c r="D2098" s="2" t="n">
        <v>1</v>
      </c>
      <c r="E2098" s="19" t="n">
        <v>0.05</v>
      </c>
    </row>
    <row r="2099">
      <c r="A2099" s="2" t="inlineStr">
        <is>
          <t>IT00832_01</t>
        </is>
      </c>
      <c r="B2099" s="2" t="inlineStr">
        <is>
          <t>PED00832</t>
        </is>
      </c>
      <c r="C2099" s="2" t="inlineStr">
        <is>
          <t>P048</t>
        </is>
      </c>
      <c r="D2099" s="2" t="n">
        <v>3</v>
      </c>
      <c r="E2099" s="19" t="n">
        <v>0</v>
      </c>
    </row>
    <row r="2100">
      <c r="A2100" s="2" t="inlineStr">
        <is>
          <t>IT00832_02</t>
        </is>
      </c>
      <c r="B2100" s="2" t="inlineStr">
        <is>
          <t>PED00832</t>
        </is>
      </c>
      <c r="C2100" s="2" t="inlineStr">
        <is>
          <t>P060</t>
        </is>
      </c>
      <c r="D2100" s="2" t="n">
        <v>2</v>
      </c>
      <c r="E2100" s="19" t="n">
        <v>0.05</v>
      </c>
    </row>
    <row r="2101">
      <c r="A2101" s="2" t="inlineStr">
        <is>
          <t>IT00832_03</t>
        </is>
      </c>
      <c r="B2101" s="2" t="inlineStr">
        <is>
          <t>PED00832</t>
        </is>
      </c>
      <c r="C2101" s="2" t="inlineStr">
        <is>
          <t>P045</t>
        </is>
      </c>
      <c r="D2101" s="2" t="n">
        <v>2</v>
      </c>
      <c r="E2101" s="19" t="n">
        <v>0</v>
      </c>
    </row>
    <row r="2102">
      <c r="A2102" s="2" t="inlineStr">
        <is>
          <t>IT00833_01</t>
        </is>
      </c>
      <c r="B2102" s="2" t="inlineStr">
        <is>
          <t>PED00833</t>
        </is>
      </c>
      <c r="C2102" s="2" t="inlineStr">
        <is>
          <t>P070</t>
        </is>
      </c>
      <c r="D2102" s="2" t="n">
        <v>4</v>
      </c>
      <c r="E2102" s="19" t="n">
        <v>0</v>
      </c>
    </row>
    <row r="2103">
      <c r="A2103" s="2" t="inlineStr">
        <is>
          <t>IT00833_02</t>
        </is>
      </c>
      <c r="B2103" s="2" t="inlineStr">
        <is>
          <t>PED00833</t>
        </is>
      </c>
      <c r="C2103" s="2" t="inlineStr">
        <is>
          <t>P022</t>
        </is>
      </c>
      <c r="D2103" s="2" t="n">
        <v>4</v>
      </c>
      <c r="E2103" s="19" t="n">
        <v>0.1</v>
      </c>
    </row>
    <row r="2104">
      <c r="A2104" s="2" t="inlineStr">
        <is>
          <t>IT00834_01</t>
        </is>
      </c>
      <c r="B2104" s="2" t="inlineStr">
        <is>
          <t>PED00834</t>
        </is>
      </c>
      <c r="C2104" s="2" t="inlineStr">
        <is>
          <t>P018</t>
        </is>
      </c>
      <c r="D2104" s="2" t="n">
        <v>3</v>
      </c>
      <c r="E2104" s="19" t="n">
        <v>0.05</v>
      </c>
    </row>
    <row r="2105">
      <c r="A2105" s="2" t="inlineStr">
        <is>
          <t>IT00834_02</t>
        </is>
      </c>
      <c r="B2105" s="2" t="inlineStr">
        <is>
          <t>PED00834</t>
        </is>
      </c>
      <c r="C2105" s="2" t="inlineStr">
        <is>
          <t>P027</t>
        </is>
      </c>
      <c r="D2105" s="2" t="n">
        <v>10</v>
      </c>
      <c r="E2105" s="19" t="n">
        <v>0</v>
      </c>
    </row>
    <row r="2106">
      <c r="A2106" s="2" t="inlineStr">
        <is>
          <t>IT00834_03</t>
        </is>
      </c>
      <c r="B2106" s="2" t="inlineStr">
        <is>
          <t>PED00834</t>
        </is>
      </c>
      <c r="C2106" s="2" t="inlineStr">
        <is>
          <t>P051</t>
        </is>
      </c>
      <c r="D2106" s="2" t="n">
        <v>2</v>
      </c>
      <c r="E2106" s="19" t="n">
        <v>0</v>
      </c>
    </row>
    <row r="2107">
      <c r="A2107" s="2" t="inlineStr">
        <is>
          <t>IT00834_04</t>
        </is>
      </c>
      <c r="B2107" s="2" t="inlineStr">
        <is>
          <t>PED00834</t>
        </is>
      </c>
      <c r="C2107" s="2" t="inlineStr">
        <is>
          <t>P011</t>
        </is>
      </c>
      <c r="D2107" s="2" t="n">
        <v>1</v>
      </c>
      <c r="E2107" s="19" t="n">
        <v>0</v>
      </c>
    </row>
    <row r="2108">
      <c r="A2108" s="2" t="inlineStr">
        <is>
          <t>IT00835_01</t>
        </is>
      </c>
      <c r="B2108" s="2" t="inlineStr">
        <is>
          <t>PED00835</t>
        </is>
      </c>
      <c r="C2108" s="2" t="inlineStr">
        <is>
          <t>P051</t>
        </is>
      </c>
      <c r="D2108" s="2" t="n">
        <v>2</v>
      </c>
      <c r="E2108" s="19" t="n">
        <v>0</v>
      </c>
    </row>
    <row r="2109">
      <c r="A2109" s="2" t="inlineStr">
        <is>
          <t>IT00835_02</t>
        </is>
      </c>
      <c r="B2109" s="2" t="inlineStr">
        <is>
          <t>PED00835</t>
        </is>
      </c>
      <c r="C2109" s="2" t="inlineStr">
        <is>
          <t>P067</t>
        </is>
      </c>
      <c r="D2109" s="2" t="n">
        <v>2</v>
      </c>
      <c r="E2109" s="19" t="n">
        <v>0.02</v>
      </c>
    </row>
    <row r="2110">
      <c r="A2110" s="2" t="inlineStr">
        <is>
          <t>IT00836_01</t>
        </is>
      </c>
      <c r="B2110" s="2" t="inlineStr">
        <is>
          <t>PED00836</t>
        </is>
      </c>
      <c r="C2110" s="2" t="inlineStr">
        <is>
          <t>P025</t>
        </is>
      </c>
      <c r="D2110" s="2" t="n">
        <v>2</v>
      </c>
      <c r="E2110" s="19" t="n">
        <v>0.05</v>
      </c>
    </row>
    <row r="2111">
      <c r="A2111" s="2" t="inlineStr">
        <is>
          <t>IT00836_02</t>
        </is>
      </c>
      <c r="B2111" s="2" t="inlineStr">
        <is>
          <t>PED00836</t>
        </is>
      </c>
      <c r="C2111" s="2" t="inlineStr">
        <is>
          <t>P001</t>
        </is>
      </c>
      <c r="D2111" s="2" t="n">
        <v>2</v>
      </c>
      <c r="E2111" s="19" t="n">
        <v>0</v>
      </c>
    </row>
    <row r="2112">
      <c r="A2112" s="2" t="inlineStr">
        <is>
          <t>IT00836_03</t>
        </is>
      </c>
      <c r="B2112" s="2" t="inlineStr">
        <is>
          <t>PED00836</t>
        </is>
      </c>
      <c r="C2112" s="2" t="inlineStr">
        <is>
          <t>P065</t>
        </is>
      </c>
      <c r="D2112" s="2" t="n">
        <v>3</v>
      </c>
      <c r="E2112" s="19" t="n">
        <v>0</v>
      </c>
    </row>
    <row r="2113">
      <c r="A2113" s="2" t="inlineStr">
        <is>
          <t>IT00836_04</t>
        </is>
      </c>
      <c r="B2113" s="2" t="inlineStr">
        <is>
          <t>PED00836</t>
        </is>
      </c>
      <c r="C2113" s="2" t="inlineStr">
        <is>
          <t>P014</t>
        </is>
      </c>
      <c r="D2113" s="2" t="n">
        <v>1</v>
      </c>
      <c r="E2113" s="19" t="n">
        <v>0</v>
      </c>
    </row>
    <row r="2114">
      <c r="A2114" s="2" t="inlineStr">
        <is>
          <t>IT00837_01</t>
        </is>
      </c>
      <c r="B2114" s="2" t="inlineStr">
        <is>
          <t>PED00837</t>
        </is>
      </c>
      <c r="C2114" s="2" t="inlineStr">
        <is>
          <t>P010</t>
        </is>
      </c>
      <c r="D2114" s="2" t="n">
        <v>2</v>
      </c>
      <c r="E2114" s="19" t="n">
        <v>0</v>
      </c>
    </row>
    <row r="2115">
      <c r="A2115" s="2" t="inlineStr">
        <is>
          <t>IT00837_02</t>
        </is>
      </c>
      <c r="B2115" s="2" t="inlineStr">
        <is>
          <t>PED00837</t>
        </is>
      </c>
      <c r="C2115" s="2" t="inlineStr">
        <is>
          <t>P009</t>
        </is>
      </c>
      <c r="D2115" s="2" t="n">
        <v>5</v>
      </c>
      <c r="E2115" s="19" t="n">
        <v>0.02</v>
      </c>
    </row>
    <row r="2116">
      <c r="A2116" s="2" t="inlineStr">
        <is>
          <t>IT00837_03</t>
        </is>
      </c>
      <c r="B2116" s="2" t="inlineStr">
        <is>
          <t>PED00837</t>
        </is>
      </c>
      <c r="C2116" s="2" t="inlineStr">
        <is>
          <t>P033</t>
        </is>
      </c>
      <c r="D2116" s="2" t="n">
        <v>1</v>
      </c>
      <c r="E2116" s="19" t="n">
        <v>0</v>
      </c>
    </row>
    <row r="2117">
      <c r="A2117" s="2" t="inlineStr">
        <is>
          <t>IT00838_01</t>
        </is>
      </c>
      <c r="B2117" s="2" t="inlineStr">
        <is>
          <t>PED00838</t>
        </is>
      </c>
      <c r="C2117" s="2" t="inlineStr">
        <is>
          <t>P006</t>
        </is>
      </c>
      <c r="D2117" s="2" t="n">
        <v>5</v>
      </c>
      <c r="E2117" s="19" t="n">
        <v>0</v>
      </c>
    </row>
    <row r="2118">
      <c r="A2118" s="2" t="inlineStr">
        <is>
          <t>IT00838_02</t>
        </is>
      </c>
      <c r="B2118" s="2" t="inlineStr">
        <is>
          <t>PED00838</t>
        </is>
      </c>
      <c r="C2118" s="2" t="inlineStr">
        <is>
          <t>P063</t>
        </is>
      </c>
      <c r="D2118" s="2" t="n">
        <v>1</v>
      </c>
      <c r="E2118" s="19" t="n">
        <v>0</v>
      </c>
    </row>
    <row r="2119">
      <c r="A2119" s="2" t="inlineStr">
        <is>
          <t>IT00839_01</t>
        </is>
      </c>
      <c r="B2119" s="2" t="inlineStr">
        <is>
          <t>PED00839</t>
        </is>
      </c>
      <c r="C2119" s="2" t="inlineStr">
        <is>
          <t>P063</t>
        </is>
      </c>
      <c r="D2119" s="2" t="n">
        <v>2</v>
      </c>
      <c r="E2119" s="19" t="n">
        <v>0</v>
      </c>
    </row>
    <row r="2120">
      <c r="A2120" s="2" t="inlineStr">
        <is>
          <t>IT00839_02</t>
        </is>
      </c>
      <c r="B2120" s="2" t="inlineStr">
        <is>
          <t>PED00839</t>
        </is>
      </c>
      <c r="C2120" s="2" t="inlineStr">
        <is>
          <t>P004</t>
        </is>
      </c>
      <c r="D2120" s="2" t="n">
        <v>1</v>
      </c>
      <c r="E2120" s="19" t="n">
        <v>0.02</v>
      </c>
    </row>
    <row r="2121">
      <c r="A2121" s="2" t="inlineStr">
        <is>
          <t>IT00839_03</t>
        </is>
      </c>
      <c r="B2121" s="2" t="inlineStr">
        <is>
          <t>PED00839</t>
        </is>
      </c>
      <c r="C2121" s="2" t="inlineStr">
        <is>
          <t>P049</t>
        </is>
      </c>
      <c r="D2121" s="2" t="n">
        <v>3</v>
      </c>
      <c r="E2121" s="19" t="n">
        <v>0.05</v>
      </c>
    </row>
    <row r="2122">
      <c r="A2122" s="2" t="inlineStr">
        <is>
          <t>IT00839_04</t>
        </is>
      </c>
      <c r="B2122" s="2" t="inlineStr">
        <is>
          <t>PED00839</t>
        </is>
      </c>
      <c r="C2122" s="2" t="inlineStr">
        <is>
          <t>P005</t>
        </is>
      </c>
      <c r="D2122" s="2" t="n">
        <v>2</v>
      </c>
      <c r="E2122" s="19" t="n">
        <v>0.02</v>
      </c>
    </row>
    <row r="2123">
      <c r="A2123" s="2" t="inlineStr">
        <is>
          <t>IT00839_05</t>
        </is>
      </c>
      <c r="B2123" s="2" t="inlineStr">
        <is>
          <t>PED00839</t>
        </is>
      </c>
      <c r="C2123" s="2" t="inlineStr">
        <is>
          <t>P012</t>
        </is>
      </c>
      <c r="D2123" s="2" t="n">
        <v>1</v>
      </c>
      <c r="E2123" s="19" t="n">
        <v>0.1</v>
      </c>
    </row>
    <row r="2124">
      <c r="A2124" s="2" t="inlineStr">
        <is>
          <t>IT00840_01</t>
        </is>
      </c>
      <c r="B2124" s="2" t="inlineStr">
        <is>
          <t>PED00840</t>
        </is>
      </c>
      <c r="C2124" s="2" t="inlineStr">
        <is>
          <t>P013</t>
        </is>
      </c>
      <c r="D2124" s="2" t="n">
        <v>2</v>
      </c>
      <c r="E2124" s="19" t="n">
        <v>0.02</v>
      </c>
    </row>
    <row r="2125">
      <c r="A2125" s="2" t="inlineStr">
        <is>
          <t>IT00840_02</t>
        </is>
      </c>
      <c r="B2125" s="2" t="inlineStr">
        <is>
          <t>PED00840</t>
        </is>
      </c>
      <c r="C2125" s="2" t="inlineStr">
        <is>
          <t>P002</t>
        </is>
      </c>
      <c r="D2125" s="2" t="n">
        <v>1</v>
      </c>
      <c r="E2125" s="19" t="n">
        <v>0</v>
      </c>
    </row>
    <row r="2126">
      <c r="A2126" s="2" t="inlineStr">
        <is>
          <t>IT00840_03</t>
        </is>
      </c>
      <c r="B2126" s="2" t="inlineStr">
        <is>
          <t>PED00840</t>
        </is>
      </c>
      <c r="C2126" s="2" t="inlineStr">
        <is>
          <t>P017</t>
        </is>
      </c>
      <c r="D2126" s="2" t="n">
        <v>1</v>
      </c>
      <c r="E2126" s="19" t="n">
        <v>0</v>
      </c>
    </row>
    <row r="2127">
      <c r="A2127" s="2" t="inlineStr">
        <is>
          <t>IT00841_01</t>
        </is>
      </c>
      <c r="B2127" s="2" t="inlineStr">
        <is>
          <t>PED00841</t>
        </is>
      </c>
      <c r="C2127" s="2" t="inlineStr">
        <is>
          <t>P016</t>
        </is>
      </c>
      <c r="D2127" s="2" t="n">
        <v>2</v>
      </c>
      <c r="E2127" s="19" t="n">
        <v>0.05</v>
      </c>
    </row>
    <row r="2128">
      <c r="A2128" s="2" t="inlineStr">
        <is>
          <t>IT00841_02</t>
        </is>
      </c>
      <c r="B2128" s="2" t="inlineStr">
        <is>
          <t>PED00841</t>
        </is>
      </c>
      <c r="C2128" s="2" t="inlineStr">
        <is>
          <t>P067</t>
        </is>
      </c>
      <c r="D2128" s="2" t="n">
        <v>1</v>
      </c>
      <c r="E2128" s="19" t="n">
        <v>0</v>
      </c>
    </row>
    <row r="2129">
      <c r="A2129" s="2" t="inlineStr">
        <is>
          <t>IT00842_01</t>
        </is>
      </c>
      <c r="B2129" s="2" t="inlineStr">
        <is>
          <t>PED00842</t>
        </is>
      </c>
      <c r="C2129" s="2" t="inlineStr">
        <is>
          <t>P062</t>
        </is>
      </c>
      <c r="D2129" s="2" t="n">
        <v>2</v>
      </c>
      <c r="E2129" s="19" t="n">
        <v>0</v>
      </c>
    </row>
    <row r="2130">
      <c r="A2130" s="2" t="inlineStr">
        <is>
          <t>IT00843_01</t>
        </is>
      </c>
      <c r="B2130" s="2" t="inlineStr">
        <is>
          <t>PED00843</t>
        </is>
      </c>
      <c r="C2130" s="2" t="inlineStr">
        <is>
          <t>P064</t>
        </is>
      </c>
      <c r="D2130" s="2" t="n">
        <v>3</v>
      </c>
      <c r="E2130" s="19" t="n">
        <v>0.05</v>
      </c>
    </row>
    <row r="2131">
      <c r="A2131" s="2" t="inlineStr">
        <is>
          <t>IT00843_02</t>
        </is>
      </c>
      <c r="B2131" s="2" t="inlineStr">
        <is>
          <t>PED00843</t>
        </is>
      </c>
      <c r="C2131" s="2" t="inlineStr">
        <is>
          <t>P030</t>
        </is>
      </c>
      <c r="D2131" s="2" t="n">
        <v>1</v>
      </c>
      <c r="E2131" s="19" t="n">
        <v>0</v>
      </c>
    </row>
    <row r="2132">
      <c r="A2132" s="2" t="inlineStr">
        <is>
          <t>IT00843_03</t>
        </is>
      </c>
      <c r="B2132" s="2" t="inlineStr">
        <is>
          <t>PED00843</t>
        </is>
      </c>
      <c r="C2132" s="2" t="inlineStr">
        <is>
          <t>P057</t>
        </is>
      </c>
      <c r="D2132" s="2" t="n">
        <v>1</v>
      </c>
      <c r="E2132" s="19" t="n">
        <v>0.1</v>
      </c>
    </row>
    <row r="2133">
      <c r="A2133" s="2" t="inlineStr">
        <is>
          <t>IT00844_01</t>
        </is>
      </c>
      <c r="B2133" s="2" t="inlineStr">
        <is>
          <t>PED00844</t>
        </is>
      </c>
      <c r="C2133" s="2" t="inlineStr">
        <is>
          <t>P068</t>
        </is>
      </c>
      <c r="D2133" s="2" t="n">
        <v>4</v>
      </c>
      <c r="E2133" s="19" t="n">
        <v>0</v>
      </c>
    </row>
    <row r="2134">
      <c r="A2134" s="2" t="inlineStr">
        <is>
          <t>IT00845_01</t>
        </is>
      </c>
      <c r="B2134" s="2" t="inlineStr">
        <is>
          <t>PED00845</t>
        </is>
      </c>
      <c r="C2134" s="2" t="inlineStr">
        <is>
          <t>P009</t>
        </is>
      </c>
      <c r="D2134" s="2" t="n">
        <v>1</v>
      </c>
      <c r="E2134" s="19" t="n">
        <v>0.05</v>
      </c>
    </row>
    <row r="2135">
      <c r="A2135" s="2" t="inlineStr">
        <is>
          <t>IT00845_02</t>
        </is>
      </c>
      <c r="B2135" s="2" t="inlineStr">
        <is>
          <t>PED00845</t>
        </is>
      </c>
      <c r="C2135" s="2" t="inlineStr">
        <is>
          <t>P012</t>
        </is>
      </c>
      <c r="D2135" s="2" t="n">
        <v>1</v>
      </c>
      <c r="E2135" s="19" t="n">
        <v>0</v>
      </c>
    </row>
    <row r="2136">
      <c r="A2136" s="2" t="inlineStr">
        <is>
          <t>IT00846_01</t>
        </is>
      </c>
      <c r="B2136" s="2" t="inlineStr">
        <is>
          <t>PED00846</t>
        </is>
      </c>
      <c r="C2136" s="2" t="inlineStr">
        <is>
          <t>P070</t>
        </is>
      </c>
      <c r="D2136" s="2" t="n">
        <v>1</v>
      </c>
      <c r="E2136" s="19" t="n">
        <v>0</v>
      </c>
    </row>
    <row r="2137">
      <c r="A2137" s="2" t="inlineStr">
        <is>
          <t>IT00847_01</t>
        </is>
      </c>
      <c r="B2137" s="2" t="inlineStr">
        <is>
          <t>PED00847</t>
        </is>
      </c>
      <c r="C2137" s="2" t="inlineStr">
        <is>
          <t>P039</t>
        </is>
      </c>
      <c r="D2137" s="2" t="n">
        <v>1</v>
      </c>
      <c r="E2137" s="19" t="n">
        <v>0.02</v>
      </c>
    </row>
    <row r="2138">
      <c r="A2138" s="2" t="inlineStr">
        <is>
          <t>IT00848_01</t>
        </is>
      </c>
      <c r="B2138" s="2" t="inlineStr">
        <is>
          <t>PED00848</t>
        </is>
      </c>
      <c r="C2138" s="2" t="inlineStr">
        <is>
          <t>P068</t>
        </is>
      </c>
      <c r="D2138" s="2" t="n">
        <v>1</v>
      </c>
      <c r="E2138" s="19" t="n">
        <v>0.05</v>
      </c>
    </row>
    <row r="2139">
      <c r="A2139" s="2" t="inlineStr">
        <is>
          <t>IT00848_02</t>
        </is>
      </c>
      <c r="B2139" s="2" t="inlineStr">
        <is>
          <t>PED00848</t>
        </is>
      </c>
      <c r="C2139" s="2" t="inlineStr">
        <is>
          <t>P002</t>
        </is>
      </c>
      <c r="D2139" s="2" t="n">
        <v>1</v>
      </c>
      <c r="E2139" s="19" t="n">
        <v>0</v>
      </c>
    </row>
    <row r="2140">
      <c r="A2140" s="2" t="inlineStr">
        <is>
          <t>IT00849_01</t>
        </is>
      </c>
      <c r="B2140" s="2" t="inlineStr">
        <is>
          <t>PED00849</t>
        </is>
      </c>
      <c r="C2140" s="2" t="inlineStr">
        <is>
          <t>P070</t>
        </is>
      </c>
      <c r="D2140" s="2" t="n">
        <v>4</v>
      </c>
      <c r="E2140" s="19" t="n">
        <v>0</v>
      </c>
    </row>
    <row r="2141">
      <c r="A2141" s="2" t="inlineStr">
        <is>
          <t>IT00850_01</t>
        </is>
      </c>
      <c r="B2141" s="2" t="inlineStr">
        <is>
          <t>PED00850</t>
        </is>
      </c>
      <c r="C2141" s="2" t="inlineStr">
        <is>
          <t>P022</t>
        </is>
      </c>
      <c r="D2141" s="2" t="n">
        <v>3</v>
      </c>
      <c r="E2141" s="19" t="n">
        <v>0</v>
      </c>
    </row>
    <row r="2142">
      <c r="A2142" s="2" t="inlineStr">
        <is>
          <t>IT00850_02</t>
        </is>
      </c>
      <c r="B2142" s="2" t="inlineStr">
        <is>
          <t>PED00850</t>
        </is>
      </c>
      <c r="C2142" s="2" t="inlineStr">
        <is>
          <t>P032</t>
        </is>
      </c>
      <c r="D2142" s="2" t="n">
        <v>3</v>
      </c>
      <c r="E2142" s="19" t="n">
        <v>0</v>
      </c>
    </row>
    <row r="2143">
      <c r="A2143" s="2" t="inlineStr">
        <is>
          <t>IT00850_03</t>
        </is>
      </c>
      <c r="B2143" s="2" t="inlineStr">
        <is>
          <t>PED00850</t>
        </is>
      </c>
      <c r="C2143" s="2" t="inlineStr">
        <is>
          <t>P053</t>
        </is>
      </c>
      <c r="D2143" s="2" t="n">
        <v>1</v>
      </c>
      <c r="E2143" s="19" t="n">
        <v>0</v>
      </c>
    </row>
    <row r="2144">
      <c r="A2144" s="2" t="inlineStr">
        <is>
          <t>IT00850_04</t>
        </is>
      </c>
      <c r="B2144" s="2" t="inlineStr">
        <is>
          <t>PED00850</t>
        </is>
      </c>
      <c r="C2144" s="2" t="inlineStr">
        <is>
          <t>P047</t>
        </is>
      </c>
      <c r="D2144" s="2" t="n">
        <v>1</v>
      </c>
      <c r="E2144" s="19" t="n">
        <v>0.02</v>
      </c>
    </row>
    <row r="2145">
      <c r="A2145" s="2" t="inlineStr">
        <is>
          <t>IT00850_05</t>
        </is>
      </c>
      <c r="B2145" s="2" t="inlineStr">
        <is>
          <t>PED00850</t>
        </is>
      </c>
      <c r="C2145" s="2" t="inlineStr">
        <is>
          <t>P029</t>
        </is>
      </c>
      <c r="D2145" s="2" t="n">
        <v>1</v>
      </c>
      <c r="E2145" s="19" t="n">
        <v>0</v>
      </c>
    </row>
    <row r="2146">
      <c r="A2146" s="2" t="inlineStr">
        <is>
          <t>IT00851_01</t>
        </is>
      </c>
      <c r="B2146" s="2" t="inlineStr">
        <is>
          <t>PED00851</t>
        </is>
      </c>
      <c r="C2146" s="2" t="inlineStr">
        <is>
          <t>P021</t>
        </is>
      </c>
      <c r="D2146" s="2" t="n">
        <v>1</v>
      </c>
      <c r="E2146" s="19" t="n">
        <v>0.02</v>
      </c>
    </row>
    <row r="2147">
      <c r="A2147" s="2" t="inlineStr">
        <is>
          <t>IT00851_02</t>
        </is>
      </c>
      <c r="B2147" s="2" t="inlineStr">
        <is>
          <t>PED00851</t>
        </is>
      </c>
      <c r="C2147" s="2" t="inlineStr">
        <is>
          <t>P031</t>
        </is>
      </c>
      <c r="D2147" s="2" t="n">
        <v>2</v>
      </c>
      <c r="E2147" s="19" t="n">
        <v>0</v>
      </c>
    </row>
    <row r="2148">
      <c r="A2148" s="2" t="inlineStr">
        <is>
          <t>IT00851_03</t>
        </is>
      </c>
      <c r="B2148" s="2" t="inlineStr">
        <is>
          <t>PED00851</t>
        </is>
      </c>
      <c r="C2148" s="2" t="inlineStr">
        <is>
          <t>P067</t>
        </is>
      </c>
      <c r="D2148" s="2" t="n">
        <v>1</v>
      </c>
      <c r="E2148" s="19" t="n">
        <v>0</v>
      </c>
    </row>
    <row r="2149">
      <c r="A2149" s="2" t="inlineStr">
        <is>
          <t>IT00852_01</t>
        </is>
      </c>
      <c r="B2149" s="2" t="inlineStr">
        <is>
          <t>PED00852</t>
        </is>
      </c>
      <c r="C2149" s="2" t="inlineStr">
        <is>
          <t>P044</t>
        </is>
      </c>
      <c r="D2149" s="2" t="n">
        <v>4</v>
      </c>
      <c r="E2149" s="19" t="n">
        <v>0.05</v>
      </c>
    </row>
    <row r="2150">
      <c r="A2150" s="2" t="inlineStr">
        <is>
          <t>IT00852_02</t>
        </is>
      </c>
      <c r="B2150" s="2" t="inlineStr">
        <is>
          <t>PED00852</t>
        </is>
      </c>
      <c r="C2150" s="2" t="inlineStr">
        <is>
          <t>P039</t>
        </is>
      </c>
      <c r="D2150" s="2" t="n">
        <v>2</v>
      </c>
      <c r="E2150" s="19" t="n">
        <v>0</v>
      </c>
    </row>
    <row r="2151">
      <c r="A2151" s="2" t="inlineStr">
        <is>
          <t>IT00852_03</t>
        </is>
      </c>
      <c r="B2151" s="2" t="inlineStr">
        <is>
          <t>PED00852</t>
        </is>
      </c>
      <c r="C2151" s="2" t="inlineStr">
        <is>
          <t>P069</t>
        </is>
      </c>
      <c r="D2151" s="2" t="n">
        <v>3</v>
      </c>
      <c r="E2151" s="19" t="n">
        <v>0.05</v>
      </c>
    </row>
    <row r="2152">
      <c r="A2152" s="2" t="inlineStr">
        <is>
          <t>IT00852_04</t>
        </is>
      </c>
      <c r="B2152" s="2" t="inlineStr">
        <is>
          <t>PED00852</t>
        </is>
      </c>
      <c r="C2152" s="2" t="inlineStr">
        <is>
          <t>P042</t>
        </is>
      </c>
      <c r="D2152" s="2" t="n">
        <v>2</v>
      </c>
      <c r="E2152" s="19" t="n">
        <v>0</v>
      </c>
    </row>
    <row r="2153">
      <c r="A2153" s="2" t="inlineStr">
        <is>
          <t>IT00853_01</t>
        </is>
      </c>
      <c r="B2153" s="2" t="inlineStr">
        <is>
          <t>PED00853</t>
        </is>
      </c>
      <c r="C2153" s="2" t="inlineStr">
        <is>
          <t>P067</t>
        </is>
      </c>
      <c r="D2153" s="2" t="n">
        <v>1</v>
      </c>
      <c r="E2153" s="19" t="n">
        <v>0</v>
      </c>
    </row>
    <row r="2154">
      <c r="A2154" s="2" t="inlineStr">
        <is>
          <t>IT00853_02</t>
        </is>
      </c>
      <c r="B2154" s="2" t="inlineStr">
        <is>
          <t>PED00853</t>
        </is>
      </c>
      <c r="C2154" s="2" t="inlineStr">
        <is>
          <t>P009</t>
        </is>
      </c>
      <c r="D2154" s="2" t="n">
        <v>1</v>
      </c>
      <c r="E2154" s="19" t="n">
        <v>0</v>
      </c>
    </row>
    <row r="2155">
      <c r="A2155" s="2" t="inlineStr">
        <is>
          <t>IT00854_01</t>
        </is>
      </c>
      <c r="B2155" s="2" t="inlineStr">
        <is>
          <t>PED00854</t>
        </is>
      </c>
      <c r="C2155" s="2" t="inlineStr">
        <is>
          <t>P040</t>
        </is>
      </c>
      <c r="D2155" s="2" t="n">
        <v>1</v>
      </c>
      <c r="E2155" s="19" t="n">
        <v>0</v>
      </c>
    </row>
    <row r="2156">
      <c r="A2156" s="2" t="inlineStr">
        <is>
          <t>IT00855_01</t>
        </is>
      </c>
      <c r="B2156" s="2" t="inlineStr">
        <is>
          <t>PED00855</t>
        </is>
      </c>
      <c r="C2156" s="2" t="inlineStr">
        <is>
          <t>P018</t>
        </is>
      </c>
      <c r="D2156" s="2" t="n">
        <v>2</v>
      </c>
      <c r="E2156" s="19" t="n">
        <v>0</v>
      </c>
    </row>
    <row r="2157">
      <c r="A2157" s="2" t="inlineStr">
        <is>
          <t>IT00855_02</t>
        </is>
      </c>
      <c r="B2157" s="2" t="inlineStr">
        <is>
          <t>PED00855</t>
        </is>
      </c>
      <c r="C2157" s="2" t="inlineStr">
        <is>
          <t>P038</t>
        </is>
      </c>
      <c r="D2157" s="2" t="n">
        <v>2</v>
      </c>
      <c r="E2157" s="19" t="n">
        <v>0</v>
      </c>
    </row>
    <row r="2158">
      <c r="A2158" s="2" t="inlineStr">
        <is>
          <t>IT00855_03</t>
        </is>
      </c>
      <c r="B2158" s="2" t="inlineStr">
        <is>
          <t>PED00855</t>
        </is>
      </c>
      <c r="C2158" s="2" t="inlineStr">
        <is>
          <t>P025</t>
        </is>
      </c>
      <c r="D2158" s="2" t="n">
        <v>3</v>
      </c>
      <c r="E2158" s="19" t="n">
        <v>0</v>
      </c>
    </row>
    <row r="2159">
      <c r="A2159" s="2" t="inlineStr">
        <is>
          <t>IT00856_01</t>
        </is>
      </c>
      <c r="B2159" s="2" t="inlineStr">
        <is>
          <t>PED00856</t>
        </is>
      </c>
      <c r="C2159" s="2" t="inlineStr">
        <is>
          <t>P024</t>
        </is>
      </c>
      <c r="D2159" s="2" t="n">
        <v>1</v>
      </c>
      <c r="E2159" s="19" t="n">
        <v>0.02</v>
      </c>
    </row>
    <row r="2160">
      <c r="A2160" s="2" t="inlineStr">
        <is>
          <t>IT00856_02</t>
        </is>
      </c>
      <c r="B2160" s="2" t="inlineStr">
        <is>
          <t>PED00856</t>
        </is>
      </c>
      <c r="C2160" s="2" t="inlineStr">
        <is>
          <t>P064</t>
        </is>
      </c>
      <c r="D2160" s="2" t="n">
        <v>5</v>
      </c>
      <c r="E2160" s="19" t="n">
        <v>0</v>
      </c>
    </row>
    <row r="2161">
      <c r="A2161" s="2" t="inlineStr">
        <is>
          <t>IT00856_03</t>
        </is>
      </c>
      <c r="B2161" s="2" t="inlineStr">
        <is>
          <t>PED00856</t>
        </is>
      </c>
      <c r="C2161" s="2" t="inlineStr">
        <is>
          <t>P048</t>
        </is>
      </c>
      <c r="D2161" s="2" t="n">
        <v>1</v>
      </c>
      <c r="E2161" s="19" t="n">
        <v>0</v>
      </c>
    </row>
    <row r="2162">
      <c r="A2162" s="2" t="inlineStr">
        <is>
          <t>IT00856_04</t>
        </is>
      </c>
      <c r="B2162" s="2" t="inlineStr">
        <is>
          <t>PED00856</t>
        </is>
      </c>
      <c r="C2162" s="2" t="inlineStr">
        <is>
          <t>P032</t>
        </is>
      </c>
      <c r="D2162" s="2" t="n">
        <v>1</v>
      </c>
      <c r="E2162" s="19" t="n">
        <v>0</v>
      </c>
    </row>
    <row r="2163">
      <c r="A2163" s="2" t="inlineStr">
        <is>
          <t>IT00857_01</t>
        </is>
      </c>
      <c r="B2163" s="2" t="inlineStr">
        <is>
          <t>PED00857</t>
        </is>
      </c>
      <c r="C2163" s="2" t="inlineStr">
        <is>
          <t>P059</t>
        </is>
      </c>
      <c r="D2163" s="2" t="n">
        <v>1</v>
      </c>
      <c r="E2163" s="19" t="n">
        <v>0</v>
      </c>
    </row>
    <row r="2164">
      <c r="A2164" s="2" t="inlineStr">
        <is>
          <t>IT00857_02</t>
        </is>
      </c>
      <c r="B2164" s="2" t="inlineStr">
        <is>
          <t>PED00857</t>
        </is>
      </c>
      <c r="C2164" s="2" t="inlineStr">
        <is>
          <t>P036</t>
        </is>
      </c>
      <c r="D2164" s="2" t="n">
        <v>2</v>
      </c>
      <c r="E2164" s="19" t="n">
        <v>0.1</v>
      </c>
    </row>
    <row r="2165">
      <c r="A2165" s="2" t="inlineStr">
        <is>
          <t>IT00857_03</t>
        </is>
      </c>
      <c r="B2165" s="2" t="inlineStr">
        <is>
          <t>PED00857</t>
        </is>
      </c>
      <c r="C2165" s="2" t="inlineStr">
        <is>
          <t>P066</t>
        </is>
      </c>
      <c r="D2165" s="2" t="n">
        <v>2</v>
      </c>
      <c r="E2165" s="19" t="n">
        <v>0</v>
      </c>
    </row>
    <row r="2166">
      <c r="A2166" s="2" t="inlineStr">
        <is>
          <t>IT00857_04</t>
        </is>
      </c>
      <c r="B2166" s="2" t="inlineStr">
        <is>
          <t>PED00857</t>
        </is>
      </c>
      <c r="C2166" s="2" t="inlineStr">
        <is>
          <t>P054</t>
        </is>
      </c>
      <c r="D2166" s="2" t="n">
        <v>1</v>
      </c>
      <c r="E2166" s="19" t="n">
        <v>0</v>
      </c>
    </row>
    <row r="2167">
      <c r="A2167" s="2" t="inlineStr">
        <is>
          <t>IT00858_01</t>
        </is>
      </c>
      <c r="B2167" s="2" t="inlineStr">
        <is>
          <t>PED00858</t>
        </is>
      </c>
      <c r="C2167" s="2" t="inlineStr">
        <is>
          <t>P014</t>
        </is>
      </c>
      <c r="D2167" s="2" t="n">
        <v>2</v>
      </c>
      <c r="E2167" s="19" t="n">
        <v>0</v>
      </c>
    </row>
    <row r="2168">
      <c r="A2168" s="2" t="inlineStr">
        <is>
          <t>IT00859_01</t>
        </is>
      </c>
      <c r="B2168" s="2" t="inlineStr">
        <is>
          <t>PED00859</t>
        </is>
      </c>
      <c r="C2168" s="2" t="inlineStr">
        <is>
          <t>P036</t>
        </is>
      </c>
      <c r="D2168" s="2" t="n">
        <v>1</v>
      </c>
      <c r="E2168" s="19" t="n">
        <v>0</v>
      </c>
    </row>
    <row r="2169">
      <c r="A2169" s="2" t="inlineStr">
        <is>
          <t>IT00860_01</t>
        </is>
      </c>
      <c r="B2169" s="2" t="inlineStr">
        <is>
          <t>PED00860</t>
        </is>
      </c>
      <c r="C2169" s="2" t="inlineStr">
        <is>
          <t>P041</t>
        </is>
      </c>
      <c r="D2169" s="2" t="n">
        <v>3</v>
      </c>
      <c r="E2169" s="19" t="n">
        <v>0</v>
      </c>
    </row>
    <row r="2170">
      <c r="A2170" s="2" t="inlineStr">
        <is>
          <t>IT00861_01</t>
        </is>
      </c>
      <c r="B2170" s="2" t="inlineStr">
        <is>
          <t>PED00861</t>
        </is>
      </c>
      <c r="C2170" s="2" t="inlineStr">
        <is>
          <t>P035</t>
        </is>
      </c>
      <c r="D2170" s="2" t="n">
        <v>3</v>
      </c>
      <c r="E2170" s="19" t="n">
        <v>0</v>
      </c>
    </row>
    <row r="2171">
      <c r="A2171" s="2" t="inlineStr">
        <is>
          <t>IT00861_02</t>
        </is>
      </c>
      <c r="B2171" s="2" t="inlineStr">
        <is>
          <t>PED00861</t>
        </is>
      </c>
      <c r="C2171" s="2" t="inlineStr">
        <is>
          <t>P063</t>
        </is>
      </c>
      <c r="D2171" s="2" t="n">
        <v>2</v>
      </c>
      <c r="E2171" s="19" t="n">
        <v>0</v>
      </c>
    </row>
    <row r="2172">
      <c r="A2172" s="2" t="inlineStr">
        <is>
          <t>IT00861_03</t>
        </is>
      </c>
      <c r="B2172" s="2" t="inlineStr">
        <is>
          <t>PED00861</t>
        </is>
      </c>
      <c r="C2172" s="2" t="inlineStr">
        <is>
          <t>P016</t>
        </is>
      </c>
      <c r="D2172" s="2" t="n">
        <v>1</v>
      </c>
      <c r="E2172" s="19" t="n">
        <v>0</v>
      </c>
    </row>
    <row r="2173">
      <c r="A2173" s="2" t="inlineStr">
        <is>
          <t>IT00861_04</t>
        </is>
      </c>
      <c r="B2173" s="2" t="inlineStr">
        <is>
          <t>PED00861</t>
        </is>
      </c>
      <c r="C2173" s="2" t="inlineStr">
        <is>
          <t>P013</t>
        </is>
      </c>
      <c r="D2173" s="2" t="n">
        <v>1</v>
      </c>
      <c r="E2173" s="19" t="n">
        <v>0</v>
      </c>
    </row>
    <row r="2174">
      <c r="A2174" s="2" t="inlineStr">
        <is>
          <t>IT00861_05</t>
        </is>
      </c>
      <c r="B2174" s="2" t="inlineStr">
        <is>
          <t>PED00861</t>
        </is>
      </c>
      <c r="C2174" s="2" t="inlineStr">
        <is>
          <t>P032</t>
        </is>
      </c>
      <c r="D2174" s="2" t="n">
        <v>1</v>
      </c>
      <c r="E2174" s="19" t="n">
        <v>0</v>
      </c>
    </row>
    <row r="2175">
      <c r="A2175" s="2" t="inlineStr">
        <is>
          <t>IT00862_01</t>
        </is>
      </c>
      <c r="B2175" s="2" t="inlineStr">
        <is>
          <t>PED00862</t>
        </is>
      </c>
      <c r="C2175" s="2" t="inlineStr">
        <is>
          <t>P057</t>
        </is>
      </c>
      <c r="D2175" s="2" t="n">
        <v>4</v>
      </c>
      <c r="E2175" s="19" t="n">
        <v>0.02</v>
      </c>
    </row>
    <row r="2176">
      <c r="A2176" s="2" t="inlineStr">
        <is>
          <t>IT00862_02</t>
        </is>
      </c>
      <c r="B2176" s="2" t="inlineStr">
        <is>
          <t>PED00862</t>
        </is>
      </c>
      <c r="C2176" s="2" t="inlineStr">
        <is>
          <t>P020</t>
        </is>
      </c>
      <c r="D2176" s="2" t="n">
        <v>1</v>
      </c>
      <c r="E2176" s="19" t="n">
        <v>0.02</v>
      </c>
    </row>
    <row r="2177">
      <c r="A2177" s="2" t="inlineStr">
        <is>
          <t>IT00862_03</t>
        </is>
      </c>
      <c r="B2177" s="2" t="inlineStr">
        <is>
          <t>PED00862</t>
        </is>
      </c>
      <c r="C2177" s="2" t="inlineStr">
        <is>
          <t>P050</t>
        </is>
      </c>
      <c r="D2177" s="2" t="n">
        <v>1</v>
      </c>
      <c r="E2177" s="19" t="n">
        <v>0.02</v>
      </c>
    </row>
    <row r="2178">
      <c r="A2178" s="2" t="inlineStr">
        <is>
          <t>IT00863_01</t>
        </is>
      </c>
      <c r="B2178" s="2" t="inlineStr">
        <is>
          <t>PED00863</t>
        </is>
      </c>
      <c r="C2178" s="2" t="inlineStr">
        <is>
          <t>P027</t>
        </is>
      </c>
      <c r="D2178" s="2" t="n">
        <v>2</v>
      </c>
      <c r="E2178" s="19" t="n">
        <v>0.02</v>
      </c>
    </row>
    <row r="2179">
      <c r="A2179" s="2" t="inlineStr">
        <is>
          <t>IT00863_02</t>
        </is>
      </c>
      <c r="B2179" s="2" t="inlineStr">
        <is>
          <t>PED00863</t>
        </is>
      </c>
      <c r="C2179" s="2" t="inlineStr">
        <is>
          <t>P048</t>
        </is>
      </c>
      <c r="D2179" s="2" t="n">
        <v>1</v>
      </c>
      <c r="E2179" s="19" t="n">
        <v>0.02</v>
      </c>
    </row>
    <row r="2180">
      <c r="A2180" s="2" t="inlineStr">
        <is>
          <t>IT00863_03</t>
        </is>
      </c>
      <c r="B2180" s="2" t="inlineStr">
        <is>
          <t>PED00863</t>
        </is>
      </c>
      <c r="C2180" s="2" t="inlineStr">
        <is>
          <t>P019</t>
        </is>
      </c>
      <c r="D2180" s="2" t="n">
        <v>1</v>
      </c>
      <c r="E2180" s="19" t="n">
        <v>0</v>
      </c>
    </row>
    <row r="2181">
      <c r="A2181" s="2" t="inlineStr">
        <is>
          <t>IT00863_04</t>
        </is>
      </c>
      <c r="B2181" s="2" t="inlineStr">
        <is>
          <t>PED00863</t>
        </is>
      </c>
      <c r="C2181" s="2" t="inlineStr">
        <is>
          <t>P010</t>
        </is>
      </c>
      <c r="D2181" s="2" t="n">
        <v>1</v>
      </c>
      <c r="E2181" s="19" t="n">
        <v>0</v>
      </c>
    </row>
    <row r="2182">
      <c r="A2182" s="2" t="inlineStr">
        <is>
          <t>IT00864_01</t>
        </is>
      </c>
      <c r="B2182" s="2" t="inlineStr">
        <is>
          <t>PED00864</t>
        </is>
      </c>
      <c r="C2182" s="2" t="inlineStr">
        <is>
          <t>P032</t>
        </is>
      </c>
      <c r="D2182" s="2" t="n">
        <v>2</v>
      </c>
      <c r="E2182" s="19" t="n">
        <v>0</v>
      </c>
    </row>
    <row r="2183">
      <c r="A2183" s="2" t="inlineStr">
        <is>
          <t>IT00864_02</t>
        </is>
      </c>
      <c r="B2183" s="2" t="inlineStr">
        <is>
          <t>PED00864</t>
        </is>
      </c>
      <c r="C2183" s="2" t="inlineStr">
        <is>
          <t>P009</t>
        </is>
      </c>
      <c r="D2183" s="2" t="n">
        <v>1</v>
      </c>
      <c r="E2183" s="19" t="n">
        <v>0</v>
      </c>
    </row>
    <row r="2184">
      <c r="A2184" s="2" t="inlineStr">
        <is>
          <t>IT00864_03</t>
        </is>
      </c>
      <c r="B2184" s="2" t="inlineStr">
        <is>
          <t>PED00864</t>
        </is>
      </c>
      <c r="C2184" s="2" t="inlineStr">
        <is>
          <t>P058</t>
        </is>
      </c>
      <c r="D2184" s="2" t="n">
        <v>2</v>
      </c>
      <c r="E2184" s="19" t="n">
        <v>0</v>
      </c>
    </row>
    <row r="2185">
      <c r="A2185" s="2" t="inlineStr">
        <is>
          <t>IT00864_04</t>
        </is>
      </c>
      <c r="B2185" s="2" t="inlineStr">
        <is>
          <t>PED00864</t>
        </is>
      </c>
      <c r="C2185" s="2" t="inlineStr">
        <is>
          <t>P003</t>
        </is>
      </c>
      <c r="D2185" s="2" t="n">
        <v>2</v>
      </c>
      <c r="E2185" s="19" t="n">
        <v>0</v>
      </c>
    </row>
    <row r="2186">
      <c r="A2186" s="2" t="inlineStr">
        <is>
          <t>IT00864_05</t>
        </is>
      </c>
      <c r="B2186" s="2" t="inlineStr">
        <is>
          <t>PED00864</t>
        </is>
      </c>
      <c r="C2186" s="2" t="inlineStr">
        <is>
          <t>P050</t>
        </is>
      </c>
      <c r="D2186" s="2" t="n">
        <v>1</v>
      </c>
      <c r="E2186" s="19" t="n">
        <v>0.05</v>
      </c>
    </row>
    <row r="2187">
      <c r="A2187" s="2" t="inlineStr">
        <is>
          <t>IT00865_01</t>
        </is>
      </c>
      <c r="B2187" s="2" t="inlineStr">
        <is>
          <t>PED00865</t>
        </is>
      </c>
      <c r="C2187" s="2" t="inlineStr">
        <is>
          <t>P026</t>
        </is>
      </c>
      <c r="D2187" s="2" t="n">
        <v>1</v>
      </c>
      <c r="E2187" s="19" t="n">
        <v>0.02</v>
      </c>
    </row>
    <row r="2188">
      <c r="A2188" s="2" t="inlineStr">
        <is>
          <t>IT00865_02</t>
        </is>
      </c>
      <c r="B2188" s="2" t="inlineStr">
        <is>
          <t>PED00865</t>
        </is>
      </c>
      <c r="C2188" s="2" t="inlineStr">
        <is>
          <t>P005</t>
        </is>
      </c>
      <c r="D2188" s="2" t="n">
        <v>1</v>
      </c>
      <c r="E2188" s="19" t="n">
        <v>0.05</v>
      </c>
    </row>
    <row r="2189">
      <c r="A2189" s="2" t="inlineStr">
        <is>
          <t>IT00865_03</t>
        </is>
      </c>
      <c r="B2189" s="2" t="inlineStr">
        <is>
          <t>PED00865</t>
        </is>
      </c>
      <c r="C2189" s="2" t="inlineStr">
        <is>
          <t>P049</t>
        </is>
      </c>
      <c r="D2189" s="2" t="n">
        <v>1</v>
      </c>
      <c r="E2189" s="19" t="n">
        <v>0.02</v>
      </c>
    </row>
    <row r="2190">
      <c r="A2190" s="2" t="inlineStr">
        <is>
          <t>IT00866_01</t>
        </is>
      </c>
      <c r="B2190" s="2" t="inlineStr">
        <is>
          <t>PED00866</t>
        </is>
      </c>
      <c r="C2190" s="2" t="inlineStr">
        <is>
          <t>P056</t>
        </is>
      </c>
      <c r="D2190" s="2" t="n">
        <v>1</v>
      </c>
      <c r="E2190" s="19" t="n">
        <v>0.05</v>
      </c>
    </row>
    <row r="2191">
      <c r="A2191" s="2" t="inlineStr">
        <is>
          <t>IT00867_01</t>
        </is>
      </c>
      <c r="B2191" s="2" t="inlineStr">
        <is>
          <t>PED00867</t>
        </is>
      </c>
      <c r="C2191" s="2" t="inlineStr">
        <is>
          <t>P023</t>
        </is>
      </c>
      <c r="D2191" s="2" t="n">
        <v>5</v>
      </c>
      <c r="E2191" s="19" t="n">
        <v>0.05</v>
      </c>
    </row>
    <row r="2192">
      <c r="A2192" s="2" t="inlineStr">
        <is>
          <t>IT00867_02</t>
        </is>
      </c>
      <c r="B2192" s="2" t="inlineStr">
        <is>
          <t>PED00867</t>
        </is>
      </c>
      <c r="C2192" s="2" t="inlineStr">
        <is>
          <t>P037</t>
        </is>
      </c>
      <c r="D2192" s="2" t="n">
        <v>1</v>
      </c>
      <c r="E2192" s="19" t="n">
        <v>0.05</v>
      </c>
    </row>
    <row r="2193">
      <c r="A2193" s="2" t="inlineStr">
        <is>
          <t>IT00867_03</t>
        </is>
      </c>
      <c r="B2193" s="2" t="inlineStr">
        <is>
          <t>PED00867</t>
        </is>
      </c>
      <c r="C2193" s="2" t="inlineStr">
        <is>
          <t>P061</t>
        </is>
      </c>
      <c r="D2193" s="2" t="n">
        <v>1</v>
      </c>
      <c r="E2193" s="19" t="n">
        <v>0.02</v>
      </c>
    </row>
    <row r="2194">
      <c r="A2194" s="2" t="inlineStr">
        <is>
          <t>IT00868_01</t>
        </is>
      </c>
      <c r="B2194" s="2" t="inlineStr">
        <is>
          <t>PED00868</t>
        </is>
      </c>
      <c r="C2194" s="2" t="inlineStr">
        <is>
          <t>P048</t>
        </is>
      </c>
      <c r="D2194" s="2" t="n">
        <v>1</v>
      </c>
      <c r="E2194" s="19" t="n">
        <v>0.05</v>
      </c>
    </row>
    <row r="2195">
      <c r="A2195" s="2" t="inlineStr">
        <is>
          <t>IT00868_02</t>
        </is>
      </c>
      <c r="B2195" s="2" t="inlineStr">
        <is>
          <t>PED00868</t>
        </is>
      </c>
      <c r="C2195" s="2" t="inlineStr">
        <is>
          <t>P023</t>
        </is>
      </c>
      <c r="D2195" s="2" t="n">
        <v>1</v>
      </c>
      <c r="E2195" s="19" t="n">
        <v>0</v>
      </c>
    </row>
    <row r="2196">
      <c r="A2196" s="2" t="inlineStr">
        <is>
          <t>IT00869_01</t>
        </is>
      </c>
      <c r="B2196" s="2" t="inlineStr">
        <is>
          <t>PED00869</t>
        </is>
      </c>
      <c r="C2196" s="2" t="inlineStr">
        <is>
          <t>P061</t>
        </is>
      </c>
      <c r="D2196" s="2" t="n">
        <v>1</v>
      </c>
      <c r="E2196" s="19" t="n">
        <v>0</v>
      </c>
    </row>
    <row r="2197">
      <c r="A2197" s="2" t="inlineStr">
        <is>
          <t>IT00870_01</t>
        </is>
      </c>
      <c r="B2197" s="2" t="inlineStr">
        <is>
          <t>PED00870</t>
        </is>
      </c>
      <c r="C2197" s="2" t="inlineStr">
        <is>
          <t>P021</t>
        </is>
      </c>
      <c r="D2197" s="2" t="n">
        <v>10</v>
      </c>
      <c r="E2197" s="19" t="n">
        <v>0</v>
      </c>
    </row>
    <row r="2198">
      <c r="A2198" s="2" t="inlineStr">
        <is>
          <t>IT00870_02</t>
        </is>
      </c>
      <c r="B2198" s="2" t="inlineStr">
        <is>
          <t>PED00870</t>
        </is>
      </c>
      <c r="C2198" s="2" t="inlineStr">
        <is>
          <t>P006</t>
        </is>
      </c>
      <c r="D2198" s="2" t="n">
        <v>1</v>
      </c>
      <c r="E2198" s="19" t="n">
        <v>0</v>
      </c>
    </row>
    <row r="2199">
      <c r="A2199" s="2" t="inlineStr">
        <is>
          <t>IT00870_03</t>
        </is>
      </c>
      <c r="B2199" s="2" t="inlineStr">
        <is>
          <t>PED00870</t>
        </is>
      </c>
      <c r="C2199" s="2" t="inlineStr">
        <is>
          <t>P009</t>
        </is>
      </c>
      <c r="D2199" s="2" t="n">
        <v>2</v>
      </c>
      <c r="E2199" s="19" t="n">
        <v>0.02</v>
      </c>
    </row>
    <row r="2200">
      <c r="A2200" s="2" t="inlineStr">
        <is>
          <t>IT00871_01</t>
        </is>
      </c>
      <c r="B2200" s="2" t="inlineStr">
        <is>
          <t>PED00871</t>
        </is>
      </c>
      <c r="C2200" s="2" t="inlineStr">
        <is>
          <t>P052</t>
        </is>
      </c>
      <c r="D2200" s="2" t="n">
        <v>2</v>
      </c>
      <c r="E2200" s="19" t="n">
        <v>0</v>
      </c>
    </row>
    <row r="2201">
      <c r="A2201" s="2" t="inlineStr">
        <is>
          <t>IT00871_02</t>
        </is>
      </c>
      <c r="B2201" s="2" t="inlineStr">
        <is>
          <t>PED00871</t>
        </is>
      </c>
      <c r="C2201" s="2" t="inlineStr">
        <is>
          <t>P033</t>
        </is>
      </c>
      <c r="D2201" s="2" t="n">
        <v>2</v>
      </c>
      <c r="E2201" s="19" t="n">
        <v>0</v>
      </c>
    </row>
    <row r="2202">
      <c r="A2202" s="2" t="inlineStr">
        <is>
          <t>IT00872_01</t>
        </is>
      </c>
      <c r="B2202" s="2" t="inlineStr">
        <is>
          <t>PED00872</t>
        </is>
      </c>
      <c r="C2202" s="2" t="inlineStr">
        <is>
          <t>P053</t>
        </is>
      </c>
      <c r="D2202" s="2" t="n">
        <v>1</v>
      </c>
      <c r="E2202" s="19" t="n">
        <v>0</v>
      </c>
    </row>
    <row r="2203">
      <c r="A2203" s="2" t="inlineStr">
        <is>
          <t>IT00872_02</t>
        </is>
      </c>
      <c r="B2203" s="2" t="inlineStr">
        <is>
          <t>PED00872</t>
        </is>
      </c>
      <c r="C2203" s="2" t="inlineStr">
        <is>
          <t>P049</t>
        </is>
      </c>
      <c r="D2203" s="2" t="n">
        <v>1</v>
      </c>
      <c r="E2203" s="19" t="n">
        <v>0</v>
      </c>
    </row>
    <row r="2204">
      <c r="A2204" s="2" t="inlineStr">
        <is>
          <t>IT00872_03</t>
        </is>
      </c>
      <c r="B2204" s="2" t="inlineStr">
        <is>
          <t>PED00872</t>
        </is>
      </c>
      <c r="C2204" s="2" t="inlineStr">
        <is>
          <t>P039</t>
        </is>
      </c>
      <c r="D2204" s="2" t="n">
        <v>2</v>
      </c>
      <c r="E2204" s="19" t="n">
        <v>0</v>
      </c>
    </row>
    <row r="2205">
      <c r="A2205" s="2" t="inlineStr">
        <is>
          <t>IT00873_01</t>
        </is>
      </c>
      <c r="B2205" s="2" t="inlineStr">
        <is>
          <t>PED00873</t>
        </is>
      </c>
      <c r="C2205" s="2" t="inlineStr">
        <is>
          <t>P030</t>
        </is>
      </c>
      <c r="D2205" s="2" t="n">
        <v>4</v>
      </c>
      <c r="E2205" s="19" t="n">
        <v>0</v>
      </c>
    </row>
    <row r="2206">
      <c r="A2206" s="2" t="inlineStr">
        <is>
          <t>IT00874_01</t>
        </is>
      </c>
      <c r="B2206" s="2" t="inlineStr">
        <is>
          <t>PED00874</t>
        </is>
      </c>
      <c r="C2206" s="2" t="inlineStr">
        <is>
          <t>P032</t>
        </is>
      </c>
      <c r="D2206" s="2" t="n">
        <v>1</v>
      </c>
      <c r="E2206" s="19" t="n">
        <v>0</v>
      </c>
    </row>
    <row r="2207">
      <c r="A2207" s="2" t="inlineStr">
        <is>
          <t>IT00874_02</t>
        </is>
      </c>
      <c r="B2207" s="2" t="inlineStr">
        <is>
          <t>PED00874</t>
        </is>
      </c>
      <c r="C2207" s="2" t="inlineStr">
        <is>
          <t>P019</t>
        </is>
      </c>
      <c r="D2207" s="2" t="n">
        <v>1</v>
      </c>
      <c r="E2207" s="19" t="n">
        <v>0.02</v>
      </c>
    </row>
    <row r="2208">
      <c r="A2208" s="2" t="inlineStr">
        <is>
          <t>IT00874_03</t>
        </is>
      </c>
      <c r="B2208" s="2" t="inlineStr">
        <is>
          <t>PED00874</t>
        </is>
      </c>
      <c r="C2208" s="2" t="inlineStr">
        <is>
          <t>P013</t>
        </is>
      </c>
      <c r="D2208" s="2" t="n">
        <v>2</v>
      </c>
      <c r="E2208" s="19" t="n">
        <v>0</v>
      </c>
    </row>
    <row r="2209">
      <c r="A2209" s="2" t="inlineStr">
        <is>
          <t>IT00874_04</t>
        </is>
      </c>
      <c r="B2209" s="2" t="inlineStr">
        <is>
          <t>PED00874</t>
        </is>
      </c>
      <c r="C2209" s="2" t="inlineStr">
        <is>
          <t>P038</t>
        </is>
      </c>
      <c r="D2209" s="2" t="n">
        <v>1</v>
      </c>
      <c r="E2209" s="19" t="n">
        <v>0</v>
      </c>
    </row>
    <row r="2210">
      <c r="A2210" s="2" t="inlineStr">
        <is>
          <t>IT00874_05</t>
        </is>
      </c>
      <c r="B2210" s="2" t="inlineStr">
        <is>
          <t>PED00874</t>
        </is>
      </c>
      <c r="C2210" s="2" t="inlineStr">
        <is>
          <t>P048</t>
        </is>
      </c>
      <c r="D2210" s="2" t="n">
        <v>2</v>
      </c>
      <c r="E2210" s="19" t="n">
        <v>0.05</v>
      </c>
    </row>
    <row r="2211">
      <c r="A2211" s="2" t="inlineStr">
        <is>
          <t>IT00875_01</t>
        </is>
      </c>
      <c r="B2211" s="2" t="inlineStr">
        <is>
          <t>PED00875</t>
        </is>
      </c>
      <c r="C2211" s="2" t="inlineStr">
        <is>
          <t>P013</t>
        </is>
      </c>
      <c r="D2211" s="2" t="n">
        <v>1</v>
      </c>
      <c r="E2211" s="19" t="n">
        <v>0.02</v>
      </c>
    </row>
    <row r="2212">
      <c r="A2212" s="2" t="inlineStr">
        <is>
          <t>IT00876_01</t>
        </is>
      </c>
      <c r="B2212" s="2" t="inlineStr">
        <is>
          <t>PED00876</t>
        </is>
      </c>
      <c r="C2212" s="2" t="inlineStr">
        <is>
          <t>P043</t>
        </is>
      </c>
      <c r="D2212" s="2" t="n">
        <v>1</v>
      </c>
      <c r="E2212" s="19" t="n">
        <v>0</v>
      </c>
    </row>
    <row r="2213">
      <c r="A2213" s="2" t="inlineStr">
        <is>
          <t>IT00876_02</t>
        </is>
      </c>
      <c r="B2213" s="2" t="inlineStr">
        <is>
          <t>PED00876</t>
        </is>
      </c>
      <c r="C2213" s="2" t="inlineStr">
        <is>
          <t>P059</t>
        </is>
      </c>
      <c r="D2213" s="2" t="n">
        <v>1</v>
      </c>
      <c r="E2213" s="19" t="n">
        <v>0.05</v>
      </c>
    </row>
    <row r="2214">
      <c r="A2214" s="2" t="inlineStr">
        <is>
          <t>IT00877_01</t>
        </is>
      </c>
      <c r="B2214" s="2" t="inlineStr">
        <is>
          <t>PED00877</t>
        </is>
      </c>
      <c r="C2214" s="2" t="inlineStr">
        <is>
          <t>P065</t>
        </is>
      </c>
      <c r="D2214" s="2" t="n">
        <v>5</v>
      </c>
      <c r="E2214" s="19" t="n">
        <v>0</v>
      </c>
    </row>
    <row r="2215">
      <c r="A2215" s="2" t="inlineStr">
        <is>
          <t>IT00877_02</t>
        </is>
      </c>
      <c r="B2215" s="2" t="inlineStr">
        <is>
          <t>PED00877</t>
        </is>
      </c>
      <c r="C2215" s="2" t="inlineStr">
        <is>
          <t>P009</t>
        </is>
      </c>
      <c r="D2215" s="2" t="n">
        <v>2</v>
      </c>
      <c r="E2215" s="19" t="n">
        <v>0</v>
      </c>
    </row>
    <row r="2216">
      <c r="A2216" s="2" t="inlineStr">
        <is>
          <t>IT00877_03</t>
        </is>
      </c>
      <c r="B2216" s="2" t="inlineStr">
        <is>
          <t>PED00877</t>
        </is>
      </c>
      <c r="C2216" s="2" t="inlineStr">
        <is>
          <t>P020</t>
        </is>
      </c>
      <c r="D2216" s="2" t="n">
        <v>3</v>
      </c>
      <c r="E2216" s="19" t="n">
        <v>0</v>
      </c>
    </row>
    <row r="2217">
      <c r="A2217" s="2" t="inlineStr">
        <is>
          <t>IT00878_01</t>
        </is>
      </c>
      <c r="B2217" s="2" t="inlineStr">
        <is>
          <t>PED00878</t>
        </is>
      </c>
      <c r="C2217" s="2" t="inlineStr">
        <is>
          <t>P002</t>
        </is>
      </c>
      <c r="D2217" s="2" t="n">
        <v>5</v>
      </c>
      <c r="E2217" s="19" t="n">
        <v>0</v>
      </c>
    </row>
    <row r="2218">
      <c r="A2218" s="2" t="inlineStr">
        <is>
          <t>IT00879_01</t>
        </is>
      </c>
      <c r="B2218" s="2" t="inlineStr">
        <is>
          <t>PED00879</t>
        </is>
      </c>
      <c r="C2218" s="2" t="inlineStr">
        <is>
          <t>P027</t>
        </is>
      </c>
      <c r="D2218" s="2" t="n">
        <v>1</v>
      </c>
      <c r="E2218" s="19" t="n">
        <v>0</v>
      </c>
    </row>
    <row r="2219">
      <c r="A2219" s="2" t="inlineStr">
        <is>
          <t>IT00879_02</t>
        </is>
      </c>
      <c r="B2219" s="2" t="inlineStr">
        <is>
          <t>PED00879</t>
        </is>
      </c>
      <c r="C2219" s="2" t="inlineStr">
        <is>
          <t>P001</t>
        </is>
      </c>
      <c r="D2219" s="2" t="n">
        <v>3</v>
      </c>
      <c r="E2219" s="19" t="n">
        <v>0.02</v>
      </c>
    </row>
    <row r="2220">
      <c r="A2220" s="2" t="inlineStr">
        <is>
          <t>IT00879_03</t>
        </is>
      </c>
      <c r="B2220" s="2" t="inlineStr">
        <is>
          <t>PED00879</t>
        </is>
      </c>
      <c r="C2220" s="2" t="inlineStr">
        <is>
          <t>P009</t>
        </is>
      </c>
      <c r="D2220" s="2" t="n">
        <v>1</v>
      </c>
      <c r="E2220" s="19" t="n">
        <v>0.05</v>
      </c>
    </row>
    <row r="2221">
      <c r="A2221" s="2" t="inlineStr">
        <is>
          <t>IT00880_01</t>
        </is>
      </c>
      <c r="B2221" s="2" t="inlineStr">
        <is>
          <t>PED00880</t>
        </is>
      </c>
      <c r="C2221" s="2" t="inlineStr">
        <is>
          <t>P048</t>
        </is>
      </c>
      <c r="D2221" s="2" t="n">
        <v>5</v>
      </c>
      <c r="E2221" s="19" t="n">
        <v>0</v>
      </c>
    </row>
    <row r="2222">
      <c r="A2222" s="2" t="inlineStr">
        <is>
          <t>IT00880_02</t>
        </is>
      </c>
      <c r="B2222" s="2" t="inlineStr">
        <is>
          <t>PED00880</t>
        </is>
      </c>
      <c r="C2222" s="2" t="inlineStr">
        <is>
          <t>P061</t>
        </is>
      </c>
      <c r="D2222" s="2" t="n">
        <v>2</v>
      </c>
      <c r="E2222" s="19" t="n">
        <v>0.05</v>
      </c>
    </row>
    <row r="2223">
      <c r="A2223" s="2" t="inlineStr">
        <is>
          <t>IT00881_01</t>
        </is>
      </c>
      <c r="B2223" s="2" t="inlineStr">
        <is>
          <t>PED00881</t>
        </is>
      </c>
      <c r="C2223" s="2" t="inlineStr">
        <is>
          <t>P036</t>
        </is>
      </c>
      <c r="D2223" s="2" t="n">
        <v>3</v>
      </c>
      <c r="E2223" s="19" t="n">
        <v>0</v>
      </c>
    </row>
    <row r="2224">
      <c r="A2224" s="2" t="inlineStr">
        <is>
          <t>IT00881_02</t>
        </is>
      </c>
      <c r="B2224" s="2" t="inlineStr">
        <is>
          <t>PED00881</t>
        </is>
      </c>
      <c r="C2224" s="2" t="inlineStr">
        <is>
          <t>P032</t>
        </is>
      </c>
      <c r="D2224" s="2" t="n">
        <v>1</v>
      </c>
      <c r="E2224" s="19" t="n">
        <v>0.05</v>
      </c>
    </row>
    <row r="2225">
      <c r="A2225" s="2" t="inlineStr">
        <is>
          <t>IT00881_03</t>
        </is>
      </c>
      <c r="B2225" s="2" t="inlineStr">
        <is>
          <t>PED00881</t>
        </is>
      </c>
      <c r="C2225" s="2" t="inlineStr">
        <is>
          <t>P029</t>
        </is>
      </c>
      <c r="D2225" s="2" t="n">
        <v>1</v>
      </c>
      <c r="E2225" s="19" t="n">
        <v>0.1</v>
      </c>
    </row>
    <row r="2226">
      <c r="A2226" s="2" t="inlineStr">
        <is>
          <t>IT00882_01</t>
        </is>
      </c>
      <c r="B2226" s="2" t="inlineStr">
        <is>
          <t>PED00882</t>
        </is>
      </c>
      <c r="C2226" s="2" t="inlineStr">
        <is>
          <t>P029</t>
        </is>
      </c>
      <c r="D2226" s="2" t="n">
        <v>4</v>
      </c>
      <c r="E2226" s="19" t="n">
        <v>0.05</v>
      </c>
    </row>
    <row r="2227">
      <c r="A2227" s="2" t="inlineStr">
        <is>
          <t>IT00882_02</t>
        </is>
      </c>
      <c r="B2227" s="2" t="inlineStr">
        <is>
          <t>PED00882</t>
        </is>
      </c>
      <c r="C2227" s="2" t="inlineStr">
        <is>
          <t>P032</t>
        </is>
      </c>
      <c r="D2227" s="2" t="n">
        <v>2</v>
      </c>
      <c r="E2227" s="19" t="n">
        <v>0</v>
      </c>
    </row>
    <row r="2228">
      <c r="A2228" s="2" t="inlineStr">
        <is>
          <t>IT00882_03</t>
        </is>
      </c>
      <c r="B2228" s="2" t="inlineStr">
        <is>
          <t>PED00882</t>
        </is>
      </c>
      <c r="C2228" s="2" t="inlineStr">
        <is>
          <t>P060</t>
        </is>
      </c>
      <c r="D2228" s="2" t="n">
        <v>1</v>
      </c>
      <c r="E2228" s="19" t="n">
        <v>0</v>
      </c>
    </row>
    <row r="2229">
      <c r="A2229" s="2" t="inlineStr">
        <is>
          <t>IT00883_01</t>
        </is>
      </c>
      <c r="B2229" s="2" t="inlineStr">
        <is>
          <t>PED00883</t>
        </is>
      </c>
      <c r="C2229" s="2" t="inlineStr">
        <is>
          <t>P009</t>
        </is>
      </c>
      <c r="D2229" s="2" t="n">
        <v>1</v>
      </c>
      <c r="E2229" s="19" t="n">
        <v>0</v>
      </c>
    </row>
    <row r="2230">
      <c r="A2230" s="2" t="inlineStr">
        <is>
          <t>IT00883_02</t>
        </is>
      </c>
      <c r="B2230" s="2" t="inlineStr">
        <is>
          <t>PED00883</t>
        </is>
      </c>
      <c r="C2230" s="2" t="inlineStr">
        <is>
          <t>P041</t>
        </is>
      </c>
      <c r="D2230" s="2" t="n">
        <v>1</v>
      </c>
      <c r="E2230" s="19" t="n">
        <v>0.1</v>
      </c>
    </row>
    <row r="2231">
      <c r="A2231" s="2" t="inlineStr">
        <is>
          <t>IT00883_03</t>
        </is>
      </c>
      <c r="B2231" s="2" t="inlineStr">
        <is>
          <t>PED00883</t>
        </is>
      </c>
      <c r="C2231" s="2" t="inlineStr">
        <is>
          <t>P008</t>
        </is>
      </c>
      <c r="D2231" s="2" t="n">
        <v>1</v>
      </c>
      <c r="E2231" s="19" t="n">
        <v>0</v>
      </c>
    </row>
    <row r="2232">
      <c r="A2232" s="2" t="inlineStr">
        <is>
          <t>IT00883_04</t>
        </is>
      </c>
      <c r="B2232" s="2" t="inlineStr">
        <is>
          <t>PED00883</t>
        </is>
      </c>
      <c r="C2232" s="2" t="inlineStr">
        <is>
          <t>P056</t>
        </is>
      </c>
      <c r="D2232" s="2" t="n">
        <v>1</v>
      </c>
      <c r="E2232" s="19" t="n">
        <v>0</v>
      </c>
    </row>
    <row r="2233">
      <c r="A2233" s="2" t="inlineStr">
        <is>
          <t>IT00884_01</t>
        </is>
      </c>
      <c r="B2233" s="2" t="inlineStr">
        <is>
          <t>PED00884</t>
        </is>
      </c>
      <c r="C2233" s="2" t="inlineStr">
        <is>
          <t>P022</t>
        </is>
      </c>
      <c r="D2233" s="2" t="n">
        <v>2</v>
      </c>
      <c r="E2233" s="19" t="n">
        <v>0</v>
      </c>
    </row>
    <row r="2234">
      <c r="A2234" s="2" t="inlineStr">
        <is>
          <t>IT00884_02</t>
        </is>
      </c>
      <c r="B2234" s="2" t="inlineStr">
        <is>
          <t>PED00884</t>
        </is>
      </c>
      <c r="C2234" s="2" t="inlineStr">
        <is>
          <t>P044</t>
        </is>
      </c>
      <c r="D2234" s="2" t="n">
        <v>4</v>
      </c>
      <c r="E2234" s="19" t="n">
        <v>0</v>
      </c>
    </row>
    <row r="2235">
      <c r="A2235" s="2" t="inlineStr">
        <is>
          <t>IT00884_03</t>
        </is>
      </c>
      <c r="B2235" s="2" t="inlineStr">
        <is>
          <t>PED00884</t>
        </is>
      </c>
      <c r="C2235" s="2" t="inlineStr">
        <is>
          <t>P021</t>
        </is>
      </c>
      <c r="D2235" s="2" t="n">
        <v>1</v>
      </c>
      <c r="E2235" s="19" t="n">
        <v>0.02</v>
      </c>
    </row>
    <row r="2236">
      <c r="A2236" s="2" t="inlineStr">
        <is>
          <t>IT00885_01</t>
        </is>
      </c>
      <c r="B2236" s="2" t="inlineStr">
        <is>
          <t>PED00885</t>
        </is>
      </c>
      <c r="C2236" s="2" t="inlineStr">
        <is>
          <t>P020</t>
        </is>
      </c>
      <c r="D2236" s="2" t="n">
        <v>1</v>
      </c>
      <c r="E2236" s="19" t="n">
        <v>0</v>
      </c>
    </row>
    <row r="2237">
      <c r="A2237" s="2" t="inlineStr">
        <is>
          <t>IT00885_02</t>
        </is>
      </c>
      <c r="B2237" s="2" t="inlineStr">
        <is>
          <t>PED00885</t>
        </is>
      </c>
      <c r="C2237" s="2" t="inlineStr">
        <is>
          <t>P007</t>
        </is>
      </c>
      <c r="D2237" s="2" t="n">
        <v>10</v>
      </c>
      <c r="E2237" s="19" t="n">
        <v>0</v>
      </c>
    </row>
    <row r="2238">
      <c r="A2238" s="2" t="inlineStr">
        <is>
          <t>IT00885_03</t>
        </is>
      </c>
      <c r="B2238" s="2" t="inlineStr">
        <is>
          <t>PED00885</t>
        </is>
      </c>
      <c r="C2238" s="2" t="inlineStr">
        <is>
          <t>P001</t>
        </is>
      </c>
      <c r="D2238" s="2" t="n">
        <v>2</v>
      </c>
      <c r="E2238" s="19" t="n">
        <v>0.05</v>
      </c>
    </row>
    <row r="2239">
      <c r="A2239" s="2" t="inlineStr">
        <is>
          <t>IT00885_04</t>
        </is>
      </c>
      <c r="B2239" s="2" t="inlineStr">
        <is>
          <t>PED00885</t>
        </is>
      </c>
      <c r="C2239" s="2" t="inlineStr">
        <is>
          <t>P061</t>
        </is>
      </c>
      <c r="D2239" s="2" t="n">
        <v>1</v>
      </c>
      <c r="E2239" s="19" t="n">
        <v>0</v>
      </c>
    </row>
    <row r="2240">
      <c r="A2240" s="2" t="inlineStr">
        <is>
          <t>IT00886_01</t>
        </is>
      </c>
      <c r="B2240" s="2" t="inlineStr">
        <is>
          <t>PED00886</t>
        </is>
      </c>
      <c r="C2240" s="2" t="inlineStr">
        <is>
          <t>P001</t>
        </is>
      </c>
      <c r="D2240" s="2" t="n">
        <v>1</v>
      </c>
      <c r="E2240" s="19" t="n">
        <v>0</v>
      </c>
    </row>
    <row r="2241">
      <c r="A2241" s="2" t="inlineStr">
        <is>
          <t>IT00886_02</t>
        </is>
      </c>
      <c r="B2241" s="2" t="inlineStr">
        <is>
          <t>PED00886</t>
        </is>
      </c>
      <c r="C2241" s="2" t="inlineStr">
        <is>
          <t>P025</t>
        </is>
      </c>
      <c r="D2241" s="2" t="n">
        <v>2</v>
      </c>
      <c r="E2241" s="19" t="n">
        <v>0</v>
      </c>
    </row>
    <row r="2242">
      <c r="A2242" s="2" t="inlineStr">
        <is>
          <t>IT00886_03</t>
        </is>
      </c>
      <c r="B2242" s="2" t="inlineStr">
        <is>
          <t>PED00886</t>
        </is>
      </c>
      <c r="C2242" s="2" t="inlineStr">
        <is>
          <t>P022</t>
        </is>
      </c>
      <c r="D2242" s="2" t="n">
        <v>3</v>
      </c>
      <c r="E2242" s="19" t="n">
        <v>0</v>
      </c>
    </row>
    <row r="2243">
      <c r="A2243" s="2" t="inlineStr">
        <is>
          <t>IT00886_04</t>
        </is>
      </c>
      <c r="B2243" s="2" t="inlineStr">
        <is>
          <t>PED00886</t>
        </is>
      </c>
      <c r="C2243" s="2" t="inlineStr">
        <is>
          <t>P051</t>
        </is>
      </c>
      <c r="D2243" s="2" t="n">
        <v>1</v>
      </c>
      <c r="E2243" s="19" t="n">
        <v>0</v>
      </c>
    </row>
    <row r="2244">
      <c r="A2244" s="2" t="inlineStr">
        <is>
          <t>IT00886_05</t>
        </is>
      </c>
      <c r="B2244" s="2" t="inlineStr">
        <is>
          <t>PED00886</t>
        </is>
      </c>
      <c r="C2244" s="2" t="inlineStr">
        <is>
          <t>P063</t>
        </is>
      </c>
      <c r="D2244" s="2" t="n">
        <v>1</v>
      </c>
      <c r="E2244" s="19" t="n">
        <v>0</v>
      </c>
    </row>
    <row r="2245">
      <c r="A2245" s="2" t="inlineStr">
        <is>
          <t>IT00887_01</t>
        </is>
      </c>
      <c r="B2245" s="2" t="inlineStr">
        <is>
          <t>PED00887</t>
        </is>
      </c>
      <c r="C2245" s="2" t="inlineStr">
        <is>
          <t>P044</t>
        </is>
      </c>
      <c r="D2245" s="2" t="n">
        <v>2</v>
      </c>
      <c r="E2245" s="19" t="n">
        <v>0.05</v>
      </c>
    </row>
    <row r="2246">
      <c r="A2246" s="2" t="inlineStr">
        <is>
          <t>IT00887_02</t>
        </is>
      </c>
      <c r="B2246" s="2" t="inlineStr">
        <is>
          <t>PED00887</t>
        </is>
      </c>
      <c r="C2246" s="2" t="inlineStr">
        <is>
          <t>P021</t>
        </is>
      </c>
      <c r="D2246" s="2" t="n">
        <v>1</v>
      </c>
      <c r="E2246" s="19" t="n">
        <v>0</v>
      </c>
    </row>
    <row r="2247">
      <c r="A2247" s="2" t="inlineStr">
        <is>
          <t>IT00888_01</t>
        </is>
      </c>
      <c r="B2247" s="2" t="inlineStr">
        <is>
          <t>PED00888</t>
        </is>
      </c>
      <c r="C2247" s="2" t="inlineStr">
        <is>
          <t>P042</t>
        </is>
      </c>
      <c r="D2247" s="2" t="n">
        <v>1</v>
      </c>
      <c r="E2247" s="19" t="n">
        <v>0</v>
      </c>
    </row>
    <row r="2248">
      <c r="A2248" s="2" t="inlineStr">
        <is>
          <t>IT00888_02</t>
        </is>
      </c>
      <c r="B2248" s="2" t="inlineStr">
        <is>
          <t>PED00888</t>
        </is>
      </c>
      <c r="C2248" s="2" t="inlineStr">
        <is>
          <t>P027</t>
        </is>
      </c>
      <c r="D2248" s="2" t="n">
        <v>1</v>
      </c>
      <c r="E2248" s="19" t="n">
        <v>0</v>
      </c>
    </row>
    <row r="2249">
      <c r="A2249" s="2" t="inlineStr">
        <is>
          <t>IT00888_03</t>
        </is>
      </c>
      <c r="B2249" s="2" t="inlineStr">
        <is>
          <t>PED00888</t>
        </is>
      </c>
      <c r="C2249" s="2" t="inlineStr">
        <is>
          <t>P031</t>
        </is>
      </c>
      <c r="D2249" s="2" t="n">
        <v>1</v>
      </c>
      <c r="E2249" s="19" t="n">
        <v>0</v>
      </c>
    </row>
    <row r="2250">
      <c r="A2250" s="2" t="inlineStr">
        <is>
          <t>IT00888_04</t>
        </is>
      </c>
      <c r="B2250" s="2" t="inlineStr">
        <is>
          <t>PED00888</t>
        </is>
      </c>
      <c r="C2250" s="2" t="inlineStr">
        <is>
          <t>P060</t>
        </is>
      </c>
      <c r="D2250" s="2" t="n">
        <v>2</v>
      </c>
      <c r="E2250" s="19" t="n">
        <v>0</v>
      </c>
    </row>
    <row r="2251">
      <c r="A2251" s="2" t="inlineStr">
        <is>
          <t>IT00889_01</t>
        </is>
      </c>
      <c r="B2251" s="2" t="inlineStr">
        <is>
          <t>PED00889</t>
        </is>
      </c>
      <c r="C2251" s="2" t="inlineStr">
        <is>
          <t>P016</t>
        </is>
      </c>
      <c r="D2251" s="2" t="n">
        <v>5</v>
      </c>
      <c r="E2251" s="19" t="n">
        <v>0</v>
      </c>
    </row>
    <row r="2252">
      <c r="A2252" s="2" t="inlineStr">
        <is>
          <t>IT00889_02</t>
        </is>
      </c>
      <c r="B2252" s="2" t="inlineStr">
        <is>
          <t>PED00889</t>
        </is>
      </c>
      <c r="C2252" s="2" t="inlineStr">
        <is>
          <t>P039</t>
        </is>
      </c>
      <c r="D2252" s="2" t="n">
        <v>2</v>
      </c>
      <c r="E2252" s="19" t="n">
        <v>0</v>
      </c>
    </row>
    <row r="2253">
      <c r="A2253" s="2" t="inlineStr">
        <is>
          <t>IT00890_01</t>
        </is>
      </c>
      <c r="B2253" s="2" t="inlineStr">
        <is>
          <t>PED00890</t>
        </is>
      </c>
      <c r="C2253" s="2" t="inlineStr">
        <is>
          <t>P050</t>
        </is>
      </c>
      <c r="D2253" s="2" t="n">
        <v>2</v>
      </c>
      <c r="E2253" s="19" t="n">
        <v>0</v>
      </c>
    </row>
    <row r="2254">
      <c r="A2254" s="2" t="inlineStr">
        <is>
          <t>IT00890_02</t>
        </is>
      </c>
      <c r="B2254" s="2" t="inlineStr">
        <is>
          <t>PED00890</t>
        </is>
      </c>
      <c r="C2254" s="2" t="inlineStr">
        <is>
          <t>P024</t>
        </is>
      </c>
      <c r="D2254" s="2" t="n">
        <v>3</v>
      </c>
      <c r="E2254" s="19" t="n">
        <v>0</v>
      </c>
    </row>
    <row r="2255">
      <c r="A2255" s="2" t="inlineStr">
        <is>
          <t>IT00890_03</t>
        </is>
      </c>
      <c r="B2255" s="2" t="inlineStr">
        <is>
          <t>PED00890</t>
        </is>
      </c>
      <c r="C2255" s="2" t="inlineStr">
        <is>
          <t>P064</t>
        </is>
      </c>
      <c r="D2255" s="2" t="n">
        <v>1</v>
      </c>
      <c r="E2255" s="19" t="n">
        <v>0</v>
      </c>
    </row>
    <row r="2256">
      <c r="A2256" s="2" t="inlineStr">
        <is>
          <t>IT00890_04</t>
        </is>
      </c>
      <c r="B2256" s="2" t="inlineStr">
        <is>
          <t>PED00890</t>
        </is>
      </c>
      <c r="C2256" s="2" t="inlineStr">
        <is>
          <t>P060</t>
        </is>
      </c>
      <c r="D2256" s="2" t="n">
        <v>5</v>
      </c>
      <c r="E2256" s="19" t="n">
        <v>0</v>
      </c>
    </row>
    <row r="2257">
      <c r="A2257" s="2" t="inlineStr">
        <is>
          <t>IT00891_01</t>
        </is>
      </c>
      <c r="B2257" s="2" t="inlineStr">
        <is>
          <t>PED00891</t>
        </is>
      </c>
      <c r="C2257" s="2" t="inlineStr">
        <is>
          <t>P063</t>
        </is>
      </c>
      <c r="D2257" s="2" t="n">
        <v>1</v>
      </c>
      <c r="E2257" s="19" t="n">
        <v>0.05</v>
      </c>
    </row>
    <row r="2258">
      <c r="A2258" s="2" t="inlineStr">
        <is>
          <t>IT00891_02</t>
        </is>
      </c>
      <c r="B2258" s="2" t="inlineStr">
        <is>
          <t>PED00891</t>
        </is>
      </c>
      <c r="C2258" s="2" t="inlineStr">
        <is>
          <t>P043</t>
        </is>
      </c>
      <c r="D2258" s="2" t="n">
        <v>1</v>
      </c>
      <c r="E2258" s="19" t="n">
        <v>0</v>
      </c>
    </row>
    <row r="2259">
      <c r="A2259" s="2" t="inlineStr">
        <is>
          <t>IT00892_01</t>
        </is>
      </c>
      <c r="B2259" s="2" t="inlineStr">
        <is>
          <t>PED00892</t>
        </is>
      </c>
      <c r="C2259" s="2" t="inlineStr">
        <is>
          <t>P048</t>
        </is>
      </c>
      <c r="D2259" s="2" t="n">
        <v>1</v>
      </c>
      <c r="E2259" s="19" t="n">
        <v>0.02</v>
      </c>
    </row>
    <row r="2260">
      <c r="A2260" s="2" t="inlineStr">
        <is>
          <t>IT00892_02</t>
        </is>
      </c>
      <c r="B2260" s="2" t="inlineStr">
        <is>
          <t>PED00892</t>
        </is>
      </c>
      <c r="C2260" s="2" t="inlineStr">
        <is>
          <t>P044</t>
        </is>
      </c>
      <c r="D2260" s="2" t="n">
        <v>5</v>
      </c>
      <c r="E2260" s="19" t="n">
        <v>0</v>
      </c>
    </row>
    <row r="2261">
      <c r="A2261" s="2" t="inlineStr">
        <is>
          <t>IT00892_03</t>
        </is>
      </c>
      <c r="B2261" s="2" t="inlineStr">
        <is>
          <t>PED00892</t>
        </is>
      </c>
      <c r="C2261" s="2" t="inlineStr">
        <is>
          <t>P001</t>
        </is>
      </c>
      <c r="D2261" s="2" t="n">
        <v>1</v>
      </c>
      <c r="E2261" s="19" t="n">
        <v>0.02</v>
      </c>
    </row>
    <row r="2262">
      <c r="A2262" s="2" t="inlineStr">
        <is>
          <t>IT00893_01</t>
        </is>
      </c>
      <c r="B2262" s="2" t="inlineStr">
        <is>
          <t>PED00893</t>
        </is>
      </c>
      <c r="C2262" s="2" t="inlineStr">
        <is>
          <t>P056</t>
        </is>
      </c>
      <c r="D2262" s="2" t="n">
        <v>5</v>
      </c>
      <c r="E2262" s="19" t="n">
        <v>0</v>
      </c>
    </row>
    <row r="2263">
      <c r="A2263" s="2" t="inlineStr">
        <is>
          <t>IT00893_02</t>
        </is>
      </c>
      <c r="B2263" s="2" t="inlineStr">
        <is>
          <t>PED00893</t>
        </is>
      </c>
      <c r="C2263" s="2" t="inlineStr">
        <is>
          <t>P006</t>
        </is>
      </c>
      <c r="D2263" s="2" t="n">
        <v>1</v>
      </c>
      <c r="E2263" s="19" t="n">
        <v>0.1</v>
      </c>
    </row>
    <row r="2264">
      <c r="A2264" s="2" t="inlineStr">
        <is>
          <t>IT00893_03</t>
        </is>
      </c>
      <c r="B2264" s="2" t="inlineStr">
        <is>
          <t>PED00893</t>
        </is>
      </c>
      <c r="C2264" s="2" t="inlineStr">
        <is>
          <t>P059</t>
        </is>
      </c>
      <c r="D2264" s="2" t="n">
        <v>2</v>
      </c>
      <c r="E2264" s="19" t="n">
        <v>0</v>
      </c>
    </row>
    <row r="2265">
      <c r="A2265" s="2" t="inlineStr">
        <is>
          <t>IT00894_01</t>
        </is>
      </c>
      <c r="B2265" s="2" t="inlineStr">
        <is>
          <t>PED00894</t>
        </is>
      </c>
      <c r="C2265" s="2" t="inlineStr">
        <is>
          <t>P030</t>
        </is>
      </c>
      <c r="D2265" s="2" t="n">
        <v>1</v>
      </c>
      <c r="E2265" s="19" t="n">
        <v>0.05</v>
      </c>
    </row>
    <row r="2266">
      <c r="A2266" s="2" t="inlineStr">
        <is>
          <t>IT00894_02</t>
        </is>
      </c>
      <c r="B2266" s="2" t="inlineStr">
        <is>
          <t>PED00894</t>
        </is>
      </c>
      <c r="C2266" s="2" t="inlineStr">
        <is>
          <t>P041</t>
        </is>
      </c>
      <c r="D2266" s="2" t="n">
        <v>4</v>
      </c>
      <c r="E2266" s="19" t="n">
        <v>0.05</v>
      </c>
    </row>
    <row r="2267">
      <c r="A2267" s="2" t="inlineStr">
        <is>
          <t>IT00894_03</t>
        </is>
      </c>
      <c r="B2267" s="2" t="inlineStr">
        <is>
          <t>PED00894</t>
        </is>
      </c>
      <c r="C2267" s="2" t="inlineStr">
        <is>
          <t>P029</t>
        </is>
      </c>
      <c r="D2267" s="2" t="n">
        <v>2</v>
      </c>
      <c r="E2267" s="19" t="n">
        <v>0</v>
      </c>
    </row>
    <row r="2268">
      <c r="A2268" s="2" t="inlineStr">
        <is>
          <t>IT00894_04</t>
        </is>
      </c>
      <c r="B2268" s="2" t="inlineStr">
        <is>
          <t>PED00894</t>
        </is>
      </c>
      <c r="C2268" s="2" t="inlineStr">
        <is>
          <t>P058</t>
        </is>
      </c>
      <c r="D2268" s="2" t="n">
        <v>1</v>
      </c>
      <c r="E2268" s="19" t="n">
        <v>0</v>
      </c>
    </row>
    <row r="2269">
      <c r="A2269" s="2" t="inlineStr">
        <is>
          <t>IT00895_01</t>
        </is>
      </c>
      <c r="B2269" s="2" t="inlineStr">
        <is>
          <t>PED00895</t>
        </is>
      </c>
      <c r="C2269" s="2" t="inlineStr">
        <is>
          <t>P010</t>
        </is>
      </c>
      <c r="D2269" s="2" t="n">
        <v>2</v>
      </c>
      <c r="E2269" s="19" t="n">
        <v>0.05</v>
      </c>
    </row>
    <row r="2270">
      <c r="A2270" s="2" t="inlineStr">
        <is>
          <t>IT00895_02</t>
        </is>
      </c>
      <c r="B2270" s="2" t="inlineStr">
        <is>
          <t>PED00895</t>
        </is>
      </c>
      <c r="C2270" s="2" t="inlineStr">
        <is>
          <t>P036</t>
        </is>
      </c>
      <c r="D2270" s="2" t="n">
        <v>5</v>
      </c>
      <c r="E2270" s="19" t="n">
        <v>0</v>
      </c>
    </row>
    <row r="2271">
      <c r="A2271" s="2" t="inlineStr">
        <is>
          <t>IT00896_01</t>
        </is>
      </c>
      <c r="B2271" s="2" t="inlineStr">
        <is>
          <t>PED00896</t>
        </is>
      </c>
      <c r="C2271" s="2" t="inlineStr">
        <is>
          <t>P015</t>
        </is>
      </c>
      <c r="D2271" s="2" t="n">
        <v>2</v>
      </c>
      <c r="E2271" s="19" t="n">
        <v>0</v>
      </c>
    </row>
    <row r="2272">
      <c r="A2272" s="2" t="inlineStr">
        <is>
          <t>IT00896_02</t>
        </is>
      </c>
      <c r="B2272" s="2" t="inlineStr">
        <is>
          <t>PED00896</t>
        </is>
      </c>
      <c r="C2272" s="2" t="inlineStr">
        <is>
          <t>P031</t>
        </is>
      </c>
      <c r="D2272" s="2" t="n">
        <v>2</v>
      </c>
      <c r="E2272" s="19" t="n">
        <v>0</v>
      </c>
    </row>
    <row r="2273">
      <c r="A2273" s="2" t="inlineStr">
        <is>
          <t>IT00896_03</t>
        </is>
      </c>
      <c r="B2273" s="2" t="inlineStr">
        <is>
          <t>PED00896</t>
        </is>
      </c>
      <c r="C2273" s="2" t="inlineStr">
        <is>
          <t>P050</t>
        </is>
      </c>
      <c r="D2273" s="2" t="n">
        <v>2</v>
      </c>
      <c r="E2273" s="19" t="n">
        <v>0</v>
      </c>
    </row>
    <row r="2274">
      <c r="A2274" s="2" t="inlineStr">
        <is>
          <t>IT00897_01</t>
        </is>
      </c>
      <c r="B2274" s="2" t="inlineStr">
        <is>
          <t>PED00897</t>
        </is>
      </c>
      <c r="C2274" s="2" t="inlineStr">
        <is>
          <t>P038</t>
        </is>
      </c>
      <c r="D2274" s="2" t="n">
        <v>1</v>
      </c>
      <c r="E2274" s="19" t="n">
        <v>0.05</v>
      </c>
    </row>
    <row r="2275">
      <c r="A2275" s="2" t="inlineStr">
        <is>
          <t>IT00897_02</t>
        </is>
      </c>
      <c r="B2275" s="2" t="inlineStr">
        <is>
          <t>PED00897</t>
        </is>
      </c>
      <c r="C2275" s="2" t="inlineStr">
        <is>
          <t>P033</t>
        </is>
      </c>
      <c r="D2275" s="2" t="n">
        <v>1</v>
      </c>
      <c r="E2275" s="19" t="n">
        <v>0</v>
      </c>
    </row>
    <row r="2276">
      <c r="A2276" s="2" t="inlineStr">
        <is>
          <t>IT00898_01</t>
        </is>
      </c>
      <c r="B2276" s="2" t="inlineStr">
        <is>
          <t>PED00898</t>
        </is>
      </c>
      <c r="C2276" s="2" t="inlineStr">
        <is>
          <t>P020</t>
        </is>
      </c>
      <c r="D2276" s="2" t="n">
        <v>4</v>
      </c>
      <c r="E2276" s="19" t="n">
        <v>0.05</v>
      </c>
    </row>
    <row r="2277">
      <c r="A2277" s="2" t="inlineStr">
        <is>
          <t>IT00899_01</t>
        </is>
      </c>
      <c r="B2277" s="2" t="inlineStr">
        <is>
          <t>PED00899</t>
        </is>
      </c>
      <c r="C2277" s="2" t="inlineStr">
        <is>
          <t>P015</t>
        </is>
      </c>
      <c r="D2277" s="2" t="n">
        <v>3</v>
      </c>
      <c r="E2277" s="19" t="n">
        <v>0.02</v>
      </c>
    </row>
    <row r="2278">
      <c r="A2278" s="2" t="inlineStr">
        <is>
          <t>IT00899_02</t>
        </is>
      </c>
      <c r="B2278" s="2" t="inlineStr">
        <is>
          <t>PED00899</t>
        </is>
      </c>
      <c r="C2278" s="2" t="inlineStr">
        <is>
          <t>P058</t>
        </is>
      </c>
      <c r="D2278" s="2" t="n">
        <v>2</v>
      </c>
      <c r="E2278" s="19" t="n">
        <v>0</v>
      </c>
    </row>
    <row r="2279">
      <c r="A2279" s="2" t="inlineStr">
        <is>
          <t>IT00899_03</t>
        </is>
      </c>
      <c r="B2279" s="2" t="inlineStr">
        <is>
          <t>PED00899</t>
        </is>
      </c>
      <c r="C2279" s="2" t="inlineStr">
        <is>
          <t>P044</t>
        </is>
      </c>
      <c r="D2279" s="2" t="n">
        <v>2</v>
      </c>
      <c r="E2279" s="19" t="n">
        <v>0</v>
      </c>
    </row>
    <row r="2280">
      <c r="A2280" s="2" t="inlineStr">
        <is>
          <t>IT00899_04</t>
        </is>
      </c>
      <c r="B2280" s="2" t="inlineStr">
        <is>
          <t>PED00899</t>
        </is>
      </c>
      <c r="C2280" s="2" t="inlineStr">
        <is>
          <t>P016</t>
        </is>
      </c>
      <c r="D2280" s="2" t="n">
        <v>1</v>
      </c>
      <c r="E2280" s="19" t="n">
        <v>0.02</v>
      </c>
    </row>
    <row r="2281">
      <c r="A2281" s="2" t="inlineStr">
        <is>
          <t>IT00899_05</t>
        </is>
      </c>
      <c r="B2281" s="2" t="inlineStr">
        <is>
          <t>PED00899</t>
        </is>
      </c>
      <c r="C2281" s="2" t="inlineStr">
        <is>
          <t>P065</t>
        </is>
      </c>
      <c r="D2281" s="2" t="n">
        <v>1</v>
      </c>
      <c r="E2281" s="19" t="n">
        <v>0</v>
      </c>
    </row>
    <row r="2282">
      <c r="A2282" s="2" t="inlineStr">
        <is>
          <t>IT00900_01</t>
        </is>
      </c>
      <c r="B2282" s="2" t="inlineStr">
        <is>
          <t>PED00900</t>
        </is>
      </c>
      <c r="C2282" s="2" t="inlineStr">
        <is>
          <t>P012</t>
        </is>
      </c>
      <c r="D2282" s="2" t="n">
        <v>1</v>
      </c>
      <c r="E2282" s="19" t="n">
        <v>0.05</v>
      </c>
    </row>
    <row r="2283">
      <c r="A2283" s="2" t="inlineStr">
        <is>
          <t>IT00900_02</t>
        </is>
      </c>
      <c r="B2283" s="2" t="inlineStr">
        <is>
          <t>PED00900</t>
        </is>
      </c>
      <c r="C2283" s="2" t="inlineStr">
        <is>
          <t>P009</t>
        </is>
      </c>
      <c r="D2283" s="2" t="n">
        <v>2</v>
      </c>
      <c r="E2283" s="19" t="n">
        <v>0</v>
      </c>
    </row>
    <row r="2284">
      <c r="A2284" s="2" t="inlineStr">
        <is>
          <t>IT00900_03</t>
        </is>
      </c>
      <c r="B2284" s="2" t="inlineStr">
        <is>
          <t>PED00900</t>
        </is>
      </c>
      <c r="C2284" s="2" t="inlineStr">
        <is>
          <t>P021</t>
        </is>
      </c>
      <c r="D2284" s="2" t="n">
        <v>4</v>
      </c>
      <c r="E2284" s="19" t="n">
        <v>0</v>
      </c>
    </row>
    <row r="2285">
      <c r="A2285" s="2" t="inlineStr">
        <is>
          <t>IT00900_04</t>
        </is>
      </c>
      <c r="B2285" s="2" t="inlineStr">
        <is>
          <t>PED00900</t>
        </is>
      </c>
      <c r="C2285" s="2" t="inlineStr">
        <is>
          <t>P019</t>
        </is>
      </c>
      <c r="D2285" s="2" t="n">
        <v>1</v>
      </c>
      <c r="E2285" s="19" t="n">
        <v>0.05</v>
      </c>
    </row>
    <row r="2286">
      <c r="A2286" s="2" t="inlineStr">
        <is>
          <t>IT00900_05</t>
        </is>
      </c>
      <c r="B2286" s="2" t="inlineStr">
        <is>
          <t>PED00900</t>
        </is>
      </c>
      <c r="C2286" s="2" t="inlineStr">
        <is>
          <t>P044</t>
        </is>
      </c>
      <c r="D2286" s="2" t="n">
        <v>3</v>
      </c>
      <c r="E2286" s="19" t="n">
        <v>0</v>
      </c>
    </row>
    <row r="2287">
      <c r="A2287" s="2" t="inlineStr">
        <is>
          <t>IT00901_01</t>
        </is>
      </c>
      <c r="B2287" s="2" t="inlineStr">
        <is>
          <t>PED00901</t>
        </is>
      </c>
      <c r="C2287" s="2" t="inlineStr">
        <is>
          <t>P009</t>
        </is>
      </c>
      <c r="D2287" s="2" t="n">
        <v>2</v>
      </c>
      <c r="E2287" s="19" t="n">
        <v>0</v>
      </c>
    </row>
    <row r="2288">
      <c r="A2288" s="2" t="inlineStr">
        <is>
          <t>IT00901_02</t>
        </is>
      </c>
      <c r="B2288" s="2" t="inlineStr">
        <is>
          <t>PED00901</t>
        </is>
      </c>
      <c r="C2288" s="2" t="inlineStr">
        <is>
          <t>P030</t>
        </is>
      </c>
      <c r="D2288" s="2" t="n">
        <v>1</v>
      </c>
      <c r="E2288" s="19" t="n">
        <v>0</v>
      </c>
    </row>
    <row r="2289">
      <c r="A2289" s="2" t="inlineStr">
        <is>
          <t>IT00901_03</t>
        </is>
      </c>
      <c r="B2289" s="2" t="inlineStr">
        <is>
          <t>PED00901</t>
        </is>
      </c>
      <c r="C2289" s="2" t="inlineStr">
        <is>
          <t>P064</t>
        </is>
      </c>
      <c r="D2289" s="2" t="n">
        <v>4</v>
      </c>
      <c r="E2289" s="19" t="n">
        <v>0</v>
      </c>
    </row>
    <row r="2290">
      <c r="A2290" s="2" t="inlineStr">
        <is>
          <t>IT00902_01</t>
        </is>
      </c>
      <c r="B2290" s="2" t="inlineStr">
        <is>
          <t>PED00902</t>
        </is>
      </c>
      <c r="C2290" s="2" t="inlineStr">
        <is>
          <t>P001</t>
        </is>
      </c>
      <c r="D2290" s="2" t="n">
        <v>4</v>
      </c>
      <c r="E2290" s="19" t="n">
        <v>0</v>
      </c>
    </row>
    <row r="2291">
      <c r="A2291" s="2" t="inlineStr">
        <is>
          <t>IT00902_02</t>
        </is>
      </c>
      <c r="B2291" s="2" t="inlineStr">
        <is>
          <t>PED00902</t>
        </is>
      </c>
      <c r="C2291" s="2" t="inlineStr">
        <is>
          <t>P041</t>
        </is>
      </c>
      <c r="D2291" s="2" t="n">
        <v>3</v>
      </c>
      <c r="E2291" s="19" t="n">
        <v>0</v>
      </c>
    </row>
    <row r="2292">
      <c r="A2292" s="2" t="inlineStr">
        <is>
          <t>IT00903_01</t>
        </is>
      </c>
      <c r="B2292" s="2" t="inlineStr">
        <is>
          <t>PED00903</t>
        </is>
      </c>
      <c r="C2292" s="2" t="inlineStr">
        <is>
          <t>P016</t>
        </is>
      </c>
      <c r="D2292" s="2" t="n">
        <v>1</v>
      </c>
      <c r="E2292" s="19" t="n">
        <v>0</v>
      </c>
    </row>
    <row r="2293">
      <c r="A2293" s="2" t="inlineStr">
        <is>
          <t>IT00903_02</t>
        </is>
      </c>
      <c r="B2293" s="2" t="inlineStr">
        <is>
          <t>PED00903</t>
        </is>
      </c>
      <c r="C2293" s="2" t="inlineStr">
        <is>
          <t>P005</t>
        </is>
      </c>
      <c r="D2293" s="2" t="n">
        <v>2</v>
      </c>
      <c r="E2293" s="19" t="n">
        <v>0</v>
      </c>
    </row>
    <row r="2294">
      <c r="A2294" s="2" t="inlineStr">
        <is>
          <t>IT00903_03</t>
        </is>
      </c>
      <c r="B2294" s="2" t="inlineStr">
        <is>
          <t>PED00903</t>
        </is>
      </c>
      <c r="C2294" s="2" t="inlineStr">
        <is>
          <t>P041</t>
        </is>
      </c>
      <c r="D2294" s="2" t="n">
        <v>1</v>
      </c>
      <c r="E2294" s="19" t="n">
        <v>0.05</v>
      </c>
    </row>
    <row r="2295">
      <c r="A2295" s="2" t="inlineStr">
        <is>
          <t>IT00904_01</t>
        </is>
      </c>
      <c r="B2295" s="2" t="inlineStr">
        <is>
          <t>PED00904</t>
        </is>
      </c>
      <c r="C2295" s="2" t="inlineStr">
        <is>
          <t>P010</t>
        </is>
      </c>
      <c r="D2295" s="2" t="n">
        <v>1</v>
      </c>
      <c r="E2295" s="19" t="n">
        <v>0</v>
      </c>
    </row>
    <row r="2296">
      <c r="A2296" s="2" t="inlineStr">
        <is>
          <t>IT00904_02</t>
        </is>
      </c>
      <c r="B2296" s="2" t="inlineStr">
        <is>
          <t>PED00904</t>
        </is>
      </c>
      <c r="C2296" s="2" t="inlineStr">
        <is>
          <t>P068</t>
        </is>
      </c>
      <c r="D2296" s="2" t="n">
        <v>1</v>
      </c>
      <c r="E2296" s="19" t="n">
        <v>0.1</v>
      </c>
    </row>
    <row r="2297">
      <c r="A2297" s="2" t="inlineStr">
        <is>
          <t>IT00904_03</t>
        </is>
      </c>
      <c r="B2297" s="2" t="inlineStr">
        <is>
          <t>PED00904</t>
        </is>
      </c>
      <c r="C2297" s="2" t="inlineStr">
        <is>
          <t>P047</t>
        </is>
      </c>
      <c r="D2297" s="2" t="n">
        <v>1</v>
      </c>
      <c r="E2297" s="19" t="n">
        <v>0.02</v>
      </c>
    </row>
    <row r="2298">
      <c r="A2298" s="2" t="inlineStr">
        <is>
          <t>IT00904_04</t>
        </is>
      </c>
      <c r="B2298" s="2" t="inlineStr">
        <is>
          <t>PED00904</t>
        </is>
      </c>
      <c r="C2298" s="2" t="inlineStr">
        <is>
          <t>P064</t>
        </is>
      </c>
      <c r="D2298" s="2" t="n">
        <v>4</v>
      </c>
      <c r="E2298" s="19" t="n">
        <v>0.05</v>
      </c>
    </row>
    <row r="2299">
      <c r="A2299" s="2" t="inlineStr">
        <is>
          <t>IT00905_01</t>
        </is>
      </c>
      <c r="B2299" s="2" t="inlineStr">
        <is>
          <t>PED00905</t>
        </is>
      </c>
      <c r="C2299" s="2" t="inlineStr">
        <is>
          <t>P016</t>
        </is>
      </c>
      <c r="D2299" s="2" t="n">
        <v>2</v>
      </c>
      <c r="E2299" s="19" t="n">
        <v>0</v>
      </c>
    </row>
    <row r="2300">
      <c r="A2300" s="2" t="inlineStr">
        <is>
          <t>IT00905_02</t>
        </is>
      </c>
      <c r="B2300" s="2" t="inlineStr">
        <is>
          <t>PED00905</t>
        </is>
      </c>
      <c r="C2300" s="2" t="inlineStr">
        <is>
          <t>P024</t>
        </is>
      </c>
      <c r="D2300" s="2" t="n">
        <v>1</v>
      </c>
      <c r="E2300" s="19" t="n">
        <v>0</v>
      </c>
    </row>
    <row r="2301">
      <c r="A2301" s="2" t="inlineStr">
        <is>
          <t>IT00906_01</t>
        </is>
      </c>
      <c r="B2301" s="2" t="inlineStr">
        <is>
          <t>PED00906</t>
        </is>
      </c>
      <c r="C2301" s="2" t="inlineStr">
        <is>
          <t>P039</t>
        </is>
      </c>
      <c r="D2301" s="2" t="n">
        <v>3</v>
      </c>
      <c r="E2301" s="19" t="n">
        <v>0</v>
      </c>
    </row>
    <row r="2302">
      <c r="A2302" s="2" t="inlineStr">
        <is>
          <t>IT00906_02</t>
        </is>
      </c>
      <c r="B2302" s="2" t="inlineStr">
        <is>
          <t>PED00906</t>
        </is>
      </c>
      <c r="C2302" s="2" t="inlineStr">
        <is>
          <t>P013</t>
        </is>
      </c>
      <c r="D2302" s="2" t="n">
        <v>4</v>
      </c>
      <c r="E2302" s="19" t="n">
        <v>0</v>
      </c>
    </row>
    <row r="2303">
      <c r="A2303" s="2" t="inlineStr">
        <is>
          <t>IT00906_03</t>
        </is>
      </c>
      <c r="B2303" s="2" t="inlineStr">
        <is>
          <t>PED00906</t>
        </is>
      </c>
      <c r="C2303" s="2" t="inlineStr">
        <is>
          <t>P052</t>
        </is>
      </c>
      <c r="D2303" s="2" t="n">
        <v>2</v>
      </c>
      <c r="E2303" s="19" t="n">
        <v>0</v>
      </c>
    </row>
    <row r="2304">
      <c r="A2304" s="2" t="inlineStr">
        <is>
          <t>IT00907_01</t>
        </is>
      </c>
      <c r="B2304" s="2" t="inlineStr">
        <is>
          <t>PED00907</t>
        </is>
      </c>
      <c r="C2304" s="2" t="inlineStr">
        <is>
          <t>P006</t>
        </is>
      </c>
      <c r="D2304" s="2" t="n">
        <v>2</v>
      </c>
      <c r="E2304" s="19" t="n">
        <v>0</v>
      </c>
    </row>
    <row r="2305">
      <c r="A2305" s="2" t="inlineStr">
        <is>
          <t>IT00907_02</t>
        </is>
      </c>
      <c r="B2305" s="2" t="inlineStr">
        <is>
          <t>PED00907</t>
        </is>
      </c>
      <c r="C2305" s="2" t="inlineStr">
        <is>
          <t>P061</t>
        </is>
      </c>
      <c r="D2305" s="2" t="n">
        <v>2</v>
      </c>
      <c r="E2305" s="19" t="n">
        <v>0</v>
      </c>
    </row>
    <row r="2306">
      <c r="A2306" s="2" t="inlineStr">
        <is>
          <t>IT00907_03</t>
        </is>
      </c>
      <c r="B2306" s="2" t="inlineStr">
        <is>
          <t>PED00907</t>
        </is>
      </c>
      <c r="C2306" s="2" t="inlineStr">
        <is>
          <t>P047</t>
        </is>
      </c>
      <c r="D2306" s="2" t="n">
        <v>3</v>
      </c>
      <c r="E2306" s="19" t="n">
        <v>0</v>
      </c>
    </row>
    <row r="2307">
      <c r="A2307" s="2" t="inlineStr">
        <is>
          <t>IT00907_04</t>
        </is>
      </c>
      <c r="B2307" s="2" t="inlineStr">
        <is>
          <t>PED00907</t>
        </is>
      </c>
      <c r="C2307" s="2" t="inlineStr">
        <is>
          <t>P052</t>
        </is>
      </c>
      <c r="D2307" s="2" t="n">
        <v>1</v>
      </c>
      <c r="E2307" s="19" t="n">
        <v>0</v>
      </c>
    </row>
    <row r="2308">
      <c r="A2308" s="2" t="inlineStr">
        <is>
          <t>IT00908_01</t>
        </is>
      </c>
      <c r="B2308" s="2" t="inlineStr">
        <is>
          <t>PED00908</t>
        </is>
      </c>
      <c r="C2308" s="2" t="inlineStr">
        <is>
          <t>P066</t>
        </is>
      </c>
      <c r="D2308" s="2" t="n">
        <v>1</v>
      </c>
      <c r="E2308" s="19" t="n">
        <v>0</v>
      </c>
    </row>
    <row r="2309">
      <c r="A2309" s="2" t="inlineStr">
        <is>
          <t>IT00908_02</t>
        </is>
      </c>
      <c r="B2309" s="2" t="inlineStr">
        <is>
          <t>PED00908</t>
        </is>
      </c>
      <c r="C2309" s="2" t="inlineStr">
        <is>
          <t>P031</t>
        </is>
      </c>
      <c r="D2309" s="2" t="n">
        <v>1</v>
      </c>
      <c r="E2309" s="19" t="n">
        <v>0.02</v>
      </c>
    </row>
    <row r="2310">
      <c r="A2310" s="2" t="inlineStr">
        <is>
          <t>IT00908_03</t>
        </is>
      </c>
      <c r="B2310" s="2" t="inlineStr">
        <is>
          <t>PED00908</t>
        </is>
      </c>
      <c r="C2310" s="2" t="inlineStr">
        <is>
          <t>P053</t>
        </is>
      </c>
      <c r="D2310" s="2" t="n">
        <v>3</v>
      </c>
      <c r="E2310" s="19" t="n">
        <v>0</v>
      </c>
    </row>
    <row r="2311">
      <c r="A2311" s="2" t="inlineStr">
        <is>
          <t>IT00909_01</t>
        </is>
      </c>
      <c r="B2311" s="2" t="inlineStr">
        <is>
          <t>PED00909</t>
        </is>
      </c>
      <c r="C2311" s="2" t="inlineStr">
        <is>
          <t>P038</t>
        </is>
      </c>
      <c r="D2311" s="2" t="n">
        <v>5</v>
      </c>
      <c r="E2311" s="19" t="n">
        <v>0</v>
      </c>
    </row>
    <row r="2312">
      <c r="A2312" s="2" t="inlineStr">
        <is>
          <t>IT00909_02</t>
        </is>
      </c>
      <c r="B2312" s="2" t="inlineStr">
        <is>
          <t>PED00909</t>
        </is>
      </c>
      <c r="C2312" s="2" t="inlineStr">
        <is>
          <t>P045</t>
        </is>
      </c>
      <c r="D2312" s="2" t="n">
        <v>2</v>
      </c>
      <c r="E2312" s="19" t="n">
        <v>0</v>
      </c>
    </row>
    <row r="2313">
      <c r="A2313" s="2" t="inlineStr">
        <is>
          <t>IT00909_03</t>
        </is>
      </c>
      <c r="B2313" s="2" t="inlineStr">
        <is>
          <t>PED00909</t>
        </is>
      </c>
      <c r="C2313" s="2" t="inlineStr">
        <is>
          <t>P018</t>
        </is>
      </c>
      <c r="D2313" s="2" t="n">
        <v>2</v>
      </c>
      <c r="E2313" s="19" t="n">
        <v>0.05</v>
      </c>
    </row>
    <row r="2314">
      <c r="A2314" s="2" t="inlineStr">
        <is>
          <t>IT00909_04</t>
        </is>
      </c>
      <c r="B2314" s="2" t="inlineStr">
        <is>
          <t>PED00909</t>
        </is>
      </c>
      <c r="C2314" s="2" t="inlineStr">
        <is>
          <t>P052</t>
        </is>
      </c>
      <c r="D2314" s="2" t="n">
        <v>3</v>
      </c>
      <c r="E2314" s="19" t="n">
        <v>0</v>
      </c>
    </row>
    <row r="2315">
      <c r="A2315" s="2" t="inlineStr">
        <is>
          <t>IT00910_01</t>
        </is>
      </c>
      <c r="B2315" s="2" t="inlineStr">
        <is>
          <t>PED00910</t>
        </is>
      </c>
      <c r="C2315" s="2" t="inlineStr">
        <is>
          <t>P017</t>
        </is>
      </c>
      <c r="D2315" s="2" t="n">
        <v>3</v>
      </c>
      <c r="E2315" s="19" t="n">
        <v>0</v>
      </c>
    </row>
    <row r="2316">
      <c r="A2316" s="2" t="inlineStr">
        <is>
          <t>IT00910_02</t>
        </is>
      </c>
      <c r="B2316" s="2" t="inlineStr">
        <is>
          <t>PED00910</t>
        </is>
      </c>
      <c r="C2316" s="2" t="inlineStr">
        <is>
          <t>P024</t>
        </is>
      </c>
      <c r="D2316" s="2" t="n">
        <v>5</v>
      </c>
      <c r="E2316" s="19" t="n">
        <v>0</v>
      </c>
    </row>
    <row r="2317">
      <c r="A2317" s="2" t="inlineStr">
        <is>
          <t>IT00911_01</t>
        </is>
      </c>
      <c r="B2317" s="2" t="inlineStr">
        <is>
          <t>PED00911</t>
        </is>
      </c>
      <c r="C2317" s="2" t="inlineStr">
        <is>
          <t>P018</t>
        </is>
      </c>
      <c r="D2317" s="2" t="n">
        <v>5</v>
      </c>
      <c r="E2317" s="19" t="n">
        <v>0</v>
      </c>
    </row>
    <row r="2318">
      <c r="A2318" s="2" t="inlineStr">
        <is>
          <t>IT00911_02</t>
        </is>
      </c>
      <c r="B2318" s="2" t="inlineStr">
        <is>
          <t>PED00911</t>
        </is>
      </c>
      <c r="C2318" s="2" t="inlineStr">
        <is>
          <t>P028</t>
        </is>
      </c>
      <c r="D2318" s="2" t="n">
        <v>2</v>
      </c>
      <c r="E2318" s="19" t="n">
        <v>0.02</v>
      </c>
    </row>
    <row r="2319">
      <c r="A2319" s="2" t="inlineStr">
        <is>
          <t>IT00911_03</t>
        </is>
      </c>
      <c r="B2319" s="2" t="inlineStr">
        <is>
          <t>PED00911</t>
        </is>
      </c>
      <c r="C2319" s="2" t="inlineStr">
        <is>
          <t>P036</t>
        </is>
      </c>
      <c r="D2319" s="2" t="n">
        <v>3</v>
      </c>
      <c r="E2319" s="19" t="n">
        <v>0</v>
      </c>
    </row>
    <row r="2320">
      <c r="A2320" s="2" t="inlineStr">
        <is>
          <t>IT00912_01</t>
        </is>
      </c>
      <c r="B2320" s="2" t="inlineStr">
        <is>
          <t>PED00912</t>
        </is>
      </c>
      <c r="C2320" s="2" t="inlineStr">
        <is>
          <t>P048</t>
        </is>
      </c>
      <c r="D2320" s="2" t="n">
        <v>1</v>
      </c>
      <c r="E2320" s="19" t="n">
        <v>0</v>
      </c>
    </row>
    <row r="2321">
      <c r="A2321" s="2" t="inlineStr">
        <is>
          <t>IT00913_01</t>
        </is>
      </c>
      <c r="B2321" s="2" t="inlineStr">
        <is>
          <t>PED00913</t>
        </is>
      </c>
      <c r="C2321" s="2" t="inlineStr">
        <is>
          <t>P046</t>
        </is>
      </c>
      <c r="D2321" s="2" t="n">
        <v>1</v>
      </c>
      <c r="E2321" s="19" t="n">
        <v>0.02</v>
      </c>
    </row>
    <row r="2322">
      <c r="A2322" s="2" t="inlineStr">
        <is>
          <t>IT00914_01</t>
        </is>
      </c>
      <c r="B2322" s="2" t="inlineStr">
        <is>
          <t>PED00914</t>
        </is>
      </c>
      <c r="C2322" s="2" t="inlineStr">
        <is>
          <t>P060</t>
        </is>
      </c>
      <c r="D2322" s="2" t="n">
        <v>1</v>
      </c>
      <c r="E2322" s="19" t="n">
        <v>0.02</v>
      </c>
    </row>
    <row r="2323">
      <c r="A2323" s="2" t="inlineStr">
        <is>
          <t>IT00915_01</t>
        </is>
      </c>
      <c r="B2323" s="2" t="inlineStr">
        <is>
          <t>PED00915</t>
        </is>
      </c>
      <c r="C2323" s="2" t="inlineStr">
        <is>
          <t>P023</t>
        </is>
      </c>
      <c r="D2323" s="2" t="n">
        <v>3</v>
      </c>
      <c r="E2323" s="19" t="n">
        <v>0</v>
      </c>
    </row>
    <row r="2324">
      <c r="A2324" s="2" t="inlineStr">
        <is>
          <t>IT00915_02</t>
        </is>
      </c>
      <c r="B2324" s="2" t="inlineStr">
        <is>
          <t>PED00915</t>
        </is>
      </c>
      <c r="C2324" s="2" t="inlineStr">
        <is>
          <t>P055</t>
        </is>
      </c>
      <c r="D2324" s="2" t="n">
        <v>3</v>
      </c>
      <c r="E2324" s="19" t="n">
        <v>0</v>
      </c>
    </row>
    <row r="2325">
      <c r="A2325" s="2" t="inlineStr">
        <is>
          <t>IT00916_01</t>
        </is>
      </c>
      <c r="B2325" s="2" t="inlineStr">
        <is>
          <t>PED00916</t>
        </is>
      </c>
      <c r="C2325" s="2" t="inlineStr">
        <is>
          <t>P062</t>
        </is>
      </c>
      <c r="D2325" s="2" t="n">
        <v>1</v>
      </c>
      <c r="E2325" s="19" t="n">
        <v>0</v>
      </c>
    </row>
    <row r="2326">
      <c r="A2326" s="2" t="inlineStr">
        <is>
          <t>IT00916_02</t>
        </is>
      </c>
      <c r="B2326" s="2" t="inlineStr">
        <is>
          <t>PED00916</t>
        </is>
      </c>
      <c r="C2326" s="2" t="inlineStr">
        <is>
          <t>P050</t>
        </is>
      </c>
      <c r="D2326" s="2" t="n">
        <v>2</v>
      </c>
      <c r="E2326" s="19" t="n">
        <v>0</v>
      </c>
    </row>
    <row r="2327">
      <c r="A2327" s="2" t="inlineStr">
        <is>
          <t>IT00917_01</t>
        </is>
      </c>
      <c r="B2327" s="2" t="inlineStr">
        <is>
          <t>PED00917</t>
        </is>
      </c>
      <c r="C2327" s="2" t="inlineStr">
        <is>
          <t>P019</t>
        </is>
      </c>
      <c r="D2327" s="2" t="n">
        <v>3</v>
      </c>
      <c r="E2327" s="19" t="n">
        <v>0</v>
      </c>
    </row>
    <row r="2328">
      <c r="A2328" s="2" t="inlineStr">
        <is>
          <t>IT00917_02</t>
        </is>
      </c>
      <c r="B2328" s="2" t="inlineStr">
        <is>
          <t>PED00917</t>
        </is>
      </c>
      <c r="C2328" s="2" t="inlineStr">
        <is>
          <t>P015</t>
        </is>
      </c>
      <c r="D2328" s="2" t="n">
        <v>2</v>
      </c>
      <c r="E2328" s="19" t="n">
        <v>0</v>
      </c>
    </row>
    <row r="2329">
      <c r="A2329" s="2" t="inlineStr">
        <is>
          <t>IT00917_03</t>
        </is>
      </c>
      <c r="B2329" s="2" t="inlineStr">
        <is>
          <t>PED00917</t>
        </is>
      </c>
      <c r="C2329" s="2" t="inlineStr">
        <is>
          <t>P035</t>
        </is>
      </c>
      <c r="D2329" s="2" t="n">
        <v>2</v>
      </c>
      <c r="E2329" s="19" t="n">
        <v>0.02</v>
      </c>
    </row>
    <row r="2330">
      <c r="A2330" s="2" t="inlineStr">
        <is>
          <t>IT00918_01</t>
        </is>
      </c>
      <c r="B2330" s="2" t="inlineStr">
        <is>
          <t>PED00918</t>
        </is>
      </c>
      <c r="C2330" s="2" t="inlineStr">
        <is>
          <t>P032</t>
        </is>
      </c>
      <c r="D2330" s="2" t="n">
        <v>4</v>
      </c>
      <c r="E2330" s="19" t="n">
        <v>0</v>
      </c>
    </row>
    <row r="2331">
      <c r="A2331" s="2" t="inlineStr">
        <is>
          <t>IT00918_02</t>
        </is>
      </c>
      <c r="B2331" s="2" t="inlineStr">
        <is>
          <t>PED00918</t>
        </is>
      </c>
      <c r="C2331" s="2" t="inlineStr">
        <is>
          <t>P068</t>
        </is>
      </c>
      <c r="D2331" s="2" t="n">
        <v>5</v>
      </c>
      <c r="E2331" s="19" t="n">
        <v>0</v>
      </c>
    </row>
    <row r="2332">
      <c r="A2332" s="2" t="inlineStr">
        <is>
          <t>IT00919_01</t>
        </is>
      </c>
      <c r="B2332" s="2" t="inlineStr">
        <is>
          <t>PED00919</t>
        </is>
      </c>
      <c r="C2332" s="2" t="inlineStr">
        <is>
          <t>P040</t>
        </is>
      </c>
      <c r="D2332" s="2" t="n">
        <v>3</v>
      </c>
      <c r="E2332" s="19" t="n">
        <v>0</v>
      </c>
    </row>
    <row r="2333">
      <c r="A2333" s="2" t="inlineStr">
        <is>
          <t>IT00920_01</t>
        </is>
      </c>
      <c r="B2333" s="2" t="inlineStr">
        <is>
          <t>PED00920</t>
        </is>
      </c>
      <c r="C2333" s="2" t="inlineStr">
        <is>
          <t>P046</t>
        </is>
      </c>
      <c r="D2333" s="2" t="n">
        <v>2</v>
      </c>
      <c r="E2333" s="19" t="n">
        <v>0</v>
      </c>
    </row>
    <row r="2334">
      <c r="A2334" s="2" t="inlineStr">
        <is>
          <t>IT00920_02</t>
        </is>
      </c>
      <c r="B2334" s="2" t="inlineStr">
        <is>
          <t>PED00920</t>
        </is>
      </c>
      <c r="C2334" s="2" t="inlineStr">
        <is>
          <t>P013</t>
        </is>
      </c>
      <c r="D2334" s="2" t="n">
        <v>1</v>
      </c>
      <c r="E2334" s="19" t="n">
        <v>0</v>
      </c>
    </row>
    <row r="2335">
      <c r="A2335" s="2" t="inlineStr">
        <is>
          <t>IT00920_03</t>
        </is>
      </c>
      <c r="B2335" s="2" t="inlineStr">
        <is>
          <t>PED00920</t>
        </is>
      </c>
      <c r="C2335" s="2" t="inlineStr">
        <is>
          <t>P049</t>
        </is>
      </c>
      <c r="D2335" s="2" t="n">
        <v>1</v>
      </c>
      <c r="E2335" s="19" t="n">
        <v>0</v>
      </c>
    </row>
    <row r="2336">
      <c r="A2336" s="2" t="inlineStr">
        <is>
          <t>IT00921_01</t>
        </is>
      </c>
      <c r="B2336" s="2" t="inlineStr">
        <is>
          <t>PED00921</t>
        </is>
      </c>
      <c r="C2336" s="2" t="inlineStr">
        <is>
          <t>P014</t>
        </is>
      </c>
      <c r="D2336" s="2" t="n">
        <v>1</v>
      </c>
      <c r="E2336" s="19" t="n">
        <v>0</v>
      </c>
    </row>
    <row r="2337">
      <c r="A2337" s="2" t="inlineStr">
        <is>
          <t>IT00921_02</t>
        </is>
      </c>
      <c r="B2337" s="2" t="inlineStr">
        <is>
          <t>PED00921</t>
        </is>
      </c>
      <c r="C2337" s="2" t="inlineStr">
        <is>
          <t>P018</t>
        </is>
      </c>
      <c r="D2337" s="2" t="n">
        <v>2</v>
      </c>
      <c r="E2337" s="19" t="n">
        <v>0</v>
      </c>
    </row>
    <row r="2338">
      <c r="A2338" s="2" t="inlineStr">
        <is>
          <t>IT00921_03</t>
        </is>
      </c>
      <c r="B2338" s="2" t="inlineStr">
        <is>
          <t>PED00921</t>
        </is>
      </c>
      <c r="C2338" s="2" t="inlineStr">
        <is>
          <t>P030</t>
        </is>
      </c>
      <c r="D2338" s="2" t="n">
        <v>3</v>
      </c>
      <c r="E2338" s="19" t="n">
        <v>0</v>
      </c>
    </row>
    <row r="2339">
      <c r="A2339" s="2" t="inlineStr">
        <is>
          <t>IT00922_01</t>
        </is>
      </c>
      <c r="B2339" s="2" t="inlineStr">
        <is>
          <t>PED00922</t>
        </is>
      </c>
      <c r="C2339" s="2" t="inlineStr">
        <is>
          <t>P002</t>
        </is>
      </c>
      <c r="D2339" s="2" t="n">
        <v>4</v>
      </c>
      <c r="E2339" s="19" t="n">
        <v>0</v>
      </c>
    </row>
    <row r="2340">
      <c r="A2340" s="2" t="inlineStr">
        <is>
          <t>IT00923_01</t>
        </is>
      </c>
      <c r="B2340" s="2" t="inlineStr">
        <is>
          <t>PED00923</t>
        </is>
      </c>
      <c r="C2340" s="2" t="inlineStr">
        <is>
          <t>P012</t>
        </is>
      </c>
      <c r="D2340" s="2" t="n">
        <v>3</v>
      </c>
      <c r="E2340" s="19" t="n">
        <v>0.05</v>
      </c>
    </row>
    <row r="2341">
      <c r="A2341" s="2" t="inlineStr">
        <is>
          <t>IT00923_02</t>
        </is>
      </c>
      <c r="B2341" s="2" t="inlineStr">
        <is>
          <t>PED00923</t>
        </is>
      </c>
      <c r="C2341" s="2" t="inlineStr">
        <is>
          <t>P033</t>
        </is>
      </c>
      <c r="D2341" s="2" t="n">
        <v>1</v>
      </c>
      <c r="E2341" s="19" t="n">
        <v>0</v>
      </c>
    </row>
    <row r="2342">
      <c r="A2342" s="2" t="inlineStr">
        <is>
          <t>IT00923_03</t>
        </is>
      </c>
      <c r="B2342" s="2" t="inlineStr">
        <is>
          <t>PED00923</t>
        </is>
      </c>
      <c r="C2342" s="2" t="inlineStr">
        <is>
          <t>P069</t>
        </is>
      </c>
      <c r="D2342" s="2" t="n">
        <v>1</v>
      </c>
      <c r="E2342" s="19" t="n">
        <v>0</v>
      </c>
    </row>
    <row r="2343">
      <c r="A2343" s="2" t="inlineStr">
        <is>
          <t>IT00924_01</t>
        </is>
      </c>
      <c r="B2343" s="2" t="inlineStr">
        <is>
          <t>PED00924</t>
        </is>
      </c>
      <c r="C2343" s="2" t="inlineStr">
        <is>
          <t>P012</t>
        </is>
      </c>
      <c r="D2343" s="2" t="n">
        <v>2</v>
      </c>
      <c r="E2343" s="19" t="n">
        <v>0.05</v>
      </c>
    </row>
    <row r="2344">
      <c r="A2344" s="2" t="inlineStr">
        <is>
          <t>IT00924_02</t>
        </is>
      </c>
      <c r="B2344" s="2" t="inlineStr">
        <is>
          <t>PED00924</t>
        </is>
      </c>
      <c r="C2344" s="2" t="inlineStr">
        <is>
          <t>P065</t>
        </is>
      </c>
      <c r="D2344" s="2" t="n">
        <v>1</v>
      </c>
      <c r="E2344" s="19" t="n">
        <v>0</v>
      </c>
    </row>
    <row r="2345">
      <c r="A2345" s="2" t="inlineStr">
        <is>
          <t>IT00925_01</t>
        </is>
      </c>
      <c r="B2345" s="2" t="inlineStr">
        <is>
          <t>PED00925</t>
        </is>
      </c>
      <c r="C2345" s="2" t="inlineStr">
        <is>
          <t>P003</t>
        </is>
      </c>
      <c r="D2345" s="2" t="n">
        <v>1</v>
      </c>
      <c r="E2345" s="19" t="n">
        <v>0</v>
      </c>
    </row>
    <row r="2346">
      <c r="A2346" s="2" t="inlineStr">
        <is>
          <t>IT00925_02</t>
        </is>
      </c>
      <c r="B2346" s="2" t="inlineStr">
        <is>
          <t>PED00925</t>
        </is>
      </c>
      <c r="C2346" s="2" t="inlineStr">
        <is>
          <t>P036</t>
        </is>
      </c>
      <c r="D2346" s="2" t="n">
        <v>1</v>
      </c>
      <c r="E2346" s="19" t="n">
        <v>0.05</v>
      </c>
    </row>
    <row r="2347">
      <c r="A2347" s="2" t="inlineStr">
        <is>
          <t>IT00925_03</t>
        </is>
      </c>
      <c r="B2347" s="2" t="inlineStr">
        <is>
          <t>PED00925</t>
        </is>
      </c>
      <c r="C2347" s="2" t="inlineStr">
        <is>
          <t>P025</t>
        </is>
      </c>
      <c r="D2347" s="2" t="n">
        <v>1</v>
      </c>
      <c r="E2347" s="19" t="n">
        <v>0</v>
      </c>
    </row>
    <row r="2348">
      <c r="A2348" s="2" t="inlineStr">
        <is>
          <t>IT00925_04</t>
        </is>
      </c>
      <c r="B2348" s="2" t="inlineStr">
        <is>
          <t>PED00925</t>
        </is>
      </c>
      <c r="C2348" s="2" t="inlineStr">
        <is>
          <t>P023</t>
        </is>
      </c>
      <c r="D2348" s="2" t="n">
        <v>1</v>
      </c>
      <c r="E2348" s="19" t="n">
        <v>0</v>
      </c>
    </row>
    <row r="2349">
      <c r="A2349" s="2" t="inlineStr">
        <is>
          <t>IT00925_05</t>
        </is>
      </c>
      <c r="B2349" s="2" t="inlineStr">
        <is>
          <t>PED00925</t>
        </is>
      </c>
      <c r="C2349" s="2" t="inlineStr">
        <is>
          <t>P021</t>
        </is>
      </c>
      <c r="D2349" s="2" t="n">
        <v>2</v>
      </c>
      <c r="E2349" s="19" t="n">
        <v>0</v>
      </c>
    </row>
    <row r="2350">
      <c r="A2350" s="2" t="inlineStr">
        <is>
          <t>IT00926_01</t>
        </is>
      </c>
      <c r="B2350" s="2" t="inlineStr">
        <is>
          <t>PED00926</t>
        </is>
      </c>
      <c r="C2350" s="2" t="inlineStr">
        <is>
          <t>P021</t>
        </is>
      </c>
      <c r="D2350" s="2" t="n">
        <v>1</v>
      </c>
      <c r="E2350" s="19" t="n">
        <v>0</v>
      </c>
    </row>
    <row r="2351">
      <c r="A2351" s="2" t="inlineStr">
        <is>
          <t>IT00926_02</t>
        </is>
      </c>
      <c r="B2351" s="2" t="inlineStr">
        <is>
          <t>PED00926</t>
        </is>
      </c>
      <c r="C2351" s="2" t="inlineStr">
        <is>
          <t>P061</t>
        </is>
      </c>
      <c r="D2351" s="2" t="n">
        <v>1</v>
      </c>
      <c r="E2351" s="19" t="n">
        <v>0.05</v>
      </c>
    </row>
    <row r="2352">
      <c r="A2352" s="2" t="inlineStr">
        <is>
          <t>IT00926_03</t>
        </is>
      </c>
      <c r="B2352" s="2" t="inlineStr">
        <is>
          <t>PED00926</t>
        </is>
      </c>
      <c r="C2352" s="2" t="inlineStr">
        <is>
          <t>P049</t>
        </is>
      </c>
      <c r="D2352" s="2" t="n">
        <v>2</v>
      </c>
      <c r="E2352" s="19" t="n">
        <v>0</v>
      </c>
    </row>
    <row r="2353">
      <c r="A2353" s="2" t="inlineStr">
        <is>
          <t>IT00926_04</t>
        </is>
      </c>
      <c r="B2353" s="2" t="inlineStr">
        <is>
          <t>PED00926</t>
        </is>
      </c>
      <c r="C2353" s="2" t="inlineStr">
        <is>
          <t>P001</t>
        </is>
      </c>
      <c r="D2353" s="2" t="n">
        <v>1</v>
      </c>
      <c r="E2353" s="19" t="n">
        <v>0</v>
      </c>
    </row>
    <row r="2354">
      <c r="A2354" s="2" t="inlineStr">
        <is>
          <t>IT00927_01</t>
        </is>
      </c>
      <c r="B2354" s="2" t="inlineStr">
        <is>
          <t>PED00927</t>
        </is>
      </c>
      <c r="C2354" s="2" t="inlineStr">
        <is>
          <t>P068</t>
        </is>
      </c>
      <c r="D2354" s="2" t="n">
        <v>4</v>
      </c>
      <c r="E2354" s="19" t="n">
        <v>0</v>
      </c>
    </row>
    <row r="2355">
      <c r="A2355" s="2" t="inlineStr">
        <is>
          <t>IT00927_02</t>
        </is>
      </c>
      <c r="B2355" s="2" t="inlineStr">
        <is>
          <t>PED00927</t>
        </is>
      </c>
      <c r="C2355" s="2" t="inlineStr">
        <is>
          <t>P043</t>
        </is>
      </c>
      <c r="D2355" s="2" t="n">
        <v>10</v>
      </c>
      <c r="E2355" s="19" t="n">
        <v>0</v>
      </c>
    </row>
    <row r="2356">
      <c r="A2356" s="2" t="inlineStr">
        <is>
          <t>IT00928_01</t>
        </is>
      </c>
      <c r="B2356" s="2" t="inlineStr">
        <is>
          <t>PED00928</t>
        </is>
      </c>
      <c r="C2356" s="2" t="inlineStr">
        <is>
          <t>P034</t>
        </is>
      </c>
      <c r="D2356" s="2" t="n">
        <v>4</v>
      </c>
      <c r="E2356" s="19" t="n">
        <v>0.02</v>
      </c>
    </row>
    <row r="2357">
      <c r="A2357" s="2" t="inlineStr">
        <is>
          <t>IT00928_02</t>
        </is>
      </c>
      <c r="B2357" s="2" t="inlineStr">
        <is>
          <t>PED00928</t>
        </is>
      </c>
      <c r="C2357" s="2" t="inlineStr">
        <is>
          <t>P028</t>
        </is>
      </c>
      <c r="D2357" s="2" t="n">
        <v>3</v>
      </c>
      <c r="E2357" s="19" t="n">
        <v>0</v>
      </c>
    </row>
    <row r="2358">
      <c r="A2358" s="2" t="inlineStr">
        <is>
          <t>IT00929_01</t>
        </is>
      </c>
      <c r="B2358" s="2" t="inlineStr">
        <is>
          <t>PED00929</t>
        </is>
      </c>
      <c r="C2358" s="2" t="inlineStr">
        <is>
          <t>P007</t>
        </is>
      </c>
      <c r="D2358" s="2" t="n">
        <v>5</v>
      </c>
      <c r="E2358" s="19" t="n">
        <v>0</v>
      </c>
    </row>
    <row r="2359">
      <c r="A2359" s="2" t="inlineStr">
        <is>
          <t>IT00929_02</t>
        </is>
      </c>
      <c r="B2359" s="2" t="inlineStr">
        <is>
          <t>PED00929</t>
        </is>
      </c>
      <c r="C2359" s="2" t="inlineStr">
        <is>
          <t>P030</t>
        </is>
      </c>
      <c r="D2359" s="2" t="n">
        <v>2</v>
      </c>
      <c r="E2359" s="19" t="n">
        <v>0.05</v>
      </c>
    </row>
    <row r="2360">
      <c r="A2360" s="2" t="inlineStr">
        <is>
          <t>IT00929_03</t>
        </is>
      </c>
      <c r="B2360" s="2" t="inlineStr">
        <is>
          <t>PED00929</t>
        </is>
      </c>
      <c r="C2360" s="2" t="inlineStr">
        <is>
          <t>P069</t>
        </is>
      </c>
      <c r="D2360" s="2" t="n">
        <v>2</v>
      </c>
      <c r="E2360" s="19" t="n">
        <v>0.02</v>
      </c>
    </row>
    <row r="2361">
      <c r="A2361" s="2" t="inlineStr">
        <is>
          <t>IT00930_01</t>
        </is>
      </c>
      <c r="B2361" s="2" t="inlineStr">
        <is>
          <t>PED00930</t>
        </is>
      </c>
      <c r="C2361" s="2" t="inlineStr">
        <is>
          <t>P066</t>
        </is>
      </c>
      <c r="D2361" s="2" t="n">
        <v>2</v>
      </c>
      <c r="E2361" s="19" t="n">
        <v>0</v>
      </c>
    </row>
    <row r="2362">
      <c r="A2362" s="2" t="inlineStr">
        <is>
          <t>IT00930_02</t>
        </is>
      </c>
      <c r="B2362" s="2" t="inlineStr">
        <is>
          <t>PED00930</t>
        </is>
      </c>
      <c r="C2362" s="2" t="inlineStr">
        <is>
          <t>P070</t>
        </is>
      </c>
      <c r="D2362" s="2" t="n">
        <v>2</v>
      </c>
      <c r="E2362" s="19" t="n">
        <v>0</v>
      </c>
    </row>
    <row r="2363">
      <c r="A2363" s="2" t="inlineStr">
        <is>
          <t>IT00930_03</t>
        </is>
      </c>
      <c r="B2363" s="2" t="inlineStr">
        <is>
          <t>PED00930</t>
        </is>
      </c>
      <c r="C2363" s="2" t="inlineStr">
        <is>
          <t>P010</t>
        </is>
      </c>
      <c r="D2363" s="2" t="n">
        <v>1</v>
      </c>
      <c r="E2363" s="19" t="n">
        <v>0</v>
      </c>
    </row>
    <row r="2364">
      <c r="A2364" s="2" t="inlineStr">
        <is>
          <t>IT00930_04</t>
        </is>
      </c>
      <c r="B2364" s="2" t="inlineStr">
        <is>
          <t>PED00930</t>
        </is>
      </c>
      <c r="C2364" s="2" t="inlineStr">
        <is>
          <t>P031</t>
        </is>
      </c>
      <c r="D2364" s="2" t="n">
        <v>3</v>
      </c>
      <c r="E2364" s="19" t="n">
        <v>0</v>
      </c>
    </row>
    <row r="2365">
      <c r="A2365" s="2" t="inlineStr">
        <is>
          <t>IT00931_01</t>
        </is>
      </c>
      <c r="B2365" s="2" t="inlineStr">
        <is>
          <t>PED00931</t>
        </is>
      </c>
      <c r="C2365" s="2" t="inlineStr">
        <is>
          <t>P057</t>
        </is>
      </c>
      <c r="D2365" s="2" t="n">
        <v>2</v>
      </c>
      <c r="E2365" s="19" t="n">
        <v>0</v>
      </c>
    </row>
    <row r="2366">
      <c r="A2366" s="2" t="inlineStr">
        <is>
          <t>IT00931_02</t>
        </is>
      </c>
      <c r="B2366" s="2" t="inlineStr">
        <is>
          <t>PED00931</t>
        </is>
      </c>
      <c r="C2366" s="2" t="inlineStr">
        <is>
          <t>P010</t>
        </is>
      </c>
      <c r="D2366" s="2" t="n">
        <v>1</v>
      </c>
      <c r="E2366" s="19" t="n">
        <v>0.02</v>
      </c>
    </row>
    <row r="2367">
      <c r="A2367" s="2" t="inlineStr">
        <is>
          <t>IT00932_01</t>
        </is>
      </c>
      <c r="B2367" s="2" t="inlineStr">
        <is>
          <t>PED00932</t>
        </is>
      </c>
      <c r="C2367" s="2" t="inlineStr">
        <is>
          <t>P004</t>
        </is>
      </c>
      <c r="D2367" s="2" t="n">
        <v>3</v>
      </c>
      <c r="E2367" s="19" t="n">
        <v>0.02</v>
      </c>
    </row>
    <row r="2368">
      <c r="A2368" s="2" t="inlineStr">
        <is>
          <t>IT00933_01</t>
        </is>
      </c>
      <c r="B2368" s="2" t="inlineStr">
        <is>
          <t>PED00933</t>
        </is>
      </c>
      <c r="C2368" s="2" t="inlineStr">
        <is>
          <t>P025</t>
        </is>
      </c>
      <c r="D2368" s="2" t="n">
        <v>2</v>
      </c>
      <c r="E2368" s="19" t="n">
        <v>0.05</v>
      </c>
    </row>
    <row r="2369">
      <c r="A2369" s="2" t="inlineStr">
        <is>
          <t>IT00934_01</t>
        </is>
      </c>
      <c r="B2369" s="2" t="inlineStr">
        <is>
          <t>PED00934</t>
        </is>
      </c>
      <c r="C2369" s="2" t="inlineStr">
        <is>
          <t>P020</t>
        </is>
      </c>
      <c r="D2369" s="2" t="n">
        <v>10</v>
      </c>
      <c r="E2369" s="19" t="n">
        <v>0</v>
      </c>
    </row>
    <row r="2370">
      <c r="A2370" s="2" t="inlineStr">
        <is>
          <t>IT00935_01</t>
        </is>
      </c>
      <c r="B2370" s="2" t="inlineStr">
        <is>
          <t>PED00935</t>
        </is>
      </c>
      <c r="C2370" s="2" t="inlineStr">
        <is>
          <t>P070</t>
        </is>
      </c>
      <c r="D2370" s="2" t="n">
        <v>2</v>
      </c>
      <c r="E2370" s="19" t="n">
        <v>0.02</v>
      </c>
    </row>
    <row r="2371">
      <c r="A2371" s="2" t="inlineStr">
        <is>
          <t>IT00935_02</t>
        </is>
      </c>
      <c r="B2371" s="2" t="inlineStr">
        <is>
          <t>PED00935</t>
        </is>
      </c>
      <c r="C2371" s="2" t="inlineStr">
        <is>
          <t>P062</t>
        </is>
      </c>
      <c r="D2371" s="2" t="n">
        <v>1</v>
      </c>
      <c r="E2371" s="19" t="n">
        <v>0.05</v>
      </c>
    </row>
    <row r="2372">
      <c r="A2372" s="2" t="inlineStr">
        <is>
          <t>IT00935_03</t>
        </is>
      </c>
      <c r="B2372" s="2" t="inlineStr">
        <is>
          <t>PED00935</t>
        </is>
      </c>
      <c r="C2372" s="2" t="inlineStr">
        <is>
          <t>P037</t>
        </is>
      </c>
      <c r="D2372" s="2" t="n">
        <v>1</v>
      </c>
      <c r="E2372" s="19" t="n">
        <v>0</v>
      </c>
    </row>
    <row r="2373">
      <c r="A2373" s="2" t="inlineStr">
        <is>
          <t>IT00935_04</t>
        </is>
      </c>
      <c r="B2373" s="2" t="inlineStr">
        <is>
          <t>PED00935</t>
        </is>
      </c>
      <c r="C2373" s="2" t="inlineStr">
        <is>
          <t>P063</t>
        </is>
      </c>
      <c r="D2373" s="2" t="n">
        <v>1</v>
      </c>
      <c r="E2373" s="19" t="n">
        <v>0</v>
      </c>
    </row>
    <row r="2374">
      <c r="A2374" s="2" t="inlineStr">
        <is>
          <t>IT00936_01</t>
        </is>
      </c>
      <c r="B2374" s="2" t="inlineStr">
        <is>
          <t>PED00936</t>
        </is>
      </c>
      <c r="C2374" s="2" t="inlineStr">
        <is>
          <t>P032</t>
        </is>
      </c>
      <c r="D2374" s="2" t="n">
        <v>2</v>
      </c>
      <c r="E2374" s="19" t="n">
        <v>0</v>
      </c>
    </row>
    <row r="2375">
      <c r="A2375" s="2" t="inlineStr">
        <is>
          <t>IT00936_02</t>
        </is>
      </c>
      <c r="B2375" s="2" t="inlineStr">
        <is>
          <t>PED00936</t>
        </is>
      </c>
      <c r="C2375" s="2" t="inlineStr">
        <is>
          <t>P049</t>
        </is>
      </c>
      <c r="D2375" s="2" t="n">
        <v>3</v>
      </c>
      <c r="E2375" s="19" t="n">
        <v>0</v>
      </c>
    </row>
    <row r="2376">
      <c r="A2376" s="2" t="inlineStr">
        <is>
          <t>IT00936_03</t>
        </is>
      </c>
      <c r="B2376" s="2" t="inlineStr">
        <is>
          <t>PED00936</t>
        </is>
      </c>
      <c r="C2376" s="2" t="inlineStr">
        <is>
          <t>P045</t>
        </is>
      </c>
      <c r="D2376" s="2" t="n">
        <v>1</v>
      </c>
      <c r="E2376" s="19" t="n">
        <v>0</v>
      </c>
    </row>
    <row r="2377">
      <c r="A2377" s="2" t="inlineStr">
        <is>
          <t>IT00937_01</t>
        </is>
      </c>
      <c r="B2377" s="2" t="inlineStr">
        <is>
          <t>PED00937</t>
        </is>
      </c>
      <c r="C2377" s="2" t="inlineStr">
        <is>
          <t>P007</t>
        </is>
      </c>
      <c r="D2377" s="2" t="n">
        <v>1</v>
      </c>
      <c r="E2377" s="19" t="n">
        <v>0</v>
      </c>
    </row>
    <row r="2378">
      <c r="A2378" s="2" t="inlineStr">
        <is>
          <t>IT00937_02</t>
        </is>
      </c>
      <c r="B2378" s="2" t="inlineStr">
        <is>
          <t>PED00937</t>
        </is>
      </c>
      <c r="C2378" s="2" t="inlineStr">
        <is>
          <t>P047</t>
        </is>
      </c>
      <c r="D2378" s="2" t="n">
        <v>2</v>
      </c>
      <c r="E2378" s="19" t="n">
        <v>0.02</v>
      </c>
    </row>
    <row r="2379">
      <c r="A2379" s="2" t="inlineStr">
        <is>
          <t>IT00938_01</t>
        </is>
      </c>
      <c r="B2379" s="2" t="inlineStr">
        <is>
          <t>PED00938</t>
        </is>
      </c>
      <c r="C2379" s="2" t="inlineStr">
        <is>
          <t>P059</t>
        </is>
      </c>
      <c r="D2379" s="2" t="n">
        <v>1</v>
      </c>
      <c r="E2379" s="19" t="n">
        <v>0</v>
      </c>
    </row>
    <row r="2380">
      <c r="A2380" s="2" t="inlineStr">
        <is>
          <t>IT00938_02</t>
        </is>
      </c>
      <c r="B2380" s="2" t="inlineStr">
        <is>
          <t>PED00938</t>
        </is>
      </c>
      <c r="C2380" s="2" t="inlineStr">
        <is>
          <t>P046</t>
        </is>
      </c>
      <c r="D2380" s="2" t="n">
        <v>1</v>
      </c>
      <c r="E2380" s="19" t="n">
        <v>0</v>
      </c>
    </row>
    <row r="2381">
      <c r="A2381" s="2" t="inlineStr">
        <is>
          <t>IT00938_03</t>
        </is>
      </c>
      <c r="B2381" s="2" t="inlineStr">
        <is>
          <t>PED00938</t>
        </is>
      </c>
      <c r="C2381" s="2" t="inlineStr">
        <is>
          <t>P003</t>
        </is>
      </c>
      <c r="D2381" s="2" t="n">
        <v>1</v>
      </c>
      <c r="E2381" s="19" t="n">
        <v>0</v>
      </c>
    </row>
    <row r="2382">
      <c r="A2382" s="2" t="inlineStr">
        <is>
          <t>IT00938_04</t>
        </is>
      </c>
      <c r="B2382" s="2" t="inlineStr">
        <is>
          <t>PED00938</t>
        </is>
      </c>
      <c r="C2382" s="2" t="inlineStr">
        <is>
          <t>P068</t>
        </is>
      </c>
      <c r="D2382" s="2" t="n">
        <v>3</v>
      </c>
      <c r="E2382" s="19" t="n">
        <v>0</v>
      </c>
    </row>
    <row r="2383">
      <c r="A2383" s="2" t="inlineStr">
        <is>
          <t>IT00939_01</t>
        </is>
      </c>
      <c r="B2383" s="2" t="inlineStr">
        <is>
          <t>PED00939</t>
        </is>
      </c>
      <c r="C2383" s="2" t="inlineStr">
        <is>
          <t>P061</t>
        </is>
      </c>
      <c r="D2383" s="2" t="n">
        <v>2</v>
      </c>
      <c r="E2383" s="19" t="n">
        <v>0</v>
      </c>
    </row>
    <row r="2384">
      <c r="A2384" s="2" t="inlineStr">
        <is>
          <t>IT00939_02</t>
        </is>
      </c>
      <c r="B2384" s="2" t="inlineStr">
        <is>
          <t>PED00939</t>
        </is>
      </c>
      <c r="C2384" s="2" t="inlineStr">
        <is>
          <t>P064</t>
        </is>
      </c>
      <c r="D2384" s="2" t="n">
        <v>3</v>
      </c>
      <c r="E2384" s="19" t="n">
        <v>0</v>
      </c>
    </row>
    <row r="2385">
      <c r="A2385" s="2" t="inlineStr">
        <is>
          <t>IT00939_03</t>
        </is>
      </c>
      <c r="B2385" s="2" t="inlineStr">
        <is>
          <t>PED00939</t>
        </is>
      </c>
      <c r="C2385" s="2" t="inlineStr">
        <is>
          <t>P032</t>
        </is>
      </c>
      <c r="D2385" s="2" t="n">
        <v>1</v>
      </c>
      <c r="E2385" s="19" t="n">
        <v>0</v>
      </c>
    </row>
    <row r="2386">
      <c r="A2386" s="2" t="inlineStr">
        <is>
          <t>IT00940_01</t>
        </is>
      </c>
      <c r="B2386" s="2" t="inlineStr">
        <is>
          <t>PED00940</t>
        </is>
      </c>
      <c r="C2386" s="2" t="inlineStr">
        <is>
          <t>P067</t>
        </is>
      </c>
      <c r="D2386" s="2" t="n">
        <v>1</v>
      </c>
      <c r="E2386" s="19" t="n">
        <v>0</v>
      </c>
    </row>
    <row r="2387">
      <c r="A2387" s="2" t="inlineStr">
        <is>
          <t>IT00940_02</t>
        </is>
      </c>
      <c r="B2387" s="2" t="inlineStr">
        <is>
          <t>PED00940</t>
        </is>
      </c>
      <c r="C2387" s="2" t="inlineStr">
        <is>
          <t>P040</t>
        </is>
      </c>
      <c r="D2387" s="2" t="n">
        <v>4</v>
      </c>
      <c r="E2387" s="19" t="n">
        <v>0.02</v>
      </c>
    </row>
    <row r="2388">
      <c r="A2388" s="2" t="inlineStr">
        <is>
          <t>IT00940_03</t>
        </is>
      </c>
      <c r="B2388" s="2" t="inlineStr">
        <is>
          <t>PED00940</t>
        </is>
      </c>
      <c r="C2388" s="2" t="inlineStr">
        <is>
          <t>P053</t>
        </is>
      </c>
      <c r="D2388" s="2" t="n">
        <v>1</v>
      </c>
      <c r="E2388" s="19" t="n">
        <v>0.02</v>
      </c>
    </row>
    <row r="2389">
      <c r="A2389" s="2" t="inlineStr">
        <is>
          <t>IT00941_01</t>
        </is>
      </c>
      <c r="B2389" s="2" t="inlineStr">
        <is>
          <t>PED00941</t>
        </is>
      </c>
      <c r="C2389" s="2" t="inlineStr">
        <is>
          <t>P006</t>
        </is>
      </c>
      <c r="D2389" s="2" t="n">
        <v>1</v>
      </c>
      <c r="E2389" s="19" t="n">
        <v>0.1</v>
      </c>
    </row>
    <row r="2390">
      <c r="A2390" s="2" t="inlineStr">
        <is>
          <t>IT00941_02</t>
        </is>
      </c>
      <c r="B2390" s="2" t="inlineStr">
        <is>
          <t>PED00941</t>
        </is>
      </c>
      <c r="C2390" s="2" t="inlineStr">
        <is>
          <t>P050</t>
        </is>
      </c>
      <c r="D2390" s="2" t="n">
        <v>1</v>
      </c>
      <c r="E2390" s="19" t="n">
        <v>0</v>
      </c>
    </row>
    <row r="2391">
      <c r="A2391" s="2" t="inlineStr">
        <is>
          <t>IT00942_01</t>
        </is>
      </c>
      <c r="B2391" s="2" t="inlineStr">
        <is>
          <t>PED00942</t>
        </is>
      </c>
      <c r="C2391" s="2" t="inlineStr">
        <is>
          <t>P070</t>
        </is>
      </c>
      <c r="D2391" s="2" t="n">
        <v>1</v>
      </c>
      <c r="E2391" s="19" t="n">
        <v>0.1</v>
      </c>
    </row>
    <row r="2392">
      <c r="A2392" s="2" t="inlineStr">
        <is>
          <t>IT00942_02</t>
        </is>
      </c>
      <c r="B2392" s="2" t="inlineStr">
        <is>
          <t>PED00942</t>
        </is>
      </c>
      <c r="C2392" s="2" t="inlineStr">
        <is>
          <t>P024</t>
        </is>
      </c>
      <c r="D2392" s="2" t="n">
        <v>4</v>
      </c>
      <c r="E2392" s="19" t="n">
        <v>0</v>
      </c>
    </row>
    <row r="2393">
      <c r="A2393" s="2" t="inlineStr">
        <is>
          <t>IT00943_01</t>
        </is>
      </c>
      <c r="B2393" s="2" t="inlineStr">
        <is>
          <t>PED00943</t>
        </is>
      </c>
      <c r="C2393" s="2" t="inlineStr">
        <is>
          <t>P068</t>
        </is>
      </c>
      <c r="D2393" s="2" t="n">
        <v>4</v>
      </c>
      <c r="E2393" s="19" t="n">
        <v>0</v>
      </c>
    </row>
    <row r="2394">
      <c r="A2394" s="2" t="inlineStr">
        <is>
          <t>IT00943_02</t>
        </is>
      </c>
      <c r="B2394" s="2" t="inlineStr">
        <is>
          <t>PED00943</t>
        </is>
      </c>
      <c r="C2394" s="2" t="inlineStr">
        <is>
          <t>P065</t>
        </is>
      </c>
      <c r="D2394" s="2" t="n">
        <v>1</v>
      </c>
      <c r="E2394" s="19" t="n">
        <v>0</v>
      </c>
    </row>
    <row r="2395">
      <c r="A2395" s="2" t="inlineStr">
        <is>
          <t>IT00944_01</t>
        </is>
      </c>
      <c r="B2395" s="2" t="inlineStr">
        <is>
          <t>PED00944</t>
        </is>
      </c>
      <c r="C2395" s="2" t="inlineStr">
        <is>
          <t>P008</t>
        </is>
      </c>
      <c r="D2395" s="2" t="n">
        <v>2</v>
      </c>
      <c r="E2395" s="19" t="n">
        <v>0</v>
      </c>
    </row>
    <row r="2396">
      <c r="A2396" s="2" t="inlineStr">
        <is>
          <t>IT00945_01</t>
        </is>
      </c>
      <c r="B2396" s="2" t="inlineStr">
        <is>
          <t>PED00945</t>
        </is>
      </c>
      <c r="C2396" s="2" t="inlineStr">
        <is>
          <t>P046</t>
        </is>
      </c>
      <c r="D2396" s="2" t="n">
        <v>1</v>
      </c>
      <c r="E2396" s="19" t="n">
        <v>0</v>
      </c>
    </row>
    <row r="2397">
      <c r="A2397" s="2" t="inlineStr">
        <is>
          <t>IT00946_01</t>
        </is>
      </c>
      <c r="B2397" s="2" t="inlineStr">
        <is>
          <t>PED00946</t>
        </is>
      </c>
      <c r="C2397" s="2" t="inlineStr">
        <is>
          <t>P013</t>
        </is>
      </c>
      <c r="D2397" s="2" t="n">
        <v>3</v>
      </c>
      <c r="E2397" s="19" t="n">
        <v>0</v>
      </c>
    </row>
    <row r="2398">
      <c r="A2398" s="2" t="inlineStr">
        <is>
          <t>IT00947_01</t>
        </is>
      </c>
      <c r="B2398" s="2" t="inlineStr">
        <is>
          <t>PED00947</t>
        </is>
      </c>
      <c r="C2398" s="2" t="inlineStr">
        <is>
          <t>P026</t>
        </is>
      </c>
      <c r="D2398" s="2" t="n">
        <v>1</v>
      </c>
      <c r="E2398" s="19" t="n">
        <v>0</v>
      </c>
    </row>
    <row r="2399">
      <c r="A2399" s="2" t="inlineStr">
        <is>
          <t>IT00947_02</t>
        </is>
      </c>
      <c r="B2399" s="2" t="inlineStr">
        <is>
          <t>PED00947</t>
        </is>
      </c>
      <c r="C2399" s="2" t="inlineStr">
        <is>
          <t>P064</t>
        </is>
      </c>
      <c r="D2399" s="2" t="n">
        <v>10</v>
      </c>
      <c r="E2399" s="19" t="n">
        <v>0</v>
      </c>
    </row>
    <row r="2400">
      <c r="A2400" s="2" t="inlineStr">
        <is>
          <t>IT00947_03</t>
        </is>
      </c>
      <c r="B2400" s="2" t="inlineStr">
        <is>
          <t>PED00947</t>
        </is>
      </c>
      <c r="C2400" s="2" t="inlineStr">
        <is>
          <t>P028</t>
        </is>
      </c>
      <c r="D2400" s="2" t="n">
        <v>1</v>
      </c>
      <c r="E2400" s="19" t="n">
        <v>0</v>
      </c>
    </row>
    <row r="2401">
      <c r="A2401" s="2" t="inlineStr">
        <is>
          <t>IT00948_01</t>
        </is>
      </c>
      <c r="B2401" s="2" t="inlineStr">
        <is>
          <t>PED00948</t>
        </is>
      </c>
      <c r="C2401" s="2" t="inlineStr">
        <is>
          <t>P065</t>
        </is>
      </c>
      <c r="D2401" s="2" t="n">
        <v>3</v>
      </c>
      <c r="E2401" s="19" t="n">
        <v>0.02</v>
      </c>
    </row>
    <row r="2402">
      <c r="A2402" s="2" t="inlineStr">
        <is>
          <t>IT00948_02</t>
        </is>
      </c>
      <c r="B2402" s="2" t="inlineStr">
        <is>
          <t>PED00948</t>
        </is>
      </c>
      <c r="C2402" s="2" t="inlineStr">
        <is>
          <t>P053</t>
        </is>
      </c>
      <c r="D2402" s="2" t="n">
        <v>2</v>
      </c>
      <c r="E2402" s="19" t="n">
        <v>0</v>
      </c>
    </row>
    <row r="2403">
      <c r="A2403" s="2" t="inlineStr">
        <is>
          <t>IT00949_01</t>
        </is>
      </c>
      <c r="B2403" s="2" t="inlineStr">
        <is>
          <t>PED00949</t>
        </is>
      </c>
      <c r="C2403" s="2" t="inlineStr">
        <is>
          <t>P015</t>
        </is>
      </c>
      <c r="D2403" s="2" t="n">
        <v>4</v>
      </c>
      <c r="E2403" s="19" t="n">
        <v>0</v>
      </c>
    </row>
    <row r="2404">
      <c r="A2404" s="2" t="inlineStr">
        <is>
          <t>IT00949_02</t>
        </is>
      </c>
      <c r="B2404" s="2" t="inlineStr">
        <is>
          <t>PED00949</t>
        </is>
      </c>
      <c r="C2404" s="2" t="inlineStr">
        <is>
          <t>P017</t>
        </is>
      </c>
      <c r="D2404" s="2" t="n">
        <v>1</v>
      </c>
      <c r="E2404" s="19" t="n">
        <v>0</v>
      </c>
    </row>
    <row r="2405">
      <c r="A2405" s="2" t="inlineStr">
        <is>
          <t>IT00949_03</t>
        </is>
      </c>
      <c r="B2405" s="2" t="inlineStr">
        <is>
          <t>PED00949</t>
        </is>
      </c>
      <c r="C2405" s="2" t="inlineStr">
        <is>
          <t>P068</t>
        </is>
      </c>
      <c r="D2405" s="2" t="n">
        <v>3</v>
      </c>
      <c r="E2405" s="19" t="n">
        <v>0</v>
      </c>
    </row>
    <row r="2406">
      <c r="A2406" s="2" t="inlineStr">
        <is>
          <t>IT00950_01</t>
        </is>
      </c>
      <c r="B2406" s="2" t="inlineStr">
        <is>
          <t>PED00950</t>
        </is>
      </c>
      <c r="C2406" s="2" t="inlineStr">
        <is>
          <t>P028</t>
        </is>
      </c>
      <c r="D2406" s="2" t="n">
        <v>1</v>
      </c>
      <c r="E2406" s="19" t="n">
        <v>0</v>
      </c>
    </row>
    <row r="2407">
      <c r="A2407" s="2" t="inlineStr">
        <is>
          <t>IT00950_02</t>
        </is>
      </c>
      <c r="B2407" s="2" t="inlineStr">
        <is>
          <t>PED00950</t>
        </is>
      </c>
      <c r="C2407" s="2" t="inlineStr">
        <is>
          <t>P051</t>
        </is>
      </c>
      <c r="D2407" s="2" t="n">
        <v>1</v>
      </c>
      <c r="E2407" s="19" t="n">
        <v>0</v>
      </c>
    </row>
    <row r="2408">
      <c r="A2408" s="2" t="inlineStr">
        <is>
          <t>IT00950_03</t>
        </is>
      </c>
      <c r="B2408" s="2" t="inlineStr">
        <is>
          <t>PED00950</t>
        </is>
      </c>
      <c r="C2408" s="2" t="inlineStr">
        <is>
          <t>P048</t>
        </is>
      </c>
      <c r="D2408" s="2" t="n">
        <v>1</v>
      </c>
      <c r="E2408" s="19" t="n">
        <v>0</v>
      </c>
    </row>
    <row r="2409">
      <c r="A2409" s="2" t="inlineStr">
        <is>
          <t>IT00950_04</t>
        </is>
      </c>
      <c r="B2409" s="2" t="inlineStr">
        <is>
          <t>PED00950</t>
        </is>
      </c>
      <c r="C2409" s="2" t="inlineStr">
        <is>
          <t>P045</t>
        </is>
      </c>
      <c r="D2409" s="2" t="n">
        <v>3</v>
      </c>
      <c r="E2409" s="19" t="n">
        <v>0</v>
      </c>
    </row>
    <row r="2410">
      <c r="A2410" s="2" t="inlineStr">
        <is>
          <t>IT00951_01</t>
        </is>
      </c>
      <c r="B2410" s="2" t="inlineStr">
        <is>
          <t>PED00951</t>
        </is>
      </c>
      <c r="C2410" s="2" t="inlineStr">
        <is>
          <t>P018</t>
        </is>
      </c>
      <c r="D2410" s="2" t="n">
        <v>3</v>
      </c>
      <c r="E2410" s="19" t="n">
        <v>0</v>
      </c>
    </row>
    <row r="2411">
      <c r="A2411" s="2" t="inlineStr">
        <is>
          <t>IT00952_01</t>
        </is>
      </c>
      <c r="B2411" s="2" t="inlineStr">
        <is>
          <t>PED00952</t>
        </is>
      </c>
      <c r="C2411" s="2" t="inlineStr">
        <is>
          <t>P043</t>
        </is>
      </c>
      <c r="D2411" s="2" t="n">
        <v>1</v>
      </c>
      <c r="E2411" s="19" t="n">
        <v>0</v>
      </c>
    </row>
    <row r="2412">
      <c r="A2412" s="2" t="inlineStr">
        <is>
          <t>IT00952_02</t>
        </is>
      </c>
      <c r="B2412" s="2" t="inlineStr">
        <is>
          <t>PED00952</t>
        </is>
      </c>
      <c r="C2412" s="2" t="inlineStr">
        <is>
          <t>P044</t>
        </is>
      </c>
      <c r="D2412" s="2" t="n">
        <v>5</v>
      </c>
      <c r="E2412" s="19" t="n">
        <v>0.02</v>
      </c>
    </row>
    <row r="2413">
      <c r="A2413" s="2" t="inlineStr">
        <is>
          <t>IT00953_01</t>
        </is>
      </c>
      <c r="B2413" s="2" t="inlineStr">
        <is>
          <t>PED00953</t>
        </is>
      </c>
      <c r="C2413" s="2" t="inlineStr">
        <is>
          <t>P044</t>
        </is>
      </c>
      <c r="D2413" s="2" t="n">
        <v>1</v>
      </c>
      <c r="E2413" s="19" t="n">
        <v>0.05</v>
      </c>
    </row>
    <row r="2414">
      <c r="A2414" s="2" t="inlineStr">
        <is>
          <t>IT00954_01</t>
        </is>
      </c>
      <c r="B2414" s="2" t="inlineStr">
        <is>
          <t>PED00954</t>
        </is>
      </c>
      <c r="C2414" s="2" t="inlineStr">
        <is>
          <t>P003</t>
        </is>
      </c>
      <c r="D2414" s="2" t="n">
        <v>5</v>
      </c>
      <c r="E2414" s="19" t="n">
        <v>0.05</v>
      </c>
    </row>
    <row r="2415">
      <c r="A2415" s="2" t="inlineStr">
        <is>
          <t>IT00954_02</t>
        </is>
      </c>
      <c r="B2415" s="2" t="inlineStr">
        <is>
          <t>PED00954</t>
        </is>
      </c>
      <c r="C2415" s="2" t="inlineStr">
        <is>
          <t>P006</t>
        </is>
      </c>
      <c r="D2415" s="2" t="n">
        <v>1</v>
      </c>
      <c r="E2415" s="19" t="n">
        <v>0.05</v>
      </c>
    </row>
    <row r="2416">
      <c r="A2416" s="2" t="inlineStr">
        <is>
          <t>IT00955_01</t>
        </is>
      </c>
      <c r="B2416" s="2" t="inlineStr">
        <is>
          <t>PED00955</t>
        </is>
      </c>
      <c r="C2416" s="2" t="inlineStr">
        <is>
          <t>P020</t>
        </is>
      </c>
      <c r="D2416" s="2" t="n">
        <v>2</v>
      </c>
      <c r="E2416" s="19" t="n">
        <v>0</v>
      </c>
    </row>
    <row r="2417">
      <c r="A2417" s="2" t="inlineStr">
        <is>
          <t>IT00956_01</t>
        </is>
      </c>
      <c r="B2417" s="2" t="inlineStr">
        <is>
          <t>PED00956</t>
        </is>
      </c>
      <c r="C2417" s="2" t="inlineStr">
        <is>
          <t>P056</t>
        </is>
      </c>
      <c r="D2417" s="2" t="n">
        <v>2</v>
      </c>
      <c r="E2417" s="19" t="n">
        <v>0</v>
      </c>
    </row>
    <row r="2418">
      <c r="A2418" s="2" t="inlineStr">
        <is>
          <t>IT00957_01</t>
        </is>
      </c>
      <c r="B2418" s="2" t="inlineStr">
        <is>
          <t>PED00957</t>
        </is>
      </c>
      <c r="C2418" s="2" t="inlineStr">
        <is>
          <t>P019</t>
        </is>
      </c>
      <c r="D2418" s="2" t="n">
        <v>3</v>
      </c>
      <c r="E2418" s="19" t="n">
        <v>0</v>
      </c>
    </row>
    <row r="2419">
      <c r="A2419" s="2" t="inlineStr">
        <is>
          <t>IT00957_02</t>
        </is>
      </c>
      <c r="B2419" s="2" t="inlineStr">
        <is>
          <t>PED00957</t>
        </is>
      </c>
      <c r="C2419" s="2" t="inlineStr">
        <is>
          <t>P027</t>
        </is>
      </c>
      <c r="D2419" s="2" t="n">
        <v>5</v>
      </c>
      <c r="E2419" s="19" t="n">
        <v>0</v>
      </c>
    </row>
    <row r="2420">
      <c r="A2420" s="2" t="inlineStr">
        <is>
          <t>IT00957_03</t>
        </is>
      </c>
      <c r="B2420" s="2" t="inlineStr">
        <is>
          <t>PED00957</t>
        </is>
      </c>
      <c r="C2420" s="2" t="inlineStr">
        <is>
          <t>P068</t>
        </is>
      </c>
      <c r="D2420" s="2" t="n">
        <v>1</v>
      </c>
      <c r="E2420" s="19" t="n">
        <v>0</v>
      </c>
    </row>
    <row r="2421">
      <c r="A2421" s="2" t="inlineStr">
        <is>
          <t>IT00958_01</t>
        </is>
      </c>
      <c r="B2421" s="2" t="inlineStr">
        <is>
          <t>PED00958</t>
        </is>
      </c>
      <c r="C2421" s="2" t="inlineStr">
        <is>
          <t>P068</t>
        </is>
      </c>
      <c r="D2421" s="2" t="n">
        <v>1</v>
      </c>
      <c r="E2421" s="19" t="n">
        <v>0</v>
      </c>
    </row>
    <row r="2422">
      <c r="A2422" s="2" t="inlineStr">
        <is>
          <t>IT00958_02</t>
        </is>
      </c>
      <c r="B2422" s="2" t="inlineStr">
        <is>
          <t>PED00958</t>
        </is>
      </c>
      <c r="C2422" s="2" t="inlineStr">
        <is>
          <t>P018</t>
        </is>
      </c>
      <c r="D2422" s="2" t="n">
        <v>2</v>
      </c>
      <c r="E2422" s="19" t="n">
        <v>0</v>
      </c>
    </row>
    <row r="2423">
      <c r="A2423" s="2" t="inlineStr">
        <is>
          <t>IT00958_03</t>
        </is>
      </c>
      <c r="B2423" s="2" t="inlineStr">
        <is>
          <t>PED00958</t>
        </is>
      </c>
      <c r="C2423" s="2" t="inlineStr">
        <is>
          <t>P053</t>
        </is>
      </c>
      <c r="D2423" s="2" t="n">
        <v>1</v>
      </c>
      <c r="E2423" s="19" t="n">
        <v>0</v>
      </c>
    </row>
    <row r="2424">
      <c r="A2424" s="2" t="inlineStr">
        <is>
          <t>IT00958_04</t>
        </is>
      </c>
      <c r="B2424" s="2" t="inlineStr">
        <is>
          <t>PED00958</t>
        </is>
      </c>
      <c r="C2424" s="2" t="inlineStr">
        <is>
          <t>P006</t>
        </is>
      </c>
      <c r="D2424" s="2" t="n">
        <v>2</v>
      </c>
      <c r="E2424" s="19" t="n">
        <v>0</v>
      </c>
    </row>
    <row r="2425">
      <c r="A2425" s="2" t="inlineStr">
        <is>
          <t>IT00959_01</t>
        </is>
      </c>
      <c r="B2425" s="2" t="inlineStr">
        <is>
          <t>PED00959</t>
        </is>
      </c>
      <c r="C2425" s="2" t="inlineStr">
        <is>
          <t>P024</t>
        </is>
      </c>
      <c r="D2425" s="2" t="n">
        <v>3</v>
      </c>
      <c r="E2425" s="19" t="n">
        <v>0</v>
      </c>
    </row>
    <row r="2426">
      <c r="A2426" s="2" t="inlineStr">
        <is>
          <t>IT00959_02</t>
        </is>
      </c>
      <c r="B2426" s="2" t="inlineStr">
        <is>
          <t>PED00959</t>
        </is>
      </c>
      <c r="C2426" s="2" t="inlineStr">
        <is>
          <t>P003</t>
        </is>
      </c>
      <c r="D2426" s="2" t="n">
        <v>1</v>
      </c>
      <c r="E2426" s="19" t="n">
        <v>0.05</v>
      </c>
    </row>
    <row r="2427">
      <c r="A2427" s="2" t="inlineStr">
        <is>
          <t>IT00960_01</t>
        </is>
      </c>
      <c r="B2427" s="2" t="inlineStr">
        <is>
          <t>PED00960</t>
        </is>
      </c>
      <c r="C2427" s="2" t="inlineStr">
        <is>
          <t>P038</t>
        </is>
      </c>
      <c r="D2427" s="2" t="n">
        <v>4</v>
      </c>
      <c r="E2427" s="19" t="n">
        <v>0</v>
      </c>
    </row>
    <row r="2428">
      <c r="A2428" s="2" t="inlineStr">
        <is>
          <t>IT00960_02</t>
        </is>
      </c>
      <c r="B2428" s="2" t="inlineStr">
        <is>
          <t>PED00960</t>
        </is>
      </c>
      <c r="C2428" s="2" t="inlineStr">
        <is>
          <t>P059</t>
        </is>
      </c>
      <c r="D2428" s="2" t="n">
        <v>2</v>
      </c>
      <c r="E2428" s="19" t="n">
        <v>0</v>
      </c>
    </row>
    <row r="2429">
      <c r="A2429" s="2" t="inlineStr">
        <is>
          <t>IT00960_03</t>
        </is>
      </c>
      <c r="B2429" s="2" t="inlineStr">
        <is>
          <t>PED00960</t>
        </is>
      </c>
      <c r="C2429" s="2" t="inlineStr">
        <is>
          <t>P012</t>
        </is>
      </c>
      <c r="D2429" s="2" t="n">
        <v>1</v>
      </c>
      <c r="E2429" s="19" t="n">
        <v>0.1</v>
      </c>
    </row>
    <row r="2430">
      <c r="A2430" s="2" t="inlineStr">
        <is>
          <t>IT00961_01</t>
        </is>
      </c>
      <c r="B2430" s="2" t="inlineStr">
        <is>
          <t>PED00961</t>
        </is>
      </c>
      <c r="C2430" s="2" t="inlineStr">
        <is>
          <t>P025</t>
        </is>
      </c>
      <c r="D2430" s="2" t="n">
        <v>3</v>
      </c>
      <c r="E2430" s="19" t="n">
        <v>0.05</v>
      </c>
    </row>
    <row r="2431">
      <c r="A2431" s="2" t="inlineStr">
        <is>
          <t>IT00961_02</t>
        </is>
      </c>
      <c r="B2431" s="2" t="inlineStr">
        <is>
          <t>PED00961</t>
        </is>
      </c>
      <c r="C2431" s="2" t="inlineStr">
        <is>
          <t>P023</t>
        </is>
      </c>
      <c r="D2431" s="2" t="n">
        <v>1</v>
      </c>
      <c r="E2431" s="19" t="n">
        <v>0.02</v>
      </c>
    </row>
    <row r="2432">
      <c r="A2432" s="2" t="inlineStr">
        <is>
          <t>IT00961_03</t>
        </is>
      </c>
      <c r="B2432" s="2" t="inlineStr">
        <is>
          <t>PED00961</t>
        </is>
      </c>
      <c r="C2432" s="2" t="inlineStr">
        <is>
          <t>P014</t>
        </is>
      </c>
      <c r="D2432" s="2" t="n">
        <v>3</v>
      </c>
      <c r="E2432" s="19" t="n">
        <v>0</v>
      </c>
    </row>
    <row r="2433">
      <c r="A2433" s="2" t="inlineStr">
        <is>
          <t>IT00961_04</t>
        </is>
      </c>
      <c r="B2433" s="2" t="inlineStr">
        <is>
          <t>PED00961</t>
        </is>
      </c>
      <c r="C2433" s="2" t="inlineStr">
        <is>
          <t>P024</t>
        </is>
      </c>
      <c r="D2433" s="2" t="n">
        <v>2</v>
      </c>
      <c r="E2433" s="19" t="n">
        <v>0.1</v>
      </c>
    </row>
    <row r="2434">
      <c r="A2434" s="2" t="inlineStr">
        <is>
          <t>IT00962_01</t>
        </is>
      </c>
      <c r="B2434" s="2" t="inlineStr">
        <is>
          <t>PED00962</t>
        </is>
      </c>
      <c r="C2434" s="2" t="inlineStr">
        <is>
          <t>P054</t>
        </is>
      </c>
      <c r="D2434" s="2" t="n">
        <v>5</v>
      </c>
      <c r="E2434" s="19" t="n">
        <v>0</v>
      </c>
    </row>
    <row r="2435">
      <c r="A2435" s="2" t="inlineStr">
        <is>
          <t>IT00963_01</t>
        </is>
      </c>
      <c r="B2435" s="2" t="inlineStr">
        <is>
          <t>PED00963</t>
        </is>
      </c>
      <c r="C2435" s="2" t="inlineStr">
        <is>
          <t>P029</t>
        </is>
      </c>
      <c r="D2435" s="2" t="n">
        <v>2</v>
      </c>
      <c r="E2435" s="19" t="n">
        <v>0</v>
      </c>
    </row>
    <row r="2436">
      <c r="A2436" s="2" t="inlineStr">
        <is>
          <t>IT00963_02</t>
        </is>
      </c>
      <c r="B2436" s="2" t="inlineStr">
        <is>
          <t>PED00963</t>
        </is>
      </c>
      <c r="C2436" s="2" t="inlineStr">
        <is>
          <t>P042</t>
        </is>
      </c>
      <c r="D2436" s="2" t="n">
        <v>1</v>
      </c>
      <c r="E2436" s="19" t="n">
        <v>0</v>
      </c>
    </row>
    <row r="2437">
      <c r="A2437" s="2" t="inlineStr">
        <is>
          <t>IT00964_01</t>
        </is>
      </c>
      <c r="B2437" s="2" t="inlineStr">
        <is>
          <t>PED00964</t>
        </is>
      </c>
      <c r="C2437" s="2" t="inlineStr">
        <is>
          <t>P053</t>
        </is>
      </c>
      <c r="D2437" s="2" t="n">
        <v>1</v>
      </c>
      <c r="E2437" s="19" t="n">
        <v>0</v>
      </c>
    </row>
    <row r="2438">
      <c r="A2438" s="2" t="inlineStr">
        <is>
          <t>IT00964_02</t>
        </is>
      </c>
      <c r="B2438" s="2" t="inlineStr">
        <is>
          <t>PED00964</t>
        </is>
      </c>
      <c r="C2438" s="2" t="inlineStr">
        <is>
          <t>P016</t>
        </is>
      </c>
      <c r="D2438" s="2" t="n">
        <v>3</v>
      </c>
      <c r="E2438" s="19" t="n">
        <v>0</v>
      </c>
    </row>
    <row r="2439">
      <c r="A2439" s="2" t="inlineStr">
        <is>
          <t>IT00964_03</t>
        </is>
      </c>
      <c r="B2439" s="2" t="inlineStr">
        <is>
          <t>PED00964</t>
        </is>
      </c>
      <c r="C2439" s="2" t="inlineStr">
        <is>
          <t>P019</t>
        </is>
      </c>
      <c r="D2439" s="2" t="n">
        <v>2</v>
      </c>
      <c r="E2439" s="19" t="n">
        <v>0</v>
      </c>
    </row>
    <row r="2440">
      <c r="A2440" s="2" t="inlineStr">
        <is>
          <t>IT00964_04</t>
        </is>
      </c>
      <c r="B2440" s="2" t="inlineStr">
        <is>
          <t>PED00964</t>
        </is>
      </c>
      <c r="C2440" s="2" t="inlineStr">
        <is>
          <t>P056</t>
        </is>
      </c>
      <c r="D2440" s="2" t="n">
        <v>2</v>
      </c>
      <c r="E2440" s="19" t="n">
        <v>0</v>
      </c>
    </row>
    <row r="2441">
      <c r="A2441" s="2" t="inlineStr">
        <is>
          <t>IT00965_01</t>
        </is>
      </c>
      <c r="B2441" s="2" t="inlineStr">
        <is>
          <t>PED00965</t>
        </is>
      </c>
      <c r="C2441" s="2" t="inlineStr">
        <is>
          <t>P028</t>
        </is>
      </c>
      <c r="D2441" s="2" t="n">
        <v>1</v>
      </c>
      <c r="E2441" s="19" t="n">
        <v>0.05</v>
      </c>
    </row>
    <row r="2442">
      <c r="A2442" s="2" t="inlineStr">
        <is>
          <t>IT00965_02</t>
        </is>
      </c>
      <c r="B2442" s="2" t="inlineStr">
        <is>
          <t>PED00965</t>
        </is>
      </c>
      <c r="C2442" s="2" t="inlineStr">
        <is>
          <t>P002</t>
        </is>
      </c>
      <c r="D2442" s="2" t="n">
        <v>4</v>
      </c>
      <c r="E2442" s="19" t="n">
        <v>0.02</v>
      </c>
    </row>
    <row r="2443">
      <c r="A2443" s="2" t="inlineStr">
        <is>
          <t>IT00965_03</t>
        </is>
      </c>
      <c r="B2443" s="2" t="inlineStr">
        <is>
          <t>PED00965</t>
        </is>
      </c>
      <c r="C2443" s="2" t="inlineStr">
        <is>
          <t>P062</t>
        </is>
      </c>
      <c r="D2443" s="2" t="n">
        <v>3</v>
      </c>
      <c r="E2443" s="19" t="n">
        <v>0</v>
      </c>
    </row>
    <row r="2444">
      <c r="A2444" s="2" t="inlineStr">
        <is>
          <t>IT00965_04</t>
        </is>
      </c>
      <c r="B2444" s="2" t="inlineStr">
        <is>
          <t>PED00965</t>
        </is>
      </c>
      <c r="C2444" s="2" t="inlineStr">
        <is>
          <t>P055</t>
        </is>
      </c>
      <c r="D2444" s="2" t="n">
        <v>1</v>
      </c>
      <c r="E2444" s="19" t="n">
        <v>0.05</v>
      </c>
    </row>
    <row r="2445">
      <c r="A2445" s="2" t="inlineStr">
        <is>
          <t>IT00966_01</t>
        </is>
      </c>
      <c r="B2445" s="2" t="inlineStr">
        <is>
          <t>PED00966</t>
        </is>
      </c>
      <c r="C2445" s="2" t="inlineStr">
        <is>
          <t>P040</t>
        </is>
      </c>
      <c r="D2445" s="2" t="n">
        <v>2</v>
      </c>
      <c r="E2445" s="19" t="n">
        <v>0</v>
      </c>
    </row>
    <row r="2446">
      <c r="A2446" s="2" t="inlineStr">
        <is>
          <t>IT00966_02</t>
        </is>
      </c>
      <c r="B2446" s="2" t="inlineStr">
        <is>
          <t>PED00966</t>
        </is>
      </c>
      <c r="C2446" s="2" t="inlineStr">
        <is>
          <t>P066</t>
        </is>
      </c>
      <c r="D2446" s="2" t="n">
        <v>1</v>
      </c>
      <c r="E2446" s="19" t="n">
        <v>0.1</v>
      </c>
    </row>
    <row r="2447">
      <c r="A2447" s="2" t="inlineStr">
        <is>
          <t>IT00966_03</t>
        </is>
      </c>
      <c r="B2447" s="2" t="inlineStr">
        <is>
          <t>PED00966</t>
        </is>
      </c>
      <c r="C2447" s="2" t="inlineStr">
        <is>
          <t>P035</t>
        </is>
      </c>
      <c r="D2447" s="2" t="n">
        <v>2</v>
      </c>
      <c r="E2447" s="19" t="n">
        <v>0</v>
      </c>
    </row>
    <row r="2448">
      <c r="A2448" s="2" t="inlineStr">
        <is>
          <t>IT00967_01</t>
        </is>
      </c>
      <c r="B2448" s="2" t="inlineStr">
        <is>
          <t>PED00967</t>
        </is>
      </c>
      <c r="C2448" s="2" t="inlineStr">
        <is>
          <t>P015</t>
        </is>
      </c>
      <c r="D2448" s="2" t="n">
        <v>1</v>
      </c>
      <c r="E2448" s="19" t="n">
        <v>0</v>
      </c>
    </row>
    <row r="2449">
      <c r="A2449" s="2" t="inlineStr">
        <is>
          <t>IT00967_02</t>
        </is>
      </c>
      <c r="B2449" s="2" t="inlineStr">
        <is>
          <t>PED00967</t>
        </is>
      </c>
      <c r="C2449" s="2" t="inlineStr">
        <is>
          <t>P050</t>
        </is>
      </c>
      <c r="D2449" s="2" t="n">
        <v>2</v>
      </c>
      <c r="E2449" s="19" t="n">
        <v>0.05</v>
      </c>
    </row>
    <row r="2450">
      <c r="A2450" s="2" t="inlineStr">
        <is>
          <t>IT00967_03</t>
        </is>
      </c>
      <c r="B2450" s="2" t="inlineStr">
        <is>
          <t>PED00967</t>
        </is>
      </c>
      <c r="C2450" s="2" t="inlineStr">
        <is>
          <t>P065</t>
        </is>
      </c>
      <c r="D2450" s="2" t="n">
        <v>3</v>
      </c>
      <c r="E2450" s="19" t="n">
        <v>0</v>
      </c>
    </row>
    <row r="2451">
      <c r="A2451" s="2" t="inlineStr">
        <is>
          <t>IT00967_04</t>
        </is>
      </c>
      <c r="B2451" s="2" t="inlineStr">
        <is>
          <t>PED00967</t>
        </is>
      </c>
      <c r="C2451" s="2" t="inlineStr">
        <is>
          <t>P026</t>
        </is>
      </c>
      <c r="D2451" s="2" t="n">
        <v>5</v>
      </c>
      <c r="E2451" s="19" t="n">
        <v>0</v>
      </c>
    </row>
    <row r="2452">
      <c r="A2452" s="2" t="inlineStr">
        <is>
          <t>IT00967_05</t>
        </is>
      </c>
      <c r="B2452" s="2" t="inlineStr">
        <is>
          <t>PED00967</t>
        </is>
      </c>
      <c r="C2452" s="2" t="inlineStr">
        <is>
          <t>P010</t>
        </is>
      </c>
      <c r="D2452" s="2" t="n">
        <v>1</v>
      </c>
      <c r="E2452" s="19" t="n">
        <v>0</v>
      </c>
    </row>
    <row r="2453">
      <c r="A2453" s="2" t="inlineStr">
        <is>
          <t>IT00968_01</t>
        </is>
      </c>
      <c r="B2453" s="2" t="inlineStr">
        <is>
          <t>PED00968</t>
        </is>
      </c>
      <c r="C2453" s="2" t="inlineStr">
        <is>
          <t>P067</t>
        </is>
      </c>
      <c r="D2453" s="2" t="n">
        <v>2</v>
      </c>
      <c r="E2453" s="19" t="n">
        <v>0</v>
      </c>
    </row>
    <row r="2454">
      <c r="A2454" s="2" t="inlineStr">
        <is>
          <t>IT00968_02</t>
        </is>
      </c>
      <c r="B2454" s="2" t="inlineStr">
        <is>
          <t>PED00968</t>
        </is>
      </c>
      <c r="C2454" s="2" t="inlineStr">
        <is>
          <t>P026</t>
        </is>
      </c>
      <c r="D2454" s="2" t="n">
        <v>1</v>
      </c>
      <c r="E2454" s="19" t="n">
        <v>0</v>
      </c>
    </row>
    <row r="2455">
      <c r="A2455" s="2" t="inlineStr">
        <is>
          <t>IT00968_03</t>
        </is>
      </c>
      <c r="B2455" s="2" t="inlineStr">
        <is>
          <t>PED00968</t>
        </is>
      </c>
      <c r="C2455" s="2" t="inlineStr">
        <is>
          <t>P057</t>
        </is>
      </c>
      <c r="D2455" s="2" t="n">
        <v>2</v>
      </c>
      <c r="E2455" s="19" t="n">
        <v>0</v>
      </c>
    </row>
    <row r="2456">
      <c r="A2456" s="2" t="inlineStr">
        <is>
          <t>IT00969_01</t>
        </is>
      </c>
      <c r="B2456" s="2" t="inlineStr">
        <is>
          <t>PED00969</t>
        </is>
      </c>
      <c r="C2456" s="2" t="inlineStr">
        <is>
          <t>P018</t>
        </is>
      </c>
      <c r="D2456" s="2" t="n">
        <v>1</v>
      </c>
      <c r="E2456" s="19" t="n">
        <v>0.02</v>
      </c>
    </row>
    <row r="2457">
      <c r="A2457" s="2" t="inlineStr">
        <is>
          <t>IT00969_02</t>
        </is>
      </c>
      <c r="B2457" s="2" t="inlineStr">
        <is>
          <t>PED00969</t>
        </is>
      </c>
      <c r="C2457" s="2" t="inlineStr">
        <is>
          <t>P052</t>
        </is>
      </c>
      <c r="D2457" s="2" t="n">
        <v>3</v>
      </c>
      <c r="E2457" s="19" t="n">
        <v>0</v>
      </c>
    </row>
    <row r="2458">
      <c r="A2458" s="2" t="inlineStr">
        <is>
          <t>IT00969_03</t>
        </is>
      </c>
      <c r="B2458" s="2" t="inlineStr">
        <is>
          <t>PED00969</t>
        </is>
      </c>
      <c r="C2458" s="2" t="inlineStr">
        <is>
          <t>P053</t>
        </is>
      </c>
      <c r="D2458" s="2" t="n">
        <v>2</v>
      </c>
      <c r="E2458" s="19" t="n">
        <v>0</v>
      </c>
    </row>
    <row r="2459">
      <c r="A2459" s="2" t="inlineStr">
        <is>
          <t>IT00969_04</t>
        </is>
      </c>
      <c r="B2459" s="2" t="inlineStr">
        <is>
          <t>PED00969</t>
        </is>
      </c>
      <c r="C2459" s="2" t="inlineStr">
        <is>
          <t>P017</t>
        </is>
      </c>
      <c r="D2459" s="2" t="n">
        <v>1</v>
      </c>
      <c r="E2459" s="19" t="n">
        <v>0</v>
      </c>
    </row>
    <row r="2460">
      <c r="A2460" s="2" t="inlineStr">
        <is>
          <t>IT00969_05</t>
        </is>
      </c>
      <c r="B2460" s="2" t="inlineStr">
        <is>
          <t>PED00969</t>
        </is>
      </c>
      <c r="C2460" s="2" t="inlineStr">
        <is>
          <t>P045</t>
        </is>
      </c>
      <c r="D2460" s="2" t="n">
        <v>1</v>
      </c>
      <c r="E2460" s="19" t="n">
        <v>0.02</v>
      </c>
    </row>
    <row r="2461">
      <c r="A2461" s="2" t="inlineStr">
        <is>
          <t>IT00970_01</t>
        </is>
      </c>
      <c r="B2461" s="2" t="inlineStr">
        <is>
          <t>PED00970</t>
        </is>
      </c>
      <c r="C2461" s="2" t="inlineStr">
        <is>
          <t>P025</t>
        </is>
      </c>
      <c r="D2461" s="2" t="n">
        <v>1</v>
      </c>
      <c r="E2461" s="19" t="n">
        <v>0</v>
      </c>
    </row>
    <row r="2462">
      <c r="A2462" s="2" t="inlineStr">
        <is>
          <t>IT00970_02</t>
        </is>
      </c>
      <c r="B2462" s="2" t="inlineStr">
        <is>
          <t>PED00970</t>
        </is>
      </c>
      <c r="C2462" s="2" t="inlineStr">
        <is>
          <t>P026</t>
        </is>
      </c>
      <c r="D2462" s="2" t="n">
        <v>5</v>
      </c>
      <c r="E2462" s="19" t="n">
        <v>0.1</v>
      </c>
    </row>
    <row r="2463">
      <c r="A2463" s="2" t="inlineStr">
        <is>
          <t>IT00971_01</t>
        </is>
      </c>
      <c r="B2463" s="2" t="inlineStr">
        <is>
          <t>PED00971</t>
        </is>
      </c>
      <c r="C2463" s="2" t="inlineStr">
        <is>
          <t>P011</t>
        </is>
      </c>
      <c r="D2463" s="2" t="n">
        <v>1</v>
      </c>
      <c r="E2463" s="19" t="n">
        <v>0.05</v>
      </c>
    </row>
    <row r="2464">
      <c r="A2464" s="2" t="inlineStr">
        <is>
          <t>IT00971_02</t>
        </is>
      </c>
      <c r="B2464" s="2" t="inlineStr">
        <is>
          <t>PED00971</t>
        </is>
      </c>
      <c r="C2464" s="2" t="inlineStr">
        <is>
          <t>P060</t>
        </is>
      </c>
      <c r="D2464" s="2" t="n">
        <v>4</v>
      </c>
      <c r="E2464" s="19" t="n">
        <v>0</v>
      </c>
    </row>
    <row r="2465">
      <c r="A2465" s="2" t="inlineStr">
        <is>
          <t>IT00972_01</t>
        </is>
      </c>
      <c r="B2465" s="2" t="inlineStr">
        <is>
          <t>PED00972</t>
        </is>
      </c>
      <c r="C2465" s="2" t="inlineStr">
        <is>
          <t>P066</t>
        </is>
      </c>
      <c r="D2465" s="2" t="n">
        <v>1</v>
      </c>
      <c r="E2465" s="19" t="n">
        <v>0</v>
      </c>
    </row>
    <row r="2466">
      <c r="A2466" s="2" t="inlineStr">
        <is>
          <t>IT00972_02</t>
        </is>
      </c>
      <c r="B2466" s="2" t="inlineStr">
        <is>
          <t>PED00972</t>
        </is>
      </c>
      <c r="C2466" s="2" t="inlineStr">
        <is>
          <t>P041</t>
        </is>
      </c>
      <c r="D2466" s="2" t="n">
        <v>2</v>
      </c>
      <c r="E2466" s="19" t="n">
        <v>0</v>
      </c>
    </row>
    <row r="2467">
      <c r="A2467" s="2" t="inlineStr">
        <is>
          <t>IT00973_01</t>
        </is>
      </c>
      <c r="B2467" s="2" t="inlineStr">
        <is>
          <t>PED00973</t>
        </is>
      </c>
      <c r="C2467" s="2" t="inlineStr">
        <is>
          <t>P007</t>
        </is>
      </c>
      <c r="D2467" s="2" t="n">
        <v>4</v>
      </c>
      <c r="E2467" s="19" t="n">
        <v>0</v>
      </c>
    </row>
    <row r="2468">
      <c r="A2468" s="2" t="inlineStr">
        <is>
          <t>IT00973_02</t>
        </is>
      </c>
      <c r="B2468" s="2" t="inlineStr">
        <is>
          <t>PED00973</t>
        </is>
      </c>
      <c r="C2468" s="2" t="inlineStr">
        <is>
          <t>P022</t>
        </is>
      </c>
      <c r="D2468" s="2" t="n">
        <v>1</v>
      </c>
      <c r="E2468" s="19" t="n">
        <v>0</v>
      </c>
    </row>
    <row r="2469">
      <c r="A2469" s="2" t="inlineStr">
        <is>
          <t>IT00974_01</t>
        </is>
      </c>
      <c r="B2469" s="2" t="inlineStr">
        <is>
          <t>PED00974</t>
        </is>
      </c>
      <c r="C2469" s="2" t="inlineStr">
        <is>
          <t>P033</t>
        </is>
      </c>
      <c r="D2469" s="2" t="n">
        <v>1</v>
      </c>
      <c r="E2469" s="19" t="n">
        <v>0</v>
      </c>
    </row>
    <row r="2470">
      <c r="A2470" s="2" t="inlineStr">
        <is>
          <t>IT00974_02</t>
        </is>
      </c>
      <c r="B2470" s="2" t="inlineStr">
        <is>
          <t>PED00974</t>
        </is>
      </c>
      <c r="C2470" s="2" t="inlineStr">
        <is>
          <t>P014</t>
        </is>
      </c>
      <c r="D2470" s="2" t="n">
        <v>4</v>
      </c>
      <c r="E2470" s="19" t="n">
        <v>0.05</v>
      </c>
    </row>
    <row r="2471">
      <c r="A2471" s="2" t="inlineStr">
        <is>
          <t>IT00975_01</t>
        </is>
      </c>
      <c r="B2471" s="2" t="inlineStr">
        <is>
          <t>PED00975</t>
        </is>
      </c>
      <c r="C2471" s="2" t="inlineStr">
        <is>
          <t>P063</t>
        </is>
      </c>
      <c r="D2471" s="2" t="n">
        <v>1</v>
      </c>
      <c r="E2471" s="19" t="n">
        <v>0</v>
      </c>
    </row>
    <row r="2472">
      <c r="A2472" s="2" t="inlineStr">
        <is>
          <t>IT00975_02</t>
        </is>
      </c>
      <c r="B2472" s="2" t="inlineStr">
        <is>
          <t>PED00975</t>
        </is>
      </c>
      <c r="C2472" s="2" t="inlineStr">
        <is>
          <t>P069</t>
        </is>
      </c>
      <c r="D2472" s="2" t="n">
        <v>2</v>
      </c>
      <c r="E2472" s="19" t="n">
        <v>0.1</v>
      </c>
    </row>
    <row r="2473">
      <c r="A2473" s="2" t="inlineStr">
        <is>
          <t>IT00975_03</t>
        </is>
      </c>
      <c r="B2473" s="2" t="inlineStr">
        <is>
          <t>PED00975</t>
        </is>
      </c>
      <c r="C2473" s="2" t="inlineStr">
        <is>
          <t>P024</t>
        </is>
      </c>
      <c r="D2473" s="2" t="n">
        <v>1</v>
      </c>
      <c r="E2473" s="19" t="n">
        <v>0</v>
      </c>
    </row>
    <row r="2474">
      <c r="A2474" s="2" t="inlineStr">
        <is>
          <t>IT00976_01</t>
        </is>
      </c>
      <c r="B2474" s="2" t="inlineStr">
        <is>
          <t>PED00976</t>
        </is>
      </c>
      <c r="C2474" s="2" t="inlineStr">
        <is>
          <t>P070</t>
        </is>
      </c>
      <c r="D2474" s="2" t="n">
        <v>1</v>
      </c>
      <c r="E2474" s="19" t="n">
        <v>0.02</v>
      </c>
    </row>
    <row r="2475">
      <c r="A2475" s="2" t="inlineStr">
        <is>
          <t>IT00976_02</t>
        </is>
      </c>
      <c r="B2475" s="2" t="inlineStr">
        <is>
          <t>PED00976</t>
        </is>
      </c>
      <c r="C2475" s="2" t="inlineStr">
        <is>
          <t>P032</t>
        </is>
      </c>
      <c r="D2475" s="2" t="n">
        <v>1</v>
      </c>
      <c r="E2475" s="19" t="n">
        <v>0</v>
      </c>
    </row>
    <row r="2476">
      <c r="A2476" s="2" t="inlineStr">
        <is>
          <t>IT00976_03</t>
        </is>
      </c>
      <c r="B2476" s="2" t="inlineStr">
        <is>
          <t>PED00976</t>
        </is>
      </c>
      <c r="C2476" s="2" t="inlineStr">
        <is>
          <t>P015</t>
        </is>
      </c>
      <c r="D2476" s="2" t="n">
        <v>1</v>
      </c>
      <c r="E2476" s="19" t="n">
        <v>0.02</v>
      </c>
    </row>
    <row r="2477">
      <c r="A2477" s="2" t="inlineStr">
        <is>
          <t>IT00976_04</t>
        </is>
      </c>
      <c r="B2477" s="2" t="inlineStr">
        <is>
          <t>PED00976</t>
        </is>
      </c>
      <c r="C2477" s="2" t="inlineStr">
        <is>
          <t>P066</t>
        </is>
      </c>
      <c r="D2477" s="2" t="n">
        <v>5</v>
      </c>
      <c r="E2477" s="19" t="n">
        <v>0</v>
      </c>
    </row>
    <row r="2478">
      <c r="A2478" s="2" t="inlineStr">
        <is>
          <t>IT00977_01</t>
        </is>
      </c>
      <c r="B2478" s="2" t="inlineStr">
        <is>
          <t>PED00977</t>
        </is>
      </c>
      <c r="C2478" s="2" t="inlineStr">
        <is>
          <t>P008</t>
        </is>
      </c>
      <c r="D2478" s="2" t="n">
        <v>4</v>
      </c>
      <c r="E2478" s="19" t="n">
        <v>0</v>
      </c>
    </row>
    <row r="2479">
      <c r="A2479" s="2" t="inlineStr">
        <is>
          <t>IT00977_02</t>
        </is>
      </c>
      <c r="B2479" s="2" t="inlineStr">
        <is>
          <t>PED00977</t>
        </is>
      </c>
      <c r="C2479" s="2" t="inlineStr">
        <is>
          <t>P052</t>
        </is>
      </c>
      <c r="D2479" s="2" t="n">
        <v>4</v>
      </c>
      <c r="E2479" s="19" t="n">
        <v>0</v>
      </c>
    </row>
    <row r="2480">
      <c r="A2480" s="2" t="inlineStr">
        <is>
          <t>IT00978_01</t>
        </is>
      </c>
      <c r="B2480" s="2" t="inlineStr">
        <is>
          <t>PED00978</t>
        </is>
      </c>
      <c r="C2480" s="2" t="inlineStr">
        <is>
          <t>P022</t>
        </is>
      </c>
      <c r="D2480" s="2" t="n">
        <v>2</v>
      </c>
      <c r="E2480" s="19" t="n">
        <v>0</v>
      </c>
    </row>
    <row r="2481">
      <c r="A2481" s="2" t="inlineStr">
        <is>
          <t>IT00978_02</t>
        </is>
      </c>
      <c r="B2481" s="2" t="inlineStr">
        <is>
          <t>PED00978</t>
        </is>
      </c>
      <c r="C2481" s="2" t="inlineStr">
        <is>
          <t>P024</t>
        </is>
      </c>
      <c r="D2481" s="2" t="n">
        <v>1</v>
      </c>
      <c r="E2481" s="19" t="n">
        <v>0.1</v>
      </c>
    </row>
    <row r="2482">
      <c r="A2482" s="2" t="inlineStr">
        <is>
          <t>IT00978_03</t>
        </is>
      </c>
      <c r="B2482" s="2" t="inlineStr">
        <is>
          <t>PED00978</t>
        </is>
      </c>
      <c r="C2482" s="2" t="inlineStr">
        <is>
          <t>P029</t>
        </is>
      </c>
      <c r="D2482" s="2" t="n">
        <v>2</v>
      </c>
      <c r="E2482" s="19" t="n">
        <v>0.02</v>
      </c>
    </row>
    <row r="2483">
      <c r="A2483" s="2" t="inlineStr">
        <is>
          <t>IT00979_01</t>
        </is>
      </c>
      <c r="B2483" s="2" t="inlineStr">
        <is>
          <t>PED00979</t>
        </is>
      </c>
      <c r="C2483" s="2" t="inlineStr">
        <is>
          <t>P010</t>
        </is>
      </c>
      <c r="D2483" s="2" t="n">
        <v>2</v>
      </c>
      <c r="E2483" s="19" t="n">
        <v>0.02</v>
      </c>
    </row>
    <row r="2484">
      <c r="A2484" s="2" t="inlineStr">
        <is>
          <t>IT00980_01</t>
        </is>
      </c>
      <c r="B2484" s="2" t="inlineStr">
        <is>
          <t>PED00980</t>
        </is>
      </c>
      <c r="C2484" s="2" t="inlineStr">
        <is>
          <t>P006</t>
        </is>
      </c>
      <c r="D2484" s="2" t="n">
        <v>1</v>
      </c>
      <c r="E2484" s="19" t="n">
        <v>0</v>
      </c>
    </row>
    <row r="2485">
      <c r="A2485" s="2" t="inlineStr">
        <is>
          <t>IT00980_02</t>
        </is>
      </c>
      <c r="B2485" s="2" t="inlineStr">
        <is>
          <t>PED00980</t>
        </is>
      </c>
      <c r="C2485" s="2" t="inlineStr">
        <is>
          <t>P069</t>
        </is>
      </c>
      <c r="D2485" s="2" t="n">
        <v>2</v>
      </c>
      <c r="E2485" s="19" t="n">
        <v>0.02</v>
      </c>
    </row>
    <row r="2486">
      <c r="A2486" s="2" t="inlineStr">
        <is>
          <t>IT00980_03</t>
        </is>
      </c>
      <c r="B2486" s="2" t="inlineStr">
        <is>
          <t>PED00980</t>
        </is>
      </c>
      <c r="C2486" s="2" t="inlineStr">
        <is>
          <t>P035</t>
        </is>
      </c>
      <c r="D2486" s="2" t="n">
        <v>4</v>
      </c>
      <c r="E2486" s="19" t="n">
        <v>0.1</v>
      </c>
    </row>
    <row r="2487">
      <c r="A2487" s="2" t="inlineStr">
        <is>
          <t>IT00981_01</t>
        </is>
      </c>
      <c r="B2487" s="2" t="inlineStr">
        <is>
          <t>PED00981</t>
        </is>
      </c>
      <c r="C2487" s="2" t="inlineStr">
        <is>
          <t>P070</t>
        </is>
      </c>
      <c r="D2487" s="2" t="n">
        <v>5</v>
      </c>
      <c r="E2487" s="19" t="n">
        <v>0</v>
      </c>
    </row>
    <row r="2488">
      <c r="A2488" s="2" t="inlineStr">
        <is>
          <t>IT00981_02</t>
        </is>
      </c>
      <c r="B2488" s="2" t="inlineStr">
        <is>
          <t>PED00981</t>
        </is>
      </c>
      <c r="C2488" s="2" t="inlineStr">
        <is>
          <t>P056</t>
        </is>
      </c>
      <c r="D2488" s="2" t="n">
        <v>2</v>
      </c>
      <c r="E2488" s="19" t="n">
        <v>0</v>
      </c>
    </row>
    <row r="2489">
      <c r="A2489" s="2" t="inlineStr">
        <is>
          <t>IT00982_01</t>
        </is>
      </c>
      <c r="B2489" s="2" t="inlineStr">
        <is>
          <t>PED00982</t>
        </is>
      </c>
      <c r="C2489" s="2" t="inlineStr">
        <is>
          <t>P009</t>
        </is>
      </c>
      <c r="D2489" s="2" t="n">
        <v>1</v>
      </c>
      <c r="E2489" s="19" t="n">
        <v>0</v>
      </c>
    </row>
    <row r="2490">
      <c r="A2490" s="2" t="inlineStr">
        <is>
          <t>IT00982_02</t>
        </is>
      </c>
      <c r="B2490" s="2" t="inlineStr">
        <is>
          <t>PED00982</t>
        </is>
      </c>
      <c r="C2490" s="2" t="inlineStr">
        <is>
          <t>P011</t>
        </is>
      </c>
      <c r="D2490" s="2" t="n">
        <v>2</v>
      </c>
      <c r="E2490" s="19" t="n">
        <v>0.1</v>
      </c>
    </row>
    <row r="2491">
      <c r="A2491" s="2" t="inlineStr">
        <is>
          <t>IT00982_03</t>
        </is>
      </c>
      <c r="B2491" s="2" t="inlineStr">
        <is>
          <t>PED00982</t>
        </is>
      </c>
      <c r="C2491" s="2" t="inlineStr">
        <is>
          <t>P037</t>
        </is>
      </c>
      <c r="D2491" s="2" t="n">
        <v>3</v>
      </c>
      <c r="E2491" s="19" t="n">
        <v>0</v>
      </c>
    </row>
    <row r="2492">
      <c r="A2492" s="2" t="inlineStr">
        <is>
          <t>IT00983_01</t>
        </is>
      </c>
      <c r="B2492" s="2" t="inlineStr">
        <is>
          <t>PED00983</t>
        </is>
      </c>
      <c r="C2492" s="2" t="inlineStr">
        <is>
          <t>P050</t>
        </is>
      </c>
      <c r="D2492" s="2" t="n">
        <v>1</v>
      </c>
      <c r="E2492" s="19" t="n">
        <v>0.02</v>
      </c>
    </row>
    <row r="2493">
      <c r="A2493" s="2" t="inlineStr">
        <is>
          <t>IT00983_02</t>
        </is>
      </c>
      <c r="B2493" s="2" t="inlineStr">
        <is>
          <t>PED00983</t>
        </is>
      </c>
      <c r="C2493" s="2" t="inlineStr">
        <is>
          <t>P062</t>
        </is>
      </c>
      <c r="D2493" s="2" t="n">
        <v>2</v>
      </c>
      <c r="E2493" s="19" t="n">
        <v>0</v>
      </c>
    </row>
    <row r="2494">
      <c r="A2494" s="2" t="inlineStr">
        <is>
          <t>IT00984_01</t>
        </is>
      </c>
      <c r="B2494" s="2" t="inlineStr">
        <is>
          <t>PED00984</t>
        </is>
      </c>
      <c r="C2494" s="2" t="inlineStr">
        <is>
          <t>P060</t>
        </is>
      </c>
      <c r="D2494" s="2" t="n">
        <v>2</v>
      </c>
      <c r="E2494" s="19" t="n">
        <v>0</v>
      </c>
    </row>
    <row r="2495">
      <c r="A2495" s="2" t="inlineStr">
        <is>
          <t>IT00984_02</t>
        </is>
      </c>
      <c r="B2495" s="2" t="inlineStr">
        <is>
          <t>PED00984</t>
        </is>
      </c>
      <c r="C2495" s="2" t="inlineStr">
        <is>
          <t>P064</t>
        </is>
      </c>
      <c r="D2495" s="2" t="n">
        <v>4</v>
      </c>
      <c r="E2495" s="19" t="n">
        <v>0</v>
      </c>
    </row>
    <row r="2496">
      <c r="A2496" s="2" t="inlineStr">
        <is>
          <t>IT00984_03</t>
        </is>
      </c>
      <c r="B2496" s="2" t="inlineStr">
        <is>
          <t>PED00984</t>
        </is>
      </c>
      <c r="C2496" s="2" t="inlineStr">
        <is>
          <t>P069</t>
        </is>
      </c>
      <c r="D2496" s="2" t="n">
        <v>2</v>
      </c>
      <c r="E2496" s="19" t="n">
        <v>0</v>
      </c>
    </row>
    <row r="2497">
      <c r="A2497" s="2" t="inlineStr">
        <is>
          <t>IT00985_01</t>
        </is>
      </c>
      <c r="B2497" s="2" t="inlineStr">
        <is>
          <t>PED00985</t>
        </is>
      </c>
      <c r="C2497" s="2" t="inlineStr">
        <is>
          <t>P069</t>
        </is>
      </c>
      <c r="D2497" s="2" t="n">
        <v>1</v>
      </c>
      <c r="E2497" s="19" t="n">
        <v>0</v>
      </c>
    </row>
    <row r="2498">
      <c r="A2498" s="2" t="inlineStr">
        <is>
          <t>IT00986_01</t>
        </is>
      </c>
      <c r="B2498" s="2" t="inlineStr">
        <is>
          <t>PED00986</t>
        </is>
      </c>
      <c r="C2498" s="2" t="inlineStr">
        <is>
          <t>P004</t>
        </is>
      </c>
      <c r="D2498" s="2" t="n">
        <v>1</v>
      </c>
      <c r="E2498" s="19" t="n">
        <v>0</v>
      </c>
    </row>
    <row r="2499">
      <c r="A2499" s="2" t="inlineStr">
        <is>
          <t>IT00986_02</t>
        </is>
      </c>
      <c r="B2499" s="2" t="inlineStr">
        <is>
          <t>PED00986</t>
        </is>
      </c>
      <c r="C2499" s="2" t="inlineStr">
        <is>
          <t>P047</t>
        </is>
      </c>
      <c r="D2499" s="2" t="n">
        <v>2</v>
      </c>
      <c r="E2499" s="19" t="n">
        <v>0</v>
      </c>
    </row>
    <row r="2500">
      <c r="A2500" s="2" t="inlineStr">
        <is>
          <t>IT00986_03</t>
        </is>
      </c>
      <c r="B2500" s="2" t="inlineStr">
        <is>
          <t>PED00986</t>
        </is>
      </c>
      <c r="C2500" s="2" t="inlineStr">
        <is>
          <t>P050</t>
        </is>
      </c>
      <c r="D2500" s="2" t="n">
        <v>1</v>
      </c>
      <c r="E2500" s="19" t="n">
        <v>0</v>
      </c>
    </row>
    <row r="2501">
      <c r="A2501" s="2" t="inlineStr">
        <is>
          <t>IT00987_01</t>
        </is>
      </c>
      <c r="B2501" s="2" t="inlineStr">
        <is>
          <t>PED00987</t>
        </is>
      </c>
      <c r="C2501" s="2" t="inlineStr">
        <is>
          <t>P068</t>
        </is>
      </c>
      <c r="D2501" s="2" t="n">
        <v>2</v>
      </c>
      <c r="E2501" s="19" t="n">
        <v>0</v>
      </c>
    </row>
    <row r="2502">
      <c r="A2502" s="2" t="inlineStr">
        <is>
          <t>IT00987_02</t>
        </is>
      </c>
      <c r="B2502" s="2" t="inlineStr">
        <is>
          <t>PED00987</t>
        </is>
      </c>
      <c r="C2502" s="2" t="inlineStr">
        <is>
          <t>P051</t>
        </is>
      </c>
      <c r="D2502" s="2" t="n">
        <v>1</v>
      </c>
      <c r="E2502" s="19" t="n">
        <v>0.05</v>
      </c>
    </row>
    <row r="2503">
      <c r="A2503" s="2" t="inlineStr">
        <is>
          <t>IT00988_01</t>
        </is>
      </c>
      <c r="B2503" s="2" t="inlineStr">
        <is>
          <t>PED00988</t>
        </is>
      </c>
      <c r="C2503" s="2" t="inlineStr">
        <is>
          <t>P035</t>
        </is>
      </c>
      <c r="D2503" s="2" t="n">
        <v>3</v>
      </c>
      <c r="E2503" s="19" t="n">
        <v>0</v>
      </c>
    </row>
    <row r="2504">
      <c r="A2504" s="2" t="inlineStr">
        <is>
          <t>IT00988_02</t>
        </is>
      </c>
      <c r="B2504" s="2" t="inlineStr">
        <is>
          <t>PED00988</t>
        </is>
      </c>
      <c r="C2504" s="2" t="inlineStr">
        <is>
          <t>P051</t>
        </is>
      </c>
      <c r="D2504" s="2" t="n">
        <v>5</v>
      </c>
      <c r="E2504" s="19" t="n">
        <v>0</v>
      </c>
    </row>
    <row r="2505">
      <c r="A2505" s="2" t="inlineStr">
        <is>
          <t>IT00989_01</t>
        </is>
      </c>
      <c r="B2505" s="2" t="inlineStr">
        <is>
          <t>PED00989</t>
        </is>
      </c>
      <c r="C2505" s="2" t="inlineStr">
        <is>
          <t>P024</t>
        </is>
      </c>
      <c r="D2505" s="2" t="n">
        <v>1</v>
      </c>
      <c r="E2505" s="19" t="n">
        <v>0.05</v>
      </c>
    </row>
    <row r="2506">
      <c r="A2506" s="2" t="inlineStr">
        <is>
          <t>IT00989_02</t>
        </is>
      </c>
      <c r="B2506" s="2" t="inlineStr">
        <is>
          <t>PED00989</t>
        </is>
      </c>
      <c r="C2506" s="2" t="inlineStr">
        <is>
          <t>P069</t>
        </is>
      </c>
      <c r="D2506" s="2" t="n">
        <v>1</v>
      </c>
      <c r="E2506" s="19" t="n">
        <v>0.1</v>
      </c>
    </row>
    <row r="2507">
      <c r="A2507" s="2" t="inlineStr">
        <is>
          <t>IT00989_03</t>
        </is>
      </c>
      <c r="B2507" s="2" t="inlineStr">
        <is>
          <t>PED00989</t>
        </is>
      </c>
      <c r="C2507" s="2" t="inlineStr">
        <is>
          <t>P044</t>
        </is>
      </c>
      <c r="D2507" s="2" t="n">
        <v>1</v>
      </c>
      <c r="E2507" s="19" t="n">
        <v>0.05</v>
      </c>
    </row>
    <row r="2508">
      <c r="A2508" s="2" t="inlineStr">
        <is>
          <t>IT00989_04</t>
        </is>
      </c>
      <c r="B2508" s="2" t="inlineStr">
        <is>
          <t>PED00989</t>
        </is>
      </c>
      <c r="C2508" s="2" t="inlineStr">
        <is>
          <t>P062</t>
        </is>
      </c>
      <c r="D2508" s="2" t="n">
        <v>1</v>
      </c>
      <c r="E2508" s="19" t="n">
        <v>0.02</v>
      </c>
    </row>
    <row r="2509">
      <c r="A2509" s="2" t="inlineStr">
        <is>
          <t>IT00990_01</t>
        </is>
      </c>
      <c r="B2509" s="2" t="inlineStr">
        <is>
          <t>PED00990</t>
        </is>
      </c>
      <c r="C2509" s="2" t="inlineStr">
        <is>
          <t>P051</t>
        </is>
      </c>
      <c r="D2509" s="2" t="n">
        <v>1</v>
      </c>
      <c r="E2509" s="19" t="n">
        <v>0</v>
      </c>
    </row>
    <row r="2510">
      <c r="A2510" s="2" t="inlineStr">
        <is>
          <t>IT00991_01</t>
        </is>
      </c>
      <c r="B2510" s="2" t="inlineStr">
        <is>
          <t>PED00991</t>
        </is>
      </c>
      <c r="C2510" s="2" t="inlineStr">
        <is>
          <t>P042</t>
        </is>
      </c>
      <c r="D2510" s="2" t="n">
        <v>3</v>
      </c>
      <c r="E2510" s="19" t="n">
        <v>0.02</v>
      </c>
    </row>
    <row r="2511">
      <c r="A2511" s="2" t="inlineStr">
        <is>
          <t>IT00992_01</t>
        </is>
      </c>
      <c r="B2511" s="2" t="inlineStr">
        <is>
          <t>PED00992</t>
        </is>
      </c>
      <c r="C2511" s="2" t="inlineStr">
        <is>
          <t>P066</t>
        </is>
      </c>
      <c r="D2511" s="2" t="n">
        <v>2</v>
      </c>
      <c r="E2511" s="19" t="n">
        <v>0</v>
      </c>
    </row>
    <row r="2512">
      <c r="A2512" s="2" t="inlineStr">
        <is>
          <t>IT00992_02</t>
        </is>
      </c>
      <c r="B2512" s="2" t="inlineStr">
        <is>
          <t>PED00992</t>
        </is>
      </c>
      <c r="C2512" s="2" t="inlineStr">
        <is>
          <t>P010</t>
        </is>
      </c>
      <c r="D2512" s="2" t="n">
        <v>1</v>
      </c>
      <c r="E2512" s="19" t="n">
        <v>0.05</v>
      </c>
    </row>
    <row r="2513">
      <c r="A2513" s="2" t="inlineStr">
        <is>
          <t>IT00992_03</t>
        </is>
      </c>
      <c r="B2513" s="2" t="inlineStr">
        <is>
          <t>PED00992</t>
        </is>
      </c>
      <c r="C2513" s="2" t="inlineStr">
        <is>
          <t>P015</t>
        </is>
      </c>
      <c r="D2513" s="2" t="n">
        <v>1</v>
      </c>
      <c r="E2513" s="19" t="n">
        <v>0</v>
      </c>
    </row>
    <row r="2514">
      <c r="A2514" s="2" t="inlineStr">
        <is>
          <t>IT00992_04</t>
        </is>
      </c>
      <c r="B2514" s="2" t="inlineStr">
        <is>
          <t>PED00992</t>
        </is>
      </c>
      <c r="C2514" s="2" t="inlineStr">
        <is>
          <t>P062</t>
        </is>
      </c>
      <c r="D2514" s="2" t="n">
        <v>3</v>
      </c>
      <c r="E2514" s="19" t="n">
        <v>0</v>
      </c>
    </row>
    <row r="2515">
      <c r="A2515" s="2" t="inlineStr">
        <is>
          <t>IT00993_01</t>
        </is>
      </c>
      <c r="B2515" s="2" t="inlineStr">
        <is>
          <t>PED00993</t>
        </is>
      </c>
      <c r="C2515" s="2" t="inlineStr">
        <is>
          <t>P042</t>
        </is>
      </c>
      <c r="D2515" s="2" t="n">
        <v>1</v>
      </c>
      <c r="E2515" s="19" t="n">
        <v>0.02</v>
      </c>
    </row>
    <row r="2516">
      <c r="A2516" s="2" t="inlineStr">
        <is>
          <t>IT00993_02</t>
        </is>
      </c>
      <c r="B2516" s="2" t="inlineStr">
        <is>
          <t>PED00993</t>
        </is>
      </c>
      <c r="C2516" s="2" t="inlineStr">
        <is>
          <t>P026</t>
        </is>
      </c>
      <c r="D2516" s="2" t="n">
        <v>1</v>
      </c>
      <c r="E2516" s="19" t="n">
        <v>0.05</v>
      </c>
    </row>
    <row r="2517">
      <c r="A2517" s="2" t="inlineStr">
        <is>
          <t>IT00994_01</t>
        </is>
      </c>
      <c r="B2517" s="2" t="inlineStr">
        <is>
          <t>PED00994</t>
        </is>
      </c>
      <c r="C2517" s="2" t="inlineStr">
        <is>
          <t>P035</t>
        </is>
      </c>
      <c r="D2517" s="2" t="n">
        <v>5</v>
      </c>
      <c r="E2517" s="19" t="n">
        <v>0</v>
      </c>
    </row>
    <row r="2518">
      <c r="A2518" s="2" t="inlineStr">
        <is>
          <t>IT00995_01</t>
        </is>
      </c>
      <c r="B2518" s="2" t="inlineStr">
        <is>
          <t>PED00995</t>
        </is>
      </c>
      <c r="C2518" s="2" t="inlineStr">
        <is>
          <t>P059</t>
        </is>
      </c>
      <c r="D2518" s="2" t="n">
        <v>2</v>
      </c>
      <c r="E2518" s="19" t="n">
        <v>0.05</v>
      </c>
    </row>
    <row r="2519">
      <c r="A2519" s="2" t="inlineStr">
        <is>
          <t>IT00995_02</t>
        </is>
      </c>
      <c r="B2519" s="2" t="inlineStr">
        <is>
          <t>PED00995</t>
        </is>
      </c>
      <c r="C2519" s="2" t="inlineStr">
        <is>
          <t>P050</t>
        </is>
      </c>
      <c r="D2519" s="2" t="n">
        <v>1</v>
      </c>
      <c r="E2519" s="19" t="n">
        <v>0</v>
      </c>
    </row>
    <row r="2520">
      <c r="A2520" s="2" t="inlineStr">
        <is>
          <t>IT00996_01</t>
        </is>
      </c>
      <c r="B2520" s="2" t="inlineStr">
        <is>
          <t>PED00996</t>
        </is>
      </c>
      <c r="C2520" s="2" t="inlineStr">
        <is>
          <t>P047</t>
        </is>
      </c>
      <c r="D2520" s="2" t="n">
        <v>1</v>
      </c>
      <c r="E2520" s="19" t="n">
        <v>0.05</v>
      </c>
    </row>
    <row r="2521">
      <c r="A2521" s="2" t="inlineStr">
        <is>
          <t>IT00997_01</t>
        </is>
      </c>
      <c r="B2521" s="2" t="inlineStr">
        <is>
          <t>PED00997</t>
        </is>
      </c>
      <c r="C2521" s="2" t="inlineStr">
        <is>
          <t>P055</t>
        </is>
      </c>
      <c r="D2521" s="2" t="n">
        <v>5</v>
      </c>
      <c r="E2521" s="19" t="n">
        <v>0.05</v>
      </c>
    </row>
    <row r="2522">
      <c r="A2522" s="2" t="inlineStr">
        <is>
          <t>IT00997_02</t>
        </is>
      </c>
      <c r="B2522" s="2" t="inlineStr">
        <is>
          <t>PED00997</t>
        </is>
      </c>
      <c r="C2522" s="2" t="inlineStr">
        <is>
          <t>P054</t>
        </is>
      </c>
      <c r="D2522" s="2" t="n">
        <v>2</v>
      </c>
      <c r="E2522" s="19" t="n">
        <v>0</v>
      </c>
    </row>
    <row r="2523">
      <c r="A2523" s="2" t="inlineStr">
        <is>
          <t>IT00997_03</t>
        </is>
      </c>
      <c r="B2523" s="2" t="inlineStr">
        <is>
          <t>PED00997</t>
        </is>
      </c>
      <c r="C2523" s="2" t="inlineStr">
        <is>
          <t>P008</t>
        </is>
      </c>
      <c r="D2523" s="2" t="n">
        <v>3</v>
      </c>
      <c r="E2523" s="19" t="n">
        <v>0</v>
      </c>
    </row>
    <row r="2524">
      <c r="A2524" s="2" t="inlineStr">
        <is>
          <t>IT00998_01</t>
        </is>
      </c>
      <c r="B2524" s="2" t="inlineStr">
        <is>
          <t>PED00998</t>
        </is>
      </c>
      <c r="C2524" s="2" t="inlineStr">
        <is>
          <t>P036</t>
        </is>
      </c>
      <c r="D2524" s="2" t="n">
        <v>3</v>
      </c>
      <c r="E2524" s="19" t="n">
        <v>0</v>
      </c>
    </row>
    <row r="2525">
      <c r="A2525" s="2" t="inlineStr">
        <is>
          <t>IT00998_02</t>
        </is>
      </c>
      <c r="B2525" s="2" t="inlineStr">
        <is>
          <t>PED00998</t>
        </is>
      </c>
      <c r="C2525" s="2" t="inlineStr">
        <is>
          <t>P070</t>
        </is>
      </c>
      <c r="D2525" s="2" t="n">
        <v>3</v>
      </c>
      <c r="E2525" s="19" t="n">
        <v>0</v>
      </c>
    </row>
    <row r="2526">
      <c r="A2526" s="2" t="inlineStr">
        <is>
          <t>IT00998_03</t>
        </is>
      </c>
      <c r="B2526" s="2" t="inlineStr">
        <is>
          <t>PED00998</t>
        </is>
      </c>
      <c r="C2526" s="2" t="inlineStr">
        <is>
          <t>P044</t>
        </is>
      </c>
      <c r="D2526" s="2" t="n">
        <v>1</v>
      </c>
      <c r="E2526" s="19" t="n">
        <v>0</v>
      </c>
    </row>
    <row r="2527">
      <c r="A2527" s="2" t="inlineStr">
        <is>
          <t>IT00998_04</t>
        </is>
      </c>
      <c r="B2527" s="2" t="inlineStr">
        <is>
          <t>PED00998</t>
        </is>
      </c>
      <c r="C2527" s="2" t="inlineStr">
        <is>
          <t>P055</t>
        </is>
      </c>
      <c r="D2527" s="2" t="n">
        <v>5</v>
      </c>
      <c r="E2527" s="19" t="n">
        <v>0.05</v>
      </c>
    </row>
    <row r="2528">
      <c r="A2528" s="2" t="inlineStr">
        <is>
          <t>IT00998_05</t>
        </is>
      </c>
      <c r="B2528" s="2" t="inlineStr">
        <is>
          <t>PED00998</t>
        </is>
      </c>
      <c r="C2528" s="2" t="inlineStr">
        <is>
          <t>P047</t>
        </is>
      </c>
      <c r="D2528" s="2" t="n">
        <v>5</v>
      </c>
      <c r="E2528" s="19" t="n">
        <v>0.05</v>
      </c>
    </row>
    <row r="2529">
      <c r="A2529" s="2" t="inlineStr">
        <is>
          <t>IT00999_01</t>
        </is>
      </c>
      <c r="B2529" s="2" t="inlineStr">
        <is>
          <t>PED00999</t>
        </is>
      </c>
      <c r="C2529" s="2" t="inlineStr">
        <is>
          <t>P040</t>
        </is>
      </c>
      <c r="D2529" s="2" t="n">
        <v>1</v>
      </c>
      <c r="E2529" s="19" t="n">
        <v>0</v>
      </c>
    </row>
    <row r="2530">
      <c r="A2530" s="2" t="inlineStr">
        <is>
          <t>IT01000_01</t>
        </is>
      </c>
      <c r="B2530" s="2" t="inlineStr">
        <is>
          <t>PED01000</t>
        </is>
      </c>
      <c r="C2530" s="2" t="inlineStr">
        <is>
          <t>P015</t>
        </is>
      </c>
      <c r="D2530" s="2" t="n">
        <v>1</v>
      </c>
      <c r="E2530" s="19" t="n">
        <v>0</v>
      </c>
    </row>
    <row r="2531">
      <c r="A2531" s="2" t="inlineStr">
        <is>
          <t>IT01000_02</t>
        </is>
      </c>
      <c r="B2531" s="2" t="inlineStr">
        <is>
          <t>PED01000</t>
        </is>
      </c>
      <c r="C2531" s="2" t="inlineStr">
        <is>
          <t>P042</t>
        </is>
      </c>
      <c r="D2531" s="2" t="n">
        <v>2</v>
      </c>
      <c r="E2531" s="19" t="n">
        <v>0</v>
      </c>
    </row>
    <row r="2532">
      <c r="A2532" s="2" t="inlineStr">
        <is>
          <t>IT01000_03</t>
        </is>
      </c>
      <c r="B2532" s="2" t="inlineStr">
        <is>
          <t>PED01000</t>
        </is>
      </c>
      <c r="C2532" s="2" t="inlineStr">
        <is>
          <t>P041</t>
        </is>
      </c>
      <c r="D2532" s="2" t="n">
        <v>2</v>
      </c>
      <c r="E2532" s="19" t="n">
        <v>0</v>
      </c>
    </row>
    <row r="2533">
      <c r="A2533" s="2" t="inlineStr">
        <is>
          <t>IT01000_04</t>
        </is>
      </c>
      <c r="B2533" s="2" t="inlineStr">
        <is>
          <t>PED01000</t>
        </is>
      </c>
      <c r="C2533" s="2" t="inlineStr">
        <is>
          <t>P009</t>
        </is>
      </c>
      <c r="D2533" s="2" t="n">
        <v>3</v>
      </c>
      <c r="E2533" s="19" t="n">
        <v>0.02</v>
      </c>
    </row>
    <row r="2534">
      <c r="A2534" s="2" t="inlineStr">
        <is>
          <t>IT01001_01</t>
        </is>
      </c>
      <c r="B2534" s="2" t="inlineStr">
        <is>
          <t>PED01001</t>
        </is>
      </c>
      <c r="C2534" s="2" t="inlineStr">
        <is>
          <t>P063</t>
        </is>
      </c>
      <c r="D2534" s="2" t="n">
        <v>5</v>
      </c>
      <c r="E2534" s="19" t="n">
        <v>0.02</v>
      </c>
    </row>
    <row r="2535">
      <c r="A2535" s="2" t="inlineStr">
        <is>
          <t>IT01001_02</t>
        </is>
      </c>
      <c r="B2535" s="2" t="inlineStr">
        <is>
          <t>PED01001</t>
        </is>
      </c>
      <c r="C2535" s="2" t="inlineStr">
        <is>
          <t>P019</t>
        </is>
      </c>
      <c r="D2535" s="2" t="n">
        <v>5</v>
      </c>
      <c r="E2535" s="19" t="n">
        <v>0</v>
      </c>
    </row>
    <row r="2536">
      <c r="A2536" s="2" t="inlineStr">
        <is>
          <t>IT01001_03</t>
        </is>
      </c>
      <c r="B2536" s="2" t="inlineStr">
        <is>
          <t>PED01001</t>
        </is>
      </c>
      <c r="C2536" s="2" t="inlineStr">
        <is>
          <t>P064</t>
        </is>
      </c>
      <c r="D2536" s="2" t="n">
        <v>4</v>
      </c>
      <c r="E2536" s="19" t="n">
        <v>0.02</v>
      </c>
    </row>
    <row r="2537">
      <c r="A2537" s="2" t="inlineStr">
        <is>
          <t>IT01002_01</t>
        </is>
      </c>
      <c r="B2537" s="2" t="inlineStr">
        <is>
          <t>PED01002</t>
        </is>
      </c>
      <c r="C2537" s="2" t="inlineStr">
        <is>
          <t>P022</t>
        </is>
      </c>
      <c r="D2537" s="2" t="n">
        <v>1</v>
      </c>
      <c r="E2537" s="19" t="n">
        <v>0.05</v>
      </c>
    </row>
    <row r="2538">
      <c r="A2538" s="2" t="inlineStr">
        <is>
          <t>IT01002_02</t>
        </is>
      </c>
      <c r="B2538" s="2" t="inlineStr">
        <is>
          <t>PED01002</t>
        </is>
      </c>
      <c r="C2538" s="2" t="inlineStr">
        <is>
          <t>P048</t>
        </is>
      </c>
      <c r="D2538" s="2" t="n">
        <v>1</v>
      </c>
      <c r="E2538" s="19" t="n">
        <v>0</v>
      </c>
    </row>
    <row r="2539">
      <c r="A2539" s="2" t="inlineStr">
        <is>
          <t>IT01003_01</t>
        </is>
      </c>
      <c r="B2539" s="2" t="inlineStr">
        <is>
          <t>PED01003</t>
        </is>
      </c>
      <c r="C2539" s="2" t="inlineStr">
        <is>
          <t>P019</t>
        </is>
      </c>
      <c r="D2539" s="2" t="n">
        <v>4</v>
      </c>
      <c r="E2539" s="19" t="n">
        <v>0</v>
      </c>
    </row>
    <row r="2540">
      <c r="A2540" s="2" t="inlineStr">
        <is>
          <t>IT01004_01</t>
        </is>
      </c>
      <c r="B2540" s="2" t="inlineStr">
        <is>
          <t>PED01004</t>
        </is>
      </c>
      <c r="C2540" s="2" t="inlineStr">
        <is>
          <t>P054</t>
        </is>
      </c>
      <c r="D2540" s="2" t="n">
        <v>2</v>
      </c>
      <c r="E2540" s="19" t="n">
        <v>0</v>
      </c>
    </row>
    <row r="2541">
      <c r="A2541" s="2" t="inlineStr">
        <is>
          <t>IT01004_02</t>
        </is>
      </c>
      <c r="B2541" s="2" t="inlineStr">
        <is>
          <t>PED01004</t>
        </is>
      </c>
      <c r="C2541" s="2" t="inlineStr">
        <is>
          <t>P034</t>
        </is>
      </c>
      <c r="D2541" s="2" t="n">
        <v>2</v>
      </c>
      <c r="E2541" s="19" t="n">
        <v>0</v>
      </c>
    </row>
    <row r="2542">
      <c r="A2542" s="2" t="inlineStr">
        <is>
          <t>IT01005_01</t>
        </is>
      </c>
      <c r="B2542" s="2" t="inlineStr">
        <is>
          <t>PED01005</t>
        </is>
      </c>
      <c r="C2542" s="2" t="inlineStr">
        <is>
          <t>P024</t>
        </is>
      </c>
      <c r="D2542" s="2" t="n">
        <v>4</v>
      </c>
      <c r="E2542" s="19" t="n">
        <v>0</v>
      </c>
    </row>
    <row r="2543">
      <c r="A2543" s="2" t="inlineStr">
        <is>
          <t>IT01006_01</t>
        </is>
      </c>
      <c r="B2543" s="2" t="inlineStr">
        <is>
          <t>PED01006</t>
        </is>
      </c>
      <c r="C2543" s="2" t="inlineStr">
        <is>
          <t>P005</t>
        </is>
      </c>
      <c r="D2543" s="2" t="n">
        <v>1</v>
      </c>
      <c r="E2543" s="19" t="n">
        <v>0</v>
      </c>
    </row>
    <row r="2544">
      <c r="A2544" s="2" t="inlineStr">
        <is>
          <t>IT01007_01</t>
        </is>
      </c>
      <c r="B2544" s="2" t="inlineStr">
        <is>
          <t>PED01007</t>
        </is>
      </c>
      <c r="C2544" s="2" t="inlineStr">
        <is>
          <t>P007</t>
        </is>
      </c>
      <c r="D2544" s="2" t="n">
        <v>2</v>
      </c>
      <c r="E2544" s="19" t="n">
        <v>0</v>
      </c>
    </row>
    <row r="2545">
      <c r="A2545" s="2" t="inlineStr">
        <is>
          <t>IT01008_01</t>
        </is>
      </c>
      <c r="B2545" s="2" t="inlineStr">
        <is>
          <t>PED01008</t>
        </is>
      </c>
      <c r="C2545" s="2" t="inlineStr">
        <is>
          <t>P028</t>
        </is>
      </c>
      <c r="D2545" s="2" t="n">
        <v>5</v>
      </c>
      <c r="E2545" s="19" t="n">
        <v>0.05</v>
      </c>
    </row>
    <row r="2546">
      <c r="A2546" s="2" t="inlineStr">
        <is>
          <t>IT01008_02</t>
        </is>
      </c>
      <c r="B2546" s="2" t="inlineStr">
        <is>
          <t>PED01008</t>
        </is>
      </c>
      <c r="C2546" s="2" t="inlineStr">
        <is>
          <t>P024</t>
        </is>
      </c>
      <c r="D2546" s="2" t="n">
        <v>1</v>
      </c>
      <c r="E2546" s="19" t="n">
        <v>0</v>
      </c>
    </row>
    <row r="2547">
      <c r="A2547" s="2" t="inlineStr">
        <is>
          <t>IT01009_01</t>
        </is>
      </c>
      <c r="B2547" s="2" t="inlineStr">
        <is>
          <t>PED01009</t>
        </is>
      </c>
      <c r="C2547" s="2" t="inlineStr">
        <is>
          <t>P042</t>
        </is>
      </c>
      <c r="D2547" s="2" t="n">
        <v>1</v>
      </c>
      <c r="E2547" s="19" t="n">
        <v>0</v>
      </c>
    </row>
    <row r="2548">
      <c r="A2548" s="2" t="inlineStr">
        <is>
          <t>IT01009_02</t>
        </is>
      </c>
      <c r="B2548" s="2" t="inlineStr">
        <is>
          <t>PED01009</t>
        </is>
      </c>
      <c r="C2548" s="2" t="inlineStr">
        <is>
          <t>P010</t>
        </is>
      </c>
      <c r="D2548" s="2" t="n">
        <v>1</v>
      </c>
      <c r="E2548" s="19" t="n">
        <v>0</v>
      </c>
    </row>
    <row r="2549">
      <c r="A2549" s="2" t="inlineStr">
        <is>
          <t>IT01009_03</t>
        </is>
      </c>
      <c r="B2549" s="2" t="inlineStr">
        <is>
          <t>PED01009</t>
        </is>
      </c>
      <c r="C2549" s="2" t="inlineStr">
        <is>
          <t>P039</t>
        </is>
      </c>
      <c r="D2549" s="2" t="n">
        <v>2</v>
      </c>
      <c r="E2549" s="19" t="n">
        <v>0.02</v>
      </c>
    </row>
    <row r="2550">
      <c r="A2550" s="2" t="inlineStr">
        <is>
          <t>IT01010_01</t>
        </is>
      </c>
      <c r="B2550" s="2" t="inlineStr">
        <is>
          <t>PED01010</t>
        </is>
      </c>
      <c r="C2550" s="2" t="inlineStr">
        <is>
          <t>P060</t>
        </is>
      </c>
      <c r="D2550" s="2" t="n">
        <v>3</v>
      </c>
      <c r="E2550" s="19" t="n">
        <v>0.05</v>
      </c>
    </row>
    <row r="2551">
      <c r="A2551" s="2" t="inlineStr">
        <is>
          <t>IT01011_01</t>
        </is>
      </c>
      <c r="B2551" s="2" t="inlineStr">
        <is>
          <t>PED01011</t>
        </is>
      </c>
      <c r="C2551" s="2" t="inlineStr">
        <is>
          <t>P033</t>
        </is>
      </c>
      <c r="D2551" s="2" t="n">
        <v>2</v>
      </c>
      <c r="E2551" s="19" t="n">
        <v>0.02</v>
      </c>
    </row>
    <row r="2552">
      <c r="A2552" s="2" t="inlineStr">
        <is>
          <t>IT01011_02</t>
        </is>
      </c>
      <c r="B2552" s="2" t="inlineStr">
        <is>
          <t>PED01011</t>
        </is>
      </c>
      <c r="C2552" s="2" t="inlineStr">
        <is>
          <t>P064</t>
        </is>
      </c>
      <c r="D2552" s="2" t="n">
        <v>1</v>
      </c>
      <c r="E2552" s="19" t="n">
        <v>0</v>
      </c>
    </row>
    <row r="2553">
      <c r="A2553" s="2" t="inlineStr">
        <is>
          <t>IT01012_01</t>
        </is>
      </c>
      <c r="B2553" s="2" t="inlineStr">
        <is>
          <t>PED01012</t>
        </is>
      </c>
      <c r="C2553" s="2" t="inlineStr">
        <is>
          <t>P032</t>
        </is>
      </c>
      <c r="D2553" s="2" t="n">
        <v>2</v>
      </c>
      <c r="E2553" s="19" t="n">
        <v>0</v>
      </c>
    </row>
    <row r="2554">
      <c r="A2554" s="2" t="inlineStr">
        <is>
          <t>IT01013_01</t>
        </is>
      </c>
      <c r="B2554" s="2" t="inlineStr">
        <is>
          <t>PED01013</t>
        </is>
      </c>
      <c r="C2554" s="2" t="inlineStr">
        <is>
          <t>P067</t>
        </is>
      </c>
      <c r="D2554" s="2" t="n">
        <v>1</v>
      </c>
      <c r="E2554" s="19" t="n">
        <v>0</v>
      </c>
    </row>
    <row r="2555">
      <c r="A2555" s="2" t="inlineStr">
        <is>
          <t>IT01014_01</t>
        </is>
      </c>
      <c r="B2555" s="2" t="inlineStr">
        <is>
          <t>PED01014</t>
        </is>
      </c>
      <c r="C2555" s="2" t="inlineStr">
        <is>
          <t>P025</t>
        </is>
      </c>
      <c r="D2555" s="2" t="n">
        <v>1</v>
      </c>
      <c r="E2555" s="19" t="n">
        <v>0</v>
      </c>
    </row>
    <row r="2556">
      <c r="A2556" s="2" t="inlineStr">
        <is>
          <t>IT01014_02</t>
        </is>
      </c>
      <c r="B2556" s="2" t="inlineStr">
        <is>
          <t>PED01014</t>
        </is>
      </c>
      <c r="C2556" s="2" t="inlineStr">
        <is>
          <t>P023</t>
        </is>
      </c>
      <c r="D2556" s="2" t="n">
        <v>2</v>
      </c>
      <c r="E2556" s="19" t="n">
        <v>0.05</v>
      </c>
    </row>
    <row r="2557">
      <c r="A2557" s="2" t="inlineStr">
        <is>
          <t>IT01014_03</t>
        </is>
      </c>
      <c r="B2557" s="2" t="inlineStr">
        <is>
          <t>PED01014</t>
        </is>
      </c>
      <c r="C2557" s="2" t="inlineStr">
        <is>
          <t>P005</t>
        </is>
      </c>
      <c r="D2557" s="2" t="n">
        <v>4</v>
      </c>
      <c r="E2557" s="19" t="n">
        <v>0</v>
      </c>
    </row>
    <row r="2558">
      <c r="A2558" s="2" t="inlineStr">
        <is>
          <t>IT01014_04</t>
        </is>
      </c>
      <c r="B2558" s="2" t="inlineStr">
        <is>
          <t>PED01014</t>
        </is>
      </c>
      <c r="C2558" s="2" t="inlineStr">
        <is>
          <t>P006</t>
        </is>
      </c>
      <c r="D2558" s="2" t="n">
        <v>2</v>
      </c>
      <c r="E2558" s="19" t="n">
        <v>0</v>
      </c>
    </row>
    <row r="2559">
      <c r="A2559" s="2" t="inlineStr">
        <is>
          <t>IT01015_01</t>
        </is>
      </c>
      <c r="B2559" s="2" t="inlineStr">
        <is>
          <t>PED01015</t>
        </is>
      </c>
      <c r="C2559" s="2" t="inlineStr">
        <is>
          <t>P008</t>
        </is>
      </c>
      <c r="D2559" s="2" t="n">
        <v>1</v>
      </c>
      <c r="E2559" s="19" t="n">
        <v>0</v>
      </c>
    </row>
    <row r="2560">
      <c r="A2560" s="2" t="inlineStr">
        <is>
          <t>IT01015_02</t>
        </is>
      </c>
      <c r="B2560" s="2" t="inlineStr">
        <is>
          <t>PED01015</t>
        </is>
      </c>
      <c r="C2560" s="2" t="inlineStr">
        <is>
          <t>P006</t>
        </is>
      </c>
      <c r="D2560" s="2" t="n">
        <v>1</v>
      </c>
      <c r="E2560" s="19" t="n">
        <v>0.05</v>
      </c>
    </row>
    <row r="2561">
      <c r="A2561" s="2" t="inlineStr">
        <is>
          <t>IT01016_01</t>
        </is>
      </c>
      <c r="B2561" s="2" t="inlineStr">
        <is>
          <t>PED01016</t>
        </is>
      </c>
      <c r="C2561" s="2" t="inlineStr">
        <is>
          <t>P027</t>
        </is>
      </c>
      <c r="D2561" s="2" t="n">
        <v>4</v>
      </c>
      <c r="E2561" s="19" t="n">
        <v>0</v>
      </c>
    </row>
    <row r="2562">
      <c r="A2562" s="2" t="inlineStr">
        <is>
          <t>IT01017_01</t>
        </is>
      </c>
      <c r="B2562" s="2" t="inlineStr">
        <is>
          <t>PED01017</t>
        </is>
      </c>
      <c r="C2562" s="2" t="inlineStr">
        <is>
          <t>P045</t>
        </is>
      </c>
      <c r="D2562" s="2" t="n">
        <v>2</v>
      </c>
      <c r="E2562" s="19" t="n">
        <v>0.02</v>
      </c>
    </row>
    <row r="2563">
      <c r="A2563" s="2" t="inlineStr">
        <is>
          <t>IT01017_02</t>
        </is>
      </c>
      <c r="B2563" s="2" t="inlineStr">
        <is>
          <t>PED01017</t>
        </is>
      </c>
      <c r="C2563" s="2" t="inlineStr">
        <is>
          <t>P004</t>
        </is>
      </c>
      <c r="D2563" s="2" t="n">
        <v>3</v>
      </c>
      <c r="E2563" s="19" t="n">
        <v>0</v>
      </c>
    </row>
    <row r="2564">
      <c r="A2564" s="2" t="inlineStr">
        <is>
          <t>IT01017_03</t>
        </is>
      </c>
      <c r="B2564" s="2" t="inlineStr">
        <is>
          <t>PED01017</t>
        </is>
      </c>
      <c r="C2564" s="2" t="inlineStr">
        <is>
          <t>P012</t>
        </is>
      </c>
      <c r="D2564" s="2" t="n">
        <v>2</v>
      </c>
      <c r="E2564" s="19" t="n">
        <v>0</v>
      </c>
    </row>
    <row r="2565">
      <c r="A2565" s="2" t="inlineStr">
        <is>
          <t>IT01017_04</t>
        </is>
      </c>
      <c r="B2565" s="2" t="inlineStr">
        <is>
          <t>PED01017</t>
        </is>
      </c>
      <c r="C2565" s="2" t="inlineStr">
        <is>
          <t>P039</t>
        </is>
      </c>
      <c r="D2565" s="2" t="n">
        <v>1</v>
      </c>
      <c r="E2565" s="19" t="n">
        <v>0</v>
      </c>
    </row>
    <row r="2566">
      <c r="A2566" s="2" t="inlineStr">
        <is>
          <t>IT01017_05</t>
        </is>
      </c>
      <c r="B2566" s="2" t="inlineStr">
        <is>
          <t>PED01017</t>
        </is>
      </c>
      <c r="C2566" s="2" t="inlineStr">
        <is>
          <t>P026</t>
        </is>
      </c>
      <c r="D2566" s="2" t="n">
        <v>2</v>
      </c>
      <c r="E2566" s="19" t="n">
        <v>0</v>
      </c>
    </row>
    <row r="2567">
      <c r="A2567" s="2" t="inlineStr">
        <is>
          <t>IT01018_01</t>
        </is>
      </c>
      <c r="B2567" s="2" t="inlineStr">
        <is>
          <t>PED01018</t>
        </is>
      </c>
      <c r="C2567" s="2" t="inlineStr">
        <is>
          <t>P020</t>
        </is>
      </c>
      <c r="D2567" s="2" t="n">
        <v>1</v>
      </c>
      <c r="E2567" s="19" t="n">
        <v>0.05</v>
      </c>
    </row>
    <row r="2568">
      <c r="A2568" s="2" t="inlineStr">
        <is>
          <t>IT01018_02</t>
        </is>
      </c>
      <c r="B2568" s="2" t="inlineStr">
        <is>
          <t>PED01018</t>
        </is>
      </c>
      <c r="C2568" s="2" t="inlineStr">
        <is>
          <t>P015</t>
        </is>
      </c>
      <c r="D2568" s="2" t="n">
        <v>4</v>
      </c>
      <c r="E2568" s="19" t="n">
        <v>0.1</v>
      </c>
    </row>
    <row r="2569">
      <c r="A2569" s="2" t="inlineStr">
        <is>
          <t>IT01018_03</t>
        </is>
      </c>
      <c r="B2569" s="2" t="inlineStr">
        <is>
          <t>PED01018</t>
        </is>
      </c>
      <c r="C2569" s="2" t="inlineStr">
        <is>
          <t>P027</t>
        </is>
      </c>
      <c r="D2569" s="2" t="n">
        <v>1</v>
      </c>
      <c r="E2569" s="19" t="n">
        <v>0.02</v>
      </c>
    </row>
    <row r="2570">
      <c r="A2570" s="2" t="inlineStr">
        <is>
          <t>IT01019_01</t>
        </is>
      </c>
      <c r="B2570" s="2" t="inlineStr">
        <is>
          <t>PED01019</t>
        </is>
      </c>
      <c r="C2570" s="2" t="inlineStr">
        <is>
          <t>P052</t>
        </is>
      </c>
      <c r="D2570" s="2" t="n">
        <v>1</v>
      </c>
      <c r="E2570" s="19" t="n">
        <v>0.05</v>
      </c>
    </row>
    <row r="2571">
      <c r="A2571" s="2" t="inlineStr">
        <is>
          <t>IT01020_01</t>
        </is>
      </c>
      <c r="B2571" s="2" t="inlineStr">
        <is>
          <t>PED01020</t>
        </is>
      </c>
      <c r="C2571" s="2" t="inlineStr">
        <is>
          <t>P057</t>
        </is>
      </c>
      <c r="D2571" s="2" t="n">
        <v>1</v>
      </c>
      <c r="E2571" s="19" t="n">
        <v>0</v>
      </c>
    </row>
    <row r="2572">
      <c r="A2572" s="2" t="inlineStr">
        <is>
          <t>IT01020_02</t>
        </is>
      </c>
      <c r="B2572" s="2" t="inlineStr">
        <is>
          <t>PED01020</t>
        </is>
      </c>
      <c r="C2572" s="2" t="inlineStr">
        <is>
          <t>P032</t>
        </is>
      </c>
      <c r="D2572" s="2" t="n">
        <v>2</v>
      </c>
      <c r="E2572" s="19" t="n">
        <v>0</v>
      </c>
    </row>
    <row r="2573">
      <c r="A2573" s="2" t="inlineStr">
        <is>
          <t>IT01020_03</t>
        </is>
      </c>
      <c r="B2573" s="2" t="inlineStr">
        <is>
          <t>PED01020</t>
        </is>
      </c>
      <c r="C2573" s="2" t="inlineStr">
        <is>
          <t>P026</t>
        </is>
      </c>
      <c r="D2573" s="2" t="n">
        <v>2</v>
      </c>
      <c r="E2573" s="19" t="n">
        <v>0.02</v>
      </c>
    </row>
    <row r="2574">
      <c r="A2574" s="2" t="inlineStr">
        <is>
          <t>IT01020_04</t>
        </is>
      </c>
      <c r="B2574" s="2" t="inlineStr">
        <is>
          <t>PED01020</t>
        </is>
      </c>
      <c r="C2574" s="2" t="inlineStr">
        <is>
          <t>P028</t>
        </is>
      </c>
      <c r="D2574" s="2" t="n">
        <v>2</v>
      </c>
      <c r="E2574" s="19" t="n">
        <v>0.05</v>
      </c>
    </row>
    <row r="2575">
      <c r="A2575" s="2" t="inlineStr">
        <is>
          <t>IT01021_01</t>
        </is>
      </c>
      <c r="B2575" s="2" t="inlineStr">
        <is>
          <t>PED01021</t>
        </is>
      </c>
      <c r="C2575" s="2" t="inlineStr">
        <is>
          <t>P003</t>
        </is>
      </c>
      <c r="D2575" s="2" t="n">
        <v>3</v>
      </c>
      <c r="E2575" s="19" t="n">
        <v>0.02</v>
      </c>
    </row>
    <row r="2576">
      <c r="A2576" s="2" t="inlineStr">
        <is>
          <t>IT01022_01</t>
        </is>
      </c>
      <c r="B2576" s="2" t="inlineStr">
        <is>
          <t>PED01022</t>
        </is>
      </c>
      <c r="C2576" s="2" t="inlineStr">
        <is>
          <t>P018</t>
        </is>
      </c>
      <c r="D2576" s="2" t="n">
        <v>2</v>
      </c>
      <c r="E2576" s="19" t="n">
        <v>0</v>
      </c>
    </row>
    <row r="2577">
      <c r="A2577" s="2" t="inlineStr">
        <is>
          <t>IT01022_02</t>
        </is>
      </c>
      <c r="B2577" s="2" t="inlineStr">
        <is>
          <t>PED01022</t>
        </is>
      </c>
      <c r="C2577" s="2" t="inlineStr">
        <is>
          <t>P020</t>
        </is>
      </c>
      <c r="D2577" s="2" t="n">
        <v>1</v>
      </c>
      <c r="E2577" s="19" t="n">
        <v>0.05</v>
      </c>
    </row>
    <row r="2578">
      <c r="A2578" s="2" t="inlineStr">
        <is>
          <t>IT01023_01</t>
        </is>
      </c>
      <c r="B2578" s="2" t="inlineStr">
        <is>
          <t>PED01023</t>
        </is>
      </c>
      <c r="C2578" s="2" t="inlineStr">
        <is>
          <t>P001</t>
        </is>
      </c>
      <c r="D2578" s="2" t="n">
        <v>1</v>
      </c>
      <c r="E2578" s="19" t="n">
        <v>0.02</v>
      </c>
    </row>
    <row r="2579">
      <c r="A2579" s="2" t="inlineStr">
        <is>
          <t>IT01023_02</t>
        </is>
      </c>
      <c r="B2579" s="2" t="inlineStr">
        <is>
          <t>PED01023</t>
        </is>
      </c>
      <c r="C2579" s="2" t="inlineStr">
        <is>
          <t>P028</t>
        </is>
      </c>
      <c r="D2579" s="2" t="n">
        <v>2</v>
      </c>
      <c r="E2579" s="19" t="n">
        <v>0</v>
      </c>
    </row>
    <row r="2580">
      <c r="A2580" s="2" t="inlineStr">
        <is>
          <t>IT01023_03</t>
        </is>
      </c>
      <c r="B2580" s="2" t="inlineStr">
        <is>
          <t>PED01023</t>
        </is>
      </c>
      <c r="C2580" s="2" t="inlineStr">
        <is>
          <t>P045</t>
        </is>
      </c>
      <c r="D2580" s="2" t="n">
        <v>1</v>
      </c>
      <c r="E2580" s="19" t="n">
        <v>0.1</v>
      </c>
    </row>
    <row r="2581">
      <c r="A2581" s="2" t="inlineStr">
        <is>
          <t>IT01024_01</t>
        </is>
      </c>
      <c r="B2581" s="2" t="inlineStr">
        <is>
          <t>PED01024</t>
        </is>
      </c>
      <c r="C2581" s="2" t="inlineStr">
        <is>
          <t>P050</t>
        </is>
      </c>
      <c r="D2581" s="2" t="n">
        <v>3</v>
      </c>
      <c r="E2581" s="19" t="n">
        <v>0</v>
      </c>
    </row>
    <row r="2582">
      <c r="A2582" s="2" t="inlineStr">
        <is>
          <t>IT01024_02</t>
        </is>
      </c>
      <c r="B2582" s="2" t="inlineStr">
        <is>
          <t>PED01024</t>
        </is>
      </c>
      <c r="C2582" s="2" t="inlineStr">
        <is>
          <t>P040</t>
        </is>
      </c>
      <c r="D2582" s="2" t="n">
        <v>3</v>
      </c>
      <c r="E2582" s="19" t="n">
        <v>0</v>
      </c>
    </row>
    <row r="2583">
      <c r="A2583" s="2" t="inlineStr">
        <is>
          <t>IT01025_01</t>
        </is>
      </c>
      <c r="B2583" s="2" t="inlineStr">
        <is>
          <t>PED01025</t>
        </is>
      </c>
      <c r="C2583" s="2" t="inlineStr">
        <is>
          <t>P021</t>
        </is>
      </c>
      <c r="D2583" s="2" t="n">
        <v>2</v>
      </c>
      <c r="E2583" s="19" t="n">
        <v>0</v>
      </c>
    </row>
    <row r="2584">
      <c r="A2584" s="2" t="inlineStr">
        <is>
          <t>IT01026_01</t>
        </is>
      </c>
      <c r="B2584" s="2" t="inlineStr">
        <is>
          <t>PED01026</t>
        </is>
      </c>
      <c r="C2584" s="2" t="inlineStr">
        <is>
          <t>P056</t>
        </is>
      </c>
      <c r="D2584" s="2" t="n">
        <v>1</v>
      </c>
      <c r="E2584" s="19" t="n">
        <v>0.05</v>
      </c>
    </row>
    <row r="2585">
      <c r="A2585" s="2" t="inlineStr">
        <is>
          <t>IT01026_02</t>
        </is>
      </c>
      <c r="B2585" s="2" t="inlineStr">
        <is>
          <t>PED01026</t>
        </is>
      </c>
      <c r="C2585" s="2" t="inlineStr">
        <is>
          <t>P055</t>
        </is>
      </c>
      <c r="D2585" s="2" t="n">
        <v>2</v>
      </c>
      <c r="E2585" s="19" t="n">
        <v>0.05</v>
      </c>
    </row>
    <row r="2586">
      <c r="A2586" s="2" t="inlineStr">
        <is>
          <t>IT01026_03</t>
        </is>
      </c>
      <c r="B2586" s="2" t="inlineStr">
        <is>
          <t>PED01026</t>
        </is>
      </c>
      <c r="C2586" s="2" t="inlineStr">
        <is>
          <t>P003</t>
        </is>
      </c>
      <c r="D2586" s="2" t="n">
        <v>1</v>
      </c>
      <c r="E2586" s="19" t="n">
        <v>0</v>
      </c>
    </row>
    <row r="2587">
      <c r="A2587" s="2" t="inlineStr">
        <is>
          <t>IT01026_04</t>
        </is>
      </c>
      <c r="B2587" s="2" t="inlineStr">
        <is>
          <t>PED01026</t>
        </is>
      </c>
      <c r="C2587" s="2" t="inlineStr">
        <is>
          <t>P053</t>
        </is>
      </c>
      <c r="D2587" s="2" t="n">
        <v>5</v>
      </c>
      <c r="E2587" s="19" t="n">
        <v>0</v>
      </c>
    </row>
    <row r="2588">
      <c r="A2588" s="2" t="inlineStr">
        <is>
          <t>IT01026_05</t>
        </is>
      </c>
      <c r="B2588" s="2" t="inlineStr">
        <is>
          <t>PED01026</t>
        </is>
      </c>
      <c r="C2588" s="2" t="inlineStr">
        <is>
          <t>P030</t>
        </is>
      </c>
      <c r="D2588" s="2" t="n">
        <v>4</v>
      </c>
      <c r="E2588" s="19" t="n">
        <v>0</v>
      </c>
    </row>
    <row r="2589">
      <c r="A2589" s="2" t="inlineStr">
        <is>
          <t>IT01027_01</t>
        </is>
      </c>
      <c r="B2589" s="2" t="inlineStr">
        <is>
          <t>PED01027</t>
        </is>
      </c>
      <c r="C2589" s="2" t="inlineStr">
        <is>
          <t>P052</t>
        </is>
      </c>
      <c r="D2589" s="2" t="n">
        <v>2</v>
      </c>
      <c r="E2589" s="19" t="n">
        <v>0.02</v>
      </c>
    </row>
    <row r="2590">
      <c r="A2590" s="2" t="inlineStr">
        <is>
          <t>IT01027_02</t>
        </is>
      </c>
      <c r="B2590" s="2" t="inlineStr">
        <is>
          <t>PED01027</t>
        </is>
      </c>
      <c r="C2590" s="2" t="inlineStr">
        <is>
          <t>P064</t>
        </is>
      </c>
      <c r="D2590" s="2" t="n">
        <v>2</v>
      </c>
      <c r="E2590" s="19" t="n">
        <v>0</v>
      </c>
    </row>
    <row r="2591">
      <c r="A2591" s="2" t="inlineStr">
        <is>
          <t>IT01028_01</t>
        </is>
      </c>
      <c r="B2591" s="2" t="inlineStr">
        <is>
          <t>PED01028</t>
        </is>
      </c>
      <c r="C2591" s="2" t="inlineStr">
        <is>
          <t>P037</t>
        </is>
      </c>
      <c r="D2591" s="2" t="n">
        <v>3</v>
      </c>
      <c r="E2591" s="19" t="n">
        <v>0.05</v>
      </c>
    </row>
    <row r="2592">
      <c r="A2592" s="2" t="inlineStr">
        <is>
          <t>IT01028_02</t>
        </is>
      </c>
      <c r="B2592" s="2" t="inlineStr">
        <is>
          <t>PED01028</t>
        </is>
      </c>
      <c r="C2592" s="2" t="inlineStr">
        <is>
          <t>P055</t>
        </is>
      </c>
      <c r="D2592" s="2" t="n">
        <v>1</v>
      </c>
      <c r="E2592" s="19" t="n">
        <v>0.05</v>
      </c>
    </row>
    <row r="2593">
      <c r="A2593" s="2" t="inlineStr">
        <is>
          <t>IT01029_01</t>
        </is>
      </c>
      <c r="B2593" s="2" t="inlineStr">
        <is>
          <t>PED01029</t>
        </is>
      </c>
      <c r="C2593" s="2" t="inlineStr">
        <is>
          <t>P066</t>
        </is>
      </c>
      <c r="D2593" s="2" t="n">
        <v>1</v>
      </c>
      <c r="E2593" s="19" t="n">
        <v>0.05</v>
      </c>
    </row>
    <row r="2594">
      <c r="A2594" s="2" t="inlineStr">
        <is>
          <t>IT01029_02</t>
        </is>
      </c>
      <c r="B2594" s="2" t="inlineStr">
        <is>
          <t>PED01029</t>
        </is>
      </c>
      <c r="C2594" s="2" t="inlineStr">
        <is>
          <t>P016</t>
        </is>
      </c>
      <c r="D2594" s="2" t="n">
        <v>3</v>
      </c>
      <c r="E2594" s="19" t="n">
        <v>0</v>
      </c>
    </row>
    <row r="2595">
      <c r="A2595" s="2" t="inlineStr">
        <is>
          <t>IT01029_03</t>
        </is>
      </c>
      <c r="B2595" s="2" t="inlineStr">
        <is>
          <t>PED01029</t>
        </is>
      </c>
      <c r="C2595" s="2" t="inlineStr">
        <is>
          <t>P005</t>
        </is>
      </c>
      <c r="D2595" s="2" t="n">
        <v>1</v>
      </c>
      <c r="E2595" s="19" t="n">
        <v>0</v>
      </c>
    </row>
    <row r="2596">
      <c r="A2596" s="2" t="inlineStr">
        <is>
          <t>IT01030_01</t>
        </is>
      </c>
      <c r="B2596" s="2" t="inlineStr">
        <is>
          <t>PED01030</t>
        </is>
      </c>
      <c r="C2596" s="2" t="inlineStr">
        <is>
          <t>P047</t>
        </is>
      </c>
      <c r="D2596" s="2" t="n">
        <v>1</v>
      </c>
      <c r="E2596" s="19" t="n">
        <v>0</v>
      </c>
    </row>
    <row r="2597">
      <c r="A2597" s="2" t="inlineStr">
        <is>
          <t>IT01030_02</t>
        </is>
      </c>
      <c r="B2597" s="2" t="inlineStr">
        <is>
          <t>PED01030</t>
        </is>
      </c>
      <c r="C2597" s="2" t="inlineStr">
        <is>
          <t>P058</t>
        </is>
      </c>
      <c r="D2597" s="2" t="n">
        <v>4</v>
      </c>
      <c r="E2597" s="19" t="n">
        <v>0</v>
      </c>
    </row>
    <row r="2598">
      <c r="A2598" s="2" t="inlineStr">
        <is>
          <t>IT01031_01</t>
        </is>
      </c>
      <c r="B2598" s="2" t="inlineStr">
        <is>
          <t>PED01031</t>
        </is>
      </c>
      <c r="C2598" s="2" t="inlineStr">
        <is>
          <t>P007</t>
        </is>
      </c>
      <c r="D2598" s="2" t="n">
        <v>2</v>
      </c>
      <c r="E2598" s="19" t="n">
        <v>0</v>
      </c>
    </row>
    <row r="2599">
      <c r="A2599" s="2" t="inlineStr">
        <is>
          <t>IT01032_01</t>
        </is>
      </c>
      <c r="B2599" s="2" t="inlineStr">
        <is>
          <t>PED01032</t>
        </is>
      </c>
      <c r="C2599" s="2" t="inlineStr">
        <is>
          <t>P052</t>
        </is>
      </c>
      <c r="D2599" s="2" t="n">
        <v>1</v>
      </c>
      <c r="E2599" s="19" t="n">
        <v>0</v>
      </c>
    </row>
    <row r="2600">
      <c r="A2600" s="2" t="inlineStr">
        <is>
          <t>IT01032_02</t>
        </is>
      </c>
      <c r="B2600" s="2" t="inlineStr">
        <is>
          <t>PED01032</t>
        </is>
      </c>
      <c r="C2600" s="2" t="inlineStr">
        <is>
          <t>P023</t>
        </is>
      </c>
      <c r="D2600" s="2" t="n">
        <v>1</v>
      </c>
      <c r="E2600" s="19" t="n">
        <v>0</v>
      </c>
    </row>
    <row r="2601">
      <c r="A2601" s="2" t="inlineStr">
        <is>
          <t>IT01033_01</t>
        </is>
      </c>
      <c r="B2601" s="2" t="inlineStr">
        <is>
          <t>PED01033</t>
        </is>
      </c>
      <c r="C2601" s="2" t="inlineStr">
        <is>
          <t>P027</t>
        </is>
      </c>
      <c r="D2601" s="2" t="n">
        <v>2</v>
      </c>
      <c r="E2601" s="19" t="n">
        <v>0</v>
      </c>
    </row>
    <row r="2602">
      <c r="A2602" s="2" t="inlineStr">
        <is>
          <t>IT01033_02</t>
        </is>
      </c>
      <c r="B2602" s="2" t="inlineStr">
        <is>
          <t>PED01033</t>
        </is>
      </c>
      <c r="C2602" s="2" t="inlineStr">
        <is>
          <t>P016</t>
        </is>
      </c>
      <c r="D2602" s="2" t="n">
        <v>10</v>
      </c>
      <c r="E2602" s="19" t="n">
        <v>0.05</v>
      </c>
    </row>
    <row r="2603">
      <c r="A2603" s="2" t="inlineStr">
        <is>
          <t>IT01034_01</t>
        </is>
      </c>
      <c r="B2603" s="2" t="inlineStr">
        <is>
          <t>PED01034</t>
        </is>
      </c>
      <c r="C2603" s="2" t="inlineStr">
        <is>
          <t>P056</t>
        </is>
      </c>
      <c r="D2603" s="2" t="n">
        <v>1</v>
      </c>
      <c r="E2603" s="19" t="n">
        <v>0</v>
      </c>
    </row>
    <row r="2604">
      <c r="A2604" s="2" t="inlineStr">
        <is>
          <t>IT01034_02</t>
        </is>
      </c>
      <c r="B2604" s="2" t="inlineStr">
        <is>
          <t>PED01034</t>
        </is>
      </c>
      <c r="C2604" s="2" t="inlineStr">
        <is>
          <t>P051</t>
        </is>
      </c>
      <c r="D2604" s="2" t="n">
        <v>1</v>
      </c>
      <c r="E2604" s="19" t="n">
        <v>0</v>
      </c>
    </row>
    <row r="2605">
      <c r="A2605" s="2" t="inlineStr">
        <is>
          <t>IT01034_03</t>
        </is>
      </c>
      <c r="B2605" s="2" t="inlineStr">
        <is>
          <t>PED01034</t>
        </is>
      </c>
      <c r="C2605" s="2" t="inlineStr">
        <is>
          <t>P020</t>
        </is>
      </c>
      <c r="D2605" s="2" t="n">
        <v>4</v>
      </c>
      <c r="E2605" s="19" t="n">
        <v>0</v>
      </c>
    </row>
    <row r="2606">
      <c r="A2606" s="2" t="inlineStr">
        <is>
          <t>IT01034_04</t>
        </is>
      </c>
      <c r="B2606" s="2" t="inlineStr">
        <is>
          <t>PED01034</t>
        </is>
      </c>
      <c r="C2606" s="2" t="inlineStr">
        <is>
          <t>P011</t>
        </is>
      </c>
      <c r="D2606" s="2" t="n">
        <v>1</v>
      </c>
      <c r="E2606" s="19" t="n">
        <v>0</v>
      </c>
    </row>
    <row r="2607">
      <c r="A2607" s="2" t="inlineStr">
        <is>
          <t>IT01035_01</t>
        </is>
      </c>
      <c r="B2607" s="2" t="inlineStr">
        <is>
          <t>PED01035</t>
        </is>
      </c>
      <c r="C2607" s="2" t="inlineStr">
        <is>
          <t>P015</t>
        </is>
      </c>
      <c r="D2607" s="2" t="n">
        <v>2</v>
      </c>
      <c r="E2607" s="19" t="n">
        <v>0.02</v>
      </c>
    </row>
    <row r="2608">
      <c r="A2608" s="2" t="inlineStr">
        <is>
          <t>IT01035_02</t>
        </is>
      </c>
      <c r="B2608" s="2" t="inlineStr">
        <is>
          <t>PED01035</t>
        </is>
      </c>
      <c r="C2608" s="2" t="inlineStr">
        <is>
          <t>P007</t>
        </is>
      </c>
      <c r="D2608" s="2" t="n">
        <v>1</v>
      </c>
      <c r="E2608" s="19" t="n">
        <v>0</v>
      </c>
    </row>
    <row r="2609">
      <c r="A2609" s="2" t="inlineStr">
        <is>
          <t>IT01035_03</t>
        </is>
      </c>
      <c r="B2609" s="2" t="inlineStr">
        <is>
          <t>PED01035</t>
        </is>
      </c>
      <c r="C2609" s="2" t="inlineStr">
        <is>
          <t>P058</t>
        </is>
      </c>
      <c r="D2609" s="2" t="n">
        <v>1</v>
      </c>
      <c r="E2609" s="19" t="n">
        <v>0.02</v>
      </c>
    </row>
    <row r="2610">
      <c r="A2610" s="2" t="inlineStr">
        <is>
          <t>IT01036_01</t>
        </is>
      </c>
      <c r="B2610" s="2" t="inlineStr">
        <is>
          <t>PED01036</t>
        </is>
      </c>
      <c r="C2610" s="2" t="inlineStr">
        <is>
          <t>P035</t>
        </is>
      </c>
      <c r="D2610" s="2" t="n">
        <v>1</v>
      </c>
      <c r="E2610" s="19" t="n">
        <v>0.1</v>
      </c>
    </row>
    <row r="2611">
      <c r="A2611" s="2" t="inlineStr">
        <is>
          <t>IT01036_02</t>
        </is>
      </c>
      <c r="B2611" s="2" t="inlineStr">
        <is>
          <t>PED01036</t>
        </is>
      </c>
      <c r="C2611" s="2" t="inlineStr">
        <is>
          <t>P001</t>
        </is>
      </c>
      <c r="D2611" s="2" t="n">
        <v>1</v>
      </c>
      <c r="E2611" s="19" t="n">
        <v>0.02</v>
      </c>
    </row>
    <row r="2612">
      <c r="A2612" s="2" t="inlineStr">
        <is>
          <t>IT01036_03</t>
        </is>
      </c>
      <c r="B2612" s="2" t="inlineStr">
        <is>
          <t>PED01036</t>
        </is>
      </c>
      <c r="C2612" s="2" t="inlineStr">
        <is>
          <t>P041</t>
        </is>
      </c>
      <c r="D2612" s="2" t="n">
        <v>1</v>
      </c>
      <c r="E2612" s="19" t="n">
        <v>0</v>
      </c>
    </row>
    <row r="2613">
      <c r="A2613" s="2" t="inlineStr">
        <is>
          <t>IT01037_01</t>
        </is>
      </c>
      <c r="B2613" s="2" t="inlineStr">
        <is>
          <t>PED01037</t>
        </is>
      </c>
      <c r="C2613" s="2" t="inlineStr">
        <is>
          <t>P068</t>
        </is>
      </c>
      <c r="D2613" s="2" t="n">
        <v>1</v>
      </c>
      <c r="E2613" s="19" t="n">
        <v>0</v>
      </c>
    </row>
    <row r="2614">
      <c r="A2614" s="2" t="inlineStr">
        <is>
          <t>IT01037_02</t>
        </is>
      </c>
      <c r="B2614" s="2" t="inlineStr">
        <is>
          <t>PED01037</t>
        </is>
      </c>
      <c r="C2614" s="2" t="inlineStr">
        <is>
          <t>P064</t>
        </is>
      </c>
      <c r="D2614" s="2" t="n">
        <v>2</v>
      </c>
      <c r="E2614" s="19" t="n">
        <v>0.05</v>
      </c>
    </row>
    <row r="2615">
      <c r="A2615" s="2" t="inlineStr">
        <is>
          <t>IT01037_03</t>
        </is>
      </c>
      <c r="B2615" s="2" t="inlineStr">
        <is>
          <t>PED01037</t>
        </is>
      </c>
      <c r="C2615" s="2" t="inlineStr">
        <is>
          <t>P029</t>
        </is>
      </c>
      <c r="D2615" s="2" t="n">
        <v>1</v>
      </c>
      <c r="E2615" s="19" t="n">
        <v>0</v>
      </c>
    </row>
    <row r="2616">
      <c r="A2616" s="2" t="inlineStr">
        <is>
          <t>IT01037_04</t>
        </is>
      </c>
      <c r="B2616" s="2" t="inlineStr">
        <is>
          <t>PED01037</t>
        </is>
      </c>
      <c r="C2616" s="2" t="inlineStr">
        <is>
          <t>P009</t>
        </is>
      </c>
      <c r="D2616" s="2" t="n">
        <v>1</v>
      </c>
      <c r="E2616" s="19" t="n">
        <v>0</v>
      </c>
    </row>
    <row r="2617">
      <c r="A2617" s="2" t="inlineStr">
        <is>
          <t>IT01038_01</t>
        </is>
      </c>
      <c r="B2617" s="2" t="inlineStr">
        <is>
          <t>PED01038</t>
        </is>
      </c>
      <c r="C2617" s="2" t="inlineStr">
        <is>
          <t>P035</t>
        </is>
      </c>
      <c r="D2617" s="2" t="n">
        <v>1</v>
      </c>
      <c r="E2617" s="19" t="n">
        <v>0</v>
      </c>
    </row>
    <row r="2618">
      <c r="A2618" s="2" t="inlineStr">
        <is>
          <t>IT01038_02</t>
        </is>
      </c>
      <c r="B2618" s="2" t="inlineStr">
        <is>
          <t>PED01038</t>
        </is>
      </c>
      <c r="C2618" s="2" t="inlineStr">
        <is>
          <t>P032</t>
        </is>
      </c>
      <c r="D2618" s="2" t="n">
        <v>1</v>
      </c>
      <c r="E2618" s="19" t="n">
        <v>0</v>
      </c>
    </row>
    <row r="2619">
      <c r="A2619" s="2" t="inlineStr">
        <is>
          <t>IT01039_01</t>
        </is>
      </c>
      <c r="B2619" s="2" t="inlineStr">
        <is>
          <t>PED01039</t>
        </is>
      </c>
      <c r="C2619" s="2" t="inlineStr">
        <is>
          <t>P002</t>
        </is>
      </c>
      <c r="D2619" s="2" t="n">
        <v>3</v>
      </c>
      <c r="E2619" s="19" t="n">
        <v>0.05</v>
      </c>
    </row>
    <row r="2620">
      <c r="A2620" s="2" t="inlineStr">
        <is>
          <t>IT01039_02</t>
        </is>
      </c>
      <c r="B2620" s="2" t="inlineStr">
        <is>
          <t>PED01039</t>
        </is>
      </c>
      <c r="C2620" s="2" t="inlineStr">
        <is>
          <t>P009</t>
        </is>
      </c>
      <c r="D2620" s="2" t="n">
        <v>1</v>
      </c>
      <c r="E2620" s="19" t="n">
        <v>0</v>
      </c>
    </row>
    <row r="2621">
      <c r="A2621" s="2" t="inlineStr">
        <is>
          <t>IT01040_01</t>
        </is>
      </c>
      <c r="B2621" s="2" t="inlineStr">
        <is>
          <t>PED01040</t>
        </is>
      </c>
      <c r="C2621" s="2" t="inlineStr">
        <is>
          <t>P022</t>
        </is>
      </c>
      <c r="D2621" s="2" t="n">
        <v>1</v>
      </c>
      <c r="E2621" s="19" t="n">
        <v>0</v>
      </c>
    </row>
    <row r="2622">
      <c r="A2622" s="2" t="inlineStr">
        <is>
          <t>IT01040_02</t>
        </is>
      </c>
      <c r="B2622" s="2" t="inlineStr">
        <is>
          <t>PED01040</t>
        </is>
      </c>
      <c r="C2622" s="2" t="inlineStr">
        <is>
          <t>P014</t>
        </is>
      </c>
      <c r="D2622" s="2" t="n">
        <v>2</v>
      </c>
      <c r="E2622" s="19" t="n">
        <v>0</v>
      </c>
    </row>
    <row r="2623">
      <c r="A2623" s="2" t="inlineStr">
        <is>
          <t>IT01040_03</t>
        </is>
      </c>
      <c r="B2623" s="2" t="inlineStr">
        <is>
          <t>PED01040</t>
        </is>
      </c>
      <c r="C2623" s="2" t="inlineStr">
        <is>
          <t>P012</t>
        </is>
      </c>
      <c r="D2623" s="2" t="n">
        <v>3</v>
      </c>
      <c r="E2623" s="19" t="n">
        <v>0</v>
      </c>
    </row>
    <row r="2624">
      <c r="A2624" s="2" t="inlineStr">
        <is>
          <t>IT01040_04</t>
        </is>
      </c>
      <c r="B2624" s="2" t="inlineStr">
        <is>
          <t>PED01040</t>
        </is>
      </c>
      <c r="C2624" s="2" t="inlineStr">
        <is>
          <t>P053</t>
        </is>
      </c>
      <c r="D2624" s="2" t="n">
        <v>1</v>
      </c>
      <c r="E2624" s="19" t="n">
        <v>0.05</v>
      </c>
    </row>
    <row r="2625">
      <c r="A2625" s="2" t="inlineStr">
        <is>
          <t>IT01041_01</t>
        </is>
      </c>
      <c r="B2625" s="2" t="inlineStr">
        <is>
          <t>PED01041</t>
        </is>
      </c>
      <c r="C2625" s="2" t="inlineStr">
        <is>
          <t>P065</t>
        </is>
      </c>
      <c r="D2625" s="2" t="n">
        <v>4</v>
      </c>
      <c r="E2625" s="19" t="n">
        <v>0.05</v>
      </c>
    </row>
    <row r="2626">
      <c r="A2626" s="2" t="inlineStr">
        <is>
          <t>IT01041_02</t>
        </is>
      </c>
      <c r="B2626" s="2" t="inlineStr">
        <is>
          <t>PED01041</t>
        </is>
      </c>
      <c r="C2626" s="2" t="inlineStr">
        <is>
          <t>P058</t>
        </is>
      </c>
      <c r="D2626" s="2" t="n">
        <v>1</v>
      </c>
      <c r="E2626" s="19" t="n">
        <v>0</v>
      </c>
    </row>
    <row r="2627">
      <c r="A2627" s="2" t="inlineStr">
        <is>
          <t>IT01042_01</t>
        </is>
      </c>
      <c r="B2627" s="2" t="inlineStr">
        <is>
          <t>PED01042</t>
        </is>
      </c>
      <c r="C2627" s="2" t="inlineStr">
        <is>
          <t>P070</t>
        </is>
      </c>
      <c r="D2627" s="2" t="n">
        <v>2</v>
      </c>
      <c r="E2627" s="19" t="n">
        <v>0</v>
      </c>
    </row>
    <row r="2628">
      <c r="A2628" s="2" t="inlineStr">
        <is>
          <t>IT01042_02</t>
        </is>
      </c>
      <c r="B2628" s="2" t="inlineStr">
        <is>
          <t>PED01042</t>
        </is>
      </c>
      <c r="C2628" s="2" t="inlineStr">
        <is>
          <t>P052</t>
        </is>
      </c>
      <c r="D2628" s="2" t="n">
        <v>1</v>
      </c>
      <c r="E2628" s="19" t="n">
        <v>0.05</v>
      </c>
    </row>
    <row r="2629">
      <c r="A2629" s="2" t="inlineStr">
        <is>
          <t>IT01042_03</t>
        </is>
      </c>
      <c r="B2629" s="2" t="inlineStr">
        <is>
          <t>PED01042</t>
        </is>
      </c>
      <c r="C2629" s="2" t="inlineStr">
        <is>
          <t>P034</t>
        </is>
      </c>
      <c r="D2629" s="2" t="n">
        <v>4</v>
      </c>
      <c r="E2629" s="19" t="n">
        <v>0</v>
      </c>
    </row>
    <row r="2630">
      <c r="A2630" s="2" t="inlineStr">
        <is>
          <t>IT01042_04</t>
        </is>
      </c>
      <c r="B2630" s="2" t="inlineStr">
        <is>
          <t>PED01042</t>
        </is>
      </c>
      <c r="C2630" s="2" t="inlineStr">
        <is>
          <t>P039</t>
        </is>
      </c>
      <c r="D2630" s="2" t="n">
        <v>3</v>
      </c>
      <c r="E2630" s="19" t="n">
        <v>0</v>
      </c>
    </row>
    <row r="2631">
      <c r="A2631" s="2" t="inlineStr">
        <is>
          <t>IT01043_01</t>
        </is>
      </c>
      <c r="B2631" s="2" t="inlineStr">
        <is>
          <t>PED01043</t>
        </is>
      </c>
      <c r="C2631" s="2" t="inlineStr">
        <is>
          <t>P034</t>
        </is>
      </c>
      <c r="D2631" s="2" t="n">
        <v>2</v>
      </c>
      <c r="E2631" s="19" t="n">
        <v>0</v>
      </c>
    </row>
    <row r="2632">
      <c r="A2632" s="2" t="inlineStr">
        <is>
          <t>IT01043_02</t>
        </is>
      </c>
      <c r="B2632" s="2" t="inlineStr">
        <is>
          <t>PED01043</t>
        </is>
      </c>
      <c r="C2632" s="2" t="inlineStr">
        <is>
          <t>P070</t>
        </is>
      </c>
      <c r="D2632" s="2" t="n">
        <v>1</v>
      </c>
      <c r="E2632" s="19" t="n">
        <v>0.05</v>
      </c>
    </row>
    <row r="2633">
      <c r="A2633" s="2" t="inlineStr">
        <is>
          <t>IT01043_03</t>
        </is>
      </c>
      <c r="B2633" s="2" t="inlineStr">
        <is>
          <t>PED01043</t>
        </is>
      </c>
      <c r="C2633" s="2" t="inlineStr">
        <is>
          <t>P006</t>
        </is>
      </c>
      <c r="D2633" s="2" t="n">
        <v>3</v>
      </c>
      <c r="E2633" s="19" t="n">
        <v>0</v>
      </c>
    </row>
    <row r="2634">
      <c r="A2634" s="2" t="inlineStr">
        <is>
          <t>IT01043_04</t>
        </is>
      </c>
      <c r="B2634" s="2" t="inlineStr">
        <is>
          <t>PED01043</t>
        </is>
      </c>
      <c r="C2634" s="2" t="inlineStr">
        <is>
          <t>P054</t>
        </is>
      </c>
      <c r="D2634" s="2" t="n">
        <v>1</v>
      </c>
      <c r="E2634" s="19" t="n">
        <v>0</v>
      </c>
    </row>
    <row r="2635">
      <c r="A2635" s="2" t="inlineStr">
        <is>
          <t>IT01044_01</t>
        </is>
      </c>
      <c r="B2635" s="2" t="inlineStr">
        <is>
          <t>PED01044</t>
        </is>
      </c>
      <c r="C2635" s="2" t="inlineStr">
        <is>
          <t>P035</t>
        </is>
      </c>
      <c r="D2635" s="2" t="n">
        <v>1</v>
      </c>
      <c r="E2635" s="19" t="n">
        <v>0.02</v>
      </c>
    </row>
    <row r="2636">
      <c r="A2636" s="2" t="inlineStr">
        <is>
          <t>IT01044_02</t>
        </is>
      </c>
      <c r="B2636" s="2" t="inlineStr">
        <is>
          <t>PED01044</t>
        </is>
      </c>
      <c r="C2636" s="2" t="inlineStr">
        <is>
          <t>P022</t>
        </is>
      </c>
      <c r="D2636" s="2" t="n">
        <v>1</v>
      </c>
      <c r="E2636" s="19" t="n">
        <v>0.05</v>
      </c>
    </row>
    <row r="2637">
      <c r="A2637" s="2" t="inlineStr">
        <is>
          <t>IT01044_03</t>
        </is>
      </c>
      <c r="B2637" s="2" t="inlineStr">
        <is>
          <t>PED01044</t>
        </is>
      </c>
      <c r="C2637" s="2" t="inlineStr">
        <is>
          <t>P055</t>
        </is>
      </c>
      <c r="D2637" s="2" t="n">
        <v>2</v>
      </c>
      <c r="E2637" s="19" t="n">
        <v>0.05</v>
      </c>
    </row>
    <row r="2638">
      <c r="A2638" s="2" t="inlineStr">
        <is>
          <t>IT01044_04</t>
        </is>
      </c>
      <c r="B2638" s="2" t="inlineStr">
        <is>
          <t>PED01044</t>
        </is>
      </c>
      <c r="C2638" s="2" t="inlineStr">
        <is>
          <t>P065</t>
        </is>
      </c>
      <c r="D2638" s="2" t="n">
        <v>2</v>
      </c>
      <c r="E2638" s="19" t="n">
        <v>0</v>
      </c>
    </row>
    <row r="2639">
      <c r="A2639" s="2" t="inlineStr">
        <is>
          <t>IT01045_01</t>
        </is>
      </c>
      <c r="B2639" s="2" t="inlineStr">
        <is>
          <t>PED01045</t>
        </is>
      </c>
      <c r="C2639" s="2" t="inlineStr">
        <is>
          <t>P055</t>
        </is>
      </c>
      <c r="D2639" s="2" t="n">
        <v>1</v>
      </c>
      <c r="E2639" s="19" t="n">
        <v>0</v>
      </c>
    </row>
    <row r="2640">
      <c r="A2640" s="2" t="inlineStr">
        <is>
          <t>IT01046_01</t>
        </is>
      </c>
      <c r="B2640" s="2" t="inlineStr">
        <is>
          <t>PED01046</t>
        </is>
      </c>
      <c r="C2640" s="2" t="inlineStr">
        <is>
          <t>P029</t>
        </is>
      </c>
      <c r="D2640" s="2" t="n">
        <v>1</v>
      </c>
      <c r="E2640" s="19" t="n">
        <v>0.02</v>
      </c>
    </row>
    <row r="2641">
      <c r="A2641" s="2" t="inlineStr">
        <is>
          <t>IT01046_02</t>
        </is>
      </c>
      <c r="B2641" s="2" t="inlineStr">
        <is>
          <t>PED01046</t>
        </is>
      </c>
      <c r="C2641" s="2" t="inlineStr">
        <is>
          <t>P043</t>
        </is>
      </c>
      <c r="D2641" s="2" t="n">
        <v>2</v>
      </c>
      <c r="E2641" s="19" t="n">
        <v>0.02</v>
      </c>
    </row>
    <row r="2642">
      <c r="A2642" s="2" t="inlineStr">
        <is>
          <t>IT01046_03</t>
        </is>
      </c>
      <c r="B2642" s="2" t="inlineStr">
        <is>
          <t>PED01046</t>
        </is>
      </c>
      <c r="C2642" s="2" t="inlineStr">
        <is>
          <t>P049</t>
        </is>
      </c>
      <c r="D2642" s="2" t="n">
        <v>3</v>
      </c>
      <c r="E2642" s="19" t="n">
        <v>0.02</v>
      </c>
    </row>
    <row r="2643">
      <c r="A2643" s="2" t="inlineStr">
        <is>
          <t>IT01047_01</t>
        </is>
      </c>
      <c r="B2643" s="2" t="inlineStr">
        <is>
          <t>PED01047</t>
        </is>
      </c>
      <c r="C2643" s="2" t="inlineStr">
        <is>
          <t>P037</t>
        </is>
      </c>
      <c r="D2643" s="2" t="n">
        <v>2</v>
      </c>
      <c r="E2643" s="19" t="n">
        <v>0.02</v>
      </c>
    </row>
    <row r="2644">
      <c r="A2644" s="2" t="inlineStr">
        <is>
          <t>IT01047_02</t>
        </is>
      </c>
      <c r="B2644" s="2" t="inlineStr">
        <is>
          <t>PED01047</t>
        </is>
      </c>
      <c r="C2644" s="2" t="inlineStr">
        <is>
          <t>P049</t>
        </is>
      </c>
      <c r="D2644" s="2" t="n">
        <v>5</v>
      </c>
      <c r="E2644" s="19" t="n">
        <v>0</v>
      </c>
    </row>
    <row r="2645">
      <c r="A2645" s="2" t="inlineStr">
        <is>
          <t>IT01047_03</t>
        </is>
      </c>
      <c r="B2645" s="2" t="inlineStr">
        <is>
          <t>PED01047</t>
        </is>
      </c>
      <c r="C2645" s="2" t="inlineStr">
        <is>
          <t>P050</t>
        </is>
      </c>
      <c r="D2645" s="2" t="n">
        <v>1</v>
      </c>
      <c r="E2645" s="19" t="n">
        <v>0</v>
      </c>
    </row>
    <row r="2646">
      <c r="A2646" s="2" t="inlineStr">
        <is>
          <t>IT01048_01</t>
        </is>
      </c>
      <c r="B2646" s="2" t="inlineStr">
        <is>
          <t>PED01048</t>
        </is>
      </c>
      <c r="C2646" s="2" t="inlineStr">
        <is>
          <t>P046</t>
        </is>
      </c>
      <c r="D2646" s="2" t="n">
        <v>2</v>
      </c>
      <c r="E2646" s="19" t="n">
        <v>0</v>
      </c>
    </row>
    <row r="2647">
      <c r="A2647" s="2" t="inlineStr">
        <is>
          <t>IT01049_01</t>
        </is>
      </c>
      <c r="B2647" s="2" t="inlineStr">
        <is>
          <t>PED01049</t>
        </is>
      </c>
      <c r="C2647" s="2" t="inlineStr">
        <is>
          <t>P029</t>
        </is>
      </c>
      <c r="D2647" s="2" t="n">
        <v>1</v>
      </c>
      <c r="E2647" s="19" t="n">
        <v>0.02</v>
      </c>
    </row>
    <row r="2648">
      <c r="A2648" s="2" t="inlineStr">
        <is>
          <t>IT01049_02</t>
        </is>
      </c>
      <c r="B2648" s="2" t="inlineStr">
        <is>
          <t>PED01049</t>
        </is>
      </c>
      <c r="C2648" s="2" t="inlineStr">
        <is>
          <t>P035</t>
        </is>
      </c>
      <c r="D2648" s="2" t="n">
        <v>1</v>
      </c>
      <c r="E2648" s="19" t="n">
        <v>0</v>
      </c>
    </row>
    <row r="2649">
      <c r="A2649" s="2" t="inlineStr">
        <is>
          <t>IT01049_03</t>
        </is>
      </c>
      <c r="B2649" s="2" t="inlineStr">
        <is>
          <t>PED01049</t>
        </is>
      </c>
      <c r="C2649" s="2" t="inlineStr">
        <is>
          <t>P069</t>
        </is>
      </c>
      <c r="D2649" s="2" t="n">
        <v>2</v>
      </c>
      <c r="E2649" s="19" t="n">
        <v>0.1</v>
      </c>
    </row>
    <row r="2650">
      <c r="A2650" s="2" t="inlineStr">
        <is>
          <t>IT01050_01</t>
        </is>
      </c>
      <c r="B2650" s="2" t="inlineStr">
        <is>
          <t>PED01050</t>
        </is>
      </c>
      <c r="C2650" s="2" t="inlineStr">
        <is>
          <t>P055</t>
        </is>
      </c>
      <c r="D2650" s="2" t="n">
        <v>1</v>
      </c>
      <c r="E2650" s="19" t="n">
        <v>0</v>
      </c>
    </row>
    <row r="2651">
      <c r="A2651" s="2" t="inlineStr">
        <is>
          <t>IT01050_02</t>
        </is>
      </c>
      <c r="B2651" s="2" t="inlineStr">
        <is>
          <t>PED01050</t>
        </is>
      </c>
      <c r="C2651" s="2" t="inlineStr">
        <is>
          <t>P003</t>
        </is>
      </c>
      <c r="D2651" s="2" t="n">
        <v>10</v>
      </c>
      <c r="E2651" s="19" t="n">
        <v>0</v>
      </c>
    </row>
    <row r="2652">
      <c r="A2652" s="2" t="inlineStr">
        <is>
          <t>IT01050_03</t>
        </is>
      </c>
      <c r="B2652" s="2" t="inlineStr">
        <is>
          <t>PED01050</t>
        </is>
      </c>
      <c r="C2652" s="2" t="inlineStr">
        <is>
          <t>P009</t>
        </is>
      </c>
      <c r="D2652" s="2" t="n">
        <v>4</v>
      </c>
      <c r="E2652" s="19" t="n">
        <v>0.1</v>
      </c>
    </row>
    <row r="2653">
      <c r="A2653" s="2" t="inlineStr">
        <is>
          <t>IT01051_01</t>
        </is>
      </c>
      <c r="B2653" s="2" t="inlineStr">
        <is>
          <t>PED01051</t>
        </is>
      </c>
      <c r="C2653" s="2" t="inlineStr">
        <is>
          <t>P028</t>
        </is>
      </c>
      <c r="D2653" s="2" t="n">
        <v>2</v>
      </c>
      <c r="E2653" s="19" t="n">
        <v>0</v>
      </c>
    </row>
    <row r="2654">
      <c r="A2654" s="2" t="inlineStr">
        <is>
          <t>IT01052_01</t>
        </is>
      </c>
      <c r="B2654" s="2" t="inlineStr">
        <is>
          <t>PED01052</t>
        </is>
      </c>
      <c r="C2654" s="2" t="inlineStr">
        <is>
          <t>P013</t>
        </is>
      </c>
      <c r="D2654" s="2" t="n">
        <v>3</v>
      </c>
      <c r="E2654" s="19" t="n">
        <v>0.02</v>
      </c>
    </row>
    <row r="2655">
      <c r="A2655" s="2" t="inlineStr">
        <is>
          <t>IT01052_02</t>
        </is>
      </c>
      <c r="B2655" s="2" t="inlineStr">
        <is>
          <t>PED01052</t>
        </is>
      </c>
      <c r="C2655" s="2" t="inlineStr">
        <is>
          <t>P052</t>
        </is>
      </c>
      <c r="D2655" s="2" t="n">
        <v>4</v>
      </c>
      <c r="E2655" s="19" t="n">
        <v>0</v>
      </c>
    </row>
    <row r="2656">
      <c r="A2656" s="2" t="inlineStr">
        <is>
          <t>IT01052_03</t>
        </is>
      </c>
      <c r="B2656" s="2" t="inlineStr">
        <is>
          <t>PED01052</t>
        </is>
      </c>
      <c r="C2656" s="2" t="inlineStr">
        <is>
          <t>P043</t>
        </is>
      </c>
      <c r="D2656" s="2" t="n">
        <v>5</v>
      </c>
      <c r="E2656" s="19" t="n">
        <v>0.02</v>
      </c>
    </row>
    <row r="2657">
      <c r="A2657" s="2" t="inlineStr">
        <is>
          <t>IT01053_01</t>
        </is>
      </c>
      <c r="B2657" s="2" t="inlineStr">
        <is>
          <t>PED01053</t>
        </is>
      </c>
      <c r="C2657" s="2" t="inlineStr">
        <is>
          <t>P025</t>
        </is>
      </c>
      <c r="D2657" s="2" t="n">
        <v>2</v>
      </c>
      <c r="E2657" s="19" t="n">
        <v>0</v>
      </c>
    </row>
    <row r="2658">
      <c r="A2658" s="2" t="inlineStr">
        <is>
          <t>IT01054_01</t>
        </is>
      </c>
      <c r="B2658" s="2" t="inlineStr">
        <is>
          <t>PED01054</t>
        </is>
      </c>
      <c r="C2658" s="2" t="inlineStr">
        <is>
          <t>P009</t>
        </is>
      </c>
      <c r="D2658" s="2" t="n">
        <v>2</v>
      </c>
      <c r="E2658" s="19" t="n">
        <v>0</v>
      </c>
    </row>
    <row r="2659">
      <c r="A2659" s="2" t="inlineStr">
        <is>
          <t>IT01054_02</t>
        </is>
      </c>
      <c r="B2659" s="2" t="inlineStr">
        <is>
          <t>PED01054</t>
        </is>
      </c>
      <c r="C2659" s="2" t="inlineStr">
        <is>
          <t>P067</t>
        </is>
      </c>
      <c r="D2659" s="2" t="n">
        <v>2</v>
      </c>
      <c r="E2659" s="19" t="n">
        <v>0</v>
      </c>
    </row>
    <row r="2660">
      <c r="A2660" s="2" t="inlineStr">
        <is>
          <t>IT01054_03</t>
        </is>
      </c>
      <c r="B2660" s="2" t="inlineStr">
        <is>
          <t>PED01054</t>
        </is>
      </c>
      <c r="C2660" s="2" t="inlineStr">
        <is>
          <t>P017</t>
        </is>
      </c>
      <c r="D2660" s="2" t="n">
        <v>2</v>
      </c>
      <c r="E2660" s="19" t="n">
        <v>0.05</v>
      </c>
    </row>
    <row r="2661">
      <c r="A2661" s="2" t="inlineStr">
        <is>
          <t>IT01054_04</t>
        </is>
      </c>
      <c r="B2661" s="2" t="inlineStr">
        <is>
          <t>PED01054</t>
        </is>
      </c>
      <c r="C2661" s="2" t="inlineStr">
        <is>
          <t>P034</t>
        </is>
      </c>
      <c r="D2661" s="2" t="n">
        <v>1</v>
      </c>
      <c r="E2661" s="19" t="n">
        <v>0</v>
      </c>
    </row>
    <row r="2662">
      <c r="A2662" s="2" t="inlineStr">
        <is>
          <t>IT01055_01</t>
        </is>
      </c>
      <c r="B2662" s="2" t="inlineStr">
        <is>
          <t>PED01055</t>
        </is>
      </c>
      <c r="C2662" s="2" t="inlineStr">
        <is>
          <t>P014</t>
        </is>
      </c>
      <c r="D2662" s="2" t="n">
        <v>4</v>
      </c>
      <c r="E2662" s="19" t="n">
        <v>0</v>
      </c>
    </row>
    <row r="2663">
      <c r="A2663" s="2" t="inlineStr">
        <is>
          <t>IT01055_02</t>
        </is>
      </c>
      <c r="B2663" s="2" t="inlineStr">
        <is>
          <t>PED01055</t>
        </is>
      </c>
      <c r="C2663" s="2" t="inlineStr">
        <is>
          <t>P029</t>
        </is>
      </c>
      <c r="D2663" s="2" t="n">
        <v>5</v>
      </c>
      <c r="E2663" s="19" t="n">
        <v>0</v>
      </c>
    </row>
    <row r="2664">
      <c r="A2664" s="2" t="inlineStr">
        <is>
          <t>IT01055_03</t>
        </is>
      </c>
      <c r="B2664" s="2" t="inlineStr">
        <is>
          <t>PED01055</t>
        </is>
      </c>
      <c r="C2664" s="2" t="inlineStr">
        <is>
          <t>P042</t>
        </is>
      </c>
      <c r="D2664" s="2" t="n">
        <v>2</v>
      </c>
      <c r="E2664" s="19" t="n">
        <v>0</v>
      </c>
    </row>
    <row r="2665">
      <c r="A2665" s="2" t="inlineStr">
        <is>
          <t>IT01055_04</t>
        </is>
      </c>
      <c r="B2665" s="2" t="inlineStr">
        <is>
          <t>PED01055</t>
        </is>
      </c>
      <c r="C2665" s="2" t="inlineStr">
        <is>
          <t>P024</t>
        </is>
      </c>
      <c r="D2665" s="2" t="n">
        <v>3</v>
      </c>
      <c r="E2665" s="19" t="n">
        <v>0</v>
      </c>
    </row>
    <row r="2666">
      <c r="A2666" s="2" t="inlineStr">
        <is>
          <t>IT01056_01</t>
        </is>
      </c>
      <c r="B2666" s="2" t="inlineStr">
        <is>
          <t>PED01056</t>
        </is>
      </c>
      <c r="C2666" s="2" t="inlineStr">
        <is>
          <t>P012</t>
        </is>
      </c>
      <c r="D2666" s="2" t="n">
        <v>2</v>
      </c>
      <c r="E2666" s="19" t="n">
        <v>0.1</v>
      </c>
    </row>
    <row r="2667">
      <c r="A2667" s="2" t="inlineStr">
        <is>
          <t>IT01056_02</t>
        </is>
      </c>
      <c r="B2667" s="2" t="inlineStr">
        <is>
          <t>PED01056</t>
        </is>
      </c>
      <c r="C2667" s="2" t="inlineStr">
        <is>
          <t>P042</t>
        </is>
      </c>
      <c r="D2667" s="2" t="n">
        <v>3</v>
      </c>
      <c r="E2667" s="19" t="n">
        <v>0</v>
      </c>
    </row>
    <row r="2668">
      <c r="A2668" s="2" t="inlineStr">
        <is>
          <t>IT01056_03</t>
        </is>
      </c>
      <c r="B2668" s="2" t="inlineStr">
        <is>
          <t>PED01056</t>
        </is>
      </c>
      <c r="C2668" s="2" t="inlineStr">
        <is>
          <t>P044</t>
        </is>
      </c>
      <c r="D2668" s="2" t="n">
        <v>1</v>
      </c>
      <c r="E2668" s="19" t="n">
        <v>0</v>
      </c>
    </row>
    <row r="2669">
      <c r="A2669" s="2" t="inlineStr">
        <is>
          <t>IT01057_01</t>
        </is>
      </c>
      <c r="B2669" s="2" t="inlineStr">
        <is>
          <t>PED01057</t>
        </is>
      </c>
      <c r="C2669" s="2" t="inlineStr">
        <is>
          <t>P049</t>
        </is>
      </c>
      <c r="D2669" s="2" t="n">
        <v>1</v>
      </c>
      <c r="E2669" s="19" t="n">
        <v>0</v>
      </c>
    </row>
    <row r="2670">
      <c r="A2670" s="2" t="inlineStr">
        <is>
          <t>IT01057_02</t>
        </is>
      </c>
      <c r="B2670" s="2" t="inlineStr">
        <is>
          <t>PED01057</t>
        </is>
      </c>
      <c r="C2670" s="2" t="inlineStr">
        <is>
          <t>P006</t>
        </is>
      </c>
      <c r="D2670" s="2" t="n">
        <v>1</v>
      </c>
      <c r="E2670" s="19" t="n">
        <v>0.02</v>
      </c>
    </row>
    <row r="2671">
      <c r="A2671" s="2" t="inlineStr">
        <is>
          <t>IT01058_01</t>
        </is>
      </c>
      <c r="B2671" s="2" t="inlineStr">
        <is>
          <t>PED01058</t>
        </is>
      </c>
      <c r="C2671" s="2" t="inlineStr">
        <is>
          <t>P017</t>
        </is>
      </c>
      <c r="D2671" s="2" t="n">
        <v>2</v>
      </c>
      <c r="E2671" s="19" t="n">
        <v>0</v>
      </c>
    </row>
    <row r="2672">
      <c r="A2672" s="2" t="inlineStr">
        <is>
          <t>IT01058_02</t>
        </is>
      </c>
      <c r="B2672" s="2" t="inlineStr">
        <is>
          <t>PED01058</t>
        </is>
      </c>
      <c r="C2672" s="2" t="inlineStr">
        <is>
          <t>P013</t>
        </is>
      </c>
      <c r="D2672" s="2" t="n">
        <v>2</v>
      </c>
      <c r="E2672" s="19" t="n">
        <v>0</v>
      </c>
    </row>
    <row r="2673">
      <c r="A2673" s="2" t="inlineStr">
        <is>
          <t>IT01058_03</t>
        </is>
      </c>
      <c r="B2673" s="2" t="inlineStr">
        <is>
          <t>PED01058</t>
        </is>
      </c>
      <c r="C2673" s="2" t="inlineStr">
        <is>
          <t>P066</t>
        </is>
      </c>
      <c r="D2673" s="2" t="n">
        <v>1</v>
      </c>
      <c r="E2673" s="19" t="n">
        <v>0</v>
      </c>
    </row>
    <row r="2674">
      <c r="A2674" s="2" t="inlineStr">
        <is>
          <t>IT01059_01</t>
        </is>
      </c>
      <c r="B2674" s="2" t="inlineStr">
        <is>
          <t>PED01059</t>
        </is>
      </c>
      <c r="C2674" s="2" t="inlineStr">
        <is>
          <t>P007</t>
        </is>
      </c>
      <c r="D2674" s="2" t="n">
        <v>4</v>
      </c>
      <c r="E2674" s="19" t="n">
        <v>0.1</v>
      </c>
    </row>
    <row r="2675">
      <c r="A2675" s="2" t="inlineStr">
        <is>
          <t>IT01059_02</t>
        </is>
      </c>
      <c r="B2675" s="2" t="inlineStr">
        <is>
          <t>PED01059</t>
        </is>
      </c>
      <c r="C2675" s="2" t="inlineStr">
        <is>
          <t>P038</t>
        </is>
      </c>
      <c r="D2675" s="2" t="n">
        <v>2</v>
      </c>
      <c r="E2675" s="19" t="n">
        <v>0</v>
      </c>
    </row>
    <row r="2676">
      <c r="A2676" s="2" t="inlineStr">
        <is>
          <t>IT01060_01</t>
        </is>
      </c>
      <c r="B2676" s="2" t="inlineStr">
        <is>
          <t>PED01060</t>
        </is>
      </c>
      <c r="C2676" s="2" t="inlineStr">
        <is>
          <t>P021</t>
        </is>
      </c>
      <c r="D2676" s="2" t="n">
        <v>3</v>
      </c>
      <c r="E2676" s="19" t="n">
        <v>0.05</v>
      </c>
    </row>
    <row r="2677">
      <c r="A2677" s="2" t="inlineStr">
        <is>
          <t>IT01060_02</t>
        </is>
      </c>
      <c r="B2677" s="2" t="inlineStr">
        <is>
          <t>PED01060</t>
        </is>
      </c>
      <c r="C2677" s="2" t="inlineStr">
        <is>
          <t>P002</t>
        </is>
      </c>
      <c r="D2677" s="2" t="n">
        <v>1</v>
      </c>
      <c r="E2677" s="19" t="n">
        <v>0.05</v>
      </c>
    </row>
    <row r="2678">
      <c r="A2678" s="2" t="inlineStr">
        <is>
          <t>IT01061_01</t>
        </is>
      </c>
      <c r="B2678" s="2" t="inlineStr">
        <is>
          <t>PED01061</t>
        </is>
      </c>
      <c r="C2678" s="2" t="inlineStr">
        <is>
          <t>P041</t>
        </is>
      </c>
      <c r="D2678" s="2" t="n">
        <v>2</v>
      </c>
      <c r="E2678" s="19" t="n">
        <v>0</v>
      </c>
    </row>
    <row r="2679">
      <c r="A2679" s="2" t="inlineStr">
        <is>
          <t>IT01061_02</t>
        </is>
      </c>
      <c r="B2679" s="2" t="inlineStr">
        <is>
          <t>PED01061</t>
        </is>
      </c>
      <c r="C2679" s="2" t="inlineStr">
        <is>
          <t>P029</t>
        </is>
      </c>
      <c r="D2679" s="2" t="n">
        <v>3</v>
      </c>
      <c r="E2679" s="19" t="n">
        <v>0</v>
      </c>
    </row>
    <row r="2680">
      <c r="A2680" s="2" t="inlineStr">
        <is>
          <t>IT01061_03</t>
        </is>
      </c>
      <c r="B2680" s="2" t="inlineStr">
        <is>
          <t>PED01061</t>
        </is>
      </c>
      <c r="C2680" s="2" t="inlineStr">
        <is>
          <t>P025</t>
        </is>
      </c>
      <c r="D2680" s="2" t="n">
        <v>1</v>
      </c>
      <c r="E2680" s="19" t="n">
        <v>0</v>
      </c>
    </row>
    <row r="2681">
      <c r="A2681" s="2" t="inlineStr">
        <is>
          <t>IT01061_04</t>
        </is>
      </c>
      <c r="B2681" s="2" t="inlineStr">
        <is>
          <t>PED01061</t>
        </is>
      </c>
      <c r="C2681" s="2" t="inlineStr">
        <is>
          <t>P065</t>
        </is>
      </c>
      <c r="D2681" s="2" t="n">
        <v>1</v>
      </c>
      <c r="E2681" s="19" t="n">
        <v>0</v>
      </c>
    </row>
    <row r="2682">
      <c r="A2682" s="2" t="inlineStr">
        <is>
          <t>IT01061_05</t>
        </is>
      </c>
      <c r="B2682" s="2" t="inlineStr">
        <is>
          <t>PED01061</t>
        </is>
      </c>
      <c r="C2682" s="2" t="inlineStr">
        <is>
          <t>P004</t>
        </is>
      </c>
      <c r="D2682" s="2" t="n">
        <v>3</v>
      </c>
      <c r="E2682" s="19" t="n">
        <v>0</v>
      </c>
    </row>
    <row r="2683">
      <c r="A2683" s="2" t="inlineStr">
        <is>
          <t>IT01062_01</t>
        </is>
      </c>
      <c r="B2683" s="2" t="inlineStr">
        <is>
          <t>PED01062</t>
        </is>
      </c>
      <c r="C2683" s="2" t="inlineStr">
        <is>
          <t>P007</t>
        </is>
      </c>
      <c r="D2683" s="2" t="n">
        <v>2</v>
      </c>
      <c r="E2683" s="19" t="n">
        <v>0.02</v>
      </c>
    </row>
    <row r="2684">
      <c r="A2684" s="2" t="inlineStr">
        <is>
          <t>IT01062_02</t>
        </is>
      </c>
      <c r="B2684" s="2" t="inlineStr">
        <is>
          <t>PED01062</t>
        </is>
      </c>
      <c r="C2684" s="2" t="inlineStr">
        <is>
          <t>P002</t>
        </is>
      </c>
      <c r="D2684" s="2" t="n">
        <v>1</v>
      </c>
      <c r="E2684" s="19" t="n">
        <v>0</v>
      </c>
    </row>
    <row r="2685">
      <c r="A2685" s="2" t="inlineStr">
        <is>
          <t>IT01063_01</t>
        </is>
      </c>
      <c r="B2685" s="2" t="inlineStr">
        <is>
          <t>PED01063</t>
        </is>
      </c>
      <c r="C2685" s="2" t="inlineStr">
        <is>
          <t>P062</t>
        </is>
      </c>
      <c r="D2685" s="2" t="n">
        <v>3</v>
      </c>
      <c r="E2685" s="19" t="n">
        <v>0</v>
      </c>
    </row>
    <row r="2686">
      <c r="A2686" s="2" t="inlineStr">
        <is>
          <t>IT01063_02</t>
        </is>
      </c>
      <c r="B2686" s="2" t="inlineStr">
        <is>
          <t>PED01063</t>
        </is>
      </c>
      <c r="C2686" s="2" t="inlineStr">
        <is>
          <t>P061</t>
        </is>
      </c>
      <c r="D2686" s="2" t="n">
        <v>1</v>
      </c>
      <c r="E2686" s="19" t="n">
        <v>0</v>
      </c>
    </row>
    <row r="2687">
      <c r="A2687" s="2" t="inlineStr">
        <is>
          <t>IT01063_03</t>
        </is>
      </c>
      <c r="B2687" s="2" t="inlineStr">
        <is>
          <t>PED01063</t>
        </is>
      </c>
      <c r="C2687" s="2" t="inlineStr">
        <is>
          <t>P040</t>
        </is>
      </c>
      <c r="D2687" s="2" t="n">
        <v>1</v>
      </c>
      <c r="E2687" s="19" t="n">
        <v>0.02</v>
      </c>
    </row>
    <row r="2688">
      <c r="A2688" s="2" t="inlineStr">
        <is>
          <t>IT01063_04</t>
        </is>
      </c>
      <c r="B2688" s="2" t="inlineStr">
        <is>
          <t>PED01063</t>
        </is>
      </c>
      <c r="C2688" s="2" t="inlineStr">
        <is>
          <t>P052</t>
        </is>
      </c>
      <c r="D2688" s="2" t="n">
        <v>1</v>
      </c>
      <c r="E2688" s="19" t="n">
        <v>0</v>
      </c>
    </row>
    <row r="2689">
      <c r="A2689" s="2" t="inlineStr">
        <is>
          <t>IT01063_05</t>
        </is>
      </c>
      <c r="B2689" s="2" t="inlineStr">
        <is>
          <t>PED01063</t>
        </is>
      </c>
      <c r="C2689" s="2" t="inlineStr">
        <is>
          <t>P018</t>
        </is>
      </c>
      <c r="D2689" s="2" t="n">
        <v>5</v>
      </c>
      <c r="E2689" s="19" t="n">
        <v>0</v>
      </c>
    </row>
    <row r="2690">
      <c r="A2690" s="2" t="inlineStr">
        <is>
          <t>IT01064_01</t>
        </is>
      </c>
      <c r="B2690" s="2" t="inlineStr">
        <is>
          <t>PED01064</t>
        </is>
      </c>
      <c r="C2690" s="2" t="inlineStr">
        <is>
          <t>P014</t>
        </is>
      </c>
      <c r="D2690" s="2" t="n">
        <v>2</v>
      </c>
      <c r="E2690" s="19" t="n">
        <v>0.1</v>
      </c>
    </row>
    <row r="2691">
      <c r="A2691" s="2" t="inlineStr">
        <is>
          <t>IT01064_02</t>
        </is>
      </c>
      <c r="B2691" s="2" t="inlineStr">
        <is>
          <t>PED01064</t>
        </is>
      </c>
      <c r="C2691" s="2" t="inlineStr">
        <is>
          <t>P061</t>
        </is>
      </c>
      <c r="D2691" s="2" t="n">
        <v>2</v>
      </c>
      <c r="E2691" s="19" t="n">
        <v>0</v>
      </c>
    </row>
    <row r="2692">
      <c r="A2692" s="2" t="inlineStr">
        <is>
          <t>IT01065_01</t>
        </is>
      </c>
      <c r="B2692" s="2" t="inlineStr">
        <is>
          <t>PED01065</t>
        </is>
      </c>
      <c r="C2692" s="2" t="inlineStr">
        <is>
          <t>P057</t>
        </is>
      </c>
      <c r="D2692" s="2" t="n">
        <v>10</v>
      </c>
      <c r="E2692" s="19" t="n">
        <v>0</v>
      </c>
    </row>
    <row r="2693">
      <c r="A2693" s="2" t="inlineStr">
        <is>
          <t>IT01065_02</t>
        </is>
      </c>
      <c r="B2693" s="2" t="inlineStr">
        <is>
          <t>PED01065</t>
        </is>
      </c>
      <c r="C2693" s="2" t="inlineStr">
        <is>
          <t>P002</t>
        </is>
      </c>
      <c r="D2693" s="2" t="n">
        <v>1</v>
      </c>
      <c r="E2693" s="19" t="n">
        <v>0</v>
      </c>
    </row>
    <row r="2694">
      <c r="A2694" s="2" t="inlineStr">
        <is>
          <t>IT01065_03</t>
        </is>
      </c>
      <c r="B2694" s="2" t="inlineStr">
        <is>
          <t>PED01065</t>
        </is>
      </c>
      <c r="C2694" s="2" t="inlineStr">
        <is>
          <t>P035</t>
        </is>
      </c>
      <c r="D2694" s="2" t="n">
        <v>3</v>
      </c>
      <c r="E2694" s="19" t="n">
        <v>0</v>
      </c>
    </row>
    <row r="2695">
      <c r="A2695" s="2" t="inlineStr">
        <is>
          <t>IT01065_04</t>
        </is>
      </c>
      <c r="B2695" s="2" t="inlineStr">
        <is>
          <t>PED01065</t>
        </is>
      </c>
      <c r="C2695" s="2" t="inlineStr">
        <is>
          <t>P058</t>
        </is>
      </c>
      <c r="D2695" s="2" t="n">
        <v>3</v>
      </c>
      <c r="E2695" s="19" t="n">
        <v>0.05</v>
      </c>
    </row>
    <row r="2696">
      <c r="A2696" s="2" t="inlineStr">
        <is>
          <t>IT01065_05</t>
        </is>
      </c>
      <c r="B2696" s="2" t="inlineStr">
        <is>
          <t>PED01065</t>
        </is>
      </c>
      <c r="C2696" s="2" t="inlineStr">
        <is>
          <t>P018</t>
        </is>
      </c>
      <c r="D2696" s="2" t="n">
        <v>1</v>
      </c>
      <c r="E2696" s="19" t="n">
        <v>0</v>
      </c>
    </row>
    <row r="2697">
      <c r="A2697" s="2" t="inlineStr">
        <is>
          <t>IT01066_01</t>
        </is>
      </c>
      <c r="B2697" s="2" t="inlineStr">
        <is>
          <t>PED01066</t>
        </is>
      </c>
      <c r="C2697" s="2" t="inlineStr">
        <is>
          <t>P069</t>
        </is>
      </c>
      <c r="D2697" s="2" t="n">
        <v>2</v>
      </c>
      <c r="E2697" s="19" t="n">
        <v>0</v>
      </c>
    </row>
    <row r="2698">
      <c r="A2698" s="2" t="inlineStr">
        <is>
          <t>IT01066_02</t>
        </is>
      </c>
      <c r="B2698" s="2" t="inlineStr">
        <is>
          <t>PED01066</t>
        </is>
      </c>
      <c r="C2698" s="2" t="inlineStr">
        <is>
          <t>P007</t>
        </is>
      </c>
      <c r="D2698" s="2" t="n">
        <v>3</v>
      </c>
      <c r="E2698" s="19" t="n">
        <v>0</v>
      </c>
    </row>
    <row r="2699">
      <c r="A2699" s="2" t="inlineStr">
        <is>
          <t>IT01067_01</t>
        </is>
      </c>
      <c r="B2699" s="2" t="inlineStr">
        <is>
          <t>PED01067</t>
        </is>
      </c>
      <c r="C2699" s="2" t="inlineStr">
        <is>
          <t>P065</t>
        </is>
      </c>
      <c r="D2699" s="2" t="n">
        <v>1</v>
      </c>
      <c r="E2699" s="19" t="n">
        <v>0.02</v>
      </c>
    </row>
    <row r="2700">
      <c r="A2700" s="2" t="inlineStr">
        <is>
          <t>IT01067_02</t>
        </is>
      </c>
      <c r="B2700" s="2" t="inlineStr">
        <is>
          <t>PED01067</t>
        </is>
      </c>
      <c r="C2700" s="2" t="inlineStr">
        <is>
          <t>P042</t>
        </is>
      </c>
      <c r="D2700" s="2" t="n">
        <v>5</v>
      </c>
      <c r="E2700" s="19" t="n">
        <v>0</v>
      </c>
    </row>
    <row r="2701">
      <c r="A2701" s="2" t="inlineStr">
        <is>
          <t>IT01067_03</t>
        </is>
      </c>
      <c r="B2701" s="2" t="inlineStr">
        <is>
          <t>PED01067</t>
        </is>
      </c>
      <c r="C2701" s="2" t="inlineStr">
        <is>
          <t>P033</t>
        </is>
      </c>
      <c r="D2701" s="2" t="n">
        <v>2</v>
      </c>
      <c r="E2701" s="19" t="n">
        <v>0</v>
      </c>
    </row>
    <row r="2702">
      <c r="A2702" s="2" t="inlineStr">
        <is>
          <t>IT01068_01</t>
        </is>
      </c>
      <c r="B2702" s="2" t="inlineStr">
        <is>
          <t>PED01068</t>
        </is>
      </c>
      <c r="C2702" s="2" t="inlineStr">
        <is>
          <t>P010</t>
        </is>
      </c>
      <c r="D2702" s="2" t="n">
        <v>1</v>
      </c>
      <c r="E2702" s="19" t="n">
        <v>0.02</v>
      </c>
    </row>
    <row r="2703">
      <c r="A2703" s="2" t="inlineStr">
        <is>
          <t>IT01068_02</t>
        </is>
      </c>
      <c r="B2703" s="2" t="inlineStr">
        <is>
          <t>PED01068</t>
        </is>
      </c>
      <c r="C2703" s="2" t="inlineStr">
        <is>
          <t>P015</t>
        </is>
      </c>
      <c r="D2703" s="2" t="n">
        <v>2</v>
      </c>
      <c r="E2703" s="19" t="n">
        <v>0.02</v>
      </c>
    </row>
    <row r="2704">
      <c r="A2704" s="2" t="inlineStr">
        <is>
          <t>IT01068_03</t>
        </is>
      </c>
      <c r="B2704" s="2" t="inlineStr">
        <is>
          <t>PED01068</t>
        </is>
      </c>
      <c r="C2704" s="2" t="inlineStr">
        <is>
          <t>P018</t>
        </is>
      </c>
      <c r="D2704" s="2" t="n">
        <v>2</v>
      </c>
      <c r="E2704" s="19" t="n">
        <v>0.02</v>
      </c>
    </row>
    <row r="2705">
      <c r="A2705" s="2" t="inlineStr">
        <is>
          <t>IT01068_04</t>
        </is>
      </c>
      <c r="B2705" s="2" t="inlineStr">
        <is>
          <t>PED01068</t>
        </is>
      </c>
      <c r="C2705" s="2" t="inlineStr">
        <is>
          <t>P025</t>
        </is>
      </c>
      <c r="D2705" s="2" t="n">
        <v>5</v>
      </c>
      <c r="E2705" s="19" t="n">
        <v>0.02</v>
      </c>
    </row>
    <row r="2706">
      <c r="A2706" s="2" t="inlineStr">
        <is>
          <t>IT01069_01</t>
        </is>
      </c>
      <c r="B2706" s="2" t="inlineStr">
        <is>
          <t>PED01069</t>
        </is>
      </c>
      <c r="C2706" s="2" t="inlineStr">
        <is>
          <t>P038</t>
        </is>
      </c>
      <c r="D2706" s="2" t="n">
        <v>2</v>
      </c>
      <c r="E2706" s="19" t="n">
        <v>0</v>
      </c>
    </row>
    <row r="2707">
      <c r="A2707" s="2" t="inlineStr">
        <is>
          <t>IT01069_02</t>
        </is>
      </c>
      <c r="B2707" s="2" t="inlineStr">
        <is>
          <t>PED01069</t>
        </is>
      </c>
      <c r="C2707" s="2" t="inlineStr">
        <is>
          <t>P022</t>
        </is>
      </c>
      <c r="D2707" s="2" t="n">
        <v>4</v>
      </c>
      <c r="E2707" s="19" t="n">
        <v>0</v>
      </c>
    </row>
    <row r="2708">
      <c r="A2708" s="2" t="inlineStr">
        <is>
          <t>IT01070_01</t>
        </is>
      </c>
      <c r="B2708" s="2" t="inlineStr">
        <is>
          <t>PED01070</t>
        </is>
      </c>
      <c r="C2708" s="2" t="inlineStr">
        <is>
          <t>P009</t>
        </is>
      </c>
      <c r="D2708" s="2" t="n">
        <v>3</v>
      </c>
      <c r="E2708" s="19" t="n">
        <v>0</v>
      </c>
    </row>
    <row r="2709">
      <c r="A2709" s="2" t="inlineStr">
        <is>
          <t>IT01070_02</t>
        </is>
      </c>
      <c r="B2709" s="2" t="inlineStr">
        <is>
          <t>PED01070</t>
        </is>
      </c>
      <c r="C2709" s="2" t="inlineStr">
        <is>
          <t>P050</t>
        </is>
      </c>
      <c r="D2709" s="2" t="n">
        <v>3</v>
      </c>
      <c r="E2709" s="19" t="n">
        <v>0</v>
      </c>
    </row>
    <row r="2710">
      <c r="A2710" s="2" t="inlineStr">
        <is>
          <t>IT01070_03</t>
        </is>
      </c>
      <c r="B2710" s="2" t="inlineStr">
        <is>
          <t>PED01070</t>
        </is>
      </c>
      <c r="C2710" s="2" t="inlineStr">
        <is>
          <t>P032</t>
        </is>
      </c>
      <c r="D2710" s="2" t="n">
        <v>1</v>
      </c>
      <c r="E2710" s="19" t="n">
        <v>0.1</v>
      </c>
    </row>
    <row r="2711">
      <c r="A2711" s="2" t="inlineStr">
        <is>
          <t>IT01071_01</t>
        </is>
      </c>
      <c r="B2711" s="2" t="inlineStr">
        <is>
          <t>PED01071</t>
        </is>
      </c>
      <c r="C2711" s="2" t="inlineStr">
        <is>
          <t>P040</t>
        </is>
      </c>
      <c r="D2711" s="2" t="n">
        <v>1</v>
      </c>
      <c r="E2711" s="19" t="n">
        <v>0.05</v>
      </c>
    </row>
    <row r="2712">
      <c r="A2712" s="2" t="inlineStr">
        <is>
          <t>IT01071_02</t>
        </is>
      </c>
      <c r="B2712" s="2" t="inlineStr">
        <is>
          <t>PED01071</t>
        </is>
      </c>
      <c r="C2712" s="2" t="inlineStr">
        <is>
          <t>P002</t>
        </is>
      </c>
      <c r="D2712" s="2" t="n">
        <v>3</v>
      </c>
      <c r="E2712" s="19" t="n">
        <v>0</v>
      </c>
    </row>
    <row r="2713">
      <c r="A2713" s="2" t="inlineStr">
        <is>
          <t>IT01072_01</t>
        </is>
      </c>
      <c r="B2713" s="2" t="inlineStr">
        <is>
          <t>PED01072</t>
        </is>
      </c>
      <c r="C2713" s="2" t="inlineStr">
        <is>
          <t>P009</t>
        </is>
      </c>
      <c r="D2713" s="2" t="n">
        <v>1</v>
      </c>
      <c r="E2713" s="19" t="n">
        <v>0</v>
      </c>
    </row>
    <row r="2714">
      <c r="A2714" s="2" t="inlineStr">
        <is>
          <t>IT01072_02</t>
        </is>
      </c>
      <c r="B2714" s="2" t="inlineStr">
        <is>
          <t>PED01072</t>
        </is>
      </c>
      <c r="C2714" s="2" t="inlineStr">
        <is>
          <t>P055</t>
        </is>
      </c>
      <c r="D2714" s="2" t="n">
        <v>1</v>
      </c>
      <c r="E2714" s="19" t="n">
        <v>0.05</v>
      </c>
    </row>
    <row r="2715">
      <c r="A2715" s="2" t="inlineStr">
        <is>
          <t>IT01073_01</t>
        </is>
      </c>
      <c r="B2715" s="2" t="inlineStr">
        <is>
          <t>PED01073</t>
        </is>
      </c>
      <c r="C2715" s="2" t="inlineStr">
        <is>
          <t>P047</t>
        </is>
      </c>
      <c r="D2715" s="2" t="n">
        <v>2</v>
      </c>
      <c r="E2715" s="19" t="n">
        <v>0</v>
      </c>
    </row>
    <row r="2716">
      <c r="A2716" s="2" t="inlineStr">
        <is>
          <t>IT01073_02</t>
        </is>
      </c>
      <c r="B2716" s="2" t="inlineStr">
        <is>
          <t>PED01073</t>
        </is>
      </c>
      <c r="C2716" s="2" t="inlineStr">
        <is>
          <t>P009</t>
        </is>
      </c>
      <c r="D2716" s="2" t="n">
        <v>2</v>
      </c>
      <c r="E2716" s="19" t="n">
        <v>0.02</v>
      </c>
    </row>
    <row r="2717">
      <c r="A2717" s="2" t="inlineStr">
        <is>
          <t>IT01074_01</t>
        </is>
      </c>
      <c r="B2717" s="2" t="inlineStr">
        <is>
          <t>PED01074</t>
        </is>
      </c>
      <c r="C2717" s="2" t="inlineStr">
        <is>
          <t>P065</t>
        </is>
      </c>
      <c r="D2717" s="2" t="n">
        <v>2</v>
      </c>
      <c r="E2717" s="19" t="n">
        <v>0.05</v>
      </c>
    </row>
    <row r="2718">
      <c r="A2718" s="2" t="inlineStr">
        <is>
          <t>IT01074_02</t>
        </is>
      </c>
      <c r="B2718" s="2" t="inlineStr">
        <is>
          <t>PED01074</t>
        </is>
      </c>
      <c r="C2718" s="2" t="inlineStr">
        <is>
          <t>P066</t>
        </is>
      </c>
      <c r="D2718" s="2" t="n">
        <v>3</v>
      </c>
      <c r="E2718" s="19" t="n">
        <v>0.05</v>
      </c>
    </row>
    <row r="2719">
      <c r="A2719" s="2" t="inlineStr">
        <is>
          <t>IT01075_01</t>
        </is>
      </c>
      <c r="B2719" s="2" t="inlineStr">
        <is>
          <t>PED01075</t>
        </is>
      </c>
      <c r="C2719" s="2" t="inlineStr">
        <is>
          <t>P008</t>
        </is>
      </c>
      <c r="D2719" s="2" t="n">
        <v>2</v>
      </c>
      <c r="E2719" s="19" t="n">
        <v>0</v>
      </c>
    </row>
    <row r="2720">
      <c r="A2720" s="2" t="inlineStr">
        <is>
          <t>IT01075_02</t>
        </is>
      </c>
      <c r="B2720" s="2" t="inlineStr">
        <is>
          <t>PED01075</t>
        </is>
      </c>
      <c r="C2720" s="2" t="inlineStr">
        <is>
          <t>P040</t>
        </is>
      </c>
      <c r="D2720" s="2" t="n">
        <v>2</v>
      </c>
      <c r="E2720" s="19" t="n">
        <v>0</v>
      </c>
    </row>
    <row r="2721">
      <c r="A2721" s="2" t="inlineStr">
        <is>
          <t>IT01075_03</t>
        </is>
      </c>
      <c r="B2721" s="2" t="inlineStr">
        <is>
          <t>PED01075</t>
        </is>
      </c>
      <c r="C2721" s="2" t="inlineStr">
        <is>
          <t>P041</t>
        </is>
      </c>
      <c r="D2721" s="2" t="n">
        <v>2</v>
      </c>
      <c r="E2721" s="19" t="n">
        <v>0</v>
      </c>
    </row>
    <row r="2722">
      <c r="A2722" s="2" t="inlineStr">
        <is>
          <t>IT01075_04</t>
        </is>
      </c>
      <c r="B2722" s="2" t="inlineStr">
        <is>
          <t>PED01075</t>
        </is>
      </c>
      <c r="C2722" s="2" t="inlineStr">
        <is>
          <t>P062</t>
        </is>
      </c>
      <c r="D2722" s="2" t="n">
        <v>1</v>
      </c>
      <c r="E2722" s="19" t="n">
        <v>0</v>
      </c>
    </row>
    <row r="2723">
      <c r="A2723" s="2" t="inlineStr">
        <is>
          <t>IT01076_01</t>
        </is>
      </c>
      <c r="B2723" s="2" t="inlineStr">
        <is>
          <t>PED01076</t>
        </is>
      </c>
      <c r="C2723" s="2" t="inlineStr">
        <is>
          <t>P029</t>
        </is>
      </c>
      <c r="D2723" s="2" t="n">
        <v>2</v>
      </c>
      <c r="E2723" s="19" t="n">
        <v>0</v>
      </c>
    </row>
    <row r="2724">
      <c r="A2724" s="2" t="inlineStr">
        <is>
          <t>IT01077_01</t>
        </is>
      </c>
      <c r="B2724" s="2" t="inlineStr">
        <is>
          <t>PED01077</t>
        </is>
      </c>
      <c r="C2724" s="2" t="inlineStr">
        <is>
          <t>P004</t>
        </is>
      </c>
      <c r="D2724" s="2" t="n">
        <v>5</v>
      </c>
      <c r="E2724" s="19" t="n">
        <v>0</v>
      </c>
    </row>
    <row r="2725">
      <c r="A2725" s="2" t="inlineStr">
        <is>
          <t>IT01077_02</t>
        </is>
      </c>
      <c r="B2725" s="2" t="inlineStr">
        <is>
          <t>PED01077</t>
        </is>
      </c>
      <c r="C2725" s="2" t="inlineStr">
        <is>
          <t>P051</t>
        </is>
      </c>
      <c r="D2725" s="2" t="n">
        <v>10</v>
      </c>
      <c r="E2725" s="19" t="n">
        <v>0</v>
      </c>
    </row>
    <row r="2726">
      <c r="A2726" s="2" t="inlineStr">
        <is>
          <t>IT01077_03</t>
        </is>
      </c>
      <c r="B2726" s="2" t="inlineStr">
        <is>
          <t>PED01077</t>
        </is>
      </c>
      <c r="C2726" s="2" t="inlineStr">
        <is>
          <t>P021</t>
        </is>
      </c>
      <c r="D2726" s="2" t="n">
        <v>2</v>
      </c>
      <c r="E2726" s="19" t="n">
        <v>0</v>
      </c>
    </row>
    <row r="2727">
      <c r="A2727" s="2" t="inlineStr">
        <is>
          <t>IT01078_01</t>
        </is>
      </c>
      <c r="B2727" s="2" t="inlineStr">
        <is>
          <t>PED01078</t>
        </is>
      </c>
      <c r="C2727" s="2" t="inlineStr">
        <is>
          <t>P030</t>
        </is>
      </c>
      <c r="D2727" s="2" t="n">
        <v>1</v>
      </c>
      <c r="E2727" s="19" t="n">
        <v>0</v>
      </c>
    </row>
    <row r="2728">
      <c r="A2728" s="2" t="inlineStr">
        <is>
          <t>IT01079_01</t>
        </is>
      </c>
      <c r="B2728" s="2" t="inlineStr">
        <is>
          <t>PED01079</t>
        </is>
      </c>
      <c r="C2728" s="2" t="inlineStr">
        <is>
          <t>P062</t>
        </is>
      </c>
      <c r="D2728" s="2" t="n">
        <v>3</v>
      </c>
      <c r="E2728" s="19" t="n">
        <v>0</v>
      </c>
    </row>
    <row r="2729">
      <c r="A2729" s="2" t="inlineStr">
        <is>
          <t>IT01080_01</t>
        </is>
      </c>
      <c r="B2729" s="2" t="inlineStr">
        <is>
          <t>PED01080</t>
        </is>
      </c>
      <c r="C2729" s="2" t="inlineStr">
        <is>
          <t>P031</t>
        </is>
      </c>
      <c r="D2729" s="2" t="n">
        <v>4</v>
      </c>
      <c r="E2729" s="19" t="n">
        <v>0</v>
      </c>
    </row>
    <row r="2730">
      <c r="A2730" s="2" t="inlineStr">
        <is>
          <t>IT01081_01</t>
        </is>
      </c>
      <c r="B2730" s="2" t="inlineStr">
        <is>
          <t>PED01081</t>
        </is>
      </c>
      <c r="C2730" s="2" t="inlineStr">
        <is>
          <t>P062</t>
        </is>
      </c>
      <c r="D2730" s="2" t="n">
        <v>1</v>
      </c>
      <c r="E2730" s="19" t="n">
        <v>0.02</v>
      </c>
    </row>
    <row r="2731">
      <c r="A2731" s="2" t="inlineStr">
        <is>
          <t>IT01082_01</t>
        </is>
      </c>
      <c r="B2731" s="2" t="inlineStr">
        <is>
          <t>PED01082</t>
        </is>
      </c>
      <c r="C2731" s="2" t="inlineStr">
        <is>
          <t>P013</t>
        </is>
      </c>
      <c r="D2731" s="2" t="n">
        <v>1</v>
      </c>
      <c r="E2731" s="19" t="n">
        <v>0.02</v>
      </c>
    </row>
    <row r="2732">
      <c r="A2732" s="2" t="inlineStr">
        <is>
          <t>IT01082_02</t>
        </is>
      </c>
      <c r="B2732" s="2" t="inlineStr">
        <is>
          <t>PED01082</t>
        </is>
      </c>
      <c r="C2732" s="2" t="inlineStr">
        <is>
          <t>P005</t>
        </is>
      </c>
      <c r="D2732" s="2" t="n">
        <v>1</v>
      </c>
      <c r="E2732" s="19" t="n">
        <v>0.05</v>
      </c>
    </row>
    <row r="2733">
      <c r="A2733" s="2" t="inlineStr">
        <is>
          <t>IT01082_03</t>
        </is>
      </c>
      <c r="B2733" s="2" t="inlineStr">
        <is>
          <t>PED01082</t>
        </is>
      </c>
      <c r="C2733" s="2" t="inlineStr">
        <is>
          <t>P001</t>
        </is>
      </c>
      <c r="D2733" s="2" t="n">
        <v>1</v>
      </c>
      <c r="E2733" s="19" t="n">
        <v>0</v>
      </c>
    </row>
    <row r="2734">
      <c r="A2734" s="2" t="inlineStr">
        <is>
          <t>IT01083_01</t>
        </is>
      </c>
      <c r="B2734" s="2" t="inlineStr">
        <is>
          <t>PED01083</t>
        </is>
      </c>
      <c r="C2734" s="2" t="inlineStr">
        <is>
          <t>P003</t>
        </is>
      </c>
      <c r="D2734" s="2" t="n">
        <v>4</v>
      </c>
      <c r="E2734" s="19" t="n">
        <v>0</v>
      </c>
    </row>
    <row r="2735">
      <c r="A2735" s="2" t="inlineStr">
        <is>
          <t>IT01084_01</t>
        </is>
      </c>
      <c r="B2735" s="2" t="inlineStr">
        <is>
          <t>PED01084</t>
        </is>
      </c>
      <c r="C2735" s="2" t="inlineStr">
        <is>
          <t>P048</t>
        </is>
      </c>
      <c r="D2735" s="2" t="n">
        <v>3</v>
      </c>
      <c r="E2735" s="19" t="n">
        <v>0.02</v>
      </c>
    </row>
    <row r="2736">
      <c r="A2736" s="2" t="inlineStr">
        <is>
          <t>IT01084_02</t>
        </is>
      </c>
      <c r="B2736" s="2" t="inlineStr">
        <is>
          <t>PED01084</t>
        </is>
      </c>
      <c r="C2736" s="2" t="inlineStr">
        <is>
          <t>P039</t>
        </is>
      </c>
      <c r="D2736" s="2" t="n">
        <v>4</v>
      </c>
      <c r="E2736" s="19" t="n">
        <v>0.05</v>
      </c>
    </row>
    <row r="2737">
      <c r="A2737" s="2" t="inlineStr">
        <is>
          <t>IT01084_03</t>
        </is>
      </c>
      <c r="B2737" s="2" t="inlineStr">
        <is>
          <t>PED01084</t>
        </is>
      </c>
      <c r="C2737" s="2" t="inlineStr">
        <is>
          <t>P012</t>
        </is>
      </c>
      <c r="D2737" s="2" t="n">
        <v>10</v>
      </c>
      <c r="E2737" s="19" t="n">
        <v>0</v>
      </c>
    </row>
    <row r="2738">
      <c r="A2738" s="2" t="inlineStr">
        <is>
          <t>IT01085_01</t>
        </is>
      </c>
      <c r="B2738" s="2" t="inlineStr">
        <is>
          <t>PED01085</t>
        </is>
      </c>
      <c r="C2738" s="2" t="inlineStr">
        <is>
          <t>P061</t>
        </is>
      </c>
      <c r="D2738" s="2" t="n">
        <v>2</v>
      </c>
      <c r="E2738" s="19" t="n">
        <v>0</v>
      </c>
    </row>
    <row r="2739">
      <c r="A2739" s="2" t="inlineStr">
        <is>
          <t>IT01085_02</t>
        </is>
      </c>
      <c r="B2739" s="2" t="inlineStr">
        <is>
          <t>PED01085</t>
        </is>
      </c>
      <c r="C2739" s="2" t="inlineStr">
        <is>
          <t>P006</t>
        </is>
      </c>
      <c r="D2739" s="2" t="n">
        <v>2</v>
      </c>
      <c r="E2739" s="19" t="n">
        <v>0</v>
      </c>
    </row>
    <row r="2740">
      <c r="A2740" s="2" t="inlineStr">
        <is>
          <t>IT01085_03</t>
        </is>
      </c>
      <c r="B2740" s="2" t="inlineStr">
        <is>
          <t>PED01085</t>
        </is>
      </c>
      <c r="C2740" s="2" t="inlineStr">
        <is>
          <t>P067</t>
        </is>
      </c>
      <c r="D2740" s="2" t="n">
        <v>1</v>
      </c>
      <c r="E2740" s="19" t="n">
        <v>0</v>
      </c>
    </row>
    <row r="2741">
      <c r="A2741" s="2" t="inlineStr">
        <is>
          <t>IT01086_01</t>
        </is>
      </c>
      <c r="B2741" s="2" t="inlineStr">
        <is>
          <t>PED01086</t>
        </is>
      </c>
      <c r="C2741" s="2" t="inlineStr">
        <is>
          <t>P059</t>
        </is>
      </c>
      <c r="D2741" s="2" t="n">
        <v>3</v>
      </c>
      <c r="E2741" s="19" t="n">
        <v>0</v>
      </c>
    </row>
    <row r="2742">
      <c r="A2742" s="2" t="inlineStr">
        <is>
          <t>IT01087_01</t>
        </is>
      </c>
      <c r="B2742" s="2" t="inlineStr">
        <is>
          <t>PED01087</t>
        </is>
      </c>
      <c r="C2742" s="2" t="inlineStr">
        <is>
          <t>P010</t>
        </is>
      </c>
      <c r="D2742" s="2" t="n">
        <v>1</v>
      </c>
      <c r="E2742" s="19" t="n">
        <v>0.05</v>
      </c>
    </row>
    <row r="2743">
      <c r="A2743" s="2" t="inlineStr">
        <is>
          <t>IT01087_02</t>
        </is>
      </c>
      <c r="B2743" s="2" t="inlineStr">
        <is>
          <t>PED01087</t>
        </is>
      </c>
      <c r="C2743" s="2" t="inlineStr">
        <is>
          <t>P047</t>
        </is>
      </c>
      <c r="D2743" s="2" t="n">
        <v>2</v>
      </c>
      <c r="E2743" s="19" t="n">
        <v>0</v>
      </c>
    </row>
    <row r="2744">
      <c r="A2744" s="2" t="inlineStr">
        <is>
          <t>IT01088_01</t>
        </is>
      </c>
      <c r="B2744" s="2" t="inlineStr">
        <is>
          <t>PED01088</t>
        </is>
      </c>
      <c r="C2744" s="2" t="inlineStr">
        <is>
          <t>P012</t>
        </is>
      </c>
      <c r="D2744" s="2" t="n">
        <v>1</v>
      </c>
      <c r="E2744" s="19" t="n">
        <v>0.05</v>
      </c>
    </row>
    <row r="2745">
      <c r="A2745" s="2" t="inlineStr">
        <is>
          <t>IT01089_01</t>
        </is>
      </c>
      <c r="B2745" s="2" t="inlineStr">
        <is>
          <t>PED01089</t>
        </is>
      </c>
      <c r="C2745" s="2" t="inlineStr">
        <is>
          <t>P048</t>
        </is>
      </c>
      <c r="D2745" s="2" t="n">
        <v>1</v>
      </c>
      <c r="E2745" s="19" t="n">
        <v>0</v>
      </c>
    </row>
    <row r="2746">
      <c r="A2746" s="2" t="inlineStr">
        <is>
          <t>IT01089_02</t>
        </is>
      </c>
      <c r="B2746" s="2" t="inlineStr">
        <is>
          <t>PED01089</t>
        </is>
      </c>
      <c r="C2746" s="2" t="inlineStr">
        <is>
          <t>P018</t>
        </is>
      </c>
      <c r="D2746" s="2" t="n">
        <v>5</v>
      </c>
      <c r="E2746" s="19" t="n">
        <v>0</v>
      </c>
    </row>
    <row r="2747">
      <c r="A2747" s="2" t="inlineStr">
        <is>
          <t>IT01089_03</t>
        </is>
      </c>
      <c r="B2747" s="2" t="inlineStr">
        <is>
          <t>PED01089</t>
        </is>
      </c>
      <c r="C2747" s="2" t="inlineStr">
        <is>
          <t>P010</t>
        </is>
      </c>
      <c r="D2747" s="2" t="n">
        <v>2</v>
      </c>
      <c r="E2747" s="19" t="n">
        <v>0</v>
      </c>
    </row>
    <row r="2748">
      <c r="A2748" s="2" t="inlineStr">
        <is>
          <t>IT01089_04</t>
        </is>
      </c>
      <c r="B2748" s="2" t="inlineStr">
        <is>
          <t>PED01089</t>
        </is>
      </c>
      <c r="C2748" s="2" t="inlineStr">
        <is>
          <t>P060</t>
        </is>
      </c>
      <c r="D2748" s="2" t="n">
        <v>1</v>
      </c>
      <c r="E2748" s="19" t="n">
        <v>0.02</v>
      </c>
    </row>
    <row r="2749">
      <c r="A2749" s="2" t="inlineStr">
        <is>
          <t>IT01090_01</t>
        </is>
      </c>
      <c r="B2749" s="2" t="inlineStr">
        <is>
          <t>PED01090</t>
        </is>
      </c>
      <c r="C2749" s="2" t="inlineStr">
        <is>
          <t>P019</t>
        </is>
      </c>
      <c r="D2749" s="2" t="n">
        <v>2</v>
      </c>
      <c r="E2749" s="19" t="n">
        <v>0</v>
      </c>
    </row>
    <row r="2750">
      <c r="A2750" s="2" t="inlineStr">
        <is>
          <t>IT01090_02</t>
        </is>
      </c>
      <c r="B2750" s="2" t="inlineStr">
        <is>
          <t>PED01090</t>
        </is>
      </c>
      <c r="C2750" s="2" t="inlineStr">
        <is>
          <t>P036</t>
        </is>
      </c>
      <c r="D2750" s="2" t="n">
        <v>5</v>
      </c>
      <c r="E2750" s="19" t="n">
        <v>0</v>
      </c>
    </row>
    <row r="2751">
      <c r="A2751" s="2" t="inlineStr">
        <is>
          <t>IT01090_03</t>
        </is>
      </c>
      <c r="B2751" s="2" t="inlineStr">
        <is>
          <t>PED01090</t>
        </is>
      </c>
      <c r="C2751" s="2" t="inlineStr">
        <is>
          <t>P012</t>
        </is>
      </c>
      <c r="D2751" s="2" t="n">
        <v>1</v>
      </c>
      <c r="E2751" s="19" t="n">
        <v>0</v>
      </c>
    </row>
    <row r="2752">
      <c r="A2752" s="2" t="inlineStr">
        <is>
          <t>IT01091_01</t>
        </is>
      </c>
      <c r="B2752" s="2" t="inlineStr">
        <is>
          <t>PED01091</t>
        </is>
      </c>
      <c r="C2752" s="2" t="inlineStr">
        <is>
          <t>P034</t>
        </is>
      </c>
      <c r="D2752" s="2" t="n">
        <v>1</v>
      </c>
      <c r="E2752" s="19" t="n">
        <v>0</v>
      </c>
    </row>
    <row r="2753">
      <c r="A2753" s="2" t="inlineStr">
        <is>
          <t>IT01091_02</t>
        </is>
      </c>
      <c r="B2753" s="2" t="inlineStr">
        <is>
          <t>PED01091</t>
        </is>
      </c>
      <c r="C2753" s="2" t="inlineStr">
        <is>
          <t>P047</t>
        </is>
      </c>
      <c r="D2753" s="2" t="n">
        <v>2</v>
      </c>
      <c r="E2753" s="19" t="n">
        <v>0</v>
      </c>
    </row>
    <row r="2754">
      <c r="A2754" s="2" t="inlineStr">
        <is>
          <t>IT01091_03</t>
        </is>
      </c>
      <c r="B2754" s="2" t="inlineStr">
        <is>
          <t>PED01091</t>
        </is>
      </c>
      <c r="C2754" s="2" t="inlineStr">
        <is>
          <t>P035</t>
        </is>
      </c>
      <c r="D2754" s="2" t="n">
        <v>3</v>
      </c>
      <c r="E2754" s="19" t="n">
        <v>0</v>
      </c>
    </row>
    <row r="2755">
      <c r="A2755" s="2" t="inlineStr">
        <is>
          <t>IT01091_04</t>
        </is>
      </c>
      <c r="B2755" s="2" t="inlineStr">
        <is>
          <t>PED01091</t>
        </is>
      </c>
      <c r="C2755" s="2" t="inlineStr">
        <is>
          <t>P017</t>
        </is>
      </c>
      <c r="D2755" s="2" t="n">
        <v>2</v>
      </c>
      <c r="E2755" s="19" t="n">
        <v>0</v>
      </c>
    </row>
    <row r="2756">
      <c r="A2756" s="2" t="inlineStr">
        <is>
          <t>IT01092_01</t>
        </is>
      </c>
      <c r="B2756" s="2" t="inlineStr">
        <is>
          <t>PED01092</t>
        </is>
      </c>
      <c r="C2756" s="2" t="inlineStr">
        <is>
          <t>P003</t>
        </is>
      </c>
      <c r="D2756" s="2" t="n">
        <v>5</v>
      </c>
      <c r="E2756" s="19" t="n">
        <v>0</v>
      </c>
    </row>
    <row r="2757">
      <c r="A2757" s="2" t="inlineStr">
        <is>
          <t>IT01093_01</t>
        </is>
      </c>
      <c r="B2757" s="2" t="inlineStr">
        <is>
          <t>PED01093</t>
        </is>
      </c>
      <c r="C2757" s="2" t="inlineStr">
        <is>
          <t>P059</t>
        </is>
      </c>
      <c r="D2757" s="2" t="n">
        <v>3</v>
      </c>
      <c r="E2757" s="19" t="n">
        <v>0</v>
      </c>
    </row>
    <row r="2758">
      <c r="A2758" s="2" t="inlineStr">
        <is>
          <t>IT01093_02</t>
        </is>
      </c>
      <c r="B2758" s="2" t="inlineStr">
        <is>
          <t>PED01093</t>
        </is>
      </c>
      <c r="C2758" s="2" t="inlineStr">
        <is>
          <t>P022</t>
        </is>
      </c>
      <c r="D2758" s="2" t="n">
        <v>1</v>
      </c>
      <c r="E2758" s="19" t="n">
        <v>0</v>
      </c>
    </row>
    <row r="2759">
      <c r="A2759" s="2" t="inlineStr">
        <is>
          <t>IT01093_03</t>
        </is>
      </c>
      <c r="B2759" s="2" t="inlineStr">
        <is>
          <t>PED01093</t>
        </is>
      </c>
      <c r="C2759" s="2" t="inlineStr">
        <is>
          <t>P028</t>
        </is>
      </c>
      <c r="D2759" s="2" t="n">
        <v>2</v>
      </c>
      <c r="E2759" s="19" t="n">
        <v>0</v>
      </c>
    </row>
    <row r="2760">
      <c r="A2760" s="2" t="inlineStr">
        <is>
          <t>IT01093_04</t>
        </is>
      </c>
      <c r="B2760" s="2" t="inlineStr">
        <is>
          <t>PED01093</t>
        </is>
      </c>
      <c r="C2760" s="2" t="inlineStr">
        <is>
          <t>P018</t>
        </is>
      </c>
      <c r="D2760" s="2" t="n">
        <v>3</v>
      </c>
      <c r="E2760" s="19" t="n">
        <v>0.02</v>
      </c>
    </row>
    <row r="2761">
      <c r="A2761" s="2" t="inlineStr">
        <is>
          <t>IT01093_05</t>
        </is>
      </c>
      <c r="B2761" s="2" t="inlineStr">
        <is>
          <t>PED01093</t>
        </is>
      </c>
      <c r="C2761" s="2" t="inlineStr">
        <is>
          <t>P036</t>
        </is>
      </c>
      <c r="D2761" s="2" t="n">
        <v>1</v>
      </c>
      <c r="E2761" s="19" t="n">
        <v>0</v>
      </c>
    </row>
    <row r="2762">
      <c r="A2762" s="2" t="inlineStr">
        <is>
          <t>IT01094_01</t>
        </is>
      </c>
      <c r="B2762" s="2" t="inlineStr">
        <is>
          <t>PED01094</t>
        </is>
      </c>
      <c r="C2762" s="2" t="inlineStr">
        <is>
          <t>P054</t>
        </is>
      </c>
      <c r="D2762" s="2" t="n">
        <v>1</v>
      </c>
      <c r="E2762" s="19" t="n">
        <v>0.05</v>
      </c>
    </row>
    <row r="2763">
      <c r="A2763" s="2" t="inlineStr">
        <is>
          <t>IT01095_01</t>
        </is>
      </c>
      <c r="B2763" s="2" t="inlineStr">
        <is>
          <t>PED01095</t>
        </is>
      </c>
      <c r="C2763" s="2" t="inlineStr">
        <is>
          <t>P008</t>
        </is>
      </c>
      <c r="D2763" s="2" t="n">
        <v>2</v>
      </c>
      <c r="E2763" s="19" t="n">
        <v>0.1</v>
      </c>
    </row>
    <row r="2764">
      <c r="A2764" s="2" t="inlineStr">
        <is>
          <t>IT01095_02</t>
        </is>
      </c>
      <c r="B2764" s="2" t="inlineStr">
        <is>
          <t>PED01095</t>
        </is>
      </c>
      <c r="C2764" s="2" t="inlineStr">
        <is>
          <t>P012</t>
        </is>
      </c>
      <c r="D2764" s="2" t="n">
        <v>2</v>
      </c>
      <c r="E2764" s="19" t="n">
        <v>0.05</v>
      </c>
    </row>
    <row r="2765">
      <c r="A2765" s="2" t="inlineStr">
        <is>
          <t>IT01095_03</t>
        </is>
      </c>
      <c r="B2765" s="2" t="inlineStr">
        <is>
          <t>PED01095</t>
        </is>
      </c>
      <c r="C2765" s="2" t="inlineStr">
        <is>
          <t>P015</t>
        </is>
      </c>
      <c r="D2765" s="2" t="n">
        <v>4</v>
      </c>
      <c r="E2765" s="19" t="n">
        <v>0</v>
      </c>
    </row>
    <row r="2766">
      <c r="A2766" s="2" t="inlineStr">
        <is>
          <t>IT01096_01</t>
        </is>
      </c>
      <c r="B2766" s="2" t="inlineStr">
        <is>
          <t>PED01096</t>
        </is>
      </c>
      <c r="C2766" s="2" t="inlineStr">
        <is>
          <t>P030</t>
        </is>
      </c>
      <c r="D2766" s="2" t="n">
        <v>3</v>
      </c>
      <c r="E2766" s="19" t="n">
        <v>0</v>
      </c>
    </row>
    <row r="2767">
      <c r="A2767" s="2" t="inlineStr">
        <is>
          <t>IT01096_02</t>
        </is>
      </c>
      <c r="B2767" s="2" t="inlineStr">
        <is>
          <t>PED01096</t>
        </is>
      </c>
      <c r="C2767" s="2" t="inlineStr">
        <is>
          <t>P057</t>
        </is>
      </c>
      <c r="D2767" s="2" t="n">
        <v>1</v>
      </c>
      <c r="E2767" s="19" t="n">
        <v>0</v>
      </c>
    </row>
    <row r="2768">
      <c r="A2768" s="2" t="inlineStr">
        <is>
          <t>IT01096_03</t>
        </is>
      </c>
      <c r="B2768" s="2" t="inlineStr">
        <is>
          <t>PED01096</t>
        </is>
      </c>
      <c r="C2768" s="2" t="inlineStr">
        <is>
          <t>P007</t>
        </is>
      </c>
      <c r="D2768" s="2" t="n">
        <v>3</v>
      </c>
      <c r="E2768" s="19" t="n">
        <v>0</v>
      </c>
    </row>
    <row r="2769">
      <c r="A2769" s="2" t="inlineStr">
        <is>
          <t>IT01097_01</t>
        </is>
      </c>
      <c r="B2769" s="2" t="inlineStr">
        <is>
          <t>PED01097</t>
        </is>
      </c>
      <c r="C2769" s="2" t="inlineStr">
        <is>
          <t>P012</t>
        </is>
      </c>
      <c r="D2769" s="2" t="n">
        <v>1</v>
      </c>
      <c r="E2769" s="19" t="n">
        <v>0</v>
      </c>
    </row>
    <row r="2770">
      <c r="A2770" s="2" t="inlineStr">
        <is>
          <t>IT01097_02</t>
        </is>
      </c>
      <c r="B2770" s="2" t="inlineStr">
        <is>
          <t>PED01097</t>
        </is>
      </c>
      <c r="C2770" s="2" t="inlineStr">
        <is>
          <t>P065</t>
        </is>
      </c>
      <c r="D2770" s="2" t="n">
        <v>3</v>
      </c>
      <c r="E2770" s="19" t="n">
        <v>0</v>
      </c>
    </row>
    <row r="2771">
      <c r="A2771" s="2" t="inlineStr">
        <is>
          <t>IT01097_03</t>
        </is>
      </c>
      <c r="B2771" s="2" t="inlineStr">
        <is>
          <t>PED01097</t>
        </is>
      </c>
      <c r="C2771" s="2" t="inlineStr">
        <is>
          <t>P040</t>
        </is>
      </c>
      <c r="D2771" s="2" t="n">
        <v>1</v>
      </c>
      <c r="E2771" s="19" t="n">
        <v>0</v>
      </c>
    </row>
    <row r="2772">
      <c r="A2772" s="2" t="inlineStr">
        <is>
          <t>IT01097_04</t>
        </is>
      </c>
      <c r="B2772" s="2" t="inlineStr">
        <is>
          <t>PED01097</t>
        </is>
      </c>
      <c r="C2772" s="2" t="inlineStr">
        <is>
          <t>P042</t>
        </is>
      </c>
      <c r="D2772" s="2" t="n">
        <v>1</v>
      </c>
      <c r="E2772" s="19" t="n">
        <v>0.05</v>
      </c>
    </row>
    <row r="2773">
      <c r="A2773" s="2" t="inlineStr">
        <is>
          <t>IT01097_05</t>
        </is>
      </c>
      <c r="B2773" s="2" t="inlineStr">
        <is>
          <t>PED01097</t>
        </is>
      </c>
      <c r="C2773" s="2" t="inlineStr">
        <is>
          <t>P038</t>
        </is>
      </c>
      <c r="D2773" s="2" t="n">
        <v>1</v>
      </c>
      <c r="E2773" s="19" t="n">
        <v>0</v>
      </c>
    </row>
    <row r="2774">
      <c r="A2774" s="2" t="inlineStr">
        <is>
          <t>IT01098_01</t>
        </is>
      </c>
      <c r="B2774" s="2" t="inlineStr">
        <is>
          <t>PED01098</t>
        </is>
      </c>
      <c r="C2774" s="2" t="inlineStr">
        <is>
          <t>P066</t>
        </is>
      </c>
      <c r="D2774" s="2" t="n">
        <v>3</v>
      </c>
      <c r="E2774" s="19" t="n">
        <v>0.05</v>
      </c>
    </row>
    <row r="2775">
      <c r="A2775" s="2" t="inlineStr">
        <is>
          <t>IT01098_02</t>
        </is>
      </c>
      <c r="B2775" s="2" t="inlineStr">
        <is>
          <t>PED01098</t>
        </is>
      </c>
      <c r="C2775" s="2" t="inlineStr">
        <is>
          <t>P019</t>
        </is>
      </c>
      <c r="D2775" s="2" t="n">
        <v>1</v>
      </c>
      <c r="E2775" s="19" t="n">
        <v>0.05</v>
      </c>
    </row>
    <row r="2776">
      <c r="A2776" s="2" t="inlineStr">
        <is>
          <t>IT01098_03</t>
        </is>
      </c>
      <c r="B2776" s="2" t="inlineStr">
        <is>
          <t>PED01098</t>
        </is>
      </c>
      <c r="C2776" s="2" t="inlineStr">
        <is>
          <t>P061</t>
        </is>
      </c>
      <c r="D2776" s="2" t="n">
        <v>3</v>
      </c>
      <c r="E2776" s="19" t="n">
        <v>0</v>
      </c>
    </row>
    <row r="2777">
      <c r="A2777" s="2" t="inlineStr">
        <is>
          <t>IT01098_04</t>
        </is>
      </c>
      <c r="B2777" s="2" t="inlineStr">
        <is>
          <t>PED01098</t>
        </is>
      </c>
      <c r="C2777" s="2" t="inlineStr">
        <is>
          <t>P026</t>
        </is>
      </c>
      <c r="D2777" s="2" t="n">
        <v>1</v>
      </c>
      <c r="E2777" s="19" t="n">
        <v>0</v>
      </c>
    </row>
    <row r="2778">
      <c r="A2778" s="2" t="inlineStr">
        <is>
          <t>IT01099_01</t>
        </is>
      </c>
      <c r="B2778" s="2" t="inlineStr">
        <is>
          <t>PED01099</t>
        </is>
      </c>
      <c r="C2778" s="2" t="inlineStr">
        <is>
          <t>P047</t>
        </is>
      </c>
      <c r="D2778" s="2" t="n">
        <v>1</v>
      </c>
      <c r="E2778" s="19" t="n">
        <v>0.02</v>
      </c>
    </row>
    <row r="2779">
      <c r="A2779" s="2" t="inlineStr">
        <is>
          <t>IT01099_02</t>
        </is>
      </c>
      <c r="B2779" s="2" t="inlineStr">
        <is>
          <t>PED01099</t>
        </is>
      </c>
      <c r="C2779" s="2" t="inlineStr">
        <is>
          <t>P057</t>
        </is>
      </c>
      <c r="D2779" s="2" t="n">
        <v>3</v>
      </c>
      <c r="E2779" s="19" t="n">
        <v>0</v>
      </c>
    </row>
    <row r="2780">
      <c r="A2780" s="2" t="inlineStr">
        <is>
          <t>IT01100_01</t>
        </is>
      </c>
      <c r="B2780" s="2" t="inlineStr">
        <is>
          <t>PED01100</t>
        </is>
      </c>
      <c r="C2780" s="2" t="inlineStr">
        <is>
          <t>P055</t>
        </is>
      </c>
      <c r="D2780" s="2" t="n">
        <v>2</v>
      </c>
      <c r="E2780" s="19" t="n">
        <v>0</v>
      </c>
    </row>
    <row r="2781">
      <c r="A2781" s="2" t="inlineStr">
        <is>
          <t>IT01101_01</t>
        </is>
      </c>
      <c r="B2781" s="2" t="inlineStr">
        <is>
          <t>PED01101</t>
        </is>
      </c>
      <c r="C2781" s="2" t="inlineStr">
        <is>
          <t>P041</t>
        </is>
      </c>
      <c r="D2781" s="2" t="n">
        <v>4</v>
      </c>
      <c r="E2781" s="19" t="n">
        <v>0</v>
      </c>
    </row>
    <row r="2782">
      <c r="A2782" s="2" t="inlineStr">
        <is>
          <t>IT01101_02</t>
        </is>
      </c>
      <c r="B2782" s="2" t="inlineStr">
        <is>
          <t>PED01101</t>
        </is>
      </c>
      <c r="C2782" s="2" t="inlineStr">
        <is>
          <t>P030</t>
        </is>
      </c>
      <c r="D2782" s="2" t="n">
        <v>1</v>
      </c>
      <c r="E2782" s="19" t="n">
        <v>0</v>
      </c>
    </row>
    <row r="2783">
      <c r="A2783" s="2" t="inlineStr">
        <is>
          <t>IT01101_03</t>
        </is>
      </c>
      <c r="B2783" s="2" t="inlineStr">
        <is>
          <t>PED01101</t>
        </is>
      </c>
      <c r="C2783" s="2" t="inlineStr">
        <is>
          <t>P049</t>
        </is>
      </c>
      <c r="D2783" s="2" t="n">
        <v>3</v>
      </c>
      <c r="E2783" s="19" t="n">
        <v>0.05</v>
      </c>
    </row>
    <row r="2784">
      <c r="A2784" s="2" t="inlineStr">
        <is>
          <t>IT01101_04</t>
        </is>
      </c>
      <c r="B2784" s="2" t="inlineStr">
        <is>
          <t>PED01101</t>
        </is>
      </c>
      <c r="C2784" s="2" t="inlineStr">
        <is>
          <t>P039</t>
        </is>
      </c>
      <c r="D2784" s="2" t="n">
        <v>3</v>
      </c>
      <c r="E2784" s="19" t="n">
        <v>0</v>
      </c>
    </row>
    <row r="2785">
      <c r="A2785" s="2" t="inlineStr">
        <is>
          <t>IT01101_05</t>
        </is>
      </c>
      <c r="B2785" s="2" t="inlineStr">
        <is>
          <t>PED01101</t>
        </is>
      </c>
      <c r="C2785" s="2" t="inlineStr">
        <is>
          <t>P052</t>
        </is>
      </c>
      <c r="D2785" s="2" t="n">
        <v>2</v>
      </c>
      <c r="E2785" s="19" t="n">
        <v>0</v>
      </c>
    </row>
    <row r="2786">
      <c r="A2786" s="2" t="inlineStr">
        <is>
          <t>IT01102_01</t>
        </is>
      </c>
      <c r="B2786" s="2" t="inlineStr">
        <is>
          <t>PED01102</t>
        </is>
      </c>
      <c r="C2786" s="2" t="inlineStr">
        <is>
          <t>P005</t>
        </is>
      </c>
      <c r="D2786" s="2" t="n">
        <v>2</v>
      </c>
      <c r="E2786" s="19" t="n">
        <v>0</v>
      </c>
    </row>
    <row r="2787">
      <c r="A2787" s="2" t="inlineStr">
        <is>
          <t>IT01103_01</t>
        </is>
      </c>
      <c r="B2787" s="2" t="inlineStr">
        <is>
          <t>PED01103</t>
        </is>
      </c>
      <c r="C2787" s="2" t="inlineStr">
        <is>
          <t>P014</t>
        </is>
      </c>
      <c r="D2787" s="2" t="n">
        <v>5</v>
      </c>
      <c r="E2787" s="19" t="n">
        <v>0.1</v>
      </c>
    </row>
    <row r="2788">
      <c r="A2788" s="2" t="inlineStr">
        <is>
          <t>IT01103_02</t>
        </is>
      </c>
      <c r="B2788" s="2" t="inlineStr">
        <is>
          <t>PED01103</t>
        </is>
      </c>
      <c r="C2788" s="2" t="inlineStr">
        <is>
          <t>P030</t>
        </is>
      </c>
      <c r="D2788" s="2" t="n">
        <v>2</v>
      </c>
      <c r="E2788" s="19" t="n">
        <v>0</v>
      </c>
    </row>
    <row r="2789">
      <c r="A2789" s="2" t="inlineStr">
        <is>
          <t>IT01103_03</t>
        </is>
      </c>
      <c r="B2789" s="2" t="inlineStr">
        <is>
          <t>PED01103</t>
        </is>
      </c>
      <c r="C2789" s="2" t="inlineStr">
        <is>
          <t>P013</t>
        </is>
      </c>
      <c r="D2789" s="2" t="n">
        <v>1</v>
      </c>
      <c r="E2789" s="19" t="n">
        <v>0</v>
      </c>
    </row>
    <row r="2790">
      <c r="A2790" s="2" t="inlineStr">
        <is>
          <t>IT01104_01</t>
        </is>
      </c>
      <c r="B2790" s="2" t="inlineStr">
        <is>
          <t>PED01104</t>
        </is>
      </c>
      <c r="C2790" s="2" t="inlineStr">
        <is>
          <t>P007</t>
        </is>
      </c>
      <c r="D2790" s="2" t="n">
        <v>2</v>
      </c>
      <c r="E2790" s="19" t="n">
        <v>0</v>
      </c>
    </row>
    <row r="2791">
      <c r="A2791" s="2" t="inlineStr">
        <is>
          <t>IT01104_02</t>
        </is>
      </c>
      <c r="B2791" s="2" t="inlineStr">
        <is>
          <t>PED01104</t>
        </is>
      </c>
      <c r="C2791" s="2" t="inlineStr">
        <is>
          <t>P023</t>
        </is>
      </c>
      <c r="D2791" s="2" t="n">
        <v>2</v>
      </c>
      <c r="E2791" s="19" t="n">
        <v>0.05</v>
      </c>
    </row>
    <row r="2792">
      <c r="A2792" s="2" t="inlineStr">
        <is>
          <t>IT01104_03</t>
        </is>
      </c>
      <c r="B2792" s="2" t="inlineStr">
        <is>
          <t>PED01104</t>
        </is>
      </c>
      <c r="C2792" s="2" t="inlineStr">
        <is>
          <t>P022</t>
        </is>
      </c>
      <c r="D2792" s="2" t="n">
        <v>1</v>
      </c>
      <c r="E2792" s="19" t="n">
        <v>0.05</v>
      </c>
    </row>
    <row r="2793">
      <c r="A2793" s="2" t="inlineStr">
        <is>
          <t>IT01105_01</t>
        </is>
      </c>
      <c r="B2793" s="2" t="inlineStr">
        <is>
          <t>PED01105</t>
        </is>
      </c>
      <c r="C2793" s="2" t="inlineStr">
        <is>
          <t>P041</t>
        </is>
      </c>
      <c r="D2793" s="2" t="n">
        <v>3</v>
      </c>
      <c r="E2793" s="19" t="n">
        <v>0.05</v>
      </c>
    </row>
    <row r="2794">
      <c r="A2794" s="2" t="inlineStr">
        <is>
          <t>IT01106_01</t>
        </is>
      </c>
      <c r="B2794" s="2" t="inlineStr">
        <is>
          <t>PED01106</t>
        </is>
      </c>
      <c r="C2794" s="2" t="inlineStr">
        <is>
          <t>P011</t>
        </is>
      </c>
      <c r="D2794" s="2" t="n">
        <v>1</v>
      </c>
      <c r="E2794" s="19" t="n">
        <v>0.02</v>
      </c>
    </row>
    <row r="2795">
      <c r="A2795" s="2" t="inlineStr">
        <is>
          <t>IT01106_02</t>
        </is>
      </c>
      <c r="B2795" s="2" t="inlineStr">
        <is>
          <t>PED01106</t>
        </is>
      </c>
      <c r="C2795" s="2" t="inlineStr">
        <is>
          <t>P041</t>
        </is>
      </c>
      <c r="D2795" s="2" t="n">
        <v>1</v>
      </c>
      <c r="E2795" s="19" t="n">
        <v>0.05</v>
      </c>
    </row>
    <row r="2796">
      <c r="A2796" s="2" t="inlineStr">
        <is>
          <t>IT01106_03</t>
        </is>
      </c>
      <c r="B2796" s="2" t="inlineStr">
        <is>
          <t>PED01106</t>
        </is>
      </c>
      <c r="C2796" s="2" t="inlineStr">
        <is>
          <t>P015</t>
        </is>
      </c>
      <c r="D2796" s="2" t="n">
        <v>5</v>
      </c>
      <c r="E2796" s="19" t="n">
        <v>0.02</v>
      </c>
    </row>
    <row r="2797">
      <c r="A2797" s="2" t="inlineStr">
        <is>
          <t>IT01106_04</t>
        </is>
      </c>
      <c r="B2797" s="2" t="inlineStr">
        <is>
          <t>PED01106</t>
        </is>
      </c>
      <c r="C2797" s="2" t="inlineStr">
        <is>
          <t>P044</t>
        </is>
      </c>
      <c r="D2797" s="2" t="n">
        <v>2</v>
      </c>
      <c r="E2797" s="19" t="n">
        <v>0</v>
      </c>
    </row>
    <row r="2798">
      <c r="A2798" s="2" t="inlineStr">
        <is>
          <t>IT01107_01</t>
        </is>
      </c>
      <c r="B2798" s="2" t="inlineStr">
        <is>
          <t>PED01107</t>
        </is>
      </c>
      <c r="C2798" s="2" t="inlineStr">
        <is>
          <t>P057</t>
        </is>
      </c>
      <c r="D2798" s="2" t="n">
        <v>3</v>
      </c>
      <c r="E2798" s="19" t="n">
        <v>0</v>
      </c>
    </row>
    <row r="2799">
      <c r="A2799" s="2" t="inlineStr">
        <is>
          <t>IT01107_02</t>
        </is>
      </c>
      <c r="B2799" s="2" t="inlineStr">
        <is>
          <t>PED01107</t>
        </is>
      </c>
      <c r="C2799" s="2" t="inlineStr">
        <is>
          <t>P025</t>
        </is>
      </c>
      <c r="D2799" s="2" t="n">
        <v>2</v>
      </c>
      <c r="E2799" s="19" t="n">
        <v>0.05</v>
      </c>
    </row>
    <row r="2800">
      <c r="A2800" s="2" t="inlineStr">
        <is>
          <t>IT01108_01</t>
        </is>
      </c>
      <c r="B2800" s="2" t="inlineStr">
        <is>
          <t>PED01108</t>
        </is>
      </c>
      <c r="C2800" s="2" t="inlineStr">
        <is>
          <t>P007</t>
        </is>
      </c>
      <c r="D2800" s="2" t="n">
        <v>5</v>
      </c>
      <c r="E2800" s="19" t="n">
        <v>0</v>
      </c>
    </row>
    <row r="2801">
      <c r="A2801" s="2" t="inlineStr">
        <is>
          <t>IT01108_02</t>
        </is>
      </c>
      <c r="B2801" s="2" t="inlineStr">
        <is>
          <t>PED01108</t>
        </is>
      </c>
      <c r="C2801" s="2" t="inlineStr">
        <is>
          <t>P002</t>
        </is>
      </c>
      <c r="D2801" s="2" t="n">
        <v>5</v>
      </c>
      <c r="E2801" s="19" t="n">
        <v>0.02</v>
      </c>
    </row>
    <row r="2802">
      <c r="A2802" s="2" t="inlineStr">
        <is>
          <t>IT01108_03</t>
        </is>
      </c>
      <c r="B2802" s="2" t="inlineStr">
        <is>
          <t>PED01108</t>
        </is>
      </c>
      <c r="C2802" s="2" t="inlineStr">
        <is>
          <t>P051</t>
        </is>
      </c>
      <c r="D2802" s="2" t="n">
        <v>1</v>
      </c>
      <c r="E2802" s="19" t="n">
        <v>0.02</v>
      </c>
    </row>
    <row r="2803">
      <c r="A2803" s="2" t="inlineStr">
        <is>
          <t>IT01108_04</t>
        </is>
      </c>
      <c r="B2803" s="2" t="inlineStr">
        <is>
          <t>PED01108</t>
        </is>
      </c>
      <c r="C2803" s="2" t="inlineStr">
        <is>
          <t>P037</t>
        </is>
      </c>
      <c r="D2803" s="2" t="n">
        <v>2</v>
      </c>
      <c r="E2803" s="19" t="n">
        <v>0</v>
      </c>
    </row>
    <row r="2804">
      <c r="A2804" s="2" t="inlineStr">
        <is>
          <t>IT01109_01</t>
        </is>
      </c>
      <c r="B2804" s="2" t="inlineStr">
        <is>
          <t>PED01109</t>
        </is>
      </c>
      <c r="C2804" s="2" t="inlineStr">
        <is>
          <t>P037</t>
        </is>
      </c>
      <c r="D2804" s="2" t="n">
        <v>2</v>
      </c>
      <c r="E2804" s="19" t="n">
        <v>0</v>
      </c>
    </row>
    <row r="2805">
      <c r="A2805" s="2" t="inlineStr">
        <is>
          <t>IT01109_02</t>
        </is>
      </c>
      <c r="B2805" s="2" t="inlineStr">
        <is>
          <t>PED01109</t>
        </is>
      </c>
      <c r="C2805" s="2" t="inlineStr">
        <is>
          <t>P009</t>
        </is>
      </c>
      <c r="D2805" s="2" t="n">
        <v>4</v>
      </c>
      <c r="E2805" s="19" t="n">
        <v>0.1</v>
      </c>
    </row>
    <row r="2806">
      <c r="A2806" s="2" t="inlineStr">
        <is>
          <t>IT01109_03</t>
        </is>
      </c>
      <c r="B2806" s="2" t="inlineStr">
        <is>
          <t>PED01109</t>
        </is>
      </c>
      <c r="C2806" s="2" t="inlineStr">
        <is>
          <t>P010</t>
        </is>
      </c>
      <c r="D2806" s="2" t="n">
        <v>10</v>
      </c>
      <c r="E2806" s="19" t="n">
        <v>0</v>
      </c>
    </row>
    <row r="2807">
      <c r="A2807" s="2" t="inlineStr">
        <is>
          <t>IT01110_01</t>
        </is>
      </c>
      <c r="B2807" s="2" t="inlineStr">
        <is>
          <t>PED01110</t>
        </is>
      </c>
      <c r="C2807" s="2" t="inlineStr">
        <is>
          <t>P048</t>
        </is>
      </c>
      <c r="D2807" s="2" t="n">
        <v>1</v>
      </c>
      <c r="E2807" s="19" t="n">
        <v>0</v>
      </c>
    </row>
    <row r="2808">
      <c r="A2808" s="2" t="inlineStr">
        <is>
          <t>IT01110_02</t>
        </is>
      </c>
      <c r="B2808" s="2" t="inlineStr">
        <is>
          <t>PED01110</t>
        </is>
      </c>
      <c r="C2808" s="2" t="inlineStr">
        <is>
          <t>P044</t>
        </is>
      </c>
      <c r="D2808" s="2" t="n">
        <v>1</v>
      </c>
      <c r="E2808" s="19" t="n">
        <v>0</v>
      </c>
    </row>
    <row r="2809">
      <c r="A2809" s="2" t="inlineStr">
        <is>
          <t>IT01111_01</t>
        </is>
      </c>
      <c r="B2809" s="2" t="inlineStr">
        <is>
          <t>PED01111</t>
        </is>
      </c>
      <c r="C2809" s="2" t="inlineStr">
        <is>
          <t>P008</t>
        </is>
      </c>
      <c r="D2809" s="2" t="n">
        <v>3</v>
      </c>
      <c r="E2809" s="19" t="n">
        <v>0</v>
      </c>
    </row>
    <row r="2810">
      <c r="A2810" s="2" t="inlineStr">
        <is>
          <t>IT01111_02</t>
        </is>
      </c>
      <c r="B2810" s="2" t="inlineStr">
        <is>
          <t>PED01111</t>
        </is>
      </c>
      <c r="C2810" s="2" t="inlineStr">
        <is>
          <t>P010</t>
        </is>
      </c>
      <c r="D2810" s="2" t="n">
        <v>1</v>
      </c>
      <c r="E2810" s="19" t="n">
        <v>0.02</v>
      </c>
    </row>
    <row r="2811">
      <c r="A2811" s="2" t="inlineStr">
        <is>
          <t>IT01111_03</t>
        </is>
      </c>
      <c r="B2811" s="2" t="inlineStr">
        <is>
          <t>PED01111</t>
        </is>
      </c>
      <c r="C2811" s="2" t="inlineStr">
        <is>
          <t>P070</t>
        </is>
      </c>
      <c r="D2811" s="2" t="n">
        <v>1</v>
      </c>
      <c r="E2811" s="19" t="n">
        <v>0</v>
      </c>
    </row>
    <row r="2812">
      <c r="A2812" s="2" t="inlineStr">
        <is>
          <t>IT01111_04</t>
        </is>
      </c>
      <c r="B2812" s="2" t="inlineStr">
        <is>
          <t>PED01111</t>
        </is>
      </c>
      <c r="C2812" s="2" t="inlineStr">
        <is>
          <t>P050</t>
        </is>
      </c>
      <c r="D2812" s="2" t="n">
        <v>1</v>
      </c>
      <c r="E2812" s="19" t="n">
        <v>0.02</v>
      </c>
    </row>
    <row r="2813">
      <c r="A2813" s="2" t="inlineStr">
        <is>
          <t>IT01112_01</t>
        </is>
      </c>
      <c r="B2813" s="2" t="inlineStr">
        <is>
          <t>PED01112</t>
        </is>
      </c>
      <c r="C2813" s="2" t="inlineStr">
        <is>
          <t>P048</t>
        </is>
      </c>
      <c r="D2813" s="2" t="n">
        <v>2</v>
      </c>
      <c r="E2813" s="19" t="n">
        <v>0</v>
      </c>
    </row>
    <row r="2814">
      <c r="A2814" s="2" t="inlineStr">
        <is>
          <t>IT01112_02</t>
        </is>
      </c>
      <c r="B2814" s="2" t="inlineStr">
        <is>
          <t>PED01112</t>
        </is>
      </c>
      <c r="C2814" s="2" t="inlineStr">
        <is>
          <t>P029</t>
        </is>
      </c>
      <c r="D2814" s="2" t="n">
        <v>3</v>
      </c>
      <c r="E2814" s="19" t="n">
        <v>0</v>
      </c>
    </row>
    <row r="2815">
      <c r="A2815" s="2" t="inlineStr">
        <is>
          <t>IT01112_03</t>
        </is>
      </c>
      <c r="B2815" s="2" t="inlineStr">
        <is>
          <t>PED01112</t>
        </is>
      </c>
      <c r="C2815" s="2" t="inlineStr">
        <is>
          <t>P003</t>
        </is>
      </c>
      <c r="D2815" s="2" t="n">
        <v>1</v>
      </c>
      <c r="E2815" s="19" t="n">
        <v>0</v>
      </c>
    </row>
    <row r="2816">
      <c r="A2816" s="2" t="inlineStr">
        <is>
          <t>IT01112_04</t>
        </is>
      </c>
      <c r="B2816" s="2" t="inlineStr">
        <is>
          <t>PED01112</t>
        </is>
      </c>
      <c r="C2816" s="2" t="inlineStr">
        <is>
          <t>P001</t>
        </is>
      </c>
      <c r="D2816" s="2" t="n">
        <v>2</v>
      </c>
      <c r="E2816" s="19" t="n">
        <v>0.05</v>
      </c>
    </row>
    <row r="2817">
      <c r="A2817" s="2" t="inlineStr">
        <is>
          <t>IT01112_05</t>
        </is>
      </c>
      <c r="B2817" s="2" t="inlineStr">
        <is>
          <t>PED01112</t>
        </is>
      </c>
      <c r="C2817" s="2" t="inlineStr">
        <is>
          <t>P051</t>
        </is>
      </c>
      <c r="D2817" s="2" t="n">
        <v>1</v>
      </c>
      <c r="E2817" s="19" t="n">
        <v>0</v>
      </c>
    </row>
    <row r="2818">
      <c r="A2818" s="2" t="inlineStr">
        <is>
          <t>IT01113_01</t>
        </is>
      </c>
      <c r="B2818" s="2" t="inlineStr">
        <is>
          <t>PED01113</t>
        </is>
      </c>
      <c r="C2818" s="2" t="inlineStr">
        <is>
          <t>P033</t>
        </is>
      </c>
      <c r="D2818" s="2" t="n">
        <v>2</v>
      </c>
      <c r="E2818" s="19" t="n">
        <v>0</v>
      </c>
    </row>
    <row r="2819">
      <c r="A2819" s="2" t="inlineStr">
        <is>
          <t>IT01113_02</t>
        </is>
      </c>
      <c r="B2819" s="2" t="inlineStr">
        <is>
          <t>PED01113</t>
        </is>
      </c>
      <c r="C2819" s="2" t="inlineStr">
        <is>
          <t>P024</t>
        </is>
      </c>
      <c r="D2819" s="2" t="n">
        <v>2</v>
      </c>
      <c r="E2819" s="19" t="n">
        <v>0</v>
      </c>
    </row>
    <row r="2820">
      <c r="A2820" s="2" t="inlineStr">
        <is>
          <t>IT01114_01</t>
        </is>
      </c>
      <c r="B2820" s="2" t="inlineStr">
        <is>
          <t>PED01114</t>
        </is>
      </c>
      <c r="C2820" s="2" t="inlineStr">
        <is>
          <t>P005</t>
        </is>
      </c>
      <c r="D2820" s="2" t="n">
        <v>3</v>
      </c>
      <c r="E2820" s="19" t="n">
        <v>0</v>
      </c>
    </row>
    <row r="2821">
      <c r="A2821" s="2" t="inlineStr">
        <is>
          <t>IT01114_02</t>
        </is>
      </c>
      <c r="B2821" s="2" t="inlineStr">
        <is>
          <t>PED01114</t>
        </is>
      </c>
      <c r="C2821" s="2" t="inlineStr">
        <is>
          <t>P006</t>
        </is>
      </c>
      <c r="D2821" s="2" t="n">
        <v>1</v>
      </c>
      <c r="E2821" s="19" t="n">
        <v>0</v>
      </c>
    </row>
    <row r="2822">
      <c r="A2822" s="2" t="inlineStr">
        <is>
          <t>IT01114_03</t>
        </is>
      </c>
      <c r="B2822" s="2" t="inlineStr">
        <is>
          <t>PED01114</t>
        </is>
      </c>
      <c r="C2822" s="2" t="inlineStr">
        <is>
          <t>P054</t>
        </is>
      </c>
      <c r="D2822" s="2" t="n">
        <v>5</v>
      </c>
      <c r="E2822" s="19" t="n">
        <v>0</v>
      </c>
    </row>
    <row r="2823">
      <c r="A2823" s="2" t="inlineStr">
        <is>
          <t>IT01115_01</t>
        </is>
      </c>
      <c r="B2823" s="2" t="inlineStr">
        <is>
          <t>PED01115</t>
        </is>
      </c>
      <c r="C2823" s="2" t="inlineStr">
        <is>
          <t>P051</t>
        </is>
      </c>
      <c r="D2823" s="2" t="n">
        <v>2</v>
      </c>
      <c r="E2823" s="19" t="n">
        <v>0.02</v>
      </c>
    </row>
    <row r="2824">
      <c r="A2824" s="2" t="inlineStr">
        <is>
          <t>IT01116_01</t>
        </is>
      </c>
      <c r="B2824" s="2" t="inlineStr">
        <is>
          <t>PED01116</t>
        </is>
      </c>
      <c r="C2824" s="2" t="inlineStr">
        <is>
          <t>P043</t>
        </is>
      </c>
      <c r="D2824" s="2" t="n">
        <v>4</v>
      </c>
      <c r="E2824" s="19" t="n">
        <v>0.05</v>
      </c>
    </row>
    <row r="2825">
      <c r="A2825" s="2" t="inlineStr">
        <is>
          <t>IT01116_02</t>
        </is>
      </c>
      <c r="B2825" s="2" t="inlineStr">
        <is>
          <t>PED01116</t>
        </is>
      </c>
      <c r="C2825" s="2" t="inlineStr">
        <is>
          <t>P070</t>
        </is>
      </c>
      <c r="D2825" s="2" t="n">
        <v>1</v>
      </c>
      <c r="E2825" s="19" t="n">
        <v>0</v>
      </c>
    </row>
    <row r="2826">
      <c r="A2826" s="2" t="inlineStr">
        <is>
          <t>IT01116_03</t>
        </is>
      </c>
      <c r="B2826" s="2" t="inlineStr">
        <is>
          <t>PED01116</t>
        </is>
      </c>
      <c r="C2826" s="2" t="inlineStr">
        <is>
          <t>P058</t>
        </is>
      </c>
      <c r="D2826" s="2" t="n">
        <v>2</v>
      </c>
      <c r="E2826" s="19" t="n">
        <v>0</v>
      </c>
    </row>
    <row r="2827">
      <c r="A2827" s="2" t="inlineStr">
        <is>
          <t>IT01116_04</t>
        </is>
      </c>
      <c r="B2827" s="2" t="inlineStr">
        <is>
          <t>PED01116</t>
        </is>
      </c>
      <c r="C2827" s="2" t="inlineStr">
        <is>
          <t>P042</t>
        </is>
      </c>
      <c r="D2827" s="2" t="n">
        <v>1</v>
      </c>
      <c r="E2827" s="19" t="n">
        <v>0</v>
      </c>
    </row>
    <row r="2828">
      <c r="A2828" s="2" t="inlineStr">
        <is>
          <t>IT01117_01</t>
        </is>
      </c>
      <c r="B2828" s="2" t="inlineStr">
        <is>
          <t>PED01117</t>
        </is>
      </c>
      <c r="C2828" s="2" t="inlineStr">
        <is>
          <t>P067</t>
        </is>
      </c>
      <c r="D2828" s="2" t="n">
        <v>1</v>
      </c>
      <c r="E2828" s="19" t="n">
        <v>0</v>
      </c>
    </row>
    <row r="2829">
      <c r="A2829" s="2" t="inlineStr">
        <is>
          <t>IT01117_02</t>
        </is>
      </c>
      <c r="B2829" s="2" t="inlineStr">
        <is>
          <t>PED01117</t>
        </is>
      </c>
      <c r="C2829" s="2" t="inlineStr">
        <is>
          <t>P024</t>
        </is>
      </c>
      <c r="D2829" s="2" t="n">
        <v>2</v>
      </c>
      <c r="E2829" s="19" t="n">
        <v>0</v>
      </c>
    </row>
    <row r="2830">
      <c r="A2830" s="2" t="inlineStr">
        <is>
          <t>IT01118_01</t>
        </is>
      </c>
      <c r="B2830" s="2" t="inlineStr">
        <is>
          <t>PED01118</t>
        </is>
      </c>
      <c r="C2830" s="2" t="inlineStr">
        <is>
          <t>P029</t>
        </is>
      </c>
      <c r="D2830" s="2" t="n">
        <v>2</v>
      </c>
      <c r="E2830" s="19" t="n">
        <v>0.1</v>
      </c>
    </row>
    <row r="2831">
      <c r="A2831" s="2" t="inlineStr">
        <is>
          <t>IT01118_02</t>
        </is>
      </c>
      <c r="B2831" s="2" t="inlineStr">
        <is>
          <t>PED01118</t>
        </is>
      </c>
      <c r="C2831" s="2" t="inlineStr">
        <is>
          <t>P001</t>
        </is>
      </c>
      <c r="D2831" s="2" t="n">
        <v>1</v>
      </c>
      <c r="E2831" s="19" t="n">
        <v>0.02</v>
      </c>
    </row>
    <row r="2832">
      <c r="A2832" s="2" t="inlineStr">
        <is>
          <t>IT01118_03</t>
        </is>
      </c>
      <c r="B2832" s="2" t="inlineStr">
        <is>
          <t>PED01118</t>
        </is>
      </c>
      <c r="C2832" s="2" t="inlineStr">
        <is>
          <t>P024</t>
        </is>
      </c>
      <c r="D2832" s="2" t="n">
        <v>3</v>
      </c>
      <c r="E2832" s="19" t="n">
        <v>0</v>
      </c>
    </row>
    <row r="2833">
      <c r="A2833" s="2" t="inlineStr">
        <is>
          <t>IT01118_04</t>
        </is>
      </c>
      <c r="B2833" s="2" t="inlineStr">
        <is>
          <t>PED01118</t>
        </is>
      </c>
      <c r="C2833" s="2" t="inlineStr">
        <is>
          <t>P025</t>
        </is>
      </c>
      <c r="D2833" s="2" t="n">
        <v>1</v>
      </c>
      <c r="E2833" s="19" t="n">
        <v>0.05</v>
      </c>
    </row>
    <row r="2834">
      <c r="A2834" s="2" t="inlineStr">
        <is>
          <t>IT01119_01</t>
        </is>
      </c>
      <c r="B2834" s="2" t="inlineStr">
        <is>
          <t>PED01119</t>
        </is>
      </c>
      <c r="C2834" s="2" t="inlineStr">
        <is>
          <t>P015</t>
        </is>
      </c>
      <c r="D2834" s="2" t="n">
        <v>2</v>
      </c>
      <c r="E2834" s="19" t="n">
        <v>0</v>
      </c>
    </row>
    <row r="2835">
      <c r="A2835" s="2" t="inlineStr">
        <is>
          <t>IT01119_02</t>
        </is>
      </c>
      <c r="B2835" s="2" t="inlineStr">
        <is>
          <t>PED01119</t>
        </is>
      </c>
      <c r="C2835" s="2" t="inlineStr">
        <is>
          <t>P065</t>
        </is>
      </c>
      <c r="D2835" s="2" t="n">
        <v>1</v>
      </c>
      <c r="E2835" s="19" t="n">
        <v>0</v>
      </c>
    </row>
    <row r="2836">
      <c r="A2836" s="2" t="inlineStr">
        <is>
          <t>IT01120_01</t>
        </is>
      </c>
      <c r="B2836" s="2" t="inlineStr">
        <is>
          <t>PED01120</t>
        </is>
      </c>
      <c r="C2836" s="2" t="inlineStr">
        <is>
          <t>P067</t>
        </is>
      </c>
      <c r="D2836" s="2" t="n">
        <v>1</v>
      </c>
      <c r="E2836" s="19" t="n">
        <v>0</v>
      </c>
    </row>
    <row r="2837">
      <c r="A2837" s="2" t="inlineStr">
        <is>
          <t>IT01121_01</t>
        </is>
      </c>
      <c r="B2837" s="2" t="inlineStr">
        <is>
          <t>PED01121</t>
        </is>
      </c>
      <c r="C2837" s="2" t="inlineStr">
        <is>
          <t>P049</t>
        </is>
      </c>
      <c r="D2837" s="2" t="n">
        <v>2</v>
      </c>
      <c r="E2837" s="19" t="n">
        <v>0</v>
      </c>
    </row>
    <row r="2838">
      <c r="A2838" s="2" t="inlineStr">
        <is>
          <t>IT01122_01</t>
        </is>
      </c>
      <c r="B2838" s="2" t="inlineStr">
        <is>
          <t>PED01122</t>
        </is>
      </c>
      <c r="C2838" s="2" t="inlineStr">
        <is>
          <t>P007</t>
        </is>
      </c>
      <c r="D2838" s="2" t="n">
        <v>10</v>
      </c>
      <c r="E2838" s="19" t="n">
        <v>0</v>
      </c>
    </row>
    <row r="2839">
      <c r="A2839" s="2" t="inlineStr">
        <is>
          <t>IT01122_02</t>
        </is>
      </c>
      <c r="B2839" s="2" t="inlineStr">
        <is>
          <t>PED01122</t>
        </is>
      </c>
      <c r="C2839" s="2" t="inlineStr">
        <is>
          <t>P013</t>
        </is>
      </c>
      <c r="D2839" s="2" t="n">
        <v>3</v>
      </c>
      <c r="E2839" s="19" t="n">
        <v>0</v>
      </c>
    </row>
    <row r="2840">
      <c r="A2840" s="2" t="inlineStr">
        <is>
          <t>IT01123_01</t>
        </is>
      </c>
      <c r="B2840" s="2" t="inlineStr">
        <is>
          <t>PED01123</t>
        </is>
      </c>
      <c r="C2840" s="2" t="inlineStr">
        <is>
          <t>P030</t>
        </is>
      </c>
      <c r="D2840" s="2" t="n">
        <v>1</v>
      </c>
      <c r="E2840" s="19" t="n">
        <v>0</v>
      </c>
    </row>
    <row r="2841">
      <c r="A2841" s="2" t="inlineStr">
        <is>
          <t>IT01123_02</t>
        </is>
      </c>
      <c r="B2841" s="2" t="inlineStr">
        <is>
          <t>PED01123</t>
        </is>
      </c>
      <c r="C2841" s="2" t="inlineStr">
        <is>
          <t>P018</t>
        </is>
      </c>
      <c r="D2841" s="2" t="n">
        <v>1</v>
      </c>
      <c r="E2841" s="19" t="n">
        <v>0.1</v>
      </c>
    </row>
    <row r="2842">
      <c r="A2842" s="2" t="inlineStr">
        <is>
          <t>IT01123_03</t>
        </is>
      </c>
      <c r="B2842" s="2" t="inlineStr">
        <is>
          <t>PED01123</t>
        </is>
      </c>
      <c r="C2842" s="2" t="inlineStr">
        <is>
          <t>P020</t>
        </is>
      </c>
      <c r="D2842" s="2" t="n">
        <v>2</v>
      </c>
      <c r="E2842" s="19" t="n">
        <v>0.02</v>
      </c>
    </row>
    <row r="2843">
      <c r="A2843" s="2" t="inlineStr">
        <is>
          <t>IT01124_01</t>
        </is>
      </c>
      <c r="B2843" s="2" t="inlineStr">
        <is>
          <t>PED01124</t>
        </is>
      </c>
      <c r="C2843" s="2" t="inlineStr">
        <is>
          <t>P026</t>
        </is>
      </c>
      <c r="D2843" s="2" t="n">
        <v>3</v>
      </c>
      <c r="E2843" s="19" t="n">
        <v>0.02</v>
      </c>
    </row>
    <row r="2844">
      <c r="A2844" s="2" t="inlineStr">
        <is>
          <t>IT01124_02</t>
        </is>
      </c>
      <c r="B2844" s="2" t="inlineStr">
        <is>
          <t>PED01124</t>
        </is>
      </c>
      <c r="C2844" s="2" t="inlineStr">
        <is>
          <t>P002</t>
        </is>
      </c>
      <c r="D2844" s="2" t="n">
        <v>1</v>
      </c>
      <c r="E2844" s="19" t="n">
        <v>0</v>
      </c>
    </row>
    <row r="2845">
      <c r="A2845" s="2" t="inlineStr">
        <is>
          <t>IT01124_03</t>
        </is>
      </c>
      <c r="B2845" s="2" t="inlineStr">
        <is>
          <t>PED01124</t>
        </is>
      </c>
      <c r="C2845" s="2" t="inlineStr">
        <is>
          <t>P017</t>
        </is>
      </c>
      <c r="D2845" s="2" t="n">
        <v>5</v>
      </c>
      <c r="E2845" s="19" t="n">
        <v>0</v>
      </c>
    </row>
    <row r="2846">
      <c r="A2846" s="2" t="inlineStr">
        <is>
          <t>IT01125_01</t>
        </is>
      </c>
      <c r="B2846" s="2" t="inlineStr">
        <is>
          <t>PED01125</t>
        </is>
      </c>
      <c r="C2846" s="2" t="inlineStr">
        <is>
          <t>P017</t>
        </is>
      </c>
      <c r="D2846" s="2" t="n">
        <v>1</v>
      </c>
      <c r="E2846" s="19" t="n">
        <v>0.02</v>
      </c>
    </row>
    <row r="2847">
      <c r="A2847" s="2" t="inlineStr">
        <is>
          <t>IT01125_02</t>
        </is>
      </c>
      <c r="B2847" s="2" t="inlineStr">
        <is>
          <t>PED01125</t>
        </is>
      </c>
      <c r="C2847" s="2" t="inlineStr">
        <is>
          <t>P014</t>
        </is>
      </c>
      <c r="D2847" s="2" t="n">
        <v>1</v>
      </c>
      <c r="E2847" s="19" t="n">
        <v>0.02</v>
      </c>
    </row>
    <row r="2848">
      <c r="A2848" s="2" t="inlineStr">
        <is>
          <t>IT01126_01</t>
        </is>
      </c>
      <c r="B2848" s="2" t="inlineStr">
        <is>
          <t>PED01126</t>
        </is>
      </c>
      <c r="C2848" s="2" t="inlineStr">
        <is>
          <t>P001</t>
        </is>
      </c>
      <c r="D2848" s="2" t="n">
        <v>1</v>
      </c>
      <c r="E2848" s="19" t="n">
        <v>0.02</v>
      </c>
    </row>
    <row r="2849">
      <c r="A2849" s="2" t="inlineStr">
        <is>
          <t>IT01126_02</t>
        </is>
      </c>
      <c r="B2849" s="2" t="inlineStr">
        <is>
          <t>PED01126</t>
        </is>
      </c>
      <c r="C2849" s="2" t="inlineStr">
        <is>
          <t>P008</t>
        </is>
      </c>
      <c r="D2849" s="2" t="n">
        <v>1</v>
      </c>
      <c r="E2849" s="19" t="n">
        <v>0.05</v>
      </c>
    </row>
    <row r="2850">
      <c r="A2850" s="2" t="inlineStr">
        <is>
          <t>IT01127_01</t>
        </is>
      </c>
      <c r="B2850" s="2" t="inlineStr">
        <is>
          <t>PED01127</t>
        </is>
      </c>
      <c r="C2850" s="2" t="inlineStr">
        <is>
          <t>P010</t>
        </is>
      </c>
      <c r="D2850" s="2" t="n">
        <v>2</v>
      </c>
      <c r="E2850" s="19" t="n">
        <v>0.1</v>
      </c>
    </row>
    <row r="2851">
      <c r="A2851" s="2" t="inlineStr">
        <is>
          <t>IT01127_02</t>
        </is>
      </c>
      <c r="B2851" s="2" t="inlineStr">
        <is>
          <t>PED01127</t>
        </is>
      </c>
      <c r="C2851" s="2" t="inlineStr">
        <is>
          <t>P003</t>
        </is>
      </c>
      <c r="D2851" s="2" t="n">
        <v>1</v>
      </c>
      <c r="E2851" s="19" t="n">
        <v>0.02</v>
      </c>
    </row>
    <row r="2852">
      <c r="A2852" s="2" t="inlineStr">
        <is>
          <t>IT01128_01</t>
        </is>
      </c>
      <c r="B2852" s="2" t="inlineStr">
        <is>
          <t>PED01128</t>
        </is>
      </c>
      <c r="C2852" s="2" t="inlineStr">
        <is>
          <t>P068</t>
        </is>
      </c>
      <c r="D2852" s="2" t="n">
        <v>1</v>
      </c>
      <c r="E2852" s="19" t="n">
        <v>0.1</v>
      </c>
    </row>
    <row r="2853">
      <c r="A2853" s="2" t="inlineStr">
        <is>
          <t>IT01128_02</t>
        </is>
      </c>
      <c r="B2853" s="2" t="inlineStr">
        <is>
          <t>PED01128</t>
        </is>
      </c>
      <c r="C2853" s="2" t="inlineStr">
        <is>
          <t>P028</t>
        </is>
      </c>
      <c r="D2853" s="2" t="n">
        <v>2</v>
      </c>
      <c r="E2853" s="19" t="n">
        <v>0</v>
      </c>
    </row>
    <row r="2854">
      <c r="A2854" s="2" t="inlineStr">
        <is>
          <t>IT01128_03</t>
        </is>
      </c>
      <c r="B2854" s="2" t="inlineStr">
        <is>
          <t>PED01128</t>
        </is>
      </c>
      <c r="C2854" s="2" t="inlineStr">
        <is>
          <t>P016</t>
        </is>
      </c>
      <c r="D2854" s="2" t="n">
        <v>2</v>
      </c>
      <c r="E2854" s="19" t="n">
        <v>0</v>
      </c>
    </row>
    <row r="2855">
      <c r="A2855" s="2" t="inlineStr">
        <is>
          <t>IT01128_04</t>
        </is>
      </c>
      <c r="B2855" s="2" t="inlineStr">
        <is>
          <t>PED01128</t>
        </is>
      </c>
      <c r="C2855" s="2" t="inlineStr">
        <is>
          <t>P004</t>
        </is>
      </c>
      <c r="D2855" s="2" t="n">
        <v>1</v>
      </c>
      <c r="E2855" s="19" t="n">
        <v>0</v>
      </c>
    </row>
    <row r="2856">
      <c r="A2856" s="2" t="inlineStr">
        <is>
          <t>IT01128_05</t>
        </is>
      </c>
      <c r="B2856" s="2" t="inlineStr">
        <is>
          <t>PED01128</t>
        </is>
      </c>
      <c r="C2856" s="2" t="inlineStr">
        <is>
          <t>P034</t>
        </is>
      </c>
      <c r="D2856" s="2" t="n">
        <v>4</v>
      </c>
      <c r="E2856" s="19" t="n">
        <v>0.05</v>
      </c>
    </row>
    <row r="2857">
      <c r="A2857" s="2" t="inlineStr">
        <is>
          <t>IT01129_01</t>
        </is>
      </c>
      <c r="B2857" s="2" t="inlineStr">
        <is>
          <t>PED01129</t>
        </is>
      </c>
      <c r="C2857" s="2" t="inlineStr">
        <is>
          <t>P054</t>
        </is>
      </c>
      <c r="D2857" s="2" t="n">
        <v>2</v>
      </c>
      <c r="E2857" s="19" t="n">
        <v>0.02</v>
      </c>
    </row>
    <row r="2858">
      <c r="A2858" s="2" t="inlineStr">
        <is>
          <t>IT01129_02</t>
        </is>
      </c>
      <c r="B2858" s="2" t="inlineStr">
        <is>
          <t>PED01129</t>
        </is>
      </c>
      <c r="C2858" s="2" t="inlineStr">
        <is>
          <t>P051</t>
        </is>
      </c>
      <c r="D2858" s="2" t="n">
        <v>4</v>
      </c>
      <c r="E2858" s="19" t="n">
        <v>0</v>
      </c>
    </row>
    <row r="2859">
      <c r="A2859" s="2" t="inlineStr">
        <is>
          <t>IT01130_01</t>
        </is>
      </c>
      <c r="B2859" s="2" t="inlineStr">
        <is>
          <t>PED01130</t>
        </is>
      </c>
      <c r="C2859" s="2" t="inlineStr">
        <is>
          <t>P039</t>
        </is>
      </c>
      <c r="D2859" s="2" t="n">
        <v>3</v>
      </c>
      <c r="E2859" s="19" t="n">
        <v>0.02</v>
      </c>
    </row>
    <row r="2860">
      <c r="A2860" s="2" t="inlineStr">
        <is>
          <t>IT01130_02</t>
        </is>
      </c>
      <c r="B2860" s="2" t="inlineStr">
        <is>
          <t>PED01130</t>
        </is>
      </c>
      <c r="C2860" s="2" t="inlineStr">
        <is>
          <t>P037</t>
        </is>
      </c>
      <c r="D2860" s="2" t="n">
        <v>1</v>
      </c>
      <c r="E2860" s="19" t="n">
        <v>0</v>
      </c>
    </row>
    <row r="2861">
      <c r="A2861" s="2" t="inlineStr">
        <is>
          <t>IT01131_01</t>
        </is>
      </c>
      <c r="B2861" s="2" t="inlineStr">
        <is>
          <t>PED01131</t>
        </is>
      </c>
      <c r="C2861" s="2" t="inlineStr">
        <is>
          <t>P054</t>
        </is>
      </c>
      <c r="D2861" s="2" t="n">
        <v>1</v>
      </c>
      <c r="E2861" s="19" t="n">
        <v>0</v>
      </c>
    </row>
    <row r="2862">
      <c r="A2862" s="2" t="inlineStr">
        <is>
          <t>IT01131_02</t>
        </is>
      </c>
      <c r="B2862" s="2" t="inlineStr">
        <is>
          <t>PED01131</t>
        </is>
      </c>
      <c r="C2862" s="2" t="inlineStr">
        <is>
          <t>P045</t>
        </is>
      </c>
      <c r="D2862" s="2" t="n">
        <v>1</v>
      </c>
      <c r="E2862" s="19" t="n">
        <v>0</v>
      </c>
    </row>
    <row r="2863">
      <c r="A2863" s="2" t="inlineStr">
        <is>
          <t>IT01132_01</t>
        </is>
      </c>
      <c r="B2863" s="2" t="inlineStr">
        <is>
          <t>PED01132</t>
        </is>
      </c>
      <c r="C2863" s="2" t="inlineStr">
        <is>
          <t>P019</t>
        </is>
      </c>
      <c r="D2863" s="2" t="n">
        <v>1</v>
      </c>
      <c r="E2863" s="19" t="n">
        <v>0</v>
      </c>
    </row>
    <row r="2864">
      <c r="A2864" s="2" t="inlineStr">
        <is>
          <t>IT01132_02</t>
        </is>
      </c>
      <c r="B2864" s="2" t="inlineStr">
        <is>
          <t>PED01132</t>
        </is>
      </c>
      <c r="C2864" s="2" t="inlineStr">
        <is>
          <t>P033</t>
        </is>
      </c>
      <c r="D2864" s="2" t="n">
        <v>1</v>
      </c>
      <c r="E2864" s="19" t="n">
        <v>0.05</v>
      </c>
    </row>
    <row r="2865">
      <c r="A2865" s="2" t="inlineStr">
        <is>
          <t>IT01133_01</t>
        </is>
      </c>
      <c r="B2865" s="2" t="inlineStr">
        <is>
          <t>PED01133</t>
        </is>
      </c>
      <c r="C2865" s="2" t="inlineStr">
        <is>
          <t>P006</t>
        </is>
      </c>
      <c r="D2865" s="2" t="n">
        <v>3</v>
      </c>
      <c r="E2865" s="19" t="n">
        <v>0.05</v>
      </c>
    </row>
    <row r="2866">
      <c r="A2866" s="2" t="inlineStr">
        <is>
          <t>IT01133_02</t>
        </is>
      </c>
      <c r="B2866" s="2" t="inlineStr">
        <is>
          <t>PED01133</t>
        </is>
      </c>
      <c r="C2866" s="2" t="inlineStr">
        <is>
          <t>P069</t>
        </is>
      </c>
      <c r="D2866" s="2" t="n">
        <v>1</v>
      </c>
      <c r="E2866" s="19" t="n">
        <v>0</v>
      </c>
    </row>
    <row r="2867">
      <c r="A2867" s="2" t="inlineStr">
        <is>
          <t>IT01133_03</t>
        </is>
      </c>
      <c r="B2867" s="2" t="inlineStr">
        <is>
          <t>PED01133</t>
        </is>
      </c>
      <c r="C2867" s="2" t="inlineStr">
        <is>
          <t>P064</t>
        </is>
      </c>
      <c r="D2867" s="2" t="n">
        <v>1</v>
      </c>
      <c r="E2867" s="19" t="n">
        <v>0.05</v>
      </c>
    </row>
    <row r="2868">
      <c r="A2868" s="2" t="inlineStr">
        <is>
          <t>IT01133_04</t>
        </is>
      </c>
      <c r="B2868" s="2" t="inlineStr">
        <is>
          <t>PED01133</t>
        </is>
      </c>
      <c r="C2868" s="2" t="inlineStr">
        <is>
          <t>P013</t>
        </is>
      </c>
      <c r="D2868" s="2" t="n">
        <v>1</v>
      </c>
      <c r="E2868" s="19" t="n">
        <v>0</v>
      </c>
    </row>
    <row r="2869">
      <c r="A2869" s="2" t="inlineStr">
        <is>
          <t>IT01134_01</t>
        </is>
      </c>
      <c r="B2869" s="2" t="inlineStr">
        <is>
          <t>PED01134</t>
        </is>
      </c>
      <c r="C2869" s="2" t="inlineStr">
        <is>
          <t>P037</t>
        </is>
      </c>
      <c r="D2869" s="2" t="n">
        <v>2</v>
      </c>
      <c r="E2869" s="19" t="n">
        <v>0</v>
      </c>
    </row>
    <row r="2870">
      <c r="A2870" s="2" t="inlineStr">
        <is>
          <t>IT01134_02</t>
        </is>
      </c>
      <c r="B2870" s="2" t="inlineStr">
        <is>
          <t>PED01134</t>
        </is>
      </c>
      <c r="C2870" s="2" t="inlineStr">
        <is>
          <t>P059</t>
        </is>
      </c>
      <c r="D2870" s="2" t="n">
        <v>1</v>
      </c>
      <c r="E2870" s="19" t="n">
        <v>0</v>
      </c>
    </row>
    <row r="2871">
      <c r="A2871" s="2" t="inlineStr">
        <is>
          <t>IT01134_03</t>
        </is>
      </c>
      <c r="B2871" s="2" t="inlineStr">
        <is>
          <t>PED01134</t>
        </is>
      </c>
      <c r="C2871" s="2" t="inlineStr">
        <is>
          <t>P024</t>
        </is>
      </c>
      <c r="D2871" s="2" t="n">
        <v>5</v>
      </c>
      <c r="E2871" s="19" t="n">
        <v>0.05</v>
      </c>
    </row>
    <row r="2872">
      <c r="A2872" s="2" t="inlineStr">
        <is>
          <t>IT01134_04</t>
        </is>
      </c>
      <c r="B2872" s="2" t="inlineStr">
        <is>
          <t>PED01134</t>
        </is>
      </c>
      <c r="C2872" s="2" t="inlineStr">
        <is>
          <t>P047</t>
        </is>
      </c>
      <c r="D2872" s="2" t="n">
        <v>1</v>
      </c>
      <c r="E2872" s="19" t="n">
        <v>0.02</v>
      </c>
    </row>
    <row r="2873">
      <c r="A2873" s="2" t="inlineStr">
        <is>
          <t>IT01135_01</t>
        </is>
      </c>
      <c r="B2873" s="2" t="inlineStr">
        <is>
          <t>PED01135</t>
        </is>
      </c>
      <c r="C2873" s="2" t="inlineStr">
        <is>
          <t>P035</t>
        </is>
      </c>
      <c r="D2873" s="2" t="n">
        <v>4</v>
      </c>
      <c r="E2873" s="19" t="n">
        <v>0.02</v>
      </c>
    </row>
    <row r="2874">
      <c r="A2874" s="2" t="inlineStr">
        <is>
          <t>IT01135_02</t>
        </is>
      </c>
      <c r="B2874" s="2" t="inlineStr">
        <is>
          <t>PED01135</t>
        </is>
      </c>
      <c r="C2874" s="2" t="inlineStr">
        <is>
          <t>P048</t>
        </is>
      </c>
      <c r="D2874" s="2" t="n">
        <v>1</v>
      </c>
      <c r="E2874" s="19" t="n">
        <v>0.02</v>
      </c>
    </row>
    <row r="2875">
      <c r="A2875" s="2" t="inlineStr">
        <is>
          <t>IT01136_01</t>
        </is>
      </c>
      <c r="B2875" s="2" t="inlineStr">
        <is>
          <t>PED01136</t>
        </is>
      </c>
      <c r="C2875" s="2" t="inlineStr">
        <is>
          <t>P035</t>
        </is>
      </c>
      <c r="D2875" s="2" t="n">
        <v>5</v>
      </c>
      <c r="E2875" s="19" t="n">
        <v>0</v>
      </c>
    </row>
    <row r="2876">
      <c r="A2876" s="2" t="inlineStr">
        <is>
          <t>IT01136_02</t>
        </is>
      </c>
      <c r="B2876" s="2" t="inlineStr">
        <is>
          <t>PED01136</t>
        </is>
      </c>
      <c r="C2876" s="2" t="inlineStr">
        <is>
          <t>P043</t>
        </is>
      </c>
      <c r="D2876" s="2" t="n">
        <v>2</v>
      </c>
      <c r="E2876" s="19" t="n">
        <v>0.1</v>
      </c>
    </row>
    <row r="2877">
      <c r="A2877" s="2" t="inlineStr">
        <is>
          <t>IT01136_03</t>
        </is>
      </c>
      <c r="B2877" s="2" t="inlineStr">
        <is>
          <t>PED01136</t>
        </is>
      </c>
      <c r="C2877" s="2" t="inlineStr">
        <is>
          <t>P026</t>
        </is>
      </c>
      <c r="D2877" s="2" t="n">
        <v>1</v>
      </c>
      <c r="E2877" s="19" t="n">
        <v>0</v>
      </c>
    </row>
    <row r="2878">
      <c r="A2878" s="2" t="inlineStr">
        <is>
          <t>IT01136_04</t>
        </is>
      </c>
      <c r="B2878" s="2" t="inlineStr">
        <is>
          <t>PED01136</t>
        </is>
      </c>
      <c r="C2878" s="2" t="inlineStr">
        <is>
          <t>P047</t>
        </is>
      </c>
      <c r="D2878" s="2" t="n">
        <v>3</v>
      </c>
      <c r="E2878" s="19" t="n">
        <v>0.02</v>
      </c>
    </row>
    <row r="2879">
      <c r="A2879" s="2" t="inlineStr">
        <is>
          <t>IT01137_01</t>
        </is>
      </c>
      <c r="B2879" s="2" t="inlineStr">
        <is>
          <t>PED01137</t>
        </is>
      </c>
      <c r="C2879" s="2" t="inlineStr">
        <is>
          <t>P048</t>
        </is>
      </c>
      <c r="D2879" s="2" t="n">
        <v>2</v>
      </c>
      <c r="E2879" s="19" t="n">
        <v>0.05</v>
      </c>
    </row>
    <row r="2880">
      <c r="A2880" s="2" t="inlineStr">
        <is>
          <t>IT01137_02</t>
        </is>
      </c>
      <c r="B2880" s="2" t="inlineStr">
        <is>
          <t>PED01137</t>
        </is>
      </c>
      <c r="C2880" s="2" t="inlineStr">
        <is>
          <t>P003</t>
        </is>
      </c>
      <c r="D2880" s="2" t="n">
        <v>2</v>
      </c>
      <c r="E2880" s="19" t="n">
        <v>0.05</v>
      </c>
    </row>
    <row r="2881">
      <c r="A2881" s="2" t="inlineStr">
        <is>
          <t>IT01138_01</t>
        </is>
      </c>
      <c r="B2881" s="2" t="inlineStr">
        <is>
          <t>PED01138</t>
        </is>
      </c>
      <c r="C2881" s="2" t="inlineStr">
        <is>
          <t>P048</t>
        </is>
      </c>
      <c r="D2881" s="2" t="n">
        <v>2</v>
      </c>
      <c r="E2881" s="19" t="n">
        <v>0</v>
      </c>
    </row>
    <row r="2882">
      <c r="A2882" s="2" t="inlineStr">
        <is>
          <t>IT01139_01</t>
        </is>
      </c>
      <c r="B2882" s="2" t="inlineStr">
        <is>
          <t>PED01139</t>
        </is>
      </c>
      <c r="C2882" s="2" t="inlineStr">
        <is>
          <t>P018</t>
        </is>
      </c>
      <c r="D2882" s="2" t="n">
        <v>1</v>
      </c>
      <c r="E2882" s="19" t="n">
        <v>0</v>
      </c>
    </row>
    <row r="2883">
      <c r="A2883" s="2" t="inlineStr">
        <is>
          <t>IT01139_02</t>
        </is>
      </c>
      <c r="B2883" s="2" t="inlineStr">
        <is>
          <t>PED01139</t>
        </is>
      </c>
      <c r="C2883" s="2" t="inlineStr">
        <is>
          <t>P031</t>
        </is>
      </c>
      <c r="D2883" s="2" t="n">
        <v>3</v>
      </c>
      <c r="E2883" s="19" t="n">
        <v>0</v>
      </c>
    </row>
    <row r="2884">
      <c r="A2884" s="2" t="inlineStr">
        <is>
          <t>IT01139_03</t>
        </is>
      </c>
      <c r="B2884" s="2" t="inlineStr">
        <is>
          <t>PED01139</t>
        </is>
      </c>
      <c r="C2884" s="2" t="inlineStr">
        <is>
          <t>P048</t>
        </is>
      </c>
      <c r="D2884" s="2" t="n">
        <v>2</v>
      </c>
      <c r="E2884" s="19" t="n">
        <v>0</v>
      </c>
    </row>
    <row r="2885">
      <c r="A2885" s="2" t="inlineStr">
        <is>
          <t>IT01139_04</t>
        </is>
      </c>
      <c r="B2885" s="2" t="inlineStr">
        <is>
          <t>PED01139</t>
        </is>
      </c>
      <c r="C2885" s="2" t="inlineStr">
        <is>
          <t>P016</t>
        </is>
      </c>
      <c r="D2885" s="2" t="n">
        <v>2</v>
      </c>
      <c r="E2885" s="19" t="n">
        <v>0</v>
      </c>
    </row>
    <row r="2886">
      <c r="A2886" s="2" t="inlineStr">
        <is>
          <t>IT01139_05</t>
        </is>
      </c>
      <c r="B2886" s="2" t="inlineStr">
        <is>
          <t>PED01139</t>
        </is>
      </c>
      <c r="C2886" s="2" t="inlineStr">
        <is>
          <t>P035</t>
        </is>
      </c>
      <c r="D2886" s="2" t="n">
        <v>3</v>
      </c>
      <c r="E2886" s="19" t="n">
        <v>0</v>
      </c>
    </row>
    <row r="2887">
      <c r="A2887" s="2" t="inlineStr">
        <is>
          <t>IT01140_01</t>
        </is>
      </c>
      <c r="B2887" s="2" t="inlineStr">
        <is>
          <t>PED01140</t>
        </is>
      </c>
      <c r="C2887" s="2" t="inlineStr">
        <is>
          <t>P058</t>
        </is>
      </c>
      <c r="D2887" s="2" t="n">
        <v>1</v>
      </c>
      <c r="E2887" s="19" t="n">
        <v>0.1</v>
      </c>
    </row>
    <row r="2888">
      <c r="A2888" s="2" t="inlineStr">
        <is>
          <t>IT01140_02</t>
        </is>
      </c>
      <c r="B2888" s="2" t="inlineStr">
        <is>
          <t>PED01140</t>
        </is>
      </c>
      <c r="C2888" s="2" t="inlineStr">
        <is>
          <t>P053</t>
        </is>
      </c>
      <c r="D2888" s="2" t="n">
        <v>2</v>
      </c>
      <c r="E2888" s="19" t="n">
        <v>0</v>
      </c>
    </row>
    <row r="2889">
      <c r="A2889" s="2" t="inlineStr">
        <is>
          <t>IT01140_03</t>
        </is>
      </c>
      <c r="B2889" s="2" t="inlineStr">
        <is>
          <t>PED01140</t>
        </is>
      </c>
      <c r="C2889" s="2" t="inlineStr">
        <is>
          <t>P029</t>
        </is>
      </c>
      <c r="D2889" s="2" t="n">
        <v>2</v>
      </c>
      <c r="E2889" s="19" t="n">
        <v>0.02</v>
      </c>
    </row>
    <row r="2890">
      <c r="A2890" s="2" t="inlineStr">
        <is>
          <t>IT01140_04</t>
        </is>
      </c>
      <c r="B2890" s="2" t="inlineStr">
        <is>
          <t>PED01140</t>
        </is>
      </c>
      <c r="C2890" s="2" t="inlineStr">
        <is>
          <t>P059</t>
        </is>
      </c>
      <c r="D2890" s="2" t="n">
        <v>1</v>
      </c>
      <c r="E2890" s="19" t="n">
        <v>0.05</v>
      </c>
    </row>
    <row r="2891">
      <c r="A2891" s="2" t="inlineStr">
        <is>
          <t>IT01141_01</t>
        </is>
      </c>
      <c r="B2891" s="2" t="inlineStr">
        <is>
          <t>PED01141</t>
        </is>
      </c>
      <c r="C2891" s="2" t="inlineStr">
        <is>
          <t>P036</t>
        </is>
      </c>
      <c r="D2891" s="2" t="n">
        <v>1</v>
      </c>
      <c r="E2891" s="19" t="n">
        <v>0</v>
      </c>
    </row>
    <row r="2892">
      <c r="A2892" s="2" t="inlineStr">
        <is>
          <t>IT01141_02</t>
        </is>
      </c>
      <c r="B2892" s="2" t="inlineStr">
        <is>
          <t>PED01141</t>
        </is>
      </c>
      <c r="C2892" s="2" t="inlineStr">
        <is>
          <t>P041</t>
        </is>
      </c>
      <c r="D2892" s="2" t="n">
        <v>5</v>
      </c>
      <c r="E2892" s="19" t="n">
        <v>0</v>
      </c>
    </row>
    <row r="2893">
      <c r="A2893" s="2" t="inlineStr">
        <is>
          <t>IT01142_01</t>
        </is>
      </c>
      <c r="B2893" s="2" t="inlineStr">
        <is>
          <t>PED01142</t>
        </is>
      </c>
      <c r="C2893" s="2" t="inlineStr">
        <is>
          <t>P007</t>
        </is>
      </c>
      <c r="D2893" s="2" t="n">
        <v>1</v>
      </c>
      <c r="E2893" s="19" t="n">
        <v>0.1</v>
      </c>
    </row>
    <row r="2894">
      <c r="A2894" s="2" t="inlineStr">
        <is>
          <t>IT01142_02</t>
        </is>
      </c>
      <c r="B2894" s="2" t="inlineStr">
        <is>
          <t>PED01142</t>
        </is>
      </c>
      <c r="C2894" s="2" t="inlineStr">
        <is>
          <t>P015</t>
        </is>
      </c>
      <c r="D2894" s="2" t="n">
        <v>4</v>
      </c>
      <c r="E2894" s="19" t="n">
        <v>0.05</v>
      </c>
    </row>
    <row r="2895">
      <c r="A2895" s="2" t="inlineStr">
        <is>
          <t>IT01142_03</t>
        </is>
      </c>
      <c r="B2895" s="2" t="inlineStr">
        <is>
          <t>PED01142</t>
        </is>
      </c>
      <c r="C2895" s="2" t="inlineStr">
        <is>
          <t>P064</t>
        </is>
      </c>
      <c r="D2895" s="2" t="n">
        <v>2</v>
      </c>
      <c r="E2895" s="19" t="n">
        <v>0.02</v>
      </c>
    </row>
    <row r="2896">
      <c r="A2896" s="2" t="inlineStr">
        <is>
          <t>IT01143_01</t>
        </is>
      </c>
      <c r="B2896" s="2" t="inlineStr">
        <is>
          <t>PED01143</t>
        </is>
      </c>
      <c r="C2896" s="2" t="inlineStr">
        <is>
          <t>P052</t>
        </is>
      </c>
      <c r="D2896" s="2" t="n">
        <v>1</v>
      </c>
      <c r="E2896" s="19" t="n">
        <v>0</v>
      </c>
    </row>
    <row r="2897">
      <c r="A2897" s="2" t="inlineStr">
        <is>
          <t>IT01143_02</t>
        </is>
      </c>
      <c r="B2897" s="2" t="inlineStr">
        <is>
          <t>PED01143</t>
        </is>
      </c>
      <c r="C2897" s="2" t="inlineStr">
        <is>
          <t>P042</t>
        </is>
      </c>
      <c r="D2897" s="2" t="n">
        <v>1</v>
      </c>
      <c r="E2897" s="19" t="n">
        <v>0.05</v>
      </c>
    </row>
    <row r="2898">
      <c r="A2898" s="2" t="inlineStr">
        <is>
          <t>IT01143_03</t>
        </is>
      </c>
      <c r="B2898" s="2" t="inlineStr">
        <is>
          <t>PED01143</t>
        </is>
      </c>
      <c r="C2898" s="2" t="inlineStr">
        <is>
          <t>P053</t>
        </is>
      </c>
      <c r="D2898" s="2" t="n">
        <v>2</v>
      </c>
      <c r="E2898" s="19" t="n">
        <v>0</v>
      </c>
    </row>
    <row r="2899">
      <c r="A2899" s="2" t="inlineStr">
        <is>
          <t>IT01144_01</t>
        </is>
      </c>
      <c r="B2899" s="2" t="inlineStr">
        <is>
          <t>PED01144</t>
        </is>
      </c>
      <c r="C2899" s="2" t="inlineStr">
        <is>
          <t>P048</t>
        </is>
      </c>
      <c r="D2899" s="2" t="n">
        <v>1</v>
      </c>
      <c r="E2899" s="19" t="n">
        <v>0.05</v>
      </c>
    </row>
    <row r="2900">
      <c r="A2900" s="2" t="inlineStr">
        <is>
          <t>IT01144_02</t>
        </is>
      </c>
      <c r="B2900" s="2" t="inlineStr">
        <is>
          <t>PED01144</t>
        </is>
      </c>
      <c r="C2900" s="2" t="inlineStr">
        <is>
          <t>P042</t>
        </is>
      </c>
      <c r="D2900" s="2" t="n">
        <v>2</v>
      </c>
      <c r="E2900" s="19" t="n">
        <v>0.02</v>
      </c>
    </row>
    <row r="2901">
      <c r="A2901" s="2" t="inlineStr">
        <is>
          <t>IT01144_03</t>
        </is>
      </c>
      <c r="B2901" s="2" t="inlineStr">
        <is>
          <t>PED01144</t>
        </is>
      </c>
      <c r="C2901" s="2" t="inlineStr">
        <is>
          <t>P067</t>
        </is>
      </c>
      <c r="D2901" s="2" t="n">
        <v>3</v>
      </c>
      <c r="E2901" s="19" t="n">
        <v>0</v>
      </c>
    </row>
    <row r="2902">
      <c r="A2902" s="2" t="inlineStr">
        <is>
          <t>IT01144_04</t>
        </is>
      </c>
      <c r="B2902" s="2" t="inlineStr">
        <is>
          <t>PED01144</t>
        </is>
      </c>
      <c r="C2902" s="2" t="inlineStr">
        <is>
          <t>P006</t>
        </is>
      </c>
      <c r="D2902" s="2" t="n">
        <v>1</v>
      </c>
      <c r="E2902" s="19" t="n">
        <v>0</v>
      </c>
    </row>
    <row r="2903">
      <c r="A2903" s="2" t="inlineStr">
        <is>
          <t>IT01145_01</t>
        </is>
      </c>
      <c r="B2903" s="2" t="inlineStr">
        <is>
          <t>PED01145</t>
        </is>
      </c>
      <c r="C2903" s="2" t="inlineStr">
        <is>
          <t>P016</t>
        </is>
      </c>
      <c r="D2903" s="2" t="n">
        <v>2</v>
      </c>
      <c r="E2903" s="19" t="n">
        <v>0</v>
      </c>
    </row>
    <row r="2904">
      <c r="A2904" s="2" t="inlineStr">
        <is>
          <t>IT01145_02</t>
        </is>
      </c>
      <c r="B2904" s="2" t="inlineStr">
        <is>
          <t>PED01145</t>
        </is>
      </c>
      <c r="C2904" s="2" t="inlineStr">
        <is>
          <t>P028</t>
        </is>
      </c>
      <c r="D2904" s="2" t="n">
        <v>1</v>
      </c>
      <c r="E2904" s="19" t="n">
        <v>0.1</v>
      </c>
    </row>
    <row r="2905">
      <c r="A2905" s="2" t="inlineStr">
        <is>
          <t>IT01145_03</t>
        </is>
      </c>
      <c r="B2905" s="2" t="inlineStr">
        <is>
          <t>PED01145</t>
        </is>
      </c>
      <c r="C2905" s="2" t="inlineStr">
        <is>
          <t>P051</t>
        </is>
      </c>
      <c r="D2905" s="2" t="n">
        <v>4</v>
      </c>
      <c r="E2905" s="19" t="n">
        <v>0</v>
      </c>
    </row>
    <row r="2906">
      <c r="A2906" s="2" t="inlineStr">
        <is>
          <t>IT01146_01</t>
        </is>
      </c>
      <c r="B2906" s="2" t="inlineStr">
        <is>
          <t>PED01146</t>
        </is>
      </c>
      <c r="C2906" s="2" t="inlineStr">
        <is>
          <t>P004</t>
        </is>
      </c>
      <c r="D2906" s="2" t="n">
        <v>2</v>
      </c>
      <c r="E2906" s="19" t="n">
        <v>0</v>
      </c>
    </row>
    <row r="2907">
      <c r="A2907" s="2" t="inlineStr">
        <is>
          <t>IT01147_01</t>
        </is>
      </c>
      <c r="B2907" s="2" t="inlineStr">
        <is>
          <t>PED01147</t>
        </is>
      </c>
      <c r="C2907" s="2" t="inlineStr">
        <is>
          <t>P028</t>
        </is>
      </c>
      <c r="D2907" s="2" t="n">
        <v>1</v>
      </c>
      <c r="E2907" s="19" t="n">
        <v>0</v>
      </c>
    </row>
    <row r="2908">
      <c r="A2908" s="2" t="inlineStr">
        <is>
          <t>IT01147_02</t>
        </is>
      </c>
      <c r="B2908" s="2" t="inlineStr">
        <is>
          <t>PED01147</t>
        </is>
      </c>
      <c r="C2908" s="2" t="inlineStr">
        <is>
          <t>P031</t>
        </is>
      </c>
      <c r="D2908" s="2" t="n">
        <v>2</v>
      </c>
      <c r="E2908" s="19" t="n">
        <v>0.05</v>
      </c>
    </row>
    <row r="2909">
      <c r="A2909" s="2" t="inlineStr">
        <is>
          <t>IT01148_01</t>
        </is>
      </c>
      <c r="B2909" s="2" t="inlineStr">
        <is>
          <t>PED01148</t>
        </is>
      </c>
      <c r="C2909" s="2" t="inlineStr">
        <is>
          <t>P061</t>
        </is>
      </c>
      <c r="D2909" s="2" t="n">
        <v>3</v>
      </c>
      <c r="E2909" s="19" t="n">
        <v>0</v>
      </c>
    </row>
    <row r="2910">
      <c r="A2910" s="2" t="inlineStr">
        <is>
          <t>IT01148_02</t>
        </is>
      </c>
      <c r="B2910" s="2" t="inlineStr">
        <is>
          <t>PED01148</t>
        </is>
      </c>
      <c r="C2910" s="2" t="inlineStr">
        <is>
          <t>P029</t>
        </is>
      </c>
      <c r="D2910" s="2" t="n">
        <v>1</v>
      </c>
      <c r="E2910" s="19" t="n">
        <v>0</v>
      </c>
    </row>
    <row r="2911">
      <c r="A2911" s="2" t="inlineStr">
        <is>
          <t>IT01149_01</t>
        </is>
      </c>
      <c r="B2911" s="2" t="inlineStr">
        <is>
          <t>PED01149</t>
        </is>
      </c>
      <c r="C2911" s="2" t="inlineStr">
        <is>
          <t>P006</t>
        </is>
      </c>
      <c r="D2911" s="2" t="n">
        <v>3</v>
      </c>
      <c r="E2911" s="19" t="n">
        <v>0</v>
      </c>
    </row>
    <row r="2912">
      <c r="A2912" s="2" t="inlineStr">
        <is>
          <t>IT01149_02</t>
        </is>
      </c>
      <c r="B2912" s="2" t="inlineStr">
        <is>
          <t>PED01149</t>
        </is>
      </c>
      <c r="C2912" s="2" t="inlineStr">
        <is>
          <t>P066</t>
        </is>
      </c>
      <c r="D2912" s="2" t="n">
        <v>2</v>
      </c>
      <c r="E2912" s="19" t="n">
        <v>0</v>
      </c>
    </row>
    <row r="2913">
      <c r="A2913" s="2" t="inlineStr">
        <is>
          <t>IT01149_03</t>
        </is>
      </c>
      <c r="B2913" s="2" t="inlineStr">
        <is>
          <t>PED01149</t>
        </is>
      </c>
      <c r="C2913" s="2" t="inlineStr">
        <is>
          <t>P024</t>
        </is>
      </c>
      <c r="D2913" s="2" t="n">
        <v>4</v>
      </c>
      <c r="E2913" s="19" t="n">
        <v>0</v>
      </c>
    </row>
    <row r="2914">
      <c r="A2914" s="2" t="inlineStr">
        <is>
          <t>IT01149_04</t>
        </is>
      </c>
      <c r="B2914" s="2" t="inlineStr">
        <is>
          <t>PED01149</t>
        </is>
      </c>
      <c r="C2914" s="2" t="inlineStr">
        <is>
          <t>P050</t>
        </is>
      </c>
      <c r="D2914" s="2" t="n">
        <v>1</v>
      </c>
      <c r="E2914" s="19" t="n">
        <v>0</v>
      </c>
    </row>
    <row r="2915">
      <c r="A2915" s="2" t="inlineStr">
        <is>
          <t>IT01149_05</t>
        </is>
      </c>
      <c r="B2915" s="2" t="inlineStr">
        <is>
          <t>PED01149</t>
        </is>
      </c>
      <c r="C2915" s="2" t="inlineStr">
        <is>
          <t>P064</t>
        </is>
      </c>
      <c r="D2915" s="2" t="n">
        <v>1</v>
      </c>
      <c r="E2915" s="19" t="n">
        <v>0</v>
      </c>
    </row>
    <row r="2916">
      <c r="A2916" s="2" t="inlineStr">
        <is>
          <t>IT01150_01</t>
        </is>
      </c>
      <c r="B2916" s="2" t="inlineStr">
        <is>
          <t>PED01150</t>
        </is>
      </c>
      <c r="C2916" s="2" t="inlineStr">
        <is>
          <t>P012</t>
        </is>
      </c>
      <c r="D2916" s="2" t="n">
        <v>4</v>
      </c>
      <c r="E2916" s="19" t="n">
        <v>0.02</v>
      </c>
    </row>
    <row r="2917">
      <c r="A2917" s="2" t="inlineStr">
        <is>
          <t>IT01150_02</t>
        </is>
      </c>
      <c r="B2917" s="2" t="inlineStr">
        <is>
          <t>PED01150</t>
        </is>
      </c>
      <c r="C2917" s="2" t="inlineStr">
        <is>
          <t>P064</t>
        </is>
      </c>
      <c r="D2917" s="2" t="n">
        <v>2</v>
      </c>
      <c r="E2917" s="19" t="n">
        <v>0</v>
      </c>
    </row>
    <row r="2918">
      <c r="A2918" s="2" t="inlineStr">
        <is>
          <t>IT01150_03</t>
        </is>
      </c>
      <c r="B2918" s="2" t="inlineStr">
        <is>
          <t>PED01150</t>
        </is>
      </c>
      <c r="C2918" s="2" t="inlineStr">
        <is>
          <t>P056</t>
        </is>
      </c>
      <c r="D2918" s="2" t="n">
        <v>3</v>
      </c>
      <c r="E2918" s="19" t="n">
        <v>0</v>
      </c>
    </row>
    <row r="2919">
      <c r="A2919" s="2" t="inlineStr">
        <is>
          <t>IT01150_04</t>
        </is>
      </c>
      <c r="B2919" s="2" t="inlineStr">
        <is>
          <t>PED01150</t>
        </is>
      </c>
      <c r="C2919" s="2" t="inlineStr">
        <is>
          <t>P034</t>
        </is>
      </c>
      <c r="D2919" s="2" t="n">
        <v>1</v>
      </c>
      <c r="E2919" s="19" t="n">
        <v>0.1</v>
      </c>
    </row>
    <row r="2920">
      <c r="A2920" s="2" t="inlineStr">
        <is>
          <t>IT01150_05</t>
        </is>
      </c>
      <c r="B2920" s="2" t="inlineStr">
        <is>
          <t>PED01150</t>
        </is>
      </c>
      <c r="C2920" s="2" t="inlineStr">
        <is>
          <t>P069</t>
        </is>
      </c>
      <c r="D2920" s="2" t="n">
        <v>1</v>
      </c>
      <c r="E2920" s="19" t="n">
        <v>0.02</v>
      </c>
    </row>
    <row r="2921">
      <c r="A2921" s="2" t="inlineStr">
        <is>
          <t>IT01151_01</t>
        </is>
      </c>
      <c r="B2921" s="2" t="inlineStr">
        <is>
          <t>PED01151</t>
        </is>
      </c>
      <c r="C2921" s="2" t="inlineStr">
        <is>
          <t>P038</t>
        </is>
      </c>
      <c r="D2921" s="2" t="n">
        <v>1</v>
      </c>
      <c r="E2921" s="19" t="n">
        <v>0.1</v>
      </c>
    </row>
    <row r="2922">
      <c r="A2922" s="2" t="inlineStr">
        <is>
          <t>IT01151_02</t>
        </is>
      </c>
      <c r="B2922" s="2" t="inlineStr">
        <is>
          <t>PED01151</t>
        </is>
      </c>
      <c r="C2922" s="2" t="inlineStr">
        <is>
          <t>P033</t>
        </is>
      </c>
      <c r="D2922" s="2" t="n">
        <v>4</v>
      </c>
      <c r="E2922" s="19" t="n">
        <v>0</v>
      </c>
    </row>
    <row r="2923">
      <c r="A2923" s="2" t="inlineStr">
        <is>
          <t>IT01151_03</t>
        </is>
      </c>
      <c r="B2923" s="2" t="inlineStr">
        <is>
          <t>PED01151</t>
        </is>
      </c>
      <c r="C2923" s="2" t="inlineStr">
        <is>
          <t>P020</t>
        </is>
      </c>
      <c r="D2923" s="2" t="n">
        <v>3</v>
      </c>
      <c r="E2923" s="19" t="n">
        <v>0.02</v>
      </c>
    </row>
    <row r="2924">
      <c r="A2924" s="2" t="inlineStr">
        <is>
          <t>IT01152_01</t>
        </is>
      </c>
      <c r="B2924" s="2" t="inlineStr">
        <is>
          <t>PED01152</t>
        </is>
      </c>
      <c r="C2924" s="2" t="inlineStr">
        <is>
          <t>P044</t>
        </is>
      </c>
      <c r="D2924" s="2" t="n">
        <v>1</v>
      </c>
      <c r="E2924" s="19" t="n">
        <v>0</v>
      </c>
    </row>
    <row r="2925">
      <c r="A2925" s="2" t="inlineStr">
        <is>
          <t>IT01152_02</t>
        </is>
      </c>
      <c r="B2925" s="2" t="inlineStr">
        <is>
          <t>PED01152</t>
        </is>
      </c>
      <c r="C2925" s="2" t="inlineStr">
        <is>
          <t>P028</t>
        </is>
      </c>
      <c r="D2925" s="2" t="n">
        <v>1</v>
      </c>
      <c r="E2925" s="19" t="n">
        <v>0.05</v>
      </c>
    </row>
    <row r="2926">
      <c r="A2926" s="2" t="inlineStr">
        <is>
          <t>IT01153_01</t>
        </is>
      </c>
      <c r="B2926" s="2" t="inlineStr">
        <is>
          <t>PED01153</t>
        </is>
      </c>
      <c r="C2926" s="2" t="inlineStr">
        <is>
          <t>P063</t>
        </is>
      </c>
      <c r="D2926" s="2" t="n">
        <v>1</v>
      </c>
      <c r="E2926" s="19" t="n">
        <v>0</v>
      </c>
    </row>
    <row r="2927">
      <c r="A2927" s="2" t="inlineStr">
        <is>
          <t>IT01153_02</t>
        </is>
      </c>
      <c r="B2927" s="2" t="inlineStr">
        <is>
          <t>PED01153</t>
        </is>
      </c>
      <c r="C2927" s="2" t="inlineStr">
        <is>
          <t>P036</t>
        </is>
      </c>
      <c r="D2927" s="2" t="n">
        <v>2</v>
      </c>
      <c r="E2927" s="19" t="n">
        <v>0</v>
      </c>
    </row>
    <row r="2928">
      <c r="A2928" s="2" t="inlineStr">
        <is>
          <t>IT01154_01</t>
        </is>
      </c>
      <c r="B2928" s="2" t="inlineStr">
        <is>
          <t>PED01154</t>
        </is>
      </c>
      <c r="C2928" s="2" t="inlineStr">
        <is>
          <t>P029</t>
        </is>
      </c>
      <c r="D2928" s="2" t="n">
        <v>1</v>
      </c>
      <c r="E2928" s="19" t="n">
        <v>0</v>
      </c>
    </row>
    <row r="2929">
      <c r="A2929" s="2" t="inlineStr">
        <is>
          <t>IT01154_02</t>
        </is>
      </c>
      <c r="B2929" s="2" t="inlineStr">
        <is>
          <t>PED01154</t>
        </is>
      </c>
      <c r="C2929" s="2" t="inlineStr">
        <is>
          <t>P050</t>
        </is>
      </c>
      <c r="D2929" s="2" t="n">
        <v>3</v>
      </c>
      <c r="E2929" s="19" t="n">
        <v>0.02</v>
      </c>
    </row>
    <row r="2930">
      <c r="A2930" s="2" t="inlineStr">
        <is>
          <t>IT01154_03</t>
        </is>
      </c>
      <c r="B2930" s="2" t="inlineStr">
        <is>
          <t>PED01154</t>
        </is>
      </c>
      <c r="C2930" s="2" t="inlineStr">
        <is>
          <t>P023</t>
        </is>
      </c>
      <c r="D2930" s="2" t="n">
        <v>1</v>
      </c>
      <c r="E2930" s="19" t="n">
        <v>0.05</v>
      </c>
    </row>
    <row r="2931">
      <c r="A2931" s="2" t="inlineStr">
        <is>
          <t>IT01155_01</t>
        </is>
      </c>
      <c r="B2931" s="2" t="inlineStr">
        <is>
          <t>PED01155</t>
        </is>
      </c>
      <c r="C2931" s="2" t="inlineStr">
        <is>
          <t>P047</t>
        </is>
      </c>
      <c r="D2931" s="2" t="n">
        <v>1</v>
      </c>
      <c r="E2931" s="19" t="n">
        <v>0</v>
      </c>
    </row>
    <row r="2932">
      <c r="A2932" s="2" t="inlineStr">
        <is>
          <t>IT01155_02</t>
        </is>
      </c>
      <c r="B2932" s="2" t="inlineStr">
        <is>
          <t>PED01155</t>
        </is>
      </c>
      <c r="C2932" s="2" t="inlineStr">
        <is>
          <t>P041</t>
        </is>
      </c>
      <c r="D2932" s="2" t="n">
        <v>1</v>
      </c>
      <c r="E2932" s="19" t="n">
        <v>0</v>
      </c>
    </row>
    <row r="2933">
      <c r="A2933" s="2" t="inlineStr">
        <is>
          <t>IT01156_01</t>
        </is>
      </c>
      <c r="B2933" s="2" t="inlineStr">
        <is>
          <t>PED01156</t>
        </is>
      </c>
      <c r="C2933" s="2" t="inlineStr">
        <is>
          <t>P044</t>
        </is>
      </c>
      <c r="D2933" s="2" t="n">
        <v>1</v>
      </c>
      <c r="E2933" s="19" t="n">
        <v>0</v>
      </c>
    </row>
    <row r="2934">
      <c r="A2934" s="2" t="inlineStr">
        <is>
          <t>IT01156_02</t>
        </is>
      </c>
      <c r="B2934" s="2" t="inlineStr">
        <is>
          <t>PED01156</t>
        </is>
      </c>
      <c r="C2934" s="2" t="inlineStr">
        <is>
          <t>P043</t>
        </is>
      </c>
      <c r="D2934" s="2" t="n">
        <v>2</v>
      </c>
      <c r="E2934" s="19" t="n">
        <v>0</v>
      </c>
    </row>
    <row r="2935">
      <c r="A2935" s="2" t="inlineStr">
        <is>
          <t>IT01156_03</t>
        </is>
      </c>
      <c r="B2935" s="2" t="inlineStr">
        <is>
          <t>PED01156</t>
        </is>
      </c>
      <c r="C2935" s="2" t="inlineStr">
        <is>
          <t>P055</t>
        </is>
      </c>
      <c r="D2935" s="2" t="n">
        <v>1</v>
      </c>
      <c r="E2935" s="19" t="n">
        <v>0.1</v>
      </c>
    </row>
    <row r="2936">
      <c r="A2936" s="2" t="inlineStr">
        <is>
          <t>IT01157_01</t>
        </is>
      </c>
      <c r="B2936" s="2" t="inlineStr">
        <is>
          <t>PED01157</t>
        </is>
      </c>
      <c r="C2936" s="2" t="inlineStr">
        <is>
          <t>P001</t>
        </is>
      </c>
      <c r="D2936" s="2" t="n">
        <v>1</v>
      </c>
      <c r="E2936" s="19" t="n">
        <v>0</v>
      </c>
    </row>
    <row r="2937">
      <c r="A2937" s="2" t="inlineStr">
        <is>
          <t>IT01157_02</t>
        </is>
      </c>
      <c r="B2937" s="2" t="inlineStr">
        <is>
          <t>PED01157</t>
        </is>
      </c>
      <c r="C2937" s="2" t="inlineStr">
        <is>
          <t>P018</t>
        </is>
      </c>
      <c r="D2937" s="2" t="n">
        <v>5</v>
      </c>
      <c r="E2937" s="19" t="n">
        <v>0.02</v>
      </c>
    </row>
    <row r="2938">
      <c r="A2938" s="2" t="inlineStr">
        <is>
          <t>IT01158_01</t>
        </is>
      </c>
      <c r="B2938" s="2" t="inlineStr">
        <is>
          <t>PED01158</t>
        </is>
      </c>
      <c r="C2938" s="2" t="inlineStr">
        <is>
          <t>P026</t>
        </is>
      </c>
      <c r="D2938" s="2" t="n">
        <v>3</v>
      </c>
      <c r="E2938" s="19" t="n">
        <v>0</v>
      </c>
    </row>
    <row r="2939">
      <c r="A2939" s="2" t="inlineStr">
        <is>
          <t>IT01158_02</t>
        </is>
      </c>
      <c r="B2939" s="2" t="inlineStr">
        <is>
          <t>PED01158</t>
        </is>
      </c>
      <c r="C2939" s="2" t="inlineStr">
        <is>
          <t>P032</t>
        </is>
      </c>
      <c r="D2939" s="2" t="n">
        <v>5</v>
      </c>
      <c r="E2939" s="19" t="n">
        <v>0</v>
      </c>
    </row>
    <row r="2940">
      <c r="A2940" s="2" t="inlineStr">
        <is>
          <t>IT01159_01</t>
        </is>
      </c>
      <c r="B2940" s="2" t="inlineStr">
        <is>
          <t>PED01159</t>
        </is>
      </c>
      <c r="C2940" s="2" t="inlineStr">
        <is>
          <t>P022</t>
        </is>
      </c>
      <c r="D2940" s="2" t="n">
        <v>2</v>
      </c>
      <c r="E2940" s="19" t="n">
        <v>0.05</v>
      </c>
    </row>
    <row r="2941">
      <c r="A2941" s="2" t="inlineStr">
        <is>
          <t>IT01160_01</t>
        </is>
      </c>
      <c r="B2941" s="2" t="inlineStr">
        <is>
          <t>PED01160</t>
        </is>
      </c>
      <c r="C2941" s="2" t="inlineStr">
        <is>
          <t>P044</t>
        </is>
      </c>
      <c r="D2941" s="2" t="n">
        <v>2</v>
      </c>
      <c r="E2941" s="19" t="n">
        <v>0.1</v>
      </c>
    </row>
    <row r="2942">
      <c r="A2942" s="2" t="inlineStr">
        <is>
          <t>IT01161_01</t>
        </is>
      </c>
      <c r="B2942" s="2" t="inlineStr">
        <is>
          <t>PED01161</t>
        </is>
      </c>
      <c r="C2942" s="2" t="inlineStr">
        <is>
          <t>P027</t>
        </is>
      </c>
      <c r="D2942" s="2" t="n">
        <v>1</v>
      </c>
      <c r="E2942" s="19" t="n">
        <v>0</v>
      </c>
    </row>
    <row r="2943">
      <c r="A2943" s="2" t="inlineStr">
        <is>
          <t>IT01161_02</t>
        </is>
      </c>
      <c r="B2943" s="2" t="inlineStr">
        <is>
          <t>PED01161</t>
        </is>
      </c>
      <c r="C2943" s="2" t="inlineStr">
        <is>
          <t>P040</t>
        </is>
      </c>
      <c r="D2943" s="2" t="n">
        <v>3</v>
      </c>
      <c r="E2943" s="19" t="n">
        <v>0</v>
      </c>
    </row>
    <row r="2944">
      <c r="A2944" s="2" t="inlineStr">
        <is>
          <t>IT01161_03</t>
        </is>
      </c>
      <c r="B2944" s="2" t="inlineStr">
        <is>
          <t>PED01161</t>
        </is>
      </c>
      <c r="C2944" s="2" t="inlineStr">
        <is>
          <t>P026</t>
        </is>
      </c>
      <c r="D2944" s="2" t="n">
        <v>1</v>
      </c>
      <c r="E2944" s="19" t="n">
        <v>0.1</v>
      </c>
    </row>
    <row r="2945">
      <c r="A2945" s="2" t="inlineStr">
        <is>
          <t>IT01162_01</t>
        </is>
      </c>
      <c r="B2945" s="2" t="inlineStr">
        <is>
          <t>PED01162</t>
        </is>
      </c>
      <c r="C2945" s="2" t="inlineStr">
        <is>
          <t>P009</t>
        </is>
      </c>
      <c r="D2945" s="2" t="n">
        <v>1</v>
      </c>
      <c r="E2945" s="19" t="n">
        <v>0</v>
      </c>
    </row>
    <row r="2946">
      <c r="A2946" s="2" t="inlineStr">
        <is>
          <t>IT01163_01</t>
        </is>
      </c>
      <c r="B2946" s="2" t="inlineStr">
        <is>
          <t>PED01163</t>
        </is>
      </c>
      <c r="C2946" s="2" t="inlineStr">
        <is>
          <t>P037</t>
        </is>
      </c>
      <c r="D2946" s="2" t="n">
        <v>1</v>
      </c>
      <c r="E2946" s="19" t="n">
        <v>0</v>
      </c>
    </row>
    <row r="2947">
      <c r="A2947" s="2" t="inlineStr">
        <is>
          <t>IT01163_02</t>
        </is>
      </c>
      <c r="B2947" s="2" t="inlineStr">
        <is>
          <t>PED01163</t>
        </is>
      </c>
      <c r="C2947" s="2" t="inlineStr">
        <is>
          <t>P062</t>
        </is>
      </c>
      <c r="D2947" s="2" t="n">
        <v>2</v>
      </c>
      <c r="E2947" s="19" t="n">
        <v>0</v>
      </c>
    </row>
    <row r="2948">
      <c r="A2948" s="2" t="inlineStr">
        <is>
          <t>IT01163_03</t>
        </is>
      </c>
      <c r="B2948" s="2" t="inlineStr">
        <is>
          <t>PED01163</t>
        </is>
      </c>
      <c r="C2948" s="2" t="inlineStr">
        <is>
          <t>P001</t>
        </is>
      </c>
      <c r="D2948" s="2" t="n">
        <v>1</v>
      </c>
      <c r="E2948" s="19" t="n">
        <v>0.02</v>
      </c>
    </row>
    <row r="2949">
      <c r="A2949" s="2" t="inlineStr">
        <is>
          <t>IT01163_04</t>
        </is>
      </c>
      <c r="B2949" s="2" t="inlineStr">
        <is>
          <t>PED01163</t>
        </is>
      </c>
      <c r="C2949" s="2" t="inlineStr">
        <is>
          <t>P007</t>
        </is>
      </c>
      <c r="D2949" s="2" t="n">
        <v>2</v>
      </c>
      <c r="E2949" s="19" t="n">
        <v>0</v>
      </c>
    </row>
    <row r="2950">
      <c r="A2950" s="2" t="inlineStr">
        <is>
          <t>IT01164_01</t>
        </is>
      </c>
      <c r="B2950" s="2" t="inlineStr">
        <is>
          <t>PED01164</t>
        </is>
      </c>
      <c r="C2950" s="2" t="inlineStr">
        <is>
          <t>P050</t>
        </is>
      </c>
      <c r="D2950" s="2" t="n">
        <v>1</v>
      </c>
      <c r="E2950" s="19" t="n">
        <v>0</v>
      </c>
    </row>
    <row r="2951">
      <c r="A2951" s="2" t="inlineStr">
        <is>
          <t>IT01164_02</t>
        </is>
      </c>
      <c r="B2951" s="2" t="inlineStr">
        <is>
          <t>PED01164</t>
        </is>
      </c>
      <c r="C2951" s="2" t="inlineStr">
        <is>
          <t>P045</t>
        </is>
      </c>
      <c r="D2951" s="2" t="n">
        <v>1</v>
      </c>
      <c r="E2951" s="19" t="n">
        <v>0</v>
      </c>
    </row>
    <row r="2952">
      <c r="A2952" s="2" t="inlineStr">
        <is>
          <t>IT01164_03</t>
        </is>
      </c>
      <c r="B2952" s="2" t="inlineStr">
        <is>
          <t>PED01164</t>
        </is>
      </c>
      <c r="C2952" s="2" t="inlineStr">
        <is>
          <t>P055</t>
        </is>
      </c>
      <c r="D2952" s="2" t="n">
        <v>1</v>
      </c>
      <c r="E2952" s="19" t="n">
        <v>0</v>
      </c>
    </row>
    <row r="2953">
      <c r="A2953" s="2" t="inlineStr">
        <is>
          <t>IT01164_04</t>
        </is>
      </c>
      <c r="B2953" s="2" t="inlineStr">
        <is>
          <t>PED01164</t>
        </is>
      </c>
      <c r="C2953" s="2" t="inlineStr">
        <is>
          <t>P005</t>
        </is>
      </c>
      <c r="D2953" s="2" t="n">
        <v>1</v>
      </c>
      <c r="E2953" s="19" t="n">
        <v>0</v>
      </c>
    </row>
    <row r="2954">
      <c r="A2954" s="2" t="inlineStr">
        <is>
          <t>IT01165_01</t>
        </is>
      </c>
      <c r="B2954" s="2" t="inlineStr">
        <is>
          <t>PED01165</t>
        </is>
      </c>
      <c r="C2954" s="2" t="inlineStr">
        <is>
          <t>P046</t>
        </is>
      </c>
      <c r="D2954" s="2" t="n">
        <v>1</v>
      </c>
      <c r="E2954" s="19" t="n">
        <v>0.02</v>
      </c>
    </row>
    <row r="2955">
      <c r="A2955" s="2" t="inlineStr">
        <is>
          <t>IT01166_01</t>
        </is>
      </c>
      <c r="B2955" s="2" t="inlineStr">
        <is>
          <t>PED01166</t>
        </is>
      </c>
      <c r="C2955" s="2" t="inlineStr">
        <is>
          <t>P048</t>
        </is>
      </c>
      <c r="D2955" s="2" t="n">
        <v>1</v>
      </c>
      <c r="E2955" s="19" t="n">
        <v>0</v>
      </c>
    </row>
    <row r="2956">
      <c r="A2956" s="2" t="inlineStr">
        <is>
          <t>IT01167_01</t>
        </is>
      </c>
      <c r="B2956" s="2" t="inlineStr">
        <is>
          <t>PED01167</t>
        </is>
      </c>
      <c r="C2956" s="2" t="inlineStr">
        <is>
          <t>P041</t>
        </is>
      </c>
      <c r="D2956" s="2" t="n">
        <v>2</v>
      </c>
      <c r="E2956" s="19" t="n">
        <v>0.05</v>
      </c>
    </row>
    <row r="2957">
      <c r="A2957" s="2" t="inlineStr">
        <is>
          <t>IT01168_01</t>
        </is>
      </c>
      <c r="B2957" s="2" t="inlineStr">
        <is>
          <t>PED01168</t>
        </is>
      </c>
      <c r="C2957" s="2" t="inlineStr">
        <is>
          <t>P032</t>
        </is>
      </c>
      <c r="D2957" s="2" t="n">
        <v>3</v>
      </c>
      <c r="E2957" s="19" t="n">
        <v>0.05</v>
      </c>
    </row>
    <row r="2958">
      <c r="A2958" s="2" t="inlineStr">
        <is>
          <t>IT01168_02</t>
        </is>
      </c>
      <c r="B2958" s="2" t="inlineStr">
        <is>
          <t>PED01168</t>
        </is>
      </c>
      <c r="C2958" s="2" t="inlineStr">
        <is>
          <t>P039</t>
        </is>
      </c>
      <c r="D2958" s="2" t="n">
        <v>5</v>
      </c>
      <c r="E2958" s="19" t="n">
        <v>0</v>
      </c>
    </row>
    <row r="2959">
      <c r="A2959" s="2" t="inlineStr">
        <is>
          <t>IT01168_03</t>
        </is>
      </c>
      <c r="B2959" s="2" t="inlineStr">
        <is>
          <t>PED01168</t>
        </is>
      </c>
      <c r="C2959" s="2" t="inlineStr">
        <is>
          <t>P043</t>
        </is>
      </c>
      <c r="D2959" s="2" t="n">
        <v>1</v>
      </c>
      <c r="E2959" s="19" t="n">
        <v>0.02</v>
      </c>
    </row>
    <row r="2960">
      <c r="A2960" s="2" t="inlineStr">
        <is>
          <t>IT01169_01</t>
        </is>
      </c>
      <c r="B2960" s="2" t="inlineStr">
        <is>
          <t>PED01169</t>
        </is>
      </c>
      <c r="C2960" s="2" t="inlineStr">
        <is>
          <t>P032</t>
        </is>
      </c>
      <c r="D2960" s="2" t="n">
        <v>2</v>
      </c>
      <c r="E2960" s="19" t="n">
        <v>0</v>
      </c>
    </row>
    <row r="2961">
      <c r="A2961" s="2" t="inlineStr">
        <is>
          <t>IT01169_02</t>
        </is>
      </c>
      <c r="B2961" s="2" t="inlineStr">
        <is>
          <t>PED01169</t>
        </is>
      </c>
      <c r="C2961" s="2" t="inlineStr">
        <is>
          <t>P034</t>
        </is>
      </c>
      <c r="D2961" s="2" t="n">
        <v>2</v>
      </c>
      <c r="E2961" s="19" t="n">
        <v>0</v>
      </c>
    </row>
    <row r="2962">
      <c r="A2962" s="2" t="inlineStr">
        <is>
          <t>IT01169_03</t>
        </is>
      </c>
      <c r="B2962" s="2" t="inlineStr">
        <is>
          <t>PED01169</t>
        </is>
      </c>
      <c r="C2962" s="2" t="inlineStr">
        <is>
          <t>P036</t>
        </is>
      </c>
      <c r="D2962" s="2" t="n">
        <v>1</v>
      </c>
      <c r="E2962" s="19" t="n">
        <v>0</v>
      </c>
    </row>
    <row r="2963">
      <c r="A2963" s="2" t="inlineStr">
        <is>
          <t>IT01170_01</t>
        </is>
      </c>
      <c r="B2963" s="2" t="inlineStr">
        <is>
          <t>PED01170</t>
        </is>
      </c>
      <c r="C2963" s="2" t="inlineStr">
        <is>
          <t>P062</t>
        </is>
      </c>
      <c r="D2963" s="2" t="n">
        <v>10</v>
      </c>
      <c r="E2963" s="19" t="n">
        <v>0.02</v>
      </c>
    </row>
    <row r="2964">
      <c r="A2964" s="2" t="inlineStr">
        <is>
          <t>IT01170_02</t>
        </is>
      </c>
      <c r="B2964" s="2" t="inlineStr">
        <is>
          <t>PED01170</t>
        </is>
      </c>
      <c r="C2964" s="2" t="inlineStr">
        <is>
          <t>P028</t>
        </is>
      </c>
      <c r="D2964" s="2" t="n">
        <v>2</v>
      </c>
      <c r="E2964" s="19" t="n">
        <v>0.02</v>
      </c>
    </row>
    <row r="2965">
      <c r="A2965" s="2" t="inlineStr">
        <is>
          <t>IT01171_01</t>
        </is>
      </c>
      <c r="B2965" s="2" t="inlineStr">
        <is>
          <t>PED01171</t>
        </is>
      </c>
      <c r="C2965" s="2" t="inlineStr">
        <is>
          <t>P058</t>
        </is>
      </c>
      <c r="D2965" s="2" t="n">
        <v>4</v>
      </c>
      <c r="E2965" s="19" t="n">
        <v>0.02</v>
      </c>
    </row>
    <row r="2966">
      <c r="A2966" s="2" t="inlineStr">
        <is>
          <t>IT01171_02</t>
        </is>
      </c>
      <c r="B2966" s="2" t="inlineStr">
        <is>
          <t>PED01171</t>
        </is>
      </c>
      <c r="C2966" s="2" t="inlineStr">
        <is>
          <t>P017</t>
        </is>
      </c>
      <c r="D2966" s="2" t="n">
        <v>2</v>
      </c>
      <c r="E2966" s="19" t="n">
        <v>0</v>
      </c>
    </row>
    <row r="2967">
      <c r="A2967" s="2" t="inlineStr">
        <is>
          <t>IT01171_03</t>
        </is>
      </c>
      <c r="B2967" s="2" t="inlineStr">
        <is>
          <t>PED01171</t>
        </is>
      </c>
      <c r="C2967" s="2" t="inlineStr">
        <is>
          <t>P008</t>
        </is>
      </c>
      <c r="D2967" s="2" t="n">
        <v>4</v>
      </c>
      <c r="E2967" s="19" t="n">
        <v>0</v>
      </c>
    </row>
    <row r="2968">
      <c r="A2968" s="2" t="inlineStr">
        <is>
          <t>IT01171_04</t>
        </is>
      </c>
      <c r="B2968" s="2" t="inlineStr">
        <is>
          <t>PED01171</t>
        </is>
      </c>
      <c r="C2968" s="2" t="inlineStr">
        <is>
          <t>P023</t>
        </is>
      </c>
      <c r="D2968" s="2" t="n">
        <v>1</v>
      </c>
      <c r="E2968" s="19" t="n">
        <v>0.02</v>
      </c>
    </row>
    <row r="2969">
      <c r="A2969" s="2" t="inlineStr">
        <is>
          <t>IT01171_05</t>
        </is>
      </c>
      <c r="B2969" s="2" t="inlineStr">
        <is>
          <t>PED01171</t>
        </is>
      </c>
      <c r="C2969" s="2" t="inlineStr">
        <is>
          <t>P015</t>
        </is>
      </c>
      <c r="D2969" s="2" t="n">
        <v>1</v>
      </c>
      <c r="E2969" s="19" t="n">
        <v>0</v>
      </c>
    </row>
    <row r="2970">
      <c r="A2970" s="2" t="inlineStr">
        <is>
          <t>IT01172_01</t>
        </is>
      </c>
      <c r="B2970" s="2" t="inlineStr">
        <is>
          <t>PED01172</t>
        </is>
      </c>
      <c r="C2970" s="2" t="inlineStr">
        <is>
          <t>P039</t>
        </is>
      </c>
      <c r="D2970" s="2" t="n">
        <v>1</v>
      </c>
      <c r="E2970" s="19" t="n">
        <v>0</v>
      </c>
    </row>
    <row r="2971">
      <c r="A2971" s="2" t="inlineStr">
        <is>
          <t>IT01172_02</t>
        </is>
      </c>
      <c r="B2971" s="2" t="inlineStr">
        <is>
          <t>PED01172</t>
        </is>
      </c>
      <c r="C2971" s="2" t="inlineStr">
        <is>
          <t>P049</t>
        </is>
      </c>
      <c r="D2971" s="2" t="n">
        <v>2</v>
      </c>
      <c r="E2971" s="19" t="n">
        <v>0.05</v>
      </c>
    </row>
    <row r="2972">
      <c r="A2972" s="2" t="inlineStr">
        <is>
          <t>IT01172_03</t>
        </is>
      </c>
      <c r="B2972" s="2" t="inlineStr">
        <is>
          <t>PED01172</t>
        </is>
      </c>
      <c r="C2972" s="2" t="inlineStr">
        <is>
          <t>P009</t>
        </is>
      </c>
      <c r="D2972" s="2" t="n">
        <v>1</v>
      </c>
      <c r="E2972" s="19" t="n">
        <v>0.02</v>
      </c>
    </row>
    <row r="2973">
      <c r="A2973" s="2" t="inlineStr">
        <is>
          <t>IT01173_01</t>
        </is>
      </c>
      <c r="B2973" s="2" t="inlineStr">
        <is>
          <t>PED01173</t>
        </is>
      </c>
      <c r="C2973" s="2" t="inlineStr">
        <is>
          <t>P051</t>
        </is>
      </c>
      <c r="D2973" s="2" t="n">
        <v>2</v>
      </c>
      <c r="E2973" s="19" t="n">
        <v>0</v>
      </c>
    </row>
    <row r="2974">
      <c r="A2974" s="2" t="inlineStr">
        <is>
          <t>IT01173_02</t>
        </is>
      </c>
      <c r="B2974" s="2" t="inlineStr">
        <is>
          <t>PED01173</t>
        </is>
      </c>
      <c r="C2974" s="2" t="inlineStr">
        <is>
          <t>P046</t>
        </is>
      </c>
      <c r="D2974" s="2" t="n">
        <v>1</v>
      </c>
      <c r="E2974" s="19" t="n">
        <v>0</v>
      </c>
    </row>
    <row r="2975">
      <c r="A2975" s="2" t="inlineStr">
        <is>
          <t>IT01174_01</t>
        </is>
      </c>
      <c r="B2975" s="2" t="inlineStr">
        <is>
          <t>PED01174</t>
        </is>
      </c>
      <c r="C2975" s="2" t="inlineStr">
        <is>
          <t>P028</t>
        </is>
      </c>
      <c r="D2975" s="2" t="n">
        <v>2</v>
      </c>
      <c r="E2975" s="19" t="n">
        <v>0</v>
      </c>
    </row>
    <row r="2976">
      <c r="A2976" s="2" t="inlineStr">
        <is>
          <t>IT01174_02</t>
        </is>
      </c>
      <c r="B2976" s="2" t="inlineStr">
        <is>
          <t>PED01174</t>
        </is>
      </c>
      <c r="C2976" s="2" t="inlineStr">
        <is>
          <t>P009</t>
        </is>
      </c>
      <c r="D2976" s="2" t="n">
        <v>2</v>
      </c>
      <c r="E2976" s="19" t="n">
        <v>0</v>
      </c>
    </row>
    <row r="2977">
      <c r="A2977" s="2" t="inlineStr">
        <is>
          <t>IT01174_03</t>
        </is>
      </c>
      <c r="B2977" s="2" t="inlineStr">
        <is>
          <t>PED01174</t>
        </is>
      </c>
      <c r="C2977" s="2" t="inlineStr">
        <is>
          <t>P034</t>
        </is>
      </c>
      <c r="D2977" s="2" t="n">
        <v>1</v>
      </c>
      <c r="E2977" s="19" t="n">
        <v>0</v>
      </c>
    </row>
    <row r="2978">
      <c r="A2978" s="2" t="inlineStr">
        <is>
          <t>IT01174_04</t>
        </is>
      </c>
      <c r="B2978" s="2" t="inlineStr">
        <is>
          <t>PED01174</t>
        </is>
      </c>
      <c r="C2978" s="2" t="inlineStr">
        <is>
          <t>P047</t>
        </is>
      </c>
      <c r="D2978" s="2" t="n">
        <v>5</v>
      </c>
      <c r="E2978" s="19" t="n">
        <v>0</v>
      </c>
    </row>
    <row r="2979">
      <c r="A2979" s="2" t="inlineStr">
        <is>
          <t>IT01175_01</t>
        </is>
      </c>
      <c r="B2979" s="2" t="inlineStr">
        <is>
          <t>PED01175</t>
        </is>
      </c>
      <c r="C2979" s="2" t="inlineStr">
        <is>
          <t>P018</t>
        </is>
      </c>
      <c r="D2979" s="2" t="n">
        <v>2</v>
      </c>
      <c r="E2979" s="19" t="n">
        <v>0</v>
      </c>
    </row>
    <row r="2980">
      <c r="A2980" s="2" t="inlineStr">
        <is>
          <t>IT01175_02</t>
        </is>
      </c>
      <c r="B2980" s="2" t="inlineStr">
        <is>
          <t>PED01175</t>
        </is>
      </c>
      <c r="C2980" s="2" t="inlineStr">
        <is>
          <t>P005</t>
        </is>
      </c>
      <c r="D2980" s="2" t="n">
        <v>1</v>
      </c>
      <c r="E2980" s="19" t="n">
        <v>0.02</v>
      </c>
    </row>
    <row r="2981">
      <c r="A2981" s="2" t="inlineStr">
        <is>
          <t>IT01175_03</t>
        </is>
      </c>
      <c r="B2981" s="2" t="inlineStr">
        <is>
          <t>PED01175</t>
        </is>
      </c>
      <c r="C2981" s="2" t="inlineStr">
        <is>
          <t>P032</t>
        </is>
      </c>
      <c r="D2981" s="2" t="n">
        <v>1</v>
      </c>
      <c r="E2981" s="19" t="n">
        <v>0</v>
      </c>
    </row>
    <row r="2982">
      <c r="A2982" s="2" t="inlineStr">
        <is>
          <t>IT01175_04</t>
        </is>
      </c>
      <c r="B2982" s="2" t="inlineStr">
        <is>
          <t>PED01175</t>
        </is>
      </c>
      <c r="C2982" s="2" t="inlineStr">
        <is>
          <t>P025</t>
        </is>
      </c>
      <c r="D2982" s="2" t="n">
        <v>2</v>
      </c>
      <c r="E2982" s="19" t="n">
        <v>0</v>
      </c>
    </row>
    <row r="2983">
      <c r="A2983" s="2" t="inlineStr">
        <is>
          <t>IT01175_05</t>
        </is>
      </c>
      <c r="B2983" s="2" t="inlineStr">
        <is>
          <t>PED01175</t>
        </is>
      </c>
      <c r="C2983" s="2" t="inlineStr">
        <is>
          <t>P040</t>
        </is>
      </c>
      <c r="D2983" s="2" t="n">
        <v>2</v>
      </c>
      <c r="E2983" s="19" t="n">
        <v>0.02</v>
      </c>
    </row>
    <row r="2984">
      <c r="A2984" s="2" t="inlineStr">
        <is>
          <t>IT01176_01</t>
        </is>
      </c>
      <c r="B2984" s="2" t="inlineStr">
        <is>
          <t>PED01176</t>
        </is>
      </c>
      <c r="C2984" s="2" t="inlineStr">
        <is>
          <t>P019</t>
        </is>
      </c>
      <c r="D2984" s="2" t="n">
        <v>3</v>
      </c>
      <c r="E2984" s="19" t="n">
        <v>0.1</v>
      </c>
    </row>
    <row r="2985">
      <c r="A2985" s="2" t="inlineStr">
        <is>
          <t>IT01176_02</t>
        </is>
      </c>
      <c r="B2985" s="2" t="inlineStr">
        <is>
          <t>PED01176</t>
        </is>
      </c>
      <c r="C2985" s="2" t="inlineStr">
        <is>
          <t>P036</t>
        </is>
      </c>
      <c r="D2985" s="2" t="n">
        <v>1</v>
      </c>
      <c r="E2985" s="19" t="n">
        <v>0.05</v>
      </c>
    </row>
    <row r="2986">
      <c r="A2986" s="2" t="inlineStr">
        <is>
          <t>IT01176_03</t>
        </is>
      </c>
      <c r="B2986" s="2" t="inlineStr">
        <is>
          <t>PED01176</t>
        </is>
      </c>
      <c r="C2986" s="2" t="inlineStr">
        <is>
          <t>P049</t>
        </is>
      </c>
      <c r="D2986" s="2" t="n">
        <v>1</v>
      </c>
      <c r="E2986" s="19" t="n">
        <v>0.02</v>
      </c>
    </row>
    <row r="2987">
      <c r="A2987" s="2" t="inlineStr">
        <is>
          <t>IT01177_01</t>
        </is>
      </c>
      <c r="B2987" s="2" t="inlineStr">
        <is>
          <t>PED01177</t>
        </is>
      </c>
      <c r="C2987" s="2" t="inlineStr">
        <is>
          <t>P041</t>
        </is>
      </c>
      <c r="D2987" s="2" t="n">
        <v>1</v>
      </c>
      <c r="E2987" s="19" t="n">
        <v>0</v>
      </c>
    </row>
    <row r="2988">
      <c r="A2988" s="2" t="inlineStr">
        <is>
          <t>IT01177_02</t>
        </is>
      </c>
      <c r="B2988" s="2" t="inlineStr">
        <is>
          <t>PED01177</t>
        </is>
      </c>
      <c r="C2988" s="2" t="inlineStr">
        <is>
          <t>P008</t>
        </is>
      </c>
      <c r="D2988" s="2" t="n">
        <v>3</v>
      </c>
      <c r="E2988" s="19" t="n">
        <v>0</v>
      </c>
    </row>
    <row r="2989">
      <c r="A2989" s="2" t="inlineStr">
        <is>
          <t>IT01178_01</t>
        </is>
      </c>
      <c r="B2989" s="2" t="inlineStr">
        <is>
          <t>PED01178</t>
        </is>
      </c>
      <c r="C2989" s="2" t="inlineStr">
        <is>
          <t>P024</t>
        </is>
      </c>
      <c r="D2989" s="2" t="n">
        <v>3</v>
      </c>
      <c r="E2989" s="19" t="n">
        <v>0.02</v>
      </c>
    </row>
    <row r="2990">
      <c r="A2990" s="2" t="inlineStr">
        <is>
          <t>IT01178_02</t>
        </is>
      </c>
      <c r="B2990" s="2" t="inlineStr">
        <is>
          <t>PED01178</t>
        </is>
      </c>
      <c r="C2990" s="2" t="inlineStr">
        <is>
          <t>P058</t>
        </is>
      </c>
      <c r="D2990" s="2" t="n">
        <v>3</v>
      </c>
      <c r="E2990" s="19" t="n">
        <v>0.02</v>
      </c>
    </row>
    <row r="2991">
      <c r="A2991" s="2" t="inlineStr">
        <is>
          <t>IT01179_01</t>
        </is>
      </c>
      <c r="B2991" s="2" t="inlineStr">
        <is>
          <t>PED01179</t>
        </is>
      </c>
      <c r="C2991" s="2" t="inlineStr">
        <is>
          <t>P003</t>
        </is>
      </c>
      <c r="D2991" s="2" t="n">
        <v>1</v>
      </c>
      <c r="E2991" s="19" t="n">
        <v>0</v>
      </c>
    </row>
    <row r="2992">
      <c r="A2992" s="2" t="inlineStr">
        <is>
          <t>IT01180_01</t>
        </is>
      </c>
      <c r="B2992" s="2" t="inlineStr">
        <is>
          <t>PED01180</t>
        </is>
      </c>
      <c r="C2992" s="2" t="inlineStr">
        <is>
          <t>P060</t>
        </is>
      </c>
      <c r="D2992" s="2" t="n">
        <v>1</v>
      </c>
      <c r="E2992" s="19" t="n">
        <v>0.02</v>
      </c>
    </row>
    <row r="2993">
      <c r="A2993" s="2" t="inlineStr">
        <is>
          <t>IT01180_02</t>
        </is>
      </c>
      <c r="B2993" s="2" t="inlineStr">
        <is>
          <t>PED01180</t>
        </is>
      </c>
      <c r="C2993" s="2" t="inlineStr">
        <is>
          <t>P057</t>
        </is>
      </c>
      <c r="D2993" s="2" t="n">
        <v>2</v>
      </c>
      <c r="E2993" s="19" t="n">
        <v>0</v>
      </c>
    </row>
    <row r="2994">
      <c r="A2994" s="2" t="inlineStr">
        <is>
          <t>IT01181_01</t>
        </is>
      </c>
      <c r="B2994" s="2" t="inlineStr">
        <is>
          <t>PED01181</t>
        </is>
      </c>
      <c r="C2994" s="2" t="inlineStr">
        <is>
          <t>P045</t>
        </is>
      </c>
      <c r="D2994" s="2" t="n">
        <v>4</v>
      </c>
      <c r="E2994" s="19" t="n">
        <v>0</v>
      </c>
    </row>
    <row r="2995">
      <c r="A2995" s="2" t="inlineStr">
        <is>
          <t>IT01181_02</t>
        </is>
      </c>
      <c r="B2995" s="2" t="inlineStr">
        <is>
          <t>PED01181</t>
        </is>
      </c>
      <c r="C2995" s="2" t="inlineStr">
        <is>
          <t>P041</t>
        </is>
      </c>
      <c r="D2995" s="2" t="n">
        <v>1</v>
      </c>
      <c r="E2995" s="19" t="n">
        <v>0</v>
      </c>
    </row>
    <row r="2996">
      <c r="A2996" s="2" t="inlineStr">
        <is>
          <t>IT01181_03</t>
        </is>
      </c>
      <c r="B2996" s="2" t="inlineStr">
        <is>
          <t>PED01181</t>
        </is>
      </c>
      <c r="C2996" s="2" t="inlineStr">
        <is>
          <t>P032</t>
        </is>
      </c>
      <c r="D2996" s="2" t="n">
        <v>1</v>
      </c>
      <c r="E2996" s="19" t="n">
        <v>0.05</v>
      </c>
    </row>
    <row r="2997">
      <c r="A2997" s="2" t="inlineStr">
        <is>
          <t>IT01182_01</t>
        </is>
      </c>
      <c r="B2997" s="2" t="inlineStr">
        <is>
          <t>PED01182</t>
        </is>
      </c>
      <c r="C2997" s="2" t="inlineStr">
        <is>
          <t>P017</t>
        </is>
      </c>
      <c r="D2997" s="2" t="n">
        <v>1</v>
      </c>
      <c r="E2997" s="19" t="n">
        <v>0</v>
      </c>
    </row>
    <row r="2998">
      <c r="A2998" s="2" t="inlineStr">
        <is>
          <t>IT01182_02</t>
        </is>
      </c>
      <c r="B2998" s="2" t="inlineStr">
        <is>
          <t>PED01182</t>
        </is>
      </c>
      <c r="C2998" s="2" t="inlineStr">
        <is>
          <t>P006</t>
        </is>
      </c>
      <c r="D2998" s="2" t="n">
        <v>1</v>
      </c>
      <c r="E2998" s="19" t="n">
        <v>0.1</v>
      </c>
    </row>
    <row r="2999">
      <c r="A2999" s="2" t="inlineStr">
        <is>
          <t>IT01183_01</t>
        </is>
      </c>
      <c r="B2999" s="2" t="inlineStr">
        <is>
          <t>PED01183</t>
        </is>
      </c>
      <c r="C2999" s="2" t="inlineStr">
        <is>
          <t>P038</t>
        </is>
      </c>
      <c r="D2999" s="2" t="n">
        <v>2</v>
      </c>
      <c r="E2999" s="19" t="n">
        <v>0.05</v>
      </c>
    </row>
    <row r="3000">
      <c r="A3000" s="2" t="inlineStr">
        <is>
          <t>IT01183_02</t>
        </is>
      </c>
      <c r="B3000" s="2" t="inlineStr">
        <is>
          <t>PED01183</t>
        </is>
      </c>
      <c r="C3000" s="2" t="inlineStr">
        <is>
          <t>P007</t>
        </is>
      </c>
      <c r="D3000" s="2" t="n">
        <v>1</v>
      </c>
      <c r="E3000" s="19" t="n">
        <v>0.05</v>
      </c>
    </row>
    <row r="3001">
      <c r="A3001" s="2" t="inlineStr">
        <is>
          <t>IT01183_03</t>
        </is>
      </c>
      <c r="B3001" s="2" t="inlineStr">
        <is>
          <t>PED01183</t>
        </is>
      </c>
      <c r="C3001" s="2" t="inlineStr">
        <is>
          <t>P048</t>
        </is>
      </c>
      <c r="D3001" s="2" t="n">
        <v>2</v>
      </c>
      <c r="E3001" s="19" t="n">
        <v>0</v>
      </c>
    </row>
    <row r="3002">
      <c r="A3002" s="2" t="inlineStr">
        <is>
          <t>IT01183_04</t>
        </is>
      </c>
      <c r="B3002" s="2" t="inlineStr">
        <is>
          <t>PED01183</t>
        </is>
      </c>
      <c r="C3002" s="2" t="inlineStr">
        <is>
          <t>P008</t>
        </is>
      </c>
      <c r="D3002" s="2" t="n">
        <v>3</v>
      </c>
      <c r="E3002" s="19" t="n">
        <v>0.1</v>
      </c>
    </row>
    <row r="3003">
      <c r="A3003" s="2" t="inlineStr">
        <is>
          <t>IT01184_01</t>
        </is>
      </c>
      <c r="B3003" s="2" t="inlineStr">
        <is>
          <t>PED01184</t>
        </is>
      </c>
      <c r="C3003" s="2" t="inlineStr">
        <is>
          <t>P024</t>
        </is>
      </c>
      <c r="D3003" s="2" t="n">
        <v>1</v>
      </c>
      <c r="E3003" s="19" t="n">
        <v>0</v>
      </c>
    </row>
    <row r="3004">
      <c r="A3004" s="2" t="inlineStr">
        <is>
          <t>IT01184_02</t>
        </is>
      </c>
      <c r="B3004" s="2" t="inlineStr">
        <is>
          <t>PED01184</t>
        </is>
      </c>
      <c r="C3004" s="2" t="inlineStr">
        <is>
          <t>P034</t>
        </is>
      </c>
      <c r="D3004" s="2" t="n">
        <v>1</v>
      </c>
      <c r="E3004" s="19" t="n">
        <v>0.05</v>
      </c>
    </row>
    <row r="3005">
      <c r="A3005" s="2" t="inlineStr">
        <is>
          <t>IT01184_03</t>
        </is>
      </c>
      <c r="B3005" s="2" t="inlineStr">
        <is>
          <t>PED01184</t>
        </is>
      </c>
      <c r="C3005" s="2" t="inlineStr">
        <is>
          <t>P007</t>
        </is>
      </c>
      <c r="D3005" s="2" t="n">
        <v>2</v>
      </c>
      <c r="E3005" s="19" t="n">
        <v>0.02</v>
      </c>
    </row>
    <row r="3006">
      <c r="A3006" s="2" t="inlineStr">
        <is>
          <t>IT01185_01</t>
        </is>
      </c>
      <c r="B3006" s="2" t="inlineStr">
        <is>
          <t>PED01185</t>
        </is>
      </c>
      <c r="C3006" s="2" t="inlineStr">
        <is>
          <t>P006</t>
        </is>
      </c>
      <c r="D3006" s="2" t="n">
        <v>3</v>
      </c>
      <c r="E3006" s="19" t="n">
        <v>0</v>
      </c>
    </row>
    <row r="3007">
      <c r="A3007" s="2" t="inlineStr">
        <is>
          <t>IT01186_01</t>
        </is>
      </c>
      <c r="B3007" s="2" t="inlineStr">
        <is>
          <t>PED01186</t>
        </is>
      </c>
      <c r="C3007" s="2" t="inlineStr">
        <is>
          <t>P019</t>
        </is>
      </c>
      <c r="D3007" s="2" t="n">
        <v>2</v>
      </c>
      <c r="E3007" s="19" t="n">
        <v>0.02</v>
      </c>
    </row>
    <row r="3008">
      <c r="A3008" s="2" t="inlineStr">
        <is>
          <t>IT01186_02</t>
        </is>
      </c>
      <c r="B3008" s="2" t="inlineStr">
        <is>
          <t>PED01186</t>
        </is>
      </c>
      <c r="C3008" s="2" t="inlineStr">
        <is>
          <t>P032</t>
        </is>
      </c>
      <c r="D3008" s="2" t="n">
        <v>1</v>
      </c>
      <c r="E3008" s="19" t="n">
        <v>0</v>
      </c>
    </row>
    <row r="3009">
      <c r="A3009" s="2" t="inlineStr">
        <is>
          <t>IT01186_03</t>
        </is>
      </c>
      <c r="B3009" s="2" t="inlineStr">
        <is>
          <t>PED01186</t>
        </is>
      </c>
      <c r="C3009" s="2" t="inlineStr">
        <is>
          <t>P063</t>
        </is>
      </c>
      <c r="D3009" s="2" t="n">
        <v>1</v>
      </c>
      <c r="E3009" s="19" t="n">
        <v>0</v>
      </c>
    </row>
    <row r="3010">
      <c r="A3010" s="2" t="inlineStr">
        <is>
          <t>IT01186_04</t>
        </is>
      </c>
      <c r="B3010" s="2" t="inlineStr">
        <is>
          <t>PED01186</t>
        </is>
      </c>
      <c r="C3010" s="2" t="inlineStr">
        <is>
          <t>P025</t>
        </is>
      </c>
      <c r="D3010" s="2" t="n">
        <v>1</v>
      </c>
      <c r="E3010" s="19" t="n">
        <v>0</v>
      </c>
    </row>
    <row r="3011">
      <c r="A3011" s="2" t="inlineStr">
        <is>
          <t>IT01187_01</t>
        </is>
      </c>
      <c r="B3011" s="2" t="inlineStr">
        <is>
          <t>PED01187</t>
        </is>
      </c>
      <c r="C3011" s="2" t="inlineStr">
        <is>
          <t>P007</t>
        </is>
      </c>
      <c r="D3011" s="2" t="n">
        <v>1</v>
      </c>
      <c r="E3011" s="19" t="n">
        <v>0</v>
      </c>
    </row>
    <row r="3012">
      <c r="A3012" s="2" t="inlineStr">
        <is>
          <t>IT01187_02</t>
        </is>
      </c>
      <c r="B3012" s="2" t="inlineStr">
        <is>
          <t>PED01187</t>
        </is>
      </c>
      <c r="C3012" s="2" t="inlineStr">
        <is>
          <t>P010</t>
        </is>
      </c>
      <c r="D3012" s="2" t="n">
        <v>2</v>
      </c>
      <c r="E3012" s="19" t="n">
        <v>0</v>
      </c>
    </row>
    <row r="3013">
      <c r="A3013" s="2" t="inlineStr">
        <is>
          <t>IT01187_03</t>
        </is>
      </c>
      <c r="B3013" s="2" t="inlineStr">
        <is>
          <t>PED01187</t>
        </is>
      </c>
      <c r="C3013" s="2" t="inlineStr">
        <is>
          <t>P059</t>
        </is>
      </c>
      <c r="D3013" s="2" t="n">
        <v>1</v>
      </c>
      <c r="E3013" s="19" t="n">
        <v>0</v>
      </c>
    </row>
    <row r="3014">
      <c r="A3014" s="2" t="inlineStr">
        <is>
          <t>IT01187_04</t>
        </is>
      </c>
      <c r="B3014" s="2" t="inlineStr">
        <is>
          <t>PED01187</t>
        </is>
      </c>
      <c r="C3014" s="2" t="inlineStr">
        <is>
          <t>P063</t>
        </is>
      </c>
      <c r="D3014" s="2" t="n">
        <v>5</v>
      </c>
      <c r="E3014" s="19" t="n">
        <v>0</v>
      </c>
    </row>
    <row r="3015">
      <c r="A3015" s="2" t="inlineStr">
        <is>
          <t>IT01188_01</t>
        </is>
      </c>
      <c r="B3015" s="2" t="inlineStr">
        <is>
          <t>PED01188</t>
        </is>
      </c>
      <c r="C3015" s="2" t="inlineStr">
        <is>
          <t>P014</t>
        </is>
      </c>
      <c r="D3015" s="2" t="n">
        <v>1</v>
      </c>
      <c r="E3015" s="19" t="n">
        <v>0</v>
      </c>
    </row>
    <row r="3016">
      <c r="A3016" s="2" t="inlineStr">
        <is>
          <t>IT01189_01</t>
        </is>
      </c>
      <c r="B3016" s="2" t="inlineStr">
        <is>
          <t>PED01189</t>
        </is>
      </c>
      <c r="C3016" s="2" t="inlineStr">
        <is>
          <t>P038</t>
        </is>
      </c>
      <c r="D3016" s="2" t="n">
        <v>1</v>
      </c>
      <c r="E3016" s="19" t="n">
        <v>0</v>
      </c>
    </row>
    <row r="3017">
      <c r="A3017" s="2" t="inlineStr">
        <is>
          <t>IT01190_01</t>
        </is>
      </c>
      <c r="B3017" s="2" t="inlineStr">
        <is>
          <t>PED01190</t>
        </is>
      </c>
      <c r="C3017" s="2" t="inlineStr">
        <is>
          <t>P025</t>
        </is>
      </c>
      <c r="D3017" s="2" t="n">
        <v>2</v>
      </c>
      <c r="E3017" s="19" t="n">
        <v>0.05</v>
      </c>
    </row>
    <row r="3018">
      <c r="A3018" s="2" t="inlineStr">
        <is>
          <t>IT01190_02</t>
        </is>
      </c>
      <c r="B3018" s="2" t="inlineStr">
        <is>
          <t>PED01190</t>
        </is>
      </c>
      <c r="C3018" s="2" t="inlineStr">
        <is>
          <t>P001</t>
        </is>
      </c>
      <c r="D3018" s="2" t="n">
        <v>1</v>
      </c>
      <c r="E3018" s="19" t="n">
        <v>0</v>
      </c>
    </row>
    <row r="3019">
      <c r="A3019" s="2" t="inlineStr">
        <is>
          <t>IT01191_01</t>
        </is>
      </c>
      <c r="B3019" s="2" t="inlineStr">
        <is>
          <t>PED01191</t>
        </is>
      </c>
      <c r="C3019" s="2" t="inlineStr">
        <is>
          <t>P043</t>
        </is>
      </c>
      <c r="D3019" s="2" t="n">
        <v>2</v>
      </c>
      <c r="E3019" s="19" t="n">
        <v>0.05</v>
      </c>
    </row>
    <row r="3020">
      <c r="A3020" s="2" t="inlineStr">
        <is>
          <t>IT01191_02</t>
        </is>
      </c>
      <c r="B3020" s="2" t="inlineStr">
        <is>
          <t>PED01191</t>
        </is>
      </c>
      <c r="C3020" s="2" t="inlineStr">
        <is>
          <t>P002</t>
        </is>
      </c>
      <c r="D3020" s="2" t="n">
        <v>1</v>
      </c>
      <c r="E3020" s="19" t="n">
        <v>0</v>
      </c>
    </row>
    <row r="3021">
      <c r="A3021" s="2" t="inlineStr">
        <is>
          <t>IT01191_03</t>
        </is>
      </c>
      <c r="B3021" s="2" t="inlineStr">
        <is>
          <t>PED01191</t>
        </is>
      </c>
      <c r="C3021" s="2" t="inlineStr">
        <is>
          <t>P035</t>
        </is>
      </c>
      <c r="D3021" s="2" t="n">
        <v>2</v>
      </c>
      <c r="E3021" s="19" t="n">
        <v>0.02</v>
      </c>
    </row>
    <row r="3022">
      <c r="A3022" s="2" t="inlineStr">
        <is>
          <t>IT01192_01</t>
        </is>
      </c>
      <c r="B3022" s="2" t="inlineStr">
        <is>
          <t>PED01192</t>
        </is>
      </c>
      <c r="C3022" s="2" t="inlineStr">
        <is>
          <t>P064</t>
        </is>
      </c>
      <c r="D3022" s="2" t="n">
        <v>1</v>
      </c>
      <c r="E3022" s="19" t="n">
        <v>0</v>
      </c>
    </row>
    <row r="3023">
      <c r="A3023" s="2" t="inlineStr">
        <is>
          <t>IT01192_02</t>
        </is>
      </c>
      <c r="B3023" s="2" t="inlineStr">
        <is>
          <t>PED01192</t>
        </is>
      </c>
      <c r="C3023" s="2" t="inlineStr">
        <is>
          <t>P033</t>
        </is>
      </c>
      <c r="D3023" s="2" t="n">
        <v>1</v>
      </c>
      <c r="E3023" s="19" t="n">
        <v>0.05</v>
      </c>
    </row>
    <row r="3024">
      <c r="A3024" s="2" t="inlineStr">
        <is>
          <t>IT01192_03</t>
        </is>
      </c>
      <c r="B3024" s="2" t="inlineStr">
        <is>
          <t>PED01192</t>
        </is>
      </c>
      <c r="C3024" s="2" t="inlineStr">
        <is>
          <t>P024</t>
        </is>
      </c>
      <c r="D3024" s="2" t="n">
        <v>2</v>
      </c>
      <c r="E3024" s="19" t="n">
        <v>0</v>
      </c>
    </row>
    <row r="3025">
      <c r="A3025" s="2" t="inlineStr">
        <is>
          <t>IT01193_01</t>
        </is>
      </c>
      <c r="B3025" s="2" t="inlineStr">
        <is>
          <t>PED01193</t>
        </is>
      </c>
      <c r="C3025" s="2" t="inlineStr">
        <is>
          <t>P046</t>
        </is>
      </c>
      <c r="D3025" s="2" t="n">
        <v>2</v>
      </c>
      <c r="E3025" s="19" t="n">
        <v>0</v>
      </c>
    </row>
    <row r="3026">
      <c r="A3026" s="2" t="inlineStr">
        <is>
          <t>IT01194_01</t>
        </is>
      </c>
      <c r="B3026" s="2" t="inlineStr">
        <is>
          <t>PED01194</t>
        </is>
      </c>
      <c r="C3026" s="2" t="inlineStr">
        <is>
          <t>P048</t>
        </is>
      </c>
      <c r="D3026" s="2" t="n">
        <v>2</v>
      </c>
      <c r="E3026" s="19" t="n">
        <v>0.05</v>
      </c>
    </row>
    <row r="3027">
      <c r="A3027" s="2" t="inlineStr">
        <is>
          <t>IT01195_01</t>
        </is>
      </c>
      <c r="B3027" s="2" t="inlineStr">
        <is>
          <t>PED01195</t>
        </is>
      </c>
      <c r="C3027" s="2" t="inlineStr">
        <is>
          <t>P053</t>
        </is>
      </c>
      <c r="D3027" s="2" t="n">
        <v>2</v>
      </c>
      <c r="E3027" s="19" t="n">
        <v>0</v>
      </c>
    </row>
    <row r="3028">
      <c r="A3028" s="2" t="inlineStr">
        <is>
          <t>IT01195_02</t>
        </is>
      </c>
      <c r="B3028" s="2" t="inlineStr">
        <is>
          <t>PED01195</t>
        </is>
      </c>
      <c r="C3028" s="2" t="inlineStr">
        <is>
          <t>P028</t>
        </is>
      </c>
      <c r="D3028" s="2" t="n">
        <v>2</v>
      </c>
      <c r="E3028" s="19" t="n">
        <v>0</v>
      </c>
    </row>
    <row r="3029">
      <c r="A3029" s="2" t="inlineStr">
        <is>
          <t>IT01195_03</t>
        </is>
      </c>
      <c r="B3029" s="2" t="inlineStr">
        <is>
          <t>PED01195</t>
        </is>
      </c>
      <c r="C3029" s="2" t="inlineStr">
        <is>
          <t>P006</t>
        </is>
      </c>
      <c r="D3029" s="2" t="n">
        <v>1</v>
      </c>
      <c r="E3029" s="19" t="n">
        <v>0</v>
      </c>
    </row>
    <row r="3030">
      <c r="A3030" s="2" t="inlineStr">
        <is>
          <t>IT01195_04</t>
        </is>
      </c>
      <c r="B3030" s="2" t="inlineStr">
        <is>
          <t>PED01195</t>
        </is>
      </c>
      <c r="C3030" s="2" t="inlineStr">
        <is>
          <t>P020</t>
        </is>
      </c>
      <c r="D3030" s="2" t="n">
        <v>2</v>
      </c>
      <c r="E3030" s="19" t="n">
        <v>0.05</v>
      </c>
    </row>
    <row r="3031">
      <c r="A3031" s="2" t="inlineStr">
        <is>
          <t>IT01196_01</t>
        </is>
      </c>
      <c r="B3031" s="2" t="inlineStr">
        <is>
          <t>PED01196</t>
        </is>
      </c>
      <c r="C3031" s="2" t="inlineStr">
        <is>
          <t>P006</t>
        </is>
      </c>
      <c r="D3031" s="2" t="n">
        <v>2</v>
      </c>
      <c r="E3031" s="19" t="n">
        <v>0</v>
      </c>
    </row>
    <row r="3032">
      <c r="A3032" s="2" t="inlineStr">
        <is>
          <t>IT01196_02</t>
        </is>
      </c>
      <c r="B3032" s="2" t="inlineStr">
        <is>
          <t>PED01196</t>
        </is>
      </c>
      <c r="C3032" s="2" t="inlineStr">
        <is>
          <t>P056</t>
        </is>
      </c>
      <c r="D3032" s="2" t="n">
        <v>1</v>
      </c>
      <c r="E3032" s="19" t="n">
        <v>0.02</v>
      </c>
    </row>
    <row r="3033">
      <c r="A3033" s="2" t="inlineStr">
        <is>
          <t>IT01196_03</t>
        </is>
      </c>
      <c r="B3033" s="2" t="inlineStr">
        <is>
          <t>PED01196</t>
        </is>
      </c>
      <c r="C3033" s="2" t="inlineStr">
        <is>
          <t>P049</t>
        </is>
      </c>
      <c r="D3033" s="2" t="n">
        <v>1</v>
      </c>
      <c r="E3033" s="19" t="n">
        <v>0</v>
      </c>
    </row>
    <row r="3034">
      <c r="A3034" s="2" t="inlineStr">
        <is>
          <t>IT01196_04</t>
        </is>
      </c>
      <c r="B3034" s="2" t="inlineStr">
        <is>
          <t>PED01196</t>
        </is>
      </c>
      <c r="C3034" s="2" t="inlineStr">
        <is>
          <t>P010</t>
        </is>
      </c>
      <c r="D3034" s="2" t="n">
        <v>3</v>
      </c>
      <c r="E3034" s="19" t="n">
        <v>0</v>
      </c>
    </row>
    <row r="3035">
      <c r="A3035" s="2" t="inlineStr">
        <is>
          <t>IT01196_05</t>
        </is>
      </c>
      <c r="B3035" s="2" t="inlineStr">
        <is>
          <t>PED01196</t>
        </is>
      </c>
      <c r="C3035" s="2" t="inlineStr">
        <is>
          <t>P043</t>
        </is>
      </c>
      <c r="D3035" s="2" t="n">
        <v>2</v>
      </c>
      <c r="E3035" s="19" t="n">
        <v>0.05</v>
      </c>
    </row>
    <row r="3036">
      <c r="A3036" s="2" t="inlineStr">
        <is>
          <t>IT01197_01</t>
        </is>
      </c>
      <c r="B3036" s="2" t="inlineStr">
        <is>
          <t>PED01197</t>
        </is>
      </c>
      <c r="C3036" s="2" t="inlineStr">
        <is>
          <t>P020</t>
        </is>
      </c>
      <c r="D3036" s="2" t="n">
        <v>1</v>
      </c>
      <c r="E3036" s="19" t="n">
        <v>0.05</v>
      </c>
    </row>
    <row r="3037">
      <c r="A3037" s="2" t="inlineStr">
        <is>
          <t>IT01198_01</t>
        </is>
      </c>
      <c r="B3037" s="2" t="inlineStr">
        <is>
          <t>PED01198</t>
        </is>
      </c>
      <c r="C3037" s="2" t="inlineStr">
        <is>
          <t>P020</t>
        </is>
      </c>
      <c r="D3037" s="2" t="n">
        <v>2</v>
      </c>
      <c r="E3037" s="19" t="n">
        <v>0</v>
      </c>
    </row>
    <row r="3038">
      <c r="A3038" s="2" t="inlineStr">
        <is>
          <t>IT01198_02</t>
        </is>
      </c>
      <c r="B3038" s="2" t="inlineStr">
        <is>
          <t>PED01198</t>
        </is>
      </c>
      <c r="C3038" s="2" t="inlineStr">
        <is>
          <t>P056</t>
        </is>
      </c>
      <c r="D3038" s="2" t="n">
        <v>10</v>
      </c>
      <c r="E3038" s="19" t="n">
        <v>0</v>
      </c>
    </row>
    <row r="3039">
      <c r="A3039" s="2" t="inlineStr">
        <is>
          <t>IT01199_01</t>
        </is>
      </c>
      <c r="B3039" s="2" t="inlineStr">
        <is>
          <t>PED01199</t>
        </is>
      </c>
      <c r="C3039" s="2" t="inlineStr">
        <is>
          <t>P040</t>
        </is>
      </c>
      <c r="D3039" s="2" t="n">
        <v>3</v>
      </c>
      <c r="E3039" s="19" t="n">
        <v>0.02</v>
      </c>
    </row>
    <row r="3040">
      <c r="A3040" s="2" t="inlineStr">
        <is>
          <t>IT01199_02</t>
        </is>
      </c>
      <c r="B3040" s="2" t="inlineStr">
        <is>
          <t>PED01199</t>
        </is>
      </c>
      <c r="C3040" s="2" t="inlineStr">
        <is>
          <t>P018</t>
        </is>
      </c>
      <c r="D3040" s="2" t="n">
        <v>1</v>
      </c>
      <c r="E3040" s="19" t="n">
        <v>0</v>
      </c>
    </row>
    <row r="3041">
      <c r="A3041" s="2" t="inlineStr">
        <is>
          <t>IT01200_01</t>
        </is>
      </c>
      <c r="B3041" s="2" t="inlineStr">
        <is>
          <t>PED01200</t>
        </is>
      </c>
      <c r="C3041" s="2" t="inlineStr">
        <is>
          <t>P042</t>
        </is>
      </c>
      <c r="D3041" s="2" t="n">
        <v>2</v>
      </c>
      <c r="E3041" s="19" t="n">
        <v>0</v>
      </c>
    </row>
    <row r="3042">
      <c r="A3042" s="2" t="inlineStr">
        <is>
          <t>IT01200_02</t>
        </is>
      </c>
      <c r="B3042" s="2" t="inlineStr">
        <is>
          <t>PED01200</t>
        </is>
      </c>
      <c r="C3042" s="2" t="inlineStr">
        <is>
          <t>P050</t>
        </is>
      </c>
      <c r="D3042" s="2" t="n">
        <v>4</v>
      </c>
      <c r="E3042" s="19" t="n">
        <v>0.02</v>
      </c>
    </row>
    <row r="3043">
      <c r="A3043" s="2" t="inlineStr">
        <is>
          <t>IT01201_01</t>
        </is>
      </c>
      <c r="B3043" s="2" t="inlineStr">
        <is>
          <t>PED01201</t>
        </is>
      </c>
      <c r="C3043" s="2" t="inlineStr">
        <is>
          <t>P019</t>
        </is>
      </c>
      <c r="D3043" s="2" t="n">
        <v>3</v>
      </c>
      <c r="E3043" s="19" t="n">
        <v>0</v>
      </c>
    </row>
    <row r="3044">
      <c r="A3044" s="2" t="inlineStr">
        <is>
          <t>IT01202_01</t>
        </is>
      </c>
      <c r="B3044" s="2" t="inlineStr">
        <is>
          <t>PED01202</t>
        </is>
      </c>
      <c r="C3044" s="2" t="inlineStr">
        <is>
          <t>P021</t>
        </is>
      </c>
      <c r="D3044" s="2" t="n">
        <v>2</v>
      </c>
      <c r="E3044" s="19" t="n">
        <v>0</v>
      </c>
    </row>
    <row r="3045">
      <c r="A3045" s="2" t="inlineStr">
        <is>
          <t>IT01203_01</t>
        </is>
      </c>
      <c r="B3045" s="2" t="inlineStr">
        <is>
          <t>PED01203</t>
        </is>
      </c>
      <c r="C3045" s="2" t="inlineStr">
        <is>
          <t>P015</t>
        </is>
      </c>
      <c r="D3045" s="2" t="n">
        <v>1</v>
      </c>
      <c r="E3045" s="19" t="n">
        <v>0.02</v>
      </c>
    </row>
    <row r="3046">
      <c r="A3046" s="2" t="inlineStr">
        <is>
          <t>IT01203_02</t>
        </is>
      </c>
      <c r="B3046" s="2" t="inlineStr">
        <is>
          <t>PED01203</t>
        </is>
      </c>
      <c r="C3046" s="2" t="inlineStr">
        <is>
          <t>P012</t>
        </is>
      </c>
      <c r="D3046" s="2" t="n">
        <v>2</v>
      </c>
      <c r="E3046" s="19" t="n">
        <v>0</v>
      </c>
    </row>
    <row r="3047">
      <c r="A3047" s="2" t="inlineStr">
        <is>
          <t>IT01203_03</t>
        </is>
      </c>
      <c r="B3047" s="2" t="inlineStr">
        <is>
          <t>PED01203</t>
        </is>
      </c>
      <c r="C3047" s="2" t="inlineStr">
        <is>
          <t>P061</t>
        </is>
      </c>
      <c r="D3047" s="2" t="n">
        <v>2</v>
      </c>
      <c r="E3047" s="19" t="n">
        <v>0</v>
      </c>
    </row>
    <row r="3048">
      <c r="A3048" s="2" t="inlineStr">
        <is>
          <t>IT01203_04</t>
        </is>
      </c>
      <c r="B3048" s="2" t="inlineStr">
        <is>
          <t>PED01203</t>
        </is>
      </c>
      <c r="C3048" s="2" t="inlineStr">
        <is>
          <t>P058</t>
        </is>
      </c>
      <c r="D3048" s="2" t="n">
        <v>2</v>
      </c>
      <c r="E3048" s="19" t="n">
        <v>0.02</v>
      </c>
    </row>
    <row r="3049">
      <c r="A3049" s="2" t="inlineStr">
        <is>
          <t>IT01204_01</t>
        </is>
      </c>
      <c r="B3049" s="2" t="inlineStr">
        <is>
          <t>PED01204</t>
        </is>
      </c>
      <c r="C3049" s="2" t="inlineStr">
        <is>
          <t>P053</t>
        </is>
      </c>
      <c r="D3049" s="2" t="n">
        <v>3</v>
      </c>
      <c r="E3049" s="19" t="n">
        <v>0.02</v>
      </c>
    </row>
    <row r="3050">
      <c r="A3050" s="2" t="inlineStr">
        <is>
          <t>IT01204_02</t>
        </is>
      </c>
      <c r="B3050" s="2" t="inlineStr">
        <is>
          <t>PED01204</t>
        </is>
      </c>
      <c r="C3050" s="2" t="inlineStr">
        <is>
          <t>P003</t>
        </is>
      </c>
      <c r="D3050" s="2" t="n">
        <v>3</v>
      </c>
      <c r="E3050" s="19" t="n">
        <v>0</v>
      </c>
    </row>
    <row r="3051">
      <c r="A3051" s="2" t="inlineStr">
        <is>
          <t>IT01205_01</t>
        </is>
      </c>
      <c r="B3051" s="2" t="inlineStr">
        <is>
          <t>PED01205</t>
        </is>
      </c>
      <c r="C3051" s="2" t="inlineStr">
        <is>
          <t>P001</t>
        </is>
      </c>
      <c r="D3051" s="2" t="n">
        <v>1</v>
      </c>
      <c r="E3051" s="19" t="n">
        <v>0.05</v>
      </c>
    </row>
    <row r="3052">
      <c r="A3052" s="2" t="inlineStr">
        <is>
          <t>IT01205_02</t>
        </is>
      </c>
      <c r="B3052" s="2" t="inlineStr">
        <is>
          <t>PED01205</t>
        </is>
      </c>
      <c r="C3052" s="2" t="inlineStr">
        <is>
          <t>P042</t>
        </is>
      </c>
      <c r="D3052" s="2" t="n">
        <v>4</v>
      </c>
      <c r="E3052" s="19" t="n">
        <v>0</v>
      </c>
    </row>
    <row r="3053">
      <c r="A3053" s="2" t="inlineStr">
        <is>
          <t>IT01205_03</t>
        </is>
      </c>
      <c r="B3053" s="2" t="inlineStr">
        <is>
          <t>PED01205</t>
        </is>
      </c>
      <c r="C3053" s="2" t="inlineStr">
        <is>
          <t>P006</t>
        </is>
      </c>
      <c r="D3053" s="2" t="n">
        <v>1</v>
      </c>
      <c r="E3053" s="19" t="n">
        <v>0</v>
      </c>
    </row>
    <row r="3054">
      <c r="A3054" s="2" t="inlineStr">
        <is>
          <t>IT01205_04</t>
        </is>
      </c>
      <c r="B3054" s="2" t="inlineStr">
        <is>
          <t>PED01205</t>
        </is>
      </c>
      <c r="C3054" s="2" t="inlineStr">
        <is>
          <t>P023</t>
        </is>
      </c>
      <c r="D3054" s="2" t="n">
        <v>2</v>
      </c>
      <c r="E3054" s="19" t="n">
        <v>0.05</v>
      </c>
    </row>
    <row r="3055">
      <c r="A3055" s="2" t="inlineStr">
        <is>
          <t>IT01206_01</t>
        </is>
      </c>
      <c r="B3055" s="2" t="inlineStr">
        <is>
          <t>PED01206</t>
        </is>
      </c>
      <c r="C3055" s="2" t="inlineStr">
        <is>
          <t>P059</t>
        </is>
      </c>
      <c r="D3055" s="2" t="n">
        <v>3</v>
      </c>
      <c r="E3055" s="19" t="n">
        <v>0.05</v>
      </c>
    </row>
    <row r="3056">
      <c r="A3056" s="2" t="inlineStr">
        <is>
          <t>IT01207_01</t>
        </is>
      </c>
      <c r="B3056" s="2" t="inlineStr">
        <is>
          <t>PED01207</t>
        </is>
      </c>
      <c r="C3056" s="2" t="inlineStr">
        <is>
          <t>P027</t>
        </is>
      </c>
      <c r="D3056" s="2" t="n">
        <v>1</v>
      </c>
      <c r="E3056" s="19" t="n">
        <v>0.02</v>
      </c>
    </row>
    <row r="3057">
      <c r="A3057" s="2" t="inlineStr">
        <is>
          <t>IT01207_02</t>
        </is>
      </c>
      <c r="B3057" s="2" t="inlineStr">
        <is>
          <t>PED01207</t>
        </is>
      </c>
      <c r="C3057" s="2" t="inlineStr">
        <is>
          <t>P028</t>
        </is>
      </c>
      <c r="D3057" s="2" t="n">
        <v>2</v>
      </c>
      <c r="E3057" s="19" t="n">
        <v>0</v>
      </c>
    </row>
    <row r="3058">
      <c r="A3058" s="2" t="inlineStr">
        <is>
          <t>IT01207_03</t>
        </is>
      </c>
      <c r="B3058" s="2" t="inlineStr">
        <is>
          <t>PED01207</t>
        </is>
      </c>
      <c r="C3058" s="2" t="inlineStr">
        <is>
          <t>P062</t>
        </is>
      </c>
      <c r="D3058" s="2" t="n">
        <v>4</v>
      </c>
      <c r="E3058" s="19" t="n">
        <v>0.1</v>
      </c>
    </row>
    <row r="3059">
      <c r="A3059" s="2" t="inlineStr">
        <is>
          <t>IT01208_01</t>
        </is>
      </c>
      <c r="B3059" s="2" t="inlineStr">
        <is>
          <t>PED01208</t>
        </is>
      </c>
      <c r="C3059" s="2" t="inlineStr">
        <is>
          <t>P014</t>
        </is>
      </c>
      <c r="D3059" s="2" t="n">
        <v>2</v>
      </c>
      <c r="E3059" s="19" t="n">
        <v>0.02</v>
      </c>
    </row>
    <row r="3060">
      <c r="A3060" s="2" t="inlineStr">
        <is>
          <t>IT01208_02</t>
        </is>
      </c>
      <c r="B3060" s="2" t="inlineStr">
        <is>
          <t>PED01208</t>
        </is>
      </c>
      <c r="C3060" s="2" t="inlineStr">
        <is>
          <t>P001</t>
        </is>
      </c>
      <c r="D3060" s="2" t="n">
        <v>1</v>
      </c>
      <c r="E3060" s="19" t="n">
        <v>0</v>
      </c>
    </row>
    <row r="3061">
      <c r="A3061" s="2" t="inlineStr">
        <is>
          <t>IT01208_03</t>
        </is>
      </c>
      <c r="B3061" s="2" t="inlineStr">
        <is>
          <t>PED01208</t>
        </is>
      </c>
      <c r="C3061" s="2" t="inlineStr">
        <is>
          <t>P010</t>
        </is>
      </c>
      <c r="D3061" s="2" t="n">
        <v>2</v>
      </c>
      <c r="E3061" s="19" t="n">
        <v>0</v>
      </c>
    </row>
    <row r="3062">
      <c r="A3062" s="2" t="inlineStr">
        <is>
          <t>IT01208_04</t>
        </is>
      </c>
      <c r="B3062" s="2" t="inlineStr">
        <is>
          <t>PED01208</t>
        </is>
      </c>
      <c r="C3062" s="2" t="inlineStr">
        <is>
          <t>P025</t>
        </is>
      </c>
      <c r="D3062" s="2" t="n">
        <v>2</v>
      </c>
      <c r="E3062" s="19" t="n">
        <v>0</v>
      </c>
    </row>
    <row r="3063">
      <c r="A3063" s="2" t="inlineStr">
        <is>
          <t>IT01208_05</t>
        </is>
      </c>
      <c r="B3063" s="2" t="inlineStr">
        <is>
          <t>PED01208</t>
        </is>
      </c>
      <c r="C3063" s="2" t="inlineStr">
        <is>
          <t>P020</t>
        </is>
      </c>
      <c r="D3063" s="2" t="n">
        <v>5</v>
      </c>
      <c r="E3063" s="19" t="n">
        <v>0</v>
      </c>
    </row>
    <row r="3064">
      <c r="A3064" s="2" t="inlineStr">
        <is>
          <t>IT01209_01</t>
        </is>
      </c>
      <c r="B3064" s="2" t="inlineStr">
        <is>
          <t>PED01209</t>
        </is>
      </c>
      <c r="C3064" s="2" t="inlineStr">
        <is>
          <t>P003</t>
        </is>
      </c>
      <c r="D3064" s="2" t="n">
        <v>2</v>
      </c>
      <c r="E3064" s="19" t="n">
        <v>0</v>
      </c>
    </row>
    <row r="3065">
      <c r="A3065" s="2" t="inlineStr">
        <is>
          <t>IT01209_02</t>
        </is>
      </c>
      <c r="B3065" s="2" t="inlineStr">
        <is>
          <t>PED01209</t>
        </is>
      </c>
      <c r="C3065" s="2" t="inlineStr">
        <is>
          <t>P052</t>
        </is>
      </c>
      <c r="D3065" s="2" t="n">
        <v>1</v>
      </c>
      <c r="E3065" s="19" t="n">
        <v>0.02</v>
      </c>
    </row>
    <row r="3066">
      <c r="A3066" s="2" t="inlineStr">
        <is>
          <t>IT01209_03</t>
        </is>
      </c>
      <c r="B3066" s="2" t="inlineStr">
        <is>
          <t>PED01209</t>
        </is>
      </c>
      <c r="C3066" s="2" t="inlineStr">
        <is>
          <t>P062</t>
        </is>
      </c>
      <c r="D3066" s="2" t="n">
        <v>3</v>
      </c>
      <c r="E3066" s="19" t="n">
        <v>0.05</v>
      </c>
    </row>
    <row r="3067">
      <c r="A3067" s="2" t="inlineStr">
        <is>
          <t>IT01210_01</t>
        </is>
      </c>
      <c r="B3067" s="2" t="inlineStr">
        <is>
          <t>PED01210</t>
        </is>
      </c>
      <c r="C3067" s="2" t="inlineStr">
        <is>
          <t>P017</t>
        </is>
      </c>
      <c r="D3067" s="2" t="n">
        <v>2</v>
      </c>
      <c r="E3067" s="19" t="n">
        <v>0</v>
      </c>
    </row>
    <row r="3068">
      <c r="A3068" s="2" t="inlineStr">
        <is>
          <t>IT01211_01</t>
        </is>
      </c>
      <c r="B3068" s="2" t="inlineStr">
        <is>
          <t>PED01211</t>
        </is>
      </c>
      <c r="C3068" s="2" t="inlineStr">
        <is>
          <t>P069</t>
        </is>
      </c>
      <c r="D3068" s="2" t="n">
        <v>2</v>
      </c>
      <c r="E3068" s="19" t="n">
        <v>0</v>
      </c>
    </row>
    <row r="3069">
      <c r="A3069" s="2" t="inlineStr">
        <is>
          <t>IT01211_02</t>
        </is>
      </c>
      <c r="B3069" s="2" t="inlineStr">
        <is>
          <t>PED01211</t>
        </is>
      </c>
      <c r="C3069" s="2" t="inlineStr">
        <is>
          <t>P032</t>
        </is>
      </c>
      <c r="D3069" s="2" t="n">
        <v>2</v>
      </c>
      <c r="E3069" s="19" t="n">
        <v>0.02</v>
      </c>
    </row>
    <row r="3070">
      <c r="A3070" s="2" t="inlineStr">
        <is>
          <t>IT01211_03</t>
        </is>
      </c>
      <c r="B3070" s="2" t="inlineStr">
        <is>
          <t>PED01211</t>
        </is>
      </c>
      <c r="C3070" s="2" t="inlineStr">
        <is>
          <t>P070</t>
        </is>
      </c>
      <c r="D3070" s="2" t="n">
        <v>1</v>
      </c>
      <c r="E3070" s="19" t="n">
        <v>0.02</v>
      </c>
    </row>
    <row r="3071">
      <c r="A3071" s="2" t="inlineStr">
        <is>
          <t>IT01212_01</t>
        </is>
      </c>
      <c r="B3071" s="2" t="inlineStr">
        <is>
          <t>PED01212</t>
        </is>
      </c>
      <c r="C3071" s="2" t="inlineStr">
        <is>
          <t>P022</t>
        </is>
      </c>
      <c r="D3071" s="2" t="n">
        <v>2</v>
      </c>
      <c r="E3071" s="19" t="n">
        <v>0</v>
      </c>
    </row>
    <row r="3072">
      <c r="A3072" s="2" t="inlineStr">
        <is>
          <t>IT01212_02</t>
        </is>
      </c>
      <c r="B3072" s="2" t="inlineStr">
        <is>
          <t>PED01212</t>
        </is>
      </c>
      <c r="C3072" s="2" t="inlineStr">
        <is>
          <t>P046</t>
        </is>
      </c>
      <c r="D3072" s="2" t="n">
        <v>1</v>
      </c>
      <c r="E3072" s="19" t="n">
        <v>0</v>
      </c>
    </row>
    <row r="3073">
      <c r="A3073" s="2" t="inlineStr">
        <is>
          <t>IT01213_01</t>
        </is>
      </c>
      <c r="B3073" s="2" t="inlineStr">
        <is>
          <t>PED01213</t>
        </is>
      </c>
      <c r="C3073" s="2" t="inlineStr">
        <is>
          <t>P002</t>
        </is>
      </c>
      <c r="D3073" s="2" t="n">
        <v>3</v>
      </c>
      <c r="E3073" s="19" t="n">
        <v>0.05</v>
      </c>
    </row>
    <row r="3074">
      <c r="A3074" s="2" t="inlineStr">
        <is>
          <t>IT01213_02</t>
        </is>
      </c>
      <c r="B3074" s="2" t="inlineStr">
        <is>
          <t>PED01213</t>
        </is>
      </c>
      <c r="C3074" s="2" t="inlineStr">
        <is>
          <t>P057</t>
        </is>
      </c>
      <c r="D3074" s="2" t="n">
        <v>2</v>
      </c>
      <c r="E3074" s="19" t="n">
        <v>0</v>
      </c>
    </row>
    <row r="3075">
      <c r="A3075" s="2" t="inlineStr">
        <is>
          <t>IT01214_01</t>
        </is>
      </c>
      <c r="B3075" s="2" t="inlineStr">
        <is>
          <t>PED01214</t>
        </is>
      </c>
      <c r="C3075" s="2" t="inlineStr">
        <is>
          <t>P039</t>
        </is>
      </c>
      <c r="D3075" s="2" t="n">
        <v>1</v>
      </c>
      <c r="E3075" s="19" t="n">
        <v>0</v>
      </c>
    </row>
    <row r="3076">
      <c r="A3076" s="2" t="inlineStr">
        <is>
          <t>IT01214_02</t>
        </is>
      </c>
      <c r="B3076" s="2" t="inlineStr">
        <is>
          <t>PED01214</t>
        </is>
      </c>
      <c r="C3076" s="2" t="inlineStr">
        <is>
          <t>P009</t>
        </is>
      </c>
      <c r="D3076" s="2" t="n">
        <v>3</v>
      </c>
      <c r="E3076" s="19" t="n">
        <v>0</v>
      </c>
    </row>
    <row r="3077">
      <c r="A3077" s="2" t="inlineStr">
        <is>
          <t>IT01214_03</t>
        </is>
      </c>
      <c r="B3077" s="2" t="inlineStr">
        <is>
          <t>PED01214</t>
        </is>
      </c>
      <c r="C3077" s="2" t="inlineStr">
        <is>
          <t>P057</t>
        </is>
      </c>
      <c r="D3077" s="2" t="n">
        <v>2</v>
      </c>
      <c r="E3077" s="19" t="n">
        <v>0</v>
      </c>
    </row>
    <row r="3078">
      <c r="A3078" s="2" t="inlineStr">
        <is>
          <t>IT01214_04</t>
        </is>
      </c>
      <c r="B3078" s="2" t="inlineStr">
        <is>
          <t>PED01214</t>
        </is>
      </c>
      <c r="C3078" s="2" t="inlineStr">
        <is>
          <t>P051</t>
        </is>
      </c>
      <c r="D3078" s="2" t="n">
        <v>2</v>
      </c>
      <c r="E3078" s="19" t="n">
        <v>0.02</v>
      </c>
    </row>
    <row r="3079">
      <c r="A3079" s="2" t="inlineStr">
        <is>
          <t>IT01214_05</t>
        </is>
      </c>
      <c r="B3079" s="2" t="inlineStr">
        <is>
          <t>PED01214</t>
        </is>
      </c>
      <c r="C3079" s="2" t="inlineStr">
        <is>
          <t>P063</t>
        </is>
      </c>
      <c r="D3079" s="2" t="n">
        <v>4</v>
      </c>
      <c r="E3079" s="19" t="n">
        <v>0</v>
      </c>
    </row>
    <row r="3080">
      <c r="A3080" s="2" t="inlineStr">
        <is>
          <t>IT01215_01</t>
        </is>
      </c>
      <c r="B3080" s="2" t="inlineStr">
        <is>
          <t>PED01215</t>
        </is>
      </c>
      <c r="C3080" s="2" t="inlineStr">
        <is>
          <t>P060</t>
        </is>
      </c>
      <c r="D3080" s="2" t="n">
        <v>1</v>
      </c>
      <c r="E3080" s="19" t="n">
        <v>0.05</v>
      </c>
    </row>
    <row r="3081">
      <c r="A3081" s="2" t="inlineStr">
        <is>
          <t>IT01216_01</t>
        </is>
      </c>
      <c r="B3081" s="2" t="inlineStr">
        <is>
          <t>PED01216</t>
        </is>
      </c>
      <c r="C3081" s="2" t="inlineStr">
        <is>
          <t>P049</t>
        </is>
      </c>
      <c r="D3081" s="2" t="n">
        <v>3</v>
      </c>
      <c r="E3081" s="19" t="n">
        <v>0</v>
      </c>
    </row>
    <row r="3082">
      <c r="A3082" s="2" t="inlineStr">
        <is>
          <t>IT01216_02</t>
        </is>
      </c>
      <c r="B3082" s="2" t="inlineStr">
        <is>
          <t>PED01216</t>
        </is>
      </c>
      <c r="C3082" s="2" t="inlineStr">
        <is>
          <t>P038</t>
        </is>
      </c>
      <c r="D3082" s="2" t="n">
        <v>1</v>
      </c>
      <c r="E3082" s="19" t="n">
        <v>0</v>
      </c>
    </row>
    <row r="3083">
      <c r="A3083" s="2" t="inlineStr">
        <is>
          <t>IT01217_01</t>
        </is>
      </c>
      <c r="B3083" s="2" t="inlineStr">
        <is>
          <t>PED01217</t>
        </is>
      </c>
      <c r="C3083" s="2" t="inlineStr">
        <is>
          <t>P005</t>
        </is>
      </c>
      <c r="D3083" s="2" t="n">
        <v>5</v>
      </c>
      <c r="E3083" s="19" t="n">
        <v>0</v>
      </c>
    </row>
    <row r="3084">
      <c r="A3084" s="2" t="inlineStr">
        <is>
          <t>IT01217_02</t>
        </is>
      </c>
      <c r="B3084" s="2" t="inlineStr">
        <is>
          <t>PED01217</t>
        </is>
      </c>
      <c r="C3084" s="2" t="inlineStr">
        <is>
          <t>P021</t>
        </is>
      </c>
      <c r="D3084" s="2" t="n">
        <v>1</v>
      </c>
      <c r="E3084" s="19" t="n">
        <v>0</v>
      </c>
    </row>
    <row r="3085">
      <c r="A3085" s="2" t="inlineStr">
        <is>
          <t>IT01217_03</t>
        </is>
      </c>
      <c r="B3085" s="2" t="inlineStr">
        <is>
          <t>PED01217</t>
        </is>
      </c>
      <c r="C3085" s="2" t="inlineStr">
        <is>
          <t>P052</t>
        </is>
      </c>
      <c r="D3085" s="2" t="n">
        <v>4</v>
      </c>
      <c r="E3085" s="19" t="n">
        <v>0</v>
      </c>
    </row>
    <row r="3086">
      <c r="A3086" s="2" t="inlineStr">
        <is>
          <t>IT01217_04</t>
        </is>
      </c>
      <c r="B3086" s="2" t="inlineStr">
        <is>
          <t>PED01217</t>
        </is>
      </c>
      <c r="C3086" s="2" t="inlineStr">
        <is>
          <t>P018</t>
        </is>
      </c>
      <c r="D3086" s="2" t="n">
        <v>2</v>
      </c>
      <c r="E3086" s="19" t="n">
        <v>0</v>
      </c>
    </row>
    <row r="3087">
      <c r="A3087" s="2" t="inlineStr">
        <is>
          <t>IT01218_01</t>
        </is>
      </c>
      <c r="B3087" s="2" t="inlineStr">
        <is>
          <t>PED01218</t>
        </is>
      </c>
      <c r="C3087" s="2" t="inlineStr">
        <is>
          <t>P025</t>
        </is>
      </c>
      <c r="D3087" s="2" t="n">
        <v>2</v>
      </c>
      <c r="E3087" s="19" t="n">
        <v>0.02</v>
      </c>
    </row>
    <row r="3088">
      <c r="A3088" s="2" t="inlineStr">
        <is>
          <t>IT01218_02</t>
        </is>
      </c>
      <c r="B3088" s="2" t="inlineStr">
        <is>
          <t>PED01218</t>
        </is>
      </c>
      <c r="C3088" s="2" t="inlineStr">
        <is>
          <t>P006</t>
        </is>
      </c>
      <c r="D3088" s="2" t="n">
        <v>2</v>
      </c>
      <c r="E3088" s="19" t="n">
        <v>0</v>
      </c>
    </row>
    <row r="3089">
      <c r="A3089" s="2" t="inlineStr">
        <is>
          <t>IT01218_03</t>
        </is>
      </c>
      <c r="B3089" s="2" t="inlineStr">
        <is>
          <t>PED01218</t>
        </is>
      </c>
      <c r="C3089" s="2" t="inlineStr">
        <is>
          <t>P043</t>
        </is>
      </c>
      <c r="D3089" s="2" t="n">
        <v>2</v>
      </c>
      <c r="E3089" s="19" t="n">
        <v>0</v>
      </c>
    </row>
    <row r="3090">
      <c r="A3090" s="2" t="inlineStr">
        <is>
          <t>IT01219_01</t>
        </is>
      </c>
      <c r="B3090" s="2" t="inlineStr">
        <is>
          <t>PED01219</t>
        </is>
      </c>
      <c r="C3090" s="2" t="inlineStr">
        <is>
          <t>P058</t>
        </is>
      </c>
      <c r="D3090" s="2" t="n">
        <v>1</v>
      </c>
      <c r="E3090" s="19" t="n">
        <v>0</v>
      </c>
    </row>
    <row r="3091">
      <c r="A3091" s="2" t="inlineStr">
        <is>
          <t>IT01219_02</t>
        </is>
      </c>
      <c r="B3091" s="2" t="inlineStr">
        <is>
          <t>PED01219</t>
        </is>
      </c>
      <c r="C3091" s="2" t="inlineStr">
        <is>
          <t>P048</t>
        </is>
      </c>
      <c r="D3091" s="2" t="n">
        <v>1</v>
      </c>
      <c r="E3091" s="19" t="n">
        <v>0</v>
      </c>
    </row>
    <row r="3092">
      <c r="A3092" s="2" t="inlineStr">
        <is>
          <t>IT01219_03</t>
        </is>
      </c>
      <c r="B3092" s="2" t="inlineStr">
        <is>
          <t>PED01219</t>
        </is>
      </c>
      <c r="C3092" s="2" t="inlineStr">
        <is>
          <t>P002</t>
        </is>
      </c>
      <c r="D3092" s="2" t="n">
        <v>2</v>
      </c>
      <c r="E3092" s="19" t="n">
        <v>0</v>
      </c>
    </row>
    <row r="3093">
      <c r="A3093" s="2" t="inlineStr">
        <is>
          <t>IT01219_04</t>
        </is>
      </c>
      <c r="B3093" s="2" t="inlineStr">
        <is>
          <t>PED01219</t>
        </is>
      </c>
      <c r="C3093" s="2" t="inlineStr">
        <is>
          <t>P007</t>
        </is>
      </c>
      <c r="D3093" s="2" t="n">
        <v>4</v>
      </c>
      <c r="E3093" s="19" t="n">
        <v>0.02</v>
      </c>
    </row>
    <row r="3094">
      <c r="A3094" s="2" t="inlineStr">
        <is>
          <t>IT01220_01</t>
        </is>
      </c>
      <c r="B3094" s="2" t="inlineStr">
        <is>
          <t>PED01220</t>
        </is>
      </c>
      <c r="C3094" s="2" t="inlineStr">
        <is>
          <t>P034</t>
        </is>
      </c>
      <c r="D3094" s="2" t="n">
        <v>3</v>
      </c>
      <c r="E3094" s="19" t="n">
        <v>0.1</v>
      </c>
    </row>
    <row r="3095">
      <c r="A3095" s="2" t="inlineStr">
        <is>
          <t>IT01220_02</t>
        </is>
      </c>
      <c r="B3095" s="2" t="inlineStr">
        <is>
          <t>PED01220</t>
        </is>
      </c>
      <c r="C3095" s="2" t="inlineStr">
        <is>
          <t>P025</t>
        </is>
      </c>
      <c r="D3095" s="2" t="n">
        <v>2</v>
      </c>
      <c r="E3095" s="19" t="n">
        <v>0.05</v>
      </c>
    </row>
    <row r="3096">
      <c r="A3096" s="2" t="inlineStr">
        <is>
          <t>IT01221_01</t>
        </is>
      </c>
      <c r="B3096" s="2" t="inlineStr">
        <is>
          <t>PED01221</t>
        </is>
      </c>
      <c r="C3096" s="2" t="inlineStr">
        <is>
          <t>P003</t>
        </is>
      </c>
      <c r="D3096" s="2" t="n">
        <v>2</v>
      </c>
      <c r="E3096" s="19" t="n">
        <v>0</v>
      </c>
    </row>
    <row r="3097">
      <c r="A3097" s="2" t="inlineStr">
        <is>
          <t>IT01221_02</t>
        </is>
      </c>
      <c r="B3097" s="2" t="inlineStr">
        <is>
          <t>PED01221</t>
        </is>
      </c>
      <c r="C3097" s="2" t="inlineStr">
        <is>
          <t>P016</t>
        </is>
      </c>
      <c r="D3097" s="2" t="n">
        <v>2</v>
      </c>
      <c r="E3097" s="19" t="n">
        <v>0</v>
      </c>
    </row>
    <row r="3098">
      <c r="A3098" s="2" t="inlineStr">
        <is>
          <t>IT01221_03</t>
        </is>
      </c>
      <c r="B3098" s="2" t="inlineStr">
        <is>
          <t>PED01221</t>
        </is>
      </c>
      <c r="C3098" s="2" t="inlineStr">
        <is>
          <t>P068</t>
        </is>
      </c>
      <c r="D3098" s="2" t="n">
        <v>1</v>
      </c>
      <c r="E3098" s="19" t="n">
        <v>0.02</v>
      </c>
    </row>
    <row r="3099">
      <c r="A3099" s="2" t="inlineStr">
        <is>
          <t>IT01222_01</t>
        </is>
      </c>
      <c r="B3099" s="2" t="inlineStr">
        <is>
          <t>PED01222</t>
        </is>
      </c>
      <c r="C3099" s="2" t="inlineStr">
        <is>
          <t>P033</t>
        </is>
      </c>
      <c r="D3099" s="2" t="n">
        <v>1</v>
      </c>
      <c r="E3099" s="19" t="n">
        <v>0</v>
      </c>
    </row>
    <row r="3100">
      <c r="A3100" s="2" t="inlineStr">
        <is>
          <t>IT01222_02</t>
        </is>
      </c>
      <c r="B3100" s="2" t="inlineStr">
        <is>
          <t>PED01222</t>
        </is>
      </c>
      <c r="C3100" s="2" t="inlineStr">
        <is>
          <t>P017</t>
        </is>
      </c>
      <c r="D3100" s="2" t="n">
        <v>2</v>
      </c>
      <c r="E3100" s="19" t="n">
        <v>0.05</v>
      </c>
    </row>
    <row r="3101">
      <c r="A3101" s="2" t="inlineStr">
        <is>
          <t>IT01222_03</t>
        </is>
      </c>
      <c r="B3101" s="2" t="inlineStr">
        <is>
          <t>PED01222</t>
        </is>
      </c>
      <c r="C3101" s="2" t="inlineStr">
        <is>
          <t>P006</t>
        </is>
      </c>
      <c r="D3101" s="2" t="n">
        <v>1</v>
      </c>
      <c r="E3101" s="19" t="n">
        <v>0.05</v>
      </c>
    </row>
    <row r="3102">
      <c r="A3102" s="2" t="inlineStr">
        <is>
          <t>IT01222_04</t>
        </is>
      </c>
      <c r="B3102" s="2" t="inlineStr">
        <is>
          <t>PED01222</t>
        </is>
      </c>
      <c r="C3102" s="2" t="inlineStr">
        <is>
          <t>P051</t>
        </is>
      </c>
      <c r="D3102" s="2" t="n">
        <v>1</v>
      </c>
      <c r="E3102" s="19" t="n">
        <v>0.05</v>
      </c>
    </row>
    <row r="3103">
      <c r="A3103" s="2" t="inlineStr">
        <is>
          <t>IT01222_05</t>
        </is>
      </c>
      <c r="B3103" s="2" t="inlineStr">
        <is>
          <t>PED01222</t>
        </is>
      </c>
      <c r="C3103" s="2" t="inlineStr">
        <is>
          <t>P062</t>
        </is>
      </c>
      <c r="D3103" s="2" t="n">
        <v>1</v>
      </c>
      <c r="E3103" s="19" t="n">
        <v>0.02</v>
      </c>
    </row>
    <row r="3104">
      <c r="A3104" s="2" t="inlineStr">
        <is>
          <t>IT01223_01</t>
        </is>
      </c>
      <c r="B3104" s="2" t="inlineStr">
        <is>
          <t>PED01223</t>
        </is>
      </c>
      <c r="C3104" s="2" t="inlineStr">
        <is>
          <t>P041</t>
        </is>
      </c>
      <c r="D3104" s="2" t="n">
        <v>3</v>
      </c>
      <c r="E3104" s="19" t="n">
        <v>0</v>
      </c>
    </row>
    <row r="3105">
      <c r="A3105" s="2" t="inlineStr">
        <is>
          <t>IT01223_02</t>
        </is>
      </c>
      <c r="B3105" s="2" t="inlineStr">
        <is>
          <t>PED01223</t>
        </is>
      </c>
      <c r="C3105" s="2" t="inlineStr">
        <is>
          <t>P055</t>
        </is>
      </c>
      <c r="D3105" s="2" t="n">
        <v>4</v>
      </c>
      <c r="E3105" s="19" t="n">
        <v>0</v>
      </c>
    </row>
    <row r="3106">
      <c r="A3106" s="2" t="inlineStr">
        <is>
          <t>IT01224_01</t>
        </is>
      </c>
      <c r="B3106" s="2" t="inlineStr">
        <is>
          <t>PED01224</t>
        </is>
      </c>
      <c r="C3106" s="2" t="inlineStr">
        <is>
          <t>P004</t>
        </is>
      </c>
      <c r="D3106" s="2" t="n">
        <v>2</v>
      </c>
      <c r="E3106" s="19" t="n">
        <v>0</v>
      </c>
    </row>
    <row r="3107">
      <c r="A3107" s="2" t="inlineStr">
        <is>
          <t>IT01224_02</t>
        </is>
      </c>
      <c r="B3107" s="2" t="inlineStr">
        <is>
          <t>PED01224</t>
        </is>
      </c>
      <c r="C3107" s="2" t="inlineStr">
        <is>
          <t>P034</t>
        </is>
      </c>
      <c r="D3107" s="2" t="n">
        <v>1</v>
      </c>
      <c r="E3107" s="19" t="n">
        <v>0</v>
      </c>
    </row>
    <row r="3108">
      <c r="A3108" s="2" t="inlineStr">
        <is>
          <t>IT01225_01</t>
        </is>
      </c>
      <c r="B3108" s="2" t="inlineStr">
        <is>
          <t>PED01225</t>
        </is>
      </c>
      <c r="C3108" s="2" t="inlineStr">
        <is>
          <t>P030</t>
        </is>
      </c>
      <c r="D3108" s="2" t="n">
        <v>2</v>
      </c>
      <c r="E3108" s="19" t="n">
        <v>0</v>
      </c>
    </row>
    <row r="3109">
      <c r="A3109" s="2" t="inlineStr">
        <is>
          <t>IT01226_01</t>
        </is>
      </c>
      <c r="B3109" s="2" t="inlineStr">
        <is>
          <t>PED01226</t>
        </is>
      </c>
      <c r="C3109" s="2" t="inlineStr">
        <is>
          <t>P008</t>
        </is>
      </c>
      <c r="D3109" s="2" t="n">
        <v>1</v>
      </c>
      <c r="E3109" s="19" t="n">
        <v>0</v>
      </c>
    </row>
    <row r="3110">
      <c r="A3110" s="2" t="inlineStr">
        <is>
          <t>IT01227_01</t>
        </is>
      </c>
      <c r="B3110" s="2" t="inlineStr">
        <is>
          <t>PED01227</t>
        </is>
      </c>
      <c r="C3110" s="2" t="inlineStr">
        <is>
          <t>P061</t>
        </is>
      </c>
      <c r="D3110" s="2" t="n">
        <v>2</v>
      </c>
      <c r="E3110" s="19" t="n">
        <v>0</v>
      </c>
    </row>
    <row r="3111">
      <c r="A3111" s="2" t="inlineStr">
        <is>
          <t>IT01227_02</t>
        </is>
      </c>
      <c r="B3111" s="2" t="inlineStr">
        <is>
          <t>PED01227</t>
        </is>
      </c>
      <c r="C3111" s="2" t="inlineStr">
        <is>
          <t>P031</t>
        </is>
      </c>
      <c r="D3111" s="2" t="n">
        <v>1</v>
      </c>
      <c r="E3111" s="19" t="n">
        <v>0.02</v>
      </c>
    </row>
    <row r="3112">
      <c r="A3112" s="2" t="inlineStr">
        <is>
          <t>IT01227_03</t>
        </is>
      </c>
      <c r="B3112" s="2" t="inlineStr">
        <is>
          <t>PED01227</t>
        </is>
      </c>
      <c r="C3112" s="2" t="inlineStr">
        <is>
          <t>P019</t>
        </is>
      </c>
      <c r="D3112" s="2" t="n">
        <v>2</v>
      </c>
      <c r="E3112" s="19" t="n">
        <v>0</v>
      </c>
    </row>
    <row r="3113">
      <c r="A3113" s="2" t="inlineStr">
        <is>
          <t>IT01228_01</t>
        </is>
      </c>
      <c r="B3113" s="2" t="inlineStr">
        <is>
          <t>PED01228</t>
        </is>
      </c>
      <c r="C3113" s="2" t="inlineStr">
        <is>
          <t>P024</t>
        </is>
      </c>
      <c r="D3113" s="2" t="n">
        <v>1</v>
      </c>
      <c r="E3113" s="19" t="n">
        <v>0.05</v>
      </c>
    </row>
    <row r="3114">
      <c r="A3114" s="2" t="inlineStr">
        <is>
          <t>IT01228_02</t>
        </is>
      </c>
      <c r="B3114" s="2" t="inlineStr">
        <is>
          <t>PED01228</t>
        </is>
      </c>
      <c r="C3114" s="2" t="inlineStr">
        <is>
          <t>P040</t>
        </is>
      </c>
      <c r="D3114" s="2" t="n">
        <v>1</v>
      </c>
      <c r="E3114" s="19" t="n">
        <v>0.05</v>
      </c>
    </row>
    <row r="3115">
      <c r="A3115" s="2" t="inlineStr">
        <is>
          <t>IT01229_01</t>
        </is>
      </c>
      <c r="B3115" s="2" t="inlineStr">
        <is>
          <t>PED01229</t>
        </is>
      </c>
      <c r="C3115" s="2" t="inlineStr">
        <is>
          <t>P009</t>
        </is>
      </c>
      <c r="D3115" s="2" t="n">
        <v>1</v>
      </c>
      <c r="E3115" s="19" t="n">
        <v>0.05</v>
      </c>
    </row>
    <row r="3116">
      <c r="A3116" s="2" t="inlineStr">
        <is>
          <t>IT01230_01</t>
        </is>
      </c>
      <c r="B3116" s="2" t="inlineStr">
        <is>
          <t>PED01230</t>
        </is>
      </c>
      <c r="C3116" s="2" t="inlineStr">
        <is>
          <t>P035</t>
        </is>
      </c>
      <c r="D3116" s="2" t="n">
        <v>1</v>
      </c>
      <c r="E3116" s="19" t="n">
        <v>0</v>
      </c>
    </row>
    <row r="3117">
      <c r="A3117" s="2" t="inlineStr">
        <is>
          <t>IT01230_02</t>
        </is>
      </c>
      <c r="B3117" s="2" t="inlineStr">
        <is>
          <t>PED01230</t>
        </is>
      </c>
      <c r="C3117" s="2" t="inlineStr">
        <is>
          <t>P061</t>
        </is>
      </c>
      <c r="D3117" s="2" t="n">
        <v>1</v>
      </c>
      <c r="E3117" s="19" t="n">
        <v>0.02</v>
      </c>
    </row>
    <row r="3118">
      <c r="A3118" s="2" t="inlineStr">
        <is>
          <t>IT01231_01</t>
        </is>
      </c>
      <c r="B3118" s="2" t="inlineStr">
        <is>
          <t>PED01231</t>
        </is>
      </c>
      <c r="C3118" s="2" t="inlineStr">
        <is>
          <t>P039</t>
        </is>
      </c>
      <c r="D3118" s="2" t="n">
        <v>1</v>
      </c>
      <c r="E3118" s="19" t="n">
        <v>0</v>
      </c>
    </row>
    <row r="3119">
      <c r="A3119" s="2" t="inlineStr">
        <is>
          <t>IT01231_02</t>
        </is>
      </c>
      <c r="B3119" s="2" t="inlineStr">
        <is>
          <t>PED01231</t>
        </is>
      </c>
      <c r="C3119" s="2" t="inlineStr">
        <is>
          <t>P059</t>
        </is>
      </c>
      <c r="D3119" s="2" t="n">
        <v>4</v>
      </c>
      <c r="E3119" s="19" t="n">
        <v>0</v>
      </c>
    </row>
    <row r="3120">
      <c r="A3120" s="2" t="inlineStr">
        <is>
          <t>IT01232_01</t>
        </is>
      </c>
      <c r="B3120" s="2" t="inlineStr">
        <is>
          <t>PED01232</t>
        </is>
      </c>
      <c r="C3120" s="2" t="inlineStr">
        <is>
          <t>P054</t>
        </is>
      </c>
      <c r="D3120" s="2" t="n">
        <v>4</v>
      </c>
      <c r="E3120" s="19" t="n">
        <v>0</v>
      </c>
    </row>
    <row r="3121">
      <c r="A3121" s="2" t="inlineStr">
        <is>
          <t>IT01232_02</t>
        </is>
      </c>
      <c r="B3121" s="2" t="inlineStr">
        <is>
          <t>PED01232</t>
        </is>
      </c>
      <c r="C3121" s="2" t="inlineStr">
        <is>
          <t>P011</t>
        </is>
      </c>
      <c r="D3121" s="2" t="n">
        <v>1</v>
      </c>
      <c r="E3121" s="19" t="n">
        <v>0.05</v>
      </c>
    </row>
    <row r="3122">
      <c r="A3122" s="2" t="inlineStr">
        <is>
          <t>IT01233_01</t>
        </is>
      </c>
      <c r="B3122" s="2" t="inlineStr">
        <is>
          <t>PED01233</t>
        </is>
      </c>
      <c r="C3122" s="2" t="inlineStr">
        <is>
          <t>P023</t>
        </is>
      </c>
      <c r="D3122" s="2" t="n">
        <v>1</v>
      </c>
      <c r="E3122" s="19" t="n">
        <v>0</v>
      </c>
    </row>
    <row r="3123">
      <c r="A3123" s="2" t="inlineStr">
        <is>
          <t>IT01233_02</t>
        </is>
      </c>
      <c r="B3123" s="2" t="inlineStr">
        <is>
          <t>PED01233</t>
        </is>
      </c>
      <c r="C3123" s="2" t="inlineStr">
        <is>
          <t>P009</t>
        </is>
      </c>
      <c r="D3123" s="2" t="n">
        <v>2</v>
      </c>
      <c r="E3123" s="19" t="n">
        <v>0</v>
      </c>
    </row>
    <row r="3124">
      <c r="A3124" s="2" t="inlineStr">
        <is>
          <t>IT01234_01</t>
        </is>
      </c>
      <c r="B3124" s="2" t="inlineStr">
        <is>
          <t>PED01234</t>
        </is>
      </c>
      <c r="C3124" s="2" t="inlineStr">
        <is>
          <t>P040</t>
        </is>
      </c>
      <c r="D3124" s="2" t="n">
        <v>1</v>
      </c>
      <c r="E3124" s="19" t="n">
        <v>0.05</v>
      </c>
    </row>
    <row r="3125">
      <c r="A3125" s="2" t="inlineStr">
        <is>
          <t>IT01235_01</t>
        </is>
      </c>
      <c r="B3125" s="2" t="inlineStr">
        <is>
          <t>PED01235</t>
        </is>
      </c>
      <c r="C3125" s="2" t="inlineStr">
        <is>
          <t>P014</t>
        </is>
      </c>
      <c r="D3125" s="2" t="n">
        <v>1</v>
      </c>
      <c r="E3125" s="19" t="n">
        <v>0.02</v>
      </c>
    </row>
    <row r="3126">
      <c r="A3126" s="2" t="inlineStr">
        <is>
          <t>IT01236_01</t>
        </is>
      </c>
      <c r="B3126" s="2" t="inlineStr">
        <is>
          <t>PED01236</t>
        </is>
      </c>
      <c r="C3126" s="2" t="inlineStr">
        <is>
          <t>P049</t>
        </is>
      </c>
      <c r="D3126" s="2" t="n">
        <v>2</v>
      </c>
      <c r="E3126" s="19" t="n">
        <v>0</v>
      </c>
    </row>
    <row r="3127">
      <c r="A3127" s="2" t="inlineStr">
        <is>
          <t>IT01236_02</t>
        </is>
      </c>
      <c r="B3127" s="2" t="inlineStr">
        <is>
          <t>PED01236</t>
        </is>
      </c>
      <c r="C3127" s="2" t="inlineStr">
        <is>
          <t>P021</t>
        </is>
      </c>
      <c r="D3127" s="2" t="n">
        <v>5</v>
      </c>
      <c r="E3127" s="19" t="n">
        <v>0.1</v>
      </c>
    </row>
    <row r="3128">
      <c r="A3128" s="2" t="inlineStr">
        <is>
          <t>IT01237_01</t>
        </is>
      </c>
      <c r="B3128" s="2" t="inlineStr">
        <is>
          <t>PED01237</t>
        </is>
      </c>
      <c r="C3128" s="2" t="inlineStr">
        <is>
          <t>P056</t>
        </is>
      </c>
      <c r="D3128" s="2" t="n">
        <v>5</v>
      </c>
      <c r="E3128" s="19" t="n">
        <v>0</v>
      </c>
    </row>
    <row r="3129">
      <c r="A3129" s="2" t="inlineStr">
        <is>
          <t>IT01237_02</t>
        </is>
      </c>
      <c r="B3129" s="2" t="inlineStr">
        <is>
          <t>PED01237</t>
        </is>
      </c>
      <c r="C3129" s="2" t="inlineStr">
        <is>
          <t>P034</t>
        </is>
      </c>
      <c r="D3129" s="2" t="n">
        <v>2</v>
      </c>
      <c r="E3129" s="19" t="n">
        <v>0</v>
      </c>
    </row>
    <row r="3130">
      <c r="A3130" s="2" t="inlineStr">
        <is>
          <t>IT01238_01</t>
        </is>
      </c>
      <c r="B3130" s="2" t="inlineStr">
        <is>
          <t>PED01238</t>
        </is>
      </c>
      <c r="C3130" s="2" t="inlineStr">
        <is>
          <t>P003</t>
        </is>
      </c>
      <c r="D3130" s="2" t="n">
        <v>4</v>
      </c>
      <c r="E3130" s="19" t="n">
        <v>0.05</v>
      </c>
    </row>
    <row r="3131">
      <c r="A3131" s="2" t="inlineStr">
        <is>
          <t>IT01238_02</t>
        </is>
      </c>
      <c r="B3131" s="2" t="inlineStr">
        <is>
          <t>PED01238</t>
        </is>
      </c>
      <c r="C3131" s="2" t="inlineStr">
        <is>
          <t>P069</t>
        </is>
      </c>
      <c r="D3131" s="2" t="n">
        <v>2</v>
      </c>
      <c r="E3131" s="19" t="n">
        <v>0</v>
      </c>
    </row>
    <row r="3132">
      <c r="A3132" s="2" t="inlineStr">
        <is>
          <t>IT01239_01</t>
        </is>
      </c>
      <c r="B3132" s="2" t="inlineStr">
        <is>
          <t>PED01239</t>
        </is>
      </c>
      <c r="C3132" s="2" t="inlineStr">
        <is>
          <t>P050</t>
        </is>
      </c>
      <c r="D3132" s="2" t="n">
        <v>3</v>
      </c>
      <c r="E3132" s="19" t="n">
        <v>0</v>
      </c>
    </row>
    <row r="3133">
      <c r="A3133" s="2" t="inlineStr">
        <is>
          <t>IT01239_02</t>
        </is>
      </c>
      <c r="B3133" s="2" t="inlineStr">
        <is>
          <t>PED01239</t>
        </is>
      </c>
      <c r="C3133" s="2" t="inlineStr">
        <is>
          <t>P036</t>
        </is>
      </c>
      <c r="D3133" s="2" t="n">
        <v>3</v>
      </c>
      <c r="E3133" s="19" t="n">
        <v>0.05</v>
      </c>
    </row>
    <row r="3134">
      <c r="A3134" s="2" t="inlineStr">
        <is>
          <t>IT01239_03</t>
        </is>
      </c>
      <c r="B3134" s="2" t="inlineStr">
        <is>
          <t>PED01239</t>
        </is>
      </c>
      <c r="C3134" s="2" t="inlineStr">
        <is>
          <t>P066</t>
        </is>
      </c>
      <c r="D3134" s="2" t="n">
        <v>2</v>
      </c>
      <c r="E3134" s="19" t="n">
        <v>0.02</v>
      </c>
    </row>
    <row r="3135">
      <c r="A3135" s="2" t="inlineStr">
        <is>
          <t>IT01240_01</t>
        </is>
      </c>
      <c r="B3135" s="2" t="inlineStr">
        <is>
          <t>PED01240</t>
        </is>
      </c>
      <c r="C3135" s="2" t="inlineStr">
        <is>
          <t>P063</t>
        </is>
      </c>
      <c r="D3135" s="2" t="n">
        <v>3</v>
      </c>
      <c r="E3135" s="19" t="n">
        <v>0</v>
      </c>
    </row>
    <row r="3136">
      <c r="A3136" s="2" t="inlineStr">
        <is>
          <t>IT01240_02</t>
        </is>
      </c>
      <c r="B3136" s="2" t="inlineStr">
        <is>
          <t>PED01240</t>
        </is>
      </c>
      <c r="C3136" s="2" t="inlineStr">
        <is>
          <t>P043</t>
        </is>
      </c>
      <c r="D3136" s="2" t="n">
        <v>2</v>
      </c>
      <c r="E3136" s="19" t="n">
        <v>0</v>
      </c>
    </row>
    <row r="3137">
      <c r="A3137" s="2" t="inlineStr">
        <is>
          <t>IT01240_03</t>
        </is>
      </c>
      <c r="B3137" s="2" t="inlineStr">
        <is>
          <t>PED01240</t>
        </is>
      </c>
      <c r="C3137" s="2" t="inlineStr">
        <is>
          <t>P045</t>
        </is>
      </c>
      <c r="D3137" s="2" t="n">
        <v>2</v>
      </c>
      <c r="E3137" s="19" t="n">
        <v>0</v>
      </c>
    </row>
    <row r="3138">
      <c r="A3138" s="2" t="inlineStr">
        <is>
          <t>IT01241_01</t>
        </is>
      </c>
      <c r="B3138" s="2" t="inlineStr">
        <is>
          <t>PED01241</t>
        </is>
      </c>
      <c r="C3138" s="2" t="inlineStr">
        <is>
          <t>P010</t>
        </is>
      </c>
      <c r="D3138" s="2" t="n">
        <v>2</v>
      </c>
      <c r="E3138" s="19" t="n">
        <v>0</v>
      </c>
    </row>
    <row r="3139">
      <c r="A3139" s="2" t="inlineStr">
        <is>
          <t>IT01241_02</t>
        </is>
      </c>
      <c r="B3139" s="2" t="inlineStr">
        <is>
          <t>PED01241</t>
        </is>
      </c>
      <c r="C3139" s="2" t="inlineStr">
        <is>
          <t>P018</t>
        </is>
      </c>
      <c r="D3139" s="2" t="n">
        <v>4</v>
      </c>
      <c r="E3139" s="19" t="n">
        <v>0</v>
      </c>
    </row>
    <row r="3140">
      <c r="A3140" s="2" t="inlineStr">
        <is>
          <t>IT01241_03</t>
        </is>
      </c>
      <c r="B3140" s="2" t="inlineStr">
        <is>
          <t>PED01241</t>
        </is>
      </c>
      <c r="C3140" s="2" t="inlineStr">
        <is>
          <t>P039</t>
        </is>
      </c>
      <c r="D3140" s="2" t="n">
        <v>1</v>
      </c>
      <c r="E3140" s="19" t="n">
        <v>0</v>
      </c>
    </row>
    <row r="3141">
      <c r="A3141" s="2" t="inlineStr">
        <is>
          <t>IT01241_04</t>
        </is>
      </c>
      <c r="B3141" s="2" t="inlineStr">
        <is>
          <t>PED01241</t>
        </is>
      </c>
      <c r="C3141" s="2" t="inlineStr">
        <is>
          <t>P068</t>
        </is>
      </c>
      <c r="D3141" s="2" t="n">
        <v>1</v>
      </c>
      <c r="E3141" s="19" t="n">
        <v>0</v>
      </c>
    </row>
    <row r="3142">
      <c r="A3142" s="2" t="inlineStr">
        <is>
          <t>IT01242_01</t>
        </is>
      </c>
      <c r="B3142" s="2" t="inlineStr">
        <is>
          <t>PED01242</t>
        </is>
      </c>
      <c r="C3142" s="2" t="inlineStr">
        <is>
          <t>P064</t>
        </is>
      </c>
      <c r="D3142" s="2" t="n">
        <v>3</v>
      </c>
      <c r="E3142" s="19" t="n">
        <v>0</v>
      </c>
    </row>
    <row r="3143">
      <c r="A3143" s="2" t="inlineStr">
        <is>
          <t>IT01243_01</t>
        </is>
      </c>
      <c r="B3143" s="2" t="inlineStr">
        <is>
          <t>PED01243</t>
        </is>
      </c>
      <c r="C3143" s="2" t="inlineStr">
        <is>
          <t>P065</t>
        </is>
      </c>
      <c r="D3143" s="2" t="n">
        <v>1</v>
      </c>
      <c r="E3143" s="19" t="n">
        <v>0</v>
      </c>
    </row>
    <row r="3144">
      <c r="A3144" s="2" t="inlineStr">
        <is>
          <t>IT01244_01</t>
        </is>
      </c>
      <c r="B3144" s="2" t="inlineStr">
        <is>
          <t>PED01244</t>
        </is>
      </c>
      <c r="C3144" s="2" t="inlineStr">
        <is>
          <t>P011</t>
        </is>
      </c>
      <c r="D3144" s="2" t="n">
        <v>4</v>
      </c>
      <c r="E3144" s="19" t="n">
        <v>0</v>
      </c>
    </row>
    <row r="3145">
      <c r="A3145" s="2" t="inlineStr">
        <is>
          <t>IT01244_02</t>
        </is>
      </c>
      <c r="B3145" s="2" t="inlineStr">
        <is>
          <t>PED01244</t>
        </is>
      </c>
      <c r="C3145" s="2" t="inlineStr">
        <is>
          <t>P036</t>
        </is>
      </c>
      <c r="D3145" s="2" t="n">
        <v>3</v>
      </c>
      <c r="E3145" s="19" t="n">
        <v>0.02</v>
      </c>
    </row>
    <row r="3146">
      <c r="A3146" s="2" t="inlineStr">
        <is>
          <t>IT01244_03</t>
        </is>
      </c>
      <c r="B3146" s="2" t="inlineStr">
        <is>
          <t>PED01244</t>
        </is>
      </c>
      <c r="C3146" s="2" t="inlineStr">
        <is>
          <t>P044</t>
        </is>
      </c>
      <c r="D3146" s="2" t="n">
        <v>4</v>
      </c>
      <c r="E3146" s="19" t="n">
        <v>0.05</v>
      </c>
    </row>
    <row r="3147">
      <c r="A3147" s="2" t="inlineStr">
        <is>
          <t>IT01244_04</t>
        </is>
      </c>
      <c r="B3147" s="2" t="inlineStr">
        <is>
          <t>PED01244</t>
        </is>
      </c>
      <c r="C3147" s="2" t="inlineStr">
        <is>
          <t>P002</t>
        </is>
      </c>
      <c r="D3147" s="2" t="n">
        <v>2</v>
      </c>
      <c r="E3147" s="19" t="n">
        <v>0.05</v>
      </c>
    </row>
    <row r="3148">
      <c r="A3148" s="2" t="inlineStr">
        <is>
          <t>IT01245_01</t>
        </is>
      </c>
      <c r="B3148" s="2" t="inlineStr">
        <is>
          <t>PED01245</t>
        </is>
      </c>
      <c r="C3148" s="2" t="inlineStr">
        <is>
          <t>P055</t>
        </is>
      </c>
      <c r="D3148" s="2" t="n">
        <v>1</v>
      </c>
      <c r="E3148" s="19" t="n">
        <v>0.05</v>
      </c>
    </row>
    <row r="3149">
      <c r="A3149" s="2" t="inlineStr">
        <is>
          <t>IT01245_02</t>
        </is>
      </c>
      <c r="B3149" s="2" t="inlineStr">
        <is>
          <t>PED01245</t>
        </is>
      </c>
      <c r="C3149" s="2" t="inlineStr">
        <is>
          <t>P027</t>
        </is>
      </c>
      <c r="D3149" s="2" t="n">
        <v>1</v>
      </c>
      <c r="E3149" s="19" t="n">
        <v>0</v>
      </c>
    </row>
    <row r="3150">
      <c r="A3150" s="2" t="inlineStr">
        <is>
          <t>IT01245_03</t>
        </is>
      </c>
      <c r="B3150" s="2" t="inlineStr">
        <is>
          <t>PED01245</t>
        </is>
      </c>
      <c r="C3150" s="2" t="inlineStr">
        <is>
          <t>P029</t>
        </is>
      </c>
      <c r="D3150" s="2" t="n">
        <v>3</v>
      </c>
      <c r="E3150" s="19" t="n">
        <v>0.02</v>
      </c>
    </row>
    <row r="3151">
      <c r="A3151" s="2" t="inlineStr">
        <is>
          <t>IT01245_04</t>
        </is>
      </c>
      <c r="B3151" s="2" t="inlineStr">
        <is>
          <t>PED01245</t>
        </is>
      </c>
      <c r="C3151" s="2" t="inlineStr">
        <is>
          <t>P048</t>
        </is>
      </c>
      <c r="D3151" s="2" t="n">
        <v>2</v>
      </c>
      <c r="E3151" s="19" t="n">
        <v>0.02</v>
      </c>
    </row>
    <row r="3152">
      <c r="A3152" s="2" t="inlineStr">
        <is>
          <t>IT01246_01</t>
        </is>
      </c>
      <c r="B3152" s="2" t="inlineStr">
        <is>
          <t>PED01246</t>
        </is>
      </c>
      <c r="C3152" s="2" t="inlineStr">
        <is>
          <t>P031</t>
        </is>
      </c>
      <c r="D3152" s="2" t="n">
        <v>3</v>
      </c>
      <c r="E3152" s="19" t="n">
        <v>0</v>
      </c>
    </row>
    <row r="3153">
      <c r="A3153" s="2" t="inlineStr">
        <is>
          <t>IT01247_01</t>
        </is>
      </c>
      <c r="B3153" s="2" t="inlineStr">
        <is>
          <t>PED01247</t>
        </is>
      </c>
      <c r="C3153" s="2" t="inlineStr">
        <is>
          <t>P041</t>
        </is>
      </c>
      <c r="D3153" s="2" t="n">
        <v>1</v>
      </c>
      <c r="E3153" s="19" t="n">
        <v>0</v>
      </c>
    </row>
    <row r="3154">
      <c r="A3154" s="2" t="inlineStr">
        <is>
          <t>IT01247_02</t>
        </is>
      </c>
      <c r="B3154" s="2" t="inlineStr">
        <is>
          <t>PED01247</t>
        </is>
      </c>
      <c r="C3154" s="2" t="inlineStr">
        <is>
          <t>P045</t>
        </is>
      </c>
      <c r="D3154" s="2" t="n">
        <v>2</v>
      </c>
      <c r="E3154" s="19" t="n">
        <v>0.02</v>
      </c>
    </row>
    <row r="3155">
      <c r="A3155" s="2" t="inlineStr">
        <is>
          <t>IT01247_03</t>
        </is>
      </c>
      <c r="B3155" s="2" t="inlineStr">
        <is>
          <t>PED01247</t>
        </is>
      </c>
      <c r="C3155" s="2" t="inlineStr">
        <is>
          <t>P016</t>
        </is>
      </c>
      <c r="D3155" s="2" t="n">
        <v>1</v>
      </c>
      <c r="E3155" s="19" t="n">
        <v>0</v>
      </c>
    </row>
    <row r="3156">
      <c r="A3156" s="2" t="inlineStr">
        <is>
          <t>IT01248_01</t>
        </is>
      </c>
      <c r="B3156" s="2" t="inlineStr">
        <is>
          <t>PED01248</t>
        </is>
      </c>
      <c r="C3156" s="2" t="inlineStr">
        <is>
          <t>P060</t>
        </is>
      </c>
      <c r="D3156" s="2" t="n">
        <v>1</v>
      </c>
      <c r="E3156" s="19" t="n">
        <v>0.05</v>
      </c>
    </row>
    <row r="3157">
      <c r="A3157" s="2" t="inlineStr">
        <is>
          <t>IT01248_02</t>
        </is>
      </c>
      <c r="B3157" s="2" t="inlineStr">
        <is>
          <t>PED01248</t>
        </is>
      </c>
      <c r="C3157" s="2" t="inlineStr">
        <is>
          <t>P027</t>
        </is>
      </c>
      <c r="D3157" s="2" t="n">
        <v>5</v>
      </c>
      <c r="E3157" s="19" t="n">
        <v>0.02</v>
      </c>
    </row>
    <row r="3158">
      <c r="A3158" s="2" t="inlineStr">
        <is>
          <t>IT01249_01</t>
        </is>
      </c>
      <c r="B3158" s="2" t="inlineStr">
        <is>
          <t>PED01249</t>
        </is>
      </c>
      <c r="C3158" s="2" t="inlineStr">
        <is>
          <t>P045</t>
        </is>
      </c>
      <c r="D3158" s="2" t="n">
        <v>2</v>
      </c>
      <c r="E3158" s="19" t="n">
        <v>0</v>
      </c>
    </row>
    <row r="3159">
      <c r="A3159" s="2" t="inlineStr">
        <is>
          <t>IT01250_01</t>
        </is>
      </c>
      <c r="B3159" s="2" t="inlineStr">
        <is>
          <t>PED01250</t>
        </is>
      </c>
      <c r="C3159" s="2" t="inlineStr">
        <is>
          <t>P043</t>
        </is>
      </c>
      <c r="D3159" s="2" t="n">
        <v>2</v>
      </c>
      <c r="E3159" s="19" t="n">
        <v>0.1</v>
      </c>
    </row>
    <row r="3160">
      <c r="A3160" s="2" t="inlineStr">
        <is>
          <t>IT01251_01</t>
        </is>
      </c>
      <c r="B3160" s="2" t="inlineStr">
        <is>
          <t>PED01251</t>
        </is>
      </c>
      <c r="C3160" s="2" t="inlineStr">
        <is>
          <t>P043</t>
        </is>
      </c>
      <c r="D3160" s="2" t="n">
        <v>4</v>
      </c>
      <c r="E3160" s="19" t="n">
        <v>0.05</v>
      </c>
    </row>
    <row r="3161">
      <c r="A3161" s="2" t="inlineStr">
        <is>
          <t>IT01252_01</t>
        </is>
      </c>
      <c r="B3161" s="2" t="inlineStr">
        <is>
          <t>PED01252</t>
        </is>
      </c>
      <c r="C3161" s="2" t="inlineStr">
        <is>
          <t>P049</t>
        </is>
      </c>
      <c r="D3161" s="2" t="n">
        <v>1</v>
      </c>
      <c r="E3161" s="19" t="n">
        <v>0</v>
      </c>
    </row>
    <row r="3162">
      <c r="A3162" s="2" t="inlineStr">
        <is>
          <t>IT01253_01</t>
        </is>
      </c>
      <c r="B3162" s="2" t="inlineStr">
        <is>
          <t>PED01253</t>
        </is>
      </c>
      <c r="C3162" s="2" t="inlineStr">
        <is>
          <t>P024</t>
        </is>
      </c>
      <c r="D3162" s="2" t="n">
        <v>1</v>
      </c>
      <c r="E3162" s="19" t="n">
        <v>0</v>
      </c>
    </row>
    <row r="3163">
      <c r="A3163" s="2" t="inlineStr">
        <is>
          <t>IT01253_02</t>
        </is>
      </c>
      <c r="B3163" s="2" t="inlineStr">
        <is>
          <t>PED01253</t>
        </is>
      </c>
      <c r="C3163" s="2" t="inlineStr">
        <is>
          <t>P059</t>
        </is>
      </c>
      <c r="D3163" s="2" t="n">
        <v>2</v>
      </c>
      <c r="E3163" s="19" t="n">
        <v>0.1</v>
      </c>
    </row>
    <row r="3164">
      <c r="A3164" s="2" t="inlineStr">
        <is>
          <t>IT01254_01</t>
        </is>
      </c>
      <c r="B3164" s="2" t="inlineStr">
        <is>
          <t>PED01254</t>
        </is>
      </c>
      <c r="C3164" s="2" t="inlineStr">
        <is>
          <t>P049</t>
        </is>
      </c>
      <c r="D3164" s="2" t="n">
        <v>1</v>
      </c>
      <c r="E3164" s="19" t="n">
        <v>0.05</v>
      </c>
    </row>
    <row r="3165">
      <c r="A3165" s="2" t="inlineStr">
        <is>
          <t>IT01254_02</t>
        </is>
      </c>
      <c r="B3165" s="2" t="inlineStr">
        <is>
          <t>PED01254</t>
        </is>
      </c>
      <c r="C3165" s="2" t="inlineStr">
        <is>
          <t>P033</t>
        </is>
      </c>
      <c r="D3165" s="2" t="n">
        <v>2</v>
      </c>
      <c r="E3165" s="19" t="n">
        <v>0</v>
      </c>
    </row>
    <row r="3166">
      <c r="A3166" s="2" t="inlineStr">
        <is>
          <t>IT01255_01</t>
        </is>
      </c>
      <c r="B3166" s="2" t="inlineStr">
        <is>
          <t>PED01255</t>
        </is>
      </c>
      <c r="C3166" s="2" t="inlineStr">
        <is>
          <t>P039</t>
        </is>
      </c>
      <c r="D3166" s="2" t="n">
        <v>3</v>
      </c>
      <c r="E3166" s="19" t="n">
        <v>0</v>
      </c>
    </row>
    <row r="3167">
      <c r="A3167" s="2" t="inlineStr">
        <is>
          <t>IT01255_02</t>
        </is>
      </c>
      <c r="B3167" s="2" t="inlineStr">
        <is>
          <t>PED01255</t>
        </is>
      </c>
      <c r="C3167" s="2" t="inlineStr">
        <is>
          <t>P053</t>
        </is>
      </c>
      <c r="D3167" s="2" t="n">
        <v>1</v>
      </c>
      <c r="E3167" s="19" t="n">
        <v>0</v>
      </c>
    </row>
    <row r="3168">
      <c r="A3168" s="2" t="inlineStr">
        <is>
          <t>IT01256_01</t>
        </is>
      </c>
      <c r="B3168" s="2" t="inlineStr">
        <is>
          <t>PED01256</t>
        </is>
      </c>
      <c r="C3168" s="2" t="inlineStr">
        <is>
          <t>P054</t>
        </is>
      </c>
      <c r="D3168" s="2" t="n">
        <v>1</v>
      </c>
      <c r="E3168" s="19" t="n">
        <v>0</v>
      </c>
    </row>
    <row r="3169">
      <c r="A3169" s="2" t="inlineStr">
        <is>
          <t>IT01257_01</t>
        </is>
      </c>
      <c r="B3169" s="2" t="inlineStr">
        <is>
          <t>PED01257</t>
        </is>
      </c>
      <c r="C3169" s="2" t="inlineStr">
        <is>
          <t>P030</t>
        </is>
      </c>
      <c r="D3169" s="2" t="n">
        <v>3</v>
      </c>
      <c r="E3169" s="19" t="n">
        <v>0.05</v>
      </c>
    </row>
    <row r="3170">
      <c r="A3170" s="2" t="inlineStr">
        <is>
          <t>IT01257_02</t>
        </is>
      </c>
      <c r="B3170" s="2" t="inlineStr">
        <is>
          <t>PED01257</t>
        </is>
      </c>
      <c r="C3170" s="2" t="inlineStr">
        <is>
          <t>P041</t>
        </is>
      </c>
      <c r="D3170" s="2" t="n">
        <v>2</v>
      </c>
      <c r="E3170" s="19" t="n">
        <v>0</v>
      </c>
    </row>
    <row r="3171">
      <c r="A3171" s="2" t="inlineStr">
        <is>
          <t>IT01258_01</t>
        </is>
      </c>
      <c r="B3171" s="2" t="inlineStr">
        <is>
          <t>PED01258</t>
        </is>
      </c>
      <c r="C3171" s="2" t="inlineStr">
        <is>
          <t>P001</t>
        </is>
      </c>
      <c r="D3171" s="2" t="n">
        <v>2</v>
      </c>
      <c r="E3171" s="19" t="n">
        <v>0.05</v>
      </c>
    </row>
    <row r="3172">
      <c r="A3172" s="2" t="inlineStr">
        <is>
          <t>IT01258_02</t>
        </is>
      </c>
      <c r="B3172" s="2" t="inlineStr">
        <is>
          <t>PED01258</t>
        </is>
      </c>
      <c r="C3172" s="2" t="inlineStr">
        <is>
          <t>P023</t>
        </is>
      </c>
      <c r="D3172" s="2" t="n">
        <v>5</v>
      </c>
      <c r="E3172" s="19" t="n">
        <v>0</v>
      </c>
    </row>
    <row r="3173">
      <c r="A3173" s="2" t="inlineStr">
        <is>
          <t>IT01258_03</t>
        </is>
      </c>
      <c r="B3173" s="2" t="inlineStr">
        <is>
          <t>PED01258</t>
        </is>
      </c>
      <c r="C3173" s="2" t="inlineStr">
        <is>
          <t>P065</t>
        </is>
      </c>
      <c r="D3173" s="2" t="n">
        <v>3</v>
      </c>
      <c r="E3173" s="19" t="n">
        <v>0.05</v>
      </c>
    </row>
    <row r="3174">
      <c r="A3174" s="2" t="inlineStr">
        <is>
          <t>IT01259_01</t>
        </is>
      </c>
      <c r="B3174" s="2" t="inlineStr">
        <is>
          <t>PED01259</t>
        </is>
      </c>
      <c r="C3174" s="2" t="inlineStr">
        <is>
          <t>P018</t>
        </is>
      </c>
      <c r="D3174" s="2" t="n">
        <v>1</v>
      </c>
      <c r="E3174" s="19" t="n">
        <v>0</v>
      </c>
    </row>
    <row r="3175">
      <c r="A3175" s="2" t="inlineStr">
        <is>
          <t>IT01259_02</t>
        </is>
      </c>
      <c r="B3175" s="2" t="inlineStr">
        <is>
          <t>PED01259</t>
        </is>
      </c>
      <c r="C3175" s="2" t="inlineStr">
        <is>
          <t>P063</t>
        </is>
      </c>
      <c r="D3175" s="2" t="n">
        <v>2</v>
      </c>
      <c r="E3175" s="19" t="n">
        <v>0</v>
      </c>
    </row>
    <row r="3176">
      <c r="A3176" s="2" t="inlineStr">
        <is>
          <t>IT01259_03</t>
        </is>
      </c>
      <c r="B3176" s="2" t="inlineStr">
        <is>
          <t>PED01259</t>
        </is>
      </c>
      <c r="C3176" s="2" t="inlineStr">
        <is>
          <t>P016</t>
        </is>
      </c>
      <c r="D3176" s="2" t="n">
        <v>2</v>
      </c>
      <c r="E3176" s="19" t="n">
        <v>0</v>
      </c>
    </row>
    <row r="3177">
      <c r="A3177" s="2" t="inlineStr">
        <is>
          <t>IT01259_04</t>
        </is>
      </c>
      <c r="B3177" s="2" t="inlineStr">
        <is>
          <t>PED01259</t>
        </is>
      </c>
      <c r="C3177" s="2" t="inlineStr">
        <is>
          <t>P059</t>
        </is>
      </c>
      <c r="D3177" s="2" t="n">
        <v>1</v>
      </c>
      <c r="E3177" s="19" t="n">
        <v>0</v>
      </c>
    </row>
    <row r="3178">
      <c r="A3178" s="2" t="inlineStr">
        <is>
          <t>IT01260_01</t>
        </is>
      </c>
      <c r="B3178" s="2" t="inlineStr">
        <is>
          <t>PED01260</t>
        </is>
      </c>
      <c r="C3178" s="2" t="inlineStr">
        <is>
          <t>P009</t>
        </is>
      </c>
      <c r="D3178" s="2" t="n">
        <v>1</v>
      </c>
      <c r="E3178" s="19" t="n">
        <v>0</v>
      </c>
    </row>
    <row r="3179">
      <c r="A3179" s="2" t="inlineStr">
        <is>
          <t>IT01260_02</t>
        </is>
      </c>
      <c r="B3179" s="2" t="inlineStr">
        <is>
          <t>PED01260</t>
        </is>
      </c>
      <c r="C3179" s="2" t="inlineStr">
        <is>
          <t>P065</t>
        </is>
      </c>
      <c r="D3179" s="2" t="n">
        <v>2</v>
      </c>
      <c r="E3179" s="19" t="n">
        <v>0</v>
      </c>
    </row>
    <row r="3180">
      <c r="A3180" s="2" t="inlineStr">
        <is>
          <t>IT01260_03</t>
        </is>
      </c>
      <c r="B3180" s="2" t="inlineStr">
        <is>
          <t>PED01260</t>
        </is>
      </c>
      <c r="C3180" s="2" t="inlineStr">
        <is>
          <t>P064</t>
        </is>
      </c>
      <c r="D3180" s="2" t="n">
        <v>2</v>
      </c>
      <c r="E3180" s="19" t="n">
        <v>0.02</v>
      </c>
    </row>
    <row r="3181">
      <c r="A3181" s="2" t="inlineStr">
        <is>
          <t>IT01261_01</t>
        </is>
      </c>
      <c r="B3181" s="2" t="inlineStr">
        <is>
          <t>PED01261</t>
        </is>
      </c>
      <c r="C3181" s="2" t="inlineStr">
        <is>
          <t>P002</t>
        </is>
      </c>
      <c r="D3181" s="2" t="n">
        <v>2</v>
      </c>
      <c r="E3181" s="19" t="n">
        <v>0</v>
      </c>
    </row>
    <row r="3182">
      <c r="A3182" s="2" t="inlineStr">
        <is>
          <t>IT01262_01</t>
        </is>
      </c>
      <c r="B3182" s="2" t="inlineStr">
        <is>
          <t>PED01262</t>
        </is>
      </c>
      <c r="C3182" s="2" t="inlineStr">
        <is>
          <t>P070</t>
        </is>
      </c>
      <c r="D3182" s="2" t="n">
        <v>1</v>
      </c>
      <c r="E3182" s="19" t="n">
        <v>0</v>
      </c>
    </row>
    <row r="3183">
      <c r="A3183" s="2" t="inlineStr">
        <is>
          <t>IT01263_01</t>
        </is>
      </c>
      <c r="B3183" s="2" t="inlineStr">
        <is>
          <t>PED01263</t>
        </is>
      </c>
      <c r="C3183" s="2" t="inlineStr">
        <is>
          <t>P030</t>
        </is>
      </c>
      <c r="D3183" s="2" t="n">
        <v>2</v>
      </c>
      <c r="E3183" s="19" t="n">
        <v>0</v>
      </c>
    </row>
    <row r="3184">
      <c r="A3184" s="2" t="inlineStr">
        <is>
          <t>IT01263_02</t>
        </is>
      </c>
      <c r="B3184" s="2" t="inlineStr">
        <is>
          <t>PED01263</t>
        </is>
      </c>
      <c r="C3184" s="2" t="inlineStr">
        <is>
          <t>P011</t>
        </is>
      </c>
      <c r="D3184" s="2" t="n">
        <v>1</v>
      </c>
      <c r="E3184" s="19" t="n">
        <v>0</v>
      </c>
    </row>
    <row r="3185">
      <c r="A3185" s="2" t="inlineStr">
        <is>
          <t>IT01263_03</t>
        </is>
      </c>
      <c r="B3185" s="2" t="inlineStr">
        <is>
          <t>PED01263</t>
        </is>
      </c>
      <c r="C3185" s="2" t="inlineStr">
        <is>
          <t>P005</t>
        </is>
      </c>
      <c r="D3185" s="2" t="n">
        <v>1</v>
      </c>
      <c r="E3185" s="19" t="n">
        <v>0.02</v>
      </c>
    </row>
    <row r="3186">
      <c r="A3186" s="2" t="inlineStr">
        <is>
          <t>IT01263_04</t>
        </is>
      </c>
      <c r="B3186" s="2" t="inlineStr">
        <is>
          <t>PED01263</t>
        </is>
      </c>
      <c r="C3186" s="2" t="inlineStr">
        <is>
          <t>P046</t>
        </is>
      </c>
      <c r="D3186" s="2" t="n">
        <v>2</v>
      </c>
      <c r="E3186" s="19" t="n">
        <v>0</v>
      </c>
    </row>
    <row r="3187">
      <c r="A3187" s="2" t="inlineStr">
        <is>
          <t>IT01264_01</t>
        </is>
      </c>
      <c r="B3187" s="2" t="inlineStr">
        <is>
          <t>PED01264</t>
        </is>
      </c>
      <c r="C3187" s="2" t="inlineStr">
        <is>
          <t>P010</t>
        </is>
      </c>
      <c r="D3187" s="2" t="n">
        <v>3</v>
      </c>
      <c r="E3187" s="19" t="n">
        <v>0</v>
      </c>
    </row>
    <row r="3188">
      <c r="A3188" s="2" t="inlineStr">
        <is>
          <t>IT01264_02</t>
        </is>
      </c>
      <c r="B3188" s="2" t="inlineStr">
        <is>
          <t>PED01264</t>
        </is>
      </c>
      <c r="C3188" s="2" t="inlineStr">
        <is>
          <t>P008</t>
        </is>
      </c>
      <c r="D3188" s="2" t="n">
        <v>5</v>
      </c>
      <c r="E3188" s="19" t="n">
        <v>0.05</v>
      </c>
    </row>
    <row r="3189">
      <c r="A3189" s="2" t="inlineStr">
        <is>
          <t>IT01264_03</t>
        </is>
      </c>
      <c r="B3189" s="2" t="inlineStr">
        <is>
          <t>PED01264</t>
        </is>
      </c>
      <c r="C3189" s="2" t="inlineStr">
        <is>
          <t>P062</t>
        </is>
      </c>
      <c r="D3189" s="2" t="n">
        <v>1</v>
      </c>
      <c r="E3189" s="19" t="n">
        <v>0</v>
      </c>
    </row>
    <row r="3190">
      <c r="A3190" s="2" t="inlineStr">
        <is>
          <t>IT01265_01</t>
        </is>
      </c>
      <c r="B3190" s="2" t="inlineStr">
        <is>
          <t>PED01265</t>
        </is>
      </c>
      <c r="C3190" s="2" t="inlineStr">
        <is>
          <t>P053</t>
        </is>
      </c>
      <c r="D3190" s="2" t="n">
        <v>1</v>
      </c>
      <c r="E3190" s="19" t="n">
        <v>0</v>
      </c>
    </row>
    <row r="3191">
      <c r="A3191" s="2" t="inlineStr">
        <is>
          <t>IT01265_02</t>
        </is>
      </c>
      <c r="B3191" s="2" t="inlineStr">
        <is>
          <t>PED01265</t>
        </is>
      </c>
      <c r="C3191" s="2" t="inlineStr">
        <is>
          <t>P027</t>
        </is>
      </c>
      <c r="D3191" s="2" t="n">
        <v>1</v>
      </c>
      <c r="E3191" s="19" t="n">
        <v>0</v>
      </c>
    </row>
    <row r="3192">
      <c r="A3192" s="2" t="inlineStr">
        <is>
          <t>IT01265_03</t>
        </is>
      </c>
      <c r="B3192" s="2" t="inlineStr">
        <is>
          <t>PED01265</t>
        </is>
      </c>
      <c r="C3192" s="2" t="inlineStr">
        <is>
          <t>P024</t>
        </is>
      </c>
      <c r="D3192" s="2" t="n">
        <v>1</v>
      </c>
      <c r="E3192" s="19" t="n">
        <v>0</v>
      </c>
    </row>
    <row r="3193">
      <c r="A3193" s="2" t="inlineStr">
        <is>
          <t>IT01265_04</t>
        </is>
      </c>
      <c r="B3193" s="2" t="inlineStr">
        <is>
          <t>PED01265</t>
        </is>
      </c>
      <c r="C3193" s="2" t="inlineStr">
        <is>
          <t>P023</t>
        </is>
      </c>
      <c r="D3193" s="2" t="n">
        <v>4</v>
      </c>
      <c r="E3193" s="19" t="n">
        <v>0</v>
      </c>
    </row>
    <row r="3194">
      <c r="A3194" s="2" t="inlineStr">
        <is>
          <t>IT01265_05</t>
        </is>
      </c>
      <c r="B3194" s="2" t="inlineStr">
        <is>
          <t>PED01265</t>
        </is>
      </c>
      <c r="C3194" s="2" t="inlineStr">
        <is>
          <t>P048</t>
        </is>
      </c>
      <c r="D3194" s="2" t="n">
        <v>1</v>
      </c>
      <c r="E3194" s="19" t="n">
        <v>0</v>
      </c>
    </row>
    <row r="3195">
      <c r="A3195" s="2" t="inlineStr">
        <is>
          <t>IT01266_01</t>
        </is>
      </c>
      <c r="B3195" s="2" t="inlineStr">
        <is>
          <t>PED01266</t>
        </is>
      </c>
      <c r="C3195" s="2" t="inlineStr">
        <is>
          <t>P049</t>
        </is>
      </c>
      <c r="D3195" s="2" t="n">
        <v>1</v>
      </c>
      <c r="E3195" s="19" t="n">
        <v>0</v>
      </c>
    </row>
    <row r="3196">
      <c r="A3196" s="2" t="inlineStr">
        <is>
          <t>IT01267_01</t>
        </is>
      </c>
      <c r="B3196" s="2" t="inlineStr">
        <is>
          <t>PED01267</t>
        </is>
      </c>
      <c r="C3196" s="2" t="inlineStr">
        <is>
          <t>P005</t>
        </is>
      </c>
      <c r="D3196" s="2" t="n">
        <v>4</v>
      </c>
      <c r="E3196" s="19" t="n">
        <v>0</v>
      </c>
    </row>
    <row r="3197">
      <c r="A3197" s="2" t="inlineStr">
        <is>
          <t>IT01267_02</t>
        </is>
      </c>
      <c r="B3197" s="2" t="inlineStr">
        <is>
          <t>PED01267</t>
        </is>
      </c>
      <c r="C3197" s="2" t="inlineStr">
        <is>
          <t>P043</t>
        </is>
      </c>
      <c r="D3197" s="2" t="n">
        <v>1</v>
      </c>
      <c r="E3197" s="19" t="n">
        <v>0</v>
      </c>
    </row>
    <row r="3198">
      <c r="A3198" s="2" t="inlineStr">
        <is>
          <t>IT01267_03</t>
        </is>
      </c>
      <c r="B3198" s="2" t="inlineStr">
        <is>
          <t>PED01267</t>
        </is>
      </c>
      <c r="C3198" s="2" t="inlineStr">
        <is>
          <t>P031</t>
        </is>
      </c>
      <c r="D3198" s="2" t="n">
        <v>1</v>
      </c>
      <c r="E3198" s="19" t="n">
        <v>0.1</v>
      </c>
    </row>
    <row r="3199">
      <c r="A3199" s="2" t="inlineStr">
        <is>
          <t>IT01267_04</t>
        </is>
      </c>
      <c r="B3199" s="2" t="inlineStr">
        <is>
          <t>PED01267</t>
        </is>
      </c>
      <c r="C3199" s="2" t="inlineStr">
        <is>
          <t>P051</t>
        </is>
      </c>
      <c r="D3199" s="2" t="n">
        <v>2</v>
      </c>
      <c r="E3199" s="19" t="n">
        <v>0</v>
      </c>
    </row>
    <row r="3200">
      <c r="A3200" s="2" t="inlineStr">
        <is>
          <t>IT01268_01</t>
        </is>
      </c>
      <c r="B3200" s="2" t="inlineStr">
        <is>
          <t>PED01268</t>
        </is>
      </c>
      <c r="C3200" s="2" t="inlineStr">
        <is>
          <t>P002</t>
        </is>
      </c>
      <c r="D3200" s="2" t="n">
        <v>3</v>
      </c>
      <c r="E3200" s="19" t="n">
        <v>0</v>
      </c>
    </row>
    <row r="3201">
      <c r="A3201" s="2" t="inlineStr">
        <is>
          <t>IT01268_02</t>
        </is>
      </c>
      <c r="B3201" s="2" t="inlineStr">
        <is>
          <t>PED01268</t>
        </is>
      </c>
      <c r="C3201" s="2" t="inlineStr">
        <is>
          <t>P004</t>
        </is>
      </c>
      <c r="D3201" s="2" t="n">
        <v>2</v>
      </c>
      <c r="E3201" s="19" t="n">
        <v>0</v>
      </c>
    </row>
    <row r="3202">
      <c r="A3202" s="2" t="inlineStr">
        <is>
          <t>IT01269_01</t>
        </is>
      </c>
      <c r="B3202" s="2" t="inlineStr">
        <is>
          <t>PED01269</t>
        </is>
      </c>
      <c r="C3202" s="2" t="inlineStr">
        <is>
          <t>P006</t>
        </is>
      </c>
      <c r="D3202" s="2" t="n">
        <v>2</v>
      </c>
      <c r="E3202" s="19" t="n">
        <v>0</v>
      </c>
    </row>
    <row r="3203">
      <c r="A3203" s="2" t="inlineStr">
        <is>
          <t>IT01269_02</t>
        </is>
      </c>
      <c r="B3203" s="2" t="inlineStr">
        <is>
          <t>PED01269</t>
        </is>
      </c>
      <c r="C3203" s="2" t="inlineStr">
        <is>
          <t>P066</t>
        </is>
      </c>
      <c r="D3203" s="2" t="n">
        <v>1</v>
      </c>
      <c r="E3203" s="19" t="n">
        <v>0</v>
      </c>
    </row>
    <row r="3204">
      <c r="A3204" s="2" t="inlineStr">
        <is>
          <t>IT01269_03</t>
        </is>
      </c>
      <c r="B3204" s="2" t="inlineStr">
        <is>
          <t>PED01269</t>
        </is>
      </c>
      <c r="C3204" s="2" t="inlineStr">
        <is>
          <t>P061</t>
        </is>
      </c>
      <c r="D3204" s="2" t="n">
        <v>3</v>
      </c>
      <c r="E3204" s="19" t="n">
        <v>0</v>
      </c>
    </row>
    <row r="3205">
      <c r="A3205" s="2" t="inlineStr">
        <is>
          <t>IT01269_04</t>
        </is>
      </c>
      <c r="B3205" s="2" t="inlineStr">
        <is>
          <t>PED01269</t>
        </is>
      </c>
      <c r="C3205" s="2" t="inlineStr">
        <is>
          <t>P010</t>
        </is>
      </c>
      <c r="D3205" s="2" t="n">
        <v>4</v>
      </c>
      <c r="E3205" s="19" t="n">
        <v>0.02</v>
      </c>
    </row>
    <row r="3206">
      <c r="A3206" s="2" t="inlineStr">
        <is>
          <t>IT01270_01</t>
        </is>
      </c>
      <c r="B3206" s="2" t="inlineStr">
        <is>
          <t>PED01270</t>
        </is>
      </c>
      <c r="C3206" s="2" t="inlineStr">
        <is>
          <t>P061</t>
        </is>
      </c>
      <c r="D3206" s="2" t="n">
        <v>1</v>
      </c>
      <c r="E3206" s="19" t="n">
        <v>0</v>
      </c>
    </row>
    <row r="3207">
      <c r="A3207" s="2" t="inlineStr">
        <is>
          <t>IT01270_02</t>
        </is>
      </c>
      <c r="B3207" s="2" t="inlineStr">
        <is>
          <t>PED01270</t>
        </is>
      </c>
      <c r="C3207" s="2" t="inlineStr">
        <is>
          <t>P001</t>
        </is>
      </c>
      <c r="D3207" s="2" t="n">
        <v>5</v>
      </c>
      <c r="E3207" s="19" t="n">
        <v>0.05</v>
      </c>
    </row>
    <row r="3208">
      <c r="A3208" s="2" t="inlineStr">
        <is>
          <t>IT01270_03</t>
        </is>
      </c>
      <c r="B3208" s="2" t="inlineStr">
        <is>
          <t>PED01270</t>
        </is>
      </c>
      <c r="C3208" s="2" t="inlineStr">
        <is>
          <t>P059</t>
        </is>
      </c>
      <c r="D3208" s="2" t="n">
        <v>3</v>
      </c>
      <c r="E3208" s="19" t="n">
        <v>0</v>
      </c>
    </row>
    <row r="3209">
      <c r="A3209" s="2" t="inlineStr">
        <is>
          <t>IT01270_04</t>
        </is>
      </c>
      <c r="B3209" s="2" t="inlineStr">
        <is>
          <t>PED01270</t>
        </is>
      </c>
      <c r="C3209" s="2" t="inlineStr">
        <is>
          <t>P033</t>
        </is>
      </c>
      <c r="D3209" s="2" t="n">
        <v>3</v>
      </c>
      <c r="E3209" s="19" t="n">
        <v>0.05</v>
      </c>
    </row>
    <row r="3210">
      <c r="A3210" s="2" t="inlineStr">
        <is>
          <t>IT01270_05</t>
        </is>
      </c>
      <c r="B3210" s="2" t="inlineStr">
        <is>
          <t>PED01270</t>
        </is>
      </c>
      <c r="C3210" s="2" t="inlineStr">
        <is>
          <t>P040</t>
        </is>
      </c>
      <c r="D3210" s="2" t="n">
        <v>1</v>
      </c>
      <c r="E3210" s="19" t="n">
        <v>0</v>
      </c>
    </row>
    <row r="3211">
      <c r="A3211" s="2" t="inlineStr">
        <is>
          <t>IT01271_01</t>
        </is>
      </c>
      <c r="B3211" s="2" t="inlineStr">
        <is>
          <t>PED01271</t>
        </is>
      </c>
      <c r="C3211" s="2" t="inlineStr">
        <is>
          <t>P011</t>
        </is>
      </c>
      <c r="D3211" s="2" t="n">
        <v>5</v>
      </c>
      <c r="E3211" s="19" t="n">
        <v>0.05</v>
      </c>
    </row>
    <row r="3212">
      <c r="A3212" s="2" t="inlineStr">
        <is>
          <t>IT01271_02</t>
        </is>
      </c>
      <c r="B3212" s="2" t="inlineStr">
        <is>
          <t>PED01271</t>
        </is>
      </c>
      <c r="C3212" s="2" t="inlineStr">
        <is>
          <t>P019</t>
        </is>
      </c>
      <c r="D3212" s="2" t="n">
        <v>2</v>
      </c>
      <c r="E3212" s="19" t="n">
        <v>0</v>
      </c>
    </row>
    <row r="3213">
      <c r="A3213" s="2" t="inlineStr">
        <is>
          <t>IT01272_01</t>
        </is>
      </c>
      <c r="B3213" s="2" t="inlineStr">
        <is>
          <t>PED01272</t>
        </is>
      </c>
      <c r="C3213" s="2" t="inlineStr">
        <is>
          <t>P027</t>
        </is>
      </c>
      <c r="D3213" s="2" t="n">
        <v>2</v>
      </c>
      <c r="E3213" s="19" t="n">
        <v>0</v>
      </c>
    </row>
    <row r="3214">
      <c r="A3214" s="2" t="inlineStr">
        <is>
          <t>IT01272_02</t>
        </is>
      </c>
      <c r="B3214" s="2" t="inlineStr">
        <is>
          <t>PED01272</t>
        </is>
      </c>
      <c r="C3214" s="2" t="inlineStr">
        <is>
          <t>P024</t>
        </is>
      </c>
      <c r="D3214" s="2" t="n">
        <v>1</v>
      </c>
      <c r="E3214" s="19" t="n">
        <v>0.05</v>
      </c>
    </row>
    <row r="3215">
      <c r="A3215" s="2" t="inlineStr">
        <is>
          <t>IT01272_03</t>
        </is>
      </c>
      <c r="B3215" s="2" t="inlineStr">
        <is>
          <t>PED01272</t>
        </is>
      </c>
      <c r="C3215" s="2" t="inlineStr">
        <is>
          <t>P054</t>
        </is>
      </c>
      <c r="D3215" s="2" t="n">
        <v>2</v>
      </c>
      <c r="E3215" s="19" t="n">
        <v>0</v>
      </c>
    </row>
    <row r="3216">
      <c r="A3216" s="2" t="inlineStr">
        <is>
          <t>IT01273_01</t>
        </is>
      </c>
      <c r="B3216" s="2" t="inlineStr">
        <is>
          <t>PED01273</t>
        </is>
      </c>
      <c r="C3216" s="2" t="inlineStr">
        <is>
          <t>P045</t>
        </is>
      </c>
      <c r="D3216" s="2" t="n">
        <v>3</v>
      </c>
      <c r="E3216" s="19" t="n">
        <v>0</v>
      </c>
    </row>
    <row r="3217">
      <c r="A3217" s="2" t="inlineStr">
        <is>
          <t>IT01274_01</t>
        </is>
      </c>
      <c r="B3217" s="2" t="inlineStr">
        <is>
          <t>PED01274</t>
        </is>
      </c>
      <c r="C3217" s="2" t="inlineStr">
        <is>
          <t>P041</t>
        </is>
      </c>
      <c r="D3217" s="2" t="n">
        <v>1</v>
      </c>
      <c r="E3217" s="19" t="n">
        <v>0</v>
      </c>
    </row>
    <row r="3218">
      <c r="A3218" s="2" t="inlineStr">
        <is>
          <t>IT01274_02</t>
        </is>
      </c>
      <c r="B3218" s="2" t="inlineStr">
        <is>
          <t>PED01274</t>
        </is>
      </c>
      <c r="C3218" s="2" t="inlineStr">
        <is>
          <t>P069</t>
        </is>
      </c>
      <c r="D3218" s="2" t="n">
        <v>4</v>
      </c>
      <c r="E3218" s="19" t="n">
        <v>0.1</v>
      </c>
    </row>
    <row r="3219">
      <c r="A3219" s="2" t="inlineStr">
        <is>
          <t>IT01274_03</t>
        </is>
      </c>
      <c r="B3219" s="2" t="inlineStr">
        <is>
          <t>PED01274</t>
        </is>
      </c>
      <c r="C3219" s="2" t="inlineStr">
        <is>
          <t>P012</t>
        </is>
      </c>
      <c r="D3219" s="2" t="n">
        <v>3</v>
      </c>
      <c r="E3219" s="19" t="n">
        <v>0.02</v>
      </c>
    </row>
    <row r="3220">
      <c r="A3220" s="2" t="inlineStr">
        <is>
          <t>IT01275_01</t>
        </is>
      </c>
      <c r="B3220" s="2" t="inlineStr">
        <is>
          <t>PED01275</t>
        </is>
      </c>
      <c r="C3220" s="2" t="inlineStr">
        <is>
          <t>P054</t>
        </is>
      </c>
      <c r="D3220" s="2" t="n">
        <v>10</v>
      </c>
      <c r="E3220" s="19" t="n">
        <v>0.05</v>
      </c>
    </row>
    <row r="3221">
      <c r="A3221" s="2" t="inlineStr">
        <is>
          <t>IT01275_02</t>
        </is>
      </c>
      <c r="B3221" s="2" t="inlineStr">
        <is>
          <t>PED01275</t>
        </is>
      </c>
      <c r="C3221" s="2" t="inlineStr">
        <is>
          <t>P017</t>
        </is>
      </c>
      <c r="D3221" s="2" t="n">
        <v>2</v>
      </c>
      <c r="E3221" s="19" t="n">
        <v>0</v>
      </c>
    </row>
    <row r="3222">
      <c r="A3222" s="2" t="inlineStr">
        <is>
          <t>IT01275_03</t>
        </is>
      </c>
      <c r="B3222" s="2" t="inlineStr">
        <is>
          <t>PED01275</t>
        </is>
      </c>
      <c r="C3222" s="2" t="inlineStr">
        <is>
          <t>P028</t>
        </is>
      </c>
      <c r="D3222" s="2" t="n">
        <v>2</v>
      </c>
      <c r="E3222" s="19" t="n">
        <v>0</v>
      </c>
    </row>
    <row r="3223">
      <c r="A3223" s="2" t="inlineStr">
        <is>
          <t>IT01275_04</t>
        </is>
      </c>
      <c r="B3223" s="2" t="inlineStr">
        <is>
          <t>PED01275</t>
        </is>
      </c>
      <c r="C3223" s="2" t="inlineStr">
        <is>
          <t>P060</t>
        </is>
      </c>
      <c r="D3223" s="2" t="n">
        <v>3</v>
      </c>
      <c r="E3223" s="19" t="n">
        <v>0</v>
      </c>
    </row>
    <row r="3224">
      <c r="A3224" s="2" t="inlineStr">
        <is>
          <t>IT01275_05</t>
        </is>
      </c>
      <c r="B3224" s="2" t="inlineStr">
        <is>
          <t>PED01275</t>
        </is>
      </c>
      <c r="C3224" s="2" t="inlineStr">
        <is>
          <t>P049</t>
        </is>
      </c>
      <c r="D3224" s="2" t="n">
        <v>2</v>
      </c>
      <c r="E3224" s="19" t="n">
        <v>0.1</v>
      </c>
    </row>
    <row r="3225">
      <c r="A3225" s="2" t="inlineStr">
        <is>
          <t>IT01276_01</t>
        </is>
      </c>
      <c r="B3225" s="2" t="inlineStr">
        <is>
          <t>PED01276</t>
        </is>
      </c>
      <c r="C3225" s="2" t="inlineStr">
        <is>
          <t>P039</t>
        </is>
      </c>
      <c r="D3225" s="2" t="n">
        <v>1</v>
      </c>
      <c r="E3225" s="19" t="n">
        <v>0</v>
      </c>
    </row>
    <row r="3226">
      <c r="A3226" s="2" t="inlineStr">
        <is>
          <t>IT01277_01</t>
        </is>
      </c>
      <c r="B3226" s="2" t="inlineStr">
        <is>
          <t>PED01277</t>
        </is>
      </c>
      <c r="C3226" s="2" t="inlineStr">
        <is>
          <t>P042</t>
        </is>
      </c>
      <c r="D3226" s="2" t="n">
        <v>5</v>
      </c>
      <c r="E3226" s="19" t="n">
        <v>0</v>
      </c>
    </row>
    <row r="3227">
      <c r="A3227" s="2" t="inlineStr">
        <is>
          <t>IT01278_01</t>
        </is>
      </c>
      <c r="B3227" s="2" t="inlineStr">
        <is>
          <t>PED01278</t>
        </is>
      </c>
      <c r="C3227" s="2" t="inlineStr">
        <is>
          <t>P029</t>
        </is>
      </c>
      <c r="D3227" s="2" t="n">
        <v>2</v>
      </c>
      <c r="E3227" s="19" t="n">
        <v>0</v>
      </c>
    </row>
    <row r="3228">
      <c r="A3228" s="2" t="inlineStr">
        <is>
          <t>IT01279_01</t>
        </is>
      </c>
      <c r="B3228" s="2" t="inlineStr">
        <is>
          <t>PED01279</t>
        </is>
      </c>
      <c r="C3228" s="2" t="inlineStr">
        <is>
          <t>P022</t>
        </is>
      </c>
      <c r="D3228" s="2" t="n">
        <v>1</v>
      </c>
      <c r="E3228" s="19" t="n">
        <v>0.02</v>
      </c>
    </row>
    <row r="3229">
      <c r="A3229" s="2" t="inlineStr">
        <is>
          <t>IT01280_01</t>
        </is>
      </c>
      <c r="B3229" s="2" t="inlineStr">
        <is>
          <t>PED01280</t>
        </is>
      </c>
      <c r="C3229" s="2" t="inlineStr">
        <is>
          <t>P001</t>
        </is>
      </c>
      <c r="D3229" s="2" t="n">
        <v>1</v>
      </c>
      <c r="E3229" s="19" t="n">
        <v>0</v>
      </c>
    </row>
    <row r="3230">
      <c r="A3230" s="2" t="inlineStr">
        <is>
          <t>IT01280_02</t>
        </is>
      </c>
      <c r="B3230" s="2" t="inlineStr">
        <is>
          <t>PED01280</t>
        </is>
      </c>
      <c r="C3230" s="2" t="inlineStr">
        <is>
          <t>P008</t>
        </is>
      </c>
      <c r="D3230" s="2" t="n">
        <v>1</v>
      </c>
      <c r="E3230" s="19" t="n">
        <v>0</v>
      </c>
    </row>
    <row r="3231">
      <c r="A3231" s="2" t="inlineStr">
        <is>
          <t>IT01280_03</t>
        </is>
      </c>
      <c r="B3231" s="2" t="inlineStr">
        <is>
          <t>PED01280</t>
        </is>
      </c>
      <c r="C3231" s="2" t="inlineStr">
        <is>
          <t>P003</t>
        </is>
      </c>
      <c r="D3231" s="2" t="n">
        <v>3</v>
      </c>
      <c r="E3231" s="19" t="n">
        <v>0</v>
      </c>
    </row>
    <row r="3232">
      <c r="A3232" s="2" t="inlineStr">
        <is>
          <t>IT01281_01</t>
        </is>
      </c>
      <c r="B3232" s="2" t="inlineStr">
        <is>
          <t>PED01281</t>
        </is>
      </c>
      <c r="C3232" s="2" t="inlineStr">
        <is>
          <t>P012</t>
        </is>
      </c>
      <c r="D3232" s="2" t="n">
        <v>1</v>
      </c>
      <c r="E3232" s="19" t="n">
        <v>0.02</v>
      </c>
    </row>
    <row r="3233">
      <c r="A3233" s="2" t="inlineStr">
        <is>
          <t>IT01281_02</t>
        </is>
      </c>
      <c r="B3233" s="2" t="inlineStr">
        <is>
          <t>PED01281</t>
        </is>
      </c>
      <c r="C3233" s="2" t="inlineStr">
        <is>
          <t>P016</t>
        </is>
      </c>
      <c r="D3233" s="2" t="n">
        <v>1</v>
      </c>
      <c r="E3233" s="19" t="n">
        <v>0.1</v>
      </c>
    </row>
    <row r="3234">
      <c r="A3234" s="2" t="inlineStr">
        <is>
          <t>IT01281_03</t>
        </is>
      </c>
      <c r="B3234" s="2" t="inlineStr">
        <is>
          <t>PED01281</t>
        </is>
      </c>
      <c r="C3234" s="2" t="inlineStr">
        <is>
          <t>P033</t>
        </is>
      </c>
      <c r="D3234" s="2" t="n">
        <v>4</v>
      </c>
      <c r="E3234" s="19" t="n">
        <v>0</v>
      </c>
    </row>
    <row r="3235">
      <c r="A3235" s="2" t="inlineStr">
        <is>
          <t>IT01282_01</t>
        </is>
      </c>
      <c r="B3235" s="2" t="inlineStr">
        <is>
          <t>PED01282</t>
        </is>
      </c>
      <c r="C3235" s="2" t="inlineStr">
        <is>
          <t>P069</t>
        </is>
      </c>
      <c r="D3235" s="2" t="n">
        <v>1</v>
      </c>
      <c r="E3235" s="19" t="n">
        <v>0</v>
      </c>
    </row>
    <row r="3236">
      <c r="A3236" s="2" t="inlineStr">
        <is>
          <t>IT01282_02</t>
        </is>
      </c>
      <c r="B3236" s="2" t="inlineStr">
        <is>
          <t>PED01282</t>
        </is>
      </c>
      <c r="C3236" s="2" t="inlineStr">
        <is>
          <t>P059</t>
        </is>
      </c>
      <c r="D3236" s="2" t="n">
        <v>3</v>
      </c>
      <c r="E3236" s="19" t="n">
        <v>0</v>
      </c>
    </row>
    <row r="3237">
      <c r="A3237" s="2" t="inlineStr">
        <is>
          <t>IT01282_03</t>
        </is>
      </c>
      <c r="B3237" s="2" t="inlineStr">
        <is>
          <t>PED01282</t>
        </is>
      </c>
      <c r="C3237" s="2" t="inlineStr">
        <is>
          <t>P006</t>
        </is>
      </c>
      <c r="D3237" s="2" t="n">
        <v>10</v>
      </c>
      <c r="E3237" s="19" t="n">
        <v>0.1</v>
      </c>
    </row>
    <row r="3238">
      <c r="A3238" s="2" t="inlineStr">
        <is>
          <t>IT01283_01</t>
        </is>
      </c>
      <c r="B3238" s="2" t="inlineStr">
        <is>
          <t>PED01283</t>
        </is>
      </c>
      <c r="C3238" s="2" t="inlineStr">
        <is>
          <t>P066</t>
        </is>
      </c>
      <c r="D3238" s="2" t="n">
        <v>1</v>
      </c>
      <c r="E3238" s="19" t="n">
        <v>0</v>
      </c>
    </row>
    <row r="3239">
      <c r="A3239" s="2" t="inlineStr">
        <is>
          <t>IT01284_01</t>
        </is>
      </c>
      <c r="B3239" s="2" t="inlineStr">
        <is>
          <t>PED01284</t>
        </is>
      </c>
      <c r="C3239" s="2" t="inlineStr">
        <is>
          <t>P067</t>
        </is>
      </c>
      <c r="D3239" s="2" t="n">
        <v>2</v>
      </c>
      <c r="E3239" s="19" t="n">
        <v>0</v>
      </c>
    </row>
    <row r="3240">
      <c r="A3240" s="2" t="inlineStr">
        <is>
          <t>IT01284_02</t>
        </is>
      </c>
      <c r="B3240" s="2" t="inlineStr">
        <is>
          <t>PED01284</t>
        </is>
      </c>
      <c r="C3240" s="2" t="inlineStr">
        <is>
          <t>P011</t>
        </is>
      </c>
      <c r="D3240" s="2" t="n">
        <v>1</v>
      </c>
      <c r="E3240" s="19" t="n">
        <v>0</v>
      </c>
    </row>
    <row r="3241">
      <c r="A3241" s="2" t="inlineStr">
        <is>
          <t>IT01284_03</t>
        </is>
      </c>
      <c r="B3241" s="2" t="inlineStr">
        <is>
          <t>PED01284</t>
        </is>
      </c>
      <c r="C3241" s="2" t="inlineStr">
        <is>
          <t>P041</t>
        </is>
      </c>
      <c r="D3241" s="2" t="n">
        <v>2</v>
      </c>
      <c r="E3241" s="19" t="n">
        <v>0.02</v>
      </c>
    </row>
    <row r="3242">
      <c r="A3242" s="2" t="inlineStr">
        <is>
          <t>IT01284_04</t>
        </is>
      </c>
      <c r="B3242" s="2" t="inlineStr">
        <is>
          <t>PED01284</t>
        </is>
      </c>
      <c r="C3242" s="2" t="inlineStr">
        <is>
          <t>P012</t>
        </is>
      </c>
      <c r="D3242" s="2" t="n">
        <v>5</v>
      </c>
      <c r="E3242" s="19" t="n">
        <v>0</v>
      </c>
    </row>
    <row r="3243">
      <c r="A3243" s="2" t="inlineStr">
        <is>
          <t>IT01285_01</t>
        </is>
      </c>
      <c r="B3243" s="2" t="inlineStr">
        <is>
          <t>PED01285</t>
        </is>
      </c>
      <c r="C3243" s="2" t="inlineStr">
        <is>
          <t>P031</t>
        </is>
      </c>
      <c r="D3243" s="2" t="n">
        <v>1</v>
      </c>
      <c r="E3243" s="19" t="n">
        <v>0</v>
      </c>
    </row>
    <row r="3244">
      <c r="A3244" s="2" t="inlineStr">
        <is>
          <t>IT01286_01</t>
        </is>
      </c>
      <c r="B3244" s="2" t="inlineStr">
        <is>
          <t>PED01286</t>
        </is>
      </c>
      <c r="C3244" s="2" t="inlineStr">
        <is>
          <t>P035</t>
        </is>
      </c>
      <c r="D3244" s="2" t="n">
        <v>2</v>
      </c>
      <c r="E3244" s="19" t="n">
        <v>0.02</v>
      </c>
    </row>
    <row r="3245">
      <c r="A3245" s="2" t="inlineStr">
        <is>
          <t>IT01286_02</t>
        </is>
      </c>
      <c r="B3245" s="2" t="inlineStr">
        <is>
          <t>PED01286</t>
        </is>
      </c>
      <c r="C3245" s="2" t="inlineStr">
        <is>
          <t>P052</t>
        </is>
      </c>
      <c r="D3245" s="2" t="n">
        <v>1</v>
      </c>
      <c r="E3245" s="19" t="n">
        <v>0</v>
      </c>
    </row>
    <row r="3246">
      <c r="A3246" s="2" t="inlineStr">
        <is>
          <t>IT01286_03</t>
        </is>
      </c>
      <c r="B3246" s="2" t="inlineStr">
        <is>
          <t>PED01286</t>
        </is>
      </c>
      <c r="C3246" s="2" t="inlineStr">
        <is>
          <t>P056</t>
        </is>
      </c>
      <c r="D3246" s="2" t="n">
        <v>1</v>
      </c>
      <c r="E3246" s="19" t="n">
        <v>0</v>
      </c>
    </row>
    <row r="3247">
      <c r="A3247" s="2" t="inlineStr">
        <is>
          <t>IT01287_01</t>
        </is>
      </c>
      <c r="B3247" s="2" t="inlineStr">
        <is>
          <t>PED01287</t>
        </is>
      </c>
      <c r="C3247" s="2" t="inlineStr">
        <is>
          <t>P058</t>
        </is>
      </c>
      <c r="D3247" s="2" t="n">
        <v>5</v>
      </c>
      <c r="E3247" s="19" t="n">
        <v>0</v>
      </c>
    </row>
    <row r="3248">
      <c r="A3248" s="2" t="inlineStr">
        <is>
          <t>IT01287_02</t>
        </is>
      </c>
      <c r="B3248" s="2" t="inlineStr">
        <is>
          <t>PED01287</t>
        </is>
      </c>
      <c r="C3248" s="2" t="inlineStr">
        <is>
          <t>P037</t>
        </is>
      </c>
      <c r="D3248" s="2" t="n">
        <v>4</v>
      </c>
      <c r="E3248" s="19" t="n">
        <v>0</v>
      </c>
    </row>
    <row r="3249">
      <c r="A3249" s="2" t="inlineStr">
        <is>
          <t>IT01288_01</t>
        </is>
      </c>
      <c r="B3249" s="2" t="inlineStr">
        <is>
          <t>PED01288</t>
        </is>
      </c>
      <c r="C3249" s="2" t="inlineStr">
        <is>
          <t>P046</t>
        </is>
      </c>
      <c r="D3249" s="2" t="n">
        <v>1</v>
      </c>
      <c r="E3249" s="19" t="n">
        <v>0</v>
      </c>
    </row>
    <row r="3250">
      <c r="A3250" s="2" t="inlineStr">
        <is>
          <t>IT01288_02</t>
        </is>
      </c>
      <c r="B3250" s="2" t="inlineStr">
        <is>
          <t>PED01288</t>
        </is>
      </c>
      <c r="C3250" s="2" t="inlineStr">
        <is>
          <t>P025</t>
        </is>
      </c>
      <c r="D3250" s="2" t="n">
        <v>5</v>
      </c>
      <c r="E3250" s="19" t="n">
        <v>0</v>
      </c>
    </row>
    <row r="3251">
      <c r="A3251" s="2" t="inlineStr">
        <is>
          <t>IT01289_01</t>
        </is>
      </c>
      <c r="B3251" s="2" t="inlineStr">
        <is>
          <t>PED01289</t>
        </is>
      </c>
      <c r="C3251" s="2" t="inlineStr">
        <is>
          <t>P018</t>
        </is>
      </c>
      <c r="D3251" s="2" t="n">
        <v>2</v>
      </c>
      <c r="E3251" s="19" t="n">
        <v>0.02</v>
      </c>
    </row>
    <row r="3252">
      <c r="A3252" s="2" t="inlineStr">
        <is>
          <t>IT01289_02</t>
        </is>
      </c>
      <c r="B3252" s="2" t="inlineStr">
        <is>
          <t>PED01289</t>
        </is>
      </c>
      <c r="C3252" s="2" t="inlineStr">
        <is>
          <t>P043</t>
        </is>
      </c>
      <c r="D3252" s="2" t="n">
        <v>5</v>
      </c>
      <c r="E3252" s="19" t="n">
        <v>0</v>
      </c>
    </row>
    <row r="3253">
      <c r="A3253" s="2" t="inlineStr">
        <is>
          <t>IT01289_03</t>
        </is>
      </c>
      <c r="B3253" s="2" t="inlineStr">
        <is>
          <t>PED01289</t>
        </is>
      </c>
      <c r="C3253" s="2" t="inlineStr">
        <is>
          <t>P014</t>
        </is>
      </c>
      <c r="D3253" s="2" t="n">
        <v>3</v>
      </c>
      <c r="E3253" s="19" t="n">
        <v>0.1</v>
      </c>
    </row>
    <row r="3254">
      <c r="A3254" s="2" t="inlineStr">
        <is>
          <t>IT01290_01</t>
        </is>
      </c>
      <c r="B3254" s="2" t="inlineStr">
        <is>
          <t>PED01290</t>
        </is>
      </c>
      <c r="C3254" s="2" t="inlineStr">
        <is>
          <t>P008</t>
        </is>
      </c>
      <c r="D3254" s="2" t="n">
        <v>1</v>
      </c>
      <c r="E3254" s="19" t="n">
        <v>0</v>
      </c>
    </row>
    <row r="3255">
      <c r="A3255" s="2" t="inlineStr">
        <is>
          <t>IT01290_02</t>
        </is>
      </c>
      <c r="B3255" s="2" t="inlineStr">
        <is>
          <t>PED01290</t>
        </is>
      </c>
      <c r="C3255" s="2" t="inlineStr">
        <is>
          <t>P060</t>
        </is>
      </c>
      <c r="D3255" s="2" t="n">
        <v>1</v>
      </c>
      <c r="E3255" s="19" t="n">
        <v>0</v>
      </c>
    </row>
    <row r="3256">
      <c r="A3256" s="2" t="inlineStr">
        <is>
          <t>IT01290_03</t>
        </is>
      </c>
      <c r="B3256" s="2" t="inlineStr">
        <is>
          <t>PED01290</t>
        </is>
      </c>
      <c r="C3256" s="2" t="inlineStr">
        <is>
          <t>P023</t>
        </is>
      </c>
      <c r="D3256" s="2" t="n">
        <v>2</v>
      </c>
      <c r="E3256" s="19" t="n">
        <v>0</v>
      </c>
    </row>
    <row r="3257">
      <c r="A3257" s="2" t="inlineStr">
        <is>
          <t>IT01290_04</t>
        </is>
      </c>
      <c r="B3257" s="2" t="inlineStr">
        <is>
          <t>PED01290</t>
        </is>
      </c>
      <c r="C3257" s="2" t="inlineStr">
        <is>
          <t>P029</t>
        </is>
      </c>
      <c r="D3257" s="2" t="n">
        <v>2</v>
      </c>
      <c r="E3257" s="19" t="n">
        <v>0</v>
      </c>
    </row>
    <row r="3258">
      <c r="A3258" s="2" t="inlineStr">
        <is>
          <t>IT01291_01</t>
        </is>
      </c>
      <c r="B3258" s="2" t="inlineStr">
        <is>
          <t>PED01291</t>
        </is>
      </c>
      <c r="C3258" s="2" t="inlineStr">
        <is>
          <t>P012</t>
        </is>
      </c>
      <c r="D3258" s="2" t="n">
        <v>1</v>
      </c>
      <c r="E3258" s="19" t="n">
        <v>0.02</v>
      </c>
    </row>
    <row r="3259">
      <c r="A3259" s="2" t="inlineStr">
        <is>
          <t>IT01292_01</t>
        </is>
      </c>
      <c r="B3259" s="2" t="inlineStr">
        <is>
          <t>PED01292</t>
        </is>
      </c>
      <c r="C3259" s="2" t="inlineStr">
        <is>
          <t>P034</t>
        </is>
      </c>
      <c r="D3259" s="2" t="n">
        <v>1</v>
      </c>
      <c r="E3259" s="19" t="n">
        <v>0</v>
      </c>
    </row>
    <row r="3260">
      <c r="A3260" s="2" t="inlineStr">
        <is>
          <t>IT01292_02</t>
        </is>
      </c>
      <c r="B3260" s="2" t="inlineStr">
        <is>
          <t>PED01292</t>
        </is>
      </c>
      <c r="C3260" s="2" t="inlineStr">
        <is>
          <t>P040</t>
        </is>
      </c>
      <c r="D3260" s="2" t="n">
        <v>4</v>
      </c>
      <c r="E3260" s="19" t="n">
        <v>0.02</v>
      </c>
    </row>
    <row r="3261">
      <c r="A3261" s="2" t="inlineStr">
        <is>
          <t>IT01293_01</t>
        </is>
      </c>
      <c r="B3261" s="2" t="inlineStr">
        <is>
          <t>PED01293</t>
        </is>
      </c>
      <c r="C3261" s="2" t="inlineStr">
        <is>
          <t>P004</t>
        </is>
      </c>
      <c r="D3261" s="2" t="n">
        <v>1</v>
      </c>
      <c r="E3261" s="19" t="n">
        <v>0</v>
      </c>
    </row>
    <row r="3262">
      <c r="A3262" s="2" t="inlineStr">
        <is>
          <t>IT01293_02</t>
        </is>
      </c>
      <c r="B3262" s="2" t="inlineStr">
        <is>
          <t>PED01293</t>
        </is>
      </c>
      <c r="C3262" s="2" t="inlineStr">
        <is>
          <t>P014</t>
        </is>
      </c>
      <c r="D3262" s="2" t="n">
        <v>3</v>
      </c>
      <c r="E3262" s="19" t="n">
        <v>0.02</v>
      </c>
    </row>
    <row r="3263">
      <c r="A3263" s="2" t="inlineStr">
        <is>
          <t>IT01293_03</t>
        </is>
      </c>
      <c r="B3263" s="2" t="inlineStr">
        <is>
          <t>PED01293</t>
        </is>
      </c>
      <c r="C3263" s="2" t="inlineStr">
        <is>
          <t>P012</t>
        </is>
      </c>
      <c r="D3263" s="2" t="n">
        <v>10</v>
      </c>
      <c r="E3263" s="19" t="n">
        <v>0.1</v>
      </c>
    </row>
    <row r="3264">
      <c r="A3264" s="2" t="inlineStr">
        <is>
          <t>IT01293_04</t>
        </is>
      </c>
      <c r="B3264" s="2" t="inlineStr">
        <is>
          <t>PED01293</t>
        </is>
      </c>
      <c r="C3264" s="2" t="inlineStr">
        <is>
          <t>P043</t>
        </is>
      </c>
      <c r="D3264" s="2" t="n">
        <v>1</v>
      </c>
      <c r="E3264" s="19" t="n">
        <v>0.05</v>
      </c>
    </row>
    <row r="3265">
      <c r="A3265" s="2" t="inlineStr">
        <is>
          <t>IT01294_01</t>
        </is>
      </c>
      <c r="B3265" s="2" t="inlineStr">
        <is>
          <t>PED01294</t>
        </is>
      </c>
      <c r="C3265" s="2" t="inlineStr">
        <is>
          <t>P022</t>
        </is>
      </c>
      <c r="D3265" s="2" t="n">
        <v>5</v>
      </c>
      <c r="E3265" s="19" t="n">
        <v>0.02</v>
      </c>
    </row>
    <row r="3266">
      <c r="A3266" s="2" t="inlineStr">
        <is>
          <t>IT01294_02</t>
        </is>
      </c>
      <c r="B3266" s="2" t="inlineStr">
        <is>
          <t>PED01294</t>
        </is>
      </c>
      <c r="C3266" s="2" t="inlineStr">
        <is>
          <t>P021</t>
        </is>
      </c>
      <c r="D3266" s="2" t="n">
        <v>3</v>
      </c>
      <c r="E3266" s="19" t="n">
        <v>0</v>
      </c>
    </row>
    <row r="3267">
      <c r="A3267" s="2" t="inlineStr">
        <is>
          <t>IT01295_01</t>
        </is>
      </c>
      <c r="B3267" s="2" t="inlineStr">
        <is>
          <t>PED01295</t>
        </is>
      </c>
      <c r="C3267" s="2" t="inlineStr">
        <is>
          <t>P050</t>
        </is>
      </c>
      <c r="D3267" s="2" t="n">
        <v>4</v>
      </c>
      <c r="E3267" s="19" t="n">
        <v>0</v>
      </c>
    </row>
    <row r="3268">
      <c r="A3268" s="2" t="inlineStr">
        <is>
          <t>IT01295_02</t>
        </is>
      </c>
      <c r="B3268" s="2" t="inlineStr">
        <is>
          <t>PED01295</t>
        </is>
      </c>
      <c r="C3268" s="2" t="inlineStr">
        <is>
          <t>P045</t>
        </is>
      </c>
      <c r="D3268" s="2" t="n">
        <v>1</v>
      </c>
      <c r="E3268" s="19" t="n">
        <v>0.05</v>
      </c>
    </row>
    <row r="3269">
      <c r="A3269" s="2" t="inlineStr">
        <is>
          <t>IT01295_03</t>
        </is>
      </c>
      <c r="B3269" s="2" t="inlineStr">
        <is>
          <t>PED01295</t>
        </is>
      </c>
      <c r="C3269" s="2" t="inlineStr">
        <is>
          <t>P052</t>
        </is>
      </c>
      <c r="D3269" s="2" t="n">
        <v>4</v>
      </c>
      <c r="E3269" s="19" t="n">
        <v>0.05</v>
      </c>
    </row>
    <row r="3270">
      <c r="A3270" s="2" t="inlineStr">
        <is>
          <t>IT01295_04</t>
        </is>
      </c>
      <c r="B3270" s="2" t="inlineStr">
        <is>
          <t>PED01295</t>
        </is>
      </c>
      <c r="C3270" s="2" t="inlineStr">
        <is>
          <t>P020</t>
        </is>
      </c>
      <c r="D3270" s="2" t="n">
        <v>1</v>
      </c>
      <c r="E3270" s="19" t="n">
        <v>0</v>
      </c>
    </row>
    <row r="3271">
      <c r="A3271" s="2" t="inlineStr">
        <is>
          <t>IT01296_01</t>
        </is>
      </c>
      <c r="B3271" s="2" t="inlineStr">
        <is>
          <t>PED01296</t>
        </is>
      </c>
      <c r="C3271" s="2" t="inlineStr">
        <is>
          <t>P027</t>
        </is>
      </c>
      <c r="D3271" s="2" t="n">
        <v>1</v>
      </c>
      <c r="E3271" s="19" t="n">
        <v>0.1</v>
      </c>
    </row>
    <row r="3272">
      <c r="A3272" s="2" t="inlineStr">
        <is>
          <t>IT01296_02</t>
        </is>
      </c>
      <c r="B3272" s="2" t="inlineStr">
        <is>
          <t>PED01296</t>
        </is>
      </c>
      <c r="C3272" s="2" t="inlineStr">
        <is>
          <t>P047</t>
        </is>
      </c>
      <c r="D3272" s="2" t="n">
        <v>1</v>
      </c>
      <c r="E3272" s="19" t="n">
        <v>0</v>
      </c>
    </row>
    <row r="3273">
      <c r="A3273" s="2" t="inlineStr">
        <is>
          <t>IT01296_03</t>
        </is>
      </c>
      <c r="B3273" s="2" t="inlineStr">
        <is>
          <t>PED01296</t>
        </is>
      </c>
      <c r="C3273" s="2" t="inlineStr">
        <is>
          <t>P002</t>
        </is>
      </c>
      <c r="D3273" s="2" t="n">
        <v>2</v>
      </c>
      <c r="E3273" s="19" t="n">
        <v>0</v>
      </c>
    </row>
    <row r="3274">
      <c r="A3274" s="2" t="inlineStr">
        <is>
          <t>IT01297_01</t>
        </is>
      </c>
      <c r="B3274" s="2" t="inlineStr">
        <is>
          <t>PED01297</t>
        </is>
      </c>
      <c r="C3274" s="2" t="inlineStr">
        <is>
          <t>P040</t>
        </is>
      </c>
      <c r="D3274" s="2" t="n">
        <v>4</v>
      </c>
      <c r="E3274" s="19" t="n">
        <v>0.02</v>
      </c>
    </row>
    <row r="3275">
      <c r="A3275" s="2" t="inlineStr">
        <is>
          <t>IT01297_02</t>
        </is>
      </c>
      <c r="B3275" s="2" t="inlineStr">
        <is>
          <t>PED01297</t>
        </is>
      </c>
      <c r="C3275" s="2" t="inlineStr">
        <is>
          <t>P054</t>
        </is>
      </c>
      <c r="D3275" s="2" t="n">
        <v>2</v>
      </c>
      <c r="E3275" s="19" t="n">
        <v>0.05</v>
      </c>
    </row>
    <row r="3276">
      <c r="A3276" s="2" t="inlineStr">
        <is>
          <t>IT01298_01</t>
        </is>
      </c>
      <c r="B3276" s="2" t="inlineStr">
        <is>
          <t>PED01298</t>
        </is>
      </c>
      <c r="C3276" s="2" t="inlineStr">
        <is>
          <t>P046</t>
        </is>
      </c>
      <c r="D3276" s="2" t="n">
        <v>2</v>
      </c>
      <c r="E3276" s="19" t="n">
        <v>0</v>
      </c>
    </row>
    <row r="3277">
      <c r="A3277" s="2" t="inlineStr">
        <is>
          <t>IT01298_02</t>
        </is>
      </c>
      <c r="B3277" s="2" t="inlineStr">
        <is>
          <t>PED01298</t>
        </is>
      </c>
      <c r="C3277" s="2" t="inlineStr">
        <is>
          <t>P021</t>
        </is>
      </c>
      <c r="D3277" s="2" t="n">
        <v>5</v>
      </c>
      <c r="E3277" s="19" t="n">
        <v>0.02</v>
      </c>
    </row>
    <row r="3278">
      <c r="A3278" s="2" t="inlineStr">
        <is>
          <t>IT01298_03</t>
        </is>
      </c>
      <c r="B3278" s="2" t="inlineStr">
        <is>
          <t>PED01298</t>
        </is>
      </c>
      <c r="C3278" s="2" t="inlineStr">
        <is>
          <t>P033</t>
        </is>
      </c>
      <c r="D3278" s="2" t="n">
        <v>1</v>
      </c>
      <c r="E3278" s="19" t="n">
        <v>0</v>
      </c>
    </row>
    <row r="3279">
      <c r="A3279" s="2" t="inlineStr">
        <is>
          <t>IT01299_01</t>
        </is>
      </c>
      <c r="B3279" s="2" t="inlineStr">
        <is>
          <t>PED01299</t>
        </is>
      </c>
      <c r="C3279" s="2" t="inlineStr">
        <is>
          <t>P011</t>
        </is>
      </c>
      <c r="D3279" s="2" t="n">
        <v>2</v>
      </c>
      <c r="E3279" s="19" t="n">
        <v>0</v>
      </c>
    </row>
    <row r="3280">
      <c r="A3280" s="2" t="inlineStr">
        <is>
          <t>IT01299_02</t>
        </is>
      </c>
      <c r="B3280" s="2" t="inlineStr">
        <is>
          <t>PED01299</t>
        </is>
      </c>
      <c r="C3280" s="2" t="inlineStr">
        <is>
          <t>P068</t>
        </is>
      </c>
      <c r="D3280" s="2" t="n">
        <v>2</v>
      </c>
      <c r="E3280" s="19" t="n">
        <v>0</v>
      </c>
    </row>
    <row r="3281">
      <c r="A3281" s="2" t="inlineStr">
        <is>
          <t>IT01299_03</t>
        </is>
      </c>
      <c r="B3281" s="2" t="inlineStr">
        <is>
          <t>PED01299</t>
        </is>
      </c>
      <c r="C3281" s="2" t="inlineStr">
        <is>
          <t>P019</t>
        </is>
      </c>
      <c r="D3281" s="2" t="n">
        <v>1</v>
      </c>
      <c r="E3281" s="19" t="n">
        <v>0.02</v>
      </c>
    </row>
    <row r="3282">
      <c r="A3282" s="2" t="inlineStr">
        <is>
          <t>IT01300_01</t>
        </is>
      </c>
      <c r="B3282" s="2" t="inlineStr">
        <is>
          <t>PED01300</t>
        </is>
      </c>
      <c r="C3282" s="2" t="inlineStr">
        <is>
          <t>P069</t>
        </is>
      </c>
      <c r="D3282" s="2" t="n">
        <v>4</v>
      </c>
      <c r="E3282" s="19" t="n">
        <v>0</v>
      </c>
    </row>
    <row r="3283">
      <c r="A3283" s="2" t="inlineStr">
        <is>
          <t>IT01300_02</t>
        </is>
      </c>
      <c r="B3283" s="2" t="inlineStr">
        <is>
          <t>PED01300</t>
        </is>
      </c>
      <c r="C3283" s="2" t="inlineStr">
        <is>
          <t>P003</t>
        </is>
      </c>
      <c r="D3283" s="2" t="n">
        <v>3</v>
      </c>
      <c r="E3283" s="19" t="n">
        <v>0.05</v>
      </c>
    </row>
    <row r="3284">
      <c r="A3284" s="2" t="inlineStr">
        <is>
          <t>IT01300_03</t>
        </is>
      </c>
      <c r="B3284" s="2" t="inlineStr">
        <is>
          <t>PED01300</t>
        </is>
      </c>
      <c r="C3284" s="2" t="inlineStr">
        <is>
          <t>P052</t>
        </is>
      </c>
      <c r="D3284" s="2" t="n">
        <v>10</v>
      </c>
      <c r="E3284" s="19" t="n">
        <v>0</v>
      </c>
    </row>
    <row r="3285">
      <c r="A3285" s="2" t="inlineStr">
        <is>
          <t>IT01300_04</t>
        </is>
      </c>
      <c r="B3285" s="2" t="inlineStr">
        <is>
          <t>PED01300</t>
        </is>
      </c>
      <c r="C3285" s="2" t="inlineStr">
        <is>
          <t>P034</t>
        </is>
      </c>
      <c r="D3285" s="2" t="n">
        <v>1</v>
      </c>
      <c r="E3285" s="19" t="n">
        <v>0.05</v>
      </c>
    </row>
    <row r="3286">
      <c r="A3286" s="2" t="inlineStr">
        <is>
          <t>IT01301_01</t>
        </is>
      </c>
      <c r="B3286" s="2" t="inlineStr">
        <is>
          <t>PED01301</t>
        </is>
      </c>
      <c r="C3286" s="2" t="inlineStr">
        <is>
          <t>P052</t>
        </is>
      </c>
      <c r="D3286" s="2" t="n">
        <v>1</v>
      </c>
      <c r="E3286" s="19" t="n">
        <v>0</v>
      </c>
    </row>
    <row r="3287">
      <c r="A3287" s="2" t="inlineStr">
        <is>
          <t>IT01302_01</t>
        </is>
      </c>
      <c r="B3287" s="2" t="inlineStr">
        <is>
          <t>PED01302</t>
        </is>
      </c>
      <c r="C3287" s="2" t="inlineStr">
        <is>
          <t>P065</t>
        </is>
      </c>
      <c r="D3287" s="2" t="n">
        <v>10</v>
      </c>
      <c r="E3287" s="19" t="n">
        <v>0</v>
      </c>
    </row>
    <row r="3288">
      <c r="A3288" s="2" t="inlineStr">
        <is>
          <t>IT01302_02</t>
        </is>
      </c>
      <c r="B3288" s="2" t="inlineStr">
        <is>
          <t>PED01302</t>
        </is>
      </c>
      <c r="C3288" s="2" t="inlineStr">
        <is>
          <t>P050</t>
        </is>
      </c>
      <c r="D3288" s="2" t="n">
        <v>1</v>
      </c>
      <c r="E3288" s="19" t="n">
        <v>0.02</v>
      </c>
    </row>
    <row r="3289">
      <c r="A3289" s="2" t="inlineStr">
        <is>
          <t>IT01302_03</t>
        </is>
      </c>
      <c r="B3289" s="2" t="inlineStr">
        <is>
          <t>PED01302</t>
        </is>
      </c>
      <c r="C3289" s="2" t="inlineStr">
        <is>
          <t>P007</t>
        </is>
      </c>
      <c r="D3289" s="2" t="n">
        <v>1</v>
      </c>
      <c r="E3289" s="19" t="n">
        <v>0</v>
      </c>
    </row>
    <row r="3290">
      <c r="A3290" s="2" t="inlineStr">
        <is>
          <t>IT01303_01</t>
        </is>
      </c>
      <c r="B3290" s="2" t="inlineStr">
        <is>
          <t>PED01303</t>
        </is>
      </c>
      <c r="C3290" s="2" t="inlineStr">
        <is>
          <t>P039</t>
        </is>
      </c>
      <c r="D3290" s="2" t="n">
        <v>4</v>
      </c>
      <c r="E3290" s="19" t="n">
        <v>0</v>
      </c>
    </row>
    <row r="3291">
      <c r="A3291" s="2" t="inlineStr">
        <is>
          <t>IT01304_01</t>
        </is>
      </c>
      <c r="B3291" s="2" t="inlineStr">
        <is>
          <t>PED01304</t>
        </is>
      </c>
      <c r="C3291" s="2" t="inlineStr">
        <is>
          <t>P054</t>
        </is>
      </c>
      <c r="D3291" s="2" t="n">
        <v>4</v>
      </c>
      <c r="E3291" s="19" t="n">
        <v>0</v>
      </c>
    </row>
    <row r="3292">
      <c r="A3292" s="2" t="inlineStr">
        <is>
          <t>IT01304_02</t>
        </is>
      </c>
      <c r="B3292" s="2" t="inlineStr">
        <is>
          <t>PED01304</t>
        </is>
      </c>
      <c r="C3292" s="2" t="inlineStr">
        <is>
          <t>P006</t>
        </is>
      </c>
      <c r="D3292" s="2" t="n">
        <v>10</v>
      </c>
      <c r="E3292" s="19" t="n">
        <v>0</v>
      </c>
    </row>
    <row r="3293">
      <c r="A3293" s="2" t="inlineStr">
        <is>
          <t>IT01304_03</t>
        </is>
      </c>
      <c r="B3293" s="2" t="inlineStr">
        <is>
          <t>PED01304</t>
        </is>
      </c>
      <c r="C3293" s="2" t="inlineStr">
        <is>
          <t>P014</t>
        </is>
      </c>
      <c r="D3293" s="2" t="n">
        <v>3</v>
      </c>
      <c r="E3293" s="19" t="n">
        <v>0.1</v>
      </c>
    </row>
    <row r="3294">
      <c r="A3294" s="2" t="inlineStr">
        <is>
          <t>IT01304_04</t>
        </is>
      </c>
      <c r="B3294" s="2" t="inlineStr">
        <is>
          <t>PED01304</t>
        </is>
      </c>
      <c r="C3294" s="2" t="inlineStr">
        <is>
          <t>P050</t>
        </is>
      </c>
      <c r="D3294" s="2" t="n">
        <v>10</v>
      </c>
      <c r="E3294" s="19" t="n">
        <v>0.02</v>
      </c>
    </row>
    <row r="3295">
      <c r="A3295" s="2" t="inlineStr">
        <is>
          <t>IT01305_01</t>
        </is>
      </c>
      <c r="B3295" s="2" t="inlineStr">
        <is>
          <t>PED01305</t>
        </is>
      </c>
      <c r="C3295" s="2" t="inlineStr">
        <is>
          <t>P047</t>
        </is>
      </c>
      <c r="D3295" s="2" t="n">
        <v>2</v>
      </c>
      <c r="E3295" s="19" t="n">
        <v>0</v>
      </c>
    </row>
    <row r="3296">
      <c r="A3296" s="2" t="inlineStr">
        <is>
          <t>IT01305_02</t>
        </is>
      </c>
      <c r="B3296" s="2" t="inlineStr">
        <is>
          <t>PED01305</t>
        </is>
      </c>
      <c r="C3296" s="2" t="inlineStr">
        <is>
          <t>P002</t>
        </is>
      </c>
      <c r="D3296" s="2" t="n">
        <v>5</v>
      </c>
      <c r="E3296" s="19" t="n">
        <v>0</v>
      </c>
    </row>
    <row r="3297">
      <c r="A3297" s="2" t="inlineStr">
        <is>
          <t>IT01306_01</t>
        </is>
      </c>
      <c r="B3297" s="2" t="inlineStr">
        <is>
          <t>PED01306</t>
        </is>
      </c>
      <c r="C3297" s="2" t="inlineStr">
        <is>
          <t>P057</t>
        </is>
      </c>
      <c r="D3297" s="2" t="n">
        <v>2</v>
      </c>
      <c r="E3297" s="19" t="n">
        <v>0.02</v>
      </c>
    </row>
    <row r="3298">
      <c r="A3298" s="2" t="inlineStr">
        <is>
          <t>IT01306_02</t>
        </is>
      </c>
      <c r="B3298" s="2" t="inlineStr">
        <is>
          <t>PED01306</t>
        </is>
      </c>
      <c r="C3298" s="2" t="inlineStr">
        <is>
          <t>P067</t>
        </is>
      </c>
      <c r="D3298" s="2" t="n">
        <v>2</v>
      </c>
      <c r="E3298" s="19" t="n">
        <v>0</v>
      </c>
    </row>
    <row r="3299">
      <c r="A3299" s="2" t="inlineStr">
        <is>
          <t>IT01306_03</t>
        </is>
      </c>
      <c r="B3299" s="2" t="inlineStr">
        <is>
          <t>PED01306</t>
        </is>
      </c>
      <c r="C3299" s="2" t="inlineStr">
        <is>
          <t>P001</t>
        </is>
      </c>
      <c r="D3299" s="2" t="n">
        <v>1</v>
      </c>
      <c r="E3299" s="19" t="n">
        <v>0</v>
      </c>
    </row>
    <row r="3300">
      <c r="A3300" s="2" t="inlineStr">
        <is>
          <t>IT01307_01</t>
        </is>
      </c>
      <c r="B3300" s="2" t="inlineStr">
        <is>
          <t>PED01307</t>
        </is>
      </c>
      <c r="C3300" s="2" t="inlineStr">
        <is>
          <t>P020</t>
        </is>
      </c>
      <c r="D3300" s="2" t="n">
        <v>2</v>
      </c>
      <c r="E3300" s="19" t="n">
        <v>0.05</v>
      </c>
    </row>
    <row r="3301">
      <c r="A3301" s="2" t="inlineStr">
        <is>
          <t>IT01307_02</t>
        </is>
      </c>
      <c r="B3301" s="2" t="inlineStr">
        <is>
          <t>PED01307</t>
        </is>
      </c>
      <c r="C3301" s="2" t="inlineStr">
        <is>
          <t>P017</t>
        </is>
      </c>
      <c r="D3301" s="2" t="n">
        <v>2</v>
      </c>
      <c r="E3301" s="19" t="n">
        <v>0.1</v>
      </c>
    </row>
    <row r="3302">
      <c r="A3302" s="2" t="inlineStr">
        <is>
          <t>IT01307_03</t>
        </is>
      </c>
      <c r="B3302" s="2" t="inlineStr">
        <is>
          <t>PED01307</t>
        </is>
      </c>
      <c r="C3302" s="2" t="inlineStr">
        <is>
          <t>P026</t>
        </is>
      </c>
      <c r="D3302" s="2" t="n">
        <v>1</v>
      </c>
      <c r="E3302" s="19" t="n">
        <v>0</v>
      </c>
    </row>
    <row r="3303">
      <c r="A3303" s="2" t="inlineStr">
        <is>
          <t>IT01308_01</t>
        </is>
      </c>
      <c r="B3303" s="2" t="inlineStr">
        <is>
          <t>PED01308</t>
        </is>
      </c>
      <c r="C3303" s="2" t="inlineStr">
        <is>
          <t>P014</t>
        </is>
      </c>
      <c r="D3303" s="2" t="n">
        <v>2</v>
      </c>
      <c r="E3303" s="19" t="n">
        <v>0.02</v>
      </c>
    </row>
    <row r="3304">
      <c r="A3304" s="2" t="inlineStr">
        <is>
          <t>IT01308_02</t>
        </is>
      </c>
      <c r="B3304" s="2" t="inlineStr">
        <is>
          <t>PED01308</t>
        </is>
      </c>
      <c r="C3304" s="2" t="inlineStr">
        <is>
          <t>P001</t>
        </is>
      </c>
      <c r="D3304" s="2" t="n">
        <v>3</v>
      </c>
      <c r="E3304" s="19" t="n">
        <v>0</v>
      </c>
    </row>
    <row r="3305">
      <c r="A3305" s="2" t="inlineStr">
        <is>
          <t>IT01308_03</t>
        </is>
      </c>
      <c r="B3305" s="2" t="inlineStr">
        <is>
          <t>PED01308</t>
        </is>
      </c>
      <c r="C3305" s="2" t="inlineStr">
        <is>
          <t>P024</t>
        </is>
      </c>
      <c r="D3305" s="2" t="n">
        <v>1</v>
      </c>
      <c r="E3305" s="19" t="n">
        <v>0.05</v>
      </c>
    </row>
    <row r="3306">
      <c r="A3306" s="2" t="inlineStr">
        <is>
          <t>IT01308_04</t>
        </is>
      </c>
      <c r="B3306" s="2" t="inlineStr">
        <is>
          <t>PED01308</t>
        </is>
      </c>
      <c r="C3306" s="2" t="inlineStr">
        <is>
          <t>P037</t>
        </is>
      </c>
      <c r="D3306" s="2" t="n">
        <v>2</v>
      </c>
      <c r="E3306" s="19" t="n">
        <v>0</v>
      </c>
    </row>
    <row r="3307">
      <c r="A3307" s="2" t="inlineStr">
        <is>
          <t>IT01309_01</t>
        </is>
      </c>
      <c r="B3307" s="2" t="inlineStr">
        <is>
          <t>PED01309</t>
        </is>
      </c>
      <c r="C3307" s="2" t="inlineStr">
        <is>
          <t>P024</t>
        </is>
      </c>
      <c r="D3307" s="2" t="n">
        <v>5</v>
      </c>
      <c r="E3307" s="19" t="n">
        <v>0</v>
      </c>
    </row>
    <row r="3308">
      <c r="A3308" s="2" t="inlineStr">
        <is>
          <t>IT01309_02</t>
        </is>
      </c>
      <c r="B3308" s="2" t="inlineStr">
        <is>
          <t>PED01309</t>
        </is>
      </c>
      <c r="C3308" s="2" t="inlineStr">
        <is>
          <t>P021</t>
        </is>
      </c>
      <c r="D3308" s="2" t="n">
        <v>2</v>
      </c>
      <c r="E3308" s="19" t="n">
        <v>0.02</v>
      </c>
    </row>
    <row r="3309">
      <c r="A3309" s="2" t="inlineStr">
        <is>
          <t>IT01310_01</t>
        </is>
      </c>
      <c r="B3309" s="2" t="inlineStr">
        <is>
          <t>PED01310</t>
        </is>
      </c>
      <c r="C3309" s="2" t="inlineStr">
        <is>
          <t>P003</t>
        </is>
      </c>
      <c r="D3309" s="2" t="n">
        <v>2</v>
      </c>
      <c r="E3309" s="19" t="n">
        <v>0</v>
      </c>
    </row>
    <row r="3310">
      <c r="A3310" s="2" t="inlineStr">
        <is>
          <t>IT01310_02</t>
        </is>
      </c>
      <c r="B3310" s="2" t="inlineStr">
        <is>
          <t>PED01310</t>
        </is>
      </c>
      <c r="C3310" s="2" t="inlineStr">
        <is>
          <t>P050</t>
        </is>
      </c>
      <c r="D3310" s="2" t="n">
        <v>2</v>
      </c>
      <c r="E3310" s="19" t="n">
        <v>0.02</v>
      </c>
    </row>
    <row r="3311">
      <c r="A3311" s="2" t="inlineStr">
        <is>
          <t>IT01310_03</t>
        </is>
      </c>
      <c r="B3311" s="2" t="inlineStr">
        <is>
          <t>PED01310</t>
        </is>
      </c>
      <c r="C3311" s="2" t="inlineStr">
        <is>
          <t>P057</t>
        </is>
      </c>
      <c r="D3311" s="2" t="n">
        <v>1</v>
      </c>
      <c r="E3311" s="19" t="n">
        <v>0.05</v>
      </c>
    </row>
    <row r="3312">
      <c r="A3312" s="2" t="inlineStr">
        <is>
          <t>IT01311_01</t>
        </is>
      </c>
      <c r="B3312" s="2" t="inlineStr">
        <is>
          <t>PED01311</t>
        </is>
      </c>
      <c r="C3312" s="2" t="inlineStr">
        <is>
          <t>P019</t>
        </is>
      </c>
      <c r="D3312" s="2" t="n">
        <v>2</v>
      </c>
      <c r="E3312" s="19" t="n">
        <v>0</v>
      </c>
    </row>
    <row r="3313">
      <c r="A3313" s="2" t="inlineStr">
        <is>
          <t>IT01311_02</t>
        </is>
      </c>
      <c r="B3313" s="2" t="inlineStr">
        <is>
          <t>PED01311</t>
        </is>
      </c>
      <c r="C3313" s="2" t="inlineStr">
        <is>
          <t>P050</t>
        </is>
      </c>
      <c r="D3313" s="2" t="n">
        <v>1</v>
      </c>
      <c r="E3313" s="19" t="n">
        <v>0</v>
      </c>
    </row>
    <row r="3314">
      <c r="A3314" s="2" t="inlineStr">
        <is>
          <t>IT01311_03</t>
        </is>
      </c>
      <c r="B3314" s="2" t="inlineStr">
        <is>
          <t>PED01311</t>
        </is>
      </c>
      <c r="C3314" s="2" t="inlineStr">
        <is>
          <t>P010</t>
        </is>
      </c>
      <c r="D3314" s="2" t="n">
        <v>5</v>
      </c>
      <c r="E3314" s="19" t="n">
        <v>0.05</v>
      </c>
    </row>
    <row r="3315">
      <c r="A3315" s="2" t="inlineStr">
        <is>
          <t>IT01311_04</t>
        </is>
      </c>
      <c r="B3315" s="2" t="inlineStr">
        <is>
          <t>PED01311</t>
        </is>
      </c>
      <c r="C3315" s="2" t="inlineStr">
        <is>
          <t>P001</t>
        </is>
      </c>
      <c r="D3315" s="2" t="n">
        <v>2</v>
      </c>
      <c r="E3315" s="19" t="n">
        <v>0</v>
      </c>
    </row>
    <row r="3316">
      <c r="A3316" s="2" t="inlineStr">
        <is>
          <t>IT01312_01</t>
        </is>
      </c>
      <c r="B3316" s="2" t="inlineStr">
        <is>
          <t>PED01312</t>
        </is>
      </c>
      <c r="C3316" s="2" t="inlineStr">
        <is>
          <t>P018</t>
        </is>
      </c>
      <c r="D3316" s="2" t="n">
        <v>2</v>
      </c>
      <c r="E3316" s="19" t="n">
        <v>0</v>
      </c>
    </row>
    <row r="3317">
      <c r="A3317" s="2" t="inlineStr">
        <is>
          <t>IT01312_02</t>
        </is>
      </c>
      <c r="B3317" s="2" t="inlineStr">
        <is>
          <t>PED01312</t>
        </is>
      </c>
      <c r="C3317" s="2" t="inlineStr">
        <is>
          <t>P037</t>
        </is>
      </c>
      <c r="D3317" s="2" t="n">
        <v>1</v>
      </c>
      <c r="E3317" s="19" t="n">
        <v>0.05</v>
      </c>
    </row>
    <row r="3318">
      <c r="A3318" s="2" t="inlineStr">
        <is>
          <t>IT01312_03</t>
        </is>
      </c>
      <c r="B3318" s="2" t="inlineStr">
        <is>
          <t>PED01312</t>
        </is>
      </c>
      <c r="C3318" s="2" t="inlineStr">
        <is>
          <t>P070</t>
        </is>
      </c>
      <c r="D3318" s="2" t="n">
        <v>3</v>
      </c>
      <c r="E3318" s="19" t="n">
        <v>0</v>
      </c>
    </row>
    <row r="3319">
      <c r="A3319" s="2" t="inlineStr">
        <is>
          <t>IT01312_04</t>
        </is>
      </c>
      <c r="B3319" s="2" t="inlineStr">
        <is>
          <t>PED01312</t>
        </is>
      </c>
      <c r="C3319" s="2" t="inlineStr">
        <is>
          <t>P038</t>
        </is>
      </c>
      <c r="D3319" s="2" t="n">
        <v>3</v>
      </c>
      <c r="E3319" s="19" t="n">
        <v>0.05</v>
      </c>
    </row>
    <row r="3320">
      <c r="A3320" s="2" t="inlineStr">
        <is>
          <t>IT01313_01</t>
        </is>
      </c>
      <c r="B3320" s="2" t="inlineStr">
        <is>
          <t>PED01313</t>
        </is>
      </c>
      <c r="C3320" s="2" t="inlineStr">
        <is>
          <t>P047</t>
        </is>
      </c>
      <c r="D3320" s="2" t="n">
        <v>2</v>
      </c>
      <c r="E3320" s="19" t="n">
        <v>0</v>
      </c>
    </row>
    <row r="3321">
      <c r="A3321" s="2" t="inlineStr">
        <is>
          <t>IT01313_02</t>
        </is>
      </c>
      <c r="B3321" s="2" t="inlineStr">
        <is>
          <t>PED01313</t>
        </is>
      </c>
      <c r="C3321" s="2" t="inlineStr">
        <is>
          <t>P050</t>
        </is>
      </c>
      <c r="D3321" s="2" t="n">
        <v>3</v>
      </c>
      <c r="E3321" s="19" t="n">
        <v>0</v>
      </c>
    </row>
    <row r="3322">
      <c r="A3322" s="2" t="inlineStr">
        <is>
          <t>IT01314_01</t>
        </is>
      </c>
      <c r="B3322" s="2" t="inlineStr">
        <is>
          <t>PED01314</t>
        </is>
      </c>
      <c r="C3322" s="2" t="inlineStr">
        <is>
          <t>P016</t>
        </is>
      </c>
      <c r="D3322" s="2" t="n">
        <v>4</v>
      </c>
      <c r="E3322" s="19" t="n">
        <v>0</v>
      </c>
    </row>
    <row r="3323">
      <c r="A3323" s="2" t="inlineStr">
        <is>
          <t>IT01315_01</t>
        </is>
      </c>
      <c r="B3323" s="2" t="inlineStr">
        <is>
          <t>PED01315</t>
        </is>
      </c>
      <c r="C3323" s="2" t="inlineStr">
        <is>
          <t>P055</t>
        </is>
      </c>
      <c r="D3323" s="2" t="n">
        <v>1</v>
      </c>
      <c r="E3323" s="19" t="n">
        <v>0</v>
      </c>
    </row>
    <row r="3324">
      <c r="A3324" s="2" t="inlineStr">
        <is>
          <t>IT01315_02</t>
        </is>
      </c>
      <c r="B3324" s="2" t="inlineStr">
        <is>
          <t>PED01315</t>
        </is>
      </c>
      <c r="C3324" s="2" t="inlineStr">
        <is>
          <t>P016</t>
        </is>
      </c>
      <c r="D3324" s="2" t="n">
        <v>3</v>
      </c>
      <c r="E3324" s="19" t="n">
        <v>0.05</v>
      </c>
    </row>
    <row r="3325">
      <c r="A3325" s="2" t="inlineStr">
        <is>
          <t>IT01315_03</t>
        </is>
      </c>
      <c r="B3325" s="2" t="inlineStr">
        <is>
          <t>PED01315</t>
        </is>
      </c>
      <c r="C3325" s="2" t="inlineStr">
        <is>
          <t>P041</t>
        </is>
      </c>
      <c r="D3325" s="2" t="n">
        <v>1</v>
      </c>
      <c r="E3325" s="19" t="n">
        <v>0</v>
      </c>
    </row>
    <row r="3326">
      <c r="A3326" s="2" t="inlineStr">
        <is>
          <t>IT01315_04</t>
        </is>
      </c>
      <c r="B3326" s="2" t="inlineStr">
        <is>
          <t>PED01315</t>
        </is>
      </c>
      <c r="C3326" s="2" t="inlineStr">
        <is>
          <t>P061</t>
        </is>
      </c>
      <c r="D3326" s="2" t="n">
        <v>1</v>
      </c>
      <c r="E3326" s="19" t="n">
        <v>0</v>
      </c>
    </row>
    <row r="3327">
      <c r="A3327" s="2" t="inlineStr">
        <is>
          <t>IT01316_01</t>
        </is>
      </c>
      <c r="B3327" s="2" t="inlineStr">
        <is>
          <t>PED01316</t>
        </is>
      </c>
      <c r="C3327" s="2" t="inlineStr">
        <is>
          <t>P013</t>
        </is>
      </c>
      <c r="D3327" s="2" t="n">
        <v>1</v>
      </c>
      <c r="E3327" s="19" t="n">
        <v>0</v>
      </c>
    </row>
    <row r="3328">
      <c r="A3328" s="2" t="inlineStr">
        <is>
          <t>IT01316_02</t>
        </is>
      </c>
      <c r="B3328" s="2" t="inlineStr">
        <is>
          <t>PED01316</t>
        </is>
      </c>
      <c r="C3328" s="2" t="inlineStr">
        <is>
          <t>P044</t>
        </is>
      </c>
      <c r="D3328" s="2" t="n">
        <v>4</v>
      </c>
      <c r="E3328" s="19" t="n">
        <v>0</v>
      </c>
    </row>
    <row r="3329">
      <c r="A3329" s="2" t="inlineStr">
        <is>
          <t>IT01317_01</t>
        </is>
      </c>
      <c r="B3329" s="2" t="inlineStr">
        <is>
          <t>PED01317</t>
        </is>
      </c>
      <c r="C3329" s="2" t="inlineStr">
        <is>
          <t>P038</t>
        </is>
      </c>
      <c r="D3329" s="2" t="n">
        <v>3</v>
      </c>
      <c r="E3329" s="19" t="n">
        <v>0.05</v>
      </c>
    </row>
    <row r="3330">
      <c r="A3330" s="2" t="inlineStr">
        <is>
          <t>IT01317_02</t>
        </is>
      </c>
      <c r="B3330" s="2" t="inlineStr">
        <is>
          <t>PED01317</t>
        </is>
      </c>
      <c r="C3330" s="2" t="inlineStr">
        <is>
          <t>P056</t>
        </is>
      </c>
      <c r="D3330" s="2" t="n">
        <v>1</v>
      </c>
      <c r="E3330" s="19" t="n">
        <v>0</v>
      </c>
    </row>
    <row r="3331">
      <c r="A3331" s="2" t="inlineStr">
        <is>
          <t>IT01318_01</t>
        </is>
      </c>
      <c r="B3331" s="2" t="inlineStr">
        <is>
          <t>PED01318</t>
        </is>
      </c>
      <c r="C3331" s="2" t="inlineStr">
        <is>
          <t>P008</t>
        </is>
      </c>
      <c r="D3331" s="2" t="n">
        <v>2</v>
      </c>
      <c r="E3331" s="19" t="n">
        <v>0</v>
      </c>
    </row>
    <row r="3332">
      <c r="A3332" s="2" t="inlineStr">
        <is>
          <t>IT01318_02</t>
        </is>
      </c>
      <c r="B3332" s="2" t="inlineStr">
        <is>
          <t>PED01318</t>
        </is>
      </c>
      <c r="C3332" s="2" t="inlineStr">
        <is>
          <t>P065</t>
        </is>
      </c>
      <c r="D3332" s="2" t="n">
        <v>3</v>
      </c>
      <c r="E3332" s="19" t="n">
        <v>0.02</v>
      </c>
    </row>
    <row r="3333">
      <c r="A3333" s="2" t="inlineStr">
        <is>
          <t>IT01319_01</t>
        </is>
      </c>
      <c r="B3333" s="2" t="inlineStr">
        <is>
          <t>PED01319</t>
        </is>
      </c>
      <c r="C3333" s="2" t="inlineStr">
        <is>
          <t>P040</t>
        </is>
      </c>
      <c r="D3333" s="2" t="n">
        <v>2</v>
      </c>
      <c r="E3333" s="19" t="n">
        <v>0.02</v>
      </c>
    </row>
    <row r="3334">
      <c r="A3334" s="2" t="inlineStr">
        <is>
          <t>IT01319_02</t>
        </is>
      </c>
      <c r="B3334" s="2" t="inlineStr">
        <is>
          <t>PED01319</t>
        </is>
      </c>
      <c r="C3334" s="2" t="inlineStr">
        <is>
          <t>P030</t>
        </is>
      </c>
      <c r="D3334" s="2" t="n">
        <v>4</v>
      </c>
      <c r="E3334" s="19" t="n">
        <v>0</v>
      </c>
    </row>
    <row r="3335">
      <c r="A3335" s="2" t="inlineStr">
        <is>
          <t>IT01320_01</t>
        </is>
      </c>
      <c r="B3335" s="2" t="inlineStr">
        <is>
          <t>PED01320</t>
        </is>
      </c>
      <c r="C3335" s="2" t="inlineStr">
        <is>
          <t>P023</t>
        </is>
      </c>
      <c r="D3335" s="2" t="n">
        <v>1</v>
      </c>
      <c r="E3335" s="19" t="n">
        <v>0.02</v>
      </c>
    </row>
    <row r="3336">
      <c r="A3336" s="2" t="inlineStr">
        <is>
          <t>IT01321_01</t>
        </is>
      </c>
      <c r="B3336" s="2" t="inlineStr">
        <is>
          <t>PED01321</t>
        </is>
      </c>
      <c r="C3336" s="2" t="inlineStr">
        <is>
          <t>P039</t>
        </is>
      </c>
      <c r="D3336" s="2" t="n">
        <v>2</v>
      </c>
      <c r="E3336" s="19" t="n">
        <v>0</v>
      </c>
    </row>
    <row r="3337">
      <c r="A3337" s="2" t="inlineStr">
        <is>
          <t>IT01321_02</t>
        </is>
      </c>
      <c r="B3337" s="2" t="inlineStr">
        <is>
          <t>PED01321</t>
        </is>
      </c>
      <c r="C3337" s="2" t="inlineStr">
        <is>
          <t>P006</t>
        </is>
      </c>
      <c r="D3337" s="2" t="n">
        <v>1</v>
      </c>
      <c r="E3337" s="19" t="n">
        <v>0</v>
      </c>
    </row>
    <row r="3338">
      <c r="A3338" s="2" t="inlineStr">
        <is>
          <t>IT01322_01</t>
        </is>
      </c>
      <c r="B3338" s="2" t="inlineStr">
        <is>
          <t>PED01322</t>
        </is>
      </c>
      <c r="C3338" s="2" t="inlineStr">
        <is>
          <t>P044</t>
        </is>
      </c>
      <c r="D3338" s="2" t="n">
        <v>2</v>
      </c>
      <c r="E3338" s="19" t="n">
        <v>0.02</v>
      </c>
    </row>
    <row r="3339">
      <c r="A3339" s="2" t="inlineStr">
        <is>
          <t>IT01322_02</t>
        </is>
      </c>
      <c r="B3339" s="2" t="inlineStr">
        <is>
          <t>PED01322</t>
        </is>
      </c>
      <c r="C3339" s="2" t="inlineStr">
        <is>
          <t>P027</t>
        </is>
      </c>
      <c r="D3339" s="2" t="n">
        <v>1</v>
      </c>
      <c r="E3339" s="19" t="n">
        <v>0</v>
      </c>
    </row>
    <row r="3340">
      <c r="A3340" s="2" t="inlineStr">
        <is>
          <t>IT01322_03</t>
        </is>
      </c>
      <c r="B3340" s="2" t="inlineStr">
        <is>
          <t>PED01322</t>
        </is>
      </c>
      <c r="C3340" s="2" t="inlineStr">
        <is>
          <t>P052</t>
        </is>
      </c>
      <c r="D3340" s="2" t="n">
        <v>4</v>
      </c>
      <c r="E3340" s="19" t="n">
        <v>0</v>
      </c>
    </row>
    <row r="3341">
      <c r="A3341" s="2" t="inlineStr">
        <is>
          <t>IT01323_01</t>
        </is>
      </c>
      <c r="B3341" s="2" t="inlineStr">
        <is>
          <t>PED01323</t>
        </is>
      </c>
      <c r="C3341" s="2" t="inlineStr">
        <is>
          <t>P067</t>
        </is>
      </c>
      <c r="D3341" s="2" t="n">
        <v>2</v>
      </c>
      <c r="E3341" s="19" t="n">
        <v>0</v>
      </c>
    </row>
    <row r="3342">
      <c r="A3342" s="2" t="inlineStr">
        <is>
          <t>IT01323_02</t>
        </is>
      </c>
      <c r="B3342" s="2" t="inlineStr">
        <is>
          <t>PED01323</t>
        </is>
      </c>
      <c r="C3342" s="2" t="inlineStr">
        <is>
          <t>P051</t>
        </is>
      </c>
      <c r="D3342" s="2" t="n">
        <v>1</v>
      </c>
      <c r="E3342" s="19" t="n">
        <v>0</v>
      </c>
    </row>
    <row r="3343">
      <c r="A3343" s="2" t="inlineStr">
        <is>
          <t>IT01324_01</t>
        </is>
      </c>
      <c r="B3343" s="2" t="inlineStr">
        <is>
          <t>PED01324</t>
        </is>
      </c>
      <c r="C3343" s="2" t="inlineStr">
        <is>
          <t>P019</t>
        </is>
      </c>
      <c r="D3343" s="2" t="n">
        <v>5</v>
      </c>
      <c r="E3343" s="19" t="n">
        <v>0</v>
      </c>
    </row>
    <row r="3344">
      <c r="A3344" s="2" t="inlineStr">
        <is>
          <t>IT01324_02</t>
        </is>
      </c>
      <c r="B3344" s="2" t="inlineStr">
        <is>
          <t>PED01324</t>
        </is>
      </c>
      <c r="C3344" s="2" t="inlineStr">
        <is>
          <t>P061</t>
        </is>
      </c>
      <c r="D3344" s="2" t="n">
        <v>4</v>
      </c>
      <c r="E3344" s="19" t="n">
        <v>0</v>
      </c>
    </row>
    <row r="3345">
      <c r="A3345" s="2" t="inlineStr">
        <is>
          <t>IT01324_03</t>
        </is>
      </c>
      <c r="B3345" s="2" t="inlineStr">
        <is>
          <t>PED01324</t>
        </is>
      </c>
      <c r="C3345" s="2" t="inlineStr">
        <is>
          <t>P026</t>
        </is>
      </c>
      <c r="D3345" s="2" t="n">
        <v>1</v>
      </c>
      <c r="E3345" s="19" t="n">
        <v>0</v>
      </c>
    </row>
    <row r="3346">
      <c r="A3346" s="2" t="inlineStr">
        <is>
          <t>IT01324_04</t>
        </is>
      </c>
      <c r="B3346" s="2" t="inlineStr">
        <is>
          <t>PED01324</t>
        </is>
      </c>
      <c r="C3346" s="2" t="inlineStr">
        <is>
          <t>P054</t>
        </is>
      </c>
      <c r="D3346" s="2" t="n">
        <v>1</v>
      </c>
      <c r="E3346" s="19" t="n">
        <v>0.02</v>
      </c>
    </row>
    <row r="3347">
      <c r="A3347" s="2" t="inlineStr">
        <is>
          <t>IT01324_05</t>
        </is>
      </c>
      <c r="B3347" s="2" t="inlineStr">
        <is>
          <t>PED01324</t>
        </is>
      </c>
      <c r="C3347" s="2" t="inlineStr">
        <is>
          <t>P011</t>
        </is>
      </c>
      <c r="D3347" s="2" t="n">
        <v>1</v>
      </c>
      <c r="E3347" s="19" t="n">
        <v>0</v>
      </c>
    </row>
    <row r="3348">
      <c r="A3348" s="2" t="inlineStr">
        <is>
          <t>IT01325_01</t>
        </is>
      </c>
      <c r="B3348" s="2" t="inlineStr">
        <is>
          <t>PED01325</t>
        </is>
      </c>
      <c r="C3348" s="2" t="inlineStr">
        <is>
          <t>P010</t>
        </is>
      </c>
      <c r="D3348" s="2" t="n">
        <v>1</v>
      </c>
      <c r="E3348" s="19" t="n">
        <v>0.02</v>
      </c>
    </row>
    <row r="3349">
      <c r="A3349" s="2" t="inlineStr">
        <is>
          <t>IT01325_02</t>
        </is>
      </c>
      <c r="B3349" s="2" t="inlineStr">
        <is>
          <t>PED01325</t>
        </is>
      </c>
      <c r="C3349" s="2" t="inlineStr">
        <is>
          <t>P004</t>
        </is>
      </c>
      <c r="D3349" s="2" t="n">
        <v>1</v>
      </c>
      <c r="E3349" s="19" t="n">
        <v>0.05</v>
      </c>
    </row>
    <row r="3350">
      <c r="A3350" s="2" t="inlineStr">
        <is>
          <t>IT01326_01</t>
        </is>
      </c>
      <c r="B3350" s="2" t="inlineStr">
        <is>
          <t>PED01326</t>
        </is>
      </c>
      <c r="C3350" s="2" t="inlineStr">
        <is>
          <t>P023</t>
        </is>
      </c>
      <c r="D3350" s="2" t="n">
        <v>1</v>
      </c>
      <c r="E3350" s="19" t="n">
        <v>0</v>
      </c>
    </row>
    <row r="3351">
      <c r="A3351" s="2" t="inlineStr">
        <is>
          <t>IT01327_01</t>
        </is>
      </c>
      <c r="B3351" s="2" t="inlineStr">
        <is>
          <t>PED01327</t>
        </is>
      </c>
      <c r="C3351" s="2" t="inlineStr">
        <is>
          <t>P063</t>
        </is>
      </c>
      <c r="D3351" s="2" t="n">
        <v>5</v>
      </c>
      <c r="E3351" s="19" t="n">
        <v>0</v>
      </c>
    </row>
    <row r="3352">
      <c r="A3352" s="2" t="inlineStr">
        <is>
          <t>IT01327_02</t>
        </is>
      </c>
      <c r="B3352" s="2" t="inlineStr">
        <is>
          <t>PED01327</t>
        </is>
      </c>
      <c r="C3352" s="2" t="inlineStr">
        <is>
          <t>P055</t>
        </is>
      </c>
      <c r="D3352" s="2" t="n">
        <v>1</v>
      </c>
      <c r="E3352" s="19" t="n">
        <v>0.02</v>
      </c>
    </row>
    <row r="3353">
      <c r="A3353" s="2" t="inlineStr">
        <is>
          <t>IT01327_03</t>
        </is>
      </c>
      <c r="B3353" s="2" t="inlineStr">
        <is>
          <t>PED01327</t>
        </is>
      </c>
      <c r="C3353" s="2" t="inlineStr">
        <is>
          <t>P016</t>
        </is>
      </c>
      <c r="D3353" s="2" t="n">
        <v>1</v>
      </c>
      <c r="E3353" s="19" t="n">
        <v>0.05</v>
      </c>
    </row>
    <row r="3354">
      <c r="A3354" s="2" t="inlineStr">
        <is>
          <t>IT01328_01</t>
        </is>
      </c>
      <c r="B3354" s="2" t="inlineStr">
        <is>
          <t>PED01328</t>
        </is>
      </c>
      <c r="C3354" s="2" t="inlineStr">
        <is>
          <t>P048</t>
        </is>
      </c>
      <c r="D3354" s="2" t="n">
        <v>5</v>
      </c>
      <c r="E3354" s="19" t="n">
        <v>0.05</v>
      </c>
    </row>
    <row r="3355">
      <c r="A3355" s="2" t="inlineStr">
        <is>
          <t>IT01328_02</t>
        </is>
      </c>
      <c r="B3355" s="2" t="inlineStr">
        <is>
          <t>PED01328</t>
        </is>
      </c>
      <c r="C3355" s="2" t="inlineStr">
        <is>
          <t>P023</t>
        </is>
      </c>
      <c r="D3355" s="2" t="n">
        <v>5</v>
      </c>
      <c r="E3355" s="19" t="n">
        <v>0</v>
      </c>
    </row>
    <row r="3356">
      <c r="A3356" s="2" t="inlineStr">
        <is>
          <t>IT01329_01</t>
        </is>
      </c>
      <c r="B3356" s="2" t="inlineStr">
        <is>
          <t>PED01329</t>
        </is>
      </c>
      <c r="C3356" s="2" t="inlineStr">
        <is>
          <t>P002</t>
        </is>
      </c>
      <c r="D3356" s="2" t="n">
        <v>1</v>
      </c>
      <c r="E3356" s="19" t="n">
        <v>0.05</v>
      </c>
    </row>
    <row r="3357">
      <c r="A3357" s="2" t="inlineStr">
        <is>
          <t>IT01329_02</t>
        </is>
      </c>
      <c r="B3357" s="2" t="inlineStr">
        <is>
          <t>PED01329</t>
        </is>
      </c>
      <c r="C3357" s="2" t="inlineStr">
        <is>
          <t>P013</t>
        </is>
      </c>
      <c r="D3357" s="2" t="n">
        <v>1</v>
      </c>
      <c r="E3357" s="19" t="n">
        <v>0</v>
      </c>
    </row>
    <row r="3358">
      <c r="A3358" s="2" t="inlineStr">
        <is>
          <t>IT01329_03</t>
        </is>
      </c>
      <c r="B3358" s="2" t="inlineStr">
        <is>
          <t>PED01329</t>
        </is>
      </c>
      <c r="C3358" s="2" t="inlineStr">
        <is>
          <t>P035</t>
        </is>
      </c>
      <c r="D3358" s="2" t="n">
        <v>4</v>
      </c>
      <c r="E3358" s="19" t="n">
        <v>0</v>
      </c>
    </row>
    <row r="3359">
      <c r="A3359" s="2" t="inlineStr">
        <is>
          <t>IT01329_04</t>
        </is>
      </c>
      <c r="B3359" s="2" t="inlineStr">
        <is>
          <t>PED01329</t>
        </is>
      </c>
      <c r="C3359" s="2" t="inlineStr">
        <is>
          <t>P024</t>
        </is>
      </c>
      <c r="D3359" s="2" t="n">
        <v>4</v>
      </c>
      <c r="E3359" s="19" t="n">
        <v>0.02</v>
      </c>
    </row>
    <row r="3360">
      <c r="A3360" s="2" t="inlineStr">
        <is>
          <t>IT01329_05</t>
        </is>
      </c>
      <c r="B3360" s="2" t="inlineStr">
        <is>
          <t>PED01329</t>
        </is>
      </c>
      <c r="C3360" s="2" t="inlineStr">
        <is>
          <t>P051</t>
        </is>
      </c>
      <c r="D3360" s="2" t="n">
        <v>4</v>
      </c>
      <c r="E3360" s="19" t="n">
        <v>0.05</v>
      </c>
    </row>
    <row r="3361">
      <c r="A3361" s="2" t="inlineStr">
        <is>
          <t>IT01330_01</t>
        </is>
      </c>
      <c r="B3361" s="2" t="inlineStr">
        <is>
          <t>PED01330</t>
        </is>
      </c>
      <c r="C3361" s="2" t="inlineStr">
        <is>
          <t>P005</t>
        </is>
      </c>
      <c r="D3361" s="2" t="n">
        <v>1</v>
      </c>
      <c r="E3361" s="19" t="n">
        <v>0</v>
      </c>
    </row>
    <row r="3362">
      <c r="A3362" s="2" t="inlineStr">
        <is>
          <t>IT01330_02</t>
        </is>
      </c>
      <c r="B3362" s="2" t="inlineStr">
        <is>
          <t>PED01330</t>
        </is>
      </c>
      <c r="C3362" s="2" t="inlineStr">
        <is>
          <t>P038</t>
        </is>
      </c>
      <c r="D3362" s="2" t="n">
        <v>2</v>
      </c>
      <c r="E3362" s="19" t="n">
        <v>0</v>
      </c>
    </row>
    <row r="3363">
      <c r="A3363" s="2" t="inlineStr">
        <is>
          <t>IT01330_03</t>
        </is>
      </c>
      <c r="B3363" s="2" t="inlineStr">
        <is>
          <t>PED01330</t>
        </is>
      </c>
      <c r="C3363" s="2" t="inlineStr">
        <is>
          <t>P026</t>
        </is>
      </c>
      <c r="D3363" s="2" t="n">
        <v>1</v>
      </c>
      <c r="E3363" s="19" t="n">
        <v>0</v>
      </c>
    </row>
    <row r="3364">
      <c r="A3364" s="2" t="inlineStr">
        <is>
          <t>IT01331_01</t>
        </is>
      </c>
      <c r="B3364" s="2" t="inlineStr">
        <is>
          <t>PED01331</t>
        </is>
      </c>
      <c r="C3364" s="2" t="inlineStr">
        <is>
          <t>P001</t>
        </is>
      </c>
      <c r="D3364" s="2" t="n">
        <v>1</v>
      </c>
      <c r="E3364" s="19" t="n">
        <v>0</v>
      </c>
    </row>
    <row r="3365">
      <c r="A3365" s="2" t="inlineStr">
        <is>
          <t>IT01331_02</t>
        </is>
      </c>
      <c r="B3365" s="2" t="inlineStr">
        <is>
          <t>PED01331</t>
        </is>
      </c>
      <c r="C3365" s="2" t="inlineStr">
        <is>
          <t>P070</t>
        </is>
      </c>
      <c r="D3365" s="2" t="n">
        <v>3</v>
      </c>
      <c r="E3365" s="19" t="n">
        <v>0.02</v>
      </c>
    </row>
    <row r="3366">
      <c r="A3366" s="2" t="inlineStr">
        <is>
          <t>IT01332_01</t>
        </is>
      </c>
      <c r="B3366" s="2" t="inlineStr">
        <is>
          <t>PED01332</t>
        </is>
      </c>
      <c r="C3366" s="2" t="inlineStr">
        <is>
          <t>P042</t>
        </is>
      </c>
      <c r="D3366" s="2" t="n">
        <v>2</v>
      </c>
      <c r="E3366" s="19" t="n">
        <v>0</v>
      </c>
    </row>
    <row r="3367">
      <c r="A3367" s="2" t="inlineStr">
        <is>
          <t>IT01332_02</t>
        </is>
      </c>
      <c r="B3367" s="2" t="inlineStr">
        <is>
          <t>PED01332</t>
        </is>
      </c>
      <c r="C3367" s="2" t="inlineStr">
        <is>
          <t>P014</t>
        </is>
      </c>
      <c r="D3367" s="2" t="n">
        <v>3</v>
      </c>
      <c r="E3367" s="19" t="n">
        <v>0</v>
      </c>
    </row>
    <row r="3368">
      <c r="A3368" s="2" t="inlineStr">
        <is>
          <t>IT01332_03</t>
        </is>
      </c>
      <c r="B3368" s="2" t="inlineStr">
        <is>
          <t>PED01332</t>
        </is>
      </c>
      <c r="C3368" s="2" t="inlineStr">
        <is>
          <t>P029</t>
        </is>
      </c>
      <c r="D3368" s="2" t="n">
        <v>4</v>
      </c>
      <c r="E3368" s="19" t="n">
        <v>0</v>
      </c>
    </row>
    <row r="3369">
      <c r="A3369" s="2" t="inlineStr">
        <is>
          <t>IT01332_04</t>
        </is>
      </c>
      <c r="B3369" s="2" t="inlineStr">
        <is>
          <t>PED01332</t>
        </is>
      </c>
      <c r="C3369" s="2" t="inlineStr">
        <is>
          <t>P017</t>
        </is>
      </c>
      <c r="D3369" s="2" t="n">
        <v>2</v>
      </c>
      <c r="E3369" s="19" t="n">
        <v>0.05</v>
      </c>
    </row>
    <row r="3370">
      <c r="A3370" s="2" t="inlineStr">
        <is>
          <t>IT01333_01</t>
        </is>
      </c>
      <c r="B3370" s="2" t="inlineStr">
        <is>
          <t>PED01333</t>
        </is>
      </c>
      <c r="C3370" s="2" t="inlineStr">
        <is>
          <t>P056</t>
        </is>
      </c>
      <c r="D3370" s="2" t="n">
        <v>3</v>
      </c>
      <c r="E3370" s="19" t="n">
        <v>0</v>
      </c>
    </row>
    <row r="3371">
      <c r="A3371" s="2" t="inlineStr">
        <is>
          <t>IT01334_01</t>
        </is>
      </c>
      <c r="B3371" s="2" t="inlineStr">
        <is>
          <t>PED01334</t>
        </is>
      </c>
      <c r="C3371" s="2" t="inlineStr">
        <is>
          <t>P027</t>
        </is>
      </c>
      <c r="D3371" s="2" t="n">
        <v>1</v>
      </c>
      <c r="E3371" s="19" t="n">
        <v>0.02</v>
      </c>
    </row>
    <row r="3372">
      <c r="A3372" s="2" t="inlineStr">
        <is>
          <t>IT01334_02</t>
        </is>
      </c>
      <c r="B3372" s="2" t="inlineStr">
        <is>
          <t>PED01334</t>
        </is>
      </c>
      <c r="C3372" s="2" t="inlineStr">
        <is>
          <t>P063</t>
        </is>
      </c>
      <c r="D3372" s="2" t="n">
        <v>2</v>
      </c>
      <c r="E3372" s="19" t="n">
        <v>0</v>
      </c>
    </row>
    <row r="3373">
      <c r="A3373" s="2" t="inlineStr">
        <is>
          <t>IT01335_01</t>
        </is>
      </c>
      <c r="B3373" s="2" t="inlineStr">
        <is>
          <t>PED01335</t>
        </is>
      </c>
      <c r="C3373" s="2" t="inlineStr">
        <is>
          <t>P053</t>
        </is>
      </c>
      <c r="D3373" s="2" t="n">
        <v>1</v>
      </c>
      <c r="E3373" s="19" t="n">
        <v>0.02</v>
      </c>
    </row>
    <row r="3374">
      <c r="A3374" s="2" t="inlineStr">
        <is>
          <t>IT01335_02</t>
        </is>
      </c>
      <c r="B3374" s="2" t="inlineStr">
        <is>
          <t>PED01335</t>
        </is>
      </c>
      <c r="C3374" s="2" t="inlineStr">
        <is>
          <t>P003</t>
        </is>
      </c>
      <c r="D3374" s="2" t="n">
        <v>1</v>
      </c>
      <c r="E3374" s="19" t="n">
        <v>0.1</v>
      </c>
    </row>
    <row r="3375">
      <c r="A3375" s="2" t="inlineStr">
        <is>
          <t>IT01335_03</t>
        </is>
      </c>
      <c r="B3375" s="2" t="inlineStr">
        <is>
          <t>PED01335</t>
        </is>
      </c>
      <c r="C3375" s="2" t="inlineStr">
        <is>
          <t>P022</t>
        </is>
      </c>
      <c r="D3375" s="2" t="n">
        <v>3</v>
      </c>
      <c r="E3375" s="19" t="n">
        <v>0</v>
      </c>
    </row>
    <row r="3376">
      <c r="A3376" s="2" t="inlineStr">
        <is>
          <t>IT01335_04</t>
        </is>
      </c>
      <c r="B3376" s="2" t="inlineStr">
        <is>
          <t>PED01335</t>
        </is>
      </c>
      <c r="C3376" s="2" t="inlineStr">
        <is>
          <t>P006</t>
        </is>
      </c>
      <c r="D3376" s="2" t="n">
        <v>1</v>
      </c>
      <c r="E3376" s="19" t="n">
        <v>0.02</v>
      </c>
    </row>
    <row r="3377">
      <c r="A3377" s="2" t="inlineStr">
        <is>
          <t>IT01335_05</t>
        </is>
      </c>
      <c r="B3377" s="2" t="inlineStr">
        <is>
          <t>PED01335</t>
        </is>
      </c>
      <c r="C3377" s="2" t="inlineStr">
        <is>
          <t>P070</t>
        </is>
      </c>
      <c r="D3377" s="2" t="n">
        <v>4</v>
      </c>
      <c r="E3377" s="19" t="n">
        <v>0.02</v>
      </c>
    </row>
    <row r="3378">
      <c r="A3378" s="2" t="inlineStr">
        <is>
          <t>IT01336_01</t>
        </is>
      </c>
      <c r="B3378" s="2" t="inlineStr">
        <is>
          <t>PED01336</t>
        </is>
      </c>
      <c r="C3378" s="2" t="inlineStr">
        <is>
          <t>P023</t>
        </is>
      </c>
      <c r="D3378" s="2" t="n">
        <v>5</v>
      </c>
      <c r="E3378" s="19" t="n">
        <v>0</v>
      </c>
    </row>
    <row r="3379">
      <c r="A3379" s="2" t="inlineStr">
        <is>
          <t>IT01336_02</t>
        </is>
      </c>
      <c r="B3379" s="2" t="inlineStr">
        <is>
          <t>PED01336</t>
        </is>
      </c>
      <c r="C3379" s="2" t="inlineStr">
        <is>
          <t>P021</t>
        </is>
      </c>
      <c r="D3379" s="2" t="n">
        <v>1</v>
      </c>
      <c r="E3379" s="19" t="n">
        <v>0.1</v>
      </c>
    </row>
    <row r="3380">
      <c r="A3380" s="2" t="inlineStr">
        <is>
          <t>IT01336_03</t>
        </is>
      </c>
      <c r="B3380" s="2" t="inlineStr">
        <is>
          <t>PED01336</t>
        </is>
      </c>
      <c r="C3380" s="2" t="inlineStr">
        <is>
          <t>P045</t>
        </is>
      </c>
      <c r="D3380" s="2" t="n">
        <v>1</v>
      </c>
      <c r="E3380" s="19" t="n">
        <v>0</v>
      </c>
    </row>
    <row r="3381">
      <c r="A3381" s="2" t="inlineStr">
        <is>
          <t>IT01337_01</t>
        </is>
      </c>
      <c r="B3381" s="2" t="inlineStr">
        <is>
          <t>PED01337</t>
        </is>
      </c>
      <c r="C3381" s="2" t="inlineStr">
        <is>
          <t>P029</t>
        </is>
      </c>
      <c r="D3381" s="2" t="n">
        <v>3</v>
      </c>
      <c r="E3381" s="19" t="n">
        <v>0.02</v>
      </c>
    </row>
    <row r="3382">
      <c r="A3382" s="2" t="inlineStr">
        <is>
          <t>IT01337_02</t>
        </is>
      </c>
      <c r="B3382" s="2" t="inlineStr">
        <is>
          <t>PED01337</t>
        </is>
      </c>
      <c r="C3382" s="2" t="inlineStr">
        <is>
          <t>P044</t>
        </is>
      </c>
      <c r="D3382" s="2" t="n">
        <v>1</v>
      </c>
      <c r="E3382" s="19" t="n">
        <v>0.05</v>
      </c>
    </row>
    <row r="3383">
      <c r="A3383" s="2" t="inlineStr">
        <is>
          <t>IT01337_03</t>
        </is>
      </c>
      <c r="B3383" s="2" t="inlineStr">
        <is>
          <t>PED01337</t>
        </is>
      </c>
      <c r="C3383" s="2" t="inlineStr">
        <is>
          <t>P037</t>
        </is>
      </c>
      <c r="D3383" s="2" t="n">
        <v>2</v>
      </c>
      <c r="E3383" s="19" t="n">
        <v>0.05</v>
      </c>
    </row>
    <row r="3384">
      <c r="A3384" s="2" t="inlineStr">
        <is>
          <t>IT01337_04</t>
        </is>
      </c>
      <c r="B3384" s="2" t="inlineStr">
        <is>
          <t>PED01337</t>
        </is>
      </c>
      <c r="C3384" s="2" t="inlineStr">
        <is>
          <t>P043</t>
        </is>
      </c>
      <c r="D3384" s="2" t="n">
        <v>3</v>
      </c>
      <c r="E3384" s="19" t="n">
        <v>0</v>
      </c>
    </row>
    <row r="3385">
      <c r="A3385" s="2" t="inlineStr">
        <is>
          <t>IT01338_01</t>
        </is>
      </c>
      <c r="B3385" s="2" t="inlineStr">
        <is>
          <t>PED01338</t>
        </is>
      </c>
      <c r="C3385" s="2" t="inlineStr">
        <is>
          <t>P032</t>
        </is>
      </c>
      <c r="D3385" s="2" t="n">
        <v>4</v>
      </c>
      <c r="E3385" s="19" t="n">
        <v>0</v>
      </c>
    </row>
    <row r="3386">
      <c r="A3386" s="2" t="inlineStr">
        <is>
          <t>IT01338_02</t>
        </is>
      </c>
      <c r="B3386" s="2" t="inlineStr">
        <is>
          <t>PED01338</t>
        </is>
      </c>
      <c r="C3386" s="2" t="inlineStr">
        <is>
          <t>P051</t>
        </is>
      </c>
      <c r="D3386" s="2" t="n">
        <v>1</v>
      </c>
      <c r="E3386" s="19" t="n">
        <v>0.05</v>
      </c>
    </row>
    <row r="3387">
      <c r="A3387" s="2" t="inlineStr">
        <is>
          <t>IT01339_01</t>
        </is>
      </c>
      <c r="B3387" s="2" t="inlineStr">
        <is>
          <t>PED01339</t>
        </is>
      </c>
      <c r="C3387" s="2" t="inlineStr">
        <is>
          <t>P012</t>
        </is>
      </c>
      <c r="D3387" s="2" t="n">
        <v>2</v>
      </c>
      <c r="E3387" s="19" t="n">
        <v>0</v>
      </c>
    </row>
    <row r="3388">
      <c r="A3388" s="2" t="inlineStr">
        <is>
          <t>IT01339_02</t>
        </is>
      </c>
      <c r="B3388" s="2" t="inlineStr">
        <is>
          <t>PED01339</t>
        </is>
      </c>
      <c r="C3388" s="2" t="inlineStr">
        <is>
          <t>P021</t>
        </is>
      </c>
      <c r="D3388" s="2" t="n">
        <v>2</v>
      </c>
      <c r="E3388" s="19" t="n">
        <v>0</v>
      </c>
    </row>
    <row r="3389">
      <c r="A3389" s="2" t="inlineStr">
        <is>
          <t>IT01339_03</t>
        </is>
      </c>
      <c r="B3389" s="2" t="inlineStr">
        <is>
          <t>PED01339</t>
        </is>
      </c>
      <c r="C3389" s="2" t="inlineStr">
        <is>
          <t>P008</t>
        </is>
      </c>
      <c r="D3389" s="2" t="n">
        <v>4</v>
      </c>
      <c r="E3389" s="19" t="n">
        <v>0</v>
      </c>
    </row>
    <row r="3390">
      <c r="A3390" s="2" t="inlineStr">
        <is>
          <t>IT01340_01</t>
        </is>
      </c>
      <c r="B3390" s="2" t="inlineStr">
        <is>
          <t>PED01340</t>
        </is>
      </c>
      <c r="C3390" s="2" t="inlineStr">
        <is>
          <t>P059</t>
        </is>
      </c>
      <c r="D3390" s="2" t="n">
        <v>1</v>
      </c>
      <c r="E3390" s="19" t="n">
        <v>0</v>
      </c>
    </row>
    <row r="3391">
      <c r="A3391" s="2" t="inlineStr">
        <is>
          <t>IT01341_01</t>
        </is>
      </c>
      <c r="B3391" s="2" t="inlineStr">
        <is>
          <t>PED01341</t>
        </is>
      </c>
      <c r="C3391" s="2" t="inlineStr">
        <is>
          <t>P027</t>
        </is>
      </c>
      <c r="D3391" s="2" t="n">
        <v>2</v>
      </c>
      <c r="E3391" s="19" t="n">
        <v>0.02</v>
      </c>
    </row>
    <row r="3392">
      <c r="A3392" s="2" t="inlineStr">
        <is>
          <t>IT01341_02</t>
        </is>
      </c>
      <c r="B3392" s="2" t="inlineStr">
        <is>
          <t>PED01341</t>
        </is>
      </c>
      <c r="C3392" s="2" t="inlineStr">
        <is>
          <t>P058</t>
        </is>
      </c>
      <c r="D3392" s="2" t="n">
        <v>2</v>
      </c>
      <c r="E3392" s="19" t="n">
        <v>0</v>
      </c>
    </row>
    <row r="3393">
      <c r="A3393" s="2" t="inlineStr">
        <is>
          <t>IT01341_03</t>
        </is>
      </c>
      <c r="B3393" s="2" t="inlineStr">
        <is>
          <t>PED01341</t>
        </is>
      </c>
      <c r="C3393" s="2" t="inlineStr">
        <is>
          <t>P044</t>
        </is>
      </c>
      <c r="D3393" s="2" t="n">
        <v>2</v>
      </c>
      <c r="E3393" s="19" t="n">
        <v>0.02</v>
      </c>
    </row>
    <row r="3394">
      <c r="A3394" s="2" t="inlineStr">
        <is>
          <t>IT01342_01</t>
        </is>
      </c>
      <c r="B3394" s="2" t="inlineStr">
        <is>
          <t>PED01342</t>
        </is>
      </c>
      <c r="C3394" s="2" t="inlineStr">
        <is>
          <t>P036</t>
        </is>
      </c>
      <c r="D3394" s="2" t="n">
        <v>2</v>
      </c>
      <c r="E3394" s="19" t="n">
        <v>0</v>
      </c>
    </row>
    <row r="3395">
      <c r="A3395" s="2" t="inlineStr">
        <is>
          <t>IT01342_02</t>
        </is>
      </c>
      <c r="B3395" s="2" t="inlineStr">
        <is>
          <t>PED01342</t>
        </is>
      </c>
      <c r="C3395" s="2" t="inlineStr">
        <is>
          <t>P061</t>
        </is>
      </c>
      <c r="D3395" s="2" t="n">
        <v>4</v>
      </c>
      <c r="E3395" s="19" t="n">
        <v>0</v>
      </c>
    </row>
    <row r="3396">
      <c r="A3396" s="2" t="inlineStr">
        <is>
          <t>IT01342_03</t>
        </is>
      </c>
      <c r="B3396" s="2" t="inlineStr">
        <is>
          <t>PED01342</t>
        </is>
      </c>
      <c r="C3396" s="2" t="inlineStr">
        <is>
          <t>P041</t>
        </is>
      </c>
      <c r="D3396" s="2" t="n">
        <v>1</v>
      </c>
      <c r="E3396" s="19" t="n">
        <v>0.05</v>
      </c>
    </row>
    <row r="3397">
      <c r="A3397" s="2" t="inlineStr">
        <is>
          <t>IT01342_04</t>
        </is>
      </c>
      <c r="B3397" s="2" t="inlineStr">
        <is>
          <t>PED01342</t>
        </is>
      </c>
      <c r="C3397" s="2" t="inlineStr">
        <is>
          <t>P020</t>
        </is>
      </c>
      <c r="D3397" s="2" t="n">
        <v>3</v>
      </c>
      <c r="E3397" s="19" t="n">
        <v>0.05</v>
      </c>
    </row>
    <row r="3398">
      <c r="A3398" s="2" t="inlineStr">
        <is>
          <t>IT01343_01</t>
        </is>
      </c>
      <c r="B3398" s="2" t="inlineStr">
        <is>
          <t>PED01343</t>
        </is>
      </c>
      <c r="C3398" s="2" t="inlineStr">
        <is>
          <t>P069</t>
        </is>
      </c>
      <c r="D3398" s="2" t="n">
        <v>4</v>
      </c>
      <c r="E3398" s="19" t="n">
        <v>0</v>
      </c>
    </row>
    <row r="3399">
      <c r="A3399" s="2" t="inlineStr">
        <is>
          <t>IT01343_02</t>
        </is>
      </c>
      <c r="B3399" s="2" t="inlineStr">
        <is>
          <t>PED01343</t>
        </is>
      </c>
      <c r="C3399" s="2" t="inlineStr">
        <is>
          <t>P035</t>
        </is>
      </c>
      <c r="D3399" s="2" t="n">
        <v>1</v>
      </c>
      <c r="E3399" s="19" t="n">
        <v>0.02</v>
      </c>
    </row>
    <row r="3400">
      <c r="A3400" s="2" t="inlineStr">
        <is>
          <t>IT01343_03</t>
        </is>
      </c>
      <c r="B3400" s="2" t="inlineStr">
        <is>
          <t>PED01343</t>
        </is>
      </c>
      <c r="C3400" s="2" t="inlineStr">
        <is>
          <t>P041</t>
        </is>
      </c>
      <c r="D3400" s="2" t="n">
        <v>1</v>
      </c>
      <c r="E3400" s="19" t="n">
        <v>0.02</v>
      </c>
    </row>
    <row r="3401">
      <c r="A3401" s="2" t="inlineStr">
        <is>
          <t>IT01344_01</t>
        </is>
      </c>
      <c r="B3401" s="2" t="inlineStr">
        <is>
          <t>PED01344</t>
        </is>
      </c>
      <c r="C3401" s="2" t="inlineStr">
        <is>
          <t>P014</t>
        </is>
      </c>
      <c r="D3401" s="2" t="n">
        <v>1</v>
      </c>
      <c r="E3401" s="19" t="n">
        <v>0.02</v>
      </c>
    </row>
    <row r="3402">
      <c r="A3402" s="2" t="inlineStr">
        <is>
          <t>IT01345_01</t>
        </is>
      </c>
      <c r="B3402" s="2" t="inlineStr">
        <is>
          <t>PED01345</t>
        </is>
      </c>
      <c r="C3402" s="2" t="inlineStr">
        <is>
          <t>P017</t>
        </is>
      </c>
      <c r="D3402" s="2" t="n">
        <v>2</v>
      </c>
      <c r="E3402" s="19" t="n">
        <v>0</v>
      </c>
    </row>
    <row r="3403">
      <c r="A3403" s="2" t="inlineStr">
        <is>
          <t>IT01345_02</t>
        </is>
      </c>
      <c r="B3403" s="2" t="inlineStr">
        <is>
          <t>PED01345</t>
        </is>
      </c>
      <c r="C3403" s="2" t="inlineStr">
        <is>
          <t>P048</t>
        </is>
      </c>
      <c r="D3403" s="2" t="n">
        <v>1</v>
      </c>
      <c r="E3403" s="19" t="n">
        <v>0.1</v>
      </c>
    </row>
    <row r="3404">
      <c r="A3404" s="2" t="inlineStr">
        <is>
          <t>IT01346_01</t>
        </is>
      </c>
      <c r="B3404" s="2" t="inlineStr">
        <is>
          <t>PED01346</t>
        </is>
      </c>
      <c r="C3404" s="2" t="inlineStr">
        <is>
          <t>P070</t>
        </is>
      </c>
      <c r="D3404" s="2" t="n">
        <v>2</v>
      </c>
      <c r="E3404" s="19" t="n">
        <v>0.02</v>
      </c>
    </row>
    <row r="3405">
      <c r="A3405" s="2" t="inlineStr">
        <is>
          <t>IT01346_02</t>
        </is>
      </c>
      <c r="B3405" s="2" t="inlineStr">
        <is>
          <t>PED01346</t>
        </is>
      </c>
      <c r="C3405" s="2" t="inlineStr">
        <is>
          <t>P015</t>
        </is>
      </c>
      <c r="D3405" s="2" t="n">
        <v>5</v>
      </c>
      <c r="E3405" s="19" t="n">
        <v>0</v>
      </c>
    </row>
    <row r="3406">
      <c r="A3406" s="2" t="inlineStr">
        <is>
          <t>IT01347_01</t>
        </is>
      </c>
      <c r="B3406" s="2" t="inlineStr">
        <is>
          <t>PED01347</t>
        </is>
      </c>
      <c r="C3406" s="2" t="inlineStr">
        <is>
          <t>P027</t>
        </is>
      </c>
      <c r="D3406" s="2" t="n">
        <v>2</v>
      </c>
      <c r="E3406" s="19" t="n">
        <v>0.1</v>
      </c>
    </row>
    <row r="3407">
      <c r="A3407" s="2" t="inlineStr">
        <is>
          <t>IT01347_02</t>
        </is>
      </c>
      <c r="B3407" s="2" t="inlineStr">
        <is>
          <t>PED01347</t>
        </is>
      </c>
      <c r="C3407" s="2" t="inlineStr">
        <is>
          <t>P031</t>
        </is>
      </c>
      <c r="D3407" s="2" t="n">
        <v>2</v>
      </c>
      <c r="E3407" s="19" t="n">
        <v>0</v>
      </c>
    </row>
    <row r="3408">
      <c r="A3408" s="2" t="inlineStr">
        <is>
          <t>IT01347_03</t>
        </is>
      </c>
      <c r="B3408" s="2" t="inlineStr">
        <is>
          <t>PED01347</t>
        </is>
      </c>
      <c r="C3408" s="2" t="inlineStr">
        <is>
          <t>P022</t>
        </is>
      </c>
      <c r="D3408" s="2" t="n">
        <v>4</v>
      </c>
      <c r="E3408" s="19" t="n">
        <v>0.05</v>
      </c>
    </row>
    <row r="3409">
      <c r="A3409" s="2" t="inlineStr">
        <is>
          <t>IT01348_01</t>
        </is>
      </c>
      <c r="B3409" s="2" t="inlineStr">
        <is>
          <t>PED01348</t>
        </is>
      </c>
      <c r="C3409" s="2" t="inlineStr">
        <is>
          <t>P067</t>
        </is>
      </c>
      <c r="D3409" s="2" t="n">
        <v>2</v>
      </c>
      <c r="E3409" s="19" t="n">
        <v>0.02</v>
      </c>
    </row>
    <row r="3410">
      <c r="A3410" s="2" t="inlineStr">
        <is>
          <t>IT01348_02</t>
        </is>
      </c>
      <c r="B3410" s="2" t="inlineStr">
        <is>
          <t>PED01348</t>
        </is>
      </c>
      <c r="C3410" s="2" t="inlineStr">
        <is>
          <t>P043</t>
        </is>
      </c>
      <c r="D3410" s="2" t="n">
        <v>1</v>
      </c>
      <c r="E3410" s="19" t="n">
        <v>0</v>
      </c>
    </row>
    <row r="3411">
      <c r="A3411" s="2" t="inlineStr">
        <is>
          <t>IT01349_01</t>
        </is>
      </c>
      <c r="B3411" s="2" t="inlineStr">
        <is>
          <t>PED01349</t>
        </is>
      </c>
      <c r="C3411" s="2" t="inlineStr">
        <is>
          <t>P018</t>
        </is>
      </c>
      <c r="D3411" s="2" t="n">
        <v>3</v>
      </c>
      <c r="E3411" s="19" t="n">
        <v>0</v>
      </c>
    </row>
    <row r="3412">
      <c r="A3412" s="2" t="inlineStr">
        <is>
          <t>IT01349_02</t>
        </is>
      </c>
      <c r="B3412" s="2" t="inlineStr">
        <is>
          <t>PED01349</t>
        </is>
      </c>
      <c r="C3412" s="2" t="inlineStr">
        <is>
          <t>P052</t>
        </is>
      </c>
      <c r="D3412" s="2" t="n">
        <v>2</v>
      </c>
      <c r="E3412" s="19" t="n">
        <v>0.02</v>
      </c>
    </row>
    <row r="3413">
      <c r="A3413" s="2" t="inlineStr">
        <is>
          <t>IT01349_03</t>
        </is>
      </c>
      <c r="B3413" s="2" t="inlineStr">
        <is>
          <t>PED01349</t>
        </is>
      </c>
      <c r="C3413" s="2" t="inlineStr">
        <is>
          <t>P023</t>
        </is>
      </c>
      <c r="D3413" s="2" t="n">
        <v>3</v>
      </c>
      <c r="E3413" s="19" t="n">
        <v>0</v>
      </c>
    </row>
    <row r="3414">
      <c r="A3414" s="2" t="inlineStr">
        <is>
          <t>IT01349_04</t>
        </is>
      </c>
      <c r="B3414" s="2" t="inlineStr">
        <is>
          <t>PED01349</t>
        </is>
      </c>
      <c r="C3414" s="2" t="inlineStr">
        <is>
          <t>P003</t>
        </is>
      </c>
      <c r="D3414" s="2" t="n">
        <v>4</v>
      </c>
      <c r="E3414" s="19" t="n">
        <v>0.05</v>
      </c>
    </row>
    <row r="3415">
      <c r="A3415" s="2" t="inlineStr">
        <is>
          <t>IT01350_01</t>
        </is>
      </c>
      <c r="B3415" s="2" t="inlineStr">
        <is>
          <t>PED01350</t>
        </is>
      </c>
      <c r="C3415" s="2" t="inlineStr">
        <is>
          <t>P024</t>
        </is>
      </c>
      <c r="D3415" s="2" t="n">
        <v>4</v>
      </c>
      <c r="E3415" s="19" t="n">
        <v>0</v>
      </c>
    </row>
    <row r="3416">
      <c r="A3416" s="2" t="inlineStr">
        <is>
          <t>IT01351_01</t>
        </is>
      </c>
      <c r="B3416" s="2" t="inlineStr">
        <is>
          <t>PED01351</t>
        </is>
      </c>
      <c r="C3416" s="2" t="inlineStr">
        <is>
          <t>P039</t>
        </is>
      </c>
      <c r="D3416" s="2" t="n">
        <v>1</v>
      </c>
      <c r="E3416" s="19" t="n">
        <v>0</v>
      </c>
    </row>
    <row r="3417">
      <c r="A3417" s="2" t="inlineStr">
        <is>
          <t>IT01351_02</t>
        </is>
      </c>
      <c r="B3417" s="2" t="inlineStr">
        <is>
          <t>PED01351</t>
        </is>
      </c>
      <c r="C3417" s="2" t="inlineStr">
        <is>
          <t>P058</t>
        </is>
      </c>
      <c r="D3417" s="2" t="n">
        <v>2</v>
      </c>
      <c r="E3417" s="19" t="n">
        <v>0</v>
      </c>
    </row>
    <row r="3418">
      <c r="A3418" s="2" t="inlineStr">
        <is>
          <t>IT01352_01</t>
        </is>
      </c>
      <c r="B3418" s="2" t="inlineStr">
        <is>
          <t>PED01352</t>
        </is>
      </c>
      <c r="C3418" s="2" t="inlineStr">
        <is>
          <t>P036</t>
        </is>
      </c>
      <c r="D3418" s="2" t="n">
        <v>1</v>
      </c>
      <c r="E3418" s="19" t="n">
        <v>0</v>
      </c>
    </row>
    <row r="3419">
      <c r="A3419" s="2" t="inlineStr">
        <is>
          <t>IT01352_02</t>
        </is>
      </c>
      <c r="B3419" s="2" t="inlineStr">
        <is>
          <t>PED01352</t>
        </is>
      </c>
      <c r="C3419" s="2" t="inlineStr">
        <is>
          <t>P012</t>
        </is>
      </c>
      <c r="D3419" s="2" t="n">
        <v>2</v>
      </c>
      <c r="E3419" s="19" t="n">
        <v>0.02</v>
      </c>
    </row>
    <row r="3420">
      <c r="A3420" s="2" t="inlineStr">
        <is>
          <t>IT01353_01</t>
        </is>
      </c>
      <c r="B3420" s="2" t="inlineStr">
        <is>
          <t>PED01353</t>
        </is>
      </c>
      <c r="C3420" s="2" t="inlineStr">
        <is>
          <t>P052</t>
        </is>
      </c>
      <c r="D3420" s="2" t="n">
        <v>1</v>
      </c>
      <c r="E3420" s="19" t="n">
        <v>0.05</v>
      </c>
    </row>
    <row r="3421">
      <c r="A3421" s="2" t="inlineStr">
        <is>
          <t>IT01354_01</t>
        </is>
      </c>
      <c r="B3421" s="2" t="inlineStr">
        <is>
          <t>PED01354</t>
        </is>
      </c>
      <c r="C3421" s="2" t="inlineStr">
        <is>
          <t>P006</t>
        </is>
      </c>
      <c r="D3421" s="2" t="n">
        <v>3</v>
      </c>
      <c r="E3421" s="19" t="n">
        <v>0</v>
      </c>
    </row>
    <row r="3422">
      <c r="A3422" s="2" t="inlineStr">
        <is>
          <t>IT01354_02</t>
        </is>
      </c>
      <c r="B3422" s="2" t="inlineStr">
        <is>
          <t>PED01354</t>
        </is>
      </c>
      <c r="C3422" s="2" t="inlineStr">
        <is>
          <t>P003</t>
        </is>
      </c>
      <c r="D3422" s="2" t="n">
        <v>1</v>
      </c>
      <c r="E3422" s="19" t="n">
        <v>0.02</v>
      </c>
    </row>
    <row r="3423">
      <c r="A3423" s="2" t="inlineStr">
        <is>
          <t>IT01355_01</t>
        </is>
      </c>
      <c r="B3423" s="2" t="inlineStr">
        <is>
          <t>PED01355</t>
        </is>
      </c>
      <c r="C3423" s="2" t="inlineStr">
        <is>
          <t>P039</t>
        </is>
      </c>
      <c r="D3423" s="2" t="n">
        <v>3</v>
      </c>
      <c r="E3423" s="19" t="n">
        <v>0</v>
      </c>
    </row>
    <row r="3424">
      <c r="A3424" s="2" t="inlineStr">
        <is>
          <t>IT01356_01</t>
        </is>
      </c>
      <c r="B3424" s="2" t="inlineStr">
        <is>
          <t>PED01356</t>
        </is>
      </c>
      <c r="C3424" s="2" t="inlineStr">
        <is>
          <t>P068</t>
        </is>
      </c>
      <c r="D3424" s="2" t="n">
        <v>1</v>
      </c>
      <c r="E3424" s="19" t="n">
        <v>0</v>
      </c>
    </row>
    <row r="3425">
      <c r="A3425" s="2" t="inlineStr">
        <is>
          <t>IT01357_01</t>
        </is>
      </c>
      <c r="B3425" s="2" t="inlineStr">
        <is>
          <t>PED01357</t>
        </is>
      </c>
      <c r="C3425" s="2" t="inlineStr">
        <is>
          <t>P008</t>
        </is>
      </c>
      <c r="D3425" s="2" t="n">
        <v>5</v>
      </c>
      <c r="E3425" s="19" t="n">
        <v>0.05</v>
      </c>
    </row>
    <row r="3426">
      <c r="A3426" s="2" t="inlineStr">
        <is>
          <t>IT01357_02</t>
        </is>
      </c>
      <c r="B3426" s="2" t="inlineStr">
        <is>
          <t>PED01357</t>
        </is>
      </c>
      <c r="C3426" s="2" t="inlineStr">
        <is>
          <t>P061</t>
        </is>
      </c>
      <c r="D3426" s="2" t="n">
        <v>1</v>
      </c>
      <c r="E3426" s="19" t="n">
        <v>0</v>
      </c>
    </row>
    <row r="3427">
      <c r="A3427" s="2" t="inlineStr">
        <is>
          <t>IT01358_01</t>
        </is>
      </c>
      <c r="B3427" s="2" t="inlineStr">
        <is>
          <t>PED01358</t>
        </is>
      </c>
      <c r="C3427" s="2" t="inlineStr">
        <is>
          <t>P055</t>
        </is>
      </c>
      <c r="D3427" s="2" t="n">
        <v>1</v>
      </c>
      <c r="E3427" s="19" t="n">
        <v>0.05</v>
      </c>
    </row>
    <row r="3428">
      <c r="A3428" s="2" t="inlineStr">
        <is>
          <t>IT01359_01</t>
        </is>
      </c>
      <c r="B3428" s="2" t="inlineStr">
        <is>
          <t>PED01359</t>
        </is>
      </c>
      <c r="C3428" s="2" t="inlineStr">
        <is>
          <t>P053</t>
        </is>
      </c>
      <c r="D3428" s="2" t="n">
        <v>1</v>
      </c>
      <c r="E3428" s="19" t="n">
        <v>0</v>
      </c>
    </row>
    <row r="3429">
      <c r="A3429" s="2" t="inlineStr">
        <is>
          <t>IT01360_01</t>
        </is>
      </c>
      <c r="B3429" s="2" t="inlineStr">
        <is>
          <t>PED01360</t>
        </is>
      </c>
      <c r="C3429" s="2" t="inlineStr">
        <is>
          <t>P013</t>
        </is>
      </c>
      <c r="D3429" s="2" t="n">
        <v>1</v>
      </c>
      <c r="E3429" s="19" t="n">
        <v>0.02</v>
      </c>
    </row>
    <row r="3430">
      <c r="A3430" s="2" t="inlineStr">
        <is>
          <t>IT01360_02</t>
        </is>
      </c>
      <c r="B3430" s="2" t="inlineStr">
        <is>
          <t>PED01360</t>
        </is>
      </c>
      <c r="C3430" s="2" t="inlineStr">
        <is>
          <t>P050</t>
        </is>
      </c>
      <c r="D3430" s="2" t="n">
        <v>2</v>
      </c>
      <c r="E3430" s="19" t="n">
        <v>0</v>
      </c>
    </row>
    <row r="3431">
      <c r="A3431" s="2" t="inlineStr">
        <is>
          <t>IT01360_03</t>
        </is>
      </c>
      <c r="B3431" s="2" t="inlineStr">
        <is>
          <t>PED01360</t>
        </is>
      </c>
      <c r="C3431" s="2" t="inlineStr">
        <is>
          <t>P045</t>
        </is>
      </c>
      <c r="D3431" s="2" t="n">
        <v>2</v>
      </c>
      <c r="E3431" s="19" t="n">
        <v>0</v>
      </c>
    </row>
    <row r="3432">
      <c r="A3432" s="2" t="inlineStr">
        <is>
          <t>IT01360_04</t>
        </is>
      </c>
      <c r="B3432" s="2" t="inlineStr">
        <is>
          <t>PED01360</t>
        </is>
      </c>
      <c r="C3432" s="2" t="inlineStr">
        <is>
          <t>P036</t>
        </is>
      </c>
      <c r="D3432" s="2" t="n">
        <v>1</v>
      </c>
      <c r="E3432" s="19" t="n">
        <v>0.1</v>
      </c>
    </row>
    <row r="3433">
      <c r="A3433" s="2" t="inlineStr">
        <is>
          <t>IT01360_05</t>
        </is>
      </c>
      <c r="B3433" s="2" t="inlineStr">
        <is>
          <t>PED01360</t>
        </is>
      </c>
      <c r="C3433" s="2" t="inlineStr">
        <is>
          <t>P037</t>
        </is>
      </c>
      <c r="D3433" s="2" t="n">
        <v>4</v>
      </c>
      <c r="E3433" s="19" t="n">
        <v>0.02</v>
      </c>
    </row>
    <row r="3434">
      <c r="A3434" s="2" t="inlineStr">
        <is>
          <t>IT01361_01</t>
        </is>
      </c>
      <c r="B3434" s="2" t="inlineStr">
        <is>
          <t>PED01361</t>
        </is>
      </c>
      <c r="C3434" s="2" t="inlineStr">
        <is>
          <t>P055</t>
        </is>
      </c>
      <c r="D3434" s="2" t="n">
        <v>4</v>
      </c>
      <c r="E3434" s="19" t="n">
        <v>0</v>
      </c>
    </row>
    <row r="3435">
      <c r="A3435" s="2" t="inlineStr">
        <is>
          <t>IT01361_02</t>
        </is>
      </c>
      <c r="B3435" s="2" t="inlineStr">
        <is>
          <t>PED01361</t>
        </is>
      </c>
      <c r="C3435" s="2" t="inlineStr">
        <is>
          <t>P009</t>
        </is>
      </c>
      <c r="D3435" s="2" t="n">
        <v>2</v>
      </c>
      <c r="E3435" s="19" t="n">
        <v>0</v>
      </c>
    </row>
    <row r="3436">
      <c r="A3436" s="2" t="inlineStr">
        <is>
          <t>IT01361_03</t>
        </is>
      </c>
      <c r="B3436" s="2" t="inlineStr">
        <is>
          <t>PED01361</t>
        </is>
      </c>
      <c r="C3436" s="2" t="inlineStr">
        <is>
          <t>P061</t>
        </is>
      </c>
      <c r="D3436" s="2" t="n">
        <v>1</v>
      </c>
      <c r="E3436" s="19" t="n">
        <v>0.05</v>
      </c>
    </row>
    <row r="3437">
      <c r="A3437" s="2" t="inlineStr">
        <is>
          <t>IT01361_04</t>
        </is>
      </c>
      <c r="B3437" s="2" t="inlineStr">
        <is>
          <t>PED01361</t>
        </is>
      </c>
      <c r="C3437" s="2" t="inlineStr">
        <is>
          <t>P042</t>
        </is>
      </c>
      <c r="D3437" s="2" t="n">
        <v>2</v>
      </c>
      <c r="E3437" s="19" t="n">
        <v>0</v>
      </c>
    </row>
    <row r="3438">
      <c r="A3438" s="2" t="inlineStr">
        <is>
          <t>IT01362_01</t>
        </is>
      </c>
      <c r="B3438" s="2" t="inlineStr">
        <is>
          <t>PED01362</t>
        </is>
      </c>
      <c r="C3438" s="2" t="inlineStr">
        <is>
          <t>P035</t>
        </is>
      </c>
      <c r="D3438" s="2" t="n">
        <v>3</v>
      </c>
      <c r="E3438" s="19" t="n">
        <v>0</v>
      </c>
    </row>
    <row r="3439">
      <c r="A3439" s="2" t="inlineStr">
        <is>
          <t>IT01362_02</t>
        </is>
      </c>
      <c r="B3439" s="2" t="inlineStr">
        <is>
          <t>PED01362</t>
        </is>
      </c>
      <c r="C3439" s="2" t="inlineStr">
        <is>
          <t>P010</t>
        </is>
      </c>
      <c r="D3439" s="2" t="n">
        <v>1</v>
      </c>
      <c r="E3439" s="19" t="n">
        <v>0</v>
      </c>
    </row>
    <row r="3440">
      <c r="A3440" s="2" t="inlineStr">
        <is>
          <t>IT01363_01</t>
        </is>
      </c>
      <c r="B3440" s="2" t="inlineStr">
        <is>
          <t>PED01363</t>
        </is>
      </c>
      <c r="C3440" s="2" t="inlineStr">
        <is>
          <t>P046</t>
        </is>
      </c>
      <c r="D3440" s="2" t="n">
        <v>4</v>
      </c>
      <c r="E3440" s="19" t="n">
        <v>0.02</v>
      </c>
    </row>
    <row r="3441">
      <c r="A3441" s="2" t="inlineStr">
        <is>
          <t>IT01364_01</t>
        </is>
      </c>
      <c r="B3441" s="2" t="inlineStr">
        <is>
          <t>PED01364</t>
        </is>
      </c>
      <c r="C3441" s="2" t="inlineStr">
        <is>
          <t>P060</t>
        </is>
      </c>
      <c r="D3441" s="2" t="n">
        <v>1</v>
      </c>
      <c r="E3441" s="19" t="n">
        <v>0</v>
      </c>
    </row>
    <row r="3442">
      <c r="A3442" s="2" t="inlineStr">
        <is>
          <t>IT01365_01</t>
        </is>
      </c>
      <c r="B3442" s="2" t="inlineStr">
        <is>
          <t>PED01365</t>
        </is>
      </c>
      <c r="C3442" s="2" t="inlineStr">
        <is>
          <t>P065</t>
        </is>
      </c>
      <c r="D3442" s="2" t="n">
        <v>2</v>
      </c>
      <c r="E3442" s="19" t="n">
        <v>0</v>
      </c>
    </row>
    <row r="3443">
      <c r="A3443" s="2" t="inlineStr">
        <is>
          <t>IT01365_02</t>
        </is>
      </c>
      <c r="B3443" s="2" t="inlineStr">
        <is>
          <t>PED01365</t>
        </is>
      </c>
      <c r="C3443" s="2" t="inlineStr">
        <is>
          <t>P044</t>
        </is>
      </c>
      <c r="D3443" s="2" t="n">
        <v>3</v>
      </c>
      <c r="E3443" s="19" t="n">
        <v>0</v>
      </c>
    </row>
    <row r="3444">
      <c r="A3444" s="2" t="inlineStr">
        <is>
          <t>IT01366_01</t>
        </is>
      </c>
      <c r="B3444" s="2" t="inlineStr">
        <is>
          <t>PED01366</t>
        </is>
      </c>
      <c r="C3444" s="2" t="inlineStr">
        <is>
          <t>P005</t>
        </is>
      </c>
      <c r="D3444" s="2" t="n">
        <v>1</v>
      </c>
      <c r="E3444" s="19" t="n">
        <v>0.02</v>
      </c>
    </row>
    <row r="3445">
      <c r="A3445" s="2" t="inlineStr">
        <is>
          <t>IT01366_02</t>
        </is>
      </c>
      <c r="B3445" s="2" t="inlineStr">
        <is>
          <t>PED01366</t>
        </is>
      </c>
      <c r="C3445" s="2" t="inlineStr">
        <is>
          <t>P029</t>
        </is>
      </c>
      <c r="D3445" s="2" t="n">
        <v>1</v>
      </c>
      <c r="E3445" s="19" t="n">
        <v>0</v>
      </c>
    </row>
    <row r="3446">
      <c r="A3446" s="2" t="inlineStr">
        <is>
          <t>IT01366_03</t>
        </is>
      </c>
      <c r="B3446" s="2" t="inlineStr">
        <is>
          <t>PED01366</t>
        </is>
      </c>
      <c r="C3446" s="2" t="inlineStr">
        <is>
          <t>P062</t>
        </is>
      </c>
      <c r="D3446" s="2" t="n">
        <v>2</v>
      </c>
      <c r="E3446" s="19" t="n">
        <v>0</v>
      </c>
    </row>
    <row r="3447">
      <c r="A3447" s="2" t="inlineStr">
        <is>
          <t>IT01366_04</t>
        </is>
      </c>
      <c r="B3447" s="2" t="inlineStr">
        <is>
          <t>PED01366</t>
        </is>
      </c>
      <c r="C3447" s="2" t="inlineStr">
        <is>
          <t>P069</t>
        </is>
      </c>
      <c r="D3447" s="2" t="n">
        <v>1</v>
      </c>
      <c r="E3447" s="19" t="n">
        <v>0</v>
      </c>
    </row>
    <row r="3448">
      <c r="A3448" s="2" t="inlineStr">
        <is>
          <t>IT01367_01</t>
        </is>
      </c>
      <c r="B3448" s="2" t="inlineStr">
        <is>
          <t>PED01367</t>
        </is>
      </c>
      <c r="C3448" s="2" t="inlineStr">
        <is>
          <t>P070</t>
        </is>
      </c>
      <c r="D3448" s="2" t="n">
        <v>3</v>
      </c>
      <c r="E3448" s="19" t="n">
        <v>0.1</v>
      </c>
    </row>
    <row r="3449">
      <c r="A3449" s="2" t="inlineStr">
        <is>
          <t>IT01367_02</t>
        </is>
      </c>
      <c r="B3449" s="2" t="inlineStr">
        <is>
          <t>PED01367</t>
        </is>
      </c>
      <c r="C3449" s="2" t="inlineStr">
        <is>
          <t>P058</t>
        </is>
      </c>
      <c r="D3449" s="2" t="n">
        <v>1</v>
      </c>
      <c r="E3449" s="19" t="n">
        <v>0</v>
      </c>
    </row>
    <row r="3450">
      <c r="A3450" s="2" t="inlineStr">
        <is>
          <t>IT01368_01</t>
        </is>
      </c>
      <c r="B3450" s="2" t="inlineStr">
        <is>
          <t>PED01368</t>
        </is>
      </c>
      <c r="C3450" s="2" t="inlineStr">
        <is>
          <t>P009</t>
        </is>
      </c>
      <c r="D3450" s="2" t="n">
        <v>4</v>
      </c>
      <c r="E3450" s="19" t="n">
        <v>0</v>
      </c>
    </row>
    <row r="3451">
      <c r="A3451" s="2" t="inlineStr">
        <is>
          <t>IT01368_02</t>
        </is>
      </c>
      <c r="B3451" s="2" t="inlineStr">
        <is>
          <t>PED01368</t>
        </is>
      </c>
      <c r="C3451" s="2" t="inlineStr">
        <is>
          <t>P048</t>
        </is>
      </c>
      <c r="D3451" s="2" t="n">
        <v>1</v>
      </c>
      <c r="E3451" s="19" t="n">
        <v>0</v>
      </c>
    </row>
    <row r="3452">
      <c r="A3452" s="2" t="inlineStr">
        <is>
          <t>IT01368_03</t>
        </is>
      </c>
      <c r="B3452" s="2" t="inlineStr">
        <is>
          <t>PED01368</t>
        </is>
      </c>
      <c r="C3452" s="2" t="inlineStr">
        <is>
          <t>P039</t>
        </is>
      </c>
      <c r="D3452" s="2" t="n">
        <v>2</v>
      </c>
      <c r="E3452" s="19" t="n">
        <v>0</v>
      </c>
    </row>
    <row r="3453">
      <c r="A3453" s="2" t="inlineStr">
        <is>
          <t>IT01369_01</t>
        </is>
      </c>
      <c r="B3453" s="2" t="inlineStr">
        <is>
          <t>PED01369</t>
        </is>
      </c>
      <c r="C3453" s="2" t="inlineStr">
        <is>
          <t>P067</t>
        </is>
      </c>
      <c r="D3453" s="2" t="n">
        <v>1</v>
      </c>
      <c r="E3453" s="19" t="n">
        <v>0</v>
      </c>
    </row>
    <row r="3454">
      <c r="A3454" s="2" t="inlineStr">
        <is>
          <t>IT01370_01</t>
        </is>
      </c>
      <c r="B3454" s="2" t="inlineStr">
        <is>
          <t>PED01370</t>
        </is>
      </c>
      <c r="C3454" s="2" t="inlineStr">
        <is>
          <t>P055</t>
        </is>
      </c>
      <c r="D3454" s="2" t="n">
        <v>4</v>
      </c>
      <c r="E3454" s="19" t="n">
        <v>0</v>
      </c>
    </row>
    <row r="3455">
      <c r="A3455" s="2" t="inlineStr">
        <is>
          <t>IT01370_02</t>
        </is>
      </c>
      <c r="B3455" s="2" t="inlineStr">
        <is>
          <t>PED01370</t>
        </is>
      </c>
      <c r="C3455" s="2" t="inlineStr">
        <is>
          <t>P005</t>
        </is>
      </c>
      <c r="D3455" s="2" t="n">
        <v>1</v>
      </c>
      <c r="E3455" s="19" t="n">
        <v>0</v>
      </c>
    </row>
    <row r="3456">
      <c r="A3456" s="2" t="inlineStr">
        <is>
          <t>IT01370_03</t>
        </is>
      </c>
      <c r="B3456" s="2" t="inlineStr">
        <is>
          <t>PED01370</t>
        </is>
      </c>
      <c r="C3456" s="2" t="inlineStr">
        <is>
          <t>P044</t>
        </is>
      </c>
      <c r="D3456" s="2" t="n">
        <v>2</v>
      </c>
      <c r="E3456" s="19" t="n">
        <v>0</v>
      </c>
    </row>
    <row r="3457">
      <c r="A3457" s="2" t="inlineStr">
        <is>
          <t>IT01371_01</t>
        </is>
      </c>
      <c r="B3457" s="2" t="inlineStr">
        <is>
          <t>PED01371</t>
        </is>
      </c>
      <c r="C3457" s="2" t="inlineStr">
        <is>
          <t>P061</t>
        </is>
      </c>
      <c r="D3457" s="2" t="n">
        <v>3</v>
      </c>
      <c r="E3457" s="19" t="n">
        <v>0</v>
      </c>
    </row>
    <row r="3458">
      <c r="A3458" s="2" t="inlineStr">
        <is>
          <t>IT01371_02</t>
        </is>
      </c>
      <c r="B3458" s="2" t="inlineStr">
        <is>
          <t>PED01371</t>
        </is>
      </c>
      <c r="C3458" s="2" t="inlineStr">
        <is>
          <t>P016</t>
        </is>
      </c>
      <c r="D3458" s="2" t="n">
        <v>4</v>
      </c>
      <c r="E3458" s="19" t="n">
        <v>0</v>
      </c>
    </row>
    <row r="3459">
      <c r="A3459" s="2" t="inlineStr">
        <is>
          <t>IT01371_03</t>
        </is>
      </c>
      <c r="B3459" s="2" t="inlineStr">
        <is>
          <t>PED01371</t>
        </is>
      </c>
      <c r="C3459" s="2" t="inlineStr">
        <is>
          <t>P018</t>
        </is>
      </c>
      <c r="D3459" s="2" t="n">
        <v>2</v>
      </c>
      <c r="E3459" s="19" t="n">
        <v>0</v>
      </c>
    </row>
    <row r="3460">
      <c r="A3460" s="2" t="inlineStr">
        <is>
          <t>IT01371_04</t>
        </is>
      </c>
      <c r="B3460" s="2" t="inlineStr">
        <is>
          <t>PED01371</t>
        </is>
      </c>
      <c r="C3460" s="2" t="inlineStr">
        <is>
          <t>P024</t>
        </is>
      </c>
      <c r="D3460" s="2" t="n">
        <v>1</v>
      </c>
      <c r="E3460" s="19" t="n">
        <v>0</v>
      </c>
    </row>
    <row r="3461">
      <c r="A3461" s="2" t="inlineStr">
        <is>
          <t>IT01372_01</t>
        </is>
      </c>
      <c r="B3461" s="2" t="inlineStr">
        <is>
          <t>PED01372</t>
        </is>
      </c>
      <c r="C3461" s="2" t="inlineStr">
        <is>
          <t>P006</t>
        </is>
      </c>
      <c r="D3461" s="2" t="n">
        <v>3</v>
      </c>
      <c r="E3461" s="19" t="n">
        <v>0</v>
      </c>
    </row>
    <row r="3462">
      <c r="A3462" s="2" t="inlineStr">
        <is>
          <t>IT01372_02</t>
        </is>
      </c>
      <c r="B3462" s="2" t="inlineStr">
        <is>
          <t>PED01372</t>
        </is>
      </c>
      <c r="C3462" s="2" t="inlineStr">
        <is>
          <t>P050</t>
        </is>
      </c>
      <c r="D3462" s="2" t="n">
        <v>1</v>
      </c>
      <c r="E3462" s="19" t="n">
        <v>0.02</v>
      </c>
    </row>
    <row r="3463">
      <c r="A3463" s="2" t="inlineStr">
        <is>
          <t>IT01372_03</t>
        </is>
      </c>
      <c r="B3463" s="2" t="inlineStr">
        <is>
          <t>PED01372</t>
        </is>
      </c>
      <c r="C3463" s="2" t="inlineStr">
        <is>
          <t>P061</t>
        </is>
      </c>
      <c r="D3463" s="2" t="n">
        <v>1</v>
      </c>
      <c r="E3463" s="19" t="n">
        <v>0</v>
      </c>
    </row>
    <row r="3464">
      <c r="A3464" s="2" t="inlineStr">
        <is>
          <t>IT01373_01</t>
        </is>
      </c>
      <c r="B3464" s="2" t="inlineStr">
        <is>
          <t>PED01373</t>
        </is>
      </c>
      <c r="C3464" s="2" t="inlineStr">
        <is>
          <t>P042</t>
        </is>
      </c>
      <c r="D3464" s="2" t="n">
        <v>1</v>
      </c>
      <c r="E3464" s="19" t="n">
        <v>0</v>
      </c>
    </row>
    <row r="3465">
      <c r="A3465" s="2" t="inlineStr">
        <is>
          <t>IT01373_02</t>
        </is>
      </c>
      <c r="B3465" s="2" t="inlineStr">
        <is>
          <t>PED01373</t>
        </is>
      </c>
      <c r="C3465" s="2" t="inlineStr">
        <is>
          <t>P003</t>
        </is>
      </c>
      <c r="D3465" s="2" t="n">
        <v>2</v>
      </c>
      <c r="E3465" s="19" t="n">
        <v>0</v>
      </c>
    </row>
    <row r="3466">
      <c r="A3466" s="2" t="inlineStr">
        <is>
          <t>IT01373_03</t>
        </is>
      </c>
      <c r="B3466" s="2" t="inlineStr">
        <is>
          <t>PED01373</t>
        </is>
      </c>
      <c r="C3466" s="2" t="inlineStr">
        <is>
          <t>P039</t>
        </is>
      </c>
      <c r="D3466" s="2" t="n">
        <v>4</v>
      </c>
      <c r="E3466" s="19" t="n">
        <v>0</v>
      </c>
    </row>
    <row r="3467">
      <c r="A3467" s="2" t="inlineStr">
        <is>
          <t>IT01373_04</t>
        </is>
      </c>
      <c r="B3467" s="2" t="inlineStr">
        <is>
          <t>PED01373</t>
        </is>
      </c>
      <c r="C3467" s="2" t="inlineStr">
        <is>
          <t>P018</t>
        </is>
      </c>
      <c r="D3467" s="2" t="n">
        <v>3</v>
      </c>
      <c r="E3467" s="19" t="n">
        <v>0</v>
      </c>
    </row>
    <row r="3468">
      <c r="A3468" s="2" t="inlineStr">
        <is>
          <t>IT01374_01</t>
        </is>
      </c>
      <c r="B3468" s="2" t="inlineStr">
        <is>
          <t>PED01374</t>
        </is>
      </c>
      <c r="C3468" s="2" t="inlineStr">
        <is>
          <t>P009</t>
        </is>
      </c>
      <c r="D3468" s="2" t="n">
        <v>1</v>
      </c>
      <c r="E3468" s="19" t="n">
        <v>0</v>
      </c>
    </row>
    <row r="3469">
      <c r="A3469" s="2" t="inlineStr">
        <is>
          <t>IT01375_01</t>
        </is>
      </c>
      <c r="B3469" s="2" t="inlineStr">
        <is>
          <t>PED01375</t>
        </is>
      </c>
      <c r="C3469" s="2" t="inlineStr">
        <is>
          <t>P066</t>
        </is>
      </c>
      <c r="D3469" s="2" t="n">
        <v>5</v>
      </c>
      <c r="E3469" s="19" t="n">
        <v>0</v>
      </c>
    </row>
    <row r="3470">
      <c r="A3470" s="2" t="inlineStr">
        <is>
          <t>IT01375_02</t>
        </is>
      </c>
      <c r="B3470" s="2" t="inlineStr">
        <is>
          <t>PED01375</t>
        </is>
      </c>
      <c r="C3470" s="2" t="inlineStr">
        <is>
          <t>P011</t>
        </is>
      </c>
      <c r="D3470" s="2" t="n">
        <v>2</v>
      </c>
      <c r="E3470" s="19" t="n">
        <v>0</v>
      </c>
    </row>
    <row r="3471">
      <c r="A3471" s="2" t="inlineStr">
        <is>
          <t>IT01375_03</t>
        </is>
      </c>
      <c r="B3471" s="2" t="inlineStr">
        <is>
          <t>PED01375</t>
        </is>
      </c>
      <c r="C3471" s="2" t="inlineStr">
        <is>
          <t>P069</t>
        </is>
      </c>
      <c r="D3471" s="2" t="n">
        <v>1</v>
      </c>
      <c r="E3471" s="19" t="n">
        <v>0.05</v>
      </c>
    </row>
    <row r="3472">
      <c r="A3472" s="2" t="inlineStr">
        <is>
          <t>IT01376_01</t>
        </is>
      </c>
      <c r="B3472" s="2" t="inlineStr">
        <is>
          <t>PED01376</t>
        </is>
      </c>
      <c r="C3472" s="2" t="inlineStr">
        <is>
          <t>P040</t>
        </is>
      </c>
      <c r="D3472" s="2" t="n">
        <v>1</v>
      </c>
      <c r="E3472" s="19" t="n">
        <v>0</v>
      </c>
    </row>
    <row r="3473">
      <c r="A3473" s="2" t="inlineStr">
        <is>
          <t>IT01376_02</t>
        </is>
      </c>
      <c r="B3473" s="2" t="inlineStr">
        <is>
          <t>PED01376</t>
        </is>
      </c>
      <c r="C3473" s="2" t="inlineStr">
        <is>
          <t>P034</t>
        </is>
      </c>
      <c r="D3473" s="2" t="n">
        <v>1</v>
      </c>
      <c r="E3473" s="19" t="n">
        <v>0</v>
      </c>
    </row>
    <row r="3474">
      <c r="A3474" s="2" t="inlineStr">
        <is>
          <t>IT01377_01</t>
        </is>
      </c>
      <c r="B3474" s="2" t="inlineStr">
        <is>
          <t>PED01377</t>
        </is>
      </c>
      <c r="C3474" s="2" t="inlineStr">
        <is>
          <t>P039</t>
        </is>
      </c>
      <c r="D3474" s="2" t="n">
        <v>3</v>
      </c>
      <c r="E3474" s="19" t="n">
        <v>0</v>
      </c>
    </row>
    <row r="3475">
      <c r="A3475" s="2" t="inlineStr">
        <is>
          <t>IT01377_02</t>
        </is>
      </c>
      <c r="B3475" s="2" t="inlineStr">
        <is>
          <t>PED01377</t>
        </is>
      </c>
      <c r="C3475" s="2" t="inlineStr">
        <is>
          <t>P003</t>
        </is>
      </c>
      <c r="D3475" s="2" t="n">
        <v>1</v>
      </c>
      <c r="E3475" s="19" t="n">
        <v>0</v>
      </c>
    </row>
    <row r="3476">
      <c r="A3476" s="2" t="inlineStr">
        <is>
          <t>IT01377_03</t>
        </is>
      </c>
      <c r="B3476" s="2" t="inlineStr">
        <is>
          <t>PED01377</t>
        </is>
      </c>
      <c r="C3476" s="2" t="inlineStr">
        <is>
          <t>P015</t>
        </is>
      </c>
      <c r="D3476" s="2" t="n">
        <v>1</v>
      </c>
      <c r="E3476" s="19" t="n">
        <v>0</v>
      </c>
    </row>
    <row r="3477">
      <c r="A3477" s="2" t="inlineStr">
        <is>
          <t>IT01377_04</t>
        </is>
      </c>
      <c r="B3477" s="2" t="inlineStr">
        <is>
          <t>PED01377</t>
        </is>
      </c>
      <c r="C3477" s="2" t="inlineStr">
        <is>
          <t>P037</t>
        </is>
      </c>
      <c r="D3477" s="2" t="n">
        <v>2</v>
      </c>
      <c r="E3477" s="19" t="n">
        <v>0.05</v>
      </c>
    </row>
    <row r="3478">
      <c r="A3478" s="2" t="inlineStr">
        <is>
          <t>IT01377_05</t>
        </is>
      </c>
      <c r="B3478" s="2" t="inlineStr">
        <is>
          <t>PED01377</t>
        </is>
      </c>
      <c r="C3478" s="2" t="inlineStr">
        <is>
          <t>P046</t>
        </is>
      </c>
      <c r="D3478" s="2" t="n">
        <v>2</v>
      </c>
      <c r="E3478" s="19" t="n">
        <v>0</v>
      </c>
    </row>
    <row r="3479">
      <c r="A3479" s="2" t="inlineStr">
        <is>
          <t>IT01378_01</t>
        </is>
      </c>
      <c r="B3479" s="2" t="inlineStr">
        <is>
          <t>PED01378</t>
        </is>
      </c>
      <c r="C3479" s="2" t="inlineStr">
        <is>
          <t>P036</t>
        </is>
      </c>
      <c r="D3479" s="2" t="n">
        <v>3</v>
      </c>
      <c r="E3479" s="19" t="n">
        <v>0.02</v>
      </c>
    </row>
    <row r="3480">
      <c r="A3480" s="2" t="inlineStr">
        <is>
          <t>IT01378_02</t>
        </is>
      </c>
      <c r="B3480" s="2" t="inlineStr">
        <is>
          <t>PED01378</t>
        </is>
      </c>
      <c r="C3480" s="2" t="inlineStr">
        <is>
          <t>P032</t>
        </is>
      </c>
      <c r="D3480" s="2" t="n">
        <v>3</v>
      </c>
      <c r="E3480" s="19" t="n">
        <v>0.02</v>
      </c>
    </row>
    <row r="3481">
      <c r="A3481" s="2" t="inlineStr">
        <is>
          <t>IT01379_01</t>
        </is>
      </c>
      <c r="B3481" s="2" t="inlineStr">
        <is>
          <t>PED01379</t>
        </is>
      </c>
      <c r="C3481" s="2" t="inlineStr">
        <is>
          <t>P049</t>
        </is>
      </c>
      <c r="D3481" s="2" t="n">
        <v>2</v>
      </c>
      <c r="E3481" s="19" t="n">
        <v>0.02</v>
      </c>
    </row>
    <row r="3482">
      <c r="A3482" s="2" t="inlineStr">
        <is>
          <t>IT01379_02</t>
        </is>
      </c>
      <c r="B3482" s="2" t="inlineStr">
        <is>
          <t>PED01379</t>
        </is>
      </c>
      <c r="C3482" s="2" t="inlineStr">
        <is>
          <t>P035</t>
        </is>
      </c>
      <c r="D3482" s="2" t="n">
        <v>1</v>
      </c>
      <c r="E3482" s="19" t="n">
        <v>0</v>
      </c>
    </row>
    <row r="3483">
      <c r="A3483" s="2" t="inlineStr">
        <is>
          <t>IT01380_01</t>
        </is>
      </c>
      <c r="B3483" s="2" t="inlineStr">
        <is>
          <t>PED01380</t>
        </is>
      </c>
      <c r="C3483" s="2" t="inlineStr">
        <is>
          <t>P019</t>
        </is>
      </c>
      <c r="D3483" s="2" t="n">
        <v>1</v>
      </c>
      <c r="E3483" s="19" t="n">
        <v>0</v>
      </c>
    </row>
    <row r="3484">
      <c r="A3484" s="2" t="inlineStr">
        <is>
          <t>IT01380_02</t>
        </is>
      </c>
      <c r="B3484" s="2" t="inlineStr">
        <is>
          <t>PED01380</t>
        </is>
      </c>
      <c r="C3484" s="2" t="inlineStr">
        <is>
          <t>P066</t>
        </is>
      </c>
      <c r="D3484" s="2" t="n">
        <v>2</v>
      </c>
      <c r="E3484" s="19" t="n">
        <v>0</v>
      </c>
    </row>
    <row r="3485">
      <c r="A3485" s="2" t="inlineStr">
        <is>
          <t>IT01380_03</t>
        </is>
      </c>
      <c r="B3485" s="2" t="inlineStr">
        <is>
          <t>PED01380</t>
        </is>
      </c>
      <c r="C3485" s="2" t="inlineStr">
        <is>
          <t>P012</t>
        </is>
      </c>
      <c r="D3485" s="2" t="n">
        <v>2</v>
      </c>
      <c r="E3485" s="19" t="n">
        <v>0.05</v>
      </c>
    </row>
    <row r="3486">
      <c r="A3486" s="2" t="inlineStr">
        <is>
          <t>IT01381_01</t>
        </is>
      </c>
      <c r="B3486" s="2" t="inlineStr">
        <is>
          <t>PED01381</t>
        </is>
      </c>
      <c r="C3486" s="2" t="inlineStr">
        <is>
          <t>P070</t>
        </is>
      </c>
      <c r="D3486" s="2" t="n">
        <v>2</v>
      </c>
      <c r="E3486" s="19" t="n">
        <v>0.05</v>
      </c>
    </row>
    <row r="3487">
      <c r="A3487" s="2" t="inlineStr">
        <is>
          <t>IT01381_02</t>
        </is>
      </c>
      <c r="B3487" s="2" t="inlineStr">
        <is>
          <t>PED01381</t>
        </is>
      </c>
      <c r="C3487" s="2" t="inlineStr">
        <is>
          <t>P005</t>
        </is>
      </c>
      <c r="D3487" s="2" t="n">
        <v>5</v>
      </c>
      <c r="E3487" s="19" t="n">
        <v>0</v>
      </c>
    </row>
    <row r="3488">
      <c r="A3488" s="2" t="inlineStr">
        <is>
          <t>IT01382_01</t>
        </is>
      </c>
      <c r="B3488" s="2" t="inlineStr">
        <is>
          <t>PED01382</t>
        </is>
      </c>
      <c r="C3488" s="2" t="inlineStr">
        <is>
          <t>P038</t>
        </is>
      </c>
      <c r="D3488" s="2" t="n">
        <v>3</v>
      </c>
      <c r="E3488" s="19" t="n">
        <v>0.05</v>
      </c>
    </row>
    <row r="3489">
      <c r="A3489" s="2" t="inlineStr">
        <is>
          <t>IT01383_01</t>
        </is>
      </c>
      <c r="B3489" s="2" t="inlineStr">
        <is>
          <t>PED01383</t>
        </is>
      </c>
      <c r="C3489" s="2" t="inlineStr">
        <is>
          <t>P024</t>
        </is>
      </c>
      <c r="D3489" s="2" t="n">
        <v>1</v>
      </c>
      <c r="E3489" s="19" t="n">
        <v>0</v>
      </c>
    </row>
    <row r="3490">
      <c r="A3490" s="2" t="inlineStr">
        <is>
          <t>IT01383_02</t>
        </is>
      </c>
      <c r="B3490" s="2" t="inlineStr">
        <is>
          <t>PED01383</t>
        </is>
      </c>
      <c r="C3490" s="2" t="inlineStr">
        <is>
          <t>P060</t>
        </is>
      </c>
      <c r="D3490" s="2" t="n">
        <v>5</v>
      </c>
      <c r="E3490" s="19" t="n">
        <v>0.02</v>
      </c>
    </row>
    <row r="3491">
      <c r="A3491" s="2" t="inlineStr">
        <is>
          <t>IT01383_03</t>
        </is>
      </c>
      <c r="B3491" s="2" t="inlineStr">
        <is>
          <t>PED01383</t>
        </is>
      </c>
      <c r="C3491" s="2" t="inlineStr">
        <is>
          <t>P036</t>
        </is>
      </c>
      <c r="D3491" s="2" t="n">
        <v>3</v>
      </c>
      <c r="E3491" s="19" t="n">
        <v>0.05</v>
      </c>
    </row>
    <row r="3492">
      <c r="A3492" s="2" t="inlineStr">
        <is>
          <t>IT01383_04</t>
        </is>
      </c>
      <c r="B3492" s="2" t="inlineStr">
        <is>
          <t>PED01383</t>
        </is>
      </c>
      <c r="C3492" s="2" t="inlineStr">
        <is>
          <t>P012</t>
        </is>
      </c>
      <c r="D3492" s="2" t="n">
        <v>1</v>
      </c>
      <c r="E3492" s="19" t="n">
        <v>0</v>
      </c>
    </row>
    <row r="3493">
      <c r="A3493" s="2" t="inlineStr">
        <is>
          <t>IT01383_05</t>
        </is>
      </c>
      <c r="B3493" s="2" t="inlineStr">
        <is>
          <t>PED01383</t>
        </is>
      </c>
      <c r="C3493" s="2" t="inlineStr">
        <is>
          <t>P010</t>
        </is>
      </c>
      <c r="D3493" s="2" t="n">
        <v>3</v>
      </c>
      <c r="E3493" s="19" t="n">
        <v>0</v>
      </c>
    </row>
    <row r="3494">
      <c r="A3494" s="2" t="inlineStr">
        <is>
          <t>IT01384_01</t>
        </is>
      </c>
      <c r="B3494" s="2" t="inlineStr">
        <is>
          <t>PED01384</t>
        </is>
      </c>
      <c r="C3494" s="2" t="inlineStr">
        <is>
          <t>P008</t>
        </is>
      </c>
      <c r="D3494" s="2" t="n">
        <v>2</v>
      </c>
      <c r="E3494" s="19" t="n">
        <v>0.05</v>
      </c>
    </row>
    <row r="3495">
      <c r="A3495" s="2" t="inlineStr">
        <is>
          <t>IT01385_01</t>
        </is>
      </c>
      <c r="B3495" s="2" t="inlineStr">
        <is>
          <t>PED01385</t>
        </is>
      </c>
      <c r="C3495" s="2" t="inlineStr">
        <is>
          <t>P024</t>
        </is>
      </c>
      <c r="D3495" s="2" t="n">
        <v>1</v>
      </c>
      <c r="E3495" s="19" t="n">
        <v>0</v>
      </c>
    </row>
    <row r="3496">
      <c r="A3496" s="2" t="inlineStr">
        <is>
          <t>IT01385_02</t>
        </is>
      </c>
      <c r="B3496" s="2" t="inlineStr">
        <is>
          <t>PED01385</t>
        </is>
      </c>
      <c r="C3496" s="2" t="inlineStr">
        <is>
          <t>P033</t>
        </is>
      </c>
      <c r="D3496" s="2" t="n">
        <v>3</v>
      </c>
      <c r="E3496" s="19" t="n">
        <v>0</v>
      </c>
    </row>
    <row r="3497">
      <c r="A3497" s="2" t="inlineStr">
        <is>
          <t>IT01386_01</t>
        </is>
      </c>
      <c r="B3497" s="2" t="inlineStr">
        <is>
          <t>PED01386</t>
        </is>
      </c>
      <c r="C3497" s="2" t="inlineStr">
        <is>
          <t>P019</t>
        </is>
      </c>
      <c r="D3497" s="2" t="n">
        <v>1</v>
      </c>
      <c r="E3497" s="19" t="n">
        <v>0</v>
      </c>
    </row>
    <row r="3498">
      <c r="A3498" s="2" t="inlineStr">
        <is>
          <t>IT01386_02</t>
        </is>
      </c>
      <c r="B3498" s="2" t="inlineStr">
        <is>
          <t>PED01386</t>
        </is>
      </c>
      <c r="C3498" s="2" t="inlineStr">
        <is>
          <t>P039</t>
        </is>
      </c>
      <c r="D3498" s="2" t="n">
        <v>1</v>
      </c>
      <c r="E3498" s="19" t="n">
        <v>0.05</v>
      </c>
    </row>
    <row r="3499">
      <c r="A3499" s="2" t="inlineStr">
        <is>
          <t>IT01386_03</t>
        </is>
      </c>
      <c r="B3499" s="2" t="inlineStr">
        <is>
          <t>PED01386</t>
        </is>
      </c>
      <c r="C3499" s="2" t="inlineStr">
        <is>
          <t>P021</t>
        </is>
      </c>
      <c r="D3499" s="2" t="n">
        <v>5</v>
      </c>
      <c r="E3499" s="19" t="n">
        <v>0</v>
      </c>
    </row>
    <row r="3500">
      <c r="A3500" s="2" t="inlineStr">
        <is>
          <t>IT01386_04</t>
        </is>
      </c>
      <c r="B3500" s="2" t="inlineStr">
        <is>
          <t>PED01386</t>
        </is>
      </c>
      <c r="C3500" s="2" t="inlineStr">
        <is>
          <t>P048</t>
        </is>
      </c>
      <c r="D3500" s="2" t="n">
        <v>1</v>
      </c>
      <c r="E3500" s="19" t="n">
        <v>0</v>
      </c>
    </row>
    <row r="3501">
      <c r="A3501" s="2" t="inlineStr">
        <is>
          <t>IT01386_05</t>
        </is>
      </c>
      <c r="B3501" s="2" t="inlineStr">
        <is>
          <t>PED01386</t>
        </is>
      </c>
      <c r="C3501" s="2" t="inlineStr">
        <is>
          <t>P028</t>
        </is>
      </c>
      <c r="D3501" s="2" t="n">
        <v>4</v>
      </c>
      <c r="E3501" s="19" t="n">
        <v>0</v>
      </c>
    </row>
    <row r="3502">
      <c r="A3502" s="2" t="inlineStr">
        <is>
          <t>IT01387_01</t>
        </is>
      </c>
      <c r="B3502" s="2" t="inlineStr">
        <is>
          <t>PED01387</t>
        </is>
      </c>
      <c r="C3502" s="2" t="inlineStr">
        <is>
          <t>P038</t>
        </is>
      </c>
      <c r="D3502" s="2" t="n">
        <v>1</v>
      </c>
      <c r="E3502" s="19" t="n">
        <v>0</v>
      </c>
    </row>
    <row r="3503">
      <c r="A3503" s="2" t="inlineStr">
        <is>
          <t>IT01388_01</t>
        </is>
      </c>
      <c r="B3503" s="2" t="inlineStr">
        <is>
          <t>PED01388</t>
        </is>
      </c>
      <c r="C3503" s="2" t="inlineStr">
        <is>
          <t>P011</t>
        </is>
      </c>
      <c r="D3503" s="2" t="n">
        <v>3</v>
      </c>
      <c r="E3503" s="19" t="n">
        <v>0.02</v>
      </c>
    </row>
    <row r="3504">
      <c r="A3504" s="2" t="inlineStr">
        <is>
          <t>IT01388_02</t>
        </is>
      </c>
      <c r="B3504" s="2" t="inlineStr">
        <is>
          <t>PED01388</t>
        </is>
      </c>
      <c r="C3504" s="2" t="inlineStr">
        <is>
          <t>P069</t>
        </is>
      </c>
      <c r="D3504" s="2" t="n">
        <v>3</v>
      </c>
      <c r="E3504" s="19" t="n">
        <v>0</v>
      </c>
    </row>
    <row r="3505">
      <c r="A3505" s="2" t="inlineStr">
        <is>
          <t>IT01389_01</t>
        </is>
      </c>
      <c r="B3505" s="2" t="inlineStr">
        <is>
          <t>PED01389</t>
        </is>
      </c>
      <c r="C3505" s="2" t="inlineStr">
        <is>
          <t>P019</t>
        </is>
      </c>
      <c r="D3505" s="2" t="n">
        <v>1</v>
      </c>
      <c r="E3505" s="19" t="n">
        <v>0.02</v>
      </c>
    </row>
    <row r="3506">
      <c r="A3506" s="2" t="inlineStr">
        <is>
          <t>IT01389_02</t>
        </is>
      </c>
      <c r="B3506" s="2" t="inlineStr">
        <is>
          <t>PED01389</t>
        </is>
      </c>
      <c r="C3506" s="2" t="inlineStr">
        <is>
          <t>P016</t>
        </is>
      </c>
      <c r="D3506" s="2" t="n">
        <v>2</v>
      </c>
      <c r="E3506" s="19" t="n">
        <v>0</v>
      </c>
    </row>
    <row r="3507">
      <c r="A3507" s="2" t="inlineStr">
        <is>
          <t>IT01390_01</t>
        </is>
      </c>
      <c r="B3507" s="2" t="inlineStr">
        <is>
          <t>PED01390</t>
        </is>
      </c>
      <c r="C3507" s="2" t="inlineStr">
        <is>
          <t>P017</t>
        </is>
      </c>
      <c r="D3507" s="2" t="n">
        <v>1</v>
      </c>
      <c r="E3507" s="19" t="n">
        <v>0</v>
      </c>
    </row>
    <row r="3508">
      <c r="A3508" s="2" t="inlineStr">
        <is>
          <t>IT01391_01</t>
        </is>
      </c>
      <c r="B3508" s="2" t="inlineStr">
        <is>
          <t>PED01391</t>
        </is>
      </c>
      <c r="C3508" s="2" t="inlineStr">
        <is>
          <t>P063</t>
        </is>
      </c>
      <c r="D3508" s="2" t="n">
        <v>1</v>
      </c>
      <c r="E3508" s="19" t="n">
        <v>0</v>
      </c>
    </row>
    <row r="3509">
      <c r="A3509" s="2" t="inlineStr">
        <is>
          <t>IT01391_02</t>
        </is>
      </c>
      <c r="B3509" s="2" t="inlineStr">
        <is>
          <t>PED01391</t>
        </is>
      </c>
      <c r="C3509" s="2" t="inlineStr">
        <is>
          <t>P023</t>
        </is>
      </c>
      <c r="D3509" s="2" t="n">
        <v>1</v>
      </c>
      <c r="E3509" s="19" t="n">
        <v>0</v>
      </c>
    </row>
    <row r="3510">
      <c r="A3510" s="2" t="inlineStr">
        <is>
          <t>IT01392_01</t>
        </is>
      </c>
      <c r="B3510" s="2" t="inlineStr">
        <is>
          <t>PED01392</t>
        </is>
      </c>
      <c r="C3510" s="2" t="inlineStr">
        <is>
          <t>P051</t>
        </is>
      </c>
      <c r="D3510" s="2" t="n">
        <v>5</v>
      </c>
      <c r="E3510" s="19" t="n">
        <v>0.05</v>
      </c>
    </row>
    <row r="3511">
      <c r="A3511" s="2" t="inlineStr">
        <is>
          <t>IT01392_02</t>
        </is>
      </c>
      <c r="B3511" s="2" t="inlineStr">
        <is>
          <t>PED01392</t>
        </is>
      </c>
      <c r="C3511" s="2" t="inlineStr">
        <is>
          <t>P010</t>
        </is>
      </c>
      <c r="D3511" s="2" t="n">
        <v>2</v>
      </c>
      <c r="E3511" s="19" t="n">
        <v>0</v>
      </c>
    </row>
    <row r="3512">
      <c r="A3512" s="2" t="inlineStr">
        <is>
          <t>IT01393_01</t>
        </is>
      </c>
      <c r="B3512" s="2" t="inlineStr">
        <is>
          <t>PED01393</t>
        </is>
      </c>
      <c r="C3512" s="2" t="inlineStr">
        <is>
          <t>P020</t>
        </is>
      </c>
      <c r="D3512" s="2" t="n">
        <v>1</v>
      </c>
      <c r="E3512" s="19" t="n">
        <v>0</v>
      </c>
    </row>
    <row r="3513">
      <c r="A3513" s="2" t="inlineStr">
        <is>
          <t>IT01393_02</t>
        </is>
      </c>
      <c r="B3513" s="2" t="inlineStr">
        <is>
          <t>PED01393</t>
        </is>
      </c>
      <c r="C3513" s="2" t="inlineStr">
        <is>
          <t>P032</t>
        </is>
      </c>
      <c r="D3513" s="2" t="n">
        <v>2</v>
      </c>
      <c r="E3513" s="19" t="n">
        <v>0.1</v>
      </c>
    </row>
    <row r="3514">
      <c r="A3514" s="2" t="inlineStr">
        <is>
          <t>IT01393_03</t>
        </is>
      </c>
      <c r="B3514" s="2" t="inlineStr">
        <is>
          <t>PED01393</t>
        </is>
      </c>
      <c r="C3514" s="2" t="inlineStr">
        <is>
          <t>P028</t>
        </is>
      </c>
      <c r="D3514" s="2" t="n">
        <v>2</v>
      </c>
      <c r="E3514" s="19" t="n">
        <v>0</v>
      </c>
    </row>
    <row r="3515">
      <c r="A3515" s="2" t="inlineStr">
        <is>
          <t>IT01394_01</t>
        </is>
      </c>
      <c r="B3515" s="2" t="inlineStr">
        <is>
          <t>PED01394</t>
        </is>
      </c>
      <c r="C3515" s="2" t="inlineStr">
        <is>
          <t>P033</t>
        </is>
      </c>
      <c r="D3515" s="2" t="n">
        <v>2</v>
      </c>
      <c r="E3515" s="19" t="n">
        <v>0</v>
      </c>
    </row>
    <row r="3516">
      <c r="A3516" s="2" t="inlineStr">
        <is>
          <t>IT01395_01</t>
        </is>
      </c>
      <c r="B3516" s="2" t="inlineStr">
        <is>
          <t>PED01395</t>
        </is>
      </c>
      <c r="C3516" s="2" t="inlineStr">
        <is>
          <t>P011</t>
        </is>
      </c>
      <c r="D3516" s="2" t="n">
        <v>1</v>
      </c>
      <c r="E3516" s="19" t="n">
        <v>0</v>
      </c>
    </row>
    <row r="3517">
      <c r="A3517" s="2" t="inlineStr">
        <is>
          <t>IT01396_01</t>
        </is>
      </c>
      <c r="B3517" s="2" t="inlineStr">
        <is>
          <t>PED01396</t>
        </is>
      </c>
      <c r="C3517" s="2" t="inlineStr">
        <is>
          <t>P060</t>
        </is>
      </c>
      <c r="D3517" s="2" t="n">
        <v>3</v>
      </c>
      <c r="E3517" s="19" t="n">
        <v>0.02</v>
      </c>
    </row>
    <row r="3518">
      <c r="A3518" s="2" t="inlineStr">
        <is>
          <t>IT01396_02</t>
        </is>
      </c>
      <c r="B3518" s="2" t="inlineStr">
        <is>
          <t>PED01396</t>
        </is>
      </c>
      <c r="C3518" s="2" t="inlineStr">
        <is>
          <t>P052</t>
        </is>
      </c>
      <c r="D3518" s="2" t="n">
        <v>4</v>
      </c>
      <c r="E3518" s="19" t="n">
        <v>0.05</v>
      </c>
    </row>
    <row r="3519">
      <c r="A3519" s="2" t="inlineStr">
        <is>
          <t>IT01396_03</t>
        </is>
      </c>
      <c r="B3519" s="2" t="inlineStr">
        <is>
          <t>PED01396</t>
        </is>
      </c>
      <c r="C3519" s="2" t="inlineStr">
        <is>
          <t>P019</t>
        </is>
      </c>
      <c r="D3519" s="2" t="n">
        <v>3</v>
      </c>
      <c r="E3519" s="19" t="n">
        <v>0</v>
      </c>
    </row>
    <row r="3520">
      <c r="A3520" s="2" t="inlineStr">
        <is>
          <t>IT01396_04</t>
        </is>
      </c>
      <c r="B3520" s="2" t="inlineStr">
        <is>
          <t>PED01396</t>
        </is>
      </c>
      <c r="C3520" s="2" t="inlineStr">
        <is>
          <t>P009</t>
        </is>
      </c>
      <c r="D3520" s="2" t="n">
        <v>1</v>
      </c>
      <c r="E3520" s="19" t="n">
        <v>0</v>
      </c>
    </row>
    <row r="3521">
      <c r="A3521" s="2" t="inlineStr">
        <is>
          <t>IT01396_05</t>
        </is>
      </c>
      <c r="B3521" s="2" t="inlineStr">
        <is>
          <t>PED01396</t>
        </is>
      </c>
      <c r="C3521" s="2" t="inlineStr">
        <is>
          <t>P040</t>
        </is>
      </c>
      <c r="D3521" s="2" t="n">
        <v>1</v>
      </c>
      <c r="E3521" s="19" t="n">
        <v>0.05</v>
      </c>
    </row>
    <row r="3522">
      <c r="A3522" s="2" t="inlineStr">
        <is>
          <t>IT01397_01</t>
        </is>
      </c>
      <c r="B3522" s="2" t="inlineStr">
        <is>
          <t>PED01397</t>
        </is>
      </c>
      <c r="C3522" s="2" t="inlineStr">
        <is>
          <t>P070</t>
        </is>
      </c>
      <c r="D3522" s="2" t="n">
        <v>2</v>
      </c>
      <c r="E3522" s="19" t="n">
        <v>0</v>
      </c>
    </row>
    <row r="3523">
      <c r="A3523" s="2" t="inlineStr">
        <is>
          <t>IT01398_01</t>
        </is>
      </c>
      <c r="B3523" s="2" t="inlineStr">
        <is>
          <t>PED01398</t>
        </is>
      </c>
      <c r="C3523" s="2" t="inlineStr">
        <is>
          <t>P002</t>
        </is>
      </c>
      <c r="D3523" s="2" t="n">
        <v>1</v>
      </c>
      <c r="E3523" s="19" t="n">
        <v>0.1</v>
      </c>
    </row>
    <row r="3524">
      <c r="A3524" s="2" t="inlineStr">
        <is>
          <t>IT01399_01</t>
        </is>
      </c>
      <c r="B3524" s="2" t="inlineStr">
        <is>
          <t>PED01399</t>
        </is>
      </c>
      <c r="C3524" s="2" t="inlineStr">
        <is>
          <t>P063</t>
        </is>
      </c>
      <c r="D3524" s="2" t="n">
        <v>10</v>
      </c>
      <c r="E3524" s="19" t="n">
        <v>0</v>
      </c>
    </row>
    <row r="3525">
      <c r="A3525" s="2" t="inlineStr">
        <is>
          <t>IT01400_01</t>
        </is>
      </c>
      <c r="B3525" s="2" t="inlineStr">
        <is>
          <t>PED01400</t>
        </is>
      </c>
      <c r="C3525" s="2" t="inlineStr">
        <is>
          <t>P070</t>
        </is>
      </c>
      <c r="D3525" s="2" t="n">
        <v>1</v>
      </c>
      <c r="E3525" s="19" t="n">
        <v>0</v>
      </c>
    </row>
    <row r="3526">
      <c r="A3526" s="2" t="inlineStr">
        <is>
          <t>IT01400_02</t>
        </is>
      </c>
      <c r="B3526" s="2" t="inlineStr">
        <is>
          <t>PED01400</t>
        </is>
      </c>
      <c r="C3526" s="2" t="inlineStr">
        <is>
          <t>P005</t>
        </is>
      </c>
      <c r="D3526" s="2" t="n">
        <v>2</v>
      </c>
      <c r="E3526" s="19" t="n">
        <v>0</v>
      </c>
    </row>
    <row r="3527">
      <c r="A3527" s="2" t="inlineStr">
        <is>
          <t>IT01400_03</t>
        </is>
      </c>
      <c r="B3527" s="2" t="inlineStr">
        <is>
          <t>PED01400</t>
        </is>
      </c>
      <c r="C3527" s="2" t="inlineStr">
        <is>
          <t>P048</t>
        </is>
      </c>
      <c r="D3527" s="2" t="n">
        <v>2</v>
      </c>
      <c r="E3527" s="19" t="n">
        <v>0</v>
      </c>
    </row>
    <row r="3528">
      <c r="A3528" s="2" t="inlineStr">
        <is>
          <t>IT01400_04</t>
        </is>
      </c>
      <c r="B3528" s="2" t="inlineStr">
        <is>
          <t>PED01400</t>
        </is>
      </c>
      <c r="C3528" s="2" t="inlineStr">
        <is>
          <t>P052</t>
        </is>
      </c>
      <c r="D3528" s="2" t="n">
        <v>2</v>
      </c>
      <c r="E3528" s="19" t="n">
        <v>0</v>
      </c>
    </row>
    <row r="3529">
      <c r="A3529" s="2" t="inlineStr">
        <is>
          <t>IT01400_05</t>
        </is>
      </c>
      <c r="B3529" s="2" t="inlineStr">
        <is>
          <t>PED01400</t>
        </is>
      </c>
      <c r="C3529" s="2" t="inlineStr">
        <is>
          <t>P069</t>
        </is>
      </c>
      <c r="D3529" s="2" t="n">
        <v>5</v>
      </c>
      <c r="E3529" s="19" t="n">
        <v>0</v>
      </c>
    </row>
    <row r="3530">
      <c r="A3530" s="2" t="inlineStr">
        <is>
          <t>IT01401_01</t>
        </is>
      </c>
      <c r="B3530" s="2" t="inlineStr">
        <is>
          <t>PED01401</t>
        </is>
      </c>
      <c r="C3530" s="2" t="inlineStr">
        <is>
          <t>P038</t>
        </is>
      </c>
      <c r="D3530" s="2" t="n">
        <v>1</v>
      </c>
      <c r="E3530" s="19" t="n">
        <v>0.02</v>
      </c>
    </row>
    <row r="3531">
      <c r="A3531" s="2" t="inlineStr">
        <is>
          <t>IT01401_02</t>
        </is>
      </c>
      <c r="B3531" s="2" t="inlineStr">
        <is>
          <t>PED01401</t>
        </is>
      </c>
      <c r="C3531" s="2" t="inlineStr">
        <is>
          <t>P001</t>
        </is>
      </c>
      <c r="D3531" s="2" t="n">
        <v>1</v>
      </c>
      <c r="E3531" s="19" t="n">
        <v>0.1</v>
      </c>
    </row>
    <row r="3532">
      <c r="A3532" s="2" t="inlineStr">
        <is>
          <t>IT01401_03</t>
        </is>
      </c>
      <c r="B3532" s="2" t="inlineStr">
        <is>
          <t>PED01401</t>
        </is>
      </c>
      <c r="C3532" s="2" t="inlineStr">
        <is>
          <t>P040</t>
        </is>
      </c>
      <c r="D3532" s="2" t="n">
        <v>2</v>
      </c>
      <c r="E3532" s="19" t="n">
        <v>0</v>
      </c>
    </row>
    <row r="3533">
      <c r="A3533" s="2" t="inlineStr">
        <is>
          <t>IT01401_04</t>
        </is>
      </c>
      <c r="B3533" s="2" t="inlineStr">
        <is>
          <t>PED01401</t>
        </is>
      </c>
      <c r="C3533" s="2" t="inlineStr">
        <is>
          <t>P032</t>
        </is>
      </c>
      <c r="D3533" s="2" t="n">
        <v>2</v>
      </c>
      <c r="E3533" s="19" t="n">
        <v>0.05</v>
      </c>
    </row>
    <row r="3534">
      <c r="A3534" s="2" t="inlineStr">
        <is>
          <t>IT01401_05</t>
        </is>
      </c>
      <c r="B3534" s="2" t="inlineStr">
        <is>
          <t>PED01401</t>
        </is>
      </c>
      <c r="C3534" s="2" t="inlineStr">
        <is>
          <t>P063</t>
        </is>
      </c>
      <c r="D3534" s="2" t="n">
        <v>1</v>
      </c>
      <c r="E3534" s="19" t="n">
        <v>0</v>
      </c>
    </row>
    <row r="3535">
      <c r="A3535" s="2" t="inlineStr">
        <is>
          <t>IT01402_01</t>
        </is>
      </c>
      <c r="B3535" s="2" t="inlineStr">
        <is>
          <t>PED01402</t>
        </is>
      </c>
      <c r="C3535" s="2" t="inlineStr">
        <is>
          <t>P029</t>
        </is>
      </c>
      <c r="D3535" s="2" t="n">
        <v>1</v>
      </c>
      <c r="E3535" s="19" t="n">
        <v>0</v>
      </c>
    </row>
    <row r="3536">
      <c r="A3536" s="2" t="inlineStr">
        <is>
          <t>IT01402_02</t>
        </is>
      </c>
      <c r="B3536" s="2" t="inlineStr">
        <is>
          <t>PED01402</t>
        </is>
      </c>
      <c r="C3536" s="2" t="inlineStr">
        <is>
          <t>P054</t>
        </is>
      </c>
      <c r="D3536" s="2" t="n">
        <v>2</v>
      </c>
      <c r="E3536" s="19" t="n">
        <v>0.1</v>
      </c>
    </row>
    <row r="3537">
      <c r="A3537" s="2" t="inlineStr">
        <is>
          <t>IT01403_01</t>
        </is>
      </c>
      <c r="B3537" s="2" t="inlineStr">
        <is>
          <t>PED01403</t>
        </is>
      </c>
      <c r="C3537" s="2" t="inlineStr">
        <is>
          <t>P025</t>
        </is>
      </c>
      <c r="D3537" s="2" t="n">
        <v>3</v>
      </c>
      <c r="E3537" s="19" t="n">
        <v>0.05</v>
      </c>
    </row>
    <row r="3538">
      <c r="A3538" s="2" t="inlineStr">
        <is>
          <t>IT01403_02</t>
        </is>
      </c>
      <c r="B3538" s="2" t="inlineStr">
        <is>
          <t>PED01403</t>
        </is>
      </c>
      <c r="C3538" s="2" t="inlineStr">
        <is>
          <t>P039</t>
        </is>
      </c>
      <c r="D3538" s="2" t="n">
        <v>4</v>
      </c>
      <c r="E3538" s="19" t="n">
        <v>0</v>
      </c>
    </row>
    <row r="3539">
      <c r="A3539" s="2" t="inlineStr">
        <is>
          <t>IT01404_01</t>
        </is>
      </c>
      <c r="B3539" s="2" t="inlineStr">
        <is>
          <t>PED01404</t>
        </is>
      </c>
      <c r="C3539" s="2" t="inlineStr">
        <is>
          <t>P069</t>
        </is>
      </c>
      <c r="D3539" s="2" t="n">
        <v>3</v>
      </c>
      <c r="E3539" s="19" t="n">
        <v>0</v>
      </c>
    </row>
    <row r="3540">
      <c r="A3540" s="2" t="inlineStr">
        <is>
          <t>IT01404_02</t>
        </is>
      </c>
      <c r="B3540" s="2" t="inlineStr">
        <is>
          <t>PED01404</t>
        </is>
      </c>
      <c r="C3540" s="2" t="inlineStr">
        <is>
          <t>P054</t>
        </is>
      </c>
      <c r="D3540" s="2" t="n">
        <v>1</v>
      </c>
      <c r="E3540" s="19" t="n">
        <v>0.1</v>
      </c>
    </row>
    <row r="3541">
      <c r="A3541" s="2" t="inlineStr">
        <is>
          <t>IT01404_03</t>
        </is>
      </c>
      <c r="B3541" s="2" t="inlineStr">
        <is>
          <t>PED01404</t>
        </is>
      </c>
      <c r="C3541" s="2" t="inlineStr">
        <is>
          <t>P017</t>
        </is>
      </c>
      <c r="D3541" s="2" t="n">
        <v>1</v>
      </c>
      <c r="E3541" s="19" t="n">
        <v>0.05</v>
      </c>
    </row>
    <row r="3542">
      <c r="A3542" s="2" t="inlineStr">
        <is>
          <t>IT01405_01</t>
        </is>
      </c>
      <c r="B3542" s="2" t="inlineStr">
        <is>
          <t>PED01405</t>
        </is>
      </c>
      <c r="C3542" s="2" t="inlineStr">
        <is>
          <t>P046</t>
        </is>
      </c>
      <c r="D3542" s="2" t="n">
        <v>2</v>
      </c>
      <c r="E3542" s="19" t="n">
        <v>0.1</v>
      </c>
    </row>
    <row r="3543">
      <c r="A3543" s="2" t="inlineStr">
        <is>
          <t>IT01405_02</t>
        </is>
      </c>
      <c r="B3543" s="2" t="inlineStr">
        <is>
          <t>PED01405</t>
        </is>
      </c>
      <c r="C3543" s="2" t="inlineStr">
        <is>
          <t>P012</t>
        </is>
      </c>
      <c r="D3543" s="2" t="n">
        <v>1</v>
      </c>
      <c r="E3543" s="19" t="n">
        <v>0</v>
      </c>
    </row>
    <row r="3544">
      <c r="A3544" s="2" t="inlineStr">
        <is>
          <t>IT01405_03</t>
        </is>
      </c>
      <c r="B3544" s="2" t="inlineStr">
        <is>
          <t>PED01405</t>
        </is>
      </c>
      <c r="C3544" s="2" t="inlineStr">
        <is>
          <t>P062</t>
        </is>
      </c>
      <c r="D3544" s="2" t="n">
        <v>1</v>
      </c>
      <c r="E3544" s="19" t="n">
        <v>0</v>
      </c>
    </row>
    <row r="3545">
      <c r="A3545" s="2" t="inlineStr">
        <is>
          <t>IT01406_01</t>
        </is>
      </c>
      <c r="B3545" s="2" t="inlineStr">
        <is>
          <t>PED01406</t>
        </is>
      </c>
      <c r="C3545" s="2" t="inlineStr">
        <is>
          <t>P001</t>
        </is>
      </c>
      <c r="D3545" s="2" t="n">
        <v>1</v>
      </c>
      <c r="E3545" s="19" t="n">
        <v>0.02</v>
      </c>
    </row>
    <row r="3546">
      <c r="A3546" s="2" t="inlineStr">
        <is>
          <t>IT01406_02</t>
        </is>
      </c>
      <c r="B3546" s="2" t="inlineStr">
        <is>
          <t>PED01406</t>
        </is>
      </c>
      <c r="C3546" s="2" t="inlineStr">
        <is>
          <t>P045</t>
        </is>
      </c>
      <c r="D3546" s="2" t="n">
        <v>3</v>
      </c>
      <c r="E3546" s="19" t="n">
        <v>0.05</v>
      </c>
    </row>
    <row r="3547">
      <c r="A3547" s="2" t="inlineStr">
        <is>
          <t>IT01407_01</t>
        </is>
      </c>
      <c r="B3547" s="2" t="inlineStr">
        <is>
          <t>PED01407</t>
        </is>
      </c>
      <c r="C3547" s="2" t="inlineStr">
        <is>
          <t>P015</t>
        </is>
      </c>
      <c r="D3547" s="2" t="n">
        <v>1</v>
      </c>
      <c r="E3547" s="19" t="n">
        <v>0</v>
      </c>
    </row>
    <row r="3548">
      <c r="A3548" s="2" t="inlineStr">
        <is>
          <t>IT01407_02</t>
        </is>
      </c>
      <c r="B3548" s="2" t="inlineStr">
        <is>
          <t>PED01407</t>
        </is>
      </c>
      <c r="C3548" s="2" t="inlineStr">
        <is>
          <t>P051</t>
        </is>
      </c>
      <c r="D3548" s="2" t="n">
        <v>2</v>
      </c>
      <c r="E3548" s="19" t="n">
        <v>0</v>
      </c>
    </row>
    <row r="3549">
      <c r="A3549" s="2" t="inlineStr">
        <is>
          <t>IT01408_01</t>
        </is>
      </c>
      <c r="B3549" s="2" t="inlineStr">
        <is>
          <t>PED01408</t>
        </is>
      </c>
      <c r="C3549" s="2" t="inlineStr">
        <is>
          <t>P040</t>
        </is>
      </c>
      <c r="D3549" s="2" t="n">
        <v>2</v>
      </c>
      <c r="E3549" s="19" t="n">
        <v>0.1</v>
      </c>
    </row>
    <row r="3550">
      <c r="A3550" s="2" t="inlineStr">
        <is>
          <t>IT01408_02</t>
        </is>
      </c>
      <c r="B3550" s="2" t="inlineStr">
        <is>
          <t>PED01408</t>
        </is>
      </c>
      <c r="C3550" s="2" t="inlineStr">
        <is>
          <t>P016</t>
        </is>
      </c>
      <c r="D3550" s="2" t="n">
        <v>10</v>
      </c>
      <c r="E3550" s="19" t="n">
        <v>0</v>
      </c>
    </row>
    <row r="3551">
      <c r="A3551" s="2" t="inlineStr">
        <is>
          <t>IT01409_01</t>
        </is>
      </c>
      <c r="B3551" s="2" t="inlineStr">
        <is>
          <t>PED01409</t>
        </is>
      </c>
      <c r="C3551" s="2" t="inlineStr">
        <is>
          <t>P049</t>
        </is>
      </c>
      <c r="D3551" s="2" t="n">
        <v>1</v>
      </c>
      <c r="E3551" s="19" t="n">
        <v>0</v>
      </c>
    </row>
    <row r="3552">
      <c r="A3552" s="2" t="inlineStr">
        <is>
          <t>IT01410_01</t>
        </is>
      </c>
      <c r="B3552" s="2" t="inlineStr">
        <is>
          <t>PED01410</t>
        </is>
      </c>
      <c r="C3552" s="2" t="inlineStr">
        <is>
          <t>P003</t>
        </is>
      </c>
      <c r="D3552" s="2" t="n">
        <v>1</v>
      </c>
      <c r="E3552" s="19" t="n">
        <v>0</v>
      </c>
    </row>
    <row r="3553">
      <c r="A3553" s="2" t="inlineStr">
        <is>
          <t>IT01410_02</t>
        </is>
      </c>
      <c r="B3553" s="2" t="inlineStr">
        <is>
          <t>PED01410</t>
        </is>
      </c>
      <c r="C3553" s="2" t="inlineStr">
        <is>
          <t>P057</t>
        </is>
      </c>
      <c r="D3553" s="2" t="n">
        <v>2</v>
      </c>
      <c r="E3553" s="19" t="n">
        <v>0</v>
      </c>
    </row>
    <row r="3554">
      <c r="A3554" s="2" t="inlineStr">
        <is>
          <t>IT01410_03</t>
        </is>
      </c>
      <c r="B3554" s="2" t="inlineStr">
        <is>
          <t>PED01410</t>
        </is>
      </c>
      <c r="C3554" s="2" t="inlineStr">
        <is>
          <t>P069</t>
        </is>
      </c>
      <c r="D3554" s="2" t="n">
        <v>5</v>
      </c>
      <c r="E3554" s="19" t="n">
        <v>0</v>
      </c>
    </row>
    <row r="3555">
      <c r="A3555" s="2" t="inlineStr">
        <is>
          <t>IT01410_04</t>
        </is>
      </c>
      <c r="B3555" s="2" t="inlineStr">
        <is>
          <t>PED01410</t>
        </is>
      </c>
      <c r="C3555" s="2" t="inlineStr">
        <is>
          <t>P070</t>
        </is>
      </c>
      <c r="D3555" s="2" t="n">
        <v>2</v>
      </c>
      <c r="E3555" s="19" t="n">
        <v>0.02</v>
      </c>
    </row>
    <row r="3556">
      <c r="A3556" s="2" t="inlineStr">
        <is>
          <t>IT01410_05</t>
        </is>
      </c>
      <c r="B3556" s="2" t="inlineStr">
        <is>
          <t>PED01410</t>
        </is>
      </c>
      <c r="C3556" s="2" t="inlineStr">
        <is>
          <t>P002</t>
        </is>
      </c>
      <c r="D3556" s="2" t="n">
        <v>1</v>
      </c>
      <c r="E3556" s="19" t="n">
        <v>0</v>
      </c>
    </row>
    <row r="3557">
      <c r="A3557" s="2" t="inlineStr">
        <is>
          <t>IT01411_01</t>
        </is>
      </c>
      <c r="B3557" s="2" t="inlineStr">
        <is>
          <t>PED01411</t>
        </is>
      </c>
      <c r="C3557" s="2" t="inlineStr">
        <is>
          <t>P039</t>
        </is>
      </c>
      <c r="D3557" s="2" t="n">
        <v>3</v>
      </c>
      <c r="E3557" s="19" t="n">
        <v>0.05</v>
      </c>
    </row>
    <row r="3558">
      <c r="A3558" s="2" t="inlineStr">
        <is>
          <t>IT01411_02</t>
        </is>
      </c>
      <c r="B3558" s="2" t="inlineStr">
        <is>
          <t>PED01411</t>
        </is>
      </c>
      <c r="C3558" s="2" t="inlineStr">
        <is>
          <t>P034</t>
        </is>
      </c>
      <c r="D3558" s="2" t="n">
        <v>2</v>
      </c>
      <c r="E3558" s="19" t="n">
        <v>0</v>
      </c>
    </row>
    <row r="3559">
      <c r="A3559" s="2" t="inlineStr">
        <is>
          <t>IT01411_03</t>
        </is>
      </c>
      <c r="B3559" s="2" t="inlineStr">
        <is>
          <t>PED01411</t>
        </is>
      </c>
      <c r="C3559" s="2" t="inlineStr">
        <is>
          <t>P003</t>
        </is>
      </c>
      <c r="D3559" s="2" t="n">
        <v>5</v>
      </c>
      <c r="E3559" s="19" t="n">
        <v>0</v>
      </c>
    </row>
    <row r="3560">
      <c r="A3560" s="2" t="inlineStr">
        <is>
          <t>IT01411_04</t>
        </is>
      </c>
      <c r="B3560" s="2" t="inlineStr">
        <is>
          <t>PED01411</t>
        </is>
      </c>
      <c r="C3560" s="2" t="inlineStr">
        <is>
          <t>P065</t>
        </is>
      </c>
      <c r="D3560" s="2" t="n">
        <v>10</v>
      </c>
      <c r="E3560" s="19" t="n">
        <v>0</v>
      </c>
    </row>
    <row r="3561">
      <c r="A3561" s="2" t="inlineStr">
        <is>
          <t>IT01411_05</t>
        </is>
      </c>
      <c r="B3561" s="2" t="inlineStr">
        <is>
          <t>PED01411</t>
        </is>
      </c>
      <c r="C3561" s="2" t="inlineStr">
        <is>
          <t>P007</t>
        </is>
      </c>
      <c r="D3561" s="2" t="n">
        <v>1</v>
      </c>
      <c r="E3561" s="19" t="n">
        <v>0.1</v>
      </c>
    </row>
    <row r="3562">
      <c r="A3562" s="2" t="inlineStr">
        <is>
          <t>IT01412_01</t>
        </is>
      </c>
      <c r="B3562" s="2" t="inlineStr">
        <is>
          <t>PED01412</t>
        </is>
      </c>
      <c r="C3562" s="2" t="inlineStr">
        <is>
          <t>P037</t>
        </is>
      </c>
      <c r="D3562" s="2" t="n">
        <v>1</v>
      </c>
      <c r="E3562" s="19" t="n">
        <v>0.05</v>
      </c>
    </row>
    <row r="3563">
      <c r="A3563" s="2" t="inlineStr">
        <is>
          <t>IT01412_02</t>
        </is>
      </c>
      <c r="B3563" s="2" t="inlineStr">
        <is>
          <t>PED01412</t>
        </is>
      </c>
      <c r="C3563" s="2" t="inlineStr">
        <is>
          <t>P029</t>
        </is>
      </c>
      <c r="D3563" s="2" t="n">
        <v>1</v>
      </c>
      <c r="E3563" s="19" t="n">
        <v>0</v>
      </c>
    </row>
    <row r="3564">
      <c r="A3564" s="2" t="inlineStr">
        <is>
          <t>IT01412_03</t>
        </is>
      </c>
      <c r="B3564" s="2" t="inlineStr">
        <is>
          <t>PED01412</t>
        </is>
      </c>
      <c r="C3564" s="2" t="inlineStr">
        <is>
          <t>P011</t>
        </is>
      </c>
      <c r="D3564" s="2" t="n">
        <v>1</v>
      </c>
      <c r="E3564" s="19" t="n">
        <v>0</v>
      </c>
    </row>
    <row r="3565">
      <c r="A3565" s="2" t="inlineStr">
        <is>
          <t>IT01412_04</t>
        </is>
      </c>
      <c r="B3565" s="2" t="inlineStr">
        <is>
          <t>PED01412</t>
        </is>
      </c>
      <c r="C3565" s="2" t="inlineStr">
        <is>
          <t>P012</t>
        </is>
      </c>
      <c r="D3565" s="2" t="n">
        <v>1</v>
      </c>
      <c r="E3565" s="19" t="n">
        <v>0</v>
      </c>
    </row>
    <row r="3566">
      <c r="A3566" s="2" t="inlineStr">
        <is>
          <t>IT01413_01</t>
        </is>
      </c>
      <c r="B3566" s="2" t="inlineStr">
        <is>
          <t>PED01413</t>
        </is>
      </c>
      <c r="C3566" s="2" t="inlineStr">
        <is>
          <t>P052</t>
        </is>
      </c>
      <c r="D3566" s="2" t="n">
        <v>1</v>
      </c>
      <c r="E3566" s="19" t="n">
        <v>0.1</v>
      </c>
    </row>
    <row r="3567">
      <c r="A3567" s="2" t="inlineStr">
        <is>
          <t>IT01414_01</t>
        </is>
      </c>
      <c r="B3567" s="2" t="inlineStr">
        <is>
          <t>PED01414</t>
        </is>
      </c>
      <c r="C3567" s="2" t="inlineStr">
        <is>
          <t>P001</t>
        </is>
      </c>
      <c r="D3567" s="2" t="n">
        <v>2</v>
      </c>
      <c r="E3567" s="19" t="n">
        <v>0</v>
      </c>
    </row>
    <row r="3568">
      <c r="A3568" s="2" t="inlineStr">
        <is>
          <t>IT01414_02</t>
        </is>
      </c>
      <c r="B3568" s="2" t="inlineStr">
        <is>
          <t>PED01414</t>
        </is>
      </c>
      <c r="C3568" s="2" t="inlineStr">
        <is>
          <t>P061</t>
        </is>
      </c>
      <c r="D3568" s="2" t="n">
        <v>3</v>
      </c>
      <c r="E3568" s="19" t="n">
        <v>0</v>
      </c>
    </row>
    <row r="3569">
      <c r="A3569" s="2" t="inlineStr">
        <is>
          <t>IT01415_01</t>
        </is>
      </c>
      <c r="B3569" s="2" t="inlineStr">
        <is>
          <t>PED01415</t>
        </is>
      </c>
      <c r="C3569" s="2" t="inlineStr">
        <is>
          <t>P038</t>
        </is>
      </c>
      <c r="D3569" s="2" t="n">
        <v>3</v>
      </c>
      <c r="E3569" s="19" t="n">
        <v>0</v>
      </c>
    </row>
    <row r="3570">
      <c r="A3570" s="2" t="inlineStr">
        <is>
          <t>IT01415_02</t>
        </is>
      </c>
      <c r="B3570" s="2" t="inlineStr">
        <is>
          <t>PED01415</t>
        </is>
      </c>
      <c r="C3570" s="2" t="inlineStr">
        <is>
          <t>P050</t>
        </is>
      </c>
      <c r="D3570" s="2" t="n">
        <v>3</v>
      </c>
      <c r="E3570" s="19" t="n">
        <v>0</v>
      </c>
    </row>
    <row r="3571">
      <c r="A3571" s="2" t="inlineStr">
        <is>
          <t>IT01415_03</t>
        </is>
      </c>
      <c r="B3571" s="2" t="inlineStr">
        <is>
          <t>PED01415</t>
        </is>
      </c>
      <c r="C3571" s="2" t="inlineStr">
        <is>
          <t>P010</t>
        </is>
      </c>
      <c r="D3571" s="2" t="n">
        <v>2</v>
      </c>
      <c r="E3571" s="19" t="n">
        <v>0.02</v>
      </c>
    </row>
    <row r="3572">
      <c r="A3572" s="2" t="inlineStr">
        <is>
          <t>IT01416_01</t>
        </is>
      </c>
      <c r="B3572" s="2" t="inlineStr">
        <is>
          <t>PED01416</t>
        </is>
      </c>
      <c r="C3572" s="2" t="inlineStr">
        <is>
          <t>P049</t>
        </is>
      </c>
      <c r="D3572" s="2" t="n">
        <v>1</v>
      </c>
      <c r="E3572" s="19" t="n">
        <v>0</v>
      </c>
    </row>
    <row r="3573">
      <c r="A3573" s="2" t="inlineStr">
        <is>
          <t>IT01416_02</t>
        </is>
      </c>
      <c r="B3573" s="2" t="inlineStr">
        <is>
          <t>PED01416</t>
        </is>
      </c>
      <c r="C3573" s="2" t="inlineStr">
        <is>
          <t>P001</t>
        </is>
      </c>
      <c r="D3573" s="2" t="n">
        <v>3</v>
      </c>
      <c r="E3573" s="19" t="n">
        <v>0</v>
      </c>
    </row>
    <row r="3574">
      <c r="A3574" s="2" t="inlineStr">
        <is>
          <t>IT01416_03</t>
        </is>
      </c>
      <c r="B3574" s="2" t="inlineStr">
        <is>
          <t>PED01416</t>
        </is>
      </c>
      <c r="C3574" s="2" t="inlineStr">
        <is>
          <t>P047</t>
        </is>
      </c>
      <c r="D3574" s="2" t="n">
        <v>2</v>
      </c>
      <c r="E3574" s="19" t="n">
        <v>0</v>
      </c>
    </row>
    <row r="3575">
      <c r="A3575" s="2" t="inlineStr">
        <is>
          <t>IT01417_01</t>
        </is>
      </c>
      <c r="B3575" s="2" t="inlineStr">
        <is>
          <t>PED01417</t>
        </is>
      </c>
      <c r="C3575" s="2" t="inlineStr">
        <is>
          <t>P007</t>
        </is>
      </c>
      <c r="D3575" s="2" t="n">
        <v>1</v>
      </c>
      <c r="E3575" s="19" t="n">
        <v>0</v>
      </c>
    </row>
    <row r="3576">
      <c r="A3576" s="2" t="inlineStr">
        <is>
          <t>IT01418_01</t>
        </is>
      </c>
      <c r="B3576" s="2" t="inlineStr">
        <is>
          <t>PED01418</t>
        </is>
      </c>
      <c r="C3576" s="2" t="inlineStr">
        <is>
          <t>P012</t>
        </is>
      </c>
      <c r="D3576" s="2" t="n">
        <v>1</v>
      </c>
      <c r="E3576" s="19" t="n">
        <v>0</v>
      </c>
    </row>
    <row r="3577">
      <c r="A3577" s="2" t="inlineStr">
        <is>
          <t>IT01418_02</t>
        </is>
      </c>
      <c r="B3577" s="2" t="inlineStr">
        <is>
          <t>PED01418</t>
        </is>
      </c>
      <c r="C3577" s="2" t="inlineStr">
        <is>
          <t>P055</t>
        </is>
      </c>
      <c r="D3577" s="2" t="n">
        <v>2</v>
      </c>
      <c r="E3577" s="19" t="n">
        <v>0</v>
      </c>
    </row>
    <row r="3578">
      <c r="A3578" s="2" t="inlineStr">
        <is>
          <t>IT01419_01</t>
        </is>
      </c>
      <c r="B3578" s="2" t="inlineStr">
        <is>
          <t>PED01419</t>
        </is>
      </c>
      <c r="C3578" s="2" t="inlineStr">
        <is>
          <t>P004</t>
        </is>
      </c>
      <c r="D3578" s="2" t="n">
        <v>1</v>
      </c>
      <c r="E3578" s="19" t="n">
        <v>0</v>
      </c>
    </row>
    <row r="3579">
      <c r="A3579" s="2" t="inlineStr">
        <is>
          <t>IT01419_02</t>
        </is>
      </c>
      <c r="B3579" s="2" t="inlineStr">
        <is>
          <t>PED01419</t>
        </is>
      </c>
      <c r="C3579" s="2" t="inlineStr">
        <is>
          <t>P019</t>
        </is>
      </c>
      <c r="D3579" s="2" t="n">
        <v>1</v>
      </c>
      <c r="E3579" s="19" t="n">
        <v>0.02</v>
      </c>
    </row>
    <row r="3580">
      <c r="A3580" s="2" t="inlineStr">
        <is>
          <t>IT01419_03</t>
        </is>
      </c>
      <c r="B3580" s="2" t="inlineStr">
        <is>
          <t>PED01419</t>
        </is>
      </c>
      <c r="C3580" s="2" t="inlineStr">
        <is>
          <t>P047</t>
        </is>
      </c>
      <c r="D3580" s="2" t="n">
        <v>3</v>
      </c>
      <c r="E3580" s="19" t="n">
        <v>0</v>
      </c>
    </row>
    <row r="3581">
      <c r="A3581" s="2" t="inlineStr">
        <is>
          <t>IT01420_01</t>
        </is>
      </c>
      <c r="B3581" s="2" t="inlineStr">
        <is>
          <t>PED01420</t>
        </is>
      </c>
      <c r="C3581" s="2" t="inlineStr">
        <is>
          <t>P024</t>
        </is>
      </c>
      <c r="D3581" s="2" t="n">
        <v>1</v>
      </c>
      <c r="E3581" s="19" t="n">
        <v>0.02</v>
      </c>
    </row>
    <row r="3582">
      <c r="A3582" s="2" t="inlineStr">
        <is>
          <t>IT01420_02</t>
        </is>
      </c>
      <c r="B3582" s="2" t="inlineStr">
        <is>
          <t>PED01420</t>
        </is>
      </c>
      <c r="C3582" s="2" t="inlineStr">
        <is>
          <t>P051</t>
        </is>
      </c>
      <c r="D3582" s="2" t="n">
        <v>2</v>
      </c>
      <c r="E3582" s="19" t="n">
        <v>0</v>
      </c>
    </row>
    <row r="3583">
      <c r="A3583" s="2" t="inlineStr">
        <is>
          <t>IT01420_03</t>
        </is>
      </c>
      <c r="B3583" s="2" t="inlineStr">
        <is>
          <t>PED01420</t>
        </is>
      </c>
      <c r="C3583" s="2" t="inlineStr">
        <is>
          <t>P006</t>
        </is>
      </c>
      <c r="D3583" s="2" t="n">
        <v>5</v>
      </c>
      <c r="E3583" s="19" t="n">
        <v>0</v>
      </c>
    </row>
    <row r="3584">
      <c r="A3584" s="2" t="inlineStr">
        <is>
          <t>IT01421_01</t>
        </is>
      </c>
      <c r="B3584" s="2" t="inlineStr">
        <is>
          <t>PED01421</t>
        </is>
      </c>
      <c r="C3584" s="2" t="inlineStr">
        <is>
          <t>P006</t>
        </is>
      </c>
      <c r="D3584" s="2" t="n">
        <v>2</v>
      </c>
      <c r="E3584" s="19" t="n">
        <v>0</v>
      </c>
    </row>
    <row r="3585">
      <c r="A3585" s="2" t="inlineStr">
        <is>
          <t>IT01421_02</t>
        </is>
      </c>
      <c r="B3585" s="2" t="inlineStr">
        <is>
          <t>PED01421</t>
        </is>
      </c>
      <c r="C3585" s="2" t="inlineStr">
        <is>
          <t>P041</t>
        </is>
      </c>
      <c r="D3585" s="2" t="n">
        <v>1</v>
      </c>
      <c r="E3585" s="19" t="n">
        <v>0</v>
      </c>
    </row>
    <row r="3586">
      <c r="A3586" s="2" t="inlineStr">
        <is>
          <t>IT01421_03</t>
        </is>
      </c>
      <c r="B3586" s="2" t="inlineStr">
        <is>
          <t>PED01421</t>
        </is>
      </c>
      <c r="C3586" s="2" t="inlineStr">
        <is>
          <t>P037</t>
        </is>
      </c>
      <c r="D3586" s="2" t="n">
        <v>3</v>
      </c>
      <c r="E3586" s="19" t="n">
        <v>0</v>
      </c>
    </row>
    <row r="3587">
      <c r="A3587" s="2" t="inlineStr">
        <is>
          <t>IT01421_04</t>
        </is>
      </c>
      <c r="B3587" s="2" t="inlineStr">
        <is>
          <t>PED01421</t>
        </is>
      </c>
      <c r="C3587" s="2" t="inlineStr">
        <is>
          <t>P043</t>
        </is>
      </c>
      <c r="D3587" s="2" t="n">
        <v>1</v>
      </c>
      <c r="E3587" s="19" t="n">
        <v>0</v>
      </c>
    </row>
    <row r="3588">
      <c r="A3588" s="2" t="inlineStr">
        <is>
          <t>IT01421_05</t>
        </is>
      </c>
      <c r="B3588" s="2" t="inlineStr">
        <is>
          <t>PED01421</t>
        </is>
      </c>
      <c r="C3588" s="2" t="inlineStr">
        <is>
          <t>P029</t>
        </is>
      </c>
      <c r="D3588" s="2" t="n">
        <v>1</v>
      </c>
      <c r="E3588" s="19" t="n">
        <v>0.05</v>
      </c>
    </row>
    <row r="3589">
      <c r="A3589" s="2" t="inlineStr">
        <is>
          <t>IT01422_01</t>
        </is>
      </c>
      <c r="B3589" s="2" t="inlineStr">
        <is>
          <t>PED01422</t>
        </is>
      </c>
      <c r="C3589" s="2" t="inlineStr">
        <is>
          <t>P048</t>
        </is>
      </c>
      <c r="D3589" s="2" t="n">
        <v>2</v>
      </c>
      <c r="E3589" s="19" t="n">
        <v>0</v>
      </c>
    </row>
    <row r="3590">
      <c r="A3590" s="2" t="inlineStr">
        <is>
          <t>IT01422_02</t>
        </is>
      </c>
      <c r="B3590" s="2" t="inlineStr">
        <is>
          <t>PED01422</t>
        </is>
      </c>
      <c r="C3590" s="2" t="inlineStr">
        <is>
          <t>P020</t>
        </is>
      </c>
      <c r="D3590" s="2" t="n">
        <v>2</v>
      </c>
      <c r="E3590" s="19" t="n">
        <v>0</v>
      </c>
    </row>
    <row r="3591">
      <c r="A3591" s="2" t="inlineStr">
        <is>
          <t>IT01422_03</t>
        </is>
      </c>
      <c r="B3591" s="2" t="inlineStr">
        <is>
          <t>PED01422</t>
        </is>
      </c>
      <c r="C3591" s="2" t="inlineStr">
        <is>
          <t>P016</t>
        </is>
      </c>
      <c r="D3591" s="2" t="n">
        <v>1</v>
      </c>
      <c r="E3591" s="19" t="n">
        <v>0.05</v>
      </c>
    </row>
    <row r="3592">
      <c r="A3592" s="2" t="inlineStr">
        <is>
          <t>IT01422_04</t>
        </is>
      </c>
      <c r="B3592" s="2" t="inlineStr">
        <is>
          <t>PED01422</t>
        </is>
      </c>
      <c r="C3592" s="2" t="inlineStr">
        <is>
          <t>P064</t>
        </is>
      </c>
      <c r="D3592" s="2" t="n">
        <v>1</v>
      </c>
      <c r="E3592" s="19" t="n">
        <v>0</v>
      </c>
    </row>
    <row r="3593">
      <c r="A3593" s="2" t="inlineStr">
        <is>
          <t>IT01423_01</t>
        </is>
      </c>
      <c r="B3593" s="2" t="inlineStr">
        <is>
          <t>PED01423</t>
        </is>
      </c>
      <c r="C3593" s="2" t="inlineStr">
        <is>
          <t>P054</t>
        </is>
      </c>
      <c r="D3593" s="2" t="n">
        <v>1</v>
      </c>
      <c r="E3593" s="19" t="n">
        <v>0</v>
      </c>
    </row>
    <row r="3594">
      <c r="A3594" s="2" t="inlineStr">
        <is>
          <t>IT01423_02</t>
        </is>
      </c>
      <c r="B3594" s="2" t="inlineStr">
        <is>
          <t>PED01423</t>
        </is>
      </c>
      <c r="C3594" s="2" t="inlineStr">
        <is>
          <t>P052</t>
        </is>
      </c>
      <c r="D3594" s="2" t="n">
        <v>10</v>
      </c>
      <c r="E3594" s="19" t="n">
        <v>0</v>
      </c>
    </row>
    <row r="3595">
      <c r="A3595" s="2" t="inlineStr">
        <is>
          <t>IT01423_03</t>
        </is>
      </c>
      <c r="B3595" s="2" t="inlineStr">
        <is>
          <t>PED01423</t>
        </is>
      </c>
      <c r="C3595" s="2" t="inlineStr">
        <is>
          <t>P003</t>
        </is>
      </c>
      <c r="D3595" s="2" t="n">
        <v>1</v>
      </c>
      <c r="E3595" s="19" t="n">
        <v>0</v>
      </c>
    </row>
    <row r="3596">
      <c r="A3596" s="2" t="inlineStr">
        <is>
          <t>IT01424_01</t>
        </is>
      </c>
      <c r="B3596" s="2" t="inlineStr">
        <is>
          <t>PED01424</t>
        </is>
      </c>
      <c r="C3596" s="2" t="inlineStr">
        <is>
          <t>P055</t>
        </is>
      </c>
      <c r="D3596" s="2" t="n">
        <v>1</v>
      </c>
      <c r="E3596" s="19" t="n">
        <v>0</v>
      </c>
    </row>
    <row r="3597">
      <c r="A3597" s="2" t="inlineStr">
        <is>
          <t>IT01424_02</t>
        </is>
      </c>
      <c r="B3597" s="2" t="inlineStr">
        <is>
          <t>PED01424</t>
        </is>
      </c>
      <c r="C3597" s="2" t="inlineStr">
        <is>
          <t>P064</t>
        </is>
      </c>
      <c r="D3597" s="2" t="n">
        <v>1</v>
      </c>
      <c r="E3597" s="19" t="n">
        <v>0</v>
      </c>
    </row>
    <row r="3598">
      <c r="A3598" s="2" t="inlineStr">
        <is>
          <t>IT01424_03</t>
        </is>
      </c>
      <c r="B3598" s="2" t="inlineStr">
        <is>
          <t>PED01424</t>
        </is>
      </c>
      <c r="C3598" s="2" t="inlineStr">
        <is>
          <t>P013</t>
        </is>
      </c>
      <c r="D3598" s="2" t="n">
        <v>1</v>
      </c>
      <c r="E3598" s="19" t="n">
        <v>0</v>
      </c>
    </row>
    <row r="3599">
      <c r="A3599" s="2" t="inlineStr">
        <is>
          <t>IT01424_04</t>
        </is>
      </c>
      <c r="B3599" s="2" t="inlineStr">
        <is>
          <t>PED01424</t>
        </is>
      </c>
      <c r="C3599" s="2" t="inlineStr">
        <is>
          <t>P041</t>
        </is>
      </c>
      <c r="D3599" s="2" t="n">
        <v>1</v>
      </c>
      <c r="E3599" s="19" t="n">
        <v>0</v>
      </c>
    </row>
    <row r="3600">
      <c r="A3600" s="2" t="inlineStr">
        <is>
          <t>IT01424_05</t>
        </is>
      </c>
      <c r="B3600" s="2" t="inlineStr">
        <is>
          <t>PED01424</t>
        </is>
      </c>
      <c r="C3600" s="2" t="inlineStr">
        <is>
          <t>P007</t>
        </is>
      </c>
      <c r="D3600" s="2" t="n">
        <v>2</v>
      </c>
      <c r="E3600" s="19" t="n">
        <v>0</v>
      </c>
    </row>
    <row r="3601">
      <c r="A3601" s="2" t="inlineStr">
        <is>
          <t>IT01425_01</t>
        </is>
      </c>
      <c r="B3601" s="2" t="inlineStr">
        <is>
          <t>PED01425</t>
        </is>
      </c>
      <c r="C3601" s="2" t="inlineStr">
        <is>
          <t>P060</t>
        </is>
      </c>
      <c r="D3601" s="2" t="n">
        <v>1</v>
      </c>
      <c r="E3601" s="19" t="n">
        <v>0.05</v>
      </c>
    </row>
    <row r="3602">
      <c r="A3602" s="2" t="inlineStr">
        <is>
          <t>IT01425_02</t>
        </is>
      </c>
      <c r="B3602" s="2" t="inlineStr">
        <is>
          <t>PED01425</t>
        </is>
      </c>
      <c r="C3602" s="2" t="inlineStr">
        <is>
          <t>P007</t>
        </is>
      </c>
      <c r="D3602" s="2" t="n">
        <v>1</v>
      </c>
      <c r="E3602" s="19" t="n">
        <v>0</v>
      </c>
    </row>
    <row r="3603">
      <c r="A3603" s="2" t="inlineStr">
        <is>
          <t>IT01425_03</t>
        </is>
      </c>
      <c r="B3603" s="2" t="inlineStr">
        <is>
          <t>PED01425</t>
        </is>
      </c>
      <c r="C3603" s="2" t="inlineStr">
        <is>
          <t>P041</t>
        </is>
      </c>
      <c r="D3603" s="2" t="n">
        <v>2</v>
      </c>
      <c r="E3603" s="19" t="n">
        <v>0</v>
      </c>
    </row>
    <row r="3604">
      <c r="A3604" s="2" t="inlineStr">
        <is>
          <t>IT01425_04</t>
        </is>
      </c>
      <c r="B3604" s="2" t="inlineStr">
        <is>
          <t>PED01425</t>
        </is>
      </c>
      <c r="C3604" s="2" t="inlineStr">
        <is>
          <t>P059</t>
        </is>
      </c>
      <c r="D3604" s="2" t="n">
        <v>1</v>
      </c>
      <c r="E3604" s="19" t="n">
        <v>0.1</v>
      </c>
    </row>
    <row r="3605">
      <c r="A3605" s="2" t="inlineStr">
        <is>
          <t>IT01426_01</t>
        </is>
      </c>
      <c r="B3605" s="2" t="inlineStr">
        <is>
          <t>PED01426</t>
        </is>
      </c>
      <c r="C3605" s="2" t="inlineStr">
        <is>
          <t>P042</t>
        </is>
      </c>
      <c r="D3605" s="2" t="n">
        <v>1</v>
      </c>
      <c r="E3605" s="19" t="n">
        <v>0.02</v>
      </c>
    </row>
    <row r="3606">
      <c r="A3606" s="2" t="inlineStr">
        <is>
          <t>IT01426_02</t>
        </is>
      </c>
      <c r="B3606" s="2" t="inlineStr">
        <is>
          <t>PED01426</t>
        </is>
      </c>
      <c r="C3606" s="2" t="inlineStr">
        <is>
          <t>P064</t>
        </is>
      </c>
      <c r="D3606" s="2" t="n">
        <v>2</v>
      </c>
      <c r="E3606" s="19" t="n">
        <v>0</v>
      </c>
    </row>
    <row r="3607">
      <c r="A3607" s="2" t="inlineStr">
        <is>
          <t>IT01427_01</t>
        </is>
      </c>
      <c r="B3607" s="2" t="inlineStr">
        <is>
          <t>PED01427</t>
        </is>
      </c>
      <c r="C3607" s="2" t="inlineStr">
        <is>
          <t>P062</t>
        </is>
      </c>
      <c r="D3607" s="2" t="n">
        <v>2</v>
      </c>
      <c r="E3607" s="19" t="n">
        <v>0</v>
      </c>
    </row>
    <row r="3608">
      <c r="A3608" s="2" t="inlineStr">
        <is>
          <t>IT01427_02</t>
        </is>
      </c>
      <c r="B3608" s="2" t="inlineStr">
        <is>
          <t>PED01427</t>
        </is>
      </c>
      <c r="C3608" s="2" t="inlineStr">
        <is>
          <t>P061</t>
        </is>
      </c>
      <c r="D3608" s="2" t="n">
        <v>1</v>
      </c>
      <c r="E3608" s="19" t="n">
        <v>0</v>
      </c>
    </row>
    <row r="3609">
      <c r="A3609" s="2" t="inlineStr">
        <is>
          <t>IT01427_03</t>
        </is>
      </c>
      <c r="B3609" s="2" t="inlineStr">
        <is>
          <t>PED01427</t>
        </is>
      </c>
      <c r="C3609" s="2" t="inlineStr">
        <is>
          <t>P012</t>
        </is>
      </c>
      <c r="D3609" s="2" t="n">
        <v>2</v>
      </c>
      <c r="E3609" s="19" t="n">
        <v>0</v>
      </c>
    </row>
    <row r="3610">
      <c r="A3610" s="2" t="inlineStr">
        <is>
          <t>IT01428_01</t>
        </is>
      </c>
      <c r="B3610" s="2" t="inlineStr">
        <is>
          <t>PED01428</t>
        </is>
      </c>
      <c r="C3610" s="2" t="inlineStr">
        <is>
          <t>P062</t>
        </is>
      </c>
      <c r="D3610" s="2" t="n">
        <v>1</v>
      </c>
      <c r="E3610" s="19" t="n">
        <v>0.02</v>
      </c>
    </row>
    <row r="3611">
      <c r="A3611" s="2" t="inlineStr">
        <is>
          <t>IT01429_01</t>
        </is>
      </c>
      <c r="B3611" s="2" t="inlineStr">
        <is>
          <t>PED01429</t>
        </is>
      </c>
      <c r="C3611" s="2" t="inlineStr">
        <is>
          <t>P042</t>
        </is>
      </c>
      <c r="D3611" s="2" t="n">
        <v>5</v>
      </c>
      <c r="E3611" s="19" t="n">
        <v>0.05</v>
      </c>
    </row>
    <row r="3612">
      <c r="A3612" s="2" t="inlineStr">
        <is>
          <t>IT01429_02</t>
        </is>
      </c>
      <c r="B3612" s="2" t="inlineStr">
        <is>
          <t>PED01429</t>
        </is>
      </c>
      <c r="C3612" s="2" t="inlineStr">
        <is>
          <t>P031</t>
        </is>
      </c>
      <c r="D3612" s="2" t="n">
        <v>2</v>
      </c>
      <c r="E3612" s="19" t="n">
        <v>0</v>
      </c>
    </row>
    <row r="3613">
      <c r="A3613" s="2" t="inlineStr">
        <is>
          <t>IT01429_03</t>
        </is>
      </c>
      <c r="B3613" s="2" t="inlineStr">
        <is>
          <t>PED01429</t>
        </is>
      </c>
      <c r="C3613" s="2" t="inlineStr">
        <is>
          <t>P021</t>
        </is>
      </c>
      <c r="D3613" s="2" t="n">
        <v>2</v>
      </c>
      <c r="E3613" s="19" t="n">
        <v>0</v>
      </c>
    </row>
    <row r="3614">
      <c r="A3614" s="2" t="inlineStr">
        <is>
          <t>IT01429_04</t>
        </is>
      </c>
      <c r="B3614" s="2" t="inlineStr">
        <is>
          <t>PED01429</t>
        </is>
      </c>
      <c r="C3614" s="2" t="inlineStr">
        <is>
          <t>P051</t>
        </is>
      </c>
      <c r="D3614" s="2" t="n">
        <v>1</v>
      </c>
      <c r="E3614" s="19" t="n">
        <v>0</v>
      </c>
    </row>
    <row r="3615">
      <c r="A3615" s="2" t="inlineStr">
        <is>
          <t>IT01430_01</t>
        </is>
      </c>
      <c r="B3615" s="2" t="inlineStr">
        <is>
          <t>PED01430</t>
        </is>
      </c>
      <c r="C3615" s="2" t="inlineStr">
        <is>
          <t>P018</t>
        </is>
      </c>
      <c r="D3615" s="2" t="n">
        <v>1</v>
      </c>
      <c r="E3615" s="19" t="n">
        <v>0</v>
      </c>
    </row>
    <row r="3616">
      <c r="A3616" s="2" t="inlineStr">
        <is>
          <t>IT01431_01</t>
        </is>
      </c>
      <c r="B3616" s="2" t="inlineStr">
        <is>
          <t>PED01431</t>
        </is>
      </c>
      <c r="C3616" s="2" t="inlineStr">
        <is>
          <t>P023</t>
        </is>
      </c>
      <c r="D3616" s="2" t="n">
        <v>2</v>
      </c>
      <c r="E3616" s="19" t="n">
        <v>0</v>
      </c>
    </row>
    <row r="3617">
      <c r="A3617" s="2" t="inlineStr">
        <is>
          <t>IT01432_01</t>
        </is>
      </c>
      <c r="B3617" s="2" t="inlineStr">
        <is>
          <t>PED01432</t>
        </is>
      </c>
      <c r="C3617" s="2" t="inlineStr">
        <is>
          <t>P002</t>
        </is>
      </c>
      <c r="D3617" s="2" t="n">
        <v>4</v>
      </c>
      <c r="E3617" s="19" t="n">
        <v>0</v>
      </c>
    </row>
    <row r="3618">
      <c r="A3618" s="2" t="inlineStr">
        <is>
          <t>IT01432_02</t>
        </is>
      </c>
      <c r="B3618" s="2" t="inlineStr">
        <is>
          <t>PED01432</t>
        </is>
      </c>
      <c r="C3618" s="2" t="inlineStr">
        <is>
          <t>P062</t>
        </is>
      </c>
      <c r="D3618" s="2" t="n">
        <v>1</v>
      </c>
      <c r="E3618" s="19" t="n">
        <v>0</v>
      </c>
    </row>
    <row r="3619">
      <c r="A3619" s="2" t="inlineStr">
        <is>
          <t>IT01432_03</t>
        </is>
      </c>
      <c r="B3619" s="2" t="inlineStr">
        <is>
          <t>PED01432</t>
        </is>
      </c>
      <c r="C3619" s="2" t="inlineStr">
        <is>
          <t>P043</t>
        </is>
      </c>
      <c r="D3619" s="2" t="n">
        <v>4</v>
      </c>
      <c r="E3619" s="19" t="n">
        <v>0</v>
      </c>
    </row>
    <row r="3620">
      <c r="A3620" s="2" t="inlineStr">
        <is>
          <t>IT01432_04</t>
        </is>
      </c>
      <c r="B3620" s="2" t="inlineStr">
        <is>
          <t>PED01432</t>
        </is>
      </c>
      <c r="C3620" s="2" t="inlineStr">
        <is>
          <t>P042</t>
        </is>
      </c>
      <c r="D3620" s="2" t="n">
        <v>4</v>
      </c>
      <c r="E3620" s="19" t="n">
        <v>0</v>
      </c>
    </row>
    <row r="3621">
      <c r="A3621" s="2" t="inlineStr">
        <is>
          <t>IT01433_01</t>
        </is>
      </c>
      <c r="B3621" s="2" t="inlineStr">
        <is>
          <t>PED01433</t>
        </is>
      </c>
      <c r="C3621" s="2" t="inlineStr">
        <is>
          <t>P051</t>
        </is>
      </c>
      <c r="D3621" s="2" t="n">
        <v>3</v>
      </c>
      <c r="E3621" s="19" t="n">
        <v>0.1</v>
      </c>
    </row>
    <row r="3622">
      <c r="A3622" s="2" t="inlineStr">
        <is>
          <t>IT01434_01</t>
        </is>
      </c>
      <c r="B3622" s="2" t="inlineStr">
        <is>
          <t>PED01434</t>
        </is>
      </c>
      <c r="C3622" s="2" t="inlineStr">
        <is>
          <t>P020</t>
        </is>
      </c>
      <c r="D3622" s="2" t="n">
        <v>2</v>
      </c>
      <c r="E3622" s="19" t="n">
        <v>0</v>
      </c>
    </row>
    <row r="3623">
      <c r="A3623" s="2" t="inlineStr">
        <is>
          <t>IT01434_02</t>
        </is>
      </c>
      <c r="B3623" s="2" t="inlineStr">
        <is>
          <t>PED01434</t>
        </is>
      </c>
      <c r="C3623" s="2" t="inlineStr">
        <is>
          <t>P017</t>
        </is>
      </c>
      <c r="D3623" s="2" t="n">
        <v>1</v>
      </c>
      <c r="E3623" s="19" t="n">
        <v>0</v>
      </c>
    </row>
    <row r="3624">
      <c r="A3624" s="2" t="inlineStr">
        <is>
          <t>IT01434_03</t>
        </is>
      </c>
      <c r="B3624" s="2" t="inlineStr">
        <is>
          <t>PED01434</t>
        </is>
      </c>
      <c r="C3624" s="2" t="inlineStr">
        <is>
          <t>P064</t>
        </is>
      </c>
      <c r="D3624" s="2" t="n">
        <v>4</v>
      </c>
      <c r="E3624" s="19" t="n">
        <v>0</v>
      </c>
    </row>
    <row r="3625">
      <c r="A3625" s="2" t="inlineStr">
        <is>
          <t>IT01435_01</t>
        </is>
      </c>
      <c r="B3625" s="2" t="inlineStr">
        <is>
          <t>PED01435</t>
        </is>
      </c>
      <c r="C3625" s="2" t="inlineStr">
        <is>
          <t>P001</t>
        </is>
      </c>
      <c r="D3625" s="2" t="n">
        <v>1</v>
      </c>
      <c r="E3625" s="19" t="n">
        <v>0.02</v>
      </c>
    </row>
    <row r="3626">
      <c r="A3626" s="2" t="inlineStr">
        <is>
          <t>IT01435_02</t>
        </is>
      </c>
      <c r="B3626" s="2" t="inlineStr">
        <is>
          <t>PED01435</t>
        </is>
      </c>
      <c r="C3626" s="2" t="inlineStr">
        <is>
          <t>P027</t>
        </is>
      </c>
      <c r="D3626" s="2" t="n">
        <v>1</v>
      </c>
      <c r="E3626" s="19" t="n">
        <v>0</v>
      </c>
    </row>
    <row r="3627">
      <c r="A3627" s="2" t="inlineStr">
        <is>
          <t>IT01435_03</t>
        </is>
      </c>
      <c r="B3627" s="2" t="inlineStr">
        <is>
          <t>PED01435</t>
        </is>
      </c>
      <c r="C3627" s="2" t="inlineStr">
        <is>
          <t>P047</t>
        </is>
      </c>
      <c r="D3627" s="2" t="n">
        <v>2</v>
      </c>
      <c r="E3627" s="19" t="n">
        <v>0.02</v>
      </c>
    </row>
    <row r="3628">
      <c r="A3628" s="2" t="inlineStr">
        <is>
          <t>IT01435_04</t>
        </is>
      </c>
      <c r="B3628" s="2" t="inlineStr">
        <is>
          <t>PED01435</t>
        </is>
      </c>
      <c r="C3628" s="2" t="inlineStr">
        <is>
          <t>P007</t>
        </is>
      </c>
      <c r="D3628" s="2" t="n">
        <v>1</v>
      </c>
      <c r="E3628" s="19" t="n">
        <v>0</v>
      </c>
    </row>
    <row r="3629">
      <c r="A3629" s="2" t="inlineStr">
        <is>
          <t>IT01436_01</t>
        </is>
      </c>
      <c r="B3629" s="2" t="inlineStr">
        <is>
          <t>PED01436</t>
        </is>
      </c>
      <c r="C3629" s="2" t="inlineStr">
        <is>
          <t>P035</t>
        </is>
      </c>
      <c r="D3629" s="2" t="n">
        <v>3</v>
      </c>
      <c r="E3629" s="19" t="n">
        <v>0</v>
      </c>
    </row>
    <row r="3630">
      <c r="A3630" s="2" t="inlineStr">
        <is>
          <t>IT01436_02</t>
        </is>
      </c>
      <c r="B3630" s="2" t="inlineStr">
        <is>
          <t>PED01436</t>
        </is>
      </c>
      <c r="C3630" s="2" t="inlineStr">
        <is>
          <t>P003</t>
        </is>
      </c>
      <c r="D3630" s="2" t="n">
        <v>1</v>
      </c>
      <c r="E3630" s="19" t="n">
        <v>0</v>
      </c>
    </row>
    <row r="3631">
      <c r="A3631" s="2" t="inlineStr">
        <is>
          <t>IT01436_03</t>
        </is>
      </c>
      <c r="B3631" s="2" t="inlineStr">
        <is>
          <t>PED01436</t>
        </is>
      </c>
      <c r="C3631" s="2" t="inlineStr">
        <is>
          <t>P056</t>
        </is>
      </c>
      <c r="D3631" s="2" t="n">
        <v>1</v>
      </c>
      <c r="E3631" s="19" t="n">
        <v>0</v>
      </c>
    </row>
    <row r="3632">
      <c r="A3632" s="2" t="inlineStr">
        <is>
          <t>IT01436_04</t>
        </is>
      </c>
      <c r="B3632" s="2" t="inlineStr">
        <is>
          <t>PED01436</t>
        </is>
      </c>
      <c r="C3632" s="2" t="inlineStr">
        <is>
          <t>P061</t>
        </is>
      </c>
      <c r="D3632" s="2" t="n">
        <v>1</v>
      </c>
      <c r="E3632" s="19" t="n">
        <v>0.05</v>
      </c>
    </row>
    <row r="3633">
      <c r="A3633" s="2" t="inlineStr">
        <is>
          <t>IT01437_01</t>
        </is>
      </c>
      <c r="B3633" s="2" t="inlineStr">
        <is>
          <t>PED01437</t>
        </is>
      </c>
      <c r="C3633" s="2" t="inlineStr">
        <is>
          <t>P046</t>
        </is>
      </c>
      <c r="D3633" s="2" t="n">
        <v>5</v>
      </c>
      <c r="E3633" s="19" t="n">
        <v>0.02</v>
      </c>
    </row>
    <row r="3634">
      <c r="A3634" s="2" t="inlineStr">
        <is>
          <t>IT01437_02</t>
        </is>
      </c>
      <c r="B3634" s="2" t="inlineStr">
        <is>
          <t>PED01437</t>
        </is>
      </c>
      <c r="C3634" s="2" t="inlineStr">
        <is>
          <t>P052</t>
        </is>
      </c>
      <c r="D3634" s="2" t="n">
        <v>1</v>
      </c>
      <c r="E3634" s="19" t="n">
        <v>0</v>
      </c>
    </row>
    <row r="3635">
      <c r="A3635" s="2" t="inlineStr">
        <is>
          <t>IT01437_03</t>
        </is>
      </c>
      <c r="B3635" s="2" t="inlineStr">
        <is>
          <t>PED01437</t>
        </is>
      </c>
      <c r="C3635" s="2" t="inlineStr">
        <is>
          <t>P034</t>
        </is>
      </c>
      <c r="D3635" s="2" t="n">
        <v>1</v>
      </c>
      <c r="E3635" s="19" t="n">
        <v>0</v>
      </c>
    </row>
    <row r="3636">
      <c r="A3636" s="2" t="inlineStr">
        <is>
          <t>IT01438_01</t>
        </is>
      </c>
      <c r="B3636" s="2" t="inlineStr">
        <is>
          <t>PED01438</t>
        </is>
      </c>
      <c r="C3636" s="2" t="inlineStr">
        <is>
          <t>P063</t>
        </is>
      </c>
      <c r="D3636" s="2" t="n">
        <v>3</v>
      </c>
      <c r="E3636" s="19" t="n">
        <v>0</v>
      </c>
    </row>
    <row r="3637">
      <c r="A3637" s="2" t="inlineStr">
        <is>
          <t>IT01438_02</t>
        </is>
      </c>
      <c r="B3637" s="2" t="inlineStr">
        <is>
          <t>PED01438</t>
        </is>
      </c>
      <c r="C3637" s="2" t="inlineStr">
        <is>
          <t>P070</t>
        </is>
      </c>
      <c r="D3637" s="2" t="n">
        <v>1</v>
      </c>
      <c r="E3637" s="19" t="n">
        <v>0</v>
      </c>
    </row>
    <row r="3638">
      <c r="A3638" s="2" t="inlineStr">
        <is>
          <t>IT01438_03</t>
        </is>
      </c>
      <c r="B3638" s="2" t="inlineStr">
        <is>
          <t>PED01438</t>
        </is>
      </c>
      <c r="C3638" s="2" t="inlineStr">
        <is>
          <t>P036</t>
        </is>
      </c>
      <c r="D3638" s="2" t="n">
        <v>3</v>
      </c>
      <c r="E3638" s="19" t="n">
        <v>0</v>
      </c>
    </row>
    <row r="3639">
      <c r="A3639" s="2" t="inlineStr">
        <is>
          <t>IT01439_01</t>
        </is>
      </c>
      <c r="B3639" s="2" t="inlineStr">
        <is>
          <t>PED01439</t>
        </is>
      </c>
      <c r="C3639" s="2" t="inlineStr">
        <is>
          <t>P027</t>
        </is>
      </c>
      <c r="D3639" s="2" t="n">
        <v>3</v>
      </c>
      <c r="E3639" s="19" t="n">
        <v>0</v>
      </c>
    </row>
    <row r="3640">
      <c r="A3640" s="2" t="inlineStr">
        <is>
          <t>IT01439_02</t>
        </is>
      </c>
      <c r="B3640" s="2" t="inlineStr">
        <is>
          <t>PED01439</t>
        </is>
      </c>
      <c r="C3640" s="2" t="inlineStr">
        <is>
          <t>P019</t>
        </is>
      </c>
      <c r="D3640" s="2" t="n">
        <v>1</v>
      </c>
      <c r="E3640" s="19" t="n">
        <v>0</v>
      </c>
    </row>
    <row r="3641">
      <c r="A3641" s="2" t="inlineStr">
        <is>
          <t>IT01439_03</t>
        </is>
      </c>
      <c r="B3641" s="2" t="inlineStr">
        <is>
          <t>PED01439</t>
        </is>
      </c>
      <c r="C3641" s="2" t="inlineStr">
        <is>
          <t>P054</t>
        </is>
      </c>
      <c r="D3641" s="2" t="n">
        <v>1</v>
      </c>
      <c r="E3641" s="19" t="n">
        <v>0</v>
      </c>
    </row>
    <row r="3642">
      <c r="A3642" s="2" t="inlineStr">
        <is>
          <t>IT01440_01</t>
        </is>
      </c>
      <c r="B3642" s="2" t="inlineStr">
        <is>
          <t>PED01440</t>
        </is>
      </c>
      <c r="C3642" s="2" t="inlineStr">
        <is>
          <t>P069</t>
        </is>
      </c>
      <c r="D3642" s="2" t="n">
        <v>2</v>
      </c>
      <c r="E3642" s="19" t="n">
        <v>0</v>
      </c>
    </row>
    <row r="3643">
      <c r="A3643" s="2" t="inlineStr">
        <is>
          <t>IT01440_02</t>
        </is>
      </c>
      <c r="B3643" s="2" t="inlineStr">
        <is>
          <t>PED01440</t>
        </is>
      </c>
      <c r="C3643" s="2" t="inlineStr">
        <is>
          <t>P010</t>
        </is>
      </c>
      <c r="D3643" s="2" t="n">
        <v>1</v>
      </c>
      <c r="E3643" s="19" t="n">
        <v>0</v>
      </c>
    </row>
    <row r="3644">
      <c r="A3644" s="2" t="inlineStr">
        <is>
          <t>IT01440_03</t>
        </is>
      </c>
      <c r="B3644" s="2" t="inlineStr">
        <is>
          <t>PED01440</t>
        </is>
      </c>
      <c r="C3644" s="2" t="inlineStr">
        <is>
          <t>P014</t>
        </is>
      </c>
      <c r="D3644" s="2" t="n">
        <v>1</v>
      </c>
      <c r="E3644" s="19" t="n">
        <v>0.02</v>
      </c>
    </row>
    <row r="3645">
      <c r="A3645" s="2" t="inlineStr">
        <is>
          <t>IT01440_04</t>
        </is>
      </c>
      <c r="B3645" s="2" t="inlineStr">
        <is>
          <t>PED01440</t>
        </is>
      </c>
      <c r="C3645" s="2" t="inlineStr">
        <is>
          <t>P043</t>
        </is>
      </c>
      <c r="D3645" s="2" t="n">
        <v>2</v>
      </c>
      <c r="E3645" s="19" t="n">
        <v>0.02</v>
      </c>
    </row>
    <row r="3646">
      <c r="A3646" s="2" t="inlineStr">
        <is>
          <t>IT01440_05</t>
        </is>
      </c>
      <c r="B3646" s="2" t="inlineStr">
        <is>
          <t>PED01440</t>
        </is>
      </c>
      <c r="C3646" s="2" t="inlineStr">
        <is>
          <t>P037</t>
        </is>
      </c>
      <c r="D3646" s="2" t="n">
        <v>4</v>
      </c>
      <c r="E3646" s="19" t="n">
        <v>0</v>
      </c>
    </row>
    <row r="3647">
      <c r="A3647" s="2" t="inlineStr">
        <is>
          <t>IT01441_01</t>
        </is>
      </c>
      <c r="B3647" s="2" t="inlineStr">
        <is>
          <t>PED01441</t>
        </is>
      </c>
      <c r="C3647" s="2" t="inlineStr">
        <is>
          <t>P021</t>
        </is>
      </c>
      <c r="D3647" s="2" t="n">
        <v>3</v>
      </c>
      <c r="E3647" s="19" t="n">
        <v>0.02</v>
      </c>
    </row>
    <row r="3648">
      <c r="A3648" s="2" t="inlineStr">
        <is>
          <t>IT01441_02</t>
        </is>
      </c>
      <c r="B3648" s="2" t="inlineStr">
        <is>
          <t>PED01441</t>
        </is>
      </c>
      <c r="C3648" s="2" t="inlineStr">
        <is>
          <t>P044</t>
        </is>
      </c>
      <c r="D3648" s="2" t="n">
        <v>1</v>
      </c>
      <c r="E3648" s="19" t="n">
        <v>0</v>
      </c>
    </row>
    <row r="3649">
      <c r="A3649" s="2" t="inlineStr">
        <is>
          <t>IT01441_03</t>
        </is>
      </c>
      <c r="B3649" s="2" t="inlineStr">
        <is>
          <t>PED01441</t>
        </is>
      </c>
      <c r="C3649" s="2" t="inlineStr">
        <is>
          <t>P051</t>
        </is>
      </c>
      <c r="D3649" s="2" t="n">
        <v>2</v>
      </c>
      <c r="E3649" s="19" t="n">
        <v>0</v>
      </c>
    </row>
    <row r="3650">
      <c r="A3650" s="2" t="inlineStr">
        <is>
          <t>IT01441_04</t>
        </is>
      </c>
      <c r="B3650" s="2" t="inlineStr">
        <is>
          <t>PED01441</t>
        </is>
      </c>
      <c r="C3650" s="2" t="inlineStr">
        <is>
          <t>P060</t>
        </is>
      </c>
      <c r="D3650" s="2" t="n">
        <v>5</v>
      </c>
      <c r="E3650" s="19" t="n">
        <v>0</v>
      </c>
    </row>
    <row r="3651">
      <c r="A3651" s="2" t="inlineStr">
        <is>
          <t>IT01442_01</t>
        </is>
      </c>
      <c r="B3651" s="2" t="inlineStr">
        <is>
          <t>PED01442</t>
        </is>
      </c>
      <c r="C3651" s="2" t="inlineStr">
        <is>
          <t>P050</t>
        </is>
      </c>
      <c r="D3651" s="2" t="n">
        <v>1</v>
      </c>
      <c r="E3651" s="19" t="n">
        <v>0.02</v>
      </c>
    </row>
    <row r="3652">
      <c r="A3652" s="2" t="inlineStr">
        <is>
          <t>IT01442_02</t>
        </is>
      </c>
      <c r="B3652" s="2" t="inlineStr">
        <is>
          <t>PED01442</t>
        </is>
      </c>
      <c r="C3652" s="2" t="inlineStr">
        <is>
          <t>P067</t>
        </is>
      </c>
      <c r="D3652" s="2" t="n">
        <v>10</v>
      </c>
      <c r="E3652" s="19" t="n">
        <v>0</v>
      </c>
    </row>
    <row r="3653">
      <c r="A3653" s="2" t="inlineStr">
        <is>
          <t>IT01443_01</t>
        </is>
      </c>
      <c r="B3653" s="2" t="inlineStr">
        <is>
          <t>PED01443</t>
        </is>
      </c>
      <c r="C3653" s="2" t="inlineStr">
        <is>
          <t>P035</t>
        </is>
      </c>
      <c r="D3653" s="2" t="n">
        <v>3</v>
      </c>
      <c r="E3653" s="19" t="n">
        <v>0</v>
      </c>
    </row>
    <row r="3654">
      <c r="A3654" s="2" t="inlineStr">
        <is>
          <t>IT01443_02</t>
        </is>
      </c>
      <c r="B3654" s="2" t="inlineStr">
        <is>
          <t>PED01443</t>
        </is>
      </c>
      <c r="C3654" s="2" t="inlineStr">
        <is>
          <t>P051</t>
        </is>
      </c>
      <c r="D3654" s="2" t="n">
        <v>2</v>
      </c>
      <c r="E3654" s="19" t="n">
        <v>0</v>
      </c>
    </row>
    <row r="3655">
      <c r="A3655" s="2" t="inlineStr">
        <is>
          <t>IT01443_03</t>
        </is>
      </c>
      <c r="B3655" s="2" t="inlineStr">
        <is>
          <t>PED01443</t>
        </is>
      </c>
      <c r="C3655" s="2" t="inlineStr">
        <is>
          <t>P004</t>
        </is>
      </c>
      <c r="D3655" s="2" t="n">
        <v>1</v>
      </c>
      <c r="E3655" s="19" t="n">
        <v>0.02</v>
      </c>
    </row>
    <row r="3656">
      <c r="A3656" s="2" t="inlineStr">
        <is>
          <t>IT01444_01</t>
        </is>
      </c>
      <c r="B3656" s="2" t="inlineStr">
        <is>
          <t>PED01444</t>
        </is>
      </c>
      <c r="C3656" s="2" t="inlineStr">
        <is>
          <t>P026</t>
        </is>
      </c>
      <c r="D3656" s="2" t="n">
        <v>3</v>
      </c>
      <c r="E3656" s="19" t="n">
        <v>0</v>
      </c>
    </row>
    <row r="3657">
      <c r="A3657" s="2" t="inlineStr">
        <is>
          <t>IT01444_02</t>
        </is>
      </c>
      <c r="B3657" s="2" t="inlineStr">
        <is>
          <t>PED01444</t>
        </is>
      </c>
      <c r="C3657" s="2" t="inlineStr">
        <is>
          <t>P051</t>
        </is>
      </c>
      <c r="D3657" s="2" t="n">
        <v>2</v>
      </c>
      <c r="E3657" s="19" t="n">
        <v>0</v>
      </c>
    </row>
    <row r="3658">
      <c r="A3658" s="2" t="inlineStr">
        <is>
          <t>IT01445_01</t>
        </is>
      </c>
      <c r="B3658" s="2" t="inlineStr">
        <is>
          <t>PED01445</t>
        </is>
      </c>
      <c r="C3658" s="2" t="inlineStr">
        <is>
          <t>P041</t>
        </is>
      </c>
      <c r="D3658" s="2" t="n">
        <v>2</v>
      </c>
      <c r="E3658" s="19" t="n">
        <v>0</v>
      </c>
    </row>
    <row r="3659">
      <c r="A3659" s="2" t="inlineStr">
        <is>
          <t>IT01445_02</t>
        </is>
      </c>
      <c r="B3659" s="2" t="inlineStr">
        <is>
          <t>PED01445</t>
        </is>
      </c>
      <c r="C3659" s="2" t="inlineStr">
        <is>
          <t>P058</t>
        </is>
      </c>
      <c r="D3659" s="2" t="n">
        <v>1</v>
      </c>
      <c r="E3659" s="19" t="n">
        <v>0</v>
      </c>
    </row>
    <row r="3660">
      <c r="A3660" s="2" t="inlineStr">
        <is>
          <t>IT01446_01</t>
        </is>
      </c>
      <c r="B3660" s="2" t="inlineStr">
        <is>
          <t>PED01446</t>
        </is>
      </c>
      <c r="C3660" s="2" t="inlineStr">
        <is>
          <t>P023</t>
        </is>
      </c>
      <c r="D3660" s="2" t="n">
        <v>2</v>
      </c>
      <c r="E3660" s="19" t="n">
        <v>0</v>
      </c>
    </row>
    <row r="3661">
      <c r="A3661" s="2" t="inlineStr">
        <is>
          <t>IT01446_02</t>
        </is>
      </c>
      <c r="B3661" s="2" t="inlineStr">
        <is>
          <t>PED01446</t>
        </is>
      </c>
      <c r="C3661" s="2" t="inlineStr">
        <is>
          <t>P033</t>
        </is>
      </c>
      <c r="D3661" s="2" t="n">
        <v>1</v>
      </c>
      <c r="E3661" s="19" t="n">
        <v>0</v>
      </c>
    </row>
    <row r="3662">
      <c r="A3662" s="2" t="inlineStr">
        <is>
          <t>IT01447_01</t>
        </is>
      </c>
      <c r="B3662" s="2" t="inlineStr">
        <is>
          <t>PED01447</t>
        </is>
      </c>
      <c r="C3662" s="2" t="inlineStr">
        <is>
          <t>P010</t>
        </is>
      </c>
      <c r="D3662" s="2" t="n">
        <v>1</v>
      </c>
      <c r="E3662" s="19" t="n">
        <v>0</v>
      </c>
    </row>
    <row r="3663">
      <c r="A3663" s="2" t="inlineStr">
        <is>
          <t>IT01448_01</t>
        </is>
      </c>
      <c r="B3663" s="2" t="inlineStr">
        <is>
          <t>PED01448</t>
        </is>
      </c>
      <c r="C3663" s="2" t="inlineStr">
        <is>
          <t>P066</t>
        </is>
      </c>
      <c r="D3663" s="2" t="n">
        <v>2</v>
      </c>
      <c r="E3663" s="19" t="n">
        <v>0</v>
      </c>
    </row>
    <row r="3664">
      <c r="A3664" s="2" t="inlineStr">
        <is>
          <t>IT01449_01</t>
        </is>
      </c>
      <c r="B3664" s="2" t="inlineStr">
        <is>
          <t>PED01449</t>
        </is>
      </c>
      <c r="C3664" s="2" t="inlineStr">
        <is>
          <t>P069</t>
        </is>
      </c>
      <c r="D3664" s="2" t="n">
        <v>1</v>
      </c>
      <c r="E3664" s="19" t="n">
        <v>0.02</v>
      </c>
    </row>
    <row r="3665">
      <c r="A3665" s="2" t="inlineStr">
        <is>
          <t>IT01449_02</t>
        </is>
      </c>
      <c r="B3665" s="2" t="inlineStr">
        <is>
          <t>PED01449</t>
        </is>
      </c>
      <c r="C3665" s="2" t="inlineStr">
        <is>
          <t>P055</t>
        </is>
      </c>
      <c r="D3665" s="2" t="n">
        <v>3</v>
      </c>
      <c r="E3665" s="19" t="n">
        <v>0.05</v>
      </c>
    </row>
    <row r="3666">
      <c r="A3666" s="2" t="inlineStr">
        <is>
          <t>IT01450_01</t>
        </is>
      </c>
      <c r="B3666" s="2" t="inlineStr">
        <is>
          <t>PED01450</t>
        </is>
      </c>
      <c r="C3666" s="2" t="inlineStr">
        <is>
          <t>P039</t>
        </is>
      </c>
      <c r="D3666" s="2" t="n">
        <v>2</v>
      </c>
      <c r="E3666" s="19" t="n">
        <v>0</v>
      </c>
    </row>
    <row r="3667">
      <c r="A3667" s="2" t="inlineStr">
        <is>
          <t>IT01450_02</t>
        </is>
      </c>
      <c r="B3667" s="2" t="inlineStr">
        <is>
          <t>PED01450</t>
        </is>
      </c>
      <c r="C3667" s="2" t="inlineStr">
        <is>
          <t>P035</t>
        </is>
      </c>
      <c r="D3667" s="2" t="n">
        <v>1</v>
      </c>
      <c r="E3667" s="19" t="n">
        <v>0.02</v>
      </c>
    </row>
    <row r="3668">
      <c r="A3668" s="2" t="inlineStr">
        <is>
          <t>IT01450_03</t>
        </is>
      </c>
      <c r="B3668" s="2" t="inlineStr">
        <is>
          <t>PED01450</t>
        </is>
      </c>
      <c r="C3668" s="2" t="inlineStr">
        <is>
          <t>P020</t>
        </is>
      </c>
      <c r="D3668" s="2" t="n">
        <v>1</v>
      </c>
      <c r="E3668" s="19" t="n">
        <v>0</v>
      </c>
    </row>
    <row r="3669">
      <c r="A3669" s="2" t="inlineStr">
        <is>
          <t>IT01450_04</t>
        </is>
      </c>
      <c r="B3669" s="2" t="inlineStr">
        <is>
          <t>PED01450</t>
        </is>
      </c>
      <c r="C3669" s="2" t="inlineStr">
        <is>
          <t>P028</t>
        </is>
      </c>
      <c r="D3669" s="2" t="n">
        <v>2</v>
      </c>
      <c r="E3669" s="19" t="n">
        <v>0</v>
      </c>
    </row>
    <row r="3670">
      <c r="A3670" s="2" t="inlineStr">
        <is>
          <t>IT01451_01</t>
        </is>
      </c>
      <c r="B3670" s="2" t="inlineStr">
        <is>
          <t>PED01451</t>
        </is>
      </c>
      <c r="C3670" s="2" t="inlineStr">
        <is>
          <t>P056</t>
        </is>
      </c>
      <c r="D3670" s="2" t="n">
        <v>2</v>
      </c>
      <c r="E3670" s="19" t="n">
        <v>0.05</v>
      </c>
    </row>
    <row r="3671">
      <c r="A3671" s="2" t="inlineStr">
        <is>
          <t>IT01452_01</t>
        </is>
      </c>
      <c r="B3671" s="2" t="inlineStr">
        <is>
          <t>PED01452</t>
        </is>
      </c>
      <c r="C3671" s="2" t="inlineStr">
        <is>
          <t>P018</t>
        </is>
      </c>
      <c r="D3671" s="2" t="n">
        <v>2</v>
      </c>
      <c r="E3671" s="19" t="n">
        <v>0</v>
      </c>
    </row>
    <row r="3672">
      <c r="A3672" s="2" t="inlineStr">
        <is>
          <t>IT01452_02</t>
        </is>
      </c>
      <c r="B3672" s="2" t="inlineStr">
        <is>
          <t>PED01452</t>
        </is>
      </c>
      <c r="C3672" s="2" t="inlineStr">
        <is>
          <t>P035</t>
        </is>
      </c>
      <c r="D3672" s="2" t="n">
        <v>1</v>
      </c>
      <c r="E3672" s="19" t="n">
        <v>0</v>
      </c>
    </row>
    <row r="3673">
      <c r="A3673" s="2" t="inlineStr">
        <is>
          <t>IT01452_03</t>
        </is>
      </c>
      <c r="B3673" s="2" t="inlineStr">
        <is>
          <t>PED01452</t>
        </is>
      </c>
      <c r="C3673" s="2" t="inlineStr">
        <is>
          <t>P044</t>
        </is>
      </c>
      <c r="D3673" s="2" t="n">
        <v>2</v>
      </c>
      <c r="E3673" s="19" t="n">
        <v>0</v>
      </c>
    </row>
    <row r="3674">
      <c r="A3674" s="2" t="inlineStr">
        <is>
          <t>IT01452_04</t>
        </is>
      </c>
      <c r="B3674" s="2" t="inlineStr">
        <is>
          <t>PED01452</t>
        </is>
      </c>
      <c r="C3674" s="2" t="inlineStr">
        <is>
          <t>P020</t>
        </is>
      </c>
      <c r="D3674" s="2" t="n">
        <v>4</v>
      </c>
      <c r="E3674" s="19" t="n">
        <v>0</v>
      </c>
    </row>
    <row r="3675">
      <c r="A3675" s="2" t="inlineStr">
        <is>
          <t>IT01453_01</t>
        </is>
      </c>
      <c r="B3675" s="2" t="inlineStr">
        <is>
          <t>PED01453</t>
        </is>
      </c>
      <c r="C3675" s="2" t="inlineStr">
        <is>
          <t>P064</t>
        </is>
      </c>
      <c r="D3675" s="2" t="n">
        <v>2</v>
      </c>
      <c r="E3675" s="19" t="n">
        <v>0.05</v>
      </c>
    </row>
    <row r="3676">
      <c r="A3676" s="2" t="inlineStr">
        <is>
          <t>IT01453_02</t>
        </is>
      </c>
      <c r="B3676" s="2" t="inlineStr">
        <is>
          <t>PED01453</t>
        </is>
      </c>
      <c r="C3676" s="2" t="inlineStr">
        <is>
          <t>P029</t>
        </is>
      </c>
      <c r="D3676" s="2" t="n">
        <v>2</v>
      </c>
      <c r="E3676" s="19" t="n">
        <v>0</v>
      </c>
    </row>
    <row r="3677">
      <c r="A3677" s="2" t="inlineStr">
        <is>
          <t>IT01453_03</t>
        </is>
      </c>
      <c r="B3677" s="2" t="inlineStr">
        <is>
          <t>PED01453</t>
        </is>
      </c>
      <c r="C3677" s="2" t="inlineStr">
        <is>
          <t>P033</t>
        </is>
      </c>
      <c r="D3677" s="2" t="n">
        <v>2</v>
      </c>
      <c r="E3677" s="19" t="n">
        <v>0</v>
      </c>
    </row>
    <row r="3678">
      <c r="A3678" s="2" t="inlineStr">
        <is>
          <t>IT01454_01</t>
        </is>
      </c>
      <c r="B3678" s="2" t="inlineStr">
        <is>
          <t>PED01454</t>
        </is>
      </c>
      <c r="C3678" s="2" t="inlineStr">
        <is>
          <t>P006</t>
        </is>
      </c>
      <c r="D3678" s="2" t="n">
        <v>4</v>
      </c>
      <c r="E3678" s="19" t="n">
        <v>0</v>
      </c>
    </row>
    <row r="3679">
      <c r="A3679" s="2" t="inlineStr">
        <is>
          <t>IT01454_02</t>
        </is>
      </c>
      <c r="B3679" s="2" t="inlineStr">
        <is>
          <t>PED01454</t>
        </is>
      </c>
      <c r="C3679" s="2" t="inlineStr">
        <is>
          <t>P030</t>
        </is>
      </c>
      <c r="D3679" s="2" t="n">
        <v>3</v>
      </c>
      <c r="E3679" s="19" t="n">
        <v>0</v>
      </c>
    </row>
    <row r="3680">
      <c r="A3680" s="2" t="inlineStr">
        <is>
          <t>IT01454_03</t>
        </is>
      </c>
      <c r="B3680" s="2" t="inlineStr">
        <is>
          <t>PED01454</t>
        </is>
      </c>
      <c r="C3680" s="2" t="inlineStr">
        <is>
          <t>P012</t>
        </is>
      </c>
      <c r="D3680" s="2" t="n">
        <v>1</v>
      </c>
      <c r="E3680" s="19" t="n">
        <v>0.05</v>
      </c>
    </row>
    <row r="3681">
      <c r="A3681" s="2" t="inlineStr">
        <is>
          <t>IT01454_04</t>
        </is>
      </c>
      <c r="B3681" s="2" t="inlineStr">
        <is>
          <t>PED01454</t>
        </is>
      </c>
      <c r="C3681" s="2" t="inlineStr">
        <is>
          <t>P046</t>
        </is>
      </c>
      <c r="D3681" s="2" t="n">
        <v>1</v>
      </c>
      <c r="E3681" s="19" t="n">
        <v>0</v>
      </c>
    </row>
    <row r="3682">
      <c r="A3682" s="2" t="inlineStr">
        <is>
          <t>IT01455_01</t>
        </is>
      </c>
      <c r="B3682" s="2" t="inlineStr">
        <is>
          <t>PED01455</t>
        </is>
      </c>
      <c r="C3682" s="2" t="inlineStr">
        <is>
          <t>P037</t>
        </is>
      </c>
      <c r="D3682" s="2" t="n">
        <v>2</v>
      </c>
      <c r="E3682" s="19" t="n">
        <v>0</v>
      </c>
    </row>
    <row r="3683">
      <c r="A3683" s="2" t="inlineStr">
        <is>
          <t>IT01455_02</t>
        </is>
      </c>
      <c r="B3683" s="2" t="inlineStr">
        <is>
          <t>PED01455</t>
        </is>
      </c>
      <c r="C3683" s="2" t="inlineStr">
        <is>
          <t>P069</t>
        </is>
      </c>
      <c r="D3683" s="2" t="n">
        <v>1</v>
      </c>
      <c r="E3683" s="19" t="n">
        <v>0.05</v>
      </c>
    </row>
    <row r="3684">
      <c r="A3684" s="2" t="inlineStr">
        <is>
          <t>IT01456_01</t>
        </is>
      </c>
      <c r="B3684" s="2" t="inlineStr">
        <is>
          <t>PED01456</t>
        </is>
      </c>
      <c r="C3684" s="2" t="inlineStr">
        <is>
          <t>P067</t>
        </is>
      </c>
      <c r="D3684" s="2" t="n">
        <v>2</v>
      </c>
      <c r="E3684" s="19" t="n">
        <v>0.02</v>
      </c>
    </row>
    <row r="3685">
      <c r="A3685" s="2" t="inlineStr">
        <is>
          <t>IT01456_02</t>
        </is>
      </c>
      <c r="B3685" s="2" t="inlineStr">
        <is>
          <t>PED01456</t>
        </is>
      </c>
      <c r="C3685" s="2" t="inlineStr">
        <is>
          <t>P021</t>
        </is>
      </c>
      <c r="D3685" s="2" t="n">
        <v>1</v>
      </c>
      <c r="E3685" s="19" t="n">
        <v>0</v>
      </c>
    </row>
    <row r="3686">
      <c r="A3686" s="2" t="inlineStr">
        <is>
          <t>IT01456_03</t>
        </is>
      </c>
      <c r="B3686" s="2" t="inlineStr">
        <is>
          <t>PED01456</t>
        </is>
      </c>
      <c r="C3686" s="2" t="inlineStr">
        <is>
          <t>P026</t>
        </is>
      </c>
      <c r="D3686" s="2" t="n">
        <v>3</v>
      </c>
      <c r="E3686" s="19" t="n">
        <v>0</v>
      </c>
    </row>
    <row r="3687">
      <c r="A3687" s="2" t="inlineStr">
        <is>
          <t>IT01456_04</t>
        </is>
      </c>
      <c r="B3687" s="2" t="inlineStr">
        <is>
          <t>PED01456</t>
        </is>
      </c>
      <c r="C3687" s="2" t="inlineStr">
        <is>
          <t>P001</t>
        </is>
      </c>
      <c r="D3687" s="2" t="n">
        <v>1</v>
      </c>
      <c r="E3687" s="19" t="n">
        <v>0</v>
      </c>
    </row>
    <row r="3688">
      <c r="A3688" s="2" t="inlineStr">
        <is>
          <t>IT01457_01</t>
        </is>
      </c>
      <c r="B3688" s="2" t="inlineStr">
        <is>
          <t>PED01457</t>
        </is>
      </c>
      <c r="C3688" s="2" t="inlineStr">
        <is>
          <t>P055</t>
        </is>
      </c>
      <c r="D3688" s="2" t="n">
        <v>1</v>
      </c>
      <c r="E3688" s="19" t="n">
        <v>0</v>
      </c>
    </row>
    <row r="3689">
      <c r="A3689" s="2" t="inlineStr">
        <is>
          <t>IT01457_02</t>
        </is>
      </c>
      <c r="B3689" s="2" t="inlineStr">
        <is>
          <t>PED01457</t>
        </is>
      </c>
      <c r="C3689" s="2" t="inlineStr">
        <is>
          <t>P004</t>
        </is>
      </c>
      <c r="D3689" s="2" t="n">
        <v>2</v>
      </c>
      <c r="E3689" s="19" t="n">
        <v>0.05</v>
      </c>
    </row>
    <row r="3690">
      <c r="A3690" s="2" t="inlineStr">
        <is>
          <t>IT01457_03</t>
        </is>
      </c>
      <c r="B3690" s="2" t="inlineStr">
        <is>
          <t>PED01457</t>
        </is>
      </c>
      <c r="C3690" s="2" t="inlineStr">
        <is>
          <t>P047</t>
        </is>
      </c>
      <c r="D3690" s="2" t="n">
        <v>1</v>
      </c>
      <c r="E3690" s="19" t="n">
        <v>0.05</v>
      </c>
    </row>
    <row r="3691">
      <c r="A3691" s="2" t="inlineStr">
        <is>
          <t>IT01457_04</t>
        </is>
      </c>
      <c r="B3691" s="2" t="inlineStr">
        <is>
          <t>PED01457</t>
        </is>
      </c>
      <c r="C3691" s="2" t="inlineStr">
        <is>
          <t>P049</t>
        </is>
      </c>
      <c r="D3691" s="2" t="n">
        <v>2</v>
      </c>
      <c r="E3691" s="19" t="n">
        <v>0.02</v>
      </c>
    </row>
    <row r="3692">
      <c r="A3692" s="2" t="inlineStr">
        <is>
          <t>IT01457_05</t>
        </is>
      </c>
      <c r="B3692" s="2" t="inlineStr">
        <is>
          <t>PED01457</t>
        </is>
      </c>
      <c r="C3692" s="2" t="inlineStr">
        <is>
          <t>P036</t>
        </is>
      </c>
      <c r="D3692" s="2" t="n">
        <v>1</v>
      </c>
      <c r="E3692" s="19" t="n">
        <v>0</v>
      </c>
    </row>
    <row r="3693">
      <c r="A3693" s="2" t="inlineStr">
        <is>
          <t>IT01458_01</t>
        </is>
      </c>
      <c r="B3693" s="2" t="inlineStr">
        <is>
          <t>PED01458</t>
        </is>
      </c>
      <c r="C3693" s="2" t="inlineStr">
        <is>
          <t>P012</t>
        </is>
      </c>
      <c r="D3693" s="2" t="n">
        <v>1</v>
      </c>
      <c r="E3693" s="19" t="n">
        <v>0.02</v>
      </c>
    </row>
    <row r="3694">
      <c r="A3694" s="2" t="inlineStr">
        <is>
          <t>IT01458_02</t>
        </is>
      </c>
      <c r="B3694" s="2" t="inlineStr">
        <is>
          <t>PED01458</t>
        </is>
      </c>
      <c r="C3694" s="2" t="inlineStr">
        <is>
          <t>P060</t>
        </is>
      </c>
      <c r="D3694" s="2" t="n">
        <v>4</v>
      </c>
      <c r="E3694" s="19" t="n">
        <v>0.05</v>
      </c>
    </row>
    <row r="3695">
      <c r="A3695" s="2" t="inlineStr">
        <is>
          <t>IT01458_03</t>
        </is>
      </c>
      <c r="B3695" s="2" t="inlineStr">
        <is>
          <t>PED01458</t>
        </is>
      </c>
      <c r="C3695" s="2" t="inlineStr">
        <is>
          <t>P070</t>
        </is>
      </c>
      <c r="D3695" s="2" t="n">
        <v>3</v>
      </c>
      <c r="E3695" s="19" t="n">
        <v>0</v>
      </c>
    </row>
    <row r="3696">
      <c r="A3696" s="2" t="inlineStr">
        <is>
          <t>IT01458_04</t>
        </is>
      </c>
      <c r="B3696" s="2" t="inlineStr">
        <is>
          <t>PED01458</t>
        </is>
      </c>
      <c r="C3696" s="2" t="inlineStr">
        <is>
          <t>P065</t>
        </is>
      </c>
      <c r="D3696" s="2" t="n">
        <v>1</v>
      </c>
      <c r="E3696" s="19" t="n">
        <v>0</v>
      </c>
    </row>
    <row r="3697">
      <c r="A3697" s="2" t="inlineStr">
        <is>
          <t>IT01459_01</t>
        </is>
      </c>
      <c r="B3697" s="2" t="inlineStr">
        <is>
          <t>PED01459</t>
        </is>
      </c>
      <c r="C3697" s="2" t="inlineStr">
        <is>
          <t>P016</t>
        </is>
      </c>
      <c r="D3697" s="2" t="n">
        <v>5</v>
      </c>
      <c r="E3697" s="19" t="n">
        <v>0</v>
      </c>
    </row>
    <row r="3698">
      <c r="A3698" s="2" t="inlineStr">
        <is>
          <t>IT01459_02</t>
        </is>
      </c>
      <c r="B3698" s="2" t="inlineStr">
        <is>
          <t>PED01459</t>
        </is>
      </c>
      <c r="C3698" s="2" t="inlineStr">
        <is>
          <t>P058</t>
        </is>
      </c>
      <c r="D3698" s="2" t="n">
        <v>1</v>
      </c>
      <c r="E3698" s="19" t="n">
        <v>0</v>
      </c>
    </row>
    <row r="3699">
      <c r="A3699" s="2" t="inlineStr">
        <is>
          <t>IT01459_03</t>
        </is>
      </c>
      <c r="B3699" s="2" t="inlineStr">
        <is>
          <t>PED01459</t>
        </is>
      </c>
      <c r="C3699" s="2" t="inlineStr">
        <is>
          <t>P065</t>
        </is>
      </c>
      <c r="D3699" s="2" t="n">
        <v>2</v>
      </c>
      <c r="E3699" s="19" t="n">
        <v>0.05</v>
      </c>
    </row>
    <row r="3700">
      <c r="A3700" s="2" t="inlineStr">
        <is>
          <t>IT01460_01</t>
        </is>
      </c>
      <c r="B3700" s="2" t="inlineStr">
        <is>
          <t>PED01460</t>
        </is>
      </c>
      <c r="C3700" s="2" t="inlineStr">
        <is>
          <t>P058</t>
        </is>
      </c>
      <c r="D3700" s="2" t="n">
        <v>3</v>
      </c>
      <c r="E3700" s="19" t="n">
        <v>0.1</v>
      </c>
    </row>
    <row r="3701">
      <c r="A3701" s="2" t="inlineStr">
        <is>
          <t>IT01460_02</t>
        </is>
      </c>
      <c r="B3701" s="2" t="inlineStr">
        <is>
          <t>PED01460</t>
        </is>
      </c>
      <c r="C3701" s="2" t="inlineStr">
        <is>
          <t>P008</t>
        </is>
      </c>
      <c r="D3701" s="2" t="n">
        <v>2</v>
      </c>
      <c r="E3701" s="19" t="n">
        <v>0.02</v>
      </c>
    </row>
    <row r="3702">
      <c r="A3702" s="2" t="inlineStr">
        <is>
          <t>IT01460_03</t>
        </is>
      </c>
      <c r="B3702" s="2" t="inlineStr">
        <is>
          <t>PED01460</t>
        </is>
      </c>
      <c r="C3702" s="2" t="inlineStr">
        <is>
          <t>P036</t>
        </is>
      </c>
      <c r="D3702" s="2" t="n">
        <v>1</v>
      </c>
      <c r="E3702" s="19" t="n">
        <v>0.02</v>
      </c>
    </row>
    <row r="3703">
      <c r="A3703" s="2" t="inlineStr">
        <is>
          <t>IT01461_01</t>
        </is>
      </c>
      <c r="B3703" s="2" t="inlineStr">
        <is>
          <t>PED01461</t>
        </is>
      </c>
      <c r="C3703" s="2" t="inlineStr">
        <is>
          <t>P070</t>
        </is>
      </c>
      <c r="D3703" s="2" t="n">
        <v>2</v>
      </c>
      <c r="E3703" s="19" t="n">
        <v>0</v>
      </c>
    </row>
    <row r="3704">
      <c r="A3704" s="2" t="inlineStr">
        <is>
          <t>IT01461_02</t>
        </is>
      </c>
      <c r="B3704" s="2" t="inlineStr">
        <is>
          <t>PED01461</t>
        </is>
      </c>
      <c r="C3704" s="2" t="inlineStr">
        <is>
          <t>P006</t>
        </is>
      </c>
      <c r="D3704" s="2" t="n">
        <v>2</v>
      </c>
      <c r="E3704" s="19" t="n">
        <v>0</v>
      </c>
    </row>
    <row r="3705">
      <c r="A3705" s="2" t="inlineStr">
        <is>
          <t>IT01461_03</t>
        </is>
      </c>
      <c r="B3705" s="2" t="inlineStr">
        <is>
          <t>PED01461</t>
        </is>
      </c>
      <c r="C3705" s="2" t="inlineStr">
        <is>
          <t>P058</t>
        </is>
      </c>
      <c r="D3705" s="2" t="n">
        <v>2</v>
      </c>
      <c r="E3705" s="19" t="n">
        <v>0</v>
      </c>
    </row>
    <row r="3706">
      <c r="A3706" s="2" t="inlineStr">
        <is>
          <t>IT01461_04</t>
        </is>
      </c>
      <c r="B3706" s="2" t="inlineStr">
        <is>
          <t>PED01461</t>
        </is>
      </c>
      <c r="C3706" s="2" t="inlineStr">
        <is>
          <t>P027</t>
        </is>
      </c>
      <c r="D3706" s="2" t="n">
        <v>1</v>
      </c>
      <c r="E3706" s="19" t="n">
        <v>0</v>
      </c>
    </row>
    <row r="3707">
      <c r="A3707" s="2" t="inlineStr">
        <is>
          <t>IT01462_01</t>
        </is>
      </c>
      <c r="B3707" s="2" t="inlineStr">
        <is>
          <t>PED01462</t>
        </is>
      </c>
      <c r="C3707" s="2" t="inlineStr">
        <is>
          <t>P066</t>
        </is>
      </c>
      <c r="D3707" s="2" t="n">
        <v>1</v>
      </c>
      <c r="E3707" s="19" t="n">
        <v>0</v>
      </c>
    </row>
    <row r="3708">
      <c r="A3708" s="2" t="inlineStr">
        <is>
          <t>IT01462_02</t>
        </is>
      </c>
      <c r="B3708" s="2" t="inlineStr">
        <is>
          <t>PED01462</t>
        </is>
      </c>
      <c r="C3708" s="2" t="inlineStr">
        <is>
          <t>P057</t>
        </is>
      </c>
      <c r="D3708" s="2" t="n">
        <v>4</v>
      </c>
      <c r="E3708" s="19" t="n">
        <v>0.1</v>
      </c>
    </row>
    <row r="3709">
      <c r="A3709" s="2" t="inlineStr">
        <is>
          <t>IT01463_01</t>
        </is>
      </c>
      <c r="B3709" s="2" t="inlineStr">
        <is>
          <t>PED01463</t>
        </is>
      </c>
      <c r="C3709" s="2" t="inlineStr">
        <is>
          <t>P015</t>
        </is>
      </c>
      <c r="D3709" s="2" t="n">
        <v>5</v>
      </c>
      <c r="E3709" s="19" t="n">
        <v>0.02</v>
      </c>
    </row>
    <row r="3710">
      <c r="A3710" s="2" t="inlineStr">
        <is>
          <t>IT01464_01</t>
        </is>
      </c>
      <c r="B3710" s="2" t="inlineStr">
        <is>
          <t>PED01464</t>
        </is>
      </c>
      <c r="C3710" s="2" t="inlineStr">
        <is>
          <t>P070</t>
        </is>
      </c>
      <c r="D3710" s="2" t="n">
        <v>2</v>
      </c>
      <c r="E3710" s="19" t="n">
        <v>0</v>
      </c>
    </row>
    <row r="3711">
      <c r="A3711" s="2" t="inlineStr">
        <is>
          <t>IT01465_01</t>
        </is>
      </c>
      <c r="B3711" s="2" t="inlineStr">
        <is>
          <t>PED01465</t>
        </is>
      </c>
      <c r="C3711" s="2" t="inlineStr">
        <is>
          <t>P052</t>
        </is>
      </c>
      <c r="D3711" s="2" t="n">
        <v>1</v>
      </c>
      <c r="E3711" s="19" t="n">
        <v>0.02</v>
      </c>
    </row>
    <row r="3712">
      <c r="A3712" s="2" t="inlineStr">
        <is>
          <t>IT01466_01</t>
        </is>
      </c>
      <c r="B3712" s="2" t="inlineStr">
        <is>
          <t>PED01466</t>
        </is>
      </c>
      <c r="C3712" s="2" t="inlineStr">
        <is>
          <t>P019</t>
        </is>
      </c>
      <c r="D3712" s="2" t="n">
        <v>1</v>
      </c>
      <c r="E3712" s="19" t="n">
        <v>0.05</v>
      </c>
    </row>
    <row r="3713">
      <c r="A3713" s="2" t="inlineStr">
        <is>
          <t>IT01466_02</t>
        </is>
      </c>
      <c r="B3713" s="2" t="inlineStr">
        <is>
          <t>PED01466</t>
        </is>
      </c>
      <c r="C3713" s="2" t="inlineStr">
        <is>
          <t>P050</t>
        </is>
      </c>
      <c r="D3713" s="2" t="n">
        <v>2</v>
      </c>
      <c r="E3713" s="19" t="n">
        <v>0.05</v>
      </c>
    </row>
    <row r="3714">
      <c r="A3714" s="2" t="inlineStr">
        <is>
          <t>IT01466_03</t>
        </is>
      </c>
      <c r="B3714" s="2" t="inlineStr">
        <is>
          <t>PED01466</t>
        </is>
      </c>
      <c r="C3714" s="2" t="inlineStr">
        <is>
          <t>P030</t>
        </is>
      </c>
      <c r="D3714" s="2" t="n">
        <v>2</v>
      </c>
      <c r="E3714" s="19" t="n">
        <v>0</v>
      </c>
    </row>
    <row r="3715">
      <c r="A3715" s="2" t="inlineStr">
        <is>
          <t>IT01467_01</t>
        </is>
      </c>
      <c r="B3715" s="2" t="inlineStr">
        <is>
          <t>PED01467</t>
        </is>
      </c>
      <c r="C3715" s="2" t="inlineStr">
        <is>
          <t>P053</t>
        </is>
      </c>
      <c r="D3715" s="2" t="n">
        <v>3</v>
      </c>
      <c r="E3715" s="19" t="n">
        <v>0.05</v>
      </c>
    </row>
    <row r="3716">
      <c r="A3716" s="2" t="inlineStr">
        <is>
          <t>IT01467_02</t>
        </is>
      </c>
      <c r="B3716" s="2" t="inlineStr">
        <is>
          <t>PED01467</t>
        </is>
      </c>
      <c r="C3716" s="2" t="inlineStr">
        <is>
          <t>P067</t>
        </is>
      </c>
      <c r="D3716" s="2" t="n">
        <v>10</v>
      </c>
      <c r="E3716" s="19" t="n">
        <v>0</v>
      </c>
    </row>
    <row r="3717">
      <c r="A3717" s="2" t="inlineStr">
        <is>
          <t>IT01468_01</t>
        </is>
      </c>
      <c r="B3717" s="2" t="inlineStr">
        <is>
          <t>PED01468</t>
        </is>
      </c>
      <c r="C3717" s="2" t="inlineStr">
        <is>
          <t>P028</t>
        </is>
      </c>
      <c r="D3717" s="2" t="n">
        <v>1</v>
      </c>
      <c r="E3717" s="19" t="n">
        <v>0</v>
      </c>
    </row>
    <row r="3718">
      <c r="A3718" s="2" t="inlineStr">
        <is>
          <t>IT01468_02</t>
        </is>
      </c>
      <c r="B3718" s="2" t="inlineStr">
        <is>
          <t>PED01468</t>
        </is>
      </c>
      <c r="C3718" s="2" t="inlineStr">
        <is>
          <t>P013</t>
        </is>
      </c>
      <c r="D3718" s="2" t="n">
        <v>2</v>
      </c>
      <c r="E3718" s="19" t="n">
        <v>0.02</v>
      </c>
    </row>
    <row r="3719">
      <c r="A3719" s="2" t="inlineStr">
        <is>
          <t>IT01468_03</t>
        </is>
      </c>
      <c r="B3719" s="2" t="inlineStr">
        <is>
          <t>PED01468</t>
        </is>
      </c>
      <c r="C3719" s="2" t="inlineStr">
        <is>
          <t>P042</t>
        </is>
      </c>
      <c r="D3719" s="2" t="n">
        <v>2</v>
      </c>
      <c r="E3719" s="19" t="n">
        <v>0.05</v>
      </c>
    </row>
    <row r="3720">
      <c r="A3720" s="2" t="inlineStr">
        <is>
          <t>IT01469_01</t>
        </is>
      </c>
      <c r="B3720" s="2" t="inlineStr">
        <is>
          <t>PED01469</t>
        </is>
      </c>
      <c r="C3720" s="2" t="inlineStr">
        <is>
          <t>P067</t>
        </is>
      </c>
      <c r="D3720" s="2" t="n">
        <v>1</v>
      </c>
      <c r="E3720" s="19" t="n">
        <v>0</v>
      </c>
    </row>
    <row r="3721">
      <c r="A3721" s="2" t="inlineStr">
        <is>
          <t>IT01469_02</t>
        </is>
      </c>
      <c r="B3721" s="2" t="inlineStr">
        <is>
          <t>PED01469</t>
        </is>
      </c>
      <c r="C3721" s="2" t="inlineStr">
        <is>
          <t>P036</t>
        </is>
      </c>
      <c r="D3721" s="2" t="n">
        <v>2</v>
      </c>
      <c r="E3721" s="19" t="n">
        <v>0</v>
      </c>
    </row>
    <row r="3722">
      <c r="A3722" s="2" t="inlineStr">
        <is>
          <t>IT01469_03</t>
        </is>
      </c>
      <c r="B3722" s="2" t="inlineStr">
        <is>
          <t>PED01469</t>
        </is>
      </c>
      <c r="C3722" s="2" t="inlineStr">
        <is>
          <t>P034</t>
        </is>
      </c>
      <c r="D3722" s="2" t="n">
        <v>5</v>
      </c>
      <c r="E3722" s="19" t="n">
        <v>0</v>
      </c>
    </row>
    <row r="3723">
      <c r="A3723" s="2" t="inlineStr">
        <is>
          <t>IT01470_01</t>
        </is>
      </c>
      <c r="B3723" s="2" t="inlineStr">
        <is>
          <t>PED01470</t>
        </is>
      </c>
      <c r="C3723" s="2" t="inlineStr">
        <is>
          <t>P042</t>
        </is>
      </c>
      <c r="D3723" s="2" t="n">
        <v>10</v>
      </c>
      <c r="E3723" s="19" t="n">
        <v>0</v>
      </c>
    </row>
    <row r="3724">
      <c r="A3724" s="2" t="inlineStr">
        <is>
          <t>IT01470_02</t>
        </is>
      </c>
      <c r="B3724" s="2" t="inlineStr">
        <is>
          <t>PED01470</t>
        </is>
      </c>
      <c r="C3724" s="2" t="inlineStr">
        <is>
          <t>P007</t>
        </is>
      </c>
      <c r="D3724" s="2" t="n">
        <v>2</v>
      </c>
      <c r="E3724" s="19" t="n">
        <v>0</v>
      </c>
    </row>
    <row r="3725">
      <c r="A3725" s="2" t="inlineStr">
        <is>
          <t>IT01470_03</t>
        </is>
      </c>
      <c r="B3725" s="2" t="inlineStr">
        <is>
          <t>PED01470</t>
        </is>
      </c>
      <c r="C3725" s="2" t="inlineStr">
        <is>
          <t>P026</t>
        </is>
      </c>
      <c r="D3725" s="2" t="n">
        <v>5</v>
      </c>
      <c r="E3725" s="19" t="n">
        <v>0</v>
      </c>
    </row>
    <row r="3726">
      <c r="A3726" s="2" t="inlineStr">
        <is>
          <t>IT01470_04</t>
        </is>
      </c>
      <c r="B3726" s="2" t="inlineStr">
        <is>
          <t>PED01470</t>
        </is>
      </c>
      <c r="C3726" s="2" t="inlineStr">
        <is>
          <t>P052</t>
        </is>
      </c>
      <c r="D3726" s="2" t="n">
        <v>1</v>
      </c>
      <c r="E3726" s="19" t="n">
        <v>0</v>
      </c>
    </row>
    <row r="3727">
      <c r="A3727" s="2" t="inlineStr">
        <is>
          <t>IT01470_05</t>
        </is>
      </c>
      <c r="B3727" s="2" t="inlineStr">
        <is>
          <t>PED01470</t>
        </is>
      </c>
      <c r="C3727" s="2" t="inlineStr">
        <is>
          <t>P069</t>
        </is>
      </c>
      <c r="D3727" s="2" t="n">
        <v>2</v>
      </c>
      <c r="E3727" s="19" t="n">
        <v>0.05</v>
      </c>
    </row>
    <row r="3728">
      <c r="A3728" s="2" t="inlineStr">
        <is>
          <t>IT01471_01</t>
        </is>
      </c>
      <c r="B3728" s="2" t="inlineStr">
        <is>
          <t>PED01471</t>
        </is>
      </c>
      <c r="C3728" s="2" t="inlineStr">
        <is>
          <t>P039</t>
        </is>
      </c>
      <c r="D3728" s="2" t="n">
        <v>2</v>
      </c>
      <c r="E3728" s="19" t="n">
        <v>0</v>
      </c>
    </row>
    <row r="3729">
      <c r="A3729" s="2" t="inlineStr">
        <is>
          <t>IT01471_02</t>
        </is>
      </c>
      <c r="B3729" s="2" t="inlineStr">
        <is>
          <t>PED01471</t>
        </is>
      </c>
      <c r="C3729" s="2" t="inlineStr">
        <is>
          <t>P035</t>
        </is>
      </c>
      <c r="D3729" s="2" t="n">
        <v>1</v>
      </c>
      <c r="E3729" s="19" t="n">
        <v>0</v>
      </c>
    </row>
    <row r="3730">
      <c r="A3730" s="2" t="inlineStr">
        <is>
          <t>IT01471_03</t>
        </is>
      </c>
      <c r="B3730" s="2" t="inlineStr">
        <is>
          <t>PED01471</t>
        </is>
      </c>
      <c r="C3730" s="2" t="inlineStr">
        <is>
          <t>P046</t>
        </is>
      </c>
      <c r="D3730" s="2" t="n">
        <v>3</v>
      </c>
      <c r="E3730" s="19" t="n">
        <v>0</v>
      </c>
    </row>
    <row r="3731">
      <c r="A3731" s="2" t="inlineStr">
        <is>
          <t>IT01472_01</t>
        </is>
      </c>
      <c r="B3731" s="2" t="inlineStr">
        <is>
          <t>PED01472</t>
        </is>
      </c>
      <c r="C3731" s="2" t="inlineStr">
        <is>
          <t>P018</t>
        </is>
      </c>
      <c r="D3731" s="2" t="n">
        <v>2</v>
      </c>
      <c r="E3731" s="19" t="n">
        <v>0</v>
      </c>
    </row>
    <row r="3732">
      <c r="A3732" s="2" t="inlineStr">
        <is>
          <t>IT01473_01</t>
        </is>
      </c>
      <c r="B3732" s="2" t="inlineStr">
        <is>
          <t>PED01473</t>
        </is>
      </c>
      <c r="C3732" s="2" t="inlineStr">
        <is>
          <t>P021</t>
        </is>
      </c>
      <c r="D3732" s="2" t="n">
        <v>2</v>
      </c>
      <c r="E3732" s="19" t="n">
        <v>0</v>
      </c>
    </row>
    <row r="3733">
      <c r="A3733" s="2" t="inlineStr">
        <is>
          <t>IT01473_02</t>
        </is>
      </c>
      <c r="B3733" s="2" t="inlineStr">
        <is>
          <t>PED01473</t>
        </is>
      </c>
      <c r="C3733" s="2" t="inlineStr">
        <is>
          <t>P019</t>
        </is>
      </c>
      <c r="D3733" s="2" t="n">
        <v>2</v>
      </c>
      <c r="E3733" s="19" t="n">
        <v>0.1</v>
      </c>
    </row>
    <row r="3734">
      <c r="A3734" s="2" t="inlineStr">
        <is>
          <t>IT01474_01</t>
        </is>
      </c>
      <c r="B3734" s="2" t="inlineStr">
        <is>
          <t>PED01474</t>
        </is>
      </c>
      <c r="C3734" s="2" t="inlineStr">
        <is>
          <t>P039</t>
        </is>
      </c>
      <c r="D3734" s="2" t="n">
        <v>1</v>
      </c>
      <c r="E3734" s="19" t="n">
        <v>0</v>
      </c>
    </row>
    <row r="3735">
      <c r="A3735" s="2" t="inlineStr">
        <is>
          <t>IT01474_02</t>
        </is>
      </c>
      <c r="B3735" s="2" t="inlineStr">
        <is>
          <t>PED01474</t>
        </is>
      </c>
      <c r="C3735" s="2" t="inlineStr">
        <is>
          <t>P021</t>
        </is>
      </c>
      <c r="D3735" s="2" t="n">
        <v>10</v>
      </c>
      <c r="E3735" s="19" t="n">
        <v>0</v>
      </c>
    </row>
    <row r="3736">
      <c r="A3736" s="2" t="inlineStr">
        <is>
          <t>IT01474_03</t>
        </is>
      </c>
      <c r="B3736" s="2" t="inlineStr">
        <is>
          <t>PED01474</t>
        </is>
      </c>
      <c r="C3736" s="2" t="inlineStr">
        <is>
          <t>P030</t>
        </is>
      </c>
      <c r="D3736" s="2" t="n">
        <v>2</v>
      </c>
      <c r="E3736" s="19" t="n">
        <v>0</v>
      </c>
    </row>
    <row r="3737">
      <c r="A3737" s="2" t="inlineStr">
        <is>
          <t>IT01474_04</t>
        </is>
      </c>
      <c r="B3737" s="2" t="inlineStr">
        <is>
          <t>PED01474</t>
        </is>
      </c>
      <c r="C3737" s="2" t="inlineStr">
        <is>
          <t>P023</t>
        </is>
      </c>
      <c r="D3737" s="2" t="n">
        <v>1</v>
      </c>
      <c r="E3737" s="19" t="n">
        <v>0</v>
      </c>
    </row>
    <row r="3738">
      <c r="A3738" s="2" t="inlineStr">
        <is>
          <t>IT01475_01</t>
        </is>
      </c>
      <c r="B3738" s="2" t="inlineStr">
        <is>
          <t>PED01475</t>
        </is>
      </c>
      <c r="C3738" s="2" t="inlineStr">
        <is>
          <t>P061</t>
        </is>
      </c>
      <c r="D3738" s="2" t="n">
        <v>3</v>
      </c>
      <c r="E3738" s="19" t="n">
        <v>0</v>
      </c>
    </row>
    <row r="3739">
      <c r="A3739" s="2" t="inlineStr">
        <is>
          <t>IT01475_02</t>
        </is>
      </c>
      <c r="B3739" s="2" t="inlineStr">
        <is>
          <t>PED01475</t>
        </is>
      </c>
      <c r="C3739" s="2" t="inlineStr">
        <is>
          <t>P033</t>
        </is>
      </c>
      <c r="D3739" s="2" t="n">
        <v>2</v>
      </c>
      <c r="E3739" s="19" t="n">
        <v>0</v>
      </c>
    </row>
    <row r="3740">
      <c r="A3740" s="2" t="inlineStr">
        <is>
          <t>IT01475_03</t>
        </is>
      </c>
      <c r="B3740" s="2" t="inlineStr">
        <is>
          <t>PED01475</t>
        </is>
      </c>
      <c r="C3740" s="2" t="inlineStr">
        <is>
          <t>P050</t>
        </is>
      </c>
      <c r="D3740" s="2" t="n">
        <v>1</v>
      </c>
      <c r="E3740" s="19" t="n">
        <v>0</v>
      </c>
    </row>
    <row r="3741">
      <c r="A3741" s="2" t="inlineStr">
        <is>
          <t>IT01475_04</t>
        </is>
      </c>
      <c r="B3741" s="2" t="inlineStr">
        <is>
          <t>PED01475</t>
        </is>
      </c>
      <c r="C3741" s="2" t="inlineStr">
        <is>
          <t>P023</t>
        </is>
      </c>
      <c r="D3741" s="2" t="n">
        <v>2</v>
      </c>
      <c r="E3741" s="19" t="n">
        <v>0</v>
      </c>
    </row>
    <row r="3742">
      <c r="A3742" s="2" t="inlineStr">
        <is>
          <t>IT01476_01</t>
        </is>
      </c>
      <c r="B3742" s="2" t="inlineStr">
        <is>
          <t>PED01476</t>
        </is>
      </c>
      <c r="C3742" s="2" t="inlineStr">
        <is>
          <t>P022</t>
        </is>
      </c>
      <c r="D3742" s="2" t="n">
        <v>1</v>
      </c>
      <c r="E3742" s="19" t="n">
        <v>0.02</v>
      </c>
    </row>
    <row r="3743">
      <c r="A3743" s="2" t="inlineStr">
        <is>
          <t>IT01477_01</t>
        </is>
      </c>
      <c r="B3743" s="2" t="inlineStr">
        <is>
          <t>PED01477</t>
        </is>
      </c>
      <c r="C3743" s="2" t="inlineStr">
        <is>
          <t>P039</t>
        </is>
      </c>
      <c r="D3743" s="2" t="n">
        <v>3</v>
      </c>
      <c r="E3743" s="19" t="n">
        <v>0.02</v>
      </c>
    </row>
    <row r="3744">
      <c r="A3744" s="2" t="inlineStr">
        <is>
          <t>IT01478_01</t>
        </is>
      </c>
      <c r="B3744" s="2" t="inlineStr">
        <is>
          <t>PED01478</t>
        </is>
      </c>
      <c r="C3744" s="2" t="inlineStr">
        <is>
          <t>P004</t>
        </is>
      </c>
      <c r="D3744" s="2" t="n">
        <v>2</v>
      </c>
      <c r="E3744" s="19" t="n">
        <v>0.02</v>
      </c>
    </row>
    <row r="3745">
      <c r="A3745" s="2" t="inlineStr">
        <is>
          <t>IT01478_02</t>
        </is>
      </c>
      <c r="B3745" s="2" t="inlineStr">
        <is>
          <t>PED01478</t>
        </is>
      </c>
      <c r="C3745" s="2" t="inlineStr">
        <is>
          <t>P017</t>
        </is>
      </c>
      <c r="D3745" s="2" t="n">
        <v>1</v>
      </c>
      <c r="E3745" s="19" t="n">
        <v>0</v>
      </c>
    </row>
    <row r="3746">
      <c r="A3746" s="2" t="inlineStr">
        <is>
          <t>IT01479_01</t>
        </is>
      </c>
      <c r="B3746" s="2" t="inlineStr">
        <is>
          <t>PED01479</t>
        </is>
      </c>
      <c r="C3746" s="2" t="inlineStr">
        <is>
          <t>P045</t>
        </is>
      </c>
      <c r="D3746" s="2" t="n">
        <v>5</v>
      </c>
      <c r="E3746" s="19" t="n">
        <v>0.02</v>
      </c>
    </row>
    <row r="3747">
      <c r="A3747" s="2" t="inlineStr">
        <is>
          <t>IT01480_01</t>
        </is>
      </c>
      <c r="B3747" s="2" t="inlineStr">
        <is>
          <t>PED01480</t>
        </is>
      </c>
      <c r="C3747" s="2" t="inlineStr">
        <is>
          <t>P049</t>
        </is>
      </c>
      <c r="D3747" s="2" t="n">
        <v>2</v>
      </c>
      <c r="E3747" s="19" t="n">
        <v>0</v>
      </c>
    </row>
    <row r="3748">
      <c r="A3748" s="2" t="inlineStr">
        <is>
          <t>IT01481_01</t>
        </is>
      </c>
      <c r="B3748" s="2" t="inlineStr">
        <is>
          <t>PED01481</t>
        </is>
      </c>
      <c r="C3748" s="2" t="inlineStr">
        <is>
          <t>P051</t>
        </is>
      </c>
      <c r="D3748" s="2" t="n">
        <v>1</v>
      </c>
      <c r="E3748" s="19" t="n">
        <v>0.05</v>
      </c>
    </row>
    <row r="3749">
      <c r="A3749" s="2" t="inlineStr">
        <is>
          <t>IT01481_02</t>
        </is>
      </c>
      <c r="B3749" s="2" t="inlineStr">
        <is>
          <t>PED01481</t>
        </is>
      </c>
      <c r="C3749" s="2" t="inlineStr">
        <is>
          <t>P031</t>
        </is>
      </c>
      <c r="D3749" s="2" t="n">
        <v>4</v>
      </c>
      <c r="E3749" s="19" t="n">
        <v>0</v>
      </c>
    </row>
    <row r="3750">
      <c r="A3750" s="2" t="inlineStr">
        <is>
          <t>IT01482_01</t>
        </is>
      </c>
      <c r="B3750" s="2" t="inlineStr">
        <is>
          <t>PED01482</t>
        </is>
      </c>
      <c r="C3750" s="2" t="inlineStr">
        <is>
          <t>P027</t>
        </is>
      </c>
      <c r="D3750" s="2" t="n">
        <v>4</v>
      </c>
      <c r="E3750" s="19" t="n">
        <v>0</v>
      </c>
    </row>
    <row r="3751">
      <c r="A3751" s="2" t="inlineStr">
        <is>
          <t>IT01482_02</t>
        </is>
      </c>
      <c r="B3751" s="2" t="inlineStr">
        <is>
          <t>PED01482</t>
        </is>
      </c>
      <c r="C3751" s="2" t="inlineStr">
        <is>
          <t>P057</t>
        </is>
      </c>
      <c r="D3751" s="2" t="n">
        <v>2</v>
      </c>
      <c r="E3751" s="19" t="n">
        <v>0</v>
      </c>
    </row>
    <row r="3752">
      <c r="A3752" s="2" t="inlineStr">
        <is>
          <t>IT01482_03</t>
        </is>
      </c>
      <c r="B3752" s="2" t="inlineStr">
        <is>
          <t>PED01482</t>
        </is>
      </c>
      <c r="C3752" s="2" t="inlineStr">
        <is>
          <t>P055</t>
        </is>
      </c>
      <c r="D3752" s="2" t="n">
        <v>2</v>
      </c>
      <c r="E3752" s="19" t="n">
        <v>0</v>
      </c>
    </row>
    <row r="3753">
      <c r="A3753" s="2" t="inlineStr">
        <is>
          <t>IT01482_04</t>
        </is>
      </c>
      <c r="B3753" s="2" t="inlineStr">
        <is>
          <t>PED01482</t>
        </is>
      </c>
      <c r="C3753" s="2" t="inlineStr">
        <is>
          <t>P029</t>
        </is>
      </c>
      <c r="D3753" s="2" t="n">
        <v>1</v>
      </c>
      <c r="E3753" s="19" t="n">
        <v>0</v>
      </c>
    </row>
    <row r="3754">
      <c r="A3754" s="2" t="inlineStr">
        <is>
          <t>IT01483_01</t>
        </is>
      </c>
      <c r="B3754" s="2" t="inlineStr">
        <is>
          <t>PED01483</t>
        </is>
      </c>
      <c r="C3754" s="2" t="inlineStr">
        <is>
          <t>P045</t>
        </is>
      </c>
      <c r="D3754" s="2" t="n">
        <v>1</v>
      </c>
      <c r="E3754" s="19" t="n">
        <v>0</v>
      </c>
    </row>
    <row r="3755">
      <c r="A3755" s="2" t="inlineStr">
        <is>
          <t>IT01484_01</t>
        </is>
      </c>
      <c r="B3755" s="2" t="inlineStr">
        <is>
          <t>PED01484</t>
        </is>
      </c>
      <c r="C3755" s="2" t="inlineStr">
        <is>
          <t>P015</t>
        </is>
      </c>
      <c r="D3755" s="2" t="n">
        <v>3</v>
      </c>
      <c r="E3755" s="19" t="n">
        <v>0</v>
      </c>
    </row>
    <row r="3756">
      <c r="A3756" s="2" t="inlineStr">
        <is>
          <t>IT01484_02</t>
        </is>
      </c>
      <c r="B3756" s="2" t="inlineStr">
        <is>
          <t>PED01484</t>
        </is>
      </c>
      <c r="C3756" s="2" t="inlineStr">
        <is>
          <t>P050</t>
        </is>
      </c>
      <c r="D3756" s="2" t="n">
        <v>1</v>
      </c>
      <c r="E3756" s="19" t="n">
        <v>0</v>
      </c>
    </row>
    <row r="3757">
      <c r="A3757" s="2" t="inlineStr">
        <is>
          <t>IT01484_03</t>
        </is>
      </c>
      <c r="B3757" s="2" t="inlineStr">
        <is>
          <t>PED01484</t>
        </is>
      </c>
      <c r="C3757" s="2" t="inlineStr">
        <is>
          <t>P032</t>
        </is>
      </c>
      <c r="D3757" s="2" t="n">
        <v>3</v>
      </c>
      <c r="E3757" s="19" t="n">
        <v>0.02</v>
      </c>
    </row>
    <row r="3758">
      <c r="A3758" s="2" t="inlineStr">
        <is>
          <t>IT01484_04</t>
        </is>
      </c>
      <c r="B3758" s="2" t="inlineStr">
        <is>
          <t>PED01484</t>
        </is>
      </c>
      <c r="C3758" s="2" t="inlineStr">
        <is>
          <t>P063</t>
        </is>
      </c>
      <c r="D3758" s="2" t="n">
        <v>2</v>
      </c>
      <c r="E3758" s="19" t="n">
        <v>0.05</v>
      </c>
    </row>
    <row r="3759">
      <c r="A3759" s="2" t="inlineStr">
        <is>
          <t>IT01485_01</t>
        </is>
      </c>
      <c r="B3759" s="2" t="inlineStr">
        <is>
          <t>PED01485</t>
        </is>
      </c>
      <c r="C3759" s="2" t="inlineStr">
        <is>
          <t>P049</t>
        </is>
      </c>
      <c r="D3759" s="2" t="n">
        <v>1</v>
      </c>
      <c r="E3759" s="19" t="n">
        <v>0</v>
      </c>
    </row>
    <row r="3760">
      <c r="A3760" s="2" t="inlineStr">
        <is>
          <t>IT01485_02</t>
        </is>
      </c>
      <c r="B3760" s="2" t="inlineStr">
        <is>
          <t>PED01485</t>
        </is>
      </c>
      <c r="C3760" s="2" t="inlineStr">
        <is>
          <t>P034</t>
        </is>
      </c>
      <c r="D3760" s="2" t="n">
        <v>1</v>
      </c>
      <c r="E3760" s="19" t="n">
        <v>0.05</v>
      </c>
    </row>
    <row r="3761">
      <c r="A3761" s="2" t="inlineStr">
        <is>
          <t>IT01485_03</t>
        </is>
      </c>
      <c r="B3761" s="2" t="inlineStr">
        <is>
          <t>PED01485</t>
        </is>
      </c>
      <c r="C3761" s="2" t="inlineStr">
        <is>
          <t>P012</t>
        </is>
      </c>
      <c r="D3761" s="2" t="n">
        <v>3</v>
      </c>
      <c r="E3761" s="19" t="n">
        <v>0.05</v>
      </c>
    </row>
    <row r="3762">
      <c r="A3762" s="2" t="inlineStr">
        <is>
          <t>IT01486_01</t>
        </is>
      </c>
      <c r="B3762" s="2" t="inlineStr">
        <is>
          <t>PED01486</t>
        </is>
      </c>
      <c r="C3762" s="2" t="inlineStr">
        <is>
          <t>P027</t>
        </is>
      </c>
      <c r="D3762" s="2" t="n">
        <v>4</v>
      </c>
      <c r="E3762" s="19" t="n">
        <v>0</v>
      </c>
    </row>
    <row r="3763">
      <c r="A3763" s="2" t="inlineStr">
        <is>
          <t>IT01486_02</t>
        </is>
      </c>
      <c r="B3763" s="2" t="inlineStr">
        <is>
          <t>PED01486</t>
        </is>
      </c>
      <c r="C3763" s="2" t="inlineStr">
        <is>
          <t>P035</t>
        </is>
      </c>
      <c r="D3763" s="2" t="n">
        <v>2</v>
      </c>
      <c r="E3763" s="19" t="n">
        <v>0</v>
      </c>
    </row>
    <row r="3764">
      <c r="A3764" s="2" t="inlineStr">
        <is>
          <t>IT01486_03</t>
        </is>
      </c>
      <c r="B3764" s="2" t="inlineStr">
        <is>
          <t>PED01486</t>
        </is>
      </c>
      <c r="C3764" s="2" t="inlineStr">
        <is>
          <t>P037</t>
        </is>
      </c>
      <c r="D3764" s="2" t="n">
        <v>1</v>
      </c>
      <c r="E3764" s="19" t="n">
        <v>0.05</v>
      </c>
    </row>
    <row r="3765">
      <c r="A3765" s="2" t="inlineStr">
        <is>
          <t>IT01487_01</t>
        </is>
      </c>
      <c r="B3765" s="2" t="inlineStr">
        <is>
          <t>PED01487</t>
        </is>
      </c>
      <c r="C3765" s="2" t="inlineStr">
        <is>
          <t>P047</t>
        </is>
      </c>
      <c r="D3765" s="2" t="n">
        <v>1</v>
      </c>
      <c r="E3765" s="19" t="n">
        <v>0.02</v>
      </c>
    </row>
    <row r="3766">
      <c r="A3766" s="2" t="inlineStr">
        <is>
          <t>IT01488_01</t>
        </is>
      </c>
      <c r="B3766" s="2" t="inlineStr">
        <is>
          <t>PED01488</t>
        </is>
      </c>
      <c r="C3766" s="2" t="inlineStr">
        <is>
          <t>P012</t>
        </is>
      </c>
      <c r="D3766" s="2" t="n">
        <v>1</v>
      </c>
      <c r="E3766" s="19" t="n">
        <v>0.02</v>
      </c>
    </row>
    <row r="3767">
      <c r="A3767" s="2" t="inlineStr">
        <is>
          <t>IT01489_01</t>
        </is>
      </c>
      <c r="B3767" s="2" t="inlineStr">
        <is>
          <t>PED01489</t>
        </is>
      </c>
      <c r="C3767" s="2" t="inlineStr">
        <is>
          <t>P002</t>
        </is>
      </c>
      <c r="D3767" s="2" t="n">
        <v>1</v>
      </c>
      <c r="E3767" s="19" t="n">
        <v>0</v>
      </c>
    </row>
    <row r="3768">
      <c r="A3768" s="2" t="inlineStr">
        <is>
          <t>IT01489_02</t>
        </is>
      </c>
      <c r="B3768" s="2" t="inlineStr">
        <is>
          <t>PED01489</t>
        </is>
      </c>
      <c r="C3768" s="2" t="inlineStr">
        <is>
          <t>P038</t>
        </is>
      </c>
      <c r="D3768" s="2" t="n">
        <v>2</v>
      </c>
      <c r="E3768" s="19" t="n">
        <v>0</v>
      </c>
    </row>
    <row r="3769">
      <c r="A3769" s="2" t="inlineStr">
        <is>
          <t>IT01489_03</t>
        </is>
      </c>
      <c r="B3769" s="2" t="inlineStr">
        <is>
          <t>PED01489</t>
        </is>
      </c>
      <c r="C3769" s="2" t="inlineStr">
        <is>
          <t>P042</t>
        </is>
      </c>
      <c r="D3769" s="2" t="n">
        <v>1</v>
      </c>
      <c r="E3769" s="19" t="n">
        <v>0.02</v>
      </c>
    </row>
    <row r="3770">
      <c r="A3770" s="2" t="inlineStr">
        <is>
          <t>IT01489_04</t>
        </is>
      </c>
      <c r="B3770" s="2" t="inlineStr">
        <is>
          <t>PED01489</t>
        </is>
      </c>
      <c r="C3770" s="2" t="inlineStr">
        <is>
          <t>P037</t>
        </is>
      </c>
      <c r="D3770" s="2" t="n">
        <v>3</v>
      </c>
      <c r="E3770" s="19" t="n">
        <v>0</v>
      </c>
    </row>
    <row r="3771">
      <c r="A3771" s="2" t="inlineStr">
        <is>
          <t>IT01490_01</t>
        </is>
      </c>
      <c r="B3771" s="2" t="inlineStr">
        <is>
          <t>PED01490</t>
        </is>
      </c>
      <c r="C3771" s="2" t="inlineStr">
        <is>
          <t>P012</t>
        </is>
      </c>
      <c r="D3771" s="2" t="n">
        <v>5</v>
      </c>
      <c r="E3771" s="19" t="n">
        <v>0</v>
      </c>
    </row>
    <row r="3772">
      <c r="A3772" s="2" t="inlineStr">
        <is>
          <t>IT01491_01</t>
        </is>
      </c>
      <c r="B3772" s="2" t="inlineStr">
        <is>
          <t>PED01491</t>
        </is>
      </c>
      <c r="C3772" s="2" t="inlineStr">
        <is>
          <t>P010</t>
        </is>
      </c>
      <c r="D3772" s="2" t="n">
        <v>1</v>
      </c>
      <c r="E3772" s="19" t="n">
        <v>0</v>
      </c>
    </row>
    <row r="3773">
      <c r="A3773" s="2" t="inlineStr">
        <is>
          <t>IT01491_02</t>
        </is>
      </c>
      <c r="B3773" s="2" t="inlineStr">
        <is>
          <t>PED01491</t>
        </is>
      </c>
      <c r="C3773" s="2" t="inlineStr">
        <is>
          <t>P059</t>
        </is>
      </c>
      <c r="D3773" s="2" t="n">
        <v>1</v>
      </c>
      <c r="E3773" s="19" t="n">
        <v>0</v>
      </c>
    </row>
    <row r="3774">
      <c r="A3774" s="2" t="inlineStr">
        <is>
          <t>IT01492_01</t>
        </is>
      </c>
      <c r="B3774" s="2" t="inlineStr">
        <is>
          <t>PED01492</t>
        </is>
      </c>
      <c r="C3774" s="2" t="inlineStr">
        <is>
          <t>P001</t>
        </is>
      </c>
      <c r="D3774" s="2" t="n">
        <v>3</v>
      </c>
      <c r="E3774" s="19" t="n">
        <v>0.02</v>
      </c>
    </row>
    <row r="3775">
      <c r="A3775" s="2" t="inlineStr">
        <is>
          <t>IT01492_02</t>
        </is>
      </c>
      <c r="B3775" s="2" t="inlineStr">
        <is>
          <t>PED01492</t>
        </is>
      </c>
      <c r="C3775" s="2" t="inlineStr">
        <is>
          <t>P019</t>
        </is>
      </c>
      <c r="D3775" s="2" t="n">
        <v>1</v>
      </c>
      <c r="E3775" s="19" t="n">
        <v>0.05</v>
      </c>
    </row>
    <row r="3776">
      <c r="A3776" s="2" t="inlineStr">
        <is>
          <t>IT01492_03</t>
        </is>
      </c>
      <c r="B3776" s="2" t="inlineStr">
        <is>
          <t>PED01492</t>
        </is>
      </c>
      <c r="C3776" s="2" t="inlineStr">
        <is>
          <t>P055</t>
        </is>
      </c>
      <c r="D3776" s="2" t="n">
        <v>1</v>
      </c>
      <c r="E3776" s="19" t="n">
        <v>0.05</v>
      </c>
    </row>
    <row r="3777">
      <c r="A3777" s="2" t="inlineStr">
        <is>
          <t>IT01493_01</t>
        </is>
      </c>
      <c r="B3777" s="2" t="inlineStr">
        <is>
          <t>PED01493</t>
        </is>
      </c>
      <c r="C3777" s="2" t="inlineStr">
        <is>
          <t>P065</t>
        </is>
      </c>
      <c r="D3777" s="2" t="n">
        <v>2</v>
      </c>
      <c r="E3777" s="19" t="n">
        <v>0</v>
      </c>
    </row>
    <row r="3778">
      <c r="A3778" s="2" t="inlineStr">
        <is>
          <t>IT01494_01</t>
        </is>
      </c>
      <c r="B3778" s="2" t="inlineStr">
        <is>
          <t>PED01494</t>
        </is>
      </c>
      <c r="C3778" s="2" t="inlineStr">
        <is>
          <t>P013</t>
        </is>
      </c>
      <c r="D3778" s="2" t="n">
        <v>3</v>
      </c>
      <c r="E3778" s="19" t="n">
        <v>0</v>
      </c>
    </row>
    <row r="3779">
      <c r="A3779" s="2" t="inlineStr">
        <is>
          <t>IT01494_02</t>
        </is>
      </c>
      <c r="B3779" s="2" t="inlineStr">
        <is>
          <t>PED01494</t>
        </is>
      </c>
      <c r="C3779" s="2" t="inlineStr">
        <is>
          <t>P038</t>
        </is>
      </c>
      <c r="D3779" s="2" t="n">
        <v>1</v>
      </c>
      <c r="E3779" s="19" t="n">
        <v>0</v>
      </c>
    </row>
    <row r="3780">
      <c r="A3780" s="2" t="inlineStr">
        <is>
          <t>IT01495_01</t>
        </is>
      </c>
      <c r="B3780" s="2" t="inlineStr">
        <is>
          <t>PED01495</t>
        </is>
      </c>
      <c r="C3780" s="2" t="inlineStr">
        <is>
          <t>P052</t>
        </is>
      </c>
      <c r="D3780" s="2" t="n">
        <v>2</v>
      </c>
      <c r="E3780" s="19" t="n">
        <v>0</v>
      </c>
    </row>
    <row r="3781">
      <c r="A3781" s="2" t="inlineStr">
        <is>
          <t>IT01496_01</t>
        </is>
      </c>
      <c r="B3781" s="2" t="inlineStr">
        <is>
          <t>PED01496</t>
        </is>
      </c>
      <c r="C3781" s="2" t="inlineStr">
        <is>
          <t>P030</t>
        </is>
      </c>
      <c r="D3781" s="2" t="n">
        <v>1</v>
      </c>
      <c r="E3781" s="19" t="n">
        <v>0</v>
      </c>
    </row>
    <row r="3782">
      <c r="A3782" s="2" t="inlineStr">
        <is>
          <t>IT01496_02</t>
        </is>
      </c>
      <c r="B3782" s="2" t="inlineStr">
        <is>
          <t>PED01496</t>
        </is>
      </c>
      <c r="C3782" s="2" t="inlineStr">
        <is>
          <t>P017</t>
        </is>
      </c>
      <c r="D3782" s="2" t="n">
        <v>1</v>
      </c>
      <c r="E3782" s="19" t="n">
        <v>0.1</v>
      </c>
    </row>
    <row r="3783">
      <c r="A3783" s="2" t="inlineStr">
        <is>
          <t>IT01496_03</t>
        </is>
      </c>
      <c r="B3783" s="2" t="inlineStr">
        <is>
          <t>PED01496</t>
        </is>
      </c>
      <c r="C3783" s="2" t="inlineStr">
        <is>
          <t>P024</t>
        </is>
      </c>
      <c r="D3783" s="2" t="n">
        <v>3</v>
      </c>
      <c r="E3783" s="19" t="n">
        <v>0.02</v>
      </c>
    </row>
    <row r="3784">
      <c r="A3784" s="2" t="inlineStr">
        <is>
          <t>IT01496_04</t>
        </is>
      </c>
      <c r="B3784" s="2" t="inlineStr">
        <is>
          <t>PED01496</t>
        </is>
      </c>
      <c r="C3784" s="2" t="inlineStr">
        <is>
          <t>P023</t>
        </is>
      </c>
      <c r="D3784" s="2" t="n">
        <v>4</v>
      </c>
      <c r="E3784" s="19" t="n">
        <v>0</v>
      </c>
    </row>
    <row r="3785">
      <c r="A3785" s="2" t="inlineStr">
        <is>
          <t>IT01496_05</t>
        </is>
      </c>
      <c r="B3785" s="2" t="inlineStr">
        <is>
          <t>PED01496</t>
        </is>
      </c>
      <c r="C3785" s="2" t="inlineStr">
        <is>
          <t>P007</t>
        </is>
      </c>
      <c r="D3785" s="2" t="n">
        <v>1</v>
      </c>
      <c r="E3785" s="19" t="n">
        <v>0</v>
      </c>
    </row>
    <row r="3786">
      <c r="A3786" s="2" t="inlineStr">
        <is>
          <t>IT01497_01</t>
        </is>
      </c>
      <c r="B3786" s="2" t="inlineStr">
        <is>
          <t>PED01497</t>
        </is>
      </c>
      <c r="C3786" s="2" t="inlineStr">
        <is>
          <t>P015</t>
        </is>
      </c>
      <c r="D3786" s="2" t="n">
        <v>1</v>
      </c>
      <c r="E3786" s="19" t="n">
        <v>0.02</v>
      </c>
    </row>
    <row r="3787">
      <c r="A3787" s="2" t="inlineStr">
        <is>
          <t>IT01497_02</t>
        </is>
      </c>
      <c r="B3787" s="2" t="inlineStr">
        <is>
          <t>PED01497</t>
        </is>
      </c>
      <c r="C3787" s="2" t="inlineStr">
        <is>
          <t>P028</t>
        </is>
      </c>
      <c r="D3787" s="2" t="n">
        <v>1</v>
      </c>
      <c r="E3787" s="19" t="n">
        <v>0.05</v>
      </c>
    </row>
    <row r="3788">
      <c r="A3788" s="2" t="inlineStr">
        <is>
          <t>IT01498_01</t>
        </is>
      </c>
      <c r="B3788" s="2" t="inlineStr">
        <is>
          <t>PED01498</t>
        </is>
      </c>
      <c r="C3788" s="2" t="inlineStr">
        <is>
          <t>P039</t>
        </is>
      </c>
      <c r="D3788" s="2" t="n">
        <v>2</v>
      </c>
      <c r="E3788" s="19" t="n">
        <v>0</v>
      </c>
    </row>
    <row r="3789">
      <c r="A3789" s="2" t="inlineStr">
        <is>
          <t>IT01498_02</t>
        </is>
      </c>
      <c r="B3789" s="2" t="inlineStr">
        <is>
          <t>PED01498</t>
        </is>
      </c>
      <c r="C3789" s="2" t="inlineStr">
        <is>
          <t>P057</t>
        </is>
      </c>
      <c r="D3789" s="2" t="n">
        <v>1</v>
      </c>
      <c r="E3789" s="19" t="n">
        <v>0</v>
      </c>
    </row>
    <row r="3790">
      <c r="A3790" s="2" t="inlineStr">
        <is>
          <t>IT01499_01</t>
        </is>
      </c>
      <c r="B3790" s="2" t="inlineStr">
        <is>
          <t>PED01499</t>
        </is>
      </c>
      <c r="C3790" s="2" t="inlineStr">
        <is>
          <t>P032</t>
        </is>
      </c>
      <c r="D3790" s="2" t="n">
        <v>2</v>
      </c>
      <c r="E3790" s="19" t="n">
        <v>0</v>
      </c>
    </row>
    <row r="3791">
      <c r="A3791" s="2" t="inlineStr">
        <is>
          <t>IT01499_02</t>
        </is>
      </c>
      <c r="B3791" s="2" t="inlineStr">
        <is>
          <t>PED01499</t>
        </is>
      </c>
      <c r="C3791" s="2" t="inlineStr">
        <is>
          <t>P056</t>
        </is>
      </c>
      <c r="D3791" s="2" t="n">
        <v>2</v>
      </c>
      <c r="E3791" s="19" t="n">
        <v>0</v>
      </c>
    </row>
    <row r="3792">
      <c r="A3792" s="2" t="inlineStr">
        <is>
          <t>IT01499_03</t>
        </is>
      </c>
      <c r="B3792" s="2" t="inlineStr">
        <is>
          <t>PED01499</t>
        </is>
      </c>
      <c r="C3792" s="2" t="inlineStr">
        <is>
          <t>P059</t>
        </is>
      </c>
      <c r="D3792" s="2" t="n">
        <v>2</v>
      </c>
      <c r="E3792" s="19" t="n">
        <v>0</v>
      </c>
    </row>
    <row r="3793">
      <c r="A3793" s="2" t="inlineStr">
        <is>
          <t>IT01499_04</t>
        </is>
      </c>
      <c r="B3793" s="2" t="inlineStr">
        <is>
          <t>PED01499</t>
        </is>
      </c>
      <c r="C3793" s="2" t="inlineStr">
        <is>
          <t>P061</t>
        </is>
      </c>
      <c r="D3793" s="2" t="n">
        <v>1</v>
      </c>
      <c r="E3793" s="19" t="n">
        <v>0.02</v>
      </c>
    </row>
    <row r="3794">
      <c r="A3794" s="2" t="inlineStr">
        <is>
          <t>IT01499_05</t>
        </is>
      </c>
      <c r="B3794" s="2" t="inlineStr">
        <is>
          <t>PED01499</t>
        </is>
      </c>
      <c r="C3794" s="2" t="inlineStr">
        <is>
          <t>P036</t>
        </is>
      </c>
      <c r="D3794" s="2" t="n">
        <v>1</v>
      </c>
      <c r="E3794" s="19" t="n">
        <v>0</v>
      </c>
    </row>
    <row r="3795">
      <c r="A3795" s="2" t="inlineStr">
        <is>
          <t>IT01500_01</t>
        </is>
      </c>
      <c r="B3795" s="2" t="inlineStr">
        <is>
          <t>PED01500</t>
        </is>
      </c>
      <c r="C3795" s="2" t="inlineStr">
        <is>
          <t>P050</t>
        </is>
      </c>
      <c r="D3795" s="2" t="n">
        <v>1</v>
      </c>
      <c r="E3795" s="19" t="n">
        <v>0</v>
      </c>
    </row>
    <row r="3796">
      <c r="A3796" s="2" t="inlineStr">
        <is>
          <t>IT01500_02</t>
        </is>
      </c>
      <c r="B3796" s="2" t="inlineStr">
        <is>
          <t>PED01500</t>
        </is>
      </c>
      <c r="C3796" s="2" t="inlineStr">
        <is>
          <t>P021</t>
        </is>
      </c>
      <c r="D3796" s="2" t="n">
        <v>2</v>
      </c>
      <c r="E3796" s="19" t="n">
        <v>0</v>
      </c>
    </row>
    <row r="3797">
      <c r="A3797" s="2" t="inlineStr">
        <is>
          <t>IT01501_01</t>
        </is>
      </c>
      <c r="B3797" s="2" t="inlineStr">
        <is>
          <t>PED01501</t>
        </is>
      </c>
      <c r="C3797" s="2" t="inlineStr">
        <is>
          <t>P052</t>
        </is>
      </c>
      <c r="D3797" s="2" t="n">
        <v>3</v>
      </c>
      <c r="E3797" s="19" t="n">
        <v>0.02</v>
      </c>
    </row>
    <row r="3798">
      <c r="A3798" s="2" t="inlineStr">
        <is>
          <t>IT01502_01</t>
        </is>
      </c>
      <c r="B3798" s="2" t="inlineStr">
        <is>
          <t>PED01502</t>
        </is>
      </c>
      <c r="C3798" s="2" t="inlineStr">
        <is>
          <t>P041</t>
        </is>
      </c>
      <c r="D3798" s="2" t="n">
        <v>1</v>
      </c>
      <c r="E3798" s="19" t="n">
        <v>0</v>
      </c>
    </row>
    <row r="3799">
      <c r="A3799" s="2" t="inlineStr">
        <is>
          <t>IT01502_02</t>
        </is>
      </c>
      <c r="B3799" s="2" t="inlineStr">
        <is>
          <t>PED01502</t>
        </is>
      </c>
      <c r="C3799" s="2" t="inlineStr">
        <is>
          <t>P030</t>
        </is>
      </c>
      <c r="D3799" s="2" t="n">
        <v>2</v>
      </c>
      <c r="E3799" s="19" t="n">
        <v>0.02</v>
      </c>
    </row>
    <row r="3800">
      <c r="A3800" s="2" t="inlineStr">
        <is>
          <t>IT01503_01</t>
        </is>
      </c>
      <c r="B3800" s="2" t="inlineStr">
        <is>
          <t>PED01503</t>
        </is>
      </c>
      <c r="C3800" s="2" t="inlineStr">
        <is>
          <t>P050</t>
        </is>
      </c>
      <c r="D3800" s="2" t="n">
        <v>1</v>
      </c>
      <c r="E3800" s="19" t="n">
        <v>0</v>
      </c>
    </row>
    <row r="3801">
      <c r="A3801" s="2" t="inlineStr">
        <is>
          <t>IT01503_02</t>
        </is>
      </c>
      <c r="B3801" s="2" t="inlineStr">
        <is>
          <t>PED01503</t>
        </is>
      </c>
      <c r="C3801" s="2" t="inlineStr">
        <is>
          <t>P064</t>
        </is>
      </c>
      <c r="D3801" s="2" t="n">
        <v>1</v>
      </c>
      <c r="E3801" s="19" t="n">
        <v>0</v>
      </c>
    </row>
    <row r="3802">
      <c r="A3802" s="2" t="inlineStr">
        <is>
          <t>IT01503_03</t>
        </is>
      </c>
      <c r="B3802" s="2" t="inlineStr">
        <is>
          <t>PED01503</t>
        </is>
      </c>
      <c r="C3802" s="2" t="inlineStr">
        <is>
          <t>P020</t>
        </is>
      </c>
      <c r="D3802" s="2" t="n">
        <v>2</v>
      </c>
      <c r="E3802" s="19" t="n">
        <v>0.05</v>
      </c>
    </row>
    <row r="3803">
      <c r="A3803" s="2" t="inlineStr">
        <is>
          <t>IT01503_04</t>
        </is>
      </c>
      <c r="B3803" s="2" t="inlineStr">
        <is>
          <t>PED01503</t>
        </is>
      </c>
      <c r="C3803" s="2" t="inlineStr">
        <is>
          <t>P039</t>
        </is>
      </c>
      <c r="D3803" s="2" t="n">
        <v>5</v>
      </c>
      <c r="E3803" s="19" t="n">
        <v>0.02</v>
      </c>
    </row>
    <row r="3804">
      <c r="A3804" s="2" t="inlineStr">
        <is>
          <t>IT01504_01</t>
        </is>
      </c>
      <c r="B3804" s="2" t="inlineStr">
        <is>
          <t>PED01504</t>
        </is>
      </c>
      <c r="C3804" s="2" t="inlineStr">
        <is>
          <t>P065</t>
        </is>
      </c>
      <c r="D3804" s="2" t="n">
        <v>2</v>
      </c>
      <c r="E3804" s="19" t="n">
        <v>0</v>
      </c>
    </row>
    <row r="3805">
      <c r="A3805" s="2" t="inlineStr">
        <is>
          <t>IT01504_02</t>
        </is>
      </c>
      <c r="B3805" s="2" t="inlineStr">
        <is>
          <t>PED01504</t>
        </is>
      </c>
      <c r="C3805" s="2" t="inlineStr">
        <is>
          <t>P055</t>
        </is>
      </c>
      <c r="D3805" s="2" t="n">
        <v>3</v>
      </c>
      <c r="E3805" s="19" t="n">
        <v>0</v>
      </c>
    </row>
    <row r="3806">
      <c r="A3806" s="2" t="inlineStr">
        <is>
          <t>IT01504_03</t>
        </is>
      </c>
      <c r="B3806" s="2" t="inlineStr">
        <is>
          <t>PED01504</t>
        </is>
      </c>
      <c r="C3806" s="2" t="inlineStr">
        <is>
          <t>P032</t>
        </is>
      </c>
      <c r="D3806" s="2" t="n">
        <v>2</v>
      </c>
      <c r="E3806" s="19" t="n">
        <v>0</v>
      </c>
    </row>
    <row r="3807">
      <c r="A3807" s="2" t="inlineStr">
        <is>
          <t>IT01505_01</t>
        </is>
      </c>
      <c r="B3807" s="2" t="inlineStr">
        <is>
          <t>PED01505</t>
        </is>
      </c>
      <c r="C3807" s="2" t="inlineStr">
        <is>
          <t>P010</t>
        </is>
      </c>
      <c r="D3807" s="2" t="n">
        <v>1</v>
      </c>
      <c r="E3807" s="19" t="n">
        <v>0</v>
      </c>
    </row>
    <row r="3808">
      <c r="A3808" s="2" t="inlineStr">
        <is>
          <t>IT01505_02</t>
        </is>
      </c>
      <c r="B3808" s="2" t="inlineStr">
        <is>
          <t>PED01505</t>
        </is>
      </c>
      <c r="C3808" s="2" t="inlineStr">
        <is>
          <t>P054</t>
        </is>
      </c>
      <c r="D3808" s="2" t="n">
        <v>5</v>
      </c>
      <c r="E3808" s="19" t="n">
        <v>0</v>
      </c>
    </row>
    <row r="3809">
      <c r="A3809" s="2" t="inlineStr">
        <is>
          <t>IT01505_03</t>
        </is>
      </c>
      <c r="B3809" s="2" t="inlineStr">
        <is>
          <t>PED01505</t>
        </is>
      </c>
      <c r="C3809" s="2" t="inlineStr">
        <is>
          <t>P013</t>
        </is>
      </c>
      <c r="D3809" s="2" t="n">
        <v>1</v>
      </c>
      <c r="E3809" s="19" t="n">
        <v>0.02</v>
      </c>
    </row>
    <row r="3810">
      <c r="A3810" s="2" t="inlineStr">
        <is>
          <t>IT01506_01</t>
        </is>
      </c>
      <c r="B3810" s="2" t="inlineStr">
        <is>
          <t>PED01506</t>
        </is>
      </c>
      <c r="C3810" s="2" t="inlineStr">
        <is>
          <t>P017</t>
        </is>
      </c>
      <c r="D3810" s="2" t="n">
        <v>1</v>
      </c>
      <c r="E3810" s="19" t="n">
        <v>0</v>
      </c>
    </row>
    <row r="3811">
      <c r="A3811" s="2" t="inlineStr">
        <is>
          <t>IT01507_01</t>
        </is>
      </c>
      <c r="B3811" s="2" t="inlineStr">
        <is>
          <t>PED01507</t>
        </is>
      </c>
      <c r="C3811" s="2" t="inlineStr">
        <is>
          <t>P003</t>
        </is>
      </c>
      <c r="D3811" s="2" t="n">
        <v>1</v>
      </c>
      <c r="E3811" s="19" t="n">
        <v>0.1</v>
      </c>
    </row>
    <row r="3812">
      <c r="A3812" s="2" t="inlineStr">
        <is>
          <t>IT01507_02</t>
        </is>
      </c>
      <c r="B3812" s="2" t="inlineStr">
        <is>
          <t>PED01507</t>
        </is>
      </c>
      <c r="C3812" s="2" t="inlineStr">
        <is>
          <t>P018</t>
        </is>
      </c>
      <c r="D3812" s="2" t="n">
        <v>5</v>
      </c>
      <c r="E3812" s="19" t="n">
        <v>0</v>
      </c>
    </row>
    <row r="3813">
      <c r="A3813" s="2" t="inlineStr">
        <is>
          <t>IT01507_03</t>
        </is>
      </c>
      <c r="B3813" s="2" t="inlineStr">
        <is>
          <t>PED01507</t>
        </is>
      </c>
      <c r="C3813" s="2" t="inlineStr">
        <is>
          <t>P050</t>
        </is>
      </c>
      <c r="D3813" s="2" t="n">
        <v>1</v>
      </c>
      <c r="E3813" s="19" t="n">
        <v>0.02</v>
      </c>
    </row>
    <row r="3814">
      <c r="A3814" s="2" t="inlineStr">
        <is>
          <t>IT01507_04</t>
        </is>
      </c>
      <c r="B3814" s="2" t="inlineStr">
        <is>
          <t>PED01507</t>
        </is>
      </c>
      <c r="C3814" s="2" t="inlineStr">
        <is>
          <t>P036</t>
        </is>
      </c>
      <c r="D3814" s="2" t="n">
        <v>3</v>
      </c>
      <c r="E3814" s="19" t="n">
        <v>0</v>
      </c>
    </row>
    <row r="3815">
      <c r="A3815" s="2" t="inlineStr">
        <is>
          <t>IT01507_05</t>
        </is>
      </c>
      <c r="B3815" s="2" t="inlineStr">
        <is>
          <t>PED01507</t>
        </is>
      </c>
      <c r="C3815" s="2" t="inlineStr">
        <is>
          <t>P027</t>
        </is>
      </c>
      <c r="D3815" s="2" t="n">
        <v>1</v>
      </c>
      <c r="E3815" s="19" t="n">
        <v>0</v>
      </c>
    </row>
    <row r="3816">
      <c r="A3816" s="2" t="inlineStr">
        <is>
          <t>IT01508_01</t>
        </is>
      </c>
      <c r="B3816" s="2" t="inlineStr">
        <is>
          <t>PED01508</t>
        </is>
      </c>
      <c r="C3816" s="2" t="inlineStr">
        <is>
          <t>P025</t>
        </is>
      </c>
      <c r="D3816" s="2" t="n">
        <v>2</v>
      </c>
      <c r="E3816" s="19" t="n">
        <v>0.02</v>
      </c>
    </row>
    <row r="3817">
      <c r="A3817" s="2" t="inlineStr">
        <is>
          <t>IT01508_02</t>
        </is>
      </c>
      <c r="B3817" s="2" t="inlineStr">
        <is>
          <t>PED01508</t>
        </is>
      </c>
      <c r="C3817" s="2" t="inlineStr">
        <is>
          <t>P014</t>
        </is>
      </c>
      <c r="D3817" s="2" t="n">
        <v>2</v>
      </c>
      <c r="E3817" s="19" t="n">
        <v>0.05</v>
      </c>
    </row>
    <row r="3818">
      <c r="A3818" s="2" t="inlineStr">
        <is>
          <t>IT01509_01</t>
        </is>
      </c>
      <c r="B3818" s="2" t="inlineStr">
        <is>
          <t>PED01509</t>
        </is>
      </c>
      <c r="C3818" s="2" t="inlineStr">
        <is>
          <t>P011</t>
        </is>
      </c>
      <c r="D3818" s="2" t="n">
        <v>3</v>
      </c>
      <c r="E3818" s="19" t="n">
        <v>0</v>
      </c>
    </row>
    <row r="3819">
      <c r="A3819" s="2" t="inlineStr">
        <is>
          <t>IT01509_02</t>
        </is>
      </c>
      <c r="B3819" s="2" t="inlineStr">
        <is>
          <t>PED01509</t>
        </is>
      </c>
      <c r="C3819" s="2" t="inlineStr">
        <is>
          <t>P015</t>
        </is>
      </c>
      <c r="D3819" s="2" t="n">
        <v>1</v>
      </c>
      <c r="E3819" s="19" t="n">
        <v>0</v>
      </c>
    </row>
    <row r="3820">
      <c r="A3820" s="2" t="inlineStr">
        <is>
          <t>IT01509_03</t>
        </is>
      </c>
      <c r="B3820" s="2" t="inlineStr">
        <is>
          <t>PED01509</t>
        </is>
      </c>
      <c r="C3820" s="2" t="inlineStr">
        <is>
          <t>P024</t>
        </is>
      </c>
      <c r="D3820" s="2" t="n">
        <v>2</v>
      </c>
      <c r="E3820" s="19" t="n">
        <v>0</v>
      </c>
    </row>
    <row r="3821">
      <c r="A3821" s="2" t="inlineStr">
        <is>
          <t>IT01509_04</t>
        </is>
      </c>
      <c r="B3821" s="2" t="inlineStr">
        <is>
          <t>PED01509</t>
        </is>
      </c>
      <c r="C3821" s="2" t="inlineStr">
        <is>
          <t>P053</t>
        </is>
      </c>
      <c r="D3821" s="2" t="n">
        <v>2</v>
      </c>
      <c r="E3821" s="19" t="n">
        <v>0</v>
      </c>
    </row>
    <row r="3822">
      <c r="A3822" s="2" t="inlineStr">
        <is>
          <t>IT01510_01</t>
        </is>
      </c>
      <c r="B3822" s="2" t="inlineStr">
        <is>
          <t>PED01510</t>
        </is>
      </c>
      <c r="C3822" s="2" t="inlineStr">
        <is>
          <t>P014</t>
        </is>
      </c>
      <c r="D3822" s="2" t="n">
        <v>1</v>
      </c>
      <c r="E3822" s="19" t="n">
        <v>0.02</v>
      </c>
    </row>
    <row r="3823">
      <c r="A3823" s="2" t="inlineStr">
        <is>
          <t>IT01510_02</t>
        </is>
      </c>
      <c r="B3823" s="2" t="inlineStr">
        <is>
          <t>PED01510</t>
        </is>
      </c>
      <c r="C3823" s="2" t="inlineStr">
        <is>
          <t>P022</t>
        </is>
      </c>
      <c r="D3823" s="2" t="n">
        <v>2</v>
      </c>
      <c r="E3823" s="19" t="n">
        <v>0</v>
      </c>
    </row>
    <row r="3824">
      <c r="A3824" s="2" t="inlineStr">
        <is>
          <t>IT01510_03</t>
        </is>
      </c>
      <c r="B3824" s="2" t="inlineStr">
        <is>
          <t>PED01510</t>
        </is>
      </c>
      <c r="C3824" s="2" t="inlineStr">
        <is>
          <t>P045</t>
        </is>
      </c>
      <c r="D3824" s="2" t="n">
        <v>2</v>
      </c>
      <c r="E3824" s="19" t="n">
        <v>0.02</v>
      </c>
    </row>
    <row r="3825">
      <c r="A3825" s="2" t="inlineStr">
        <is>
          <t>IT01510_04</t>
        </is>
      </c>
      <c r="B3825" s="2" t="inlineStr">
        <is>
          <t>PED01510</t>
        </is>
      </c>
      <c r="C3825" s="2" t="inlineStr">
        <is>
          <t>P004</t>
        </is>
      </c>
      <c r="D3825" s="2" t="n">
        <v>1</v>
      </c>
      <c r="E3825" s="19" t="n">
        <v>0</v>
      </c>
    </row>
    <row r="3826">
      <c r="A3826" s="2" t="inlineStr">
        <is>
          <t>IT01510_05</t>
        </is>
      </c>
      <c r="B3826" s="2" t="inlineStr">
        <is>
          <t>PED01510</t>
        </is>
      </c>
      <c r="C3826" s="2" t="inlineStr">
        <is>
          <t>P015</t>
        </is>
      </c>
      <c r="D3826" s="2" t="n">
        <v>1</v>
      </c>
      <c r="E3826" s="19" t="n">
        <v>0</v>
      </c>
    </row>
    <row r="3827">
      <c r="A3827" s="2" t="inlineStr">
        <is>
          <t>IT01511_01</t>
        </is>
      </c>
      <c r="B3827" s="2" t="inlineStr">
        <is>
          <t>PED01511</t>
        </is>
      </c>
      <c r="C3827" s="2" t="inlineStr">
        <is>
          <t>P069</t>
        </is>
      </c>
      <c r="D3827" s="2" t="n">
        <v>1</v>
      </c>
      <c r="E3827" s="19" t="n">
        <v>0</v>
      </c>
    </row>
    <row r="3828">
      <c r="A3828" s="2" t="inlineStr">
        <is>
          <t>IT01511_02</t>
        </is>
      </c>
      <c r="B3828" s="2" t="inlineStr">
        <is>
          <t>PED01511</t>
        </is>
      </c>
      <c r="C3828" s="2" t="inlineStr">
        <is>
          <t>P013</t>
        </is>
      </c>
      <c r="D3828" s="2" t="n">
        <v>3</v>
      </c>
      <c r="E3828" s="19" t="n">
        <v>0</v>
      </c>
    </row>
    <row r="3829">
      <c r="A3829" s="2" t="inlineStr">
        <is>
          <t>IT01511_03</t>
        </is>
      </c>
      <c r="B3829" s="2" t="inlineStr">
        <is>
          <t>PED01511</t>
        </is>
      </c>
      <c r="C3829" s="2" t="inlineStr">
        <is>
          <t>P037</t>
        </is>
      </c>
      <c r="D3829" s="2" t="n">
        <v>3</v>
      </c>
      <c r="E3829" s="19" t="n">
        <v>0.1</v>
      </c>
    </row>
    <row r="3830">
      <c r="A3830" s="2" t="inlineStr">
        <is>
          <t>IT01512_01</t>
        </is>
      </c>
      <c r="B3830" s="2" t="inlineStr">
        <is>
          <t>PED01512</t>
        </is>
      </c>
      <c r="C3830" s="2" t="inlineStr">
        <is>
          <t>P052</t>
        </is>
      </c>
      <c r="D3830" s="2" t="n">
        <v>1</v>
      </c>
      <c r="E3830" s="19" t="n">
        <v>0</v>
      </c>
    </row>
    <row r="3831">
      <c r="A3831" s="2" t="inlineStr">
        <is>
          <t>IT01513_01</t>
        </is>
      </c>
      <c r="B3831" s="2" t="inlineStr">
        <is>
          <t>PED01513</t>
        </is>
      </c>
      <c r="C3831" s="2" t="inlineStr">
        <is>
          <t>P021</t>
        </is>
      </c>
      <c r="D3831" s="2" t="n">
        <v>2</v>
      </c>
      <c r="E3831" s="19" t="n">
        <v>0.05</v>
      </c>
    </row>
    <row r="3832">
      <c r="A3832" s="2" t="inlineStr">
        <is>
          <t>IT01513_02</t>
        </is>
      </c>
      <c r="B3832" s="2" t="inlineStr">
        <is>
          <t>PED01513</t>
        </is>
      </c>
      <c r="C3832" s="2" t="inlineStr">
        <is>
          <t>P005</t>
        </is>
      </c>
      <c r="D3832" s="2" t="n">
        <v>4</v>
      </c>
      <c r="E3832" s="19" t="n">
        <v>0.05</v>
      </c>
    </row>
    <row r="3833">
      <c r="A3833" s="2" t="inlineStr">
        <is>
          <t>IT01513_03</t>
        </is>
      </c>
      <c r="B3833" s="2" t="inlineStr">
        <is>
          <t>PED01513</t>
        </is>
      </c>
      <c r="C3833" s="2" t="inlineStr">
        <is>
          <t>P020</t>
        </is>
      </c>
      <c r="D3833" s="2" t="n">
        <v>1</v>
      </c>
      <c r="E3833" s="19" t="n">
        <v>0</v>
      </c>
    </row>
    <row r="3834">
      <c r="A3834" s="2" t="inlineStr">
        <is>
          <t>IT01513_04</t>
        </is>
      </c>
      <c r="B3834" s="2" t="inlineStr">
        <is>
          <t>PED01513</t>
        </is>
      </c>
      <c r="C3834" s="2" t="inlineStr">
        <is>
          <t>P068</t>
        </is>
      </c>
      <c r="D3834" s="2" t="n">
        <v>1</v>
      </c>
      <c r="E3834" s="19" t="n">
        <v>0.1</v>
      </c>
    </row>
    <row r="3835">
      <c r="A3835" s="2" t="inlineStr">
        <is>
          <t>IT01514_01</t>
        </is>
      </c>
      <c r="B3835" s="2" t="inlineStr">
        <is>
          <t>PED01514</t>
        </is>
      </c>
      <c r="C3835" s="2" t="inlineStr">
        <is>
          <t>P034</t>
        </is>
      </c>
      <c r="D3835" s="2" t="n">
        <v>1</v>
      </c>
      <c r="E3835" s="19" t="n">
        <v>0</v>
      </c>
    </row>
    <row r="3836">
      <c r="A3836" s="2" t="inlineStr">
        <is>
          <t>IT01514_02</t>
        </is>
      </c>
      <c r="B3836" s="2" t="inlineStr">
        <is>
          <t>PED01514</t>
        </is>
      </c>
      <c r="C3836" s="2" t="inlineStr">
        <is>
          <t>P065</t>
        </is>
      </c>
      <c r="D3836" s="2" t="n">
        <v>1</v>
      </c>
      <c r="E3836" s="19" t="n">
        <v>0</v>
      </c>
    </row>
    <row r="3837">
      <c r="A3837" s="2" t="inlineStr">
        <is>
          <t>IT01514_03</t>
        </is>
      </c>
      <c r="B3837" s="2" t="inlineStr">
        <is>
          <t>PED01514</t>
        </is>
      </c>
      <c r="C3837" s="2" t="inlineStr">
        <is>
          <t>P043</t>
        </is>
      </c>
      <c r="D3837" s="2" t="n">
        <v>1</v>
      </c>
      <c r="E3837" s="19" t="n">
        <v>0</v>
      </c>
    </row>
    <row r="3838">
      <c r="A3838" s="2" t="inlineStr">
        <is>
          <t>IT01515_01</t>
        </is>
      </c>
      <c r="B3838" s="2" t="inlineStr">
        <is>
          <t>PED01515</t>
        </is>
      </c>
      <c r="C3838" s="2" t="inlineStr">
        <is>
          <t>P070</t>
        </is>
      </c>
      <c r="D3838" s="2" t="n">
        <v>1</v>
      </c>
      <c r="E3838" s="19" t="n">
        <v>0</v>
      </c>
    </row>
    <row r="3839">
      <c r="A3839" s="2" t="inlineStr">
        <is>
          <t>IT01516_01</t>
        </is>
      </c>
      <c r="B3839" s="2" t="inlineStr">
        <is>
          <t>PED01516</t>
        </is>
      </c>
      <c r="C3839" s="2" t="inlineStr">
        <is>
          <t>P013</t>
        </is>
      </c>
      <c r="D3839" s="2" t="n">
        <v>10</v>
      </c>
      <c r="E3839" s="19" t="n">
        <v>0</v>
      </c>
    </row>
    <row r="3840">
      <c r="A3840" s="2" t="inlineStr">
        <is>
          <t>IT01516_02</t>
        </is>
      </c>
      <c r="B3840" s="2" t="inlineStr">
        <is>
          <t>PED01516</t>
        </is>
      </c>
      <c r="C3840" s="2" t="inlineStr">
        <is>
          <t>P040</t>
        </is>
      </c>
      <c r="D3840" s="2" t="n">
        <v>2</v>
      </c>
      <c r="E3840" s="19" t="n">
        <v>0.05</v>
      </c>
    </row>
    <row r="3841">
      <c r="A3841" s="2" t="inlineStr">
        <is>
          <t>IT01516_03</t>
        </is>
      </c>
      <c r="B3841" s="2" t="inlineStr">
        <is>
          <t>PED01516</t>
        </is>
      </c>
      <c r="C3841" s="2" t="inlineStr">
        <is>
          <t>P003</t>
        </is>
      </c>
      <c r="D3841" s="2" t="n">
        <v>1</v>
      </c>
      <c r="E3841" s="19" t="n">
        <v>0.05</v>
      </c>
    </row>
    <row r="3842">
      <c r="A3842" s="2" t="inlineStr">
        <is>
          <t>IT01517_01</t>
        </is>
      </c>
      <c r="B3842" s="2" t="inlineStr">
        <is>
          <t>PED01517</t>
        </is>
      </c>
      <c r="C3842" s="2" t="inlineStr">
        <is>
          <t>P039</t>
        </is>
      </c>
      <c r="D3842" s="2" t="n">
        <v>1</v>
      </c>
      <c r="E3842" s="19" t="n">
        <v>0</v>
      </c>
    </row>
    <row r="3843">
      <c r="A3843" s="2" t="inlineStr">
        <is>
          <t>IT01517_02</t>
        </is>
      </c>
      <c r="B3843" s="2" t="inlineStr">
        <is>
          <t>PED01517</t>
        </is>
      </c>
      <c r="C3843" s="2" t="inlineStr">
        <is>
          <t>P041</t>
        </is>
      </c>
      <c r="D3843" s="2" t="n">
        <v>2</v>
      </c>
      <c r="E3843" s="19" t="n">
        <v>0.02</v>
      </c>
    </row>
    <row r="3844">
      <c r="A3844" s="2" t="inlineStr">
        <is>
          <t>IT01518_01</t>
        </is>
      </c>
      <c r="B3844" s="2" t="inlineStr">
        <is>
          <t>PED01518</t>
        </is>
      </c>
      <c r="C3844" s="2" t="inlineStr">
        <is>
          <t>P055</t>
        </is>
      </c>
      <c r="D3844" s="2" t="n">
        <v>2</v>
      </c>
      <c r="E3844" s="19" t="n">
        <v>0</v>
      </c>
    </row>
    <row r="3845">
      <c r="A3845" s="2" t="inlineStr">
        <is>
          <t>IT01518_02</t>
        </is>
      </c>
      <c r="B3845" s="2" t="inlineStr">
        <is>
          <t>PED01518</t>
        </is>
      </c>
      <c r="C3845" s="2" t="inlineStr">
        <is>
          <t>P025</t>
        </is>
      </c>
      <c r="D3845" s="2" t="n">
        <v>3</v>
      </c>
      <c r="E3845" s="19" t="n">
        <v>0</v>
      </c>
    </row>
    <row r="3846">
      <c r="A3846" s="2" t="inlineStr">
        <is>
          <t>IT01519_01</t>
        </is>
      </c>
      <c r="B3846" s="2" t="inlineStr">
        <is>
          <t>PED01519</t>
        </is>
      </c>
      <c r="C3846" s="2" t="inlineStr">
        <is>
          <t>P037</t>
        </is>
      </c>
      <c r="D3846" s="2" t="n">
        <v>1</v>
      </c>
      <c r="E3846" s="19" t="n">
        <v>0</v>
      </c>
    </row>
    <row r="3847">
      <c r="A3847" s="2" t="inlineStr">
        <is>
          <t>IT01520_01</t>
        </is>
      </c>
      <c r="B3847" s="2" t="inlineStr">
        <is>
          <t>PED01520</t>
        </is>
      </c>
      <c r="C3847" s="2" t="inlineStr">
        <is>
          <t>P028</t>
        </is>
      </c>
      <c r="D3847" s="2" t="n">
        <v>2</v>
      </c>
      <c r="E3847" s="19" t="n">
        <v>0</v>
      </c>
    </row>
    <row r="3848">
      <c r="A3848" s="2" t="inlineStr">
        <is>
          <t>IT01520_02</t>
        </is>
      </c>
      <c r="B3848" s="2" t="inlineStr">
        <is>
          <t>PED01520</t>
        </is>
      </c>
      <c r="C3848" s="2" t="inlineStr">
        <is>
          <t>P043</t>
        </is>
      </c>
      <c r="D3848" s="2" t="n">
        <v>2</v>
      </c>
      <c r="E3848" s="19" t="n">
        <v>0</v>
      </c>
    </row>
    <row r="3849">
      <c r="A3849" s="2" t="inlineStr">
        <is>
          <t>IT01520_03</t>
        </is>
      </c>
      <c r="B3849" s="2" t="inlineStr">
        <is>
          <t>PED01520</t>
        </is>
      </c>
      <c r="C3849" s="2" t="inlineStr">
        <is>
          <t>P007</t>
        </is>
      </c>
      <c r="D3849" s="2" t="n">
        <v>1</v>
      </c>
      <c r="E3849" s="19" t="n">
        <v>0</v>
      </c>
    </row>
    <row r="3850">
      <c r="A3850" s="2" t="inlineStr">
        <is>
          <t>IT01520_04</t>
        </is>
      </c>
      <c r="B3850" s="2" t="inlineStr">
        <is>
          <t>PED01520</t>
        </is>
      </c>
      <c r="C3850" s="2" t="inlineStr">
        <is>
          <t>P053</t>
        </is>
      </c>
      <c r="D3850" s="2" t="n">
        <v>1</v>
      </c>
      <c r="E3850" s="19" t="n">
        <v>0</v>
      </c>
    </row>
    <row r="3851">
      <c r="A3851" s="2" t="inlineStr">
        <is>
          <t>IT01521_01</t>
        </is>
      </c>
      <c r="B3851" s="2" t="inlineStr">
        <is>
          <t>PED01521</t>
        </is>
      </c>
      <c r="C3851" s="2" t="inlineStr">
        <is>
          <t>P037</t>
        </is>
      </c>
      <c r="D3851" s="2" t="n">
        <v>5</v>
      </c>
      <c r="E3851" s="19" t="n">
        <v>0</v>
      </c>
    </row>
    <row r="3852">
      <c r="A3852" s="2" t="inlineStr">
        <is>
          <t>IT01521_02</t>
        </is>
      </c>
      <c r="B3852" s="2" t="inlineStr">
        <is>
          <t>PED01521</t>
        </is>
      </c>
      <c r="C3852" s="2" t="inlineStr">
        <is>
          <t>P063</t>
        </is>
      </c>
      <c r="D3852" s="2" t="n">
        <v>2</v>
      </c>
      <c r="E3852" s="19" t="n">
        <v>0.02</v>
      </c>
    </row>
    <row r="3853">
      <c r="A3853" s="2" t="inlineStr">
        <is>
          <t>IT01521_03</t>
        </is>
      </c>
      <c r="B3853" s="2" t="inlineStr">
        <is>
          <t>PED01521</t>
        </is>
      </c>
      <c r="C3853" s="2" t="inlineStr">
        <is>
          <t>P009</t>
        </is>
      </c>
      <c r="D3853" s="2" t="n">
        <v>1</v>
      </c>
      <c r="E3853" s="19" t="n">
        <v>0</v>
      </c>
    </row>
    <row r="3854">
      <c r="A3854" s="2" t="inlineStr">
        <is>
          <t>IT01522_01</t>
        </is>
      </c>
      <c r="B3854" s="2" t="inlineStr">
        <is>
          <t>PED01522</t>
        </is>
      </c>
      <c r="C3854" s="2" t="inlineStr">
        <is>
          <t>P008</t>
        </is>
      </c>
      <c r="D3854" s="2" t="n">
        <v>1</v>
      </c>
      <c r="E3854" s="19" t="n">
        <v>0.1</v>
      </c>
    </row>
    <row r="3855">
      <c r="A3855" s="2" t="inlineStr">
        <is>
          <t>IT01522_02</t>
        </is>
      </c>
      <c r="B3855" s="2" t="inlineStr">
        <is>
          <t>PED01522</t>
        </is>
      </c>
      <c r="C3855" s="2" t="inlineStr">
        <is>
          <t>P004</t>
        </is>
      </c>
      <c r="D3855" s="2" t="n">
        <v>3</v>
      </c>
      <c r="E3855" s="19" t="n">
        <v>0</v>
      </c>
    </row>
    <row r="3856">
      <c r="A3856" s="2" t="inlineStr">
        <is>
          <t>IT01522_03</t>
        </is>
      </c>
      <c r="B3856" s="2" t="inlineStr">
        <is>
          <t>PED01522</t>
        </is>
      </c>
      <c r="C3856" s="2" t="inlineStr">
        <is>
          <t>P048</t>
        </is>
      </c>
      <c r="D3856" s="2" t="n">
        <v>2</v>
      </c>
      <c r="E3856" s="19" t="n">
        <v>0.05</v>
      </c>
    </row>
    <row r="3857">
      <c r="A3857" s="2" t="inlineStr">
        <is>
          <t>IT01523_01</t>
        </is>
      </c>
      <c r="B3857" s="2" t="inlineStr">
        <is>
          <t>PED01523</t>
        </is>
      </c>
      <c r="C3857" s="2" t="inlineStr">
        <is>
          <t>P024</t>
        </is>
      </c>
      <c r="D3857" s="2" t="n">
        <v>1</v>
      </c>
      <c r="E3857" s="19" t="n">
        <v>0</v>
      </c>
    </row>
    <row r="3858">
      <c r="A3858" s="2" t="inlineStr">
        <is>
          <t>IT01523_02</t>
        </is>
      </c>
      <c r="B3858" s="2" t="inlineStr">
        <is>
          <t>PED01523</t>
        </is>
      </c>
      <c r="C3858" s="2" t="inlineStr">
        <is>
          <t>P058</t>
        </is>
      </c>
      <c r="D3858" s="2" t="n">
        <v>3</v>
      </c>
      <c r="E3858" s="19" t="n">
        <v>0</v>
      </c>
    </row>
    <row r="3859">
      <c r="A3859" s="2" t="inlineStr">
        <is>
          <t>IT01523_03</t>
        </is>
      </c>
      <c r="B3859" s="2" t="inlineStr">
        <is>
          <t>PED01523</t>
        </is>
      </c>
      <c r="C3859" s="2" t="inlineStr">
        <is>
          <t>P012</t>
        </is>
      </c>
      <c r="D3859" s="2" t="n">
        <v>1</v>
      </c>
      <c r="E3859" s="19" t="n">
        <v>0</v>
      </c>
    </row>
    <row r="3860">
      <c r="A3860" s="2" t="inlineStr">
        <is>
          <t>IT01523_04</t>
        </is>
      </c>
      <c r="B3860" s="2" t="inlineStr">
        <is>
          <t>PED01523</t>
        </is>
      </c>
      <c r="C3860" s="2" t="inlineStr">
        <is>
          <t>P059</t>
        </is>
      </c>
      <c r="D3860" s="2" t="n">
        <v>4</v>
      </c>
      <c r="E3860" s="19" t="n">
        <v>0</v>
      </c>
    </row>
    <row r="3861">
      <c r="A3861" s="2" t="inlineStr">
        <is>
          <t>IT01524_01</t>
        </is>
      </c>
      <c r="B3861" s="2" t="inlineStr">
        <is>
          <t>PED01524</t>
        </is>
      </c>
      <c r="C3861" s="2" t="inlineStr">
        <is>
          <t>P029</t>
        </is>
      </c>
      <c r="D3861" s="2" t="n">
        <v>1</v>
      </c>
      <c r="E3861" s="19" t="n">
        <v>0.05</v>
      </c>
    </row>
    <row r="3862">
      <c r="A3862" s="2" t="inlineStr">
        <is>
          <t>IT01525_01</t>
        </is>
      </c>
      <c r="B3862" s="2" t="inlineStr">
        <is>
          <t>PED01525</t>
        </is>
      </c>
      <c r="C3862" s="2" t="inlineStr">
        <is>
          <t>P014</t>
        </is>
      </c>
      <c r="D3862" s="2" t="n">
        <v>1</v>
      </c>
      <c r="E3862" s="19" t="n">
        <v>0</v>
      </c>
    </row>
    <row r="3863">
      <c r="A3863" s="2" t="inlineStr">
        <is>
          <t>IT01525_02</t>
        </is>
      </c>
      <c r="B3863" s="2" t="inlineStr">
        <is>
          <t>PED01525</t>
        </is>
      </c>
      <c r="C3863" s="2" t="inlineStr">
        <is>
          <t>P001</t>
        </is>
      </c>
      <c r="D3863" s="2" t="n">
        <v>3</v>
      </c>
      <c r="E3863" s="19" t="n">
        <v>0</v>
      </c>
    </row>
    <row r="3864">
      <c r="A3864" s="2" t="inlineStr">
        <is>
          <t>IT01526_01</t>
        </is>
      </c>
      <c r="B3864" s="2" t="inlineStr">
        <is>
          <t>PED01526</t>
        </is>
      </c>
      <c r="C3864" s="2" t="inlineStr">
        <is>
          <t>P019</t>
        </is>
      </c>
      <c r="D3864" s="2" t="n">
        <v>1</v>
      </c>
      <c r="E3864" s="19" t="n">
        <v>0</v>
      </c>
    </row>
    <row r="3865">
      <c r="A3865" s="2" t="inlineStr">
        <is>
          <t>IT01527_01</t>
        </is>
      </c>
      <c r="B3865" s="2" t="inlineStr">
        <is>
          <t>PED01527</t>
        </is>
      </c>
      <c r="C3865" s="2" t="inlineStr">
        <is>
          <t>P019</t>
        </is>
      </c>
      <c r="D3865" s="2" t="n">
        <v>2</v>
      </c>
      <c r="E3865" s="19" t="n">
        <v>0</v>
      </c>
    </row>
    <row r="3866">
      <c r="A3866" s="2" t="inlineStr">
        <is>
          <t>IT01528_01</t>
        </is>
      </c>
      <c r="B3866" s="2" t="inlineStr">
        <is>
          <t>PED01528</t>
        </is>
      </c>
      <c r="C3866" s="2" t="inlineStr">
        <is>
          <t>P025</t>
        </is>
      </c>
      <c r="D3866" s="2" t="n">
        <v>1</v>
      </c>
      <c r="E3866" s="19" t="n">
        <v>0</v>
      </c>
    </row>
    <row r="3867">
      <c r="A3867" s="2" t="inlineStr">
        <is>
          <t>IT01529_01</t>
        </is>
      </c>
      <c r="B3867" s="2" t="inlineStr">
        <is>
          <t>PED01529</t>
        </is>
      </c>
      <c r="C3867" s="2" t="inlineStr">
        <is>
          <t>P058</t>
        </is>
      </c>
      <c r="D3867" s="2" t="n">
        <v>1</v>
      </c>
      <c r="E3867" s="19" t="n">
        <v>0.02</v>
      </c>
    </row>
    <row r="3868">
      <c r="A3868" s="2" t="inlineStr">
        <is>
          <t>IT01529_02</t>
        </is>
      </c>
      <c r="B3868" s="2" t="inlineStr">
        <is>
          <t>PED01529</t>
        </is>
      </c>
      <c r="C3868" s="2" t="inlineStr">
        <is>
          <t>P015</t>
        </is>
      </c>
      <c r="D3868" s="2" t="n">
        <v>3</v>
      </c>
      <c r="E3868" s="19" t="n">
        <v>0.05</v>
      </c>
    </row>
    <row r="3869">
      <c r="A3869" s="2" t="inlineStr">
        <is>
          <t>IT01529_03</t>
        </is>
      </c>
      <c r="B3869" s="2" t="inlineStr">
        <is>
          <t>PED01529</t>
        </is>
      </c>
      <c r="C3869" s="2" t="inlineStr">
        <is>
          <t>P030</t>
        </is>
      </c>
      <c r="D3869" s="2" t="n">
        <v>1</v>
      </c>
      <c r="E3869" s="19" t="n">
        <v>0</v>
      </c>
    </row>
    <row r="3870">
      <c r="A3870" s="2" t="inlineStr">
        <is>
          <t>IT01530_01</t>
        </is>
      </c>
      <c r="B3870" s="2" t="inlineStr">
        <is>
          <t>PED01530</t>
        </is>
      </c>
      <c r="C3870" s="2" t="inlineStr">
        <is>
          <t>P068</t>
        </is>
      </c>
      <c r="D3870" s="2" t="n">
        <v>2</v>
      </c>
      <c r="E3870" s="19" t="n">
        <v>0.05</v>
      </c>
    </row>
    <row r="3871">
      <c r="A3871" s="2" t="inlineStr">
        <is>
          <t>IT01531_01</t>
        </is>
      </c>
      <c r="B3871" s="2" t="inlineStr">
        <is>
          <t>PED01531</t>
        </is>
      </c>
      <c r="C3871" s="2" t="inlineStr">
        <is>
          <t>P006</t>
        </is>
      </c>
      <c r="D3871" s="2" t="n">
        <v>1</v>
      </c>
      <c r="E3871" s="19" t="n">
        <v>0</v>
      </c>
    </row>
    <row r="3872">
      <c r="A3872" s="2" t="inlineStr">
        <is>
          <t>IT01531_02</t>
        </is>
      </c>
      <c r="B3872" s="2" t="inlineStr">
        <is>
          <t>PED01531</t>
        </is>
      </c>
      <c r="C3872" s="2" t="inlineStr">
        <is>
          <t>P060</t>
        </is>
      </c>
      <c r="D3872" s="2" t="n">
        <v>4</v>
      </c>
      <c r="E3872" s="19" t="n">
        <v>0</v>
      </c>
    </row>
    <row r="3873">
      <c r="A3873" s="2" t="inlineStr">
        <is>
          <t>IT01531_03</t>
        </is>
      </c>
      <c r="B3873" s="2" t="inlineStr">
        <is>
          <t>PED01531</t>
        </is>
      </c>
      <c r="C3873" s="2" t="inlineStr">
        <is>
          <t>P068</t>
        </is>
      </c>
      <c r="D3873" s="2" t="n">
        <v>1</v>
      </c>
      <c r="E3873" s="19" t="n">
        <v>0</v>
      </c>
    </row>
    <row r="3874">
      <c r="A3874" s="2" t="inlineStr">
        <is>
          <t>IT01531_04</t>
        </is>
      </c>
      <c r="B3874" s="2" t="inlineStr">
        <is>
          <t>PED01531</t>
        </is>
      </c>
      <c r="C3874" s="2" t="inlineStr">
        <is>
          <t>P031</t>
        </is>
      </c>
      <c r="D3874" s="2" t="n">
        <v>4</v>
      </c>
      <c r="E3874" s="19" t="n">
        <v>0.02</v>
      </c>
    </row>
    <row r="3875">
      <c r="A3875" s="2" t="inlineStr">
        <is>
          <t>IT01531_05</t>
        </is>
      </c>
      <c r="B3875" s="2" t="inlineStr">
        <is>
          <t>PED01531</t>
        </is>
      </c>
      <c r="C3875" s="2" t="inlineStr">
        <is>
          <t>P004</t>
        </is>
      </c>
      <c r="D3875" s="2" t="n">
        <v>1</v>
      </c>
      <c r="E3875" s="19" t="n">
        <v>0</v>
      </c>
    </row>
    <row r="3876">
      <c r="A3876" s="2" t="inlineStr">
        <is>
          <t>IT01532_01</t>
        </is>
      </c>
      <c r="B3876" s="2" t="inlineStr">
        <is>
          <t>PED01532</t>
        </is>
      </c>
      <c r="C3876" s="2" t="inlineStr">
        <is>
          <t>P034</t>
        </is>
      </c>
      <c r="D3876" s="2" t="n">
        <v>3</v>
      </c>
      <c r="E3876" s="19" t="n">
        <v>0</v>
      </c>
    </row>
    <row r="3877">
      <c r="A3877" s="2" t="inlineStr">
        <is>
          <t>IT01532_02</t>
        </is>
      </c>
      <c r="B3877" s="2" t="inlineStr">
        <is>
          <t>PED01532</t>
        </is>
      </c>
      <c r="C3877" s="2" t="inlineStr">
        <is>
          <t>P037</t>
        </is>
      </c>
      <c r="D3877" s="2" t="n">
        <v>4</v>
      </c>
      <c r="E3877" s="19" t="n">
        <v>0</v>
      </c>
    </row>
    <row r="3878">
      <c r="A3878" s="2" t="inlineStr">
        <is>
          <t>IT01532_03</t>
        </is>
      </c>
      <c r="B3878" s="2" t="inlineStr">
        <is>
          <t>PED01532</t>
        </is>
      </c>
      <c r="C3878" s="2" t="inlineStr">
        <is>
          <t>P061</t>
        </is>
      </c>
      <c r="D3878" s="2" t="n">
        <v>1</v>
      </c>
      <c r="E3878" s="19" t="n">
        <v>0</v>
      </c>
    </row>
    <row r="3879">
      <c r="A3879" s="2" t="inlineStr">
        <is>
          <t>IT01532_04</t>
        </is>
      </c>
      <c r="B3879" s="2" t="inlineStr">
        <is>
          <t>PED01532</t>
        </is>
      </c>
      <c r="C3879" s="2" t="inlineStr">
        <is>
          <t>P053</t>
        </is>
      </c>
      <c r="D3879" s="2" t="n">
        <v>2</v>
      </c>
      <c r="E3879" s="19" t="n">
        <v>0</v>
      </c>
    </row>
    <row r="3880">
      <c r="A3880" s="2" t="inlineStr">
        <is>
          <t>IT01533_01</t>
        </is>
      </c>
      <c r="B3880" s="2" t="inlineStr">
        <is>
          <t>PED01533</t>
        </is>
      </c>
      <c r="C3880" s="2" t="inlineStr">
        <is>
          <t>P004</t>
        </is>
      </c>
      <c r="D3880" s="2" t="n">
        <v>2</v>
      </c>
      <c r="E3880" s="19" t="n">
        <v>0</v>
      </c>
    </row>
    <row r="3881">
      <c r="A3881" s="2" t="inlineStr">
        <is>
          <t>IT01533_02</t>
        </is>
      </c>
      <c r="B3881" s="2" t="inlineStr">
        <is>
          <t>PED01533</t>
        </is>
      </c>
      <c r="C3881" s="2" t="inlineStr">
        <is>
          <t>P030</t>
        </is>
      </c>
      <c r="D3881" s="2" t="n">
        <v>3</v>
      </c>
      <c r="E3881" s="19" t="n">
        <v>0</v>
      </c>
    </row>
    <row r="3882">
      <c r="A3882" s="2" t="inlineStr">
        <is>
          <t>IT01533_03</t>
        </is>
      </c>
      <c r="B3882" s="2" t="inlineStr">
        <is>
          <t>PED01533</t>
        </is>
      </c>
      <c r="C3882" s="2" t="inlineStr">
        <is>
          <t>P060</t>
        </is>
      </c>
      <c r="D3882" s="2" t="n">
        <v>4</v>
      </c>
      <c r="E3882" s="19" t="n">
        <v>0</v>
      </c>
    </row>
    <row r="3883">
      <c r="A3883" s="2" t="inlineStr">
        <is>
          <t>IT01533_04</t>
        </is>
      </c>
      <c r="B3883" s="2" t="inlineStr">
        <is>
          <t>PED01533</t>
        </is>
      </c>
      <c r="C3883" s="2" t="inlineStr">
        <is>
          <t>P015</t>
        </is>
      </c>
      <c r="D3883" s="2" t="n">
        <v>5</v>
      </c>
      <c r="E3883" s="19" t="n">
        <v>0.05</v>
      </c>
    </row>
    <row r="3884">
      <c r="A3884" s="2" t="inlineStr">
        <is>
          <t>IT01534_01</t>
        </is>
      </c>
      <c r="B3884" s="2" t="inlineStr">
        <is>
          <t>PED01534</t>
        </is>
      </c>
      <c r="C3884" s="2" t="inlineStr">
        <is>
          <t>P064</t>
        </is>
      </c>
      <c r="D3884" s="2" t="n">
        <v>2</v>
      </c>
      <c r="E3884" s="19" t="n">
        <v>0</v>
      </c>
    </row>
    <row r="3885">
      <c r="A3885" s="2" t="inlineStr">
        <is>
          <t>IT01534_02</t>
        </is>
      </c>
      <c r="B3885" s="2" t="inlineStr">
        <is>
          <t>PED01534</t>
        </is>
      </c>
      <c r="C3885" s="2" t="inlineStr">
        <is>
          <t>P048</t>
        </is>
      </c>
      <c r="D3885" s="2" t="n">
        <v>3</v>
      </c>
      <c r="E3885" s="19" t="n">
        <v>0</v>
      </c>
    </row>
    <row r="3886">
      <c r="A3886" s="2" t="inlineStr">
        <is>
          <t>IT01535_01</t>
        </is>
      </c>
      <c r="B3886" s="2" t="inlineStr">
        <is>
          <t>PED01535</t>
        </is>
      </c>
      <c r="C3886" s="2" t="inlineStr">
        <is>
          <t>P039</t>
        </is>
      </c>
      <c r="D3886" s="2" t="n">
        <v>2</v>
      </c>
      <c r="E3886" s="19" t="n">
        <v>0.05</v>
      </c>
    </row>
    <row r="3887">
      <c r="A3887" s="2" t="inlineStr">
        <is>
          <t>IT01535_02</t>
        </is>
      </c>
      <c r="B3887" s="2" t="inlineStr">
        <is>
          <t>PED01535</t>
        </is>
      </c>
      <c r="C3887" s="2" t="inlineStr">
        <is>
          <t>P046</t>
        </is>
      </c>
      <c r="D3887" s="2" t="n">
        <v>2</v>
      </c>
      <c r="E3887" s="19" t="n">
        <v>0</v>
      </c>
    </row>
    <row r="3888">
      <c r="A3888" s="2" t="inlineStr">
        <is>
          <t>IT01535_03</t>
        </is>
      </c>
      <c r="B3888" s="2" t="inlineStr">
        <is>
          <t>PED01535</t>
        </is>
      </c>
      <c r="C3888" s="2" t="inlineStr">
        <is>
          <t>P020</t>
        </is>
      </c>
      <c r="D3888" s="2" t="n">
        <v>3</v>
      </c>
      <c r="E3888" s="19" t="n">
        <v>0</v>
      </c>
    </row>
    <row r="3889">
      <c r="A3889" s="2" t="inlineStr">
        <is>
          <t>IT01536_01</t>
        </is>
      </c>
      <c r="B3889" s="2" t="inlineStr">
        <is>
          <t>PED01536</t>
        </is>
      </c>
      <c r="C3889" s="2" t="inlineStr">
        <is>
          <t>P011</t>
        </is>
      </c>
      <c r="D3889" s="2" t="n">
        <v>2</v>
      </c>
      <c r="E3889" s="19" t="n">
        <v>0</v>
      </c>
    </row>
    <row r="3890">
      <c r="A3890" s="2" t="inlineStr">
        <is>
          <t>IT01536_02</t>
        </is>
      </c>
      <c r="B3890" s="2" t="inlineStr">
        <is>
          <t>PED01536</t>
        </is>
      </c>
      <c r="C3890" s="2" t="inlineStr">
        <is>
          <t>P052</t>
        </is>
      </c>
      <c r="D3890" s="2" t="n">
        <v>1</v>
      </c>
      <c r="E3890" s="19" t="n">
        <v>0.02</v>
      </c>
    </row>
    <row r="3891">
      <c r="A3891" s="2" t="inlineStr">
        <is>
          <t>IT01536_03</t>
        </is>
      </c>
      <c r="B3891" s="2" t="inlineStr">
        <is>
          <t>PED01536</t>
        </is>
      </c>
      <c r="C3891" s="2" t="inlineStr">
        <is>
          <t>P041</t>
        </is>
      </c>
      <c r="D3891" s="2" t="n">
        <v>1</v>
      </c>
      <c r="E3891" s="19" t="n">
        <v>0</v>
      </c>
    </row>
    <row r="3892">
      <c r="A3892" s="2" t="inlineStr">
        <is>
          <t>IT01536_04</t>
        </is>
      </c>
      <c r="B3892" s="2" t="inlineStr">
        <is>
          <t>PED01536</t>
        </is>
      </c>
      <c r="C3892" s="2" t="inlineStr">
        <is>
          <t>P019</t>
        </is>
      </c>
      <c r="D3892" s="2" t="n">
        <v>2</v>
      </c>
      <c r="E3892" s="19" t="n">
        <v>0</v>
      </c>
    </row>
    <row r="3893">
      <c r="A3893" s="2" t="inlineStr">
        <is>
          <t>IT01537_01</t>
        </is>
      </c>
      <c r="B3893" s="2" t="inlineStr">
        <is>
          <t>PED01537</t>
        </is>
      </c>
      <c r="C3893" s="2" t="inlineStr">
        <is>
          <t>P021</t>
        </is>
      </c>
      <c r="D3893" s="2" t="n">
        <v>1</v>
      </c>
      <c r="E3893" s="19" t="n">
        <v>0</v>
      </c>
    </row>
    <row r="3894">
      <c r="A3894" s="2" t="inlineStr">
        <is>
          <t>IT01537_02</t>
        </is>
      </c>
      <c r="B3894" s="2" t="inlineStr">
        <is>
          <t>PED01537</t>
        </is>
      </c>
      <c r="C3894" s="2" t="inlineStr">
        <is>
          <t>P051</t>
        </is>
      </c>
      <c r="D3894" s="2" t="n">
        <v>3</v>
      </c>
      <c r="E3894" s="19" t="n">
        <v>0.05</v>
      </c>
    </row>
    <row r="3895">
      <c r="A3895" s="2" t="inlineStr">
        <is>
          <t>IT01537_03</t>
        </is>
      </c>
      <c r="B3895" s="2" t="inlineStr">
        <is>
          <t>PED01537</t>
        </is>
      </c>
      <c r="C3895" s="2" t="inlineStr">
        <is>
          <t>P038</t>
        </is>
      </c>
      <c r="D3895" s="2" t="n">
        <v>1</v>
      </c>
      <c r="E3895" s="19" t="n">
        <v>0.05</v>
      </c>
    </row>
    <row r="3896">
      <c r="A3896" s="2" t="inlineStr">
        <is>
          <t>IT01538_01</t>
        </is>
      </c>
      <c r="B3896" s="2" t="inlineStr">
        <is>
          <t>PED01538</t>
        </is>
      </c>
      <c r="C3896" s="2" t="inlineStr">
        <is>
          <t>P028</t>
        </is>
      </c>
      <c r="D3896" s="2" t="n">
        <v>2</v>
      </c>
      <c r="E3896" s="19" t="n">
        <v>0.02</v>
      </c>
    </row>
    <row r="3897">
      <c r="A3897" s="2" t="inlineStr">
        <is>
          <t>IT01538_02</t>
        </is>
      </c>
      <c r="B3897" s="2" t="inlineStr">
        <is>
          <t>PED01538</t>
        </is>
      </c>
      <c r="C3897" s="2" t="inlineStr">
        <is>
          <t>P039</t>
        </is>
      </c>
      <c r="D3897" s="2" t="n">
        <v>1</v>
      </c>
      <c r="E3897" s="19" t="n">
        <v>0</v>
      </c>
    </row>
    <row r="3898">
      <c r="A3898" s="2" t="inlineStr">
        <is>
          <t>IT01539_01</t>
        </is>
      </c>
      <c r="B3898" s="2" t="inlineStr">
        <is>
          <t>PED01539</t>
        </is>
      </c>
      <c r="C3898" s="2" t="inlineStr">
        <is>
          <t>P014</t>
        </is>
      </c>
      <c r="D3898" s="2" t="n">
        <v>2</v>
      </c>
      <c r="E3898" s="19" t="n">
        <v>0</v>
      </c>
    </row>
    <row r="3899">
      <c r="A3899" s="2" t="inlineStr">
        <is>
          <t>IT01539_02</t>
        </is>
      </c>
      <c r="B3899" s="2" t="inlineStr">
        <is>
          <t>PED01539</t>
        </is>
      </c>
      <c r="C3899" s="2" t="inlineStr">
        <is>
          <t>P042</t>
        </is>
      </c>
      <c r="D3899" s="2" t="n">
        <v>1</v>
      </c>
      <c r="E3899" s="19" t="n">
        <v>0.1</v>
      </c>
    </row>
    <row r="3900">
      <c r="A3900" s="2" t="inlineStr">
        <is>
          <t>IT01540_01</t>
        </is>
      </c>
      <c r="B3900" s="2" t="inlineStr">
        <is>
          <t>PED01540</t>
        </is>
      </c>
      <c r="C3900" s="2" t="inlineStr">
        <is>
          <t>P022</t>
        </is>
      </c>
      <c r="D3900" s="2" t="n">
        <v>1</v>
      </c>
      <c r="E3900" s="19" t="n">
        <v>0</v>
      </c>
    </row>
    <row r="3901">
      <c r="A3901" s="2" t="inlineStr">
        <is>
          <t>IT01541_01</t>
        </is>
      </c>
      <c r="B3901" s="2" t="inlineStr">
        <is>
          <t>PED01541</t>
        </is>
      </c>
      <c r="C3901" s="2" t="inlineStr">
        <is>
          <t>P029</t>
        </is>
      </c>
      <c r="D3901" s="2" t="n">
        <v>1</v>
      </c>
      <c r="E3901" s="19" t="n">
        <v>0</v>
      </c>
    </row>
    <row r="3902">
      <c r="A3902" s="2" t="inlineStr">
        <is>
          <t>IT01541_02</t>
        </is>
      </c>
      <c r="B3902" s="2" t="inlineStr">
        <is>
          <t>PED01541</t>
        </is>
      </c>
      <c r="C3902" s="2" t="inlineStr">
        <is>
          <t>P011</t>
        </is>
      </c>
      <c r="D3902" s="2" t="n">
        <v>3</v>
      </c>
      <c r="E3902" s="19" t="n">
        <v>0</v>
      </c>
    </row>
    <row r="3903">
      <c r="A3903" s="2" t="inlineStr">
        <is>
          <t>IT01542_01</t>
        </is>
      </c>
      <c r="B3903" s="2" t="inlineStr">
        <is>
          <t>PED01542</t>
        </is>
      </c>
      <c r="C3903" s="2" t="inlineStr">
        <is>
          <t>P012</t>
        </is>
      </c>
      <c r="D3903" s="2" t="n">
        <v>1</v>
      </c>
      <c r="E3903" s="19" t="n">
        <v>0</v>
      </c>
    </row>
    <row r="3904">
      <c r="A3904" s="2" t="inlineStr">
        <is>
          <t>IT01542_02</t>
        </is>
      </c>
      <c r="B3904" s="2" t="inlineStr">
        <is>
          <t>PED01542</t>
        </is>
      </c>
      <c r="C3904" s="2" t="inlineStr">
        <is>
          <t>P057</t>
        </is>
      </c>
      <c r="D3904" s="2" t="n">
        <v>5</v>
      </c>
      <c r="E3904" s="19" t="n">
        <v>0</v>
      </c>
    </row>
    <row r="3905">
      <c r="A3905" s="2" t="inlineStr">
        <is>
          <t>IT01543_01</t>
        </is>
      </c>
      <c r="B3905" s="2" t="inlineStr">
        <is>
          <t>PED01543</t>
        </is>
      </c>
      <c r="C3905" s="2" t="inlineStr">
        <is>
          <t>P016</t>
        </is>
      </c>
      <c r="D3905" s="2" t="n">
        <v>1</v>
      </c>
      <c r="E3905" s="19" t="n">
        <v>0</v>
      </c>
    </row>
    <row r="3906">
      <c r="A3906" s="2" t="inlineStr">
        <is>
          <t>IT01544_01</t>
        </is>
      </c>
      <c r="B3906" s="2" t="inlineStr">
        <is>
          <t>PED01544</t>
        </is>
      </c>
      <c r="C3906" s="2" t="inlineStr">
        <is>
          <t>P029</t>
        </is>
      </c>
      <c r="D3906" s="2" t="n">
        <v>10</v>
      </c>
      <c r="E3906" s="19" t="n">
        <v>0.05</v>
      </c>
    </row>
    <row r="3907">
      <c r="A3907" s="2" t="inlineStr">
        <is>
          <t>IT01545_01</t>
        </is>
      </c>
      <c r="B3907" s="2" t="inlineStr">
        <is>
          <t>PED01545</t>
        </is>
      </c>
      <c r="C3907" s="2" t="inlineStr">
        <is>
          <t>P046</t>
        </is>
      </c>
      <c r="D3907" s="2" t="n">
        <v>1</v>
      </c>
      <c r="E3907" s="19" t="n">
        <v>0</v>
      </c>
    </row>
    <row r="3908">
      <c r="A3908" s="2" t="inlineStr">
        <is>
          <t>IT01545_02</t>
        </is>
      </c>
      <c r="B3908" s="2" t="inlineStr">
        <is>
          <t>PED01545</t>
        </is>
      </c>
      <c r="C3908" s="2" t="inlineStr">
        <is>
          <t>P001</t>
        </is>
      </c>
      <c r="D3908" s="2" t="n">
        <v>1</v>
      </c>
      <c r="E3908" s="19" t="n">
        <v>0</v>
      </c>
    </row>
    <row r="3909">
      <c r="A3909" s="2" t="inlineStr">
        <is>
          <t>IT01546_01</t>
        </is>
      </c>
      <c r="B3909" s="2" t="inlineStr">
        <is>
          <t>PED01546</t>
        </is>
      </c>
      <c r="C3909" s="2" t="inlineStr">
        <is>
          <t>P063</t>
        </is>
      </c>
      <c r="D3909" s="2" t="n">
        <v>2</v>
      </c>
      <c r="E3909" s="19" t="n">
        <v>0</v>
      </c>
    </row>
    <row r="3910">
      <c r="A3910" s="2" t="inlineStr">
        <is>
          <t>IT01546_02</t>
        </is>
      </c>
      <c r="B3910" s="2" t="inlineStr">
        <is>
          <t>PED01546</t>
        </is>
      </c>
      <c r="C3910" s="2" t="inlineStr">
        <is>
          <t>P011</t>
        </is>
      </c>
      <c r="D3910" s="2" t="n">
        <v>2</v>
      </c>
      <c r="E3910" s="19" t="n">
        <v>0</v>
      </c>
    </row>
    <row r="3911">
      <c r="A3911" s="2" t="inlineStr">
        <is>
          <t>IT01547_01</t>
        </is>
      </c>
      <c r="B3911" s="2" t="inlineStr">
        <is>
          <t>PED01547</t>
        </is>
      </c>
      <c r="C3911" s="2" t="inlineStr">
        <is>
          <t>P036</t>
        </is>
      </c>
      <c r="D3911" s="2" t="n">
        <v>1</v>
      </c>
      <c r="E3911" s="19" t="n">
        <v>0.02</v>
      </c>
    </row>
    <row r="3912">
      <c r="A3912" s="2" t="inlineStr">
        <is>
          <t>IT01547_02</t>
        </is>
      </c>
      <c r="B3912" s="2" t="inlineStr">
        <is>
          <t>PED01547</t>
        </is>
      </c>
      <c r="C3912" s="2" t="inlineStr">
        <is>
          <t>P064</t>
        </is>
      </c>
      <c r="D3912" s="2" t="n">
        <v>1</v>
      </c>
      <c r="E3912" s="19" t="n">
        <v>0</v>
      </c>
    </row>
    <row r="3913">
      <c r="A3913" s="2" t="inlineStr">
        <is>
          <t>IT01548_01</t>
        </is>
      </c>
      <c r="B3913" s="2" t="inlineStr">
        <is>
          <t>PED01548</t>
        </is>
      </c>
      <c r="C3913" s="2" t="inlineStr">
        <is>
          <t>P028</t>
        </is>
      </c>
      <c r="D3913" s="2" t="n">
        <v>1</v>
      </c>
      <c r="E3913" s="19" t="n">
        <v>0</v>
      </c>
    </row>
    <row r="3914">
      <c r="A3914" s="2" t="inlineStr">
        <is>
          <t>IT01548_02</t>
        </is>
      </c>
      <c r="B3914" s="2" t="inlineStr">
        <is>
          <t>PED01548</t>
        </is>
      </c>
      <c r="C3914" s="2" t="inlineStr">
        <is>
          <t>P018</t>
        </is>
      </c>
      <c r="D3914" s="2" t="n">
        <v>2</v>
      </c>
      <c r="E3914" s="19" t="n">
        <v>0</v>
      </c>
    </row>
    <row r="3915">
      <c r="A3915" s="2" t="inlineStr">
        <is>
          <t>IT01548_03</t>
        </is>
      </c>
      <c r="B3915" s="2" t="inlineStr">
        <is>
          <t>PED01548</t>
        </is>
      </c>
      <c r="C3915" s="2" t="inlineStr">
        <is>
          <t>P030</t>
        </is>
      </c>
      <c r="D3915" s="2" t="n">
        <v>3</v>
      </c>
      <c r="E3915" s="19" t="n">
        <v>0.02</v>
      </c>
    </row>
    <row r="3916">
      <c r="A3916" s="2" t="inlineStr">
        <is>
          <t>IT01549_01</t>
        </is>
      </c>
      <c r="B3916" s="2" t="inlineStr">
        <is>
          <t>PED01549</t>
        </is>
      </c>
      <c r="C3916" s="2" t="inlineStr">
        <is>
          <t>P016</t>
        </is>
      </c>
      <c r="D3916" s="2" t="n">
        <v>5</v>
      </c>
      <c r="E3916" s="19" t="n">
        <v>0</v>
      </c>
    </row>
    <row r="3917">
      <c r="A3917" s="2" t="inlineStr">
        <is>
          <t>IT01549_02</t>
        </is>
      </c>
      <c r="B3917" s="2" t="inlineStr">
        <is>
          <t>PED01549</t>
        </is>
      </c>
      <c r="C3917" s="2" t="inlineStr">
        <is>
          <t>P038</t>
        </is>
      </c>
      <c r="D3917" s="2" t="n">
        <v>2</v>
      </c>
      <c r="E3917" s="19" t="n">
        <v>0.02</v>
      </c>
    </row>
    <row r="3918">
      <c r="A3918" s="2" t="inlineStr">
        <is>
          <t>IT01550_01</t>
        </is>
      </c>
      <c r="B3918" s="2" t="inlineStr">
        <is>
          <t>PED01550</t>
        </is>
      </c>
      <c r="C3918" s="2" t="inlineStr">
        <is>
          <t>P008</t>
        </is>
      </c>
      <c r="D3918" s="2" t="n">
        <v>1</v>
      </c>
      <c r="E3918" s="19" t="n">
        <v>0</v>
      </c>
    </row>
    <row r="3919">
      <c r="A3919" s="2" t="inlineStr">
        <is>
          <t>IT01550_02</t>
        </is>
      </c>
      <c r="B3919" s="2" t="inlineStr">
        <is>
          <t>PED01550</t>
        </is>
      </c>
      <c r="C3919" s="2" t="inlineStr">
        <is>
          <t>P045</t>
        </is>
      </c>
      <c r="D3919" s="2" t="n">
        <v>4</v>
      </c>
      <c r="E3919" s="19" t="n">
        <v>0</v>
      </c>
    </row>
    <row r="3920">
      <c r="A3920" s="2" t="inlineStr">
        <is>
          <t>IT01551_01</t>
        </is>
      </c>
      <c r="B3920" s="2" t="inlineStr">
        <is>
          <t>PED01551</t>
        </is>
      </c>
      <c r="C3920" s="2" t="inlineStr">
        <is>
          <t>P008</t>
        </is>
      </c>
      <c r="D3920" s="2" t="n">
        <v>2</v>
      </c>
      <c r="E3920" s="19" t="n">
        <v>0.02</v>
      </c>
    </row>
    <row r="3921">
      <c r="A3921" s="2" t="inlineStr">
        <is>
          <t>IT01551_02</t>
        </is>
      </c>
      <c r="B3921" s="2" t="inlineStr">
        <is>
          <t>PED01551</t>
        </is>
      </c>
      <c r="C3921" s="2" t="inlineStr">
        <is>
          <t>P053</t>
        </is>
      </c>
      <c r="D3921" s="2" t="n">
        <v>2</v>
      </c>
      <c r="E3921" s="19" t="n">
        <v>0</v>
      </c>
    </row>
    <row r="3922">
      <c r="A3922" s="2" t="inlineStr">
        <is>
          <t>IT01552_01</t>
        </is>
      </c>
      <c r="B3922" s="2" t="inlineStr">
        <is>
          <t>PED01552</t>
        </is>
      </c>
      <c r="C3922" s="2" t="inlineStr">
        <is>
          <t>P050</t>
        </is>
      </c>
      <c r="D3922" s="2" t="n">
        <v>2</v>
      </c>
      <c r="E3922" s="19" t="n">
        <v>0</v>
      </c>
    </row>
    <row r="3923">
      <c r="A3923" s="2" t="inlineStr">
        <is>
          <t>IT01552_02</t>
        </is>
      </c>
      <c r="B3923" s="2" t="inlineStr">
        <is>
          <t>PED01552</t>
        </is>
      </c>
      <c r="C3923" s="2" t="inlineStr">
        <is>
          <t>P062</t>
        </is>
      </c>
      <c r="D3923" s="2" t="n">
        <v>1</v>
      </c>
      <c r="E3923" s="19" t="n">
        <v>0</v>
      </c>
    </row>
    <row r="3924">
      <c r="A3924" s="2" t="inlineStr">
        <is>
          <t>IT01553_01</t>
        </is>
      </c>
      <c r="B3924" s="2" t="inlineStr">
        <is>
          <t>PED01553</t>
        </is>
      </c>
      <c r="C3924" s="2" t="inlineStr">
        <is>
          <t>P067</t>
        </is>
      </c>
      <c r="D3924" s="2" t="n">
        <v>3</v>
      </c>
      <c r="E3924" s="19" t="n">
        <v>0</v>
      </c>
    </row>
    <row r="3925">
      <c r="A3925" s="2" t="inlineStr">
        <is>
          <t>IT01554_01</t>
        </is>
      </c>
      <c r="B3925" s="2" t="inlineStr">
        <is>
          <t>PED01554</t>
        </is>
      </c>
      <c r="C3925" s="2" t="inlineStr">
        <is>
          <t>P040</t>
        </is>
      </c>
      <c r="D3925" s="2" t="n">
        <v>1</v>
      </c>
      <c r="E3925" s="19" t="n">
        <v>0</v>
      </c>
    </row>
    <row r="3926">
      <c r="A3926" s="2" t="inlineStr">
        <is>
          <t>IT01555_01</t>
        </is>
      </c>
      <c r="B3926" s="2" t="inlineStr">
        <is>
          <t>PED01555</t>
        </is>
      </c>
      <c r="C3926" s="2" t="inlineStr">
        <is>
          <t>P020</t>
        </is>
      </c>
      <c r="D3926" s="2" t="n">
        <v>1</v>
      </c>
      <c r="E3926" s="19" t="n">
        <v>0</v>
      </c>
    </row>
    <row r="3927">
      <c r="A3927" s="2" t="inlineStr">
        <is>
          <t>IT01555_02</t>
        </is>
      </c>
      <c r="B3927" s="2" t="inlineStr">
        <is>
          <t>PED01555</t>
        </is>
      </c>
      <c r="C3927" s="2" t="inlineStr">
        <is>
          <t>P032</t>
        </is>
      </c>
      <c r="D3927" s="2" t="n">
        <v>1</v>
      </c>
      <c r="E3927" s="19" t="n">
        <v>0.02</v>
      </c>
    </row>
    <row r="3928">
      <c r="A3928" s="2" t="inlineStr">
        <is>
          <t>IT01555_03</t>
        </is>
      </c>
      <c r="B3928" s="2" t="inlineStr">
        <is>
          <t>PED01555</t>
        </is>
      </c>
      <c r="C3928" s="2" t="inlineStr">
        <is>
          <t>P010</t>
        </is>
      </c>
      <c r="D3928" s="2" t="n">
        <v>2</v>
      </c>
      <c r="E3928" s="19" t="n">
        <v>0</v>
      </c>
    </row>
    <row r="3929">
      <c r="A3929" s="2" t="inlineStr">
        <is>
          <t>IT01556_01</t>
        </is>
      </c>
      <c r="B3929" s="2" t="inlineStr">
        <is>
          <t>PED01556</t>
        </is>
      </c>
      <c r="C3929" s="2" t="inlineStr">
        <is>
          <t>P063</t>
        </is>
      </c>
      <c r="D3929" s="2" t="n">
        <v>3</v>
      </c>
      <c r="E3929" s="19" t="n">
        <v>0</v>
      </c>
    </row>
    <row r="3930">
      <c r="A3930" s="2" t="inlineStr">
        <is>
          <t>IT01556_02</t>
        </is>
      </c>
      <c r="B3930" s="2" t="inlineStr">
        <is>
          <t>PED01556</t>
        </is>
      </c>
      <c r="C3930" s="2" t="inlineStr">
        <is>
          <t>P026</t>
        </is>
      </c>
      <c r="D3930" s="2" t="n">
        <v>1</v>
      </c>
      <c r="E3930" s="19" t="n">
        <v>0</v>
      </c>
    </row>
    <row r="3931">
      <c r="A3931" s="2" t="inlineStr">
        <is>
          <t>IT01557_01</t>
        </is>
      </c>
      <c r="B3931" s="2" t="inlineStr">
        <is>
          <t>PED01557</t>
        </is>
      </c>
      <c r="C3931" s="2" t="inlineStr">
        <is>
          <t>P050</t>
        </is>
      </c>
      <c r="D3931" s="2" t="n">
        <v>1</v>
      </c>
      <c r="E3931" s="19" t="n">
        <v>0</v>
      </c>
    </row>
    <row r="3932">
      <c r="A3932" s="2" t="inlineStr">
        <is>
          <t>IT01557_02</t>
        </is>
      </c>
      <c r="B3932" s="2" t="inlineStr">
        <is>
          <t>PED01557</t>
        </is>
      </c>
      <c r="C3932" s="2" t="inlineStr">
        <is>
          <t>P046</t>
        </is>
      </c>
      <c r="D3932" s="2" t="n">
        <v>2</v>
      </c>
      <c r="E3932" s="19" t="n">
        <v>0.02</v>
      </c>
    </row>
    <row r="3933">
      <c r="A3933" s="2" t="inlineStr">
        <is>
          <t>IT01557_03</t>
        </is>
      </c>
      <c r="B3933" s="2" t="inlineStr">
        <is>
          <t>PED01557</t>
        </is>
      </c>
      <c r="C3933" s="2" t="inlineStr">
        <is>
          <t>P021</t>
        </is>
      </c>
      <c r="D3933" s="2" t="n">
        <v>1</v>
      </c>
      <c r="E3933" s="19" t="n">
        <v>0.05</v>
      </c>
    </row>
    <row r="3934">
      <c r="A3934" s="2" t="inlineStr">
        <is>
          <t>IT01557_04</t>
        </is>
      </c>
      <c r="B3934" s="2" t="inlineStr">
        <is>
          <t>PED01557</t>
        </is>
      </c>
      <c r="C3934" s="2" t="inlineStr">
        <is>
          <t>P055</t>
        </is>
      </c>
      <c r="D3934" s="2" t="n">
        <v>1</v>
      </c>
      <c r="E3934" s="19" t="n">
        <v>0</v>
      </c>
    </row>
    <row r="3935">
      <c r="A3935" s="2" t="inlineStr">
        <is>
          <t>IT01558_01</t>
        </is>
      </c>
      <c r="B3935" s="2" t="inlineStr">
        <is>
          <t>PED01558</t>
        </is>
      </c>
      <c r="C3935" s="2" t="inlineStr">
        <is>
          <t>P047</t>
        </is>
      </c>
      <c r="D3935" s="2" t="n">
        <v>1</v>
      </c>
      <c r="E3935" s="19" t="n">
        <v>0.02</v>
      </c>
    </row>
    <row r="3936">
      <c r="A3936" s="2" t="inlineStr">
        <is>
          <t>IT01558_02</t>
        </is>
      </c>
      <c r="B3936" s="2" t="inlineStr">
        <is>
          <t>PED01558</t>
        </is>
      </c>
      <c r="C3936" s="2" t="inlineStr">
        <is>
          <t>P051</t>
        </is>
      </c>
      <c r="D3936" s="2" t="n">
        <v>2</v>
      </c>
      <c r="E3936" s="19" t="n">
        <v>0.1</v>
      </c>
    </row>
    <row r="3937">
      <c r="A3937" s="2" t="inlineStr">
        <is>
          <t>IT01559_01</t>
        </is>
      </c>
      <c r="B3937" s="2" t="inlineStr">
        <is>
          <t>PED01559</t>
        </is>
      </c>
      <c r="C3937" s="2" t="inlineStr">
        <is>
          <t>P037</t>
        </is>
      </c>
      <c r="D3937" s="2" t="n">
        <v>3</v>
      </c>
      <c r="E3937" s="19" t="n">
        <v>0</v>
      </c>
    </row>
    <row r="3938">
      <c r="A3938" s="2" t="inlineStr">
        <is>
          <t>IT01559_02</t>
        </is>
      </c>
      <c r="B3938" s="2" t="inlineStr">
        <is>
          <t>PED01559</t>
        </is>
      </c>
      <c r="C3938" s="2" t="inlineStr">
        <is>
          <t>P048</t>
        </is>
      </c>
      <c r="D3938" s="2" t="n">
        <v>1</v>
      </c>
      <c r="E3938" s="19" t="n">
        <v>0</v>
      </c>
    </row>
    <row r="3939">
      <c r="A3939" s="2" t="inlineStr">
        <is>
          <t>IT01560_01</t>
        </is>
      </c>
      <c r="B3939" s="2" t="inlineStr">
        <is>
          <t>PED01560</t>
        </is>
      </c>
      <c r="C3939" s="2" t="inlineStr">
        <is>
          <t>P015</t>
        </is>
      </c>
      <c r="D3939" s="2" t="n">
        <v>3</v>
      </c>
      <c r="E3939" s="19" t="n">
        <v>0.02</v>
      </c>
    </row>
    <row r="3940">
      <c r="A3940" s="2" t="inlineStr">
        <is>
          <t>IT01560_02</t>
        </is>
      </c>
      <c r="B3940" s="2" t="inlineStr">
        <is>
          <t>PED01560</t>
        </is>
      </c>
      <c r="C3940" s="2" t="inlineStr">
        <is>
          <t>P019</t>
        </is>
      </c>
      <c r="D3940" s="2" t="n">
        <v>4</v>
      </c>
      <c r="E3940" s="19" t="n">
        <v>0.02</v>
      </c>
    </row>
    <row r="3941">
      <c r="A3941" s="2" t="inlineStr">
        <is>
          <t>IT01560_03</t>
        </is>
      </c>
      <c r="B3941" s="2" t="inlineStr">
        <is>
          <t>PED01560</t>
        </is>
      </c>
      <c r="C3941" s="2" t="inlineStr">
        <is>
          <t>P007</t>
        </is>
      </c>
      <c r="D3941" s="2" t="n">
        <v>1</v>
      </c>
      <c r="E3941" s="19" t="n">
        <v>0.05</v>
      </c>
    </row>
    <row r="3942">
      <c r="A3942" s="2" t="inlineStr">
        <is>
          <t>IT01560_04</t>
        </is>
      </c>
      <c r="B3942" s="2" t="inlineStr">
        <is>
          <t>PED01560</t>
        </is>
      </c>
      <c r="C3942" s="2" t="inlineStr">
        <is>
          <t>P054</t>
        </is>
      </c>
      <c r="D3942" s="2" t="n">
        <v>3</v>
      </c>
      <c r="E3942" s="19" t="n">
        <v>0.02</v>
      </c>
    </row>
    <row r="3943">
      <c r="A3943" s="2" t="inlineStr">
        <is>
          <t>IT01561_01</t>
        </is>
      </c>
      <c r="B3943" s="2" t="inlineStr">
        <is>
          <t>PED01561</t>
        </is>
      </c>
      <c r="C3943" s="2" t="inlineStr">
        <is>
          <t>P015</t>
        </is>
      </c>
      <c r="D3943" s="2" t="n">
        <v>1</v>
      </c>
      <c r="E3943" s="19" t="n">
        <v>0.05</v>
      </c>
    </row>
    <row r="3944">
      <c r="A3944" s="2" t="inlineStr">
        <is>
          <t>IT01562_01</t>
        </is>
      </c>
      <c r="B3944" s="2" t="inlineStr">
        <is>
          <t>PED01562</t>
        </is>
      </c>
      <c r="C3944" s="2" t="inlineStr">
        <is>
          <t>P001</t>
        </is>
      </c>
      <c r="D3944" s="2" t="n">
        <v>4</v>
      </c>
      <c r="E3944" s="19" t="n">
        <v>0.1</v>
      </c>
    </row>
    <row r="3945">
      <c r="A3945" s="2" t="inlineStr">
        <is>
          <t>IT01562_02</t>
        </is>
      </c>
      <c r="B3945" s="2" t="inlineStr">
        <is>
          <t>PED01562</t>
        </is>
      </c>
      <c r="C3945" s="2" t="inlineStr">
        <is>
          <t>P037</t>
        </is>
      </c>
      <c r="D3945" s="2" t="n">
        <v>3</v>
      </c>
      <c r="E3945" s="19" t="n">
        <v>0</v>
      </c>
    </row>
    <row r="3946">
      <c r="A3946" s="2" t="inlineStr">
        <is>
          <t>IT01563_01</t>
        </is>
      </c>
      <c r="B3946" s="2" t="inlineStr">
        <is>
          <t>PED01563</t>
        </is>
      </c>
      <c r="C3946" s="2" t="inlineStr">
        <is>
          <t>P027</t>
        </is>
      </c>
      <c r="D3946" s="2" t="n">
        <v>2</v>
      </c>
      <c r="E3946" s="19" t="n">
        <v>0</v>
      </c>
    </row>
    <row r="3947">
      <c r="A3947" s="2" t="inlineStr">
        <is>
          <t>IT01563_02</t>
        </is>
      </c>
      <c r="B3947" s="2" t="inlineStr">
        <is>
          <t>PED01563</t>
        </is>
      </c>
      <c r="C3947" s="2" t="inlineStr">
        <is>
          <t>P030</t>
        </is>
      </c>
      <c r="D3947" s="2" t="n">
        <v>1</v>
      </c>
      <c r="E3947" s="19" t="n">
        <v>0</v>
      </c>
    </row>
    <row r="3948">
      <c r="A3948" s="2" t="inlineStr">
        <is>
          <t>IT01564_01</t>
        </is>
      </c>
      <c r="B3948" s="2" t="inlineStr">
        <is>
          <t>PED01564</t>
        </is>
      </c>
      <c r="C3948" s="2" t="inlineStr">
        <is>
          <t>P035</t>
        </is>
      </c>
      <c r="D3948" s="2" t="n">
        <v>3</v>
      </c>
      <c r="E3948" s="19" t="n">
        <v>0</v>
      </c>
    </row>
    <row r="3949">
      <c r="A3949" s="2" t="inlineStr">
        <is>
          <t>IT01564_02</t>
        </is>
      </c>
      <c r="B3949" s="2" t="inlineStr">
        <is>
          <t>PED01564</t>
        </is>
      </c>
      <c r="C3949" s="2" t="inlineStr">
        <is>
          <t>P041</t>
        </is>
      </c>
      <c r="D3949" s="2" t="n">
        <v>1</v>
      </c>
      <c r="E3949" s="19" t="n">
        <v>0.02</v>
      </c>
    </row>
    <row r="3950">
      <c r="A3950" s="2" t="inlineStr">
        <is>
          <t>IT01564_03</t>
        </is>
      </c>
      <c r="B3950" s="2" t="inlineStr">
        <is>
          <t>PED01564</t>
        </is>
      </c>
      <c r="C3950" s="2" t="inlineStr">
        <is>
          <t>P009</t>
        </is>
      </c>
      <c r="D3950" s="2" t="n">
        <v>1</v>
      </c>
      <c r="E3950" s="19" t="n">
        <v>0</v>
      </c>
    </row>
    <row r="3951">
      <c r="A3951" s="2" t="inlineStr">
        <is>
          <t>IT01565_01</t>
        </is>
      </c>
      <c r="B3951" s="2" t="inlineStr">
        <is>
          <t>PED01565</t>
        </is>
      </c>
      <c r="C3951" s="2" t="inlineStr">
        <is>
          <t>P001</t>
        </is>
      </c>
      <c r="D3951" s="2" t="n">
        <v>1</v>
      </c>
      <c r="E3951" s="19" t="n">
        <v>0</v>
      </c>
    </row>
    <row r="3952">
      <c r="A3952" s="2" t="inlineStr">
        <is>
          <t>IT01565_02</t>
        </is>
      </c>
      <c r="B3952" s="2" t="inlineStr">
        <is>
          <t>PED01565</t>
        </is>
      </c>
      <c r="C3952" s="2" t="inlineStr">
        <is>
          <t>P015</t>
        </is>
      </c>
      <c r="D3952" s="2" t="n">
        <v>3</v>
      </c>
      <c r="E3952" s="19" t="n">
        <v>0</v>
      </c>
    </row>
    <row r="3953">
      <c r="A3953" s="2" t="inlineStr">
        <is>
          <t>IT01566_01</t>
        </is>
      </c>
      <c r="B3953" s="2" t="inlineStr">
        <is>
          <t>PED01566</t>
        </is>
      </c>
      <c r="C3953" s="2" t="inlineStr">
        <is>
          <t>P070</t>
        </is>
      </c>
      <c r="D3953" s="2" t="n">
        <v>1</v>
      </c>
      <c r="E3953" s="19" t="n">
        <v>0.02</v>
      </c>
    </row>
    <row r="3954">
      <c r="A3954" s="2" t="inlineStr">
        <is>
          <t>IT01566_02</t>
        </is>
      </c>
      <c r="B3954" s="2" t="inlineStr">
        <is>
          <t>PED01566</t>
        </is>
      </c>
      <c r="C3954" s="2" t="inlineStr">
        <is>
          <t>P027</t>
        </is>
      </c>
      <c r="D3954" s="2" t="n">
        <v>2</v>
      </c>
      <c r="E3954" s="19" t="n">
        <v>0</v>
      </c>
    </row>
    <row r="3955">
      <c r="A3955" s="2" t="inlineStr">
        <is>
          <t>IT01567_01</t>
        </is>
      </c>
      <c r="B3955" s="2" t="inlineStr">
        <is>
          <t>PED01567</t>
        </is>
      </c>
      <c r="C3955" s="2" t="inlineStr">
        <is>
          <t>P052</t>
        </is>
      </c>
      <c r="D3955" s="2" t="n">
        <v>2</v>
      </c>
      <c r="E3955" s="19" t="n">
        <v>0</v>
      </c>
    </row>
    <row r="3956">
      <c r="A3956" s="2" t="inlineStr">
        <is>
          <t>IT01567_02</t>
        </is>
      </c>
      <c r="B3956" s="2" t="inlineStr">
        <is>
          <t>PED01567</t>
        </is>
      </c>
      <c r="C3956" s="2" t="inlineStr">
        <is>
          <t>P064</t>
        </is>
      </c>
      <c r="D3956" s="2" t="n">
        <v>4</v>
      </c>
      <c r="E3956" s="19" t="n">
        <v>0</v>
      </c>
    </row>
    <row r="3957">
      <c r="A3957" s="2" t="inlineStr">
        <is>
          <t>IT01567_03</t>
        </is>
      </c>
      <c r="B3957" s="2" t="inlineStr">
        <is>
          <t>PED01567</t>
        </is>
      </c>
      <c r="C3957" s="2" t="inlineStr">
        <is>
          <t>P011</t>
        </is>
      </c>
      <c r="D3957" s="2" t="n">
        <v>1</v>
      </c>
      <c r="E3957" s="19" t="n">
        <v>0.05</v>
      </c>
    </row>
    <row r="3958">
      <c r="A3958" s="2" t="inlineStr">
        <is>
          <t>IT01568_01</t>
        </is>
      </c>
      <c r="B3958" s="2" t="inlineStr">
        <is>
          <t>PED01568</t>
        </is>
      </c>
      <c r="C3958" s="2" t="inlineStr">
        <is>
          <t>P007</t>
        </is>
      </c>
      <c r="D3958" s="2" t="n">
        <v>4</v>
      </c>
      <c r="E3958" s="19" t="n">
        <v>0</v>
      </c>
    </row>
    <row r="3959">
      <c r="A3959" s="2" t="inlineStr">
        <is>
          <t>IT01568_02</t>
        </is>
      </c>
      <c r="B3959" s="2" t="inlineStr">
        <is>
          <t>PED01568</t>
        </is>
      </c>
      <c r="C3959" s="2" t="inlineStr">
        <is>
          <t>P015</t>
        </is>
      </c>
      <c r="D3959" s="2" t="n">
        <v>2</v>
      </c>
      <c r="E3959" s="19" t="n">
        <v>0.02</v>
      </c>
    </row>
    <row r="3960">
      <c r="A3960" s="2" t="inlineStr">
        <is>
          <t>IT01569_01</t>
        </is>
      </c>
      <c r="B3960" s="2" t="inlineStr">
        <is>
          <t>PED01569</t>
        </is>
      </c>
      <c r="C3960" s="2" t="inlineStr">
        <is>
          <t>P010</t>
        </is>
      </c>
      <c r="D3960" s="2" t="n">
        <v>1</v>
      </c>
      <c r="E3960" s="19" t="n">
        <v>0</v>
      </c>
    </row>
    <row r="3961">
      <c r="A3961" s="2" t="inlineStr">
        <is>
          <t>IT01569_02</t>
        </is>
      </c>
      <c r="B3961" s="2" t="inlineStr">
        <is>
          <t>PED01569</t>
        </is>
      </c>
      <c r="C3961" s="2" t="inlineStr">
        <is>
          <t>P014</t>
        </is>
      </c>
      <c r="D3961" s="2" t="n">
        <v>3</v>
      </c>
      <c r="E3961" s="19" t="n">
        <v>0</v>
      </c>
    </row>
    <row r="3962">
      <c r="A3962" s="2" t="inlineStr">
        <is>
          <t>IT01569_03</t>
        </is>
      </c>
      <c r="B3962" s="2" t="inlineStr">
        <is>
          <t>PED01569</t>
        </is>
      </c>
      <c r="C3962" s="2" t="inlineStr">
        <is>
          <t>P043</t>
        </is>
      </c>
      <c r="D3962" s="2" t="n">
        <v>2</v>
      </c>
      <c r="E3962" s="19" t="n">
        <v>0.02</v>
      </c>
    </row>
    <row r="3963">
      <c r="A3963" s="2" t="inlineStr">
        <is>
          <t>IT01569_04</t>
        </is>
      </c>
      <c r="B3963" s="2" t="inlineStr">
        <is>
          <t>PED01569</t>
        </is>
      </c>
      <c r="C3963" s="2" t="inlineStr">
        <is>
          <t>P038</t>
        </is>
      </c>
      <c r="D3963" s="2" t="n">
        <v>1</v>
      </c>
      <c r="E3963" s="19" t="n">
        <v>0.05</v>
      </c>
    </row>
    <row r="3964">
      <c r="A3964" s="2" t="inlineStr">
        <is>
          <t>IT01570_01</t>
        </is>
      </c>
      <c r="B3964" s="2" t="inlineStr">
        <is>
          <t>PED01570</t>
        </is>
      </c>
      <c r="C3964" s="2" t="inlineStr">
        <is>
          <t>P031</t>
        </is>
      </c>
      <c r="D3964" s="2" t="n">
        <v>1</v>
      </c>
      <c r="E3964" s="19" t="n">
        <v>0</v>
      </c>
    </row>
    <row r="3965">
      <c r="A3965" s="2" t="inlineStr">
        <is>
          <t>IT01571_01</t>
        </is>
      </c>
      <c r="B3965" s="2" t="inlineStr">
        <is>
          <t>PED01571</t>
        </is>
      </c>
      <c r="C3965" s="2" t="inlineStr">
        <is>
          <t>P014</t>
        </is>
      </c>
      <c r="D3965" s="2" t="n">
        <v>2</v>
      </c>
      <c r="E3965" s="19" t="n">
        <v>0</v>
      </c>
    </row>
    <row r="3966">
      <c r="A3966" s="2" t="inlineStr">
        <is>
          <t>IT01571_02</t>
        </is>
      </c>
      <c r="B3966" s="2" t="inlineStr">
        <is>
          <t>PED01571</t>
        </is>
      </c>
      <c r="C3966" s="2" t="inlineStr">
        <is>
          <t>P036</t>
        </is>
      </c>
      <c r="D3966" s="2" t="n">
        <v>2</v>
      </c>
      <c r="E3966" s="19" t="n">
        <v>0</v>
      </c>
    </row>
    <row r="3967">
      <c r="A3967" s="2" t="inlineStr">
        <is>
          <t>IT01571_03</t>
        </is>
      </c>
      <c r="B3967" s="2" t="inlineStr">
        <is>
          <t>PED01571</t>
        </is>
      </c>
      <c r="C3967" s="2" t="inlineStr">
        <is>
          <t>P066</t>
        </is>
      </c>
      <c r="D3967" s="2" t="n">
        <v>1</v>
      </c>
      <c r="E3967" s="19" t="n">
        <v>0</v>
      </c>
    </row>
    <row r="3968">
      <c r="A3968" s="2" t="inlineStr">
        <is>
          <t>IT01572_01</t>
        </is>
      </c>
      <c r="B3968" s="2" t="inlineStr">
        <is>
          <t>PED01572</t>
        </is>
      </c>
      <c r="C3968" s="2" t="inlineStr">
        <is>
          <t>P015</t>
        </is>
      </c>
      <c r="D3968" s="2" t="n">
        <v>3</v>
      </c>
      <c r="E3968" s="19" t="n">
        <v>0</v>
      </c>
    </row>
    <row r="3969">
      <c r="A3969" s="2" t="inlineStr">
        <is>
          <t>IT01572_02</t>
        </is>
      </c>
      <c r="B3969" s="2" t="inlineStr">
        <is>
          <t>PED01572</t>
        </is>
      </c>
      <c r="C3969" s="2" t="inlineStr">
        <is>
          <t>P063</t>
        </is>
      </c>
      <c r="D3969" s="2" t="n">
        <v>1</v>
      </c>
      <c r="E3969" s="19" t="n">
        <v>0</v>
      </c>
    </row>
    <row r="3970">
      <c r="A3970" s="2" t="inlineStr">
        <is>
          <t>IT01573_01</t>
        </is>
      </c>
      <c r="B3970" s="2" t="inlineStr">
        <is>
          <t>PED01573</t>
        </is>
      </c>
      <c r="C3970" s="2" t="inlineStr">
        <is>
          <t>P068</t>
        </is>
      </c>
      <c r="D3970" s="2" t="n">
        <v>2</v>
      </c>
      <c r="E3970" s="19" t="n">
        <v>0</v>
      </c>
    </row>
    <row r="3971">
      <c r="A3971" s="2" t="inlineStr">
        <is>
          <t>IT01573_02</t>
        </is>
      </c>
      <c r="B3971" s="2" t="inlineStr">
        <is>
          <t>PED01573</t>
        </is>
      </c>
      <c r="C3971" s="2" t="inlineStr">
        <is>
          <t>P027</t>
        </is>
      </c>
      <c r="D3971" s="2" t="n">
        <v>1</v>
      </c>
      <c r="E3971" s="19" t="n">
        <v>0</v>
      </c>
    </row>
    <row r="3972">
      <c r="A3972" s="2" t="inlineStr">
        <is>
          <t>IT01574_01</t>
        </is>
      </c>
      <c r="B3972" s="2" t="inlineStr">
        <is>
          <t>PED01574</t>
        </is>
      </c>
      <c r="C3972" s="2" t="inlineStr">
        <is>
          <t>P057</t>
        </is>
      </c>
      <c r="D3972" s="2" t="n">
        <v>2</v>
      </c>
      <c r="E3972" s="19" t="n">
        <v>0</v>
      </c>
    </row>
    <row r="3973">
      <c r="A3973" s="2" t="inlineStr">
        <is>
          <t>IT01574_02</t>
        </is>
      </c>
      <c r="B3973" s="2" t="inlineStr">
        <is>
          <t>PED01574</t>
        </is>
      </c>
      <c r="C3973" s="2" t="inlineStr">
        <is>
          <t>P046</t>
        </is>
      </c>
      <c r="D3973" s="2" t="n">
        <v>1</v>
      </c>
      <c r="E3973" s="19" t="n">
        <v>0.05</v>
      </c>
    </row>
    <row r="3974">
      <c r="A3974" s="2" t="inlineStr">
        <is>
          <t>IT01574_03</t>
        </is>
      </c>
      <c r="B3974" s="2" t="inlineStr">
        <is>
          <t>PED01574</t>
        </is>
      </c>
      <c r="C3974" s="2" t="inlineStr">
        <is>
          <t>P067</t>
        </is>
      </c>
      <c r="D3974" s="2" t="n">
        <v>3</v>
      </c>
      <c r="E3974" s="19" t="n">
        <v>0.05</v>
      </c>
    </row>
    <row r="3975">
      <c r="A3975" s="2" t="inlineStr">
        <is>
          <t>IT01574_04</t>
        </is>
      </c>
      <c r="B3975" s="2" t="inlineStr">
        <is>
          <t>PED01574</t>
        </is>
      </c>
      <c r="C3975" s="2" t="inlineStr">
        <is>
          <t>P026</t>
        </is>
      </c>
      <c r="D3975" s="2" t="n">
        <v>1</v>
      </c>
      <c r="E3975" s="19" t="n">
        <v>0.1</v>
      </c>
    </row>
    <row r="3976">
      <c r="A3976" s="2" t="inlineStr">
        <is>
          <t>IT01575_01</t>
        </is>
      </c>
      <c r="B3976" s="2" t="inlineStr">
        <is>
          <t>PED01575</t>
        </is>
      </c>
      <c r="C3976" s="2" t="inlineStr">
        <is>
          <t>P042</t>
        </is>
      </c>
      <c r="D3976" s="2" t="n">
        <v>3</v>
      </c>
      <c r="E3976" s="19" t="n">
        <v>0</v>
      </c>
    </row>
    <row r="3977">
      <c r="A3977" s="2" t="inlineStr">
        <is>
          <t>IT01575_02</t>
        </is>
      </c>
      <c r="B3977" s="2" t="inlineStr">
        <is>
          <t>PED01575</t>
        </is>
      </c>
      <c r="C3977" s="2" t="inlineStr">
        <is>
          <t>P057</t>
        </is>
      </c>
      <c r="D3977" s="2" t="n">
        <v>1</v>
      </c>
      <c r="E3977" s="19" t="n">
        <v>0.1</v>
      </c>
    </row>
    <row r="3978">
      <c r="A3978" s="2" t="inlineStr">
        <is>
          <t>IT01576_01</t>
        </is>
      </c>
      <c r="B3978" s="2" t="inlineStr">
        <is>
          <t>PED01576</t>
        </is>
      </c>
      <c r="C3978" s="2" t="inlineStr">
        <is>
          <t>P062</t>
        </is>
      </c>
      <c r="D3978" s="2" t="n">
        <v>1</v>
      </c>
      <c r="E3978" s="19" t="n">
        <v>0</v>
      </c>
    </row>
    <row r="3979">
      <c r="A3979" s="2" t="inlineStr">
        <is>
          <t>IT01577_01</t>
        </is>
      </c>
      <c r="B3979" s="2" t="inlineStr">
        <is>
          <t>PED01577</t>
        </is>
      </c>
      <c r="C3979" s="2" t="inlineStr">
        <is>
          <t>P001</t>
        </is>
      </c>
      <c r="D3979" s="2" t="n">
        <v>1</v>
      </c>
      <c r="E3979" s="19" t="n">
        <v>0</v>
      </c>
    </row>
    <row r="3980">
      <c r="A3980" s="2" t="inlineStr">
        <is>
          <t>IT01577_02</t>
        </is>
      </c>
      <c r="B3980" s="2" t="inlineStr">
        <is>
          <t>PED01577</t>
        </is>
      </c>
      <c r="C3980" s="2" t="inlineStr">
        <is>
          <t>P026</t>
        </is>
      </c>
      <c r="D3980" s="2" t="n">
        <v>3</v>
      </c>
      <c r="E3980" s="19" t="n">
        <v>0</v>
      </c>
    </row>
    <row r="3981">
      <c r="A3981" s="2" t="inlineStr">
        <is>
          <t>IT01577_03</t>
        </is>
      </c>
      <c r="B3981" s="2" t="inlineStr">
        <is>
          <t>PED01577</t>
        </is>
      </c>
      <c r="C3981" s="2" t="inlineStr">
        <is>
          <t>P020</t>
        </is>
      </c>
      <c r="D3981" s="2" t="n">
        <v>3</v>
      </c>
      <c r="E3981" s="19" t="n">
        <v>0</v>
      </c>
    </row>
    <row r="3982">
      <c r="A3982" s="2" t="inlineStr">
        <is>
          <t>IT01577_04</t>
        </is>
      </c>
      <c r="B3982" s="2" t="inlineStr">
        <is>
          <t>PED01577</t>
        </is>
      </c>
      <c r="C3982" s="2" t="inlineStr">
        <is>
          <t>P066</t>
        </is>
      </c>
      <c r="D3982" s="2" t="n">
        <v>2</v>
      </c>
      <c r="E3982" s="19" t="n">
        <v>0</v>
      </c>
    </row>
    <row r="3983">
      <c r="A3983" s="2" t="inlineStr">
        <is>
          <t>IT01578_01</t>
        </is>
      </c>
      <c r="B3983" s="2" t="inlineStr">
        <is>
          <t>PED01578</t>
        </is>
      </c>
      <c r="C3983" s="2" t="inlineStr">
        <is>
          <t>P017</t>
        </is>
      </c>
      <c r="D3983" s="2" t="n">
        <v>4</v>
      </c>
      <c r="E3983" s="19" t="n">
        <v>0</v>
      </c>
    </row>
    <row r="3984">
      <c r="A3984" s="2" t="inlineStr">
        <is>
          <t>IT01579_01</t>
        </is>
      </c>
      <c r="B3984" s="2" t="inlineStr">
        <is>
          <t>PED01579</t>
        </is>
      </c>
      <c r="C3984" s="2" t="inlineStr">
        <is>
          <t>P001</t>
        </is>
      </c>
      <c r="D3984" s="2" t="n">
        <v>4</v>
      </c>
      <c r="E3984" s="19" t="n">
        <v>0.05</v>
      </c>
    </row>
    <row r="3985">
      <c r="A3985" s="2" t="inlineStr">
        <is>
          <t>IT01579_02</t>
        </is>
      </c>
      <c r="B3985" s="2" t="inlineStr">
        <is>
          <t>PED01579</t>
        </is>
      </c>
      <c r="C3985" s="2" t="inlineStr">
        <is>
          <t>P069</t>
        </is>
      </c>
      <c r="D3985" s="2" t="n">
        <v>2</v>
      </c>
      <c r="E3985" s="19" t="n">
        <v>0.02</v>
      </c>
    </row>
    <row r="3986">
      <c r="A3986" s="2" t="inlineStr">
        <is>
          <t>IT01579_03</t>
        </is>
      </c>
      <c r="B3986" s="2" t="inlineStr">
        <is>
          <t>PED01579</t>
        </is>
      </c>
      <c r="C3986" s="2" t="inlineStr">
        <is>
          <t>P061</t>
        </is>
      </c>
      <c r="D3986" s="2" t="n">
        <v>1</v>
      </c>
      <c r="E3986" s="19" t="n">
        <v>0.05</v>
      </c>
    </row>
    <row r="3987">
      <c r="A3987" s="2" t="inlineStr">
        <is>
          <t>IT01579_04</t>
        </is>
      </c>
      <c r="B3987" s="2" t="inlineStr">
        <is>
          <t>PED01579</t>
        </is>
      </c>
      <c r="C3987" s="2" t="inlineStr">
        <is>
          <t>P017</t>
        </is>
      </c>
      <c r="D3987" s="2" t="n">
        <v>3</v>
      </c>
      <c r="E3987" s="19" t="n">
        <v>0.1</v>
      </c>
    </row>
    <row r="3988">
      <c r="A3988" s="2" t="inlineStr">
        <is>
          <t>IT01580_01</t>
        </is>
      </c>
      <c r="B3988" s="2" t="inlineStr">
        <is>
          <t>PED01580</t>
        </is>
      </c>
      <c r="C3988" s="2" t="inlineStr">
        <is>
          <t>P065</t>
        </is>
      </c>
      <c r="D3988" s="2" t="n">
        <v>1</v>
      </c>
      <c r="E3988" s="19" t="n">
        <v>0.02</v>
      </c>
    </row>
    <row r="3989">
      <c r="A3989" s="2" t="inlineStr">
        <is>
          <t>IT01580_02</t>
        </is>
      </c>
      <c r="B3989" s="2" t="inlineStr">
        <is>
          <t>PED01580</t>
        </is>
      </c>
      <c r="C3989" s="2" t="inlineStr">
        <is>
          <t>P038</t>
        </is>
      </c>
      <c r="D3989" s="2" t="n">
        <v>2</v>
      </c>
      <c r="E3989" s="19" t="n">
        <v>0.05</v>
      </c>
    </row>
    <row r="3990">
      <c r="A3990" s="2" t="inlineStr">
        <is>
          <t>IT01580_03</t>
        </is>
      </c>
      <c r="B3990" s="2" t="inlineStr">
        <is>
          <t>PED01580</t>
        </is>
      </c>
      <c r="C3990" s="2" t="inlineStr">
        <is>
          <t>P018</t>
        </is>
      </c>
      <c r="D3990" s="2" t="n">
        <v>1</v>
      </c>
      <c r="E3990" s="19" t="n">
        <v>0.02</v>
      </c>
    </row>
    <row r="3991">
      <c r="A3991" s="2" t="inlineStr">
        <is>
          <t>IT01580_04</t>
        </is>
      </c>
      <c r="B3991" s="2" t="inlineStr">
        <is>
          <t>PED01580</t>
        </is>
      </c>
      <c r="C3991" s="2" t="inlineStr">
        <is>
          <t>P041</t>
        </is>
      </c>
      <c r="D3991" s="2" t="n">
        <v>1</v>
      </c>
      <c r="E3991" s="19" t="n">
        <v>0</v>
      </c>
    </row>
    <row r="3992">
      <c r="A3992" s="2" t="inlineStr">
        <is>
          <t>IT01581_01</t>
        </is>
      </c>
      <c r="B3992" s="2" t="inlineStr">
        <is>
          <t>PED01581</t>
        </is>
      </c>
      <c r="C3992" s="2" t="inlineStr">
        <is>
          <t>P038</t>
        </is>
      </c>
      <c r="D3992" s="2" t="n">
        <v>2</v>
      </c>
      <c r="E3992" s="19" t="n">
        <v>0</v>
      </c>
    </row>
    <row r="3993">
      <c r="A3993" s="2" t="inlineStr">
        <is>
          <t>IT01582_01</t>
        </is>
      </c>
      <c r="B3993" s="2" t="inlineStr">
        <is>
          <t>PED01582</t>
        </is>
      </c>
      <c r="C3993" s="2" t="inlineStr">
        <is>
          <t>P061</t>
        </is>
      </c>
      <c r="D3993" s="2" t="n">
        <v>5</v>
      </c>
      <c r="E3993" s="19" t="n">
        <v>0.02</v>
      </c>
    </row>
    <row r="3994">
      <c r="A3994" s="2" t="inlineStr">
        <is>
          <t>IT01582_02</t>
        </is>
      </c>
      <c r="B3994" s="2" t="inlineStr">
        <is>
          <t>PED01582</t>
        </is>
      </c>
      <c r="C3994" s="2" t="inlineStr">
        <is>
          <t>P013</t>
        </is>
      </c>
      <c r="D3994" s="2" t="n">
        <v>2</v>
      </c>
      <c r="E3994" s="19" t="n">
        <v>0</v>
      </c>
    </row>
    <row r="3995">
      <c r="A3995" s="2" t="inlineStr">
        <is>
          <t>IT01582_03</t>
        </is>
      </c>
      <c r="B3995" s="2" t="inlineStr">
        <is>
          <t>PED01582</t>
        </is>
      </c>
      <c r="C3995" s="2" t="inlineStr">
        <is>
          <t>P055</t>
        </is>
      </c>
      <c r="D3995" s="2" t="n">
        <v>1</v>
      </c>
      <c r="E3995" s="19" t="n">
        <v>0.02</v>
      </c>
    </row>
    <row r="3996">
      <c r="A3996" s="2" t="inlineStr">
        <is>
          <t>IT01583_01</t>
        </is>
      </c>
      <c r="B3996" s="2" t="inlineStr">
        <is>
          <t>PED01583</t>
        </is>
      </c>
      <c r="C3996" s="2" t="inlineStr">
        <is>
          <t>P049</t>
        </is>
      </c>
      <c r="D3996" s="2" t="n">
        <v>1</v>
      </c>
      <c r="E3996" s="19" t="n">
        <v>0.02</v>
      </c>
    </row>
    <row r="3997">
      <c r="A3997" s="2" t="inlineStr">
        <is>
          <t>IT01583_02</t>
        </is>
      </c>
      <c r="B3997" s="2" t="inlineStr">
        <is>
          <t>PED01583</t>
        </is>
      </c>
      <c r="C3997" s="2" t="inlineStr">
        <is>
          <t>P068</t>
        </is>
      </c>
      <c r="D3997" s="2" t="n">
        <v>1</v>
      </c>
      <c r="E3997" s="19" t="n">
        <v>0</v>
      </c>
    </row>
    <row r="3998">
      <c r="A3998" s="2" t="inlineStr">
        <is>
          <t>IT01583_03</t>
        </is>
      </c>
      <c r="B3998" s="2" t="inlineStr">
        <is>
          <t>PED01583</t>
        </is>
      </c>
      <c r="C3998" s="2" t="inlineStr">
        <is>
          <t>P031</t>
        </is>
      </c>
      <c r="D3998" s="2" t="n">
        <v>1</v>
      </c>
      <c r="E3998" s="19" t="n">
        <v>0</v>
      </c>
    </row>
    <row r="3999">
      <c r="A3999" s="2" t="inlineStr">
        <is>
          <t>IT01584_01</t>
        </is>
      </c>
      <c r="B3999" s="2" t="inlineStr">
        <is>
          <t>PED01584</t>
        </is>
      </c>
      <c r="C3999" s="2" t="inlineStr">
        <is>
          <t>P024</t>
        </is>
      </c>
      <c r="D3999" s="2" t="n">
        <v>2</v>
      </c>
      <c r="E3999" s="19" t="n">
        <v>0.02</v>
      </c>
    </row>
    <row r="4000">
      <c r="A4000" s="2" t="inlineStr">
        <is>
          <t>IT01584_02</t>
        </is>
      </c>
      <c r="B4000" s="2" t="inlineStr">
        <is>
          <t>PED01584</t>
        </is>
      </c>
      <c r="C4000" s="2" t="inlineStr">
        <is>
          <t>P017</t>
        </is>
      </c>
      <c r="D4000" s="2" t="n">
        <v>1</v>
      </c>
      <c r="E4000" s="19" t="n">
        <v>0</v>
      </c>
    </row>
    <row r="4001">
      <c r="A4001" s="2" t="inlineStr">
        <is>
          <t>IT01584_03</t>
        </is>
      </c>
      <c r="B4001" s="2" t="inlineStr">
        <is>
          <t>PED01584</t>
        </is>
      </c>
      <c r="C4001" s="2" t="inlineStr">
        <is>
          <t>P012</t>
        </is>
      </c>
      <c r="D4001" s="2" t="n">
        <v>1</v>
      </c>
      <c r="E4001" s="19" t="n">
        <v>0</v>
      </c>
    </row>
    <row r="4002">
      <c r="A4002" s="2" t="inlineStr">
        <is>
          <t>IT01585_01</t>
        </is>
      </c>
      <c r="B4002" s="2" t="inlineStr">
        <is>
          <t>PED01585</t>
        </is>
      </c>
      <c r="C4002" s="2" t="inlineStr">
        <is>
          <t>P015</t>
        </is>
      </c>
      <c r="D4002" s="2" t="n">
        <v>4</v>
      </c>
      <c r="E4002" s="19" t="n">
        <v>0</v>
      </c>
    </row>
    <row r="4003">
      <c r="A4003" s="2" t="inlineStr">
        <is>
          <t>IT01585_02</t>
        </is>
      </c>
      <c r="B4003" s="2" t="inlineStr">
        <is>
          <t>PED01585</t>
        </is>
      </c>
      <c r="C4003" s="2" t="inlineStr">
        <is>
          <t>P011</t>
        </is>
      </c>
      <c r="D4003" s="2" t="n">
        <v>3</v>
      </c>
      <c r="E4003" s="19" t="n">
        <v>0</v>
      </c>
    </row>
    <row r="4004">
      <c r="A4004" s="2" t="inlineStr">
        <is>
          <t>IT01586_01</t>
        </is>
      </c>
      <c r="B4004" s="2" t="inlineStr">
        <is>
          <t>PED01586</t>
        </is>
      </c>
      <c r="C4004" s="2" t="inlineStr">
        <is>
          <t>P027</t>
        </is>
      </c>
      <c r="D4004" s="2" t="n">
        <v>3</v>
      </c>
      <c r="E4004" s="19" t="n">
        <v>0.05</v>
      </c>
    </row>
    <row r="4005">
      <c r="A4005" s="2" t="inlineStr">
        <is>
          <t>IT01586_02</t>
        </is>
      </c>
      <c r="B4005" s="2" t="inlineStr">
        <is>
          <t>PED01586</t>
        </is>
      </c>
      <c r="C4005" s="2" t="inlineStr">
        <is>
          <t>P034</t>
        </is>
      </c>
      <c r="D4005" s="2" t="n">
        <v>2</v>
      </c>
      <c r="E4005" s="19" t="n">
        <v>0.05</v>
      </c>
    </row>
    <row r="4006">
      <c r="A4006" s="2" t="inlineStr">
        <is>
          <t>IT01587_01</t>
        </is>
      </c>
      <c r="B4006" s="2" t="inlineStr">
        <is>
          <t>PED01587</t>
        </is>
      </c>
      <c r="C4006" s="2" t="inlineStr">
        <is>
          <t>P012</t>
        </is>
      </c>
      <c r="D4006" s="2" t="n">
        <v>1</v>
      </c>
      <c r="E4006" s="19" t="n">
        <v>0</v>
      </c>
    </row>
    <row r="4007">
      <c r="A4007" s="2" t="inlineStr">
        <is>
          <t>IT01587_02</t>
        </is>
      </c>
      <c r="B4007" s="2" t="inlineStr">
        <is>
          <t>PED01587</t>
        </is>
      </c>
      <c r="C4007" s="2" t="inlineStr">
        <is>
          <t>P024</t>
        </is>
      </c>
      <c r="D4007" s="2" t="n">
        <v>2</v>
      </c>
      <c r="E4007" s="19" t="n">
        <v>0</v>
      </c>
    </row>
    <row r="4008">
      <c r="A4008" s="2" t="inlineStr">
        <is>
          <t>IT01588_01</t>
        </is>
      </c>
      <c r="B4008" s="2" t="inlineStr">
        <is>
          <t>PED01588</t>
        </is>
      </c>
      <c r="C4008" s="2" t="inlineStr">
        <is>
          <t>P050</t>
        </is>
      </c>
      <c r="D4008" s="2" t="n">
        <v>4</v>
      </c>
      <c r="E4008" s="19" t="n">
        <v>0</v>
      </c>
    </row>
    <row r="4009">
      <c r="A4009" s="2" t="inlineStr">
        <is>
          <t>IT01588_02</t>
        </is>
      </c>
      <c r="B4009" s="2" t="inlineStr">
        <is>
          <t>PED01588</t>
        </is>
      </c>
      <c r="C4009" s="2" t="inlineStr">
        <is>
          <t>P037</t>
        </is>
      </c>
      <c r="D4009" s="2" t="n">
        <v>10</v>
      </c>
      <c r="E4009" s="19" t="n">
        <v>0</v>
      </c>
    </row>
    <row r="4010">
      <c r="A4010" s="2" t="inlineStr">
        <is>
          <t>IT01588_03</t>
        </is>
      </c>
      <c r="B4010" s="2" t="inlineStr">
        <is>
          <t>PED01588</t>
        </is>
      </c>
      <c r="C4010" s="2" t="inlineStr">
        <is>
          <t>P031</t>
        </is>
      </c>
      <c r="D4010" s="2" t="n">
        <v>1</v>
      </c>
      <c r="E4010" s="19" t="n">
        <v>0.02</v>
      </c>
    </row>
    <row r="4011">
      <c r="A4011" s="2" t="inlineStr">
        <is>
          <t>IT01588_04</t>
        </is>
      </c>
      <c r="B4011" s="2" t="inlineStr">
        <is>
          <t>PED01588</t>
        </is>
      </c>
      <c r="C4011" s="2" t="inlineStr">
        <is>
          <t>P020</t>
        </is>
      </c>
      <c r="D4011" s="2" t="n">
        <v>2</v>
      </c>
      <c r="E4011" s="19" t="n">
        <v>0</v>
      </c>
    </row>
    <row r="4012">
      <c r="A4012" s="2" t="inlineStr">
        <is>
          <t>IT01588_05</t>
        </is>
      </c>
      <c r="B4012" s="2" t="inlineStr">
        <is>
          <t>PED01588</t>
        </is>
      </c>
      <c r="C4012" s="2" t="inlineStr">
        <is>
          <t>P003</t>
        </is>
      </c>
      <c r="D4012" s="2" t="n">
        <v>2</v>
      </c>
      <c r="E4012" s="19" t="n">
        <v>0</v>
      </c>
    </row>
    <row r="4013">
      <c r="A4013" s="2" t="inlineStr">
        <is>
          <t>IT01589_01</t>
        </is>
      </c>
      <c r="B4013" s="2" t="inlineStr">
        <is>
          <t>PED01589</t>
        </is>
      </c>
      <c r="C4013" s="2" t="inlineStr">
        <is>
          <t>P017</t>
        </is>
      </c>
      <c r="D4013" s="2" t="n">
        <v>1</v>
      </c>
      <c r="E4013" s="19" t="n">
        <v>0</v>
      </c>
    </row>
    <row r="4014">
      <c r="A4014" s="2" t="inlineStr">
        <is>
          <t>IT01589_02</t>
        </is>
      </c>
      <c r="B4014" s="2" t="inlineStr">
        <is>
          <t>PED01589</t>
        </is>
      </c>
      <c r="C4014" s="2" t="inlineStr">
        <is>
          <t>P038</t>
        </is>
      </c>
      <c r="D4014" s="2" t="n">
        <v>4</v>
      </c>
      <c r="E4014" s="19" t="n">
        <v>0.02</v>
      </c>
    </row>
    <row r="4015">
      <c r="A4015" s="2" t="inlineStr">
        <is>
          <t>IT01589_03</t>
        </is>
      </c>
      <c r="B4015" s="2" t="inlineStr">
        <is>
          <t>PED01589</t>
        </is>
      </c>
      <c r="C4015" s="2" t="inlineStr">
        <is>
          <t>P001</t>
        </is>
      </c>
      <c r="D4015" s="2" t="n">
        <v>1</v>
      </c>
      <c r="E4015" s="19" t="n">
        <v>0</v>
      </c>
    </row>
    <row r="4016">
      <c r="A4016" s="2" t="inlineStr">
        <is>
          <t>IT01590_01</t>
        </is>
      </c>
      <c r="B4016" s="2" t="inlineStr">
        <is>
          <t>PED01590</t>
        </is>
      </c>
      <c r="C4016" s="2" t="inlineStr">
        <is>
          <t>P004</t>
        </is>
      </c>
      <c r="D4016" s="2" t="n">
        <v>1</v>
      </c>
      <c r="E4016" s="19" t="n">
        <v>0.05</v>
      </c>
    </row>
    <row r="4017">
      <c r="A4017" s="2" t="inlineStr">
        <is>
          <t>IT01590_02</t>
        </is>
      </c>
      <c r="B4017" s="2" t="inlineStr">
        <is>
          <t>PED01590</t>
        </is>
      </c>
      <c r="C4017" s="2" t="inlineStr">
        <is>
          <t>P044</t>
        </is>
      </c>
      <c r="D4017" s="2" t="n">
        <v>2</v>
      </c>
      <c r="E4017" s="19" t="n">
        <v>0</v>
      </c>
    </row>
    <row r="4018">
      <c r="A4018" s="2" t="inlineStr">
        <is>
          <t>IT01591_01</t>
        </is>
      </c>
      <c r="B4018" s="2" t="inlineStr">
        <is>
          <t>PED01591</t>
        </is>
      </c>
      <c r="C4018" s="2" t="inlineStr">
        <is>
          <t>P054</t>
        </is>
      </c>
      <c r="D4018" s="2" t="n">
        <v>1</v>
      </c>
      <c r="E4018" s="19" t="n">
        <v>0.02</v>
      </c>
    </row>
    <row r="4019">
      <c r="A4019" s="2" t="inlineStr">
        <is>
          <t>IT01591_02</t>
        </is>
      </c>
      <c r="B4019" s="2" t="inlineStr">
        <is>
          <t>PED01591</t>
        </is>
      </c>
      <c r="C4019" s="2" t="inlineStr">
        <is>
          <t>P028</t>
        </is>
      </c>
      <c r="D4019" s="2" t="n">
        <v>3</v>
      </c>
      <c r="E4019" s="19" t="n">
        <v>0</v>
      </c>
    </row>
    <row r="4020">
      <c r="A4020" s="2" t="inlineStr">
        <is>
          <t>IT01592_01</t>
        </is>
      </c>
      <c r="B4020" s="2" t="inlineStr">
        <is>
          <t>PED01592</t>
        </is>
      </c>
      <c r="C4020" s="2" t="inlineStr">
        <is>
          <t>P031</t>
        </is>
      </c>
      <c r="D4020" s="2" t="n">
        <v>1</v>
      </c>
      <c r="E4020" s="19" t="n">
        <v>0</v>
      </c>
    </row>
    <row r="4021">
      <c r="A4021" s="2" t="inlineStr">
        <is>
          <t>IT01592_02</t>
        </is>
      </c>
      <c r="B4021" s="2" t="inlineStr">
        <is>
          <t>PED01592</t>
        </is>
      </c>
      <c r="C4021" s="2" t="inlineStr">
        <is>
          <t>P009</t>
        </is>
      </c>
      <c r="D4021" s="2" t="n">
        <v>5</v>
      </c>
      <c r="E4021" s="19" t="n">
        <v>0.05</v>
      </c>
    </row>
    <row r="4022">
      <c r="A4022" s="2" t="inlineStr">
        <is>
          <t>IT01592_03</t>
        </is>
      </c>
      <c r="B4022" s="2" t="inlineStr">
        <is>
          <t>PED01592</t>
        </is>
      </c>
      <c r="C4022" s="2" t="inlineStr">
        <is>
          <t>P057</t>
        </is>
      </c>
      <c r="D4022" s="2" t="n">
        <v>2</v>
      </c>
      <c r="E4022" s="19" t="n">
        <v>0</v>
      </c>
    </row>
    <row r="4023">
      <c r="A4023" s="2" t="inlineStr">
        <is>
          <t>IT01592_04</t>
        </is>
      </c>
      <c r="B4023" s="2" t="inlineStr">
        <is>
          <t>PED01592</t>
        </is>
      </c>
      <c r="C4023" s="2" t="inlineStr">
        <is>
          <t>P067</t>
        </is>
      </c>
      <c r="D4023" s="2" t="n">
        <v>2</v>
      </c>
      <c r="E4023" s="19" t="n">
        <v>0.1</v>
      </c>
    </row>
    <row r="4024">
      <c r="A4024" s="2" t="inlineStr">
        <is>
          <t>IT01593_01</t>
        </is>
      </c>
      <c r="B4024" s="2" t="inlineStr">
        <is>
          <t>PED01593</t>
        </is>
      </c>
      <c r="C4024" s="2" t="inlineStr">
        <is>
          <t>P007</t>
        </is>
      </c>
      <c r="D4024" s="2" t="n">
        <v>3</v>
      </c>
      <c r="E4024" s="19" t="n">
        <v>0</v>
      </c>
    </row>
    <row r="4025">
      <c r="A4025" s="2" t="inlineStr">
        <is>
          <t>IT01593_02</t>
        </is>
      </c>
      <c r="B4025" s="2" t="inlineStr">
        <is>
          <t>PED01593</t>
        </is>
      </c>
      <c r="C4025" s="2" t="inlineStr">
        <is>
          <t>P030</t>
        </is>
      </c>
      <c r="D4025" s="2" t="n">
        <v>1</v>
      </c>
      <c r="E4025" s="19" t="n">
        <v>0</v>
      </c>
    </row>
    <row r="4026">
      <c r="A4026" s="2" t="inlineStr">
        <is>
          <t>IT01593_03</t>
        </is>
      </c>
      <c r="B4026" s="2" t="inlineStr">
        <is>
          <t>PED01593</t>
        </is>
      </c>
      <c r="C4026" s="2" t="inlineStr">
        <is>
          <t>P034</t>
        </is>
      </c>
      <c r="D4026" s="2" t="n">
        <v>3</v>
      </c>
      <c r="E4026" s="19" t="n">
        <v>0</v>
      </c>
    </row>
    <row r="4027">
      <c r="A4027" s="2" t="inlineStr">
        <is>
          <t>IT01594_01</t>
        </is>
      </c>
      <c r="B4027" s="2" t="inlineStr">
        <is>
          <t>PED01594</t>
        </is>
      </c>
      <c r="C4027" s="2" t="inlineStr">
        <is>
          <t>P055</t>
        </is>
      </c>
      <c r="D4027" s="2" t="n">
        <v>2</v>
      </c>
      <c r="E4027" s="19" t="n">
        <v>0</v>
      </c>
    </row>
    <row r="4028">
      <c r="A4028" s="2" t="inlineStr">
        <is>
          <t>IT01595_01</t>
        </is>
      </c>
      <c r="B4028" s="2" t="inlineStr">
        <is>
          <t>PED01595</t>
        </is>
      </c>
      <c r="C4028" s="2" t="inlineStr">
        <is>
          <t>P045</t>
        </is>
      </c>
      <c r="D4028" s="2" t="n">
        <v>1</v>
      </c>
      <c r="E4028" s="19" t="n">
        <v>0</v>
      </c>
    </row>
    <row r="4029">
      <c r="A4029" s="2" t="inlineStr">
        <is>
          <t>IT01595_02</t>
        </is>
      </c>
      <c r="B4029" s="2" t="inlineStr">
        <is>
          <t>PED01595</t>
        </is>
      </c>
      <c r="C4029" s="2" t="inlineStr">
        <is>
          <t>P029</t>
        </is>
      </c>
      <c r="D4029" s="2" t="n">
        <v>2</v>
      </c>
      <c r="E4029" s="19" t="n">
        <v>0</v>
      </c>
    </row>
    <row r="4030">
      <c r="A4030" s="2" t="inlineStr">
        <is>
          <t>IT01595_03</t>
        </is>
      </c>
      <c r="B4030" s="2" t="inlineStr">
        <is>
          <t>PED01595</t>
        </is>
      </c>
      <c r="C4030" s="2" t="inlineStr">
        <is>
          <t>P010</t>
        </is>
      </c>
      <c r="D4030" s="2" t="n">
        <v>3</v>
      </c>
      <c r="E4030" s="19" t="n">
        <v>0</v>
      </c>
    </row>
    <row r="4031">
      <c r="A4031" s="2" t="inlineStr">
        <is>
          <t>IT01595_04</t>
        </is>
      </c>
      <c r="B4031" s="2" t="inlineStr">
        <is>
          <t>PED01595</t>
        </is>
      </c>
      <c r="C4031" s="2" t="inlineStr">
        <is>
          <t>P012</t>
        </is>
      </c>
      <c r="D4031" s="2" t="n">
        <v>4</v>
      </c>
      <c r="E4031" s="19" t="n">
        <v>0</v>
      </c>
    </row>
    <row r="4032">
      <c r="A4032" s="2" t="inlineStr">
        <is>
          <t>IT01596_01</t>
        </is>
      </c>
      <c r="B4032" s="2" t="inlineStr">
        <is>
          <t>PED01596</t>
        </is>
      </c>
      <c r="C4032" s="2" t="inlineStr">
        <is>
          <t>P016</t>
        </is>
      </c>
      <c r="D4032" s="2" t="n">
        <v>2</v>
      </c>
      <c r="E4032" s="19" t="n">
        <v>0</v>
      </c>
    </row>
    <row r="4033">
      <c r="A4033" s="2" t="inlineStr">
        <is>
          <t>IT01596_02</t>
        </is>
      </c>
      <c r="B4033" s="2" t="inlineStr">
        <is>
          <t>PED01596</t>
        </is>
      </c>
      <c r="C4033" s="2" t="inlineStr">
        <is>
          <t>P040</t>
        </is>
      </c>
      <c r="D4033" s="2" t="n">
        <v>2</v>
      </c>
      <c r="E4033" s="19" t="n">
        <v>0</v>
      </c>
    </row>
    <row r="4034">
      <c r="A4034" s="2" t="inlineStr">
        <is>
          <t>IT01596_03</t>
        </is>
      </c>
      <c r="B4034" s="2" t="inlineStr">
        <is>
          <t>PED01596</t>
        </is>
      </c>
      <c r="C4034" s="2" t="inlineStr">
        <is>
          <t>P018</t>
        </is>
      </c>
      <c r="D4034" s="2" t="n">
        <v>4</v>
      </c>
      <c r="E4034" s="19" t="n">
        <v>0</v>
      </c>
    </row>
    <row r="4035">
      <c r="A4035" s="2" t="inlineStr">
        <is>
          <t>IT01597_01</t>
        </is>
      </c>
      <c r="B4035" s="2" t="inlineStr">
        <is>
          <t>PED01597</t>
        </is>
      </c>
      <c r="C4035" s="2" t="inlineStr">
        <is>
          <t>P051</t>
        </is>
      </c>
      <c r="D4035" s="2" t="n">
        <v>2</v>
      </c>
      <c r="E4035" s="19" t="n">
        <v>0</v>
      </c>
    </row>
    <row r="4036">
      <c r="A4036" s="2" t="inlineStr">
        <is>
          <t>IT01597_02</t>
        </is>
      </c>
      <c r="B4036" s="2" t="inlineStr">
        <is>
          <t>PED01597</t>
        </is>
      </c>
      <c r="C4036" s="2" t="inlineStr">
        <is>
          <t>P017</t>
        </is>
      </c>
      <c r="D4036" s="2" t="n">
        <v>5</v>
      </c>
      <c r="E4036" s="19" t="n">
        <v>0</v>
      </c>
    </row>
    <row r="4037">
      <c r="A4037" s="2" t="inlineStr">
        <is>
          <t>IT01598_01</t>
        </is>
      </c>
      <c r="B4037" s="2" t="inlineStr">
        <is>
          <t>PED01598</t>
        </is>
      </c>
      <c r="C4037" s="2" t="inlineStr">
        <is>
          <t>P021</t>
        </is>
      </c>
      <c r="D4037" s="2" t="n">
        <v>1</v>
      </c>
      <c r="E4037" s="19" t="n">
        <v>0</v>
      </c>
    </row>
    <row r="4038">
      <c r="A4038" s="2" t="inlineStr">
        <is>
          <t>IT01598_02</t>
        </is>
      </c>
      <c r="B4038" s="2" t="inlineStr">
        <is>
          <t>PED01598</t>
        </is>
      </c>
      <c r="C4038" s="2" t="inlineStr">
        <is>
          <t>P059</t>
        </is>
      </c>
      <c r="D4038" s="2" t="n">
        <v>2</v>
      </c>
      <c r="E4038" s="19" t="n">
        <v>0</v>
      </c>
    </row>
    <row r="4039">
      <c r="A4039" s="2" t="inlineStr">
        <is>
          <t>IT01598_03</t>
        </is>
      </c>
      <c r="B4039" s="2" t="inlineStr">
        <is>
          <t>PED01598</t>
        </is>
      </c>
      <c r="C4039" s="2" t="inlineStr">
        <is>
          <t>P052</t>
        </is>
      </c>
      <c r="D4039" s="2" t="n">
        <v>2</v>
      </c>
      <c r="E4039" s="19" t="n">
        <v>0.02</v>
      </c>
    </row>
    <row r="4040">
      <c r="A4040" s="2" t="inlineStr">
        <is>
          <t>IT01599_01</t>
        </is>
      </c>
      <c r="B4040" s="2" t="inlineStr">
        <is>
          <t>PED01599</t>
        </is>
      </c>
      <c r="C4040" s="2" t="inlineStr">
        <is>
          <t>P042</t>
        </is>
      </c>
      <c r="D4040" s="2" t="n">
        <v>2</v>
      </c>
      <c r="E4040" s="19" t="n">
        <v>0</v>
      </c>
    </row>
    <row r="4041">
      <c r="A4041" s="2" t="inlineStr">
        <is>
          <t>IT01599_02</t>
        </is>
      </c>
      <c r="B4041" s="2" t="inlineStr">
        <is>
          <t>PED01599</t>
        </is>
      </c>
      <c r="C4041" s="2" t="inlineStr">
        <is>
          <t>P022</t>
        </is>
      </c>
      <c r="D4041" s="2" t="n">
        <v>1</v>
      </c>
      <c r="E4041" s="19" t="n">
        <v>0</v>
      </c>
    </row>
    <row r="4042">
      <c r="A4042" s="2" t="inlineStr">
        <is>
          <t>IT01599_03</t>
        </is>
      </c>
      <c r="B4042" s="2" t="inlineStr">
        <is>
          <t>PED01599</t>
        </is>
      </c>
      <c r="C4042" s="2" t="inlineStr">
        <is>
          <t>P024</t>
        </is>
      </c>
      <c r="D4042" s="2" t="n">
        <v>2</v>
      </c>
      <c r="E4042" s="19" t="n">
        <v>0</v>
      </c>
    </row>
    <row r="4043">
      <c r="A4043" s="2" t="inlineStr">
        <is>
          <t>IT01599_04</t>
        </is>
      </c>
      <c r="B4043" s="2" t="inlineStr">
        <is>
          <t>PED01599</t>
        </is>
      </c>
      <c r="C4043" s="2" t="inlineStr">
        <is>
          <t>P069</t>
        </is>
      </c>
      <c r="D4043" s="2" t="n">
        <v>1</v>
      </c>
      <c r="E4043" s="19" t="n">
        <v>0</v>
      </c>
    </row>
    <row r="4044">
      <c r="A4044" s="2" t="inlineStr">
        <is>
          <t>IT01599_05</t>
        </is>
      </c>
      <c r="B4044" s="2" t="inlineStr">
        <is>
          <t>PED01599</t>
        </is>
      </c>
      <c r="C4044" s="2" t="inlineStr">
        <is>
          <t>P001</t>
        </is>
      </c>
      <c r="D4044" s="2" t="n">
        <v>2</v>
      </c>
      <c r="E4044" s="19" t="n">
        <v>0</v>
      </c>
    </row>
    <row r="4045">
      <c r="A4045" s="2" t="inlineStr">
        <is>
          <t>IT01600_01</t>
        </is>
      </c>
      <c r="B4045" s="2" t="inlineStr">
        <is>
          <t>PED01600</t>
        </is>
      </c>
      <c r="C4045" s="2" t="inlineStr">
        <is>
          <t>P069</t>
        </is>
      </c>
      <c r="D4045" s="2" t="n">
        <v>1</v>
      </c>
      <c r="E4045" s="19" t="n">
        <v>0</v>
      </c>
    </row>
    <row r="4046">
      <c r="A4046" s="2" t="inlineStr">
        <is>
          <t>IT01600_02</t>
        </is>
      </c>
      <c r="B4046" s="2" t="inlineStr">
        <is>
          <t>PED01600</t>
        </is>
      </c>
      <c r="C4046" s="2" t="inlineStr">
        <is>
          <t>P004</t>
        </is>
      </c>
      <c r="D4046" s="2" t="n">
        <v>3</v>
      </c>
      <c r="E4046" s="19" t="n">
        <v>0.05</v>
      </c>
    </row>
    <row r="4047">
      <c r="A4047" s="2" t="inlineStr">
        <is>
          <t>IT01600_03</t>
        </is>
      </c>
      <c r="B4047" s="2" t="inlineStr">
        <is>
          <t>PED01600</t>
        </is>
      </c>
      <c r="C4047" s="2" t="inlineStr">
        <is>
          <t>P041</t>
        </is>
      </c>
      <c r="D4047" s="2" t="n">
        <v>1</v>
      </c>
      <c r="E4047" s="19" t="n">
        <v>0</v>
      </c>
    </row>
    <row r="4048">
      <c r="A4048" s="2" t="inlineStr">
        <is>
          <t>IT01601_01</t>
        </is>
      </c>
      <c r="B4048" s="2" t="inlineStr">
        <is>
          <t>PED01601</t>
        </is>
      </c>
      <c r="C4048" s="2" t="inlineStr">
        <is>
          <t>P046</t>
        </is>
      </c>
      <c r="D4048" s="2" t="n">
        <v>2</v>
      </c>
      <c r="E4048" s="19" t="n">
        <v>0</v>
      </c>
    </row>
    <row r="4049">
      <c r="A4049" s="2" t="inlineStr">
        <is>
          <t>IT01601_02</t>
        </is>
      </c>
      <c r="B4049" s="2" t="inlineStr">
        <is>
          <t>PED01601</t>
        </is>
      </c>
      <c r="C4049" s="2" t="inlineStr">
        <is>
          <t>P051</t>
        </is>
      </c>
      <c r="D4049" s="2" t="n">
        <v>2</v>
      </c>
      <c r="E4049" s="19" t="n">
        <v>0.05</v>
      </c>
    </row>
    <row r="4050">
      <c r="A4050" s="2" t="inlineStr">
        <is>
          <t>IT01601_03</t>
        </is>
      </c>
      <c r="B4050" s="2" t="inlineStr">
        <is>
          <t>PED01601</t>
        </is>
      </c>
      <c r="C4050" s="2" t="inlineStr">
        <is>
          <t>P045</t>
        </is>
      </c>
      <c r="D4050" s="2" t="n">
        <v>1</v>
      </c>
      <c r="E4050" s="19" t="n">
        <v>0</v>
      </c>
    </row>
    <row r="4051">
      <c r="A4051" s="2" t="inlineStr">
        <is>
          <t>IT01601_04</t>
        </is>
      </c>
      <c r="B4051" s="2" t="inlineStr">
        <is>
          <t>PED01601</t>
        </is>
      </c>
      <c r="C4051" s="2" t="inlineStr">
        <is>
          <t>P012</t>
        </is>
      </c>
      <c r="D4051" s="2" t="n">
        <v>1</v>
      </c>
      <c r="E4051" s="19" t="n">
        <v>0.02</v>
      </c>
    </row>
    <row r="4052">
      <c r="A4052" s="2" t="inlineStr">
        <is>
          <t>IT01602_01</t>
        </is>
      </c>
      <c r="B4052" s="2" t="inlineStr">
        <is>
          <t>PED01602</t>
        </is>
      </c>
      <c r="C4052" s="2" t="inlineStr">
        <is>
          <t>P058</t>
        </is>
      </c>
      <c r="D4052" s="2" t="n">
        <v>1</v>
      </c>
      <c r="E4052" s="19" t="n">
        <v>0</v>
      </c>
    </row>
    <row r="4053">
      <c r="A4053" s="2" t="inlineStr">
        <is>
          <t>IT01602_02</t>
        </is>
      </c>
      <c r="B4053" s="2" t="inlineStr">
        <is>
          <t>PED01602</t>
        </is>
      </c>
      <c r="C4053" s="2" t="inlineStr">
        <is>
          <t>P063</t>
        </is>
      </c>
      <c r="D4053" s="2" t="n">
        <v>1</v>
      </c>
      <c r="E4053" s="19" t="n">
        <v>0</v>
      </c>
    </row>
    <row r="4054">
      <c r="A4054" s="2" t="inlineStr">
        <is>
          <t>IT01603_01</t>
        </is>
      </c>
      <c r="B4054" s="2" t="inlineStr">
        <is>
          <t>PED01603</t>
        </is>
      </c>
      <c r="C4054" s="2" t="inlineStr">
        <is>
          <t>P002</t>
        </is>
      </c>
      <c r="D4054" s="2" t="n">
        <v>2</v>
      </c>
      <c r="E4054" s="19" t="n">
        <v>0</v>
      </c>
    </row>
    <row r="4055">
      <c r="A4055" s="2" t="inlineStr">
        <is>
          <t>IT01603_02</t>
        </is>
      </c>
      <c r="B4055" s="2" t="inlineStr">
        <is>
          <t>PED01603</t>
        </is>
      </c>
      <c r="C4055" s="2" t="inlineStr">
        <is>
          <t>P009</t>
        </is>
      </c>
      <c r="D4055" s="2" t="n">
        <v>2</v>
      </c>
      <c r="E4055" s="19" t="n">
        <v>0</v>
      </c>
    </row>
    <row r="4056">
      <c r="A4056" s="2" t="inlineStr">
        <is>
          <t>IT01604_01</t>
        </is>
      </c>
      <c r="B4056" s="2" t="inlineStr">
        <is>
          <t>PED01604</t>
        </is>
      </c>
      <c r="C4056" s="2" t="inlineStr">
        <is>
          <t>P021</t>
        </is>
      </c>
      <c r="D4056" s="2" t="n">
        <v>3</v>
      </c>
      <c r="E4056" s="19" t="n">
        <v>0</v>
      </c>
    </row>
    <row r="4057">
      <c r="A4057" s="2" t="inlineStr">
        <is>
          <t>IT01604_02</t>
        </is>
      </c>
      <c r="B4057" s="2" t="inlineStr">
        <is>
          <t>PED01604</t>
        </is>
      </c>
      <c r="C4057" s="2" t="inlineStr">
        <is>
          <t>P030</t>
        </is>
      </c>
      <c r="D4057" s="2" t="n">
        <v>1</v>
      </c>
      <c r="E4057" s="19" t="n">
        <v>0</v>
      </c>
    </row>
    <row r="4058">
      <c r="A4058" s="2" t="inlineStr">
        <is>
          <t>IT01604_03</t>
        </is>
      </c>
      <c r="B4058" s="2" t="inlineStr">
        <is>
          <t>PED01604</t>
        </is>
      </c>
      <c r="C4058" s="2" t="inlineStr">
        <is>
          <t>P025</t>
        </is>
      </c>
      <c r="D4058" s="2" t="n">
        <v>1</v>
      </c>
      <c r="E4058" s="19" t="n">
        <v>0.02</v>
      </c>
    </row>
    <row r="4059">
      <c r="A4059" s="2" t="inlineStr">
        <is>
          <t>IT01604_04</t>
        </is>
      </c>
      <c r="B4059" s="2" t="inlineStr">
        <is>
          <t>PED01604</t>
        </is>
      </c>
      <c r="C4059" s="2" t="inlineStr">
        <is>
          <t>P053</t>
        </is>
      </c>
      <c r="D4059" s="2" t="n">
        <v>2</v>
      </c>
      <c r="E4059" s="19" t="n">
        <v>0</v>
      </c>
    </row>
    <row r="4060">
      <c r="A4060" s="2" t="inlineStr">
        <is>
          <t>IT01604_05</t>
        </is>
      </c>
      <c r="B4060" s="2" t="inlineStr">
        <is>
          <t>PED01604</t>
        </is>
      </c>
      <c r="C4060" s="2" t="inlineStr">
        <is>
          <t>P027</t>
        </is>
      </c>
      <c r="D4060" s="2" t="n">
        <v>5</v>
      </c>
      <c r="E4060" s="19" t="n">
        <v>0.05</v>
      </c>
    </row>
    <row r="4061">
      <c r="A4061" s="2" t="inlineStr">
        <is>
          <t>IT01605_01</t>
        </is>
      </c>
      <c r="B4061" s="2" t="inlineStr">
        <is>
          <t>PED01605</t>
        </is>
      </c>
      <c r="C4061" s="2" t="inlineStr">
        <is>
          <t>P061</t>
        </is>
      </c>
      <c r="D4061" s="2" t="n">
        <v>10</v>
      </c>
      <c r="E4061" s="19" t="n">
        <v>0.02</v>
      </c>
    </row>
    <row r="4062">
      <c r="A4062" s="2" t="inlineStr">
        <is>
          <t>IT01605_02</t>
        </is>
      </c>
      <c r="B4062" s="2" t="inlineStr">
        <is>
          <t>PED01605</t>
        </is>
      </c>
      <c r="C4062" s="2" t="inlineStr">
        <is>
          <t>P037</t>
        </is>
      </c>
      <c r="D4062" s="2" t="n">
        <v>1</v>
      </c>
      <c r="E4062" s="19" t="n">
        <v>0.05</v>
      </c>
    </row>
    <row r="4063">
      <c r="A4063" s="2" t="inlineStr">
        <is>
          <t>IT01606_01</t>
        </is>
      </c>
      <c r="B4063" s="2" t="inlineStr">
        <is>
          <t>PED01606</t>
        </is>
      </c>
      <c r="C4063" s="2" t="inlineStr">
        <is>
          <t>P053</t>
        </is>
      </c>
      <c r="D4063" s="2" t="n">
        <v>1</v>
      </c>
      <c r="E4063" s="19" t="n">
        <v>0.02</v>
      </c>
    </row>
    <row r="4064">
      <c r="A4064" s="2" t="inlineStr">
        <is>
          <t>IT01606_02</t>
        </is>
      </c>
      <c r="B4064" s="2" t="inlineStr">
        <is>
          <t>PED01606</t>
        </is>
      </c>
      <c r="C4064" s="2" t="inlineStr">
        <is>
          <t>P064</t>
        </is>
      </c>
      <c r="D4064" s="2" t="n">
        <v>2</v>
      </c>
      <c r="E4064" s="19" t="n">
        <v>0</v>
      </c>
    </row>
    <row r="4065">
      <c r="A4065" s="2" t="inlineStr">
        <is>
          <t>IT01607_01</t>
        </is>
      </c>
      <c r="B4065" s="2" t="inlineStr">
        <is>
          <t>PED01607</t>
        </is>
      </c>
      <c r="C4065" s="2" t="inlineStr">
        <is>
          <t>P036</t>
        </is>
      </c>
      <c r="D4065" s="2" t="n">
        <v>4</v>
      </c>
      <c r="E4065" s="19" t="n">
        <v>0.1</v>
      </c>
    </row>
    <row r="4066">
      <c r="A4066" s="2" t="inlineStr">
        <is>
          <t>IT01607_02</t>
        </is>
      </c>
      <c r="B4066" s="2" t="inlineStr">
        <is>
          <t>PED01607</t>
        </is>
      </c>
      <c r="C4066" s="2" t="inlineStr">
        <is>
          <t>P049</t>
        </is>
      </c>
      <c r="D4066" s="2" t="n">
        <v>2</v>
      </c>
      <c r="E4066" s="19" t="n">
        <v>0</v>
      </c>
    </row>
    <row r="4067">
      <c r="A4067" s="2" t="inlineStr">
        <is>
          <t>IT01607_03</t>
        </is>
      </c>
      <c r="B4067" s="2" t="inlineStr">
        <is>
          <t>PED01607</t>
        </is>
      </c>
      <c r="C4067" s="2" t="inlineStr">
        <is>
          <t>P055</t>
        </is>
      </c>
      <c r="D4067" s="2" t="n">
        <v>4</v>
      </c>
      <c r="E4067" s="19" t="n">
        <v>0</v>
      </c>
    </row>
    <row r="4068">
      <c r="A4068" s="2" t="inlineStr">
        <is>
          <t>IT01608_01</t>
        </is>
      </c>
      <c r="B4068" s="2" t="inlineStr">
        <is>
          <t>PED01608</t>
        </is>
      </c>
      <c r="C4068" s="2" t="inlineStr">
        <is>
          <t>P046</t>
        </is>
      </c>
      <c r="D4068" s="2" t="n">
        <v>4</v>
      </c>
      <c r="E4068" s="19" t="n">
        <v>0.05</v>
      </c>
    </row>
    <row r="4069">
      <c r="A4069" s="2" t="inlineStr">
        <is>
          <t>IT01608_02</t>
        </is>
      </c>
      <c r="B4069" s="2" t="inlineStr">
        <is>
          <t>PED01608</t>
        </is>
      </c>
      <c r="C4069" s="2" t="inlineStr">
        <is>
          <t>P055</t>
        </is>
      </c>
      <c r="D4069" s="2" t="n">
        <v>1</v>
      </c>
      <c r="E4069" s="19" t="n">
        <v>0.1</v>
      </c>
    </row>
    <row r="4070">
      <c r="A4070" s="2" t="inlineStr">
        <is>
          <t>IT01608_03</t>
        </is>
      </c>
      <c r="B4070" s="2" t="inlineStr">
        <is>
          <t>PED01608</t>
        </is>
      </c>
      <c r="C4070" s="2" t="inlineStr">
        <is>
          <t>P021</t>
        </is>
      </c>
      <c r="D4070" s="2" t="n">
        <v>3</v>
      </c>
      <c r="E4070" s="19" t="n">
        <v>0</v>
      </c>
    </row>
    <row r="4071">
      <c r="A4071" s="2" t="inlineStr">
        <is>
          <t>IT01609_01</t>
        </is>
      </c>
      <c r="B4071" s="2" t="inlineStr">
        <is>
          <t>PED01609</t>
        </is>
      </c>
      <c r="C4071" s="2" t="inlineStr">
        <is>
          <t>P001</t>
        </is>
      </c>
      <c r="D4071" s="2" t="n">
        <v>4</v>
      </c>
      <c r="E4071" s="19" t="n">
        <v>0</v>
      </c>
    </row>
    <row r="4072">
      <c r="A4072" s="2" t="inlineStr">
        <is>
          <t>IT01609_02</t>
        </is>
      </c>
      <c r="B4072" s="2" t="inlineStr">
        <is>
          <t>PED01609</t>
        </is>
      </c>
      <c r="C4072" s="2" t="inlineStr">
        <is>
          <t>P066</t>
        </is>
      </c>
      <c r="D4072" s="2" t="n">
        <v>1</v>
      </c>
      <c r="E4072" s="19" t="n">
        <v>0.05</v>
      </c>
    </row>
    <row r="4073">
      <c r="A4073" s="2" t="inlineStr">
        <is>
          <t>IT01610_01</t>
        </is>
      </c>
      <c r="B4073" s="2" t="inlineStr">
        <is>
          <t>PED01610</t>
        </is>
      </c>
      <c r="C4073" s="2" t="inlineStr">
        <is>
          <t>P056</t>
        </is>
      </c>
      <c r="D4073" s="2" t="n">
        <v>1</v>
      </c>
      <c r="E4073" s="19" t="n">
        <v>0.02</v>
      </c>
    </row>
    <row r="4074">
      <c r="A4074" s="2" t="inlineStr">
        <is>
          <t>IT01610_02</t>
        </is>
      </c>
      <c r="B4074" s="2" t="inlineStr">
        <is>
          <t>PED01610</t>
        </is>
      </c>
      <c r="C4074" s="2" t="inlineStr">
        <is>
          <t>P044</t>
        </is>
      </c>
      <c r="D4074" s="2" t="n">
        <v>3</v>
      </c>
      <c r="E4074" s="19" t="n">
        <v>0</v>
      </c>
    </row>
    <row r="4075">
      <c r="A4075" s="2" t="inlineStr">
        <is>
          <t>IT01610_03</t>
        </is>
      </c>
      <c r="B4075" s="2" t="inlineStr">
        <is>
          <t>PED01610</t>
        </is>
      </c>
      <c r="C4075" s="2" t="inlineStr">
        <is>
          <t>P069</t>
        </is>
      </c>
      <c r="D4075" s="2" t="n">
        <v>1</v>
      </c>
      <c r="E4075" s="19" t="n">
        <v>0.1</v>
      </c>
    </row>
    <row r="4076">
      <c r="A4076" s="2" t="inlineStr">
        <is>
          <t>IT01610_04</t>
        </is>
      </c>
      <c r="B4076" s="2" t="inlineStr">
        <is>
          <t>PED01610</t>
        </is>
      </c>
      <c r="C4076" s="2" t="inlineStr">
        <is>
          <t>P005</t>
        </is>
      </c>
      <c r="D4076" s="2" t="n">
        <v>1</v>
      </c>
      <c r="E4076" s="19" t="n">
        <v>0</v>
      </c>
    </row>
    <row r="4077">
      <c r="A4077" s="2" t="inlineStr">
        <is>
          <t>IT01611_01</t>
        </is>
      </c>
      <c r="B4077" s="2" t="inlineStr">
        <is>
          <t>PED01611</t>
        </is>
      </c>
      <c r="C4077" s="2" t="inlineStr">
        <is>
          <t>P023</t>
        </is>
      </c>
      <c r="D4077" s="2" t="n">
        <v>4</v>
      </c>
      <c r="E4077" s="19" t="n">
        <v>0.02</v>
      </c>
    </row>
    <row r="4078">
      <c r="A4078" s="2" t="inlineStr">
        <is>
          <t>IT01612_01</t>
        </is>
      </c>
      <c r="B4078" s="2" t="inlineStr">
        <is>
          <t>PED01612</t>
        </is>
      </c>
      <c r="C4078" s="2" t="inlineStr">
        <is>
          <t>P019</t>
        </is>
      </c>
      <c r="D4078" s="2" t="n">
        <v>1</v>
      </c>
      <c r="E4078" s="19" t="n">
        <v>0.02</v>
      </c>
    </row>
    <row r="4079">
      <c r="A4079" s="2" t="inlineStr">
        <is>
          <t>IT01612_02</t>
        </is>
      </c>
      <c r="B4079" s="2" t="inlineStr">
        <is>
          <t>PED01612</t>
        </is>
      </c>
      <c r="C4079" s="2" t="inlineStr">
        <is>
          <t>P041</t>
        </is>
      </c>
      <c r="D4079" s="2" t="n">
        <v>1</v>
      </c>
      <c r="E4079" s="19" t="n">
        <v>0</v>
      </c>
    </row>
    <row r="4080">
      <c r="A4080" s="2" t="inlineStr">
        <is>
          <t>IT01613_01</t>
        </is>
      </c>
      <c r="B4080" s="2" t="inlineStr">
        <is>
          <t>PED01613</t>
        </is>
      </c>
      <c r="C4080" s="2" t="inlineStr">
        <is>
          <t>P045</t>
        </is>
      </c>
      <c r="D4080" s="2" t="n">
        <v>1</v>
      </c>
      <c r="E4080" s="19" t="n">
        <v>0.02</v>
      </c>
    </row>
    <row r="4081">
      <c r="A4081" s="2" t="inlineStr">
        <is>
          <t>IT01613_02</t>
        </is>
      </c>
      <c r="B4081" s="2" t="inlineStr">
        <is>
          <t>PED01613</t>
        </is>
      </c>
      <c r="C4081" s="2" t="inlineStr">
        <is>
          <t>P015</t>
        </is>
      </c>
      <c r="D4081" s="2" t="n">
        <v>2</v>
      </c>
      <c r="E4081" s="19" t="n">
        <v>0</v>
      </c>
    </row>
    <row r="4082">
      <c r="A4082" s="2" t="inlineStr">
        <is>
          <t>IT01614_01</t>
        </is>
      </c>
      <c r="B4082" s="2" t="inlineStr">
        <is>
          <t>PED01614</t>
        </is>
      </c>
      <c r="C4082" s="2" t="inlineStr">
        <is>
          <t>P030</t>
        </is>
      </c>
      <c r="D4082" s="2" t="n">
        <v>4</v>
      </c>
      <c r="E4082" s="19" t="n">
        <v>0</v>
      </c>
    </row>
    <row r="4083">
      <c r="A4083" s="2" t="inlineStr">
        <is>
          <t>IT01615_01</t>
        </is>
      </c>
      <c r="B4083" s="2" t="inlineStr">
        <is>
          <t>PED01615</t>
        </is>
      </c>
      <c r="C4083" s="2" t="inlineStr">
        <is>
          <t>P063</t>
        </is>
      </c>
      <c r="D4083" s="2" t="n">
        <v>3</v>
      </c>
      <c r="E4083" s="19" t="n">
        <v>0.02</v>
      </c>
    </row>
    <row r="4084">
      <c r="A4084" s="2" t="inlineStr">
        <is>
          <t>IT01615_02</t>
        </is>
      </c>
      <c r="B4084" s="2" t="inlineStr">
        <is>
          <t>PED01615</t>
        </is>
      </c>
      <c r="C4084" s="2" t="inlineStr">
        <is>
          <t>P043</t>
        </is>
      </c>
      <c r="D4084" s="2" t="n">
        <v>1</v>
      </c>
      <c r="E4084" s="19" t="n">
        <v>0</v>
      </c>
    </row>
    <row r="4085">
      <c r="A4085" s="2" t="inlineStr">
        <is>
          <t>IT01615_03</t>
        </is>
      </c>
      <c r="B4085" s="2" t="inlineStr">
        <is>
          <t>PED01615</t>
        </is>
      </c>
      <c r="C4085" s="2" t="inlineStr">
        <is>
          <t>P025</t>
        </is>
      </c>
      <c r="D4085" s="2" t="n">
        <v>2</v>
      </c>
      <c r="E4085" s="19" t="n">
        <v>0</v>
      </c>
    </row>
    <row r="4086">
      <c r="A4086" s="2" t="inlineStr">
        <is>
          <t>IT01615_04</t>
        </is>
      </c>
      <c r="B4086" s="2" t="inlineStr">
        <is>
          <t>PED01615</t>
        </is>
      </c>
      <c r="C4086" s="2" t="inlineStr">
        <is>
          <t>P011</t>
        </is>
      </c>
      <c r="D4086" s="2" t="n">
        <v>1</v>
      </c>
      <c r="E4086" s="19" t="n">
        <v>0.05</v>
      </c>
    </row>
    <row r="4087">
      <c r="A4087" s="2" t="inlineStr">
        <is>
          <t>IT01616_01</t>
        </is>
      </c>
      <c r="B4087" s="2" t="inlineStr">
        <is>
          <t>PED01616</t>
        </is>
      </c>
      <c r="C4087" s="2" t="inlineStr">
        <is>
          <t>P049</t>
        </is>
      </c>
      <c r="D4087" s="2" t="n">
        <v>3</v>
      </c>
      <c r="E4087" s="19" t="n">
        <v>0</v>
      </c>
    </row>
    <row r="4088">
      <c r="A4088" s="2" t="inlineStr">
        <is>
          <t>IT01616_02</t>
        </is>
      </c>
      <c r="B4088" s="2" t="inlineStr">
        <is>
          <t>PED01616</t>
        </is>
      </c>
      <c r="C4088" s="2" t="inlineStr">
        <is>
          <t>P024</t>
        </is>
      </c>
      <c r="D4088" s="2" t="n">
        <v>2</v>
      </c>
      <c r="E4088" s="19" t="n">
        <v>0</v>
      </c>
    </row>
    <row r="4089">
      <c r="A4089" s="2" t="inlineStr">
        <is>
          <t>IT01617_01</t>
        </is>
      </c>
      <c r="B4089" s="2" t="inlineStr">
        <is>
          <t>PED01617</t>
        </is>
      </c>
      <c r="C4089" s="2" t="inlineStr">
        <is>
          <t>P011</t>
        </is>
      </c>
      <c r="D4089" s="2" t="n">
        <v>2</v>
      </c>
      <c r="E4089" s="19" t="n">
        <v>0</v>
      </c>
    </row>
    <row r="4090">
      <c r="A4090" s="2" t="inlineStr">
        <is>
          <t>IT01617_02</t>
        </is>
      </c>
      <c r="B4090" s="2" t="inlineStr">
        <is>
          <t>PED01617</t>
        </is>
      </c>
      <c r="C4090" s="2" t="inlineStr">
        <is>
          <t>P034</t>
        </is>
      </c>
      <c r="D4090" s="2" t="n">
        <v>1</v>
      </c>
      <c r="E4090" s="19" t="n">
        <v>0</v>
      </c>
    </row>
    <row r="4091">
      <c r="A4091" s="2" t="inlineStr">
        <is>
          <t>IT01618_01</t>
        </is>
      </c>
      <c r="B4091" s="2" t="inlineStr">
        <is>
          <t>PED01618</t>
        </is>
      </c>
      <c r="C4091" s="2" t="inlineStr">
        <is>
          <t>P045</t>
        </is>
      </c>
      <c r="D4091" s="2" t="n">
        <v>2</v>
      </c>
      <c r="E4091" s="19" t="n">
        <v>0.02</v>
      </c>
    </row>
    <row r="4092">
      <c r="A4092" s="2" t="inlineStr">
        <is>
          <t>IT01618_02</t>
        </is>
      </c>
      <c r="B4092" s="2" t="inlineStr">
        <is>
          <t>PED01618</t>
        </is>
      </c>
      <c r="C4092" s="2" t="inlineStr">
        <is>
          <t>P046</t>
        </is>
      </c>
      <c r="D4092" s="2" t="n">
        <v>4</v>
      </c>
      <c r="E4092" s="19" t="n">
        <v>0</v>
      </c>
    </row>
    <row r="4093">
      <c r="A4093" s="2" t="inlineStr">
        <is>
          <t>IT01618_03</t>
        </is>
      </c>
      <c r="B4093" s="2" t="inlineStr">
        <is>
          <t>PED01618</t>
        </is>
      </c>
      <c r="C4093" s="2" t="inlineStr">
        <is>
          <t>P041</t>
        </is>
      </c>
      <c r="D4093" s="2" t="n">
        <v>2</v>
      </c>
      <c r="E4093" s="19" t="n">
        <v>0</v>
      </c>
    </row>
    <row r="4094">
      <c r="A4094" s="2" t="inlineStr">
        <is>
          <t>IT01618_04</t>
        </is>
      </c>
      <c r="B4094" s="2" t="inlineStr">
        <is>
          <t>PED01618</t>
        </is>
      </c>
      <c r="C4094" s="2" t="inlineStr">
        <is>
          <t>P029</t>
        </is>
      </c>
      <c r="D4094" s="2" t="n">
        <v>1</v>
      </c>
      <c r="E4094" s="19" t="n">
        <v>0</v>
      </c>
    </row>
    <row r="4095">
      <c r="A4095" s="2" t="inlineStr">
        <is>
          <t>IT01619_01</t>
        </is>
      </c>
      <c r="B4095" s="2" t="inlineStr">
        <is>
          <t>PED01619</t>
        </is>
      </c>
      <c r="C4095" s="2" t="inlineStr">
        <is>
          <t>P041</t>
        </is>
      </c>
      <c r="D4095" s="2" t="n">
        <v>3</v>
      </c>
      <c r="E4095" s="19" t="n">
        <v>0</v>
      </c>
    </row>
    <row r="4096">
      <c r="A4096" s="2" t="inlineStr">
        <is>
          <t>IT01620_01</t>
        </is>
      </c>
      <c r="B4096" s="2" t="inlineStr">
        <is>
          <t>PED01620</t>
        </is>
      </c>
      <c r="C4096" s="2" t="inlineStr">
        <is>
          <t>P033</t>
        </is>
      </c>
      <c r="D4096" s="2" t="n">
        <v>2</v>
      </c>
      <c r="E4096" s="19" t="n">
        <v>0</v>
      </c>
    </row>
    <row r="4097">
      <c r="A4097" s="2" t="inlineStr">
        <is>
          <t>IT01621_01</t>
        </is>
      </c>
      <c r="B4097" s="2" t="inlineStr">
        <is>
          <t>PED01621</t>
        </is>
      </c>
      <c r="C4097" s="2" t="inlineStr">
        <is>
          <t>P030</t>
        </is>
      </c>
      <c r="D4097" s="2" t="n">
        <v>2</v>
      </c>
      <c r="E4097" s="19" t="n">
        <v>0</v>
      </c>
    </row>
    <row r="4098">
      <c r="A4098" s="2" t="inlineStr">
        <is>
          <t>IT01621_02</t>
        </is>
      </c>
      <c r="B4098" s="2" t="inlineStr">
        <is>
          <t>PED01621</t>
        </is>
      </c>
      <c r="C4098" s="2" t="inlineStr">
        <is>
          <t>P011</t>
        </is>
      </c>
      <c r="D4098" s="2" t="n">
        <v>1</v>
      </c>
      <c r="E4098" s="19" t="n">
        <v>0.05</v>
      </c>
    </row>
    <row r="4099">
      <c r="A4099" s="2" t="inlineStr">
        <is>
          <t>IT01622_01</t>
        </is>
      </c>
      <c r="B4099" s="2" t="inlineStr">
        <is>
          <t>PED01622</t>
        </is>
      </c>
      <c r="C4099" s="2" t="inlineStr">
        <is>
          <t>P043</t>
        </is>
      </c>
      <c r="D4099" s="2" t="n">
        <v>1</v>
      </c>
      <c r="E4099" s="19" t="n">
        <v>0</v>
      </c>
    </row>
    <row r="4100">
      <c r="A4100" s="2" t="inlineStr">
        <is>
          <t>IT01623_01</t>
        </is>
      </c>
      <c r="B4100" s="2" t="inlineStr">
        <is>
          <t>PED01623</t>
        </is>
      </c>
      <c r="C4100" s="2" t="inlineStr">
        <is>
          <t>P057</t>
        </is>
      </c>
      <c r="D4100" s="2" t="n">
        <v>5</v>
      </c>
      <c r="E4100" s="19" t="n">
        <v>0.1</v>
      </c>
    </row>
    <row r="4101">
      <c r="A4101" s="2" t="inlineStr">
        <is>
          <t>IT01623_02</t>
        </is>
      </c>
      <c r="B4101" s="2" t="inlineStr">
        <is>
          <t>PED01623</t>
        </is>
      </c>
      <c r="C4101" s="2" t="inlineStr">
        <is>
          <t>P030</t>
        </is>
      </c>
      <c r="D4101" s="2" t="n">
        <v>1</v>
      </c>
      <c r="E4101" s="19" t="n">
        <v>0.02</v>
      </c>
    </row>
    <row r="4102">
      <c r="A4102" s="2" t="inlineStr">
        <is>
          <t>IT01623_03</t>
        </is>
      </c>
      <c r="B4102" s="2" t="inlineStr">
        <is>
          <t>PED01623</t>
        </is>
      </c>
      <c r="C4102" s="2" t="inlineStr">
        <is>
          <t>P013</t>
        </is>
      </c>
      <c r="D4102" s="2" t="n">
        <v>3</v>
      </c>
      <c r="E4102" s="19" t="n">
        <v>0</v>
      </c>
    </row>
    <row r="4103">
      <c r="A4103" s="2" t="inlineStr">
        <is>
          <t>IT01624_01</t>
        </is>
      </c>
      <c r="B4103" s="2" t="inlineStr">
        <is>
          <t>PED01624</t>
        </is>
      </c>
      <c r="C4103" s="2" t="inlineStr">
        <is>
          <t>P020</t>
        </is>
      </c>
      <c r="D4103" s="2" t="n">
        <v>1</v>
      </c>
      <c r="E4103" s="19" t="n">
        <v>0.05</v>
      </c>
    </row>
    <row r="4104">
      <c r="A4104" s="2" t="inlineStr">
        <is>
          <t>IT01624_02</t>
        </is>
      </c>
      <c r="B4104" s="2" t="inlineStr">
        <is>
          <t>PED01624</t>
        </is>
      </c>
      <c r="C4104" s="2" t="inlineStr">
        <is>
          <t>P008</t>
        </is>
      </c>
      <c r="D4104" s="2" t="n">
        <v>1</v>
      </c>
      <c r="E4104" s="19" t="n">
        <v>0</v>
      </c>
    </row>
    <row r="4105">
      <c r="A4105" s="2" t="inlineStr">
        <is>
          <t>IT01624_03</t>
        </is>
      </c>
      <c r="B4105" s="2" t="inlineStr">
        <is>
          <t>PED01624</t>
        </is>
      </c>
      <c r="C4105" s="2" t="inlineStr">
        <is>
          <t>P019</t>
        </is>
      </c>
      <c r="D4105" s="2" t="n">
        <v>4</v>
      </c>
      <c r="E4105" s="19" t="n">
        <v>0</v>
      </c>
    </row>
    <row r="4106">
      <c r="A4106" s="2" t="inlineStr">
        <is>
          <t>IT01625_01</t>
        </is>
      </c>
      <c r="B4106" s="2" t="inlineStr">
        <is>
          <t>PED01625</t>
        </is>
      </c>
      <c r="C4106" s="2" t="inlineStr">
        <is>
          <t>P049</t>
        </is>
      </c>
      <c r="D4106" s="2" t="n">
        <v>1</v>
      </c>
      <c r="E4106" s="19" t="n">
        <v>0</v>
      </c>
    </row>
    <row r="4107">
      <c r="A4107" s="2" t="inlineStr">
        <is>
          <t>IT01625_02</t>
        </is>
      </c>
      <c r="B4107" s="2" t="inlineStr">
        <is>
          <t>PED01625</t>
        </is>
      </c>
      <c r="C4107" s="2" t="inlineStr">
        <is>
          <t>P060</t>
        </is>
      </c>
      <c r="D4107" s="2" t="n">
        <v>1</v>
      </c>
      <c r="E4107" s="19" t="n">
        <v>0</v>
      </c>
    </row>
    <row r="4108">
      <c r="A4108" s="2" t="inlineStr">
        <is>
          <t>IT01626_01</t>
        </is>
      </c>
      <c r="B4108" s="2" t="inlineStr">
        <is>
          <t>PED01626</t>
        </is>
      </c>
      <c r="C4108" s="2" t="inlineStr">
        <is>
          <t>P026</t>
        </is>
      </c>
      <c r="D4108" s="2" t="n">
        <v>4</v>
      </c>
      <c r="E4108" s="19" t="n">
        <v>0</v>
      </c>
    </row>
    <row r="4109">
      <c r="A4109" s="2" t="inlineStr">
        <is>
          <t>IT01626_02</t>
        </is>
      </c>
      <c r="B4109" s="2" t="inlineStr">
        <is>
          <t>PED01626</t>
        </is>
      </c>
      <c r="C4109" s="2" t="inlineStr">
        <is>
          <t>P039</t>
        </is>
      </c>
      <c r="D4109" s="2" t="n">
        <v>4</v>
      </c>
      <c r="E4109" s="19" t="n">
        <v>0</v>
      </c>
    </row>
    <row r="4110">
      <c r="A4110" s="2" t="inlineStr">
        <is>
          <t>IT01626_03</t>
        </is>
      </c>
      <c r="B4110" s="2" t="inlineStr">
        <is>
          <t>PED01626</t>
        </is>
      </c>
      <c r="C4110" s="2" t="inlineStr">
        <is>
          <t>P032</t>
        </is>
      </c>
      <c r="D4110" s="2" t="n">
        <v>1</v>
      </c>
      <c r="E4110" s="19" t="n">
        <v>0.02</v>
      </c>
    </row>
    <row r="4111">
      <c r="A4111" s="2" t="inlineStr">
        <is>
          <t>IT01626_04</t>
        </is>
      </c>
      <c r="B4111" s="2" t="inlineStr">
        <is>
          <t>PED01626</t>
        </is>
      </c>
      <c r="C4111" s="2" t="inlineStr">
        <is>
          <t>P056</t>
        </is>
      </c>
      <c r="D4111" s="2" t="n">
        <v>1</v>
      </c>
      <c r="E4111" s="19" t="n">
        <v>0.1</v>
      </c>
    </row>
    <row r="4112">
      <c r="A4112" s="2" t="inlineStr">
        <is>
          <t>IT01627_01</t>
        </is>
      </c>
      <c r="B4112" s="2" t="inlineStr">
        <is>
          <t>PED01627</t>
        </is>
      </c>
      <c r="C4112" s="2" t="inlineStr">
        <is>
          <t>P015</t>
        </is>
      </c>
      <c r="D4112" s="2" t="n">
        <v>5</v>
      </c>
      <c r="E4112" s="19" t="n">
        <v>0.05</v>
      </c>
    </row>
    <row r="4113">
      <c r="A4113" s="2" t="inlineStr">
        <is>
          <t>IT01628_01</t>
        </is>
      </c>
      <c r="B4113" s="2" t="inlineStr">
        <is>
          <t>PED01628</t>
        </is>
      </c>
      <c r="C4113" s="2" t="inlineStr">
        <is>
          <t>P028</t>
        </is>
      </c>
      <c r="D4113" s="2" t="n">
        <v>3</v>
      </c>
      <c r="E4113" s="19" t="n">
        <v>0</v>
      </c>
    </row>
    <row r="4114">
      <c r="A4114" s="2" t="inlineStr">
        <is>
          <t>IT01628_02</t>
        </is>
      </c>
      <c r="B4114" s="2" t="inlineStr">
        <is>
          <t>PED01628</t>
        </is>
      </c>
      <c r="C4114" s="2" t="inlineStr">
        <is>
          <t>P021</t>
        </is>
      </c>
      <c r="D4114" s="2" t="n">
        <v>2</v>
      </c>
      <c r="E4114" s="19" t="n">
        <v>0.02</v>
      </c>
    </row>
    <row r="4115">
      <c r="A4115" s="2" t="inlineStr">
        <is>
          <t>IT01628_03</t>
        </is>
      </c>
      <c r="B4115" s="2" t="inlineStr">
        <is>
          <t>PED01628</t>
        </is>
      </c>
      <c r="C4115" s="2" t="inlineStr">
        <is>
          <t>P066</t>
        </is>
      </c>
      <c r="D4115" s="2" t="n">
        <v>3</v>
      </c>
      <c r="E4115" s="19" t="n">
        <v>0</v>
      </c>
    </row>
    <row r="4116">
      <c r="A4116" s="2" t="inlineStr">
        <is>
          <t>IT01628_04</t>
        </is>
      </c>
      <c r="B4116" s="2" t="inlineStr">
        <is>
          <t>PED01628</t>
        </is>
      </c>
      <c r="C4116" s="2" t="inlineStr">
        <is>
          <t>P015</t>
        </is>
      </c>
      <c r="D4116" s="2" t="n">
        <v>3</v>
      </c>
      <c r="E4116" s="19" t="n">
        <v>0</v>
      </c>
    </row>
    <row r="4117">
      <c r="A4117" s="2" t="inlineStr">
        <is>
          <t>IT01629_01</t>
        </is>
      </c>
      <c r="B4117" s="2" t="inlineStr">
        <is>
          <t>PED01629</t>
        </is>
      </c>
      <c r="C4117" s="2" t="inlineStr">
        <is>
          <t>P059</t>
        </is>
      </c>
      <c r="D4117" s="2" t="n">
        <v>3</v>
      </c>
      <c r="E4117" s="19" t="n">
        <v>0</v>
      </c>
    </row>
    <row r="4118">
      <c r="A4118" s="2" t="inlineStr">
        <is>
          <t>IT01629_02</t>
        </is>
      </c>
      <c r="B4118" s="2" t="inlineStr">
        <is>
          <t>PED01629</t>
        </is>
      </c>
      <c r="C4118" s="2" t="inlineStr">
        <is>
          <t>P056</t>
        </is>
      </c>
      <c r="D4118" s="2" t="n">
        <v>1</v>
      </c>
      <c r="E4118" s="19" t="n">
        <v>0</v>
      </c>
    </row>
    <row r="4119">
      <c r="A4119" s="2" t="inlineStr">
        <is>
          <t>IT01630_01</t>
        </is>
      </c>
      <c r="B4119" s="2" t="inlineStr">
        <is>
          <t>PED01630</t>
        </is>
      </c>
      <c r="C4119" s="2" t="inlineStr">
        <is>
          <t>P011</t>
        </is>
      </c>
      <c r="D4119" s="2" t="n">
        <v>1</v>
      </c>
      <c r="E4119" s="19" t="n">
        <v>0</v>
      </c>
    </row>
    <row r="4120">
      <c r="A4120" s="2" t="inlineStr">
        <is>
          <t>IT01630_02</t>
        </is>
      </c>
      <c r="B4120" s="2" t="inlineStr">
        <is>
          <t>PED01630</t>
        </is>
      </c>
      <c r="C4120" s="2" t="inlineStr">
        <is>
          <t>P048</t>
        </is>
      </c>
      <c r="D4120" s="2" t="n">
        <v>1</v>
      </c>
      <c r="E4120" s="19" t="n">
        <v>0.1</v>
      </c>
    </row>
    <row r="4121">
      <c r="A4121" s="2" t="inlineStr">
        <is>
          <t>IT01630_03</t>
        </is>
      </c>
      <c r="B4121" s="2" t="inlineStr">
        <is>
          <t>PED01630</t>
        </is>
      </c>
      <c r="C4121" s="2" t="inlineStr">
        <is>
          <t>P026</t>
        </is>
      </c>
      <c r="D4121" s="2" t="n">
        <v>1</v>
      </c>
      <c r="E4121" s="19" t="n">
        <v>0.02</v>
      </c>
    </row>
    <row r="4122">
      <c r="A4122" s="2" t="inlineStr">
        <is>
          <t>IT01630_04</t>
        </is>
      </c>
      <c r="B4122" s="2" t="inlineStr">
        <is>
          <t>PED01630</t>
        </is>
      </c>
      <c r="C4122" s="2" t="inlineStr">
        <is>
          <t>P008</t>
        </is>
      </c>
      <c r="D4122" s="2" t="n">
        <v>1</v>
      </c>
      <c r="E4122" s="19" t="n">
        <v>0.05</v>
      </c>
    </row>
    <row r="4123">
      <c r="A4123" s="2" t="inlineStr">
        <is>
          <t>IT01631_01</t>
        </is>
      </c>
      <c r="B4123" s="2" t="inlineStr">
        <is>
          <t>PED01631</t>
        </is>
      </c>
      <c r="C4123" s="2" t="inlineStr">
        <is>
          <t>P045</t>
        </is>
      </c>
      <c r="D4123" s="2" t="n">
        <v>1</v>
      </c>
      <c r="E4123" s="19" t="n">
        <v>0.02</v>
      </c>
    </row>
    <row r="4124">
      <c r="A4124" s="2" t="inlineStr">
        <is>
          <t>IT01631_02</t>
        </is>
      </c>
      <c r="B4124" s="2" t="inlineStr">
        <is>
          <t>PED01631</t>
        </is>
      </c>
      <c r="C4124" s="2" t="inlineStr">
        <is>
          <t>P008</t>
        </is>
      </c>
      <c r="D4124" s="2" t="n">
        <v>1</v>
      </c>
      <c r="E4124" s="19" t="n">
        <v>0</v>
      </c>
    </row>
    <row r="4125">
      <c r="A4125" s="2" t="inlineStr">
        <is>
          <t>IT01631_03</t>
        </is>
      </c>
      <c r="B4125" s="2" t="inlineStr">
        <is>
          <t>PED01631</t>
        </is>
      </c>
      <c r="C4125" s="2" t="inlineStr">
        <is>
          <t>P022</t>
        </is>
      </c>
      <c r="D4125" s="2" t="n">
        <v>1</v>
      </c>
      <c r="E4125" s="19" t="n">
        <v>0</v>
      </c>
    </row>
    <row r="4126">
      <c r="A4126" s="2" t="inlineStr">
        <is>
          <t>IT01631_04</t>
        </is>
      </c>
      <c r="B4126" s="2" t="inlineStr">
        <is>
          <t>PED01631</t>
        </is>
      </c>
      <c r="C4126" s="2" t="inlineStr">
        <is>
          <t>P041</t>
        </is>
      </c>
      <c r="D4126" s="2" t="n">
        <v>3</v>
      </c>
      <c r="E4126" s="19" t="n">
        <v>0.02</v>
      </c>
    </row>
    <row r="4127">
      <c r="A4127" s="2" t="inlineStr">
        <is>
          <t>IT01631_05</t>
        </is>
      </c>
      <c r="B4127" s="2" t="inlineStr">
        <is>
          <t>PED01631</t>
        </is>
      </c>
      <c r="C4127" s="2" t="inlineStr">
        <is>
          <t>P065</t>
        </is>
      </c>
      <c r="D4127" s="2" t="n">
        <v>1</v>
      </c>
      <c r="E4127" s="19" t="n">
        <v>0.02</v>
      </c>
    </row>
    <row r="4128">
      <c r="A4128" s="2" t="inlineStr">
        <is>
          <t>IT01632_01</t>
        </is>
      </c>
      <c r="B4128" s="2" t="inlineStr">
        <is>
          <t>PED01632</t>
        </is>
      </c>
      <c r="C4128" s="2" t="inlineStr">
        <is>
          <t>P055</t>
        </is>
      </c>
      <c r="D4128" s="2" t="n">
        <v>2</v>
      </c>
      <c r="E4128" s="19" t="n">
        <v>0</v>
      </c>
    </row>
    <row r="4129">
      <c r="A4129" s="2" t="inlineStr">
        <is>
          <t>IT01633_01</t>
        </is>
      </c>
      <c r="B4129" s="2" t="inlineStr">
        <is>
          <t>PED01633</t>
        </is>
      </c>
      <c r="C4129" s="2" t="inlineStr">
        <is>
          <t>P032</t>
        </is>
      </c>
      <c r="D4129" s="2" t="n">
        <v>1</v>
      </c>
      <c r="E4129" s="19" t="n">
        <v>0</v>
      </c>
    </row>
    <row r="4130">
      <c r="A4130" s="2" t="inlineStr">
        <is>
          <t>IT01633_02</t>
        </is>
      </c>
      <c r="B4130" s="2" t="inlineStr">
        <is>
          <t>PED01633</t>
        </is>
      </c>
      <c r="C4130" s="2" t="inlineStr">
        <is>
          <t>P036</t>
        </is>
      </c>
      <c r="D4130" s="2" t="n">
        <v>1</v>
      </c>
      <c r="E4130" s="19" t="n">
        <v>0</v>
      </c>
    </row>
    <row r="4131">
      <c r="A4131" s="2" t="inlineStr">
        <is>
          <t>IT01634_01</t>
        </is>
      </c>
      <c r="B4131" s="2" t="inlineStr">
        <is>
          <t>PED01634</t>
        </is>
      </c>
      <c r="C4131" s="2" t="inlineStr">
        <is>
          <t>P026</t>
        </is>
      </c>
      <c r="D4131" s="2" t="n">
        <v>2</v>
      </c>
      <c r="E4131" s="19" t="n">
        <v>0.02</v>
      </c>
    </row>
    <row r="4132">
      <c r="A4132" s="2" t="inlineStr">
        <is>
          <t>IT01634_02</t>
        </is>
      </c>
      <c r="B4132" s="2" t="inlineStr">
        <is>
          <t>PED01634</t>
        </is>
      </c>
      <c r="C4132" s="2" t="inlineStr">
        <is>
          <t>P010</t>
        </is>
      </c>
      <c r="D4132" s="2" t="n">
        <v>2</v>
      </c>
      <c r="E4132" s="19" t="n">
        <v>0</v>
      </c>
    </row>
    <row r="4133">
      <c r="A4133" s="2" t="inlineStr">
        <is>
          <t>IT01634_03</t>
        </is>
      </c>
      <c r="B4133" s="2" t="inlineStr">
        <is>
          <t>PED01634</t>
        </is>
      </c>
      <c r="C4133" s="2" t="inlineStr">
        <is>
          <t>P050</t>
        </is>
      </c>
      <c r="D4133" s="2" t="n">
        <v>3</v>
      </c>
      <c r="E4133" s="19" t="n">
        <v>0</v>
      </c>
    </row>
    <row r="4134">
      <c r="A4134" s="2" t="inlineStr">
        <is>
          <t>IT01635_01</t>
        </is>
      </c>
      <c r="B4134" s="2" t="inlineStr">
        <is>
          <t>PED01635</t>
        </is>
      </c>
      <c r="C4134" s="2" t="inlineStr">
        <is>
          <t>P002</t>
        </is>
      </c>
      <c r="D4134" s="2" t="n">
        <v>2</v>
      </c>
      <c r="E4134" s="19" t="n">
        <v>0</v>
      </c>
    </row>
    <row r="4135">
      <c r="A4135" s="2" t="inlineStr">
        <is>
          <t>IT01635_02</t>
        </is>
      </c>
      <c r="B4135" s="2" t="inlineStr">
        <is>
          <t>PED01635</t>
        </is>
      </c>
      <c r="C4135" s="2" t="inlineStr">
        <is>
          <t>P060</t>
        </is>
      </c>
      <c r="D4135" s="2" t="n">
        <v>2</v>
      </c>
      <c r="E4135" s="19" t="n">
        <v>0</v>
      </c>
    </row>
    <row r="4136">
      <c r="A4136" s="2" t="inlineStr">
        <is>
          <t>IT01635_03</t>
        </is>
      </c>
      <c r="B4136" s="2" t="inlineStr">
        <is>
          <t>PED01635</t>
        </is>
      </c>
      <c r="C4136" s="2" t="inlineStr">
        <is>
          <t>P066</t>
        </is>
      </c>
      <c r="D4136" s="2" t="n">
        <v>1</v>
      </c>
      <c r="E4136" s="19" t="n">
        <v>0</v>
      </c>
    </row>
    <row r="4137">
      <c r="A4137" s="2" t="inlineStr">
        <is>
          <t>IT01636_01</t>
        </is>
      </c>
      <c r="B4137" s="2" t="inlineStr">
        <is>
          <t>PED01636</t>
        </is>
      </c>
      <c r="C4137" s="2" t="inlineStr">
        <is>
          <t>P002</t>
        </is>
      </c>
      <c r="D4137" s="2" t="n">
        <v>1</v>
      </c>
      <c r="E4137" s="19" t="n">
        <v>0</v>
      </c>
    </row>
    <row r="4138">
      <c r="A4138" s="2" t="inlineStr">
        <is>
          <t>IT01636_02</t>
        </is>
      </c>
      <c r="B4138" s="2" t="inlineStr">
        <is>
          <t>PED01636</t>
        </is>
      </c>
      <c r="C4138" s="2" t="inlineStr">
        <is>
          <t>P059</t>
        </is>
      </c>
      <c r="D4138" s="2" t="n">
        <v>2</v>
      </c>
      <c r="E4138" s="19" t="n">
        <v>0.05</v>
      </c>
    </row>
    <row r="4139">
      <c r="A4139" s="2" t="inlineStr">
        <is>
          <t>IT01637_01</t>
        </is>
      </c>
      <c r="B4139" s="2" t="inlineStr">
        <is>
          <t>PED01637</t>
        </is>
      </c>
      <c r="C4139" s="2" t="inlineStr">
        <is>
          <t>P015</t>
        </is>
      </c>
      <c r="D4139" s="2" t="n">
        <v>2</v>
      </c>
      <c r="E4139" s="19" t="n">
        <v>0.02</v>
      </c>
    </row>
    <row r="4140">
      <c r="A4140" s="2" t="inlineStr">
        <is>
          <t>IT01637_02</t>
        </is>
      </c>
      <c r="B4140" s="2" t="inlineStr">
        <is>
          <t>PED01637</t>
        </is>
      </c>
      <c r="C4140" s="2" t="inlineStr">
        <is>
          <t>P011</t>
        </is>
      </c>
      <c r="D4140" s="2" t="n">
        <v>1</v>
      </c>
      <c r="E4140" s="19" t="n">
        <v>0</v>
      </c>
    </row>
    <row r="4141">
      <c r="A4141" s="2" t="inlineStr">
        <is>
          <t>IT01638_01</t>
        </is>
      </c>
      <c r="B4141" s="2" t="inlineStr">
        <is>
          <t>PED01638</t>
        </is>
      </c>
      <c r="C4141" s="2" t="inlineStr">
        <is>
          <t>P024</t>
        </is>
      </c>
      <c r="D4141" s="2" t="n">
        <v>1</v>
      </c>
      <c r="E4141" s="19" t="n">
        <v>0</v>
      </c>
    </row>
    <row r="4142">
      <c r="A4142" s="2" t="inlineStr">
        <is>
          <t>IT01638_02</t>
        </is>
      </c>
      <c r="B4142" s="2" t="inlineStr">
        <is>
          <t>PED01638</t>
        </is>
      </c>
      <c r="C4142" s="2" t="inlineStr">
        <is>
          <t>P059</t>
        </is>
      </c>
      <c r="D4142" s="2" t="n">
        <v>3</v>
      </c>
      <c r="E4142" s="19" t="n">
        <v>0.05</v>
      </c>
    </row>
    <row r="4143">
      <c r="A4143" s="2" t="inlineStr">
        <is>
          <t>IT01638_03</t>
        </is>
      </c>
      <c r="B4143" s="2" t="inlineStr">
        <is>
          <t>PED01638</t>
        </is>
      </c>
      <c r="C4143" s="2" t="inlineStr">
        <is>
          <t>P055</t>
        </is>
      </c>
      <c r="D4143" s="2" t="n">
        <v>2</v>
      </c>
      <c r="E4143" s="19" t="n">
        <v>0.02</v>
      </c>
    </row>
    <row r="4144">
      <c r="A4144" s="2" t="inlineStr">
        <is>
          <t>IT01638_04</t>
        </is>
      </c>
      <c r="B4144" s="2" t="inlineStr">
        <is>
          <t>PED01638</t>
        </is>
      </c>
      <c r="C4144" s="2" t="inlineStr">
        <is>
          <t>P064</t>
        </is>
      </c>
      <c r="D4144" s="2" t="n">
        <v>2</v>
      </c>
      <c r="E4144" s="19" t="n">
        <v>0.02</v>
      </c>
    </row>
    <row r="4145">
      <c r="A4145" s="2" t="inlineStr">
        <is>
          <t>IT01639_01</t>
        </is>
      </c>
      <c r="B4145" s="2" t="inlineStr">
        <is>
          <t>PED01639</t>
        </is>
      </c>
      <c r="C4145" s="2" t="inlineStr">
        <is>
          <t>P057</t>
        </is>
      </c>
      <c r="D4145" s="2" t="n">
        <v>1</v>
      </c>
      <c r="E4145" s="19" t="n">
        <v>0</v>
      </c>
    </row>
    <row r="4146">
      <c r="A4146" s="2" t="inlineStr">
        <is>
          <t>IT01639_02</t>
        </is>
      </c>
      <c r="B4146" s="2" t="inlineStr">
        <is>
          <t>PED01639</t>
        </is>
      </c>
      <c r="C4146" s="2" t="inlineStr">
        <is>
          <t>P070</t>
        </is>
      </c>
      <c r="D4146" s="2" t="n">
        <v>2</v>
      </c>
      <c r="E4146" s="19" t="n">
        <v>0</v>
      </c>
    </row>
    <row r="4147">
      <c r="A4147" s="2" t="inlineStr">
        <is>
          <t>IT01639_03</t>
        </is>
      </c>
      <c r="B4147" s="2" t="inlineStr">
        <is>
          <t>PED01639</t>
        </is>
      </c>
      <c r="C4147" s="2" t="inlineStr">
        <is>
          <t>P029</t>
        </is>
      </c>
      <c r="D4147" s="2" t="n">
        <v>3</v>
      </c>
      <c r="E4147" s="19" t="n">
        <v>0</v>
      </c>
    </row>
    <row r="4148">
      <c r="A4148" s="2" t="inlineStr">
        <is>
          <t>IT01639_04</t>
        </is>
      </c>
      <c r="B4148" s="2" t="inlineStr">
        <is>
          <t>PED01639</t>
        </is>
      </c>
      <c r="C4148" s="2" t="inlineStr">
        <is>
          <t>P004</t>
        </is>
      </c>
      <c r="D4148" s="2" t="n">
        <v>3</v>
      </c>
      <c r="E4148" s="19" t="n">
        <v>0.05</v>
      </c>
    </row>
    <row r="4149">
      <c r="A4149" s="2" t="inlineStr">
        <is>
          <t>IT01640_01</t>
        </is>
      </c>
      <c r="B4149" s="2" t="inlineStr">
        <is>
          <t>PED01640</t>
        </is>
      </c>
      <c r="C4149" s="2" t="inlineStr">
        <is>
          <t>P049</t>
        </is>
      </c>
      <c r="D4149" s="2" t="n">
        <v>2</v>
      </c>
      <c r="E4149" s="19" t="n">
        <v>0</v>
      </c>
    </row>
    <row r="4150">
      <c r="A4150" s="2" t="inlineStr">
        <is>
          <t>IT01640_02</t>
        </is>
      </c>
      <c r="B4150" s="2" t="inlineStr">
        <is>
          <t>PED01640</t>
        </is>
      </c>
      <c r="C4150" s="2" t="inlineStr">
        <is>
          <t>P009</t>
        </is>
      </c>
      <c r="D4150" s="2" t="n">
        <v>1</v>
      </c>
      <c r="E4150" s="19" t="n">
        <v>0</v>
      </c>
    </row>
    <row r="4151">
      <c r="A4151" s="2" t="inlineStr">
        <is>
          <t>IT01640_03</t>
        </is>
      </c>
      <c r="B4151" s="2" t="inlineStr">
        <is>
          <t>PED01640</t>
        </is>
      </c>
      <c r="C4151" s="2" t="inlineStr">
        <is>
          <t>P039</t>
        </is>
      </c>
      <c r="D4151" s="2" t="n">
        <v>2</v>
      </c>
      <c r="E4151" s="19" t="n">
        <v>0</v>
      </c>
    </row>
    <row r="4152">
      <c r="A4152" s="2" t="inlineStr">
        <is>
          <t>IT01640_04</t>
        </is>
      </c>
      <c r="B4152" s="2" t="inlineStr">
        <is>
          <t>PED01640</t>
        </is>
      </c>
      <c r="C4152" s="2" t="inlineStr">
        <is>
          <t>P051</t>
        </is>
      </c>
      <c r="D4152" s="2" t="n">
        <v>2</v>
      </c>
      <c r="E4152" s="19" t="n">
        <v>0.02</v>
      </c>
    </row>
    <row r="4153">
      <c r="A4153" s="2" t="inlineStr">
        <is>
          <t>IT01640_05</t>
        </is>
      </c>
      <c r="B4153" s="2" t="inlineStr">
        <is>
          <t>PED01640</t>
        </is>
      </c>
      <c r="C4153" s="2" t="inlineStr">
        <is>
          <t>P023</t>
        </is>
      </c>
      <c r="D4153" s="2" t="n">
        <v>2</v>
      </c>
      <c r="E4153" s="19" t="n">
        <v>0</v>
      </c>
    </row>
    <row r="4154">
      <c r="A4154" s="2" t="inlineStr">
        <is>
          <t>IT01641_01</t>
        </is>
      </c>
      <c r="B4154" s="2" t="inlineStr">
        <is>
          <t>PED01641</t>
        </is>
      </c>
      <c r="C4154" s="2" t="inlineStr">
        <is>
          <t>P069</t>
        </is>
      </c>
      <c r="D4154" s="2" t="n">
        <v>1</v>
      </c>
      <c r="E4154" s="19" t="n">
        <v>0.05</v>
      </c>
    </row>
    <row r="4155">
      <c r="A4155" s="2" t="inlineStr">
        <is>
          <t>IT01641_02</t>
        </is>
      </c>
      <c r="B4155" s="2" t="inlineStr">
        <is>
          <t>PED01641</t>
        </is>
      </c>
      <c r="C4155" s="2" t="inlineStr">
        <is>
          <t>P054</t>
        </is>
      </c>
      <c r="D4155" s="2" t="n">
        <v>1</v>
      </c>
      <c r="E4155" s="19" t="n">
        <v>0</v>
      </c>
    </row>
    <row r="4156">
      <c r="A4156" s="2" t="inlineStr">
        <is>
          <t>IT01642_01</t>
        </is>
      </c>
      <c r="B4156" s="2" t="inlineStr">
        <is>
          <t>PED01642</t>
        </is>
      </c>
      <c r="C4156" s="2" t="inlineStr">
        <is>
          <t>P062</t>
        </is>
      </c>
      <c r="D4156" s="2" t="n">
        <v>1</v>
      </c>
      <c r="E4156" s="19" t="n">
        <v>0</v>
      </c>
    </row>
    <row r="4157">
      <c r="A4157" s="2" t="inlineStr">
        <is>
          <t>IT01642_02</t>
        </is>
      </c>
      <c r="B4157" s="2" t="inlineStr">
        <is>
          <t>PED01642</t>
        </is>
      </c>
      <c r="C4157" s="2" t="inlineStr">
        <is>
          <t>P003</t>
        </is>
      </c>
      <c r="D4157" s="2" t="n">
        <v>3</v>
      </c>
      <c r="E4157" s="19" t="n">
        <v>0</v>
      </c>
    </row>
    <row r="4158">
      <c r="A4158" s="2" t="inlineStr">
        <is>
          <t>IT01643_01</t>
        </is>
      </c>
      <c r="B4158" s="2" t="inlineStr">
        <is>
          <t>PED01643</t>
        </is>
      </c>
      <c r="C4158" s="2" t="inlineStr">
        <is>
          <t>P030</t>
        </is>
      </c>
      <c r="D4158" s="2" t="n">
        <v>3</v>
      </c>
      <c r="E4158" s="19" t="n">
        <v>0</v>
      </c>
    </row>
    <row r="4159">
      <c r="A4159" s="2" t="inlineStr">
        <is>
          <t>IT01643_02</t>
        </is>
      </c>
      <c r="B4159" s="2" t="inlineStr">
        <is>
          <t>PED01643</t>
        </is>
      </c>
      <c r="C4159" s="2" t="inlineStr">
        <is>
          <t>P011</t>
        </is>
      </c>
      <c r="D4159" s="2" t="n">
        <v>1</v>
      </c>
      <c r="E4159" s="19" t="n">
        <v>0.1</v>
      </c>
    </row>
    <row r="4160">
      <c r="A4160" s="2" t="inlineStr">
        <is>
          <t>IT01644_01</t>
        </is>
      </c>
      <c r="B4160" s="2" t="inlineStr">
        <is>
          <t>PED01644</t>
        </is>
      </c>
      <c r="C4160" s="2" t="inlineStr">
        <is>
          <t>P029</t>
        </is>
      </c>
      <c r="D4160" s="2" t="n">
        <v>1</v>
      </c>
      <c r="E4160" s="19" t="n">
        <v>0.05</v>
      </c>
    </row>
    <row r="4161">
      <c r="A4161" s="2" t="inlineStr">
        <is>
          <t>IT01644_02</t>
        </is>
      </c>
      <c r="B4161" s="2" t="inlineStr">
        <is>
          <t>PED01644</t>
        </is>
      </c>
      <c r="C4161" s="2" t="inlineStr">
        <is>
          <t>P036</t>
        </is>
      </c>
      <c r="D4161" s="2" t="n">
        <v>1</v>
      </c>
      <c r="E4161" s="19" t="n">
        <v>0.02</v>
      </c>
    </row>
    <row r="4162">
      <c r="A4162" s="2" t="inlineStr">
        <is>
          <t>IT01645_01</t>
        </is>
      </c>
      <c r="B4162" s="2" t="inlineStr">
        <is>
          <t>PED01645</t>
        </is>
      </c>
      <c r="C4162" s="2" t="inlineStr">
        <is>
          <t>P062</t>
        </is>
      </c>
      <c r="D4162" s="2" t="n">
        <v>1</v>
      </c>
      <c r="E4162" s="19" t="n">
        <v>0</v>
      </c>
    </row>
    <row r="4163">
      <c r="A4163" s="2" t="inlineStr">
        <is>
          <t>IT01646_01</t>
        </is>
      </c>
      <c r="B4163" s="2" t="inlineStr">
        <is>
          <t>PED01646</t>
        </is>
      </c>
      <c r="C4163" s="2" t="inlineStr">
        <is>
          <t>P007</t>
        </is>
      </c>
      <c r="D4163" s="2" t="n">
        <v>1</v>
      </c>
      <c r="E4163" s="19" t="n">
        <v>0</v>
      </c>
    </row>
    <row r="4164">
      <c r="A4164" s="2" t="inlineStr">
        <is>
          <t>IT01646_02</t>
        </is>
      </c>
      <c r="B4164" s="2" t="inlineStr">
        <is>
          <t>PED01646</t>
        </is>
      </c>
      <c r="C4164" s="2" t="inlineStr">
        <is>
          <t>P062</t>
        </is>
      </c>
      <c r="D4164" s="2" t="n">
        <v>2</v>
      </c>
      <c r="E4164" s="19" t="n">
        <v>0.02</v>
      </c>
    </row>
    <row r="4165">
      <c r="A4165" s="2" t="inlineStr">
        <is>
          <t>IT01647_01</t>
        </is>
      </c>
      <c r="B4165" s="2" t="inlineStr">
        <is>
          <t>PED01647</t>
        </is>
      </c>
      <c r="C4165" s="2" t="inlineStr">
        <is>
          <t>P008</t>
        </is>
      </c>
      <c r="D4165" s="2" t="n">
        <v>4</v>
      </c>
      <c r="E4165" s="19" t="n">
        <v>0</v>
      </c>
    </row>
    <row r="4166">
      <c r="A4166" s="2" t="inlineStr">
        <is>
          <t>IT01647_02</t>
        </is>
      </c>
      <c r="B4166" s="2" t="inlineStr">
        <is>
          <t>PED01647</t>
        </is>
      </c>
      <c r="C4166" s="2" t="inlineStr">
        <is>
          <t>P041</t>
        </is>
      </c>
      <c r="D4166" s="2" t="n">
        <v>2</v>
      </c>
      <c r="E4166" s="19" t="n">
        <v>0</v>
      </c>
    </row>
    <row r="4167">
      <c r="A4167" s="2" t="inlineStr">
        <is>
          <t>IT01647_03</t>
        </is>
      </c>
      <c r="B4167" s="2" t="inlineStr">
        <is>
          <t>PED01647</t>
        </is>
      </c>
      <c r="C4167" s="2" t="inlineStr">
        <is>
          <t>P021</t>
        </is>
      </c>
      <c r="D4167" s="2" t="n">
        <v>2</v>
      </c>
      <c r="E4167" s="19" t="n">
        <v>0</v>
      </c>
    </row>
    <row r="4168">
      <c r="A4168" s="2" t="inlineStr">
        <is>
          <t>IT01648_01</t>
        </is>
      </c>
      <c r="B4168" s="2" t="inlineStr">
        <is>
          <t>PED01648</t>
        </is>
      </c>
      <c r="C4168" s="2" t="inlineStr">
        <is>
          <t>P002</t>
        </is>
      </c>
      <c r="D4168" s="2" t="n">
        <v>2</v>
      </c>
      <c r="E4168" s="19" t="n">
        <v>0</v>
      </c>
    </row>
    <row r="4169">
      <c r="A4169" s="2" t="inlineStr">
        <is>
          <t>IT01648_02</t>
        </is>
      </c>
      <c r="B4169" s="2" t="inlineStr">
        <is>
          <t>PED01648</t>
        </is>
      </c>
      <c r="C4169" s="2" t="inlineStr">
        <is>
          <t>P056</t>
        </is>
      </c>
      <c r="D4169" s="2" t="n">
        <v>2</v>
      </c>
      <c r="E4169" s="19" t="n">
        <v>0.1</v>
      </c>
    </row>
    <row r="4170">
      <c r="A4170" s="2" t="inlineStr">
        <is>
          <t>IT01648_03</t>
        </is>
      </c>
      <c r="B4170" s="2" t="inlineStr">
        <is>
          <t>PED01648</t>
        </is>
      </c>
      <c r="C4170" s="2" t="inlineStr">
        <is>
          <t>P010</t>
        </is>
      </c>
      <c r="D4170" s="2" t="n">
        <v>3</v>
      </c>
      <c r="E4170" s="19" t="n">
        <v>0</v>
      </c>
    </row>
    <row r="4171">
      <c r="A4171" s="2" t="inlineStr">
        <is>
          <t>IT01649_01</t>
        </is>
      </c>
      <c r="B4171" s="2" t="inlineStr">
        <is>
          <t>PED01649</t>
        </is>
      </c>
      <c r="C4171" s="2" t="inlineStr">
        <is>
          <t>P047</t>
        </is>
      </c>
      <c r="D4171" s="2" t="n">
        <v>1</v>
      </c>
      <c r="E4171" s="19" t="n">
        <v>0</v>
      </c>
    </row>
    <row r="4172">
      <c r="A4172" s="2" t="inlineStr">
        <is>
          <t>IT01649_02</t>
        </is>
      </c>
      <c r="B4172" s="2" t="inlineStr">
        <is>
          <t>PED01649</t>
        </is>
      </c>
      <c r="C4172" s="2" t="inlineStr">
        <is>
          <t>P046</t>
        </is>
      </c>
      <c r="D4172" s="2" t="n">
        <v>2</v>
      </c>
      <c r="E4172" s="19" t="n">
        <v>0</v>
      </c>
    </row>
    <row r="4173">
      <c r="A4173" s="2" t="inlineStr">
        <is>
          <t>IT01649_03</t>
        </is>
      </c>
      <c r="B4173" s="2" t="inlineStr">
        <is>
          <t>PED01649</t>
        </is>
      </c>
      <c r="C4173" s="2" t="inlineStr">
        <is>
          <t>P058</t>
        </is>
      </c>
      <c r="D4173" s="2" t="n">
        <v>4</v>
      </c>
      <c r="E4173" s="19" t="n">
        <v>0</v>
      </c>
    </row>
    <row r="4174">
      <c r="A4174" s="2" t="inlineStr">
        <is>
          <t>IT01649_04</t>
        </is>
      </c>
      <c r="B4174" s="2" t="inlineStr">
        <is>
          <t>PED01649</t>
        </is>
      </c>
      <c r="C4174" s="2" t="inlineStr">
        <is>
          <t>P023</t>
        </is>
      </c>
      <c r="D4174" s="2" t="n">
        <v>1</v>
      </c>
      <c r="E4174" s="19" t="n">
        <v>0.05</v>
      </c>
    </row>
    <row r="4175">
      <c r="A4175" s="2" t="inlineStr">
        <is>
          <t>IT01649_05</t>
        </is>
      </c>
      <c r="B4175" s="2" t="inlineStr">
        <is>
          <t>PED01649</t>
        </is>
      </c>
      <c r="C4175" s="2" t="inlineStr">
        <is>
          <t>P054</t>
        </is>
      </c>
      <c r="D4175" s="2" t="n">
        <v>1</v>
      </c>
      <c r="E4175" s="19" t="n">
        <v>0.05</v>
      </c>
    </row>
    <row r="4176">
      <c r="A4176" s="2" t="inlineStr">
        <is>
          <t>IT01650_01</t>
        </is>
      </c>
      <c r="B4176" s="2" t="inlineStr">
        <is>
          <t>PED01650</t>
        </is>
      </c>
      <c r="C4176" s="2" t="inlineStr">
        <is>
          <t>P027</t>
        </is>
      </c>
      <c r="D4176" s="2" t="n">
        <v>2</v>
      </c>
      <c r="E4176" s="19" t="n">
        <v>0</v>
      </c>
    </row>
    <row r="4177">
      <c r="A4177" s="2" t="inlineStr">
        <is>
          <t>IT01651_01</t>
        </is>
      </c>
      <c r="B4177" s="2" t="inlineStr">
        <is>
          <t>PED01651</t>
        </is>
      </c>
      <c r="C4177" s="2" t="inlineStr">
        <is>
          <t>P029</t>
        </is>
      </c>
      <c r="D4177" s="2" t="n">
        <v>3</v>
      </c>
      <c r="E4177" s="19" t="n">
        <v>0.02</v>
      </c>
    </row>
    <row r="4178">
      <c r="A4178" s="2" t="inlineStr">
        <is>
          <t>IT01652_01</t>
        </is>
      </c>
      <c r="B4178" s="2" t="inlineStr">
        <is>
          <t>PED01652</t>
        </is>
      </c>
      <c r="C4178" s="2" t="inlineStr">
        <is>
          <t>P005</t>
        </is>
      </c>
      <c r="D4178" s="2" t="n">
        <v>1</v>
      </c>
      <c r="E4178" s="19" t="n">
        <v>0</v>
      </c>
    </row>
    <row r="4179">
      <c r="A4179" s="2" t="inlineStr">
        <is>
          <t>IT01652_02</t>
        </is>
      </c>
      <c r="B4179" s="2" t="inlineStr">
        <is>
          <t>PED01652</t>
        </is>
      </c>
      <c r="C4179" s="2" t="inlineStr">
        <is>
          <t>P006</t>
        </is>
      </c>
      <c r="D4179" s="2" t="n">
        <v>1</v>
      </c>
      <c r="E4179" s="19" t="n">
        <v>0</v>
      </c>
    </row>
    <row r="4180">
      <c r="A4180" s="2" t="inlineStr">
        <is>
          <t>IT01653_01</t>
        </is>
      </c>
      <c r="B4180" s="2" t="inlineStr">
        <is>
          <t>PED01653</t>
        </is>
      </c>
      <c r="C4180" s="2" t="inlineStr">
        <is>
          <t>P044</t>
        </is>
      </c>
      <c r="D4180" s="2" t="n">
        <v>4</v>
      </c>
      <c r="E4180" s="19" t="n">
        <v>0.05</v>
      </c>
    </row>
    <row r="4181">
      <c r="A4181" s="2" t="inlineStr">
        <is>
          <t>IT01653_02</t>
        </is>
      </c>
      <c r="B4181" s="2" t="inlineStr">
        <is>
          <t>PED01653</t>
        </is>
      </c>
      <c r="C4181" s="2" t="inlineStr">
        <is>
          <t>P054</t>
        </is>
      </c>
      <c r="D4181" s="2" t="n">
        <v>1</v>
      </c>
      <c r="E4181" s="19" t="n">
        <v>0</v>
      </c>
    </row>
    <row r="4182">
      <c r="A4182" s="2" t="inlineStr">
        <is>
          <t>IT01654_01</t>
        </is>
      </c>
      <c r="B4182" s="2" t="inlineStr">
        <is>
          <t>PED01654</t>
        </is>
      </c>
      <c r="C4182" s="2" t="inlineStr">
        <is>
          <t>P020</t>
        </is>
      </c>
      <c r="D4182" s="2" t="n">
        <v>1</v>
      </c>
      <c r="E4182" s="19" t="n">
        <v>0</v>
      </c>
    </row>
    <row r="4183">
      <c r="A4183" s="2" t="inlineStr">
        <is>
          <t>IT01655_01</t>
        </is>
      </c>
      <c r="B4183" s="2" t="inlineStr">
        <is>
          <t>PED01655</t>
        </is>
      </c>
      <c r="C4183" s="2" t="inlineStr">
        <is>
          <t>P042</t>
        </is>
      </c>
      <c r="D4183" s="2" t="n">
        <v>3</v>
      </c>
      <c r="E4183" s="19" t="n">
        <v>0.05</v>
      </c>
    </row>
    <row r="4184">
      <c r="A4184" s="2" t="inlineStr">
        <is>
          <t>IT01655_02</t>
        </is>
      </c>
      <c r="B4184" s="2" t="inlineStr">
        <is>
          <t>PED01655</t>
        </is>
      </c>
      <c r="C4184" s="2" t="inlineStr">
        <is>
          <t>P009</t>
        </is>
      </c>
      <c r="D4184" s="2" t="n">
        <v>4</v>
      </c>
      <c r="E4184" s="19" t="n">
        <v>0.05</v>
      </c>
    </row>
    <row r="4185">
      <c r="A4185" s="2" t="inlineStr">
        <is>
          <t>IT01655_03</t>
        </is>
      </c>
      <c r="B4185" s="2" t="inlineStr">
        <is>
          <t>PED01655</t>
        </is>
      </c>
      <c r="C4185" s="2" t="inlineStr">
        <is>
          <t>P033</t>
        </is>
      </c>
      <c r="D4185" s="2" t="n">
        <v>1</v>
      </c>
      <c r="E4185" s="19" t="n">
        <v>0.02</v>
      </c>
    </row>
    <row r="4186">
      <c r="A4186" s="2" t="inlineStr">
        <is>
          <t>IT01656_01</t>
        </is>
      </c>
      <c r="B4186" s="2" t="inlineStr">
        <is>
          <t>PED01656</t>
        </is>
      </c>
      <c r="C4186" s="2" t="inlineStr">
        <is>
          <t>P034</t>
        </is>
      </c>
      <c r="D4186" s="2" t="n">
        <v>1</v>
      </c>
      <c r="E4186" s="19" t="n">
        <v>0.05</v>
      </c>
    </row>
    <row r="4187">
      <c r="A4187" s="2" t="inlineStr">
        <is>
          <t>IT01656_02</t>
        </is>
      </c>
      <c r="B4187" s="2" t="inlineStr">
        <is>
          <t>PED01656</t>
        </is>
      </c>
      <c r="C4187" s="2" t="inlineStr">
        <is>
          <t>P046</t>
        </is>
      </c>
      <c r="D4187" s="2" t="n">
        <v>3</v>
      </c>
      <c r="E4187" s="19" t="n">
        <v>0</v>
      </c>
    </row>
    <row r="4188">
      <c r="A4188" s="2" t="inlineStr">
        <is>
          <t>IT01657_01</t>
        </is>
      </c>
      <c r="B4188" s="2" t="inlineStr">
        <is>
          <t>PED01657</t>
        </is>
      </c>
      <c r="C4188" s="2" t="inlineStr">
        <is>
          <t>P061</t>
        </is>
      </c>
      <c r="D4188" s="2" t="n">
        <v>2</v>
      </c>
      <c r="E4188" s="19" t="n">
        <v>0.02</v>
      </c>
    </row>
    <row r="4189">
      <c r="A4189" s="2" t="inlineStr">
        <is>
          <t>IT01657_02</t>
        </is>
      </c>
      <c r="B4189" s="2" t="inlineStr">
        <is>
          <t>PED01657</t>
        </is>
      </c>
      <c r="C4189" s="2" t="inlineStr">
        <is>
          <t>P052</t>
        </is>
      </c>
      <c r="D4189" s="2" t="n">
        <v>3</v>
      </c>
      <c r="E4189" s="19" t="n">
        <v>0</v>
      </c>
    </row>
    <row r="4190">
      <c r="A4190" s="2" t="inlineStr">
        <is>
          <t>IT01658_01</t>
        </is>
      </c>
      <c r="B4190" s="2" t="inlineStr">
        <is>
          <t>PED01658</t>
        </is>
      </c>
      <c r="C4190" s="2" t="inlineStr">
        <is>
          <t>P060</t>
        </is>
      </c>
      <c r="D4190" s="2" t="n">
        <v>4</v>
      </c>
      <c r="E4190" s="19" t="n">
        <v>0</v>
      </c>
    </row>
    <row r="4191">
      <c r="A4191" s="2" t="inlineStr">
        <is>
          <t>IT01658_02</t>
        </is>
      </c>
      <c r="B4191" s="2" t="inlineStr">
        <is>
          <t>PED01658</t>
        </is>
      </c>
      <c r="C4191" s="2" t="inlineStr">
        <is>
          <t>P018</t>
        </is>
      </c>
      <c r="D4191" s="2" t="n">
        <v>10</v>
      </c>
      <c r="E4191" s="19" t="n">
        <v>0</v>
      </c>
    </row>
    <row r="4192">
      <c r="A4192" s="2" t="inlineStr">
        <is>
          <t>IT01658_03</t>
        </is>
      </c>
      <c r="B4192" s="2" t="inlineStr">
        <is>
          <t>PED01658</t>
        </is>
      </c>
      <c r="C4192" s="2" t="inlineStr">
        <is>
          <t>P036</t>
        </is>
      </c>
      <c r="D4192" s="2" t="n">
        <v>4</v>
      </c>
      <c r="E4192" s="19" t="n">
        <v>0.02</v>
      </c>
    </row>
    <row r="4193">
      <c r="A4193" s="2" t="inlineStr">
        <is>
          <t>IT01659_01</t>
        </is>
      </c>
      <c r="B4193" s="2" t="inlineStr">
        <is>
          <t>PED01659</t>
        </is>
      </c>
      <c r="C4193" s="2" t="inlineStr">
        <is>
          <t>P066</t>
        </is>
      </c>
      <c r="D4193" s="2" t="n">
        <v>1</v>
      </c>
      <c r="E4193" s="19" t="n">
        <v>0</v>
      </c>
    </row>
    <row r="4194">
      <c r="A4194" s="2" t="inlineStr">
        <is>
          <t>IT01659_02</t>
        </is>
      </c>
      <c r="B4194" s="2" t="inlineStr">
        <is>
          <t>PED01659</t>
        </is>
      </c>
      <c r="C4194" s="2" t="inlineStr">
        <is>
          <t>P009</t>
        </is>
      </c>
      <c r="D4194" s="2" t="n">
        <v>5</v>
      </c>
      <c r="E4194" s="19" t="n">
        <v>0</v>
      </c>
    </row>
    <row r="4195">
      <c r="A4195" s="2" t="inlineStr">
        <is>
          <t>IT01660_01</t>
        </is>
      </c>
      <c r="B4195" s="2" t="inlineStr">
        <is>
          <t>PED01660</t>
        </is>
      </c>
      <c r="C4195" s="2" t="inlineStr">
        <is>
          <t>P038</t>
        </is>
      </c>
      <c r="D4195" s="2" t="n">
        <v>3</v>
      </c>
      <c r="E4195" s="19" t="n">
        <v>0</v>
      </c>
    </row>
    <row r="4196">
      <c r="A4196" s="2" t="inlineStr">
        <is>
          <t>IT01660_02</t>
        </is>
      </c>
      <c r="B4196" s="2" t="inlineStr">
        <is>
          <t>PED01660</t>
        </is>
      </c>
      <c r="C4196" s="2" t="inlineStr">
        <is>
          <t>P002</t>
        </is>
      </c>
      <c r="D4196" s="2" t="n">
        <v>1</v>
      </c>
      <c r="E4196" s="19" t="n">
        <v>0</v>
      </c>
    </row>
    <row r="4197">
      <c r="A4197" s="2" t="inlineStr">
        <is>
          <t>IT01661_01</t>
        </is>
      </c>
      <c r="B4197" s="2" t="inlineStr">
        <is>
          <t>PED01661</t>
        </is>
      </c>
      <c r="C4197" s="2" t="inlineStr">
        <is>
          <t>P008</t>
        </is>
      </c>
      <c r="D4197" s="2" t="n">
        <v>1</v>
      </c>
      <c r="E4197" s="19" t="n">
        <v>0</v>
      </c>
    </row>
    <row r="4198">
      <c r="A4198" s="2" t="inlineStr">
        <is>
          <t>IT01661_02</t>
        </is>
      </c>
      <c r="B4198" s="2" t="inlineStr">
        <is>
          <t>PED01661</t>
        </is>
      </c>
      <c r="C4198" s="2" t="inlineStr">
        <is>
          <t>P053</t>
        </is>
      </c>
      <c r="D4198" s="2" t="n">
        <v>1</v>
      </c>
      <c r="E4198" s="19" t="n">
        <v>0.05</v>
      </c>
    </row>
    <row r="4199">
      <c r="A4199" s="2" t="inlineStr">
        <is>
          <t>IT01661_03</t>
        </is>
      </c>
      <c r="B4199" s="2" t="inlineStr">
        <is>
          <t>PED01661</t>
        </is>
      </c>
      <c r="C4199" s="2" t="inlineStr">
        <is>
          <t>P032</t>
        </is>
      </c>
      <c r="D4199" s="2" t="n">
        <v>1</v>
      </c>
      <c r="E4199" s="19" t="n">
        <v>0</v>
      </c>
    </row>
    <row r="4200">
      <c r="A4200" s="2" t="inlineStr">
        <is>
          <t>IT01662_01</t>
        </is>
      </c>
      <c r="B4200" s="2" t="inlineStr">
        <is>
          <t>PED01662</t>
        </is>
      </c>
      <c r="C4200" s="2" t="inlineStr">
        <is>
          <t>P035</t>
        </is>
      </c>
      <c r="D4200" s="2" t="n">
        <v>2</v>
      </c>
      <c r="E4200" s="19" t="n">
        <v>0</v>
      </c>
    </row>
    <row r="4201">
      <c r="A4201" s="2" t="inlineStr">
        <is>
          <t>IT01662_02</t>
        </is>
      </c>
      <c r="B4201" s="2" t="inlineStr">
        <is>
          <t>PED01662</t>
        </is>
      </c>
      <c r="C4201" s="2" t="inlineStr">
        <is>
          <t>P020</t>
        </is>
      </c>
      <c r="D4201" s="2" t="n">
        <v>3</v>
      </c>
      <c r="E4201" s="19" t="n">
        <v>0</v>
      </c>
    </row>
    <row r="4202">
      <c r="A4202" s="2" t="inlineStr">
        <is>
          <t>IT01662_03</t>
        </is>
      </c>
      <c r="B4202" s="2" t="inlineStr">
        <is>
          <t>PED01662</t>
        </is>
      </c>
      <c r="C4202" s="2" t="inlineStr">
        <is>
          <t>P004</t>
        </is>
      </c>
      <c r="D4202" s="2" t="n">
        <v>2</v>
      </c>
      <c r="E4202" s="19" t="n">
        <v>0</v>
      </c>
    </row>
    <row r="4203">
      <c r="A4203" s="2" t="inlineStr">
        <is>
          <t>IT01662_04</t>
        </is>
      </c>
      <c r="B4203" s="2" t="inlineStr">
        <is>
          <t>PED01662</t>
        </is>
      </c>
      <c r="C4203" s="2" t="inlineStr">
        <is>
          <t>P021</t>
        </is>
      </c>
      <c r="D4203" s="2" t="n">
        <v>1</v>
      </c>
      <c r="E4203" s="19" t="n">
        <v>0.02</v>
      </c>
    </row>
    <row r="4204">
      <c r="A4204" s="2" t="inlineStr">
        <is>
          <t>IT01663_01</t>
        </is>
      </c>
      <c r="B4204" s="2" t="inlineStr">
        <is>
          <t>PED01663</t>
        </is>
      </c>
      <c r="C4204" s="2" t="inlineStr">
        <is>
          <t>P037</t>
        </is>
      </c>
      <c r="D4204" s="2" t="n">
        <v>1</v>
      </c>
      <c r="E4204" s="19" t="n">
        <v>0</v>
      </c>
    </row>
    <row r="4205">
      <c r="A4205" s="2" t="inlineStr">
        <is>
          <t>IT01663_02</t>
        </is>
      </c>
      <c r="B4205" s="2" t="inlineStr">
        <is>
          <t>PED01663</t>
        </is>
      </c>
      <c r="C4205" s="2" t="inlineStr">
        <is>
          <t>P014</t>
        </is>
      </c>
      <c r="D4205" s="2" t="n">
        <v>2</v>
      </c>
      <c r="E4205" s="19" t="n">
        <v>0</v>
      </c>
    </row>
    <row r="4206">
      <c r="A4206" s="2" t="inlineStr">
        <is>
          <t>IT01664_01</t>
        </is>
      </c>
      <c r="B4206" s="2" t="inlineStr">
        <is>
          <t>PED01664</t>
        </is>
      </c>
      <c r="C4206" s="2" t="inlineStr">
        <is>
          <t>P042</t>
        </is>
      </c>
      <c r="D4206" s="2" t="n">
        <v>2</v>
      </c>
      <c r="E4206" s="19" t="n">
        <v>0</v>
      </c>
    </row>
    <row r="4207">
      <c r="A4207" s="2" t="inlineStr">
        <is>
          <t>IT01664_02</t>
        </is>
      </c>
      <c r="B4207" s="2" t="inlineStr">
        <is>
          <t>PED01664</t>
        </is>
      </c>
      <c r="C4207" s="2" t="inlineStr">
        <is>
          <t>P012</t>
        </is>
      </c>
      <c r="D4207" s="2" t="n">
        <v>2</v>
      </c>
      <c r="E4207" s="19" t="n">
        <v>0.05</v>
      </c>
    </row>
    <row r="4208">
      <c r="A4208" s="2" t="inlineStr">
        <is>
          <t>IT01665_01</t>
        </is>
      </c>
      <c r="B4208" s="2" t="inlineStr">
        <is>
          <t>PED01665</t>
        </is>
      </c>
      <c r="C4208" s="2" t="inlineStr">
        <is>
          <t>P024</t>
        </is>
      </c>
      <c r="D4208" s="2" t="n">
        <v>2</v>
      </c>
      <c r="E4208" s="19" t="n">
        <v>0</v>
      </c>
    </row>
    <row r="4209">
      <c r="A4209" s="2" t="inlineStr">
        <is>
          <t>IT01665_02</t>
        </is>
      </c>
      <c r="B4209" s="2" t="inlineStr">
        <is>
          <t>PED01665</t>
        </is>
      </c>
      <c r="C4209" s="2" t="inlineStr">
        <is>
          <t>P023</t>
        </is>
      </c>
      <c r="D4209" s="2" t="n">
        <v>2</v>
      </c>
      <c r="E4209" s="19" t="n">
        <v>0.02</v>
      </c>
    </row>
    <row r="4210">
      <c r="A4210" s="2" t="inlineStr">
        <is>
          <t>IT01665_03</t>
        </is>
      </c>
      <c r="B4210" s="2" t="inlineStr">
        <is>
          <t>PED01665</t>
        </is>
      </c>
      <c r="C4210" s="2" t="inlineStr">
        <is>
          <t>P005</t>
        </is>
      </c>
      <c r="D4210" s="2" t="n">
        <v>2</v>
      </c>
      <c r="E4210" s="19" t="n">
        <v>0.02</v>
      </c>
    </row>
    <row r="4211">
      <c r="A4211" s="2" t="inlineStr">
        <is>
          <t>IT01666_01</t>
        </is>
      </c>
      <c r="B4211" s="2" t="inlineStr">
        <is>
          <t>PED01666</t>
        </is>
      </c>
      <c r="C4211" s="2" t="inlineStr">
        <is>
          <t>P012</t>
        </is>
      </c>
      <c r="D4211" s="2" t="n">
        <v>1</v>
      </c>
      <c r="E4211" s="19" t="n">
        <v>0</v>
      </c>
    </row>
    <row r="4212">
      <c r="A4212" s="2" t="inlineStr">
        <is>
          <t>IT01666_02</t>
        </is>
      </c>
      <c r="B4212" s="2" t="inlineStr">
        <is>
          <t>PED01666</t>
        </is>
      </c>
      <c r="C4212" s="2" t="inlineStr">
        <is>
          <t>P033</t>
        </is>
      </c>
      <c r="D4212" s="2" t="n">
        <v>3</v>
      </c>
      <c r="E4212" s="19" t="n">
        <v>0.02</v>
      </c>
    </row>
    <row r="4213">
      <c r="A4213" s="2" t="inlineStr">
        <is>
          <t>IT01667_01</t>
        </is>
      </c>
      <c r="B4213" s="2" t="inlineStr">
        <is>
          <t>PED01667</t>
        </is>
      </c>
      <c r="C4213" s="2" t="inlineStr">
        <is>
          <t>P036</t>
        </is>
      </c>
      <c r="D4213" s="2" t="n">
        <v>1</v>
      </c>
      <c r="E4213" s="19" t="n">
        <v>0</v>
      </c>
    </row>
    <row r="4214">
      <c r="A4214" s="2" t="inlineStr">
        <is>
          <t>IT01667_02</t>
        </is>
      </c>
      <c r="B4214" s="2" t="inlineStr">
        <is>
          <t>PED01667</t>
        </is>
      </c>
      <c r="C4214" s="2" t="inlineStr">
        <is>
          <t>P020</t>
        </is>
      </c>
      <c r="D4214" s="2" t="n">
        <v>2</v>
      </c>
      <c r="E4214" s="19" t="n">
        <v>0</v>
      </c>
    </row>
    <row r="4215">
      <c r="A4215" s="2" t="inlineStr">
        <is>
          <t>IT01668_01</t>
        </is>
      </c>
      <c r="B4215" s="2" t="inlineStr">
        <is>
          <t>PED01668</t>
        </is>
      </c>
      <c r="C4215" s="2" t="inlineStr">
        <is>
          <t>P030</t>
        </is>
      </c>
      <c r="D4215" s="2" t="n">
        <v>1</v>
      </c>
      <c r="E4215" s="19" t="n">
        <v>0</v>
      </c>
    </row>
    <row r="4216">
      <c r="A4216" s="2" t="inlineStr">
        <is>
          <t>IT01668_02</t>
        </is>
      </c>
      <c r="B4216" s="2" t="inlineStr">
        <is>
          <t>PED01668</t>
        </is>
      </c>
      <c r="C4216" s="2" t="inlineStr">
        <is>
          <t>P031</t>
        </is>
      </c>
      <c r="D4216" s="2" t="n">
        <v>1</v>
      </c>
      <c r="E4216" s="19" t="n">
        <v>0.1</v>
      </c>
    </row>
    <row r="4217">
      <c r="A4217" s="2" t="inlineStr">
        <is>
          <t>IT01669_01</t>
        </is>
      </c>
      <c r="B4217" s="2" t="inlineStr">
        <is>
          <t>PED01669</t>
        </is>
      </c>
      <c r="C4217" s="2" t="inlineStr">
        <is>
          <t>P047</t>
        </is>
      </c>
      <c r="D4217" s="2" t="n">
        <v>1</v>
      </c>
      <c r="E4217" s="19" t="n">
        <v>0</v>
      </c>
    </row>
    <row r="4218">
      <c r="A4218" s="2" t="inlineStr">
        <is>
          <t>IT01669_02</t>
        </is>
      </c>
      <c r="B4218" s="2" t="inlineStr">
        <is>
          <t>PED01669</t>
        </is>
      </c>
      <c r="C4218" s="2" t="inlineStr">
        <is>
          <t>P037</t>
        </is>
      </c>
      <c r="D4218" s="2" t="n">
        <v>2</v>
      </c>
      <c r="E4218" s="19" t="n">
        <v>0</v>
      </c>
    </row>
    <row r="4219">
      <c r="A4219" s="2" t="inlineStr">
        <is>
          <t>IT01670_01</t>
        </is>
      </c>
      <c r="B4219" s="2" t="inlineStr">
        <is>
          <t>PED01670</t>
        </is>
      </c>
      <c r="C4219" s="2" t="inlineStr">
        <is>
          <t>P003</t>
        </is>
      </c>
      <c r="D4219" s="2" t="n">
        <v>3</v>
      </c>
      <c r="E4219" s="19" t="n">
        <v>0.1</v>
      </c>
    </row>
    <row r="4220">
      <c r="A4220" s="2" t="inlineStr">
        <is>
          <t>IT01670_02</t>
        </is>
      </c>
      <c r="B4220" s="2" t="inlineStr">
        <is>
          <t>PED01670</t>
        </is>
      </c>
      <c r="C4220" s="2" t="inlineStr">
        <is>
          <t>P045</t>
        </is>
      </c>
      <c r="D4220" s="2" t="n">
        <v>2</v>
      </c>
      <c r="E4220" s="19" t="n">
        <v>0.05</v>
      </c>
    </row>
    <row r="4221">
      <c r="A4221" s="2" t="inlineStr">
        <is>
          <t>IT01670_03</t>
        </is>
      </c>
      <c r="B4221" s="2" t="inlineStr">
        <is>
          <t>PED01670</t>
        </is>
      </c>
      <c r="C4221" s="2" t="inlineStr">
        <is>
          <t>P021</t>
        </is>
      </c>
      <c r="D4221" s="2" t="n">
        <v>4</v>
      </c>
      <c r="E4221" s="19" t="n">
        <v>0.05</v>
      </c>
    </row>
    <row r="4222">
      <c r="A4222" s="2" t="inlineStr">
        <is>
          <t>IT01670_04</t>
        </is>
      </c>
      <c r="B4222" s="2" t="inlineStr">
        <is>
          <t>PED01670</t>
        </is>
      </c>
      <c r="C4222" s="2" t="inlineStr">
        <is>
          <t>P067</t>
        </is>
      </c>
      <c r="D4222" s="2" t="n">
        <v>4</v>
      </c>
      <c r="E4222" s="19" t="n">
        <v>0</v>
      </c>
    </row>
    <row r="4223">
      <c r="A4223" s="2" t="inlineStr">
        <is>
          <t>IT01671_01</t>
        </is>
      </c>
      <c r="B4223" s="2" t="inlineStr">
        <is>
          <t>PED01671</t>
        </is>
      </c>
      <c r="C4223" s="2" t="inlineStr">
        <is>
          <t>P061</t>
        </is>
      </c>
      <c r="D4223" s="2" t="n">
        <v>1</v>
      </c>
      <c r="E4223" s="19" t="n">
        <v>0</v>
      </c>
    </row>
    <row r="4224">
      <c r="A4224" s="2" t="inlineStr">
        <is>
          <t>IT01671_02</t>
        </is>
      </c>
      <c r="B4224" s="2" t="inlineStr">
        <is>
          <t>PED01671</t>
        </is>
      </c>
      <c r="C4224" s="2" t="inlineStr">
        <is>
          <t>P052</t>
        </is>
      </c>
      <c r="D4224" s="2" t="n">
        <v>2</v>
      </c>
      <c r="E4224" s="19" t="n">
        <v>0</v>
      </c>
    </row>
    <row r="4225">
      <c r="A4225" s="2" t="inlineStr">
        <is>
          <t>IT01671_03</t>
        </is>
      </c>
      <c r="B4225" s="2" t="inlineStr">
        <is>
          <t>PED01671</t>
        </is>
      </c>
      <c r="C4225" s="2" t="inlineStr">
        <is>
          <t>P043</t>
        </is>
      </c>
      <c r="D4225" s="2" t="n">
        <v>1</v>
      </c>
      <c r="E4225" s="19" t="n">
        <v>0</v>
      </c>
    </row>
    <row r="4226">
      <c r="A4226" s="2" t="inlineStr">
        <is>
          <t>IT01671_04</t>
        </is>
      </c>
      <c r="B4226" s="2" t="inlineStr">
        <is>
          <t>PED01671</t>
        </is>
      </c>
      <c r="C4226" s="2" t="inlineStr">
        <is>
          <t>P006</t>
        </is>
      </c>
      <c r="D4226" s="2" t="n">
        <v>2</v>
      </c>
      <c r="E4226" s="19" t="n">
        <v>0</v>
      </c>
    </row>
    <row r="4227">
      <c r="A4227" s="2" t="inlineStr">
        <is>
          <t>IT01672_01</t>
        </is>
      </c>
      <c r="B4227" s="2" t="inlineStr">
        <is>
          <t>PED01672</t>
        </is>
      </c>
      <c r="C4227" s="2" t="inlineStr">
        <is>
          <t>P052</t>
        </is>
      </c>
      <c r="D4227" s="2" t="n">
        <v>5</v>
      </c>
      <c r="E4227" s="19" t="n">
        <v>0</v>
      </c>
    </row>
    <row r="4228">
      <c r="A4228" s="2" t="inlineStr">
        <is>
          <t>IT01672_02</t>
        </is>
      </c>
      <c r="B4228" s="2" t="inlineStr">
        <is>
          <t>PED01672</t>
        </is>
      </c>
      <c r="C4228" s="2" t="inlineStr">
        <is>
          <t>P049</t>
        </is>
      </c>
      <c r="D4228" s="2" t="n">
        <v>2</v>
      </c>
      <c r="E4228" s="19" t="n">
        <v>0</v>
      </c>
    </row>
    <row r="4229">
      <c r="A4229" s="2" t="inlineStr">
        <is>
          <t>IT01672_03</t>
        </is>
      </c>
      <c r="B4229" s="2" t="inlineStr">
        <is>
          <t>PED01672</t>
        </is>
      </c>
      <c r="C4229" s="2" t="inlineStr">
        <is>
          <t>P067</t>
        </is>
      </c>
      <c r="D4229" s="2" t="n">
        <v>1</v>
      </c>
      <c r="E4229" s="19" t="n">
        <v>0</v>
      </c>
    </row>
    <row r="4230">
      <c r="A4230" s="2" t="inlineStr">
        <is>
          <t>IT01673_01</t>
        </is>
      </c>
      <c r="B4230" s="2" t="inlineStr">
        <is>
          <t>PED01673</t>
        </is>
      </c>
      <c r="C4230" s="2" t="inlineStr">
        <is>
          <t>P056</t>
        </is>
      </c>
      <c r="D4230" s="2" t="n">
        <v>2</v>
      </c>
      <c r="E4230" s="19" t="n">
        <v>0.05</v>
      </c>
    </row>
    <row r="4231">
      <c r="A4231" s="2" t="inlineStr">
        <is>
          <t>IT01673_02</t>
        </is>
      </c>
      <c r="B4231" s="2" t="inlineStr">
        <is>
          <t>PED01673</t>
        </is>
      </c>
      <c r="C4231" s="2" t="inlineStr">
        <is>
          <t>P007</t>
        </is>
      </c>
      <c r="D4231" s="2" t="n">
        <v>1</v>
      </c>
      <c r="E4231" s="19" t="n">
        <v>0.1</v>
      </c>
    </row>
    <row r="4232">
      <c r="A4232" s="2" t="inlineStr">
        <is>
          <t>IT01673_03</t>
        </is>
      </c>
      <c r="B4232" s="2" t="inlineStr">
        <is>
          <t>PED01673</t>
        </is>
      </c>
      <c r="C4232" s="2" t="inlineStr">
        <is>
          <t>P011</t>
        </is>
      </c>
      <c r="D4232" s="2" t="n">
        <v>1</v>
      </c>
      <c r="E4232" s="19" t="n">
        <v>0</v>
      </c>
    </row>
    <row r="4233">
      <c r="A4233" s="2" t="inlineStr">
        <is>
          <t>IT01673_04</t>
        </is>
      </c>
      <c r="B4233" s="2" t="inlineStr">
        <is>
          <t>PED01673</t>
        </is>
      </c>
      <c r="C4233" s="2" t="inlineStr">
        <is>
          <t>P034</t>
        </is>
      </c>
      <c r="D4233" s="2" t="n">
        <v>3</v>
      </c>
      <c r="E4233" s="19" t="n">
        <v>0.1</v>
      </c>
    </row>
    <row r="4234">
      <c r="A4234" s="2" t="inlineStr">
        <is>
          <t>IT01674_01</t>
        </is>
      </c>
      <c r="B4234" s="2" t="inlineStr">
        <is>
          <t>PED01674</t>
        </is>
      </c>
      <c r="C4234" s="2" t="inlineStr">
        <is>
          <t>P001</t>
        </is>
      </c>
      <c r="D4234" s="2" t="n">
        <v>2</v>
      </c>
      <c r="E4234" s="19" t="n">
        <v>0</v>
      </c>
    </row>
    <row r="4235">
      <c r="A4235" s="2" t="inlineStr">
        <is>
          <t>IT01674_02</t>
        </is>
      </c>
      <c r="B4235" s="2" t="inlineStr">
        <is>
          <t>PED01674</t>
        </is>
      </c>
      <c r="C4235" s="2" t="inlineStr">
        <is>
          <t>P044</t>
        </is>
      </c>
      <c r="D4235" s="2" t="n">
        <v>5</v>
      </c>
      <c r="E4235" s="19" t="n">
        <v>0.02</v>
      </c>
    </row>
    <row r="4236">
      <c r="A4236" s="2" t="inlineStr">
        <is>
          <t>IT01674_03</t>
        </is>
      </c>
      <c r="B4236" s="2" t="inlineStr">
        <is>
          <t>PED01674</t>
        </is>
      </c>
      <c r="C4236" s="2" t="inlineStr">
        <is>
          <t>P010</t>
        </is>
      </c>
      <c r="D4236" s="2" t="n">
        <v>1</v>
      </c>
      <c r="E4236" s="19" t="n">
        <v>0.02</v>
      </c>
    </row>
    <row r="4237">
      <c r="A4237" s="2" t="inlineStr">
        <is>
          <t>IT01675_01</t>
        </is>
      </c>
      <c r="B4237" s="2" t="inlineStr">
        <is>
          <t>PED01675</t>
        </is>
      </c>
      <c r="C4237" s="2" t="inlineStr">
        <is>
          <t>P056</t>
        </is>
      </c>
      <c r="D4237" s="2" t="n">
        <v>1</v>
      </c>
      <c r="E4237" s="19" t="n">
        <v>0.05</v>
      </c>
    </row>
    <row r="4238">
      <c r="A4238" s="2" t="inlineStr">
        <is>
          <t>IT01675_02</t>
        </is>
      </c>
      <c r="B4238" s="2" t="inlineStr">
        <is>
          <t>PED01675</t>
        </is>
      </c>
      <c r="C4238" s="2" t="inlineStr">
        <is>
          <t>P067</t>
        </is>
      </c>
      <c r="D4238" s="2" t="n">
        <v>10</v>
      </c>
      <c r="E4238" s="19" t="n">
        <v>0</v>
      </c>
    </row>
    <row r="4239">
      <c r="A4239" s="2" t="inlineStr">
        <is>
          <t>IT01676_01</t>
        </is>
      </c>
      <c r="B4239" s="2" t="inlineStr">
        <is>
          <t>PED01676</t>
        </is>
      </c>
      <c r="C4239" s="2" t="inlineStr">
        <is>
          <t>P030</t>
        </is>
      </c>
      <c r="D4239" s="2" t="n">
        <v>1</v>
      </c>
      <c r="E4239" s="19" t="n">
        <v>0.05</v>
      </c>
    </row>
    <row r="4240">
      <c r="A4240" s="2" t="inlineStr">
        <is>
          <t>IT01676_02</t>
        </is>
      </c>
      <c r="B4240" s="2" t="inlineStr">
        <is>
          <t>PED01676</t>
        </is>
      </c>
      <c r="C4240" s="2" t="inlineStr">
        <is>
          <t>P063</t>
        </is>
      </c>
      <c r="D4240" s="2" t="n">
        <v>3</v>
      </c>
      <c r="E4240" s="19" t="n">
        <v>0</v>
      </c>
    </row>
    <row r="4241">
      <c r="A4241" s="2" t="inlineStr">
        <is>
          <t>IT01676_03</t>
        </is>
      </c>
      <c r="B4241" s="2" t="inlineStr">
        <is>
          <t>PED01676</t>
        </is>
      </c>
      <c r="C4241" s="2" t="inlineStr">
        <is>
          <t>P044</t>
        </is>
      </c>
      <c r="D4241" s="2" t="n">
        <v>1</v>
      </c>
      <c r="E4241" s="19" t="n">
        <v>0</v>
      </c>
    </row>
    <row r="4242">
      <c r="A4242" s="2" t="inlineStr">
        <is>
          <t>IT01676_04</t>
        </is>
      </c>
      <c r="B4242" s="2" t="inlineStr">
        <is>
          <t>PED01676</t>
        </is>
      </c>
      <c r="C4242" s="2" t="inlineStr">
        <is>
          <t>P040</t>
        </is>
      </c>
      <c r="D4242" s="2" t="n">
        <v>1</v>
      </c>
      <c r="E4242" s="19" t="n">
        <v>0.05</v>
      </c>
    </row>
    <row r="4243">
      <c r="A4243" s="2" t="inlineStr">
        <is>
          <t>IT01677_01</t>
        </is>
      </c>
      <c r="B4243" s="2" t="inlineStr">
        <is>
          <t>PED01677</t>
        </is>
      </c>
      <c r="C4243" s="2" t="inlineStr">
        <is>
          <t>P017</t>
        </is>
      </c>
      <c r="D4243" s="2" t="n">
        <v>1</v>
      </c>
      <c r="E4243" s="19" t="n">
        <v>0.02</v>
      </c>
    </row>
    <row r="4244">
      <c r="A4244" s="2" t="inlineStr">
        <is>
          <t>IT01677_02</t>
        </is>
      </c>
      <c r="B4244" s="2" t="inlineStr">
        <is>
          <t>PED01677</t>
        </is>
      </c>
      <c r="C4244" s="2" t="inlineStr">
        <is>
          <t>P043</t>
        </is>
      </c>
      <c r="D4244" s="2" t="n">
        <v>2</v>
      </c>
      <c r="E4244" s="19" t="n">
        <v>0.02</v>
      </c>
    </row>
    <row r="4245">
      <c r="A4245" s="2" t="inlineStr">
        <is>
          <t>IT01677_03</t>
        </is>
      </c>
      <c r="B4245" s="2" t="inlineStr">
        <is>
          <t>PED01677</t>
        </is>
      </c>
      <c r="C4245" s="2" t="inlineStr">
        <is>
          <t>P008</t>
        </is>
      </c>
      <c r="D4245" s="2" t="n">
        <v>3</v>
      </c>
      <c r="E4245" s="19" t="n">
        <v>0.05</v>
      </c>
    </row>
    <row r="4246">
      <c r="A4246" s="2" t="inlineStr">
        <is>
          <t>IT01677_04</t>
        </is>
      </c>
      <c r="B4246" s="2" t="inlineStr">
        <is>
          <t>PED01677</t>
        </is>
      </c>
      <c r="C4246" s="2" t="inlineStr">
        <is>
          <t>P031</t>
        </is>
      </c>
      <c r="D4246" s="2" t="n">
        <v>1</v>
      </c>
      <c r="E4246" s="19" t="n">
        <v>0.1</v>
      </c>
    </row>
    <row r="4247">
      <c r="A4247" s="2" t="inlineStr">
        <is>
          <t>IT01677_05</t>
        </is>
      </c>
      <c r="B4247" s="2" t="inlineStr">
        <is>
          <t>PED01677</t>
        </is>
      </c>
      <c r="C4247" s="2" t="inlineStr">
        <is>
          <t>P069</t>
        </is>
      </c>
      <c r="D4247" s="2" t="n">
        <v>1</v>
      </c>
      <c r="E4247" s="19" t="n">
        <v>0</v>
      </c>
    </row>
    <row r="4248">
      <c r="A4248" s="2" t="inlineStr">
        <is>
          <t>IT01678_01</t>
        </is>
      </c>
      <c r="B4248" s="2" t="inlineStr">
        <is>
          <t>PED01678</t>
        </is>
      </c>
      <c r="C4248" s="2" t="inlineStr">
        <is>
          <t>P007</t>
        </is>
      </c>
      <c r="D4248" s="2" t="n">
        <v>1</v>
      </c>
      <c r="E4248" s="19" t="n">
        <v>0</v>
      </c>
    </row>
    <row r="4249">
      <c r="A4249" s="2" t="inlineStr">
        <is>
          <t>IT01678_02</t>
        </is>
      </c>
      <c r="B4249" s="2" t="inlineStr">
        <is>
          <t>PED01678</t>
        </is>
      </c>
      <c r="C4249" s="2" t="inlineStr">
        <is>
          <t>P050</t>
        </is>
      </c>
      <c r="D4249" s="2" t="n">
        <v>1</v>
      </c>
      <c r="E4249" s="19" t="n">
        <v>0.05</v>
      </c>
    </row>
    <row r="4250">
      <c r="A4250" s="2" t="inlineStr">
        <is>
          <t>IT01678_03</t>
        </is>
      </c>
      <c r="B4250" s="2" t="inlineStr">
        <is>
          <t>PED01678</t>
        </is>
      </c>
      <c r="C4250" s="2" t="inlineStr">
        <is>
          <t>P026</t>
        </is>
      </c>
      <c r="D4250" s="2" t="n">
        <v>1</v>
      </c>
      <c r="E4250" s="19" t="n">
        <v>0</v>
      </c>
    </row>
    <row r="4251">
      <c r="A4251" s="2" t="inlineStr">
        <is>
          <t>IT01679_01</t>
        </is>
      </c>
      <c r="B4251" s="2" t="inlineStr">
        <is>
          <t>PED01679</t>
        </is>
      </c>
      <c r="C4251" s="2" t="inlineStr">
        <is>
          <t>P001</t>
        </is>
      </c>
      <c r="D4251" s="2" t="n">
        <v>4</v>
      </c>
      <c r="E4251" s="19" t="n">
        <v>0</v>
      </c>
    </row>
    <row r="4252">
      <c r="A4252" s="2" t="inlineStr">
        <is>
          <t>IT01679_02</t>
        </is>
      </c>
      <c r="B4252" s="2" t="inlineStr">
        <is>
          <t>PED01679</t>
        </is>
      </c>
      <c r="C4252" s="2" t="inlineStr">
        <is>
          <t>P038</t>
        </is>
      </c>
      <c r="D4252" s="2" t="n">
        <v>4</v>
      </c>
      <c r="E4252" s="19" t="n">
        <v>0.02</v>
      </c>
    </row>
    <row r="4253">
      <c r="A4253" s="2" t="inlineStr">
        <is>
          <t>IT01679_03</t>
        </is>
      </c>
      <c r="B4253" s="2" t="inlineStr">
        <is>
          <t>PED01679</t>
        </is>
      </c>
      <c r="C4253" s="2" t="inlineStr">
        <is>
          <t>P065</t>
        </is>
      </c>
      <c r="D4253" s="2" t="n">
        <v>2</v>
      </c>
      <c r="E4253" s="19" t="n">
        <v>0</v>
      </c>
    </row>
    <row r="4254">
      <c r="A4254" s="2" t="inlineStr">
        <is>
          <t>IT01680_01</t>
        </is>
      </c>
      <c r="B4254" s="2" t="inlineStr">
        <is>
          <t>PED01680</t>
        </is>
      </c>
      <c r="C4254" s="2" t="inlineStr">
        <is>
          <t>P055</t>
        </is>
      </c>
      <c r="D4254" s="2" t="n">
        <v>1</v>
      </c>
      <c r="E4254" s="19" t="n">
        <v>0</v>
      </c>
    </row>
    <row r="4255">
      <c r="A4255" s="2" t="inlineStr">
        <is>
          <t>IT01681_01</t>
        </is>
      </c>
      <c r="B4255" s="2" t="inlineStr">
        <is>
          <t>PED01681</t>
        </is>
      </c>
      <c r="C4255" s="2" t="inlineStr">
        <is>
          <t>P032</t>
        </is>
      </c>
      <c r="D4255" s="2" t="n">
        <v>2</v>
      </c>
      <c r="E4255" s="19" t="n">
        <v>0.02</v>
      </c>
    </row>
    <row r="4256">
      <c r="A4256" s="2" t="inlineStr">
        <is>
          <t>IT01681_02</t>
        </is>
      </c>
      <c r="B4256" s="2" t="inlineStr">
        <is>
          <t>PED01681</t>
        </is>
      </c>
      <c r="C4256" s="2" t="inlineStr">
        <is>
          <t>P030</t>
        </is>
      </c>
      <c r="D4256" s="2" t="n">
        <v>1</v>
      </c>
      <c r="E4256" s="19" t="n">
        <v>0</v>
      </c>
    </row>
    <row r="4257">
      <c r="A4257" s="2" t="inlineStr">
        <is>
          <t>IT01681_03</t>
        </is>
      </c>
      <c r="B4257" s="2" t="inlineStr">
        <is>
          <t>PED01681</t>
        </is>
      </c>
      <c r="C4257" s="2" t="inlineStr">
        <is>
          <t>P014</t>
        </is>
      </c>
      <c r="D4257" s="2" t="n">
        <v>2</v>
      </c>
      <c r="E4257" s="19" t="n">
        <v>0</v>
      </c>
    </row>
    <row r="4258">
      <c r="A4258" s="2" t="inlineStr">
        <is>
          <t>IT01682_01</t>
        </is>
      </c>
      <c r="B4258" s="2" t="inlineStr">
        <is>
          <t>PED01682</t>
        </is>
      </c>
      <c r="C4258" s="2" t="inlineStr">
        <is>
          <t>P046</t>
        </is>
      </c>
      <c r="D4258" s="2" t="n">
        <v>2</v>
      </c>
      <c r="E4258" s="19" t="n">
        <v>0</v>
      </c>
    </row>
    <row r="4259">
      <c r="A4259" s="2" t="inlineStr">
        <is>
          <t>IT01682_02</t>
        </is>
      </c>
      <c r="B4259" s="2" t="inlineStr">
        <is>
          <t>PED01682</t>
        </is>
      </c>
      <c r="C4259" s="2" t="inlineStr">
        <is>
          <t>P060</t>
        </is>
      </c>
      <c r="D4259" s="2" t="n">
        <v>2</v>
      </c>
      <c r="E4259" s="19" t="n">
        <v>0.05</v>
      </c>
    </row>
    <row r="4260">
      <c r="A4260" s="2" t="inlineStr">
        <is>
          <t>IT01683_01</t>
        </is>
      </c>
      <c r="B4260" s="2" t="inlineStr">
        <is>
          <t>PED01683</t>
        </is>
      </c>
      <c r="C4260" s="2" t="inlineStr">
        <is>
          <t>P063</t>
        </is>
      </c>
      <c r="D4260" s="2" t="n">
        <v>3</v>
      </c>
      <c r="E4260" s="19" t="n">
        <v>0.1</v>
      </c>
    </row>
    <row r="4261">
      <c r="A4261" s="2" t="inlineStr">
        <is>
          <t>IT01683_02</t>
        </is>
      </c>
      <c r="B4261" s="2" t="inlineStr">
        <is>
          <t>PED01683</t>
        </is>
      </c>
      <c r="C4261" s="2" t="inlineStr">
        <is>
          <t>P064</t>
        </is>
      </c>
      <c r="D4261" s="2" t="n">
        <v>4</v>
      </c>
      <c r="E4261" s="19" t="n">
        <v>0</v>
      </c>
    </row>
    <row r="4262">
      <c r="A4262" s="2" t="inlineStr">
        <is>
          <t>IT01683_03</t>
        </is>
      </c>
      <c r="B4262" s="2" t="inlineStr">
        <is>
          <t>PED01683</t>
        </is>
      </c>
      <c r="C4262" s="2" t="inlineStr">
        <is>
          <t>P034</t>
        </is>
      </c>
      <c r="D4262" s="2" t="n">
        <v>2</v>
      </c>
      <c r="E4262" s="19" t="n">
        <v>0.02</v>
      </c>
    </row>
    <row r="4263">
      <c r="A4263" s="2" t="inlineStr">
        <is>
          <t>IT01684_01</t>
        </is>
      </c>
      <c r="B4263" s="2" t="inlineStr">
        <is>
          <t>PED01684</t>
        </is>
      </c>
      <c r="C4263" s="2" t="inlineStr">
        <is>
          <t>P033</t>
        </is>
      </c>
      <c r="D4263" s="2" t="n">
        <v>2</v>
      </c>
      <c r="E4263" s="19" t="n">
        <v>0</v>
      </c>
    </row>
    <row r="4264">
      <c r="A4264" s="2" t="inlineStr">
        <is>
          <t>IT01684_02</t>
        </is>
      </c>
      <c r="B4264" s="2" t="inlineStr">
        <is>
          <t>PED01684</t>
        </is>
      </c>
      <c r="C4264" s="2" t="inlineStr">
        <is>
          <t>P004</t>
        </is>
      </c>
      <c r="D4264" s="2" t="n">
        <v>2</v>
      </c>
      <c r="E4264" s="19" t="n">
        <v>0</v>
      </c>
    </row>
    <row r="4265">
      <c r="A4265" s="2" t="inlineStr">
        <is>
          <t>IT01684_03</t>
        </is>
      </c>
      <c r="B4265" s="2" t="inlineStr">
        <is>
          <t>PED01684</t>
        </is>
      </c>
      <c r="C4265" s="2" t="inlineStr">
        <is>
          <t>P031</t>
        </is>
      </c>
      <c r="D4265" s="2" t="n">
        <v>1</v>
      </c>
      <c r="E4265" s="19" t="n">
        <v>0</v>
      </c>
    </row>
    <row r="4266">
      <c r="A4266" s="2" t="inlineStr">
        <is>
          <t>IT01685_01</t>
        </is>
      </c>
      <c r="B4266" s="2" t="inlineStr">
        <is>
          <t>PED01685</t>
        </is>
      </c>
      <c r="C4266" s="2" t="inlineStr">
        <is>
          <t>P012</t>
        </is>
      </c>
      <c r="D4266" s="2" t="n">
        <v>1</v>
      </c>
      <c r="E4266" s="19" t="n">
        <v>0.02</v>
      </c>
    </row>
    <row r="4267">
      <c r="A4267" s="2" t="inlineStr">
        <is>
          <t>IT01686_01</t>
        </is>
      </c>
      <c r="B4267" s="2" t="inlineStr">
        <is>
          <t>PED01686</t>
        </is>
      </c>
      <c r="C4267" s="2" t="inlineStr">
        <is>
          <t>P006</t>
        </is>
      </c>
      <c r="D4267" s="2" t="n">
        <v>3</v>
      </c>
      <c r="E4267" s="19" t="n">
        <v>0</v>
      </c>
    </row>
    <row r="4268">
      <c r="A4268" s="2" t="inlineStr">
        <is>
          <t>IT01686_02</t>
        </is>
      </c>
      <c r="B4268" s="2" t="inlineStr">
        <is>
          <t>PED01686</t>
        </is>
      </c>
      <c r="C4268" s="2" t="inlineStr">
        <is>
          <t>P036</t>
        </is>
      </c>
      <c r="D4268" s="2" t="n">
        <v>1</v>
      </c>
      <c r="E4268" s="19" t="n">
        <v>0</v>
      </c>
    </row>
    <row r="4269">
      <c r="A4269" s="2" t="inlineStr">
        <is>
          <t>IT01686_03</t>
        </is>
      </c>
      <c r="B4269" s="2" t="inlineStr">
        <is>
          <t>PED01686</t>
        </is>
      </c>
      <c r="C4269" s="2" t="inlineStr">
        <is>
          <t>P005</t>
        </is>
      </c>
      <c r="D4269" s="2" t="n">
        <v>1</v>
      </c>
      <c r="E4269" s="19" t="n">
        <v>0</v>
      </c>
    </row>
    <row r="4270">
      <c r="A4270" s="2" t="inlineStr">
        <is>
          <t>IT01687_01</t>
        </is>
      </c>
      <c r="B4270" s="2" t="inlineStr">
        <is>
          <t>PED01687</t>
        </is>
      </c>
      <c r="C4270" s="2" t="inlineStr">
        <is>
          <t>P047</t>
        </is>
      </c>
      <c r="D4270" s="2" t="n">
        <v>5</v>
      </c>
      <c r="E4270" s="19" t="n">
        <v>0.05</v>
      </c>
    </row>
    <row r="4271">
      <c r="A4271" s="2" t="inlineStr">
        <is>
          <t>IT01687_02</t>
        </is>
      </c>
      <c r="B4271" s="2" t="inlineStr">
        <is>
          <t>PED01687</t>
        </is>
      </c>
      <c r="C4271" s="2" t="inlineStr">
        <is>
          <t>P032</t>
        </is>
      </c>
      <c r="D4271" s="2" t="n">
        <v>4</v>
      </c>
      <c r="E4271" s="19" t="n">
        <v>0</v>
      </c>
    </row>
    <row r="4272">
      <c r="A4272" s="2" t="inlineStr">
        <is>
          <t>IT01687_03</t>
        </is>
      </c>
      <c r="B4272" s="2" t="inlineStr">
        <is>
          <t>PED01687</t>
        </is>
      </c>
      <c r="C4272" s="2" t="inlineStr">
        <is>
          <t>P044</t>
        </is>
      </c>
      <c r="D4272" s="2" t="n">
        <v>1</v>
      </c>
      <c r="E4272" s="19" t="n">
        <v>0.1</v>
      </c>
    </row>
    <row r="4273">
      <c r="A4273" s="2" t="inlineStr">
        <is>
          <t>IT01688_01</t>
        </is>
      </c>
      <c r="B4273" s="2" t="inlineStr">
        <is>
          <t>PED01688</t>
        </is>
      </c>
      <c r="C4273" s="2" t="inlineStr">
        <is>
          <t>P011</t>
        </is>
      </c>
      <c r="D4273" s="2" t="n">
        <v>3</v>
      </c>
      <c r="E4273" s="19" t="n">
        <v>0</v>
      </c>
    </row>
    <row r="4274">
      <c r="A4274" s="2" t="inlineStr">
        <is>
          <t>IT01688_02</t>
        </is>
      </c>
      <c r="B4274" s="2" t="inlineStr">
        <is>
          <t>PED01688</t>
        </is>
      </c>
      <c r="C4274" s="2" t="inlineStr">
        <is>
          <t>P009</t>
        </is>
      </c>
      <c r="D4274" s="2" t="n">
        <v>3</v>
      </c>
      <c r="E4274" s="19" t="n">
        <v>0</v>
      </c>
    </row>
    <row r="4275">
      <c r="A4275" s="2" t="inlineStr">
        <is>
          <t>IT01688_03</t>
        </is>
      </c>
      <c r="B4275" s="2" t="inlineStr">
        <is>
          <t>PED01688</t>
        </is>
      </c>
      <c r="C4275" s="2" t="inlineStr">
        <is>
          <t>P008</t>
        </is>
      </c>
      <c r="D4275" s="2" t="n">
        <v>2</v>
      </c>
      <c r="E4275" s="19" t="n">
        <v>0</v>
      </c>
    </row>
    <row r="4276">
      <c r="A4276" s="2" t="inlineStr">
        <is>
          <t>IT01688_04</t>
        </is>
      </c>
      <c r="B4276" s="2" t="inlineStr">
        <is>
          <t>PED01688</t>
        </is>
      </c>
      <c r="C4276" s="2" t="inlineStr">
        <is>
          <t>P032</t>
        </is>
      </c>
      <c r="D4276" s="2" t="n">
        <v>2</v>
      </c>
      <c r="E4276" s="19" t="n">
        <v>0</v>
      </c>
    </row>
    <row r="4277">
      <c r="A4277" s="2" t="inlineStr">
        <is>
          <t>IT01689_01</t>
        </is>
      </c>
      <c r="B4277" s="2" t="inlineStr">
        <is>
          <t>PED01689</t>
        </is>
      </c>
      <c r="C4277" s="2" t="inlineStr">
        <is>
          <t>P041</t>
        </is>
      </c>
      <c r="D4277" s="2" t="n">
        <v>2</v>
      </c>
      <c r="E4277" s="19" t="n">
        <v>0.02</v>
      </c>
    </row>
    <row r="4278">
      <c r="A4278" s="2" t="inlineStr">
        <is>
          <t>IT01690_01</t>
        </is>
      </c>
      <c r="B4278" s="2" t="inlineStr">
        <is>
          <t>PED01690</t>
        </is>
      </c>
      <c r="C4278" s="2" t="inlineStr">
        <is>
          <t>P012</t>
        </is>
      </c>
      <c r="D4278" s="2" t="n">
        <v>2</v>
      </c>
      <c r="E4278" s="19" t="n">
        <v>0</v>
      </c>
    </row>
    <row r="4279">
      <c r="A4279" s="2" t="inlineStr">
        <is>
          <t>IT01690_02</t>
        </is>
      </c>
      <c r="B4279" s="2" t="inlineStr">
        <is>
          <t>PED01690</t>
        </is>
      </c>
      <c r="C4279" s="2" t="inlineStr">
        <is>
          <t>P066</t>
        </is>
      </c>
      <c r="D4279" s="2" t="n">
        <v>2</v>
      </c>
      <c r="E4279" s="19" t="n">
        <v>0.02</v>
      </c>
    </row>
    <row r="4280">
      <c r="A4280" s="2" t="inlineStr">
        <is>
          <t>IT01691_01</t>
        </is>
      </c>
      <c r="B4280" s="2" t="inlineStr">
        <is>
          <t>PED01691</t>
        </is>
      </c>
      <c r="C4280" s="2" t="inlineStr">
        <is>
          <t>P019</t>
        </is>
      </c>
      <c r="D4280" s="2" t="n">
        <v>3</v>
      </c>
      <c r="E4280" s="19" t="n">
        <v>0.02</v>
      </c>
    </row>
    <row r="4281">
      <c r="A4281" s="2" t="inlineStr">
        <is>
          <t>IT01691_02</t>
        </is>
      </c>
      <c r="B4281" s="2" t="inlineStr">
        <is>
          <t>PED01691</t>
        </is>
      </c>
      <c r="C4281" s="2" t="inlineStr">
        <is>
          <t>P003</t>
        </is>
      </c>
      <c r="D4281" s="2" t="n">
        <v>1</v>
      </c>
      <c r="E4281" s="19" t="n">
        <v>0</v>
      </c>
    </row>
    <row r="4282">
      <c r="A4282" s="2" t="inlineStr">
        <is>
          <t>IT01692_01</t>
        </is>
      </c>
      <c r="B4282" s="2" t="inlineStr">
        <is>
          <t>PED01692</t>
        </is>
      </c>
      <c r="C4282" s="2" t="inlineStr">
        <is>
          <t>P030</t>
        </is>
      </c>
      <c r="D4282" s="2" t="n">
        <v>2</v>
      </c>
      <c r="E4282" s="19" t="n">
        <v>0</v>
      </c>
    </row>
    <row r="4283">
      <c r="A4283" s="2" t="inlineStr">
        <is>
          <t>IT01692_02</t>
        </is>
      </c>
      <c r="B4283" s="2" t="inlineStr">
        <is>
          <t>PED01692</t>
        </is>
      </c>
      <c r="C4283" s="2" t="inlineStr">
        <is>
          <t>P001</t>
        </is>
      </c>
      <c r="D4283" s="2" t="n">
        <v>2</v>
      </c>
      <c r="E4283" s="19" t="n">
        <v>0</v>
      </c>
    </row>
    <row r="4284">
      <c r="A4284" s="2" t="inlineStr">
        <is>
          <t>IT01692_03</t>
        </is>
      </c>
      <c r="B4284" s="2" t="inlineStr">
        <is>
          <t>PED01692</t>
        </is>
      </c>
      <c r="C4284" s="2" t="inlineStr">
        <is>
          <t>P024</t>
        </is>
      </c>
      <c r="D4284" s="2" t="n">
        <v>1</v>
      </c>
      <c r="E4284" s="19" t="n">
        <v>0</v>
      </c>
    </row>
    <row r="4285">
      <c r="A4285" s="2" t="inlineStr">
        <is>
          <t>IT01693_01</t>
        </is>
      </c>
      <c r="B4285" s="2" t="inlineStr">
        <is>
          <t>PED01693</t>
        </is>
      </c>
      <c r="C4285" s="2" t="inlineStr">
        <is>
          <t>P008</t>
        </is>
      </c>
      <c r="D4285" s="2" t="n">
        <v>1</v>
      </c>
      <c r="E4285" s="19" t="n">
        <v>0</v>
      </c>
    </row>
    <row r="4286">
      <c r="A4286" s="2" t="inlineStr">
        <is>
          <t>IT01694_01</t>
        </is>
      </c>
      <c r="B4286" s="2" t="inlineStr">
        <is>
          <t>PED01694</t>
        </is>
      </c>
      <c r="C4286" s="2" t="inlineStr">
        <is>
          <t>P028</t>
        </is>
      </c>
      <c r="D4286" s="2" t="n">
        <v>3</v>
      </c>
      <c r="E4286" s="19" t="n">
        <v>0</v>
      </c>
    </row>
    <row r="4287">
      <c r="A4287" s="2" t="inlineStr">
        <is>
          <t>IT01694_02</t>
        </is>
      </c>
      <c r="B4287" s="2" t="inlineStr">
        <is>
          <t>PED01694</t>
        </is>
      </c>
      <c r="C4287" s="2" t="inlineStr">
        <is>
          <t>P012</t>
        </is>
      </c>
      <c r="D4287" s="2" t="n">
        <v>1</v>
      </c>
      <c r="E4287" s="19" t="n">
        <v>0</v>
      </c>
    </row>
    <row r="4288">
      <c r="A4288" s="2" t="inlineStr">
        <is>
          <t>IT01694_03</t>
        </is>
      </c>
      <c r="B4288" s="2" t="inlineStr">
        <is>
          <t>PED01694</t>
        </is>
      </c>
      <c r="C4288" s="2" t="inlineStr">
        <is>
          <t>P033</t>
        </is>
      </c>
      <c r="D4288" s="2" t="n">
        <v>4</v>
      </c>
      <c r="E4288" s="19" t="n">
        <v>0.05</v>
      </c>
    </row>
    <row r="4289">
      <c r="A4289" s="2" t="inlineStr">
        <is>
          <t>IT01694_04</t>
        </is>
      </c>
      <c r="B4289" s="2" t="inlineStr">
        <is>
          <t>PED01694</t>
        </is>
      </c>
      <c r="C4289" s="2" t="inlineStr">
        <is>
          <t>P059</t>
        </is>
      </c>
      <c r="D4289" s="2" t="n">
        <v>1</v>
      </c>
      <c r="E4289" s="19" t="n">
        <v>0</v>
      </c>
    </row>
    <row r="4290">
      <c r="A4290" s="2" t="inlineStr">
        <is>
          <t>IT01695_01</t>
        </is>
      </c>
      <c r="B4290" s="2" t="inlineStr">
        <is>
          <t>PED01695</t>
        </is>
      </c>
      <c r="C4290" s="2" t="inlineStr">
        <is>
          <t>P029</t>
        </is>
      </c>
      <c r="D4290" s="2" t="n">
        <v>3</v>
      </c>
      <c r="E4290" s="19" t="n">
        <v>0</v>
      </c>
    </row>
    <row r="4291">
      <c r="A4291" s="2" t="inlineStr">
        <is>
          <t>IT01696_01</t>
        </is>
      </c>
      <c r="B4291" s="2" t="inlineStr">
        <is>
          <t>PED01696</t>
        </is>
      </c>
      <c r="C4291" s="2" t="inlineStr">
        <is>
          <t>P053</t>
        </is>
      </c>
      <c r="D4291" s="2" t="n">
        <v>1</v>
      </c>
      <c r="E4291" s="19" t="n">
        <v>0</v>
      </c>
    </row>
    <row r="4292">
      <c r="A4292" s="2" t="inlineStr">
        <is>
          <t>IT01696_02</t>
        </is>
      </c>
      <c r="B4292" s="2" t="inlineStr">
        <is>
          <t>PED01696</t>
        </is>
      </c>
      <c r="C4292" s="2" t="inlineStr">
        <is>
          <t>P040</t>
        </is>
      </c>
      <c r="D4292" s="2" t="n">
        <v>5</v>
      </c>
      <c r="E4292" s="19" t="n">
        <v>0.05</v>
      </c>
    </row>
    <row r="4293">
      <c r="A4293" s="2" t="inlineStr">
        <is>
          <t>IT01696_03</t>
        </is>
      </c>
      <c r="B4293" s="2" t="inlineStr">
        <is>
          <t>PED01696</t>
        </is>
      </c>
      <c r="C4293" s="2" t="inlineStr">
        <is>
          <t>P064</t>
        </is>
      </c>
      <c r="D4293" s="2" t="n">
        <v>1</v>
      </c>
      <c r="E4293" s="19" t="n">
        <v>0.02</v>
      </c>
    </row>
    <row r="4294">
      <c r="A4294" s="2" t="inlineStr">
        <is>
          <t>IT01696_04</t>
        </is>
      </c>
      <c r="B4294" s="2" t="inlineStr">
        <is>
          <t>PED01696</t>
        </is>
      </c>
      <c r="C4294" s="2" t="inlineStr">
        <is>
          <t>P062</t>
        </is>
      </c>
      <c r="D4294" s="2" t="n">
        <v>1</v>
      </c>
      <c r="E4294" s="19" t="n">
        <v>0</v>
      </c>
    </row>
    <row r="4295">
      <c r="A4295" s="2" t="inlineStr">
        <is>
          <t>IT01697_01</t>
        </is>
      </c>
      <c r="B4295" s="2" t="inlineStr">
        <is>
          <t>PED01697</t>
        </is>
      </c>
      <c r="C4295" s="2" t="inlineStr">
        <is>
          <t>P011</t>
        </is>
      </c>
      <c r="D4295" s="2" t="n">
        <v>1</v>
      </c>
      <c r="E4295" s="19" t="n">
        <v>0</v>
      </c>
    </row>
    <row r="4296">
      <c r="A4296" s="2" t="inlineStr">
        <is>
          <t>IT01697_02</t>
        </is>
      </c>
      <c r="B4296" s="2" t="inlineStr">
        <is>
          <t>PED01697</t>
        </is>
      </c>
      <c r="C4296" s="2" t="inlineStr">
        <is>
          <t>P045</t>
        </is>
      </c>
      <c r="D4296" s="2" t="n">
        <v>2</v>
      </c>
      <c r="E4296" s="19" t="n">
        <v>0</v>
      </c>
    </row>
    <row r="4297">
      <c r="A4297" s="2" t="inlineStr">
        <is>
          <t>IT01698_01</t>
        </is>
      </c>
      <c r="B4297" s="2" t="inlineStr">
        <is>
          <t>PED01698</t>
        </is>
      </c>
      <c r="C4297" s="2" t="inlineStr">
        <is>
          <t>P008</t>
        </is>
      </c>
      <c r="D4297" s="2" t="n">
        <v>3</v>
      </c>
      <c r="E4297" s="19" t="n">
        <v>0.02</v>
      </c>
    </row>
    <row r="4298">
      <c r="A4298" s="2" t="inlineStr">
        <is>
          <t>IT01698_02</t>
        </is>
      </c>
      <c r="B4298" s="2" t="inlineStr">
        <is>
          <t>PED01698</t>
        </is>
      </c>
      <c r="C4298" s="2" t="inlineStr">
        <is>
          <t>P067</t>
        </is>
      </c>
      <c r="D4298" s="2" t="n">
        <v>5</v>
      </c>
      <c r="E4298" s="19" t="n">
        <v>0.05</v>
      </c>
    </row>
    <row r="4299">
      <c r="A4299" s="2" t="inlineStr">
        <is>
          <t>IT01698_03</t>
        </is>
      </c>
      <c r="B4299" s="2" t="inlineStr">
        <is>
          <t>PED01698</t>
        </is>
      </c>
      <c r="C4299" s="2" t="inlineStr">
        <is>
          <t>P039</t>
        </is>
      </c>
      <c r="D4299" s="2" t="n">
        <v>5</v>
      </c>
      <c r="E4299" s="19" t="n">
        <v>0</v>
      </c>
    </row>
    <row r="4300">
      <c r="A4300" s="2" t="inlineStr">
        <is>
          <t>IT01699_01</t>
        </is>
      </c>
      <c r="B4300" s="2" t="inlineStr">
        <is>
          <t>PED01699</t>
        </is>
      </c>
      <c r="C4300" s="2" t="inlineStr">
        <is>
          <t>P059</t>
        </is>
      </c>
      <c r="D4300" s="2" t="n">
        <v>1</v>
      </c>
      <c r="E4300" s="19" t="n">
        <v>0</v>
      </c>
    </row>
    <row r="4301">
      <c r="A4301" s="2" t="inlineStr">
        <is>
          <t>IT01700_01</t>
        </is>
      </c>
      <c r="B4301" s="2" t="inlineStr">
        <is>
          <t>PED01700</t>
        </is>
      </c>
      <c r="C4301" s="2" t="inlineStr">
        <is>
          <t>P012</t>
        </is>
      </c>
      <c r="D4301" s="2" t="n">
        <v>3</v>
      </c>
      <c r="E4301" s="19" t="n">
        <v>0.1</v>
      </c>
    </row>
    <row r="4302">
      <c r="A4302" s="2" t="inlineStr">
        <is>
          <t>IT01700_02</t>
        </is>
      </c>
      <c r="B4302" s="2" t="inlineStr">
        <is>
          <t>PED01700</t>
        </is>
      </c>
      <c r="C4302" s="2" t="inlineStr">
        <is>
          <t>P006</t>
        </is>
      </c>
      <c r="D4302" s="2" t="n">
        <v>5</v>
      </c>
      <c r="E4302" s="19" t="n">
        <v>0</v>
      </c>
    </row>
    <row r="4303">
      <c r="A4303" s="2" t="inlineStr">
        <is>
          <t>IT01701_01</t>
        </is>
      </c>
      <c r="B4303" s="2" t="inlineStr">
        <is>
          <t>PED01701</t>
        </is>
      </c>
      <c r="C4303" s="2" t="inlineStr">
        <is>
          <t>P021</t>
        </is>
      </c>
      <c r="D4303" s="2" t="n">
        <v>1</v>
      </c>
      <c r="E4303" s="19" t="n">
        <v>0</v>
      </c>
    </row>
    <row r="4304">
      <c r="A4304" s="2" t="inlineStr">
        <is>
          <t>IT01702_01</t>
        </is>
      </c>
      <c r="B4304" s="2" t="inlineStr">
        <is>
          <t>PED01702</t>
        </is>
      </c>
      <c r="C4304" s="2" t="inlineStr">
        <is>
          <t>P014</t>
        </is>
      </c>
      <c r="D4304" s="2" t="n">
        <v>1</v>
      </c>
      <c r="E4304" s="19" t="n">
        <v>0</v>
      </c>
    </row>
    <row r="4305">
      <c r="A4305" s="2" t="inlineStr">
        <is>
          <t>IT01703_01</t>
        </is>
      </c>
      <c r="B4305" s="2" t="inlineStr">
        <is>
          <t>PED01703</t>
        </is>
      </c>
      <c r="C4305" s="2" t="inlineStr">
        <is>
          <t>P026</t>
        </is>
      </c>
      <c r="D4305" s="2" t="n">
        <v>1</v>
      </c>
      <c r="E4305" s="19" t="n">
        <v>0.05</v>
      </c>
    </row>
    <row r="4306">
      <c r="A4306" s="2" t="inlineStr">
        <is>
          <t>IT01703_02</t>
        </is>
      </c>
      <c r="B4306" s="2" t="inlineStr">
        <is>
          <t>PED01703</t>
        </is>
      </c>
      <c r="C4306" s="2" t="inlineStr">
        <is>
          <t>P032</t>
        </is>
      </c>
      <c r="D4306" s="2" t="n">
        <v>1</v>
      </c>
      <c r="E4306" s="19" t="n">
        <v>0</v>
      </c>
    </row>
    <row r="4307">
      <c r="A4307" s="2" t="inlineStr">
        <is>
          <t>IT01704_01</t>
        </is>
      </c>
      <c r="B4307" s="2" t="inlineStr">
        <is>
          <t>PED01704</t>
        </is>
      </c>
      <c r="C4307" s="2" t="inlineStr">
        <is>
          <t>P058</t>
        </is>
      </c>
      <c r="D4307" s="2" t="n">
        <v>2</v>
      </c>
      <c r="E4307" s="19" t="n">
        <v>0.02</v>
      </c>
    </row>
    <row r="4308">
      <c r="A4308" s="2" t="inlineStr">
        <is>
          <t>IT01704_02</t>
        </is>
      </c>
      <c r="B4308" s="2" t="inlineStr">
        <is>
          <t>PED01704</t>
        </is>
      </c>
      <c r="C4308" s="2" t="inlineStr">
        <is>
          <t>P057</t>
        </is>
      </c>
      <c r="D4308" s="2" t="n">
        <v>1</v>
      </c>
      <c r="E4308" s="19" t="n">
        <v>0</v>
      </c>
    </row>
    <row r="4309">
      <c r="A4309" s="2" t="inlineStr">
        <is>
          <t>IT01705_01</t>
        </is>
      </c>
      <c r="B4309" s="2" t="inlineStr">
        <is>
          <t>PED01705</t>
        </is>
      </c>
      <c r="C4309" s="2" t="inlineStr">
        <is>
          <t>P056</t>
        </is>
      </c>
      <c r="D4309" s="2" t="n">
        <v>1</v>
      </c>
      <c r="E4309" s="19" t="n">
        <v>0.05</v>
      </c>
    </row>
    <row r="4310">
      <c r="A4310" s="2" t="inlineStr">
        <is>
          <t>IT01705_02</t>
        </is>
      </c>
      <c r="B4310" s="2" t="inlineStr">
        <is>
          <t>PED01705</t>
        </is>
      </c>
      <c r="C4310" s="2" t="inlineStr">
        <is>
          <t>P031</t>
        </is>
      </c>
      <c r="D4310" s="2" t="n">
        <v>1</v>
      </c>
      <c r="E4310" s="19" t="n">
        <v>0</v>
      </c>
    </row>
    <row r="4311">
      <c r="A4311" s="2" t="inlineStr">
        <is>
          <t>IT01705_03</t>
        </is>
      </c>
      <c r="B4311" s="2" t="inlineStr">
        <is>
          <t>PED01705</t>
        </is>
      </c>
      <c r="C4311" s="2" t="inlineStr">
        <is>
          <t>P040</t>
        </is>
      </c>
      <c r="D4311" s="2" t="n">
        <v>5</v>
      </c>
      <c r="E4311" s="19" t="n">
        <v>0</v>
      </c>
    </row>
    <row r="4312">
      <c r="A4312" s="2" t="inlineStr">
        <is>
          <t>IT01706_01</t>
        </is>
      </c>
      <c r="B4312" s="2" t="inlineStr">
        <is>
          <t>PED01706</t>
        </is>
      </c>
      <c r="C4312" s="2" t="inlineStr">
        <is>
          <t>P008</t>
        </is>
      </c>
      <c r="D4312" s="2" t="n">
        <v>1</v>
      </c>
      <c r="E4312" s="19" t="n">
        <v>0</v>
      </c>
    </row>
    <row r="4313">
      <c r="A4313" s="2" t="inlineStr">
        <is>
          <t>IT01706_02</t>
        </is>
      </c>
      <c r="B4313" s="2" t="inlineStr">
        <is>
          <t>PED01706</t>
        </is>
      </c>
      <c r="C4313" s="2" t="inlineStr">
        <is>
          <t>P054</t>
        </is>
      </c>
      <c r="D4313" s="2" t="n">
        <v>2</v>
      </c>
      <c r="E4313" s="19" t="n">
        <v>0.02</v>
      </c>
    </row>
    <row r="4314">
      <c r="A4314" s="2" t="inlineStr">
        <is>
          <t>IT01707_01</t>
        </is>
      </c>
      <c r="B4314" s="2" t="inlineStr">
        <is>
          <t>PED01707</t>
        </is>
      </c>
      <c r="C4314" s="2" t="inlineStr">
        <is>
          <t>P049</t>
        </is>
      </c>
      <c r="D4314" s="2" t="n">
        <v>2</v>
      </c>
      <c r="E4314" s="19" t="n">
        <v>0</v>
      </c>
    </row>
    <row r="4315">
      <c r="A4315" s="2" t="inlineStr">
        <is>
          <t>IT01707_02</t>
        </is>
      </c>
      <c r="B4315" s="2" t="inlineStr">
        <is>
          <t>PED01707</t>
        </is>
      </c>
      <c r="C4315" s="2" t="inlineStr">
        <is>
          <t>P012</t>
        </is>
      </c>
      <c r="D4315" s="2" t="n">
        <v>1</v>
      </c>
      <c r="E4315" s="19" t="n">
        <v>0.05</v>
      </c>
    </row>
    <row r="4316">
      <c r="A4316" s="2" t="inlineStr">
        <is>
          <t>IT01707_03</t>
        </is>
      </c>
      <c r="B4316" s="2" t="inlineStr">
        <is>
          <t>PED01707</t>
        </is>
      </c>
      <c r="C4316" s="2" t="inlineStr">
        <is>
          <t>P003</t>
        </is>
      </c>
      <c r="D4316" s="2" t="n">
        <v>1</v>
      </c>
      <c r="E4316" s="19" t="n">
        <v>0</v>
      </c>
    </row>
    <row r="4317">
      <c r="A4317" s="2" t="inlineStr">
        <is>
          <t>IT01707_04</t>
        </is>
      </c>
      <c r="B4317" s="2" t="inlineStr">
        <is>
          <t>PED01707</t>
        </is>
      </c>
      <c r="C4317" s="2" t="inlineStr">
        <is>
          <t>P008</t>
        </is>
      </c>
      <c r="D4317" s="2" t="n">
        <v>1</v>
      </c>
      <c r="E4317" s="19" t="n">
        <v>0</v>
      </c>
    </row>
    <row r="4318">
      <c r="A4318" s="2" t="inlineStr">
        <is>
          <t>IT01707_05</t>
        </is>
      </c>
      <c r="B4318" s="2" t="inlineStr">
        <is>
          <t>PED01707</t>
        </is>
      </c>
      <c r="C4318" s="2" t="inlineStr">
        <is>
          <t>P068</t>
        </is>
      </c>
      <c r="D4318" s="2" t="n">
        <v>1</v>
      </c>
      <c r="E4318" s="19" t="n">
        <v>0.02</v>
      </c>
    </row>
    <row r="4319">
      <c r="A4319" s="2" t="inlineStr">
        <is>
          <t>IT01708_01</t>
        </is>
      </c>
      <c r="B4319" s="2" t="inlineStr">
        <is>
          <t>PED01708</t>
        </is>
      </c>
      <c r="C4319" s="2" t="inlineStr">
        <is>
          <t>P049</t>
        </is>
      </c>
      <c r="D4319" s="2" t="n">
        <v>1</v>
      </c>
      <c r="E4319" s="19" t="n">
        <v>0</v>
      </c>
    </row>
    <row r="4320">
      <c r="A4320" s="2" t="inlineStr">
        <is>
          <t>IT01708_02</t>
        </is>
      </c>
      <c r="B4320" s="2" t="inlineStr">
        <is>
          <t>PED01708</t>
        </is>
      </c>
      <c r="C4320" s="2" t="inlineStr">
        <is>
          <t>P019</t>
        </is>
      </c>
      <c r="D4320" s="2" t="n">
        <v>1</v>
      </c>
      <c r="E4320" s="19" t="n">
        <v>0</v>
      </c>
    </row>
    <row r="4321">
      <c r="A4321" s="2" t="inlineStr">
        <is>
          <t>IT01709_01</t>
        </is>
      </c>
      <c r="B4321" s="2" t="inlineStr">
        <is>
          <t>PED01709</t>
        </is>
      </c>
      <c r="C4321" s="2" t="inlineStr">
        <is>
          <t>P046</t>
        </is>
      </c>
      <c r="D4321" s="2" t="n">
        <v>1</v>
      </c>
      <c r="E4321" s="19" t="n">
        <v>0</v>
      </c>
    </row>
    <row r="4322">
      <c r="A4322" s="2" t="inlineStr">
        <is>
          <t>IT01709_02</t>
        </is>
      </c>
      <c r="B4322" s="2" t="inlineStr">
        <is>
          <t>PED01709</t>
        </is>
      </c>
      <c r="C4322" s="2" t="inlineStr">
        <is>
          <t>P064</t>
        </is>
      </c>
      <c r="D4322" s="2" t="n">
        <v>1</v>
      </c>
      <c r="E4322" s="19" t="n">
        <v>0</v>
      </c>
    </row>
    <row r="4323">
      <c r="A4323" s="2" t="inlineStr">
        <is>
          <t>IT01709_03</t>
        </is>
      </c>
      <c r="B4323" s="2" t="inlineStr">
        <is>
          <t>PED01709</t>
        </is>
      </c>
      <c r="C4323" s="2" t="inlineStr">
        <is>
          <t>P017</t>
        </is>
      </c>
      <c r="D4323" s="2" t="n">
        <v>2</v>
      </c>
      <c r="E4323" s="19" t="n">
        <v>0</v>
      </c>
    </row>
    <row r="4324">
      <c r="A4324" s="2" t="inlineStr">
        <is>
          <t>IT01709_04</t>
        </is>
      </c>
      <c r="B4324" s="2" t="inlineStr">
        <is>
          <t>PED01709</t>
        </is>
      </c>
      <c r="C4324" s="2" t="inlineStr">
        <is>
          <t>P059</t>
        </is>
      </c>
      <c r="D4324" s="2" t="n">
        <v>3</v>
      </c>
      <c r="E4324" s="19" t="n">
        <v>0</v>
      </c>
    </row>
    <row r="4325">
      <c r="A4325" s="2" t="inlineStr">
        <is>
          <t>IT01710_01</t>
        </is>
      </c>
      <c r="B4325" s="2" t="inlineStr">
        <is>
          <t>PED01710</t>
        </is>
      </c>
      <c r="C4325" s="2" t="inlineStr">
        <is>
          <t>P045</t>
        </is>
      </c>
      <c r="D4325" s="2" t="n">
        <v>1</v>
      </c>
      <c r="E4325" s="19" t="n">
        <v>0</v>
      </c>
    </row>
    <row r="4326">
      <c r="A4326" s="2" t="inlineStr">
        <is>
          <t>IT01711_01</t>
        </is>
      </c>
      <c r="B4326" s="2" t="inlineStr">
        <is>
          <t>PED01711</t>
        </is>
      </c>
      <c r="C4326" s="2" t="inlineStr">
        <is>
          <t>P003</t>
        </is>
      </c>
      <c r="D4326" s="2" t="n">
        <v>1</v>
      </c>
      <c r="E4326" s="19" t="n">
        <v>0</v>
      </c>
    </row>
    <row r="4327">
      <c r="A4327" s="2" t="inlineStr">
        <is>
          <t>IT01711_02</t>
        </is>
      </c>
      <c r="B4327" s="2" t="inlineStr">
        <is>
          <t>PED01711</t>
        </is>
      </c>
      <c r="C4327" s="2" t="inlineStr">
        <is>
          <t>P049</t>
        </is>
      </c>
      <c r="D4327" s="2" t="n">
        <v>1</v>
      </c>
      <c r="E4327" s="19" t="n">
        <v>0.05</v>
      </c>
    </row>
    <row r="4328">
      <c r="A4328" s="2" t="inlineStr">
        <is>
          <t>IT01712_01</t>
        </is>
      </c>
      <c r="B4328" s="2" t="inlineStr">
        <is>
          <t>PED01712</t>
        </is>
      </c>
      <c r="C4328" s="2" t="inlineStr">
        <is>
          <t>P058</t>
        </is>
      </c>
      <c r="D4328" s="2" t="n">
        <v>2</v>
      </c>
      <c r="E4328" s="19" t="n">
        <v>0</v>
      </c>
    </row>
    <row r="4329">
      <c r="A4329" s="2" t="inlineStr">
        <is>
          <t>IT01712_02</t>
        </is>
      </c>
      <c r="B4329" s="2" t="inlineStr">
        <is>
          <t>PED01712</t>
        </is>
      </c>
      <c r="C4329" s="2" t="inlineStr">
        <is>
          <t>P052</t>
        </is>
      </c>
      <c r="D4329" s="2" t="n">
        <v>1</v>
      </c>
      <c r="E4329" s="19" t="n">
        <v>0.02</v>
      </c>
    </row>
    <row r="4330">
      <c r="A4330" s="2" t="inlineStr">
        <is>
          <t>IT01713_01</t>
        </is>
      </c>
      <c r="B4330" s="2" t="inlineStr">
        <is>
          <t>PED01713</t>
        </is>
      </c>
      <c r="C4330" s="2" t="inlineStr">
        <is>
          <t>P051</t>
        </is>
      </c>
      <c r="D4330" s="2" t="n">
        <v>1</v>
      </c>
      <c r="E4330" s="19" t="n">
        <v>0</v>
      </c>
    </row>
    <row r="4331">
      <c r="A4331" s="2" t="inlineStr">
        <is>
          <t>IT01713_02</t>
        </is>
      </c>
      <c r="B4331" s="2" t="inlineStr">
        <is>
          <t>PED01713</t>
        </is>
      </c>
      <c r="C4331" s="2" t="inlineStr">
        <is>
          <t>P034</t>
        </is>
      </c>
      <c r="D4331" s="2" t="n">
        <v>1</v>
      </c>
      <c r="E4331" s="19" t="n">
        <v>0</v>
      </c>
    </row>
    <row r="4332">
      <c r="A4332" s="2" t="inlineStr">
        <is>
          <t>IT01714_01</t>
        </is>
      </c>
      <c r="B4332" s="2" t="inlineStr">
        <is>
          <t>PED01714</t>
        </is>
      </c>
      <c r="C4332" s="2" t="inlineStr">
        <is>
          <t>P057</t>
        </is>
      </c>
      <c r="D4332" s="2" t="n">
        <v>2</v>
      </c>
      <c r="E4332" s="19" t="n">
        <v>0.05</v>
      </c>
    </row>
    <row r="4333">
      <c r="A4333" s="2" t="inlineStr">
        <is>
          <t>IT01714_02</t>
        </is>
      </c>
      <c r="B4333" s="2" t="inlineStr">
        <is>
          <t>PED01714</t>
        </is>
      </c>
      <c r="C4333" s="2" t="inlineStr">
        <is>
          <t>P049</t>
        </is>
      </c>
      <c r="D4333" s="2" t="n">
        <v>2</v>
      </c>
      <c r="E4333" s="19" t="n">
        <v>0.05</v>
      </c>
    </row>
    <row r="4334">
      <c r="A4334" s="2" t="inlineStr">
        <is>
          <t>IT01714_03</t>
        </is>
      </c>
      <c r="B4334" s="2" t="inlineStr">
        <is>
          <t>PED01714</t>
        </is>
      </c>
      <c r="C4334" s="2" t="inlineStr">
        <is>
          <t>P045</t>
        </is>
      </c>
      <c r="D4334" s="2" t="n">
        <v>1</v>
      </c>
      <c r="E4334" s="19" t="n">
        <v>0</v>
      </c>
    </row>
    <row r="4335">
      <c r="A4335" s="2" t="inlineStr">
        <is>
          <t>IT01714_04</t>
        </is>
      </c>
      <c r="B4335" s="2" t="inlineStr">
        <is>
          <t>PED01714</t>
        </is>
      </c>
      <c r="C4335" s="2" t="inlineStr">
        <is>
          <t>P055</t>
        </is>
      </c>
      <c r="D4335" s="2" t="n">
        <v>5</v>
      </c>
      <c r="E4335" s="19" t="n">
        <v>0</v>
      </c>
    </row>
    <row r="4336">
      <c r="A4336" s="2" t="inlineStr">
        <is>
          <t>IT01715_01</t>
        </is>
      </c>
      <c r="B4336" s="2" t="inlineStr">
        <is>
          <t>PED01715</t>
        </is>
      </c>
      <c r="C4336" s="2" t="inlineStr">
        <is>
          <t>P049</t>
        </is>
      </c>
      <c r="D4336" s="2" t="n">
        <v>3</v>
      </c>
      <c r="E4336" s="19" t="n">
        <v>0</v>
      </c>
    </row>
    <row r="4337">
      <c r="A4337" s="2" t="inlineStr">
        <is>
          <t>IT01715_02</t>
        </is>
      </c>
      <c r="B4337" s="2" t="inlineStr">
        <is>
          <t>PED01715</t>
        </is>
      </c>
      <c r="C4337" s="2" t="inlineStr">
        <is>
          <t>P002</t>
        </is>
      </c>
      <c r="D4337" s="2" t="n">
        <v>3</v>
      </c>
      <c r="E4337" s="19" t="n">
        <v>0.05</v>
      </c>
    </row>
    <row r="4338">
      <c r="A4338" s="2" t="inlineStr">
        <is>
          <t>IT01715_03</t>
        </is>
      </c>
      <c r="B4338" s="2" t="inlineStr">
        <is>
          <t>PED01715</t>
        </is>
      </c>
      <c r="C4338" s="2" t="inlineStr">
        <is>
          <t>P036</t>
        </is>
      </c>
      <c r="D4338" s="2" t="n">
        <v>1</v>
      </c>
      <c r="E4338" s="19" t="n">
        <v>0</v>
      </c>
    </row>
    <row r="4339">
      <c r="A4339" s="2" t="inlineStr">
        <is>
          <t>IT01715_04</t>
        </is>
      </c>
      <c r="B4339" s="2" t="inlineStr">
        <is>
          <t>PED01715</t>
        </is>
      </c>
      <c r="C4339" s="2" t="inlineStr">
        <is>
          <t>P062</t>
        </is>
      </c>
      <c r="D4339" s="2" t="n">
        <v>1</v>
      </c>
      <c r="E4339" s="19" t="n">
        <v>0</v>
      </c>
    </row>
    <row r="4340">
      <c r="A4340" s="2" t="inlineStr">
        <is>
          <t>IT01716_01</t>
        </is>
      </c>
      <c r="B4340" s="2" t="inlineStr">
        <is>
          <t>PED01716</t>
        </is>
      </c>
      <c r="C4340" s="2" t="inlineStr">
        <is>
          <t>P042</t>
        </is>
      </c>
      <c r="D4340" s="2" t="n">
        <v>2</v>
      </c>
      <c r="E4340" s="19" t="n">
        <v>0.1</v>
      </c>
    </row>
    <row r="4341">
      <c r="A4341" s="2" t="inlineStr">
        <is>
          <t>IT01716_02</t>
        </is>
      </c>
      <c r="B4341" s="2" t="inlineStr">
        <is>
          <t>PED01716</t>
        </is>
      </c>
      <c r="C4341" s="2" t="inlineStr">
        <is>
          <t>P032</t>
        </is>
      </c>
      <c r="D4341" s="2" t="n">
        <v>2</v>
      </c>
      <c r="E4341" s="19" t="n">
        <v>0</v>
      </c>
    </row>
    <row r="4342">
      <c r="A4342" s="2" t="inlineStr">
        <is>
          <t>IT01717_01</t>
        </is>
      </c>
      <c r="B4342" s="2" t="inlineStr">
        <is>
          <t>PED01717</t>
        </is>
      </c>
      <c r="C4342" s="2" t="inlineStr">
        <is>
          <t>P040</t>
        </is>
      </c>
      <c r="D4342" s="2" t="n">
        <v>1</v>
      </c>
      <c r="E4342" s="19" t="n">
        <v>0</v>
      </c>
    </row>
    <row r="4343">
      <c r="A4343" s="2" t="inlineStr">
        <is>
          <t>IT01717_02</t>
        </is>
      </c>
      <c r="B4343" s="2" t="inlineStr">
        <is>
          <t>PED01717</t>
        </is>
      </c>
      <c r="C4343" s="2" t="inlineStr">
        <is>
          <t>P057</t>
        </is>
      </c>
      <c r="D4343" s="2" t="n">
        <v>1</v>
      </c>
      <c r="E4343" s="19" t="n">
        <v>0</v>
      </c>
    </row>
    <row r="4344">
      <c r="A4344" s="2" t="inlineStr">
        <is>
          <t>IT01718_01</t>
        </is>
      </c>
      <c r="B4344" s="2" t="inlineStr">
        <is>
          <t>PED01718</t>
        </is>
      </c>
      <c r="C4344" s="2" t="inlineStr">
        <is>
          <t>P051</t>
        </is>
      </c>
      <c r="D4344" s="2" t="n">
        <v>1</v>
      </c>
      <c r="E4344" s="19" t="n">
        <v>0</v>
      </c>
    </row>
    <row r="4345">
      <c r="A4345" s="2" t="inlineStr">
        <is>
          <t>IT01718_02</t>
        </is>
      </c>
      <c r="B4345" s="2" t="inlineStr">
        <is>
          <t>PED01718</t>
        </is>
      </c>
      <c r="C4345" s="2" t="inlineStr">
        <is>
          <t>P064</t>
        </is>
      </c>
      <c r="D4345" s="2" t="n">
        <v>4</v>
      </c>
      <c r="E4345" s="19" t="n">
        <v>0.02</v>
      </c>
    </row>
    <row r="4346">
      <c r="A4346" s="2" t="inlineStr">
        <is>
          <t>IT01719_01</t>
        </is>
      </c>
      <c r="B4346" s="2" t="inlineStr">
        <is>
          <t>PED01719</t>
        </is>
      </c>
      <c r="C4346" s="2" t="inlineStr">
        <is>
          <t>P022</t>
        </is>
      </c>
      <c r="D4346" s="2" t="n">
        <v>1</v>
      </c>
      <c r="E4346" s="19" t="n">
        <v>0.02</v>
      </c>
    </row>
    <row r="4347">
      <c r="A4347" s="2" t="inlineStr">
        <is>
          <t>IT01720_01</t>
        </is>
      </c>
      <c r="B4347" s="2" t="inlineStr">
        <is>
          <t>PED01720</t>
        </is>
      </c>
      <c r="C4347" s="2" t="inlineStr">
        <is>
          <t>P001</t>
        </is>
      </c>
      <c r="D4347" s="2" t="n">
        <v>1</v>
      </c>
      <c r="E4347" s="19" t="n">
        <v>0</v>
      </c>
    </row>
    <row r="4348">
      <c r="A4348" s="2" t="inlineStr">
        <is>
          <t>IT01720_02</t>
        </is>
      </c>
      <c r="B4348" s="2" t="inlineStr">
        <is>
          <t>PED01720</t>
        </is>
      </c>
      <c r="C4348" s="2" t="inlineStr">
        <is>
          <t>P015</t>
        </is>
      </c>
      <c r="D4348" s="2" t="n">
        <v>1</v>
      </c>
      <c r="E4348" s="19" t="n">
        <v>0</v>
      </c>
    </row>
    <row r="4349">
      <c r="A4349" s="2" t="inlineStr">
        <is>
          <t>IT01720_03</t>
        </is>
      </c>
      <c r="B4349" s="2" t="inlineStr">
        <is>
          <t>PED01720</t>
        </is>
      </c>
      <c r="C4349" s="2" t="inlineStr">
        <is>
          <t>P068</t>
        </is>
      </c>
      <c r="D4349" s="2" t="n">
        <v>2</v>
      </c>
      <c r="E4349" s="19" t="n">
        <v>0</v>
      </c>
    </row>
    <row r="4350">
      <c r="A4350" s="2" t="inlineStr">
        <is>
          <t>IT01721_01</t>
        </is>
      </c>
      <c r="B4350" s="2" t="inlineStr">
        <is>
          <t>PED01721</t>
        </is>
      </c>
      <c r="C4350" s="2" t="inlineStr">
        <is>
          <t>P052</t>
        </is>
      </c>
      <c r="D4350" s="2" t="n">
        <v>1</v>
      </c>
      <c r="E4350" s="19" t="n">
        <v>0.05</v>
      </c>
    </row>
    <row r="4351">
      <c r="A4351" s="2" t="inlineStr">
        <is>
          <t>IT01722_01</t>
        </is>
      </c>
      <c r="B4351" s="2" t="inlineStr">
        <is>
          <t>PED01722</t>
        </is>
      </c>
      <c r="C4351" s="2" t="inlineStr">
        <is>
          <t>P019</t>
        </is>
      </c>
      <c r="D4351" s="2" t="n">
        <v>1</v>
      </c>
      <c r="E4351" s="19" t="n">
        <v>0</v>
      </c>
    </row>
    <row r="4352">
      <c r="A4352" s="2" t="inlineStr">
        <is>
          <t>IT01722_02</t>
        </is>
      </c>
      <c r="B4352" s="2" t="inlineStr">
        <is>
          <t>PED01722</t>
        </is>
      </c>
      <c r="C4352" s="2" t="inlineStr">
        <is>
          <t>P011</t>
        </is>
      </c>
      <c r="D4352" s="2" t="n">
        <v>1</v>
      </c>
      <c r="E4352" s="19" t="n">
        <v>0</v>
      </c>
    </row>
    <row r="4353">
      <c r="A4353" s="2" t="inlineStr">
        <is>
          <t>IT01723_01</t>
        </is>
      </c>
      <c r="B4353" s="2" t="inlineStr">
        <is>
          <t>PED01723</t>
        </is>
      </c>
      <c r="C4353" s="2" t="inlineStr">
        <is>
          <t>P059</t>
        </is>
      </c>
      <c r="D4353" s="2" t="n">
        <v>1</v>
      </c>
      <c r="E4353" s="19" t="n">
        <v>0.02</v>
      </c>
    </row>
    <row r="4354">
      <c r="A4354" s="2" t="inlineStr">
        <is>
          <t>IT01723_02</t>
        </is>
      </c>
      <c r="B4354" s="2" t="inlineStr">
        <is>
          <t>PED01723</t>
        </is>
      </c>
      <c r="C4354" s="2" t="inlineStr">
        <is>
          <t>P036</t>
        </is>
      </c>
      <c r="D4354" s="2" t="n">
        <v>3</v>
      </c>
      <c r="E4354" s="19" t="n">
        <v>0</v>
      </c>
    </row>
    <row r="4355">
      <c r="A4355" s="2" t="inlineStr">
        <is>
          <t>IT01724_01</t>
        </is>
      </c>
      <c r="B4355" s="2" t="inlineStr">
        <is>
          <t>PED01724</t>
        </is>
      </c>
      <c r="C4355" s="2" t="inlineStr">
        <is>
          <t>P016</t>
        </is>
      </c>
      <c r="D4355" s="2" t="n">
        <v>1</v>
      </c>
      <c r="E4355" s="19" t="n">
        <v>0</v>
      </c>
    </row>
    <row r="4356">
      <c r="A4356" s="2" t="inlineStr">
        <is>
          <t>IT01724_02</t>
        </is>
      </c>
      <c r="B4356" s="2" t="inlineStr">
        <is>
          <t>PED01724</t>
        </is>
      </c>
      <c r="C4356" s="2" t="inlineStr">
        <is>
          <t>P064</t>
        </is>
      </c>
      <c r="D4356" s="2" t="n">
        <v>2</v>
      </c>
      <c r="E4356" s="19" t="n">
        <v>0</v>
      </c>
    </row>
    <row r="4357">
      <c r="A4357" s="2" t="inlineStr">
        <is>
          <t>IT01724_03</t>
        </is>
      </c>
      <c r="B4357" s="2" t="inlineStr">
        <is>
          <t>PED01724</t>
        </is>
      </c>
      <c r="C4357" s="2" t="inlineStr">
        <is>
          <t>P055</t>
        </is>
      </c>
      <c r="D4357" s="2" t="n">
        <v>1</v>
      </c>
      <c r="E4357" s="19" t="n">
        <v>0.02</v>
      </c>
    </row>
    <row r="4358">
      <c r="A4358" s="2" t="inlineStr">
        <is>
          <t>IT01725_01</t>
        </is>
      </c>
      <c r="B4358" s="2" t="inlineStr">
        <is>
          <t>PED01725</t>
        </is>
      </c>
      <c r="C4358" s="2" t="inlineStr">
        <is>
          <t>P031</t>
        </is>
      </c>
      <c r="D4358" s="2" t="n">
        <v>2</v>
      </c>
      <c r="E4358" s="19" t="n">
        <v>0</v>
      </c>
    </row>
    <row r="4359">
      <c r="A4359" s="2" t="inlineStr">
        <is>
          <t>IT01725_02</t>
        </is>
      </c>
      <c r="B4359" s="2" t="inlineStr">
        <is>
          <t>PED01725</t>
        </is>
      </c>
      <c r="C4359" s="2" t="inlineStr">
        <is>
          <t>P002</t>
        </is>
      </c>
      <c r="D4359" s="2" t="n">
        <v>3</v>
      </c>
      <c r="E4359" s="19" t="n">
        <v>0.05</v>
      </c>
    </row>
    <row r="4360">
      <c r="A4360" s="2" t="inlineStr">
        <is>
          <t>IT01725_03</t>
        </is>
      </c>
      <c r="B4360" s="2" t="inlineStr">
        <is>
          <t>PED01725</t>
        </is>
      </c>
      <c r="C4360" s="2" t="inlineStr">
        <is>
          <t>P007</t>
        </is>
      </c>
      <c r="D4360" s="2" t="n">
        <v>1</v>
      </c>
      <c r="E4360" s="19" t="n">
        <v>0</v>
      </c>
    </row>
    <row r="4361">
      <c r="A4361" s="2" t="inlineStr">
        <is>
          <t>IT01726_01</t>
        </is>
      </c>
      <c r="B4361" s="2" t="inlineStr">
        <is>
          <t>PED01726</t>
        </is>
      </c>
      <c r="C4361" s="2" t="inlineStr">
        <is>
          <t>P023</t>
        </is>
      </c>
      <c r="D4361" s="2" t="n">
        <v>1</v>
      </c>
      <c r="E4361" s="19" t="n">
        <v>0</v>
      </c>
    </row>
    <row r="4362">
      <c r="A4362" s="2" t="inlineStr">
        <is>
          <t>IT01726_02</t>
        </is>
      </c>
      <c r="B4362" s="2" t="inlineStr">
        <is>
          <t>PED01726</t>
        </is>
      </c>
      <c r="C4362" s="2" t="inlineStr">
        <is>
          <t>P036</t>
        </is>
      </c>
      <c r="D4362" s="2" t="n">
        <v>2</v>
      </c>
      <c r="E4362" s="19" t="n">
        <v>0.02</v>
      </c>
    </row>
    <row r="4363">
      <c r="A4363" s="2" t="inlineStr">
        <is>
          <t>IT01726_03</t>
        </is>
      </c>
      <c r="B4363" s="2" t="inlineStr">
        <is>
          <t>PED01726</t>
        </is>
      </c>
      <c r="C4363" s="2" t="inlineStr">
        <is>
          <t>P019</t>
        </is>
      </c>
      <c r="D4363" s="2" t="n">
        <v>1</v>
      </c>
      <c r="E4363" s="19" t="n">
        <v>0.02</v>
      </c>
    </row>
    <row r="4364">
      <c r="A4364" s="2" t="inlineStr">
        <is>
          <t>IT01727_01</t>
        </is>
      </c>
      <c r="B4364" s="2" t="inlineStr">
        <is>
          <t>PED01727</t>
        </is>
      </c>
      <c r="C4364" s="2" t="inlineStr">
        <is>
          <t>P056</t>
        </is>
      </c>
      <c r="D4364" s="2" t="n">
        <v>3</v>
      </c>
      <c r="E4364" s="19" t="n">
        <v>0.05</v>
      </c>
    </row>
    <row r="4365">
      <c r="A4365" s="2" t="inlineStr">
        <is>
          <t>IT01727_02</t>
        </is>
      </c>
      <c r="B4365" s="2" t="inlineStr">
        <is>
          <t>PED01727</t>
        </is>
      </c>
      <c r="C4365" s="2" t="inlineStr">
        <is>
          <t>P007</t>
        </is>
      </c>
      <c r="D4365" s="2" t="n">
        <v>5</v>
      </c>
      <c r="E4365" s="19" t="n">
        <v>0</v>
      </c>
    </row>
    <row r="4366">
      <c r="A4366" s="2" t="inlineStr">
        <is>
          <t>IT01727_03</t>
        </is>
      </c>
      <c r="B4366" s="2" t="inlineStr">
        <is>
          <t>PED01727</t>
        </is>
      </c>
      <c r="C4366" s="2" t="inlineStr">
        <is>
          <t>P011</t>
        </is>
      </c>
      <c r="D4366" s="2" t="n">
        <v>3</v>
      </c>
      <c r="E4366" s="19" t="n">
        <v>0</v>
      </c>
    </row>
    <row r="4367">
      <c r="A4367" s="2" t="inlineStr">
        <is>
          <t>IT01728_01</t>
        </is>
      </c>
      <c r="B4367" s="2" t="inlineStr">
        <is>
          <t>PED01728</t>
        </is>
      </c>
      <c r="C4367" s="2" t="inlineStr">
        <is>
          <t>P031</t>
        </is>
      </c>
      <c r="D4367" s="2" t="n">
        <v>3</v>
      </c>
      <c r="E4367" s="19" t="n">
        <v>0</v>
      </c>
    </row>
    <row r="4368">
      <c r="A4368" s="2" t="inlineStr">
        <is>
          <t>IT01728_02</t>
        </is>
      </c>
      <c r="B4368" s="2" t="inlineStr">
        <is>
          <t>PED01728</t>
        </is>
      </c>
      <c r="C4368" s="2" t="inlineStr">
        <is>
          <t>P048</t>
        </is>
      </c>
      <c r="D4368" s="2" t="n">
        <v>1</v>
      </c>
      <c r="E4368" s="19" t="n">
        <v>0.02</v>
      </c>
    </row>
    <row r="4369">
      <c r="A4369" s="2" t="inlineStr">
        <is>
          <t>IT01729_01</t>
        </is>
      </c>
      <c r="B4369" s="2" t="inlineStr">
        <is>
          <t>PED01729</t>
        </is>
      </c>
      <c r="C4369" s="2" t="inlineStr">
        <is>
          <t>P020</t>
        </is>
      </c>
      <c r="D4369" s="2" t="n">
        <v>1</v>
      </c>
      <c r="E4369" s="19" t="n">
        <v>0.05</v>
      </c>
    </row>
    <row r="4370">
      <c r="A4370" s="2" t="inlineStr">
        <is>
          <t>IT01729_02</t>
        </is>
      </c>
      <c r="B4370" s="2" t="inlineStr">
        <is>
          <t>PED01729</t>
        </is>
      </c>
      <c r="C4370" s="2" t="inlineStr">
        <is>
          <t>P051</t>
        </is>
      </c>
      <c r="D4370" s="2" t="n">
        <v>2</v>
      </c>
      <c r="E4370" s="19" t="n">
        <v>0</v>
      </c>
    </row>
    <row r="4371">
      <c r="A4371" s="2" t="inlineStr">
        <is>
          <t>IT01730_01</t>
        </is>
      </c>
      <c r="B4371" s="2" t="inlineStr">
        <is>
          <t>PED01730</t>
        </is>
      </c>
      <c r="C4371" s="2" t="inlineStr">
        <is>
          <t>P039</t>
        </is>
      </c>
      <c r="D4371" s="2" t="n">
        <v>2</v>
      </c>
      <c r="E4371" s="19" t="n">
        <v>0</v>
      </c>
    </row>
    <row r="4372">
      <c r="A4372" s="2" t="inlineStr">
        <is>
          <t>IT01731_01</t>
        </is>
      </c>
      <c r="B4372" s="2" t="inlineStr">
        <is>
          <t>PED01731</t>
        </is>
      </c>
      <c r="C4372" s="2" t="inlineStr">
        <is>
          <t>P065</t>
        </is>
      </c>
      <c r="D4372" s="2" t="n">
        <v>1</v>
      </c>
      <c r="E4372" s="19" t="n">
        <v>0</v>
      </c>
    </row>
    <row r="4373">
      <c r="A4373" s="2" t="inlineStr">
        <is>
          <t>IT01732_01</t>
        </is>
      </c>
      <c r="B4373" s="2" t="inlineStr">
        <is>
          <t>PED01732</t>
        </is>
      </c>
      <c r="C4373" s="2" t="inlineStr">
        <is>
          <t>P032</t>
        </is>
      </c>
      <c r="D4373" s="2" t="n">
        <v>2</v>
      </c>
      <c r="E4373" s="19" t="n">
        <v>0.05</v>
      </c>
    </row>
    <row r="4374">
      <c r="A4374" s="2" t="inlineStr">
        <is>
          <t>IT01732_02</t>
        </is>
      </c>
      <c r="B4374" s="2" t="inlineStr">
        <is>
          <t>PED01732</t>
        </is>
      </c>
      <c r="C4374" s="2" t="inlineStr">
        <is>
          <t>P003</t>
        </is>
      </c>
      <c r="D4374" s="2" t="n">
        <v>2</v>
      </c>
      <c r="E4374" s="19" t="n">
        <v>0</v>
      </c>
    </row>
    <row r="4375">
      <c r="A4375" s="2" t="inlineStr">
        <is>
          <t>IT01732_03</t>
        </is>
      </c>
      <c r="B4375" s="2" t="inlineStr">
        <is>
          <t>PED01732</t>
        </is>
      </c>
      <c r="C4375" s="2" t="inlineStr">
        <is>
          <t>P064</t>
        </is>
      </c>
      <c r="D4375" s="2" t="n">
        <v>1</v>
      </c>
      <c r="E4375" s="19" t="n">
        <v>0</v>
      </c>
    </row>
    <row r="4376">
      <c r="A4376" s="2" t="inlineStr">
        <is>
          <t>IT01733_01</t>
        </is>
      </c>
      <c r="B4376" s="2" t="inlineStr">
        <is>
          <t>PED01733</t>
        </is>
      </c>
      <c r="C4376" s="2" t="inlineStr">
        <is>
          <t>P001</t>
        </is>
      </c>
      <c r="D4376" s="2" t="n">
        <v>3</v>
      </c>
      <c r="E4376" s="19" t="n">
        <v>0.05</v>
      </c>
    </row>
    <row r="4377">
      <c r="A4377" s="2" t="inlineStr">
        <is>
          <t>IT01733_02</t>
        </is>
      </c>
      <c r="B4377" s="2" t="inlineStr">
        <is>
          <t>PED01733</t>
        </is>
      </c>
      <c r="C4377" s="2" t="inlineStr">
        <is>
          <t>P058</t>
        </is>
      </c>
      <c r="D4377" s="2" t="n">
        <v>1</v>
      </c>
      <c r="E4377" s="19" t="n">
        <v>0.02</v>
      </c>
    </row>
    <row r="4378">
      <c r="A4378" s="2" t="inlineStr">
        <is>
          <t>IT01733_03</t>
        </is>
      </c>
      <c r="B4378" s="2" t="inlineStr">
        <is>
          <t>PED01733</t>
        </is>
      </c>
      <c r="C4378" s="2" t="inlineStr">
        <is>
          <t>P003</t>
        </is>
      </c>
      <c r="D4378" s="2" t="n">
        <v>2</v>
      </c>
      <c r="E4378" s="19" t="n">
        <v>0</v>
      </c>
    </row>
    <row r="4379">
      <c r="A4379" s="2" t="inlineStr">
        <is>
          <t>IT01734_01</t>
        </is>
      </c>
      <c r="B4379" s="2" t="inlineStr">
        <is>
          <t>PED01734</t>
        </is>
      </c>
      <c r="C4379" s="2" t="inlineStr">
        <is>
          <t>P036</t>
        </is>
      </c>
      <c r="D4379" s="2" t="n">
        <v>3</v>
      </c>
      <c r="E4379" s="19" t="n">
        <v>0</v>
      </c>
    </row>
    <row r="4380">
      <c r="A4380" s="2" t="inlineStr">
        <is>
          <t>IT01734_02</t>
        </is>
      </c>
      <c r="B4380" s="2" t="inlineStr">
        <is>
          <t>PED01734</t>
        </is>
      </c>
      <c r="C4380" s="2" t="inlineStr">
        <is>
          <t>P039</t>
        </is>
      </c>
      <c r="D4380" s="2" t="n">
        <v>1</v>
      </c>
      <c r="E4380" s="19" t="n">
        <v>0</v>
      </c>
    </row>
    <row r="4381">
      <c r="A4381" s="2" t="inlineStr">
        <is>
          <t>IT01734_03</t>
        </is>
      </c>
      <c r="B4381" s="2" t="inlineStr">
        <is>
          <t>PED01734</t>
        </is>
      </c>
      <c r="C4381" s="2" t="inlineStr">
        <is>
          <t>P013</t>
        </is>
      </c>
      <c r="D4381" s="2" t="n">
        <v>1</v>
      </c>
      <c r="E4381" s="19" t="n">
        <v>0.05</v>
      </c>
    </row>
    <row r="4382">
      <c r="A4382" s="2" t="inlineStr">
        <is>
          <t>IT01735_01</t>
        </is>
      </c>
      <c r="B4382" s="2" t="inlineStr">
        <is>
          <t>PED01735</t>
        </is>
      </c>
      <c r="C4382" s="2" t="inlineStr">
        <is>
          <t>P044</t>
        </is>
      </c>
      <c r="D4382" s="2" t="n">
        <v>2</v>
      </c>
      <c r="E4382" s="19" t="n">
        <v>0</v>
      </c>
    </row>
    <row r="4383">
      <c r="A4383" s="2" t="inlineStr">
        <is>
          <t>IT01735_02</t>
        </is>
      </c>
      <c r="B4383" s="2" t="inlineStr">
        <is>
          <t>PED01735</t>
        </is>
      </c>
      <c r="C4383" s="2" t="inlineStr">
        <is>
          <t>P061</t>
        </is>
      </c>
      <c r="D4383" s="2" t="n">
        <v>1</v>
      </c>
      <c r="E4383" s="19" t="n">
        <v>0</v>
      </c>
    </row>
    <row r="4384">
      <c r="A4384" s="2" t="inlineStr">
        <is>
          <t>IT01735_03</t>
        </is>
      </c>
      <c r="B4384" s="2" t="inlineStr">
        <is>
          <t>PED01735</t>
        </is>
      </c>
      <c r="C4384" s="2" t="inlineStr">
        <is>
          <t>P035</t>
        </is>
      </c>
      <c r="D4384" s="2" t="n">
        <v>4</v>
      </c>
      <c r="E4384" s="19" t="n">
        <v>0</v>
      </c>
    </row>
    <row r="4385">
      <c r="A4385" s="2" t="inlineStr">
        <is>
          <t>IT01736_01</t>
        </is>
      </c>
      <c r="B4385" s="2" t="inlineStr">
        <is>
          <t>PED01736</t>
        </is>
      </c>
      <c r="C4385" s="2" t="inlineStr">
        <is>
          <t>P040</t>
        </is>
      </c>
      <c r="D4385" s="2" t="n">
        <v>1</v>
      </c>
      <c r="E4385" s="19" t="n">
        <v>0.02</v>
      </c>
    </row>
    <row r="4386">
      <c r="A4386" s="2" t="inlineStr">
        <is>
          <t>IT01737_01</t>
        </is>
      </c>
      <c r="B4386" s="2" t="inlineStr">
        <is>
          <t>PED01737</t>
        </is>
      </c>
      <c r="C4386" s="2" t="inlineStr">
        <is>
          <t>P019</t>
        </is>
      </c>
      <c r="D4386" s="2" t="n">
        <v>3</v>
      </c>
      <c r="E4386" s="19" t="n">
        <v>0.05</v>
      </c>
    </row>
    <row r="4387">
      <c r="A4387" s="2" t="inlineStr">
        <is>
          <t>IT01738_01</t>
        </is>
      </c>
      <c r="B4387" s="2" t="inlineStr">
        <is>
          <t>PED01738</t>
        </is>
      </c>
      <c r="C4387" s="2" t="inlineStr">
        <is>
          <t>P015</t>
        </is>
      </c>
      <c r="D4387" s="2" t="n">
        <v>1</v>
      </c>
      <c r="E4387" s="19" t="n">
        <v>0</v>
      </c>
    </row>
    <row r="4388">
      <c r="A4388" s="2" t="inlineStr">
        <is>
          <t>IT01738_02</t>
        </is>
      </c>
      <c r="B4388" s="2" t="inlineStr">
        <is>
          <t>PED01738</t>
        </is>
      </c>
      <c r="C4388" s="2" t="inlineStr">
        <is>
          <t>P045</t>
        </is>
      </c>
      <c r="D4388" s="2" t="n">
        <v>2</v>
      </c>
      <c r="E4388" s="19" t="n">
        <v>0.1</v>
      </c>
    </row>
    <row r="4389">
      <c r="A4389" s="2" t="inlineStr">
        <is>
          <t>IT01739_01</t>
        </is>
      </c>
      <c r="B4389" s="2" t="inlineStr">
        <is>
          <t>PED01739</t>
        </is>
      </c>
      <c r="C4389" s="2" t="inlineStr">
        <is>
          <t>P030</t>
        </is>
      </c>
      <c r="D4389" s="2" t="n">
        <v>2</v>
      </c>
      <c r="E4389" s="19" t="n">
        <v>0</v>
      </c>
    </row>
    <row r="4390">
      <c r="A4390" s="2" t="inlineStr">
        <is>
          <t>IT01739_02</t>
        </is>
      </c>
      <c r="B4390" s="2" t="inlineStr">
        <is>
          <t>PED01739</t>
        </is>
      </c>
      <c r="C4390" s="2" t="inlineStr">
        <is>
          <t>P037</t>
        </is>
      </c>
      <c r="D4390" s="2" t="n">
        <v>2</v>
      </c>
      <c r="E4390" s="19" t="n">
        <v>0.05</v>
      </c>
    </row>
    <row r="4391">
      <c r="A4391" s="2" t="inlineStr">
        <is>
          <t>IT01740_01</t>
        </is>
      </c>
      <c r="B4391" s="2" t="inlineStr">
        <is>
          <t>PED01740</t>
        </is>
      </c>
      <c r="C4391" s="2" t="inlineStr">
        <is>
          <t>P044</t>
        </is>
      </c>
      <c r="D4391" s="2" t="n">
        <v>1</v>
      </c>
      <c r="E4391" s="19" t="n">
        <v>0</v>
      </c>
    </row>
    <row r="4392">
      <c r="A4392" s="2" t="inlineStr">
        <is>
          <t>IT01740_02</t>
        </is>
      </c>
      <c r="B4392" s="2" t="inlineStr">
        <is>
          <t>PED01740</t>
        </is>
      </c>
      <c r="C4392" s="2" t="inlineStr">
        <is>
          <t>P052</t>
        </is>
      </c>
      <c r="D4392" s="2" t="n">
        <v>3</v>
      </c>
      <c r="E4392" s="19" t="n">
        <v>0</v>
      </c>
    </row>
    <row r="4393">
      <c r="A4393" s="2" t="inlineStr">
        <is>
          <t>IT01740_03</t>
        </is>
      </c>
      <c r="B4393" s="2" t="inlineStr">
        <is>
          <t>PED01740</t>
        </is>
      </c>
      <c r="C4393" s="2" t="inlineStr">
        <is>
          <t>P033</t>
        </is>
      </c>
      <c r="D4393" s="2" t="n">
        <v>1</v>
      </c>
      <c r="E4393" s="19" t="n">
        <v>0</v>
      </c>
    </row>
    <row r="4394">
      <c r="A4394" s="2" t="inlineStr">
        <is>
          <t>IT01740_04</t>
        </is>
      </c>
      <c r="B4394" s="2" t="inlineStr">
        <is>
          <t>PED01740</t>
        </is>
      </c>
      <c r="C4394" s="2" t="inlineStr">
        <is>
          <t>P014</t>
        </is>
      </c>
      <c r="D4394" s="2" t="n">
        <v>4</v>
      </c>
      <c r="E4394" s="19" t="n">
        <v>0</v>
      </c>
    </row>
    <row r="4395">
      <c r="A4395" s="2" t="inlineStr">
        <is>
          <t>IT01740_05</t>
        </is>
      </c>
      <c r="B4395" s="2" t="inlineStr">
        <is>
          <t>PED01740</t>
        </is>
      </c>
      <c r="C4395" s="2" t="inlineStr">
        <is>
          <t>P029</t>
        </is>
      </c>
      <c r="D4395" s="2" t="n">
        <v>1</v>
      </c>
      <c r="E4395" s="19" t="n">
        <v>0.02</v>
      </c>
    </row>
    <row r="4396">
      <c r="A4396" s="2" t="inlineStr">
        <is>
          <t>IT01741_01</t>
        </is>
      </c>
      <c r="B4396" s="2" t="inlineStr">
        <is>
          <t>PED01741</t>
        </is>
      </c>
      <c r="C4396" s="2" t="inlineStr">
        <is>
          <t>P045</t>
        </is>
      </c>
      <c r="D4396" s="2" t="n">
        <v>2</v>
      </c>
      <c r="E4396" s="19" t="n">
        <v>0</v>
      </c>
    </row>
    <row r="4397">
      <c r="A4397" s="2" t="inlineStr">
        <is>
          <t>IT01742_01</t>
        </is>
      </c>
      <c r="B4397" s="2" t="inlineStr">
        <is>
          <t>PED01742</t>
        </is>
      </c>
      <c r="C4397" s="2" t="inlineStr">
        <is>
          <t>P068</t>
        </is>
      </c>
      <c r="D4397" s="2" t="n">
        <v>1</v>
      </c>
      <c r="E4397" s="19" t="n">
        <v>0</v>
      </c>
    </row>
    <row r="4398">
      <c r="A4398" s="2" t="inlineStr">
        <is>
          <t>IT01742_02</t>
        </is>
      </c>
      <c r="B4398" s="2" t="inlineStr">
        <is>
          <t>PED01742</t>
        </is>
      </c>
      <c r="C4398" s="2" t="inlineStr">
        <is>
          <t>P034</t>
        </is>
      </c>
      <c r="D4398" s="2" t="n">
        <v>3</v>
      </c>
      <c r="E4398" s="19" t="n">
        <v>0.02</v>
      </c>
    </row>
    <row r="4399">
      <c r="A4399" s="2" t="inlineStr">
        <is>
          <t>IT01742_03</t>
        </is>
      </c>
      <c r="B4399" s="2" t="inlineStr">
        <is>
          <t>PED01742</t>
        </is>
      </c>
      <c r="C4399" s="2" t="inlineStr">
        <is>
          <t>P016</t>
        </is>
      </c>
      <c r="D4399" s="2" t="n">
        <v>5</v>
      </c>
      <c r="E4399" s="19" t="n">
        <v>0</v>
      </c>
    </row>
    <row r="4400">
      <c r="A4400" s="2" t="inlineStr">
        <is>
          <t>IT01742_04</t>
        </is>
      </c>
      <c r="B4400" s="2" t="inlineStr">
        <is>
          <t>PED01742</t>
        </is>
      </c>
      <c r="C4400" s="2" t="inlineStr">
        <is>
          <t>P025</t>
        </is>
      </c>
      <c r="D4400" s="2" t="n">
        <v>1</v>
      </c>
      <c r="E4400" s="19" t="n">
        <v>0</v>
      </c>
    </row>
    <row r="4401">
      <c r="A4401" s="2" t="inlineStr">
        <is>
          <t>IT01743_01</t>
        </is>
      </c>
      <c r="B4401" s="2" t="inlineStr">
        <is>
          <t>PED01743</t>
        </is>
      </c>
      <c r="C4401" s="2" t="inlineStr">
        <is>
          <t>P033</t>
        </is>
      </c>
      <c r="D4401" s="2" t="n">
        <v>3</v>
      </c>
      <c r="E4401" s="19" t="n">
        <v>0.05</v>
      </c>
    </row>
    <row r="4402">
      <c r="A4402" s="2" t="inlineStr">
        <is>
          <t>IT01743_02</t>
        </is>
      </c>
      <c r="B4402" s="2" t="inlineStr">
        <is>
          <t>PED01743</t>
        </is>
      </c>
      <c r="C4402" s="2" t="inlineStr">
        <is>
          <t>P064</t>
        </is>
      </c>
      <c r="D4402" s="2" t="n">
        <v>2</v>
      </c>
      <c r="E4402" s="19" t="n">
        <v>0.1</v>
      </c>
    </row>
    <row r="4403">
      <c r="A4403" s="2" t="inlineStr">
        <is>
          <t>IT01743_03</t>
        </is>
      </c>
      <c r="B4403" s="2" t="inlineStr">
        <is>
          <t>PED01743</t>
        </is>
      </c>
      <c r="C4403" s="2" t="inlineStr">
        <is>
          <t>P063</t>
        </is>
      </c>
      <c r="D4403" s="2" t="n">
        <v>1</v>
      </c>
      <c r="E4403" s="19" t="n">
        <v>0</v>
      </c>
    </row>
    <row r="4404">
      <c r="A4404" s="2" t="inlineStr">
        <is>
          <t>IT01744_01</t>
        </is>
      </c>
      <c r="B4404" s="2" t="inlineStr">
        <is>
          <t>PED01744</t>
        </is>
      </c>
      <c r="C4404" s="2" t="inlineStr">
        <is>
          <t>P048</t>
        </is>
      </c>
      <c r="D4404" s="2" t="n">
        <v>1</v>
      </c>
      <c r="E4404" s="19" t="n">
        <v>0</v>
      </c>
    </row>
    <row r="4405">
      <c r="A4405" s="2" t="inlineStr">
        <is>
          <t>IT01744_02</t>
        </is>
      </c>
      <c r="B4405" s="2" t="inlineStr">
        <is>
          <t>PED01744</t>
        </is>
      </c>
      <c r="C4405" s="2" t="inlineStr">
        <is>
          <t>P052</t>
        </is>
      </c>
      <c r="D4405" s="2" t="n">
        <v>1</v>
      </c>
      <c r="E4405" s="19" t="n">
        <v>0</v>
      </c>
    </row>
    <row r="4406">
      <c r="A4406" s="2" t="inlineStr">
        <is>
          <t>IT01744_03</t>
        </is>
      </c>
      <c r="B4406" s="2" t="inlineStr">
        <is>
          <t>PED01744</t>
        </is>
      </c>
      <c r="C4406" s="2" t="inlineStr">
        <is>
          <t>P005</t>
        </is>
      </c>
      <c r="D4406" s="2" t="n">
        <v>2</v>
      </c>
      <c r="E4406" s="19" t="n">
        <v>0</v>
      </c>
    </row>
    <row r="4407">
      <c r="A4407" s="2" t="inlineStr">
        <is>
          <t>IT01744_04</t>
        </is>
      </c>
      <c r="B4407" s="2" t="inlineStr">
        <is>
          <t>PED01744</t>
        </is>
      </c>
      <c r="C4407" s="2" t="inlineStr">
        <is>
          <t>P016</t>
        </is>
      </c>
      <c r="D4407" s="2" t="n">
        <v>1</v>
      </c>
      <c r="E4407" s="19" t="n">
        <v>0.05</v>
      </c>
    </row>
    <row r="4408">
      <c r="A4408" s="2" t="inlineStr">
        <is>
          <t>IT01744_05</t>
        </is>
      </c>
      <c r="B4408" s="2" t="inlineStr">
        <is>
          <t>PED01744</t>
        </is>
      </c>
      <c r="C4408" s="2" t="inlineStr">
        <is>
          <t>P060</t>
        </is>
      </c>
      <c r="D4408" s="2" t="n">
        <v>3</v>
      </c>
      <c r="E4408" s="19" t="n">
        <v>0</v>
      </c>
    </row>
    <row r="4409">
      <c r="A4409" s="2" t="inlineStr">
        <is>
          <t>IT01745_01</t>
        </is>
      </c>
      <c r="B4409" s="2" t="inlineStr">
        <is>
          <t>PED01745</t>
        </is>
      </c>
      <c r="C4409" s="2" t="inlineStr">
        <is>
          <t>P056</t>
        </is>
      </c>
      <c r="D4409" s="2" t="n">
        <v>5</v>
      </c>
      <c r="E4409" s="19" t="n">
        <v>0</v>
      </c>
    </row>
    <row r="4410">
      <c r="A4410" s="2" t="inlineStr">
        <is>
          <t>IT01745_02</t>
        </is>
      </c>
      <c r="B4410" s="2" t="inlineStr">
        <is>
          <t>PED01745</t>
        </is>
      </c>
      <c r="C4410" s="2" t="inlineStr">
        <is>
          <t>P023</t>
        </is>
      </c>
      <c r="D4410" s="2" t="n">
        <v>2</v>
      </c>
      <c r="E4410" s="19" t="n">
        <v>0</v>
      </c>
    </row>
    <row r="4411">
      <c r="A4411" s="2" t="inlineStr">
        <is>
          <t>IT01746_01</t>
        </is>
      </c>
      <c r="B4411" s="2" t="inlineStr">
        <is>
          <t>PED01746</t>
        </is>
      </c>
      <c r="C4411" s="2" t="inlineStr">
        <is>
          <t>P055</t>
        </is>
      </c>
      <c r="D4411" s="2" t="n">
        <v>1</v>
      </c>
      <c r="E4411" s="19" t="n">
        <v>0</v>
      </c>
    </row>
    <row r="4412">
      <c r="A4412" s="2" t="inlineStr">
        <is>
          <t>IT01746_02</t>
        </is>
      </c>
      <c r="B4412" s="2" t="inlineStr">
        <is>
          <t>PED01746</t>
        </is>
      </c>
      <c r="C4412" s="2" t="inlineStr">
        <is>
          <t>P057</t>
        </is>
      </c>
      <c r="D4412" s="2" t="n">
        <v>10</v>
      </c>
      <c r="E4412" s="19" t="n">
        <v>0.02</v>
      </c>
    </row>
    <row r="4413">
      <c r="A4413" s="2" t="inlineStr">
        <is>
          <t>IT01747_01</t>
        </is>
      </c>
      <c r="B4413" s="2" t="inlineStr">
        <is>
          <t>PED01747</t>
        </is>
      </c>
      <c r="C4413" s="2" t="inlineStr">
        <is>
          <t>P006</t>
        </is>
      </c>
      <c r="D4413" s="2" t="n">
        <v>2</v>
      </c>
      <c r="E4413" s="19" t="n">
        <v>0</v>
      </c>
    </row>
    <row r="4414">
      <c r="A4414" s="2" t="inlineStr">
        <is>
          <t>IT01747_02</t>
        </is>
      </c>
      <c r="B4414" s="2" t="inlineStr">
        <is>
          <t>PED01747</t>
        </is>
      </c>
      <c r="C4414" s="2" t="inlineStr">
        <is>
          <t>P063</t>
        </is>
      </c>
      <c r="D4414" s="2" t="n">
        <v>2</v>
      </c>
      <c r="E4414" s="19" t="n">
        <v>0</v>
      </c>
    </row>
    <row r="4415">
      <c r="A4415" s="2" t="inlineStr">
        <is>
          <t>IT01747_03</t>
        </is>
      </c>
      <c r="B4415" s="2" t="inlineStr">
        <is>
          <t>PED01747</t>
        </is>
      </c>
      <c r="C4415" s="2" t="inlineStr">
        <is>
          <t>P008</t>
        </is>
      </c>
      <c r="D4415" s="2" t="n">
        <v>1</v>
      </c>
      <c r="E4415" s="19" t="n">
        <v>0</v>
      </c>
    </row>
    <row r="4416">
      <c r="A4416" s="2" t="inlineStr">
        <is>
          <t>IT01748_01</t>
        </is>
      </c>
      <c r="B4416" s="2" t="inlineStr">
        <is>
          <t>PED01748</t>
        </is>
      </c>
      <c r="C4416" s="2" t="inlineStr">
        <is>
          <t>P040</t>
        </is>
      </c>
      <c r="D4416" s="2" t="n">
        <v>2</v>
      </c>
      <c r="E4416" s="19" t="n">
        <v>0.1</v>
      </c>
    </row>
    <row r="4417">
      <c r="A4417" s="2" t="inlineStr">
        <is>
          <t>IT01748_02</t>
        </is>
      </c>
      <c r="B4417" s="2" t="inlineStr">
        <is>
          <t>PED01748</t>
        </is>
      </c>
      <c r="C4417" s="2" t="inlineStr">
        <is>
          <t>P022</t>
        </is>
      </c>
      <c r="D4417" s="2" t="n">
        <v>1</v>
      </c>
      <c r="E4417" s="19" t="n">
        <v>0</v>
      </c>
    </row>
    <row r="4418">
      <c r="A4418" s="2" t="inlineStr">
        <is>
          <t>IT01748_03</t>
        </is>
      </c>
      <c r="B4418" s="2" t="inlineStr">
        <is>
          <t>PED01748</t>
        </is>
      </c>
      <c r="C4418" s="2" t="inlineStr">
        <is>
          <t>P064</t>
        </is>
      </c>
      <c r="D4418" s="2" t="n">
        <v>2</v>
      </c>
      <c r="E4418" s="19" t="n">
        <v>0</v>
      </c>
    </row>
    <row r="4419">
      <c r="A4419" s="2" t="inlineStr">
        <is>
          <t>IT01749_01</t>
        </is>
      </c>
      <c r="B4419" s="2" t="inlineStr">
        <is>
          <t>PED01749</t>
        </is>
      </c>
      <c r="C4419" s="2" t="inlineStr">
        <is>
          <t>P067</t>
        </is>
      </c>
      <c r="D4419" s="2" t="n">
        <v>3</v>
      </c>
      <c r="E4419" s="19" t="n">
        <v>0.05</v>
      </c>
    </row>
    <row r="4420">
      <c r="A4420" s="2" t="inlineStr">
        <is>
          <t>IT01749_02</t>
        </is>
      </c>
      <c r="B4420" s="2" t="inlineStr">
        <is>
          <t>PED01749</t>
        </is>
      </c>
      <c r="C4420" s="2" t="inlineStr">
        <is>
          <t>P003</t>
        </is>
      </c>
      <c r="D4420" s="2" t="n">
        <v>4</v>
      </c>
      <c r="E4420" s="19" t="n">
        <v>0</v>
      </c>
    </row>
    <row r="4421">
      <c r="A4421" s="2" t="inlineStr">
        <is>
          <t>IT01749_03</t>
        </is>
      </c>
      <c r="B4421" s="2" t="inlineStr">
        <is>
          <t>PED01749</t>
        </is>
      </c>
      <c r="C4421" s="2" t="inlineStr">
        <is>
          <t>P026</t>
        </is>
      </c>
      <c r="D4421" s="2" t="n">
        <v>1</v>
      </c>
      <c r="E4421" s="19" t="n">
        <v>0</v>
      </c>
    </row>
    <row r="4422">
      <c r="A4422" s="2" t="inlineStr">
        <is>
          <t>IT01750_01</t>
        </is>
      </c>
      <c r="B4422" s="2" t="inlineStr">
        <is>
          <t>PED01750</t>
        </is>
      </c>
      <c r="C4422" s="2" t="inlineStr">
        <is>
          <t>P066</t>
        </is>
      </c>
      <c r="D4422" s="2" t="n">
        <v>5</v>
      </c>
      <c r="E4422" s="19" t="n">
        <v>0.02</v>
      </c>
    </row>
    <row r="4423">
      <c r="A4423" s="2" t="inlineStr">
        <is>
          <t>IT01750_02</t>
        </is>
      </c>
      <c r="B4423" s="2" t="inlineStr">
        <is>
          <t>PED01750</t>
        </is>
      </c>
      <c r="C4423" s="2" t="inlineStr">
        <is>
          <t>P023</t>
        </is>
      </c>
      <c r="D4423" s="2" t="n">
        <v>1</v>
      </c>
      <c r="E4423" s="19" t="n">
        <v>0.02</v>
      </c>
    </row>
    <row r="4424">
      <c r="A4424" s="2" t="inlineStr">
        <is>
          <t>IT01750_03</t>
        </is>
      </c>
      <c r="B4424" s="2" t="inlineStr">
        <is>
          <t>PED01750</t>
        </is>
      </c>
      <c r="C4424" s="2" t="inlineStr">
        <is>
          <t>P044</t>
        </is>
      </c>
      <c r="D4424" s="2" t="n">
        <v>3</v>
      </c>
      <c r="E4424" s="19" t="n">
        <v>0.05</v>
      </c>
    </row>
    <row r="4425">
      <c r="A4425" s="2" t="inlineStr">
        <is>
          <t>IT01750_04</t>
        </is>
      </c>
      <c r="B4425" s="2" t="inlineStr">
        <is>
          <t>PED01750</t>
        </is>
      </c>
      <c r="C4425" s="2" t="inlineStr">
        <is>
          <t>P024</t>
        </is>
      </c>
      <c r="D4425" s="2" t="n">
        <v>3</v>
      </c>
      <c r="E4425" s="19" t="n">
        <v>0.02</v>
      </c>
    </row>
    <row r="4426">
      <c r="A4426" s="2" t="inlineStr">
        <is>
          <t>IT01751_01</t>
        </is>
      </c>
      <c r="B4426" s="2" t="inlineStr">
        <is>
          <t>PED01751</t>
        </is>
      </c>
      <c r="C4426" s="2" t="inlineStr">
        <is>
          <t>P017</t>
        </is>
      </c>
      <c r="D4426" s="2" t="n">
        <v>5</v>
      </c>
      <c r="E4426" s="19" t="n">
        <v>0.02</v>
      </c>
    </row>
    <row r="4427">
      <c r="A4427" s="2" t="inlineStr">
        <is>
          <t>IT01752_01</t>
        </is>
      </c>
      <c r="B4427" s="2" t="inlineStr">
        <is>
          <t>PED01752</t>
        </is>
      </c>
      <c r="C4427" s="2" t="inlineStr">
        <is>
          <t>P011</t>
        </is>
      </c>
      <c r="D4427" s="2" t="n">
        <v>2</v>
      </c>
      <c r="E4427" s="19" t="n">
        <v>0.1</v>
      </c>
    </row>
    <row r="4428">
      <c r="A4428" s="2" t="inlineStr">
        <is>
          <t>IT01752_02</t>
        </is>
      </c>
      <c r="B4428" s="2" t="inlineStr">
        <is>
          <t>PED01752</t>
        </is>
      </c>
      <c r="C4428" s="2" t="inlineStr">
        <is>
          <t>P014</t>
        </is>
      </c>
      <c r="D4428" s="2" t="n">
        <v>3</v>
      </c>
      <c r="E4428" s="19" t="n">
        <v>0.05</v>
      </c>
    </row>
    <row r="4429">
      <c r="A4429" s="2" t="inlineStr">
        <is>
          <t>IT01752_03</t>
        </is>
      </c>
      <c r="B4429" s="2" t="inlineStr">
        <is>
          <t>PED01752</t>
        </is>
      </c>
      <c r="C4429" s="2" t="inlineStr">
        <is>
          <t>P063</t>
        </is>
      </c>
      <c r="D4429" s="2" t="n">
        <v>4</v>
      </c>
      <c r="E4429" s="19" t="n">
        <v>0</v>
      </c>
    </row>
    <row r="4430">
      <c r="A4430" s="2" t="inlineStr">
        <is>
          <t>IT01752_04</t>
        </is>
      </c>
      <c r="B4430" s="2" t="inlineStr">
        <is>
          <t>PED01752</t>
        </is>
      </c>
      <c r="C4430" s="2" t="inlineStr">
        <is>
          <t>P070</t>
        </is>
      </c>
      <c r="D4430" s="2" t="n">
        <v>3</v>
      </c>
      <c r="E4430" s="19" t="n">
        <v>0</v>
      </c>
    </row>
    <row r="4431">
      <c r="A4431" s="2" t="inlineStr">
        <is>
          <t>IT01753_01</t>
        </is>
      </c>
      <c r="B4431" s="2" t="inlineStr">
        <is>
          <t>PED01753</t>
        </is>
      </c>
      <c r="C4431" s="2" t="inlineStr">
        <is>
          <t>P041</t>
        </is>
      </c>
      <c r="D4431" s="2" t="n">
        <v>1</v>
      </c>
      <c r="E4431" s="19" t="n">
        <v>0</v>
      </c>
    </row>
    <row r="4432">
      <c r="A4432" s="2" t="inlineStr">
        <is>
          <t>IT01753_02</t>
        </is>
      </c>
      <c r="B4432" s="2" t="inlineStr">
        <is>
          <t>PED01753</t>
        </is>
      </c>
      <c r="C4432" s="2" t="inlineStr">
        <is>
          <t>P036</t>
        </is>
      </c>
      <c r="D4432" s="2" t="n">
        <v>2</v>
      </c>
      <c r="E4432" s="19" t="n">
        <v>0.02</v>
      </c>
    </row>
    <row r="4433">
      <c r="A4433" s="2" t="inlineStr">
        <is>
          <t>IT01754_01</t>
        </is>
      </c>
      <c r="B4433" s="2" t="inlineStr">
        <is>
          <t>PED01754</t>
        </is>
      </c>
      <c r="C4433" s="2" t="inlineStr">
        <is>
          <t>P003</t>
        </is>
      </c>
      <c r="D4433" s="2" t="n">
        <v>1</v>
      </c>
      <c r="E4433" s="19" t="n">
        <v>0</v>
      </c>
    </row>
    <row r="4434">
      <c r="A4434" s="2" t="inlineStr">
        <is>
          <t>IT01754_02</t>
        </is>
      </c>
      <c r="B4434" s="2" t="inlineStr">
        <is>
          <t>PED01754</t>
        </is>
      </c>
      <c r="C4434" s="2" t="inlineStr">
        <is>
          <t>P044</t>
        </is>
      </c>
      <c r="D4434" s="2" t="n">
        <v>3</v>
      </c>
      <c r="E4434" s="19" t="n">
        <v>0</v>
      </c>
    </row>
    <row r="4435">
      <c r="A4435" s="2" t="inlineStr">
        <is>
          <t>IT01755_01</t>
        </is>
      </c>
      <c r="B4435" s="2" t="inlineStr">
        <is>
          <t>PED01755</t>
        </is>
      </c>
      <c r="C4435" s="2" t="inlineStr">
        <is>
          <t>P013</t>
        </is>
      </c>
      <c r="D4435" s="2" t="n">
        <v>3</v>
      </c>
      <c r="E4435" s="19" t="n">
        <v>0</v>
      </c>
    </row>
    <row r="4436">
      <c r="A4436" s="2" t="inlineStr">
        <is>
          <t>IT01755_02</t>
        </is>
      </c>
      <c r="B4436" s="2" t="inlineStr">
        <is>
          <t>PED01755</t>
        </is>
      </c>
      <c r="C4436" s="2" t="inlineStr">
        <is>
          <t>P069</t>
        </is>
      </c>
      <c r="D4436" s="2" t="n">
        <v>2</v>
      </c>
      <c r="E4436" s="19" t="n">
        <v>0</v>
      </c>
    </row>
    <row r="4437">
      <c r="A4437" s="2" t="inlineStr">
        <is>
          <t>IT01756_01</t>
        </is>
      </c>
      <c r="B4437" s="2" t="inlineStr">
        <is>
          <t>PED01756</t>
        </is>
      </c>
      <c r="C4437" s="2" t="inlineStr">
        <is>
          <t>P026</t>
        </is>
      </c>
      <c r="D4437" s="2" t="n">
        <v>1</v>
      </c>
      <c r="E4437" s="19" t="n">
        <v>0.1</v>
      </c>
    </row>
    <row r="4438">
      <c r="A4438" s="2" t="inlineStr">
        <is>
          <t>IT01756_02</t>
        </is>
      </c>
      <c r="B4438" s="2" t="inlineStr">
        <is>
          <t>PED01756</t>
        </is>
      </c>
      <c r="C4438" s="2" t="inlineStr">
        <is>
          <t>P032</t>
        </is>
      </c>
      <c r="D4438" s="2" t="n">
        <v>4</v>
      </c>
      <c r="E4438" s="19" t="n">
        <v>0</v>
      </c>
    </row>
    <row r="4439">
      <c r="A4439" s="2" t="inlineStr">
        <is>
          <t>IT01757_01</t>
        </is>
      </c>
      <c r="B4439" s="2" t="inlineStr">
        <is>
          <t>PED01757</t>
        </is>
      </c>
      <c r="C4439" s="2" t="inlineStr">
        <is>
          <t>P051</t>
        </is>
      </c>
      <c r="D4439" s="2" t="n">
        <v>2</v>
      </c>
      <c r="E4439" s="19" t="n">
        <v>0</v>
      </c>
    </row>
    <row r="4440">
      <c r="A4440" s="2" t="inlineStr">
        <is>
          <t>IT01757_02</t>
        </is>
      </c>
      <c r="B4440" s="2" t="inlineStr">
        <is>
          <t>PED01757</t>
        </is>
      </c>
      <c r="C4440" s="2" t="inlineStr">
        <is>
          <t>P038</t>
        </is>
      </c>
      <c r="D4440" s="2" t="n">
        <v>3</v>
      </c>
      <c r="E4440" s="19" t="n">
        <v>0</v>
      </c>
    </row>
    <row r="4441">
      <c r="A4441" s="2" t="inlineStr">
        <is>
          <t>IT01758_01</t>
        </is>
      </c>
      <c r="B4441" s="2" t="inlineStr">
        <is>
          <t>PED01758</t>
        </is>
      </c>
      <c r="C4441" s="2" t="inlineStr">
        <is>
          <t>P019</t>
        </is>
      </c>
      <c r="D4441" s="2" t="n">
        <v>1</v>
      </c>
      <c r="E4441" s="19" t="n">
        <v>0</v>
      </c>
    </row>
    <row r="4442">
      <c r="A4442" s="2" t="inlineStr">
        <is>
          <t>IT01758_02</t>
        </is>
      </c>
      <c r="B4442" s="2" t="inlineStr">
        <is>
          <t>PED01758</t>
        </is>
      </c>
      <c r="C4442" s="2" t="inlineStr">
        <is>
          <t>P048</t>
        </is>
      </c>
      <c r="D4442" s="2" t="n">
        <v>2</v>
      </c>
      <c r="E4442" s="19" t="n">
        <v>0.05</v>
      </c>
    </row>
    <row r="4443">
      <c r="A4443" s="2" t="inlineStr">
        <is>
          <t>IT01759_01</t>
        </is>
      </c>
      <c r="B4443" s="2" t="inlineStr">
        <is>
          <t>PED01759</t>
        </is>
      </c>
      <c r="C4443" s="2" t="inlineStr">
        <is>
          <t>P067</t>
        </is>
      </c>
      <c r="D4443" s="2" t="n">
        <v>2</v>
      </c>
      <c r="E4443" s="19" t="n">
        <v>0</v>
      </c>
    </row>
    <row r="4444">
      <c r="A4444" s="2" t="inlineStr">
        <is>
          <t>IT01759_02</t>
        </is>
      </c>
      <c r="B4444" s="2" t="inlineStr">
        <is>
          <t>PED01759</t>
        </is>
      </c>
      <c r="C4444" s="2" t="inlineStr">
        <is>
          <t>P051</t>
        </is>
      </c>
      <c r="D4444" s="2" t="n">
        <v>1</v>
      </c>
      <c r="E4444" s="19" t="n">
        <v>0</v>
      </c>
    </row>
    <row r="4445">
      <c r="A4445" s="2" t="inlineStr">
        <is>
          <t>IT01759_03</t>
        </is>
      </c>
      <c r="B4445" s="2" t="inlineStr">
        <is>
          <t>PED01759</t>
        </is>
      </c>
      <c r="C4445" s="2" t="inlineStr">
        <is>
          <t>P007</t>
        </is>
      </c>
      <c r="D4445" s="2" t="n">
        <v>1</v>
      </c>
      <c r="E4445" s="19" t="n">
        <v>0.05</v>
      </c>
    </row>
    <row r="4446">
      <c r="A4446" s="2" t="inlineStr">
        <is>
          <t>IT01760_01</t>
        </is>
      </c>
      <c r="B4446" s="2" t="inlineStr">
        <is>
          <t>PED01760</t>
        </is>
      </c>
      <c r="C4446" s="2" t="inlineStr">
        <is>
          <t>P055</t>
        </is>
      </c>
      <c r="D4446" s="2" t="n">
        <v>1</v>
      </c>
      <c r="E4446" s="19" t="n">
        <v>0</v>
      </c>
    </row>
    <row r="4447">
      <c r="A4447" s="2" t="inlineStr">
        <is>
          <t>IT01760_02</t>
        </is>
      </c>
      <c r="B4447" s="2" t="inlineStr">
        <is>
          <t>PED01760</t>
        </is>
      </c>
      <c r="C4447" s="2" t="inlineStr">
        <is>
          <t>P060</t>
        </is>
      </c>
      <c r="D4447" s="2" t="n">
        <v>1</v>
      </c>
      <c r="E4447" s="19" t="n">
        <v>0</v>
      </c>
    </row>
    <row r="4448">
      <c r="A4448" s="2" t="inlineStr">
        <is>
          <t>IT01761_01</t>
        </is>
      </c>
      <c r="B4448" s="2" t="inlineStr">
        <is>
          <t>PED01761</t>
        </is>
      </c>
      <c r="C4448" s="2" t="inlineStr">
        <is>
          <t>P063</t>
        </is>
      </c>
      <c r="D4448" s="2" t="n">
        <v>1</v>
      </c>
      <c r="E4448" s="19" t="n">
        <v>0</v>
      </c>
    </row>
    <row r="4449">
      <c r="A4449" s="2" t="inlineStr">
        <is>
          <t>IT01761_02</t>
        </is>
      </c>
      <c r="B4449" s="2" t="inlineStr">
        <is>
          <t>PED01761</t>
        </is>
      </c>
      <c r="C4449" s="2" t="inlineStr">
        <is>
          <t>P002</t>
        </is>
      </c>
      <c r="D4449" s="2" t="n">
        <v>2</v>
      </c>
      <c r="E4449" s="19" t="n">
        <v>0</v>
      </c>
    </row>
    <row r="4450">
      <c r="A4450" s="2" t="inlineStr">
        <is>
          <t>IT01761_03</t>
        </is>
      </c>
      <c r="B4450" s="2" t="inlineStr">
        <is>
          <t>PED01761</t>
        </is>
      </c>
      <c r="C4450" s="2" t="inlineStr">
        <is>
          <t>P030</t>
        </is>
      </c>
      <c r="D4450" s="2" t="n">
        <v>5</v>
      </c>
      <c r="E4450" s="19" t="n">
        <v>0</v>
      </c>
    </row>
    <row r="4451">
      <c r="A4451" s="2" t="inlineStr">
        <is>
          <t>IT01762_01</t>
        </is>
      </c>
      <c r="B4451" s="2" t="inlineStr">
        <is>
          <t>PED01762</t>
        </is>
      </c>
      <c r="C4451" s="2" t="inlineStr">
        <is>
          <t>P070</t>
        </is>
      </c>
      <c r="D4451" s="2" t="n">
        <v>1</v>
      </c>
      <c r="E4451" s="19" t="n">
        <v>0</v>
      </c>
    </row>
    <row r="4452">
      <c r="A4452" s="2" t="inlineStr">
        <is>
          <t>IT01763_01</t>
        </is>
      </c>
      <c r="B4452" s="2" t="inlineStr">
        <is>
          <t>PED01763</t>
        </is>
      </c>
      <c r="C4452" s="2" t="inlineStr">
        <is>
          <t>P032</t>
        </is>
      </c>
      <c r="D4452" s="2" t="n">
        <v>2</v>
      </c>
      <c r="E4452" s="19" t="n">
        <v>0</v>
      </c>
    </row>
    <row r="4453">
      <c r="A4453" s="2" t="inlineStr">
        <is>
          <t>IT01764_01</t>
        </is>
      </c>
      <c r="B4453" s="2" t="inlineStr">
        <is>
          <t>PED01764</t>
        </is>
      </c>
      <c r="C4453" s="2" t="inlineStr">
        <is>
          <t>P004</t>
        </is>
      </c>
      <c r="D4453" s="2" t="n">
        <v>2</v>
      </c>
      <c r="E4453" s="19" t="n">
        <v>0.02</v>
      </c>
    </row>
    <row r="4454">
      <c r="A4454" s="2" t="inlineStr">
        <is>
          <t>IT01764_02</t>
        </is>
      </c>
      <c r="B4454" s="2" t="inlineStr">
        <is>
          <t>PED01764</t>
        </is>
      </c>
      <c r="C4454" s="2" t="inlineStr">
        <is>
          <t>P066</t>
        </is>
      </c>
      <c r="D4454" s="2" t="n">
        <v>2</v>
      </c>
      <c r="E4454" s="19" t="n">
        <v>0</v>
      </c>
    </row>
    <row r="4455">
      <c r="A4455" s="2" t="inlineStr">
        <is>
          <t>IT01765_01</t>
        </is>
      </c>
      <c r="B4455" s="2" t="inlineStr">
        <is>
          <t>PED01765</t>
        </is>
      </c>
      <c r="C4455" s="2" t="inlineStr">
        <is>
          <t>P039</t>
        </is>
      </c>
      <c r="D4455" s="2" t="n">
        <v>2</v>
      </c>
      <c r="E4455" s="19" t="n">
        <v>0</v>
      </c>
    </row>
    <row r="4456">
      <c r="A4456" s="2" t="inlineStr">
        <is>
          <t>IT01765_02</t>
        </is>
      </c>
      <c r="B4456" s="2" t="inlineStr">
        <is>
          <t>PED01765</t>
        </is>
      </c>
      <c r="C4456" s="2" t="inlineStr">
        <is>
          <t>P025</t>
        </is>
      </c>
      <c r="D4456" s="2" t="n">
        <v>1</v>
      </c>
      <c r="E4456" s="19" t="n">
        <v>0</v>
      </c>
    </row>
    <row r="4457">
      <c r="A4457" s="2" t="inlineStr">
        <is>
          <t>IT01766_01</t>
        </is>
      </c>
      <c r="B4457" s="2" t="inlineStr">
        <is>
          <t>PED01766</t>
        </is>
      </c>
      <c r="C4457" s="2" t="inlineStr">
        <is>
          <t>P028</t>
        </is>
      </c>
      <c r="D4457" s="2" t="n">
        <v>1</v>
      </c>
      <c r="E4457" s="19" t="n">
        <v>0.05</v>
      </c>
    </row>
    <row r="4458">
      <c r="A4458" s="2" t="inlineStr">
        <is>
          <t>IT01766_02</t>
        </is>
      </c>
      <c r="B4458" s="2" t="inlineStr">
        <is>
          <t>PED01766</t>
        </is>
      </c>
      <c r="C4458" s="2" t="inlineStr">
        <is>
          <t>P045</t>
        </is>
      </c>
      <c r="D4458" s="2" t="n">
        <v>3</v>
      </c>
      <c r="E4458" s="19" t="n">
        <v>0</v>
      </c>
    </row>
    <row r="4459">
      <c r="A4459" s="2" t="inlineStr">
        <is>
          <t>IT01767_01</t>
        </is>
      </c>
      <c r="B4459" s="2" t="inlineStr">
        <is>
          <t>PED01767</t>
        </is>
      </c>
      <c r="C4459" s="2" t="inlineStr">
        <is>
          <t>P062</t>
        </is>
      </c>
      <c r="D4459" s="2" t="n">
        <v>1</v>
      </c>
      <c r="E4459" s="19" t="n">
        <v>0.05</v>
      </c>
    </row>
    <row r="4460">
      <c r="A4460" s="2" t="inlineStr">
        <is>
          <t>IT01767_02</t>
        </is>
      </c>
      <c r="B4460" s="2" t="inlineStr">
        <is>
          <t>PED01767</t>
        </is>
      </c>
      <c r="C4460" s="2" t="inlineStr">
        <is>
          <t>P002</t>
        </is>
      </c>
      <c r="D4460" s="2" t="n">
        <v>1</v>
      </c>
      <c r="E4460" s="19" t="n">
        <v>0</v>
      </c>
    </row>
    <row r="4461">
      <c r="A4461" s="2" t="inlineStr">
        <is>
          <t>IT01767_03</t>
        </is>
      </c>
      <c r="B4461" s="2" t="inlineStr">
        <is>
          <t>PED01767</t>
        </is>
      </c>
      <c r="C4461" s="2" t="inlineStr">
        <is>
          <t>P029</t>
        </is>
      </c>
      <c r="D4461" s="2" t="n">
        <v>1</v>
      </c>
      <c r="E4461" s="19" t="n">
        <v>0</v>
      </c>
    </row>
    <row r="4462">
      <c r="A4462" s="2" t="inlineStr">
        <is>
          <t>IT01767_04</t>
        </is>
      </c>
      <c r="B4462" s="2" t="inlineStr">
        <is>
          <t>PED01767</t>
        </is>
      </c>
      <c r="C4462" s="2" t="inlineStr">
        <is>
          <t>P044</t>
        </is>
      </c>
      <c r="D4462" s="2" t="n">
        <v>1</v>
      </c>
      <c r="E4462" s="19" t="n">
        <v>0</v>
      </c>
    </row>
    <row r="4463">
      <c r="A4463" s="2" t="inlineStr">
        <is>
          <t>IT01767_05</t>
        </is>
      </c>
      <c r="B4463" s="2" t="inlineStr">
        <is>
          <t>PED01767</t>
        </is>
      </c>
      <c r="C4463" s="2" t="inlineStr">
        <is>
          <t>P059</t>
        </is>
      </c>
      <c r="D4463" s="2" t="n">
        <v>1</v>
      </c>
      <c r="E4463" s="19" t="n">
        <v>0</v>
      </c>
    </row>
    <row r="4464">
      <c r="A4464" s="2" t="inlineStr">
        <is>
          <t>IT01768_01</t>
        </is>
      </c>
      <c r="B4464" s="2" t="inlineStr">
        <is>
          <t>PED01768</t>
        </is>
      </c>
      <c r="C4464" s="2" t="inlineStr">
        <is>
          <t>P051</t>
        </is>
      </c>
      <c r="D4464" s="2" t="n">
        <v>1</v>
      </c>
      <c r="E4464" s="19" t="n">
        <v>0.05</v>
      </c>
    </row>
    <row r="4465">
      <c r="A4465" s="2" t="inlineStr">
        <is>
          <t>IT01769_01</t>
        </is>
      </c>
      <c r="B4465" s="2" t="inlineStr">
        <is>
          <t>PED01769</t>
        </is>
      </c>
      <c r="C4465" s="2" t="inlineStr">
        <is>
          <t>P059</t>
        </is>
      </c>
      <c r="D4465" s="2" t="n">
        <v>3</v>
      </c>
      <c r="E4465" s="19" t="n">
        <v>0</v>
      </c>
    </row>
    <row r="4466">
      <c r="A4466" s="2" t="inlineStr">
        <is>
          <t>IT01770_01</t>
        </is>
      </c>
      <c r="B4466" s="2" t="inlineStr">
        <is>
          <t>PED01770</t>
        </is>
      </c>
      <c r="C4466" s="2" t="inlineStr">
        <is>
          <t>P059</t>
        </is>
      </c>
      <c r="D4466" s="2" t="n">
        <v>3</v>
      </c>
      <c r="E4466" s="19" t="n">
        <v>0</v>
      </c>
    </row>
    <row r="4467">
      <c r="A4467" s="2" t="inlineStr">
        <is>
          <t>IT01770_02</t>
        </is>
      </c>
      <c r="B4467" s="2" t="inlineStr">
        <is>
          <t>PED01770</t>
        </is>
      </c>
      <c r="C4467" s="2" t="inlineStr">
        <is>
          <t>P030</t>
        </is>
      </c>
      <c r="D4467" s="2" t="n">
        <v>2</v>
      </c>
      <c r="E4467" s="19" t="n">
        <v>0</v>
      </c>
    </row>
    <row r="4468">
      <c r="A4468" s="2" t="inlineStr">
        <is>
          <t>IT01771_01</t>
        </is>
      </c>
      <c r="B4468" s="2" t="inlineStr">
        <is>
          <t>PED01771</t>
        </is>
      </c>
      <c r="C4468" s="2" t="inlineStr">
        <is>
          <t>P058</t>
        </is>
      </c>
      <c r="D4468" s="2" t="n">
        <v>4</v>
      </c>
      <c r="E4468" s="19" t="n">
        <v>0</v>
      </c>
    </row>
    <row r="4469">
      <c r="A4469" s="2" t="inlineStr">
        <is>
          <t>IT01771_02</t>
        </is>
      </c>
      <c r="B4469" s="2" t="inlineStr">
        <is>
          <t>PED01771</t>
        </is>
      </c>
      <c r="C4469" s="2" t="inlineStr">
        <is>
          <t>P043</t>
        </is>
      </c>
      <c r="D4469" s="2" t="n">
        <v>4</v>
      </c>
      <c r="E4469" s="19" t="n">
        <v>0</v>
      </c>
    </row>
    <row r="4470">
      <c r="A4470" s="2" t="inlineStr">
        <is>
          <t>IT01771_03</t>
        </is>
      </c>
      <c r="B4470" s="2" t="inlineStr">
        <is>
          <t>PED01771</t>
        </is>
      </c>
      <c r="C4470" s="2" t="inlineStr">
        <is>
          <t>P064</t>
        </is>
      </c>
      <c r="D4470" s="2" t="n">
        <v>1</v>
      </c>
      <c r="E4470" s="19" t="n">
        <v>0</v>
      </c>
    </row>
    <row r="4471">
      <c r="A4471" s="2" t="inlineStr">
        <is>
          <t>IT01772_01</t>
        </is>
      </c>
      <c r="B4471" s="2" t="inlineStr">
        <is>
          <t>PED01772</t>
        </is>
      </c>
      <c r="C4471" s="2" t="inlineStr">
        <is>
          <t>P015</t>
        </is>
      </c>
      <c r="D4471" s="2" t="n">
        <v>2</v>
      </c>
      <c r="E4471" s="19" t="n">
        <v>0.1</v>
      </c>
    </row>
    <row r="4472">
      <c r="A4472" s="2" t="inlineStr">
        <is>
          <t>IT01773_01</t>
        </is>
      </c>
      <c r="B4472" s="2" t="inlineStr">
        <is>
          <t>PED01773</t>
        </is>
      </c>
      <c r="C4472" s="2" t="inlineStr">
        <is>
          <t>P047</t>
        </is>
      </c>
      <c r="D4472" s="2" t="n">
        <v>1</v>
      </c>
      <c r="E4472" s="19" t="n">
        <v>0</v>
      </c>
    </row>
    <row r="4473">
      <c r="A4473" s="2" t="inlineStr">
        <is>
          <t>IT01773_02</t>
        </is>
      </c>
      <c r="B4473" s="2" t="inlineStr">
        <is>
          <t>PED01773</t>
        </is>
      </c>
      <c r="C4473" s="2" t="inlineStr">
        <is>
          <t>P039</t>
        </is>
      </c>
      <c r="D4473" s="2" t="n">
        <v>1</v>
      </c>
      <c r="E4473" s="19" t="n">
        <v>0</v>
      </c>
    </row>
    <row r="4474">
      <c r="A4474" s="2" t="inlineStr">
        <is>
          <t>IT01773_03</t>
        </is>
      </c>
      <c r="B4474" s="2" t="inlineStr">
        <is>
          <t>PED01773</t>
        </is>
      </c>
      <c r="C4474" s="2" t="inlineStr">
        <is>
          <t>P062</t>
        </is>
      </c>
      <c r="D4474" s="2" t="n">
        <v>10</v>
      </c>
      <c r="E4474" s="19" t="n">
        <v>0</v>
      </c>
    </row>
    <row r="4475">
      <c r="A4475" s="2" t="inlineStr">
        <is>
          <t>IT01774_01</t>
        </is>
      </c>
      <c r="B4475" s="2" t="inlineStr">
        <is>
          <t>PED01774</t>
        </is>
      </c>
      <c r="C4475" s="2" t="inlineStr">
        <is>
          <t>P066</t>
        </is>
      </c>
      <c r="D4475" s="2" t="n">
        <v>1</v>
      </c>
      <c r="E4475" s="19" t="n">
        <v>0</v>
      </c>
    </row>
    <row r="4476">
      <c r="A4476" s="2" t="inlineStr">
        <is>
          <t>IT01774_02</t>
        </is>
      </c>
      <c r="B4476" s="2" t="inlineStr">
        <is>
          <t>PED01774</t>
        </is>
      </c>
      <c r="C4476" s="2" t="inlineStr">
        <is>
          <t>P059</t>
        </is>
      </c>
      <c r="D4476" s="2" t="n">
        <v>2</v>
      </c>
      <c r="E4476" s="19" t="n">
        <v>0</v>
      </c>
    </row>
    <row r="4477">
      <c r="A4477" s="2" t="inlineStr">
        <is>
          <t>IT01775_01</t>
        </is>
      </c>
      <c r="B4477" s="2" t="inlineStr">
        <is>
          <t>PED01775</t>
        </is>
      </c>
      <c r="C4477" s="2" t="inlineStr">
        <is>
          <t>P049</t>
        </is>
      </c>
      <c r="D4477" s="2" t="n">
        <v>4</v>
      </c>
      <c r="E4477" s="19" t="n">
        <v>0.02</v>
      </c>
    </row>
    <row r="4478">
      <c r="A4478" s="2" t="inlineStr">
        <is>
          <t>IT01775_02</t>
        </is>
      </c>
      <c r="B4478" s="2" t="inlineStr">
        <is>
          <t>PED01775</t>
        </is>
      </c>
      <c r="C4478" s="2" t="inlineStr">
        <is>
          <t>P068</t>
        </is>
      </c>
      <c r="D4478" s="2" t="n">
        <v>1</v>
      </c>
      <c r="E4478" s="19" t="n">
        <v>0</v>
      </c>
    </row>
    <row r="4479">
      <c r="A4479" s="2" t="inlineStr">
        <is>
          <t>IT01776_01</t>
        </is>
      </c>
      <c r="B4479" s="2" t="inlineStr">
        <is>
          <t>PED01776</t>
        </is>
      </c>
      <c r="C4479" s="2" t="inlineStr">
        <is>
          <t>P028</t>
        </is>
      </c>
      <c r="D4479" s="2" t="n">
        <v>1</v>
      </c>
      <c r="E4479" s="19" t="n">
        <v>0</v>
      </c>
    </row>
    <row r="4480">
      <c r="A4480" s="2" t="inlineStr">
        <is>
          <t>IT01776_02</t>
        </is>
      </c>
      <c r="B4480" s="2" t="inlineStr">
        <is>
          <t>PED01776</t>
        </is>
      </c>
      <c r="C4480" s="2" t="inlineStr">
        <is>
          <t>P067</t>
        </is>
      </c>
      <c r="D4480" s="2" t="n">
        <v>2</v>
      </c>
      <c r="E4480" s="19" t="n">
        <v>0</v>
      </c>
    </row>
    <row r="4481">
      <c r="A4481" s="2" t="inlineStr">
        <is>
          <t>IT01777_01</t>
        </is>
      </c>
      <c r="B4481" s="2" t="inlineStr">
        <is>
          <t>PED01777</t>
        </is>
      </c>
      <c r="C4481" s="2" t="inlineStr">
        <is>
          <t>P053</t>
        </is>
      </c>
      <c r="D4481" s="2" t="n">
        <v>1</v>
      </c>
      <c r="E4481" s="19" t="n">
        <v>0</v>
      </c>
    </row>
    <row r="4482">
      <c r="A4482" s="2" t="inlineStr">
        <is>
          <t>IT01777_02</t>
        </is>
      </c>
      <c r="B4482" s="2" t="inlineStr">
        <is>
          <t>PED01777</t>
        </is>
      </c>
      <c r="C4482" s="2" t="inlineStr">
        <is>
          <t>P019</t>
        </is>
      </c>
      <c r="D4482" s="2" t="n">
        <v>1</v>
      </c>
      <c r="E4482" s="19" t="n">
        <v>0.02</v>
      </c>
    </row>
    <row r="4483">
      <c r="A4483" s="2" t="inlineStr">
        <is>
          <t>IT01777_03</t>
        </is>
      </c>
      <c r="B4483" s="2" t="inlineStr">
        <is>
          <t>PED01777</t>
        </is>
      </c>
      <c r="C4483" s="2" t="inlineStr">
        <is>
          <t>P049</t>
        </is>
      </c>
      <c r="D4483" s="2" t="n">
        <v>3</v>
      </c>
      <c r="E4483" s="19" t="n">
        <v>0</v>
      </c>
    </row>
    <row r="4484">
      <c r="A4484" s="2" t="inlineStr">
        <is>
          <t>IT01778_01</t>
        </is>
      </c>
      <c r="B4484" s="2" t="inlineStr">
        <is>
          <t>PED01778</t>
        </is>
      </c>
      <c r="C4484" s="2" t="inlineStr">
        <is>
          <t>P054</t>
        </is>
      </c>
      <c r="D4484" s="2" t="n">
        <v>1</v>
      </c>
      <c r="E4484" s="19" t="n">
        <v>0.02</v>
      </c>
    </row>
    <row r="4485">
      <c r="A4485" s="2" t="inlineStr">
        <is>
          <t>IT01779_01</t>
        </is>
      </c>
      <c r="B4485" s="2" t="inlineStr">
        <is>
          <t>PED01779</t>
        </is>
      </c>
      <c r="C4485" s="2" t="inlineStr">
        <is>
          <t>P031</t>
        </is>
      </c>
      <c r="D4485" s="2" t="n">
        <v>1</v>
      </c>
      <c r="E4485" s="19" t="n">
        <v>0</v>
      </c>
    </row>
    <row r="4486">
      <c r="A4486" s="2" t="inlineStr">
        <is>
          <t>IT01779_02</t>
        </is>
      </c>
      <c r="B4486" s="2" t="inlineStr">
        <is>
          <t>PED01779</t>
        </is>
      </c>
      <c r="C4486" s="2" t="inlineStr">
        <is>
          <t>P007</t>
        </is>
      </c>
      <c r="D4486" s="2" t="n">
        <v>3</v>
      </c>
      <c r="E4486" s="19" t="n">
        <v>0.05</v>
      </c>
    </row>
    <row r="4487">
      <c r="A4487" s="2" t="inlineStr">
        <is>
          <t>IT01779_03</t>
        </is>
      </c>
      <c r="B4487" s="2" t="inlineStr">
        <is>
          <t>PED01779</t>
        </is>
      </c>
      <c r="C4487" s="2" t="inlineStr">
        <is>
          <t>P019</t>
        </is>
      </c>
      <c r="D4487" s="2" t="n">
        <v>4</v>
      </c>
      <c r="E4487" s="19" t="n">
        <v>0.05</v>
      </c>
    </row>
    <row r="4488">
      <c r="A4488" s="2" t="inlineStr">
        <is>
          <t>IT01779_04</t>
        </is>
      </c>
      <c r="B4488" s="2" t="inlineStr">
        <is>
          <t>PED01779</t>
        </is>
      </c>
      <c r="C4488" s="2" t="inlineStr">
        <is>
          <t>P028</t>
        </is>
      </c>
      <c r="D4488" s="2" t="n">
        <v>5</v>
      </c>
      <c r="E4488" s="19" t="n">
        <v>0</v>
      </c>
    </row>
    <row r="4489">
      <c r="A4489" s="2" t="inlineStr">
        <is>
          <t>IT01779_05</t>
        </is>
      </c>
      <c r="B4489" s="2" t="inlineStr">
        <is>
          <t>PED01779</t>
        </is>
      </c>
      <c r="C4489" s="2" t="inlineStr">
        <is>
          <t>P030</t>
        </is>
      </c>
      <c r="D4489" s="2" t="n">
        <v>10</v>
      </c>
      <c r="E4489" s="19" t="n">
        <v>0</v>
      </c>
    </row>
    <row r="4490">
      <c r="A4490" s="2" t="inlineStr">
        <is>
          <t>IT01780_01</t>
        </is>
      </c>
      <c r="B4490" s="2" t="inlineStr">
        <is>
          <t>PED01780</t>
        </is>
      </c>
      <c r="C4490" s="2" t="inlineStr">
        <is>
          <t>P069</t>
        </is>
      </c>
      <c r="D4490" s="2" t="n">
        <v>1</v>
      </c>
      <c r="E4490" s="19" t="n">
        <v>0</v>
      </c>
    </row>
    <row r="4491">
      <c r="A4491" s="2" t="inlineStr">
        <is>
          <t>IT01780_02</t>
        </is>
      </c>
      <c r="B4491" s="2" t="inlineStr">
        <is>
          <t>PED01780</t>
        </is>
      </c>
      <c r="C4491" s="2" t="inlineStr">
        <is>
          <t>P051</t>
        </is>
      </c>
      <c r="D4491" s="2" t="n">
        <v>1</v>
      </c>
      <c r="E4491" s="19" t="n">
        <v>0</v>
      </c>
    </row>
    <row r="4492">
      <c r="A4492" s="2" t="inlineStr">
        <is>
          <t>IT01781_01</t>
        </is>
      </c>
      <c r="B4492" s="2" t="inlineStr">
        <is>
          <t>PED01781</t>
        </is>
      </c>
      <c r="C4492" s="2" t="inlineStr">
        <is>
          <t>P034</t>
        </is>
      </c>
      <c r="D4492" s="2" t="n">
        <v>1</v>
      </c>
      <c r="E4492" s="19" t="n">
        <v>0</v>
      </c>
    </row>
    <row r="4493">
      <c r="A4493" s="2" t="inlineStr">
        <is>
          <t>IT01781_02</t>
        </is>
      </c>
      <c r="B4493" s="2" t="inlineStr">
        <is>
          <t>PED01781</t>
        </is>
      </c>
      <c r="C4493" s="2" t="inlineStr">
        <is>
          <t>P033</t>
        </is>
      </c>
      <c r="D4493" s="2" t="n">
        <v>5</v>
      </c>
      <c r="E4493" s="19" t="n">
        <v>0</v>
      </c>
    </row>
    <row r="4494">
      <c r="A4494" s="2" t="inlineStr">
        <is>
          <t>IT01781_03</t>
        </is>
      </c>
      <c r="B4494" s="2" t="inlineStr">
        <is>
          <t>PED01781</t>
        </is>
      </c>
      <c r="C4494" s="2" t="inlineStr">
        <is>
          <t>P068</t>
        </is>
      </c>
      <c r="D4494" s="2" t="n">
        <v>1</v>
      </c>
      <c r="E4494" s="19" t="n">
        <v>0</v>
      </c>
    </row>
    <row r="4495">
      <c r="A4495" s="2" t="inlineStr">
        <is>
          <t>IT01781_04</t>
        </is>
      </c>
      <c r="B4495" s="2" t="inlineStr">
        <is>
          <t>PED01781</t>
        </is>
      </c>
      <c r="C4495" s="2" t="inlineStr">
        <is>
          <t>P044</t>
        </is>
      </c>
      <c r="D4495" s="2" t="n">
        <v>3</v>
      </c>
      <c r="E4495" s="19" t="n">
        <v>0.02</v>
      </c>
    </row>
    <row r="4496">
      <c r="A4496" s="2" t="inlineStr">
        <is>
          <t>IT01782_01</t>
        </is>
      </c>
      <c r="B4496" s="2" t="inlineStr">
        <is>
          <t>PED01782</t>
        </is>
      </c>
      <c r="C4496" s="2" t="inlineStr">
        <is>
          <t>P001</t>
        </is>
      </c>
      <c r="D4496" s="2" t="n">
        <v>1</v>
      </c>
      <c r="E4496" s="19" t="n">
        <v>0</v>
      </c>
    </row>
    <row r="4497">
      <c r="A4497" s="2" t="inlineStr">
        <is>
          <t>IT01782_02</t>
        </is>
      </c>
      <c r="B4497" s="2" t="inlineStr">
        <is>
          <t>PED01782</t>
        </is>
      </c>
      <c r="C4497" s="2" t="inlineStr">
        <is>
          <t>P042</t>
        </is>
      </c>
      <c r="D4497" s="2" t="n">
        <v>3</v>
      </c>
      <c r="E4497" s="19" t="n">
        <v>0</v>
      </c>
    </row>
    <row r="4498">
      <c r="A4498" s="2" t="inlineStr">
        <is>
          <t>IT01783_01</t>
        </is>
      </c>
      <c r="B4498" s="2" t="inlineStr">
        <is>
          <t>PED01783</t>
        </is>
      </c>
      <c r="C4498" s="2" t="inlineStr">
        <is>
          <t>P068</t>
        </is>
      </c>
      <c r="D4498" s="2" t="n">
        <v>2</v>
      </c>
      <c r="E4498" s="19" t="n">
        <v>0</v>
      </c>
    </row>
    <row r="4499">
      <c r="A4499" s="2" t="inlineStr">
        <is>
          <t>IT01783_02</t>
        </is>
      </c>
      <c r="B4499" s="2" t="inlineStr">
        <is>
          <t>PED01783</t>
        </is>
      </c>
      <c r="C4499" s="2" t="inlineStr">
        <is>
          <t>P058</t>
        </is>
      </c>
      <c r="D4499" s="2" t="n">
        <v>3</v>
      </c>
      <c r="E4499" s="19" t="n">
        <v>0.1</v>
      </c>
    </row>
    <row r="4500">
      <c r="A4500" s="2" t="inlineStr">
        <is>
          <t>IT01783_03</t>
        </is>
      </c>
      <c r="B4500" s="2" t="inlineStr">
        <is>
          <t>PED01783</t>
        </is>
      </c>
      <c r="C4500" s="2" t="inlineStr">
        <is>
          <t>P070</t>
        </is>
      </c>
      <c r="D4500" s="2" t="n">
        <v>1</v>
      </c>
      <c r="E4500" s="19" t="n">
        <v>0</v>
      </c>
    </row>
    <row r="4501">
      <c r="A4501" s="2" t="inlineStr">
        <is>
          <t>IT01783_04</t>
        </is>
      </c>
      <c r="B4501" s="2" t="inlineStr">
        <is>
          <t>PED01783</t>
        </is>
      </c>
      <c r="C4501" s="2" t="inlineStr">
        <is>
          <t>P051</t>
        </is>
      </c>
      <c r="D4501" s="2" t="n">
        <v>1</v>
      </c>
      <c r="E4501" s="19" t="n">
        <v>0</v>
      </c>
    </row>
    <row r="4502">
      <c r="A4502" s="2" t="inlineStr">
        <is>
          <t>IT01783_05</t>
        </is>
      </c>
      <c r="B4502" s="2" t="inlineStr">
        <is>
          <t>PED01783</t>
        </is>
      </c>
      <c r="C4502" s="2" t="inlineStr">
        <is>
          <t>P004</t>
        </is>
      </c>
      <c r="D4502" s="2" t="n">
        <v>4</v>
      </c>
      <c r="E4502" s="19" t="n">
        <v>0</v>
      </c>
    </row>
    <row r="4503">
      <c r="A4503" s="2" t="inlineStr">
        <is>
          <t>IT01784_01</t>
        </is>
      </c>
      <c r="B4503" s="2" t="inlineStr">
        <is>
          <t>PED01784</t>
        </is>
      </c>
      <c r="C4503" s="2" t="inlineStr">
        <is>
          <t>P017</t>
        </is>
      </c>
      <c r="D4503" s="2" t="n">
        <v>2</v>
      </c>
      <c r="E4503" s="19" t="n">
        <v>0.02</v>
      </c>
    </row>
    <row r="4504">
      <c r="A4504" s="2" t="inlineStr">
        <is>
          <t>IT01784_02</t>
        </is>
      </c>
      <c r="B4504" s="2" t="inlineStr">
        <is>
          <t>PED01784</t>
        </is>
      </c>
      <c r="C4504" s="2" t="inlineStr">
        <is>
          <t>P070</t>
        </is>
      </c>
      <c r="D4504" s="2" t="n">
        <v>1</v>
      </c>
      <c r="E4504" s="19" t="n">
        <v>0.05</v>
      </c>
    </row>
    <row r="4505">
      <c r="A4505" s="2" t="inlineStr">
        <is>
          <t>IT01784_03</t>
        </is>
      </c>
      <c r="B4505" s="2" t="inlineStr">
        <is>
          <t>PED01784</t>
        </is>
      </c>
      <c r="C4505" s="2" t="inlineStr">
        <is>
          <t>P061</t>
        </is>
      </c>
      <c r="D4505" s="2" t="n">
        <v>2</v>
      </c>
      <c r="E4505" s="19" t="n">
        <v>0.05</v>
      </c>
    </row>
    <row r="4506">
      <c r="A4506" s="2" t="inlineStr">
        <is>
          <t>IT01785_01</t>
        </is>
      </c>
      <c r="B4506" s="2" t="inlineStr">
        <is>
          <t>PED01785</t>
        </is>
      </c>
      <c r="C4506" s="2" t="inlineStr">
        <is>
          <t>P023</t>
        </is>
      </c>
      <c r="D4506" s="2" t="n">
        <v>1</v>
      </c>
      <c r="E4506" s="19" t="n">
        <v>0</v>
      </c>
    </row>
    <row r="4507">
      <c r="A4507" s="2" t="inlineStr">
        <is>
          <t>IT01785_02</t>
        </is>
      </c>
      <c r="B4507" s="2" t="inlineStr">
        <is>
          <t>PED01785</t>
        </is>
      </c>
      <c r="C4507" s="2" t="inlineStr">
        <is>
          <t>P015</t>
        </is>
      </c>
      <c r="D4507" s="2" t="n">
        <v>1</v>
      </c>
      <c r="E4507" s="19" t="n">
        <v>0</v>
      </c>
    </row>
    <row r="4508">
      <c r="A4508" s="2" t="inlineStr">
        <is>
          <t>IT01785_03</t>
        </is>
      </c>
      <c r="B4508" s="2" t="inlineStr">
        <is>
          <t>PED01785</t>
        </is>
      </c>
      <c r="C4508" s="2" t="inlineStr">
        <is>
          <t>P061</t>
        </is>
      </c>
      <c r="D4508" s="2" t="n">
        <v>1</v>
      </c>
      <c r="E4508" s="19" t="n">
        <v>0</v>
      </c>
    </row>
    <row r="4509">
      <c r="A4509" s="2" t="inlineStr">
        <is>
          <t>IT01785_04</t>
        </is>
      </c>
      <c r="B4509" s="2" t="inlineStr">
        <is>
          <t>PED01785</t>
        </is>
      </c>
      <c r="C4509" s="2" t="inlineStr">
        <is>
          <t>P051</t>
        </is>
      </c>
      <c r="D4509" s="2" t="n">
        <v>1</v>
      </c>
      <c r="E4509" s="19" t="n">
        <v>0</v>
      </c>
    </row>
    <row r="4510">
      <c r="A4510" s="2" t="inlineStr">
        <is>
          <t>IT01786_01</t>
        </is>
      </c>
      <c r="B4510" s="2" t="inlineStr">
        <is>
          <t>PED01786</t>
        </is>
      </c>
      <c r="C4510" s="2" t="inlineStr">
        <is>
          <t>P003</t>
        </is>
      </c>
      <c r="D4510" s="2" t="n">
        <v>1</v>
      </c>
      <c r="E4510" s="19" t="n">
        <v>0</v>
      </c>
    </row>
    <row r="4511">
      <c r="A4511" s="2" t="inlineStr">
        <is>
          <t>IT01787_01</t>
        </is>
      </c>
      <c r="B4511" s="2" t="inlineStr">
        <is>
          <t>PED01787</t>
        </is>
      </c>
      <c r="C4511" s="2" t="inlineStr">
        <is>
          <t>P035</t>
        </is>
      </c>
      <c r="D4511" s="2" t="n">
        <v>1</v>
      </c>
      <c r="E4511" s="19" t="n">
        <v>0</v>
      </c>
    </row>
    <row r="4512">
      <c r="A4512" s="2" t="inlineStr">
        <is>
          <t>IT01787_02</t>
        </is>
      </c>
      <c r="B4512" s="2" t="inlineStr">
        <is>
          <t>PED01787</t>
        </is>
      </c>
      <c r="C4512" s="2" t="inlineStr">
        <is>
          <t>P009</t>
        </is>
      </c>
      <c r="D4512" s="2" t="n">
        <v>2</v>
      </c>
      <c r="E4512" s="19" t="n">
        <v>0.02</v>
      </c>
    </row>
    <row r="4513">
      <c r="A4513" s="2" t="inlineStr">
        <is>
          <t>IT01788_01</t>
        </is>
      </c>
      <c r="B4513" s="2" t="inlineStr">
        <is>
          <t>PED01788</t>
        </is>
      </c>
      <c r="C4513" s="2" t="inlineStr">
        <is>
          <t>P041</t>
        </is>
      </c>
      <c r="D4513" s="2" t="n">
        <v>1</v>
      </c>
      <c r="E4513" s="19" t="n">
        <v>0.02</v>
      </c>
    </row>
    <row r="4514">
      <c r="A4514" s="2" t="inlineStr">
        <is>
          <t>IT01788_02</t>
        </is>
      </c>
      <c r="B4514" s="2" t="inlineStr">
        <is>
          <t>PED01788</t>
        </is>
      </c>
      <c r="C4514" s="2" t="inlineStr">
        <is>
          <t>P003</t>
        </is>
      </c>
      <c r="D4514" s="2" t="n">
        <v>2</v>
      </c>
      <c r="E4514" s="19" t="n">
        <v>0</v>
      </c>
    </row>
    <row r="4515">
      <c r="A4515" s="2" t="inlineStr">
        <is>
          <t>IT01788_03</t>
        </is>
      </c>
      <c r="B4515" s="2" t="inlineStr">
        <is>
          <t>PED01788</t>
        </is>
      </c>
      <c r="C4515" s="2" t="inlineStr">
        <is>
          <t>P013</t>
        </is>
      </c>
      <c r="D4515" s="2" t="n">
        <v>1</v>
      </c>
      <c r="E4515" s="19" t="n">
        <v>0</v>
      </c>
    </row>
    <row r="4516">
      <c r="A4516" s="2" t="inlineStr">
        <is>
          <t>IT01788_04</t>
        </is>
      </c>
      <c r="B4516" s="2" t="inlineStr">
        <is>
          <t>PED01788</t>
        </is>
      </c>
      <c r="C4516" s="2" t="inlineStr">
        <is>
          <t>P046</t>
        </is>
      </c>
      <c r="D4516" s="2" t="n">
        <v>4</v>
      </c>
      <c r="E4516" s="19" t="n">
        <v>0</v>
      </c>
    </row>
    <row r="4517">
      <c r="A4517" s="2" t="inlineStr">
        <is>
          <t>IT01789_01</t>
        </is>
      </c>
      <c r="B4517" s="2" t="inlineStr">
        <is>
          <t>PED01789</t>
        </is>
      </c>
      <c r="C4517" s="2" t="inlineStr">
        <is>
          <t>P002</t>
        </is>
      </c>
      <c r="D4517" s="2" t="n">
        <v>2</v>
      </c>
      <c r="E4517" s="19" t="n">
        <v>0</v>
      </c>
    </row>
    <row r="4518">
      <c r="A4518" s="2" t="inlineStr">
        <is>
          <t>IT01790_01</t>
        </is>
      </c>
      <c r="B4518" s="2" t="inlineStr">
        <is>
          <t>PED01790</t>
        </is>
      </c>
      <c r="C4518" s="2" t="inlineStr">
        <is>
          <t>P055</t>
        </is>
      </c>
      <c r="D4518" s="2" t="n">
        <v>4</v>
      </c>
      <c r="E4518" s="19" t="n">
        <v>0</v>
      </c>
    </row>
    <row r="4519">
      <c r="A4519" s="2" t="inlineStr">
        <is>
          <t>IT01790_02</t>
        </is>
      </c>
      <c r="B4519" s="2" t="inlineStr">
        <is>
          <t>PED01790</t>
        </is>
      </c>
      <c r="C4519" s="2" t="inlineStr">
        <is>
          <t>P007</t>
        </is>
      </c>
      <c r="D4519" s="2" t="n">
        <v>5</v>
      </c>
      <c r="E4519" s="19" t="n">
        <v>0</v>
      </c>
    </row>
    <row r="4520">
      <c r="A4520" s="2" t="inlineStr">
        <is>
          <t>IT01790_03</t>
        </is>
      </c>
      <c r="B4520" s="2" t="inlineStr">
        <is>
          <t>PED01790</t>
        </is>
      </c>
      <c r="C4520" s="2" t="inlineStr">
        <is>
          <t>P012</t>
        </is>
      </c>
      <c r="D4520" s="2" t="n">
        <v>1</v>
      </c>
      <c r="E4520" s="19" t="n">
        <v>0</v>
      </c>
    </row>
    <row r="4521">
      <c r="A4521" s="2" t="inlineStr">
        <is>
          <t>IT01791_01</t>
        </is>
      </c>
      <c r="B4521" s="2" t="inlineStr">
        <is>
          <t>PED01791</t>
        </is>
      </c>
      <c r="C4521" s="2" t="inlineStr">
        <is>
          <t>P047</t>
        </is>
      </c>
      <c r="D4521" s="2" t="n">
        <v>1</v>
      </c>
      <c r="E4521" s="19" t="n">
        <v>0</v>
      </c>
    </row>
    <row r="4522">
      <c r="A4522" s="2" t="inlineStr">
        <is>
          <t>IT01792_01</t>
        </is>
      </c>
      <c r="B4522" s="2" t="inlineStr">
        <is>
          <t>PED01792</t>
        </is>
      </c>
      <c r="C4522" s="2" t="inlineStr">
        <is>
          <t>P017</t>
        </is>
      </c>
      <c r="D4522" s="2" t="n">
        <v>1</v>
      </c>
      <c r="E4522" s="19" t="n">
        <v>0.05</v>
      </c>
    </row>
    <row r="4523">
      <c r="A4523" s="2" t="inlineStr">
        <is>
          <t>IT01793_01</t>
        </is>
      </c>
      <c r="B4523" s="2" t="inlineStr">
        <is>
          <t>PED01793</t>
        </is>
      </c>
      <c r="C4523" s="2" t="inlineStr">
        <is>
          <t>P001</t>
        </is>
      </c>
      <c r="D4523" s="2" t="n">
        <v>3</v>
      </c>
      <c r="E4523" s="19" t="n">
        <v>0</v>
      </c>
    </row>
    <row r="4524">
      <c r="A4524" s="2" t="inlineStr">
        <is>
          <t>IT01793_02</t>
        </is>
      </c>
      <c r="B4524" s="2" t="inlineStr">
        <is>
          <t>PED01793</t>
        </is>
      </c>
      <c r="C4524" s="2" t="inlineStr">
        <is>
          <t>P035</t>
        </is>
      </c>
      <c r="D4524" s="2" t="n">
        <v>2</v>
      </c>
      <c r="E4524" s="19" t="n">
        <v>0</v>
      </c>
    </row>
    <row r="4525">
      <c r="A4525" s="2" t="inlineStr">
        <is>
          <t>IT01793_03</t>
        </is>
      </c>
      <c r="B4525" s="2" t="inlineStr">
        <is>
          <t>PED01793</t>
        </is>
      </c>
      <c r="C4525" s="2" t="inlineStr">
        <is>
          <t>P026</t>
        </is>
      </c>
      <c r="D4525" s="2" t="n">
        <v>1</v>
      </c>
      <c r="E4525" s="19" t="n">
        <v>0</v>
      </c>
    </row>
    <row r="4526">
      <c r="A4526" s="2" t="inlineStr">
        <is>
          <t>IT01794_01</t>
        </is>
      </c>
      <c r="B4526" s="2" t="inlineStr">
        <is>
          <t>PED01794</t>
        </is>
      </c>
      <c r="C4526" s="2" t="inlineStr">
        <is>
          <t>P057</t>
        </is>
      </c>
      <c r="D4526" s="2" t="n">
        <v>5</v>
      </c>
      <c r="E4526" s="19" t="n">
        <v>0.05</v>
      </c>
    </row>
    <row r="4527">
      <c r="A4527" s="2" t="inlineStr">
        <is>
          <t>IT01794_02</t>
        </is>
      </c>
      <c r="B4527" s="2" t="inlineStr">
        <is>
          <t>PED01794</t>
        </is>
      </c>
      <c r="C4527" s="2" t="inlineStr">
        <is>
          <t>P011</t>
        </is>
      </c>
      <c r="D4527" s="2" t="n">
        <v>2</v>
      </c>
      <c r="E4527" s="19" t="n">
        <v>0.05</v>
      </c>
    </row>
    <row r="4528">
      <c r="A4528" s="2" t="inlineStr">
        <is>
          <t>IT01794_03</t>
        </is>
      </c>
      <c r="B4528" s="2" t="inlineStr">
        <is>
          <t>PED01794</t>
        </is>
      </c>
      <c r="C4528" s="2" t="inlineStr">
        <is>
          <t>P037</t>
        </is>
      </c>
      <c r="D4528" s="2" t="n">
        <v>2</v>
      </c>
      <c r="E4528" s="19" t="n">
        <v>0.02</v>
      </c>
    </row>
    <row r="4529">
      <c r="A4529" s="2" t="inlineStr">
        <is>
          <t>IT01794_04</t>
        </is>
      </c>
      <c r="B4529" s="2" t="inlineStr">
        <is>
          <t>PED01794</t>
        </is>
      </c>
      <c r="C4529" s="2" t="inlineStr">
        <is>
          <t>P022</t>
        </is>
      </c>
      <c r="D4529" s="2" t="n">
        <v>1</v>
      </c>
      <c r="E4529" s="19" t="n">
        <v>0.02</v>
      </c>
    </row>
    <row r="4530">
      <c r="A4530" s="2" t="inlineStr">
        <is>
          <t>IT01795_01</t>
        </is>
      </c>
      <c r="B4530" s="2" t="inlineStr">
        <is>
          <t>PED01795</t>
        </is>
      </c>
      <c r="C4530" s="2" t="inlineStr">
        <is>
          <t>P050</t>
        </is>
      </c>
      <c r="D4530" s="2" t="n">
        <v>1</v>
      </c>
      <c r="E4530" s="19" t="n">
        <v>0</v>
      </c>
    </row>
    <row r="4531">
      <c r="A4531" s="2" t="inlineStr">
        <is>
          <t>IT01795_02</t>
        </is>
      </c>
      <c r="B4531" s="2" t="inlineStr">
        <is>
          <t>PED01795</t>
        </is>
      </c>
      <c r="C4531" s="2" t="inlineStr">
        <is>
          <t>P017</t>
        </is>
      </c>
      <c r="D4531" s="2" t="n">
        <v>4</v>
      </c>
      <c r="E4531" s="19" t="n">
        <v>0</v>
      </c>
    </row>
    <row r="4532">
      <c r="A4532" s="2" t="inlineStr">
        <is>
          <t>IT01796_01</t>
        </is>
      </c>
      <c r="B4532" s="2" t="inlineStr">
        <is>
          <t>PED01796</t>
        </is>
      </c>
      <c r="C4532" s="2" t="inlineStr">
        <is>
          <t>P058</t>
        </is>
      </c>
      <c r="D4532" s="2" t="n">
        <v>2</v>
      </c>
      <c r="E4532" s="19" t="n">
        <v>0.05</v>
      </c>
    </row>
    <row r="4533">
      <c r="A4533" s="2" t="inlineStr">
        <is>
          <t>IT01796_02</t>
        </is>
      </c>
      <c r="B4533" s="2" t="inlineStr">
        <is>
          <t>PED01796</t>
        </is>
      </c>
      <c r="C4533" s="2" t="inlineStr">
        <is>
          <t>P031</t>
        </is>
      </c>
      <c r="D4533" s="2" t="n">
        <v>1</v>
      </c>
      <c r="E4533" s="19" t="n">
        <v>0</v>
      </c>
    </row>
    <row r="4534">
      <c r="A4534" s="2" t="inlineStr">
        <is>
          <t>IT01796_03</t>
        </is>
      </c>
      <c r="B4534" s="2" t="inlineStr">
        <is>
          <t>PED01796</t>
        </is>
      </c>
      <c r="C4534" s="2" t="inlineStr">
        <is>
          <t>P056</t>
        </is>
      </c>
      <c r="D4534" s="2" t="n">
        <v>1</v>
      </c>
      <c r="E4534" s="19" t="n">
        <v>0</v>
      </c>
    </row>
    <row r="4535">
      <c r="A4535" s="2" t="inlineStr">
        <is>
          <t>IT01796_04</t>
        </is>
      </c>
      <c r="B4535" s="2" t="inlineStr">
        <is>
          <t>PED01796</t>
        </is>
      </c>
      <c r="C4535" s="2" t="inlineStr">
        <is>
          <t>P060</t>
        </is>
      </c>
      <c r="D4535" s="2" t="n">
        <v>1</v>
      </c>
      <c r="E4535" s="19" t="n">
        <v>0</v>
      </c>
    </row>
    <row r="4536">
      <c r="A4536" s="2" t="inlineStr">
        <is>
          <t>IT01797_01</t>
        </is>
      </c>
      <c r="B4536" s="2" t="inlineStr">
        <is>
          <t>PED01797</t>
        </is>
      </c>
      <c r="C4536" s="2" t="inlineStr">
        <is>
          <t>P044</t>
        </is>
      </c>
      <c r="D4536" s="2" t="n">
        <v>3</v>
      </c>
      <c r="E4536" s="19" t="n">
        <v>0.05</v>
      </c>
    </row>
    <row r="4537">
      <c r="A4537" s="2" t="inlineStr">
        <is>
          <t>IT01797_02</t>
        </is>
      </c>
      <c r="B4537" s="2" t="inlineStr">
        <is>
          <t>PED01797</t>
        </is>
      </c>
      <c r="C4537" s="2" t="inlineStr">
        <is>
          <t>P052</t>
        </is>
      </c>
      <c r="D4537" s="2" t="n">
        <v>1</v>
      </c>
      <c r="E4537" s="19" t="n">
        <v>0</v>
      </c>
    </row>
    <row r="4538">
      <c r="A4538" s="2" t="inlineStr">
        <is>
          <t>IT01798_01</t>
        </is>
      </c>
      <c r="B4538" s="2" t="inlineStr">
        <is>
          <t>PED01798</t>
        </is>
      </c>
      <c r="C4538" s="2" t="inlineStr">
        <is>
          <t>P029</t>
        </is>
      </c>
      <c r="D4538" s="2" t="n">
        <v>2</v>
      </c>
      <c r="E4538" s="19" t="n">
        <v>0</v>
      </c>
    </row>
    <row r="4539">
      <c r="A4539" s="2" t="inlineStr">
        <is>
          <t>IT01798_02</t>
        </is>
      </c>
      <c r="B4539" s="2" t="inlineStr">
        <is>
          <t>PED01798</t>
        </is>
      </c>
      <c r="C4539" s="2" t="inlineStr">
        <is>
          <t>P035</t>
        </is>
      </c>
      <c r="D4539" s="2" t="n">
        <v>1</v>
      </c>
      <c r="E4539" s="19" t="n">
        <v>0</v>
      </c>
    </row>
    <row r="4540">
      <c r="A4540" s="2" t="inlineStr">
        <is>
          <t>IT01798_03</t>
        </is>
      </c>
      <c r="B4540" s="2" t="inlineStr">
        <is>
          <t>PED01798</t>
        </is>
      </c>
      <c r="C4540" s="2" t="inlineStr">
        <is>
          <t>P069</t>
        </is>
      </c>
      <c r="D4540" s="2" t="n">
        <v>4</v>
      </c>
      <c r="E4540" s="19" t="n">
        <v>0.1</v>
      </c>
    </row>
    <row r="4541">
      <c r="A4541" s="2" t="inlineStr">
        <is>
          <t>IT01799_01</t>
        </is>
      </c>
      <c r="B4541" s="2" t="inlineStr">
        <is>
          <t>PED01799</t>
        </is>
      </c>
      <c r="C4541" s="2" t="inlineStr">
        <is>
          <t>P062</t>
        </is>
      </c>
      <c r="D4541" s="2" t="n">
        <v>1</v>
      </c>
      <c r="E4541" s="19" t="n">
        <v>0.05</v>
      </c>
    </row>
    <row r="4542">
      <c r="A4542" s="2" t="inlineStr">
        <is>
          <t>IT01799_02</t>
        </is>
      </c>
      <c r="B4542" s="2" t="inlineStr">
        <is>
          <t>PED01799</t>
        </is>
      </c>
      <c r="C4542" s="2" t="inlineStr">
        <is>
          <t>P030</t>
        </is>
      </c>
      <c r="D4542" s="2" t="n">
        <v>1</v>
      </c>
      <c r="E4542" s="19" t="n">
        <v>0.02</v>
      </c>
    </row>
    <row r="4543">
      <c r="A4543" s="2" t="inlineStr">
        <is>
          <t>IT01799_03</t>
        </is>
      </c>
      <c r="B4543" s="2" t="inlineStr">
        <is>
          <t>PED01799</t>
        </is>
      </c>
      <c r="C4543" s="2" t="inlineStr">
        <is>
          <t>P054</t>
        </is>
      </c>
      <c r="D4543" s="2" t="n">
        <v>5</v>
      </c>
      <c r="E4543" s="19" t="n">
        <v>0.05</v>
      </c>
    </row>
    <row r="4544">
      <c r="A4544" s="2" t="inlineStr">
        <is>
          <t>IT01800_01</t>
        </is>
      </c>
      <c r="B4544" s="2" t="inlineStr">
        <is>
          <t>PED01800</t>
        </is>
      </c>
      <c r="C4544" s="2" t="inlineStr">
        <is>
          <t>P030</t>
        </is>
      </c>
      <c r="D4544" s="2" t="n">
        <v>3</v>
      </c>
      <c r="E4544" s="19" t="n">
        <v>0</v>
      </c>
    </row>
    <row r="4545">
      <c r="A4545" s="2" t="inlineStr">
        <is>
          <t>IT01800_02</t>
        </is>
      </c>
      <c r="B4545" s="2" t="inlineStr">
        <is>
          <t>PED01800</t>
        </is>
      </c>
      <c r="C4545" s="2" t="inlineStr">
        <is>
          <t>P007</t>
        </is>
      </c>
      <c r="D4545" s="2" t="n">
        <v>3</v>
      </c>
      <c r="E4545" s="19" t="n">
        <v>0.1</v>
      </c>
    </row>
    <row r="4546">
      <c r="A4546" s="2" t="inlineStr">
        <is>
          <t>IT01800_03</t>
        </is>
      </c>
      <c r="B4546" s="2" t="inlineStr">
        <is>
          <t>PED01800</t>
        </is>
      </c>
      <c r="C4546" s="2" t="inlineStr">
        <is>
          <t>P011</t>
        </is>
      </c>
      <c r="D4546" s="2" t="n">
        <v>4</v>
      </c>
      <c r="E4546" s="19" t="n">
        <v>0.02</v>
      </c>
    </row>
  </sheetData>
  <autoFilter ref="A1:E45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</cols>
  <sheetData>
    <row r="1" ht="27.95" customHeight="1">
      <c r="A1" s="16" t="inlineStr">
        <is>
          <t>LojaID</t>
        </is>
      </c>
      <c r="B1" s="16" t="inlineStr">
        <is>
          <t>MesReferencia</t>
        </is>
      </c>
      <c r="C1" s="16" t="inlineStr">
        <is>
          <t>MetaFaturamento</t>
        </is>
      </c>
    </row>
    <row r="2">
      <c r="A2" s="2" t="inlineStr">
        <is>
          <t>L01</t>
        </is>
      </c>
      <c r="B2" s="3" t="n">
        <v>45292</v>
      </c>
      <c r="C2" s="18" t="n">
        <v>135231.04</v>
      </c>
    </row>
    <row r="3">
      <c r="A3" s="2" t="inlineStr">
        <is>
          <t>L01</t>
        </is>
      </c>
      <c r="B3" s="3" t="n">
        <v>45323</v>
      </c>
      <c r="C3" s="18" t="n">
        <v>138211.09</v>
      </c>
    </row>
    <row r="4">
      <c r="A4" s="2" t="inlineStr">
        <is>
          <t>L01</t>
        </is>
      </c>
      <c r="B4" s="3" t="n">
        <v>45352</v>
      </c>
      <c r="C4" s="18" t="n">
        <v>160620.71</v>
      </c>
    </row>
    <row r="5">
      <c r="A5" s="2" t="inlineStr">
        <is>
          <t>L01</t>
        </is>
      </c>
      <c r="B5" s="3" t="n">
        <v>45383</v>
      </c>
      <c r="C5" s="18" t="n">
        <v>134125.4</v>
      </c>
    </row>
    <row r="6">
      <c r="A6" s="2" t="inlineStr">
        <is>
          <t>L01</t>
        </is>
      </c>
      <c r="B6" s="3" t="n">
        <v>45413</v>
      </c>
      <c r="C6" s="18" t="n">
        <v>145177.66</v>
      </c>
    </row>
    <row r="7">
      <c r="A7" s="2" t="inlineStr">
        <is>
          <t>L01</t>
        </is>
      </c>
      <c r="B7" s="3" t="n">
        <v>45444</v>
      </c>
      <c r="C7" s="18" t="n">
        <v>156644.99</v>
      </c>
    </row>
    <row r="8">
      <c r="A8" s="2" t="inlineStr">
        <is>
          <t>L01</t>
        </is>
      </c>
      <c r="B8" s="3" t="n">
        <v>45474</v>
      </c>
      <c r="C8" s="18" t="n">
        <v>143132.46</v>
      </c>
    </row>
    <row r="9">
      <c r="A9" s="2" t="inlineStr">
        <is>
          <t>L01</t>
        </is>
      </c>
      <c r="B9" s="3" t="n">
        <v>45505</v>
      </c>
      <c r="C9" s="18" t="n">
        <v>159575.02</v>
      </c>
    </row>
    <row r="10">
      <c r="A10" s="2" t="inlineStr">
        <is>
          <t>L01</t>
        </is>
      </c>
      <c r="B10" s="3" t="n">
        <v>45536</v>
      </c>
      <c r="C10" s="18" t="n">
        <v>138750.13</v>
      </c>
    </row>
    <row r="11">
      <c r="A11" s="2" t="inlineStr">
        <is>
          <t>L01</t>
        </is>
      </c>
      <c r="B11" s="3" t="n">
        <v>45566</v>
      </c>
      <c r="C11" s="18" t="n">
        <v>161124.05</v>
      </c>
    </row>
    <row r="12">
      <c r="A12" s="2" t="inlineStr">
        <is>
          <t>L01</t>
        </is>
      </c>
      <c r="B12" s="3" t="n">
        <v>45597</v>
      </c>
      <c r="C12" s="18" t="n">
        <v>140971.46</v>
      </c>
    </row>
    <row r="13">
      <c r="A13" s="2" t="inlineStr">
        <is>
          <t>L01</t>
        </is>
      </c>
      <c r="B13" s="3" t="n">
        <v>45627</v>
      </c>
      <c r="C13" s="18" t="n">
        <v>148733.33</v>
      </c>
    </row>
    <row r="14">
      <c r="A14" s="2" t="inlineStr">
        <is>
          <t>L01</t>
        </is>
      </c>
      <c r="B14" s="3" t="n">
        <v>45658</v>
      </c>
      <c r="C14" s="18" t="n">
        <v>155635.91</v>
      </c>
    </row>
    <row r="15">
      <c r="A15" s="2" t="inlineStr">
        <is>
          <t>L01</t>
        </is>
      </c>
      <c r="B15" s="3" t="n">
        <v>45689</v>
      </c>
      <c r="C15" s="18" t="n">
        <v>158533.78</v>
      </c>
    </row>
    <row r="16">
      <c r="A16" s="2" t="inlineStr">
        <is>
          <t>L01</t>
        </is>
      </c>
      <c r="B16" s="3" t="n">
        <v>45717</v>
      </c>
      <c r="C16" s="18" t="n">
        <v>150728.89</v>
      </c>
    </row>
    <row r="17">
      <c r="A17" s="2" t="inlineStr">
        <is>
          <t>L01</t>
        </is>
      </c>
      <c r="B17" s="3" t="n">
        <v>45748</v>
      </c>
      <c r="C17" s="18" t="n">
        <v>147142.34</v>
      </c>
    </row>
    <row r="18">
      <c r="A18" s="2" t="inlineStr">
        <is>
          <t>L01</t>
        </is>
      </c>
      <c r="B18" s="3" t="n">
        <v>45778</v>
      </c>
      <c r="C18" s="18" t="n">
        <v>134515.37</v>
      </c>
    </row>
    <row r="19">
      <c r="A19" s="2" t="inlineStr">
        <is>
          <t>L01</t>
        </is>
      </c>
      <c r="B19" s="3" t="n">
        <v>45809</v>
      </c>
      <c r="C19" s="18" t="n">
        <v>149971.01</v>
      </c>
    </row>
    <row r="20">
      <c r="A20" s="2" t="inlineStr">
        <is>
          <t>L01</t>
        </is>
      </c>
      <c r="B20" s="3" t="n">
        <v>45839</v>
      </c>
      <c r="C20" s="18" t="n">
        <v>137606.5</v>
      </c>
    </row>
    <row r="21">
      <c r="A21" s="2" t="inlineStr">
        <is>
          <t>L01</t>
        </is>
      </c>
      <c r="B21" s="3" t="n">
        <v>45870</v>
      </c>
      <c r="C21" s="18" t="n">
        <v>161726.64</v>
      </c>
    </row>
    <row r="22">
      <c r="A22" s="2" t="inlineStr">
        <is>
          <t>L01</t>
        </is>
      </c>
      <c r="B22" s="3" t="n">
        <v>45901</v>
      </c>
      <c r="C22" s="18" t="n">
        <v>149985.14</v>
      </c>
    </row>
    <row r="23">
      <c r="A23" s="2" t="inlineStr">
        <is>
          <t>L01</t>
        </is>
      </c>
      <c r="B23" s="3" t="n">
        <v>45931</v>
      </c>
      <c r="C23" s="18" t="n">
        <v>161923.17</v>
      </c>
    </row>
    <row r="24">
      <c r="A24" s="2" t="inlineStr">
        <is>
          <t>L01</t>
        </is>
      </c>
      <c r="B24" s="3" t="n">
        <v>45962</v>
      </c>
      <c r="C24" s="18" t="n">
        <v>139205.43</v>
      </c>
    </row>
    <row r="25">
      <c r="A25" s="2" t="inlineStr">
        <is>
          <t>L01</t>
        </is>
      </c>
      <c r="B25" s="3" t="n">
        <v>45992</v>
      </c>
      <c r="C25" s="18" t="n">
        <v>156055.96</v>
      </c>
    </row>
    <row r="26">
      <c r="A26" s="2" t="inlineStr">
        <is>
          <t>L02</t>
        </is>
      </c>
      <c r="B26" s="3" t="n">
        <v>45292</v>
      </c>
      <c r="C26" s="18" t="n">
        <v>79559.02</v>
      </c>
    </row>
    <row r="27">
      <c r="A27" s="2" t="inlineStr">
        <is>
          <t>L02</t>
        </is>
      </c>
      <c r="B27" s="3" t="n">
        <v>45323</v>
      </c>
      <c r="C27" s="18" t="n">
        <v>87256.39999999999</v>
      </c>
    </row>
    <row r="28">
      <c r="A28" s="2" t="inlineStr">
        <is>
          <t>L02</t>
        </is>
      </c>
      <c r="B28" s="3" t="n">
        <v>45352</v>
      </c>
      <c r="C28" s="18" t="n">
        <v>88418.85000000001</v>
      </c>
    </row>
    <row r="29">
      <c r="A29" s="2" t="inlineStr">
        <is>
          <t>L02</t>
        </is>
      </c>
      <c r="B29" s="3" t="n">
        <v>45383</v>
      </c>
      <c r="C29" s="18" t="n">
        <v>92097</v>
      </c>
    </row>
    <row r="30">
      <c r="A30" s="2" t="inlineStr">
        <is>
          <t>L02</t>
        </is>
      </c>
      <c r="B30" s="3" t="n">
        <v>45413</v>
      </c>
      <c r="C30" s="18" t="n">
        <v>94504.87</v>
      </c>
    </row>
    <row r="31">
      <c r="A31" s="2" t="inlineStr">
        <is>
          <t>L02</t>
        </is>
      </c>
      <c r="B31" s="3" t="n">
        <v>45444</v>
      </c>
      <c r="C31" s="18" t="n">
        <v>88606.02</v>
      </c>
    </row>
    <row r="32">
      <c r="A32" s="2" t="inlineStr">
        <is>
          <t>L02</t>
        </is>
      </c>
      <c r="B32" s="3" t="n">
        <v>45474</v>
      </c>
      <c r="C32" s="18" t="n">
        <v>82540.88</v>
      </c>
    </row>
    <row r="33">
      <c r="A33" s="2" t="inlineStr">
        <is>
          <t>L02</t>
        </is>
      </c>
      <c r="B33" s="3" t="n">
        <v>45505</v>
      </c>
      <c r="C33" s="18" t="n">
        <v>84302.69</v>
      </c>
    </row>
    <row r="34">
      <c r="A34" s="2" t="inlineStr">
        <is>
          <t>L02</t>
        </is>
      </c>
      <c r="B34" s="3" t="n">
        <v>45536</v>
      </c>
      <c r="C34" s="18" t="n">
        <v>84268.7</v>
      </c>
    </row>
    <row r="35">
      <c r="A35" s="2" t="inlineStr">
        <is>
          <t>L02</t>
        </is>
      </c>
      <c r="B35" s="3" t="n">
        <v>45566</v>
      </c>
      <c r="C35" s="18" t="n">
        <v>89469.19</v>
      </c>
    </row>
    <row r="36">
      <c r="A36" s="2" t="inlineStr">
        <is>
          <t>L02</t>
        </is>
      </c>
      <c r="B36" s="3" t="n">
        <v>45597</v>
      </c>
      <c r="C36" s="18" t="n">
        <v>91226.56</v>
      </c>
    </row>
    <row r="37">
      <c r="A37" s="2" t="inlineStr">
        <is>
          <t>L02</t>
        </is>
      </c>
      <c r="B37" s="3" t="n">
        <v>45627</v>
      </c>
      <c r="C37" s="18" t="n">
        <v>91408.58</v>
      </c>
    </row>
    <row r="38">
      <c r="A38" s="2" t="inlineStr">
        <is>
          <t>L02</t>
        </is>
      </c>
      <c r="B38" s="3" t="n">
        <v>45658</v>
      </c>
      <c r="C38" s="18" t="n">
        <v>78041.25</v>
      </c>
    </row>
    <row r="39">
      <c r="A39" s="2" t="inlineStr">
        <is>
          <t>L02</t>
        </is>
      </c>
      <c r="B39" s="3" t="n">
        <v>45689</v>
      </c>
      <c r="C39" s="18" t="n">
        <v>83099.45</v>
      </c>
    </row>
    <row r="40">
      <c r="A40" s="2" t="inlineStr">
        <is>
          <t>L02</t>
        </is>
      </c>
      <c r="B40" s="3" t="n">
        <v>45717</v>
      </c>
      <c r="C40" s="18" t="n">
        <v>92638.92999999999</v>
      </c>
    </row>
    <row r="41">
      <c r="A41" s="2" t="inlineStr">
        <is>
          <t>L02</t>
        </is>
      </c>
      <c r="B41" s="3" t="n">
        <v>45748</v>
      </c>
      <c r="C41" s="18" t="n">
        <v>76871.74000000001</v>
      </c>
    </row>
    <row r="42">
      <c r="A42" s="2" t="inlineStr">
        <is>
          <t>L02</t>
        </is>
      </c>
      <c r="B42" s="3" t="n">
        <v>45778</v>
      </c>
      <c r="C42" s="18" t="n">
        <v>79656.75999999999</v>
      </c>
    </row>
    <row r="43">
      <c r="A43" s="2" t="inlineStr">
        <is>
          <t>L02</t>
        </is>
      </c>
      <c r="B43" s="3" t="n">
        <v>45809</v>
      </c>
      <c r="C43" s="18" t="n">
        <v>84564.87</v>
      </c>
    </row>
    <row r="44">
      <c r="A44" s="2" t="inlineStr">
        <is>
          <t>L02</t>
        </is>
      </c>
      <c r="B44" s="3" t="n">
        <v>45839</v>
      </c>
      <c r="C44" s="18" t="n">
        <v>93568.91</v>
      </c>
    </row>
    <row r="45">
      <c r="A45" s="2" t="inlineStr">
        <is>
          <t>L02</t>
        </is>
      </c>
      <c r="B45" s="3" t="n">
        <v>45870</v>
      </c>
      <c r="C45" s="18" t="n">
        <v>90370.8</v>
      </c>
    </row>
    <row r="46">
      <c r="A46" s="2" t="inlineStr">
        <is>
          <t>L02</t>
        </is>
      </c>
      <c r="B46" s="3" t="n">
        <v>45901</v>
      </c>
      <c r="C46" s="18" t="n">
        <v>85195</v>
      </c>
    </row>
    <row r="47">
      <c r="A47" s="2" t="inlineStr">
        <is>
          <t>L02</t>
        </is>
      </c>
      <c r="B47" s="3" t="n">
        <v>45931</v>
      </c>
      <c r="C47" s="18" t="n">
        <v>91074.25999999999</v>
      </c>
    </row>
    <row r="48">
      <c r="A48" s="2" t="inlineStr">
        <is>
          <t>L02</t>
        </is>
      </c>
      <c r="B48" s="3" t="n">
        <v>45962</v>
      </c>
      <c r="C48" s="18" t="n">
        <v>84030.19</v>
      </c>
    </row>
    <row r="49">
      <c r="A49" s="2" t="inlineStr">
        <is>
          <t>L02</t>
        </is>
      </c>
      <c r="B49" s="3" t="n">
        <v>45992</v>
      </c>
      <c r="C49" s="18" t="n">
        <v>76698.17999999999</v>
      </c>
    </row>
    <row r="50">
      <c r="A50" s="2" t="inlineStr">
        <is>
          <t>L03</t>
        </is>
      </c>
      <c r="B50" s="3" t="n">
        <v>45292</v>
      </c>
      <c r="C50" s="18" t="n">
        <v>116416.81</v>
      </c>
    </row>
    <row r="51">
      <c r="A51" s="2" t="inlineStr">
        <is>
          <t>L03</t>
        </is>
      </c>
      <c r="B51" s="3" t="n">
        <v>45323</v>
      </c>
      <c r="C51" s="18" t="n">
        <v>102466.64</v>
      </c>
    </row>
    <row r="52">
      <c r="A52" s="2" t="inlineStr">
        <is>
          <t>L03</t>
        </is>
      </c>
      <c r="B52" s="3" t="n">
        <v>45352</v>
      </c>
      <c r="C52" s="18" t="n">
        <v>112618.98</v>
      </c>
    </row>
    <row r="53">
      <c r="A53" s="2" t="inlineStr">
        <is>
          <t>L03</t>
        </is>
      </c>
      <c r="B53" s="3" t="n">
        <v>45383</v>
      </c>
      <c r="C53" s="18" t="n">
        <v>112906.51</v>
      </c>
    </row>
    <row r="54">
      <c r="A54" s="2" t="inlineStr">
        <is>
          <t>L03</t>
        </is>
      </c>
      <c r="B54" s="3" t="n">
        <v>45413</v>
      </c>
      <c r="C54" s="18" t="n">
        <v>116016.74</v>
      </c>
    </row>
    <row r="55">
      <c r="A55" s="2" t="inlineStr">
        <is>
          <t>L03</t>
        </is>
      </c>
      <c r="B55" s="3" t="n">
        <v>45444</v>
      </c>
      <c r="C55" s="18" t="n">
        <v>114394.95</v>
      </c>
    </row>
    <row r="56">
      <c r="A56" s="2" t="inlineStr">
        <is>
          <t>L03</t>
        </is>
      </c>
      <c r="B56" s="3" t="n">
        <v>45474</v>
      </c>
      <c r="C56" s="18" t="n">
        <v>109462.24</v>
      </c>
    </row>
    <row r="57">
      <c r="A57" s="2" t="inlineStr">
        <is>
          <t>L03</t>
        </is>
      </c>
      <c r="B57" s="3" t="n">
        <v>45505</v>
      </c>
      <c r="C57" s="18" t="n">
        <v>119386.73</v>
      </c>
    </row>
    <row r="58">
      <c r="A58" s="2" t="inlineStr">
        <is>
          <t>L03</t>
        </is>
      </c>
      <c r="B58" s="3" t="n">
        <v>45536</v>
      </c>
      <c r="C58" s="18" t="n">
        <v>108839.22</v>
      </c>
    </row>
    <row r="59">
      <c r="A59" s="2" t="inlineStr">
        <is>
          <t>L03</t>
        </is>
      </c>
      <c r="B59" s="3" t="n">
        <v>45566</v>
      </c>
      <c r="C59" s="18" t="n">
        <v>119924.9</v>
      </c>
    </row>
    <row r="60">
      <c r="A60" s="2" t="inlineStr">
        <is>
          <t>L03</t>
        </is>
      </c>
      <c r="B60" s="3" t="n">
        <v>45597</v>
      </c>
      <c r="C60" s="18" t="n">
        <v>114607.09</v>
      </c>
    </row>
    <row r="61">
      <c r="A61" s="2" t="inlineStr">
        <is>
          <t>L03</t>
        </is>
      </c>
      <c r="B61" s="3" t="n">
        <v>45627</v>
      </c>
      <c r="C61" s="18" t="n">
        <v>106286.77</v>
      </c>
    </row>
    <row r="62">
      <c r="A62" s="2" t="inlineStr">
        <is>
          <t>L03</t>
        </is>
      </c>
      <c r="B62" s="3" t="n">
        <v>45658</v>
      </c>
      <c r="C62" s="18" t="n">
        <v>109928.96</v>
      </c>
    </row>
    <row r="63">
      <c r="A63" s="2" t="inlineStr">
        <is>
          <t>L03</t>
        </is>
      </c>
      <c r="B63" s="3" t="n">
        <v>45689</v>
      </c>
      <c r="C63" s="18" t="n">
        <v>110831.15</v>
      </c>
    </row>
    <row r="64">
      <c r="A64" s="2" t="inlineStr">
        <is>
          <t>L03</t>
        </is>
      </c>
      <c r="B64" s="3" t="n">
        <v>45717</v>
      </c>
      <c r="C64" s="18" t="n">
        <v>119377.24</v>
      </c>
    </row>
    <row r="65">
      <c r="A65" s="2" t="inlineStr">
        <is>
          <t>L03</t>
        </is>
      </c>
      <c r="B65" s="3" t="n">
        <v>45748</v>
      </c>
      <c r="C65" s="18" t="n">
        <v>116077.09</v>
      </c>
    </row>
    <row r="66">
      <c r="A66" s="2" t="inlineStr">
        <is>
          <t>L03</t>
        </is>
      </c>
      <c r="B66" s="3" t="n">
        <v>45778</v>
      </c>
      <c r="C66" s="18" t="n">
        <v>106697.99</v>
      </c>
    </row>
    <row r="67">
      <c r="A67" s="2" t="inlineStr">
        <is>
          <t>L03</t>
        </is>
      </c>
      <c r="B67" s="3" t="n">
        <v>45809</v>
      </c>
      <c r="C67" s="18" t="n">
        <v>114939.54</v>
      </c>
    </row>
    <row r="68">
      <c r="A68" s="2" t="inlineStr">
        <is>
          <t>L03</t>
        </is>
      </c>
      <c r="B68" s="3" t="n">
        <v>45839</v>
      </c>
      <c r="C68" s="18" t="n">
        <v>100270.44</v>
      </c>
    </row>
    <row r="69">
      <c r="A69" s="2" t="inlineStr">
        <is>
          <t>L03</t>
        </is>
      </c>
      <c r="B69" s="3" t="n">
        <v>45870</v>
      </c>
      <c r="C69" s="18" t="n">
        <v>121290.06</v>
      </c>
    </row>
    <row r="70">
      <c r="A70" s="2" t="inlineStr">
        <is>
          <t>L03</t>
        </is>
      </c>
      <c r="B70" s="3" t="n">
        <v>45901</v>
      </c>
      <c r="C70" s="18" t="n">
        <v>103260.07</v>
      </c>
    </row>
    <row r="71">
      <c r="A71" s="2" t="inlineStr">
        <is>
          <t>L03</t>
        </is>
      </c>
      <c r="B71" s="3" t="n">
        <v>45931</v>
      </c>
      <c r="C71" s="18" t="n">
        <v>105015.74</v>
      </c>
    </row>
    <row r="72">
      <c r="A72" s="2" t="inlineStr">
        <is>
          <t>L03</t>
        </is>
      </c>
      <c r="B72" s="3" t="n">
        <v>45962</v>
      </c>
      <c r="C72" s="18" t="n">
        <v>108693.37</v>
      </c>
    </row>
    <row r="73">
      <c r="A73" s="2" t="inlineStr">
        <is>
          <t>L03</t>
        </is>
      </c>
      <c r="B73" s="3" t="n">
        <v>45992</v>
      </c>
      <c r="C73" s="18" t="n">
        <v>110923.57</v>
      </c>
    </row>
    <row r="74">
      <c r="A74" s="2" t="inlineStr">
        <is>
          <t>L04</t>
        </is>
      </c>
      <c r="B74" s="3" t="n">
        <v>45292</v>
      </c>
      <c r="C74" s="18" t="n">
        <v>83843.44</v>
      </c>
    </row>
    <row r="75">
      <c r="A75" s="2" t="inlineStr">
        <is>
          <t>L04</t>
        </is>
      </c>
      <c r="B75" s="3" t="n">
        <v>45323</v>
      </c>
      <c r="C75" s="18" t="n">
        <v>94965.52</v>
      </c>
    </row>
    <row r="76">
      <c r="A76" s="2" t="inlineStr">
        <is>
          <t>L04</t>
        </is>
      </c>
      <c r="B76" s="3" t="n">
        <v>45352</v>
      </c>
      <c r="C76" s="18" t="n">
        <v>82211.07000000001</v>
      </c>
    </row>
    <row r="77">
      <c r="A77" s="2" t="inlineStr">
        <is>
          <t>L04</t>
        </is>
      </c>
      <c r="B77" s="3" t="n">
        <v>45383</v>
      </c>
      <c r="C77" s="18" t="n">
        <v>89570.78999999999</v>
      </c>
    </row>
    <row r="78">
      <c r="A78" s="2" t="inlineStr">
        <is>
          <t>L04</t>
        </is>
      </c>
      <c r="B78" s="3" t="n">
        <v>45413</v>
      </c>
      <c r="C78" s="18" t="n">
        <v>99817.22</v>
      </c>
    </row>
    <row r="79">
      <c r="A79" s="2" t="inlineStr">
        <is>
          <t>L04</t>
        </is>
      </c>
      <c r="B79" s="3" t="n">
        <v>45444</v>
      </c>
      <c r="C79" s="18" t="n">
        <v>97066.21000000001</v>
      </c>
    </row>
    <row r="80">
      <c r="A80" s="2" t="inlineStr">
        <is>
          <t>L04</t>
        </is>
      </c>
      <c r="B80" s="3" t="n">
        <v>45474</v>
      </c>
      <c r="C80" s="18" t="n">
        <v>86299.25999999999</v>
      </c>
    </row>
    <row r="81">
      <c r="A81" s="2" t="inlineStr">
        <is>
          <t>L04</t>
        </is>
      </c>
      <c r="B81" s="3" t="n">
        <v>45505</v>
      </c>
      <c r="C81" s="18" t="n">
        <v>92303.91</v>
      </c>
    </row>
    <row r="82">
      <c r="A82" s="2" t="inlineStr">
        <is>
          <t>L04</t>
        </is>
      </c>
      <c r="B82" s="3" t="n">
        <v>45536</v>
      </c>
      <c r="C82" s="18" t="n">
        <v>93315.06</v>
      </c>
    </row>
    <row r="83">
      <c r="A83" s="2" t="inlineStr">
        <is>
          <t>L04</t>
        </is>
      </c>
      <c r="B83" s="3" t="n">
        <v>45566</v>
      </c>
      <c r="C83" s="18" t="n">
        <v>87054.39</v>
      </c>
    </row>
    <row r="84">
      <c r="A84" s="2" t="inlineStr">
        <is>
          <t>L04</t>
        </is>
      </c>
      <c r="B84" s="3" t="n">
        <v>45597</v>
      </c>
      <c r="C84" s="18" t="n">
        <v>85577.71000000001</v>
      </c>
    </row>
    <row r="85">
      <c r="A85" s="2" t="inlineStr">
        <is>
          <t>L04</t>
        </is>
      </c>
      <c r="B85" s="3" t="n">
        <v>45627</v>
      </c>
      <c r="C85" s="18" t="n">
        <v>92376.46000000001</v>
      </c>
    </row>
    <row r="86">
      <c r="A86" s="2" t="inlineStr">
        <is>
          <t>L04</t>
        </is>
      </c>
      <c r="B86" s="3" t="n">
        <v>45658</v>
      </c>
      <c r="C86" s="18" t="n">
        <v>92632.14999999999</v>
      </c>
    </row>
    <row r="87">
      <c r="A87" s="2" t="inlineStr">
        <is>
          <t>L04</t>
        </is>
      </c>
      <c r="B87" s="3" t="n">
        <v>45689</v>
      </c>
      <c r="C87" s="18" t="n">
        <v>86488.10000000001</v>
      </c>
    </row>
    <row r="88">
      <c r="A88" s="2" t="inlineStr">
        <is>
          <t>L04</t>
        </is>
      </c>
      <c r="B88" s="3" t="n">
        <v>45717</v>
      </c>
      <c r="C88" s="18" t="n">
        <v>97902.7</v>
      </c>
    </row>
    <row r="89">
      <c r="A89" s="2" t="inlineStr">
        <is>
          <t>L04</t>
        </is>
      </c>
      <c r="B89" s="3" t="n">
        <v>45748</v>
      </c>
      <c r="C89" s="18" t="n">
        <v>95638.97</v>
      </c>
    </row>
    <row r="90">
      <c r="A90" s="2" t="inlineStr">
        <is>
          <t>L04</t>
        </is>
      </c>
      <c r="B90" s="3" t="n">
        <v>45778</v>
      </c>
      <c r="C90" s="18" t="n">
        <v>94303</v>
      </c>
    </row>
    <row r="91">
      <c r="A91" s="2" t="inlineStr">
        <is>
          <t>L04</t>
        </is>
      </c>
      <c r="B91" s="3" t="n">
        <v>45809</v>
      </c>
      <c r="C91" s="18" t="n">
        <v>98129.5</v>
      </c>
    </row>
    <row r="92">
      <c r="A92" s="2" t="inlineStr">
        <is>
          <t>L04</t>
        </is>
      </c>
      <c r="B92" s="3" t="n">
        <v>45839</v>
      </c>
      <c r="C92" s="18" t="n">
        <v>96665.45</v>
      </c>
    </row>
    <row r="93">
      <c r="A93" s="2" t="inlineStr">
        <is>
          <t>L04</t>
        </is>
      </c>
      <c r="B93" s="3" t="n">
        <v>45870</v>
      </c>
      <c r="C93" s="18" t="n">
        <v>94640.00999999999</v>
      </c>
    </row>
    <row r="94">
      <c r="A94" s="2" t="inlineStr">
        <is>
          <t>L04</t>
        </is>
      </c>
      <c r="B94" s="3" t="n">
        <v>45901</v>
      </c>
      <c r="C94" s="18" t="n">
        <v>84455.45</v>
      </c>
    </row>
    <row r="95">
      <c r="A95" s="2" t="inlineStr">
        <is>
          <t>L04</t>
        </is>
      </c>
      <c r="B95" s="3" t="n">
        <v>45931</v>
      </c>
      <c r="C95" s="18" t="n">
        <v>90282.44</v>
      </c>
    </row>
    <row r="96">
      <c r="A96" s="2" t="inlineStr">
        <is>
          <t>L04</t>
        </is>
      </c>
      <c r="B96" s="3" t="n">
        <v>45962</v>
      </c>
      <c r="C96" s="18" t="n">
        <v>94739.48</v>
      </c>
    </row>
    <row r="97">
      <c r="A97" s="2" t="inlineStr">
        <is>
          <t>L04</t>
        </is>
      </c>
      <c r="B97" s="3" t="n">
        <v>45992</v>
      </c>
      <c r="C97" s="18" t="n">
        <v>87620.60000000001</v>
      </c>
    </row>
    <row r="98">
      <c r="A98" s="2" t="inlineStr">
        <is>
          <t>L05</t>
        </is>
      </c>
      <c r="B98" s="3" t="n">
        <v>45292</v>
      </c>
      <c r="C98" s="18" t="n">
        <v>73599.88</v>
      </c>
    </row>
    <row r="99">
      <c r="A99" s="2" t="inlineStr">
        <is>
          <t>L05</t>
        </is>
      </c>
      <c r="B99" s="3" t="n">
        <v>45323</v>
      </c>
      <c r="C99" s="18" t="n">
        <v>84395.36</v>
      </c>
    </row>
    <row r="100">
      <c r="A100" s="2" t="inlineStr">
        <is>
          <t>L05</t>
        </is>
      </c>
      <c r="B100" s="3" t="n">
        <v>45352</v>
      </c>
      <c r="C100" s="18" t="n">
        <v>84374.08</v>
      </c>
    </row>
    <row r="101">
      <c r="A101" s="2" t="inlineStr">
        <is>
          <t>L05</t>
        </is>
      </c>
      <c r="B101" s="3" t="n">
        <v>45383</v>
      </c>
      <c r="C101" s="18" t="n">
        <v>71892.11</v>
      </c>
    </row>
    <row r="102">
      <c r="A102" s="2" t="inlineStr">
        <is>
          <t>L05</t>
        </is>
      </c>
      <c r="B102" s="3" t="n">
        <v>45413</v>
      </c>
      <c r="C102" s="18" t="n">
        <v>73997.77</v>
      </c>
    </row>
    <row r="103">
      <c r="A103" s="2" t="inlineStr">
        <is>
          <t>L05</t>
        </is>
      </c>
      <c r="B103" s="3" t="n">
        <v>45444</v>
      </c>
      <c r="C103" s="18" t="n">
        <v>70537.95</v>
      </c>
    </row>
    <row r="104">
      <c r="A104" s="2" t="inlineStr">
        <is>
          <t>L05</t>
        </is>
      </c>
      <c r="B104" s="3" t="n">
        <v>45474</v>
      </c>
      <c r="C104" s="18" t="n">
        <v>78460.86</v>
      </c>
    </row>
    <row r="105">
      <c r="A105" s="2" t="inlineStr">
        <is>
          <t>L05</t>
        </is>
      </c>
      <c r="B105" s="3" t="n">
        <v>45505</v>
      </c>
      <c r="C105" s="18" t="n">
        <v>74957.34</v>
      </c>
    </row>
    <row r="106">
      <c r="A106" s="2" t="inlineStr">
        <is>
          <t>L05</t>
        </is>
      </c>
      <c r="B106" s="3" t="n">
        <v>45536</v>
      </c>
      <c r="C106" s="18" t="n">
        <v>74465.14999999999</v>
      </c>
    </row>
    <row r="107">
      <c r="A107" s="2" t="inlineStr">
        <is>
          <t>L05</t>
        </is>
      </c>
      <c r="B107" s="3" t="n">
        <v>45566</v>
      </c>
      <c r="C107" s="18" t="n">
        <v>85612.19</v>
      </c>
    </row>
    <row r="108">
      <c r="A108" s="2" t="inlineStr">
        <is>
          <t>L05</t>
        </is>
      </c>
      <c r="B108" s="3" t="n">
        <v>45597</v>
      </c>
      <c r="C108" s="18" t="n">
        <v>81855.31</v>
      </c>
    </row>
    <row r="109">
      <c r="A109" s="2" t="inlineStr">
        <is>
          <t>L05</t>
        </is>
      </c>
      <c r="B109" s="3" t="n">
        <v>45627</v>
      </c>
      <c r="C109" s="18" t="n">
        <v>71066.13</v>
      </c>
    </row>
    <row r="110">
      <c r="A110" s="2" t="inlineStr">
        <is>
          <t>L05</t>
        </is>
      </c>
      <c r="B110" s="3" t="n">
        <v>45658</v>
      </c>
      <c r="C110" s="18" t="n">
        <v>87115.64999999999</v>
      </c>
    </row>
    <row r="111">
      <c r="A111" s="2" t="inlineStr">
        <is>
          <t>L05</t>
        </is>
      </c>
      <c r="B111" s="3" t="n">
        <v>45689</v>
      </c>
      <c r="C111" s="18" t="n">
        <v>77460.41</v>
      </c>
    </row>
    <row r="112">
      <c r="A112" s="2" t="inlineStr">
        <is>
          <t>L05</t>
        </is>
      </c>
      <c r="B112" s="3" t="n">
        <v>45717</v>
      </c>
      <c r="C112" s="18" t="n">
        <v>71941.24000000001</v>
      </c>
    </row>
    <row r="113">
      <c r="A113" s="2" t="inlineStr">
        <is>
          <t>L05</t>
        </is>
      </c>
      <c r="B113" s="3" t="n">
        <v>45748</v>
      </c>
      <c r="C113" s="18" t="n">
        <v>73266.72</v>
      </c>
    </row>
    <row r="114">
      <c r="A114" s="2" t="inlineStr">
        <is>
          <t>L05</t>
        </is>
      </c>
      <c r="B114" s="3" t="n">
        <v>45778</v>
      </c>
      <c r="C114" s="18" t="n">
        <v>75229.94</v>
      </c>
    </row>
    <row r="115">
      <c r="A115" s="2" t="inlineStr">
        <is>
          <t>L05</t>
        </is>
      </c>
      <c r="B115" s="3" t="n">
        <v>45809</v>
      </c>
      <c r="C115" s="18" t="n">
        <v>78362.21000000001</v>
      </c>
    </row>
    <row r="116">
      <c r="A116" s="2" t="inlineStr">
        <is>
          <t>L05</t>
        </is>
      </c>
      <c r="B116" s="3" t="n">
        <v>45839</v>
      </c>
      <c r="C116" s="18" t="n">
        <v>74550.03</v>
      </c>
    </row>
    <row r="117">
      <c r="A117" s="2" t="inlineStr">
        <is>
          <t>L05</t>
        </is>
      </c>
      <c r="B117" s="3" t="n">
        <v>45870</v>
      </c>
      <c r="C117" s="18" t="n">
        <v>81071.56</v>
      </c>
    </row>
    <row r="118">
      <c r="A118" s="2" t="inlineStr">
        <is>
          <t>L05</t>
        </is>
      </c>
      <c r="B118" s="3" t="n">
        <v>45901</v>
      </c>
      <c r="C118" s="18" t="n">
        <v>79444.67</v>
      </c>
    </row>
    <row r="119">
      <c r="A119" s="2" t="inlineStr">
        <is>
          <t>L05</t>
        </is>
      </c>
      <c r="B119" s="3" t="n">
        <v>45931</v>
      </c>
      <c r="C119" s="18" t="n">
        <v>73475.46000000001</v>
      </c>
    </row>
    <row r="120">
      <c r="A120" s="2" t="inlineStr">
        <is>
          <t>L05</t>
        </is>
      </c>
      <c r="B120" s="3" t="n">
        <v>45962</v>
      </c>
      <c r="C120" s="18" t="n">
        <v>84252.87</v>
      </c>
    </row>
    <row r="121">
      <c r="A121" s="2" t="inlineStr">
        <is>
          <t>L05</t>
        </is>
      </c>
      <c r="B121" s="3" t="n">
        <v>45992</v>
      </c>
      <c r="C121" s="18" t="n">
        <v>72898.97</v>
      </c>
    </row>
    <row r="122">
      <c r="A122" s="2" t="inlineStr">
        <is>
          <t>L06</t>
        </is>
      </c>
      <c r="B122" s="3" t="n">
        <v>45292</v>
      </c>
      <c r="C122" s="18" t="n">
        <v>68628.96000000001</v>
      </c>
    </row>
    <row r="123">
      <c r="A123" s="2" t="inlineStr">
        <is>
          <t>L06</t>
        </is>
      </c>
      <c r="B123" s="3" t="n">
        <v>45323</v>
      </c>
      <c r="C123" s="18" t="n">
        <v>70293.96000000001</v>
      </c>
    </row>
    <row r="124">
      <c r="A124" s="2" t="inlineStr">
        <is>
          <t>L06</t>
        </is>
      </c>
      <c r="B124" s="3" t="n">
        <v>45352</v>
      </c>
      <c r="C124" s="18" t="n">
        <v>69935.28</v>
      </c>
    </row>
    <row r="125">
      <c r="A125" s="2" t="inlineStr">
        <is>
          <t>L06</t>
        </is>
      </c>
      <c r="B125" s="3" t="n">
        <v>45383</v>
      </c>
      <c r="C125" s="18" t="n">
        <v>65950.35000000001</v>
      </c>
    </row>
    <row r="126">
      <c r="A126" s="2" t="inlineStr">
        <is>
          <t>L06</t>
        </is>
      </c>
      <c r="B126" s="3" t="n">
        <v>45413</v>
      </c>
      <c r="C126" s="18" t="n">
        <v>65563.45</v>
      </c>
    </row>
    <row r="127">
      <c r="A127" s="2" t="inlineStr">
        <is>
          <t>L06</t>
        </is>
      </c>
      <c r="B127" s="3" t="n">
        <v>45444</v>
      </c>
      <c r="C127" s="18" t="n">
        <v>68736.84</v>
      </c>
    </row>
    <row r="128">
      <c r="A128" s="2" t="inlineStr">
        <is>
          <t>L06</t>
        </is>
      </c>
      <c r="B128" s="3" t="n">
        <v>45474</v>
      </c>
      <c r="C128" s="18" t="n">
        <v>66891.97</v>
      </c>
    </row>
    <row r="129">
      <c r="A129" s="2" t="inlineStr">
        <is>
          <t>L06</t>
        </is>
      </c>
      <c r="B129" s="3" t="n">
        <v>45505</v>
      </c>
      <c r="C129" s="18" t="n">
        <v>66318.07000000001</v>
      </c>
    </row>
    <row r="130">
      <c r="A130" s="2" t="inlineStr">
        <is>
          <t>L06</t>
        </is>
      </c>
      <c r="B130" s="3" t="n">
        <v>45536</v>
      </c>
      <c r="C130" s="18" t="n">
        <v>65248.86</v>
      </c>
    </row>
    <row r="131">
      <c r="A131" s="2" t="inlineStr">
        <is>
          <t>L06</t>
        </is>
      </c>
      <c r="B131" s="3" t="n">
        <v>45566</v>
      </c>
      <c r="C131" s="18" t="n">
        <v>76025.84</v>
      </c>
    </row>
    <row r="132">
      <c r="A132" s="2" t="inlineStr">
        <is>
          <t>L06</t>
        </is>
      </c>
      <c r="B132" s="3" t="n">
        <v>45597</v>
      </c>
      <c r="C132" s="18" t="n">
        <v>70591.7</v>
      </c>
    </row>
    <row r="133">
      <c r="A133" s="2" t="inlineStr">
        <is>
          <t>L06</t>
        </is>
      </c>
      <c r="B133" s="3" t="n">
        <v>45627</v>
      </c>
      <c r="C133" s="18" t="n">
        <v>70446.88</v>
      </c>
    </row>
    <row r="134">
      <c r="A134" s="2" t="inlineStr">
        <is>
          <t>L06</t>
        </is>
      </c>
      <c r="B134" s="3" t="n">
        <v>45658</v>
      </c>
      <c r="C134" s="18" t="n">
        <v>73263.64999999999</v>
      </c>
    </row>
    <row r="135">
      <c r="A135" s="2" t="inlineStr">
        <is>
          <t>L06</t>
        </is>
      </c>
      <c r="B135" s="3" t="n">
        <v>45689</v>
      </c>
      <c r="C135" s="18" t="n">
        <v>72698.72</v>
      </c>
    </row>
    <row r="136">
      <c r="A136" s="2" t="inlineStr">
        <is>
          <t>L06</t>
        </is>
      </c>
      <c r="B136" s="3" t="n">
        <v>45717</v>
      </c>
      <c r="C136" s="18" t="n">
        <v>77534.91</v>
      </c>
    </row>
    <row r="137">
      <c r="A137" s="2" t="inlineStr">
        <is>
          <t>L06</t>
        </is>
      </c>
      <c r="B137" s="3" t="n">
        <v>45748</v>
      </c>
      <c r="C137" s="18" t="n">
        <v>79943.39</v>
      </c>
    </row>
    <row r="138">
      <c r="A138" s="2" t="inlineStr">
        <is>
          <t>L06</t>
        </is>
      </c>
      <c r="B138" s="3" t="n">
        <v>45778</v>
      </c>
      <c r="C138" s="18" t="n">
        <v>69025.69</v>
      </c>
    </row>
    <row r="139">
      <c r="A139" s="2" t="inlineStr">
        <is>
          <t>L06</t>
        </is>
      </c>
      <c r="B139" s="3" t="n">
        <v>45809</v>
      </c>
      <c r="C139" s="18" t="n">
        <v>80603.03999999999</v>
      </c>
    </row>
    <row r="140">
      <c r="A140" s="2" t="inlineStr">
        <is>
          <t>L06</t>
        </is>
      </c>
      <c r="B140" s="3" t="n">
        <v>45839</v>
      </c>
      <c r="C140" s="18" t="n">
        <v>65628.86</v>
      </c>
    </row>
    <row r="141">
      <c r="A141" s="2" t="inlineStr">
        <is>
          <t>L06</t>
        </is>
      </c>
      <c r="B141" s="3" t="n">
        <v>45870</v>
      </c>
      <c r="C141" s="18" t="n">
        <v>67205.87</v>
      </c>
    </row>
    <row r="142">
      <c r="A142" s="2" t="inlineStr">
        <is>
          <t>L06</t>
        </is>
      </c>
      <c r="B142" s="3" t="n">
        <v>45901</v>
      </c>
      <c r="C142" s="18" t="n">
        <v>78982.52</v>
      </c>
    </row>
    <row r="143">
      <c r="A143" s="2" t="inlineStr">
        <is>
          <t>L06</t>
        </is>
      </c>
      <c r="B143" s="3" t="n">
        <v>45931</v>
      </c>
      <c r="C143" s="18" t="n">
        <v>77754.25999999999</v>
      </c>
    </row>
    <row r="144">
      <c r="A144" s="2" t="inlineStr">
        <is>
          <t>L06</t>
        </is>
      </c>
      <c r="B144" s="3" t="n">
        <v>45962</v>
      </c>
      <c r="C144" s="18" t="n">
        <v>75493.64</v>
      </c>
    </row>
    <row r="145">
      <c r="A145" s="2" t="inlineStr">
        <is>
          <t>L06</t>
        </is>
      </c>
      <c r="B145" s="3" t="n">
        <v>45992</v>
      </c>
      <c r="C145" s="18" t="n">
        <v>79789.44</v>
      </c>
    </row>
    <row r="146">
      <c r="A146" s="2" t="inlineStr">
        <is>
          <t>L07</t>
        </is>
      </c>
      <c r="B146" s="3" t="n">
        <v>45292</v>
      </c>
      <c r="C146" s="18" t="n">
        <v>78921.56</v>
      </c>
    </row>
    <row r="147">
      <c r="A147" s="2" t="inlineStr">
        <is>
          <t>L07</t>
        </is>
      </c>
      <c r="B147" s="3" t="n">
        <v>45323</v>
      </c>
      <c r="C147" s="18" t="n">
        <v>73253.23</v>
      </c>
    </row>
    <row r="148">
      <c r="A148" s="2" t="inlineStr">
        <is>
          <t>L07</t>
        </is>
      </c>
      <c r="B148" s="3" t="n">
        <v>45352</v>
      </c>
      <c r="C148" s="18" t="n">
        <v>82449.67</v>
      </c>
    </row>
    <row r="149">
      <c r="A149" s="2" t="inlineStr">
        <is>
          <t>L07</t>
        </is>
      </c>
      <c r="B149" s="3" t="n">
        <v>45383</v>
      </c>
      <c r="C149" s="18" t="n">
        <v>74750.34</v>
      </c>
    </row>
    <row r="150">
      <c r="A150" s="2" t="inlineStr">
        <is>
          <t>L07</t>
        </is>
      </c>
      <c r="B150" s="3" t="n">
        <v>45413</v>
      </c>
      <c r="C150" s="18" t="n">
        <v>86309.02</v>
      </c>
    </row>
    <row r="151">
      <c r="A151" s="2" t="inlineStr">
        <is>
          <t>L07</t>
        </is>
      </c>
      <c r="B151" s="3" t="n">
        <v>45444</v>
      </c>
      <c r="C151" s="18" t="n">
        <v>87062.98</v>
      </c>
    </row>
    <row r="152">
      <c r="A152" s="2" t="inlineStr">
        <is>
          <t>L07</t>
        </is>
      </c>
      <c r="B152" s="3" t="n">
        <v>45474</v>
      </c>
      <c r="C152" s="18" t="n">
        <v>74316.09</v>
      </c>
    </row>
    <row r="153">
      <c r="A153" s="2" t="inlineStr">
        <is>
          <t>L07</t>
        </is>
      </c>
      <c r="B153" s="3" t="n">
        <v>45505</v>
      </c>
      <c r="C153" s="18" t="n">
        <v>76093.24000000001</v>
      </c>
    </row>
    <row r="154">
      <c r="A154" s="2" t="inlineStr">
        <is>
          <t>L07</t>
        </is>
      </c>
      <c r="B154" s="3" t="n">
        <v>45536</v>
      </c>
      <c r="C154" s="18" t="n">
        <v>86093.81</v>
      </c>
    </row>
    <row r="155">
      <c r="A155" s="2" t="inlineStr">
        <is>
          <t>L07</t>
        </is>
      </c>
      <c r="B155" s="3" t="n">
        <v>45566</v>
      </c>
      <c r="C155" s="18" t="n">
        <v>72626.44</v>
      </c>
    </row>
    <row r="156">
      <c r="A156" s="2" t="inlineStr">
        <is>
          <t>L07</t>
        </is>
      </c>
      <c r="B156" s="3" t="n">
        <v>45597</v>
      </c>
      <c r="C156" s="18" t="n">
        <v>80559.13</v>
      </c>
    </row>
    <row r="157">
      <c r="A157" s="2" t="inlineStr">
        <is>
          <t>L07</t>
        </is>
      </c>
      <c r="B157" s="3" t="n">
        <v>45627</v>
      </c>
      <c r="C157" s="18" t="n">
        <v>81096.96000000001</v>
      </c>
    </row>
    <row r="158">
      <c r="A158" s="2" t="inlineStr">
        <is>
          <t>L07</t>
        </is>
      </c>
      <c r="B158" s="3" t="n">
        <v>45658</v>
      </c>
      <c r="C158" s="18" t="n">
        <v>82320.33</v>
      </c>
    </row>
    <row r="159">
      <c r="A159" s="2" t="inlineStr">
        <is>
          <t>L07</t>
        </is>
      </c>
      <c r="B159" s="3" t="n">
        <v>45689</v>
      </c>
      <c r="C159" s="18" t="n">
        <v>86862.86</v>
      </c>
    </row>
    <row r="160">
      <c r="A160" s="2" t="inlineStr">
        <is>
          <t>L07</t>
        </is>
      </c>
      <c r="B160" s="3" t="n">
        <v>45717</v>
      </c>
      <c r="C160" s="18" t="n">
        <v>86472.39999999999</v>
      </c>
    </row>
    <row r="161">
      <c r="A161" s="2" t="inlineStr">
        <is>
          <t>L07</t>
        </is>
      </c>
      <c r="B161" s="3" t="n">
        <v>45748</v>
      </c>
      <c r="C161" s="18" t="n">
        <v>84896.58</v>
      </c>
    </row>
    <row r="162">
      <c r="A162" s="2" t="inlineStr">
        <is>
          <t>L07</t>
        </is>
      </c>
      <c r="B162" s="3" t="n">
        <v>45778</v>
      </c>
      <c r="C162" s="18" t="n">
        <v>87592.3</v>
      </c>
    </row>
    <row r="163">
      <c r="A163" s="2" t="inlineStr">
        <is>
          <t>L07</t>
        </is>
      </c>
      <c r="B163" s="3" t="n">
        <v>45809</v>
      </c>
      <c r="C163" s="18" t="n">
        <v>87900.17</v>
      </c>
    </row>
    <row r="164">
      <c r="A164" s="2" t="inlineStr">
        <is>
          <t>L07</t>
        </is>
      </c>
      <c r="B164" s="3" t="n">
        <v>45839</v>
      </c>
      <c r="C164" s="18" t="n">
        <v>78147.62</v>
      </c>
    </row>
    <row r="165">
      <c r="A165" s="2" t="inlineStr">
        <is>
          <t>L07</t>
        </is>
      </c>
      <c r="B165" s="3" t="n">
        <v>45870</v>
      </c>
      <c r="C165" s="18" t="n">
        <v>85075.44</v>
      </c>
    </row>
    <row r="166">
      <c r="A166" s="2" t="inlineStr">
        <is>
          <t>L07</t>
        </is>
      </c>
      <c r="B166" s="3" t="n">
        <v>45901</v>
      </c>
      <c r="C166" s="18" t="n">
        <v>84834.38</v>
      </c>
    </row>
    <row r="167">
      <c r="A167" s="2" t="inlineStr">
        <is>
          <t>L07</t>
        </is>
      </c>
      <c r="B167" s="3" t="n">
        <v>45931</v>
      </c>
      <c r="C167" s="18" t="n">
        <v>77457.06</v>
      </c>
    </row>
    <row r="168">
      <c r="A168" s="2" t="inlineStr">
        <is>
          <t>L07</t>
        </is>
      </c>
      <c r="B168" s="3" t="n">
        <v>45962</v>
      </c>
      <c r="C168" s="18" t="n">
        <v>88913.56</v>
      </c>
    </row>
    <row r="169">
      <c r="A169" s="2" t="inlineStr">
        <is>
          <t>L07</t>
        </is>
      </c>
      <c r="B169" s="3" t="n">
        <v>45992</v>
      </c>
      <c r="C169" s="18" t="n">
        <v>88396.17</v>
      </c>
    </row>
    <row r="170">
      <c r="A170" s="2" t="inlineStr">
        <is>
          <t>L08</t>
        </is>
      </c>
      <c r="B170" s="3" t="n">
        <v>45292</v>
      </c>
      <c r="C170" s="18" t="n">
        <v>72429.72</v>
      </c>
    </row>
    <row r="171">
      <c r="A171" s="2" t="inlineStr">
        <is>
          <t>L08</t>
        </is>
      </c>
      <c r="B171" s="3" t="n">
        <v>45323</v>
      </c>
      <c r="C171" s="18" t="n">
        <v>67315.53</v>
      </c>
    </row>
    <row r="172">
      <c r="A172" s="2" t="inlineStr">
        <is>
          <t>L08</t>
        </is>
      </c>
      <c r="B172" s="3" t="n">
        <v>45352</v>
      </c>
      <c r="C172" s="18" t="n">
        <v>71005.14999999999</v>
      </c>
    </row>
    <row r="173">
      <c r="A173" s="2" t="inlineStr">
        <is>
          <t>L08</t>
        </is>
      </c>
      <c r="B173" s="3" t="n">
        <v>45383</v>
      </c>
      <c r="C173" s="18" t="n">
        <v>60074.08</v>
      </c>
    </row>
    <row r="174">
      <c r="A174" s="2" t="inlineStr">
        <is>
          <t>L08</t>
        </is>
      </c>
      <c r="B174" s="3" t="n">
        <v>45413</v>
      </c>
      <c r="C174" s="18" t="n">
        <v>68395.69</v>
      </c>
    </row>
    <row r="175">
      <c r="A175" s="2" t="inlineStr">
        <is>
          <t>L08</t>
        </is>
      </c>
      <c r="B175" s="3" t="n">
        <v>45444</v>
      </c>
      <c r="C175" s="18" t="n">
        <v>70774</v>
      </c>
    </row>
    <row r="176">
      <c r="A176" s="2" t="inlineStr">
        <is>
          <t>L08</t>
        </is>
      </c>
      <c r="B176" s="3" t="n">
        <v>45474</v>
      </c>
      <c r="C176" s="18" t="n">
        <v>62991.04</v>
      </c>
    </row>
    <row r="177">
      <c r="A177" s="2" t="inlineStr">
        <is>
          <t>L08</t>
        </is>
      </c>
      <c r="B177" s="3" t="n">
        <v>45505</v>
      </c>
      <c r="C177" s="18" t="n">
        <v>65595.34</v>
      </c>
    </row>
    <row r="178">
      <c r="A178" s="2" t="inlineStr">
        <is>
          <t>L08</t>
        </is>
      </c>
      <c r="B178" s="3" t="n">
        <v>45536</v>
      </c>
      <c r="C178" s="18" t="n">
        <v>60234.25</v>
      </c>
    </row>
    <row r="179">
      <c r="A179" s="2" t="inlineStr">
        <is>
          <t>L08</t>
        </is>
      </c>
      <c r="B179" s="3" t="n">
        <v>45566</v>
      </c>
      <c r="C179" s="18" t="n">
        <v>71825.03</v>
      </c>
    </row>
    <row r="180">
      <c r="A180" s="2" t="inlineStr">
        <is>
          <t>L08</t>
        </is>
      </c>
      <c r="B180" s="3" t="n">
        <v>45597</v>
      </c>
      <c r="C180" s="18" t="n">
        <v>64681.07</v>
      </c>
    </row>
    <row r="181">
      <c r="A181" s="2" t="inlineStr">
        <is>
          <t>L08</t>
        </is>
      </c>
      <c r="B181" s="3" t="n">
        <v>45627</v>
      </c>
      <c r="C181" s="18" t="n">
        <v>61797.78</v>
      </c>
    </row>
    <row r="182">
      <c r="A182" s="2" t="inlineStr">
        <is>
          <t>L08</t>
        </is>
      </c>
      <c r="B182" s="3" t="n">
        <v>45658</v>
      </c>
      <c r="C182" s="18" t="n">
        <v>72210.73</v>
      </c>
    </row>
    <row r="183">
      <c r="A183" s="2" t="inlineStr">
        <is>
          <t>L08</t>
        </is>
      </c>
      <c r="B183" s="3" t="n">
        <v>45689</v>
      </c>
      <c r="C183" s="18" t="n">
        <v>67534.78999999999</v>
      </c>
    </row>
    <row r="184">
      <c r="A184" s="2" t="inlineStr">
        <is>
          <t>L08</t>
        </is>
      </c>
      <c r="B184" s="3" t="n">
        <v>45717</v>
      </c>
      <c r="C184" s="18" t="n">
        <v>60379.89</v>
      </c>
    </row>
    <row r="185">
      <c r="A185" s="2" t="inlineStr">
        <is>
          <t>L08</t>
        </is>
      </c>
      <c r="B185" s="3" t="n">
        <v>45748</v>
      </c>
      <c r="C185" s="18" t="n">
        <v>62470.64</v>
      </c>
    </row>
    <row r="186">
      <c r="A186" s="2" t="inlineStr">
        <is>
          <t>L08</t>
        </is>
      </c>
      <c r="B186" s="3" t="n">
        <v>45778</v>
      </c>
      <c r="C186" s="18" t="n">
        <v>62018.25</v>
      </c>
    </row>
    <row r="187">
      <c r="A187" s="2" t="inlineStr">
        <is>
          <t>L08</t>
        </is>
      </c>
      <c r="B187" s="3" t="n">
        <v>45809</v>
      </c>
      <c r="C187" s="18" t="n">
        <v>70510.50999999999</v>
      </c>
    </row>
    <row r="188">
      <c r="A188" s="2" t="inlineStr">
        <is>
          <t>L08</t>
        </is>
      </c>
      <c r="B188" s="3" t="n">
        <v>45839</v>
      </c>
      <c r="C188" s="18" t="n">
        <v>64657.34</v>
      </c>
    </row>
    <row r="189">
      <c r="A189" s="2" t="inlineStr">
        <is>
          <t>L08</t>
        </is>
      </c>
      <c r="B189" s="3" t="n">
        <v>45870</v>
      </c>
      <c r="C189" s="18" t="n">
        <v>69153.22</v>
      </c>
    </row>
    <row r="190">
      <c r="A190" s="2" t="inlineStr">
        <is>
          <t>L08</t>
        </is>
      </c>
      <c r="B190" s="3" t="n">
        <v>45901</v>
      </c>
      <c r="C190" s="18" t="n">
        <v>60418.03</v>
      </c>
    </row>
    <row r="191">
      <c r="A191" s="2" t="inlineStr">
        <is>
          <t>L08</t>
        </is>
      </c>
      <c r="B191" s="3" t="n">
        <v>45931</v>
      </c>
      <c r="C191" s="18" t="n">
        <v>70684.66</v>
      </c>
    </row>
    <row r="192">
      <c r="A192" s="2" t="inlineStr">
        <is>
          <t>L08</t>
        </is>
      </c>
      <c r="B192" s="3" t="n">
        <v>45962</v>
      </c>
      <c r="C192" s="18" t="n">
        <v>68100.32000000001</v>
      </c>
    </row>
    <row r="193">
      <c r="A193" s="2" t="inlineStr">
        <is>
          <t>L08</t>
        </is>
      </c>
      <c r="B193" s="3" t="n">
        <v>45992</v>
      </c>
      <c r="C193" s="18" t="n">
        <v>70978.3</v>
      </c>
    </row>
  </sheetData>
  <autoFilter ref="A1:C1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0" customWidth="1" min="3" max="3"/>
  </cols>
  <sheetData>
    <row r="1" ht="27.95" customHeight="1">
      <c r="A1" s="16" t="inlineStr">
        <is>
          <t>Tabela</t>
        </is>
      </c>
      <c r="B1" s="16" t="inlineStr">
        <is>
          <t>Coluna</t>
        </is>
      </c>
      <c r="C1" s="16" t="inlineStr">
        <is>
          <t>Descricao</t>
        </is>
      </c>
    </row>
    <row r="2">
      <c r="A2" s="2" t="inlineStr">
        <is>
          <t>Clientes</t>
        </is>
      </c>
      <c r="B2" s="2" t="inlineStr">
        <is>
          <t>ClienteID</t>
        </is>
      </c>
      <c r="C2" s="2" t="inlineStr">
        <is>
          <t>Identificador único do cliente (chave primária).</t>
        </is>
      </c>
    </row>
    <row r="3">
      <c r="A3" s="2" t="inlineStr">
        <is>
          <t>Clientes</t>
        </is>
      </c>
      <c r="B3" s="2" t="inlineStr">
        <is>
          <t>NomeCliente</t>
        </is>
      </c>
      <c r="C3" s="2" t="inlineStr">
        <is>
          <t>Nome fictício do cliente.</t>
        </is>
      </c>
    </row>
    <row r="4">
      <c r="A4" s="2" t="inlineStr">
        <is>
          <t>Clientes</t>
        </is>
      </c>
      <c r="B4" s="2" t="inlineStr">
        <is>
          <t>Segmento</t>
        </is>
      </c>
      <c r="C4" s="2" t="inlineStr">
        <is>
          <t>Perfil do cliente.</t>
        </is>
      </c>
    </row>
    <row r="5">
      <c r="A5" s="2" t="inlineStr">
        <is>
          <t>Clientes</t>
        </is>
      </c>
      <c r="B5" s="2" t="inlineStr">
        <is>
          <t>Cidade</t>
        </is>
      </c>
      <c r="C5" s="2" t="inlineStr">
        <is>
          <t>Cidade do cliente.</t>
        </is>
      </c>
    </row>
    <row r="6">
      <c r="A6" s="2" t="inlineStr">
        <is>
          <t>Clientes</t>
        </is>
      </c>
      <c r="B6" s="2" t="inlineStr">
        <is>
          <t>Regiao</t>
        </is>
      </c>
      <c r="C6" s="2" t="inlineStr">
        <is>
          <t>Região do cliente.</t>
        </is>
      </c>
    </row>
    <row r="7">
      <c r="A7" s="2" t="inlineStr">
        <is>
          <t>Clientes</t>
        </is>
      </c>
      <c r="B7" s="2" t="inlineStr">
        <is>
          <t>DataCadastro</t>
        </is>
      </c>
      <c r="C7" s="2" t="inlineStr">
        <is>
          <t>Data de cadastro do cliente.</t>
        </is>
      </c>
    </row>
    <row r="8">
      <c r="A8" s="2" t="inlineStr">
        <is>
          <t>Produtos</t>
        </is>
      </c>
      <c r="B8" s="2" t="inlineStr">
        <is>
          <t>ProdutoID</t>
        </is>
      </c>
      <c r="C8" s="2" t="inlineStr">
        <is>
          <t>Identificador único do produto (chave primária).</t>
        </is>
      </c>
    </row>
    <row r="9">
      <c r="A9" s="2" t="inlineStr">
        <is>
          <t>Produtos</t>
        </is>
      </c>
      <c r="B9" s="2" t="inlineStr">
        <is>
          <t>NomeProduto</t>
        </is>
      </c>
      <c r="C9" s="2" t="inlineStr">
        <is>
          <t>Nome fictício do produto.</t>
        </is>
      </c>
    </row>
    <row r="10">
      <c r="A10" s="2" t="inlineStr">
        <is>
          <t>Produtos</t>
        </is>
      </c>
      <c r="B10" s="2" t="inlineStr">
        <is>
          <t>Categoria</t>
        </is>
      </c>
      <c r="C10" s="2" t="inlineStr">
        <is>
          <t>Categoria comercial do produto.</t>
        </is>
      </c>
    </row>
    <row r="11">
      <c r="A11" s="2" t="inlineStr">
        <is>
          <t>Produtos</t>
        </is>
      </c>
      <c r="B11" s="2" t="inlineStr">
        <is>
          <t>CustoUnitario</t>
        </is>
      </c>
      <c r="C11" s="2" t="inlineStr">
        <is>
          <t>Custo fictício por unidade.</t>
        </is>
      </c>
    </row>
    <row r="12">
      <c r="A12" s="2" t="inlineStr">
        <is>
          <t>Produtos</t>
        </is>
      </c>
      <c r="B12" s="2" t="inlineStr">
        <is>
          <t>PrecoUnitario</t>
        </is>
      </c>
      <c r="C12" s="2" t="inlineStr">
        <is>
          <t>Preço de venda de referência por unidade.</t>
        </is>
      </c>
    </row>
    <row r="13">
      <c r="A13" s="2" t="inlineStr">
        <is>
          <t>Produtos</t>
        </is>
      </c>
      <c r="B13" s="2" t="inlineStr">
        <is>
          <t>Fornecedor</t>
        </is>
      </c>
      <c r="C13" s="2" t="inlineStr">
        <is>
          <t>Fornecedor fictício.</t>
        </is>
      </c>
    </row>
    <row r="14">
      <c r="A14" s="2" t="inlineStr">
        <is>
          <t>Lojas</t>
        </is>
      </c>
      <c r="B14" s="2" t="inlineStr">
        <is>
          <t>LojaID</t>
        </is>
      </c>
      <c r="C14" s="2" t="inlineStr">
        <is>
          <t>Identificador único da loja (chave primária).</t>
        </is>
      </c>
    </row>
    <row r="15">
      <c r="A15" s="2" t="inlineStr">
        <is>
          <t>Lojas</t>
        </is>
      </c>
      <c r="B15" s="2" t="inlineStr">
        <is>
          <t>NomeLoja</t>
        </is>
      </c>
      <c r="C15" s="2" t="inlineStr">
        <is>
          <t>Nome fictício da loja.</t>
        </is>
      </c>
    </row>
    <row r="16">
      <c r="A16" s="2" t="inlineStr">
        <is>
          <t>Lojas</t>
        </is>
      </c>
      <c r="B16" s="2" t="inlineStr">
        <is>
          <t>Cidade</t>
        </is>
      </c>
      <c r="C16" s="2" t="inlineStr">
        <is>
          <t>Cidade da loja.</t>
        </is>
      </c>
    </row>
    <row r="17">
      <c r="A17" s="2" t="inlineStr">
        <is>
          <t>Lojas</t>
        </is>
      </c>
      <c r="B17" s="2" t="inlineStr">
        <is>
          <t>Regiao</t>
        </is>
      </c>
      <c r="C17" s="2" t="inlineStr">
        <is>
          <t>Região da loja.</t>
        </is>
      </c>
    </row>
    <row r="18">
      <c r="A18" s="2" t="inlineStr">
        <is>
          <t>Lojas</t>
        </is>
      </c>
      <c r="B18" s="2" t="inlineStr">
        <is>
          <t>MetaMensal</t>
        </is>
      </c>
      <c r="C18" s="2" t="inlineStr">
        <is>
          <t>Meta mensal de referência da loja.</t>
        </is>
      </c>
    </row>
    <row r="19">
      <c r="A19" s="2" t="inlineStr">
        <is>
          <t>Pedidos</t>
        </is>
      </c>
      <c r="B19" s="2" t="inlineStr">
        <is>
          <t>PedidoID</t>
        </is>
      </c>
      <c r="C19" s="2" t="inlineStr">
        <is>
          <t>Identificador único do pedido.</t>
        </is>
      </c>
    </row>
    <row r="20">
      <c r="A20" s="2" t="inlineStr">
        <is>
          <t>Pedidos</t>
        </is>
      </c>
      <c r="B20" s="2" t="inlineStr">
        <is>
          <t>DataPedido</t>
        </is>
      </c>
      <c r="C20" s="2" t="inlineStr">
        <is>
          <t>Data de criação do pedido.</t>
        </is>
      </c>
    </row>
    <row r="21">
      <c r="A21" s="2" t="inlineStr">
        <is>
          <t>Pedidos</t>
        </is>
      </c>
      <c r="B21" s="2" t="inlineStr">
        <is>
          <t>ClienteID</t>
        </is>
      </c>
      <c r="C21" s="2" t="inlineStr">
        <is>
          <t>Cliente associado ao pedido (chave estrangeira).</t>
        </is>
      </c>
    </row>
    <row r="22">
      <c r="A22" s="2" t="inlineStr">
        <is>
          <t>Pedidos</t>
        </is>
      </c>
      <c r="B22" s="2" t="inlineStr">
        <is>
          <t>LojaID</t>
        </is>
      </c>
      <c r="C22" s="2" t="inlineStr">
        <is>
          <t>Loja responsável pelo pedido (chave estrangeira).</t>
        </is>
      </c>
    </row>
    <row r="23">
      <c r="A23" s="2" t="inlineStr">
        <is>
          <t>Pedidos</t>
        </is>
      </c>
      <c r="B23" s="2" t="inlineStr">
        <is>
          <t>StatusPedido</t>
        </is>
      </c>
      <c r="C23" s="2" t="inlineStr">
        <is>
          <t>Entregue, Cancelado, Em processamento ou Devolvido.</t>
        </is>
      </c>
    </row>
    <row r="24">
      <c r="A24" s="2" t="inlineStr">
        <is>
          <t>Pedidos</t>
        </is>
      </c>
      <c r="B24" s="2" t="inlineStr">
        <is>
          <t>FormaPagamento</t>
        </is>
      </c>
      <c r="C24" s="2" t="inlineStr">
        <is>
          <t>Forma de pagamento informada no pedido.</t>
        </is>
      </c>
    </row>
    <row r="25">
      <c r="A25" s="2" t="inlineStr">
        <is>
          <t>Pedidos</t>
        </is>
      </c>
      <c r="B25" s="2" t="inlineStr">
        <is>
          <t>DescontoPedidoPct</t>
        </is>
      </c>
      <c r="C25" s="2" t="inlineStr">
        <is>
          <t>Desconto aplicado ao pedido, em percentual decimal (ex.: 0,05 = 5%).</t>
        </is>
      </c>
    </row>
    <row r="26">
      <c r="A26" s="2" t="inlineStr">
        <is>
          <t>ItensPedido</t>
        </is>
      </c>
      <c r="B26" s="2" t="inlineStr">
        <is>
          <t>ItemPedidoID</t>
        </is>
      </c>
      <c r="C26" s="2" t="inlineStr">
        <is>
          <t>Identificador único do item do pedido.</t>
        </is>
      </c>
    </row>
    <row r="27">
      <c r="A27" s="2" t="inlineStr">
        <is>
          <t>ItensPedido</t>
        </is>
      </c>
      <c r="B27" s="2" t="inlineStr">
        <is>
          <t>PedidoID</t>
        </is>
      </c>
      <c r="C27" s="2" t="inlineStr">
        <is>
          <t>Pedido relacionado ao item (chave estrangeira).</t>
        </is>
      </c>
    </row>
    <row r="28">
      <c r="A28" s="2" t="inlineStr">
        <is>
          <t>ItensPedido</t>
        </is>
      </c>
      <c r="B28" s="2" t="inlineStr">
        <is>
          <t>ProdutoID</t>
        </is>
      </c>
      <c r="C28" s="2" t="inlineStr">
        <is>
          <t>Produto vendido no item (chave estrangeira).</t>
        </is>
      </c>
    </row>
    <row r="29">
      <c r="A29" s="2" t="inlineStr">
        <is>
          <t>ItensPedido</t>
        </is>
      </c>
      <c r="B29" s="2" t="inlineStr">
        <is>
          <t>Quantidade</t>
        </is>
      </c>
      <c r="C29" s="2" t="inlineStr">
        <is>
          <t>Quantidade de unidades no item.</t>
        </is>
      </c>
    </row>
    <row r="30">
      <c r="A30" s="2" t="inlineStr">
        <is>
          <t>ItensPedido</t>
        </is>
      </c>
      <c r="B30" s="2" t="inlineStr">
        <is>
          <t>DescontoItemPct</t>
        </is>
      </c>
      <c r="C30" s="2" t="inlineStr">
        <is>
          <t>Desconto aplicado ao item, em percentual decimal.</t>
        </is>
      </c>
    </row>
    <row r="31">
      <c r="A31" s="2" t="inlineStr">
        <is>
          <t>MetasMensais</t>
        </is>
      </c>
      <c r="B31" s="2" t="inlineStr">
        <is>
          <t>LojaID</t>
        </is>
      </c>
      <c r="C31" s="2" t="inlineStr">
        <is>
          <t>Loja relacionada à meta.</t>
        </is>
      </c>
    </row>
    <row r="32">
      <c r="A32" s="2" t="inlineStr">
        <is>
          <t>MetasMensais</t>
        </is>
      </c>
      <c r="B32" s="2" t="inlineStr">
        <is>
          <t>MesReferencia</t>
        </is>
      </c>
      <c r="C32" s="2" t="inlineStr">
        <is>
          <t>Primeiro dia do mês de referência.</t>
        </is>
      </c>
    </row>
    <row r="33">
      <c r="A33" s="2" t="inlineStr">
        <is>
          <t>MetasMensais</t>
        </is>
      </c>
      <c r="B33" s="2" t="inlineStr">
        <is>
          <t>MetaFaturamento</t>
        </is>
      </c>
      <c r="C33" s="2" t="inlineStr">
        <is>
          <t>Meta de faturamento mensal fictícia.</t>
        </is>
      </c>
    </row>
  </sheetData>
  <autoFilter ref="A1:C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7" customWidth="1" min="5" max="5"/>
    <col width="15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6" customWidth="1" min="12" max="12"/>
    <col width="19" customWidth="1" min="13" max="13"/>
    <col width="29" customWidth="1" min="14" max="14"/>
    <col width="19" customWidth="1" min="15" max="15"/>
    <col width="15" customWidth="1" min="16" max="16"/>
    <col width="15" customWidth="1" min="17" max="17"/>
    <col width="18" customWidth="1" min="18" max="18"/>
    <col width="16" customWidth="1" min="19" max="19"/>
    <col width="18" customWidth="1" min="20" max="20"/>
    <col width="16" customWidth="1" min="21" max="21"/>
    <col width="13" customWidth="1" min="22" max="22"/>
    <col width="14" customWidth="1" min="23" max="23"/>
    <col width="16" customWidth="1" min="24" max="24"/>
  </cols>
  <sheetData>
    <row r="1" ht="30" customHeight="1">
      <c r="A1" s="20" t="inlineStr">
        <is>
          <t>ItemPedidoID</t>
        </is>
      </c>
      <c r="B1" s="20" t="inlineStr">
        <is>
          <t>PedidoID</t>
        </is>
      </c>
      <c r="C1" s="20" t="inlineStr">
        <is>
          <t>ProdutoID</t>
        </is>
      </c>
      <c r="D1" s="20" t="inlineStr">
        <is>
          <t>Quantidade</t>
        </is>
      </c>
      <c r="E1" s="20" t="inlineStr">
        <is>
          <t>DescontoItemPct</t>
        </is>
      </c>
      <c r="F1" s="20" t="inlineStr">
        <is>
          <t>DataPedido</t>
        </is>
      </c>
      <c r="G1" s="20" t="inlineStr">
        <is>
          <t>Ano</t>
        </is>
      </c>
      <c r="H1" s="20" t="inlineStr">
        <is>
          <t>Mês Nº</t>
        </is>
      </c>
      <c r="I1" s="20" t="inlineStr">
        <is>
          <t>StatusPedido</t>
        </is>
      </c>
      <c r="J1" s="20" t="inlineStr">
        <is>
          <t>ClienteID</t>
        </is>
      </c>
      <c r="K1" s="20" t="inlineStr">
        <is>
          <t>LojaID</t>
        </is>
      </c>
      <c r="L1" s="20" t="inlineStr">
        <is>
          <t>FormaPagamento</t>
        </is>
      </c>
      <c r="M1" s="20" t="inlineStr">
        <is>
          <t>DescontoPedidoPct</t>
        </is>
      </c>
      <c r="N1" s="20" t="inlineStr">
        <is>
          <t>NomeProduto</t>
        </is>
      </c>
      <c r="O1" s="20" t="inlineStr">
        <is>
          <t>Categoria</t>
        </is>
      </c>
      <c r="P1" s="20" t="inlineStr">
        <is>
          <t>CustoUnitario</t>
        </is>
      </c>
      <c r="Q1" s="20" t="inlineStr">
        <is>
          <t>PrecoUnitario</t>
        </is>
      </c>
      <c r="R1" s="20" t="inlineStr">
        <is>
          <t>FaturamentoBruto</t>
        </is>
      </c>
      <c r="S1" s="20" t="inlineStr">
        <is>
          <t>DescontoItemR$</t>
        </is>
      </c>
      <c r="T1" s="20" t="inlineStr">
        <is>
          <t>DescontoPedidoR$</t>
        </is>
      </c>
      <c r="U1" s="20" t="inlineStr">
        <is>
          <t>ReceitaLiquida</t>
        </is>
      </c>
      <c r="V1" s="20" t="inlineStr">
        <is>
          <t>CustoTotal</t>
        </is>
      </c>
      <c r="W1" s="20" t="inlineStr">
        <is>
          <t>LucroLiquido</t>
        </is>
      </c>
      <c r="X1" s="20" t="inlineStr">
        <is>
          <t>MargemLucroPct</t>
        </is>
      </c>
    </row>
    <row r="2">
      <c r="A2" s="21">
        <f>ItensPedido!A2</f>
        <v/>
      </c>
      <c r="B2" s="21">
        <f>ItensPedido!B2</f>
        <v/>
      </c>
      <c r="C2" s="21">
        <f>ItensPedido!C2</f>
        <v/>
      </c>
      <c r="D2" s="21">
        <f>ItensPedido!D2</f>
        <v/>
      </c>
      <c r="E2" s="22">
        <f>ItensPedido!E2</f>
        <v/>
      </c>
      <c r="F2" s="21">
        <f>IFERROR(INDEX(Pedidos!$B$2:$B$1801,MATCH(B2,Pedidos!$A$2:$A$1801,0)),0)</f>
        <v/>
      </c>
      <c r="G2" s="21">
        <f>IF(F2=0,"",YEAR(F2))</f>
        <v/>
      </c>
      <c r="H2" s="21">
        <f>IF(F2=0,"",MONTH(F2))</f>
        <v/>
      </c>
      <c r="I2" s="21">
        <f>IFERROR(INDEX(Pedidos!$E$2:$E$1801,MATCH(B2,Pedidos!$A$2:$A$1801,0)),"")</f>
        <v/>
      </c>
      <c r="J2" s="21">
        <f>IFERROR(INDEX(Pedidos!$C$2:$C$1801,MATCH(B2,Pedidos!$A$2:$A$1801,0)),"")</f>
        <v/>
      </c>
      <c r="K2" s="21">
        <f>IFERROR(INDEX(Pedidos!$D$2:$D$1801,MATCH(B2,Pedidos!$A$2:$A$1801,0)),"")</f>
        <v/>
      </c>
      <c r="L2" s="21">
        <f>IFERROR(INDEX(Pedidos!$F$2:$F$1801,MATCH(B2,Pedidos!$A$2:$A$1801,0)),"")</f>
        <v/>
      </c>
      <c r="M2" s="22">
        <f>IFERROR(INDEX(Pedidos!$G$2:$G$1801,MATCH(B2,Pedidos!$A$2:$A$1801,0)),0)</f>
        <v/>
      </c>
      <c r="N2" s="21">
        <f>IFERROR(INDEX(Produtos!$B$2:$B$71,MATCH(C2,Produtos!$A$2:$A$71,0)),"")</f>
        <v/>
      </c>
      <c r="O2" s="21">
        <f>IFERROR(INDEX(Produtos!$C$2:$C$71,MATCH(C2,Produtos!$A$2:$A$71,0)),"")</f>
        <v/>
      </c>
      <c r="P2" s="21">
        <f>IFERROR(INDEX(Produtos!$D$2:$D$71,MATCH(C2,Produtos!$A$2:$A$71,0)),0)</f>
        <v/>
      </c>
      <c r="Q2" s="21">
        <f>IFERROR(INDEX(Produtos!$E$2:$E$71,MATCH(C2,Produtos!$A$2:$A$71,0)),0)</f>
        <v/>
      </c>
      <c r="R2" s="23">
        <f>D2*Q2</f>
        <v/>
      </c>
      <c r="S2" s="23">
        <f>R2*E2</f>
        <v/>
      </c>
      <c r="T2" s="23">
        <f>(R2-S2)*M2</f>
        <v/>
      </c>
      <c r="U2" s="23">
        <f>R2-S2-T2</f>
        <v/>
      </c>
      <c r="V2" s="23">
        <f>D2*P2</f>
        <v/>
      </c>
      <c r="W2" s="23">
        <f>U2-V2</f>
        <v/>
      </c>
      <c r="X2" s="24">
        <f>IFERROR(W2/U2,0)</f>
        <v/>
      </c>
    </row>
    <row r="3">
      <c r="A3" s="25">
        <f>ItensPedido!A3</f>
        <v/>
      </c>
      <c r="B3" s="25">
        <f>ItensPedido!B3</f>
        <v/>
      </c>
      <c r="C3" s="25">
        <f>ItensPedido!C3</f>
        <v/>
      </c>
      <c r="D3" s="25">
        <f>ItensPedido!D3</f>
        <v/>
      </c>
      <c r="E3" s="26">
        <f>ItensPedido!E3</f>
        <v/>
      </c>
      <c r="F3" s="25">
        <f>IFERROR(INDEX(Pedidos!$B$2:$B$1801,MATCH(B3,Pedidos!$A$2:$A$1801,0)),0)</f>
        <v/>
      </c>
      <c r="G3" s="25">
        <f>IF(F3=0,"",YEAR(F3))</f>
        <v/>
      </c>
      <c r="H3" s="25">
        <f>IF(F3=0,"",MONTH(F3))</f>
        <v/>
      </c>
      <c r="I3" s="25">
        <f>IFERROR(INDEX(Pedidos!$E$2:$E$1801,MATCH(B3,Pedidos!$A$2:$A$1801,0)),"")</f>
        <v/>
      </c>
      <c r="J3" s="25">
        <f>IFERROR(INDEX(Pedidos!$C$2:$C$1801,MATCH(B3,Pedidos!$A$2:$A$1801,0)),"")</f>
        <v/>
      </c>
      <c r="K3" s="25">
        <f>IFERROR(INDEX(Pedidos!$D$2:$D$1801,MATCH(B3,Pedidos!$A$2:$A$1801,0)),"")</f>
        <v/>
      </c>
      <c r="L3" s="25">
        <f>IFERROR(INDEX(Pedidos!$F$2:$F$1801,MATCH(B3,Pedidos!$A$2:$A$1801,0)),"")</f>
        <v/>
      </c>
      <c r="M3" s="26">
        <f>IFERROR(INDEX(Pedidos!$G$2:$G$1801,MATCH(B3,Pedidos!$A$2:$A$1801,0)),0)</f>
        <v/>
      </c>
      <c r="N3" s="25">
        <f>IFERROR(INDEX(Produtos!$B$2:$B$71,MATCH(C3,Produtos!$A$2:$A$71,0)),"")</f>
        <v/>
      </c>
      <c r="O3" s="25">
        <f>IFERROR(INDEX(Produtos!$C$2:$C$71,MATCH(C3,Produtos!$A$2:$A$71,0)),"")</f>
        <v/>
      </c>
      <c r="P3" s="25">
        <f>IFERROR(INDEX(Produtos!$D$2:$D$71,MATCH(C3,Produtos!$A$2:$A$71,0)),0)</f>
        <v/>
      </c>
      <c r="Q3" s="25">
        <f>IFERROR(INDEX(Produtos!$E$2:$E$71,MATCH(C3,Produtos!$A$2:$A$71,0)),0)</f>
        <v/>
      </c>
      <c r="R3" s="27">
        <f>D3*Q3</f>
        <v/>
      </c>
      <c r="S3" s="27">
        <f>R3*E3</f>
        <v/>
      </c>
      <c r="T3" s="27">
        <f>(R3-S3)*M3</f>
        <v/>
      </c>
      <c r="U3" s="27">
        <f>R3-S3-T3</f>
        <v/>
      </c>
      <c r="V3" s="27">
        <f>D3*P3</f>
        <v/>
      </c>
      <c r="W3" s="27">
        <f>U3-V3</f>
        <v/>
      </c>
      <c r="X3" s="28">
        <f>IFERROR(W3/U3,0)</f>
        <v/>
      </c>
    </row>
    <row r="4">
      <c r="A4" s="21">
        <f>ItensPedido!A4</f>
        <v/>
      </c>
      <c r="B4" s="21">
        <f>ItensPedido!B4</f>
        <v/>
      </c>
      <c r="C4" s="21">
        <f>ItensPedido!C4</f>
        <v/>
      </c>
      <c r="D4" s="21">
        <f>ItensPedido!D4</f>
        <v/>
      </c>
      <c r="E4" s="22">
        <f>ItensPedido!E4</f>
        <v/>
      </c>
      <c r="F4" s="21">
        <f>IFERROR(INDEX(Pedidos!$B$2:$B$1801,MATCH(B4,Pedidos!$A$2:$A$1801,0)),0)</f>
        <v/>
      </c>
      <c r="G4" s="21">
        <f>IF(F4=0,"",YEAR(F4))</f>
        <v/>
      </c>
      <c r="H4" s="21">
        <f>IF(F4=0,"",MONTH(F4))</f>
        <v/>
      </c>
      <c r="I4" s="21">
        <f>IFERROR(INDEX(Pedidos!$E$2:$E$1801,MATCH(B4,Pedidos!$A$2:$A$1801,0)),"")</f>
        <v/>
      </c>
      <c r="J4" s="21">
        <f>IFERROR(INDEX(Pedidos!$C$2:$C$1801,MATCH(B4,Pedidos!$A$2:$A$1801,0)),"")</f>
        <v/>
      </c>
      <c r="K4" s="21">
        <f>IFERROR(INDEX(Pedidos!$D$2:$D$1801,MATCH(B4,Pedidos!$A$2:$A$1801,0)),"")</f>
        <v/>
      </c>
      <c r="L4" s="21">
        <f>IFERROR(INDEX(Pedidos!$F$2:$F$1801,MATCH(B4,Pedidos!$A$2:$A$1801,0)),"")</f>
        <v/>
      </c>
      <c r="M4" s="22">
        <f>IFERROR(INDEX(Pedidos!$G$2:$G$1801,MATCH(B4,Pedidos!$A$2:$A$1801,0)),0)</f>
        <v/>
      </c>
      <c r="N4" s="21">
        <f>IFERROR(INDEX(Produtos!$B$2:$B$71,MATCH(C4,Produtos!$A$2:$A$71,0)),"")</f>
        <v/>
      </c>
      <c r="O4" s="21">
        <f>IFERROR(INDEX(Produtos!$C$2:$C$71,MATCH(C4,Produtos!$A$2:$A$71,0)),"")</f>
        <v/>
      </c>
      <c r="P4" s="21">
        <f>IFERROR(INDEX(Produtos!$D$2:$D$71,MATCH(C4,Produtos!$A$2:$A$71,0)),0)</f>
        <v/>
      </c>
      <c r="Q4" s="21">
        <f>IFERROR(INDEX(Produtos!$E$2:$E$71,MATCH(C4,Produtos!$A$2:$A$71,0)),0)</f>
        <v/>
      </c>
      <c r="R4" s="23">
        <f>D4*Q4</f>
        <v/>
      </c>
      <c r="S4" s="23">
        <f>R4*E4</f>
        <v/>
      </c>
      <c r="T4" s="23">
        <f>(R4-S4)*M4</f>
        <v/>
      </c>
      <c r="U4" s="23">
        <f>R4-S4-T4</f>
        <v/>
      </c>
      <c r="V4" s="23">
        <f>D4*P4</f>
        <v/>
      </c>
      <c r="W4" s="23">
        <f>U4-V4</f>
        <v/>
      </c>
      <c r="X4" s="24">
        <f>IFERROR(W4/U4,0)</f>
        <v/>
      </c>
    </row>
    <row r="5">
      <c r="A5" s="25">
        <f>ItensPedido!A5</f>
        <v/>
      </c>
      <c r="B5" s="25">
        <f>ItensPedido!B5</f>
        <v/>
      </c>
      <c r="C5" s="25">
        <f>ItensPedido!C5</f>
        <v/>
      </c>
      <c r="D5" s="25">
        <f>ItensPedido!D5</f>
        <v/>
      </c>
      <c r="E5" s="26">
        <f>ItensPedido!E5</f>
        <v/>
      </c>
      <c r="F5" s="25">
        <f>IFERROR(INDEX(Pedidos!$B$2:$B$1801,MATCH(B5,Pedidos!$A$2:$A$1801,0)),0)</f>
        <v/>
      </c>
      <c r="G5" s="25">
        <f>IF(F5=0,"",YEAR(F5))</f>
        <v/>
      </c>
      <c r="H5" s="25">
        <f>IF(F5=0,"",MONTH(F5))</f>
        <v/>
      </c>
      <c r="I5" s="25">
        <f>IFERROR(INDEX(Pedidos!$E$2:$E$1801,MATCH(B5,Pedidos!$A$2:$A$1801,0)),"")</f>
        <v/>
      </c>
      <c r="J5" s="25">
        <f>IFERROR(INDEX(Pedidos!$C$2:$C$1801,MATCH(B5,Pedidos!$A$2:$A$1801,0)),"")</f>
        <v/>
      </c>
      <c r="K5" s="25">
        <f>IFERROR(INDEX(Pedidos!$D$2:$D$1801,MATCH(B5,Pedidos!$A$2:$A$1801,0)),"")</f>
        <v/>
      </c>
      <c r="L5" s="25">
        <f>IFERROR(INDEX(Pedidos!$F$2:$F$1801,MATCH(B5,Pedidos!$A$2:$A$1801,0)),"")</f>
        <v/>
      </c>
      <c r="M5" s="26">
        <f>IFERROR(INDEX(Pedidos!$G$2:$G$1801,MATCH(B5,Pedidos!$A$2:$A$1801,0)),0)</f>
        <v/>
      </c>
      <c r="N5" s="25">
        <f>IFERROR(INDEX(Produtos!$B$2:$B$71,MATCH(C5,Produtos!$A$2:$A$71,0)),"")</f>
        <v/>
      </c>
      <c r="O5" s="25">
        <f>IFERROR(INDEX(Produtos!$C$2:$C$71,MATCH(C5,Produtos!$A$2:$A$71,0)),"")</f>
        <v/>
      </c>
      <c r="P5" s="25">
        <f>IFERROR(INDEX(Produtos!$D$2:$D$71,MATCH(C5,Produtos!$A$2:$A$71,0)),0)</f>
        <v/>
      </c>
      <c r="Q5" s="25">
        <f>IFERROR(INDEX(Produtos!$E$2:$E$71,MATCH(C5,Produtos!$A$2:$A$71,0)),0)</f>
        <v/>
      </c>
      <c r="R5" s="27">
        <f>D5*Q5</f>
        <v/>
      </c>
      <c r="S5" s="27">
        <f>R5*E5</f>
        <v/>
      </c>
      <c r="T5" s="27">
        <f>(R5-S5)*M5</f>
        <v/>
      </c>
      <c r="U5" s="27">
        <f>R5-S5-T5</f>
        <v/>
      </c>
      <c r="V5" s="27">
        <f>D5*P5</f>
        <v/>
      </c>
      <c r="W5" s="27">
        <f>U5-V5</f>
        <v/>
      </c>
      <c r="X5" s="28">
        <f>IFERROR(W5/U5,0)</f>
        <v/>
      </c>
    </row>
    <row r="6">
      <c r="A6" s="21">
        <f>ItensPedido!A6</f>
        <v/>
      </c>
      <c r="B6" s="21">
        <f>ItensPedido!B6</f>
        <v/>
      </c>
      <c r="C6" s="21">
        <f>ItensPedido!C6</f>
        <v/>
      </c>
      <c r="D6" s="21">
        <f>ItensPedido!D6</f>
        <v/>
      </c>
      <c r="E6" s="22">
        <f>ItensPedido!E6</f>
        <v/>
      </c>
      <c r="F6" s="21">
        <f>IFERROR(INDEX(Pedidos!$B$2:$B$1801,MATCH(B6,Pedidos!$A$2:$A$1801,0)),0)</f>
        <v/>
      </c>
      <c r="G6" s="21">
        <f>IF(F6=0,"",YEAR(F6))</f>
        <v/>
      </c>
      <c r="H6" s="21">
        <f>IF(F6=0,"",MONTH(F6))</f>
        <v/>
      </c>
      <c r="I6" s="21">
        <f>IFERROR(INDEX(Pedidos!$E$2:$E$1801,MATCH(B6,Pedidos!$A$2:$A$1801,0)),"")</f>
        <v/>
      </c>
      <c r="J6" s="21">
        <f>IFERROR(INDEX(Pedidos!$C$2:$C$1801,MATCH(B6,Pedidos!$A$2:$A$1801,0)),"")</f>
        <v/>
      </c>
      <c r="K6" s="21">
        <f>IFERROR(INDEX(Pedidos!$D$2:$D$1801,MATCH(B6,Pedidos!$A$2:$A$1801,0)),"")</f>
        <v/>
      </c>
      <c r="L6" s="21">
        <f>IFERROR(INDEX(Pedidos!$F$2:$F$1801,MATCH(B6,Pedidos!$A$2:$A$1801,0)),"")</f>
        <v/>
      </c>
      <c r="M6" s="22">
        <f>IFERROR(INDEX(Pedidos!$G$2:$G$1801,MATCH(B6,Pedidos!$A$2:$A$1801,0)),0)</f>
        <v/>
      </c>
      <c r="N6" s="21">
        <f>IFERROR(INDEX(Produtos!$B$2:$B$71,MATCH(C6,Produtos!$A$2:$A$71,0)),"")</f>
        <v/>
      </c>
      <c r="O6" s="21">
        <f>IFERROR(INDEX(Produtos!$C$2:$C$71,MATCH(C6,Produtos!$A$2:$A$71,0)),"")</f>
        <v/>
      </c>
      <c r="P6" s="21">
        <f>IFERROR(INDEX(Produtos!$D$2:$D$71,MATCH(C6,Produtos!$A$2:$A$71,0)),0)</f>
        <v/>
      </c>
      <c r="Q6" s="21">
        <f>IFERROR(INDEX(Produtos!$E$2:$E$71,MATCH(C6,Produtos!$A$2:$A$71,0)),0)</f>
        <v/>
      </c>
      <c r="R6" s="23">
        <f>D6*Q6</f>
        <v/>
      </c>
      <c r="S6" s="23">
        <f>R6*E6</f>
        <v/>
      </c>
      <c r="T6" s="23">
        <f>(R6-S6)*M6</f>
        <v/>
      </c>
      <c r="U6" s="23">
        <f>R6-S6-T6</f>
        <v/>
      </c>
      <c r="V6" s="23">
        <f>D6*P6</f>
        <v/>
      </c>
      <c r="W6" s="23">
        <f>U6-V6</f>
        <v/>
      </c>
      <c r="X6" s="24">
        <f>IFERROR(W6/U6,0)</f>
        <v/>
      </c>
    </row>
    <row r="7">
      <c r="A7" s="25">
        <f>ItensPedido!A7</f>
        <v/>
      </c>
      <c r="B7" s="25">
        <f>ItensPedido!B7</f>
        <v/>
      </c>
      <c r="C7" s="25">
        <f>ItensPedido!C7</f>
        <v/>
      </c>
      <c r="D7" s="25">
        <f>ItensPedido!D7</f>
        <v/>
      </c>
      <c r="E7" s="26">
        <f>ItensPedido!E7</f>
        <v/>
      </c>
      <c r="F7" s="25">
        <f>IFERROR(INDEX(Pedidos!$B$2:$B$1801,MATCH(B7,Pedidos!$A$2:$A$1801,0)),0)</f>
        <v/>
      </c>
      <c r="G7" s="25">
        <f>IF(F7=0,"",YEAR(F7))</f>
        <v/>
      </c>
      <c r="H7" s="25">
        <f>IF(F7=0,"",MONTH(F7))</f>
        <v/>
      </c>
      <c r="I7" s="25">
        <f>IFERROR(INDEX(Pedidos!$E$2:$E$1801,MATCH(B7,Pedidos!$A$2:$A$1801,0)),"")</f>
        <v/>
      </c>
      <c r="J7" s="25">
        <f>IFERROR(INDEX(Pedidos!$C$2:$C$1801,MATCH(B7,Pedidos!$A$2:$A$1801,0)),"")</f>
        <v/>
      </c>
      <c r="K7" s="25">
        <f>IFERROR(INDEX(Pedidos!$D$2:$D$1801,MATCH(B7,Pedidos!$A$2:$A$1801,0)),"")</f>
        <v/>
      </c>
      <c r="L7" s="25">
        <f>IFERROR(INDEX(Pedidos!$F$2:$F$1801,MATCH(B7,Pedidos!$A$2:$A$1801,0)),"")</f>
        <v/>
      </c>
      <c r="M7" s="26">
        <f>IFERROR(INDEX(Pedidos!$G$2:$G$1801,MATCH(B7,Pedidos!$A$2:$A$1801,0)),0)</f>
        <v/>
      </c>
      <c r="N7" s="25">
        <f>IFERROR(INDEX(Produtos!$B$2:$B$71,MATCH(C7,Produtos!$A$2:$A$71,0)),"")</f>
        <v/>
      </c>
      <c r="O7" s="25">
        <f>IFERROR(INDEX(Produtos!$C$2:$C$71,MATCH(C7,Produtos!$A$2:$A$71,0)),"")</f>
        <v/>
      </c>
      <c r="P7" s="25">
        <f>IFERROR(INDEX(Produtos!$D$2:$D$71,MATCH(C7,Produtos!$A$2:$A$71,0)),0)</f>
        <v/>
      </c>
      <c r="Q7" s="25">
        <f>IFERROR(INDEX(Produtos!$E$2:$E$71,MATCH(C7,Produtos!$A$2:$A$71,0)),0)</f>
        <v/>
      </c>
      <c r="R7" s="27">
        <f>D7*Q7</f>
        <v/>
      </c>
      <c r="S7" s="27">
        <f>R7*E7</f>
        <v/>
      </c>
      <c r="T7" s="27">
        <f>(R7-S7)*M7</f>
        <v/>
      </c>
      <c r="U7" s="27">
        <f>R7-S7-T7</f>
        <v/>
      </c>
      <c r="V7" s="27">
        <f>D7*P7</f>
        <v/>
      </c>
      <c r="W7" s="27">
        <f>U7-V7</f>
        <v/>
      </c>
      <c r="X7" s="28">
        <f>IFERROR(W7/U7,0)</f>
        <v/>
      </c>
    </row>
    <row r="8">
      <c r="A8" s="21">
        <f>ItensPedido!A8</f>
        <v/>
      </c>
      <c r="B8" s="21">
        <f>ItensPedido!B8</f>
        <v/>
      </c>
      <c r="C8" s="21">
        <f>ItensPedido!C8</f>
        <v/>
      </c>
      <c r="D8" s="21">
        <f>ItensPedido!D8</f>
        <v/>
      </c>
      <c r="E8" s="22">
        <f>ItensPedido!E8</f>
        <v/>
      </c>
      <c r="F8" s="21">
        <f>IFERROR(INDEX(Pedidos!$B$2:$B$1801,MATCH(B8,Pedidos!$A$2:$A$1801,0)),0)</f>
        <v/>
      </c>
      <c r="G8" s="21">
        <f>IF(F8=0,"",YEAR(F8))</f>
        <v/>
      </c>
      <c r="H8" s="21">
        <f>IF(F8=0,"",MONTH(F8))</f>
        <v/>
      </c>
      <c r="I8" s="21">
        <f>IFERROR(INDEX(Pedidos!$E$2:$E$1801,MATCH(B8,Pedidos!$A$2:$A$1801,0)),"")</f>
        <v/>
      </c>
      <c r="J8" s="21">
        <f>IFERROR(INDEX(Pedidos!$C$2:$C$1801,MATCH(B8,Pedidos!$A$2:$A$1801,0)),"")</f>
        <v/>
      </c>
      <c r="K8" s="21">
        <f>IFERROR(INDEX(Pedidos!$D$2:$D$1801,MATCH(B8,Pedidos!$A$2:$A$1801,0)),"")</f>
        <v/>
      </c>
      <c r="L8" s="21">
        <f>IFERROR(INDEX(Pedidos!$F$2:$F$1801,MATCH(B8,Pedidos!$A$2:$A$1801,0)),"")</f>
        <v/>
      </c>
      <c r="M8" s="22">
        <f>IFERROR(INDEX(Pedidos!$G$2:$G$1801,MATCH(B8,Pedidos!$A$2:$A$1801,0)),0)</f>
        <v/>
      </c>
      <c r="N8" s="21">
        <f>IFERROR(INDEX(Produtos!$B$2:$B$71,MATCH(C8,Produtos!$A$2:$A$71,0)),"")</f>
        <v/>
      </c>
      <c r="O8" s="21">
        <f>IFERROR(INDEX(Produtos!$C$2:$C$71,MATCH(C8,Produtos!$A$2:$A$71,0)),"")</f>
        <v/>
      </c>
      <c r="P8" s="21">
        <f>IFERROR(INDEX(Produtos!$D$2:$D$71,MATCH(C8,Produtos!$A$2:$A$71,0)),0)</f>
        <v/>
      </c>
      <c r="Q8" s="21">
        <f>IFERROR(INDEX(Produtos!$E$2:$E$71,MATCH(C8,Produtos!$A$2:$A$71,0)),0)</f>
        <v/>
      </c>
      <c r="R8" s="23">
        <f>D8*Q8</f>
        <v/>
      </c>
      <c r="S8" s="23">
        <f>R8*E8</f>
        <v/>
      </c>
      <c r="T8" s="23">
        <f>(R8-S8)*M8</f>
        <v/>
      </c>
      <c r="U8" s="23">
        <f>R8-S8-T8</f>
        <v/>
      </c>
      <c r="V8" s="23">
        <f>D8*P8</f>
        <v/>
      </c>
      <c r="W8" s="23">
        <f>U8-V8</f>
        <v/>
      </c>
      <c r="X8" s="24">
        <f>IFERROR(W8/U8,0)</f>
        <v/>
      </c>
    </row>
    <row r="9">
      <c r="A9" s="25">
        <f>ItensPedido!A9</f>
        <v/>
      </c>
      <c r="B9" s="25">
        <f>ItensPedido!B9</f>
        <v/>
      </c>
      <c r="C9" s="25">
        <f>ItensPedido!C9</f>
        <v/>
      </c>
      <c r="D9" s="25">
        <f>ItensPedido!D9</f>
        <v/>
      </c>
      <c r="E9" s="26">
        <f>ItensPedido!E9</f>
        <v/>
      </c>
      <c r="F9" s="25">
        <f>IFERROR(INDEX(Pedidos!$B$2:$B$1801,MATCH(B9,Pedidos!$A$2:$A$1801,0)),0)</f>
        <v/>
      </c>
      <c r="G9" s="25">
        <f>IF(F9=0,"",YEAR(F9))</f>
        <v/>
      </c>
      <c r="H9" s="25">
        <f>IF(F9=0,"",MONTH(F9))</f>
        <v/>
      </c>
      <c r="I9" s="25">
        <f>IFERROR(INDEX(Pedidos!$E$2:$E$1801,MATCH(B9,Pedidos!$A$2:$A$1801,0)),"")</f>
        <v/>
      </c>
      <c r="J9" s="25">
        <f>IFERROR(INDEX(Pedidos!$C$2:$C$1801,MATCH(B9,Pedidos!$A$2:$A$1801,0)),"")</f>
        <v/>
      </c>
      <c r="K9" s="25">
        <f>IFERROR(INDEX(Pedidos!$D$2:$D$1801,MATCH(B9,Pedidos!$A$2:$A$1801,0)),"")</f>
        <v/>
      </c>
      <c r="L9" s="25">
        <f>IFERROR(INDEX(Pedidos!$F$2:$F$1801,MATCH(B9,Pedidos!$A$2:$A$1801,0)),"")</f>
        <v/>
      </c>
      <c r="M9" s="26">
        <f>IFERROR(INDEX(Pedidos!$G$2:$G$1801,MATCH(B9,Pedidos!$A$2:$A$1801,0)),0)</f>
        <v/>
      </c>
      <c r="N9" s="25">
        <f>IFERROR(INDEX(Produtos!$B$2:$B$71,MATCH(C9,Produtos!$A$2:$A$71,0)),"")</f>
        <v/>
      </c>
      <c r="O9" s="25">
        <f>IFERROR(INDEX(Produtos!$C$2:$C$71,MATCH(C9,Produtos!$A$2:$A$71,0)),"")</f>
        <v/>
      </c>
      <c r="P9" s="25">
        <f>IFERROR(INDEX(Produtos!$D$2:$D$71,MATCH(C9,Produtos!$A$2:$A$71,0)),0)</f>
        <v/>
      </c>
      <c r="Q9" s="25">
        <f>IFERROR(INDEX(Produtos!$E$2:$E$71,MATCH(C9,Produtos!$A$2:$A$71,0)),0)</f>
        <v/>
      </c>
      <c r="R9" s="27">
        <f>D9*Q9</f>
        <v/>
      </c>
      <c r="S9" s="27">
        <f>R9*E9</f>
        <v/>
      </c>
      <c r="T9" s="27">
        <f>(R9-S9)*M9</f>
        <v/>
      </c>
      <c r="U9" s="27">
        <f>R9-S9-T9</f>
        <v/>
      </c>
      <c r="V9" s="27">
        <f>D9*P9</f>
        <v/>
      </c>
      <c r="W9" s="27">
        <f>U9-V9</f>
        <v/>
      </c>
      <c r="X9" s="28">
        <f>IFERROR(W9/U9,0)</f>
        <v/>
      </c>
    </row>
    <row r="10">
      <c r="A10" s="21">
        <f>ItensPedido!A10</f>
        <v/>
      </c>
      <c r="B10" s="21">
        <f>ItensPedido!B10</f>
        <v/>
      </c>
      <c r="C10" s="21">
        <f>ItensPedido!C10</f>
        <v/>
      </c>
      <c r="D10" s="21">
        <f>ItensPedido!D10</f>
        <v/>
      </c>
      <c r="E10" s="22">
        <f>ItensPedido!E10</f>
        <v/>
      </c>
      <c r="F10" s="21">
        <f>IFERROR(INDEX(Pedidos!$B$2:$B$1801,MATCH(B10,Pedidos!$A$2:$A$1801,0)),0)</f>
        <v/>
      </c>
      <c r="G10" s="21">
        <f>IF(F10=0,"",YEAR(F10))</f>
        <v/>
      </c>
      <c r="H10" s="21">
        <f>IF(F10=0,"",MONTH(F10))</f>
        <v/>
      </c>
      <c r="I10" s="21">
        <f>IFERROR(INDEX(Pedidos!$E$2:$E$1801,MATCH(B10,Pedidos!$A$2:$A$1801,0)),"")</f>
        <v/>
      </c>
      <c r="J10" s="21">
        <f>IFERROR(INDEX(Pedidos!$C$2:$C$1801,MATCH(B10,Pedidos!$A$2:$A$1801,0)),"")</f>
        <v/>
      </c>
      <c r="K10" s="21">
        <f>IFERROR(INDEX(Pedidos!$D$2:$D$1801,MATCH(B10,Pedidos!$A$2:$A$1801,0)),"")</f>
        <v/>
      </c>
      <c r="L10" s="21">
        <f>IFERROR(INDEX(Pedidos!$F$2:$F$1801,MATCH(B10,Pedidos!$A$2:$A$1801,0)),"")</f>
        <v/>
      </c>
      <c r="M10" s="22">
        <f>IFERROR(INDEX(Pedidos!$G$2:$G$1801,MATCH(B10,Pedidos!$A$2:$A$1801,0)),0)</f>
        <v/>
      </c>
      <c r="N10" s="21">
        <f>IFERROR(INDEX(Produtos!$B$2:$B$71,MATCH(C10,Produtos!$A$2:$A$71,0)),"")</f>
        <v/>
      </c>
      <c r="O10" s="21">
        <f>IFERROR(INDEX(Produtos!$C$2:$C$71,MATCH(C10,Produtos!$A$2:$A$71,0)),"")</f>
        <v/>
      </c>
      <c r="P10" s="21">
        <f>IFERROR(INDEX(Produtos!$D$2:$D$71,MATCH(C10,Produtos!$A$2:$A$71,0)),0)</f>
        <v/>
      </c>
      <c r="Q10" s="21">
        <f>IFERROR(INDEX(Produtos!$E$2:$E$71,MATCH(C10,Produtos!$A$2:$A$71,0)),0)</f>
        <v/>
      </c>
      <c r="R10" s="23">
        <f>D10*Q10</f>
        <v/>
      </c>
      <c r="S10" s="23">
        <f>R10*E10</f>
        <v/>
      </c>
      <c r="T10" s="23">
        <f>(R10-S10)*M10</f>
        <v/>
      </c>
      <c r="U10" s="23">
        <f>R10-S10-T10</f>
        <v/>
      </c>
      <c r="V10" s="23">
        <f>D10*P10</f>
        <v/>
      </c>
      <c r="W10" s="23">
        <f>U10-V10</f>
        <v/>
      </c>
      <c r="X10" s="24">
        <f>IFERROR(W10/U10,0)</f>
        <v/>
      </c>
    </row>
    <row r="11">
      <c r="A11" s="25">
        <f>ItensPedido!A11</f>
        <v/>
      </c>
      <c r="B11" s="25">
        <f>ItensPedido!B11</f>
        <v/>
      </c>
      <c r="C11" s="25">
        <f>ItensPedido!C11</f>
        <v/>
      </c>
      <c r="D11" s="25">
        <f>ItensPedido!D11</f>
        <v/>
      </c>
      <c r="E11" s="26">
        <f>ItensPedido!E11</f>
        <v/>
      </c>
      <c r="F11" s="25">
        <f>IFERROR(INDEX(Pedidos!$B$2:$B$1801,MATCH(B11,Pedidos!$A$2:$A$1801,0)),0)</f>
        <v/>
      </c>
      <c r="G11" s="25">
        <f>IF(F11=0,"",YEAR(F11))</f>
        <v/>
      </c>
      <c r="H11" s="25">
        <f>IF(F11=0,"",MONTH(F11))</f>
        <v/>
      </c>
      <c r="I11" s="25">
        <f>IFERROR(INDEX(Pedidos!$E$2:$E$1801,MATCH(B11,Pedidos!$A$2:$A$1801,0)),"")</f>
        <v/>
      </c>
      <c r="J11" s="25">
        <f>IFERROR(INDEX(Pedidos!$C$2:$C$1801,MATCH(B11,Pedidos!$A$2:$A$1801,0)),"")</f>
        <v/>
      </c>
      <c r="K11" s="25">
        <f>IFERROR(INDEX(Pedidos!$D$2:$D$1801,MATCH(B11,Pedidos!$A$2:$A$1801,0)),"")</f>
        <v/>
      </c>
      <c r="L11" s="25">
        <f>IFERROR(INDEX(Pedidos!$F$2:$F$1801,MATCH(B11,Pedidos!$A$2:$A$1801,0)),"")</f>
        <v/>
      </c>
      <c r="M11" s="26">
        <f>IFERROR(INDEX(Pedidos!$G$2:$G$1801,MATCH(B11,Pedidos!$A$2:$A$1801,0)),0)</f>
        <v/>
      </c>
      <c r="N11" s="25">
        <f>IFERROR(INDEX(Produtos!$B$2:$B$71,MATCH(C11,Produtos!$A$2:$A$71,0)),"")</f>
        <v/>
      </c>
      <c r="O11" s="25">
        <f>IFERROR(INDEX(Produtos!$C$2:$C$71,MATCH(C11,Produtos!$A$2:$A$71,0)),"")</f>
        <v/>
      </c>
      <c r="P11" s="25">
        <f>IFERROR(INDEX(Produtos!$D$2:$D$71,MATCH(C11,Produtos!$A$2:$A$71,0)),0)</f>
        <v/>
      </c>
      <c r="Q11" s="25">
        <f>IFERROR(INDEX(Produtos!$E$2:$E$71,MATCH(C11,Produtos!$A$2:$A$71,0)),0)</f>
        <v/>
      </c>
      <c r="R11" s="27">
        <f>D11*Q11</f>
        <v/>
      </c>
      <c r="S11" s="27">
        <f>R11*E11</f>
        <v/>
      </c>
      <c r="T11" s="27">
        <f>(R11-S11)*M11</f>
        <v/>
      </c>
      <c r="U11" s="27">
        <f>R11-S11-T11</f>
        <v/>
      </c>
      <c r="V11" s="27">
        <f>D11*P11</f>
        <v/>
      </c>
      <c r="W11" s="27">
        <f>U11-V11</f>
        <v/>
      </c>
      <c r="X11" s="28">
        <f>IFERROR(W11/U11,0)</f>
        <v/>
      </c>
    </row>
    <row r="12">
      <c r="A12" s="21">
        <f>ItensPedido!A12</f>
        <v/>
      </c>
      <c r="B12" s="21">
        <f>ItensPedido!B12</f>
        <v/>
      </c>
      <c r="C12" s="21">
        <f>ItensPedido!C12</f>
        <v/>
      </c>
      <c r="D12" s="21">
        <f>ItensPedido!D12</f>
        <v/>
      </c>
      <c r="E12" s="22">
        <f>ItensPedido!E12</f>
        <v/>
      </c>
      <c r="F12" s="21">
        <f>IFERROR(INDEX(Pedidos!$B$2:$B$1801,MATCH(B12,Pedidos!$A$2:$A$1801,0)),0)</f>
        <v/>
      </c>
      <c r="G12" s="21">
        <f>IF(F12=0,"",YEAR(F12))</f>
        <v/>
      </c>
      <c r="H12" s="21">
        <f>IF(F12=0,"",MONTH(F12))</f>
        <v/>
      </c>
      <c r="I12" s="21">
        <f>IFERROR(INDEX(Pedidos!$E$2:$E$1801,MATCH(B12,Pedidos!$A$2:$A$1801,0)),"")</f>
        <v/>
      </c>
      <c r="J12" s="21">
        <f>IFERROR(INDEX(Pedidos!$C$2:$C$1801,MATCH(B12,Pedidos!$A$2:$A$1801,0)),"")</f>
        <v/>
      </c>
      <c r="K12" s="21">
        <f>IFERROR(INDEX(Pedidos!$D$2:$D$1801,MATCH(B12,Pedidos!$A$2:$A$1801,0)),"")</f>
        <v/>
      </c>
      <c r="L12" s="21">
        <f>IFERROR(INDEX(Pedidos!$F$2:$F$1801,MATCH(B12,Pedidos!$A$2:$A$1801,0)),"")</f>
        <v/>
      </c>
      <c r="M12" s="22">
        <f>IFERROR(INDEX(Pedidos!$G$2:$G$1801,MATCH(B12,Pedidos!$A$2:$A$1801,0)),0)</f>
        <v/>
      </c>
      <c r="N12" s="21">
        <f>IFERROR(INDEX(Produtos!$B$2:$B$71,MATCH(C12,Produtos!$A$2:$A$71,0)),"")</f>
        <v/>
      </c>
      <c r="O12" s="21">
        <f>IFERROR(INDEX(Produtos!$C$2:$C$71,MATCH(C12,Produtos!$A$2:$A$71,0)),"")</f>
        <v/>
      </c>
      <c r="P12" s="21">
        <f>IFERROR(INDEX(Produtos!$D$2:$D$71,MATCH(C12,Produtos!$A$2:$A$71,0)),0)</f>
        <v/>
      </c>
      <c r="Q12" s="21">
        <f>IFERROR(INDEX(Produtos!$E$2:$E$71,MATCH(C12,Produtos!$A$2:$A$71,0)),0)</f>
        <v/>
      </c>
      <c r="R12" s="23">
        <f>D12*Q12</f>
        <v/>
      </c>
      <c r="S12" s="23">
        <f>R12*E12</f>
        <v/>
      </c>
      <c r="T12" s="23">
        <f>(R12-S12)*M12</f>
        <v/>
      </c>
      <c r="U12" s="23">
        <f>R12-S12-T12</f>
        <v/>
      </c>
      <c r="V12" s="23">
        <f>D12*P12</f>
        <v/>
      </c>
      <c r="W12" s="23">
        <f>U12-V12</f>
        <v/>
      </c>
      <c r="X12" s="24">
        <f>IFERROR(W12/U12,0)</f>
        <v/>
      </c>
    </row>
    <row r="13">
      <c r="A13" s="25">
        <f>ItensPedido!A13</f>
        <v/>
      </c>
      <c r="B13" s="25">
        <f>ItensPedido!B13</f>
        <v/>
      </c>
      <c r="C13" s="25">
        <f>ItensPedido!C13</f>
        <v/>
      </c>
      <c r="D13" s="25">
        <f>ItensPedido!D13</f>
        <v/>
      </c>
      <c r="E13" s="26">
        <f>ItensPedido!E13</f>
        <v/>
      </c>
      <c r="F13" s="25">
        <f>IFERROR(INDEX(Pedidos!$B$2:$B$1801,MATCH(B13,Pedidos!$A$2:$A$1801,0)),0)</f>
        <v/>
      </c>
      <c r="G13" s="25">
        <f>IF(F13=0,"",YEAR(F13))</f>
        <v/>
      </c>
      <c r="H13" s="25">
        <f>IF(F13=0,"",MONTH(F13))</f>
        <v/>
      </c>
      <c r="I13" s="25">
        <f>IFERROR(INDEX(Pedidos!$E$2:$E$1801,MATCH(B13,Pedidos!$A$2:$A$1801,0)),"")</f>
        <v/>
      </c>
      <c r="J13" s="25">
        <f>IFERROR(INDEX(Pedidos!$C$2:$C$1801,MATCH(B13,Pedidos!$A$2:$A$1801,0)),"")</f>
        <v/>
      </c>
      <c r="K13" s="25">
        <f>IFERROR(INDEX(Pedidos!$D$2:$D$1801,MATCH(B13,Pedidos!$A$2:$A$1801,0)),"")</f>
        <v/>
      </c>
      <c r="L13" s="25">
        <f>IFERROR(INDEX(Pedidos!$F$2:$F$1801,MATCH(B13,Pedidos!$A$2:$A$1801,0)),"")</f>
        <v/>
      </c>
      <c r="M13" s="26">
        <f>IFERROR(INDEX(Pedidos!$G$2:$G$1801,MATCH(B13,Pedidos!$A$2:$A$1801,0)),0)</f>
        <v/>
      </c>
      <c r="N13" s="25">
        <f>IFERROR(INDEX(Produtos!$B$2:$B$71,MATCH(C13,Produtos!$A$2:$A$71,0)),"")</f>
        <v/>
      </c>
      <c r="O13" s="25">
        <f>IFERROR(INDEX(Produtos!$C$2:$C$71,MATCH(C13,Produtos!$A$2:$A$71,0)),"")</f>
        <v/>
      </c>
      <c r="P13" s="25">
        <f>IFERROR(INDEX(Produtos!$D$2:$D$71,MATCH(C13,Produtos!$A$2:$A$71,0)),0)</f>
        <v/>
      </c>
      <c r="Q13" s="25">
        <f>IFERROR(INDEX(Produtos!$E$2:$E$71,MATCH(C13,Produtos!$A$2:$A$71,0)),0)</f>
        <v/>
      </c>
      <c r="R13" s="27">
        <f>D13*Q13</f>
        <v/>
      </c>
      <c r="S13" s="27">
        <f>R13*E13</f>
        <v/>
      </c>
      <c r="T13" s="27">
        <f>(R13-S13)*M13</f>
        <v/>
      </c>
      <c r="U13" s="27">
        <f>R13-S13-T13</f>
        <v/>
      </c>
      <c r="V13" s="27">
        <f>D13*P13</f>
        <v/>
      </c>
      <c r="W13" s="27">
        <f>U13-V13</f>
        <v/>
      </c>
      <c r="X13" s="28">
        <f>IFERROR(W13/U13,0)</f>
        <v/>
      </c>
    </row>
    <row r="14">
      <c r="A14" s="21">
        <f>ItensPedido!A14</f>
        <v/>
      </c>
      <c r="B14" s="21">
        <f>ItensPedido!B14</f>
        <v/>
      </c>
      <c r="C14" s="21">
        <f>ItensPedido!C14</f>
        <v/>
      </c>
      <c r="D14" s="21">
        <f>ItensPedido!D14</f>
        <v/>
      </c>
      <c r="E14" s="22">
        <f>ItensPedido!E14</f>
        <v/>
      </c>
      <c r="F14" s="21">
        <f>IFERROR(INDEX(Pedidos!$B$2:$B$1801,MATCH(B14,Pedidos!$A$2:$A$1801,0)),0)</f>
        <v/>
      </c>
      <c r="G14" s="21">
        <f>IF(F14=0,"",YEAR(F14))</f>
        <v/>
      </c>
      <c r="H14" s="21">
        <f>IF(F14=0,"",MONTH(F14))</f>
        <v/>
      </c>
      <c r="I14" s="21">
        <f>IFERROR(INDEX(Pedidos!$E$2:$E$1801,MATCH(B14,Pedidos!$A$2:$A$1801,0)),"")</f>
        <v/>
      </c>
      <c r="J14" s="21">
        <f>IFERROR(INDEX(Pedidos!$C$2:$C$1801,MATCH(B14,Pedidos!$A$2:$A$1801,0)),"")</f>
        <v/>
      </c>
      <c r="K14" s="21">
        <f>IFERROR(INDEX(Pedidos!$D$2:$D$1801,MATCH(B14,Pedidos!$A$2:$A$1801,0)),"")</f>
        <v/>
      </c>
      <c r="L14" s="21">
        <f>IFERROR(INDEX(Pedidos!$F$2:$F$1801,MATCH(B14,Pedidos!$A$2:$A$1801,0)),"")</f>
        <v/>
      </c>
      <c r="M14" s="22">
        <f>IFERROR(INDEX(Pedidos!$G$2:$G$1801,MATCH(B14,Pedidos!$A$2:$A$1801,0)),0)</f>
        <v/>
      </c>
      <c r="N14" s="21">
        <f>IFERROR(INDEX(Produtos!$B$2:$B$71,MATCH(C14,Produtos!$A$2:$A$71,0)),"")</f>
        <v/>
      </c>
      <c r="O14" s="21">
        <f>IFERROR(INDEX(Produtos!$C$2:$C$71,MATCH(C14,Produtos!$A$2:$A$71,0)),"")</f>
        <v/>
      </c>
      <c r="P14" s="21">
        <f>IFERROR(INDEX(Produtos!$D$2:$D$71,MATCH(C14,Produtos!$A$2:$A$71,0)),0)</f>
        <v/>
      </c>
      <c r="Q14" s="21">
        <f>IFERROR(INDEX(Produtos!$E$2:$E$71,MATCH(C14,Produtos!$A$2:$A$71,0)),0)</f>
        <v/>
      </c>
      <c r="R14" s="23">
        <f>D14*Q14</f>
        <v/>
      </c>
      <c r="S14" s="23">
        <f>R14*E14</f>
        <v/>
      </c>
      <c r="T14" s="23">
        <f>(R14-S14)*M14</f>
        <v/>
      </c>
      <c r="U14" s="23">
        <f>R14-S14-T14</f>
        <v/>
      </c>
      <c r="V14" s="23">
        <f>D14*P14</f>
        <v/>
      </c>
      <c r="W14" s="23">
        <f>U14-V14</f>
        <v/>
      </c>
      <c r="X14" s="24">
        <f>IFERROR(W14/U14,0)</f>
        <v/>
      </c>
    </row>
    <row r="15">
      <c r="A15" s="25">
        <f>ItensPedido!A15</f>
        <v/>
      </c>
      <c r="B15" s="25">
        <f>ItensPedido!B15</f>
        <v/>
      </c>
      <c r="C15" s="25">
        <f>ItensPedido!C15</f>
        <v/>
      </c>
      <c r="D15" s="25">
        <f>ItensPedido!D15</f>
        <v/>
      </c>
      <c r="E15" s="26">
        <f>ItensPedido!E15</f>
        <v/>
      </c>
      <c r="F15" s="25">
        <f>IFERROR(INDEX(Pedidos!$B$2:$B$1801,MATCH(B15,Pedidos!$A$2:$A$1801,0)),0)</f>
        <v/>
      </c>
      <c r="G15" s="25">
        <f>IF(F15=0,"",YEAR(F15))</f>
        <v/>
      </c>
      <c r="H15" s="25">
        <f>IF(F15=0,"",MONTH(F15))</f>
        <v/>
      </c>
      <c r="I15" s="25">
        <f>IFERROR(INDEX(Pedidos!$E$2:$E$1801,MATCH(B15,Pedidos!$A$2:$A$1801,0)),"")</f>
        <v/>
      </c>
      <c r="J15" s="25">
        <f>IFERROR(INDEX(Pedidos!$C$2:$C$1801,MATCH(B15,Pedidos!$A$2:$A$1801,0)),"")</f>
        <v/>
      </c>
      <c r="K15" s="25">
        <f>IFERROR(INDEX(Pedidos!$D$2:$D$1801,MATCH(B15,Pedidos!$A$2:$A$1801,0)),"")</f>
        <v/>
      </c>
      <c r="L15" s="25">
        <f>IFERROR(INDEX(Pedidos!$F$2:$F$1801,MATCH(B15,Pedidos!$A$2:$A$1801,0)),"")</f>
        <v/>
      </c>
      <c r="M15" s="26">
        <f>IFERROR(INDEX(Pedidos!$G$2:$G$1801,MATCH(B15,Pedidos!$A$2:$A$1801,0)),0)</f>
        <v/>
      </c>
      <c r="N15" s="25">
        <f>IFERROR(INDEX(Produtos!$B$2:$B$71,MATCH(C15,Produtos!$A$2:$A$71,0)),"")</f>
        <v/>
      </c>
      <c r="O15" s="25">
        <f>IFERROR(INDEX(Produtos!$C$2:$C$71,MATCH(C15,Produtos!$A$2:$A$71,0)),"")</f>
        <v/>
      </c>
      <c r="P15" s="25">
        <f>IFERROR(INDEX(Produtos!$D$2:$D$71,MATCH(C15,Produtos!$A$2:$A$71,0)),0)</f>
        <v/>
      </c>
      <c r="Q15" s="25">
        <f>IFERROR(INDEX(Produtos!$E$2:$E$71,MATCH(C15,Produtos!$A$2:$A$71,0)),0)</f>
        <v/>
      </c>
      <c r="R15" s="27">
        <f>D15*Q15</f>
        <v/>
      </c>
      <c r="S15" s="27">
        <f>R15*E15</f>
        <v/>
      </c>
      <c r="T15" s="27">
        <f>(R15-S15)*M15</f>
        <v/>
      </c>
      <c r="U15" s="27">
        <f>R15-S15-T15</f>
        <v/>
      </c>
      <c r="V15" s="27">
        <f>D15*P15</f>
        <v/>
      </c>
      <c r="W15" s="27">
        <f>U15-V15</f>
        <v/>
      </c>
      <c r="X15" s="28">
        <f>IFERROR(W15/U15,0)</f>
        <v/>
      </c>
    </row>
    <row r="16">
      <c r="A16" s="21">
        <f>ItensPedido!A16</f>
        <v/>
      </c>
      <c r="B16" s="21">
        <f>ItensPedido!B16</f>
        <v/>
      </c>
      <c r="C16" s="21">
        <f>ItensPedido!C16</f>
        <v/>
      </c>
      <c r="D16" s="21">
        <f>ItensPedido!D16</f>
        <v/>
      </c>
      <c r="E16" s="22">
        <f>ItensPedido!E16</f>
        <v/>
      </c>
      <c r="F16" s="21">
        <f>IFERROR(INDEX(Pedidos!$B$2:$B$1801,MATCH(B16,Pedidos!$A$2:$A$1801,0)),0)</f>
        <v/>
      </c>
      <c r="G16" s="21">
        <f>IF(F16=0,"",YEAR(F16))</f>
        <v/>
      </c>
      <c r="H16" s="21">
        <f>IF(F16=0,"",MONTH(F16))</f>
        <v/>
      </c>
      <c r="I16" s="21">
        <f>IFERROR(INDEX(Pedidos!$E$2:$E$1801,MATCH(B16,Pedidos!$A$2:$A$1801,0)),"")</f>
        <v/>
      </c>
      <c r="J16" s="21">
        <f>IFERROR(INDEX(Pedidos!$C$2:$C$1801,MATCH(B16,Pedidos!$A$2:$A$1801,0)),"")</f>
        <v/>
      </c>
      <c r="K16" s="21">
        <f>IFERROR(INDEX(Pedidos!$D$2:$D$1801,MATCH(B16,Pedidos!$A$2:$A$1801,0)),"")</f>
        <v/>
      </c>
      <c r="L16" s="21">
        <f>IFERROR(INDEX(Pedidos!$F$2:$F$1801,MATCH(B16,Pedidos!$A$2:$A$1801,0)),"")</f>
        <v/>
      </c>
      <c r="M16" s="22">
        <f>IFERROR(INDEX(Pedidos!$G$2:$G$1801,MATCH(B16,Pedidos!$A$2:$A$1801,0)),0)</f>
        <v/>
      </c>
      <c r="N16" s="21">
        <f>IFERROR(INDEX(Produtos!$B$2:$B$71,MATCH(C16,Produtos!$A$2:$A$71,0)),"")</f>
        <v/>
      </c>
      <c r="O16" s="21">
        <f>IFERROR(INDEX(Produtos!$C$2:$C$71,MATCH(C16,Produtos!$A$2:$A$71,0)),"")</f>
        <v/>
      </c>
      <c r="P16" s="21">
        <f>IFERROR(INDEX(Produtos!$D$2:$D$71,MATCH(C16,Produtos!$A$2:$A$71,0)),0)</f>
        <v/>
      </c>
      <c r="Q16" s="21">
        <f>IFERROR(INDEX(Produtos!$E$2:$E$71,MATCH(C16,Produtos!$A$2:$A$71,0)),0)</f>
        <v/>
      </c>
      <c r="R16" s="23">
        <f>D16*Q16</f>
        <v/>
      </c>
      <c r="S16" s="23">
        <f>R16*E16</f>
        <v/>
      </c>
      <c r="T16" s="23">
        <f>(R16-S16)*M16</f>
        <v/>
      </c>
      <c r="U16" s="23">
        <f>R16-S16-T16</f>
        <v/>
      </c>
      <c r="V16" s="23">
        <f>D16*P16</f>
        <v/>
      </c>
      <c r="W16" s="23">
        <f>U16-V16</f>
        <v/>
      </c>
      <c r="X16" s="24">
        <f>IFERROR(W16/U16,0)</f>
        <v/>
      </c>
    </row>
    <row r="17">
      <c r="A17" s="25">
        <f>ItensPedido!A17</f>
        <v/>
      </c>
      <c r="B17" s="25">
        <f>ItensPedido!B17</f>
        <v/>
      </c>
      <c r="C17" s="25">
        <f>ItensPedido!C17</f>
        <v/>
      </c>
      <c r="D17" s="25">
        <f>ItensPedido!D17</f>
        <v/>
      </c>
      <c r="E17" s="26">
        <f>ItensPedido!E17</f>
        <v/>
      </c>
      <c r="F17" s="25">
        <f>IFERROR(INDEX(Pedidos!$B$2:$B$1801,MATCH(B17,Pedidos!$A$2:$A$1801,0)),0)</f>
        <v/>
      </c>
      <c r="G17" s="25">
        <f>IF(F17=0,"",YEAR(F17))</f>
        <v/>
      </c>
      <c r="H17" s="25">
        <f>IF(F17=0,"",MONTH(F17))</f>
        <v/>
      </c>
      <c r="I17" s="25">
        <f>IFERROR(INDEX(Pedidos!$E$2:$E$1801,MATCH(B17,Pedidos!$A$2:$A$1801,0)),"")</f>
        <v/>
      </c>
      <c r="J17" s="25">
        <f>IFERROR(INDEX(Pedidos!$C$2:$C$1801,MATCH(B17,Pedidos!$A$2:$A$1801,0)),"")</f>
        <v/>
      </c>
      <c r="K17" s="25">
        <f>IFERROR(INDEX(Pedidos!$D$2:$D$1801,MATCH(B17,Pedidos!$A$2:$A$1801,0)),"")</f>
        <v/>
      </c>
      <c r="L17" s="25">
        <f>IFERROR(INDEX(Pedidos!$F$2:$F$1801,MATCH(B17,Pedidos!$A$2:$A$1801,0)),"")</f>
        <v/>
      </c>
      <c r="M17" s="26">
        <f>IFERROR(INDEX(Pedidos!$G$2:$G$1801,MATCH(B17,Pedidos!$A$2:$A$1801,0)),0)</f>
        <v/>
      </c>
      <c r="N17" s="25">
        <f>IFERROR(INDEX(Produtos!$B$2:$B$71,MATCH(C17,Produtos!$A$2:$A$71,0)),"")</f>
        <v/>
      </c>
      <c r="O17" s="25">
        <f>IFERROR(INDEX(Produtos!$C$2:$C$71,MATCH(C17,Produtos!$A$2:$A$71,0)),"")</f>
        <v/>
      </c>
      <c r="P17" s="25">
        <f>IFERROR(INDEX(Produtos!$D$2:$D$71,MATCH(C17,Produtos!$A$2:$A$71,0)),0)</f>
        <v/>
      </c>
      <c r="Q17" s="25">
        <f>IFERROR(INDEX(Produtos!$E$2:$E$71,MATCH(C17,Produtos!$A$2:$A$71,0)),0)</f>
        <v/>
      </c>
      <c r="R17" s="27">
        <f>D17*Q17</f>
        <v/>
      </c>
      <c r="S17" s="27">
        <f>R17*E17</f>
        <v/>
      </c>
      <c r="T17" s="27">
        <f>(R17-S17)*M17</f>
        <v/>
      </c>
      <c r="U17" s="27">
        <f>R17-S17-T17</f>
        <v/>
      </c>
      <c r="V17" s="27">
        <f>D17*P17</f>
        <v/>
      </c>
      <c r="W17" s="27">
        <f>U17-V17</f>
        <v/>
      </c>
      <c r="X17" s="28">
        <f>IFERROR(W17/U17,0)</f>
        <v/>
      </c>
    </row>
    <row r="18">
      <c r="A18" s="21">
        <f>ItensPedido!A18</f>
        <v/>
      </c>
      <c r="B18" s="21">
        <f>ItensPedido!B18</f>
        <v/>
      </c>
      <c r="C18" s="21">
        <f>ItensPedido!C18</f>
        <v/>
      </c>
      <c r="D18" s="21">
        <f>ItensPedido!D18</f>
        <v/>
      </c>
      <c r="E18" s="22">
        <f>ItensPedido!E18</f>
        <v/>
      </c>
      <c r="F18" s="21">
        <f>IFERROR(INDEX(Pedidos!$B$2:$B$1801,MATCH(B18,Pedidos!$A$2:$A$1801,0)),0)</f>
        <v/>
      </c>
      <c r="G18" s="21">
        <f>IF(F18=0,"",YEAR(F18))</f>
        <v/>
      </c>
      <c r="H18" s="21">
        <f>IF(F18=0,"",MONTH(F18))</f>
        <v/>
      </c>
      <c r="I18" s="21">
        <f>IFERROR(INDEX(Pedidos!$E$2:$E$1801,MATCH(B18,Pedidos!$A$2:$A$1801,0)),"")</f>
        <v/>
      </c>
      <c r="J18" s="21">
        <f>IFERROR(INDEX(Pedidos!$C$2:$C$1801,MATCH(B18,Pedidos!$A$2:$A$1801,0)),"")</f>
        <v/>
      </c>
      <c r="K18" s="21">
        <f>IFERROR(INDEX(Pedidos!$D$2:$D$1801,MATCH(B18,Pedidos!$A$2:$A$1801,0)),"")</f>
        <v/>
      </c>
      <c r="L18" s="21">
        <f>IFERROR(INDEX(Pedidos!$F$2:$F$1801,MATCH(B18,Pedidos!$A$2:$A$1801,0)),"")</f>
        <v/>
      </c>
      <c r="M18" s="22">
        <f>IFERROR(INDEX(Pedidos!$G$2:$G$1801,MATCH(B18,Pedidos!$A$2:$A$1801,0)),0)</f>
        <v/>
      </c>
      <c r="N18" s="21">
        <f>IFERROR(INDEX(Produtos!$B$2:$B$71,MATCH(C18,Produtos!$A$2:$A$71,0)),"")</f>
        <v/>
      </c>
      <c r="O18" s="21">
        <f>IFERROR(INDEX(Produtos!$C$2:$C$71,MATCH(C18,Produtos!$A$2:$A$71,0)),"")</f>
        <v/>
      </c>
      <c r="P18" s="21">
        <f>IFERROR(INDEX(Produtos!$D$2:$D$71,MATCH(C18,Produtos!$A$2:$A$71,0)),0)</f>
        <v/>
      </c>
      <c r="Q18" s="21">
        <f>IFERROR(INDEX(Produtos!$E$2:$E$71,MATCH(C18,Produtos!$A$2:$A$71,0)),0)</f>
        <v/>
      </c>
      <c r="R18" s="23">
        <f>D18*Q18</f>
        <v/>
      </c>
      <c r="S18" s="23">
        <f>R18*E18</f>
        <v/>
      </c>
      <c r="T18" s="23">
        <f>(R18-S18)*M18</f>
        <v/>
      </c>
      <c r="U18" s="23">
        <f>R18-S18-T18</f>
        <v/>
      </c>
      <c r="V18" s="23">
        <f>D18*P18</f>
        <v/>
      </c>
      <c r="W18" s="23">
        <f>U18-V18</f>
        <v/>
      </c>
      <c r="X18" s="24">
        <f>IFERROR(W18/U18,0)</f>
        <v/>
      </c>
    </row>
    <row r="19">
      <c r="A19" s="25">
        <f>ItensPedido!A19</f>
        <v/>
      </c>
      <c r="B19" s="25">
        <f>ItensPedido!B19</f>
        <v/>
      </c>
      <c r="C19" s="25">
        <f>ItensPedido!C19</f>
        <v/>
      </c>
      <c r="D19" s="25">
        <f>ItensPedido!D19</f>
        <v/>
      </c>
      <c r="E19" s="26">
        <f>ItensPedido!E19</f>
        <v/>
      </c>
      <c r="F19" s="25">
        <f>IFERROR(INDEX(Pedidos!$B$2:$B$1801,MATCH(B19,Pedidos!$A$2:$A$1801,0)),0)</f>
        <v/>
      </c>
      <c r="G19" s="25">
        <f>IF(F19=0,"",YEAR(F19))</f>
        <v/>
      </c>
      <c r="H19" s="25">
        <f>IF(F19=0,"",MONTH(F19))</f>
        <v/>
      </c>
      <c r="I19" s="25">
        <f>IFERROR(INDEX(Pedidos!$E$2:$E$1801,MATCH(B19,Pedidos!$A$2:$A$1801,0)),"")</f>
        <v/>
      </c>
      <c r="J19" s="25">
        <f>IFERROR(INDEX(Pedidos!$C$2:$C$1801,MATCH(B19,Pedidos!$A$2:$A$1801,0)),"")</f>
        <v/>
      </c>
      <c r="K19" s="25">
        <f>IFERROR(INDEX(Pedidos!$D$2:$D$1801,MATCH(B19,Pedidos!$A$2:$A$1801,0)),"")</f>
        <v/>
      </c>
      <c r="L19" s="25">
        <f>IFERROR(INDEX(Pedidos!$F$2:$F$1801,MATCH(B19,Pedidos!$A$2:$A$1801,0)),"")</f>
        <v/>
      </c>
      <c r="M19" s="26">
        <f>IFERROR(INDEX(Pedidos!$G$2:$G$1801,MATCH(B19,Pedidos!$A$2:$A$1801,0)),0)</f>
        <v/>
      </c>
      <c r="N19" s="25">
        <f>IFERROR(INDEX(Produtos!$B$2:$B$71,MATCH(C19,Produtos!$A$2:$A$71,0)),"")</f>
        <v/>
      </c>
      <c r="O19" s="25">
        <f>IFERROR(INDEX(Produtos!$C$2:$C$71,MATCH(C19,Produtos!$A$2:$A$71,0)),"")</f>
        <v/>
      </c>
      <c r="P19" s="25">
        <f>IFERROR(INDEX(Produtos!$D$2:$D$71,MATCH(C19,Produtos!$A$2:$A$71,0)),0)</f>
        <v/>
      </c>
      <c r="Q19" s="25">
        <f>IFERROR(INDEX(Produtos!$E$2:$E$71,MATCH(C19,Produtos!$A$2:$A$71,0)),0)</f>
        <v/>
      </c>
      <c r="R19" s="27">
        <f>D19*Q19</f>
        <v/>
      </c>
      <c r="S19" s="27">
        <f>R19*E19</f>
        <v/>
      </c>
      <c r="T19" s="27">
        <f>(R19-S19)*M19</f>
        <v/>
      </c>
      <c r="U19" s="27">
        <f>R19-S19-T19</f>
        <v/>
      </c>
      <c r="V19" s="27">
        <f>D19*P19</f>
        <v/>
      </c>
      <c r="W19" s="27">
        <f>U19-V19</f>
        <v/>
      </c>
      <c r="X19" s="28">
        <f>IFERROR(W19/U19,0)</f>
        <v/>
      </c>
    </row>
    <row r="20">
      <c r="A20" s="21">
        <f>ItensPedido!A20</f>
        <v/>
      </c>
      <c r="B20" s="21">
        <f>ItensPedido!B20</f>
        <v/>
      </c>
      <c r="C20" s="21">
        <f>ItensPedido!C20</f>
        <v/>
      </c>
      <c r="D20" s="21">
        <f>ItensPedido!D20</f>
        <v/>
      </c>
      <c r="E20" s="22">
        <f>ItensPedido!E20</f>
        <v/>
      </c>
      <c r="F20" s="21">
        <f>IFERROR(INDEX(Pedidos!$B$2:$B$1801,MATCH(B20,Pedidos!$A$2:$A$1801,0)),0)</f>
        <v/>
      </c>
      <c r="G20" s="21">
        <f>IF(F20=0,"",YEAR(F20))</f>
        <v/>
      </c>
      <c r="H20" s="21">
        <f>IF(F20=0,"",MONTH(F20))</f>
        <v/>
      </c>
      <c r="I20" s="21">
        <f>IFERROR(INDEX(Pedidos!$E$2:$E$1801,MATCH(B20,Pedidos!$A$2:$A$1801,0)),"")</f>
        <v/>
      </c>
      <c r="J20" s="21">
        <f>IFERROR(INDEX(Pedidos!$C$2:$C$1801,MATCH(B20,Pedidos!$A$2:$A$1801,0)),"")</f>
        <v/>
      </c>
      <c r="K20" s="21">
        <f>IFERROR(INDEX(Pedidos!$D$2:$D$1801,MATCH(B20,Pedidos!$A$2:$A$1801,0)),"")</f>
        <v/>
      </c>
      <c r="L20" s="21">
        <f>IFERROR(INDEX(Pedidos!$F$2:$F$1801,MATCH(B20,Pedidos!$A$2:$A$1801,0)),"")</f>
        <v/>
      </c>
      <c r="M20" s="22">
        <f>IFERROR(INDEX(Pedidos!$G$2:$G$1801,MATCH(B20,Pedidos!$A$2:$A$1801,0)),0)</f>
        <v/>
      </c>
      <c r="N20" s="21">
        <f>IFERROR(INDEX(Produtos!$B$2:$B$71,MATCH(C20,Produtos!$A$2:$A$71,0)),"")</f>
        <v/>
      </c>
      <c r="O20" s="21">
        <f>IFERROR(INDEX(Produtos!$C$2:$C$71,MATCH(C20,Produtos!$A$2:$A$71,0)),"")</f>
        <v/>
      </c>
      <c r="P20" s="21">
        <f>IFERROR(INDEX(Produtos!$D$2:$D$71,MATCH(C20,Produtos!$A$2:$A$71,0)),0)</f>
        <v/>
      </c>
      <c r="Q20" s="21">
        <f>IFERROR(INDEX(Produtos!$E$2:$E$71,MATCH(C20,Produtos!$A$2:$A$71,0)),0)</f>
        <v/>
      </c>
      <c r="R20" s="23">
        <f>D20*Q20</f>
        <v/>
      </c>
      <c r="S20" s="23">
        <f>R20*E20</f>
        <v/>
      </c>
      <c r="T20" s="23">
        <f>(R20-S20)*M20</f>
        <v/>
      </c>
      <c r="U20" s="23">
        <f>R20-S20-T20</f>
        <v/>
      </c>
      <c r="V20" s="23">
        <f>D20*P20</f>
        <v/>
      </c>
      <c r="W20" s="23">
        <f>U20-V20</f>
        <v/>
      </c>
      <c r="X20" s="24">
        <f>IFERROR(W20/U20,0)</f>
        <v/>
      </c>
    </row>
    <row r="21">
      <c r="A21" s="25">
        <f>ItensPedido!A21</f>
        <v/>
      </c>
      <c r="B21" s="25">
        <f>ItensPedido!B21</f>
        <v/>
      </c>
      <c r="C21" s="25">
        <f>ItensPedido!C21</f>
        <v/>
      </c>
      <c r="D21" s="25">
        <f>ItensPedido!D21</f>
        <v/>
      </c>
      <c r="E21" s="26">
        <f>ItensPedido!E21</f>
        <v/>
      </c>
      <c r="F21" s="25">
        <f>IFERROR(INDEX(Pedidos!$B$2:$B$1801,MATCH(B21,Pedidos!$A$2:$A$1801,0)),0)</f>
        <v/>
      </c>
      <c r="G21" s="25">
        <f>IF(F21=0,"",YEAR(F21))</f>
        <v/>
      </c>
      <c r="H21" s="25">
        <f>IF(F21=0,"",MONTH(F21))</f>
        <v/>
      </c>
      <c r="I21" s="25">
        <f>IFERROR(INDEX(Pedidos!$E$2:$E$1801,MATCH(B21,Pedidos!$A$2:$A$1801,0)),"")</f>
        <v/>
      </c>
      <c r="J21" s="25">
        <f>IFERROR(INDEX(Pedidos!$C$2:$C$1801,MATCH(B21,Pedidos!$A$2:$A$1801,0)),"")</f>
        <v/>
      </c>
      <c r="K21" s="25">
        <f>IFERROR(INDEX(Pedidos!$D$2:$D$1801,MATCH(B21,Pedidos!$A$2:$A$1801,0)),"")</f>
        <v/>
      </c>
      <c r="L21" s="25">
        <f>IFERROR(INDEX(Pedidos!$F$2:$F$1801,MATCH(B21,Pedidos!$A$2:$A$1801,0)),"")</f>
        <v/>
      </c>
      <c r="M21" s="26">
        <f>IFERROR(INDEX(Pedidos!$G$2:$G$1801,MATCH(B21,Pedidos!$A$2:$A$1801,0)),0)</f>
        <v/>
      </c>
      <c r="N21" s="25">
        <f>IFERROR(INDEX(Produtos!$B$2:$B$71,MATCH(C21,Produtos!$A$2:$A$71,0)),"")</f>
        <v/>
      </c>
      <c r="O21" s="25">
        <f>IFERROR(INDEX(Produtos!$C$2:$C$71,MATCH(C21,Produtos!$A$2:$A$71,0)),"")</f>
        <v/>
      </c>
      <c r="P21" s="25">
        <f>IFERROR(INDEX(Produtos!$D$2:$D$71,MATCH(C21,Produtos!$A$2:$A$71,0)),0)</f>
        <v/>
      </c>
      <c r="Q21" s="25">
        <f>IFERROR(INDEX(Produtos!$E$2:$E$71,MATCH(C21,Produtos!$A$2:$A$71,0)),0)</f>
        <v/>
      </c>
      <c r="R21" s="27">
        <f>D21*Q21</f>
        <v/>
      </c>
      <c r="S21" s="27">
        <f>R21*E21</f>
        <v/>
      </c>
      <c r="T21" s="27">
        <f>(R21-S21)*M21</f>
        <v/>
      </c>
      <c r="U21" s="27">
        <f>R21-S21-T21</f>
        <v/>
      </c>
      <c r="V21" s="27">
        <f>D21*P21</f>
        <v/>
      </c>
      <c r="W21" s="27">
        <f>U21-V21</f>
        <v/>
      </c>
      <c r="X21" s="28">
        <f>IFERROR(W21/U21,0)</f>
        <v/>
      </c>
    </row>
    <row r="22">
      <c r="A22" s="21">
        <f>ItensPedido!A22</f>
        <v/>
      </c>
      <c r="B22" s="21">
        <f>ItensPedido!B22</f>
        <v/>
      </c>
      <c r="C22" s="21">
        <f>ItensPedido!C22</f>
        <v/>
      </c>
      <c r="D22" s="21">
        <f>ItensPedido!D22</f>
        <v/>
      </c>
      <c r="E22" s="22">
        <f>ItensPedido!E22</f>
        <v/>
      </c>
      <c r="F22" s="21">
        <f>IFERROR(INDEX(Pedidos!$B$2:$B$1801,MATCH(B22,Pedidos!$A$2:$A$1801,0)),0)</f>
        <v/>
      </c>
      <c r="G22" s="21">
        <f>IF(F22=0,"",YEAR(F22))</f>
        <v/>
      </c>
      <c r="H22" s="21">
        <f>IF(F22=0,"",MONTH(F22))</f>
        <v/>
      </c>
      <c r="I22" s="21">
        <f>IFERROR(INDEX(Pedidos!$E$2:$E$1801,MATCH(B22,Pedidos!$A$2:$A$1801,0)),"")</f>
        <v/>
      </c>
      <c r="J22" s="21">
        <f>IFERROR(INDEX(Pedidos!$C$2:$C$1801,MATCH(B22,Pedidos!$A$2:$A$1801,0)),"")</f>
        <v/>
      </c>
      <c r="K22" s="21">
        <f>IFERROR(INDEX(Pedidos!$D$2:$D$1801,MATCH(B22,Pedidos!$A$2:$A$1801,0)),"")</f>
        <v/>
      </c>
      <c r="L22" s="21">
        <f>IFERROR(INDEX(Pedidos!$F$2:$F$1801,MATCH(B22,Pedidos!$A$2:$A$1801,0)),"")</f>
        <v/>
      </c>
      <c r="M22" s="22">
        <f>IFERROR(INDEX(Pedidos!$G$2:$G$1801,MATCH(B22,Pedidos!$A$2:$A$1801,0)),0)</f>
        <v/>
      </c>
      <c r="N22" s="21">
        <f>IFERROR(INDEX(Produtos!$B$2:$B$71,MATCH(C22,Produtos!$A$2:$A$71,0)),"")</f>
        <v/>
      </c>
      <c r="O22" s="21">
        <f>IFERROR(INDEX(Produtos!$C$2:$C$71,MATCH(C22,Produtos!$A$2:$A$71,0)),"")</f>
        <v/>
      </c>
      <c r="P22" s="21">
        <f>IFERROR(INDEX(Produtos!$D$2:$D$71,MATCH(C22,Produtos!$A$2:$A$71,0)),0)</f>
        <v/>
      </c>
      <c r="Q22" s="21">
        <f>IFERROR(INDEX(Produtos!$E$2:$E$71,MATCH(C22,Produtos!$A$2:$A$71,0)),0)</f>
        <v/>
      </c>
      <c r="R22" s="23">
        <f>D22*Q22</f>
        <v/>
      </c>
      <c r="S22" s="23">
        <f>R22*E22</f>
        <v/>
      </c>
      <c r="T22" s="23">
        <f>(R22-S22)*M22</f>
        <v/>
      </c>
      <c r="U22" s="23">
        <f>R22-S22-T22</f>
        <v/>
      </c>
      <c r="V22" s="23">
        <f>D22*P22</f>
        <v/>
      </c>
      <c r="W22" s="23">
        <f>U22-V22</f>
        <v/>
      </c>
      <c r="X22" s="24">
        <f>IFERROR(W22/U22,0)</f>
        <v/>
      </c>
    </row>
    <row r="23">
      <c r="A23" s="25">
        <f>ItensPedido!A23</f>
        <v/>
      </c>
      <c r="B23" s="25">
        <f>ItensPedido!B23</f>
        <v/>
      </c>
      <c r="C23" s="25">
        <f>ItensPedido!C23</f>
        <v/>
      </c>
      <c r="D23" s="25">
        <f>ItensPedido!D23</f>
        <v/>
      </c>
      <c r="E23" s="26">
        <f>ItensPedido!E23</f>
        <v/>
      </c>
      <c r="F23" s="25">
        <f>IFERROR(INDEX(Pedidos!$B$2:$B$1801,MATCH(B23,Pedidos!$A$2:$A$1801,0)),0)</f>
        <v/>
      </c>
      <c r="G23" s="25">
        <f>IF(F23=0,"",YEAR(F23))</f>
        <v/>
      </c>
      <c r="H23" s="25">
        <f>IF(F23=0,"",MONTH(F23))</f>
        <v/>
      </c>
      <c r="I23" s="25">
        <f>IFERROR(INDEX(Pedidos!$E$2:$E$1801,MATCH(B23,Pedidos!$A$2:$A$1801,0)),"")</f>
        <v/>
      </c>
      <c r="J23" s="25">
        <f>IFERROR(INDEX(Pedidos!$C$2:$C$1801,MATCH(B23,Pedidos!$A$2:$A$1801,0)),"")</f>
        <v/>
      </c>
      <c r="K23" s="25">
        <f>IFERROR(INDEX(Pedidos!$D$2:$D$1801,MATCH(B23,Pedidos!$A$2:$A$1801,0)),"")</f>
        <v/>
      </c>
      <c r="L23" s="25">
        <f>IFERROR(INDEX(Pedidos!$F$2:$F$1801,MATCH(B23,Pedidos!$A$2:$A$1801,0)),"")</f>
        <v/>
      </c>
      <c r="M23" s="26">
        <f>IFERROR(INDEX(Pedidos!$G$2:$G$1801,MATCH(B23,Pedidos!$A$2:$A$1801,0)),0)</f>
        <v/>
      </c>
      <c r="N23" s="25">
        <f>IFERROR(INDEX(Produtos!$B$2:$B$71,MATCH(C23,Produtos!$A$2:$A$71,0)),"")</f>
        <v/>
      </c>
      <c r="O23" s="25">
        <f>IFERROR(INDEX(Produtos!$C$2:$C$71,MATCH(C23,Produtos!$A$2:$A$71,0)),"")</f>
        <v/>
      </c>
      <c r="P23" s="25">
        <f>IFERROR(INDEX(Produtos!$D$2:$D$71,MATCH(C23,Produtos!$A$2:$A$71,0)),0)</f>
        <v/>
      </c>
      <c r="Q23" s="25">
        <f>IFERROR(INDEX(Produtos!$E$2:$E$71,MATCH(C23,Produtos!$A$2:$A$71,0)),0)</f>
        <v/>
      </c>
      <c r="R23" s="27">
        <f>D23*Q23</f>
        <v/>
      </c>
      <c r="S23" s="27">
        <f>R23*E23</f>
        <v/>
      </c>
      <c r="T23" s="27">
        <f>(R23-S23)*M23</f>
        <v/>
      </c>
      <c r="U23" s="27">
        <f>R23-S23-T23</f>
        <v/>
      </c>
      <c r="V23" s="27">
        <f>D23*P23</f>
        <v/>
      </c>
      <c r="W23" s="27">
        <f>U23-V23</f>
        <v/>
      </c>
      <c r="X23" s="28">
        <f>IFERROR(W23/U23,0)</f>
        <v/>
      </c>
    </row>
    <row r="24">
      <c r="A24" s="21">
        <f>ItensPedido!A24</f>
        <v/>
      </c>
      <c r="B24" s="21">
        <f>ItensPedido!B24</f>
        <v/>
      </c>
      <c r="C24" s="21">
        <f>ItensPedido!C24</f>
        <v/>
      </c>
      <c r="D24" s="21">
        <f>ItensPedido!D24</f>
        <v/>
      </c>
      <c r="E24" s="22">
        <f>ItensPedido!E24</f>
        <v/>
      </c>
      <c r="F24" s="21">
        <f>IFERROR(INDEX(Pedidos!$B$2:$B$1801,MATCH(B24,Pedidos!$A$2:$A$1801,0)),0)</f>
        <v/>
      </c>
      <c r="G24" s="21">
        <f>IF(F24=0,"",YEAR(F24))</f>
        <v/>
      </c>
      <c r="H24" s="21">
        <f>IF(F24=0,"",MONTH(F24))</f>
        <v/>
      </c>
      <c r="I24" s="21">
        <f>IFERROR(INDEX(Pedidos!$E$2:$E$1801,MATCH(B24,Pedidos!$A$2:$A$1801,0)),"")</f>
        <v/>
      </c>
      <c r="J24" s="21">
        <f>IFERROR(INDEX(Pedidos!$C$2:$C$1801,MATCH(B24,Pedidos!$A$2:$A$1801,0)),"")</f>
        <v/>
      </c>
      <c r="K24" s="21">
        <f>IFERROR(INDEX(Pedidos!$D$2:$D$1801,MATCH(B24,Pedidos!$A$2:$A$1801,0)),"")</f>
        <v/>
      </c>
      <c r="L24" s="21">
        <f>IFERROR(INDEX(Pedidos!$F$2:$F$1801,MATCH(B24,Pedidos!$A$2:$A$1801,0)),"")</f>
        <v/>
      </c>
      <c r="M24" s="22">
        <f>IFERROR(INDEX(Pedidos!$G$2:$G$1801,MATCH(B24,Pedidos!$A$2:$A$1801,0)),0)</f>
        <v/>
      </c>
      <c r="N24" s="21">
        <f>IFERROR(INDEX(Produtos!$B$2:$B$71,MATCH(C24,Produtos!$A$2:$A$71,0)),"")</f>
        <v/>
      </c>
      <c r="O24" s="21">
        <f>IFERROR(INDEX(Produtos!$C$2:$C$71,MATCH(C24,Produtos!$A$2:$A$71,0)),"")</f>
        <v/>
      </c>
      <c r="P24" s="21">
        <f>IFERROR(INDEX(Produtos!$D$2:$D$71,MATCH(C24,Produtos!$A$2:$A$71,0)),0)</f>
        <v/>
      </c>
      <c r="Q24" s="21">
        <f>IFERROR(INDEX(Produtos!$E$2:$E$71,MATCH(C24,Produtos!$A$2:$A$71,0)),0)</f>
        <v/>
      </c>
      <c r="R24" s="23">
        <f>D24*Q24</f>
        <v/>
      </c>
      <c r="S24" s="23">
        <f>R24*E24</f>
        <v/>
      </c>
      <c r="T24" s="23">
        <f>(R24-S24)*M24</f>
        <v/>
      </c>
      <c r="U24" s="23">
        <f>R24-S24-T24</f>
        <v/>
      </c>
      <c r="V24" s="23">
        <f>D24*P24</f>
        <v/>
      </c>
      <c r="W24" s="23">
        <f>U24-V24</f>
        <v/>
      </c>
      <c r="X24" s="24">
        <f>IFERROR(W24/U24,0)</f>
        <v/>
      </c>
    </row>
    <row r="25">
      <c r="A25" s="25">
        <f>ItensPedido!A25</f>
        <v/>
      </c>
      <c r="B25" s="25">
        <f>ItensPedido!B25</f>
        <v/>
      </c>
      <c r="C25" s="25">
        <f>ItensPedido!C25</f>
        <v/>
      </c>
      <c r="D25" s="25">
        <f>ItensPedido!D25</f>
        <v/>
      </c>
      <c r="E25" s="26">
        <f>ItensPedido!E25</f>
        <v/>
      </c>
      <c r="F25" s="25">
        <f>IFERROR(INDEX(Pedidos!$B$2:$B$1801,MATCH(B25,Pedidos!$A$2:$A$1801,0)),0)</f>
        <v/>
      </c>
      <c r="G25" s="25">
        <f>IF(F25=0,"",YEAR(F25))</f>
        <v/>
      </c>
      <c r="H25" s="25">
        <f>IF(F25=0,"",MONTH(F25))</f>
        <v/>
      </c>
      <c r="I25" s="25">
        <f>IFERROR(INDEX(Pedidos!$E$2:$E$1801,MATCH(B25,Pedidos!$A$2:$A$1801,0)),"")</f>
        <v/>
      </c>
      <c r="J25" s="25">
        <f>IFERROR(INDEX(Pedidos!$C$2:$C$1801,MATCH(B25,Pedidos!$A$2:$A$1801,0)),"")</f>
        <v/>
      </c>
      <c r="K25" s="25">
        <f>IFERROR(INDEX(Pedidos!$D$2:$D$1801,MATCH(B25,Pedidos!$A$2:$A$1801,0)),"")</f>
        <v/>
      </c>
      <c r="L25" s="25">
        <f>IFERROR(INDEX(Pedidos!$F$2:$F$1801,MATCH(B25,Pedidos!$A$2:$A$1801,0)),"")</f>
        <v/>
      </c>
      <c r="M25" s="26">
        <f>IFERROR(INDEX(Pedidos!$G$2:$G$1801,MATCH(B25,Pedidos!$A$2:$A$1801,0)),0)</f>
        <v/>
      </c>
      <c r="N25" s="25">
        <f>IFERROR(INDEX(Produtos!$B$2:$B$71,MATCH(C25,Produtos!$A$2:$A$71,0)),"")</f>
        <v/>
      </c>
      <c r="O25" s="25">
        <f>IFERROR(INDEX(Produtos!$C$2:$C$71,MATCH(C25,Produtos!$A$2:$A$71,0)),"")</f>
        <v/>
      </c>
      <c r="P25" s="25">
        <f>IFERROR(INDEX(Produtos!$D$2:$D$71,MATCH(C25,Produtos!$A$2:$A$71,0)),0)</f>
        <v/>
      </c>
      <c r="Q25" s="25">
        <f>IFERROR(INDEX(Produtos!$E$2:$E$71,MATCH(C25,Produtos!$A$2:$A$71,0)),0)</f>
        <v/>
      </c>
      <c r="R25" s="27">
        <f>D25*Q25</f>
        <v/>
      </c>
      <c r="S25" s="27">
        <f>R25*E25</f>
        <v/>
      </c>
      <c r="T25" s="27">
        <f>(R25-S25)*M25</f>
        <v/>
      </c>
      <c r="U25" s="27">
        <f>R25-S25-T25</f>
        <v/>
      </c>
      <c r="V25" s="27">
        <f>D25*P25</f>
        <v/>
      </c>
      <c r="W25" s="27">
        <f>U25-V25</f>
        <v/>
      </c>
      <c r="X25" s="28">
        <f>IFERROR(W25/U25,0)</f>
        <v/>
      </c>
    </row>
    <row r="26">
      <c r="A26" s="21">
        <f>ItensPedido!A26</f>
        <v/>
      </c>
      <c r="B26" s="21">
        <f>ItensPedido!B26</f>
        <v/>
      </c>
      <c r="C26" s="21">
        <f>ItensPedido!C26</f>
        <v/>
      </c>
      <c r="D26" s="21">
        <f>ItensPedido!D26</f>
        <v/>
      </c>
      <c r="E26" s="22">
        <f>ItensPedido!E26</f>
        <v/>
      </c>
      <c r="F26" s="21">
        <f>IFERROR(INDEX(Pedidos!$B$2:$B$1801,MATCH(B26,Pedidos!$A$2:$A$1801,0)),0)</f>
        <v/>
      </c>
      <c r="G26" s="21">
        <f>IF(F26=0,"",YEAR(F26))</f>
        <v/>
      </c>
      <c r="H26" s="21">
        <f>IF(F26=0,"",MONTH(F26))</f>
        <v/>
      </c>
      <c r="I26" s="21">
        <f>IFERROR(INDEX(Pedidos!$E$2:$E$1801,MATCH(B26,Pedidos!$A$2:$A$1801,0)),"")</f>
        <v/>
      </c>
      <c r="J26" s="21">
        <f>IFERROR(INDEX(Pedidos!$C$2:$C$1801,MATCH(B26,Pedidos!$A$2:$A$1801,0)),"")</f>
        <v/>
      </c>
      <c r="K26" s="21">
        <f>IFERROR(INDEX(Pedidos!$D$2:$D$1801,MATCH(B26,Pedidos!$A$2:$A$1801,0)),"")</f>
        <v/>
      </c>
      <c r="L26" s="21">
        <f>IFERROR(INDEX(Pedidos!$F$2:$F$1801,MATCH(B26,Pedidos!$A$2:$A$1801,0)),"")</f>
        <v/>
      </c>
      <c r="M26" s="22">
        <f>IFERROR(INDEX(Pedidos!$G$2:$G$1801,MATCH(B26,Pedidos!$A$2:$A$1801,0)),0)</f>
        <v/>
      </c>
      <c r="N26" s="21">
        <f>IFERROR(INDEX(Produtos!$B$2:$B$71,MATCH(C26,Produtos!$A$2:$A$71,0)),"")</f>
        <v/>
      </c>
      <c r="O26" s="21">
        <f>IFERROR(INDEX(Produtos!$C$2:$C$71,MATCH(C26,Produtos!$A$2:$A$71,0)),"")</f>
        <v/>
      </c>
      <c r="P26" s="21">
        <f>IFERROR(INDEX(Produtos!$D$2:$D$71,MATCH(C26,Produtos!$A$2:$A$71,0)),0)</f>
        <v/>
      </c>
      <c r="Q26" s="21">
        <f>IFERROR(INDEX(Produtos!$E$2:$E$71,MATCH(C26,Produtos!$A$2:$A$71,0)),0)</f>
        <v/>
      </c>
      <c r="R26" s="23">
        <f>D26*Q26</f>
        <v/>
      </c>
      <c r="S26" s="23">
        <f>R26*E26</f>
        <v/>
      </c>
      <c r="T26" s="23">
        <f>(R26-S26)*M26</f>
        <v/>
      </c>
      <c r="U26" s="23">
        <f>R26-S26-T26</f>
        <v/>
      </c>
      <c r="V26" s="23">
        <f>D26*P26</f>
        <v/>
      </c>
      <c r="W26" s="23">
        <f>U26-V26</f>
        <v/>
      </c>
      <c r="X26" s="24">
        <f>IFERROR(W26/U26,0)</f>
        <v/>
      </c>
    </row>
    <row r="27">
      <c r="A27" s="25">
        <f>ItensPedido!A27</f>
        <v/>
      </c>
      <c r="B27" s="25">
        <f>ItensPedido!B27</f>
        <v/>
      </c>
      <c r="C27" s="25">
        <f>ItensPedido!C27</f>
        <v/>
      </c>
      <c r="D27" s="25">
        <f>ItensPedido!D27</f>
        <v/>
      </c>
      <c r="E27" s="26">
        <f>ItensPedido!E27</f>
        <v/>
      </c>
      <c r="F27" s="25">
        <f>IFERROR(INDEX(Pedidos!$B$2:$B$1801,MATCH(B27,Pedidos!$A$2:$A$1801,0)),0)</f>
        <v/>
      </c>
      <c r="G27" s="25">
        <f>IF(F27=0,"",YEAR(F27))</f>
        <v/>
      </c>
      <c r="H27" s="25">
        <f>IF(F27=0,"",MONTH(F27))</f>
        <v/>
      </c>
      <c r="I27" s="25">
        <f>IFERROR(INDEX(Pedidos!$E$2:$E$1801,MATCH(B27,Pedidos!$A$2:$A$1801,0)),"")</f>
        <v/>
      </c>
      <c r="J27" s="25">
        <f>IFERROR(INDEX(Pedidos!$C$2:$C$1801,MATCH(B27,Pedidos!$A$2:$A$1801,0)),"")</f>
        <v/>
      </c>
      <c r="K27" s="25">
        <f>IFERROR(INDEX(Pedidos!$D$2:$D$1801,MATCH(B27,Pedidos!$A$2:$A$1801,0)),"")</f>
        <v/>
      </c>
      <c r="L27" s="25">
        <f>IFERROR(INDEX(Pedidos!$F$2:$F$1801,MATCH(B27,Pedidos!$A$2:$A$1801,0)),"")</f>
        <v/>
      </c>
      <c r="M27" s="26">
        <f>IFERROR(INDEX(Pedidos!$G$2:$G$1801,MATCH(B27,Pedidos!$A$2:$A$1801,0)),0)</f>
        <v/>
      </c>
      <c r="N27" s="25">
        <f>IFERROR(INDEX(Produtos!$B$2:$B$71,MATCH(C27,Produtos!$A$2:$A$71,0)),"")</f>
        <v/>
      </c>
      <c r="O27" s="25">
        <f>IFERROR(INDEX(Produtos!$C$2:$C$71,MATCH(C27,Produtos!$A$2:$A$71,0)),"")</f>
        <v/>
      </c>
      <c r="P27" s="25">
        <f>IFERROR(INDEX(Produtos!$D$2:$D$71,MATCH(C27,Produtos!$A$2:$A$71,0)),0)</f>
        <v/>
      </c>
      <c r="Q27" s="25">
        <f>IFERROR(INDEX(Produtos!$E$2:$E$71,MATCH(C27,Produtos!$A$2:$A$71,0)),0)</f>
        <v/>
      </c>
      <c r="R27" s="27">
        <f>D27*Q27</f>
        <v/>
      </c>
      <c r="S27" s="27">
        <f>R27*E27</f>
        <v/>
      </c>
      <c r="T27" s="27">
        <f>(R27-S27)*M27</f>
        <v/>
      </c>
      <c r="U27" s="27">
        <f>R27-S27-T27</f>
        <v/>
      </c>
      <c r="V27" s="27">
        <f>D27*P27</f>
        <v/>
      </c>
      <c r="W27" s="27">
        <f>U27-V27</f>
        <v/>
      </c>
      <c r="X27" s="28">
        <f>IFERROR(W27/U27,0)</f>
        <v/>
      </c>
    </row>
    <row r="28">
      <c r="A28" s="21">
        <f>ItensPedido!A28</f>
        <v/>
      </c>
      <c r="B28" s="21">
        <f>ItensPedido!B28</f>
        <v/>
      </c>
      <c r="C28" s="21">
        <f>ItensPedido!C28</f>
        <v/>
      </c>
      <c r="D28" s="21">
        <f>ItensPedido!D28</f>
        <v/>
      </c>
      <c r="E28" s="22">
        <f>ItensPedido!E28</f>
        <v/>
      </c>
      <c r="F28" s="21">
        <f>IFERROR(INDEX(Pedidos!$B$2:$B$1801,MATCH(B28,Pedidos!$A$2:$A$1801,0)),0)</f>
        <v/>
      </c>
      <c r="G28" s="21">
        <f>IF(F28=0,"",YEAR(F28))</f>
        <v/>
      </c>
      <c r="H28" s="21">
        <f>IF(F28=0,"",MONTH(F28))</f>
        <v/>
      </c>
      <c r="I28" s="21">
        <f>IFERROR(INDEX(Pedidos!$E$2:$E$1801,MATCH(B28,Pedidos!$A$2:$A$1801,0)),"")</f>
        <v/>
      </c>
      <c r="J28" s="21">
        <f>IFERROR(INDEX(Pedidos!$C$2:$C$1801,MATCH(B28,Pedidos!$A$2:$A$1801,0)),"")</f>
        <v/>
      </c>
      <c r="K28" s="21">
        <f>IFERROR(INDEX(Pedidos!$D$2:$D$1801,MATCH(B28,Pedidos!$A$2:$A$1801,0)),"")</f>
        <v/>
      </c>
      <c r="L28" s="21">
        <f>IFERROR(INDEX(Pedidos!$F$2:$F$1801,MATCH(B28,Pedidos!$A$2:$A$1801,0)),"")</f>
        <v/>
      </c>
      <c r="M28" s="22">
        <f>IFERROR(INDEX(Pedidos!$G$2:$G$1801,MATCH(B28,Pedidos!$A$2:$A$1801,0)),0)</f>
        <v/>
      </c>
      <c r="N28" s="21">
        <f>IFERROR(INDEX(Produtos!$B$2:$B$71,MATCH(C28,Produtos!$A$2:$A$71,0)),"")</f>
        <v/>
      </c>
      <c r="O28" s="21">
        <f>IFERROR(INDEX(Produtos!$C$2:$C$71,MATCH(C28,Produtos!$A$2:$A$71,0)),"")</f>
        <v/>
      </c>
      <c r="P28" s="21">
        <f>IFERROR(INDEX(Produtos!$D$2:$D$71,MATCH(C28,Produtos!$A$2:$A$71,0)),0)</f>
        <v/>
      </c>
      <c r="Q28" s="21">
        <f>IFERROR(INDEX(Produtos!$E$2:$E$71,MATCH(C28,Produtos!$A$2:$A$71,0)),0)</f>
        <v/>
      </c>
      <c r="R28" s="23">
        <f>D28*Q28</f>
        <v/>
      </c>
      <c r="S28" s="23">
        <f>R28*E28</f>
        <v/>
      </c>
      <c r="T28" s="23">
        <f>(R28-S28)*M28</f>
        <v/>
      </c>
      <c r="U28" s="23">
        <f>R28-S28-T28</f>
        <v/>
      </c>
      <c r="V28" s="23">
        <f>D28*P28</f>
        <v/>
      </c>
      <c r="W28" s="23">
        <f>U28-V28</f>
        <v/>
      </c>
      <c r="X28" s="24">
        <f>IFERROR(W28/U28,0)</f>
        <v/>
      </c>
    </row>
    <row r="29">
      <c r="A29" s="25">
        <f>ItensPedido!A29</f>
        <v/>
      </c>
      <c r="B29" s="25">
        <f>ItensPedido!B29</f>
        <v/>
      </c>
      <c r="C29" s="25">
        <f>ItensPedido!C29</f>
        <v/>
      </c>
      <c r="D29" s="25">
        <f>ItensPedido!D29</f>
        <v/>
      </c>
      <c r="E29" s="26">
        <f>ItensPedido!E29</f>
        <v/>
      </c>
      <c r="F29" s="25">
        <f>IFERROR(INDEX(Pedidos!$B$2:$B$1801,MATCH(B29,Pedidos!$A$2:$A$1801,0)),0)</f>
        <v/>
      </c>
      <c r="G29" s="25">
        <f>IF(F29=0,"",YEAR(F29))</f>
        <v/>
      </c>
      <c r="H29" s="25">
        <f>IF(F29=0,"",MONTH(F29))</f>
        <v/>
      </c>
      <c r="I29" s="25">
        <f>IFERROR(INDEX(Pedidos!$E$2:$E$1801,MATCH(B29,Pedidos!$A$2:$A$1801,0)),"")</f>
        <v/>
      </c>
      <c r="J29" s="25">
        <f>IFERROR(INDEX(Pedidos!$C$2:$C$1801,MATCH(B29,Pedidos!$A$2:$A$1801,0)),"")</f>
        <v/>
      </c>
      <c r="K29" s="25">
        <f>IFERROR(INDEX(Pedidos!$D$2:$D$1801,MATCH(B29,Pedidos!$A$2:$A$1801,0)),"")</f>
        <v/>
      </c>
      <c r="L29" s="25">
        <f>IFERROR(INDEX(Pedidos!$F$2:$F$1801,MATCH(B29,Pedidos!$A$2:$A$1801,0)),"")</f>
        <v/>
      </c>
      <c r="M29" s="26">
        <f>IFERROR(INDEX(Pedidos!$G$2:$G$1801,MATCH(B29,Pedidos!$A$2:$A$1801,0)),0)</f>
        <v/>
      </c>
      <c r="N29" s="25">
        <f>IFERROR(INDEX(Produtos!$B$2:$B$71,MATCH(C29,Produtos!$A$2:$A$71,0)),"")</f>
        <v/>
      </c>
      <c r="O29" s="25">
        <f>IFERROR(INDEX(Produtos!$C$2:$C$71,MATCH(C29,Produtos!$A$2:$A$71,0)),"")</f>
        <v/>
      </c>
      <c r="P29" s="25">
        <f>IFERROR(INDEX(Produtos!$D$2:$D$71,MATCH(C29,Produtos!$A$2:$A$71,0)),0)</f>
        <v/>
      </c>
      <c r="Q29" s="25">
        <f>IFERROR(INDEX(Produtos!$E$2:$E$71,MATCH(C29,Produtos!$A$2:$A$71,0)),0)</f>
        <v/>
      </c>
      <c r="R29" s="27">
        <f>D29*Q29</f>
        <v/>
      </c>
      <c r="S29" s="27">
        <f>R29*E29</f>
        <v/>
      </c>
      <c r="T29" s="27">
        <f>(R29-S29)*M29</f>
        <v/>
      </c>
      <c r="U29" s="27">
        <f>R29-S29-T29</f>
        <v/>
      </c>
      <c r="V29" s="27">
        <f>D29*P29</f>
        <v/>
      </c>
      <c r="W29" s="27">
        <f>U29-V29</f>
        <v/>
      </c>
      <c r="X29" s="28">
        <f>IFERROR(W29/U29,0)</f>
        <v/>
      </c>
    </row>
    <row r="30">
      <c r="A30" s="21">
        <f>ItensPedido!A30</f>
        <v/>
      </c>
      <c r="B30" s="21">
        <f>ItensPedido!B30</f>
        <v/>
      </c>
      <c r="C30" s="21">
        <f>ItensPedido!C30</f>
        <v/>
      </c>
      <c r="D30" s="21">
        <f>ItensPedido!D30</f>
        <v/>
      </c>
      <c r="E30" s="22">
        <f>ItensPedido!E30</f>
        <v/>
      </c>
      <c r="F30" s="21">
        <f>IFERROR(INDEX(Pedidos!$B$2:$B$1801,MATCH(B30,Pedidos!$A$2:$A$1801,0)),0)</f>
        <v/>
      </c>
      <c r="G30" s="21">
        <f>IF(F30=0,"",YEAR(F30))</f>
        <v/>
      </c>
      <c r="H30" s="21">
        <f>IF(F30=0,"",MONTH(F30))</f>
        <v/>
      </c>
      <c r="I30" s="21">
        <f>IFERROR(INDEX(Pedidos!$E$2:$E$1801,MATCH(B30,Pedidos!$A$2:$A$1801,0)),"")</f>
        <v/>
      </c>
      <c r="J30" s="21">
        <f>IFERROR(INDEX(Pedidos!$C$2:$C$1801,MATCH(B30,Pedidos!$A$2:$A$1801,0)),"")</f>
        <v/>
      </c>
      <c r="K30" s="21">
        <f>IFERROR(INDEX(Pedidos!$D$2:$D$1801,MATCH(B30,Pedidos!$A$2:$A$1801,0)),"")</f>
        <v/>
      </c>
      <c r="L30" s="21">
        <f>IFERROR(INDEX(Pedidos!$F$2:$F$1801,MATCH(B30,Pedidos!$A$2:$A$1801,0)),"")</f>
        <v/>
      </c>
      <c r="M30" s="22">
        <f>IFERROR(INDEX(Pedidos!$G$2:$G$1801,MATCH(B30,Pedidos!$A$2:$A$1801,0)),0)</f>
        <v/>
      </c>
      <c r="N30" s="21">
        <f>IFERROR(INDEX(Produtos!$B$2:$B$71,MATCH(C30,Produtos!$A$2:$A$71,0)),"")</f>
        <v/>
      </c>
      <c r="O30" s="21">
        <f>IFERROR(INDEX(Produtos!$C$2:$C$71,MATCH(C30,Produtos!$A$2:$A$71,0)),"")</f>
        <v/>
      </c>
      <c r="P30" s="21">
        <f>IFERROR(INDEX(Produtos!$D$2:$D$71,MATCH(C30,Produtos!$A$2:$A$71,0)),0)</f>
        <v/>
      </c>
      <c r="Q30" s="21">
        <f>IFERROR(INDEX(Produtos!$E$2:$E$71,MATCH(C30,Produtos!$A$2:$A$71,0)),0)</f>
        <v/>
      </c>
      <c r="R30" s="23">
        <f>D30*Q30</f>
        <v/>
      </c>
      <c r="S30" s="23">
        <f>R30*E30</f>
        <v/>
      </c>
      <c r="T30" s="23">
        <f>(R30-S30)*M30</f>
        <v/>
      </c>
      <c r="U30" s="23">
        <f>R30-S30-T30</f>
        <v/>
      </c>
      <c r="V30" s="23">
        <f>D30*P30</f>
        <v/>
      </c>
      <c r="W30" s="23">
        <f>U30-V30</f>
        <v/>
      </c>
      <c r="X30" s="24">
        <f>IFERROR(W30/U30,0)</f>
        <v/>
      </c>
    </row>
    <row r="31">
      <c r="A31" s="25">
        <f>ItensPedido!A31</f>
        <v/>
      </c>
      <c r="B31" s="25">
        <f>ItensPedido!B31</f>
        <v/>
      </c>
      <c r="C31" s="25">
        <f>ItensPedido!C31</f>
        <v/>
      </c>
      <c r="D31" s="25">
        <f>ItensPedido!D31</f>
        <v/>
      </c>
      <c r="E31" s="26">
        <f>ItensPedido!E31</f>
        <v/>
      </c>
      <c r="F31" s="25">
        <f>IFERROR(INDEX(Pedidos!$B$2:$B$1801,MATCH(B31,Pedidos!$A$2:$A$1801,0)),0)</f>
        <v/>
      </c>
      <c r="G31" s="25">
        <f>IF(F31=0,"",YEAR(F31))</f>
        <v/>
      </c>
      <c r="H31" s="25">
        <f>IF(F31=0,"",MONTH(F31))</f>
        <v/>
      </c>
      <c r="I31" s="25">
        <f>IFERROR(INDEX(Pedidos!$E$2:$E$1801,MATCH(B31,Pedidos!$A$2:$A$1801,0)),"")</f>
        <v/>
      </c>
      <c r="J31" s="25">
        <f>IFERROR(INDEX(Pedidos!$C$2:$C$1801,MATCH(B31,Pedidos!$A$2:$A$1801,0)),"")</f>
        <v/>
      </c>
      <c r="K31" s="25">
        <f>IFERROR(INDEX(Pedidos!$D$2:$D$1801,MATCH(B31,Pedidos!$A$2:$A$1801,0)),"")</f>
        <v/>
      </c>
      <c r="L31" s="25">
        <f>IFERROR(INDEX(Pedidos!$F$2:$F$1801,MATCH(B31,Pedidos!$A$2:$A$1801,0)),"")</f>
        <v/>
      </c>
      <c r="M31" s="26">
        <f>IFERROR(INDEX(Pedidos!$G$2:$G$1801,MATCH(B31,Pedidos!$A$2:$A$1801,0)),0)</f>
        <v/>
      </c>
      <c r="N31" s="25">
        <f>IFERROR(INDEX(Produtos!$B$2:$B$71,MATCH(C31,Produtos!$A$2:$A$71,0)),"")</f>
        <v/>
      </c>
      <c r="O31" s="25">
        <f>IFERROR(INDEX(Produtos!$C$2:$C$71,MATCH(C31,Produtos!$A$2:$A$71,0)),"")</f>
        <v/>
      </c>
      <c r="P31" s="25">
        <f>IFERROR(INDEX(Produtos!$D$2:$D$71,MATCH(C31,Produtos!$A$2:$A$71,0)),0)</f>
        <v/>
      </c>
      <c r="Q31" s="25">
        <f>IFERROR(INDEX(Produtos!$E$2:$E$71,MATCH(C31,Produtos!$A$2:$A$71,0)),0)</f>
        <v/>
      </c>
      <c r="R31" s="27">
        <f>D31*Q31</f>
        <v/>
      </c>
      <c r="S31" s="27">
        <f>R31*E31</f>
        <v/>
      </c>
      <c r="T31" s="27">
        <f>(R31-S31)*M31</f>
        <v/>
      </c>
      <c r="U31" s="27">
        <f>R31-S31-T31</f>
        <v/>
      </c>
      <c r="V31" s="27">
        <f>D31*P31</f>
        <v/>
      </c>
      <c r="W31" s="27">
        <f>U31-V31</f>
        <v/>
      </c>
      <c r="X31" s="28">
        <f>IFERROR(W31/U31,0)</f>
        <v/>
      </c>
    </row>
    <row r="32">
      <c r="A32" s="21">
        <f>ItensPedido!A32</f>
        <v/>
      </c>
      <c r="B32" s="21">
        <f>ItensPedido!B32</f>
        <v/>
      </c>
      <c r="C32" s="21">
        <f>ItensPedido!C32</f>
        <v/>
      </c>
      <c r="D32" s="21">
        <f>ItensPedido!D32</f>
        <v/>
      </c>
      <c r="E32" s="22">
        <f>ItensPedido!E32</f>
        <v/>
      </c>
      <c r="F32" s="21">
        <f>IFERROR(INDEX(Pedidos!$B$2:$B$1801,MATCH(B32,Pedidos!$A$2:$A$1801,0)),0)</f>
        <v/>
      </c>
      <c r="G32" s="21">
        <f>IF(F32=0,"",YEAR(F32))</f>
        <v/>
      </c>
      <c r="H32" s="21">
        <f>IF(F32=0,"",MONTH(F32))</f>
        <v/>
      </c>
      <c r="I32" s="21">
        <f>IFERROR(INDEX(Pedidos!$E$2:$E$1801,MATCH(B32,Pedidos!$A$2:$A$1801,0)),"")</f>
        <v/>
      </c>
      <c r="J32" s="21">
        <f>IFERROR(INDEX(Pedidos!$C$2:$C$1801,MATCH(B32,Pedidos!$A$2:$A$1801,0)),"")</f>
        <v/>
      </c>
      <c r="K32" s="21">
        <f>IFERROR(INDEX(Pedidos!$D$2:$D$1801,MATCH(B32,Pedidos!$A$2:$A$1801,0)),"")</f>
        <v/>
      </c>
      <c r="L32" s="21">
        <f>IFERROR(INDEX(Pedidos!$F$2:$F$1801,MATCH(B32,Pedidos!$A$2:$A$1801,0)),"")</f>
        <v/>
      </c>
      <c r="M32" s="22">
        <f>IFERROR(INDEX(Pedidos!$G$2:$G$1801,MATCH(B32,Pedidos!$A$2:$A$1801,0)),0)</f>
        <v/>
      </c>
      <c r="N32" s="21">
        <f>IFERROR(INDEX(Produtos!$B$2:$B$71,MATCH(C32,Produtos!$A$2:$A$71,0)),"")</f>
        <v/>
      </c>
      <c r="O32" s="21">
        <f>IFERROR(INDEX(Produtos!$C$2:$C$71,MATCH(C32,Produtos!$A$2:$A$71,0)),"")</f>
        <v/>
      </c>
      <c r="P32" s="21">
        <f>IFERROR(INDEX(Produtos!$D$2:$D$71,MATCH(C32,Produtos!$A$2:$A$71,0)),0)</f>
        <v/>
      </c>
      <c r="Q32" s="21">
        <f>IFERROR(INDEX(Produtos!$E$2:$E$71,MATCH(C32,Produtos!$A$2:$A$71,0)),0)</f>
        <v/>
      </c>
      <c r="R32" s="23">
        <f>D32*Q32</f>
        <v/>
      </c>
      <c r="S32" s="23">
        <f>R32*E32</f>
        <v/>
      </c>
      <c r="T32" s="23">
        <f>(R32-S32)*M32</f>
        <v/>
      </c>
      <c r="U32" s="23">
        <f>R32-S32-T32</f>
        <v/>
      </c>
      <c r="V32" s="23">
        <f>D32*P32</f>
        <v/>
      </c>
      <c r="W32" s="23">
        <f>U32-V32</f>
        <v/>
      </c>
      <c r="X32" s="24">
        <f>IFERROR(W32/U32,0)</f>
        <v/>
      </c>
    </row>
    <row r="33">
      <c r="A33" s="25">
        <f>ItensPedido!A33</f>
        <v/>
      </c>
      <c r="B33" s="25">
        <f>ItensPedido!B33</f>
        <v/>
      </c>
      <c r="C33" s="25">
        <f>ItensPedido!C33</f>
        <v/>
      </c>
      <c r="D33" s="25">
        <f>ItensPedido!D33</f>
        <v/>
      </c>
      <c r="E33" s="26">
        <f>ItensPedido!E33</f>
        <v/>
      </c>
      <c r="F33" s="25">
        <f>IFERROR(INDEX(Pedidos!$B$2:$B$1801,MATCH(B33,Pedidos!$A$2:$A$1801,0)),0)</f>
        <v/>
      </c>
      <c r="G33" s="25">
        <f>IF(F33=0,"",YEAR(F33))</f>
        <v/>
      </c>
      <c r="H33" s="25">
        <f>IF(F33=0,"",MONTH(F33))</f>
        <v/>
      </c>
      <c r="I33" s="25">
        <f>IFERROR(INDEX(Pedidos!$E$2:$E$1801,MATCH(B33,Pedidos!$A$2:$A$1801,0)),"")</f>
        <v/>
      </c>
      <c r="J33" s="25">
        <f>IFERROR(INDEX(Pedidos!$C$2:$C$1801,MATCH(B33,Pedidos!$A$2:$A$1801,0)),"")</f>
        <v/>
      </c>
      <c r="K33" s="25">
        <f>IFERROR(INDEX(Pedidos!$D$2:$D$1801,MATCH(B33,Pedidos!$A$2:$A$1801,0)),"")</f>
        <v/>
      </c>
      <c r="L33" s="25">
        <f>IFERROR(INDEX(Pedidos!$F$2:$F$1801,MATCH(B33,Pedidos!$A$2:$A$1801,0)),"")</f>
        <v/>
      </c>
      <c r="M33" s="26">
        <f>IFERROR(INDEX(Pedidos!$G$2:$G$1801,MATCH(B33,Pedidos!$A$2:$A$1801,0)),0)</f>
        <v/>
      </c>
      <c r="N33" s="25">
        <f>IFERROR(INDEX(Produtos!$B$2:$B$71,MATCH(C33,Produtos!$A$2:$A$71,0)),"")</f>
        <v/>
      </c>
      <c r="O33" s="25">
        <f>IFERROR(INDEX(Produtos!$C$2:$C$71,MATCH(C33,Produtos!$A$2:$A$71,0)),"")</f>
        <v/>
      </c>
      <c r="P33" s="25">
        <f>IFERROR(INDEX(Produtos!$D$2:$D$71,MATCH(C33,Produtos!$A$2:$A$71,0)),0)</f>
        <v/>
      </c>
      <c r="Q33" s="25">
        <f>IFERROR(INDEX(Produtos!$E$2:$E$71,MATCH(C33,Produtos!$A$2:$A$71,0)),0)</f>
        <v/>
      </c>
      <c r="R33" s="27">
        <f>D33*Q33</f>
        <v/>
      </c>
      <c r="S33" s="27">
        <f>R33*E33</f>
        <v/>
      </c>
      <c r="T33" s="27">
        <f>(R33-S33)*M33</f>
        <v/>
      </c>
      <c r="U33" s="27">
        <f>R33-S33-T33</f>
        <v/>
      </c>
      <c r="V33" s="27">
        <f>D33*P33</f>
        <v/>
      </c>
      <c r="W33" s="27">
        <f>U33-V33</f>
        <v/>
      </c>
      <c r="X33" s="28">
        <f>IFERROR(W33/U33,0)</f>
        <v/>
      </c>
    </row>
    <row r="34">
      <c r="A34" s="21">
        <f>ItensPedido!A34</f>
        <v/>
      </c>
      <c r="B34" s="21">
        <f>ItensPedido!B34</f>
        <v/>
      </c>
      <c r="C34" s="21">
        <f>ItensPedido!C34</f>
        <v/>
      </c>
      <c r="D34" s="21">
        <f>ItensPedido!D34</f>
        <v/>
      </c>
      <c r="E34" s="22">
        <f>ItensPedido!E34</f>
        <v/>
      </c>
      <c r="F34" s="21">
        <f>IFERROR(INDEX(Pedidos!$B$2:$B$1801,MATCH(B34,Pedidos!$A$2:$A$1801,0)),0)</f>
        <v/>
      </c>
      <c r="G34" s="21">
        <f>IF(F34=0,"",YEAR(F34))</f>
        <v/>
      </c>
      <c r="H34" s="21">
        <f>IF(F34=0,"",MONTH(F34))</f>
        <v/>
      </c>
      <c r="I34" s="21">
        <f>IFERROR(INDEX(Pedidos!$E$2:$E$1801,MATCH(B34,Pedidos!$A$2:$A$1801,0)),"")</f>
        <v/>
      </c>
      <c r="J34" s="21">
        <f>IFERROR(INDEX(Pedidos!$C$2:$C$1801,MATCH(B34,Pedidos!$A$2:$A$1801,0)),"")</f>
        <v/>
      </c>
      <c r="K34" s="21">
        <f>IFERROR(INDEX(Pedidos!$D$2:$D$1801,MATCH(B34,Pedidos!$A$2:$A$1801,0)),"")</f>
        <v/>
      </c>
      <c r="L34" s="21">
        <f>IFERROR(INDEX(Pedidos!$F$2:$F$1801,MATCH(B34,Pedidos!$A$2:$A$1801,0)),"")</f>
        <v/>
      </c>
      <c r="M34" s="22">
        <f>IFERROR(INDEX(Pedidos!$G$2:$G$1801,MATCH(B34,Pedidos!$A$2:$A$1801,0)),0)</f>
        <v/>
      </c>
      <c r="N34" s="21">
        <f>IFERROR(INDEX(Produtos!$B$2:$B$71,MATCH(C34,Produtos!$A$2:$A$71,0)),"")</f>
        <v/>
      </c>
      <c r="O34" s="21">
        <f>IFERROR(INDEX(Produtos!$C$2:$C$71,MATCH(C34,Produtos!$A$2:$A$71,0)),"")</f>
        <v/>
      </c>
      <c r="P34" s="21">
        <f>IFERROR(INDEX(Produtos!$D$2:$D$71,MATCH(C34,Produtos!$A$2:$A$71,0)),0)</f>
        <v/>
      </c>
      <c r="Q34" s="21">
        <f>IFERROR(INDEX(Produtos!$E$2:$E$71,MATCH(C34,Produtos!$A$2:$A$71,0)),0)</f>
        <v/>
      </c>
      <c r="R34" s="23">
        <f>D34*Q34</f>
        <v/>
      </c>
      <c r="S34" s="23">
        <f>R34*E34</f>
        <v/>
      </c>
      <c r="T34" s="23">
        <f>(R34-S34)*M34</f>
        <v/>
      </c>
      <c r="U34" s="23">
        <f>R34-S34-T34</f>
        <v/>
      </c>
      <c r="V34" s="23">
        <f>D34*P34</f>
        <v/>
      </c>
      <c r="W34" s="23">
        <f>U34-V34</f>
        <v/>
      </c>
      <c r="X34" s="24">
        <f>IFERROR(W34/U34,0)</f>
        <v/>
      </c>
    </row>
    <row r="35">
      <c r="A35" s="25">
        <f>ItensPedido!A35</f>
        <v/>
      </c>
      <c r="B35" s="25">
        <f>ItensPedido!B35</f>
        <v/>
      </c>
      <c r="C35" s="25">
        <f>ItensPedido!C35</f>
        <v/>
      </c>
      <c r="D35" s="25">
        <f>ItensPedido!D35</f>
        <v/>
      </c>
      <c r="E35" s="26">
        <f>ItensPedido!E35</f>
        <v/>
      </c>
      <c r="F35" s="25">
        <f>IFERROR(INDEX(Pedidos!$B$2:$B$1801,MATCH(B35,Pedidos!$A$2:$A$1801,0)),0)</f>
        <v/>
      </c>
      <c r="G35" s="25">
        <f>IF(F35=0,"",YEAR(F35))</f>
        <v/>
      </c>
      <c r="H35" s="25">
        <f>IF(F35=0,"",MONTH(F35))</f>
        <v/>
      </c>
      <c r="I35" s="25">
        <f>IFERROR(INDEX(Pedidos!$E$2:$E$1801,MATCH(B35,Pedidos!$A$2:$A$1801,0)),"")</f>
        <v/>
      </c>
      <c r="J35" s="25">
        <f>IFERROR(INDEX(Pedidos!$C$2:$C$1801,MATCH(B35,Pedidos!$A$2:$A$1801,0)),"")</f>
        <v/>
      </c>
      <c r="K35" s="25">
        <f>IFERROR(INDEX(Pedidos!$D$2:$D$1801,MATCH(B35,Pedidos!$A$2:$A$1801,0)),"")</f>
        <v/>
      </c>
      <c r="L35" s="25">
        <f>IFERROR(INDEX(Pedidos!$F$2:$F$1801,MATCH(B35,Pedidos!$A$2:$A$1801,0)),"")</f>
        <v/>
      </c>
      <c r="M35" s="26">
        <f>IFERROR(INDEX(Pedidos!$G$2:$G$1801,MATCH(B35,Pedidos!$A$2:$A$1801,0)),0)</f>
        <v/>
      </c>
      <c r="N35" s="25">
        <f>IFERROR(INDEX(Produtos!$B$2:$B$71,MATCH(C35,Produtos!$A$2:$A$71,0)),"")</f>
        <v/>
      </c>
      <c r="O35" s="25">
        <f>IFERROR(INDEX(Produtos!$C$2:$C$71,MATCH(C35,Produtos!$A$2:$A$71,0)),"")</f>
        <v/>
      </c>
      <c r="P35" s="25">
        <f>IFERROR(INDEX(Produtos!$D$2:$D$71,MATCH(C35,Produtos!$A$2:$A$71,0)),0)</f>
        <v/>
      </c>
      <c r="Q35" s="25">
        <f>IFERROR(INDEX(Produtos!$E$2:$E$71,MATCH(C35,Produtos!$A$2:$A$71,0)),0)</f>
        <v/>
      </c>
      <c r="R35" s="27">
        <f>D35*Q35</f>
        <v/>
      </c>
      <c r="S35" s="27">
        <f>R35*E35</f>
        <v/>
      </c>
      <c r="T35" s="27">
        <f>(R35-S35)*M35</f>
        <v/>
      </c>
      <c r="U35" s="27">
        <f>R35-S35-T35</f>
        <v/>
      </c>
      <c r="V35" s="27">
        <f>D35*P35</f>
        <v/>
      </c>
      <c r="W35" s="27">
        <f>U35-V35</f>
        <v/>
      </c>
      <c r="X35" s="28">
        <f>IFERROR(W35/U35,0)</f>
        <v/>
      </c>
    </row>
    <row r="36">
      <c r="A36" s="21">
        <f>ItensPedido!A36</f>
        <v/>
      </c>
      <c r="B36" s="21">
        <f>ItensPedido!B36</f>
        <v/>
      </c>
      <c r="C36" s="21">
        <f>ItensPedido!C36</f>
        <v/>
      </c>
      <c r="D36" s="21">
        <f>ItensPedido!D36</f>
        <v/>
      </c>
      <c r="E36" s="22">
        <f>ItensPedido!E36</f>
        <v/>
      </c>
      <c r="F36" s="21">
        <f>IFERROR(INDEX(Pedidos!$B$2:$B$1801,MATCH(B36,Pedidos!$A$2:$A$1801,0)),0)</f>
        <v/>
      </c>
      <c r="G36" s="21">
        <f>IF(F36=0,"",YEAR(F36))</f>
        <v/>
      </c>
      <c r="H36" s="21">
        <f>IF(F36=0,"",MONTH(F36))</f>
        <v/>
      </c>
      <c r="I36" s="21">
        <f>IFERROR(INDEX(Pedidos!$E$2:$E$1801,MATCH(B36,Pedidos!$A$2:$A$1801,0)),"")</f>
        <v/>
      </c>
      <c r="J36" s="21">
        <f>IFERROR(INDEX(Pedidos!$C$2:$C$1801,MATCH(B36,Pedidos!$A$2:$A$1801,0)),"")</f>
        <v/>
      </c>
      <c r="K36" s="21">
        <f>IFERROR(INDEX(Pedidos!$D$2:$D$1801,MATCH(B36,Pedidos!$A$2:$A$1801,0)),"")</f>
        <v/>
      </c>
      <c r="L36" s="21">
        <f>IFERROR(INDEX(Pedidos!$F$2:$F$1801,MATCH(B36,Pedidos!$A$2:$A$1801,0)),"")</f>
        <v/>
      </c>
      <c r="M36" s="22">
        <f>IFERROR(INDEX(Pedidos!$G$2:$G$1801,MATCH(B36,Pedidos!$A$2:$A$1801,0)),0)</f>
        <v/>
      </c>
      <c r="N36" s="21">
        <f>IFERROR(INDEX(Produtos!$B$2:$B$71,MATCH(C36,Produtos!$A$2:$A$71,0)),"")</f>
        <v/>
      </c>
      <c r="O36" s="21">
        <f>IFERROR(INDEX(Produtos!$C$2:$C$71,MATCH(C36,Produtos!$A$2:$A$71,0)),"")</f>
        <v/>
      </c>
      <c r="P36" s="21">
        <f>IFERROR(INDEX(Produtos!$D$2:$D$71,MATCH(C36,Produtos!$A$2:$A$71,0)),0)</f>
        <v/>
      </c>
      <c r="Q36" s="21">
        <f>IFERROR(INDEX(Produtos!$E$2:$E$71,MATCH(C36,Produtos!$A$2:$A$71,0)),0)</f>
        <v/>
      </c>
      <c r="R36" s="23">
        <f>D36*Q36</f>
        <v/>
      </c>
      <c r="S36" s="23">
        <f>R36*E36</f>
        <v/>
      </c>
      <c r="T36" s="23">
        <f>(R36-S36)*M36</f>
        <v/>
      </c>
      <c r="U36" s="23">
        <f>R36-S36-T36</f>
        <v/>
      </c>
      <c r="V36" s="23">
        <f>D36*P36</f>
        <v/>
      </c>
      <c r="W36" s="23">
        <f>U36-V36</f>
        <v/>
      </c>
      <c r="X36" s="24">
        <f>IFERROR(W36/U36,0)</f>
        <v/>
      </c>
    </row>
    <row r="37">
      <c r="A37" s="25">
        <f>ItensPedido!A37</f>
        <v/>
      </c>
      <c r="B37" s="25">
        <f>ItensPedido!B37</f>
        <v/>
      </c>
      <c r="C37" s="25">
        <f>ItensPedido!C37</f>
        <v/>
      </c>
      <c r="D37" s="25">
        <f>ItensPedido!D37</f>
        <v/>
      </c>
      <c r="E37" s="26">
        <f>ItensPedido!E37</f>
        <v/>
      </c>
      <c r="F37" s="25">
        <f>IFERROR(INDEX(Pedidos!$B$2:$B$1801,MATCH(B37,Pedidos!$A$2:$A$1801,0)),0)</f>
        <v/>
      </c>
      <c r="G37" s="25">
        <f>IF(F37=0,"",YEAR(F37))</f>
        <v/>
      </c>
      <c r="H37" s="25">
        <f>IF(F37=0,"",MONTH(F37))</f>
        <v/>
      </c>
      <c r="I37" s="25">
        <f>IFERROR(INDEX(Pedidos!$E$2:$E$1801,MATCH(B37,Pedidos!$A$2:$A$1801,0)),"")</f>
        <v/>
      </c>
      <c r="J37" s="25">
        <f>IFERROR(INDEX(Pedidos!$C$2:$C$1801,MATCH(B37,Pedidos!$A$2:$A$1801,0)),"")</f>
        <v/>
      </c>
      <c r="K37" s="25">
        <f>IFERROR(INDEX(Pedidos!$D$2:$D$1801,MATCH(B37,Pedidos!$A$2:$A$1801,0)),"")</f>
        <v/>
      </c>
      <c r="L37" s="25">
        <f>IFERROR(INDEX(Pedidos!$F$2:$F$1801,MATCH(B37,Pedidos!$A$2:$A$1801,0)),"")</f>
        <v/>
      </c>
      <c r="M37" s="26">
        <f>IFERROR(INDEX(Pedidos!$G$2:$G$1801,MATCH(B37,Pedidos!$A$2:$A$1801,0)),0)</f>
        <v/>
      </c>
      <c r="N37" s="25">
        <f>IFERROR(INDEX(Produtos!$B$2:$B$71,MATCH(C37,Produtos!$A$2:$A$71,0)),"")</f>
        <v/>
      </c>
      <c r="O37" s="25">
        <f>IFERROR(INDEX(Produtos!$C$2:$C$71,MATCH(C37,Produtos!$A$2:$A$71,0)),"")</f>
        <v/>
      </c>
      <c r="P37" s="25">
        <f>IFERROR(INDEX(Produtos!$D$2:$D$71,MATCH(C37,Produtos!$A$2:$A$71,0)),0)</f>
        <v/>
      </c>
      <c r="Q37" s="25">
        <f>IFERROR(INDEX(Produtos!$E$2:$E$71,MATCH(C37,Produtos!$A$2:$A$71,0)),0)</f>
        <v/>
      </c>
      <c r="R37" s="27">
        <f>D37*Q37</f>
        <v/>
      </c>
      <c r="S37" s="27">
        <f>R37*E37</f>
        <v/>
      </c>
      <c r="T37" s="27">
        <f>(R37-S37)*M37</f>
        <v/>
      </c>
      <c r="U37" s="27">
        <f>R37-S37-T37</f>
        <v/>
      </c>
      <c r="V37" s="27">
        <f>D37*P37</f>
        <v/>
      </c>
      <c r="W37" s="27">
        <f>U37-V37</f>
        <v/>
      </c>
      <c r="X37" s="28">
        <f>IFERROR(W37/U37,0)</f>
        <v/>
      </c>
    </row>
    <row r="38">
      <c r="A38" s="21">
        <f>ItensPedido!A38</f>
        <v/>
      </c>
      <c r="B38" s="21">
        <f>ItensPedido!B38</f>
        <v/>
      </c>
      <c r="C38" s="21">
        <f>ItensPedido!C38</f>
        <v/>
      </c>
      <c r="D38" s="21">
        <f>ItensPedido!D38</f>
        <v/>
      </c>
      <c r="E38" s="22">
        <f>ItensPedido!E38</f>
        <v/>
      </c>
      <c r="F38" s="21">
        <f>IFERROR(INDEX(Pedidos!$B$2:$B$1801,MATCH(B38,Pedidos!$A$2:$A$1801,0)),0)</f>
        <v/>
      </c>
      <c r="G38" s="21">
        <f>IF(F38=0,"",YEAR(F38))</f>
        <v/>
      </c>
      <c r="H38" s="21">
        <f>IF(F38=0,"",MONTH(F38))</f>
        <v/>
      </c>
      <c r="I38" s="21">
        <f>IFERROR(INDEX(Pedidos!$E$2:$E$1801,MATCH(B38,Pedidos!$A$2:$A$1801,0)),"")</f>
        <v/>
      </c>
      <c r="J38" s="21">
        <f>IFERROR(INDEX(Pedidos!$C$2:$C$1801,MATCH(B38,Pedidos!$A$2:$A$1801,0)),"")</f>
        <v/>
      </c>
      <c r="K38" s="21">
        <f>IFERROR(INDEX(Pedidos!$D$2:$D$1801,MATCH(B38,Pedidos!$A$2:$A$1801,0)),"")</f>
        <v/>
      </c>
      <c r="L38" s="21">
        <f>IFERROR(INDEX(Pedidos!$F$2:$F$1801,MATCH(B38,Pedidos!$A$2:$A$1801,0)),"")</f>
        <v/>
      </c>
      <c r="M38" s="22">
        <f>IFERROR(INDEX(Pedidos!$G$2:$G$1801,MATCH(B38,Pedidos!$A$2:$A$1801,0)),0)</f>
        <v/>
      </c>
      <c r="N38" s="21">
        <f>IFERROR(INDEX(Produtos!$B$2:$B$71,MATCH(C38,Produtos!$A$2:$A$71,0)),"")</f>
        <v/>
      </c>
      <c r="O38" s="21">
        <f>IFERROR(INDEX(Produtos!$C$2:$C$71,MATCH(C38,Produtos!$A$2:$A$71,0)),"")</f>
        <v/>
      </c>
      <c r="P38" s="21">
        <f>IFERROR(INDEX(Produtos!$D$2:$D$71,MATCH(C38,Produtos!$A$2:$A$71,0)),0)</f>
        <v/>
      </c>
      <c r="Q38" s="21">
        <f>IFERROR(INDEX(Produtos!$E$2:$E$71,MATCH(C38,Produtos!$A$2:$A$71,0)),0)</f>
        <v/>
      </c>
      <c r="R38" s="23">
        <f>D38*Q38</f>
        <v/>
      </c>
      <c r="S38" s="23">
        <f>R38*E38</f>
        <v/>
      </c>
      <c r="T38" s="23">
        <f>(R38-S38)*M38</f>
        <v/>
      </c>
      <c r="U38" s="23">
        <f>R38-S38-T38</f>
        <v/>
      </c>
      <c r="V38" s="23">
        <f>D38*P38</f>
        <v/>
      </c>
      <c r="W38" s="23">
        <f>U38-V38</f>
        <v/>
      </c>
      <c r="X38" s="24">
        <f>IFERROR(W38/U38,0)</f>
        <v/>
      </c>
    </row>
    <row r="39">
      <c r="A39" s="25">
        <f>ItensPedido!A39</f>
        <v/>
      </c>
      <c r="B39" s="25">
        <f>ItensPedido!B39</f>
        <v/>
      </c>
      <c r="C39" s="25">
        <f>ItensPedido!C39</f>
        <v/>
      </c>
      <c r="D39" s="25">
        <f>ItensPedido!D39</f>
        <v/>
      </c>
      <c r="E39" s="26">
        <f>ItensPedido!E39</f>
        <v/>
      </c>
      <c r="F39" s="25">
        <f>IFERROR(INDEX(Pedidos!$B$2:$B$1801,MATCH(B39,Pedidos!$A$2:$A$1801,0)),0)</f>
        <v/>
      </c>
      <c r="G39" s="25">
        <f>IF(F39=0,"",YEAR(F39))</f>
        <v/>
      </c>
      <c r="H39" s="25">
        <f>IF(F39=0,"",MONTH(F39))</f>
        <v/>
      </c>
      <c r="I39" s="25">
        <f>IFERROR(INDEX(Pedidos!$E$2:$E$1801,MATCH(B39,Pedidos!$A$2:$A$1801,0)),"")</f>
        <v/>
      </c>
      <c r="J39" s="25">
        <f>IFERROR(INDEX(Pedidos!$C$2:$C$1801,MATCH(B39,Pedidos!$A$2:$A$1801,0)),"")</f>
        <v/>
      </c>
      <c r="K39" s="25">
        <f>IFERROR(INDEX(Pedidos!$D$2:$D$1801,MATCH(B39,Pedidos!$A$2:$A$1801,0)),"")</f>
        <v/>
      </c>
      <c r="L39" s="25">
        <f>IFERROR(INDEX(Pedidos!$F$2:$F$1801,MATCH(B39,Pedidos!$A$2:$A$1801,0)),"")</f>
        <v/>
      </c>
      <c r="M39" s="26">
        <f>IFERROR(INDEX(Pedidos!$G$2:$G$1801,MATCH(B39,Pedidos!$A$2:$A$1801,0)),0)</f>
        <v/>
      </c>
      <c r="N39" s="25">
        <f>IFERROR(INDEX(Produtos!$B$2:$B$71,MATCH(C39,Produtos!$A$2:$A$71,0)),"")</f>
        <v/>
      </c>
      <c r="O39" s="25">
        <f>IFERROR(INDEX(Produtos!$C$2:$C$71,MATCH(C39,Produtos!$A$2:$A$71,0)),"")</f>
        <v/>
      </c>
      <c r="P39" s="25">
        <f>IFERROR(INDEX(Produtos!$D$2:$D$71,MATCH(C39,Produtos!$A$2:$A$71,0)),0)</f>
        <v/>
      </c>
      <c r="Q39" s="25">
        <f>IFERROR(INDEX(Produtos!$E$2:$E$71,MATCH(C39,Produtos!$A$2:$A$71,0)),0)</f>
        <v/>
      </c>
      <c r="R39" s="27">
        <f>D39*Q39</f>
        <v/>
      </c>
      <c r="S39" s="27">
        <f>R39*E39</f>
        <v/>
      </c>
      <c r="T39" s="27">
        <f>(R39-S39)*M39</f>
        <v/>
      </c>
      <c r="U39" s="27">
        <f>R39-S39-T39</f>
        <v/>
      </c>
      <c r="V39" s="27">
        <f>D39*P39</f>
        <v/>
      </c>
      <c r="W39" s="27">
        <f>U39-V39</f>
        <v/>
      </c>
      <c r="X39" s="28">
        <f>IFERROR(W39/U39,0)</f>
        <v/>
      </c>
    </row>
    <row r="40">
      <c r="A40" s="21">
        <f>ItensPedido!A40</f>
        <v/>
      </c>
      <c r="B40" s="21">
        <f>ItensPedido!B40</f>
        <v/>
      </c>
      <c r="C40" s="21">
        <f>ItensPedido!C40</f>
        <v/>
      </c>
      <c r="D40" s="21">
        <f>ItensPedido!D40</f>
        <v/>
      </c>
      <c r="E40" s="22">
        <f>ItensPedido!E40</f>
        <v/>
      </c>
      <c r="F40" s="21">
        <f>IFERROR(INDEX(Pedidos!$B$2:$B$1801,MATCH(B40,Pedidos!$A$2:$A$1801,0)),0)</f>
        <v/>
      </c>
      <c r="G40" s="21">
        <f>IF(F40=0,"",YEAR(F40))</f>
        <v/>
      </c>
      <c r="H40" s="21">
        <f>IF(F40=0,"",MONTH(F40))</f>
        <v/>
      </c>
      <c r="I40" s="21">
        <f>IFERROR(INDEX(Pedidos!$E$2:$E$1801,MATCH(B40,Pedidos!$A$2:$A$1801,0)),"")</f>
        <v/>
      </c>
      <c r="J40" s="21">
        <f>IFERROR(INDEX(Pedidos!$C$2:$C$1801,MATCH(B40,Pedidos!$A$2:$A$1801,0)),"")</f>
        <v/>
      </c>
      <c r="K40" s="21">
        <f>IFERROR(INDEX(Pedidos!$D$2:$D$1801,MATCH(B40,Pedidos!$A$2:$A$1801,0)),"")</f>
        <v/>
      </c>
      <c r="L40" s="21">
        <f>IFERROR(INDEX(Pedidos!$F$2:$F$1801,MATCH(B40,Pedidos!$A$2:$A$1801,0)),"")</f>
        <v/>
      </c>
      <c r="M40" s="22">
        <f>IFERROR(INDEX(Pedidos!$G$2:$G$1801,MATCH(B40,Pedidos!$A$2:$A$1801,0)),0)</f>
        <v/>
      </c>
      <c r="N40" s="21">
        <f>IFERROR(INDEX(Produtos!$B$2:$B$71,MATCH(C40,Produtos!$A$2:$A$71,0)),"")</f>
        <v/>
      </c>
      <c r="O40" s="21">
        <f>IFERROR(INDEX(Produtos!$C$2:$C$71,MATCH(C40,Produtos!$A$2:$A$71,0)),"")</f>
        <v/>
      </c>
      <c r="P40" s="21">
        <f>IFERROR(INDEX(Produtos!$D$2:$D$71,MATCH(C40,Produtos!$A$2:$A$71,0)),0)</f>
        <v/>
      </c>
      <c r="Q40" s="21">
        <f>IFERROR(INDEX(Produtos!$E$2:$E$71,MATCH(C40,Produtos!$A$2:$A$71,0)),0)</f>
        <v/>
      </c>
      <c r="R40" s="23">
        <f>D40*Q40</f>
        <v/>
      </c>
      <c r="S40" s="23">
        <f>R40*E40</f>
        <v/>
      </c>
      <c r="T40" s="23">
        <f>(R40-S40)*M40</f>
        <v/>
      </c>
      <c r="U40" s="23">
        <f>R40-S40-T40</f>
        <v/>
      </c>
      <c r="V40" s="23">
        <f>D40*P40</f>
        <v/>
      </c>
      <c r="W40" s="23">
        <f>U40-V40</f>
        <v/>
      </c>
      <c r="X40" s="24">
        <f>IFERROR(W40/U40,0)</f>
        <v/>
      </c>
    </row>
    <row r="41">
      <c r="A41" s="25">
        <f>ItensPedido!A41</f>
        <v/>
      </c>
      <c r="B41" s="25">
        <f>ItensPedido!B41</f>
        <v/>
      </c>
      <c r="C41" s="25">
        <f>ItensPedido!C41</f>
        <v/>
      </c>
      <c r="D41" s="25">
        <f>ItensPedido!D41</f>
        <v/>
      </c>
      <c r="E41" s="26">
        <f>ItensPedido!E41</f>
        <v/>
      </c>
      <c r="F41" s="25">
        <f>IFERROR(INDEX(Pedidos!$B$2:$B$1801,MATCH(B41,Pedidos!$A$2:$A$1801,0)),0)</f>
        <v/>
      </c>
      <c r="G41" s="25">
        <f>IF(F41=0,"",YEAR(F41))</f>
        <v/>
      </c>
      <c r="H41" s="25">
        <f>IF(F41=0,"",MONTH(F41))</f>
        <v/>
      </c>
      <c r="I41" s="25">
        <f>IFERROR(INDEX(Pedidos!$E$2:$E$1801,MATCH(B41,Pedidos!$A$2:$A$1801,0)),"")</f>
        <v/>
      </c>
      <c r="J41" s="25">
        <f>IFERROR(INDEX(Pedidos!$C$2:$C$1801,MATCH(B41,Pedidos!$A$2:$A$1801,0)),"")</f>
        <v/>
      </c>
      <c r="K41" s="25">
        <f>IFERROR(INDEX(Pedidos!$D$2:$D$1801,MATCH(B41,Pedidos!$A$2:$A$1801,0)),"")</f>
        <v/>
      </c>
      <c r="L41" s="25">
        <f>IFERROR(INDEX(Pedidos!$F$2:$F$1801,MATCH(B41,Pedidos!$A$2:$A$1801,0)),"")</f>
        <v/>
      </c>
      <c r="M41" s="26">
        <f>IFERROR(INDEX(Pedidos!$G$2:$G$1801,MATCH(B41,Pedidos!$A$2:$A$1801,0)),0)</f>
        <v/>
      </c>
      <c r="N41" s="25">
        <f>IFERROR(INDEX(Produtos!$B$2:$B$71,MATCH(C41,Produtos!$A$2:$A$71,0)),"")</f>
        <v/>
      </c>
      <c r="O41" s="25">
        <f>IFERROR(INDEX(Produtos!$C$2:$C$71,MATCH(C41,Produtos!$A$2:$A$71,0)),"")</f>
        <v/>
      </c>
      <c r="P41" s="25">
        <f>IFERROR(INDEX(Produtos!$D$2:$D$71,MATCH(C41,Produtos!$A$2:$A$71,0)),0)</f>
        <v/>
      </c>
      <c r="Q41" s="25">
        <f>IFERROR(INDEX(Produtos!$E$2:$E$71,MATCH(C41,Produtos!$A$2:$A$71,0)),0)</f>
        <v/>
      </c>
      <c r="R41" s="27">
        <f>D41*Q41</f>
        <v/>
      </c>
      <c r="S41" s="27">
        <f>R41*E41</f>
        <v/>
      </c>
      <c r="T41" s="27">
        <f>(R41-S41)*M41</f>
        <v/>
      </c>
      <c r="U41" s="27">
        <f>R41-S41-T41</f>
        <v/>
      </c>
      <c r="V41" s="27">
        <f>D41*P41</f>
        <v/>
      </c>
      <c r="W41" s="27">
        <f>U41-V41</f>
        <v/>
      </c>
      <c r="X41" s="28">
        <f>IFERROR(W41/U41,0)</f>
        <v/>
      </c>
    </row>
    <row r="42">
      <c r="A42" s="21">
        <f>ItensPedido!A42</f>
        <v/>
      </c>
      <c r="B42" s="21">
        <f>ItensPedido!B42</f>
        <v/>
      </c>
      <c r="C42" s="21">
        <f>ItensPedido!C42</f>
        <v/>
      </c>
      <c r="D42" s="21">
        <f>ItensPedido!D42</f>
        <v/>
      </c>
      <c r="E42" s="22">
        <f>ItensPedido!E42</f>
        <v/>
      </c>
      <c r="F42" s="21">
        <f>IFERROR(INDEX(Pedidos!$B$2:$B$1801,MATCH(B42,Pedidos!$A$2:$A$1801,0)),0)</f>
        <v/>
      </c>
      <c r="G42" s="21">
        <f>IF(F42=0,"",YEAR(F42))</f>
        <v/>
      </c>
      <c r="H42" s="21">
        <f>IF(F42=0,"",MONTH(F42))</f>
        <v/>
      </c>
      <c r="I42" s="21">
        <f>IFERROR(INDEX(Pedidos!$E$2:$E$1801,MATCH(B42,Pedidos!$A$2:$A$1801,0)),"")</f>
        <v/>
      </c>
      <c r="J42" s="21">
        <f>IFERROR(INDEX(Pedidos!$C$2:$C$1801,MATCH(B42,Pedidos!$A$2:$A$1801,0)),"")</f>
        <v/>
      </c>
      <c r="K42" s="21">
        <f>IFERROR(INDEX(Pedidos!$D$2:$D$1801,MATCH(B42,Pedidos!$A$2:$A$1801,0)),"")</f>
        <v/>
      </c>
      <c r="L42" s="21">
        <f>IFERROR(INDEX(Pedidos!$F$2:$F$1801,MATCH(B42,Pedidos!$A$2:$A$1801,0)),"")</f>
        <v/>
      </c>
      <c r="M42" s="22">
        <f>IFERROR(INDEX(Pedidos!$G$2:$G$1801,MATCH(B42,Pedidos!$A$2:$A$1801,0)),0)</f>
        <v/>
      </c>
      <c r="N42" s="21">
        <f>IFERROR(INDEX(Produtos!$B$2:$B$71,MATCH(C42,Produtos!$A$2:$A$71,0)),"")</f>
        <v/>
      </c>
      <c r="O42" s="21">
        <f>IFERROR(INDEX(Produtos!$C$2:$C$71,MATCH(C42,Produtos!$A$2:$A$71,0)),"")</f>
        <v/>
      </c>
      <c r="P42" s="21">
        <f>IFERROR(INDEX(Produtos!$D$2:$D$71,MATCH(C42,Produtos!$A$2:$A$71,0)),0)</f>
        <v/>
      </c>
      <c r="Q42" s="21">
        <f>IFERROR(INDEX(Produtos!$E$2:$E$71,MATCH(C42,Produtos!$A$2:$A$71,0)),0)</f>
        <v/>
      </c>
      <c r="R42" s="23">
        <f>D42*Q42</f>
        <v/>
      </c>
      <c r="S42" s="23">
        <f>R42*E42</f>
        <v/>
      </c>
      <c r="T42" s="23">
        <f>(R42-S42)*M42</f>
        <v/>
      </c>
      <c r="U42" s="23">
        <f>R42-S42-T42</f>
        <v/>
      </c>
      <c r="V42" s="23">
        <f>D42*P42</f>
        <v/>
      </c>
      <c r="W42" s="23">
        <f>U42-V42</f>
        <v/>
      </c>
      <c r="X42" s="24">
        <f>IFERROR(W42/U42,0)</f>
        <v/>
      </c>
    </row>
    <row r="43">
      <c r="A43" s="25">
        <f>ItensPedido!A43</f>
        <v/>
      </c>
      <c r="B43" s="25">
        <f>ItensPedido!B43</f>
        <v/>
      </c>
      <c r="C43" s="25">
        <f>ItensPedido!C43</f>
        <v/>
      </c>
      <c r="D43" s="25">
        <f>ItensPedido!D43</f>
        <v/>
      </c>
      <c r="E43" s="26">
        <f>ItensPedido!E43</f>
        <v/>
      </c>
      <c r="F43" s="25">
        <f>IFERROR(INDEX(Pedidos!$B$2:$B$1801,MATCH(B43,Pedidos!$A$2:$A$1801,0)),0)</f>
        <v/>
      </c>
      <c r="G43" s="25">
        <f>IF(F43=0,"",YEAR(F43))</f>
        <v/>
      </c>
      <c r="H43" s="25">
        <f>IF(F43=0,"",MONTH(F43))</f>
        <v/>
      </c>
      <c r="I43" s="25">
        <f>IFERROR(INDEX(Pedidos!$E$2:$E$1801,MATCH(B43,Pedidos!$A$2:$A$1801,0)),"")</f>
        <v/>
      </c>
      <c r="J43" s="25">
        <f>IFERROR(INDEX(Pedidos!$C$2:$C$1801,MATCH(B43,Pedidos!$A$2:$A$1801,0)),"")</f>
        <v/>
      </c>
      <c r="K43" s="25">
        <f>IFERROR(INDEX(Pedidos!$D$2:$D$1801,MATCH(B43,Pedidos!$A$2:$A$1801,0)),"")</f>
        <v/>
      </c>
      <c r="L43" s="25">
        <f>IFERROR(INDEX(Pedidos!$F$2:$F$1801,MATCH(B43,Pedidos!$A$2:$A$1801,0)),"")</f>
        <v/>
      </c>
      <c r="M43" s="26">
        <f>IFERROR(INDEX(Pedidos!$G$2:$G$1801,MATCH(B43,Pedidos!$A$2:$A$1801,0)),0)</f>
        <v/>
      </c>
      <c r="N43" s="25">
        <f>IFERROR(INDEX(Produtos!$B$2:$B$71,MATCH(C43,Produtos!$A$2:$A$71,0)),"")</f>
        <v/>
      </c>
      <c r="O43" s="25">
        <f>IFERROR(INDEX(Produtos!$C$2:$C$71,MATCH(C43,Produtos!$A$2:$A$71,0)),"")</f>
        <v/>
      </c>
      <c r="P43" s="25">
        <f>IFERROR(INDEX(Produtos!$D$2:$D$71,MATCH(C43,Produtos!$A$2:$A$71,0)),0)</f>
        <v/>
      </c>
      <c r="Q43" s="25">
        <f>IFERROR(INDEX(Produtos!$E$2:$E$71,MATCH(C43,Produtos!$A$2:$A$71,0)),0)</f>
        <v/>
      </c>
      <c r="R43" s="27">
        <f>D43*Q43</f>
        <v/>
      </c>
      <c r="S43" s="27">
        <f>R43*E43</f>
        <v/>
      </c>
      <c r="T43" s="27">
        <f>(R43-S43)*M43</f>
        <v/>
      </c>
      <c r="U43" s="27">
        <f>R43-S43-T43</f>
        <v/>
      </c>
      <c r="V43" s="27">
        <f>D43*P43</f>
        <v/>
      </c>
      <c r="W43" s="27">
        <f>U43-V43</f>
        <v/>
      </c>
      <c r="X43" s="28">
        <f>IFERROR(W43/U43,0)</f>
        <v/>
      </c>
    </row>
    <row r="44">
      <c r="A44" s="21">
        <f>ItensPedido!A44</f>
        <v/>
      </c>
      <c r="B44" s="21">
        <f>ItensPedido!B44</f>
        <v/>
      </c>
      <c r="C44" s="21">
        <f>ItensPedido!C44</f>
        <v/>
      </c>
      <c r="D44" s="21">
        <f>ItensPedido!D44</f>
        <v/>
      </c>
      <c r="E44" s="22">
        <f>ItensPedido!E44</f>
        <v/>
      </c>
      <c r="F44" s="21">
        <f>IFERROR(INDEX(Pedidos!$B$2:$B$1801,MATCH(B44,Pedidos!$A$2:$A$1801,0)),0)</f>
        <v/>
      </c>
      <c r="G44" s="21">
        <f>IF(F44=0,"",YEAR(F44))</f>
        <v/>
      </c>
      <c r="H44" s="21">
        <f>IF(F44=0,"",MONTH(F44))</f>
        <v/>
      </c>
      <c r="I44" s="21">
        <f>IFERROR(INDEX(Pedidos!$E$2:$E$1801,MATCH(B44,Pedidos!$A$2:$A$1801,0)),"")</f>
        <v/>
      </c>
      <c r="J44" s="21">
        <f>IFERROR(INDEX(Pedidos!$C$2:$C$1801,MATCH(B44,Pedidos!$A$2:$A$1801,0)),"")</f>
        <v/>
      </c>
      <c r="K44" s="21">
        <f>IFERROR(INDEX(Pedidos!$D$2:$D$1801,MATCH(B44,Pedidos!$A$2:$A$1801,0)),"")</f>
        <v/>
      </c>
      <c r="L44" s="21">
        <f>IFERROR(INDEX(Pedidos!$F$2:$F$1801,MATCH(B44,Pedidos!$A$2:$A$1801,0)),"")</f>
        <v/>
      </c>
      <c r="M44" s="22">
        <f>IFERROR(INDEX(Pedidos!$G$2:$G$1801,MATCH(B44,Pedidos!$A$2:$A$1801,0)),0)</f>
        <v/>
      </c>
      <c r="N44" s="21">
        <f>IFERROR(INDEX(Produtos!$B$2:$B$71,MATCH(C44,Produtos!$A$2:$A$71,0)),"")</f>
        <v/>
      </c>
      <c r="O44" s="21">
        <f>IFERROR(INDEX(Produtos!$C$2:$C$71,MATCH(C44,Produtos!$A$2:$A$71,0)),"")</f>
        <v/>
      </c>
      <c r="P44" s="21">
        <f>IFERROR(INDEX(Produtos!$D$2:$D$71,MATCH(C44,Produtos!$A$2:$A$71,0)),0)</f>
        <v/>
      </c>
      <c r="Q44" s="21">
        <f>IFERROR(INDEX(Produtos!$E$2:$E$71,MATCH(C44,Produtos!$A$2:$A$71,0)),0)</f>
        <v/>
      </c>
      <c r="R44" s="23">
        <f>D44*Q44</f>
        <v/>
      </c>
      <c r="S44" s="23">
        <f>R44*E44</f>
        <v/>
      </c>
      <c r="T44" s="23">
        <f>(R44-S44)*M44</f>
        <v/>
      </c>
      <c r="U44" s="23">
        <f>R44-S44-T44</f>
        <v/>
      </c>
      <c r="V44" s="23">
        <f>D44*P44</f>
        <v/>
      </c>
      <c r="W44" s="23">
        <f>U44-V44</f>
        <v/>
      </c>
      <c r="X44" s="24">
        <f>IFERROR(W44/U44,0)</f>
        <v/>
      </c>
    </row>
    <row r="45">
      <c r="A45" s="25">
        <f>ItensPedido!A45</f>
        <v/>
      </c>
      <c r="B45" s="25">
        <f>ItensPedido!B45</f>
        <v/>
      </c>
      <c r="C45" s="25">
        <f>ItensPedido!C45</f>
        <v/>
      </c>
      <c r="D45" s="25">
        <f>ItensPedido!D45</f>
        <v/>
      </c>
      <c r="E45" s="26">
        <f>ItensPedido!E45</f>
        <v/>
      </c>
      <c r="F45" s="25">
        <f>IFERROR(INDEX(Pedidos!$B$2:$B$1801,MATCH(B45,Pedidos!$A$2:$A$1801,0)),0)</f>
        <v/>
      </c>
      <c r="G45" s="25">
        <f>IF(F45=0,"",YEAR(F45))</f>
        <v/>
      </c>
      <c r="H45" s="25">
        <f>IF(F45=0,"",MONTH(F45))</f>
        <v/>
      </c>
      <c r="I45" s="25">
        <f>IFERROR(INDEX(Pedidos!$E$2:$E$1801,MATCH(B45,Pedidos!$A$2:$A$1801,0)),"")</f>
        <v/>
      </c>
      <c r="J45" s="25">
        <f>IFERROR(INDEX(Pedidos!$C$2:$C$1801,MATCH(B45,Pedidos!$A$2:$A$1801,0)),"")</f>
        <v/>
      </c>
      <c r="K45" s="25">
        <f>IFERROR(INDEX(Pedidos!$D$2:$D$1801,MATCH(B45,Pedidos!$A$2:$A$1801,0)),"")</f>
        <v/>
      </c>
      <c r="L45" s="25">
        <f>IFERROR(INDEX(Pedidos!$F$2:$F$1801,MATCH(B45,Pedidos!$A$2:$A$1801,0)),"")</f>
        <v/>
      </c>
      <c r="M45" s="26">
        <f>IFERROR(INDEX(Pedidos!$G$2:$G$1801,MATCH(B45,Pedidos!$A$2:$A$1801,0)),0)</f>
        <v/>
      </c>
      <c r="N45" s="25">
        <f>IFERROR(INDEX(Produtos!$B$2:$B$71,MATCH(C45,Produtos!$A$2:$A$71,0)),"")</f>
        <v/>
      </c>
      <c r="O45" s="25">
        <f>IFERROR(INDEX(Produtos!$C$2:$C$71,MATCH(C45,Produtos!$A$2:$A$71,0)),"")</f>
        <v/>
      </c>
      <c r="P45" s="25">
        <f>IFERROR(INDEX(Produtos!$D$2:$D$71,MATCH(C45,Produtos!$A$2:$A$71,0)),0)</f>
        <v/>
      </c>
      <c r="Q45" s="25">
        <f>IFERROR(INDEX(Produtos!$E$2:$E$71,MATCH(C45,Produtos!$A$2:$A$71,0)),0)</f>
        <v/>
      </c>
      <c r="R45" s="27">
        <f>D45*Q45</f>
        <v/>
      </c>
      <c r="S45" s="27">
        <f>R45*E45</f>
        <v/>
      </c>
      <c r="T45" s="27">
        <f>(R45-S45)*M45</f>
        <v/>
      </c>
      <c r="U45" s="27">
        <f>R45-S45-T45</f>
        <v/>
      </c>
      <c r="V45" s="27">
        <f>D45*P45</f>
        <v/>
      </c>
      <c r="W45" s="27">
        <f>U45-V45</f>
        <v/>
      </c>
      <c r="X45" s="28">
        <f>IFERROR(W45/U45,0)</f>
        <v/>
      </c>
    </row>
    <row r="46">
      <c r="A46" s="21">
        <f>ItensPedido!A46</f>
        <v/>
      </c>
      <c r="B46" s="21">
        <f>ItensPedido!B46</f>
        <v/>
      </c>
      <c r="C46" s="21">
        <f>ItensPedido!C46</f>
        <v/>
      </c>
      <c r="D46" s="21">
        <f>ItensPedido!D46</f>
        <v/>
      </c>
      <c r="E46" s="22">
        <f>ItensPedido!E46</f>
        <v/>
      </c>
      <c r="F46" s="21">
        <f>IFERROR(INDEX(Pedidos!$B$2:$B$1801,MATCH(B46,Pedidos!$A$2:$A$1801,0)),0)</f>
        <v/>
      </c>
      <c r="G46" s="21">
        <f>IF(F46=0,"",YEAR(F46))</f>
        <v/>
      </c>
      <c r="H46" s="21">
        <f>IF(F46=0,"",MONTH(F46))</f>
        <v/>
      </c>
      <c r="I46" s="21">
        <f>IFERROR(INDEX(Pedidos!$E$2:$E$1801,MATCH(B46,Pedidos!$A$2:$A$1801,0)),"")</f>
        <v/>
      </c>
      <c r="J46" s="21">
        <f>IFERROR(INDEX(Pedidos!$C$2:$C$1801,MATCH(B46,Pedidos!$A$2:$A$1801,0)),"")</f>
        <v/>
      </c>
      <c r="K46" s="21">
        <f>IFERROR(INDEX(Pedidos!$D$2:$D$1801,MATCH(B46,Pedidos!$A$2:$A$1801,0)),"")</f>
        <v/>
      </c>
      <c r="L46" s="21">
        <f>IFERROR(INDEX(Pedidos!$F$2:$F$1801,MATCH(B46,Pedidos!$A$2:$A$1801,0)),"")</f>
        <v/>
      </c>
      <c r="M46" s="22">
        <f>IFERROR(INDEX(Pedidos!$G$2:$G$1801,MATCH(B46,Pedidos!$A$2:$A$1801,0)),0)</f>
        <v/>
      </c>
      <c r="N46" s="21">
        <f>IFERROR(INDEX(Produtos!$B$2:$B$71,MATCH(C46,Produtos!$A$2:$A$71,0)),"")</f>
        <v/>
      </c>
      <c r="O46" s="21">
        <f>IFERROR(INDEX(Produtos!$C$2:$C$71,MATCH(C46,Produtos!$A$2:$A$71,0)),"")</f>
        <v/>
      </c>
      <c r="P46" s="21">
        <f>IFERROR(INDEX(Produtos!$D$2:$D$71,MATCH(C46,Produtos!$A$2:$A$71,0)),0)</f>
        <v/>
      </c>
      <c r="Q46" s="21">
        <f>IFERROR(INDEX(Produtos!$E$2:$E$71,MATCH(C46,Produtos!$A$2:$A$71,0)),0)</f>
        <v/>
      </c>
      <c r="R46" s="23">
        <f>D46*Q46</f>
        <v/>
      </c>
      <c r="S46" s="23">
        <f>R46*E46</f>
        <v/>
      </c>
      <c r="T46" s="23">
        <f>(R46-S46)*M46</f>
        <v/>
      </c>
      <c r="U46" s="23">
        <f>R46-S46-T46</f>
        <v/>
      </c>
      <c r="V46" s="23">
        <f>D46*P46</f>
        <v/>
      </c>
      <c r="W46" s="23">
        <f>U46-V46</f>
        <v/>
      </c>
      <c r="X46" s="24">
        <f>IFERROR(W46/U46,0)</f>
        <v/>
      </c>
    </row>
    <row r="47">
      <c r="A47" s="25">
        <f>ItensPedido!A47</f>
        <v/>
      </c>
      <c r="B47" s="25">
        <f>ItensPedido!B47</f>
        <v/>
      </c>
      <c r="C47" s="25">
        <f>ItensPedido!C47</f>
        <v/>
      </c>
      <c r="D47" s="25">
        <f>ItensPedido!D47</f>
        <v/>
      </c>
      <c r="E47" s="26">
        <f>ItensPedido!E47</f>
        <v/>
      </c>
      <c r="F47" s="25">
        <f>IFERROR(INDEX(Pedidos!$B$2:$B$1801,MATCH(B47,Pedidos!$A$2:$A$1801,0)),0)</f>
        <v/>
      </c>
      <c r="G47" s="25">
        <f>IF(F47=0,"",YEAR(F47))</f>
        <v/>
      </c>
      <c r="H47" s="25">
        <f>IF(F47=0,"",MONTH(F47))</f>
        <v/>
      </c>
      <c r="I47" s="25">
        <f>IFERROR(INDEX(Pedidos!$E$2:$E$1801,MATCH(B47,Pedidos!$A$2:$A$1801,0)),"")</f>
        <v/>
      </c>
      <c r="J47" s="25">
        <f>IFERROR(INDEX(Pedidos!$C$2:$C$1801,MATCH(B47,Pedidos!$A$2:$A$1801,0)),"")</f>
        <v/>
      </c>
      <c r="K47" s="25">
        <f>IFERROR(INDEX(Pedidos!$D$2:$D$1801,MATCH(B47,Pedidos!$A$2:$A$1801,0)),"")</f>
        <v/>
      </c>
      <c r="L47" s="25">
        <f>IFERROR(INDEX(Pedidos!$F$2:$F$1801,MATCH(B47,Pedidos!$A$2:$A$1801,0)),"")</f>
        <v/>
      </c>
      <c r="M47" s="26">
        <f>IFERROR(INDEX(Pedidos!$G$2:$G$1801,MATCH(B47,Pedidos!$A$2:$A$1801,0)),0)</f>
        <v/>
      </c>
      <c r="N47" s="25">
        <f>IFERROR(INDEX(Produtos!$B$2:$B$71,MATCH(C47,Produtos!$A$2:$A$71,0)),"")</f>
        <v/>
      </c>
      <c r="O47" s="25">
        <f>IFERROR(INDEX(Produtos!$C$2:$C$71,MATCH(C47,Produtos!$A$2:$A$71,0)),"")</f>
        <v/>
      </c>
      <c r="P47" s="25">
        <f>IFERROR(INDEX(Produtos!$D$2:$D$71,MATCH(C47,Produtos!$A$2:$A$71,0)),0)</f>
        <v/>
      </c>
      <c r="Q47" s="25">
        <f>IFERROR(INDEX(Produtos!$E$2:$E$71,MATCH(C47,Produtos!$A$2:$A$71,0)),0)</f>
        <v/>
      </c>
      <c r="R47" s="27">
        <f>D47*Q47</f>
        <v/>
      </c>
      <c r="S47" s="27">
        <f>R47*E47</f>
        <v/>
      </c>
      <c r="T47" s="27">
        <f>(R47-S47)*M47</f>
        <v/>
      </c>
      <c r="U47" s="27">
        <f>R47-S47-T47</f>
        <v/>
      </c>
      <c r="V47" s="27">
        <f>D47*P47</f>
        <v/>
      </c>
      <c r="W47" s="27">
        <f>U47-V47</f>
        <v/>
      </c>
      <c r="X47" s="28">
        <f>IFERROR(W47/U47,0)</f>
        <v/>
      </c>
    </row>
    <row r="48">
      <c r="A48" s="21">
        <f>ItensPedido!A48</f>
        <v/>
      </c>
      <c r="B48" s="21">
        <f>ItensPedido!B48</f>
        <v/>
      </c>
      <c r="C48" s="21">
        <f>ItensPedido!C48</f>
        <v/>
      </c>
      <c r="D48" s="21">
        <f>ItensPedido!D48</f>
        <v/>
      </c>
      <c r="E48" s="22">
        <f>ItensPedido!E48</f>
        <v/>
      </c>
      <c r="F48" s="21">
        <f>IFERROR(INDEX(Pedidos!$B$2:$B$1801,MATCH(B48,Pedidos!$A$2:$A$1801,0)),0)</f>
        <v/>
      </c>
      <c r="G48" s="21">
        <f>IF(F48=0,"",YEAR(F48))</f>
        <v/>
      </c>
      <c r="H48" s="21">
        <f>IF(F48=0,"",MONTH(F48))</f>
        <v/>
      </c>
      <c r="I48" s="21">
        <f>IFERROR(INDEX(Pedidos!$E$2:$E$1801,MATCH(B48,Pedidos!$A$2:$A$1801,0)),"")</f>
        <v/>
      </c>
      <c r="J48" s="21">
        <f>IFERROR(INDEX(Pedidos!$C$2:$C$1801,MATCH(B48,Pedidos!$A$2:$A$1801,0)),"")</f>
        <v/>
      </c>
      <c r="K48" s="21">
        <f>IFERROR(INDEX(Pedidos!$D$2:$D$1801,MATCH(B48,Pedidos!$A$2:$A$1801,0)),"")</f>
        <v/>
      </c>
      <c r="L48" s="21">
        <f>IFERROR(INDEX(Pedidos!$F$2:$F$1801,MATCH(B48,Pedidos!$A$2:$A$1801,0)),"")</f>
        <v/>
      </c>
      <c r="M48" s="22">
        <f>IFERROR(INDEX(Pedidos!$G$2:$G$1801,MATCH(B48,Pedidos!$A$2:$A$1801,0)),0)</f>
        <v/>
      </c>
      <c r="N48" s="21">
        <f>IFERROR(INDEX(Produtos!$B$2:$B$71,MATCH(C48,Produtos!$A$2:$A$71,0)),"")</f>
        <v/>
      </c>
      <c r="O48" s="21">
        <f>IFERROR(INDEX(Produtos!$C$2:$C$71,MATCH(C48,Produtos!$A$2:$A$71,0)),"")</f>
        <v/>
      </c>
      <c r="P48" s="21">
        <f>IFERROR(INDEX(Produtos!$D$2:$D$71,MATCH(C48,Produtos!$A$2:$A$71,0)),0)</f>
        <v/>
      </c>
      <c r="Q48" s="21">
        <f>IFERROR(INDEX(Produtos!$E$2:$E$71,MATCH(C48,Produtos!$A$2:$A$71,0)),0)</f>
        <v/>
      </c>
      <c r="R48" s="23">
        <f>D48*Q48</f>
        <v/>
      </c>
      <c r="S48" s="23">
        <f>R48*E48</f>
        <v/>
      </c>
      <c r="T48" s="23">
        <f>(R48-S48)*M48</f>
        <v/>
      </c>
      <c r="U48" s="23">
        <f>R48-S48-T48</f>
        <v/>
      </c>
      <c r="V48" s="23">
        <f>D48*P48</f>
        <v/>
      </c>
      <c r="W48" s="23">
        <f>U48-V48</f>
        <v/>
      </c>
      <c r="X48" s="24">
        <f>IFERROR(W48/U48,0)</f>
        <v/>
      </c>
    </row>
    <row r="49">
      <c r="A49" s="25">
        <f>ItensPedido!A49</f>
        <v/>
      </c>
      <c r="B49" s="25">
        <f>ItensPedido!B49</f>
        <v/>
      </c>
      <c r="C49" s="25">
        <f>ItensPedido!C49</f>
        <v/>
      </c>
      <c r="D49" s="25">
        <f>ItensPedido!D49</f>
        <v/>
      </c>
      <c r="E49" s="26">
        <f>ItensPedido!E49</f>
        <v/>
      </c>
      <c r="F49" s="25">
        <f>IFERROR(INDEX(Pedidos!$B$2:$B$1801,MATCH(B49,Pedidos!$A$2:$A$1801,0)),0)</f>
        <v/>
      </c>
      <c r="G49" s="25">
        <f>IF(F49=0,"",YEAR(F49))</f>
        <v/>
      </c>
      <c r="H49" s="25">
        <f>IF(F49=0,"",MONTH(F49))</f>
        <v/>
      </c>
      <c r="I49" s="25">
        <f>IFERROR(INDEX(Pedidos!$E$2:$E$1801,MATCH(B49,Pedidos!$A$2:$A$1801,0)),"")</f>
        <v/>
      </c>
      <c r="J49" s="25">
        <f>IFERROR(INDEX(Pedidos!$C$2:$C$1801,MATCH(B49,Pedidos!$A$2:$A$1801,0)),"")</f>
        <v/>
      </c>
      <c r="K49" s="25">
        <f>IFERROR(INDEX(Pedidos!$D$2:$D$1801,MATCH(B49,Pedidos!$A$2:$A$1801,0)),"")</f>
        <v/>
      </c>
      <c r="L49" s="25">
        <f>IFERROR(INDEX(Pedidos!$F$2:$F$1801,MATCH(B49,Pedidos!$A$2:$A$1801,0)),"")</f>
        <v/>
      </c>
      <c r="M49" s="26">
        <f>IFERROR(INDEX(Pedidos!$G$2:$G$1801,MATCH(B49,Pedidos!$A$2:$A$1801,0)),0)</f>
        <v/>
      </c>
      <c r="N49" s="25">
        <f>IFERROR(INDEX(Produtos!$B$2:$B$71,MATCH(C49,Produtos!$A$2:$A$71,0)),"")</f>
        <v/>
      </c>
      <c r="O49" s="25">
        <f>IFERROR(INDEX(Produtos!$C$2:$C$71,MATCH(C49,Produtos!$A$2:$A$71,0)),"")</f>
        <v/>
      </c>
      <c r="P49" s="25">
        <f>IFERROR(INDEX(Produtos!$D$2:$D$71,MATCH(C49,Produtos!$A$2:$A$71,0)),0)</f>
        <v/>
      </c>
      <c r="Q49" s="25">
        <f>IFERROR(INDEX(Produtos!$E$2:$E$71,MATCH(C49,Produtos!$A$2:$A$71,0)),0)</f>
        <v/>
      </c>
      <c r="R49" s="27">
        <f>D49*Q49</f>
        <v/>
      </c>
      <c r="S49" s="27">
        <f>R49*E49</f>
        <v/>
      </c>
      <c r="T49" s="27">
        <f>(R49-S49)*M49</f>
        <v/>
      </c>
      <c r="U49" s="27">
        <f>R49-S49-T49</f>
        <v/>
      </c>
      <c r="V49" s="27">
        <f>D49*P49</f>
        <v/>
      </c>
      <c r="W49" s="27">
        <f>U49-V49</f>
        <v/>
      </c>
      <c r="X49" s="28">
        <f>IFERROR(W49/U49,0)</f>
        <v/>
      </c>
    </row>
    <row r="50">
      <c r="A50" s="21">
        <f>ItensPedido!A50</f>
        <v/>
      </c>
      <c r="B50" s="21">
        <f>ItensPedido!B50</f>
        <v/>
      </c>
      <c r="C50" s="21">
        <f>ItensPedido!C50</f>
        <v/>
      </c>
      <c r="D50" s="21">
        <f>ItensPedido!D50</f>
        <v/>
      </c>
      <c r="E50" s="22">
        <f>ItensPedido!E50</f>
        <v/>
      </c>
      <c r="F50" s="21">
        <f>IFERROR(INDEX(Pedidos!$B$2:$B$1801,MATCH(B50,Pedidos!$A$2:$A$1801,0)),0)</f>
        <v/>
      </c>
      <c r="G50" s="21">
        <f>IF(F50=0,"",YEAR(F50))</f>
        <v/>
      </c>
      <c r="H50" s="21">
        <f>IF(F50=0,"",MONTH(F50))</f>
        <v/>
      </c>
      <c r="I50" s="21">
        <f>IFERROR(INDEX(Pedidos!$E$2:$E$1801,MATCH(B50,Pedidos!$A$2:$A$1801,0)),"")</f>
        <v/>
      </c>
      <c r="J50" s="21">
        <f>IFERROR(INDEX(Pedidos!$C$2:$C$1801,MATCH(B50,Pedidos!$A$2:$A$1801,0)),"")</f>
        <v/>
      </c>
      <c r="K50" s="21">
        <f>IFERROR(INDEX(Pedidos!$D$2:$D$1801,MATCH(B50,Pedidos!$A$2:$A$1801,0)),"")</f>
        <v/>
      </c>
      <c r="L50" s="21">
        <f>IFERROR(INDEX(Pedidos!$F$2:$F$1801,MATCH(B50,Pedidos!$A$2:$A$1801,0)),"")</f>
        <v/>
      </c>
      <c r="M50" s="22">
        <f>IFERROR(INDEX(Pedidos!$G$2:$G$1801,MATCH(B50,Pedidos!$A$2:$A$1801,0)),0)</f>
        <v/>
      </c>
      <c r="N50" s="21">
        <f>IFERROR(INDEX(Produtos!$B$2:$B$71,MATCH(C50,Produtos!$A$2:$A$71,0)),"")</f>
        <v/>
      </c>
      <c r="O50" s="21">
        <f>IFERROR(INDEX(Produtos!$C$2:$C$71,MATCH(C50,Produtos!$A$2:$A$71,0)),"")</f>
        <v/>
      </c>
      <c r="P50" s="21">
        <f>IFERROR(INDEX(Produtos!$D$2:$D$71,MATCH(C50,Produtos!$A$2:$A$71,0)),0)</f>
        <v/>
      </c>
      <c r="Q50" s="21">
        <f>IFERROR(INDEX(Produtos!$E$2:$E$71,MATCH(C50,Produtos!$A$2:$A$71,0)),0)</f>
        <v/>
      </c>
      <c r="R50" s="23">
        <f>D50*Q50</f>
        <v/>
      </c>
      <c r="S50" s="23">
        <f>R50*E50</f>
        <v/>
      </c>
      <c r="T50" s="23">
        <f>(R50-S50)*M50</f>
        <v/>
      </c>
      <c r="U50" s="23">
        <f>R50-S50-T50</f>
        <v/>
      </c>
      <c r="V50" s="23">
        <f>D50*P50</f>
        <v/>
      </c>
      <c r="W50" s="23">
        <f>U50-V50</f>
        <v/>
      </c>
      <c r="X50" s="24">
        <f>IFERROR(W50/U50,0)</f>
        <v/>
      </c>
    </row>
    <row r="51">
      <c r="A51" s="25">
        <f>ItensPedido!A51</f>
        <v/>
      </c>
      <c r="B51" s="25">
        <f>ItensPedido!B51</f>
        <v/>
      </c>
      <c r="C51" s="25">
        <f>ItensPedido!C51</f>
        <v/>
      </c>
      <c r="D51" s="25">
        <f>ItensPedido!D51</f>
        <v/>
      </c>
      <c r="E51" s="26">
        <f>ItensPedido!E51</f>
        <v/>
      </c>
      <c r="F51" s="25">
        <f>IFERROR(INDEX(Pedidos!$B$2:$B$1801,MATCH(B51,Pedidos!$A$2:$A$1801,0)),0)</f>
        <v/>
      </c>
      <c r="G51" s="25">
        <f>IF(F51=0,"",YEAR(F51))</f>
        <v/>
      </c>
      <c r="H51" s="25">
        <f>IF(F51=0,"",MONTH(F51))</f>
        <v/>
      </c>
      <c r="I51" s="25">
        <f>IFERROR(INDEX(Pedidos!$E$2:$E$1801,MATCH(B51,Pedidos!$A$2:$A$1801,0)),"")</f>
        <v/>
      </c>
      <c r="J51" s="25">
        <f>IFERROR(INDEX(Pedidos!$C$2:$C$1801,MATCH(B51,Pedidos!$A$2:$A$1801,0)),"")</f>
        <v/>
      </c>
      <c r="K51" s="25">
        <f>IFERROR(INDEX(Pedidos!$D$2:$D$1801,MATCH(B51,Pedidos!$A$2:$A$1801,0)),"")</f>
        <v/>
      </c>
      <c r="L51" s="25">
        <f>IFERROR(INDEX(Pedidos!$F$2:$F$1801,MATCH(B51,Pedidos!$A$2:$A$1801,0)),"")</f>
        <v/>
      </c>
      <c r="M51" s="26">
        <f>IFERROR(INDEX(Pedidos!$G$2:$G$1801,MATCH(B51,Pedidos!$A$2:$A$1801,0)),0)</f>
        <v/>
      </c>
      <c r="N51" s="25">
        <f>IFERROR(INDEX(Produtos!$B$2:$B$71,MATCH(C51,Produtos!$A$2:$A$71,0)),"")</f>
        <v/>
      </c>
      <c r="O51" s="25">
        <f>IFERROR(INDEX(Produtos!$C$2:$C$71,MATCH(C51,Produtos!$A$2:$A$71,0)),"")</f>
        <v/>
      </c>
      <c r="P51" s="25">
        <f>IFERROR(INDEX(Produtos!$D$2:$D$71,MATCH(C51,Produtos!$A$2:$A$71,0)),0)</f>
        <v/>
      </c>
      <c r="Q51" s="25">
        <f>IFERROR(INDEX(Produtos!$E$2:$E$71,MATCH(C51,Produtos!$A$2:$A$71,0)),0)</f>
        <v/>
      </c>
      <c r="R51" s="27">
        <f>D51*Q51</f>
        <v/>
      </c>
      <c r="S51" s="27">
        <f>R51*E51</f>
        <v/>
      </c>
      <c r="T51" s="27">
        <f>(R51-S51)*M51</f>
        <v/>
      </c>
      <c r="U51" s="27">
        <f>R51-S51-T51</f>
        <v/>
      </c>
      <c r="V51" s="27">
        <f>D51*P51</f>
        <v/>
      </c>
      <c r="W51" s="27">
        <f>U51-V51</f>
        <v/>
      </c>
      <c r="X51" s="28">
        <f>IFERROR(W51/U51,0)</f>
        <v/>
      </c>
    </row>
    <row r="52">
      <c r="A52" s="21">
        <f>ItensPedido!A52</f>
        <v/>
      </c>
      <c r="B52" s="21">
        <f>ItensPedido!B52</f>
        <v/>
      </c>
      <c r="C52" s="21">
        <f>ItensPedido!C52</f>
        <v/>
      </c>
      <c r="D52" s="21">
        <f>ItensPedido!D52</f>
        <v/>
      </c>
      <c r="E52" s="22">
        <f>ItensPedido!E52</f>
        <v/>
      </c>
      <c r="F52" s="21">
        <f>IFERROR(INDEX(Pedidos!$B$2:$B$1801,MATCH(B52,Pedidos!$A$2:$A$1801,0)),0)</f>
        <v/>
      </c>
      <c r="G52" s="21">
        <f>IF(F52=0,"",YEAR(F52))</f>
        <v/>
      </c>
      <c r="H52" s="21">
        <f>IF(F52=0,"",MONTH(F52))</f>
        <v/>
      </c>
      <c r="I52" s="21">
        <f>IFERROR(INDEX(Pedidos!$E$2:$E$1801,MATCH(B52,Pedidos!$A$2:$A$1801,0)),"")</f>
        <v/>
      </c>
      <c r="J52" s="21">
        <f>IFERROR(INDEX(Pedidos!$C$2:$C$1801,MATCH(B52,Pedidos!$A$2:$A$1801,0)),"")</f>
        <v/>
      </c>
      <c r="K52" s="21">
        <f>IFERROR(INDEX(Pedidos!$D$2:$D$1801,MATCH(B52,Pedidos!$A$2:$A$1801,0)),"")</f>
        <v/>
      </c>
      <c r="L52" s="21">
        <f>IFERROR(INDEX(Pedidos!$F$2:$F$1801,MATCH(B52,Pedidos!$A$2:$A$1801,0)),"")</f>
        <v/>
      </c>
      <c r="M52" s="22">
        <f>IFERROR(INDEX(Pedidos!$G$2:$G$1801,MATCH(B52,Pedidos!$A$2:$A$1801,0)),0)</f>
        <v/>
      </c>
      <c r="N52" s="21">
        <f>IFERROR(INDEX(Produtos!$B$2:$B$71,MATCH(C52,Produtos!$A$2:$A$71,0)),"")</f>
        <v/>
      </c>
      <c r="O52" s="21">
        <f>IFERROR(INDEX(Produtos!$C$2:$C$71,MATCH(C52,Produtos!$A$2:$A$71,0)),"")</f>
        <v/>
      </c>
      <c r="P52" s="21">
        <f>IFERROR(INDEX(Produtos!$D$2:$D$71,MATCH(C52,Produtos!$A$2:$A$71,0)),0)</f>
        <v/>
      </c>
      <c r="Q52" s="21">
        <f>IFERROR(INDEX(Produtos!$E$2:$E$71,MATCH(C52,Produtos!$A$2:$A$71,0)),0)</f>
        <v/>
      </c>
      <c r="R52" s="23">
        <f>D52*Q52</f>
        <v/>
      </c>
      <c r="S52" s="23">
        <f>R52*E52</f>
        <v/>
      </c>
      <c r="T52" s="23">
        <f>(R52-S52)*M52</f>
        <v/>
      </c>
      <c r="U52" s="23">
        <f>R52-S52-T52</f>
        <v/>
      </c>
      <c r="V52" s="23">
        <f>D52*P52</f>
        <v/>
      </c>
      <c r="W52" s="23">
        <f>U52-V52</f>
        <v/>
      </c>
      <c r="X52" s="24">
        <f>IFERROR(W52/U52,0)</f>
        <v/>
      </c>
    </row>
    <row r="53">
      <c r="A53" s="25">
        <f>ItensPedido!A53</f>
        <v/>
      </c>
      <c r="B53" s="25">
        <f>ItensPedido!B53</f>
        <v/>
      </c>
      <c r="C53" s="25">
        <f>ItensPedido!C53</f>
        <v/>
      </c>
      <c r="D53" s="25">
        <f>ItensPedido!D53</f>
        <v/>
      </c>
      <c r="E53" s="26">
        <f>ItensPedido!E53</f>
        <v/>
      </c>
      <c r="F53" s="25">
        <f>IFERROR(INDEX(Pedidos!$B$2:$B$1801,MATCH(B53,Pedidos!$A$2:$A$1801,0)),0)</f>
        <v/>
      </c>
      <c r="G53" s="25">
        <f>IF(F53=0,"",YEAR(F53))</f>
        <v/>
      </c>
      <c r="H53" s="25">
        <f>IF(F53=0,"",MONTH(F53))</f>
        <v/>
      </c>
      <c r="I53" s="25">
        <f>IFERROR(INDEX(Pedidos!$E$2:$E$1801,MATCH(B53,Pedidos!$A$2:$A$1801,0)),"")</f>
        <v/>
      </c>
      <c r="J53" s="25">
        <f>IFERROR(INDEX(Pedidos!$C$2:$C$1801,MATCH(B53,Pedidos!$A$2:$A$1801,0)),"")</f>
        <v/>
      </c>
      <c r="K53" s="25">
        <f>IFERROR(INDEX(Pedidos!$D$2:$D$1801,MATCH(B53,Pedidos!$A$2:$A$1801,0)),"")</f>
        <v/>
      </c>
      <c r="L53" s="25">
        <f>IFERROR(INDEX(Pedidos!$F$2:$F$1801,MATCH(B53,Pedidos!$A$2:$A$1801,0)),"")</f>
        <v/>
      </c>
      <c r="M53" s="26">
        <f>IFERROR(INDEX(Pedidos!$G$2:$G$1801,MATCH(B53,Pedidos!$A$2:$A$1801,0)),0)</f>
        <v/>
      </c>
      <c r="N53" s="25">
        <f>IFERROR(INDEX(Produtos!$B$2:$B$71,MATCH(C53,Produtos!$A$2:$A$71,0)),"")</f>
        <v/>
      </c>
      <c r="O53" s="25">
        <f>IFERROR(INDEX(Produtos!$C$2:$C$71,MATCH(C53,Produtos!$A$2:$A$71,0)),"")</f>
        <v/>
      </c>
      <c r="P53" s="25">
        <f>IFERROR(INDEX(Produtos!$D$2:$D$71,MATCH(C53,Produtos!$A$2:$A$71,0)),0)</f>
        <v/>
      </c>
      <c r="Q53" s="25">
        <f>IFERROR(INDEX(Produtos!$E$2:$E$71,MATCH(C53,Produtos!$A$2:$A$71,0)),0)</f>
        <v/>
      </c>
      <c r="R53" s="27">
        <f>D53*Q53</f>
        <v/>
      </c>
      <c r="S53" s="27">
        <f>R53*E53</f>
        <v/>
      </c>
      <c r="T53" s="27">
        <f>(R53-S53)*M53</f>
        <v/>
      </c>
      <c r="U53" s="27">
        <f>R53-S53-T53</f>
        <v/>
      </c>
      <c r="V53" s="27">
        <f>D53*P53</f>
        <v/>
      </c>
      <c r="W53" s="27">
        <f>U53-V53</f>
        <v/>
      </c>
      <c r="X53" s="28">
        <f>IFERROR(W53/U53,0)</f>
        <v/>
      </c>
    </row>
    <row r="54">
      <c r="A54" s="21">
        <f>ItensPedido!A54</f>
        <v/>
      </c>
      <c r="B54" s="21">
        <f>ItensPedido!B54</f>
        <v/>
      </c>
      <c r="C54" s="21">
        <f>ItensPedido!C54</f>
        <v/>
      </c>
      <c r="D54" s="21">
        <f>ItensPedido!D54</f>
        <v/>
      </c>
      <c r="E54" s="22">
        <f>ItensPedido!E54</f>
        <v/>
      </c>
      <c r="F54" s="21">
        <f>IFERROR(INDEX(Pedidos!$B$2:$B$1801,MATCH(B54,Pedidos!$A$2:$A$1801,0)),0)</f>
        <v/>
      </c>
      <c r="G54" s="21">
        <f>IF(F54=0,"",YEAR(F54))</f>
        <v/>
      </c>
      <c r="H54" s="21">
        <f>IF(F54=0,"",MONTH(F54))</f>
        <v/>
      </c>
      <c r="I54" s="21">
        <f>IFERROR(INDEX(Pedidos!$E$2:$E$1801,MATCH(B54,Pedidos!$A$2:$A$1801,0)),"")</f>
        <v/>
      </c>
      <c r="J54" s="21">
        <f>IFERROR(INDEX(Pedidos!$C$2:$C$1801,MATCH(B54,Pedidos!$A$2:$A$1801,0)),"")</f>
        <v/>
      </c>
      <c r="K54" s="21">
        <f>IFERROR(INDEX(Pedidos!$D$2:$D$1801,MATCH(B54,Pedidos!$A$2:$A$1801,0)),"")</f>
        <v/>
      </c>
      <c r="L54" s="21">
        <f>IFERROR(INDEX(Pedidos!$F$2:$F$1801,MATCH(B54,Pedidos!$A$2:$A$1801,0)),"")</f>
        <v/>
      </c>
      <c r="M54" s="22">
        <f>IFERROR(INDEX(Pedidos!$G$2:$G$1801,MATCH(B54,Pedidos!$A$2:$A$1801,0)),0)</f>
        <v/>
      </c>
      <c r="N54" s="21">
        <f>IFERROR(INDEX(Produtos!$B$2:$B$71,MATCH(C54,Produtos!$A$2:$A$71,0)),"")</f>
        <v/>
      </c>
      <c r="O54" s="21">
        <f>IFERROR(INDEX(Produtos!$C$2:$C$71,MATCH(C54,Produtos!$A$2:$A$71,0)),"")</f>
        <v/>
      </c>
      <c r="P54" s="21">
        <f>IFERROR(INDEX(Produtos!$D$2:$D$71,MATCH(C54,Produtos!$A$2:$A$71,0)),0)</f>
        <v/>
      </c>
      <c r="Q54" s="21">
        <f>IFERROR(INDEX(Produtos!$E$2:$E$71,MATCH(C54,Produtos!$A$2:$A$71,0)),0)</f>
        <v/>
      </c>
      <c r="R54" s="23">
        <f>D54*Q54</f>
        <v/>
      </c>
      <c r="S54" s="23">
        <f>R54*E54</f>
        <v/>
      </c>
      <c r="T54" s="23">
        <f>(R54-S54)*M54</f>
        <v/>
      </c>
      <c r="U54" s="23">
        <f>R54-S54-T54</f>
        <v/>
      </c>
      <c r="V54" s="23">
        <f>D54*P54</f>
        <v/>
      </c>
      <c r="W54" s="23">
        <f>U54-V54</f>
        <v/>
      </c>
      <c r="X54" s="24">
        <f>IFERROR(W54/U54,0)</f>
        <v/>
      </c>
    </row>
    <row r="55">
      <c r="A55" s="25">
        <f>ItensPedido!A55</f>
        <v/>
      </c>
      <c r="B55" s="25">
        <f>ItensPedido!B55</f>
        <v/>
      </c>
      <c r="C55" s="25">
        <f>ItensPedido!C55</f>
        <v/>
      </c>
      <c r="D55" s="25">
        <f>ItensPedido!D55</f>
        <v/>
      </c>
      <c r="E55" s="26">
        <f>ItensPedido!E55</f>
        <v/>
      </c>
      <c r="F55" s="25">
        <f>IFERROR(INDEX(Pedidos!$B$2:$B$1801,MATCH(B55,Pedidos!$A$2:$A$1801,0)),0)</f>
        <v/>
      </c>
      <c r="G55" s="25">
        <f>IF(F55=0,"",YEAR(F55))</f>
        <v/>
      </c>
      <c r="H55" s="25">
        <f>IF(F55=0,"",MONTH(F55))</f>
        <v/>
      </c>
      <c r="I55" s="25">
        <f>IFERROR(INDEX(Pedidos!$E$2:$E$1801,MATCH(B55,Pedidos!$A$2:$A$1801,0)),"")</f>
        <v/>
      </c>
      <c r="J55" s="25">
        <f>IFERROR(INDEX(Pedidos!$C$2:$C$1801,MATCH(B55,Pedidos!$A$2:$A$1801,0)),"")</f>
        <v/>
      </c>
      <c r="K55" s="25">
        <f>IFERROR(INDEX(Pedidos!$D$2:$D$1801,MATCH(B55,Pedidos!$A$2:$A$1801,0)),"")</f>
        <v/>
      </c>
      <c r="L55" s="25">
        <f>IFERROR(INDEX(Pedidos!$F$2:$F$1801,MATCH(B55,Pedidos!$A$2:$A$1801,0)),"")</f>
        <v/>
      </c>
      <c r="M55" s="26">
        <f>IFERROR(INDEX(Pedidos!$G$2:$G$1801,MATCH(B55,Pedidos!$A$2:$A$1801,0)),0)</f>
        <v/>
      </c>
      <c r="N55" s="25">
        <f>IFERROR(INDEX(Produtos!$B$2:$B$71,MATCH(C55,Produtos!$A$2:$A$71,0)),"")</f>
        <v/>
      </c>
      <c r="O55" s="25">
        <f>IFERROR(INDEX(Produtos!$C$2:$C$71,MATCH(C55,Produtos!$A$2:$A$71,0)),"")</f>
        <v/>
      </c>
      <c r="P55" s="25">
        <f>IFERROR(INDEX(Produtos!$D$2:$D$71,MATCH(C55,Produtos!$A$2:$A$71,0)),0)</f>
        <v/>
      </c>
      <c r="Q55" s="25">
        <f>IFERROR(INDEX(Produtos!$E$2:$E$71,MATCH(C55,Produtos!$A$2:$A$71,0)),0)</f>
        <v/>
      </c>
      <c r="R55" s="27">
        <f>D55*Q55</f>
        <v/>
      </c>
      <c r="S55" s="27">
        <f>R55*E55</f>
        <v/>
      </c>
      <c r="T55" s="27">
        <f>(R55-S55)*M55</f>
        <v/>
      </c>
      <c r="U55" s="27">
        <f>R55-S55-T55</f>
        <v/>
      </c>
      <c r="V55" s="27">
        <f>D55*P55</f>
        <v/>
      </c>
      <c r="W55" s="27">
        <f>U55-V55</f>
        <v/>
      </c>
      <c r="X55" s="28">
        <f>IFERROR(W55/U55,0)</f>
        <v/>
      </c>
    </row>
    <row r="56">
      <c r="A56" s="21">
        <f>ItensPedido!A56</f>
        <v/>
      </c>
      <c r="B56" s="21">
        <f>ItensPedido!B56</f>
        <v/>
      </c>
      <c r="C56" s="21">
        <f>ItensPedido!C56</f>
        <v/>
      </c>
      <c r="D56" s="21">
        <f>ItensPedido!D56</f>
        <v/>
      </c>
      <c r="E56" s="22">
        <f>ItensPedido!E56</f>
        <v/>
      </c>
      <c r="F56" s="21">
        <f>IFERROR(INDEX(Pedidos!$B$2:$B$1801,MATCH(B56,Pedidos!$A$2:$A$1801,0)),0)</f>
        <v/>
      </c>
      <c r="G56" s="21">
        <f>IF(F56=0,"",YEAR(F56))</f>
        <v/>
      </c>
      <c r="H56" s="21">
        <f>IF(F56=0,"",MONTH(F56))</f>
        <v/>
      </c>
      <c r="I56" s="21">
        <f>IFERROR(INDEX(Pedidos!$E$2:$E$1801,MATCH(B56,Pedidos!$A$2:$A$1801,0)),"")</f>
        <v/>
      </c>
      <c r="J56" s="21">
        <f>IFERROR(INDEX(Pedidos!$C$2:$C$1801,MATCH(B56,Pedidos!$A$2:$A$1801,0)),"")</f>
        <v/>
      </c>
      <c r="K56" s="21">
        <f>IFERROR(INDEX(Pedidos!$D$2:$D$1801,MATCH(B56,Pedidos!$A$2:$A$1801,0)),"")</f>
        <v/>
      </c>
      <c r="L56" s="21">
        <f>IFERROR(INDEX(Pedidos!$F$2:$F$1801,MATCH(B56,Pedidos!$A$2:$A$1801,0)),"")</f>
        <v/>
      </c>
      <c r="M56" s="22">
        <f>IFERROR(INDEX(Pedidos!$G$2:$G$1801,MATCH(B56,Pedidos!$A$2:$A$1801,0)),0)</f>
        <v/>
      </c>
      <c r="N56" s="21">
        <f>IFERROR(INDEX(Produtos!$B$2:$B$71,MATCH(C56,Produtos!$A$2:$A$71,0)),"")</f>
        <v/>
      </c>
      <c r="O56" s="21">
        <f>IFERROR(INDEX(Produtos!$C$2:$C$71,MATCH(C56,Produtos!$A$2:$A$71,0)),"")</f>
        <v/>
      </c>
      <c r="P56" s="21">
        <f>IFERROR(INDEX(Produtos!$D$2:$D$71,MATCH(C56,Produtos!$A$2:$A$71,0)),0)</f>
        <v/>
      </c>
      <c r="Q56" s="21">
        <f>IFERROR(INDEX(Produtos!$E$2:$E$71,MATCH(C56,Produtos!$A$2:$A$71,0)),0)</f>
        <v/>
      </c>
      <c r="R56" s="23">
        <f>D56*Q56</f>
        <v/>
      </c>
      <c r="S56" s="23">
        <f>R56*E56</f>
        <v/>
      </c>
      <c r="T56" s="23">
        <f>(R56-S56)*M56</f>
        <v/>
      </c>
      <c r="U56" s="23">
        <f>R56-S56-T56</f>
        <v/>
      </c>
      <c r="V56" s="23">
        <f>D56*P56</f>
        <v/>
      </c>
      <c r="W56" s="23">
        <f>U56-V56</f>
        <v/>
      </c>
      <c r="X56" s="24">
        <f>IFERROR(W56/U56,0)</f>
        <v/>
      </c>
    </row>
    <row r="57">
      <c r="A57" s="25">
        <f>ItensPedido!A57</f>
        <v/>
      </c>
      <c r="B57" s="25">
        <f>ItensPedido!B57</f>
        <v/>
      </c>
      <c r="C57" s="25">
        <f>ItensPedido!C57</f>
        <v/>
      </c>
      <c r="D57" s="25">
        <f>ItensPedido!D57</f>
        <v/>
      </c>
      <c r="E57" s="26">
        <f>ItensPedido!E57</f>
        <v/>
      </c>
      <c r="F57" s="25">
        <f>IFERROR(INDEX(Pedidos!$B$2:$B$1801,MATCH(B57,Pedidos!$A$2:$A$1801,0)),0)</f>
        <v/>
      </c>
      <c r="G57" s="25">
        <f>IF(F57=0,"",YEAR(F57))</f>
        <v/>
      </c>
      <c r="H57" s="25">
        <f>IF(F57=0,"",MONTH(F57))</f>
        <v/>
      </c>
      <c r="I57" s="25">
        <f>IFERROR(INDEX(Pedidos!$E$2:$E$1801,MATCH(B57,Pedidos!$A$2:$A$1801,0)),"")</f>
        <v/>
      </c>
      <c r="J57" s="25">
        <f>IFERROR(INDEX(Pedidos!$C$2:$C$1801,MATCH(B57,Pedidos!$A$2:$A$1801,0)),"")</f>
        <v/>
      </c>
      <c r="K57" s="25">
        <f>IFERROR(INDEX(Pedidos!$D$2:$D$1801,MATCH(B57,Pedidos!$A$2:$A$1801,0)),"")</f>
        <v/>
      </c>
      <c r="L57" s="25">
        <f>IFERROR(INDEX(Pedidos!$F$2:$F$1801,MATCH(B57,Pedidos!$A$2:$A$1801,0)),"")</f>
        <v/>
      </c>
      <c r="M57" s="26">
        <f>IFERROR(INDEX(Pedidos!$G$2:$G$1801,MATCH(B57,Pedidos!$A$2:$A$1801,0)),0)</f>
        <v/>
      </c>
      <c r="N57" s="25">
        <f>IFERROR(INDEX(Produtos!$B$2:$B$71,MATCH(C57,Produtos!$A$2:$A$71,0)),"")</f>
        <v/>
      </c>
      <c r="O57" s="25">
        <f>IFERROR(INDEX(Produtos!$C$2:$C$71,MATCH(C57,Produtos!$A$2:$A$71,0)),"")</f>
        <v/>
      </c>
      <c r="P57" s="25">
        <f>IFERROR(INDEX(Produtos!$D$2:$D$71,MATCH(C57,Produtos!$A$2:$A$71,0)),0)</f>
        <v/>
      </c>
      <c r="Q57" s="25">
        <f>IFERROR(INDEX(Produtos!$E$2:$E$71,MATCH(C57,Produtos!$A$2:$A$71,0)),0)</f>
        <v/>
      </c>
      <c r="R57" s="27">
        <f>D57*Q57</f>
        <v/>
      </c>
      <c r="S57" s="27">
        <f>R57*E57</f>
        <v/>
      </c>
      <c r="T57" s="27">
        <f>(R57-S57)*M57</f>
        <v/>
      </c>
      <c r="U57" s="27">
        <f>R57-S57-T57</f>
        <v/>
      </c>
      <c r="V57" s="27">
        <f>D57*P57</f>
        <v/>
      </c>
      <c r="W57" s="27">
        <f>U57-V57</f>
        <v/>
      </c>
      <c r="X57" s="28">
        <f>IFERROR(W57/U57,0)</f>
        <v/>
      </c>
    </row>
    <row r="58">
      <c r="A58" s="21">
        <f>ItensPedido!A58</f>
        <v/>
      </c>
      <c r="B58" s="21">
        <f>ItensPedido!B58</f>
        <v/>
      </c>
      <c r="C58" s="21">
        <f>ItensPedido!C58</f>
        <v/>
      </c>
      <c r="D58" s="21">
        <f>ItensPedido!D58</f>
        <v/>
      </c>
      <c r="E58" s="22">
        <f>ItensPedido!E58</f>
        <v/>
      </c>
      <c r="F58" s="21">
        <f>IFERROR(INDEX(Pedidos!$B$2:$B$1801,MATCH(B58,Pedidos!$A$2:$A$1801,0)),0)</f>
        <v/>
      </c>
      <c r="G58" s="21">
        <f>IF(F58=0,"",YEAR(F58))</f>
        <v/>
      </c>
      <c r="H58" s="21">
        <f>IF(F58=0,"",MONTH(F58))</f>
        <v/>
      </c>
      <c r="I58" s="21">
        <f>IFERROR(INDEX(Pedidos!$E$2:$E$1801,MATCH(B58,Pedidos!$A$2:$A$1801,0)),"")</f>
        <v/>
      </c>
      <c r="J58" s="21">
        <f>IFERROR(INDEX(Pedidos!$C$2:$C$1801,MATCH(B58,Pedidos!$A$2:$A$1801,0)),"")</f>
        <v/>
      </c>
      <c r="K58" s="21">
        <f>IFERROR(INDEX(Pedidos!$D$2:$D$1801,MATCH(B58,Pedidos!$A$2:$A$1801,0)),"")</f>
        <v/>
      </c>
      <c r="L58" s="21">
        <f>IFERROR(INDEX(Pedidos!$F$2:$F$1801,MATCH(B58,Pedidos!$A$2:$A$1801,0)),"")</f>
        <v/>
      </c>
      <c r="M58" s="22">
        <f>IFERROR(INDEX(Pedidos!$G$2:$G$1801,MATCH(B58,Pedidos!$A$2:$A$1801,0)),0)</f>
        <v/>
      </c>
      <c r="N58" s="21">
        <f>IFERROR(INDEX(Produtos!$B$2:$B$71,MATCH(C58,Produtos!$A$2:$A$71,0)),"")</f>
        <v/>
      </c>
      <c r="O58" s="21">
        <f>IFERROR(INDEX(Produtos!$C$2:$C$71,MATCH(C58,Produtos!$A$2:$A$71,0)),"")</f>
        <v/>
      </c>
      <c r="P58" s="21">
        <f>IFERROR(INDEX(Produtos!$D$2:$D$71,MATCH(C58,Produtos!$A$2:$A$71,0)),0)</f>
        <v/>
      </c>
      <c r="Q58" s="21">
        <f>IFERROR(INDEX(Produtos!$E$2:$E$71,MATCH(C58,Produtos!$A$2:$A$71,0)),0)</f>
        <v/>
      </c>
      <c r="R58" s="23">
        <f>D58*Q58</f>
        <v/>
      </c>
      <c r="S58" s="23">
        <f>R58*E58</f>
        <v/>
      </c>
      <c r="T58" s="23">
        <f>(R58-S58)*M58</f>
        <v/>
      </c>
      <c r="U58" s="23">
        <f>R58-S58-T58</f>
        <v/>
      </c>
      <c r="V58" s="23">
        <f>D58*P58</f>
        <v/>
      </c>
      <c r="W58" s="23">
        <f>U58-V58</f>
        <v/>
      </c>
      <c r="X58" s="24">
        <f>IFERROR(W58/U58,0)</f>
        <v/>
      </c>
    </row>
    <row r="59">
      <c r="A59" s="25">
        <f>ItensPedido!A59</f>
        <v/>
      </c>
      <c r="B59" s="25">
        <f>ItensPedido!B59</f>
        <v/>
      </c>
      <c r="C59" s="25">
        <f>ItensPedido!C59</f>
        <v/>
      </c>
      <c r="D59" s="25">
        <f>ItensPedido!D59</f>
        <v/>
      </c>
      <c r="E59" s="26">
        <f>ItensPedido!E59</f>
        <v/>
      </c>
      <c r="F59" s="25">
        <f>IFERROR(INDEX(Pedidos!$B$2:$B$1801,MATCH(B59,Pedidos!$A$2:$A$1801,0)),0)</f>
        <v/>
      </c>
      <c r="G59" s="25">
        <f>IF(F59=0,"",YEAR(F59))</f>
        <v/>
      </c>
      <c r="H59" s="25">
        <f>IF(F59=0,"",MONTH(F59))</f>
        <v/>
      </c>
      <c r="I59" s="25">
        <f>IFERROR(INDEX(Pedidos!$E$2:$E$1801,MATCH(B59,Pedidos!$A$2:$A$1801,0)),"")</f>
        <v/>
      </c>
      <c r="J59" s="25">
        <f>IFERROR(INDEX(Pedidos!$C$2:$C$1801,MATCH(B59,Pedidos!$A$2:$A$1801,0)),"")</f>
        <v/>
      </c>
      <c r="K59" s="25">
        <f>IFERROR(INDEX(Pedidos!$D$2:$D$1801,MATCH(B59,Pedidos!$A$2:$A$1801,0)),"")</f>
        <v/>
      </c>
      <c r="L59" s="25">
        <f>IFERROR(INDEX(Pedidos!$F$2:$F$1801,MATCH(B59,Pedidos!$A$2:$A$1801,0)),"")</f>
        <v/>
      </c>
      <c r="M59" s="26">
        <f>IFERROR(INDEX(Pedidos!$G$2:$G$1801,MATCH(B59,Pedidos!$A$2:$A$1801,0)),0)</f>
        <v/>
      </c>
      <c r="N59" s="25">
        <f>IFERROR(INDEX(Produtos!$B$2:$B$71,MATCH(C59,Produtos!$A$2:$A$71,0)),"")</f>
        <v/>
      </c>
      <c r="O59" s="25">
        <f>IFERROR(INDEX(Produtos!$C$2:$C$71,MATCH(C59,Produtos!$A$2:$A$71,0)),"")</f>
        <v/>
      </c>
      <c r="P59" s="25">
        <f>IFERROR(INDEX(Produtos!$D$2:$D$71,MATCH(C59,Produtos!$A$2:$A$71,0)),0)</f>
        <v/>
      </c>
      <c r="Q59" s="25">
        <f>IFERROR(INDEX(Produtos!$E$2:$E$71,MATCH(C59,Produtos!$A$2:$A$71,0)),0)</f>
        <v/>
      </c>
      <c r="R59" s="27">
        <f>D59*Q59</f>
        <v/>
      </c>
      <c r="S59" s="27">
        <f>R59*E59</f>
        <v/>
      </c>
      <c r="T59" s="27">
        <f>(R59-S59)*M59</f>
        <v/>
      </c>
      <c r="U59" s="27">
        <f>R59-S59-T59</f>
        <v/>
      </c>
      <c r="V59" s="27">
        <f>D59*P59</f>
        <v/>
      </c>
      <c r="W59" s="27">
        <f>U59-V59</f>
        <v/>
      </c>
      <c r="X59" s="28">
        <f>IFERROR(W59/U59,0)</f>
        <v/>
      </c>
    </row>
    <row r="60">
      <c r="A60" s="21">
        <f>ItensPedido!A60</f>
        <v/>
      </c>
      <c r="B60" s="21">
        <f>ItensPedido!B60</f>
        <v/>
      </c>
      <c r="C60" s="21">
        <f>ItensPedido!C60</f>
        <v/>
      </c>
      <c r="D60" s="21">
        <f>ItensPedido!D60</f>
        <v/>
      </c>
      <c r="E60" s="22">
        <f>ItensPedido!E60</f>
        <v/>
      </c>
      <c r="F60" s="21">
        <f>IFERROR(INDEX(Pedidos!$B$2:$B$1801,MATCH(B60,Pedidos!$A$2:$A$1801,0)),0)</f>
        <v/>
      </c>
      <c r="G60" s="21">
        <f>IF(F60=0,"",YEAR(F60))</f>
        <v/>
      </c>
      <c r="H60" s="21">
        <f>IF(F60=0,"",MONTH(F60))</f>
        <v/>
      </c>
      <c r="I60" s="21">
        <f>IFERROR(INDEX(Pedidos!$E$2:$E$1801,MATCH(B60,Pedidos!$A$2:$A$1801,0)),"")</f>
        <v/>
      </c>
      <c r="J60" s="21">
        <f>IFERROR(INDEX(Pedidos!$C$2:$C$1801,MATCH(B60,Pedidos!$A$2:$A$1801,0)),"")</f>
        <v/>
      </c>
      <c r="K60" s="21">
        <f>IFERROR(INDEX(Pedidos!$D$2:$D$1801,MATCH(B60,Pedidos!$A$2:$A$1801,0)),"")</f>
        <v/>
      </c>
      <c r="L60" s="21">
        <f>IFERROR(INDEX(Pedidos!$F$2:$F$1801,MATCH(B60,Pedidos!$A$2:$A$1801,0)),"")</f>
        <v/>
      </c>
      <c r="M60" s="22">
        <f>IFERROR(INDEX(Pedidos!$G$2:$G$1801,MATCH(B60,Pedidos!$A$2:$A$1801,0)),0)</f>
        <v/>
      </c>
      <c r="N60" s="21">
        <f>IFERROR(INDEX(Produtos!$B$2:$B$71,MATCH(C60,Produtos!$A$2:$A$71,0)),"")</f>
        <v/>
      </c>
      <c r="O60" s="21">
        <f>IFERROR(INDEX(Produtos!$C$2:$C$71,MATCH(C60,Produtos!$A$2:$A$71,0)),"")</f>
        <v/>
      </c>
      <c r="P60" s="21">
        <f>IFERROR(INDEX(Produtos!$D$2:$D$71,MATCH(C60,Produtos!$A$2:$A$71,0)),0)</f>
        <v/>
      </c>
      <c r="Q60" s="21">
        <f>IFERROR(INDEX(Produtos!$E$2:$E$71,MATCH(C60,Produtos!$A$2:$A$71,0)),0)</f>
        <v/>
      </c>
      <c r="R60" s="23">
        <f>D60*Q60</f>
        <v/>
      </c>
      <c r="S60" s="23">
        <f>R60*E60</f>
        <v/>
      </c>
      <c r="T60" s="23">
        <f>(R60-S60)*M60</f>
        <v/>
      </c>
      <c r="U60" s="23">
        <f>R60-S60-T60</f>
        <v/>
      </c>
      <c r="V60" s="23">
        <f>D60*P60</f>
        <v/>
      </c>
      <c r="W60" s="23">
        <f>U60-V60</f>
        <v/>
      </c>
      <c r="X60" s="24">
        <f>IFERROR(W60/U60,0)</f>
        <v/>
      </c>
    </row>
    <row r="61">
      <c r="A61" s="25">
        <f>ItensPedido!A61</f>
        <v/>
      </c>
      <c r="B61" s="25">
        <f>ItensPedido!B61</f>
        <v/>
      </c>
      <c r="C61" s="25">
        <f>ItensPedido!C61</f>
        <v/>
      </c>
      <c r="D61" s="25">
        <f>ItensPedido!D61</f>
        <v/>
      </c>
      <c r="E61" s="26">
        <f>ItensPedido!E61</f>
        <v/>
      </c>
      <c r="F61" s="25">
        <f>IFERROR(INDEX(Pedidos!$B$2:$B$1801,MATCH(B61,Pedidos!$A$2:$A$1801,0)),0)</f>
        <v/>
      </c>
      <c r="G61" s="25">
        <f>IF(F61=0,"",YEAR(F61))</f>
        <v/>
      </c>
      <c r="H61" s="25">
        <f>IF(F61=0,"",MONTH(F61))</f>
        <v/>
      </c>
      <c r="I61" s="25">
        <f>IFERROR(INDEX(Pedidos!$E$2:$E$1801,MATCH(B61,Pedidos!$A$2:$A$1801,0)),"")</f>
        <v/>
      </c>
      <c r="J61" s="25">
        <f>IFERROR(INDEX(Pedidos!$C$2:$C$1801,MATCH(B61,Pedidos!$A$2:$A$1801,0)),"")</f>
        <v/>
      </c>
      <c r="K61" s="25">
        <f>IFERROR(INDEX(Pedidos!$D$2:$D$1801,MATCH(B61,Pedidos!$A$2:$A$1801,0)),"")</f>
        <v/>
      </c>
      <c r="L61" s="25">
        <f>IFERROR(INDEX(Pedidos!$F$2:$F$1801,MATCH(B61,Pedidos!$A$2:$A$1801,0)),"")</f>
        <v/>
      </c>
      <c r="M61" s="26">
        <f>IFERROR(INDEX(Pedidos!$G$2:$G$1801,MATCH(B61,Pedidos!$A$2:$A$1801,0)),0)</f>
        <v/>
      </c>
      <c r="N61" s="25">
        <f>IFERROR(INDEX(Produtos!$B$2:$B$71,MATCH(C61,Produtos!$A$2:$A$71,0)),"")</f>
        <v/>
      </c>
      <c r="O61" s="25">
        <f>IFERROR(INDEX(Produtos!$C$2:$C$71,MATCH(C61,Produtos!$A$2:$A$71,0)),"")</f>
        <v/>
      </c>
      <c r="P61" s="25">
        <f>IFERROR(INDEX(Produtos!$D$2:$D$71,MATCH(C61,Produtos!$A$2:$A$71,0)),0)</f>
        <v/>
      </c>
      <c r="Q61" s="25">
        <f>IFERROR(INDEX(Produtos!$E$2:$E$71,MATCH(C61,Produtos!$A$2:$A$71,0)),0)</f>
        <v/>
      </c>
      <c r="R61" s="27">
        <f>D61*Q61</f>
        <v/>
      </c>
      <c r="S61" s="27">
        <f>R61*E61</f>
        <v/>
      </c>
      <c r="T61" s="27">
        <f>(R61-S61)*M61</f>
        <v/>
      </c>
      <c r="U61" s="27">
        <f>R61-S61-T61</f>
        <v/>
      </c>
      <c r="V61" s="27">
        <f>D61*P61</f>
        <v/>
      </c>
      <c r="W61" s="27">
        <f>U61-V61</f>
        <v/>
      </c>
      <c r="X61" s="28">
        <f>IFERROR(W61/U61,0)</f>
        <v/>
      </c>
    </row>
    <row r="62">
      <c r="A62" s="21">
        <f>ItensPedido!A62</f>
        <v/>
      </c>
      <c r="B62" s="21">
        <f>ItensPedido!B62</f>
        <v/>
      </c>
      <c r="C62" s="21">
        <f>ItensPedido!C62</f>
        <v/>
      </c>
      <c r="D62" s="21">
        <f>ItensPedido!D62</f>
        <v/>
      </c>
      <c r="E62" s="22">
        <f>ItensPedido!E62</f>
        <v/>
      </c>
      <c r="F62" s="21">
        <f>IFERROR(INDEX(Pedidos!$B$2:$B$1801,MATCH(B62,Pedidos!$A$2:$A$1801,0)),0)</f>
        <v/>
      </c>
      <c r="G62" s="21">
        <f>IF(F62=0,"",YEAR(F62))</f>
        <v/>
      </c>
      <c r="H62" s="21">
        <f>IF(F62=0,"",MONTH(F62))</f>
        <v/>
      </c>
      <c r="I62" s="21">
        <f>IFERROR(INDEX(Pedidos!$E$2:$E$1801,MATCH(B62,Pedidos!$A$2:$A$1801,0)),"")</f>
        <v/>
      </c>
      <c r="J62" s="21">
        <f>IFERROR(INDEX(Pedidos!$C$2:$C$1801,MATCH(B62,Pedidos!$A$2:$A$1801,0)),"")</f>
        <v/>
      </c>
      <c r="K62" s="21">
        <f>IFERROR(INDEX(Pedidos!$D$2:$D$1801,MATCH(B62,Pedidos!$A$2:$A$1801,0)),"")</f>
        <v/>
      </c>
      <c r="L62" s="21">
        <f>IFERROR(INDEX(Pedidos!$F$2:$F$1801,MATCH(B62,Pedidos!$A$2:$A$1801,0)),"")</f>
        <v/>
      </c>
      <c r="M62" s="22">
        <f>IFERROR(INDEX(Pedidos!$G$2:$G$1801,MATCH(B62,Pedidos!$A$2:$A$1801,0)),0)</f>
        <v/>
      </c>
      <c r="N62" s="21">
        <f>IFERROR(INDEX(Produtos!$B$2:$B$71,MATCH(C62,Produtos!$A$2:$A$71,0)),"")</f>
        <v/>
      </c>
      <c r="O62" s="21">
        <f>IFERROR(INDEX(Produtos!$C$2:$C$71,MATCH(C62,Produtos!$A$2:$A$71,0)),"")</f>
        <v/>
      </c>
      <c r="P62" s="21">
        <f>IFERROR(INDEX(Produtos!$D$2:$D$71,MATCH(C62,Produtos!$A$2:$A$71,0)),0)</f>
        <v/>
      </c>
      <c r="Q62" s="21">
        <f>IFERROR(INDEX(Produtos!$E$2:$E$71,MATCH(C62,Produtos!$A$2:$A$71,0)),0)</f>
        <v/>
      </c>
      <c r="R62" s="23">
        <f>D62*Q62</f>
        <v/>
      </c>
      <c r="S62" s="23">
        <f>R62*E62</f>
        <v/>
      </c>
      <c r="T62" s="23">
        <f>(R62-S62)*M62</f>
        <v/>
      </c>
      <c r="U62" s="23">
        <f>R62-S62-T62</f>
        <v/>
      </c>
      <c r="V62" s="23">
        <f>D62*P62</f>
        <v/>
      </c>
      <c r="W62" s="23">
        <f>U62-V62</f>
        <v/>
      </c>
      <c r="X62" s="24">
        <f>IFERROR(W62/U62,0)</f>
        <v/>
      </c>
    </row>
    <row r="63">
      <c r="A63" s="25">
        <f>ItensPedido!A63</f>
        <v/>
      </c>
      <c r="B63" s="25">
        <f>ItensPedido!B63</f>
        <v/>
      </c>
      <c r="C63" s="25">
        <f>ItensPedido!C63</f>
        <v/>
      </c>
      <c r="D63" s="25">
        <f>ItensPedido!D63</f>
        <v/>
      </c>
      <c r="E63" s="26">
        <f>ItensPedido!E63</f>
        <v/>
      </c>
      <c r="F63" s="25">
        <f>IFERROR(INDEX(Pedidos!$B$2:$B$1801,MATCH(B63,Pedidos!$A$2:$A$1801,0)),0)</f>
        <v/>
      </c>
      <c r="G63" s="25">
        <f>IF(F63=0,"",YEAR(F63))</f>
        <v/>
      </c>
      <c r="H63" s="25">
        <f>IF(F63=0,"",MONTH(F63))</f>
        <v/>
      </c>
      <c r="I63" s="25">
        <f>IFERROR(INDEX(Pedidos!$E$2:$E$1801,MATCH(B63,Pedidos!$A$2:$A$1801,0)),"")</f>
        <v/>
      </c>
      <c r="J63" s="25">
        <f>IFERROR(INDEX(Pedidos!$C$2:$C$1801,MATCH(B63,Pedidos!$A$2:$A$1801,0)),"")</f>
        <v/>
      </c>
      <c r="K63" s="25">
        <f>IFERROR(INDEX(Pedidos!$D$2:$D$1801,MATCH(B63,Pedidos!$A$2:$A$1801,0)),"")</f>
        <v/>
      </c>
      <c r="L63" s="25">
        <f>IFERROR(INDEX(Pedidos!$F$2:$F$1801,MATCH(B63,Pedidos!$A$2:$A$1801,0)),"")</f>
        <v/>
      </c>
      <c r="M63" s="26">
        <f>IFERROR(INDEX(Pedidos!$G$2:$G$1801,MATCH(B63,Pedidos!$A$2:$A$1801,0)),0)</f>
        <v/>
      </c>
      <c r="N63" s="25">
        <f>IFERROR(INDEX(Produtos!$B$2:$B$71,MATCH(C63,Produtos!$A$2:$A$71,0)),"")</f>
        <v/>
      </c>
      <c r="O63" s="25">
        <f>IFERROR(INDEX(Produtos!$C$2:$C$71,MATCH(C63,Produtos!$A$2:$A$71,0)),"")</f>
        <v/>
      </c>
      <c r="P63" s="25">
        <f>IFERROR(INDEX(Produtos!$D$2:$D$71,MATCH(C63,Produtos!$A$2:$A$71,0)),0)</f>
        <v/>
      </c>
      <c r="Q63" s="25">
        <f>IFERROR(INDEX(Produtos!$E$2:$E$71,MATCH(C63,Produtos!$A$2:$A$71,0)),0)</f>
        <v/>
      </c>
      <c r="R63" s="27">
        <f>D63*Q63</f>
        <v/>
      </c>
      <c r="S63" s="27">
        <f>R63*E63</f>
        <v/>
      </c>
      <c r="T63" s="27">
        <f>(R63-S63)*M63</f>
        <v/>
      </c>
      <c r="U63" s="27">
        <f>R63-S63-T63</f>
        <v/>
      </c>
      <c r="V63" s="27">
        <f>D63*P63</f>
        <v/>
      </c>
      <c r="W63" s="27">
        <f>U63-V63</f>
        <v/>
      </c>
      <c r="X63" s="28">
        <f>IFERROR(W63/U63,0)</f>
        <v/>
      </c>
    </row>
    <row r="64">
      <c r="A64" s="21">
        <f>ItensPedido!A64</f>
        <v/>
      </c>
      <c r="B64" s="21">
        <f>ItensPedido!B64</f>
        <v/>
      </c>
      <c r="C64" s="21">
        <f>ItensPedido!C64</f>
        <v/>
      </c>
      <c r="D64" s="21">
        <f>ItensPedido!D64</f>
        <v/>
      </c>
      <c r="E64" s="22">
        <f>ItensPedido!E64</f>
        <v/>
      </c>
      <c r="F64" s="21">
        <f>IFERROR(INDEX(Pedidos!$B$2:$B$1801,MATCH(B64,Pedidos!$A$2:$A$1801,0)),0)</f>
        <v/>
      </c>
      <c r="G64" s="21">
        <f>IF(F64=0,"",YEAR(F64))</f>
        <v/>
      </c>
      <c r="H64" s="21">
        <f>IF(F64=0,"",MONTH(F64))</f>
        <v/>
      </c>
      <c r="I64" s="21">
        <f>IFERROR(INDEX(Pedidos!$E$2:$E$1801,MATCH(B64,Pedidos!$A$2:$A$1801,0)),"")</f>
        <v/>
      </c>
      <c r="J64" s="21">
        <f>IFERROR(INDEX(Pedidos!$C$2:$C$1801,MATCH(B64,Pedidos!$A$2:$A$1801,0)),"")</f>
        <v/>
      </c>
      <c r="K64" s="21">
        <f>IFERROR(INDEX(Pedidos!$D$2:$D$1801,MATCH(B64,Pedidos!$A$2:$A$1801,0)),"")</f>
        <v/>
      </c>
      <c r="L64" s="21">
        <f>IFERROR(INDEX(Pedidos!$F$2:$F$1801,MATCH(B64,Pedidos!$A$2:$A$1801,0)),"")</f>
        <v/>
      </c>
      <c r="M64" s="22">
        <f>IFERROR(INDEX(Pedidos!$G$2:$G$1801,MATCH(B64,Pedidos!$A$2:$A$1801,0)),0)</f>
        <v/>
      </c>
      <c r="N64" s="21">
        <f>IFERROR(INDEX(Produtos!$B$2:$B$71,MATCH(C64,Produtos!$A$2:$A$71,0)),"")</f>
        <v/>
      </c>
      <c r="O64" s="21">
        <f>IFERROR(INDEX(Produtos!$C$2:$C$71,MATCH(C64,Produtos!$A$2:$A$71,0)),"")</f>
        <v/>
      </c>
      <c r="P64" s="21">
        <f>IFERROR(INDEX(Produtos!$D$2:$D$71,MATCH(C64,Produtos!$A$2:$A$71,0)),0)</f>
        <v/>
      </c>
      <c r="Q64" s="21">
        <f>IFERROR(INDEX(Produtos!$E$2:$E$71,MATCH(C64,Produtos!$A$2:$A$71,0)),0)</f>
        <v/>
      </c>
      <c r="R64" s="23">
        <f>D64*Q64</f>
        <v/>
      </c>
      <c r="S64" s="23">
        <f>R64*E64</f>
        <v/>
      </c>
      <c r="T64" s="23">
        <f>(R64-S64)*M64</f>
        <v/>
      </c>
      <c r="U64" s="23">
        <f>R64-S64-T64</f>
        <v/>
      </c>
      <c r="V64" s="23">
        <f>D64*P64</f>
        <v/>
      </c>
      <c r="W64" s="23">
        <f>U64-V64</f>
        <v/>
      </c>
      <c r="X64" s="24">
        <f>IFERROR(W64/U64,0)</f>
        <v/>
      </c>
    </row>
    <row r="65">
      <c r="A65" s="25">
        <f>ItensPedido!A65</f>
        <v/>
      </c>
      <c r="B65" s="25">
        <f>ItensPedido!B65</f>
        <v/>
      </c>
      <c r="C65" s="25">
        <f>ItensPedido!C65</f>
        <v/>
      </c>
      <c r="D65" s="25">
        <f>ItensPedido!D65</f>
        <v/>
      </c>
      <c r="E65" s="26">
        <f>ItensPedido!E65</f>
        <v/>
      </c>
      <c r="F65" s="25">
        <f>IFERROR(INDEX(Pedidos!$B$2:$B$1801,MATCH(B65,Pedidos!$A$2:$A$1801,0)),0)</f>
        <v/>
      </c>
      <c r="G65" s="25">
        <f>IF(F65=0,"",YEAR(F65))</f>
        <v/>
      </c>
      <c r="H65" s="25">
        <f>IF(F65=0,"",MONTH(F65))</f>
        <v/>
      </c>
      <c r="I65" s="25">
        <f>IFERROR(INDEX(Pedidos!$E$2:$E$1801,MATCH(B65,Pedidos!$A$2:$A$1801,0)),"")</f>
        <v/>
      </c>
      <c r="J65" s="25">
        <f>IFERROR(INDEX(Pedidos!$C$2:$C$1801,MATCH(B65,Pedidos!$A$2:$A$1801,0)),"")</f>
        <v/>
      </c>
      <c r="K65" s="25">
        <f>IFERROR(INDEX(Pedidos!$D$2:$D$1801,MATCH(B65,Pedidos!$A$2:$A$1801,0)),"")</f>
        <v/>
      </c>
      <c r="L65" s="25">
        <f>IFERROR(INDEX(Pedidos!$F$2:$F$1801,MATCH(B65,Pedidos!$A$2:$A$1801,0)),"")</f>
        <v/>
      </c>
      <c r="M65" s="26">
        <f>IFERROR(INDEX(Pedidos!$G$2:$G$1801,MATCH(B65,Pedidos!$A$2:$A$1801,0)),0)</f>
        <v/>
      </c>
      <c r="N65" s="25">
        <f>IFERROR(INDEX(Produtos!$B$2:$B$71,MATCH(C65,Produtos!$A$2:$A$71,0)),"")</f>
        <v/>
      </c>
      <c r="O65" s="25">
        <f>IFERROR(INDEX(Produtos!$C$2:$C$71,MATCH(C65,Produtos!$A$2:$A$71,0)),"")</f>
        <v/>
      </c>
      <c r="P65" s="25">
        <f>IFERROR(INDEX(Produtos!$D$2:$D$71,MATCH(C65,Produtos!$A$2:$A$71,0)),0)</f>
        <v/>
      </c>
      <c r="Q65" s="25">
        <f>IFERROR(INDEX(Produtos!$E$2:$E$71,MATCH(C65,Produtos!$A$2:$A$71,0)),0)</f>
        <v/>
      </c>
      <c r="R65" s="27">
        <f>D65*Q65</f>
        <v/>
      </c>
      <c r="S65" s="27">
        <f>R65*E65</f>
        <v/>
      </c>
      <c r="T65" s="27">
        <f>(R65-S65)*M65</f>
        <v/>
      </c>
      <c r="U65" s="27">
        <f>R65-S65-T65</f>
        <v/>
      </c>
      <c r="V65" s="27">
        <f>D65*P65</f>
        <v/>
      </c>
      <c r="W65" s="27">
        <f>U65-V65</f>
        <v/>
      </c>
      <c r="X65" s="28">
        <f>IFERROR(W65/U65,0)</f>
        <v/>
      </c>
    </row>
    <row r="66">
      <c r="A66" s="21">
        <f>ItensPedido!A66</f>
        <v/>
      </c>
      <c r="B66" s="21">
        <f>ItensPedido!B66</f>
        <v/>
      </c>
      <c r="C66" s="21">
        <f>ItensPedido!C66</f>
        <v/>
      </c>
      <c r="D66" s="21">
        <f>ItensPedido!D66</f>
        <v/>
      </c>
      <c r="E66" s="22">
        <f>ItensPedido!E66</f>
        <v/>
      </c>
      <c r="F66" s="21">
        <f>IFERROR(INDEX(Pedidos!$B$2:$B$1801,MATCH(B66,Pedidos!$A$2:$A$1801,0)),0)</f>
        <v/>
      </c>
      <c r="G66" s="21">
        <f>IF(F66=0,"",YEAR(F66))</f>
        <v/>
      </c>
      <c r="H66" s="21">
        <f>IF(F66=0,"",MONTH(F66))</f>
        <v/>
      </c>
      <c r="I66" s="21">
        <f>IFERROR(INDEX(Pedidos!$E$2:$E$1801,MATCH(B66,Pedidos!$A$2:$A$1801,0)),"")</f>
        <v/>
      </c>
      <c r="J66" s="21">
        <f>IFERROR(INDEX(Pedidos!$C$2:$C$1801,MATCH(B66,Pedidos!$A$2:$A$1801,0)),"")</f>
        <v/>
      </c>
      <c r="K66" s="21">
        <f>IFERROR(INDEX(Pedidos!$D$2:$D$1801,MATCH(B66,Pedidos!$A$2:$A$1801,0)),"")</f>
        <v/>
      </c>
      <c r="L66" s="21">
        <f>IFERROR(INDEX(Pedidos!$F$2:$F$1801,MATCH(B66,Pedidos!$A$2:$A$1801,0)),"")</f>
        <v/>
      </c>
      <c r="M66" s="22">
        <f>IFERROR(INDEX(Pedidos!$G$2:$G$1801,MATCH(B66,Pedidos!$A$2:$A$1801,0)),0)</f>
        <v/>
      </c>
      <c r="N66" s="21">
        <f>IFERROR(INDEX(Produtos!$B$2:$B$71,MATCH(C66,Produtos!$A$2:$A$71,0)),"")</f>
        <v/>
      </c>
      <c r="O66" s="21">
        <f>IFERROR(INDEX(Produtos!$C$2:$C$71,MATCH(C66,Produtos!$A$2:$A$71,0)),"")</f>
        <v/>
      </c>
      <c r="P66" s="21">
        <f>IFERROR(INDEX(Produtos!$D$2:$D$71,MATCH(C66,Produtos!$A$2:$A$71,0)),0)</f>
        <v/>
      </c>
      <c r="Q66" s="21">
        <f>IFERROR(INDEX(Produtos!$E$2:$E$71,MATCH(C66,Produtos!$A$2:$A$71,0)),0)</f>
        <v/>
      </c>
      <c r="R66" s="23">
        <f>D66*Q66</f>
        <v/>
      </c>
      <c r="S66" s="23">
        <f>R66*E66</f>
        <v/>
      </c>
      <c r="T66" s="23">
        <f>(R66-S66)*M66</f>
        <v/>
      </c>
      <c r="U66" s="23">
        <f>R66-S66-T66</f>
        <v/>
      </c>
      <c r="V66" s="23">
        <f>D66*P66</f>
        <v/>
      </c>
      <c r="W66" s="23">
        <f>U66-V66</f>
        <v/>
      </c>
      <c r="X66" s="24">
        <f>IFERROR(W66/U66,0)</f>
        <v/>
      </c>
    </row>
    <row r="67">
      <c r="A67" s="25">
        <f>ItensPedido!A67</f>
        <v/>
      </c>
      <c r="B67" s="25">
        <f>ItensPedido!B67</f>
        <v/>
      </c>
      <c r="C67" s="25">
        <f>ItensPedido!C67</f>
        <v/>
      </c>
      <c r="D67" s="25">
        <f>ItensPedido!D67</f>
        <v/>
      </c>
      <c r="E67" s="26">
        <f>ItensPedido!E67</f>
        <v/>
      </c>
      <c r="F67" s="25">
        <f>IFERROR(INDEX(Pedidos!$B$2:$B$1801,MATCH(B67,Pedidos!$A$2:$A$1801,0)),0)</f>
        <v/>
      </c>
      <c r="G67" s="25">
        <f>IF(F67=0,"",YEAR(F67))</f>
        <v/>
      </c>
      <c r="H67" s="25">
        <f>IF(F67=0,"",MONTH(F67))</f>
        <v/>
      </c>
      <c r="I67" s="25">
        <f>IFERROR(INDEX(Pedidos!$E$2:$E$1801,MATCH(B67,Pedidos!$A$2:$A$1801,0)),"")</f>
        <v/>
      </c>
      <c r="J67" s="25">
        <f>IFERROR(INDEX(Pedidos!$C$2:$C$1801,MATCH(B67,Pedidos!$A$2:$A$1801,0)),"")</f>
        <v/>
      </c>
      <c r="K67" s="25">
        <f>IFERROR(INDEX(Pedidos!$D$2:$D$1801,MATCH(B67,Pedidos!$A$2:$A$1801,0)),"")</f>
        <v/>
      </c>
      <c r="L67" s="25">
        <f>IFERROR(INDEX(Pedidos!$F$2:$F$1801,MATCH(B67,Pedidos!$A$2:$A$1801,0)),"")</f>
        <v/>
      </c>
      <c r="M67" s="26">
        <f>IFERROR(INDEX(Pedidos!$G$2:$G$1801,MATCH(B67,Pedidos!$A$2:$A$1801,0)),0)</f>
        <v/>
      </c>
      <c r="N67" s="25">
        <f>IFERROR(INDEX(Produtos!$B$2:$B$71,MATCH(C67,Produtos!$A$2:$A$71,0)),"")</f>
        <v/>
      </c>
      <c r="O67" s="25">
        <f>IFERROR(INDEX(Produtos!$C$2:$C$71,MATCH(C67,Produtos!$A$2:$A$71,0)),"")</f>
        <v/>
      </c>
      <c r="P67" s="25">
        <f>IFERROR(INDEX(Produtos!$D$2:$D$71,MATCH(C67,Produtos!$A$2:$A$71,0)),0)</f>
        <v/>
      </c>
      <c r="Q67" s="25">
        <f>IFERROR(INDEX(Produtos!$E$2:$E$71,MATCH(C67,Produtos!$A$2:$A$71,0)),0)</f>
        <v/>
      </c>
      <c r="R67" s="27">
        <f>D67*Q67</f>
        <v/>
      </c>
      <c r="S67" s="27">
        <f>R67*E67</f>
        <v/>
      </c>
      <c r="T67" s="27">
        <f>(R67-S67)*M67</f>
        <v/>
      </c>
      <c r="U67" s="27">
        <f>R67-S67-T67</f>
        <v/>
      </c>
      <c r="V67" s="27">
        <f>D67*P67</f>
        <v/>
      </c>
      <c r="W67" s="27">
        <f>U67-V67</f>
        <v/>
      </c>
      <c r="X67" s="28">
        <f>IFERROR(W67/U67,0)</f>
        <v/>
      </c>
    </row>
    <row r="68">
      <c r="A68" s="21">
        <f>ItensPedido!A68</f>
        <v/>
      </c>
      <c r="B68" s="21">
        <f>ItensPedido!B68</f>
        <v/>
      </c>
      <c r="C68" s="21">
        <f>ItensPedido!C68</f>
        <v/>
      </c>
      <c r="D68" s="21">
        <f>ItensPedido!D68</f>
        <v/>
      </c>
      <c r="E68" s="22">
        <f>ItensPedido!E68</f>
        <v/>
      </c>
      <c r="F68" s="21">
        <f>IFERROR(INDEX(Pedidos!$B$2:$B$1801,MATCH(B68,Pedidos!$A$2:$A$1801,0)),0)</f>
        <v/>
      </c>
      <c r="G68" s="21">
        <f>IF(F68=0,"",YEAR(F68))</f>
        <v/>
      </c>
      <c r="H68" s="21">
        <f>IF(F68=0,"",MONTH(F68))</f>
        <v/>
      </c>
      <c r="I68" s="21">
        <f>IFERROR(INDEX(Pedidos!$E$2:$E$1801,MATCH(B68,Pedidos!$A$2:$A$1801,0)),"")</f>
        <v/>
      </c>
      <c r="J68" s="21">
        <f>IFERROR(INDEX(Pedidos!$C$2:$C$1801,MATCH(B68,Pedidos!$A$2:$A$1801,0)),"")</f>
        <v/>
      </c>
      <c r="K68" s="21">
        <f>IFERROR(INDEX(Pedidos!$D$2:$D$1801,MATCH(B68,Pedidos!$A$2:$A$1801,0)),"")</f>
        <v/>
      </c>
      <c r="L68" s="21">
        <f>IFERROR(INDEX(Pedidos!$F$2:$F$1801,MATCH(B68,Pedidos!$A$2:$A$1801,0)),"")</f>
        <v/>
      </c>
      <c r="M68" s="22">
        <f>IFERROR(INDEX(Pedidos!$G$2:$G$1801,MATCH(B68,Pedidos!$A$2:$A$1801,0)),0)</f>
        <v/>
      </c>
      <c r="N68" s="21">
        <f>IFERROR(INDEX(Produtos!$B$2:$B$71,MATCH(C68,Produtos!$A$2:$A$71,0)),"")</f>
        <v/>
      </c>
      <c r="O68" s="21">
        <f>IFERROR(INDEX(Produtos!$C$2:$C$71,MATCH(C68,Produtos!$A$2:$A$71,0)),"")</f>
        <v/>
      </c>
      <c r="P68" s="21">
        <f>IFERROR(INDEX(Produtos!$D$2:$D$71,MATCH(C68,Produtos!$A$2:$A$71,0)),0)</f>
        <v/>
      </c>
      <c r="Q68" s="21">
        <f>IFERROR(INDEX(Produtos!$E$2:$E$71,MATCH(C68,Produtos!$A$2:$A$71,0)),0)</f>
        <v/>
      </c>
      <c r="R68" s="23">
        <f>D68*Q68</f>
        <v/>
      </c>
      <c r="S68" s="23">
        <f>R68*E68</f>
        <v/>
      </c>
      <c r="T68" s="23">
        <f>(R68-S68)*M68</f>
        <v/>
      </c>
      <c r="U68" s="23">
        <f>R68-S68-T68</f>
        <v/>
      </c>
      <c r="V68" s="23">
        <f>D68*P68</f>
        <v/>
      </c>
      <c r="W68" s="23">
        <f>U68-V68</f>
        <v/>
      </c>
      <c r="X68" s="24">
        <f>IFERROR(W68/U68,0)</f>
        <v/>
      </c>
    </row>
    <row r="69">
      <c r="A69" s="25">
        <f>ItensPedido!A69</f>
        <v/>
      </c>
      <c r="B69" s="25">
        <f>ItensPedido!B69</f>
        <v/>
      </c>
      <c r="C69" s="25">
        <f>ItensPedido!C69</f>
        <v/>
      </c>
      <c r="D69" s="25">
        <f>ItensPedido!D69</f>
        <v/>
      </c>
      <c r="E69" s="26">
        <f>ItensPedido!E69</f>
        <v/>
      </c>
      <c r="F69" s="25">
        <f>IFERROR(INDEX(Pedidos!$B$2:$B$1801,MATCH(B69,Pedidos!$A$2:$A$1801,0)),0)</f>
        <v/>
      </c>
      <c r="G69" s="25">
        <f>IF(F69=0,"",YEAR(F69))</f>
        <v/>
      </c>
      <c r="H69" s="25">
        <f>IF(F69=0,"",MONTH(F69))</f>
        <v/>
      </c>
      <c r="I69" s="25">
        <f>IFERROR(INDEX(Pedidos!$E$2:$E$1801,MATCH(B69,Pedidos!$A$2:$A$1801,0)),"")</f>
        <v/>
      </c>
      <c r="J69" s="25">
        <f>IFERROR(INDEX(Pedidos!$C$2:$C$1801,MATCH(B69,Pedidos!$A$2:$A$1801,0)),"")</f>
        <v/>
      </c>
      <c r="K69" s="25">
        <f>IFERROR(INDEX(Pedidos!$D$2:$D$1801,MATCH(B69,Pedidos!$A$2:$A$1801,0)),"")</f>
        <v/>
      </c>
      <c r="L69" s="25">
        <f>IFERROR(INDEX(Pedidos!$F$2:$F$1801,MATCH(B69,Pedidos!$A$2:$A$1801,0)),"")</f>
        <v/>
      </c>
      <c r="M69" s="26">
        <f>IFERROR(INDEX(Pedidos!$G$2:$G$1801,MATCH(B69,Pedidos!$A$2:$A$1801,0)),0)</f>
        <v/>
      </c>
      <c r="N69" s="25">
        <f>IFERROR(INDEX(Produtos!$B$2:$B$71,MATCH(C69,Produtos!$A$2:$A$71,0)),"")</f>
        <v/>
      </c>
      <c r="O69" s="25">
        <f>IFERROR(INDEX(Produtos!$C$2:$C$71,MATCH(C69,Produtos!$A$2:$A$71,0)),"")</f>
        <v/>
      </c>
      <c r="P69" s="25">
        <f>IFERROR(INDEX(Produtos!$D$2:$D$71,MATCH(C69,Produtos!$A$2:$A$71,0)),0)</f>
        <v/>
      </c>
      <c r="Q69" s="25">
        <f>IFERROR(INDEX(Produtos!$E$2:$E$71,MATCH(C69,Produtos!$A$2:$A$71,0)),0)</f>
        <v/>
      </c>
      <c r="R69" s="27">
        <f>D69*Q69</f>
        <v/>
      </c>
      <c r="S69" s="27">
        <f>R69*E69</f>
        <v/>
      </c>
      <c r="T69" s="27">
        <f>(R69-S69)*M69</f>
        <v/>
      </c>
      <c r="U69" s="27">
        <f>R69-S69-T69</f>
        <v/>
      </c>
      <c r="V69" s="27">
        <f>D69*P69</f>
        <v/>
      </c>
      <c r="W69" s="27">
        <f>U69-V69</f>
        <v/>
      </c>
      <c r="X69" s="28">
        <f>IFERROR(W69/U69,0)</f>
        <v/>
      </c>
    </row>
    <row r="70">
      <c r="A70" s="21">
        <f>ItensPedido!A70</f>
        <v/>
      </c>
      <c r="B70" s="21">
        <f>ItensPedido!B70</f>
        <v/>
      </c>
      <c r="C70" s="21">
        <f>ItensPedido!C70</f>
        <v/>
      </c>
      <c r="D70" s="21">
        <f>ItensPedido!D70</f>
        <v/>
      </c>
      <c r="E70" s="22">
        <f>ItensPedido!E70</f>
        <v/>
      </c>
      <c r="F70" s="21">
        <f>IFERROR(INDEX(Pedidos!$B$2:$B$1801,MATCH(B70,Pedidos!$A$2:$A$1801,0)),0)</f>
        <v/>
      </c>
      <c r="G70" s="21">
        <f>IF(F70=0,"",YEAR(F70))</f>
        <v/>
      </c>
      <c r="H70" s="21">
        <f>IF(F70=0,"",MONTH(F70))</f>
        <v/>
      </c>
      <c r="I70" s="21">
        <f>IFERROR(INDEX(Pedidos!$E$2:$E$1801,MATCH(B70,Pedidos!$A$2:$A$1801,0)),"")</f>
        <v/>
      </c>
      <c r="J70" s="21">
        <f>IFERROR(INDEX(Pedidos!$C$2:$C$1801,MATCH(B70,Pedidos!$A$2:$A$1801,0)),"")</f>
        <v/>
      </c>
      <c r="K70" s="21">
        <f>IFERROR(INDEX(Pedidos!$D$2:$D$1801,MATCH(B70,Pedidos!$A$2:$A$1801,0)),"")</f>
        <v/>
      </c>
      <c r="L70" s="21">
        <f>IFERROR(INDEX(Pedidos!$F$2:$F$1801,MATCH(B70,Pedidos!$A$2:$A$1801,0)),"")</f>
        <v/>
      </c>
      <c r="M70" s="22">
        <f>IFERROR(INDEX(Pedidos!$G$2:$G$1801,MATCH(B70,Pedidos!$A$2:$A$1801,0)),0)</f>
        <v/>
      </c>
      <c r="N70" s="21">
        <f>IFERROR(INDEX(Produtos!$B$2:$B$71,MATCH(C70,Produtos!$A$2:$A$71,0)),"")</f>
        <v/>
      </c>
      <c r="O70" s="21">
        <f>IFERROR(INDEX(Produtos!$C$2:$C$71,MATCH(C70,Produtos!$A$2:$A$71,0)),"")</f>
        <v/>
      </c>
      <c r="P70" s="21">
        <f>IFERROR(INDEX(Produtos!$D$2:$D$71,MATCH(C70,Produtos!$A$2:$A$71,0)),0)</f>
        <v/>
      </c>
      <c r="Q70" s="21">
        <f>IFERROR(INDEX(Produtos!$E$2:$E$71,MATCH(C70,Produtos!$A$2:$A$71,0)),0)</f>
        <v/>
      </c>
      <c r="R70" s="23">
        <f>D70*Q70</f>
        <v/>
      </c>
      <c r="S70" s="23">
        <f>R70*E70</f>
        <v/>
      </c>
      <c r="T70" s="23">
        <f>(R70-S70)*M70</f>
        <v/>
      </c>
      <c r="U70" s="23">
        <f>R70-S70-T70</f>
        <v/>
      </c>
      <c r="V70" s="23">
        <f>D70*P70</f>
        <v/>
      </c>
      <c r="W70" s="23">
        <f>U70-V70</f>
        <v/>
      </c>
      <c r="X70" s="24">
        <f>IFERROR(W70/U70,0)</f>
        <v/>
      </c>
    </row>
    <row r="71">
      <c r="A71" s="25">
        <f>ItensPedido!A71</f>
        <v/>
      </c>
      <c r="B71" s="25">
        <f>ItensPedido!B71</f>
        <v/>
      </c>
      <c r="C71" s="25">
        <f>ItensPedido!C71</f>
        <v/>
      </c>
      <c r="D71" s="25">
        <f>ItensPedido!D71</f>
        <v/>
      </c>
      <c r="E71" s="26">
        <f>ItensPedido!E71</f>
        <v/>
      </c>
      <c r="F71" s="25">
        <f>IFERROR(INDEX(Pedidos!$B$2:$B$1801,MATCH(B71,Pedidos!$A$2:$A$1801,0)),0)</f>
        <v/>
      </c>
      <c r="G71" s="25">
        <f>IF(F71=0,"",YEAR(F71))</f>
        <v/>
      </c>
      <c r="H71" s="25">
        <f>IF(F71=0,"",MONTH(F71))</f>
        <v/>
      </c>
      <c r="I71" s="25">
        <f>IFERROR(INDEX(Pedidos!$E$2:$E$1801,MATCH(B71,Pedidos!$A$2:$A$1801,0)),"")</f>
        <v/>
      </c>
      <c r="J71" s="25">
        <f>IFERROR(INDEX(Pedidos!$C$2:$C$1801,MATCH(B71,Pedidos!$A$2:$A$1801,0)),"")</f>
        <v/>
      </c>
      <c r="K71" s="25">
        <f>IFERROR(INDEX(Pedidos!$D$2:$D$1801,MATCH(B71,Pedidos!$A$2:$A$1801,0)),"")</f>
        <v/>
      </c>
      <c r="L71" s="25">
        <f>IFERROR(INDEX(Pedidos!$F$2:$F$1801,MATCH(B71,Pedidos!$A$2:$A$1801,0)),"")</f>
        <v/>
      </c>
      <c r="M71" s="26">
        <f>IFERROR(INDEX(Pedidos!$G$2:$G$1801,MATCH(B71,Pedidos!$A$2:$A$1801,0)),0)</f>
        <v/>
      </c>
      <c r="N71" s="25">
        <f>IFERROR(INDEX(Produtos!$B$2:$B$71,MATCH(C71,Produtos!$A$2:$A$71,0)),"")</f>
        <v/>
      </c>
      <c r="O71" s="25">
        <f>IFERROR(INDEX(Produtos!$C$2:$C$71,MATCH(C71,Produtos!$A$2:$A$71,0)),"")</f>
        <v/>
      </c>
      <c r="P71" s="25">
        <f>IFERROR(INDEX(Produtos!$D$2:$D$71,MATCH(C71,Produtos!$A$2:$A$71,0)),0)</f>
        <v/>
      </c>
      <c r="Q71" s="25">
        <f>IFERROR(INDEX(Produtos!$E$2:$E$71,MATCH(C71,Produtos!$A$2:$A$71,0)),0)</f>
        <v/>
      </c>
      <c r="R71" s="27">
        <f>D71*Q71</f>
        <v/>
      </c>
      <c r="S71" s="27">
        <f>R71*E71</f>
        <v/>
      </c>
      <c r="T71" s="27">
        <f>(R71-S71)*M71</f>
        <v/>
      </c>
      <c r="U71" s="27">
        <f>R71-S71-T71</f>
        <v/>
      </c>
      <c r="V71" s="27">
        <f>D71*P71</f>
        <v/>
      </c>
      <c r="W71" s="27">
        <f>U71-V71</f>
        <v/>
      </c>
      <c r="X71" s="28">
        <f>IFERROR(W71/U71,0)</f>
        <v/>
      </c>
    </row>
    <row r="72">
      <c r="A72" s="21">
        <f>ItensPedido!A72</f>
        <v/>
      </c>
      <c r="B72" s="21">
        <f>ItensPedido!B72</f>
        <v/>
      </c>
      <c r="C72" s="21">
        <f>ItensPedido!C72</f>
        <v/>
      </c>
      <c r="D72" s="21">
        <f>ItensPedido!D72</f>
        <v/>
      </c>
      <c r="E72" s="22">
        <f>ItensPedido!E72</f>
        <v/>
      </c>
      <c r="F72" s="21">
        <f>IFERROR(INDEX(Pedidos!$B$2:$B$1801,MATCH(B72,Pedidos!$A$2:$A$1801,0)),0)</f>
        <v/>
      </c>
      <c r="G72" s="21">
        <f>IF(F72=0,"",YEAR(F72))</f>
        <v/>
      </c>
      <c r="H72" s="21">
        <f>IF(F72=0,"",MONTH(F72))</f>
        <v/>
      </c>
      <c r="I72" s="21">
        <f>IFERROR(INDEX(Pedidos!$E$2:$E$1801,MATCH(B72,Pedidos!$A$2:$A$1801,0)),"")</f>
        <v/>
      </c>
      <c r="J72" s="21">
        <f>IFERROR(INDEX(Pedidos!$C$2:$C$1801,MATCH(B72,Pedidos!$A$2:$A$1801,0)),"")</f>
        <v/>
      </c>
      <c r="K72" s="21">
        <f>IFERROR(INDEX(Pedidos!$D$2:$D$1801,MATCH(B72,Pedidos!$A$2:$A$1801,0)),"")</f>
        <v/>
      </c>
      <c r="L72" s="21">
        <f>IFERROR(INDEX(Pedidos!$F$2:$F$1801,MATCH(B72,Pedidos!$A$2:$A$1801,0)),"")</f>
        <v/>
      </c>
      <c r="M72" s="22">
        <f>IFERROR(INDEX(Pedidos!$G$2:$G$1801,MATCH(B72,Pedidos!$A$2:$A$1801,0)),0)</f>
        <v/>
      </c>
      <c r="N72" s="21">
        <f>IFERROR(INDEX(Produtos!$B$2:$B$71,MATCH(C72,Produtos!$A$2:$A$71,0)),"")</f>
        <v/>
      </c>
      <c r="O72" s="21">
        <f>IFERROR(INDEX(Produtos!$C$2:$C$71,MATCH(C72,Produtos!$A$2:$A$71,0)),"")</f>
        <v/>
      </c>
      <c r="P72" s="21">
        <f>IFERROR(INDEX(Produtos!$D$2:$D$71,MATCH(C72,Produtos!$A$2:$A$71,0)),0)</f>
        <v/>
      </c>
      <c r="Q72" s="21">
        <f>IFERROR(INDEX(Produtos!$E$2:$E$71,MATCH(C72,Produtos!$A$2:$A$71,0)),0)</f>
        <v/>
      </c>
      <c r="R72" s="23">
        <f>D72*Q72</f>
        <v/>
      </c>
      <c r="S72" s="23">
        <f>R72*E72</f>
        <v/>
      </c>
      <c r="T72" s="23">
        <f>(R72-S72)*M72</f>
        <v/>
      </c>
      <c r="U72" s="23">
        <f>R72-S72-T72</f>
        <v/>
      </c>
      <c r="V72" s="23">
        <f>D72*P72</f>
        <v/>
      </c>
      <c r="W72" s="23">
        <f>U72-V72</f>
        <v/>
      </c>
      <c r="X72" s="24">
        <f>IFERROR(W72/U72,0)</f>
        <v/>
      </c>
    </row>
    <row r="73">
      <c r="A73" s="25">
        <f>ItensPedido!A73</f>
        <v/>
      </c>
      <c r="B73" s="25">
        <f>ItensPedido!B73</f>
        <v/>
      </c>
      <c r="C73" s="25">
        <f>ItensPedido!C73</f>
        <v/>
      </c>
      <c r="D73" s="25">
        <f>ItensPedido!D73</f>
        <v/>
      </c>
      <c r="E73" s="26">
        <f>ItensPedido!E73</f>
        <v/>
      </c>
      <c r="F73" s="25">
        <f>IFERROR(INDEX(Pedidos!$B$2:$B$1801,MATCH(B73,Pedidos!$A$2:$A$1801,0)),0)</f>
        <v/>
      </c>
      <c r="G73" s="25">
        <f>IF(F73=0,"",YEAR(F73))</f>
        <v/>
      </c>
      <c r="H73" s="25">
        <f>IF(F73=0,"",MONTH(F73))</f>
        <v/>
      </c>
      <c r="I73" s="25">
        <f>IFERROR(INDEX(Pedidos!$E$2:$E$1801,MATCH(B73,Pedidos!$A$2:$A$1801,0)),"")</f>
        <v/>
      </c>
      <c r="J73" s="25">
        <f>IFERROR(INDEX(Pedidos!$C$2:$C$1801,MATCH(B73,Pedidos!$A$2:$A$1801,0)),"")</f>
        <v/>
      </c>
      <c r="K73" s="25">
        <f>IFERROR(INDEX(Pedidos!$D$2:$D$1801,MATCH(B73,Pedidos!$A$2:$A$1801,0)),"")</f>
        <v/>
      </c>
      <c r="L73" s="25">
        <f>IFERROR(INDEX(Pedidos!$F$2:$F$1801,MATCH(B73,Pedidos!$A$2:$A$1801,0)),"")</f>
        <v/>
      </c>
      <c r="M73" s="26">
        <f>IFERROR(INDEX(Pedidos!$G$2:$G$1801,MATCH(B73,Pedidos!$A$2:$A$1801,0)),0)</f>
        <v/>
      </c>
      <c r="N73" s="25">
        <f>IFERROR(INDEX(Produtos!$B$2:$B$71,MATCH(C73,Produtos!$A$2:$A$71,0)),"")</f>
        <v/>
      </c>
      <c r="O73" s="25">
        <f>IFERROR(INDEX(Produtos!$C$2:$C$71,MATCH(C73,Produtos!$A$2:$A$71,0)),"")</f>
        <v/>
      </c>
      <c r="P73" s="25">
        <f>IFERROR(INDEX(Produtos!$D$2:$D$71,MATCH(C73,Produtos!$A$2:$A$71,0)),0)</f>
        <v/>
      </c>
      <c r="Q73" s="25">
        <f>IFERROR(INDEX(Produtos!$E$2:$E$71,MATCH(C73,Produtos!$A$2:$A$71,0)),0)</f>
        <v/>
      </c>
      <c r="R73" s="27">
        <f>D73*Q73</f>
        <v/>
      </c>
      <c r="S73" s="27">
        <f>R73*E73</f>
        <v/>
      </c>
      <c r="T73" s="27">
        <f>(R73-S73)*M73</f>
        <v/>
      </c>
      <c r="U73" s="27">
        <f>R73-S73-T73</f>
        <v/>
      </c>
      <c r="V73" s="27">
        <f>D73*P73</f>
        <v/>
      </c>
      <c r="W73" s="27">
        <f>U73-V73</f>
        <v/>
      </c>
      <c r="X73" s="28">
        <f>IFERROR(W73/U73,0)</f>
        <v/>
      </c>
    </row>
    <row r="74">
      <c r="A74" s="21">
        <f>ItensPedido!A74</f>
        <v/>
      </c>
      <c r="B74" s="21">
        <f>ItensPedido!B74</f>
        <v/>
      </c>
      <c r="C74" s="21">
        <f>ItensPedido!C74</f>
        <v/>
      </c>
      <c r="D74" s="21">
        <f>ItensPedido!D74</f>
        <v/>
      </c>
      <c r="E74" s="22">
        <f>ItensPedido!E74</f>
        <v/>
      </c>
      <c r="F74" s="21">
        <f>IFERROR(INDEX(Pedidos!$B$2:$B$1801,MATCH(B74,Pedidos!$A$2:$A$1801,0)),0)</f>
        <v/>
      </c>
      <c r="G74" s="21">
        <f>IF(F74=0,"",YEAR(F74))</f>
        <v/>
      </c>
      <c r="H74" s="21">
        <f>IF(F74=0,"",MONTH(F74))</f>
        <v/>
      </c>
      <c r="I74" s="21">
        <f>IFERROR(INDEX(Pedidos!$E$2:$E$1801,MATCH(B74,Pedidos!$A$2:$A$1801,0)),"")</f>
        <v/>
      </c>
      <c r="J74" s="21">
        <f>IFERROR(INDEX(Pedidos!$C$2:$C$1801,MATCH(B74,Pedidos!$A$2:$A$1801,0)),"")</f>
        <v/>
      </c>
      <c r="K74" s="21">
        <f>IFERROR(INDEX(Pedidos!$D$2:$D$1801,MATCH(B74,Pedidos!$A$2:$A$1801,0)),"")</f>
        <v/>
      </c>
      <c r="L74" s="21">
        <f>IFERROR(INDEX(Pedidos!$F$2:$F$1801,MATCH(B74,Pedidos!$A$2:$A$1801,0)),"")</f>
        <v/>
      </c>
      <c r="M74" s="22">
        <f>IFERROR(INDEX(Pedidos!$G$2:$G$1801,MATCH(B74,Pedidos!$A$2:$A$1801,0)),0)</f>
        <v/>
      </c>
      <c r="N74" s="21">
        <f>IFERROR(INDEX(Produtos!$B$2:$B$71,MATCH(C74,Produtos!$A$2:$A$71,0)),"")</f>
        <v/>
      </c>
      <c r="O74" s="21">
        <f>IFERROR(INDEX(Produtos!$C$2:$C$71,MATCH(C74,Produtos!$A$2:$A$71,0)),"")</f>
        <v/>
      </c>
      <c r="P74" s="21">
        <f>IFERROR(INDEX(Produtos!$D$2:$D$71,MATCH(C74,Produtos!$A$2:$A$71,0)),0)</f>
        <v/>
      </c>
      <c r="Q74" s="21">
        <f>IFERROR(INDEX(Produtos!$E$2:$E$71,MATCH(C74,Produtos!$A$2:$A$71,0)),0)</f>
        <v/>
      </c>
      <c r="R74" s="23">
        <f>D74*Q74</f>
        <v/>
      </c>
      <c r="S74" s="23">
        <f>R74*E74</f>
        <v/>
      </c>
      <c r="T74" s="23">
        <f>(R74-S74)*M74</f>
        <v/>
      </c>
      <c r="U74" s="23">
        <f>R74-S74-T74</f>
        <v/>
      </c>
      <c r="V74" s="23">
        <f>D74*P74</f>
        <v/>
      </c>
      <c r="W74" s="23">
        <f>U74-V74</f>
        <v/>
      </c>
      <c r="X74" s="24">
        <f>IFERROR(W74/U74,0)</f>
        <v/>
      </c>
    </row>
    <row r="75">
      <c r="A75" s="25">
        <f>ItensPedido!A75</f>
        <v/>
      </c>
      <c r="B75" s="25">
        <f>ItensPedido!B75</f>
        <v/>
      </c>
      <c r="C75" s="25">
        <f>ItensPedido!C75</f>
        <v/>
      </c>
      <c r="D75" s="25">
        <f>ItensPedido!D75</f>
        <v/>
      </c>
      <c r="E75" s="26">
        <f>ItensPedido!E75</f>
        <v/>
      </c>
      <c r="F75" s="25">
        <f>IFERROR(INDEX(Pedidos!$B$2:$B$1801,MATCH(B75,Pedidos!$A$2:$A$1801,0)),0)</f>
        <v/>
      </c>
      <c r="G75" s="25">
        <f>IF(F75=0,"",YEAR(F75))</f>
        <v/>
      </c>
      <c r="H75" s="25">
        <f>IF(F75=0,"",MONTH(F75))</f>
        <v/>
      </c>
      <c r="I75" s="25">
        <f>IFERROR(INDEX(Pedidos!$E$2:$E$1801,MATCH(B75,Pedidos!$A$2:$A$1801,0)),"")</f>
        <v/>
      </c>
      <c r="J75" s="25">
        <f>IFERROR(INDEX(Pedidos!$C$2:$C$1801,MATCH(B75,Pedidos!$A$2:$A$1801,0)),"")</f>
        <v/>
      </c>
      <c r="K75" s="25">
        <f>IFERROR(INDEX(Pedidos!$D$2:$D$1801,MATCH(B75,Pedidos!$A$2:$A$1801,0)),"")</f>
        <v/>
      </c>
      <c r="L75" s="25">
        <f>IFERROR(INDEX(Pedidos!$F$2:$F$1801,MATCH(B75,Pedidos!$A$2:$A$1801,0)),"")</f>
        <v/>
      </c>
      <c r="M75" s="26">
        <f>IFERROR(INDEX(Pedidos!$G$2:$G$1801,MATCH(B75,Pedidos!$A$2:$A$1801,0)),0)</f>
        <v/>
      </c>
      <c r="N75" s="25">
        <f>IFERROR(INDEX(Produtos!$B$2:$B$71,MATCH(C75,Produtos!$A$2:$A$71,0)),"")</f>
        <v/>
      </c>
      <c r="O75" s="25">
        <f>IFERROR(INDEX(Produtos!$C$2:$C$71,MATCH(C75,Produtos!$A$2:$A$71,0)),"")</f>
        <v/>
      </c>
      <c r="P75" s="25">
        <f>IFERROR(INDEX(Produtos!$D$2:$D$71,MATCH(C75,Produtos!$A$2:$A$71,0)),0)</f>
        <v/>
      </c>
      <c r="Q75" s="25">
        <f>IFERROR(INDEX(Produtos!$E$2:$E$71,MATCH(C75,Produtos!$A$2:$A$71,0)),0)</f>
        <v/>
      </c>
      <c r="R75" s="27">
        <f>D75*Q75</f>
        <v/>
      </c>
      <c r="S75" s="27">
        <f>R75*E75</f>
        <v/>
      </c>
      <c r="T75" s="27">
        <f>(R75-S75)*M75</f>
        <v/>
      </c>
      <c r="U75" s="27">
        <f>R75-S75-T75</f>
        <v/>
      </c>
      <c r="V75" s="27">
        <f>D75*P75</f>
        <v/>
      </c>
      <c r="W75" s="27">
        <f>U75-V75</f>
        <v/>
      </c>
      <c r="X75" s="28">
        <f>IFERROR(W75/U75,0)</f>
        <v/>
      </c>
    </row>
    <row r="76">
      <c r="A76" s="21">
        <f>ItensPedido!A76</f>
        <v/>
      </c>
      <c r="B76" s="21">
        <f>ItensPedido!B76</f>
        <v/>
      </c>
      <c r="C76" s="21">
        <f>ItensPedido!C76</f>
        <v/>
      </c>
      <c r="D76" s="21">
        <f>ItensPedido!D76</f>
        <v/>
      </c>
      <c r="E76" s="22">
        <f>ItensPedido!E76</f>
        <v/>
      </c>
      <c r="F76" s="21">
        <f>IFERROR(INDEX(Pedidos!$B$2:$B$1801,MATCH(B76,Pedidos!$A$2:$A$1801,0)),0)</f>
        <v/>
      </c>
      <c r="G76" s="21">
        <f>IF(F76=0,"",YEAR(F76))</f>
        <v/>
      </c>
      <c r="H76" s="21">
        <f>IF(F76=0,"",MONTH(F76))</f>
        <v/>
      </c>
      <c r="I76" s="21">
        <f>IFERROR(INDEX(Pedidos!$E$2:$E$1801,MATCH(B76,Pedidos!$A$2:$A$1801,0)),"")</f>
        <v/>
      </c>
      <c r="J76" s="21">
        <f>IFERROR(INDEX(Pedidos!$C$2:$C$1801,MATCH(B76,Pedidos!$A$2:$A$1801,0)),"")</f>
        <v/>
      </c>
      <c r="K76" s="21">
        <f>IFERROR(INDEX(Pedidos!$D$2:$D$1801,MATCH(B76,Pedidos!$A$2:$A$1801,0)),"")</f>
        <v/>
      </c>
      <c r="L76" s="21">
        <f>IFERROR(INDEX(Pedidos!$F$2:$F$1801,MATCH(B76,Pedidos!$A$2:$A$1801,0)),"")</f>
        <v/>
      </c>
      <c r="M76" s="22">
        <f>IFERROR(INDEX(Pedidos!$G$2:$G$1801,MATCH(B76,Pedidos!$A$2:$A$1801,0)),0)</f>
        <v/>
      </c>
      <c r="N76" s="21">
        <f>IFERROR(INDEX(Produtos!$B$2:$B$71,MATCH(C76,Produtos!$A$2:$A$71,0)),"")</f>
        <v/>
      </c>
      <c r="O76" s="21">
        <f>IFERROR(INDEX(Produtos!$C$2:$C$71,MATCH(C76,Produtos!$A$2:$A$71,0)),"")</f>
        <v/>
      </c>
      <c r="P76" s="21">
        <f>IFERROR(INDEX(Produtos!$D$2:$D$71,MATCH(C76,Produtos!$A$2:$A$71,0)),0)</f>
        <v/>
      </c>
      <c r="Q76" s="21">
        <f>IFERROR(INDEX(Produtos!$E$2:$E$71,MATCH(C76,Produtos!$A$2:$A$71,0)),0)</f>
        <v/>
      </c>
      <c r="R76" s="23">
        <f>D76*Q76</f>
        <v/>
      </c>
      <c r="S76" s="23">
        <f>R76*E76</f>
        <v/>
      </c>
      <c r="T76" s="23">
        <f>(R76-S76)*M76</f>
        <v/>
      </c>
      <c r="U76" s="23">
        <f>R76-S76-T76</f>
        <v/>
      </c>
      <c r="V76" s="23">
        <f>D76*P76</f>
        <v/>
      </c>
      <c r="W76" s="23">
        <f>U76-V76</f>
        <v/>
      </c>
      <c r="X76" s="24">
        <f>IFERROR(W76/U76,0)</f>
        <v/>
      </c>
    </row>
    <row r="77">
      <c r="A77" s="25">
        <f>ItensPedido!A77</f>
        <v/>
      </c>
      <c r="B77" s="25">
        <f>ItensPedido!B77</f>
        <v/>
      </c>
      <c r="C77" s="25">
        <f>ItensPedido!C77</f>
        <v/>
      </c>
      <c r="D77" s="25">
        <f>ItensPedido!D77</f>
        <v/>
      </c>
      <c r="E77" s="26">
        <f>ItensPedido!E77</f>
        <v/>
      </c>
      <c r="F77" s="25">
        <f>IFERROR(INDEX(Pedidos!$B$2:$B$1801,MATCH(B77,Pedidos!$A$2:$A$1801,0)),0)</f>
        <v/>
      </c>
      <c r="G77" s="25">
        <f>IF(F77=0,"",YEAR(F77))</f>
        <v/>
      </c>
      <c r="H77" s="25">
        <f>IF(F77=0,"",MONTH(F77))</f>
        <v/>
      </c>
      <c r="I77" s="25">
        <f>IFERROR(INDEX(Pedidos!$E$2:$E$1801,MATCH(B77,Pedidos!$A$2:$A$1801,0)),"")</f>
        <v/>
      </c>
      <c r="J77" s="25">
        <f>IFERROR(INDEX(Pedidos!$C$2:$C$1801,MATCH(B77,Pedidos!$A$2:$A$1801,0)),"")</f>
        <v/>
      </c>
      <c r="K77" s="25">
        <f>IFERROR(INDEX(Pedidos!$D$2:$D$1801,MATCH(B77,Pedidos!$A$2:$A$1801,0)),"")</f>
        <v/>
      </c>
      <c r="L77" s="25">
        <f>IFERROR(INDEX(Pedidos!$F$2:$F$1801,MATCH(B77,Pedidos!$A$2:$A$1801,0)),"")</f>
        <v/>
      </c>
      <c r="M77" s="26">
        <f>IFERROR(INDEX(Pedidos!$G$2:$G$1801,MATCH(B77,Pedidos!$A$2:$A$1801,0)),0)</f>
        <v/>
      </c>
      <c r="N77" s="25">
        <f>IFERROR(INDEX(Produtos!$B$2:$B$71,MATCH(C77,Produtos!$A$2:$A$71,0)),"")</f>
        <v/>
      </c>
      <c r="O77" s="25">
        <f>IFERROR(INDEX(Produtos!$C$2:$C$71,MATCH(C77,Produtos!$A$2:$A$71,0)),"")</f>
        <v/>
      </c>
      <c r="P77" s="25">
        <f>IFERROR(INDEX(Produtos!$D$2:$D$71,MATCH(C77,Produtos!$A$2:$A$71,0)),0)</f>
        <v/>
      </c>
      <c r="Q77" s="25">
        <f>IFERROR(INDEX(Produtos!$E$2:$E$71,MATCH(C77,Produtos!$A$2:$A$71,0)),0)</f>
        <v/>
      </c>
      <c r="R77" s="27">
        <f>D77*Q77</f>
        <v/>
      </c>
      <c r="S77" s="27">
        <f>R77*E77</f>
        <v/>
      </c>
      <c r="T77" s="27">
        <f>(R77-S77)*M77</f>
        <v/>
      </c>
      <c r="U77" s="27">
        <f>R77-S77-T77</f>
        <v/>
      </c>
      <c r="V77" s="27">
        <f>D77*P77</f>
        <v/>
      </c>
      <c r="W77" s="27">
        <f>U77-V77</f>
        <v/>
      </c>
      <c r="X77" s="28">
        <f>IFERROR(W77/U77,0)</f>
        <v/>
      </c>
    </row>
    <row r="78">
      <c r="A78" s="21">
        <f>ItensPedido!A78</f>
        <v/>
      </c>
      <c r="B78" s="21">
        <f>ItensPedido!B78</f>
        <v/>
      </c>
      <c r="C78" s="21">
        <f>ItensPedido!C78</f>
        <v/>
      </c>
      <c r="D78" s="21">
        <f>ItensPedido!D78</f>
        <v/>
      </c>
      <c r="E78" s="22">
        <f>ItensPedido!E78</f>
        <v/>
      </c>
      <c r="F78" s="21">
        <f>IFERROR(INDEX(Pedidos!$B$2:$B$1801,MATCH(B78,Pedidos!$A$2:$A$1801,0)),0)</f>
        <v/>
      </c>
      <c r="G78" s="21">
        <f>IF(F78=0,"",YEAR(F78))</f>
        <v/>
      </c>
      <c r="H78" s="21">
        <f>IF(F78=0,"",MONTH(F78))</f>
        <v/>
      </c>
      <c r="I78" s="21">
        <f>IFERROR(INDEX(Pedidos!$E$2:$E$1801,MATCH(B78,Pedidos!$A$2:$A$1801,0)),"")</f>
        <v/>
      </c>
      <c r="J78" s="21">
        <f>IFERROR(INDEX(Pedidos!$C$2:$C$1801,MATCH(B78,Pedidos!$A$2:$A$1801,0)),"")</f>
        <v/>
      </c>
      <c r="K78" s="21">
        <f>IFERROR(INDEX(Pedidos!$D$2:$D$1801,MATCH(B78,Pedidos!$A$2:$A$1801,0)),"")</f>
        <v/>
      </c>
      <c r="L78" s="21">
        <f>IFERROR(INDEX(Pedidos!$F$2:$F$1801,MATCH(B78,Pedidos!$A$2:$A$1801,0)),"")</f>
        <v/>
      </c>
      <c r="M78" s="22">
        <f>IFERROR(INDEX(Pedidos!$G$2:$G$1801,MATCH(B78,Pedidos!$A$2:$A$1801,0)),0)</f>
        <v/>
      </c>
      <c r="N78" s="21">
        <f>IFERROR(INDEX(Produtos!$B$2:$B$71,MATCH(C78,Produtos!$A$2:$A$71,0)),"")</f>
        <v/>
      </c>
      <c r="O78" s="21">
        <f>IFERROR(INDEX(Produtos!$C$2:$C$71,MATCH(C78,Produtos!$A$2:$A$71,0)),"")</f>
        <v/>
      </c>
      <c r="P78" s="21">
        <f>IFERROR(INDEX(Produtos!$D$2:$D$71,MATCH(C78,Produtos!$A$2:$A$71,0)),0)</f>
        <v/>
      </c>
      <c r="Q78" s="21">
        <f>IFERROR(INDEX(Produtos!$E$2:$E$71,MATCH(C78,Produtos!$A$2:$A$71,0)),0)</f>
        <v/>
      </c>
      <c r="R78" s="23">
        <f>D78*Q78</f>
        <v/>
      </c>
      <c r="S78" s="23">
        <f>R78*E78</f>
        <v/>
      </c>
      <c r="T78" s="23">
        <f>(R78-S78)*M78</f>
        <v/>
      </c>
      <c r="U78" s="23">
        <f>R78-S78-T78</f>
        <v/>
      </c>
      <c r="V78" s="23">
        <f>D78*P78</f>
        <v/>
      </c>
      <c r="W78" s="23">
        <f>U78-V78</f>
        <v/>
      </c>
      <c r="X78" s="24">
        <f>IFERROR(W78/U78,0)</f>
        <v/>
      </c>
    </row>
    <row r="79">
      <c r="A79" s="25">
        <f>ItensPedido!A79</f>
        <v/>
      </c>
      <c r="B79" s="25">
        <f>ItensPedido!B79</f>
        <v/>
      </c>
      <c r="C79" s="25">
        <f>ItensPedido!C79</f>
        <v/>
      </c>
      <c r="D79" s="25">
        <f>ItensPedido!D79</f>
        <v/>
      </c>
      <c r="E79" s="26">
        <f>ItensPedido!E79</f>
        <v/>
      </c>
      <c r="F79" s="25">
        <f>IFERROR(INDEX(Pedidos!$B$2:$B$1801,MATCH(B79,Pedidos!$A$2:$A$1801,0)),0)</f>
        <v/>
      </c>
      <c r="G79" s="25">
        <f>IF(F79=0,"",YEAR(F79))</f>
        <v/>
      </c>
      <c r="H79" s="25">
        <f>IF(F79=0,"",MONTH(F79))</f>
        <v/>
      </c>
      <c r="I79" s="25">
        <f>IFERROR(INDEX(Pedidos!$E$2:$E$1801,MATCH(B79,Pedidos!$A$2:$A$1801,0)),"")</f>
        <v/>
      </c>
      <c r="J79" s="25">
        <f>IFERROR(INDEX(Pedidos!$C$2:$C$1801,MATCH(B79,Pedidos!$A$2:$A$1801,0)),"")</f>
        <v/>
      </c>
      <c r="K79" s="25">
        <f>IFERROR(INDEX(Pedidos!$D$2:$D$1801,MATCH(B79,Pedidos!$A$2:$A$1801,0)),"")</f>
        <v/>
      </c>
      <c r="L79" s="25">
        <f>IFERROR(INDEX(Pedidos!$F$2:$F$1801,MATCH(B79,Pedidos!$A$2:$A$1801,0)),"")</f>
        <v/>
      </c>
      <c r="M79" s="26">
        <f>IFERROR(INDEX(Pedidos!$G$2:$G$1801,MATCH(B79,Pedidos!$A$2:$A$1801,0)),0)</f>
        <v/>
      </c>
      <c r="N79" s="25">
        <f>IFERROR(INDEX(Produtos!$B$2:$B$71,MATCH(C79,Produtos!$A$2:$A$71,0)),"")</f>
        <v/>
      </c>
      <c r="O79" s="25">
        <f>IFERROR(INDEX(Produtos!$C$2:$C$71,MATCH(C79,Produtos!$A$2:$A$71,0)),"")</f>
        <v/>
      </c>
      <c r="P79" s="25">
        <f>IFERROR(INDEX(Produtos!$D$2:$D$71,MATCH(C79,Produtos!$A$2:$A$71,0)),0)</f>
        <v/>
      </c>
      <c r="Q79" s="25">
        <f>IFERROR(INDEX(Produtos!$E$2:$E$71,MATCH(C79,Produtos!$A$2:$A$71,0)),0)</f>
        <v/>
      </c>
      <c r="R79" s="27">
        <f>D79*Q79</f>
        <v/>
      </c>
      <c r="S79" s="27">
        <f>R79*E79</f>
        <v/>
      </c>
      <c r="T79" s="27">
        <f>(R79-S79)*M79</f>
        <v/>
      </c>
      <c r="U79" s="27">
        <f>R79-S79-T79</f>
        <v/>
      </c>
      <c r="V79" s="27">
        <f>D79*P79</f>
        <v/>
      </c>
      <c r="W79" s="27">
        <f>U79-V79</f>
        <v/>
      </c>
      <c r="X79" s="28">
        <f>IFERROR(W79/U79,0)</f>
        <v/>
      </c>
    </row>
    <row r="80">
      <c r="A80" s="21">
        <f>ItensPedido!A80</f>
        <v/>
      </c>
      <c r="B80" s="21">
        <f>ItensPedido!B80</f>
        <v/>
      </c>
      <c r="C80" s="21">
        <f>ItensPedido!C80</f>
        <v/>
      </c>
      <c r="D80" s="21">
        <f>ItensPedido!D80</f>
        <v/>
      </c>
      <c r="E80" s="22">
        <f>ItensPedido!E80</f>
        <v/>
      </c>
      <c r="F80" s="21">
        <f>IFERROR(INDEX(Pedidos!$B$2:$B$1801,MATCH(B80,Pedidos!$A$2:$A$1801,0)),0)</f>
        <v/>
      </c>
      <c r="G80" s="21">
        <f>IF(F80=0,"",YEAR(F80))</f>
        <v/>
      </c>
      <c r="H80" s="21">
        <f>IF(F80=0,"",MONTH(F80))</f>
        <v/>
      </c>
      <c r="I80" s="21">
        <f>IFERROR(INDEX(Pedidos!$E$2:$E$1801,MATCH(B80,Pedidos!$A$2:$A$1801,0)),"")</f>
        <v/>
      </c>
      <c r="J80" s="21">
        <f>IFERROR(INDEX(Pedidos!$C$2:$C$1801,MATCH(B80,Pedidos!$A$2:$A$1801,0)),"")</f>
        <v/>
      </c>
      <c r="K80" s="21">
        <f>IFERROR(INDEX(Pedidos!$D$2:$D$1801,MATCH(B80,Pedidos!$A$2:$A$1801,0)),"")</f>
        <v/>
      </c>
      <c r="L80" s="21">
        <f>IFERROR(INDEX(Pedidos!$F$2:$F$1801,MATCH(B80,Pedidos!$A$2:$A$1801,0)),"")</f>
        <v/>
      </c>
      <c r="M80" s="22">
        <f>IFERROR(INDEX(Pedidos!$G$2:$G$1801,MATCH(B80,Pedidos!$A$2:$A$1801,0)),0)</f>
        <v/>
      </c>
      <c r="N80" s="21">
        <f>IFERROR(INDEX(Produtos!$B$2:$B$71,MATCH(C80,Produtos!$A$2:$A$71,0)),"")</f>
        <v/>
      </c>
      <c r="O80" s="21">
        <f>IFERROR(INDEX(Produtos!$C$2:$C$71,MATCH(C80,Produtos!$A$2:$A$71,0)),"")</f>
        <v/>
      </c>
      <c r="P80" s="21">
        <f>IFERROR(INDEX(Produtos!$D$2:$D$71,MATCH(C80,Produtos!$A$2:$A$71,0)),0)</f>
        <v/>
      </c>
      <c r="Q80" s="21">
        <f>IFERROR(INDEX(Produtos!$E$2:$E$71,MATCH(C80,Produtos!$A$2:$A$71,0)),0)</f>
        <v/>
      </c>
      <c r="R80" s="23">
        <f>D80*Q80</f>
        <v/>
      </c>
      <c r="S80" s="23">
        <f>R80*E80</f>
        <v/>
      </c>
      <c r="T80" s="23">
        <f>(R80-S80)*M80</f>
        <v/>
      </c>
      <c r="U80" s="23">
        <f>R80-S80-T80</f>
        <v/>
      </c>
      <c r="V80" s="23">
        <f>D80*P80</f>
        <v/>
      </c>
      <c r="W80" s="23">
        <f>U80-V80</f>
        <v/>
      </c>
      <c r="X80" s="24">
        <f>IFERROR(W80/U80,0)</f>
        <v/>
      </c>
    </row>
    <row r="81">
      <c r="A81" s="25">
        <f>ItensPedido!A81</f>
        <v/>
      </c>
      <c r="B81" s="25">
        <f>ItensPedido!B81</f>
        <v/>
      </c>
      <c r="C81" s="25">
        <f>ItensPedido!C81</f>
        <v/>
      </c>
      <c r="D81" s="25">
        <f>ItensPedido!D81</f>
        <v/>
      </c>
      <c r="E81" s="26">
        <f>ItensPedido!E81</f>
        <v/>
      </c>
      <c r="F81" s="25">
        <f>IFERROR(INDEX(Pedidos!$B$2:$B$1801,MATCH(B81,Pedidos!$A$2:$A$1801,0)),0)</f>
        <v/>
      </c>
      <c r="G81" s="25">
        <f>IF(F81=0,"",YEAR(F81))</f>
        <v/>
      </c>
      <c r="H81" s="25">
        <f>IF(F81=0,"",MONTH(F81))</f>
        <v/>
      </c>
      <c r="I81" s="25">
        <f>IFERROR(INDEX(Pedidos!$E$2:$E$1801,MATCH(B81,Pedidos!$A$2:$A$1801,0)),"")</f>
        <v/>
      </c>
      <c r="J81" s="25">
        <f>IFERROR(INDEX(Pedidos!$C$2:$C$1801,MATCH(B81,Pedidos!$A$2:$A$1801,0)),"")</f>
        <v/>
      </c>
      <c r="K81" s="25">
        <f>IFERROR(INDEX(Pedidos!$D$2:$D$1801,MATCH(B81,Pedidos!$A$2:$A$1801,0)),"")</f>
        <v/>
      </c>
      <c r="L81" s="25">
        <f>IFERROR(INDEX(Pedidos!$F$2:$F$1801,MATCH(B81,Pedidos!$A$2:$A$1801,0)),"")</f>
        <v/>
      </c>
      <c r="M81" s="26">
        <f>IFERROR(INDEX(Pedidos!$G$2:$G$1801,MATCH(B81,Pedidos!$A$2:$A$1801,0)),0)</f>
        <v/>
      </c>
      <c r="N81" s="25">
        <f>IFERROR(INDEX(Produtos!$B$2:$B$71,MATCH(C81,Produtos!$A$2:$A$71,0)),"")</f>
        <v/>
      </c>
      <c r="O81" s="25">
        <f>IFERROR(INDEX(Produtos!$C$2:$C$71,MATCH(C81,Produtos!$A$2:$A$71,0)),"")</f>
        <v/>
      </c>
      <c r="P81" s="25">
        <f>IFERROR(INDEX(Produtos!$D$2:$D$71,MATCH(C81,Produtos!$A$2:$A$71,0)),0)</f>
        <v/>
      </c>
      <c r="Q81" s="25">
        <f>IFERROR(INDEX(Produtos!$E$2:$E$71,MATCH(C81,Produtos!$A$2:$A$71,0)),0)</f>
        <v/>
      </c>
      <c r="R81" s="27">
        <f>D81*Q81</f>
        <v/>
      </c>
      <c r="S81" s="27">
        <f>R81*E81</f>
        <v/>
      </c>
      <c r="T81" s="27">
        <f>(R81-S81)*M81</f>
        <v/>
      </c>
      <c r="U81" s="27">
        <f>R81-S81-T81</f>
        <v/>
      </c>
      <c r="V81" s="27">
        <f>D81*P81</f>
        <v/>
      </c>
      <c r="W81" s="27">
        <f>U81-V81</f>
        <v/>
      </c>
      <c r="X81" s="28">
        <f>IFERROR(W81/U81,0)</f>
        <v/>
      </c>
    </row>
    <row r="82">
      <c r="A82" s="21">
        <f>ItensPedido!A82</f>
        <v/>
      </c>
      <c r="B82" s="21">
        <f>ItensPedido!B82</f>
        <v/>
      </c>
      <c r="C82" s="21">
        <f>ItensPedido!C82</f>
        <v/>
      </c>
      <c r="D82" s="21">
        <f>ItensPedido!D82</f>
        <v/>
      </c>
      <c r="E82" s="22">
        <f>ItensPedido!E82</f>
        <v/>
      </c>
      <c r="F82" s="21">
        <f>IFERROR(INDEX(Pedidos!$B$2:$B$1801,MATCH(B82,Pedidos!$A$2:$A$1801,0)),0)</f>
        <v/>
      </c>
      <c r="G82" s="21">
        <f>IF(F82=0,"",YEAR(F82))</f>
        <v/>
      </c>
      <c r="H82" s="21">
        <f>IF(F82=0,"",MONTH(F82))</f>
        <v/>
      </c>
      <c r="I82" s="21">
        <f>IFERROR(INDEX(Pedidos!$E$2:$E$1801,MATCH(B82,Pedidos!$A$2:$A$1801,0)),"")</f>
        <v/>
      </c>
      <c r="J82" s="21">
        <f>IFERROR(INDEX(Pedidos!$C$2:$C$1801,MATCH(B82,Pedidos!$A$2:$A$1801,0)),"")</f>
        <v/>
      </c>
      <c r="K82" s="21">
        <f>IFERROR(INDEX(Pedidos!$D$2:$D$1801,MATCH(B82,Pedidos!$A$2:$A$1801,0)),"")</f>
        <v/>
      </c>
      <c r="L82" s="21">
        <f>IFERROR(INDEX(Pedidos!$F$2:$F$1801,MATCH(B82,Pedidos!$A$2:$A$1801,0)),"")</f>
        <v/>
      </c>
      <c r="M82" s="22">
        <f>IFERROR(INDEX(Pedidos!$G$2:$G$1801,MATCH(B82,Pedidos!$A$2:$A$1801,0)),0)</f>
        <v/>
      </c>
      <c r="N82" s="21">
        <f>IFERROR(INDEX(Produtos!$B$2:$B$71,MATCH(C82,Produtos!$A$2:$A$71,0)),"")</f>
        <v/>
      </c>
      <c r="O82" s="21">
        <f>IFERROR(INDEX(Produtos!$C$2:$C$71,MATCH(C82,Produtos!$A$2:$A$71,0)),"")</f>
        <v/>
      </c>
      <c r="P82" s="21">
        <f>IFERROR(INDEX(Produtos!$D$2:$D$71,MATCH(C82,Produtos!$A$2:$A$71,0)),0)</f>
        <v/>
      </c>
      <c r="Q82" s="21">
        <f>IFERROR(INDEX(Produtos!$E$2:$E$71,MATCH(C82,Produtos!$A$2:$A$71,0)),0)</f>
        <v/>
      </c>
      <c r="R82" s="23">
        <f>D82*Q82</f>
        <v/>
      </c>
      <c r="S82" s="23">
        <f>R82*E82</f>
        <v/>
      </c>
      <c r="T82" s="23">
        <f>(R82-S82)*M82</f>
        <v/>
      </c>
      <c r="U82" s="23">
        <f>R82-S82-T82</f>
        <v/>
      </c>
      <c r="V82" s="23">
        <f>D82*P82</f>
        <v/>
      </c>
      <c r="W82" s="23">
        <f>U82-V82</f>
        <v/>
      </c>
      <c r="X82" s="24">
        <f>IFERROR(W82/U82,0)</f>
        <v/>
      </c>
    </row>
    <row r="83">
      <c r="A83" s="25">
        <f>ItensPedido!A83</f>
        <v/>
      </c>
      <c r="B83" s="25">
        <f>ItensPedido!B83</f>
        <v/>
      </c>
      <c r="C83" s="25">
        <f>ItensPedido!C83</f>
        <v/>
      </c>
      <c r="D83" s="25">
        <f>ItensPedido!D83</f>
        <v/>
      </c>
      <c r="E83" s="26">
        <f>ItensPedido!E83</f>
        <v/>
      </c>
      <c r="F83" s="25">
        <f>IFERROR(INDEX(Pedidos!$B$2:$B$1801,MATCH(B83,Pedidos!$A$2:$A$1801,0)),0)</f>
        <v/>
      </c>
      <c r="G83" s="25">
        <f>IF(F83=0,"",YEAR(F83))</f>
        <v/>
      </c>
      <c r="H83" s="25">
        <f>IF(F83=0,"",MONTH(F83))</f>
        <v/>
      </c>
      <c r="I83" s="25">
        <f>IFERROR(INDEX(Pedidos!$E$2:$E$1801,MATCH(B83,Pedidos!$A$2:$A$1801,0)),"")</f>
        <v/>
      </c>
      <c r="J83" s="25">
        <f>IFERROR(INDEX(Pedidos!$C$2:$C$1801,MATCH(B83,Pedidos!$A$2:$A$1801,0)),"")</f>
        <v/>
      </c>
      <c r="K83" s="25">
        <f>IFERROR(INDEX(Pedidos!$D$2:$D$1801,MATCH(B83,Pedidos!$A$2:$A$1801,0)),"")</f>
        <v/>
      </c>
      <c r="L83" s="25">
        <f>IFERROR(INDEX(Pedidos!$F$2:$F$1801,MATCH(B83,Pedidos!$A$2:$A$1801,0)),"")</f>
        <v/>
      </c>
      <c r="M83" s="26">
        <f>IFERROR(INDEX(Pedidos!$G$2:$G$1801,MATCH(B83,Pedidos!$A$2:$A$1801,0)),0)</f>
        <v/>
      </c>
      <c r="N83" s="25">
        <f>IFERROR(INDEX(Produtos!$B$2:$B$71,MATCH(C83,Produtos!$A$2:$A$71,0)),"")</f>
        <v/>
      </c>
      <c r="O83" s="25">
        <f>IFERROR(INDEX(Produtos!$C$2:$C$71,MATCH(C83,Produtos!$A$2:$A$71,0)),"")</f>
        <v/>
      </c>
      <c r="P83" s="25">
        <f>IFERROR(INDEX(Produtos!$D$2:$D$71,MATCH(C83,Produtos!$A$2:$A$71,0)),0)</f>
        <v/>
      </c>
      <c r="Q83" s="25">
        <f>IFERROR(INDEX(Produtos!$E$2:$E$71,MATCH(C83,Produtos!$A$2:$A$71,0)),0)</f>
        <v/>
      </c>
      <c r="R83" s="27">
        <f>D83*Q83</f>
        <v/>
      </c>
      <c r="S83" s="27">
        <f>R83*E83</f>
        <v/>
      </c>
      <c r="T83" s="27">
        <f>(R83-S83)*M83</f>
        <v/>
      </c>
      <c r="U83" s="27">
        <f>R83-S83-T83</f>
        <v/>
      </c>
      <c r="V83" s="27">
        <f>D83*P83</f>
        <v/>
      </c>
      <c r="W83" s="27">
        <f>U83-V83</f>
        <v/>
      </c>
      <c r="X83" s="28">
        <f>IFERROR(W83/U83,0)</f>
        <v/>
      </c>
    </row>
    <row r="84">
      <c r="A84" s="21">
        <f>ItensPedido!A84</f>
        <v/>
      </c>
      <c r="B84" s="21">
        <f>ItensPedido!B84</f>
        <v/>
      </c>
      <c r="C84" s="21">
        <f>ItensPedido!C84</f>
        <v/>
      </c>
      <c r="D84" s="21">
        <f>ItensPedido!D84</f>
        <v/>
      </c>
      <c r="E84" s="22">
        <f>ItensPedido!E84</f>
        <v/>
      </c>
      <c r="F84" s="21">
        <f>IFERROR(INDEX(Pedidos!$B$2:$B$1801,MATCH(B84,Pedidos!$A$2:$A$1801,0)),0)</f>
        <v/>
      </c>
      <c r="G84" s="21">
        <f>IF(F84=0,"",YEAR(F84))</f>
        <v/>
      </c>
      <c r="H84" s="21">
        <f>IF(F84=0,"",MONTH(F84))</f>
        <v/>
      </c>
      <c r="I84" s="21">
        <f>IFERROR(INDEX(Pedidos!$E$2:$E$1801,MATCH(B84,Pedidos!$A$2:$A$1801,0)),"")</f>
        <v/>
      </c>
      <c r="J84" s="21">
        <f>IFERROR(INDEX(Pedidos!$C$2:$C$1801,MATCH(B84,Pedidos!$A$2:$A$1801,0)),"")</f>
        <v/>
      </c>
      <c r="K84" s="21">
        <f>IFERROR(INDEX(Pedidos!$D$2:$D$1801,MATCH(B84,Pedidos!$A$2:$A$1801,0)),"")</f>
        <v/>
      </c>
      <c r="L84" s="21">
        <f>IFERROR(INDEX(Pedidos!$F$2:$F$1801,MATCH(B84,Pedidos!$A$2:$A$1801,0)),"")</f>
        <v/>
      </c>
      <c r="M84" s="22">
        <f>IFERROR(INDEX(Pedidos!$G$2:$G$1801,MATCH(B84,Pedidos!$A$2:$A$1801,0)),0)</f>
        <v/>
      </c>
      <c r="N84" s="21">
        <f>IFERROR(INDEX(Produtos!$B$2:$B$71,MATCH(C84,Produtos!$A$2:$A$71,0)),"")</f>
        <v/>
      </c>
      <c r="O84" s="21">
        <f>IFERROR(INDEX(Produtos!$C$2:$C$71,MATCH(C84,Produtos!$A$2:$A$71,0)),"")</f>
        <v/>
      </c>
      <c r="P84" s="21">
        <f>IFERROR(INDEX(Produtos!$D$2:$D$71,MATCH(C84,Produtos!$A$2:$A$71,0)),0)</f>
        <v/>
      </c>
      <c r="Q84" s="21">
        <f>IFERROR(INDEX(Produtos!$E$2:$E$71,MATCH(C84,Produtos!$A$2:$A$71,0)),0)</f>
        <v/>
      </c>
      <c r="R84" s="23">
        <f>D84*Q84</f>
        <v/>
      </c>
      <c r="S84" s="23">
        <f>R84*E84</f>
        <v/>
      </c>
      <c r="T84" s="23">
        <f>(R84-S84)*M84</f>
        <v/>
      </c>
      <c r="U84" s="23">
        <f>R84-S84-T84</f>
        <v/>
      </c>
      <c r="V84" s="23">
        <f>D84*P84</f>
        <v/>
      </c>
      <c r="W84" s="23">
        <f>U84-V84</f>
        <v/>
      </c>
      <c r="X84" s="24">
        <f>IFERROR(W84/U84,0)</f>
        <v/>
      </c>
    </row>
    <row r="85">
      <c r="A85" s="25">
        <f>ItensPedido!A85</f>
        <v/>
      </c>
      <c r="B85" s="25">
        <f>ItensPedido!B85</f>
        <v/>
      </c>
      <c r="C85" s="25">
        <f>ItensPedido!C85</f>
        <v/>
      </c>
      <c r="D85" s="25">
        <f>ItensPedido!D85</f>
        <v/>
      </c>
      <c r="E85" s="26">
        <f>ItensPedido!E85</f>
        <v/>
      </c>
      <c r="F85" s="25">
        <f>IFERROR(INDEX(Pedidos!$B$2:$B$1801,MATCH(B85,Pedidos!$A$2:$A$1801,0)),0)</f>
        <v/>
      </c>
      <c r="G85" s="25">
        <f>IF(F85=0,"",YEAR(F85))</f>
        <v/>
      </c>
      <c r="H85" s="25">
        <f>IF(F85=0,"",MONTH(F85))</f>
        <v/>
      </c>
      <c r="I85" s="25">
        <f>IFERROR(INDEX(Pedidos!$E$2:$E$1801,MATCH(B85,Pedidos!$A$2:$A$1801,0)),"")</f>
        <v/>
      </c>
      <c r="J85" s="25">
        <f>IFERROR(INDEX(Pedidos!$C$2:$C$1801,MATCH(B85,Pedidos!$A$2:$A$1801,0)),"")</f>
        <v/>
      </c>
      <c r="K85" s="25">
        <f>IFERROR(INDEX(Pedidos!$D$2:$D$1801,MATCH(B85,Pedidos!$A$2:$A$1801,0)),"")</f>
        <v/>
      </c>
      <c r="L85" s="25">
        <f>IFERROR(INDEX(Pedidos!$F$2:$F$1801,MATCH(B85,Pedidos!$A$2:$A$1801,0)),"")</f>
        <v/>
      </c>
      <c r="M85" s="26">
        <f>IFERROR(INDEX(Pedidos!$G$2:$G$1801,MATCH(B85,Pedidos!$A$2:$A$1801,0)),0)</f>
        <v/>
      </c>
      <c r="N85" s="25">
        <f>IFERROR(INDEX(Produtos!$B$2:$B$71,MATCH(C85,Produtos!$A$2:$A$71,0)),"")</f>
        <v/>
      </c>
      <c r="O85" s="25">
        <f>IFERROR(INDEX(Produtos!$C$2:$C$71,MATCH(C85,Produtos!$A$2:$A$71,0)),"")</f>
        <v/>
      </c>
      <c r="P85" s="25">
        <f>IFERROR(INDEX(Produtos!$D$2:$D$71,MATCH(C85,Produtos!$A$2:$A$71,0)),0)</f>
        <v/>
      </c>
      <c r="Q85" s="25">
        <f>IFERROR(INDEX(Produtos!$E$2:$E$71,MATCH(C85,Produtos!$A$2:$A$71,0)),0)</f>
        <v/>
      </c>
      <c r="R85" s="27">
        <f>D85*Q85</f>
        <v/>
      </c>
      <c r="S85" s="27">
        <f>R85*E85</f>
        <v/>
      </c>
      <c r="T85" s="27">
        <f>(R85-S85)*M85</f>
        <v/>
      </c>
      <c r="U85" s="27">
        <f>R85-S85-T85</f>
        <v/>
      </c>
      <c r="V85" s="27">
        <f>D85*P85</f>
        <v/>
      </c>
      <c r="W85" s="27">
        <f>U85-V85</f>
        <v/>
      </c>
      <c r="X85" s="28">
        <f>IFERROR(W85/U85,0)</f>
        <v/>
      </c>
    </row>
    <row r="86">
      <c r="A86" s="21">
        <f>ItensPedido!A86</f>
        <v/>
      </c>
      <c r="B86" s="21">
        <f>ItensPedido!B86</f>
        <v/>
      </c>
      <c r="C86" s="21">
        <f>ItensPedido!C86</f>
        <v/>
      </c>
      <c r="D86" s="21">
        <f>ItensPedido!D86</f>
        <v/>
      </c>
      <c r="E86" s="22">
        <f>ItensPedido!E86</f>
        <v/>
      </c>
      <c r="F86" s="21">
        <f>IFERROR(INDEX(Pedidos!$B$2:$B$1801,MATCH(B86,Pedidos!$A$2:$A$1801,0)),0)</f>
        <v/>
      </c>
      <c r="G86" s="21">
        <f>IF(F86=0,"",YEAR(F86))</f>
        <v/>
      </c>
      <c r="H86" s="21">
        <f>IF(F86=0,"",MONTH(F86))</f>
        <v/>
      </c>
      <c r="I86" s="21">
        <f>IFERROR(INDEX(Pedidos!$E$2:$E$1801,MATCH(B86,Pedidos!$A$2:$A$1801,0)),"")</f>
        <v/>
      </c>
      <c r="J86" s="21">
        <f>IFERROR(INDEX(Pedidos!$C$2:$C$1801,MATCH(B86,Pedidos!$A$2:$A$1801,0)),"")</f>
        <v/>
      </c>
      <c r="K86" s="21">
        <f>IFERROR(INDEX(Pedidos!$D$2:$D$1801,MATCH(B86,Pedidos!$A$2:$A$1801,0)),"")</f>
        <v/>
      </c>
      <c r="L86" s="21">
        <f>IFERROR(INDEX(Pedidos!$F$2:$F$1801,MATCH(B86,Pedidos!$A$2:$A$1801,0)),"")</f>
        <v/>
      </c>
      <c r="M86" s="22">
        <f>IFERROR(INDEX(Pedidos!$G$2:$G$1801,MATCH(B86,Pedidos!$A$2:$A$1801,0)),0)</f>
        <v/>
      </c>
      <c r="N86" s="21">
        <f>IFERROR(INDEX(Produtos!$B$2:$B$71,MATCH(C86,Produtos!$A$2:$A$71,0)),"")</f>
        <v/>
      </c>
      <c r="O86" s="21">
        <f>IFERROR(INDEX(Produtos!$C$2:$C$71,MATCH(C86,Produtos!$A$2:$A$71,0)),"")</f>
        <v/>
      </c>
      <c r="P86" s="21">
        <f>IFERROR(INDEX(Produtos!$D$2:$D$71,MATCH(C86,Produtos!$A$2:$A$71,0)),0)</f>
        <v/>
      </c>
      <c r="Q86" s="21">
        <f>IFERROR(INDEX(Produtos!$E$2:$E$71,MATCH(C86,Produtos!$A$2:$A$71,0)),0)</f>
        <v/>
      </c>
      <c r="R86" s="23">
        <f>D86*Q86</f>
        <v/>
      </c>
      <c r="S86" s="23">
        <f>R86*E86</f>
        <v/>
      </c>
      <c r="T86" s="23">
        <f>(R86-S86)*M86</f>
        <v/>
      </c>
      <c r="U86" s="23">
        <f>R86-S86-T86</f>
        <v/>
      </c>
      <c r="V86" s="23">
        <f>D86*P86</f>
        <v/>
      </c>
      <c r="W86" s="23">
        <f>U86-V86</f>
        <v/>
      </c>
      <c r="X86" s="24">
        <f>IFERROR(W86/U86,0)</f>
        <v/>
      </c>
    </row>
    <row r="87">
      <c r="A87" s="25">
        <f>ItensPedido!A87</f>
        <v/>
      </c>
      <c r="B87" s="25">
        <f>ItensPedido!B87</f>
        <v/>
      </c>
      <c r="C87" s="25">
        <f>ItensPedido!C87</f>
        <v/>
      </c>
      <c r="D87" s="25">
        <f>ItensPedido!D87</f>
        <v/>
      </c>
      <c r="E87" s="26">
        <f>ItensPedido!E87</f>
        <v/>
      </c>
      <c r="F87" s="25">
        <f>IFERROR(INDEX(Pedidos!$B$2:$B$1801,MATCH(B87,Pedidos!$A$2:$A$1801,0)),0)</f>
        <v/>
      </c>
      <c r="G87" s="25">
        <f>IF(F87=0,"",YEAR(F87))</f>
        <v/>
      </c>
      <c r="H87" s="25">
        <f>IF(F87=0,"",MONTH(F87))</f>
        <v/>
      </c>
      <c r="I87" s="25">
        <f>IFERROR(INDEX(Pedidos!$E$2:$E$1801,MATCH(B87,Pedidos!$A$2:$A$1801,0)),"")</f>
        <v/>
      </c>
      <c r="J87" s="25">
        <f>IFERROR(INDEX(Pedidos!$C$2:$C$1801,MATCH(B87,Pedidos!$A$2:$A$1801,0)),"")</f>
        <v/>
      </c>
      <c r="K87" s="25">
        <f>IFERROR(INDEX(Pedidos!$D$2:$D$1801,MATCH(B87,Pedidos!$A$2:$A$1801,0)),"")</f>
        <v/>
      </c>
      <c r="L87" s="25">
        <f>IFERROR(INDEX(Pedidos!$F$2:$F$1801,MATCH(B87,Pedidos!$A$2:$A$1801,0)),"")</f>
        <v/>
      </c>
      <c r="M87" s="26">
        <f>IFERROR(INDEX(Pedidos!$G$2:$G$1801,MATCH(B87,Pedidos!$A$2:$A$1801,0)),0)</f>
        <v/>
      </c>
      <c r="N87" s="25">
        <f>IFERROR(INDEX(Produtos!$B$2:$B$71,MATCH(C87,Produtos!$A$2:$A$71,0)),"")</f>
        <v/>
      </c>
      <c r="O87" s="25">
        <f>IFERROR(INDEX(Produtos!$C$2:$C$71,MATCH(C87,Produtos!$A$2:$A$71,0)),"")</f>
        <v/>
      </c>
      <c r="P87" s="25">
        <f>IFERROR(INDEX(Produtos!$D$2:$D$71,MATCH(C87,Produtos!$A$2:$A$71,0)),0)</f>
        <v/>
      </c>
      <c r="Q87" s="25">
        <f>IFERROR(INDEX(Produtos!$E$2:$E$71,MATCH(C87,Produtos!$A$2:$A$71,0)),0)</f>
        <v/>
      </c>
      <c r="R87" s="27">
        <f>D87*Q87</f>
        <v/>
      </c>
      <c r="S87" s="27">
        <f>R87*E87</f>
        <v/>
      </c>
      <c r="T87" s="27">
        <f>(R87-S87)*M87</f>
        <v/>
      </c>
      <c r="U87" s="27">
        <f>R87-S87-T87</f>
        <v/>
      </c>
      <c r="V87" s="27">
        <f>D87*P87</f>
        <v/>
      </c>
      <c r="W87" s="27">
        <f>U87-V87</f>
        <v/>
      </c>
      <c r="X87" s="28">
        <f>IFERROR(W87/U87,0)</f>
        <v/>
      </c>
    </row>
    <row r="88">
      <c r="A88" s="21">
        <f>ItensPedido!A88</f>
        <v/>
      </c>
      <c r="B88" s="21">
        <f>ItensPedido!B88</f>
        <v/>
      </c>
      <c r="C88" s="21">
        <f>ItensPedido!C88</f>
        <v/>
      </c>
      <c r="D88" s="21">
        <f>ItensPedido!D88</f>
        <v/>
      </c>
      <c r="E88" s="22">
        <f>ItensPedido!E88</f>
        <v/>
      </c>
      <c r="F88" s="21">
        <f>IFERROR(INDEX(Pedidos!$B$2:$B$1801,MATCH(B88,Pedidos!$A$2:$A$1801,0)),0)</f>
        <v/>
      </c>
      <c r="G88" s="21">
        <f>IF(F88=0,"",YEAR(F88))</f>
        <v/>
      </c>
      <c r="H88" s="21">
        <f>IF(F88=0,"",MONTH(F88))</f>
        <v/>
      </c>
      <c r="I88" s="21">
        <f>IFERROR(INDEX(Pedidos!$E$2:$E$1801,MATCH(B88,Pedidos!$A$2:$A$1801,0)),"")</f>
        <v/>
      </c>
      <c r="J88" s="21">
        <f>IFERROR(INDEX(Pedidos!$C$2:$C$1801,MATCH(B88,Pedidos!$A$2:$A$1801,0)),"")</f>
        <v/>
      </c>
      <c r="K88" s="21">
        <f>IFERROR(INDEX(Pedidos!$D$2:$D$1801,MATCH(B88,Pedidos!$A$2:$A$1801,0)),"")</f>
        <v/>
      </c>
      <c r="L88" s="21">
        <f>IFERROR(INDEX(Pedidos!$F$2:$F$1801,MATCH(B88,Pedidos!$A$2:$A$1801,0)),"")</f>
        <v/>
      </c>
      <c r="M88" s="22">
        <f>IFERROR(INDEX(Pedidos!$G$2:$G$1801,MATCH(B88,Pedidos!$A$2:$A$1801,0)),0)</f>
        <v/>
      </c>
      <c r="N88" s="21">
        <f>IFERROR(INDEX(Produtos!$B$2:$B$71,MATCH(C88,Produtos!$A$2:$A$71,0)),"")</f>
        <v/>
      </c>
      <c r="O88" s="21">
        <f>IFERROR(INDEX(Produtos!$C$2:$C$71,MATCH(C88,Produtos!$A$2:$A$71,0)),"")</f>
        <v/>
      </c>
      <c r="P88" s="21">
        <f>IFERROR(INDEX(Produtos!$D$2:$D$71,MATCH(C88,Produtos!$A$2:$A$71,0)),0)</f>
        <v/>
      </c>
      <c r="Q88" s="21">
        <f>IFERROR(INDEX(Produtos!$E$2:$E$71,MATCH(C88,Produtos!$A$2:$A$71,0)),0)</f>
        <v/>
      </c>
      <c r="R88" s="23">
        <f>D88*Q88</f>
        <v/>
      </c>
      <c r="S88" s="23">
        <f>R88*E88</f>
        <v/>
      </c>
      <c r="T88" s="23">
        <f>(R88-S88)*M88</f>
        <v/>
      </c>
      <c r="U88" s="23">
        <f>R88-S88-T88</f>
        <v/>
      </c>
      <c r="V88" s="23">
        <f>D88*P88</f>
        <v/>
      </c>
      <c r="W88" s="23">
        <f>U88-V88</f>
        <v/>
      </c>
      <c r="X88" s="24">
        <f>IFERROR(W88/U88,0)</f>
        <v/>
      </c>
    </row>
    <row r="89">
      <c r="A89" s="25">
        <f>ItensPedido!A89</f>
        <v/>
      </c>
      <c r="B89" s="25">
        <f>ItensPedido!B89</f>
        <v/>
      </c>
      <c r="C89" s="25">
        <f>ItensPedido!C89</f>
        <v/>
      </c>
      <c r="D89" s="25">
        <f>ItensPedido!D89</f>
        <v/>
      </c>
      <c r="E89" s="26">
        <f>ItensPedido!E89</f>
        <v/>
      </c>
      <c r="F89" s="25">
        <f>IFERROR(INDEX(Pedidos!$B$2:$B$1801,MATCH(B89,Pedidos!$A$2:$A$1801,0)),0)</f>
        <v/>
      </c>
      <c r="G89" s="25">
        <f>IF(F89=0,"",YEAR(F89))</f>
        <v/>
      </c>
      <c r="H89" s="25">
        <f>IF(F89=0,"",MONTH(F89))</f>
        <v/>
      </c>
      <c r="I89" s="25">
        <f>IFERROR(INDEX(Pedidos!$E$2:$E$1801,MATCH(B89,Pedidos!$A$2:$A$1801,0)),"")</f>
        <v/>
      </c>
      <c r="J89" s="25">
        <f>IFERROR(INDEX(Pedidos!$C$2:$C$1801,MATCH(B89,Pedidos!$A$2:$A$1801,0)),"")</f>
        <v/>
      </c>
      <c r="K89" s="25">
        <f>IFERROR(INDEX(Pedidos!$D$2:$D$1801,MATCH(B89,Pedidos!$A$2:$A$1801,0)),"")</f>
        <v/>
      </c>
      <c r="L89" s="25">
        <f>IFERROR(INDEX(Pedidos!$F$2:$F$1801,MATCH(B89,Pedidos!$A$2:$A$1801,0)),"")</f>
        <v/>
      </c>
      <c r="M89" s="26">
        <f>IFERROR(INDEX(Pedidos!$G$2:$G$1801,MATCH(B89,Pedidos!$A$2:$A$1801,0)),0)</f>
        <v/>
      </c>
      <c r="N89" s="25">
        <f>IFERROR(INDEX(Produtos!$B$2:$B$71,MATCH(C89,Produtos!$A$2:$A$71,0)),"")</f>
        <v/>
      </c>
      <c r="O89" s="25">
        <f>IFERROR(INDEX(Produtos!$C$2:$C$71,MATCH(C89,Produtos!$A$2:$A$71,0)),"")</f>
        <v/>
      </c>
      <c r="P89" s="25">
        <f>IFERROR(INDEX(Produtos!$D$2:$D$71,MATCH(C89,Produtos!$A$2:$A$71,0)),0)</f>
        <v/>
      </c>
      <c r="Q89" s="25">
        <f>IFERROR(INDEX(Produtos!$E$2:$E$71,MATCH(C89,Produtos!$A$2:$A$71,0)),0)</f>
        <v/>
      </c>
      <c r="R89" s="27">
        <f>D89*Q89</f>
        <v/>
      </c>
      <c r="S89" s="27">
        <f>R89*E89</f>
        <v/>
      </c>
      <c r="T89" s="27">
        <f>(R89-S89)*M89</f>
        <v/>
      </c>
      <c r="U89" s="27">
        <f>R89-S89-T89</f>
        <v/>
      </c>
      <c r="V89" s="27">
        <f>D89*P89</f>
        <v/>
      </c>
      <c r="W89" s="27">
        <f>U89-V89</f>
        <v/>
      </c>
      <c r="X89" s="28">
        <f>IFERROR(W89/U89,0)</f>
        <v/>
      </c>
    </row>
    <row r="90">
      <c r="A90" s="21">
        <f>ItensPedido!A90</f>
        <v/>
      </c>
      <c r="B90" s="21">
        <f>ItensPedido!B90</f>
        <v/>
      </c>
      <c r="C90" s="21">
        <f>ItensPedido!C90</f>
        <v/>
      </c>
      <c r="D90" s="21">
        <f>ItensPedido!D90</f>
        <v/>
      </c>
      <c r="E90" s="22">
        <f>ItensPedido!E90</f>
        <v/>
      </c>
      <c r="F90" s="21">
        <f>IFERROR(INDEX(Pedidos!$B$2:$B$1801,MATCH(B90,Pedidos!$A$2:$A$1801,0)),0)</f>
        <v/>
      </c>
      <c r="G90" s="21">
        <f>IF(F90=0,"",YEAR(F90))</f>
        <v/>
      </c>
      <c r="H90" s="21">
        <f>IF(F90=0,"",MONTH(F90))</f>
        <v/>
      </c>
      <c r="I90" s="21">
        <f>IFERROR(INDEX(Pedidos!$E$2:$E$1801,MATCH(B90,Pedidos!$A$2:$A$1801,0)),"")</f>
        <v/>
      </c>
      <c r="J90" s="21">
        <f>IFERROR(INDEX(Pedidos!$C$2:$C$1801,MATCH(B90,Pedidos!$A$2:$A$1801,0)),"")</f>
        <v/>
      </c>
      <c r="K90" s="21">
        <f>IFERROR(INDEX(Pedidos!$D$2:$D$1801,MATCH(B90,Pedidos!$A$2:$A$1801,0)),"")</f>
        <v/>
      </c>
      <c r="L90" s="21">
        <f>IFERROR(INDEX(Pedidos!$F$2:$F$1801,MATCH(B90,Pedidos!$A$2:$A$1801,0)),"")</f>
        <v/>
      </c>
      <c r="M90" s="22">
        <f>IFERROR(INDEX(Pedidos!$G$2:$G$1801,MATCH(B90,Pedidos!$A$2:$A$1801,0)),0)</f>
        <v/>
      </c>
      <c r="N90" s="21">
        <f>IFERROR(INDEX(Produtos!$B$2:$B$71,MATCH(C90,Produtos!$A$2:$A$71,0)),"")</f>
        <v/>
      </c>
      <c r="O90" s="21">
        <f>IFERROR(INDEX(Produtos!$C$2:$C$71,MATCH(C90,Produtos!$A$2:$A$71,0)),"")</f>
        <v/>
      </c>
      <c r="P90" s="21">
        <f>IFERROR(INDEX(Produtos!$D$2:$D$71,MATCH(C90,Produtos!$A$2:$A$71,0)),0)</f>
        <v/>
      </c>
      <c r="Q90" s="21">
        <f>IFERROR(INDEX(Produtos!$E$2:$E$71,MATCH(C90,Produtos!$A$2:$A$71,0)),0)</f>
        <v/>
      </c>
      <c r="R90" s="23">
        <f>D90*Q90</f>
        <v/>
      </c>
      <c r="S90" s="23">
        <f>R90*E90</f>
        <v/>
      </c>
      <c r="T90" s="23">
        <f>(R90-S90)*M90</f>
        <v/>
      </c>
      <c r="U90" s="23">
        <f>R90-S90-T90</f>
        <v/>
      </c>
      <c r="V90" s="23">
        <f>D90*P90</f>
        <v/>
      </c>
      <c r="W90" s="23">
        <f>U90-V90</f>
        <v/>
      </c>
      <c r="X90" s="24">
        <f>IFERROR(W90/U90,0)</f>
        <v/>
      </c>
    </row>
    <row r="91">
      <c r="A91" s="25">
        <f>ItensPedido!A91</f>
        <v/>
      </c>
      <c r="B91" s="25">
        <f>ItensPedido!B91</f>
        <v/>
      </c>
      <c r="C91" s="25">
        <f>ItensPedido!C91</f>
        <v/>
      </c>
      <c r="D91" s="25">
        <f>ItensPedido!D91</f>
        <v/>
      </c>
      <c r="E91" s="26">
        <f>ItensPedido!E91</f>
        <v/>
      </c>
      <c r="F91" s="25">
        <f>IFERROR(INDEX(Pedidos!$B$2:$B$1801,MATCH(B91,Pedidos!$A$2:$A$1801,0)),0)</f>
        <v/>
      </c>
      <c r="G91" s="25">
        <f>IF(F91=0,"",YEAR(F91))</f>
        <v/>
      </c>
      <c r="H91" s="25">
        <f>IF(F91=0,"",MONTH(F91))</f>
        <v/>
      </c>
      <c r="I91" s="25">
        <f>IFERROR(INDEX(Pedidos!$E$2:$E$1801,MATCH(B91,Pedidos!$A$2:$A$1801,0)),"")</f>
        <v/>
      </c>
      <c r="J91" s="25">
        <f>IFERROR(INDEX(Pedidos!$C$2:$C$1801,MATCH(B91,Pedidos!$A$2:$A$1801,0)),"")</f>
        <v/>
      </c>
      <c r="K91" s="25">
        <f>IFERROR(INDEX(Pedidos!$D$2:$D$1801,MATCH(B91,Pedidos!$A$2:$A$1801,0)),"")</f>
        <v/>
      </c>
      <c r="L91" s="25">
        <f>IFERROR(INDEX(Pedidos!$F$2:$F$1801,MATCH(B91,Pedidos!$A$2:$A$1801,0)),"")</f>
        <v/>
      </c>
      <c r="M91" s="26">
        <f>IFERROR(INDEX(Pedidos!$G$2:$G$1801,MATCH(B91,Pedidos!$A$2:$A$1801,0)),0)</f>
        <v/>
      </c>
      <c r="N91" s="25">
        <f>IFERROR(INDEX(Produtos!$B$2:$B$71,MATCH(C91,Produtos!$A$2:$A$71,0)),"")</f>
        <v/>
      </c>
      <c r="O91" s="25">
        <f>IFERROR(INDEX(Produtos!$C$2:$C$71,MATCH(C91,Produtos!$A$2:$A$71,0)),"")</f>
        <v/>
      </c>
      <c r="P91" s="25">
        <f>IFERROR(INDEX(Produtos!$D$2:$D$71,MATCH(C91,Produtos!$A$2:$A$71,0)),0)</f>
        <v/>
      </c>
      <c r="Q91" s="25">
        <f>IFERROR(INDEX(Produtos!$E$2:$E$71,MATCH(C91,Produtos!$A$2:$A$71,0)),0)</f>
        <v/>
      </c>
      <c r="R91" s="27">
        <f>D91*Q91</f>
        <v/>
      </c>
      <c r="S91" s="27">
        <f>R91*E91</f>
        <v/>
      </c>
      <c r="T91" s="27">
        <f>(R91-S91)*M91</f>
        <v/>
      </c>
      <c r="U91" s="27">
        <f>R91-S91-T91</f>
        <v/>
      </c>
      <c r="V91" s="27">
        <f>D91*P91</f>
        <v/>
      </c>
      <c r="W91" s="27">
        <f>U91-V91</f>
        <v/>
      </c>
      <c r="X91" s="28">
        <f>IFERROR(W91/U91,0)</f>
        <v/>
      </c>
    </row>
    <row r="92">
      <c r="A92" s="21">
        <f>ItensPedido!A92</f>
        <v/>
      </c>
      <c r="B92" s="21">
        <f>ItensPedido!B92</f>
        <v/>
      </c>
      <c r="C92" s="21">
        <f>ItensPedido!C92</f>
        <v/>
      </c>
      <c r="D92" s="21">
        <f>ItensPedido!D92</f>
        <v/>
      </c>
      <c r="E92" s="22">
        <f>ItensPedido!E92</f>
        <v/>
      </c>
      <c r="F92" s="21">
        <f>IFERROR(INDEX(Pedidos!$B$2:$B$1801,MATCH(B92,Pedidos!$A$2:$A$1801,0)),0)</f>
        <v/>
      </c>
      <c r="G92" s="21">
        <f>IF(F92=0,"",YEAR(F92))</f>
        <v/>
      </c>
      <c r="H92" s="21">
        <f>IF(F92=0,"",MONTH(F92))</f>
        <v/>
      </c>
      <c r="I92" s="21">
        <f>IFERROR(INDEX(Pedidos!$E$2:$E$1801,MATCH(B92,Pedidos!$A$2:$A$1801,0)),"")</f>
        <v/>
      </c>
      <c r="J92" s="21">
        <f>IFERROR(INDEX(Pedidos!$C$2:$C$1801,MATCH(B92,Pedidos!$A$2:$A$1801,0)),"")</f>
        <v/>
      </c>
      <c r="K92" s="21">
        <f>IFERROR(INDEX(Pedidos!$D$2:$D$1801,MATCH(B92,Pedidos!$A$2:$A$1801,0)),"")</f>
        <v/>
      </c>
      <c r="L92" s="21">
        <f>IFERROR(INDEX(Pedidos!$F$2:$F$1801,MATCH(B92,Pedidos!$A$2:$A$1801,0)),"")</f>
        <v/>
      </c>
      <c r="M92" s="22">
        <f>IFERROR(INDEX(Pedidos!$G$2:$G$1801,MATCH(B92,Pedidos!$A$2:$A$1801,0)),0)</f>
        <v/>
      </c>
      <c r="N92" s="21">
        <f>IFERROR(INDEX(Produtos!$B$2:$B$71,MATCH(C92,Produtos!$A$2:$A$71,0)),"")</f>
        <v/>
      </c>
      <c r="O92" s="21">
        <f>IFERROR(INDEX(Produtos!$C$2:$C$71,MATCH(C92,Produtos!$A$2:$A$71,0)),"")</f>
        <v/>
      </c>
      <c r="P92" s="21">
        <f>IFERROR(INDEX(Produtos!$D$2:$D$71,MATCH(C92,Produtos!$A$2:$A$71,0)),0)</f>
        <v/>
      </c>
      <c r="Q92" s="21">
        <f>IFERROR(INDEX(Produtos!$E$2:$E$71,MATCH(C92,Produtos!$A$2:$A$71,0)),0)</f>
        <v/>
      </c>
      <c r="R92" s="23">
        <f>D92*Q92</f>
        <v/>
      </c>
      <c r="S92" s="23">
        <f>R92*E92</f>
        <v/>
      </c>
      <c r="T92" s="23">
        <f>(R92-S92)*M92</f>
        <v/>
      </c>
      <c r="U92" s="23">
        <f>R92-S92-T92</f>
        <v/>
      </c>
      <c r="V92" s="23">
        <f>D92*P92</f>
        <v/>
      </c>
      <c r="W92" s="23">
        <f>U92-V92</f>
        <v/>
      </c>
      <c r="X92" s="24">
        <f>IFERROR(W92/U92,0)</f>
        <v/>
      </c>
    </row>
    <row r="93">
      <c r="A93" s="25">
        <f>ItensPedido!A93</f>
        <v/>
      </c>
      <c r="B93" s="25">
        <f>ItensPedido!B93</f>
        <v/>
      </c>
      <c r="C93" s="25">
        <f>ItensPedido!C93</f>
        <v/>
      </c>
      <c r="D93" s="25">
        <f>ItensPedido!D93</f>
        <v/>
      </c>
      <c r="E93" s="26">
        <f>ItensPedido!E93</f>
        <v/>
      </c>
      <c r="F93" s="25">
        <f>IFERROR(INDEX(Pedidos!$B$2:$B$1801,MATCH(B93,Pedidos!$A$2:$A$1801,0)),0)</f>
        <v/>
      </c>
      <c r="G93" s="25">
        <f>IF(F93=0,"",YEAR(F93))</f>
        <v/>
      </c>
      <c r="H93" s="25">
        <f>IF(F93=0,"",MONTH(F93))</f>
        <v/>
      </c>
      <c r="I93" s="25">
        <f>IFERROR(INDEX(Pedidos!$E$2:$E$1801,MATCH(B93,Pedidos!$A$2:$A$1801,0)),"")</f>
        <v/>
      </c>
      <c r="J93" s="25">
        <f>IFERROR(INDEX(Pedidos!$C$2:$C$1801,MATCH(B93,Pedidos!$A$2:$A$1801,0)),"")</f>
        <v/>
      </c>
      <c r="K93" s="25">
        <f>IFERROR(INDEX(Pedidos!$D$2:$D$1801,MATCH(B93,Pedidos!$A$2:$A$1801,0)),"")</f>
        <v/>
      </c>
      <c r="L93" s="25">
        <f>IFERROR(INDEX(Pedidos!$F$2:$F$1801,MATCH(B93,Pedidos!$A$2:$A$1801,0)),"")</f>
        <v/>
      </c>
      <c r="M93" s="26">
        <f>IFERROR(INDEX(Pedidos!$G$2:$G$1801,MATCH(B93,Pedidos!$A$2:$A$1801,0)),0)</f>
        <v/>
      </c>
      <c r="N93" s="25">
        <f>IFERROR(INDEX(Produtos!$B$2:$B$71,MATCH(C93,Produtos!$A$2:$A$71,0)),"")</f>
        <v/>
      </c>
      <c r="O93" s="25">
        <f>IFERROR(INDEX(Produtos!$C$2:$C$71,MATCH(C93,Produtos!$A$2:$A$71,0)),"")</f>
        <v/>
      </c>
      <c r="P93" s="25">
        <f>IFERROR(INDEX(Produtos!$D$2:$D$71,MATCH(C93,Produtos!$A$2:$A$71,0)),0)</f>
        <v/>
      </c>
      <c r="Q93" s="25">
        <f>IFERROR(INDEX(Produtos!$E$2:$E$71,MATCH(C93,Produtos!$A$2:$A$71,0)),0)</f>
        <v/>
      </c>
      <c r="R93" s="27">
        <f>D93*Q93</f>
        <v/>
      </c>
      <c r="S93" s="27">
        <f>R93*E93</f>
        <v/>
      </c>
      <c r="T93" s="27">
        <f>(R93-S93)*M93</f>
        <v/>
      </c>
      <c r="U93" s="27">
        <f>R93-S93-T93</f>
        <v/>
      </c>
      <c r="V93" s="27">
        <f>D93*P93</f>
        <v/>
      </c>
      <c r="W93" s="27">
        <f>U93-V93</f>
        <v/>
      </c>
      <c r="X93" s="28">
        <f>IFERROR(W93/U93,0)</f>
        <v/>
      </c>
    </row>
    <row r="94">
      <c r="A94" s="21">
        <f>ItensPedido!A94</f>
        <v/>
      </c>
      <c r="B94" s="21">
        <f>ItensPedido!B94</f>
        <v/>
      </c>
      <c r="C94" s="21">
        <f>ItensPedido!C94</f>
        <v/>
      </c>
      <c r="D94" s="21">
        <f>ItensPedido!D94</f>
        <v/>
      </c>
      <c r="E94" s="22">
        <f>ItensPedido!E94</f>
        <v/>
      </c>
      <c r="F94" s="21">
        <f>IFERROR(INDEX(Pedidos!$B$2:$B$1801,MATCH(B94,Pedidos!$A$2:$A$1801,0)),0)</f>
        <v/>
      </c>
      <c r="G94" s="21">
        <f>IF(F94=0,"",YEAR(F94))</f>
        <v/>
      </c>
      <c r="H94" s="21">
        <f>IF(F94=0,"",MONTH(F94))</f>
        <v/>
      </c>
      <c r="I94" s="21">
        <f>IFERROR(INDEX(Pedidos!$E$2:$E$1801,MATCH(B94,Pedidos!$A$2:$A$1801,0)),"")</f>
        <v/>
      </c>
      <c r="J94" s="21">
        <f>IFERROR(INDEX(Pedidos!$C$2:$C$1801,MATCH(B94,Pedidos!$A$2:$A$1801,0)),"")</f>
        <v/>
      </c>
      <c r="K94" s="21">
        <f>IFERROR(INDEX(Pedidos!$D$2:$D$1801,MATCH(B94,Pedidos!$A$2:$A$1801,0)),"")</f>
        <v/>
      </c>
      <c r="L94" s="21">
        <f>IFERROR(INDEX(Pedidos!$F$2:$F$1801,MATCH(B94,Pedidos!$A$2:$A$1801,0)),"")</f>
        <v/>
      </c>
      <c r="M94" s="22">
        <f>IFERROR(INDEX(Pedidos!$G$2:$G$1801,MATCH(B94,Pedidos!$A$2:$A$1801,0)),0)</f>
        <v/>
      </c>
      <c r="N94" s="21">
        <f>IFERROR(INDEX(Produtos!$B$2:$B$71,MATCH(C94,Produtos!$A$2:$A$71,0)),"")</f>
        <v/>
      </c>
      <c r="O94" s="21">
        <f>IFERROR(INDEX(Produtos!$C$2:$C$71,MATCH(C94,Produtos!$A$2:$A$71,0)),"")</f>
        <v/>
      </c>
      <c r="P94" s="21">
        <f>IFERROR(INDEX(Produtos!$D$2:$D$71,MATCH(C94,Produtos!$A$2:$A$71,0)),0)</f>
        <v/>
      </c>
      <c r="Q94" s="21">
        <f>IFERROR(INDEX(Produtos!$E$2:$E$71,MATCH(C94,Produtos!$A$2:$A$71,0)),0)</f>
        <v/>
      </c>
      <c r="R94" s="23">
        <f>D94*Q94</f>
        <v/>
      </c>
      <c r="S94" s="23">
        <f>R94*E94</f>
        <v/>
      </c>
      <c r="T94" s="23">
        <f>(R94-S94)*M94</f>
        <v/>
      </c>
      <c r="U94" s="23">
        <f>R94-S94-T94</f>
        <v/>
      </c>
      <c r="V94" s="23">
        <f>D94*P94</f>
        <v/>
      </c>
      <c r="W94" s="23">
        <f>U94-V94</f>
        <v/>
      </c>
      <c r="X94" s="24">
        <f>IFERROR(W94/U94,0)</f>
        <v/>
      </c>
    </row>
    <row r="95">
      <c r="A95" s="25">
        <f>ItensPedido!A95</f>
        <v/>
      </c>
      <c r="B95" s="25">
        <f>ItensPedido!B95</f>
        <v/>
      </c>
      <c r="C95" s="25">
        <f>ItensPedido!C95</f>
        <v/>
      </c>
      <c r="D95" s="25">
        <f>ItensPedido!D95</f>
        <v/>
      </c>
      <c r="E95" s="26">
        <f>ItensPedido!E95</f>
        <v/>
      </c>
      <c r="F95" s="25">
        <f>IFERROR(INDEX(Pedidos!$B$2:$B$1801,MATCH(B95,Pedidos!$A$2:$A$1801,0)),0)</f>
        <v/>
      </c>
      <c r="G95" s="25">
        <f>IF(F95=0,"",YEAR(F95))</f>
        <v/>
      </c>
      <c r="H95" s="25">
        <f>IF(F95=0,"",MONTH(F95))</f>
        <v/>
      </c>
      <c r="I95" s="25">
        <f>IFERROR(INDEX(Pedidos!$E$2:$E$1801,MATCH(B95,Pedidos!$A$2:$A$1801,0)),"")</f>
        <v/>
      </c>
      <c r="J95" s="25">
        <f>IFERROR(INDEX(Pedidos!$C$2:$C$1801,MATCH(B95,Pedidos!$A$2:$A$1801,0)),"")</f>
        <v/>
      </c>
      <c r="K95" s="25">
        <f>IFERROR(INDEX(Pedidos!$D$2:$D$1801,MATCH(B95,Pedidos!$A$2:$A$1801,0)),"")</f>
        <v/>
      </c>
      <c r="L95" s="25">
        <f>IFERROR(INDEX(Pedidos!$F$2:$F$1801,MATCH(B95,Pedidos!$A$2:$A$1801,0)),"")</f>
        <v/>
      </c>
      <c r="M95" s="26">
        <f>IFERROR(INDEX(Pedidos!$G$2:$G$1801,MATCH(B95,Pedidos!$A$2:$A$1801,0)),0)</f>
        <v/>
      </c>
      <c r="N95" s="25">
        <f>IFERROR(INDEX(Produtos!$B$2:$B$71,MATCH(C95,Produtos!$A$2:$A$71,0)),"")</f>
        <v/>
      </c>
      <c r="O95" s="25">
        <f>IFERROR(INDEX(Produtos!$C$2:$C$71,MATCH(C95,Produtos!$A$2:$A$71,0)),"")</f>
        <v/>
      </c>
      <c r="P95" s="25">
        <f>IFERROR(INDEX(Produtos!$D$2:$D$71,MATCH(C95,Produtos!$A$2:$A$71,0)),0)</f>
        <v/>
      </c>
      <c r="Q95" s="25">
        <f>IFERROR(INDEX(Produtos!$E$2:$E$71,MATCH(C95,Produtos!$A$2:$A$71,0)),0)</f>
        <v/>
      </c>
      <c r="R95" s="27">
        <f>D95*Q95</f>
        <v/>
      </c>
      <c r="S95" s="27">
        <f>R95*E95</f>
        <v/>
      </c>
      <c r="T95" s="27">
        <f>(R95-S95)*M95</f>
        <v/>
      </c>
      <c r="U95" s="27">
        <f>R95-S95-T95</f>
        <v/>
      </c>
      <c r="V95" s="27">
        <f>D95*P95</f>
        <v/>
      </c>
      <c r="W95" s="27">
        <f>U95-V95</f>
        <v/>
      </c>
      <c r="X95" s="28">
        <f>IFERROR(W95/U95,0)</f>
        <v/>
      </c>
    </row>
    <row r="96">
      <c r="A96" s="21">
        <f>ItensPedido!A96</f>
        <v/>
      </c>
      <c r="B96" s="21">
        <f>ItensPedido!B96</f>
        <v/>
      </c>
      <c r="C96" s="21">
        <f>ItensPedido!C96</f>
        <v/>
      </c>
      <c r="D96" s="21">
        <f>ItensPedido!D96</f>
        <v/>
      </c>
      <c r="E96" s="22">
        <f>ItensPedido!E96</f>
        <v/>
      </c>
      <c r="F96" s="21">
        <f>IFERROR(INDEX(Pedidos!$B$2:$B$1801,MATCH(B96,Pedidos!$A$2:$A$1801,0)),0)</f>
        <v/>
      </c>
      <c r="G96" s="21">
        <f>IF(F96=0,"",YEAR(F96))</f>
        <v/>
      </c>
      <c r="H96" s="21">
        <f>IF(F96=0,"",MONTH(F96))</f>
        <v/>
      </c>
      <c r="I96" s="21">
        <f>IFERROR(INDEX(Pedidos!$E$2:$E$1801,MATCH(B96,Pedidos!$A$2:$A$1801,0)),"")</f>
        <v/>
      </c>
      <c r="J96" s="21">
        <f>IFERROR(INDEX(Pedidos!$C$2:$C$1801,MATCH(B96,Pedidos!$A$2:$A$1801,0)),"")</f>
        <v/>
      </c>
      <c r="K96" s="21">
        <f>IFERROR(INDEX(Pedidos!$D$2:$D$1801,MATCH(B96,Pedidos!$A$2:$A$1801,0)),"")</f>
        <v/>
      </c>
      <c r="L96" s="21">
        <f>IFERROR(INDEX(Pedidos!$F$2:$F$1801,MATCH(B96,Pedidos!$A$2:$A$1801,0)),"")</f>
        <v/>
      </c>
      <c r="M96" s="22">
        <f>IFERROR(INDEX(Pedidos!$G$2:$G$1801,MATCH(B96,Pedidos!$A$2:$A$1801,0)),0)</f>
        <v/>
      </c>
      <c r="N96" s="21">
        <f>IFERROR(INDEX(Produtos!$B$2:$B$71,MATCH(C96,Produtos!$A$2:$A$71,0)),"")</f>
        <v/>
      </c>
      <c r="O96" s="21">
        <f>IFERROR(INDEX(Produtos!$C$2:$C$71,MATCH(C96,Produtos!$A$2:$A$71,0)),"")</f>
        <v/>
      </c>
      <c r="P96" s="21">
        <f>IFERROR(INDEX(Produtos!$D$2:$D$71,MATCH(C96,Produtos!$A$2:$A$71,0)),0)</f>
        <v/>
      </c>
      <c r="Q96" s="21">
        <f>IFERROR(INDEX(Produtos!$E$2:$E$71,MATCH(C96,Produtos!$A$2:$A$71,0)),0)</f>
        <v/>
      </c>
      <c r="R96" s="23">
        <f>D96*Q96</f>
        <v/>
      </c>
      <c r="S96" s="23">
        <f>R96*E96</f>
        <v/>
      </c>
      <c r="T96" s="23">
        <f>(R96-S96)*M96</f>
        <v/>
      </c>
      <c r="U96" s="23">
        <f>R96-S96-T96</f>
        <v/>
      </c>
      <c r="V96" s="23">
        <f>D96*P96</f>
        <v/>
      </c>
      <c r="W96" s="23">
        <f>U96-V96</f>
        <v/>
      </c>
      <c r="X96" s="24">
        <f>IFERROR(W96/U96,0)</f>
        <v/>
      </c>
    </row>
    <row r="97">
      <c r="A97" s="25">
        <f>ItensPedido!A97</f>
        <v/>
      </c>
      <c r="B97" s="25">
        <f>ItensPedido!B97</f>
        <v/>
      </c>
      <c r="C97" s="25">
        <f>ItensPedido!C97</f>
        <v/>
      </c>
      <c r="D97" s="25">
        <f>ItensPedido!D97</f>
        <v/>
      </c>
      <c r="E97" s="26">
        <f>ItensPedido!E97</f>
        <v/>
      </c>
      <c r="F97" s="25">
        <f>IFERROR(INDEX(Pedidos!$B$2:$B$1801,MATCH(B97,Pedidos!$A$2:$A$1801,0)),0)</f>
        <v/>
      </c>
      <c r="G97" s="25">
        <f>IF(F97=0,"",YEAR(F97))</f>
        <v/>
      </c>
      <c r="H97" s="25">
        <f>IF(F97=0,"",MONTH(F97))</f>
        <v/>
      </c>
      <c r="I97" s="25">
        <f>IFERROR(INDEX(Pedidos!$E$2:$E$1801,MATCH(B97,Pedidos!$A$2:$A$1801,0)),"")</f>
        <v/>
      </c>
      <c r="J97" s="25">
        <f>IFERROR(INDEX(Pedidos!$C$2:$C$1801,MATCH(B97,Pedidos!$A$2:$A$1801,0)),"")</f>
        <v/>
      </c>
      <c r="K97" s="25">
        <f>IFERROR(INDEX(Pedidos!$D$2:$D$1801,MATCH(B97,Pedidos!$A$2:$A$1801,0)),"")</f>
        <v/>
      </c>
      <c r="L97" s="25">
        <f>IFERROR(INDEX(Pedidos!$F$2:$F$1801,MATCH(B97,Pedidos!$A$2:$A$1801,0)),"")</f>
        <v/>
      </c>
      <c r="M97" s="26">
        <f>IFERROR(INDEX(Pedidos!$G$2:$G$1801,MATCH(B97,Pedidos!$A$2:$A$1801,0)),0)</f>
        <v/>
      </c>
      <c r="N97" s="25">
        <f>IFERROR(INDEX(Produtos!$B$2:$B$71,MATCH(C97,Produtos!$A$2:$A$71,0)),"")</f>
        <v/>
      </c>
      <c r="O97" s="25">
        <f>IFERROR(INDEX(Produtos!$C$2:$C$71,MATCH(C97,Produtos!$A$2:$A$71,0)),"")</f>
        <v/>
      </c>
      <c r="P97" s="25">
        <f>IFERROR(INDEX(Produtos!$D$2:$D$71,MATCH(C97,Produtos!$A$2:$A$71,0)),0)</f>
        <v/>
      </c>
      <c r="Q97" s="25">
        <f>IFERROR(INDEX(Produtos!$E$2:$E$71,MATCH(C97,Produtos!$A$2:$A$71,0)),0)</f>
        <v/>
      </c>
      <c r="R97" s="27">
        <f>D97*Q97</f>
        <v/>
      </c>
      <c r="S97" s="27">
        <f>R97*E97</f>
        <v/>
      </c>
      <c r="T97" s="27">
        <f>(R97-S97)*M97</f>
        <v/>
      </c>
      <c r="U97" s="27">
        <f>R97-S97-T97</f>
        <v/>
      </c>
      <c r="V97" s="27">
        <f>D97*P97</f>
        <v/>
      </c>
      <c r="W97" s="27">
        <f>U97-V97</f>
        <v/>
      </c>
      <c r="X97" s="28">
        <f>IFERROR(W97/U97,0)</f>
        <v/>
      </c>
    </row>
    <row r="98">
      <c r="A98" s="21">
        <f>ItensPedido!A98</f>
        <v/>
      </c>
      <c r="B98" s="21">
        <f>ItensPedido!B98</f>
        <v/>
      </c>
      <c r="C98" s="21">
        <f>ItensPedido!C98</f>
        <v/>
      </c>
      <c r="D98" s="21">
        <f>ItensPedido!D98</f>
        <v/>
      </c>
      <c r="E98" s="22">
        <f>ItensPedido!E98</f>
        <v/>
      </c>
      <c r="F98" s="21">
        <f>IFERROR(INDEX(Pedidos!$B$2:$B$1801,MATCH(B98,Pedidos!$A$2:$A$1801,0)),0)</f>
        <v/>
      </c>
      <c r="G98" s="21">
        <f>IF(F98=0,"",YEAR(F98))</f>
        <v/>
      </c>
      <c r="H98" s="21">
        <f>IF(F98=0,"",MONTH(F98))</f>
        <v/>
      </c>
      <c r="I98" s="21">
        <f>IFERROR(INDEX(Pedidos!$E$2:$E$1801,MATCH(B98,Pedidos!$A$2:$A$1801,0)),"")</f>
        <v/>
      </c>
      <c r="J98" s="21">
        <f>IFERROR(INDEX(Pedidos!$C$2:$C$1801,MATCH(B98,Pedidos!$A$2:$A$1801,0)),"")</f>
        <v/>
      </c>
      <c r="K98" s="21">
        <f>IFERROR(INDEX(Pedidos!$D$2:$D$1801,MATCH(B98,Pedidos!$A$2:$A$1801,0)),"")</f>
        <v/>
      </c>
      <c r="L98" s="21">
        <f>IFERROR(INDEX(Pedidos!$F$2:$F$1801,MATCH(B98,Pedidos!$A$2:$A$1801,0)),"")</f>
        <v/>
      </c>
      <c r="M98" s="22">
        <f>IFERROR(INDEX(Pedidos!$G$2:$G$1801,MATCH(B98,Pedidos!$A$2:$A$1801,0)),0)</f>
        <v/>
      </c>
      <c r="N98" s="21">
        <f>IFERROR(INDEX(Produtos!$B$2:$B$71,MATCH(C98,Produtos!$A$2:$A$71,0)),"")</f>
        <v/>
      </c>
      <c r="O98" s="21">
        <f>IFERROR(INDEX(Produtos!$C$2:$C$71,MATCH(C98,Produtos!$A$2:$A$71,0)),"")</f>
        <v/>
      </c>
      <c r="P98" s="21">
        <f>IFERROR(INDEX(Produtos!$D$2:$D$71,MATCH(C98,Produtos!$A$2:$A$71,0)),0)</f>
        <v/>
      </c>
      <c r="Q98" s="21">
        <f>IFERROR(INDEX(Produtos!$E$2:$E$71,MATCH(C98,Produtos!$A$2:$A$71,0)),0)</f>
        <v/>
      </c>
      <c r="R98" s="23">
        <f>D98*Q98</f>
        <v/>
      </c>
      <c r="S98" s="23">
        <f>R98*E98</f>
        <v/>
      </c>
      <c r="T98" s="23">
        <f>(R98-S98)*M98</f>
        <v/>
      </c>
      <c r="U98" s="23">
        <f>R98-S98-T98</f>
        <v/>
      </c>
      <c r="V98" s="23">
        <f>D98*P98</f>
        <v/>
      </c>
      <c r="W98" s="23">
        <f>U98-V98</f>
        <v/>
      </c>
      <c r="X98" s="24">
        <f>IFERROR(W98/U98,0)</f>
        <v/>
      </c>
    </row>
    <row r="99">
      <c r="A99" s="25">
        <f>ItensPedido!A99</f>
        <v/>
      </c>
      <c r="B99" s="25">
        <f>ItensPedido!B99</f>
        <v/>
      </c>
      <c r="C99" s="25">
        <f>ItensPedido!C99</f>
        <v/>
      </c>
      <c r="D99" s="25">
        <f>ItensPedido!D99</f>
        <v/>
      </c>
      <c r="E99" s="26">
        <f>ItensPedido!E99</f>
        <v/>
      </c>
      <c r="F99" s="25">
        <f>IFERROR(INDEX(Pedidos!$B$2:$B$1801,MATCH(B99,Pedidos!$A$2:$A$1801,0)),0)</f>
        <v/>
      </c>
      <c r="G99" s="25">
        <f>IF(F99=0,"",YEAR(F99))</f>
        <v/>
      </c>
      <c r="H99" s="25">
        <f>IF(F99=0,"",MONTH(F99))</f>
        <v/>
      </c>
      <c r="I99" s="25">
        <f>IFERROR(INDEX(Pedidos!$E$2:$E$1801,MATCH(B99,Pedidos!$A$2:$A$1801,0)),"")</f>
        <v/>
      </c>
      <c r="J99" s="25">
        <f>IFERROR(INDEX(Pedidos!$C$2:$C$1801,MATCH(B99,Pedidos!$A$2:$A$1801,0)),"")</f>
        <v/>
      </c>
      <c r="K99" s="25">
        <f>IFERROR(INDEX(Pedidos!$D$2:$D$1801,MATCH(B99,Pedidos!$A$2:$A$1801,0)),"")</f>
        <v/>
      </c>
      <c r="L99" s="25">
        <f>IFERROR(INDEX(Pedidos!$F$2:$F$1801,MATCH(B99,Pedidos!$A$2:$A$1801,0)),"")</f>
        <v/>
      </c>
      <c r="M99" s="26">
        <f>IFERROR(INDEX(Pedidos!$G$2:$G$1801,MATCH(B99,Pedidos!$A$2:$A$1801,0)),0)</f>
        <v/>
      </c>
      <c r="N99" s="25">
        <f>IFERROR(INDEX(Produtos!$B$2:$B$71,MATCH(C99,Produtos!$A$2:$A$71,0)),"")</f>
        <v/>
      </c>
      <c r="O99" s="25">
        <f>IFERROR(INDEX(Produtos!$C$2:$C$71,MATCH(C99,Produtos!$A$2:$A$71,0)),"")</f>
        <v/>
      </c>
      <c r="P99" s="25">
        <f>IFERROR(INDEX(Produtos!$D$2:$D$71,MATCH(C99,Produtos!$A$2:$A$71,0)),0)</f>
        <v/>
      </c>
      <c r="Q99" s="25">
        <f>IFERROR(INDEX(Produtos!$E$2:$E$71,MATCH(C99,Produtos!$A$2:$A$71,0)),0)</f>
        <v/>
      </c>
      <c r="R99" s="27">
        <f>D99*Q99</f>
        <v/>
      </c>
      <c r="S99" s="27">
        <f>R99*E99</f>
        <v/>
      </c>
      <c r="T99" s="27">
        <f>(R99-S99)*M99</f>
        <v/>
      </c>
      <c r="U99" s="27">
        <f>R99-S99-T99</f>
        <v/>
      </c>
      <c r="V99" s="27">
        <f>D99*P99</f>
        <v/>
      </c>
      <c r="W99" s="27">
        <f>U99-V99</f>
        <v/>
      </c>
      <c r="X99" s="28">
        <f>IFERROR(W99/U99,0)</f>
        <v/>
      </c>
    </row>
    <row r="100">
      <c r="A100" s="21">
        <f>ItensPedido!A100</f>
        <v/>
      </c>
      <c r="B100" s="21">
        <f>ItensPedido!B100</f>
        <v/>
      </c>
      <c r="C100" s="21">
        <f>ItensPedido!C100</f>
        <v/>
      </c>
      <c r="D100" s="21">
        <f>ItensPedido!D100</f>
        <v/>
      </c>
      <c r="E100" s="22">
        <f>ItensPedido!E100</f>
        <v/>
      </c>
      <c r="F100" s="21">
        <f>IFERROR(INDEX(Pedidos!$B$2:$B$1801,MATCH(B100,Pedidos!$A$2:$A$1801,0)),0)</f>
        <v/>
      </c>
      <c r="G100" s="21">
        <f>IF(F100=0,"",YEAR(F100))</f>
        <v/>
      </c>
      <c r="H100" s="21">
        <f>IF(F100=0,"",MONTH(F100))</f>
        <v/>
      </c>
      <c r="I100" s="21">
        <f>IFERROR(INDEX(Pedidos!$E$2:$E$1801,MATCH(B100,Pedidos!$A$2:$A$1801,0)),"")</f>
        <v/>
      </c>
      <c r="J100" s="21">
        <f>IFERROR(INDEX(Pedidos!$C$2:$C$1801,MATCH(B100,Pedidos!$A$2:$A$1801,0)),"")</f>
        <v/>
      </c>
      <c r="K100" s="21">
        <f>IFERROR(INDEX(Pedidos!$D$2:$D$1801,MATCH(B100,Pedidos!$A$2:$A$1801,0)),"")</f>
        <v/>
      </c>
      <c r="L100" s="21">
        <f>IFERROR(INDEX(Pedidos!$F$2:$F$1801,MATCH(B100,Pedidos!$A$2:$A$1801,0)),"")</f>
        <v/>
      </c>
      <c r="M100" s="22">
        <f>IFERROR(INDEX(Pedidos!$G$2:$G$1801,MATCH(B100,Pedidos!$A$2:$A$1801,0)),0)</f>
        <v/>
      </c>
      <c r="N100" s="21">
        <f>IFERROR(INDEX(Produtos!$B$2:$B$71,MATCH(C100,Produtos!$A$2:$A$71,0)),"")</f>
        <v/>
      </c>
      <c r="O100" s="21">
        <f>IFERROR(INDEX(Produtos!$C$2:$C$71,MATCH(C100,Produtos!$A$2:$A$71,0)),"")</f>
        <v/>
      </c>
      <c r="P100" s="21">
        <f>IFERROR(INDEX(Produtos!$D$2:$D$71,MATCH(C100,Produtos!$A$2:$A$71,0)),0)</f>
        <v/>
      </c>
      <c r="Q100" s="21">
        <f>IFERROR(INDEX(Produtos!$E$2:$E$71,MATCH(C100,Produtos!$A$2:$A$71,0)),0)</f>
        <v/>
      </c>
      <c r="R100" s="23">
        <f>D100*Q100</f>
        <v/>
      </c>
      <c r="S100" s="23">
        <f>R100*E100</f>
        <v/>
      </c>
      <c r="T100" s="23">
        <f>(R100-S100)*M100</f>
        <v/>
      </c>
      <c r="U100" s="23">
        <f>R100-S100-T100</f>
        <v/>
      </c>
      <c r="V100" s="23">
        <f>D100*P100</f>
        <v/>
      </c>
      <c r="W100" s="23">
        <f>U100-V100</f>
        <v/>
      </c>
      <c r="X100" s="24">
        <f>IFERROR(W100/U100,0)</f>
        <v/>
      </c>
    </row>
    <row r="101">
      <c r="A101" s="25">
        <f>ItensPedido!A101</f>
        <v/>
      </c>
      <c r="B101" s="25">
        <f>ItensPedido!B101</f>
        <v/>
      </c>
      <c r="C101" s="25">
        <f>ItensPedido!C101</f>
        <v/>
      </c>
      <c r="D101" s="25">
        <f>ItensPedido!D101</f>
        <v/>
      </c>
      <c r="E101" s="26">
        <f>ItensPedido!E101</f>
        <v/>
      </c>
      <c r="F101" s="25">
        <f>IFERROR(INDEX(Pedidos!$B$2:$B$1801,MATCH(B101,Pedidos!$A$2:$A$1801,0)),0)</f>
        <v/>
      </c>
      <c r="G101" s="25">
        <f>IF(F101=0,"",YEAR(F101))</f>
        <v/>
      </c>
      <c r="H101" s="25">
        <f>IF(F101=0,"",MONTH(F101))</f>
        <v/>
      </c>
      <c r="I101" s="25">
        <f>IFERROR(INDEX(Pedidos!$E$2:$E$1801,MATCH(B101,Pedidos!$A$2:$A$1801,0)),"")</f>
        <v/>
      </c>
      <c r="J101" s="25">
        <f>IFERROR(INDEX(Pedidos!$C$2:$C$1801,MATCH(B101,Pedidos!$A$2:$A$1801,0)),"")</f>
        <v/>
      </c>
      <c r="K101" s="25">
        <f>IFERROR(INDEX(Pedidos!$D$2:$D$1801,MATCH(B101,Pedidos!$A$2:$A$1801,0)),"")</f>
        <v/>
      </c>
      <c r="L101" s="25">
        <f>IFERROR(INDEX(Pedidos!$F$2:$F$1801,MATCH(B101,Pedidos!$A$2:$A$1801,0)),"")</f>
        <v/>
      </c>
      <c r="M101" s="26">
        <f>IFERROR(INDEX(Pedidos!$G$2:$G$1801,MATCH(B101,Pedidos!$A$2:$A$1801,0)),0)</f>
        <v/>
      </c>
      <c r="N101" s="25">
        <f>IFERROR(INDEX(Produtos!$B$2:$B$71,MATCH(C101,Produtos!$A$2:$A$71,0)),"")</f>
        <v/>
      </c>
      <c r="O101" s="25">
        <f>IFERROR(INDEX(Produtos!$C$2:$C$71,MATCH(C101,Produtos!$A$2:$A$71,0)),"")</f>
        <v/>
      </c>
      <c r="P101" s="25">
        <f>IFERROR(INDEX(Produtos!$D$2:$D$71,MATCH(C101,Produtos!$A$2:$A$71,0)),0)</f>
        <v/>
      </c>
      <c r="Q101" s="25">
        <f>IFERROR(INDEX(Produtos!$E$2:$E$71,MATCH(C101,Produtos!$A$2:$A$71,0)),0)</f>
        <v/>
      </c>
      <c r="R101" s="27">
        <f>D101*Q101</f>
        <v/>
      </c>
      <c r="S101" s="27">
        <f>R101*E101</f>
        <v/>
      </c>
      <c r="T101" s="27">
        <f>(R101-S101)*M101</f>
        <v/>
      </c>
      <c r="U101" s="27">
        <f>R101-S101-T101</f>
        <v/>
      </c>
      <c r="V101" s="27">
        <f>D101*P101</f>
        <v/>
      </c>
      <c r="W101" s="27">
        <f>U101-V101</f>
        <v/>
      </c>
      <c r="X101" s="28">
        <f>IFERROR(W101/U101,0)</f>
        <v/>
      </c>
    </row>
    <row r="102">
      <c r="A102" s="21">
        <f>ItensPedido!A102</f>
        <v/>
      </c>
      <c r="B102" s="21">
        <f>ItensPedido!B102</f>
        <v/>
      </c>
      <c r="C102" s="21">
        <f>ItensPedido!C102</f>
        <v/>
      </c>
      <c r="D102" s="21">
        <f>ItensPedido!D102</f>
        <v/>
      </c>
      <c r="E102" s="22">
        <f>ItensPedido!E102</f>
        <v/>
      </c>
      <c r="F102" s="21">
        <f>IFERROR(INDEX(Pedidos!$B$2:$B$1801,MATCH(B102,Pedidos!$A$2:$A$1801,0)),0)</f>
        <v/>
      </c>
      <c r="G102" s="21">
        <f>IF(F102=0,"",YEAR(F102))</f>
        <v/>
      </c>
      <c r="H102" s="21">
        <f>IF(F102=0,"",MONTH(F102))</f>
        <v/>
      </c>
      <c r="I102" s="21">
        <f>IFERROR(INDEX(Pedidos!$E$2:$E$1801,MATCH(B102,Pedidos!$A$2:$A$1801,0)),"")</f>
        <v/>
      </c>
      <c r="J102" s="21">
        <f>IFERROR(INDEX(Pedidos!$C$2:$C$1801,MATCH(B102,Pedidos!$A$2:$A$1801,0)),"")</f>
        <v/>
      </c>
      <c r="K102" s="21">
        <f>IFERROR(INDEX(Pedidos!$D$2:$D$1801,MATCH(B102,Pedidos!$A$2:$A$1801,0)),"")</f>
        <v/>
      </c>
      <c r="L102" s="21">
        <f>IFERROR(INDEX(Pedidos!$F$2:$F$1801,MATCH(B102,Pedidos!$A$2:$A$1801,0)),"")</f>
        <v/>
      </c>
      <c r="M102" s="22">
        <f>IFERROR(INDEX(Pedidos!$G$2:$G$1801,MATCH(B102,Pedidos!$A$2:$A$1801,0)),0)</f>
        <v/>
      </c>
      <c r="N102" s="21">
        <f>IFERROR(INDEX(Produtos!$B$2:$B$71,MATCH(C102,Produtos!$A$2:$A$71,0)),"")</f>
        <v/>
      </c>
      <c r="O102" s="21">
        <f>IFERROR(INDEX(Produtos!$C$2:$C$71,MATCH(C102,Produtos!$A$2:$A$71,0)),"")</f>
        <v/>
      </c>
      <c r="P102" s="21">
        <f>IFERROR(INDEX(Produtos!$D$2:$D$71,MATCH(C102,Produtos!$A$2:$A$71,0)),0)</f>
        <v/>
      </c>
      <c r="Q102" s="21">
        <f>IFERROR(INDEX(Produtos!$E$2:$E$71,MATCH(C102,Produtos!$A$2:$A$71,0)),0)</f>
        <v/>
      </c>
      <c r="R102" s="23">
        <f>D102*Q102</f>
        <v/>
      </c>
      <c r="S102" s="23">
        <f>R102*E102</f>
        <v/>
      </c>
      <c r="T102" s="23">
        <f>(R102-S102)*M102</f>
        <v/>
      </c>
      <c r="U102" s="23">
        <f>R102-S102-T102</f>
        <v/>
      </c>
      <c r="V102" s="23">
        <f>D102*P102</f>
        <v/>
      </c>
      <c r="W102" s="23">
        <f>U102-V102</f>
        <v/>
      </c>
      <c r="X102" s="24">
        <f>IFERROR(W102/U102,0)</f>
        <v/>
      </c>
    </row>
    <row r="103">
      <c r="A103" s="25">
        <f>ItensPedido!A103</f>
        <v/>
      </c>
      <c r="B103" s="25">
        <f>ItensPedido!B103</f>
        <v/>
      </c>
      <c r="C103" s="25">
        <f>ItensPedido!C103</f>
        <v/>
      </c>
      <c r="D103" s="25">
        <f>ItensPedido!D103</f>
        <v/>
      </c>
      <c r="E103" s="26">
        <f>ItensPedido!E103</f>
        <v/>
      </c>
      <c r="F103" s="25">
        <f>IFERROR(INDEX(Pedidos!$B$2:$B$1801,MATCH(B103,Pedidos!$A$2:$A$1801,0)),0)</f>
        <v/>
      </c>
      <c r="G103" s="25">
        <f>IF(F103=0,"",YEAR(F103))</f>
        <v/>
      </c>
      <c r="H103" s="25">
        <f>IF(F103=0,"",MONTH(F103))</f>
        <v/>
      </c>
      <c r="I103" s="25">
        <f>IFERROR(INDEX(Pedidos!$E$2:$E$1801,MATCH(B103,Pedidos!$A$2:$A$1801,0)),"")</f>
        <v/>
      </c>
      <c r="J103" s="25">
        <f>IFERROR(INDEX(Pedidos!$C$2:$C$1801,MATCH(B103,Pedidos!$A$2:$A$1801,0)),"")</f>
        <v/>
      </c>
      <c r="K103" s="25">
        <f>IFERROR(INDEX(Pedidos!$D$2:$D$1801,MATCH(B103,Pedidos!$A$2:$A$1801,0)),"")</f>
        <v/>
      </c>
      <c r="L103" s="25">
        <f>IFERROR(INDEX(Pedidos!$F$2:$F$1801,MATCH(B103,Pedidos!$A$2:$A$1801,0)),"")</f>
        <v/>
      </c>
      <c r="M103" s="26">
        <f>IFERROR(INDEX(Pedidos!$G$2:$G$1801,MATCH(B103,Pedidos!$A$2:$A$1801,0)),0)</f>
        <v/>
      </c>
      <c r="N103" s="25">
        <f>IFERROR(INDEX(Produtos!$B$2:$B$71,MATCH(C103,Produtos!$A$2:$A$71,0)),"")</f>
        <v/>
      </c>
      <c r="O103" s="25">
        <f>IFERROR(INDEX(Produtos!$C$2:$C$71,MATCH(C103,Produtos!$A$2:$A$71,0)),"")</f>
        <v/>
      </c>
      <c r="P103" s="25">
        <f>IFERROR(INDEX(Produtos!$D$2:$D$71,MATCH(C103,Produtos!$A$2:$A$71,0)),0)</f>
        <v/>
      </c>
      <c r="Q103" s="25">
        <f>IFERROR(INDEX(Produtos!$E$2:$E$71,MATCH(C103,Produtos!$A$2:$A$71,0)),0)</f>
        <v/>
      </c>
      <c r="R103" s="27">
        <f>D103*Q103</f>
        <v/>
      </c>
      <c r="S103" s="27">
        <f>R103*E103</f>
        <v/>
      </c>
      <c r="T103" s="27">
        <f>(R103-S103)*M103</f>
        <v/>
      </c>
      <c r="U103" s="27">
        <f>R103-S103-T103</f>
        <v/>
      </c>
      <c r="V103" s="27">
        <f>D103*P103</f>
        <v/>
      </c>
      <c r="W103" s="27">
        <f>U103-V103</f>
        <v/>
      </c>
      <c r="X103" s="28">
        <f>IFERROR(W103/U103,0)</f>
        <v/>
      </c>
    </row>
    <row r="104">
      <c r="A104" s="21">
        <f>ItensPedido!A104</f>
        <v/>
      </c>
      <c r="B104" s="21">
        <f>ItensPedido!B104</f>
        <v/>
      </c>
      <c r="C104" s="21">
        <f>ItensPedido!C104</f>
        <v/>
      </c>
      <c r="D104" s="21">
        <f>ItensPedido!D104</f>
        <v/>
      </c>
      <c r="E104" s="22">
        <f>ItensPedido!E104</f>
        <v/>
      </c>
      <c r="F104" s="21">
        <f>IFERROR(INDEX(Pedidos!$B$2:$B$1801,MATCH(B104,Pedidos!$A$2:$A$1801,0)),0)</f>
        <v/>
      </c>
      <c r="G104" s="21">
        <f>IF(F104=0,"",YEAR(F104))</f>
        <v/>
      </c>
      <c r="H104" s="21">
        <f>IF(F104=0,"",MONTH(F104))</f>
        <v/>
      </c>
      <c r="I104" s="21">
        <f>IFERROR(INDEX(Pedidos!$E$2:$E$1801,MATCH(B104,Pedidos!$A$2:$A$1801,0)),"")</f>
        <v/>
      </c>
      <c r="J104" s="21">
        <f>IFERROR(INDEX(Pedidos!$C$2:$C$1801,MATCH(B104,Pedidos!$A$2:$A$1801,0)),"")</f>
        <v/>
      </c>
      <c r="K104" s="21">
        <f>IFERROR(INDEX(Pedidos!$D$2:$D$1801,MATCH(B104,Pedidos!$A$2:$A$1801,0)),"")</f>
        <v/>
      </c>
      <c r="L104" s="21">
        <f>IFERROR(INDEX(Pedidos!$F$2:$F$1801,MATCH(B104,Pedidos!$A$2:$A$1801,0)),"")</f>
        <v/>
      </c>
      <c r="M104" s="22">
        <f>IFERROR(INDEX(Pedidos!$G$2:$G$1801,MATCH(B104,Pedidos!$A$2:$A$1801,0)),0)</f>
        <v/>
      </c>
      <c r="N104" s="21">
        <f>IFERROR(INDEX(Produtos!$B$2:$B$71,MATCH(C104,Produtos!$A$2:$A$71,0)),"")</f>
        <v/>
      </c>
      <c r="O104" s="21">
        <f>IFERROR(INDEX(Produtos!$C$2:$C$71,MATCH(C104,Produtos!$A$2:$A$71,0)),"")</f>
        <v/>
      </c>
      <c r="P104" s="21">
        <f>IFERROR(INDEX(Produtos!$D$2:$D$71,MATCH(C104,Produtos!$A$2:$A$71,0)),0)</f>
        <v/>
      </c>
      <c r="Q104" s="21">
        <f>IFERROR(INDEX(Produtos!$E$2:$E$71,MATCH(C104,Produtos!$A$2:$A$71,0)),0)</f>
        <v/>
      </c>
      <c r="R104" s="23">
        <f>D104*Q104</f>
        <v/>
      </c>
      <c r="S104" s="23">
        <f>R104*E104</f>
        <v/>
      </c>
      <c r="T104" s="23">
        <f>(R104-S104)*M104</f>
        <v/>
      </c>
      <c r="U104" s="23">
        <f>R104-S104-T104</f>
        <v/>
      </c>
      <c r="V104" s="23">
        <f>D104*P104</f>
        <v/>
      </c>
      <c r="W104" s="23">
        <f>U104-V104</f>
        <v/>
      </c>
      <c r="X104" s="24">
        <f>IFERROR(W104/U104,0)</f>
        <v/>
      </c>
    </row>
    <row r="105">
      <c r="A105" s="25">
        <f>ItensPedido!A105</f>
        <v/>
      </c>
      <c r="B105" s="25">
        <f>ItensPedido!B105</f>
        <v/>
      </c>
      <c r="C105" s="25">
        <f>ItensPedido!C105</f>
        <v/>
      </c>
      <c r="D105" s="25">
        <f>ItensPedido!D105</f>
        <v/>
      </c>
      <c r="E105" s="26">
        <f>ItensPedido!E105</f>
        <v/>
      </c>
      <c r="F105" s="25">
        <f>IFERROR(INDEX(Pedidos!$B$2:$B$1801,MATCH(B105,Pedidos!$A$2:$A$1801,0)),0)</f>
        <v/>
      </c>
      <c r="G105" s="25">
        <f>IF(F105=0,"",YEAR(F105))</f>
        <v/>
      </c>
      <c r="H105" s="25">
        <f>IF(F105=0,"",MONTH(F105))</f>
        <v/>
      </c>
      <c r="I105" s="25">
        <f>IFERROR(INDEX(Pedidos!$E$2:$E$1801,MATCH(B105,Pedidos!$A$2:$A$1801,0)),"")</f>
        <v/>
      </c>
      <c r="J105" s="25">
        <f>IFERROR(INDEX(Pedidos!$C$2:$C$1801,MATCH(B105,Pedidos!$A$2:$A$1801,0)),"")</f>
        <v/>
      </c>
      <c r="K105" s="25">
        <f>IFERROR(INDEX(Pedidos!$D$2:$D$1801,MATCH(B105,Pedidos!$A$2:$A$1801,0)),"")</f>
        <v/>
      </c>
      <c r="L105" s="25">
        <f>IFERROR(INDEX(Pedidos!$F$2:$F$1801,MATCH(B105,Pedidos!$A$2:$A$1801,0)),"")</f>
        <v/>
      </c>
      <c r="M105" s="26">
        <f>IFERROR(INDEX(Pedidos!$G$2:$G$1801,MATCH(B105,Pedidos!$A$2:$A$1801,0)),0)</f>
        <v/>
      </c>
      <c r="N105" s="25">
        <f>IFERROR(INDEX(Produtos!$B$2:$B$71,MATCH(C105,Produtos!$A$2:$A$71,0)),"")</f>
        <v/>
      </c>
      <c r="O105" s="25">
        <f>IFERROR(INDEX(Produtos!$C$2:$C$71,MATCH(C105,Produtos!$A$2:$A$71,0)),"")</f>
        <v/>
      </c>
      <c r="P105" s="25">
        <f>IFERROR(INDEX(Produtos!$D$2:$D$71,MATCH(C105,Produtos!$A$2:$A$71,0)),0)</f>
        <v/>
      </c>
      <c r="Q105" s="25">
        <f>IFERROR(INDEX(Produtos!$E$2:$E$71,MATCH(C105,Produtos!$A$2:$A$71,0)),0)</f>
        <v/>
      </c>
      <c r="R105" s="27">
        <f>D105*Q105</f>
        <v/>
      </c>
      <c r="S105" s="27">
        <f>R105*E105</f>
        <v/>
      </c>
      <c r="T105" s="27">
        <f>(R105-S105)*M105</f>
        <v/>
      </c>
      <c r="U105" s="27">
        <f>R105-S105-T105</f>
        <v/>
      </c>
      <c r="V105" s="27">
        <f>D105*P105</f>
        <v/>
      </c>
      <c r="W105" s="27">
        <f>U105-V105</f>
        <v/>
      </c>
      <c r="X105" s="28">
        <f>IFERROR(W105/U105,0)</f>
        <v/>
      </c>
    </row>
    <row r="106">
      <c r="A106" s="21">
        <f>ItensPedido!A106</f>
        <v/>
      </c>
      <c r="B106" s="21">
        <f>ItensPedido!B106</f>
        <v/>
      </c>
      <c r="C106" s="21">
        <f>ItensPedido!C106</f>
        <v/>
      </c>
      <c r="D106" s="21">
        <f>ItensPedido!D106</f>
        <v/>
      </c>
      <c r="E106" s="22">
        <f>ItensPedido!E106</f>
        <v/>
      </c>
      <c r="F106" s="21">
        <f>IFERROR(INDEX(Pedidos!$B$2:$B$1801,MATCH(B106,Pedidos!$A$2:$A$1801,0)),0)</f>
        <v/>
      </c>
      <c r="G106" s="21">
        <f>IF(F106=0,"",YEAR(F106))</f>
        <v/>
      </c>
      <c r="H106" s="21">
        <f>IF(F106=0,"",MONTH(F106))</f>
        <v/>
      </c>
      <c r="I106" s="21">
        <f>IFERROR(INDEX(Pedidos!$E$2:$E$1801,MATCH(B106,Pedidos!$A$2:$A$1801,0)),"")</f>
        <v/>
      </c>
      <c r="J106" s="21">
        <f>IFERROR(INDEX(Pedidos!$C$2:$C$1801,MATCH(B106,Pedidos!$A$2:$A$1801,0)),"")</f>
        <v/>
      </c>
      <c r="K106" s="21">
        <f>IFERROR(INDEX(Pedidos!$D$2:$D$1801,MATCH(B106,Pedidos!$A$2:$A$1801,0)),"")</f>
        <v/>
      </c>
      <c r="L106" s="21">
        <f>IFERROR(INDEX(Pedidos!$F$2:$F$1801,MATCH(B106,Pedidos!$A$2:$A$1801,0)),"")</f>
        <v/>
      </c>
      <c r="M106" s="22">
        <f>IFERROR(INDEX(Pedidos!$G$2:$G$1801,MATCH(B106,Pedidos!$A$2:$A$1801,0)),0)</f>
        <v/>
      </c>
      <c r="N106" s="21">
        <f>IFERROR(INDEX(Produtos!$B$2:$B$71,MATCH(C106,Produtos!$A$2:$A$71,0)),"")</f>
        <v/>
      </c>
      <c r="O106" s="21">
        <f>IFERROR(INDEX(Produtos!$C$2:$C$71,MATCH(C106,Produtos!$A$2:$A$71,0)),"")</f>
        <v/>
      </c>
      <c r="P106" s="21">
        <f>IFERROR(INDEX(Produtos!$D$2:$D$71,MATCH(C106,Produtos!$A$2:$A$71,0)),0)</f>
        <v/>
      </c>
      <c r="Q106" s="21">
        <f>IFERROR(INDEX(Produtos!$E$2:$E$71,MATCH(C106,Produtos!$A$2:$A$71,0)),0)</f>
        <v/>
      </c>
      <c r="R106" s="23">
        <f>D106*Q106</f>
        <v/>
      </c>
      <c r="S106" s="23">
        <f>R106*E106</f>
        <v/>
      </c>
      <c r="T106" s="23">
        <f>(R106-S106)*M106</f>
        <v/>
      </c>
      <c r="U106" s="23">
        <f>R106-S106-T106</f>
        <v/>
      </c>
      <c r="V106" s="23">
        <f>D106*P106</f>
        <v/>
      </c>
      <c r="W106" s="23">
        <f>U106-V106</f>
        <v/>
      </c>
      <c r="X106" s="24">
        <f>IFERROR(W106/U106,0)</f>
        <v/>
      </c>
    </row>
    <row r="107">
      <c r="A107" s="25">
        <f>ItensPedido!A107</f>
        <v/>
      </c>
      <c r="B107" s="25">
        <f>ItensPedido!B107</f>
        <v/>
      </c>
      <c r="C107" s="25">
        <f>ItensPedido!C107</f>
        <v/>
      </c>
      <c r="D107" s="25">
        <f>ItensPedido!D107</f>
        <v/>
      </c>
      <c r="E107" s="26">
        <f>ItensPedido!E107</f>
        <v/>
      </c>
      <c r="F107" s="25">
        <f>IFERROR(INDEX(Pedidos!$B$2:$B$1801,MATCH(B107,Pedidos!$A$2:$A$1801,0)),0)</f>
        <v/>
      </c>
      <c r="G107" s="25">
        <f>IF(F107=0,"",YEAR(F107))</f>
        <v/>
      </c>
      <c r="H107" s="25">
        <f>IF(F107=0,"",MONTH(F107))</f>
        <v/>
      </c>
      <c r="I107" s="25">
        <f>IFERROR(INDEX(Pedidos!$E$2:$E$1801,MATCH(B107,Pedidos!$A$2:$A$1801,0)),"")</f>
        <v/>
      </c>
      <c r="J107" s="25">
        <f>IFERROR(INDEX(Pedidos!$C$2:$C$1801,MATCH(B107,Pedidos!$A$2:$A$1801,0)),"")</f>
        <v/>
      </c>
      <c r="K107" s="25">
        <f>IFERROR(INDEX(Pedidos!$D$2:$D$1801,MATCH(B107,Pedidos!$A$2:$A$1801,0)),"")</f>
        <v/>
      </c>
      <c r="L107" s="25">
        <f>IFERROR(INDEX(Pedidos!$F$2:$F$1801,MATCH(B107,Pedidos!$A$2:$A$1801,0)),"")</f>
        <v/>
      </c>
      <c r="M107" s="26">
        <f>IFERROR(INDEX(Pedidos!$G$2:$G$1801,MATCH(B107,Pedidos!$A$2:$A$1801,0)),0)</f>
        <v/>
      </c>
      <c r="N107" s="25">
        <f>IFERROR(INDEX(Produtos!$B$2:$B$71,MATCH(C107,Produtos!$A$2:$A$71,0)),"")</f>
        <v/>
      </c>
      <c r="O107" s="25">
        <f>IFERROR(INDEX(Produtos!$C$2:$C$71,MATCH(C107,Produtos!$A$2:$A$71,0)),"")</f>
        <v/>
      </c>
      <c r="P107" s="25">
        <f>IFERROR(INDEX(Produtos!$D$2:$D$71,MATCH(C107,Produtos!$A$2:$A$71,0)),0)</f>
        <v/>
      </c>
      <c r="Q107" s="25">
        <f>IFERROR(INDEX(Produtos!$E$2:$E$71,MATCH(C107,Produtos!$A$2:$A$71,0)),0)</f>
        <v/>
      </c>
      <c r="R107" s="27">
        <f>D107*Q107</f>
        <v/>
      </c>
      <c r="S107" s="27">
        <f>R107*E107</f>
        <v/>
      </c>
      <c r="T107" s="27">
        <f>(R107-S107)*M107</f>
        <v/>
      </c>
      <c r="U107" s="27">
        <f>R107-S107-T107</f>
        <v/>
      </c>
      <c r="V107" s="27">
        <f>D107*P107</f>
        <v/>
      </c>
      <c r="W107" s="27">
        <f>U107-V107</f>
        <v/>
      </c>
      <c r="X107" s="28">
        <f>IFERROR(W107/U107,0)</f>
        <v/>
      </c>
    </row>
    <row r="108">
      <c r="A108" s="21">
        <f>ItensPedido!A108</f>
        <v/>
      </c>
      <c r="B108" s="21">
        <f>ItensPedido!B108</f>
        <v/>
      </c>
      <c r="C108" s="21">
        <f>ItensPedido!C108</f>
        <v/>
      </c>
      <c r="D108" s="21">
        <f>ItensPedido!D108</f>
        <v/>
      </c>
      <c r="E108" s="22">
        <f>ItensPedido!E108</f>
        <v/>
      </c>
      <c r="F108" s="21">
        <f>IFERROR(INDEX(Pedidos!$B$2:$B$1801,MATCH(B108,Pedidos!$A$2:$A$1801,0)),0)</f>
        <v/>
      </c>
      <c r="G108" s="21">
        <f>IF(F108=0,"",YEAR(F108))</f>
        <v/>
      </c>
      <c r="H108" s="21">
        <f>IF(F108=0,"",MONTH(F108))</f>
        <v/>
      </c>
      <c r="I108" s="21">
        <f>IFERROR(INDEX(Pedidos!$E$2:$E$1801,MATCH(B108,Pedidos!$A$2:$A$1801,0)),"")</f>
        <v/>
      </c>
      <c r="J108" s="21">
        <f>IFERROR(INDEX(Pedidos!$C$2:$C$1801,MATCH(B108,Pedidos!$A$2:$A$1801,0)),"")</f>
        <v/>
      </c>
      <c r="K108" s="21">
        <f>IFERROR(INDEX(Pedidos!$D$2:$D$1801,MATCH(B108,Pedidos!$A$2:$A$1801,0)),"")</f>
        <v/>
      </c>
      <c r="L108" s="21">
        <f>IFERROR(INDEX(Pedidos!$F$2:$F$1801,MATCH(B108,Pedidos!$A$2:$A$1801,0)),"")</f>
        <v/>
      </c>
      <c r="M108" s="22">
        <f>IFERROR(INDEX(Pedidos!$G$2:$G$1801,MATCH(B108,Pedidos!$A$2:$A$1801,0)),0)</f>
        <v/>
      </c>
      <c r="N108" s="21">
        <f>IFERROR(INDEX(Produtos!$B$2:$B$71,MATCH(C108,Produtos!$A$2:$A$71,0)),"")</f>
        <v/>
      </c>
      <c r="O108" s="21">
        <f>IFERROR(INDEX(Produtos!$C$2:$C$71,MATCH(C108,Produtos!$A$2:$A$71,0)),"")</f>
        <v/>
      </c>
      <c r="P108" s="21">
        <f>IFERROR(INDEX(Produtos!$D$2:$D$71,MATCH(C108,Produtos!$A$2:$A$71,0)),0)</f>
        <v/>
      </c>
      <c r="Q108" s="21">
        <f>IFERROR(INDEX(Produtos!$E$2:$E$71,MATCH(C108,Produtos!$A$2:$A$71,0)),0)</f>
        <v/>
      </c>
      <c r="R108" s="23">
        <f>D108*Q108</f>
        <v/>
      </c>
      <c r="S108" s="23">
        <f>R108*E108</f>
        <v/>
      </c>
      <c r="T108" s="23">
        <f>(R108-S108)*M108</f>
        <v/>
      </c>
      <c r="U108" s="23">
        <f>R108-S108-T108</f>
        <v/>
      </c>
      <c r="V108" s="23">
        <f>D108*P108</f>
        <v/>
      </c>
      <c r="W108" s="23">
        <f>U108-V108</f>
        <v/>
      </c>
      <c r="X108" s="24">
        <f>IFERROR(W108/U108,0)</f>
        <v/>
      </c>
    </row>
    <row r="109">
      <c r="A109" s="25">
        <f>ItensPedido!A109</f>
        <v/>
      </c>
      <c r="B109" s="25">
        <f>ItensPedido!B109</f>
        <v/>
      </c>
      <c r="C109" s="25">
        <f>ItensPedido!C109</f>
        <v/>
      </c>
      <c r="D109" s="25">
        <f>ItensPedido!D109</f>
        <v/>
      </c>
      <c r="E109" s="26">
        <f>ItensPedido!E109</f>
        <v/>
      </c>
      <c r="F109" s="25">
        <f>IFERROR(INDEX(Pedidos!$B$2:$B$1801,MATCH(B109,Pedidos!$A$2:$A$1801,0)),0)</f>
        <v/>
      </c>
      <c r="G109" s="25">
        <f>IF(F109=0,"",YEAR(F109))</f>
        <v/>
      </c>
      <c r="H109" s="25">
        <f>IF(F109=0,"",MONTH(F109))</f>
        <v/>
      </c>
      <c r="I109" s="25">
        <f>IFERROR(INDEX(Pedidos!$E$2:$E$1801,MATCH(B109,Pedidos!$A$2:$A$1801,0)),"")</f>
        <v/>
      </c>
      <c r="J109" s="25">
        <f>IFERROR(INDEX(Pedidos!$C$2:$C$1801,MATCH(B109,Pedidos!$A$2:$A$1801,0)),"")</f>
        <v/>
      </c>
      <c r="K109" s="25">
        <f>IFERROR(INDEX(Pedidos!$D$2:$D$1801,MATCH(B109,Pedidos!$A$2:$A$1801,0)),"")</f>
        <v/>
      </c>
      <c r="L109" s="25">
        <f>IFERROR(INDEX(Pedidos!$F$2:$F$1801,MATCH(B109,Pedidos!$A$2:$A$1801,0)),"")</f>
        <v/>
      </c>
      <c r="M109" s="26">
        <f>IFERROR(INDEX(Pedidos!$G$2:$G$1801,MATCH(B109,Pedidos!$A$2:$A$1801,0)),0)</f>
        <v/>
      </c>
      <c r="N109" s="25">
        <f>IFERROR(INDEX(Produtos!$B$2:$B$71,MATCH(C109,Produtos!$A$2:$A$71,0)),"")</f>
        <v/>
      </c>
      <c r="O109" s="25">
        <f>IFERROR(INDEX(Produtos!$C$2:$C$71,MATCH(C109,Produtos!$A$2:$A$71,0)),"")</f>
        <v/>
      </c>
      <c r="P109" s="25">
        <f>IFERROR(INDEX(Produtos!$D$2:$D$71,MATCH(C109,Produtos!$A$2:$A$71,0)),0)</f>
        <v/>
      </c>
      <c r="Q109" s="25">
        <f>IFERROR(INDEX(Produtos!$E$2:$E$71,MATCH(C109,Produtos!$A$2:$A$71,0)),0)</f>
        <v/>
      </c>
      <c r="R109" s="27">
        <f>D109*Q109</f>
        <v/>
      </c>
      <c r="S109" s="27">
        <f>R109*E109</f>
        <v/>
      </c>
      <c r="T109" s="27">
        <f>(R109-S109)*M109</f>
        <v/>
      </c>
      <c r="U109" s="27">
        <f>R109-S109-T109</f>
        <v/>
      </c>
      <c r="V109" s="27">
        <f>D109*P109</f>
        <v/>
      </c>
      <c r="W109" s="27">
        <f>U109-V109</f>
        <v/>
      </c>
      <c r="X109" s="28">
        <f>IFERROR(W109/U109,0)</f>
        <v/>
      </c>
    </row>
    <row r="110">
      <c r="A110" s="21">
        <f>ItensPedido!A110</f>
        <v/>
      </c>
      <c r="B110" s="21">
        <f>ItensPedido!B110</f>
        <v/>
      </c>
      <c r="C110" s="21">
        <f>ItensPedido!C110</f>
        <v/>
      </c>
      <c r="D110" s="21">
        <f>ItensPedido!D110</f>
        <v/>
      </c>
      <c r="E110" s="22">
        <f>ItensPedido!E110</f>
        <v/>
      </c>
      <c r="F110" s="21">
        <f>IFERROR(INDEX(Pedidos!$B$2:$B$1801,MATCH(B110,Pedidos!$A$2:$A$1801,0)),0)</f>
        <v/>
      </c>
      <c r="G110" s="21">
        <f>IF(F110=0,"",YEAR(F110))</f>
        <v/>
      </c>
      <c r="H110" s="21">
        <f>IF(F110=0,"",MONTH(F110))</f>
        <v/>
      </c>
      <c r="I110" s="21">
        <f>IFERROR(INDEX(Pedidos!$E$2:$E$1801,MATCH(B110,Pedidos!$A$2:$A$1801,0)),"")</f>
        <v/>
      </c>
      <c r="J110" s="21">
        <f>IFERROR(INDEX(Pedidos!$C$2:$C$1801,MATCH(B110,Pedidos!$A$2:$A$1801,0)),"")</f>
        <v/>
      </c>
      <c r="K110" s="21">
        <f>IFERROR(INDEX(Pedidos!$D$2:$D$1801,MATCH(B110,Pedidos!$A$2:$A$1801,0)),"")</f>
        <v/>
      </c>
      <c r="L110" s="21">
        <f>IFERROR(INDEX(Pedidos!$F$2:$F$1801,MATCH(B110,Pedidos!$A$2:$A$1801,0)),"")</f>
        <v/>
      </c>
      <c r="M110" s="22">
        <f>IFERROR(INDEX(Pedidos!$G$2:$G$1801,MATCH(B110,Pedidos!$A$2:$A$1801,0)),0)</f>
        <v/>
      </c>
      <c r="N110" s="21">
        <f>IFERROR(INDEX(Produtos!$B$2:$B$71,MATCH(C110,Produtos!$A$2:$A$71,0)),"")</f>
        <v/>
      </c>
      <c r="O110" s="21">
        <f>IFERROR(INDEX(Produtos!$C$2:$C$71,MATCH(C110,Produtos!$A$2:$A$71,0)),"")</f>
        <v/>
      </c>
      <c r="P110" s="21">
        <f>IFERROR(INDEX(Produtos!$D$2:$D$71,MATCH(C110,Produtos!$A$2:$A$71,0)),0)</f>
        <v/>
      </c>
      <c r="Q110" s="21">
        <f>IFERROR(INDEX(Produtos!$E$2:$E$71,MATCH(C110,Produtos!$A$2:$A$71,0)),0)</f>
        <v/>
      </c>
      <c r="R110" s="23">
        <f>D110*Q110</f>
        <v/>
      </c>
      <c r="S110" s="23">
        <f>R110*E110</f>
        <v/>
      </c>
      <c r="T110" s="23">
        <f>(R110-S110)*M110</f>
        <v/>
      </c>
      <c r="U110" s="23">
        <f>R110-S110-T110</f>
        <v/>
      </c>
      <c r="V110" s="23">
        <f>D110*P110</f>
        <v/>
      </c>
      <c r="W110" s="23">
        <f>U110-V110</f>
        <v/>
      </c>
      <c r="X110" s="24">
        <f>IFERROR(W110/U110,0)</f>
        <v/>
      </c>
    </row>
    <row r="111">
      <c r="A111" s="25">
        <f>ItensPedido!A111</f>
        <v/>
      </c>
      <c r="B111" s="25">
        <f>ItensPedido!B111</f>
        <v/>
      </c>
      <c r="C111" s="25">
        <f>ItensPedido!C111</f>
        <v/>
      </c>
      <c r="D111" s="25">
        <f>ItensPedido!D111</f>
        <v/>
      </c>
      <c r="E111" s="26">
        <f>ItensPedido!E111</f>
        <v/>
      </c>
      <c r="F111" s="25">
        <f>IFERROR(INDEX(Pedidos!$B$2:$B$1801,MATCH(B111,Pedidos!$A$2:$A$1801,0)),0)</f>
        <v/>
      </c>
      <c r="G111" s="25">
        <f>IF(F111=0,"",YEAR(F111))</f>
        <v/>
      </c>
      <c r="H111" s="25">
        <f>IF(F111=0,"",MONTH(F111))</f>
        <v/>
      </c>
      <c r="I111" s="25">
        <f>IFERROR(INDEX(Pedidos!$E$2:$E$1801,MATCH(B111,Pedidos!$A$2:$A$1801,0)),"")</f>
        <v/>
      </c>
      <c r="J111" s="25">
        <f>IFERROR(INDEX(Pedidos!$C$2:$C$1801,MATCH(B111,Pedidos!$A$2:$A$1801,0)),"")</f>
        <v/>
      </c>
      <c r="K111" s="25">
        <f>IFERROR(INDEX(Pedidos!$D$2:$D$1801,MATCH(B111,Pedidos!$A$2:$A$1801,0)),"")</f>
        <v/>
      </c>
      <c r="L111" s="25">
        <f>IFERROR(INDEX(Pedidos!$F$2:$F$1801,MATCH(B111,Pedidos!$A$2:$A$1801,0)),"")</f>
        <v/>
      </c>
      <c r="M111" s="26">
        <f>IFERROR(INDEX(Pedidos!$G$2:$G$1801,MATCH(B111,Pedidos!$A$2:$A$1801,0)),0)</f>
        <v/>
      </c>
      <c r="N111" s="25">
        <f>IFERROR(INDEX(Produtos!$B$2:$B$71,MATCH(C111,Produtos!$A$2:$A$71,0)),"")</f>
        <v/>
      </c>
      <c r="O111" s="25">
        <f>IFERROR(INDEX(Produtos!$C$2:$C$71,MATCH(C111,Produtos!$A$2:$A$71,0)),"")</f>
        <v/>
      </c>
      <c r="P111" s="25">
        <f>IFERROR(INDEX(Produtos!$D$2:$D$71,MATCH(C111,Produtos!$A$2:$A$71,0)),0)</f>
        <v/>
      </c>
      <c r="Q111" s="25">
        <f>IFERROR(INDEX(Produtos!$E$2:$E$71,MATCH(C111,Produtos!$A$2:$A$71,0)),0)</f>
        <v/>
      </c>
      <c r="R111" s="27">
        <f>D111*Q111</f>
        <v/>
      </c>
      <c r="S111" s="27">
        <f>R111*E111</f>
        <v/>
      </c>
      <c r="T111" s="27">
        <f>(R111-S111)*M111</f>
        <v/>
      </c>
      <c r="U111" s="27">
        <f>R111-S111-T111</f>
        <v/>
      </c>
      <c r="V111" s="27">
        <f>D111*P111</f>
        <v/>
      </c>
      <c r="W111" s="27">
        <f>U111-V111</f>
        <v/>
      </c>
      <c r="X111" s="28">
        <f>IFERROR(W111/U111,0)</f>
        <v/>
      </c>
    </row>
    <row r="112">
      <c r="A112" s="21">
        <f>ItensPedido!A112</f>
        <v/>
      </c>
      <c r="B112" s="21">
        <f>ItensPedido!B112</f>
        <v/>
      </c>
      <c r="C112" s="21">
        <f>ItensPedido!C112</f>
        <v/>
      </c>
      <c r="D112" s="21">
        <f>ItensPedido!D112</f>
        <v/>
      </c>
      <c r="E112" s="22">
        <f>ItensPedido!E112</f>
        <v/>
      </c>
      <c r="F112" s="21">
        <f>IFERROR(INDEX(Pedidos!$B$2:$B$1801,MATCH(B112,Pedidos!$A$2:$A$1801,0)),0)</f>
        <v/>
      </c>
      <c r="G112" s="21">
        <f>IF(F112=0,"",YEAR(F112))</f>
        <v/>
      </c>
      <c r="H112" s="21">
        <f>IF(F112=0,"",MONTH(F112))</f>
        <v/>
      </c>
      <c r="I112" s="21">
        <f>IFERROR(INDEX(Pedidos!$E$2:$E$1801,MATCH(B112,Pedidos!$A$2:$A$1801,0)),"")</f>
        <v/>
      </c>
      <c r="J112" s="21">
        <f>IFERROR(INDEX(Pedidos!$C$2:$C$1801,MATCH(B112,Pedidos!$A$2:$A$1801,0)),"")</f>
        <v/>
      </c>
      <c r="K112" s="21">
        <f>IFERROR(INDEX(Pedidos!$D$2:$D$1801,MATCH(B112,Pedidos!$A$2:$A$1801,0)),"")</f>
        <v/>
      </c>
      <c r="L112" s="21">
        <f>IFERROR(INDEX(Pedidos!$F$2:$F$1801,MATCH(B112,Pedidos!$A$2:$A$1801,0)),"")</f>
        <v/>
      </c>
      <c r="M112" s="22">
        <f>IFERROR(INDEX(Pedidos!$G$2:$G$1801,MATCH(B112,Pedidos!$A$2:$A$1801,0)),0)</f>
        <v/>
      </c>
      <c r="N112" s="21">
        <f>IFERROR(INDEX(Produtos!$B$2:$B$71,MATCH(C112,Produtos!$A$2:$A$71,0)),"")</f>
        <v/>
      </c>
      <c r="O112" s="21">
        <f>IFERROR(INDEX(Produtos!$C$2:$C$71,MATCH(C112,Produtos!$A$2:$A$71,0)),"")</f>
        <v/>
      </c>
      <c r="P112" s="21">
        <f>IFERROR(INDEX(Produtos!$D$2:$D$71,MATCH(C112,Produtos!$A$2:$A$71,0)),0)</f>
        <v/>
      </c>
      <c r="Q112" s="21">
        <f>IFERROR(INDEX(Produtos!$E$2:$E$71,MATCH(C112,Produtos!$A$2:$A$71,0)),0)</f>
        <v/>
      </c>
      <c r="R112" s="23">
        <f>D112*Q112</f>
        <v/>
      </c>
      <c r="S112" s="23">
        <f>R112*E112</f>
        <v/>
      </c>
      <c r="T112" s="23">
        <f>(R112-S112)*M112</f>
        <v/>
      </c>
      <c r="U112" s="23">
        <f>R112-S112-T112</f>
        <v/>
      </c>
      <c r="V112" s="23">
        <f>D112*P112</f>
        <v/>
      </c>
      <c r="W112" s="23">
        <f>U112-V112</f>
        <v/>
      </c>
      <c r="X112" s="24">
        <f>IFERROR(W112/U112,0)</f>
        <v/>
      </c>
    </row>
    <row r="113">
      <c r="A113" s="25">
        <f>ItensPedido!A113</f>
        <v/>
      </c>
      <c r="B113" s="25">
        <f>ItensPedido!B113</f>
        <v/>
      </c>
      <c r="C113" s="25">
        <f>ItensPedido!C113</f>
        <v/>
      </c>
      <c r="D113" s="25">
        <f>ItensPedido!D113</f>
        <v/>
      </c>
      <c r="E113" s="26">
        <f>ItensPedido!E113</f>
        <v/>
      </c>
      <c r="F113" s="25">
        <f>IFERROR(INDEX(Pedidos!$B$2:$B$1801,MATCH(B113,Pedidos!$A$2:$A$1801,0)),0)</f>
        <v/>
      </c>
      <c r="G113" s="25">
        <f>IF(F113=0,"",YEAR(F113))</f>
        <v/>
      </c>
      <c r="H113" s="25">
        <f>IF(F113=0,"",MONTH(F113))</f>
        <v/>
      </c>
      <c r="I113" s="25">
        <f>IFERROR(INDEX(Pedidos!$E$2:$E$1801,MATCH(B113,Pedidos!$A$2:$A$1801,0)),"")</f>
        <v/>
      </c>
      <c r="J113" s="25">
        <f>IFERROR(INDEX(Pedidos!$C$2:$C$1801,MATCH(B113,Pedidos!$A$2:$A$1801,0)),"")</f>
        <v/>
      </c>
      <c r="K113" s="25">
        <f>IFERROR(INDEX(Pedidos!$D$2:$D$1801,MATCH(B113,Pedidos!$A$2:$A$1801,0)),"")</f>
        <v/>
      </c>
      <c r="L113" s="25">
        <f>IFERROR(INDEX(Pedidos!$F$2:$F$1801,MATCH(B113,Pedidos!$A$2:$A$1801,0)),"")</f>
        <v/>
      </c>
      <c r="M113" s="26">
        <f>IFERROR(INDEX(Pedidos!$G$2:$G$1801,MATCH(B113,Pedidos!$A$2:$A$1801,0)),0)</f>
        <v/>
      </c>
      <c r="N113" s="25">
        <f>IFERROR(INDEX(Produtos!$B$2:$B$71,MATCH(C113,Produtos!$A$2:$A$71,0)),"")</f>
        <v/>
      </c>
      <c r="O113" s="25">
        <f>IFERROR(INDEX(Produtos!$C$2:$C$71,MATCH(C113,Produtos!$A$2:$A$71,0)),"")</f>
        <v/>
      </c>
      <c r="P113" s="25">
        <f>IFERROR(INDEX(Produtos!$D$2:$D$71,MATCH(C113,Produtos!$A$2:$A$71,0)),0)</f>
        <v/>
      </c>
      <c r="Q113" s="25">
        <f>IFERROR(INDEX(Produtos!$E$2:$E$71,MATCH(C113,Produtos!$A$2:$A$71,0)),0)</f>
        <v/>
      </c>
      <c r="R113" s="27">
        <f>D113*Q113</f>
        <v/>
      </c>
      <c r="S113" s="27">
        <f>R113*E113</f>
        <v/>
      </c>
      <c r="T113" s="27">
        <f>(R113-S113)*M113</f>
        <v/>
      </c>
      <c r="U113" s="27">
        <f>R113-S113-T113</f>
        <v/>
      </c>
      <c r="V113" s="27">
        <f>D113*P113</f>
        <v/>
      </c>
      <c r="W113" s="27">
        <f>U113-V113</f>
        <v/>
      </c>
      <c r="X113" s="28">
        <f>IFERROR(W113/U113,0)</f>
        <v/>
      </c>
    </row>
    <row r="114">
      <c r="A114" s="21">
        <f>ItensPedido!A114</f>
        <v/>
      </c>
      <c r="B114" s="21">
        <f>ItensPedido!B114</f>
        <v/>
      </c>
      <c r="C114" s="21">
        <f>ItensPedido!C114</f>
        <v/>
      </c>
      <c r="D114" s="21">
        <f>ItensPedido!D114</f>
        <v/>
      </c>
      <c r="E114" s="22">
        <f>ItensPedido!E114</f>
        <v/>
      </c>
      <c r="F114" s="21">
        <f>IFERROR(INDEX(Pedidos!$B$2:$B$1801,MATCH(B114,Pedidos!$A$2:$A$1801,0)),0)</f>
        <v/>
      </c>
      <c r="G114" s="21">
        <f>IF(F114=0,"",YEAR(F114))</f>
        <v/>
      </c>
      <c r="H114" s="21">
        <f>IF(F114=0,"",MONTH(F114))</f>
        <v/>
      </c>
      <c r="I114" s="21">
        <f>IFERROR(INDEX(Pedidos!$E$2:$E$1801,MATCH(B114,Pedidos!$A$2:$A$1801,0)),"")</f>
        <v/>
      </c>
      <c r="J114" s="21">
        <f>IFERROR(INDEX(Pedidos!$C$2:$C$1801,MATCH(B114,Pedidos!$A$2:$A$1801,0)),"")</f>
        <v/>
      </c>
      <c r="K114" s="21">
        <f>IFERROR(INDEX(Pedidos!$D$2:$D$1801,MATCH(B114,Pedidos!$A$2:$A$1801,0)),"")</f>
        <v/>
      </c>
      <c r="L114" s="21">
        <f>IFERROR(INDEX(Pedidos!$F$2:$F$1801,MATCH(B114,Pedidos!$A$2:$A$1801,0)),"")</f>
        <v/>
      </c>
      <c r="M114" s="22">
        <f>IFERROR(INDEX(Pedidos!$G$2:$G$1801,MATCH(B114,Pedidos!$A$2:$A$1801,0)),0)</f>
        <v/>
      </c>
      <c r="N114" s="21">
        <f>IFERROR(INDEX(Produtos!$B$2:$B$71,MATCH(C114,Produtos!$A$2:$A$71,0)),"")</f>
        <v/>
      </c>
      <c r="O114" s="21">
        <f>IFERROR(INDEX(Produtos!$C$2:$C$71,MATCH(C114,Produtos!$A$2:$A$71,0)),"")</f>
        <v/>
      </c>
      <c r="P114" s="21">
        <f>IFERROR(INDEX(Produtos!$D$2:$D$71,MATCH(C114,Produtos!$A$2:$A$71,0)),0)</f>
        <v/>
      </c>
      <c r="Q114" s="21">
        <f>IFERROR(INDEX(Produtos!$E$2:$E$71,MATCH(C114,Produtos!$A$2:$A$71,0)),0)</f>
        <v/>
      </c>
      <c r="R114" s="23">
        <f>D114*Q114</f>
        <v/>
      </c>
      <c r="S114" s="23">
        <f>R114*E114</f>
        <v/>
      </c>
      <c r="T114" s="23">
        <f>(R114-S114)*M114</f>
        <v/>
      </c>
      <c r="U114" s="23">
        <f>R114-S114-T114</f>
        <v/>
      </c>
      <c r="V114" s="23">
        <f>D114*P114</f>
        <v/>
      </c>
      <c r="W114" s="23">
        <f>U114-V114</f>
        <v/>
      </c>
      <c r="X114" s="24">
        <f>IFERROR(W114/U114,0)</f>
        <v/>
      </c>
    </row>
    <row r="115">
      <c r="A115" s="25">
        <f>ItensPedido!A115</f>
        <v/>
      </c>
      <c r="B115" s="25">
        <f>ItensPedido!B115</f>
        <v/>
      </c>
      <c r="C115" s="25">
        <f>ItensPedido!C115</f>
        <v/>
      </c>
      <c r="D115" s="25">
        <f>ItensPedido!D115</f>
        <v/>
      </c>
      <c r="E115" s="26">
        <f>ItensPedido!E115</f>
        <v/>
      </c>
      <c r="F115" s="25">
        <f>IFERROR(INDEX(Pedidos!$B$2:$B$1801,MATCH(B115,Pedidos!$A$2:$A$1801,0)),0)</f>
        <v/>
      </c>
      <c r="G115" s="25">
        <f>IF(F115=0,"",YEAR(F115))</f>
        <v/>
      </c>
      <c r="H115" s="25">
        <f>IF(F115=0,"",MONTH(F115))</f>
        <v/>
      </c>
      <c r="I115" s="25">
        <f>IFERROR(INDEX(Pedidos!$E$2:$E$1801,MATCH(B115,Pedidos!$A$2:$A$1801,0)),"")</f>
        <v/>
      </c>
      <c r="J115" s="25">
        <f>IFERROR(INDEX(Pedidos!$C$2:$C$1801,MATCH(B115,Pedidos!$A$2:$A$1801,0)),"")</f>
        <v/>
      </c>
      <c r="K115" s="25">
        <f>IFERROR(INDEX(Pedidos!$D$2:$D$1801,MATCH(B115,Pedidos!$A$2:$A$1801,0)),"")</f>
        <v/>
      </c>
      <c r="L115" s="25">
        <f>IFERROR(INDEX(Pedidos!$F$2:$F$1801,MATCH(B115,Pedidos!$A$2:$A$1801,0)),"")</f>
        <v/>
      </c>
      <c r="M115" s="26">
        <f>IFERROR(INDEX(Pedidos!$G$2:$G$1801,MATCH(B115,Pedidos!$A$2:$A$1801,0)),0)</f>
        <v/>
      </c>
      <c r="N115" s="25">
        <f>IFERROR(INDEX(Produtos!$B$2:$B$71,MATCH(C115,Produtos!$A$2:$A$71,0)),"")</f>
        <v/>
      </c>
      <c r="O115" s="25">
        <f>IFERROR(INDEX(Produtos!$C$2:$C$71,MATCH(C115,Produtos!$A$2:$A$71,0)),"")</f>
        <v/>
      </c>
      <c r="P115" s="25">
        <f>IFERROR(INDEX(Produtos!$D$2:$D$71,MATCH(C115,Produtos!$A$2:$A$71,0)),0)</f>
        <v/>
      </c>
      <c r="Q115" s="25">
        <f>IFERROR(INDEX(Produtos!$E$2:$E$71,MATCH(C115,Produtos!$A$2:$A$71,0)),0)</f>
        <v/>
      </c>
      <c r="R115" s="27">
        <f>D115*Q115</f>
        <v/>
      </c>
      <c r="S115" s="27">
        <f>R115*E115</f>
        <v/>
      </c>
      <c r="T115" s="27">
        <f>(R115-S115)*M115</f>
        <v/>
      </c>
      <c r="U115" s="27">
        <f>R115-S115-T115</f>
        <v/>
      </c>
      <c r="V115" s="27">
        <f>D115*P115</f>
        <v/>
      </c>
      <c r="W115" s="27">
        <f>U115-V115</f>
        <v/>
      </c>
      <c r="X115" s="28">
        <f>IFERROR(W115/U115,0)</f>
        <v/>
      </c>
    </row>
    <row r="116">
      <c r="A116" s="21">
        <f>ItensPedido!A116</f>
        <v/>
      </c>
      <c r="B116" s="21">
        <f>ItensPedido!B116</f>
        <v/>
      </c>
      <c r="C116" s="21">
        <f>ItensPedido!C116</f>
        <v/>
      </c>
      <c r="D116" s="21">
        <f>ItensPedido!D116</f>
        <v/>
      </c>
      <c r="E116" s="22">
        <f>ItensPedido!E116</f>
        <v/>
      </c>
      <c r="F116" s="21">
        <f>IFERROR(INDEX(Pedidos!$B$2:$B$1801,MATCH(B116,Pedidos!$A$2:$A$1801,0)),0)</f>
        <v/>
      </c>
      <c r="G116" s="21">
        <f>IF(F116=0,"",YEAR(F116))</f>
        <v/>
      </c>
      <c r="H116" s="21">
        <f>IF(F116=0,"",MONTH(F116))</f>
        <v/>
      </c>
      <c r="I116" s="21">
        <f>IFERROR(INDEX(Pedidos!$E$2:$E$1801,MATCH(B116,Pedidos!$A$2:$A$1801,0)),"")</f>
        <v/>
      </c>
      <c r="J116" s="21">
        <f>IFERROR(INDEX(Pedidos!$C$2:$C$1801,MATCH(B116,Pedidos!$A$2:$A$1801,0)),"")</f>
        <v/>
      </c>
      <c r="K116" s="21">
        <f>IFERROR(INDEX(Pedidos!$D$2:$D$1801,MATCH(B116,Pedidos!$A$2:$A$1801,0)),"")</f>
        <v/>
      </c>
      <c r="L116" s="21">
        <f>IFERROR(INDEX(Pedidos!$F$2:$F$1801,MATCH(B116,Pedidos!$A$2:$A$1801,0)),"")</f>
        <v/>
      </c>
      <c r="M116" s="22">
        <f>IFERROR(INDEX(Pedidos!$G$2:$G$1801,MATCH(B116,Pedidos!$A$2:$A$1801,0)),0)</f>
        <v/>
      </c>
      <c r="N116" s="21">
        <f>IFERROR(INDEX(Produtos!$B$2:$B$71,MATCH(C116,Produtos!$A$2:$A$71,0)),"")</f>
        <v/>
      </c>
      <c r="O116" s="21">
        <f>IFERROR(INDEX(Produtos!$C$2:$C$71,MATCH(C116,Produtos!$A$2:$A$71,0)),"")</f>
        <v/>
      </c>
      <c r="P116" s="21">
        <f>IFERROR(INDEX(Produtos!$D$2:$D$71,MATCH(C116,Produtos!$A$2:$A$71,0)),0)</f>
        <v/>
      </c>
      <c r="Q116" s="21">
        <f>IFERROR(INDEX(Produtos!$E$2:$E$71,MATCH(C116,Produtos!$A$2:$A$71,0)),0)</f>
        <v/>
      </c>
      <c r="R116" s="23">
        <f>D116*Q116</f>
        <v/>
      </c>
      <c r="S116" s="23">
        <f>R116*E116</f>
        <v/>
      </c>
      <c r="T116" s="23">
        <f>(R116-S116)*M116</f>
        <v/>
      </c>
      <c r="U116" s="23">
        <f>R116-S116-T116</f>
        <v/>
      </c>
      <c r="V116" s="23">
        <f>D116*P116</f>
        <v/>
      </c>
      <c r="W116" s="23">
        <f>U116-V116</f>
        <v/>
      </c>
      <c r="X116" s="24">
        <f>IFERROR(W116/U116,0)</f>
        <v/>
      </c>
    </row>
    <row r="117">
      <c r="A117" s="25">
        <f>ItensPedido!A117</f>
        <v/>
      </c>
      <c r="B117" s="25">
        <f>ItensPedido!B117</f>
        <v/>
      </c>
      <c r="C117" s="25">
        <f>ItensPedido!C117</f>
        <v/>
      </c>
      <c r="D117" s="25">
        <f>ItensPedido!D117</f>
        <v/>
      </c>
      <c r="E117" s="26">
        <f>ItensPedido!E117</f>
        <v/>
      </c>
      <c r="F117" s="25">
        <f>IFERROR(INDEX(Pedidos!$B$2:$B$1801,MATCH(B117,Pedidos!$A$2:$A$1801,0)),0)</f>
        <v/>
      </c>
      <c r="G117" s="25">
        <f>IF(F117=0,"",YEAR(F117))</f>
        <v/>
      </c>
      <c r="H117" s="25">
        <f>IF(F117=0,"",MONTH(F117))</f>
        <v/>
      </c>
      <c r="I117" s="25">
        <f>IFERROR(INDEX(Pedidos!$E$2:$E$1801,MATCH(B117,Pedidos!$A$2:$A$1801,0)),"")</f>
        <v/>
      </c>
      <c r="J117" s="25">
        <f>IFERROR(INDEX(Pedidos!$C$2:$C$1801,MATCH(B117,Pedidos!$A$2:$A$1801,0)),"")</f>
        <v/>
      </c>
      <c r="K117" s="25">
        <f>IFERROR(INDEX(Pedidos!$D$2:$D$1801,MATCH(B117,Pedidos!$A$2:$A$1801,0)),"")</f>
        <v/>
      </c>
      <c r="L117" s="25">
        <f>IFERROR(INDEX(Pedidos!$F$2:$F$1801,MATCH(B117,Pedidos!$A$2:$A$1801,0)),"")</f>
        <v/>
      </c>
      <c r="M117" s="26">
        <f>IFERROR(INDEX(Pedidos!$G$2:$G$1801,MATCH(B117,Pedidos!$A$2:$A$1801,0)),0)</f>
        <v/>
      </c>
      <c r="N117" s="25">
        <f>IFERROR(INDEX(Produtos!$B$2:$B$71,MATCH(C117,Produtos!$A$2:$A$71,0)),"")</f>
        <v/>
      </c>
      <c r="O117" s="25">
        <f>IFERROR(INDEX(Produtos!$C$2:$C$71,MATCH(C117,Produtos!$A$2:$A$71,0)),"")</f>
        <v/>
      </c>
      <c r="P117" s="25">
        <f>IFERROR(INDEX(Produtos!$D$2:$D$71,MATCH(C117,Produtos!$A$2:$A$71,0)),0)</f>
        <v/>
      </c>
      <c r="Q117" s="25">
        <f>IFERROR(INDEX(Produtos!$E$2:$E$71,MATCH(C117,Produtos!$A$2:$A$71,0)),0)</f>
        <v/>
      </c>
      <c r="R117" s="27">
        <f>D117*Q117</f>
        <v/>
      </c>
      <c r="S117" s="27">
        <f>R117*E117</f>
        <v/>
      </c>
      <c r="T117" s="27">
        <f>(R117-S117)*M117</f>
        <v/>
      </c>
      <c r="U117" s="27">
        <f>R117-S117-T117</f>
        <v/>
      </c>
      <c r="V117" s="27">
        <f>D117*P117</f>
        <v/>
      </c>
      <c r="W117" s="27">
        <f>U117-V117</f>
        <v/>
      </c>
      <c r="X117" s="28">
        <f>IFERROR(W117/U117,0)</f>
        <v/>
      </c>
    </row>
    <row r="118">
      <c r="A118" s="21">
        <f>ItensPedido!A118</f>
        <v/>
      </c>
      <c r="B118" s="21">
        <f>ItensPedido!B118</f>
        <v/>
      </c>
      <c r="C118" s="21">
        <f>ItensPedido!C118</f>
        <v/>
      </c>
      <c r="D118" s="21">
        <f>ItensPedido!D118</f>
        <v/>
      </c>
      <c r="E118" s="22">
        <f>ItensPedido!E118</f>
        <v/>
      </c>
      <c r="F118" s="21">
        <f>IFERROR(INDEX(Pedidos!$B$2:$B$1801,MATCH(B118,Pedidos!$A$2:$A$1801,0)),0)</f>
        <v/>
      </c>
      <c r="G118" s="21">
        <f>IF(F118=0,"",YEAR(F118))</f>
        <v/>
      </c>
      <c r="H118" s="21">
        <f>IF(F118=0,"",MONTH(F118))</f>
        <v/>
      </c>
      <c r="I118" s="21">
        <f>IFERROR(INDEX(Pedidos!$E$2:$E$1801,MATCH(B118,Pedidos!$A$2:$A$1801,0)),"")</f>
        <v/>
      </c>
      <c r="J118" s="21">
        <f>IFERROR(INDEX(Pedidos!$C$2:$C$1801,MATCH(B118,Pedidos!$A$2:$A$1801,0)),"")</f>
        <v/>
      </c>
      <c r="K118" s="21">
        <f>IFERROR(INDEX(Pedidos!$D$2:$D$1801,MATCH(B118,Pedidos!$A$2:$A$1801,0)),"")</f>
        <v/>
      </c>
      <c r="L118" s="21">
        <f>IFERROR(INDEX(Pedidos!$F$2:$F$1801,MATCH(B118,Pedidos!$A$2:$A$1801,0)),"")</f>
        <v/>
      </c>
      <c r="M118" s="22">
        <f>IFERROR(INDEX(Pedidos!$G$2:$G$1801,MATCH(B118,Pedidos!$A$2:$A$1801,0)),0)</f>
        <v/>
      </c>
      <c r="N118" s="21">
        <f>IFERROR(INDEX(Produtos!$B$2:$B$71,MATCH(C118,Produtos!$A$2:$A$71,0)),"")</f>
        <v/>
      </c>
      <c r="O118" s="21">
        <f>IFERROR(INDEX(Produtos!$C$2:$C$71,MATCH(C118,Produtos!$A$2:$A$71,0)),"")</f>
        <v/>
      </c>
      <c r="P118" s="21">
        <f>IFERROR(INDEX(Produtos!$D$2:$D$71,MATCH(C118,Produtos!$A$2:$A$71,0)),0)</f>
        <v/>
      </c>
      <c r="Q118" s="21">
        <f>IFERROR(INDEX(Produtos!$E$2:$E$71,MATCH(C118,Produtos!$A$2:$A$71,0)),0)</f>
        <v/>
      </c>
      <c r="R118" s="23">
        <f>D118*Q118</f>
        <v/>
      </c>
      <c r="S118" s="23">
        <f>R118*E118</f>
        <v/>
      </c>
      <c r="T118" s="23">
        <f>(R118-S118)*M118</f>
        <v/>
      </c>
      <c r="U118" s="23">
        <f>R118-S118-T118</f>
        <v/>
      </c>
      <c r="V118" s="23">
        <f>D118*P118</f>
        <v/>
      </c>
      <c r="W118" s="23">
        <f>U118-V118</f>
        <v/>
      </c>
      <c r="X118" s="24">
        <f>IFERROR(W118/U118,0)</f>
        <v/>
      </c>
    </row>
    <row r="119">
      <c r="A119" s="25">
        <f>ItensPedido!A119</f>
        <v/>
      </c>
      <c r="B119" s="25">
        <f>ItensPedido!B119</f>
        <v/>
      </c>
      <c r="C119" s="25">
        <f>ItensPedido!C119</f>
        <v/>
      </c>
      <c r="D119" s="25">
        <f>ItensPedido!D119</f>
        <v/>
      </c>
      <c r="E119" s="26">
        <f>ItensPedido!E119</f>
        <v/>
      </c>
      <c r="F119" s="25">
        <f>IFERROR(INDEX(Pedidos!$B$2:$B$1801,MATCH(B119,Pedidos!$A$2:$A$1801,0)),0)</f>
        <v/>
      </c>
      <c r="G119" s="25">
        <f>IF(F119=0,"",YEAR(F119))</f>
        <v/>
      </c>
      <c r="H119" s="25">
        <f>IF(F119=0,"",MONTH(F119))</f>
        <v/>
      </c>
      <c r="I119" s="25">
        <f>IFERROR(INDEX(Pedidos!$E$2:$E$1801,MATCH(B119,Pedidos!$A$2:$A$1801,0)),"")</f>
        <v/>
      </c>
      <c r="J119" s="25">
        <f>IFERROR(INDEX(Pedidos!$C$2:$C$1801,MATCH(B119,Pedidos!$A$2:$A$1801,0)),"")</f>
        <v/>
      </c>
      <c r="K119" s="25">
        <f>IFERROR(INDEX(Pedidos!$D$2:$D$1801,MATCH(B119,Pedidos!$A$2:$A$1801,0)),"")</f>
        <v/>
      </c>
      <c r="L119" s="25">
        <f>IFERROR(INDEX(Pedidos!$F$2:$F$1801,MATCH(B119,Pedidos!$A$2:$A$1801,0)),"")</f>
        <v/>
      </c>
      <c r="M119" s="26">
        <f>IFERROR(INDEX(Pedidos!$G$2:$G$1801,MATCH(B119,Pedidos!$A$2:$A$1801,0)),0)</f>
        <v/>
      </c>
      <c r="N119" s="25">
        <f>IFERROR(INDEX(Produtos!$B$2:$B$71,MATCH(C119,Produtos!$A$2:$A$71,0)),"")</f>
        <v/>
      </c>
      <c r="O119" s="25">
        <f>IFERROR(INDEX(Produtos!$C$2:$C$71,MATCH(C119,Produtos!$A$2:$A$71,0)),"")</f>
        <v/>
      </c>
      <c r="P119" s="25">
        <f>IFERROR(INDEX(Produtos!$D$2:$D$71,MATCH(C119,Produtos!$A$2:$A$71,0)),0)</f>
        <v/>
      </c>
      <c r="Q119" s="25">
        <f>IFERROR(INDEX(Produtos!$E$2:$E$71,MATCH(C119,Produtos!$A$2:$A$71,0)),0)</f>
        <v/>
      </c>
      <c r="R119" s="27">
        <f>D119*Q119</f>
        <v/>
      </c>
      <c r="S119" s="27">
        <f>R119*E119</f>
        <v/>
      </c>
      <c r="T119" s="27">
        <f>(R119-S119)*M119</f>
        <v/>
      </c>
      <c r="U119" s="27">
        <f>R119-S119-T119</f>
        <v/>
      </c>
      <c r="V119" s="27">
        <f>D119*P119</f>
        <v/>
      </c>
      <c r="W119" s="27">
        <f>U119-V119</f>
        <v/>
      </c>
      <c r="X119" s="28">
        <f>IFERROR(W119/U119,0)</f>
        <v/>
      </c>
    </row>
    <row r="120">
      <c r="A120" s="21">
        <f>ItensPedido!A120</f>
        <v/>
      </c>
      <c r="B120" s="21">
        <f>ItensPedido!B120</f>
        <v/>
      </c>
      <c r="C120" s="21">
        <f>ItensPedido!C120</f>
        <v/>
      </c>
      <c r="D120" s="21">
        <f>ItensPedido!D120</f>
        <v/>
      </c>
      <c r="E120" s="22">
        <f>ItensPedido!E120</f>
        <v/>
      </c>
      <c r="F120" s="21">
        <f>IFERROR(INDEX(Pedidos!$B$2:$B$1801,MATCH(B120,Pedidos!$A$2:$A$1801,0)),0)</f>
        <v/>
      </c>
      <c r="G120" s="21">
        <f>IF(F120=0,"",YEAR(F120))</f>
        <v/>
      </c>
      <c r="H120" s="21">
        <f>IF(F120=0,"",MONTH(F120))</f>
        <v/>
      </c>
      <c r="I120" s="21">
        <f>IFERROR(INDEX(Pedidos!$E$2:$E$1801,MATCH(B120,Pedidos!$A$2:$A$1801,0)),"")</f>
        <v/>
      </c>
      <c r="J120" s="21">
        <f>IFERROR(INDEX(Pedidos!$C$2:$C$1801,MATCH(B120,Pedidos!$A$2:$A$1801,0)),"")</f>
        <v/>
      </c>
      <c r="K120" s="21">
        <f>IFERROR(INDEX(Pedidos!$D$2:$D$1801,MATCH(B120,Pedidos!$A$2:$A$1801,0)),"")</f>
        <v/>
      </c>
      <c r="L120" s="21">
        <f>IFERROR(INDEX(Pedidos!$F$2:$F$1801,MATCH(B120,Pedidos!$A$2:$A$1801,0)),"")</f>
        <v/>
      </c>
      <c r="M120" s="22">
        <f>IFERROR(INDEX(Pedidos!$G$2:$G$1801,MATCH(B120,Pedidos!$A$2:$A$1801,0)),0)</f>
        <v/>
      </c>
      <c r="N120" s="21">
        <f>IFERROR(INDEX(Produtos!$B$2:$B$71,MATCH(C120,Produtos!$A$2:$A$71,0)),"")</f>
        <v/>
      </c>
      <c r="O120" s="21">
        <f>IFERROR(INDEX(Produtos!$C$2:$C$71,MATCH(C120,Produtos!$A$2:$A$71,0)),"")</f>
        <v/>
      </c>
      <c r="P120" s="21">
        <f>IFERROR(INDEX(Produtos!$D$2:$D$71,MATCH(C120,Produtos!$A$2:$A$71,0)),0)</f>
        <v/>
      </c>
      <c r="Q120" s="21">
        <f>IFERROR(INDEX(Produtos!$E$2:$E$71,MATCH(C120,Produtos!$A$2:$A$71,0)),0)</f>
        <v/>
      </c>
      <c r="R120" s="23">
        <f>D120*Q120</f>
        <v/>
      </c>
      <c r="S120" s="23">
        <f>R120*E120</f>
        <v/>
      </c>
      <c r="T120" s="23">
        <f>(R120-S120)*M120</f>
        <v/>
      </c>
      <c r="U120" s="23">
        <f>R120-S120-T120</f>
        <v/>
      </c>
      <c r="V120" s="23">
        <f>D120*P120</f>
        <v/>
      </c>
      <c r="W120" s="23">
        <f>U120-V120</f>
        <v/>
      </c>
      <c r="X120" s="24">
        <f>IFERROR(W120/U120,0)</f>
        <v/>
      </c>
    </row>
    <row r="121">
      <c r="A121" s="25">
        <f>ItensPedido!A121</f>
        <v/>
      </c>
      <c r="B121" s="25">
        <f>ItensPedido!B121</f>
        <v/>
      </c>
      <c r="C121" s="25">
        <f>ItensPedido!C121</f>
        <v/>
      </c>
      <c r="D121" s="25">
        <f>ItensPedido!D121</f>
        <v/>
      </c>
      <c r="E121" s="26">
        <f>ItensPedido!E121</f>
        <v/>
      </c>
      <c r="F121" s="25">
        <f>IFERROR(INDEX(Pedidos!$B$2:$B$1801,MATCH(B121,Pedidos!$A$2:$A$1801,0)),0)</f>
        <v/>
      </c>
      <c r="G121" s="25">
        <f>IF(F121=0,"",YEAR(F121))</f>
        <v/>
      </c>
      <c r="H121" s="25">
        <f>IF(F121=0,"",MONTH(F121))</f>
        <v/>
      </c>
      <c r="I121" s="25">
        <f>IFERROR(INDEX(Pedidos!$E$2:$E$1801,MATCH(B121,Pedidos!$A$2:$A$1801,0)),"")</f>
        <v/>
      </c>
      <c r="J121" s="25">
        <f>IFERROR(INDEX(Pedidos!$C$2:$C$1801,MATCH(B121,Pedidos!$A$2:$A$1801,0)),"")</f>
        <v/>
      </c>
      <c r="K121" s="25">
        <f>IFERROR(INDEX(Pedidos!$D$2:$D$1801,MATCH(B121,Pedidos!$A$2:$A$1801,0)),"")</f>
        <v/>
      </c>
      <c r="L121" s="25">
        <f>IFERROR(INDEX(Pedidos!$F$2:$F$1801,MATCH(B121,Pedidos!$A$2:$A$1801,0)),"")</f>
        <v/>
      </c>
      <c r="M121" s="26">
        <f>IFERROR(INDEX(Pedidos!$G$2:$G$1801,MATCH(B121,Pedidos!$A$2:$A$1801,0)),0)</f>
        <v/>
      </c>
      <c r="N121" s="25">
        <f>IFERROR(INDEX(Produtos!$B$2:$B$71,MATCH(C121,Produtos!$A$2:$A$71,0)),"")</f>
        <v/>
      </c>
      <c r="O121" s="25">
        <f>IFERROR(INDEX(Produtos!$C$2:$C$71,MATCH(C121,Produtos!$A$2:$A$71,0)),"")</f>
        <v/>
      </c>
      <c r="P121" s="25">
        <f>IFERROR(INDEX(Produtos!$D$2:$D$71,MATCH(C121,Produtos!$A$2:$A$71,0)),0)</f>
        <v/>
      </c>
      <c r="Q121" s="25">
        <f>IFERROR(INDEX(Produtos!$E$2:$E$71,MATCH(C121,Produtos!$A$2:$A$71,0)),0)</f>
        <v/>
      </c>
      <c r="R121" s="27">
        <f>D121*Q121</f>
        <v/>
      </c>
      <c r="S121" s="27">
        <f>R121*E121</f>
        <v/>
      </c>
      <c r="T121" s="27">
        <f>(R121-S121)*M121</f>
        <v/>
      </c>
      <c r="U121" s="27">
        <f>R121-S121-T121</f>
        <v/>
      </c>
      <c r="V121" s="27">
        <f>D121*P121</f>
        <v/>
      </c>
      <c r="W121" s="27">
        <f>U121-V121</f>
        <v/>
      </c>
      <c r="X121" s="28">
        <f>IFERROR(W121/U121,0)</f>
        <v/>
      </c>
    </row>
    <row r="122">
      <c r="A122" s="21">
        <f>ItensPedido!A122</f>
        <v/>
      </c>
      <c r="B122" s="21">
        <f>ItensPedido!B122</f>
        <v/>
      </c>
      <c r="C122" s="21">
        <f>ItensPedido!C122</f>
        <v/>
      </c>
      <c r="D122" s="21">
        <f>ItensPedido!D122</f>
        <v/>
      </c>
      <c r="E122" s="22">
        <f>ItensPedido!E122</f>
        <v/>
      </c>
      <c r="F122" s="21">
        <f>IFERROR(INDEX(Pedidos!$B$2:$B$1801,MATCH(B122,Pedidos!$A$2:$A$1801,0)),0)</f>
        <v/>
      </c>
      <c r="G122" s="21">
        <f>IF(F122=0,"",YEAR(F122))</f>
        <v/>
      </c>
      <c r="H122" s="21">
        <f>IF(F122=0,"",MONTH(F122))</f>
        <v/>
      </c>
      <c r="I122" s="21">
        <f>IFERROR(INDEX(Pedidos!$E$2:$E$1801,MATCH(B122,Pedidos!$A$2:$A$1801,0)),"")</f>
        <v/>
      </c>
      <c r="J122" s="21">
        <f>IFERROR(INDEX(Pedidos!$C$2:$C$1801,MATCH(B122,Pedidos!$A$2:$A$1801,0)),"")</f>
        <v/>
      </c>
      <c r="K122" s="21">
        <f>IFERROR(INDEX(Pedidos!$D$2:$D$1801,MATCH(B122,Pedidos!$A$2:$A$1801,0)),"")</f>
        <v/>
      </c>
      <c r="L122" s="21">
        <f>IFERROR(INDEX(Pedidos!$F$2:$F$1801,MATCH(B122,Pedidos!$A$2:$A$1801,0)),"")</f>
        <v/>
      </c>
      <c r="M122" s="22">
        <f>IFERROR(INDEX(Pedidos!$G$2:$G$1801,MATCH(B122,Pedidos!$A$2:$A$1801,0)),0)</f>
        <v/>
      </c>
      <c r="N122" s="21">
        <f>IFERROR(INDEX(Produtos!$B$2:$B$71,MATCH(C122,Produtos!$A$2:$A$71,0)),"")</f>
        <v/>
      </c>
      <c r="O122" s="21">
        <f>IFERROR(INDEX(Produtos!$C$2:$C$71,MATCH(C122,Produtos!$A$2:$A$71,0)),"")</f>
        <v/>
      </c>
      <c r="P122" s="21">
        <f>IFERROR(INDEX(Produtos!$D$2:$D$71,MATCH(C122,Produtos!$A$2:$A$71,0)),0)</f>
        <v/>
      </c>
      <c r="Q122" s="21">
        <f>IFERROR(INDEX(Produtos!$E$2:$E$71,MATCH(C122,Produtos!$A$2:$A$71,0)),0)</f>
        <v/>
      </c>
      <c r="R122" s="23">
        <f>D122*Q122</f>
        <v/>
      </c>
      <c r="S122" s="23">
        <f>R122*E122</f>
        <v/>
      </c>
      <c r="T122" s="23">
        <f>(R122-S122)*M122</f>
        <v/>
      </c>
      <c r="U122" s="23">
        <f>R122-S122-T122</f>
        <v/>
      </c>
      <c r="V122" s="23">
        <f>D122*P122</f>
        <v/>
      </c>
      <c r="W122" s="23">
        <f>U122-V122</f>
        <v/>
      </c>
      <c r="X122" s="24">
        <f>IFERROR(W122/U122,0)</f>
        <v/>
      </c>
    </row>
    <row r="123">
      <c r="A123" s="25">
        <f>ItensPedido!A123</f>
        <v/>
      </c>
      <c r="B123" s="25">
        <f>ItensPedido!B123</f>
        <v/>
      </c>
      <c r="C123" s="25">
        <f>ItensPedido!C123</f>
        <v/>
      </c>
      <c r="D123" s="25">
        <f>ItensPedido!D123</f>
        <v/>
      </c>
      <c r="E123" s="26">
        <f>ItensPedido!E123</f>
        <v/>
      </c>
      <c r="F123" s="25">
        <f>IFERROR(INDEX(Pedidos!$B$2:$B$1801,MATCH(B123,Pedidos!$A$2:$A$1801,0)),0)</f>
        <v/>
      </c>
      <c r="G123" s="25">
        <f>IF(F123=0,"",YEAR(F123))</f>
        <v/>
      </c>
      <c r="H123" s="25">
        <f>IF(F123=0,"",MONTH(F123))</f>
        <v/>
      </c>
      <c r="I123" s="25">
        <f>IFERROR(INDEX(Pedidos!$E$2:$E$1801,MATCH(B123,Pedidos!$A$2:$A$1801,0)),"")</f>
        <v/>
      </c>
      <c r="J123" s="25">
        <f>IFERROR(INDEX(Pedidos!$C$2:$C$1801,MATCH(B123,Pedidos!$A$2:$A$1801,0)),"")</f>
        <v/>
      </c>
      <c r="K123" s="25">
        <f>IFERROR(INDEX(Pedidos!$D$2:$D$1801,MATCH(B123,Pedidos!$A$2:$A$1801,0)),"")</f>
        <v/>
      </c>
      <c r="L123" s="25">
        <f>IFERROR(INDEX(Pedidos!$F$2:$F$1801,MATCH(B123,Pedidos!$A$2:$A$1801,0)),"")</f>
        <v/>
      </c>
      <c r="M123" s="26">
        <f>IFERROR(INDEX(Pedidos!$G$2:$G$1801,MATCH(B123,Pedidos!$A$2:$A$1801,0)),0)</f>
        <v/>
      </c>
      <c r="N123" s="25">
        <f>IFERROR(INDEX(Produtos!$B$2:$B$71,MATCH(C123,Produtos!$A$2:$A$71,0)),"")</f>
        <v/>
      </c>
      <c r="O123" s="25">
        <f>IFERROR(INDEX(Produtos!$C$2:$C$71,MATCH(C123,Produtos!$A$2:$A$71,0)),"")</f>
        <v/>
      </c>
      <c r="P123" s="25">
        <f>IFERROR(INDEX(Produtos!$D$2:$D$71,MATCH(C123,Produtos!$A$2:$A$71,0)),0)</f>
        <v/>
      </c>
      <c r="Q123" s="25">
        <f>IFERROR(INDEX(Produtos!$E$2:$E$71,MATCH(C123,Produtos!$A$2:$A$71,0)),0)</f>
        <v/>
      </c>
      <c r="R123" s="27">
        <f>D123*Q123</f>
        <v/>
      </c>
      <c r="S123" s="27">
        <f>R123*E123</f>
        <v/>
      </c>
      <c r="T123" s="27">
        <f>(R123-S123)*M123</f>
        <v/>
      </c>
      <c r="U123" s="27">
        <f>R123-S123-T123</f>
        <v/>
      </c>
      <c r="V123" s="27">
        <f>D123*P123</f>
        <v/>
      </c>
      <c r="W123" s="27">
        <f>U123-V123</f>
        <v/>
      </c>
      <c r="X123" s="28">
        <f>IFERROR(W123/U123,0)</f>
        <v/>
      </c>
    </row>
    <row r="124">
      <c r="A124" s="21">
        <f>ItensPedido!A124</f>
        <v/>
      </c>
      <c r="B124" s="21">
        <f>ItensPedido!B124</f>
        <v/>
      </c>
      <c r="C124" s="21">
        <f>ItensPedido!C124</f>
        <v/>
      </c>
      <c r="D124" s="21">
        <f>ItensPedido!D124</f>
        <v/>
      </c>
      <c r="E124" s="22">
        <f>ItensPedido!E124</f>
        <v/>
      </c>
      <c r="F124" s="21">
        <f>IFERROR(INDEX(Pedidos!$B$2:$B$1801,MATCH(B124,Pedidos!$A$2:$A$1801,0)),0)</f>
        <v/>
      </c>
      <c r="G124" s="21">
        <f>IF(F124=0,"",YEAR(F124))</f>
        <v/>
      </c>
      <c r="H124" s="21">
        <f>IF(F124=0,"",MONTH(F124))</f>
        <v/>
      </c>
      <c r="I124" s="21">
        <f>IFERROR(INDEX(Pedidos!$E$2:$E$1801,MATCH(B124,Pedidos!$A$2:$A$1801,0)),"")</f>
        <v/>
      </c>
      <c r="J124" s="21">
        <f>IFERROR(INDEX(Pedidos!$C$2:$C$1801,MATCH(B124,Pedidos!$A$2:$A$1801,0)),"")</f>
        <v/>
      </c>
      <c r="K124" s="21">
        <f>IFERROR(INDEX(Pedidos!$D$2:$D$1801,MATCH(B124,Pedidos!$A$2:$A$1801,0)),"")</f>
        <v/>
      </c>
      <c r="L124" s="21">
        <f>IFERROR(INDEX(Pedidos!$F$2:$F$1801,MATCH(B124,Pedidos!$A$2:$A$1801,0)),"")</f>
        <v/>
      </c>
      <c r="M124" s="22">
        <f>IFERROR(INDEX(Pedidos!$G$2:$G$1801,MATCH(B124,Pedidos!$A$2:$A$1801,0)),0)</f>
        <v/>
      </c>
      <c r="N124" s="21">
        <f>IFERROR(INDEX(Produtos!$B$2:$B$71,MATCH(C124,Produtos!$A$2:$A$71,0)),"")</f>
        <v/>
      </c>
      <c r="O124" s="21">
        <f>IFERROR(INDEX(Produtos!$C$2:$C$71,MATCH(C124,Produtos!$A$2:$A$71,0)),"")</f>
        <v/>
      </c>
      <c r="P124" s="21">
        <f>IFERROR(INDEX(Produtos!$D$2:$D$71,MATCH(C124,Produtos!$A$2:$A$71,0)),0)</f>
        <v/>
      </c>
      <c r="Q124" s="21">
        <f>IFERROR(INDEX(Produtos!$E$2:$E$71,MATCH(C124,Produtos!$A$2:$A$71,0)),0)</f>
        <v/>
      </c>
      <c r="R124" s="23">
        <f>D124*Q124</f>
        <v/>
      </c>
      <c r="S124" s="23">
        <f>R124*E124</f>
        <v/>
      </c>
      <c r="T124" s="23">
        <f>(R124-S124)*M124</f>
        <v/>
      </c>
      <c r="U124" s="23">
        <f>R124-S124-T124</f>
        <v/>
      </c>
      <c r="V124" s="23">
        <f>D124*P124</f>
        <v/>
      </c>
      <c r="W124" s="23">
        <f>U124-V124</f>
        <v/>
      </c>
      <c r="X124" s="24">
        <f>IFERROR(W124/U124,0)</f>
        <v/>
      </c>
    </row>
    <row r="125">
      <c r="A125" s="25">
        <f>ItensPedido!A125</f>
        <v/>
      </c>
      <c r="B125" s="25">
        <f>ItensPedido!B125</f>
        <v/>
      </c>
      <c r="C125" s="25">
        <f>ItensPedido!C125</f>
        <v/>
      </c>
      <c r="D125" s="25">
        <f>ItensPedido!D125</f>
        <v/>
      </c>
      <c r="E125" s="26">
        <f>ItensPedido!E125</f>
        <v/>
      </c>
      <c r="F125" s="25">
        <f>IFERROR(INDEX(Pedidos!$B$2:$B$1801,MATCH(B125,Pedidos!$A$2:$A$1801,0)),0)</f>
        <v/>
      </c>
      <c r="G125" s="25">
        <f>IF(F125=0,"",YEAR(F125))</f>
        <v/>
      </c>
      <c r="H125" s="25">
        <f>IF(F125=0,"",MONTH(F125))</f>
        <v/>
      </c>
      <c r="I125" s="25">
        <f>IFERROR(INDEX(Pedidos!$E$2:$E$1801,MATCH(B125,Pedidos!$A$2:$A$1801,0)),"")</f>
        <v/>
      </c>
      <c r="J125" s="25">
        <f>IFERROR(INDEX(Pedidos!$C$2:$C$1801,MATCH(B125,Pedidos!$A$2:$A$1801,0)),"")</f>
        <v/>
      </c>
      <c r="K125" s="25">
        <f>IFERROR(INDEX(Pedidos!$D$2:$D$1801,MATCH(B125,Pedidos!$A$2:$A$1801,0)),"")</f>
        <v/>
      </c>
      <c r="L125" s="25">
        <f>IFERROR(INDEX(Pedidos!$F$2:$F$1801,MATCH(B125,Pedidos!$A$2:$A$1801,0)),"")</f>
        <v/>
      </c>
      <c r="M125" s="26">
        <f>IFERROR(INDEX(Pedidos!$G$2:$G$1801,MATCH(B125,Pedidos!$A$2:$A$1801,0)),0)</f>
        <v/>
      </c>
      <c r="N125" s="25">
        <f>IFERROR(INDEX(Produtos!$B$2:$B$71,MATCH(C125,Produtos!$A$2:$A$71,0)),"")</f>
        <v/>
      </c>
      <c r="O125" s="25">
        <f>IFERROR(INDEX(Produtos!$C$2:$C$71,MATCH(C125,Produtos!$A$2:$A$71,0)),"")</f>
        <v/>
      </c>
      <c r="P125" s="25">
        <f>IFERROR(INDEX(Produtos!$D$2:$D$71,MATCH(C125,Produtos!$A$2:$A$71,0)),0)</f>
        <v/>
      </c>
      <c r="Q125" s="25">
        <f>IFERROR(INDEX(Produtos!$E$2:$E$71,MATCH(C125,Produtos!$A$2:$A$71,0)),0)</f>
        <v/>
      </c>
      <c r="R125" s="27">
        <f>D125*Q125</f>
        <v/>
      </c>
      <c r="S125" s="27">
        <f>R125*E125</f>
        <v/>
      </c>
      <c r="T125" s="27">
        <f>(R125-S125)*M125</f>
        <v/>
      </c>
      <c r="U125" s="27">
        <f>R125-S125-T125</f>
        <v/>
      </c>
      <c r="V125" s="27">
        <f>D125*P125</f>
        <v/>
      </c>
      <c r="W125" s="27">
        <f>U125-V125</f>
        <v/>
      </c>
      <c r="X125" s="28">
        <f>IFERROR(W125/U125,0)</f>
        <v/>
      </c>
    </row>
    <row r="126">
      <c r="A126" s="21">
        <f>ItensPedido!A126</f>
        <v/>
      </c>
      <c r="B126" s="21">
        <f>ItensPedido!B126</f>
        <v/>
      </c>
      <c r="C126" s="21">
        <f>ItensPedido!C126</f>
        <v/>
      </c>
      <c r="D126" s="21">
        <f>ItensPedido!D126</f>
        <v/>
      </c>
      <c r="E126" s="22">
        <f>ItensPedido!E126</f>
        <v/>
      </c>
      <c r="F126" s="21">
        <f>IFERROR(INDEX(Pedidos!$B$2:$B$1801,MATCH(B126,Pedidos!$A$2:$A$1801,0)),0)</f>
        <v/>
      </c>
      <c r="G126" s="21">
        <f>IF(F126=0,"",YEAR(F126))</f>
        <v/>
      </c>
      <c r="H126" s="21">
        <f>IF(F126=0,"",MONTH(F126))</f>
        <v/>
      </c>
      <c r="I126" s="21">
        <f>IFERROR(INDEX(Pedidos!$E$2:$E$1801,MATCH(B126,Pedidos!$A$2:$A$1801,0)),"")</f>
        <v/>
      </c>
      <c r="J126" s="21">
        <f>IFERROR(INDEX(Pedidos!$C$2:$C$1801,MATCH(B126,Pedidos!$A$2:$A$1801,0)),"")</f>
        <v/>
      </c>
      <c r="K126" s="21">
        <f>IFERROR(INDEX(Pedidos!$D$2:$D$1801,MATCH(B126,Pedidos!$A$2:$A$1801,0)),"")</f>
        <v/>
      </c>
      <c r="L126" s="21">
        <f>IFERROR(INDEX(Pedidos!$F$2:$F$1801,MATCH(B126,Pedidos!$A$2:$A$1801,0)),"")</f>
        <v/>
      </c>
      <c r="M126" s="22">
        <f>IFERROR(INDEX(Pedidos!$G$2:$G$1801,MATCH(B126,Pedidos!$A$2:$A$1801,0)),0)</f>
        <v/>
      </c>
      <c r="N126" s="21">
        <f>IFERROR(INDEX(Produtos!$B$2:$B$71,MATCH(C126,Produtos!$A$2:$A$71,0)),"")</f>
        <v/>
      </c>
      <c r="O126" s="21">
        <f>IFERROR(INDEX(Produtos!$C$2:$C$71,MATCH(C126,Produtos!$A$2:$A$71,0)),"")</f>
        <v/>
      </c>
      <c r="P126" s="21">
        <f>IFERROR(INDEX(Produtos!$D$2:$D$71,MATCH(C126,Produtos!$A$2:$A$71,0)),0)</f>
        <v/>
      </c>
      <c r="Q126" s="21">
        <f>IFERROR(INDEX(Produtos!$E$2:$E$71,MATCH(C126,Produtos!$A$2:$A$71,0)),0)</f>
        <v/>
      </c>
      <c r="R126" s="23">
        <f>D126*Q126</f>
        <v/>
      </c>
      <c r="S126" s="23">
        <f>R126*E126</f>
        <v/>
      </c>
      <c r="T126" s="23">
        <f>(R126-S126)*M126</f>
        <v/>
      </c>
      <c r="U126" s="23">
        <f>R126-S126-T126</f>
        <v/>
      </c>
      <c r="V126" s="23">
        <f>D126*P126</f>
        <v/>
      </c>
      <c r="W126" s="23">
        <f>U126-V126</f>
        <v/>
      </c>
      <c r="X126" s="24">
        <f>IFERROR(W126/U126,0)</f>
        <v/>
      </c>
    </row>
    <row r="127">
      <c r="A127" s="25">
        <f>ItensPedido!A127</f>
        <v/>
      </c>
      <c r="B127" s="25">
        <f>ItensPedido!B127</f>
        <v/>
      </c>
      <c r="C127" s="25">
        <f>ItensPedido!C127</f>
        <v/>
      </c>
      <c r="D127" s="25">
        <f>ItensPedido!D127</f>
        <v/>
      </c>
      <c r="E127" s="26">
        <f>ItensPedido!E127</f>
        <v/>
      </c>
      <c r="F127" s="25">
        <f>IFERROR(INDEX(Pedidos!$B$2:$B$1801,MATCH(B127,Pedidos!$A$2:$A$1801,0)),0)</f>
        <v/>
      </c>
      <c r="G127" s="25">
        <f>IF(F127=0,"",YEAR(F127))</f>
        <v/>
      </c>
      <c r="H127" s="25">
        <f>IF(F127=0,"",MONTH(F127))</f>
        <v/>
      </c>
      <c r="I127" s="25">
        <f>IFERROR(INDEX(Pedidos!$E$2:$E$1801,MATCH(B127,Pedidos!$A$2:$A$1801,0)),"")</f>
        <v/>
      </c>
      <c r="J127" s="25">
        <f>IFERROR(INDEX(Pedidos!$C$2:$C$1801,MATCH(B127,Pedidos!$A$2:$A$1801,0)),"")</f>
        <v/>
      </c>
      <c r="K127" s="25">
        <f>IFERROR(INDEX(Pedidos!$D$2:$D$1801,MATCH(B127,Pedidos!$A$2:$A$1801,0)),"")</f>
        <v/>
      </c>
      <c r="L127" s="25">
        <f>IFERROR(INDEX(Pedidos!$F$2:$F$1801,MATCH(B127,Pedidos!$A$2:$A$1801,0)),"")</f>
        <v/>
      </c>
      <c r="M127" s="26">
        <f>IFERROR(INDEX(Pedidos!$G$2:$G$1801,MATCH(B127,Pedidos!$A$2:$A$1801,0)),0)</f>
        <v/>
      </c>
      <c r="N127" s="25">
        <f>IFERROR(INDEX(Produtos!$B$2:$B$71,MATCH(C127,Produtos!$A$2:$A$71,0)),"")</f>
        <v/>
      </c>
      <c r="O127" s="25">
        <f>IFERROR(INDEX(Produtos!$C$2:$C$71,MATCH(C127,Produtos!$A$2:$A$71,0)),"")</f>
        <v/>
      </c>
      <c r="P127" s="25">
        <f>IFERROR(INDEX(Produtos!$D$2:$D$71,MATCH(C127,Produtos!$A$2:$A$71,0)),0)</f>
        <v/>
      </c>
      <c r="Q127" s="25">
        <f>IFERROR(INDEX(Produtos!$E$2:$E$71,MATCH(C127,Produtos!$A$2:$A$71,0)),0)</f>
        <v/>
      </c>
      <c r="R127" s="27">
        <f>D127*Q127</f>
        <v/>
      </c>
      <c r="S127" s="27">
        <f>R127*E127</f>
        <v/>
      </c>
      <c r="T127" s="27">
        <f>(R127-S127)*M127</f>
        <v/>
      </c>
      <c r="U127" s="27">
        <f>R127-S127-T127</f>
        <v/>
      </c>
      <c r="V127" s="27">
        <f>D127*P127</f>
        <v/>
      </c>
      <c r="W127" s="27">
        <f>U127-V127</f>
        <v/>
      </c>
      <c r="X127" s="28">
        <f>IFERROR(W127/U127,0)</f>
        <v/>
      </c>
    </row>
    <row r="128">
      <c r="A128" s="21">
        <f>ItensPedido!A128</f>
        <v/>
      </c>
      <c r="B128" s="21">
        <f>ItensPedido!B128</f>
        <v/>
      </c>
      <c r="C128" s="21">
        <f>ItensPedido!C128</f>
        <v/>
      </c>
      <c r="D128" s="21">
        <f>ItensPedido!D128</f>
        <v/>
      </c>
      <c r="E128" s="22">
        <f>ItensPedido!E128</f>
        <v/>
      </c>
      <c r="F128" s="21">
        <f>IFERROR(INDEX(Pedidos!$B$2:$B$1801,MATCH(B128,Pedidos!$A$2:$A$1801,0)),0)</f>
        <v/>
      </c>
      <c r="G128" s="21">
        <f>IF(F128=0,"",YEAR(F128))</f>
        <v/>
      </c>
      <c r="H128" s="21">
        <f>IF(F128=0,"",MONTH(F128))</f>
        <v/>
      </c>
      <c r="I128" s="21">
        <f>IFERROR(INDEX(Pedidos!$E$2:$E$1801,MATCH(B128,Pedidos!$A$2:$A$1801,0)),"")</f>
        <v/>
      </c>
      <c r="J128" s="21">
        <f>IFERROR(INDEX(Pedidos!$C$2:$C$1801,MATCH(B128,Pedidos!$A$2:$A$1801,0)),"")</f>
        <v/>
      </c>
      <c r="K128" s="21">
        <f>IFERROR(INDEX(Pedidos!$D$2:$D$1801,MATCH(B128,Pedidos!$A$2:$A$1801,0)),"")</f>
        <v/>
      </c>
      <c r="L128" s="21">
        <f>IFERROR(INDEX(Pedidos!$F$2:$F$1801,MATCH(B128,Pedidos!$A$2:$A$1801,0)),"")</f>
        <v/>
      </c>
      <c r="M128" s="22">
        <f>IFERROR(INDEX(Pedidos!$G$2:$G$1801,MATCH(B128,Pedidos!$A$2:$A$1801,0)),0)</f>
        <v/>
      </c>
      <c r="N128" s="21">
        <f>IFERROR(INDEX(Produtos!$B$2:$B$71,MATCH(C128,Produtos!$A$2:$A$71,0)),"")</f>
        <v/>
      </c>
      <c r="O128" s="21">
        <f>IFERROR(INDEX(Produtos!$C$2:$C$71,MATCH(C128,Produtos!$A$2:$A$71,0)),"")</f>
        <v/>
      </c>
      <c r="P128" s="21">
        <f>IFERROR(INDEX(Produtos!$D$2:$D$71,MATCH(C128,Produtos!$A$2:$A$71,0)),0)</f>
        <v/>
      </c>
      <c r="Q128" s="21">
        <f>IFERROR(INDEX(Produtos!$E$2:$E$71,MATCH(C128,Produtos!$A$2:$A$71,0)),0)</f>
        <v/>
      </c>
      <c r="R128" s="23">
        <f>D128*Q128</f>
        <v/>
      </c>
      <c r="S128" s="23">
        <f>R128*E128</f>
        <v/>
      </c>
      <c r="T128" s="23">
        <f>(R128-S128)*M128</f>
        <v/>
      </c>
      <c r="U128" s="23">
        <f>R128-S128-T128</f>
        <v/>
      </c>
      <c r="V128" s="23">
        <f>D128*P128</f>
        <v/>
      </c>
      <c r="W128" s="23">
        <f>U128-V128</f>
        <v/>
      </c>
      <c r="X128" s="24">
        <f>IFERROR(W128/U128,0)</f>
        <v/>
      </c>
    </row>
    <row r="129">
      <c r="A129" s="25">
        <f>ItensPedido!A129</f>
        <v/>
      </c>
      <c r="B129" s="25">
        <f>ItensPedido!B129</f>
        <v/>
      </c>
      <c r="C129" s="25">
        <f>ItensPedido!C129</f>
        <v/>
      </c>
      <c r="D129" s="25">
        <f>ItensPedido!D129</f>
        <v/>
      </c>
      <c r="E129" s="26">
        <f>ItensPedido!E129</f>
        <v/>
      </c>
      <c r="F129" s="25">
        <f>IFERROR(INDEX(Pedidos!$B$2:$B$1801,MATCH(B129,Pedidos!$A$2:$A$1801,0)),0)</f>
        <v/>
      </c>
      <c r="G129" s="25">
        <f>IF(F129=0,"",YEAR(F129))</f>
        <v/>
      </c>
      <c r="H129" s="25">
        <f>IF(F129=0,"",MONTH(F129))</f>
        <v/>
      </c>
      <c r="I129" s="25">
        <f>IFERROR(INDEX(Pedidos!$E$2:$E$1801,MATCH(B129,Pedidos!$A$2:$A$1801,0)),"")</f>
        <v/>
      </c>
      <c r="J129" s="25">
        <f>IFERROR(INDEX(Pedidos!$C$2:$C$1801,MATCH(B129,Pedidos!$A$2:$A$1801,0)),"")</f>
        <v/>
      </c>
      <c r="K129" s="25">
        <f>IFERROR(INDEX(Pedidos!$D$2:$D$1801,MATCH(B129,Pedidos!$A$2:$A$1801,0)),"")</f>
        <v/>
      </c>
      <c r="L129" s="25">
        <f>IFERROR(INDEX(Pedidos!$F$2:$F$1801,MATCH(B129,Pedidos!$A$2:$A$1801,0)),"")</f>
        <v/>
      </c>
      <c r="M129" s="26">
        <f>IFERROR(INDEX(Pedidos!$G$2:$G$1801,MATCH(B129,Pedidos!$A$2:$A$1801,0)),0)</f>
        <v/>
      </c>
      <c r="N129" s="25">
        <f>IFERROR(INDEX(Produtos!$B$2:$B$71,MATCH(C129,Produtos!$A$2:$A$71,0)),"")</f>
        <v/>
      </c>
      <c r="O129" s="25">
        <f>IFERROR(INDEX(Produtos!$C$2:$C$71,MATCH(C129,Produtos!$A$2:$A$71,0)),"")</f>
        <v/>
      </c>
      <c r="P129" s="25">
        <f>IFERROR(INDEX(Produtos!$D$2:$D$71,MATCH(C129,Produtos!$A$2:$A$71,0)),0)</f>
        <v/>
      </c>
      <c r="Q129" s="25">
        <f>IFERROR(INDEX(Produtos!$E$2:$E$71,MATCH(C129,Produtos!$A$2:$A$71,0)),0)</f>
        <v/>
      </c>
      <c r="R129" s="27">
        <f>D129*Q129</f>
        <v/>
      </c>
      <c r="S129" s="27">
        <f>R129*E129</f>
        <v/>
      </c>
      <c r="T129" s="27">
        <f>(R129-S129)*M129</f>
        <v/>
      </c>
      <c r="U129" s="27">
        <f>R129-S129-T129</f>
        <v/>
      </c>
      <c r="V129" s="27">
        <f>D129*P129</f>
        <v/>
      </c>
      <c r="W129" s="27">
        <f>U129-V129</f>
        <v/>
      </c>
      <c r="X129" s="28">
        <f>IFERROR(W129/U129,0)</f>
        <v/>
      </c>
    </row>
    <row r="130">
      <c r="A130" s="21">
        <f>ItensPedido!A130</f>
        <v/>
      </c>
      <c r="B130" s="21">
        <f>ItensPedido!B130</f>
        <v/>
      </c>
      <c r="C130" s="21">
        <f>ItensPedido!C130</f>
        <v/>
      </c>
      <c r="D130" s="21">
        <f>ItensPedido!D130</f>
        <v/>
      </c>
      <c r="E130" s="22">
        <f>ItensPedido!E130</f>
        <v/>
      </c>
      <c r="F130" s="21">
        <f>IFERROR(INDEX(Pedidos!$B$2:$B$1801,MATCH(B130,Pedidos!$A$2:$A$1801,0)),0)</f>
        <v/>
      </c>
      <c r="G130" s="21">
        <f>IF(F130=0,"",YEAR(F130))</f>
        <v/>
      </c>
      <c r="H130" s="21">
        <f>IF(F130=0,"",MONTH(F130))</f>
        <v/>
      </c>
      <c r="I130" s="21">
        <f>IFERROR(INDEX(Pedidos!$E$2:$E$1801,MATCH(B130,Pedidos!$A$2:$A$1801,0)),"")</f>
        <v/>
      </c>
      <c r="J130" s="21">
        <f>IFERROR(INDEX(Pedidos!$C$2:$C$1801,MATCH(B130,Pedidos!$A$2:$A$1801,0)),"")</f>
        <v/>
      </c>
      <c r="K130" s="21">
        <f>IFERROR(INDEX(Pedidos!$D$2:$D$1801,MATCH(B130,Pedidos!$A$2:$A$1801,0)),"")</f>
        <v/>
      </c>
      <c r="L130" s="21">
        <f>IFERROR(INDEX(Pedidos!$F$2:$F$1801,MATCH(B130,Pedidos!$A$2:$A$1801,0)),"")</f>
        <v/>
      </c>
      <c r="M130" s="22">
        <f>IFERROR(INDEX(Pedidos!$G$2:$G$1801,MATCH(B130,Pedidos!$A$2:$A$1801,0)),0)</f>
        <v/>
      </c>
      <c r="N130" s="21">
        <f>IFERROR(INDEX(Produtos!$B$2:$B$71,MATCH(C130,Produtos!$A$2:$A$71,0)),"")</f>
        <v/>
      </c>
      <c r="O130" s="21">
        <f>IFERROR(INDEX(Produtos!$C$2:$C$71,MATCH(C130,Produtos!$A$2:$A$71,0)),"")</f>
        <v/>
      </c>
      <c r="P130" s="21">
        <f>IFERROR(INDEX(Produtos!$D$2:$D$71,MATCH(C130,Produtos!$A$2:$A$71,0)),0)</f>
        <v/>
      </c>
      <c r="Q130" s="21">
        <f>IFERROR(INDEX(Produtos!$E$2:$E$71,MATCH(C130,Produtos!$A$2:$A$71,0)),0)</f>
        <v/>
      </c>
      <c r="R130" s="23">
        <f>D130*Q130</f>
        <v/>
      </c>
      <c r="S130" s="23">
        <f>R130*E130</f>
        <v/>
      </c>
      <c r="T130" s="23">
        <f>(R130-S130)*M130</f>
        <v/>
      </c>
      <c r="U130" s="23">
        <f>R130-S130-T130</f>
        <v/>
      </c>
      <c r="V130" s="23">
        <f>D130*P130</f>
        <v/>
      </c>
      <c r="W130" s="23">
        <f>U130-V130</f>
        <v/>
      </c>
      <c r="X130" s="24">
        <f>IFERROR(W130/U130,0)</f>
        <v/>
      </c>
    </row>
    <row r="131">
      <c r="A131" s="25">
        <f>ItensPedido!A131</f>
        <v/>
      </c>
      <c r="B131" s="25">
        <f>ItensPedido!B131</f>
        <v/>
      </c>
      <c r="C131" s="25">
        <f>ItensPedido!C131</f>
        <v/>
      </c>
      <c r="D131" s="25">
        <f>ItensPedido!D131</f>
        <v/>
      </c>
      <c r="E131" s="26">
        <f>ItensPedido!E131</f>
        <v/>
      </c>
      <c r="F131" s="25">
        <f>IFERROR(INDEX(Pedidos!$B$2:$B$1801,MATCH(B131,Pedidos!$A$2:$A$1801,0)),0)</f>
        <v/>
      </c>
      <c r="G131" s="25">
        <f>IF(F131=0,"",YEAR(F131))</f>
        <v/>
      </c>
      <c r="H131" s="25">
        <f>IF(F131=0,"",MONTH(F131))</f>
        <v/>
      </c>
      <c r="I131" s="25">
        <f>IFERROR(INDEX(Pedidos!$E$2:$E$1801,MATCH(B131,Pedidos!$A$2:$A$1801,0)),"")</f>
        <v/>
      </c>
      <c r="J131" s="25">
        <f>IFERROR(INDEX(Pedidos!$C$2:$C$1801,MATCH(B131,Pedidos!$A$2:$A$1801,0)),"")</f>
        <v/>
      </c>
      <c r="K131" s="25">
        <f>IFERROR(INDEX(Pedidos!$D$2:$D$1801,MATCH(B131,Pedidos!$A$2:$A$1801,0)),"")</f>
        <v/>
      </c>
      <c r="L131" s="25">
        <f>IFERROR(INDEX(Pedidos!$F$2:$F$1801,MATCH(B131,Pedidos!$A$2:$A$1801,0)),"")</f>
        <v/>
      </c>
      <c r="M131" s="26">
        <f>IFERROR(INDEX(Pedidos!$G$2:$G$1801,MATCH(B131,Pedidos!$A$2:$A$1801,0)),0)</f>
        <v/>
      </c>
      <c r="N131" s="25">
        <f>IFERROR(INDEX(Produtos!$B$2:$B$71,MATCH(C131,Produtos!$A$2:$A$71,0)),"")</f>
        <v/>
      </c>
      <c r="O131" s="25">
        <f>IFERROR(INDEX(Produtos!$C$2:$C$71,MATCH(C131,Produtos!$A$2:$A$71,0)),"")</f>
        <v/>
      </c>
      <c r="P131" s="25">
        <f>IFERROR(INDEX(Produtos!$D$2:$D$71,MATCH(C131,Produtos!$A$2:$A$71,0)),0)</f>
        <v/>
      </c>
      <c r="Q131" s="25">
        <f>IFERROR(INDEX(Produtos!$E$2:$E$71,MATCH(C131,Produtos!$A$2:$A$71,0)),0)</f>
        <v/>
      </c>
      <c r="R131" s="27">
        <f>D131*Q131</f>
        <v/>
      </c>
      <c r="S131" s="27">
        <f>R131*E131</f>
        <v/>
      </c>
      <c r="T131" s="27">
        <f>(R131-S131)*M131</f>
        <v/>
      </c>
      <c r="U131" s="27">
        <f>R131-S131-T131</f>
        <v/>
      </c>
      <c r="V131" s="27">
        <f>D131*P131</f>
        <v/>
      </c>
      <c r="W131" s="27">
        <f>U131-V131</f>
        <v/>
      </c>
      <c r="X131" s="28">
        <f>IFERROR(W131/U131,0)</f>
        <v/>
      </c>
    </row>
    <row r="132">
      <c r="A132" s="21">
        <f>ItensPedido!A132</f>
        <v/>
      </c>
      <c r="B132" s="21">
        <f>ItensPedido!B132</f>
        <v/>
      </c>
      <c r="C132" s="21">
        <f>ItensPedido!C132</f>
        <v/>
      </c>
      <c r="D132" s="21">
        <f>ItensPedido!D132</f>
        <v/>
      </c>
      <c r="E132" s="22">
        <f>ItensPedido!E132</f>
        <v/>
      </c>
      <c r="F132" s="21">
        <f>IFERROR(INDEX(Pedidos!$B$2:$B$1801,MATCH(B132,Pedidos!$A$2:$A$1801,0)),0)</f>
        <v/>
      </c>
      <c r="G132" s="21">
        <f>IF(F132=0,"",YEAR(F132))</f>
        <v/>
      </c>
      <c r="H132" s="21">
        <f>IF(F132=0,"",MONTH(F132))</f>
        <v/>
      </c>
      <c r="I132" s="21">
        <f>IFERROR(INDEX(Pedidos!$E$2:$E$1801,MATCH(B132,Pedidos!$A$2:$A$1801,0)),"")</f>
        <v/>
      </c>
      <c r="J132" s="21">
        <f>IFERROR(INDEX(Pedidos!$C$2:$C$1801,MATCH(B132,Pedidos!$A$2:$A$1801,0)),"")</f>
        <v/>
      </c>
      <c r="K132" s="21">
        <f>IFERROR(INDEX(Pedidos!$D$2:$D$1801,MATCH(B132,Pedidos!$A$2:$A$1801,0)),"")</f>
        <v/>
      </c>
      <c r="L132" s="21">
        <f>IFERROR(INDEX(Pedidos!$F$2:$F$1801,MATCH(B132,Pedidos!$A$2:$A$1801,0)),"")</f>
        <v/>
      </c>
      <c r="M132" s="22">
        <f>IFERROR(INDEX(Pedidos!$G$2:$G$1801,MATCH(B132,Pedidos!$A$2:$A$1801,0)),0)</f>
        <v/>
      </c>
      <c r="N132" s="21">
        <f>IFERROR(INDEX(Produtos!$B$2:$B$71,MATCH(C132,Produtos!$A$2:$A$71,0)),"")</f>
        <v/>
      </c>
      <c r="O132" s="21">
        <f>IFERROR(INDEX(Produtos!$C$2:$C$71,MATCH(C132,Produtos!$A$2:$A$71,0)),"")</f>
        <v/>
      </c>
      <c r="P132" s="21">
        <f>IFERROR(INDEX(Produtos!$D$2:$D$71,MATCH(C132,Produtos!$A$2:$A$71,0)),0)</f>
        <v/>
      </c>
      <c r="Q132" s="21">
        <f>IFERROR(INDEX(Produtos!$E$2:$E$71,MATCH(C132,Produtos!$A$2:$A$71,0)),0)</f>
        <v/>
      </c>
      <c r="R132" s="23">
        <f>D132*Q132</f>
        <v/>
      </c>
      <c r="S132" s="23">
        <f>R132*E132</f>
        <v/>
      </c>
      <c r="T132" s="23">
        <f>(R132-S132)*M132</f>
        <v/>
      </c>
      <c r="U132" s="23">
        <f>R132-S132-T132</f>
        <v/>
      </c>
      <c r="V132" s="23">
        <f>D132*P132</f>
        <v/>
      </c>
      <c r="W132" s="23">
        <f>U132-V132</f>
        <v/>
      </c>
      <c r="X132" s="24">
        <f>IFERROR(W132/U132,0)</f>
        <v/>
      </c>
    </row>
    <row r="133">
      <c r="A133" s="25">
        <f>ItensPedido!A133</f>
        <v/>
      </c>
      <c r="B133" s="25">
        <f>ItensPedido!B133</f>
        <v/>
      </c>
      <c r="C133" s="25">
        <f>ItensPedido!C133</f>
        <v/>
      </c>
      <c r="D133" s="25">
        <f>ItensPedido!D133</f>
        <v/>
      </c>
      <c r="E133" s="26">
        <f>ItensPedido!E133</f>
        <v/>
      </c>
      <c r="F133" s="25">
        <f>IFERROR(INDEX(Pedidos!$B$2:$B$1801,MATCH(B133,Pedidos!$A$2:$A$1801,0)),0)</f>
        <v/>
      </c>
      <c r="G133" s="25">
        <f>IF(F133=0,"",YEAR(F133))</f>
        <v/>
      </c>
      <c r="H133" s="25">
        <f>IF(F133=0,"",MONTH(F133))</f>
        <v/>
      </c>
      <c r="I133" s="25">
        <f>IFERROR(INDEX(Pedidos!$E$2:$E$1801,MATCH(B133,Pedidos!$A$2:$A$1801,0)),"")</f>
        <v/>
      </c>
      <c r="J133" s="25">
        <f>IFERROR(INDEX(Pedidos!$C$2:$C$1801,MATCH(B133,Pedidos!$A$2:$A$1801,0)),"")</f>
        <v/>
      </c>
      <c r="K133" s="25">
        <f>IFERROR(INDEX(Pedidos!$D$2:$D$1801,MATCH(B133,Pedidos!$A$2:$A$1801,0)),"")</f>
        <v/>
      </c>
      <c r="L133" s="25">
        <f>IFERROR(INDEX(Pedidos!$F$2:$F$1801,MATCH(B133,Pedidos!$A$2:$A$1801,0)),"")</f>
        <v/>
      </c>
      <c r="M133" s="26">
        <f>IFERROR(INDEX(Pedidos!$G$2:$G$1801,MATCH(B133,Pedidos!$A$2:$A$1801,0)),0)</f>
        <v/>
      </c>
      <c r="N133" s="25">
        <f>IFERROR(INDEX(Produtos!$B$2:$B$71,MATCH(C133,Produtos!$A$2:$A$71,0)),"")</f>
        <v/>
      </c>
      <c r="O133" s="25">
        <f>IFERROR(INDEX(Produtos!$C$2:$C$71,MATCH(C133,Produtos!$A$2:$A$71,0)),"")</f>
        <v/>
      </c>
      <c r="P133" s="25">
        <f>IFERROR(INDEX(Produtos!$D$2:$D$71,MATCH(C133,Produtos!$A$2:$A$71,0)),0)</f>
        <v/>
      </c>
      <c r="Q133" s="25">
        <f>IFERROR(INDEX(Produtos!$E$2:$E$71,MATCH(C133,Produtos!$A$2:$A$71,0)),0)</f>
        <v/>
      </c>
      <c r="R133" s="27">
        <f>D133*Q133</f>
        <v/>
      </c>
      <c r="S133" s="27">
        <f>R133*E133</f>
        <v/>
      </c>
      <c r="T133" s="27">
        <f>(R133-S133)*M133</f>
        <v/>
      </c>
      <c r="U133" s="27">
        <f>R133-S133-T133</f>
        <v/>
      </c>
      <c r="V133" s="27">
        <f>D133*P133</f>
        <v/>
      </c>
      <c r="W133" s="27">
        <f>U133-V133</f>
        <v/>
      </c>
      <c r="X133" s="28">
        <f>IFERROR(W133/U133,0)</f>
        <v/>
      </c>
    </row>
    <row r="134">
      <c r="A134" s="21">
        <f>ItensPedido!A134</f>
        <v/>
      </c>
      <c r="B134" s="21">
        <f>ItensPedido!B134</f>
        <v/>
      </c>
      <c r="C134" s="21">
        <f>ItensPedido!C134</f>
        <v/>
      </c>
      <c r="D134" s="21">
        <f>ItensPedido!D134</f>
        <v/>
      </c>
      <c r="E134" s="22">
        <f>ItensPedido!E134</f>
        <v/>
      </c>
      <c r="F134" s="21">
        <f>IFERROR(INDEX(Pedidos!$B$2:$B$1801,MATCH(B134,Pedidos!$A$2:$A$1801,0)),0)</f>
        <v/>
      </c>
      <c r="G134" s="21">
        <f>IF(F134=0,"",YEAR(F134))</f>
        <v/>
      </c>
      <c r="H134" s="21">
        <f>IF(F134=0,"",MONTH(F134))</f>
        <v/>
      </c>
      <c r="I134" s="21">
        <f>IFERROR(INDEX(Pedidos!$E$2:$E$1801,MATCH(B134,Pedidos!$A$2:$A$1801,0)),"")</f>
        <v/>
      </c>
      <c r="J134" s="21">
        <f>IFERROR(INDEX(Pedidos!$C$2:$C$1801,MATCH(B134,Pedidos!$A$2:$A$1801,0)),"")</f>
        <v/>
      </c>
      <c r="K134" s="21">
        <f>IFERROR(INDEX(Pedidos!$D$2:$D$1801,MATCH(B134,Pedidos!$A$2:$A$1801,0)),"")</f>
        <v/>
      </c>
      <c r="L134" s="21">
        <f>IFERROR(INDEX(Pedidos!$F$2:$F$1801,MATCH(B134,Pedidos!$A$2:$A$1801,0)),"")</f>
        <v/>
      </c>
      <c r="M134" s="22">
        <f>IFERROR(INDEX(Pedidos!$G$2:$G$1801,MATCH(B134,Pedidos!$A$2:$A$1801,0)),0)</f>
        <v/>
      </c>
      <c r="N134" s="21">
        <f>IFERROR(INDEX(Produtos!$B$2:$B$71,MATCH(C134,Produtos!$A$2:$A$71,0)),"")</f>
        <v/>
      </c>
      <c r="O134" s="21">
        <f>IFERROR(INDEX(Produtos!$C$2:$C$71,MATCH(C134,Produtos!$A$2:$A$71,0)),"")</f>
        <v/>
      </c>
      <c r="P134" s="21">
        <f>IFERROR(INDEX(Produtos!$D$2:$D$71,MATCH(C134,Produtos!$A$2:$A$71,0)),0)</f>
        <v/>
      </c>
      <c r="Q134" s="21">
        <f>IFERROR(INDEX(Produtos!$E$2:$E$71,MATCH(C134,Produtos!$A$2:$A$71,0)),0)</f>
        <v/>
      </c>
      <c r="R134" s="23">
        <f>D134*Q134</f>
        <v/>
      </c>
      <c r="S134" s="23">
        <f>R134*E134</f>
        <v/>
      </c>
      <c r="T134" s="23">
        <f>(R134-S134)*M134</f>
        <v/>
      </c>
      <c r="U134" s="23">
        <f>R134-S134-T134</f>
        <v/>
      </c>
      <c r="V134" s="23">
        <f>D134*P134</f>
        <v/>
      </c>
      <c r="W134" s="23">
        <f>U134-V134</f>
        <v/>
      </c>
      <c r="X134" s="24">
        <f>IFERROR(W134/U134,0)</f>
        <v/>
      </c>
    </row>
    <row r="135">
      <c r="A135" s="25">
        <f>ItensPedido!A135</f>
        <v/>
      </c>
      <c r="B135" s="25">
        <f>ItensPedido!B135</f>
        <v/>
      </c>
      <c r="C135" s="25">
        <f>ItensPedido!C135</f>
        <v/>
      </c>
      <c r="D135" s="25">
        <f>ItensPedido!D135</f>
        <v/>
      </c>
      <c r="E135" s="26">
        <f>ItensPedido!E135</f>
        <v/>
      </c>
      <c r="F135" s="25">
        <f>IFERROR(INDEX(Pedidos!$B$2:$B$1801,MATCH(B135,Pedidos!$A$2:$A$1801,0)),0)</f>
        <v/>
      </c>
      <c r="G135" s="25">
        <f>IF(F135=0,"",YEAR(F135))</f>
        <v/>
      </c>
      <c r="H135" s="25">
        <f>IF(F135=0,"",MONTH(F135))</f>
        <v/>
      </c>
      <c r="I135" s="25">
        <f>IFERROR(INDEX(Pedidos!$E$2:$E$1801,MATCH(B135,Pedidos!$A$2:$A$1801,0)),"")</f>
        <v/>
      </c>
      <c r="J135" s="25">
        <f>IFERROR(INDEX(Pedidos!$C$2:$C$1801,MATCH(B135,Pedidos!$A$2:$A$1801,0)),"")</f>
        <v/>
      </c>
      <c r="K135" s="25">
        <f>IFERROR(INDEX(Pedidos!$D$2:$D$1801,MATCH(B135,Pedidos!$A$2:$A$1801,0)),"")</f>
        <v/>
      </c>
      <c r="L135" s="25">
        <f>IFERROR(INDEX(Pedidos!$F$2:$F$1801,MATCH(B135,Pedidos!$A$2:$A$1801,0)),"")</f>
        <v/>
      </c>
      <c r="M135" s="26">
        <f>IFERROR(INDEX(Pedidos!$G$2:$G$1801,MATCH(B135,Pedidos!$A$2:$A$1801,0)),0)</f>
        <v/>
      </c>
      <c r="N135" s="25">
        <f>IFERROR(INDEX(Produtos!$B$2:$B$71,MATCH(C135,Produtos!$A$2:$A$71,0)),"")</f>
        <v/>
      </c>
      <c r="O135" s="25">
        <f>IFERROR(INDEX(Produtos!$C$2:$C$71,MATCH(C135,Produtos!$A$2:$A$71,0)),"")</f>
        <v/>
      </c>
      <c r="P135" s="25">
        <f>IFERROR(INDEX(Produtos!$D$2:$D$71,MATCH(C135,Produtos!$A$2:$A$71,0)),0)</f>
        <v/>
      </c>
      <c r="Q135" s="25">
        <f>IFERROR(INDEX(Produtos!$E$2:$E$71,MATCH(C135,Produtos!$A$2:$A$71,0)),0)</f>
        <v/>
      </c>
      <c r="R135" s="27">
        <f>D135*Q135</f>
        <v/>
      </c>
      <c r="S135" s="27">
        <f>R135*E135</f>
        <v/>
      </c>
      <c r="T135" s="27">
        <f>(R135-S135)*M135</f>
        <v/>
      </c>
      <c r="U135" s="27">
        <f>R135-S135-T135</f>
        <v/>
      </c>
      <c r="V135" s="27">
        <f>D135*P135</f>
        <v/>
      </c>
      <c r="W135" s="27">
        <f>U135-V135</f>
        <v/>
      </c>
      <c r="X135" s="28">
        <f>IFERROR(W135/U135,0)</f>
        <v/>
      </c>
    </row>
    <row r="136">
      <c r="A136" s="21">
        <f>ItensPedido!A136</f>
        <v/>
      </c>
      <c r="B136" s="21">
        <f>ItensPedido!B136</f>
        <v/>
      </c>
      <c r="C136" s="21">
        <f>ItensPedido!C136</f>
        <v/>
      </c>
      <c r="D136" s="21">
        <f>ItensPedido!D136</f>
        <v/>
      </c>
      <c r="E136" s="22">
        <f>ItensPedido!E136</f>
        <v/>
      </c>
      <c r="F136" s="21">
        <f>IFERROR(INDEX(Pedidos!$B$2:$B$1801,MATCH(B136,Pedidos!$A$2:$A$1801,0)),0)</f>
        <v/>
      </c>
      <c r="G136" s="21">
        <f>IF(F136=0,"",YEAR(F136))</f>
        <v/>
      </c>
      <c r="H136" s="21">
        <f>IF(F136=0,"",MONTH(F136))</f>
        <v/>
      </c>
      <c r="I136" s="21">
        <f>IFERROR(INDEX(Pedidos!$E$2:$E$1801,MATCH(B136,Pedidos!$A$2:$A$1801,0)),"")</f>
        <v/>
      </c>
      <c r="J136" s="21">
        <f>IFERROR(INDEX(Pedidos!$C$2:$C$1801,MATCH(B136,Pedidos!$A$2:$A$1801,0)),"")</f>
        <v/>
      </c>
      <c r="K136" s="21">
        <f>IFERROR(INDEX(Pedidos!$D$2:$D$1801,MATCH(B136,Pedidos!$A$2:$A$1801,0)),"")</f>
        <v/>
      </c>
      <c r="L136" s="21">
        <f>IFERROR(INDEX(Pedidos!$F$2:$F$1801,MATCH(B136,Pedidos!$A$2:$A$1801,0)),"")</f>
        <v/>
      </c>
      <c r="M136" s="22">
        <f>IFERROR(INDEX(Pedidos!$G$2:$G$1801,MATCH(B136,Pedidos!$A$2:$A$1801,0)),0)</f>
        <v/>
      </c>
      <c r="N136" s="21">
        <f>IFERROR(INDEX(Produtos!$B$2:$B$71,MATCH(C136,Produtos!$A$2:$A$71,0)),"")</f>
        <v/>
      </c>
      <c r="O136" s="21">
        <f>IFERROR(INDEX(Produtos!$C$2:$C$71,MATCH(C136,Produtos!$A$2:$A$71,0)),"")</f>
        <v/>
      </c>
      <c r="P136" s="21">
        <f>IFERROR(INDEX(Produtos!$D$2:$D$71,MATCH(C136,Produtos!$A$2:$A$71,0)),0)</f>
        <v/>
      </c>
      <c r="Q136" s="21">
        <f>IFERROR(INDEX(Produtos!$E$2:$E$71,MATCH(C136,Produtos!$A$2:$A$71,0)),0)</f>
        <v/>
      </c>
      <c r="R136" s="23">
        <f>D136*Q136</f>
        <v/>
      </c>
      <c r="S136" s="23">
        <f>R136*E136</f>
        <v/>
      </c>
      <c r="T136" s="23">
        <f>(R136-S136)*M136</f>
        <v/>
      </c>
      <c r="U136" s="23">
        <f>R136-S136-T136</f>
        <v/>
      </c>
      <c r="V136" s="23">
        <f>D136*P136</f>
        <v/>
      </c>
      <c r="W136" s="23">
        <f>U136-V136</f>
        <v/>
      </c>
      <c r="X136" s="24">
        <f>IFERROR(W136/U136,0)</f>
        <v/>
      </c>
    </row>
    <row r="137">
      <c r="A137" s="25">
        <f>ItensPedido!A137</f>
        <v/>
      </c>
      <c r="B137" s="25">
        <f>ItensPedido!B137</f>
        <v/>
      </c>
      <c r="C137" s="25">
        <f>ItensPedido!C137</f>
        <v/>
      </c>
      <c r="D137" s="25">
        <f>ItensPedido!D137</f>
        <v/>
      </c>
      <c r="E137" s="26">
        <f>ItensPedido!E137</f>
        <v/>
      </c>
      <c r="F137" s="25">
        <f>IFERROR(INDEX(Pedidos!$B$2:$B$1801,MATCH(B137,Pedidos!$A$2:$A$1801,0)),0)</f>
        <v/>
      </c>
      <c r="G137" s="25">
        <f>IF(F137=0,"",YEAR(F137))</f>
        <v/>
      </c>
      <c r="H137" s="25">
        <f>IF(F137=0,"",MONTH(F137))</f>
        <v/>
      </c>
      <c r="I137" s="25">
        <f>IFERROR(INDEX(Pedidos!$E$2:$E$1801,MATCH(B137,Pedidos!$A$2:$A$1801,0)),"")</f>
        <v/>
      </c>
      <c r="J137" s="25">
        <f>IFERROR(INDEX(Pedidos!$C$2:$C$1801,MATCH(B137,Pedidos!$A$2:$A$1801,0)),"")</f>
        <v/>
      </c>
      <c r="K137" s="25">
        <f>IFERROR(INDEX(Pedidos!$D$2:$D$1801,MATCH(B137,Pedidos!$A$2:$A$1801,0)),"")</f>
        <v/>
      </c>
      <c r="L137" s="25">
        <f>IFERROR(INDEX(Pedidos!$F$2:$F$1801,MATCH(B137,Pedidos!$A$2:$A$1801,0)),"")</f>
        <v/>
      </c>
      <c r="M137" s="26">
        <f>IFERROR(INDEX(Pedidos!$G$2:$G$1801,MATCH(B137,Pedidos!$A$2:$A$1801,0)),0)</f>
        <v/>
      </c>
      <c r="N137" s="25">
        <f>IFERROR(INDEX(Produtos!$B$2:$B$71,MATCH(C137,Produtos!$A$2:$A$71,0)),"")</f>
        <v/>
      </c>
      <c r="O137" s="25">
        <f>IFERROR(INDEX(Produtos!$C$2:$C$71,MATCH(C137,Produtos!$A$2:$A$71,0)),"")</f>
        <v/>
      </c>
      <c r="P137" s="25">
        <f>IFERROR(INDEX(Produtos!$D$2:$D$71,MATCH(C137,Produtos!$A$2:$A$71,0)),0)</f>
        <v/>
      </c>
      <c r="Q137" s="25">
        <f>IFERROR(INDEX(Produtos!$E$2:$E$71,MATCH(C137,Produtos!$A$2:$A$71,0)),0)</f>
        <v/>
      </c>
      <c r="R137" s="27">
        <f>D137*Q137</f>
        <v/>
      </c>
      <c r="S137" s="27">
        <f>R137*E137</f>
        <v/>
      </c>
      <c r="T137" s="27">
        <f>(R137-S137)*M137</f>
        <v/>
      </c>
      <c r="U137" s="27">
        <f>R137-S137-T137</f>
        <v/>
      </c>
      <c r="V137" s="27">
        <f>D137*P137</f>
        <v/>
      </c>
      <c r="W137" s="27">
        <f>U137-V137</f>
        <v/>
      </c>
      <c r="X137" s="28">
        <f>IFERROR(W137/U137,0)</f>
        <v/>
      </c>
    </row>
    <row r="138">
      <c r="A138" s="21">
        <f>ItensPedido!A138</f>
        <v/>
      </c>
      <c r="B138" s="21">
        <f>ItensPedido!B138</f>
        <v/>
      </c>
      <c r="C138" s="21">
        <f>ItensPedido!C138</f>
        <v/>
      </c>
      <c r="D138" s="21">
        <f>ItensPedido!D138</f>
        <v/>
      </c>
      <c r="E138" s="22">
        <f>ItensPedido!E138</f>
        <v/>
      </c>
      <c r="F138" s="21">
        <f>IFERROR(INDEX(Pedidos!$B$2:$B$1801,MATCH(B138,Pedidos!$A$2:$A$1801,0)),0)</f>
        <v/>
      </c>
      <c r="G138" s="21">
        <f>IF(F138=0,"",YEAR(F138))</f>
        <v/>
      </c>
      <c r="H138" s="21">
        <f>IF(F138=0,"",MONTH(F138))</f>
        <v/>
      </c>
      <c r="I138" s="21">
        <f>IFERROR(INDEX(Pedidos!$E$2:$E$1801,MATCH(B138,Pedidos!$A$2:$A$1801,0)),"")</f>
        <v/>
      </c>
      <c r="J138" s="21">
        <f>IFERROR(INDEX(Pedidos!$C$2:$C$1801,MATCH(B138,Pedidos!$A$2:$A$1801,0)),"")</f>
        <v/>
      </c>
      <c r="K138" s="21">
        <f>IFERROR(INDEX(Pedidos!$D$2:$D$1801,MATCH(B138,Pedidos!$A$2:$A$1801,0)),"")</f>
        <v/>
      </c>
      <c r="L138" s="21">
        <f>IFERROR(INDEX(Pedidos!$F$2:$F$1801,MATCH(B138,Pedidos!$A$2:$A$1801,0)),"")</f>
        <v/>
      </c>
      <c r="M138" s="22">
        <f>IFERROR(INDEX(Pedidos!$G$2:$G$1801,MATCH(B138,Pedidos!$A$2:$A$1801,0)),0)</f>
        <v/>
      </c>
      <c r="N138" s="21">
        <f>IFERROR(INDEX(Produtos!$B$2:$B$71,MATCH(C138,Produtos!$A$2:$A$71,0)),"")</f>
        <v/>
      </c>
      <c r="O138" s="21">
        <f>IFERROR(INDEX(Produtos!$C$2:$C$71,MATCH(C138,Produtos!$A$2:$A$71,0)),"")</f>
        <v/>
      </c>
      <c r="P138" s="21">
        <f>IFERROR(INDEX(Produtos!$D$2:$D$71,MATCH(C138,Produtos!$A$2:$A$71,0)),0)</f>
        <v/>
      </c>
      <c r="Q138" s="21">
        <f>IFERROR(INDEX(Produtos!$E$2:$E$71,MATCH(C138,Produtos!$A$2:$A$71,0)),0)</f>
        <v/>
      </c>
      <c r="R138" s="23">
        <f>D138*Q138</f>
        <v/>
      </c>
      <c r="S138" s="23">
        <f>R138*E138</f>
        <v/>
      </c>
      <c r="T138" s="23">
        <f>(R138-S138)*M138</f>
        <v/>
      </c>
      <c r="U138" s="23">
        <f>R138-S138-T138</f>
        <v/>
      </c>
      <c r="V138" s="23">
        <f>D138*P138</f>
        <v/>
      </c>
      <c r="W138" s="23">
        <f>U138-V138</f>
        <v/>
      </c>
      <c r="X138" s="24">
        <f>IFERROR(W138/U138,0)</f>
        <v/>
      </c>
    </row>
    <row r="139">
      <c r="A139" s="25">
        <f>ItensPedido!A139</f>
        <v/>
      </c>
      <c r="B139" s="25">
        <f>ItensPedido!B139</f>
        <v/>
      </c>
      <c r="C139" s="25">
        <f>ItensPedido!C139</f>
        <v/>
      </c>
      <c r="D139" s="25">
        <f>ItensPedido!D139</f>
        <v/>
      </c>
      <c r="E139" s="26">
        <f>ItensPedido!E139</f>
        <v/>
      </c>
      <c r="F139" s="25">
        <f>IFERROR(INDEX(Pedidos!$B$2:$B$1801,MATCH(B139,Pedidos!$A$2:$A$1801,0)),0)</f>
        <v/>
      </c>
      <c r="G139" s="25">
        <f>IF(F139=0,"",YEAR(F139))</f>
        <v/>
      </c>
      <c r="H139" s="25">
        <f>IF(F139=0,"",MONTH(F139))</f>
        <v/>
      </c>
      <c r="I139" s="25">
        <f>IFERROR(INDEX(Pedidos!$E$2:$E$1801,MATCH(B139,Pedidos!$A$2:$A$1801,0)),"")</f>
        <v/>
      </c>
      <c r="J139" s="25">
        <f>IFERROR(INDEX(Pedidos!$C$2:$C$1801,MATCH(B139,Pedidos!$A$2:$A$1801,0)),"")</f>
        <v/>
      </c>
      <c r="K139" s="25">
        <f>IFERROR(INDEX(Pedidos!$D$2:$D$1801,MATCH(B139,Pedidos!$A$2:$A$1801,0)),"")</f>
        <v/>
      </c>
      <c r="L139" s="25">
        <f>IFERROR(INDEX(Pedidos!$F$2:$F$1801,MATCH(B139,Pedidos!$A$2:$A$1801,0)),"")</f>
        <v/>
      </c>
      <c r="M139" s="26">
        <f>IFERROR(INDEX(Pedidos!$G$2:$G$1801,MATCH(B139,Pedidos!$A$2:$A$1801,0)),0)</f>
        <v/>
      </c>
      <c r="N139" s="25">
        <f>IFERROR(INDEX(Produtos!$B$2:$B$71,MATCH(C139,Produtos!$A$2:$A$71,0)),"")</f>
        <v/>
      </c>
      <c r="O139" s="25">
        <f>IFERROR(INDEX(Produtos!$C$2:$C$71,MATCH(C139,Produtos!$A$2:$A$71,0)),"")</f>
        <v/>
      </c>
      <c r="P139" s="25">
        <f>IFERROR(INDEX(Produtos!$D$2:$D$71,MATCH(C139,Produtos!$A$2:$A$71,0)),0)</f>
        <v/>
      </c>
      <c r="Q139" s="25">
        <f>IFERROR(INDEX(Produtos!$E$2:$E$71,MATCH(C139,Produtos!$A$2:$A$71,0)),0)</f>
        <v/>
      </c>
      <c r="R139" s="27">
        <f>D139*Q139</f>
        <v/>
      </c>
      <c r="S139" s="27">
        <f>R139*E139</f>
        <v/>
      </c>
      <c r="T139" s="27">
        <f>(R139-S139)*M139</f>
        <v/>
      </c>
      <c r="U139" s="27">
        <f>R139-S139-T139</f>
        <v/>
      </c>
      <c r="V139" s="27">
        <f>D139*P139</f>
        <v/>
      </c>
      <c r="W139" s="27">
        <f>U139-V139</f>
        <v/>
      </c>
      <c r="X139" s="28">
        <f>IFERROR(W139/U139,0)</f>
        <v/>
      </c>
    </row>
    <row r="140">
      <c r="A140" s="21">
        <f>ItensPedido!A140</f>
        <v/>
      </c>
      <c r="B140" s="21">
        <f>ItensPedido!B140</f>
        <v/>
      </c>
      <c r="C140" s="21">
        <f>ItensPedido!C140</f>
        <v/>
      </c>
      <c r="D140" s="21">
        <f>ItensPedido!D140</f>
        <v/>
      </c>
      <c r="E140" s="22">
        <f>ItensPedido!E140</f>
        <v/>
      </c>
      <c r="F140" s="21">
        <f>IFERROR(INDEX(Pedidos!$B$2:$B$1801,MATCH(B140,Pedidos!$A$2:$A$1801,0)),0)</f>
        <v/>
      </c>
      <c r="G140" s="21">
        <f>IF(F140=0,"",YEAR(F140))</f>
        <v/>
      </c>
      <c r="H140" s="21">
        <f>IF(F140=0,"",MONTH(F140))</f>
        <v/>
      </c>
      <c r="I140" s="21">
        <f>IFERROR(INDEX(Pedidos!$E$2:$E$1801,MATCH(B140,Pedidos!$A$2:$A$1801,0)),"")</f>
        <v/>
      </c>
      <c r="J140" s="21">
        <f>IFERROR(INDEX(Pedidos!$C$2:$C$1801,MATCH(B140,Pedidos!$A$2:$A$1801,0)),"")</f>
        <v/>
      </c>
      <c r="K140" s="21">
        <f>IFERROR(INDEX(Pedidos!$D$2:$D$1801,MATCH(B140,Pedidos!$A$2:$A$1801,0)),"")</f>
        <v/>
      </c>
      <c r="L140" s="21">
        <f>IFERROR(INDEX(Pedidos!$F$2:$F$1801,MATCH(B140,Pedidos!$A$2:$A$1801,0)),"")</f>
        <v/>
      </c>
      <c r="M140" s="22">
        <f>IFERROR(INDEX(Pedidos!$G$2:$G$1801,MATCH(B140,Pedidos!$A$2:$A$1801,0)),0)</f>
        <v/>
      </c>
      <c r="N140" s="21">
        <f>IFERROR(INDEX(Produtos!$B$2:$B$71,MATCH(C140,Produtos!$A$2:$A$71,0)),"")</f>
        <v/>
      </c>
      <c r="O140" s="21">
        <f>IFERROR(INDEX(Produtos!$C$2:$C$71,MATCH(C140,Produtos!$A$2:$A$71,0)),"")</f>
        <v/>
      </c>
      <c r="P140" s="21">
        <f>IFERROR(INDEX(Produtos!$D$2:$D$71,MATCH(C140,Produtos!$A$2:$A$71,0)),0)</f>
        <v/>
      </c>
      <c r="Q140" s="21">
        <f>IFERROR(INDEX(Produtos!$E$2:$E$71,MATCH(C140,Produtos!$A$2:$A$71,0)),0)</f>
        <v/>
      </c>
      <c r="R140" s="23">
        <f>D140*Q140</f>
        <v/>
      </c>
      <c r="S140" s="23">
        <f>R140*E140</f>
        <v/>
      </c>
      <c r="T140" s="23">
        <f>(R140-S140)*M140</f>
        <v/>
      </c>
      <c r="U140" s="23">
        <f>R140-S140-T140</f>
        <v/>
      </c>
      <c r="V140" s="23">
        <f>D140*P140</f>
        <v/>
      </c>
      <c r="W140" s="23">
        <f>U140-V140</f>
        <v/>
      </c>
      <c r="X140" s="24">
        <f>IFERROR(W140/U140,0)</f>
        <v/>
      </c>
    </row>
    <row r="141">
      <c r="A141" s="25">
        <f>ItensPedido!A141</f>
        <v/>
      </c>
      <c r="B141" s="25">
        <f>ItensPedido!B141</f>
        <v/>
      </c>
      <c r="C141" s="25">
        <f>ItensPedido!C141</f>
        <v/>
      </c>
      <c r="D141" s="25">
        <f>ItensPedido!D141</f>
        <v/>
      </c>
      <c r="E141" s="26">
        <f>ItensPedido!E141</f>
        <v/>
      </c>
      <c r="F141" s="25">
        <f>IFERROR(INDEX(Pedidos!$B$2:$B$1801,MATCH(B141,Pedidos!$A$2:$A$1801,0)),0)</f>
        <v/>
      </c>
      <c r="G141" s="25">
        <f>IF(F141=0,"",YEAR(F141))</f>
        <v/>
      </c>
      <c r="H141" s="25">
        <f>IF(F141=0,"",MONTH(F141))</f>
        <v/>
      </c>
      <c r="I141" s="25">
        <f>IFERROR(INDEX(Pedidos!$E$2:$E$1801,MATCH(B141,Pedidos!$A$2:$A$1801,0)),"")</f>
        <v/>
      </c>
      <c r="J141" s="25">
        <f>IFERROR(INDEX(Pedidos!$C$2:$C$1801,MATCH(B141,Pedidos!$A$2:$A$1801,0)),"")</f>
        <v/>
      </c>
      <c r="K141" s="25">
        <f>IFERROR(INDEX(Pedidos!$D$2:$D$1801,MATCH(B141,Pedidos!$A$2:$A$1801,0)),"")</f>
        <v/>
      </c>
      <c r="L141" s="25">
        <f>IFERROR(INDEX(Pedidos!$F$2:$F$1801,MATCH(B141,Pedidos!$A$2:$A$1801,0)),"")</f>
        <v/>
      </c>
      <c r="M141" s="26">
        <f>IFERROR(INDEX(Pedidos!$G$2:$G$1801,MATCH(B141,Pedidos!$A$2:$A$1801,0)),0)</f>
        <v/>
      </c>
      <c r="N141" s="25">
        <f>IFERROR(INDEX(Produtos!$B$2:$B$71,MATCH(C141,Produtos!$A$2:$A$71,0)),"")</f>
        <v/>
      </c>
      <c r="O141" s="25">
        <f>IFERROR(INDEX(Produtos!$C$2:$C$71,MATCH(C141,Produtos!$A$2:$A$71,0)),"")</f>
        <v/>
      </c>
      <c r="P141" s="25">
        <f>IFERROR(INDEX(Produtos!$D$2:$D$71,MATCH(C141,Produtos!$A$2:$A$71,0)),0)</f>
        <v/>
      </c>
      <c r="Q141" s="25">
        <f>IFERROR(INDEX(Produtos!$E$2:$E$71,MATCH(C141,Produtos!$A$2:$A$71,0)),0)</f>
        <v/>
      </c>
      <c r="R141" s="27">
        <f>D141*Q141</f>
        <v/>
      </c>
      <c r="S141" s="27">
        <f>R141*E141</f>
        <v/>
      </c>
      <c r="T141" s="27">
        <f>(R141-S141)*M141</f>
        <v/>
      </c>
      <c r="U141" s="27">
        <f>R141-S141-T141</f>
        <v/>
      </c>
      <c r="V141" s="27">
        <f>D141*P141</f>
        <v/>
      </c>
      <c r="W141" s="27">
        <f>U141-V141</f>
        <v/>
      </c>
      <c r="X141" s="28">
        <f>IFERROR(W141/U141,0)</f>
        <v/>
      </c>
    </row>
    <row r="142">
      <c r="A142" s="21">
        <f>ItensPedido!A142</f>
        <v/>
      </c>
      <c r="B142" s="21">
        <f>ItensPedido!B142</f>
        <v/>
      </c>
      <c r="C142" s="21">
        <f>ItensPedido!C142</f>
        <v/>
      </c>
      <c r="D142" s="21">
        <f>ItensPedido!D142</f>
        <v/>
      </c>
      <c r="E142" s="22">
        <f>ItensPedido!E142</f>
        <v/>
      </c>
      <c r="F142" s="21">
        <f>IFERROR(INDEX(Pedidos!$B$2:$B$1801,MATCH(B142,Pedidos!$A$2:$A$1801,0)),0)</f>
        <v/>
      </c>
      <c r="G142" s="21">
        <f>IF(F142=0,"",YEAR(F142))</f>
        <v/>
      </c>
      <c r="H142" s="21">
        <f>IF(F142=0,"",MONTH(F142))</f>
        <v/>
      </c>
      <c r="I142" s="21">
        <f>IFERROR(INDEX(Pedidos!$E$2:$E$1801,MATCH(B142,Pedidos!$A$2:$A$1801,0)),"")</f>
        <v/>
      </c>
      <c r="J142" s="21">
        <f>IFERROR(INDEX(Pedidos!$C$2:$C$1801,MATCH(B142,Pedidos!$A$2:$A$1801,0)),"")</f>
        <v/>
      </c>
      <c r="K142" s="21">
        <f>IFERROR(INDEX(Pedidos!$D$2:$D$1801,MATCH(B142,Pedidos!$A$2:$A$1801,0)),"")</f>
        <v/>
      </c>
      <c r="L142" s="21">
        <f>IFERROR(INDEX(Pedidos!$F$2:$F$1801,MATCH(B142,Pedidos!$A$2:$A$1801,0)),"")</f>
        <v/>
      </c>
      <c r="M142" s="22">
        <f>IFERROR(INDEX(Pedidos!$G$2:$G$1801,MATCH(B142,Pedidos!$A$2:$A$1801,0)),0)</f>
        <v/>
      </c>
      <c r="N142" s="21">
        <f>IFERROR(INDEX(Produtos!$B$2:$B$71,MATCH(C142,Produtos!$A$2:$A$71,0)),"")</f>
        <v/>
      </c>
      <c r="O142" s="21">
        <f>IFERROR(INDEX(Produtos!$C$2:$C$71,MATCH(C142,Produtos!$A$2:$A$71,0)),"")</f>
        <v/>
      </c>
      <c r="P142" s="21">
        <f>IFERROR(INDEX(Produtos!$D$2:$D$71,MATCH(C142,Produtos!$A$2:$A$71,0)),0)</f>
        <v/>
      </c>
      <c r="Q142" s="21">
        <f>IFERROR(INDEX(Produtos!$E$2:$E$71,MATCH(C142,Produtos!$A$2:$A$71,0)),0)</f>
        <v/>
      </c>
      <c r="R142" s="23">
        <f>D142*Q142</f>
        <v/>
      </c>
      <c r="S142" s="23">
        <f>R142*E142</f>
        <v/>
      </c>
      <c r="T142" s="23">
        <f>(R142-S142)*M142</f>
        <v/>
      </c>
      <c r="U142" s="23">
        <f>R142-S142-T142</f>
        <v/>
      </c>
      <c r="V142" s="23">
        <f>D142*P142</f>
        <v/>
      </c>
      <c r="W142" s="23">
        <f>U142-V142</f>
        <v/>
      </c>
      <c r="X142" s="24">
        <f>IFERROR(W142/U142,0)</f>
        <v/>
      </c>
    </row>
    <row r="143">
      <c r="A143" s="25">
        <f>ItensPedido!A143</f>
        <v/>
      </c>
      <c r="B143" s="25">
        <f>ItensPedido!B143</f>
        <v/>
      </c>
      <c r="C143" s="25">
        <f>ItensPedido!C143</f>
        <v/>
      </c>
      <c r="D143" s="25">
        <f>ItensPedido!D143</f>
        <v/>
      </c>
      <c r="E143" s="26">
        <f>ItensPedido!E143</f>
        <v/>
      </c>
      <c r="F143" s="25">
        <f>IFERROR(INDEX(Pedidos!$B$2:$B$1801,MATCH(B143,Pedidos!$A$2:$A$1801,0)),0)</f>
        <v/>
      </c>
      <c r="G143" s="25">
        <f>IF(F143=0,"",YEAR(F143))</f>
        <v/>
      </c>
      <c r="H143" s="25">
        <f>IF(F143=0,"",MONTH(F143))</f>
        <v/>
      </c>
      <c r="I143" s="25">
        <f>IFERROR(INDEX(Pedidos!$E$2:$E$1801,MATCH(B143,Pedidos!$A$2:$A$1801,0)),"")</f>
        <v/>
      </c>
      <c r="J143" s="25">
        <f>IFERROR(INDEX(Pedidos!$C$2:$C$1801,MATCH(B143,Pedidos!$A$2:$A$1801,0)),"")</f>
        <v/>
      </c>
      <c r="K143" s="25">
        <f>IFERROR(INDEX(Pedidos!$D$2:$D$1801,MATCH(B143,Pedidos!$A$2:$A$1801,0)),"")</f>
        <v/>
      </c>
      <c r="L143" s="25">
        <f>IFERROR(INDEX(Pedidos!$F$2:$F$1801,MATCH(B143,Pedidos!$A$2:$A$1801,0)),"")</f>
        <v/>
      </c>
      <c r="M143" s="26">
        <f>IFERROR(INDEX(Pedidos!$G$2:$G$1801,MATCH(B143,Pedidos!$A$2:$A$1801,0)),0)</f>
        <v/>
      </c>
      <c r="N143" s="25">
        <f>IFERROR(INDEX(Produtos!$B$2:$B$71,MATCH(C143,Produtos!$A$2:$A$71,0)),"")</f>
        <v/>
      </c>
      <c r="O143" s="25">
        <f>IFERROR(INDEX(Produtos!$C$2:$C$71,MATCH(C143,Produtos!$A$2:$A$71,0)),"")</f>
        <v/>
      </c>
      <c r="P143" s="25">
        <f>IFERROR(INDEX(Produtos!$D$2:$D$71,MATCH(C143,Produtos!$A$2:$A$71,0)),0)</f>
        <v/>
      </c>
      <c r="Q143" s="25">
        <f>IFERROR(INDEX(Produtos!$E$2:$E$71,MATCH(C143,Produtos!$A$2:$A$71,0)),0)</f>
        <v/>
      </c>
      <c r="R143" s="27">
        <f>D143*Q143</f>
        <v/>
      </c>
      <c r="S143" s="27">
        <f>R143*E143</f>
        <v/>
      </c>
      <c r="T143" s="27">
        <f>(R143-S143)*M143</f>
        <v/>
      </c>
      <c r="U143" s="27">
        <f>R143-S143-T143</f>
        <v/>
      </c>
      <c r="V143" s="27">
        <f>D143*P143</f>
        <v/>
      </c>
      <c r="W143" s="27">
        <f>U143-V143</f>
        <v/>
      </c>
      <c r="X143" s="28">
        <f>IFERROR(W143/U143,0)</f>
        <v/>
      </c>
    </row>
    <row r="144">
      <c r="A144" s="21">
        <f>ItensPedido!A144</f>
        <v/>
      </c>
      <c r="B144" s="21">
        <f>ItensPedido!B144</f>
        <v/>
      </c>
      <c r="C144" s="21">
        <f>ItensPedido!C144</f>
        <v/>
      </c>
      <c r="D144" s="21">
        <f>ItensPedido!D144</f>
        <v/>
      </c>
      <c r="E144" s="22">
        <f>ItensPedido!E144</f>
        <v/>
      </c>
      <c r="F144" s="21">
        <f>IFERROR(INDEX(Pedidos!$B$2:$B$1801,MATCH(B144,Pedidos!$A$2:$A$1801,0)),0)</f>
        <v/>
      </c>
      <c r="G144" s="21">
        <f>IF(F144=0,"",YEAR(F144))</f>
        <v/>
      </c>
      <c r="H144" s="21">
        <f>IF(F144=0,"",MONTH(F144))</f>
        <v/>
      </c>
      <c r="I144" s="21">
        <f>IFERROR(INDEX(Pedidos!$E$2:$E$1801,MATCH(B144,Pedidos!$A$2:$A$1801,0)),"")</f>
        <v/>
      </c>
      <c r="J144" s="21">
        <f>IFERROR(INDEX(Pedidos!$C$2:$C$1801,MATCH(B144,Pedidos!$A$2:$A$1801,0)),"")</f>
        <v/>
      </c>
      <c r="K144" s="21">
        <f>IFERROR(INDEX(Pedidos!$D$2:$D$1801,MATCH(B144,Pedidos!$A$2:$A$1801,0)),"")</f>
        <v/>
      </c>
      <c r="L144" s="21">
        <f>IFERROR(INDEX(Pedidos!$F$2:$F$1801,MATCH(B144,Pedidos!$A$2:$A$1801,0)),"")</f>
        <v/>
      </c>
      <c r="M144" s="22">
        <f>IFERROR(INDEX(Pedidos!$G$2:$G$1801,MATCH(B144,Pedidos!$A$2:$A$1801,0)),0)</f>
        <v/>
      </c>
      <c r="N144" s="21">
        <f>IFERROR(INDEX(Produtos!$B$2:$B$71,MATCH(C144,Produtos!$A$2:$A$71,0)),"")</f>
        <v/>
      </c>
      <c r="O144" s="21">
        <f>IFERROR(INDEX(Produtos!$C$2:$C$71,MATCH(C144,Produtos!$A$2:$A$71,0)),"")</f>
        <v/>
      </c>
      <c r="P144" s="21">
        <f>IFERROR(INDEX(Produtos!$D$2:$D$71,MATCH(C144,Produtos!$A$2:$A$71,0)),0)</f>
        <v/>
      </c>
      <c r="Q144" s="21">
        <f>IFERROR(INDEX(Produtos!$E$2:$E$71,MATCH(C144,Produtos!$A$2:$A$71,0)),0)</f>
        <v/>
      </c>
      <c r="R144" s="23">
        <f>D144*Q144</f>
        <v/>
      </c>
      <c r="S144" s="23">
        <f>R144*E144</f>
        <v/>
      </c>
      <c r="T144" s="23">
        <f>(R144-S144)*M144</f>
        <v/>
      </c>
      <c r="U144" s="23">
        <f>R144-S144-T144</f>
        <v/>
      </c>
      <c r="V144" s="23">
        <f>D144*P144</f>
        <v/>
      </c>
      <c r="W144" s="23">
        <f>U144-V144</f>
        <v/>
      </c>
      <c r="X144" s="24">
        <f>IFERROR(W144/U144,0)</f>
        <v/>
      </c>
    </row>
    <row r="145">
      <c r="A145" s="25">
        <f>ItensPedido!A145</f>
        <v/>
      </c>
      <c r="B145" s="25">
        <f>ItensPedido!B145</f>
        <v/>
      </c>
      <c r="C145" s="25">
        <f>ItensPedido!C145</f>
        <v/>
      </c>
      <c r="D145" s="25">
        <f>ItensPedido!D145</f>
        <v/>
      </c>
      <c r="E145" s="26">
        <f>ItensPedido!E145</f>
        <v/>
      </c>
      <c r="F145" s="25">
        <f>IFERROR(INDEX(Pedidos!$B$2:$B$1801,MATCH(B145,Pedidos!$A$2:$A$1801,0)),0)</f>
        <v/>
      </c>
      <c r="G145" s="25">
        <f>IF(F145=0,"",YEAR(F145))</f>
        <v/>
      </c>
      <c r="H145" s="25">
        <f>IF(F145=0,"",MONTH(F145))</f>
        <v/>
      </c>
      <c r="I145" s="25">
        <f>IFERROR(INDEX(Pedidos!$E$2:$E$1801,MATCH(B145,Pedidos!$A$2:$A$1801,0)),"")</f>
        <v/>
      </c>
      <c r="J145" s="25">
        <f>IFERROR(INDEX(Pedidos!$C$2:$C$1801,MATCH(B145,Pedidos!$A$2:$A$1801,0)),"")</f>
        <v/>
      </c>
      <c r="K145" s="25">
        <f>IFERROR(INDEX(Pedidos!$D$2:$D$1801,MATCH(B145,Pedidos!$A$2:$A$1801,0)),"")</f>
        <v/>
      </c>
      <c r="L145" s="25">
        <f>IFERROR(INDEX(Pedidos!$F$2:$F$1801,MATCH(B145,Pedidos!$A$2:$A$1801,0)),"")</f>
        <v/>
      </c>
      <c r="M145" s="26">
        <f>IFERROR(INDEX(Pedidos!$G$2:$G$1801,MATCH(B145,Pedidos!$A$2:$A$1801,0)),0)</f>
        <v/>
      </c>
      <c r="N145" s="25">
        <f>IFERROR(INDEX(Produtos!$B$2:$B$71,MATCH(C145,Produtos!$A$2:$A$71,0)),"")</f>
        <v/>
      </c>
      <c r="O145" s="25">
        <f>IFERROR(INDEX(Produtos!$C$2:$C$71,MATCH(C145,Produtos!$A$2:$A$71,0)),"")</f>
        <v/>
      </c>
      <c r="P145" s="25">
        <f>IFERROR(INDEX(Produtos!$D$2:$D$71,MATCH(C145,Produtos!$A$2:$A$71,0)),0)</f>
        <v/>
      </c>
      <c r="Q145" s="25">
        <f>IFERROR(INDEX(Produtos!$E$2:$E$71,MATCH(C145,Produtos!$A$2:$A$71,0)),0)</f>
        <v/>
      </c>
      <c r="R145" s="27">
        <f>D145*Q145</f>
        <v/>
      </c>
      <c r="S145" s="27">
        <f>R145*E145</f>
        <v/>
      </c>
      <c r="T145" s="27">
        <f>(R145-S145)*M145</f>
        <v/>
      </c>
      <c r="U145" s="27">
        <f>R145-S145-T145</f>
        <v/>
      </c>
      <c r="V145" s="27">
        <f>D145*P145</f>
        <v/>
      </c>
      <c r="W145" s="27">
        <f>U145-V145</f>
        <v/>
      </c>
      <c r="X145" s="28">
        <f>IFERROR(W145/U145,0)</f>
        <v/>
      </c>
    </row>
    <row r="146">
      <c r="A146" s="21">
        <f>ItensPedido!A146</f>
        <v/>
      </c>
      <c r="B146" s="21">
        <f>ItensPedido!B146</f>
        <v/>
      </c>
      <c r="C146" s="21">
        <f>ItensPedido!C146</f>
        <v/>
      </c>
      <c r="D146" s="21">
        <f>ItensPedido!D146</f>
        <v/>
      </c>
      <c r="E146" s="22">
        <f>ItensPedido!E146</f>
        <v/>
      </c>
      <c r="F146" s="21">
        <f>IFERROR(INDEX(Pedidos!$B$2:$B$1801,MATCH(B146,Pedidos!$A$2:$A$1801,0)),0)</f>
        <v/>
      </c>
      <c r="G146" s="21">
        <f>IF(F146=0,"",YEAR(F146))</f>
        <v/>
      </c>
      <c r="H146" s="21">
        <f>IF(F146=0,"",MONTH(F146))</f>
        <v/>
      </c>
      <c r="I146" s="21">
        <f>IFERROR(INDEX(Pedidos!$E$2:$E$1801,MATCH(B146,Pedidos!$A$2:$A$1801,0)),"")</f>
        <v/>
      </c>
      <c r="J146" s="21">
        <f>IFERROR(INDEX(Pedidos!$C$2:$C$1801,MATCH(B146,Pedidos!$A$2:$A$1801,0)),"")</f>
        <v/>
      </c>
      <c r="K146" s="21">
        <f>IFERROR(INDEX(Pedidos!$D$2:$D$1801,MATCH(B146,Pedidos!$A$2:$A$1801,0)),"")</f>
        <v/>
      </c>
      <c r="L146" s="21">
        <f>IFERROR(INDEX(Pedidos!$F$2:$F$1801,MATCH(B146,Pedidos!$A$2:$A$1801,0)),"")</f>
        <v/>
      </c>
      <c r="M146" s="22">
        <f>IFERROR(INDEX(Pedidos!$G$2:$G$1801,MATCH(B146,Pedidos!$A$2:$A$1801,0)),0)</f>
        <v/>
      </c>
      <c r="N146" s="21">
        <f>IFERROR(INDEX(Produtos!$B$2:$B$71,MATCH(C146,Produtos!$A$2:$A$71,0)),"")</f>
        <v/>
      </c>
      <c r="O146" s="21">
        <f>IFERROR(INDEX(Produtos!$C$2:$C$71,MATCH(C146,Produtos!$A$2:$A$71,0)),"")</f>
        <v/>
      </c>
      <c r="P146" s="21">
        <f>IFERROR(INDEX(Produtos!$D$2:$D$71,MATCH(C146,Produtos!$A$2:$A$71,0)),0)</f>
        <v/>
      </c>
      <c r="Q146" s="21">
        <f>IFERROR(INDEX(Produtos!$E$2:$E$71,MATCH(C146,Produtos!$A$2:$A$71,0)),0)</f>
        <v/>
      </c>
      <c r="R146" s="23">
        <f>D146*Q146</f>
        <v/>
      </c>
      <c r="S146" s="23">
        <f>R146*E146</f>
        <v/>
      </c>
      <c r="T146" s="23">
        <f>(R146-S146)*M146</f>
        <v/>
      </c>
      <c r="U146" s="23">
        <f>R146-S146-T146</f>
        <v/>
      </c>
      <c r="V146" s="23">
        <f>D146*P146</f>
        <v/>
      </c>
      <c r="W146" s="23">
        <f>U146-V146</f>
        <v/>
      </c>
      <c r="X146" s="24">
        <f>IFERROR(W146/U146,0)</f>
        <v/>
      </c>
    </row>
    <row r="147">
      <c r="A147" s="25">
        <f>ItensPedido!A147</f>
        <v/>
      </c>
      <c r="B147" s="25">
        <f>ItensPedido!B147</f>
        <v/>
      </c>
      <c r="C147" s="25">
        <f>ItensPedido!C147</f>
        <v/>
      </c>
      <c r="D147" s="25">
        <f>ItensPedido!D147</f>
        <v/>
      </c>
      <c r="E147" s="26">
        <f>ItensPedido!E147</f>
        <v/>
      </c>
      <c r="F147" s="25">
        <f>IFERROR(INDEX(Pedidos!$B$2:$B$1801,MATCH(B147,Pedidos!$A$2:$A$1801,0)),0)</f>
        <v/>
      </c>
      <c r="G147" s="25">
        <f>IF(F147=0,"",YEAR(F147))</f>
        <v/>
      </c>
      <c r="H147" s="25">
        <f>IF(F147=0,"",MONTH(F147))</f>
        <v/>
      </c>
      <c r="I147" s="25">
        <f>IFERROR(INDEX(Pedidos!$E$2:$E$1801,MATCH(B147,Pedidos!$A$2:$A$1801,0)),"")</f>
        <v/>
      </c>
      <c r="J147" s="25">
        <f>IFERROR(INDEX(Pedidos!$C$2:$C$1801,MATCH(B147,Pedidos!$A$2:$A$1801,0)),"")</f>
        <v/>
      </c>
      <c r="K147" s="25">
        <f>IFERROR(INDEX(Pedidos!$D$2:$D$1801,MATCH(B147,Pedidos!$A$2:$A$1801,0)),"")</f>
        <v/>
      </c>
      <c r="L147" s="25">
        <f>IFERROR(INDEX(Pedidos!$F$2:$F$1801,MATCH(B147,Pedidos!$A$2:$A$1801,0)),"")</f>
        <v/>
      </c>
      <c r="M147" s="26">
        <f>IFERROR(INDEX(Pedidos!$G$2:$G$1801,MATCH(B147,Pedidos!$A$2:$A$1801,0)),0)</f>
        <v/>
      </c>
      <c r="N147" s="25">
        <f>IFERROR(INDEX(Produtos!$B$2:$B$71,MATCH(C147,Produtos!$A$2:$A$71,0)),"")</f>
        <v/>
      </c>
      <c r="O147" s="25">
        <f>IFERROR(INDEX(Produtos!$C$2:$C$71,MATCH(C147,Produtos!$A$2:$A$71,0)),"")</f>
        <v/>
      </c>
      <c r="P147" s="25">
        <f>IFERROR(INDEX(Produtos!$D$2:$D$71,MATCH(C147,Produtos!$A$2:$A$71,0)),0)</f>
        <v/>
      </c>
      <c r="Q147" s="25">
        <f>IFERROR(INDEX(Produtos!$E$2:$E$71,MATCH(C147,Produtos!$A$2:$A$71,0)),0)</f>
        <v/>
      </c>
      <c r="R147" s="27">
        <f>D147*Q147</f>
        <v/>
      </c>
      <c r="S147" s="27">
        <f>R147*E147</f>
        <v/>
      </c>
      <c r="T147" s="27">
        <f>(R147-S147)*M147</f>
        <v/>
      </c>
      <c r="U147" s="27">
        <f>R147-S147-T147</f>
        <v/>
      </c>
      <c r="V147" s="27">
        <f>D147*P147</f>
        <v/>
      </c>
      <c r="W147" s="27">
        <f>U147-V147</f>
        <v/>
      </c>
      <c r="X147" s="28">
        <f>IFERROR(W147/U147,0)</f>
        <v/>
      </c>
    </row>
    <row r="148">
      <c r="A148" s="21">
        <f>ItensPedido!A148</f>
        <v/>
      </c>
      <c r="B148" s="21">
        <f>ItensPedido!B148</f>
        <v/>
      </c>
      <c r="C148" s="21">
        <f>ItensPedido!C148</f>
        <v/>
      </c>
      <c r="D148" s="21">
        <f>ItensPedido!D148</f>
        <v/>
      </c>
      <c r="E148" s="22">
        <f>ItensPedido!E148</f>
        <v/>
      </c>
      <c r="F148" s="21">
        <f>IFERROR(INDEX(Pedidos!$B$2:$B$1801,MATCH(B148,Pedidos!$A$2:$A$1801,0)),0)</f>
        <v/>
      </c>
      <c r="G148" s="21">
        <f>IF(F148=0,"",YEAR(F148))</f>
        <v/>
      </c>
      <c r="H148" s="21">
        <f>IF(F148=0,"",MONTH(F148))</f>
        <v/>
      </c>
      <c r="I148" s="21">
        <f>IFERROR(INDEX(Pedidos!$E$2:$E$1801,MATCH(B148,Pedidos!$A$2:$A$1801,0)),"")</f>
        <v/>
      </c>
      <c r="J148" s="21">
        <f>IFERROR(INDEX(Pedidos!$C$2:$C$1801,MATCH(B148,Pedidos!$A$2:$A$1801,0)),"")</f>
        <v/>
      </c>
      <c r="K148" s="21">
        <f>IFERROR(INDEX(Pedidos!$D$2:$D$1801,MATCH(B148,Pedidos!$A$2:$A$1801,0)),"")</f>
        <v/>
      </c>
      <c r="L148" s="21">
        <f>IFERROR(INDEX(Pedidos!$F$2:$F$1801,MATCH(B148,Pedidos!$A$2:$A$1801,0)),"")</f>
        <v/>
      </c>
      <c r="M148" s="22">
        <f>IFERROR(INDEX(Pedidos!$G$2:$G$1801,MATCH(B148,Pedidos!$A$2:$A$1801,0)),0)</f>
        <v/>
      </c>
      <c r="N148" s="21">
        <f>IFERROR(INDEX(Produtos!$B$2:$B$71,MATCH(C148,Produtos!$A$2:$A$71,0)),"")</f>
        <v/>
      </c>
      <c r="O148" s="21">
        <f>IFERROR(INDEX(Produtos!$C$2:$C$71,MATCH(C148,Produtos!$A$2:$A$71,0)),"")</f>
        <v/>
      </c>
      <c r="P148" s="21">
        <f>IFERROR(INDEX(Produtos!$D$2:$D$71,MATCH(C148,Produtos!$A$2:$A$71,0)),0)</f>
        <v/>
      </c>
      <c r="Q148" s="21">
        <f>IFERROR(INDEX(Produtos!$E$2:$E$71,MATCH(C148,Produtos!$A$2:$A$71,0)),0)</f>
        <v/>
      </c>
      <c r="R148" s="23">
        <f>D148*Q148</f>
        <v/>
      </c>
      <c r="S148" s="23">
        <f>R148*E148</f>
        <v/>
      </c>
      <c r="T148" s="23">
        <f>(R148-S148)*M148</f>
        <v/>
      </c>
      <c r="U148" s="23">
        <f>R148-S148-T148</f>
        <v/>
      </c>
      <c r="V148" s="23">
        <f>D148*P148</f>
        <v/>
      </c>
      <c r="W148" s="23">
        <f>U148-V148</f>
        <v/>
      </c>
      <c r="X148" s="24">
        <f>IFERROR(W148/U148,0)</f>
        <v/>
      </c>
    </row>
    <row r="149">
      <c r="A149" s="25">
        <f>ItensPedido!A149</f>
        <v/>
      </c>
      <c r="B149" s="25">
        <f>ItensPedido!B149</f>
        <v/>
      </c>
      <c r="C149" s="25">
        <f>ItensPedido!C149</f>
        <v/>
      </c>
      <c r="D149" s="25">
        <f>ItensPedido!D149</f>
        <v/>
      </c>
      <c r="E149" s="26">
        <f>ItensPedido!E149</f>
        <v/>
      </c>
      <c r="F149" s="25">
        <f>IFERROR(INDEX(Pedidos!$B$2:$B$1801,MATCH(B149,Pedidos!$A$2:$A$1801,0)),0)</f>
        <v/>
      </c>
      <c r="G149" s="25">
        <f>IF(F149=0,"",YEAR(F149))</f>
        <v/>
      </c>
      <c r="H149" s="25">
        <f>IF(F149=0,"",MONTH(F149))</f>
        <v/>
      </c>
      <c r="I149" s="25">
        <f>IFERROR(INDEX(Pedidos!$E$2:$E$1801,MATCH(B149,Pedidos!$A$2:$A$1801,0)),"")</f>
        <v/>
      </c>
      <c r="J149" s="25">
        <f>IFERROR(INDEX(Pedidos!$C$2:$C$1801,MATCH(B149,Pedidos!$A$2:$A$1801,0)),"")</f>
        <v/>
      </c>
      <c r="K149" s="25">
        <f>IFERROR(INDEX(Pedidos!$D$2:$D$1801,MATCH(B149,Pedidos!$A$2:$A$1801,0)),"")</f>
        <v/>
      </c>
      <c r="L149" s="25">
        <f>IFERROR(INDEX(Pedidos!$F$2:$F$1801,MATCH(B149,Pedidos!$A$2:$A$1801,0)),"")</f>
        <v/>
      </c>
      <c r="M149" s="26">
        <f>IFERROR(INDEX(Pedidos!$G$2:$G$1801,MATCH(B149,Pedidos!$A$2:$A$1801,0)),0)</f>
        <v/>
      </c>
      <c r="N149" s="25">
        <f>IFERROR(INDEX(Produtos!$B$2:$B$71,MATCH(C149,Produtos!$A$2:$A$71,0)),"")</f>
        <v/>
      </c>
      <c r="O149" s="25">
        <f>IFERROR(INDEX(Produtos!$C$2:$C$71,MATCH(C149,Produtos!$A$2:$A$71,0)),"")</f>
        <v/>
      </c>
      <c r="P149" s="25">
        <f>IFERROR(INDEX(Produtos!$D$2:$D$71,MATCH(C149,Produtos!$A$2:$A$71,0)),0)</f>
        <v/>
      </c>
      <c r="Q149" s="25">
        <f>IFERROR(INDEX(Produtos!$E$2:$E$71,MATCH(C149,Produtos!$A$2:$A$71,0)),0)</f>
        <v/>
      </c>
      <c r="R149" s="27">
        <f>D149*Q149</f>
        <v/>
      </c>
      <c r="S149" s="27">
        <f>R149*E149</f>
        <v/>
      </c>
      <c r="T149" s="27">
        <f>(R149-S149)*M149</f>
        <v/>
      </c>
      <c r="U149" s="27">
        <f>R149-S149-T149</f>
        <v/>
      </c>
      <c r="V149" s="27">
        <f>D149*P149</f>
        <v/>
      </c>
      <c r="W149" s="27">
        <f>U149-V149</f>
        <v/>
      </c>
      <c r="X149" s="28">
        <f>IFERROR(W149/U149,0)</f>
        <v/>
      </c>
    </row>
    <row r="150">
      <c r="A150" s="21">
        <f>ItensPedido!A150</f>
        <v/>
      </c>
      <c r="B150" s="21">
        <f>ItensPedido!B150</f>
        <v/>
      </c>
      <c r="C150" s="21">
        <f>ItensPedido!C150</f>
        <v/>
      </c>
      <c r="D150" s="21">
        <f>ItensPedido!D150</f>
        <v/>
      </c>
      <c r="E150" s="22">
        <f>ItensPedido!E150</f>
        <v/>
      </c>
      <c r="F150" s="21">
        <f>IFERROR(INDEX(Pedidos!$B$2:$B$1801,MATCH(B150,Pedidos!$A$2:$A$1801,0)),0)</f>
        <v/>
      </c>
      <c r="G150" s="21">
        <f>IF(F150=0,"",YEAR(F150))</f>
        <v/>
      </c>
      <c r="H150" s="21">
        <f>IF(F150=0,"",MONTH(F150))</f>
        <v/>
      </c>
      <c r="I150" s="21">
        <f>IFERROR(INDEX(Pedidos!$E$2:$E$1801,MATCH(B150,Pedidos!$A$2:$A$1801,0)),"")</f>
        <v/>
      </c>
      <c r="J150" s="21">
        <f>IFERROR(INDEX(Pedidos!$C$2:$C$1801,MATCH(B150,Pedidos!$A$2:$A$1801,0)),"")</f>
        <v/>
      </c>
      <c r="K150" s="21">
        <f>IFERROR(INDEX(Pedidos!$D$2:$D$1801,MATCH(B150,Pedidos!$A$2:$A$1801,0)),"")</f>
        <v/>
      </c>
      <c r="L150" s="21">
        <f>IFERROR(INDEX(Pedidos!$F$2:$F$1801,MATCH(B150,Pedidos!$A$2:$A$1801,0)),"")</f>
        <v/>
      </c>
      <c r="M150" s="22">
        <f>IFERROR(INDEX(Pedidos!$G$2:$G$1801,MATCH(B150,Pedidos!$A$2:$A$1801,0)),0)</f>
        <v/>
      </c>
      <c r="N150" s="21">
        <f>IFERROR(INDEX(Produtos!$B$2:$B$71,MATCH(C150,Produtos!$A$2:$A$71,0)),"")</f>
        <v/>
      </c>
      <c r="O150" s="21">
        <f>IFERROR(INDEX(Produtos!$C$2:$C$71,MATCH(C150,Produtos!$A$2:$A$71,0)),"")</f>
        <v/>
      </c>
      <c r="P150" s="21">
        <f>IFERROR(INDEX(Produtos!$D$2:$D$71,MATCH(C150,Produtos!$A$2:$A$71,0)),0)</f>
        <v/>
      </c>
      <c r="Q150" s="21">
        <f>IFERROR(INDEX(Produtos!$E$2:$E$71,MATCH(C150,Produtos!$A$2:$A$71,0)),0)</f>
        <v/>
      </c>
      <c r="R150" s="23">
        <f>D150*Q150</f>
        <v/>
      </c>
      <c r="S150" s="23">
        <f>R150*E150</f>
        <v/>
      </c>
      <c r="T150" s="23">
        <f>(R150-S150)*M150</f>
        <v/>
      </c>
      <c r="U150" s="23">
        <f>R150-S150-T150</f>
        <v/>
      </c>
      <c r="V150" s="23">
        <f>D150*P150</f>
        <v/>
      </c>
      <c r="W150" s="23">
        <f>U150-V150</f>
        <v/>
      </c>
      <c r="X150" s="24">
        <f>IFERROR(W150/U150,0)</f>
        <v/>
      </c>
    </row>
    <row r="151">
      <c r="A151" s="25">
        <f>ItensPedido!A151</f>
        <v/>
      </c>
      <c r="B151" s="25">
        <f>ItensPedido!B151</f>
        <v/>
      </c>
      <c r="C151" s="25">
        <f>ItensPedido!C151</f>
        <v/>
      </c>
      <c r="D151" s="25">
        <f>ItensPedido!D151</f>
        <v/>
      </c>
      <c r="E151" s="26">
        <f>ItensPedido!E151</f>
        <v/>
      </c>
      <c r="F151" s="25">
        <f>IFERROR(INDEX(Pedidos!$B$2:$B$1801,MATCH(B151,Pedidos!$A$2:$A$1801,0)),0)</f>
        <v/>
      </c>
      <c r="G151" s="25">
        <f>IF(F151=0,"",YEAR(F151))</f>
        <v/>
      </c>
      <c r="H151" s="25">
        <f>IF(F151=0,"",MONTH(F151))</f>
        <v/>
      </c>
      <c r="I151" s="25">
        <f>IFERROR(INDEX(Pedidos!$E$2:$E$1801,MATCH(B151,Pedidos!$A$2:$A$1801,0)),"")</f>
        <v/>
      </c>
      <c r="J151" s="25">
        <f>IFERROR(INDEX(Pedidos!$C$2:$C$1801,MATCH(B151,Pedidos!$A$2:$A$1801,0)),"")</f>
        <v/>
      </c>
      <c r="K151" s="25">
        <f>IFERROR(INDEX(Pedidos!$D$2:$D$1801,MATCH(B151,Pedidos!$A$2:$A$1801,0)),"")</f>
        <v/>
      </c>
      <c r="L151" s="25">
        <f>IFERROR(INDEX(Pedidos!$F$2:$F$1801,MATCH(B151,Pedidos!$A$2:$A$1801,0)),"")</f>
        <v/>
      </c>
      <c r="M151" s="26">
        <f>IFERROR(INDEX(Pedidos!$G$2:$G$1801,MATCH(B151,Pedidos!$A$2:$A$1801,0)),0)</f>
        <v/>
      </c>
      <c r="N151" s="25">
        <f>IFERROR(INDEX(Produtos!$B$2:$B$71,MATCH(C151,Produtos!$A$2:$A$71,0)),"")</f>
        <v/>
      </c>
      <c r="O151" s="25">
        <f>IFERROR(INDEX(Produtos!$C$2:$C$71,MATCH(C151,Produtos!$A$2:$A$71,0)),"")</f>
        <v/>
      </c>
      <c r="P151" s="25">
        <f>IFERROR(INDEX(Produtos!$D$2:$D$71,MATCH(C151,Produtos!$A$2:$A$71,0)),0)</f>
        <v/>
      </c>
      <c r="Q151" s="25">
        <f>IFERROR(INDEX(Produtos!$E$2:$E$71,MATCH(C151,Produtos!$A$2:$A$71,0)),0)</f>
        <v/>
      </c>
      <c r="R151" s="27">
        <f>D151*Q151</f>
        <v/>
      </c>
      <c r="S151" s="27">
        <f>R151*E151</f>
        <v/>
      </c>
      <c r="T151" s="27">
        <f>(R151-S151)*M151</f>
        <v/>
      </c>
      <c r="U151" s="27">
        <f>R151-S151-T151</f>
        <v/>
      </c>
      <c r="V151" s="27">
        <f>D151*P151</f>
        <v/>
      </c>
      <c r="W151" s="27">
        <f>U151-V151</f>
        <v/>
      </c>
      <c r="X151" s="28">
        <f>IFERROR(W151/U151,0)</f>
        <v/>
      </c>
    </row>
    <row r="152">
      <c r="A152" s="21">
        <f>ItensPedido!A152</f>
        <v/>
      </c>
      <c r="B152" s="21">
        <f>ItensPedido!B152</f>
        <v/>
      </c>
      <c r="C152" s="21">
        <f>ItensPedido!C152</f>
        <v/>
      </c>
      <c r="D152" s="21">
        <f>ItensPedido!D152</f>
        <v/>
      </c>
      <c r="E152" s="22">
        <f>ItensPedido!E152</f>
        <v/>
      </c>
      <c r="F152" s="21">
        <f>IFERROR(INDEX(Pedidos!$B$2:$B$1801,MATCH(B152,Pedidos!$A$2:$A$1801,0)),0)</f>
        <v/>
      </c>
      <c r="G152" s="21">
        <f>IF(F152=0,"",YEAR(F152))</f>
        <v/>
      </c>
      <c r="H152" s="21">
        <f>IF(F152=0,"",MONTH(F152))</f>
        <v/>
      </c>
      <c r="I152" s="21">
        <f>IFERROR(INDEX(Pedidos!$E$2:$E$1801,MATCH(B152,Pedidos!$A$2:$A$1801,0)),"")</f>
        <v/>
      </c>
      <c r="J152" s="21">
        <f>IFERROR(INDEX(Pedidos!$C$2:$C$1801,MATCH(B152,Pedidos!$A$2:$A$1801,0)),"")</f>
        <v/>
      </c>
      <c r="K152" s="21">
        <f>IFERROR(INDEX(Pedidos!$D$2:$D$1801,MATCH(B152,Pedidos!$A$2:$A$1801,0)),"")</f>
        <v/>
      </c>
      <c r="L152" s="21">
        <f>IFERROR(INDEX(Pedidos!$F$2:$F$1801,MATCH(B152,Pedidos!$A$2:$A$1801,0)),"")</f>
        <v/>
      </c>
      <c r="M152" s="22">
        <f>IFERROR(INDEX(Pedidos!$G$2:$G$1801,MATCH(B152,Pedidos!$A$2:$A$1801,0)),0)</f>
        <v/>
      </c>
      <c r="N152" s="21">
        <f>IFERROR(INDEX(Produtos!$B$2:$B$71,MATCH(C152,Produtos!$A$2:$A$71,0)),"")</f>
        <v/>
      </c>
      <c r="O152" s="21">
        <f>IFERROR(INDEX(Produtos!$C$2:$C$71,MATCH(C152,Produtos!$A$2:$A$71,0)),"")</f>
        <v/>
      </c>
      <c r="P152" s="21">
        <f>IFERROR(INDEX(Produtos!$D$2:$D$71,MATCH(C152,Produtos!$A$2:$A$71,0)),0)</f>
        <v/>
      </c>
      <c r="Q152" s="21">
        <f>IFERROR(INDEX(Produtos!$E$2:$E$71,MATCH(C152,Produtos!$A$2:$A$71,0)),0)</f>
        <v/>
      </c>
      <c r="R152" s="23">
        <f>D152*Q152</f>
        <v/>
      </c>
      <c r="S152" s="23">
        <f>R152*E152</f>
        <v/>
      </c>
      <c r="T152" s="23">
        <f>(R152-S152)*M152</f>
        <v/>
      </c>
      <c r="U152" s="23">
        <f>R152-S152-T152</f>
        <v/>
      </c>
      <c r="V152" s="23">
        <f>D152*P152</f>
        <v/>
      </c>
      <c r="W152" s="23">
        <f>U152-V152</f>
        <v/>
      </c>
      <c r="X152" s="24">
        <f>IFERROR(W152/U152,0)</f>
        <v/>
      </c>
    </row>
    <row r="153">
      <c r="A153" s="25">
        <f>ItensPedido!A153</f>
        <v/>
      </c>
      <c r="B153" s="25">
        <f>ItensPedido!B153</f>
        <v/>
      </c>
      <c r="C153" s="25">
        <f>ItensPedido!C153</f>
        <v/>
      </c>
      <c r="D153" s="25">
        <f>ItensPedido!D153</f>
        <v/>
      </c>
      <c r="E153" s="26">
        <f>ItensPedido!E153</f>
        <v/>
      </c>
      <c r="F153" s="25">
        <f>IFERROR(INDEX(Pedidos!$B$2:$B$1801,MATCH(B153,Pedidos!$A$2:$A$1801,0)),0)</f>
        <v/>
      </c>
      <c r="G153" s="25">
        <f>IF(F153=0,"",YEAR(F153))</f>
        <v/>
      </c>
      <c r="H153" s="25">
        <f>IF(F153=0,"",MONTH(F153))</f>
        <v/>
      </c>
      <c r="I153" s="25">
        <f>IFERROR(INDEX(Pedidos!$E$2:$E$1801,MATCH(B153,Pedidos!$A$2:$A$1801,0)),"")</f>
        <v/>
      </c>
      <c r="J153" s="25">
        <f>IFERROR(INDEX(Pedidos!$C$2:$C$1801,MATCH(B153,Pedidos!$A$2:$A$1801,0)),"")</f>
        <v/>
      </c>
      <c r="K153" s="25">
        <f>IFERROR(INDEX(Pedidos!$D$2:$D$1801,MATCH(B153,Pedidos!$A$2:$A$1801,0)),"")</f>
        <v/>
      </c>
      <c r="L153" s="25">
        <f>IFERROR(INDEX(Pedidos!$F$2:$F$1801,MATCH(B153,Pedidos!$A$2:$A$1801,0)),"")</f>
        <v/>
      </c>
      <c r="M153" s="26">
        <f>IFERROR(INDEX(Pedidos!$G$2:$G$1801,MATCH(B153,Pedidos!$A$2:$A$1801,0)),0)</f>
        <v/>
      </c>
      <c r="N153" s="25">
        <f>IFERROR(INDEX(Produtos!$B$2:$B$71,MATCH(C153,Produtos!$A$2:$A$71,0)),"")</f>
        <v/>
      </c>
      <c r="O153" s="25">
        <f>IFERROR(INDEX(Produtos!$C$2:$C$71,MATCH(C153,Produtos!$A$2:$A$71,0)),"")</f>
        <v/>
      </c>
      <c r="P153" s="25">
        <f>IFERROR(INDEX(Produtos!$D$2:$D$71,MATCH(C153,Produtos!$A$2:$A$71,0)),0)</f>
        <v/>
      </c>
      <c r="Q153" s="25">
        <f>IFERROR(INDEX(Produtos!$E$2:$E$71,MATCH(C153,Produtos!$A$2:$A$71,0)),0)</f>
        <v/>
      </c>
      <c r="R153" s="27">
        <f>D153*Q153</f>
        <v/>
      </c>
      <c r="S153" s="27">
        <f>R153*E153</f>
        <v/>
      </c>
      <c r="T153" s="27">
        <f>(R153-S153)*M153</f>
        <v/>
      </c>
      <c r="U153" s="27">
        <f>R153-S153-T153</f>
        <v/>
      </c>
      <c r="V153" s="27">
        <f>D153*P153</f>
        <v/>
      </c>
      <c r="W153" s="27">
        <f>U153-V153</f>
        <v/>
      </c>
      <c r="X153" s="28">
        <f>IFERROR(W153/U153,0)</f>
        <v/>
      </c>
    </row>
    <row r="154">
      <c r="A154" s="21">
        <f>ItensPedido!A154</f>
        <v/>
      </c>
      <c r="B154" s="21">
        <f>ItensPedido!B154</f>
        <v/>
      </c>
      <c r="C154" s="21">
        <f>ItensPedido!C154</f>
        <v/>
      </c>
      <c r="D154" s="21">
        <f>ItensPedido!D154</f>
        <v/>
      </c>
      <c r="E154" s="22">
        <f>ItensPedido!E154</f>
        <v/>
      </c>
      <c r="F154" s="21">
        <f>IFERROR(INDEX(Pedidos!$B$2:$B$1801,MATCH(B154,Pedidos!$A$2:$A$1801,0)),0)</f>
        <v/>
      </c>
      <c r="G154" s="21">
        <f>IF(F154=0,"",YEAR(F154))</f>
        <v/>
      </c>
      <c r="H154" s="21">
        <f>IF(F154=0,"",MONTH(F154))</f>
        <v/>
      </c>
      <c r="I154" s="21">
        <f>IFERROR(INDEX(Pedidos!$E$2:$E$1801,MATCH(B154,Pedidos!$A$2:$A$1801,0)),"")</f>
        <v/>
      </c>
      <c r="J154" s="21">
        <f>IFERROR(INDEX(Pedidos!$C$2:$C$1801,MATCH(B154,Pedidos!$A$2:$A$1801,0)),"")</f>
        <v/>
      </c>
      <c r="K154" s="21">
        <f>IFERROR(INDEX(Pedidos!$D$2:$D$1801,MATCH(B154,Pedidos!$A$2:$A$1801,0)),"")</f>
        <v/>
      </c>
      <c r="L154" s="21">
        <f>IFERROR(INDEX(Pedidos!$F$2:$F$1801,MATCH(B154,Pedidos!$A$2:$A$1801,0)),"")</f>
        <v/>
      </c>
      <c r="M154" s="22">
        <f>IFERROR(INDEX(Pedidos!$G$2:$G$1801,MATCH(B154,Pedidos!$A$2:$A$1801,0)),0)</f>
        <v/>
      </c>
      <c r="N154" s="21">
        <f>IFERROR(INDEX(Produtos!$B$2:$B$71,MATCH(C154,Produtos!$A$2:$A$71,0)),"")</f>
        <v/>
      </c>
      <c r="O154" s="21">
        <f>IFERROR(INDEX(Produtos!$C$2:$C$71,MATCH(C154,Produtos!$A$2:$A$71,0)),"")</f>
        <v/>
      </c>
      <c r="P154" s="21">
        <f>IFERROR(INDEX(Produtos!$D$2:$D$71,MATCH(C154,Produtos!$A$2:$A$71,0)),0)</f>
        <v/>
      </c>
      <c r="Q154" s="21">
        <f>IFERROR(INDEX(Produtos!$E$2:$E$71,MATCH(C154,Produtos!$A$2:$A$71,0)),0)</f>
        <v/>
      </c>
      <c r="R154" s="23">
        <f>D154*Q154</f>
        <v/>
      </c>
      <c r="S154" s="23">
        <f>R154*E154</f>
        <v/>
      </c>
      <c r="T154" s="23">
        <f>(R154-S154)*M154</f>
        <v/>
      </c>
      <c r="U154" s="23">
        <f>R154-S154-T154</f>
        <v/>
      </c>
      <c r="V154" s="23">
        <f>D154*P154</f>
        <v/>
      </c>
      <c r="W154" s="23">
        <f>U154-V154</f>
        <v/>
      </c>
      <c r="X154" s="24">
        <f>IFERROR(W154/U154,0)</f>
        <v/>
      </c>
    </row>
    <row r="155">
      <c r="A155" s="25">
        <f>ItensPedido!A155</f>
        <v/>
      </c>
      <c r="B155" s="25">
        <f>ItensPedido!B155</f>
        <v/>
      </c>
      <c r="C155" s="25">
        <f>ItensPedido!C155</f>
        <v/>
      </c>
      <c r="D155" s="25">
        <f>ItensPedido!D155</f>
        <v/>
      </c>
      <c r="E155" s="26">
        <f>ItensPedido!E155</f>
        <v/>
      </c>
      <c r="F155" s="25">
        <f>IFERROR(INDEX(Pedidos!$B$2:$B$1801,MATCH(B155,Pedidos!$A$2:$A$1801,0)),0)</f>
        <v/>
      </c>
      <c r="G155" s="25">
        <f>IF(F155=0,"",YEAR(F155))</f>
        <v/>
      </c>
      <c r="H155" s="25">
        <f>IF(F155=0,"",MONTH(F155))</f>
        <v/>
      </c>
      <c r="I155" s="25">
        <f>IFERROR(INDEX(Pedidos!$E$2:$E$1801,MATCH(B155,Pedidos!$A$2:$A$1801,0)),"")</f>
        <v/>
      </c>
      <c r="J155" s="25">
        <f>IFERROR(INDEX(Pedidos!$C$2:$C$1801,MATCH(B155,Pedidos!$A$2:$A$1801,0)),"")</f>
        <v/>
      </c>
      <c r="K155" s="25">
        <f>IFERROR(INDEX(Pedidos!$D$2:$D$1801,MATCH(B155,Pedidos!$A$2:$A$1801,0)),"")</f>
        <v/>
      </c>
      <c r="L155" s="25">
        <f>IFERROR(INDEX(Pedidos!$F$2:$F$1801,MATCH(B155,Pedidos!$A$2:$A$1801,0)),"")</f>
        <v/>
      </c>
      <c r="M155" s="26">
        <f>IFERROR(INDEX(Pedidos!$G$2:$G$1801,MATCH(B155,Pedidos!$A$2:$A$1801,0)),0)</f>
        <v/>
      </c>
      <c r="N155" s="25">
        <f>IFERROR(INDEX(Produtos!$B$2:$B$71,MATCH(C155,Produtos!$A$2:$A$71,0)),"")</f>
        <v/>
      </c>
      <c r="O155" s="25">
        <f>IFERROR(INDEX(Produtos!$C$2:$C$71,MATCH(C155,Produtos!$A$2:$A$71,0)),"")</f>
        <v/>
      </c>
      <c r="P155" s="25">
        <f>IFERROR(INDEX(Produtos!$D$2:$D$71,MATCH(C155,Produtos!$A$2:$A$71,0)),0)</f>
        <v/>
      </c>
      <c r="Q155" s="25">
        <f>IFERROR(INDEX(Produtos!$E$2:$E$71,MATCH(C155,Produtos!$A$2:$A$71,0)),0)</f>
        <v/>
      </c>
      <c r="R155" s="27">
        <f>D155*Q155</f>
        <v/>
      </c>
      <c r="S155" s="27">
        <f>R155*E155</f>
        <v/>
      </c>
      <c r="T155" s="27">
        <f>(R155-S155)*M155</f>
        <v/>
      </c>
      <c r="U155" s="27">
        <f>R155-S155-T155</f>
        <v/>
      </c>
      <c r="V155" s="27">
        <f>D155*P155</f>
        <v/>
      </c>
      <c r="W155" s="27">
        <f>U155-V155</f>
        <v/>
      </c>
      <c r="X155" s="28">
        <f>IFERROR(W155/U155,0)</f>
        <v/>
      </c>
    </row>
    <row r="156">
      <c r="A156" s="21">
        <f>ItensPedido!A156</f>
        <v/>
      </c>
      <c r="B156" s="21">
        <f>ItensPedido!B156</f>
        <v/>
      </c>
      <c r="C156" s="21">
        <f>ItensPedido!C156</f>
        <v/>
      </c>
      <c r="D156" s="21">
        <f>ItensPedido!D156</f>
        <v/>
      </c>
      <c r="E156" s="22">
        <f>ItensPedido!E156</f>
        <v/>
      </c>
      <c r="F156" s="21">
        <f>IFERROR(INDEX(Pedidos!$B$2:$B$1801,MATCH(B156,Pedidos!$A$2:$A$1801,0)),0)</f>
        <v/>
      </c>
      <c r="G156" s="21">
        <f>IF(F156=0,"",YEAR(F156))</f>
        <v/>
      </c>
      <c r="H156" s="21">
        <f>IF(F156=0,"",MONTH(F156))</f>
        <v/>
      </c>
      <c r="I156" s="21">
        <f>IFERROR(INDEX(Pedidos!$E$2:$E$1801,MATCH(B156,Pedidos!$A$2:$A$1801,0)),"")</f>
        <v/>
      </c>
      <c r="J156" s="21">
        <f>IFERROR(INDEX(Pedidos!$C$2:$C$1801,MATCH(B156,Pedidos!$A$2:$A$1801,0)),"")</f>
        <v/>
      </c>
      <c r="K156" s="21">
        <f>IFERROR(INDEX(Pedidos!$D$2:$D$1801,MATCH(B156,Pedidos!$A$2:$A$1801,0)),"")</f>
        <v/>
      </c>
      <c r="L156" s="21">
        <f>IFERROR(INDEX(Pedidos!$F$2:$F$1801,MATCH(B156,Pedidos!$A$2:$A$1801,0)),"")</f>
        <v/>
      </c>
      <c r="M156" s="22">
        <f>IFERROR(INDEX(Pedidos!$G$2:$G$1801,MATCH(B156,Pedidos!$A$2:$A$1801,0)),0)</f>
        <v/>
      </c>
      <c r="N156" s="21">
        <f>IFERROR(INDEX(Produtos!$B$2:$B$71,MATCH(C156,Produtos!$A$2:$A$71,0)),"")</f>
        <v/>
      </c>
      <c r="O156" s="21">
        <f>IFERROR(INDEX(Produtos!$C$2:$C$71,MATCH(C156,Produtos!$A$2:$A$71,0)),"")</f>
        <v/>
      </c>
      <c r="P156" s="21">
        <f>IFERROR(INDEX(Produtos!$D$2:$D$71,MATCH(C156,Produtos!$A$2:$A$71,0)),0)</f>
        <v/>
      </c>
      <c r="Q156" s="21">
        <f>IFERROR(INDEX(Produtos!$E$2:$E$71,MATCH(C156,Produtos!$A$2:$A$71,0)),0)</f>
        <v/>
      </c>
      <c r="R156" s="23">
        <f>D156*Q156</f>
        <v/>
      </c>
      <c r="S156" s="23">
        <f>R156*E156</f>
        <v/>
      </c>
      <c r="T156" s="23">
        <f>(R156-S156)*M156</f>
        <v/>
      </c>
      <c r="U156" s="23">
        <f>R156-S156-T156</f>
        <v/>
      </c>
      <c r="V156" s="23">
        <f>D156*P156</f>
        <v/>
      </c>
      <c r="W156" s="23">
        <f>U156-V156</f>
        <v/>
      </c>
      <c r="X156" s="24">
        <f>IFERROR(W156/U156,0)</f>
        <v/>
      </c>
    </row>
    <row r="157">
      <c r="A157" s="25">
        <f>ItensPedido!A157</f>
        <v/>
      </c>
      <c r="B157" s="25">
        <f>ItensPedido!B157</f>
        <v/>
      </c>
      <c r="C157" s="25">
        <f>ItensPedido!C157</f>
        <v/>
      </c>
      <c r="D157" s="25">
        <f>ItensPedido!D157</f>
        <v/>
      </c>
      <c r="E157" s="26">
        <f>ItensPedido!E157</f>
        <v/>
      </c>
      <c r="F157" s="25">
        <f>IFERROR(INDEX(Pedidos!$B$2:$B$1801,MATCH(B157,Pedidos!$A$2:$A$1801,0)),0)</f>
        <v/>
      </c>
      <c r="G157" s="25">
        <f>IF(F157=0,"",YEAR(F157))</f>
        <v/>
      </c>
      <c r="H157" s="25">
        <f>IF(F157=0,"",MONTH(F157))</f>
        <v/>
      </c>
      <c r="I157" s="25">
        <f>IFERROR(INDEX(Pedidos!$E$2:$E$1801,MATCH(B157,Pedidos!$A$2:$A$1801,0)),"")</f>
        <v/>
      </c>
      <c r="J157" s="25">
        <f>IFERROR(INDEX(Pedidos!$C$2:$C$1801,MATCH(B157,Pedidos!$A$2:$A$1801,0)),"")</f>
        <v/>
      </c>
      <c r="K157" s="25">
        <f>IFERROR(INDEX(Pedidos!$D$2:$D$1801,MATCH(B157,Pedidos!$A$2:$A$1801,0)),"")</f>
        <v/>
      </c>
      <c r="L157" s="25">
        <f>IFERROR(INDEX(Pedidos!$F$2:$F$1801,MATCH(B157,Pedidos!$A$2:$A$1801,0)),"")</f>
        <v/>
      </c>
      <c r="M157" s="26">
        <f>IFERROR(INDEX(Pedidos!$G$2:$G$1801,MATCH(B157,Pedidos!$A$2:$A$1801,0)),0)</f>
        <v/>
      </c>
      <c r="N157" s="25">
        <f>IFERROR(INDEX(Produtos!$B$2:$B$71,MATCH(C157,Produtos!$A$2:$A$71,0)),"")</f>
        <v/>
      </c>
      <c r="O157" s="25">
        <f>IFERROR(INDEX(Produtos!$C$2:$C$71,MATCH(C157,Produtos!$A$2:$A$71,0)),"")</f>
        <v/>
      </c>
      <c r="P157" s="25">
        <f>IFERROR(INDEX(Produtos!$D$2:$D$71,MATCH(C157,Produtos!$A$2:$A$71,0)),0)</f>
        <v/>
      </c>
      <c r="Q157" s="25">
        <f>IFERROR(INDEX(Produtos!$E$2:$E$71,MATCH(C157,Produtos!$A$2:$A$71,0)),0)</f>
        <v/>
      </c>
      <c r="R157" s="27">
        <f>D157*Q157</f>
        <v/>
      </c>
      <c r="S157" s="27">
        <f>R157*E157</f>
        <v/>
      </c>
      <c r="T157" s="27">
        <f>(R157-S157)*M157</f>
        <v/>
      </c>
      <c r="U157" s="27">
        <f>R157-S157-T157</f>
        <v/>
      </c>
      <c r="V157" s="27">
        <f>D157*P157</f>
        <v/>
      </c>
      <c r="W157" s="27">
        <f>U157-V157</f>
        <v/>
      </c>
      <c r="X157" s="28">
        <f>IFERROR(W157/U157,0)</f>
        <v/>
      </c>
    </row>
    <row r="158">
      <c r="A158" s="21">
        <f>ItensPedido!A158</f>
        <v/>
      </c>
      <c r="B158" s="21">
        <f>ItensPedido!B158</f>
        <v/>
      </c>
      <c r="C158" s="21">
        <f>ItensPedido!C158</f>
        <v/>
      </c>
      <c r="D158" s="21">
        <f>ItensPedido!D158</f>
        <v/>
      </c>
      <c r="E158" s="22">
        <f>ItensPedido!E158</f>
        <v/>
      </c>
      <c r="F158" s="21">
        <f>IFERROR(INDEX(Pedidos!$B$2:$B$1801,MATCH(B158,Pedidos!$A$2:$A$1801,0)),0)</f>
        <v/>
      </c>
      <c r="G158" s="21">
        <f>IF(F158=0,"",YEAR(F158))</f>
        <v/>
      </c>
      <c r="H158" s="21">
        <f>IF(F158=0,"",MONTH(F158))</f>
        <v/>
      </c>
      <c r="I158" s="21">
        <f>IFERROR(INDEX(Pedidos!$E$2:$E$1801,MATCH(B158,Pedidos!$A$2:$A$1801,0)),"")</f>
        <v/>
      </c>
      <c r="J158" s="21">
        <f>IFERROR(INDEX(Pedidos!$C$2:$C$1801,MATCH(B158,Pedidos!$A$2:$A$1801,0)),"")</f>
        <v/>
      </c>
      <c r="K158" s="21">
        <f>IFERROR(INDEX(Pedidos!$D$2:$D$1801,MATCH(B158,Pedidos!$A$2:$A$1801,0)),"")</f>
        <v/>
      </c>
      <c r="L158" s="21">
        <f>IFERROR(INDEX(Pedidos!$F$2:$F$1801,MATCH(B158,Pedidos!$A$2:$A$1801,0)),"")</f>
        <v/>
      </c>
      <c r="M158" s="22">
        <f>IFERROR(INDEX(Pedidos!$G$2:$G$1801,MATCH(B158,Pedidos!$A$2:$A$1801,0)),0)</f>
        <v/>
      </c>
      <c r="N158" s="21">
        <f>IFERROR(INDEX(Produtos!$B$2:$B$71,MATCH(C158,Produtos!$A$2:$A$71,0)),"")</f>
        <v/>
      </c>
      <c r="O158" s="21">
        <f>IFERROR(INDEX(Produtos!$C$2:$C$71,MATCH(C158,Produtos!$A$2:$A$71,0)),"")</f>
        <v/>
      </c>
      <c r="P158" s="21">
        <f>IFERROR(INDEX(Produtos!$D$2:$D$71,MATCH(C158,Produtos!$A$2:$A$71,0)),0)</f>
        <v/>
      </c>
      <c r="Q158" s="21">
        <f>IFERROR(INDEX(Produtos!$E$2:$E$71,MATCH(C158,Produtos!$A$2:$A$71,0)),0)</f>
        <v/>
      </c>
      <c r="R158" s="23">
        <f>D158*Q158</f>
        <v/>
      </c>
      <c r="S158" s="23">
        <f>R158*E158</f>
        <v/>
      </c>
      <c r="T158" s="23">
        <f>(R158-S158)*M158</f>
        <v/>
      </c>
      <c r="U158" s="23">
        <f>R158-S158-T158</f>
        <v/>
      </c>
      <c r="V158" s="23">
        <f>D158*P158</f>
        <v/>
      </c>
      <c r="W158" s="23">
        <f>U158-V158</f>
        <v/>
      </c>
      <c r="X158" s="24">
        <f>IFERROR(W158/U158,0)</f>
        <v/>
      </c>
    </row>
    <row r="159">
      <c r="A159" s="25">
        <f>ItensPedido!A159</f>
        <v/>
      </c>
      <c r="B159" s="25">
        <f>ItensPedido!B159</f>
        <v/>
      </c>
      <c r="C159" s="25">
        <f>ItensPedido!C159</f>
        <v/>
      </c>
      <c r="D159" s="25">
        <f>ItensPedido!D159</f>
        <v/>
      </c>
      <c r="E159" s="26">
        <f>ItensPedido!E159</f>
        <v/>
      </c>
      <c r="F159" s="25">
        <f>IFERROR(INDEX(Pedidos!$B$2:$B$1801,MATCH(B159,Pedidos!$A$2:$A$1801,0)),0)</f>
        <v/>
      </c>
      <c r="G159" s="25">
        <f>IF(F159=0,"",YEAR(F159))</f>
        <v/>
      </c>
      <c r="H159" s="25">
        <f>IF(F159=0,"",MONTH(F159))</f>
        <v/>
      </c>
      <c r="I159" s="25">
        <f>IFERROR(INDEX(Pedidos!$E$2:$E$1801,MATCH(B159,Pedidos!$A$2:$A$1801,0)),"")</f>
        <v/>
      </c>
      <c r="J159" s="25">
        <f>IFERROR(INDEX(Pedidos!$C$2:$C$1801,MATCH(B159,Pedidos!$A$2:$A$1801,0)),"")</f>
        <v/>
      </c>
      <c r="K159" s="25">
        <f>IFERROR(INDEX(Pedidos!$D$2:$D$1801,MATCH(B159,Pedidos!$A$2:$A$1801,0)),"")</f>
        <v/>
      </c>
      <c r="L159" s="25">
        <f>IFERROR(INDEX(Pedidos!$F$2:$F$1801,MATCH(B159,Pedidos!$A$2:$A$1801,0)),"")</f>
        <v/>
      </c>
      <c r="M159" s="26">
        <f>IFERROR(INDEX(Pedidos!$G$2:$G$1801,MATCH(B159,Pedidos!$A$2:$A$1801,0)),0)</f>
        <v/>
      </c>
      <c r="N159" s="25">
        <f>IFERROR(INDEX(Produtos!$B$2:$B$71,MATCH(C159,Produtos!$A$2:$A$71,0)),"")</f>
        <v/>
      </c>
      <c r="O159" s="25">
        <f>IFERROR(INDEX(Produtos!$C$2:$C$71,MATCH(C159,Produtos!$A$2:$A$71,0)),"")</f>
        <v/>
      </c>
      <c r="P159" s="25">
        <f>IFERROR(INDEX(Produtos!$D$2:$D$71,MATCH(C159,Produtos!$A$2:$A$71,0)),0)</f>
        <v/>
      </c>
      <c r="Q159" s="25">
        <f>IFERROR(INDEX(Produtos!$E$2:$E$71,MATCH(C159,Produtos!$A$2:$A$71,0)),0)</f>
        <v/>
      </c>
      <c r="R159" s="27">
        <f>D159*Q159</f>
        <v/>
      </c>
      <c r="S159" s="27">
        <f>R159*E159</f>
        <v/>
      </c>
      <c r="T159" s="27">
        <f>(R159-S159)*M159</f>
        <v/>
      </c>
      <c r="U159" s="27">
        <f>R159-S159-T159</f>
        <v/>
      </c>
      <c r="V159" s="27">
        <f>D159*P159</f>
        <v/>
      </c>
      <c r="W159" s="27">
        <f>U159-V159</f>
        <v/>
      </c>
      <c r="X159" s="28">
        <f>IFERROR(W159/U159,0)</f>
        <v/>
      </c>
    </row>
    <row r="160">
      <c r="A160" s="21">
        <f>ItensPedido!A160</f>
        <v/>
      </c>
      <c r="B160" s="21">
        <f>ItensPedido!B160</f>
        <v/>
      </c>
      <c r="C160" s="21">
        <f>ItensPedido!C160</f>
        <v/>
      </c>
      <c r="D160" s="21">
        <f>ItensPedido!D160</f>
        <v/>
      </c>
      <c r="E160" s="22">
        <f>ItensPedido!E160</f>
        <v/>
      </c>
      <c r="F160" s="21">
        <f>IFERROR(INDEX(Pedidos!$B$2:$B$1801,MATCH(B160,Pedidos!$A$2:$A$1801,0)),0)</f>
        <v/>
      </c>
      <c r="G160" s="21">
        <f>IF(F160=0,"",YEAR(F160))</f>
        <v/>
      </c>
      <c r="H160" s="21">
        <f>IF(F160=0,"",MONTH(F160))</f>
        <v/>
      </c>
      <c r="I160" s="21">
        <f>IFERROR(INDEX(Pedidos!$E$2:$E$1801,MATCH(B160,Pedidos!$A$2:$A$1801,0)),"")</f>
        <v/>
      </c>
      <c r="J160" s="21">
        <f>IFERROR(INDEX(Pedidos!$C$2:$C$1801,MATCH(B160,Pedidos!$A$2:$A$1801,0)),"")</f>
        <v/>
      </c>
      <c r="K160" s="21">
        <f>IFERROR(INDEX(Pedidos!$D$2:$D$1801,MATCH(B160,Pedidos!$A$2:$A$1801,0)),"")</f>
        <v/>
      </c>
      <c r="L160" s="21">
        <f>IFERROR(INDEX(Pedidos!$F$2:$F$1801,MATCH(B160,Pedidos!$A$2:$A$1801,0)),"")</f>
        <v/>
      </c>
      <c r="M160" s="22">
        <f>IFERROR(INDEX(Pedidos!$G$2:$G$1801,MATCH(B160,Pedidos!$A$2:$A$1801,0)),0)</f>
        <v/>
      </c>
      <c r="N160" s="21">
        <f>IFERROR(INDEX(Produtos!$B$2:$B$71,MATCH(C160,Produtos!$A$2:$A$71,0)),"")</f>
        <v/>
      </c>
      <c r="O160" s="21">
        <f>IFERROR(INDEX(Produtos!$C$2:$C$71,MATCH(C160,Produtos!$A$2:$A$71,0)),"")</f>
        <v/>
      </c>
      <c r="P160" s="21">
        <f>IFERROR(INDEX(Produtos!$D$2:$D$71,MATCH(C160,Produtos!$A$2:$A$71,0)),0)</f>
        <v/>
      </c>
      <c r="Q160" s="21">
        <f>IFERROR(INDEX(Produtos!$E$2:$E$71,MATCH(C160,Produtos!$A$2:$A$71,0)),0)</f>
        <v/>
      </c>
      <c r="R160" s="23">
        <f>D160*Q160</f>
        <v/>
      </c>
      <c r="S160" s="23">
        <f>R160*E160</f>
        <v/>
      </c>
      <c r="T160" s="23">
        <f>(R160-S160)*M160</f>
        <v/>
      </c>
      <c r="U160" s="23">
        <f>R160-S160-T160</f>
        <v/>
      </c>
      <c r="V160" s="23">
        <f>D160*P160</f>
        <v/>
      </c>
      <c r="W160" s="23">
        <f>U160-V160</f>
        <v/>
      </c>
      <c r="X160" s="24">
        <f>IFERROR(W160/U160,0)</f>
        <v/>
      </c>
    </row>
    <row r="161">
      <c r="A161" s="25">
        <f>ItensPedido!A161</f>
        <v/>
      </c>
      <c r="B161" s="25">
        <f>ItensPedido!B161</f>
        <v/>
      </c>
      <c r="C161" s="25">
        <f>ItensPedido!C161</f>
        <v/>
      </c>
      <c r="D161" s="25">
        <f>ItensPedido!D161</f>
        <v/>
      </c>
      <c r="E161" s="26">
        <f>ItensPedido!E161</f>
        <v/>
      </c>
      <c r="F161" s="25">
        <f>IFERROR(INDEX(Pedidos!$B$2:$B$1801,MATCH(B161,Pedidos!$A$2:$A$1801,0)),0)</f>
        <v/>
      </c>
      <c r="G161" s="25">
        <f>IF(F161=0,"",YEAR(F161))</f>
        <v/>
      </c>
      <c r="H161" s="25">
        <f>IF(F161=0,"",MONTH(F161))</f>
        <v/>
      </c>
      <c r="I161" s="25">
        <f>IFERROR(INDEX(Pedidos!$E$2:$E$1801,MATCH(B161,Pedidos!$A$2:$A$1801,0)),"")</f>
        <v/>
      </c>
      <c r="J161" s="25">
        <f>IFERROR(INDEX(Pedidos!$C$2:$C$1801,MATCH(B161,Pedidos!$A$2:$A$1801,0)),"")</f>
        <v/>
      </c>
      <c r="K161" s="25">
        <f>IFERROR(INDEX(Pedidos!$D$2:$D$1801,MATCH(B161,Pedidos!$A$2:$A$1801,0)),"")</f>
        <v/>
      </c>
      <c r="L161" s="25">
        <f>IFERROR(INDEX(Pedidos!$F$2:$F$1801,MATCH(B161,Pedidos!$A$2:$A$1801,0)),"")</f>
        <v/>
      </c>
      <c r="M161" s="26">
        <f>IFERROR(INDEX(Pedidos!$G$2:$G$1801,MATCH(B161,Pedidos!$A$2:$A$1801,0)),0)</f>
        <v/>
      </c>
      <c r="N161" s="25">
        <f>IFERROR(INDEX(Produtos!$B$2:$B$71,MATCH(C161,Produtos!$A$2:$A$71,0)),"")</f>
        <v/>
      </c>
      <c r="O161" s="25">
        <f>IFERROR(INDEX(Produtos!$C$2:$C$71,MATCH(C161,Produtos!$A$2:$A$71,0)),"")</f>
        <v/>
      </c>
      <c r="P161" s="25">
        <f>IFERROR(INDEX(Produtos!$D$2:$D$71,MATCH(C161,Produtos!$A$2:$A$71,0)),0)</f>
        <v/>
      </c>
      <c r="Q161" s="25">
        <f>IFERROR(INDEX(Produtos!$E$2:$E$71,MATCH(C161,Produtos!$A$2:$A$71,0)),0)</f>
        <v/>
      </c>
      <c r="R161" s="27">
        <f>D161*Q161</f>
        <v/>
      </c>
      <c r="S161" s="27">
        <f>R161*E161</f>
        <v/>
      </c>
      <c r="T161" s="27">
        <f>(R161-S161)*M161</f>
        <v/>
      </c>
      <c r="U161" s="27">
        <f>R161-S161-T161</f>
        <v/>
      </c>
      <c r="V161" s="27">
        <f>D161*P161</f>
        <v/>
      </c>
      <c r="W161" s="27">
        <f>U161-V161</f>
        <v/>
      </c>
      <c r="X161" s="28">
        <f>IFERROR(W161/U161,0)</f>
        <v/>
      </c>
    </row>
    <row r="162">
      <c r="A162" s="21">
        <f>ItensPedido!A162</f>
        <v/>
      </c>
      <c r="B162" s="21">
        <f>ItensPedido!B162</f>
        <v/>
      </c>
      <c r="C162" s="21">
        <f>ItensPedido!C162</f>
        <v/>
      </c>
      <c r="D162" s="21">
        <f>ItensPedido!D162</f>
        <v/>
      </c>
      <c r="E162" s="22">
        <f>ItensPedido!E162</f>
        <v/>
      </c>
      <c r="F162" s="21">
        <f>IFERROR(INDEX(Pedidos!$B$2:$B$1801,MATCH(B162,Pedidos!$A$2:$A$1801,0)),0)</f>
        <v/>
      </c>
      <c r="G162" s="21">
        <f>IF(F162=0,"",YEAR(F162))</f>
        <v/>
      </c>
      <c r="H162" s="21">
        <f>IF(F162=0,"",MONTH(F162))</f>
        <v/>
      </c>
      <c r="I162" s="21">
        <f>IFERROR(INDEX(Pedidos!$E$2:$E$1801,MATCH(B162,Pedidos!$A$2:$A$1801,0)),"")</f>
        <v/>
      </c>
      <c r="J162" s="21">
        <f>IFERROR(INDEX(Pedidos!$C$2:$C$1801,MATCH(B162,Pedidos!$A$2:$A$1801,0)),"")</f>
        <v/>
      </c>
      <c r="K162" s="21">
        <f>IFERROR(INDEX(Pedidos!$D$2:$D$1801,MATCH(B162,Pedidos!$A$2:$A$1801,0)),"")</f>
        <v/>
      </c>
      <c r="L162" s="21">
        <f>IFERROR(INDEX(Pedidos!$F$2:$F$1801,MATCH(B162,Pedidos!$A$2:$A$1801,0)),"")</f>
        <v/>
      </c>
      <c r="M162" s="22">
        <f>IFERROR(INDEX(Pedidos!$G$2:$G$1801,MATCH(B162,Pedidos!$A$2:$A$1801,0)),0)</f>
        <v/>
      </c>
      <c r="N162" s="21">
        <f>IFERROR(INDEX(Produtos!$B$2:$B$71,MATCH(C162,Produtos!$A$2:$A$71,0)),"")</f>
        <v/>
      </c>
      <c r="O162" s="21">
        <f>IFERROR(INDEX(Produtos!$C$2:$C$71,MATCH(C162,Produtos!$A$2:$A$71,0)),"")</f>
        <v/>
      </c>
      <c r="P162" s="21">
        <f>IFERROR(INDEX(Produtos!$D$2:$D$71,MATCH(C162,Produtos!$A$2:$A$71,0)),0)</f>
        <v/>
      </c>
      <c r="Q162" s="21">
        <f>IFERROR(INDEX(Produtos!$E$2:$E$71,MATCH(C162,Produtos!$A$2:$A$71,0)),0)</f>
        <v/>
      </c>
      <c r="R162" s="23">
        <f>D162*Q162</f>
        <v/>
      </c>
      <c r="S162" s="23">
        <f>R162*E162</f>
        <v/>
      </c>
      <c r="T162" s="23">
        <f>(R162-S162)*M162</f>
        <v/>
      </c>
      <c r="U162" s="23">
        <f>R162-S162-T162</f>
        <v/>
      </c>
      <c r="V162" s="23">
        <f>D162*P162</f>
        <v/>
      </c>
      <c r="W162" s="23">
        <f>U162-V162</f>
        <v/>
      </c>
      <c r="X162" s="24">
        <f>IFERROR(W162/U162,0)</f>
        <v/>
      </c>
    </row>
    <row r="163">
      <c r="A163" s="25">
        <f>ItensPedido!A163</f>
        <v/>
      </c>
      <c r="B163" s="25">
        <f>ItensPedido!B163</f>
        <v/>
      </c>
      <c r="C163" s="25">
        <f>ItensPedido!C163</f>
        <v/>
      </c>
      <c r="D163" s="25">
        <f>ItensPedido!D163</f>
        <v/>
      </c>
      <c r="E163" s="26">
        <f>ItensPedido!E163</f>
        <v/>
      </c>
      <c r="F163" s="25">
        <f>IFERROR(INDEX(Pedidos!$B$2:$B$1801,MATCH(B163,Pedidos!$A$2:$A$1801,0)),0)</f>
        <v/>
      </c>
      <c r="G163" s="25">
        <f>IF(F163=0,"",YEAR(F163))</f>
        <v/>
      </c>
      <c r="H163" s="25">
        <f>IF(F163=0,"",MONTH(F163))</f>
        <v/>
      </c>
      <c r="I163" s="25">
        <f>IFERROR(INDEX(Pedidos!$E$2:$E$1801,MATCH(B163,Pedidos!$A$2:$A$1801,0)),"")</f>
        <v/>
      </c>
      <c r="J163" s="25">
        <f>IFERROR(INDEX(Pedidos!$C$2:$C$1801,MATCH(B163,Pedidos!$A$2:$A$1801,0)),"")</f>
        <v/>
      </c>
      <c r="K163" s="25">
        <f>IFERROR(INDEX(Pedidos!$D$2:$D$1801,MATCH(B163,Pedidos!$A$2:$A$1801,0)),"")</f>
        <v/>
      </c>
      <c r="L163" s="25">
        <f>IFERROR(INDEX(Pedidos!$F$2:$F$1801,MATCH(B163,Pedidos!$A$2:$A$1801,0)),"")</f>
        <v/>
      </c>
      <c r="M163" s="26">
        <f>IFERROR(INDEX(Pedidos!$G$2:$G$1801,MATCH(B163,Pedidos!$A$2:$A$1801,0)),0)</f>
        <v/>
      </c>
      <c r="N163" s="25">
        <f>IFERROR(INDEX(Produtos!$B$2:$B$71,MATCH(C163,Produtos!$A$2:$A$71,0)),"")</f>
        <v/>
      </c>
      <c r="O163" s="25">
        <f>IFERROR(INDEX(Produtos!$C$2:$C$71,MATCH(C163,Produtos!$A$2:$A$71,0)),"")</f>
        <v/>
      </c>
      <c r="P163" s="25">
        <f>IFERROR(INDEX(Produtos!$D$2:$D$71,MATCH(C163,Produtos!$A$2:$A$71,0)),0)</f>
        <v/>
      </c>
      <c r="Q163" s="25">
        <f>IFERROR(INDEX(Produtos!$E$2:$E$71,MATCH(C163,Produtos!$A$2:$A$71,0)),0)</f>
        <v/>
      </c>
      <c r="R163" s="27">
        <f>D163*Q163</f>
        <v/>
      </c>
      <c r="S163" s="27">
        <f>R163*E163</f>
        <v/>
      </c>
      <c r="T163" s="27">
        <f>(R163-S163)*M163</f>
        <v/>
      </c>
      <c r="U163" s="27">
        <f>R163-S163-T163</f>
        <v/>
      </c>
      <c r="V163" s="27">
        <f>D163*P163</f>
        <v/>
      </c>
      <c r="W163" s="27">
        <f>U163-V163</f>
        <v/>
      </c>
      <c r="X163" s="28">
        <f>IFERROR(W163/U163,0)</f>
        <v/>
      </c>
    </row>
    <row r="164">
      <c r="A164" s="21">
        <f>ItensPedido!A164</f>
        <v/>
      </c>
      <c r="B164" s="21">
        <f>ItensPedido!B164</f>
        <v/>
      </c>
      <c r="C164" s="21">
        <f>ItensPedido!C164</f>
        <v/>
      </c>
      <c r="D164" s="21">
        <f>ItensPedido!D164</f>
        <v/>
      </c>
      <c r="E164" s="22">
        <f>ItensPedido!E164</f>
        <v/>
      </c>
      <c r="F164" s="21">
        <f>IFERROR(INDEX(Pedidos!$B$2:$B$1801,MATCH(B164,Pedidos!$A$2:$A$1801,0)),0)</f>
        <v/>
      </c>
      <c r="G164" s="21">
        <f>IF(F164=0,"",YEAR(F164))</f>
        <v/>
      </c>
      <c r="H164" s="21">
        <f>IF(F164=0,"",MONTH(F164))</f>
        <v/>
      </c>
      <c r="I164" s="21">
        <f>IFERROR(INDEX(Pedidos!$E$2:$E$1801,MATCH(B164,Pedidos!$A$2:$A$1801,0)),"")</f>
        <v/>
      </c>
      <c r="J164" s="21">
        <f>IFERROR(INDEX(Pedidos!$C$2:$C$1801,MATCH(B164,Pedidos!$A$2:$A$1801,0)),"")</f>
        <v/>
      </c>
      <c r="K164" s="21">
        <f>IFERROR(INDEX(Pedidos!$D$2:$D$1801,MATCH(B164,Pedidos!$A$2:$A$1801,0)),"")</f>
        <v/>
      </c>
      <c r="L164" s="21">
        <f>IFERROR(INDEX(Pedidos!$F$2:$F$1801,MATCH(B164,Pedidos!$A$2:$A$1801,0)),"")</f>
        <v/>
      </c>
      <c r="M164" s="22">
        <f>IFERROR(INDEX(Pedidos!$G$2:$G$1801,MATCH(B164,Pedidos!$A$2:$A$1801,0)),0)</f>
        <v/>
      </c>
      <c r="N164" s="21">
        <f>IFERROR(INDEX(Produtos!$B$2:$B$71,MATCH(C164,Produtos!$A$2:$A$71,0)),"")</f>
        <v/>
      </c>
      <c r="O164" s="21">
        <f>IFERROR(INDEX(Produtos!$C$2:$C$71,MATCH(C164,Produtos!$A$2:$A$71,0)),"")</f>
        <v/>
      </c>
      <c r="P164" s="21">
        <f>IFERROR(INDEX(Produtos!$D$2:$D$71,MATCH(C164,Produtos!$A$2:$A$71,0)),0)</f>
        <v/>
      </c>
      <c r="Q164" s="21">
        <f>IFERROR(INDEX(Produtos!$E$2:$E$71,MATCH(C164,Produtos!$A$2:$A$71,0)),0)</f>
        <v/>
      </c>
      <c r="R164" s="23">
        <f>D164*Q164</f>
        <v/>
      </c>
      <c r="S164" s="23">
        <f>R164*E164</f>
        <v/>
      </c>
      <c r="T164" s="23">
        <f>(R164-S164)*M164</f>
        <v/>
      </c>
      <c r="U164" s="23">
        <f>R164-S164-T164</f>
        <v/>
      </c>
      <c r="V164" s="23">
        <f>D164*P164</f>
        <v/>
      </c>
      <c r="W164" s="23">
        <f>U164-V164</f>
        <v/>
      </c>
      <c r="X164" s="24">
        <f>IFERROR(W164/U164,0)</f>
        <v/>
      </c>
    </row>
    <row r="165">
      <c r="A165" s="25">
        <f>ItensPedido!A165</f>
        <v/>
      </c>
      <c r="B165" s="25">
        <f>ItensPedido!B165</f>
        <v/>
      </c>
      <c r="C165" s="25">
        <f>ItensPedido!C165</f>
        <v/>
      </c>
      <c r="D165" s="25">
        <f>ItensPedido!D165</f>
        <v/>
      </c>
      <c r="E165" s="26">
        <f>ItensPedido!E165</f>
        <v/>
      </c>
      <c r="F165" s="25">
        <f>IFERROR(INDEX(Pedidos!$B$2:$B$1801,MATCH(B165,Pedidos!$A$2:$A$1801,0)),0)</f>
        <v/>
      </c>
      <c r="G165" s="25">
        <f>IF(F165=0,"",YEAR(F165))</f>
        <v/>
      </c>
      <c r="H165" s="25">
        <f>IF(F165=0,"",MONTH(F165))</f>
        <v/>
      </c>
      <c r="I165" s="25">
        <f>IFERROR(INDEX(Pedidos!$E$2:$E$1801,MATCH(B165,Pedidos!$A$2:$A$1801,0)),"")</f>
        <v/>
      </c>
      <c r="J165" s="25">
        <f>IFERROR(INDEX(Pedidos!$C$2:$C$1801,MATCH(B165,Pedidos!$A$2:$A$1801,0)),"")</f>
        <v/>
      </c>
      <c r="K165" s="25">
        <f>IFERROR(INDEX(Pedidos!$D$2:$D$1801,MATCH(B165,Pedidos!$A$2:$A$1801,0)),"")</f>
        <v/>
      </c>
      <c r="L165" s="25">
        <f>IFERROR(INDEX(Pedidos!$F$2:$F$1801,MATCH(B165,Pedidos!$A$2:$A$1801,0)),"")</f>
        <v/>
      </c>
      <c r="M165" s="26">
        <f>IFERROR(INDEX(Pedidos!$G$2:$G$1801,MATCH(B165,Pedidos!$A$2:$A$1801,0)),0)</f>
        <v/>
      </c>
      <c r="N165" s="25">
        <f>IFERROR(INDEX(Produtos!$B$2:$B$71,MATCH(C165,Produtos!$A$2:$A$71,0)),"")</f>
        <v/>
      </c>
      <c r="O165" s="25">
        <f>IFERROR(INDEX(Produtos!$C$2:$C$71,MATCH(C165,Produtos!$A$2:$A$71,0)),"")</f>
        <v/>
      </c>
      <c r="P165" s="25">
        <f>IFERROR(INDEX(Produtos!$D$2:$D$71,MATCH(C165,Produtos!$A$2:$A$71,0)),0)</f>
        <v/>
      </c>
      <c r="Q165" s="25">
        <f>IFERROR(INDEX(Produtos!$E$2:$E$71,MATCH(C165,Produtos!$A$2:$A$71,0)),0)</f>
        <v/>
      </c>
      <c r="R165" s="27">
        <f>D165*Q165</f>
        <v/>
      </c>
      <c r="S165" s="27">
        <f>R165*E165</f>
        <v/>
      </c>
      <c r="T165" s="27">
        <f>(R165-S165)*M165</f>
        <v/>
      </c>
      <c r="U165" s="27">
        <f>R165-S165-T165</f>
        <v/>
      </c>
      <c r="V165" s="27">
        <f>D165*P165</f>
        <v/>
      </c>
      <c r="W165" s="27">
        <f>U165-V165</f>
        <v/>
      </c>
      <c r="X165" s="28">
        <f>IFERROR(W165/U165,0)</f>
        <v/>
      </c>
    </row>
    <row r="166">
      <c r="A166" s="21">
        <f>ItensPedido!A166</f>
        <v/>
      </c>
      <c r="B166" s="21">
        <f>ItensPedido!B166</f>
        <v/>
      </c>
      <c r="C166" s="21">
        <f>ItensPedido!C166</f>
        <v/>
      </c>
      <c r="D166" s="21">
        <f>ItensPedido!D166</f>
        <v/>
      </c>
      <c r="E166" s="22">
        <f>ItensPedido!E166</f>
        <v/>
      </c>
      <c r="F166" s="21">
        <f>IFERROR(INDEX(Pedidos!$B$2:$B$1801,MATCH(B166,Pedidos!$A$2:$A$1801,0)),0)</f>
        <v/>
      </c>
      <c r="G166" s="21">
        <f>IF(F166=0,"",YEAR(F166))</f>
        <v/>
      </c>
      <c r="H166" s="21">
        <f>IF(F166=0,"",MONTH(F166))</f>
        <v/>
      </c>
      <c r="I166" s="21">
        <f>IFERROR(INDEX(Pedidos!$E$2:$E$1801,MATCH(B166,Pedidos!$A$2:$A$1801,0)),"")</f>
        <v/>
      </c>
      <c r="J166" s="21">
        <f>IFERROR(INDEX(Pedidos!$C$2:$C$1801,MATCH(B166,Pedidos!$A$2:$A$1801,0)),"")</f>
        <v/>
      </c>
      <c r="K166" s="21">
        <f>IFERROR(INDEX(Pedidos!$D$2:$D$1801,MATCH(B166,Pedidos!$A$2:$A$1801,0)),"")</f>
        <v/>
      </c>
      <c r="L166" s="21">
        <f>IFERROR(INDEX(Pedidos!$F$2:$F$1801,MATCH(B166,Pedidos!$A$2:$A$1801,0)),"")</f>
        <v/>
      </c>
      <c r="M166" s="22">
        <f>IFERROR(INDEX(Pedidos!$G$2:$G$1801,MATCH(B166,Pedidos!$A$2:$A$1801,0)),0)</f>
        <v/>
      </c>
      <c r="N166" s="21">
        <f>IFERROR(INDEX(Produtos!$B$2:$B$71,MATCH(C166,Produtos!$A$2:$A$71,0)),"")</f>
        <v/>
      </c>
      <c r="O166" s="21">
        <f>IFERROR(INDEX(Produtos!$C$2:$C$71,MATCH(C166,Produtos!$A$2:$A$71,0)),"")</f>
        <v/>
      </c>
      <c r="P166" s="21">
        <f>IFERROR(INDEX(Produtos!$D$2:$D$71,MATCH(C166,Produtos!$A$2:$A$71,0)),0)</f>
        <v/>
      </c>
      <c r="Q166" s="21">
        <f>IFERROR(INDEX(Produtos!$E$2:$E$71,MATCH(C166,Produtos!$A$2:$A$71,0)),0)</f>
        <v/>
      </c>
      <c r="R166" s="23">
        <f>D166*Q166</f>
        <v/>
      </c>
      <c r="S166" s="23">
        <f>R166*E166</f>
        <v/>
      </c>
      <c r="T166" s="23">
        <f>(R166-S166)*M166</f>
        <v/>
      </c>
      <c r="U166" s="23">
        <f>R166-S166-T166</f>
        <v/>
      </c>
      <c r="V166" s="23">
        <f>D166*P166</f>
        <v/>
      </c>
      <c r="W166" s="23">
        <f>U166-V166</f>
        <v/>
      </c>
      <c r="X166" s="24">
        <f>IFERROR(W166/U166,0)</f>
        <v/>
      </c>
    </row>
    <row r="167">
      <c r="A167" s="25">
        <f>ItensPedido!A167</f>
        <v/>
      </c>
      <c r="B167" s="25">
        <f>ItensPedido!B167</f>
        <v/>
      </c>
      <c r="C167" s="25">
        <f>ItensPedido!C167</f>
        <v/>
      </c>
      <c r="D167" s="25">
        <f>ItensPedido!D167</f>
        <v/>
      </c>
      <c r="E167" s="26">
        <f>ItensPedido!E167</f>
        <v/>
      </c>
      <c r="F167" s="25">
        <f>IFERROR(INDEX(Pedidos!$B$2:$B$1801,MATCH(B167,Pedidos!$A$2:$A$1801,0)),0)</f>
        <v/>
      </c>
      <c r="G167" s="25">
        <f>IF(F167=0,"",YEAR(F167))</f>
        <v/>
      </c>
      <c r="H167" s="25">
        <f>IF(F167=0,"",MONTH(F167))</f>
        <v/>
      </c>
      <c r="I167" s="25">
        <f>IFERROR(INDEX(Pedidos!$E$2:$E$1801,MATCH(B167,Pedidos!$A$2:$A$1801,0)),"")</f>
        <v/>
      </c>
      <c r="J167" s="25">
        <f>IFERROR(INDEX(Pedidos!$C$2:$C$1801,MATCH(B167,Pedidos!$A$2:$A$1801,0)),"")</f>
        <v/>
      </c>
      <c r="K167" s="25">
        <f>IFERROR(INDEX(Pedidos!$D$2:$D$1801,MATCH(B167,Pedidos!$A$2:$A$1801,0)),"")</f>
        <v/>
      </c>
      <c r="L167" s="25">
        <f>IFERROR(INDEX(Pedidos!$F$2:$F$1801,MATCH(B167,Pedidos!$A$2:$A$1801,0)),"")</f>
        <v/>
      </c>
      <c r="M167" s="26">
        <f>IFERROR(INDEX(Pedidos!$G$2:$G$1801,MATCH(B167,Pedidos!$A$2:$A$1801,0)),0)</f>
        <v/>
      </c>
      <c r="N167" s="25">
        <f>IFERROR(INDEX(Produtos!$B$2:$B$71,MATCH(C167,Produtos!$A$2:$A$71,0)),"")</f>
        <v/>
      </c>
      <c r="O167" s="25">
        <f>IFERROR(INDEX(Produtos!$C$2:$C$71,MATCH(C167,Produtos!$A$2:$A$71,0)),"")</f>
        <v/>
      </c>
      <c r="P167" s="25">
        <f>IFERROR(INDEX(Produtos!$D$2:$D$71,MATCH(C167,Produtos!$A$2:$A$71,0)),0)</f>
        <v/>
      </c>
      <c r="Q167" s="25">
        <f>IFERROR(INDEX(Produtos!$E$2:$E$71,MATCH(C167,Produtos!$A$2:$A$71,0)),0)</f>
        <v/>
      </c>
      <c r="R167" s="27">
        <f>D167*Q167</f>
        <v/>
      </c>
      <c r="S167" s="27">
        <f>R167*E167</f>
        <v/>
      </c>
      <c r="T167" s="27">
        <f>(R167-S167)*M167</f>
        <v/>
      </c>
      <c r="U167" s="27">
        <f>R167-S167-T167</f>
        <v/>
      </c>
      <c r="V167" s="27">
        <f>D167*P167</f>
        <v/>
      </c>
      <c r="W167" s="27">
        <f>U167-V167</f>
        <v/>
      </c>
      <c r="X167" s="28">
        <f>IFERROR(W167/U167,0)</f>
        <v/>
      </c>
    </row>
    <row r="168">
      <c r="A168" s="21">
        <f>ItensPedido!A168</f>
        <v/>
      </c>
      <c r="B168" s="21">
        <f>ItensPedido!B168</f>
        <v/>
      </c>
      <c r="C168" s="21">
        <f>ItensPedido!C168</f>
        <v/>
      </c>
      <c r="D168" s="21">
        <f>ItensPedido!D168</f>
        <v/>
      </c>
      <c r="E168" s="22">
        <f>ItensPedido!E168</f>
        <v/>
      </c>
      <c r="F168" s="21">
        <f>IFERROR(INDEX(Pedidos!$B$2:$B$1801,MATCH(B168,Pedidos!$A$2:$A$1801,0)),0)</f>
        <v/>
      </c>
      <c r="G168" s="21">
        <f>IF(F168=0,"",YEAR(F168))</f>
        <v/>
      </c>
      <c r="H168" s="21">
        <f>IF(F168=0,"",MONTH(F168))</f>
        <v/>
      </c>
      <c r="I168" s="21">
        <f>IFERROR(INDEX(Pedidos!$E$2:$E$1801,MATCH(B168,Pedidos!$A$2:$A$1801,0)),"")</f>
        <v/>
      </c>
      <c r="J168" s="21">
        <f>IFERROR(INDEX(Pedidos!$C$2:$C$1801,MATCH(B168,Pedidos!$A$2:$A$1801,0)),"")</f>
        <v/>
      </c>
      <c r="K168" s="21">
        <f>IFERROR(INDEX(Pedidos!$D$2:$D$1801,MATCH(B168,Pedidos!$A$2:$A$1801,0)),"")</f>
        <v/>
      </c>
      <c r="L168" s="21">
        <f>IFERROR(INDEX(Pedidos!$F$2:$F$1801,MATCH(B168,Pedidos!$A$2:$A$1801,0)),"")</f>
        <v/>
      </c>
      <c r="M168" s="22">
        <f>IFERROR(INDEX(Pedidos!$G$2:$G$1801,MATCH(B168,Pedidos!$A$2:$A$1801,0)),0)</f>
        <v/>
      </c>
      <c r="N168" s="21">
        <f>IFERROR(INDEX(Produtos!$B$2:$B$71,MATCH(C168,Produtos!$A$2:$A$71,0)),"")</f>
        <v/>
      </c>
      <c r="O168" s="21">
        <f>IFERROR(INDEX(Produtos!$C$2:$C$71,MATCH(C168,Produtos!$A$2:$A$71,0)),"")</f>
        <v/>
      </c>
      <c r="P168" s="21">
        <f>IFERROR(INDEX(Produtos!$D$2:$D$71,MATCH(C168,Produtos!$A$2:$A$71,0)),0)</f>
        <v/>
      </c>
      <c r="Q168" s="21">
        <f>IFERROR(INDEX(Produtos!$E$2:$E$71,MATCH(C168,Produtos!$A$2:$A$71,0)),0)</f>
        <v/>
      </c>
      <c r="R168" s="23">
        <f>D168*Q168</f>
        <v/>
      </c>
      <c r="S168" s="23">
        <f>R168*E168</f>
        <v/>
      </c>
      <c r="T168" s="23">
        <f>(R168-S168)*M168</f>
        <v/>
      </c>
      <c r="U168" s="23">
        <f>R168-S168-T168</f>
        <v/>
      </c>
      <c r="V168" s="23">
        <f>D168*P168</f>
        <v/>
      </c>
      <c r="W168" s="23">
        <f>U168-V168</f>
        <v/>
      </c>
      <c r="X168" s="24">
        <f>IFERROR(W168/U168,0)</f>
        <v/>
      </c>
    </row>
    <row r="169">
      <c r="A169" s="25">
        <f>ItensPedido!A169</f>
        <v/>
      </c>
      <c r="B169" s="25">
        <f>ItensPedido!B169</f>
        <v/>
      </c>
      <c r="C169" s="25">
        <f>ItensPedido!C169</f>
        <v/>
      </c>
      <c r="D169" s="25">
        <f>ItensPedido!D169</f>
        <v/>
      </c>
      <c r="E169" s="26">
        <f>ItensPedido!E169</f>
        <v/>
      </c>
      <c r="F169" s="25">
        <f>IFERROR(INDEX(Pedidos!$B$2:$B$1801,MATCH(B169,Pedidos!$A$2:$A$1801,0)),0)</f>
        <v/>
      </c>
      <c r="G169" s="25">
        <f>IF(F169=0,"",YEAR(F169))</f>
        <v/>
      </c>
      <c r="H169" s="25">
        <f>IF(F169=0,"",MONTH(F169))</f>
        <v/>
      </c>
      <c r="I169" s="25">
        <f>IFERROR(INDEX(Pedidos!$E$2:$E$1801,MATCH(B169,Pedidos!$A$2:$A$1801,0)),"")</f>
        <v/>
      </c>
      <c r="J169" s="25">
        <f>IFERROR(INDEX(Pedidos!$C$2:$C$1801,MATCH(B169,Pedidos!$A$2:$A$1801,0)),"")</f>
        <v/>
      </c>
      <c r="K169" s="25">
        <f>IFERROR(INDEX(Pedidos!$D$2:$D$1801,MATCH(B169,Pedidos!$A$2:$A$1801,0)),"")</f>
        <v/>
      </c>
      <c r="L169" s="25">
        <f>IFERROR(INDEX(Pedidos!$F$2:$F$1801,MATCH(B169,Pedidos!$A$2:$A$1801,0)),"")</f>
        <v/>
      </c>
      <c r="M169" s="26">
        <f>IFERROR(INDEX(Pedidos!$G$2:$G$1801,MATCH(B169,Pedidos!$A$2:$A$1801,0)),0)</f>
        <v/>
      </c>
      <c r="N169" s="25">
        <f>IFERROR(INDEX(Produtos!$B$2:$B$71,MATCH(C169,Produtos!$A$2:$A$71,0)),"")</f>
        <v/>
      </c>
      <c r="O169" s="25">
        <f>IFERROR(INDEX(Produtos!$C$2:$C$71,MATCH(C169,Produtos!$A$2:$A$71,0)),"")</f>
        <v/>
      </c>
      <c r="P169" s="25">
        <f>IFERROR(INDEX(Produtos!$D$2:$D$71,MATCH(C169,Produtos!$A$2:$A$71,0)),0)</f>
        <v/>
      </c>
      <c r="Q169" s="25">
        <f>IFERROR(INDEX(Produtos!$E$2:$E$71,MATCH(C169,Produtos!$A$2:$A$71,0)),0)</f>
        <v/>
      </c>
      <c r="R169" s="27">
        <f>D169*Q169</f>
        <v/>
      </c>
      <c r="S169" s="27">
        <f>R169*E169</f>
        <v/>
      </c>
      <c r="T169" s="27">
        <f>(R169-S169)*M169</f>
        <v/>
      </c>
      <c r="U169" s="27">
        <f>R169-S169-T169</f>
        <v/>
      </c>
      <c r="V169" s="27">
        <f>D169*P169</f>
        <v/>
      </c>
      <c r="W169" s="27">
        <f>U169-V169</f>
        <v/>
      </c>
      <c r="X169" s="28">
        <f>IFERROR(W169/U169,0)</f>
        <v/>
      </c>
    </row>
    <row r="170">
      <c r="A170" s="21">
        <f>ItensPedido!A170</f>
        <v/>
      </c>
      <c r="B170" s="21">
        <f>ItensPedido!B170</f>
        <v/>
      </c>
      <c r="C170" s="21">
        <f>ItensPedido!C170</f>
        <v/>
      </c>
      <c r="D170" s="21">
        <f>ItensPedido!D170</f>
        <v/>
      </c>
      <c r="E170" s="22">
        <f>ItensPedido!E170</f>
        <v/>
      </c>
      <c r="F170" s="21">
        <f>IFERROR(INDEX(Pedidos!$B$2:$B$1801,MATCH(B170,Pedidos!$A$2:$A$1801,0)),0)</f>
        <v/>
      </c>
      <c r="G170" s="21">
        <f>IF(F170=0,"",YEAR(F170))</f>
        <v/>
      </c>
      <c r="H170" s="21">
        <f>IF(F170=0,"",MONTH(F170))</f>
        <v/>
      </c>
      <c r="I170" s="21">
        <f>IFERROR(INDEX(Pedidos!$E$2:$E$1801,MATCH(B170,Pedidos!$A$2:$A$1801,0)),"")</f>
        <v/>
      </c>
      <c r="J170" s="21">
        <f>IFERROR(INDEX(Pedidos!$C$2:$C$1801,MATCH(B170,Pedidos!$A$2:$A$1801,0)),"")</f>
        <v/>
      </c>
      <c r="K170" s="21">
        <f>IFERROR(INDEX(Pedidos!$D$2:$D$1801,MATCH(B170,Pedidos!$A$2:$A$1801,0)),"")</f>
        <v/>
      </c>
      <c r="L170" s="21">
        <f>IFERROR(INDEX(Pedidos!$F$2:$F$1801,MATCH(B170,Pedidos!$A$2:$A$1801,0)),"")</f>
        <v/>
      </c>
      <c r="M170" s="22">
        <f>IFERROR(INDEX(Pedidos!$G$2:$G$1801,MATCH(B170,Pedidos!$A$2:$A$1801,0)),0)</f>
        <v/>
      </c>
      <c r="N170" s="21">
        <f>IFERROR(INDEX(Produtos!$B$2:$B$71,MATCH(C170,Produtos!$A$2:$A$71,0)),"")</f>
        <v/>
      </c>
      <c r="O170" s="21">
        <f>IFERROR(INDEX(Produtos!$C$2:$C$71,MATCH(C170,Produtos!$A$2:$A$71,0)),"")</f>
        <v/>
      </c>
      <c r="P170" s="21">
        <f>IFERROR(INDEX(Produtos!$D$2:$D$71,MATCH(C170,Produtos!$A$2:$A$71,0)),0)</f>
        <v/>
      </c>
      <c r="Q170" s="21">
        <f>IFERROR(INDEX(Produtos!$E$2:$E$71,MATCH(C170,Produtos!$A$2:$A$71,0)),0)</f>
        <v/>
      </c>
      <c r="R170" s="23">
        <f>D170*Q170</f>
        <v/>
      </c>
      <c r="S170" s="23">
        <f>R170*E170</f>
        <v/>
      </c>
      <c r="T170" s="23">
        <f>(R170-S170)*M170</f>
        <v/>
      </c>
      <c r="U170" s="23">
        <f>R170-S170-T170</f>
        <v/>
      </c>
      <c r="V170" s="23">
        <f>D170*P170</f>
        <v/>
      </c>
      <c r="W170" s="23">
        <f>U170-V170</f>
        <v/>
      </c>
      <c r="X170" s="24">
        <f>IFERROR(W170/U170,0)</f>
        <v/>
      </c>
    </row>
    <row r="171">
      <c r="A171" s="25">
        <f>ItensPedido!A171</f>
        <v/>
      </c>
      <c r="B171" s="25">
        <f>ItensPedido!B171</f>
        <v/>
      </c>
      <c r="C171" s="25">
        <f>ItensPedido!C171</f>
        <v/>
      </c>
      <c r="D171" s="25">
        <f>ItensPedido!D171</f>
        <v/>
      </c>
      <c r="E171" s="26">
        <f>ItensPedido!E171</f>
        <v/>
      </c>
      <c r="F171" s="25">
        <f>IFERROR(INDEX(Pedidos!$B$2:$B$1801,MATCH(B171,Pedidos!$A$2:$A$1801,0)),0)</f>
        <v/>
      </c>
      <c r="G171" s="25">
        <f>IF(F171=0,"",YEAR(F171))</f>
        <v/>
      </c>
      <c r="H171" s="25">
        <f>IF(F171=0,"",MONTH(F171))</f>
        <v/>
      </c>
      <c r="I171" s="25">
        <f>IFERROR(INDEX(Pedidos!$E$2:$E$1801,MATCH(B171,Pedidos!$A$2:$A$1801,0)),"")</f>
        <v/>
      </c>
      <c r="J171" s="25">
        <f>IFERROR(INDEX(Pedidos!$C$2:$C$1801,MATCH(B171,Pedidos!$A$2:$A$1801,0)),"")</f>
        <v/>
      </c>
      <c r="K171" s="25">
        <f>IFERROR(INDEX(Pedidos!$D$2:$D$1801,MATCH(B171,Pedidos!$A$2:$A$1801,0)),"")</f>
        <v/>
      </c>
      <c r="L171" s="25">
        <f>IFERROR(INDEX(Pedidos!$F$2:$F$1801,MATCH(B171,Pedidos!$A$2:$A$1801,0)),"")</f>
        <v/>
      </c>
      <c r="M171" s="26">
        <f>IFERROR(INDEX(Pedidos!$G$2:$G$1801,MATCH(B171,Pedidos!$A$2:$A$1801,0)),0)</f>
        <v/>
      </c>
      <c r="N171" s="25">
        <f>IFERROR(INDEX(Produtos!$B$2:$B$71,MATCH(C171,Produtos!$A$2:$A$71,0)),"")</f>
        <v/>
      </c>
      <c r="O171" s="25">
        <f>IFERROR(INDEX(Produtos!$C$2:$C$71,MATCH(C171,Produtos!$A$2:$A$71,0)),"")</f>
        <v/>
      </c>
      <c r="P171" s="25">
        <f>IFERROR(INDEX(Produtos!$D$2:$D$71,MATCH(C171,Produtos!$A$2:$A$71,0)),0)</f>
        <v/>
      </c>
      <c r="Q171" s="25">
        <f>IFERROR(INDEX(Produtos!$E$2:$E$71,MATCH(C171,Produtos!$A$2:$A$71,0)),0)</f>
        <v/>
      </c>
      <c r="R171" s="27">
        <f>D171*Q171</f>
        <v/>
      </c>
      <c r="S171" s="27">
        <f>R171*E171</f>
        <v/>
      </c>
      <c r="T171" s="27">
        <f>(R171-S171)*M171</f>
        <v/>
      </c>
      <c r="U171" s="27">
        <f>R171-S171-T171</f>
        <v/>
      </c>
      <c r="V171" s="27">
        <f>D171*P171</f>
        <v/>
      </c>
      <c r="W171" s="27">
        <f>U171-V171</f>
        <v/>
      </c>
      <c r="X171" s="28">
        <f>IFERROR(W171/U171,0)</f>
        <v/>
      </c>
    </row>
    <row r="172">
      <c r="A172" s="21">
        <f>ItensPedido!A172</f>
        <v/>
      </c>
      <c r="B172" s="21">
        <f>ItensPedido!B172</f>
        <v/>
      </c>
      <c r="C172" s="21">
        <f>ItensPedido!C172</f>
        <v/>
      </c>
      <c r="D172" s="21">
        <f>ItensPedido!D172</f>
        <v/>
      </c>
      <c r="E172" s="22">
        <f>ItensPedido!E172</f>
        <v/>
      </c>
      <c r="F172" s="21">
        <f>IFERROR(INDEX(Pedidos!$B$2:$B$1801,MATCH(B172,Pedidos!$A$2:$A$1801,0)),0)</f>
        <v/>
      </c>
      <c r="G172" s="21">
        <f>IF(F172=0,"",YEAR(F172))</f>
        <v/>
      </c>
      <c r="H172" s="21">
        <f>IF(F172=0,"",MONTH(F172))</f>
        <v/>
      </c>
      <c r="I172" s="21">
        <f>IFERROR(INDEX(Pedidos!$E$2:$E$1801,MATCH(B172,Pedidos!$A$2:$A$1801,0)),"")</f>
        <v/>
      </c>
      <c r="J172" s="21">
        <f>IFERROR(INDEX(Pedidos!$C$2:$C$1801,MATCH(B172,Pedidos!$A$2:$A$1801,0)),"")</f>
        <v/>
      </c>
      <c r="K172" s="21">
        <f>IFERROR(INDEX(Pedidos!$D$2:$D$1801,MATCH(B172,Pedidos!$A$2:$A$1801,0)),"")</f>
        <v/>
      </c>
      <c r="L172" s="21">
        <f>IFERROR(INDEX(Pedidos!$F$2:$F$1801,MATCH(B172,Pedidos!$A$2:$A$1801,0)),"")</f>
        <v/>
      </c>
      <c r="M172" s="22">
        <f>IFERROR(INDEX(Pedidos!$G$2:$G$1801,MATCH(B172,Pedidos!$A$2:$A$1801,0)),0)</f>
        <v/>
      </c>
      <c r="N172" s="21">
        <f>IFERROR(INDEX(Produtos!$B$2:$B$71,MATCH(C172,Produtos!$A$2:$A$71,0)),"")</f>
        <v/>
      </c>
      <c r="O172" s="21">
        <f>IFERROR(INDEX(Produtos!$C$2:$C$71,MATCH(C172,Produtos!$A$2:$A$71,0)),"")</f>
        <v/>
      </c>
      <c r="P172" s="21">
        <f>IFERROR(INDEX(Produtos!$D$2:$D$71,MATCH(C172,Produtos!$A$2:$A$71,0)),0)</f>
        <v/>
      </c>
      <c r="Q172" s="21">
        <f>IFERROR(INDEX(Produtos!$E$2:$E$71,MATCH(C172,Produtos!$A$2:$A$71,0)),0)</f>
        <v/>
      </c>
      <c r="R172" s="23">
        <f>D172*Q172</f>
        <v/>
      </c>
      <c r="S172" s="23">
        <f>R172*E172</f>
        <v/>
      </c>
      <c r="T172" s="23">
        <f>(R172-S172)*M172</f>
        <v/>
      </c>
      <c r="U172" s="23">
        <f>R172-S172-T172</f>
        <v/>
      </c>
      <c r="V172" s="23">
        <f>D172*P172</f>
        <v/>
      </c>
      <c r="W172" s="23">
        <f>U172-V172</f>
        <v/>
      </c>
      <c r="X172" s="24">
        <f>IFERROR(W172/U172,0)</f>
        <v/>
      </c>
    </row>
    <row r="173">
      <c r="A173" s="25">
        <f>ItensPedido!A173</f>
        <v/>
      </c>
      <c r="B173" s="25">
        <f>ItensPedido!B173</f>
        <v/>
      </c>
      <c r="C173" s="25">
        <f>ItensPedido!C173</f>
        <v/>
      </c>
      <c r="D173" s="25">
        <f>ItensPedido!D173</f>
        <v/>
      </c>
      <c r="E173" s="26">
        <f>ItensPedido!E173</f>
        <v/>
      </c>
      <c r="F173" s="25">
        <f>IFERROR(INDEX(Pedidos!$B$2:$B$1801,MATCH(B173,Pedidos!$A$2:$A$1801,0)),0)</f>
        <v/>
      </c>
      <c r="G173" s="25">
        <f>IF(F173=0,"",YEAR(F173))</f>
        <v/>
      </c>
      <c r="H173" s="25">
        <f>IF(F173=0,"",MONTH(F173))</f>
        <v/>
      </c>
      <c r="I173" s="25">
        <f>IFERROR(INDEX(Pedidos!$E$2:$E$1801,MATCH(B173,Pedidos!$A$2:$A$1801,0)),"")</f>
        <v/>
      </c>
      <c r="J173" s="25">
        <f>IFERROR(INDEX(Pedidos!$C$2:$C$1801,MATCH(B173,Pedidos!$A$2:$A$1801,0)),"")</f>
        <v/>
      </c>
      <c r="K173" s="25">
        <f>IFERROR(INDEX(Pedidos!$D$2:$D$1801,MATCH(B173,Pedidos!$A$2:$A$1801,0)),"")</f>
        <v/>
      </c>
      <c r="L173" s="25">
        <f>IFERROR(INDEX(Pedidos!$F$2:$F$1801,MATCH(B173,Pedidos!$A$2:$A$1801,0)),"")</f>
        <v/>
      </c>
      <c r="M173" s="26">
        <f>IFERROR(INDEX(Pedidos!$G$2:$G$1801,MATCH(B173,Pedidos!$A$2:$A$1801,0)),0)</f>
        <v/>
      </c>
      <c r="N173" s="25">
        <f>IFERROR(INDEX(Produtos!$B$2:$B$71,MATCH(C173,Produtos!$A$2:$A$71,0)),"")</f>
        <v/>
      </c>
      <c r="O173" s="25">
        <f>IFERROR(INDEX(Produtos!$C$2:$C$71,MATCH(C173,Produtos!$A$2:$A$71,0)),"")</f>
        <v/>
      </c>
      <c r="P173" s="25">
        <f>IFERROR(INDEX(Produtos!$D$2:$D$71,MATCH(C173,Produtos!$A$2:$A$71,0)),0)</f>
        <v/>
      </c>
      <c r="Q173" s="25">
        <f>IFERROR(INDEX(Produtos!$E$2:$E$71,MATCH(C173,Produtos!$A$2:$A$71,0)),0)</f>
        <v/>
      </c>
      <c r="R173" s="27">
        <f>D173*Q173</f>
        <v/>
      </c>
      <c r="S173" s="27">
        <f>R173*E173</f>
        <v/>
      </c>
      <c r="T173" s="27">
        <f>(R173-S173)*M173</f>
        <v/>
      </c>
      <c r="U173" s="27">
        <f>R173-S173-T173</f>
        <v/>
      </c>
      <c r="V173" s="27">
        <f>D173*P173</f>
        <v/>
      </c>
      <c r="W173" s="27">
        <f>U173-V173</f>
        <v/>
      </c>
      <c r="X173" s="28">
        <f>IFERROR(W173/U173,0)</f>
        <v/>
      </c>
    </row>
    <row r="174">
      <c r="A174" s="21">
        <f>ItensPedido!A174</f>
        <v/>
      </c>
      <c r="B174" s="21">
        <f>ItensPedido!B174</f>
        <v/>
      </c>
      <c r="C174" s="21">
        <f>ItensPedido!C174</f>
        <v/>
      </c>
      <c r="D174" s="21">
        <f>ItensPedido!D174</f>
        <v/>
      </c>
      <c r="E174" s="22">
        <f>ItensPedido!E174</f>
        <v/>
      </c>
      <c r="F174" s="21">
        <f>IFERROR(INDEX(Pedidos!$B$2:$B$1801,MATCH(B174,Pedidos!$A$2:$A$1801,0)),0)</f>
        <v/>
      </c>
      <c r="G174" s="21">
        <f>IF(F174=0,"",YEAR(F174))</f>
        <v/>
      </c>
      <c r="H174" s="21">
        <f>IF(F174=0,"",MONTH(F174))</f>
        <v/>
      </c>
      <c r="I174" s="21">
        <f>IFERROR(INDEX(Pedidos!$E$2:$E$1801,MATCH(B174,Pedidos!$A$2:$A$1801,0)),"")</f>
        <v/>
      </c>
      <c r="J174" s="21">
        <f>IFERROR(INDEX(Pedidos!$C$2:$C$1801,MATCH(B174,Pedidos!$A$2:$A$1801,0)),"")</f>
        <v/>
      </c>
      <c r="K174" s="21">
        <f>IFERROR(INDEX(Pedidos!$D$2:$D$1801,MATCH(B174,Pedidos!$A$2:$A$1801,0)),"")</f>
        <v/>
      </c>
      <c r="L174" s="21">
        <f>IFERROR(INDEX(Pedidos!$F$2:$F$1801,MATCH(B174,Pedidos!$A$2:$A$1801,0)),"")</f>
        <v/>
      </c>
      <c r="M174" s="22">
        <f>IFERROR(INDEX(Pedidos!$G$2:$G$1801,MATCH(B174,Pedidos!$A$2:$A$1801,0)),0)</f>
        <v/>
      </c>
      <c r="N174" s="21">
        <f>IFERROR(INDEX(Produtos!$B$2:$B$71,MATCH(C174,Produtos!$A$2:$A$71,0)),"")</f>
        <v/>
      </c>
      <c r="O174" s="21">
        <f>IFERROR(INDEX(Produtos!$C$2:$C$71,MATCH(C174,Produtos!$A$2:$A$71,0)),"")</f>
        <v/>
      </c>
      <c r="P174" s="21">
        <f>IFERROR(INDEX(Produtos!$D$2:$D$71,MATCH(C174,Produtos!$A$2:$A$71,0)),0)</f>
        <v/>
      </c>
      <c r="Q174" s="21">
        <f>IFERROR(INDEX(Produtos!$E$2:$E$71,MATCH(C174,Produtos!$A$2:$A$71,0)),0)</f>
        <v/>
      </c>
      <c r="R174" s="23">
        <f>D174*Q174</f>
        <v/>
      </c>
      <c r="S174" s="23">
        <f>R174*E174</f>
        <v/>
      </c>
      <c r="T174" s="23">
        <f>(R174-S174)*M174</f>
        <v/>
      </c>
      <c r="U174" s="23">
        <f>R174-S174-T174</f>
        <v/>
      </c>
      <c r="V174" s="23">
        <f>D174*P174</f>
        <v/>
      </c>
      <c r="W174" s="23">
        <f>U174-V174</f>
        <v/>
      </c>
      <c r="X174" s="24">
        <f>IFERROR(W174/U174,0)</f>
        <v/>
      </c>
    </row>
    <row r="175">
      <c r="A175" s="25">
        <f>ItensPedido!A175</f>
        <v/>
      </c>
      <c r="B175" s="25">
        <f>ItensPedido!B175</f>
        <v/>
      </c>
      <c r="C175" s="25">
        <f>ItensPedido!C175</f>
        <v/>
      </c>
      <c r="D175" s="25">
        <f>ItensPedido!D175</f>
        <v/>
      </c>
      <c r="E175" s="26">
        <f>ItensPedido!E175</f>
        <v/>
      </c>
      <c r="F175" s="25">
        <f>IFERROR(INDEX(Pedidos!$B$2:$B$1801,MATCH(B175,Pedidos!$A$2:$A$1801,0)),0)</f>
        <v/>
      </c>
      <c r="G175" s="25">
        <f>IF(F175=0,"",YEAR(F175))</f>
        <v/>
      </c>
      <c r="H175" s="25">
        <f>IF(F175=0,"",MONTH(F175))</f>
        <v/>
      </c>
      <c r="I175" s="25">
        <f>IFERROR(INDEX(Pedidos!$E$2:$E$1801,MATCH(B175,Pedidos!$A$2:$A$1801,0)),"")</f>
        <v/>
      </c>
      <c r="J175" s="25">
        <f>IFERROR(INDEX(Pedidos!$C$2:$C$1801,MATCH(B175,Pedidos!$A$2:$A$1801,0)),"")</f>
        <v/>
      </c>
      <c r="K175" s="25">
        <f>IFERROR(INDEX(Pedidos!$D$2:$D$1801,MATCH(B175,Pedidos!$A$2:$A$1801,0)),"")</f>
        <v/>
      </c>
      <c r="L175" s="25">
        <f>IFERROR(INDEX(Pedidos!$F$2:$F$1801,MATCH(B175,Pedidos!$A$2:$A$1801,0)),"")</f>
        <v/>
      </c>
      <c r="M175" s="26">
        <f>IFERROR(INDEX(Pedidos!$G$2:$G$1801,MATCH(B175,Pedidos!$A$2:$A$1801,0)),0)</f>
        <v/>
      </c>
      <c r="N175" s="25">
        <f>IFERROR(INDEX(Produtos!$B$2:$B$71,MATCH(C175,Produtos!$A$2:$A$71,0)),"")</f>
        <v/>
      </c>
      <c r="O175" s="25">
        <f>IFERROR(INDEX(Produtos!$C$2:$C$71,MATCH(C175,Produtos!$A$2:$A$71,0)),"")</f>
        <v/>
      </c>
      <c r="P175" s="25">
        <f>IFERROR(INDEX(Produtos!$D$2:$D$71,MATCH(C175,Produtos!$A$2:$A$71,0)),0)</f>
        <v/>
      </c>
      <c r="Q175" s="25">
        <f>IFERROR(INDEX(Produtos!$E$2:$E$71,MATCH(C175,Produtos!$A$2:$A$71,0)),0)</f>
        <v/>
      </c>
      <c r="R175" s="27">
        <f>D175*Q175</f>
        <v/>
      </c>
      <c r="S175" s="27">
        <f>R175*E175</f>
        <v/>
      </c>
      <c r="T175" s="27">
        <f>(R175-S175)*M175</f>
        <v/>
      </c>
      <c r="U175" s="27">
        <f>R175-S175-T175</f>
        <v/>
      </c>
      <c r="V175" s="27">
        <f>D175*P175</f>
        <v/>
      </c>
      <c r="W175" s="27">
        <f>U175-V175</f>
        <v/>
      </c>
      <c r="X175" s="28">
        <f>IFERROR(W175/U175,0)</f>
        <v/>
      </c>
    </row>
    <row r="176">
      <c r="A176" s="21">
        <f>ItensPedido!A176</f>
        <v/>
      </c>
      <c r="B176" s="21">
        <f>ItensPedido!B176</f>
        <v/>
      </c>
      <c r="C176" s="21">
        <f>ItensPedido!C176</f>
        <v/>
      </c>
      <c r="D176" s="21">
        <f>ItensPedido!D176</f>
        <v/>
      </c>
      <c r="E176" s="22">
        <f>ItensPedido!E176</f>
        <v/>
      </c>
      <c r="F176" s="21">
        <f>IFERROR(INDEX(Pedidos!$B$2:$B$1801,MATCH(B176,Pedidos!$A$2:$A$1801,0)),0)</f>
        <v/>
      </c>
      <c r="G176" s="21">
        <f>IF(F176=0,"",YEAR(F176))</f>
        <v/>
      </c>
      <c r="H176" s="21">
        <f>IF(F176=0,"",MONTH(F176))</f>
        <v/>
      </c>
      <c r="I176" s="21">
        <f>IFERROR(INDEX(Pedidos!$E$2:$E$1801,MATCH(B176,Pedidos!$A$2:$A$1801,0)),"")</f>
        <v/>
      </c>
      <c r="J176" s="21">
        <f>IFERROR(INDEX(Pedidos!$C$2:$C$1801,MATCH(B176,Pedidos!$A$2:$A$1801,0)),"")</f>
        <v/>
      </c>
      <c r="K176" s="21">
        <f>IFERROR(INDEX(Pedidos!$D$2:$D$1801,MATCH(B176,Pedidos!$A$2:$A$1801,0)),"")</f>
        <v/>
      </c>
      <c r="L176" s="21">
        <f>IFERROR(INDEX(Pedidos!$F$2:$F$1801,MATCH(B176,Pedidos!$A$2:$A$1801,0)),"")</f>
        <v/>
      </c>
      <c r="M176" s="22">
        <f>IFERROR(INDEX(Pedidos!$G$2:$G$1801,MATCH(B176,Pedidos!$A$2:$A$1801,0)),0)</f>
        <v/>
      </c>
      <c r="N176" s="21">
        <f>IFERROR(INDEX(Produtos!$B$2:$B$71,MATCH(C176,Produtos!$A$2:$A$71,0)),"")</f>
        <v/>
      </c>
      <c r="O176" s="21">
        <f>IFERROR(INDEX(Produtos!$C$2:$C$71,MATCH(C176,Produtos!$A$2:$A$71,0)),"")</f>
        <v/>
      </c>
      <c r="P176" s="21">
        <f>IFERROR(INDEX(Produtos!$D$2:$D$71,MATCH(C176,Produtos!$A$2:$A$71,0)),0)</f>
        <v/>
      </c>
      <c r="Q176" s="21">
        <f>IFERROR(INDEX(Produtos!$E$2:$E$71,MATCH(C176,Produtos!$A$2:$A$71,0)),0)</f>
        <v/>
      </c>
      <c r="R176" s="23">
        <f>D176*Q176</f>
        <v/>
      </c>
      <c r="S176" s="23">
        <f>R176*E176</f>
        <v/>
      </c>
      <c r="T176" s="23">
        <f>(R176-S176)*M176</f>
        <v/>
      </c>
      <c r="U176" s="23">
        <f>R176-S176-T176</f>
        <v/>
      </c>
      <c r="V176" s="23">
        <f>D176*P176</f>
        <v/>
      </c>
      <c r="W176" s="23">
        <f>U176-V176</f>
        <v/>
      </c>
      <c r="X176" s="24">
        <f>IFERROR(W176/U176,0)</f>
        <v/>
      </c>
    </row>
    <row r="177">
      <c r="A177" s="25">
        <f>ItensPedido!A177</f>
        <v/>
      </c>
      <c r="B177" s="25">
        <f>ItensPedido!B177</f>
        <v/>
      </c>
      <c r="C177" s="25">
        <f>ItensPedido!C177</f>
        <v/>
      </c>
      <c r="D177" s="25">
        <f>ItensPedido!D177</f>
        <v/>
      </c>
      <c r="E177" s="26">
        <f>ItensPedido!E177</f>
        <v/>
      </c>
      <c r="F177" s="25">
        <f>IFERROR(INDEX(Pedidos!$B$2:$B$1801,MATCH(B177,Pedidos!$A$2:$A$1801,0)),0)</f>
        <v/>
      </c>
      <c r="G177" s="25">
        <f>IF(F177=0,"",YEAR(F177))</f>
        <v/>
      </c>
      <c r="H177" s="25">
        <f>IF(F177=0,"",MONTH(F177))</f>
        <v/>
      </c>
      <c r="I177" s="25">
        <f>IFERROR(INDEX(Pedidos!$E$2:$E$1801,MATCH(B177,Pedidos!$A$2:$A$1801,0)),"")</f>
        <v/>
      </c>
      <c r="J177" s="25">
        <f>IFERROR(INDEX(Pedidos!$C$2:$C$1801,MATCH(B177,Pedidos!$A$2:$A$1801,0)),"")</f>
        <v/>
      </c>
      <c r="K177" s="25">
        <f>IFERROR(INDEX(Pedidos!$D$2:$D$1801,MATCH(B177,Pedidos!$A$2:$A$1801,0)),"")</f>
        <v/>
      </c>
      <c r="L177" s="25">
        <f>IFERROR(INDEX(Pedidos!$F$2:$F$1801,MATCH(B177,Pedidos!$A$2:$A$1801,0)),"")</f>
        <v/>
      </c>
      <c r="M177" s="26">
        <f>IFERROR(INDEX(Pedidos!$G$2:$G$1801,MATCH(B177,Pedidos!$A$2:$A$1801,0)),0)</f>
        <v/>
      </c>
      <c r="N177" s="25">
        <f>IFERROR(INDEX(Produtos!$B$2:$B$71,MATCH(C177,Produtos!$A$2:$A$71,0)),"")</f>
        <v/>
      </c>
      <c r="O177" s="25">
        <f>IFERROR(INDEX(Produtos!$C$2:$C$71,MATCH(C177,Produtos!$A$2:$A$71,0)),"")</f>
        <v/>
      </c>
      <c r="P177" s="25">
        <f>IFERROR(INDEX(Produtos!$D$2:$D$71,MATCH(C177,Produtos!$A$2:$A$71,0)),0)</f>
        <v/>
      </c>
      <c r="Q177" s="25">
        <f>IFERROR(INDEX(Produtos!$E$2:$E$71,MATCH(C177,Produtos!$A$2:$A$71,0)),0)</f>
        <v/>
      </c>
      <c r="R177" s="27">
        <f>D177*Q177</f>
        <v/>
      </c>
      <c r="S177" s="27">
        <f>R177*E177</f>
        <v/>
      </c>
      <c r="T177" s="27">
        <f>(R177-S177)*M177</f>
        <v/>
      </c>
      <c r="U177" s="27">
        <f>R177-S177-T177</f>
        <v/>
      </c>
      <c r="V177" s="27">
        <f>D177*P177</f>
        <v/>
      </c>
      <c r="W177" s="27">
        <f>U177-V177</f>
        <v/>
      </c>
      <c r="X177" s="28">
        <f>IFERROR(W177/U177,0)</f>
        <v/>
      </c>
    </row>
    <row r="178">
      <c r="A178" s="21">
        <f>ItensPedido!A178</f>
        <v/>
      </c>
      <c r="B178" s="21">
        <f>ItensPedido!B178</f>
        <v/>
      </c>
      <c r="C178" s="21">
        <f>ItensPedido!C178</f>
        <v/>
      </c>
      <c r="D178" s="21">
        <f>ItensPedido!D178</f>
        <v/>
      </c>
      <c r="E178" s="22">
        <f>ItensPedido!E178</f>
        <v/>
      </c>
      <c r="F178" s="21">
        <f>IFERROR(INDEX(Pedidos!$B$2:$B$1801,MATCH(B178,Pedidos!$A$2:$A$1801,0)),0)</f>
        <v/>
      </c>
      <c r="G178" s="21">
        <f>IF(F178=0,"",YEAR(F178))</f>
        <v/>
      </c>
      <c r="H178" s="21">
        <f>IF(F178=0,"",MONTH(F178))</f>
        <v/>
      </c>
      <c r="I178" s="21">
        <f>IFERROR(INDEX(Pedidos!$E$2:$E$1801,MATCH(B178,Pedidos!$A$2:$A$1801,0)),"")</f>
        <v/>
      </c>
      <c r="J178" s="21">
        <f>IFERROR(INDEX(Pedidos!$C$2:$C$1801,MATCH(B178,Pedidos!$A$2:$A$1801,0)),"")</f>
        <v/>
      </c>
      <c r="K178" s="21">
        <f>IFERROR(INDEX(Pedidos!$D$2:$D$1801,MATCH(B178,Pedidos!$A$2:$A$1801,0)),"")</f>
        <v/>
      </c>
      <c r="L178" s="21">
        <f>IFERROR(INDEX(Pedidos!$F$2:$F$1801,MATCH(B178,Pedidos!$A$2:$A$1801,0)),"")</f>
        <v/>
      </c>
      <c r="M178" s="22">
        <f>IFERROR(INDEX(Pedidos!$G$2:$G$1801,MATCH(B178,Pedidos!$A$2:$A$1801,0)),0)</f>
        <v/>
      </c>
      <c r="N178" s="21">
        <f>IFERROR(INDEX(Produtos!$B$2:$B$71,MATCH(C178,Produtos!$A$2:$A$71,0)),"")</f>
        <v/>
      </c>
      <c r="O178" s="21">
        <f>IFERROR(INDEX(Produtos!$C$2:$C$71,MATCH(C178,Produtos!$A$2:$A$71,0)),"")</f>
        <v/>
      </c>
      <c r="P178" s="21">
        <f>IFERROR(INDEX(Produtos!$D$2:$D$71,MATCH(C178,Produtos!$A$2:$A$71,0)),0)</f>
        <v/>
      </c>
      <c r="Q178" s="21">
        <f>IFERROR(INDEX(Produtos!$E$2:$E$71,MATCH(C178,Produtos!$A$2:$A$71,0)),0)</f>
        <v/>
      </c>
      <c r="R178" s="23">
        <f>D178*Q178</f>
        <v/>
      </c>
      <c r="S178" s="23">
        <f>R178*E178</f>
        <v/>
      </c>
      <c r="T178" s="23">
        <f>(R178-S178)*M178</f>
        <v/>
      </c>
      <c r="U178" s="23">
        <f>R178-S178-T178</f>
        <v/>
      </c>
      <c r="V178" s="23">
        <f>D178*P178</f>
        <v/>
      </c>
      <c r="W178" s="23">
        <f>U178-V178</f>
        <v/>
      </c>
      <c r="X178" s="24">
        <f>IFERROR(W178/U178,0)</f>
        <v/>
      </c>
    </row>
    <row r="179">
      <c r="A179" s="25">
        <f>ItensPedido!A179</f>
        <v/>
      </c>
      <c r="B179" s="25">
        <f>ItensPedido!B179</f>
        <v/>
      </c>
      <c r="C179" s="25">
        <f>ItensPedido!C179</f>
        <v/>
      </c>
      <c r="D179" s="25">
        <f>ItensPedido!D179</f>
        <v/>
      </c>
      <c r="E179" s="26">
        <f>ItensPedido!E179</f>
        <v/>
      </c>
      <c r="F179" s="25">
        <f>IFERROR(INDEX(Pedidos!$B$2:$B$1801,MATCH(B179,Pedidos!$A$2:$A$1801,0)),0)</f>
        <v/>
      </c>
      <c r="G179" s="25">
        <f>IF(F179=0,"",YEAR(F179))</f>
        <v/>
      </c>
      <c r="H179" s="25">
        <f>IF(F179=0,"",MONTH(F179))</f>
        <v/>
      </c>
      <c r="I179" s="25">
        <f>IFERROR(INDEX(Pedidos!$E$2:$E$1801,MATCH(B179,Pedidos!$A$2:$A$1801,0)),"")</f>
        <v/>
      </c>
      <c r="J179" s="25">
        <f>IFERROR(INDEX(Pedidos!$C$2:$C$1801,MATCH(B179,Pedidos!$A$2:$A$1801,0)),"")</f>
        <v/>
      </c>
      <c r="K179" s="25">
        <f>IFERROR(INDEX(Pedidos!$D$2:$D$1801,MATCH(B179,Pedidos!$A$2:$A$1801,0)),"")</f>
        <v/>
      </c>
      <c r="L179" s="25">
        <f>IFERROR(INDEX(Pedidos!$F$2:$F$1801,MATCH(B179,Pedidos!$A$2:$A$1801,0)),"")</f>
        <v/>
      </c>
      <c r="M179" s="26">
        <f>IFERROR(INDEX(Pedidos!$G$2:$G$1801,MATCH(B179,Pedidos!$A$2:$A$1801,0)),0)</f>
        <v/>
      </c>
      <c r="N179" s="25">
        <f>IFERROR(INDEX(Produtos!$B$2:$B$71,MATCH(C179,Produtos!$A$2:$A$71,0)),"")</f>
        <v/>
      </c>
      <c r="O179" s="25">
        <f>IFERROR(INDEX(Produtos!$C$2:$C$71,MATCH(C179,Produtos!$A$2:$A$71,0)),"")</f>
        <v/>
      </c>
      <c r="P179" s="25">
        <f>IFERROR(INDEX(Produtos!$D$2:$D$71,MATCH(C179,Produtos!$A$2:$A$71,0)),0)</f>
        <v/>
      </c>
      <c r="Q179" s="25">
        <f>IFERROR(INDEX(Produtos!$E$2:$E$71,MATCH(C179,Produtos!$A$2:$A$71,0)),0)</f>
        <v/>
      </c>
      <c r="R179" s="27">
        <f>D179*Q179</f>
        <v/>
      </c>
      <c r="S179" s="27">
        <f>R179*E179</f>
        <v/>
      </c>
      <c r="T179" s="27">
        <f>(R179-S179)*M179</f>
        <v/>
      </c>
      <c r="U179" s="27">
        <f>R179-S179-T179</f>
        <v/>
      </c>
      <c r="V179" s="27">
        <f>D179*P179</f>
        <v/>
      </c>
      <c r="W179" s="27">
        <f>U179-V179</f>
        <v/>
      </c>
      <c r="X179" s="28">
        <f>IFERROR(W179/U179,0)</f>
        <v/>
      </c>
    </row>
    <row r="180">
      <c r="A180" s="21">
        <f>ItensPedido!A180</f>
        <v/>
      </c>
      <c r="B180" s="21">
        <f>ItensPedido!B180</f>
        <v/>
      </c>
      <c r="C180" s="21">
        <f>ItensPedido!C180</f>
        <v/>
      </c>
      <c r="D180" s="21">
        <f>ItensPedido!D180</f>
        <v/>
      </c>
      <c r="E180" s="22">
        <f>ItensPedido!E180</f>
        <v/>
      </c>
      <c r="F180" s="21">
        <f>IFERROR(INDEX(Pedidos!$B$2:$B$1801,MATCH(B180,Pedidos!$A$2:$A$1801,0)),0)</f>
        <v/>
      </c>
      <c r="G180" s="21">
        <f>IF(F180=0,"",YEAR(F180))</f>
        <v/>
      </c>
      <c r="H180" s="21">
        <f>IF(F180=0,"",MONTH(F180))</f>
        <v/>
      </c>
      <c r="I180" s="21">
        <f>IFERROR(INDEX(Pedidos!$E$2:$E$1801,MATCH(B180,Pedidos!$A$2:$A$1801,0)),"")</f>
        <v/>
      </c>
      <c r="J180" s="21">
        <f>IFERROR(INDEX(Pedidos!$C$2:$C$1801,MATCH(B180,Pedidos!$A$2:$A$1801,0)),"")</f>
        <v/>
      </c>
      <c r="K180" s="21">
        <f>IFERROR(INDEX(Pedidos!$D$2:$D$1801,MATCH(B180,Pedidos!$A$2:$A$1801,0)),"")</f>
        <v/>
      </c>
      <c r="L180" s="21">
        <f>IFERROR(INDEX(Pedidos!$F$2:$F$1801,MATCH(B180,Pedidos!$A$2:$A$1801,0)),"")</f>
        <v/>
      </c>
      <c r="M180" s="22">
        <f>IFERROR(INDEX(Pedidos!$G$2:$G$1801,MATCH(B180,Pedidos!$A$2:$A$1801,0)),0)</f>
        <v/>
      </c>
      <c r="N180" s="21">
        <f>IFERROR(INDEX(Produtos!$B$2:$B$71,MATCH(C180,Produtos!$A$2:$A$71,0)),"")</f>
        <v/>
      </c>
      <c r="O180" s="21">
        <f>IFERROR(INDEX(Produtos!$C$2:$C$71,MATCH(C180,Produtos!$A$2:$A$71,0)),"")</f>
        <v/>
      </c>
      <c r="P180" s="21">
        <f>IFERROR(INDEX(Produtos!$D$2:$D$71,MATCH(C180,Produtos!$A$2:$A$71,0)),0)</f>
        <v/>
      </c>
      <c r="Q180" s="21">
        <f>IFERROR(INDEX(Produtos!$E$2:$E$71,MATCH(C180,Produtos!$A$2:$A$71,0)),0)</f>
        <v/>
      </c>
      <c r="R180" s="23">
        <f>D180*Q180</f>
        <v/>
      </c>
      <c r="S180" s="23">
        <f>R180*E180</f>
        <v/>
      </c>
      <c r="T180" s="23">
        <f>(R180-S180)*M180</f>
        <v/>
      </c>
      <c r="U180" s="23">
        <f>R180-S180-T180</f>
        <v/>
      </c>
      <c r="V180" s="23">
        <f>D180*P180</f>
        <v/>
      </c>
      <c r="W180" s="23">
        <f>U180-V180</f>
        <v/>
      </c>
      <c r="X180" s="24">
        <f>IFERROR(W180/U180,0)</f>
        <v/>
      </c>
    </row>
    <row r="181">
      <c r="A181" s="25">
        <f>ItensPedido!A181</f>
        <v/>
      </c>
      <c r="B181" s="25">
        <f>ItensPedido!B181</f>
        <v/>
      </c>
      <c r="C181" s="25">
        <f>ItensPedido!C181</f>
        <v/>
      </c>
      <c r="D181" s="25">
        <f>ItensPedido!D181</f>
        <v/>
      </c>
      <c r="E181" s="26">
        <f>ItensPedido!E181</f>
        <v/>
      </c>
      <c r="F181" s="25">
        <f>IFERROR(INDEX(Pedidos!$B$2:$B$1801,MATCH(B181,Pedidos!$A$2:$A$1801,0)),0)</f>
        <v/>
      </c>
      <c r="G181" s="25">
        <f>IF(F181=0,"",YEAR(F181))</f>
        <v/>
      </c>
      <c r="H181" s="25">
        <f>IF(F181=0,"",MONTH(F181))</f>
        <v/>
      </c>
      <c r="I181" s="25">
        <f>IFERROR(INDEX(Pedidos!$E$2:$E$1801,MATCH(B181,Pedidos!$A$2:$A$1801,0)),"")</f>
        <v/>
      </c>
      <c r="J181" s="25">
        <f>IFERROR(INDEX(Pedidos!$C$2:$C$1801,MATCH(B181,Pedidos!$A$2:$A$1801,0)),"")</f>
        <v/>
      </c>
      <c r="K181" s="25">
        <f>IFERROR(INDEX(Pedidos!$D$2:$D$1801,MATCH(B181,Pedidos!$A$2:$A$1801,0)),"")</f>
        <v/>
      </c>
      <c r="L181" s="25">
        <f>IFERROR(INDEX(Pedidos!$F$2:$F$1801,MATCH(B181,Pedidos!$A$2:$A$1801,0)),"")</f>
        <v/>
      </c>
      <c r="M181" s="26">
        <f>IFERROR(INDEX(Pedidos!$G$2:$G$1801,MATCH(B181,Pedidos!$A$2:$A$1801,0)),0)</f>
        <v/>
      </c>
      <c r="N181" s="25">
        <f>IFERROR(INDEX(Produtos!$B$2:$B$71,MATCH(C181,Produtos!$A$2:$A$71,0)),"")</f>
        <v/>
      </c>
      <c r="O181" s="25">
        <f>IFERROR(INDEX(Produtos!$C$2:$C$71,MATCH(C181,Produtos!$A$2:$A$71,0)),"")</f>
        <v/>
      </c>
      <c r="P181" s="25">
        <f>IFERROR(INDEX(Produtos!$D$2:$D$71,MATCH(C181,Produtos!$A$2:$A$71,0)),0)</f>
        <v/>
      </c>
      <c r="Q181" s="25">
        <f>IFERROR(INDEX(Produtos!$E$2:$E$71,MATCH(C181,Produtos!$A$2:$A$71,0)),0)</f>
        <v/>
      </c>
      <c r="R181" s="27">
        <f>D181*Q181</f>
        <v/>
      </c>
      <c r="S181" s="27">
        <f>R181*E181</f>
        <v/>
      </c>
      <c r="T181" s="27">
        <f>(R181-S181)*M181</f>
        <v/>
      </c>
      <c r="U181" s="27">
        <f>R181-S181-T181</f>
        <v/>
      </c>
      <c r="V181" s="27">
        <f>D181*P181</f>
        <v/>
      </c>
      <c r="W181" s="27">
        <f>U181-V181</f>
        <v/>
      </c>
      <c r="X181" s="28">
        <f>IFERROR(W181/U181,0)</f>
        <v/>
      </c>
    </row>
    <row r="182">
      <c r="A182" s="21">
        <f>ItensPedido!A182</f>
        <v/>
      </c>
      <c r="B182" s="21">
        <f>ItensPedido!B182</f>
        <v/>
      </c>
      <c r="C182" s="21">
        <f>ItensPedido!C182</f>
        <v/>
      </c>
      <c r="D182" s="21">
        <f>ItensPedido!D182</f>
        <v/>
      </c>
      <c r="E182" s="22">
        <f>ItensPedido!E182</f>
        <v/>
      </c>
      <c r="F182" s="21">
        <f>IFERROR(INDEX(Pedidos!$B$2:$B$1801,MATCH(B182,Pedidos!$A$2:$A$1801,0)),0)</f>
        <v/>
      </c>
      <c r="G182" s="21">
        <f>IF(F182=0,"",YEAR(F182))</f>
        <v/>
      </c>
      <c r="H182" s="21">
        <f>IF(F182=0,"",MONTH(F182))</f>
        <v/>
      </c>
      <c r="I182" s="21">
        <f>IFERROR(INDEX(Pedidos!$E$2:$E$1801,MATCH(B182,Pedidos!$A$2:$A$1801,0)),"")</f>
        <v/>
      </c>
      <c r="J182" s="21">
        <f>IFERROR(INDEX(Pedidos!$C$2:$C$1801,MATCH(B182,Pedidos!$A$2:$A$1801,0)),"")</f>
        <v/>
      </c>
      <c r="K182" s="21">
        <f>IFERROR(INDEX(Pedidos!$D$2:$D$1801,MATCH(B182,Pedidos!$A$2:$A$1801,0)),"")</f>
        <v/>
      </c>
      <c r="L182" s="21">
        <f>IFERROR(INDEX(Pedidos!$F$2:$F$1801,MATCH(B182,Pedidos!$A$2:$A$1801,0)),"")</f>
        <v/>
      </c>
      <c r="M182" s="22">
        <f>IFERROR(INDEX(Pedidos!$G$2:$G$1801,MATCH(B182,Pedidos!$A$2:$A$1801,0)),0)</f>
        <v/>
      </c>
      <c r="N182" s="21">
        <f>IFERROR(INDEX(Produtos!$B$2:$B$71,MATCH(C182,Produtos!$A$2:$A$71,0)),"")</f>
        <v/>
      </c>
      <c r="O182" s="21">
        <f>IFERROR(INDEX(Produtos!$C$2:$C$71,MATCH(C182,Produtos!$A$2:$A$71,0)),"")</f>
        <v/>
      </c>
      <c r="P182" s="21">
        <f>IFERROR(INDEX(Produtos!$D$2:$D$71,MATCH(C182,Produtos!$A$2:$A$71,0)),0)</f>
        <v/>
      </c>
      <c r="Q182" s="21">
        <f>IFERROR(INDEX(Produtos!$E$2:$E$71,MATCH(C182,Produtos!$A$2:$A$71,0)),0)</f>
        <v/>
      </c>
      <c r="R182" s="23">
        <f>D182*Q182</f>
        <v/>
      </c>
      <c r="S182" s="23">
        <f>R182*E182</f>
        <v/>
      </c>
      <c r="T182" s="23">
        <f>(R182-S182)*M182</f>
        <v/>
      </c>
      <c r="U182" s="23">
        <f>R182-S182-T182</f>
        <v/>
      </c>
      <c r="V182" s="23">
        <f>D182*P182</f>
        <v/>
      </c>
      <c r="W182" s="23">
        <f>U182-V182</f>
        <v/>
      </c>
      <c r="X182" s="24">
        <f>IFERROR(W182/U182,0)</f>
        <v/>
      </c>
    </row>
    <row r="183">
      <c r="A183" s="25">
        <f>ItensPedido!A183</f>
        <v/>
      </c>
      <c r="B183" s="25">
        <f>ItensPedido!B183</f>
        <v/>
      </c>
      <c r="C183" s="25">
        <f>ItensPedido!C183</f>
        <v/>
      </c>
      <c r="D183" s="25">
        <f>ItensPedido!D183</f>
        <v/>
      </c>
      <c r="E183" s="26">
        <f>ItensPedido!E183</f>
        <v/>
      </c>
      <c r="F183" s="25">
        <f>IFERROR(INDEX(Pedidos!$B$2:$B$1801,MATCH(B183,Pedidos!$A$2:$A$1801,0)),0)</f>
        <v/>
      </c>
      <c r="G183" s="25">
        <f>IF(F183=0,"",YEAR(F183))</f>
        <v/>
      </c>
      <c r="H183" s="25">
        <f>IF(F183=0,"",MONTH(F183))</f>
        <v/>
      </c>
      <c r="I183" s="25">
        <f>IFERROR(INDEX(Pedidos!$E$2:$E$1801,MATCH(B183,Pedidos!$A$2:$A$1801,0)),"")</f>
        <v/>
      </c>
      <c r="J183" s="25">
        <f>IFERROR(INDEX(Pedidos!$C$2:$C$1801,MATCH(B183,Pedidos!$A$2:$A$1801,0)),"")</f>
        <v/>
      </c>
      <c r="K183" s="25">
        <f>IFERROR(INDEX(Pedidos!$D$2:$D$1801,MATCH(B183,Pedidos!$A$2:$A$1801,0)),"")</f>
        <v/>
      </c>
      <c r="L183" s="25">
        <f>IFERROR(INDEX(Pedidos!$F$2:$F$1801,MATCH(B183,Pedidos!$A$2:$A$1801,0)),"")</f>
        <v/>
      </c>
      <c r="M183" s="26">
        <f>IFERROR(INDEX(Pedidos!$G$2:$G$1801,MATCH(B183,Pedidos!$A$2:$A$1801,0)),0)</f>
        <v/>
      </c>
      <c r="N183" s="25">
        <f>IFERROR(INDEX(Produtos!$B$2:$B$71,MATCH(C183,Produtos!$A$2:$A$71,0)),"")</f>
        <v/>
      </c>
      <c r="O183" s="25">
        <f>IFERROR(INDEX(Produtos!$C$2:$C$71,MATCH(C183,Produtos!$A$2:$A$71,0)),"")</f>
        <v/>
      </c>
      <c r="P183" s="25">
        <f>IFERROR(INDEX(Produtos!$D$2:$D$71,MATCH(C183,Produtos!$A$2:$A$71,0)),0)</f>
        <v/>
      </c>
      <c r="Q183" s="25">
        <f>IFERROR(INDEX(Produtos!$E$2:$E$71,MATCH(C183,Produtos!$A$2:$A$71,0)),0)</f>
        <v/>
      </c>
      <c r="R183" s="27">
        <f>D183*Q183</f>
        <v/>
      </c>
      <c r="S183" s="27">
        <f>R183*E183</f>
        <v/>
      </c>
      <c r="T183" s="27">
        <f>(R183-S183)*M183</f>
        <v/>
      </c>
      <c r="U183" s="27">
        <f>R183-S183-T183</f>
        <v/>
      </c>
      <c r="V183" s="27">
        <f>D183*P183</f>
        <v/>
      </c>
      <c r="W183" s="27">
        <f>U183-V183</f>
        <v/>
      </c>
      <c r="X183" s="28">
        <f>IFERROR(W183/U183,0)</f>
        <v/>
      </c>
    </row>
    <row r="184">
      <c r="A184" s="21">
        <f>ItensPedido!A184</f>
        <v/>
      </c>
      <c r="B184" s="21">
        <f>ItensPedido!B184</f>
        <v/>
      </c>
      <c r="C184" s="21">
        <f>ItensPedido!C184</f>
        <v/>
      </c>
      <c r="D184" s="21">
        <f>ItensPedido!D184</f>
        <v/>
      </c>
      <c r="E184" s="22">
        <f>ItensPedido!E184</f>
        <v/>
      </c>
      <c r="F184" s="21">
        <f>IFERROR(INDEX(Pedidos!$B$2:$B$1801,MATCH(B184,Pedidos!$A$2:$A$1801,0)),0)</f>
        <v/>
      </c>
      <c r="G184" s="21">
        <f>IF(F184=0,"",YEAR(F184))</f>
        <v/>
      </c>
      <c r="H184" s="21">
        <f>IF(F184=0,"",MONTH(F184))</f>
        <v/>
      </c>
      <c r="I184" s="21">
        <f>IFERROR(INDEX(Pedidos!$E$2:$E$1801,MATCH(B184,Pedidos!$A$2:$A$1801,0)),"")</f>
        <v/>
      </c>
      <c r="J184" s="21">
        <f>IFERROR(INDEX(Pedidos!$C$2:$C$1801,MATCH(B184,Pedidos!$A$2:$A$1801,0)),"")</f>
        <v/>
      </c>
      <c r="K184" s="21">
        <f>IFERROR(INDEX(Pedidos!$D$2:$D$1801,MATCH(B184,Pedidos!$A$2:$A$1801,0)),"")</f>
        <v/>
      </c>
      <c r="L184" s="21">
        <f>IFERROR(INDEX(Pedidos!$F$2:$F$1801,MATCH(B184,Pedidos!$A$2:$A$1801,0)),"")</f>
        <v/>
      </c>
      <c r="M184" s="22">
        <f>IFERROR(INDEX(Pedidos!$G$2:$G$1801,MATCH(B184,Pedidos!$A$2:$A$1801,0)),0)</f>
        <v/>
      </c>
      <c r="N184" s="21">
        <f>IFERROR(INDEX(Produtos!$B$2:$B$71,MATCH(C184,Produtos!$A$2:$A$71,0)),"")</f>
        <v/>
      </c>
      <c r="O184" s="21">
        <f>IFERROR(INDEX(Produtos!$C$2:$C$71,MATCH(C184,Produtos!$A$2:$A$71,0)),"")</f>
        <v/>
      </c>
      <c r="P184" s="21">
        <f>IFERROR(INDEX(Produtos!$D$2:$D$71,MATCH(C184,Produtos!$A$2:$A$71,0)),0)</f>
        <v/>
      </c>
      <c r="Q184" s="21">
        <f>IFERROR(INDEX(Produtos!$E$2:$E$71,MATCH(C184,Produtos!$A$2:$A$71,0)),0)</f>
        <v/>
      </c>
      <c r="R184" s="23">
        <f>D184*Q184</f>
        <v/>
      </c>
      <c r="S184" s="23">
        <f>R184*E184</f>
        <v/>
      </c>
      <c r="T184" s="23">
        <f>(R184-S184)*M184</f>
        <v/>
      </c>
      <c r="U184" s="23">
        <f>R184-S184-T184</f>
        <v/>
      </c>
      <c r="V184" s="23">
        <f>D184*P184</f>
        <v/>
      </c>
      <c r="W184" s="23">
        <f>U184-V184</f>
        <v/>
      </c>
      <c r="X184" s="24">
        <f>IFERROR(W184/U184,0)</f>
        <v/>
      </c>
    </row>
    <row r="185">
      <c r="A185" s="25">
        <f>ItensPedido!A185</f>
        <v/>
      </c>
      <c r="B185" s="25">
        <f>ItensPedido!B185</f>
        <v/>
      </c>
      <c r="C185" s="25">
        <f>ItensPedido!C185</f>
        <v/>
      </c>
      <c r="D185" s="25">
        <f>ItensPedido!D185</f>
        <v/>
      </c>
      <c r="E185" s="26">
        <f>ItensPedido!E185</f>
        <v/>
      </c>
      <c r="F185" s="25">
        <f>IFERROR(INDEX(Pedidos!$B$2:$B$1801,MATCH(B185,Pedidos!$A$2:$A$1801,0)),0)</f>
        <v/>
      </c>
      <c r="G185" s="25">
        <f>IF(F185=0,"",YEAR(F185))</f>
        <v/>
      </c>
      <c r="H185" s="25">
        <f>IF(F185=0,"",MONTH(F185))</f>
        <v/>
      </c>
      <c r="I185" s="25">
        <f>IFERROR(INDEX(Pedidos!$E$2:$E$1801,MATCH(B185,Pedidos!$A$2:$A$1801,0)),"")</f>
        <v/>
      </c>
      <c r="J185" s="25">
        <f>IFERROR(INDEX(Pedidos!$C$2:$C$1801,MATCH(B185,Pedidos!$A$2:$A$1801,0)),"")</f>
        <v/>
      </c>
      <c r="K185" s="25">
        <f>IFERROR(INDEX(Pedidos!$D$2:$D$1801,MATCH(B185,Pedidos!$A$2:$A$1801,0)),"")</f>
        <v/>
      </c>
      <c r="L185" s="25">
        <f>IFERROR(INDEX(Pedidos!$F$2:$F$1801,MATCH(B185,Pedidos!$A$2:$A$1801,0)),"")</f>
        <v/>
      </c>
      <c r="M185" s="26">
        <f>IFERROR(INDEX(Pedidos!$G$2:$G$1801,MATCH(B185,Pedidos!$A$2:$A$1801,0)),0)</f>
        <v/>
      </c>
      <c r="N185" s="25">
        <f>IFERROR(INDEX(Produtos!$B$2:$B$71,MATCH(C185,Produtos!$A$2:$A$71,0)),"")</f>
        <v/>
      </c>
      <c r="O185" s="25">
        <f>IFERROR(INDEX(Produtos!$C$2:$C$71,MATCH(C185,Produtos!$A$2:$A$71,0)),"")</f>
        <v/>
      </c>
      <c r="P185" s="25">
        <f>IFERROR(INDEX(Produtos!$D$2:$D$71,MATCH(C185,Produtos!$A$2:$A$71,0)),0)</f>
        <v/>
      </c>
      <c r="Q185" s="25">
        <f>IFERROR(INDEX(Produtos!$E$2:$E$71,MATCH(C185,Produtos!$A$2:$A$71,0)),0)</f>
        <v/>
      </c>
      <c r="R185" s="27">
        <f>D185*Q185</f>
        <v/>
      </c>
      <c r="S185" s="27">
        <f>R185*E185</f>
        <v/>
      </c>
      <c r="T185" s="27">
        <f>(R185-S185)*M185</f>
        <v/>
      </c>
      <c r="U185" s="27">
        <f>R185-S185-T185</f>
        <v/>
      </c>
      <c r="V185" s="27">
        <f>D185*P185</f>
        <v/>
      </c>
      <c r="W185" s="27">
        <f>U185-V185</f>
        <v/>
      </c>
      <c r="X185" s="28">
        <f>IFERROR(W185/U185,0)</f>
        <v/>
      </c>
    </row>
    <row r="186">
      <c r="A186" s="21">
        <f>ItensPedido!A186</f>
        <v/>
      </c>
      <c r="B186" s="21">
        <f>ItensPedido!B186</f>
        <v/>
      </c>
      <c r="C186" s="21">
        <f>ItensPedido!C186</f>
        <v/>
      </c>
      <c r="D186" s="21">
        <f>ItensPedido!D186</f>
        <v/>
      </c>
      <c r="E186" s="22">
        <f>ItensPedido!E186</f>
        <v/>
      </c>
      <c r="F186" s="21">
        <f>IFERROR(INDEX(Pedidos!$B$2:$B$1801,MATCH(B186,Pedidos!$A$2:$A$1801,0)),0)</f>
        <v/>
      </c>
      <c r="G186" s="21">
        <f>IF(F186=0,"",YEAR(F186))</f>
        <v/>
      </c>
      <c r="H186" s="21">
        <f>IF(F186=0,"",MONTH(F186))</f>
        <v/>
      </c>
      <c r="I186" s="21">
        <f>IFERROR(INDEX(Pedidos!$E$2:$E$1801,MATCH(B186,Pedidos!$A$2:$A$1801,0)),"")</f>
        <v/>
      </c>
      <c r="J186" s="21">
        <f>IFERROR(INDEX(Pedidos!$C$2:$C$1801,MATCH(B186,Pedidos!$A$2:$A$1801,0)),"")</f>
        <v/>
      </c>
      <c r="K186" s="21">
        <f>IFERROR(INDEX(Pedidos!$D$2:$D$1801,MATCH(B186,Pedidos!$A$2:$A$1801,0)),"")</f>
        <v/>
      </c>
      <c r="L186" s="21">
        <f>IFERROR(INDEX(Pedidos!$F$2:$F$1801,MATCH(B186,Pedidos!$A$2:$A$1801,0)),"")</f>
        <v/>
      </c>
      <c r="M186" s="22">
        <f>IFERROR(INDEX(Pedidos!$G$2:$G$1801,MATCH(B186,Pedidos!$A$2:$A$1801,0)),0)</f>
        <v/>
      </c>
      <c r="N186" s="21">
        <f>IFERROR(INDEX(Produtos!$B$2:$B$71,MATCH(C186,Produtos!$A$2:$A$71,0)),"")</f>
        <v/>
      </c>
      <c r="O186" s="21">
        <f>IFERROR(INDEX(Produtos!$C$2:$C$71,MATCH(C186,Produtos!$A$2:$A$71,0)),"")</f>
        <v/>
      </c>
      <c r="P186" s="21">
        <f>IFERROR(INDEX(Produtos!$D$2:$D$71,MATCH(C186,Produtos!$A$2:$A$71,0)),0)</f>
        <v/>
      </c>
      <c r="Q186" s="21">
        <f>IFERROR(INDEX(Produtos!$E$2:$E$71,MATCH(C186,Produtos!$A$2:$A$71,0)),0)</f>
        <v/>
      </c>
      <c r="R186" s="23">
        <f>D186*Q186</f>
        <v/>
      </c>
      <c r="S186" s="23">
        <f>R186*E186</f>
        <v/>
      </c>
      <c r="T186" s="23">
        <f>(R186-S186)*M186</f>
        <v/>
      </c>
      <c r="U186" s="23">
        <f>R186-S186-T186</f>
        <v/>
      </c>
      <c r="V186" s="23">
        <f>D186*P186</f>
        <v/>
      </c>
      <c r="W186" s="23">
        <f>U186-V186</f>
        <v/>
      </c>
      <c r="X186" s="24">
        <f>IFERROR(W186/U186,0)</f>
        <v/>
      </c>
    </row>
    <row r="187">
      <c r="A187" s="25">
        <f>ItensPedido!A187</f>
        <v/>
      </c>
      <c r="B187" s="25">
        <f>ItensPedido!B187</f>
        <v/>
      </c>
      <c r="C187" s="25">
        <f>ItensPedido!C187</f>
        <v/>
      </c>
      <c r="D187" s="25">
        <f>ItensPedido!D187</f>
        <v/>
      </c>
      <c r="E187" s="26">
        <f>ItensPedido!E187</f>
        <v/>
      </c>
      <c r="F187" s="25">
        <f>IFERROR(INDEX(Pedidos!$B$2:$B$1801,MATCH(B187,Pedidos!$A$2:$A$1801,0)),0)</f>
        <v/>
      </c>
      <c r="G187" s="25">
        <f>IF(F187=0,"",YEAR(F187))</f>
        <v/>
      </c>
      <c r="H187" s="25">
        <f>IF(F187=0,"",MONTH(F187))</f>
        <v/>
      </c>
      <c r="I187" s="25">
        <f>IFERROR(INDEX(Pedidos!$E$2:$E$1801,MATCH(B187,Pedidos!$A$2:$A$1801,0)),"")</f>
        <v/>
      </c>
      <c r="J187" s="25">
        <f>IFERROR(INDEX(Pedidos!$C$2:$C$1801,MATCH(B187,Pedidos!$A$2:$A$1801,0)),"")</f>
        <v/>
      </c>
      <c r="K187" s="25">
        <f>IFERROR(INDEX(Pedidos!$D$2:$D$1801,MATCH(B187,Pedidos!$A$2:$A$1801,0)),"")</f>
        <v/>
      </c>
      <c r="L187" s="25">
        <f>IFERROR(INDEX(Pedidos!$F$2:$F$1801,MATCH(B187,Pedidos!$A$2:$A$1801,0)),"")</f>
        <v/>
      </c>
      <c r="M187" s="26">
        <f>IFERROR(INDEX(Pedidos!$G$2:$G$1801,MATCH(B187,Pedidos!$A$2:$A$1801,0)),0)</f>
        <v/>
      </c>
      <c r="N187" s="25">
        <f>IFERROR(INDEX(Produtos!$B$2:$B$71,MATCH(C187,Produtos!$A$2:$A$71,0)),"")</f>
        <v/>
      </c>
      <c r="O187" s="25">
        <f>IFERROR(INDEX(Produtos!$C$2:$C$71,MATCH(C187,Produtos!$A$2:$A$71,0)),"")</f>
        <v/>
      </c>
      <c r="P187" s="25">
        <f>IFERROR(INDEX(Produtos!$D$2:$D$71,MATCH(C187,Produtos!$A$2:$A$71,0)),0)</f>
        <v/>
      </c>
      <c r="Q187" s="25">
        <f>IFERROR(INDEX(Produtos!$E$2:$E$71,MATCH(C187,Produtos!$A$2:$A$71,0)),0)</f>
        <v/>
      </c>
      <c r="R187" s="27">
        <f>D187*Q187</f>
        <v/>
      </c>
      <c r="S187" s="27">
        <f>R187*E187</f>
        <v/>
      </c>
      <c r="T187" s="27">
        <f>(R187-S187)*M187</f>
        <v/>
      </c>
      <c r="U187" s="27">
        <f>R187-S187-T187</f>
        <v/>
      </c>
      <c r="V187" s="27">
        <f>D187*P187</f>
        <v/>
      </c>
      <c r="W187" s="27">
        <f>U187-V187</f>
        <v/>
      </c>
      <c r="X187" s="28">
        <f>IFERROR(W187/U187,0)</f>
        <v/>
      </c>
    </row>
    <row r="188">
      <c r="A188" s="21">
        <f>ItensPedido!A188</f>
        <v/>
      </c>
      <c r="B188" s="21">
        <f>ItensPedido!B188</f>
        <v/>
      </c>
      <c r="C188" s="21">
        <f>ItensPedido!C188</f>
        <v/>
      </c>
      <c r="D188" s="21">
        <f>ItensPedido!D188</f>
        <v/>
      </c>
      <c r="E188" s="22">
        <f>ItensPedido!E188</f>
        <v/>
      </c>
      <c r="F188" s="21">
        <f>IFERROR(INDEX(Pedidos!$B$2:$B$1801,MATCH(B188,Pedidos!$A$2:$A$1801,0)),0)</f>
        <v/>
      </c>
      <c r="G188" s="21">
        <f>IF(F188=0,"",YEAR(F188))</f>
        <v/>
      </c>
      <c r="H188" s="21">
        <f>IF(F188=0,"",MONTH(F188))</f>
        <v/>
      </c>
      <c r="I188" s="21">
        <f>IFERROR(INDEX(Pedidos!$E$2:$E$1801,MATCH(B188,Pedidos!$A$2:$A$1801,0)),"")</f>
        <v/>
      </c>
      <c r="J188" s="21">
        <f>IFERROR(INDEX(Pedidos!$C$2:$C$1801,MATCH(B188,Pedidos!$A$2:$A$1801,0)),"")</f>
        <v/>
      </c>
      <c r="K188" s="21">
        <f>IFERROR(INDEX(Pedidos!$D$2:$D$1801,MATCH(B188,Pedidos!$A$2:$A$1801,0)),"")</f>
        <v/>
      </c>
      <c r="L188" s="21">
        <f>IFERROR(INDEX(Pedidos!$F$2:$F$1801,MATCH(B188,Pedidos!$A$2:$A$1801,0)),"")</f>
        <v/>
      </c>
      <c r="M188" s="22">
        <f>IFERROR(INDEX(Pedidos!$G$2:$G$1801,MATCH(B188,Pedidos!$A$2:$A$1801,0)),0)</f>
        <v/>
      </c>
      <c r="N188" s="21">
        <f>IFERROR(INDEX(Produtos!$B$2:$B$71,MATCH(C188,Produtos!$A$2:$A$71,0)),"")</f>
        <v/>
      </c>
      <c r="O188" s="21">
        <f>IFERROR(INDEX(Produtos!$C$2:$C$71,MATCH(C188,Produtos!$A$2:$A$71,0)),"")</f>
        <v/>
      </c>
      <c r="P188" s="21">
        <f>IFERROR(INDEX(Produtos!$D$2:$D$71,MATCH(C188,Produtos!$A$2:$A$71,0)),0)</f>
        <v/>
      </c>
      <c r="Q188" s="21">
        <f>IFERROR(INDEX(Produtos!$E$2:$E$71,MATCH(C188,Produtos!$A$2:$A$71,0)),0)</f>
        <v/>
      </c>
      <c r="R188" s="23">
        <f>D188*Q188</f>
        <v/>
      </c>
      <c r="S188" s="23">
        <f>R188*E188</f>
        <v/>
      </c>
      <c r="T188" s="23">
        <f>(R188-S188)*M188</f>
        <v/>
      </c>
      <c r="U188" s="23">
        <f>R188-S188-T188</f>
        <v/>
      </c>
      <c r="V188" s="23">
        <f>D188*P188</f>
        <v/>
      </c>
      <c r="W188" s="23">
        <f>U188-V188</f>
        <v/>
      </c>
      <c r="X188" s="24">
        <f>IFERROR(W188/U188,0)</f>
        <v/>
      </c>
    </row>
    <row r="189">
      <c r="A189" s="25">
        <f>ItensPedido!A189</f>
        <v/>
      </c>
      <c r="B189" s="25">
        <f>ItensPedido!B189</f>
        <v/>
      </c>
      <c r="C189" s="25">
        <f>ItensPedido!C189</f>
        <v/>
      </c>
      <c r="D189" s="25">
        <f>ItensPedido!D189</f>
        <v/>
      </c>
      <c r="E189" s="26">
        <f>ItensPedido!E189</f>
        <v/>
      </c>
      <c r="F189" s="25">
        <f>IFERROR(INDEX(Pedidos!$B$2:$B$1801,MATCH(B189,Pedidos!$A$2:$A$1801,0)),0)</f>
        <v/>
      </c>
      <c r="G189" s="25">
        <f>IF(F189=0,"",YEAR(F189))</f>
        <v/>
      </c>
      <c r="H189" s="25">
        <f>IF(F189=0,"",MONTH(F189))</f>
        <v/>
      </c>
      <c r="I189" s="25">
        <f>IFERROR(INDEX(Pedidos!$E$2:$E$1801,MATCH(B189,Pedidos!$A$2:$A$1801,0)),"")</f>
        <v/>
      </c>
      <c r="J189" s="25">
        <f>IFERROR(INDEX(Pedidos!$C$2:$C$1801,MATCH(B189,Pedidos!$A$2:$A$1801,0)),"")</f>
        <v/>
      </c>
      <c r="K189" s="25">
        <f>IFERROR(INDEX(Pedidos!$D$2:$D$1801,MATCH(B189,Pedidos!$A$2:$A$1801,0)),"")</f>
        <v/>
      </c>
      <c r="L189" s="25">
        <f>IFERROR(INDEX(Pedidos!$F$2:$F$1801,MATCH(B189,Pedidos!$A$2:$A$1801,0)),"")</f>
        <v/>
      </c>
      <c r="M189" s="26">
        <f>IFERROR(INDEX(Pedidos!$G$2:$G$1801,MATCH(B189,Pedidos!$A$2:$A$1801,0)),0)</f>
        <v/>
      </c>
      <c r="N189" s="25">
        <f>IFERROR(INDEX(Produtos!$B$2:$B$71,MATCH(C189,Produtos!$A$2:$A$71,0)),"")</f>
        <v/>
      </c>
      <c r="O189" s="25">
        <f>IFERROR(INDEX(Produtos!$C$2:$C$71,MATCH(C189,Produtos!$A$2:$A$71,0)),"")</f>
        <v/>
      </c>
      <c r="P189" s="25">
        <f>IFERROR(INDEX(Produtos!$D$2:$D$71,MATCH(C189,Produtos!$A$2:$A$71,0)),0)</f>
        <v/>
      </c>
      <c r="Q189" s="25">
        <f>IFERROR(INDEX(Produtos!$E$2:$E$71,MATCH(C189,Produtos!$A$2:$A$71,0)),0)</f>
        <v/>
      </c>
      <c r="R189" s="27">
        <f>D189*Q189</f>
        <v/>
      </c>
      <c r="S189" s="27">
        <f>R189*E189</f>
        <v/>
      </c>
      <c r="T189" s="27">
        <f>(R189-S189)*M189</f>
        <v/>
      </c>
      <c r="U189" s="27">
        <f>R189-S189-T189</f>
        <v/>
      </c>
      <c r="V189" s="27">
        <f>D189*P189</f>
        <v/>
      </c>
      <c r="W189" s="27">
        <f>U189-V189</f>
        <v/>
      </c>
      <c r="X189" s="28">
        <f>IFERROR(W189/U189,0)</f>
        <v/>
      </c>
    </row>
    <row r="190">
      <c r="A190" s="21">
        <f>ItensPedido!A190</f>
        <v/>
      </c>
      <c r="B190" s="21">
        <f>ItensPedido!B190</f>
        <v/>
      </c>
      <c r="C190" s="21">
        <f>ItensPedido!C190</f>
        <v/>
      </c>
      <c r="D190" s="21">
        <f>ItensPedido!D190</f>
        <v/>
      </c>
      <c r="E190" s="22">
        <f>ItensPedido!E190</f>
        <v/>
      </c>
      <c r="F190" s="21">
        <f>IFERROR(INDEX(Pedidos!$B$2:$B$1801,MATCH(B190,Pedidos!$A$2:$A$1801,0)),0)</f>
        <v/>
      </c>
      <c r="G190" s="21">
        <f>IF(F190=0,"",YEAR(F190))</f>
        <v/>
      </c>
      <c r="H190" s="21">
        <f>IF(F190=0,"",MONTH(F190))</f>
        <v/>
      </c>
      <c r="I190" s="21">
        <f>IFERROR(INDEX(Pedidos!$E$2:$E$1801,MATCH(B190,Pedidos!$A$2:$A$1801,0)),"")</f>
        <v/>
      </c>
      <c r="J190" s="21">
        <f>IFERROR(INDEX(Pedidos!$C$2:$C$1801,MATCH(B190,Pedidos!$A$2:$A$1801,0)),"")</f>
        <v/>
      </c>
      <c r="K190" s="21">
        <f>IFERROR(INDEX(Pedidos!$D$2:$D$1801,MATCH(B190,Pedidos!$A$2:$A$1801,0)),"")</f>
        <v/>
      </c>
      <c r="L190" s="21">
        <f>IFERROR(INDEX(Pedidos!$F$2:$F$1801,MATCH(B190,Pedidos!$A$2:$A$1801,0)),"")</f>
        <v/>
      </c>
      <c r="M190" s="22">
        <f>IFERROR(INDEX(Pedidos!$G$2:$G$1801,MATCH(B190,Pedidos!$A$2:$A$1801,0)),0)</f>
        <v/>
      </c>
      <c r="N190" s="21">
        <f>IFERROR(INDEX(Produtos!$B$2:$B$71,MATCH(C190,Produtos!$A$2:$A$71,0)),"")</f>
        <v/>
      </c>
      <c r="O190" s="21">
        <f>IFERROR(INDEX(Produtos!$C$2:$C$71,MATCH(C190,Produtos!$A$2:$A$71,0)),"")</f>
        <v/>
      </c>
      <c r="P190" s="21">
        <f>IFERROR(INDEX(Produtos!$D$2:$D$71,MATCH(C190,Produtos!$A$2:$A$71,0)),0)</f>
        <v/>
      </c>
      <c r="Q190" s="21">
        <f>IFERROR(INDEX(Produtos!$E$2:$E$71,MATCH(C190,Produtos!$A$2:$A$71,0)),0)</f>
        <v/>
      </c>
      <c r="R190" s="23">
        <f>D190*Q190</f>
        <v/>
      </c>
      <c r="S190" s="23">
        <f>R190*E190</f>
        <v/>
      </c>
      <c r="T190" s="23">
        <f>(R190-S190)*M190</f>
        <v/>
      </c>
      <c r="U190" s="23">
        <f>R190-S190-T190</f>
        <v/>
      </c>
      <c r="V190" s="23">
        <f>D190*P190</f>
        <v/>
      </c>
      <c r="W190" s="23">
        <f>U190-V190</f>
        <v/>
      </c>
      <c r="X190" s="24">
        <f>IFERROR(W190/U190,0)</f>
        <v/>
      </c>
    </row>
    <row r="191">
      <c r="A191" s="25">
        <f>ItensPedido!A191</f>
        <v/>
      </c>
      <c r="B191" s="25">
        <f>ItensPedido!B191</f>
        <v/>
      </c>
      <c r="C191" s="25">
        <f>ItensPedido!C191</f>
        <v/>
      </c>
      <c r="D191" s="25">
        <f>ItensPedido!D191</f>
        <v/>
      </c>
      <c r="E191" s="26">
        <f>ItensPedido!E191</f>
        <v/>
      </c>
      <c r="F191" s="25">
        <f>IFERROR(INDEX(Pedidos!$B$2:$B$1801,MATCH(B191,Pedidos!$A$2:$A$1801,0)),0)</f>
        <v/>
      </c>
      <c r="G191" s="25">
        <f>IF(F191=0,"",YEAR(F191))</f>
        <v/>
      </c>
      <c r="H191" s="25">
        <f>IF(F191=0,"",MONTH(F191))</f>
        <v/>
      </c>
      <c r="I191" s="25">
        <f>IFERROR(INDEX(Pedidos!$E$2:$E$1801,MATCH(B191,Pedidos!$A$2:$A$1801,0)),"")</f>
        <v/>
      </c>
      <c r="J191" s="25">
        <f>IFERROR(INDEX(Pedidos!$C$2:$C$1801,MATCH(B191,Pedidos!$A$2:$A$1801,0)),"")</f>
        <v/>
      </c>
      <c r="K191" s="25">
        <f>IFERROR(INDEX(Pedidos!$D$2:$D$1801,MATCH(B191,Pedidos!$A$2:$A$1801,0)),"")</f>
        <v/>
      </c>
      <c r="L191" s="25">
        <f>IFERROR(INDEX(Pedidos!$F$2:$F$1801,MATCH(B191,Pedidos!$A$2:$A$1801,0)),"")</f>
        <v/>
      </c>
      <c r="M191" s="26">
        <f>IFERROR(INDEX(Pedidos!$G$2:$G$1801,MATCH(B191,Pedidos!$A$2:$A$1801,0)),0)</f>
        <v/>
      </c>
      <c r="N191" s="25">
        <f>IFERROR(INDEX(Produtos!$B$2:$B$71,MATCH(C191,Produtos!$A$2:$A$71,0)),"")</f>
        <v/>
      </c>
      <c r="O191" s="25">
        <f>IFERROR(INDEX(Produtos!$C$2:$C$71,MATCH(C191,Produtos!$A$2:$A$71,0)),"")</f>
        <v/>
      </c>
      <c r="P191" s="25">
        <f>IFERROR(INDEX(Produtos!$D$2:$D$71,MATCH(C191,Produtos!$A$2:$A$71,0)),0)</f>
        <v/>
      </c>
      <c r="Q191" s="25">
        <f>IFERROR(INDEX(Produtos!$E$2:$E$71,MATCH(C191,Produtos!$A$2:$A$71,0)),0)</f>
        <v/>
      </c>
      <c r="R191" s="27">
        <f>D191*Q191</f>
        <v/>
      </c>
      <c r="S191" s="27">
        <f>R191*E191</f>
        <v/>
      </c>
      <c r="T191" s="27">
        <f>(R191-S191)*M191</f>
        <v/>
      </c>
      <c r="U191" s="27">
        <f>R191-S191-T191</f>
        <v/>
      </c>
      <c r="V191" s="27">
        <f>D191*P191</f>
        <v/>
      </c>
      <c r="W191" s="27">
        <f>U191-V191</f>
        <v/>
      </c>
      <c r="X191" s="28">
        <f>IFERROR(W191/U191,0)</f>
        <v/>
      </c>
    </row>
    <row r="192">
      <c r="A192" s="21">
        <f>ItensPedido!A192</f>
        <v/>
      </c>
      <c r="B192" s="21">
        <f>ItensPedido!B192</f>
        <v/>
      </c>
      <c r="C192" s="21">
        <f>ItensPedido!C192</f>
        <v/>
      </c>
      <c r="D192" s="21">
        <f>ItensPedido!D192</f>
        <v/>
      </c>
      <c r="E192" s="22">
        <f>ItensPedido!E192</f>
        <v/>
      </c>
      <c r="F192" s="21">
        <f>IFERROR(INDEX(Pedidos!$B$2:$B$1801,MATCH(B192,Pedidos!$A$2:$A$1801,0)),0)</f>
        <v/>
      </c>
      <c r="G192" s="21">
        <f>IF(F192=0,"",YEAR(F192))</f>
        <v/>
      </c>
      <c r="H192" s="21">
        <f>IF(F192=0,"",MONTH(F192))</f>
        <v/>
      </c>
      <c r="I192" s="21">
        <f>IFERROR(INDEX(Pedidos!$E$2:$E$1801,MATCH(B192,Pedidos!$A$2:$A$1801,0)),"")</f>
        <v/>
      </c>
      <c r="J192" s="21">
        <f>IFERROR(INDEX(Pedidos!$C$2:$C$1801,MATCH(B192,Pedidos!$A$2:$A$1801,0)),"")</f>
        <v/>
      </c>
      <c r="K192" s="21">
        <f>IFERROR(INDEX(Pedidos!$D$2:$D$1801,MATCH(B192,Pedidos!$A$2:$A$1801,0)),"")</f>
        <v/>
      </c>
      <c r="L192" s="21">
        <f>IFERROR(INDEX(Pedidos!$F$2:$F$1801,MATCH(B192,Pedidos!$A$2:$A$1801,0)),"")</f>
        <v/>
      </c>
      <c r="M192" s="22">
        <f>IFERROR(INDEX(Pedidos!$G$2:$G$1801,MATCH(B192,Pedidos!$A$2:$A$1801,0)),0)</f>
        <v/>
      </c>
      <c r="N192" s="21">
        <f>IFERROR(INDEX(Produtos!$B$2:$B$71,MATCH(C192,Produtos!$A$2:$A$71,0)),"")</f>
        <v/>
      </c>
      <c r="O192" s="21">
        <f>IFERROR(INDEX(Produtos!$C$2:$C$71,MATCH(C192,Produtos!$A$2:$A$71,0)),"")</f>
        <v/>
      </c>
      <c r="P192" s="21">
        <f>IFERROR(INDEX(Produtos!$D$2:$D$71,MATCH(C192,Produtos!$A$2:$A$71,0)),0)</f>
        <v/>
      </c>
      <c r="Q192" s="21">
        <f>IFERROR(INDEX(Produtos!$E$2:$E$71,MATCH(C192,Produtos!$A$2:$A$71,0)),0)</f>
        <v/>
      </c>
      <c r="R192" s="23">
        <f>D192*Q192</f>
        <v/>
      </c>
      <c r="S192" s="23">
        <f>R192*E192</f>
        <v/>
      </c>
      <c r="T192" s="23">
        <f>(R192-S192)*M192</f>
        <v/>
      </c>
      <c r="U192" s="23">
        <f>R192-S192-T192</f>
        <v/>
      </c>
      <c r="V192" s="23">
        <f>D192*P192</f>
        <v/>
      </c>
      <c r="W192" s="23">
        <f>U192-V192</f>
        <v/>
      </c>
      <c r="X192" s="24">
        <f>IFERROR(W192/U192,0)</f>
        <v/>
      </c>
    </row>
    <row r="193">
      <c r="A193" s="25">
        <f>ItensPedido!A193</f>
        <v/>
      </c>
      <c r="B193" s="25">
        <f>ItensPedido!B193</f>
        <v/>
      </c>
      <c r="C193" s="25">
        <f>ItensPedido!C193</f>
        <v/>
      </c>
      <c r="D193" s="25">
        <f>ItensPedido!D193</f>
        <v/>
      </c>
      <c r="E193" s="26">
        <f>ItensPedido!E193</f>
        <v/>
      </c>
      <c r="F193" s="25">
        <f>IFERROR(INDEX(Pedidos!$B$2:$B$1801,MATCH(B193,Pedidos!$A$2:$A$1801,0)),0)</f>
        <v/>
      </c>
      <c r="G193" s="25">
        <f>IF(F193=0,"",YEAR(F193))</f>
        <v/>
      </c>
      <c r="H193" s="25">
        <f>IF(F193=0,"",MONTH(F193))</f>
        <v/>
      </c>
      <c r="I193" s="25">
        <f>IFERROR(INDEX(Pedidos!$E$2:$E$1801,MATCH(B193,Pedidos!$A$2:$A$1801,0)),"")</f>
        <v/>
      </c>
      <c r="J193" s="25">
        <f>IFERROR(INDEX(Pedidos!$C$2:$C$1801,MATCH(B193,Pedidos!$A$2:$A$1801,0)),"")</f>
        <v/>
      </c>
      <c r="K193" s="25">
        <f>IFERROR(INDEX(Pedidos!$D$2:$D$1801,MATCH(B193,Pedidos!$A$2:$A$1801,0)),"")</f>
        <v/>
      </c>
      <c r="L193" s="25">
        <f>IFERROR(INDEX(Pedidos!$F$2:$F$1801,MATCH(B193,Pedidos!$A$2:$A$1801,0)),"")</f>
        <v/>
      </c>
      <c r="M193" s="26">
        <f>IFERROR(INDEX(Pedidos!$G$2:$G$1801,MATCH(B193,Pedidos!$A$2:$A$1801,0)),0)</f>
        <v/>
      </c>
      <c r="N193" s="25">
        <f>IFERROR(INDEX(Produtos!$B$2:$B$71,MATCH(C193,Produtos!$A$2:$A$71,0)),"")</f>
        <v/>
      </c>
      <c r="O193" s="25">
        <f>IFERROR(INDEX(Produtos!$C$2:$C$71,MATCH(C193,Produtos!$A$2:$A$71,0)),"")</f>
        <v/>
      </c>
      <c r="P193" s="25">
        <f>IFERROR(INDEX(Produtos!$D$2:$D$71,MATCH(C193,Produtos!$A$2:$A$71,0)),0)</f>
        <v/>
      </c>
      <c r="Q193" s="25">
        <f>IFERROR(INDEX(Produtos!$E$2:$E$71,MATCH(C193,Produtos!$A$2:$A$71,0)),0)</f>
        <v/>
      </c>
      <c r="R193" s="27">
        <f>D193*Q193</f>
        <v/>
      </c>
      <c r="S193" s="27">
        <f>R193*E193</f>
        <v/>
      </c>
      <c r="T193" s="27">
        <f>(R193-S193)*M193</f>
        <v/>
      </c>
      <c r="U193" s="27">
        <f>R193-S193-T193</f>
        <v/>
      </c>
      <c r="V193" s="27">
        <f>D193*P193</f>
        <v/>
      </c>
      <c r="W193" s="27">
        <f>U193-V193</f>
        <v/>
      </c>
      <c r="X193" s="28">
        <f>IFERROR(W193/U193,0)</f>
        <v/>
      </c>
    </row>
    <row r="194">
      <c r="A194" s="21">
        <f>ItensPedido!A194</f>
        <v/>
      </c>
      <c r="B194" s="21">
        <f>ItensPedido!B194</f>
        <v/>
      </c>
      <c r="C194" s="21">
        <f>ItensPedido!C194</f>
        <v/>
      </c>
      <c r="D194" s="21">
        <f>ItensPedido!D194</f>
        <v/>
      </c>
      <c r="E194" s="22">
        <f>ItensPedido!E194</f>
        <v/>
      </c>
      <c r="F194" s="21">
        <f>IFERROR(INDEX(Pedidos!$B$2:$B$1801,MATCH(B194,Pedidos!$A$2:$A$1801,0)),0)</f>
        <v/>
      </c>
      <c r="G194" s="21">
        <f>IF(F194=0,"",YEAR(F194))</f>
        <v/>
      </c>
      <c r="H194" s="21">
        <f>IF(F194=0,"",MONTH(F194))</f>
        <v/>
      </c>
      <c r="I194" s="21">
        <f>IFERROR(INDEX(Pedidos!$E$2:$E$1801,MATCH(B194,Pedidos!$A$2:$A$1801,0)),"")</f>
        <v/>
      </c>
      <c r="J194" s="21">
        <f>IFERROR(INDEX(Pedidos!$C$2:$C$1801,MATCH(B194,Pedidos!$A$2:$A$1801,0)),"")</f>
        <v/>
      </c>
      <c r="K194" s="21">
        <f>IFERROR(INDEX(Pedidos!$D$2:$D$1801,MATCH(B194,Pedidos!$A$2:$A$1801,0)),"")</f>
        <v/>
      </c>
      <c r="L194" s="21">
        <f>IFERROR(INDEX(Pedidos!$F$2:$F$1801,MATCH(B194,Pedidos!$A$2:$A$1801,0)),"")</f>
        <v/>
      </c>
      <c r="M194" s="22">
        <f>IFERROR(INDEX(Pedidos!$G$2:$G$1801,MATCH(B194,Pedidos!$A$2:$A$1801,0)),0)</f>
        <v/>
      </c>
      <c r="N194" s="21">
        <f>IFERROR(INDEX(Produtos!$B$2:$B$71,MATCH(C194,Produtos!$A$2:$A$71,0)),"")</f>
        <v/>
      </c>
      <c r="O194" s="21">
        <f>IFERROR(INDEX(Produtos!$C$2:$C$71,MATCH(C194,Produtos!$A$2:$A$71,0)),"")</f>
        <v/>
      </c>
      <c r="P194" s="21">
        <f>IFERROR(INDEX(Produtos!$D$2:$D$71,MATCH(C194,Produtos!$A$2:$A$71,0)),0)</f>
        <v/>
      </c>
      <c r="Q194" s="21">
        <f>IFERROR(INDEX(Produtos!$E$2:$E$71,MATCH(C194,Produtos!$A$2:$A$71,0)),0)</f>
        <v/>
      </c>
      <c r="R194" s="23">
        <f>D194*Q194</f>
        <v/>
      </c>
      <c r="S194" s="23">
        <f>R194*E194</f>
        <v/>
      </c>
      <c r="T194" s="23">
        <f>(R194-S194)*M194</f>
        <v/>
      </c>
      <c r="U194" s="23">
        <f>R194-S194-T194</f>
        <v/>
      </c>
      <c r="V194" s="23">
        <f>D194*P194</f>
        <v/>
      </c>
      <c r="W194" s="23">
        <f>U194-V194</f>
        <v/>
      </c>
      <c r="X194" s="24">
        <f>IFERROR(W194/U194,0)</f>
        <v/>
      </c>
    </row>
    <row r="195">
      <c r="A195" s="25">
        <f>ItensPedido!A195</f>
        <v/>
      </c>
      <c r="B195" s="25">
        <f>ItensPedido!B195</f>
        <v/>
      </c>
      <c r="C195" s="25">
        <f>ItensPedido!C195</f>
        <v/>
      </c>
      <c r="D195" s="25">
        <f>ItensPedido!D195</f>
        <v/>
      </c>
      <c r="E195" s="26">
        <f>ItensPedido!E195</f>
        <v/>
      </c>
      <c r="F195" s="25">
        <f>IFERROR(INDEX(Pedidos!$B$2:$B$1801,MATCH(B195,Pedidos!$A$2:$A$1801,0)),0)</f>
        <v/>
      </c>
      <c r="G195" s="25">
        <f>IF(F195=0,"",YEAR(F195))</f>
        <v/>
      </c>
      <c r="H195" s="25">
        <f>IF(F195=0,"",MONTH(F195))</f>
        <v/>
      </c>
      <c r="I195" s="25">
        <f>IFERROR(INDEX(Pedidos!$E$2:$E$1801,MATCH(B195,Pedidos!$A$2:$A$1801,0)),"")</f>
        <v/>
      </c>
      <c r="J195" s="25">
        <f>IFERROR(INDEX(Pedidos!$C$2:$C$1801,MATCH(B195,Pedidos!$A$2:$A$1801,0)),"")</f>
        <v/>
      </c>
      <c r="K195" s="25">
        <f>IFERROR(INDEX(Pedidos!$D$2:$D$1801,MATCH(B195,Pedidos!$A$2:$A$1801,0)),"")</f>
        <v/>
      </c>
      <c r="L195" s="25">
        <f>IFERROR(INDEX(Pedidos!$F$2:$F$1801,MATCH(B195,Pedidos!$A$2:$A$1801,0)),"")</f>
        <v/>
      </c>
      <c r="M195" s="26">
        <f>IFERROR(INDEX(Pedidos!$G$2:$G$1801,MATCH(B195,Pedidos!$A$2:$A$1801,0)),0)</f>
        <v/>
      </c>
      <c r="N195" s="25">
        <f>IFERROR(INDEX(Produtos!$B$2:$B$71,MATCH(C195,Produtos!$A$2:$A$71,0)),"")</f>
        <v/>
      </c>
      <c r="O195" s="25">
        <f>IFERROR(INDEX(Produtos!$C$2:$C$71,MATCH(C195,Produtos!$A$2:$A$71,0)),"")</f>
        <v/>
      </c>
      <c r="P195" s="25">
        <f>IFERROR(INDEX(Produtos!$D$2:$D$71,MATCH(C195,Produtos!$A$2:$A$71,0)),0)</f>
        <v/>
      </c>
      <c r="Q195" s="25">
        <f>IFERROR(INDEX(Produtos!$E$2:$E$71,MATCH(C195,Produtos!$A$2:$A$71,0)),0)</f>
        <v/>
      </c>
      <c r="R195" s="27">
        <f>D195*Q195</f>
        <v/>
      </c>
      <c r="S195" s="27">
        <f>R195*E195</f>
        <v/>
      </c>
      <c r="T195" s="27">
        <f>(R195-S195)*M195</f>
        <v/>
      </c>
      <c r="U195" s="27">
        <f>R195-S195-T195</f>
        <v/>
      </c>
      <c r="V195" s="27">
        <f>D195*P195</f>
        <v/>
      </c>
      <c r="W195" s="27">
        <f>U195-V195</f>
        <v/>
      </c>
      <c r="X195" s="28">
        <f>IFERROR(W195/U195,0)</f>
        <v/>
      </c>
    </row>
    <row r="196">
      <c r="A196" s="21">
        <f>ItensPedido!A196</f>
        <v/>
      </c>
      <c r="B196" s="21">
        <f>ItensPedido!B196</f>
        <v/>
      </c>
      <c r="C196" s="21">
        <f>ItensPedido!C196</f>
        <v/>
      </c>
      <c r="D196" s="21">
        <f>ItensPedido!D196</f>
        <v/>
      </c>
      <c r="E196" s="22">
        <f>ItensPedido!E196</f>
        <v/>
      </c>
      <c r="F196" s="21">
        <f>IFERROR(INDEX(Pedidos!$B$2:$B$1801,MATCH(B196,Pedidos!$A$2:$A$1801,0)),0)</f>
        <v/>
      </c>
      <c r="G196" s="21">
        <f>IF(F196=0,"",YEAR(F196))</f>
        <v/>
      </c>
      <c r="H196" s="21">
        <f>IF(F196=0,"",MONTH(F196))</f>
        <v/>
      </c>
      <c r="I196" s="21">
        <f>IFERROR(INDEX(Pedidos!$E$2:$E$1801,MATCH(B196,Pedidos!$A$2:$A$1801,0)),"")</f>
        <v/>
      </c>
      <c r="J196" s="21">
        <f>IFERROR(INDEX(Pedidos!$C$2:$C$1801,MATCH(B196,Pedidos!$A$2:$A$1801,0)),"")</f>
        <v/>
      </c>
      <c r="K196" s="21">
        <f>IFERROR(INDEX(Pedidos!$D$2:$D$1801,MATCH(B196,Pedidos!$A$2:$A$1801,0)),"")</f>
        <v/>
      </c>
      <c r="L196" s="21">
        <f>IFERROR(INDEX(Pedidos!$F$2:$F$1801,MATCH(B196,Pedidos!$A$2:$A$1801,0)),"")</f>
        <v/>
      </c>
      <c r="M196" s="22">
        <f>IFERROR(INDEX(Pedidos!$G$2:$G$1801,MATCH(B196,Pedidos!$A$2:$A$1801,0)),0)</f>
        <v/>
      </c>
      <c r="N196" s="21">
        <f>IFERROR(INDEX(Produtos!$B$2:$B$71,MATCH(C196,Produtos!$A$2:$A$71,0)),"")</f>
        <v/>
      </c>
      <c r="O196" s="21">
        <f>IFERROR(INDEX(Produtos!$C$2:$C$71,MATCH(C196,Produtos!$A$2:$A$71,0)),"")</f>
        <v/>
      </c>
      <c r="P196" s="21">
        <f>IFERROR(INDEX(Produtos!$D$2:$D$71,MATCH(C196,Produtos!$A$2:$A$71,0)),0)</f>
        <v/>
      </c>
      <c r="Q196" s="21">
        <f>IFERROR(INDEX(Produtos!$E$2:$E$71,MATCH(C196,Produtos!$A$2:$A$71,0)),0)</f>
        <v/>
      </c>
      <c r="R196" s="23">
        <f>D196*Q196</f>
        <v/>
      </c>
      <c r="S196" s="23">
        <f>R196*E196</f>
        <v/>
      </c>
      <c r="T196" s="23">
        <f>(R196-S196)*M196</f>
        <v/>
      </c>
      <c r="U196" s="23">
        <f>R196-S196-T196</f>
        <v/>
      </c>
      <c r="V196" s="23">
        <f>D196*P196</f>
        <v/>
      </c>
      <c r="W196" s="23">
        <f>U196-V196</f>
        <v/>
      </c>
      <c r="X196" s="24">
        <f>IFERROR(W196/U196,0)</f>
        <v/>
      </c>
    </row>
    <row r="197">
      <c r="A197" s="25">
        <f>ItensPedido!A197</f>
        <v/>
      </c>
      <c r="B197" s="25">
        <f>ItensPedido!B197</f>
        <v/>
      </c>
      <c r="C197" s="25">
        <f>ItensPedido!C197</f>
        <v/>
      </c>
      <c r="D197" s="25">
        <f>ItensPedido!D197</f>
        <v/>
      </c>
      <c r="E197" s="26">
        <f>ItensPedido!E197</f>
        <v/>
      </c>
      <c r="F197" s="25">
        <f>IFERROR(INDEX(Pedidos!$B$2:$B$1801,MATCH(B197,Pedidos!$A$2:$A$1801,0)),0)</f>
        <v/>
      </c>
      <c r="G197" s="25">
        <f>IF(F197=0,"",YEAR(F197))</f>
        <v/>
      </c>
      <c r="H197" s="25">
        <f>IF(F197=0,"",MONTH(F197))</f>
        <v/>
      </c>
      <c r="I197" s="25">
        <f>IFERROR(INDEX(Pedidos!$E$2:$E$1801,MATCH(B197,Pedidos!$A$2:$A$1801,0)),"")</f>
        <v/>
      </c>
      <c r="J197" s="25">
        <f>IFERROR(INDEX(Pedidos!$C$2:$C$1801,MATCH(B197,Pedidos!$A$2:$A$1801,0)),"")</f>
        <v/>
      </c>
      <c r="K197" s="25">
        <f>IFERROR(INDEX(Pedidos!$D$2:$D$1801,MATCH(B197,Pedidos!$A$2:$A$1801,0)),"")</f>
        <v/>
      </c>
      <c r="L197" s="25">
        <f>IFERROR(INDEX(Pedidos!$F$2:$F$1801,MATCH(B197,Pedidos!$A$2:$A$1801,0)),"")</f>
        <v/>
      </c>
      <c r="M197" s="26">
        <f>IFERROR(INDEX(Pedidos!$G$2:$G$1801,MATCH(B197,Pedidos!$A$2:$A$1801,0)),0)</f>
        <v/>
      </c>
      <c r="N197" s="25">
        <f>IFERROR(INDEX(Produtos!$B$2:$B$71,MATCH(C197,Produtos!$A$2:$A$71,0)),"")</f>
        <v/>
      </c>
      <c r="O197" s="25">
        <f>IFERROR(INDEX(Produtos!$C$2:$C$71,MATCH(C197,Produtos!$A$2:$A$71,0)),"")</f>
        <v/>
      </c>
      <c r="P197" s="25">
        <f>IFERROR(INDEX(Produtos!$D$2:$D$71,MATCH(C197,Produtos!$A$2:$A$71,0)),0)</f>
        <v/>
      </c>
      <c r="Q197" s="25">
        <f>IFERROR(INDEX(Produtos!$E$2:$E$71,MATCH(C197,Produtos!$A$2:$A$71,0)),0)</f>
        <v/>
      </c>
      <c r="R197" s="27">
        <f>D197*Q197</f>
        <v/>
      </c>
      <c r="S197" s="27">
        <f>R197*E197</f>
        <v/>
      </c>
      <c r="T197" s="27">
        <f>(R197-S197)*M197</f>
        <v/>
      </c>
      <c r="U197" s="27">
        <f>R197-S197-T197</f>
        <v/>
      </c>
      <c r="V197" s="27">
        <f>D197*P197</f>
        <v/>
      </c>
      <c r="W197" s="27">
        <f>U197-V197</f>
        <v/>
      </c>
      <c r="X197" s="28">
        <f>IFERROR(W197/U197,0)</f>
        <v/>
      </c>
    </row>
    <row r="198">
      <c r="A198" s="21">
        <f>ItensPedido!A198</f>
        <v/>
      </c>
      <c r="B198" s="21">
        <f>ItensPedido!B198</f>
        <v/>
      </c>
      <c r="C198" s="21">
        <f>ItensPedido!C198</f>
        <v/>
      </c>
      <c r="D198" s="21">
        <f>ItensPedido!D198</f>
        <v/>
      </c>
      <c r="E198" s="22">
        <f>ItensPedido!E198</f>
        <v/>
      </c>
      <c r="F198" s="21">
        <f>IFERROR(INDEX(Pedidos!$B$2:$B$1801,MATCH(B198,Pedidos!$A$2:$A$1801,0)),0)</f>
        <v/>
      </c>
      <c r="G198" s="21">
        <f>IF(F198=0,"",YEAR(F198))</f>
        <v/>
      </c>
      <c r="H198" s="21">
        <f>IF(F198=0,"",MONTH(F198))</f>
        <v/>
      </c>
      <c r="I198" s="21">
        <f>IFERROR(INDEX(Pedidos!$E$2:$E$1801,MATCH(B198,Pedidos!$A$2:$A$1801,0)),"")</f>
        <v/>
      </c>
      <c r="J198" s="21">
        <f>IFERROR(INDEX(Pedidos!$C$2:$C$1801,MATCH(B198,Pedidos!$A$2:$A$1801,0)),"")</f>
        <v/>
      </c>
      <c r="K198" s="21">
        <f>IFERROR(INDEX(Pedidos!$D$2:$D$1801,MATCH(B198,Pedidos!$A$2:$A$1801,0)),"")</f>
        <v/>
      </c>
      <c r="L198" s="21">
        <f>IFERROR(INDEX(Pedidos!$F$2:$F$1801,MATCH(B198,Pedidos!$A$2:$A$1801,0)),"")</f>
        <v/>
      </c>
      <c r="M198" s="22">
        <f>IFERROR(INDEX(Pedidos!$G$2:$G$1801,MATCH(B198,Pedidos!$A$2:$A$1801,0)),0)</f>
        <v/>
      </c>
      <c r="N198" s="21">
        <f>IFERROR(INDEX(Produtos!$B$2:$B$71,MATCH(C198,Produtos!$A$2:$A$71,0)),"")</f>
        <v/>
      </c>
      <c r="O198" s="21">
        <f>IFERROR(INDEX(Produtos!$C$2:$C$71,MATCH(C198,Produtos!$A$2:$A$71,0)),"")</f>
        <v/>
      </c>
      <c r="P198" s="21">
        <f>IFERROR(INDEX(Produtos!$D$2:$D$71,MATCH(C198,Produtos!$A$2:$A$71,0)),0)</f>
        <v/>
      </c>
      <c r="Q198" s="21">
        <f>IFERROR(INDEX(Produtos!$E$2:$E$71,MATCH(C198,Produtos!$A$2:$A$71,0)),0)</f>
        <v/>
      </c>
      <c r="R198" s="23">
        <f>D198*Q198</f>
        <v/>
      </c>
      <c r="S198" s="23">
        <f>R198*E198</f>
        <v/>
      </c>
      <c r="T198" s="23">
        <f>(R198-S198)*M198</f>
        <v/>
      </c>
      <c r="U198" s="23">
        <f>R198-S198-T198</f>
        <v/>
      </c>
      <c r="V198" s="23">
        <f>D198*P198</f>
        <v/>
      </c>
      <c r="W198" s="23">
        <f>U198-V198</f>
        <v/>
      </c>
      <c r="X198" s="24">
        <f>IFERROR(W198/U198,0)</f>
        <v/>
      </c>
    </row>
    <row r="199">
      <c r="A199" s="25">
        <f>ItensPedido!A199</f>
        <v/>
      </c>
      <c r="B199" s="25">
        <f>ItensPedido!B199</f>
        <v/>
      </c>
      <c r="C199" s="25">
        <f>ItensPedido!C199</f>
        <v/>
      </c>
      <c r="D199" s="25">
        <f>ItensPedido!D199</f>
        <v/>
      </c>
      <c r="E199" s="26">
        <f>ItensPedido!E199</f>
        <v/>
      </c>
      <c r="F199" s="25">
        <f>IFERROR(INDEX(Pedidos!$B$2:$B$1801,MATCH(B199,Pedidos!$A$2:$A$1801,0)),0)</f>
        <v/>
      </c>
      <c r="G199" s="25">
        <f>IF(F199=0,"",YEAR(F199))</f>
        <v/>
      </c>
      <c r="H199" s="25">
        <f>IF(F199=0,"",MONTH(F199))</f>
        <v/>
      </c>
      <c r="I199" s="25">
        <f>IFERROR(INDEX(Pedidos!$E$2:$E$1801,MATCH(B199,Pedidos!$A$2:$A$1801,0)),"")</f>
        <v/>
      </c>
      <c r="J199" s="25">
        <f>IFERROR(INDEX(Pedidos!$C$2:$C$1801,MATCH(B199,Pedidos!$A$2:$A$1801,0)),"")</f>
        <v/>
      </c>
      <c r="K199" s="25">
        <f>IFERROR(INDEX(Pedidos!$D$2:$D$1801,MATCH(B199,Pedidos!$A$2:$A$1801,0)),"")</f>
        <v/>
      </c>
      <c r="L199" s="25">
        <f>IFERROR(INDEX(Pedidos!$F$2:$F$1801,MATCH(B199,Pedidos!$A$2:$A$1801,0)),"")</f>
        <v/>
      </c>
      <c r="M199" s="26">
        <f>IFERROR(INDEX(Pedidos!$G$2:$G$1801,MATCH(B199,Pedidos!$A$2:$A$1801,0)),0)</f>
        <v/>
      </c>
      <c r="N199" s="25">
        <f>IFERROR(INDEX(Produtos!$B$2:$B$71,MATCH(C199,Produtos!$A$2:$A$71,0)),"")</f>
        <v/>
      </c>
      <c r="O199" s="25">
        <f>IFERROR(INDEX(Produtos!$C$2:$C$71,MATCH(C199,Produtos!$A$2:$A$71,0)),"")</f>
        <v/>
      </c>
      <c r="P199" s="25">
        <f>IFERROR(INDEX(Produtos!$D$2:$D$71,MATCH(C199,Produtos!$A$2:$A$71,0)),0)</f>
        <v/>
      </c>
      <c r="Q199" s="25">
        <f>IFERROR(INDEX(Produtos!$E$2:$E$71,MATCH(C199,Produtos!$A$2:$A$71,0)),0)</f>
        <v/>
      </c>
      <c r="R199" s="27">
        <f>D199*Q199</f>
        <v/>
      </c>
      <c r="S199" s="27">
        <f>R199*E199</f>
        <v/>
      </c>
      <c r="T199" s="27">
        <f>(R199-S199)*M199</f>
        <v/>
      </c>
      <c r="U199" s="27">
        <f>R199-S199-T199</f>
        <v/>
      </c>
      <c r="V199" s="27">
        <f>D199*P199</f>
        <v/>
      </c>
      <c r="W199" s="27">
        <f>U199-V199</f>
        <v/>
      </c>
      <c r="X199" s="28">
        <f>IFERROR(W199/U199,0)</f>
        <v/>
      </c>
    </row>
    <row r="200">
      <c r="A200" s="21">
        <f>ItensPedido!A200</f>
        <v/>
      </c>
      <c r="B200" s="21">
        <f>ItensPedido!B200</f>
        <v/>
      </c>
      <c r="C200" s="21">
        <f>ItensPedido!C200</f>
        <v/>
      </c>
      <c r="D200" s="21">
        <f>ItensPedido!D200</f>
        <v/>
      </c>
      <c r="E200" s="22">
        <f>ItensPedido!E200</f>
        <v/>
      </c>
      <c r="F200" s="21">
        <f>IFERROR(INDEX(Pedidos!$B$2:$B$1801,MATCH(B200,Pedidos!$A$2:$A$1801,0)),0)</f>
        <v/>
      </c>
      <c r="G200" s="21">
        <f>IF(F200=0,"",YEAR(F200))</f>
        <v/>
      </c>
      <c r="H200" s="21">
        <f>IF(F200=0,"",MONTH(F200))</f>
        <v/>
      </c>
      <c r="I200" s="21">
        <f>IFERROR(INDEX(Pedidos!$E$2:$E$1801,MATCH(B200,Pedidos!$A$2:$A$1801,0)),"")</f>
        <v/>
      </c>
      <c r="J200" s="21">
        <f>IFERROR(INDEX(Pedidos!$C$2:$C$1801,MATCH(B200,Pedidos!$A$2:$A$1801,0)),"")</f>
        <v/>
      </c>
      <c r="K200" s="21">
        <f>IFERROR(INDEX(Pedidos!$D$2:$D$1801,MATCH(B200,Pedidos!$A$2:$A$1801,0)),"")</f>
        <v/>
      </c>
      <c r="L200" s="21">
        <f>IFERROR(INDEX(Pedidos!$F$2:$F$1801,MATCH(B200,Pedidos!$A$2:$A$1801,0)),"")</f>
        <v/>
      </c>
      <c r="M200" s="22">
        <f>IFERROR(INDEX(Pedidos!$G$2:$G$1801,MATCH(B200,Pedidos!$A$2:$A$1801,0)),0)</f>
        <v/>
      </c>
      <c r="N200" s="21">
        <f>IFERROR(INDEX(Produtos!$B$2:$B$71,MATCH(C200,Produtos!$A$2:$A$71,0)),"")</f>
        <v/>
      </c>
      <c r="O200" s="21">
        <f>IFERROR(INDEX(Produtos!$C$2:$C$71,MATCH(C200,Produtos!$A$2:$A$71,0)),"")</f>
        <v/>
      </c>
      <c r="P200" s="21">
        <f>IFERROR(INDEX(Produtos!$D$2:$D$71,MATCH(C200,Produtos!$A$2:$A$71,0)),0)</f>
        <v/>
      </c>
      <c r="Q200" s="21">
        <f>IFERROR(INDEX(Produtos!$E$2:$E$71,MATCH(C200,Produtos!$A$2:$A$71,0)),0)</f>
        <v/>
      </c>
      <c r="R200" s="23">
        <f>D200*Q200</f>
        <v/>
      </c>
      <c r="S200" s="23">
        <f>R200*E200</f>
        <v/>
      </c>
      <c r="T200" s="23">
        <f>(R200-S200)*M200</f>
        <v/>
      </c>
      <c r="U200" s="23">
        <f>R200-S200-T200</f>
        <v/>
      </c>
      <c r="V200" s="23">
        <f>D200*P200</f>
        <v/>
      </c>
      <c r="W200" s="23">
        <f>U200-V200</f>
        <v/>
      </c>
      <c r="X200" s="24">
        <f>IFERROR(W200/U200,0)</f>
        <v/>
      </c>
    </row>
    <row r="201">
      <c r="A201" s="25">
        <f>ItensPedido!A201</f>
        <v/>
      </c>
      <c r="B201" s="25">
        <f>ItensPedido!B201</f>
        <v/>
      </c>
      <c r="C201" s="25">
        <f>ItensPedido!C201</f>
        <v/>
      </c>
      <c r="D201" s="25">
        <f>ItensPedido!D201</f>
        <v/>
      </c>
      <c r="E201" s="26">
        <f>ItensPedido!E201</f>
        <v/>
      </c>
      <c r="F201" s="25">
        <f>IFERROR(INDEX(Pedidos!$B$2:$B$1801,MATCH(B201,Pedidos!$A$2:$A$1801,0)),0)</f>
        <v/>
      </c>
      <c r="G201" s="25">
        <f>IF(F201=0,"",YEAR(F201))</f>
        <v/>
      </c>
      <c r="H201" s="25">
        <f>IF(F201=0,"",MONTH(F201))</f>
        <v/>
      </c>
      <c r="I201" s="25">
        <f>IFERROR(INDEX(Pedidos!$E$2:$E$1801,MATCH(B201,Pedidos!$A$2:$A$1801,0)),"")</f>
        <v/>
      </c>
      <c r="J201" s="25">
        <f>IFERROR(INDEX(Pedidos!$C$2:$C$1801,MATCH(B201,Pedidos!$A$2:$A$1801,0)),"")</f>
        <v/>
      </c>
      <c r="K201" s="25">
        <f>IFERROR(INDEX(Pedidos!$D$2:$D$1801,MATCH(B201,Pedidos!$A$2:$A$1801,0)),"")</f>
        <v/>
      </c>
      <c r="L201" s="25">
        <f>IFERROR(INDEX(Pedidos!$F$2:$F$1801,MATCH(B201,Pedidos!$A$2:$A$1801,0)),"")</f>
        <v/>
      </c>
      <c r="M201" s="26">
        <f>IFERROR(INDEX(Pedidos!$G$2:$G$1801,MATCH(B201,Pedidos!$A$2:$A$1801,0)),0)</f>
        <v/>
      </c>
      <c r="N201" s="25">
        <f>IFERROR(INDEX(Produtos!$B$2:$B$71,MATCH(C201,Produtos!$A$2:$A$71,0)),"")</f>
        <v/>
      </c>
      <c r="O201" s="25">
        <f>IFERROR(INDEX(Produtos!$C$2:$C$71,MATCH(C201,Produtos!$A$2:$A$71,0)),"")</f>
        <v/>
      </c>
      <c r="P201" s="25">
        <f>IFERROR(INDEX(Produtos!$D$2:$D$71,MATCH(C201,Produtos!$A$2:$A$71,0)),0)</f>
        <v/>
      </c>
      <c r="Q201" s="25">
        <f>IFERROR(INDEX(Produtos!$E$2:$E$71,MATCH(C201,Produtos!$A$2:$A$71,0)),0)</f>
        <v/>
      </c>
      <c r="R201" s="27">
        <f>D201*Q201</f>
        <v/>
      </c>
      <c r="S201" s="27">
        <f>R201*E201</f>
        <v/>
      </c>
      <c r="T201" s="27">
        <f>(R201-S201)*M201</f>
        <v/>
      </c>
      <c r="U201" s="27">
        <f>R201-S201-T201</f>
        <v/>
      </c>
      <c r="V201" s="27">
        <f>D201*P201</f>
        <v/>
      </c>
      <c r="W201" s="27">
        <f>U201-V201</f>
        <v/>
      </c>
      <c r="X201" s="28">
        <f>IFERROR(W201/U201,0)</f>
        <v/>
      </c>
    </row>
    <row r="202">
      <c r="A202" s="21">
        <f>ItensPedido!A202</f>
        <v/>
      </c>
      <c r="B202" s="21">
        <f>ItensPedido!B202</f>
        <v/>
      </c>
      <c r="C202" s="21">
        <f>ItensPedido!C202</f>
        <v/>
      </c>
      <c r="D202" s="21">
        <f>ItensPedido!D202</f>
        <v/>
      </c>
      <c r="E202" s="22">
        <f>ItensPedido!E202</f>
        <v/>
      </c>
      <c r="F202" s="21">
        <f>IFERROR(INDEX(Pedidos!$B$2:$B$1801,MATCH(B202,Pedidos!$A$2:$A$1801,0)),0)</f>
        <v/>
      </c>
      <c r="G202" s="21">
        <f>IF(F202=0,"",YEAR(F202))</f>
        <v/>
      </c>
      <c r="H202" s="21">
        <f>IF(F202=0,"",MONTH(F202))</f>
        <v/>
      </c>
      <c r="I202" s="21">
        <f>IFERROR(INDEX(Pedidos!$E$2:$E$1801,MATCH(B202,Pedidos!$A$2:$A$1801,0)),"")</f>
        <v/>
      </c>
      <c r="J202" s="21">
        <f>IFERROR(INDEX(Pedidos!$C$2:$C$1801,MATCH(B202,Pedidos!$A$2:$A$1801,0)),"")</f>
        <v/>
      </c>
      <c r="K202" s="21">
        <f>IFERROR(INDEX(Pedidos!$D$2:$D$1801,MATCH(B202,Pedidos!$A$2:$A$1801,0)),"")</f>
        <v/>
      </c>
      <c r="L202" s="21">
        <f>IFERROR(INDEX(Pedidos!$F$2:$F$1801,MATCH(B202,Pedidos!$A$2:$A$1801,0)),"")</f>
        <v/>
      </c>
      <c r="M202" s="22">
        <f>IFERROR(INDEX(Pedidos!$G$2:$G$1801,MATCH(B202,Pedidos!$A$2:$A$1801,0)),0)</f>
        <v/>
      </c>
      <c r="N202" s="21">
        <f>IFERROR(INDEX(Produtos!$B$2:$B$71,MATCH(C202,Produtos!$A$2:$A$71,0)),"")</f>
        <v/>
      </c>
      <c r="O202" s="21">
        <f>IFERROR(INDEX(Produtos!$C$2:$C$71,MATCH(C202,Produtos!$A$2:$A$71,0)),"")</f>
        <v/>
      </c>
      <c r="P202" s="21">
        <f>IFERROR(INDEX(Produtos!$D$2:$D$71,MATCH(C202,Produtos!$A$2:$A$71,0)),0)</f>
        <v/>
      </c>
      <c r="Q202" s="21">
        <f>IFERROR(INDEX(Produtos!$E$2:$E$71,MATCH(C202,Produtos!$A$2:$A$71,0)),0)</f>
        <v/>
      </c>
      <c r="R202" s="23">
        <f>D202*Q202</f>
        <v/>
      </c>
      <c r="S202" s="23">
        <f>R202*E202</f>
        <v/>
      </c>
      <c r="T202" s="23">
        <f>(R202-S202)*M202</f>
        <v/>
      </c>
      <c r="U202" s="23">
        <f>R202-S202-T202</f>
        <v/>
      </c>
      <c r="V202" s="23">
        <f>D202*P202</f>
        <v/>
      </c>
      <c r="W202" s="23">
        <f>U202-V202</f>
        <v/>
      </c>
      <c r="X202" s="24">
        <f>IFERROR(W202/U202,0)</f>
        <v/>
      </c>
    </row>
    <row r="203">
      <c r="A203" s="25">
        <f>ItensPedido!A203</f>
        <v/>
      </c>
      <c r="B203" s="25">
        <f>ItensPedido!B203</f>
        <v/>
      </c>
      <c r="C203" s="25">
        <f>ItensPedido!C203</f>
        <v/>
      </c>
      <c r="D203" s="25">
        <f>ItensPedido!D203</f>
        <v/>
      </c>
      <c r="E203" s="26">
        <f>ItensPedido!E203</f>
        <v/>
      </c>
      <c r="F203" s="25">
        <f>IFERROR(INDEX(Pedidos!$B$2:$B$1801,MATCH(B203,Pedidos!$A$2:$A$1801,0)),0)</f>
        <v/>
      </c>
      <c r="G203" s="25">
        <f>IF(F203=0,"",YEAR(F203))</f>
        <v/>
      </c>
      <c r="H203" s="25">
        <f>IF(F203=0,"",MONTH(F203))</f>
        <v/>
      </c>
      <c r="I203" s="25">
        <f>IFERROR(INDEX(Pedidos!$E$2:$E$1801,MATCH(B203,Pedidos!$A$2:$A$1801,0)),"")</f>
        <v/>
      </c>
      <c r="J203" s="25">
        <f>IFERROR(INDEX(Pedidos!$C$2:$C$1801,MATCH(B203,Pedidos!$A$2:$A$1801,0)),"")</f>
        <v/>
      </c>
      <c r="K203" s="25">
        <f>IFERROR(INDEX(Pedidos!$D$2:$D$1801,MATCH(B203,Pedidos!$A$2:$A$1801,0)),"")</f>
        <v/>
      </c>
      <c r="L203" s="25">
        <f>IFERROR(INDEX(Pedidos!$F$2:$F$1801,MATCH(B203,Pedidos!$A$2:$A$1801,0)),"")</f>
        <v/>
      </c>
      <c r="M203" s="26">
        <f>IFERROR(INDEX(Pedidos!$G$2:$G$1801,MATCH(B203,Pedidos!$A$2:$A$1801,0)),0)</f>
        <v/>
      </c>
      <c r="N203" s="25">
        <f>IFERROR(INDEX(Produtos!$B$2:$B$71,MATCH(C203,Produtos!$A$2:$A$71,0)),"")</f>
        <v/>
      </c>
      <c r="O203" s="25">
        <f>IFERROR(INDEX(Produtos!$C$2:$C$71,MATCH(C203,Produtos!$A$2:$A$71,0)),"")</f>
        <v/>
      </c>
      <c r="P203" s="25">
        <f>IFERROR(INDEX(Produtos!$D$2:$D$71,MATCH(C203,Produtos!$A$2:$A$71,0)),0)</f>
        <v/>
      </c>
      <c r="Q203" s="25">
        <f>IFERROR(INDEX(Produtos!$E$2:$E$71,MATCH(C203,Produtos!$A$2:$A$71,0)),0)</f>
        <v/>
      </c>
      <c r="R203" s="27">
        <f>D203*Q203</f>
        <v/>
      </c>
      <c r="S203" s="27">
        <f>R203*E203</f>
        <v/>
      </c>
      <c r="T203" s="27">
        <f>(R203-S203)*M203</f>
        <v/>
      </c>
      <c r="U203" s="27">
        <f>R203-S203-T203</f>
        <v/>
      </c>
      <c r="V203" s="27">
        <f>D203*P203</f>
        <v/>
      </c>
      <c r="W203" s="27">
        <f>U203-V203</f>
        <v/>
      </c>
      <c r="X203" s="28">
        <f>IFERROR(W203/U203,0)</f>
        <v/>
      </c>
    </row>
    <row r="204">
      <c r="A204" s="21">
        <f>ItensPedido!A204</f>
        <v/>
      </c>
      <c r="B204" s="21">
        <f>ItensPedido!B204</f>
        <v/>
      </c>
      <c r="C204" s="21">
        <f>ItensPedido!C204</f>
        <v/>
      </c>
      <c r="D204" s="21">
        <f>ItensPedido!D204</f>
        <v/>
      </c>
      <c r="E204" s="22">
        <f>ItensPedido!E204</f>
        <v/>
      </c>
      <c r="F204" s="21">
        <f>IFERROR(INDEX(Pedidos!$B$2:$B$1801,MATCH(B204,Pedidos!$A$2:$A$1801,0)),0)</f>
        <v/>
      </c>
      <c r="G204" s="21">
        <f>IF(F204=0,"",YEAR(F204))</f>
        <v/>
      </c>
      <c r="H204" s="21">
        <f>IF(F204=0,"",MONTH(F204))</f>
        <v/>
      </c>
      <c r="I204" s="21">
        <f>IFERROR(INDEX(Pedidos!$E$2:$E$1801,MATCH(B204,Pedidos!$A$2:$A$1801,0)),"")</f>
        <v/>
      </c>
      <c r="J204" s="21">
        <f>IFERROR(INDEX(Pedidos!$C$2:$C$1801,MATCH(B204,Pedidos!$A$2:$A$1801,0)),"")</f>
        <v/>
      </c>
      <c r="K204" s="21">
        <f>IFERROR(INDEX(Pedidos!$D$2:$D$1801,MATCH(B204,Pedidos!$A$2:$A$1801,0)),"")</f>
        <v/>
      </c>
      <c r="L204" s="21">
        <f>IFERROR(INDEX(Pedidos!$F$2:$F$1801,MATCH(B204,Pedidos!$A$2:$A$1801,0)),"")</f>
        <v/>
      </c>
      <c r="M204" s="22">
        <f>IFERROR(INDEX(Pedidos!$G$2:$G$1801,MATCH(B204,Pedidos!$A$2:$A$1801,0)),0)</f>
        <v/>
      </c>
      <c r="N204" s="21">
        <f>IFERROR(INDEX(Produtos!$B$2:$B$71,MATCH(C204,Produtos!$A$2:$A$71,0)),"")</f>
        <v/>
      </c>
      <c r="O204" s="21">
        <f>IFERROR(INDEX(Produtos!$C$2:$C$71,MATCH(C204,Produtos!$A$2:$A$71,0)),"")</f>
        <v/>
      </c>
      <c r="P204" s="21">
        <f>IFERROR(INDEX(Produtos!$D$2:$D$71,MATCH(C204,Produtos!$A$2:$A$71,0)),0)</f>
        <v/>
      </c>
      <c r="Q204" s="21">
        <f>IFERROR(INDEX(Produtos!$E$2:$E$71,MATCH(C204,Produtos!$A$2:$A$71,0)),0)</f>
        <v/>
      </c>
      <c r="R204" s="23">
        <f>D204*Q204</f>
        <v/>
      </c>
      <c r="S204" s="23">
        <f>R204*E204</f>
        <v/>
      </c>
      <c r="T204" s="23">
        <f>(R204-S204)*M204</f>
        <v/>
      </c>
      <c r="U204" s="23">
        <f>R204-S204-T204</f>
        <v/>
      </c>
      <c r="V204" s="23">
        <f>D204*P204</f>
        <v/>
      </c>
      <c r="W204" s="23">
        <f>U204-V204</f>
        <v/>
      </c>
      <c r="X204" s="24">
        <f>IFERROR(W204/U204,0)</f>
        <v/>
      </c>
    </row>
    <row r="205">
      <c r="A205" s="25">
        <f>ItensPedido!A205</f>
        <v/>
      </c>
      <c r="B205" s="25">
        <f>ItensPedido!B205</f>
        <v/>
      </c>
      <c r="C205" s="25">
        <f>ItensPedido!C205</f>
        <v/>
      </c>
      <c r="D205" s="25">
        <f>ItensPedido!D205</f>
        <v/>
      </c>
      <c r="E205" s="26">
        <f>ItensPedido!E205</f>
        <v/>
      </c>
      <c r="F205" s="25">
        <f>IFERROR(INDEX(Pedidos!$B$2:$B$1801,MATCH(B205,Pedidos!$A$2:$A$1801,0)),0)</f>
        <v/>
      </c>
      <c r="G205" s="25">
        <f>IF(F205=0,"",YEAR(F205))</f>
        <v/>
      </c>
      <c r="H205" s="25">
        <f>IF(F205=0,"",MONTH(F205))</f>
        <v/>
      </c>
      <c r="I205" s="25">
        <f>IFERROR(INDEX(Pedidos!$E$2:$E$1801,MATCH(B205,Pedidos!$A$2:$A$1801,0)),"")</f>
        <v/>
      </c>
      <c r="J205" s="25">
        <f>IFERROR(INDEX(Pedidos!$C$2:$C$1801,MATCH(B205,Pedidos!$A$2:$A$1801,0)),"")</f>
        <v/>
      </c>
      <c r="K205" s="25">
        <f>IFERROR(INDEX(Pedidos!$D$2:$D$1801,MATCH(B205,Pedidos!$A$2:$A$1801,0)),"")</f>
        <v/>
      </c>
      <c r="L205" s="25">
        <f>IFERROR(INDEX(Pedidos!$F$2:$F$1801,MATCH(B205,Pedidos!$A$2:$A$1801,0)),"")</f>
        <v/>
      </c>
      <c r="M205" s="26">
        <f>IFERROR(INDEX(Pedidos!$G$2:$G$1801,MATCH(B205,Pedidos!$A$2:$A$1801,0)),0)</f>
        <v/>
      </c>
      <c r="N205" s="25">
        <f>IFERROR(INDEX(Produtos!$B$2:$B$71,MATCH(C205,Produtos!$A$2:$A$71,0)),"")</f>
        <v/>
      </c>
      <c r="O205" s="25">
        <f>IFERROR(INDEX(Produtos!$C$2:$C$71,MATCH(C205,Produtos!$A$2:$A$71,0)),"")</f>
        <v/>
      </c>
      <c r="P205" s="25">
        <f>IFERROR(INDEX(Produtos!$D$2:$D$71,MATCH(C205,Produtos!$A$2:$A$71,0)),0)</f>
        <v/>
      </c>
      <c r="Q205" s="25">
        <f>IFERROR(INDEX(Produtos!$E$2:$E$71,MATCH(C205,Produtos!$A$2:$A$71,0)),0)</f>
        <v/>
      </c>
      <c r="R205" s="27">
        <f>D205*Q205</f>
        <v/>
      </c>
      <c r="S205" s="27">
        <f>R205*E205</f>
        <v/>
      </c>
      <c r="T205" s="27">
        <f>(R205-S205)*M205</f>
        <v/>
      </c>
      <c r="U205" s="27">
        <f>R205-S205-T205</f>
        <v/>
      </c>
      <c r="V205" s="27">
        <f>D205*P205</f>
        <v/>
      </c>
      <c r="W205" s="27">
        <f>U205-V205</f>
        <v/>
      </c>
      <c r="X205" s="28">
        <f>IFERROR(W205/U205,0)</f>
        <v/>
      </c>
    </row>
    <row r="206">
      <c r="A206" s="21">
        <f>ItensPedido!A206</f>
        <v/>
      </c>
      <c r="B206" s="21">
        <f>ItensPedido!B206</f>
        <v/>
      </c>
      <c r="C206" s="21">
        <f>ItensPedido!C206</f>
        <v/>
      </c>
      <c r="D206" s="21">
        <f>ItensPedido!D206</f>
        <v/>
      </c>
      <c r="E206" s="22">
        <f>ItensPedido!E206</f>
        <v/>
      </c>
      <c r="F206" s="21">
        <f>IFERROR(INDEX(Pedidos!$B$2:$B$1801,MATCH(B206,Pedidos!$A$2:$A$1801,0)),0)</f>
        <v/>
      </c>
      <c r="G206" s="21">
        <f>IF(F206=0,"",YEAR(F206))</f>
        <v/>
      </c>
      <c r="H206" s="21">
        <f>IF(F206=0,"",MONTH(F206))</f>
        <v/>
      </c>
      <c r="I206" s="21">
        <f>IFERROR(INDEX(Pedidos!$E$2:$E$1801,MATCH(B206,Pedidos!$A$2:$A$1801,0)),"")</f>
        <v/>
      </c>
      <c r="J206" s="21">
        <f>IFERROR(INDEX(Pedidos!$C$2:$C$1801,MATCH(B206,Pedidos!$A$2:$A$1801,0)),"")</f>
        <v/>
      </c>
      <c r="K206" s="21">
        <f>IFERROR(INDEX(Pedidos!$D$2:$D$1801,MATCH(B206,Pedidos!$A$2:$A$1801,0)),"")</f>
        <v/>
      </c>
      <c r="L206" s="21">
        <f>IFERROR(INDEX(Pedidos!$F$2:$F$1801,MATCH(B206,Pedidos!$A$2:$A$1801,0)),"")</f>
        <v/>
      </c>
      <c r="M206" s="22">
        <f>IFERROR(INDEX(Pedidos!$G$2:$G$1801,MATCH(B206,Pedidos!$A$2:$A$1801,0)),0)</f>
        <v/>
      </c>
      <c r="N206" s="21">
        <f>IFERROR(INDEX(Produtos!$B$2:$B$71,MATCH(C206,Produtos!$A$2:$A$71,0)),"")</f>
        <v/>
      </c>
      <c r="O206" s="21">
        <f>IFERROR(INDEX(Produtos!$C$2:$C$71,MATCH(C206,Produtos!$A$2:$A$71,0)),"")</f>
        <v/>
      </c>
      <c r="P206" s="21">
        <f>IFERROR(INDEX(Produtos!$D$2:$D$71,MATCH(C206,Produtos!$A$2:$A$71,0)),0)</f>
        <v/>
      </c>
      <c r="Q206" s="21">
        <f>IFERROR(INDEX(Produtos!$E$2:$E$71,MATCH(C206,Produtos!$A$2:$A$71,0)),0)</f>
        <v/>
      </c>
      <c r="R206" s="23">
        <f>D206*Q206</f>
        <v/>
      </c>
      <c r="S206" s="23">
        <f>R206*E206</f>
        <v/>
      </c>
      <c r="T206" s="23">
        <f>(R206-S206)*M206</f>
        <v/>
      </c>
      <c r="U206" s="23">
        <f>R206-S206-T206</f>
        <v/>
      </c>
      <c r="V206" s="23">
        <f>D206*P206</f>
        <v/>
      </c>
      <c r="W206" s="23">
        <f>U206-V206</f>
        <v/>
      </c>
      <c r="X206" s="24">
        <f>IFERROR(W206/U206,0)</f>
        <v/>
      </c>
    </row>
    <row r="207">
      <c r="A207" s="25">
        <f>ItensPedido!A207</f>
        <v/>
      </c>
      <c r="B207" s="25">
        <f>ItensPedido!B207</f>
        <v/>
      </c>
      <c r="C207" s="25">
        <f>ItensPedido!C207</f>
        <v/>
      </c>
      <c r="D207" s="25">
        <f>ItensPedido!D207</f>
        <v/>
      </c>
      <c r="E207" s="26">
        <f>ItensPedido!E207</f>
        <v/>
      </c>
      <c r="F207" s="25">
        <f>IFERROR(INDEX(Pedidos!$B$2:$B$1801,MATCH(B207,Pedidos!$A$2:$A$1801,0)),0)</f>
        <v/>
      </c>
      <c r="G207" s="25">
        <f>IF(F207=0,"",YEAR(F207))</f>
        <v/>
      </c>
      <c r="H207" s="25">
        <f>IF(F207=0,"",MONTH(F207))</f>
        <v/>
      </c>
      <c r="I207" s="25">
        <f>IFERROR(INDEX(Pedidos!$E$2:$E$1801,MATCH(B207,Pedidos!$A$2:$A$1801,0)),"")</f>
        <v/>
      </c>
      <c r="J207" s="25">
        <f>IFERROR(INDEX(Pedidos!$C$2:$C$1801,MATCH(B207,Pedidos!$A$2:$A$1801,0)),"")</f>
        <v/>
      </c>
      <c r="K207" s="25">
        <f>IFERROR(INDEX(Pedidos!$D$2:$D$1801,MATCH(B207,Pedidos!$A$2:$A$1801,0)),"")</f>
        <v/>
      </c>
      <c r="L207" s="25">
        <f>IFERROR(INDEX(Pedidos!$F$2:$F$1801,MATCH(B207,Pedidos!$A$2:$A$1801,0)),"")</f>
        <v/>
      </c>
      <c r="M207" s="26">
        <f>IFERROR(INDEX(Pedidos!$G$2:$G$1801,MATCH(B207,Pedidos!$A$2:$A$1801,0)),0)</f>
        <v/>
      </c>
      <c r="N207" s="25">
        <f>IFERROR(INDEX(Produtos!$B$2:$B$71,MATCH(C207,Produtos!$A$2:$A$71,0)),"")</f>
        <v/>
      </c>
      <c r="O207" s="25">
        <f>IFERROR(INDEX(Produtos!$C$2:$C$71,MATCH(C207,Produtos!$A$2:$A$71,0)),"")</f>
        <v/>
      </c>
      <c r="P207" s="25">
        <f>IFERROR(INDEX(Produtos!$D$2:$D$71,MATCH(C207,Produtos!$A$2:$A$71,0)),0)</f>
        <v/>
      </c>
      <c r="Q207" s="25">
        <f>IFERROR(INDEX(Produtos!$E$2:$E$71,MATCH(C207,Produtos!$A$2:$A$71,0)),0)</f>
        <v/>
      </c>
      <c r="R207" s="27">
        <f>D207*Q207</f>
        <v/>
      </c>
      <c r="S207" s="27">
        <f>R207*E207</f>
        <v/>
      </c>
      <c r="T207" s="27">
        <f>(R207-S207)*M207</f>
        <v/>
      </c>
      <c r="U207" s="27">
        <f>R207-S207-T207</f>
        <v/>
      </c>
      <c r="V207" s="27">
        <f>D207*P207</f>
        <v/>
      </c>
      <c r="W207" s="27">
        <f>U207-V207</f>
        <v/>
      </c>
      <c r="X207" s="28">
        <f>IFERROR(W207/U207,0)</f>
        <v/>
      </c>
    </row>
    <row r="208">
      <c r="A208" s="21">
        <f>ItensPedido!A208</f>
        <v/>
      </c>
      <c r="B208" s="21">
        <f>ItensPedido!B208</f>
        <v/>
      </c>
      <c r="C208" s="21">
        <f>ItensPedido!C208</f>
        <v/>
      </c>
      <c r="D208" s="21">
        <f>ItensPedido!D208</f>
        <v/>
      </c>
      <c r="E208" s="22">
        <f>ItensPedido!E208</f>
        <v/>
      </c>
      <c r="F208" s="21">
        <f>IFERROR(INDEX(Pedidos!$B$2:$B$1801,MATCH(B208,Pedidos!$A$2:$A$1801,0)),0)</f>
        <v/>
      </c>
      <c r="G208" s="21">
        <f>IF(F208=0,"",YEAR(F208))</f>
        <v/>
      </c>
      <c r="H208" s="21">
        <f>IF(F208=0,"",MONTH(F208))</f>
        <v/>
      </c>
      <c r="I208" s="21">
        <f>IFERROR(INDEX(Pedidos!$E$2:$E$1801,MATCH(B208,Pedidos!$A$2:$A$1801,0)),"")</f>
        <v/>
      </c>
      <c r="J208" s="21">
        <f>IFERROR(INDEX(Pedidos!$C$2:$C$1801,MATCH(B208,Pedidos!$A$2:$A$1801,0)),"")</f>
        <v/>
      </c>
      <c r="K208" s="21">
        <f>IFERROR(INDEX(Pedidos!$D$2:$D$1801,MATCH(B208,Pedidos!$A$2:$A$1801,0)),"")</f>
        <v/>
      </c>
      <c r="L208" s="21">
        <f>IFERROR(INDEX(Pedidos!$F$2:$F$1801,MATCH(B208,Pedidos!$A$2:$A$1801,0)),"")</f>
        <v/>
      </c>
      <c r="M208" s="22">
        <f>IFERROR(INDEX(Pedidos!$G$2:$G$1801,MATCH(B208,Pedidos!$A$2:$A$1801,0)),0)</f>
        <v/>
      </c>
      <c r="N208" s="21">
        <f>IFERROR(INDEX(Produtos!$B$2:$B$71,MATCH(C208,Produtos!$A$2:$A$71,0)),"")</f>
        <v/>
      </c>
      <c r="O208" s="21">
        <f>IFERROR(INDEX(Produtos!$C$2:$C$71,MATCH(C208,Produtos!$A$2:$A$71,0)),"")</f>
        <v/>
      </c>
      <c r="P208" s="21">
        <f>IFERROR(INDEX(Produtos!$D$2:$D$71,MATCH(C208,Produtos!$A$2:$A$71,0)),0)</f>
        <v/>
      </c>
      <c r="Q208" s="21">
        <f>IFERROR(INDEX(Produtos!$E$2:$E$71,MATCH(C208,Produtos!$A$2:$A$71,0)),0)</f>
        <v/>
      </c>
      <c r="R208" s="23">
        <f>D208*Q208</f>
        <v/>
      </c>
      <c r="S208" s="23">
        <f>R208*E208</f>
        <v/>
      </c>
      <c r="T208" s="23">
        <f>(R208-S208)*M208</f>
        <v/>
      </c>
      <c r="U208" s="23">
        <f>R208-S208-T208</f>
        <v/>
      </c>
      <c r="V208" s="23">
        <f>D208*P208</f>
        <v/>
      </c>
      <c r="W208" s="23">
        <f>U208-V208</f>
        <v/>
      </c>
      <c r="X208" s="24">
        <f>IFERROR(W208/U208,0)</f>
        <v/>
      </c>
    </row>
    <row r="209">
      <c r="A209" s="25">
        <f>ItensPedido!A209</f>
        <v/>
      </c>
      <c r="B209" s="25">
        <f>ItensPedido!B209</f>
        <v/>
      </c>
      <c r="C209" s="25">
        <f>ItensPedido!C209</f>
        <v/>
      </c>
      <c r="D209" s="25">
        <f>ItensPedido!D209</f>
        <v/>
      </c>
      <c r="E209" s="26">
        <f>ItensPedido!E209</f>
        <v/>
      </c>
      <c r="F209" s="25">
        <f>IFERROR(INDEX(Pedidos!$B$2:$B$1801,MATCH(B209,Pedidos!$A$2:$A$1801,0)),0)</f>
        <v/>
      </c>
      <c r="G209" s="25">
        <f>IF(F209=0,"",YEAR(F209))</f>
        <v/>
      </c>
      <c r="H209" s="25">
        <f>IF(F209=0,"",MONTH(F209))</f>
        <v/>
      </c>
      <c r="I209" s="25">
        <f>IFERROR(INDEX(Pedidos!$E$2:$E$1801,MATCH(B209,Pedidos!$A$2:$A$1801,0)),"")</f>
        <v/>
      </c>
      <c r="J209" s="25">
        <f>IFERROR(INDEX(Pedidos!$C$2:$C$1801,MATCH(B209,Pedidos!$A$2:$A$1801,0)),"")</f>
        <v/>
      </c>
      <c r="K209" s="25">
        <f>IFERROR(INDEX(Pedidos!$D$2:$D$1801,MATCH(B209,Pedidos!$A$2:$A$1801,0)),"")</f>
        <v/>
      </c>
      <c r="L209" s="25">
        <f>IFERROR(INDEX(Pedidos!$F$2:$F$1801,MATCH(B209,Pedidos!$A$2:$A$1801,0)),"")</f>
        <v/>
      </c>
      <c r="M209" s="26">
        <f>IFERROR(INDEX(Pedidos!$G$2:$G$1801,MATCH(B209,Pedidos!$A$2:$A$1801,0)),0)</f>
        <v/>
      </c>
      <c r="N209" s="25">
        <f>IFERROR(INDEX(Produtos!$B$2:$B$71,MATCH(C209,Produtos!$A$2:$A$71,0)),"")</f>
        <v/>
      </c>
      <c r="O209" s="25">
        <f>IFERROR(INDEX(Produtos!$C$2:$C$71,MATCH(C209,Produtos!$A$2:$A$71,0)),"")</f>
        <v/>
      </c>
      <c r="P209" s="25">
        <f>IFERROR(INDEX(Produtos!$D$2:$D$71,MATCH(C209,Produtos!$A$2:$A$71,0)),0)</f>
        <v/>
      </c>
      <c r="Q209" s="25">
        <f>IFERROR(INDEX(Produtos!$E$2:$E$71,MATCH(C209,Produtos!$A$2:$A$71,0)),0)</f>
        <v/>
      </c>
      <c r="R209" s="27">
        <f>D209*Q209</f>
        <v/>
      </c>
      <c r="S209" s="27">
        <f>R209*E209</f>
        <v/>
      </c>
      <c r="T209" s="27">
        <f>(R209-S209)*M209</f>
        <v/>
      </c>
      <c r="U209" s="27">
        <f>R209-S209-T209</f>
        <v/>
      </c>
      <c r="V209" s="27">
        <f>D209*P209</f>
        <v/>
      </c>
      <c r="W209" s="27">
        <f>U209-V209</f>
        <v/>
      </c>
      <c r="X209" s="28">
        <f>IFERROR(W209/U209,0)</f>
        <v/>
      </c>
    </row>
    <row r="210">
      <c r="A210" s="21">
        <f>ItensPedido!A210</f>
        <v/>
      </c>
      <c r="B210" s="21">
        <f>ItensPedido!B210</f>
        <v/>
      </c>
      <c r="C210" s="21">
        <f>ItensPedido!C210</f>
        <v/>
      </c>
      <c r="D210" s="21">
        <f>ItensPedido!D210</f>
        <v/>
      </c>
      <c r="E210" s="22">
        <f>ItensPedido!E210</f>
        <v/>
      </c>
      <c r="F210" s="21">
        <f>IFERROR(INDEX(Pedidos!$B$2:$B$1801,MATCH(B210,Pedidos!$A$2:$A$1801,0)),0)</f>
        <v/>
      </c>
      <c r="G210" s="21">
        <f>IF(F210=0,"",YEAR(F210))</f>
        <v/>
      </c>
      <c r="H210" s="21">
        <f>IF(F210=0,"",MONTH(F210))</f>
        <v/>
      </c>
      <c r="I210" s="21">
        <f>IFERROR(INDEX(Pedidos!$E$2:$E$1801,MATCH(B210,Pedidos!$A$2:$A$1801,0)),"")</f>
        <v/>
      </c>
      <c r="J210" s="21">
        <f>IFERROR(INDEX(Pedidos!$C$2:$C$1801,MATCH(B210,Pedidos!$A$2:$A$1801,0)),"")</f>
        <v/>
      </c>
      <c r="K210" s="21">
        <f>IFERROR(INDEX(Pedidos!$D$2:$D$1801,MATCH(B210,Pedidos!$A$2:$A$1801,0)),"")</f>
        <v/>
      </c>
      <c r="L210" s="21">
        <f>IFERROR(INDEX(Pedidos!$F$2:$F$1801,MATCH(B210,Pedidos!$A$2:$A$1801,0)),"")</f>
        <v/>
      </c>
      <c r="M210" s="22">
        <f>IFERROR(INDEX(Pedidos!$G$2:$G$1801,MATCH(B210,Pedidos!$A$2:$A$1801,0)),0)</f>
        <v/>
      </c>
      <c r="N210" s="21">
        <f>IFERROR(INDEX(Produtos!$B$2:$B$71,MATCH(C210,Produtos!$A$2:$A$71,0)),"")</f>
        <v/>
      </c>
      <c r="O210" s="21">
        <f>IFERROR(INDEX(Produtos!$C$2:$C$71,MATCH(C210,Produtos!$A$2:$A$71,0)),"")</f>
        <v/>
      </c>
      <c r="P210" s="21">
        <f>IFERROR(INDEX(Produtos!$D$2:$D$71,MATCH(C210,Produtos!$A$2:$A$71,0)),0)</f>
        <v/>
      </c>
      <c r="Q210" s="21">
        <f>IFERROR(INDEX(Produtos!$E$2:$E$71,MATCH(C210,Produtos!$A$2:$A$71,0)),0)</f>
        <v/>
      </c>
      <c r="R210" s="23">
        <f>D210*Q210</f>
        <v/>
      </c>
      <c r="S210" s="23">
        <f>R210*E210</f>
        <v/>
      </c>
      <c r="T210" s="23">
        <f>(R210-S210)*M210</f>
        <v/>
      </c>
      <c r="U210" s="23">
        <f>R210-S210-T210</f>
        <v/>
      </c>
      <c r="V210" s="23">
        <f>D210*P210</f>
        <v/>
      </c>
      <c r="W210" s="23">
        <f>U210-V210</f>
        <v/>
      </c>
      <c r="X210" s="24">
        <f>IFERROR(W210/U210,0)</f>
        <v/>
      </c>
    </row>
    <row r="211">
      <c r="A211" s="25">
        <f>ItensPedido!A211</f>
        <v/>
      </c>
      <c r="B211" s="25">
        <f>ItensPedido!B211</f>
        <v/>
      </c>
      <c r="C211" s="25">
        <f>ItensPedido!C211</f>
        <v/>
      </c>
      <c r="D211" s="25">
        <f>ItensPedido!D211</f>
        <v/>
      </c>
      <c r="E211" s="26">
        <f>ItensPedido!E211</f>
        <v/>
      </c>
      <c r="F211" s="25">
        <f>IFERROR(INDEX(Pedidos!$B$2:$B$1801,MATCH(B211,Pedidos!$A$2:$A$1801,0)),0)</f>
        <v/>
      </c>
      <c r="G211" s="25">
        <f>IF(F211=0,"",YEAR(F211))</f>
        <v/>
      </c>
      <c r="H211" s="25">
        <f>IF(F211=0,"",MONTH(F211))</f>
        <v/>
      </c>
      <c r="I211" s="25">
        <f>IFERROR(INDEX(Pedidos!$E$2:$E$1801,MATCH(B211,Pedidos!$A$2:$A$1801,0)),"")</f>
        <v/>
      </c>
      <c r="J211" s="25">
        <f>IFERROR(INDEX(Pedidos!$C$2:$C$1801,MATCH(B211,Pedidos!$A$2:$A$1801,0)),"")</f>
        <v/>
      </c>
      <c r="K211" s="25">
        <f>IFERROR(INDEX(Pedidos!$D$2:$D$1801,MATCH(B211,Pedidos!$A$2:$A$1801,0)),"")</f>
        <v/>
      </c>
      <c r="L211" s="25">
        <f>IFERROR(INDEX(Pedidos!$F$2:$F$1801,MATCH(B211,Pedidos!$A$2:$A$1801,0)),"")</f>
        <v/>
      </c>
      <c r="M211" s="26">
        <f>IFERROR(INDEX(Pedidos!$G$2:$G$1801,MATCH(B211,Pedidos!$A$2:$A$1801,0)),0)</f>
        <v/>
      </c>
      <c r="N211" s="25">
        <f>IFERROR(INDEX(Produtos!$B$2:$B$71,MATCH(C211,Produtos!$A$2:$A$71,0)),"")</f>
        <v/>
      </c>
      <c r="O211" s="25">
        <f>IFERROR(INDEX(Produtos!$C$2:$C$71,MATCH(C211,Produtos!$A$2:$A$71,0)),"")</f>
        <v/>
      </c>
      <c r="P211" s="25">
        <f>IFERROR(INDEX(Produtos!$D$2:$D$71,MATCH(C211,Produtos!$A$2:$A$71,0)),0)</f>
        <v/>
      </c>
      <c r="Q211" s="25">
        <f>IFERROR(INDEX(Produtos!$E$2:$E$71,MATCH(C211,Produtos!$A$2:$A$71,0)),0)</f>
        <v/>
      </c>
      <c r="R211" s="27">
        <f>D211*Q211</f>
        <v/>
      </c>
      <c r="S211" s="27">
        <f>R211*E211</f>
        <v/>
      </c>
      <c r="T211" s="27">
        <f>(R211-S211)*M211</f>
        <v/>
      </c>
      <c r="U211" s="27">
        <f>R211-S211-T211</f>
        <v/>
      </c>
      <c r="V211" s="27">
        <f>D211*P211</f>
        <v/>
      </c>
      <c r="W211" s="27">
        <f>U211-V211</f>
        <v/>
      </c>
      <c r="X211" s="28">
        <f>IFERROR(W211/U211,0)</f>
        <v/>
      </c>
    </row>
    <row r="212">
      <c r="A212" s="21">
        <f>ItensPedido!A212</f>
        <v/>
      </c>
      <c r="B212" s="21">
        <f>ItensPedido!B212</f>
        <v/>
      </c>
      <c r="C212" s="21">
        <f>ItensPedido!C212</f>
        <v/>
      </c>
      <c r="D212" s="21">
        <f>ItensPedido!D212</f>
        <v/>
      </c>
      <c r="E212" s="22">
        <f>ItensPedido!E212</f>
        <v/>
      </c>
      <c r="F212" s="21">
        <f>IFERROR(INDEX(Pedidos!$B$2:$B$1801,MATCH(B212,Pedidos!$A$2:$A$1801,0)),0)</f>
        <v/>
      </c>
      <c r="G212" s="21">
        <f>IF(F212=0,"",YEAR(F212))</f>
        <v/>
      </c>
      <c r="H212" s="21">
        <f>IF(F212=0,"",MONTH(F212))</f>
        <v/>
      </c>
      <c r="I212" s="21">
        <f>IFERROR(INDEX(Pedidos!$E$2:$E$1801,MATCH(B212,Pedidos!$A$2:$A$1801,0)),"")</f>
        <v/>
      </c>
      <c r="J212" s="21">
        <f>IFERROR(INDEX(Pedidos!$C$2:$C$1801,MATCH(B212,Pedidos!$A$2:$A$1801,0)),"")</f>
        <v/>
      </c>
      <c r="K212" s="21">
        <f>IFERROR(INDEX(Pedidos!$D$2:$D$1801,MATCH(B212,Pedidos!$A$2:$A$1801,0)),"")</f>
        <v/>
      </c>
      <c r="L212" s="21">
        <f>IFERROR(INDEX(Pedidos!$F$2:$F$1801,MATCH(B212,Pedidos!$A$2:$A$1801,0)),"")</f>
        <v/>
      </c>
      <c r="M212" s="22">
        <f>IFERROR(INDEX(Pedidos!$G$2:$G$1801,MATCH(B212,Pedidos!$A$2:$A$1801,0)),0)</f>
        <v/>
      </c>
      <c r="N212" s="21">
        <f>IFERROR(INDEX(Produtos!$B$2:$B$71,MATCH(C212,Produtos!$A$2:$A$71,0)),"")</f>
        <v/>
      </c>
      <c r="O212" s="21">
        <f>IFERROR(INDEX(Produtos!$C$2:$C$71,MATCH(C212,Produtos!$A$2:$A$71,0)),"")</f>
        <v/>
      </c>
      <c r="P212" s="21">
        <f>IFERROR(INDEX(Produtos!$D$2:$D$71,MATCH(C212,Produtos!$A$2:$A$71,0)),0)</f>
        <v/>
      </c>
      <c r="Q212" s="21">
        <f>IFERROR(INDEX(Produtos!$E$2:$E$71,MATCH(C212,Produtos!$A$2:$A$71,0)),0)</f>
        <v/>
      </c>
      <c r="R212" s="23">
        <f>D212*Q212</f>
        <v/>
      </c>
      <c r="S212" s="23">
        <f>R212*E212</f>
        <v/>
      </c>
      <c r="T212" s="23">
        <f>(R212-S212)*M212</f>
        <v/>
      </c>
      <c r="U212" s="23">
        <f>R212-S212-T212</f>
        <v/>
      </c>
      <c r="V212" s="23">
        <f>D212*P212</f>
        <v/>
      </c>
      <c r="W212" s="23">
        <f>U212-V212</f>
        <v/>
      </c>
      <c r="X212" s="24">
        <f>IFERROR(W212/U212,0)</f>
        <v/>
      </c>
    </row>
    <row r="213">
      <c r="A213" s="25">
        <f>ItensPedido!A213</f>
        <v/>
      </c>
      <c r="B213" s="25">
        <f>ItensPedido!B213</f>
        <v/>
      </c>
      <c r="C213" s="25">
        <f>ItensPedido!C213</f>
        <v/>
      </c>
      <c r="D213" s="25">
        <f>ItensPedido!D213</f>
        <v/>
      </c>
      <c r="E213" s="26">
        <f>ItensPedido!E213</f>
        <v/>
      </c>
      <c r="F213" s="25">
        <f>IFERROR(INDEX(Pedidos!$B$2:$B$1801,MATCH(B213,Pedidos!$A$2:$A$1801,0)),0)</f>
        <v/>
      </c>
      <c r="G213" s="25">
        <f>IF(F213=0,"",YEAR(F213))</f>
        <v/>
      </c>
      <c r="H213" s="25">
        <f>IF(F213=0,"",MONTH(F213))</f>
        <v/>
      </c>
      <c r="I213" s="25">
        <f>IFERROR(INDEX(Pedidos!$E$2:$E$1801,MATCH(B213,Pedidos!$A$2:$A$1801,0)),"")</f>
        <v/>
      </c>
      <c r="J213" s="25">
        <f>IFERROR(INDEX(Pedidos!$C$2:$C$1801,MATCH(B213,Pedidos!$A$2:$A$1801,0)),"")</f>
        <v/>
      </c>
      <c r="K213" s="25">
        <f>IFERROR(INDEX(Pedidos!$D$2:$D$1801,MATCH(B213,Pedidos!$A$2:$A$1801,0)),"")</f>
        <v/>
      </c>
      <c r="L213" s="25">
        <f>IFERROR(INDEX(Pedidos!$F$2:$F$1801,MATCH(B213,Pedidos!$A$2:$A$1801,0)),"")</f>
        <v/>
      </c>
      <c r="M213" s="26">
        <f>IFERROR(INDEX(Pedidos!$G$2:$G$1801,MATCH(B213,Pedidos!$A$2:$A$1801,0)),0)</f>
        <v/>
      </c>
      <c r="N213" s="25">
        <f>IFERROR(INDEX(Produtos!$B$2:$B$71,MATCH(C213,Produtos!$A$2:$A$71,0)),"")</f>
        <v/>
      </c>
      <c r="O213" s="25">
        <f>IFERROR(INDEX(Produtos!$C$2:$C$71,MATCH(C213,Produtos!$A$2:$A$71,0)),"")</f>
        <v/>
      </c>
      <c r="P213" s="25">
        <f>IFERROR(INDEX(Produtos!$D$2:$D$71,MATCH(C213,Produtos!$A$2:$A$71,0)),0)</f>
        <v/>
      </c>
      <c r="Q213" s="25">
        <f>IFERROR(INDEX(Produtos!$E$2:$E$71,MATCH(C213,Produtos!$A$2:$A$71,0)),0)</f>
        <v/>
      </c>
      <c r="R213" s="27">
        <f>D213*Q213</f>
        <v/>
      </c>
      <c r="S213" s="27">
        <f>R213*E213</f>
        <v/>
      </c>
      <c r="T213" s="27">
        <f>(R213-S213)*M213</f>
        <v/>
      </c>
      <c r="U213" s="27">
        <f>R213-S213-T213</f>
        <v/>
      </c>
      <c r="V213" s="27">
        <f>D213*P213</f>
        <v/>
      </c>
      <c r="W213" s="27">
        <f>U213-V213</f>
        <v/>
      </c>
      <c r="X213" s="28">
        <f>IFERROR(W213/U213,0)</f>
        <v/>
      </c>
    </row>
    <row r="214">
      <c r="A214" s="21">
        <f>ItensPedido!A214</f>
        <v/>
      </c>
      <c r="B214" s="21">
        <f>ItensPedido!B214</f>
        <v/>
      </c>
      <c r="C214" s="21">
        <f>ItensPedido!C214</f>
        <v/>
      </c>
      <c r="D214" s="21">
        <f>ItensPedido!D214</f>
        <v/>
      </c>
      <c r="E214" s="22">
        <f>ItensPedido!E214</f>
        <v/>
      </c>
      <c r="F214" s="21">
        <f>IFERROR(INDEX(Pedidos!$B$2:$B$1801,MATCH(B214,Pedidos!$A$2:$A$1801,0)),0)</f>
        <v/>
      </c>
      <c r="G214" s="21">
        <f>IF(F214=0,"",YEAR(F214))</f>
        <v/>
      </c>
      <c r="H214" s="21">
        <f>IF(F214=0,"",MONTH(F214))</f>
        <v/>
      </c>
      <c r="I214" s="21">
        <f>IFERROR(INDEX(Pedidos!$E$2:$E$1801,MATCH(B214,Pedidos!$A$2:$A$1801,0)),"")</f>
        <v/>
      </c>
      <c r="J214" s="21">
        <f>IFERROR(INDEX(Pedidos!$C$2:$C$1801,MATCH(B214,Pedidos!$A$2:$A$1801,0)),"")</f>
        <v/>
      </c>
      <c r="K214" s="21">
        <f>IFERROR(INDEX(Pedidos!$D$2:$D$1801,MATCH(B214,Pedidos!$A$2:$A$1801,0)),"")</f>
        <v/>
      </c>
      <c r="L214" s="21">
        <f>IFERROR(INDEX(Pedidos!$F$2:$F$1801,MATCH(B214,Pedidos!$A$2:$A$1801,0)),"")</f>
        <v/>
      </c>
      <c r="M214" s="22">
        <f>IFERROR(INDEX(Pedidos!$G$2:$G$1801,MATCH(B214,Pedidos!$A$2:$A$1801,0)),0)</f>
        <v/>
      </c>
      <c r="N214" s="21">
        <f>IFERROR(INDEX(Produtos!$B$2:$B$71,MATCH(C214,Produtos!$A$2:$A$71,0)),"")</f>
        <v/>
      </c>
      <c r="O214" s="21">
        <f>IFERROR(INDEX(Produtos!$C$2:$C$71,MATCH(C214,Produtos!$A$2:$A$71,0)),"")</f>
        <v/>
      </c>
      <c r="P214" s="21">
        <f>IFERROR(INDEX(Produtos!$D$2:$D$71,MATCH(C214,Produtos!$A$2:$A$71,0)),0)</f>
        <v/>
      </c>
      <c r="Q214" s="21">
        <f>IFERROR(INDEX(Produtos!$E$2:$E$71,MATCH(C214,Produtos!$A$2:$A$71,0)),0)</f>
        <v/>
      </c>
      <c r="R214" s="23">
        <f>D214*Q214</f>
        <v/>
      </c>
      <c r="S214" s="23">
        <f>R214*E214</f>
        <v/>
      </c>
      <c r="T214" s="23">
        <f>(R214-S214)*M214</f>
        <v/>
      </c>
      <c r="U214" s="23">
        <f>R214-S214-T214</f>
        <v/>
      </c>
      <c r="V214" s="23">
        <f>D214*P214</f>
        <v/>
      </c>
      <c r="W214" s="23">
        <f>U214-V214</f>
        <v/>
      </c>
      <c r="X214" s="24">
        <f>IFERROR(W214/U214,0)</f>
        <v/>
      </c>
    </row>
    <row r="215">
      <c r="A215" s="25">
        <f>ItensPedido!A215</f>
        <v/>
      </c>
      <c r="B215" s="25">
        <f>ItensPedido!B215</f>
        <v/>
      </c>
      <c r="C215" s="25">
        <f>ItensPedido!C215</f>
        <v/>
      </c>
      <c r="D215" s="25">
        <f>ItensPedido!D215</f>
        <v/>
      </c>
      <c r="E215" s="26">
        <f>ItensPedido!E215</f>
        <v/>
      </c>
      <c r="F215" s="25">
        <f>IFERROR(INDEX(Pedidos!$B$2:$B$1801,MATCH(B215,Pedidos!$A$2:$A$1801,0)),0)</f>
        <v/>
      </c>
      <c r="G215" s="25">
        <f>IF(F215=0,"",YEAR(F215))</f>
        <v/>
      </c>
      <c r="H215" s="25">
        <f>IF(F215=0,"",MONTH(F215))</f>
        <v/>
      </c>
      <c r="I215" s="25">
        <f>IFERROR(INDEX(Pedidos!$E$2:$E$1801,MATCH(B215,Pedidos!$A$2:$A$1801,0)),"")</f>
        <v/>
      </c>
      <c r="J215" s="25">
        <f>IFERROR(INDEX(Pedidos!$C$2:$C$1801,MATCH(B215,Pedidos!$A$2:$A$1801,0)),"")</f>
        <v/>
      </c>
      <c r="K215" s="25">
        <f>IFERROR(INDEX(Pedidos!$D$2:$D$1801,MATCH(B215,Pedidos!$A$2:$A$1801,0)),"")</f>
        <v/>
      </c>
      <c r="L215" s="25">
        <f>IFERROR(INDEX(Pedidos!$F$2:$F$1801,MATCH(B215,Pedidos!$A$2:$A$1801,0)),"")</f>
        <v/>
      </c>
      <c r="M215" s="26">
        <f>IFERROR(INDEX(Pedidos!$G$2:$G$1801,MATCH(B215,Pedidos!$A$2:$A$1801,0)),0)</f>
        <v/>
      </c>
      <c r="N215" s="25">
        <f>IFERROR(INDEX(Produtos!$B$2:$B$71,MATCH(C215,Produtos!$A$2:$A$71,0)),"")</f>
        <v/>
      </c>
      <c r="O215" s="25">
        <f>IFERROR(INDEX(Produtos!$C$2:$C$71,MATCH(C215,Produtos!$A$2:$A$71,0)),"")</f>
        <v/>
      </c>
      <c r="P215" s="25">
        <f>IFERROR(INDEX(Produtos!$D$2:$D$71,MATCH(C215,Produtos!$A$2:$A$71,0)),0)</f>
        <v/>
      </c>
      <c r="Q215" s="25">
        <f>IFERROR(INDEX(Produtos!$E$2:$E$71,MATCH(C215,Produtos!$A$2:$A$71,0)),0)</f>
        <v/>
      </c>
      <c r="R215" s="27">
        <f>D215*Q215</f>
        <v/>
      </c>
      <c r="S215" s="27">
        <f>R215*E215</f>
        <v/>
      </c>
      <c r="T215" s="27">
        <f>(R215-S215)*M215</f>
        <v/>
      </c>
      <c r="U215" s="27">
        <f>R215-S215-T215</f>
        <v/>
      </c>
      <c r="V215" s="27">
        <f>D215*P215</f>
        <v/>
      </c>
      <c r="W215" s="27">
        <f>U215-V215</f>
        <v/>
      </c>
      <c r="X215" s="28">
        <f>IFERROR(W215/U215,0)</f>
        <v/>
      </c>
    </row>
    <row r="216">
      <c r="A216" s="21">
        <f>ItensPedido!A216</f>
        <v/>
      </c>
      <c r="B216" s="21">
        <f>ItensPedido!B216</f>
        <v/>
      </c>
      <c r="C216" s="21">
        <f>ItensPedido!C216</f>
        <v/>
      </c>
      <c r="D216" s="21">
        <f>ItensPedido!D216</f>
        <v/>
      </c>
      <c r="E216" s="22">
        <f>ItensPedido!E216</f>
        <v/>
      </c>
      <c r="F216" s="21">
        <f>IFERROR(INDEX(Pedidos!$B$2:$B$1801,MATCH(B216,Pedidos!$A$2:$A$1801,0)),0)</f>
        <v/>
      </c>
      <c r="G216" s="21">
        <f>IF(F216=0,"",YEAR(F216))</f>
        <v/>
      </c>
      <c r="H216" s="21">
        <f>IF(F216=0,"",MONTH(F216))</f>
        <v/>
      </c>
      <c r="I216" s="21">
        <f>IFERROR(INDEX(Pedidos!$E$2:$E$1801,MATCH(B216,Pedidos!$A$2:$A$1801,0)),"")</f>
        <v/>
      </c>
      <c r="J216" s="21">
        <f>IFERROR(INDEX(Pedidos!$C$2:$C$1801,MATCH(B216,Pedidos!$A$2:$A$1801,0)),"")</f>
        <v/>
      </c>
      <c r="K216" s="21">
        <f>IFERROR(INDEX(Pedidos!$D$2:$D$1801,MATCH(B216,Pedidos!$A$2:$A$1801,0)),"")</f>
        <v/>
      </c>
      <c r="L216" s="21">
        <f>IFERROR(INDEX(Pedidos!$F$2:$F$1801,MATCH(B216,Pedidos!$A$2:$A$1801,0)),"")</f>
        <v/>
      </c>
      <c r="M216" s="22">
        <f>IFERROR(INDEX(Pedidos!$G$2:$G$1801,MATCH(B216,Pedidos!$A$2:$A$1801,0)),0)</f>
        <v/>
      </c>
      <c r="N216" s="21">
        <f>IFERROR(INDEX(Produtos!$B$2:$B$71,MATCH(C216,Produtos!$A$2:$A$71,0)),"")</f>
        <v/>
      </c>
      <c r="O216" s="21">
        <f>IFERROR(INDEX(Produtos!$C$2:$C$71,MATCH(C216,Produtos!$A$2:$A$71,0)),"")</f>
        <v/>
      </c>
      <c r="P216" s="21">
        <f>IFERROR(INDEX(Produtos!$D$2:$D$71,MATCH(C216,Produtos!$A$2:$A$71,0)),0)</f>
        <v/>
      </c>
      <c r="Q216" s="21">
        <f>IFERROR(INDEX(Produtos!$E$2:$E$71,MATCH(C216,Produtos!$A$2:$A$71,0)),0)</f>
        <v/>
      </c>
      <c r="R216" s="23">
        <f>D216*Q216</f>
        <v/>
      </c>
      <c r="S216" s="23">
        <f>R216*E216</f>
        <v/>
      </c>
      <c r="T216" s="23">
        <f>(R216-S216)*M216</f>
        <v/>
      </c>
      <c r="U216" s="23">
        <f>R216-S216-T216</f>
        <v/>
      </c>
      <c r="V216" s="23">
        <f>D216*P216</f>
        <v/>
      </c>
      <c r="W216" s="23">
        <f>U216-V216</f>
        <v/>
      </c>
      <c r="X216" s="24">
        <f>IFERROR(W216/U216,0)</f>
        <v/>
      </c>
    </row>
    <row r="217">
      <c r="A217" s="25">
        <f>ItensPedido!A217</f>
        <v/>
      </c>
      <c r="B217" s="25">
        <f>ItensPedido!B217</f>
        <v/>
      </c>
      <c r="C217" s="25">
        <f>ItensPedido!C217</f>
        <v/>
      </c>
      <c r="D217" s="25">
        <f>ItensPedido!D217</f>
        <v/>
      </c>
      <c r="E217" s="26">
        <f>ItensPedido!E217</f>
        <v/>
      </c>
      <c r="F217" s="25">
        <f>IFERROR(INDEX(Pedidos!$B$2:$B$1801,MATCH(B217,Pedidos!$A$2:$A$1801,0)),0)</f>
        <v/>
      </c>
      <c r="G217" s="25">
        <f>IF(F217=0,"",YEAR(F217))</f>
        <v/>
      </c>
      <c r="H217" s="25">
        <f>IF(F217=0,"",MONTH(F217))</f>
        <v/>
      </c>
      <c r="I217" s="25">
        <f>IFERROR(INDEX(Pedidos!$E$2:$E$1801,MATCH(B217,Pedidos!$A$2:$A$1801,0)),"")</f>
        <v/>
      </c>
      <c r="J217" s="25">
        <f>IFERROR(INDEX(Pedidos!$C$2:$C$1801,MATCH(B217,Pedidos!$A$2:$A$1801,0)),"")</f>
        <v/>
      </c>
      <c r="K217" s="25">
        <f>IFERROR(INDEX(Pedidos!$D$2:$D$1801,MATCH(B217,Pedidos!$A$2:$A$1801,0)),"")</f>
        <v/>
      </c>
      <c r="L217" s="25">
        <f>IFERROR(INDEX(Pedidos!$F$2:$F$1801,MATCH(B217,Pedidos!$A$2:$A$1801,0)),"")</f>
        <v/>
      </c>
      <c r="M217" s="26">
        <f>IFERROR(INDEX(Pedidos!$G$2:$G$1801,MATCH(B217,Pedidos!$A$2:$A$1801,0)),0)</f>
        <v/>
      </c>
      <c r="N217" s="25">
        <f>IFERROR(INDEX(Produtos!$B$2:$B$71,MATCH(C217,Produtos!$A$2:$A$71,0)),"")</f>
        <v/>
      </c>
      <c r="O217" s="25">
        <f>IFERROR(INDEX(Produtos!$C$2:$C$71,MATCH(C217,Produtos!$A$2:$A$71,0)),"")</f>
        <v/>
      </c>
      <c r="P217" s="25">
        <f>IFERROR(INDEX(Produtos!$D$2:$D$71,MATCH(C217,Produtos!$A$2:$A$71,0)),0)</f>
        <v/>
      </c>
      <c r="Q217" s="25">
        <f>IFERROR(INDEX(Produtos!$E$2:$E$71,MATCH(C217,Produtos!$A$2:$A$71,0)),0)</f>
        <v/>
      </c>
      <c r="R217" s="27">
        <f>D217*Q217</f>
        <v/>
      </c>
      <c r="S217" s="27">
        <f>R217*E217</f>
        <v/>
      </c>
      <c r="T217" s="27">
        <f>(R217-S217)*M217</f>
        <v/>
      </c>
      <c r="U217" s="27">
        <f>R217-S217-T217</f>
        <v/>
      </c>
      <c r="V217" s="27">
        <f>D217*P217</f>
        <v/>
      </c>
      <c r="W217" s="27">
        <f>U217-V217</f>
        <v/>
      </c>
      <c r="X217" s="28">
        <f>IFERROR(W217/U217,0)</f>
        <v/>
      </c>
    </row>
    <row r="218">
      <c r="A218" s="21">
        <f>ItensPedido!A218</f>
        <v/>
      </c>
      <c r="B218" s="21">
        <f>ItensPedido!B218</f>
        <v/>
      </c>
      <c r="C218" s="21">
        <f>ItensPedido!C218</f>
        <v/>
      </c>
      <c r="D218" s="21">
        <f>ItensPedido!D218</f>
        <v/>
      </c>
      <c r="E218" s="22">
        <f>ItensPedido!E218</f>
        <v/>
      </c>
      <c r="F218" s="21">
        <f>IFERROR(INDEX(Pedidos!$B$2:$B$1801,MATCH(B218,Pedidos!$A$2:$A$1801,0)),0)</f>
        <v/>
      </c>
      <c r="G218" s="21">
        <f>IF(F218=0,"",YEAR(F218))</f>
        <v/>
      </c>
      <c r="H218" s="21">
        <f>IF(F218=0,"",MONTH(F218))</f>
        <v/>
      </c>
      <c r="I218" s="21">
        <f>IFERROR(INDEX(Pedidos!$E$2:$E$1801,MATCH(B218,Pedidos!$A$2:$A$1801,0)),"")</f>
        <v/>
      </c>
      <c r="J218" s="21">
        <f>IFERROR(INDEX(Pedidos!$C$2:$C$1801,MATCH(B218,Pedidos!$A$2:$A$1801,0)),"")</f>
        <v/>
      </c>
      <c r="K218" s="21">
        <f>IFERROR(INDEX(Pedidos!$D$2:$D$1801,MATCH(B218,Pedidos!$A$2:$A$1801,0)),"")</f>
        <v/>
      </c>
      <c r="L218" s="21">
        <f>IFERROR(INDEX(Pedidos!$F$2:$F$1801,MATCH(B218,Pedidos!$A$2:$A$1801,0)),"")</f>
        <v/>
      </c>
      <c r="M218" s="22">
        <f>IFERROR(INDEX(Pedidos!$G$2:$G$1801,MATCH(B218,Pedidos!$A$2:$A$1801,0)),0)</f>
        <v/>
      </c>
      <c r="N218" s="21">
        <f>IFERROR(INDEX(Produtos!$B$2:$B$71,MATCH(C218,Produtos!$A$2:$A$71,0)),"")</f>
        <v/>
      </c>
      <c r="O218" s="21">
        <f>IFERROR(INDEX(Produtos!$C$2:$C$71,MATCH(C218,Produtos!$A$2:$A$71,0)),"")</f>
        <v/>
      </c>
      <c r="P218" s="21">
        <f>IFERROR(INDEX(Produtos!$D$2:$D$71,MATCH(C218,Produtos!$A$2:$A$71,0)),0)</f>
        <v/>
      </c>
      <c r="Q218" s="21">
        <f>IFERROR(INDEX(Produtos!$E$2:$E$71,MATCH(C218,Produtos!$A$2:$A$71,0)),0)</f>
        <v/>
      </c>
      <c r="R218" s="23">
        <f>D218*Q218</f>
        <v/>
      </c>
      <c r="S218" s="23">
        <f>R218*E218</f>
        <v/>
      </c>
      <c r="T218" s="23">
        <f>(R218-S218)*M218</f>
        <v/>
      </c>
      <c r="U218" s="23">
        <f>R218-S218-T218</f>
        <v/>
      </c>
      <c r="V218" s="23">
        <f>D218*P218</f>
        <v/>
      </c>
      <c r="W218" s="23">
        <f>U218-V218</f>
        <v/>
      </c>
      <c r="X218" s="24">
        <f>IFERROR(W218/U218,0)</f>
        <v/>
      </c>
    </row>
    <row r="219">
      <c r="A219" s="25">
        <f>ItensPedido!A219</f>
        <v/>
      </c>
      <c r="B219" s="25">
        <f>ItensPedido!B219</f>
        <v/>
      </c>
      <c r="C219" s="25">
        <f>ItensPedido!C219</f>
        <v/>
      </c>
      <c r="D219" s="25">
        <f>ItensPedido!D219</f>
        <v/>
      </c>
      <c r="E219" s="26">
        <f>ItensPedido!E219</f>
        <v/>
      </c>
      <c r="F219" s="25">
        <f>IFERROR(INDEX(Pedidos!$B$2:$B$1801,MATCH(B219,Pedidos!$A$2:$A$1801,0)),0)</f>
        <v/>
      </c>
      <c r="G219" s="25">
        <f>IF(F219=0,"",YEAR(F219))</f>
        <v/>
      </c>
      <c r="H219" s="25">
        <f>IF(F219=0,"",MONTH(F219))</f>
        <v/>
      </c>
      <c r="I219" s="25">
        <f>IFERROR(INDEX(Pedidos!$E$2:$E$1801,MATCH(B219,Pedidos!$A$2:$A$1801,0)),"")</f>
        <v/>
      </c>
      <c r="J219" s="25">
        <f>IFERROR(INDEX(Pedidos!$C$2:$C$1801,MATCH(B219,Pedidos!$A$2:$A$1801,0)),"")</f>
        <v/>
      </c>
      <c r="K219" s="25">
        <f>IFERROR(INDEX(Pedidos!$D$2:$D$1801,MATCH(B219,Pedidos!$A$2:$A$1801,0)),"")</f>
        <v/>
      </c>
      <c r="L219" s="25">
        <f>IFERROR(INDEX(Pedidos!$F$2:$F$1801,MATCH(B219,Pedidos!$A$2:$A$1801,0)),"")</f>
        <v/>
      </c>
      <c r="M219" s="26">
        <f>IFERROR(INDEX(Pedidos!$G$2:$G$1801,MATCH(B219,Pedidos!$A$2:$A$1801,0)),0)</f>
        <v/>
      </c>
      <c r="N219" s="25">
        <f>IFERROR(INDEX(Produtos!$B$2:$B$71,MATCH(C219,Produtos!$A$2:$A$71,0)),"")</f>
        <v/>
      </c>
      <c r="O219" s="25">
        <f>IFERROR(INDEX(Produtos!$C$2:$C$71,MATCH(C219,Produtos!$A$2:$A$71,0)),"")</f>
        <v/>
      </c>
      <c r="P219" s="25">
        <f>IFERROR(INDEX(Produtos!$D$2:$D$71,MATCH(C219,Produtos!$A$2:$A$71,0)),0)</f>
        <v/>
      </c>
      <c r="Q219" s="25">
        <f>IFERROR(INDEX(Produtos!$E$2:$E$71,MATCH(C219,Produtos!$A$2:$A$71,0)),0)</f>
        <v/>
      </c>
      <c r="R219" s="27">
        <f>D219*Q219</f>
        <v/>
      </c>
      <c r="S219" s="27">
        <f>R219*E219</f>
        <v/>
      </c>
      <c r="T219" s="27">
        <f>(R219-S219)*M219</f>
        <v/>
      </c>
      <c r="U219" s="27">
        <f>R219-S219-T219</f>
        <v/>
      </c>
      <c r="V219" s="27">
        <f>D219*P219</f>
        <v/>
      </c>
      <c r="W219" s="27">
        <f>U219-V219</f>
        <v/>
      </c>
      <c r="X219" s="28">
        <f>IFERROR(W219/U219,0)</f>
        <v/>
      </c>
    </row>
    <row r="220">
      <c r="A220" s="21">
        <f>ItensPedido!A220</f>
        <v/>
      </c>
      <c r="B220" s="21">
        <f>ItensPedido!B220</f>
        <v/>
      </c>
      <c r="C220" s="21">
        <f>ItensPedido!C220</f>
        <v/>
      </c>
      <c r="D220" s="21">
        <f>ItensPedido!D220</f>
        <v/>
      </c>
      <c r="E220" s="22">
        <f>ItensPedido!E220</f>
        <v/>
      </c>
      <c r="F220" s="21">
        <f>IFERROR(INDEX(Pedidos!$B$2:$B$1801,MATCH(B220,Pedidos!$A$2:$A$1801,0)),0)</f>
        <v/>
      </c>
      <c r="G220" s="21">
        <f>IF(F220=0,"",YEAR(F220))</f>
        <v/>
      </c>
      <c r="H220" s="21">
        <f>IF(F220=0,"",MONTH(F220))</f>
        <v/>
      </c>
      <c r="I220" s="21">
        <f>IFERROR(INDEX(Pedidos!$E$2:$E$1801,MATCH(B220,Pedidos!$A$2:$A$1801,0)),"")</f>
        <v/>
      </c>
      <c r="J220" s="21">
        <f>IFERROR(INDEX(Pedidos!$C$2:$C$1801,MATCH(B220,Pedidos!$A$2:$A$1801,0)),"")</f>
        <v/>
      </c>
      <c r="K220" s="21">
        <f>IFERROR(INDEX(Pedidos!$D$2:$D$1801,MATCH(B220,Pedidos!$A$2:$A$1801,0)),"")</f>
        <v/>
      </c>
      <c r="L220" s="21">
        <f>IFERROR(INDEX(Pedidos!$F$2:$F$1801,MATCH(B220,Pedidos!$A$2:$A$1801,0)),"")</f>
        <v/>
      </c>
      <c r="M220" s="22">
        <f>IFERROR(INDEX(Pedidos!$G$2:$G$1801,MATCH(B220,Pedidos!$A$2:$A$1801,0)),0)</f>
        <v/>
      </c>
      <c r="N220" s="21">
        <f>IFERROR(INDEX(Produtos!$B$2:$B$71,MATCH(C220,Produtos!$A$2:$A$71,0)),"")</f>
        <v/>
      </c>
      <c r="O220" s="21">
        <f>IFERROR(INDEX(Produtos!$C$2:$C$71,MATCH(C220,Produtos!$A$2:$A$71,0)),"")</f>
        <v/>
      </c>
      <c r="P220" s="21">
        <f>IFERROR(INDEX(Produtos!$D$2:$D$71,MATCH(C220,Produtos!$A$2:$A$71,0)),0)</f>
        <v/>
      </c>
      <c r="Q220" s="21">
        <f>IFERROR(INDEX(Produtos!$E$2:$E$71,MATCH(C220,Produtos!$A$2:$A$71,0)),0)</f>
        <v/>
      </c>
      <c r="R220" s="23">
        <f>D220*Q220</f>
        <v/>
      </c>
      <c r="S220" s="23">
        <f>R220*E220</f>
        <v/>
      </c>
      <c r="T220" s="23">
        <f>(R220-S220)*M220</f>
        <v/>
      </c>
      <c r="U220" s="23">
        <f>R220-S220-T220</f>
        <v/>
      </c>
      <c r="V220" s="23">
        <f>D220*P220</f>
        <v/>
      </c>
      <c r="W220" s="23">
        <f>U220-V220</f>
        <v/>
      </c>
      <c r="X220" s="24">
        <f>IFERROR(W220/U220,0)</f>
        <v/>
      </c>
    </row>
    <row r="221">
      <c r="A221" s="25">
        <f>ItensPedido!A221</f>
        <v/>
      </c>
      <c r="B221" s="25">
        <f>ItensPedido!B221</f>
        <v/>
      </c>
      <c r="C221" s="25">
        <f>ItensPedido!C221</f>
        <v/>
      </c>
      <c r="D221" s="25">
        <f>ItensPedido!D221</f>
        <v/>
      </c>
      <c r="E221" s="26">
        <f>ItensPedido!E221</f>
        <v/>
      </c>
      <c r="F221" s="25">
        <f>IFERROR(INDEX(Pedidos!$B$2:$B$1801,MATCH(B221,Pedidos!$A$2:$A$1801,0)),0)</f>
        <v/>
      </c>
      <c r="G221" s="25">
        <f>IF(F221=0,"",YEAR(F221))</f>
        <v/>
      </c>
      <c r="H221" s="25">
        <f>IF(F221=0,"",MONTH(F221))</f>
        <v/>
      </c>
      <c r="I221" s="25">
        <f>IFERROR(INDEX(Pedidos!$E$2:$E$1801,MATCH(B221,Pedidos!$A$2:$A$1801,0)),"")</f>
        <v/>
      </c>
      <c r="J221" s="25">
        <f>IFERROR(INDEX(Pedidos!$C$2:$C$1801,MATCH(B221,Pedidos!$A$2:$A$1801,0)),"")</f>
        <v/>
      </c>
      <c r="K221" s="25">
        <f>IFERROR(INDEX(Pedidos!$D$2:$D$1801,MATCH(B221,Pedidos!$A$2:$A$1801,0)),"")</f>
        <v/>
      </c>
      <c r="L221" s="25">
        <f>IFERROR(INDEX(Pedidos!$F$2:$F$1801,MATCH(B221,Pedidos!$A$2:$A$1801,0)),"")</f>
        <v/>
      </c>
      <c r="M221" s="26">
        <f>IFERROR(INDEX(Pedidos!$G$2:$G$1801,MATCH(B221,Pedidos!$A$2:$A$1801,0)),0)</f>
        <v/>
      </c>
      <c r="N221" s="25">
        <f>IFERROR(INDEX(Produtos!$B$2:$B$71,MATCH(C221,Produtos!$A$2:$A$71,0)),"")</f>
        <v/>
      </c>
      <c r="O221" s="25">
        <f>IFERROR(INDEX(Produtos!$C$2:$C$71,MATCH(C221,Produtos!$A$2:$A$71,0)),"")</f>
        <v/>
      </c>
      <c r="P221" s="25">
        <f>IFERROR(INDEX(Produtos!$D$2:$D$71,MATCH(C221,Produtos!$A$2:$A$71,0)),0)</f>
        <v/>
      </c>
      <c r="Q221" s="25">
        <f>IFERROR(INDEX(Produtos!$E$2:$E$71,MATCH(C221,Produtos!$A$2:$A$71,0)),0)</f>
        <v/>
      </c>
      <c r="R221" s="27">
        <f>D221*Q221</f>
        <v/>
      </c>
      <c r="S221" s="27">
        <f>R221*E221</f>
        <v/>
      </c>
      <c r="T221" s="27">
        <f>(R221-S221)*M221</f>
        <v/>
      </c>
      <c r="U221" s="27">
        <f>R221-S221-T221</f>
        <v/>
      </c>
      <c r="V221" s="27">
        <f>D221*P221</f>
        <v/>
      </c>
      <c r="W221" s="27">
        <f>U221-V221</f>
        <v/>
      </c>
      <c r="X221" s="28">
        <f>IFERROR(W221/U221,0)</f>
        <v/>
      </c>
    </row>
    <row r="222">
      <c r="A222" s="21">
        <f>ItensPedido!A222</f>
        <v/>
      </c>
      <c r="B222" s="21">
        <f>ItensPedido!B222</f>
        <v/>
      </c>
      <c r="C222" s="21">
        <f>ItensPedido!C222</f>
        <v/>
      </c>
      <c r="D222" s="21">
        <f>ItensPedido!D222</f>
        <v/>
      </c>
      <c r="E222" s="22">
        <f>ItensPedido!E222</f>
        <v/>
      </c>
      <c r="F222" s="21">
        <f>IFERROR(INDEX(Pedidos!$B$2:$B$1801,MATCH(B222,Pedidos!$A$2:$A$1801,0)),0)</f>
        <v/>
      </c>
      <c r="G222" s="21">
        <f>IF(F222=0,"",YEAR(F222))</f>
        <v/>
      </c>
      <c r="H222" s="21">
        <f>IF(F222=0,"",MONTH(F222))</f>
        <v/>
      </c>
      <c r="I222" s="21">
        <f>IFERROR(INDEX(Pedidos!$E$2:$E$1801,MATCH(B222,Pedidos!$A$2:$A$1801,0)),"")</f>
        <v/>
      </c>
      <c r="J222" s="21">
        <f>IFERROR(INDEX(Pedidos!$C$2:$C$1801,MATCH(B222,Pedidos!$A$2:$A$1801,0)),"")</f>
        <v/>
      </c>
      <c r="K222" s="21">
        <f>IFERROR(INDEX(Pedidos!$D$2:$D$1801,MATCH(B222,Pedidos!$A$2:$A$1801,0)),"")</f>
        <v/>
      </c>
      <c r="L222" s="21">
        <f>IFERROR(INDEX(Pedidos!$F$2:$F$1801,MATCH(B222,Pedidos!$A$2:$A$1801,0)),"")</f>
        <v/>
      </c>
      <c r="M222" s="22">
        <f>IFERROR(INDEX(Pedidos!$G$2:$G$1801,MATCH(B222,Pedidos!$A$2:$A$1801,0)),0)</f>
        <v/>
      </c>
      <c r="N222" s="21">
        <f>IFERROR(INDEX(Produtos!$B$2:$B$71,MATCH(C222,Produtos!$A$2:$A$71,0)),"")</f>
        <v/>
      </c>
      <c r="O222" s="21">
        <f>IFERROR(INDEX(Produtos!$C$2:$C$71,MATCH(C222,Produtos!$A$2:$A$71,0)),"")</f>
        <v/>
      </c>
      <c r="P222" s="21">
        <f>IFERROR(INDEX(Produtos!$D$2:$D$71,MATCH(C222,Produtos!$A$2:$A$71,0)),0)</f>
        <v/>
      </c>
      <c r="Q222" s="21">
        <f>IFERROR(INDEX(Produtos!$E$2:$E$71,MATCH(C222,Produtos!$A$2:$A$71,0)),0)</f>
        <v/>
      </c>
      <c r="R222" s="23">
        <f>D222*Q222</f>
        <v/>
      </c>
      <c r="S222" s="23">
        <f>R222*E222</f>
        <v/>
      </c>
      <c r="T222" s="23">
        <f>(R222-S222)*M222</f>
        <v/>
      </c>
      <c r="U222" s="23">
        <f>R222-S222-T222</f>
        <v/>
      </c>
      <c r="V222" s="23">
        <f>D222*P222</f>
        <v/>
      </c>
      <c r="W222" s="23">
        <f>U222-V222</f>
        <v/>
      </c>
      <c r="X222" s="24">
        <f>IFERROR(W222/U222,0)</f>
        <v/>
      </c>
    </row>
    <row r="223">
      <c r="A223" s="25">
        <f>ItensPedido!A223</f>
        <v/>
      </c>
      <c r="B223" s="25">
        <f>ItensPedido!B223</f>
        <v/>
      </c>
      <c r="C223" s="25">
        <f>ItensPedido!C223</f>
        <v/>
      </c>
      <c r="D223" s="25">
        <f>ItensPedido!D223</f>
        <v/>
      </c>
      <c r="E223" s="26">
        <f>ItensPedido!E223</f>
        <v/>
      </c>
      <c r="F223" s="25">
        <f>IFERROR(INDEX(Pedidos!$B$2:$B$1801,MATCH(B223,Pedidos!$A$2:$A$1801,0)),0)</f>
        <v/>
      </c>
      <c r="G223" s="25">
        <f>IF(F223=0,"",YEAR(F223))</f>
        <v/>
      </c>
      <c r="H223" s="25">
        <f>IF(F223=0,"",MONTH(F223))</f>
        <v/>
      </c>
      <c r="I223" s="25">
        <f>IFERROR(INDEX(Pedidos!$E$2:$E$1801,MATCH(B223,Pedidos!$A$2:$A$1801,0)),"")</f>
        <v/>
      </c>
      <c r="J223" s="25">
        <f>IFERROR(INDEX(Pedidos!$C$2:$C$1801,MATCH(B223,Pedidos!$A$2:$A$1801,0)),"")</f>
        <v/>
      </c>
      <c r="K223" s="25">
        <f>IFERROR(INDEX(Pedidos!$D$2:$D$1801,MATCH(B223,Pedidos!$A$2:$A$1801,0)),"")</f>
        <v/>
      </c>
      <c r="L223" s="25">
        <f>IFERROR(INDEX(Pedidos!$F$2:$F$1801,MATCH(B223,Pedidos!$A$2:$A$1801,0)),"")</f>
        <v/>
      </c>
      <c r="M223" s="26">
        <f>IFERROR(INDEX(Pedidos!$G$2:$G$1801,MATCH(B223,Pedidos!$A$2:$A$1801,0)),0)</f>
        <v/>
      </c>
      <c r="N223" s="25">
        <f>IFERROR(INDEX(Produtos!$B$2:$B$71,MATCH(C223,Produtos!$A$2:$A$71,0)),"")</f>
        <v/>
      </c>
      <c r="O223" s="25">
        <f>IFERROR(INDEX(Produtos!$C$2:$C$71,MATCH(C223,Produtos!$A$2:$A$71,0)),"")</f>
        <v/>
      </c>
      <c r="P223" s="25">
        <f>IFERROR(INDEX(Produtos!$D$2:$D$71,MATCH(C223,Produtos!$A$2:$A$71,0)),0)</f>
        <v/>
      </c>
      <c r="Q223" s="25">
        <f>IFERROR(INDEX(Produtos!$E$2:$E$71,MATCH(C223,Produtos!$A$2:$A$71,0)),0)</f>
        <v/>
      </c>
      <c r="R223" s="27">
        <f>D223*Q223</f>
        <v/>
      </c>
      <c r="S223" s="27">
        <f>R223*E223</f>
        <v/>
      </c>
      <c r="T223" s="27">
        <f>(R223-S223)*M223</f>
        <v/>
      </c>
      <c r="U223" s="27">
        <f>R223-S223-T223</f>
        <v/>
      </c>
      <c r="V223" s="27">
        <f>D223*P223</f>
        <v/>
      </c>
      <c r="W223" s="27">
        <f>U223-V223</f>
        <v/>
      </c>
      <c r="X223" s="28">
        <f>IFERROR(W223/U223,0)</f>
        <v/>
      </c>
    </row>
    <row r="224">
      <c r="A224" s="21">
        <f>ItensPedido!A224</f>
        <v/>
      </c>
      <c r="B224" s="21">
        <f>ItensPedido!B224</f>
        <v/>
      </c>
      <c r="C224" s="21">
        <f>ItensPedido!C224</f>
        <v/>
      </c>
      <c r="D224" s="21">
        <f>ItensPedido!D224</f>
        <v/>
      </c>
      <c r="E224" s="22">
        <f>ItensPedido!E224</f>
        <v/>
      </c>
      <c r="F224" s="21">
        <f>IFERROR(INDEX(Pedidos!$B$2:$B$1801,MATCH(B224,Pedidos!$A$2:$A$1801,0)),0)</f>
        <v/>
      </c>
      <c r="G224" s="21">
        <f>IF(F224=0,"",YEAR(F224))</f>
        <v/>
      </c>
      <c r="H224" s="21">
        <f>IF(F224=0,"",MONTH(F224))</f>
        <v/>
      </c>
      <c r="I224" s="21">
        <f>IFERROR(INDEX(Pedidos!$E$2:$E$1801,MATCH(B224,Pedidos!$A$2:$A$1801,0)),"")</f>
        <v/>
      </c>
      <c r="J224" s="21">
        <f>IFERROR(INDEX(Pedidos!$C$2:$C$1801,MATCH(B224,Pedidos!$A$2:$A$1801,0)),"")</f>
        <v/>
      </c>
      <c r="K224" s="21">
        <f>IFERROR(INDEX(Pedidos!$D$2:$D$1801,MATCH(B224,Pedidos!$A$2:$A$1801,0)),"")</f>
        <v/>
      </c>
      <c r="L224" s="21">
        <f>IFERROR(INDEX(Pedidos!$F$2:$F$1801,MATCH(B224,Pedidos!$A$2:$A$1801,0)),"")</f>
        <v/>
      </c>
      <c r="M224" s="22">
        <f>IFERROR(INDEX(Pedidos!$G$2:$G$1801,MATCH(B224,Pedidos!$A$2:$A$1801,0)),0)</f>
        <v/>
      </c>
      <c r="N224" s="21">
        <f>IFERROR(INDEX(Produtos!$B$2:$B$71,MATCH(C224,Produtos!$A$2:$A$71,0)),"")</f>
        <v/>
      </c>
      <c r="O224" s="21">
        <f>IFERROR(INDEX(Produtos!$C$2:$C$71,MATCH(C224,Produtos!$A$2:$A$71,0)),"")</f>
        <v/>
      </c>
      <c r="P224" s="21">
        <f>IFERROR(INDEX(Produtos!$D$2:$D$71,MATCH(C224,Produtos!$A$2:$A$71,0)),0)</f>
        <v/>
      </c>
      <c r="Q224" s="21">
        <f>IFERROR(INDEX(Produtos!$E$2:$E$71,MATCH(C224,Produtos!$A$2:$A$71,0)),0)</f>
        <v/>
      </c>
      <c r="R224" s="23">
        <f>D224*Q224</f>
        <v/>
      </c>
      <c r="S224" s="23">
        <f>R224*E224</f>
        <v/>
      </c>
      <c r="T224" s="23">
        <f>(R224-S224)*M224</f>
        <v/>
      </c>
      <c r="U224" s="23">
        <f>R224-S224-T224</f>
        <v/>
      </c>
      <c r="V224" s="23">
        <f>D224*P224</f>
        <v/>
      </c>
      <c r="W224" s="23">
        <f>U224-V224</f>
        <v/>
      </c>
      <c r="X224" s="24">
        <f>IFERROR(W224/U224,0)</f>
        <v/>
      </c>
    </row>
    <row r="225">
      <c r="A225" s="25">
        <f>ItensPedido!A225</f>
        <v/>
      </c>
      <c r="B225" s="25">
        <f>ItensPedido!B225</f>
        <v/>
      </c>
      <c r="C225" s="25">
        <f>ItensPedido!C225</f>
        <v/>
      </c>
      <c r="D225" s="25">
        <f>ItensPedido!D225</f>
        <v/>
      </c>
      <c r="E225" s="26">
        <f>ItensPedido!E225</f>
        <v/>
      </c>
      <c r="F225" s="25">
        <f>IFERROR(INDEX(Pedidos!$B$2:$B$1801,MATCH(B225,Pedidos!$A$2:$A$1801,0)),0)</f>
        <v/>
      </c>
      <c r="G225" s="25">
        <f>IF(F225=0,"",YEAR(F225))</f>
        <v/>
      </c>
      <c r="H225" s="25">
        <f>IF(F225=0,"",MONTH(F225))</f>
        <v/>
      </c>
      <c r="I225" s="25">
        <f>IFERROR(INDEX(Pedidos!$E$2:$E$1801,MATCH(B225,Pedidos!$A$2:$A$1801,0)),"")</f>
        <v/>
      </c>
      <c r="J225" s="25">
        <f>IFERROR(INDEX(Pedidos!$C$2:$C$1801,MATCH(B225,Pedidos!$A$2:$A$1801,0)),"")</f>
        <v/>
      </c>
      <c r="K225" s="25">
        <f>IFERROR(INDEX(Pedidos!$D$2:$D$1801,MATCH(B225,Pedidos!$A$2:$A$1801,0)),"")</f>
        <v/>
      </c>
      <c r="L225" s="25">
        <f>IFERROR(INDEX(Pedidos!$F$2:$F$1801,MATCH(B225,Pedidos!$A$2:$A$1801,0)),"")</f>
        <v/>
      </c>
      <c r="M225" s="26">
        <f>IFERROR(INDEX(Pedidos!$G$2:$G$1801,MATCH(B225,Pedidos!$A$2:$A$1801,0)),0)</f>
        <v/>
      </c>
      <c r="N225" s="25">
        <f>IFERROR(INDEX(Produtos!$B$2:$B$71,MATCH(C225,Produtos!$A$2:$A$71,0)),"")</f>
        <v/>
      </c>
      <c r="O225" s="25">
        <f>IFERROR(INDEX(Produtos!$C$2:$C$71,MATCH(C225,Produtos!$A$2:$A$71,0)),"")</f>
        <v/>
      </c>
      <c r="P225" s="25">
        <f>IFERROR(INDEX(Produtos!$D$2:$D$71,MATCH(C225,Produtos!$A$2:$A$71,0)),0)</f>
        <v/>
      </c>
      <c r="Q225" s="25">
        <f>IFERROR(INDEX(Produtos!$E$2:$E$71,MATCH(C225,Produtos!$A$2:$A$71,0)),0)</f>
        <v/>
      </c>
      <c r="R225" s="27">
        <f>D225*Q225</f>
        <v/>
      </c>
      <c r="S225" s="27">
        <f>R225*E225</f>
        <v/>
      </c>
      <c r="T225" s="27">
        <f>(R225-S225)*M225</f>
        <v/>
      </c>
      <c r="U225" s="27">
        <f>R225-S225-T225</f>
        <v/>
      </c>
      <c r="V225" s="27">
        <f>D225*P225</f>
        <v/>
      </c>
      <c r="W225" s="27">
        <f>U225-V225</f>
        <v/>
      </c>
      <c r="X225" s="28">
        <f>IFERROR(W225/U225,0)</f>
        <v/>
      </c>
    </row>
    <row r="226">
      <c r="A226" s="21">
        <f>ItensPedido!A226</f>
        <v/>
      </c>
      <c r="B226" s="21">
        <f>ItensPedido!B226</f>
        <v/>
      </c>
      <c r="C226" s="21">
        <f>ItensPedido!C226</f>
        <v/>
      </c>
      <c r="D226" s="21">
        <f>ItensPedido!D226</f>
        <v/>
      </c>
      <c r="E226" s="22">
        <f>ItensPedido!E226</f>
        <v/>
      </c>
      <c r="F226" s="21">
        <f>IFERROR(INDEX(Pedidos!$B$2:$B$1801,MATCH(B226,Pedidos!$A$2:$A$1801,0)),0)</f>
        <v/>
      </c>
      <c r="G226" s="21">
        <f>IF(F226=0,"",YEAR(F226))</f>
        <v/>
      </c>
      <c r="H226" s="21">
        <f>IF(F226=0,"",MONTH(F226))</f>
        <v/>
      </c>
      <c r="I226" s="21">
        <f>IFERROR(INDEX(Pedidos!$E$2:$E$1801,MATCH(B226,Pedidos!$A$2:$A$1801,0)),"")</f>
        <v/>
      </c>
      <c r="J226" s="21">
        <f>IFERROR(INDEX(Pedidos!$C$2:$C$1801,MATCH(B226,Pedidos!$A$2:$A$1801,0)),"")</f>
        <v/>
      </c>
      <c r="K226" s="21">
        <f>IFERROR(INDEX(Pedidos!$D$2:$D$1801,MATCH(B226,Pedidos!$A$2:$A$1801,0)),"")</f>
        <v/>
      </c>
      <c r="L226" s="21">
        <f>IFERROR(INDEX(Pedidos!$F$2:$F$1801,MATCH(B226,Pedidos!$A$2:$A$1801,0)),"")</f>
        <v/>
      </c>
      <c r="M226" s="22">
        <f>IFERROR(INDEX(Pedidos!$G$2:$G$1801,MATCH(B226,Pedidos!$A$2:$A$1801,0)),0)</f>
        <v/>
      </c>
      <c r="N226" s="21">
        <f>IFERROR(INDEX(Produtos!$B$2:$B$71,MATCH(C226,Produtos!$A$2:$A$71,0)),"")</f>
        <v/>
      </c>
      <c r="O226" s="21">
        <f>IFERROR(INDEX(Produtos!$C$2:$C$71,MATCH(C226,Produtos!$A$2:$A$71,0)),"")</f>
        <v/>
      </c>
      <c r="P226" s="21">
        <f>IFERROR(INDEX(Produtos!$D$2:$D$71,MATCH(C226,Produtos!$A$2:$A$71,0)),0)</f>
        <v/>
      </c>
      <c r="Q226" s="21">
        <f>IFERROR(INDEX(Produtos!$E$2:$E$71,MATCH(C226,Produtos!$A$2:$A$71,0)),0)</f>
        <v/>
      </c>
      <c r="R226" s="23">
        <f>D226*Q226</f>
        <v/>
      </c>
      <c r="S226" s="23">
        <f>R226*E226</f>
        <v/>
      </c>
      <c r="T226" s="23">
        <f>(R226-S226)*M226</f>
        <v/>
      </c>
      <c r="U226" s="23">
        <f>R226-S226-T226</f>
        <v/>
      </c>
      <c r="V226" s="23">
        <f>D226*P226</f>
        <v/>
      </c>
      <c r="W226" s="23">
        <f>U226-V226</f>
        <v/>
      </c>
      <c r="X226" s="24">
        <f>IFERROR(W226/U226,0)</f>
        <v/>
      </c>
    </row>
    <row r="227">
      <c r="A227" s="25">
        <f>ItensPedido!A227</f>
        <v/>
      </c>
      <c r="B227" s="25">
        <f>ItensPedido!B227</f>
        <v/>
      </c>
      <c r="C227" s="25">
        <f>ItensPedido!C227</f>
        <v/>
      </c>
      <c r="D227" s="25">
        <f>ItensPedido!D227</f>
        <v/>
      </c>
      <c r="E227" s="26">
        <f>ItensPedido!E227</f>
        <v/>
      </c>
      <c r="F227" s="25">
        <f>IFERROR(INDEX(Pedidos!$B$2:$B$1801,MATCH(B227,Pedidos!$A$2:$A$1801,0)),0)</f>
        <v/>
      </c>
      <c r="G227" s="25">
        <f>IF(F227=0,"",YEAR(F227))</f>
        <v/>
      </c>
      <c r="H227" s="25">
        <f>IF(F227=0,"",MONTH(F227))</f>
        <v/>
      </c>
      <c r="I227" s="25">
        <f>IFERROR(INDEX(Pedidos!$E$2:$E$1801,MATCH(B227,Pedidos!$A$2:$A$1801,0)),"")</f>
        <v/>
      </c>
      <c r="J227" s="25">
        <f>IFERROR(INDEX(Pedidos!$C$2:$C$1801,MATCH(B227,Pedidos!$A$2:$A$1801,0)),"")</f>
        <v/>
      </c>
      <c r="K227" s="25">
        <f>IFERROR(INDEX(Pedidos!$D$2:$D$1801,MATCH(B227,Pedidos!$A$2:$A$1801,0)),"")</f>
        <v/>
      </c>
      <c r="L227" s="25">
        <f>IFERROR(INDEX(Pedidos!$F$2:$F$1801,MATCH(B227,Pedidos!$A$2:$A$1801,0)),"")</f>
        <v/>
      </c>
      <c r="M227" s="26">
        <f>IFERROR(INDEX(Pedidos!$G$2:$G$1801,MATCH(B227,Pedidos!$A$2:$A$1801,0)),0)</f>
        <v/>
      </c>
      <c r="N227" s="25">
        <f>IFERROR(INDEX(Produtos!$B$2:$B$71,MATCH(C227,Produtos!$A$2:$A$71,0)),"")</f>
        <v/>
      </c>
      <c r="O227" s="25">
        <f>IFERROR(INDEX(Produtos!$C$2:$C$71,MATCH(C227,Produtos!$A$2:$A$71,0)),"")</f>
        <v/>
      </c>
      <c r="P227" s="25">
        <f>IFERROR(INDEX(Produtos!$D$2:$D$71,MATCH(C227,Produtos!$A$2:$A$71,0)),0)</f>
        <v/>
      </c>
      <c r="Q227" s="25">
        <f>IFERROR(INDEX(Produtos!$E$2:$E$71,MATCH(C227,Produtos!$A$2:$A$71,0)),0)</f>
        <v/>
      </c>
      <c r="R227" s="27">
        <f>D227*Q227</f>
        <v/>
      </c>
      <c r="S227" s="27">
        <f>R227*E227</f>
        <v/>
      </c>
      <c r="T227" s="27">
        <f>(R227-S227)*M227</f>
        <v/>
      </c>
      <c r="U227" s="27">
        <f>R227-S227-T227</f>
        <v/>
      </c>
      <c r="V227" s="27">
        <f>D227*P227</f>
        <v/>
      </c>
      <c r="W227" s="27">
        <f>U227-V227</f>
        <v/>
      </c>
      <c r="X227" s="28">
        <f>IFERROR(W227/U227,0)</f>
        <v/>
      </c>
    </row>
    <row r="228">
      <c r="A228" s="21">
        <f>ItensPedido!A228</f>
        <v/>
      </c>
      <c r="B228" s="21">
        <f>ItensPedido!B228</f>
        <v/>
      </c>
      <c r="C228" s="21">
        <f>ItensPedido!C228</f>
        <v/>
      </c>
      <c r="D228" s="21">
        <f>ItensPedido!D228</f>
        <v/>
      </c>
      <c r="E228" s="22">
        <f>ItensPedido!E228</f>
        <v/>
      </c>
      <c r="F228" s="21">
        <f>IFERROR(INDEX(Pedidos!$B$2:$B$1801,MATCH(B228,Pedidos!$A$2:$A$1801,0)),0)</f>
        <v/>
      </c>
      <c r="G228" s="21">
        <f>IF(F228=0,"",YEAR(F228))</f>
        <v/>
      </c>
      <c r="H228" s="21">
        <f>IF(F228=0,"",MONTH(F228))</f>
        <v/>
      </c>
      <c r="I228" s="21">
        <f>IFERROR(INDEX(Pedidos!$E$2:$E$1801,MATCH(B228,Pedidos!$A$2:$A$1801,0)),"")</f>
        <v/>
      </c>
      <c r="J228" s="21">
        <f>IFERROR(INDEX(Pedidos!$C$2:$C$1801,MATCH(B228,Pedidos!$A$2:$A$1801,0)),"")</f>
        <v/>
      </c>
      <c r="K228" s="21">
        <f>IFERROR(INDEX(Pedidos!$D$2:$D$1801,MATCH(B228,Pedidos!$A$2:$A$1801,0)),"")</f>
        <v/>
      </c>
      <c r="L228" s="21">
        <f>IFERROR(INDEX(Pedidos!$F$2:$F$1801,MATCH(B228,Pedidos!$A$2:$A$1801,0)),"")</f>
        <v/>
      </c>
      <c r="M228" s="22">
        <f>IFERROR(INDEX(Pedidos!$G$2:$G$1801,MATCH(B228,Pedidos!$A$2:$A$1801,0)),0)</f>
        <v/>
      </c>
      <c r="N228" s="21">
        <f>IFERROR(INDEX(Produtos!$B$2:$B$71,MATCH(C228,Produtos!$A$2:$A$71,0)),"")</f>
        <v/>
      </c>
      <c r="O228" s="21">
        <f>IFERROR(INDEX(Produtos!$C$2:$C$71,MATCH(C228,Produtos!$A$2:$A$71,0)),"")</f>
        <v/>
      </c>
      <c r="P228" s="21">
        <f>IFERROR(INDEX(Produtos!$D$2:$D$71,MATCH(C228,Produtos!$A$2:$A$71,0)),0)</f>
        <v/>
      </c>
      <c r="Q228" s="21">
        <f>IFERROR(INDEX(Produtos!$E$2:$E$71,MATCH(C228,Produtos!$A$2:$A$71,0)),0)</f>
        <v/>
      </c>
      <c r="R228" s="23">
        <f>D228*Q228</f>
        <v/>
      </c>
      <c r="S228" s="23">
        <f>R228*E228</f>
        <v/>
      </c>
      <c r="T228" s="23">
        <f>(R228-S228)*M228</f>
        <v/>
      </c>
      <c r="U228" s="23">
        <f>R228-S228-T228</f>
        <v/>
      </c>
      <c r="V228" s="23">
        <f>D228*P228</f>
        <v/>
      </c>
      <c r="W228" s="23">
        <f>U228-V228</f>
        <v/>
      </c>
      <c r="X228" s="24">
        <f>IFERROR(W228/U228,0)</f>
        <v/>
      </c>
    </row>
    <row r="229">
      <c r="A229" s="25">
        <f>ItensPedido!A229</f>
        <v/>
      </c>
      <c r="B229" s="25">
        <f>ItensPedido!B229</f>
        <v/>
      </c>
      <c r="C229" s="25">
        <f>ItensPedido!C229</f>
        <v/>
      </c>
      <c r="D229" s="25">
        <f>ItensPedido!D229</f>
        <v/>
      </c>
      <c r="E229" s="26">
        <f>ItensPedido!E229</f>
        <v/>
      </c>
      <c r="F229" s="25">
        <f>IFERROR(INDEX(Pedidos!$B$2:$B$1801,MATCH(B229,Pedidos!$A$2:$A$1801,0)),0)</f>
        <v/>
      </c>
      <c r="G229" s="25">
        <f>IF(F229=0,"",YEAR(F229))</f>
        <v/>
      </c>
      <c r="H229" s="25">
        <f>IF(F229=0,"",MONTH(F229))</f>
        <v/>
      </c>
      <c r="I229" s="25">
        <f>IFERROR(INDEX(Pedidos!$E$2:$E$1801,MATCH(B229,Pedidos!$A$2:$A$1801,0)),"")</f>
        <v/>
      </c>
      <c r="J229" s="25">
        <f>IFERROR(INDEX(Pedidos!$C$2:$C$1801,MATCH(B229,Pedidos!$A$2:$A$1801,0)),"")</f>
        <v/>
      </c>
      <c r="K229" s="25">
        <f>IFERROR(INDEX(Pedidos!$D$2:$D$1801,MATCH(B229,Pedidos!$A$2:$A$1801,0)),"")</f>
        <v/>
      </c>
      <c r="L229" s="25">
        <f>IFERROR(INDEX(Pedidos!$F$2:$F$1801,MATCH(B229,Pedidos!$A$2:$A$1801,0)),"")</f>
        <v/>
      </c>
      <c r="M229" s="26">
        <f>IFERROR(INDEX(Pedidos!$G$2:$G$1801,MATCH(B229,Pedidos!$A$2:$A$1801,0)),0)</f>
        <v/>
      </c>
      <c r="N229" s="25">
        <f>IFERROR(INDEX(Produtos!$B$2:$B$71,MATCH(C229,Produtos!$A$2:$A$71,0)),"")</f>
        <v/>
      </c>
      <c r="O229" s="25">
        <f>IFERROR(INDEX(Produtos!$C$2:$C$71,MATCH(C229,Produtos!$A$2:$A$71,0)),"")</f>
        <v/>
      </c>
      <c r="P229" s="25">
        <f>IFERROR(INDEX(Produtos!$D$2:$D$71,MATCH(C229,Produtos!$A$2:$A$71,0)),0)</f>
        <v/>
      </c>
      <c r="Q229" s="25">
        <f>IFERROR(INDEX(Produtos!$E$2:$E$71,MATCH(C229,Produtos!$A$2:$A$71,0)),0)</f>
        <v/>
      </c>
      <c r="R229" s="27">
        <f>D229*Q229</f>
        <v/>
      </c>
      <c r="S229" s="27">
        <f>R229*E229</f>
        <v/>
      </c>
      <c r="T229" s="27">
        <f>(R229-S229)*M229</f>
        <v/>
      </c>
      <c r="U229" s="27">
        <f>R229-S229-T229</f>
        <v/>
      </c>
      <c r="V229" s="27">
        <f>D229*P229</f>
        <v/>
      </c>
      <c r="W229" s="27">
        <f>U229-V229</f>
        <v/>
      </c>
      <c r="X229" s="28">
        <f>IFERROR(W229/U229,0)</f>
        <v/>
      </c>
    </row>
    <row r="230">
      <c r="A230" s="21">
        <f>ItensPedido!A230</f>
        <v/>
      </c>
      <c r="B230" s="21">
        <f>ItensPedido!B230</f>
        <v/>
      </c>
      <c r="C230" s="21">
        <f>ItensPedido!C230</f>
        <v/>
      </c>
      <c r="D230" s="21">
        <f>ItensPedido!D230</f>
        <v/>
      </c>
      <c r="E230" s="22">
        <f>ItensPedido!E230</f>
        <v/>
      </c>
      <c r="F230" s="21">
        <f>IFERROR(INDEX(Pedidos!$B$2:$B$1801,MATCH(B230,Pedidos!$A$2:$A$1801,0)),0)</f>
        <v/>
      </c>
      <c r="G230" s="21">
        <f>IF(F230=0,"",YEAR(F230))</f>
        <v/>
      </c>
      <c r="H230" s="21">
        <f>IF(F230=0,"",MONTH(F230))</f>
        <v/>
      </c>
      <c r="I230" s="21">
        <f>IFERROR(INDEX(Pedidos!$E$2:$E$1801,MATCH(B230,Pedidos!$A$2:$A$1801,0)),"")</f>
        <v/>
      </c>
      <c r="J230" s="21">
        <f>IFERROR(INDEX(Pedidos!$C$2:$C$1801,MATCH(B230,Pedidos!$A$2:$A$1801,0)),"")</f>
        <v/>
      </c>
      <c r="K230" s="21">
        <f>IFERROR(INDEX(Pedidos!$D$2:$D$1801,MATCH(B230,Pedidos!$A$2:$A$1801,0)),"")</f>
        <v/>
      </c>
      <c r="L230" s="21">
        <f>IFERROR(INDEX(Pedidos!$F$2:$F$1801,MATCH(B230,Pedidos!$A$2:$A$1801,0)),"")</f>
        <v/>
      </c>
      <c r="M230" s="22">
        <f>IFERROR(INDEX(Pedidos!$G$2:$G$1801,MATCH(B230,Pedidos!$A$2:$A$1801,0)),0)</f>
        <v/>
      </c>
      <c r="N230" s="21">
        <f>IFERROR(INDEX(Produtos!$B$2:$B$71,MATCH(C230,Produtos!$A$2:$A$71,0)),"")</f>
        <v/>
      </c>
      <c r="O230" s="21">
        <f>IFERROR(INDEX(Produtos!$C$2:$C$71,MATCH(C230,Produtos!$A$2:$A$71,0)),"")</f>
        <v/>
      </c>
      <c r="P230" s="21">
        <f>IFERROR(INDEX(Produtos!$D$2:$D$71,MATCH(C230,Produtos!$A$2:$A$71,0)),0)</f>
        <v/>
      </c>
      <c r="Q230" s="21">
        <f>IFERROR(INDEX(Produtos!$E$2:$E$71,MATCH(C230,Produtos!$A$2:$A$71,0)),0)</f>
        <v/>
      </c>
      <c r="R230" s="23">
        <f>D230*Q230</f>
        <v/>
      </c>
      <c r="S230" s="23">
        <f>R230*E230</f>
        <v/>
      </c>
      <c r="T230" s="23">
        <f>(R230-S230)*M230</f>
        <v/>
      </c>
      <c r="U230" s="23">
        <f>R230-S230-T230</f>
        <v/>
      </c>
      <c r="V230" s="23">
        <f>D230*P230</f>
        <v/>
      </c>
      <c r="W230" s="23">
        <f>U230-V230</f>
        <v/>
      </c>
      <c r="X230" s="24">
        <f>IFERROR(W230/U230,0)</f>
        <v/>
      </c>
    </row>
    <row r="231">
      <c r="A231" s="25">
        <f>ItensPedido!A231</f>
        <v/>
      </c>
      <c r="B231" s="25">
        <f>ItensPedido!B231</f>
        <v/>
      </c>
      <c r="C231" s="25">
        <f>ItensPedido!C231</f>
        <v/>
      </c>
      <c r="D231" s="25">
        <f>ItensPedido!D231</f>
        <v/>
      </c>
      <c r="E231" s="26">
        <f>ItensPedido!E231</f>
        <v/>
      </c>
      <c r="F231" s="25">
        <f>IFERROR(INDEX(Pedidos!$B$2:$B$1801,MATCH(B231,Pedidos!$A$2:$A$1801,0)),0)</f>
        <v/>
      </c>
      <c r="G231" s="25">
        <f>IF(F231=0,"",YEAR(F231))</f>
        <v/>
      </c>
      <c r="H231" s="25">
        <f>IF(F231=0,"",MONTH(F231))</f>
        <v/>
      </c>
      <c r="I231" s="25">
        <f>IFERROR(INDEX(Pedidos!$E$2:$E$1801,MATCH(B231,Pedidos!$A$2:$A$1801,0)),"")</f>
        <v/>
      </c>
      <c r="J231" s="25">
        <f>IFERROR(INDEX(Pedidos!$C$2:$C$1801,MATCH(B231,Pedidos!$A$2:$A$1801,0)),"")</f>
        <v/>
      </c>
      <c r="K231" s="25">
        <f>IFERROR(INDEX(Pedidos!$D$2:$D$1801,MATCH(B231,Pedidos!$A$2:$A$1801,0)),"")</f>
        <v/>
      </c>
      <c r="L231" s="25">
        <f>IFERROR(INDEX(Pedidos!$F$2:$F$1801,MATCH(B231,Pedidos!$A$2:$A$1801,0)),"")</f>
        <v/>
      </c>
      <c r="M231" s="26">
        <f>IFERROR(INDEX(Pedidos!$G$2:$G$1801,MATCH(B231,Pedidos!$A$2:$A$1801,0)),0)</f>
        <v/>
      </c>
      <c r="N231" s="25">
        <f>IFERROR(INDEX(Produtos!$B$2:$B$71,MATCH(C231,Produtos!$A$2:$A$71,0)),"")</f>
        <v/>
      </c>
      <c r="O231" s="25">
        <f>IFERROR(INDEX(Produtos!$C$2:$C$71,MATCH(C231,Produtos!$A$2:$A$71,0)),"")</f>
        <v/>
      </c>
      <c r="P231" s="25">
        <f>IFERROR(INDEX(Produtos!$D$2:$D$71,MATCH(C231,Produtos!$A$2:$A$71,0)),0)</f>
        <v/>
      </c>
      <c r="Q231" s="25">
        <f>IFERROR(INDEX(Produtos!$E$2:$E$71,MATCH(C231,Produtos!$A$2:$A$71,0)),0)</f>
        <v/>
      </c>
      <c r="R231" s="27">
        <f>D231*Q231</f>
        <v/>
      </c>
      <c r="S231" s="27">
        <f>R231*E231</f>
        <v/>
      </c>
      <c r="T231" s="27">
        <f>(R231-S231)*M231</f>
        <v/>
      </c>
      <c r="U231" s="27">
        <f>R231-S231-T231</f>
        <v/>
      </c>
      <c r="V231" s="27">
        <f>D231*P231</f>
        <v/>
      </c>
      <c r="W231" s="27">
        <f>U231-V231</f>
        <v/>
      </c>
      <c r="X231" s="28">
        <f>IFERROR(W231/U231,0)</f>
        <v/>
      </c>
    </row>
    <row r="232">
      <c r="A232" s="21">
        <f>ItensPedido!A232</f>
        <v/>
      </c>
      <c r="B232" s="21">
        <f>ItensPedido!B232</f>
        <v/>
      </c>
      <c r="C232" s="21">
        <f>ItensPedido!C232</f>
        <v/>
      </c>
      <c r="D232" s="21">
        <f>ItensPedido!D232</f>
        <v/>
      </c>
      <c r="E232" s="22">
        <f>ItensPedido!E232</f>
        <v/>
      </c>
      <c r="F232" s="21">
        <f>IFERROR(INDEX(Pedidos!$B$2:$B$1801,MATCH(B232,Pedidos!$A$2:$A$1801,0)),0)</f>
        <v/>
      </c>
      <c r="G232" s="21">
        <f>IF(F232=0,"",YEAR(F232))</f>
        <v/>
      </c>
      <c r="H232" s="21">
        <f>IF(F232=0,"",MONTH(F232))</f>
        <v/>
      </c>
      <c r="I232" s="21">
        <f>IFERROR(INDEX(Pedidos!$E$2:$E$1801,MATCH(B232,Pedidos!$A$2:$A$1801,0)),"")</f>
        <v/>
      </c>
      <c r="J232" s="21">
        <f>IFERROR(INDEX(Pedidos!$C$2:$C$1801,MATCH(B232,Pedidos!$A$2:$A$1801,0)),"")</f>
        <v/>
      </c>
      <c r="K232" s="21">
        <f>IFERROR(INDEX(Pedidos!$D$2:$D$1801,MATCH(B232,Pedidos!$A$2:$A$1801,0)),"")</f>
        <v/>
      </c>
      <c r="L232" s="21">
        <f>IFERROR(INDEX(Pedidos!$F$2:$F$1801,MATCH(B232,Pedidos!$A$2:$A$1801,0)),"")</f>
        <v/>
      </c>
      <c r="M232" s="22">
        <f>IFERROR(INDEX(Pedidos!$G$2:$G$1801,MATCH(B232,Pedidos!$A$2:$A$1801,0)),0)</f>
        <v/>
      </c>
      <c r="N232" s="21">
        <f>IFERROR(INDEX(Produtos!$B$2:$B$71,MATCH(C232,Produtos!$A$2:$A$71,0)),"")</f>
        <v/>
      </c>
      <c r="O232" s="21">
        <f>IFERROR(INDEX(Produtos!$C$2:$C$71,MATCH(C232,Produtos!$A$2:$A$71,0)),"")</f>
        <v/>
      </c>
      <c r="P232" s="21">
        <f>IFERROR(INDEX(Produtos!$D$2:$D$71,MATCH(C232,Produtos!$A$2:$A$71,0)),0)</f>
        <v/>
      </c>
      <c r="Q232" s="21">
        <f>IFERROR(INDEX(Produtos!$E$2:$E$71,MATCH(C232,Produtos!$A$2:$A$71,0)),0)</f>
        <v/>
      </c>
      <c r="R232" s="23">
        <f>D232*Q232</f>
        <v/>
      </c>
      <c r="S232" s="23">
        <f>R232*E232</f>
        <v/>
      </c>
      <c r="T232" s="23">
        <f>(R232-S232)*M232</f>
        <v/>
      </c>
      <c r="U232" s="23">
        <f>R232-S232-T232</f>
        <v/>
      </c>
      <c r="V232" s="23">
        <f>D232*P232</f>
        <v/>
      </c>
      <c r="W232" s="23">
        <f>U232-V232</f>
        <v/>
      </c>
      <c r="X232" s="24">
        <f>IFERROR(W232/U232,0)</f>
        <v/>
      </c>
    </row>
    <row r="233">
      <c r="A233" s="25">
        <f>ItensPedido!A233</f>
        <v/>
      </c>
      <c r="B233" s="25">
        <f>ItensPedido!B233</f>
        <v/>
      </c>
      <c r="C233" s="25">
        <f>ItensPedido!C233</f>
        <v/>
      </c>
      <c r="D233" s="25">
        <f>ItensPedido!D233</f>
        <v/>
      </c>
      <c r="E233" s="26">
        <f>ItensPedido!E233</f>
        <v/>
      </c>
      <c r="F233" s="25">
        <f>IFERROR(INDEX(Pedidos!$B$2:$B$1801,MATCH(B233,Pedidos!$A$2:$A$1801,0)),0)</f>
        <v/>
      </c>
      <c r="G233" s="25">
        <f>IF(F233=0,"",YEAR(F233))</f>
        <v/>
      </c>
      <c r="H233" s="25">
        <f>IF(F233=0,"",MONTH(F233))</f>
        <v/>
      </c>
      <c r="I233" s="25">
        <f>IFERROR(INDEX(Pedidos!$E$2:$E$1801,MATCH(B233,Pedidos!$A$2:$A$1801,0)),"")</f>
        <v/>
      </c>
      <c r="J233" s="25">
        <f>IFERROR(INDEX(Pedidos!$C$2:$C$1801,MATCH(B233,Pedidos!$A$2:$A$1801,0)),"")</f>
        <v/>
      </c>
      <c r="K233" s="25">
        <f>IFERROR(INDEX(Pedidos!$D$2:$D$1801,MATCH(B233,Pedidos!$A$2:$A$1801,0)),"")</f>
        <v/>
      </c>
      <c r="L233" s="25">
        <f>IFERROR(INDEX(Pedidos!$F$2:$F$1801,MATCH(B233,Pedidos!$A$2:$A$1801,0)),"")</f>
        <v/>
      </c>
      <c r="M233" s="26">
        <f>IFERROR(INDEX(Pedidos!$G$2:$G$1801,MATCH(B233,Pedidos!$A$2:$A$1801,0)),0)</f>
        <v/>
      </c>
      <c r="N233" s="25">
        <f>IFERROR(INDEX(Produtos!$B$2:$B$71,MATCH(C233,Produtos!$A$2:$A$71,0)),"")</f>
        <v/>
      </c>
      <c r="O233" s="25">
        <f>IFERROR(INDEX(Produtos!$C$2:$C$71,MATCH(C233,Produtos!$A$2:$A$71,0)),"")</f>
        <v/>
      </c>
      <c r="P233" s="25">
        <f>IFERROR(INDEX(Produtos!$D$2:$D$71,MATCH(C233,Produtos!$A$2:$A$71,0)),0)</f>
        <v/>
      </c>
      <c r="Q233" s="25">
        <f>IFERROR(INDEX(Produtos!$E$2:$E$71,MATCH(C233,Produtos!$A$2:$A$71,0)),0)</f>
        <v/>
      </c>
      <c r="R233" s="27">
        <f>D233*Q233</f>
        <v/>
      </c>
      <c r="S233" s="27">
        <f>R233*E233</f>
        <v/>
      </c>
      <c r="T233" s="27">
        <f>(R233-S233)*M233</f>
        <v/>
      </c>
      <c r="U233" s="27">
        <f>R233-S233-T233</f>
        <v/>
      </c>
      <c r="V233" s="27">
        <f>D233*P233</f>
        <v/>
      </c>
      <c r="W233" s="27">
        <f>U233-V233</f>
        <v/>
      </c>
      <c r="X233" s="28">
        <f>IFERROR(W233/U233,0)</f>
        <v/>
      </c>
    </row>
    <row r="234">
      <c r="A234" s="21">
        <f>ItensPedido!A234</f>
        <v/>
      </c>
      <c r="B234" s="21">
        <f>ItensPedido!B234</f>
        <v/>
      </c>
      <c r="C234" s="21">
        <f>ItensPedido!C234</f>
        <v/>
      </c>
      <c r="D234" s="21">
        <f>ItensPedido!D234</f>
        <v/>
      </c>
      <c r="E234" s="22">
        <f>ItensPedido!E234</f>
        <v/>
      </c>
      <c r="F234" s="21">
        <f>IFERROR(INDEX(Pedidos!$B$2:$B$1801,MATCH(B234,Pedidos!$A$2:$A$1801,0)),0)</f>
        <v/>
      </c>
      <c r="G234" s="21">
        <f>IF(F234=0,"",YEAR(F234))</f>
        <v/>
      </c>
      <c r="H234" s="21">
        <f>IF(F234=0,"",MONTH(F234))</f>
        <v/>
      </c>
      <c r="I234" s="21">
        <f>IFERROR(INDEX(Pedidos!$E$2:$E$1801,MATCH(B234,Pedidos!$A$2:$A$1801,0)),"")</f>
        <v/>
      </c>
      <c r="J234" s="21">
        <f>IFERROR(INDEX(Pedidos!$C$2:$C$1801,MATCH(B234,Pedidos!$A$2:$A$1801,0)),"")</f>
        <v/>
      </c>
      <c r="K234" s="21">
        <f>IFERROR(INDEX(Pedidos!$D$2:$D$1801,MATCH(B234,Pedidos!$A$2:$A$1801,0)),"")</f>
        <v/>
      </c>
      <c r="L234" s="21">
        <f>IFERROR(INDEX(Pedidos!$F$2:$F$1801,MATCH(B234,Pedidos!$A$2:$A$1801,0)),"")</f>
        <v/>
      </c>
      <c r="M234" s="22">
        <f>IFERROR(INDEX(Pedidos!$G$2:$G$1801,MATCH(B234,Pedidos!$A$2:$A$1801,0)),0)</f>
        <v/>
      </c>
      <c r="N234" s="21">
        <f>IFERROR(INDEX(Produtos!$B$2:$B$71,MATCH(C234,Produtos!$A$2:$A$71,0)),"")</f>
        <v/>
      </c>
      <c r="O234" s="21">
        <f>IFERROR(INDEX(Produtos!$C$2:$C$71,MATCH(C234,Produtos!$A$2:$A$71,0)),"")</f>
        <v/>
      </c>
      <c r="P234" s="21">
        <f>IFERROR(INDEX(Produtos!$D$2:$D$71,MATCH(C234,Produtos!$A$2:$A$71,0)),0)</f>
        <v/>
      </c>
      <c r="Q234" s="21">
        <f>IFERROR(INDEX(Produtos!$E$2:$E$71,MATCH(C234,Produtos!$A$2:$A$71,0)),0)</f>
        <v/>
      </c>
      <c r="R234" s="23">
        <f>D234*Q234</f>
        <v/>
      </c>
      <c r="S234" s="23">
        <f>R234*E234</f>
        <v/>
      </c>
      <c r="T234" s="23">
        <f>(R234-S234)*M234</f>
        <v/>
      </c>
      <c r="U234" s="23">
        <f>R234-S234-T234</f>
        <v/>
      </c>
      <c r="V234" s="23">
        <f>D234*P234</f>
        <v/>
      </c>
      <c r="W234" s="23">
        <f>U234-V234</f>
        <v/>
      </c>
      <c r="X234" s="24">
        <f>IFERROR(W234/U234,0)</f>
        <v/>
      </c>
    </row>
    <row r="235">
      <c r="A235" s="25">
        <f>ItensPedido!A235</f>
        <v/>
      </c>
      <c r="B235" s="25">
        <f>ItensPedido!B235</f>
        <v/>
      </c>
      <c r="C235" s="25">
        <f>ItensPedido!C235</f>
        <v/>
      </c>
      <c r="D235" s="25">
        <f>ItensPedido!D235</f>
        <v/>
      </c>
      <c r="E235" s="26">
        <f>ItensPedido!E235</f>
        <v/>
      </c>
      <c r="F235" s="25">
        <f>IFERROR(INDEX(Pedidos!$B$2:$B$1801,MATCH(B235,Pedidos!$A$2:$A$1801,0)),0)</f>
        <v/>
      </c>
      <c r="G235" s="25">
        <f>IF(F235=0,"",YEAR(F235))</f>
        <v/>
      </c>
      <c r="H235" s="25">
        <f>IF(F235=0,"",MONTH(F235))</f>
        <v/>
      </c>
      <c r="I235" s="25">
        <f>IFERROR(INDEX(Pedidos!$E$2:$E$1801,MATCH(B235,Pedidos!$A$2:$A$1801,0)),"")</f>
        <v/>
      </c>
      <c r="J235" s="25">
        <f>IFERROR(INDEX(Pedidos!$C$2:$C$1801,MATCH(B235,Pedidos!$A$2:$A$1801,0)),"")</f>
        <v/>
      </c>
      <c r="K235" s="25">
        <f>IFERROR(INDEX(Pedidos!$D$2:$D$1801,MATCH(B235,Pedidos!$A$2:$A$1801,0)),"")</f>
        <v/>
      </c>
      <c r="L235" s="25">
        <f>IFERROR(INDEX(Pedidos!$F$2:$F$1801,MATCH(B235,Pedidos!$A$2:$A$1801,0)),"")</f>
        <v/>
      </c>
      <c r="M235" s="26">
        <f>IFERROR(INDEX(Pedidos!$G$2:$G$1801,MATCH(B235,Pedidos!$A$2:$A$1801,0)),0)</f>
        <v/>
      </c>
      <c r="N235" s="25">
        <f>IFERROR(INDEX(Produtos!$B$2:$B$71,MATCH(C235,Produtos!$A$2:$A$71,0)),"")</f>
        <v/>
      </c>
      <c r="O235" s="25">
        <f>IFERROR(INDEX(Produtos!$C$2:$C$71,MATCH(C235,Produtos!$A$2:$A$71,0)),"")</f>
        <v/>
      </c>
      <c r="P235" s="25">
        <f>IFERROR(INDEX(Produtos!$D$2:$D$71,MATCH(C235,Produtos!$A$2:$A$71,0)),0)</f>
        <v/>
      </c>
      <c r="Q235" s="25">
        <f>IFERROR(INDEX(Produtos!$E$2:$E$71,MATCH(C235,Produtos!$A$2:$A$71,0)),0)</f>
        <v/>
      </c>
      <c r="R235" s="27">
        <f>D235*Q235</f>
        <v/>
      </c>
      <c r="S235" s="27">
        <f>R235*E235</f>
        <v/>
      </c>
      <c r="T235" s="27">
        <f>(R235-S235)*M235</f>
        <v/>
      </c>
      <c r="U235" s="27">
        <f>R235-S235-T235</f>
        <v/>
      </c>
      <c r="V235" s="27">
        <f>D235*P235</f>
        <v/>
      </c>
      <c r="W235" s="27">
        <f>U235-V235</f>
        <v/>
      </c>
      <c r="X235" s="28">
        <f>IFERROR(W235/U235,0)</f>
        <v/>
      </c>
    </row>
    <row r="236">
      <c r="A236" s="21">
        <f>ItensPedido!A236</f>
        <v/>
      </c>
      <c r="B236" s="21">
        <f>ItensPedido!B236</f>
        <v/>
      </c>
      <c r="C236" s="21">
        <f>ItensPedido!C236</f>
        <v/>
      </c>
      <c r="D236" s="21">
        <f>ItensPedido!D236</f>
        <v/>
      </c>
      <c r="E236" s="22">
        <f>ItensPedido!E236</f>
        <v/>
      </c>
      <c r="F236" s="21">
        <f>IFERROR(INDEX(Pedidos!$B$2:$B$1801,MATCH(B236,Pedidos!$A$2:$A$1801,0)),0)</f>
        <v/>
      </c>
      <c r="G236" s="21">
        <f>IF(F236=0,"",YEAR(F236))</f>
        <v/>
      </c>
      <c r="H236" s="21">
        <f>IF(F236=0,"",MONTH(F236))</f>
        <v/>
      </c>
      <c r="I236" s="21">
        <f>IFERROR(INDEX(Pedidos!$E$2:$E$1801,MATCH(B236,Pedidos!$A$2:$A$1801,0)),"")</f>
        <v/>
      </c>
      <c r="J236" s="21">
        <f>IFERROR(INDEX(Pedidos!$C$2:$C$1801,MATCH(B236,Pedidos!$A$2:$A$1801,0)),"")</f>
        <v/>
      </c>
      <c r="K236" s="21">
        <f>IFERROR(INDEX(Pedidos!$D$2:$D$1801,MATCH(B236,Pedidos!$A$2:$A$1801,0)),"")</f>
        <v/>
      </c>
      <c r="L236" s="21">
        <f>IFERROR(INDEX(Pedidos!$F$2:$F$1801,MATCH(B236,Pedidos!$A$2:$A$1801,0)),"")</f>
        <v/>
      </c>
      <c r="M236" s="22">
        <f>IFERROR(INDEX(Pedidos!$G$2:$G$1801,MATCH(B236,Pedidos!$A$2:$A$1801,0)),0)</f>
        <v/>
      </c>
      <c r="N236" s="21">
        <f>IFERROR(INDEX(Produtos!$B$2:$B$71,MATCH(C236,Produtos!$A$2:$A$71,0)),"")</f>
        <v/>
      </c>
      <c r="O236" s="21">
        <f>IFERROR(INDEX(Produtos!$C$2:$C$71,MATCH(C236,Produtos!$A$2:$A$71,0)),"")</f>
        <v/>
      </c>
      <c r="P236" s="21">
        <f>IFERROR(INDEX(Produtos!$D$2:$D$71,MATCH(C236,Produtos!$A$2:$A$71,0)),0)</f>
        <v/>
      </c>
      <c r="Q236" s="21">
        <f>IFERROR(INDEX(Produtos!$E$2:$E$71,MATCH(C236,Produtos!$A$2:$A$71,0)),0)</f>
        <v/>
      </c>
      <c r="R236" s="23">
        <f>D236*Q236</f>
        <v/>
      </c>
      <c r="S236" s="23">
        <f>R236*E236</f>
        <v/>
      </c>
      <c r="T236" s="23">
        <f>(R236-S236)*M236</f>
        <v/>
      </c>
      <c r="U236" s="23">
        <f>R236-S236-T236</f>
        <v/>
      </c>
      <c r="V236" s="23">
        <f>D236*P236</f>
        <v/>
      </c>
      <c r="W236" s="23">
        <f>U236-V236</f>
        <v/>
      </c>
      <c r="X236" s="24">
        <f>IFERROR(W236/U236,0)</f>
        <v/>
      </c>
    </row>
    <row r="237">
      <c r="A237" s="25">
        <f>ItensPedido!A237</f>
        <v/>
      </c>
      <c r="B237" s="25">
        <f>ItensPedido!B237</f>
        <v/>
      </c>
      <c r="C237" s="25">
        <f>ItensPedido!C237</f>
        <v/>
      </c>
      <c r="D237" s="25">
        <f>ItensPedido!D237</f>
        <v/>
      </c>
      <c r="E237" s="26">
        <f>ItensPedido!E237</f>
        <v/>
      </c>
      <c r="F237" s="25">
        <f>IFERROR(INDEX(Pedidos!$B$2:$B$1801,MATCH(B237,Pedidos!$A$2:$A$1801,0)),0)</f>
        <v/>
      </c>
      <c r="G237" s="25">
        <f>IF(F237=0,"",YEAR(F237))</f>
        <v/>
      </c>
      <c r="H237" s="25">
        <f>IF(F237=0,"",MONTH(F237))</f>
        <v/>
      </c>
      <c r="I237" s="25">
        <f>IFERROR(INDEX(Pedidos!$E$2:$E$1801,MATCH(B237,Pedidos!$A$2:$A$1801,0)),"")</f>
        <v/>
      </c>
      <c r="J237" s="25">
        <f>IFERROR(INDEX(Pedidos!$C$2:$C$1801,MATCH(B237,Pedidos!$A$2:$A$1801,0)),"")</f>
        <v/>
      </c>
      <c r="K237" s="25">
        <f>IFERROR(INDEX(Pedidos!$D$2:$D$1801,MATCH(B237,Pedidos!$A$2:$A$1801,0)),"")</f>
        <v/>
      </c>
      <c r="L237" s="25">
        <f>IFERROR(INDEX(Pedidos!$F$2:$F$1801,MATCH(B237,Pedidos!$A$2:$A$1801,0)),"")</f>
        <v/>
      </c>
      <c r="M237" s="26">
        <f>IFERROR(INDEX(Pedidos!$G$2:$G$1801,MATCH(B237,Pedidos!$A$2:$A$1801,0)),0)</f>
        <v/>
      </c>
      <c r="N237" s="25">
        <f>IFERROR(INDEX(Produtos!$B$2:$B$71,MATCH(C237,Produtos!$A$2:$A$71,0)),"")</f>
        <v/>
      </c>
      <c r="O237" s="25">
        <f>IFERROR(INDEX(Produtos!$C$2:$C$71,MATCH(C237,Produtos!$A$2:$A$71,0)),"")</f>
        <v/>
      </c>
      <c r="P237" s="25">
        <f>IFERROR(INDEX(Produtos!$D$2:$D$71,MATCH(C237,Produtos!$A$2:$A$71,0)),0)</f>
        <v/>
      </c>
      <c r="Q237" s="25">
        <f>IFERROR(INDEX(Produtos!$E$2:$E$71,MATCH(C237,Produtos!$A$2:$A$71,0)),0)</f>
        <v/>
      </c>
      <c r="R237" s="27">
        <f>D237*Q237</f>
        <v/>
      </c>
      <c r="S237" s="27">
        <f>R237*E237</f>
        <v/>
      </c>
      <c r="T237" s="27">
        <f>(R237-S237)*M237</f>
        <v/>
      </c>
      <c r="U237" s="27">
        <f>R237-S237-T237</f>
        <v/>
      </c>
      <c r="V237" s="27">
        <f>D237*P237</f>
        <v/>
      </c>
      <c r="W237" s="27">
        <f>U237-V237</f>
        <v/>
      </c>
      <c r="X237" s="28">
        <f>IFERROR(W237/U237,0)</f>
        <v/>
      </c>
    </row>
    <row r="238">
      <c r="A238" s="21">
        <f>ItensPedido!A238</f>
        <v/>
      </c>
      <c r="B238" s="21">
        <f>ItensPedido!B238</f>
        <v/>
      </c>
      <c r="C238" s="21">
        <f>ItensPedido!C238</f>
        <v/>
      </c>
      <c r="D238" s="21">
        <f>ItensPedido!D238</f>
        <v/>
      </c>
      <c r="E238" s="22">
        <f>ItensPedido!E238</f>
        <v/>
      </c>
      <c r="F238" s="21">
        <f>IFERROR(INDEX(Pedidos!$B$2:$B$1801,MATCH(B238,Pedidos!$A$2:$A$1801,0)),0)</f>
        <v/>
      </c>
      <c r="G238" s="21">
        <f>IF(F238=0,"",YEAR(F238))</f>
        <v/>
      </c>
      <c r="H238" s="21">
        <f>IF(F238=0,"",MONTH(F238))</f>
        <v/>
      </c>
      <c r="I238" s="21">
        <f>IFERROR(INDEX(Pedidos!$E$2:$E$1801,MATCH(B238,Pedidos!$A$2:$A$1801,0)),"")</f>
        <v/>
      </c>
      <c r="J238" s="21">
        <f>IFERROR(INDEX(Pedidos!$C$2:$C$1801,MATCH(B238,Pedidos!$A$2:$A$1801,0)),"")</f>
        <v/>
      </c>
      <c r="K238" s="21">
        <f>IFERROR(INDEX(Pedidos!$D$2:$D$1801,MATCH(B238,Pedidos!$A$2:$A$1801,0)),"")</f>
        <v/>
      </c>
      <c r="L238" s="21">
        <f>IFERROR(INDEX(Pedidos!$F$2:$F$1801,MATCH(B238,Pedidos!$A$2:$A$1801,0)),"")</f>
        <v/>
      </c>
      <c r="M238" s="22">
        <f>IFERROR(INDEX(Pedidos!$G$2:$G$1801,MATCH(B238,Pedidos!$A$2:$A$1801,0)),0)</f>
        <v/>
      </c>
      <c r="N238" s="21">
        <f>IFERROR(INDEX(Produtos!$B$2:$B$71,MATCH(C238,Produtos!$A$2:$A$71,0)),"")</f>
        <v/>
      </c>
      <c r="O238" s="21">
        <f>IFERROR(INDEX(Produtos!$C$2:$C$71,MATCH(C238,Produtos!$A$2:$A$71,0)),"")</f>
        <v/>
      </c>
      <c r="P238" s="21">
        <f>IFERROR(INDEX(Produtos!$D$2:$D$71,MATCH(C238,Produtos!$A$2:$A$71,0)),0)</f>
        <v/>
      </c>
      <c r="Q238" s="21">
        <f>IFERROR(INDEX(Produtos!$E$2:$E$71,MATCH(C238,Produtos!$A$2:$A$71,0)),0)</f>
        <v/>
      </c>
      <c r="R238" s="23">
        <f>D238*Q238</f>
        <v/>
      </c>
      <c r="S238" s="23">
        <f>R238*E238</f>
        <v/>
      </c>
      <c r="T238" s="23">
        <f>(R238-S238)*M238</f>
        <v/>
      </c>
      <c r="U238" s="23">
        <f>R238-S238-T238</f>
        <v/>
      </c>
      <c r="V238" s="23">
        <f>D238*P238</f>
        <v/>
      </c>
      <c r="W238" s="23">
        <f>U238-V238</f>
        <v/>
      </c>
      <c r="X238" s="24">
        <f>IFERROR(W238/U238,0)</f>
        <v/>
      </c>
    </row>
    <row r="239">
      <c r="A239" s="25">
        <f>ItensPedido!A239</f>
        <v/>
      </c>
      <c r="B239" s="25">
        <f>ItensPedido!B239</f>
        <v/>
      </c>
      <c r="C239" s="25">
        <f>ItensPedido!C239</f>
        <v/>
      </c>
      <c r="D239" s="25">
        <f>ItensPedido!D239</f>
        <v/>
      </c>
      <c r="E239" s="26">
        <f>ItensPedido!E239</f>
        <v/>
      </c>
      <c r="F239" s="25">
        <f>IFERROR(INDEX(Pedidos!$B$2:$B$1801,MATCH(B239,Pedidos!$A$2:$A$1801,0)),0)</f>
        <v/>
      </c>
      <c r="G239" s="25">
        <f>IF(F239=0,"",YEAR(F239))</f>
        <v/>
      </c>
      <c r="H239" s="25">
        <f>IF(F239=0,"",MONTH(F239))</f>
        <v/>
      </c>
      <c r="I239" s="25">
        <f>IFERROR(INDEX(Pedidos!$E$2:$E$1801,MATCH(B239,Pedidos!$A$2:$A$1801,0)),"")</f>
        <v/>
      </c>
      <c r="J239" s="25">
        <f>IFERROR(INDEX(Pedidos!$C$2:$C$1801,MATCH(B239,Pedidos!$A$2:$A$1801,0)),"")</f>
        <v/>
      </c>
      <c r="K239" s="25">
        <f>IFERROR(INDEX(Pedidos!$D$2:$D$1801,MATCH(B239,Pedidos!$A$2:$A$1801,0)),"")</f>
        <v/>
      </c>
      <c r="L239" s="25">
        <f>IFERROR(INDEX(Pedidos!$F$2:$F$1801,MATCH(B239,Pedidos!$A$2:$A$1801,0)),"")</f>
        <v/>
      </c>
      <c r="M239" s="26">
        <f>IFERROR(INDEX(Pedidos!$G$2:$G$1801,MATCH(B239,Pedidos!$A$2:$A$1801,0)),0)</f>
        <v/>
      </c>
      <c r="N239" s="25">
        <f>IFERROR(INDEX(Produtos!$B$2:$B$71,MATCH(C239,Produtos!$A$2:$A$71,0)),"")</f>
        <v/>
      </c>
      <c r="O239" s="25">
        <f>IFERROR(INDEX(Produtos!$C$2:$C$71,MATCH(C239,Produtos!$A$2:$A$71,0)),"")</f>
        <v/>
      </c>
      <c r="P239" s="25">
        <f>IFERROR(INDEX(Produtos!$D$2:$D$71,MATCH(C239,Produtos!$A$2:$A$71,0)),0)</f>
        <v/>
      </c>
      <c r="Q239" s="25">
        <f>IFERROR(INDEX(Produtos!$E$2:$E$71,MATCH(C239,Produtos!$A$2:$A$71,0)),0)</f>
        <v/>
      </c>
      <c r="R239" s="27">
        <f>D239*Q239</f>
        <v/>
      </c>
      <c r="S239" s="27">
        <f>R239*E239</f>
        <v/>
      </c>
      <c r="T239" s="27">
        <f>(R239-S239)*M239</f>
        <v/>
      </c>
      <c r="U239" s="27">
        <f>R239-S239-T239</f>
        <v/>
      </c>
      <c r="V239" s="27">
        <f>D239*P239</f>
        <v/>
      </c>
      <c r="W239" s="27">
        <f>U239-V239</f>
        <v/>
      </c>
      <c r="X239" s="28">
        <f>IFERROR(W239/U239,0)</f>
        <v/>
      </c>
    </row>
    <row r="240">
      <c r="A240" s="21">
        <f>ItensPedido!A240</f>
        <v/>
      </c>
      <c r="B240" s="21">
        <f>ItensPedido!B240</f>
        <v/>
      </c>
      <c r="C240" s="21">
        <f>ItensPedido!C240</f>
        <v/>
      </c>
      <c r="D240" s="21">
        <f>ItensPedido!D240</f>
        <v/>
      </c>
      <c r="E240" s="22">
        <f>ItensPedido!E240</f>
        <v/>
      </c>
      <c r="F240" s="21">
        <f>IFERROR(INDEX(Pedidos!$B$2:$B$1801,MATCH(B240,Pedidos!$A$2:$A$1801,0)),0)</f>
        <v/>
      </c>
      <c r="G240" s="21">
        <f>IF(F240=0,"",YEAR(F240))</f>
        <v/>
      </c>
      <c r="H240" s="21">
        <f>IF(F240=0,"",MONTH(F240))</f>
        <v/>
      </c>
      <c r="I240" s="21">
        <f>IFERROR(INDEX(Pedidos!$E$2:$E$1801,MATCH(B240,Pedidos!$A$2:$A$1801,0)),"")</f>
        <v/>
      </c>
      <c r="J240" s="21">
        <f>IFERROR(INDEX(Pedidos!$C$2:$C$1801,MATCH(B240,Pedidos!$A$2:$A$1801,0)),"")</f>
        <v/>
      </c>
      <c r="K240" s="21">
        <f>IFERROR(INDEX(Pedidos!$D$2:$D$1801,MATCH(B240,Pedidos!$A$2:$A$1801,0)),"")</f>
        <v/>
      </c>
      <c r="L240" s="21">
        <f>IFERROR(INDEX(Pedidos!$F$2:$F$1801,MATCH(B240,Pedidos!$A$2:$A$1801,0)),"")</f>
        <v/>
      </c>
      <c r="M240" s="22">
        <f>IFERROR(INDEX(Pedidos!$G$2:$G$1801,MATCH(B240,Pedidos!$A$2:$A$1801,0)),0)</f>
        <v/>
      </c>
      <c r="N240" s="21">
        <f>IFERROR(INDEX(Produtos!$B$2:$B$71,MATCH(C240,Produtos!$A$2:$A$71,0)),"")</f>
        <v/>
      </c>
      <c r="O240" s="21">
        <f>IFERROR(INDEX(Produtos!$C$2:$C$71,MATCH(C240,Produtos!$A$2:$A$71,0)),"")</f>
        <v/>
      </c>
      <c r="P240" s="21">
        <f>IFERROR(INDEX(Produtos!$D$2:$D$71,MATCH(C240,Produtos!$A$2:$A$71,0)),0)</f>
        <v/>
      </c>
      <c r="Q240" s="21">
        <f>IFERROR(INDEX(Produtos!$E$2:$E$71,MATCH(C240,Produtos!$A$2:$A$71,0)),0)</f>
        <v/>
      </c>
      <c r="R240" s="23">
        <f>D240*Q240</f>
        <v/>
      </c>
      <c r="S240" s="23">
        <f>R240*E240</f>
        <v/>
      </c>
      <c r="T240" s="23">
        <f>(R240-S240)*M240</f>
        <v/>
      </c>
      <c r="U240" s="23">
        <f>R240-S240-T240</f>
        <v/>
      </c>
      <c r="V240" s="23">
        <f>D240*P240</f>
        <v/>
      </c>
      <c r="W240" s="23">
        <f>U240-V240</f>
        <v/>
      </c>
      <c r="X240" s="24">
        <f>IFERROR(W240/U240,0)</f>
        <v/>
      </c>
    </row>
    <row r="241">
      <c r="A241" s="25">
        <f>ItensPedido!A241</f>
        <v/>
      </c>
      <c r="B241" s="25">
        <f>ItensPedido!B241</f>
        <v/>
      </c>
      <c r="C241" s="25">
        <f>ItensPedido!C241</f>
        <v/>
      </c>
      <c r="D241" s="25">
        <f>ItensPedido!D241</f>
        <v/>
      </c>
      <c r="E241" s="26">
        <f>ItensPedido!E241</f>
        <v/>
      </c>
      <c r="F241" s="25">
        <f>IFERROR(INDEX(Pedidos!$B$2:$B$1801,MATCH(B241,Pedidos!$A$2:$A$1801,0)),0)</f>
        <v/>
      </c>
      <c r="G241" s="25">
        <f>IF(F241=0,"",YEAR(F241))</f>
        <v/>
      </c>
      <c r="H241" s="25">
        <f>IF(F241=0,"",MONTH(F241))</f>
        <v/>
      </c>
      <c r="I241" s="25">
        <f>IFERROR(INDEX(Pedidos!$E$2:$E$1801,MATCH(B241,Pedidos!$A$2:$A$1801,0)),"")</f>
        <v/>
      </c>
      <c r="J241" s="25">
        <f>IFERROR(INDEX(Pedidos!$C$2:$C$1801,MATCH(B241,Pedidos!$A$2:$A$1801,0)),"")</f>
        <v/>
      </c>
      <c r="K241" s="25">
        <f>IFERROR(INDEX(Pedidos!$D$2:$D$1801,MATCH(B241,Pedidos!$A$2:$A$1801,0)),"")</f>
        <v/>
      </c>
      <c r="L241" s="25">
        <f>IFERROR(INDEX(Pedidos!$F$2:$F$1801,MATCH(B241,Pedidos!$A$2:$A$1801,0)),"")</f>
        <v/>
      </c>
      <c r="M241" s="26">
        <f>IFERROR(INDEX(Pedidos!$G$2:$G$1801,MATCH(B241,Pedidos!$A$2:$A$1801,0)),0)</f>
        <v/>
      </c>
      <c r="N241" s="25">
        <f>IFERROR(INDEX(Produtos!$B$2:$B$71,MATCH(C241,Produtos!$A$2:$A$71,0)),"")</f>
        <v/>
      </c>
      <c r="O241" s="25">
        <f>IFERROR(INDEX(Produtos!$C$2:$C$71,MATCH(C241,Produtos!$A$2:$A$71,0)),"")</f>
        <v/>
      </c>
      <c r="P241" s="25">
        <f>IFERROR(INDEX(Produtos!$D$2:$D$71,MATCH(C241,Produtos!$A$2:$A$71,0)),0)</f>
        <v/>
      </c>
      <c r="Q241" s="25">
        <f>IFERROR(INDEX(Produtos!$E$2:$E$71,MATCH(C241,Produtos!$A$2:$A$71,0)),0)</f>
        <v/>
      </c>
      <c r="R241" s="27">
        <f>D241*Q241</f>
        <v/>
      </c>
      <c r="S241" s="27">
        <f>R241*E241</f>
        <v/>
      </c>
      <c r="T241" s="27">
        <f>(R241-S241)*M241</f>
        <v/>
      </c>
      <c r="U241" s="27">
        <f>R241-S241-T241</f>
        <v/>
      </c>
      <c r="V241" s="27">
        <f>D241*P241</f>
        <v/>
      </c>
      <c r="W241" s="27">
        <f>U241-V241</f>
        <v/>
      </c>
      <c r="X241" s="28">
        <f>IFERROR(W241/U241,0)</f>
        <v/>
      </c>
    </row>
    <row r="242">
      <c r="A242" s="21">
        <f>ItensPedido!A242</f>
        <v/>
      </c>
      <c r="B242" s="21">
        <f>ItensPedido!B242</f>
        <v/>
      </c>
      <c r="C242" s="21">
        <f>ItensPedido!C242</f>
        <v/>
      </c>
      <c r="D242" s="21">
        <f>ItensPedido!D242</f>
        <v/>
      </c>
      <c r="E242" s="22">
        <f>ItensPedido!E242</f>
        <v/>
      </c>
      <c r="F242" s="21">
        <f>IFERROR(INDEX(Pedidos!$B$2:$B$1801,MATCH(B242,Pedidos!$A$2:$A$1801,0)),0)</f>
        <v/>
      </c>
      <c r="G242" s="21">
        <f>IF(F242=0,"",YEAR(F242))</f>
        <v/>
      </c>
      <c r="H242" s="21">
        <f>IF(F242=0,"",MONTH(F242))</f>
        <v/>
      </c>
      <c r="I242" s="21">
        <f>IFERROR(INDEX(Pedidos!$E$2:$E$1801,MATCH(B242,Pedidos!$A$2:$A$1801,0)),"")</f>
        <v/>
      </c>
      <c r="J242" s="21">
        <f>IFERROR(INDEX(Pedidos!$C$2:$C$1801,MATCH(B242,Pedidos!$A$2:$A$1801,0)),"")</f>
        <v/>
      </c>
      <c r="K242" s="21">
        <f>IFERROR(INDEX(Pedidos!$D$2:$D$1801,MATCH(B242,Pedidos!$A$2:$A$1801,0)),"")</f>
        <v/>
      </c>
      <c r="L242" s="21">
        <f>IFERROR(INDEX(Pedidos!$F$2:$F$1801,MATCH(B242,Pedidos!$A$2:$A$1801,0)),"")</f>
        <v/>
      </c>
      <c r="M242" s="22">
        <f>IFERROR(INDEX(Pedidos!$G$2:$G$1801,MATCH(B242,Pedidos!$A$2:$A$1801,0)),0)</f>
        <v/>
      </c>
      <c r="N242" s="21">
        <f>IFERROR(INDEX(Produtos!$B$2:$B$71,MATCH(C242,Produtos!$A$2:$A$71,0)),"")</f>
        <v/>
      </c>
      <c r="O242" s="21">
        <f>IFERROR(INDEX(Produtos!$C$2:$C$71,MATCH(C242,Produtos!$A$2:$A$71,0)),"")</f>
        <v/>
      </c>
      <c r="P242" s="21">
        <f>IFERROR(INDEX(Produtos!$D$2:$D$71,MATCH(C242,Produtos!$A$2:$A$71,0)),0)</f>
        <v/>
      </c>
      <c r="Q242" s="21">
        <f>IFERROR(INDEX(Produtos!$E$2:$E$71,MATCH(C242,Produtos!$A$2:$A$71,0)),0)</f>
        <v/>
      </c>
      <c r="R242" s="23">
        <f>D242*Q242</f>
        <v/>
      </c>
      <c r="S242" s="23">
        <f>R242*E242</f>
        <v/>
      </c>
      <c r="T242" s="23">
        <f>(R242-S242)*M242</f>
        <v/>
      </c>
      <c r="U242" s="23">
        <f>R242-S242-T242</f>
        <v/>
      </c>
      <c r="V242" s="23">
        <f>D242*P242</f>
        <v/>
      </c>
      <c r="W242" s="23">
        <f>U242-V242</f>
        <v/>
      </c>
      <c r="X242" s="24">
        <f>IFERROR(W242/U242,0)</f>
        <v/>
      </c>
    </row>
    <row r="243">
      <c r="A243" s="25">
        <f>ItensPedido!A243</f>
        <v/>
      </c>
      <c r="B243" s="25">
        <f>ItensPedido!B243</f>
        <v/>
      </c>
      <c r="C243" s="25">
        <f>ItensPedido!C243</f>
        <v/>
      </c>
      <c r="D243" s="25">
        <f>ItensPedido!D243</f>
        <v/>
      </c>
      <c r="E243" s="26">
        <f>ItensPedido!E243</f>
        <v/>
      </c>
      <c r="F243" s="25">
        <f>IFERROR(INDEX(Pedidos!$B$2:$B$1801,MATCH(B243,Pedidos!$A$2:$A$1801,0)),0)</f>
        <v/>
      </c>
      <c r="G243" s="25">
        <f>IF(F243=0,"",YEAR(F243))</f>
        <v/>
      </c>
      <c r="H243" s="25">
        <f>IF(F243=0,"",MONTH(F243))</f>
        <v/>
      </c>
      <c r="I243" s="25">
        <f>IFERROR(INDEX(Pedidos!$E$2:$E$1801,MATCH(B243,Pedidos!$A$2:$A$1801,0)),"")</f>
        <v/>
      </c>
      <c r="J243" s="25">
        <f>IFERROR(INDEX(Pedidos!$C$2:$C$1801,MATCH(B243,Pedidos!$A$2:$A$1801,0)),"")</f>
        <v/>
      </c>
      <c r="K243" s="25">
        <f>IFERROR(INDEX(Pedidos!$D$2:$D$1801,MATCH(B243,Pedidos!$A$2:$A$1801,0)),"")</f>
        <v/>
      </c>
      <c r="L243" s="25">
        <f>IFERROR(INDEX(Pedidos!$F$2:$F$1801,MATCH(B243,Pedidos!$A$2:$A$1801,0)),"")</f>
        <v/>
      </c>
      <c r="M243" s="26">
        <f>IFERROR(INDEX(Pedidos!$G$2:$G$1801,MATCH(B243,Pedidos!$A$2:$A$1801,0)),0)</f>
        <v/>
      </c>
      <c r="N243" s="25">
        <f>IFERROR(INDEX(Produtos!$B$2:$B$71,MATCH(C243,Produtos!$A$2:$A$71,0)),"")</f>
        <v/>
      </c>
      <c r="O243" s="25">
        <f>IFERROR(INDEX(Produtos!$C$2:$C$71,MATCH(C243,Produtos!$A$2:$A$71,0)),"")</f>
        <v/>
      </c>
      <c r="P243" s="25">
        <f>IFERROR(INDEX(Produtos!$D$2:$D$71,MATCH(C243,Produtos!$A$2:$A$71,0)),0)</f>
        <v/>
      </c>
      <c r="Q243" s="25">
        <f>IFERROR(INDEX(Produtos!$E$2:$E$71,MATCH(C243,Produtos!$A$2:$A$71,0)),0)</f>
        <v/>
      </c>
      <c r="R243" s="27">
        <f>D243*Q243</f>
        <v/>
      </c>
      <c r="S243" s="27">
        <f>R243*E243</f>
        <v/>
      </c>
      <c r="T243" s="27">
        <f>(R243-S243)*M243</f>
        <v/>
      </c>
      <c r="U243" s="27">
        <f>R243-S243-T243</f>
        <v/>
      </c>
      <c r="V243" s="27">
        <f>D243*P243</f>
        <v/>
      </c>
      <c r="W243" s="27">
        <f>U243-V243</f>
        <v/>
      </c>
      <c r="X243" s="28">
        <f>IFERROR(W243/U243,0)</f>
        <v/>
      </c>
    </row>
    <row r="244">
      <c r="A244" s="21">
        <f>ItensPedido!A244</f>
        <v/>
      </c>
      <c r="B244" s="21">
        <f>ItensPedido!B244</f>
        <v/>
      </c>
      <c r="C244" s="21">
        <f>ItensPedido!C244</f>
        <v/>
      </c>
      <c r="D244" s="21">
        <f>ItensPedido!D244</f>
        <v/>
      </c>
      <c r="E244" s="22">
        <f>ItensPedido!E244</f>
        <v/>
      </c>
      <c r="F244" s="21">
        <f>IFERROR(INDEX(Pedidos!$B$2:$B$1801,MATCH(B244,Pedidos!$A$2:$A$1801,0)),0)</f>
        <v/>
      </c>
      <c r="G244" s="21">
        <f>IF(F244=0,"",YEAR(F244))</f>
        <v/>
      </c>
      <c r="H244" s="21">
        <f>IF(F244=0,"",MONTH(F244))</f>
        <v/>
      </c>
      <c r="I244" s="21">
        <f>IFERROR(INDEX(Pedidos!$E$2:$E$1801,MATCH(B244,Pedidos!$A$2:$A$1801,0)),"")</f>
        <v/>
      </c>
      <c r="J244" s="21">
        <f>IFERROR(INDEX(Pedidos!$C$2:$C$1801,MATCH(B244,Pedidos!$A$2:$A$1801,0)),"")</f>
        <v/>
      </c>
      <c r="K244" s="21">
        <f>IFERROR(INDEX(Pedidos!$D$2:$D$1801,MATCH(B244,Pedidos!$A$2:$A$1801,0)),"")</f>
        <v/>
      </c>
      <c r="L244" s="21">
        <f>IFERROR(INDEX(Pedidos!$F$2:$F$1801,MATCH(B244,Pedidos!$A$2:$A$1801,0)),"")</f>
        <v/>
      </c>
      <c r="M244" s="22">
        <f>IFERROR(INDEX(Pedidos!$G$2:$G$1801,MATCH(B244,Pedidos!$A$2:$A$1801,0)),0)</f>
        <v/>
      </c>
      <c r="N244" s="21">
        <f>IFERROR(INDEX(Produtos!$B$2:$B$71,MATCH(C244,Produtos!$A$2:$A$71,0)),"")</f>
        <v/>
      </c>
      <c r="O244" s="21">
        <f>IFERROR(INDEX(Produtos!$C$2:$C$71,MATCH(C244,Produtos!$A$2:$A$71,0)),"")</f>
        <v/>
      </c>
      <c r="P244" s="21">
        <f>IFERROR(INDEX(Produtos!$D$2:$D$71,MATCH(C244,Produtos!$A$2:$A$71,0)),0)</f>
        <v/>
      </c>
      <c r="Q244" s="21">
        <f>IFERROR(INDEX(Produtos!$E$2:$E$71,MATCH(C244,Produtos!$A$2:$A$71,0)),0)</f>
        <v/>
      </c>
      <c r="R244" s="23">
        <f>D244*Q244</f>
        <v/>
      </c>
      <c r="S244" s="23">
        <f>R244*E244</f>
        <v/>
      </c>
      <c r="T244" s="23">
        <f>(R244-S244)*M244</f>
        <v/>
      </c>
      <c r="U244" s="23">
        <f>R244-S244-T244</f>
        <v/>
      </c>
      <c r="V244" s="23">
        <f>D244*P244</f>
        <v/>
      </c>
      <c r="W244" s="23">
        <f>U244-V244</f>
        <v/>
      </c>
      <c r="X244" s="24">
        <f>IFERROR(W244/U244,0)</f>
        <v/>
      </c>
    </row>
    <row r="245">
      <c r="A245" s="25">
        <f>ItensPedido!A245</f>
        <v/>
      </c>
      <c r="B245" s="25">
        <f>ItensPedido!B245</f>
        <v/>
      </c>
      <c r="C245" s="25">
        <f>ItensPedido!C245</f>
        <v/>
      </c>
      <c r="D245" s="25">
        <f>ItensPedido!D245</f>
        <v/>
      </c>
      <c r="E245" s="26">
        <f>ItensPedido!E245</f>
        <v/>
      </c>
      <c r="F245" s="25">
        <f>IFERROR(INDEX(Pedidos!$B$2:$B$1801,MATCH(B245,Pedidos!$A$2:$A$1801,0)),0)</f>
        <v/>
      </c>
      <c r="G245" s="25">
        <f>IF(F245=0,"",YEAR(F245))</f>
        <v/>
      </c>
      <c r="H245" s="25">
        <f>IF(F245=0,"",MONTH(F245))</f>
        <v/>
      </c>
      <c r="I245" s="25">
        <f>IFERROR(INDEX(Pedidos!$E$2:$E$1801,MATCH(B245,Pedidos!$A$2:$A$1801,0)),"")</f>
        <v/>
      </c>
      <c r="J245" s="25">
        <f>IFERROR(INDEX(Pedidos!$C$2:$C$1801,MATCH(B245,Pedidos!$A$2:$A$1801,0)),"")</f>
        <v/>
      </c>
      <c r="K245" s="25">
        <f>IFERROR(INDEX(Pedidos!$D$2:$D$1801,MATCH(B245,Pedidos!$A$2:$A$1801,0)),"")</f>
        <v/>
      </c>
      <c r="L245" s="25">
        <f>IFERROR(INDEX(Pedidos!$F$2:$F$1801,MATCH(B245,Pedidos!$A$2:$A$1801,0)),"")</f>
        <v/>
      </c>
      <c r="M245" s="26">
        <f>IFERROR(INDEX(Pedidos!$G$2:$G$1801,MATCH(B245,Pedidos!$A$2:$A$1801,0)),0)</f>
        <v/>
      </c>
      <c r="N245" s="25">
        <f>IFERROR(INDEX(Produtos!$B$2:$B$71,MATCH(C245,Produtos!$A$2:$A$71,0)),"")</f>
        <v/>
      </c>
      <c r="O245" s="25">
        <f>IFERROR(INDEX(Produtos!$C$2:$C$71,MATCH(C245,Produtos!$A$2:$A$71,0)),"")</f>
        <v/>
      </c>
      <c r="P245" s="25">
        <f>IFERROR(INDEX(Produtos!$D$2:$D$71,MATCH(C245,Produtos!$A$2:$A$71,0)),0)</f>
        <v/>
      </c>
      <c r="Q245" s="25">
        <f>IFERROR(INDEX(Produtos!$E$2:$E$71,MATCH(C245,Produtos!$A$2:$A$71,0)),0)</f>
        <v/>
      </c>
      <c r="R245" s="27">
        <f>D245*Q245</f>
        <v/>
      </c>
      <c r="S245" s="27">
        <f>R245*E245</f>
        <v/>
      </c>
      <c r="T245" s="27">
        <f>(R245-S245)*M245</f>
        <v/>
      </c>
      <c r="U245" s="27">
        <f>R245-S245-T245</f>
        <v/>
      </c>
      <c r="V245" s="27">
        <f>D245*P245</f>
        <v/>
      </c>
      <c r="W245" s="27">
        <f>U245-V245</f>
        <v/>
      </c>
      <c r="X245" s="28">
        <f>IFERROR(W245/U245,0)</f>
        <v/>
      </c>
    </row>
    <row r="246">
      <c r="A246" s="21">
        <f>ItensPedido!A246</f>
        <v/>
      </c>
      <c r="B246" s="21">
        <f>ItensPedido!B246</f>
        <v/>
      </c>
      <c r="C246" s="21">
        <f>ItensPedido!C246</f>
        <v/>
      </c>
      <c r="D246" s="21">
        <f>ItensPedido!D246</f>
        <v/>
      </c>
      <c r="E246" s="22">
        <f>ItensPedido!E246</f>
        <v/>
      </c>
      <c r="F246" s="21">
        <f>IFERROR(INDEX(Pedidos!$B$2:$B$1801,MATCH(B246,Pedidos!$A$2:$A$1801,0)),0)</f>
        <v/>
      </c>
      <c r="G246" s="21">
        <f>IF(F246=0,"",YEAR(F246))</f>
        <v/>
      </c>
      <c r="H246" s="21">
        <f>IF(F246=0,"",MONTH(F246))</f>
        <v/>
      </c>
      <c r="I246" s="21">
        <f>IFERROR(INDEX(Pedidos!$E$2:$E$1801,MATCH(B246,Pedidos!$A$2:$A$1801,0)),"")</f>
        <v/>
      </c>
      <c r="J246" s="21">
        <f>IFERROR(INDEX(Pedidos!$C$2:$C$1801,MATCH(B246,Pedidos!$A$2:$A$1801,0)),"")</f>
        <v/>
      </c>
      <c r="K246" s="21">
        <f>IFERROR(INDEX(Pedidos!$D$2:$D$1801,MATCH(B246,Pedidos!$A$2:$A$1801,0)),"")</f>
        <v/>
      </c>
      <c r="L246" s="21">
        <f>IFERROR(INDEX(Pedidos!$F$2:$F$1801,MATCH(B246,Pedidos!$A$2:$A$1801,0)),"")</f>
        <v/>
      </c>
      <c r="M246" s="22">
        <f>IFERROR(INDEX(Pedidos!$G$2:$G$1801,MATCH(B246,Pedidos!$A$2:$A$1801,0)),0)</f>
        <v/>
      </c>
      <c r="N246" s="21">
        <f>IFERROR(INDEX(Produtos!$B$2:$B$71,MATCH(C246,Produtos!$A$2:$A$71,0)),"")</f>
        <v/>
      </c>
      <c r="O246" s="21">
        <f>IFERROR(INDEX(Produtos!$C$2:$C$71,MATCH(C246,Produtos!$A$2:$A$71,0)),"")</f>
        <v/>
      </c>
      <c r="P246" s="21">
        <f>IFERROR(INDEX(Produtos!$D$2:$D$71,MATCH(C246,Produtos!$A$2:$A$71,0)),0)</f>
        <v/>
      </c>
      <c r="Q246" s="21">
        <f>IFERROR(INDEX(Produtos!$E$2:$E$71,MATCH(C246,Produtos!$A$2:$A$71,0)),0)</f>
        <v/>
      </c>
      <c r="R246" s="23">
        <f>D246*Q246</f>
        <v/>
      </c>
      <c r="S246" s="23">
        <f>R246*E246</f>
        <v/>
      </c>
      <c r="T246" s="23">
        <f>(R246-S246)*M246</f>
        <v/>
      </c>
      <c r="U246" s="23">
        <f>R246-S246-T246</f>
        <v/>
      </c>
      <c r="V246" s="23">
        <f>D246*P246</f>
        <v/>
      </c>
      <c r="W246" s="23">
        <f>U246-V246</f>
        <v/>
      </c>
      <c r="X246" s="24">
        <f>IFERROR(W246/U246,0)</f>
        <v/>
      </c>
    </row>
    <row r="247">
      <c r="A247" s="25">
        <f>ItensPedido!A247</f>
        <v/>
      </c>
      <c r="B247" s="25">
        <f>ItensPedido!B247</f>
        <v/>
      </c>
      <c r="C247" s="25">
        <f>ItensPedido!C247</f>
        <v/>
      </c>
      <c r="D247" s="25">
        <f>ItensPedido!D247</f>
        <v/>
      </c>
      <c r="E247" s="26">
        <f>ItensPedido!E247</f>
        <v/>
      </c>
      <c r="F247" s="25">
        <f>IFERROR(INDEX(Pedidos!$B$2:$B$1801,MATCH(B247,Pedidos!$A$2:$A$1801,0)),0)</f>
        <v/>
      </c>
      <c r="G247" s="25">
        <f>IF(F247=0,"",YEAR(F247))</f>
        <v/>
      </c>
      <c r="H247" s="25">
        <f>IF(F247=0,"",MONTH(F247))</f>
        <v/>
      </c>
      <c r="I247" s="25">
        <f>IFERROR(INDEX(Pedidos!$E$2:$E$1801,MATCH(B247,Pedidos!$A$2:$A$1801,0)),"")</f>
        <v/>
      </c>
      <c r="J247" s="25">
        <f>IFERROR(INDEX(Pedidos!$C$2:$C$1801,MATCH(B247,Pedidos!$A$2:$A$1801,0)),"")</f>
        <v/>
      </c>
      <c r="K247" s="25">
        <f>IFERROR(INDEX(Pedidos!$D$2:$D$1801,MATCH(B247,Pedidos!$A$2:$A$1801,0)),"")</f>
        <v/>
      </c>
      <c r="L247" s="25">
        <f>IFERROR(INDEX(Pedidos!$F$2:$F$1801,MATCH(B247,Pedidos!$A$2:$A$1801,0)),"")</f>
        <v/>
      </c>
      <c r="M247" s="26">
        <f>IFERROR(INDEX(Pedidos!$G$2:$G$1801,MATCH(B247,Pedidos!$A$2:$A$1801,0)),0)</f>
        <v/>
      </c>
      <c r="N247" s="25">
        <f>IFERROR(INDEX(Produtos!$B$2:$B$71,MATCH(C247,Produtos!$A$2:$A$71,0)),"")</f>
        <v/>
      </c>
      <c r="O247" s="25">
        <f>IFERROR(INDEX(Produtos!$C$2:$C$71,MATCH(C247,Produtos!$A$2:$A$71,0)),"")</f>
        <v/>
      </c>
      <c r="P247" s="25">
        <f>IFERROR(INDEX(Produtos!$D$2:$D$71,MATCH(C247,Produtos!$A$2:$A$71,0)),0)</f>
        <v/>
      </c>
      <c r="Q247" s="25">
        <f>IFERROR(INDEX(Produtos!$E$2:$E$71,MATCH(C247,Produtos!$A$2:$A$71,0)),0)</f>
        <v/>
      </c>
      <c r="R247" s="27">
        <f>D247*Q247</f>
        <v/>
      </c>
      <c r="S247" s="27">
        <f>R247*E247</f>
        <v/>
      </c>
      <c r="T247" s="27">
        <f>(R247-S247)*M247</f>
        <v/>
      </c>
      <c r="U247" s="27">
        <f>R247-S247-T247</f>
        <v/>
      </c>
      <c r="V247" s="27">
        <f>D247*P247</f>
        <v/>
      </c>
      <c r="W247" s="27">
        <f>U247-V247</f>
        <v/>
      </c>
      <c r="X247" s="28">
        <f>IFERROR(W247/U247,0)</f>
        <v/>
      </c>
    </row>
    <row r="248">
      <c r="A248" s="21">
        <f>ItensPedido!A248</f>
        <v/>
      </c>
      <c r="B248" s="21">
        <f>ItensPedido!B248</f>
        <v/>
      </c>
      <c r="C248" s="21">
        <f>ItensPedido!C248</f>
        <v/>
      </c>
      <c r="D248" s="21">
        <f>ItensPedido!D248</f>
        <v/>
      </c>
      <c r="E248" s="22">
        <f>ItensPedido!E248</f>
        <v/>
      </c>
      <c r="F248" s="21">
        <f>IFERROR(INDEX(Pedidos!$B$2:$B$1801,MATCH(B248,Pedidos!$A$2:$A$1801,0)),0)</f>
        <v/>
      </c>
      <c r="G248" s="21">
        <f>IF(F248=0,"",YEAR(F248))</f>
        <v/>
      </c>
      <c r="H248" s="21">
        <f>IF(F248=0,"",MONTH(F248))</f>
        <v/>
      </c>
      <c r="I248" s="21">
        <f>IFERROR(INDEX(Pedidos!$E$2:$E$1801,MATCH(B248,Pedidos!$A$2:$A$1801,0)),"")</f>
        <v/>
      </c>
      <c r="J248" s="21">
        <f>IFERROR(INDEX(Pedidos!$C$2:$C$1801,MATCH(B248,Pedidos!$A$2:$A$1801,0)),"")</f>
        <v/>
      </c>
      <c r="K248" s="21">
        <f>IFERROR(INDEX(Pedidos!$D$2:$D$1801,MATCH(B248,Pedidos!$A$2:$A$1801,0)),"")</f>
        <v/>
      </c>
      <c r="L248" s="21">
        <f>IFERROR(INDEX(Pedidos!$F$2:$F$1801,MATCH(B248,Pedidos!$A$2:$A$1801,0)),"")</f>
        <v/>
      </c>
      <c r="M248" s="22">
        <f>IFERROR(INDEX(Pedidos!$G$2:$G$1801,MATCH(B248,Pedidos!$A$2:$A$1801,0)),0)</f>
        <v/>
      </c>
      <c r="N248" s="21">
        <f>IFERROR(INDEX(Produtos!$B$2:$B$71,MATCH(C248,Produtos!$A$2:$A$71,0)),"")</f>
        <v/>
      </c>
      <c r="O248" s="21">
        <f>IFERROR(INDEX(Produtos!$C$2:$C$71,MATCH(C248,Produtos!$A$2:$A$71,0)),"")</f>
        <v/>
      </c>
      <c r="P248" s="21">
        <f>IFERROR(INDEX(Produtos!$D$2:$D$71,MATCH(C248,Produtos!$A$2:$A$71,0)),0)</f>
        <v/>
      </c>
      <c r="Q248" s="21">
        <f>IFERROR(INDEX(Produtos!$E$2:$E$71,MATCH(C248,Produtos!$A$2:$A$71,0)),0)</f>
        <v/>
      </c>
      <c r="R248" s="23">
        <f>D248*Q248</f>
        <v/>
      </c>
      <c r="S248" s="23">
        <f>R248*E248</f>
        <v/>
      </c>
      <c r="T248" s="23">
        <f>(R248-S248)*M248</f>
        <v/>
      </c>
      <c r="U248" s="23">
        <f>R248-S248-T248</f>
        <v/>
      </c>
      <c r="V248" s="23">
        <f>D248*P248</f>
        <v/>
      </c>
      <c r="W248" s="23">
        <f>U248-V248</f>
        <v/>
      </c>
      <c r="X248" s="24">
        <f>IFERROR(W248/U248,0)</f>
        <v/>
      </c>
    </row>
    <row r="249">
      <c r="A249" s="25">
        <f>ItensPedido!A249</f>
        <v/>
      </c>
      <c r="B249" s="25">
        <f>ItensPedido!B249</f>
        <v/>
      </c>
      <c r="C249" s="25">
        <f>ItensPedido!C249</f>
        <v/>
      </c>
      <c r="D249" s="25">
        <f>ItensPedido!D249</f>
        <v/>
      </c>
      <c r="E249" s="26">
        <f>ItensPedido!E249</f>
        <v/>
      </c>
      <c r="F249" s="25">
        <f>IFERROR(INDEX(Pedidos!$B$2:$B$1801,MATCH(B249,Pedidos!$A$2:$A$1801,0)),0)</f>
        <v/>
      </c>
      <c r="G249" s="25">
        <f>IF(F249=0,"",YEAR(F249))</f>
        <v/>
      </c>
      <c r="H249" s="25">
        <f>IF(F249=0,"",MONTH(F249))</f>
        <v/>
      </c>
      <c r="I249" s="25">
        <f>IFERROR(INDEX(Pedidos!$E$2:$E$1801,MATCH(B249,Pedidos!$A$2:$A$1801,0)),"")</f>
        <v/>
      </c>
      <c r="J249" s="25">
        <f>IFERROR(INDEX(Pedidos!$C$2:$C$1801,MATCH(B249,Pedidos!$A$2:$A$1801,0)),"")</f>
        <v/>
      </c>
      <c r="K249" s="25">
        <f>IFERROR(INDEX(Pedidos!$D$2:$D$1801,MATCH(B249,Pedidos!$A$2:$A$1801,0)),"")</f>
        <v/>
      </c>
      <c r="L249" s="25">
        <f>IFERROR(INDEX(Pedidos!$F$2:$F$1801,MATCH(B249,Pedidos!$A$2:$A$1801,0)),"")</f>
        <v/>
      </c>
      <c r="M249" s="26">
        <f>IFERROR(INDEX(Pedidos!$G$2:$G$1801,MATCH(B249,Pedidos!$A$2:$A$1801,0)),0)</f>
        <v/>
      </c>
      <c r="N249" s="25">
        <f>IFERROR(INDEX(Produtos!$B$2:$B$71,MATCH(C249,Produtos!$A$2:$A$71,0)),"")</f>
        <v/>
      </c>
      <c r="O249" s="25">
        <f>IFERROR(INDEX(Produtos!$C$2:$C$71,MATCH(C249,Produtos!$A$2:$A$71,0)),"")</f>
        <v/>
      </c>
      <c r="P249" s="25">
        <f>IFERROR(INDEX(Produtos!$D$2:$D$71,MATCH(C249,Produtos!$A$2:$A$71,0)),0)</f>
        <v/>
      </c>
      <c r="Q249" s="25">
        <f>IFERROR(INDEX(Produtos!$E$2:$E$71,MATCH(C249,Produtos!$A$2:$A$71,0)),0)</f>
        <v/>
      </c>
      <c r="R249" s="27">
        <f>D249*Q249</f>
        <v/>
      </c>
      <c r="S249" s="27">
        <f>R249*E249</f>
        <v/>
      </c>
      <c r="T249" s="27">
        <f>(R249-S249)*M249</f>
        <v/>
      </c>
      <c r="U249" s="27">
        <f>R249-S249-T249</f>
        <v/>
      </c>
      <c r="V249" s="27">
        <f>D249*P249</f>
        <v/>
      </c>
      <c r="W249" s="27">
        <f>U249-V249</f>
        <v/>
      </c>
      <c r="X249" s="28">
        <f>IFERROR(W249/U249,0)</f>
        <v/>
      </c>
    </row>
    <row r="250">
      <c r="A250" s="21">
        <f>ItensPedido!A250</f>
        <v/>
      </c>
      <c r="B250" s="21">
        <f>ItensPedido!B250</f>
        <v/>
      </c>
      <c r="C250" s="21">
        <f>ItensPedido!C250</f>
        <v/>
      </c>
      <c r="D250" s="21">
        <f>ItensPedido!D250</f>
        <v/>
      </c>
      <c r="E250" s="22">
        <f>ItensPedido!E250</f>
        <v/>
      </c>
      <c r="F250" s="21">
        <f>IFERROR(INDEX(Pedidos!$B$2:$B$1801,MATCH(B250,Pedidos!$A$2:$A$1801,0)),0)</f>
        <v/>
      </c>
      <c r="G250" s="21">
        <f>IF(F250=0,"",YEAR(F250))</f>
        <v/>
      </c>
      <c r="H250" s="21">
        <f>IF(F250=0,"",MONTH(F250))</f>
        <v/>
      </c>
      <c r="I250" s="21">
        <f>IFERROR(INDEX(Pedidos!$E$2:$E$1801,MATCH(B250,Pedidos!$A$2:$A$1801,0)),"")</f>
        <v/>
      </c>
      <c r="J250" s="21">
        <f>IFERROR(INDEX(Pedidos!$C$2:$C$1801,MATCH(B250,Pedidos!$A$2:$A$1801,0)),"")</f>
        <v/>
      </c>
      <c r="K250" s="21">
        <f>IFERROR(INDEX(Pedidos!$D$2:$D$1801,MATCH(B250,Pedidos!$A$2:$A$1801,0)),"")</f>
        <v/>
      </c>
      <c r="L250" s="21">
        <f>IFERROR(INDEX(Pedidos!$F$2:$F$1801,MATCH(B250,Pedidos!$A$2:$A$1801,0)),"")</f>
        <v/>
      </c>
      <c r="M250" s="22">
        <f>IFERROR(INDEX(Pedidos!$G$2:$G$1801,MATCH(B250,Pedidos!$A$2:$A$1801,0)),0)</f>
        <v/>
      </c>
      <c r="N250" s="21">
        <f>IFERROR(INDEX(Produtos!$B$2:$B$71,MATCH(C250,Produtos!$A$2:$A$71,0)),"")</f>
        <v/>
      </c>
      <c r="O250" s="21">
        <f>IFERROR(INDEX(Produtos!$C$2:$C$71,MATCH(C250,Produtos!$A$2:$A$71,0)),"")</f>
        <v/>
      </c>
      <c r="P250" s="21">
        <f>IFERROR(INDEX(Produtos!$D$2:$D$71,MATCH(C250,Produtos!$A$2:$A$71,0)),0)</f>
        <v/>
      </c>
      <c r="Q250" s="21">
        <f>IFERROR(INDEX(Produtos!$E$2:$E$71,MATCH(C250,Produtos!$A$2:$A$71,0)),0)</f>
        <v/>
      </c>
      <c r="R250" s="23">
        <f>D250*Q250</f>
        <v/>
      </c>
      <c r="S250" s="23">
        <f>R250*E250</f>
        <v/>
      </c>
      <c r="T250" s="23">
        <f>(R250-S250)*M250</f>
        <v/>
      </c>
      <c r="U250" s="23">
        <f>R250-S250-T250</f>
        <v/>
      </c>
      <c r="V250" s="23">
        <f>D250*P250</f>
        <v/>
      </c>
      <c r="W250" s="23">
        <f>U250-V250</f>
        <v/>
      </c>
      <c r="X250" s="24">
        <f>IFERROR(W250/U250,0)</f>
        <v/>
      </c>
    </row>
    <row r="251">
      <c r="A251" s="25">
        <f>ItensPedido!A251</f>
        <v/>
      </c>
      <c r="B251" s="25">
        <f>ItensPedido!B251</f>
        <v/>
      </c>
      <c r="C251" s="25">
        <f>ItensPedido!C251</f>
        <v/>
      </c>
      <c r="D251" s="25">
        <f>ItensPedido!D251</f>
        <v/>
      </c>
      <c r="E251" s="26">
        <f>ItensPedido!E251</f>
        <v/>
      </c>
      <c r="F251" s="25">
        <f>IFERROR(INDEX(Pedidos!$B$2:$B$1801,MATCH(B251,Pedidos!$A$2:$A$1801,0)),0)</f>
        <v/>
      </c>
      <c r="G251" s="25">
        <f>IF(F251=0,"",YEAR(F251))</f>
        <v/>
      </c>
      <c r="H251" s="25">
        <f>IF(F251=0,"",MONTH(F251))</f>
        <v/>
      </c>
      <c r="I251" s="25">
        <f>IFERROR(INDEX(Pedidos!$E$2:$E$1801,MATCH(B251,Pedidos!$A$2:$A$1801,0)),"")</f>
        <v/>
      </c>
      <c r="J251" s="25">
        <f>IFERROR(INDEX(Pedidos!$C$2:$C$1801,MATCH(B251,Pedidos!$A$2:$A$1801,0)),"")</f>
        <v/>
      </c>
      <c r="K251" s="25">
        <f>IFERROR(INDEX(Pedidos!$D$2:$D$1801,MATCH(B251,Pedidos!$A$2:$A$1801,0)),"")</f>
        <v/>
      </c>
      <c r="L251" s="25">
        <f>IFERROR(INDEX(Pedidos!$F$2:$F$1801,MATCH(B251,Pedidos!$A$2:$A$1801,0)),"")</f>
        <v/>
      </c>
      <c r="M251" s="26">
        <f>IFERROR(INDEX(Pedidos!$G$2:$G$1801,MATCH(B251,Pedidos!$A$2:$A$1801,0)),0)</f>
        <v/>
      </c>
      <c r="N251" s="25">
        <f>IFERROR(INDEX(Produtos!$B$2:$B$71,MATCH(C251,Produtos!$A$2:$A$71,0)),"")</f>
        <v/>
      </c>
      <c r="O251" s="25">
        <f>IFERROR(INDEX(Produtos!$C$2:$C$71,MATCH(C251,Produtos!$A$2:$A$71,0)),"")</f>
        <v/>
      </c>
      <c r="P251" s="25">
        <f>IFERROR(INDEX(Produtos!$D$2:$D$71,MATCH(C251,Produtos!$A$2:$A$71,0)),0)</f>
        <v/>
      </c>
      <c r="Q251" s="25">
        <f>IFERROR(INDEX(Produtos!$E$2:$E$71,MATCH(C251,Produtos!$A$2:$A$71,0)),0)</f>
        <v/>
      </c>
      <c r="R251" s="27">
        <f>D251*Q251</f>
        <v/>
      </c>
      <c r="S251" s="27">
        <f>R251*E251</f>
        <v/>
      </c>
      <c r="T251" s="27">
        <f>(R251-S251)*M251</f>
        <v/>
      </c>
      <c r="U251" s="27">
        <f>R251-S251-T251</f>
        <v/>
      </c>
      <c r="V251" s="27">
        <f>D251*P251</f>
        <v/>
      </c>
      <c r="W251" s="27">
        <f>U251-V251</f>
        <v/>
      </c>
      <c r="X251" s="28">
        <f>IFERROR(W251/U251,0)</f>
        <v/>
      </c>
    </row>
    <row r="252">
      <c r="A252" s="21">
        <f>ItensPedido!A252</f>
        <v/>
      </c>
      <c r="B252" s="21">
        <f>ItensPedido!B252</f>
        <v/>
      </c>
      <c r="C252" s="21">
        <f>ItensPedido!C252</f>
        <v/>
      </c>
      <c r="D252" s="21">
        <f>ItensPedido!D252</f>
        <v/>
      </c>
      <c r="E252" s="22">
        <f>ItensPedido!E252</f>
        <v/>
      </c>
      <c r="F252" s="21">
        <f>IFERROR(INDEX(Pedidos!$B$2:$B$1801,MATCH(B252,Pedidos!$A$2:$A$1801,0)),0)</f>
        <v/>
      </c>
      <c r="G252" s="21">
        <f>IF(F252=0,"",YEAR(F252))</f>
        <v/>
      </c>
      <c r="H252" s="21">
        <f>IF(F252=0,"",MONTH(F252))</f>
        <v/>
      </c>
      <c r="I252" s="21">
        <f>IFERROR(INDEX(Pedidos!$E$2:$E$1801,MATCH(B252,Pedidos!$A$2:$A$1801,0)),"")</f>
        <v/>
      </c>
      <c r="J252" s="21">
        <f>IFERROR(INDEX(Pedidos!$C$2:$C$1801,MATCH(B252,Pedidos!$A$2:$A$1801,0)),"")</f>
        <v/>
      </c>
      <c r="K252" s="21">
        <f>IFERROR(INDEX(Pedidos!$D$2:$D$1801,MATCH(B252,Pedidos!$A$2:$A$1801,0)),"")</f>
        <v/>
      </c>
      <c r="L252" s="21">
        <f>IFERROR(INDEX(Pedidos!$F$2:$F$1801,MATCH(B252,Pedidos!$A$2:$A$1801,0)),"")</f>
        <v/>
      </c>
      <c r="M252" s="22">
        <f>IFERROR(INDEX(Pedidos!$G$2:$G$1801,MATCH(B252,Pedidos!$A$2:$A$1801,0)),0)</f>
        <v/>
      </c>
      <c r="N252" s="21">
        <f>IFERROR(INDEX(Produtos!$B$2:$B$71,MATCH(C252,Produtos!$A$2:$A$71,0)),"")</f>
        <v/>
      </c>
      <c r="O252" s="21">
        <f>IFERROR(INDEX(Produtos!$C$2:$C$71,MATCH(C252,Produtos!$A$2:$A$71,0)),"")</f>
        <v/>
      </c>
      <c r="P252" s="21">
        <f>IFERROR(INDEX(Produtos!$D$2:$D$71,MATCH(C252,Produtos!$A$2:$A$71,0)),0)</f>
        <v/>
      </c>
      <c r="Q252" s="21">
        <f>IFERROR(INDEX(Produtos!$E$2:$E$71,MATCH(C252,Produtos!$A$2:$A$71,0)),0)</f>
        <v/>
      </c>
      <c r="R252" s="23">
        <f>D252*Q252</f>
        <v/>
      </c>
      <c r="S252" s="23">
        <f>R252*E252</f>
        <v/>
      </c>
      <c r="T252" s="23">
        <f>(R252-S252)*M252</f>
        <v/>
      </c>
      <c r="U252" s="23">
        <f>R252-S252-T252</f>
        <v/>
      </c>
      <c r="V252" s="23">
        <f>D252*P252</f>
        <v/>
      </c>
      <c r="W252" s="23">
        <f>U252-V252</f>
        <v/>
      </c>
      <c r="X252" s="24">
        <f>IFERROR(W252/U252,0)</f>
        <v/>
      </c>
    </row>
    <row r="253">
      <c r="A253" s="25">
        <f>ItensPedido!A253</f>
        <v/>
      </c>
      <c r="B253" s="25">
        <f>ItensPedido!B253</f>
        <v/>
      </c>
      <c r="C253" s="25">
        <f>ItensPedido!C253</f>
        <v/>
      </c>
      <c r="D253" s="25">
        <f>ItensPedido!D253</f>
        <v/>
      </c>
      <c r="E253" s="26">
        <f>ItensPedido!E253</f>
        <v/>
      </c>
      <c r="F253" s="25">
        <f>IFERROR(INDEX(Pedidos!$B$2:$B$1801,MATCH(B253,Pedidos!$A$2:$A$1801,0)),0)</f>
        <v/>
      </c>
      <c r="G253" s="25">
        <f>IF(F253=0,"",YEAR(F253))</f>
        <v/>
      </c>
      <c r="H253" s="25">
        <f>IF(F253=0,"",MONTH(F253))</f>
        <v/>
      </c>
      <c r="I253" s="25">
        <f>IFERROR(INDEX(Pedidos!$E$2:$E$1801,MATCH(B253,Pedidos!$A$2:$A$1801,0)),"")</f>
        <v/>
      </c>
      <c r="J253" s="25">
        <f>IFERROR(INDEX(Pedidos!$C$2:$C$1801,MATCH(B253,Pedidos!$A$2:$A$1801,0)),"")</f>
        <v/>
      </c>
      <c r="K253" s="25">
        <f>IFERROR(INDEX(Pedidos!$D$2:$D$1801,MATCH(B253,Pedidos!$A$2:$A$1801,0)),"")</f>
        <v/>
      </c>
      <c r="L253" s="25">
        <f>IFERROR(INDEX(Pedidos!$F$2:$F$1801,MATCH(B253,Pedidos!$A$2:$A$1801,0)),"")</f>
        <v/>
      </c>
      <c r="M253" s="26">
        <f>IFERROR(INDEX(Pedidos!$G$2:$G$1801,MATCH(B253,Pedidos!$A$2:$A$1801,0)),0)</f>
        <v/>
      </c>
      <c r="N253" s="25">
        <f>IFERROR(INDEX(Produtos!$B$2:$B$71,MATCH(C253,Produtos!$A$2:$A$71,0)),"")</f>
        <v/>
      </c>
      <c r="O253" s="25">
        <f>IFERROR(INDEX(Produtos!$C$2:$C$71,MATCH(C253,Produtos!$A$2:$A$71,0)),"")</f>
        <v/>
      </c>
      <c r="P253" s="25">
        <f>IFERROR(INDEX(Produtos!$D$2:$D$71,MATCH(C253,Produtos!$A$2:$A$71,0)),0)</f>
        <v/>
      </c>
      <c r="Q253" s="25">
        <f>IFERROR(INDEX(Produtos!$E$2:$E$71,MATCH(C253,Produtos!$A$2:$A$71,0)),0)</f>
        <v/>
      </c>
      <c r="R253" s="27">
        <f>D253*Q253</f>
        <v/>
      </c>
      <c r="S253" s="27">
        <f>R253*E253</f>
        <v/>
      </c>
      <c r="T253" s="27">
        <f>(R253-S253)*M253</f>
        <v/>
      </c>
      <c r="U253" s="27">
        <f>R253-S253-T253</f>
        <v/>
      </c>
      <c r="V253" s="27">
        <f>D253*P253</f>
        <v/>
      </c>
      <c r="W253" s="27">
        <f>U253-V253</f>
        <v/>
      </c>
      <c r="X253" s="28">
        <f>IFERROR(W253/U253,0)</f>
        <v/>
      </c>
    </row>
    <row r="254">
      <c r="A254" s="21">
        <f>ItensPedido!A254</f>
        <v/>
      </c>
      <c r="B254" s="21">
        <f>ItensPedido!B254</f>
        <v/>
      </c>
      <c r="C254" s="21">
        <f>ItensPedido!C254</f>
        <v/>
      </c>
      <c r="D254" s="21">
        <f>ItensPedido!D254</f>
        <v/>
      </c>
      <c r="E254" s="22">
        <f>ItensPedido!E254</f>
        <v/>
      </c>
      <c r="F254" s="21">
        <f>IFERROR(INDEX(Pedidos!$B$2:$B$1801,MATCH(B254,Pedidos!$A$2:$A$1801,0)),0)</f>
        <v/>
      </c>
      <c r="G254" s="21">
        <f>IF(F254=0,"",YEAR(F254))</f>
        <v/>
      </c>
      <c r="H254" s="21">
        <f>IF(F254=0,"",MONTH(F254))</f>
        <v/>
      </c>
      <c r="I254" s="21">
        <f>IFERROR(INDEX(Pedidos!$E$2:$E$1801,MATCH(B254,Pedidos!$A$2:$A$1801,0)),"")</f>
        <v/>
      </c>
      <c r="J254" s="21">
        <f>IFERROR(INDEX(Pedidos!$C$2:$C$1801,MATCH(B254,Pedidos!$A$2:$A$1801,0)),"")</f>
        <v/>
      </c>
      <c r="K254" s="21">
        <f>IFERROR(INDEX(Pedidos!$D$2:$D$1801,MATCH(B254,Pedidos!$A$2:$A$1801,0)),"")</f>
        <v/>
      </c>
      <c r="L254" s="21">
        <f>IFERROR(INDEX(Pedidos!$F$2:$F$1801,MATCH(B254,Pedidos!$A$2:$A$1801,0)),"")</f>
        <v/>
      </c>
      <c r="M254" s="22">
        <f>IFERROR(INDEX(Pedidos!$G$2:$G$1801,MATCH(B254,Pedidos!$A$2:$A$1801,0)),0)</f>
        <v/>
      </c>
      <c r="N254" s="21">
        <f>IFERROR(INDEX(Produtos!$B$2:$B$71,MATCH(C254,Produtos!$A$2:$A$71,0)),"")</f>
        <v/>
      </c>
      <c r="O254" s="21">
        <f>IFERROR(INDEX(Produtos!$C$2:$C$71,MATCH(C254,Produtos!$A$2:$A$71,0)),"")</f>
        <v/>
      </c>
      <c r="P254" s="21">
        <f>IFERROR(INDEX(Produtos!$D$2:$D$71,MATCH(C254,Produtos!$A$2:$A$71,0)),0)</f>
        <v/>
      </c>
      <c r="Q254" s="21">
        <f>IFERROR(INDEX(Produtos!$E$2:$E$71,MATCH(C254,Produtos!$A$2:$A$71,0)),0)</f>
        <v/>
      </c>
      <c r="R254" s="23">
        <f>D254*Q254</f>
        <v/>
      </c>
      <c r="S254" s="23">
        <f>R254*E254</f>
        <v/>
      </c>
      <c r="T254" s="23">
        <f>(R254-S254)*M254</f>
        <v/>
      </c>
      <c r="U254" s="23">
        <f>R254-S254-T254</f>
        <v/>
      </c>
      <c r="V254" s="23">
        <f>D254*P254</f>
        <v/>
      </c>
      <c r="W254" s="23">
        <f>U254-V254</f>
        <v/>
      </c>
      <c r="X254" s="24">
        <f>IFERROR(W254/U254,0)</f>
        <v/>
      </c>
    </row>
    <row r="255">
      <c r="A255" s="25">
        <f>ItensPedido!A255</f>
        <v/>
      </c>
      <c r="B255" s="25">
        <f>ItensPedido!B255</f>
        <v/>
      </c>
      <c r="C255" s="25">
        <f>ItensPedido!C255</f>
        <v/>
      </c>
      <c r="D255" s="25">
        <f>ItensPedido!D255</f>
        <v/>
      </c>
      <c r="E255" s="26">
        <f>ItensPedido!E255</f>
        <v/>
      </c>
      <c r="F255" s="25">
        <f>IFERROR(INDEX(Pedidos!$B$2:$B$1801,MATCH(B255,Pedidos!$A$2:$A$1801,0)),0)</f>
        <v/>
      </c>
      <c r="G255" s="25">
        <f>IF(F255=0,"",YEAR(F255))</f>
        <v/>
      </c>
      <c r="H255" s="25">
        <f>IF(F255=0,"",MONTH(F255))</f>
        <v/>
      </c>
      <c r="I255" s="25">
        <f>IFERROR(INDEX(Pedidos!$E$2:$E$1801,MATCH(B255,Pedidos!$A$2:$A$1801,0)),"")</f>
        <v/>
      </c>
      <c r="J255" s="25">
        <f>IFERROR(INDEX(Pedidos!$C$2:$C$1801,MATCH(B255,Pedidos!$A$2:$A$1801,0)),"")</f>
        <v/>
      </c>
      <c r="K255" s="25">
        <f>IFERROR(INDEX(Pedidos!$D$2:$D$1801,MATCH(B255,Pedidos!$A$2:$A$1801,0)),"")</f>
        <v/>
      </c>
      <c r="L255" s="25">
        <f>IFERROR(INDEX(Pedidos!$F$2:$F$1801,MATCH(B255,Pedidos!$A$2:$A$1801,0)),"")</f>
        <v/>
      </c>
      <c r="M255" s="26">
        <f>IFERROR(INDEX(Pedidos!$G$2:$G$1801,MATCH(B255,Pedidos!$A$2:$A$1801,0)),0)</f>
        <v/>
      </c>
      <c r="N255" s="25">
        <f>IFERROR(INDEX(Produtos!$B$2:$B$71,MATCH(C255,Produtos!$A$2:$A$71,0)),"")</f>
        <v/>
      </c>
      <c r="O255" s="25">
        <f>IFERROR(INDEX(Produtos!$C$2:$C$71,MATCH(C255,Produtos!$A$2:$A$71,0)),"")</f>
        <v/>
      </c>
      <c r="P255" s="25">
        <f>IFERROR(INDEX(Produtos!$D$2:$D$71,MATCH(C255,Produtos!$A$2:$A$71,0)),0)</f>
        <v/>
      </c>
      <c r="Q255" s="25">
        <f>IFERROR(INDEX(Produtos!$E$2:$E$71,MATCH(C255,Produtos!$A$2:$A$71,0)),0)</f>
        <v/>
      </c>
      <c r="R255" s="27">
        <f>D255*Q255</f>
        <v/>
      </c>
      <c r="S255" s="27">
        <f>R255*E255</f>
        <v/>
      </c>
      <c r="T255" s="27">
        <f>(R255-S255)*M255</f>
        <v/>
      </c>
      <c r="U255" s="27">
        <f>R255-S255-T255</f>
        <v/>
      </c>
      <c r="V255" s="27">
        <f>D255*P255</f>
        <v/>
      </c>
      <c r="W255" s="27">
        <f>U255-V255</f>
        <v/>
      </c>
      <c r="X255" s="28">
        <f>IFERROR(W255/U255,0)</f>
        <v/>
      </c>
    </row>
    <row r="256">
      <c r="A256" s="21">
        <f>ItensPedido!A256</f>
        <v/>
      </c>
      <c r="B256" s="21">
        <f>ItensPedido!B256</f>
        <v/>
      </c>
      <c r="C256" s="21">
        <f>ItensPedido!C256</f>
        <v/>
      </c>
      <c r="D256" s="21">
        <f>ItensPedido!D256</f>
        <v/>
      </c>
      <c r="E256" s="22">
        <f>ItensPedido!E256</f>
        <v/>
      </c>
      <c r="F256" s="21">
        <f>IFERROR(INDEX(Pedidos!$B$2:$B$1801,MATCH(B256,Pedidos!$A$2:$A$1801,0)),0)</f>
        <v/>
      </c>
      <c r="G256" s="21">
        <f>IF(F256=0,"",YEAR(F256))</f>
        <v/>
      </c>
      <c r="H256" s="21">
        <f>IF(F256=0,"",MONTH(F256))</f>
        <v/>
      </c>
      <c r="I256" s="21">
        <f>IFERROR(INDEX(Pedidos!$E$2:$E$1801,MATCH(B256,Pedidos!$A$2:$A$1801,0)),"")</f>
        <v/>
      </c>
      <c r="J256" s="21">
        <f>IFERROR(INDEX(Pedidos!$C$2:$C$1801,MATCH(B256,Pedidos!$A$2:$A$1801,0)),"")</f>
        <v/>
      </c>
      <c r="K256" s="21">
        <f>IFERROR(INDEX(Pedidos!$D$2:$D$1801,MATCH(B256,Pedidos!$A$2:$A$1801,0)),"")</f>
        <v/>
      </c>
      <c r="L256" s="21">
        <f>IFERROR(INDEX(Pedidos!$F$2:$F$1801,MATCH(B256,Pedidos!$A$2:$A$1801,0)),"")</f>
        <v/>
      </c>
      <c r="M256" s="22">
        <f>IFERROR(INDEX(Pedidos!$G$2:$G$1801,MATCH(B256,Pedidos!$A$2:$A$1801,0)),0)</f>
        <v/>
      </c>
      <c r="N256" s="21">
        <f>IFERROR(INDEX(Produtos!$B$2:$B$71,MATCH(C256,Produtos!$A$2:$A$71,0)),"")</f>
        <v/>
      </c>
      <c r="O256" s="21">
        <f>IFERROR(INDEX(Produtos!$C$2:$C$71,MATCH(C256,Produtos!$A$2:$A$71,0)),"")</f>
        <v/>
      </c>
      <c r="P256" s="21">
        <f>IFERROR(INDEX(Produtos!$D$2:$D$71,MATCH(C256,Produtos!$A$2:$A$71,0)),0)</f>
        <v/>
      </c>
      <c r="Q256" s="21">
        <f>IFERROR(INDEX(Produtos!$E$2:$E$71,MATCH(C256,Produtos!$A$2:$A$71,0)),0)</f>
        <v/>
      </c>
      <c r="R256" s="23">
        <f>D256*Q256</f>
        <v/>
      </c>
      <c r="S256" s="23">
        <f>R256*E256</f>
        <v/>
      </c>
      <c r="T256" s="23">
        <f>(R256-S256)*M256</f>
        <v/>
      </c>
      <c r="U256" s="23">
        <f>R256-S256-T256</f>
        <v/>
      </c>
      <c r="V256" s="23">
        <f>D256*P256</f>
        <v/>
      </c>
      <c r="W256" s="23">
        <f>U256-V256</f>
        <v/>
      </c>
      <c r="X256" s="24">
        <f>IFERROR(W256/U256,0)</f>
        <v/>
      </c>
    </row>
    <row r="257">
      <c r="A257" s="25">
        <f>ItensPedido!A257</f>
        <v/>
      </c>
      <c r="B257" s="25">
        <f>ItensPedido!B257</f>
        <v/>
      </c>
      <c r="C257" s="25">
        <f>ItensPedido!C257</f>
        <v/>
      </c>
      <c r="D257" s="25">
        <f>ItensPedido!D257</f>
        <v/>
      </c>
      <c r="E257" s="26">
        <f>ItensPedido!E257</f>
        <v/>
      </c>
      <c r="F257" s="25">
        <f>IFERROR(INDEX(Pedidos!$B$2:$B$1801,MATCH(B257,Pedidos!$A$2:$A$1801,0)),0)</f>
        <v/>
      </c>
      <c r="G257" s="25">
        <f>IF(F257=0,"",YEAR(F257))</f>
        <v/>
      </c>
      <c r="H257" s="25">
        <f>IF(F257=0,"",MONTH(F257))</f>
        <v/>
      </c>
      <c r="I257" s="25">
        <f>IFERROR(INDEX(Pedidos!$E$2:$E$1801,MATCH(B257,Pedidos!$A$2:$A$1801,0)),"")</f>
        <v/>
      </c>
      <c r="J257" s="25">
        <f>IFERROR(INDEX(Pedidos!$C$2:$C$1801,MATCH(B257,Pedidos!$A$2:$A$1801,0)),"")</f>
        <v/>
      </c>
      <c r="K257" s="25">
        <f>IFERROR(INDEX(Pedidos!$D$2:$D$1801,MATCH(B257,Pedidos!$A$2:$A$1801,0)),"")</f>
        <v/>
      </c>
      <c r="L257" s="25">
        <f>IFERROR(INDEX(Pedidos!$F$2:$F$1801,MATCH(B257,Pedidos!$A$2:$A$1801,0)),"")</f>
        <v/>
      </c>
      <c r="M257" s="26">
        <f>IFERROR(INDEX(Pedidos!$G$2:$G$1801,MATCH(B257,Pedidos!$A$2:$A$1801,0)),0)</f>
        <v/>
      </c>
      <c r="N257" s="25">
        <f>IFERROR(INDEX(Produtos!$B$2:$B$71,MATCH(C257,Produtos!$A$2:$A$71,0)),"")</f>
        <v/>
      </c>
      <c r="O257" s="25">
        <f>IFERROR(INDEX(Produtos!$C$2:$C$71,MATCH(C257,Produtos!$A$2:$A$71,0)),"")</f>
        <v/>
      </c>
      <c r="P257" s="25">
        <f>IFERROR(INDEX(Produtos!$D$2:$D$71,MATCH(C257,Produtos!$A$2:$A$71,0)),0)</f>
        <v/>
      </c>
      <c r="Q257" s="25">
        <f>IFERROR(INDEX(Produtos!$E$2:$E$71,MATCH(C257,Produtos!$A$2:$A$71,0)),0)</f>
        <v/>
      </c>
      <c r="R257" s="27">
        <f>D257*Q257</f>
        <v/>
      </c>
      <c r="S257" s="27">
        <f>R257*E257</f>
        <v/>
      </c>
      <c r="T257" s="27">
        <f>(R257-S257)*M257</f>
        <v/>
      </c>
      <c r="U257" s="27">
        <f>R257-S257-T257</f>
        <v/>
      </c>
      <c r="V257" s="27">
        <f>D257*P257</f>
        <v/>
      </c>
      <c r="W257" s="27">
        <f>U257-V257</f>
        <v/>
      </c>
      <c r="X257" s="28">
        <f>IFERROR(W257/U257,0)</f>
        <v/>
      </c>
    </row>
    <row r="258">
      <c r="A258" s="21">
        <f>ItensPedido!A258</f>
        <v/>
      </c>
      <c r="B258" s="21">
        <f>ItensPedido!B258</f>
        <v/>
      </c>
      <c r="C258" s="21">
        <f>ItensPedido!C258</f>
        <v/>
      </c>
      <c r="D258" s="21">
        <f>ItensPedido!D258</f>
        <v/>
      </c>
      <c r="E258" s="22">
        <f>ItensPedido!E258</f>
        <v/>
      </c>
      <c r="F258" s="21">
        <f>IFERROR(INDEX(Pedidos!$B$2:$B$1801,MATCH(B258,Pedidos!$A$2:$A$1801,0)),0)</f>
        <v/>
      </c>
      <c r="G258" s="21">
        <f>IF(F258=0,"",YEAR(F258))</f>
        <v/>
      </c>
      <c r="H258" s="21">
        <f>IF(F258=0,"",MONTH(F258))</f>
        <v/>
      </c>
      <c r="I258" s="21">
        <f>IFERROR(INDEX(Pedidos!$E$2:$E$1801,MATCH(B258,Pedidos!$A$2:$A$1801,0)),"")</f>
        <v/>
      </c>
      <c r="J258" s="21">
        <f>IFERROR(INDEX(Pedidos!$C$2:$C$1801,MATCH(B258,Pedidos!$A$2:$A$1801,0)),"")</f>
        <v/>
      </c>
      <c r="K258" s="21">
        <f>IFERROR(INDEX(Pedidos!$D$2:$D$1801,MATCH(B258,Pedidos!$A$2:$A$1801,0)),"")</f>
        <v/>
      </c>
      <c r="L258" s="21">
        <f>IFERROR(INDEX(Pedidos!$F$2:$F$1801,MATCH(B258,Pedidos!$A$2:$A$1801,0)),"")</f>
        <v/>
      </c>
      <c r="M258" s="22">
        <f>IFERROR(INDEX(Pedidos!$G$2:$G$1801,MATCH(B258,Pedidos!$A$2:$A$1801,0)),0)</f>
        <v/>
      </c>
      <c r="N258" s="21">
        <f>IFERROR(INDEX(Produtos!$B$2:$B$71,MATCH(C258,Produtos!$A$2:$A$71,0)),"")</f>
        <v/>
      </c>
      <c r="O258" s="21">
        <f>IFERROR(INDEX(Produtos!$C$2:$C$71,MATCH(C258,Produtos!$A$2:$A$71,0)),"")</f>
        <v/>
      </c>
      <c r="P258" s="21">
        <f>IFERROR(INDEX(Produtos!$D$2:$D$71,MATCH(C258,Produtos!$A$2:$A$71,0)),0)</f>
        <v/>
      </c>
      <c r="Q258" s="21">
        <f>IFERROR(INDEX(Produtos!$E$2:$E$71,MATCH(C258,Produtos!$A$2:$A$71,0)),0)</f>
        <v/>
      </c>
      <c r="R258" s="23">
        <f>D258*Q258</f>
        <v/>
      </c>
      <c r="S258" s="23">
        <f>R258*E258</f>
        <v/>
      </c>
      <c r="T258" s="23">
        <f>(R258-S258)*M258</f>
        <v/>
      </c>
      <c r="U258" s="23">
        <f>R258-S258-T258</f>
        <v/>
      </c>
      <c r="V258" s="23">
        <f>D258*P258</f>
        <v/>
      </c>
      <c r="W258" s="23">
        <f>U258-V258</f>
        <v/>
      </c>
      <c r="X258" s="24">
        <f>IFERROR(W258/U258,0)</f>
        <v/>
      </c>
    </row>
    <row r="259">
      <c r="A259" s="25">
        <f>ItensPedido!A259</f>
        <v/>
      </c>
      <c r="B259" s="25">
        <f>ItensPedido!B259</f>
        <v/>
      </c>
      <c r="C259" s="25">
        <f>ItensPedido!C259</f>
        <v/>
      </c>
      <c r="D259" s="25">
        <f>ItensPedido!D259</f>
        <v/>
      </c>
      <c r="E259" s="26">
        <f>ItensPedido!E259</f>
        <v/>
      </c>
      <c r="F259" s="25">
        <f>IFERROR(INDEX(Pedidos!$B$2:$B$1801,MATCH(B259,Pedidos!$A$2:$A$1801,0)),0)</f>
        <v/>
      </c>
      <c r="G259" s="25">
        <f>IF(F259=0,"",YEAR(F259))</f>
        <v/>
      </c>
      <c r="H259" s="25">
        <f>IF(F259=0,"",MONTH(F259))</f>
        <v/>
      </c>
      <c r="I259" s="25">
        <f>IFERROR(INDEX(Pedidos!$E$2:$E$1801,MATCH(B259,Pedidos!$A$2:$A$1801,0)),"")</f>
        <v/>
      </c>
      <c r="J259" s="25">
        <f>IFERROR(INDEX(Pedidos!$C$2:$C$1801,MATCH(B259,Pedidos!$A$2:$A$1801,0)),"")</f>
        <v/>
      </c>
      <c r="K259" s="25">
        <f>IFERROR(INDEX(Pedidos!$D$2:$D$1801,MATCH(B259,Pedidos!$A$2:$A$1801,0)),"")</f>
        <v/>
      </c>
      <c r="L259" s="25">
        <f>IFERROR(INDEX(Pedidos!$F$2:$F$1801,MATCH(B259,Pedidos!$A$2:$A$1801,0)),"")</f>
        <v/>
      </c>
      <c r="M259" s="26">
        <f>IFERROR(INDEX(Pedidos!$G$2:$G$1801,MATCH(B259,Pedidos!$A$2:$A$1801,0)),0)</f>
        <v/>
      </c>
      <c r="N259" s="25">
        <f>IFERROR(INDEX(Produtos!$B$2:$B$71,MATCH(C259,Produtos!$A$2:$A$71,0)),"")</f>
        <v/>
      </c>
      <c r="O259" s="25">
        <f>IFERROR(INDEX(Produtos!$C$2:$C$71,MATCH(C259,Produtos!$A$2:$A$71,0)),"")</f>
        <v/>
      </c>
      <c r="P259" s="25">
        <f>IFERROR(INDEX(Produtos!$D$2:$D$71,MATCH(C259,Produtos!$A$2:$A$71,0)),0)</f>
        <v/>
      </c>
      <c r="Q259" s="25">
        <f>IFERROR(INDEX(Produtos!$E$2:$E$71,MATCH(C259,Produtos!$A$2:$A$71,0)),0)</f>
        <v/>
      </c>
      <c r="R259" s="27">
        <f>D259*Q259</f>
        <v/>
      </c>
      <c r="S259" s="27">
        <f>R259*E259</f>
        <v/>
      </c>
      <c r="T259" s="27">
        <f>(R259-S259)*M259</f>
        <v/>
      </c>
      <c r="U259" s="27">
        <f>R259-S259-T259</f>
        <v/>
      </c>
      <c r="V259" s="27">
        <f>D259*P259</f>
        <v/>
      </c>
      <c r="W259" s="27">
        <f>U259-V259</f>
        <v/>
      </c>
      <c r="X259" s="28">
        <f>IFERROR(W259/U259,0)</f>
        <v/>
      </c>
    </row>
    <row r="260">
      <c r="A260" s="21">
        <f>ItensPedido!A260</f>
        <v/>
      </c>
      <c r="B260" s="21">
        <f>ItensPedido!B260</f>
        <v/>
      </c>
      <c r="C260" s="21">
        <f>ItensPedido!C260</f>
        <v/>
      </c>
      <c r="D260" s="21">
        <f>ItensPedido!D260</f>
        <v/>
      </c>
      <c r="E260" s="22">
        <f>ItensPedido!E260</f>
        <v/>
      </c>
      <c r="F260" s="21">
        <f>IFERROR(INDEX(Pedidos!$B$2:$B$1801,MATCH(B260,Pedidos!$A$2:$A$1801,0)),0)</f>
        <v/>
      </c>
      <c r="G260" s="21">
        <f>IF(F260=0,"",YEAR(F260))</f>
        <v/>
      </c>
      <c r="H260" s="21">
        <f>IF(F260=0,"",MONTH(F260))</f>
        <v/>
      </c>
      <c r="I260" s="21">
        <f>IFERROR(INDEX(Pedidos!$E$2:$E$1801,MATCH(B260,Pedidos!$A$2:$A$1801,0)),"")</f>
        <v/>
      </c>
      <c r="J260" s="21">
        <f>IFERROR(INDEX(Pedidos!$C$2:$C$1801,MATCH(B260,Pedidos!$A$2:$A$1801,0)),"")</f>
        <v/>
      </c>
      <c r="K260" s="21">
        <f>IFERROR(INDEX(Pedidos!$D$2:$D$1801,MATCH(B260,Pedidos!$A$2:$A$1801,0)),"")</f>
        <v/>
      </c>
      <c r="L260" s="21">
        <f>IFERROR(INDEX(Pedidos!$F$2:$F$1801,MATCH(B260,Pedidos!$A$2:$A$1801,0)),"")</f>
        <v/>
      </c>
      <c r="M260" s="22">
        <f>IFERROR(INDEX(Pedidos!$G$2:$G$1801,MATCH(B260,Pedidos!$A$2:$A$1801,0)),0)</f>
        <v/>
      </c>
      <c r="N260" s="21">
        <f>IFERROR(INDEX(Produtos!$B$2:$B$71,MATCH(C260,Produtos!$A$2:$A$71,0)),"")</f>
        <v/>
      </c>
      <c r="O260" s="21">
        <f>IFERROR(INDEX(Produtos!$C$2:$C$71,MATCH(C260,Produtos!$A$2:$A$71,0)),"")</f>
        <v/>
      </c>
      <c r="P260" s="21">
        <f>IFERROR(INDEX(Produtos!$D$2:$D$71,MATCH(C260,Produtos!$A$2:$A$71,0)),0)</f>
        <v/>
      </c>
      <c r="Q260" s="21">
        <f>IFERROR(INDEX(Produtos!$E$2:$E$71,MATCH(C260,Produtos!$A$2:$A$71,0)),0)</f>
        <v/>
      </c>
      <c r="R260" s="23">
        <f>D260*Q260</f>
        <v/>
      </c>
      <c r="S260" s="23">
        <f>R260*E260</f>
        <v/>
      </c>
      <c r="T260" s="23">
        <f>(R260-S260)*M260</f>
        <v/>
      </c>
      <c r="U260" s="23">
        <f>R260-S260-T260</f>
        <v/>
      </c>
      <c r="V260" s="23">
        <f>D260*P260</f>
        <v/>
      </c>
      <c r="W260" s="23">
        <f>U260-V260</f>
        <v/>
      </c>
      <c r="X260" s="24">
        <f>IFERROR(W260/U260,0)</f>
        <v/>
      </c>
    </row>
    <row r="261">
      <c r="A261" s="25">
        <f>ItensPedido!A261</f>
        <v/>
      </c>
      <c r="B261" s="25">
        <f>ItensPedido!B261</f>
        <v/>
      </c>
      <c r="C261" s="25">
        <f>ItensPedido!C261</f>
        <v/>
      </c>
      <c r="D261" s="25">
        <f>ItensPedido!D261</f>
        <v/>
      </c>
      <c r="E261" s="26">
        <f>ItensPedido!E261</f>
        <v/>
      </c>
      <c r="F261" s="25">
        <f>IFERROR(INDEX(Pedidos!$B$2:$B$1801,MATCH(B261,Pedidos!$A$2:$A$1801,0)),0)</f>
        <v/>
      </c>
      <c r="G261" s="25">
        <f>IF(F261=0,"",YEAR(F261))</f>
        <v/>
      </c>
      <c r="H261" s="25">
        <f>IF(F261=0,"",MONTH(F261))</f>
        <v/>
      </c>
      <c r="I261" s="25">
        <f>IFERROR(INDEX(Pedidos!$E$2:$E$1801,MATCH(B261,Pedidos!$A$2:$A$1801,0)),"")</f>
        <v/>
      </c>
      <c r="J261" s="25">
        <f>IFERROR(INDEX(Pedidos!$C$2:$C$1801,MATCH(B261,Pedidos!$A$2:$A$1801,0)),"")</f>
        <v/>
      </c>
      <c r="K261" s="25">
        <f>IFERROR(INDEX(Pedidos!$D$2:$D$1801,MATCH(B261,Pedidos!$A$2:$A$1801,0)),"")</f>
        <v/>
      </c>
      <c r="L261" s="25">
        <f>IFERROR(INDEX(Pedidos!$F$2:$F$1801,MATCH(B261,Pedidos!$A$2:$A$1801,0)),"")</f>
        <v/>
      </c>
      <c r="M261" s="26">
        <f>IFERROR(INDEX(Pedidos!$G$2:$G$1801,MATCH(B261,Pedidos!$A$2:$A$1801,0)),0)</f>
        <v/>
      </c>
      <c r="N261" s="25">
        <f>IFERROR(INDEX(Produtos!$B$2:$B$71,MATCH(C261,Produtos!$A$2:$A$71,0)),"")</f>
        <v/>
      </c>
      <c r="O261" s="25">
        <f>IFERROR(INDEX(Produtos!$C$2:$C$71,MATCH(C261,Produtos!$A$2:$A$71,0)),"")</f>
        <v/>
      </c>
      <c r="P261" s="25">
        <f>IFERROR(INDEX(Produtos!$D$2:$D$71,MATCH(C261,Produtos!$A$2:$A$71,0)),0)</f>
        <v/>
      </c>
      <c r="Q261" s="25">
        <f>IFERROR(INDEX(Produtos!$E$2:$E$71,MATCH(C261,Produtos!$A$2:$A$71,0)),0)</f>
        <v/>
      </c>
      <c r="R261" s="27">
        <f>D261*Q261</f>
        <v/>
      </c>
      <c r="S261" s="27">
        <f>R261*E261</f>
        <v/>
      </c>
      <c r="T261" s="27">
        <f>(R261-S261)*M261</f>
        <v/>
      </c>
      <c r="U261" s="27">
        <f>R261-S261-T261</f>
        <v/>
      </c>
      <c r="V261" s="27">
        <f>D261*P261</f>
        <v/>
      </c>
      <c r="W261" s="27">
        <f>U261-V261</f>
        <v/>
      </c>
      <c r="X261" s="28">
        <f>IFERROR(W261/U261,0)</f>
        <v/>
      </c>
    </row>
    <row r="262">
      <c r="A262" s="21">
        <f>ItensPedido!A262</f>
        <v/>
      </c>
      <c r="B262" s="21">
        <f>ItensPedido!B262</f>
        <v/>
      </c>
      <c r="C262" s="21">
        <f>ItensPedido!C262</f>
        <v/>
      </c>
      <c r="D262" s="21">
        <f>ItensPedido!D262</f>
        <v/>
      </c>
      <c r="E262" s="22">
        <f>ItensPedido!E262</f>
        <v/>
      </c>
      <c r="F262" s="21">
        <f>IFERROR(INDEX(Pedidos!$B$2:$B$1801,MATCH(B262,Pedidos!$A$2:$A$1801,0)),0)</f>
        <v/>
      </c>
      <c r="G262" s="21">
        <f>IF(F262=0,"",YEAR(F262))</f>
        <v/>
      </c>
      <c r="H262" s="21">
        <f>IF(F262=0,"",MONTH(F262))</f>
        <v/>
      </c>
      <c r="I262" s="21">
        <f>IFERROR(INDEX(Pedidos!$E$2:$E$1801,MATCH(B262,Pedidos!$A$2:$A$1801,0)),"")</f>
        <v/>
      </c>
      <c r="J262" s="21">
        <f>IFERROR(INDEX(Pedidos!$C$2:$C$1801,MATCH(B262,Pedidos!$A$2:$A$1801,0)),"")</f>
        <v/>
      </c>
      <c r="K262" s="21">
        <f>IFERROR(INDEX(Pedidos!$D$2:$D$1801,MATCH(B262,Pedidos!$A$2:$A$1801,0)),"")</f>
        <v/>
      </c>
      <c r="L262" s="21">
        <f>IFERROR(INDEX(Pedidos!$F$2:$F$1801,MATCH(B262,Pedidos!$A$2:$A$1801,0)),"")</f>
        <v/>
      </c>
      <c r="M262" s="22">
        <f>IFERROR(INDEX(Pedidos!$G$2:$G$1801,MATCH(B262,Pedidos!$A$2:$A$1801,0)),0)</f>
        <v/>
      </c>
      <c r="N262" s="21">
        <f>IFERROR(INDEX(Produtos!$B$2:$B$71,MATCH(C262,Produtos!$A$2:$A$71,0)),"")</f>
        <v/>
      </c>
      <c r="O262" s="21">
        <f>IFERROR(INDEX(Produtos!$C$2:$C$71,MATCH(C262,Produtos!$A$2:$A$71,0)),"")</f>
        <v/>
      </c>
      <c r="P262" s="21">
        <f>IFERROR(INDEX(Produtos!$D$2:$D$71,MATCH(C262,Produtos!$A$2:$A$71,0)),0)</f>
        <v/>
      </c>
      <c r="Q262" s="21">
        <f>IFERROR(INDEX(Produtos!$E$2:$E$71,MATCH(C262,Produtos!$A$2:$A$71,0)),0)</f>
        <v/>
      </c>
      <c r="R262" s="23">
        <f>D262*Q262</f>
        <v/>
      </c>
      <c r="S262" s="23">
        <f>R262*E262</f>
        <v/>
      </c>
      <c r="T262" s="23">
        <f>(R262-S262)*M262</f>
        <v/>
      </c>
      <c r="U262" s="23">
        <f>R262-S262-T262</f>
        <v/>
      </c>
      <c r="V262" s="23">
        <f>D262*P262</f>
        <v/>
      </c>
      <c r="W262" s="23">
        <f>U262-V262</f>
        <v/>
      </c>
      <c r="X262" s="24">
        <f>IFERROR(W262/U262,0)</f>
        <v/>
      </c>
    </row>
    <row r="263">
      <c r="A263" s="25">
        <f>ItensPedido!A263</f>
        <v/>
      </c>
      <c r="B263" s="25">
        <f>ItensPedido!B263</f>
        <v/>
      </c>
      <c r="C263" s="25">
        <f>ItensPedido!C263</f>
        <v/>
      </c>
      <c r="D263" s="25">
        <f>ItensPedido!D263</f>
        <v/>
      </c>
      <c r="E263" s="26">
        <f>ItensPedido!E263</f>
        <v/>
      </c>
      <c r="F263" s="25">
        <f>IFERROR(INDEX(Pedidos!$B$2:$B$1801,MATCH(B263,Pedidos!$A$2:$A$1801,0)),0)</f>
        <v/>
      </c>
      <c r="G263" s="25">
        <f>IF(F263=0,"",YEAR(F263))</f>
        <v/>
      </c>
      <c r="H263" s="25">
        <f>IF(F263=0,"",MONTH(F263))</f>
        <v/>
      </c>
      <c r="I263" s="25">
        <f>IFERROR(INDEX(Pedidos!$E$2:$E$1801,MATCH(B263,Pedidos!$A$2:$A$1801,0)),"")</f>
        <v/>
      </c>
      <c r="J263" s="25">
        <f>IFERROR(INDEX(Pedidos!$C$2:$C$1801,MATCH(B263,Pedidos!$A$2:$A$1801,0)),"")</f>
        <v/>
      </c>
      <c r="K263" s="25">
        <f>IFERROR(INDEX(Pedidos!$D$2:$D$1801,MATCH(B263,Pedidos!$A$2:$A$1801,0)),"")</f>
        <v/>
      </c>
      <c r="L263" s="25">
        <f>IFERROR(INDEX(Pedidos!$F$2:$F$1801,MATCH(B263,Pedidos!$A$2:$A$1801,0)),"")</f>
        <v/>
      </c>
      <c r="M263" s="26">
        <f>IFERROR(INDEX(Pedidos!$G$2:$G$1801,MATCH(B263,Pedidos!$A$2:$A$1801,0)),0)</f>
        <v/>
      </c>
      <c r="N263" s="25">
        <f>IFERROR(INDEX(Produtos!$B$2:$B$71,MATCH(C263,Produtos!$A$2:$A$71,0)),"")</f>
        <v/>
      </c>
      <c r="O263" s="25">
        <f>IFERROR(INDEX(Produtos!$C$2:$C$71,MATCH(C263,Produtos!$A$2:$A$71,0)),"")</f>
        <v/>
      </c>
      <c r="P263" s="25">
        <f>IFERROR(INDEX(Produtos!$D$2:$D$71,MATCH(C263,Produtos!$A$2:$A$71,0)),0)</f>
        <v/>
      </c>
      <c r="Q263" s="25">
        <f>IFERROR(INDEX(Produtos!$E$2:$E$71,MATCH(C263,Produtos!$A$2:$A$71,0)),0)</f>
        <v/>
      </c>
      <c r="R263" s="27">
        <f>D263*Q263</f>
        <v/>
      </c>
      <c r="S263" s="27">
        <f>R263*E263</f>
        <v/>
      </c>
      <c r="T263" s="27">
        <f>(R263-S263)*M263</f>
        <v/>
      </c>
      <c r="U263" s="27">
        <f>R263-S263-T263</f>
        <v/>
      </c>
      <c r="V263" s="27">
        <f>D263*P263</f>
        <v/>
      </c>
      <c r="W263" s="27">
        <f>U263-V263</f>
        <v/>
      </c>
      <c r="X263" s="28">
        <f>IFERROR(W263/U263,0)</f>
        <v/>
      </c>
    </row>
    <row r="264">
      <c r="A264" s="21">
        <f>ItensPedido!A264</f>
        <v/>
      </c>
      <c r="B264" s="21">
        <f>ItensPedido!B264</f>
        <v/>
      </c>
      <c r="C264" s="21">
        <f>ItensPedido!C264</f>
        <v/>
      </c>
      <c r="D264" s="21">
        <f>ItensPedido!D264</f>
        <v/>
      </c>
      <c r="E264" s="22">
        <f>ItensPedido!E264</f>
        <v/>
      </c>
      <c r="F264" s="21">
        <f>IFERROR(INDEX(Pedidos!$B$2:$B$1801,MATCH(B264,Pedidos!$A$2:$A$1801,0)),0)</f>
        <v/>
      </c>
      <c r="G264" s="21">
        <f>IF(F264=0,"",YEAR(F264))</f>
        <v/>
      </c>
      <c r="H264" s="21">
        <f>IF(F264=0,"",MONTH(F264))</f>
        <v/>
      </c>
      <c r="I264" s="21">
        <f>IFERROR(INDEX(Pedidos!$E$2:$E$1801,MATCH(B264,Pedidos!$A$2:$A$1801,0)),"")</f>
        <v/>
      </c>
      <c r="J264" s="21">
        <f>IFERROR(INDEX(Pedidos!$C$2:$C$1801,MATCH(B264,Pedidos!$A$2:$A$1801,0)),"")</f>
        <v/>
      </c>
      <c r="K264" s="21">
        <f>IFERROR(INDEX(Pedidos!$D$2:$D$1801,MATCH(B264,Pedidos!$A$2:$A$1801,0)),"")</f>
        <v/>
      </c>
      <c r="L264" s="21">
        <f>IFERROR(INDEX(Pedidos!$F$2:$F$1801,MATCH(B264,Pedidos!$A$2:$A$1801,0)),"")</f>
        <v/>
      </c>
      <c r="M264" s="22">
        <f>IFERROR(INDEX(Pedidos!$G$2:$G$1801,MATCH(B264,Pedidos!$A$2:$A$1801,0)),0)</f>
        <v/>
      </c>
      <c r="N264" s="21">
        <f>IFERROR(INDEX(Produtos!$B$2:$B$71,MATCH(C264,Produtos!$A$2:$A$71,0)),"")</f>
        <v/>
      </c>
      <c r="O264" s="21">
        <f>IFERROR(INDEX(Produtos!$C$2:$C$71,MATCH(C264,Produtos!$A$2:$A$71,0)),"")</f>
        <v/>
      </c>
      <c r="P264" s="21">
        <f>IFERROR(INDEX(Produtos!$D$2:$D$71,MATCH(C264,Produtos!$A$2:$A$71,0)),0)</f>
        <v/>
      </c>
      <c r="Q264" s="21">
        <f>IFERROR(INDEX(Produtos!$E$2:$E$71,MATCH(C264,Produtos!$A$2:$A$71,0)),0)</f>
        <v/>
      </c>
      <c r="R264" s="23">
        <f>D264*Q264</f>
        <v/>
      </c>
      <c r="S264" s="23">
        <f>R264*E264</f>
        <v/>
      </c>
      <c r="T264" s="23">
        <f>(R264-S264)*M264</f>
        <v/>
      </c>
      <c r="U264" s="23">
        <f>R264-S264-T264</f>
        <v/>
      </c>
      <c r="V264" s="23">
        <f>D264*P264</f>
        <v/>
      </c>
      <c r="W264" s="23">
        <f>U264-V264</f>
        <v/>
      </c>
      <c r="X264" s="24">
        <f>IFERROR(W264/U264,0)</f>
        <v/>
      </c>
    </row>
    <row r="265">
      <c r="A265" s="25">
        <f>ItensPedido!A265</f>
        <v/>
      </c>
      <c r="B265" s="25">
        <f>ItensPedido!B265</f>
        <v/>
      </c>
      <c r="C265" s="25">
        <f>ItensPedido!C265</f>
        <v/>
      </c>
      <c r="D265" s="25">
        <f>ItensPedido!D265</f>
        <v/>
      </c>
      <c r="E265" s="26">
        <f>ItensPedido!E265</f>
        <v/>
      </c>
      <c r="F265" s="25">
        <f>IFERROR(INDEX(Pedidos!$B$2:$B$1801,MATCH(B265,Pedidos!$A$2:$A$1801,0)),0)</f>
        <v/>
      </c>
      <c r="G265" s="25">
        <f>IF(F265=0,"",YEAR(F265))</f>
        <v/>
      </c>
      <c r="H265" s="25">
        <f>IF(F265=0,"",MONTH(F265))</f>
        <v/>
      </c>
      <c r="I265" s="25">
        <f>IFERROR(INDEX(Pedidos!$E$2:$E$1801,MATCH(B265,Pedidos!$A$2:$A$1801,0)),"")</f>
        <v/>
      </c>
      <c r="J265" s="25">
        <f>IFERROR(INDEX(Pedidos!$C$2:$C$1801,MATCH(B265,Pedidos!$A$2:$A$1801,0)),"")</f>
        <v/>
      </c>
      <c r="K265" s="25">
        <f>IFERROR(INDEX(Pedidos!$D$2:$D$1801,MATCH(B265,Pedidos!$A$2:$A$1801,0)),"")</f>
        <v/>
      </c>
      <c r="L265" s="25">
        <f>IFERROR(INDEX(Pedidos!$F$2:$F$1801,MATCH(B265,Pedidos!$A$2:$A$1801,0)),"")</f>
        <v/>
      </c>
      <c r="M265" s="26">
        <f>IFERROR(INDEX(Pedidos!$G$2:$G$1801,MATCH(B265,Pedidos!$A$2:$A$1801,0)),0)</f>
        <v/>
      </c>
      <c r="N265" s="25">
        <f>IFERROR(INDEX(Produtos!$B$2:$B$71,MATCH(C265,Produtos!$A$2:$A$71,0)),"")</f>
        <v/>
      </c>
      <c r="O265" s="25">
        <f>IFERROR(INDEX(Produtos!$C$2:$C$71,MATCH(C265,Produtos!$A$2:$A$71,0)),"")</f>
        <v/>
      </c>
      <c r="P265" s="25">
        <f>IFERROR(INDEX(Produtos!$D$2:$D$71,MATCH(C265,Produtos!$A$2:$A$71,0)),0)</f>
        <v/>
      </c>
      <c r="Q265" s="25">
        <f>IFERROR(INDEX(Produtos!$E$2:$E$71,MATCH(C265,Produtos!$A$2:$A$71,0)),0)</f>
        <v/>
      </c>
      <c r="R265" s="27">
        <f>D265*Q265</f>
        <v/>
      </c>
      <c r="S265" s="27">
        <f>R265*E265</f>
        <v/>
      </c>
      <c r="T265" s="27">
        <f>(R265-S265)*M265</f>
        <v/>
      </c>
      <c r="U265" s="27">
        <f>R265-S265-T265</f>
        <v/>
      </c>
      <c r="V265" s="27">
        <f>D265*P265</f>
        <v/>
      </c>
      <c r="W265" s="27">
        <f>U265-V265</f>
        <v/>
      </c>
      <c r="X265" s="28">
        <f>IFERROR(W265/U265,0)</f>
        <v/>
      </c>
    </row>
    <row r="266">
      <c r="A266" s="21">
        <f>ItensPedido!A266</f>
        <v/>
      </c>
      <c r="B266" s="21">
        <f>ItensPedido!B266</f>
        <v/>
      </c>
      <c r="C266" s="21">
        <f>ItensPedido!C266</f>
        <v/>
      </c>
      <c r="D266" s="21">
        <f>ItensPedido!D266</f>
        <v/>
      </c>
      <c r="E266" s="22">
        <f>ItensPedido!E266</f>
        <v/>
      </c>
      <c r="F266" s="21">
        <f>IFERROR(INDEX(Pedidos!$B$2:$B$1801,MATCH(B266,Pedidos!$A$2:$A$1801,0)),0)</f>
        <v/>
      </c>
      <c r="G266" s="21">
        <f>IF(F266=0,"",YEAR(F266))</f>
        <v/>
      </c>
      <c r="H266" s="21">
        <f>IF(F266=0,"",MONTH(F266))</f>
        <v/>
      </c>
      <c r="I266" s="21">
        <f>IFERROR(INDEX(Pedidos!$E$2:$E$1801,MATCH(B266,Pedidos!$A$2:$A$1801,0)),"")</f>
        <v/>
      </c>
      <c r="J266" s="21">
        <f>IFERROR(INDEX(Pedidos!$C$2:$C$1801,MATCH(B266,Pedidos!$A$2:$A$1801,0)),"")</f>
        <v/>
      </c>
      <c r="K266" s="21">
        <f>IFERROR(INDEX(Pedidos!$D$2:$D$1801,MATCH(B266,Pedidos!$A$2:$A$1801,0)),"")</f>
        <v/>
      </c>
      <c r="L266" s="21">
        <f>IFERROR(INDEX(Pedidos!$F$2:$F$1801,MATCH(B266,Pedidos!$A$2:$A$1801,0)),"")</f>
        <v/>
      </c>
      <c r="M266" s="22">
        <f>IFERROR(INDEX(Pedidos!$G$2:$G$1801,MATCH(B266,Pedidos!$A$2:$A$1801,0)),0)</f>
        <v/>
      </c>
      <c r="N266" s="21">
        <f>IFERROR(INDEX(Produtos!$B$2:$B$71,MATCH(C266,Produtos!$A$2:$A$71,0)),"")</f>
        <v/>
      </c>
      <c r="O266" s="21">
        <f>IFERROR(INDEX(Produtos!$C$2:$C$71,MATCH(C266,Produtos!$A$2:$A$71,0)),"")</f>
        <v/>
      </c>
      <c r="P266" s="21">
        <f>IFERROR(INDEX(Produtos!$D$2:$D$71,MATCH(C266,Produtos!$A$2:$A$71,0)),0)</f>
        <v/>
      </c>
      <c r="Q266" s="21">
        <f>IFERROR(INDEX(Produtos!$E$2:$E$71,MATCH(C266,Produtos!$A$2:$A$71,0)),0)</f>
        <v/>
      </c>
      <c r="R266" s="23">
        <f>D266*Q266</f>
        <v/>
      </c>
      <c r="S266" s="23">
        <f>R266*E266</f>
        <v/>
      </c>
      <c r="T266" s="23">
        <f>(R266-S266)*M266</f>
        <v/>
      </c>
      <c r="U266" s="23">
        <f>R266-S266-T266</f>
        <v/>
      </c>
      <c r="V266" s="23">
        <f>D266*P266</f>
        <v/>
      </c>
      <c r="W266" s="23">
        <f>U266-V266</f>
        <v/>
      </c>
      <c r="X266" s="24">
        <f>IFERROR(W266/U266,0)</f>
        <v/>
      </c>
    </row>
    <row r="267">
      <c r="A267" s="25">
        <f>ItensPedido!A267</f>
        <v/>
      </c>
      <c r="B267" s="25">
        <f>ItensPedido!B267</f>
        <v/>
      </c>
      <c r="C267" s="25">
        <f>ItensPedido!C267</f>
        <v/>
      </c>
      <c r="D267" s="25">
        <f>ItensPedido!D267</f>
        <v/>
      </c>
      <c r="E267" s="26">
        <f>ItensPedido!E267</f>
        <v/>
      </c>
      <c r="F267" s="25">
        <f>IFERROR(INDEX(Pedidos!$B$2:$B$1801,MATCH(B267,Pedidos!$A$2:$A$1801,0)),0)</f>
        <v/>
      </c>
      <c r="G267" s="25">
        <f>IF(F267=0,"",YEAR(F267))</f>
        <v/>
      </c>
      <c r="H267" s="25">
        <f>IF(F267=0,"",MONTH(F267))</f>
        <v/>
      </c>
      <c r="I267" s="25">
        <f>IFERROR(INDEX(Pedidos!$E$2:$E$1801,MATCH(B267,Pedidos!$A$2:$A$1801,0)),"")</f>
        <v/>
      </c>
      <c r="J267" s="25">
        <f>IFERROR(INDEX(Pedidos!$C$2:$C$1801,MATCH(B267,Pedidos!$A$2:$A$1801,0)),"")</f>
        <v/>
      </c>
      <c r="K267" s="25">
        <f>IFERROR(INDEX(Pedidos!$D$2:$D$1801,MATCH(B267,Pedidos!$A$2:$A$1801,0)),"")</f>
        <v/>
      </c>
      <c r="L267" s="25">
        <f>IFERROR(INDEX(Pedidos!$F$2:$F$1801,MATCH(B267,Pedidos!$A$2:$A$1801,0)),"")</f>
        <v/>
      </c>
      <c r="M267" s="26">
        <f>IFERROR(INDEX(Pedidos!$G$2:$G$1801,MATCH(B267,Pedidos!$A$2:$A$1801,0)),0)</f>
        <v/>
      </c>
      <c r="N267" s="25">
        <f>IFERROR(INDEX(Produtos!$B$2:$B$71,MATCH(C267,Produtos!$A$2:$A$71,0)),"")</f>
        <v/>
      </c>
      <c r="O267" s="25">
        <f>IFERROR(INDEX(Produtos!$C$2:$C$71,MATCH(C267,Produtos!$A$2:$A$71,0)),"")</f>
        <v/>
      </c>
      <c r="P267" s="25">
        <f>IFERROR(INDEX(Produtos!$D$2:$D$71,MATCH(C267,Produtos!$A$2:$A$71,0)),0)</f>
        <v/>
      </c>
      <c r="Q267" s="25">
        <f>IFERROR(INDEX(Produtos!$E$2:$E$71,MATCH(C267,Produtos!$A$2:$A$71,0)),0)</f>
        <v/>
      </c>
      <c r="R267" s="27">
        <f>D267*Q267</f>
        <v/>
      </c>
      <c r="S267" s="27">
        <f>R267*E267</f>
        <v/>
      </c>
      <c r="T267" s="27">
        <f>(R267-S267)*M267</f>
        <v/>
      </c>
      <c r="U267" s="27">
        <f>R267-S267-T267</f>
        <v/>
      </c>
      <c r="V267" s="27">
        <f>D267*P267</f>
        <v/>
      </c>
      <c r="W267" s="27">
        <f>U267-V267</f>
        <v/>
      </c>
      <c r="X267" s="28">
        <f>IFERROR(W267/U267,0)</f>
        <v/>
      </c>
    </row>
    <row r="268">
      <c r="A268" s="21">
        <f>ItensPedido!A268</f>
        <v/>
      </c>
      <c r="B268" s="21">
        <f>ItensPedido!B268</f>
        <v/>
      </c>
      <c r="C268" s="21">
        <f>ItensPedido!C268</f>
        <v/>
      </c>
      <c r="D268" s="21">
        <f>ItensPedido!D268</f>
        <v/>
      </c>
      <c r="E268" s="22">
        <f>ItensPedido!E268</f>
        <v/>
      </c>
      <c r="F268" s="21">
        <f>IFERROR(INDEX(Pedidos!$B$2:$B$1801,MATCH(B268,Pedidos!$A$2:$A$1801,0)),0)</f>
        <v/>
      </c>
      <c r="G268" s="21">
        <f>IF(F268=0,"",YEAR(F268))</f>
        <v/>
      </c>
      <c r="H268" s="21">
        <f>IF(F268=0,"",MONTH(F268))</f>
        <v/>
      </c>
      <c r="I268" s="21">
        <f>IFERROR(INDEX(Pedidos!$E$2:$E$1801,MATCH(B268,Pedidos!$A$2:$A$1801,0)),"")</f>
        <v/>
      </c>
      <c r="J268" s="21">
        <f>IFERROR(INDEX(Pedidos!$C$2:$C$1801,MATCH(B268,Pedidos!$A$2:$A$1801,0)),"")</f>
        <v/>
      </c>
      <c r="K268" s="21">
        <f>IFERROR(INDEX(Pedidos!$D$2:$D$1801,MATCH(B268,Pedidos!$A$2:$A$1801,0)),"")</f>
        <v/>
      </c>
      <c r="L268" s="21">
        <f>IFERROR(INDEX(Pedidos!$F$2:$F$1801,MATCH(B268,Pedidos!$A$2:$A$1801,0)),"")</f>
        <v/>
      </c>
      <c r="M268" s="22">
        <f>IFERROR(INDEX(Pedidos!$G$2:$G$1801,MATCH(B268,Pedidos!$A$2:$A$1801,0)),0)</f>
        <v/>
      </c>
      <c r="N268" s="21">
        <f>IFERROR(INDEX(Produtos!$B$2:$B$71,MATCH(C268,Produtos!$A$2:$A$71,0)),"")</f>
        <v/>
      </c>
      <c r="O268" s="21">
        <f>IFERROR(INDEX(Produtos!$C$2:$C$71,MATCH(C268,Produtos!$A$2:$A$71,0)),"")</f>
        <v/>
      </c>
      <c r="P268" s="21">
        <f>IFERROR(INDEX(Produtos!$D$2:$D$71,MATCH(C268,Produtos!$A$2:$A$71,0)),0)</f>
        <v/>
      </c>
      <c r="Q268" s="21">
        <f>IFERROR(INDEX(Produtos!$E$2:$E$71,MATCH(C268,Produtos!$A$2:$A$71,0)),0)</f>
        <v/>
      </c>
      <c r="R268" s="23">
        <f>D268*Q268</f>
        <v/>
      </c>
      <c r="S268" s="23">
        <f>R268*E268</f>
        <v/>
      </c>
      <c r="T268" s="23">
        <f>(R268-S268)*M268</f>
        <v/>
      </c>
      <c r="U268" s="23">
        <f>R268-S268-T268</f>
        <v/>
      </c>
      <c r="V268" s="23">
        <f>D268*P268</f>
        <v/>
      </c>
      <c r="W268" s="23">
        <f>U268-V268</f>
        <v/>
      </c>
      <c r="X268" s="24">
        <f>IFERROR(W268/U268,0)</f>
        <v/>
      </c>
    </row>
    <row r="269">
      <c r="A269" s="25">
        <f>ItensPedido!A269</f>
        <v/>
      </c>
      <c r="B269" s="25">
        <f>ItensPedido!B269</f>
        <v/>
      </c>
      <c r="C269" s="25">
        <f>ItensPedido!C269</f>
        <v/>
      </c>
      <c r="D269" s="25">
        <f>ItensPedido!D269</f>
        <v/>
      </c>
      <c r="E269" s="26">
        <f>ItensPedido!E269</f>
        <v/>
      </c>
      <c r="F269" s="25">
        <f>IFERROR(INDEX(Pedidos!$B$2:$B$1801,MATCH(B269,Pedidos!$A$2:$A$1801,0)),0)</f>
        <v/>
      </c>
      <c r="G269" s="25">
        <f>IF(F269=0,"",YEAR(F269))</f>
        <v/>
      </c>
      <c r="H269" s="25">
        <f>IF(F269=0,"",MONTH(F269))</f>
        <v/>
      </c>
      <c r="I269" s="25">
        <f>IFERROR(INDEX(Pedidos!$E$2:$E$1801,MATCH(B269,Pedidos!$A$2:$A$1801,0)),"")</f>
        <v/>
      </c>
      <c r="J269" s="25">
        <f>IFERROR(INDEX(Pedidos!$C$2:$C$1801,MATCH(B269,Pedidos!$A$2:$A$1801,0)),"")</f>
        <v/>
      </c>
      <c r="K269" s="25">
        <f>IFERROR(INDEX(Pedidos!$D$2:$D$1801,MATCH(B269,Pedidos!$A$2:$A$1801,0)),"")</f>
        <v/>
      </c>
      <c r="L269" s="25">
        <f>IFERROR(INDEX(Pedidos!$F$2:$F$1801,MATCH(B269,Pedidos!$A$2:$A$1801,0)),"")</f>
        <v/>
      </c>
      <c r="M269" s="26">
        <f>IFERROR(INDEX(Pedidos!$G$2:$G$1801,MATCH(B269,Pedidos!$A$2:$A$1801,0)),0)</f>
        <v/>
      </c>
      <c r="N269" s="25">
        <f>IFERROR(INDEX(Produtos!$B$2:$B$71,MATCH(C269,Produtos!$A$2:$A$71,0)),"")</f>
        <v/>
      </c>
      <c r="O269" s="25">
        <f>IFERROR(INDEX(Produtos!$C$2:$C$71,MATCH(C269,Produtos!$A$2:$A$71,0)),"")</f>
        <v/>
      </c>
      <c r="P269" s="25">
        <f>IFERROR(INDEX(Produtos!$D$2:$D$71,MATCH(C269,Produtos!$A$2:$A$71,0)),0)</f>
        <v/>
      </c>
      <c r="Q269" s="25">
        <f>IFERROR(INDEX(Produtos!$E$2:$E$71,MATCH(C269,Produtos!$A$2:$A$71,0)),0)</f>
        <v/>
      </c>
      <c r="R269" s="27">
        <f>D269*Q269</f>
        <v/>
      </c>
      <c r="S269" s="27">
        <f>R269*E269</f>
        <v/>
      </c>
      <c r="T269" s="27">
        <f>(R269-S269)*M269</f>
        <v/>
      </c>
      <c r="U269" s="27">
        <f>R269-S269-T269</f>
        <v/>
      </c>
      <c r="V269" s="27">
        <f>D269*P269</f>
        <v/>
      </c>
      <c r="W269" s="27">
        <f>U269-V269</f>
        <v/>
      </c>
      <c r="X269" s="28">
        <f>IFERROR(W269/U269,0)</f>
        <v/>
      </c>
    </row>
    <row r="270">
      <c r="A270" s="21">
        <f>ItensPedido!A270</f>
        <v/>
      </c>
      <c r="B270" s="21">
        <f>ItensPedido!B270</f>
        <v/>
      </c>
      <c r="C270" s="21">
        <f>ItensPedido!C270</f>
        <v/>
      </c>
      <c r="D270" s="21">
        <f>ItensPedido!D270</f>
        <v/>
      </c>
      <c r="E270" s="22">
        <f>ItensPedido!E270</f>
        <v/>
      </c>
      <c r="F270" s="21">
        <f>IFERROR(INDEX(Pedidos!$B$2:$B$1801,MATCH(B270,Pedidos!$A$2:$A$1801,0)),0)</f>
        <v/>
      </c>
      <c r="G270" s="21">
        <f>IF(F270=0,"",YEAR(F270))</f>
        <v/>
      </c>
      <c r="H270" s="21">
        <f>IF(F270=0,"",MONTH(F270))</f>
        <v/>
      </c>
      <c r="I270" s="21">
        <f>IFERROR(INDEX(Pedidos!$E$2:$E$1801,MATCH(B270,Pedidos!$A$2:$A$1801,0)),"")</f>
        <v/>
      </c>
      <c r="J270" s="21">
        <f>IFERROR(INDEX(Pedidos!$C$2:$C$1801,MATCH(B270,Pedidos!$A$2:$A$1801,0)),"")</f>
        <v/>
      </c>
      <c r="K270" s="21">
        <f>IFERROR(INDEX(Pedidos!$D$2:$D$1801,MATCH(B270,Pedidos!$A$2:$A$1801,0)),"")</f>
        <v/>
      </c>
      <c r="L270" s="21">
        <f>IFERROR(INDEX(Pedidos!$F$2:$F$1801,MATCH(B270,Pedidos!$A$2:$A$1801,0)),"")</f>
        <v/>
      </c>
      <c r="M270" s="22">
        <f>IFERROR(INDEX(Pedidos!$G$2:$G$1801,MATCH(B270,Pedidos!$A$2:$A$1801,0)),0)</f>
        <v/>
      </c>
      <c r="N270" s="21">
        <f>IFERROR(INDEX(Produtos!$B$2:$B$71,MATCH(C270,Produtos!$A$2:$A$71,0)),"")</f>
        <v/>
      </c>
      <c r="O270" s="21">
        <f>IFERROR(INDEX(Produtos!$C$2:$C$71,MATCH(C270,Produtos!$A$2:$A$71,0)),"")</f>
        <v/>
      </c>
      <c r="P270" s="21">
        <f>IFERROR(INDEX(Produtos!$D$2:$D$71,MATCH(C270,Produtos!$A$2:$A$71,0)),0)</f>
        <v/>
      </c>
      <c r="Q270" s="21">
        <f>IFERROR(INDEX(Produtos!$E$2:$E$71,MATCH(C270,Produtos!$A$2:$A$71,0)),0)</f>
        <v/>
      </c>
      <c r="R270" s="23">
        <f>D270*Q270</f>
        <v/>
      </c>
      <c r="S270" s="23">
        <f>R270*E270</f>
        <v/>
      </c>
      <c r="T270" s="23">
        <f>(R270-S270)*M270</f>
        <v/>
      </c>
      <c r="U270" s="23">
        <f>R270-S270-T270</f>
        <v/>
      </c>
      <c r="V270" s="23">
        <f>D270*P270</f>
        <v/>
      </c>
      <c r="W270" s="23">
        <f>U270-V270</f>
        <v/>
      </c>
      <c r="X270" s="24">
        <f>IFERROR(W270/U270,0)</f>
        <v/>
      </c>
    </row>
    <row r="271">
      <c r="A271" s="25">
        <f>ItensPedido!A271</f>
        <v/>
      </c>
      <c r="B271" s="25">
        <f>ItensPedido!B271</f>
        <v/>
      </c>
      <c r="C271" s="25">
        <f>ItensPedido!C271</f>
        <v/>
      </c>
      <c r="D271" s="25">
        <f>ItensPedido!D271</f>
        <v/>
      </c>
      <c r="E271" s="26">
        <f>ItensPedido!E271</f>
        <v/>
      </c>
      <c r="F271" s="25">
        <f>IFERROR(INDEX(Pedidos!$B$2:$B$1801,MATCH(B271,Pedidos!$A$2:$A$1801,0)),0)</f>
        <v/>
      </c>
      <c r="G271" s="25">
        <f>IF(F271=0,"",YEAR(F271))</f>
        <v/>
      </c>
      <c r="H271" s="25">
        <f>IF(F271=0,"",MONTH(F271))</f>
        <v/>
      </c>
      <c r="I271" s="25">
        <f>IFERROR(INDEX(Pedidos!$E$2:$E$1801,MATCH(B271,Pedidos!$A$2:$A$1801,0)),"")</f>
        <v/>
      </c>
      <c r="J271" s="25">
        <f>IFERROR(INDEX(Pedidos!$C$2:$C$1801,MATCH(B271,Pedidos!$A$2:$A$1801,0)),"")</f>
        <v/>
      </c>
      <c r="K271" s="25">
        <f>IFERROR(INDEX(Pedidos!$D$2:$D$1801,MATCH(B271,Pedidos!$A$2:$A$1801,0)),"")</f>
        <v/>
      </c>
      <c r="L271" s="25">
        <f>IFERROR(INDEX(Pedidos!$F$2:$F$1801,MATCH(B271,Pedidos!$A$2:$A$1801,0)),"")</f>
        <v/>
      </c>
      <c r="M271" s="26">
        <f>IFERROR(INDEX(Pedidos!$G$2:$G$1801,MATCH(B271,Pedidos!$A$2:$A$1801,0)),0)</f>
        <v/>
      </c>
      <c r="N271" s="25">
        <f>IFERROR(INDEX(Produtos!$B$2:$B$71,MATCH(C271,Produtos!$A$2:$A$71,0)),"")</f>
        <v/>
      </c>
      <c r="O271" s="25">
        <f>IFERROR(INDEX(Produtos!$C$2:$C$71,MATCH(C271,Produtos!$A$2:$A$71,0)),"")</f>
        <v/>
      </c>
      <c r="P271" s="25">
        <f>IFERROR(INDEX(Produtos!$D$2:$D$71,MATCH(C271,Produtos!$A$2:$A$71,0)),0)</f>
        <v/>
      </c>
      <c r="Q271" s="25">
        <f>IFERROR(INDEX(Produtos!$E$2:$E$71,MATCH(C271,Produtos!$A$2:$A$71,0)),0)</f>
        <v/>
      </c>
      <c r="R271" s="27">
        <f>D271*Q271</f>
        <v/>
      </c>
      <c r="S271" s="27">
        <f>R271*E271</f>
        <v/>
      </c>
      <c r="T271" s="27">
        <f>(R271-S271)*M271</f>
        <v/>
      </c>
      <c r="U271" s="27">
        <f>R271-S271-T271</f>
        <v/>
      </c>
      <c r="V271" s="27">
        <f>D271*P271</f>
        <v/>
      </c>
      <c r="W271" s="27">
        <f>U271-V271</f>
        <v/>
      </c>
      <c r="X271" s="28">
        <f>IFERROR(W271/U271,0)</f>
        <v/>
      </c>
    </row>
    <row r="272">
      <c r="A272" s="21">
        <f>ItensPedido!A272</f>
        <v/>
      </c>
      <c r="B272" s="21">
        <f>ItensPedido!B272</f>
        <v/>
      </c>
      <c r="C272" s="21">
        <f>ItensPedido!C272</f>
        <v/>
      </c>
      <c r="D272" s="21">
        <f>ItensPedido!D272</f>
        <v/>
      </c>
      <c r="E272" s="22">
        <f>ItensPedido!E272</f>
        <v/>
      </c>
      <c r="F272" s="21">
        <f>IFERROR(INDEX(Pedidos!$B$2:$B$1801,MATCH(B272,Pedidos!$A$2:$A$1801,0)),0)</f>
        <v/>
      </c>
      <c r="G272" s="21">
        <f>IF(F272=0,"",YEAR(F272))</f>
        <v/>
      </c>
      <c r="H272" s="21">
        <f>IF(F272=0,"",MONTH(F272))</f>
        <v/>
      </c>
      <c r="I272" s="21">
        <f>IFERROR(INDEX(Pedidos!$E$2:$E$1801,MATCH(B272,Pedidos!$A$2:$A$1801,0)),"")</f>
        <v/>
      </c>
      <c r="J272" s="21">
        <f>IFERROR(INDEX(Pedidos!$C$2:$C$1801,MATCH(B272,Pedidos!$A$2:$A$1801,0)),"")</f>
        <v/>
      </c>
      <c r="K272" s="21">
        <f>IFERROR(INDEX(Pedidos!$D$2:$D$1801,MATCH(B272,Pedidos!$A$2:$A$1801,0)),"")</f>
        <v/>
      </c>
      <c r="L272" s="21">
        <f>IFERROR(INDEX(Pedidos!$F$2:$F$1801,MATCH(B272,Pedidos!$A$2:$A$1801,0)),"")</f>
        <v/>
      </c>
      <c r="M272" s="22">
        <f>IFERROR(INDEX(Pedidos!$G$2:$G$1801,MATCH(B272,Pedidos!$A$2:$A$1801,0)),0)</f>
        <v/>
      </c>
      <c r="N272" s="21">
        <f>IFERROR(INDEX(Produtos!$B$2:$B$71,MATCH(C272,Produtos!$A$2:$A$71,0)),"")</f>
        <v/>
      </c>
      <c r="O272" s="21">
        <f>IFERROR(INDEX(Produtos!$C$2:$C$71,MATCH(C272,Produtos!$A$2:$A$71,0)),"")</f>
        <v/>
      </c>
      <c r="P272" s="21">
        <f>IFERROR(INDEX(Produtos!$D$2:$D$71,MATCH(C272,Produtos!$A$2:$A$71,0)),0)</f>
        <v/>
      </c>
      <c r="Q272" s="21">
        <f>IFERROR(INDEX(Produtos!$E$2:$E$71,MATCH(C272,Produtos!$A$2:$A$71,0)),0)</f>
        <v/>
      </c>
      <c r="R272" s="23">
        <f>D272*Q272</f>
        <v/>
      </c>
      <c r="S272" s="23">
        <f>R272*E272</f>
        <v/>
      </c>
      <c r="T272" s="23">
        <f>(R272-S272)*M272</f>
        <v/>
      </c>
      <c r="U272" s="23">
        <f>R272-S272-T272</f>
        <v/>
      </c>
      <c r="V272" s="23">
        <f>D272*P272</f>
        <v/>
      </c>
      <c r="W272" s="23">
        <f>U272-V272</f>
        <v/>
      </c>
      <c r="X272" s="24">
        <f>IFERROR(W272/U272,0)</f>
        <v/>
      </c>
    </row>
    <row r="273">
      <c r="A273" s="25">
        <f>ItensPedido!A273</f>
        <v/>
      </c>
      <c r="B273" s="25">
        <f>ItensPedido!B273</f>
        <v/>
      </c>
      <c r="C273" s="25">
        <f>ItensPedido!C273</f>
        <v/>
      </c>
      <c r="D273" s="25">
        <f>ItensPedido!D273</f>
        <v/>
      </c>
      <c r="E273" s="26">
        <f>ItensPedido!E273</f>
        <v/>
      </c>
      <c r="F273" s="25">
        <f>IFERROR(INDEX(Pedidos!$B$2:$B$1801,MATCH(B273,Pedidos!$A$2:$A$1801,0)),0)</f>
        <v/>
      </c>
      <c r="G273" s="25">
        <f>IF(F273=0,"",YEAR(F273))</f>
        <v/>
      </c>
      <c r="H273" s="25">
        <f>IF(F273=0,"",MONTH(F273))</f>
        <v/>
      </c>
      <c r="I273" s="25">
        <f>IFERROR(INDEX(Pedidos!$E$2:$E$1801,MATCH(B273,Pedidos!$A$2:$A$1801,0)),"")</f>
        <v/>
      </c>
      <c r="J273" s="25">
        <f>IFERROR(INDEX(Pedidos!$C$2:$C$1801,MATCH(B273,Pedidos!$A$2:$A$1801,0)),"")</f>
        <v/>
      </c>
      <c r="K273" s="25">
        <f>IFERROR(INDEX(Pedidos!$D$2:$D$1801,MATCH(B273,Pedidos!$A$2:$A$1801,0)),"")</f>
        <v/>
      </c>
      <c r="L273" s="25">
        <f>IFERROR(INDEX(Pedidos!$F$2:$F$1801,MATCH(B273,Pedidos!$A$2:$A$1801,0)),"")</f>
        <v/>
      </c>
      <c r="M273" s="26">
        <f>IFERROR(INDEX(Pedidos!$G$2:$G$1801,MATCH(B273,Pedidos!$A$2:$A$1801,0)),0)</f>
        <v/>
      </c>
      <c r="N273" s="25">
        <f>IFERROR(INDEX(Produtos!$B$2:$B$71,MATCH(C273,Produtos!$A$2:$A$71,0)),"")</f>
        <v/>
      </c>
      <c r="O273" s="25">
        <f>IFERROR(INDEX(Produtos!$C$2:$C$71,MATCH(C273,Produtos!$A$2:$A$71,0)),"")</f>
        <v/>
      </c>
      <c r="P273" s="25">
        <f>IFERROR(INDEX(Produtos!$D$2:$D$71,MATCH(C273,Produtos!$A$2:$A$71,0)),0)</f>
        <v/>
      </c>
      <c r="Q273" s="25">
        <f>IFERROR(INDEX(Produtos!$E$2:$E$71,MATCH(C273,Produtos!$A$2:$A$71,0)),0)</f>
        <v/>
      </c>
      <c r="R273" s="27">
        <f>D273*Q273</f>
        <v/>
      </c>
      <c r="S273" s="27">
        <f>R273*E273</f>
        <v/>
      </c>
      <c r="T273" s="27">
        <f>(R273-S273)*M273</f>
        <v/>
      </c>
      <c r="U273" s="27">
        <f>R273-S273-T273</f>
        <v/>
      </c>
      <c r="V273" s="27">
        <f>D273*P273</f>
        <v/>
      </c>
      <c r="W273" s="27">
        <f>U273-V273</f>
        <v/>
      </c>
      <c r="X273" s="28">
        <f>IFERROR(W273/U273,0)</f>
        <v/>
      </c>
    </row>
    <row r="274">
      <c r="A274" s="21">
        <f>ItensPedido!A274</f>
        <v/>
      </c>
      <c r="B274" s="21">
        <f>ItensPedido!B274</f>
        <v/>
      </c>
      <c r="C274" s="21">
        <f>ItensPedido!C274</f>
        <v/>
      </c>
      <c r="D274" s="21">
        <f>ItensPedido!D274</f>
        <v/>
      </c>
      <c r="E274" s="22">
        <f>ItensPedido!E274</f>
        <v/>
      </c>
      <c r="F274" s="21">
        <f>IFERROR(INDEX(Pedidos!$B$2:$B$1801,MATCH(B274,Pedidos!$A$2:$A$1801,0)),0)</f>
        <v/>
      </c>
      <c r="G274" s="21">
        <f>IF(F274=0,"",YEAR(F274))</f>
        <v/>
      </c>
      <c r="H274" s="21">
        <f>IF(F274=0,"",MONTH(F274))</f>
        <v/>
      </c>
      <c r="I274" s="21">
        <f>IFERROR(INDEX(Pedidos!$E$2:$E$1801,MATCH(B274,Pedidos!$A$2:$A$1801,0)),"")</f>
        <v/>
      </c>
      <c r="J274" s="21">
        <f>IFERROR(INDEX(Pedidos!$C$2:$C$1801,MATCH(B274,Pedidos!$A$2:$A$1801,0)),"")</f>
        <v/>
      </c>
      <c r="K274" s="21">
        <f>IFERROR(INDEX(Pedidos!$D$2:$D$1801,MATCH(B274,Pedidos!$A$2:$A$1801,0)),"")</f>
        <v/>
      </c>
      <c r="L274" s="21">
        <f>IFERROR(INDEX(Pedidos!$F$2:$F$1801,MATCH(B274,Pedidos!$A$2:$A$1801,0)),"")</f>
        <v/>
      </c>
      <c r="M274" s="22">
        <f>IFERROR(INDEX(Pedidos!$G$2:$G$1801,MATCH(B274,Pedidos!$A$2:$A$1801,0)),0)</f>
        <v/>
      </c>
      <c r="N274" s="21">
        <f>IFERROR(INDEX(Produtos!$B$2:$B$71,MATCH(C274,Produtos!$A$2:$A$71,0)),"")</f>
        <v/>
      </c>
      <c r="O274" s="21">
        <f>IFERROR(INDEX(Produtos!$C$2:$C$71,MATCH(C274,Produtos!$A$2:$A$71,0)),"")</f>
        <v/>
      </c>
      <c r="P274" s="21">
        <f>IFERROR(INDEX(Produtos!$D$2:$D$71,MATCH(C274,Produtos!$A$2:$A$71,0)),0)</f>
        <v/>
      </c>
      <c r="Q274" s="21">
        <f>IFERROR(INDEX(Produtos!$E$2:$E$71,MATCH(C274,Produtos!$A$2:$A$71,0)),0)</f>
        <v/>
      </c>
      <c r="R274" s="23">
        <f>D274*Q274</f>
        <v/>
      </c>
      <c r="S274" s="23">
        <f>R274*E274</f>
        <v/>
      </c>
      <c r="T274" s="23">
        <f>(R274-S274)*M274</f>
        <v/>
      </c>
      <c r="U274" s="23">
        <f>R274-S274-T274</f>
        <v/>
      </c>
      <c r="V274" s="23">
        <f>D274*P274</f>
        <v/>
      </c>
      <c r="W274" s="23">
        <f>U274-V274</f>
        <v/>
      </c>
      <c r="X274" s="24">
        <f>IFERROR(W274/U274,0)</f>
        <v/>
      </c>
    </row>
    <row r="275">
      <c r="A275" s="25">
        <f>ItensPedido!A275</f>
        <v/>
      </c>
      <c r="B275" s="25">
        <f>ItensPedido!B275</f>
        <v/>
      </c>
      <c r="C275" s="25">
        <f>ItensPedido!C275</f>
        <v/>
      </c>
      <c r="D275" s="25">
        <f>ItensPedido!D275</f>
        <v/>
      </c>
      <c r="E275" s="26">
        <f>ItensPedido!E275</f>
        <v/>
      </c>
      <c r="F275" s="25">
        <f>IFERROR(INDEX(Pedidos!$B$2:$B$1801,MATCH(B275,Pedidos!$A$2:$A$1801,0)),0)</f>
        <v/>
      </c>
      <c r="G275" s="25">
        <f>IF(F275=0,"",YEAR(F275))</f>
        <v/>
      </c>
      <c r="H275" s="25">
        <f>IF(F275=0,"",MONTH(F275))</f>
        <v/>
      </c>
      <c r="I275" s="25">
        <f>IFERROR(INDEX(Pedidos!$E$2:$E$1801,MATCH(B275,Pedidos!$A$2:$A$1801,0)),"")</f>
        <v/>
      </c>
      <c r="J275" s="25">
        <f>IFERROR(INDEX(Pedidos!$C$2:$C$1801,MATCH(B275,Pedidos!$A$2:$A$1801,0)),"")</f>
        <v/>
      </c>
      <c r="K275" s="25">
        <f>IFERROR(INDEX(Pedidos!$D$2:$D$1801,MATCH(B275,Pedidos!$A$2:$A$1801,0)),"")</f>
        <v/>
      </c>
      <c r="L275" s="25">
        <f>IFERROR(INDEX(Pedidos!$F$2:$F$1801,MATCH(B275,Pedidos!$A$2:$A$1801,0)),"")</f>
        <v/>
      </c>
      <c r="M275" s="26">
        <f>IFERROR(INDEX(Pedidos!$G$2:$G$1801,MATCH(B275,Pedidos!$A$2:$A$1801,0)),0)</f>
        <v/>
      </c>
      <c r="N275" s="25">
        <f>IFERROR(INDEX(Produtos!$B$2:$B$71,MATCH(C275,Produtos!$A$2:$A$71,0)),"")</f>
        <v/>
      </c>
      <c r="O275" s="25">
        <f>IFERROR(INDEX(Produtos!$C$2:$C$71,MATCH(C275,Produtos!$A$2:$A$71,0)),"")</f>
        <v/>
      </c>
      <c r="P275" s="25">
        <f>IFERROR(INDEX(Produtos!$D$2:$D$71,MATCH(C275,Produtos!$A$2:$A$71,0)),0)</f>
        <v/>
      </c>
      <c r="Q275" s="25">
        <f>IFERROR(INDEX(Produtos!$E$2:$E$71,MATCH(C275,Produtos!$A$2:$A$71,0)),0)</f>
        <v/>
      </c>
      <c r="R275" s="27">
        <f>D275*Q275</f>
        <v/>
      </c>
      <c r="S275" s="27">
        <f>R275*E275</f>
        <v/>
      </c>
      <c r="T275" s="27">
        <f>(R275-S275)*M275</f>
        <v/>
      </c>
      <c r="U275" s="27">
        <f>R275-S275-T275</f>
        <v/>
      </c>
      <c r="V275" s="27">
        <f>D275*P275</f>
        <v/>
      </c>
      <c r="W275" s="27">
        <f>U275-V275</f>
        <v/>
      </c>
      <c r="X275" s="28">
        <f>IFERROR(W275/U275,0)</f>
        <v/>
      </c>
    </row>
    <row r="276">
      <c r="A276" s="21">
        <f>ItensPedido!A276</f>
        <v/>
      </c>
      <c r="B276" s="21">
        <f>ItensPedido!B276</f>
        <v/>
      </c>
      <c r="C276" s="21">
        <f>ItensPedido!C276</f>
        <v/>
      </c>
      <c r="D276" s="21">
        <f>ItensPedido!D276</f>
        <v/>
      </c>
      <c r="E276" s="22">
        <f>ItensPedido!E276</f>
        <v/>
      </c>
      <c r="F276" s="21">
        <f>IFERROR(INDEX(Pedidos!$B$2:$B$1801,MATCH(B276,Pedidos!$A$2:$A$1801,0)),0)</f>
        <v/>
      </c>
      <c r="G276" s="21">
        <f>IF(F276=0,"",YEAR(F276))</f>
        <v/>
      </c>
      <c r="H276" s="21">
        <f>IF(F276=0,"",MONTH(F276))</f>
        <v/>
      </c>
      <c r="I276" s="21">
        <f>IFERROR(INDEX(Pedidos!$E$2:$E$1801,MATCH(B276,Pedidos!$A$2:$A$1801,0)),"")</f>
        <v/>
      </c>
      <c r="J276" s="21">
        <f>IFERROR(INDEX(Pedidos!$C$2:$C$1801,MATCH(B276,Pedidos!$A$2:$A$1801,0)),"")</f>
        <v/>
      </c>
      <c r="K276" s="21">
        <f>IFERROR(INDEX(Pedidos!$D$2:$D$1801,MATCH(B276,Pedidos!$A$2:$A$1801,0)),"")</f>
        <v/>
      </c>
      <c r="L276" s="21">
        <f>IFERROR(INDEX(Pedidos!$F$2:$F$1801,MATCH(B276,Pedidos!$A$2:$A$1801,0)),"")</f>
        <v/>
      </c>
      <c r="M276" s="22">
        <f>IFERROR(INDEX(Pedidos!$G$2:$G$1801,MATCH(B276,Pedidos!$A$2:$A$1801,0)),0)</f>
        <v/>
      </c>
      <c r="N276" s="21">
        <f>IFERROR(INDEX(Produtos!$B$2:$B$71,MATCH(C276,Produtos!$A$2:$A$71,0)),"")</f>
        <v/>
      </c>
      <c r="O276" s="21">
        <f>IFERROR(INDEX(Produtos!$C$2:$C$71,MATCH(C276,Produtos!$A$2:$A$71,0)),"")</f>
        <v/>
      </c>
      <c r="P276" s="21">
        <f>IFERROR(INDEX(Produtos!$D$2:$D$71,MATCH(C276,Produtos!$A$2:$A$71,0)),0)</f>
        <v/>
      </c>
      <c r="Q276" s="21">
        <f>IFERROR(INDEX(Produtos!$E$2:$E$71,MATCH(C276,Produtos!$A$2:$A$71,0)),0)</f>
        <v/>
      </c>
      <c r="R276" s="23">
        <f>D276*Q276</f>
        <v/>
      </c>
      <c r="S276" s="23">
        <f>R276*E276</f>
        <v/>
      </c>
      <c r="T276" s="23">
        <f>(R276-S276)*M276</f>
        <v/>
      </c>
      <c r="U276" s="23">
        <f>R276-S276-T276</f>
        <v/>
      </c>
      <c r="V276" s="23">
        <f>D276*P276</f>
        <v/>
      </c>
      <c r="W276" s="23">
        <f>U276-V276</f>
        <v/>
      </c>
      <c r="X276" s="24">
        <f>IFERROR(W276/U276,0)</f>
        <v/>
      </c>
    </row>
    <row r="277">
      <c r="A277" s="25">
        <f>ItensPedido!A277</f>
        <v/>
      </c>
      <c r="B277" s="25">
        <f>ItensPedido!B277</f>
        <v/>
      </c>
      <c r="C277" s="25">
        <f>ItensPedido!C277</f>
        <v/>
      </c>
      <c r="D277" s="25">
        <f>ItensPedido!D277</f>
        <v/>
      </c>
      <c r="E277" s="26">
        <f>ItensPedido!E277</f>
        <v/>
      </c>
      <c r="F277" s="25">
        <f>IFERROR(INDEX(Pedidos!$B$2:$B$1801,MATCH(B277,Pedidos!$A$2:$A$1801,0)),0)</f>
        <v/>
      </c>
      <c r="G277" s="25">
        <f>IF(F277=0,"",YEAR(F277))</f>
        <v/>
      </c>
      <c r="H277" s="25">
        <f>IF(F277=0,"",MONTH(F277))</f>
        <v/>
      </c>
      <c r="I277" s="25">
        <f>IFERROR(INDEX(Pedidos!$E$2:$E$1801,MATCH(B277,Pedidos!$A$2:$A$1801,0)),"")</f>
        <v/>
      </c>
      <c r="J277" s="25">
        <f>IFERROR(INDEX(Pedidos!$C$2:$C$1801,MATCH(B277,Pedidos!$A$2:$A$1801,0)),"")</f>
        <v/>
      </c>
      <c r="K277" s="25">
        <f>IFERROR(INDEX(Pedidos!$D$2:$D$1801,MATCH(B277,Pedidos!$A$2:$A$1801,0)),"")</f>
        <v/>
      </c>
      <c r="L277" s="25">
        <f>IFERROR(INDEX(Pedidos!$F$2:$F$1801,MATCH(B277,Pedidos!$A$2:$A$1801,0)),"")</f>
        <v/>
      </c>
      <c r="M277" s="26">
        <f>IFERROR(INDEX(Pedidos!$G$2:$G$1801,MATCH(B277,Pedidos!$A$2:$A$1801,0)),0)</f>
        <v/>
      </c>
      <c r="N277" s="25">
        <f>IFERROR(INDEX(Produtos!$B$2:$B$71,MATCH(C277,Produtos!$A$2:$A$71,0)),"")</f>
        <v/>
      </c>
      <c r="O277" s="25">
        <f>IFERROR(INDEX(Produtos!$C$2:$C$71,MATCH(C277,Produtos!$A$2:$A$71,0)),"")</f>
        <v/>
      </c>
      <c r="P277" s="25">
        <f>IFERROR(INDEX(Produtos!$D$2:$D$71,MATCH(C277,Produtos!$A$2:$A$71,0)),0)</f>
        <v/>
      </c>
      <c r="Q277" s="25">
        <f>IFERROR(INDEX(Produtos!$E$2:$E$71,MATCH(C277,Produtos!$A$2:$A$71,0)),0)</f>
        <v/>
      </c>
      <c r="R277" s="27">
        <f>D277*Q277</f>
        <v/>
      </c>
      <c r="S277" s="27">
        <f>R277*E277</f>
        <v/>
      </c>
      <c r="T277" s="27">
        <f>(R277-S277)*M277</f>
        <v/>
      </c>
      <c r="U277" s="27">
        <f>R277-S277-T277</f>
        <v/>
      </c>
      <c r="V277" s="27">
        <f>D277*P277</f>
        <v/>
      </c>
      <c r="W277" s="27">
        <f>U277-V277</f>
        <v/>
      </c>
      <c r="X277" s="28">
        <f>IFERROR(W277/U277,0)</f>
        <v/>
      </c>
    </row>
    <row r="278">
      <c r="A278" s="21">
        <f>ItensPedido!A278</f>
        <v/>
      </c>
      <c r="B278" s="21">
        <f>ItensPedido!B278</f>
        <v/>
      </c>
      <c r="C278" s="21">
        <f>ItensPedido!C278</f>
        <v/>
      </c>
      <c r="D278" s="21">
        <f>ItensPedido!D278</f>
        <v/>
      </c>
      <c r="E278" s="22">
        <f>ItensPedido!E278</f>
        <v/>
      </c>
      <c r="F278" s="21">
        <f>IFERROR(INDEX(Pedidos!$B$2:$B$1801,MATCH(B278,Pedidos!$A$2:$A$1801,0)),0)</f>
        <v/>
      </c>
      <c r="G278" s="21">
        <f>IF(F278=0,"",YEAR(F278))</f>
        <v/>
      </c>
      <c r="H278" s="21">
        <f>IF(F278=0,"",MONTH(F278))</f>
        <v/>
      </c>
      <c r="I278" s="21">
        <f>IFERROR(INDEX(Pedidos!$E$2:$E$1801,MATCH(B278,Pedidos!$A$2:$A$1801,0)),"")</f>
        <v/>
      </c>
      <c r="J278" s="21">
        <f>IFERROR(INDEX(Pedidos!$C$2:$C$1801,MATCH(B278,Pedidos!$A$2:$A$1801,0)),"")</f>
        <v/>
      </c>
      <c r="K278" s="21">
        <f>IFERROR(INDEX(Pedidos!$D$2:$D$1801,MATCH(B278,Pedidos!$A$2:$A$1801,0)),"")</f>
        <v/>
      </c>
      <c r="L278" s="21">
        <f>IFERROR(INDEX(Pedidos!$F$2:$F$1801,MATCH(B278,Pedidos!$A$2:$A$1801,0)),"")</f>
        <v/>
      </c>
      <c r="M278" s="22">
        <f>IFERROR(INDEX(Pedidos!$G$2:$G$1801,MATCH(B278,Pedidos!$A$2:$A$1801,0)),0)</f>
        <v/>
      </c>
      <c r="N278" s="21">
        <f>IFERROR(INDEX(Produtos!$B$2:$B$71,MATCH(C278,Produtos!$A$2:$A$71,0)),"")</f>
        <v/>
      </c>
      <c r="O278" s="21">
        <f>IFERROR(INDEX(Produtos!$C$2:$C$71,MATCH(C278,Produtos!$A$2:$A$71,0)),"")</f>
        <v/>
      </c>
      <c r="P278" s="21">
        <f>IFERROR(INDEX(Produtos!$D$2:$D$71,MATCH(C278,Produtos!$A$2:$A$71,0)),0)</f>
        <v/>
      </c>
      <c r="Q278" s="21">
        <f>IFERROR(INDEX(Produtos!$E$2:$E$71,MATCH(C278,Produtos!$A$2:$A$71,0)),0)</f>
        <v/>
      </c>
      <c r="R278" s="23">
        <f>D278*Q278</f>
        <v/>
      </c>
      <c r="S278" s="23">
        <f>R278*E278</f>
        <v/>
      </c>
      <c r="T278" s="23">
        <f>(R278-S278)*M278</f>
        <v/>
      </c>
      <c r="U278" s="23">
        <f>R278-S278-T278</f>
        <v/>
      </c>
      <c r="V278" s="23">
        <f>D278*P278</f>
        <v/>
      </c>
      <c r="W278" s="23">
        <f>U278-V278</f>
        <v/>
      </c>
      <c r="X278" s="24">
        <f>IFERROR(W278/U278,0)</f>
        <v/>
      </c>
    </row>
    <row r="279">
      <c r="A279" s="25">
        <f>ItensPedido!A279</f>
        <v/>
      </c>
      <c r="B279" s="25">
        <f>ItensPedido!B279</f>
        <v/>
      </c>
      <c r="C279" s="25">
        <f>ItensPedido!C279</f>
        <v/>
      </c>
      <c r="D279" s="25">
        <f>ItensPedido!D279</f>
        <v/>
      </c>
      <c r="E279" s="26">
        <f>ItensPedido!E279</f>
        <v/>
      </c>
      <c r="F279" s="25">
        <f>IFERROR(INDEX(Pedidos!$B$2:$B$1801,MATCH(B279,Pedidos!$A$2:$A$1801,0)),0)</f>
        <v/>
      </c>
      <c r="G279" s="25">
        <f>IF(F279=0,"",YEAR(F279))</f>
        <v/>
      </c>
      <c r="H279" s="25">
        <f>IF(F279=0,"",MONTH(F279))</f>
        <v/>
      </c>
      <c r="I279" s="25">
        <f>IFERROR(INDEX(Pedidos!$E$2:$E$1801,MATCH(B279,Pedidos!$A$2:$A$1801,0)),"")</f>
        <v/>
      </c>
      <c r="J279" s="25">
        <f>IFERROR(INDEX(Pedidos!$C$2:$C$1801,MATCH(B279,Pedidos!$A$2:$A$1801,0)),"")</f>
        <v/>
      </c>
      <c r="K279" s="25">
        <f>IFERROR(INDEX(Pedidos!$D$2:$D$1801,MATCH(B279,Pedidos!$A$2:$A$1801,0)),"")</f>
        <v/>
      </c>
      <c r="L279" s="25">
        <f>IFERROR(INDEX(Pedidos!$F$2:$F$1801,MATCH(B279,Pedidos!$A$2:$A$1801,0)),"")</f>
        <v/>
      </c>
      <c r="M279" s="26">
        <f>IFERROR(INDEX(Pedidos!$G$2:$G$1801,MATCH(B279,Pedidos!$A$2:$A$1801,0)),0)</f>
        <v/>
      </c>
      <c r="N279" s="25">
        <f>IFERROR(INDEX(Produtos!$B$2:$B$71,MATCH(C279,Produtos!$A$2:$A$71,0)),"")</f>
        <v/>
      </c>
      <c r="O279" s="25">
        <f>IFERROR(INDEX(Produtos!$C$2:$C$71,MATCH(C279,Produtos!$A$2:$A$71,0)),"")</f>
        <v/>
      </c>
      <c r="P279" s="25">
        <f>IFERROR(INDEX(Produtos!$D$2:$D$71,MATCH(C279,Produtos!$A$2:$A$71,0)),0)</f>
        <v/>
      </c>
      <c r="Q279" s="25">
        <f>IFERROR(INDEX(Produtos!$E$2:$E$71,MATCH(C279,Produtos!$A$2:$A$71,0)),0)</f>
        <v/>
      </c>
      <c r="R279" s="27">
        <f>D279*Q279</f>
        <v/>
      </c>
      <c r="S279" s="27">
        <f>R279*E279</f>
        <v/>
      </c>
      <c r="T279" s="27">
        <f>(R279-S279)*M279</f>
        <v/>
      </c>
      <c r="U279" s="27">
        <f>R279-S279-T279</f>
        <v/>
      </c>
      <c r="V279" s="27">
        <f>D279*P279</f>
        <v/>
      </c>
      <c r="W279" s="27">
        <f>U279-V279</f>
        <v/>
      </c>
      <c r="X279" s="28">
        <f>IFERROR(W279/U279,0)</f>
        <v/>
      </c>
    </row>
    <row r="280">
      <c r="A280" s="21">
        <f>ItensPedido!A280</f>
        <v/>
      </c>
      <c r="B280" s="21">
        <f>ItensPedido!B280</f>
        <v/>
      </c>
      <c r="C280" s="21">
        <f>ItensPedido!C280</f>
        <v/>
      </c>
      <c r="D280" s="21">
        <f>ItensPedido!D280</f>
        <v/>
      </c>
      <c r="E280" s="22">
        <f>ItensPedido!E280</f>
        <v/>
      </c>
      <c r="F280" s="21">
        <f>IFERROR(INDEX(Pedidos!$B$2:$B$1801,MATCH(B280,Pedidos!$A$2:$A$1801,0)),0)</f>
        <v/>
      </c>
      <c r="G280" s="21">
        <f>IF(F280=0,"",YEAR(F280))</f>
        <v/>
      </c>
      <c r="H280" s="21">
        <f>IF(F280=0,"",MONTH(F280))</f>
        <v/>
      </c>
      <c r="I280" s="21">
        <f>IFERROR(INDEX(Pedidos!$E$2:$E$1801,MATCH(B280,Pedidos!$A$2:$A$1801,0)),"")</f>
        <v/>
      </c>
      <c r="J280" s="21">
        <f>IFERROR(INDEX(Pedidos!$C$2:$C$1801,MATCH(B280,Pedidos!$A$2:$A$1801,0)),"")</f>
        <v/>
      </c>
      <c r="K280" s="21">
        <f>IFERROR(INDEX(Pedidos!$D$2:$D$1801,MATCH(B280,Pedidos!$A$2:$A$1801,0)),"")</f>
        <v/>
      </c>
      <c r="L280" s="21">
        <f>IFERROR(INDEX(Pedidos!$F$2:$F$1801,MATCH(B280,Pedidos!$A$2:$A$1801,0)),"")</f>
        <v/>
      </c>
      <c r="M280" s="22">
        <f>IFERROR(INDEX(Pedidos!$G$2:$G$1801,MATCH(B280,Pedidos!$A$2:$A$1801,0)),0)</f>
        <v/>
      </c>
      <c r="N280" s="21">
        <f>IFERROR(INDEX(Produtos!$B$2:$B$71,MATCH(C280,Produtos!$A$2:$A$71,0)),"")</f>
        <v/>
      </c>
      <c r="O280" s="21">
        <f>IFERROR(INDEX(Produtos!$C$2:$C$71,MATCH(C280,Produtos!$A$2:$A$71,0)),"")</f>
        <v/>
      </c>
      <c r="P280" s="21">
        <f>IFERROR(INDEX(Produtos!$D$2:$D$71,MATCH(C280,Produtos!$A$2:$A$71,0)),0)</f>
        <v/>
      </c>
      <c r="Q280" s="21">
        <f>IFERROR(INDEX(Produtos!$E$2:$E$71,MATCH(C280,Produtos!$A$2:$A$71,0)),0)</f>
        <v/>
      </c>
      <c r="R280" s="23">
        <f>D280*Q280</f>
        <v/>
      </c>
      <c r="S280" s="23">
        <f>R280*E280</f>
        <v/>
      </c>
      <c r="T280" s="23">
        <f>(R280-S280)*M280</f>
        <v/>
      </c>
      <c r="U280" s="23">
        <f>R280-S280-T280</f>
        <v/>
      </c>
      <c r="V280" s="23">
        <f>D280*P280</f>
        <v/>
      </c>
      <c r="W280" s="23">
        <f>U280-V280</f>
        <v/>
      </c>
      <c r="X280" s="24">
        <f>IFERROR(W280/U280,0)</f>
        <v/>
      </c>
    </row>
    <row r="281">
      <c r="A281" s="25">
        <f>ItensPedido!A281</f>
        <v/>
      </c>
      <c r="B281" s="25">
        <f>ItensPedido!B281</f>
        <v/>
      </c>
      <c r="C281" s="25">
        <f>ItensPedido!C281</f>
        <v/>
      </c>
      <c r="D281" s="25">
        <f>ItensPedido!D281</f>
        <v/>
      </c>
      <c r="E281" s="26">
        <f>ItensPedido!E281</f>
        <v/>
      </c>
      <c r="F281" s="25">
        <f>IFERROR(INDEX(Pedidos!$B$2:$B$1801,MATCH(B281,Pedidos!$A$2:$A$1801,0)),0)</f>
        <v/>
      </c>
      <c r="G281" s="25">
        <f>IF(F281=0,"",YEAR(F281))</f>
        <v/>
      </c>
      <c r="H281" s="25">
        <f>IF(F281=0,"",MONTH(F281))</f>
        <v/>
      </c>
      <c r="I281" s="25">
        <f>IFERROR(INDEX(Pedidos!$E$2:$E$1801,MATCH(B281,Pedidos!$A$2:$A$1801,0)),"")</f>
        <v/>
      </c>
      <c r="J281" s="25">
        <f>IFERROR(INDEX(Pedidos!$C$2:$C$1801,MATCH(B281,Pedidos!$A$2:$A$1801,0)),"")</f>
        <v/>
      </c>
      <c r="K281" s="25">
        <f>IFERROR(INDEX(Pedidos!$D$2:$D$1801,MATCH(B281,Pedidos!$A$2:$A$1801,0)),"")</f>
        <v/>
      </c>
      <c r="L281" s="25">
        <f>IFERROR(INDEX(Pedidos!$F$2:$F$1801,MATCH(B281,Pedidos!$A$2:$A$1801,0)),"")</f>
        <v/>
      </c>
      <c r="M281" s="26">
        <f>IFERROR(INDEX(Pedidos!$G$2:$G$1801,MATCH(B281,Pedidos!$A$2:$A$1801,0)),0)</f>
        <v/>
      </c>
      <c r="N281" s="25">
        <f>IFERROR(INDEX(Produtos!$B$2:$B$71,MATCH(C281,Produtos!$A$2:$A$71,0)),"")</f>
        <v/>
      </c>
      <c r="O281" s="25">
        <f>IFERROR(INDEX(Produtos!$C$2:$C$71,MATCH(C281,Produtos!$A$2:$A$71,0)),"")</f>
        <v/>
      </c>
      <c r="P281" s="25">
        <f>IFERROR(INDEX(Produtos!$D$2:$D$71,MATCH(C281,Produtos!$A$2:$A$71,0)),0)</f>
        <v/>
      </c>
      <c r="Q281" s="25">
        <f>IFERROR(INDEX(Produtos!$E$2:$E$71,MATCH(C281,Produtos!$A$2:$A$71,0)),0)</f>
        <v/>
      </c>
      <c r="R281" s="27">
        <f>D281*Q281</f>
        <v/>
      </c>
      <c r="S281" s="27">
        <f>R281*E281</f>
        <v/>
      </c>
      <c r="T281" s="27">
        <f>(R281-S281)*M281</f>
        <v/>
      </c>
      <c r="U281" s="27">
        <f>R281-S281-T281</f>
        <v/>
      </c>
      <c r="V281" s="27">
        <f>D281*P281</f>
        <v/>
      </c>
      <c r="W281" s="27">
        <f>U281-V281</f>
        <v/>
      </c>
      <c r="X281" s="28">
        <f>IFERROR(W281/U281,0)</f>
        <v/>
      </c>
    </row>
    <row r="282">
      <c r="A282" s="21">
        <f>ItensPedido!A282</f>
        <v/>
      </c>
      <c r="B282" s="21">
        <f>ItensPedido!B282</f>
        <v/>
      </c>
      <c r="C282" s="21">
        <f>ItensPedido!C282</f>
        <v/>
      </c>
      <c r="D282" s="21">
        <f>ItensPedido!D282</f>
        <v/>
      </c>
      <c r="E282" s="22">
        <f>ItensPedido!E282</f>
        <v/>
      </c>
      <c r="F282" s="21">
        <f>IFERROR(INDEX(Pedidos!$B$2:$B$1801,MATCH(B282,Pedidos!$A$2:$A$1801,0)),0)</f>
        <v/>
      </c>
      <c r="G282" s="21">
        <f>IF(F282=0,"",YEAR(F282))</f>
        <v/>
      </c>
      <c r="H282" s="21">
        <f>IF(F282=0,"",MONTH(F282))</f>
        <v/>
      </c>
      <c r="I282" s="21">
        <f>IFERROR(INDEX(Pedidos!$E$2:$E$1801,MATCH(B282,Pedidos!$A$2:$A$1801,0)),"")</f>
        <v/>
      </c>
      <c r="J282" s="21">
        <f>IFERROR(INDEX(Pedidos!$C$2:$C$1801,MATCH(B282,Pedidos!$A$2:$A$1801,0)),"")</f>
        <v/>
      </c>
      <c r="K282" s="21">
        <f>IFERROR(INDEX(Pedidos!$D$2:$D$1801,MATCH(B282,Pedidos!$A$2:$A$1801,0)),"")</f>
        <v/>
      </c>
      <c r="L282" s="21">
        <f>IFERROR(INDEX(Pedidos!$F$2:$F$1801,MATCH(B282,Pedidos!$A$2:$A$1801,0)),"")</f>
        <v/>
      </c>
      <c r="M282" s="22">
        <f>IFERROR(INDEX(Pedidos!$G$2:$G$1801,MATCH(B282,Pedidos!$A$2:$A$1801,0)),0)</f>
        <v/>
      </c>
      <c r="N282" s="21">
        <f>IFERROR(INDEX(Produtos!$B$2:$B$71,MATCH(C282,Produtos!$A$2:$A$71,0)),"")</f>
        <v/>
      </c>
      <c r="O282" s="21">
        <f>IFERROR(INDEX(Produtos!$C$2:$C$71,MATCH(C282,Produtos!$A$2:$A$71,0)),"")</f>
        <v/>
      </c>
      <c r="P282" s="21">
        <f>IFERROR(INDEX(Produtos!$D$2:$D$71,MATCH(C282,Produtos!$A$2:$A$71,0)),0)</f>
        <v/>
      </c>
      <c r="Q282" s="21">
        <f>IFERROR(INDEX(Produtos!$E$2:$E$71,MATCH(C282,Produtos!$A$2:$A$71,0)),0)</f>
        <v/>
      </c>
      <c r="R282" s="23">
        <f>D282*Q282</f>
        <v/>
      </c>
      <c r="S282" s="23">
        <f>R282*E282</f>
        <v/>
      </c>
      <c r="T282" s="23">
        <f>(R282-S282)*M282</f>
        <v/>
      </c>
      <c r="U282" s="23">
        <f>R282-S282-T282</f>
        <v/>
      </c>
      <c r="V282" s="23">
        <f>D282*P282</f>
        <v/>
      </c>
      <c r="W282" s="23">
        <f>U282-V282</f>
        <v/>
      </c>
      <c r="X282" s="24">
        <f>IFERROR(W282/U282,0)</f>
        <v/>
      </c>
    </row>
    <row r="283">
      <c r="A283" s="25">
        <f>ItensPedido!A283</f>
        <v/>
      </c>
      <c r="B283" s="25">
        <f>ItensPedido!B283</f>
        <v/>
      </c>
      <c r="C283" s="25">
        <f>ItensPedido!C283</f>
        <v/>
      </c>
      <c r="D283" s="25">
        <f>ItensPedido!D283</f>
        <v/>
      </c>
      <c r="E283" s="26">
        <f>ItensPedido!E283</f>
        <v/>
      </c>
      <c r="F283" s="25">
        <f>IFERROR(INDEX(Pedidos!$B$2:$B$1801,MATCH(B283,Pedidos!$A$2:$A$1801,0)),0)</f>
        <v/>
      </c>
      <c r="G283" s="25">
        <f>IF(F283=0,"",YEAR(F283))</f>
        <v/>
      </c>
      <c r="H283" s="25">
        <f>IF(F283=0,"",MONTH(F283))</f>
        <v/>
      </c>
      <c r="I283" s="25">
        <f>IFERROR(INDEX(Pedidos!$E$2:$E$1801,MATCH(B283,Pedidos!$A$2:$A$1801,0)),"")</f>
        <v/>
      </c>
      <c r="J283" s="25">
        <f>IFERROR(INDEX(Pedidos!$C$2:$C$1801,MATCH(B283,Pedidos!$A$2:$A$1801,0)),"")</f>
        <v/>
      </c>
      <c r="K283" s="25">
        <f>IFERROR(INDEX(Pedidos!$D$2:$D$1801,MATCH(B283,Pedidos!$A$2:$A$1801,0)),"")</f>
        <v/>
      </c>
      <c r="L283" s="25">
        <f>IFERROR(INDEX(Pedidos!$F$2:$F$1801,MATCH(B283,Pedidos!$A$2:$A$1801,0)),"")</f>
        <v/>
      </c>
      <c r="M283" s="26">
        <f>IFERROR(INDEX(Pedidos!$G$2:$G$1801,MATCH(B283,Pedidos!$A$2:$A$1801,0)),0)</f>
        <v/>
      </c>
      <c r="N283" s="25">
        <f>IFERROR(INDEX(Produtos!$B$2:$B$71,MATCH(C283,Produtos!$A$2:$A$71,0)),"")</f>
        <v/>
      </c>
      <c r="O283" s="25">
        <f>IFERROR(INDEX(Produtos!$C$2:$C$71,MATCH(C283,Produtos!$A$2:$A$71,0)),"")</f>
        <v/>
      </c>
      <c r="P283" s="25">
        <f>IFERROR(INDEX(Produtos!$D$2:$D$71,MATCH(C283,Produtos!$A$2:$A$71,0)),0)</f>
        <v/>
      </c>
      <c r="Q283" s="25">
        <f>IFERROR(INDEX(Produtos!$E$2:$E$71,MATCH(C283,Produtos!$A$2:$A$71,0)),0)</f>
        <v/>
      </c>
      <c r="R283" s="27">
        <f>D283*Q283</f>
        <v/>
      </c>
      <c r="S283" s="27">
        <f>R283*E283</f>
        <v/>
      </c>
      <c r="T283" s="27">
        <f>(R283-S283)*M283</f>
        <v/>
      </c>
      <c r="U283" s="27">
        <f>R283-S283-T283</f>
        <v/>
      </c>
      <c r="V283" s="27">
        <f>D283*P283</f>
        <v/>
      </c>
      <c r="W283" s="27">
        <f>U283-V283</f>
        <v/>
      </c>
      <c r="X283" s="28">
        <f>IFERROR(W283/U283,0)</f>
        <v/>
      </c>
    </row>
    <row r="284">
      <c r="A284" s="21">
        <f>ItensPedido!A284</f>
        <v/>
      </c>
      <c r="B284" s="21">
        <f>ItensPedido!B284</f>
        <v/>
      </c>
      <c r="C284" s="21">
        <f>ItensPedido!C284</f>
        <v/>
      </c>
      <c r="D284" s="21">
        <f>ItensPedido!D284</f>
        <v/>
      </c>
      <c r="E284" s="22">
        <f>ItensPedido!E284</f>
        <v/>
      </c>
      <c r="F284" s="21">
        <f>IFERROR(INDEX(Pedidos!$B$2:$B$1801,MATCH(B284,Pedidos!$A$2:$A$1801,0)),0)</f>
        <v/>
      </c>
      <c r="G284" s="21">
        <f>IF(F284=0,"",YEAR(F284))</f>
        <v/>
      </c>
      <c r="H284" s="21">
        <f>IF(F284=0,"",MONTH(F284))</f>
        <v/>
      </c>
      <c r="I284" s="21">
        <f>IFERROR(INDEX(Pedidos!$E$2:$E$1801,MATCH(B284,Pedidos!$A$2:$A$1801,0)),"")</f>
        <v/>
      </c>
      <c r="J284" s="21">
        <f>IFERROR(INDEX(Pedidos!$C$2:$C$1801,MATCH(B284,Pedidos!$A$2:$A$1801,0)),"")</f>
        <v/>
      </c>
      <c r="K284" s="21">
        <f>IFERROR(INDEX(Pedidos!$D$2:$D$1801,MATCH(B284,Pedidos!$A$2:$A$1801,0)),"")</f>
        <v/>
      </c>
      <c r="L284" s="21">
        <f>IFERROR(INDEX(Pedidos!$F$2:$F$1801,MATCH(B284,Pedidos!$A$2:$A$1801,0)),"")</f>
        <v/>
      </c>
      <c r="M284" s="22">
        <f>IFERROR(INDEX(Pedidos!$G$2:$G$1801,MATCH(B284,Pedidos!$A$2:$A$1801,0)),0)</f>
        <v/>
      </c>
      <c r="N284" s="21">
        <f>IFERROR(INDEX(Produtos!$B$2:$B$71,MATCH(C284,Produtos!$A$2:$A$71,0)),"")</f>
        <v/>
      </c>
      <c r="O284" s="21">
        <f>IFERROR(INDEX(Produtos!$C$2:$C$71,MATCH(C284,Produtos!$A$2:$A$71,0)),"")</f>
        <v/>
      </c>
      <c r="P284" s="21">
        <f>IFERROR(INDEX(Produtos!$D$2:$D$71,MATCH(C284,Produtos!$A$2:$A$71,0)),0)</f>
        <v/>
      </c>
      <c r="Q284" s="21">
        <f>IFERROR(INDEX(Produtos!$E$2:$E$71,MATCH(C284,Produtos!$A$2:$A$71,0)),0)</f>
        <v/>
      </c>
      <c r="R284" s="23">
        <f>D284*Q284</f>
        <v/>
      </c>
      <c r="S284" s="23">
        <f>R284*E284</f>
        <v/>
      </c>
      <c r="T284" s="23">
        <f>(R284-S284)*M284</f>
        <v/>
      </c>
      <c r="U284" s="23">
        <f>R284-S284-T284</f>
        <v/>
      </c>
      <c r="V284" s="23">
        <f>D284*P284</f>
        <v/>
      </c>
      <c r="W284" s="23">
        <f>U284-V284</f>
        <v/>
      </c>
      <c r="X284" s="24">
        <f>IFERROR(W284/U284,0)</f>
        <v/>
      </c>
    </row>
    <row r="285">
      <c r="A285" s="25">
        <f>ItensPedido!A285</f>
        <v/>
      </c>
      <c r="B285" s="25">
        <f>ItensPedido!B285</f>
        <v/>
      </c>
      <c r="C285" s="25">
        <f>ItensPedido!C285</f>
        <v/>
      </c>
      <c r="D285" s="25">
        <f>ItensPedido!D285</f>
        <v/>
      </c>
      <c r="E285" s="26">
        <f>ItensPedido!E285</f>
        <v/>
      </c>
      <c r="F285" s="25">
        <f>IFERROR(INDEX(Pedidos!$B$2:$B$1801,MATCH(B285,Pedidos!$A$2:$A$1801,0)),0)</f>
        <v/>
      </c>
      <c r="G285" s="25">
        <f>IF(F285=0,"",YEAR(F285))</f>
        <v/>
      </c>
      <c r="H285" s="25">
        <f>IF(F285=0,"",MONTH(F285))</f>
        <v/>
      </c>
      <c r="I285" s="25">
        <f>IFERROR(INDEX(Pedidos!$E$2:$E$1801,MATCH(B285,Pedidos!$A$2:$A$1801,0)),"")</f>
        <v/>
      </c>
      <c r="J285" s="25">
        <f>IFERROR(INDEX(Pedidos!$C$2:$C$1801,MATCH(B285,Pedidos!$A$2:$A$1801,0)),"")</f>
        <v/>
      </c>
      <c r="K285" s="25">
        <f>IFERROR(INDEX(Pedidos!$D$2:$D$1801,MATCH(B285,Pedidos!$A$2:$A$1801,0)),"")</f>
        <v/>
      </c>
      <c r="L285" s="25">
        <f>IFERROR(INDEX(Pedidos!$F$2:$F$1801,MATCH(B285,Pedidos!$A$2:$A$1801,0)),"")</f>
        <v/>
      </c>
      <c r="M285" s="26">
        <f>IFERROR(INDEX(Pedidos!$G$2:$G$1801,MATCH(B285,Pedidos!$A$2:$A$1801,0)),0)</f>
        <v/>
      </c>
      <c r="N285" s="25">
        <f>IFERROR(INDEX(Produtos!$B$2:$B$71,MATCH(C285,Produtos!$A$2:$A$71,0)),"")</f>
        <v/>
      </c>
      <c r="O285" s="25">
        <f>IFERROR(INDEX(Produtos!$C$2:$C$71,MATCH(C285,Produtos!$A$2:$A$71,0)),"")</f>
        <v/>
      </c>
      <c r="P285" s="25">
        <f>IFERROR(INDEX(Produtos!$D$2:$D$71,MATCH(C285,Produtos!$A$2:$A$71,0)),0)</f>
        <v/>
      </c>
      <c r="Q285" s="25">
        <f>IFERROR(INDEX(Produtos!$E$2:$E$71,MATCH(C285,Produtos!$A$2:$A$71,0)),0)</f>
        <v/>
      </c>
      <c r="R285" s="27">
        <f>D285*Q285</f>
        <v/>
      </c>
      <c r="S285" s="27">
        <f>R285*E285</f>
        <v/>
      </c>
      <c r="T285" s="27">
        <f>(R285-S285)*M285</f>
        <v/>
      </c>
      <c r="U285" s="27">
        <f>R285-S285-T285</f>
        <v/>
      </c>
      <c r="V285" s="27">
        <f>D285*P285</f>
        <v/>
      </c>
      <c r="W285" s="27">
        <f>U285-V285</f>
        <v/>
      </c>
      <c r="X285" s="28">
        <f>IFERROR(W285/U285,0)</f>
        <v/>
      </c>
    </row>
    <row r="286">
      <c r="A286" s="21">
        <f>ItensPedido!A286</f>
        <v/>
      </c>
      <c r="B286" s="21">
        <f>ItensPedido!B286</f>
        <v/>
      </c>
      <c r="C286" s="21">
        <f>ItensPedido!C286</f>
        <v/>
      </c>
      <c r="D286" s="21">
        <f>ItensPedido!D286</f>
        <v/>
      </c>
      <c r="E286" s="22">
        <f>ItensPedido!E286</f>
        <v/>
      </c>
      <c r="F286" s="21">
        <f>IFERROR(INDEX(Pedidos!$B$2:$B$1801,MATCH(B286,Pedidos!$A$2:$A$1801,0)),0)</f>
        <v/>
      </c>
      <c r="G286" s="21">
        <f>IF(F286=0,"",YEAR(F286))</f>
        <v/>
      </c>
      <c r="H286" s="21">
        <f>IF(F286=0,"",MONTH(F286))</f>
        <v/>
      </c>
      <c r="I286" s="21">
        <f>IFERROR(INDEX(Pedidos!$E$2:$E$1801,MATCH(B286,Pedidos!$A$2:$A$1801,0)),"")</f>
        <v/>
      </c>
      <c r="J286" s="21">
        <f>IFERROR(INDEX(Pedidos!$C$2:$C$1801,MATCH(B286,Pedidos!$A$2:$A$1801,0)),"")</f>
        <v/>
      </c>
      <c r="K286" s="21">
        <f>IFERROR(INDEX(Pedidos!$D$2:$D$1801,MATCH(B286,Pedidos!$A$2:$A$1801,0)),"")</f>
        <v/>
      </c>
      <c r="L286" s="21">
        <f>IFERROR(INDEX(Pedidos!$F$2:$F$1801,MATCH(B286,Pedidos!$A$2:$A$1801,0)),"")</f>
        <v/>
      </c>
      <c r="M286" s="22">
        <f>IFERROR(INDEX(Pedidos!$G$2:$G$1801,MATCH(B286,Pedidos!$A$2:$A$1801,0)),0)</f>
        <v/>
      </c>
      <c r="N286" s="21">
        <f>IFERROR(INDEX(Produtos!$B$2:$B$71,MATCH(C286,Produtos!$A$2:$A$71,0)),"")</f>
        <v/>
      </c>
      <c r="O286" s="21">
        <f>IFERROR(INDEX(Produtos!$C$2:$C$71,MATCH(C286,Produtos!$A$2:$A$71,0)),"")</f>
        <v/>
      </c>
      <c r="P286" s="21">
        <f>IFERROR(INDEX(Produtos!$D$2:$D$71,MATCH(C286,Produtos!$A$2:$A$71,0)),0)</f>
        <v/>
      </c>
      <c r="Q286" s="21">
        <f>IFERROR(INDEX(Produtos!$E$2:$E$71,MATCH(C286,Produtos!$A$2:$A$71,0)),0)</f>
        <v/>
      </c>
      <c r="R286" s="23">
        <f>D286*Q286</f>
        <v/>
      </c>
      <c r="S286" s="23">
        <f>R286*E286</f>
        <v/>
      </c>
      <c r="T286" s="23">
        <f>(R286-S286)*M286</f>
        <v/>
      </c>
      <c r="U286" s="23">
        <f>R286-S286-T286</f>
        <v/>
      </c>
      <c r="V286" s="23">
        <f>D286*P286</f>
        <v/>
      </c>
      <c r="W286" s="23">
        <f>U286-V286</f>
        <v/>
      </c>
      <c r="X286" s="24">
        <f>IFERROR(W286/U286,0)</f>
        <v/>
      </c>
    </row>
    <row r="287">
      <c r="A287" s="25">
        <f>ItensPedido!A287</f>
        <v/>
      </c>
      <c r="B287" s="25">
        <f>ItensPedido!B287</f>
        <v/>
      </c>
      <c r="C287" s="25">
        <f>ItensPedido!C287</f>
        <v/>
      </c>
      <c r="D287" s="25">
        <f>ItensPedido!D287</f>
        <v/>
      </c>
      <c r="E287" s="26">
        <f>ItensPedido!E287</f>
        <v/>
      </c>
      <c r="F287" s="25">
        <f>IFERROR(INDEX(Pedidos!$B$2:$B$1801,MATCH(B287,Pedidos!$A$2:$A$1801,0)),0)</f>
        <v/>
      </c>
      <c r="G287" s="25">
        <f>IF(F287=0,"",YEAR(F287))</f>
        <v/>
      </c>
      <c r="H287" s="25">
        <f>IF(F287=0,"",MONTH(F287))</f>
        <v/>
      </c>
      <c r="I287" s="25">
        <f>IFERROR(INDEX(Pedidos!$E$2:$E$1801,MATCH(B287,Pedidos!$A$2:$A$1801,0)),"")</f>
        <v/>
      </c>
      <c r="J287" s="25">
        <f>IFERROR(INDEX(Pedidos!$C$2:$C$1801,MATCH(B287,Pedidos!$A$2:$A$1801,0)),"")</f>
        <v/>
      </c>
      <c r="K287" s="25">
        <f>IFERROR(INDEX(Pedidos!$D$2:$D$1801,MATCH(B287,Pedidos!$A$2:$A$1801,0)),"")</f>
        <v/>
      </c>
      <c r="L287" s="25">
        <f>IFERROR(INDEX(Pedidos!$F$2:$F$1801,MATCH(B287,Pedidos!$A$2:$A$1801,0)),"")</f>
        <v/>
      </c>
      <c r="M287" s="26">
        <f>IFERROR(INDEX(Pedidos!$G$2:$G$1801,MATCH(B287,Pedidos!$A$2:$A$1801,0)),0)</f>
        <v/>
      </c>
      <c r="N287" s="25">
        <f>IFERROR(INDEX(Produtos!$B$2:$B$71,MATCH(C287,Produtos!$A$2:$A$71,0)),"")</f>
        <v/>
      </c>
      <c r="O287" s="25">
        <f>IFERROR(INDEX(Produtos!$C$2:$C$71,MATCH(C287,Produtos!$A$2:$A$71,0)),"")</f>
        <v/>
      </c>
      <c r="P287" s="25">
        <f>IFERROR(INDEX(Produtos!$D$2:$D$71,MATCH(C287,Produtos!$A$2:$A$71,0)),0)</f>
        <v/>
      </c>
      <c r="Q287" s="25">
        <f>IFERROR(INDEX(Produtos!$E$2:$E$71,MATCH(C287,Produtos!$A$2:$A$71,0)),0)</f>
        <v/>
      </c>
      <c r="R287" s="27">
        <f>D287*Q287</f>
        <v/>
      </c>
      <c r="S287" s="27">
        <f>R287*E287</f>
        <v/>
      </c>
      <c r="T287" s="27">
        <f>(R287-S287)*M287</f>
        <v/>
      </c>
      <c r="U287" s="27">
        <f>R287-S287-T287</f>
        <v/>
      </c>
      <c r="V287" s="27">
        <f>D287*P287</f>
        <v/>
      </c>
      <c r="W287" s="27">
        <f>U287-V287</f>
        <v/>
      </c>
      <c r="X287" s="28">
        <f>IFERROR(W287/U287,0)</f>
        <v/>
      </c>
    </row>
    <row r="288">
      <c r="A288" s="21">
        <f>ItensPedido!A288</f>
        <v/>
      </c>
      <c r="B288" s="21">
        <f>ItensPedido!B288</f>
        <v/>
      </c>
      <c r="C288" s="21">
        <f>ItensPedido!C288</f>
        <v/>
      </c>
      <c r="D288" s="21">
        <f>ItensPedido!D288</f>
        <v/>
      </c>
      <c r="E288" s="22">
        <f>ItensPedido!E288</f>
        <v/>
      </c>
      <c r="F288" s="21">
        <f>IFERROR(INDEX(Pedidos!$B$2:$B$1801,MATCH(B288,Pedidos!$A$2:$A$1801,0)),0)</f>
        <v/>
      </c>
      <c r="G288" s="21">
        <f>IF(F288=0,"",YEAR(F288))</f>
        <v/>
      </c>
      <c r="H288" s="21">
        <f>IF(F288=0,"",MONTH(F288))</f>
        <v/>
      </c>
      <c r="I288" s="21">
        <f>IFERROR(INDEX(Pedidos!$E$2:$E$1801,MATCH(B288,Pedidos!$A$2:$A$1801,0)),"")</f>
        <v/>
      </c>
      <c r="J288" s="21">
        <f>IFERROR(INDEX(Pedidos!$C$2:$C$1801,MATCH(B288,Pedidos!$A$2:$A$1801,0)),"")</f>
        <v/>
      </c>
      <c r="K288" s="21">
        <f>IFERROR(INDEX(Pedidos!$D$2:$D$1801,MATCH(B288,Pedidos!$A$2:$A$1801,0)),"")</f>
        <v/>
      </c>
      <c r="L288" s="21">
        <f>IFERROR(INDEX(Pedidos!$F$2:$F$1801,MATCH(B288,Pedidos!$A$2:$A$1801,0)),"")</f>
        <v/>
      </c>
      <c r="M288" s="22">
        <f>IFERROR(INDEX(Pedidos!$G$2:$G$1801,MATCH(B288,Pedidos!$A$2:$A$1801,0)),0)</f>
        <v/>
      </c>
      <c r="N288" s="21">
        <f>IFERROR(INDEX(Produtos!$B$2:$B$71,MATCH(C288,Produtos!$A$2:$A$71,0)),"")</f>
        <v/>
      </c>
      <c r="O288" s="21">
        <f>IFERROR(INDEX(Produtos!$C$2:$C$71,MATCH(C288,Produtos!$A$2:$A$71,0)),"")</f>
        <v/>
      </c>
      <c r="P288" s="21">
        <f>IFERROR(INDEX(Produtos!$D$2:$D$71,MATCH(C288,Produtos!$A$2:$A$71,0)),0)</f>
        <v/>
      </c>
      <c r="Q288" s="21">
        <f>IFERROR(INDEX(Produtos!$E$2:$E$71,MATCH(C288,Produtos!$A$2:$A$71,0)),0)</f>
        <v/>
      </c>
      <c r="R288" s="23">
        <f>D288*Q288</f>
        <v/>
      </c>
      <c r="S288" s="23">
        <f>R288*E288</f>
        <v/>
      </c>
      <c r="T288" s="23">
        <f>(R288-S288)*M288</f>
        <v/>
      </c>
      <c r="U288" s="23">
        <f>R288-S288-T288</f>
        <v/>
      </c>
      <c r="V288" s="23">
        <f>D288*P288</f>
        <v/>
      </c>
      <c r="W288" s="23">
        <f>U288-V288</f>
        <v/>
      </c>
      <c r="X288" s="24">
        <f>IFERROR(W288/U288,0)</f>
        <v/>
      </c>
    </row>
    <row r="289">
      <c r="A289" s="25">
        <f>ItensPedido!A289</f>
        <v/>
      </c>
      <c r="B289" s="25">
        <f>ItensPedido!B289</f>
        <v/>
      </c>
      <c r="C289" s="25">
        <f>ItensPedido!C289</f>
        <v/>
      </c>
      <c r="D289" s="25">
        <f>ItensPedido!D289</f>
        <v/>
      </c>
      <c r="E289" s="26">
        <f>ItensPedido!E289</f>
        <v/>
      </c>
      <c r="F289" s="25">
        <f>IFERROR(INDEX(Pedidos!$B$2:$B$1801,MATCH(B289,Pedidos!$A$2:$A$1801,0)),0)</f>
        <v/>
      </c>
      <c r="G289" s="25">
        <f>IF(F289=0,"",YEAR(F289))</f>
        <v/>
      </c>
      <c r="H289" s="25">
        <f>IF(F289=0,"",MONTH(F289))</f>
        <v/>
      </c>
      <c r="I289" s="25">
        <f>IFERROR(INDEX(Pedidos!$E$2:$E$1801,MATCH(B289,Pedidos!$A$2:$A$1801,0)),"")</f>
        <v/>
      </c>
      <c r="J289" s="25">
        <f>IFERROR(INDEX(Pedidos!$C$2:$C$1801,MATCH(B289,Pedidos!$A$2:$A$1801,0)),"")</f>
        <v/>
      </c>
      <c r="K289" s="25">
        <f>IFERROR(INDEX(Pedidos!$D$2:$D$1801,MATCH(B289,Pedidos!$A$2:$A$1801,0)),"")</f>
        <v/>
      </c>
      <c r="L289" s="25">
        <f>IFERROR(INDEX(Pedidos!$F$2:$F$1801,MATCH(B289,Pedidos!$A$2:$A$1801,0)),"")</f>
        <v/>
      </c>
      <c r="M289" s="26">
        <f>IFERROR(INDEX(Pedidos!$G$2:$G$1801,MATCH(B289,Pedidos!$A$2:$A$1801,0)),0)</f>
        <v/>
      </c>
      <c r="N289" s="25">
        <f>IFERROR(INDEX(Produtos!$B$2:$B$71,MATCH(C289,Produtos!$A$2:$A$71,0)),"")</f>
        <v/>
      </c>
      <c r="O289" s="25">
        <f>IFERROR(INDEX(Produtos!$C$2:$C$71,MATCH(C289,Produtos!$A$2:$A$71,0)),"")</f>
        <v/>
      </c>
      <c r="P289" s="25">
        <f>IFERROR(INDEX(Produtos!$D$2:$D$71,MATCH(C289,Produtos!$A$2:$A$71,0)),0)</f>
        <v/>
      </c>
      <c r="Q289" s="25">
        <f>IFERROR(INDEX(Produtos!$E$2:$E$71,MATCH(C289,Produtos!$A$2:$A$71,0)),0)</f>
        <v/>
      </c>
      <c r="R289" s="27">
        <f>D289*Q289</f>
        <v/>
      </c>
      <c r="S289" s="27">
        <f>R289*E289</f>
        <v/>
      </c>
      <c r="T289" s="27">
        <f>(R289-S289)*M289</f>
        <v/>
      </c>
      <c r="U289" s="27">
        <f>R289-S289-T289</f>
        <v/>
      </c>
      <c r="V289" s="27">
        <f>D289*P289</f>
        <v/>
      </c>
      <c r="W289" s="27">
        <f>U289-V289</f>
        <v/>
      </c>
      <c r="X289" s="28">
        <f>IFERROR(W289/U289,0)</f>
        <v/>
      </c>
    </row>
    <row r="290">
      <c r="A290" s="21">
        <f>ItensPedido!A290</f>
        <v/>
      </c>
      <c r="B290" s="21">
        <f>ItensPedido!B290</f>
        <v/>
      </c>
      <c r="C290" s="21">
        <f>ItensPedido!C290</f>
        <v/>
      </c>
      <c r="D290" s="21">
        <f>ItensPedido!D290</f>
        <v/>
      </c>
      <c r="E290" s="22">
        <f>ItensPedido!E290</f>
        <v/>
      </c>
      <c r="F290" s="21">
        <f>IFERROR(INDEX(Pedidos!$B$2:$B$1801,MATCH(B290,Pedidos!$A$2:$A$1801,0)),0)</f>
        <v/>
      </c>
      <c r="G290" s="21">
        <f>IF(F290=0,"",YEAR(F290))</f>
        <v/>
      </c>
      <c r="H290" s="21">
        <f>IF(F290=0,"",MONTH(F290))</f>
        <v/>
      </c>
      <c r="I290" s="21">
        <f>IFERROR(INDEX(Pedidos!$E$2:$E$1801,MATCH(B290,Pedidos!$A$2:$A$1801,0)),"")</f>
        <v/>
      </c>
      <c r="J290" s="21">
        <f>IFERROR(INDEX(Pedidos!$C$2:$C$1801,MATCH(B290,Pedidos!$A$2:$A$1801,0)),"")</f>
        <v/>
      </c>
      <c r="K290" s="21">
        <f>IFERROR(INDEX(Pedidos!$D$2:$D$1801,MATCH(B290,Pedidos!$A$2:$A$1801,0)),"")</f>
        <v/>
      </c>
      <c r="L290" s="21">
        <f>IFERROR(INDEX(Pedidos!$F$2:$F$1801,MATCH(B290,Pedidos!$A$2:$A$1801,0)),"")</f>
        <v/>
      </c>
      <c r="M290" s="22">
        <f>IFERROR(INDEX(Pedidos!$G$2:$G$1801,MATCH(B290,Pedidos!$A$2:$A$1801,0)),0)</f>
        <v/>
      </c>
      <c r="N290" s="21">
        <f>IFERROR(INDEX(Produtos!$B$2:$B$71,MATCH(C290,Produtos!$A$2:$A$71,0)),"")</f>
        <v/>
      </c>
      <c r="O290" s="21">
        <f>IFERROR(INDEX(Produtos!$C$2:$C$71,MATCH(C290,Produtos!$A$2:$A$71,0)),"")</f>
        <v/>
      </c>
      <c r="P290" s="21">
        <f>IFERROR(INDEX(Produtos!$D$2:$D$71,MATCH(C290,Produtos!$A$2:$A$71,0)),0)</f>
        <v/>
      </c>
      <c r="Q290" s="21">
        <f>IFERROR(INDEX(Produtos!$E$2:$E$71,MATCH(C290,Produtos!$A$2:$A$71,0)),0)</f>
        <v/>
      </c>
      <c r="R290" s="23">
        <f>D290*Q290</f>
        <v/>
      </c>
      <c r="S290" s="23">
        <f>R290*E290</f>
        <v/>
      </c>
      <c r="T290" s="23">
        <f>(R290-S290)*M290</f>
        <v/>
      </c>
      <c r="U290" s="23">
        <f>R290-S290-T290</f>
        <v/>
      </c>
      <c r="V290" s="23">
        <f>D290*P290</f>
        <v/>
      </c>
      <c r="W290" s="23">
        <f>U290-V290</f>
        <v/>
      </c>
      <c r="X290" s="24">
        <f>IFERROR(W290/U290,0)</f>
        <v/>
      </c>
    </row>
    <row r="291">
      <c r="A291" s="25">
        <f>ItensPedido!A291</f>
        <v/>
      </c>
      <c r="B291" s="25">
        <f>ItensPedido!B291</f>
        <v/>
      </c>
      <c r="C291" s="25">
        <f>ItensPedido!C291</f>
        <v/>
      </c>
      <c r="D291" s="25">
        <f>ItensPedido!D291</f>
        <v/>
      </c>
      <c r="E291" s="26">
        <f>ItensPedido!E291</f>
        <v/>
      </c>
      <c r="F291" s="25">
        <f>IFERROR(INDEX(Pedidos!$B$2:$B$1801,MATCH(B291,Pedidos!$A$2:$A$1801,0)),0)</f>
        <v/>
      </c>
      <c r="G291" s="25">
        <f>IF(F291=0,"",YEAR(F291))</f>
        <v/>
      </c>
      <c r="H291" s="25">
        <f>IF(F291=0,"",MONTH(F291))</f>
        <v/>
      </c>
      <c r="I291" s="25">
        <f>IFERROR(INDEX(Pedidos!$E$2:$E$1801,MATCH(B291,Pedidos!$A$2:$A$1801,0)),"")</f>
        <v/>
      </c>
      <c r="J291" s="25">
        <f>IFERROR(INDEX(Pedidos!$C$2:$C$1801,MATCH(B291,Pedidos!$A$2:$A$1801,0)),"")</f>
        <v/>
      </c>
      <c r="K291" s="25">
        <f>IFERROR(INDEX(Pedidos!$D$2:$D$1801,MATCH(B291,Pedidos!$A$2:$A$1801,0)),"")</f>
        <v/>
      </c>
      <c r="L291" s="25">
        <f>IFERROR(INDEX(Pedidos!$F$2:$F$1801,MATCH(B291,Pedidos!$A$2:$A$1801,0)),"")</f>
        <v/>
      </c>
      <c r="M291" s="26">
        <f>IFERROR(INDEX(Pedidos!$G$2:$G$1801,MATCH(B291,Pedidos!$A$2:$A$1801,0)),0)</f>
        <v/>
      </c>
      <c r="N291" s="25">
        <f>IFERROR(INDEX(Produtos!$B$2:$B$71,MATCH(C291,Produtos!$A$2:$A$71,0)),"")</f>
        <v/>
      </c>
      <c r="O291" s="25">
        <f>IFERROR(INDEX(Produtos!$C$2:$C$71,MATCH(C291,Produtos!$A$2:$A$71,0)),"")</f>
        <v/>
      </c>
      <c r="P291" s="25">
        <f>IFERROR(INDEX(Produtos!$D$2:$D$71,MATCH(C291,Produtos!$A$2:$A$71,0)),0)</f>
        <v/>
      </c>
      <c r="Q291" s="25">
        <f>IFERROR(INDEX(Produtos!$E$2:$E$71,MATCH(C291,Produtos!$A$2:$A$71,0)),0)</f>
        <v/>
      </c>
      <c r="R291" s="27">
        <f>D291*Q291</f>
        <v/>
      </c>
      <c r="S291" s="27">
        <f>R291*E291</f>
        <v/>
      </c>
      <c r="T291" s="27">
        <f>(R291-S291)*M291</f>
        <v/>
      </c>
      <c r="U291" s="27">
        <f>R291-S291-T291</f>
        <v/>
      </c>
      <c r="V291" s="27">
        <f>D291*P291</f>
        <v/>
      </c>
      <c r="W291" s="27">
        <f>U291-V291</f>
        <v/>
      </c>
      <c r="X291" s="28">
        <f>IFERROR(W291/U291,0)</f>
        <v/>
      </c>
    </row>
    <row r="292">
      <c r="A292" s="21">
        <f>ItensPedido!A292</f>
        <v/>
      </c>
      <c r="B292" s="21">
        <f>ItensPedido!B292</f>
        <v/>
      </c>
      <c r="C292" s="21">
        <f>ItensPedido!C292</f>
        <v/>
      </c>
      <c r="D292" s="21">
        <f>ItensPedido!D292</f>
        <v/>
      </c>
      <c r="E292" s="22">
        <f>ItensPedido!E292</f>
        <v/>
      </c>
      <c r="F292" s="21">
        <f>IFERROR(INDEX(Pedidos!$B$2:$B$1801,MATCH(B292,Pedidos!$A$2:$A$1801,0)),0)</f>
        <v/>
      </c>
      <c r="G292" s="21">
        <f>IF(F292=0,"",YEAR(F292))</f>
        <v/>
      </c>
      <c r="H292" s="21">
        <f>IF(F292=0,"",MONTH(F292))</f>
        <v/>
      </c>
      <c r="I292" s="21">
        <f>IFERROR(INDEX(Pedidos!$E$2:$E$1801,MATCH(B292,Pedidos!$A$2:$A$1801,0)),"")</f>
        <v/>
      </c>
      <c r="J292" s="21">
        <f>IFERROR(INDEX(Pedidos!$C$2:$C$1801,MATCH(B292,Pedidos!$A$2:$A$1801,0)),"")</f>
        <v/>
      </c>
      <c r="K292" s="21">
        <f>IFERROR(INDEX(Pedidos!$D$2:$D$1801,MATCH(B292,Pedidos!$A$2:$A$1801,0)),"")</f>
        <v/>
      </c>
      <c r="L292" s="21">
        <f>IFERROR(INDEX(Pedidos!$F$2:$F$1801,MATCH(B292,Pedidos!$A$2:$A$1801,0)),"")</f>
        <v/>
      </c>
      <c r="M292" s="22">
        <f>IFERROR(INDEX(Pedidos!$G$2:$G$1801,MATCH(B292,Pedidos!$A$2:$A$1801,0)),0)</f>
        <v/>
      </c>
      <c r="N292" s="21">
        <f>IFERROR(INDEX(Produtos!$B$2:$B$71,MATCH(C292,Produtos!$A$2:$A$71,0)),"")</f>
        <v/>
      </c>
      <c r="O292" s="21">
        <f>IFERROR(INDEX(Produtos!$C$2:$C$71,MATCH(C292,Produtos!$A$2:$A$71,0)),"")</f>
        <v/>
      </c>
      <c r="P292" s="21">
        <f>IFERROR(INDEX(Produtos!$D$2:$D$71,MATCH(C292,Produtos!$A$2:$A$71,0)),0)</f>
        <v/>
      </c>
      <c r="Q292" s="21">
        <f>IFERROR(INDEX(Produtos!$E$2:$E$71,MATCH(C292,Produtos!$A$2:$A$71,0)),0)</f>
        <v/>
      </c>
      <c r="R292" s="23">
        <f>D292*Q292</f>
        <v/>
      </c>
      <c r="S292" s="23">
        <f>R292*E292</f>
        <v/>
      </c>
      <c r="T292" s="23">
        <f>(R292-S292)*M292</f>
        <v/>
      </c>
      <c r="U292" s="23">
        <f>R292-S292-T292</f>
        <v/>
      </c>
      <c r="V292" s="23">
        <f>D292*P292</f>
        <v/>
      </c>
      <c r="W292" s="23">
        <f>U292-V292</f>
        <v/>
      </c>
      <c r="X292" s="24">
        <f>IFERROR(W292/U292,0)</f>
        <v/>
      </c>
    </row>
    <row r="293">
      <c r="A293" s="25">
        <f>ItensPedido!A293</f>
        <v/>
      </c>
      <c r="B293" s="25">
        <f>ItensPedido!B293</f>
        <v/>
      </c>
      <c r="C293" s="25">
        <f>ItensPedido!C293</f>
        <v/>
      </c>
      <c r="D293" s="25">
        <f>ItensPedido!D293</f>
        <v/>
      </c>
      <c r="E293" s="26">
        <f>ItensPedido!E293</f>
        <v/>
      </c>
      <c r="F293" s="25">
        <f>IFERROR(INDEX(Pedidos!$B$2:$B$1801,MATCH(B293,Pedidos!$A$2:$A$1801,0)),0)</f>
        <v/>
      </c>
      <c r="G293" s="25">
        <f>IF(F293=0,"",YEAR(F293))</f>
        <v/>
      </c>
      <c r="H293" s="25">
        <f>IF(F293=0,"",MONTH(F293))</f>
        <v/>
      </c>
      <c r="I293" s="25">
        <f>IFERROR(INDEX(Pedidos!$E$2:$E$1801,MATCH(B293,Pedidos!$A$2:$A$1801,0)),"")</f>
        <v/>
      </c>
      <c r="J293" s="25">
        <f>IFERROR(INDEX(Pedidos!$C$2:$C$1801,MATCH(B293,Pedidos!$A$2:$A$1801,0)),"")</f>
        <v/>
      </c>
      <c r="K293" s="25">
        <f>IFERROR(INDEX(Pedidos!$D$2:$D$1801,MATCH(B293,Pedidos!$A$2:$A$1801,0)),"")</f>
        <v/>
      </c>
      <c r="L293" s="25">
        <f>IFERROR(INDEX(Pedidos!$F$2:$F$1801,MATCH(B293,Pedidos!$A$2:$A$1801,0)),"")</f>
        <v/>
      </c>
      <c r="M293" s="26">
        <f>IFERROR(INDEX(Pedidos!$G$2:$G$1801,MATCH(B293,Pedidos!$A$2:$A$1801,0)),0)</f>
        <v/>
      </c>
      <c r="N293" s="25">
        <f>IFERROR(INDEX(Produtos!$B$2:$B$71,MATCH(C293,Produtos!$A$2:$A$71,0)),"")</f>
        <v/>
      </c>
      <c r="O293" s="25">
        <f>IFERROR(INDEX(Produtos!$C$2:$C$71,MATCH(C293,Produtos!$A$2:$A$71,0)),"")</f>
        <v/>
      </c>
      <c r="P293" s="25">
        <f>IFERROR(INDEX(Produtos!$D$2:$D$71,MATCH(C293,Produtos!$A$2:$A$71,0)),0)</f>
        <v/>
      </c>
      <c r="Q293" s="25">
        <f>IFERROR(INDEX(Produtos!$E$2:$E$71,MATCH(C293,Produtos!$A$2:$A$71,0)),0)</f>
        <v/>
      </c>
      <c r="R293" s="27">
        <f>D293*Q293</f>
        <v/>
      </c>
      <c r="S293" s="27">
        <f>R293*E293</f>
        <v/>
      </c>
      <c r="T293" s="27">
        <f>(R293-S293)*M293</f>
        <v/>
      </c>
      <c r="U293" s="27">
        <f>R293-S293-T293</f>
        <v/>
      </c>
      <c r="V293" s="27">
        <f>D293*P293</f>
        <v/>
      </c>
      <c r="W293" s="27">
        <f>U293-V293</f>
        <v/>
      </c>
      <c r="X293" s="28">
        <f>IFERROR(W293/U293,0)</f>
        <v/>
      </c>
    </row>
    <row r="294">
      <c r="A294" s="21">
        <f>ItensPedido!A294</f>
        <v/>
      </c>
      <c r="B294" s="21">
        <f>ItensPedido!B294</f>
        <v/>
      </c>
      <c r="C294" s="21">
        <f>ItensPedido!C294</f>
        <v/>
      </c>
      <c r="D294" s="21">
        <f>ItensPedido!D294</f>
        <v/>
      </c>
      <c r="E294" s="22">
        <f>ItensPedido!E294</f>
        <v/>
      </c>
      <c r="F294" s="21">
        <f>IFERROR(INDEX(Pedidos!$B$2:$B$1801,MATCH(B294,Pedidos!$A$2:$A$1801,0)),0)</f>
        <v/>
      </c>
      <c r="G294" s="21">
        <f>IF(F294=0,"",YEAR(F294))</f>
        <v/>
      </c>
      <c r="H294" s="21">
        <f>IF(F294=0,"",MONTH(F294))</f>
        <v/>
      </c>
      <c r="I294" s="21">
        <f>IFERROR(INDEX(Pedidos!$E$2:$E$1801,MATCH(B294,Pedidos!$A$2:$A$1801,0)),"")</f>
        <v/>
      </c>
      <c r="J294" s="21">
        <f>IFERROR(INDEX(Pedidos!$C$2:$C$1801,MATCH(B294,Pedidos!$A$2:$A$1801,0)),"")</f>
        <v/>
      </c>
      <c r="K294" s="21">
        <f>IFERROR(INDEX(Pedidos!$D$2:$D$1801,MATCH(B294,Pedidos!$A$2:$A$1801,0)),"")</f>
        <v/>
      </c>
      <c r="L294" s="21">
        <f>IFERROR(INDEX(Pedidos!$F$2:$F$1801,MATCH(B294,Pedidos!$A$2:$A$1801,0)),"")</f>
        <v/>
      </c>
      <c r="M294" s="22">
        <f>IFERROR(INDEX(Pedidos!$G$2:$G$1801,MATCH(B294,Pedidos!$A$2:$A$1801,0)),0)</f>
        <v/>
      </c>
      <c r="N294" s="21">
        <f>IFERROR(INDEX(Produtos!$B$2:$B$71,MATCH(C294,Produtos!$A$2:$A$71,0)),"")</f>
        <v/>
      </c>
      <c r="O294" s="21">
        <f>IFERROR(INDEX(Produtos!$C$2:$C$71,MATCH(C294,Produtos!$A$2:$A$71,0)),"")</f>
        <v/>
      </c>
      <c r="P294" s="21">
        <f>IFERROR(INDEX(Produtos!$D$2:$D$71,MATCH(C294,Produtos!$A$2:$A$71,0)),0)</f>
        <v/>
      </c>
      <c r="Q294" s="21">
        <f>IFERROR(INDEX(Produtos!$E$2:$E$71,MATCH(C294,Produtos!$A$2:$A$71,0)),0)</f>
        <v/>
      </c>
      <c r="R294" s="23">
        <f>D294*Q294</f>
        <v/>
      </c>
      <c r="S294" s="23">
        <f>R294*E294</f>
        <v/>
      </c>
      <c r="T294" s="23">
        <f>(R294-S294)*M294</f>
        <v/>
      </c>
      <c r="U294" s="23">
        <f>R294-S294-T294</f>
        <v/>
      </c>
      <c r="V294" s="23">
        <f>D294*P294</f>
        <v/>
      </c>
      <c r="W294" s="23">
        <f>U294-V294</f>
        <v/>
      </c>
      <c r="X294" s="24">
        <f>IFERROR(W294/U294,0)</f>
        <v/>
      </c>
    </row>
    <row r="295">
      <c r="A295" s="25">
        <f>ItensPedido!A295</f>
        <v/>
      </c>
      <c r="B295" s="25">
        <f>ItensPedido!B295</f>
        <v/>
      </c>
      <c r="C295" s="25">
        <f>ItensPedido!C295</f>
        <v/>
      </c>
      <c r="D295" s="25">
        <f>ItensPedido!D295</f>
        <v/>
      </c>
      <c r="E295" s="26">
        <f>ItensPedido!E295</f>
        <v/>
      </c>
      <c r="F295" s="25">
        <f>IFERROR(INDEX(Pedidos!$B$2:$B$1801,MATCH(B295,Pedidos!$A$2:$A$1801,0)),0)</f>
        <v/>
      </c>
      <c r="G295" s="25">
        <f>IF(F295=0,"",YEAR(F295))</f>
        <v/>
      </c>
      <c r="H295" s="25">
        <f>IF(F295=0,"",MONTH(F295))</f>
        <v/>
      </c>
      <c r="I295" s="25">
        <f>IFERROR(INDEX(Pedidos!$E$2:$E$1801,MATCH(B295,Pedidos!$A$2:$A$1801,0)),"")</f>
        <v/>
      </c>
      <c r="J295" s="25">
        <f>IFERROR(INDEX(Pedidos!$C$2:$C$1801,MATCH(B295,Pedidos!$A$2:$A$1801,0)),"")</f>
        <v/>
      </c>
      <c r="K295" s="25">
        <f>IFERROR(INDEX(Pedidos!$D$2:$D$1801,MATCH(B295,Pedidos!$A$2:$A$1801,0)),"")</f>
        <v/>
      </c>
      <c r="L295" s="25">
        <f>IFERROR(INDEX(Pedidos!$F$2:$F$1801,MATCH(B295,Pedidos!$A$2:$A$1801,0)),"")</f>
        <v/>
      </c>
      <c r="M295" s="26">
        <f>IFERROR(INDEX(Pedidos!$G$2:$G$1801,MATCH(B295,Pedidos!$A$2:$A$1801,0)),0)</f>
        <v/>
      </c>
      <c r="N295" s="25">
        <f>IFERROR(INDEX(Produtos!$B$2:$B$71,MATCH(C295,Produtos!$A$2:$A$71,0)),"")</f>
        <v/>
      </c>
      <c r="O295" s="25">
        <f>IFERROR(INDEX(Produtos!$C$2:$C$71,MATCH(C295,Produtos!$A$2:$A$71,0)),"")</f>
        <v/>
      </c>
      <c r="P295" s="25">
        <f>IFERROR(INDEX(Produtos!$D$2:$D$71,MATCH(C295,Produtos!$A$2:$A$71,0)),0)</f>
        <v/>
      </c>
      <c r="Q295" s="25">
        <f>IFERROR(INDEX(Produtos!$E$2:$E$71,MATCH(C295,Produtos!$A$2:$A$71,0)),0)</f>
        <v/>
      </c>
      <c r="R295" s="27">
        <f>D295*Q295</f>
        <v/>
      </c>
      <c r="S295" s="27">
        <f>R295*E295</f>
        <v/>
      </c>
      <c r="T295" s="27">
        <f>(R295-S295)*M295</f>
        <v/>
      </c>
      <c r="U295" s="27">
        <f>R295-S295-T295</f>
        <v/>
      </c>
      <c r="V295" s="27">
        <f>D295*P295</f>
        <v/>
      </c>
      <c r="W295" s="27">
        <f>U295-V295</f>
        <v/>
      </c>
      <c r="X295" s="28">
        <f>IFERROR(W295/U295,0)</f>
        <v/>
      </c>
    </row>
    <row r="296">
      <c r="A296" s="21">
        <f>ItensPedido!A296</f>
        <v/>
      </c>
      <c r="B296" s="21">
        <f>ItensPedido!B296</f>
        <v/>
      </c>
      <c r="C296" s="21">
        <f>ItensPedido!C296</f>
        <v/>
      </c>
      <c r="D296" s="21">
        <f>ItensPedido!D296</f>
        <v/>
      </c>
      <c r="E296" s="22">
        <f>ItensPedido!E296</f>
        <v/>
      </c>
      <c r="F296" s="21">
        <f>IFERROR(INDEX(Pedidos!$B$2:$B$1801,MATCH(B296,Pedidos!$A$2:$A$1801,0)),0)</f>
        <v/>
      </c>
      <c r="G296" s="21">
        <f>IF(F296=0,"",YEAR(F296))</f>
        <v/>
      </c>
      <c r="H296" s="21">
        <f>IF(F296=0,"",MONTH(F296))</f>
        <v/>
      </c>
      <c r="I296" s="21">
        <f>IFERROR(INDEX(Pedidos!$E$2:$E$1801,MATCH(B296,Pedidos!$A$2:$A$1801,0)),"")</f>
        <v/>
      </c>
      <c r="J296" s="21">
        <f>IFERROR(INDEX(Pedidos!$C$2:$C$1801,MATCH(B296,Pedidos!$A$2:$A$1801,0)),"")</f>
        <v/>
      </c>
      <c r="K296" s="21">
        <f>IFERROR(INDEX(Pedidos!$D$2:$D$1801,MATCH(B296,Pedidos!$A$2:$A$1801,0)),"")</f>
        <v/>
      </c>
      <c r="L296" s="21">
        <f>IFERROR(INDEX(Pedidos!$F$2:$F$1801,MATCH(B296,Pedidos!$A$2:$A$1801,0)),"")</f>
        <v/>
      </c>
      <c r="M296" s="22">
        <f>IFERROR(INDEX(Pedidos!$G$2:$G$1801,MATCH(B296,Pedidos!$A$2:$A$1801,0)),0)</f>
        <v/>
      </c>
      <c r="N296" s="21">
        <f>IFERROR(INDEX(Produtos!$B$2:$B$71,MATCH(C296,Produtos!$A$2:$A$71,0)),"")</f>
        <v/>
      </c>
      <c r="O296" s="21">
        <f>IFERROR(INDEX(Produtos!$C$2:$C$71,MATCH(C296,Produtos!$A$2:$A$71,0)),"")</f>
        <v/>
      </c>
      <c r="P296" s="21">
        <f>IFERROR(INDEX(Produtos!$D$2:$D$71,MATCH(C296,Produtos!$A$2:$A$71,0)),0)</f>
        <v/>
      </c>
      <c r="Q296" s="21">
        <f>IFERROR(INDEX(Produtos!$E$2:$E$71,MATCH(C296,Produtos!$A$2:$A$71,0)),0)</f>
        <v/>
      </c>
      <c r="R296" s="23">
        <f>D296*Q296</f>
        <v/>
      </c>
      <c r="S296" s="23">
        <f>R296*E296</f>
        <v/>
      </c>
      <c r="T296" s="23">
        <f>(R296-S296)*M296</f>
        <v/>
      </c>
      <c r="U296" s="23">
        <f>R296-S296-T296</f>
        <v/>
      </c>
      <c r="V296" s="23">
        <f>D296*P296</f>
        <v/>
      </c>
      <c r="W296" s="23">
        <f>U296-V296</f>
        <v/>
      </c>
      <c r="X296" s="24">
        <f>IFERROR(W296/U296,0)</f>
        <v/>
      </c>
    </row>
    <row r="297">
      <c r="A297" s="25">
        <f>ItensPedido!A297</f>
        <v/>
      </c>
      <c r="B297" s="25">
        <f>ItensPedido!B297</f>
        <v/>
      </c>
      <c r="C297" s="25">
        <f>ItensPedido!C297</f>
        <v/>
      </c>
      <c r="D297" s="25">
        <f>ItensPedido!D297</f>
        <v/>
      </c>
      <c r="E297" s="26">
        <f>ItensPedido!E297</f>
        <v/>
      </c>
      <c r="F297" s="25">
        <f>IFERROR(INDEX(Pedidos!$B$2:$B$1801,MATCH(B297,Pedidos!$A$2:$A$1801,0)),0)</f>
        <v/>
      </c>
      <c r="G297" s="25">
        <f>IF(F297=0,"",YEAR(F297))</f>
        <v/>
      </c>
      <c r="H297" s="25">
        <f>IF(F297=0,"",MONTH(F297))</f>
        <v/>
      </c>
      <c r="I297" s="25">
        <f>IFERROR(INDEX(Pedidos!$E$2:$E$1801,MATCH(B297,Pedidos!$A$2:$A$1801,0)),"")</f>
        <v/>
      </c>
      <c r="J297" s="25">
        <f>IFERROR(INDEX(Pedidos!$C$2:$C$1801,MATCH(B297,Pedidos!$A$2:$A$1801,0)),"")</f>
        <v/>
      </c>
      <c r="K297" s="25">
        <f>IFERROR(INDEX(Pedidos!$D$2:$D$1801,MATCH(B297,Pedidos!$A$2:$A$1801,0)),"")</f>
        <v/>
      </c>
      <c r="L297" s="25">
        <f>IFERROR(INDEX(Pedidos!$F$2:$F$1801,MATCH(B297,Pedidos!$A$2:$A$1801,0)),"")</f>
        <v/>
      </c>
      <c r="M297" s="26">
        <f>IFERROR(INDEX(Pedidos!$G$2:$G$1801,MATCH(B297,Pedidos!$A$2:$A$1801,0)),0)</f>
        <v/>
      </c>
      <c r="N297" s="25">
        <f>IFERROR(INDEX(Produtos!$B$2:$B$71,MATCH(C297,Produtos!$A$2:$A$71,0)),"")</f>
        <v/>
      </c>
      <c r="O297" s="25">
        <f>IFERROR(INDEX(Produtos!$C$2:$C$71,MATCH(C297,Produtos!$A$2:$A$71,0)),"")</f>
        <v/>
      </c>
      <c r="P297" s="25">
        <f>IFERROR(INDEX(Produtos!$D$2:$D$71,MATCH(C297,Produtos!$A$2:$A$71,0)),0)</f>
        <v/>
      </c>
      <c r="Q297" s="25">
        <f>IFERROR(INDEX(Produtos!$E$2:$E$71,MATCH(C297,Produtos!$A$2:$A$71,0)),0)</f>
        <v/>
      </c>
      <c r="R297" s="27">
        <f>D297*Q297</f>
        <v/>
      </c>
      <c r="S297" s="27">
        <f>R297*E297</f>
        <v/>
      </c>
      <c r="T297" s="27">
        <f>(R297-S297)*M297</f>
        <v/>
      </c>
      <c r="U297" s="27">
        <f>R297-S297-T297</f>
        <v/>
      </c>
      <c r="V297" s="27">
        <f>D297*P297</f>
        <v/>
      </c>
      <c r="W297" s="27">
        <f>U297-V297</f>
        <v/>
      </c>
      <c r="X297" s="28">
        <f>IFERROR(W297/U297,0)</f>
        <v/>
      </c>
    </row>
    <row r="298">
      <c r="A298" s="21">
        <f>ItensPedido!A298</f>
        <v/>
      </c>
      <c r="B298" s="21">
        <f>ItensPedido!B298</f>
        <v/>
      </c>
      <c r="C298" s="21">
        <f>ItensPedido!C298</f>
        <v/>
      </c>
      <c r="D298" s="21">
        <f>ItensPedido!D298</f>
        <v/>
      </c>
      <c r="E298" s="22">
        <f>ItensPedido!E298</f>
        <v/>
      </c>
      <c r="F298" s="21">
        <f>IFERROR(INDEX(Pedidos!$B$2:$B$1801,MATCH(B298,Pedidos!$A$2:$A$1801,0)),0)</f>
        <v/>
      </c>
      <c r="G298" s="21">
        <f>IF(F298=0,"",YEAR(F298))</f>
        <v/>
      </c>
      <c r="H298" s="21">
        <f>IF(F298=0,"",MONTH(F298))</f>
        <v/>
      </c>
      <c r="I298" s="21">
        <f>IFERROR(INDEX(Pedidos!$E$2:$E$1801,MATCH(B298,Pedidos!$A$2:$A$1801,0)),"")</f>
        <v/>
      </c>
      <c r="J298" s="21">
        <f>IFERROR(INDEX(Pedidos!$C$2:$C$1801,MATCH(B298,Pedidos!$A$2:$A$1801,0)),"")</f>
        <v/>
      </c>
      <c r="K298" s="21">
        <f>IFERROR(INDEX(Pedidos!$D$2:$D$1801,MATCH(B298,Pedidos!$A$2:$A$1801,0)),"")</f>
        <v/>
      </c>
      <c r="L298" s="21">
        <f>IFERROR(INDEX(Pedidos!$F$2:$F$1801,MATCH(B298,Pedidos!$A$2:$A$1801,0)),"")</f>
        <v/>
      </c>
      <c r="M298" s="22">
        <f>IFERROR(INDEX(Pedidos!$G$2:$G$1801,MATCH(B298,Pedidos!$A$2:$A$1801,0)),0)</f>
        <v/>
      </c>
      <c r="N298" s="21">
        <f>IFERROR(INDEX(Produtos!$B$2:$B$71,MATCH(C298,Produtos!$A$2:$A$71,0)),"")</f>
        <v/>
      </c>
      <c r="O298" s="21">
        <f>IFERROR(INDEX(Produtos!$C$2:$C$71,MATCH(C298,Produtos!$A$2:$A$71,0)),"")</f>
        <v/>
      </c>
      <c r="P298" s="21">
        <f>IFERROR(INDEX(Produtos!$D$2:$D$71,MATCH(C298,Produtos!$A$2:$A$71,0)),0)</f>
        <v/>
      </c>
      <c r="Q298" s="21">
        <f>IFERROR(INDEX(Produtos!$E$2:$E$71,MATCH(C298,Produtos!$A$2:$A$71,0)),0)</f>
        <v/>
      </c>
      <c r="R298" s="23">
        <f>D298*Q298</f>
        <v/>
      </c>
      <c r="S298" s="23">
        <f>R298*E298</f>
        <v/>
      </c>
      <c r="T298" s="23">
        <f>(R298-S298)*M298</f>
        <v/>
      </c>
      <c r="U298" s="23">
        <f>R298-S298-T298</f>
        <v/>
      </c>
      <c r="V298" s="23">
        <f>D298*P298</f>
        <v/>
      </c>
      <c r="W298" s="23">
        <f>U298-V298</f>
        <v/>
      </c>
      <c r="X298" s="24">
        <f>IFERROR(W298/U298,0)</f>
        <v/>
      </c>
    </row>
    <row r="299">
      <c r="A299" s="25">
        <f>ItensPedido!A299</f>
        <v/>
      </c>
      <c r="B299" s="25">
        <f>ItensPedido!B299</f>
        <v/>
      </c>
      <c r="C299" s="25">
        <f>ItensPedido!C299</f>
        <v/>
      </c>
      <c r="D299" s="25">
        <f>ItensPedido!D299</f>
        <v/>
      </c>
      <c r="E299" s="26">
        <f>ItensPedido!E299</f>
        <v/>
      </c>
      <c r="F299" s="25">
        <f>IFERROR(INDEX(Pedidos!$B$2:$B$1801,MATCH(B299,Pedidos!$A$2:$A$1801,0)),0)</f>
        <v/>
      </c>
      <c r="G299" s="25">
        <f>IF(F299=0,"",YEAR(F299))</f>
        <v/>
      </c>
      <c r="H299" s="25">
        <f>IF(F299=0,"",MONTH(F299))</f>
        <v/>
      </c>
      <c r="I299" s="25">
        <f>IFERROR(INDEX(Pedidos!$E$2:$E$1801,MATCH(B299,Pedidos!$A$2:$A$1801,0)),"")</f>
        <v/>
      </c>
      <c r="J299" s="25">
        <f>IFERROR(INDEX(Pedidos!$C$2:$C$1801,MATCH(B299,Pedidos!$A$2:$A$1801,0)),"")</f>
        <v/>
      </c>
      <c r="K299" s="25">
        <f>IFERROR(INDEX(Pedidos!$D$2:$D$1801,MATCH(B299,Pedidos!$A$2:$A$1801,0)),"")</f>
        <v/>
      </c>
      <c r="L299" s="25">
        <f>IFERROR(INDEX(Pedidos!$F$2:$F$1801,MATCH(B299,Pedidos!$A$2:$A$1801,0)),"")</f>
        <v/>
      </c>
      <c r="M299" s="26">
        <f>IFERROR(INDEX(Pedidos!$G$2:$G$1801,MATCH(B299,Pedidos!$A$2:$A$1801,0)),0)</f>
        <v/>
      </c>
      <c r="N299" s="25">
        <f>IFERROR(INDEX(Produtos!$B$2:$B$71,MATCH(C299,Produtos!$A$2:$A$71,0)),"")</f>
        <v/>
      </c>
      <c r="O299" s="25">
        <f>IFERROR(INDEX(Produtos!$C$2:$C$71,MATCH(C299,Produtos!$A$2:$A$71,0)),"")</f>
        <v/>
      </c>
      <c r="P299" s="25">
        <f>IFERROR(INDEX(Produtos!$D$2:$D$71,MATCH(C299,Produtos!$A$2:$A$71,0)),0)</f>
        <v/>
      </c>
      <c r="Q299" s="25">
        <f>IFERROR(INDEX(Produtos!$E$2:$E$71,MATCH(C299,Produtos!$A$2:$A$71,0)),0)</f>
        <v/>
      </c>
      <c r="R299" s="27">
        <f>D299*Q299</f>
        <v/>
      </c>
      <c r="S299" s="27">
        <f>R299*E299</f>
        <v/>
      </c>
      <c r="T299" s="27">
        <f>(R299-S299)*M299</f>
        <v/>
      </c>
      <c r="U299" s="27">
        <f>R299-S299-T299</f>
        <v/>
      </c>
      <c r="V299" s="27">
        <f>D299*P299</f>
        <v/>
      </c>
      <c r="W299" s="27">
        <f>U299-V299</f>
        <v/>
      </c>
      <c r="X299" s="28">
        <f>IFERROR(W299/U299,0)</f>
        <v/>
      </c>
    </row>
    <row r="300">
      <c r="A300" s="21">
        <f>ItensPedido!A300</f>
        <v/>
      </c>
      <c r="B300" s="21">
        <f>ItensPedido!B300</f>
        <v/>
      </c>
      <c r="C300" s="21">
        <f>ItensPedido!C300</f>
        <v/>
      </c>
      <c r="D300" s="21">
        <f>ItensPedido!D300</f>
        <v/>
      </c>
      <c r="E300" s="22">
        <f>ItensPedido!E300</f>
        <v/>
      </c>
      <c r="F300" s="21">
        <f>IFERROR(INDEX(Pedidos!$B$2:$B$1801,MATCH(B300,Pedidos!$A$2:$A$1801,0)),0)</f>
        <v/>
      </c>
      <c r="G300" s="21">
        <f>IF(F300=0,"",YEAR(F300))</f>
        <v/>
      </c>
      <c r="H300" s="21">
        <f>IF(F300=0,"",MONTH(F300))</f>
        <v/>
      </c>
      <c r="I300" s="21">
        <f>IFERROR(INDEX(Pedidos!$E$2:$E$1801,MATCH(B300,Pedidos!$A$2:$A$1801,0)),"")</f>
        <v/>
      </c>
      <c r="J300" s="21">
        <f>IFERROR(INDEX(Pedidos!$C$2:$C$1801,MATCH(B300,Pedidos!$A$2:$A$1801,0)),"")</f>
        <v/>
      </c>
      <c r="K300" s="21">
        <f>IFERROR(INDEX(Pedidos!$D$2:$D$1801,MATCH(B300,Pedidos!$A$2:$A$1801,0)),"")</f>
        <v/>
      </c>
      <c r="L300" s="21">
        <f>IFERROR(INDEX(Pedidos!$F$2:$F$1801,MATCH(B300,Pedidos!$A$2:$A$1801,0)),"")</f>
        <v/>
      </c>
      <c r="M300" s="22">
        <f>IFERROR(INDEX(Pedidos!$G$2:$G$1801,MATCH(B300,Pedidos!$A$2:$A$1801,0)),0)</f>
        <v/>
      </c>
      <c r="N300" s="21">
        <f>IFERROR(INDEX(Produtos!$B$2:$B$71,MATCH(C300,Produtos!$A$2:$A$71,0)),"")</f>
        <v/>
      </c>
      <c r="O300" s="21">
        <f>IFERROR(INDEX(Produtos!$C$2:$C$71,MATCH(C300,Produtos!$A$2:$A$71,0)),"")</f>
        <v/>
      </c>
      <c r="P300" s="21">
        <f>IFERROR(INDEX(Produtos!$D$2:$D$71,MATCH(C300,Produtos!$A$2:$A$71,0)),0)</f>
        <v/>
      </c>
      <c r="Q300" s="21">
        <f>IFERROR(INDEX(Produtos!$E$2:$E$71,MATCH(C300,Produtos!$A$2:$A$71,0)),0)</f>
        <v/>
      </c>
      <c r="R300" s="23">
        <f>D300*Q300</f>
        <v/>
      </c>
      <c r="S300" s="23">
        <f>R300*E300</f>
        <v/>
      </c>
      <c r="T300" s="23">
        <f>(R300-S300)*M300</f>
        <v/>
      </c>
      <c r="U300" s="23">
        <f>R300-S300-T300</f>
        <v/>
      </c>
      <c r="V300" s="23">
        <f>D300*P300</f>
        <v/>
      </c>
      <c r="W300" s="23">
        <f>U300-V300</f>
        <v/>
      </c>
      <c r="X300" s="24">
        <f>IFERROR(W300/U300,0)</f>
        <v/>
      </c>
    </row>
    <row r="301">
      <c r="A301" s="25">
        <f>ItensPedido!A301</f>
        <v/>
      </c>
      <c r="B301" s="25">
        <f>ItensPedido!B301</f>
        <v/>
      </c>
      <c r="C301" s="25">
        <f>ItensPedido!C301</f>
        <v/>
      </c>
      <c r="D301" s="25">
        <f>ItensPedido!D301</f>
        <v/>
      </c>
      <c r="E301" s="26">
        <f>ItensPedido!E301</f>
        <v/>
      </c>
      <c r="F301" s="25">
        <f>IFERROR(INDEX(Pedidos!$B$2:$B$1801,MATCH(B301,Pedidos!$A$2:$A$1801,0)),0)</f>
        <v/>
      </c>
      <c r="G301" s="25">
        <f>IF(F301=0,"",YEAR(F301))</f>
        <v/>
      </c>
      <c r="H301" s="25">
        <f>IF(F301=0,"",MONTH(F301))</f>
        <v/>
      </c>
      <c r="I301" s="25">
        <f>IFERROR(INDEX(Pedidos!$E$2:$E$1801,MATCH(B301,Pedidos!$A$2:$A$1801,0)),"")</f>
        <v/>
      </c>
      <c r="J301" s="25">
        <f>IFERROR(INDEX(Pedidos!$C$2:$C$1801,MATCH(B301,Pedidos!$A$2:$A$1801,0)),"")</f>
        <v/>
      </c>
      <c r="K301" s="25">
        <f>IFERROR(INDEX(Pedidos!$D$2:$D$1801,MATCH(B301,Pedidos!$A$2:$A$1801,0)),"")</f>
        <v/>
      </c>
      <c r="L301" s="25">
        <f>IFERROR(INDEX(Pedidos!$F$2:$F$1801,MATCH(B301,Pedidos!$A$2:$A$1801,0)),"")</f>
        <v/>
      </c>
      <c r="M301" s="26">
        <f>IFERROR(INDEX(Pedidos!$G$2:$G$1801,MATCH(B301,Pedidos!$A$2:$A$1801,0)),0)</f>
        <v/>
      </c>
      <c r="N301" s="25">
        <f>IFERROR(INDEX(Produtos!$B$2:$B$71,MATCH(C301,Produtos!$A$2:$A$71,0)),"")</f>
        <v/>
      </c>
      <c r="O301" s="25">
        <f>IFERROR(INDEX(Produtos!$C$2:$C$71,MATCH(C301,Produtos!$A$2:$A$71,0)),"")</f>
        <v/>
      </c>
      <c r="P301" s="25">
        <f>IFERROR(INDEX(Produtos!$D$2:$D$71,MATCH(C301,Produtos!$A$2:$A$71,0)),0)</f>
        <v/>
      </c>
      <c r="Q301" s="25">
        <f>IFERROR(INDEX(Produtos!$E$2:$E$71,MATCH(C301,Produtos!$A$2:$A$71,0)),0)</f>
        <v/>
      </c>
      <c r="R301" s="27">
        <f>D301*Q301</f>
        <v/>
      </c>
      <c r="S301" s="27">
        <f>R301*E301</f>
        <v/>
      </c>
      <c r="T301" s="27">
        <f>(R301-S301)*M301</f>
        <v/>
      </c>
      <c r="U301" s="27">
        <f>R301-S301-T301</f>
        <v/>
      </c>
      <c r="V301" s="27">
        <f>D301*P301</f>
        <v/>
      </c>
      <c r="W301" s="27">
        <f>U301-V301</f>
        <v/>
      </c>
      <c r="X301" s="28">
        <f>IFERROR(W301/U301,0)</f>
        <v/>
      </c>
    </row>
    <row r="302">
      <c r="A302" s="21">
        <f>ItensPedido!A302</f>
        <v/>
      </c>
      <c r="B302" s="21">
        <f>ItensPedido!B302</f>
        <v/>
      </c>
      <c r="C302" s="21">
        <f>ItensPedido!C302</f>
        <v/>
      </c>
      <c r="D302" s="21">
        <f>ItensPedido!D302</f>
        <v/>
      </c>
      <c r="E302" s="22">
        <f>ItensPedido!E302</f>
        <v/>
      </c>
      <c r="F302" s="21">
        <f>IFERROR(INDEX(Pedidos!$B$2:$B$1801,MATCH(B302,Pedidos!$A$2:$A$1801,0)),0)</f>
        <v/>
      </c>
      <c r="G302" s="21">
        <f>IF(F302=0,"",YEAR(F302))</f>
        <v/>
      </c>
      <c r="H302" s="21">
        <f>IF(F302=0,"",MONTH(F302))</f>
        <v/>
      </c>
      <c r="I302" s="21">
        <f>IFERROR(INDEX(Pedidos!$E$2:$E$1801,MATCH(B302,Pedidos!$A$2:$A$1801,0)),"")</f>
        <v/>
      </c>
      <c r="J302" s="21">
        <f>IFERROR(INDEX(Pedidos!$C$2:$C$1801,MATCH(B302,Pedidos!$A$2:$A$1801,0)),"")</f>
        <v/>
      </c>
      <c r="K302" s="21">
        <f>IFERROR(INDEX(Pedidos!$D$2:$D$1801,MATCH(B302,Pedidos!$A$2:$A$1801,0)),"")</f>
        <v/>
      </c>
      <c r="L302" s="21">
        <f>IFERROR(INDEX(Pedidos!$F$2:$F$1801,MATCH(B302,Pedidos!$A$2:$A$1801,0)),"")</f>
        <v/>
      </c>
      <c r="M302" s="22">
        <f>IFERROR(INDEX(Pedidos!$G$2:$G$1801,MATCH(B302,Pedidos!$A$2:$A$1801,0)),0)</f>
        <v/>
      </c>
      <c r="N302" s="21">
        <f>IFERROR(INDEX(Produtos!$B$2:$B$71,MATCH(C302,Produtos!$A$2:$A$71,0)),"")</f>
        <v/>
      </c>
      <c r="O302" s="21">
        <f>IFERROR(INDEX(Produtos!$C$2:$C$71,MATCH(C302,Produtos!$A$2:$A$71,0)),"")</f>
        <v/>
      </c>
      <c r="P302" s="21">
        <f>IFERROR(INDEX(Produtos!$D$2:$D$71,MATCH(C302,Produtos!$A$2:$A$71,0)),0)</f>
        <v/>
      </c>
      <c r="Q302" s="21">
        <f>IFERROR(INDEX(Produtos!$E$2:$E$71,MATCH(C302,Produtos!$A$2:$A$71,0)),0)</f>
        <v/>
      </c>
      <c r="R302" s="23">
        <f>D302*Q302</f>
        <v/>
      </c>
      <c r="S302" s="23">
        <f>R302*E302</f>
        <v/>
      </c>
      <c r="T302" s="23">
        <f>(R302-S302)*M302</f>
        <v/>
      </c>
      <c r="U302" s="23">
        <f>R302-S302-T302</f>
        <v/>
      </c>
      <c r="V302" s="23">
        <f>D302*P302</f>
        <v/>
      </c>
      <c r="W302" s="23">
        <f>U302-V302</f>
        <v/>
      </c>
      <c r="X302" s="24">
        <f>IFERROR(W302/U302,0)</f>
        <v/>
      </c>
    </row>
    <row r="303">
      <c r="A303" s="25">
        <f>ItensPedido!A303</f>
        <v/>
      </c>
      <c r="B303" s="25">
        <f>ItensPedido!B303</f>
        <v/>
      </c>
      <c r="C303" s="25">
        <f>ItensPedido!C303</f>
        <v/>
      </c>
      <c r="D303" s="25">
        <f>ItensPedido!D303</f>
        <v/>
      </c>
      <c r="E303" s="26">
        <f>ItensPedido!E303</f>
        <v/>
      </c>
      <c r="F303" s="25">
        <f>IFERROR(INDEX(Pedidos!$B$2:$B$1801,MATCH(B303,Pedidos!$A$2:$A$1801,0)),0)</f>
        <v/>
      </c>
      <c r="G303" s="25">
        <f>IF(F303=0,"",YEAR(F303))</f>
        <v/>
      </c>
      <c r="H303" s="25">
        <f>IF(F303=0,"",MONTH(F303))</f>
        <v/>
      </c>
      <c r="I303" s="25">
        <f>IFERROR(INDEX(Pedidos!$E$2:$E$1801,MATCH(B303,Pedidos!$A$2:$A$1801,0)),"")</f>
        <v/>
      </c>
      <c r="J303" s="25">
        <f>IFERROR(INDEX(Pedidos!$C$2:$C$1801,MATCH(B303,Pedidos!$A$2:$A$1801,0)),"")</f>
        <v/>
      </c>
      <c r="K303" s="25">
        <f>IFERROR(INDEX(Pedidos!$D$2:$D$1801,MATCH(B303,Pedidos!$A$2:$A$1801,0)),"")</f>
        <v/>
      </c>
      <c r="L303" s="25">
        <f>IFERROR(INDEX(Pedidos!$F$2:$F$1801,MATCH(B303,Pedidos!$A$2:$A$1801,0)),"")</f>
        <v/>
      </c>
      <c r="M303" s="26">
        <f>IFERROR(INDEX(Pedidos!$G$2:$G$1801,MATCH(B303,Pedidos!$A$2:$A$1801,0)),0)</f>
        <v/>
      </c>
      <c r="N303" s="25">
        <f>IFERROR(INDEX(Produtos!$B$2:$B$71,MATCH(C303,Produtos!$A$2:$A$71,0)),"")</f>
        <v/>
      </c>
      <c r="O303" s="25">
        <f>IFERROR(INDEX(Produtos!$C$2:$C$71,MATCH(C303,Produtos!$A$2:$A$71,0)),"")</f>
        <v/>
      </c>
      <c r="P303" s="25">
        <f>IFERROR(INDEX(Produtos!$D$2:$D$71,MATCH(C303,Produtos!$A$2:$A$71,0)),0)</f>
        <v/>
      </c>
      <c r="Q303" s="25">
        <f>IFERROR(INDEX(Produtos!$E$2:$E$71,MATCH(C303,Produtos!$A$2:$A$71,0)),0)</f>
        <v/>
      </c>
      <c r="R303" s="27">
        <f>D303*Q303</f>
        <v/>
      </c>
      <c r="S303" s="27">
        <f>R303*E303</f>
        <v/>
      </c>
      <c r="T303" s="27">
        <f>(R303-S303)*M303</f>
        <v/>
      </c>
      <c r="U303" s="27">
        <f>R303-S303-T303</f>
        <v/>
      </c>
      <c r="V303" s="27">
        <f>D303*P303</f>
        <v/>
      </c>
      <c r="W303" s="27">
        <f>U303-V303</f>
        <v/>
      </c>
      <c r="X303" s="28">
        <f>IFERROR(W303/U303,0)</f>
        <v/>
      </c>
    </row>
    <row r="304">
      <c r="A304" s="21">
        <f>ItensPedido!A304</f>
        <v/>
      </c>
      <c r="B304" s="21">
        <f>ItensPedido!B304</f>
        <v/>
      </c>
      <c r="C304" s="21">
        <f>ItensPedido!C304</f>
        <v/>
      </c>
      <c r="D304" s="21">
        <f>ItensPedido!D304</f>
        <v/>
      </c>
      <c r="E304" s="22">
        <f>ItensPedido!E304</f>
        <v/>
      </c>
      <c r="F304" s="21">
        <f>IFERROR(INDEX(Pedidos!$B$2:$B$1801,MATCH(B304,Pedidos!$A$2:$A$1801,0)),0)</f>
        <v/>
      </c>
      <c r="G304" s="21">
        <f>IF(F304=0,"",YEAR(F304))</f>
        <v/>
      </c>
      <c r="H304" s="21">
        <f>IF(F304=0,"",MONTH(F304))</f>
        <v/>
      </c>
      <c r="I304" s="21">
        <f>IFERROR(INDEX(Pedidos!$E$2:$E$1801,MATCH(B304,Pedidos!$A$2:$A$1801,0)),"")</f>
        <v/>
      </c>
      <c r="J304" s="21">
        <f>IFERROR(INDEX(Pedidos!$C$2:$C$1801,MATCH(B304,Pedidos!$A$2:$A$1801,0)),"")</f>
        <v/>
      </c>
      <c r="K304" s="21">
        <f>IFERROR(INDEX(Pedidos!$D$2:$D$1801,MATCH(B304,Pedidos!$A$2:$A$1801,0)),"")</f>
        <v/>
      </c>
      <c r="L304" s="21">
        <f>IFERROR(INDEX(Pedidos!$F$2:$F$1801,MATCH(B304,Pedidos!$A$2:$A$1801,0)),"")</f>
        <v/>
      </c>
      <c r="M304" s="22">
        <f>IFERROR(INDEX(Pedidos!$G$2:$G$1801,MATCH(B304,Pedidos!$A$2:$A$1801,0)),0)</f>
        <v/>
      </c>
      <c r="N304" s="21">
        <f>IFERROR(INDEX(Produtos!$B$2:$B$71,MATCH(C304,Produtos!$A$2:$A$71,0)),"")</f>
        <v/>
      </c>
      <c r="O304" s="21">
        <f>IFERROR(INDEX(Produtos!$C$2:$C$71,MATCH(C304,Produtos!$A$2:$A$71,0)),"")</f>
        <v/>
      </c>
      <c r="P304" s="21">
        <f>IFERROR(INDEX(Produtos!$D$2:$D$71,MATCH(C304,Produtos!$A$2:$A$71,0)),0)</f>
        <v/>
      </c>
      <c r="Q304" s="21">
        <f>IFERROR(INDEX(Produtos!$E$2:$E$71,MATCH(C304,Produtos!$A$2:$A$71,0)),0)</f>
        <v/>
      </c>
      <c r="R304" s="23">
        <f>D304*Q304</f>
        <v/>
      </c>
      <c r="S304" s="23">
        <f>R304*E304</f>
        <v/>
      </c>
      <c r="T304" s="23">
        <f>(R304-S304)*M304</f>
        <v/>
      </c>
      <c r="U304" s="23">
        <f>R304-S304-T304</f>
        <v/>
      </c>
      <c r="V304" s="23">
        <f>D304*P304</f>
        <v/>
      </c>
      <c r="W304" s="23">
        <f>U304-V304</f>
        <v/>
      </c>
      <c r="X304" s="24">
        <f>IFERROR(W304/U304,0)</f>
        <v/>
      </c>
    </row>
    <row r="305">
      <c r="A305" s="25">
        <f>ItensPedido!A305</f>
        <v/>
      </c>
      <c r="B305" s="25">
        <f>ItensPedido!B305</f>
        <v/>
      </c>
      <c r="C305" s="25">
        <f>ItensPedido!C305</f>
        <v/>
      </c>
      <c r="D305" s="25">
        <f>ItensPedido!D305</f>
        <v/>
      </c>
      <c r="E305" s="26">
        <f>ItensPedido!E305</f>
        <v/>
      </c>
      <c r="F305" s="25">
        <f>IFERROR(INDEX(Pedidos!$B$2:$B$1801,MATCH(B305,Pedidos!$A$2:$A$1801,0)),0)</f>
        <v/>
      </c>
      <c r="G305" s="25">
        <f>IF(F305=0,"",YEAR(F305))</f>
        <v/>
      </c>
      <c r="H305" s="25">
        <f>IF(F305=0,"",MONTH(F305))</f>
        <v/>
      </c>
      <c r="I305" s="25">
        <f>IFERROR(INDEX(Pedidos!$E$2:$E$1801,MATCH(B305,Pedidos!$A$2:$A$1801,0)),"")</f>
        <v/>
      </c>
      <c r="J305" s="25">
        <f>IFERROR(INDEX(Pedidos!$C$2:$C$1801,MATCH(B305,Pedidos!$A$2:$A$1801,0)),"")</f>
        <v/>
      </c>
      <c r="K305" s="25">
        <f>IFERROR(INDEX(Pedidos!$D$2:$D$1801,MATCH(B305,Pedidos!$A$2:$A$1801,0)),"")</f>
        <v/>
      </c>
      <c r="L305" s="25">
        <f>IFERROR(INDEX(Pedidos!$F$2:$F$1801,MATCH(B305,Pedidos!$A$2:$A$1801,0)),"")</f>
        <v/>
      </c>
      <c r="M305" s="26">
        <f>IFERROR(INDEX(Pedidos!$G$2:$G$1801,MATCH(B305,Pedidos!$A$2:$A$1801,0)),0)</f>
        <v/>
      </c>
      <c r="N305" s="25">
        <f>IFERROR(INDEX(Produtos!$B$2:$B$71,MATCH(C305,Produtos!$A$2:$A$71,0)),"")</f>
        <v/>
      </c>
      <c r="O305" s="25">
        <f>IFERROR(INDEX(Produtos!$C$2:$C$71,MATCH(C305,Produtos!$A$2:$A$71,0)),"")</f>
        <v/>
      </c>
      <c r="P305" s="25">
        <f>IFERROR(INDEX(Produtos!$D$2:$D$71,MATCH(C305,Produtos!$A$2:$A$71,0)),0)</f>
        <v/>
      </c>
      <c r="Q305" s="25">
        <f>IFERROR(INDEX(Produtos!$E$2:$E$71,MATCH(C305,Produtos!$A$2:$A$71,0)),0)</f>
        <v/>
      </c>
      <c r="R305" s="27">
        <f>D305*Q305</f>
        <v/>
      </c>
      <c r="S305" s="27">
        <f>R305*E305</f>
        <v/>
      </c>
      <c r="T305" s="27">
        <f>(R305-S305)*M305</f>
        <v/>
      </c>
      <c r="U305" s="27">
        <f>R305-S305-T305</f>
        <v/>
      </c>
      <c r="V305" s="27">
        <f>D305*P305</f>
        <v/>
      </c>
      <c r="W305" s="27">
        <f>U305-V305</f>
        <v/>
      </c>
      <c r="X305" s="28">
        <f>IFERROR(W305/U305,0)</f>
        <v/>
      </c>
    </row>
    <row r="306">
      <c r="A306" s="21">
        <f>ItensPedido!A306</f>
        <v/>
      </c>
      <c r="B306" s="21">
        <f>ItensPedido!B306</f>
        <v/>
      </c>
      <c r="C306" s="21">
        <f>ItensPedido!C306</f>
        <v/>
      </c>
      <c r="D306" s="21">
        <f>ItensPedido!D306</f>
        <v/>
      </c>
      <c r="E306" s="22">
        <f>ItensPedido!E306</f>
        <v/>
      </c>
      <c r="F306" s="21">
        <f>IFERROR(INDEX(Pedidos!$B$2:$B$1801,MATCH(B306,Pedidos!$A$2:$A$1801,0)),0)</f>
        <v/>
      </c>
      <c r="G306" s="21">
        <f>IF(F306=0,"",YEAR(F306))</f>
        <v/>
      </c>
      <c r="H306" s="21">
        <f>IF(F306=0,"",MONTH(F306))</f>
        <v/>
      </c>
      <c r="I306" s="21">
        <f>IFERROR(INDEX(Pedidos!$E$2:$E$1801,MATCH(B306,Pedidos!$A$2:$A$1801,0)),"")</f>
        <v/>
      </c>
      <c r="J306" s="21">
        <f>IFERROR(INDEX(Pedidos!$C$2:$C$1801,MATCH(B306,Pedidos!$A$2:$A$1801,0)),"")</f>
        <v/>
      </c>
      <c r="K306" s="21">
        <f>IFERROR(INDEX(Pedidos!$D$2:$D$1801,MATCH(B306,Pedidos!$A$2:$A$1801,0)),"")</f>
        <v/>
      </c>
      <c r="L306" s="21">
        <f>IFERROR(INDEX(Pedidos!$F$2:$F$1801,MATCH(B306,Pedidos!$A$2:$A$1801,0)),"")</f>
        <v/>
      </c>
      <c r="M306" s="22">
        <f>IFERROR(INDEX(Pedidos!$G$2:$G$1801,MATCH(B306,Pedidos!$A$2:$A$1801,0)),0)</f>
        <v/>
      </c>
      <c r="N306" s="21">
        <f>IFERROR(INDEX(Produtos!$B$2:$B$71,MATCH(C306,Produtos!$A$2:$A$71,0)),"")</f>
        <v/>
      </c>
      <c r="O306" s="21">
        <f>IFERROR(INDEX(Produtos!$C$2:$C$71,MATCH(C306,Produtos!$A$2:$A$71,0)),"")</f>
        <v/>
      </c>
      <c r="P306" s="21">
        <f>IFERROR(INDEX(Produtos!$D$2:$D$71,MATCH(C306,Produtos!$A$2:$A$71,0)),0)</f>
        <v/>
      </c>
      <c r="Q306" s="21">
        <f>IFERROR(INDEX(Produtos!$E$2:$E$71,MATCH(C306,Produtos!$A$2:$A$71,0)),0)</f>
        <v/>
      </c>
      <c r="R306" s="23">
        <f>D306*Q306</f>
        <v/>
      </c>
      <c r="S306" s="23">
        <f>R306*E306</f>
        <v/>
      </c>
      <c r="T306" s="23">
        <f>(R306-S306)*M306</f>
        <v/>
      </c>
      <c r="U306" s="23">
        <f>R306-S306-T306</f>
        <v/>
      </c>
      <c r="V306" s="23">
        <f>D306*P306</f>
        <v/>
      </c>
      <c r="W306" s="23">
        <f>U306-V306</f>
        <v/>
      </c>
      <c r="X306" s="24">
        <f>IFERROR(W306/U306,0)</f>
        <v/>
      </c>
    </row>
    <row r="307">
      <c r="A307" s="25">
        <f>ItensPedido!A307</f>
        <v/>
      </c>
      <c r="B307" s="25">
        <f>ItensPedido!B307</f>
        <v/>
      </c>
      <c r="C307" s="25">
        <f>ItensPedido!C307</f>
        <v/>
      </c>
      <c r="D307" s="25">
        <f>ItensPedido!D307</f>
        <v/>
      </c>
      <c r="E307" s="26">
        <f>ItensPedido!E307</f>
        <v/>
      </c>
      <c r="F307" s="25">
        <f>IFERROR(INDEX(Pedidos!$B$2:$B$1801,MATCH(B307,Pedidos!$A$2:$A$1801,0)),0)</f>
        <v/>
      </c>
      <c r="G307" s="25">
        <f>IF(F307=0,"",YEAR(F307))</f>
        <v/>
      </c>
      <c r="H307" s="25">
        <f>IF(F307=0,"",MONTH(F307))</f>
        <v/>
      </c>
      <c r="I307" s="25">
        <f>IFERROR(INDEX(Pedidos!$E$2:$E$1801,MATCH(B307,Pedidos!$A$2:$A$1801,0)),"")</f>
        <v/>
      </c>
      <c r="J307" s="25">
        <f>IFERROR(INDEX(Pedidos!$C$2:$C$1801,MATCH(B307,Pedidos!$A$2:$A$1801,0)),"")</f>
        <v/>
      </c>
      <c r="K307" s="25">
        <f>IFERROR(INDEX(Pedidos!$D$2:$D$1801,MATCH(B307,Pedidos!$A$2:$A$1801,0)),"")</f>
        <v/>
      </c>
      <c r="L307" s="25">
        <f>IFERROR(INDEX(Pedidos!$F$2:$F$1801,MATCH(B307,Pedidos!$A$2:$A$1801,0)),"")</f>
        <v/>
      </c>
      <c r="M307" s="26">
        <f>IFERROR(INDEX(Pedidos!$G$2:$G$1801,MATCH(B307,Pedidos!$A$2:$A$1801,0)),0)</f>
        <v/>
      </c>
      <c r="N307" s="25">
        <f>IFERROR(INDEX(Produtos!$B$2:$B$71,MATCH(C307,Produtos!$A$2:$A$71,0)),"")</f>
        <v/>
      </c>
      <c r="O307" s="25">
        <f>IFERROR(INDEX(Produtos!$C$2:$C$71,MATCH(C307,Produtos!$A$2:$A$71,0)),"")</f>
        <v/>
      </c>
      <c r="P307" s="25">
        <f>IFERROR(INDEX(Produtos!$D$2:$D$71,MATCH(C307,Produtos!$A$2:$A$71,0)),0)</f>
        <v/>
      </c>
      <c r="Q307" s="25">
        <f>IFERROR(INDEX(Produtos!$E$2:$E$71,MATCH(C307,Produtos!$A$2:$A$71,0)),0)</f>
        <v/>
      </c>
      <c r="R307" s="27">
        <f>D307*Q307</f>
        <v/>
      </c>
      <c r="S307" s="27">
        <f>R307*E307</f>
        <v/>
      </c>
      <c r="T307" s="27">
        <f>(R307-S307)*M307</f>
        <v/>
      </c>
      <c r="U307" s="27">
        <f>R307-S307-T307</f>
        <v/>
      </c>
      <c r="V307" s="27">
        <f>D307*P307</f>
        <v/>
      </c>
      <c r="W307" s="27">
        <f>U307-V307</f>
        <v/>
      </c>
      <c r="X307" s="28">
        <f>IFERROR(W307/U307,0)</f>
        <v/>
      </c>
    </row>
    <row r="308">
      <c r="A308" s="21">
        <f>ItensPedido!A308</f>
        <v/>
      </c>
      <c r="B308" s="21">
        <f>ItensPedido!B308</f>
        <v/>
      </c>
      <c r="C308" s="21">
        <f>ItensPedido!C308</f>
        <v/>
      </c>
      <c r="D308" s="21">
        <f>ItensPedido!D308</f>
        <v/>
      </c>
      <c r="E308" s="22">
        <f>ItensPedido!E308</f>
        <v/>
      </c>
      <c r="F308" s="21">
        <f>IFERROR(INDEX(Pedidos!$B$2:$B$1801,MATCH(B308,Pedidos!$A$2:$A$1801,0)),0)</f>
        <v/>
      </c>
      <c r="G308" s="21">
        <f>IF(F308=0,"",YEAR(F308))</f>
        <v/>
      </c>
      <c r="H308" s="21">
        <f>IF(F308=0,"",MONTH(F308))</f>
        <v/>
      </c>
      <c r="I308" s="21">
        <f>IFERROR(INDEX(Pedidos!$E$2:$E$1801,MATCH(B308,Pedidos!$A$2:$A$1801,0)),"")</f>
        <v/>
      </c>
      <c r="J308" s="21">
        <f>IFERROR(INDEX(Pedidos!$C$2:$C$1801,MATCH(B308,Pedidos!$A$2:$A$1801,0)),"")</f>
        <v/>
      </c>
      <c r="K308" s="21">
        <f>IFERROR(INDEX(Pedidos!$D$2:$D$1801,MATCH(B308,Pedidos!$A$2:$A$1801,0)),"")</f>
        <v/>
      </c>
      <c r="L308" s="21">
        <f>IFERROR(INDEX(Pedidos!$F$2:$F$1801,MATCH(B308,Pedidos!$A$2:$A$1801,0)),"")</f>
        <v/>
      </c>
      <c r="M308" s="22">
        <f>IFERROR(INDEX(Pedidos!$G$2:$G$1801,MATCH(B308,Pedidos!$A$2:$A$1801,0)),0)</f>
        <v/>
      </c>
      <c r="N308" s="21">
        <f>IFERROR(INDEX(Produtos!$B$2:$B$71,MATCH(C308,Produtos!$A$2:$A$71,0)),"")</f>
        <v/>
      </c>
      <c r="O308" s="21">
        <f>IFERROR(INDEX(Produtos!$C$2:$C$71,MATCH(C308,Produtos!$A$2:$A$71,0)),"")</f>
        <v/>
      </c>
      <c r="P308" s="21">
        <f>IFERROR(INDEX(Produtos!$D$2:$D$71,MATCH(C308,Produtos!$A$2:$A$71,0)),0)</f>
        <v/>
      </c>
      <c r="Q308" s="21">
        <f>IFERROR(INDEX(Produtos!$E$2:$E$71,MATCH(C308,Produtos!$A$2:$A$71,0)),0)</f>
        <v/>
      </c>
      <c r="R308" s="23">
        <f>D308*Q308</f>
        <v/>
      </c>
      <c r="S308" s="23">
        <f>R308*E308</f>
        <v/>
      </c>
      <c r="T308" s="23">
        <f>(R308-S308)*M308</f>
        <v/>
      </c>
      <c r="U308" s="23">
        <f>R308-S308-T308</f>
        <v/>
      </c>
      <c r="V308" s="23">
        <f>D308*P308</f>
        <v/>
      </c>
      <c r="W308" s="23">
        <f>U308-V308</f>
        <v/>
      </c>
      <c r="X308" s="24">
        <f>IFERROR(W308/U308,0)</f>
        <v/>
      </c>
    </row>
    <row r="309">
      <c r="A309" s="25">
        <f>ItensPedido!A309</f>
        <v/>
      </c>
      <c r="B309" s="25">
        <f>ItensPedido!B309</f>
        <v/>
      </c>
      <c r="C309" s="25">
        <f>ItensPedido!C309</f>
        <v/>
      </c>
      <c r="D309" s="25">
        <f>ItensPedido!D309</f>
        <v/>
      </c>
      <c r="E309" s="26">
        <f>ItensPedido!E309</f>
        <v/>
      </c>
      <c r="F309" s="25">
        <f>IFERROR(INDEX(Pedidos!$B$2:$B$1801,MATCH(B309,Pedidos!$A$2:$A$1801,0)),0)</f>
        <v/>
      </c>
      <c r="G309" s="25">
        <f>IF(F309=0,"",YEAR(F309))</f>
        <v/>
      </c>
      <c r="H309" s="25">
        <f>IF(F309=0,"",MONTH(F309))</f>
        <v/>
      </c>
      <c r="I309" s="25">
        <f>IFERROR(INDEX(Pedidos!$E$2:$E$1801,MATCH(B309,Pedidos!$A$2:$A$1801,0)),"")</f>
        <v/>
      </c>
      <c r="J309" s="25">
        <f>IFERROR(INDEX(Pedidos!$C$2:$C$1801,MATCH(B309,Pedidos!$A$2:$A$1801,0)),"")</f>
        <v/>
      </c>
      <c r="K309" s="25">
        <f>IFERROR(INDEX(Pedidos!$D$2:$D$1801,MATCH(B309,Pedidos!$A$2:$A$1801,0)),"")</f>
        <v/>
      </c>
      <c r="L309" s="25">
        <f>IFERROR(INDEX(Pedidos!$F$2:$F$1801,MATCH(B309,Pedidos!$A$2:$A$1801,0)),"")</f>
        <v/>
      </c>
      <c r="M309" s="26">
        <f>IFERROR(INDEX(Pedidos!$G$2:$G$1801,MATCH(B309,Pedidos!$A$2:$A$1801,0)),0)</f>
        <v/>
      </c>
      <c r="N309" s="25">
        <f>IFERROR(INDEX(Produtos!$B$2:$B$71,MATCH(C309,Produtos!$A$2:$A$71,0)),"")</f>
        <v/>
      </c>
      <c r="O309" s="25">
        <f>IFERROR(INDEX(Produtos!$C$2:$C$71,MATCH(C309,Produtos!$A$2:$A$71,0)),"")</f>
        <v/>
      </c>
      <c r="P309" s="25">
        <f>IFERROR(INDEX(Produtos!$D$2:$D$71,MATCH(C309,Produtos!$A$2:$A$71,0)),0)</f>
        <v/>
      </c>
      <c r="Q309" s="25">
        <f>IFERROR(INDEX(Produtos!$E$2:$E$71,MATCH(C309,Produtos!$A$2:$A$71,0)),0)</f>
        <v/>
      </c>
      <c r="R309" s="27">
        <f>D309*Q309</f>
        <v/>
      </c>
      <c r="S309" s="27">
        <f>R309*E309</f>
        <v/>
      </c>
      <c r="T309" s="27">
        <f>(R309-S309)*M309</f>
        <v/>
      </c>
      <c r="U309" s="27">
        <f>R309-S309-T309</f>
        <v/>
      </c>
      <c r="V309" s="27">
        <f>D309*P309</f>
        <v/>
      </c>
      <c r="W309" s="27">
        <f>U309-V309</f>
        <v/>
      </c>
      <c r="X309" s="28">
        <f>IFERROR(W309/U309,0)</f>
        <v/>
      </c>
    </row>
    <row r="310">
      <c r="A310" s="21">
        <f>ItensPedido!A310</f>
        <v/>
      </c>
      <c r="B310" s="21">
        <f>ItensPedido!B310</f>
        <v/>
      </c>
      <c r="C310" s="21">
        <f>ItensPedido!C310</f>
        <v/>
      </c>
      <c r="D310" s="21">
        <f>ItensPedido!D310</f>
        <v/>
      </c>
      <c r="E310" s="22">
        <f>ItensPedido!E310</f>
        <v/>
      </c>
      <c r="F310" s="21">
        <f>IFERROR(INDEX(Pedidos!$B$2:$B$1801,MATCH(B310,Pedidos!$A$2:$A$1801,0)),0)</f>
        <v/>
      </c>
      <c r="G310" s="21">
        <f>IF(F310=0,"",YEAR(F310))</f>
        <v/>
      </c>
      <c r="H310" s="21">
        <f>IF(F310=0,"",MONTH(F310))</f>
        <v/>
      </c>
      <c r="I310" s="21">
        <f>IFERROR(INDEX(Pedidos!$E$2:$E$1801,MATCH(B310,Pedidos!$A$2:$A$1801,0)),"")</f>
        <v/>
      </c>
      <c r="J310" s="21">
        <f>IFERROR(INDEX(Pedidos!$C$2:$C$1801,MATCH(B310,Pedidos!$A$2:$A$1801,0)),"")</f>
        <v/>
      </c>
      <c r="K310" s="21">
        <f>IFERROR(INDEX(Pedidos!$D$2:$D$1801,MATCH(B310,Pedidos!$A$2:$A$1801,0)),"")</f>
        <v/>
      </c>
      <c r="L310" s="21">
        <f>IFERROR(INDEX(Pedidos!$F$2:$F$1801,MATCH(B310,Pedidos!$A$2:$A$1801,0)),"")</f>
        <v/>
      </c>
      <c r="M310" s="22">
        <f>IFERROR(INDEX(Pedidos!$G$2:$G$1801,MATCH(B310,Pedidos!$A$2:$A$1801,0)),0)</f>
        <v/>
      </c>
      <c r="N310" s="21">
        <f>IFERROR(INDEX(Produtos!$B$2:$B$71,MATCH(C310,Produtos!$A$2:$A$71,0)),"")</f>
        <v/>
      </c>
      <c r="O310" s="21">
        <f>IFERROR(INDEX(Produtos!$C$2:$C$71,MATCH(C310,Produtos!$A$2:$A$71,0)),"")</f>
        <v/>
      </c>
      <c r="P310" s="21">
        <f>IFERROR(INDEX(Produtos!$D$2:$D$71,MATCH(C310,Produtos!$A$2:$A$71,0)),0)</f>
        <v/>
      </c>
      <c r="Q310" s="21">
        <f>IFERROR(INDEX(Produtos!$E$2:$E$71,MATCH(C310,Produtos!$A$2:$A$71,0)),0)</f>
        <v/>
      </c>
      <c r="R310" s="23">
        <f>D310*Q310</f>
        <v/>
      </c>
      <c r="S310" s="23">
        <f>R310*E310</f>
        <v/>
      </c>
      <c r="T310" s="23">
        <f>(R310-S310)*M310</f>
        <v/>
      </c>
      <c r="U310" s="23">
        <f>R310-S310-T310</f>
        <v/>
      </c>
      <c r="V310" s="23">
        <f>D310*P310</f>
        <v/>
      </c>
      <c r="W310" s="23">
        <f>U310-V310</f>
        <v/>
      </c>
      <c r="X310" s="24">
        <f>IFERROR(W310/U310,0)</f>
        <v/>
      </c>
    </row>
    <row r="311">
      <c r="A311" s="25">
        <f>ItensPedido!A311</f>
        <v/>
      </c>
      <c r="B311" s="25">
        <f>ItensPedido!B311</f>
        <v/>
      </c>
      <c r="C311" s="25">
        <f>ItensPedido!C311</f>
        <v/>
      </c>
      <c r="D311" s="25">
        <f>ItensPedido!D311</f>
        <v/>
      </c>
      <c r="E311" s="26">
        <f>ItensPedido!E311</f>
        <v/>
      </c>
      <c r="F311" s="25">
        <f>IFERROR(INDEX(Pedidos!$B$2:$B$1801,MATCH(B311,Pedidos!$A$2:$A$1801,0)),0)</f>
        <v/>
      </c>
      <c r="G311" s="25">
        <f>IF(F311=0,"",YEAR(F311))</f>
        <v/>
      </c>
      <c r="H311" s="25">
        <f>IF(F311=0,"",MONTH(F311))</f>
        <v/>
      </c>
      <c r="I311" s="25">
        <f>IFERROR(INDEX(Pedidos!$E$2:$E$1801,MATCH(B311,Pedidos!$A$2:$A$1801,0)),"")</f>
        <v/>
      </c>
      <c r="J311" s="25">
        <f>IFERROR(INDEX(Pedidos!$C$2:$C$1801,MATCH(B311,Pedidos!$A$2:$A$1801,0)),"")</f>
        <v/>
      </c>
      <c r="K311" s="25">
        <f>IFERROR(INDEX(Pedidos!$D$2:$D$1801,MATCH(B311,Pedidos!$A$2:$A$1801,0)),"")</f>
        <v/>
      </c>
      <c r="L311" s="25">
        <f>IFERROR(INDEX(Pedidos!$F$2:$F$1801,MATCH(B311,Pedidos!$A$2:$A$1801,0)),"")</f>
        <v/>
      </c>
      <c r="M311" s="26">
        <f>IFERROR(INDEX(Pedidos!$G$2:$G$1801,MATCH(B311,Pedidos!$A$2:$A$1801,0)),0)</f>
        <v/>
      </c>
      <c r="N311" s="25">
        <f>IFERROR(INDEX(Produtos!$B$2:$B$71,MATCH(C311,Produtos!$A$2:$A$71,0)),"")</f>
        <v/>
      </c>
      <c r="O311" s="25">
        <f>IFERROR(INDEX(Produtos!$C$2:$C$71,MATCH(C311,Produtos!$A$2:$A$71,0)),"")</f>
        <v/>
      </c>
      <c r="P311" s="25">
        <f>IFERROR(INDEX(Produtos!$D$2:$D$71,MATCH(C311,Produtos!$A$2:$A$71,0)),0)</f>
        <v/>
      </c>
      <c r="Q311" s="25">
        <f>IFERROR(INDEX(Produtos!$E$2:$E$71,MATCH(C311,Produtos!$A$2:$A$71,0)),0)</f>
        <v/>
      </c>
      <c r="R311" s="27">
        <f>D311*Q311</f>
        <v/>
      </c>
      <c r="S311" s="27">
        <f>R311*E311</f>
        <v/>
      </c>
      <c r="T311" s="27">
        <f>(R311-S311)*M311</f>
        <v/>
      </c>
      <c r="U311" s="27">
        <f>R311-S311-T311</f>
        <v/>
      </c>
      <c r="V311" s="27">
        <f>D311*P311</f>
        <v/>
      </c>
      <c r="W311" s="27">
        <f>U311-V311</f>
        <v/>
      </c>
      <c r="X311" s="28">
        <f>IFERROR(W311/U311,0)</f>
        <v/>
      </c>
    </row>
    <row r="312">
      <c r="A312" s="21">
        <f>ItensPedido!A312</f>
        <v/>
      </c>
      <c r="B312" s="21">
        <f>ItensPedido!B312</f>
        <v/>
      </c>
      <c r="C312" s="21">
        <f>ItensPedido!C312</f>
        <v/>
      </c>
      <c r="D312" s="21">
        <f>ItensPedido!D312</f>
        <v/>
      </c>
      <c r="E312" s="22">
        <f>ItensPedido!E312</f>
        <v/>
      </c>
      <c r="F312" s="21">
        <f>IFERROR(INDEX(Pedidos!$B$2:$B$1801,MATCH(B312,Pedidos!$A$2:$A$1801,0)),0)</f>
        <v/>
      </c>
      <c r="G312" s="21">
        <f>IF(F312=0,"",YEAR(F312))</f>
        <v/>
      </c>
      <c r="H312" s="21">
        <f>IF(F312=0,"",MONTH(F312))</f>
        <v/>
      </c>
      <c r="I312" s="21">
        <f>IFERROR(INDEX(Pedidos!$E$2:$E$1801,MATCH(B312,Pedidos!$A$2:$A$1801,0)),"")</f>
        <v/>
      </c>
      <c r="J312" s="21">
        <f>IFERROR(INDEX(Pedidos!$C$2:$C$1801,MATCH(B312,Pedidos!$A$2:$A$1801,0)),"")</f>
        <v/>
      </c>
      <c r="K312" s="21">
        <f>IFERROR(INDEX(Pedidos!$D$2:$D$1801,MATCH(B312,Pedidos!$A$2:$A$1801,0)),"")</f>
        <v/>
      </c>
      <c r="L312" s="21">
        <f>IFERROR(INDEX(Pedidos!$F$2:$F$1801,MATCH(B312,Pedidos!$A$2:$A$1801,0)),"")</f>
        <v/>
      </c>
      <c r="M312" s="22">
        <f>IFERROR(INDEX(Pedidos!$G$2:$G$1801,MATCH(B312,Pedidos!$A$2:$A$1801,0)),0)</f>
        <v/>
      </c>
      <c r="N312" s="21">
        <f>IFERROR(INDEX(Produtos!$B$2:$B$71,MATCH(C312,Produtos!$A$2:$A$71,0)),"")</f>
        <v/>
      </c>
      <c r="O312" s="21">
        <f>IFERROR(INDEX(Produtos!$C$2:$C$71,MATCH(C312,Produtos!$A$2:$A$71,0)),"")</f>
        <v/>
      </c>
      <c r="P312" s="21">
        <f>IFERROR(INDEX(Produtos!$D$2:$D$71,MATCH(C312,Produtos!$A$2:$A$71,0)),0)</f>
        <v/>
      </c>
      <c r="Q312" s="21">
        <f>IFERROR(INDEX(Produtos!$E$2:$E$71,MATCH(C312,Produtos!$A$2:$A$71,0)),0)</f>
        <v/>
      </c>
      <c r="R312" s="23">
        <f>D312*Q312</f>
        <v/>
      </c>
      <c r="S312" s="23">
        <f>R312*E312</f>
        <v/>
      </c>
      <c r="T312" s="23">
        <f>(R312-S312)*M312</f>
        <v/>
      </c>
      <c r="U312" s="23">
        <f>R312-S312-T312</f>
        <v/>
      </c>
      <c r="V312" s="23">
        <f>D312*P312</f>
        <v/>
      </c>
      <c r="W312" s="23">
        <f>U312-V312</f>
        <v/>
      </c>
      <c r="X312" s="24">
        <f>IFERROR(W312/U312,0)</f>
        <v/>
      </c>
    </row>
    <row r="313">
      <c r="A313" s="25">
        <f>ItensPedido!A313</f>
        <v/>
      </c>
      <c r="B313" s="25">
        <f>ItensPedido!B313</f>
        <v/>
      </c>
      <c r="C313" s="25">
        <f>ItensPedido!C313</f>
        <v/>
      </c>
      <c r="D313" s="25">
        <f>ItensPedido!D313</f>
        <v/>
      </c>
      <c r="E313" s="26">
        <f>ItensPedido!E313</f>
        <v/>
      </c>
      <c r="F313" s="25">
        <f>IFERROR(INDEX(Pedidos!$B$2:$B$1801,MATCH(B313,Pedidos!$A$2:$A$1801,0)),0)</f>
        <v/>
      </c>
      <c r="G313" s="25">
        <f>IF(F313=0,"",YEAR(F313))</f>
        <v/>
      </c>
      <c r="H313" s="25">
        <f>IF(F313=0,"",MONTH(F313))</f>
        <v/>
      </c>
      <c r="I313" s="25">
        <f>IFERROR(INDEX(Pedidos!$E$2:$E$1801,MATCH(B313,Pedidos!$A$2:$A$1801,0)),"")</f>
        <v/>
      </c>
      <c r="J313" s="25">
        <f>IFERROR(INDEX(Pedidos!$C$2:$C$1801,MATCH(B313,Pedidos!$A$2:$A$1801,0)),"")</f>
        <v/>
      </c>
      <c r="K313" s="25">
        <f>IFERROR(INDEX(Pedidos!$D$2:$D$1801,MATCH(B313,Pedidos!$A$2:$A$1801,0)),"")</f>
        <v/>
      </c>
      <c r="L313" s="25">
        <f>IFERROR(INDEX(Pedidos!$F$2:$F$1801,MATCH(B313,Pedidos!$A$2:$A$1801,0)),"")</f>
        <v/>
      </c>
      <c r="M313" s="26">
        <f>IFERROR(INDEX(Pedidos!$G$2:$G$1801,MATCH(B313,Pedidos!$A$2:$A$1801,0)),0)</f>
        <v/>
      </c>
      <c r="N313" s="25">
        <f>IFERROR(INDEX(Produtos!$B$2:$B$71,MATCH(C313,Produtos!$A$2:$A$71,0)),"")</f>
        <v/>
      </c>
      <c r="O313" s="25">
        <f>IFERROR(INDEX(Produtos!$C$2:$C$71,MATCH(C313,Produtos!$A$2:$A$71,0)),"")</f>
        <v/>
      </c>
      <c r="P313" s="25">
        <f>IFERROR(INDEX(Produtos!$D$2:$D$71,MATCH(C313,Produtos!$A$2:$A$71,0)),0)</f>
        <v/>
      </c>
      <c r="Q313" s="25">
        <f>IFERROR(INDEX(Produtos!$E$2:$E$71,MATCH(C313,Produtos!$A$2:$A$71,0)),0)</f>
        <v/>
      </c>
      <c r="R313" s="27">
        <f>D313*Q313</f>
        <v/>
      </c>
      <c r="S313" s="27">
        <f>R313*E313</f>
        <v/>
      </c>
      <c r="T313" s="27">
        <f>(R313-S313)*M313</f>
        <v/>
      </c>
      <c r="U313" s="27">
        <f>R313-S313-T313</f>
        <v/>
      </c>
      <c r="V313" s="27">
        <f>D313*P313</f>
        <v/>
      </c>
      <c r="W313" s="27">
        <f>U313-V313</f>
        <v/>
      </c>
      <c r="X313" s="28">
        <f>IFERROR(W313/U313,0)</f>
        <v/>
      </c>
    </row>
    <row r="314">
      <c r="A314" s="21">
        <f>ItensPedido!A314</f>
        <v/>
      </c>
      <c r="B314" s="21">
        <f>ItensPedido!B314</f>
        <v/>
      </c>
      <c r="C314" s="21">
        <f>ItensPedido!C314</f>
        <v/>
      </c>
      <c r="D314" s="21">
        <f>ItensPedido!D314</f>
        <v/>
      </c>
      <c r="E314" s="22">
        <f>ItensPedido!E314</f>
        <v/>
      </c>
      <c r="F314" s="21">
        <f>IFERROR(INDEX(Pedidos!$B$2:$B$1801,MATCH(B314,Pedidos!$A$2:$A$1801,0)),0)</f>
        <v/>
      </c>
      <c r="G314" s="21">
        <f>IF(F314=0,"",YEAR(F314))</f>
        <v/>
      </c>
      <c r="H314" s="21">
        <f>IF(F314=0,"",MONTH(F314))</f>
        <v/>
      </c>
      <c r="I314" s="21">
        <f>IFERROR(INDEX(Pedidos!$E$2:$E$1801,MATCH(B314,Pedidos!$A$2:$A$1801,0)),"")</f>
        <v/>
      </c>
      <c r="J314" s="21">
        <f>IFERROR(INDEX(Pedidos!$C$2:$C$1801,MATCH(B314,Pedidos!$A$2:$A$1801,0)),"")</f>
        <v/>
      </c>
      <c r="K314" s="21">
        <f>IFERROR(INDEX(Pedidos!$D$2:$D$1801,MATCH(B314,Pedidos!$A$2:$A$1801,0)),"")</f>
        <v/>
      </c>
      <c r="L314" s="21">
        <f>IFERROR(INDEX(Pedidos!$F$2:$F$1801,MATCH(B314,Pedidos!$A$2:$A$1801,0)),"")</f>
        <v/>
      </c>
      <c r="M314" s="22">
        <f>IFERROR(INDEX(Pedidos!$G$2:$G$1801,MATCH(B314,Pedidos!$A$2:$A$1801,0)),0)</f>
        <v/>
      </c>
      <c r="N314" s="21">
        <f>IFERROR(INDEX(Produtos!$B$2:$B$71,MATCH(C314,Produtos!$A$2:$A$71,0)),"")</f>
        <v/>
      </c>
      <c r="O314" s="21">
        <f>IFERROR(INDEX(Produtos!$C$2:$C$71,MATCH(C314,Produtos!$A$2:$A$71,0)),"")</f>
        <v/>
      </c>
      <c r="P314" s="21">
        <f>IFERROR(INDEX(Produtos!$D$2:$D$71,MATCH(C314,Produtos!$A$2:$A$71,0)),0)</f>
        <v/>
      </c>
      <c r="Q314" s="21">
        <f>IFERROR(INDEX(Produtos!$E$2:$E$71,MATCH(C314,Produtos!$A$2:$A$71,0)),0)</f>
        <v/>
      </c>
      <c r="R314" s="23">
        <f>D314*Q314</f>
        <v/>
      </c>
      <c r="S314" s="23">
        <f>R314*E314</f>
        <v/>
      </c>
      <c r="T314" s="23">
        <f>(R314-S314)*M314</f>
        <v/>
      </c>
      <c r="U314" s="23">
        <f>R314-S314-T314</f>
        <v/>
      </c>
      <c r="V314" s="23">
        <f>D314*P314</f>
        <v/>
      </c>
      <c r="W314" s="23">
        <f>U314-V314</f>
        <v/>
      </c>
      <c r="X314" s="24">
        <f>IFERROR(W314/U314,0)</f>
        <v/>
      </c>
    </row>
    <row r="315">
      <c r="A315" s="25">
        <f>ItensPedido!A315</f>
        <v/>
      </c>
      <c r="B315" s="25">
        <f>ItensPedido!B315</f>
        <v/>
      </c>
      <c r="C315" s="25">
        <f>ItensPedido!C315</f>
        <v/>
      </c>
      <c r="D315" s="25">
        <f>ItensPedido!D315</f>
        <v/>
      </c>
      <c r="E315" s="26">
        <f>ItensPedido!E315</f>
        <v/>
      </c>
      <c r="F315" s="25">
        <f>IFERROR(INDEX(Pedidos!$B$2:$B$1801,MATCH(B315,Pedidos!$A$2:$A$1801,0)),0)</f>
        <v/>
      </c>
      <c r="G315" s="25">
        <f>IF(F315=0,"",YEAR(F315))</f>
        <v/>
      </c>
      <c r="H315" s="25">
        <f>IF(F315=0,"",MONTH(F315))</f>
        <v/>
      </c>
      <c r="I315" s="25">
        <f>IFERROR(INDEX(Pedidos!$E$2:$E$1801,MATCH(B315,Pedidos!$A$2:$A$1801,0)),"")</f>
        <v/>
      </c>
      <c r="J315" s="25">
        <f>IFERROR(INDEX(Pedidos!$C$2:$C$1801,MATCH(B315,Pedidos!$A$2:$A$1801,0)),"")</f>
        <v/>
      </c>
      <c r="K315" s="25">
        <f>IFERROR(INDEX(Pedidos!$D$2:$D$1801,MATCH(B315,Pedidos!$A$2:$A$1801,0)),"")</f>
        <v/>
      </c>
      <c r="L315" s="25">
        <f>IFERROR(INDEX(Pedidos!$F$2:$F$1801,MATCH(B315,Pedidos!$A$2:$A$1801,0)),"")</f>
        <v/>
      </c>
      <c r="M315" s="26">
        <f>IFERROR(INDEX(Pedidos!$G$2:$G$1801,MATCH(B315,Pedidos!$A$2:$A$1801,0)),0)</f>
        <v/>
      </c>
      <c r="N315" s="25">
        <f>IFERROR(INDEX(Produtos!$B$2:$B$71,MATCH(C315,Produtos!$A$2:$A$71,0)),"")</f>
        <v/>
      </c>
      <c r="O315" s="25">
        <f>IFERROR(INDEX(Produtos!$C$2:$C$71,MATCH(C315,Produtos!$A$2:$A$71,0)),"")</f>
        <v/>
      </c>
      <c r="P315" s="25">
        <f>IFERROR(INDEX(Produtos!$D$2:$D$71,MATCH(C315,Produtos!$A$2:$A$71,0)),0)</f>
        <v/>
      </c>
      <c r="Q315" s="25">
        <f>IFERROR(INDEX(Produtos!$E$2:$E$71,MATCH(C315,Produtos!$A$2:$A$71,0)),0)</f>
        <v/>
      </c>
      <c r="R315" s="27">
        <f>D315*Q315</f>
        <v/>
      </c>
      <c r="S315" s="27">
        <f>R315*E315</f>
        <v/>
      </c>
      <c r="T315" s="27">
        <f>(R315-S315)*M315</f>
        <v/>
      </c>
      <c r="U315" s="27">
        <f>R315-S315-T315</f>
        <v/>
      </c>
      <c r="V315" s="27">
        <f>D315*P315</f>
        <v/>
      </c>
      <c r="W315" s="27">
        <f>U315-V315</f>
        <v/>
      </c>
      <c r="X315" s="28">
        <f>IFERROR(W315/U315,0)</f>
        <v/>
      </c>
    </row>
    <row r="316">
      <c r="A316" s="21">
        <f>ItensPedido!A316</f>
        <v/>
      </c>
      <c r="B316" s="21">
        <f>ItensPedido!B316</f>
        <v/>
      </c>
      <c r="C316" s="21">
        <f>ItensPedido!C316</f>
        <v/>
      </c>
      <c r="D316" s="21">
        <f>ItensPedido!D316</f>
        <v/>
      </c>
      <c r="E316" s="22">
        <f>ItensPedido!E316</f>
        <v/>
      </c>
      <c r="F316" s="21">
        <f>IFERROR(INDEX(Pedidos!$B$2:$B$1801,MATCH(B316,Pedidos!$A$2:$A$1801,0)),0)</f>
        <v/>
      </c>
      <c r="G316" s="21">
        <f>IF(F316=0,"",YEAR(F316))</f>
        <v/>
      </c>
      <c r="H316" s="21">
        <f>IF(F316=0,"",MONTH(F316))</f>
        <v/>
      </c>
      <c r="I316" s="21">
        <f>IFERROR(INDEX(Pedidos!$E$2:$E$1801,MATCH(B316,Pedidos!$A$2:$A$1801,0)),"")</f>
        <v/>
      </c>
      <c r="J316" s="21">
        <f>IFERROR(INDEX(Pedidos!$C$2:$C$1801,MATCH(B316,Pedidos!$A$2:$A$1801,0)),"")</f>
        <v/>
      </c>
      <c r="K316" s="21">
        <f>IFERROR(INDEX(Pedidos!$D$2:$D$1801,MATCH(B316,Pedidos!$A$2:$A$1801,0)),"")</f>
        <v/>
      </c>
      <c r="L316" s="21">
        <f>IFERROR(INDEX(Pedidos!$F$2:$F$1801,MATCH(B316,Pedidos!$A$2:$A$1801,0)),"")</f>
        <v/>
      </c>
      <c r="M316" s="22">
        <f>IFERROR(INDEX(Pedidos!$G$2:$G$1801,MATCH(B316,Pedidos!$A$2:$A$1801,0)),0)</f>
        <v/>
      </c>
      <c r="N316" s="21">
        <f>IFERROR(INDEX(Produtos!$B$2:$B$71,MATCH(C316,Produtos!$A$2:$A$71,0)),"")</f>
        <v/>
      </c>
      <c r="O316" s="21">
        <f>IFERROR(INDEX(Produtos!$C$2:$C$71,MATCH(C316,Produtos!$A$2:$A$71,0)),"")</f>
        <v/>
      </c>
      <c r="P316" s="21">
        <f>IFERROR(INDEX(Produtos!$D$2:$D$71,MATCH(C316,Produtos!$A$2:$A$71,0)),0)</f>
        <v/>
      </c>
      <c r="Q316" s="21">
        <f>IFERROR(INDEX(Produtos!$E$2:$E$71,MATCH(C316,Produtos!$A$2:$A$71,0)),0)</f>
        <v/>
      </c>
      <c r="R316" s="23">
        <f>D316*Q316</f>
        <v/>
      </c>
      <c r="S316" s="23">
        <f>R316*E316</f>
        <v/>
      </c>
      <c r="T316" s="23">
        <f>(R316-S316)*M316</f>
        <v/>
      </c>
      <c r="U316" s="23">
        <f>R316-S316-T316</f>
        <v/>
      </c>
      <c r="V316" s="23">
        <f>D316*P316</f>
        <v/>
      </c>
      <c r="W316" s="23">
        <f>U316-V316</f>
        <v/>
      </c>
      <c r="X316" s="24">
        <f>IFERROR(W316/U316,0)</f>
        <v/>
      </c>
    </row>
    <row r="317">
      <c r="A317" s="25">
        <f>ItensPedido!A317</f>
        <v/>
      </c>
      <c r="B317" s="25">
        <f>ItensPedido!B317</f>
        <v/>
      </c>
      <c r="C317" s="25">
        <f>ItensPedido!C317</f>
        <v/>
      </c>
      <c r="D317" s="25">
        <f>ItensPedido!D317</f>
        <v/>
      </c>
      <c r="E317" s="26">
        <f>ItensPedido!E317</f>
        <v/>
      </c>
      <c r="F317" s="25">
        <f>IFERROR(INDEX(Pedidos!$B$2:$B$1801,MATCH(B317,Pedidos!$A$2:$A$1801,0)),0)</f>
        <v/>
      </c>
      <c r="G317" s="25">
        <f>IF(F317=0,"",YEAR(F317))</f>
        <v/>
      </c>
      <c r="H317" s="25">
        <f>IF(F317=0,"",MONTH(F317))</f>
        <v/>
      </c>
      <c r="I317" s="25">
        <f>IFERROR(INDEX(Pedidos!$E$2:$E$1801,MATCH(B317,Pedidos!$A$2:$A$1801,0)),"")</f>
        <v/>
      </c>
      <c r="J317" s="25">
        <f>IFERROR(INDEX(Pedidos!$C$2:$C$1801,MATCH(B317,Pedidos!$A$2:$A$1801,0)),"")</f>
        <v/>
      </c>
      <c r="K317" s="25">
        <f>IFERROR(INDEX(Pedidos!$D$2:$D$1801,MATCH(B317,Pedidos!$A$2:$A$1801,0)),"")</f>
        <v/>
      </c>
      <c r="L317" s="25">
        <f>IFERROR(INDEX(Pedidos!$F$2:$F$1801,MATCH(B317,Pedidos!$A$2:$A$1801,0)),"")</f>
        <v/>
      </c>
      <c r="M317" s="26">
        <f>IFERROR(INDEX(Pedidos!$G$2:$G$1801,MATCH(B317,Pedidos!$A$2:$A$1801,0)),0)</f>
        <v/>
      </c>
      <c r="N317" s="25">
        <f>IFERROR(INDEX(Produtos!$B$2:$B$71,MATCH(C317,Produtos!$A$2:$A$71,0)),"")</f>
        <v/>
      </c>
      <c r="O317" s="25">
        <f>IFERROR(INDEX(Produtos!$C$2:$C$71,MATCH(C317,Produtos!$A$2:$A$71,0)),"")</f>
        <v/>
      </c>
      <c r="P317" s="25">
        <f>IFERROR(INDEX(Produtos!$D$2:$D$71,MATCH(C317,Produtos!$A$2:$A$71,0)),0)</f>
        <v/>
      </c>
      <c r="Q317" s="25">
        <f>IFERROR(INDEX(Produtos!$E$2:$E$71,MATCH(C317,Produtos!$A$2:$A$71,0)),0)</f>
        <v/>
      </c>
      <c r="R317" s="27">
        <f>D317*Q317</f>
        <v/>
      </c>
      <c r="S317" s="27">
        <f>R317*E317</f>
        <v/>
      </c>
      <c r="T317" s="27">
        <f>(R317-S317)*M317</f>
        <v/>
      </c>
      <c r="U317" s="27">
        <f>R317-S317-T317</f>
        <v/>
      </c>
      <c r="V317" s="27">
        <f>D317*P317</f>
        <v/>
      </c>
      <c r="W317" s="27">
        <f>U317-V317</f>
        <v/>
      </c>
      <c r="X317" s="28">
        <f>IFERROR(W317/U317,0)</f>
        <v/>
      </c>
    </row>
    <row r="318">
      <c r="A318" s="21">
        <f>ItensPedido!A318</f>
        <v/>
      </c>
      <c r="B318" s="21">
        <f>ItensPedido!B318</f>
        <v/>
      </c>
      <c r="C318" s="21">
        <f>ItensPedido!C318</f>
        <v/>
      </c>
      <c r="D318" s="21">
        <f>ItensPedido!D318</f>
        <v/>
      </c>
      <c r="E318" s="22">
        <f>ItensPedido!E318</f>
        <v/>
      </c>
      <c r="F318" s="21">
        <f>IFERROR(INDEX(Pedidos!$B$2:$B$1801,MATCH(B318,Pedidos!$A$2:$A$1801,0)),0)</f>
        <v/>
      </c>
      <c r="G318" s="21">
        <f>IF(F318=0,"",YEAR(F318))</f>
        <v/>
      </c>
      <c r="H318" s="21">
        <f>IF(F318=0,"",MONTH(F318))</f>
        <v/>
      </c>
      <c r="I318" s="21">
        <f>IFERROR(INDEX(Pedidos!$E$2:$E$1801,MATCH(B318,Pedidos!$A$2:$A$1801,0)),"")</f>
        <v/>
      </c>
      <c r="J318" s="21">
        <f>IFERROR(INDEX(Pedidos!$C$2:$C$1801,MATCH(B318,Pedidos!$A$2:$A$1801,0)),"")</f>
        <v/>
      </c>
      <c r="K318" s="21">
        <f>IFERROR(INDEX(Pedidos!$D$2:$D$1801,MATCH(B318,Pedidos!$A$2:$A$1801,0)),"")</f>
        <v/>
      </c>
      <c r="L318" s="21">
        <f>IFERROR(INDEX(Pedidos!$F$2:$F$1801,MATCH(B318,Pedidos!$A$2:$A$1801,0)),"")</f>
        <v/>
      </c>
      <c r="M318" s="22">
        <f>IFERROR(INDEX(Pedidos!$G$2:$G$1801,MATCH(B318,Pedidos!$A$2:$A$1801,0)),0)</f>
        <v/>
      </c>
      <c r="N318" s="21">
        <f>IFERROR(INDEX(Produtos!$B$2:$B$71,MATCH(C318,Produtos!$A$2:$A$71,0)),"")</f>
        <v/>
      </c>
      <c r="O318" s="21">
        <f>IFERROR(INDEX(Produtos!$C$2:$C$71,MATCH(C318,Produtos!$A$2:$A$71,0)),"")</f>
        <v/>
      </c>
      <c r="P318" s="21">
        <f>IFERROR(INDEX(Produtos!$D$2:$D$71,MATCH(C318,Produtos!$A$2:$A$71,0)),0)</f>
        <v/>
      </c>
      <c r="Q318" s="21">
        <f>IFERROR(INDEX(Produtos!$E$2:$E$71,MATCH(C318,Produtos!$A$2:$A$71,0)),0)</f>
        <v/>
      </c>
      <c r="R318" s="23">
        <f>D318*Q318</f>
        <v/>
      </c>
      <c r="S318" s="23">
        <f>R318*E318</f>
        <v/>
      </c>
      <c r="T318" s="23">
        <f>(R318-S318)*M318</f>
        <v/>
      </c>
      <c r="U318" s="23">
        <f>R318-S318-T318</f>
        <v/>
      </c>
      <c r="V318" s="23">
        <f>D318*P318</f>
        <v/>
      </c>
      <c r="W318" s="23">
        <f>U318-V318</f>
        <v/>
      </c>
      <c r="X318" s="24">
        <f>IFERROR(W318/U318,0)</f>
        <v/>
      </c>
    </row>
    <row r="319">
      <c r="A319" s="25">
        <f>ItensPedido!A319</f>
        <v/>
      </c>
      <c r="B319" s="25">
        <f>ItensPedido!B319</f>
        <v/>
      </c>
      <c r="C319" s="25">
        <f>ItensPedido!C319</f>
        <v/>
      </c>
      <c r="D319" s="25">
        <f>ItensPedido!D319</f>
        <v/>
      </c>
      <c r="E319" s="26">
        <f>ItensPedido!E319</f>
        <v/>
      </c>
      <c r="F319" s="25">
        <f>IFERROR(INDEX(Pedidos!$B$2:$B$1801,MATCH(B319,Pedidos!$A$2:$A$1801,0)),0)</f>
        <v/>
      </c>
      <c r="G319" s="25">
        <f>IF(F319=0,"",YEAR(F319))</f>
        <v/>
      </c>
      <c r="H319" s="25">
        <f>IF(F319=0,"",MONTH(F319))</f>
        <v/>
      </c>
      <c r="I319" s="25">
        <f>IFERROR(INDEX(Pedidos!$E$2:$E$1801,MATCH(B319,Pedidos!$A$2:$A$1801,0)),"")</f>
        <v/>
      </c>
      <c r="J319" s="25">
        <f>IFERROR(INDEX(Pedidos!$C$2:$C$1801,MATCH(B319,Pedidos!$A$2:$A$1801,0)),"")</f>
        <v/>
      </c>
      <c r="K319" s="25">
        <f>IFERROR(INDEX(Pedidos!$D$2:$D$1801,MATCH(B319,Pedidos!$A$2:$A$1801,0)),"")</f>
        <v/>
      </c>
      <c r="L319" s="25">
        <f>IFERROR(INDEX(Pedidos!$F$2:$F$1801,MATCH(B319,Pedidos!$A$2:$A$1801,0)),"")</f>
        <v/>
      </c>
      <c r="M319" s="26">
        <f>IFERROR(INDEX(Pedidos!$G$2:$G$1801,MATCH(B319,Pedidos!$A$2:$A$1801,0)),0)</f>
        <v/>
      </c>
      <c r="N319" s="25">
        <f>IFERROR(INDEX(Produtos!$B$2:$B$71,MATCH(C319,Produtos!$A$2:$A$71,0)),"")</f>
        <v/>
      </c>
      <c r="O319" s="25">
        <f>IFERROR(INDEX(Produtos!$C$2:$C$71,MATCH(C319,Produtos!$A$2:$A$71,0)),"")</f>
        <v/>
      </c>
      <c r="P319" s="25">
        <f>IFERROR(INDEX(Produtos!$D$2:$D$71,MATCH(C319,Produtos!$A$2:$A$71,0)),0)</f>
        <v/>
      </c>
      <c r="Q319" s="25">
        <f>IFERROR(INDEX(Produtos!$E$2:$E$71,MATCH(C319,Produtos!$A$2:$A$71,0)),0)</f>
        <v/>
      </c>
      <c r="R319" s="27">
        <f>D319*Q319</f>
        <v/>
      </c>
      <c r="S319" s="27">
        <f>R319*E319</f>
        <v/>
      </c>
      <c r="T319" s="27">
        <f>(R319-S319)*M319</f>
        <v/>
      </c>
      <c r="U319" s="27">
        <f>R319-S319-T319</f>
        <v/>
      </c>
      <c r="V319" s="27">
        <f>D319*P319</f>
        <v/>
      </c>
      <c r="W319" s="27">
        <f>U319-V319</f>
        <v/>
      </c>
      <c r="X319" s="28">
        <f>IFERROR(W319/U319,0)</f>
        <v/>
      </c>
    </row>
    <row r="320">
      <c r="A320" s="21">
        <f>ItensPedido!A320</f>
        <v/>
      </c>
      <c r="B320" s="21">
        <f>ItensPedido!B320</f>
        <v/>
      </c>
      <c r="C320" s="21">
        <f>ItensPedido!C320</f>
        <v/>
      </c>
      <c r="D320" s="21">
        <f>ItensPedido!D320</f>
        <v/>
      </c>
      <c r="E320" s="22">
        <f>ItensPedido!E320</f>
        <v/>
      </c>
      <c r="F320" s="21">
        <f>IFERROR(INDEX(Pedidos!$B$2:$B$1801,MATCH(B320,Pedidos!$A$2:$A$1801,0)),0)</f>
        <v/>
      </c>
      <c r="G320" s="21">
        <f>IF(F320=0,"",YEAR(F320))</f>
        <v/>
      </c>
      <c r="H320" s="21">
        <f>IF(F320=0,"",MONTH(F320))</f>
        <v/>
      </c>
      <c r="I320" s="21">
        <f>IFERROR(INDEX(Pedidos!$E$2:$E$1801,MATCH(B320,Pedidos!$A$2:$A$1801,0)),"")</f>
        <v/>
      </c>
      <c r="J320" s="21">
        <f>IFERROR(INDEX(Pedidos!$C$2:$C$1801,MATCH(B320,Pedidos!$A$2:$A$1801,0)),"")</f>
        <v/>
      </c>
      <c r="K320" s="21">
        <f>IFERROR(INDEX(Pedidos!$D$2:$D$1801,MATCH(B320,Pedidos!$A$2:$A$1801,0)),"")</f>
        <v/>
      </c>
      <c r="L320" s="21">
        <f>IFERROR(INDEX(Pedidos!$F$2:$F$1801,MATCH(B320,Pedidos!$A$2:$A$1801,0)),"")</f>
        <v/>
      </c>
      <c r="M320" s="22">
        <f>IFERROR(INDEX(Pedidos!$G$2:$G$1801,MATCH(B320,Pedidos!$A$2:$A$1801,0)),0)</f>
        <v/>
      </c>
      <c r="N320" s="21">
        <f>IFERROR(INDEX(Produtos!$B$2:$B$71,MATCH(C320,Produtos!$A$2:$A$71,0)),"")</f>
        <v/>
      </c>
      <c r="O320" s="21">
        <f>IFERROR(INDEX(Produtos!$C$2:$C$71,MATCH(C320,Produtos!$A$2:$A$71,0)),"")</f>
        <v/>
      </c>
      <c r="P320" s="21">
        <f>IFERROR(INDEX(Produtos!$D$2:$D$71,MATCH(C320,Produtos!$A$2:$A$71,0)),0)</f>
        <v/>
      </c>
      <c r="Q320" s="21">
        <f>IFERROR(INDEX(Produtos!$E$2:$E$71,MATCH(C320,Produtos!$A$2:$A$71,0)),0)</f>
        <v/>
      </c>
      <c r="R320" s="23">
        <f>D320*Q320</f>
        <v/>
      </c>
      <c r="S320" s="23">
        <f>R320*E320</f>
        <v/>
      </c>
      <c r="T320" s="23">
        <f>(R320-S320)*M320</f>
        <v/>
      </c>
      <c r="U320" s="23">
        <f>R320-S320-T320</f>
        <v/>
      </c>
      <c r="V320" s="23">
        <f>D320*P320</f>
        <v/>
      </c>
      <c r="W320" s="23">
        <f>U320-V320</f>
        <v/>
      </c>
      <c r="X320" s="24">
        <f>IFERROR(W320/U320,0)</f>
        <v/>
      </c>
    </row>
    <row r="321">
      <c r="A321" s="25">
        <f>ItensPedido!A321</f>
        <v/>
      </c>
      <c r="B321" s="25">
        <f>ItensPedido!B321</f>
        <v/>
      </c>
      <c r="C321" s="25">
        <f>ItensPedido!C321</f>
        <v/>
      </c>
      <c r="D321" s="25">
        <f>ItensPedido!D321</f>
        <v/>
      </c>
      <c r="E321" s="26">
        <f>ItensPedido!E321</f>
        <v/>
      </c>
      <c r="F321" s="25">
        <f>IFERROR(INDEX(Pedidos!$B$2:$B$1801,MATCH(B321,Pedidos!$A$2:$A$1801,0)),0)</f>
        <v/>
      </c>
      <c r="G321" s="25">
        <f>IF(F321=0,"",YEAR(F321))</f>
        <v/>
      </c>
      <c r="H321" s="25">
        <f>IF(F321=0,"",MONTH(F321))</f>
        <v/>
      </c>
      <c r="I321" s="25">
        <f>IFERROR(INDEX(Pedidos!$E$2:$E$1801,MATCH(B321,Pedidos!$A$2:$A$1801,0)),"")</f>
        <v/>
      </c>
      <c r="J321" s="25">
        <f>IFERROR(INDEX(Pedidos!$C$2:$C$1801,MATCH(B321,Pedidos!$A$2:$A$1801,0)),"")</f>
        <v/>
      </c>
      <c r="K321" s="25">
        <f>IFERROR(INDEX(Pedidos!$D$2:$D$1801,MATCH(B321,Pedidos!$A$2:$A$1801,0)),"")</f>
        <v/>
      </c>
      <c r="L321" s="25">
        <f>IFERROR(INDEX(Pedidos!$F$2:$F$1801,MATCH(B321,Pedidos!$A$2:$A$1801,0)),"")</f>
        <v/>
      </c>
      <c r="M321" s="26">
        <f>IFERROR(INDEX(Pedidos!$G$2:$G$1801,MATCH(B321,Pedidos!$A$2:$A$1801,0)),0)</f>
        <v/>
      </c>
      <c r="N321" s="25">
        <f>IFERROR(INDEX(Produtos!$B$2:$B$71,MATCH(C321,Produtos!$A$2:$A$71,0)),"")</f>
        <v/>
      </c>
      <c r="O321" s="25">
        <f>IFERROR(INDEX(Produtos!$C$2:$C$71,MATCH(C321,Produtos!$A$2:$A$71,0)),"")</f>
        <v/>
      </c>
      <c r="P321" s="25">
        <f>IFERROR(INDEX(Produtos!$D$2:$D$71,MATCH(C321,Produtos!$A$2:$A$71,0)),0)</f>
        <v/>
      </c>
      <c r="Q321" s="25">
        <f>IFERROR(INDEX(Produtos!$E$2:$E$71,MATCH(C321,Produtos!$A$2:$A$71,0)),0)</f>
        <v/>
      </c>
      <c r="R321" s="27">
        <f>D321*Q321</f>
        <v/>
      </c>
      <c r="S321" s="27">
        <f>R321*E321</f>
        <v/>
      </c>
      <c r="T321" s="27">
        <f>(R321-S321)*M321</f>
        <v/>
      </c>
      <c r="U321" s="27">
        <f>R321-S321-T321</f>
        <v/>
      </c>
      <c r="V321" s="27">
        <f>D321*P321</f>
        <v/>
      </c>
      <c r="W321" s="27">
        <f>U321-V321</f>
        <v/>
      </c>
      <c r="X321" s="28">
        <f>IFERROR(W321/U321,0)</f>
        <v/>
      </c>
    </row>
    <row r="322">
      <c r="A322" s="21">
        <f>ItensPedido!A322</f>
        <v/>
      </c>
      <c r="B322" s="21">
        <f>ItensPedido!B322</f>
        <v/>
      </c>
      <c r="C322" s="21">
        <f>ItensPedido!C322</f>
        <v/>
      </c>
      <c r="D322" s="21">
        <f>ItensPedido!D322</f>
        <v/>
      </c>
      <c r="E322" s="22">
        <f>ItensPedido!E322</f>
        <v/>
      </c>
      <c r="F322" s="21">
        <f>IFERROR(INDEX(Pedidos!$B$2:$B$1801,MATCH(B322,Pedidos!$A$2:$A$1801,0)),0)</f>
        <v/>
      </c>
      <c r="G322" s="21">
        <f>IF(F322=0,"",YEAR(F322))</f>
        <v/>
      </c>
      <c r="H322" s="21">
        <f>IF(F322=0,"",MONTH(F322))</f>
        <v/>
      </c>
      <c r="I322" s="21">
        <f>IFERROR(INDEX(Pedidos!$E$2:$E$1801,MATCH(B322,Pedidos!$A$2:$A$1801,0)),"")</f>
        <v/>
      </c>
      <c r="J322" s="21">
        <f>IFERROR(INDEX(Pedidos!$C$2:$C$1801,MATCH(B322,Pedidos!$A$2:$A$1801,0)),"")</f>
        <v/>
      </c>
      <c r="K322" s="21">
        <f>IFERROR(INDEX(Pedidos!$D$2:$D$1801,MATCH(B322,Pedidos!$A$2:$A$1801,0)),"")</f>
        <v/>
      </c>
      <c r="L322" s="21">
        <f>IFERROR(INDEX(Pedidos!$F$2:$F$1801,MATCH(B322,Pedidos!$A$2:$A$1801,0)),"")</f>
        <v/>
      </c>
      <c r="M322" s="22">
        <f>IFERROR(INDEX(Pedidos!$G$2:$G$1801,MATCH(B322,Pedidos!$A$2:$A$1801,0)),0)</f>
        <v/>
      </c>
      <c r="N322" s="21">
        <f>IFERROR(INDEX(Produtos!$B$2:$B$71,MATCH(C322,Produtos!$A$2:$A$71,0)),"")</f>
        <v/>
      </c>
      <c r="O322" s="21">
        <f>IFERROR(INDEX(Produtos!$C$2:$C$71,MATCH(C322,Produtos!$A$2:$A$71,0)),"")</f>
        <v/>
      </c>
      <c r="P322" s="21">
        <f>IFERROR(INDEX(Produtos!$D$2:$D$71,MATCH(C322,Produtos!$A$2:$A$71,0)),0)</f>
        <v/>
      </c>
      <c r="Q322" s="21">
        <f>IFERROR(INDEX(Produtos!$E$2:$E$71,MATCH(C322,Produtos!$A$2:$A$71,0)),0)</f>
        <v/>
      </c>
      <c r="R322" s="23">
        <f>D322*Q322</f>
        <v/>
      </c>
      <c r="S322" s="23">
        <f>R322*E322</f>
        <v/>
      </c>
      <c r="T322" s="23">
        <f>(R322-S322)*M322</f>
        <v/>
      </c>
      <c r="U322" s="23">
        <f>R322-S322-T322</f>
        <v/>
      </c>
      <c r="V322" s="23">
        <f>D322*P322</f>
        <v/>
      </c>
      <c r="W322" s="23">
        <f>U322-V322</f>
        <v/>
      </c>
      <c r="X322" s="24">
        <f>IFERROR(W322/U322,0)</f>
        <v/>
      </c>
    </row>
    <row r="323">
      <c r="A323" s="25">
        <f>ItensPedido!A323</f>
        <v/>
      </c>
      <c r="B323" s="25">
        <f>ItensPedido!B323</f>
        <v/>
      </c>
      <c r="C323" s="25">
        <f>ItensPedido!C323</f>
        <v/>
      </c>
      <c r="D323" s="25">
        <f>ItensPedido!D323</f>
        <v/>
      </c>
      <c r="E323" s="26">
        <f>ItensPedido!E323</f>
        <v/>
      </c>
      <c r="F323" s="25">
        <f>IFERROR(INDEX(Pedidos!$B$2:$B$1801,MATCH(B323,Pedidos!$A$2:$A$1801,0)),0)</f>
        <v/>
      </c>
      <c r="G323" s="25">
        <f>IF(F323=0,"",YEAR(F323))</f>
        <v/>
      </c>
      <c r="H323" s="25">
        <f>IF(F323=0,"",MONTH(F323))</f>
        <v/>
      </c>
      <c r="I323" s="25">
        <f>IFERROR(INDEX(Pedidos!$E$2:$E$1801,MATCH(B323,Pedidos!$A$2:$A$1801,0)),"")</f>
        <v/>
      </c>
      <c r="J323" s="25">
        <f>IFERROR(INDEX(Pedidos!$C$2:$C$1801,MATCH(B323,Pedidos!$A$2:$A$1801,0)),"")</f>
        <v/>
      </c>
      <c r="K323" s="25">
        <f>IFERROR(INDEX(Pedidos!$D$2:$D$1801,MATCH(B323,Pedidos!$A$2:$A$1801,0)),"")</f>
        <v/>
      </c>
      <c r="L323" s="25">
        <f>IFERROR(INDEX(Pedidos!$F$2:$F$1801,MATCH(B323,Pedidos!$A$2:$A$1801,0)),"")</f>
        <v/>
      </c>
      <c r="M323" s="26">
        <f>IFERROR(INDEX(Pedidos!$G$2:$G$1801,MATCH(B323,Pedidos!$A$2:$A$1801,0)),0)</f>
        <v/>
      </c>
      <c r="N323" s="25">
        <f>IFERROR(INDEX(Produtos!$B$2:$B$71,MATCH(C323,Produtos!$A$2:$A$71,0)),"")</f>
        <v/>
      </c>
      <c r="O323" s="25">
        <f>IFERROR(INDEX(Produtos!$C$2:$C$71,MATCH(C323,Produtos!$A$2:$A$71,0)),"")</f>
        <v/>
      </c>
      <c r="P323" s="25">
        <f>IFERROR(INDEX(Produtos!$D$2:$D$71,MATCH(C323,Produtos!$A$2:$A$71,0)),0)</f>
        <v/>
      </c>
      <c r="Q323" s="25">
        <f>IFERROR(INDEX(Produtos!$E$2:$E$71,MATCH(C323,Produtos!$A$2:$A$71,0)),0)</f>
        <v/>
      </c>
      <c r="R323" s="27">
        <f>D323*Q323</f>
        <v/>
      </c>
      <c r="S323" s="27">
        <f>R323*E323</f>
        <v/>
      </c>
      <c r="T323" s="27">
        <f>(R323-S323)*M323</f>
        <v/>
      </c>
      <c r="U323" s="27">
        <f>R323-S323-T323</f>
        <v/>
      </c>
      <c r="V323" s="27">
        <f>D323*P323</f>
        <v/>
      </c>
      <c r="W323" s="27">
        <f>U323-V323</f>
        <v/>
      </c>
      <c r="X323" s="28">
        <f>IFERROR(W323/U323,0)</f>
        <v/>
      </c>
    </row>
    <row r="324">
      <c r="A324" s="21">
        <f>ItensPedido!A324</f>
        <v/>
      </c>
      <c r="B324" s="21">
        <f>ItensPedido!B324</f>
        <v/>
      </c>
      <c r="C324" s="21">
        <f>ItensPedido!C324</f>
        <v/>
      </c>
      <c r="D324" s="21">
        <f>ItensPedido!D324</f>
        <v/>
      </c>
      <c r="E324" s="22">
        <f>ItensPedido!E324</f>
        <v/>
      </c>
      <c r="F324" s="21">
        <f>IFERROR(INDEX(Pedidos!$B$2:$B$1801,MATCH(B324,Pedidos!$A$2:$A$1801,0)),0)</f>
        <v/>
      </c>
      <c r="G324" s="21">
        <f>IF(F324=0,"",YEAR(F324))</f>
        <v/>
      </c>
      <c r="H324" s="21">
        <f>IF(F324=0,"",MONTH(F324))</f>
        <v/>
      </c>
      <c r="I324" s="21">
        <f>IFERROR(INDEX(Pedidos!$E$2:$E$1801,MATCH(B324,Pedidos!$A$2:$A$1801,0)),"")</f>
        <v/>
      </c>
      <c r="J324" s="21">
        <f>IFERROR(INDEX(Pedidos!$C$2:$C$1801,MATCH(B324,Pedidos!$A$2:$A$1801,0)),"")</f>
        <v/>
      </c>
      <c r="K324" s="21">
        <f>IFERROR(INDEX(Pedidos!$D$2:$D$1801,MATCH(B324,Pedidos!$A$2:$A$1801,0)),"")</f>
        <v/>
      </c>
      <c r="L324" s="21">
        <f>IFERROR(INDEX(Pedidos!$F$2:$F$1801,MATCH(B324,Pedidos!$A$2:$A$1801,0)),"")</f>
        <v/>
      </c>
      <c r="M324" s="22">
        <f>IFERROR(INDEX(Pedidos!$G$2:$G$1801,MATCH(B324,Pedidos!$A$2:$A$1801,0)),0)</f>
        <v/>
      </c>
      <c r="N324" s="21">
        <f>IFERROR(INDEX(Produtos!$B$2:$B$71,MATCH(C324,Produtos!$A$2:$A$71,0)),"")</f>
        <v/>
      </c>
      <c r="O324" s="21">
        <f>IFERROR(INDEX(Produtos!$C$2:$C$71,MATCH(C324,Produtos!$A$2:$A$71,0)),"")</f>
        <v/>
      </c>
      <c r="P324" s="21">
        <f>IFERROR(INDEX(Produtos!$D$2:$D$71,MATCH(C324,Produtos!$A$2:$A$71,0)),0)</f>
        <v/>
      </c>
      <c r="Q324" s="21">
        <f>IFERROR(INDEX(Produtos!$E$2:$E$71,MATCH(C324,Produtos!$A$2:$A$71,0)),0)</f>
        <v/>
      </c>
      <c r="R324" s="23">
        <f>D324*Q324</f>
        <v/>
      </c>
      <c r="S324" s="23">
        <f>R324*E324</f>
        <v/>
      </c>
      <c r="T324" s="23">
        <f>(R324-S324)*M324</f>
        <v/>
      </c>
      <c r="U324" s="23">
        <f>R324-S324-T324</f>
        <v/>
      </c>
      <c r="V324" s="23">
        <f>D324*P324</f>
        <v/>
      </c>
      <c r="W324" s="23">
        <f>U324-V324</f>
        <v/>
      </c>
      <c r="X324" s="24">
        <f>IFERROR(W324/U324,0)</f>
        <v/>
      </c>
    </row>
    <row r="325">
      <c r="A325" s="25">
        <f>ItensPedido!A325</f>
        <v/>
      </c>
      <c r="B325" s="25">
        <f>ItensPedido!B325</f>
        <v/>
      </c>
      <c r="C325" s="25">
        <f>ItensPedido!C325</f>
        <v/>
      </c>
      <c r="D325" s="25">
        <f>ItensPedido!D325</f>
        <v/>
      </c>
      <c r="E325" s="26">
        <f>ItensPedido!E325</f>
        <v/>
      </c>
      <c r="F325" s="25">
        <f>IFERROR(INDEX(Pedidos!$B$2:$B$1801,MATCH(B325,Pedidos!$A$2:$A$1801,0)),0)</f>
        <v/>
      </c>
      <c r="G325" s="25">
        <f>IF(F325=0,"",YEAR(F325))</f>
        <v/>
      </c>
      <c r="H325" s="25">
        <f>IF(F325=0,"",MONTH(F325))</f>
        <v/>
      </c>
      <c r="I325" s="25">
        <f>IFERROR(INDEX(Pedidos!$E$2:$E$1801,MATCH(B325,Pedidos!$A$2:$A$1801,0)),"")</f>
        <v/>
      </c>
      <c r="J325" s="25">
        <f>IFERROR(INDEX(Pedidos!$C$2:$C$1801,MATCH(B325,Pedidos!$A$2:$A$1801,0)),"")</f>
        <v/>
      </c>
      <c r="K325" s="25">
        <f>IFERROR(INDEX(Pedidos!$D$2:$D$1801,MATCH(B325,Pedidos!$A$2:$A$1801,0)),"")</f>
        <v/>
      </c>
      <c r="L325" s="25">
        <f>IFERROR(INDEX(Pedidos!$F$2:$F$1801,MATCH(B325,Pedidos!$A$2:$A$1801,0)),"")</f>
        <v/>
      </c>
      <c r="M325" s="26">
        <f>IFERROR(INDEX(Pedidos!$G$2:$G$1801,MATCH(B325,Pedidos!$A$2:$A$1801,0)),0)</f>
        <v/>
      </c>
      <c r="N325" s="25">
        <f>IFERROR(INDEX(Produtos!$B$2:$B$71,MATCH(C325,Produtos!$A$2:$A$71,0)),"")</f>
        <v/>
      </c>
      <c r="O325" s="25">
        <f>IFERROR(INDEX(Produtos!$C$2:$C$71,MATCH(C325,Produtos!$A$2:$A$71,0)),"")</f>
        <v/>
      </c>
      <c r="P325" s="25">
        <f>IFERROR(INDEX(Produtos!$D$2:$D$71,MATCH(C325,Produtos!$A$2:$A$71,0)),0)</f>
        <v/>
      </c>
      <c r="Q325" s="25">
        <f>IFERROR(INDEX(Produtos!$E$2:$E$71,MATCH(C325,Produtos!$A$2:$A$71,0)),0)</f>
        <v/>
      </c>
      <c r="R325" s="27">
        <f>D325*Q325</f>
        <v/>
      </c>
      <c r="S325" s="27">
        <f>R325*E325</f>
        <v/>
      </c>
      <c r="T325" s="27">
        <f>(R325-S325)*M325</f>
        <v/>
      </c>
      <c r="U325" s="27">
        <f>R325-S325-T325</f>
        <v/>
      </c>
      <c r="V325" s="27">
        <f>D325*P325</f>
        <v/>
      </c>
      <c r="W325" s="27">
        <f>U325-V325</f>
        <v/>
      </c>
      <c r="X325" s="28">
        <f>IFERROR(W325/U325,0)</f>
        <v/>
      </c>
    </row>
    <row r="326">
      <c r="A326" s="21">
        <f>ItensPedido!A326</f>
        <v/>
      </c>
      <c r="B326" s="21">
        <f>ItensPedido!B326</f>
        <v/>
      </c>
      <c r="C326" s="21">
        <f>ItensPedido!C326</f>
        <v/>
      </c>
      <c r="D326" s="21">
        <f>ItensPedido!D326</f>
        <v/>
      </c>
      <c r="E326" s="22">
        <f>ItensPedido!E326</f>
        <v/>
      </c>
      <c r="F326" s="21">
        <f>IFERROR(INDEX(Pedidos!$B$2:$B$1801,MATCH(B326,Pedidos!$A$2:$A$1801,0)),0)</f>
        <v/>
      </c>
      <c r="G326" s="21">
        <f>IF(F326=0,"",YEAR(F326))</f>
        <v/>
      </c>
      <c r="H326" s="21">
        <f>IF(F326=0,"",MONTH(F326))</f>
        <v/>
      </c>
      <c r="I326" s="21">
        <f>IFERROR(INDEX(Pedidos!$E$2:$E$1801,MATCH(B326,Pedidos!$A$2:$A$1801,0)),"")</f>
        <v/>
      </c>
      <c r="J326" s="21">
        <f>IFERROR(INDEX(Pedidos!$C$2:$C$1801,MATCH(B326,Pedidos!$A$2:$A$1801,0)),"")</f>
        <v/>
      </c>
      <c r="K326" s="21">
        <f>IFERROR(INDEX(Pedidos!$D$2:$D$1801,MATCH(B326,Pedidos!$A$2:$A$1801,0)),"")</f>
        <v/>
      </c>
      <c r="L326" s="21">
        <f>IFERROR(INDEX(Pedidos!$F$2:$F$1801,MATCH(B326,Pedidos!$A$2:$A$1801,0)),"")</f>
        <v/>
      </c>
      <c r="M326" s="22">
        <f>IFERROR(INDEX(Pedidos!$G$2:$G$1801,MATCH(B326,Pedidos!$A$2:$A$1801,0)),0)</f>
        <v/>
      </c>
      <c r="N326" s="21">
        <f>IFERROR(INDEX(Produtos!$B$2:$B$71,MATCH(C326,Produtos!$A$2:$A$71,0)),"")</f>
        <v/>
      </c>
      <c r="O326" s="21">
        <f>IFERROR(INDEX(Produtos!$C$2:$C$71,MATCH(C326,Produtos!$A$2:$A$71,0)),"")</f>
        <v/>
      </c>
      <c r="P326" s="21">
        <f>IFERROR(INDEX(Produtos!$D$2:$D$71,MATCH(C326,Produtos!$A$2:$A$71,0)),0)</f>
        <v/>
      </c>
      <c r="Q326" s="21">
        <f>IFERROR(INDEX(Produtos!$E$2:$E$71,MATCH(C326,Produtos!$A$2:$A$71,0)),0)</f>
        <v/>
      </c>
      <c r="R326" s="23">
        <f>D326*Q326</f>
        <v/>
      </c>
      <c r="S326" s="23">
        <f>R326*E326</f>
        <v/>
      </c>
      <c r="T326" s="23">
        <f>(R326-S326)*M326</f>
        <v/>
      </c>
      <c r="U326" s="23">
        <f>R326-S326-T326</f>
        <v/>
      </c>
      <c r="V326" s="23">
        <f>D326*P326</f>
        <v/>
      </c>
      <c r="W326" s="23">
        <f>U326-V326</f>
        <v/>
      </c>
      <c r="X326" s="24">
        <f>IFERROR(W326/U326,0)</f>
        <v/>
      </c>
    </row>
    <row r="327">
      <c r="A327" s="25">
        <f>ItensPedido!A327</f>
        <v/>
      </c>
      <c r="B327" s="25">
        <f>ItensPedido!B327</f>
        <v/>
      </c>
      <c r="C327" s="25">
        <f>ItensPedido!C327</f>
        <v/>
      </c>
      <c r="D327" s="25">
        <f>ItensPedido!D327</f>
        <v/>
      </c>
      <c r="E327" s="26">
        <f>ItensPedido!E327</f>
        <v/>
      </c>
      <c r="F327" s="25">
        <f>IFERROR(INDEX(Pedidos!$B$2:$B$1801,MATCH(B327,Pedidos!$A$2:$A$1801,0)),0)</f>
        <v/>
      </c>
      <c r="G327" s="25">
        <f>IF(F327=0,"",YEAR(F327))</f>
        <v/>
      </c>
      <c r="H327" s="25">
        <f>IF(F327=0,"",MONTH(F327))</f>
        <v/>
      </c>
      <c r="I327" s="25">
        <f>IFERROR(INDEX(Pedidos!$E$2:$E$1801,MATCH(B327,Pedidos!$A$2:$A$1801,0)),"")</f>
        <v/>
      </c>
      <c r="J327" s="25">
        <f>IFERROR(INDEX(Pedidos!$C$2:$C$1801,MATCH(B327,Pedidos!$A$2:$A$1801,0)),"")</f>
        <v/>
      </c>
      <c r="K327" s="25">
        <f>IFERROR(INDEX(Pedidos!$D$2:$D$1801,MATCH(B327,Pedidos!$A$2:$A$1801,0)),"")</f>
        <v/>
      </c>
      <c r="L327" s="25">
        <f>IFERROR(INDEX(Pedidos!$F$2:$F$1801,MATCH(B327,Pedidos!$A$2:$A$1801,0)),"")</f>
        <v/>
      </c>
      <c r="M327" s="26">
        <f>IFERROR(INDEX(Pedidos!$G$2:$G$1801,MATCH(B327,Pedidos!$A$2:$A$1801,0)),0)</f>
        <v/>
      </c>
      <c r="N327" s="25">
        <f>IFERROR(INDEX(Produtos!$B$2:$B$71,MATCH(C327,Produtos!$A$2:$A$71,0)),"")</f>
        <v/>
      </c>
      <c r="O327" s="25">
        <f>IFERROR(INDEX(Produtos!$C$2:$C$71,MATCH(C327,Produtos!$A$2:$A$71,0)),"")</f>
        <v/>
      </c>
      <c r="P327" s="25">
        <f>IFERROR(INDEX(Produtos!$D$2:$D$71,MATCH(C327,Produtos!$A$2:$A$71,0)),0)</f>
        <v/>
      </c>
      <c r="Q327" s="25">
        <f>IFERROR(INDEX(Produtos!$E$2:$E$71,MATCH(C327,Produtos!$A$2:$A$71,0)),0)</f>
        <v/>
      </c>
      <c r="R327" s="27">
        <f>D327*Q327</f>
        <v/>
      </c>
      <c r="S327" s="27">
        <f>R327*E327</f>
        <v/>
      </c>
      <c r="T327" s="27">
        <f>(R327-S327)*M327</f>
        <v/>
      </c>
      <c r="U327" s="27">
        <f>R327-S327-T327</f>
        <v/>
      </c>
      <c r="V327" s="27">
        <f>D327*P327</f>
        <v/>
      </c>
      <c r="W327" s="27">
        <f>U327-V327</f>
        <v/>
      </c>
      <c r="X327" s="28">
        <f>IFERROR(W327/U327,0)</f>
        <v/>
      </c>
    </row>
    <row r="328">
      <c r="A328" s="21">
        <f>ItensPedido!A328</f>
        <v/>
      </c>
      <c r="B328" s="21">
        <f>ItensPedido!B328</f>
        <v/>
      </c>
      <c r="C328" s="21">
        <f>ItensPedido!C328</f>
        <v/>
      </c>
      <c r="D328" s="21">
        <f>ItensPedido!D328</f>
        <v/>
      </c>
      <c r="E328" s="22">
        <f>ItensPedido!E328</f>
        <v/>
      </c>
      <c r="F328" s="21">
        <f>IFERROR(INDEX(Pedidos!$B$2:$B$1801,MATCH(B328,Pedidos!$A$2:$A$1801,0)),0)</f>
        <v/>
      </c>
      <c r="G328" s="21">
        <f>IF(F328=0,"",YEAR(F328))</f>
        <v/>
      </c>
      <c r="H328" s="21">
        <f>IF(F328=0,"",MONTH(F328))</f>
        <v/>
      </c>
      <c r="I328" s="21">
        <f>IFERROR(INDEX(Pedidos!$E$2:$E$1801,MATCH(B328,Pedidos!$A$2:$A$1801,0)),"")</f>
        <v/>
      </c>
      <c r="J328" s="21">
        <f>IFERROR(INDEX(Pedidos!$C$2:$C$1801,MATCH(B328,Pedidos!$A$2:$A$1801,0)),"")</f>
        <v/>
      </c>
      <c r="K328" s="21">
        <f>IFERROR(INDEX(Pedidos!$D$2:$D$1801,MATCH(B328,Pedidos!$A$2:$A$1801,0)),"")</f>
        <v/>
      </c>
      <c r="L328" s="21">
        <f>IFERROR(INDEX(Pedidos!$F$2:$F$1801,MATCH(B328,Pedidos!$A$2:$A$1801,0)),"")</f>
        <v/>
      </c>
      <c r="M328" s="22">
        <f>IFERROR(INDEX(Pedidos!$G$2:$G$1801,MATCH(B328,Pedidos!$A$2:$A$1801,0)),0)</f>
        <v/>
      </c>
      <c r="N328" s="21">
        <f>IFERROR(INDEX(Produtos!$B$2:$B$71,MATCH(C328,Produtos!$A$2:$A$71,0)),"")</f>
        <v/>
      </c>
      <c r="O328" s="21">
        <f>IFERROR(INDEX(Produtos!$C$2:$C$71,MATCH(C328,Produtos!$A$2:$A$71,0)),"")</f>
        <v/>
      </c>
      <c r="P328" s="21">
        <f>IFERROR(INDEX(Produtos!$D$2:$D$71,MATCH(C328,Produtos!$A$2:$A$71,0)),0)</f>
        <v/>
      </c>
      <c r="Q328" s="21">
        <f>IFERROR(INDEX(Produtos!$E$2:$E$71,MATCH(C328,Produtos!$A$2:$A$71,0)),0)</f>
        <v/>
      </c>
      <c r="R328" s="23">
        <f>D328*Q328</f>
        <v/>
      </c>
      <c r="S328" s="23">
        <f>R328*E328</f>
        <v/>
      </c>
      <c r="T328" s="23">
        <f>(R328-S328)*M328</f>
        <v/>
      </c>
      <c r="U328" s="23">
        <f>R328-S328-T328</f>
        <v/>
      </c>
      <c r="V328" s="23">
        <f>D328*P328</f>
        <v/>
      </c>
      <c r="W328" s="23">
        <f>U328-V328</f>
        <v/>
      </c>
      <c r="X328" s="24">
        <f>IFERROR(W328/U328,0)</f>
        <v/>
      </c>
    </row>
    <row r="329">
      <c r="A329" s="25">
        <f>ItensPedido!A329</f>
        <v/>
      </c>
      <c r="B329" s="25">
        <f>ItensPedido!B329</f>
        <v/>
      </c>
      <c r="C329" s="25">
        <f>ItensPedido!C329</f>
        <v/>
      </c>
      <c r="D329" s="25">
        <f>ItensPedido!D329</f>
        <v/>
      </c>
      <c r="E329" s="26">
        <f>ItensPedido!E329</f>
        <v/>
      </c>
      <c r="F329" s="25">
        <f>IFERROR(INDEX(Pedidos!$B$2:$B$1801,MATCH(B329,Pedidos!$A$2:$A$1801,0)),0)</f>
        <v/>
      </c>
      <c r="G329" s="25">
        <f>IF(F329=0,"",YEAR(F329))</f>
        <v/>
      </c>
      <c r="H329" s="25">
        <f>IF(F329=0,"",MONTH(F329))</f>
        <v/>
      </c>
      <c r="I329" s="25">
        <f>IFERROR(INDEX(Pedidos!$E$2:$E$1801,MATCH(B329,Pedidos!$A$2:$A$1801,0)),"")</f>
        <v/>
      </c>
      <c r="J329" s="25">
        <f>IFERROR(INDEX(Pedidos!$C$2:$C$1801,MATCH(B329,Pedidos!$A$2:$A$1801,0)),"")</f>
        <v/>
      </c>
      <c r="K329" s="25">
        <f>IFERROR(INDEX(Pedidos!$D$2:$D$1801,MATCH(B329,Pedidos!$A$2:$A$1801,0)),"")</f>
        <v/>
      </c>
      <c r="L329" s="25">
        <f>IFERROR(INDEX(Pedidos!$F$2:$F$1801,MATCH(B329,Pedidos!$A$2:$A$1801,0)),"")</f>
        <v/>
      </c>
      <c r="M329" s="26">
        <f>IFERROR(INDEX(Pedidos!$G$2:$G$1801,MATCH(B329,Pedidos!$A$2:$A$1801,0)),0)</f>
        <v/>
      </c>
      <c r="N329" s="25">
        <f>IFERROR(INDEX(Produtos!$B$2:$B$71,MATCH(C329,Produtos!$A$2:$A$71,0)),"")</f>
        <v/>
      </c>
      <c r="O329" s="25">
        <f>IFERROR(INDEX(Produtos!$C$2:$C$71,MATCH(C329,Produtos!$A$2:$A$71,0)),"")</f>
        <v/>
      </c>
      <c r="P329" s="25">
        <f>IFERROR(INDEX(Produtos!$D$2:$D$71,MATCH(C329,Produtos!$A$2:$A$71,0)),0)</f>
        <v/>
      </c>
      <c r="Q329" s="25">
        <f>IFERROR(INDEX(Produtos!$E$2:$E$71,MATCH(C329,Produtos!$A$2:$A$71,0)),0)</f>
        <v/>
      </c>
      <c r="R329" s="27">
        <f>D329*Q329</f>
        <v/>
      </c>
      <c r="S329" s="27">
        <f>R329*E329</f>
        <v/>
      </c>
      <c r="T329" s="27">
        <f>(R329-S329)*M329</f>
        <v/>
      </c>
      <c r="U329" s="27">
        <f>R329-S329-T329</f>
        <v/>
      </c>
      <c r="V329" s="27">
        <f>D329*P329</f>
        <v/>
      </c>
      <c r="W329" s="27">
        <f>U329-V329</f>
        <v/>
      </c>
      <c r="X329" s="28">
        <f>IFERROR(W329/U329,0)</f>
        <v/>
      </c>
    </row>
    <row r="330">
      <c r="A330" s="21">
        <f>ItensPedido!A330</f>
        <v/>
      </c>
      <c r="B330" s="21">
        <f>ItensPedido!B330</f>
        <v/>
      </c>
      <c r="C330" s="21">
        <f>ItensPedido!C330</f>
        <v/>
      </c>
      <c r="D330" s="21">
        <f>ItensPedido!D330</f>
        <v/>
      </c>
      <c r="E330" s="22">
        <f>ItensPedido!E330</f>
        <v/>
      </c>
      <c r="F330" s="21">
        <f>IFERROR(INDEX(Pedidos!$B$2:$B$1801,MATCH(B330,Pedidos!$A$2:$A$1801,0)),0)</f>
        <v/>
      </c>
      <c r="G330" s="21">
        <f>IF(F330=0,"",YEAR(F330))</f>
        <v/>
      </c>
      <c r="H330" s="21">
        <f>IF(F330=0,"",MONTH(F330))</f>
        <v/>
      </c>
      <c r="I330" s="21">
        <f>IFERROR(INDEX(Pedidos!$E$2:$E$1801,MATCH(B330,Pedidos!$A$2:$A$1801,0)),"")</f>
        <v/>
      </c>
      <c r="J330" s="21">
        <f>IFERROR(INDEX(Pedidos!$C$2:$C$1801,MATCH(B330,Pedidos!$A$2:$A$1801,0)),"")</f>
        <v/>
      </c>
      <c r="K330" s="21">
        <f>IFERROR(INDEX(Pedidos!$D$2:$D$1801,MATCH(B330,Pedidos!$A$2:$A$1801,0)),"")</f>
        <v/>
      </c>
      <c r="L330" s="21">
        <f>IFERROR(INDEX(Pedidos!$F$2:$F$1801,MATCH(B330,Pedidos!$A$2:$A$1801,0)),"")</f>
        <v/>
      </c>
      <c r="M330" s="22">
        <f>IFERROR(INDEX(Pedidos!$G$2:$G$1801,MATCH(B330,Pedidos!$A$2:$A$1801,0)),0)</f>
        <v/>
      </c>
      <c r="N330" s="21">
        <f>IFERROR(INDEX(Produtos!$B$2:$B$71,MATCH(C330,Produtos!$A$2:$A$71,0)),"")</f>
        <v/>
      </c>
      <c r="O330" s="21">
        <f>IFERROR(INDEX(Produtos!$C$2:$C$71,MATCH(C330,Produtos!$A$2:$A$71,0)),"")</f>
        <v/>
      </c>
      <c r="P330" s="21">
        <f>IFERROR(INDEX(Produtos!$D$2:$D$71,MATCH(C330,Produtos!$A$2:$A$71,0)),0)</f>
        <v/>
      </c>
      <c r="Q330" s="21">
        <f>IFERROR(INDEX(Produtos!$E$2:$E$71,MATCH(C330,Produtos!$A$2:$A$71,0)),0)</f>
        <v/>
      </c>
      <c r="R330" s="23">
        <f>D330*Q330</f>
        <v/>
      </c>
      <c r="S330" s="23">
        <f>R330*E330</f>
        <v/>
      </c>
      <c r="T330" s="23">
        <f>(R330-S330)*M330</f>
        <v/>
      </c>
      <c r="U330" s="23">
        <f>R330-S330-T330</f>
        <v/>
      </c>
      <c r="V330" s="23">
        <f>D330*P330</f>
        <v/>
      </c>
      <c r="W330" s="23">
        <f>U330-V330</f>
        <v/>
      </c>
      <c r="X330" s="24">
        <f>IFERROR(W330/U330,0)</f>
        <v/>
      </c>
    </row>
    <row r="331">
      <c r="A331" s="25">
        <f>ItensPedido!A331</f>
        <v/>
      </c>
      <c r="B331" s="25">
        <f>ItensPedido!B331</f>
        <v/>
      </c>
      <c r="C331" s="25">
        <f>ItensPedido!C331</f>
        <v/>
      </c>
      <c r="D331" s="25">
        <f>ItensPedido!D331</f>
        <v/>
      </c>
      <c r="E331" s="26">
        <f>ItensPedido!E331</f>
        <v/>
      </c>
      <c r="F331" s="25">
        <f>IFERROR(INDEX(Pedidos!$B$2:$B$1801,MATCH(B331,Pedidos!$A$2:$A$1801,0)),0)</f>
        <v/>
      </c>
      <c r="G331" s="25">
        <f>IF(F331=0,"",YEAR(F331))</f>
        <v/>
      </c>
      <c r="H331" s="25">
        <f>IF(F331=0,"",MONTH(F331))</f>
        <v/>
      </c>
      <c r="I331" s="25">
        <f>IFERROR(INDEX(Pedidos!$E$2:$E$1801,MATCH(B331,Pedidos!$A$2:$A$1801,0)),"")</f>
        <v/>
      </c>
      <c r="J331" s="25">
        <f>IFERROR(INDEX(Pedidos!$C$2:$C$1801,MATCH(B331,Pedidos!$A$2:$A$1801,0)),"")</f>
        <v/>
      </c>
      <c r="K331" s="25">
        <f>IFERROR(INDEX(Pedidos!$D$2:$D$1801,MATCH(B331,Pedidos!$A$2:$A$1801,0)),"")</f>
        <v/>
      </c>
      <c r="L331" s="25">
        <f>IFERROR(INDEX(Pedidos!$F$2:$F$1801,MATCH(B331,Pedidos!$A$2:$A$1801,0)),"")</f>
        <v/>
      </c>
      <c r="M331" s="26">
        <f>IFERROR(INDEX(Pedidos!$G$2:$G$1801,MATCH(B331,Pedidos!$A$2:$A$1801,0)),0)</f>
        <v/>
      </c>
      <c r="N331" s="25">
        <f>IFERROR(INDEX(Produtos!$B$2:$B$71,MATCH(C331,Produtos!$A$2:$A$71,0)),"")</f>
        <v/>
      </c>
      <c r="O331" s="25">
        <f>IFERROR(INDEX(Produtos!$C$2:$C$71,MATCH(C331,Produtos!$A$2:$A$71,0)),"")</f>
        <v/>
      </c>
      <c r="P331" s="25">
        <f>IFERROR(INDEX(Produtos!$D$2:$D$71,MATCH(C331,Produtos!$A$2:$A$71,0)),0)</f>
        <v/>
      </c>
      <c r="Q331" s="25">
        <f>IFERROR(INDEX(Produtos!$E$2:$E$71,MATCH(C331,Produtos!$A$2:$A$71,0)),0)</f>
        <v/>
      </c>
      <c r="R331" s="27">
        <f>D331*Q331</f>
        <v/>
      </c>
      <c r="S331" s="27">
        <f>R331*E331</f>
        <v/>
      </c>
      <c r="T331" s="27">
        <f>(R331-S331)*M331</f>
        <v/>
      </c>
      <c r="U331" s="27">
        <f>R331-S331-T331</f>
        <v/>
      </c>
      <c r="V331" s="27">
        <f>D331*P331</f>
        <v/>
      </c>
      <c r="W331" s="27">
        <f>U331-V331</f>
        <v/>
      </c>
      <c r="X331" s="28">
        <f>IFERROR(W331/U331,0)</f>
        <v/>
      </c>
    </row>
    <row r="332">
      <c r="A332" s="21">
        <f>ItensPedido!A332</f>
        <v/>
      </c>
      <c r="B332" s="21">
        <f>ItensPedido!B332</f>
        <v/>
      </c>
      <c r="C332" s="21">
        <f>ItensPedido!C332</f>
        <v/>
      </c>
      <c r="D332" s="21">
        <f>ItensPedido!D332</f>
        <v/>
      </c>
      <c r="E332" s="22">
        <f>ItensPedido!E332</f>
        <v/>
      </c>
      <c r="F332" s="21">
        <f>IFERROR(INDEX(Pedidos!$B$2:$B$1801,MATCH(B332,Pedidos!$A$2:$A$1801,0)),0)</f>
        <v/>
      </c>
      <c r="G332" s="21">
        <f>IF(F332=0,"",YEAR(F332))</f>
        <v/>
      </c>
      <c r="H332" s="21">
        <f>IF(F332=0,"",MONTH(F332))</f>
        <v/>
      </c>
      <c r="I332" s="21">
        <f>IFERROR(INDEX(Pedidos!$E$2:$E$1801,MATCH(B332,Pedidos!$A$2:$A$1801,0)),"")</f>
        <v/>
      </c>
      <c r="J332" s="21">
        <f>IFERROR(INDEX(Pedidos!$C$2:$C$1801,MATCH(B332,Pedidos!$A$2:$A$1801,0)),"")</f>
        <v/>
      </c>
      <c r="K332" s="21">
        <f>IFERROR(INDEX(Pedidos!$D$2:$D$1801,MATCH(B332,Pedidos!$A$2:$A$1801,0)),"")</f>
        <v/>
      </c>
      <c r="L332" s="21">
        <f>IFERROR(INDEX(Pedidos!$F$2:$F$1801,MATCH(B332,Pedidos!$A$2:$A$1801,0)),"")</f>
        <v/>
      </c>
      <c r="M332" s="22">
        <f>IFERROR(INDEX(Pedidos!$G$2:$G$1801,MATCH(B332,Pedidos!$A$2:$A$1801,0)),0)</f>
        <v/>
      </c>
      <c r="N332" s="21">
        <f>IFERROR(INDEX(Produtos!$B$2:$B$71,MATCH(C332,Produtos!$A$2:$A$71,0)),"")</f>
        <v/>
      </c>
      <c r="O332" s="21">
        <f>IFERROR(INDEX(Produtos!$C$2:$C$71,MATCH(C332,Produtos!$A$2:$A$71,0)),"")</f>
        <v/>
      </c>
      <c r="P332" s="21">
        <f>IFERROR(INDEX(Produtos!$D$2:$D$71,MATCH(C332,Produtos!$A$2:$A$71,0)),0)</f>
        <v/>
      </c>
      <c r="Q332" s="21">
        <f>IFERROR(INDEX(Produtos!$E$2:$E$71,MATCH(C332,Produtos!$A$2:$A$71,0)),0)</f>
        <v/>
      </c>
      <c r="R332" s="23">
        <f>D332*Q332</f>
        <v/>
      </c>
      <c r="S332" s="23">
        <f>R332*E332</f>
        <v/>
      </c>
      <c r="T332" s="23">
        <f>(R332-S332)*M332</f>
        <v/>
      </c>
      <c r="U332" s="23">
        <f>R332-S332-T332</f>
        <v/>
      </c>
      <c r="V332" s="23">
        <f>D332*P332</f>
        <v/>
      </c>
      <c r="W332" s="23">
        <f>U332-V332</f>
        <v/>
      </c>
      <c r="X332" s="24">
        <f>IFERROR(W332/U332,0)</f>
        <v/>
      </c>
    </row>
    <row r="333">
      <c r="A333" s="25">
        <f>ItensPedido!A333</f>
        <v/>
      </c>
      <c r="B333" s="25">
        <f>ItensPedido!B333</f>
        <v/>
      </c>
      <c r="C333" s="25">
        <f>ItensPedido!C333</f>
        <v/>
      </c>
      <c r="D333" s="25">
        <f>ItensPedido!D333</f>
        <v/>
      </c>
      <c r="E333" s="26">
        <f>ItensPedido!E333</f>
        <v/>
      </c>
      <c r="F333" s="25">
        <f>IFERROR(INDEX(Pedidos!$B$2:$B$1801,MATCH(B333,Pedidos!$A$2:$A$1801,0)),0)</f>
        <v/>
      </c>
      <c r="G333" s="25">
        <f>IF(F333=0,"",YEAR(F333))</f>
        <v/>
      </c>
      <c r="H333" s="25">
        <f>IF(F333=0,"",MONTH(F333))</f>
        <v/>
      </c>
      <c r="I333" s="25">
        <f>IFERROR(INDEX(Pedidos!$E$2:$E$1801,MATCH(B333,Pedidos!$A$2:$A$1801,0)),"")</f>
        <v/>
      </c>
      <c r="J333" s="25">
        <f>IFERROR(INDEX(Pedidos!$C$2:$C$1801,MATCH(B333,Pedidos!$A$2:$A$1801,0)),"")</f>
        <v/>
      </c>
      <c r="K333" s="25">
        <f>IFERROR(INDEX(Pedidos!$D$2:$D$1801,MATCH(B333,Pedidos!$A$2:$A$1801,0)),"")</f>
        <v/>
      </c>
      <c r="L333" s="25">
        <f>IFERROR(INDEX(Pedidos!$F$2:$F$1801,MATCH(B333,Pedidos!$A$2:$A$1801,0)),"")</f>
        <v/>
      </c>
      <c r="M333" s="26">
        <f>IFERROR(INDEX(Pedidos!$G$2:$G$1801,MATCH(B333,Pedidos!$A$2:$A$1801,0)),0)</f>
        <v/>
      </c>
      <c r="N333" s="25">
        <f>IFERROR(INDEX(Produtos!$B$2:$B$71,MATCH(C333,Produtos!$A$2:$A$71,0)),"")</f>
        <v/>
      </c>
      <c r="O333" s="25">
        <f>IFERROR(INDEX(Produtos!$C$2:$C$71,MATCH(C333,Produtos!$A$2:$A$71,0)),"")</f>
        <v/>
      </c>
      <c r="P333" s="25">
        <f>IFERROR(INDEX(Produtos!$D$2:$D$71,MATCH(C333,Produtos!$A$2:$A$71,0)),0)</f>
        <v/>
      </c>
      <c r="Q333" s="25">
        <f>IFERROR(INDEX(Produtos!$E$2:$E$71,MATCH(C333,Produtos!$A$2:$A$71,0)),0)</f>
        <v/>
      </c>
      <c r="R333" s="27">
        <f>D333*Q333</f>
        <v/>
      </c>
      <c r="S333" s="27">
        <f>R333*E333</f>
        <v/>
      </c>
      <c r="T333" s="27">
        <f>(R333-S333)*M333</f>
        <v/>
      </c>
      <c r="U333" s="27">
        <f>R333-S333-T333</f>
        <v/>
      </c>
      <c r="V333" s="27">
        <f>D333*P333</f>
        <v/>
      </c>
      <c r="W333" s="27">
        <f>U333-V333</f>
        <v/>
      </c>
      <c r="X333" s="28">
        <f>IFERROR(W333/U333,0)</f>
        <v/>
      </c>
    </row>
    <row r="334">
      <c r="A334" s="21">
        <f>ItensPedido!A334</f>
        <v/>
      </c>
      <c r="B334" s="21">
        <f>ItensPedido!B334</f>
        <v/>
      </c>
      <c r="C334" s="21">
        <f>ItensPedido!C334</f>
        <v/>
      </c>
      <c r="D334" s="21">
        <f>ItensPedido!D334</f>
        <v/>
      </c>
      <c r="E334" s="22">
        <f>ItensPedido!E334</f>
        <v/>
      </c>
      <c r="F334" s="21">
        <f>IFERROR(INDEX(Pedidos!$B$2:$B$1801,MATCH(B334,Pedidos!$A$2:$A$1801,0)),0)</f>
        <v/>
      </c>
      <c r="G334" s="21">
        <f>IF(F334=0,"",YEAR(F334))</f>
        <v/>
      </c>
      <c r="H334" s="21">
        <f>IF(F334=0,"",MONTH(F334))</f>
        <v/>
      </c>
      <c r="I334" s="21">
        <f>IFERROR(INDEX(Pedidos!$E$2:$E$1801,MATCH(B334,Pedidos!$A$2:$A$1801,0)),"")</f>
        <v/>
      </c>
      <c r="J334" s="21">
        <f>IFERROR(INDEX(Pedidos!$C$2:$C$1801,MATCH(B334,Pedidos!$A$2:$A$1801,0)),"")</f>
        <v/>
      </c>
      <c r="K334" s="21">
        <f>IFERROR(INDEX(Pedidos!$D$2:$D$1801,MATCH(B334,Pedidos!$A$2:$A$1801,0)),"")</f>
        <v/>
      </c>
      <c r="L334" s="21">
        <f>IFERROR(INDEX(Pedidos!$F$2:$F$1801,MATCH(B334,Pedidos!$A$2:$A$1801,0)),"")</f>
        <v/>
      </c>
      <c r="M334" s="22">
        <f>IFERROR(INDEX(Pedidos!$G$2:$G$1801,MATCH(B334,Pedidos!$A$2:$A$1801,0)),0)</f>
        <v/>
      </c>
      <c r="N334" s="21">
        <f>IFERROR(INDEX(Produtos!$B$2:$B$71,MATCH(C334,Produtos!$A$2:$A$71,0)),"")</f>
        <v/>
      </c>
      <c r="O334" s="21">
        <f>IFERROR(INDEX(Produtos!$C$2:$C$71,MATCH(C334,Produtos!$A$2:$A$71,0)),"")</f>
        <v/>
      </c>
      <c r="P334" s="21">
        <f>IFERROR(INDEX(Produtos!$D$2:$D$71,MATCH(C334,Produtos!$A$2:$A$71,0)),0)</f>
        <v/>
      </c>
      <c r="Q334" s="21">
        <f>IFERROR(INDEX(Produtos!$E$2:$E$71,MATCH(C334,Produtos!$A$2:$A$71,0)),0)</f>
        <v/>
      </c>
      <c r="R334" s="23">
        <f>D334*Q334</f>
        <v/>
      </c>
      <c r="S334" s="23">
        <f>R334*E334</f>
        <v/>
      </c>
      <c r="T334" s="23">
        <f>(R334-S334)*M334</f>
        <v/>
      </c>
      <c r="U334" s="23">
        <f>R334-S334-T334</f>
        <v/>
      </c>
      <c r="V334" s="23">
        <f>D334*P334</f>
        <v/>
      </c>
      <c r="W334" s="23">
        <f>U334-V334</f>
        <v/>
      </c>
      <c r="X334" s="24">
        <f>IFERROR(W334/U334,0)</f>
        <v/>
      </c>
    </row>
    <row r="335">
      <c r="A335" s="25">
        <f>ItensPedido!A335</f>
        <v/>
      </c>
      <c r="B335" s="25">
        <f>ItensPedido!B335</f>
        <v/>
      </c>
      <c r="C335" s="25">
        <f>ItensPedido!C335</f>
        <v/>
      </c>
      <c r="D335" s="25">
        <f>ItensPedido!D335</f>
        <v/>
      </c>
      <c r="E335" s="26">
        <f>ItensPedido!E335</f>
        <v/>
      </c>
      <c r="F335" s="25">
        <f>IFERROR(INDEX(Pedidos!$B$2:$B$1801,MATCH(B335,Pedidos!$A$2:$A$1801,0)),0)</f>
        <v/>
      </c>
      <c r="G335" s="25">
        <f>IF(F335=0,"",YEAR(F335))</f>
        <v/>
      </c>
      <c r="H335" s="25">
        <f>IF(F335=0,"",MONTH(F335))</f>
        <v/>
      </c>
      <c r="I335" s="25">
        <f>IFERROR(INDEX(Pedidos!$E$2:$E$1801,MATCH(B335,Pedidos!$A$2:$A$1801,0)),"")</f>
        <v/>
      </c>
      <c r="J335" s="25">
        <f>IFERROR(INDEX(Pedidos!$C$2:$C$1801,MATCH(B335,Pedidos!$A$2:$A$1801,0)),"")</f>
        <v/>
      </c>
      <c r="K335" s="25">
        <f>IFERROR(INDEX(Pedidos!$D$2:$D$1801,MATCH(B335,Pedidos!$A$2:$A$1801,0)),"")</f>
        <v/>
      </c>
      <c r="L335" s="25">
        <f>IFERROR(INDEX(Pedidos!$F$2:$F$1801,MATCH(B335,Pedidos!$A$2:$A$1801,0)),"")</f>
        <v/>
      </c>
      <c r="M335" s="26">
        <f>IFERROR(INDEX(Pedidos!$G$2:$G$1801,MATCH(B335,Pedidos!$A$2:$A$1801,0)),0)</f>
        <v/>
      </c>
      <c r="N335" s="25">
        <f>IFERROR(INDEX(Produtos!$B$2:$B$71,MATCH(C335,Produtos!$A$2:$A$71,0)),"")</f>
        <v/>
      </c>
      <c r="O335" s="25">
        <f>IFERROR(INDEX(Produtos!$C$2:$C$71,MATCH(C335,Produtos!$A$2:$A$71,0)),"")</f>
        <v/>
      </c>
      <c r="P335" s="25">
        <f>IFERROR(INDEX(Produtos!$D$2:$D$71,MATCH(C335,Produtos!$A$2:$A$71,0)),0)</f>
        <v/>
      </c>
      <c r="Q335" s="25">
        <f>IFERROR(INDEX(Produtos!$E$2:$E$71,MATCH(C335,Produtos!$A$2:$A$71,0)),0)</f>
        <v/>
      </c>
      <c r="R335" s="27">
        <f>D335*Q335</f>
        <v/>
      </c>
      <c r="S335" s="27">
        <f>R335*E335</f>
        <v/>
      </c>
      <c r="T335" s="27">
        <f>(R335-S335)*M335</f>
        <v/>
      </c>
      <c r="U335" s="27">
        <f>R335-S335-T335</f>
        <v/>
      </c>
      <c r="V335" s="27">
        <f>D335*P335</f>
        <v/>
      </c>
      <c r="W335" s="27">
        <f>U335-V335</f>
        <v/>
      </c>
      <c r="X335" s="28">
        <f>IFERROR(W335/U335,0)</f>
        <v/>
      </c>
    </row>
    <row r="336">
      <c r="A336" s="21">
        <f>ItensPedido!A336</f>
        <v/>
      </c>
      <c r="B336" s="21">
        <f>ItensPedido!B336</f>
        <v/>
      </c>
      <c r="C336" s="21">
        <f>ItensPedido!C336</f>
        <v/>
      </c>
      <c r="D336" s="21">
        <f>ItensPedido!D336</f>
        <v/>
      </c>
      <c r="E336" s="22">
        <f>ItensPedido!E336</f>
        <v/>
      </c>
      <c r="F336" s="21">
        <f>IFERROR(INDEX(Pedidos!$B$2:$B$1801,MATCH(B336,Pedidos!$A$2:$A$1801,0)),0)</f>
        <v/>
      </c>
      <c r="G336" s="21">
        <f>IF(F336=0,"",YEAR(F336))</f>
        <v/>
      </c>
      <c r="H336" s="21">
        <f>IF(F336=0,"",MONTH(F336))</f>
        <v/>
      </c>
      <c r="I336" s="21">
        <f>IFERROR(INDEX(Pedidos!$E$2:$E$1801,MATCH(B336,Pedidos!$A$2:$A$1801,0)),"")</f>
        <v/>
      </c>
      <c r="J336" s="21">
        <f>IFERROR(INDEX(Pedidos!$C$2:$C$1801,MATCH(B336,Pedidos!$A$2:$A$1801,0)),"")</f>
        <v/>
      </c>
      <c r="K336" s="21">
        <f>IFERROR(INDEX(Pedidos!$D$2:$D$1801,MATCH(B336,Pedidos!$A$2:$A$1801,0)),"")</f>
        <v/>
      </c>
      <c r="L336" s="21">
        <f>IFERROR(INDEX(Pedidos!$F$2:$F$1801,MATCH(B336,Pedidos!$A$2:$A$1801,0)),"")</f>
        <v/>
      </c>
      <c r="M336" s="22">
        <f>IFERROR(INDEX(Pedidos!$G$2:$G$1801,MATCH(B336,Pedidos!$A$2:$A$1801,0)),0)</f>
        <v/>
      </c>
      <c r="N336" s="21">
        <f>IFERROR(INDEX(Produtos!$B$2:$B$71,MATCH(C336,Produtos!$A$2:$A$71,0)),"")</f>
        <v/>
      </c>
      <c r="O336" s="21">
        <f>IFERROR(INDEX(Produtos!$C$2:$C$71,MATCH(C336,Produtos!$A$2:$A$71,0)),"")</f>
        <v/>
      </c>
      <c r="P336" s="21">
        <f>IFERROR(INDEX(Produtos!$D$2:$D$71,MATCH(C336,Produtos!$A$2:$A$71,0)),0)</f>
        <v/>
      </c>
      <c r="Q336" s="21">
        <f>IFERROR(INDEX(Produtos!$E$2:$E$71,MATCH(C336,Produtos!$A$2:$A$71,0)),0)</f>
        <v/>
      </c>
      <c r="R336" s="23">
        <f>D336*Q336</f>
        <v/>
      </c>
      <c r="S336" s="23">
        <f>R336*E336</f>
        <v/>
      </c>
      <c r="T336" s="23">
        <f>(R336-S336)*M336</f>
        <v/>
      </c>
      <c r="U336" s="23">
        <f>R336-S336-T336</f>
        <v/>
      </c>
      <c r="V336" s="23">
        <f>D336*P336</f>
        <v/>
      </c>
      <c r="W336" s="23">
        <f>U336-V336</f>
        <v/>
      </c>
      <c r="X336" s="24">
        <f>IFERROR(W336/U336,0)</f>
        <v/>
      </c>
    </row>
    <row r="337">
      <c r="A337" s="25">
        <f>ItensPedido!A337</f>
        <v/>
      </c>
      <c r="B337" s="25">
        <f>ItensPedido!B337</f>
        <v/>
      </c>
      <c r="C337" s="25">
        <f>ItensPedido!C337</f>
        <v/>
      </c>
      <c r="D337" s="25">
        <f>ItensPedido!D337</f>
        <v/>
      </c>
      <c r="E337" s="26">
        <f>ItensPedido!E337</f>
        <v/>
      </c>
      <c r="F337" s="25">
        <f>IFERROR(INDEX(Pedidos!$B$2:$B$1801,MATCH(B337,Pedidos!$A$2:$A$1801,0)),0)</f>
        <v/>
      </c>
      <c r="G337" s="25">
        <f>IF(F337=0,"",YEAR(F337))</f>
        <v/>
      </c>
      <c r="H337" s="25">
        <f>IF(F337=0,"",MONTH(F337))</f>
        <v/>
      </c>
      <c r="I337" s="25">
        <f>IFERROR(INDEX(Pedidos!$E$2:$E$1801,MATCH(B337,Pedidos!$A$2:$A$1801,0)),"")</f>
        <v/>
      </c>
      <c r="J337" s="25">
        <f>IFERROR(INDEX(Pedidos!$C$2:$C$1801,MATCH(B337,Pedidos!$A$2:$A$1801,0)),"")</f>
        <v/>
      </c>
      <c r="K337" s="25">
        <f>IFERROR(INDEX(Pedidos!$D$2:$D$1801,MATCH(B337,Pedidos!$A$2:$A$1801,0)),"")</f>
        <v/>
      </c>
      <c r="L337" s="25">
        <f>IFERROR(INDEX(Pedidos!$F$2:$F$1801,MATCH(B337,Pedidos!$A$2:$A$1801,0)),"")</f>
        <v/>
      </c>
      <c r="M337" s="26">
        <f>IFERROR(INDEX(Pedidos!$G$2:$G$1801,MATCH(B337,Pedidos!$A$2:$A$1801,0)),0)</f>
        <v/>
      </c>
      <c r="N337" s="25">
        <f>IFERROR(INDEX(Produtos!$B$2:$B$71,MATCH(C337,Produtos!$A$2:$A$71,0)),"")</f>
        <v/>
      </c>
      <c r="O337" s="25">
        <f>IFERROR(INDEX(Produtos!$C$2:$C$71,MATCH(C337,Produtos!$A$2:$A$71,0)),"")</f>
        <v/>
      </c>
      <c r="P337" s="25">
        <f>IFERROR(INDEX(Produtos!$D$2:$D$71,MATCH(C337,Produtos!$A$2:$A$71,0)),0)</f>
        <v/>
      </c>
      <c r="Q337" s="25">
        <f>IFERROR(INDEX(Produtos!$E$2:$E$71,MATCH(C337,Produtos!$A$2:$A$71,0)),0)</f>
        <v/>
      </c>
      <c r="R337" s="27">
        <f>D337*Q337</f>
        <v/>
      </c>
      <c r="S337" s="27">
        <f>R337*E337</f>
        <v/>
      </c>
      <c r="T337" s="27">
        <f>(R337-S337)*M337</f>
        <v/>
      </c>
      <c r="U337" s="27">
        <f>R337-S337-T337</f>
        <v/>
      </c>
      <c r="V337" s="27">
        <f>D337*P337</f>
        <v/>
      </c>
      <c r="W337" s="27">
        <f>U337-V337</f>
        <v/>
      </c>
      <c r="X337" s="28">
        <f>IFERROR(W337/U337,0)</f>
        <v/>
      </c>
    </row>
    <row r="338">
      <c r="A338" s="21">
        <f>ItensPedido!A338</f>
        <v/>
      </c>
      <c r="B338" s="21">
        <f>ItensPedido!B338</f>
        <v/>
      </c>
      <c r="C338" s="21">
        <f>ItensPedido!C338</f>
        <v/>
      </c>
      <c r="D338" s="21">
        <f>ItensPedido!D338</f>
        <v/>
      </c>
      <c r="E338" s="22">
        <f>ItensPedido!E338</f>
        <v/>
      </c>
      <c r="F338" s="21">
        <f>IFERROR(INDEX(Pedidos!$B$2:$B$1801,MATCH(B338,Pedidos!$A$2:$A$1801,0)),0)</f>
        <v/>
      </c>
      <c r="G338" s="21">
        <f>IF(F338=0,"",YEAR(F338))</f>
        <v/>
      </c>
      <c r="H338" s="21">
        <f>IF(F338=0,"",MONTH(F338))</f>
        <v/>
      </c>
      <c r="I338" s="21">
        <f>IFERROR(INDEX(Pedidos!$E$2:$E$1801,MATCH(B338,Pedidos!$A$2:$A$1801,0)),"")</f>
        <v/>
      </c>
      <c r="J338" s="21">
        <f>IFERROR(INDEX(Pedidos!$C$2:$C$1801,MATCH(B338,Pedidos!$A$2:$A$1801,0)),"")</f>
        <v/>
      </c>
      <c r="K338" s="21">
        <f>IFERROR(INDEX(Pedidos!$D$2:$D$1801,MATCH(B338,Pedidos!$A$2:$A$1801,0)),"")</f>
        <v/>
      </c>
      <c r="L338" s="21">
        <f>IFERROR(INDEX(Pedidos!$F$2:$F$1801,MATCH(B338,Pedidos!$A$2:$A$1801,0)),"")</f>
        <v/>
      </c>
      <c r="M338" s="22">
        <f>IFERROR(INDEX(Pedidos!$G$2:$G$1801,MATCH(B338,Pedidos!$A$2:$A$1801,0)),0)</f>
        <v/>
      </c>
      <c r="N338" s="21">
        <f>IFERROR(INDEX(Produtos!$B$2:$B$71,MATCH(C338,Produtos!$A$2:$A$71,0)),"")</f>
        <v/>
      </c>
      <c r="O338" s="21">
        <f>IFERROR(INDEX(Produtos!$C$2:$C$71,MATCH(C338,Produtos!$A$2:$A$71,0)),"")</f>
        <v/>
      </c>
      <c r="P338" s="21">
        <f>IFERROR(INDEX(Produtos!$D$2:$D$71,MATCH(C338,Produtos!$A$2:$A$71,0)),0)</f>
        <v/>
      </c>
      <c r="Q338" s="21">
        <f>IFERROR(INDEX(Produtos!$E$2:$E$71,MATCH(C338,Produtos!$A$2:$A$71,0)),0)</f>
        <v/>
      </c>
      <c r="R338" s="23">
        <f>D338*Q338</f>
        <v/>
      </c>
      <c r="S338" s="23">
        <f>R338*E338</f>
        <v/>
      </c>
      <c r="T338" s="23">
        <f>(R338-S338)*M338</f>
        <v/>
      </c>
      <c r="U338" s="23">
        <f>R338-S338-T338</f>
        <v/>
      </c>
      <c r="V338" s="23">
        <f>D338*P338</f>
        <v/>
      </c>
      <c r="W338" s="23">
        <f>U338-V338</f>
        <v/>
      </c>
      <c r="X338" s="24">
        <f>IFERROR(W338/U338,0)</f>
        <v/>
      </c>
    </row>
    <row r="339">
      <c r="A339" s="25">
        <f>ItensPedido!A339</f>
        <v/>
      </c>
      <c r="B339" s="25">
        <f>ItensPedido!B339</f>
        <v/>
      </c>
      <c r="C339" s="25">
        <f>ItensPedido!C339</f>
        <v/>
      </c>
      <c r="D339" s="25">
        <f>ItensPedido!D339</f>
        <v/>
      </c>
      <c r="E339" s="26">
        <f>ItensPedido!E339</f>
        <v/>
      </c>
      <c r="F339" s="25">
        <f>IFERROR(INDEX(Pedidos!$B$2:$B$1801,MATCH(B339,Pedidos!$A$2:$A$1801,0)),0)</f>
        <v/>
      </c>
      <c r="G339" s="25">
        <f>IF(F339=0,"",YEAR(F339))</f>
        <v/>
      </c>
      <c r="H339" s="25">
        <f>IF(F339=0,"",MONTH(F339))</f>
        <v/>
      </c>
      <c r="I339" s="25">
        <f>IFERROR(INDEX(Pedidos!$E$2:$E$1801,MATCH(B339,Pedidos!$A$2:$A$1801,0)),"")</f>
        <v/>
      </c>
      <c r="J339" s="25">
        <f>IFERROR(INDEX(Pedidos!$C$2:$C$1801,MATCH(B339,Pedidos!$A$2:$A$1801,0)),"")</f>
        <v/>
      </c>
      <c r="K339" s="25">
        <f>IFERROR(INDEX(Pedidos!$D$2:$D$1801,MATCH(B339,Pedidos!$A$2:$A$1801,0)),"")</f>
        <v/>
      </c>
      <c r="L339" s="25">
        <f>IFERROR(INDEX(Pedidos!$F$2:$F$1801,MATCH(B339,Pedidos!$A$2:$A$1801,0)),"")</f>
        <v/>
      </c>
      <c r="M339" s="26">
        <f>IFERROR(INDEX(Pedidos!$G$2:$G$1801,MATCH(B339,Pedidos!$A$2:$A$1801,0)),0)</f>
        <v/>
      </c>
      <c r="N339" s="25">
        <f>IFERROR(INDEX(Produtos!$B$2:$B$71,MATCH(C339,Produtos!$A$2:$A$71,0)),"")</f>
        <v/>
      </c>
      <c r="O339" s="25">
        <f>IFERROR(INDEX(Produtos!$C$2:$C$71,MATCH(C339,Produtos!$A$2:$A$71,0)),"")</f>
        <v/>
      </c>
      <c r="P339" s="25">
        <f>IFERROR(INDEX(Produtos!$D$2:$D$71,MATCH(C339,Produtos!$A$2:$A$71,0)),0)</f>
        <v/>
      </c>
      <c r="Q339" s="25">
        <f>IFERROR(INDEX(Produtos!$E$2:$E$71,MATCH(C339,Produtos!$A$2:$A$71,0)),0)</f>
        <v/>
      </c>
      <c r="R339" s="27">
        <f>D339*Q339</f>
        <v/>
      </c>
      <c r="S339" s="27">
        <f>R339*E339</f>
        <v/>
      </c>
      <c r="T339" s="27">
        <f>(R339-S339)*M339</f>
        <v/>
      </c>
      <c r="U339" s="27">
        <f>R339-S339-T339</f>
        <v/>
      </c>
      <c r="V339" s="27">
        <f>D339*P339</f>
        <v/>
      </c>
      <c r="W339" s="27">
        <f>U339-V339</f>
        <v/>
      </c>
      <c r="X339" s="28">
        <f>IFERROR(W339/U339,0)</f>
        <v/>
      </c>
    </row>
    <row r="340">
      <c r="A340" s="21">
        <f>ItensPedido!A340</f>
        <v/>
      </c>
      <c r="B340" s="21">
        <f>ItensPedido!B340</f>
        <v/>
      </c>
      <c r="C340" s="21">
        <f>ItensPedido!C340</f>
        <v/>
      </c>
      <c r="D340" s="21">
        <f>ItensPedido!D340</f>
        <v/>
      </c>
      <c r="E340" s="22">
        <f>ItensPedido!E340</f>
        <v/>
      </c>
      <c r="F340" s="21">
        <f>IFERROR(INDEX(Pedidos!$B$2:$B$1801,MATCH(B340,Pedidos!$A$2:$A$1801,0)),0)</f>
        <v/>
      </c>
      <c r="G340" s="21">
        <f>IF(F340=0,"",YEAR(F340))</f>
        <v/>
      </c>
      <c r="H340" s="21">
        <f>IF(F340=0,"",MONTH(F340))</f>
        <v/>
      </c>
      <c r="I340" s="21">
        <f>IFERROR(INDEX(Pedidos!$E$2:$E$1801,MATCH(B340,Pedidos!$A$2:$A$1801,0)),"")</f>
        <v/>
      </c>
      <c r="J340" s="21">
        <f>IFERROR(INDEX(Pedidos!$C$2:$C$1801,MATCH(B340,Pedidos!$A$2:$A$1801,0)),"")</f>
        <v/>
      </c>
      <c r="K340" s="21">
        <f>IFERROR(INDEX(Pedidos!$D$2:$D$1801,MATCH(B340,Pedidos!$A$2:$A$1801,0)),"")</f>
        <v/>
      </c>
      <c r="L340" s="21">
        <f>IFERROR(INDEX(Pedidos!$F$2:$F$1801,MATCH(B340,Pedidos!$A$2:$A$1801,0)),"")</f>
        <v/>
      </c>
      <c r="M340" s="22">
        <f>IFERROR(INDEX(Pedidos!$G$2:$G$1801,MATCH(B340,Pedidos!$A$2:$A$1801,0)),0)</f>
        <v/>
      </c>
      <c r="N340" s="21">
        <f>IFERROR(INDEX(Produtos!$B$2:$B$71,MATCH(C340,Produtos!$A$2:$A$71,0)),"")</f>
        <v/>
      </c>
      <c r="O340" s="21">
        <f>IFERROR(INDEX(Produtos!$C$2:$C$71,MATCH(C340,Produtos!$A$2:$A$71,0)),"")</f>
        <v/>
      </c>
      <c r="P340" s="21">
        <f>IFERROR(INDEX(Produtos!$D$2:$D$71,MATCH(C340,Produtos!$A$2:$A$71,0)),0)</f>
        <v/>
      </c>
      <c r="Q340" s="21">
        <f>IFERROR(INDEX(Produtos!$E$2:$E$71,MATCH(C340,Produtos!$A$2:$A$71,0)),0)</f>
        <v/>
      </c>
      <c r="R340" s="23">
        <f>D340*Q340</f>
        <v/>
      </c>
      <c r="S340" s="23">
        <f>R340*E340</f>
        <v/>
      </c>
      <c r="T340" s="23">
        <f>(R340-S340)*M340</f>
        <v/>
      </c>
      <c r="U340" s="23">
        <f>R340-S340-T340</f>
        <v/>
      </c>
      <c r="V340" s="23">
        <f>D340*P340</f>
        <v/>
      </c>
      <c r="W340" s="23">
        <f>U340-V340</f>
        <v/>
      </c>
      <c r="X340" s="24">
        <f>IFERROR(W340/U340,0)</f>
        <v/>
      </c>
    </row>
    <row r="341">
      <c r="A341" s="25">
        <f>ItensPedido!A341</f>
        <v/>
      </c>
      <c r="B341" s="25">
        <f>ItensPedido!B341</f>
        <v/>
      </c>
      <c r="C341" s="25">
        <f>ItensPedido!C341</f>
        <v/>
      </c>
      <c r="D341" s="25">
        <f>ItensPedido!D341</f>
        <v/>
      </c>
      <c r="E341" s="26">
        <f>ItensPedido!E341</f>
        <v/>
      </c>
      <c r="F341" s="25">
        <f>IFERROR(INDEX(Pedidos!$B$2:$B$1801,MATCH(B341,Pedidos!$A$2:$A$1801,0)),0)</f>
        <v/>
      </c>
      <c r="G341" s="25">
        <f>IF(F341=0,"",YEAR(F341))</f>
        <v/>
      </c>
      <c r="H341" s="25">
        <f>IF(F341=0,"",MONTH(F341))</f>
        <v/>
      </c>
      <c r="I341" s="25">
        <f>IFERROR(INDEX(Pedidos!$E$2:$E$1801,MATCH(B341,Pedidos!$A$2:$A$1801,0)),"")</f>
        <v/>
      </c>
      <c r="J341" s="25">
        <f>IFERROR(INDEX(Pedidos!$C$2:$C$1801,MATCH(B341,Pedidos!$A$2:$A$1801,0)),"")</f>
        <v/>
      </c>
      <c r="K341" s="25">
        <f>IFERROR(INDEX(Pedidos!$D$2:$D$1801,MATCH(B341,Pedidos!$A$2:$A$1801,0)),"")</f>
        <v/>
      </c>
      <c r="L341" s="25">
        <f>IFERROR(INDEX(Pedidos!$F$2:$F$1801,MATCH(B341,Pedidos!$A$2:$A$1801,0)),"")</f>
        <v/>
      </c>
      <c r="M341" s="26">
        <f>IFERROR(INDEX(Pedidos!$G$2:$G$1801,MATCH(B341,Pedidos!$A$2:$A$1801,0)),0)</f>
        <v/>
      </c>
      <c r="N341" s="25">
        <f>IFERROR(INDEX(Produtos!$B$2:$B$71,MATCH(C341,Produtos!$A$2:$A$71,0)),"")</f>
        <v/>
      </c>
      <c r="O341" s="25">
        <f>IFERROR(INDEX(Produtos!$C$2:$C$71,MATCH(C341,Produtos!$A$2:$A$71,0)),"")</f>
        <v/>
      </c>
      <c r="P341" s="25">
        <f>IFERROR(INDEX(Produtos!$D$2:$D$71,MATCH(C341,Produtos!$A$2:$A$71,0)),0)</f>
        <v/>
      </c>
      <c r="Q341" s="25">
        <f>IFERROR(INDEX(Produtos!$E$2:$E$71,MATCH(C341,Produtos!$A$2:$A$71,0)),0)</f>
        <v/>
      </c>
      <c r="R341" s="27">
        <f>D341*Q341</f>
        <v/>
      </c>
      <c r="S341" s="27">
        <f>R341*E341</f>
        <v/>
      </c>
      <c r="T341" s="27">
        <f>(R341-S341)*M341</f>
        <v/>
      </c>
      <c r="U341" s="27">
        <f>R341-S341-T341</f>
        <v/>
      </c>
      <c r="V341" s="27">
        <f>D341*P341</f>
        <v/>
      </c>
      <c r="W341" s="27">
        <f>U341-V341</f>
        <v/>
      </c>
      <c r="X341" s="28">
        <f>IFERROR(W341/U341,0)</f>
        <v/>
      </c>
    </row>
    <row r="342">
      <c r="A342" s="21">
        <f>ItensPedido!A342</f>
        <v/>
      </c>
      <c r="B342" s="21">
        <f>ItensPedido!B342</f>
        <v/>
      </c>
      <c r="C342" s="21">
        <f>ItensPedido!C342</f>
        <v/>
      </c>
      <c r="D342" s="21">
        <f>ItensPedido!D342</f>
        <v/>
      </c>
      <c r="E342" s="22">
        <f>ItensPedido!E342</f>
        <v/>
      </c>
      <c r="F342" s="21">
        <f>IFERROR(INDEX(Pedidos!$B$2:$B$1801,MATCH(B342,Pedidos!$A$2:$A$1801,0)),0)</f>
        <v/>
      </c>
      <c r="G342" s="21">
        <f>IF(F342=0,"",YEAR(F342))</f>
        <v/>
      </c>
      <c r="H342" s="21">
        <f>IF(F342=0,"",MONTH(F342))</f>
        <v/>
      </c>
      <c r="I342" s="21">
        <f>IFERROR(INDEX(Pedidos!$E$2:$E$1801,MATCH(B342,Pedidos!$A$2:$A$1801,0)),"")</f>
        <v/>
      </c>
      <c r="J342" s="21">
        <f>IFERROR(INDEX(Pedidos!$C$2:$C$1801,MATCH(B342,Pedidos!$A$2:$A$1801,0)),"")</f>
        <v/>
      </c>
      <c r="K342" s="21">
        <f>IFERROR(INDEX(Pedidos!$D$2:$D$1801,MATCH(B342,Pedidos!$A$2:$A$1801,0)),"")</f>
        <v/>
      </c>
      <c r="L342" s="21">
        <f>IFERROR(INDEX(Pedidos!$F$2:$F$1801,MATCH(B342,Pedidos!$A$2:$A$1801,0)),"")</f>
        <v/>
      </c>
      <c r="M342" s="22">
        <f>IFERROR(INDEX(Pedidos!$G$2:$G$1801,MATCH(B342,Pedidos!$A$2:$A$1801,0)),0)</f>
        <v/>
      </c>
      <c r="N342" s="21">
        <f>IFERROR(INDEX(Produtos!$B$2:$B$71,MATCH(C342,Produtos!$A$2:$A$71,0)),"")</f>
        <v/>
      </c>
      <c r="O342" s="21">
        <f>IFERROR(INDEX(Produtos!$C$2:$C$71,MATCH(C342,Produtos!$A$2:$A$71,0)),"")</f>
        <v/>
      </c>
      <c r="P342" s="21">
        <f>IFERROR(INDEX(Produtos!$D$2:$D$71,MATCH(C342,Produtos!$A$2:$A$71,0)),0)</f>
        <v/>
      </c>
      <c r="Q342" s="21">
        <f>IFERROR(INDEX(Produtos!$E$2:$E$71,MATCH(C342,Produtos!$A$2:$A$71,0)),0)</f>
        <v/>
      </c>
      <c r="R342" s="23">
        <f>D342*Q342</f>
        <v/>
      </c>
      <c r="S342" s="23">
        <f>R342*E342</f>
        <v/>
      </c>
      <c r="T342" s="23">
        <f>(R342-S342)*M342</f>
        <v/>
      </c>
      <c r="U342" s="23">
        <f>R342-S342-T342</f>
        <v/>
      </c>
      <c r="V342" s="23">
        <f>D342*P342</f>
        <v/>
      </c>
      <c r="W342" s="23">
        <f>U342-V342</f>
        <v/>
      </c>
      <c r="X342" s="24">
        <f>IFERROR(W342/U342,0)</f>
        <v/>
      </c>
    </row>
    <row r="343">
      <c r="A343" s="25">
        <f>ItensPedido!A343</f>
        <v/>
      </c>
      <c r="B343" s="25">
        <f>ItensPedido!B343</f>
        <v/>
      </c>
      <c r="C343" s="25">
        <f>ItensPedido!C343</f>
        <v/>
      </c>
      <c r="D343" s="25">
        <f>ItensPedido!D343</f>
        <v/>
      </c>
      <c r="E343" s="26">
        <f>ItensPedido!E343</f>
        <v/>
      </c>
      <c r="F343" s="25">
        <f>IFERROR(INDEX(Pedidos!$B$2:$B$1801,MATCH(B343,Pedidos!$A$2:$A$1801,0)),0)</f>
        <v/>
      </c>
      <c r="G343" s="25">
        <f>IF(F343=0,"",YEAR(F343))</f>
        <v/>
      </c>
      <c r="H343" s="25">
        <f>IF(F343=0,"",MONTH(F343))</f>
        <v/>
      </c>
      <c r="I343" s="25">
        <f>IFERROR(INDEX(Pedidos!$E$2:$E$1801,MATCH(B343,Pedidos!$A$2:$A$1801,0)),"")</f>
        <v/>
      </c>
      <c r="J343" s="25">
        <f>IFERROR(INDEX(Pedidos!$C$2:$C$1801,MATCH(B343,Pedidos!$A$2:$A$1801,0)),"")</f>
        <v/>
      </c>
      <c r="K343" s="25">
        <f>IFERROR(INDEX(Pedidos!$D$2:$D$1801,MATCH(B343,Pedidos!$A$2:$A$1801,0)),"")</f>
        <v/>
      </c>
      <c r="L343" s="25">
        <f>IFERROR(INDEX(Pedidos!$F$2:$F$1801,MATCH(B343,Pedidos!$A$2:$A$1801,0)),"")</f>
        <v/>
      </c>
      <c r="M343" s="26">
        <f>IFERROR(INDEX(Pedidos!$G$2:$G$1801,MATCH(B343,Pedidos!$A$2:$A$1801,0)),0)</f>
        <v/>
      </c>
      <c r="N343" s="25">
        <f>IFERROR(INDEX(Produtos!$B$2:$B$71,MATCH(C343,Produtos!$A$2:$A$71,0)),"")</f>
        <v/>
      </c>
      <c r="O343" s="25">
        <f>IFERROR(INDEX(Produtos!$C$2:$C$71,MATCH(C343,Produtos!$A$2:$A$71,0)),"")</f>
        <v/>
      </c>
      <c r="P343" s="25">
        <f>IFERROR(INDEX(Produtos!$D$2:$D$71,MATCH(C343,Produtos!$A$2:$A$71,0)),0)</f>
        <v/>
      </c>
      <c r="Q343" s="25">
        <f>IFERROR(INDEX(Produtos!$E$2:$E$71,MATCH(C343,Produtos!$A$2:$A$71,0)),0)</f>
        <v/>
      </c>
      <c r="R343" s="27">
        <f>D343*Q343</f>
        <v/>
      </c>
      <c r="S343" s="27">
        <f>R343*E343</f>
        <v/>
      </c>
      <c r="T343" s="27">
        <f>(R343-S343)*M343</f>
        <v/>
      </c>
      <c r="U343" s="27">
        <f>R343-S343-T343</f>
        <v/>
      </c>
      <c r="V343" s="27">
        <f>D343*P343</f>
        <v/>
      </c>
      <c r="W343" s="27">
        <f>U343-V343</f>
        <v/>
      </c>
      <c r="X343" s="28">
        <f>IFERROR(W343/U343,0)</f>
        <v/>
      </c>
    </row>
    <row r="344">
      <c r="A344" s="21">
        <f>ItensPedido!A344</f>
        <v/>
      </c>
      <c r="B344" s="21">
        <f>ItensPedido!B344</f>
        <v/>
      </c>
      <c r="C344" s="21">
        <f>ItensPedido!C344</f>
        <v/>
      </c>
      <c r="D344" s="21">
        <f>ItensPedido!D344</f>
        <v/>
      </c>
      <c r="E344" s="22">
        <f>ItensPedido!E344</f>
        <v/>
      </c>
      <c r="F344" s="21">
        <f>IFERROR(INDEX(Pedidos!$B$2:$B$1801,MATCH(B344,Pedidos!$A$2:$A$1801,0)),0)</f>
        <v/>
      </c>
      <c r="G344" s="21">
        <f>IF(F344=0,"",YEAR(F344))</f>
        <v/>
      </c>
      <c r="H344" s="21">
        <f>IF(F344=0,"",MONTH(F344))</f>
        <v/>
      </c>
      <c r="I344" s="21">
        <f>IFERROR(INDEX(Pedidos!$E$2:$E$1801,MATCH(B344,Pedidos!$A$2:$A$1801,0)),"")</f>
        <v/>
      </c>
      <c r="J344" s="21">
        <f>IFERROR(INDEX(Pedidos!$C$2:$C$1801,MATCH(B344,Pedidos!$A$2:$A$1801,0)),"")</f>
        <v/>
      </c>
      <c r="K344" s="21">
        <f>IFERROR(INDEX(Pedidos!$D$2:$D$1801,MATCH(B344,Pedidos!$A$2:$A$1801,0)),"")</f>
        <v/>
      </c>
      <c r="L344" s="21">
        <f>IFERROR(INDEX(Pedidos!$F$2:$F$1801,MATCH(B344,Pedidos!$A$2:$A$1801,0)),"")</f>
        <v/>
      </c>
      <c r="M344" s="22">
        <f>IFERROR(INDEX(Pedidos!$G$2:$G$1801,MATCH(B344,Pedidos!$A$2:$A$1801,0)),0)</f>
        <v/>
      </c>
      <c r="N344" s="21">
        <f>IFERROR(INDEX(Produtos!$B$2:$B$71,MATCH(C344,Produtos!$A$2:$A$71,0)),"")</f>
        <v/>
      </c>
      <c r="O344" s="21">
        <f>IFERROR(INDEX(Produtos!$C$2:$C$71,MATCH(C344,Produtos!$A$2:$A$71,0)),"")</f>
        <v/>
      </c>
      <c r="P344" s="21">
        <f>IFERROR(INDEX(Produtos!$D$2:$D$71,MATCH(C344,Produtos!$A$2:$A$71,0)),0)</f>
        <v/>
      </c>
      <c r="Q344" s="21">
        <f>IFERROR(INDEX(Produtos!$E$2:$E$71,MATCH(C344,Produtos!$A$2:$A$71,0)),0)</f>
        <v/>
      </c>
      <c r="R344" s="23">
        <f>D344*Q344</f>
        <v/>
      </c>
      <c r="S344" s="23">
        <f>R344*E344</f>
        <v/>
      </c>
      <c r="T344" s="23">
        <f>(R344-S344)*M344</f>
        <v/>
      </c>
      <c r="U344" s="23">
        <f>R344-S344-T344</f>
        <v/>
      </c>
      <c r="V344" s="23">
        <f>D344*P344</f>
        <v/>
      </c>
      <c r="W344" s="23">
        <f>U344-V344</f>
        <v/>
      </c>
      <c r="X344" s="24">
        <f>IFERROR(W344/U344,0)</f>
        <v/>
      </c>
    </row>
    <row r="345">
      <c r="A345" s="25">
        <f>ItensPedido!A345</f>
        <v/>
      </c>
      <c r="B345" s="25">
        <f>ItensPedido!B345</f>
        <v/>
      </c>
      <c r="C345" s="25">
        <f>ItensPedido!C345</f>
        <v/>
      </c>
      <c r="D345" s="25">
        <f>ItensPedido!D345</f>
        <v/>
      </c>
      <c r="E345" s="26">
        <f>ItensPedido!E345</f>
        <v/>
      </c>
      <c r="F345" s="25">
        <f>IFERROR(INDEX(Pedidos!$B$2:$B$1801,MATCH(B345,Pedidos!$A$2:$A$1801,0)),0)</f>
        <v/>
      </c>
      <c r="G345" s="25">
        <f>IF(F345=0,"",YEAR(F345))</f>
        <v/>
      </c>
      <c r="H345" s="25">
        <f>IF(F345=0,"",MONTH(F345))</f>
        <v/>
      </c>
      <c r="I345" s="25">
        <f>IFERROR(INDEX(Pedidos!$E$2:$E$1801,MATCH(B345,Pedidos!$A$2:$A$1801,0)),"")</f>
        <v/>
      </c>
      <c r="J345" s="25">
        <f>IFERROR(INDEX(Pedidos!$C$2:$C$1801,MATCH(B345,Pedidos!$A$2:$A$1801,0)),"")</f>
        <v/>
      </c>
      <c r="K345" s="25">
        <f>IFERROR(INDEX(Pedidos!$D$2:$D$1801,MATCH(B345,Pedidos!$A$2:$A$1801,0)),"")</f>
        <v/>
      </c>
      <c r="L345" s="25">
        <f>IFERROR(INDEX(Pedidos!$F$2:$F$1801,MATCH(B345,Pedidos!$A$2:$A$1801,0)),"")</f>
        <v/>
      </c>
      <c r="M345" s="26">
        <f>IFERROR(INDEX(Pedidos!$G$2:$G$1801,MATCH(B345,Pedidos!$A$2:$A$1801,0)),0)</f>
        <v/>
      </c>
      <c r="N345" s="25">
        <f>IFERROR(INDEX(Produtos!$B$2:$B$71,MATCH(C345,Produtos!$A$2:$A$71,0)),"")</f>
        <v/>
      </c>
      <c r="O345" s="25">
        <f>IFERROR(INDEX(Produtos!$C$2:$C$71,MATCH(C345,Produtos!$A$2:$A$71,0)),"")</f>
        <v/>
      </c>
      <c r="P345" s="25">
        <f>IFERROR(INDEX(Produtos!$D$2:$D$71,MATCH(C345,Produtos!$A$2:$A$71,0)),0)</f>
        <v/>
      </c>
      <c r="Q345" s="25">
        <f>IFERROR(INDEX(Produtos!$E$2:$E$71,MATCH(C345,Produtos!$A$2:$A$71,0)),0)</f>
        <v/>
      </c>
      <c r="R345" s="27">
        <f>D345*Q345</f>
        <v/>
      </c>
      <c r="S345" s="27">
        <f>R345*E345</f>
        <v/>
      </c>
      <c r="T345" s="27">
        <f>(R345-S345)*M345</f>
        <v/>
      </c>
      <c r="U345" s="27">
        <f>R345-S345-T345</f>
        <v/>
      </c>
      <c r="V345" s="27">
        <f>D345*P345</f>
        <v/>
      </c>
      <c r="W345" s="27">
        <f>U345-V345</f>
        <v/>
      </c>
      <c r="X345" s="28">
        <f>IFERROR(W345/U345,0)</f>
        <v/>
      </c>
    </row>
    <row r="346">
      <c r="A346" s="21">
        <f>ItensPedido!A346</f>
        <v/>
      </c>
      <c r="B346" s="21">
        <f>ItensPedido!B346</f>
        <v/>
      </c>
      <c r="C346" s="21">
        <f>ItensPedido!C346</f>
        <v/>
      </c>
      <c r="D346" s="21">
        <f>ItensPedido!D346</f>
        <v/>
      </c>
      <c r="E346" s="22">
        <f>ItensPedido!E346</f>
        <v/>
      </c>
      <c r="F346" s="21">
        <f>IFERROR(INDEX(Pedidos!$B$2:$B$1801,MATCH(B346,Pedidos!$A$2:$A$1801,0)),0)</f>
        <v/>
      </c>
      <c r="G346" s="21">
        <f>IF(F346=0,"",YEAR(F346))</f>
        <v/>
      </c>
      <c r="H346" s="21">
        <f>IF(F346=0,"",MONTH(F346))</f>
        <v/>
      </c>
      <c r="I346" s="21">
        <f>IFERROR(INDEX(Pedidos!$E$2:$E$1801,MATCH(B346,Pedidos!$A$2:$A$1801,0)),"")</f>
        <v/>
      </c>
      <c r="J346" s="21">
        <f>IFERROR(INDEX(Pedidos!$C$2:$C$1801,MATCH(B346,Pedidos!$A$2:$A$1801,0)),"")</f>
        <v/>
      </c>
      <c r="K346" s="21">
        <f>IFERROR(INDEX(Pedidos!$D$2:$D$1801,MATCH(B346,Pedidos!$A$2:$A$1801,0)),"")</f>
        <v/>
      </c>
      <c r="L346" s="21">
        <f>IFERROR(INDEX(Pedidos!$F$2:$F$1801,MATCH(B346,Pedidos!$A$2:$A$1801,0)),"")</f>
        <v/>
      </c>
      <c r="M346" s="22">
        <f>IFERROR(INDEX(Pedidos!$G$2:$G$1801,MATCH(B346,Pedidos!$A$2:$A$1801,0)),0)</f>
        <v/>
      </c>
      <c r="N346" s="21">
        <f>IFERROR(INDEX(Produtos!$B$2:$B$71,MATCH(C346,Produtos!$A$2:$A$71,0)),"")</f>
        <v/>
      </c>
      <c r="O346" s="21">
        <f>IFERROR(INDEX(Produtos!$C$2:$C$71,MATCH(C346,Produtos!$A$2:$A$71,0)),"")</f>
        <v/>
      </c>
      <c r="P346" s="21">
        <f>IFERROR(INDEX(Produtos!$D$2:$D$71,MATCH(C346,Produtos!$A$2:$A$71,0)),0)</f>
        <v/>
      </c>
      <c r="Q346" s="21">
        <f>IFERROR(INDEX(Produtos!$E$2:$E$71,MATCH(C346,Produtos!$A$2:$A$71,0)),0)</f>
        <v/>
      </c>
      <c r="R346" s="23">
        <f>D346*Q346</f>
        <v/>
      </c>
      <c r="S346" s="23">
        <f>R346*E346</f>
        <v/>
      </c>
      <c r="T346" s="23">
        <f>(R346-S346)*M346</f>
        <v/>
      </c>
      <c r="U346" s="23">
        <f>R346-S346-T346</f>
        <v/>
      </c>
      <c r="V346" s="23">
        <f>D346*P346</f>
        <v/>
      </c>
      <c r="W346" s="23">
        <f>U346-V346</f>
        <v/>
      </c>
      <c r="X346" s="24">
        <f>IFERROR(W346/U346,0)</f>
        <v/>
      </c>
    </row>
    <row r="347">
      <c r="A347" s="25">
        <f>ItensPedido!A347</f>
        <v/>
      </c>
      <c r="B347" s="25">
        <f>ItensPedido!B347</f>
        <v/>
      </c>
      <c r="C347" s="25">
        <f>ItensPedido!C347</f>
        <v/>
      </c>
      <c r="D347" s="25">
        <f>ItensPedido!D347</f>
        <v/>
      </c>
      <c r="E347" s="26">
        <f>ItensPedido!E347</f>
        <v/>
      </c>
      <c r="F347" s="25">
        <f>IFERROR(INDEX(Pedidos!$B$2:$B$1801,MATCH(B347,Pedidos!$A$2:$A$1801,0)),0)</f>
        <v/>
      </c>
      <c r="G347" s="25">
        <f>IF(F347=0,"",YEAR(F347))</f>
        <v/>
      </c>
      <c r="H347" s="25">
        <f>IF(F347=0,"",MONTH(F347))</f>
        <v/>
      </c>
      <c r="I347" s="25">
        <f>IFERROR(INDEX(Pedidos!$E$2:$E$1801,MATCH(B347,Pedidos!$A$2:$A$1801,0)),"")</f>
        <v/>
      </c>
      <c r="J347" s="25">
        <f>IFERROR(INDEX(Pedidos!$C$2:$C$1801,MATCH(B347,Pedidos!$A$2:$A$1801,0)),"")</f>
        <v/>
      </c>
      <c r="K347" s="25">
        <f>IFERROR(INDEX(Pedidos!$D$2:$D$1801,MATCH(B347,Pedidos!$A$2:$A$1801,0)),"")</f>
        <v/>
      </c>
      <c r="L347" s="25">
        <f>IFERROR(INDEX(Pedidos!$F$2:$F$1801,MATCH(B347,Pedidos!$A$2:$A$1801,0)),"")</f>
        <v/>
      </c>
      <c r="M347" s="26">
        <f>IFERROR(INDEX(Pedidos!$G$2:$G$1801,MATCH(B347,Pedidos!$A$2:$A$1801,0)),0)</f>
        <v/>
      </c>
      <c r="N347" s="25">
        <f>IFERROR(INDEX(Produtos!$B$2:$B$71,MATCH(C347,Produtos!$A$2:$A$71,0)),"")</f>
        <v/>
      </c>
      <c r="O347" s="25">
        <f>IFERROR(INDEX(Produtos!$C$2:$C$71,MATCH(C347,Produtos!$A$2:$A$71,0)),"")</f>
        <v/>
      </c>
      <c r="P347" s="25">
        <f>IFERROR(INDEX(Produtos!$D$2:$D$71,MATCH(C347,Produtos!$A$2:$A$71,0)),0)</f>
        <v/>
      </c>
      <c r="Q347" s="25">
        <f>IFERROR(INDEX(Produtos!$E$2:$E$71,MATCH(C347,Produtos!$A$2:$A$71,0)),0)</f>
        <v/>
      </c>
      <c r="R347" s="27">
        <f>D347*Q347</f>
        <v/>
      </c>
      <c r="S347" s="27">
        <f>R347*E347</f>
        <v/>
      </c>
      <c r="T347" s="27">
        <f>(R347-S347)*M347</f>
        <v/>
      </c>
      <c r="U347" s="27">
        <f>R347-S347-T347</f>
        <v/>
      </c>
      <c r="V347" s="27">
        <f>D347*P347</f>
        <v/>
      </c>
      <c r="W347" s="27">
        <f>U347-V347</f>
        <v/>
      </c>
      <c r="X347" s="28">
        <f>IFERROR(W347/U347,0)</f>
        <v/>
      </c>
    </row>
    <row r="348">
      <c r="A348" s="21">
        <f>ItensPedido!A348</f>
        <v/>
      </c>
      <c r="B348" s="21">
        <f>ItensPedido!B348</f>
        <v/>
      </c>
      <c r="C348" s="21">
        <f>ItensPedido!C348</f>
        <v/>
      </c>
      <c r="D348" s="21">
        <f>ItensPedido!D348</f>
        <v/>
      </c>
      <c r="E348" s="22">
        <f>ItensPedido!E348</f>
        <v/>
      </c>
      <c r="F348" s="21">
        <f>IFERROR(INDEX(Pedidos!$B$2:$B$1801,MATCH(B348,Pedidos!$A$2:$A$1801,0)),0)</f>
        <v/>
      </c>
      <c r="G348" s="21">
        <f>IF(F348=0,"",YEAR(F348))</f>
        <v/>
      </c>
      <c r="H348" s="21">
        <f>IF(F348=0,"",MONTH(F348))</f>
        <v/>
      </c>
      <c r="I348" s="21">
        <f>IFERROR(INDEX(Pedidos!$E$2:$E$1801,MATCH(B348,Pedidos!$A$2:$A$1801,0)),"")</f>
        <v/>
      </c>
      <c r="J348" s="21">
        <f>IFERROR(INDEX(Pedidos!$C$2:$C$1801,MATCH(B348,Pedidos!$A$2:$A$1801,0)),"")</f>
        <v/>
      </c>
      <c r="K348" s="21">
        <f>IFERROR(INDEX(Pedidos!$D$2:$D$1801,MATCH(B348,Pedidos!$A$2:$A$1801,0)),"")</f>
        <v/>
      </c>
      <c r="L348" s="21">
        <f>IFERROR(INDEX(Pedidos!$F$2:$F$1801,MATCH(B348,Pedidos!$A$2:$A$1801,0)),"")</f>
        <v/>
      </c>
      <c r="M348" s="22">
        <f>IFERROR(INDEX(Pedidos!$G$2:$G$1801,MATCH(B348,Pedidos!$A$2:$A$1801,0)),0)</f>
        <v/>
      </c>
      <c r="N348" s="21">
        <f>IFERROR(INDEX(Produtos!$B$2:$B$71,MATCH(C348,Produtos!$A$2:$A$71,0)),"")</f>
        <v/>
      </c>
      <c r="O348" s="21">
        <f>IFERROR(INDEX(Produtos!$C$2:$C$71,MATCH(C348,Produtos!$A$2:$A$71,0)),"")</f>
        <v/>
      </c>
      <c r="P348" s="21">
        <f>IFERROR(INDEX(Produtos!$D$2:$D$71,MATCH(C348,Produtos!$A$2:$A$71,0)),0)</f>
        <v/>
      </c>
      <c r="Q348" s="21">
        <f>IFERROR(INDEX(Produtos!$E$2:$E$71,MATCH(C348,Produtos!$A$2:$A$71,0)),0)</f>
        <v/>
      </c>
      <c r="R348" s="23">
        <f>D348*Q348</f>
        <v/>
      </c>
      <c r="S348" s="23">
        <f>R348*E348</f>
        <v/>
      </c>
      <c r="T348" s="23">
        <f>(R348-S348)*M348</f>
        <v/>
      </c>
      <c r="U348" s="23">
        <f>R348-S348-T348</f>
        <v/>
      </c>
      <c r="V348" s="23">
        <f>D348*P348</f>
        <v/>
      </c>
      <c r="W348" s="23">
        <f>U348-V348</f>
        <v/>
      </c>
      <c r="X348" s="24">
        <f>IFERROR(W348/U348,0)</f>
        <v/>
      </c>
    </row>
    <row r="349">
      <c r="A349" s="25">
        <f>ItensPedido!A349</f>
        <v/>
      </c>
      <c r="B349" s="25">
        <f>ItensPedido!B349</f>
        <v/>
      </c>
      <c r="C349" s="25">
        <f>ItensPedido!C349</f>
        <v/>
      </c>
      <c r="D349" s="25">
        <f>ItensPedido!D349</f>
        <v/>
      </c>
      <c r="E349" s="26">
        <f>ItensPedido!E349</f>
        <v/>
      </c>
      <c r="F349" s="25">
        <f>IFERROR(INDEX(Pedidos!$B$2:$B$1801,MATCH(B349,Pedidos!$A$2:$A$1801,0)),0)</f>
        <v/>
      </c>
      <c r="G349" s="25">
        <f>IF(F349=0,"",YEAR(F349))</f>
        <v/>
      </c>
      <c r="H349" s="25">
        <f>IF(F349=0,"",MONTH(F349))</f>
        <v/>
      </c>
      <c r="I349" s="25">
        <f>IFERROR(INDEX(Pedidos!$E$2:$E$1801,MATCH(B349,Pedidos!$A$2:$A$1801,0)),"")</f>
        <v/>
      </c>
      <c r="J349" s="25">
        <f>IFERROR(INDEX(Pedidos!$C$2:$C$1801,MATCH(B349,Pedidos!$A$2:$A$1801,0)),"")</f>
        <v/>
      </c>
      <c r="K349" s="25">
        <f>IFERROR(INDEX(Pedidos!$D$2:$D$1801,MATCH(B349,Pedidos!$A$2:$A$1801,0)),"")</f>
        <v/>
      </c>
      <c r="L349" s="25">
        <f>IFERROR(INDEX(Pedidos!$F$2:$F$1801,MATCH(B349,Pedidos!$A$2:$A$1801,0)),"")</f>
        <v/>
      </c>
      <c r="M349" s="26">
        <f>IFERROR(INDEX(Pedidos!$G$2:$G$1801,MATCH(B349,Pedidos!$A$2:$A$1801,0)),0)</f>
        <v/>
      </c>
      <c r="N349" s="25">
        <f>IFERROR(INDEX(Produtos!$B$2:$B$71,MATCH(C349,Produtos!$A$2:$A$71,0)),"")</f>
        <v/>
      </c>
      <c r="O349" s="25">
        <f>IFERROR(INDEX(Produtos!$C$2:$C$71,MATCH(C349,Produtos!$A$2:$A$71,0)),"")</f>
        <v/>
      </c>
      <c r="P349" s="25">
        <f>IFERROR(INDEX(Produtos!$D$2:$D$71,MATCH(C349,Produtos!$A$2:$A$71,0)),0)</f>
        <v/>
      </c>
      <c r="Q349" s="25">
        <f>IFERROR(INDEX(Produtos!$E$2:$E$71,MATCH(C349,Produtos!$A$2:$A$71,0)),0)</f>
        <v/>
      </c>
      <c r="R349" s="27">
        <f>D349*Q349</f>
        <v/>
      </c>
      <c r="S349" s="27">
        <f>R349*E349</f>
        <v/>
      </c>
      <c r="T349" s="27">
        <f>(R349-S349)*M349</f>
        <v/>
      </c>
      <c r="U349" s="27">
        <f>R349-S349-T349</f>
        <v/>
      </c>
      <c r="V349" s="27">
        <f>D349*P349</f>
        <v/>
      </c>
      <c r="W349" s="27">
        <f>U349-V349</f>
        <v/>
      </c>
      <c r="X349" s="28">
        <f>IFERROR(W349/U349,0)</f>
        <v/>
      </c>
    </row>
    <row r="350">
      <c r="A350" s="21">
        <f>ItensPedido!A350</f>
        <v/>
      </c>
      <c r="B350" s="21">
        <f>ItensPedido!B350</f>
        <v/>
      </c>
      <c r="C350" s="21">
        <f>ItensPedido!C350</f>
        <v/>
      </c>
      <c r="D350" s="21">
        <f>ItensPedido!D350</f>
        <v/>
      </c>
      <c r="E350" s="22">
        <f>ItensPedido!E350</f>
        <v/>
      </c>
      <c r="F350" s="21">
        <f>IFERROR(INDEX(Pedidos!$B$2:$B$1801,MATCH(B350,Pedidos!$A$2:$A$1801,0)),0)</f>
        <v/>
      </c>
      <c r="G350" s="21">
        <f>IF(F350=0,"",YEAR(F350))</f>
        <v/>
      </c>
      <c r="H350" s="21">
        <f>IF(F350=0,"",MONTH(F350))</f>
        <v/>
      </c>
      <c r="I350" s="21">
        <f>IFERROR(INDEX(Pedidos!$E$2:$E$1801,MATCH(B350,Pedidos!$A$2:$A$1801,0)),"")</f>
        <v/>
      </c>
      <c r="J350" s="21">
        <f>IFERROR(INDEX(Pedidos!$C$2:$C$1801,MATCH(B350,Pedidos!$A$2:$A$1801,0)),"")</f>
        <v/>
      </c>
      <c r="K350" s="21">
        <f>IFERROR(INDEX(Pedidos!$D$2:$D$1801,MATCH(B350,Pedidos!$A$2:$A$1801,0)),"")</f>
        <v/>
      </c>
      <c r="L350" s="21">
        <f>IFERROR(INDEX(Pedidos!$F$2:$F$1801,MATCH(B350,Pedidos!$A$2:$A$1801,0)),"")</f>
        <v/>
      </c>
      <c r="M350" s="22">
        <f>IFERROR(INDEX(Pedidos!$G$2:$G$1801,MATCH(B350,Pedidos!$A$2:$A$1801,0)),0)</f>
        <v/>
      </c>
      <c r="N350" s="21">
        <f>IFERROR(INDEX(Produtos!$B$2:$B$71,MATCH(C350,Produtos!$A$2:$A$71,0)),"")</f>
        <v/>
      </c>
      <c r="O350" s="21">
        <f>IFERROR(INDEX(Produtos!$C$2:$C$71,MATCH(C350,Produtos!$A$2:$A$71,0)),"")</f>
        <v/>
      </c>
      <c r="P350" s="21">
        <f>IFERROR(INDEX(Produtos!$D$2:$D$71,MATCH(C350,Produtos!$A$2:$A$71,0)),0)</f>
        <v/>
      </c>
      <c r="Q350" s="21">
        <f>IFERROR(INDEX(Produtos!$E$2:$E$71,MATCH(C350,Produtos!$A$2:$A$71,0)),0)</f>
        <v/>
      </c>
      <c r="R350" s="23">
        <f>D350*Q350</f>
        <v/>
      </c>
      <c r="S350" s="23">
        <f>R350*E350</f>
        <v/>
      </c>
      <c r="T350" s="23">
        <f>(R350-S350)*M350</f>
        <v/>
      </c>
      <c r="U350" s="23">
        <f>R350-S350-T350</f>
        <v/>
      </c>
      <c r="V350" s="23">
        <f>D350*P350</f>
        <v/>
      </c>
      <c r="W350" s="23">
        <f>U350-V350</f>
        <v/>
      </c>
      <c r="X350" s="24">
        <f>IFERROR(W350/U350,0)</f>
        <v/>
      </c>
    </row>
    <row r="351">
      <c r="A351" s="25">
        <f>ItensPedido!A351</f>
        <v/>
      </c>
      <c r="B351" s="25">
        <f>ItensPedido!B351</f>
        <v/>
      </c>
      <c r="C351" s="25">
        <f>ItensPedido!C351</f>
        <v/>
      </c>
      <c r="D351" s="25">
        <f>ItensPedido!D351</f>
        <v/>
      </c>
      <c r="E351" s="26">
        <f>ItensPedido!E351</f>
        <v/>
      </c>
      <c r="F351" s="25">
        <f>IFERROR(INDEX(Pedidos!$B$2:$B$1801,MATCH(B351,Pedidos!$A$2:$A$1801,0)),0)</f>
        <v/>
      </c>
      <c r="G351" s="25">
        <f>IF(F351=0,"",YEAR(F351))</f>
        <v/>
      </c>
      <c r="H351" s="25">
        <f>IF(F351=0,"",MONTH(F351))</f>
        <v/>
      </c>
      <c r="I351" s="25">
        <f>IFERROR(INDEX(Pedidos!$E$2:$E$1801,MATCH(B351,Pedidos!$A$2:$A$1801,0)),"")</f>
        <v/>
      </c>
      <c r="J351" s="25">
        <f>IFERROR(INDEX(Pedidos!$C$2:$C$1801,MATCH(B351,Pedidos!$A$2:$A$1801,0)),"")</f>
        <v/>
      </c>
      <c r="K351" s="25">
        <f>IFERROR(INDEX(Pedidos!$D$2:$D$1801,MATCH(B351,Pedidos!$A$2:$A$1801,0)),"")</f>
        <v/>
      </c>
      <c r="L351" s="25">
        <f>IFERROR(INDEX(Pedidos!$F$2:$F$1801,MATCH(B351,Pedidos!$A$2:$A$1801,0)),"")</f>
        <v/>
      </c>
      <c r="M351" s="26">
        <f>IFERROR(INDEX(Pedidos!$G$2:$G$1801,MATCH(B351,Pedidos!$A$2:$A$1801,0)),0)</f>
        <v/>
      </c>
      <c r="N351" s="25">
        <f>IFERROR(INDEX(Produtos!$B$2:$B$71,MATCH(C351,Produtos!$A$2:$A$71,0)),"")</f>
        <v/>
      </c>
      <c r="O351" s="25">
        <f>IFERROR(INDEX(Produtos!$C$2:$C$71,MATCH(C351,Produtos!$A$2:$A$71,0)),"")</f>
        <v/>
      </c>
      <c r="P351" s="25">
        <f>IFERROR(INDEX(Produtos!$D$2:$D$71,MATCH(C351,Produtos!$A$2:$A$71,0)),0)</f>
        <v/>
      </c>
      <c r="Q351" s="25">
        <f>IFERROR(INDEX(Produtos!$E$2:$E$71,MATCH(C351,Produtos!$A$2:$A$71,0)),0)</f>
        <v/>
      </c>
      <c r="R351" s="27">
        <f>D351*Q351</f>
        <v/>
      </c>
      <c r="S351" s="27">
        <f>R351*E351</f>
        <v/>
      </c>
      <c r="T351" s="27">
        <f>(R351-S351)*M351</f>
        <v/>
      </c>
      <c r="U351" s="27">
        <f>R351-S351-T351</f>
        <v/>
      </c>
      <c r="V351" s="27">
        <f>D351*P351</f>
        <v/>
      </c>
      <c r="W351" s="27">
        <f>U351-V351</f>
        <v/>
      </c>
      <c r="X351" s="28">
        <f>IFERROR(W351/U351,0)</f>
        <v/>
      </c>
    </row>
    <row r="352">
      <c r="A352" s="21">
        <f>ItensPedido!A352</f>
        <v/>
      </c>
      <c r="B352" s="21">
        <f>ItensPedido!B352</f>
        <v/>
      </c>
      <c r="C352" s="21">
        <f>ItensPedido!C352</f>
        <v/>
      </c>
      <c r="D352" s="21">
        <f>ItensPedido!D352</f>
        <v/>
      </c>
      <c r="E352" s="22">
        <f>ItensPedido!E352</f>
        <v/>
      </c>
      <c r="F352" s="21">
        <f>IFERROR(INDEX(Pedidos!$B$2:$B$1801,MATCH(B352,Pedidos!$A$2:$A$1801,0)),0)</f>
        <v/>
      </c>
      <c r="G352" s="21">
        <f>IF(F352=0,"",YEAR(F352))</f>
        <v/>
      </c>
      <c r="H352" s="21">
        <f>IF(F352=0,"",MONTH(F352))</f>
        <v/>
      </c>
      <c r="I352" s="21">
        <f>IFERROR(INDEX(Pedidos!$E$2:$E$1801,MATCH(B352,Pedidos!$A$2:$A$1801,0)),"")</f>
        <v/>
      </c>
      <c r="J352" s="21">
        <f>IFERROR(INDEX(Pedidos!$C$2:$C$1801,MATCH(B352,Pedidos!$A$2:$A$1801,0)),"")</f>
        <v/>
      </c>
      <c r="K352" s="21">
        <f>IFERROR(INDEX(Pedidos!$D$2:$D$1801,MATCH(B352,Pedidos!$A$2:$A$1801,0)),"")</f>
        <v/>
      </c>
      <c r="L352" s="21">
        <f>IFERROR(INDEX(Pedidos!$F$2:$F$1801,MATCH(B352,Pedidos!$A$2:$A$1801,0)),"")</f>
        <v/>
      </c>
      <c r="M352" s="22">
        <f>IFERROR(INDEX(Pedidos!$G$2:$G$1801,MATCH(B352,Pedidos!$A$2:$A$1801,0)),0)</f>
        <v/>
      </c>
      <c r="N352" s="21">
        <f>IFERROR(INDEX(Produtos!$B$2:$B$71,MATCH(C352,Produtos!$A$2:$A$71,0)),"")</f>
        <v/>
      </c>
      <c r="O352" s="21">
        <f>IFERROR(INDEX(Produtos!$C$2:$C$71,MATCH(C352,Produtos!$A$2:$A$71,0)),"")</f>
        <v/>
      </c>
      <c r="P352" s="21">
        <f>IFERROR(INDEX(Produtos!$D$2:$D$71,MATCH(C352,Produtos!$A$2:$A$71,0)),0)</f>
        <v/>
      </c>
      <c r="Q352" s="21">
        <f>IFERROR(INDEX(Produtos!$E$2:$E$71,MATCH(C352,Produtos!$A$2:$A$71,0)),0)</f>
        <v/>
      </c>
      <c r="R352" s="23">
        <f>D352*Q352</f>
        <v/>
      </c>
      <c r="S352" s="23">
        <f>R352*E352</f>
        <v/>
      </c>
      <c r="T352" s="23">
        <f>(R352-S352)*M352</f>
        <v/>
      </c>
      <c r="U352" s="23">
        <f>R352-S352-T352</f>
        <v/>
      </c>
      <c r="V352" s="23">
        <f>D352*P352</f>
        <v/>
      </c>
      <c r="W352" s="23">
        <f>U352-V352</f>
        <v/>
      </c>
      <c r="X352" s="24">
        <f>IFERROR(W352/U352,0)</f>
        <v/>
      </c>
    </row>
    <row r="353">
      <c r="A353" s="25">
        <f>ItensPedido!A353</f>
        <v/>
      </c>
      <c r="B353" s="25">
        <f>ItensPedido!B353</f>
        <v/>
      </c>
      <c r="C353" s="25">
        <f>ItensPedido!C353</f>
        <v/>
      </c>
      <c r="D353" s="25">
        <f>ItensPedido!D353</f>
        <v/>
      </c>
      <c r="E353" s="26">
        <f>ItensPedido!E353</f>
        <v/>
      </c>
      <c r="F353" s="25">
        <f>IFERROR(INDEX(Pedidos!$B$2:$B$1801,MATCH(B353,Pedidos!$A$2:$A$1801,0)),0)</f>
        <v/>
      </c>
      <c r="G353" s="25">
        <f>IF(F353=0,"",YEAR(F353))</f>
        <v/>
      </c>
      <c r="H353" s="25">
        <f>IF(F353=0,"",MONTH(F353))</f>
        <v/>
      </c>
      <c r="I353" s="25">
        <f>IFERROR(INDEX(Pedidos!$E$2:$E$1801,MATCH(B353,Pedidos!$A$2:$A$1801,0)),"")</f>
        <v/>
      </c>
      <c r="J353" s="25">
        <f>IFERROR(INDEX(Pedidos!$C$2:$C$1801,MATCH(B353,Pedidos!$A$2:$A$1801,0)),"")</f>
        <v/>
      </c>
      <c r="K353" s="25">
        <f>IFERROR(INDEX(Pedidos!$D$2:$D$1801,MATCH(B353,Pedidos!$A$2:$A$1801,0)),"")</f>
        <v/>
      </c>
      <c r="L353" s="25">
        <f>IFERROR(INDEX(Pedidos!$F$2:$F$1801,MATCH(B353,Pedidos!$A$2:$A$1801,0)),"")</f>
        <v/>
      </c>
      <c r="M353" s="26">
        <f>IFERROR(INDEX(Pedidos!$G$2:$G$1801,MATCH(B353,Pedidos!$A$2:$A$1801,0)),0)</f>
        <v/>
      </c>
      <c r="N353" s="25">
        <f>IFERROR(INDEX(Produtos!$B$2:$B$71,MATCH(C353,Produtos!$A$2:$A$71,0)),"")</f>
        <v/>
      </c>
      <c r="O353" s="25">
        <f>IFERROR(INDEX(Produtos!$C$2:$C$71,MATCH(C353,Produtos!$A$2:$A$71,0)),"")</f>
        <v/>
      </c>
      <c r="P353" s="25">
        <f>IFERROR(INDEX(Produtos!$D$2:$D$71,MATCH(C353,Produtos!$A$2:$A$71,0)),0)</f>
        <v/>
      </c>
      <c r="Q353" s="25">
        <f>IFERROR(INDEX(Produtos!$E$2:$E$71,MATCH(C353,Produtos!$A$2:$A$71,0)),0)</f>
        <v/>
      </c>
      <c r="R353" s="27">
        <f>D353*Q353</f>
        <v/>
      </c>
      <c r="S353" s="27">
        <f>R353*E353</f>
        <v/>
      </c>
      <c r="T353" s="27">
        <f>(R353-S353)*M353</f>
        <v/>
      </c>
      <c r="U353" s="27">
        <f>R353-S353-T353</f>
        <v/>
      </c>
      <c r="V353" s="27">
        <f>D353*P353</f>
        <v/>
      </c>
      <c r="W353" s="27">
        <f>U353-V353</f>
        <v/>
      </c>
      <c r="X353" s="28">
        <f>IFERROR(W353/U353,0)</f>
        <v/>
      </c>
    </row>
    <row r="354">
      <c r="A354" s="21">
        <f>ItensPedido!A354</f>
        <v/>
      </c>
      <c r="B354" s="21">
        <f>ItensPedido!B354</f>
        <v/>
      </c>
      <c r="C354" s="21">
        <f>ItensPedido!C354</f>
        <v/>
      </c>
      <c r="D354" s="21">
        <f>ItensPedido!D354</f>
        <v/>
      </c>
      <c r="E354" s="22">
        <f>ItensPedido!E354</f>
        <v/>
      </c>
      <c r="F354" s="21">
        <f>IFERROR(INDEX(Pedidos!$B$2:$B$1801,MATCH(B354,Pedidos!$A$2:$A$1801,0)),0)</f>
        <v/>
      </c>
      <c r="G354" s="21">
        <f>IF(F354=0,"",YEAR(F354))</f>
        <v/>
      </c>
      <c r="H354" s="21">
        <f>IF(F354=0,"",MONTH(F354))</f>
        <v/>
      </c>
      <c r="I354" s="21">
        <f>IFERROR(INDEX(Pedidos!$E$2:$E$1801,MATCH(B354,Pedidos!$A$2:$A$1801,0)),"")</f>
        <v/>
      </c>
      <c r="J354" s="21">
        <f>IFERROR(INDEX(Pedidos!$C$2:$C$1801,MATCH(B354,Pedidos!$A$2:$A$1801,0)),"")</f>
        <v/>
      </c>
      <c r="K354" s="21">
        <f>IFERROR(INDEX(Pedidos!$D$2:$D$1801,MATCH(B354,Pedidos!$A$2:$A$1801,0)),"")</f>
        <v/>
      </c>
      <c r="L354" s="21">
        <f>IFERROR(INDEX(Pedidos!$F$2:$F$1801,MATCH(B354,Pedidos!$A$2:$A$1801,0)),"")</f>
        <v/>
      </c>
      <c r="M354" s="22">
        <f>IFERROR(INDEX(Pedidos!$G$2:$G$1801,MATCH(B354,Pedidos!$A$2:$A$1801,0)),0)</f>
        <v/>
      </c>
      <c r="N354" s="21">
        <f>IFERROR(INDEX(Produtos!$B$2:$B$71,MATCH(C354,Produtos!$A$2:$A$71,0)),"")</f>
        <v/>
      </c>
      <c r="O354" s="21">
        <f>IFERROR(INDEX(Produtos!$C$2:$C$71,MATCH(C354,Produtos!$A$2:$A$71,0)),"")</f>
        <v/>
      </c>
      <c r="P354" s="21">
        <f>IFERROR(INDEX(Produtos!$D$2:$D$71,MATCH(C354,Produtos!$A$2:$A$71,0)),0)</f>
        <v/>
      </c>
      <c r="Q354" s="21">
        <f>IFERROR(INDEX(Produtos!$E$2:$E$71,MATCH(C354,Produtos!$A$2:$A$71,0)),0)</f>
        <v/>
      </c>
      <c r="R354" s="23">
        <f>D354*Q354</f>
        <v/>
      </c>
      <c r="S354" s="23">
        <f>R354*E354</f>
        <v/>
      </c>
      <c r="T354" s="23">
        <f>(R354-S354)*M354</f>
        <v/>
      </c>
      <c r="U354" s="23">
        <f>R354-S354-T354</f>
        <v/>
      </c>
      <c r="V354" s="23">
        <f>D354*P354</f>
        <v/>
      </c>
      <c r="W354" s="23">
        <f>U354-V354</f>
        <v/>
      </c>
      <c r="X354" s="24">
        <f>IFERROR(W354/U354,0)</f>
        <v/>
      </c>
    </row>
    <row r="355">
      <c r="A355" s="25">
        <f>ItensPedido!A355</f>
        <v/>
      </c>
      <c r="B355" s="25">
        <f>ItensPedido!B355</f>
        <v/>
      </c>
      <c r="C355" s="25">
        <f>ItensPedido!C355</f>
        <v/>
      </c>
      <c r="D355" s="25">
        <f>ItensPedido!D355</f>
        <v/>
      </c>
      <c r="E355" s="26">
        <f>ItensPedido!E355</f>
        <v/>
      </c>
      <c r="F355" s="25">
        <f>IFERROR(INDEX(Pedidos!$B$2:$B$1801,MATCH(B355,Pedidos!$A$2:$A$1801,0)),0)</f>
        <v/>
      </c>
      <c r="G355" s="25">
        <f>IF(F355=0,"",YEAR(F355))</f>
        <v/>
      </c>
      <c r="H355" s="25">
        <f>IF(F355=0,"",MONTH(F355))</f>
        <v/>
      </c>
      <c r="I355" s="25">
        <f>IFERROR(INDEX(Pedidos!$E$2:$E$1801,MATCH(B355,Pedidos!$A$2:$A$1801,0)),"")</f>
        <v/>
      </c>
      <c r="J355" s="25">
        <f>IFERROR(INDEX(Pedidos!$C$2:$C$1801,MATCH(B355,Pedidos!$A$2:$A$1801,0)),"")</f>
        <v/>
      </c>
      <c r="K355" s="25">
        <f>IFERROR(INDEX(Pedidos!$D$2:$D$1801,MATCH(B355,Pedidos!$A$2:$A$1801,0)),"")</f>
        <v/>
      </c>
      <c r="L355" s="25">
        <f>IFERROR(INDEX(Pedidos!$F$2:$F$1801,MATCH(B355,Pedidos!$A$2:$A$1801,0)),"")</f>
        <v/>
      </c>
      <c r="M355" s="26">
        <f>IFERROR(INDEX(Pedidos!$G$2:$G$1801,MATCH(B355,Pedidos!$A$2:$A$1801,0)),0)</f>
        <v/>
      </c>
      <c r="N355" s="25">
        <f>IFERROR(INDEX(Produtos!$B$2:$B$71,MATCH(C355,Produtos!$A$2:$A$71,0)),"")</f>
        <v/>
      </c>
      <c r="O355" s="25">
        <f>IFERROR(INDEX(Produtos!$C$2:$C$71,MATCH(C355,Produtos!$A$2:$A$71,0)),"")</f>
        <v/>
      </c>
      <c r="P355" s="25">
        <f>IFERROR(INDEX(Produtos!$D$2:$D$71,MATCH(C355,Produtos!$A$2:$A$71,0)),0)</f>
        <v/>
      </c>
      <c r="Q355" s="25">
        <f>IFERROR(INDEX(Produtos!$E$2:$E$71,MATCH(C355,Produtos!$A$2:$A$71,0)),0)</f>
        <v/>
      </c>
      <c r="R355" s="27">
        <f>D355*Q355</f>
        <v/>
      </c>
      <c r="S355" s="27">
        <f>R355*E355</f>
        <v/>
      </c>
      <c r="T355" s="27">
        <f>(R355-S355)*M355</f>
        <v/>
      </c>
      <c r="U355" s="27">
        <f>R355-S355-T355</f>
        <v/>
      </c>
      <c r="V355" s="27">
        <f>D355*P355</f>
        <v/>
      </c>
      <c r="W355" s="27">
        <f>U355-V355</f>
        <v/>
      </c>
      <c r="X355" s="28">
        <f>IFERROR(W355/U355,0)</f>
        <v/>
      </c>
    </row>
    <row r="356">
      <c r="A356" s="21">
        <f>ItensPedido!A356</f>
        <v/>
      </c>
      <c r="B356" s="21">
        <f>ItensPedido!B356</f>
        <v/>
      </c>
      <c r="C356" s="21">
        <f>ItensPedido!C356</f>
        <v/>
      </c>
      <c r="D356" s="21">
        <f>ItensPedido!D356</f>
        <v/>
      </c>
      <c r="E356" s="22">
        <f>ItensPedido!E356</f>
        <v/>
      </c>
      <c r="F356" s="21">
        <f>IFERROR(INDEX(Pedidos!$B$2:$B$1801,MATCH(B356,Pedidos!$A$2:$A$1801,0)),0)</f>
        <v/>
      </c>
      <c r="G356" s="21">
        <f>IF(F356=0,"",YEAR(F356))</f>
        <v/>
      </c>
      <c r="H356" s="21">
        <f>IF(F356=0,"",MONTH(F356))</f>
        <v/>
      </c>
      <c r="I356" s="21">
        <f>IFERROR(INDEX(Pedidos!$E$2:$E$1801,MATCH(B356,Pedidos!$A$2:$A$1801,0)),"")</f>
        <v/>
      </c>
      <c r="J356" s="21">
        <f>IFERROR(INDEX(Pedidos!$C$2:$C$1801,MATCH(B356,Pedidos!$A$2:$A$1801,0)),"")</f>
        <v/>
      </c>
      <c r="K356" s="21">
        <f>IFERROR(INDEX(Pedidos!$D$2:$D$1801,MATCH(B356,Pedidos!$A$2:$A$1801,0)),"")</f>
        <v/>
      </c>
      <c r="L356" s="21">
        <f>IFERROR(INDEX(Pedidos!$F$2:$F$1801,MATCH(B356,Pedidos!$A$2:$A$1801,0)),"")</f>
        <v/>
      </c>
      <c r="M356" s="22">
        <f>IFERROR(INDEX(Pedidos!$G$2:$G$1801,MATCH(B356,Pedidos!$A$2:$A$1801,0)),0)</f>
        <v/>
      </c>
      <c r="N356" s="21">
        <f>IFERROR(INDEX(Produtos!$B$2:$B$71,MATCH(C356,Produtos!$A$2:$A$71,0)),"")</f>
        <v/>
      </c>
      <c r="O356" s="21">
        <f>IFERROR(INDEX(Produtos!$C$2:$C$71,MATCH(C356,Produtos!$A$2:$A$71,0)),"")</f>
        <v/>
      </c>
      <c r="P356" s="21">
        <f>IFERROR(INDEX(Produtos!$D$2:$D$71,MATCH(C356,Produtos!$A$2:$A$71,0)),0)</f>
        <v/>
      </c>
      <c r="Q356" s="21">
        <f>IFERROR(INDEX(Produtos!$E$2:$E$71,MATCH(C356,Produtos!$A$2:$A$71,0)),0)</f>
        <v/>
      </c>
      <c r="R356" s="23">
        <f>D356*Q356</f>
        <v/>
      </c>
      <c r="S356" s="23">
        <f>R356*E356</f>
        <v/>
      </c>
      <c r="T356" s="23">
        <f>(R356-S356)*M356</f>
        <v/>
      </c>
      <c r="U356" s="23">
        <f>R356-S356-T356</f>
        <v/>
      </c>
      <c r="V356" s="23">
        <f>D356*P356</f>
        <v/>
      </c>
      <c r="W356" s="23">
        <f>U356-V356</f>
        <v/>
      </c>
      <c r="X356" s="24">
        <f>IFERROR(W356/U356,0)</f>
        <v/>
      </c>
    </row>
    <row r="357">
      <c r="A357" s="25">
        <f>ItensPedido!A357</f>
        <v/>
      </c>
      <c r="B357" s="25">
        <f>ItensPedido!B357</f>
        <v/>
      </c>
      <c r="C357" s="25">
        <f>ItensPedido!C357</f>
        <v/>
      </c>
      <c r="D357" s="25">
        <f>ItensPedido!D357</f>
        <v/>
      </c>
      <c r="E357" s="26">
        <f>ItensPedido!E357</f>
        <v/>
      </c>
      <c r="F357" s="25">
        <f>IFERROR(INDEX(Pedidos!$B$2:$B$1801,MATCH(B357,Pedidos!$A$2:$A$1801,0)),0)</f>
        <v/>
      </c>
      <c r="G357" s="25">
        <f>IF(F357=0,"",YEAR(F357))</f>
        <v/>
      </c>
      <c r="H357" s="25">
        <f>IF(F357=0,"",MONTH(F357))</f>
        <v/>
      </c>
      <c r="I357" s="25">
        <f>IFERROR(INDEX(Pedidos!$E$2:$E$1801,MATCH(B357,Pedidos!$A$2:$A$1801,0)),"")</f>
        <v/>
      </c>
      <c r="J357" s="25">
        <f>IFERROR(INDEX(Pedidos!$C$2:$C$1801,MATCH(B357,Pedidos!$A$2:$A$1801,0)),"")</f>
        <v/>
      </c>
      <c r="K357" s="25">
        <f>IFERROR(INDEX(Pedidos!$D$2:$D$1801,MATCH(B357,Pedidos!$A$2:$A$1801,0)),"")</f>
        <v/>
      </c>
      <c r="L357" s="25">
        <f>IFERROR(INDEX(Pedidos!$F$2:$F$1801,MATCH(B357,Pedidos!$A$2:$A$1801,0)),"")</f>
        <v/>
      </c>
      <c r="M357" s="26">
        <f>IFERROR(INDEX(Pedidos!$G$2:$G$1801,MATCH(B357,Pedidos!$A$2:$A$1801,0)),0)</f>
        <v/>
      </c>
      <c r="N357" s="25">
        <f>IFERROR(INDEX(Produtos!$B$2:$B$71,MATCH(C357,Produtos!$A$2:$A$71,0)),"")</f>
        <v/>
      </c>
      <c r="O357" s="25">
        <f>IFERROR(INDEX(Produtos!$C$2:$C$71,MATCH(C357,Produtos!$A$2:$A$71,0)),"")</f>
        <v/>
      </c>
      <c r="P357" s="25">
        <f>IFERROR(INDEX(Produtos!$D$2:$D$71,MATCH(C357,Produtos!$A$2:$A$71,0)),0)</f>
        <v/>
      </c>
      <c r="Q357" s="25">
        <f>IFERROR(INDEX(Produtos!$E$2:$E$71,MATCH(C357,Produtos!$A$2:$A$71,0)),0)</f>
        <v/>
      </c>
      <c r="R357" s="27">
        <f>D357*Q357</f>
        <v/>
      </c>
      <c r="S357" s="27">
        <f>R357*E357</f>
        <v/>
      </c>
      <c r="T357" s="27">
        <f>(R357-S357)*M357</f>
        <v/>
      </c>
      <c r="U357" s="27">
        <f>R357-S357-T357</f>
        <v/>
      </c>
      <c r="V357" s="27">
        <f>D357*P357</f>
        <v/>
      </c>
      <c r="W357" s="27">
        <f>U357-V357</f>
        <v/>
      </c>
      <c r="X357" s="28">
        <f>IFERROR(W357/U357,0)</f>
        <v/>
      </c>
    </row>
    <row r="358">
      <c r="A358" s="21">
        <f>ItensPedido!A358</f>
        <v/>
      </c>
      <c r="B358" s="21">
        <f>ItensPedido!B358</f>
        <v/>
      </c>
      <c r="C358" s="21">
        <f>ItensPedido!C358</f>
        <v/>
      </c>
      <c r="D358" s="21">
        <f>ItensPedido!D358</f>
        <v/>
      </c>
      <c r="E358" s="22">
        <f>ItensPedido!E358</f>
        <v/>
      </c>
      <c r="F358" s="21">
        <f>IFERROR(INDEX(Pedidos!$B$2:$B$1801,MATCH(B358,Pedidos!$A$2:$A$1801,0)),0)</f>
        <v/>
      </c>
      <c r="G358" s="21">
        <f>IF(F358=0,"",YEAR(F358))</f>
        <v/>
      </c>
      <c r="H358" s="21">
        <f>IF(F358=0,"",MONTH(F358))</f>
        <v/>
      </c>
      <c r="I358" s="21">
        <f>IFERROR(INDEX(Pedidos!$E$2:$E$1801,MATCH(B358,Pedidos!$A$2:$A$1801,0)),"")</f>
        <v/>
      </c>
      <c r="J358" s="21">
        <f>IFERROR(INDEX(Pedidos!$C$2:$C$1801,MATCH(B358,Pedidos!$A$2:$A$1801,0)),"")</f>
        <v/>
      </c>
      <c r="K358" s="21">
        <f>IFERROR(INDEX(Pedidos!$D$2:$D$1801,MATCH(B358,Pedidos!$A$2:$A$1801,0)),"")</f>
        <v/>
      </c>
      <c r="L358" s="21">
        <f>IFERROR(INDEX(Pedidos!$F$2:$F$1801,MATCH(B358,Pedidos!$A$2:$A$1801,0)),"")</f>
        <v/>
      </c>
      <c r="M358" s="22">
        <f>IFERROR(INDEX(Pedidos!$G$2:$G$1801,MATCH(B358,Pedidos!$A$2:$A$1801,0)),0)</f>
        <v/>
      </c>
      <c r="N358" s="21">
        <f>IFERROR(INDEX(Produtos!$B$2:$B$71,MATCH(C358,Produtos!$A$2:$A$71,0)),"")</f>
        <v/>
      </c>
      <c r="O358" s="21">
        <f>IFERROR(INDEX(Produtos!$C$2:$C$71,MATCH(C358,Produtos!$A$2:$A$71,0)),"")</f>
        <v/>
      </c>
      <c r="P358" s="21">
        <f>IFERROR(INDEX(Produtos!$D$2:$D$71,MATCH(C358,Produtos!$A$2:$A$71,0)),0)</f>
        <v/>
      </c>
      <c r="Q358" s="21">
        <f>IFERROR(INDEX(Produtos!$E$2:$E$71,MATCH(C358,Produtos!$A$2:$A$71,0)),0)</f>
        <v/>
      </c>
      <c r="R358" s="23">
        <f>D358*Q358</f>
        <v/>
      </c>
      <c r="S358" s="23">
        <f>R358*E358</f>
        <v/>
      </c>
      <c r="T358" s="23">
        <f>(R358-S358)*M358</f>
        <v/>
      </c>
      <c r="U358" s="23">
        <f>R358-S358-T358</f>
        <v/>
      </c>
      <c r="V358" s="23">
        <f>D358*P358</f>
        <v/>
      </c>
      <c r="W358" s="23">
        <f>U358-V358</f>
        <v/>
      </c>
      <c r="X358" s="24">
        <f>IFERROR(W358/U358,0)</f>
        <v/>
      </c>
    </row>
    <row r="359">
      <c r="A359" s="25">
        <f>ItensPedido!A359</f>
        <v/>
      </c>
      <c r="B359" s="25">
        <f>ItensPedido!B359</f>
        <v/>
      </c>
      <c r="C359" s="25">
        <f>ItensPedido!C359</f>
        <v/>
      </c>
      <c r="D359" s="25">
        <f>ItensPedido!D359</f>
        <v/>
      </c>
      <c r="E359" s="26">
        <f>ItensPedido!E359</f>
        <v/>
      </c>
      <c r="F359" s="25">
        <f>IFERROR(INDEX(Pedidos!$B$2:$B$1801,MATCH(B359,Pedidos!$A$2:$A$1801,0)),0)</f>
        <v/>
      </c>
      <c r="G359" s="25">
        <f>IF(F359=0,"",YEAR(F359))</f>
        <v/>
      </c>
      <c r="H359" s="25">
        <f>IF(F359=0,"",MONTH(F359))</f>
        <v/>
      </c>
      <c r="I359" s="25">
        <f>IFERROR(INDEX(Pedidos!$E$2:$E$1801,MATCH(B359,Pedidos!$A$2:$A$1801,0)),"")</f>
        <v/>
      </c>
      <c r="J359" s="25">
        <f>IFERROR(INDEX(Pedidos!$C$2:$C$1801,MATCH(B359,Pedidos!$A$2:$A$1801,0)),"")</f>
        <v/>
      </c>
      <c r="K359" s="25">
        <f>IFERROR(INDEX(Pedidos!$D$2:$D$1801,MATCH(B359,Pedidos!$A$2:$A$1801,0)),"")</f>
        <v/>
      </c>
      <c r="L359" s="25">
        <f>IFERROR(INDEX(Pedidos!$F$2:$F$1801,MATCH(B359,Pedidos!$A$2:$A$1801,0)),"")</f>
        <v/>
      </c>
      <c r="M359" s="26">
        <f>IFERROR(INDEX(Pedidos!$G$2:$G$1801,MATCH(B359,Pedidos!$A$2:$A$1801,0)),0)</f>
        <v/>
      </c>
      <c r="N359" s="25">
        <f>IFERROR(INDEX(Produtos!$B$2:$B$71,MATCH(C359,Produtos!$A$2:$A$71,0)),"")</f>
        <v/>
      </c>
      <c r="O359" s="25">
        <f>IFERROR(INDEX(Produtos!$C$2:$C$71,MATCH(C359,Produtos!$A$2:$A$71,0)),"")</f>
        <v/>
      </c>
      <c r="P359" s="25">
        <f>IFERROR(INDEX(Produtos!$D$2:$D$71,MATCH(C359,Produtos!$A$2:$A$71,0)),0)</f>
        <v/>
      </c>
      <c r="Q359" s="25">
        <f>IFERROR(INDEX(Produtos!$E$2:$E$71,MATCH(C359,Produtos!$A$2:$A$71,0)),0)</f>
        <v/>
      </c>
      <c r="R359" s="27">
        <f>D359*Q359</f>
        <v/>
      </c>
      <c r="S359" s="27">
        <f>R359*E359</f>
        <v/>
      </c>
      <c r="T359" s="27">
        <f>(R359-S359)*M359</f>
        <v/>
      </c>
      <c r="U359" s="27">
        <f>R359-S359-T359</f>
        <v/>
      </c>
      <c r="V359" s="27">
        <f>D359*P359</f>
        <v/>
      </c>
      <c r="W359" s="27">
        <f>U359-V359</f>
        <v/>
      </c>
      <c r="X359" s="28">
        <f>IFERROR(W359/U359,0)</f>
        <v/>
      </c>
    </row>
    <row r="360">
      <c r="A360" s="21">
        <f>ItensPedido!A360</f>
        <v/>
      </c>
      <c r="B360" s="21">
        <f>ItensPedido!B360</f>
        <v/>
      </c>
      <c r="C360" s="21">
        <f>ItensPedido!C360</f>
        <v/>
      </c>
      <c r="D360" s="21">
        <f>ItensPedido!D360</f>
        <v/>
      </c>
      <c r="E360" s="22">
        <f>ItensPedido!E360</f>
        <v/>
      </c>
      <c r="F360" s="21">
        <f>IFERROR(INDEX(Pedidos!$B$2:$B$1801,MATCH(B360,Pedidos!$A$2:$A$1801,0)),0)</f>
        <v/>
      </c>
      <c r="G360" s="21">
        <f>IF(F360=0,"",YEAR(F360))</f>
        <v/>
      </c>
      <c r="H360" s="21">
        <f>IF(F360=0,"",MONTH(F360))</f>
        <v/>
      </c>
      <c r="I360" s="21">
        <f>IFERROR(INDEX(Pedidos!$E$2:$E$1801,MATCH(B360,Pedidos!$A$2:$A$1801,0)),"")</f>
        <v/>
      </c>
      <c r="J360" s="21">
        <f>IFERROR(INDEX(Pedidos!$C$2:$C$1801,MATCH(B360,Pedidos!$A$2:$A$1801,0)),"")</f>
        <v/>
      </c>
      <c r="K360" s="21">
        <f>IFERROR(INDEX(Pedidos!$D$2:$D$1801,MATCH(B360,Pedidos!$A$2:$A$1801,0)),"")</f>
        <v/>
      </c>
      <c r="L360" s="21">
        <f>IFERROR(INDEX(Pedidos!$F$2:$F$1801,MATCH(B360,Pedidos!$A$2:$A$1801,0)),"")</f>
        <v/>
      </c>
      <c r="M360" s="22">
        <f>IFERROR(INDEX(Pedidos!$G$2:$G$1801,MATCH(B360,Pedidos!$A$2:$A$1801,0)),0)</f>
        <v/>
      </c>
      <c r="N360" s="21">
        <f>IFERROR(INDEX(Produtos!$B$2:$B$71,MATCH(C360,Produtos!$A$2:$A$71,0)),"")</f>
        <v/>
      </c>
      <c r="O360" s="21">
        <f>IFERROR(INDEX(Produtos!$C$2:$C$71,MATCH(C360,Produtos!$A$2:$A$71,0)),"")</f>
        <v/>
      </c>
      <c r="P360" s="21">
        <f>IFERROR(INDEX(Produtos!$D$2:$D$71,MATCH(C360,Produtos!$A$2:$A$71,0)),0)</f>
        <v/>
      </c>
      <c r="Q360" s="21">
        <f>IFERROR(INDEX(Produtos!$E$2:$E$71,MATCH(C360,Produtos!$A$2:$A$71,0)),0)</f>
        <v/>
      </c>
      <c r="R360" s="23">
        <f>D360*Q360</f>
        <v/>
      </c>
      <c r="S360" s="23">
        <f>R360*E360</f>
        <v/>
      </c>
      <c r="T360" s="23">
        <f>(R360-S360)*M360</f>
        <v/>
      </c>
      <c r="U360" s="23">
        <f>R360-S360-T360</f>
        <v/>
      </c>
      <c r="V360" s="23">
        <f>D360*P360</f>
        <v/>
      </c>
      <c r="W360" s="23">
        <f>U360-V360</f>
        <v/>
      </c>
      <c r="X360" s="24">
        <f>IFERROR(W360/U360,0)</f>
        <v/>
      </c>
    </row>
    <row r="361">
      <c r="A361" s="25">
        <f>ItensPedido!A361</f>
        <v/>
      </c>
      <c r="B361" s="25">
        <f>ItensPedido!B361</f>
        <v/>
      </c>
      <c r="C361" s="25">
        <f>ItensPedido!C361</f>
        <v/>
      </c>
      <c r="D361" s="25">
        <f>ItensPedido!D361</f>
        <v/>
      </c>
      <c r="E361" s="26">
        <f>ItensPedido!E361</f>
        <v/>
      </c>
      <c r="F361" s="25">
        <f>IFERROR(INDEX(Pedidos!$B$2:$B$1801,MATCH(B361,Pedidos!$A$2:$A$1801,0)),0)</f>
        <v/>
      </c>
      <c r="G361" s="25">
        <f>IF(F361=0,"",YEAR(F361))</f>
        <v/>
      </c>
      <c r="H361" s="25">
        <f>IF(F361=0,"",MONTH(F361))</f>
        <v/>
      </c>
      <c r="I361" s="25">
        <f>IFERROR(INDEX(Pedidos!$E$2:$E$1801,MATCH(B361,Pedidos!$A$2:$A$1801,0)),"")</f>
        <v/>
      </c>
      <c r="J361" s="25">
        <f>IFERROR(INDEX(Pedidos!$C$2:$C$1801,MATCH(B361,Pedidos!$A$2:$A$1801,0)),"")</f>
        <v/>
      </c>
      <c r="K361" s="25">
        <f>IFERROR(INDEX(Pedidos!$D$2:$D$1801,MATCH(B361,Pedidos!$A$2:$A$1801,0)),"")</f>
        <v/>
      </c>
      <c r="L361" s="25">
        <f>IFERROR(INDEX(Pedidos!$F$2:$F$1801,MATCH(B361,Pedidos!$A$2:$A$1801,0)),"")</f>
        <v/>
      </c>
      <c r="M361" s="26">
        <f>IFERROR(INDEX(Pedidos!$G$2:$G$1801,MATCH(B361,Pedidos!$A$2:$A$1801,0)),0)</f>
        <v/>
      </c>
      <c r="N361" s="25">
        <f>IFERROR(INDEX(Produtos!$B$2:$B$71,MATCH(C361,Produtos!$A$2:$A$71,0)),"")</f>
        <v/>
      </c>
      <c r="O361" s="25">
        <f>IFERROR(INDEX(Produtos!$C$2:$C$71,MATCH(C361,Produtos!$A$2:$A$71,0)),"")</f>
        <v/>
      </c>
      <c r="P361" s="25">
        <f>IFERROR(INDEX(Produtos!$D$2:$D$71,MATCH(C361,Produtos!$A$2:$A$71,0)),0)</f>
        <v/>
      </c>
      <c r="Q361" s="25">
        <f>IFERROR(INDEX(Produtos!$E$2:$E$71,MATCH(C361,Produtos!$A$2:$A$71,0)),0)</f>
        <v/>
      </c>
      <c r="R361" s="27">
        <f>D361*Q361</f>
        <v/>
      </c>
      <c r="S361" s="27">
        <f>R361*E361</f>
        <v/>
      </c>
      <c r="T361" s="27">
        <f>(R361-S361)*M361</f>
        <v/>
      </c>
      <c r="U361" s="27">
        <f>R361-S361-T361</f>
        <v/>
      </c>
      <c r="V361" s="27">
        <f>D361*P361</f>
        <v/>
      </c>
      <c r="W361" s="27">
        <f>U361-V361</f>
        <v/>
      </c>
      <c r="X361" s="28">
        <f>IFERROR(W361/U361,0)</f>
        <v/>
      </c>
    </row>
    <row r="362">
      <c r="A362" s="21">
        <f>ItensPedido!A362</f>
        <v/>
      </c>
      <c r="B362" s="21">
        <f>ItensPedido!B362</f>
        <v/>
      </c>
      <c r="C362" s="21">
        <f>ItensPedido!C362</f>
        <v/>
      </c>
      <c r="D362" s="21">
        <f>ItensPedido!D362</f>
        <v/>
      </c>
      <c r="E362" s="22">
        <f>ItensPedido!E362</f>
        <v/>
      </c>
      <c r="F362" s="21">
        <f>IFERROR(INDEX(Pedidos!$B$2:$B$1801,MATCH(B362,Pedidos!$A$2:$A$1801,0)),0)</f>
        <v/>
      </c>
      <c r="G362" s="21">
        <f>IF(F362=0,"",YEAR(F362))</f>
        <v/>
      </c>
      <c r="H362" s="21">
        <f>IF(F362=0,"",MONTH(F362))</f>
        <v/>
      </c>
      <c r="I362" s="21">
        <f>IFERROR(INDEX(Pedidos!$E$2:$E$1801,MATCH(B362,Pedidos!$A$2:$A$1801,0)),"")</f>
        <v/>
      </c>
      <c r="J362" s="21">
        <f>IFERROR(INDEX(Pedidos!$C$2:$C$1801,MATCH(B362,Pedidos!$A$2:$A$1801,0)),"")</f>
        <v/>
      </c>
      <c r="K362" s="21">
        <f>IFERROR(INDEX(Pedidos!$D$2:$D$1801,MATCH(B362,Pedidos!$A$2:$A$1801,0)),"")</f>
        <v/>
      </c>
      <c r="L362" s="21">
        <f>IFERROR(INDEX(Pedidos!$F$2:$F$1801,MATCH(B362,Pedidos!$A$2:$A$1801,0)),"")</f>
        <v/>
      </c>
      <c r="M362" s="22">
        <f>IFERROR(INDEX(Pedidos!$G$2:$G$1801,MATCH(B362,Pedidos!$A$2:$A$1801,0)),0)</f>
        <v/>
      </c>
      <c r="N362" s="21">
        <f>IFERROR(INDEX(Produtos!$B$2:$B$71,MATCH(C362,Produtos!$A$2:$A$71,0)),"")</f>
        <v/>
      </c>
      <c r="O362" s="21">
        <f>IFERROR(INDEX(Produtos!$C$2:$C$71,MATCH(C362,Produtos!$A$2:$A$71,0)),"")</f>
        <v/>
      </c>
      <c r="P362" s="21">
        <f>IFERROR(INDEX(Produtos!$D$2:$D$71,MATCH(C362,Produtos!$A$2:$A$71,0)),0)</f>
        <v/>
      </c>
      <c r="Q362" s="21">
        <f>IFERROR(INDEX(Produtos!$E$2:$E$71,MATCH(C362,Produtos!$A$2:$A$71,0)),0)</f>
        <v/>
      </c>
      <c r="R362" s="23">
        <f>D362*Q362</f>
        <v/>
      </c>
      <c r="S362" s="23">
        <f>R362*E362</f>
        <v/>
      </c>
      <c r="T362" s="23">
        <f>(R362-S362)*M362</f>
        <v/>
      </c>
      <c r="U362" s="23">
        <f>R362-S362-T362</f>
        <v/>
      </c>
      <c r="V362" s="23">
        <f>D362*P362</f>
        <v/>
      </c>
      <c r="W362" s="23">
        <f>U362-V362</f>
        <v/>
      </c>
      <c r="X362" s="24">
        <f>IFERROR(W362/U362,0)</f>
        <v/>
      </c>
    </row>
    <row r="363">
      <c r="A363" s="25">
        <f>ItensPedido!A363</f>
        <v/>
      </c>
      <c r="B363" s="25">
        <f>ItensPedido!B363</f>
        <v/>
      </c>
      <c r="C363" s="25">
        <f>ItensPedido!C363</f>
        <v/>
      </c>
      <c r="D363" s="25">
        <f>ItensPedido!D363</f>
        <v/>
      </c>
      <c r="E363" s="26">
        <f>ItensPedido!E363</f>
        <v/>
      </c>
      <c r="F363" s="25">
        <f>IFERROR(INDEX(Pedidos!$B$2:$B$1801,MATCH(B363,Pedidos!$A$2:$A$1801,0)),0)</f>
        <v/>
      </c>
      <c r="G363" s="25">
        <f>IF(F363=0,"",YEAR(F363))</f>
        <v/>
      </c>
      <c r="H363" s="25">
        <f>IF(F363=0,"",MONTH(F363))</f>
        <v/>
      </c>
      <c r="I363" s="25">
        <f>IFERROR(INDEX(Pedidos!$E$2:$E$1801,MATCH(B363,Pedidos!$A$2:$A$1801,0)),"")</f>
        <v/>
      </c>
      <c r="J363" s="25">
        <f>IFERROR(INDEX(Pedidos!$C$2:$C$1801,MATCH(B363,Pedidos!$A$2:$A$1801,0)),"")</f>
        <v/>
      </c>
      <c r="K363" s="25">
        <f>IFERROR(INDEX(Pedidos!$D$2:$D$1801,MATCH(B363,Pedidos!$A$2:$A$1801,0)),"")</f>
        <v/>
      </c>
      <c r="L363" s="25">
        <f>IFERROR(INDEX(Pedidos!$F$2:$F$1801,MATCH(B363,Pedidos!$A$2:$A$1801,0)),"")</f>
        <v/>
      </c>
      <c r="M363" s="26">
        <f>IFERROR(INDEX(Pedidos!$G$2:$G$1801,MATCH(B363,Pedidos!$A$2:$A$1801,0)),0)</f>
        <v/>
      </c>
      <c r="N363" s="25">
        <f>IFERROR(INDEX(Produtos!$B$2:$B$71,MATCH(C363,Produtos!$A$2:$A$71,0)),"")</f>
        <v/>
      </c>
      <c r="O363" s="25">
        <f>IFERROR(INDEX(Produtos!$C$2:$C$71,MATCH(C363,Produtos!$A$2:$A$71,0)),"")</f>
        <v/>
      </c>
      <c r="P363" s="25">
        <f>IFERROR(INDEX(Produtos!$D$2:$D$71,MATCH(C363,Produtos!$A$2:$A$71,0)),0)</f>
        <v/>
      </c>
      <c r="Q363" s="25">
        <f>IFERROR(INDEX(Produtos!$E$2:$E$71,MATCH(C363,Produtos!$A$2:$A$71,0)),0)</f>
        <v/>
      </c>
      <c r="R363" s="27">
        <f>D363*Q363</f>
        <v/>
      </c>
      <c r="S363" s="27">
        <f>R363*E363</f>
        <v/>
      </c>
      <c r="T363" s="27">
        <f>(R363-S363)*M363</f>
        <v/>
      </c>
      <c r="U363" s="27">
        <f>R363-S363-T363</f>
        <v/>
      </c>
      <c r="V363" s="27">
        <f>D363*P363</f>
        <v/>
      </c>
      <c r="W363" s="27">
        <f>U363-V363</f>
        <v/>
      </c>
      <c r="X363" s="28">
        <f>IFERROR(W363/U363,0)</f>
        <v/>
      </c>
    </row>
    <row r="364">
      <c r="A364" s="21">
        <f>ItensPedido!A364</f>
        <v/>
      </c>
      <c r="B364" s="21">
        <f>ItensPedido!B364</f>
        <v/>
      </c>
      <c r="C364" s="21">
        <f>ItensPedido!C364</f>
        <v/>
      </c>
      <c r="D364" s="21">
        <f>ItensPedido!D364</f>
        <v/>
      </c>
      <c r="E364" s="22">
        <f>ItensPedido!E364</f>
        <v/>
      </c>
      <c r="F364" s="21">
        <f>IFERROR(INDEX(Pedidos!$B$2:$B$1801,MATCH(B364,Pedidos!$A$2:$A$1801,0)),0)</f>
        <v/>
      </c>
      <c r="G364" s="21">
        <f>IF(F364=0,"",YEAR(F364))</f>
        <v/>
      </c>
      <c r="H364" s="21">
        <f>IF(F364=0,"",MONTH(F364))</f>
        <v/>
      </c>
      <c r="I364" s="21">
        <f>IFERROR(INDEX(Pedidos!$E$2:$E$1801,MATCH(B364,Pedidos!$A$2:$A$1801,0)),"")</f>
        <v/>
      </c>
      <c r="J364" s="21">
        <f>IFERROR(INDEX(Pedidos!$C$2:$C$1801,MATCH(B364,Pedidos!$A$2:$A$1801,0)),"")</f>
        <v/>
      </c>
      <c r="K364" s="21">
        <f>IFERROR(INDEX(Pedidos!$D$2:$D$1801,MATCH(B364,Pedidos!$A$2:$A$1801,0)),"")</f>
        <v/>
      </c>
      <c r="L364" s="21">
        <f>IFERROR(INDEX(Pedidos!$F$2:$F$1801,MATCH(B364,Pedidos!$A$2:$A$1801,0)),"")</f>
        <v/>
      </c>
      <c r="M364" s="22">
        <f>IFERROR(INDEX(Pedidos!$G$2:$G$1801,MATCH(B364,Pedidos!$A$2:$A$1801,0)),0)</f>
        <v/>
      </c>
      <c r="N364" s="21">
        <f>IFERROR(INDEX(Produtos!$B$2:$B$71,MATCH(C364,Produtos!$A$2:$A$71,0)),"")</f>
        <v/>
      </c>
      <c r="O364" s="21">
        <f>IFERROR(INDEX(Produtos!$C$2:$C$71,MATCH(C364,Produtos!$A$2:$A$71,0)),"")</f>
        <v/>
      </c>
      <c r="P364" s="21">
        <f>IFERROR(INDEX(Produtos!$D$2:$D$71,MATCH(C364,Produtos!$A$2:$A$71,0)),0)</f>
        <v/>
      </c>
      <c r="Q364" s="21">
        <f>IFERROR(INDEX(Produtos!$E$2:$E$71,MATCH(C364,Produtos!$A$2:$A$71,0)),0)</f>
        <v/>
      </c>
      <c r="R364" s="23">
        <f>D364*Q364</f>
        <v/>
      </c>
      <c r="S364" s="23">
        <f>R364*E364</f>
        <v/>
      </c>
      <c r="T364" s="23">
        <f>(R364-S364)*M364</f>
        <v/>
      </c>
      <c r="U364" s="23">
        <f>R364-S364-T364</f>
        <v/>
      </c>
      <c r="V364" s="23">
        <f>D364*P364</f>
        <v/>
      </c>
      <c r="W364" s="23">
        <f>U364-V364</f>
        <v/>
      </c>
      <c r="X364" s="24">
        <f>IFERROR(W364/U364,0)</f>
        <v/>
      </c>
    </row>
    <row r="365">
      <c r="A365" s="25">
        <f>ItensPedido!A365</f>
        <v/>
      </c>
      <c r="B365" s="25">
        <f>ItensPedido!B365</f>
        <v/>
      </c>
      <c r="C365" s="25">
        <f>ItensPedido!C365</f>
        <v/>
      </c>
      <c r="D365" s="25">
        <f>ItensPedido!D365</f>
        <v/>
      </c>
      <c r="E365" s="26">
        <f>ItensPedido!E365</f>
        <v/>
      </c>
      <c r="F365" s="25">
        <f>IFERROR(INDEX(Pedidos!$B$2:$B$1801,MATCH(B365,Pedidos!$A$2:$A$1801,0)),0)</f>
        <v/>
      </c>
      <c r="G365" s="25">
        <f>IF(F365=0,"",YEAR(F365))</f>
        <v/>
      </c>
      <c r="H365" s="25">
        <f>IF(F365=0,"",MONTH(F365))</f>
        <v/>
      </c>
      <c r="I365" s="25">
        <f>IFERROR(INDEX(Pedidos!$E$2:$E$1801,MATCH(B365,Pedidos!$A$2:$A$1801,0)),"")</f>
        <v/>
      </c>
      <c r="J365" s="25">
        <f>IFERROR(INDEX(Pedidos!$C$2:$C$1801,MATCH(B365,Pedidos!$A$2:$A$1801,0)),"")</f>
        <v/>
      </c>
      <c r="K365" s="25">
        <f>IFERROR(INDEX(Pedidos!$D$2:$D$1801,MATCH(B365,Pedidos!$A$2:$A$1801,0)),"")</f>
        <v/>
      </c>
      <c r="L365" s="25">
        <f>IFERROR(INDEX(Pedidos!$F$2:$F$1801,MATCH(B365,Pedidos!$A$2:$A$1801,0)),"")</f>
        <v/>
      </c>
      <c r="M365" s="26">
        <f>IFERROR(INDEX(Pedidos!$G$2:$G$1801,MATCH(B365,Pedidos!$A$2:$A$1801,0)),0)</f>
        <v/>
      </c>
      <c r="N365" s="25">
        <f>IFERROR(INDEX(Produtos!$B$2:$B$71,MATCH(C365,Produtos!$A$2:$A$71,0)),"")</f>
        <v/>
      </c>
      <c r="O365" s="25">
        <f>IFERROR(INDEX(Produtos!$C$2:$C$71,MATCH(C365,Produtos!$A$2:$A$71,0)),"")</f>
        <v/>
      </c>
      <c r="P365" s="25">
        <f>IFERROR(INDEX(Produtos!$D$2:$D$71,MATCH(C365,Produtos!$A$2:$A$71,0)),0)</f>
        <v/>
      </c>
      <c r="Q365" s="25">
        <f>IFERROR(INDEX(Produtos!$E$2:$E$71,MATCH(C365,Produtos!$A$2:$A$71,0)),0)</f>
        <v/>
      </c>
      <c r="R365" s="27">
        <f>D365*Q365</f>
        <v/>
      </c>
      <c r="S365" s="27">
        <f>R365*E365</f>
        <v/>
      </c>
      <c r="T365" s="27">
        <f>(R365-S365)*M365</f>
        <v/>
      </c>
      <c r="U365" s="27">
        <f>R365-S365-T365</f>
        <v/>
      </c>
      <c r="V365" s="27">
        <f>D365*P365</f>
        <v/>
      </c>
      <c r="W365" s="27">
        <f>U365-V365</f>
        <v/>
      </c>
      <c r="X365" s="28">
        <f>IFERROR(W365/U365,0)</f>
        <v/>
      </c>
    </row>
    <row r="366">
      <c r="A366" s="21">
        <f>ItensPedido!A366</f>
        <v/>
      </c>
      <c r="B366" s="21">
        <f>ItensPedido!B366</f>
        <v/>
      </c>
      <c r="C366" s="21">
        <f>ItensPedido!C366</f>
        <v/>
      </c>
      <c r="D366" s="21">
        <f>ItensPedido!D366</f>
        <v/>
      </c>
      <c r="E366" s="22">
        <f>ItensPedido!E366</f>
        <v/>
      </c>
      <c r="F366" s="21">
        <f>IFERROR(INDEX(Pedidos!$B$2:$B$1801,MATCH(B366,Pedidos!$A$2:$A$1801,0)),0)</f>
        <v/>
      </c>
      <c r="G366" s="21">
        <f>IF(F366=0,"",YEAR(F366))</f>
        <v/>
      </c>
      <c r="H366" s="21">
        <f>IF(F366=0,"",MONTH(F366))</f>
        <v/>
      </c>
      <c r="I366" s="21">
        <f>IFERROR(INDEX(Pedidos!$E$2:$E$1801,MATCH(B366,Pedidos!$A$2:$A$1801,0)),"")</f>
        <v/>
      </c>
      <c r="J366" s="21">
        <f>IFERROR(INDEX(Pedidos!$C$2:$C$1801,MATCH(B366,Pedidos!$A$2:$A$1801,0)),"")</f>
        <v/>
      </c>
      <c r="K366" s="21">
        <f>IFERROR(INDEX(Pedidos!$D$2:$D$1801,MATCH(B366,Pedidos!$A$2:$A$1801,0)),"")</f>
        <v/>
      </c>
      <c r="L366" s="21">
        <f>IFERROR(INDEX(Pedidos!$F$2:$F$1801,MATCH(B366,Pedidos!$A$2:$A$1801,0)),"")</f>
        <v/>
      </c>
      <c r="M366" s="22">
        <f>IFERROR(INDEX(Pedidos!$G$2:$G$1801,MATCH(B366,Pedidos!$A$2:$A$1801,0)),0)</f>
        <v/>
      </c>
      <c r="N366" s="21">
        <f>IFERROR(INDEX(Produtos!$B$2:$B$71,MATCH(C366,Produtos!$A$2:$A$71,0)),"")</f>
        <v/>
      </c>
      <c r="O366" s="21">
        <f>IFERROR(INDEX(Produtos!$C$2:$C$71,MATCH(C366,Produtos!$A$2:$A$71,0)),"")</f>
        <v/>
      </c>
      <c r="P366" s="21">
        <f>IFERROR(INDEX(Produtos!$D$2:$D$71,MATCH(C366,Produtos!$A$2:$A$71,0)),0)</f>
        <v/>
      </c>
      <c r="Q366" s="21">
        <f>IFERROR(INDEX(Produtos!$E$2:$E$71,MATCH(C366,Produtos!$A$2:$A$71,0)),0)</f>
        <v/>
      </c>
      <c r="R366" s="23">
        <f>D366*Q366</f>
        <v/>
      </c>
      <c r="S366" s="23">
        <f>R366*E366</f>
        <v/>
      </c>
      <c r="T366" s="23">
        <f>(R366-S366)*M366</f>
        <v/>
      </c>
      <c r="U366" s="23">
        <f>R366-S366-T366</f>
        <v/>
      </c>
      <c r="V366" s="23">
        <f>D366*P366</f>
        <v/>
      </c>
      <c r="W366" s="23">
        <f>U366-V366</f>
        <v/>
      </c>
      <c r="X366" s="24">
        <f>IFERROR(W366/U366,0)</f>
        <v/>
      </c>
    </row>
    <row r="367">
      <c r="A367" s="25">
        <f>ItensPedido!A367</f>
        <v/>
      </c>
      <c r="B367" s="25">
        <f>ItensPedido!B367</f>
        <v/>
      </c>
      <c r="C367" s="25">
        <f>ItensPedido!C367</f>
        <v/>
      </c>
      <c r="D367" s="25">
        <f>ItensPedido!D367</f>
        <v/>
      </c>
      <c r="E367" s="26">
        <f>ItensPedido!E367</f>
        <v/>
      </c>
      <c r="F367" s="25">
        <f>IFERROR(INDEX(Pedidos!$B$2:$B$1801,MATCH(B367,Pedidos!$A$2:$A$1801,0)),0)</f>
        <v/>
      </c>
      <c r="G367" s="25">
        <f>IF(F367=0,"",YEAR(F367))</f>
        <v/>
      </c>
      <c r="H367" s="25">
        <f>IF(F367=0,"",MONTH(F367))</f>
        <v/>
      </c>
      <c r="I367" s="25">
        <f>IFERROR(INDEX(Pedidos!$E$2:$E$1801,MATCH(B367,Pedidos!$A$2:$A$1801,0)),"")</f>
        <v/>
      </c>
      <c r="J367" s="25">
        <f>IFERROR(INDEX(Pedidos!$C$2:$C$1801,MATCH(B367,Pedidos!$A$2:$A$1801,0)),"")</f>
        <v/>
      </c>
      <c r="K367" s="25">
        <f>IFERROR(INDEX(Pedidos!$D$2:$D$1801,MATCH(B367,Pedidos!$A$2:$A$1801,0)),"")</f>
        <v/>
      </c>
      <c r="L367" s="25">
        <f>IFERROR(INDEX(Pedidos!$F$2:$F$1801,MATCH(B367,Pedidos!$A$2:$A$1801,0)),"")</f>
        <v/>
      </c>
      <c r="M367" s="26">
        <f>IFERROR(INDEX(Pedidos!$G$2:$G$1801,MATCH(B367,Pedidos!$A$2:$A$1801,0)),0)</f>
        <v/>
      </c>
      <c r="N367" s="25">
        <f>IFERROR(INDEX(Produtos!$B$2:$B$71,MATCH(C367,Produtos!$A$2:$A$71,0)),"")</f>
        <v/>
      </c>
      <c r="O367" s="25">
        <f>IFERROR(INDEX(Produtos!$C$2:$C$71,MATCH(C367,Produtos!$A$2:$A$71,0)),"")</f>
        <v/>
      </c>
      <c r="P367" s="25">
        <f>IFERROR(INDEX(Produtos!$D$2:$D$71,MATCH(C367,Produtos!$A$2:$A$71,0)),0)</f>
        <v/>
      </c>
      <c r="Q367" s="25">
        <f>IFERROR(INDEX(Produtos!$E$2:$E$71,MATCH(C367,Produtos!$A$2:$A$71,0)),0)</f>
        <v/>
      </c>
      <c r="R367" s="27">
        <f>D367*Q367</f>
        <v/>
      </c>
      <c r="S367" s="27">
        <f>R367*E367</f>
        <v/>
      </c>
      <c r="T367" s="27">
        <f>(R367-S367)*M367</f>
        <v/>
      </c>
      <c r="U367" s="27">
        <f>R367-S367-T367</f>
        <v/>
      </c>
      <c r="V367" s="27">
        <f>D367*P367</f>
        <v/>
      </c>
      <c r="W367" s="27">
        <f>U367-V367</f>
        <v/>
      </c>
      <c r="X367" s="28">
        <f>IFERROR(W367/U367,0)</f>
        <v/>
      </c>
    </row>
    <row r="368">
      <c r="A368" s="21">
        <f>ItensPedido!A368</f>
        <v/>
      </c>
      <c r="B368" s="21">
        <f>ItensPedido!B368</f>
        <v/>
      </c>
      <c r="C368" s="21">
        <f>ItensPedido!C368</f>
        <v/>
      </c>
      <c r="D368" s="21">
        <f>ItensPedido!D368</f>
        <v/>
      </c>
      <c r="E368" s="22">
        <f>ItensPedido!E368</f>
        <v/>
      </c>
      <c r="F368" s="21">
        <f>IFERROR(INDEX(Pedidos!$B$2:$B$1801,MATCH(B368,Pedidos!$A$2:$A$1801,0)),0)</f>
        <v/>
      </c>
      <c r="G368" s="21">
        <f>IF(F368=0,"",YEAR(F368))</f>
        <v/>
      </c>
      <c r="H368" s="21">
        <f>IF(F368=0,"",MONTH(F368))</f>
        <v/>
      </c>
      <c r="I368" s="21">
        <f>IFERROR(INDEX(Pedidos!$E$2:$E$1801,MATCH(B368,Pedidos!$A$2:$A$1801,0)),"")</f>
        <v/>
      </c>
      <c r="J368" s="21">
        <f>IFERROR(INDEX(Pedidos!$C$2:$C$1801,MATCH(B368,Pedidos!$A$2:$A$1801,0)),"")</f>
        <v/>
      </c>
      <c r="K368" s="21">
        <f>IFERROR(INDEX(Pedidos!$D$2:$D$1801,MATCH(B368,Pedidos!$A$2:$A$1801,0)),"")</f>
        <v/>
      </c>
      <c r="L368" s="21">
        <f>IFERROR(INDEX(Pedidos!$F$2:$F$1801,MATCH(B368,Pedidos!$A$2:$A$1801,0)),"")</f>
        <v/>
      </c>
      <c r="M368" s="22">
        <f>IFERROR(INDEX(Pedidos!$G$2:$G$1801,MATCH(B368,Pedidos!$A$2:$A$1801,0)),0)</f>
        <v/>
      </c>
      <c r="N368" s="21">
        <f>IFERROR(INDEX(Produtos!$B$2:$B$71,MATCH(C368,Produtos!$A$2:$A$71,0)),"")</f>
        <v/>
      </c>
      <c r="O368" s="21">
        <f>IFERROR(INDEX(Produtos!$C$2:$C$71,MATCH(C368,Produtos!$A$2:$A$71,0)),"")</f>
        <v/>
      </c>
      <c r="P368" s="21">
        <f>IFERROR(INDEX(Produtos!$D$2:$D$71,MATCH(C368,Produtos!$A$2:$A$71,0)),0)</f>
        <v/>
      </c>
      <c r="Q368" s="21">
        <f>IFERROR(INDEX(Produtos!$E$2:$E$71,MATCH(C368,Produtos!$A$2:$A$71,0)),0)</f>
        <v/>
      </c>
      <c r="R368" s="23">
        <f>D368*Q368</f>
        <v/>
      </c>
      <c r="S368" s="23">
        <f>R368*E368</f>
        <v/>
      </c>
      <c r="T368" s="23">
        <f>(R368-S368)*M368</f>
        <v/>
      </c>
      <c r="U368" s="23">
        <f>R368-S368-T368</f>
        <v/>
      </c>
      <c r="V368" s="23">
        <f>D368*P368</f>
        <v/>
      </c>
      <c r="W368" s="23">
        <f>U368-V368</f>
        <v/>
      </c>
      <c r="X368" s="24">
        <f>IFERROR(W368/U368,0)</f>
        <v/>
      </c>
    </row>
    <row r="369">
      <c r="A369" s="25">
        <f>ItensPedido!A369</f>
        <v/>
      </c>
      <c r="B369" s="25">
        <f>ItensPedido!B369</f>
        <v/>
      </c>
      <c r="C369" s="25">
        <f>ItensPedido!C369</f>
        <v/>
      </c>
      <c r="D369" s="25">
        <f>ItensPedido!D369</f>
        <v/>
      </c>
      <c r="E369" s="26">
        <f>ItensPedido!E369</f>
        <v/>
      </c>
      <c r="F369" s="25">
        <f>IFERROR(INDEX(Pedidos!$B$2:$B$1801,MATCH(B369,Pedidos!$A$2:$A$1801,0)),0)</f>
        <v/>
      </c>
      <c r="G369" s="25">
        <f>IF(F369=0,"",YEAR(F369))</f>
        <v/>
      </c>
      <c r="H369" s="25">
        <f>IF(F369=0,"",MONTH(F369))</f>
        <v/>
      </c>
      <c r="I369" s="25">
        <f>IFERROR(INDEX(Pedidos!$E$2:$E$1801,MATCH(B369,Pedidos!$A$2:$A$1801,0)),"")</f>
        <v/>
      </c>
      <c r="J369" s="25">
        <f>IFERROR(INDEX(Pedidos!$C$2:$C$1801,MATCH(B369,Pedidos!$A$2:$A$1801,0)),"")</f>
        <v/>
      </c>
      <c r="K369" s="25">
        <f>IFERROR(INDEX(Pedidos!$D$2:$D$1801,MATCH(B369,Pedidos!$A$2:$A$1801,0)),"")</f>
        <v/>
      </c>
      <c r="L369" s="25">
        <f>IFERROR(INDEX(Pedidos!$F$2:$F$1801,MATCH(B369,Pedidos!$A$2:$A$1801,0)),"")</f>
        <v/>
      </c>
      <c r="M369" s="26">
        <f>IFERROR(INDEX(Pedidos!$G$2:$G$1801,MATCH(B369,Pedidos!$A$2:$A$1801,0)),0)</f>
        <v/>
      </c>
      <c r="N369" s="25">
        <f>IFERROR(INDEX(Produtos!$B$2:$B$71,MATCH(C369,Produtos!$A$2:$A$71,0)),"")</f>
        <v/>
      </c>
      <c r="O369" s="25">
        <f>IFERROR(INDEX(Produtos!$C$2:$C$71,MATCH(C369,Produtos!$A$2:$A$71,0)),"")</f>
        <v/>
      </c>
      <c r="P369" s="25">
        <f>IFERROR(INDEX(Produtos!$D$2:$D$71,MATCH(C369,Produtos!$A$2:$A$71,0)),0)</f>
        <v/>
      </c>
      <c r="Q369" s="25">
        <f>IFERROR(INDEX(Produtos!$E$2:$E$71,MATCH(C369,Produtos!$A$2:$A$71,0)),0)</f>
        <v/>
      </c>
      <c r="R369" s="27">
        <f>D369*Q369</f>
        <v/>
      </c>
      <c r="S369" s="27">
        <f>R369*E369</f>
        <v/>
      </c>
      <c r="T369" s="27">
        <f>(R369-S369)*M369</f>
        <v/>
      </c>
      <c r="U369" s="27">
        <f>R369-S369-T369</f>
        <v/>
      </c>
      <c r="V369" s="27">
        <f>D369*P369</f>
        <v/>
      </c>
      <c r="W369" s="27">
        <f>U369-V369</f>
        <v/>
      </c>
      <c r="X369" s="28">
        <f>IFERROR(W369/U369,0)</f>
        <v/>
      </c>
    </row>
    <row r="370">
      <c r="A370" s="21">
        <f>ItensPedido!A370</f>
        <v/>
      </c>
      <c r="B370" s="21">
        <f>ItensPedido!B370</f>
        <v/>
      </c>
      <c r="C370" s="21">
        <f>ItensPedido!C370</f>
        <v/>
      </c>
      <c r="D370" s="21">
        <f>ItensPedido!D370</f>
        <v/>
      </c>
      <c r="E370" s="22">
        <f>ItensPedido!E370</f>
        <v/>
      </c>
      <c r="F370" s="21">
        <f>IFERROR(INDEX(Pedidos!$B$2:$B$1801,MATCH(B370,Pedidos!$A$2:$A$1801,0)),0)</f>
        <v/>
      </c>
      <c r="G370" s="21">
        <f>IF(F370=0,"",YEAR(F370))</f>
        <v/>
      </c>
      <c r="H370" s="21">
        <f>IF(F370=0,"",MONTH(F370))</f>
        <v/>
      </c>
      <c r="I370" s="21">
        <f>IFERROR(INDEX(Pedidos!$E$2:$E$1801,MATCH(B370,Pedidos!$A$2:$A$1801,0)),"")</f>
        <v/>
      </c>
      <c r="J370" s="21">
        <f>IFERROR(INDEX(Pedidos!$C$2:$C$1801,MATCH(B370,Pedidos!$A$2:$A$1801,0)),"")</f>
        <v/>
      </c>
      <c r="K370" s="21">
        <f>IFERROR(INDEX(Pedidos!$D$2:$D$1801,MATCH(B370,Pedidos!$A$2:$A$1801,0)),"")</f>
        <v/>
      </c>
      <c r="L370" s="21">
        <f>IFERROR(INDEX(Pedidos!$F$2:$F$1801,MATCH(B370,Pedidos!$A$2:$A$1801,0)),"")</f>
        <v/>
      </c>
      <c r="M370" s="22">
        <f>IFERROR(INDEX(Pedidos!$G$2:$G$1801,MATCH(B370,Pedidos!$A$2:$A$1801,0)),0)</f>
        <v/>
      </c>
      <c r="N370" s="21">
        <f>IFERROR(INDEX(Produtos!$B$2:$B$71,MATCH(C370,Produtos!$A$2:$A$71,0)),"")</f>
        <v/>
      </c>
      <c r="O370" s="21">
        <f>IFERROR(INDEX(Produtos!$C$2:$C$71,MATCH(C370,Produtos!$A$2:$A$71,0)),"")</f>
        <v/>
      </c>
      <c r="P370" s="21">
        <f>IFERROR(INDEX(Produtos!$D$2:$D$71,MATCH(C370,Produtos!$A$2:$A$71,0)),0)</f>
        <v/>
      </c>
      <c r="Q370" s="21">
        <f>IFERROR(INDEX(Produtos!$E$2:$E$71,MATCH(C370,Produtos!$A$2:$A$71,0)),0)</f>
        <v/>
      </c>
      <c r="R370" s="23">
        <f>D370*Q370</f>
        <v/>
      </c>
      <c r="S370" s="23">
        <f>R370*E370</f>
        <v/>
      </c>
      <c r="T370" s="23">
        <f>(R370-S370)*M370</f>
        <v/>
      </c>
      <c r="U370" s="23">
        <f>R370-S370-T370</f>
        <v/>
      </c>
      <c r="V370" s="23">
        <f>D370*P370</f>
        <v/>
      </c>
      <c r="W370" s="23">
        <f>U370-V370</f>
        <v/>
      </c>
      <c r="X370" s="24">
        <f>IFERROR(W370/U370,0)</f>
        <v/>
      </c>
    </row>
    <row r="371">
      <c r="A371" s="25">
        <f>ItensPedido!A371</f>
        <v/>
      </c>
      <c r="B371" s="25">
        <f>ItensPedido!B371</f>
        <v/>
      </c>
      <c r="C371" s="25">
        <f>ItensPedido!C371</f>
        <v/>
      </c>
      <c r="D371" s="25">
        <f>ItensPedido!D371</f>
        <v/>
      </c>
      <c r="E371" s="26">
        <f>ItensPedido!E371</f>
        <v/>
      </c>
      <c r="F371" s="25">
        <f>IFERROR(INDEX(Pedidos!$B$2:$B$1801,MATCH(B371,Pedidos!$A$2:$A$1801,0)),0)</f>
        <v/>
      </c>
      <c r="G371" s="25">
        <f>IF(F371=0,"",YEAR(F371))</f>
        <v/>
      </c>
      <c r="H371" s="25">
        <f>IF(F371=0,"",MONTH(F371))</f>
        <v/>
      </c>
      <c r="I371" s="25">
        <f>IFERROR(INDEX(Pedidos!$E$2:$E$1801,MATCH(B371,Pedidos!$A$2:$A$1801,0)),"")</f>
        <v/>
      </c>
      <c r="J371" s="25">
        <f>IFERROR(INDEX(Pedidos!$C$2:$C$1801,MATCH(B371,Pedidos!$A$2:$A$1801,0)),"")</f>
        <v/>
      </c>
      <c r="K371" s="25">
        <f>IFERROR(INDEX(Pedidos!$D$2:$D$1801,MATCH(B371,Pedidos!$A$2:$A$1801,0)),"")</f>
        <v/>
      </c>
      <c r="L371" s="25">
        <f>IFERROR(INDEX(Pedidos!$F$2:$F$1801,MATCH(B371,Pedidos!$A$2:$A$1801,0)),"")</f>
        <v/>
      </c>
      <c r="M371" s="26">
        <f>IFERROR(INDEX(Pedidos!$G$2:$G$1801,MATCH(B371,Pedidos!$A$2:$A$1801,0)),0)</f>
        <v/>
      </c>
      <c r="N371" s="25">
        <f>IFERROR(INDEX(Produtos!$B$2:$B$71,MATCH(C371,Produtos!$A$2:$A$71,0)),"")</f>
        <v/>
      </c>
      <c r="O371" s="25">
        <f>IFERROR(INDEX(Produtos!$C$2:$C$71,MATCH(C371,Produtos!$A$2:$A$71,0)),"")</f>
        <v/>
      </c>
      <c r="P371" s="25">
        <f>IFERROR(INDEX(Produtos!$D$2:$D$71,MATCH(C371,Produtos!$A$2:$A$71,0)),0)</f>
        <v/>
      </c>
      <c r="Q371" s="25">
        <f>IFERROR(INDEX(Produtos!$E$2:$E$71,MATCH(C371,Produtos!$A$2:$A$71,0)),0)</f>
        <v/>
      </c>
      <c r="R371" s="27">
        <f>D371*Q371</f>
        <v/>
      </c>
      <c r="S371" s="27">
        <f>R371*E371</f>
        <v/>
      </c>
      <c r="T371" s="27">
        <f>(R371-S371)*M371</f>
        <v/>
      </c>
      <c r="U371" s="27">
        <f>R371-S371-T371</f>
        <v/>
      </c>
      <c r="V371" s="27">
        <f>D371*P371</f>
        <v/>
      </c>
      <c r="W371" s="27">
        <f>U371-V371</f>
        <v/>
      </c>
      <c r="X371" s="28">
        <f>IFERROR(W371/U371,0)</f>
        <v/>
      </c>
    </row>
    <row r="372">
      <c r="A372" s="21">
        <f>ItensPedido!A372</f>
        <v/>
      </c>
      <c r="B372" s="21">
        <f>ItensPedido!B372</f>
        <v/>
      </c>
      <c r="C372" s="21">
        <f>ItensPedido!C372</f>
        <v/>
      </c>
      <c r="D372" s="21">
        <f>ItensPedido!D372</f>
        <v/>
      </c>
      <c r="E372" s="22">
        <f>ItensPedido!E372</f>
        <v/>
      </c>
      <c r="F372" s="21">
        <f>IFERROR(INDEX(Pedidos!$B$2:$B$1801,MATCH(B372,Pedidos!$A$2:$A$1801,0)),0)</f>
        <v/>
      </c>
      <c r="G372" s="21">
        <f>IF(F372=0,"",YEAR(F372))</f>
        <v/>
      </c>
      <c r="H372" s="21">
        <f>IF(F372=0,"",MONTH(F372))</f>
        <v/>
      </c>
      <c r="I372" s="21">
        <f>IFERROR(INDEX(Pedidos!$E$2:$E$1801,MATCH(B372,Pedidos!$A$2:$A$1801,0)),"")</f>
        <v/>
      </c>
      <c r="J372" s="21">
        <f>IFERROR(INDEX(Pedidos!$C$2:$C$1801,MATCH(B372,Pedidos!$A$2:$A$1801,0)),"")</f>
        <v/>
      </c>
      <c r="K372" s="21">
        <f>IFERROR(INDEX(Pedidos!$D$2:$D$1801,MATCH(B372,Pedidos!$A$2:$A$1801,0)),"")</f>
        <v/>
      </c>
      <c r="L372" s="21">
        <f>IFERROR(INDEX(Pedidos!$F$2:$F$1801,MATCH(B372,Pedidos!$A$2:$A$1801,0)),"")</f>
        <v/>
      </c>
      <c r="M372" s="22">
        <f>IFERROR(INDEX(Pedidos!$G$2:$G$1801,MATCH(B372,Pedidos!$A$2:$A$1801,0)),0)</f>
        <v/>
      </c>
      <c r="N372" s="21">
        <f>IFERROR(INDEX(Produtos!$B$2:$B$71,MATCH(C372,Produtos!$A$2:$A$71,0)),"")</f>
        <v/>
      </c>
      <c r="O372" s="21">
        <f>IFERROR(INDEX(Produtos!$C$2:$C$71,MATCH(C372,Produtos!$A$2:$A$71,0)),"")</f>
        <v/>
      </c>
      <c r="P372" s="21">
        <f>IFERROR(INDEX(Produtos!$D$2:$D$71,MATCH(C372,Produtos!$A$2:$A$71,0)),0)</f>
        <v/>
      </c>
      <c r="Q372" s="21">
        <f>IFERROR(INDEX(Produtos!$E$2:$E$71,MATCH(C372,Produtos!$A$2:$A$71,0)),0)</f>
        <v/>
      </c>
      <c r="R372" s="23">
        <f>D372*Q372</f>
        <v/>
      </c>
      <c r="S372" s="23">
        <f>R372*E372</f>
        <v/>
      </c>
      <c r="T372" s="23">
        <f>(R372-S372)*M372</f>
        <v/>
      </c>
      <c r="U372" s="23">
        <f>R372-S372-T372</f>
        <v/>
      </c>
      <c r="V372" s="23">
        <f>D372*P372</f>
        <v/>
      </c>
      <c r="W372" s="23">
        <f>U372-V372</f>
        <v/>
      </c>
      <c r="X372" s="24">
        <f>IFERROR(W372/U372,0)</f>
        <v/>
      </c>
    </row>
    <row r="373">
      <c r="A373" s="25">
        <f>ItensPedido!A373</f>
        <v/>
      </c>
      <c r="B373" s="25">
        <f>ItensPedido!B373</f>
        <v/>
      </c>
      <c r="C373" s="25">
        <f>ItensPedido!C373</f>
        <v/>
      </c>
      <c r="D373" s="25">
        <f>ItensPedido!D373</f>
        <v/>
      </c>
      <c r="E373" s="26">
        <f>ItensPedido!E373</f>
        <v/>
      </c>
      <c r="F373" s="25">
        <f>IFERROR(INDEX(Pedidos!$B$2:$B$1801,MATCH(B373,Pedidos!$A$2:$A$1801,0)),0)</f>
        <v/>
      </c>
      <c r="G373" s="25">
        <f>IF(F373=0,"",YEAR(F373))</f>
        <v/>
      </c>
      <c r="H373" s="25">
        <f>IF(F373=0,"",MONTH(F373))</f>
        <v/>
      </c>
      <c r="I373" s="25">
        <f>IFERROR(INDEX(Pedidos!$E$2:$E$1801,MATCH(B373,Pedidos!$A$2:$A$1801,0)),"")</f>
        <v/>
      </c>
      <c r="J373" s="25">
        <f>IFERROR(INDEX(Pedidos!$C$2:$C$1801,MATCH(B373,Pedidos!$A$2:$A$1801,0)),"")</f>
        <v/>
      </c>
      <c r="K373" s="25">
        <f>IFERROR(INDEX(Pedidos!$D$2:$D$1801,MATCH(B373,Pedidos!$A$2:$A$1801,0)),"")</f>
        <v/>
      </c>
      <c r="L373" s="25">
        <f>IFERROR(INDEX(Pedidos!$F$2:$F$1801,MATCH(B373,Pedidos!$A$2:$A$1801,0)),"")</f>
        <v/>
      </c>
      <c r="M373" s="26">
        <f>IFERROR(INDEX(Pedidos!$G$2:$G$1801,MATCH(B373,Pedidos!$A$2:$A$1801,0)),0)</f>
        <v/>
      </c>
      <c r="N373" s="25">
        <f>IFERROR(INDEX(Produtos!$B$2:$B$71,MATCH(C373,Produtos!$A$2:$A$71,0)),"")</f>
        <v/>
      </c>
      <c r="O373" s="25">
        <f>IFERROR(INDEX(Produtos!$C$2:$C$71,MATCH(C373,Produtos!$A$2:$A$71,0)),"")</f>
        <v/>
      </c>
      <c r="P373" s="25">
        <f>IFERROR(INDEX(Produtos!$D$2:$D$71,MATCH(C373,Produtos!$A$2:$A$71,0)),0)</f>
        <v/>
      </c>
      <c r="Q373" s="25">
        <f>IFERROR(INDEX(Produtos!$E$2:$E$71,MATCH(C373,Produtos!$A$2:$A$71,0)),0)</f>
        <v/>
      </c>
      <c r="R373" s="27">
        <f>D373*Q373</f>
        <v/>
      </c>
      <c r="S373" s="27">
        <f>R373*E373</f>
        <v/>
      </c>
      <c r="T373" s="27">
        <f>(R373-S373)*M373</f>
        <v/>
      </c>
      <c r="U373" s="27">
        <f>R373-S373-T373</f>
        <v/>
      </c>
      <c r="V373" s="27">
        <f>D373*P373</f>
        <v/>
      </c>
      <c r="W373" s="27">
        <f>U373-V373</f>
        <v/>
      </c>
      <c r="X373" s="28">
        <f>IFERROR(W373/U373,0)</f>
        <v/>
      </c>
    </row>
    <row r="374">
      <c r="A374" s="21">
        <f>ItensPedido!A374</f>
        <v/>
      </c>
      <c r="B374" s="21">
        <f>ItensPedido!B374</f>
        <v/>
      </c>
      <c r="C374" s="21">
        <f>ItensPedido!C374</f>
        <v/>
      </c>
      <c r="D374" s="21">
        <f>ItensPedido!D374</f>
        <v/>
      </c>
      <c r="E374" s="22">
        <f>ItensPedido!E374</f>
        <v/>
      </c>
      <c r="F374" s="21">
        <f>IFERROR(INDEX(Pedidos!$B$2:$B$1801,MATCH(B374,Pedidos!$A$2:$A$1801,0)),0)</f>
        <v/>
      </c>
      <c r="G374" s="21">
        <f>IF(F374=0,"",YEAR(F374))</f>
        <v/>
      </c>
      <c r="H374" s="21">
        <f>IF(F374=0,"",MONTH(F374))</f>
        <v/>
      </c>
      <c r="I374" s="21">
        <f>IFERROR(INDEX(Pedidos!$E$2:$E$1801,MATCH(B374,Pedidos!$A$2:$A$1801,0)),"")</f>
        <v/>
      </c>
      <c r="J374" s="21">
        <f>IFERROR(INDEX(Pedidos!$C$2:$C$1801,MATCH(B374,Pedidos!$A$2:$A$1801,0)),"")</f>
        <v/>
      </c>
      <c r="K374" s="21">
        <f>IFERROR(INDEX(Pedidos!$D$2:$D$1801,MATCH(B374,Pedidos!$A$2:$A$1801,0)),"")</f>
        <v/>
      </c>
      <c r="L374" s="21">
        <f>IFERROR(INDEX(Pedidos!$F$2:$F$1801,MATCH(B374,Pedidos!$A$2:$A$1801,0)),"")</f>
        <v/>
      </c>
      <c r="M374" s="22">
        <f>IFERROR(INDEX(Pedidos!$G$2:$G$1801,MATCH(B374,Pedidos!$A$2:$A$1801,0)),0)</f>
        <v/>
      </c>
      <c r="N374" s="21">
        <f>IFERROR(INDEX(Produtos!$B$2:$B$71,MATCH(C374,Produtos!$A$2:$A$71,0)),"")</f>
        <v/>
      </c>
      <c r="O374" s="21">
        <f>IFERROR(INDEX(Produtos!$C$2:$C$71,MATCH(C374,Produtos!$A$2:$A$71,0)),"")</f>
        <v/>
      </c>
      <c r="P374" s="21">
        <f>IFERROR(INDEX(Produtos!$D$2:$D$71,MATCH(C374,Produtos!$A$2:$A$71,0)),0)</f>
        <v/>
      </c>
      <c r="Q374" s="21">
        <f>IFERROR(INDEX(Produtos!$E$2:$E$71,MATCH(C374,Produtos!$A$2:$A$71,0)),0)</f>
        <v/>
      </c>
      <c r="R374" s="23">
        <f>D374*Q374</f>
        <v/>
      </c>
      <c r="S374" s="23">
        <f>R374*E374</f>
        <v/>
      </c>
      <c r="T374" s="23">
        <f>(R374-S374)*M374</f>
        <v/>
      </c>
      <c r="U374" s="23">
        <f>R374-S374-T374</f>
        <v/>
      </c>
      <c r="V374" s="23">
        <f>D374*P374</f>
        <v/>
      </c>
      <c r="W374" s="23">
        <f>U374-V374</f>
        <v/>
      </c>
      <c r="X374" s="24">
        <f>IFERROR(W374/U374,0)</f>
        <v/>
      </c>
    </row>
    <row r="375">
      <c r="A375" s="25">
        <f>ItensPedido!A375</f>
        <v/>
      </c>
      <c r="B375" s="25">
        <f>ItensPedido!B375</f>
        <v/>
      </c>
      <c r="C375" s="25">
        <f>ItensPedido!C375</f>
        <v/>
      </c>
      <c r="D375" s="25">
        <f>ItensPedido!D375</f>
        <v/>
      </c>
      <c r="E375" s="26">
        <f>ItensPedido!E375</f>
        <v/>
      </c>
      <c r="F375" s="25">
        <f>IFERROR(INDEX(Pedidos!$B$2:$B$1801,MATCH(B375,Pedidos!$A$2:$A$1801,0)),0)</f>
        <v/>
      </c>
      <c r="G375" s="25">
        <f>IF(F375=0,"",YEAR(F375))</f>
        <v/>
      </c>
      <c r="H375" s="25">
        <f>IF(F375=0,"",MONTH(F375))</f>
        <v/>
      </c>
      <c r="I375" s="25">
        <f>IFERROR(INDEX(Pedidos!$E$2:$E$1801,MATCH(B375,Pedidos!$A$2:$A$1801,0)),"")</f>
        <v/>
      </c>
      <c r="J375" s="25">
        <f>IFERROR(INDEX(Pedidos!$C$2:$C$1801,MATCH(B375,Pedidos!$A$2:$A$1801,0)),"")</f>
        <v/>
      </c>
      <c r="K375" s="25">
        <f>IFERROR(INDEX(Pedidos!$D$2:$D$1801,MATCH(B375,Pedidos!$A$2:$A$1801,0)),"")</f>
        <v/>
      </c>
      <c r="L375" s="25">
        <f>IFERROR(INDEX(Pedidos!$F$2:$F$1801,MATCH(B375,Pedidos!$A$2:$A$1801,0)),"")</f>
        <v/>
      </c>
      <c r="M375" s="26">
        <f>IFERROR(INDEX(Pedidos!$G$2:$G$1801,MATCH(B375,Pedidos!$A$2:$A$1801,0)),0)</f>
        <v/>
      </c>
      <c r="N375" s="25">
        <f>IFERROR(INDEX(Produtos!$B$2:$B$71,MATCH(C375,Produtos!$A$2:$A$71,0)),"")</f>
        <v/>
      </c>
      <c r="O375" s="25">
        <f>IFERROR(INDEX(Produtos!$C$2:$C$71,MATCH(C375,Produtos!$A$2:$A$71,0)),"")</f>
        <v/>
      </c>
      <c r="P375" s="25">
        <f>IFERROR(INDEX(Produtos!$D$2:$D$71,MATCH(C375,Produtos!$A$2:$A$71,0)),0)</f>
        <v/>
      </c>
      <c r="Q375" s="25">
        <f>IFERROR(INDEX(Produtos!$E$2:$E$71,MATCH(C375,Produtos!$A$2:$A$71,0)),0)</f>
        <v/>
      </c>
      <c r="R375" s="27">
        <f>D375*Q375</f>
        <v/>
      </c>
      <c r="S375" s="27">
        <f>R375*E375</f>
        <v/>
      </c>
      <c r="T375" s="27">
        <f>(R375-S375)*M375</f>
        <v/>
      </c>
      <c r="U375" s="27">
        <f>R375-S375-T375</f>
        <v/>
      </c>
      <c r="V375" s="27">
        <f>D375*P375</f>
        <v/>
      </c>
      <c r="W375" s="27">
        <f>U375-V375</f>
        <v/>
      </c>
      <c r="X375" s="28">
        <f>IFERROR(W375/U375,0)</f>
        <v/>
      </c>
    </row>
    <row r="376">
      <c r="A376" s="21">
        <f>ItensPedido!A376</f>
        <v/>
      </c>
      <c r="B376" s="21">
        <f>ItensPedido!B376</f>
        <v/>
      </c>
      <c r="C376" s="21">
        <f>ItensPedido!C376</f>
        <v/>
      </c>
      <c r="D376" s="21">
        <f>ItensPedido!D376</f>
        <v/>
      </c>
      <c r="E376" s="22">
        <f>ItensPedido!E376</f>
        <v/>
      </c>
      <c r="F376" s="21">
        <f>IFERROR(INDEX(Pedidos!$B$2:$B$1801,MATCH(B376,Pedidos!$A$2:$A$1801,0)),0)</f>
        <v/>
      </c>
      <c r="G376" s="21">
        <f>IF(F376=0,"",YEAR(F376))</f>
        <v/>
      </c>
      <c r="H376" s="21">
        <f>IF(F376=0,"",MONTH(F376))</f>
        <v/>
      </c>
      <c r="I376" s="21">
        <f>IFERROR(INDEX(Pedidos!$E$2:$E$1801,MATCH(B376,Pedidos!$A$2:$A$1801,0)),"")</f>
        <v/>
      </c>
      <c r="J376" s="21">
        <f>IFERROR(INDEX(Pedidos!$C$2:$C$1801,MATCH(B376,Pedidos!$A$2:$A$1801,0)),"")</f>
        <v/>
      </c>
      <c r="K376" s="21">
        <f>IFERROR(INDEX(Pedidos!$D$2:$D$1801,MATCH(B376,Pedidos!$A$2:$A$1801,0)),"")</f>
        <v/>
      </c>
      <c r="L376" s="21">
        <f>IFERROR(INDEX(Pedidos!$F$2:$F$1801,MATCH(B376,Pedidos!$A$2:$A$1801,0)),"")</f>
        <v/>
      </c>
      <c r="M376" s="22">
        <f>IFERROR(INDEX(Pedidos!$G$2:$G$1801,MATCH(B376,Pedidos!$A$2:$A$1801,0)),0)</f>
        <v/>
      </c>
      <c r="N376" s="21">
        <f>IFERROR(INDEX(Produtos!$B$2:$B$71,MATCH(C376,Produtos!$A$2:$A$71,0)),"")</f>
        <v/>
      </c>
      <c r="O376" s="21">
        <f>IFERROR(INDEX(Produtos!$C$2:$C$71,MATCH(C376,Produtos!$A$2:$A$71,0)),"")</f>
        <v/>
      </c>
      <c r="P376" s="21">
        <f>IFERROR(INDEX(Produtos!$D$2:$D$71,MATCH(C376,Produtos!$A$2:$A$71,0)),0)</f>
        <v/>
      </c>
      <c r="Q376" s="21">
        <f>IFERROR(INDEX(Produtos!$E$2:$E$71,MATCH(C376,Produtos!$A$2:$A$71,0)),0)</f>
        <v/>
      </c>
      <c r="R376" s="23">
        <f>D376*Q376</f>
        <v/>
      </c>
      <c r="S376" s="23">
        <f>R376*E376</f>
        <v/>
      </c>
      <c r="T376" s="23">
        <f>(R376-S376)*M376</f>
        <v/>
      </c>
      <c r="U376" s="23">
        <f>R376-S376-T376</f>
        <v/>
      </c>
      <c r="V376" s="23">
        <f>D376*P376</f>
        <v/>
      </c>
      <c r="W376" s="23">
        <f>U376-V376</f>
        <v/>
      </c>
      <c r="X376" s="24">
        <f>IFERROR(W376/U376,0)</f>
        <v/>
      </c>
    </row>
    <row r="377">
      <c r="A377" s="25">
        <f>ItensPedido!A377</f>
        <v/>
      </c>
      <c r="B377" s="25">
        <f>ItensPedido!B377</f>
        <v/>
      </c>
      <c r="C377" s="25">
        <f>ItensPedido!C377</f>
        <v/>
      </c>
      <c r="D377" s="25">
        <f>ItensPedido!D377</f>
        <v/>
      </c>
      <c r="E377" s="26">
        <f>ItensPedido!E377</f>
        <v/>
      </c>
      <c r="F377" s="25">
        <f>IFERROR(INDEX(Pedidos!$B$2:$B$1801,MATCH(B377,Pedidos!$A$2:$A$1801,0)),0)</f>
        <v/>
      </c>
      <c r="G377" s="25">
        <f>IF(F377=0,"",YEAR(F377))</f>
        <v/>
      </c>
      <c r="H377" s="25">
        <f>IF(F377=0,"",MONTH(F377))</f>
        <v/>
      </c>
      <c r="I377" s="25">
        <f>IFERROR(INDEX(Pedidos!$E$2:$E$1801,MATCH(B377,Pedidos!$A$2:$A$1801,0)),"")</f>
        <v/>
      </c>
      <c r="J377" s="25">
        <f>IFERROR(INDEX(Pedidos!$C$2:$C$1801,MATCH(B377,Pedidos!$A$2:$A$1801,0)),"")</f>
        <v/>
      </c>
      <c r="K377" s="25">
        <f>IFERROR(INDEX(Pedidos!$D$2:$D$1801,MATCH(B377,Pedidos!$A$2:$A$1801,0)),"")</f>
        <v/>
      </c>
      <c r="L377" s="25">
        <f>IFERROR(INDEX(Pedidos!$F$2:$F$1801,MATCH(B377,Pedidos!$A$2:$A$1801,0)),"")</f>
        <v/>
      </c>
      <c r="M377" s="26">
        <f>IFERROR(INDEX(Pedidos!$G$2:$G$1801,MATCH(B377,Pedidos!$A$2:$A$1801,0)),0)</f>
        <v/>
      </c>
      <c r="N377" s="25">
        <f>IFERROR(INDEX(Produtos!$B$2:$B$71,MATCH(C377,Produtos!$A$2:$A$71,0)),"")</f>
        <v/>
      </c>
      <c r="O377" s="25">
        <f>IFERROR(INDEX(Produtos!$C$2:$C$71,MATCH(C377,Produtos!$A$2:$A$71,0)),"")</f>
        <v/>
      </c>
      <c r="P377" s="25">
        <f>IFERROR(INDEX(Produtos!$D$2:$D$71,MATCH(C377,Produtos!$A$2:$A$71,0)),0)</f>
        <v/>
      </c>
      <c r="Q377" s="25">
        <f>IFERROR(INDEX(Produtos!$E$2:$E$71,MATCH(C377,Produtos!$A$2:$A$71,0)),0)</f>
        <v/>
      </c>
      <c r="R377" s="27">
        <f>D377*Q377</f>
        <v/>
      </c>
      <c r="S377" s="27">
        <f>R377*E377</f>
        <v/>
      </c>
      <c r="T377" s="27">
        <f>(R377-S377)*M377</f>
        <v/>
      </c>
      <c r="U377" s="27">
        <f>R377-S377-T377</f>
        <v/>
      </c>
      <c r="V377" s="27">
        <f>D377*P377</f>
        <v/>
      </c>
      <c r="W377" s="27">
        <f>U377-V377</f>
        <v/>
      </c>
      <c r="X377" s="28">
        <f>IFERROR(W377/U377,0)</f>
        <v/>
      </c>
    </row>
    <row r="378">
      <c r="A378" s="21">
        <f>ItensPedido!A378</f>
        <v/>
      </c>
      <c r="B378" s="21">
        <f>ItensPedido!B378</f>
        <v/>
      </c>
      <c r="C378" s="21">
        <f>ItensPedido!C378</f>
        <v/>
      </c>
      <c r="D378" s="21">
        <f>ItensPedido!D378</f>
        <v/>
      </c>
      <c r="E378" s="22">
        <f>ItensPedido!E378</f>
        <v/>
      </c>
      <c r="F378" s="21">
        <f>IFERROR(INDEX(Pedidos!$B$2:$B$1801,MATCH(B378,Pedidos!$A$2:$A$1801,0)),0)</f>
        <v/>
      </c>
      <c r="G378" s="21">
        <f>IF(F378=0,"",YEAR(F378))</f>
        <v/>
      </c>
      <c r="H378" s="21">
        <f>IF(F378=0,"",MONTH(F378))</f>
        <v/>
      </c>
      <c r="I378" s="21">
        <f>IFERROR(INDEX(Pedidos!$E$2:$E$1801,MATCH(B378,Pedidos!$A$2:$A$1801,0)),"")</f>
        <v/>
      </c>
      <c r="J378" s="21">
        <f>IFERROR(INDEX(Pedidos!$C$2:$C$1801,MATCH(B378,Pedidos!$A$2:$A$1801,0)),"")</f>
        <v/>
      </c>
      <c r="K378" s="21">
        <f>IFERROR(INDEX(Pedidos!$D$2:$D$1801,MATCH(B378,Pedidos!$A$2:$A$1801,0)),"")</f>
        <v/>
      </c>
      <c r="L378" s="21">
        <f>IFERROR(INDEX(Pedidos!$F$2:$F$1801,MATCH(B378,Pedidos!$A$2:$A$1801,0)),"")</f>
        <v/>
      </c>
      <c r="M378" s="22">
        <f>IFERROR(INDEX(Pedidos!$G$2:$G$1801,MATCH(B378,Pedidos!$A$2:$A$1801,0)),0)</f>
        <v/>
      </c>
      <c r="N378" s="21">
        <f>IFERROR(INDEX(Produtos!$B$2:$B$71,MATCH(C378,Produtos!$A$2:$A$71,0)),"")</f>
        <v/>
      </c>
      <c r="O378" s="21">
        <f>IFERROR(INDEX(Produtos!$C$2:$C$71,MATCH(C378,Produtos!$A$2:$A$71,0)),"")</f>
        <v/>
      </c>
      <c r="P378" s="21">
        <f>IFERROR(INDEX(Produtos!$D$2:$D$71,MATCH(C378,Produtos!$A$2:$A$71,0)),0)</f>
        <v/>
      </c>
      <c r="Q378" s="21">
        <f>IFERROR(INDEX(Produtos!$E$2:$E$71,MATCH(C378,Produtos!$A$2:$A$71,0)),0)</f>
        <v/>
      </c>
      <c r="R378" s="23">
        <f>D378*Q378</f>
        <v/>
      </c>
      <c r="S378" s="23">
        <f>R378*E378</f>
        <v/>
      </c>
      <c r="T378" s="23">
        <f>(R378-S378)*M378</f>
        <v/>
      </c>
      <c r="U378" s="23">
        <f>R378-S378-T378</f>
        <v/>
      </c>
      <c r="V378" s="23">
        <f>D378*P378</f>
        <v/>
      </c>
      <c r="W378" s="23">
        <f>U378-V378</f>
        <v/>
      </c>
      <c r="X378" s="24">
        <f>IFERROR(W378/U378,0)</f>
        <v/>
      </c>
    </row>
    <row r="379">
      <c r="A379" s="25">
        <f>ItensPedido!A379</f>
        <v/>
      </c>
      <c r="B379" s="25">
        <f>ItensPedido!B379</f>
        <v/>
      </c>
      <c r="C379" s="25">
        <f>ItensPedido!C379</f>
        <v/>
      </c>
      <c r="D379" s="25">
        <f>ItensPedido!D379</f>
        <v/>
      </c>
      <c r="E379" s="26">
        <f>ItensPedido!E379</f>
        <v/>
      </c>
      <c r="F379" s="25">
        <f>IFERROR(INDEX(Pedidos!$B$2:$B$1801,MATCH(B379,Pedidos!$A$2:$A$1801,0)),0)</f>
        <v/>
      </c>
      <c r="G379" s="25">
        <f>IF(F379=0,"",YEAR(F379))</f>
        <v/>
      </c>
      <c r="H379" s="25">
        <f>IF(F379=0,"",MONTH(F379))</f>
        <v/>
      </c>
      <c r="I379" s="25">
        <f>IFERROR(INDEX(Pedidos!$E$2:$E$1801,MATCH(B379,Pedidos!$A$2:$A$1801,0)),"")</f>
        <v/>
      </c>
      <c r="J379" s="25">
        <f>IFERROR(INDEX(Pedidos!$C$2:$C$1801,MATCH(B379,Pedidos!$A$2:$A$1801,0)),"")</f>
        <v/>
      </c>
      <c r="K379" s="25">
        <f>IFERROR(INDEX(Pedidos!$D$2:$D$1801,MATCH(B379,Pedidos!$A$2:$A$1801,0)),"")</f>
        <v/>
      </c>
      <c r="L379" s="25">
        <f>IFERROR(INDEX(Pedidos!$F$2:$F$1801,MATCH(B379,Pedidos!$A$2:$A$1801,0)),"")</f>
        <v/>
      </c>
      <c r="M379" s="26">
        <f>IFERROR(INDEX(Pedidos!$G$2:$G$1801,MATCH(B379,Pedidos!$A$2:$A$1801,0)),0)</f>
        <v/>
      </c>
      <c r="N379" s="25">
        <f>IFERROR(INDEX(Produtos!$B$2:$B$71,MATCH(C379,Produtos!$A$2:$A$71,0)),"")</f>
        <v/>
      </c>
      <c r="O379" s="25">
        <f>IFERROR(INDEX(Produtos!$C$2:$C$71,MATCH(C379,Produtos!$A$2:$A$71,0)),"")</f>
        <v/>
      </c>
      <c r="P379" s="25">
        <f>IFERROR(INDEX(Produtos!$D$2:$D$71,MATCH(C379,Produtos!$A$2:$A$71,0)),0)</f>
        <v/>
      </c>
      <c r="Q379" s="25">
        <f>IFERROR(INDEX(Produtos!$E$2:$E$71,MATCH(C379,Produtos!$A$2:$A$71,0)),0)</f>
        <v/>
      </c>
      <c r="R379" s="27">
        <f>D379*Q379</f>
        <v/>
      </c>
      <c r="S379" s="27">
        <f>R379*E379</f>
        <v/>
      </c>
      <c r="T379" s="27">
        <f>(R379-S379)*M379</f>
        <v/>
      </c>
      <c r="U379" s="27">
        <f>R379-S379-T379</f>
        <v/>
      </c>
      <c r="V379" s="27">
        <f>D379*P379</f>
        <v/>
      </c>
      <c r="W379" s="27">
        <f>U379-V379</f>
        <v/>
      </c>
      <c r="X379" s="28">
        <f>IFERROR(W379/U379,0)</f>
        <v/>
      </c>
    </row>
    <row r="380">
      <c r="A380" s="21">
        <f>ItensPedido!A380</f>
        <v/>
      </c>
      <c r="B380" s="21">
        <f>ItensPedido!B380</f>
        <v/>
      </c>
      <c r="C380" s="21">
        <f>ItensPedido!C380</f>
        <v/>
      </c>
      <c r="D380" s="21">
        <f>ItensPedido!D380</f>
        <v/>
      </c>
      <c r="E380" s="22">
        <f>ItensPedido!E380</f>
        <v/>
      </c>
      <c r="F380" s="21">
        <f>IFERROR(INDEX(Pedidos!$B$2:$B$1801,MATCH(B380,Pedidos!$A$2:$A$1801,0)),0)</f>
        <v/>
      </c>
      <c r="G380" s="21">
        <f>IF(F380=0,"",YEAR(F380))</f>
        <v/>
      </c>
      <c r="H380" s="21">
        <f>IF(F380=0,"",MONTH(F380))</f>
        <v/>
      </c>
      <c r="I380" s="21">
        <f>IFERROR(INDEX(Pedidos!$E$2:$E$1801,MATCH(B380,Pedidos!$A$2:$A$1801,0)),"")</f>
        <v/>
      </c>
      <c r="J380" s="21">
        <f>IFERROR(INDEX(Pedidos!$C$2:$C$1801,MATCH(B380,Pedidos!$A$2:$A$1801,0)),"")</f>
        <v/>
      </c>
      <c r="K380" s="21">
        <f>IFERROR(INDEX(Pedidos!$D$2:$D$1801,MATCH(B380,Pedidos!$A$2:$A$1801,0)),"")</f>
        <v/>
      </c>
      <c r="L380" s="21">
        <f>IFERROR(INDEX(Pedidos!$F$2:$F$1801,MATCH(B380,Pedidos!$A$2:$A$1801,0)),"")</f>
        <v/>
      </c>
      <c r="M380" s="22">
        <f>IFERROR(INDEX(Pedidos!$G$2:$G$1801,MATCH(B380,Pedidos!$A$2:$A$1801,0)),0)</f>
        <v/>
      </c>
      <c r="N380" s="21">
        <f>IFERROR(INDEX(Produtos!$B$2:$B$71,MATCH(C380,Produtos!$A$2:$A$71,0)),"")</f>
        <v/>
      </c>
      <c r="O380" s="21">
        <f>IFERROR(INDEX(Produtos!$C$2:$C$71,MATCH(C380,Produtos!$A$2:$A$71,0)),"")</f>
        <v/>
      </c>
      <c r="P380" s="21">
        <f>IFERROR(INDEX(Produtos!$D$2:$D$71,MATCH(C380,Produtos!$A$2:$A$71,0)),0)</f>
        <v/>
      </c>
      <c r="Q380" s="21">
        <f>IFERROR(INDEX(Produtos!$E$2:$E$71,MATCH(C380,Produtos!$A$2:$A$71,0)),0)</f>
        <v/>
      </c>
      <c r="R380" s="23">
        <f>D380*Q380</f>
        <v/>
      </c>
      <c r="S380" s="23">
        <f>R380*E380</f>
        <v/>
      </c>
      <c r="T380" s="23">
        <f>(R380-S380)*M380</f>
        <v/>
      </c>
      <c r="U380" s="23">
        <f>R380-S380-T380</f>
        <v/>
      </c>
      <c r="V380" s="23">
        <f>D380*P380</f>
        <v/>
      </c>
      <c r="W380" s="23">
        <f>U380-V380</f>
        <v/>
      </c>
      <c r="X380" s="24">
        <f>IFERROR(W380/U380,0)</f>
        <v/>
      </c>
    </row>
    <row r="381">
      <c r="A381" s="25">
        <f>ItensPedido!A381</f>
        <v/>
      </c>
      <c r="B381" s="25">
        <f>ItensPedido!B381</f>
        <v/>
      </c>
      <c r="C381" s="25">
        <f>ItensPedido!C381</f>
        <v/>
      </c>
      <c r="D381" s="25">
        <f>ItensPedido!D381</f>
        <v/>
      </c>
      <c r="E381" s="26">
        <f>ItensPedido!E381</f>
        <v/>
      </c>
      <c r="F381" s="25">
        <f>IFERROR(INDEX(Pedidos!$B$2:$B$1801,MATCH(B381,Pedidos!$A$2:$A$1801,0)),0)</f>
        <v/>
      </c>
      <c r="G381" s="25">
        <f>IF(F381=0,"",YEAR(F381))</f>
        <v/>
      </c>
      <c r="H381" s="25">
        <f>IF(F381=0,"",MONTH(F381))</f>
        <v/>
      </c>
      <c r="I381" s="25">
        <f>IFERROR(INDEX(Pedidos!$E$2:$E$1801,MATCH(B381,Pedidos!$A$2:$A$1801,0)),"")</f>
        <v/>
      </c>
      <c r="J381" s="25">
        <f>IFERROR(INDEX(Pedidos!$C$2:$C$1801,MATCH(B381,Pedidos!$A$2:$A$1801,0)),"")</f>
        <v/>
      </c>
      <c r="K381" s="25">
        <f>IFERROR(INDEX(Pedidos!$D$2:$D$1801,MATCH(B381,Pedidos!$A$2:$A$1801,0)),"")</f>
        <v/>
      </c>
      <c r="L381" s="25">
        <f>IFERROR(INDEX(Pedidos!$F$2:$F$1801,MATCH(B381,Pedidos!$A$2:$A$1801,0)),"")</f>
        <v/>
      </c>
      <c r="M381" s="26">
        <f>IFERROR(INDEX(Pedidos!$G$2:$G$1801,MATCH(B381,Pedidos!$A$2:$A$1801,0)),0)</f>
        <v/>
      </c>
      <c r="N381" s="25">
        <f>IFERROR(INDEX(Produtos!$B$2:$B$71,MATCH(C381,Produtos!$A$2:$A$71,0)),"")</f>
        <v/>
      </c>
      <c r="O381" s="25">
        <f>IFERROR(INDEX(Produtos!$C$2:$C$71,MATCH(C381,Produtos!$A$2:$A$71,0)),"")</f>
        <v/>
      </c>
      <c r="P381" s="25">
        <f>IFERROR(INDEX(Produtos!$D$2:$D$71,MATCH(C381,Produtos!$A$2:$A$71,0)),0)</f>
        <v/>
      </c>
      <c r="Q381" s="25">
        <f>IFERROR(INDEX(Produtos!$E$2:$E$71,MATCH(C381,Produtos!$A$2:$A$71,0)),0)</f>
        <v/>
      </c>
      <c r="R381" s="27">
        <f>D381*Q381</f>
        <v/>
      </c>
      <c r="S381" s="27">
        <f>R381*E381</f>
        <v/>
      </c>
      <c r="T381" s="27">
        <f>(R381-S381)*M381</f>
        <v/>
      </c>
      <c r="U381" s="27">
        <f>R381-S381-T381</f>
        <v/>
      </c>
      <c r="V381" s="27">
        <f>D381*P381</f>
        <v/>
      </c>
      <c r="W381" s="27">
        <f>U381-V381</f>
        <v/>
      </c>
      <c r="X381" s="28">
        <f>IFERROR(W381/U381,0)</f>
        <v/>
      </c>
    </row>
    <row r="382">
      <c r="A382" s="21">
        <f>ItensPedido!A382</f>
        <v/>
      </c>
      <c r="B382" s="21">
        <f>ItensPedido!B382</f>
        <v/>
      </c>
      <c r="C382" s="21">
        <f>ItensPedido!C382</f>
        <v/>
      </c>
      <c r="D382" s="21">
        <f>ItensPedido!D382</f>
        <v/>
      </c>
      <c r="E382" s="22">
        <f>ItensPedido!E382</f>
        <v/>
      </c>
      <c r="F382" s="21">
        <f>IFERROR(INDEX(Pedidos!$B$2:$B$1801,MATCH(B382,Pedidos!$A$2:$A$1801,0)),0)</f>
        <v/>
      </c>
      <c r="G382" s="21">
        <f>IF(F382=0,"",YEAR(F382))</f>
        <v/>
      </c>
      <c r="H382" s="21">
        <f>IF(F382=0,"",MONTH(F382))</f>
        <v/>
      </c>
      <c r="I382" s="21">
        <f>IFERROR(INDEX(Pedidos!$E$2:$E$1801,MATCH(B382,Pedidos!$A$2:$A$1801,0)),"")</f>
        <v/>
      </c>
      <c r="J382" s="21">
        <f>IFERROR(INDEX(Pedidos!$C$2:$C$1801,MATCH(B382,Pedidos!$A$2:$A$1801,0)),"")</f>
        <v/>
      </c>
      <c r="K382" s="21">
        <f>IFERROR(INDEX(Pedidos!$D$2:$D$1801,MATCH(B382,Pedidos!$A$2:$A$1801,0)),"")</f>
        <v/>
      </c>
      <c r="L382" s="21">
        <f>IFERROR(INDEX(Pedidos!$F$2:$F$1801,MATCH(B382,Pedidos!$A$2:$A$1801,0)),"")</f>
        <v/>
      </c>
      <c r="M382" s="22">
        <f>IFERROR(INDEX(Pedidos!$G$2:$G$1801,MATCH(B382,Pedidos!$A$2:$A$1801,0)),0)</f>
        <v/>
      </c>
      <c r="N382" s="21">
        <f>IFERROR(INDEX(Produtos!$B$2:$B$71,MATCH(C382,Produtos!$A$2:$A$71,0)),"")</f>
        <v/>
      </c>
      <c r="O382" s="21">
        <f>IFERROR(INDEX(Produtos!$C$2:$C$71,MATCH(C382,Produtos!$A$2:$A$71,0)),"")</f>
        <v/>
      </c>
      <c r="P382" s="21">
        <f>IFERROR(INDEX(Produtos!$D$2:$D$71,MATCH(C382,Produtos!$A$2:$A$71,0)),0)</f>
        <v/>
      </c>
      <c r="Q382" s="21">
        <f>IFERROR(INDEX(Produtos!$E$2:$E$71,MATCH(C382,Produtos!$A$2:$A$71,0)),0)</f>
        <v/>
      </c>
      <c r="R382" s="23">
        <f>D382*Q382</f>
        <v/>
      </c>
      <c r="S382" s="23">
        <f>R382*E382</f>
        <v/>
      </c>
      <c r="T382" s="23">
        <f>(R382-S382)*M382</f>
        <v/>
      </c>
      <c r="U382" s="23">
        <f>R382-S382-T382</f>
        <v/>
      </c>
      <c r="V382" s="23">
        <f>D382*P382</f>
        <v/>
      </c>
      <c r="W382" s="23">
        <f>U382-V382</f>
        <v/>
      </c>
      <c r="X382" s="24">
        <f>IFERROR(W382/U382,0)</f>
        <v/>
      </c>
    </row>
    <row r="383">
      <c r="A383" s="25">
        <f>ItensPedido!A383</f>
        <v/>
      </c>
      <c r="B383" s="25">
        <f>ItensPedido!B383</f>
        <v/>
      </c>
      <c r="C383" s="25">
        <f>ItensPedido!C383</f>
        <v/>
      </c>
      <c r="D383" s="25">
        <f>ItensPedido!D383</f>
        <v/>
      </c>
      <c r="E383" s="26">
        <f>ItensPedido!E383</f>
        <v/>
      </c>
      <c r="F383" s="25">
        <f>IFERROR(INDEX(Pedidos!$B$2:$B$1801,MATCH(B383,Pedidos!$A$2:$A$1801,0)),0)</f>
        <v/>
      </c>
      <c r="G383" s="25">
        <f>IF(F383=0,"",YEAR(F383))</f>
        <v/>
      </c>
      <c r="H383" s="25">
        <f>IF(F383=0,"",MONTH(F383))</f>
        <v/>
      </c>
      <c r="I383" s="25">
        <f>IFERROR(INDEX(Pedidos!$E$2:$E$1801,MATCH(B383,Pedidos!$A$2:$A$1801,0)),"")</f>
        <v/>
      </c>
      <c r="J383" s="25">
        <f>IFERROR(INDEX(Pedidos!$C$2:$C$1801,MATCH(B383,Pedidos!$A$2:$A$1801,0)),"")</f>
        <v/>
      </c>
      <c r="K383" s="25">
        <f>IFERROR(INDEX(Pedidos!$D$2:$D$1801,MATCH(B383,Pedidos!$A$2:$A$1801,0)),"")</f>
        <v/>
      </c>
      <c r="L383" s="25">
        <f>IFERROR(INDEX(Pedidos!$F$2:$F$1801,MATCH(B383,Pedidos!$A$2:$A$1801,0)),"")</f>
        <v/>
      </c>
      <c r="M383" s="26">
        <f>IFERROR(INDEX(Pedidos!$G$2:$G$1801,MATCH(B383,Pedidos!$A$2:$A$1801,0)),0)</f>
        <v/>
      </c>
      <c r="N383" s="25">
        <f>IFERROR(INDEX(Produtos!$B$2:$B$71,MATCH(C383,Produtos!$A$2:$A$71,0)),"")</f>
        <v/>
      </c>
      <c r="O383" s="25">
        <f>IFERROR(INDEX(Produtos!$C$2:$C$71,MATCH(C383,Produtos!$A$2:$A$71,0)),"")</f>
        <v/>
      </c>
      <c r="P383" s="25">
        <f>IFERROR(INDEX(Produtos!$D$2:$D$71,MATCH(C383,Produtos!$A$2:$A$71,0)),0)</f>
        <v/>
      </c>
      <c r="Q383" s="25">
        <f>IFERROR(INDEX(Produtos!$E$2:$E$71,MATCH(C383,Produtos!$A$2:$A$71,0)),0)</f>
        <v/>
      </c>
      <c r="R383" s="27">
        <f>D383*Q383</f>
        <v/>
      </c>
      <c r="S383" s="27">
        <f>R383*E383</f>
        <v/>
      </c>
      <c r="T383" s="27">
        <f>(R383-S383)*M383</f>
        <v/>
      </c>
      <c r="U383" s="27">
        <f>R383-S383-T383</f>
        <v/>
      </c>
      <c r="V383" s="27">
        <f>D383*P383</f>
        <v/>
      </c>
      <c r="W383" s="27">
        <f>U383-V383</f>
        <v/>
      </c>
      <c r="X383" s="28">
        <f>IFERROR(W383/U383,0)</f>
        <v/>
      </c>
    </row>
    <row r="384">
      <c r="A384" s="21">
        <f>ItensPedido!A384</f>
        <v/>
      </c>
      <c r="B384" s="21">
        <f>ItensPedido!B384</f>
        <v/>
      </c>
      <c r="C384" s="21">
        <f>ItensPedido!C384</f>
        <v/>
      </c>
      <c r="D384" s="21">
        <f>ItensPedido!D384</f>
        <v/>
      </c>
      <c r="E384" s="22">
        <f>ItensPedido!E384</f>
        <v/>
      </c>
      <c r="F384" s="21">
        <f>IFERROR(INDEX(Pedidos!$B$2:$B$1801,MATCH(B384,Pedidos!$A$2:$A$1801,0)),0)</f>
        <v/>
      </c>
      <c r="G384" s="21">
        <f>IF(F384=0,"",YEAR(F384))</f>
        <v/>
      </c>
      <c r="H384" s="21">
        <f>IF(F384=0,"",MONTH(F384))</f>
        <v/>
      </c>
      <c r="I384" s="21">
        <f>IFERROR(INDEX(Pedidos!$E$2:$E$1801,MATCH(B384,Pedidos!$A$2:$A$1801,0)),"")</f>
        <v/>
      </c>
      <c r="J384" s="21">
        <f>IFERROR(INDEX(Pedidos!$C$2:$C$1801,MATCH(B384,Pedidos!$A$2:$A$1801,0)),"")</f>
        <v/>
      </c>
      <c r="K384" s="21">
        <f>IFERROR(INDEX(Pedidos!$D$2:$D$1801,MATCH(B384,Pedidos!$A$2:$A$1801,0)),"")</f>
        <v/>
      </c>
      <c r="L384" s="21">
        <f>IFERROR(INDEX(Pedidos!$F$2:$F$1801,MATCH(B384,Pedidos!$A$2:$A$1801,0)),"")</f>
        <v/>
      </c>
      <c r="M384" s="22">
        <f>IFERROR(INDEX(Pedidos!$G$2:$G$1801,MATCH(B384,Pedidos!$A$2:$A$1801,0)),0)</f>
        <v/>
      </c>
      <c r="N384" s="21">
        <f>IFERROR(INDEX(Produtos!$B$2:$B$71,MATCH(C384,Produtos!$A$2:$A$71,0)),"")</f>
        <v/>
      </c>
      <c r="O384" s="21">
        <f>IFERROR(INDEX(Produtos!$C$2:$C$71,MATCH(C384,Produtos!$A$2:$A$71,0)),"")</f>
        <v/>
      </c>
      <c r="P384" s="21">
        <f>IFERROR(INDEX(Produtos!$D$2:$D$71,MATCH(C384,Produtos!$A$2:$A$71,0)),0)</f>
        <v/>
      </c>
      <c r="Q384" s="21">
        <f>IFERROR(INDEX(Produtos!$E$2:$E$71,MATCH(C384,Produtos!$A$2:$A$71,0)),0)</f>
        <v/>
      </c>
      <c r="R384" s="23">
        <f>D384*Q384</f>
        <v/>
      </c>
      <c r="S384" s="23">
        <f>R384*E384</f>
        <v/>
      </c>
      <c r="T384" s="23">
        <f>(R384-S384)*M384</f>
        <v/>
      </c>
      <c r="U384" s="23">
        <f>R384-S384-T384</f>
        <v/>
      </c>
      <c r="V384" s="23">
        <f>D384*P384</f>
        <v/>
      </c>
      <c r="W384" s="23">
        <f>U384-V384</f>
        <v/>
      </c>
      <c r="X384" s="24">
        <f>IFERROR(W384/U384,0)</f>
        <v/>
      </c>
    </row>
    <row r="385">
      <c r="A385" s="25">
        <f>ItensPedido!A385</f>
        <v/>
      </c>
      <c r="B385" s="25">
        <f>ItensPedido!B385</f>
        <v/>
      </c>
      <c r="C385" s="25">
        <f>ItensPedido!C385</f>
        <v/>
      </c>
      <c r="D385" s="25">
        <f>ItensPedido!D385</f>
        <v/>
      </c>
      <c r="E385" s="26">
        <f>ItensPedido!E385</f>
        <v/>
      </c>
      <c r="F385" s="25">
        <f>IFERROR(INDEX(Pedidos!$B$2:$B$1801,MATCH(B385,Pedidos!$A$2:$A$1801,0)),0)</f>
        <v/>
      </c>
      <c r="G385" s="25">
        <f>IF(F385=0,"",YEAR(F385))</f>
        <v/>
      </c>
      <c r="H385" s="25">
        <f>IF(F385=0,"",MONTH(F385))</f>
        <v/>
      </c>
      <c r="I385" s="25">
        <f>IFERROR(INDEX(Pedidos!$E$2:$E$1801,MATCH(B385,Pedidos!$A$2:$A$1801,0)),"")</f>
        <v/>
      </c>
      <c r="J385" s="25">
        <f>IFERROR(INDEX(Pedidos!$C$2:$C$1801,MATCH(B385,Pedidos!$A$2:$A$1801,0)),"")</f>
        <v/>
      </c>
      <c r="K385" s="25">
        <f>IFERROR(INDEX(Pedidos!$D$2:$D$1801,MATCH(B385,Pedidos!$A$2:$A$1801,0)),"")</f>
        <v/>
      </c>
      <c r="L385" s="25">
        <f>IFERROR(INDEX(Pedidos!$F$2:$F$1801,MATCH(B385,Pedidos!$A$2:$A$1801,0)),"")</f>
        <v/>
      </c>
      <c r="M385" s="26">
        <f>IFERROR(INDEX(Pedidos!$G$2:$G$1801,MATCH(B385,Pedidos!$A$2:$A$1801,0)),0)</f>
        <v/>
      </c>
      <c r="N385" s="25">
        <f>IFERROR(INDEX(Produtos!$B$2:$B$71,MATCH(C385,Produtos!$A$2:$A$71,0)),"")</f>
        <v/>
      </c>
      <c r="O385" s="25">
        <f>IFERROR(INDEX(Produtos!$C$2:$C$71,MATCH(C385,Produtos!$A$2:$A$71,0)),"")</f>
        <v/>
      </c>
      <c r="P385" s="25">
        <f>IFERROR(INDEX(Produtos!$D$2:$D$71,MATCH(C385,Produtos!$A$2:$A$71,0)),0)</f>
        <v/>
      </c>
      <c r="Q385" s="25">
        <f>IFERROR(INDEX(Produtos!$E$2:$E$71,MATCH(C385,Produtos!$A$2:$A$71,0)),0)</f>
        <v/>
      </c>
      <c r="R385" s="27">
        <f>D385*Q385</f>
        <v/>
      </c>
      <c r="S385" s="27">
        <f>R385*E385</f>
        <v/>
      </c>
      <c r="T385" s="27">
        <f>(R385-S385)*M385</f>
        <v/>
      </c>
      <c r="U385" s="27">
        <f>R385-S385-T385</f>
        <v/>
      </c>
      <c r="V385" s="27">
        <f>D385*P385</f>
        <v/>
      </c>
      <c r="W385" s="27">
        <f>U385-V385</f>
        <v/>
      </c>
      <c r="X385" s="28">
        <f>IFERROR(W385/U385,0)</f>
        <v/>
      </c>
    </row>
    <row r="386">
      <c r="A386" s="21">
        <f>ItensPedido!A386</f>
        <v/>
      </c>
      <c r="B386" s="21">
        <f>ItensPedido!B386</f>
        <v/>
      </c>
      <c r="C386" s="21">
        <f>ItensPedido!C386</f>
        <v/>
      </c>
      <c r="D386" s="21">
        <f>ItensPedido!D386</f>
        <v/>
      </c>
      <c r="E386" s="22">
        <f>ItensPedido!E386</f>
        <v/>
      </c>
      <c r="F386" s="21">
        <f>IFERROR(INDEX(Pedidos!$B$2:$B$1801,MATCH(B386,Pedidos!$A$2:$A$1801,0)),0)</f>
        <v/>
      </c>
      <c r="G386" s="21">
        <f>IF(F386=0,"",YEAR(F386))</f>
        <v/>
      </c>
      <c r="H386" s="21">
        <f>IF(F386=0,"",MONTH(F386))</f>
        <v/>
      </c>
      <c r="I386" s="21">
        <f>IFERROR(INDEX(Pedidos!$E$2:$E$1801,MATCH(B386,Pedidos!$A$2:$A$1801,0)),"")</f>
        <v/>
      </c>
      <c r="J386" s="21">
        <f>IFERROR(INDEX(Pedidos!$C$2:$C$1801,MATCH(B386,Pedidos!$A$2:$A$1801,0)),"")</f>
        <v/>
      </c>
      <c r="K386" s="21">
        <f>IFERROR(INDEX(Pedidos!$D$2:$D$1801,MATCH(B386,Pedidos!$A$2:$A$1801,0)),"")</f>
        <v/>
      </c>
      <c r="L386" s="21">
        <f>IFERROR(INDEX(Pedidos!$F$2:$F$1801,MATCH(B386,Pedidos!$A$2:$A$1801,0)),"")</f>
        <v/>
      </c>
      <c r="M386" s="22">
        <f>IFERROR(INDEX(Pedidos!$G$2:$G$1801,MATCH(B386,Pedidos!$A$2:$A$1801,0)),0)</f>
        <v/>
      </c>
      <c r="N386" s="21">
        <f>IFERROR(INDEX(Produtos!$B$2:$B$71,MATCH(C386,Produtos!$A$2:$A$71,0)),"")</f>
        <v/>
      </c>
      <c r="O386" s="21">
        <f>IFERROR(INDEX(Produtos!$C$2:$C$71,MATCH(C386,Produtos!$A$2:$A$71,0)),"")</f>
        <v/>
      </c>
      <c r="P386" s="21">
        <f>IFERROR(INDEX(Produtos!$D$2:$D$71,MATCH(C386,Produtos!$A$2:$A$71,0)),0)</f>
        <v/>
      </c>
      <c r="Q386" s="21">
        <f>IFERROR(INDEX(Produtos!$E$2:$E$71,MATCH(C386,Produtos!$A$2:$A$71,0)),0)</f>
        <v/>
      </c>
      <c r="R386" s="23">
        <f>D386*Q386</f>
        <v/>
      </c>
      <c r="S386" s="23">
        <f>R386*E386</f>
        <v/>
      </c>
      <c r="T386" s="23">
        <f>(R386-S386)*M386</f>
        <v/>
      </c>
      <c r="U386" s="23">
        <f>R386-S386-T386</f>
        <v/>
      </c>
      <c r="V386" s="23">
        <f>D386*P386</f>
        <v/>
      </c>
      <c r="W386" s="23">
        <f>U386-V386</f>
        <v/>
      </c>
      <c r="X386" s="24">
        <f>IFERROR(W386/U386,0)</f>
        <v/>
      </c>
    </row>
    <row r="387">
      <c r="A387" s="25">
        <f>ItensPedido!A387</f>
        <v/>
      </c>
      <c r="B387" s="25">
        <f>ItensPedido!B387</f>
        <v/>
      </c>
      <c r="C387" s="25">
        <f>ItensPedido!C387</f>
        <v/>
      </c>
      <c r="D387" s="25">
        <f>ItensPedido!D387</f>
        <v/>
      </c>
      <c r="E387" s="26">
        <f>ItensPedido!E387</f>
        <v/>
      </c>
      <c r="F387" s="25">
        <f>IFERROR(INDEX(Pedidos!$B$2:$B$1801,MATCH(B387,Pedidos!$A$2:$A$1801,0)),0)</f>
        <v/>
      </c>
      <c r="G387" s="25">
        <f>IF(F387=0,"",YEAR(F387))</f>
        <v/>
      </c>
      <c r="H387" s="25">
        <f>IF(F387=0,"",MONTH(F387))</f>
        <v/>
      </c>
      <c r="I387" s="25">
        <f>IFERROR(INDEX(Pedidos!$E$2:$E$1801,MATCH(B387,Pedidos!$A$2:$A$1801,0)),"")</f>
        <v/>
      </c>
      <c r="J387" s="25">
        <f>IFERROR(INDEX(Pedidos!$C$2:$C$1801,MATCH(B387,Pedidos!$A$2:$A$1801,0)),"")</f>
        <v/>
      </c>
      <c r="K387" s="25">
        <f>IFERROR(INDEX(Pedidos!$D$2:$D$1801,MATCH(B387,Pedidos!$A$2:$A$1801,0)),"")</f>
        <v/>
      </c>
      <c r="L387" s="25">
        <f>IFERROR(INDEX(Pedidos!$F$2:$F$1801,MATCH(B387,Pedidos!$A$2:$A$1801,0)),"")</f>
        <v/>
      </c>
      <c r="M387" s="26">
        <f>IFERROR(INDEX(Pedidos!$G$2:$G$1801,MATCH(B387,Pedidos!$A$2:$A$1801,0)),0)</f>
        <v/>
      </c>
      <c r="N387" s="25">
        <f>IFERROR(INDEX(Produtos!$B$2:$B$71,MATCH(C387,Produtos!$A$2:$A$71,0)),"")</f>
        <v/>
      </c>
      <c r="O387" s="25">
        <f>IFERROR(INDEX(Produtos!$C$2:$C$71,MATCH(C387,Produtos!$A$2:$A$71,0)),"")</f>
        <v/>
      </c>
      <c r="P387" s="25">
        <f>IFERROR(INDEX(Produtos!$D$2:$D$71,MATCH(C387,Produtos!$A$2:$A$71,0)),0)</f>
        <v/>
      </c>
      <c r="Q387" s="25">
        <f>IFERROR(INDEX(Produtos!$E$2:$E$71,MATCH(C387,Produtos!$A$2:$A$71,0)),0)</f>
        <v/>
      </c>
      <c r="R387" s="27">
        <f>D387*Q387</f>
        <v/>
      </c>
      <c r="S387" s="27">
        <f>R387*E387</f>
        <v/>
      </c>
      <c r="T387" s="27">
        <f>(R387-S387)*M387</f>
        <v/>
      </c>
      <c r="U387" s="27">
        <f>R387-S387-T387</f>
        <v/>
      </c>
      <c r="V387" s="27">
        <f>D387*P387</f>
        <v/>
      </c>
      <c r="W387" s="27">
        <f>U387-V387</f>
        <v/>
      </c>
      <c r="X387" s="28">
        <f>IFERROR(W387/U387,0)</f>
        <v/>
      </c>
    </row>
    <row r="388">
      <c r="A388" s="21">
        <f>ItensPedido!A388</f>
        <v/>
      </c>
      <c r="B388" s="21">
        <f>ItensPedido!B388</f>
        <v/>
      </c>
      <c r="C388" s="21">
        <f>ItensPedido!C388</f>
        <v/>
      </c>
      <c r="D388" s="21">
        <f>ItensPedido!D388</f>
        <v/>
      </c>
      <c r="E388" s="22">
        <f>ItensPedido!E388</f>
        <v/>
      </c>
      <c r="F388" s="21">
        <f>IFERROR(INDEX(Pedidos!$B$2:$B$1801,MATCH(B388,Pedidos!$A$2:$A$1801,0)),0)</f>
        <v/>
      </c>
      <c r="G388" s="21">
        <f>IF(F388=0,"",YEAR(F388))</f>
        <v/>
      </c>
      <c r="H388" s="21">
        <f>IF(F388=0,"",MONTH(F388))</f>
        <v/>
      </c>
      <c r="I388" s="21">
        <f>IFERROR(INDEX(Pedidos!$E$2:$E$1801,MATCH(B388,Pedidos!$A$2:$A$1801,0)),"")</f>
        <v/>
      </c>
      <c r="J388" s="21">
        <f>IFERROR(INDEX(Pedidos!$C$2:$C$1801,MATCH(B388,Pedidos!$A$2:$A$1801,0)),"")</f>
        <v/>
      </c>
      <c r="K388" s="21">
        <f>IFERROR(INDEX(Pedidos!$D$2:$D$1801,MATCH(B388,Pedidos!$A$2:$A$1801,0)),"")</f>
        <v/>
      </c>
      <c r="L388" s="21">
        <f>IFERROR(INDEX(Pedidos!$F$2:$F$1801,MATCH(B388,Pedidos!$A$2:$A$1801,0)),"")</f>
        <v/>
      </c>
      <c r="M388" s="22">
        <f>IFERROR(INDEX(Pedidos!$G$2:$G$1801,MATCH(B388,Pedidos!$A$2:$A$1801,0)),0)</f>
        <v/>
      </c>
      <c r="N388" s="21">
        <f>IFERROR(INDEX(Produtos!$B$2:$B$71,MATCH(C388,Produtos!$A$2:$A$71,0)),"")</f>
        <v/>
      </c>
      <c r="O388" s="21">
        <f>IFERROR(INDEX(Produtos!$C$2:$C$71,MATCH(C388,Produtos!$A$2:$A$71,0)),"")</f>
        <v/>
      </c>
      <c r="P388" s="21">
        <f>IFERROR(INDEX(Produtos!$D$2:$D$71,MATCH(C388,Produtos!$A$2:$A$71,0)),0)</f>
        <v/>
      </c>
      <c r="Q388" s="21">
        <f>IFERROR(INDEX(Produtos!$E$2:$E$71,MATCH(C388,Produtos!$A$2:$A$71,0)),0)</f>
        <v/>
      </c>
      <c r="R388" s="23">
        <f>D388*Q388</f>
        <v/>
      </c>
      <c r="S388" s="23">
        <f>R388*E388</f>
        <v/>
      </c>
      <c r="T388" s="23">
        <f>(R388-S388)*M388</f>
        <v/>
      </c>
      <c r="U388" s="23">
        <f>R388-S388-T388</f>
        <v/>
      </c>
      <c r="V388" s="23">
        <f>D388*P388</f>
        <v/>
      </c>
      <c r="W388" s="23">
        <f>U388-V388</f>
        <v/>
      </c>
      <c r="X388" s="24">
        <f>IFERROR(W388/U388,0)</f>
        <v/>
      </c>
    </row>
    <row r="389">
      <c r="A389" s="25">
        <f>ItensPedido!A389</f>
        <v/>
      </c>
      <c r="B389" s="25">
        <f>ItensPedido!B389</f>
        <v/>
      </c>
      <c r="C389" s="25">
        <f>ItensPedido!C389</f>
        <v/>
      </c>
      <c r="D389" s="25">
        <f>ItensPedido!D389</f>
        <v/>
      </c>
      <c r="E389" s="26">
        <f>ItensPedido!E389</f>
        <v/>
      </c>
      <c r="F389" s="25">
        <f>IFERROR(INDEX(Pedidos!$B$2:$B$1801,MATCH(B389,Pedidos!$A$2:$A$1801,0)),0)</f>
        <v/>
      </c>
      <c r="G389" s="25">
        <f>IF(F389=0,"",YEAR(F389))</f>
        <v/>
      </c>
      <c r="H389" s="25">
        <f>IF(F389=0,"",MONTH(F389))</f>
        <v/>
      </c>
      <c r="I389" s="25">
        <f>IFERROR(INDEX(Pedidos!$E$2:$E$1801,MATCH(B389,Pedidos!$A$2:$A$1801,0)),"")</f>
        <v/>
      </c>
      <c r="J389" s="25">
        <f>IFERROR(INDEX(Pedidos!$C$2:$C$1801,MATCH(B389,Pedidos!$A$2:$A$1801,0)),"")</f>
        <v/>
      </c>
      <c r="K389" s="25">
        <f>IFERROR(INDEX(Pedidos!$D$2:$D$1801,MATCH(B389,Pedidos!$A$2:$A$1801,0)),"")</f>
        <v/>
      </c>
      <c r="L389" s="25">
        <f>IFERROR(INDEX(Pedidos!$F$2:$F$1801,MATCH(B389,Pedidos!$A$2:$A$1801,0)),"")</f>
        <v/>
      </c>
      <c r="M389" s="26">
        <f>IFERROR(INDEX(Pedidos!$G$2:$G$1801,MATCH(B389,Pedidos!$A$2:$A$1801,0)),0)</f>
        <v/>
      </c>
      <c r="N389" s="25">
        <f>IFERROR(INDEX(Produtos!$B$2:$B$71,MATCH(C389,Produtos!$A$2:$A$71,0)),"")</f>
        <v/>
      </c>
      <c r="O389" s="25">
        <f>IFERROR(INDEX(Produtos!$C$2:$C$71,MATCH(C389,Produtos!$A$2:$A$71,0)),"")</f>
        <v/>
      </c>
      <c r="P389" s="25">
        <f>IFERROR(INDEX(Produtos!$D$2:$D$71,MATCH(C389,Produtos!$A$2:$A$71,0)),0)</f>
        <v/>
      </c>
      <c r="Q389" s="25">
        <f>IFERROR(INDEX(Produtos!$E$2:$E$71,MATCH(C389,Produtos!$A$2:$A$71,0)),0)</f>
        <v/>
      </c>
      <c r="R389" s="27">
        <f>D389*Q389</f>
        <v/>
      </c>
      <c r="S389" s="27">
        <f>R389*E389</f>
        <v/>
      </c>
      <c r="T389" s="27">
        <f>(R389-S389)*M389</f>
        <v/>
      </c>
      <c r="U389" s="27">
        <f>R389-S389-T389</f>
        <v/>
      </c>
      <c r="V389" s="27">
        <f>D389*P389</f>
        <v/>
      </c>
      <c r="W389" s="27">
        <f>U389-V389</f>
        <v/>
      </c>
      <c r="X389" s="28">
        <f>IFERROR(W389/U389,0)</f>
        <v/>
      </c>
    </row>
    <row r="390">
      <c r="A390" s="21">
        <f>ItensPedido!A390</f>
        <v/>
      </c>
      <c r="B390" s="21">
        <f>ItensPedido!B390</f>
        <v/>
      </c>
      <c r="C390" s="21">
        <f>ItensPedido!C390</f>
        <v/>
      </c>
      <c r="D390" s="21">
        <f>ItensPedido!D390</f>
        <v/>
      </c>
      <c r="E390" s="22">
        <f>ItensPedido!E390</f>
        <v/>
      </c>
      <c r="F390" s="21">
        <f>IFERROR(INDEX(Pedidos!$B$2:$B$1801,MATCH(B390,Pedidos!$A$2:$A$1801,0)),0)</f>
        <v/>
      </c>
      <c r="G390" s="21">
        <f>IF(F390=0,"",YEAR(F390))</f>
        <v/>
      </c>
      <c r="H390" s="21">
        <f>IF(F390=0,"",MONTH(F390))</f>
        <v/>
      </c>
      <c r="I390" s="21">
        <f>IFERROR(INDEX(Pedidos!$E$2:$E$1801,MATCH(B390,Pedidos!$A$2:$A$1801,0)),"")</f>
        <v/>
      </c>
      <c r="J390" s="21">
        <f>IFERROR(INDEX(Pedidos!$C$2:$C$1801,MATCH(B390,Pedidos!$A$2:$A$1801,0)),"")</f>
        <v/>
      </c>
      <c r="K390" s="21">
        <f>IFERROR(INDEX(Pedidos!$D$2:$D$1801,MATCH(B390,Pedidos!$A$2:$A$1801,0)),"")</f>
        <v/>
      </c>
      <c r="L390" s="21">
        <f>IFERROR(INDEX(Pedidos!$F$2:$F$1801,MATCH(B390,Pedidos!$A$2:$A$1801,0)),"")</f>
        <v/>
      </c>
      <c r="M390" s="22">
        <f>IFERROR(INDEX(Pedidos!$G$2:$G$1801,MATCH(B390,Pedidos!$A$2:$A$1801,0)),0)</f>
        <v/>
      </c>
      <c r="N390" s="21">
        <f>IFERROR(INDEX(Produtos!$B$2:$B$71,MATCH(C390,Produtos!$A$2:$A$71,0)),"")</f>
        <v/>
      </c>
      <c r="O390" s="21">
        <f>IFERROR(INDEX(Produtos!$C$2:$C$71,MATCH(C390,Produtos!$A$2:$A$71,0)),"")</f>
        <v/>
      </c>
      <c r="P390" s="21">
        <f>IFERROR(INDEX(Produtos!$D$2:$D$71,MATCH(C390,Produtos!$A$2:$A$71,0)),0)</f>
        <v/>
      </c>
      <c r="Q390" s="21">
        <f>IFERROR(INDEX(Produtos!$E$2:$E$71,MATCH(C390,Produtos!$A$2:$A$71,0)),0)</f>
        <v/>
      </c>
      <c r="R390" s="23">
        <f>D390*Q390</f>
        <v/>
      </c>
      <c r="S390" s="23">
        <f>R390*E390</f>
        <v/>
      </c>
      <c r="T390" s="23">
        <f>(R390-S390)*M390</f>
        <v/>
      </c>
      <c r="U390" s="23">
        <f>R390-S390-T390</f>
        <v/>
      </c>
      <c r="V390" s="23">
        <f>D390*P390</f>
        <v/>
      </c>
      <c r="W390" s="23">
        <f>U390-V390</f>
        <v/>
      </c>
      <c r="X390" s="24">
        <f>IFERROR(W390/U390,0)</f>
        <v/>
      </c>
    </row>
    <row r="391">
      <c r="A391" s="25">
        <f>ItensPedido!A391</f>
        <v/>
      </c>
      <c r="B391" s="25">
        <f>ItensPedido!B391</f>
        <v/>
      </c>
      <c r="C391" s="25">
        <f>ItensPedido!C391</f>
        <v/>
      </c>
      <c r="D391" s="25">
        <f>ItensPedido!D391</f>
        <v/>
      </c>
      <c r="E391" s="26">
        <f>ItensPedido!E391</f>
        <v/>
      </c>
      <c r="F391" s="25">
        <f>IFERROR(INDEX(Pedidos!$B$2:$B$1801,MATCH(B391,Pedidos!$A$2:$A$1801,0)),0)</f>
        <v/>
      </c>
      <c r="G391" s="25">
        <f>IF(F391=0,"",YEAR(F391))</f>
        <v/>
      </c>
      <c r="H391" s="25">
        <f>IF(F391=0,"",MONTH(F391))</f>
        <v/>
      </c>
      <c r="I391" s="25">
        <f>IFERROR(INDEX(Pedidos!$E$2:$E$1801,MATCH(B391,Pedidos!$A$2:$A$1801,0)),"")</f>
        <v/>
      </c>
      <c r="J391" s="25">
        <f>IFERROR(INDEX(Pedidos!$C$2:$C$1801,MATCH(B391,Pedidos!$A$2:$A$1801,0)),"")</f>
        <v/>
      </c>
      <c r="K391" s="25">
        <f>IFERROR(INDEX(Pedidos!$D$2:$D$1801,MATCH(B391,Pedidos!$A$2:$A$1801,0)),"")</f>
        <v/>
      </c>
      <c r="L391" s="25">
        <f>IFERROR(INDEX(Pedidos!$F$2:$F$1801,MATCH(B391,Pedidos!$A$2:$A$1801,0)),"")</f>
        <v/>
      </c>
      <c r="M391" s="26">
        <f>IFERROR(INDEX(Pedidos!$G$2:$G$1801,MATCH(B391,Pedidos!$A$2:$A$1801,0)),0)</f>
        <v/>
      </c>
      <c r="N391" s="25">
        <f>IFERROR(INDEX(Produtos!$B$2:$B$71,MATCH(C391,Produtos!$A$2:$A$71,0)),"")</f>
        <v/>
      </c>
      <c r="O391" s="25">
        <f>IFERROR(INDEX(Produtos!$C$2:$C$71,MATCH(C391,Produtos!$A$2:$A$71,0)),"")</f>
        <v/>
      </c>
      <c r="P391" s="25">
        <f>IFERROR(INDEX(Produtos!$D$2:$D$71,MATCH(C391,Produtos!$A$2:$A$71,0)),0)</f>
        <v/>
      </c>
      <c r="Q391" s="25">
        <f>IFERROR(INDEX(Produtos!$E$2:$E$71,MATCH(C391,Produtos!$A$2:$A$71,0)),0)</f>
        <v/>
      </c>
      <c r="R391" s="27">
        <f>D391*Q391</f>
        <v/>
      </c>
      <c r="S391" s="27">
        <f>R391*E391</f>
        <v/>
      </c>
      <c r="T391" s="27">
        <f>(R391-S391)*M391</f>
        <v/>
      </c>
      <c r="U391" s="27">
        <f>R391-S391-T391</f>
        <v/>
      </c>
      <c r="V391" s="27">
        <f>D391*P391</f>
        <v/>
      </c>
      <c r="W391" s="27">
        <f>U391-V391</f>
        <v/>
      </c>
      <c r="X391" s="28">
        <f>IFERROR(W391/U391,0)</f>
        <v/>
      </c>
    </row>
    <row r="392">
      <c r="A392" s="21">
        <f>ItensPedido!A392</f>
        <v/>
      </c>
      <c r="B392" s="21">
        <f>ItensPedido!B392</f>
        <v/>
      </c>
      <c r="C392" s="21">
        <f>ItensPedido!C392</f>
        <v/>
      </c>
      <c r="D392" s="21">
        <f>ItensPedido!D392</f>
        <v/>
      </c>
      <c r="E392" s="22">
        <f>ItensPedido!E392</f>
        <v/>
      </c>
      <c r="F392" s="21">
        <f>IFERROR(INDEX(Pedidos!$B$2:$B$1801,MATCH(B392,Pedidos!$A$2:$A$1801,0)),0)</f>
        <v/>
      </c>
      <c r="G392" s="21">
        <f>IF(F392=0,"",YEAR(F392))</f>
        <v/>
      </c>
      <c r="H392" s="21">
        <f>IF(F392=0,"",MONTH(F392))</f>
        <v/>
      </c>
      <c r="I392" s="21">
        <f>IFERROR(INDEX(Pedidos!$E$2:$E$1801,MATCH(B392,Pedidos!$A$2:$A$1801,0)),"")</f>
        <v/>
      </c>
      <c r="J392" s="21">
        <f>IFERROR(INDEX(Pedidos!$C$2:$C$1801,MATCH(B392,Pedidos!$A$2:$A$1801,0)),"")</f>
        <v/>
      </c>
      <c r="K392" s="21">
        <f>IFERROR(INDEX(Pedidos!$D$2:$D$1801,MATCH(B392,Pedidos!$A$2:$A$1801,0)),"")</f>
        <v/>
      </c>
      <c r="L392" s="21">
        <f>IFERROR(INDEX(Pedidos!$F$2:$F$1801,MATCH(B392,Pedidos!$A$2:$A$1801,0)),"")</f>
        <v/>
      </c>
      <c r="M392" s="22">
        <f>IFERROR(INDEX(Pedidos!$G$2:$G$1801,MATCH(B392,Pedidos!$A$2:$A$1801,0)),0)</f>
        <v/>
      </c>
      <c r="N392" s="21">
        <f>IFERROR(INDEX(Produtos!$B$2:$B$71,MATCH(C392,Produtos!$A$2:$A$71,0)),"")</f>
        <v/>
      </c>
      <c r="O392" s="21">
        <f>IFERROR(INDEX(Produtos!$C$2:$C$71,MATCH(C392,Produtos!$A$2:$A$71,0)),"")</f>
        <v/>
      </c>
      <c r="P392" s="21">
        <f>IFERROR(INDEX(Produtos!$D$2:$D$71,MATCH(C392,Produtos!$A$2:$A$71,0)),0)</f>
        <v/>
      </c>
      <c r="Q392" s="21">
        <f>IFERROR(INDEX(Produtos!$E$2:$E$71,MATCH(C392,Produtos!$A$2:$A$71,0)),0)</f>
        <v/>
      </c>
      <c r="R392" s="23">
        <f>D392*Q392</f>
        <v/>
      </c>
      <c r="S392" s="23">
        <f>R392*E392</f>
        <v/>
      </c>
      <c r="T392" s="23">
        <f>(R392-S392)*M392</f>
        <v/>
      </c>
      <c r="U392" s="23">
        <f>R392-S392-T392</f>
        <v/>
      </c>
      <c r="V392" s="23">
        <f>D392*P392</f>
        <v/>
      </c>
      <c r="W392" s="23">
        <f>U392-V392</f>
        <v/>
      </c>
      <c r="X392" s="24">
        <f>IFERROR(W392/U392,0)</f>
        <v/>
      </c>
    </row>
    <row r="393">
      <c r="A393" s="25">
        <f>ItensPedido!A393</f>
        <v/>
      </c>
      <c r="B393" s="25">
        <f>ItensPedido!B393</f>
        <v/>
      </c>
      <c r="C393" s="25">
        <f>ItensPedido!C393</f>
        <v/>
      </c>
      <c r="D393" s="25">
        <f>ItensPedido!D393</f>
        <v/>
      </c>
      <c r="E393" s="26">
        <f>ItensPedido!E393</f>
        <v/>
      </c>
      <c r="F393" s="25">
        <f>IFERROR(INDEX(Pedidos!$B$2:$B$1801,MATCH(B393,Pedidos!$A$2:$A$1801,0)),0)</f>
        <v/>
      </c>
      <c r="G393" s="25">
        <f>IF(F393=0,"",YEAR(F393))</f>
        <v/>
      </c>
      <c r="H393" s="25">
        <f>IF(F393=0,"",MONTH(F393))</f>
        <v/>
      </c>
      <c r="I393" s="25">
        <f>IFERROR(INDEX(Pedidos!$E$2:$E$1801,MATCH(B393,Pedidos!$A$2:$A$1801,0)),"")</f>
        <v/>
      </c>
      <c r="J393" s="25">
        <f>IFERROR(INDEX(Pedidos!$C$2:$C$1801,MATCH(B393,Pedidos!$A$2:$A$1801,0)),"")</f>
        <v/>
      </c>
      <c r="K393" s="25">
        <f>IFERROR(INDEX(Pedidos!$D$2:$D$1801,MATCH(B393,Pedidos!$A$2:$A$1801,0)),"")</f>
        <v/>
      </c>
      <c r="L393" s="25">
        <f>IFERROR(INDEX(Pedidos!$F$2:$F$1801,MATCH(B393,Pedidos!$A$2:$A$1801,0)),"")</f>
        <v/>
      </c>
      <c r="M393" s="26">
        <f>IFERROR(INDEX(Pedidos!$G$2:$G$1801,MATCH(B393,Pedidos!$A$2:$A$1801,0)),0)</f>
        <v/>
      </c>
      <c r="N393" s="25">
        <f>IFERROR(INDEX(Produtos!$B$2:$B$71,MATCH(C393,Produtos!$A$2:$A$71,0)),"")</f>
        <v/>
      </c>
      <c r="O393" s="25">
        <f>IFERROR(INDEX(Produtos!$C$2:$C$71,MATCH(C393,Produtos!$A$2:$A$71,0)),"")</f>
        <v/>
      </c>
      <c r="P393" s="25">
        <f>IFERROR(INDEX(Produtos!$D$2:$D$71,MATCH(C393,Produtos!$A$2:$A$71,0)),0)</f>
        <v/>
      </c>
      <c r="Q393" s="25">
        <f>IFERROR(INDEX(Produtos!$E$2:$E$71,MATCH(C393,Produtos!$A$2:$A$71,0)),0)</f>
        <v/>
      </c>
      <c r="R393" s="27">
        <f>D393*Q393</f>
        <v/>
      </c>
      <c r="S393" s="27">
        <f>R393*E393</f>
        <v/>
      </c>
      <c r="T393" s="27">
        <f>(R393-S393)*M393</f>
        <v/>
      </c>
      <c r="U393" s="27">
        <f>R393-S393-T393</f>
        <v/>
      </c>
      <c r="V393" s="27">
        <f>D393*P393</f>
        <v/>
      </c>
      <c r="W393" s="27">
        <f>U393-V393</f>
        <v/>
      </c>
      <c r="X393" s="28">
        <f>IFERROR(W393/U393,0)</f>
        <v/>
      </c>
    </row>
    <row r="394">
      <c r="A394" s="21">
        <f>ItensPedido!A394</f>
        <v/>
      </c>
      <c r="B394" s="21">
        <f>ItensPedido!B394</f>
        <v/>
      </c>
      <c r="C394" s="21">
        <f>ItensPedido!C394</f>
        <v/>
      </c>
      <c r="D394" s="21">
        <f>ItensPedido!D394</f>
        <v/>
      </c>
      <c r="E394" s="22">
        <f>ItensPedido!E394</f>
        <v/>
      </c>
      <c r="F394" s="21">
        <f>IFERROR(INDEX(Pedidos!$B$2:$B$1801,MATCH(B394,Pedidos!$A$2:$A$1801,0)),0)</f>
        <v/>
      </c>
      <c r="G394" s="21">
        <f>IF(F394=0,"",YEAR(F394))</f>
        <v/>
      </c>
      <c r="H394" s="21">
        <f>IF(F394=0,"",MONTH(F394))</f>
        <v/>
      </c>
      <c r="I394" s="21">
        <f>IFERROR(INDEX(Pedidos!$E$2:$E$1801,MATCH(B394,Pedidos!$A$2:$A$1801,0)),"")</f>
        <v/>
      </c>
      <c r="J394" s="21">
        <f>IFERROR(INDEX(Pedidos!$C$2:$C$1801,MATCH(B394,Pedidos!$A$2:$A$1801,0)),"")</f>
        <v/>
      </c>
      <c r="K394" s="21">
        <f>IFERROR(INDEX(Pedidos!$D$2:$D$1801,MATCH(B394,Pedidos!$A$2:$A$1801,0)),"")</f>
        <v/>
      </c>
      <c r="L394" s="21">
        <f>IFERROR(INDEX(Pedidos!$F$2:$F$1801,MATCH(B394,Pedidos!$A$2:$A$1801,0)),"")</f>
        <v/>
      </c>
      <c r="M394" s="22">
        <f>IFERROR(INDEX(Pedidos!$G$2:$G$1801,MATCH(B394,Pedidos!$A$2:$A$1801,0)),0)</f>
        <v/>
      </c>
      <c r="N394" s="21">
        <f>IFERROR(INDEX(Produtos!$B$2:$B$71,MATCH(C394,Produtos!$A$2:$A$71,0)),"")</f>
        <v/>
      </c>
      <c r="O394" s="21">
        <f>IFERROR(INDEX(Produtos!$C$2:$C$71,MATCH(C394,Produtos!$A$2:$A$71,0)),"")</f>
        <v/>
      </c>
      <c r="P394" s="21">
        <f>IFERROR(INDEX(Produtos!$D$2:$D$71,MATCH(C394,Produtos!$A$2:$A$71,0)),0)</f>
        <v/>
      </c>
      <c r="Q394" s="21">
        <f>IFERROR(INDEX(Produtos!$E$2:$E$71,MATCH(C394,Produtos!$A$2:$A$71,0)),0)</f>
        <v/>
      </c>
      <c r="R394" s="23">
        <f>D394*Q394</f>
        <v/>
      </c>
      <c r="S394" s="23">
        <f>R394*E394</f>
        <v/>
      </c>
      <c r="T394" s="23">
        <f>(R394-S394)*M394</f>
        <v/>
      </c>
      <c r="U394" s="23">
        <f>R394-S394-T394</f>
        <v/>
      </c>
      <c r="V394" s="23">
        <f>D394*P394</f>
        <v/>
      </c>
      <c r="W394" s="23">
        <f>U394-V394</f>
        <v/>
      </c>
      <c r="X394" s="24">
        <f>IFERROR(W394/U394,0)</f>
        <v/>
      </c>
    </row>
    <row r="395">
      <c r="A395" s="25">
        <f>ItensPedido!A395</f>
        <v/>
      </c>
      <c r="B395" s="25">
        <f>ItensPedido!B395</f>
        <v/>
      </c>
      <c r="C395" s="25">
        <f>ItensPedido!C395</f>
        <v/>
      </c>
      <c r="D395" s="25">
        <f>ItensPedido!D395</f>
        <v/>
      </c>
      <c r="E395" s="26">
        <f>ItensPedido!E395</f>
        <v/>
      </c>
      <c r="F395" s="25">
        <f>IFERROR(INDEX(Pedidos!$B$2:$B$1801,MATCH(B395,Pedidos!$A$2:$A$1801,0)),0)</f>
        <v/>
      </c>
      <c r="G395" s="25">
        <f>IF(F395=0,"",YEAR(F395))</f>
        <v/>
      </c>
      <c r="H395" s="25">
        <f>IF(F395=0,"",MONTH(F395))</f>
        <v/>
      </c>
      <c r="I395" s="25">
        <f>IFERROR(INDEX(Pedidos!$E$2:$E$1801,MATCH(B395,Pedidos!$A$2:$A$1801,0)),"")</f>
        <v/>
      </c>
      <c r="J395" s="25">
        <f>IFERROR(INDEX(Pedidos!$C$2:$C$1801,MATCH(B395,Pedidos!$A$2:$A$1801,0)),"")</f>
        <v/>
      </c>
      <c r="K395" s="25">
        <f>IFERROR(INDEX(Pedidos!$D$2:$D$1801,MATCH(B395,Pedidos!$A$2:$A$1801,0)),"")</f>
        <v/>
      </c>
      <c r="L395" s="25">
        <f>IFERROR(INDEX(Pedidos!$F$2:$F$1801,MATCH(B395,Pedidos!$A$2:$A$1801,0)),"")</f>
        <v/>
      </c>
      <c r="M395" s="26">
        <f>IFERROR(INDEX(Pedidos!$G$2:$G$1801,MATCH(B395,Pedidos!$A$2:$A$1801,0)),0)</f>
        <v/>
      </c>
      <c r="N395" s="25">
        <f>IFERROR(INDEX(Produtos!$B$2:$B$71,MATCH(C395,Produtos!$A$2:$A$71,0)),"")</f>
        <v/>
      </c>
      <c r="O395" s="25">
        <f>IFERROR(INDEX(Produtos!$C$2:$C$71,MATCH(C395,Produtos!$A$2:$A$71,0)),"")</f>
        <v/>
      </c>
      <c r="P395" s="25">
        <f>IFERROR(INDEX(Produtos!$D$2:$D$71,MATCH(C395,Produtos!$A$2:$A$71,0)),0)</f>
        <v/>
      </c>
      <c r="Q395" s="25">
        <f>IFERROR(INDEX(Produtos!$E$2:$E$71,MATCH(C395,Produtos!$A$2:$A$71,0)),0)</f>
        <v/>
      </c>
      <c r="R395" s="27">
        <f>D395*Q395</f>
        <v/>
      </c>
      <c r="S395" s="27">
        <f>R395*E395</f>
        <v/>
      </c>
      <c r="T395" s="27">
        <f>(R395-S395)*M395</f>
        <v/>
      </c>
      <c r="U395" s="27">
        <f>R395-S395-T395</f>
        <v/>
      </c>
      <c r="V395" s="27">
        <f>D395*P395</f>
        <v/>
      </c>
      <c r="W395" s="27">
        <f>U395-V395</f>
        <v/>
      </c>
      <c r="X395" s="28">
        <f>IFERROR(W395/U395,0)</f>
        <v/>
      </c>
    </row>
    <row r="396">
      <c r="A396" s="21">
        <f>ItensPedido!A396</f>
        <v/>
      </c>
      <c r="B396" s="21">
        <f>ItensPedido!B396</f>
        <v/>
      </c>
      <c r="C396" s="21">
        <f>ItensPedido!C396</f>
        <v/>
      </c>
      <c r="D396" s="21">
        <f>ItensPedido!D396</f>
        <v/>
      </c>
      <c r="E396" s="22">
        <f>ItensPedido!E396</f>
        <v/>
      </c>
      <c r="F396" s="21">
        <f>IFERROR(INDEX(Pedidos!$B$2:$B$1801,MATCH(B396,Pedidos!$A$2:$A$1801,0)),0)</f>
        <v/>
      </c>
      <c r="G396" s="21">
        <f>IF(F396=0,"",YEAR(F396))</f>
        <v/>
      </c>
      <c r="H396" s="21">
        <f>IF(F396=0,"",MONTH(F396))</f>
        <v/>
      </c>
      <c r="I396" s="21">
        <f>IFERROR(INDEX(Pedidos!$E$2:$E$1801,MATCH(B396,Pedidos!$A$2:$A$1801,0)),"")</f>
        <v/>
      </c>
      <c r="J396" s="21">
        <f>IFERROR(INDEX(Pedidos!$C$2:$C$1801,MATCH(B396,Pedidos!$A$2:$A$1801,0)),"")</f>
        <v/>
      </c>
      <c r="K396" s="21">
        <f>IFERROR(INDEX(Pedidos!$D$2:$D$1801,MATCH(B396,Pedidos!$A$2:$A$1801,0)),"")</f>
        <v/>
      </c>
      <c r="L396" s="21">
        <f>IFERROR(INDEX(Pedidos!$F$2:$F$1801,MATCH(B396,Pedidos!$A$2:$A$1801,0)),"")</f>
        <v/>
      </c>
      <c r="M396" s="22">
        <f>IFERROR(INDEX(Pedidos!$G$2:$G$1801,MATCH(B396,Pedidos!$A$2:$A$1801,0)),0)</f>
        <v/>
      </c>
      <c r="N396" s="21">
        <f>IFERROR(INDEX(Produtos!$B$2:$B$71,MATCH(C396,Produtos!$A$2:$A$71,0)),"")</f>
        <v/>
      </c>
      <c r="O396" s="21">
        <f>IFERROR(INDEX(Produtos!$C$2:$C$71,MATCH(C396,Produtos!$A$2:$A$71,0)),"")</f>
        <v/>
      </c>
      <c r="P396" s="21">
        <f>IFERROR(INDEX(Produtos!$D$2:$D$71,MATCH(C396,Produtos!$A$2:$A$71,0)),0)</f>
        <v/>
      </c>
      <c r="Q396" s="21">
        <f>IFERROR(INDEX(Produtos!$E$2:$E$71,MATCH(C396,Produtos!$A$2:$A$71,0)),0)</f>
        <v/>
      </c>
      <c r="R396" s="23">
        <f>D396*Q396</f>
        <v/>
      </c>
      <c r="S396" s="23">
        <f>R396*E396</f>
        <v/>
      </c>
      <c r="T396" s="23">
        <f>(R396-S396)*M396</f>
        <v/>
      </c>
      <c r="U396" s="23">
        <f>R396-S396-T396</f>
        <v/>
      </c>
      <c r="V396" s="23">
        <f>D396*P396</f>
        <v/>
      </c>
      <c r="W396" s="23">
        <f>U396-V396</f>
        <v/>
      </c>
      <c r="X396" s="24">
        <f>IFERROR(W396/U396,0)</f>
        <v/>
      </c>
    </row>
    <row r="397">
      <c r="A397" s="25">
        <f>ItensPedido!A397</f>
        <v/>
      </c>
      <c r="B397" s="25">
        <f>ItensPedido!B397</f>
        <v/>
      </c>
      <c r="C397" s="25">
        <f>ItensPedido!C397</f>
        <v/>
      </c>
      <c r="D397" s="25">
        <f>ItensPedido!D397</f>
        <v/>
      </c>
      <c r="E397" s="26">
        <f>ItensPedido!E397</f>
        <v/>
      </c>
      <c r="F397" s="25">
        <f>IFERROR(INDEX(Pedidos!$B$2:$B$1801,MATCH(B397,Pedidos!$A$2:$A$1801,0)),0)</f>
        <v/>
      </c>
      <c r="G397" s="25">
        <f>IF(F397=0,"",YEAR(F397))</f>
        <v/>
      </c>
      <c r="H397" s="25">
        <f>IF(F397=0,"",MONTH(F397))</f>
        <v/>
      </c>
      <c r="I397" s="25">
        <f>IFERROR(INDEX(Pedidos!$E$2:$E$1801,MATCH(B397,Pedidos!$A$2:$A$1801,0)),"")</f>
        <v/>
      </c>
      <c r="J397" s="25">
        <f>IFERROR(INDEX(Pedidos!$C$2:$C$1801,MATCH(B397,Pedidos!$A$2:$A$1801,0)),"")</f>
        <v/>
      </c>
      <c r="K397" s="25">
        <f>IFERROR(INDEX(Pedidos!$D$2:$D$1801,MATCH(B397,Pedidos!$A$2:$A$1801,0)),"")</f>
        <v/>
      </c>
      <c r="L397" s="25">
        <f>IFERROR(INDEX(Pedidos!$F$2:$F$1801,MATCH(B397,Pedidos!$A$2:$A$1801,0)),"")</f>
        <v/>
      </c>
      <c r="M397" s="26">
        <f>IFERROR(INDEX(Pedidos!$G$2:$G$1801,MATCH(B397,Pedidos!$A$2:$A$1801,0)),0)</f>
        <v/>
      </c>
      <c r="N397" s="25">
        <f>IFERROR(INDEX(Produtos!$B$2:$B$71,MATCH(C397,Produtos!$A$2:$A$71,0)),"")</f>
        <v/>
      </c>
      <c r="O397" s="25">
        <f>IFERROR(INDEX(Produtos!$C$2:$C$71,MATCH(C397,Produtos!$A$2:$A$71,0)),"")</f>
        <v/>
      </c>
      <c r="P397" s="25">
        <f>IFERROR(INDEX(Produtos!$D$2:$D$71,MATCH(C397,Produtos!$A$2:$A$71,0)),0)</f>
        <v/>
      </c>
      <c r="Q397" s="25">
        <f>IFERROR(INDEX(Produtos!$E$2:$E$71,MATCH(C397,Produtos!$A$2:$A$71,0)),0)</f>
        <v/>
      </c>
      <c r="R397" s="27">
        <f>D397*Q397</f>
        <v/>
      </c>
      <c r="S397" s="27">
        <f>R397*E397</f>
        <v/>
      </c>
      <c r="T397" s="27">
        <f>(R397-S397)*M397</f>
        <v/>
      </c>
      <c r="U397" s="27">
        <f>R397-S397-T397</f>
        <v/>
      </c>
      <c r="V397" s="27">
        <f>D397*P397</f>
        <v/>
      </c>
      <c r="W397" s="27">
        <f>U397-V397</f>
        <v/>
      </c>
      <c r="X397" s="28">
        <f>IFERROR(W397/U397,0)</f>
        <v/>
      </c>
    </row>
    <row r="398">
      <c r="A398" s="21">
        <f>ItensPedido!A398</f>
        <v/>
      </c>
      <c r="B398" s="21">
        <f>ItensPedido!B398</f>
        <v/>
      </c>
      <c r="C398" s="21">
        <f>ItensPedido!C398</f>
        <v/>
      </c>
      <c r="D398" s="21">
        <f>ItensPedido!D398</f>
        <v/>
      </c>
      <c r="E398" s="22">
        <f>ItensPedido!E398</f>
        <v/>
      </c>
      <c r="F398" s="21">
        <f>IFERROR(INDEX(Pedidos!$B$2:$B$1801,MATCH(B398,Pedidos!$A$2:$A$1801,0)),0)</f>
        <v/>
      </c>
      <c r="G398" s="21">
        <f>IF(F398=0,"",YEAR(F398))</f>
        <v/>
      </c>
      <c r="H398" s="21">
        <f>IF(F398=0,"",MONTH(F398))</f>
        <v/>
      </c>
      <c r="I398" s="21">
        <f>IFERROR(INDEX(Pedidos!$E$2:$E$1801,MATCH(B398,Pedidos!$A$2:$A$1801,0)),"")</f>
        <v/>
      </c>
      <c r="J398" s="21">
        <f>IFERROR(INDEX(Pedidos!$C$2:$C$1801,MATCH(B398,Pedidos!$A$2:$A$1801,0)),"")</f>
        <v/>
      </c>
      <c r="K398" s="21">
        <f>IFERROR(INDEX(Pedidos!$D$2:$D$1801,MATCH(B398,Pedidos!$A$2:$A$1801,0)),"")</f>
        <v/>
      </c>
      <c r="L398" s="21">
        <f>IFERROR(INDEX(Pedidos!$F$2:$F$1801,MATCH(B398,Pedidos!$A$2:$A$1801,0)),"")</f>
        <v/>
      </c>
      <c r="M398" s="22">
        <f>IFERROR(INDEX(Pedidos!$G$2:$G$1801,MATCH(B398,Pedidos!$A$2:$A$1801,0)),0)</f>
        <v/>
      </c>
      <c r="N398" s="21">
        <f>IFERROR(INDEX(Produtos!$B$2:$B$71,MATCH(C398,Produtos!$A$2:$A$71,0)),"")</f>
        <v/>
      </c>
      <c r="O398" s="21">
        <f>IFERROR(INDEX(Produtos!$C$2:$C$71,MATCH(C398,Produtos!$A$2:$A$71,0)),"")</f>
        <v/>
      </c>
      <c r="P398" s="21">
        <f>IFERROR(INDEX(Produtos!$D$2:$D$71,MATCH(C398,Produtos!$A$2:$A$71,0)),0)</f>
        <v/>
      </c>
      <c r="Q398" s="21">
        <f>IFERROR(INDEX(Produtos!$E$2:$E$71,MATCH(C398,Produtos!$A$2:$A$71,0)),0)</f>
        <v/>
      </c>
      <c r="R398" s="23">
        <f>D398*Q398</f>
        <v/>
      </c>
      <c r="S398" s="23">
        <f>R398*E398</f>
        <v/>
      </c>
      <c r="T398" s="23">
        <f>(R398-S398)*M398</f>
        <v/>
      </c>
      <c r="U398" s="23">
        <f>R398-S398-T398</f>
        <v/>
      </c>
      <c r="V398" s="23">
        <f>D398*P398</f>
        <v/>
      </c>
      <c r="W398" s="23">
        <f>U398-V398</f>
        <v/>
      </c>
      <c r="X398" s="24">
        <f>IFERROR(W398/U398,0)</f>
        <v/>
      </c>
    </row>
    <row r="399">
      <c r="A399" s="25">
        <f>ItensPedido!A399</f>
        <v/>
      </c>
      <c r="B399" s="25">
        <f>ItensPedido!B399</f>
        <v/>
      </c>
      <c r="C399" s="25">
        <f>ItensPedido!C399</f>
        <v/>
      </c>
      <c r="D399" s="25">
        <f>ItensPedido!D399</f>
        <v/>
      </c>
      <c r="E399" s="26">
        <f>ItensPedido!E399</f>
        <v/>
      </c>
      <c r="F399" s="25">
        <f>IFERROR(INDEX(Pedidos!$B$2:$B$1801,MATCH(B399,Pedidos!$A$2:$A$1801,0)),0)</f>
        <v/>
      </c>
      <c r="G399" s="25">
        <f>IF(F399=0,"",YEAR(F399))</f>
        <v/>
      </c>
      <c r="H399" s="25">
        <f>IF(F399=0,"",MONTH(F399))</f>
        <v/>
      </c>
      <c r="I399" s="25">
        <f>IFERROR(INDEX(Pedidos!$E$2:$E$1801,MATCH(B399,Pedidos!$A$2:$A$1801,0)),"")</f>
        <v/>
      </c>
      <c r="J399" s="25">
        <f>IFERROR(INDEX(Pedidos!$C$2:$C$1801,MATCH(B399,Pedidos!$A$2:$A$1801,0)),"")</f>
        <v/>
      </c>
      <c r="K399" s="25">
        <f>IFERROR(INDEX(Pedidos!$D$2:$D$1801,MATCH(B399,Pedidos!$A$2:$A$1801,0)),"")</f>
        <v/>
      </c>
      <c r="L399" s="25">
        <f>IFERROR(INDEX(Pedidos!$F$2:$F$1801,MATCH(B399,Pedidos!$A$2:$A$1801,0)),"")</f>
        <v/>
      </c>
      <c r="M399" s="26">
        <f>IFERROR(INDEX(Pedidos!$G$2:$G$1801,MATCH(B399,Pedidos!$A$2:$A$1801,0)),0)</f>
        <v/>
      </c>
      <c r="N399" s="25">
        <f>IFERROR(INDEX(Produtos!$B$2:$B$71,MATCH(C399,Produtos!$A$2:$A$71,0)),"")</f>
        <v/>
      </c>
      <c r="O399" s="25">
        <f>IFERROR(INDEX(Produtos!$C$2:$C$71,MATCH(C399,Produtos!$A$2:$A$71,0)),"")</f>
        <v/>
      </c>
      <c r="P399" s="25">
        <f>IFERROR(INDEX(Produtos!$D$2:$D$71,MATCH(C399,Produtos!$A$2:$A$71,0)),0)</f>
        <v/>
      </c>
      <c r="Q399" s="25">
        <f>IFERROR(INDEX(Produtos!$E$2:$E$71,MATCH(C399,Produtos!$A$2:$A$71,0)),0)</f>
        <v/>
      </c>
      <c r="R399" s="27">
        <f>D399*Q399</f>
        <v/>
      </c>
      <c r="S399" s="27">
        <f>R399*E399</f>
        <v/>
      </c>
      <c r="T399" s="27">
        <f>(R399-S399)*M399</f>
        <v/>
      </c>
      <c r="U399" s="27">
        <f>R399-S399-T399</f>
        <v/>
      </c>
      <c r="V399" s="27">
        <f>D399*P399</f>
        <v/>
      </c>
      <c r="W399" s="27">
        <f>U399-V399</f>
        <v/>
      </c>
      <c r="X399" s="28">
        <f>IFERROR(W399/U399,0)</f>
        <v/>
      </c>
    </row>
    <row r="400">
      <c r="A400" s="21">
        <f>ItensPedido!A400</f>
        <v/>
      </c>
      <c r="B400" s="21">
        <f>ItensPedido!B400</f>
        <v/>
      </c>
      <c r="C400" s="21">
        <f>ItensPedido!C400</f>
        <v/>
      </c>
      <c r="D400" s="21">
        <f>ItensPedido!D400</f>
        <v/>
      </c>
      <c r="E400" s="22">
        <f>ItensPedido!E400</f>
        <v/>
      </c>
      <c r="F400" s="21">
        <f>IFERROR(INDEX(Pedidos!$B$2:$B$1801,MATCH(B400,Pedidos!$A$2:$A$1801,0)),0)</f>
        <v/>
      </c>
      <c r="G400" s="21">
        <f>IF(F400=0,"",YEAR(F400))</f>
        <v/>
      </c>
      <c r="H400" s="21">
        <f>IF(F400=0,"",MONTH(F400))</f>
        <v/>
      </c>
      <c r="I400" s="21">
        <f>IFERROR(INDEX(Pedidos!$E$2:$E$1801,MATCH(B400,Pedidos!$A$2:$A$1801,0)),"")</f>
        <v/>
      </c>
      <c r="J400" s="21">
        <f>IFERROR(INDEX(Pedidos!$C$2:$C$1801,MATCH(B400,Pedidos!$A$2:$A$1801,0)),"")</f>
        <v/>
      </c>
      <c r="K400" s="21">
        <f>IFERROR(INDEX(Pedidos!$D$2:$D$1801,MATCH(B400,Pedidos!$A$2:$A$1801,0)),"")</f>
        <v/>
      </c>
      <c r="L400" s="21">
        <f>IFERROR(INDEX(Pedidos!$F$2:$F$1801,MATCH(B400,Pedidos!$A$2:$A$1801,0)),"")</f>
        <v/>
      </c>
      <c r="M400" s="22">
        <f>IFERROR(INDEX(Pedidos!$G$2:$G$1801,MATCH(B400,Pedidos!$A$2:$A$1801,0)),0)</f>
        <v/>
      </c>
      <c r="N400" s="21">
        <f>IFERROR(INDEX(Produtos!$B$2:$B$71,MATCH(C400,Produtos!$A$2:$A$71,0)),"")</f>
        <v/>
      </c>
      <c r="O400" s="21">
        <f>IFERROR(INDEX(Produtos!$C$2:$C$71,MATCH(C400,Produtos!$A$2:$A$71,0)),"")</f>
        <v/>
      </c>
      <c r="P400" s="21">
        <f>IFERROR(INDEX(Produtos!$D$2:$D$71,MATCH(C400,Produtos!$A$2:$A$71,0)),0)</f>
        <v/>
      </c>
      <c r="Q400" s="21">
        <f>IFERROR(INDEX(Produtos!$E$2:$E$71,MATCH(C400,Produtos!$A$2:$A$71,0)),0)</f>
        <v/>
      </c>
      <c r="R400" s="23">
        <f>D400*Q400</f>
        <v/>
      </c>
      <c r="S400" s="23">
        <f>R400*E400</f>
        <v/>
      </c>
      <c r="T400" s="23">
        <f>(R400-S400)*M400</f>
        <v/>
      </c>
      <c r="U400" s="23">
        <f>R400-S400-T400</f>
        <v/>
      </c>
      <c r="V400" s="23">
        <f>D400*P400</f>
        <v/>
      </c>
      <c r="W400" s="23">
        <f>U400-V400</f>
        <v/>
      </c>
      <c r="X400" s="24">
        <f>IFERROR(W400/U400,0)</f>
        <v/>
      </c>
    </row>
    <row r="401">
      <c r="A401" s="25">
        <f>ItensPedido!A401</f>
        <v/>
      </c>
      <c r="B401" s="25">
        <f>ItensPedido!B401</f>
        <v/>
      </c>
      <c r="C401" s="25">
        <f>ItensPedido!C401</f>
        <v/>
      </c>
      <c r="D401" s="25">
        <f>ItensPedido!D401</f>
        <v/>
      </c>
      <c r="E401" s="26">
        <f>ItensPedido!E401</f>
        <v/>
      </c>
      <c r="F401" s="25">
        <f>IFERROR(INDEX(Pedidos!$B$2:$B$1801,MATCH(B401,Pedidos!$A$2:$A$1801,0)),0)</f>
        <v/>
      </c>
      <c r="G401" s="25">
        <f>IF(F401=0,"",YEAR(F401))</f>
        <v/>
      </c>
      <c r="H401" s="25">
        <f>IF(F401=0,"",MONTH(F401))</f>
        <v/>
      </c>
      <c r="I401" s="25">
        <f>IFERROR(INDEX(Pedidos!$E$2:$E$1801,MATCH(B401,Pedidos!$A$2:$A$1801,0)),"")</f>
        <v/>
      </c>
      <c r="J401" s="25">
        <f>IFERROR(INDEX(Pedidos!$C$2:$C$1801,MATCH(B401,Pedidos!$A$2:$A$1801,0)),"")</f>
        <v/>
      </c>
      <c r="K401" s="25">
        <f>IFERROR(INDEX(Pedidos!$D$2:$D$1801,MATCH(B401,Pedidos!$A$2:$A$1801,0)),"")</f>
        <v/>
      </c>
      <c r="L401" s="25">
        <f>IFERROR(INDEX(Pedidos!$F$2:$F$1801,MATCH(B401,Pedidos!$A$2:$A$1801,0)),"")</f>
        <v/>
      </c>
      <c r="M401" s="26">
        <f>IFERROR(INDEX(Pedidos!$G$2:$G$1801,MATCH(B401,Pedidos!$A$2:$A$1801,0)),0)</f>
        <v/>
      </c>
      <c r="N401" s="25">
        <f>IFERROR(INDEX(Produtos!$B$2:$B$71,MATCH(C401,Produtos!$A$2:$A$71,0)),"")</f>
        <v/>
      </c>
      <c r="O401" s="25">
        <f>IFERROR(INDEX(Produtos!$C$2:$C$71,MATCH(C401,Produtos!$A$2:$A$71,0)),"")</f>
        <v/>
      </c>
      <c r="P401" s="25">
        <f>IFERROR(INDEX(Produtos!$D$2:$D$71,MATCH(C401,Produtos!$A$2:$A$71,0)),0)</f>
        <v/>
      </c>
      <c r="Q401" s="25">
        <f>IFERROR(INDEX(Produtos!$E$2:$E$71,MATCH(C401,Produtos!$A$2:$A$71,0)),0)</f>
        <v/>
      </c>
      <c r="R401" s="27">
        <f>D401*Q401</f>
        <v/>
      </c>
      <c r="S401" s="27">
        <f>R401*E401</f>
        <v/>
      </c>
      <c r="T401" s="27">
        <f>(R401-S401)*M401</f>
        <v/>
      </c>
      <c r="U401" s="27">
        <f>R401-S401-T401</f>
        <v/>
      </c>
      <c r="V401" s="27">
        <f>D401*P401</f>
        <v/>
      </c>
      <c r="W401" s="27">
        <f>U401-V401</f>
        <v/>
      </c>
      <c r="X401" s="28">
        <f>IFERROR(W401/U401,0)</f>
        <v/>
      </c>
    </row>
    <row r="402">
      <c r="A402" s="21">
        <f>ItensPedido!A402</f>
        <v/>
      </c>
      <c r="B402" s="21">
        <f>ItensPedido!B402</f>
        <v/>
      </c>
      <c r="C402" s="21">
        <f>ItensPedido!C402</f>
        <v/>
      </c>
      <c r="D402" s="21">
        <f>ItensPedido!D402</f>
        <v/>
      </c>
      <c r="E402" s="22">
        <f>ItensPedido!E402</f>
        <v/>
      </c>
      <c r="F402" s="21">
        <f>IFERROR(INDEX(Pedidos!$B$2:$B$1801,MATCH(B402,Pedidos!$A$2:$A$1801,0)),0)</f>
        <v/>
      </c>
      <c r="G402" s="21">
        <f>IF(F402=0,"",YEAR(F402))</f>
        <v/>
      </c>
      <c r="H402" s="21">
        <f>IF(F402=0,"",MONTH(F402))</f>
        <v/>
      </c>
      <c r="I402" s="21">
        <f>IFERROR(INDEX(Pedidos!$E$2:$E$1801,MATCH(B402,Pedidos!$A$2:$A$1801,0)),"")</f>
        <v/>
      </c>
      <c r="J402" s="21">
        <f>IFERROR(INDEX(Pedidos!$C$2:$C$1801,MATCH(B402,Pedidos!$A$2:$A$1801,0)),"")</f>
        <v/>
      </c>
      <c r="K402" s="21">
        <f>IFERROR(INDEX(Pedidos!$D$2:$D$1801,MATCH(B402,Pedidos!$A$2:$A$1801,0)),"")</f>
        <v/>
      </c>
      <c r="L402" s="21">
        <f>IFERROR(INDEX(Pedidos!$F$2:$F$1801,MATCH(B402,Pedidos!$A$2:$A$1801,0)),"")</f>
        <v/>
      </c>
      <c r="M402" s="22">
        <f>IFERROR(INDEX(Pedidos!$G$2:$G$1801,MATCH(B402,Pedidos!$A$2:$A$1801,0)),0)</f>
        <v/>
      </c>
      <c r="N402" s="21">
        <f>IFERROR(INDEX(Produtos!$B$2:$B$71,MATCH(C402,Produtos!$A$2:$A$71,0)),"")</f>
        <v/>
      </c>
      <c r="O402" s="21">
        <f>IFERROR(INDEX(Produtos!$C$2:$C$71,MATCH(C402,Produtos!$A$2:$A$71,0)),"")</f>
        <v/>
      </c>
      <c r="P402" s="21">
        <f>IFERROR(INDEX(Produtos!$D$2:$D$71,MATCH(C402,Produtos!$A$2:$A$71,0)),0)</f>
        <v/>
      </c>
      <c r="Q402" s="21">
        <f>IFERROR(INDEX(Produtos!$E$2:$E$71,MATCH(C402,Produtos!$A$2:$A$71,0)),0)</f>
        <v/>
      </c>
      <c r="R402" s="23">
        <f>D402*Q402</f>
        <v/>
      </c>
      <c r="S402" s="23">
        <f>R402*E402</f>
        <v/>
      </c>
      <c r="T402" s="23">
        <f>(R402-S402)*M402</f>
        <v/>
      </c>
      <c r="U402" s="23">
        <f>R402-S402-T402</f>
        <v/>
      </c>
      <c r="V402" s="23">
        <f>D402*P402</f>
        <v/>
      </c>
      <c r="W402" s="23">
        <f>U402-V402</f>
        <v/>
      </c>
      <c r="X402" s="24">
        <f>IFERROR(W402/U402,0)</f>
        <v/>
      </c>
    </row>
    <row r="403">
      <c r="A403" s="25">
        <f>ItensPedido!A403</f>
        <v/>
      </c>
      <c r="B403" s="25">
        <f>ItensPedido!B403</f>
        <v/>
      </c>
      <c r="C403" s="25">
        <f>ItensPedido!C403</f>
        <v/>
      </c>
      <c r="D403" s="25">
        <f>ItensPedido!D403</f>
        <v/>
      </c>
      <c r="E403" s="26">
        <f>ItensPedido!E403</f>
        <v/>
      </c>
      <c r="F403" s="25">
        <f>IFERROR(INDEX(Pedidos!$B$2:$B$1801,MATCH(B403,Pedidos!$A$2:$A$1801,0)),0)</f>
        <v/>
      </c>
      <c r="G403" s="25">
        <f>IF(F403=0,"",YEAR(F403))</f>
        <v/>
      </c>
      <c r="H403" s="25">
        <f>IF(F403=0,"",MONTH(F403))</f>
        <v/>
      </c>
      <c r="I403" s="25">
        <f>IFERROR(INDEX(Pedidos!$E$2:$E$1801,MATCH(B403,Pedidos!$A$2:$A$1801,0)),"")</f>
        <v/>
      </c>
      <c r="J403" s="25">
        <f>IFERROR(INDEX(Pedidos!$C$2:$C$1801,MATCH(B403,Pedidos!$A$2:$A$1801,0)),"")</f>
        <v/>
      </c>
      <c r="K403" s="25">
        <f>IFERROR(INDEX(Pedidos!$D$2:$D$1801,MATCH(B403,Pedidos!$A$2:$A$1801,0)),"")</f>
        <v/>
      </c>
      <c r="L403" s="25">
        <f>IFERROR(INDEX(Pedidos!$F$2:$F$1801,MATCH(B403,Pedidos!$A$2:$A$1801,0)),"")</f>
        <v/>
      </c>
      <c r="M403" s="26">
        <f>IFERROR(INDEX(Pedidos!$G$2:$G$1801,MATCH(B403,Pedidos!$A$2:$A$1801,0)),0)</f>
        <v/>
      </c>
      <c r="N403" s="25">
        <f>IFERROR(INDEX(Produtos!$B$2:$B$71,MATCH(C403,Produtos!$A$2:$A$71,0)),"")</f>
        <v/>
      </c>
      <c r="O403" s="25">
        <f>IFERROR(INDEX(Produtos!$C$2:$C$71,MATCH(C403,Produtos!$A$2:$A$71,0)),"")</f>
        <v/>
      </c>
      <c r="P403" s="25">
        <f>IFERROR(INDEX(Produtos!$D$2:$D$71,MATCH(C403,Produtos!$A$2:$A$71,0)),0)</f>
        <v/>
      </c>
      <c r="Q403" s="25">
        <f>IFERROR(INDEX(Produtos!$E$2:$E$71,MATCH(C403,Produtos!$A$2:$A$71,0)),0)</f>
        <v/>
      </c>
      <c r="R403" s="27">
        <f>D403*Q403</f>
        <v/>
      </c>
      <c r="S403" s="27">
        <f>R403*E403</f>
        <v/>
      </c>
      <c r="T403" s="27">
        <f>(R403-S403)*M403</f>
        <v/>
      </c>
      <c r="U403" s="27">
        <f>R403-S403-T403</f>
        <v/>
      </c>
      <c r="V403" s="27">
        <f>D403*P403</f>
        <v/>
      </c>
      <c r="W403" s="27">
        <f>U403-V403</f>
        <v/>
      </c>
      <c r="X403" s="28">
        <f>IFERROR(W403/U403,0)</f>
        <v/>
      </c>
    </row>
    <row r="404">
      <c r="A404" s="21">
        <f>ItensPedido!A404</f>
        <v/>
      </c>
      <c r="B404" s="21">
        <f>ItensPedido!B404</f>
        <v/>
      </c>
      <c r="C404" s="21">
        <f>ItensPedido!C404</f>
        <v/>
      </c>
      <c r="D404" s="21">
        <f>ItensPedido!D404</f>
        <v/>
      </c>
      <c r="E404" s="22">
        <f>ItensPedido!E404</f>
        <v/>
      </c>
      <c r="F404" s="21">
        <f>IFERROR(INDEX(Pedidos!$B$2:$B$1801,MATCH(B404,Pedidos!$A$2:$A$1801,0)),0)</f>
        <v/>
      </c>
      <c r="G404" s="21">
        <f>IF(F404=0,"",YEAR(F404))</f>
        <v/>
      </c>
      <c r="H404" s="21">
        <f>IF(F404=0,"",MONTH(F404))</f>
        <v/>
      </c>
      <c r="I404" s="21">
        <f>IFERROR(INDEX(Pedidos!$E$2:$E$1801,MATCH(B404,Pedidos!$A$2:$A$1801,0)),"")</f>
        <v/>
      </c>
      <c r="J404" s="21">
        <f>IFERROR(INDEX(Pedidos!$C$2:$C$1801,MATCH(B404,Pedidos!$A$2:$A$1801,0)),"")</f>
        <v/>
      </c>
      <c r="K404" s="21">
        <f>IFERROR(INDEX(Pedidos!$D$2:$D$1801,MATCH(B404,Pedidos!$A$2:$A$1801,0)),"")</f>
        <v/>
      </c>
      <c r="L404" s="21">
        <f>IFERROR(INDEX(Pedidos!$F$2:$F$1801,MATCH(B404,Pedidos!$A$2:$A$1801,0)),"")</f>
        <v/>
      </c>
      <c r="M404" s="22">
        <f>IFERROR(INDEX(Pedidos!$G$2:$G$1801,MATCH(B404,Pedidos!$A$2:$A$1801,0)),0)</f>
        <v/>
      </c>
      <c r="N404" s="21">
        <f>IFERROR(INDEX(Produtos!$B$2:$B$71,MATCH(C404,Produtos!$A$2:$A$71,0)),"")</f>
        <v/>
      </c>
      <c r="O404" s="21">
        <f>IFERROR(INDEX(Produtos!$C$2:$C$71,MATCH(C404,Produtos!$A$2:$A$71,0)),"")</f>
        <v/>
      </c>
      <c r="P404" s="21">
        <f>IFERROR(INDEX(Produtos!$D$2:$D$71,MATCH(C404,Produtos!$A$2:$A$71,0)),0)</f>
        <v/>
      </c>
      <c r="Q404" s="21">
        <f>IFERROR(INDEX(Produtos!$E$2:$E$71,MATCH(C404,Produtos!$A$2:$A$71,0)),0)</f>
        <v/>
      </c>
      <c r="R404" s="23">
        <f>D404*Q404</f>
        <v/>
      </c>
      <c r="S404" s="23">
        <f>R404*E404</f>
        <v/>
      </c>
      <c r="T404" s="23">
        <f>(R404-S404)*M404</f>
        <v/>
      </c>
      <c r="U404" s="23">
        <f>R404-S404-T404</f>
        <v/>
      </c>
      <c r="V404" s="23">
        <f>D404*P404</f>
        <v/>
      </c>
      <c r="W404" s="23">
        <f>U404-V404</f>
        <v/>
      </c>
      <c r="X404" s="24">
        <f>IFERROR(W404/U404,0)</f>
        <v/>
      </c>
    </row>
    <row r="405">
      <c r="A405" s="25">
        <f>ItensPedido!A405</f>
        <v/>
      </c>
      <c r="B405" s="25">
        <f>ItensPedido!B405</f>
        <v/>
      </c>
      <c r="C405" s="25">
        <f>ItensPedido!C405</f>
        <v/>
      </c>
      <c r="D405" s="25">
        <f>ItensPedido!D405</f>
        <v/>
      </c>
      <c r="E405" s="26">
        <f>ItensPedido!E405</f>
        <v/>
      </c>
      <c r="F405" s="25">
        <f>IFERROR(INDEX(Pedidos!$B$2:$B$1801,MATCH(B405,Pedidos!$A$2:$A$1801,0)),0)</f>
        <v/>
      </c>
      <c r="G405" s="25">
        <f>IF(F405=0,"",YEAR(F405))</f>
        <v/>
      </c>
      <c r="H405" s="25">
        <f>IF(F405=0,"",MONTH(F405))</f>
        <v/>
      </c>
      <c r="I405" s="25">
        <f>IFERROR(INDEX(Pedidos!$E$2:$E$1801,MATCH(B405,Pedidos!$A$2:$A$1801,0)),"")</f>
        <v/>
      </c>
      <c r="J405" s="25">
        <f>IFERROR(INDEX(Pedidos!$C$2:$C$1801,MATCH(B405,Pedidos!$A$2:$A$1801,0)),"")</f>
        <v/>
      </c>
      <c r="K405" s="25">
        <f>IFERROR(INDEX(Pedidos!$D$2:$D$1801,MATCH(B405,Pedidos!$A$2:$A$1801,0)),"")</f>
        <v/>
      </c>
      <c r="L405" s="25">
        <f>IFERROR(INDEX(Pedidos!$F$2:$F$1801,MATCH(B405,Pedidos!$A$2:$A$1801,0)),"")</f>
        <v/>
      </c>
      <c r="M405" s="26">
        <f>IFERROR(INDEX(Pedidos!$G$2:$G$1801,MATCH(B405,Pedidos!$A$2:$A$1801,0)),0)</f>
        <v/>
      </c>
      <c r="N405" s="25">
        <f>IFERROR(INDEX(Produtos!$B$2:$B$71,MATCH(C405,Produtos!$A$2:$A$71,0)),"")</f>
        <v/>
      </c>
      <c r="O405" s="25">
        <f>IFERROR(INDEX(Produtos!$C$2:$C$71,MATCH(C405,Produtos!$A$2:$A$71,0)),"")</f>
        <v/>
      </c>
      <c r="P405" s="25">
        <f>IFERROR(INDEX(Produtos!$D$2:$D$71,MATCH(C405,Produtos!$A$2:$A$71,0)),0)</f>
        <v/>
      </c>
      <c r="Q405" s="25">
        <f>IFERROR(INDEX(Produtos!$E$2:$E$71,MATCH(C405,Produtos!$A$2:$A$71,0)),0)</f>
        <v/>
      </c>
      <c r="R405" s="27">
        <f>D405*Q405</f>
        <v/>
      </c>
      <c r="S405" s="27">
        <f>R405*E405</f>
        <v/>
      </c>
      <c r="T405" s="27">
        <f>(R405-S405)*M405</f>
        <v/>
      </c>
      <c r="U405" s="27">
        <f>R405-S405-T405</f>
        <v/>
      </c>
      <c r="V405" s="27">
        <f>D405*P405</f>
        <v/>
      </c>
      <c r="W405" s="27">
        <f>U405-V405</f>
        <v/>
      </c>
      <c r="X405" s="28">
        <f>IFERROR(W405/U405,0)</f>
        <v/>
      </c>
    </row>
    <row r="406">
      <c r="A406" s="21">
        <f>ItensPedido!A406</f>
        <v/>
      </c>
      <c r="B406" s="21">
        <f>ItensPedido!B406</f>
        <v/>
      </c>
      <c r="C406" s="21">
        <f>ItensPedido!C406</f>
        <v/>
      </c>
      <c r="D406" s="21">
        <f>ItensPedido!D406</f>
        <v/>
      </c>
      <c r="E406" s="22">
        <f>ItensPedido!E406</f>
        <v/>
      </c>
      <c r="F406" s="21">
        <f>IFERROR(INDEX(Pedidos!$B$2:$B$1801,MATCH(B406,Pedidos!$A$2:$A$1801,0)),0)</f>
        <v/>
      </c>
      <c r="G406" s="21">
        <f>IF(F406=0,"",YEAR(F406))</f>
        <v/>
      </c>
      <c r="H406" s="21">
        <f>IF(F406=0,"",MONTH(F406))</f>
        <v/>
      </c>
      <c r="I406" s="21">
        <f>IFERROR(INDEX(Pedidos!$E$2:$E$1801,MATCH(B406,Pedidos!$A$2:$A$1801,0)),"")</f>
        <v/>
      </c>
      <c r="J406" s="21">
        <f>IFERROR(INDEX(Pedidos!$C$2:$C$1801,MATCH(B406,Pedidos!$A$2:$A$1801,0)),"")</f>
        <v/>
      </c>
      <c r="K406" s="21">
        <f>IFERROR(INDEX(Pedidos!$D$2:$D$1801,MATCH(B406,Pedidos!$A$2:$A$1801,0)),"")</f>
        <v/>
      </c>
      <c r="L406" s="21">
        <f>IFERROR(INDEX(Pedidos!$F$2:$F$1801,MATCH(B406,Pedidos!$A$2:$A$1801,0)),"")</f>
        <v/>
      </c>
      <c r="M406" s="22">
        <f>IFERROR(INDEX(Pedidos!$G$2:$G$1801,MATCH(B406,Pedidos!$A$2:$A$1801,0)),0)</f>
        <v/>
      </c>
      <c r="N406" s="21">
        <f>IFERROR(INDEX(Produtos!$B$2:$B$71,MATCH(C406,Produtos!$A$2:$A$71,0)),"")</f>
        <v/>
      </c>
      <c r="O406" s="21">
        <f>IFERROR(INDEX(Produtos!$C$2:$C$71,MATCH(C406,Produtos!$A$2:$A$71,0)),"")</f>
        <v/>
      </c>
      <c r="P406" s="21">
        <f>IFERROR(INDEX(Produtos!$D$2:$D$71,MATCH(C406,Produtos!$A$2:$A$71,0)),0)</f>
        <v/>
      </c>
      <c r="Q406" s="21">
        <f>IFERROR(INDEX(Produtos!$E$2:$E$71,MATCH(C406,Produtos!$A$2:$A$71,0)),0)</f>
        <v/>
      </c>
      <c r="R406" s="23">
        <f>D406*Q406</f>
        <v/>
      </c>
      <c r="S406" s="23">
        <f>R406*E406</f>
        <v/>
      </c>
      <c r="T406" s="23">
        <f>(R406-S406)*M406</f>
        <v/>
      </c>
      <c r="U406" s="23">
        <f>R406-S406-T406</f>
        <v/>
      </c>
      <c r="V406" s="23">
        <f>D406*P406</f>
        <v/>
      </c>
      <c r="W406" s="23">
        <f>U406-V406</f>
        <v/>
      </c>
      <c r="X406" s="24">
        <f>IFERROR(W406/U406,0)</f>
        <v/>
      </c>
    </row>
    <row r="407">
      <c r="A407" s="25">
        <f>ItensPedido!A407</f>
        <v/>
      </c>
      <c r="B407" s="25">
        <f>ItensPedido!B407</f>
        <v/>
      </c>
      <c r="C407" s="25">
        <f>ItensPedido!C407</f>
        <v/>
      </c>
      <c r="D407" s="25">
        <f>ItensPedido!D407</f>
        <v/>
      </c>
      <c r="E407" s="26">
        <f>ItensPedido!E407</f>
        <v/>
      </c>
      <c r="F407" s="25">
        <f>IFERROR(INDEX(Pedidos!$B$2:$B$1801,MATCH(B407,Pedidos!$A$2:$A$1801,0)),0)</f>
        <v/>
      </c>
      <c r="G407" s="25">
        <f>IF(F407=0,"",YEAR(F407))</f>
        <v/>
      </c>
      <c r="H407" s="25">
        <f>IF(F407=0,"",MONTH(F407))</f>
        <v/>
      </c>
      <c r="I407" s="25">
        <f>IFERROR(INDEX(Pedidos!$E$2:$E$1801,MATCH(B407,Pedidos!$A$2:$A$1801,0)),"")</f>
        <v/>
      </c>
      <c r="J407" s="25">
        <f>IFERROR(INDEX(Pedidos!$C$2:$C$1801,MATCH(B407,Pedidos!$A$2:$A$1801,0)),"")</f>
        <v/>
      </c>
      <c r="K407" s="25">
        <f>IFERROR(INDEX(Pedidos!$D$2:$D$1801,MATCH(B407,Pedidos!$A$2:$A$1801,0)),"")</f>
        <v/>
      </c>
      <c r="L407" s="25">
        <f>IFERROR(INDEX(Pedidos!$F$2:$F$1801,MATCH(B407,Pedidos!$A$2:$A$1801,0)),"")</f>
        <v/>
      </c>
      <c r="M407" s="26">
        <f>IFERROR(INDEX(Pedidos!$G$2:$G$1801,MATCH(B407,Pedidos!$A$2:$A$1801,0)),0)</f>
        <v/>
      </c>
      <c r="N407" s="25">
        <f>IFERROR(INDEX(Produtos!$B$2:$B$71,MATCH(C407,Produtos!$A$2:$A$71,0)),"")</f>
        <v/>
      </c>
      <c r="O407" s="25">
        <f>IFERROR(INDEX(Produtos!$C$2:$C$71,MATCH(C407,Produtos!$A$2:$A$71,0)),"")</f>
        <v/>
      </c>
      <c r="P407" s="25">
        <f>IFERROR(INDEX(Produtos!$D$2:$D$71,MATCH(C407,Produtos!$A$2:$A$71,0)),0)</f>
        <v/>
      </c>
      <c r="Q407" s="25">
        <f>IFERROR(INDEX(Produtos!$E$2:$E$71,MATCH(C407,Produtos!$A$2:$A$71,0)),0)</f>
        <v/>
      </c>
      <c r="R407" s="27">
        <f>D407*Q407</f>
        <v/>
      </c>
      <c r="S407" s="27">
        <f>R407*E407</f>
        <v/>
      </c>
      <c r="T407" s="27">
        <f>(R407-S407)*M407</f>
        <v/>
      </c>
      <c r="U407" s="27">
        <f>R407-S407-T407</f>
        <v/>
      </c>
      <c r="V407" s="27">
        <f>D407*P407</f>
        <v/>
      </c>
      <c r="W407" s="27">
        <f>U407-V407</f>
        <v/>
      </c>
      <c r="X407" s="28">
        <f>IFERROR(W407/U407,0)</f>
        <v/>
      </c>
    </row>
    <row r="408">
      <c r="A408" s="21">
        <f>ItensPedido!A408</f>
        <v/>
      </c>
      <c r="B408" s="21">
        <f>ItensPedido!B408</f>
        <v/>
      </c>
      <c r="C408" s="21">
        <f>ItensPedido!C408</f>
        <v/>
      </c>
      <c r="D408" s="21">
        <f>ItensPedido!D408</f>
        <v/>
      </c>
      <c r="E408" s="22">
        <f>ItensPedido!E408</f>
        <v/>
      </c>
      <c r="F408" s="21">
        <f>IFERROR(INDEX(Pedidos!$B$2:$B$1801,MATCH(B408,Pedidos!$A$2:$A$1801,0)),0)</f>
        <v/>
      </c>
      <c r="G408" s="21">
        <f>IF(F408=0,"",YEAR(F408))</f>
        <v/>
      </c>
      <c r="H408" s="21">
        <f>IF(F408=0,"",MONTH(F408))</f>
        <v/>
      </c>
      <c r="I408" s="21">
        <f>IFERROR(INDEX(Pedidos!$E$2:$E$1801,MATCH(B408,Pedidos!$A$2:$A$1801,0)),"")</f>
        <v/>
      </c>
      <c r="J408" s="21">
        <f>IFERROR(INDEX(Pedidos!$C$2:$C$1801,MATCH(B408,Pedidos!$A$2:$A$1801,0)),"")</f>
        <v/>
      </c>
      <c r="K408" s="21">
        <f>IFERROR(INDEX(Pedidos!$D$2:$D$1801,MATCH(B408,Pedidos!$A$2:$A$1801,0)),"")</f>
        <v/>
      </c>
      <c r="L408" s="21">
        <f>IFERROR(INDEX(Pedidos!$F$2:$F$1801,MATCH(B408,Pedidos!$A$2:$A$1801,0)),"")</f>
        <v/>
      </c>
      <c r="M408" s="22">
        <f>IFERROR(INDEX(Pedidos!$G$2:$G$1801,MATCH(B408,Pedidos!$A$2:$A$1801,0)),0)</f>
        <v/>
      </c>
      <c r="N408" s="21">
        <f>IFERROR(INDEX(Produtos!$B$2:$B$71,MATCH(C408,Produtos!$A$2:$A$71,0)),"")</f>
        <v/>
      </c>
      <c r="O408" s="21">
        <f>IFERROR(INDEX(Produtos!$C$2:$C$71,MATCH(C408,Produtos!$A$2:$A$71,0)),"")</f>
        <v/>
      </c>
      <c r="P408" s="21">
        <f>IFERROR(INDEX(Produtos!$D$2:$D$71,MATCH(C408,Produtos!$A$2:$A$71,0)),0)</f>
        <v/>
      </c>
      <c r="Q408" s="21">
        <f>IFERROR(INDEX(Produtos!$E$2:$E$71,MATCH(C408,Produtos!$A$2:$A$71,0)),0)</f>
        <v/>
      </c>
      <c r="R408" s="23">
        <f>D408*Q408</f>
        <v/>
      </c>
      <c r="S408" s="23">
        <f>R408*E408</f>
        <v/>
      </c>
      <c r="T408" s="23">
        <f>(R408-S408)*M408</f>
        <v/>
      </c>
      <c r="U408" s="23">
        <f>R408-S408-T408</f>
        <v/>
      </c>
      <c r="V408" s="23">
        <f>D408*P408</f>
        <v/>
      </c>
      <c r="W408" s="23">
        <f>U408-V408</f>
        <v/>
      </c>
      <c r="X408" s="24">
        <f>IFERROR(W408/U408,0)</f>
        <v/>
      </c>
    </row>
    <row r="409">
      <c r="A409" s="25">
        <f>ItensPedido!A409</f>
        <v/>
      </c>
      <c r="B409" s="25">
        <f>ItensPedido!B409</f>
        <v/>
      </c>
      <c r="C409" s="25">
        <f>ItensPedido!C409</f>
        <v/>
      </c>
      <c r="D409" s="25">
        <f>ItensPedido!D409</f>
        <v/>
      </c>
      <c r="E409" s="26">
        <f>ItensPedido!E409</f>
        <v/>
      </c>
      <c r="F409" s="25">
        <f>IFERROR(INDEX(Pedidos!$B$2:$B$1801,MATCH(B409,Pedidos!$A$2:$A$1801,0)),0)</f>
        <v/>
      </c>
      <c r="G409" s="25">
        <f>IF(F409=0,"",YEAR(F409))</f>
        <v/>
      </c>
      <c r="H409" s="25">
        <f>IF(F409=0,"",MONTH(F409))</f>
        <v/>
      </c>
      <c r="I409" s="25">
        <f>IFERROR(INDEX(Pedidos!$E$2:$E$1801,MATCH(B409,Pedidos!$A$2:$A$1801,0)),"")</f>
        <v/>
      </c>
      <c r="J409" s="25">
        <f>IFERROR(INDEX(Pedidos!$C$2:$C$1801,MATCH(B409,Pedidos!$A$2:$A$1801,0)),"")</f>
        <v/>
      </c>
      <c r="K409" s="25">
        <f>IFERROR(INDEX(Pedidos!$D$2:$D$1801,MATCH(B409,Pedidos!$A$2:$A$1801,0)),"")</f>
        <v/>
      </c>
      <c r="L409" s="25">
        <f>IFERROR(INDEX(Pedidos!$F$2:$F$1801,MATCH(B409,Pedidos!$A$2:$A$1801,0)),"")</f>
        <v/>
      </c>
      <c r="M409" s="26">
        <f>IFERROR(INDEX(Pedidos!$G$2:$G$1801,MATCH(B409,Pedidos!$A$2:$A$1801,0)),0)</f>
        <v/>
      </c>
      <c r="N409" s="25">
        <f>IFERROR(INDEX(Produtos!$B$2:$B$71,MATCH(C409,Produtos!$A$2:$A$71,0)),"")</f>
        <v/>
      </c>
      <c r="O409" s="25">
        <f>IFERROR(INDEX(Produtos!$C$2:$C$71,MATCH(C409,Produtos!$A$2:$A$71,0)),"")</f>
        <v/>
      </c>
      <c r="P409" s="25">
        <f>IFERROR(INDEX(Produtos!$D$2:$D$71,MATCH(C409,Produtos!$A$2:$A$71,0)),0)</f>
        <v/>
      </c>
      <c r="Q409" s="25">
        <f>IFERROR(INDEX(Produtos!$E$2:$E$71,MATCH(C409,Produtos!$A$2:$A$71,0)),0)</f>
        <v/>
      </c>
      <c r="R409" s="27">
        <f>D409*Q409</f>
        <v/>
      </c>
      <c r="S409" s="27">
        <f>R409*E409</f>
        <v/>
      </c>
      <c r="T409" s="27">
        <f>(R409-S409)*M409</f>
        <v/>
      </c>
      <c r="U409" s="27">
        <f>R409-S409-T409</f>
        <v/>
      </c>
      <c r="V409" s="27">
        <f>D409*P409</f>
        <v/>
      </c>
      <c r="W409" s="27">
        <f>U409-V409</f>
        <v/>
      </c>
      <c r="X409" s="28">
        <f>IFERROR(W409/U409,0)</f>
        <v/>
      </c>
    </row>
    <row r="410">
      <c r="A410" s="21">
        <f>ItensPedido!A410</f>
        <v/>
      </c>
      <c r="B410" s="21">
        <f>ItensPedido!B410</f>
        <v/>
      </c>
      <c r="C410" s="21">
        <f>ItensPedido!C410</f>
        <v/>
      </c>
      <c r="D410" s="21">
        <f>ItensPedido!D410</f>
        <v/>
      </c>
      <c r="E410" s="22">
        <f>ItensPedido!E410</f>
        <v/>
      </c>
      <c r="F410" s="21">
        <f>IFERROR(INDEX(Pedidos!$B$2:$B$1801,MATCH(B410,Pedidos!$A$2:$A$1801,0)),0)</f>
        <v/>
      </c>
      <c r="G410" s="21">
        <f>IF(F410=0,"",YEAR(F410))</f>
        <v/>
      </c>
      <c r="H410" s="21">
        <f>IF(F410=0,"",MONTH(F410))</f>
        <v/>
      </c>
      <c r="I410" s="21">
        <f>IFERROR(INDEX(Pedidos!$E$2:$E$1801,MATCH(B410,Pedidos!$A$2:$A$1801,0)),"")</f>
        <v/>
      </c>
      <c r="J410" s="21">
        <f>IFERROR(INDEX(Pedidos!$C$2:$C$1801,MATCH(B410,Pedidos!$A$2:$A$1801,0)),"")</f>
        <v/>
      </c>
      <c r="K410" s="21">
        <f>IFERROR(INDEX(Pedidos!$D$2:$D$1801,MATCH(B410,Pedidos!$A$2:$A$1801,0)),"")</f>
        <v/>
      </c>
      <c r="L410" s="21">
        <f>IFERROR(INDEX(Pedidos!$F$2:$F$1801,MATCH(B410,Pedidos!$A$2:$A$1801,0)),"")</f>
        <v/>
      </c>
      <c r="M410" s="22">
        <f>IFERROR(INDEX(Pedidos!$G$2:$G$1801,MATCH(B410,Pedidos!$A$2:$A$1801,0)),0)</f>
        <v/>
      </c>
      <c r="N410" s="21">
        <f>IFERROR(INDEX(Produtos!$B$2:$B$71,MATCH(C410,Produtos!$A$2:$A$71,0)),"")</f>
        <v/>
      </c>
      <c r="O410" s="21">
        <f>IFERROR(INDEX(Produtos!$C$2:$C$71,MATCH(C410,Produtos!$A$2:$A$71,0)),"")</f>
        <v/>
      </c>
      <c r="P410" s="21">
        <f>IFERROR(INDEX(Produtos!$D$2:$D$71,MATCH(C410,Produtos!$A$2:$A$71,0)),0)</f>
        <v/>
      </c>
      <c r="Q410" s="21">
        <f>IFERROR(INDEX(Produtos!$E$2:$E$71,MATCH(C410,Produtos!$A$2:$A$71,0)),0)</f>
        <v/>
      </c>
      <c r="R410" s="23">
        <f>D410*Q410</f>
        <v/>
      </c>
      <c r="S410" s="23">
        <f>R410*E410</f>
        <v/>
      </c>
      <c r="T410" s="23">
        <f>(R410-S410)*M410</f>
        <v/>
      </c>
      <c r="U410" s="23">
        <f>R410-S410-T410</f>
        <v/>
      </c>
      <c r="V410" s="23">
        <f>D410*P410</f>
        <v/>
      </c>
      <c r="W410" s="23">
        <f>U410-V410</f>
        <v/>
      </c>
      <c r="X410" s="24">
        <f>IFERROR(W410/U410,0)</f>
        <v/>
      </c>
    </row>
    <row r="411">
      <c r="A411" s="25">
        <f>ItensPedido!A411</f>
        <v/>
      </c>
      <c r="B411" s="25">
        <f>ItensPedido!B411</f>
        <v/>
      </c>
      <c r="C411" s="25">
        <f>ItensPedido!C411</f>
        <v/>
      </c>
      <c r="D411" s="25">
        <f>ItensPedido!D411</f>
        <v/>
      </c>
      <c r="E411" s="26">
        <f>ItensPedido!E411</f>
        <v/>
      </c>
      <c r="F411" s="25">
        <f>IFERROR(INDEX(Pedidos!$B$2:$B$1801,MATCH(B411,Pedidos!$A$2:$A$1801,0)),0)</f>
        <v/>
      </c>
      <c r="G411" s="25">
        <f>IF(F411=0,"",YEAR(F411))</f>
        <v/>
      </c>
      <c r="H411" s="25">
        <f>IF(F411=0,"",MONTH(F411))</f>
        <v/>
      </c>
      <c r="I411" s="25">
        <f>IFERROR(INDEX(Pedidos!$E$2:$E$1801,MATCH(B411,Pedidos!$A$2:$A$1801,0)),"")</f>
        <v/>
      </c>
      <c r="J411" s="25">
        <f>IFERROR(INDEX(Pedidos!$C$2:$C$1801,MATCH(B411,Pedidos!$A$2:$A$1801,0)),"")</f>
        <v/>
      </c>
      <c r="K411" s="25">
        <f>IFERROR(INDEX(Pedidos!$D$2:$D$1801,MATCH(B411,Pedidos!$A$2:$A$1801,0)),"")</f>
        <v/>
      </c>
      <c r="L411" s="25">
        <f>IFERROR(INDEX(Pedidos!$F$2:$F$1801,MATCH(B411,Pedidos!$A$2:$A$1801,0)),"")</f>
        <v/>
      </c>
      <c r="M411" s="26">
        <f>IFERROR(INDEX(Pedidos!$G$2:$G$1801,MATCH(B411,Pedidos!$A$2:$A$1801,0)),0)</f>
        <v/>
      </c>
      <c r="N411" s="25">
        <f>IFERROR(INDEX(Produtos!$B$2:$B$71,MATCH(C411,Produtos!$A$2:$A$71,0)),"")</f>
        <v/>
      </c>
      <c r="O411" s="25">
        <f>IFERROR(INDEX(Produtos!$C$2:$C$71,MATCH(C411,Produtos!$A$2:$A$71,0)),"")</f>
        <v/>
      </c>
      <c r="P411" s="25">
        <f>IFERROR(INDEX(Produtos!$D$2:$D$71,MATCH(C411,Produtos!$A$2:$A$71,0)),0)</f>
        <v/>
      </c>
      <c r="Q411" s="25">
        <f>IFERROR(INDEX(Produtos!$E$2:$E$71,MATCH(C411,Produtos!$A$2:$A$71,0)),0)</f>
        <v/>
      </c>
      <c r="R411" s="27">
        <f>D411*Q411</f>
        <v/>
      </c>
      <c r="S411" s="27">
        <f>R411*E411</f>
        <v/>
      </c>
      <c r="T411" s="27">
        <f>(R411-S411)*M411</f>
        <v/>
      </c>
      <c r="U411" s="27">
        <f>R411-S411-T411</f>
        <v/>
      </c>
      <c r="V411" s="27">
        <f>D411*P411</f>
        <v/>
      </c>
      <c r="W411" s="27">
        <f>U411-V411</f>
        <v/>
      </c>
      <c r="X411" s="28">
        <f>IFERROR(W411/U411,0)</f>
        <v/>
      </c>
    </row>
    <row r="412">
      <c r="A412" s="21">
        <f>ItensPedido!A412</f>
        <v/>
      </c>
      <c r="B412" s="21">
        <f>ItensPedido!B412</f>
        <v/>
      </c>
      <c r="C412" s="21">
        <f>ItensPedido!C412</f>
        <v/>
      </c>
      <c r="D412" s="21">
        <f>ItensPedido!D412</f>
        <v/>
      </c>
      <c r="E412" s="22">
        <f>ItensPedido!E412</f>
        <v/>
      </c>
      <c r="F412" s="21">
        <f>IFERROR(INDEX(Pedidos!$B$2:$B$1801,MATCH(B412,Pedidos!$A$2:$A$1801,0)),0)</f>
        <v/>
      </c>
      <c r="G412" s="21">
        <f>IF(F412=0,"",YEAR(F412))</f>
        <v/>
      </c>
      <c r="H412" s="21">
        <f>IF(F412=0,"",MONTH(F412))</f>
        <v/>
      </c>
      <c r="I412" s="21">
        <f>IFERROR(INDEX(Pedidos!$E$2:$E$1801,MATCH(B412,Pedidos!$A$2:$A$1801,0)),"")</f>
        <v/>
      </c>
      <c r="J412" s="21">
        <f>IFERROR(INDEX(Pedidos!$C$2:$C$1801,MATCH(B412,Pedidos!$A$2:$A$1801,0)),"")</f>
        <v/>
      </c>
      <c r="K412" s="21">
        <f>IFERROR(INDEX(Pedidos!$D$2:$D$1801,MATCH(B412,Pedidos!$A$2:$A$1801,0)),"")</f>
        <v/>
      </c>
      <c r="L412" s="21">
        <f>IFERROR(INDEX(Pedidos!$F$2:$F$1801,MATCH(B412,Pedidos!$A$2:$A$1801,0)),"")</f>
        <v/>
      </c>
      <c r="M412" s="22">
        <f>IFERROR(INDEX(Pedidos!$G$2:$G$1801,MATCH(B412,Pedidos!$A$2:$A$1801,0)),0)</f>
        <v/>
      </c>
      <c r="N412" s="21">
        <f>IFERROR(INDEX(Produtos!$B$2:$B$71,MATCH(C412,Produtos!$A$2:$A$71,0)),"")</f>
        <v/>
      </c>
      <c r="O412" s="21">
        <f>IFERROR(INDEX(Produtos!$C$2:$C$71,MATCH(C412,Produtos!$A$2:$A$71,0)),"")</f>
        <v/>
      </c>
      <c r="P412" s="21">
        <f>IFERROR(INDEX(Produtos!$D$2:$D$71,MATCH(C412,Produtos!$A$2:$A$71,0)),0)</f>
        <v/>
      </c>
      <c r="Q412" s="21">
        <f>IFERROR(INDEX(Produtos!$E$2:$E$71,MATCH(C412,Produtos!$A$2:$A$71,0)),0)</f>
        <v/>
      </c>
      <c r="R412" s="23">
        <f>D412*Q412</f>
        <v/>
      </c>
      <c r="S412" s="23">
        <f>R412*E412</f>
        <v/>
      </c>
      <c r="T412" s="23">
        <f>(R412-S412)*M412</f>
        <v/>
      </c>
      <c r="U412" s="23">
        <f>R412-S412-T412</f>
        <v/>
      </c>
      <c r="V412" s="23">
        <f>D412*P412</f>
        <v/>
      </c>
      <c r="W412" s="23">
        <f>U412-V412</f>
        <v/>
      </c>
      <c r="X412" s="24">
        <f>IFERROR(W412/U412,0)</f>
        <v/>
      </c>
    </row>
    <row r="413">
      <c r="A413" s="25">
        <f>ItensPedido!A413</f>
        <v/>
      </c>
      <c r="B413" s="25">
        <f>ItensPedido!B413</f>
        <v/>
      </c>
      <c r="C413" s="25">
        <f>ItensPedido!C413</f>
        <v/>
      </c>
      <c r="D413" s="25">
        <f>ItensPedido!D413</f>
        <v/>
      </c>
      <c r="E413" s="26">
        <f>ItensPedido!E413</f>
        <v/>
      </c>
      <c r="F413" s="25">
        <f>IFERROR(INDEX(Pedidos!$B$2:$B$1801,MATCH(B413,Pedidos!$A$2:$A$1801,0)),0)</f>
        <v/>
      </c>
      <c r="G413" s="25">
        <f>IF(F413=0,"",YEAR(F413))</f>
        <v/>
      </c>
      <c r="H413" s="25">
        <f>IF(F413=0,"",MONTH(F413))</f>
        <v/>
      </c>
      <c r="I413" s="25">
        <f>IFERROR(INDEX(Pedidos!$E$2:$E$1801,MATCH(B413,Pedidos!$A$2:$A$1801,0)),"")</f>
        <v/>
      </c>
      <c r="J413" s="25">
        <f>IFERROR(INDEX(Pedidos!$C$2:$C$1801,MATCH(B413,Pedidos!$A$2:$A$1801,0)),"")</f>
        <v/>
      </c>
      <c r="K413" s="25">
        <f>IFERROR(INDEX(Pedidos!$D$2:$D$1801,MATCH(B413,Pedidos!$A$2:$A$1801,0)),"")</f>
        <v/>
      </c>
      <c r="L413" s="25">
        <f>IFERROR(INDEX(Pedidos!$F$2:$F$1801,MATCH(B413,Pedidos!$A$2:$A$1801,0)),"")</f>
        <v/>
      </c>
      <c r="M413" s="26">
        <f>IFERROR(INDEX(Pedidos!$G$2:$G$1801,MATCH(B413,Pedidos!$A$2:$A$1801,0)),0)</f>
        <v/>
      </c>
      <c r="N413" s="25">
        <f>IFERROR(INDEX(Produtos!$B$2:$B$71,MATCH(C413,Produtos!$A$2:$A$71,0)),"")</f>
        <v/>
      </c>
      <c r="O413" s="25">
        <f>IFERROR(INDEX(Produtos!$C$2:$C$71,MATCH(C413,Produtos!$A$2:$A$71,0)),"")</f>
        <v/>
      </c>
      <c r="P413" s="25">
        <f>IFERROR(INDEX(Produtos!$D$2:$D$71,MATCH(C413,Produtos!$A$2:$A$71,0)),0)</f>
        <v/>
      </c>
      <c r="Q413" s="25">
        <f>IFERROR(INDEX(Produtos!$E$2:$E$71,MATCH(C413,Produtos!$A$2:$A$71,0)),0)</f>
        <v/>
      </c>
      <c r="R413" s="27">
        <f>D413*Q413</f>
        <v/>
      </c>
      <c r="S413" s="27">
        <f>R413*E413</f>
        <v/>
      </c>
      <c r="T413" s="27">
        <f>(R413-S413)*M413</f>
        <v/>
      </c>
      <c r="U413" s="27">
        <f>R413-S413-T413</f>
        <v/>
      </c>
      <c r="V413" s="27">
        <f>D413*P413</f>
        <v/>
      </c>
      <c r="W413" s="27">
        <f>U413-V413</f>
        <v/>
      </c>
      <c r="X413" s="28">
        <f>IFERROR(W413/U413,0)</f>
        <v/>
      </c>
    </row>
    <row r="414">
      <c r="A414" s="21">
        <f>ItensPedido!A414</f>
        <v/>
      </c>
      <c r="B414" s="21">
        <f>ItensPedido!B414</f>
        <v/>
      </c>
      <c r="C414" s="21">
        <f>ItensPedido!C414</f>
        <v/>
      </c>
      <c r="D414" s="21">
        <f>ItensPedido!D414</f>
        <v/>
      </c>
      <c r="E414" s="22">
        <f>ItensPedido!E414</f>
        <v/>
      </c>
      <c r="F414" s="21">
        <f>IFERROR(INDEX(Pedidos!$B$2:$B$1801,MATCH(B414,Pedidos!$A$2:$A$1801,0)),0)</f>
        <v/>
      </c>
      <c r="G414" s="21">
        <f>IF(F414=0,"",YEAR(F414))</f>
        <v/>
      </c>
      <c r="H414" s="21">
        <f>IF(F414=0,"",MONTH(F414))</f>
        <v/>
      </c>
      <c r="I414" s="21">
        <f>IFERROR(INDEX(Pedidos!$E$2:$E$1801,MATCH(B414,Pedidos!$A$2:$A$1801,0)),"")</f>
        <v/>
      </c>
      <c r="J414" s="21">
        <f>IFERROR(INDEX(Pedidos!$C$2:$C$1801,MATCH(B414,Pedidos!$A$2:$A$1801,0)),"")</f>
        <v/>
      </c>
      <c r="K414" s="21">
        <f>IFERROR(INDEX(Pedidos!$D$2:$D$1801,MATCH(B414,Pedidos!$A$2:$A$1801,0)),"")</f>
        <v/>
      </c>
      <c r="L414" s="21">
        <f>IFERROR(INDEX(Pedidos!$F$2:$F$1801,MATCH(B414,Pedidos!$A$2:$A$1801,0)),"")</f>
        <v/>
      </c>
      <c r="M414" s="22">
        <f>IFERROR(INDEX(Pedidos!$G$2:$G$1801,MATCH(B414,Pedidos!$A$2:$A$1801,0)),0)</f>
        <v/>
      </c>
      <c r="N414" s="21">
        <f>IFERROR(INDEX(Produtos!$B$2:$B$71,MATCH(C414,Produtos!$A$2:$A$71,0)),"")</f>
        <v/>
      </c>
      <c r="O414" s="21">
        <f>IFERROR(INDEX(Produtos!$C$2:$C$71,MATCH(C414,Produtos!$A$2:$A$71,0)),"")</f>
        <v/>
      </c>
      <c r="P414" s="21">
        <f>IFERROR(INDEX(Produtos!$D$2:$D$71,MATCH(C414,Produtos!$A$2:$A$71,0)),0)</f>
        <v/>
      </c>
      <c r="Q414" s="21">
        <f>IFERROR(INDEX(Produtos!$E$2:$E$71,MATCH(C414,Produtos!$A$2:$A$71,0)),0)</f>
        <v/>
      </c>
      <c r="R414" s="23">
        <f>D414*Q414</f>
        <v/>
      </c>
      <c r="S414" s="23">
        <f>R414*E414</f>
        <v/>
      </c>
      <c r="T414" s="23">
        <f>(R414-S414)*M414</f>
        <v/>
      </c>
      <c r="U414" s="23">
        <f>R414-S414-T414</f>
        <v/>
      </c>
      <c r="V414" s="23">
        <f>D414*P414</f>
        <v/>
      </c>
      <c r="W414" s="23">
        <f>U414-V414</f>
        <v/>
      </c>
      <c r="X414" s="24">
        <f>IFERROR(W414/U414,0)</f>
        <v/>
      </c>
    </row>
    <row r="415">
      <c r="A415" s="25">
        <f>ItensPedido!A415</f>
        <v/>
      </c>
      <c r="B415" s="25">
        <f>ItensPedido!B415</f>
        <v/>
      </c>
      <c r="C415" s="25">
        <f>ItensPedido!C415</f>
        <v/>
      </c>
      <c r="D415" s="25">
        <f>ItensPedido!D415</f>
        <v/>
      </c>
      <c r="E415" s="26">
        <f>ItensPedido!E415</f>
        <v/>
      </c>
      <c r="F415" s="25">
        <f>IFERROR(INDEX(Pedidos!$B$2:$B$1801,MATCH(B415,Pedidos!$A$2:$A$1801,0)),0)</f>
        <v/>
      </c>
      <c r="G415" s="25">
        <f>IF(F415=0,"",YEAR(F415))</f>
        <v/>
      </c>
      <c r="H415" s="25">
        <f>IF(F415=0,"",MONTH(F415))</f>
        <v/>
      </c>
      <c r="I415" s="25">
        <f>IFERROR(INDEX(Pedidos!$E$2:$E$1801,MATCH(B415,Pedidos!$A$2:$A$1801,0)),"")</f>
        <v/>
      </c>
      <c r="J415" s="25">
        <f>IFERROR(INDEX(Pedidos!$C$2:$C$1801,MATCH(B415,Pedidos!$A$2:$A$1801,0)),"")</f>
        <v/>
      </c>
      <c r="K415" s="25">
        <f>IFERROR(INDEX(Pedidos!$D$2:$D$1801,MATCH(B415,Pedidos!$A$2:$A$1801,0)),"")</f>
        <v/>
      </c>
      <c r="L415" s="25">
        <f>IFERROR(INDEX(Pedidos!$F$2:$F$1801,MATCH(B415,Pedidos!$A$2:$A$1801,0)),"")</f>
        <v/>
      </c>
      <c r="M415" s="26">
        <f>IFERROR(INDEX(Pedidos!$G$2:$G$1801,MATCH(B415,Pedidos!$A$2:$A$1801,0)),0)</f>
        <v/>
      </c>
      <c r="N415" s="25">
        <f>IFERROR(INDEX(Produtos!$B$2:$B$71,MATCH(C415,Produtos!$A$2:$A$71,0)),"")</f>
        <v/>
      </c>
      <c r="O415" s="25">
        <f>IFERROR(INDEX(Produtos!$C$2:$C$71,MATCH(C415,Produtos!$A$2:$A$71,0)),"")</f>
        <v/>
      </c>
      <c r="P415" s="25">
        <f>IFERROR(INDEX(Produtos!$D$2:$D$71,MATCH(C415,Produtos!$A$2:$A$71,0)),0)</f>
        <v/>
      </c>
      <c r="Q415" s="25">
        <f>IFERROR(INDEX(Produtos!$E$2:$E$71,MATCH(C415,Produtos!$A$2:$A$71,0)),0)</f>
        <v/>
      </c>
      <c r="R415" s="27">
        <f>D415*Q415</f>
        <v/>
      </c>
      <c r="S415" s="27">
        <f>R415*E415</f>
        <v/>
      </c>
      <c r="T415" s="27">
        <f>(R415-S415)*M415</f>
        <v/>
      </c>
      <c r="U415" s="27">
        <f>R415-S415-T415</f>
        <v/>
      </c>
      <c r="V415" s="27">
        <f>D415*P415</f>
        <v/>
      </c>
      <c r="W415" s="27">
        <f>U415-V415</f>
        <v/>
      </c>
      <c r="X415" s="28">
        <f>IFERROR(W415/U415,0)</f>
        <v/>
      </c>
    </row>
    <row r="416">
      <c r="A416" s="21">
        <f>ItensPedido!A416</f>
        <v/>
      </c>
      <c r="B416" s="21">
        <f>ItensPedido!B416</f>
        <v/>
      </c>
      <c r="C416" s="21">
        <f>ItensPedido!C416</f>
        <v/>
      </c>
      <c r="D416" s="21">
        <f>ItensPedido!D416</f>
        <v/>
      </c>
      <c r="E416" s="22">
        <f>ItensPedido!E416</f>
        <v/>
      </c>
      <c r="F416" s="21">
        <f>IFERROR(INDEX(Pedidos!$B$2:$B$1801,MATCH(B416,Pedidos!$A$2:$A$1801,0)),0)</f>
        <v/>
      </c>
      <c r="G416" s="21">
        <f>IF(F416=0,"",YEAR(F416))</f>
        <v/>
      </c>
      <c r="H416" s="21">
        <f>IF(F416=0,"",MONTH(F416))</f>
        <v/>
      </c>
      <c r="I416" s="21">
        <f>IFERROR(INDEX(Pedidos!$E$2:$E$1801,MATCH(B416,Pedidos!$A$2:$A$1801,0)),"")</f>
        <v/>
      </c>
      <c r="J416" s="21">
        <f>IFERROR(INDEX(Pedidos!$C$2:$C$1801,MATCH(B416,Pedidos!$A$2:$A$1801,0)),"")</f>
        <v/>
      </c>
      <c r="K416" s="21">
        <f>IFERROR(INDEX(Pedidos!$D$2:$D$1801,MATCH(B416,Pedidos!$A$2:$A$1801,0)),"")</f>
        <v/>
      </c>
      <c r="L416" s="21">
        <f>IFERROR(INDEX(Pedidos!$F$2:$F$1801,MATCH(B416,Pedidos!$A$2:$A$1801,0)),"")</f>
        <v/>
      </c>
      <c r="M416" s="22">
        <f>IFERROR(INDEX(Pedidos!$G$2:$G$1801,MATCH(B416,Pedidos!$A$2:$A$1801,0)),0)</f>
        <v/>
      </c>
      <c r="N416" s="21">
        <f>IFERROR(INDEX(Produtos!$B$2:$B$71,MATCH(C416,Produtos!$A$2:$A$71,0)),"")</f>
        <v/>
      </c>
      <c r="O416" s="21">
        <f>IFERROR(INDEX(Produtos!$C$2:$C$71,MATCH(C416,Produtos!$A$2:$A$71,0)),"")</f>
        <v/>
      </c>
      <c r="P416" s="21">
        <f>IFERROR(INDEX(Produtos!$D$2:$D$71,MATCH(C416,Produtos!$A$2:$A$71,0)),0)</f>
        <v/>
      </c>
      <c r="Q416" s="21">
        <f>IFERROR(INDEX(Produtos!$E$2:$E$71,MATCH(C416,Produtos!$A$2:$A$71,0)),0)</f>
        <v/>
      </c>
      <c r="R416" s="23">
        <f>D416*Q416</f>
        <v/>
      </c>
      <c r="S416" s="23">
        <f>R416*E416</f>
        <v/>
      </c>
      <c r="T416" s="23">
        <f>(R416-S416)*M416</f>
        <v/>
      </c>
      <c r="U416" s="23">
        <f>R416-S416-T416</f>
        <v/>
      </c>
      <c r="V416" s="23">
        <f>D416*P416</f>
        <v/>
      </c>
      <c r="W416" s="23">
        <f>U416-V416</f>
        <v/>
      </c>
      <c r="X416" s="24">
        <f>IFERROR(W416/U416,0)</f>
        <v/>
      </c>
    </row>
    <row r="417">
      <c r="A417" s="25">
        <f>ItensPedido!A417</f>
        <v/>
      </c>
      <c r="B417" s="25">
        <f>ItensPedido!B417</f>
        <v/>
      </c>
      <c r="C417" s="25">
        <f>ItensPedido!C417</f>
        <v/>
      </c>
      <c r="D417" s="25">
        <f>ItensPedido!D417</f>
        <v/>
      </c>
      <c r="E417" s="26">
        <f>ItensPedido!E417</f>
        <v/>
      </c>
      <c r="F417" s="25">
        <f>IFERROR(INDEX(Pedidos!$B$2:$B$1801,MATCH(B417,Pedidos!$A$2:$A$1801,0)),0)</f>
        <v/>
      </c>
      <c r="G417" s="25">
        <f>IF(F417=0,"",YEAR(F417))</f>
        <v/>
      </c>
      <c r="H417" s="25">
        <f>IF(F417=0,"",MONTH(F417))</f>
        <v/>
      </c>
      <c r="I417" s="25">
        <f>IFERROR(INDEX(Pedidos!$E$2:$E$1801,MATCH(B417,Pedidos!$A$2:$A$1801,0)),"")</f>
        <v/>
      </c>
      <c r="J417" s="25">
        <f>IFERROR(INDEX(Pedidos!$C$2:$C$1801,MATCH(B417,Pedidos!$A$2:$A$1801,0)),"")</f>
        <v/>
      </c>
      <c r="K417" s="25">
        <f>IFERROR(INDEX(Pedidos!$D$2:$D$1801,MATCH(B417,Pedidos!$A$2:$A$1801,0)),"")</f>
        <v/>
      </c>
      <c r="L417" s="25">
        <f>IFERROR(INDEX(Pedidos!$F$2:$F$1801,MATCH(B417,Pedidos!$A$2:$A$1801,0)),"")</f>
        <v/>
      </c>
      <c r="M417" s="26">
        <f>IFERROR(INDEX(Pedidos!$G$2:$G$1801,MATCH(B417,Pedidos!$A$2:$A$1801,0)),0)</f>
        <v/>
      </c>
      <c r="N417" s="25">
        <f>IFERROR(INDEX(Produtos!$B$2:$B$71,MATCH(C417,Produtos!$A$2:$A$71,0)),"")</f>
        <v/>
      </c>
      <c r="O417" s="25">
        <f>IFERROR(INDEX(Produtos!$C$2:$C$71,MATCH(C417,Produtos!$A$2:$A$71,0)),"")</f>
        <v/>
      </c>
      <c r="P417" s="25">
        <f>IFERROR(INDEX(Produtos!$D$2:$D$71,MATCH(C417,Produtos!$A$2:$A$71,0)),0)</f>
        <v/>
      </c>
      <c r="Q417" s="25">
        <f>IFERROR(INDEX(Produtos!$E$2:$E$71,MATCH(C417,Produtos!$A$2:$A$71,0)),0)</f>
        <v/>
      </c>
      <c r="R417" s="27">
        <f>D417*Q417</f>
        <v/>
      </c>
      <c r="S417" s="27">
        <f>R417*E417</f>
        <v/>
      </c>
      <c r="T417" s="27">
        <f>(R417-S417)*M417</f>
        <v/>
      </c>
      <c r="U417" s="27">
        <f>R417-S417-T417</f>
        <v/>
      </c>
      <c r="V417" s="27">
        <f>D417*P417</f>
        <v/>
      </c>
      <c r="W417" s="27">
        <f>U417-V417</f>
        <v/>
      </c>
      <c r="X417" s="28">
        <f>IFERROR(W417/U417,0)</f>
        <v/>
      </c>
    </row>
    <row r="418">
      <c r="A418" s="21">
        <f>ItensPedido!A418</f>
        <v/>
      </c>
      <c r="B418" s="21">
        <f>ItensPedido!B418</f>
        <v/>
      </c>
      <c r="C418" s="21">
        <f>ItensPedido!C418</f>
        <v/>
      </c>
      <c r="D418" s="21">
        <f>ItensPedido!D418</f>
        <v/>
      </c>
      <c r="E418" s="22">
        <f>ItensPedido!E418</f>
        <v/>
      </c>
      <c r="F418" s="21">
        <f>IFERROR(INDEX(Pedidos!$B$2:$B$1801,MATCH(B418,Pedidos!$A$2:$A$1801,0)),0)</f>
        <v/>
      </c>
      <c r="G418" s="21">
        <f>IF(F418=0,"",YEAR(F418))</f>
        <v/>
      </c>
      <c r="H418" s="21">
        <f>IF(F418=0,"",MONTH(F418))</f>
        <v/>
      </c>
      <c r="I418" s="21">
        <f>IFERROR(INDEX(Pedidos!$E$2:$E$1801,MATCH(B418,Pedidos!$A$2:$A$1801,0)),"")</f>
        <v/>
      </c>
      <c r="J418" s="21">
        <f>IFERROR(INDEX(Pedidos!$C$2:$C$1801,MATCH(B418,Pedidos!$A$2:$A$1801,0)),"")</f>
        <v/>
      </c>
      <c r="K418" s="21">
        <f>IFERROR(INDEX(Pedidos!$D$2:$D$1801,MATCH(B418,Pedidos!$A$2:$A$1801,0)),"")</f>
        <v/>
      </c>
      <c r="L418" s="21">
        <f>IFERROR(INDEX(Pedidos!$F$2:$F$1801,MATCH(B418,Pedidos!$A$2:$A$1801,0)),"")</f>
        <v/>
      </c>
      <c r="M418" s="22">
        <f>IFERROR(INDEX(Pedidos!$G$2:$G$1801,MATCH(B418,Pedidos!$A$2:$A$1801,0)),0)</f>
        <v/>
      </c>
      <c r="N418" s="21">
        <f>IFERROR(INDEX(Produtos!$B$2:$B$71,MATCH(C418,Produtos!$A$2:$A$71,0)),"")</f>
        <v/>
      </c>
      <c r="O418" s="21">
        <f>IFERROR(INDEX(Produtos!$C$2:$C$71,MATCH(C418,Produtos!$A$2:$A$71,0)),"")</f>
        <v/>
      </c>
      <c r="P418" s="21">
        <f>IFERROR(INDEX(Produtos!$D$2:$D$71,MATCH(C418,Produtos!$A$2:$A$71,0)),0)</f>
        <v/>
      </c>
      <c r="Q418" s="21">
        <f>IFERROR(INDEX(Produtos!$E$2:$E$71,MATCH(C418,Produtos!$A$2:$A$71,0)),0)</f>
        <v/>
      </c>
      <c r="R418" s="23">
        <f>D418*Q418</f>
        <v/>
      </c>
      <c r="S418" s="23">
        <f>R418*E418</f>
        <v/>
      </c>
      <c r="T418" s="23">
        <f>(R418-S418)*M418</f>
        <v/>
      </c>
      <c r="U418" s="23">
        <f>R418-S418-T418</f>
        <v/>
      </c>
      <c r="V418" s="23">
        <f>D418*P418</f>
        <v/>
      </c>
      <c r="W418" s="23">
        <f>U418-V418</f>
        <v/>
      </c>
      <c r="X418" s="24">
        <f>IFERROR(W418/U418,0)</f>
        <v/>
      </c>
    </row>
    <row r="419">
      <c r="A419" s="25">
        <f>ItensPedido!A419</f>
        <v/>
      </c>
      <c r="B419" s="25">
        <f>ItensPedido!B419</f>
        <v/>
      </c>
      <c r="C419" s="25">
        <f>ItensPedido!C419</f>
        <v/>
      </c>
      <c r="D419" s="25">
        <f>ItensPedido!D419</f>
        <v/>
      </c>
      <c r="E419" s="26">
        <f>ItensPedido!E419</f>
        <v/>
      </c>
      <c r="F419" s="25">
        <f>IFERROR(INDEX(Pedidos!$B$2:$B$1801,MATCH(B419,Pedidos!$A$2:$A$1801,0)),0)</f>
        <v/>
      </c>
      <c r="G419" s="25">
        <f>IF(F419=0,"",YEAR(F419))</f>
        <v/>
      </c>
      <c r="H419" s="25">
        <f>IF(F419=0,"",MONTH(F419))</f>
        <v/>
      </c>
      <c r="I419" s="25">
        <f>IFERROR(INDEX(Pedidos!$E$2:$E$1801,MATCH(B419,Pedidos!$A$2:$A$1801,0)),"")</f>
        <v/>
      </c>
      <c r="J419" s="25">
        <f>IFERROR(INDEX(Pedidos!$C$2:$C$1801,MATCH(B419,Pedidos!$A$2:$A$1801,0)),"")</f>
        <v/>
      </c>
      <c r="K419" s="25">
        <f>IFERROR(INDEX(Pedidos!$D$2:$D$1801,MATCH(B419,Pedidos!$A$2:$A$1801,0)),"")</f>
        <v/>
      </c>
      <c r="L419" s="25">
        <f>IFERROR(INDEX(Pedidos!$F$2:$F$1801,MATCH(B419,Pedidos!$A$2:$A$1801,0)),"")</f>
        <v/>
      </c>
      <c r="M419" s="26">
        <f>IFERROR(INDEX(Pedidos!$G$2:$G$1801,MATCH(B419,Pedidos!$A$2:$A$1801,0)),0)</f>
        <v/>
      </c>
      <c r="N419" s="25">
        <f>IFERROR(INDEX(Produtos!$B$2:$B$71,MATCH(C419,Produtos!$A$2:$A$71,0)),"")</f>
        <v/>
      </c>
      <c r="O419" s="25">
        <f>IFERROR(INDEX(Produtos!$C$2:$C$71,MATCH(C419,Produtos!$A$2:$A$71,0)),"")</f>
        <v/>
      </c>
      <c r="P419" s="25">
        <f>IFERROR(INDEX(Produtos!$D$2:$D$71,MATCH(C419,Produtos!$A$2:$A$71,0)),0)</f>
        <v/>
      </c>
      <c r="Q419" s="25">
        <f>IFERROR(INDEX(Produtos!$E$2:$E$71,MATCH(C419,Produtos!$A$2:$A$71,0)),0)</f>
        <v/>
      </c>
      <c r="R419" s="27">
        <f>D419*Q419</f>
        <v/>
      </c>
      <c r="S419" s="27">
        <f>R419*E419</f>
        <v/>
      </c>
      <c r="T419" s="27">
        <f>(R419-S419)*M419</f>
        <v/>
      </c>
      <c r="U419" s="27">
        <f>R419-S419-T419</f>
        <v/>
      </c>
      <c r="V419" s="27">
        <f>D419*P419</f>
        <v/>
      </c>
      <c r="W419" s="27">
        <f>U419-V419</f>
        <v/>
      </c>
      <c r="X419" s="28">
        <f>IFERROR(W419/U419,0)</f>
        <v/>
      </c>
    </row>
    <row r="420">
      <c r="A420" s="21">
        <f>ItensPedido!A420</f>
        <v/>
      </c>
      <c r="B420" s="21">
        <f>ItensPedido!B420</f>
        <v/>
      </c>
      <c r="C420" s="21">
        <f>ItensPedido!C420</f>
        <v/>
      </c>
      <c r="D420" s="21">
        <f>ItensPedido!D420</f>
        <v/>
      </c>
      <c r="E420" s="22">
        <f>ItensPedido!E420</f>
        <v/>
      </c>
      <c r="F420" s="21">
        <f>IFERROR(INDEX(Pedidos!$B$2:$B$1801,MATCH(B420,Pedidos!$A$2:$A$1801,0)),0)</f>
        <v/>
      </c>
      <c r="G420" s="21">
        <f>IF(F420=0,"",YEAR(F420))</f>
        <v/>
      </c>
      <c r="H420" s="21">
        <f>IF(F420=0,"",MONTH(F420))</f>
        <v/>
      </c>
      <c r="I420" s="21">
        <f>IFERROR(INDEX(Pedidos!$E$2:$E$1801,MATCH(B420,Pedidos!$A$2:$A$1801,0)),"")</f>
        <v/>
      </c>
      <c r="J420" s="21">
        <f>IFERROR(INDEX(Pedidos!$C$2:$C$1801,MATCH(B420,Pedidos!$A$2:$A$1801,0)),"")</f>
        <v/>
      </c>
      <c r="K420" s="21">
        <f>IFERROR(INDEX(Pedidos!$D$2:$D$1801,MATCH(B420,Pedidos!$A$2:$A$1801,0)),"")</f>
        <v/>
      </c>
      <c r="L420" s="21">
        <f>IFERROR(INDEX(Pedidos!$F$2:$F$1801,MATCH(B420,Pedidos!$A$2:$A$1801,0)),"")</f>
        <v/>
      </c>
      <c r="M420" s="22">
        <f>IFERROR(INDEX(Pedidos!$G$2:$G$1801,MATCH(B420,Pedidos!$A$2:$A$1801,0)),0)</f>
        <v/>
      </c>
      <c r="N420" s="21">
        <f>IFERROR(INDEX(Produtos!$B$2:$B$71,MATCH(C420,Produtos!$A$2:$A$71,0)),"")</f>
        <v/>
      </c>
      <c r="O420" s="21">
        <f>IFERROR(INDEX(Produtos!$C$2:$C$71,MATCH(C420,Produtos!$A$2:$A$71,0)),"")</f>
        <v/>
      </c>
      <c r="P420" s="21">
        <f>IFERROR(INDEX(Produtos!$D$2:$D$71,MATCH(C420,Produtos!$A$2:$A$71,0)),0)</f>
        <v/>
      </c>
      <c r="Q420" s="21">
        <f>IFERROR(INDEX(Produtos!$E$2:$E$71,MATCH(C420,Produtos!$A$2:$A$71,0)),0)</f>
        <v/>
      </c>
      <c r="R420" s="23">
        <f>D420*Q420</f>
        <v/>
      </c>
      <c r="S420" s="23">
        <f>R420*E420</f>
        <v/>
      </c>
      <c r="T420" s="23">
        <f>(R420-S420)*M420</f>
        <v/>
      </c>
      <c r="U420" s="23">
        <f>R420-S420-T420</f>
        <v/>
      </c>
      <c r="V420" s="23">
        <f>D420*P420</f>
        <v/>
      </c>
      <c r="W420" s="23">
        <f>U420-V420</f>
        <v/>
      </c>
      <c r="X420" s="24">
        <f>IFERROR(W420/U420,0)</f>
        <v/>
      </c>
    </row>
    <row r="421">
      <c r="A421" s="25">
        <f>ItensPedido!A421</f>
        <v/>
      </c>
      <c r="B421" s="25">
        <f>ItensPedido!B421</f>
        <v/>
      </c>
      <c r="C421" s="25">
        <f>ItensPedido!C421</f>
        <v/>
      </c>
      <c r="D421" s="25">
        <f>ItensPedido!D421</f>
        <v/>
      </c>
      <c r="E421" s="26">
        <f>ItensPedido!E421</f>
        <v/>
      </c>
      <c r="F421" s="25">
        <f>IFERROR(INDEX(Pedidos!$B$2:$B$1801,MATCH(B421,Pedidos!$A$2:$A$1801,0)),0)</f>
        <v/>
      </c>
      <c r="G421" s="25">
        <f>IF(F421=0,"",YEAR(F421))</f>
        <v/>
      </c>
      <c r="H421" s="25">
        <f>IF(F421=0,"",MONTH(F421))</f>
        <v/>
      </c>
      <c r="I421" s="25">
        <f>IFERROR(INDEX(Pedidos!$E$2:$E$1801,MATCH(B421,Pedidos!$A$2:$A$1801,0)),"")</f>
        <v/>
      </c>
      <c r="J421" s="25">
        <f>IFERROR(INDEX(Pedidos!$C$2:$C$1801,MATCH(B421,Pedidos!$A$2:$A$1801,0)),"")</f>
        <v/>
      </c>
      <c r="K421" s="25">
        <f>IFERROR(INDEX(Pedidos!$D$2:$D$1801,MATCH(B421,Pedidos!$A$2:$A$1801,0)),"")</f>
        <v/>
      </c>
      <c r="L421" s="25">
        <f>IFERROR(INDEX(Pedidos!$F$2:$F$1801,MATCH(B421,Pedidos!$A$2:$A$1801,0)),"")</f>
        <v/>
      </c>
      <c r="M421" s="26">
        <f>IFERROR(INDEX(Pedidos!$G$2:$G$1801,MATCH(B421,Pedidos!$A$2:$A$1801,0)),0)</f>
        <v/>
      </c>
      <c r="N421" s="25">
        <f>IFERROR(INDEX(Produtos!$B$2:$B$71,MATCH(C421,Produtos!$A$2:$A$71,0)),"")</f>
        <v/>
      </c>
      <c r="O421" s="25">
        <f>IFERROR(INDEX(Produtos!$C$2:$C$71,MATCH(C421,Produtos!$A$2:$A$71,0)),"")</f>
        <v/>
      </c>
      <c r="P421" s="25">
        <f>IFERROR(INDEX(Produtos!$D$2:$D$71,MATCH(C421,Produtos!$A$2:$A$71,0)),0)</f>
        <v/>
      </c>
      <c r="Q421" s="25">
        <f>IFERROR(INDEX(Produtos!$E$2:$E$71,MATCH(C421,Produtos!$A$2:$A$71,0)),0)</f>
        <v/>
      </c>
      <c r="R421" s="27">
        <f>D421*Q421</f>
        <v/>
      </c>
      <c r="S421" s="27">
        <f>R421*E421</f>
        <v/>
      </c>
      <c r="T421" s="27">
        <f>(R421-S421)*M421</f>
        <v/>
      </c>
      <c r="U421" s="27">
        <f>R421-S421-T421</f>
        <v/>
      </c>
      <c r="V421" s="27">
        <f>D421*P421</f>
        <v/>
      </c>
      <c r="W421" s="27">
        <f>U421-V421</f>
        <v/>
      </c>
      <c r="X421" s="28">
        <f>IFERROR(W421/U421,0)</f>
        <v/>
      </c>
    </row>
    <row r="422">
      <c r="A422" s="21">
        <f>ItensPedido!A422</f>
        <v/>
      </c>
      <c r="B422" s="21">
        <f>ItensPedido!B422</f>
        <v/>
      </c>
      <c r="C422" s="21">
        <f>ItensPedido!C422</f>
        <v/>
      </c>
      <c r="D422" s="21">
        <f>ItensPedido!D422</f>
        <v/>
      </c>
      <c r="E422" s="22">
        <f>ItensPedido!E422</f>
        <v/>
      </c>
      <c r="F422" s="21">
        <f>IFERROR(INDEX(Pedidos!$B$2:$B$1801,MATCH(B422,Pedidos!$A$2:$A$1801,0)),0)</f>
        <v/>
      </c>
      <c r="G422" s="21">
        <f>IF(F422=0,"",YEAR(F422))</f>
        <v/>
      </c>
      <c r="H422" s="21">
        <f>IF(F422=0,"",MONTH(F422))</f>
        <v/>
      </c>
      <c r="I422" s="21">
        <f>IFERROR(INDEX(Pedidos!$E$2:$E$1801,MATCH(B422,Pedidos!$A$2:$A$1801,0)),"")</f>
        <v/>
      </c>
      <c r="J422" s="21">
        <f>IFERROR(INDEX(Pedidos!$C$2:$C$1801,MATCH(B422,Pedidos!$A$2:$A$1801,0)),"")</f>
        <v/>
      </c>
      <c r="K422" s="21">
        <f>IFERROR(INDEX(Pedidos!$D$2:$D$1801,MATCH(B422,Pedidos!$A$2:$A$1801,0)),"")</f>
        <v/>
      </c>
      <c r="L422" s="21">
        <f>IFERROR(INDEX(Pedidos!$F$2:$F$1801,MATCH(B422,Pedidos!$A$2:$A$1801,0)),"")</f>
        <v/>
      </c>
      <c r="M422" s="22">
        <f>IFERROR(INDEX(Pedidos!$G$2:$G$1801,MATCH(B422,Pedidos!$A$2:$A$1801,0)),0)</f>
        <v/>
      </c>
      <c r="N422" s="21">
        <f>IFERROR(INDEX(Produtos!$B$2:$B$71,MATCH(C422,Produtos!$A$2:$A$71,0)),"")</f>
        <v/>
      </c>
      <c r="O422" s="21">
        <f>IFERROR(INDEX(Produtos!$C$2:$C$71,MATCH(C422,Produtos!$A$2:$A$71,0)),"")</f>
        <v/>
      </c>
      <c r="P422" s="21">
        <f>IFERROR(INDEX(Produtos!$D$2:$D$71,MATCH(C422,Produtos!$A$2:$A$71,0)),0)</f>
        <v/>
      </c>
      <c r="Q422" s="21">
        <f>IFERROR(INDEX(Produtos!$E$2:$E$71,MATCH(C422,Produtos!$A$2:$A$71,0)),0)</f>
        <v/>
      </c>
      <c r="R422" s="23">
        <f>D422*Q422</f>
        <v/>
      </c>
      <c r="S422" s="23">
        <f>R422*E422</f>
        <v/>
      </c>
      <c r="T422" s="23">
        <f>(R422-S422)*M422</f>
        <v/>
      </c>
      <c r="U422" s="23">
        <f>R422-S422-T422</f>
        <v/>
      </c>
      <c r="V422" s="23">
        <f>D422*P422</f>
        <v/>
      </c>
      <c r="W422" s="23">
        <f>U422-V422</f>
        <v/>
      </c>
      <c r="X422" s="24">
        <f>IFERROR(W422/U422,0)</f>
        <v/>
      </c>
    </row>
    <row r="423">
      <c r="A423" s="25">
        <f>ItensPedido!A423</f>
        <v/>
      </c>
      <c r="B423" s="25">
        <f>ItensPedido!B423</f>
        <v/>
      </c>
      <c r="C423" s="25">
        <f>ItensPedido!C423</f>
        <v/>
      </c>
      <c r="D423" s="25">
        <f>ItensPedido!D423</f>
        <v/>
      </c>
      <c r="E423" s="26">
        <f>ItensPedido!E423</f>
        <v/>
      </c>
      <c r="F423" s="25">
        <f>IFERROR(INDEX(Pedidos!$B$2:$B$1801,MATCH(B423,Pedidos!$A$2:$A$1801,0)),0)</f>
        <v/>
      </c>
      <c r="G423" s="25">
        <f>IF(F423=0,"",YEAR(F423))</f>
        <v/>
      </c>
      <c r="H423" s="25">
        <f>IF(F423=0,"",MONTH(F423))</f>
        <v/>
      </c>
      <c r="I423" s="25">
        <f>IFERROR(INDEX(Pedidos!$E$2:$E$1801,MATCH(B423,Pedidos!$A$2:$A$1801,0)),"")</f>
        <v/>
      </c>
      <c r="J423" s="25">
        <f>IFERROR(INDEX(Pedidos!$C$2:$C$1801,MATCH(B423,Pedidos!$A$2:$A$1801,0)),"")</f>
        <v/>
      </c>
      <c r="K423" s="25">
        <f>IFERROR(INDEX(Pedidos!$D$2:$D$1801,MATCH(B423,Pedidos!$A$2:$A$1801,0)),"")</f>
        <v/>
      </c>
      <c r="L423" s="25">
        <f>IFERROR(INDEX(Pedidos!$F$2:$F$1801,MATCH(B423,Pedidos!$A$2:$A$1801,0)),"")</f>
        <v/>
      </c>
      <c r="M423" s="26">
        <f>IFERROR(INDEX(Pedidos!$G$2:$G$1801,MATCH(B423,Pedidos!$A$2:$A$1801,0)),0)</f>
        <v/>
      </c>
      <c r="N423" s="25">
        <f>IFERROR(INDEX(Produtos!$B$2:$B$71,MATCH(C423,Produtos!$A$2:$A$71,0)),"")</f>
        <v/>
      </c>
      <c r="O423" s="25">
        <f>IFERROR(INDEX(Produtos!$C$2:$C$71,MATCH(C423,Produtos!$A$2:$A$71,0)),"")</f>
        <v/>
      </c>
      <c r="P423" s="25">
        <f>IFERROR(INDEX(Produtos!$D$2:$D$71,MATCH(C423,Produtos!$A$2:$A$71,0)),0)</f>
        <v/>
      </c>
      <c r="Q423" s="25">
        <f>IFERROR(INDEX(Produtos!$E$2:$E$71,MATCH(C423,Produtos!$A$2:$A$71,0)),0)</f>
        <v/>
      </c>
      <c r="R423" s="27">
        <f>D423*Q423</f>
        <v/>
      </c>
      <c r="S423" s="27">
        <f>R423*E423</f>
        <v/>
      </c>
      <c r="T423" s="27">
        <f>(R423-S423)*M423</f>
        <v/>
      </c>
      <c r="U423" s="27">
        <f>R423-S423-T423</f>
        <v/>
      </c>
      <c r="V423" s="27">
        <f>D423*P423</f>
        <v/>
      </c>
      <c r="W423" s="27">
        <f>U423-V423</f>
        <v/>
      </c>
      <c r="X423" s="28">
        <f>IFERROR(W423/U423,0)</f>
        <v/>
      </c>
    </row>
    <row r="424">
      <c r="A424" s="21">
        <f>ItensPedido!A424</f>
        <v/>
      </c>
      <c r="B424" s="21">
        <f>ItensPedido!B424</f>
        <v/>
      </c>
      <c r="C424" s="21">
        <f>ItensPedido!C424</f>
        <v/>
      </c>
      <c r="D424" s="21">
        <f>ItensPedido!D424</f>
        <v/>
      </c>
      <c r="E424" s="22">
        <f>ItensPedido!E424</f>
        <v/>
      </c>
      <c r="F424" s="21">
        <f>IFERROR(INDEX(Pedidos!$B$2:$B$1801,MATCH(B424,Pedidos!$A$2:$A$1801,0)),0)</f>
        <v/>
      </c>
      <c r="G424" s="21">
        <f>IF(F424=0,"",YEAR(F424))</f>
        <v/>
      </c>
      <c r="H424" s="21">
        <f>IF(F424=0,"",MONTH(F424))</f>
        <v/>
      </c>
      <c r="I424" s="21">
        <f>IFERROR(INDEX(Pedidos!$E$2:$E$1801,MATCH(B424,Pedidos!$A$2:$A$1801,0)),"")</f>
        <v/>
      </c>
      <c r="J424" s="21">
        <f>IFERROR(INDEX(Pedidos!$C$2:$C$1801,MATCH(B424,Pedidos!$A$2:$A$1801,0)),"")</f>
        <v/>
      </c>
      <c r="K424" s="21">
        <f>IFERROR(INDEX(Pedidos!$D$2:$D$1801,MATCH(B424,Pedidos!$A$2:$A$1801,0)),"")</f>
        <v/>
      </c>
      <c r="L424" s="21">
        <f>IFERROR(INDEX(Pedidos!$F$2:$F$1801,MATCH(B424,Pedidos!$A$2:$A$1801,0)),"")</f>
        <v/>
      </c>
      <c r="M424" s="22">
        <f>IFERROR(INDEX(Pedidos!$G$2:$G$1801,MATCH(B424,Pedidos!$A$2:$A$1801,0)),0)</f>
        <v/>
      </c>
      <c r="N424" s="21">
        <f>IFERROR(INDEX(Produtos!$B$2:$B$71,MATCH(C424,Produtos!$A$2:$A$71,0)),"")</f>
        <v/>
      </c>
      <c r="O424" s="21">
        <f>IFERROR(INDEX(Produtos!$C$2:$C$71,MATCH(C424,Produtos!$A$2:$A$71,0)),"")</f>
        <v/>
      </c>
      <c r="P424" s="21">
        <f>IFERROR(INDEX(Produtos!$D$2:$D$71,MATCH(C424,Produtos!$A$2:$A$71,0)),0)</f>
        <v/>
      </c>
      <c r="Q424" s="21">
        <f>IFERROR(INDEX(Produtos!$E$2:$E$71,MATCH(C424,Produtos!$A$2:$A$71,0)),0)</f>
        <v/>
      </c>
      <c r="R424" s="23">
        <f>D424*Q424</f>
        <v/>
      </c>
      <c r="S424" s="23">
        <f>R424*E424</f>
        <v/>
      </c>
      <c r="T424" s="23">
        <f>(R424-S424)*M424</f>
        <v/>
      </c>
      <c r="U424" s="23">
        <f>R424-S424-T424</f>
        <v/>
      </c>
      <c r="V424" s="23">
        <f>D424*P424</f>
        <v/>
      </c>
      <c r="W424" s="23">
        <f>U424-V424</f>
        <v/>
      </c>
      <c r="X424" s="24">
        <f>IFERROR(W424/U424,0)</f>
        <v/>
      </c>
    </row>
    <row r="425">
      <c r="A425" s="25">
        <f>ItensPedido!A425</f>
        <v/>
      </c>
      <c r="B425" s="25">
        <f>ItensPedido!B425</f>
        <v/>
      </c>
      <c r="C425" s="25">
        <f>ItensPedido!C425</f>
        <v/>
      </c>
      <c r="D425" s="25">
        <f>ItensPedido!D425</f>
        <v/>
      </c>
      <c r="E425" s="26">
        <f>ItensPedido!E425</f>
        <v/>
      </c>
      <c r="F425" s="25">
        <f>IFERROR(INDEX(Pedidos!$B$2:$B$1801,MATCH(B425,Pedidos!$A$2:$A$1801,0)),0)</f>
        <v/>
      </c>
      <c r="G425" s="25">
        <f>IF(F425=0,"",YEAR(F425))</f>
        <v/>
      </c>
      <c r="H425" s="25">
        <f>IF(F425=0,"",MONTH(F425))</f>
        <v/>
      </c>
      <c r="I425" s="25">
        <f>IFERROR(INDEX(Pedidos!$E$2:$E$1801,MATCH(B425,Pedidos!$A$2:$A$1801,0)),"")</f>
        <v/>
      </c>
      <c r="J425" s="25">
        <f>IFERROR(INDEX(Pedidos!$C$2:$C$1801,MATCH(B425,Pedidos!$A$2:$A$1801,0)),"")</f>
        <v/>
      </c>
      <c r="K425" s="25">
        <f>IFERROR(INDEX(Pedidos!$D$2:$D$1801,MATCH(B425,Pedidos!$A$2:$A$1801,0)),"")</f>
        <v/>
      </c>
      <c r="L425" s="25">
        <f>IFERROR(INDEX(Pedidos!$F$2:$F$1801,MATCH(B425,Pedidos!$A$2:$A$1801,0)),"")</f>
        <v/>
      </c>
      <c r="M425" s="26">
        <f>IFERROR(INDEX(Pedidos!$G$2:$G$1801,MATCH(B425,Pedidos!$A$2:$A$1801,0)),0)</f>
        <v/>
      </c>
      <c r="N425" s="25">
        <f>IFERROR(INDEX(Produtos!$B$2:$B$71,MATCH(C425,Produtos!$A$2:$A$71,0)),"")</f>
        <v/>
      </c>
      <c r="O425" s="25">
        <f>IFERROR(INDEX(Produtos!$C$2:$C$71,MATCH(C425,Produtos!$A$2:$A$71,0)),"")</f>
        <v/>
      </c>
      <c r="P425" s="25">
        <f>IFERROR(INDEX(Produtos!$D$2:$D$71,MATCH(C425,Produtos!$A$2:$A$71,0)),0)</f>
        <v/>
      </c>
      <c r="Q425" s="25">
        <f>IFERROR(INDEX(Produtos!$E$2:$E$71,MATCH(C425,Produtos!$A$2:$A$71,0)),0)</f>
        <v/>
      </c>
      <c r="R425" s="27">
        <f>D425*Q425</f>
        <v/>
      </c>
      <c r="S425" s="27">
        <f>R425*E425</f>
        <v/>
      </c>
      <c r="T425" s="27">
        <f>(R425-S425)*M425</f>
        <v/>
      </c>
      <c r="U425" s="27">
        <f>R425-S425-T425</f>
        <v/>
      </c>
      <c r="V425" s="27">
        <f>D425*P425</f>
        <v/>
      </c>
      <c r="W425" s="27">
        <f>U425-V425</f>
        <v/>
      </c>
      <c r="X425" s="28">
        <f>IFERROR(W425/U425,0)</f>
        <v/>
      </c>
    </row>
    <row r="426">
      <c r="A426" s="21">
        <f>ItensPedido!A426</f>
        <v/>
      </c>
      <c r="B426" s="21">
        <f>ItensPedido!B426</f>
        <v/>
      </c>
      <c r="C426" s="21">
        <f>ItensPedido!C426</f>
        <v/>
      </c>
      <c r="D426" s="21">
        <f>ItensPedido!D426</f>
        <v/>
      </c>
      <c r="E426" s="22">
        <f>ItensPedido!E426</f>
        <v/>
      </c>
      <c r="F426" s="21">
        <f>IFERROR(INDEX(Pedidos!$B$2:$B$1801,MATCH(B426,Pedidos!$A$2:$A$1801,0)),0)</f>
        <v/>
      </c>
      <c r="G426" s="21">
        <f>IF(F426=0,"",YEAR(F426))</f>
        <v/>
      </c>
      <c r="H426" s="21">
        <f>IF(F426=0,"",MONTH(F426))</f>
        <v/>
      </c>
      <c r="I426" s="21">
        <f>IFERROR(INDEX(Pedidos!$E$2:$E$1801,MATCH(B426,Pedidos!$A$2:$A$1801,0)),"")</f>
        <v/>
      </c>
      <c r="J426" s="21">
        <f>IFERROR(INDEX(Pedidos!$C$2:$C$1801,MATCH(B426,Pedidos!$A$2:$A$1801,0)),"")</f>
        <v/>
      </c>
      <c r="K426" s="21">
        <f>IFERROR(INDEX(Pedidos!$D$2:$D$1801,MATCH(B426,Pedidos!$A$2:$A$1801,0)),"")</f>
        <v/>
      </c>
      <c r="L426" s="21">
        <f>IFERROR(INDEX(Pedidos!$F$2:$F$1801,MATCH(B426,Pedidos!$A$2:$A$1801,0)),"")</f>
        <v/>
      </c>
      <c r="M426" s="22">
        <f>IFERROR(INDEX(Pedidos!$G$2:$G$1801,MATCH(B426,Pedidos!$A$2:$A$1801,0)),0)</f>
        <v/>
      </c>
      <c r="N426" s="21">
        <f>IFERROR(INDEX(Produtos!$B$2:$B$71,MATCH(C426,Produtos!$A$2:$A$71,0)),"")</f>
        <v/>
      </c>
      <c r="O426" s="21">
        <f>IFERROR(INDEX(Produtos!$C$2:$C$71,MATCH(C426,Produtos!$A$2:$A$71,0)),"")</f>
        <v/>
      </c>
      <c r="P426" s="21">
        <f>IFERROR(INDEX(Produtos!$D$2:$D$71,MATCH(C426,Produtos!$A$2:$A$71,0)),0)</f>
        <v/>
      </c>
      <c r="Q426" s="21">
        <f>IFERROR(INDEX(Produtos!$E$2:$E$71,MATCH(C426,Produtos!$A$2:$A$71,0)),0)</f>
        <v/>
      </c>
      <c r="R426" s="23">
        <f>D426*Q426</f>
        <v/>
      </c>
      <c r="S426" s="23">
        <f>R426*E426</f>
        <v/>
      </c>
      <c r="T426" s="23">
        <f>(R426-S426)*M426</f>
        <v/>
      </c>
      <c r="U426" s="23">
        <f>R426-S426-T426</f>
        <v/>
      </c>
      <c r="V426" s="23">
        <f>D426*P426</f>
        <v/>
      </c>
      <c r="W426" s="23">
        <f>U426-V426</f>
        <v/>
      </c>
      <c r="X426" s="24">
        <f>IFERROR(W426/U426,0)</f>
        <v/>
      </c>
    </row>
    <row r="427">
      <c r="A427" s="25">
        <f>ItensPedido!A427</f>
        <v/>
      </c>
      <c r="B427" s="25">
        <f>ItensPedido!B427</f>
        <v/>
      </c>
      <c r="C427" s="25">
        <f>ItensPedido!C427</f>
        <v/>
      </c>
      <c r="D427" s="25">
        <f>ItensPedido!D427</f>
        <v/>
      </c>
      <c r="E427" s="26">
        <f>ItensPedido!E427</f>
        <v/>
      </c>
      <c r="F427" s="25">
        <f>IFERROR(INDEX(Pedidos!$B$2:$B$1801,MATCH(B427,Pedidos!$A$2:$A$1801,0)),0)</f>
        <v/>
      </c>
      <c r="G427" s="25">
        <f>IF(F427=0,"",YEAR(F427))</f>
        <v/>
      </c>
      <c r="H427" s="25">
        <f>IF(F427=0,"",MONTH(F427))</f>
        <v/>
      </c>
      <c r="I427" s="25">
        <f>IFERROR(INDEX(Pedidos!$E$2:$E$1801,MATCH(B427,Pedidos!$A$2:$A$1801,0)),"")</f>
        <v/>
      </c>
      <c r="J427" s="25">
        <f>IFERROR(INDEX(Pedidos!$C$2:$C$1801,MATCH(B427,Pedidos!$A$2:$A$1801,0)),"")</f>
        <v/>
      </c>
      <c r="K427" s="25">
        <f>IFERROR(INDEX(Pedidos!$D$2:$D$1801,MATCH(B427,Pedidos!$A$2:$A$1801,0)),"")</f>
        <v/>
      </c>
      <c r="L427" s="25">
        <f>IFERROR(INDEX(Pedidos!$F$2:$F$1801,MATCH(B427,Pedidos!$A$2:$A$1801,0)),"")</f>
        <v/>
      </c>
      <c r="M427" s="26">
        <f>IFERROR(INDEX(Pedidos!$G$2:$G$1801,MATCH(B427,Pedidos!$A$2:$A$1801,0)),0)</f>
        <v/>
      </c>
      <c r="N427" s="25">
        <f>IFERROR(INDEX(Produtos!$B$2:$B$71,MATCH(C427,Produtos!$A$2:$A$71,0)),"")</f>
        <v/>
      </c>
      <c r="O427" s="25">
        <f>IFERROR(INDEX(Produtos!$C$2:$C$71,MATCH(C427,Produtos!$A$2:$A$71,0)),"")</f>
        <v/>
      </c>
      <c r="P427" s="25">
        <f>IFERROR(INDEX(Produtos!$D$2:$D$71,MATCH(C427,Produtos!$A$2:$A$71,0)),0)</f>
        <v/>
      </c>
      <c r="Q427" s="25">
        <f>IFERROR(INDEX(Produtos!$E$2:$E$71,MATCH(C427,Produtos!$A$2:$A$71,0)),0)</f>
        <v/>
      </c>
      <c r="R427" s="27">
        <f>D427*Q427</f>
        <v/>
      </c>
      <c r="S427" s="27">
        <f>R427*E427</f>
        <v/>
      </c>
      <c r="T427" s="27">
        <f>(R427-S427)*M427</f>
        <v/>
      </c>
      <c r="U427" s="27">
        <f>R427-S427-T427</f>
        <v/>
      </c>
      <c r="V427" s="27">
        <f>D427*P427</f>
        <v/>
      </c>
      <c r="W427" s="27">
        <f>U427-V427</f>
        <v/>
      </c>
      <c r="X427" s="28">
        <f>IFERROR(W427/U427,0)</f>
        <v/>
      </c>
    </row>
    <row r="428">
      <c r="A428" s="21">
        <f>ItensPedido!A428</f>
        <v/>
      </c>
      <c r="B428" s="21">
        <f>ItensPedido!B428</f>
        <v/>
      </c>
      <c r="C428" s="21">
        <f>ItensPedido!C428</f>
        <v/>
      </c>
      <c r="D428" s="21">
        <f>ItensPedido!D428</f>
        <v/>
      </c>
      <c r="E428" s="22">
        <f>ItensPedido!E428</f>
        <v/>
      </c>
      <c r="F428" s="21">
        <f>IFERROR(INDEX(Pedidos!$B$2:$B$1801,MATCH(B428,Pedidos!$A$2:$A$1801,0)),0)</f>
        <v/>
      </c>
      <c r="G428" s="21">
        <f>IF(F428=0,"",YEAR(F428))</f>
        <v/>
      </c>
      <c r="H428" s="21">
        <f>IF(F428=0,"",MONTH(F428))</f>
        <v/>
      </c>
      <c r="I428" s="21">
        <f>IFERROR(INDEX(Pedidos!$E$2:$E$1801,MATCH(B428,Pedidos!$A$2:$A$1801,0)),"")</f>
        <v/>
      </c>
      <c r="J428" s="21">
        <f>IFERROR(INDEX(Pedidos!$C$2:$C$1801,MATCH(B428,Pedidos!$A$2:$A$1801,0)),"")</f>
        <v/>
      </c>
      <c r="K428" s="21">
        <f>IFERROR(INDEX(Pedidos!$D$2:$D$1801,MATCH(B428,Pedidos!$A$2:$A$1801,0)),"")</f>
        <v/>
      </c>
      <c r="L428" s="21">
        <f>IFERROR(INDEX(Pedidos!$F$2:$F$1801,MATCH(B428,Pedidos!$A$2:$A$1801,0)),"")</f>
        <v/>
      </c>
      <c r="M428" s="22">
        <f>IFERROR(INDEX(Pedidos!$G$2:$G$1801,MATCH(B428,Pedidos!$A$2:$A$1801,0)),0)</f>
        <v/>
      </c>
      <c r="N428" s="21">
        <f>IFERROR(INDEX(Produtos!$B$2:$B$71,MATCH(C428,Produtos!$A$2:$A$71,0)),"")</f>
        <v/>
      </c>
      <c r="O428" s="21">
        <f>IFERROR(INDEX(Produtos!$C$2:$C$71,MATCH(C428,Produtos!$A$2:$A$71,0)),"")</f>
        <v/>
      </c>
      <c r="P428" s="21">
        <f>IFERROR(INDEX(Produtos!$D$2:$D$71,MATCH(C428,Produtos!$A$2:$A$71,0)),0)</f>
        <v/>
      </c>
      <c r="Q428" s="21">
        <f>IFERROR(INDEX(Produtos!$E$2:$E$71,MATCH(C428,Produtos!$A$2:$A$71,0)),0)</f>
        <v/>
      </c>
      <c r="R428" s="23">
        <f>D428*Q428</f>
        <v/>
      </c>
      <c r="S428" s="23">
        <f>R428*E428</f>
        <v/>
      </c>
      <c r="T428" s="23">
        <f>(R428-S428)*M428</f>
        <v/>
      </c>
      <c r="U428" s="23">
        <f>R428-S428-T428</f>
        <v/>
      </c>
      <c r="V428" s="23">
        <f>D428*P428</f>
        <v/>
      </c>
      <c r="W428" s="23">
        <f>U428-V428</f>
        <v/>
      </c>
      <c r="X428" s="24">
        <f>IFERROR(W428/U428,0)</f>
        <v/>
      </c>
    </row>
    <row r="429">
      <c r="A429" s="25">
        <f>ItensPedido!A429</f>
        <v/>
      </c>
      <c r="B429" s="25">
        <f>ItensPedido!B429</f>
        <v/>
      </c>
      <c r="C429" s="25">
        <f>ItensPedido!C429</f>
        <v/>
      </c>
      <c r="D429" s="25">
        <f>ItensPedido!D429</f>
        <v/>
      </c>
      <c r="E429" s="26">
        <f>ItensPedido!E429</f>
        <v/>
      </c>
      <c r="F429" s="25">
        <f>IFERROR(INDEX(Pedidos!$B$2:$B$1801,MATCH(B429,Pedidos!$A$2:$A$1801,0)),0)</f>
        <v/>
      </c>
      <c r="G429" s="25">
        <f>IF(F429=0,"",YEAR(F429))</f>
        <v/>
      </c>
      <c r="H429" s="25">
        <f>IF(F429=0,"",MONTH(F429))</f>
        <v/>
      </c>
      <c r="I429" s="25">
        <f>IFERROR(INDEX(Pedidos!$E$2:$E$1801,MATCH(B429,Pedidos!$A$2:$A$1801,0)),"")</f>
        <v/>
      </c>
      <c r="J429" s="25">
        <f>IFERROR(INDEX(Pedidos!$C$2:$C$1801,MATCH(B429,Pedidos!$A$2:$A$1801,0)),"")</f>
        <v/>
      </c>
      <c r="K429" s="25">
        <f>IFERROR(INDEX(Pedidos!$D$2:$D$1801,MATCH(B429,Pedidos!$A$2:$A$1801,0)),"")</f>
        <v/>
      </c>
      <c r="L429" s="25">
        <f>IFERROR(INDEX(Pedidos!$F$2:$F$1801,MATCH(B429,Pedidos!$A$2:$A$1801,0)),"")</f>
        <v/>
      </c>
      <c r="M429" s="26">
        <f>IFERROR(INDEX(Pedidos!$G$2:$G$1801,MATCH(B429,Pedidos!$A$2:$A$1801,0)),0)</f>
        <v/>
      </c>
      <c r="N429" s="25">
        <f>IFERROR(INDEX(Produtos!$B$2:$B$71,MATCH(C429,Produtos!$A$2:$A$71,0)),"")</f>
        <v/>
      </c>
      <c r="O429" s="25">
        <f>IFERROR(INDEX(Produtos!$C$2:$C$71,MATCH(C429,Produtos!$A$2:$A$71,0)),"")</f>
        <v/>
      </c>
      <c r="P429" s="25">
        <f>IFERROR(INDEX(Produtos!$D$2:$D$71,MATCH(C429,Produtos!$A$2:$A$71,0)),0)</f>
        <v/>
      </c>
      <c r="Q429" s="25">
        <f>IFERROR(INDEX(Produtos!$E$2:$E$71,MATCH(C429,Produtos!$A$2:$A$71,0)),0)</f>
        <v/>
      </c>
      <c r="R429" s="27">
        <f>D429*Q429</f>
        <v/>
      </c>
      <c r="S429" s="27">
        <f>R429*E429</f>
        <v/>
      </c>
      <c r="T429" s="27">
        <f>(R429-S429)*M429</f>
        <v/>
      </c>
      <c r="U429" s="27">
        <f>R429-S429-T429</f>
        <v/>
      </c>
      <c r="V429" s="27">
        <f>D429*P429</f>
        <v/>
      </c>
      <c r="W429" s="27">
        <f>U429-V429</f>
        <v/>
      </c>
      <c r="X429" s="28">
        <f>IFERROR(W429/U429,0)</f>
        <v/>
      </c>
    </row>
    <row r="430">
      <c r="A430" s="21">
        <f>ItensPedido!A430</f>
        <v/>
      </c>
      <c r="B430" s="21">
        <f>ItensPedido!B430</f>
        <v/>
      </c>
      <c r="C430" s="21">
        <f>ItensPedido!C430</f>
        <v/>
      </c>
      <c r="D430" s="21">
        <f>ItensPedido!D430</f>
        <v/>
      </c>
      <c r="E430" s="22">
        <f>ItensPedido!E430</f>
        <v/>
      </c>
      <c r="F430" s="21">
        <f>IFERROR(INDEX(Pedidos!$B$2:$B$1801,MATCH(B430,Pedidos!$A$2:$A$1801,0)),0)</f>
        <v/>
      </c>
      <c r="G430" s="21">
        <f>IF(F430=0,"",YEAR(F430))</f>
        <v/>
      </c>
      <c r="H430" s="21">
        <f>IF(F430=0,"",MONTH(F430))</f>
        <v/>
      </c>
      <c r="I430" s="21">
        <f>IFERROR(INDEX(Pedidos!$E$2:$E$1801,MATCH(B430,Pedidos!$A$2:$A$1801,0)),"")</f>
        <v/>
      </c>
      <c r="J430" s="21">
        <f>IFERROR(INDEX(Pedidos!$C$2:$C$1801,MATCH(B430,Pedidos!$A$2:$A$1801,0)),"")</f>
        <v/>
      </c>
      <c r="K430" s="21">
        <f>IFERROR(INDEX(Pedidos!$D$2:$D$1801,MATCH(B430,Pedidos!$A$2:$A$1801,0)),"")</f>
        <v/>
      </c>
      <c r="L430" s="21">
        <f>IFERROR(INDEX(Pedidos!$F$2:$F$1801,MATCH(B430,Pedidos!$A$2:$A$1801,0)),"")</f>
        <v/>
      </c>
      <c r="M430" s="22">
        <f>IFERROR(INDEX(Pedidos!$G$2:$G$1801,MATCH(B430,Pedidos!$A$2:$A$1801,0)),0)</f>
        <v/>
      </c>
      <c r="N430" s="21">
        <f>IFERROR(INDEX(Produtos!$B$2:$B$71,MATCH(C430,Produtos!$A$2:$A$71,0)),"")</f>
        <v/>
      </c>
      <c r="O430" s="21">
        <f>IFERROR(INDEX(Produtos!$C$2:$C$71,MATCH(C430,Produtos!$A$2:$A$71,0)),"")</f>
        <v/>
      </c>
      <c r="P430" s="21">
        <f>IFERROR(INDEX(Produtos!$D$2:$D$71,MATCH(C430,Produtos!$A$2:$A$71,0)),0)</f>
        <v/>
      </c>
      <c r="Q430" s="21">
        <f>IFERROR(INDEX(Produtos!$E$2:$E$71,MATCH(C430,Produtos!$A$2:$A$71,0)),0)</f>
        <v/>
      </c>
      <c r="R430" s="23">
        <f>D430*Q430</f>
        <v/>
      </c>
      <c r="S430" s="23">
        <f>R430*E430</f>
        <v/>
      </c>
      <c r="T430" s="23">
        <f>(R430-S430)*M430</f>
        <v/>
      </c>
      <c r="U430" s="23">
        <f>R430-S430-T430</f>
        <v/>
      </c>
      <c r="V430" s="23">
        <f>D430*P430</f>
        <v/>
      </c>
      <c r="W430" s="23">
        <f>U430-V430</f>
        <v/>
      </c>
      <c r="X430" s="24">
        <f>IFERROR(W430/U430,0)</f>
        <v/>
      </c>
    </row>
    <row r="431">
      <c r="A431" s="25">
        <f>ItensPedido!A431</f>
        <v/>
      </c>
      <c r="B431" s="25">
        <f>ItensPedido!B431</f>
        <v/>
      </c>
      <c r="C431" s="25">
        <f>ItensPedido!C431</f>
        <v/>
      </c>
      <c r="D431" s="25">
        <f>ItensPedido!D431</f>
        <v/>
      </c>
      <c r="E431" s="26">
        <f>ItensPedido!E431</f>
        <v/>
      </c>
      <c r="F431" s="25">
        <f>IFERROR(INDEX(Pedidos!$B$2:$B$1801,MATCH(B431,Pedidos!$A$2:$A$1801,0)),0)</f>
        <v/>
      </c>
      <c r="G431" s="25">
        <f>IF(F431=0,"",YEAR(F431))</f>
        <v/>
      </c>
      <c r="H431" s="25">
        <f>IF(F431=0,"",MONTH(F431))</f>
        <v/>
      </c>
      <c r="I431" s="25">
        <f>IFERROR(INDEX(Pedidos!$E$2:$E$1801,MATCH(B431,Pedidos!$A$2:$A$1801,0)),"")</f>
        <v/>
      </c>
      <c r="J431" s="25">
        <f>IFERROR(INDEX(Pedidos!$C$2:$C$1801,MATCH(B431,Pedidos!$A$2:$A$1801,0)),"")</f>
        <v/>
      </c>
      <c r="K431" s="25">
        <f>IFERROR(INDEX(Pedidos!$D$2:$D$1801,MATCH(B431,Pedidos!$A$2:$A$1801,0)),"")</f>
        <v/>
      </c>
      <c r="L431" s="25">
        <f>IFERROR(INDEX(Pedidos!$F$2:$F$1801,MATCH(B431,Pedidos!$A$2:$A$1801,0)),"")</f>
        <v/>
      </c>
      <c r="M431" s="26">
        <f>IFERROR(INDEX(Pedidos!$G$2:$G$1801,MATCH(B431,Pedidos!$A$2:$A$1801,0)),0)</f>
        <v/>
      </c>
      <c r="N431" s="25">
        <f>IFERROR(INDEX(Produtos!$B$2:$B$71,MATCH(C431,Produtos!$A$2:$A$71,0)),"")</f>
        <v/>
      </c>
      <c r="O431" s="25">
        <f>IFERROR(INDEX(Produtos!$C$2:$C$71,MATCH(C431,Produtos!$A$2:$A$71,0)),"")</f>
        <v/>
      </c>
      <c r="P431" s="25">
        <f>IFERROR(INDEX(Produtos!$D$2:$D$71,MATCH(C431,Produtos!$A$2:$A$71,0)),0)</f>
        <v/>
      </c>
      <c r="Q431" s="25">
        <f>IFERROR(INDEX(Produtos!$E$2:$E$71,MATCH(C431,Produtos!$A$2:$A$71,0)),0)</f>
        <v/>
      </c>
      <c r="R431" s="27">
        <f>D431*Q431</f>
        <v/>
      </c>
      <c r="S431" s="27">
        <f>R431*E431</f>
        <v/>
      </c>
      <c r="T431" s="27">
        <f>(R431-S431)*M431</f>
        <v/>
      </c>
      <c r="U431" s="27">
        <f>R431-S431-T431</f>
        <v/>
      </c>
      <c r="V431" s="27">
        <f>D431*P431</f>
        <v/>
      </c>
      <c r="W431" s="27">
        <f>U431-V431</f>
        <v/>
      </c>
      <c r="X431" s="28">
        <f>IFERROR(W431/U431,0)</f>
        <v/>
      </c>
    </row>
    <row r="432">
      <c r="A432" s="21">
        <f>ItensPedido!A432</f>
        <v/>
      </c>
      <c r="B432" s="21">
        <f>ItensPedido!B432</f>
        <v/>
      </c>
      <c r="C432" s="21">
        <f>ItensPedido!C432</f>
        <v/>
      </c>
      <c r="D432" s="21">
        <f>ItensPedido!D432</f>
        <v/>
      </c>
      <c r="E432" s="22">
        <f>ItensPedido!E432</f>
        <v/>
      </c>
      <c r="F432" s="21">
        <f>IFERROR(INDEX(Pedidos!$B$2:$B$1801,MATCH(B432,Pedidos!$A$2:$A$1801,0)),0)</f>
        <v/>
      </c>
      <c r="G432" s="21">
        <f>IF(F432=0,"",YEAR(F432))</f>
        <v/>
      </c>
      <c r="H432" s="21">
        <f>IF(F432=0,"",MONTH(F432))</f>
        <v/>
      </c>
      <c r="I432" s="21">
        <f>IFERROR(INDEX(Pedidos!$E$2:$E$1801,MATCH(B432,Pedidos!$A$2:$A$1801,0)),"")</f>
        <v/>
      </c>
      <c r="J432" s="21">
        <f>IFERROR(INDEX(Pedidos!$C$2:$C$1801,MATCH(B432,Pedidos!$A$2:$A$1801,0)),"")</f>
        <v/>
      </c>
      <c r="K432" s="21">
        <f>IFERROR(INDEX(Pedidos!$D$2:$D$1801,MATCH(B432,Pedidos!$A$2:$A$1801,0)),"")</f>
        <v/>
      </c>
      <c r="L432" s="21">
        <f>IFERROR(INDEX(Pedidos!$F$2:$F$1801,MATCH(B432,Pedidos!$A$2:$A$1801,0)),"")</f>
        <v/>
      </c>
      <c r="M432" s="22">
        <f>IFERROR(INDEX(Pedidos!$G$2:$G$1801,MATCH(B432,Pedidos!$A$2:$A$1801,0)),0)</f>
        <v/>
      </c>
      <c r="N432" s="21">
        <f>IFERROR(INDEX(Produtos!$B$2:$B$71,MATCH(C432,Produtos!$A$2:$A$71,0)),"")</f>
        <v/>
      </c>
      <c r="O432" s="21">
        <f>IFERROR(INDEX(Produtos!$C$2:$C$71,MATCH(C432,Produtos!$A$2:$A$71,0)),"")</f>
        <v/>
      </c>
      <c r="P432" s="21">
        <f>IFERROR(INDEX(Produtos!$D$2:$D$71,MATCH(C432,Produtos!$A$2:$A$71,0)),0)</f>
        <v/>
      </c>
      <c r="Q432" s="21">
        <f>IFERROR(INDEX(Produtos!$E$2:$E$71,MATCH(C432,Produtos!$A$2:$A$71,0)),0)</f>
        <v/>
      </c>
      <c r="R432" s="23">
        <f>D432*Q432</f>
        <v/>
      </c>
      <c r="S432" s="23">
        <f>R432*E432</f>
        <v/>
      </c>
      <c r="T432" s="23">
        <f>(R432-S432)*M432</f>
        <v/>
      </c>
      <c r="U432" s="23">
        <f>R432-S432-T432</f>
        <v/>
      </c>
      <c r="V432" s="23">
        <f>D432*P432</f>
        <v/>
      </c>
      <c r="W432" s="23">
        <f>U432-V432</f>
        <v/>
      </c>
      <c r="X432" s="24">
        <f>IFERROR(W432/U432,0)</f>
        <v/>
      </c>
    </row>
    <row r="433">
      <c r="A433" s="25">
        <f>ItensPedido!A433</f>
        <v/>
      </c>
      <c r="B433" s="25">
        <f>ItensPedido!B433</f>
        <v/>
      </c>
      <c r="C433" s="25">
        <f>ItensPedido!C433</f>
        <v/>
      </c>
      <c r="D433" s="25">
        <f>ItensPedido!D433</f>
        <v/>
      </c>
      <c r="E433" s="26">
        <f>ItensPedido!E433</f>
        <v/>
      </c>
      <c r="F433" s="25">
        <f>IFERROR(INDEX(Pedidos!$B$2:$B$1801,MATCH(B433,Pedidos!$A$2:$A$1801,0)),0)</f>
        <v/>
      </c>
      <c r="G433" s="25">
        <f>IF(F433=0,"",YEAR(F433))</f>
        <v/>
      </c>
      <c r="H433" s="25">
        <f>IF(F433=0,"",MONTH(F433))</f>
        <v/>
      </c>
      <c r="I433" s="25">
        <f>IFERROR(INDEX(Pedidos!$E$2:$E$1801,MATCH(B433,Pedidos!$A$2:$A$1801,0)),"")</f>
        <v/>
      </c>
      <c r="J433" s="25">
        <f>IFERROR(INDEX(Pedidos!$C$2:$C$1801,MATCH(B433,Pedidos!$A$2:$A$1801,0)),"")</f>
        <v/>
      </c>
      <c r="K433" s="25">
        <f>IFERROR(INDEX(Pedidos!$D$2:$D$1801,MATCH(B433,Pedidos!$A$2:$A$1801,0)),"")</f>
        <v/>
      </c>
      <c r="L433" s="25">
        <f>IFERROR(INDEX(Pedidos!$F$2:$F$1801,MATCH(B433,Pedidos!$A$2:$A$1801,0)),"")</f>
        <v/>
      </c>
      <c r="M433" s="26">
        <f>IFERROR(INDEX(Pedidos!$G$2:$G$1801,MATCH(B433,Pedidos!$A$2:$A$1801,0)),0)</f>
        <v/>
      </c>
      <c r="N433" s="25">
        <f>IFERROR(INDEX(Produtos!$B$2:$B$71,MATCH(C433,Produtos!$A$2:$A$71,0)),"")</f>
        <v/>
      </c>
      <c r="O433" s="25">
        <f>IFERROR(INDEX(Produtos!$C$2:$C$71,MATCH(C433,Produtos!$A$2:$A$71,0)),"")</f>
        <v/>
      </c>
      <c r="P433" s="25">
        <f>IFERROR(INDEX(Produtos!$D$2:$D$71,MATCH(C433,Produtos!$A$2:$A$71,0)),0)</f>
        <v/>
      </c>
      <c r="Q433" s="25">
        <f>IFERROR(INDEX(Produtos!$E$2:$E$71,MATCH(C433,Produtos!$A$2:$A$71,0)),0)</f>
        <v/>
      </c>
      <c r="R433" s="27">
        <f>D433*Q433</f>
        <v/>
      </c>
      <c r="S433" s="27">
        <f>R433*E433</f>
        <v/>
      </c>
      <c r="T433" s="27">
        <f>(R433-S433)*M433</f>
        <v/>
      </c>
      <c r="U433" s="27">
        <f>R433-S433-T433</f>
        <v/>
      </c>
      <c r="V433" s="27">
        <f>D433*P433</f>
        <v/>
      </c>
      <c r="W433" s="27">
        <f>U433-V433</f>
        <v/>
      </c>
      <c r="X433" s="28">
        <f>IFERROR(W433/U433,0)</f>
        <v/>
      </c>
    </row>
    <row r="434">
      <c r="A434" s="21">
        <f>ItensPedido!A434</f>
        <v/>
      </c>
      <c r="B434" s="21">
        <f>ItensPedido!B434</f>
        <v/>
      </c>
      <c r="C434" s="21">
        <f>ItensPedido!C434</f>
        <v/>
      </c>
      <c r="D434" s="21">
        <f>ItensPedido!D434</f>
        <v/>
      </c>
      <c r="E434" s="22">
        <f>ItensPedido!E434</f>
        <v/>
      </c>
      <c r="F434" s="21">
        <f>IFERROR(INDEX(Pedidos!$B$2:$B$1801,MATCH(B434,Pedidos!$A$2:$A$1801,0)),0)</f>
        <v/>
      </c>
      <c r="G434" s="21">
        <f>IF(F434=0,"",YEAR(F434))</f>
        <v/>
      </c>
      <c r="H434" s="21">
        <f>IF(F434=0,"",MONTH(F434))</f>
        <v/>
      </c>
      <c r="I434" s="21">
        <f>IFERROR(INDEX(Pedidos!$E$2:$E$1801,MATCH(B434,Pedidos!$A$2:$A$1801,0)),"")</f>
        <v/>
      </c>
      <c r="J434" s="21">
        <f>IFERROR(INDEX(Pedidos!$C$2:$C$1801,MATCH(B434,Pedidos!$A$2:$A$1801,0)),"")</f>
        <v/>
      </c>
      <c r="K434" s="21">
        <f>IFERROR(INDEX(Pedidos!$D$2:$D$1801,MATCH(B434,Pedidos!$A$2:$A$1801,0)),"")</f>
        <v/>
      </c>
      <c r="L434" s="21">
        <f>IFERROR(INDEX(Pedidos!$F$2:$F$1801,MATCH(B434,Pedidos!$A$2:$A$1801,0)),"")</f>
        <v/>
      </c>
      <c r="M434" s="22">
        <f>IFERROR(INDEX(Pedidos!$G$2:$G$1801,MATCH(B434,Pedidos!$A$2:$A$1801,0)),0)</f>
        <v/>
      </c>
      <c r="N434" s="21">
        <f>IFERROR(INDEX(Produtos!$B$2:$B$71,MATCH(C434,Produtos!$A$2:$A$71,0)),"")</f>
        <v/>
      </c>
      <c r="O434" s="21">
        <f>IFERROR(INDEX(Produtos!$C$2:$C$71,MATCH(C434,Produtos!$A$2:$A$71,0)),"")</f>
        <v/>
      </c>
      <c r="P434" s="21">
        <f>IFERROR(INDEX(Produtos!$D$2:$D$71,MATCH(C434,Produtos!$A$2:$A$71,0)),0)</f>
        <v/>
      </c>
      <c r="Q434" s="21">
        <f>IFERROR(INDEX(Produtos!$E$2:$E$71,MATCH(C434,Produtos!$A$2:$A$71,0)),0)</f>
        <v/>
      </c>
      <c r="R434" s="23">
        <f>D434*Q434</f>
        <v/>
      </c>
      <c r="S434" s="23">
        <f>R434*E434</f>
        <v/>
      </c>
      <c r="T434" s="23">
        <f>(R434-S434)*M434</f>
        <v/>
      </c>
      <c r="U434" s="23">
        <f>R434-S434-T434</f>
        <v/>
      </c>
      <c r="V434" s="23">
        <f>D434*P434</f>
        <v/>
      </c>
      <c r="W434" s="23">
        <f>U434-V434</f>
        <v/>
      </c>
      <c r="X434" s="24">
        <f>IFERROR(W434/U434,0)</f>
        <v/>
      </c>
    </row>
    <row r="435">
      <c r="A435" s="25">
        <f>ItensPedido!A435</f>
        <v/>
      </c>
      <c r="B435" s="25">
        <f>ItensPedido!B435</f>
        <v/>
      </c>
      <c r="C435" s="25">
        <f>ItensPedido!C435</f>
        <v/>
      </c>
      <c r="D435" s="25">
        <f>ItensPedido!D435</f>
        <v/>
      </c>
      <c r="E435" s="26">
        <f>ItensPedido!E435</f>
        <v/>
      </c>
      <c r="F435" s="25">
        <f>IFERROR(INDEX(Pedidos!$B$2:$B$1801,MATCH(B435,Pedidos!$A$2:$A$1801,0)),0)</f>
        <v/>
      </c>
      <c r="G435" s="25">
        <f>IF(F435=0,"",YEAR(F435))</f>
        <v/>
      </c>
      <c r="H435" s="25">
        <f>IF(F435=0,"",MONTH(F435))</f>
        <v/>
      </c>
      <c r="I435" s="25">
        <f>IFERROR(INDEX(Pedidos!$E$2:$E$1801,MATCH(B435,Pedidos!$A$2:$A$1801,0)),"")</f>
        <v/>
      </c>
      <c r="J435" s="25">
        <f>IFERROR(INDEX(Pedidos!$C$2:$C$1801,MATCH(B435,Pedidos!$A$2:$A$1801,0)),"")</f>
        <v/>
      </c>
      <c r="K435" s="25">
        <f>IFERROR(INDEX(Pedidos!$D$2:$D$1801,MATCH(B435,Pedidos!$A$2:$A$1801,0)),"")</f>
        <v/>
      </c>
      <c r="L435" s="25">
        <f>IFERROR(INDEX(Pedidos!$F$2:$F$1801,MATCH(B435,Pedidos!$A$2:$A$1801,0)),"")</f>
        <v/>
      </c>
      <c r="M435" s="26">
        <f>IFERROR(INDEX(Pedidos!$G$2:$G$1801,MATCH(B435,Pedidos!$A$2:$A$1801,0)),0)</f>
        <v/>
      </c>
      <c r="N435" s="25">
        <f>IFERROR(INDEX(Produtos!$B$2:$B$71,MATCH(C435,Produtos!$A$2:$A$71,0)),"")</f>
        <v/>
      </c>
      <c r="O435" s="25">
        <f>IFERROR(INDEX(Produtos!$C$2:$C$71,MATCH(C435,Produtos!$A$2:$A$71,0)),"")</f>
        <v/>
      </c>
      <c r="P435" s="25">
        <f>IFERROR(INDEX(Produtos!$D$2:$D$71,MATCH(C435,Produtos!$A$2:$A$71,0)),0)</f>
        <v/>
      </c>
      <c r="Q435" s="25">
        <f>IFERROR(INDEX(Produtos!$E$2:$E$71,MATCH(C435,Produtos!$A$2:$A$71,0)),0)</f>
        <v/>
      </c>
      <c r="R435" s="27">
        <f>D435*Q435</f>
        <v/>
      </c>
      <c r="S435" s="27">
        <f>R435*E435</f>
        <v/>
      </c>
      <c r="T435" s="27">
        <f>(R435-S435)*M435</f>
        <v/>
      </c>
      <c r="U435" s="27">
        <f>R435-S435-T435</f>
        <v/>
      </c>
      <c r="V435" s="27">
        <f>D435*P435</f>
        <v/>
      </c>
      <c r="W435" s="27">
        <f>U435-V435</f>
        <v/>
      </c>
      <c r="X435" s="28">
        <f>IFERROR(W435/U435,0)</f>
        <v/>
      </c>
    </row>
    <row r="436">
      <c r="A436" s="21">
        <f>ItensPedido!A436</f>
        <v/>
      </c>
      <c r="B436" s="21">
        <f>ItensPedido!B436</f>
        <v/>
      </c>
      <c r="C436" s="21">
        <f>ItensPedido!C436</f>
        <v/>
      </c>
      <c r="D436" s="21">
        <f>ItensPedido!D436</f>
        <v/>
      </c>
      <c r="E436" s="22">
        <f>ItensPedido!E436</f>
        <v/>
      </c>
      <c r="F436" s="21">
        <f>IFERROR(INDEX(Pedidos!$B$2:$B$1801,MATCH(B436,Pedidos!$A$2:$A$1801,0)),0)</f>
        <v/>
      </c>
      <c r="G436" s="21">
        <f>IF(F436=0,"",YEAR(F436))</f>
        <v/>
      </c>
      <c r="H436" s="21">
        <f>IF(F436=0,"",MONTH(F436))</f>
        <v/>
      </c>
      <c r="I436" s="21">
        <f>IFERROR(INDEX(Pedidos!$E$2:$E$1801,MATCH(B436,Pedidos!$A$2:$A$1801,0)),"")</f>
        <v/>
      </c>
      <c r="J436" s="21">
        <f>IFERROR(INDEX(Pedidos!$C$2:$C$1801,MATCH(B436,Pedidos!$A$2:$A$1801,0)),"")</f>
        <v/>
      </c>
      <c r="K436" s="21">
        <f>IFERROR(INDEX(Pedidos!$D$2:$D$1801,MATCH(B436,Pedidos!$A$2:$A$1801,0)),"")</f>
        <v/>
      </c>
      <c r="L436" s="21">
        <f>IFERROR(INDEX(Pedidos!$F$2:$F$1801,MATCH(B436,Pedidos!$A$2:$A$1801,0)),"")</f>
        <v/>
      </c>
      <c r="M436" s="22">
        <f>IFERROR(INDEX(Pedidos!$G$2:$G$1801,MATCH(B436,Pedidos!$A$2:$A$1801,0)),0)</f>
        <v/>
      </c>
      <c r="N436" s="21">
        <f>IFERROR(INDEX(Produtos!$B$2:$B$71,MATCH(C436,Produtos!$A$2:$A$71,0)),"")</f>
        <v/>
      </c>
      <c r="O436" s="21">
        <f>IFERROR(INDEX(Produtos!$C$2:$C$71,MATCH(C436,Produtos!$A$2:$A$71,0)),"")</f>
        <v/>
      </c>
      <c r="P436" s="21">
        <f>IFERROR(INDEX(Produtos!$D$2:$D$71,MATCH(C436,Produtos!$A$2:$A$71,0)),0)</f>
        <v/>
      </c>
      <c r="Q436" s="21">
        <f>IFERROR(INDEX(Produtos!$E$2:$E$71,MATCH(C436,Produtos!$A$2:$A$71,0)),0)</f>
        <v/>
      </c>
      <c r="R436" s="23">
        <f>D436*Q436</f>
        <v/>
      </c>
      <c r="S436" s="23">
        <f>R436*E436</f>
        <v/>
      </c>
      <c r="T436" s="23">
        <f>(R436-S436)*M436</f>
        <v/>
      </c>
      <c r="U436" s="23">
        <f>R436-S436-T436</f>
        <v/>
      </c>
      <c r="V436" s="23">
        <f>D436*P436</f>
        <v/>
      </c>
      <c r="W436" s="23">
        <f>U436-V436</f>
        <v/>
      </c>
      <c r="X436" s="24">
        <f>IFERROR(W436/U436,0)</f>
        <v/>
      </c>
    </row>
    <row r="437">
      <c r="A437" s="25">
        <f>ItensPedido!A437</f>
        <v/>
      </c>
      <c r="B437" s="25">
        <f>ItensPedido!B437</f>
        <v/>
      </c>
      <c r="C437" s="25">
        <f>ItensPedido!C437</f>
        <v/>
      </c>
      <c r="D437" s="25">
        <f>ItensPedido!D437</f>
        <v/>
      </c>
      <c r="E437" s="26">
        <f>ItensPedido!E437</f>
        <v/>
      </c>
      <c r="F437" s="25">
        <f>IFERROR(INDEX(Pedidos!$B$2:$B$1801,MATCH(B437,Pedidos!$A$2:$A$1801,0)),0)</f>
        <v/>
      </c>
      <c r="G437" s="25">
        <f>IF(F437=0,"",YEAR(F437))</f>
        <v/>
      </c>
      <c r="H437" s="25">
        <f>IF(F437=0,"",MONTH(F437))</f>
        <v/>
      </c>
      <c r="I437" s="25">
        <f>IFERROR(INDEX(Pedidos!$E$2:$E$1801,MATCH(B437,Pedidos!$A$2:$A$1801,0)),"")</f>
        <v/>
      </c>
      <c r="J437" s="25">
        <f>IFERROR(INDEX(Pedidos!$C$2:$C$1801,MATCH(B437,Pedidos!$A$2:$A$1801,0)),"")</f>
        <v/>
      </c>
      <c r="K437" s="25">
        <f>IFERROR(INDEX(Pedidos!$D$2:$D$1801,MATCH(B437,Pedidos!$A$2:$A$1801,0)),"")</f>
        <v/>
      </c>
      <c r="L437" s="25">
        <f>IFERROR(INDEX(Pedidos!$F$2:$F$1801,MATCH(B437,Pedidos!$A$2:$A$1801,0)),"")</f>
        <v/>
      </c>
      <c r="M437" s="26">
        <f>IFERROR(INDEX(Pedidos!$G$2:$G$1801,MATCH(B437,Pedidos!$A$2:$A$1801,0)),0)</f>
        <v/>
      </c>
      <c r="N437" s="25">
        <f>IFERROR(INDEX(Produtos!$B$2:$B$71,MATCH(C437,Produtos!$A$2:$A$71,0)),"")</f>
        <v/>
      </c>
      <c r="O437" s="25">
        <f>IFERROR(INDEX(Produtos!$C$2:$C$71,MATCH(C437,Produtos!$A$2:$A$71,0)),"")</f>
        <v/>
      </c>
      <c r="P437" s="25">
        <f>IFERROR(INDEX(Produtos!$D$2:$D$71,MATCH(C437,Produtos!$A$2:$A$71,0)),0)</f>
        <v/>
      </c>
      <c r="Q437" s="25">
        <f>IFERROR(INDEX(Produtos!$E$2:$E$71,MATCH(C437,Produtos!$A$2:$A$71,0)),0)</f>
        <v/>
      </c>
      <c r="R437" s="27">
        <f>D437*Q437</f>
        <v/>
      </c>
      <c r="S437" s="27">
        <f>R437*E437</f>
        <v/>
      </c>
      <c r="T437" s="27">
        <f>(R437-S437)*M437</f>
        <v/>
      </c>
      <c r="U437" s="27">
        <f>R437-S437-T437</f>
        <v/>
      </c>
      <c r="V437" s="27">
        <f>D437*P437</f>
        <v/>
      </c>
      <c r="W437" s="27">
        <f>U437-V437</f>
        <v/>
      </c>
      <c r="X437" s="28">
        <f>IFERROR(W437/U437,0)</f>
        <v/>
      </c>
    </row>
    <row r="438">
      <c r="A438" s="21">
        <f>ItensPedido!A438</f>
        <v/>
      </c>
      <c r="B438" s="21">
        <f>ItensPedido!B438</f>
        <v/>
      </c>
      <c r="C438" s="21">
        <f>ItensPedido!C438</f>
        <v/>
      </c>
      <c r="D438" s="21">
        <f>ItensPedido!D438</f>
        <v/>
      </c>
      <c r="E438" s="22">
        <f>ItensPedido!E438</f>
        <v/>
      </c>
      <c r="F438" s="21">
        <f>IFERROR(INDEX(Pedidos!$B$2:$B$1801,MATCH(B438,Pedidos!$A$2:$A$1801,0)),0)</f>
        <v/>
      </c>
      <c r="G438" s="21">
        <f>IF(F438=0,"",YEAR(F438))</f>
        <v/>
      </c>
      <c r="H438" s="21">
        <f>IF(F438=0,"",MONTH(F438))</f>
        <v/>
      </c>
      <c r="I438" s="21">
        <f>IFERROR(INDEX(Pedidos!$E$2:$E$1801,MATCH(B438,Pedidos!$A$2:$A$1801,0)),"")</f>
        <v/>
      </c>
      <c r="J438" s="21">
        <f>IFERROR(INDEX(Pedidos!$C$2:$C$1801,MATCH(B438,Pedidos!$A$2:$A$1801,0)),"")</f>
        <v/>
      </c>
      <c r="K438" s="21">
        <f>IFERROR(INDEX(Pedidos!$D$2:$D$1801,MATCH(B438,Pedidos!$A$2:$A$1801,0)),"")</f>
        <v/>
      </c>
      <c r="L438" s="21">
        <f>IFERROR(INDEX(Pedidos!$F$2:$F$1801,MATCH(B438,Pedidos!$A$2:$A$1801,0)),"")</f>
        <v/>
      </c>
      <c r="M438" s="22">
        <f>IFERROR(INDEX(Pedidos!$G$2:$G$1801,MATCH(B438,Pedidos!$A$2:$A$1801,0)),0)</f>
        <v/>
      </c>
      <c r="N438" s="21">
        <f>IFERROR(INDEX(Produtos!$B$2:$B$71,MATCH(C438,Produtos!$A$2:$A$71,0)),"")</f>
        <v/>
      </c>
      <c r="O438" s="21">
        <f>IFERROR(INDEX(Produtos!$C$2:$C$71,MATCH(C438,Produtos!$A$2:$A$71,0)),"")</f>
        <v/>
      </c>
      <c r="P438" s="21">
        <f>IFERROR(INDEX(Produtos!$D$2:$D$71,MATCH(C438,Produtos!$A$2:$A$71,0)),0)</f>
        <v/>
      </c>
      <c r="Q438" s="21">
        <f>IFERROR(INDEX(Produtos!$E$2:$E$71,MATCH(C438,Produtos!$A$2:$A$71,0)),0)</f>
        <v/>
      </c>
      <c r="R438" s="23">
        <f>D438*Q438</f>
        <v/>
      </c>
      <c r="S438" s="23">
        <f>R438*E438</f>
        <v/>
      </c>
      <c r="T438" s="23">
        <f>(R438-S438)*M438</f>
        <v/>
      </c>
      <c r="U438" s="23">
        <f>R438-S438-T438</f>
        <v/>
      </c>
      <c r="V438" s="23">
        <f>D438*P438</f>
        <v/>
      </c>
      <c r="W438" s="23">
        <f>U438-V438</f>
        <v/>
      </c>
      <c r="X438" s="24">
        <f>IFERROR(W438/U438,0)</f>
        <v/>
      </c>
    </row>
    <row r="439">
      <c r="A439" s="25">
        <f>ItensPedido!A439</f>
        <v/>
      </c>
      <c r="B439" s="25">
        <f>ItensPedido!B439</f>
        <v/>
      </c>
      <c r="C439" s="25">
        <f>ItensPedido!C439</f>
        <v/>
      </c>
      <c r="D439" s="25">
        <f>ItensPedido!D439</f>
        <v/>
      </c>
      <c r="E439" s="26">
        <f>ItensPedido!E439</f>
        <v/>
      </c>
      <c r="F439" s="25">
        <f>IFERROR(INDEX(Pedidos!$B$2:$B$1801,MATCH(B439,Pedidos!$A$2:$A$1801,0)),0)</f>
        <v/>
      </c>
      <c r="G439" s="25">
        <f>IF(F439=0,"",YEAR(F439))</f>
        <v/>
      </c>
      <c r="H439" s="25">
        <f>IF(F439=0,"",MONTH(F439))</f>
        <v/>
      </c>
      <c r="I439" s="25">
        <f>IFERROR(INDEX(Pedidos!$E$2:$E$1801,MATCH(B439,Pedidos!$A$2:$A$1801,0)),"")</f>
        <v/>
      </c>
      <c r="J439" s="25">
        <f>IFERROR(INDEX(Pedidos!$C$2:$C$1801,MATCH(B439,Pedidos!$A$2:$A$1801,0)),"")</f>
        <v/>
      </c>
      <c r="K439" s="25">
        <f>IFERROR(INDEX(Pedidos!$D$2:$D$1801,MATCH(B439,Pedidos!$A$2:$A$1801,0)),"")</f>
        <v/>
      </c>
      <c r="L439" s="25">
        <f>IFERROR(INDEX(Pedidos!$F$2:$F$1801,MATCH(B439,Pedidos!$A$2:$A$1801,0)),"")</f>
        <v/>
      </c>
      <c r="M439" s="26">
        <f>IFERROR(INDEX(Pedidos!$G$2:$G$1801,MATCH(B439,Pedidos!$A$2:$A$1801,0)),0)</f>
        <v/>
      </c>
      <c r="N439" s="25">
        <f>IFERROR(INDEX(Produtos!$B$2:$B$71,MATCH(C439,Produtos!$A$2:$A$71,0)),"")</f>
        <v/>
      </c>
      <c r="O439" s="25">
        <f>IFERROR(INDEX(Produtos!$C$2:$C$71,MATCH(C439,Produtos!$A$2:$A$71,0)),"")</f>
        <v/>
      </c>
      <c r="P439" s="25">
        <f>IFERROR(INDEX(Produtos!$D$2:$D$71,MATCH(C439,Produtos!$A$2:$A$71,0)),0)</f>
        <v/>
      </c>
      <c r="Q439" s="25">
        <f>IFERROR(INDEX(Produtos!$E$2:$E$71,MATCH(C439,Produtos!$A$2:$A$71,0)),0)</f>
        <v/>
      </c>
      <c r="R439" s="27">
        <f>D439*Q439</f>
        <v/>
      </c>
      <c r="S439" s="27">
        <f>R439*E439</f>
        <v/>
      </c>
      <c r="T439" s="27">
        <f>(R439-S439)*M439</f>
        <v/>
      </c>
      <c r="U439" s="27">
        <f>R439-S439-T439</f>
        <v/>
      </c>
      <c r="V439" s="27">
        <f>D439*P439</f>
        <v/>
      </c>
      <c r="W439" s="27">
        <f>U439-V439</f>
        <v/>
      </c>
      <c r="X439" s="28">
        <f>IFERROR(W439/U439,0)</f>
        <v/>
      </c>
    </row>
    <row r="440">
      <c r="A440" s="21">
        <f>ItensPedido!A440</f>
        <v/>
      </c>
      <c r="B440" s="21">
        <f>ItensPedido!B440</f>
        <v/>
      </c>
      <c r="C440" s="21">
        <f>ItensPedido!C440</f>
        <v/>
      </c>
      <c r="D440" s="21">
        <f>ItensPedido!D440</f>
        <v/>
      </c>
      <c r="E440" s="22">
        <f>ItensPedido!E440</f>
        <v/>
      </c>
      <c r="F440" s="21">
        <f>IFERROR(INDEX(Pedidos!$B$2:$B$1801,MATCH(B440,Pedidos!$A$2:$A$1801,0)),0)</f>
        <v/>
      </c>
      <c r="G440" s="21">
        <f>IF(F440=0,"",YEAR(F440))</f>
        <v/>
      </c>
      <c r="H440" s="21">
        <f>IF(F440=0,"",MONTH(F440))</f>
        <v/>
      </c>
      <c r="I440" s="21">
        <f>IFERROR(INDEX(Pedidos!$E$2:$E$1801,MATCH(B440,Pedidos!$A$2:$A$1801,0)),"")</f>
        <v/>
      </c>
      <c r="J440" s="21">
        <f>IFERROR(INDEX(Pedidos!$C$2:$C$1801,MATCH(B440,Pedidos!$A$2:$A$1801,0)),"")</f>
        <v/>
      </c>
      <c r="K440" s="21">
        <f>IFERROR(INDEX(Pedidos!$D$2:$D$1801,MATCH(B440,Pedidos!$A$2:$A$1801,0)),"")</f>
        <v/>
      </c>
      <c r="L440" s="21">
        <f>IFERROR(INDEX(Pedidos!$F$2:$F$1801,MATCH(B440,Pedidos!$A$2:$A$1801,0)),"")</f>
        <v/>
      </c>
      <c r="M440" s="22">
        <f>IFERROR(INDEX(Pedidos!$G$2:$G$1801,MATCH(B440,Pedidos!$A$2:$A$1801,0)),0)</f>
        <v/>
      </c>
      <c r="N440" s="21">
        <f>IFERROR(INDEX(Produtos!$B$2:$B$71,MATCH(C440,Produtos!$A$2:$A$71,0)),"")</f>
        <v/>
      </c>
      <c r="O440" s="21">
        <f>IFERROR(INDEX(Produtos!$C$2:$C$71,MATCH(C440,Produtos!$A$2:$A$71,0)),"")</f>
        <v/>
      </c>
      <c r="P440" s="21">
        <f>IFERROR(INDEX(Produtos!$D$2:$D$71,MATCH(C440,Produtos!$A$2:$A$71,0)),0)</f>
        <v/>
      </c>
      <c r="Q440" s="21">
        <f>IFERROR(INDEX(Produtos!$E$2:$E$71,MATCH(C440,Produtos!$A$2:$A$71,0)),0)</f>
        <v/>
      </c>
      <c r="R440" s="23">
        <f>D440*Q440</f>
        <v/>
      </c>
      <c r="S440" s="23">
        <f>R440*E440</f>
        <v/>
      </c>
      <c r="T440" s="23">
        <f>(R440-S440)*M440</f>
        <v/>
      </c>
      <c r="U440" s="23">
        <f>R440-S440-T440</f>
        <v/>
      </c>
      <c r="V440" s="23">
        <f>D440*P440</f>
        <v/>
      </c>
      <c r="W440" s="23">
        <f>U440-V440</f>
        <v/>
      </c>
      <c r="X440" s="24">
        <f>IFERROR(W440/U440,0)</f>
        <v/>
      </c>
    </row>
    <row r="441">
      <c r="A441" s="25">
        <f>ItensPedido!A441</f>
        <v/>
      </c>
      <c r="B441" s="25">
        <f>ItensPedido!B441</f>
        <v/>
      </c>
      <c r="C441" s="25">
        <f>ItensPedido!C441</f>
        <v/>
      </c>
      <c r="D441" s="25">
        <f>ItensPedido!D441</f>
        <v/>
      </c>
      <c r="E441" s="26">
        <f>ItensPedido!E441</f>
        <v/>
      </c>
      <c r="F441" s="25">
        <f>IFERROR(INDEX(Pedidos!$B$2:$B$1801,MATCH(B441,Pedidos!$A$2:$A$1801,0)),0)</f>
        <v/>
      </c>
      <c r="G441" s="25">
        <f>IF(F441=0,"",YEAR(F441))</f>
        <v/>
      </c>
      <c r="H441" s="25">
        <f>IF(F441=0,"",MONTH(F441))</f>
        <v/>
      </c>
      <c r="I441" s="25">
        <f>IFERROR(INDEX(Pedidos!$E$2:$E$1801,MATCH(B441,Pedidos!$A$2:$A$1801,0)),"")</f>
        <v/>
      </c>
      <c r="J441" s="25">
        <f>IFERROR(INDEX(Pedidos!$C$2:$C$1801,MATCH(B441,Pedidos!$A$2:$A$1801,0)),"")</f>
        <v/>
      </c>
      <c r="K441" s="25">
        <f>IFERROR(INDEX(Pedidos!$D$2:$D$1801,MATCH(B441,Pedidos!$A$2:$A$1801,0)),"")</f>
        <v/>
      </c>
      <c r="L441" s="25">
        <f>IFERROR(INDEX(Pedidos!$F$2:$F$1801,MATCH(B441,Pedidos!$A$2:$A$1801,0)),"")</f>
        <v/>
      </c>
      <c r="M441" s="26">
        <f>IFERROR(INDEX(Pedidos!$G$2:$G$1801,MATCH(B441,Pedidos!$A$2:$A$1801,0)),0)</f>
        <v/>
      </c>
      <c r="N441" s="25">
        <f>IFERROR(INDEX(Produtos!$B$2:$B$71,MATCH(C441,Produtos!$A$2:$A$71,0)),"")</f>
        <v/>
      </c>
      <c r="O441" s="25">
        <f>IFERROR(INDEX(Produtos!$C$2:$C$71,MATCH(C441,Produtos!$A$2:$A$71,0)),"")</f>
        <v/>
      </c>
      <c r="P441" s="25">
        <f>IFERROR(INDEX(Produtos!$D$2:$D$71,MATCH(C441,Produtos!$A$2:$A$71,0)),0)</f>
        <v/>
      </c>
      <c r="Q441" s="25">
        <f>IFERROR(INDEX(Produtos!$E$2:$E$71,MATCH(C441,Produtos!$A$2:$A$71,0)),0)</f>
        <v/>
      </c>
      <c r="R441" s="27">
        <f>D441*Q441</f>
        <v/>
      </c>
      <c r="S441" s="27">
        <f>R441*E441</f>
        <v/>
      </c>
      <c r="T441" s="27">
        <f>(R441-S441)*M441</f>
        <v/>
      </c>
      <c r="U441" s="27">
        <f>R441-S441-T441</f>
        <v/>
      </c>
      <c r="V441" s="27">
        <f>D441*P441</f>
        <v/>
      </c>
      <c r="W441" s="27">
        <f>U441-V441</f>
        <v/>
      </c>
      <c r="X441" s="28">
        <f>IFERROR(W441/U441,0)</f>
        <v/>
      </c>
    </row>
    <row r="442">
      <c r="A442" s="21">
        <f>ItensPedido!A442</f>
        <v/>
      </c>
      <c r="B442" s="21">
        <f>ItensPedido!B442</f>
        <v/>
      </c>
      <c r="C442" s="21">
        <f>ItensPedido!C442</f>
        <v/>
      </c>
      <c r="D442" s="21">
        <f>ItensPedido!D442</f>
        <v/>
      </c>
      <c r="E442" s="22">
        <f>ItensPedido!E442</f>
        <v/>
      </c>
      <c r="F442" s="21">
        <f>IFERROR(INDEX(Pedidos!$B$2:$B$1801,MATCH(B442,Pedidos!$A$2:$A$1801,0)),0)</f>
        <v/>
      </c>
      <c r="G442" s="21">
        <f>IF(F442=0,"",YEAR(F442))</f>
        <v/>
      </c>
      <c r="H442" s="21">
        <f>IF(F442=0,"",MONTH(F442))</f>
        <v/>
      </c>
      <c r="I442" s="21">
        <f>IFERROR(INDEX(Pedidos!$E$2:$E$1801,MATCH(B442,Pedidos!$A$2:$A$1801,0)),"")</f>
        <v/>
      </c>
      <c r="J442" s="21">
        <f>IFERROR(INDEX(Pedidos!$C$2:$C$1801,MATCH(B442,Pedidos!$A$2:$A$1801,0)),"")</f>
        <v/>
      </c>
      <c r="K442" s="21">
        <f>IFERROR(INDEX(Pedidos!$D$2:$D$1801,MATCH(B442,Pedidos!$A$2:$A$1801,0)),"")</f>
        <v/>
      </c>
      <c r="L442" s="21">
        <f>IFERROR(INDEX(Pedidos!$F$2:$F$1801,MATCH(B442,Pedidos!$A$2:$A$1801,0)),"")</f>
        <v/>
      </c>
      <c r="M442" s="22">
        <f>IFERROR(INDEX(Pedidos!$G$2:$G$1801,MATCH(B442,Pedidos!$A$2:$A$1801,0)),0)</f>
        <v/>
      </c>
      <c r="N442" s="21">
        <f>IFERROR(INDEX(Produtos!$B$2:$B$71,MATCH(C442,Produtos!$A$2:$A$71,0)),"")</f>
        <v/>
      </c>
      <c r="O442" s="21">
        <f>IFERROR(INDEX(Produtos!$C$2:$C$71,MATCH(C442,Produtos!$A$2:$A$71,0)),"")</f>
        <v/>
      </c>
      <c r="P442" s="21">
        <f>IFERROR(INDEX(Produtos!$D$2:$D$71,MATCH(C442,Produtos!$A$2:$A$71,0)),0)</f>
        <v/>
      </c>
      <c r="Q442" s="21">
        <f>IFERROR(INDEX(Produtos!$E$2:$E$71,MATCH(C442,Produtos!$A$2:$A$71,0)),0)</f>
        <v/>
      </c>
      <c r="R442" s="23">
        <f>D442*Q442</f>
        <v/>
      </c>
      <c r="S442" s="23">
        <f>R442*E442</f>
        <v/>
      </c>
      <c r="T442" s="23">
        <f>(R442-S442)*M442</f>
        <v/>
      </c>
      <c r="U442" s="23">
        <f>R442-S442-T442</f>
        <v/>
      </c>
      <c r="V442" s="23">
        <f>D442*P442</f>
        <v/>
      </c>
      <c r="W442" s="23">
        <f>U442-V442</f>
        <v/>
      </c>
      <c r="X442" s="24">
        <f>IFERROR(W442/U442,0)</f>
        <v/>
      </c>
    </row>
    <row r="443">
      <c r="A443" s="25">
        <f>ItensPedido!A443</f>
        <v/>
      </c>
      <c r="B443" s="25">
        <f>ItensPedido!B443</f>
        <v/>
      </c>
      <c r="C443" s="25">
        <f>ItensPedido!C443</f>
        <v/>
      </c>
      <c r="D443" s="25">
        <f>ItensPedido!D443</f>
        <v/>
      </c>
      <c r="E443" s="26">
        <f>ItensPedido!E443</f>
        <v/>
      </c>
      <c r="F443" s="25">
        <f>IFERROR(INDEX(Pedidos!$B$2:$B$1801,MATCH(B443,Pedidos!$A$2:$A$1801,0)),0)</f>
        <v/>
      </c>
      <c r="G443" s="25">
        <f>IF(F443=0,"",YEAR(F443))</f>
        <v/>
      </c>
      <c r="H443" s="25">
        <f>IF(F443=0,"",MONTH(F443))</f>
        <v/>
      </c>
      <c r="I443" s="25">
        <f>IFERROR(INDEX(Pedidos!$E$2:$E$1801,MATCH(B443,Pedidos!$A$2:$A$1801,0)),"")</f>
        <v/>
      </c>
      <c r="J443" s="25">
        <f>IFERROR(INDEX(Pedidos!$C$2:$C$1801,MATCH(B443,Pedidos!$A$2:$A$1801,0)),"")</f>
        <v/>
      </c>
      <c r="K443" s="25">
        <f>IFERROR(INDEX(Pedidos!$D$2:$D$1801,MATCH(B443,Pedidos!$A$2:$A$1801,0)),"")</f>
        <v/>
      </c>
      <c r="L443" s="25">
        <f>IFERROR(INDEX(Pedidos!$F$2:$F$1801,MATCH(B443,Pedidos!$A$2:$A$1801,0)),"")</f>
        <v/>
      </c>
      <c r="M443" s="26">
        <f>IFERROR(INDEX(Pedidos!$G$2:$G$1801,MATCH(B443,Pedidos!$A$2:$A$1801,0)),0)</f>
        <v/>
      </c>
      <c r="N443" s="25">
        <f>IFERROR(INDEX(Produtos!$B$2:$B$71,MATCH(C443,Produtos!$A$2:$A$71,0)),"")</f>
        <v/>
      </c>
      <c r="O443" s="25">
        <f>IFERROR(INDEX(Produtos!$C$2:$C$71,MATCH(C443,Produtos!$A$2:$A$71,0)),"")</f>
        <v/>
      </c>
      <c r="P443" s="25">
        <f>IFERROR(INDEX(Produtos!$D$2:$D$71,MATCH(C443,Produtos!$A$2:$A$71,0)),0)</f>
        <v/>
      </c>
      <c r="Q443" s="25">
        <f>IFERROR(INDEX(Produtos!$E$2:$E$71,MATCH(C443,Produtos!$A$2:$A$71,0)),0)</f>
        <v/>
      </c>
      <c r="R443" s="27">
        <f>D443*Q443</f>
        <v/>
      </c>
      <c r="S443" s="27">
        <f>R443*E443</f>
        <v/>
      </c>
      <c r="T443" s="27">
        <f>(R443-S443)*M443</f>
        <v/>
      </c>
      <c r="U443" s="27">
        <f>R443-S443-T443</f>
        <v/>
      </c>
      <c r="V443" s="27">
        <f>D443*P443</f>
        <v/>
      </c>
      <c r="W443" s="27">
        <f>U443-V443</f>
        <v/>
      </c>
      <c r="X443" s="28">
        <f>IFERROR(W443/U443,0)</f>
        <v/>
      </c>
    </row>
    <row r="444">
      <c r="A444" s="21">
        <f>ItensPedido!A444</f>
        <v/>
      </c>
      <c r="B444" s="21">
        <f>ItensPedido!B444</f>
        <v/>
      </c>
      <c r="C444" s="21">
        <f>ItensPedido!C444</f>
        <v/>
      </c>
      <c r="D444" s="21">
        <f>ItensPedido!D444</f>
        <v/>
      </c>
      <c r="E444" s="22">
        <f>ItensPedido!E444</f>
        <v/>
      </c>
      <c r="F444" s="21">
        <f>IFERROR(INDEX(Pedidos!$B$2:$B$1801,MATCH(B444,Pedidos!$A$2:$A$1801,0)),0)</f>
        <v/>
      </c>
      <c r="G444" s="21">
        <f>IF(F444=0,"",YEAR(F444))</f>
        <v/>
      </c>
      <c r="H444" s="21">
        <f>IF(F444=0,"",MONTH(F444))</f>
        <v/>
      </c>
      <c r="I444" s="21">
        <f>IFERROR(INDEX(Pedidos!$E$2:$E$1801,MATCH(B444,Pedidos!$A$2:$A$1801,0)),"")</f>
        <v/>
      </c>
      <c r="J444" s="21">
        <f>IFERROR(INDEX(Pedidos!$C$2:$C$1801,MATCH(B444,Pedidos!$A$2:$A$1801,0)),"")</f>
        <v/>
      </c>
      <c r="K444" s="21">
        <f>IFERROR(INDEX(Pedidos!$D$2:$D$1801,MATCH(B444,Pedidos!$A$2:$A$1801,0)),"")</f>
        <v/>
      </c>
      <c r="L444" s="21">
        <f>IFERROR(INDEX(Pedidos!$F$2:$F$1801,MATCH(B444,Pedidos!$A$2:$A$1801,0)),"")</f>
        <v/>
      </c>
      <c r="M444" s="22">
        <f>IFERROR(INDEX(Pedidos!$G$2:$G$1801,MATCH(B444,Pedidos!$A$2:$A$1801,0)),0)</f>
        <v/>
      </c>
      <c r="N444" s="21">
        <f>IFERROR(INDEX(Produtos!$B$2:$B$71,MATCH(C444,Produtos!$A$2:$A$71,0)),"")</f>
        <v/>
      </c>
      <c r="O444" s="21">
        <f>IFERROR(INDEX(Produtos!$C$2:$C$71,MATCH(C444,Produtos!$A$2:$A$71,0)),"")</f>
        <v/>
      </c>
      <c r="P444" s="21">
        <f>IFERROR(INDEX(Produtos!$D$2:$D$71,MATCH(C444,Produtos!$A$2:$A$71,0)),0)</f>
        <v/>
      </c>
      <c r="Q444" s="21">
        <f>IFERROR(INDEX(Produtos!$E$2:$E$71,MATCH(C444,Produtos!$A$2:$A$71,0)),0)</f>
        <v/>
      </c>
      <c r="R444" s="23">
        <f>D444*Q444</f>
        <v/>
      </c>
      <c r="S444" s="23">
        <f>R444*E444</f>
        <v/>
      </c>
      <c r="T444" s="23">
        <f>(R444-S444)*M444</f>
        <v/>
      </c>
      <c r="U444" s="23">
        <f>R444-S444-T444</f>
        <v/>
      </c>
      <c r="V444" s="23">
        <f>D444*P444</f>
        <v/>
      </c>
      <c r="W444" s="23">
        <f>U444-V444</f>
        <v/>
      </c>
      <c r="X444" s="24">
        <f>IFERROR(W444/U444,0)</f>
        <v/>
      </c>
    </row>
    <row r="445">
      <c r="A445" s="25">
        <f>ItensPedido!A445</f>
        <v/>
      </c>
      <c r="B445" s="25">
        <f>ItensPedido!B445</f>
        <v/>
      </c>
      <c r="C445" s="25">
        <f>ItensPedido!C445</f>
        <v/>
      </c>
      <c r="D445" s="25">
        <f>ItensPedido!D445</f>
        <v/>
      </c>
      <c r="E445" s="26">
        <f>ItensPedido!E445</f>
        <v/>
      </c>
      <c r="F445" s="25">
        <f>IFERROR(INDEX(Pedidos!$B$2:$B$1801,MATCH(B445,Pedidos!$A$2:$A$1801,0)),0)</f>
        <v/>
      </c>
      <c r="G445" s="25">
        <f>IF(F445=0,"",YEAR(F445))</f>
        <v/>
      </c>
      <c r="H445" s="25">
        <f>IF(F445=0,"",MONTH(F445))</f>
        <v/>
      </c>
      <c r="I445" s="25">
        <f>IFERROR(INDEX(Pedidos!$E$2:$E$1801,MATCH(B445,Pedidos!$A$2:$A$1801,0)),"")</f>
        <v/>
      </c>
      <c r="J445" s="25">
        <f>IFERROR(INDEX(Pedidos!$C$2:$C$1801,MATCH(B445,Pedidos!$A$2:$A$1801,0)),"")</f>
        <v/>
      </c>
      <c r="K445" s="25">
        <f>IFERROR(INDEX(Pedidos!$D$2:$D$1801,MATCH(B445,Pedidos!$A$2:$A$1801,0)),"")</f>
        <v/>
      </c>
      <c r="L445" s="25">
        <f>IFERROR(INDEX(Pedidos!$F$2:$F$1801,MATCH(B445,Pedidos!$A$2:$A$1801,0)),"")</f>
        <v/>
      </c>
      <c r="M445" s="26">
        <f>IFERROR(INDEX(Pedidos!$G$2:$G$1801,MATCH(B445,Pedidos!$A$2:$A$1801,0)),0)</f>
        <v/>
      </c>
      <c r="N445" s="25">
        <f>IFERROR(INDEX(Produtos!$B$2:$B$71,MATCH(C445,Produtos!$A$2:$A$71,0)),"")</f>
        <v/>
      </c>
      <c r="O445" s="25">
        <f>IFERROR(INDEX(Produtos!$C$2:$C$71,MATCH(C445,Produtos!$A$2:$A$71,0)),"")</f>
        <v/>
      </c>
      <c r="P445" s="25">
        <f>IFERROR(INDEX(Produtos!$D$2:$D$71,MATCH(C445,Produtos!$A$2:$A$71,0)),0)</f>
        <v/>
      </c>
      <c r="Q445" s="25">
        <f>IFERROR(INDEX(Produtos!$E$2:$E$71,MATCH(C445,Produtos!$A$2:$A$71,0)),0)</f>
        <v/>
      </c>
      <c r="R445" s="27">
        <f>D445*Q445</f>
        <v/>
      </c>
      <c r="S445" s="27">
        <f>R445*E445</f>
        <v/>
      </c>
      <c r="T445" s="27">
        <f>(R445-S445)*M445</f>
        <v/>
      </c>
      <c r="U445" s="27">
        <f>R445-S445-T445</f>
        <v/>
      </c>
      <c r="V445" s="27">
        <f>D445*P445</f>
        <v/>
      </c>
      <c r="W445" s="27">
        <f>U445-V445</f>
        <v/>
      </c>
      <c r="X445" s="28">
        <f>IFERROR(W445/U445,0)</f>
        <v/>
      </c>
    </row>
    <row r="446">
      <c r="A446" s="21">
        <f>ItensPedido!A446</f>
        <v/>
      </c>
      <c r="B446" s="21">
        <f>ItensPedido!B446</f>
        <v/>
      </c>
      <c r="C446" s="21">
        <f>ItensPedido!C446</f>
        <v/>
      </c>
      <c r="D446" s="21">
        <f>ItensPedido!D446</f>
        <v/>
      </c>
      <c r="E446" s="22">
        <f>ItensPedido!E446</f>
        <v/>
      </c>
      <c r="F446" s="21">
        <f>IFERROR(INDEX(Pedidos!$B$2:$B$1801,MATCH(B446,Pedidos!$A$2:$A$1801,0)),0)</f>
        <v/>
      </c>
      <c r="G446" s="21">
        <f>IF(F446=0,"",YEAR(F446))</f>
        <v/>
      </c>
      <c r="H446" s="21">
        <f>IF(F446=0,"",MONTH(F446))</f>
        <v/>
      </c>
      <c r="I446" s="21">
        <f>IFERROR(INDEX(Pedidos!$E$2:$E$1801,MATCH(B446,Pedidos!$A$2:$A$1801,0)),"")</f>
        <v/>
      </c>
      <c r="J446" s="21">
        <f>IFERROR(INDEX(Pedidos!$C$2:$C$1801,MATCH(B446,Pedidos!$A$2:$A$1801,0)),"")</f>
        <v/>
      </c>
      <c r="K446" s="21">
        <f>IFERROR(INDEX(Pedidos!$D$2:$D$1801,MATCH(B446,Pedidos!$A$2:$A$1801,0)),"")</f>
        <v/>
      </c>
      <c r="L446" s="21">
        <f>IFERROR(INDEX(Pedidos!$F$2:$F$1801,MATCH(B446,Pedidos!$A$2:$A$1801,0)),"")</f>
        <v/>
      </c>
      <c r="M446" s="22">
        <f>IFERROR(INDEX(Pedidos!$G$2:$G$1801,MATCH(B446,Pedidos!$A$2:$A$1801,0)),0)</f>
        <v/>
      </c>
      <c r="N446" s="21">
        <f>IFERROR(INDEX(Produtos!$B$2:$B$71,MATCH(C446,Produtos!$A$2:$A$71,0)),"")</f>
        <v/>
      </c>
      <c r="O446" s="21">
        <f>IFERROR(INDEX(Produtos!$C$2:$C$71,MATCH(C446,Produtos!$A$2:$A$71,0)),"")</f>
        <v/>
      </c>
      <c r="P446" s="21">
        <f>IFERROR(INDEX(Produtos!$D$2:$D$71,MATCH(C446,Produtos!$A$2:$A$71,0)),0)</f>
        <v/>
      </c>
      <c r="Q446" s="21">
        <f>IFERROR(INDEX(Produtos!$E$2:$E$71,MATCH(C446,Produtos!$A$2:$A$71,0)),0)</f>
        <v/>
      </c>
      <c r="R446" s="23">
        <f>D446*Q446</f>
        <v/>
      </c>
      <c r="S446" s="23">
        <f>R446*E446</f>
        <v/>
      </c>
      <c r="T446" s="23">
        <f>(R446-S446)*M446</f>
        <v/>
      </c>
      <c r="U446" s="23">
        <f>R446-S446-T446</f>
        <v/>
      </c>
      <c r="V446" s="23">
        <f>D446*P446</f>
        <v/>
      </c>
      <c r="W446" s="23">
        <f>U446-V446</f>
        <v/>
      </c>
      <c r="X446" s="24">
        <f>IFERROR(W446/U446,0)</f>
        <v/>
      </c>
    </row>
    <row r="447">
      <c r="A447" s="25">
        <f>ItensPedido!A447</f>
        <v/>
      </c>
      <c r="B447" s="25">
        <f>ItensPedido!B447</f>
        <v/>
      </c>
      <c r="C447" s="25">
        <f>ItensPedido!C447</f>
        <v/>
      </c>
      <c r="D447" s="25">
        <f>ItensPedido!D447</f>
        <v/>
      </c>
      <c r="E447" s="26">
        <f>ItensPedido!E447</f>
        <v/>
      </c>
      <c r="F447" s="25">
        <f>IFERROR(INDEX(Pedidos!$B$2:$B$1801,MATCH(B447,Pedidos!$A$2:$A$1801,0)),0)</f>
        <v/>
      </c>
      <c r="G447" s="25">
        <f>IF(F447=0,"",YEAR(F447))</f>
        <v/>
      </c>
      <c r="H447" s="25">
        <f>IF(F447=0,"",MONTH(F447))</f>
        <v/>
      </c>
      <c r="I447" s="25">
        <f>IFERROR(INDEX(Pedidos!$E$2:$E$1801,MATCH(B447,Pedidos!$A$2:$A$1801,0)),"")</f>
        <v/>
      </c>
      <c r="J447" s="25">
        <f>IFERROR(INDEX(Pedidos!$C$2:$C$1801,MATCH(B447,Pedidos!$A$2:$A$1801,0)),"")</f>
        <v/>
      </c>
      <c r="K447" s="25">
        <f>IFERROR(INDEX(Pedidos!$D$2:$D$1801,MATCH(B447,Pedidos!$A$2:$A$1801,0)),"")</f>
        <v/>
      </c>
      <c r="L447" s="25">
        <f>IFERROR(INDEX(Pedidos!$F$2:$F$1801,MATCH(B447,Pedidos!$A$2:$A$1801,0)),"")</f>
        <v/>
      </c>
      <c r="M447" s="26">
        <f>IFERROR(INDEX(Pedidos!$G$2:$G$1801,MATCH(B447,Pedidos!$A$2:$A$1801,0)),0)</f>
        <v/>
      </c>
      <c r="N447" s="25">
        <f>IFERROR(INDEX(Produtos!$B$2:$B$71,MATCH(C447,Produtos!$A$2:$A$71,0)),"")</f>
        <v/>
      </c>
      <c r="O447" s="25">
        <f>IFERROR(INDEX(Produtos!$C$2:$C$71,MATCH(C447,Produtos!$A$2:$A$71,0)),"")</f>
        <v/>
      </c>
      <c r="P447" s="25">
        <f>IFERROR(INDEX(Produtos!$D$2:$D$71,MATCH(C447,Produtos!$A$2:$A$71,0)),0)</f>
        <v/>
      </c>
      <c r="Q447" s="25">
        <f>IFERROR(INDEX(Produtos!$E$2:$E$71,MATCH(C447,Produtos!$A$2:$A$71,0)),0)</f>
        <v/>
      </c>
      <c r="R447" s="27">
        <f>D447*Q447</f>
        <v/>
      </c>
      <c r="S447" s="27">
        <f>R447*E447</f>
        <v/>
      </c>
      <c r="T447" s="27">
        <f>(R447-S447)*M447</f>
        <v/>
      </c>
      <c r="U447" s="27">
        <f>R447-S447-T447</f>
        <v/>
      </c>
      <c r="V447" s="27">
        <f>D447*P447</f>
        <v/>
      </c>
      <c r="W447" s="27">
        <f>U447-V447</f>
        <v/>
      </c>
      <c r="X447" s="28">
        <f>IFERROR(W447/U447,0)</f>
        <v/>
      </c>
    </row>
    <row r="448">
      <c r="A448" s="21">
        <f>ItensPedido!A448</f>
        <v/>
      </c>
      <c r="B448" s="21">
        <f>ItensPedido!B448</f>
        <v/>
      </c>
      <c r="C448" s="21">
        <f>ItensPedido!C448</f>
        <v/>
      </c>
      <c r="D448" s="21">
        <f>ItensPedido!D448</f>
        <v/>
      </c>
      <c r="E448" s="22">
        <f>ItensPedido!E448</f>
        <v/>
      </c>
      <c r="F448" s="21">
        <f>IFERROR(INDEX(Pedidos!$B$2:$B$1801,MATCH(B448,Pedidos!$A$2:$A$1801,0)),0)</f>
        <v/>
      </c>
      <c r="G448" s="21">
        <f>IF(F448=0,"",YEAR(F448))</f>
        <v/>
      </c>
      <c r="H448" s="21">
        <f>IF(F448=0,"",MONTH(F448))</f>
        <v/>
      </c>
      <c r="I448" s="21">
        <f>IFERROR(INDEX(Pedidos!$E$2:$E$1801,MATCH(B448,Pedidos!$A$2:$A$1801,0)),"")</f>
        <v/>
      </c>
      <c r="J448" s="21">
        <f>IFERROR(INDEX(Pedidos!$C$2:$C$1801,MATCH(B448,Pedidos!$A$2:$A$1801,0)),"")</f>
        <v/>
      </c>
      <c r="K448" s="21">
        <f>IFERROR(INDEX(Pedidos!$D$2:$D$1801,MATCH(B448,Pedidos!$A$2:$A$1801,0)),"")</f>
        <v/>
      </c>
      <c r="L448" s="21">
        <f>IFERROR(INDEX(Pedidos!$F$2:$F$1801,MATCH(B448,Pedidos!$A$2:$A$1801,0)),"")</f>
        <v/>
      </c>
      <c r="M448" s="22">
        <f>IFERROR(INDEX(Pedidos!$G$2:$G$1801,MATCH(B448,Pedidos!$A$2:$A$1801,0)),0)</f>
        <v/>
      </c>
      <c r="N448" s="21">
        <f>IFERROR(INDEX(Produtos!$B$2:$B$71,MATCH(C448,Produtos!$A$2:$A$71,0)),"")</f>
        <v/>
      </c>
      <c r="O448" s="21">
        <f>IFERROR(INDEX(Produtos!$C$2:$C$71,MATCH(C448,Produtos!$A$2:$A$71,0)),"")</f>
        <v/>
      </c>
      <c r="P448" s="21">
        <f>IFERROR(INDEX(Produtos!$D$2:$D$71,MATCH(C448,Produtos!$A$2:$A$71,0)),0)</f>
        <v/>
      </c>
      <c r="Q448" s="21">
        <f>IFERROR(INDEX(Produtos!$E$2:$E$71,MATCH(C448,Produtos!$A$2:$A$71,0)),0)</f>
        <v/>
      </c>
      <c r="R448" s="23">
        <f>D448*Q448</f>
        <v/>
      </c>
      <c r="S448" s="23">
        <f>R448*E448</f>
        <v/>
      </c>
      <c r="T448" s="23">
        <f>(R448-S448)*M448</f>
        <v/>
      </c>
      <c r="U448" s="23">
        <f>R448-S448-T448</f>
        <v/>
      </c>
      <c r="V448" s="23">
        <f>D448*P448</f>
        <v/>
      </c>
      <c r="W448" s="23">
        <f>U448-V448</f>
        <v/>
      </c>
      <c r="X448" s="24">
        <f>IFERROR(W448/U448,0)</f>
        <v/>
      </c>
    </row>
    <row r="449">
      <c r="A449" s="25">
        <f>ItensPedido!A449</f>
        <v/>
      </c>
      <c r="B449" s="25">
        <f>ItensPedido!B449</f>
        <v/>
      </c>
      <c r="C449" s="25">
        <f>ItensPedido!C449</f>
        <v/>
      </c>
      <c r="D449" s="25">
        <f>ItensPedido!D449</f>
        <v/>
      </c>
      <c r="E449" s="26">
        <f>ItensPedido!E449</f>
        <v/>
      </c>
      <c r="F449" s="25">
        <f>IFERROR(INDEX(Pedidos!$B$2:$B$1801,MATCH(B449,Pedidos!$A$2:$A$1801,0)),0)</f>
        <v/>
      </c>
      <c r="G449" s="25">
        <f>IF(F449=0,"",YEAR(F449))</f>
        <v/>
      </c>
      <c r="H449" s="25">
        <f>IF(F449=0,"",MONTH(F449))</f>
        <v/>
      </c>
      <c r="I449" s="25">
        <f>IFERROR(INDEX(Pedidos!$E$2:$E$1801,MATCH(B449,Pedidos!$A$2:$A$1801,0)),"")</f>
        <v/>
      </c>
      <c r="J449" s="25">
        <f>IFERROR(INDEX(Pedidos!$C$2:$C$1801,MATCH(B449,Pedidos!$A$2:$A$1801,0)),"")</f>
        <v/>
      </c>
      <c r="K449" s="25">
        <f>IFERROR(INDEX(Pedidos!$D$2:$D$1801,MATCH(B449,Pedidos!$A$2:$A$1801,0)),"")</f>
        <v/>
      </c>
      <c r="L449" s="25">
        <f>IFERROR(INDEX(Pedidos!$F$2:$F$1801,MATCH(B449,Pedidos!$A$2:$A$1801,0)),"")</f>
        <v/>
      </c>
      <c r="M449" s="26">
        <f>IFERROR(INDEX(Pedidos!$G$2:$G$1801,MATCH(B449,Pedidos!$A$2:$A$1801,0)),0)</f>
        <v/>
      </c>
      <c r="N449" s="25">
        <f>IFERROR(INDEX(Produtos!$B$2:$B$71,MATCH(C449,Produtos!$A$2:$A$71,0)),"")</f>
        <v/>
      </c>
      <c r="O449" s="25">
        <f>IFERROR(INDEX(Produtos!$C$2:$C$71,MATCH(C449,Produtos!$A$2:$A$71,0)),"")</f>
        <v/>
      </c>
      <c r="P449" s="25">
        <f>IFERROR(INDEX(Produtos!$D$2:$D$71,MATCH(C449,Produtos!$A$2:$A$71,0)),0)</f>
        <v/>
      </c>
      <c r="Q449" s="25">
        <f>IFERROR(INDEX(Produtos!$E$2:$E$71,MATCH(C449,Produtos!$A$2:$A$71,0)),0)</f>
        <v/>
      </c>
      <c r="R449" s="27">
        <f>D449*Q449</f>
        <v/>
      </c>
      <c r="S449" s="27">
        <f>R449*E449</f>
        <v/>
      </c>
      <c r="T449" s="27">
        <f>(R449-S449)*M449</f>
        <v/>
      </c>
      <c r="U449" s="27">
        <f>R449-S449-T449</f>
        <v/>
      </c>
      <c r="V449" s="27">
        <f>D449*P449</f>
        <v/>
      </c>
      <c r="W449" s="27">
        <f>U449-V449</f>
        <v/>
      </c>
      <c r="X449" s="28">
        <f>IFERROR(W449/U449,0)</f>
        <v/>
      </c>
    </row>
    <row r="450">
      <c r="A450" s="21">
        <f>ItensPedido!A450</f>
        <v/>
      </c>
      <c r="B450" s="21">
        <f>ItensPedido!B450</f>
        <v/>
      </c>
      <c r="C450" s="21">
        <f>ItensPedido!C450</f>
        <v/>
      </c>
      <c r="D450" s="21">
        <f>ItensPedido!D450</f>
        <v/>
      </c>
      <c r="E450" s="22">
        <f>ItensPedido!E450</f>
        <v/>
      </c>
      <c r="F450" s="21">
        <f>IFERROR(INDEX(Pedidos!$B$2:$B$1801,MATCH(B450,Pedidos!$A$2:$A$1801,0)),0)</f>
        <v/>
      </c>
      <c r="G450" s="21">
        <f>IF(F450=0,"",YEAR(F450))</f>
        <v/>
      </c>
      <c r="H450" s="21">
        <f>IF(F450=0,"",MONTH(F450))</f>
        <v/>
      </c>
      <c r="I450" s="21">
        <f>IFERROR(INDEX(Pedidos!$E$2:$E$1801,MATCH(B450,Pedidos!$A$2:$A$1801,0)),"")</f>
        <v/>
      </c>
      <c r="J450" s="21">
        <f>IFERROR(INDEX(Pedidos!$C$2:$C$1801,MATCH(B450,Pedidos!$A$2:$A$1801,0)),"")</f>
        <v/>
      </c>
      <c r="K450" s="21">
        <f>IFERROR(INDEX(Pedidos!$D$2:$D$1801,MATCH(B450,Pedidos!$A$2:$A$1801,0)),"")</f>
        <v/>
      </c>
      <c r="L450" s="21">
        <f>IFERROR(INDEX(Pedidos!$F$2:$F$1801,MATCH(B450,Pedidos!$A$2:$A$1801,0)),"")</f>
        <v/>
      </c>
      <c r="M450" s="22">
        <f>IFERROR(INDEX(Pedidos!$G$2:$G$1801,MATCH(B450,Pedidos!$A$2:$A$1801,0)),0)</f>
        <v/>
      </c>
      <c r="N450" s="21">
        <f>IFERROR(INDEX(Produtos!$B$2:$B$71,MATCH(C450,Produtos!$A$2:$A$71,0)),"")</f>
        <v/>
      </c>
      <c r="O450" s="21">
        <f>IFERROR(INDEX(Produtos!$C$2:$C$71,MATCH(C450,Produtos!$A$2:$A$71,0)),"")</f>
        <v/>
      </c>
      <c r="P450" s="21">
        <f>IFERROR(INDEX(Produtos!$D$2:$D$71,MATCH(C450,Produtos!$A$2:$A$71,0)),0)</f>
        <v/>
      </c>
      <c r="Q450" s="21">
        <f>IFERROR(INDEX(Produtos!$E$2:$E$71,MATCH(C450,Produtos!$A$2:$A$71,0)),0)</f>
        <v/>
      </c>
      <c r="R450" s="23">
        <f>D450*Q450</f>
        <v/>
      </c>
      <c r="S450" s="23">
        <f>R450*E450</f>
        <v/>
      </c>
      <c r="T450" s="23">
        <f>(R450-S450)*M450</f>
        <v/>
      </c>
      <c r="U450" s="23">
        <f>R450-S450-T450</f>
        <v/>
      </c>
      <c r="V450" s="23">
        <f>D450*P450</f>
        <v/>
      </c>
      <c r="W450" s="23">
        <f>U450-V450</f>
        <v/>
      </c>
      <c r="X450" s="24">
        <f>IFERROR(W450/U450,0)</f>
        <v/>
      </c>
    </row>
    <row r="451">
      <c r="A451" s="25">
        <f>ItensPedido!A451</f>
        <v/>
      </c>
      <c r="B451" s="25">
        <f>ItensPedido!B451</f>
        <v/>
      </c>
      <c r="C451" s="25">
        <f>ItensPedido!C451</f>
        <v/>
      </c>
      <c r="D451" s="25">
        <f>ItensPedido!D451</f>
        <v/>
      </c>
      <c r="E451" s="26">
        <f>ItensPedido!E451</f>
        <v/>
      </c>
      <c r="F451" s="25">
        <f>IFERROR(INDEX(Pedidos!$B$2:$B$1801,MATCH(B451,Pedidos!$A$2:$A$1801,0)),0)</f>
        <v/>
      </c>
      <c r="G451" s="25">
        <f>IF(F451=0,"",YEAR(F451))</f>
        <v/>
      </c>
      <c r="H451" s="25">
        <f>IF(F451=0,"",MONTH(F451))</f>
        <v/>
      </c>
      <c r="I451" s="25">
        <f>IFERROR(INDEX(Pedidos!$E$2:$E$1801,MATCH(B451,Pedidos!$A$2:$A$1801,0)),"")</f>
        <v/>
      </c>
      <c r="J451" s="25">
        <f>IFERROR(INDEX(Pedidos!$C$2:$C$1801,MATCH(B451,Pedidos!$A$2:$A$1801,0)),"")</f>
        <v/>
      </c>
      <c r="K451" s="25">
        <f>IFERROR(INDEX(Pedidos!$D$2:$D$1801,MATCH(B451,Pedidos!$A$2:$A$1801,0)),"")</f>
        <v/>
      </c>
      <c r="L451" s="25">
        <f>IFERROR(INDEX(Pedidos!$F$2:$F$1801,MATCH(B451,Pedidos!$A$2:$A$1801,0)),"")</f>
        <v/>
      </c>
      <c r="M451" s="26">
        <f>IFERROR(INDEX(Pedidos!$G$2:$G$1801,MATCH(B451,Pedidos!$A$2:$A$1801,0)),0)</f>
        <v/>
      </c>
      <c r="N451" s="25">
        <f>IFERROR(INDEX(Produtos!$B$2:$B$71,MATCH(C451,Produtos!$A$2:$A$71,0)),"")</f>
        <v/>
      </c>
      <c r="O451" s="25">
        <f>IFERROR(INDEX(Produtos!$C$2:$C$71,MATCH(C451,Produtos!$A$2:$A$71,0)),"")</f>
        <v/>
      </c>
      <c r="P451" s="25">
        <f>IFERROR(INDEX(Produtos!$D$2:$D$71,MATCH(C451,Produtos!$A$2:$A$71,0)),0)</f>
        <v/>
      </c>
      <c r="Q451" s="25">
        <f>IFERROR(INDEX(Produtos!$E$2:$E$71,MATCH(C451,Produtos!$A$2:$A$71,0)),0)</f>
        <v/>
      </c>
      <c r="R451" s="27">
        <f>D451*Q451</f>
        <v/>
      </c>
      <c r="S451" s="27">
        <f>R451*E451</f>
        <v/>
      </c>
      <c r="T451" s="27">
        <f>(R451-S451)*M451</f>
        <v/>
      </c>
      <c r="U451" s="27">
        <f>R451-S451-T451</f>
        <v/>
      </c>
      <c r="V451" s="27">
        <f>D451*P451</f>
        <v/>
      </c>
      <c r="W451" s="27">
        <f>U451-V451</f>
        <v/>
      </c>
      <c r="X451" s="28">
        <f>IFERROR(W451/U451,0)</f>
        <v/>
      </c>
    </row>
    <row r="452">
      <c r="A452" s="21">
        <f>ItensPedido!A452</f>
        <v/>
      </c>
      <c r="B452" s="21">
        <f>ItensPedido!B452</f>
        <v/>
      </c>
      <c r="C452" s="21">
        <f>ItensPedido!C452</f>
        <v/>
      </c>
      <c r="D452" s="21">
        <f>ItensPedido!D452</f>
        <v/>
      </c>
      <c r="E452" s="22">
        <f>ItensPedido!E452</f>
        <v/>
      </c>
      <c r="F452" s="21">
        <f>IFERROR(INDEX(Pedidos!$B$2:$B$1801,MATCH(B452,Pedidos!$A$2:$A$1801,0)),0)</f>
        <v/>
      </c>
      <c r="G452" s="21">
        <f>IF(F452=0,"",YEAR(F452))</f>
        <v/>
      </c>
      <c r="H452" s="21">
        <f>IF(F452=0,"",MONTH(F452))</f>
        <v/>
      </c>
      <c r="I452" s="21">
        <f>IFERROR(INDEX(Pedidos!$E$2:$E$1801,MATCH(B452,Pedidos!$A$2:$A$1801,0)),"")</f>
        <v/>
      </c>
      <c r="J452" s="21">
        <f>IFERROR(INDEX(Pedidos!$C$2:$C$1801,MATCH(B452,Pedidos!$A$2:$A$1801,0)),"")</f>
        <v/>
      </c>
      <c r="K452" s="21">
        <f>IFERROR(INDEX(Pedidos!$D$2:$D$1801,MATCH(B452,Pedidos!$A$2:$A$1801,0)),"")</f>
        <v/>
      </c>
      <c r="L452" s="21">
        <f>IFERROR(INDEX(Pedidos!$F$2:$F$1801,MATCH(B452,Pedidos!$A$2:$A$1801,0)),"")</f>
        <v/>
      </c>
      <c r="M452" s="22">
        <f>IFERROR(INDEX(Pedidos!$G$2:$G$1801,MATCH(B452,Pedidos!$A$2:$A$1801,0)),0)</f>
        <v/>
      </c>
      <c r="N452" s="21">
        <f>IFERROR(INDEX(Produtos!$B$2:$B$71,MATCH(C452,Produtos!$A$2:$A$71,0)),"")</f>
        <v/>
      </c>
      <c r="O452" s="21">
        <f>IFERROR(INDEX(Produtos!$C$2:$C$71,MATCH(C452,Produtos!$A$2:$A$71,0)),"")</f>
        <v/>
      </c>
      <c r="P452" s="21">
        <f>IFERROR(INDEX(Produtos!$D$2:$D$71,MATCH(C452,Produtos!$A$2:$A$71,0)),0)</f>
        <v/>
      </c>
      <c r="Q452" s="21">
        <f>IFERROR(INDEX(Produtos!$E$2:$E$71,MATCH(C452,Produtos!$A$2:$A$71,0)),0)</f>
        <v/>
      </c>
      <c r="R452" s="23">
        <f>D452*Q452</f>
        <v/>
      </c>
      <c r="S452" s="23">
        <f>R452*E452</f>
        <v/>
      </c>
      <c r="T452" s="23">
        <f>(R452-S452)*M452</f>
        <v/>
      </c>
      <c r="U452" s="23">
        <f>R452-S452-T452</f>
        <v/>
      </c>
      <c r="V452" s="23">
        <f>D452*P452</f>
        <v/>
      </c>
      <c r="W452" s="23">
        <f>U452-V452</f>
        <v/>
      </c>
      <c r="X452" s="24">
        <f>IFERROR(W452/U452,0)</f>
        <v/>
      </c>
    </row>
    <row r="453">
      <c r="A453" s="25">
        <f>ItensPedido!A453</f>
        <v/>
      </c>
      <c r="B453" s="25">
        <f>ItensPedido!B453</f>
        <v/>
      </c>
      <c r="C453" s="25">
        <f>ItensPedido!C453</f>
        <v/>
      </c>
      <c r="D453" s="25">
        <f>ItensPedido!D453</f>
        <v/>
      </c>
      <c r="E453" s="26">
        <f>ItensPedido!E453</f>
        <v/>
      </c>
      <c r="F453" s="25">
        <f>IFERROR(INDEX(Pedidos!$B$2:$B$1801,MATCH(B453,Pedidos!$A$2:$A$1801,0)),0)</f>
        <v/>
      </c>
      <c r="G453" s="25">
        <f>IF(F453=0,"",YEAR(F453))</f>
        <v/>
      </c>
      <c r="H453" s="25">
        <f>IF(F453=0,"",MONTH(F453))</f>
        <v/>
      </c>
      <c r="I453" s="25">
        <f>IFERROR(INDEX(Pedidos!$E$2:$E$1801,MATCH(B453,Pedidos!$A$2:$A$1801,0)),"")</f>
        <v/>
      </c>
      <c r="J453" s="25">
        <f>IFERROR(INDEX(Pedidos!$C$2:$C$1801,MATCH(B453,Pedidos!$A$2:$A$1801,0)),"")</f>
        <v/>
      </c>
      <c r="K453" s="25">
        <f>IFERROR(INDEX(Pedidos!$D$2:$D$1801,MATCH(B453,Pedidos!$A$2:$A$1801,0)),"")</f>
        <v/>
      </c>
      <c r="L453" s="25">
        <f>IFERROR(INDEX(Pedidos!$F$2:$F$1801,MATCH(B453,Pedidos!$A$2:$A$1801,0)),"")</f>
        <v/>
      </c>
      <c r="M453" s="26">
        <f>IFERROR(INDEX(Pedidos!$G$2:$G$1801,MATCH(B453,Pedidos!$A$2:$A$1801,0)),0)</f>
        <v/>
      </c>
      <c r="N453" s="25">
        <f>IFERROR(INDEX(Produtos!$B$2:$B$71,MATCH(C453,Produtos!$A$2:$A$71,0)),"")</f>
        <v/>
      </c>
      <c r="O453" s="25">
        <f>IFERROR(INDEX(Produtos!$C$2:$C$71,MATCH(C453,Produtos!$A$2:$A$71,0)),"")</f>
        <v/>
      </c>
      <c r="P453" s="25">
        <f>IFERROR(INDEX(Produtos!$D$2:$D$71,MATCH(C453,Produtos!$A$2:$A$71,0)),0)</f>
        <v/>
      </c>
      <c r="Q453" s="25">
        <f>IFERROR(INDEX(Produtos!$E$2:$E$71,MATCH(C453,Produtos!$A$2:$A$71,0)),0)</f>
        <v/>
      </c>
      <c r="R453" s="27">
        <f>D453*Q453</f>
        <v/>
      </c>
      <c r="S453" s="27">
        <f>R453*E453</f>
        <v/>
      </c>
      <c r="T453" s="27">
        <f>(R453-S453)*M453</f>
        <v/>
      </c>
      <c r="U453" s="27">
        <f>R453-S453-T453</f>
        <v/>
      </c>
      <c r="V453" s="27">
        <f>D453*P453</f>
        <v/>
      </c>
      <c r="W453" s="27">
        <f>U453-V453</f>
        <v/>
      </c>
      <c r="X453" s="28">
        <f>IFERROR(W453/U453,0)</f>
        <v/>
      </c>
    </row>
    <row r="454">
      <c r="A454" s="21">
        <f>ItensPedido!A454</f>
        <v/>
      </c>
      <c r="B454" s="21">
        <f>ItensPedido!B454</f>
        <v/>
      </c>
      <c r="C454" s="21">
        <f>ItensPedido!C454</f>
        <v/>
      </c>
      <c r="D454" s="21">
        <f>ItensPedido!D454</f>
        <v/>
      </c>
      <c r="E454" s="22">
        <f>ItensPedido!E454</f>
        <v/>
      </c>
      <c r="F454" s="21">
        <f>IFERROR(INDEX(Pedidos!$B$2:$B$1801,MATCH(B454,Pedidos!$A$2:$A$1801,0)),0)</f>
        <v/>
      </c>
      <c r="G454" s="21">
        <f>IF(F454=0,"",YEAR(F454))</f>
        <v/>
      </c>
      <c r="H454" s="21">
        <f>IF(F454=0,"",MONTH(F454))</f>
        <v/>
      </c>
      <c r="I454" s="21">
        <f>IFERROR(INDEX(Pedidos!$E$2:$E$1801,MATCH(B454,Pedidos!$A$2:$A$1801,0)),"")</f>
        <v/>
      </c>
      <c r="J454" s="21">
        <f>IFERROR(INDEX(Pedidos!$C$2:$C$1801,MATCH(B454,Pedidos!$A$2:$A$1801,0)),"")</f>
        <v/>
      </c>
      <c r="K454" s="21">
        <f>IFERROR(INDEX(Pedidos!$D$2:$D$1801,MATCH(B454,Pedidos!$A$2:$A$1801,0)),"")</f>
        <v/>
      </c>
      <c r="L454" s="21">
        <f>IFERROR(INDEX(Pedidos!$F$2:$F$1801,MATCH(B454,Pedidos!$A$2:$A$1801,0)),"")</f>
        <v/>
      </c>
      <c r="M454" s="22">
        <f>IFERROR(INDEX(Pedidos!$G$2:$G$1801,MATCH(B454,Pedidos!$A$2:$A$1801,0)),0)</f>
        <v/>
      </c>
      <c r="N454" s="21">
        <f>IFERROR(INDEX(Produtos!$B$2:$B$71,MATCH(C454,Produtos!$A$2:$A$71,0)),"")</f>
        <v/>
      </c>
      <c r="O454" s="21">
        <f>IFERROR(INDEX(Produtos!$C$2:$C$71,MATCH(C454,Produtos!$A$2:$A$71,0)),"")</f>
        <v/>
      </c>
      <c r="P454" s="21">
        <f>IFERROR(INDEX(Produtos!$D$2:$D$71,MATCH(C454,Produtos!$A$2:$A$71,0)),0)</f>
        <v/>
      </c>
      <c r="Q454" s="21">
        <f>IFERROR(INDEX(Produtos!$E$2:$E$71,MATCH(C454,Produtos!$A$2:$A$71,0)),0)</f>
        <v/>
      </c>
      <c r="R454" s="23">
        <f>D454*Q454</f>
        <v/>
      </c>
      <c r="S454" s="23">
        <f>R454*E454</f>
        <v/>
      </c>
      <c r="T454" s="23">
        <f>(R454-S454)*M454</f>
        <v/>
      </c>
      <c r="U454" s="23">
        <f>R454-S454-T454</f>
        <v/>
      </c>
      <c r="V454" s="23">
        <f>D454*P454</f>
        <v/>
      </c>
      <c r="W454" s="23">
        <f>U454-V454</f>
        <v/>
      </c>
      <c r="X454" s="24">
        <f>IFERROR(W454/U454,0)</f>
        <v/>
      </c>
    </row>
    <row r="455">
      <c r="A455" s="25">
        <f>ItensPedido!A455</f>
        <v/>
      </c>
      <c r="B455" s="25">
        <f>ItensPedido!B455</f>
        <v/>
      </c>
      <c r="C455" s="25">
        <f>ItensPedido!C455</f>
        <v/>
      </c>
      <c r="D455" s="25">
        <f>ItensPedido!D455</f>
        <v/>
      </c>
      <c r="E455" s="26">
        <f>ItensPedido!E455</f>
        <v/>
      </c>
      <c r="F455" s="25">
        <f>IFERROR(INDEX(Pedidos!$B$2:$B$1801,MATCH(B455,Pedidos!$A$2:$A$1801,0)),0)</f>
        <v/>
      </c>
      <c r="G455" s="25">
        <f>IF(F455=0,"",YEAR(F455))</f>
        <v/>
      </c>
      <c r="H455" s="25">
        <f>IF(F455=0,"",MONTH(F455))</f>
        <v/>
      </c>
      <c r="I455" s="25">
        <f>IFERROR(INDEX(Pedidos!$E$2:$E$1801,MATCH(B455,Pedidos!$A$2:$A$1801,0)),"")</f>
        <v/>
      </c>
      <c r="J455" s="25">
        <f>IFERROR(INDEX(Pedidos!$C$2:$C$1801,MATCH(B455,Pedidos!$A$2:$A$1801,0)),"")</f>
        <v/>
      </c>
      <c r="K455" s="25">
        <f>IFERROR(INDEX(Pedidos!$D$2:$D$1801,MATCH(B455,Pedidos!$A$2:$A$1801,0)),"")</f>
        <v/>
      </c>
      <c r="L455" s="25">
        <f>IFERROR(INDEX(Pedidos!$F$2:$F$1801,MATCH(B455,Pedidos!$A$2:$A$1801,0)),"")</f>
        <v/>
      </c>
      <c r="M455" s="26">
        <f>IFERROR(INDEX(Pedidos!$G$2:$G$1801,MATCH(B455,Pedidos!$A$2:$A$1801,0)),0)</f>
        <v/>
      </c>
      <c r="N455" s="25">
        <f>IFERROR(INDEX(Produtos!$B$2:$B$71,MATCH(C455,Produtos!$A$2:$A$71,0)),"")</f>
        <v/>
      </c>
      <c r="O455" s="25">
        <f>IFERROR(INDEX(Produtos!$C$2:$C$71,MATCH(C455,Produtos!$A$2:$A$71,0)),"")</f>
        <v/>
      </c>
      <c r="P455" s="25">
        <f>IFERROR(INDEX(Produtos!$D$2:$D$71,MATCH(C455,Produtos!$A$2:$A$71,0)),0)</f>
        <v/>
      </c>
      <c r="Q455" s="25">
        <f>IFERROR(INDEX(Produtos!$E$2:$E$71,MATCH(C455,Produtos!$A$2:$A$71,0)),0)</f>
        <v/>
      </c>
      <c r="R455" s="27">
        <f>D455*Q455</f>
        <v/>
      </c>
      <c r="S455" s="27">
        <f>R455*E455</f>
        <v/>
      </c>
      <c r="T455" s="27">
        <f>(R455-S455)*M455</f>
        <v/>
      </c>
      <c r="U455" s="27">
        <f>R455-S455-T455</f>
        <v/>
      </c>
      <c r="V455" s="27">
        <f>D455*P455</f>
        <v/>
      </c>
      <c r="W455" s="27">
        <f>U455-V455</f>
        <v/>
      </c>
      <c r="X455" s="28">
        <f>IFERROR(W455/U455,0)</f>
        <v/>
      </c>
    </row>
    <row r="456">
      <c r="A456" s="21">
        <f>ItensPedido!A456</f>
        <v/>
      </c>
      <c r="B456" s="21">
        <f>ItensPedido!B456</f>
        <v/>
      </c>
      <c r="C456" s="21">
        <f>ItensPedido!C456</f>
        <v/>
      </c>
      <c r="D456" s="21">
        <f>ItensPedido!D456</f>
        <v/>
      </c>
      <c r="E456" s="22">
        <f>ItensPedido!E456</f>
        <v/>
      </c>
      <c r="F456" s="21">
        <f>IFERROR(INDEX(Pedidos!$B$2:$B$1801,MATCH(B456,Pedidos!$A$2:$A$1801,0)),0)</f>
        <v/>
      </c>
      <c r="G456" s="21">
        <f>IF(F456=0,"",YEAR(F456))</f>
        <v/>
      </c>
      <c r="H456" s="21">
        <f>IF(F456=0,"",MONTH(F456))</f>
        <v/>
      </c>
      <c r="I456" s="21">
        <f>IFERROR(INDEX(Pedidos!$E$2:$E$1801,MATCH(B456,Pedidos!$A$2:$A$1801,0)),"")</f>
        <v/>
      </c>
      <c r="J456" s="21">
        <f>IFERROR(INDEX(Pedidos!$C$2:$C$1801,MATCH(B456,Pedidos!$A$2:$A$1801,0)),"")</f>
        <v/>
      </c>
      <c r="K456" s="21">
        <f>IFERROR(INDEX(Pedidos!$D$2:$D$1801,MATCH(B456,Pedidos!$A$2:$A$1801,0)),"")</f>
        <v/>
      </c>
      <c r="L456" s="21">
        <f>IFERROR(INDEX(Pedidos!$F$2:$F$1801,MATCH(B456,Pedidos!$A$2:$A$1801,0)),"")</f>
        <v/>
      </c>
      <c r="M456" s="22">
        <f>IFERROR(INDEX(Pedidos!$G$2:$G$1801,MATCH(B456,Pedidos!$A$2:$A$1801,0)),0)</f>
        <v/>
      </c>
      <c r="N456" s="21">
        <f>IFERROR(INDEX(Produtos!$B$2:$B$71,MATCH(C456,Produtos!$A$2:$A$71,0)),"")</f>
        <v/>
      </c>
      <c r="O456" s="21">
        <f>IFERROR(INDEX(Produtos!$C$2:$C$71,MATCH(C456,Produtos!$A$2:$A$71,0)),"")</f>
        <v/>
      </c>
      <c r="P456" s="21">
        <f>IFERROR(INDEX(Produtos!$D$2:$D$71,MATCH(C456,Produtos!$A$2:$A$71,0)),0)</f>
        <v/>
      </c>
      <c r="Q456" s="21">
        <f>IFERROR(INDEX(Produtos!$E$2:$E$71,MATCH(C456,Produtos!$A$2:$A$71,0)),0)</f>
        <v/>
      </c>
      <c r="R456" s="23">
        <f>D456*Q456</f>
        <v/>
      </c>
      <c r="S456" s="23">
        <f>R456*E456</f>
        <v/>
      </c>
      <c r="T456" s="23">
        <f>(R456-S456)*M456</f>
        <v/>
      </c>
      <c r="U456" s="23">
        <f>R456-S456-T456</f>
        <v/>
      </c>
      <c r="V456" s="23">
        <f>D456*P456</f>
        <v/>
      </c>
      <c r="W456" s="23">
        <f>U456-V456</f>
        <v/>
      </c>
      <c r="X456" s="24">
        <f>IFERROR(W456/U456,0)</f>
        <v/>
      </c>
    </row>
    <row r="457">
      <c r="A457" s="25">
        <f>ItensPedido!A457</f>
        <v/>
      </c>
      <c r="B457" s="25">
        <f>ItensPedido!B457</f>
        <v/>
      </c>
      <c r="C457" s="25">
        <f>ItensPedido!C457</f>
        <v/>
      </c>
      <c r="D457" s="25">
        <f>ItensPedido!D457</f>
        <v/>
      </c>
      <c r="E457" s="26">
        <f>ItensPedido!E457</f>
        <v/>
      </c>
      <c r="F457" s="25">
        <f>IFERROR(INDEX(Pedidos!$B$2:$B$1801,MATCH(B457,Pedidos!$A$2:$A$1801,0)),0)</f>
        <v/>
      </c>
      <c r="G457" s="25">
        <f>IF(F457=0,"",YEAR(F457))</f>
        <v/>
      </c>
      <c r="H457" s="25">
        <f>IF(F457=0,"",MONTH(F457))</f>
        <v/>
      </c>
      <c r="I457" s="25">
        <f>IFERROR(INDEX(Pedidos!$E$2:$E$1801,MATCH(B457,Pedidos!$A$2:$A$1801,0)),"")</f>
        <v/>
      </c>
      <c r="J457" s="25">
        <f>IFERROR(INDEX(Pedidos!$C$2:$C$1801,MATCH(B457,Pedidos!$A$2:$A$1801,0)),"")</f>
        <v/>
      </c>
      <c r="K457" s="25">
        <f>IFERROR(INDEX(Pedidos!$D$2:$D$1801,MATCH(B457,Pedidos!$A$2:$A$1801,0)),"")</f>
        <v/>
      </c>
      <c r="L457" s="25">
        <f>IFERROR(INDEX(Pedidos!$F$2:$F$1801,MATCH(B457,Pedidos!$A$2:$A$1801,0)),"")</f>
        <v/>
      </c>
      <c r="M457" s="26">
        <f>IFERROR(INDEX(Pedidos!$G$2:$G$1801,MATCH(B457,Pedidos!$A$2:$A$1801,0)),0)</f>
        <v/>
      </c>
      <c r="N457" s="25">
        <f>IFERROR(INDEX(Produtos!$B$2:$B$71,MATCH(C457,Produtos!$A$2:$A$71,0)),"")</f>
        <v/>
      </c>
      <c r="O457" s="25">
        <f>IFERROR(INDEX(Produtos!$C$2:$C$71,MATCH(C457,Produtos!$A$2:$A$71,0)),"")</f>
        <v/>
      </c>
      <c r="P457" s="25">
        <f>IFERROR(INDEX(Produtos!$D$2:$D$71,MATCH(C457,Produtos!$A$2:$A$71,0)),0)</f>
        <v/>
      </c>
      <c r="Q457" s="25">
        <f>IFERROR(INDEX(Produtos!$E$2:$E$71,MATCH(C457,Produtos!$A$2:$A$71,0)),0)</f>
        <v/>
      </c>
      <c r="R457" s="27">
        <f>D457*Q457</f>
        <v/>
      </c>
      <c r="S457" s="27">
        <f>R457*E457</f>
        <v/>
      </c>
      <c r="T457" s="27">
        <f>(R457-S457)*M457</f>
        <v/>
      </c>
      <c r="U457" s="27">
        <f>R457-S457-T457</f>
        <v/>
      </c>
      <c r="V457" s="27">
        <f>D457*P457</f>
        <v/>
      </c>
      <c r="W457" s="27">
        <f>U457-V457</f>
        <v/>
      </c>
      <c r="X457" s="28">
        <f>IFERROR(W457/U457,0)</f>
        <v/>
      </c>
    </row>
    <row r="458">
      <c r="A458" s="21">
        <f>ItensPedido!A458</f>
        <v/>
      </c>
      <c r="B458" s="21">
        <f>ItensPedido!B458</f>
        <v/>
      </c>
      <c r="C458" s="21">
        <f>ItensPedido!C458</f>
        <v/>
      </c>
      <c r="D458" s="21">
        <f>ItensPedido!D458</f>
        <v/>
      </c>
      <c r="E458" s="22">
        <f>ItensPedido!E458</f>
        <v/>
      </c>
      <c r="F458" s="21">
        <f>IFERROR(INDEX(Pedidos!$B$2:$B$1801,MATCH(B458,Pedidos!$A$2:$A$1801,0)),0)</f>
        <v/>
      </c>
      <c r="G458" s="21">
        <f>IF(F458=0,"",YEAR(F458))</f>
        <v/>
      </c>
      <c r="H458" s="21">
        <f>IF(F458=0,"",MONTH(F458))</f>
        <v/>
      </c>
      <c r="I458" s="21">
        <f>IFERROR(INDEX(Pedidos!$E$2:$E$1801,MATCH(B458,Pedidos!$A$2:$A$1801,0)),"")</f>
        <v/>
      </c>
      <c r="J458" s="21">
        <f>IFERROR(INDEX(Pedidos!$C$2:$C$1801,MATCH(B458,Pedidos!$A$2:$A$1801,0)),"")</f>
        <v/>
      </c>
      <c r="K458" s="21">
        <f>IFERROR(INDEX(Pedidos!$D$2:$D$1801,MATCH(B458,Pedidos!$A$2:$A$1801,0)),"")</f>
        <v/>
      </c>
      <c r="L458" s="21">
        <f>IFERROR(INDEX(Pedidos!$F$2:$F$1801,MATCH(B458,Pedidos!$A$2:$A$1801,0)),"")</f>
        <v/>
      </c>
      <c r="M458" s="22">
        <f>IFERROR(INDEX(Pedidos!$G$2:$G$1801,MATCH(B458,Pedidos!$A$2:$A$1801,0)),0)</f>
        <v/>
      </c>
      <c r="N458" s="21">
        <f>IFERROR(INDEX(Produtos!$B$2:$B$71,MATCH(C458,Produtos!$A$2:$A$71,0)),"")</f>
        <v/>
      </c>
      <c r="O458" s="21">
        <f>IFERROR(INDEX(Produtos!$C$2:$C$71,MATCH(C458,Produtos!$A$2:$A$71,0)),"")</f>
        <v/>
      </c>
      <c r="P458" s="21">
        <f>IFERROR(INDEX(Produtos!$D$2:$D$71,MATCH(C458,Produtos!$A$2:$A$71,0)),0)</f>
        <v/>
      </c>
      <c r="Q458" s="21">
        <f>IFERROR(INDEX(Produtos!$E$2:$E$71,MATCH(C458,Produtos!$A$2:$A$71,0)),0)</f>
        <v/>
      </c>
      <c r="R458" s="23">
        <f>D458*Q458</f>
        <v/>
      </c>
      <c r="S458" s="23">
        <f>R458*E458</f>
        <v/>
      </c>
      <c r="T458" s="23">
        <f>(R458-S458)*M458</f>
        <v/>
      </c>
      <c r="U458" s="23">
        <f>R458-S458-T458</f>
        <v/>
      </c>
      <c r="V458" s="23">
        <f>D458*P458</f>
        <v/>
      </c>
      <c r="W458" s="23">
        <f>U458-V458</f>
        <v/>
      </c>
      <c r="X458" s="24">
        <f>IFERROR(W458/U458,0)</f>
        <v/>
      </c>
    </row>
    <row r="459">
      <c r="A459" s="25">
        <f>ItensPedido!A459</f>
        <v/>
      </c>
      <c r="B459" s="25">
        <f>ItensPedido!B459</f>
        <v/>
      </c>
      <c r="C459" s="25">
        <f>ItensPedido!C459</f>
        <v/>
      </c>
      <c r="D459" s="25">
        <f>ItensPedido!D459</f>
        <v/>
      </c>
      <c r="E459" s="26">
        <f>ItensPedido!E459</f>
        <v/>
      </c>
      <c r="F459" s="25">
        <f>IFERROR(INDEX(Pedidos!$B$2:$B$1801,MATCH(B459,Pedidos!$A$2:$A$1801,0)),0)</f>
        <v/>
      </c>
      <c r="G459" s="25">
        <f>IF(F459=0,"",YEAR(F459))</f>
        <v/>
      </c>
      <c r="H459" s="25">
        <f>IF(F459=0,"",MONTH(F459))</f>
        <v/>
      </c>
      <c r="I459" s="25">
        <f>IFERROR(INDEX(Pedidos!$E$2:$E$1801,MATCH(B459,Pedidos!$A$2:$A$1801,0)),"")</f>
        <v/>
      </c>
      <c r="J459" s="25">
        <f>IFERROR(INDEX(Pedidos!$C$2:$C$1801,MATCH(B459,Pedidos!$A$2:$A$1801,0)),"")</f>
        <v/>
      </c>
      <c r="K459" s="25">
        <f>IFERROR(INDEX(Pedidos!$D$2:$D$1801,MATCH(B459,Pedidos!$A$2:$A$1801,0)),"")</f>
        <v/>
      </c>
      <c r="L459" s="25">
        <f>IFERROR(INDEX(Pedidos!$F$2:$F$1801,MATCH(B459,Pedidos!$A$2:$A$1801,0)),"")</f>
        <v/>
      </c>
      <c r="M459" s="26">
        <f>IFERROR(INDEX(Pedidos!$G$2:$G$1801,MATCH(B459,Pedidos!$A$2:$A$1801,0)),0)</f>
        <v/>
      </c>
      <c r="N459" s="25">
        <f>IFERROR(INDEX(Produtos!$B$2:$B$71,MATCH(C459,Produtos!$A$2:$A$71,0)),"")</f>
        <v/>
      </c>
      <c r="O459" s="25">
        <f>IFERROR(INDEX(Produtos!$C$2:$C$71,MATCH(C459,Produtos!$A$2:$A$71,0)),"")</f>
        <v/>
      </c>
      <c r="P459" s="25">
        <f>IFERROR(INDEX(Produtos!$D$2:$D$71,MATCH(C459,Produtos!$A$2:$A$71,0)),0)</f>
        <v/>
      </c>
      <c r="Q459" s="25">
        <f>IFERROR(INDEX(Produtos!$E$2:$E$71,MATCH(C459,Produtos!$A$2:$A$71,0)),0)</f>
        <v/>
      </c>
      <c r="R459" s="27">
        <f>D459*Q459</f>
        <v/>
      </c>
      <c r="S459" s="27">
        <f>R459*E459</f>
        <v/>
      </c>
      <c r="T459" s="27">
        <f>(R459-S459)*M459</f>
        <v/>
      </c>
      <c r="U459" s="27">
        <f>R459-S459-T459</f>
        <v/>
      </c>
      <c r="V459" s="27">
        <f>D459*P459</f>
        <v/>
      </c>
      <c r="W459" s="27">
        <f>U459-V459</f>
        <v/>
      </c>
      <c r="X459" s="28">
        <f>IFERROR(W459/U459,0)</f>
        <v/>
      </c>
    </row>
    <row r="460">
      <c r="A460" s="21">
        <f>ItensPedido!A460</f>
        <v/>
      </c>
      <c r="B460" s="21">
        <f>ItensPedido!B460</f>
        <v/>
      </c>
      <c r="C460" s="21">
        <f>ItensPedido!C460</f>
        <v/>
      </c>
      <c r="D460" s="21">
        <f>ItensPedido!D460</f>
        <v/>
      </c>
      <c r="E460" s="22">
        <f>ItensPedido!E460</f>
        <v/>
      </c>
      <c r="F460" s="21">
        <f>IFERROR(INDEX(Pedidos!$B$2:$B$1801,MATCH(B460,Pedidos!$A$2:$A$1801,0)),0)</f>
        <v/>
      </c>
      <c r="G460" s="21">
        <f>IF(F460=0,"",YEAR(F460))</f>
        <v/>
      </c>
      <c r="H460" s="21">
        <f>IF(F460=0,"",MONTH(F460))</f>
        <v/>
      </c>
      <c r="I460" s="21">
        <f>IFERROR(INDEX(Pedidos!$E$2:$E$1801,MATCH(B460,Pedidos!$A$2:$A$1801,0)),"")</f>
        <v/>
      </c>
      <c r="J460" s="21">
        <f>IFERROR(INDEX(Pedidos!$C$2:$C$1801,MATCH(B460,Pedidos!$A$2:$A$1801,0)),"")</f>
        <v/>
      </c>
      <c r="K460" s="21">
        <f>IFERROR(INDEX(Pedidos!$D$2:$D$1801,MATCH(B460,Pedidos!$A$2:$A$1801,0)),"")</f>
        <v/>
      </c>
      <c r="L460" s="21">
        <f>IFERROR(INDEX(Pedidos!$F$2:$F$1801,MATCH(B460,Pedidos!$A$2:$A$1801,0)),"")</f>
        <v/>
      </c>
      <c r="M460" s="22">
        <f>IFERROR(INDEX(Pedidos!$G$2:$G$1801,MATCH(B460,Pedidos!$A$2:$A$1801,0)),0)</f>
        <v/>
      </c>
      <c r="N460" s="21">
        <f>IFERROR(INDEX(Produtos!$B$2:$B$71,MATCH(C460,Produtos!$A$2:$A$71,0)),"")</f>
        <v/>
      </c>
      <c r="O460" s="21">
        <f>IFERROR(INDEX(Produtos!$C$2:$C$71,MATCH(C460,Produtos!$A$2:$A$71,0)),"")</f>
        <v/>
      </c>
      <c r="P460" s="21">
        <f>IFERROR(INDEX(Produtos!$D$2:$D$71,MATCH(C460,Produtos!$A$2:$A$71,0)),0)</f>
        <v/>
      </c>
      <c r="Q460" s="21">
        <f>IFERROR(INDEX(Produtos!$E$2:$E$71,MATCH(C460,Produtos!$A$2:$A$71,0)),0)</f>
        <v/>
      </c>
      <c r="R460" s="23">
        <f>D460*Q460</f>
        <v/>
      </c>
      <c r="S460" s="23">
        <f>R460*E460</f>
        <v/>
      </c>
      <c r="T460" s="23">
        <f>(R460-S460)*M460</f>
        <v/>
      </c>
      <c r="U460" s="23">
        <f>R460-S460-T460</f>
        <v/>
      </c>
      <c r="V460" s="23">
        <f>D460*P460</f>
        <v/>
      </c>
      <c r="W460" s="23">
        <f>U460-V460</f>
        <v/>
      </c>
      <c r="X460" s="24">
        <f>IFERROR(W460/U460,0)</f>
        <v/>
      </c>
    </row>
    <row r="461">
      <c r="A461" s="25">
        <f>ItensPedido!A461</f>
        <v/>
      </c>
      <c r="B461" s="25">
        <f>ItensPedido!B461</f>
        <v/>
      </c>
      <c r="C461" s="25">
        <f>ItensPedido!C461</f>
        <v/>
      </c>
      <c r="D461" s="25">
        <f>ItensPedido!D461</f>
        <v/>
      </c>
      <c r="E461" s="26">
        <f>ItensPedido!E461</f>
        <v/>
      </c>
      <c r="F461" s="25">
        <f>IFERROR(INDEX(Pedidos!$B$2:$B$1801,MATCH(B461,Pedidos!$A$2:$A$1801,0)),0)</f>
        <v/>
      </c>
      <c r="G461" s="25">
        <f>IF(F461=0,"",YEAR(F461))</f>
        <v/>
      </c>
      <c r="H461" s="25">
        <f>IF(F461=0,"",MONTH(F461))</f>
        <v/>
      </c>
      <c r="I461" s="25">
        <f>IFERROR(INDEX(Pedidos!$E$2:$E$1801,MATCH(B461,Pedidos!$A$2:$A$1801,0)),"")</f>
        <v/>
      </c>
      <c r="J461" s="25">
        <f>IFERROR(INDEX(Pedidos!$C$2:$C$1801,MATCH(B461,Pedidos!$A$2:$A$1801,0)),"")</f>
        <v/>
      </c>
      <c r="K461" s="25">
        <f>IFERROR(INDEX(Pedidos!$D$2:$D$1801,MATCH(B461,Pedidos!$A$2:$A$1801,0)),"")</f>
        <v/>
      </c>
      <c r="L461" s="25">
        <f>IFERROR(INDEX(Pedidos!$F$2:$F$1801,MATCH(B461,Pedidos!$A$2:$A$1801,0)),"")</f>
        <v/>
      </c>
      <c r="M461" s="26">
        <f>IFERROR(INDEX(Pedidos!$G$2:$G$1801,MATCH(B461,Pedidos!$A$2:$A$1801,0)),0)</f>
        <v/>
      </c>
      <c r="N461" s="25">
        <f>IFERROR(INDEX(Produtos!$B$2:$B$71,MATCH(C461,Produtos!$A$2:$A$71,0)),"")</f>
        <v/>
      </c>
      <c r="O461" s="25">
        <f>IFERROR(INDEX(Produtos!$C$2:$C$71,MATCH(C461,Produtos!$A$2:$A$71,0)),"")</f>
        <v/>
      </c>
      <c r="P461" s="25">
        <f>IFERROR(INDEX(Produtos!$D$2:$D$71,MATCH(C461,Produtos!$A$2:$A$71,0)),0)</f>
        <v/>
      </c>
      <c r="Q461" s="25">
        <f>IFERROR(INDEX(Produtos!$E$2:$E$71,MATCH(C461,Produtos!$A$2:$A$71,0)),0)</f>
        <v/>
      </c>
      <c r="R461" s="27">
        <f>D461*Q461</f>
        <v/>
      </c>
      <c r="S461" s="27">
        <f>R461*E461</f>
        <v/>
      </c>
      <c r="T461" s="27">
        <f>(R461-S461)*M461</f>
        <v/>
      </c>
      <c r="U461" s="27">
        <f>R461-S461-T461</f>
        <v/>
      </c>
      <c r="V461" s="27">
        <f>D461*P461</f>
        <v/>
      </c>
      <c r="W461" s="27">
        <f>U461-V461</f>
        <v/>
      </c>
      <c r="X461" s="28">
        <f>IFERROR(W461/U461,0)</f>
        <v/>
      </c>
    </row>
    <row r="462">
      <c r="A462" s="21">
        <f>ItensPedido!A462</f>
        <v/>
      </c>
      <c r="B462" s="21">
        <f>ItensPedido!B462</f>
        <v/>
      </c>
      <c r="C462" s="21">
        <f>ItensPedido!C462</f>
        <v/>
      </c>
      <c r="D462" s="21">
        <f>ItensPedido!D462</f>
        <v/>
      </c>
      <c r="E462" s="22">
        <f>ItensPedido!E462</f>
        <v/>
      </c>
      <c r="F462" s="21">
        <f>IFERROR(INDEX(Pedidos!$B$2:$B$1801,MATCH(B462,Pedidos!$A$2:$A$1801,0)),0)</f>
        <v/>
      </c>
      <c r="G462" s="21">
        <f>IF(F462=0,"",YEAR(F462))</f>
        <v/>
      </c>
      <c r="H462" s="21">
        <f>IF(F462=0,"",MONTH(F462))</f>
        <v/>
      </c>
      <c r="I462" s="21">
        <f>IFERROR(INDEX(Pedidos!$E$2:$E$1801,MATCH(B462,Pedidos!$A$2:$A$1801,0)),"")</f>
        <v/>
      </c>
      <c r="J462" s="21">
        <f>IFERROR(INDEX(Pedidos!$C$2:$C$1801,MATCH(B462,Pedidos!$A$2:$A$1801,0)),"")</f>
        <v/>
      </c>
      <c r="K462" s="21">
        <f>IFERROR(INDEX(Pedidos!$D$2:$D$1801,MATCH(B462,Pedidos!$A$2:$A$1801,0)),"")</f>
        <v/>
      </c>
      <c r="L462" s="21">
        <f>IFERROR(INDEX(Pedidos!$F$2:$F$1801,MATCH(B462,Pedidos!$A$2:$A$1801,0)),"")</f>
        <v/>
      </c>
      <c r="M462" s="22">
        <f>IFERROR(INDEX(Pedidos!$G$2:$G$1801,MATCH(B462,Pedidos!$A$2:$A$1801,0)),0)</f>
        <v/>
      </c>
      <c r="N462" s="21">
        <f>IFERROR(INDEX(Produtos!$B$2:$B$71,MATCH(C462,Produtos!$A$2:$A$71,0)),"")</f>
        <v/>
      </c>
      <c r="O462" s="21">
        <f>IFERROR(INDEX(Produtos!$C$2:$C$71,MATCH(C462,Produtos!$A$2:$A$71,0)),"")</f>
        <v/>
      </c>
      <c r="P462" s="21">
        <f>IFERROR(INDEX(Produtos!$D$2:$D$71,MATCH(C462,Produtos!$A$2:$A$71,0)),0)</f>
        <v/>
      </c>
      <c r="Q462" s="21">
        <f>IFERROR(INDEX(Produtos!$E$2:$E$71,MATCH(C462,Produtos!$A$2:$A$71,0)),0)</f>
        <v/>
      </c>
      <c r="R462" s="23">
        <f>D462*Q462</f>
        <v/>
      </c>
      <c r="S462" s="23">
        <f>R462*E462</f>
        <v/>
      </c>
      <c r="T462" s="23">
        <f>(R462-S462)*M462</f>
        <v/>
      </c>
      <c r="U462" s="23">
        <f>R462-S462-T462</f>
        <v/>
      </c>
      <c r="V462" s="23">
        <f>D462*P462</f>
        <v/>
      </c>
      <c r="W462" s="23">
        <f>U462-V462</f>
        <v/>
      </c>
      <c r="X462" s="24">
        <f>IFERROR(W462/U462,0)</f>
        <v/>
      </c>
    </row>
    <row r="463">
      <c r="A463" s="25">
        <f>ItensPedido!A463</f>
        <v/>
      </c>
      <c r="B463" s="25">
        <f>ItensPedido!B463</f>
        <v/>
      </c>
      <c r="C463" s="25">
        <f>ItensPedido!C463</f>
        <v/>
      </c>
      <c r="D463" s="25">
        <f>ItensPedido!D463</f>
        <v/>
      </c>
      <c r="E463" s="26">
        <f>ItensPedido!E463</f>
        <v/>
      </c>
      <c r="F463" s="25">
        <f>IFERROR(INDEX(Pedidos!$B$2:$B$1801,MATCH(B463,Pedidos!$A$2:$A$1801,0)),0)</f>
        <v/>
      </c>
      <c r="G463" s="25">
        <f>IF(F463=0,"",YEAR(F463))</f>
        <v/>
      </c>
      <c r="H463" s="25">
        <f>IF(F463=0,"",MONTH(F463))</f>
        <v/>
      </c>
      <c r="I463" s="25">
        <f>IFERROR(INDEX(Pedidos!$E$2:$E$1801,MATCH(B463,Pedidos!$A$2:$A$1801,0)),"")</f>
        <v/>
      </c>
      <c r="J463" s="25">
        <f>IFERROR(INDEX(Pedidos!$C$2:$C$1801,MATCH(B463,Pedidos!$A$2:$A$1801,0)),"")</f>
        <v/>
      </c>
      <c r="K463" s="25">
        <f>IFERROR(INDEX(Pedidos!$D$2:$D$1801,MATCH(B463,Pedidos!$A$2:$A$1801,0)),"")</f>
        <v/>
      </c>
      <c r="L463" s="25">
        <f>IFERROR(INDEX(Pedidos!$F$2:$F$1801,MATCH(B463,Pedidos!$A$2:$A$1801,0)),"")</f>
        <v/>
      </c>
      <c r="M463" s="26">
        <f>IFERROR(INDEX(Pedidos!$G$2:$G$1801,MATCH(B463,Pedidos!$A$2:$A$1801,0)),0)</f>
        <v/>
      </c>
      <c r="N463" s="25">
        <f>IFERROR(INDEX(Produtos!$B$2:$B$71,MATCH(C463,Produtos!$A$2:$A$71,0)),"")</f>
        <v/>
      </c>
      <c r="O463" s="25">
        <f>IFERROR(INDEX(Produtos!$C$2:$C$71,MATCH(C463,Produtos!$A$2:$A$71,0)),"")</f>
        <v/>
      </c>
      <c r="P463" s="25">
        <f>IFERROR(INDEX(Produtos!$D$2:$D$71,MATCH(C463,Produtos!$A$2:$A$71,0)),0)</f>
        <v/>
      </c>
      <c r="Q463" s="25">
        <f>IFERROR(INDEX(Produtos!$E$2:$E$71,MATCH(C463,Produtos!$A$2:$A$71,0)),0)</f>
        <v/>
      </c>
      <c r="R463" s="27">
        <f>D463*Q463</f>
        <v/>
      </c>
      <c r="S463" s="27">
        <f>R463*E463</f>
        <v/>
      </c>
      <c r="T463" s="27">
        <f>(R463-S463)*M463</f>
        <v/>
      </c>
      <c r="U463" s="27">
        <f>R463-S463-T463</f>
        <v/>
      </c>
      <c r="V463" s="27">
        <f>D463*P463</f>
        <v/>
      </c>
      <c r="W463" s="27">
        <f>U463-V463</f>
        <v/>
      </c>
      <c r="X463" s="28">
        <f>IFERROR(W463/U463,0)</f>
        <v/>
      </c>
    </row>
    <row r="464">
      <c r="A464" s="21">
        <f>ItensPedido!A464</f>
        <v/>
      </c>
      <c r="B464" s="21">
        <f>ItensPedido!B464</f>
        <v/>
      </c>
      <c r="C464" s="21">
        <f>ItensPedido!C464</f>
        <v/>
      </c>
      <c r="D464" s="21">
        <f>ItensPedido!D464</f>
        <v/>
      </c>
      <c r="E464" s="22">
        <f>ItensPedido!E464</f>
        <v/>
      </c>
      <c r="F464" s="21">
        <f>IFERROR(INDEX(Pedidos!$B$2:$B$1801,MATCH(B464,Pedidos!$A$2:$A$1801,0)),0)</f>
        <v/>
      </c>
      <c r="G464" s="21">
        <f>IF(F464=0,"",YEAR(F464))</f>
        <v/>
      </c>
      <c r="H464" s="21">
        <f>IF(F464=0,"",MONTH(F464))</f>
        <v/>
      </c>
      <c r="I464" s="21">
        <f>IFERROR(INDEX(Pedidos!$E$2:$E$1801,MATCH(B464,Pedidos!$A$2:$A$1801,0)),"")</f>
        <v/>
      </c>
      <c r="J464" s="21">
        <f>IFERROR(INDEX(Pedidos!$C$2:$C$1801,MATCH(B464,Pedidos!$A$2:$A$1801,0)),"")</f>
        <v/>
      </c>
      <c r="K464" s="21">
        <f>IFERROR(INDEX(Pedidos!$D$2:$D$1801,MATCH(B464,Pedidos!$A$2:$A$1801,0)),"")</f>
        <v/>
      </c>
      <c r="L464" s="21">
        <f>IFERROR(INDEX(Pedidos!$F$2:$F$1801,MATCH(B464,Pedidos!$A$2:$A$1801,0)),"")</f>
        <v/>
      </c>
      <c r="M464" s="22">
        <f>IFERROR(INDEX(Pedidos!$G$2:$G$1801,MATCH(B464,Pedidos!$A$2:$A$1801,0)),0)</f>
        <v/>
      </c>
      <c r="N464" s="21">
        <f>IFERROR(INDEX(Produtos!$B$2:$B$71,MATCH(C464,Produtos!$A$2:$A$71,0)),"")</f>
        <v/>
      </c>
      <c r="O464" s="21">
        <f>IFERROR(INDEX(Produtos!$C$2:$C$71,MATCH(C464,Produtos!$A$2:$A$71,0)),"")</f>
        <v/>
      </c>
      <c r="P464" s="21">
        <f>IFERROR(INDEX(Produtos!$D$2:$D$71,MATCH(C464,Produtos!$A$2:$A$71,0)),0)</f>
        <v/>
      </c>
      <c r="Q464" s="21">
        <f>IFERROR(INDEX(Produtos!$E$2:$E$71,MATCH(C464,Produtos!$A$2:$A$71,0)),0)</f>
        <v/>
      </c>
      <c r="R464" s="23">
        <f>D464*Q464</f>
        <v/>
      </c>
      <c r="S464" s="23">
        <f>R464*E464</f>
        <v/>
      </c>
      <c r="T464" s="23">
        <f>(R464-S464)*M464</f>
        <v/>
      </c>
      <c r="U464" s="23">
        <f>R464-S464-T464</f>
        <v/>
      </c>
      <c r="V464" s="23">
        <f>D464*P464</f>
        <v/>
      </c>
      <c r="W464" s="23">
        <f>U464-V464</f>
        <v/>
      </c>
      <c r="X464" s="24">
        <f>IFERROR(W464/U464,0)</f>
        <v/>
      </c>
    </row>
    <row r="465">
      <c r="A465" s="25">
        <f>ItensPedido!A465</f>
        <v/>
      </c>
      <c r="B465" s="25">
        <f>ItensPedido!B465</f>
        <v/>
      </c>
      <c r="C465" s="25">
        <f>ItensPedido!C465</f>
        <v/>
      </c>
      <c r="D465" s="25">
        <f>ItensPedido!D465</f>
        <v/>
      </c>
      <c r="E465" s="26">
        <f>ItensPedido!E465</f>
        <v/>
      </c>
      <c r="F465" s="25">
        <f>IFERROR(INDEX(Pedidos!$B$2:$B$1801,MATCH(B465,Pedidos!$A$2:$A$1801,0)),0)</f>
        <v/>
      </c>
      <c r="G465" s="25">
        <f>IF(F465=0,"",YEAR(F465))</f>
        <v/>
      </c>
      <c r="H465" s="25">
        <f>IF(F465=0,"",MONTH(F465))</f>
        <v/>
      </c>
      <c r="I465" s="25">
        <f>IFERROR(INDEX(Pedidos!$E$2:$E$1801,MATCH(B465,Pedidos!$A$2:$A$1801,0)),"")</f>
        <v/>
      </c>
      <c r="J465" s="25">
        <f>IFERROR(INDEX(Pedidos!$C$2:$C$1801,MATCH(B465,Pedidos!$A$2:$A$1801,0)),"")</f>
        <v/>
      </c>
      <c r="K465" s="25">
        <f>IFERROR(INDEX(Pedidos!$D$2:$D$1801,MATCH(B465,Pedidos!$A$2:$A$1801,0)),"")</f>
        <v/>
      </c>
      <c r="L465" s="25">
        <f>IFERROR(INDEX(Pedidos!$F$2:$F$1801,MATCH(B465,Pedidos!$A$2:$A$1801,0)),"")</f>
        <v/>
      </c>
      <c r="M465" s="26">
        <f>IFERROR(INDEX(Pedidos!$G$2:$G$1801,MATCH(B465,Pedidos!$A$2:$A$1801,0)),0)</f>
        <v/>
      </c>
      <c r="N465" s="25">
        <f>IFERROR(INDEX(Produtos!$B$2:$B$71,MATCH(C465,Produtos!$A$2:$A$71,0)),"")</f>
        <v/>
      </c>
      <c r="O465" s="25">
        <f>IFERROR(INDEX(Produtos!$C$2:$C$71,MATCH(C465,Produtos!$A$2:$A$71,0)),"")</f>
        <v/>
      </c>
      <c r="P465" s="25">
        <f>IFERROR(INDEX(Produtos!$D$2:$D$71,MATCH(C465,Produtos!$A$2:$A$71,0)),0)</f>
        <v/>
      </c>
      <c r="Q465" s="25">
        <f>IFERROR(INDEX(Produtos!$E$2:$E$71,MATCH(C465,Produtos!$A$2:$A$71,0)),0)</f>
        <v/>
      </c>
      <c r="R465" s="27">
        <f>D465*Q465</f>
        <v/>
      </c>
      <c r="S465" s="27">
        <f>R465*E465</f>
        <v/>
      </c>
      <c r="T465" s="27">
        <f>(R465-S465)*M465</f>
        <v/>
      </c>
      <c r="U465" s="27">
        <f>R465-S465-T465</f>
        <v/>
      </c>
      <c r="V465" s="27">
        <f>D465*P465</f>
        <v/>
      </c>
      <c r="W465" s="27">
        <f>U465-V465</f>
        <v/>
      </c>
      <c r="X465" s="28">
        <f>IFERROR(W465/U465,0)</f>
        <v/>
      </c>
    </row>
    <row r="466">
      <c r="A466" s="21">
        <f>ItensPedido!A466</f>
        <v/>
      </c>
      <c r="B466" s="21">
        <f>ItensPedido!B466</f>
        <v/>
      </c>
      <c r="C466" s="21">
        <f>ItensPedido!C466</f>
        <v/>
      </c>
      <c r="D466" s="21">
        <f>ItensPedido!D466</f>
        <v/>
      </c>
      <c r="E466" s="22">
        <f>ItensPedido!E466</f>
        <v/>
      </c>
      <c r="F466" s="21">
        <f>IFERROR(INDEX(Pedidos!$B$2:$B$1801,MATCH(B466,Pedidos!$A$2:$A$1801,0)),0)</f>
        <v/>
      </c>
      <c r="G466" s="21">
        <f>IF(F466=0,"",YEAR(F466))</f>
        <v/>
      </c>
      <c r="H466" s="21">
        <f>IF(F466=0,"",MONTH(F466))</f>
        <v/>
      </c>
      <c r="I466" s="21">
        <f>IFERROR(INDEX(Pedidos!$E$2:$E$1801,MATCH(B466,Pedidos!$A$2:$A$1801,0)),"")</f>
        <v/>
      </c>
      <c r="J466" s="21">
        <f>IFERROR(INDEX(Pedidos!$C$2:$C$1801,MATCH(B466,Pedidos!$A$2:$A$1801,0)),"")</f>
        <v/>
      </c>
      <c r="K466" s="21">
        <f>IFERROR(INDEX(Pedidos!$D$2:$D$1801,MATCH(B466,Pedidos!$A$2:$A$1801,0)),"")</f>
        <v/>
      </c>
      <c r="L466" s="21">
        <f>IFERROR(INDEX(Pedidos!$F$2:$F$1801,MATCH(B466,Pedidos!$A$2:$A$1801,0)),"")</f>
        <v/>
      </c>
      <c r="M466" s="22">
        <f>IFERROR(INDEX(Pedidos!$G$2:$G$1801,MATCH(B466,Pedidos!$A$2:$A$1801,0)),0)</f>
        <v/>
      </c>
      <c r="N466" s="21">
        <f>IFERROR(INDEX(Produtos!$B$2:$B$71,MATCH(C466,Produtos!$A$2:$A$71,0)),"")</f>
        <v/>
      </c>
      <c r="O466" s="21">
        <f>IFERROR(INDEX(Produtos!$C$2:$C$71,MATCH(C466,Produtos!$A$2:$A$71,0)),"")</f>
        <v/>
      </c>
      <c r="P466" s="21">
        <f>IFERROR(INDEX(Produtos!$D$2:$D$71,MATCH(C466,Produtos!$A$2:$A$71,0)),0)</f>
        <v/>
      </c>
      <c r="Q466" s="21">
        <f>IFERROR(INDEX(Produtos!$E$2:$E$71,MATCH(C466,Produtos!$A$2:$A$71,0)),0)</f>
        <v/>
      </c>
      <c r="R466" s="23">
        <f>D466*Q466</f>
        <v/>
      </c>
      <c r="S466" s="23">
        <f>R466*E466</f>
        <v/>
      </c>
      <c r="T466" s="23">
        <f>(R466-S466)*M466</f>
        <v/>
      </c>
      <c r="U466" s="23">
        <f>R466-S466-T466</f>
        <v/>
      </c>
      <c r="V466" s="23">
        <f>D466*P466</f>
        <v/>
      </c>
      <c r="W466" s="23">
        <f>U466-V466</f>
        <v/>
      </c>
      <c r="X466" s="24">
        <f>IFERROR(W466/U466,0)</f>
        <v/>
      </c>
    </row>
    <row r="467">
      <c r="A467" s="25">
        <f>ItensPedido!A467</f>
        <v/>
      </c>
      <c r="B467" s="25">
        <f>ItensPedido!B467</f>
        <v/>
      </c>
      <c r="C467" s="25">
        <f>ItensPedido!C467</f>
        <v/>
      </c>
      <c r="D467" s="25">
        <f>ItensPedido!D467</f>
        <v/>
      </c>
      <c r="E467" s="26">
        <f>ItensPedido!E467</f>
        <v/>
      </c>
      <c r="F467" s="25">
        <f>IFERROR(INDEX(Pedidos!$B$2:$B$1801,MATCH(B467,Pedidos!$A$2:$A$1801,0)),0)</f>
        <v/>
      </c>
      <c r="G467" s="25">
        <f>IF(F467=0,"",YEAR(F467))</f>
        <v/>
      </c>
      <c r="H467" s="25">
        <f>IF(F467=0,"",MONTH(F467))</f>
        <v/>
      </c>
      <c r="I467" s="25">
        <f>IFERROR(INDEX(Pedidos!$E$2:$E$1801,MATCH(B467,Pedidos!$A$2:$A$1801,0)),"")</f>
        <v/>
      </c>
      <c r="J467" s="25">
        <f>IFERROR(INDEX(Pedidos!$C$2:$C$1801,MATCH(B467,Pedidos!$A$2:$A$1801,0)),"")</f>
        <v/>
      </c>
      <c r="K467" s="25">
        <f>IFERROR(INDEX(Pedidos!$D$2:$D$1801,MATCH(B467,Pedidos!$A$2:$A$1801,0)),"")</f>
        <v/>
      </c>
      <c r="L467" s="25">
        <f>IFERROR(INDEX(Pedidos!$F$2:$F$1801,MATCH(B467,Pedidos!$A$2:$A$1801,0)),"")</f>
        <v/>
      </c>
      <c r="M467" s="26">
        <f>IFERROR(INDEX(Pedidos!$G$2:$G$1801,MATCH(B467,Pedidos!$A$2:$A$1801,0)),0)</f>
        <v/>
      </c>
      <c r="N467" s="25">
        <f>IFERROR(INDEX(Produtos!$B$2:$B$71,MATCH(C467,Produtos!$A$2:$A$71,0)),"")</f>
        <v/>
      </c>
      <c r="O467" s="25">
        <f>IFERROR(INDEX(Produtos!$C$2:$C$71,MATCH(C467,Produtos!$A$2:$A$71,0)),"")</f>
        <v/>
      </c>
      <c r="P467" s="25">
        <f>IFERROR(INDEX(Produtos!$D$2:$D$71,MATCH(C467,Produtos!$A$2:$A$71,0)),0)</f>
        <v/>
      </c>
      <c r="Q467" s="25">
        <f>IFERROR(INDEX(Produtos!$E$2:$E$71,MATCH(C467,Produtos!$A$2:$A$71,0)),0)</f>
        <v/>
      </c>
      <c r="R467" s="27">
        <f>D467*Q467</f>
        <v/>
      </c>
      <c r="S467" s="27">
        <f>R467*E467</f>
        <v/>
      </c>
      <c r="T467" s="27">
        <f>(R467-S467)*M467</f>
        <v/>
      </c>
      <c r="U467" s="27">
        <f>R467-S467-T467</f>
        <v/>
      </c>
      <c r="V467" s="27">
        <f>D467*P467</f>
        <v/>
      </c>
      <c r="W467" s="27">
        <f>U467-V467</f>
        <v/>
      </c>
      <c r="X467" s="28">
        <f>IFERROR(W467/U467,0)</f>
        <v/>
      </c>
    </row>
    <row r="468">
      <c r="A468" s="21">
        <f>ItensPedido!A468</f>
        <v/>
      </c>
      <c r="B468" s="21">
        <f>ItensPedido!B468</f>
        <v/>
      </c>
      <c r="C468" s="21">
        <f>ItensPedido!C468</f>
        <v/>
      </c>
      <c r="D468" s="21">
        <f>ItensPedido!D468</f>
        <v/>
      </c>
      <c r="E468" s="22">
        <f>ItensPedido!E468</f>
        <v/>
      </c>
      <c r="F468" s="21">
        <f>IFERROR(INDEX(Pedidos!$B$2:$B$1801,MATCH(B468,Pedidos!$A$2:$A$1801,0)),0)</f>
        <v/>
      </c>
      <c r="G468" s="21">
        <f>IF(F468=0,"",YEAR(F468))</f>
        <v/>
      </c>
      <c r="H468" s="21">
        <f>IF(F468=0,"",MONTH(F468))</f>
        <v/>
      </c>
      <c r="I468" s="21">
        <f>IFERROR(INDEX(Pedidos!$E$2:$E$1801,MATCH(B468,Pedidos!$A$2:$A$1801,0)),"")</f>
        <v/>
      </c>
      <c r="J468" s="21">
        <f>IFERROR(INDEX(Pedidos!$C$2:$C$1801,MATCH(B468,Pedidos!$A$2:$A$1801,0)),"")</f>
        <v/>
      </c>
      <c r="K468" s="21">
        <f>IFERROR(INDEX(Pedidos!$D$2:$D$1801,MATCH(B468,Pedidos!$A$2:$A$1801,0)),"")</f>
        <v/>
      </c>
      <c r="L468" s="21">
        <f>IFERROR(INDEX(Pedidos!$F$2:$F$1801,MATCH(B468,Pedidos!$A$2:$A$1801,0)),"")</f>
        <v/>
      </c>
      <c r="M468" s="22">
        <f>IFERROR(INDEX(Pedidos!$G$2:$G$1801,MATCH(B468,Pedidos!$A$2:$A$1801,0)),0)</f>
        <v/>
      </c>
      <c r="N468" s="21">
        <f>IFERROR(INDEX(Produtos!$B$2:$B$71,MATCH(C468,Produtos!$A$2:$A$71,0)),"")</f>
        <v/>
      </c>
      <c r="O468" s="21">
        <f>IFERROR(INDEX(Produtos!$C$2:$C$71,MATCH(C468,Produtos!$A$2:$A$71,0)),"")</f>
        <v/>
      </c>
      <c r="P468" s="21">
        <f>IFERROR(INDEX(Produtos!$D$2:$D$71,MATCH(C468,Produtos!$A$2:$A$71,0)),0)</f>
        <v/>
      </c>
      <c r="Q468" s="21">
        <f>IFERROR(INDEX(Produtos!$E$2:$E$71,MATCH(C468,Produtos!$A$2:$A$71,0)),0)</f>
        <v/>
      </c>
      <c r="R468" s="23">
        <f>D468*Q468</f>
        <v/>
      </c>
      <c r="S468" s="23">
        <f>R468*E468</f>
        <v/>
      </c>
      <c r="T468" s="23">
        <f>(R468-S468)*M468</f>
        <v/>
      </c>
      <c r="U468" s="23">
        <f>R468-S468-T468</f>
        <v/>
      </c>
      <c r="V468" s="23">
        <f>D468*P468</f>
        <v/>
      </c>
      <c r="W468" s="23">
        <f>U468-V468</f>
        <v/>
      </c>
      <c r="X468" s="24">
        <f>IFERROR(W468/U468,0)</f>
        <v/>
      </c>
    </row>
    <row r="469">
      <c r="A469" s="25">
        <f>ItensPedido!A469</f>
        <v/>
      </c>
      <c r="B469" s="25">
        <f>ItensPedido!B469</f>
        <v/>
      </c>
      <c r="C469" s="25">
        <f>ItensPedido!C469</f>
        <v/>
      </c>
      <c r="D469" s="25">
        <f>ItensPedido!D469</f>
        <v/>
      </c>
      <c r="E469" s="26">
        <f>ItensPedido!E469</f>
        <v/>
      </c>
      <c r="F469" s="25">
        <f>IFERROR(INDEX(Pedidos!$B$2:$B$1801,MATCH(B469,Pedidos!$A$2:$A$1801,0)),0)</f>
        <v/>
      </c>
      <c r="G469" s="25">
        <f>IF(F469=0,"",YEAR(F469))</f>
        <v/>
      </c>
      <c r="H469" s="25">
        <f>IF(F469=0,"",MONTH(F469))</f>
        <v/>
      </c>
      <c r="I469" s="25">
        <f>IFERROR(INDEX(Pedidos!$E$2:$E$1801,MATCH(B469,Pedidos!$A$2:$A$1801,0)),"")</f>
        <v/>
      </c>
      <c r="J469" s="25">
        <f>IFERROR(INDEX(Pedidos!$C$2:$C$1801,MATCH(B469,Pedidos!$A$2:$A$1801,0)),"")</f>
        <v/>
      </c>
      <c r="K469" s="25">
        <f>IFERROR(INDEX(Pedidos!$D$2:$D$1801,MATCH(B469,Pedidos!$A$2:$A$1801,0)),"")</f>
        <v/>
      </c>
      <c r="L469" s="25">
        <f>IFERROR(INDEX(Pedidos!$F$2:$F$1801,MATCH(B469,Pedidos!$A$2:$A$1801,0)),"")</f>
        <v/>
      </c>
      <c r="M469" s="26">
        <f>IFERROR(INDEX(Pedidos!$G$2:$G$1801,MATCH(B469,Pedidos!$A$2:$A$1801,0)),0)</f>
        <v/>
      </c>
      <c r="N469" s="25">
        <f>IFERROR(INDEX(Produtos!$B$2:$B$71,MATCH(C469,Produtos!$A$2:$A$71,0)),"")</f>
        <v/>
      </c>
      <c r="O469" s="25">
        <f>IFERROR(INDEX(Produtos!$C$2:$C$71,MATCH(C469,Produtos!$A$2:$A$71,0)),"")</f>
        <v/>
      </c>
      <c r="P469" s="25">
        <f>IFERROR(INDEX(Produtos!$D$2:$D$71,MATCH(C469,Produtos!$A$2:$A$71,0)),0)</f>
        <v/>
      </c>
      <c r="Q469" s="25">
        <f>IFERROR(INDEX(Produtos!$E$2:$E$71,MATCH(C469,Produtos!$A$2:$A$71,0)),0)</f>
        <v/>
      </c>
      <c r="R469" s="27">
        <f>D469*Q469</f>
        <v/>
      </c>
      <c r="S469" s="27">
        <f>R469*E469</f>
        <v/>
      </c>
      <c r="T469" s="27">
        <f>(R469-S469)*M469</f>
        <v/>
      </c>
      <c r="U469" s="27">
        <f>R469-S469-T469</f>
        <v/>
      </c>
      <c r="V469" s="27">
        <f>D469*P469</f>
        <v/>
      </c>
      <c r="W469" s="27">
        <f>U469-V469</f>
        <v/>
      </c>
      <c r="X469" s="28">
        <f>IFERROR(W469/U469,0)</f>
        <v/>
      </c>
    </row>
    <row r="470">
      <c r="A470" s="21">
        <f>ItensPedido!A470</f>
        <v/>
      </c>
      <c r="B470" s="21">
        <f>ItensPedido!B470</f>
        <v/>
      </c>
      <c r="C470" s="21">
        <f>ItensPedido!C470</f>
        <v/>
      </c>
      <c r="D470" s="21">
        <f>ItensPedido!D470</f>
        <v/>
      </c>
      <c r="E470" s="22">
        <f>ItensPedido!E470</f>
        <v/>
      </c>
      <c r="F470" s="21">
        <f>IFERROR(INDEX(Pedidos!$B$2:$B$1801,MATCH(B470,Pedidos!$A$2:$A$1801,0)),0)</f>
        <v/>
      </c>
      <c r="G470" s="21">
        <f>IF(F470=0,"",YEAR(F470))</f>
        <v/>
      </c>
      <c r="H470" s="21">
        <f>IF(F470=0,"",MONTH(F470))</f>
        <v/>
      </c>
      <c r="I470" s="21">
        <f>IFERROR(INDEX(Pedidos!$E$2:$E$1801,MATCH(B470,Pedidos!$A$2:$A$1801,0)),"")</f>
        <v/>
      </c>
      <c r="J470" s="21">
        <f>IFERROR(INDEX(Pedidos!$C$2:$C$1801,MATCH(B470,Pedidos!$A$2:$A$1801,0)),"")</f>
        <v/>
      </c>
      <c r="K470" s="21">
        <f>IFERROR(INDEX(Pedidos!$D$2:$D$1801,MATCH(B470,Pedidos!$A$2:$A$1801,0)),"")</f>
        <v/>
      </c>
      <c r="L470" s="21">
        <f>IFERROR(INDEX(Pedidos!$F$2:$F$1801,MATCH(B470,Pedidos!$A$2:$A$1801,0)),"")</f>
        <v/>
      </c>
      <c r="M470" s="22">
        <f>IFERROR(INDEX(Pedidos!$G$2:$G$1801,MATCH(B470,Pedidos!$A$2:$A$1801,0)),0)</f>
        <v/>
      </c>
      <c r="N470" s="21">
        <f>IFERROR(INDEX(Produtos!$B$2:$B$71,MATCH(C470,Produtos!$A$2:$A$71,0)),"")</f>
        <v/>
      </c>
      <c r="O470" s="21">
        <f>IFERROR(INDEX(Produtos!$C$2:$C$71,MATCH(C470,Produtos!$A$2:$A$71,0)),"")</f>
        <v/>
      </c>
      <c r="P470" s="21">
        <f>IFERROR(INDEX(Produtos!$D$2:$D$71,MATCH(C470,Produtos!$A$2:$A$71,0)),0)</f>
        <v/>
      </c>
      <c r="Q470" s="21">
        <f>IFERROR(INDEX(Produtos!$E$2:$E$71,MATCH(C470,Produtos!$A$2:$A$71,0)),0)</f>
        <v/>
      </c>
      <c r="R470" s="23">
        <f>D470*Q470</f>
        <v/>
      </c>
      <c r="S470" s="23">
        <f>R470*E470</f>
        <v/>
      </c>
      <c r="T470" s="23">
        <f>(R470-S470)*M470</f>
        <v/>
      </c>
      <c r="U470" s="23">
        <f>R470-S470-T470</f>
        <v/>
      </c>
      <c r="V470" s="23">
        <f>D470*P470</f>
        <v/>
      </c>
      <c r="W470" s="23">
        <f>U470-V470</f>
        <v/>
      </c>
      <c r="X470" s="24">
        <f>IFERROR(W470/U470,0)</f>
        <v/>
      </c>
    </row>
    <row r="471">
      <c r="A471" s="25">
        <f>ItensPedido!A471</f>
        <v/>
      </c>
      <c r="B471" s="25">
        <f>ItensPedido!B471</f>
        <v/>
      </c>
      <c r="C471" s="25">
        <f>ItensPedido!C471</f>
        <v/>
      </c>
      <c r="D471" s="25">
        <f>ItensPedido!D471</f>
        <v/>
      </c>
      <c r="E471" s="26">
        <f>ItensPedido!E471</f>
        <v/>
      </c>
      <c r="F471" s="25">
        <f>IFERROR(INDEX(Pedidos!$B$2:$B$1801,MATCH(B471,Pedidos!$A$2:$A$1801,0)),0)</f>
        <v/>
      </c>
      <c r="G471" s="25">
        <f>IF(F471=0,"",YEAR(F471))</f>
        <v/>
      </c>
      <c r="H471" s="25">
        <f>IF(F471=0,"",MONTH(F471))</f>
        <v/>
      </c>
      <c r="I471" s="25">
        <f>IFERROR(INDEX(Pedidos!$E$2:$E$1801,MATCH(B471,Pedidos!$A$2:$A$1801,0)),"")</f>
        <v/>
      </c>
      <c r="J471" s="25">
        <f>IFERROR(INDEX(Pedidos!$C$2:$C$1801,MATCH(B471,Pedidos!$A$2:$A$1801,0)),"")</f>
        <v/>
      </c>
      <c r="K471" s="25">
        <f>IFERROR(INDEX(Pedidos!$D$2:$D$1801,MATCH(B471,Pedidos!$A$2:$A$1801,0)),"")</f>
        <v/>
      </c>
      <c r="L471" s="25">
        <f>IFERROR(INDEX(Pedidos!$F$2:$F$1801,MATCH(B471,Pedidos!$A$2:$A$1801,0)),"")</f>
        <v/>
      </c>
      <c r="M471" s="26">
        <f>IFERROR(INDEX(Pedidos!$G$2:$G$1801,MATCH(B471,Pedidos!$A$2:$A$1801,0)),0)</f>
        <v/>
      </c>
      <c r="N471" s="25">
        <f>IFERROR(INDEX(Produtos!$B$2:$B$71,MATCH(C471,Produtos!$A$2:$A$71,0)),"")</f>
        <v/>
      </c>
      <c r="O471" s="25">
        <f>IFERROR(INDEX(Produtos!$C$2:$C$71,MATCH(C471,Produtos!$A$2:$A$71,0)),"")</f>
        <v/>
      </c>
      <c r="P471" s="25">
        <f>IFERROR(INDEX(Produtos!$D$2:$D$71,MATCH(C471,Produtos!$A$2:$A$71,0)),0)</f>
        <v/>
      </c>
      <c r="Q471" s="25">
        <f>IFERROR(INDEX(Produtos!$E$2:$E$71,MATCH(C471,Produtos!$A$2:$A$71,0)),0)</f>
        <v/>
      </c>
      <c r="R471" s="27">
        <f>D471*Q471</f>
        <v/>
      </c>
      <c r="S471" s="27">
        <f>R471*E471</f>
        <v/>
      </c>
      <c r="T471" s="27">
        <f>(R471-S471)*M471</f>
        <v/>
      </c>
      <c r="U471" s="27">
        <f>R471-S471-T471</f>
        <v/>
      </c>
      <c r="V471" s="27">
        <f>D471*P471</f>
        <v/>
      </c>
      <c r="W471" s="27">
        <f>U471-V471</f>
        <v/>
      </c>
      <c r="X471" s="28">
        <f>IFERROR(W471/U471,0)</f>
        <v/>
      </c>
    </row>
    <row r="472">
      <c r="A472" s="21">
        <f>ItensPedido!A472</f>
        <v/>
      </c>
      <c r="B472" s="21">
        <f>ItensPedido!B472</f>
        <v/>
      </c>
      <c r="C472" s="21">
        <f>ItensPedido!C472</f>
        <v/>
      </c>
      <c r="D472" s="21">
        <f>ItensPedido!D472</f>
        <v/>
      </c>
      <c r="E472" s="22">
        <f>ItensPedido!E472</f>
        <v/>
      </c>
      <c r="F472" s="21">
        <f>IFERROR(INDEX(Pedidos!$B$2:$B$1801,MATCH(B472,Pedidos!$A$2:$A$1801,0)),0)</f>
        <v/>
      </c>
      <c r="G472" s="21">
        <f>IF(F472=0,"",YEAR(F472))</f>
        <v/>
      </c>
      <c r="H472" s="21">
        <f>IF(F472=0,"",MONTH(F472))</f>
        <v/>
      </c>
      <c r="I472" s="21">
        <f>IFERROR(INDEX(Pedidos!$E$2:$E$1801,MATCH(B472,Pedidos!$A$2:$A$1801,0)),"")</f>
        <v/>
      </c>
      <c r="J472" s="21">
        <f>IFERROR(INDEX(Pedidos!$C$2:$C$1801,MATCH(B472,Pedidos!$A$2:$A$1801,0)),"")</f>
        <v/>
      </c>
      <c r="K472" s="21">
        <f>IFERROR(INDEX(Pedidos!$D$2:$D$1801,MATCH(B472,Pedidos!$A$2:$A$1801,0)),"")</f>
        <v/>
      </c>
      <c r="L472" s="21">
        <f>IFERROR(INDEX(Pedidos!$F$2:$F$1801,MATCH(B472,Pedidos!$A$2:$A$1801,0)),"")</f>
        <v/>
      </c>
      <c r="M472" s="22">
        <f>IFERROR(INDEX(Pedidos!$G$2:$G$1801,MATCH(B472,Pedidos!$A$2:$A$1801,0)),0)</f>
        <v/>
      </c>
      <c r="N472" s="21">
        <f>IFERROR(INDEX(Produtos!$B$2:$B$71,MATCH(C472,Produtos!$A$2:$A$71,0)),"")</f>
        <v/>
      </c>
      <c r="O472" s="21">
        <f>IFERROR(INDEX(Produtos!$C$2:$C$71,MATCH(C472,Produtos!$A$2:$A$71,0)),"")</f>
        <v/>
      </c>
      <c r="P472" s="21">
        <f>IFERROR(INDEX(Produtos!$D$2:$D$71,MATCH(C472,Produtos!$A$2:$A$71,0)),0)</f>
        <v/>
      </c>
      <c r="Q472" s="21">
        <f>IFERROR(INDEX(Produtos!$E$2:$E$71,MATCH(C472,Produtos!$A$2:$A$71,0)),0)</f>
        <v/>
      </c>
      <c r="R472" s="23">
        <f>D472*Q472</f>
        <v/>
      </c>
      <c r="S472" s="23">
        <f>R472*E472</f>
        <v/>
      </c>
      <c r="T472" s="23">
        <f>(R472-S472)*M472</f>
        <v/>
      </c>
      <c r="U472" s="23">
        <f>R472-S472-T472</f>
        <v/>
      </c>
      <c r="V472" s="23">
        <f>D472*P472</f>
        <v/>
      </c>
      <c r="W472" s="23">
        <f>U472-V472</f>
        <v/>
      </c>
      <c r="X472" s="24">
        <f>IFERROR(W472/U472,0)</f>
        <v/>
      </c>
    </row>
    <row r="473">
      <c r="A473" s="25">
        <f>ItensPedido!A473</f>
        <v/>
      </c>
      <c r="B473" s="25">
        <f>ItensPedido!B473</f>
        <v/>
      </c>
      <c r="C473" s="25">
        <f>ItensPedido!C473</f>
        <v/>
      </c>
      <c r="D473" s="25">
        <f>ItensPedido!D473</f>
        <v/>
      </c>
      <c r="E473" s="26">
        <f>ItensPedido!E473</f>
        <v/>
      </c>
      <c r="F473" s="25">
        <f>IFERROR(INDEX(Pedidos!$B$2:$B$1801,MATCH(B473,Pedidos!$A$2:$A$1801,0)),0)</f>
        <v/>
      </c>
      <c r="G473" s="25">
        <f>IF(F473=0,"",YEAR(F473))</f>
        <v/>
      </c>
      <c r="H473" s="25">
        <f>IF(F473=0,"",MONTH(F473))</f>
        <v/>
      </c>
      <c r="I473" s="25">
        <f>IFERROR(INDEX(Pedidos!$E$2:$E$1801,MATCH(B473,Pedidos!$A$2:$A$1801,0)),"")</f>
        <v/>
      </c>
      <c r="J473" s="25">
        <f>IFERROR(INDEX(Pedidos!$C$2:$C$1801,MATCH(B473,Pedidos!$A$2:$A$1801,0)),"")</f>
        <v/>
      </c>
      <c r="K473" s="25">
        <f>IFERROR(INDEX(Pedidos!$D$2:$D$1801,MATCH(B473,Pedidos!$A$2:$A$1801,0)),"")</f>
        <v/>
      </c>
      <c r="L473" s="25">
        <f>IFERROR(INDEX(Pedidos!$F$2:$F$1801,MATCH(B473,Pedidos!$A$2:$A$1801,0)),"")</f>
        <v/>
      </c>
      <c r="M473" s="26">
        <f>IFERROR(INDEX(Pedidos!$G$2:$G$1801,MATCH(B473,Pedidos!$A$2:$A$1801,0)),0)</f>
        <v/>
      </c>
      <c r="N473" s="25">
        <f>IFERROR(INDEX(Produtos!$B$2:$B$71,MATCH(C473,Produtos!$A$2:$A$71,0)),"")</f>
        <v/>
      </c>
      <c r="O473" s="25">
        <f>IFERROR(INDEX(Produtos!$C$2:$C$71,MATCH(C473,Produtos!$A$2:$A$71,0)),"")</f>
        <v/>
      </c>
      <c r="P473" s="25">
        <f>IFERROR(INDEX(Produtos!$D$2:$D$71,MATCH(C473,Produtos!$A$2:$A$71,0)),0)</f>
        <v/>
      </c>
      <c r="Q473" s="25">
        <f>IFERROR(INDEX(Produtos!$E$2:$E$71,MATCH(C473,Produtos!$A$2:$A$71,0)),0)</f>
        <v/>
      </c>
      <c r="R473" s="27">
        <f>D473*Q473</f>
        <v/>
      </c>
      <c r="S473" s="27">
        <f>R473*E473</f>
        <v/>
      </c>
      <c r="T473" s="27">
        <f>(R473-S473)*M473</f>
        <v/>
      </c>
      <c r="U473" s="27">
        <f>R473-S473-T473</f>
        <v/>
      </c>
      <c r="V473" s="27">
        <f>D473*P473</f>
        <v/>
      </c>
      <c r="W473" s="27">
        <f>U473-V473</f>
        <v/>
      </c>
      <c r="X473" s="28">
        <f>IFERROR(W473/U473,0)</f>
        <v/>
      </c>
    </row>
    <row r="474">
      <c r="A474" s="21">
        <f>ItensPedido!A474</f>
        <v/>
      </c>
      <c r="B474" s="21">
        <f>ItensPedido!B474</f>
        <v/>
      </c>
      <c r="C474" s="21">
        <f>ItensPedido!C474</f>
        <v/>
      </c>
      <c r="D474" s="21">
        <f>ItensPedido!D474</f>
        <v/>
      </c>
      <c r="E474" s="22">
        <f>ItensPedido!E474</f>
        <v/>
      </c>
      <c r="F474" s="21">
        <f>IFERROR(INDEX(Pedidos!$B$2:$B$1801,MATCH(B474,Pedidos!$A$2:$A$1801,0)),0)</f>
        <v/>
      </c>
      <c r="G474" s="21">
        <f>IF(F474=0,"",YEAR(F474))</f>
        <v/>
      </c>
      <c r="H474" s="21">
        <f>IF(F474=0,"",MONTH(F474))</f>
        <v/>
      </c>
      <c r="I474" s="21">
        <f>IFERROR(INDEX(Pedidos!$E$2:$E$1801,MATCH(B474,Pedidos!$A$2:$A$1801,0)),"")</f>
        <v/>
      </c>
      <c r="J474" s="21">
        <f>IFERROR(INDEX(Pedidos!$C$2:$C$1801,MATCH(B474,Pedidos!$A$2:$A$1801,0)),"")</f>
        <v/>
      </c>
      <c r="K474" s="21">
        <f>IFERROR(INDEX(Pedidos!$D$2:$D$1801,MATCH(B474,Pedidos!$A$2:$A$1801,0)),"")</f>
        <v/>
      </c>
      <c r="L474" s="21">
        <f>IFERROR(INDEX(Pedidos!$F$2:$F$1801,MATCH(B474,Pedidos!$A$2:$A$1801,0)),"")</f>
        <v/>
      </c>
      <c r="M474" s="22">
        <f>IFERROR(INDEX(Pedidos!$G$2:$G$1801,MATCH(B474,Pedidos!$A$2:$A$1801,0)),0)</f>
        <v/>
      </c>
      <c r="N474" s="21">
        <f>IFERROR(INDEX(Produtos!$B$2:$B$71,MATCH(C474,Produtos!$A$2:$A$71,0)),"")</f>
        <v/>
      </c>
      <c r="O474" s="21">
        <f>IFERROR(INDEX(Produtos!$C$2:$C$71,MATCH(C474,Produtos!$A$2:$A$71,0)),"")</f>
        <v/>
      </c>
      <c r="P474" s="21">
        <f>IFERROR(INDEX(Produtos!$D$2:$D$71,MATCH(C474,Produtos!$A$2:$A$71,0)),0)</f>
        <v/>
      </c>
      <c r="Q474" s="21">
        <f>IFERROR(INDEX(Produtos!$E$2:$E$71,MATCH(C474,Produtos!$A$2:$A$71,0)),0)</f>
        <v/>
      </c>
      <c r="R474" s="23">
        <f>D474*Q474</f>
        <v/>
      </c>
      <c r="S474" s="23">
        <f>R474*E474</f>
        <v/>
      </c>
      <c r="T474" s="23">
        <f>(R474-S474)*M474</f>
        <v/>
      </c>
      <c r="U474" s="23">
        <f>R474-S474-T474</f>
        <v/>
      </c>
      <c r="V474" s="23">
        <f>D474*P474</f>
        <v/>
      </c>
      <c r="W474" s="23">
        <f>U474-V474</f>
        <v/>
      </c>
      <c r="X474" s="24">
        <f>IFERROR(W474/U474,0)</f>
        <v/>
      </c>
    </row>
    <row r="475">
      <c r="A475" s="25">
        <f>ItensPedido!A475</f>
        <v/>
      </c>
      <c r="B475" s="25">
        <f>ItensPedido!B475</f>
        <v/>
      </c>
      <c r="C475" s="25">
        <f>ItensPedido!C475</f>
        <v/>
      </c>
      <c r="D475" s="25">
        <f>ItensPedido!D475</f>
        <v/>
      </c>
      <c r="E475" s="26">
        <f>ItensPedido!E475</f>
        <v/>
      </c>
      <c r="F475" s="25">
        <f>IFERROR(INDEX(Pedidos!$B$2:$B$1801,MATCH(B475,Pedidos!$A$2:$A$1801,0)),0)</f>
        <v/>
      </c>
      <c r="G475" s="25">
        <f>IF(F475=0,"",YEAR(F475))</f>
        <v/>
      </c>
      <c r="H475" s="25">
        <f>IF(F475=0,"",MONTH(F475))</f>
        <v/>
      </c>
      <c r="I475" s="25">
        <f>IFERROR(INDEX(Pedidos!$E$2:$E$1801,MATCH(B475,Pedidos!$A$2:$A$1801,0)),"")</f>
        <v/>
      </c>
      <c r="J475" s="25">
        <f>IFERROR(INDEX(Pedidos!$C$2:$C$1801,MATCH(B475,Pedidos!$A$2:$A$1801,0)),"")</f>
        <v/>
      </c>
      <c r="K475" s="25">
        <f>IFERROR(INDEX(Pedidos!$D$2:$D$1801,MATCH(B475,Pedidos!$A$2:$A$1801,0)),"")</f>
        <v/>
      </c>
      <c r="L475" s="25">
        <f>IFERROR(INDEX(Pedidos!$F$2:$F$1801,MATCH(B475,Pedidos!$A$2:$A$1801,0)),"")</f>
        <v/>
      </c>
      <c r="M475" s="26">
        <f>IFERROR(INDEX(Pedidos!$G$2:$G$1801,MATCH(B475,Pedidos!$A$2:$A$1801,0)),0)</f>
        <v/>
      </c>
      <c r="N475" s="25">
        <f>IFERROR(INDEX(Produtos!$B$2:$B$71,MATCH(C475,Produtos!$A$2:$A$71,0)),"")</f>
        <v/>
      </c>
      <c r="O475" s="25">
        <f>IFERROR(INDEX(Produtos!$C$2:$C$71,MATCH(C475,Produtos!$A$2:$A$71,0)),"")</f>
        <v/>
      </c>
      <c r="P475" s="25">
        <f>IFERROR(INDEX(Produtos!$D$2:$D$71,MATCH(C475,Produtos!$A$2:$A$71,0)),0)</f>
        <v/>
      </c>
      <c r="Q475" s="25">
        <f>IFERROR(INDEX(Produtos!$E$2:$E$71,MATCH(C475,Produtos!$A$2:$A$71,0)),0)</f>
        <v/>
      </c>
      <c r="R475" s="27">
        <f>D475*Q475</f>
        <v/>
      </c>
      <c r="S475" s="27">
        <f>R475*E475</f>
        <v/>
      </c>
      <c r="T475" s="27">
        <f>(R475-S475)*M475</f>
        <v/>
      </c>
      <c r="U475" s="27">
        <f>R475-S475-T475</f>
        <v/>
      </c>
      <c r="V475" s="27">
        <f>D475*P475</f>
        <v/>
      </c>
      <c r="W475" s="27">
        <f>U475-V475</f>
        <v/>
      </c>
      <c r="X475" s="28">
        <f>IFERROR(W475/U475,0)</f>
        <v/>
      </c>
    </row>
    <row r="476">
      <c r="A476" s="21">
        <f>ItensPedido!A476</f>
        <v/>
      </c>
      <c r="B476" s="21">
        <f>ItensPedido!B476</f>
        <v/>
      </c>
      <c r="C476" s="21">
        <f>ItensPedido!C476</f>
        <v/>
      </c>
      <c r="D476" s="21">
        <f>ItensPedido!D476</f>
        <v/>
      </c>
      <c r="E476" s="22">
        <f>ItensPedido!E476</f>
        <v/>
      </c>
      <c r="F476" s="21">
        <f>IFERROR(INDEX(Pedidos!$B$2:$B$1801,MATCH(B476,Pedidos!$A$2:$A$1801,0)),0)</f>
        <v/>
      </c>
      <c r="G476" s="21">
        <f>IF(F476=0,"",YEAR(F476))</f>
        <v/>
      </c>
      <c r="H476" s="21">
        <f>IF(F476=0,"",MONTH(F476))</f>
        <v/>
      </c>
      <c r="I476" s="21">
        <f>IFERROR(INDEX(Pedidos!$E$2:$E$1801,MATCH(B476,Pedidos!$A$2:$A$1801,0)),"")</f>
        <v/>
      </c>
      <c r="J476" s="21">
        <f>IFERROR(INDEX(Pedidos!$C$2:$C$1801,MATCH(B476,Pedidos!$A$2:$A$1801,0)),"")</f>
        <v/>
      </c>
      <c r="K476" s="21">
        <f>IFERROR(INDEX(Pedidos!$D$2:$D$1801,MATCH(B476,Pedidos!$A$2:$A$1801,0)),"")</f>
        <v/>
      </c>
      <c r="L476" s="21">
        <f>IFERROR(INDEX(Pedidos!$F$2:$F$1801,MATCH(B476,Pedidos!$A$2:$A$1801,0)),"")</f>
        <v/>
      </c>
      <c r="M476" s="22">
        <f>IFERROR(INDEX(Pedidos!$G$2:$G$1801,MATCH(B476,Pedidos!$A$2:$A$1801,0)),0)</f>
        <v/>
      </c>
      <c r="N476" s="21">
        <f>IFERROR(INDEX(Produtos!$B$2:$B$71,MATCH(C476,Produtos!$A$2:$A$71,0)),"")</f>
        <v/>
      </c>
      <c r="O476" s="21">
        <f>IFERROR(INDEX(Produtos!$C$2:$C$71,MATCH(C476,Produtos!$A$2:$A$71,0)),"")</f>
        <v/>
      </c>
      <c r="P476" s="21">
        <f>IFERROR(INDEX(Produtos!$D$2:$D$71,MATCH(C476,Produtos!$A$2:$A$71,0)),0)</f>
        <v/>
      </c>
      <c r="Q476" s="21">
        <f>IFERROR(INDEX(Produtos!$E$2:$E$71,MATCH(C476,Produtos!$A$2:$A$71,0)),0)</f>
        <v/>
      </c>
      <c r="R476" s="23">
        <f>D476*Q476</f>
        <v/>
      </c>
      <c r="S476" s="23">
        <f>R476*E476</f>
        <v/>
      </c>
      <c r="T476" s="23">
        <f>(R476-S476)*M476</f>
        <v/>
      </c>
      <c r="U476" s="23">
        <f>R476-S476-T476</f>
        <v/>
      </c>
      <c r="V476" s="23">
        <f>D476*P476</f>
        <v/>
      </c>
      <c r="W476" s="23">
        <f>U476-V476</f>
        <v/>
      </c>
      <c r="X476" s="24">
        <f>IFERROR(W476/U476,0)</f>
        <v/>
      </c>
    </row>
    <row r="477">
      <c r="A477" s="25">
        <f>ItensPedido!A477</f>
        <v/>
      </c>
      <c r="B477" s="25">
        <f>ItensPedido!B477</f>
        <v/>
      </c>
      <c r="C477" s="25">
        <f>ItensPedido!C477</f>
        <v/>
      </c>
      <c r="D477" s="25">
        <f>ItensPedido!D477</f>
        <v/>
      </c>
      <c r="E477" s="26">
        <f>ItensPedido!E477</f>
        <v/>
      </c>
      <c r="F477" s="25">
        <f>IFERROR(INDEX(Pedidos!$B$2:$B$1801,MATCH(B477,Pedidos!$A$2:$A$1801,0)),0)</f>
        <v/>
      </c>
      <c r="G477" s="25">
        <f>IF(F477=0,"",YEAR(F477))</f>
        <v/>
      </c>
      <c r="H477" s="25">
        <f>IF(F477=0,"",MONTH(F477))</f>
        <v/>
      </c>
      <c r="I477" s="25">
        <f>IFERROR(INDEX(Pedidos!$E$2:$E$1801,MATCH(B477,Pedidos!$A$2:$A$1801,0)),"")</f>
        <v/>
      </c>
      <c r="J477" s="25">
        <f>IFERROR(INDEX(Pedidos!$C$2:$C$1801,MATCH(B477,Pedidos!$A$2:$A$1801,0)),"")</f>
        <v/>
      </c>
      <c r="K477" s="25">
        <f>IFERROR(INDEX(Pedidos!$D$2:$D$1801,MATCH(B477,Pedidos!$A$2:$A$1801,0)),"")</f>
        <v/>
      </c>
      <c r="L477" s="25">
        <f>IFERROR(INDEX(Pedidos!$F$2:$F$1801,MATCH(B477,Pedidos!$A$2:$A$1801,0)),"")</f>
        <v/>
      </c>
      <c r="M477" s="26">
        <f>IFERROR(INDEX(Pedidos!$G$2:$G$1801,MATCH(B477,Pedidos!$A$2:$A$1801,0)),0)</f>
        <v/>
      </c>
      <c r="N477" s="25">
        <f>IFERROR(INDEX(Produtos!$B$2:$B$71,MATCH(C477,Produtos!$A$2:$A$71,0)),"")</f>
        <v/>
      </c>
      <c r="O477" s="25">
        <f>IFERROR(INDEX(Produtos!$C$2:$C$71,MATCH(C477,Produtos!$A$2:$A$71,0)),"")</f>
        <v/>
      </c>
      <c r="P477" s="25">
        <f>IFERROR(INDEX(Produtos!$D$2:$D$71,MATCH(C477,Produtos!$A$2:$A$71,0)),0)</f>
        <v/>
      </c>
      <c r="Q477" s="25">
        <f>IFERROR(INDEX(Produtos!$E$2:$E$71,MATCH(C477,Produtos!$A$2:$A$71,0)),0)</f>
        <v/>
      </c>
      <c r="R477" s="27">
        <f>D477*Q477</f>
        <v/>
      </c>
      <c r="S477" s="27">
        <f>R477*E477</f>
        <v/>
      </c>
      <c r="T477" s="27">
        <f>(R477-S477)*M477</f>
        <v/>
      </c>
      <c r="U477" s="27">
        <f>R477-S477-T477</f>
        <v/>
      </c>
      <c r="V477" s="27">
        <f>D477*P477</f>
        <v/>
      </c>
      <c r="W477" s="27">
        <f>U477-V477</f>
        <v/>
      </c>
      <c r="X477" s="28">
        <f>IFERROR(W477/U477,0)</f>
        <v/>
      </c>
    </row>
    <row r="478">
      <c r="A478" s="21">
        <f>ItensPedido!A478</f>
        <v/>
      </c>
      <c r="B478" s="21">
        <f>ItensPedido!B478</f>
        <v/>
      </c>
      <c r="C478" s="21">
        <f>ItensPedido!C478</f>
        <v/>
      </c>
      <c r="D478" s="21">
        <f>ItensPedido!D478</f>
        <v/>
      </c>
      <c r="E478" s="22">
        <f>ItensPedido!E478</f>
        <v/>
      </c>
      <c r="F478" s="21">
        <f>IFERROR(INDEX(Pedidos!$B$2:$B$1801,MATCH(B478,Pedidos!$A$2:$A$1801,0)),0)</f>
        <v/>
      </c>
      <c r="G478" s="21">
        <f>IF(F478=0,"",YEAR(F478))</f>
        <v/>
      </c>
      <c r="H478" s="21">
        <f>IF(F478=0,"",MONTH(F478))</f>
        <v/>
      </c>
      <c r="I478" s="21">
        <f>IFERROR(INDEX(Pedidos!$E$2:$E$1801,MATCH(B478,Pedidos!$A$2:$A$1801,0)),"")</f>
        <v/>
      </c>
      <c r="J478" s="21">
        <f>IFERROR(INDEX(Pedidos!$C$2:$C$1801,MATCH(B478,Pedidos!$A$2:$A$1801,0)),"")</f>
        <v/>
      </c>
      <c r="K478" s="21">
        <f>IFERROR(INDEX(Pedidos!$D$2:$D$1801,MATCH(B478,Pedidos!$A$2:$A$1801,0)),"")</f>
        <v/>
      </c>
      <c r="L478" s="21">
        <f>IFERROR(INDEX(Pedidos!$F$2:$F$1801,MATCH(B478,Pedidos!$A$2:$A$1801,0)),"")</f>
        <v/>
      </c>
      <c r="M478" s="22">
        <f>IFERROR(INDEX(Pedidos!$G$2:$G$1801,MATCH(B478,Pedidos!$A$2:$A$1801,0)),0)</f>
        <v/>
      </c>
      <c r="N478" s="21">
        <f>IFERROR(INDEX(Produtos!$B$2:$B$71,MATCH(C478,Produtos!$A$2:$A$71,0)),"")</f>
        <v/>
      </c>
      <c r="O478" s="21">
        <f>IFERROR(INDEX(Produtos!$C$2:$C$71,MATCH(C478,Produtos!$A$2:$A$71,0)),"")</f>
        <v/>
      </c>
      <c r="P478" s="21">
        <f>IFERROR(INDEX(Produtos!$D$2:$D$71,MATCH(C478,Produtos!$A$2:$A$71,0)),0)</f>
        <v/>
      </c>
      <c r="Q478" s="21">
        <f>IFERROR(INDEX(Produtos!$E$2:$E$71,MATCH(C478,Produtos!$A$2:$A$71,0)),0)</f>
        <v/>
      </c>
      <c r="R478" s="23">
        <f>D478*Q478</f>
        <v/>
      </c>
      <c r="S478" s="23">
        <f>R478*E478</f>
        <v/>
      </c>
      <c r="T478" s="23">
        <f>(R478-S478)*M478</f>
        <v/>
      </c>
      <c r="U478" s="23">
        <f>R478-S478-T478</f>
        <v/>
      </c>
      <c r="V478" s="23">
        <f>D478*P478</f>
        <v/>
      </c>
      <c r="W478" s="23">
        <f>U478-V478</f>
        <v/>
      </c>
      <c r="X478" s="24">
        <f>IFERROR(W478/U478,0)</f>
        <v/>
      </c>
    </row>
    <row r="479">
      <c r="A479" s="25">
        <f>ItensPedido!A479</f>
        <v/>
      </c>
      <c r="B479" s="25">
        <f>ItensPedido!B479</f>
        <v/>
      </c>
      <c r="C479" s="25">
        <f>ItensPedido!C479</f>
        <v/>
      </c>
      <c r="D479" s="25">
        <f>ItensPedido!D479</f>
        <v/>
      </c>
      <c r="E479" s="26">
        <f>ItensPedido!E479</f>
        <v/>
      </c>
      <c r="F479" s="25">
        <f>IFERROR(INDEX(Pedidos!$B$2:$B$1801,MATCH(B479,Pedidos!$A$2:$A$1801,0)),0)</f>
        <v/>
      </c>
      <c r="G479" s="25">
        <f>IF(F479=0,"",YEAR(F479))</f>
        <v/>
      </c>
      <c r="H479" s="25">
        <f>IF(F479=0,"",MONTH(F479))</f>
        <v/>
      </c>
      <c r="I479" s="25">
        <f>IFERROR(INDEX(Pedidos!$E$2:$E$1801,MATCH(B479,Pedidos!$A$2:$A$1801,0)),"")</f>
        <v/>
      </c>
      <c r="J479" s="25">
        <f>IFERROR(INDEX(Pedidos!$C$2:$C$1801,MATCH(B479,Pedidos!$A$2:$A$1801,0)),"")</f>
        <v/>
      </c>
      <c r="K479" s="25">
        <f>IFERROR(INDEX(Pedidos!$D$2:$D$1801,MATCH(B479,Pedidos!$A$2:$A$1801,0)),"")</f>
        <v/>
      </c>
      <c r="L479" s="25">
        <f>IFERROR(INDEX(Pedidos!$F$2:$F$1801,MATCH(B479,Pedidos!$A$2:$A$1801,0)),"")</f>
        <v/>
      </c>
      <c r="M479" s="26">
        <f>IFERROR(INDEX(Pedidos!$G$2:$G$1801,MATCH(B479,Pedidos!$A$2:$A$1801,0)),0)</f>
        <v/>
      </c>
      <c r="N479" s="25">
        <f>IFERROR(INDEX(Produtos!$B$2:$B$71,MATCH(C479,Produtos!$A$2:$A$71,0)),"")</f>
        <v/>
      </c>
      <c r="O479" s="25">
        <f>IFERROR(INDEX(Produtos!$C$2:$C$71,MATCH(C479,Produtos!$A$2:$A$71,0)),"")</f>
        <v/>
      </c>
      <c r="P479" s="25">
        <f>IFERROR(INDEX(Produtos!$D$2:$D$71,MATCH(C479,Produtos!$A$2:$A$71,0)),0)</f>
        <v/>
      </c>
      <c r="Q479" s="25">
        <f>IFERROR(INDEX(Produtos!$E$2:$E$71,MATCH(C479,Produtos!$A$2:$A$71,0)),0)</f>
        <v/>
      </c>
      <c r="R479" s="27">
        <f>D479*Q479</f>
        <v/>
      </c>
      <c r="S479" s="27">
        <f>R479*E479</f>
        <v/>
      </c>
      <c r="T479" s="27">
        <f>(R479-S479)*M479</f>
        <v/>
      </c>
      <c r="U479" s="27">
        <f>R479-S479-T479</f>
        <v/>
      </c>
      <c r="V479" s="27">
        <f>D479*P479</f>
        <v/>
      </c>
      <c r="W479" s="27">
        <f>U479-V479</f>
        <v/>
      </c>
      <c r="X479" s="28">
        <f>IFERROR(W479/U479,0)</f>
        <v/>
      </c>
    </row>
    <row r="480">
      <c r="A480" s="21">
        <f>ItensPedido!A480</f>
        <v/>
      </c>
      <c r="B480" s="21">
        <f>ItensPedido!B480</f>
        <v/>
      </c>
      <c r="C480" s="21">
        <f>ItensPedido!C480</f>
        <v/>
      </c>
      <c r="D480" s="21">
        <f>ItensPedido!D480</f>
        <v/>
      </c>
      <c r="E480" s="22">
        <f>ItensPedido!E480</f>
        <v/>
      </c>
      <c r="F480" s="21">
        <f>IFERROR(INDEX(Pedidos!$B$2:$B$1801,MATCH(B480,Pedidos!$A$2:$A$1801,0)),0)</f>
        <v/>
      </c>
      <c r="G480" s="21">
        <f>IF(F480=0,"",YEAR(F480))</f>
        <v/>
      </c>
      <c r="H480" s="21">
        <f>IF(F480=0,"",MONTH(F480))</f>
        <v/>
      </c>
      <c r="I480" s="21">
        <f>IFERROR(INDEX(Pedidos!$E$2:$E$1801,MATCH(B480,Pedidos!$A$2:$A$1801,0)),"")</f>
        <v/>
      </c>
      <c r="J480" s="21">
        <f>IFERROR(INDEX(Pedidos!$C$2:$C$1801,MATCH(B480,Pedidos!$A$2:$A$1801,0)),"")</f>
        <v/>
      </c>
      <c r="K480" s="21">
        <f>IFERROR(INDEX(Pedidos!$D$2:$D$1801,MATCH(B480,Pedidos!$A$2:$A$1801,0)),"")</f>
        <v/>
      </c>
      <c r="L480" s="21">
        <f>IFERROR(INDEX(Pedidos!$F$2:$F$1801,MATCH(B480,Pedidos!$A$2:$A$1801,0)),"")</f>
        <v/>
      </c>
      <c r="M480" s="22">
        <f>IFERROR(INDEX(Pedidos!$G$2:$G$1801,MATCH(B480,Pedidos!$A$2:$A$1801,0)),0)</f>
        <v/>
      </c>
      <c r="N480" s="21">
        <f>IFERROR(INDEX(Produtos!$B$2:$B$71,MATCH(C480,Produtos!$A$2:$A$71,0)),"")</f>
        <v/>
      </c>
      <c r="O480" s="21">
        <f>IFERROR(INDEX(Produtos!$C$2:$C$71,MATCH(C480,Produtos!$A$2:$A$71,0)),"")</f>
        <v/>
      </c>
      <c r="P480" s="21">
        <f>IFERROR(INDEX(Produtos!$D$2:$D$71,MATCH(C480,Produtos!$A$2:$A$71,0)),0)</f>
        <v/>
      </c>
      <c r="Q480" s="21">
        <f>IFERROR(INDEX(Produtos!$E$2:$E$71,MATCH(C480,Produtos!$A$2:$A$71,0)),0)</f>
        <v/>
      </c>
      <c r="R480" s="23">
        <f>D480*Q480</f>
        <v/>
      </c>
      <c r="S480" s="23">
        <f>R480*E480</f>
        <v/>
      </c>
      <c r="T480" s="23">
        <f>(R480-S480)*M480</f>
        <v/>
      </c>
      <c r="U480" s="23">
        <f>R480-S480-T480</f>
        <v/>
      </c>
      <c r="V480" s="23">
        <f>D480*P480</f>
        <v/>
      </c>
      <c r="W480" s="23">
        <f>U480-V480</f>
        <v/>
      </c>
      <c r="X480" s="24">
        <f>IFERROR(W480/U480,0)</f>
        <v/>
      </c>
    </row>
    <row r="481">
      <c r="A481" s="25">
        <f>ItensPedido!A481</f>
        <v/>
      </c>
      <c r="B481" s="25">
        <f>ItensPedido!B481</f>
        <v/>
      </c>
      <c r="C481" s="25">
        <f>ItensPedido!C481</f>
        <v/>
      </c>
      <c r="D481" s="25">
        <f>ItensPedido!D481</f>
        <v/>
      </c>
      <c r="E481" s="26">
        <f>ItensPedido!E481</f>
        <v/>
      </c>
      <c r="F481" s="25">
        <f>IFERROR(INDEX(Pedidos!$B$2:$B$1801,MATCH(B481,Pedidos!$A$2:$A$1801,0)),0)</f>
        <v/>
      </c>
      <c r="G481" s="25">
        <f>IF(F481=0,"",YEAR(F481))</f>
        <v/>
      </c>
      <c r="H481" s="25">
        <f>IF(F481=0,"",MONTH(F481))</f>
        <v/>
      </c>
      <c r="I481" s="25">
        <f>IFERROR(INDEX(Pedidos!$E$2:$E$1801,MATCH(B481,Pedidos!$A$2:$A$1801,0)),"")</f>
        <v/>
      </c>
      <c r="J481" s="25">
        <f>IFERROR(INDEX(Pedidos!$C$2:$C$1801,MATCH(B481,Pedidos!$A$2:$A$1801,0)),"")</f>
        <v/>
      </c>
      <c r="K481" s="25">
        <f>IFERROR(INDEX(Pedidos!$D$2:$D$1801,MATCH(B481,Pedidos!$A$2:$A$1801,0)),"")</f>
        <v/>
      </c>
      <c r="L481" s="25">
        <f>IFERROR(INDEX(Pedidos!$F$2:$F$1801,MATCH(B481,Pedidos!$A$2:$A$1801,0)),"")</f>
        <v/>
      </c>
      <c r="M481" s="26">
        <f>IFERROR(INDEX(Pedidos!$G$2:$G$1801,MATCH(B481,Pedidos!$A$2:$A$1801,0)),0)</f>
        <v/>
      </c>
      <c r="N481" s="25">
        <f>IFERROR(INDEX(Produtos!$B$2:$B$71,MATCH(C481,Produtos!$A$2:$A$71,0)),"")</f>
        <v/>
      </c>
      <c r="O481" s="25">
        <f>IFERROR(INDEX(Produtos!$C$2:$C$71,MATCH(C481,Produtos!$A$2:$A$71,0)),"")</f>
        <v/>
      </c>
      <c r="P481" s="25">
        <f>IFERROR(INDEX(Produtos!$D$2:$D$71,MATCH(C481,Produtos!$A$2:$A$71,0)),0)</f>
        <v/>
      </c>
      <c r="Q481" s="25">
        <f>IFERROR(INDEX(Produtos!$E$2:$E$71,MATCH(C481,Produtos!$A$2:$A$71,0)),0)</f>
        <v/>
      </c>
      <c r="R481" s="27">
        <f>D481*Q481</f>
        <v/>
      </c>
      <c r="S481" s="27">
        <f>R481*E481</f>
        <v/>
      </c>
      <c r="T481" s="27">
        <f>(R481-S481)*M481</f>
        <v/>
      </c>
      <c r="U481" s="27">
        <f>R481-S481-T481</f>
        <v/>
      </c>
      <c r="V481" s="27">
        <f>D481*P481</f>
        <v/>
      </c>
      <c r="W481" s="27">
        <f>U481-V481</f>
        <v/>
      </c>
      <c r="X481" s="28">
        <f>IFERROR(W481/U481,0)</f>
        <v/>
      </c>
    </row>
    <row r="482">
      <c r="A482" s="21">
        <f>ItensPedido!A482</f>
        <v/>
      </c>
      <c r="B482" s="21">
        <f>ItensPedido!B482</f>
        <v/>
      </c>
      <c r="C482" s="21">
        <f>ItensPedido!C482</f>
        <v/>
      </c>
      <c r="D482" s="21">
        <f>ItensPedido!D482</f>
        <v/>
      </c>
      <c r="E482" s="22">
        <f>ItensPedido!E482</f>
        <v/>
      </c>
      <c r="F482" s="21">
        <f>IFERROR(INDEX(Pedidos!$B$2:$B$1801,MATCH(B482,Pedidos!$A$2:$A$1801,0)),0)</f>
        <v/>
      </c>
      <c r="G482" s="21">
        <f>IF(F482=0,"",YEAR(F482))</f>
        <v/>
      </c>
      <c r="H482" s="21">
        <f>IF(F482=0,"",MONTH(F482))</f>
        <v/>
      </c>
      <c r="I482" s="21">
        <f>IFERROR(INDEX(Pedidos!$E$2:$E$1801,MATCH(B482,Pedidos!$A$2:$A$1801,0)),"")</f>
        <v/>
      </c>
      <c r="J482" s="21">
        <f>IFERROR(INDEX(Pedidos!$C$2:$C$1801,MATCH(B482,Pedidos!$A$2:$A$1801,0)),"")</f>
        <v/>
      </c>
      <c r="K482" s="21">
        <f>IFERROR(INDEX(Pedidos!$D$2:$D$1801,MATCH(B482,Pedidos!$A$2:$A$1801,0)),"")</f>
        <v/>
      </c>
      <c r="L482" s="21">
        <f>IFERROR(INDEX(Pedidos!$F$2:$F$1801,MATCH(B482,Pedidos!$A$2:$A$1801,0)),"")</f>
        <v/>
      </c>
      <c r="M482" s="22">
        <f>IFERROR(INDEX(Pedidos!$G$2:$G$1801,MATCH(B482,Pedidos!$A$2:$A$1801,0)),0)</f>
        <v/>
      </c>
      <c r="N482" s="21">
        <f>IFERROR(INDEX(Produtos!$B$2:$B$71,MATCH(C482,Produtos!$A$2:$A$71,0)),"")</f>
        <v/>
      </c>
      <c r="O482" s="21">
        <f>IFERROR(INDEX(Produtos!$C$2:$C$71,MATCH(C482,Produtos!$A$2:$A$71,0)),"")</f>
        <v/>
      </c>
      <c r="P482" s="21">
        <f>IFERROR(INDEX(Produtos!$D$2:$D$71,MATCH(C482,Produtos!$A$2:$A$71,0)),0)</f>
        <v/>
      </c>
      <c r="Q482" s="21">
        <f>IFERROR(INDEX(Produtos!$E$2:$E$71,MATCH(C482,Produtos!$A$2:$A$71,0)),0)</f>
        <v/>
      </c>
      <c r="R482" s="23">
        <f>D482*Q482</f>
        <v/>
      </c>
      <c r="S482" s="23">
        <f>R482*E482</f>
        <v/>
      </c>
      <c r="T482" s="23">
        <f>(R482-S482)*M482</f>
        <v/>
      </c>
      <c r="U482" s="23">
        <f>R482-S482-T482</f>
        <v/>
      </c>
      <c r="V482" s="23">
        <f>D482*P482</f>
        <v/>
      </c>
      <c r="W482" s="23">
        <f>U482-V482</f>
        <v/>
      </c>
      <c r="X482" s="24">
        <f>IFERROR(W482/U482,0)</f>
        <v/>
      </c>
    </row>
    <row r="483">
      <c r="A483" s="25">
        <f>ItensPedido!A483</f>
        <v/>
      </c>
      <c r="B483" s="25">
        <f>ItensPedido!B483</f>
        <v/>
      </c>
      <c r="C483" s="25">
        <f>ItensPedido!C483</f>
        <v/>
      </c>
      <c r="D483" s="25">
        <f>ItensPedido!D483</f>
        <v/>
      </c>
      <c r="E483" s="26">
        <f>ItensPedido!E483</f>
        <v/>
      </c>
      <c r="F483" s="25">
        <f>IFERROR(INDEX(Pedidos!$B$2:$B$1801,MATCH(B483,Pedidos!$A$2:$A$1801,0)),0)</f>
        <v/>
      </c>
      <c r="G483" s="25">
        <f>IF(F483=0,"",YEAR(F483))</f>
        <v/>
      </c>
      <c r="H483" s="25">
        <f>IF(F483=0,"",MONTH(F483))</f>
        <v/>
      </c>
      <c r="I483" s="25">
        <f>IFERROR(INDEX(Pedidos!$E$2:$E$1801,MATCH(B483,Pedidos!$A$2:$A$1801,0)),"")</f>
        <v/>
      </c>
      <c r="J483" s="25">
        <f>IFERROR(INDEX(Pedidos!$C$2:$C$1801,MATCH(B483,Pedidos!$A$2:$A$1801,0)),"")</f>
        <v/>
      </c>
      <c r="K483" s="25">
        <f>IFERROR(INDEX(Pedidos!$D$2:$D$1801,MATCH(B483,Pedidos!$A$2:$A$1801,0)),"")</f>
        <v/>
      </c>
      <c r="L483" s="25">
        <f>IFERROR(INDEX(Pedidos!$F$2:$F$1801,MATCH(B483,Pedidos!$A$2:$A$1801,0)),"")</f>
        <v/>
      </c>
      <c r="M483" s="26">
        <f>IFERROR(INDEX(Pedidos!$G$2:$G$1801,MATCH(B483,Pedidos!$A$2:$A$1801,0)),0)</f>
        <v/>
      </c>
      <c r="N483" s="25">
        <f>IFERROR(INDEX(Produtos!$B$2:$B$71,MATCH(C483,Produtos!$A$2:$A$71,0)),"")</f>
        <v/>
      </c>
      <c r="O483" s="25">
        <f>IFERROR(INDEX(Produtos!$C$2:$C$71,MATCH(C483,Produtos!$A$2:$A$71,0)),"")</f>
        <v/>
      </c>
      <c r="P483" s="25">
        <f>IFERROR(INDEX(Produtos!$D$2:$D$71,MATCH(C483,Produtos!$A$2:$A$71,0)),0)</f>
        <v/>
      </c>
      <c r="Q483" s="25">
        <f>IFERROR(INDEX(Produtos!$E$2:$E$71,MATCH(C483,Produtos!$A$2:$A$71,0)),0)</f>
        <v/>
      </c>
      <c r="R483" s="27">
        <f>D483*Q483</f>
        <v/>
      </c>
      <c r="S483" s="27">
        <f>R483*E483</f>
        <v/>
      </c>
      <c r="T483" s="27">
        <f>(R483-S483)*M483</f>
        <v/>
      </c>
      <c r="U483" s="27">
        <f>R483-S483-T483</f>
        <v/>
      </c>
      <c r="V483" s="27">
        <f>D483*P483</f>
        <v/>
      </c>
      <c r="W483" s="27">
        <f>U483-V483</f>
        <v/>
      </c>
      <c r="X483" s="28">
        <f>IFERROR(W483/U483,0)</f>
        <v/>
      </c>
    </row>
    <row r="484">
      <c r="A484" s="21">
        <f>ItensPedido!A484</f>
        <v/>
      </c>
      <c r="B484" s="21">
        <f>ItensPedido!B484</f>
        <v/>
      </c>
      <c r="C484" s="21">
        <f>ItensPedido!C484</f>
        <v/>
      </c>
      <c r="D484" s="21">
        <f>ItensPedido!D484</f>
        <v/>
      </c>
      <c r="E484" s="22">
        <f>ItensPedido!E484</f>
        <v/>
      </c>
      <c r="F484" s="21">
        <f>IFERROR(INDEX(Pedidos!$B$2:$B$1801,MATCH(B484,Pedidos!$A$2:$A$1801,0)),0)</f>
        <v/>
      </c>
      <c r="G484" s="21">
        <f>IF(F484=0,"",YEAR(F484))</f>
        <v/>
      </c>
      <c r="H484" s="21">
        <f>IF(F484=0,"",MONTH(F484))</f>
        <v/>
      </c>
      <c r="I484" s="21">
        <f>IFERROR(INDEX(Pedidos!$E$2:$E$1801,MATCH(B484,Pedidos!$A$2:$A$1801,0)),"")</f>
        <v/>
      </c>
      <c r="J484" s="21">
        <f>IFERROR(INDEX(Pedidos!$C$2:$C$1801,MATCH(B484,Pedidos!$A$2:$A$1801,0)),"")</f>
        <v/>
      </c>
      <c r="K484" s="21">
        <f>IFERROR(INDEX(Pedidos!$D$2:$D$1801,MATCH(B484,Pedidos!$A$2:$A$1801,0)),"")</f>
        <v/>
      </c>
      <c r="L484" s="21">
        <f>IFERROR(INDEX(Pedidos!$F$2:$F$1801,MATCH(B484,Pedidos!$A$2:$A$1801,0)),"")</f>
        <v/>
      </c>
      <c r="M484" s="22">
        <f>IFERROR(INDEX(Pedidos!$G$2:$G$1801,MATCH(B484,Pedidos!$A$2:$A$1801,0)),0)</f>
        <v/>
      </c>
      <c r="N484" s="21">
        <f>IFERROR(INDEX(Produtos!$B$2:$B$71,MATCH(C484,Produtos!$A$2:$A$71,0)),"")</f>
        <v/>
      </c>
      <c r="O484" s="21">
        <f>IFERROR(INDEX(Produtos!$C$2:$C$71,MATCH(C484,Produtos!$A$2:$A$71,0)),"")</f>
        <v/>
      </c>
      <c r="P484" s="21">
        <f>IFERROR(INDEX(Produtos!$D$2:$D$71,MATCH(C484,Produtos!$A$2:$A$71,0)),0)</f>
        <v/>
      </c>
      <c r="Q484" s="21">
        <f>IFERROR(INDEX(Produtos!$E$2:$E$71,MATCH(C484,Produtos!$A$2:$A$71,0)),0)</f>
        <v/>
      </c>
      <c r="R484" s="23">
        <f>D484*Q484</f>
        <v/>
      </c>
      <c r="S484" s="23">
        <f>R484*E484</f>
        <v/>
      </c>
      <c r="T484" s="23">
        <f>(R484-S484)*M484</f>
        <v/>
      </c>
      <c r="U484" s="23">
        <f>R484-S484-T484</f>
        <v/>
      </c>
      <c r="V484" s="23">
        <f>D484*P484</f>
        <v/>
      </c>
      <c r="W484" s="23">
        <f>U484-V484</f>
        <v/>
      </c>
      <c r="X484" s="24">
        <f>IFERROR(W484/U484,0)</f>
        <v/>
      </c>
    </row>
    <row r="485">
      <c r="A485" s="25">
        <f>ItensPedido!A485</f>
        <v/>
      </c>
      <c r="B485" s="25">
        <f>ItensPedido!B485</f>
        <v/>
      </c>
      <c r="C485" s="25">
        <f>ItensPedido!C485</f>
        <v/>
      </c>
      <c r="D485" s="25">
        <f>ItensPedido!D485</f>
        <v/>
      </c>
      <c r="E485" s="26">
        <f>ItensPedido!E485</f>
        <v/>
      </c>
      <c r="F485" s="25">
        <f>IFERROR(INDEX(Pedidos!$B$2:$B$1801,MATCH(B485,Pedidos!$A$2:$A$1801,0)),0)</f>
        <v/>
      </c>
      <c r="G485" s="25">
        <f>IF(F485=0,"",YEAR(F485))</f>
        <v/>
      </c>
      <c r="H485" s="25">
        <f>IF(F485=0,"",MONTH(F485))</f>
        <v/>
      </c>
      <c r="I485" s="25">
        <f>IFERROR(INDEX(Pedidos!$E$2:$E$1801,MATCH(B485,Pedidos!$A$2:$A$1801,0)),"")</f>
        <v/>
      </c>
      <c r="J485" s="25">
        <f>IFERROR(INDEX(Pedidos!$C$2:$C$1801,MATCH(B485,Pedidos!$A$2:$A$1801,0)),"")</f>
        <v/>
      </c>
      <c r="K485" s="25">
        <f>IFERROR(INDEX(Pedidos!$D$2:$D$1801,MATCH(B485,Pedidos!$A$2:$A$1801,0)),"")</f>
        <v/>
      </c>
      <c r="L485" s="25">
        <f>IFERROR(INDEX(Pedidos!$F$2:$F$1801,MATCH(B485,Pedidos!$A$2:$A$1801,0)),"")</f>
        <v/>
      </c>
      <c r="M485" s="26">
        <f>IFERROR(INDEX(Pedidos!$G$2:$G$1801,MATCH(B485,Pedidos!$A$2:$A$1801,0)),0)</f>
        <v/>
      </c>
      <c r="N485" s="25">
        <f>IFERROR(INDEX(Produtos!$B$2:$B$71,MATCH(C485,Produtos!$A$2:$A$71,0)),"")</f>
        <v/>
      </c>
      <c r="O485" s="25">
        <f>IFERROR(INDEX(Produtos!$C$2:$C$71,MATCH(C485,Produtos!$A$2:$A$71,0)),"")</f>
        <v/>
      </c>
      <c r="P485" s="25">
        <f>IFERROR(INDEX(Produtos!$D$2:$D$71,MATCH(C485,Produtos!$A$2:$A$71,0)),0)</f>
        <v/>
      </c>
      <c r="Q485" s="25">
        <f>IFERROR(INDEX(Produtos!$E$2:$E$71,MATCH(C485,Produtos!$A$2:$A$71,0)),0)</f>
        <v/>
      </c>
      <c r="R485" s="27">
        <f>D485*Q485</f>
        <v/>
      </c>
      <c r="S485" s="27">
        <f>R485*E485</f>
        <v/>
      </c>
      <c r="T485" s="27">
        <f>(R485-S485)*M485</f>
        <v/>
      </c>
      <c r="U485" s="27">
        <f>R485-S485-T485</f>
        <v/>
      </c>
      <c r="V485" s="27">
        <f>D485*P485</f>
        <v/>
      </c>
      <c r="W485" s="27">
        <f>U485-V485</f>
        <v/>
      </c>
      <c r="X485" s="28">
        <f>IFERROR(W485/U485,0)</f>
        <v/>
      </c>
    </row>
    <row r="486">
      <c r="A486" s="21">
        <f>ItensPedido!A486</f>
        <v/>
      </c>
      <c r="B486" s="21">
        <f>ItensPedido!B486</f>
        <v/>
      </c>
      <c r="C486" s="21">
        <f>ItensPedido!C486</f>
        <v/>
      </c>
      <c r="D486" s="21">
        <f>ItensPedido!D486</f>
        <v/>
      </c>
      <c r="E486" s="22">
        <f>ItensPedido!E486</f>
        <v/>
      </c>
      <c r="F486" s="21">
        <f>IFERROR(INDEX(Pedidos!$B$2:$B$1801,MATCH(B486,Pedidos!$A$2:$A$1801,0)),0)</f>
        <v/>
      </c>
      <c r="G486" s="21">
        <f>IF(F486=0,"",YEAR(F486))</f>
        <v/>
      </c>
      <c r="H486" s="21">
        <f>IF(F486=0,"",MONTH(F486))</f>
        <v/>
      </c>
      <c r="I486" s="21">
        <f>IFERROR(INDEX(Pedidos!$E$2:$E$1801,MATCH(B486,Pedidos!$A$2:$A$1801,0)),"")</f>
        <v/>
      </c>
      <c r="J486" s="21">
        <f>IFERROR(INDEX(Pedidos!$C$2:$C$1801,MATCH(B486,Pedidos!$A$2:$A$1801,0)),"")</f>
        <v/>
      </c>
      <c r="K486" s="21">
        <f>IFERROR(INDEX(Pedidos!$D$2:$D$1801,MATCH(B486,Pedidos!$A$2:$A$1801,0)),"")</f>
        <v/>
      </c>
      <c r="L486" s="21">
        <f>IFERROR(INDEX(Pedidos!$F$2:$F$1801,MATCH(B486,Pedidos!$A$2:$A$1801,0)),"")</f>
        <v/>
      </c>
      <c r="M486" s="22">
        <f>IFERROR(INDEX(Pedidos!$G$2:$G$1801,MATCH(B486,Pedidos!$A$2:$A$1801,0)),0)</f>
        <v/>
      </c>
      <c r="N486" s="21">
        <f>IFERROR(INDEX(Produtos!$B$2:$B$71,MATCH(C486,Produtos!$A$2:$A$71,0)),"")</f>
        <v/>
      </c>
      <c r="O486" s="21">
        <f>IFERROR(INDEX(Produtos!$C$2:$C$71,MATCH(C486,Produtos!$A$2:$A$71,0)),"")</f>
        <v/>
      </c>
      <c r="P486" s="21">
        <f>IFERROR(INDEX(Produtos!$D$2:$D$71,MATCH(C486,Produtos!$A$2:$A$71,0)),0)</f>
        <v/>
      </c>
      <c r="Q486" s="21">
        <f>IFERROR(INDEX(Produtos!$E$2:$E$71,MATCH(C486,Produtos!$A$2:$A$71,0)),0)</f>
        <v/>
      </c>
      <c r="R486" s="23">
        <f>D486*Q486</f>
        <v/>
      </c>
      <c r="S486" s="23">
        <f>R486*E486</f>
        <v/>
      </c>
      <c r="T486" s="23">
        <f>(R486-S486)*M486</f>
        <v/>
      </c>
      <c r="U486" s="23">
        <f>R486-S486-T486</f>
        <v/>
      </c>
      <c r="V486" s="23">
        <f>D486*P486</f>
        <v/>
      </c>
      <c r="W486" s="23">
        <f>U486-V486</f>
        <v/>
      </c>
      <c r="X486" s="24">
        <f>IFERROR(W486/U486,0)</f>
        <v/>
      </c>
    </row>
    <row r="487">
      <c r="A487" s="25">
        <f>ItensPedido!A487</f>
        <v/>
      </c>
      <c r="B487" s="25">
        <f>ItensPedido!B487</f>
        <v/>
      </c>
      <c r="C487" s="25">
        <f>ItensPedido!C487</f>
        <v/>
      </c>
      <c r="D487" s="25">
        <f>ItensPedido!D487</f>
        <v/>
      </c>
      <c r="E487" s="26">
        <f>ItensPedido!E487</f>
        <v/>
      </c>
      <c r="F487" s="25">
        <f>IFERROR(INDEX(Pedidos!$B$2:$B$1801,MATCH(B487,Pedidos!$A$2:$A$1801,0)),0)</f>
        <v/>
      </c>
      <c r="G487" s="25">
        <f>IF(F487=0,"",YEAR(F487))</f>
        <v/>
      </c>
      <c r="H487" s="25">
        <f>IF(F487=0,"",MONTH(F487))</f>
        <v/>
      </c>
      <c r="I487" s="25">
        <f>IFERROR(INDEX(Pedidos!$E$2:$E$1801,MATCH(B487,Pedidos!$A$2:$A$1801,0)),"")</f>
        <v/>
      </c>
      <c r="J487" s="25">
        <f>IFERROR(INDEX(Pedidos!$C$2:$C$1801,MATCH(B487,Pedidos!$A$2:$A$1801,0)),"")</f>
        <v/>
      </c>
      <c r="K487" s="25">
        <f>IFERROR(INDEX(Pedidos!$D$2:$D$1801,MATCH(B487,Pedidos!$A$2:$A$1801,0)),"")</f>
        <v/>
      </c>
      <c r="L487" s="25">
        <f>IFERROR(INDEX(Pedidos!$F$2:$F$1801,MATCH(B487,Pedidos!$A$2:$A$1801,0)),"")</f>
        <v/>
      </c>
      <c r="M487" s="26">
        <f>IFERROR(INDEX(Pedidos!$G$2:$G$1801,MATCH(B487,Pedidos!$A$2:$A$1801,0)),0)</f>
        <v/>
      </c>
      <c r="N487" s="25">
        <f>IFERROR(INDEX(Produtos!$B$2:$B$71,MATCH(C487,Produtos!$A$2:$A$71,0)),"")</f>
        <v/>
      </c>
      <c r="O487" s="25">
        <f>IFERROR(INDEX(Produtos!$C$2:$C$71,MATCH(C487,Produtos!$A$2:$A$71,0)),"")</f>
        <v/>
      </c>
      <c r="P487" s="25">
        <f>IFERROR(INDEX(Produtos!$D$2:$D$71,MATCH(C487,Produtos!$A$2:$A$71,0)),0)</f>
        <v/>
      </c>
      <c r="Q487" s="25">
        <f>IFERROR(INDEX(Produtos!$E$2:$E$71,MATCH(C487,Produtos!$A$2:$A$71,0)),0)</f>
        <v/>
      </c>
      <c r="R487" s="27">
        <f>D487*Q487</f>
        <v/>
      </c>
      <c r="S487" s="27">
        <f>R487*E487</f>
        <v/>
      </c>
      <c r="T487" s="27">
        <f>(R487-S487)*M487</f>
        <v/>
      </c>
      <c r="U487" s="27">
        <f>R487-S487-T487</f>
        <v/>
      </c>
      <c r="V487" s="27">
        <f>D487*P487</f>
        <v/>
      </c>
      <c r="W487" s="27">
        <f>U487-V487</f>
        <v/>
      </c>
      <c r="X487" s="28">
        <f>IFERROR(W487/U487,0)</f>
        <v/>
      </c>
    </row>
    <row r="488">
      <c r="A488" s="21">
        <f>ItensPedido!A488</f>
        <v/>
      </c>
      <c r="B488" s="21">
        <f>ItensPedido!B488</f>
        <v/>
      </c>
      <c r="C488" s="21">
        <f>ItensPedido!C488</f>
        <v/>
      </c>
      <c r="D488" s="21">
        <f>ItensPedido!D488</f>
        <v/>
      </c>
      <c r="E488" s="22">
        <f>ItensPedido!E488</f>
        <v/>
      </c>
      <c r="F488" s="21">
        <f>IFERROR(INDEX(Pedidos!$B$2:$B$1801,MATCH(B488,Pedidos!$A$2:$A$1801,0)),0)</f>
        <v/>
      </c>
      <c r="G488" s="21">
        <f>IF(F488=0,"",YEAR(F488))</f>
        <v/>
      </c>
      <c r="H488" s="21">
        <f>IF(F488=0,"",MONTH(F488))</f>
        <v/>
      </c>
      <c r="I488" s="21">
        <f>IFERROR(INDEX(Pedidos!$E$2:$E$1801,MATCH(B488,Pedidos!$A$2:$A$1801,0)),"")</f>
        <v/>
      </c>
      <c r="J488" s="21">
        <f>IFERROR(INDEX(Pedidos!$C$2:$C$1801,MATCH(B488,Pedidos!$A$2:$A$1801,0)),"")</f>
        <v/>
      </c>
      <c r="K488" s="21">
        <f>IFERROR(INDEX(Pedidos!$D$2:$D$1801,MATCH(B488,Pedidos!$A$2:$A$1801,0)),"")</f>
        <v/>
      </c>
      <c r="L488" s="21">
        <f>IFERROR(INDEX(Pedidos!$F$2:$F$1801,MATCH(B488,Pedidos!$A$2:$A$1801,0)),"")</f>
        <v/>
      </c>
      <c r="M488" s="22">
        <f>IFERROR(INDEX(Pedidos!$G$2:$G$1801,MATCH(B488,Pedidos!$A$2:$A$1801,0)),0)</f>
        <v/>
      </c>
      <c r="N488" s="21">
        <f>IFERROR(INDEX(Produtos!$B$2:$B$71,MATCH(C488,Produtos!$A$2:$A$71,0)),"")</f>
        <v/>
      </c>
      <c r="O488" s="21">
        <f>IFERROR(INDEX(Produtos!$C$2:$C$71,MATCH(C488,Produtos!$A$2:$A$71,0)),"")</f>
        <v/>
      </c>
      <c r="P488" s="21">
        <f>IFERROR(INDEX(Produtos!$D$2:$D$71,MATCH(C488,Produtos!$A$2:$A$71,0)),0)</f>
        <v/>
      </c>
      <c r="Q488" s="21">
        <f>IFERROR(INDEX(Produtos!$E$2:$E$71,MATCH(C488,Produtos!$A$2:$A$71,0)),0)</f>
        <v/>
      </c>
      <c r="R488" s="23">
        <f>D488*Q488</f>
        <v/>
      </c>
      <c r="S488" s="23">
        <f>R488*E488</f>
        <v/>
      </c>
      <c r="T488" s="23">
        <f>(R488-S488)*M488</f>
        <v/>
      </c>
      <c r="U488" s="23">
        <f>R488-S488-T488</f>
        <v/>
      </c>
      <c r="V488" s="23">
        <f>D488*P488</f>
        <v/>
      </c>
      <c r="W488" s="23">
        <f>U488-V488</f>
        <v/>
      </c>
      <c r="X488" s="24">
        <f>IFERROR(W488/U488,0)</f>
        <v/>
      </c>
    </row>
    <row r="489">
      <c r="A489" s="25">
        <f>ItensPedido!A489</f>
        <v/>
      </c>
      <c r="B489" s="25">
        <f>ItensPedido!B489</f>
        <v/>
      </c>
      <c r="C489" s="25">
        <f>ItensPedido!C489</f>
        <v/>
      </c>
      <c r="D489" s="25">
        <f>ItensPedido!D489</f>
        <v/>
      </c>
      <c r="E489" s="26">
        <f>ItensPedido!E489</f>
        <v/>
      </c>
      <c r="F489" s="25">
        <f>IFERROR(INDEX(Pedidos!$B$2:$B$1801,MATCH(B489,Pedidos!$A$2:$A$1801,0)),0)</f>
        <v/>
      </c>
      <c r="G489" s="25">
        <f>IF(F489=0,"",YEAR(F489))</f>
        <v/>
      </c>
      <c r="H489" s="25">
        <f>IF(F489=0,"",MONTH(F489))</f>
        <v/>
      </c>
      <c r="I489" s="25">
        <f>IFERROR(INDEX(Pedidos!$E$2:$E$1801,MATCH(B489,Pedidos!$A$2:$A$1801,0)),"")</f>
        <v/>
      </c>
      <c r="J489" s="25">
        <f>IFERROR(INDEX(Pedidos!$C$2:$C$1801,MATCH(B489,Pedidos!$A$2:$A$1801,0)),"")</f>
        <v/>
      </c>
      <c r="K489" s="25">
        <f>IFERROR(INDEX(Pedidos!$D$2:$D$1801,MATCH(B489,Pedidos!$A$2:$A$1801,0)),"")</f>
        <v/>
      </c>
      <c r="L489" s="25">
        <f>IFERROR(INDEX(Pedidos!$F$2:$F$1801,MATCH(B489,Pedidos!$A$2:$A$1801,0)),"")</f>
        <v/>
      </c>
      <c r="M489" s="26">
        <f>IFERROR(INDEX(Pedidos!$G$2:$G$1801,MATCH(B489,Pedidos!$A$2:$A$1801,0)),0)</f>
        <v/>
      </c>
      <c r="N489" s="25">
        <f>IFERROR(INDEX(Produtos!$B$2:$B$71,MATCH(C489,Produtos!$A$2:$A$71,0)),"")</f>
        <v/>
      </c>
      <c r="O489" s="25">
        <f>IFERROR(INDEX(Produtos!$C$2:$C$71,MATCH(C489,Produtos!$A$2:$A$71,0)),"")</f>
        <v/>
      </c>
      <c r="P489" s="25">
        <f>IFERROR(INDEX(Produtos!$D$2:$D$71,MATCH(C489,Produtos!$A$2:$A$71,0)),0)</f>
        <v/>
      </c>
      <c r="Q489" s="25">
        <f>IFERROR(INDEX(Produtos!$E$2:$E$71,MATCH(C489,Produtos!$A$2:$A$71,0)),0)</f>
        <v/>
      </c>
      <c r="R489" s="27">
        <f>D489*Q489</f>
        <v/>
      </c>
      <c r="S489" s="27">
        <f>R489*E489</f>
        <v/>
      </c>
      <c r="T489" s="27">
        <f>(R489-S489)*M489</f>
        <v/>
      </c>
      <c r="U489" s="27">
        <f>R489-S489-T489</f>
        <v/>
      </c>
      <c r="V489" s="27">
        <f>D489*P489</f>
        <v/>
      </c>
      <c r="W489" s="27">
        <f>U489-V489</f>
        <v/>
      </c>
      <c r="X489" s="28">
        <f>IFERROR(W489/U489,0)</f>
        <v/>
      </c>
    </row>
    <row r="490">
      <c r="A490" s="21">
        <f>ItensPedido!A490</f>
        <v/>
      </c>
      <c r="B490" s="21">
        <f>ItensPedido!B490</f>
        <v/>
      </c>
      <c r="C490" s="21">
        <f>ItensPedido!C490</f>
        <v/>
      </c>
      <c r="D490" s="21">
        <f>ItensPedido!D490</f>
        <v/>
      </c>
      <c r="E490" s="22">
        <f>ItensPedido!E490</f>
        <v/>
      </c>
      <c r="F490" s="21">
        <f>IFERROR(INDEX(Pedidos!$B$2:$B$1801,MATCH(B490,Pedidos!$A$2:$A$1801,0)),0)</f>
        <v/>
      </c>
      <c r="G490" s="21">
        <f>IF(F490=0,"",YEAR(F490))</f>
        <v/>
      </c>
      <c r="H490" s="21">
        <f>IF(F490=0,"",MONTH(F490))</f>
        <v/>
      </c>
      <c r="I490" s="21">
        <f>IFERROR(INDEX(Pedidos!$E$2:$E$1801,MATCH(B490,Pedidos!$A$2:$A$1801,0)),"")</f>
        <v/>
      </c>
      <c r="J490" s="21">
        <f>IFERROR(INDEX(Pedidos!$C$2:$C$1801,MATCH(B490,Pedidos!$A$2:$A$1801,0)),"")</f>
        <v/>
      </c>
      <c r="K490" s="21">
        <f>IFERROR(INDEX(Pedidos!$D$2:$D$1801,MATCH(B490,Pedidos!$A$2:$A$1801,0)),"")</f>
        <v/>
      </c>
      <c r="L490" s="21">
        <f>IFERROR(INDEX(Pedidos!$F$2:$F$1801,MATCH(B490,Pedidos!$A$2:$A$1801,0)),"")</f>
        <v/>
      </c>
      <c r="M490" s="22">
        <f>IFERROR(INDEX(Pedidos!$G$2:$G$1801,MATCH(B490,Pedidos!$A$2:$A$1801,0)),0)</f>
        <v/>
      </c>
      <c r="N490" s="21">
        <f>IFERROR(INDEX(Produtos!$B$2:$B$71,MATCH(C490,Produtos!$A$2:$A$71,0)),"")</f>
        <v/>
      </c>
      <c r="O490" s="21">
        <f>IFERROR(INDEX(Produtos!$C$2:$C$71,MATCH(C490,Produtos!$A$2:$A$71,0)),"")</f>
        <v/>
      </c>
      <c r="P490" s="21">
        <f>IFERROR(INDEX(Produtos!$D$2:$D$71,MATCH(C490,Produtos!$A$2:$A$71,0)),0)</f>
        <v/>
      </c>
      <c r="Q490" s="21">
        <f>IFERROR(INDEX(Produtos!$E$2:$E$71,MATCH(C490,Produtos!$A$2:$A$71,0)),0)</f>
        <v/>
      </c>
      <c r="R490" s="23">
        <f>D490*Q490</f>
        <v/>
      </c>
      <c r="S490" s="23">
        <f>R490*E490</f>
        <v/>
      </c>
      <c r="T490" s="23">
        <f>(R490-S490)*M490</f>
        <v/>
      </c>
      <c r="U490" s="23">
        <f>R490-S490-T490</f>
        <v/>
      </c>
      <c r="V490" s="23">
        <f>D490*P490</f>
        <v/>
      </c>
      <c r="W490" s="23">
        <f>U490-V490</f>
        <v/>
      </c>
      <c r="X490" s="24">
        <f>IFERROR(W490/U490,0)</f>
        <v/>
      </c>
    </row>
    <row r="491">
      <c r="A491" s="25">
        <f>ItensPedido!A491</f>
        <v/>
      </c>
      <c r="B491" s="25">
        <f>ItensPedido!B491</f>
        <v/>
      </c>
      <c r="C491" s="25">
        <f>ItensPedido!C491</f>
        <v/>
      </c>
      <c r="D491" s="25">
        <f>ItensPedido!D491</f>
        <v/>
      </c>
      <c r="E491" s="26">
        <f>ItensPedido!E491</f>
        <v/>
      </c>
      <c r="F491" s="25">
        <f>IFERROR(INDEX(Pedidos!$B$2:$B$1801,MATCH(B491,Pedidos!$A$2:$A$1801,0)),0)</f>
        <v/>
      </c>
      <c r="G491" s="25">
        <f>IF(F491=0,"",YEAR(F491))</f>
        <v/>
      </c>
      <c r="H491" s="25">
        <f>IF(F491=0,"",MONTH(F491))</f>
        <v/>
      </c>
      <c r="I491" s="25">
        <f>IFERROR(INDEX(Pedidos!$E$2:$E$1801,MATCH(B491,Pedidos!$A$2:$A$1801,0)),"")</f>
        <v/>
      </c>
      <c r="J491" s="25">
        <f>IFERROR(INDEX(Pedidos!$C$2:$C$1801,MATCH(B491,Pedidos!$A$2:$A$1801,0)),"")</f>
        <v/>
      </c>
      <c r="K491" s="25">
        <f>IFERROR(INDEX(Pedidos!$D$2:$D$1801,MATCH(B491,Pedidos!$A$2:$A$1801,0)),"")</f>
        <v/>
      </c>
      <c r="L491" s="25">
        <f>IFERROR(INDEX(Pedidos!$F$2:$F$1801,MATCH(B491,Pedidos!$A$2:$A$1801,0)),"")</f>
        <v/>
      </c>
      <c r="M491" s="26">
        <f>IFERROR(INDEX(Pedidos!$G$2:$G$1801,MATCH(B491,Pedidos!$A$2:$A$1801,0)),0)</f>
        <v/>
      </c>
      <c r="N491" s="25">
        <f>IFERROR(INDEX(Produtos!$B$2:$B$71,MATCH(C491,Produtos!$A$2:$A$71,0)),"")</f>
        <v/>
      </c>
      <c r="O491" s="25">
        <f>IFERROR(INDEX(Produtos!$C$2:$C$71,MATCH(C491,Produtos!$A$2:$A$71,0)),"")</f>
        <v/>
      </c>
      <c r="P491" s="25">
        <f>IFERROR(INDEX(Produtos!$D$2:$D$71,MATCH(C491,Produtos!$A$2:$A$71,0)),0)</f>
        <v/>
      </c>
      <c r="Q491" s="25">
        <f>IFERROR(INDEX(Produtos!$E$2:$E$71,MATCH(C491,Produtos!$A$2:$A$71,0)),0)</f>
        <v/>
      </c>
      <c r="R491" s="27">
        <f>D491*Q491</f>
        <v/>
      </c>
      <c r="S491" s="27">
        <f>R491*E491</f>
        <v/>
      </c>
      <c r="T491" s="27">
        <f>(R491-S491)*M491</f>
        <v/>
      </c>
      <c r="U491" s="27">
        <f>R491-S491-T491</f>
        <v/>
      </c>
      <c r="V491" s="27">
        <f>D491*P491</f>
        <v/>
      </c>
      <c r="W491" s="27">
        <f>U491-V491</f>
        <v/>
      </c>
      <c r="X491" s="28">
        <f>IFERROR(W491/U491,0)</f>
        <v/>
      </c>
    </row>
    <row r="492">
      <c r="A492" s="21">
        <f>ItensPedido!A492</f>
        <v/>
      </c>
      <c r="B492" s="21">
        <f>ItensPedido!B492</f>
        <v/>
      </c>
      <c r="C492" s="21">
        <f>ItensPedido!C492</f>
        <v/>
      </c>
      <c r="D492" s="21">
        <f>ItensPedido!D492</f>
        <v/>
      </c>
      <c r="E492" s="22">
        <f>ItensPedido!E492</f>
        <v/>
      </c>
      <c r="F492" s="21">
        <f>IFERROR(INDEX(Pedidos!$B$2:$B$1801,MATCH(B492,Pedidos!$A$2:$A$1801,0)),0)</f>
        <v/>
      </c>
      <c r="G492" s="21">
        <f>IF(F492=0,"",YEAR(F492))</f>
        <v/>
      </c>
      <c r="H492" s="21">
        <f>IF(F492=0,"",MONTH(F492))</f>
        <v/>
      </c>
      <c r="I492" s="21">
        <f>IFERROR(INDEX(Pedidos!$E$2:$E$1801,MATCH(B492,Pedidos!$A$2:$A$1801,0)),"")</f>
        <v/>
      </c>
      <c r="J492" s="21">
        <f>IFERROR(INDEX(Pedidos!$C$2:$C$1801,MATCH(B492,Pedidos!$A$2:$A$1801,0)),"")</f>
        <v/>
      </c>
      <c r="K492" s="21">
        <f>IFERROR(INDEX(Pedidos!$D$2:$D$1801,MATCH(B492,Pedidos!$A$2:$A$1801,0)),"")</f>
        <v/>
      </c>
      <c r="L492" s="21">
        <f>IFERROR(INDEX(Pedidos!$F$2:$F$1801,MATCH(B492,Pedidos!$A$2:$A$1801,0)),"")</f>
        <v/>
      </c>
      <c r="M492" s="22">
        <f>IFERROR(INDEX(Pedidos!$G$2:$G$1801,MATCH(B492,Pedidos!$A$2:$A$1801,0)),0)</f>
        <v/>
      </c>
      <c r="N492" s="21">
        <f>IFERROR(INDEX(Produtos!$B$2:$B$71,MATCH(C492,Produtos!$A$2:$A$71,0)),"")</f>
        <v/>
      </c>
      <c r="O492" s="21">
        <f>IFERROR(INDEX(Produtos!$C$2:$C$71,MATCH(C492,Produtos!$A$2:$A$71,0)),"")</f>
        <v/>
      </c>
      <c r="P492" s="21">
        <f>IFERROR(INDEX(Produtos!$D$2:$D$71,MATCH(C492,Produtos!$A$2:$A$71,0)),0)</f>
        <v/>
      </c>
      <c r="Q492" s="21">
        <f>IFERROR(INDEX(Produtos!$E$2:$E$71,MATCH(C492,Produtos!$A$2:$A$71,0)),0)</f>
        <v/>
      </c>
      <c r="R492" s="23">
        <f>D492*Q492</f>
        <v/>
      </c>
      <c r="S492" s="23">
        <f>R492*E492</f>
        <v/>
      </c>
      <c r="T492" s="23">
        <f>(R492-S492)*M492</f>
        <v/>
      </c>
      <c r="U492" s="23">
        <f>R492-S492-T492</f>
        <v/>
      </c>
      <c r="V492" s="23">
        <f>D492*P492</f>
        <v/>
      </c>
      <c r="W492" s="23">
        <f>U492-V492</f>
        <v/>
      </c>
      <c r="X492" s="24">
        <f>IFERROR(W492/U492,0)</f>
        <v/>
      </c>
    </row>
    <row r="493">
      <c r="A493" s="25">
        <f>ItensPedido!A493</f>
        <v/>
      </c>
      <c r="B493" s="25">
        <f>ItensPedido!B493</f>
        <v/>
      </c>
      <c r="C493" s="25">
        <f>ItensPedido!C493</f>
        <v/>
      </c>
      <c r="D493" s="25">
        <f>ItensPedido!D493</f>
        <v/>
      </c>
      <c r="E493" s="26">
        <f>ItensPedido!E493</f>
        <v/>
      </c>
      <c r="F493" s="25">
        <f>IFERROR(INDEX(Pedidos!$B$2:$B$1801,MATCH(B493,Pedidos!$A$2:$A$1801,0)),0)</f>
        <v/>
      </c>
      <c r="G493" s="25">
        <f>IF(F493=0,"",YEAR(F493))</f>
        <v/>
      </c>
      <c r="H493" s="25">
        <f>IF(F493=0,"",MONTH(F493))</f>
        <v/>
      </c>
      <c r="I493" s="25">
        <f>IFERROR(INDEX(Pedidos!$E$2:$E$1801,MATCH(B493,Pedidos!$A$2:$A$1801,0)),"")</f>
        <v/>
      </c>
      <c r="J493" s="25">
        <f>IFERROR(INDEX(Pedidos!$C$2:$C$1801,MATCH(B493,Pedidos!$A$2:$A$1801,0)),"")</f>
        <v/>
      </c>
      <c r="K493" s="25">
        <f>IFERROR(INDEX(Pedidos!$D$2:$D$1801,MATCH(B493,Pedidos!$A$2:$A$1801,0)),"")</f>
        <v/>
      </c>
      <c r="L493" s="25">
        <f>IFERROR(INDEX(Pedidos!$F$2:$F$1801,MATCH(B493,Pedidos!$A$2:$A$1801,0)),"")</f>
        <v/>
      </c>
      <c r="M493" s="26">
        <f>IFERROR(INDEX(Pedidos!$G$2:$G$1801,MATCH(B493,Pedidos!$A$2:$A$1801,0)),0)</f>
        <v/>
      </c>
      <c r="N493" s="25">
        <f>IFERROR(INDEX(Produtos!$B$2:$B$71,MATCH(C493,Produtos!$A$2:$A$71,0)),"")</f>
        <v/>
      </c>
      <c r="O493" s="25">
        <f>IFERROR(INDEX(Produtos!$C$2:$C$71,MATCH(C493,Produtos!$A$2:$A$71,0)),"")</f>
        <v/>
      </c>
      <c r="P493" s="25">
        <f>IFERROR(INDEX(Produtos!$D$2:$D$71,MATCH(C493,Produtos!$A$2:$A$71,0)),0)</f>
        <v/>
      </c>
      <c r="Q493" s="25">
        <f>IFERROR(INDEX(Produtos!$E$2:$E$71,MATCH(C493,Produtos!$A$2:$A$71,0)),0)</f>
        <v/>
      </c>
      <c r="R493" s="27">
        <f>D493*Q493</f>
        <v/>
      </c>
      <c r="S493" s="27">
        <f>R493*E493</f>
        <v/>
      </c>
      <c r="T493" s="27">
        <f>(R493-S493)*M493</f>
        <v/>
      </c>
      <c r="U493" s="27">
        <f>R493-S493-T493</f>
        <v/>
      </c>
      <c r="V493" s="27">
        <f>D493*P493</f>
        <v/>
      </c>
      <c r="W493" s="27">
        <f>U493-V493</f>
        <v/>
      </c>
      <c r="X493" s="28">
        <f>IFERROR(W493/U493,0)</f>
        <v/>
      </c>
    </row>
    <row r="494">
      <c r="A494" s="21">
        <f>ItensPedido!A494</f>
        <v/>
      </c>
      <c r="B494" s="21">
        <f>ItensPedido!B494</f>
        <v/>
      </c>
      <c r="C494" s="21">
        <f>ItensPedido!C494</f>
        <v/>
      </c>
      <c r="D494" s="21">
        <f>ItensPedido!D494</f>
        <v/>
      </c>
      <c r="E494" s="22">
        <f>ItensPedido!E494</f>
        <v/>
      </c>
      <c r="F494" s="21">
        <f>IFERROR(INDEX(Pedidos!$B$2:$B$1801,MATCH(B494,Pedidos!$A$2:$A$1801,0)),0)</f>
        <v/>
      </c>
      <c r="G494" s="21">
        <f>IF(F494=0,"",YEAR(F494))</f>
        <v/>
      </c>
      <c r="H494" s="21">
        <f>IF(F494=0,"",MONTH(F494))</f>
        <v/>
      </c>
      <c r="I494" s="21">
        <f>IFERROR(INDEX(Pedidos!$E$2:$E$1801,MATCH(B494,Pedidos!$A$2:$A$1801,0)),"")</f>
        <v/>
      </c>
      <c r="J494" s="21">
        <f>IFERROR(INDEX(Pedidos!$C$2:$C$1801,MATCH(B494,Pedidos!$A$2:$A$1801,0)),"")</f>
        <v/>
      </c>
      <c r="K494" s="21">
        <f>IFERROR(INDEX(Pedidos!$D$2:$D$1801,MATCH(B494,Pedidos!$A$2:$A$1801,0)),"")</f>
        <v/>
      </c>
      <c r="L494" s="21">
        <f>IFERROR(INDEX(Pedidos!$F$2:$F$1801,MATCH(B494,Pedidos!$A$2:$A$1801,0)),"")</f>
        <v/>
      </c>
      <c r="M494" s="22">
        <f>IFERROR(INDEX(Pedidos!$G$2:$G$1801,MATCH(B494,Pedidos!$A$2:$A$1801,0)),0)</f>
        <v/>
      </c>
      <c r="N494" s="21">
        <f>IFERROR(INDEX(Produtos!$B$2:$B$71,MATCH(C494,Produtos!$A$2:$A$71,0)),"")</f>
        <v/>
      </c>
      <c r="O494" s="21">
        <f>IFERROR(INDEX(Produtos!$C$2:$C$71,MATCH(C494,Produtos!$A$2:$A$71,0)),"")</f>
        <v/>
      </c>
      <c r="P494" s="21">
        <f>IFERROR(INDEX(Produtos!$D$2:$D$71,MATCH(C494,Produtos!$A$2:$A$71,0)),0)</f>
        <v/>
      </c>
      <c r="Q494" s="21">
        <f>IFERROR(INDEX(Produtos!$E$2:$E$71,MATCH(C494,Produtos!$A$2:$A$71,0)),0)</f>
        <v/>
      </c>
      <c r="R494" s="23">
        <f>D494*Q494</f>
        <v/>
      </c>
      <c r="S494" s="23">
        <f>R494*E494</f>
        <v/>
      </c>
      <c r="T494" s="23">
        <f>(R494-S494)*M494</f>
        <v/>
      </c>
      <c r="U494" s="23">
        <f>R494-S494-T494</f>
        <v/>
      </c>
      <c r="V494" s="23">
        <f>D494*P494</f>
        <v/>
      </c>
      <c r="W494" s="23">
        <f>U494-V494</f>
        <v/>
      </c>
      <c r="X494" s="24">
        <f>IFERROR(W494/U494,0)</f>
        <v/>
      </c>
    </row>
    <row r="495">
      <c r="A495" s="25">
        <f>ItensPedido!A495</f>
        <v/>
      </c>
      <c r="B495" s="25">
        <f>ItensPedido!B495</f>
        <v/>
      </c>
      <c r="C495" s="25">
        <f>ItensPedido!C495</f>
        <v/>
      </c>
      <c r="D495" s="25">
        <f>ItensPedido!D495</f>
        <v/>
      </c>
      <c r="E495" s="26">
        <f>ItensPedido!E495</f>
        <v/>
      </c>
      <c r="F495" s="25">
        <f>IFERROR(INDEX(Pedidos!$B$2:$B$1801,MATCH(B495,Pedidos!$A$2:$A$1801,0)),0)</f>
        <v/>
      </c>
      <c r="G495" s="25">
        <f>IF(F495=0,"",YEAR(F495))</f>
        <v/>
      </c>
      <c r="H495" s="25">
        <f>IF(F495=0,"",MONTH(F495))</f>
        <v/>
      </c>
      <c r="I495" s="25">
        <f>IFERROR(INDEX(Pedidos!$E$2:$E$1801,MATCH(B495,Pedidos!$A$2:$A$1801,0)),"")</f>
        <v/>
      </c>
      <c r="J495" s="25">
        <f>IFERROR(INDEX(Pedidos!$C$2:$C$1801,MATCH(B495,Pedidos!$A$2:$A$1801,0)),"")</f>
        <v/>
      </c>
      <c r="K495" s="25">
        <f>IFERROR(INDEX(Pedidos!$D$2:$D$1801,MATCH(B495,Pedidos!$A$2:$A$1801,0)),"")</f>
        <v/>
      </c>
      <c r="L495" s="25">
        <f>IFERROR(INDEX(Pedidos!$F$2:$F$1801,MATCH(B495,Pedidos!$A$2:$A$1801,0)),"")</f>
        <v/>
      </c>
      <c r="M495" s="26">
        <f>IFERROR(INDEX(Pedidos!$G$2:$G$1801,MATCH(B495,Pedidos!$A$2:$A$1801,0)),0)</f>
        <v/>
      </c>
      <c r="N495" s="25">
        <f>IFERROR(INDEX(Produtos!$B$2:$B$71,MATCH(C495,Produtos!$A$2:$A$71,0)),"")</f>
        <v/>
      </c>
      <c r="O495" s="25">
        <f>IFERROR(INDEX(Produtos!$C$2:$C$71,MATCH(C495,Produtos!$A$2:$A$71,0)),"")</f>
        <v/>
      </c>
      <c r="P495" s="25">
        <f>IFERROR(INDEX(Produtos!$D$2:$D$71,MATCH(C495,Produtos!$A$2:$A$71,0)),0)</f>
        <v/>
      </c>
      <c r="Q495" s="25">
        <f>IFERROR(INDEX(Produtos!$E$2:$E$71,MATCH(C495,Produtos!$A$2:$A$71,0)),0)</f>
        <v/>
      </c>
      <c r="R495" s="27">
        <f>D495*Q495</f>
        <v/>
      </c>
      <c r="S495" s="27">
        <f>R495*E495</f>
        <v/>
      </c>
      <c r="T495" s="27">
        <f>(R495-S495)*M495</f>
        <v/>
      </c>
      <c r="U495" s="27">
        <f>R495-S495-T495</f>
        <v/>
      </c>
      <c r="V495" s="27">
        <f>D495*P495</f>
        <v/>
      </c>
      <c r="W495" s="27">
        <f>U495-V495</f>
        <v/>
      </c>
      <c r="X495" s="28">
        <f>IFERROR(W495/U495,0)</f>
        <v/>
      </c>
    </row>
    <row r="496">
      <c r="A496" s="21">
        <f>ItensPedido!A496</f>
        <v/>
      </c>
      <c r="B496" s="21">
        <f>ItensPedido!B496</f>
        <v/>
      </c>
      <c r="C496" s="21">
        <f>ItensPedido!C496</f>
        <v/>
      </c>
      <c r="D496" s="21">
        <f>ItensPedido!D496</f>
        <v/>
      </c>
      <c r="E496" s="22">
        <f>ItensPedido!E496</f>
        <v/>
      </c>
      <c r="F496" s="21">
        <f>IFERROR(INDEX(Pedidos!$B$2:$B$1801,MATCH(B496,Pedidos!$A$2:$A$1801,0)),0)</f>
        <v/>
      </c>
      <c r="G496" s="21">
        <f>IF(F496=0,"",YEAR(F496))</f>
        <v/>
      </c>
      <c r="H496" s="21">
        <f>IF(F496=0,"",MONTH(F496))</f>
        <v/>
      </c>
      <c r="I496" s="21">
        <f>IFERROR(INDEX(Pedidos!$E$2:$E$1801,MATCH(B496,Pedidos!$A$2:$A$1801,0)),"")</f>
        <v/>
      </c>
      <c r="J496" s="21">
        <f>IFERROR(INDEX(Pedidos!$C$2:$C$1801,MATCH(B496,Pedidos!$A$2:$A$1801,0)),"")</f>
        <v/>
      </c>
      <c r="K496" s="21">
        <f>IFERROR(INDEX(Pedidos!$D$2:$D$1801,MATCH(B496,Pedidos!$A$2:$A$1801,0)),"")</f>
        <v/>
      </c>
      <c r="L496" s="21">
        <f>IFERROR(INDEX(Pedidos!$F$2:$F$1801,MATCH(B496,Pedidos!$A$2:$A$1801,0)),"")</f>
        <v/>
      </c>
      <c r="M496" s="22">
        <f>IFERROR(INDEX(Pedidos!$G$2:$G$1801,MATCH(B496,Pedidos!$A$2:$A$1801,0)),0)</f>
        <v/>
      </c>
      <c r="N496" s="21">
        <f>IFERROR(INDEX(Produtos!$B$2:$B$71,MATCH(C496,Produtos!$A$2:$A$71,0)),"")</f>
        <v/>
      </c>
      <c r="O496" s="21">
        <f>IFERROR(INDEX(Produtos!$C$2:$C$71,MATCH(C496,Produtos!$A$2:$A$71,0)),"")</f>
        <v/>
      </c>
      <c r="P496" s="21">
        <f>IFERROR(INDEX(Produtos!$D$2:$D$71,MATCH(C496,Produtos!$A$2:$A$71,0)),0)</f>
        <v/>
      </c>
      <c r="Q496" s="21">
        <f>IFERROR(INDEX(Produtos!$E$2:$E$71,MATCH(C496,Produtos!$A$2:$A$71,0)),0)</f>
        <v/>
      </c>
      <c r="R496" s="23">
        <f>D496*Q496</f>
        <v/>
      </c>
      <c r="S496" s="23">
        <f>R496*E496</f>
        <v/>
      </c>
      <c r="T496" s="23">
        <f>(R496-S496)*M496</f>
        <v/>
      </c>
      <c r="U496" s="23">
        <f>R496-S496-T496</f>
        <v/>
      </c>
      <c r="V496" s="23">
        <f>D496*P496</f>
        <v/>
      </c>
      <c r="W496" s="23">
        <f>U496-V496</f>
        <v/>
      </c>
      <c r="X496" s="24">
        <f>IFERROR(W496/U496,0)</f>
        <v/>
      </c>
    </row>
    <row r="497">
      <c r="A497" s="25">
        <f>ItensPedido!A497</f>
        <v/>
      </c>
      <c r="B497" s="25">
        <f>ItensPedido!B497</f>
        <v/>
      </c>
      <c r="C497" s="25">
        <f>ItensPedido!C497</f>
        <v/>
      </c>
      <c r="D497" s="25">
        <f>ItensPedido!D497</f>
        <v/>
      </c>
      <c r="E497" s="26">
        <f>ItensPedido!E497</f>
        <v/>
      </c>
      <c r="F497" s="25">
        <f>IFERROR(INDEX(Pedidos!$B$2:$B$1801,MATCH(B497,Pedidos!$A$2:$A$1801,0)),0)</f>
        <v/>
      </c>
      <c r="G497" s="25">
        <f>IF(F497=0,"",YEAR(F497))</f>
        <v/>
      </c>
      <c r="H497" s="25">
        <f>IF(F497=0,"",MONTH(F497))</f>
        <v/>
      </c>
      <c r="I497" s="25">
        <f>IFERROR(INDEX(Pedidos!$E$2:$E$1801,MATCH(B497,Pedidos!$A$2:$A$1801,0)),"")</f>
        <v/>
      </c>
      <c r="J497" s="25">
        <f>IFERROR(INDEX(Pedidos!$C$2:$C$1801,MATCH(B497,Pedidos!$A$2:$A$1801,0)),"")</f>
        <v/>
      </c>
      <c r="K497" s="25">
        <f>IFERROR(INDEX(Pedidos!$D$2:$D$1801,MATCH(B497,Pedidos!$A$2:$A$1801,0)),"")</f>
        <v/>
      </c>
      <c r="L497" s="25">
        <f>IFERROR(INDEX(Pedidos!$F$2:$F$1801,MATCH(B497,Pedidos!$A$2:$A$1801,0)),"")</f>
        <v/>
      </c>
      <c r="M497" s="26">
        <f>IFERROR(INDEX(Pedidos!$G$2:$G$1801,MATCH(B497,Pedidos!$A$2:$A$1801,0)),0)</f>
        <v/>
      </c>
      <c r="N497" s="25">
        <f>IFERROR(INDEX(Produtos!$B$2:$B$71,MATCH(C497,Produtos!$A$2:$A$71,0)),"")</f>
        <v/>
      </c>
      <c r="O497" s="25">
        <f>IFERROR(INDEX(Produtos!$C$2:$C$71,MATCH(C497,Produtos!$A$2:$A$71,0)),"")</f>
        <v/>
      </c>
      <c r="P497" s="25">
        <f>IFERROR(INDEX(Produtos!$D$2:$D$71,MATCH(C497,Produtos!$A$2:$A$71,0)),0)</f>
        <v/>
      </c>
      <c r="Q497" s="25">
        <f>IFERROR(INDEX(Produtos!$E$2:$E$71,MATCH(C497,Produtos!$A$2:$A$71,0)),0)</f>
        <v/>
      </c>
      <c r="R497" s="27">
        <f>D497*Q497</f>
        <v/>
      </c>
      <c r="S497" s="27">
        <f>R497*E497</f>
        <v/>
      </c>
      <c r="T497" s="27">
        <f>(R497-S497)*M497</f>
        <v/>
      </c>
      <c r="U497" s="27">
        <f>R497-S497-T497</f>
        <v/>
      </c>
      <c r="V497" s="27">
        <f>D497*P497</f>
        <v/>
      </c>
      <c r="W497" s="27">
        <f>U497-V497</f>
        <v/>
      </c>
      <c r="X497" s="28">
        <f>IFERROR(W497/U497,0)</f>
        <v/>
      </c>
    </row>
    <row r="498">
      <c r="A498" s="21">
        <f>ItensPedido!A498</f>
        <v/>
      </c>
      <c r="B498" s="21">
        <f>ItensPedido!B498</f>
        <v/>
      </c>
      <c r="C498" s="21">
        <f>ItensPedido!C498</f>
        <v/>
      </c>
      <c r="D498" s="21">
        <f>ItensPedido!D498</f>
        <v/>
      </c>
      <c r="E498" s="22">
        <f>ItensPedido!E498</f>
        <v/>
      </c>
      <c r="F498" s="21">
        <f>IFERROR(INDEX(Pedidos!$B$2:$B$1801,MATCH(B498,Pedidos!$A$2:$A$1801,0)),0)</f>
        <v/>
      </c>
      <c r="G498" s="21">
        <f>IF(F498=0,"",YEAR(F498))</f>
        <v/>
      </c>
      <c r="H498" s="21">
        <f>IF(F498=0,"",MONTH(F498))</f>
        <v/>
      </c>
      <c r="I498" s="21">
        <f>IFERROR(INDEX(Pedidos!$E$2:$E$1801,MATCH(B498,Pedidos!$A$2:$A$1801,0)),"")</f>
        <v/>
      </c>
      <c r="J498" s="21">
        <f>IFERROR(INDEX(Pedidos!$C$2:$C$1801,MATCH(B498,Pedidos!$A$2:$A$1801,0)),"")</f>
        <v/>
      </c>
      <c r="K498" s="21">
        <f>IFERROR(INDEX(Pedidos!$D$2:$D$1801,MATCH(B498,Pedidos!$A$2:$A$1801,0)),"")</f>
        <v/>
      </c>
      <c r="L498" s="21">
        <f>IFERROR(INDEX(Pedidos!$F$2:$F$1801,MATCH(B498,Pedidos!$A$2:$A$1801,0)),"")</f>
        <v/>
      </c>
      <c r="M498" s="22">
        <f>IFERROR(INDEX(Pedidos!$G$2:$G$1801,MATCH(B498,Pedidos!$A$2:$A$1801,0)),0)</f>
        <v/>
      </c>
      <c r="N498" s="21">
        <f>IFERROR(INDEX(Produtos!$B$2:$B$71,MATCH(C498,Produtos!$A$2:$A$71,0)),"")</f>
        <v/>
      </c>
      <c r="O498" s="21">
        <f>IFERROR(INDEX(Produtos!$C$2:$C$71,MATCH(C498,Produtos!$A$2:$A$71,0)),"")</f>
        <v/>
      </c>
      <c r="P498" s="21">
        <f>IFERROR(INDEX(Produtos!$D$2:$D$71,MATCH(C498,Produtos!$A$2:$A$71,0)),0)</f>
        <v/>
      </c>
      <c r="Q498" s="21">
        <f>IFERROR(INDEX(Produtos!$E$2:$E$71,MATCH(C498,Produtos!$A$2:$A$71,0)),0)</f>
        <v/>
      </c>
      <c r="R498" s="23">
        <f>D498*Q498</f>
        <v/>
      </c>
      <c r="S498" s="23">
        <f>R498*E498</f>
        <v/>
      </c>
      <c r="T498" s="23">
        <f>(R498-S498)*M498</f>
        <v/>
      </c>
      <c r="U498" s="23">
        <f>R498-S498-T498</f>
        <v/>
      </c>
      <c r="V498" s="23">
        <f>D498*P498</f>
        <v/>
      </c>
      <c r="W498" s="23">
        <f>U498-V498</f>
        <v/>
      </c>
      <c r="X498" s="24">
        <f>IFERROR(W498/U498,0)</f>
        <v/>
      </c>
    </row>
    <row r="499">
      <c r="A499" s="25">
        <f>ItensPedido!A499</f>
        <v/>
      </c>
      <c r="B499" s="25">
        <f>ItensPedido!B499</f>
        <v/>
      </c>
      <c r="C499" s="25">
        <f>ItensPedido!C499</f>
        <v/>
      </c>
      <c r="D499" s="25">
        <f>ItensPedido!D499</f>
        <v/>
      </c>
      <c r="E499" s="26">
        <f>ItensPedido!E499</f>
        <v/>
      </c>
      <c r="F499" s="25">
        <f>IFERROR(INDEX(Pedidos!$B$2:$B$1801,MATCH(B499,Pedidos!$A$2:$A$1801,0)),0)</f>
        <v/>
      </c>
      <c r="G499" s="25">
        <f>IF(F499=0,"",YEAR(F499))</f>
        <v/>
      </c>
      <c r="H499" s="25">
        <f>IF(F499=0,"",MONTH(F499))</f>
        <v/>
      </c>
      <c r="I499" s="25">
        <f>IFERROR(INDEX(Pedidos!$E$2:$E$1801,MATCH(B499,Pedidos!$A$2:$A$1801,0)),"")</f>
        <v/>
      </c>
      <c r="J499" s="25">
        <f>IFERROR(INDEX(Pedidos!$C$2:$C$1801,MATCH(B499,Pedidos!$A$2:$A$1801,0)),"")</f>
        <v/>
      </c>
      <c r="K499" s="25">
        <f>IFERROR(INDEX(Pedidos!$D$2:$D$1801,MATCH(B499,Pedidos!$A$2:$A$1801,0)),"")</f>
        <v/>
      </c>
      <c r="L499" s="25">
        <f>IFERROR(INDEX(Pedidos!$F$2:$F$1801,MATCH(B499,Pedidos!$A$2:$A$1801,0)),"")</f>
        <v/>
      </c>
      <c r="M499" s="26">
        <f>IFERROR(INDEX(Pedidos!$G$2:$G$1801,MATCH(B499,Pedidos!$A$2:$A$1801,0)),0)</f>
        <v/>
      </c>
      <c r="N499" s="25">
        <f>IFERROR(INDEX(Produtos!$B$2:$B$71,MATCH(C499,Produtos!$A$2:$A$71,0)),"")</f>
        <v/>
      </c>
      <c r="O499" s="25">
        <f>IFERROR(INDEX(Produtos!$C$2:$C$71,MATCH(C499,Produtos!$A$2:$A$71,0)),"")</f>
        <v/>
      </c>
      <c r="P499" s="25">
        <f>IFERROR(INDEX(Produtos!$D$2:$D$71,MATCH(C499,Produtos!$A$2:$A$71,0)),0)</f>
        <v/>
      </c>
      <c r="Q499" s="25">
        <f>IFERROR(INDEX(Produtos!$E$2:$E$71,MATCH(C499,Produtos!$A$2:$A$71,0)),0)</f>
        <v/>
      </c>
      <c r="R499" s="27">
        <f>D499*Q499</f>
        <v/>
      </c>
      <c r="S499" s="27">
        <f>R499*E499</f>
        <v/>
      </c>
      <c r="T499" s="27">
        <f>(R499-S499)*M499</f>
        <v/>
      </c>
      <c r="U499" s="27">
        <f>R499-S499-T499</f>
        <v/>
      </c>
      <c r="V499" s="27">
        <f>D499*P499</f>
        <v/>
      </c>
      <c r="W499" s="27">
        <f>U499-V499</f>
        <v/>
      </c>
      <c r="X499" s="28">
        <f>IFERROR(W499/U499,0)</f>
        <v/>
      </c>
    </row>
    <row r="500">
      <c r="A500" s="21">
        <f>ItensPedido!A500</f>
        <v/>
      </c>
      <c r="B500" s="21">
        <f>ItensPedido!B500</f>
        <v/>
      </c>
      <c r="C500" s="21">
        <f>ItensPedido!C500</f>
        <v/>
      </c>
      <c r="D500" s="21">
        <f>ItensPedido!D500</f>
        <v/>
      </c>
      <c r="E500" s="22">
        <f>ItensPedido!E500</f>
        <v/>
      </c>
      <c r="F500" s="21">
        <f>IFERROR(INDEX(Pedidos!$B$2:$B$1801,MATCH(B500,Pedidos!$A$2:$A$1801,0)),0)</f>
        <v/>
      </c>
      <c r="G500" s="21">
        <f>IF(F500=0,"",YEAR(F500))</f>
        <v/>
      </c>
      <c r="H500" s="21">
        <f>IF(F500=0,"",MONTH(F500))</f>
        <v/>
      </c>
      <c r="I500" s="21">
        <f>IFERROR(INDEX(Pedidos!$E$2:$E$1801,MATCH(B500,Pedidos!$A$2:$A$1801,0)),"")</f>
        <v/>
      </c>
      <c r="J500" s="21">
        <f>IFERROR(INDEX(Pedidos!$C$2:$C$1801,MATCH(B500,Pedidos!$A$2:$A$1801,0)),"")</f>
        <v/>
      </c>
      <c r="K500" s="21">
        <f>IFERROR(INDEX(Pedidos!$D$2:$D$1801,MATCH(B500,Pedidos!$A$2:$A$1801,0)),"")</f>
        <v/>
      </c>
      <c r="L500" s="21">
        <f>IFERROR(INDEX(Pedidos!$F$2:$F$1801,MATCH(B500,Pedidos!$A$2:$A$1801,0)),"")</f>
        <v/>
      </c>
      <c r="M500" s="22">
        <f>IFERROR(INDEX(Pedidos!$G$2:$G$1801,MATCH(B500,Pedidos!$A$2:$A$1801,0)),0)</f>
        <v/>
      </c>
      <c r="N500" s="21">
        <f>IFERROR(INDEX(Produtos!$B$2:$B$71,MATCH(C500,Produtos!$A$2:$A$71,0)),"")</f>
        <v/>
      </c>
      <c r="O500" s="21">
        <f>IFERROR(INDEX(Produtos!$C$2:$C$71,MATCH(C500,Produtos!$A$2:$A$71,0)),"")</f>
        <v/>
      </c>
      <c r="P500" s="21">
        <f>IFERROR(INDEX(Produtos!$D$2:$D$71,MATCH(C500,Produtos!$A$2:$A$71,0)),0)</f>
        <v/>
      </c>
      <c r="Q500" s="21">
        <f>IFERROR(INDEX(Produtos!$E$2:$E$71,MATCH(C500,Produtos!$A$2:$A$71,0)),0)</f>
        <v/>
      </c>
      <c r="R500" s="23">
        <f>D500*Q500</f>
        <v/>
      </c>
      <c r="S500" s="23">
        <f>R500*E500</f>
        <v/>
      </c>
      <c r="T500" s="23">
        <f>(R500-S500)*M500</f>
        <v/>
      </c>
      <c r="U500" s="23">
        <f>R500-S500-T500</f>
        <v/>
      </c>
      <c r="V500" s="23">
        <f>D500*P500</f>
        <v/>
      </c>
      <c r="W500" s="23">
        <f>U500-V500</f>
        <v/>
      </c>
      <c r="X500" s="24">
        <f>IFERROR(W500/U500,0)</f>
        <v/>
      </c>
    </row>
    <row r="501">
      <c r="A501" s="25">
        <f>ItensPedido!A501</f>
        <v/>
      </c>
      <c r="B501" s="25">
        <f>ItensPedido!B501</f>
        <v/>
      </c>
      <c r="C501" s="25">
        <f>ItensPedido!C501</f>
        <v/>
      </c>
      <c r="D501" s="25">
        <f>ItensPedido!D501</f>
        <v/>
      </c>
      <c r="E501" s="26">
        <f>ItensPedido!E501</f>
        <v/>
      </c>
      <c r="F501" s="25">
        <f>IFERROR(INDEX(Pedidos!$B$2:$B$1801,MATCH(B501,Pedidos!$A$2:$A$1801,0)),0)</f>
        <v/>
      </c>
      <c r="G501" s="25">
        <f>IF(F501=0,"",YEAR(F501))</f>
        <v/>
      </c>
      <c r="H501" s="25">
        <f>IF(F501=0,"",MONTH(F501))</f>
        <v/>
      </c>
      <c r="I501" s="25">
        <f>IFERROR(INDEX(Pedidos!$E$2:$E$1801,MATCH(B501,Pedidos!$A$2:$A$1801,0)),"")</f>
        <v/>
      </c>
      <c r="J501" s="25">
        <f>IFERROR(INDEX(Pedidos!$C$2:$C$1801,MATCH(B501,Pedidos!$A$2:$A$1801,0)),"")</f>
        <v/>
      </c>
      <c r="K501" s="25">
        <f>IFERROR(INDEX(Pedidos!$D$2:$D$1801,MATCH(B501,Pedidos!$A$2:$A$1801,0)),"")</f>
        <v/>
      </c>
      <c r="L501" s="25">
        <f>IFERROR(INDEX(Pedidos!$F$2:$F$1801,MATCH(B501,Pedidos!$A$2:$A$1801,0)),"")</f>
        <v/>
      </c>
      <c r="M501" s="26">
        <f>IFERROR(INDEX(Pedidos!$G$2:$G$1801,MATCH(B501,Pedidos!$A$2:$A$1801,0)),0)</f>
        <v/>
      </c>
      <c r="N501" s="25">
        <f>IFERROR(INDEX(Produtos!$B$2:$B$71,MATCH(C501,Produtos!$A$2:$A$71,0)),"")</f>
        <v/>
      </c>
      <c r="O501" s="25">
        <f>IFERROR(INDEX(Produtos!$C$2:$C$71,MATCH(C501,Produtos!$A$2:$A$71,0)),"")</f>
        <v/>
      </c>
      <c r="P501" s="25">
        <f>IFERROR(INDEX(Produtos!$D$2:$D$71,MATCH(C501,Produtos!$A$2:$A$71,0)),0)</f>
        <v/>
      </c>
      <c r="Q501" s="25">
        <f>IFERROR(INDEX(Produtos!$E$2:$E$71,MATCH(C501,Produtos!$A$2:$A$71,0)),0)</f>
        <v/>
      </c>
      <c r="R501" s="27">
        <f>D501*Q501</f>
        <v/>
      </c>
      <c r="S501" s="27">
        <f>R501*E501</f>
        <v/>
      </c>
      <c r="T501" s="27">
        <f>(R501-S501)*M501</f>
        <v/>
      </c>
      <c r="U501" s="27">
        <f>R501-S501-T501</f>
        <v/>
      </c>
      <c r="V501" s="27">
        <f>D501*P501</f>
        <v/>
      </c>
      <c r="W501" s="27">
        <f>U501-V501</f>
        <v/>
      </c>
      <c r="X501" s="28">
        <f>IFERROR(W501/U501,0)</f>
        <v/>
      </c>
    </row>
    <row r="502">
      <c r="A502" s="21">
        <f>ItensPedido!A502</f>
        <v/>
      </c>
      <c r="B502" s="21">
        <f>ItensPedido!B502</f>
        <v/>
      </c>
      <c r="C502" s="21">
        <f>ItensPedido!C502</f>
        <v/>
      </c>
      <c r="D502" s="21">
        <f>ItensPedido!D502</f>
        <v/>
      </c>
      <c r="E502" s="22">
        <f>ItensPedido!E502</f>
        <v/>
      </c>
      <c r="F502" s="21">
        <f>IFERROR(INDEX(Pedidos!$B$2:$B$1801,MATCH(B502,Pedidos!$A$2:$A$1801,0)),0)</f>
        <v/>
      </c>
      <c r="G502" s="21">
        <f>IF(F502=0,"",YEAR(F502))</f>
        <v/>
      </c>
      <c r="H502" s="21">
        <f>IF(F502=0,"",MONTH(F502))</f>
        <v/>
      </c>
      <c r="I502" s="21">
        <f>IFERROR(INDEX(Pedidos!$E$2:$E$1801,MATCH(B502,Pedidos!$A$2:$A$1801,0)),"")</f>
        <v/>
      </c>
      <c r="J502" s="21">
        <f>IFERROR(INDEX(Pedidos!$C$2:$C$1801,MATCH(B502,Pedidos!$A$2:$A$1801,0)),"")</f>
        <v/>
      </c>
      <c r="K502" s="21">
        <f>IFERROR(INDEX(Pedidos!$D$2:$D$1801,MATCH(B502,Pedidos!$A$2:$A$1801,0)),"")</f>
        <v/>
      </c>
      <c r="L502" s="21">
        <f>IFERROR(INDEX(Pedidos!$F$2:$F$1801,MATCH(B502,Pedidos!$A$2:$A$1801,0)),"")</f>
        <v/>
      </c>
      <c r="M502" s="22">
        <f>IFERROR(INDEX(Pedidos!$G$2:$G$1801,MATCH(B502,Pedidos!$A$2:$A$1801,0)),0)</f>
        <v/>
      </c>
      <c r="N502" s="21">
        <f>IFERROR(INDEX(Produtos!$B$2:$B$71,MATCH(C502,Produtos!$A$2:$A$71,0)),"")</f>
        <v/>
      </c>
      <c r="O502" s="21">
        <f>IFERROR(INDEX(Produtos!$C$2:$C$71,MATCH(C502,Produtos!$A$2:$A$71,0)),"")</f>
        <v/>
      </c>
      <c r="P502" s="21">
        <f>IFERROR(INDEX(Produtos!$D$2:$D$71,MATCH(C502,Produtos!$A$2:$A$71,0)),0)</f>
        <v/>
      </c>
      <c r="Q502" s="21">
        <f>IFERROR(INDEX(Produtos!$E$2:$E$71,MATCH(C502,Produtos!$A$2:$A$71,0)),0)</f>
        <v/>
      </c>
      <c r="R502" s="23">
        <f>D502*Q502</f>
        <v/>
      </c>
      <c r="S502" s="23">
        <f>R502*E502</f>
        <v/>
      </c>
      <c r="T502" s="23">
        <f>(R502-S502)*M502</f>
        <v/>
      </c>
      <c r="U502" s="23">
        <f>R502-S502-T502</f>
        <v/>
      </c>
      <c r="V502" s="23">
        <f>D502*P502</f>
        <v/>
      </c>
      <c r="W502" s="23">
        <f>U502-V502</f>
        <v/>
      </c>
      <c r="X502" s="24">
        <f>IFERROR(W502/U502,0)</f>
        <v/>
      </c>
    </row>
    <row r="503">
      <c r="A503" s="25">
        <f>ItensPedido!A503</f>
        <v/>
      </c>
      <c r="B503" s="25">
        <f>ItensPedido!B503</f>
        <v/>
      </c>
      <c r="C503" s="25">
        <f>ItensPedido!C503</f>
        <v/>
      </c>
      <c r="D503" s="25">
        <f>ItensPedido!D503</f>
        <v/>
      </c>
      <c r="E503" s="26">
        <f>ItensPedido!E503</f>
        <v/>
      </c>
      <c r="F503" s="25">
        <f>IFERROR(INDEX(Pedidos!$B$2:$B$1801,MATCH(B503,Pedidos!$A$2:$A$1801,0)),0)</f>
        <v/>
      </c>
      <c r="G503" s="25">
        <f>IF(F503=0,"",YEAR(F503))</f>
        <v/>
      </c>
      <c r="H503" s="25">
        <f>IF(F503=0,"",MONTH(F503))</f>
        <v/>
      </c>
      <c r="I503" s="25">
        <f>IFERROR(INDEX(Pedidos!$E$2:$E$1801,MATCH(B503,Pedidos!$A$2:$A$1801,0)),"")</f>
        <v/>
      </c>
      <c r="J503" s="25">
        <f>IFERROR(INDEX(Pedidos!$C$2:$C$1801,MATCH(B503,Pedidos!$A$2:$A$1801,0)),"")</f>
        <v/>
      </c>
      <c r="K503" s="25">
        <f>IFERROR(INDEX(Pedidos!$D$2:$D$1801,MATCH(B503,Pedidos!$A$2:$A$1801,0)),"")</f>
        <v/>
      </c>
      <c r="L503" s="25">
        <f>IFERROR(INDEX(Pedidos!$F$2:$F$1801,MATCH(B503,Pedidos!$A$2:$A$1801,0)),"")</f>
        <v/>
      </c>
      <c r="M503" s="26">
        <f>IFERROR(INDEX(Pedidos!$G$2:$G$1801,MATCH(B503,Pedidos!$A$2:$A$1801,0)),0)</f>
        <v/>
      </c>
      <c r="N503" s="25">
        <f>IFERROR(INDEX(Produtos!$B$2:$B$71,MATCH(C503,Produtos!$A$2:$A$71,0)),"")</f>
        <v/>
      </c>
      <c r="O503" s="25">
        <f>IFERROR(INDEX(Produtos!$C$2:$C$71,MATCH(C503,Produtos!$A$2:$A$71,0)),"")</f>
        <v/>
      </c>
      <c r="P503" s="25">
        <f>IFERROR(INDEX(Produtos!$D$2:$D$71,MATCH(C503,Produtos!$A$2:$A$71,0)),0)</f>
        <v/>
      </c>
      <c r="Q503" s="25">
        <f>IFERROR(INDEX(Produtos!$E$2:$E$71,MATCH(C503,Produtos!$A$2:$A$71,0)),0)</f>
        <v/>
      </c>
      <c r="R503" s="27">
        <f>D503*Q503</f>
        <v/>
      </c>
      <c r="S503" s="27">
        <f>R503*E503</f>
        <v/>
      </c>
      <c r="T503" s="27">
        <f>(R503-S503)*M503</f>
        <v/>
      </c>
      <c r="U503" s="27">
        <f>R503-S503-T503</f>
        <v/>
      </c>
      <c r="V503" s="27">
        <f>D503*P503</f>
        <v/>
      </c>
      <c r="W503" s="27">
        <f>U503-V503</f>
        <v/>
      </c>
      <c r="X503" s="28">
        <f>IFERROR(W503/U503,0)</f>
        <v/>
      </c>
    </row>
    <row r="504">
      <c r="A504" s="21">
        <f>ItensPedido!A504</f>
        <v/>
      </c>
      <c r="B504" s="21">
        <f>ItensPedido!B504</f>
        <v/>
      </c>
      <c r="C504" s="21">
        <f>ItensPedido!C504</f>
        <v/>
      </c>
      <c r="D504" s="21">
        <f>ItensPedido!D504</f>
        <v/>
      </c>
      <c r="E504" s="22">
        <f>ItensPedido!E504</f>
        <v/>
      </c>
      <c r="F504" s="21">
        <f>IFERROR(INDEX(Pedidos!$B$2:$B$1801,MATCH(B504,Pedidos!$A$2:$A$1801,0)),0)</f>
        <v/>
      </c>
      <c r="G504" s="21">
        <f>IF(F504=0,"",YEAR(F504))</f>
        <v/>
      </c>
      <c r="H504" s="21">
        <f>IF(F504=0,"",MONTH(F504))</f>
        <v/>
      </c>
      <c r="I504" s="21">
        <f>IFERROR(INDEX(Pedidos!$E$2:$E$1801,MATCH(B504,Pedidos!$A$2:$A$1801,0)),"")</f>
        <v/>
      </c>
      <c r="J504" s="21">
        <f>IFERROR(INDEX(Pedidos!$C$2:$C$1801,MATCH(B504,Pedidos!$A$2:$A$1801,0)),"")</f>
        <v/>
      </c>
      <c r="K504" s="21">
        <f>IFERROR(INDEX(Pedidos!$D$2:$D$1801,MATCH(B504,Pedidos!$A$2:$A$1801,0)),"")</f>
        <v/>
      </c>
      <c r="L504" s="21">
        <f>IFERROR(INDEX(Pedidos!$F$2:$F$1801,MATCH(B504,Pedidos!$A$2:$A$1801,0)),"")</f>
        <v/>
      </c>
      <c r="M504" s="22">
        <f>IFERROR(INDEX(Pedidos!$G$2:$G$1801,MATCH(B504,Pedidos!$A$2:$A$1801,0)),0)</f>
        <v/>
      </c>
      <c r="N504" s="21">
        <f>IFERROR(INDEX(Produtos!$B$2:$B$71,MATCH(C504,Produtos!$A$2:$A$71,0)),"")</f>
        <v/>
      </c>
      <c r="O504" s="21">
        <f>IFERROR(INDEX(Produtos!$C$2:$C$71,MATCH(C504,Produtos!$A$2:$A$71,0)),"")</f>
        <v/>
      </c>
      <c r="P504" s="21">
        <f>IFERROR(INDEX(Produtos!$D$2:$D$71,MATCH(C504,Produtos!$A$2:$A$71,0)),0)</f>
        <v/>
      </c>
      <c r="Q504" s="21">
        <f>IFERROR(INDEX(Produtos!$E$2:$E$71,MATCH(C504,Produtos!$A$2:$A$71,0)),0)</f>
        <v/>
      </c>
      <c r="R504" s="23">
        <f>D504*Q504</f>
        <v/>
      </c>
      <c r="S504" s="23">
        <f>R504*E504</f>
        <v/>
      </c>
      <c r="T504" s="23">
        <f>(R504-S504)*M504</f>
        <v/>
      </c>
      <c r="U504" s="23">
        <f>R504-S504-T504</f>
        <v/>
      </c>
      <c r="V504" s="23">
        <f>D504*P504</f>
        <v/>
      </c>
      <c r="W504" s="23">
        <f>U504-V504</f>
        <v/>
      </c>
      <c r="X504" s="24">
        <f>IFERROR(W504/U504,0)</f>
        <v/>
      </c>
    </row>
    <row r="505">
      <c r="A505" s="25">
        <f>ItensPedido!A505</f>
        <v/>
      </c>
      <c r="B505" s="25">
        <f>ItensPedido!B505</f>
        <v/>
      </c>
      <c r="C505" s="25">
        <f>ItensPedido!C505</f>
        <v/>
      </c>
      <c r="D505" s="25">
        <f>ItensPedido!D505</f>
        <v/>
      </c>
      <c r="E505" s="26">
        <f>ItensPedido!E505</f>
        <v/>
      </c>
      <c r="F505" s="25">
        <f>IFERROR(INDEX(Pedidos!$B$2:$B$1801,MATCH(B505,Pedidos!$A$2:$A$1801,0)),0)</f>
        <v/>
      </c>
      <c r="G505" s="25">
        <f>IF(F505=0,"",YEAR(F505))</f>
        <v/>
      </c>
      <c r="H505" s="25">
        <f>IF(F505=0,"",MONTH(F505))</f>
        <v/>
      </c>
      <c r="I505" s="25">
        <f>IFERROR(INDEX(Pedidos!$E$2:$E$1801,MATCH(B505,Pedidos!$A$2:$A$1801,0)),"")</f>
        <v/>
      </c>
      <c r="J505" s="25">
        <f>IFERROR(INDEX(Pedidos!$C$2:$C$1801,MATCH(B505,Pedidos!$A$2:$A$1801,0)),"")</f>
        <v/>
      </c>
      <c r="K505" s="25">
        <f>IFERROR(INDEX(Pedidos!$D$2:$D$1801,MATCH(B505,Pedidos!$A$2:$A$1801,0)),"")</f>
        <v/>
      </c>
      <c r="L505" s="25">
        <f>IFERROR(INDEX(Pedidos!$F$2:$F$1801,MATCH(B505,Pedidos!$A$2:$A$1801,0)),"")</f>
        <v/>
      </c>
      <c r="M505" s="26">
        <f>IFERROR(INDEX(Pedidos!$G$2:$G$1801,MATCH(B505,Pedidos!$A$2:$A$1801,0)),0)</f>
        <v/>
      </c>
      <c r="N505" s="25">
        <f>IFERROR(INDEX(Produtos!$B$2:$B$71,MATCH(C505,Produtos!$A$2:$A$71,0)),"")</f>
        <v/>
      </c>
      <c r="O505" s="25">
        <f>IFERROR(INDEX(Produtos!$C$2:$C$71,MATCH(C505,Produtos!$A$2:$A$71,0)),"")</f>
        <v/>
      </c>
      <c r="P505" s="25">
        <f>IFERROR(INDEX(Produtos!$D$2:$D$71,MATCH(C505,Produtos!$A$2:$A$71,0)),0)</f>
        <v/>
      </c>
      <c r="Q505" s="25">
        <f>IFERROR(INDEX(Produtos!$E$2:$E$71,MATCH(C505,Produtos!$A$2:$A$71,0)),0)</f>
        <v/>
      </c>
      <c r="R505" s="27">
        <f>D505*Q505</f>
        <v/>
      </c>
      <c r="S505" s="27">
        <f>R505*E505</f>
        <v/>
      </c>
      <c r="T505" s="27">
        <f>(R505-S505)*M505</f>
        <v/>
      </c>
      <c r="U505" s="27">
        <f>R505-S505-T505</f>
        <v/>
      </c>
      <c r="V505" s="27">
        <f>D505*P505</f>
        <v/>
      </c>
      <c r="W505" s="27">
        <f>U505-V505</f>
        <v/>
      </c>
      <c r="X505" s="28">
        <f>IFERROR(W505/U505,0)</f>
        <v/>
      </c>
    </row>
    <row r="506">
      <c r="A506" s="21">
        <f>ItensPedido!A506</f>
        <v/>
      </c>
      <c r="B506" s="21">
        <f>ItensPedido!B506</f>
        <v/>
      </c>
      <c r="C506" s="21">
        <f>ItensPedido!C506</f>
        <v/>
      </c>
      <c r="D506" s="21">
        <f>ItensPedido!D506</f>
        <v/>
      </c>
      <c r="E506" s="22">
        <f>ItensPedido!E506</f>
        <v/>
      </c>
      <c r="F506" s="21">
        <f>IFERROR(INDEX(Pedidos!$B$2:$B$1801,MATCH(B506,Pedidos!$A$2:$A$1801,0)),0)</f>
        <v/>
      </c>
      <c r="G506" s="21">
        <f>IF(F506=0,"",YEAR(F506))</f>
        <v/>
      </c>
      <c r="H506" s="21">
        <f>IF(F506=0,"",MONTH(F506))</f>
        <v/>
      </c>
      <c r="I506" s="21">
        <f>IFERROR(INDEX(Pedidos!$E$2:$E$1801,MATCH(B506,Pedidos!$A$2:$A$1801,0)),"")</f>
        <v/>
      </c>
      <c r="J506" s="21">
        <f>IFERROR(INDEX(Pedidos!$C$2:$C$1801,MATCH(B506,Pedidos!$A$2:$A$1801,0)),"")</f>
        <v/>
      </c>
      <c r="K506" s="21">
        <f>IFERROR(INDEX(Pedidos!$D$2:$D$1801,MATCH(B506,Pedidos!$A$2:$A$1801,0)),"")</f>
        <v/>
      </c>
      <c r="L506" s="21">
        <f>IFERROR(INDEX(Pedidos!$F$2:$F$1801,MATCH(B506,Pedidos!$A$2:$A$1801,0)),"")</f>
        <v/>
      </c>
      <c r="M506" s="22">
        <f>IFERROR(INDEX(Pedidos!$G$2:$G$1801,MATCH(B506,Pedidos!$A$2:$A$1801,0)),0)</f>
        <v/>
      </c>
      <c r="N506" s="21">
        <f>IFERROR(INDEX(Produtos!$B$2:$B$71,MATCH(C506,Produtos!$A$2:$A$71,0)),"")</f>
        <v/>
      </c>
      <c r="O506" s="21">
        <f>IFERROR(INDEX(Produtos!$C$2:$C$71,MATCH(C506,Produtos!$A$2:$A$71,0)),"")</f>
        <v/>
      </c>
      <c r="P506" s="21">
        <f>IFERROR(INDEX(Produtos!$D$2:$D$71,MATCH(C506,Produtos!$A$2:$A$71,0)),0)</f>
        <v/>
      </c>
      <c r="Q506" s="21">
        <f>IFERROR(INDEX(Produtos!$E$2:$E$71,MATCH(C506,Produtos!$A$2:$A$71,0)),0)</f>
        <v/>
      </c>
      <c r="R506" s="23">
        <f>D506*Q506</f>
        <v/>
      </c>
      <c r="S506" s="23">
        <f>R506*E506</f>
        <v/>
      </c>
      <c r="T506" s="23">
        <f>(R506-S506)*M506</f>
        <v/>
      </c>
      <c r="U506" s="23">
        <f>R506-S506-T506</f>
        <v/>
      </c>
      <c r="V506" s="23">
        <f>D506*P506</f>
        <v/>
      </c>
      <c r="W506" s="23">
        <f>U506-V506</f>
        <v/>
      </c>
      <c r="X506" s="24">
        <f>IFERROR(W506/U506,0)</f>
        <v/>
      </c>
    </row>
    <row r="507">
      <c r="A507" s="25">
        <f>ItensPedido!A507</f>
        <v/>
      </c>
      <c r="B507" s="25">
        <f>ItensPedido!B507</f>
        <v/>
      </c>
      <c r="C507" s="25">
        <f>ItensPedido!C507</f>
        <v/>
      </c>
      <c r="D507" s="25">
        <f>ItensPedido!D507</f>
        <v/>
      </c>
      <c r="E507" s="26">
        <f>ItensPedido!E507</f>
        <v/>
      </c>
      <c r="F507" s="25">
        <f>IFERROR(INDEX(Pedidos!$B$2:$B$1801,MATCH(B507,Pedidos!$A$2:$A$1801,0)),0)</f>
        <v/>
      </c>
      <c r="G507" s="25">
        <f>IF(F507=0,"",YEAR(F507))</f>
        <v/>
      </c>
      <c r="H507" s="25">
        <f>IF(F507=0,"",MONTH(F507))</f>
        <v/>
      </c>
      <c r="I507" s="25">
        <f>IFERROR(INDEX(Pedidos!$E$2:$E$1801,MATCH(B507,Pedidos!$A$2:$A$1801,0)),"")</f>
        <v/>
      </c>
      <c r="J507" s="25">
        <f>IFERROR(INDEX(Pedidos!$C$2:$C$1801,MATCH(B507,Pedidos!$A$2:$A$1801,0)),"")</f>
        <v/>
      </c>
      <c r="K507" s="25">
        <f>IFERROR(INDEX(Pedidos!$D$2:$D$1801,MATCH(B507,Pedidos!$A$2:$A$1801,0)),"")</f>
        <v/>
      </c>
      <c r="L507" s="25">
        <f>IFERROR(INDEX(Pedidos!$F$2:$F$1801,MATCH(B507,Pedidos!$A$2:$A$1801,0)),"")</f>
        <v/>
      </c>
      <c r="M507" s="26">
        <f>IFERROR(INDEX(Pedidos!$G$2:$G$1801,MATCH(B507,Pedidos!$A$2:$A$1801,0)),0)</f>
        <v/>
      </c>
      <c r="N507" s="25">
        <f>IFERROR(INDEX(Produtos!$B$2:$B$71,MATCH(C507,Produtos!$A$2:$A$71,0)),"")</f>
        <v/>
      </c>
      <c r="O507" s="25">
        <f>IFERROR(INDEX(Produtos!$C$2:$C$71,MATCH(C507,Produtos!$A$2:$A$71,0)),"")</f>
        <v/>
      </c>
      <c r="P507" s="25">
        <f>IFERROR(INDEX(Produtos!$D$2:$D$71,MATCH(C507,Produtos!$A$2:$A$71,0)),0)</f>
        <v/>
      </c>
      <c r="Q507" s="25">
        <f>IFERROR(INDEX(Produtos!$E$2:$E$71,MATCH(C507,Produtos!$A$2:$A$71,0)),0)</f>
        <v/>
      </c>
      <c r="R507" s="27">
        <f>D507*Q507</f>
        <v/>
      </c>
      <c r="S507" s="27">
        <f>R507*E507</f>
        <v/>
      </c>
      <c r="T507" s="27">
        <f>(R507-S507)*M507</f>
        <v/>
      </c>
      <c r="U507" s="27">
        <f>R507-S507-T507</f>
        <v/>
      </c>
      <c r="V507" s="27">
        <f>D507*P507</f>
        <v/>
      </c>
      <c r="W507" s="27">
        <f>U507-V507</f>
        <v/>
      </c>
      <c r="X507" s="28">
        <f>IFERROR(W507/U507,0)</f>
        <v/>
      </c>
    </row>
    <row r="508">
      <c r="A508" s="21">
        <f>ItensPedido!A508</f>
        <v/>
      </c>
      <c r="B508" s="21">
        <f>ItensPedido!B508</f>
        <v/>
      </c>
      <c r="C508" s="21">
        <f>ItensPedido!C508</f>
        <v/>
      </c>
      <c r="D508" s="21">
        <f>ItensPedido!D508</f>
        <v/>
      </c>
      <c r="E508" s="22">
        <f>ItensPedido!E508</f>
        <v/>
      </c>
      <c r="F508" s="21">
        <f>IFERROR(INDEX(Pedidos!$B$2:$B$1801,MATCH(B508,Pedidos!$A$2:$A$1801,0)),0)</f>
        <v/>
      </c>
      <c r="G508" s="21">
        <f>IF(F508=0,"",YEAR(F508))</f>
        <v/>
      </c>
      <c r="H508" s="21">
        <f>IF(F508=0,"",MONTH(F508))</f>
        <v/>
      </c>
      <c r="I508" s="21">
        <f>IFERROR(INDEX(Pedidos!$E$2:$E$1801,MATCH(B508,Pedidos!$A$2:$A$1801,0)),"")</f>
        <v/>
      </c>
      <c r="J508" s="21">
        <f>IFERROR(INDEX(Pedidos!$C$2:$C$1801,MATCH(B508,Pedidos!$A$2:$A$1801,0)),"")</f>
        <v/>
      </c>
      <c r="K508" s="21">
        <f>IFERROR(INDEX(Pedidos!$D$2:$D$1801,MATCH(B508,Pedidos!$A$2:$A$1801,0)),"")</f>
        <v/>
      </c>
      <c r="L508" s="21">
        <f>IFERROR(INDEX(Pedidos!$F$2:$F$1801,MATCH(B508,Pedidos!$A$2:$A$1801,0)),"")</f>
        <v/>
      </c>
      <c r="M508" s="22">
        <f>IFERROR(INDEX(Pedidos!$G$2:$G$1801,MATCH(B508,Pedidos!$A$2:$A$1801,0)),0)</f>
        <v/>
      </c>
      <c r="N508" s="21">
        <f>IFERROR(INDEX(Produtos!$B$2:$B$71,MATCH(C508,Produtos!$A$2:$A$71,0)),"")</f>
        <v/>
      </c>
      <c r="O508" s="21">
        <f>IFERROR(INDEX(Produtos!$C$2:$C$71,MATCH(C508,Produtos!$A$2:$A$71,0)),"")</f>
        <v/>
      </c>
      <c r="P508" s="21">
        <f>IFERROR(INDEX(Produtos!$D$2:$D$71,MATCH(C508,Produtos!$A$2:$A$71,0)),0)</f>
        <v/>
      </c>
      <c r="Q508" s="21">
        <f>IFERROR(INDEX(Produtos!$E$2:$E$71,MATCH(C508,Produtos!$A$2:$A$71,0)),0)</f>
        <v/>
      </c>
      <c r="R508" s="23">
        <f>D508*Q508</f>
        <v/>
      </c>
      <c r="S508" s="23">
        <f>R508*E508</f>
        <v/>
      </c>
      <c r="T508" s="23">
        <f>(R508-S508)*M508</f>
        <v/>
      </c>
      <c r="U508" s="23">
        <f>R508-S508-T508</f>
        <v/>
      </c>
      <c r="V508" s="23">
        <f>D508*P508</f>
        <v/>
      </c>
      <c r="W508" s="23">
        <f>U508-V508</f>
        <v/>
      </c>
      <c r="X508" s="24">
        <f>IFERROR(W508/U508,0)</f>
        <v/>
      </c>
    </row>
    <row r="509">
      <c r="A509" s="25">
        <f>ItensPedido!A509</f>
        <v/>
      </c>
      <c r="B509" s="25">
        <f>ItensPedido!B509</f>
        <v/>
      </c>
      <c r="C509" s="25">
        <f>ItensPedido!C509</f>
        <v/>
      </c>
      <c r="D509" s="25">
        <f>ItensPedido!D509</f>
        <v/>
      </c>
      <c r="E509" s="26">
        <f>ItensPedido!E509</f>
        <v/>
      </c>
      <c r="F509" s="25">
        <f>IFERROR(INDEX(Pedidos!$B$2:$B$1801,MATCH(B509,Pedidos!$A$2:$A$1801,0)),0)</f>
        <v/>
      </c>
      <c r="G509" s="25">
        <f>IF(F509=0,"",YEAR(F509))</f>
        <v/>
      </c>
      <c r="H509" s="25">
        <f>IF(F509=0,"",MONTH(F509))</f>
        <v/>
      </c>
      <c r="I509" s="25">
        <f>IFERROR(INDEX(Pedidos!$E$2:$E$1801,MATCH(B509,Pedidos!$A$2:$A$1801,0)),"")</f>
        <v/>
      </c>
      <c r="J509" s="25">
        <f>IFERROR(INDEX(Pedidos!$C$2:$C$1801,MATCH(B509,Pedidos!$A$2:$A$1801,0)),"")</f>
        <v/>
      </c>
      <c r="K509" s="25">
        <f>IFERROR(INDEX(Pedidos!$D$2:$D$1801,MATCH(B509,Pedidos!$A$2:$A$1801,0)),"")</f>
        <v/>
      </c>
      <c r="L509" s="25">
        <f>IFERROR(INDEX(Pedidos!$F$2:$F$1801,MATCH(B509,Pedidos!$A$2:$A$1801,0)),"")</f>
        <v/>
      </c>
      <c r="M509" s="26">
        <f>IFERROR(INDEX(Pedidos!$G$2:$G$1801,MATCH(B509,Pedidos!$A$2:$A$1801,0)),0)</f>
        <v/>
      </c>
      <c r="N509" s="25">
        <f>IFERROR(INDEX(Produtos!$B$2:$B$71,MATCH(C509,Produtos!$A$2:$A$71,0)),"")</f>
        <v/>
      </c>
      <c r="O509" s="25">
        <f>IFERROR(INDEX(Produtos!$C$2:$C$71,MATCH(C509,Produtos!$A$2:$A$71,0)),"")</f>
        <v/>
      </c>
      <c r="P509" s="25">
        <f>IFERROR(INDEX(Produtos!$D$2:$D$71,MATCH(C509,Produtos!$A$2:$A$71,0)),0)</f>
        <v/>
      </c>
      <c r="Q509" s="25">
        <f>IFERROR(INDEX(Produtos!$E$2:$E$71,MATCH(C509,Produtos!$A$2:$A$71,0)),0)</f>
        <v/>
      </c>
      <c r="R509" s="27">
        <f>D509*Q509</f>
        <v/>
      </c>
      <c r="S509" s="27">
        <f>R509*E509</f>
        <v/>
      </c>
      <c r="T509" s="27">
        <f>(R509-S509)*M509</f>
        <v/>
      </c>
      <c r="U509" s="27">
        <f>R509-S509-T509</f>
        <v/>
      </c>
      <c r="V509" s="27">
        <f>D509*P509</f>
        <v/>
      </c>
      <c r="W509" s="27">
        <f>U509-V509</f>
        <v/>
      </c>
      <c r="X509" s="28">
        <f>IFERROR(W509/U509,0)</f>
        <v/>
      </c>
    </row>
    <row r="510">
      <c r="A510" s="21">
        <f>ItensPedido!A510</f>
        <v/>
      </c>
      <c r="B510" s="21">
        <f>ItensPedido!B510</f>
        <v/>
      </c>
      <c r="C510" s="21">
        <f>ItensPedido!C510</f>
        <v/>
      </c>
      <c r="D510" s="21">
        <f>ItensPedido!D510</f>
        <v/>
      </c>
      <c r="E510" s="22">
        <f>ItensPedido!E510</f>
        <v/>
      </c>
      <c r="F510" s="21">
        <f>IFERROR(INDEX(Pedidos!$B$2:$B$1801,MATCH(B510,Pedidos!$A$2:$A$1801,0)),0)</f>
        <v/>
      </c>
      <c r="G510" s="21">
        <f>IF(F510=0,"",YEAR(F510))</f>
        <v/>
      </c>
      <c r="H510" s="21">
        <f>IF(F510=0,"",MONTH(F510))</f>
        <v/>
      </c>
      <c r="I510" s="21">
        <f>IFERROR(INDEX(Pedidos!$E$2:$E$1801,MATCH(B510,Pedidos!$A$2:$A$1801,0)),"")</f>
        <v/>
      </c>
      <c r="J510" s="21">
        <f>IFERROR(INDEX(Pedidos!$C$2:$C$1801,MATCH(B510,Pedidos!$A$2:$A$1801,0)),"")</f>
        <v/>
      </c>
      <c r="K510" s="21">
        <f>IFERROR(INDEX(Pedidos!$D$2:$D$1801,MATCH(B510,Pedidos!$A$2:$A$1801,0)),"")</f>
        <v/>
      </c>
      <c r="L510" s="21">
        <f>IFERROR(INDEX(Pedidos!$F$2:$F$1801,MATCH(B510,Pedidos!$A$2:$A$1801,0)),"")</f>
        <v/>
      </c>
      <c r="M510" s="22">
        <f>IFERROR(INDEX(Pedidos!$G$2:$G$1801,MATCH(B510,Pedidos!$A$2:$A$1801,0)),0)</f>
        <v/>
      </c>
      <c r="N510" s="21">
        <f>IFERROR(INDEX(Produtos!$B$2:$B$71,MATCH(C510,Produtos!$A$2:$A$71,0)),"")</f>
        <v/>
      </c>
      <c r="O510" s="21">
        <f>IFERROR(INDEX(Produtos!$C$2:$C$71,MATCH(C510,Produtos!$A$2:$A$71,0)),"")</f>
        <v/>
      </c>
      <c r="P510" s="21">
        <f>IFERROR(INDEX(Produtos!$D$2:$D$71,MATCH(C510,Produtos!$A$2:$A$71,0)),0)</f>
        <v/>
      </c>
      <c r="Q510" s="21">
        <f>IFERROR(INDEX(Produtos!$E$2:$E$71,MATCH(C510,Produtos!$A$2:$A$71,0)),0)</f>
        <v/>
      </c>
      <c r="R510" s="23">
        <f>D510*Q510</f>
        <v/>
      </c>
      <c r="S510" s="23">
        <f>R510*E510</f>
        <v/>
      </c>
      <c r="T510" s="23">
        <f>(R510-S510)*M510</f>
        <v/>
      </c>
      <c r="U510" s="23">
        <f>R510-S510-T510</f>
        <v/>
      </c>
      <c r="V510" s="23">
        <f>D510*P510</f>
        <v/>
      </c>
      <c r="W510" s="23">
        <f>U510-V510</f>
        <v/>
      </c>
      <c r="X510" s="24">
        <f>IFERROR(W510/U510,0)</f>
        <v/>
      </c>
    </row>
    <row r="511">
      <c r="A511" s="25">
        <f>ItensPedido!A511</f>
        <v/>
      </c>
      <c r="B511" s="25">
        <f>ItensPedido!B511</f>
        <v/>
      </c>
      <c r="C511" s="25">
        <f>ItensPedido!C511</f>
        <v/>
      </c>
      <c r="D511" s="25">
        <f>ItensPedido!D511</f>
        <v/>
      </c>
      <c r="E511" s="26">
        <f>ItensPedido!E511</f>
        <v/>
      </c>
      <c r="F511" s="25">
        <f>IFERROR(INDEX(Pedidos!$B$2:$B$1801,MATCH(B511,Pedidos!$A$2:$A$1801,0)),0)</f>
        <v/>
      </c>
      <c r="G511" s="25">
        <f>IF(F511=0,"",YEAR(F511))</f>
        <v/>
      </c>
      <c r="H511" s="25">
        <f>IF(F511=0,"",MONTH(F511))</f>
        <v/>
      </c>
      <c r="I511" s="25">
        <f>IFERROR(INDEX(Pedidos!$E$2:$E$1801,MATCH(B511,Pedidos!$A$2:$A$1801,0)),"")</f>
        <v/>
      </c>
      <c r="J511" s="25">
        <f>IFERROR(INDEX(Pedidos!$C$2:$C$1801,MATCH(B511,Pedidos!$A$2:$A$1801,0)),"")</f>
        <v/>
      </c>
      <c r="K511" s="25">
        <f>IFERROR(INDEX(Pedidos!$D$2:$D$1801,MATCH(B511,Pedidos!$A$2:$A$1801,0)),"")</f>
        <v/>
      </c>
      <c r="L511" s="25">
        <f>IFERROR(INDEX(Pedidos!$F$2:$F$1801,MATCH(B511,Pedidos!$A$2:$A$1801,0)),"")</f>
        <v/>
      </c>
      <c r="M511" s="26">
        <f>IFERROR(INDEX(Pedidos!$G$2:$G$1801,MATCH(B511,Pedidos!$A$2:$A$1801,0)),0)</f>
        <v/>
      </c>
      <c r="N511" s="25">
        <f>IFERROR(INDEX(Produtos!$B$2:$B$71,MATCH(C511,Produtos!$A$2:$A$71,0)),"")</f>
        <v/>
      </c>
      <c r="O511" s="25">
        <f>IFERROR(INDEX(Produtos!$C$2:$C$71,MATCH(C511,Produtos!$A$2:$A$71,0)),"")</f>
        <v/>
      </c>
      <c r="P511" s="25">
        <f>IFERROR(INDEX(Produtos!$D$2:$D$71,MATCH(C511,Produtos!$A$2:$A$71,0)),0)</f>
        <v/>
      </c>
      <c r="Q511" s="25">
        <f>IFERROR(INDEX(Produtos!$E$2:$E$71,MATCH(C511,Produtos!$A$2:$A$71,0)),0)</f>
        <v/>
      </c>
      <c r="R511" s="27">
        <f>D511*Q511</f>
        <v/>
      </c>
      <c r="S511" s="27">
        <f>R511*E511</f>
        <v/>
      </c>
      <c r="T511" s="27">
        <f>(R511-S511)*M511</f>
        <v/>
      </c>
      <c r="U511" s="27">
        <f>R511-S511-T511</f>
        <v/>
      </c>
      <c r="V511" s="27">
        <f>D511*P511</f>
        <v/>
      </c>
      <c r="W511" s="27">
        <f>U511-V511</f>
        <v/>
      </c>
      <c r="X511" s="28">
        <f>IFERROR(W511/U511,0)</f>
        <v/>
      </c>
    </row>
    <row r="512">
      <c r="A512" s="21">
        <f>ItensPedido!A512</f>
        <v/>
      </c>
      <c r="B512" s="21">
        <f>ItensPedido!B512</f>
        <v/>
      </c>
      <c r="C512" s="21">
        <f>ItensPedido!C512</f>
        <v/>
      </c>
      <c r="D512" s="21">
        <f>ItensPedido!D512</f>
        <v/>
      </c>
      <c r="E512" s="22">
        <f>ItensPedido!E512</f>
        <v/>
      </c>
      <c r="F512" s="21">
        <f>IFERROR(INDEX(Pedidos!$B$2:$B$1801,MATCH(B512,Pedidos!$A$2:$A$1801,0)),0)</f>
        <v/>
      </c>
      <c r="G512" s="21">
        <f>IF(F512=0,"",YEAR(F512))</f>
        <v/>
      </c>
      <c r="H512" s="21">
        <f>IF(F512=0,"",MONTH(F512))</f>
        <v/>
      </c>
      <c r="I512" s="21">
        <f>IFERROR(INDEX(Pedidos!$E$2:$E$1801,MATCH(B512,Pedidos!$A$2:$A$1801,0)),"")</f>
        <v/>
      </c>
      <c r="J512" s="21">
        <f>IFERROR(INDEX(Pedidos!$C$2:$C$1801,MATCH(B512,Pedidos!$A$2:$A$1801,0)),"")</f>
        <v/>
      </c>
      <c r="K512" s="21">
        <f>IFERROR(INDEX(Pedidos!$D$2:$D$1801,MATCH(B512,Pedidos!$A$2:$A$1801,0)),"")</f>
        <v/>
      </c>
      <c r="L512" s="21">
        <f>IFERROR(INDEX(Pedidos!$F$2:$F$1801,MATCH(B512,Pedidos!$A$2:$A$1801,0)),"")</f>
        <v/>
      </c>
      <c r="M512" s="22">
        <f>IFERROR(INDEX(Pedidos!$G$2:$G$1801,MATCH(B512,Pedidos!$A$2:$A$1801,0)),0)</f>
        <v/>
      </c>
      <c r="N512" s="21">
        <f>IFERROR(INDEX(Produtos!$B$2:$B$71,MATCH(C512,Produtos!$A$2:$A$71,0)),"")</f>
        <v/>
      </c>
      <c r="O512" s="21">
        <f>IFERROR(INDEX(Produtos!$C$2:$C$71,MATCH(C512,Produtos!$A$2:$A$71,0)),"")</f>
        <v/>
      </c>
      <c r="P512" s="21">
        <f>IFERROR(INDEX(Produtos!$D$2:$D$71,MATCH(C512,Produtos!$A$2:$A$71,0)),0)</f>
        <v/>
      </c>
      <c r="Q512" s="21">
        <f>IFERROR(INDEX(Produtos!$E$2:$E$71,MATCH(C512,Produtos!$A$2:$A$71,0)),0)</f>
        <v/>
      </c>
      <c r="R512" s="23">
        <f>D512*Q512</f>
        <v/>
      </c>
      <c r="S512" s="23">
        <f>R512*E512</f>
        <v/>
      </c>
      <c r="T512" s="23">
        <f>(R512-S512)*M512</f>
        <v/>
      </c>
      <c r="U512" s="23">
        <f>R512-S512-T512</f>
        <v/>
      </c>
      <c r="V512" s="23">
        <f>D512*P512</f>
        <v/>
      </c>
      <c r="W512" s="23">
        <f>U512-V512</f>
        <v/>
      </c>
      <c r="X512" s="24">
        <f>IFERROR(W512/U512,0)</f>
        <v/>
      </c>
    </row>
    <row r="513">
      <c r="A513" s="25">
        <f>ItensPedido!A513</f>
        <v/>
      </c>
      <c r="B513" s="25">
        <f>ItensPedido!B513</f>
        <v/>
      </c>
      <c r="C513" s="25">
        <f>ItensPedido!C513</f>
        <v/>
      </c>
      <c r="D513" s="25">
        <f>ItensPedido!D513</f>
        <v/>
      </c>
      <c r="E513" s="26">
        <f>ItensPedido!E513</f>
        <v/>
      </c>
      <c r="F513" s="25">
        <f>IFERROR(INDEX(Pedidos!$B$2:$B$1801,MATCH(B513,Pedidos!$A$2:$A$1801,0)),0)</f>
        <v/>
      </c>
      <c r="G513" s="25">
        <f>IF(F513=0,"",YEAR(F513))</f>
        <v/>
      </c>
      <c r="H513" s="25">
        <f>IF(F513=0,"",MONTH(F513))</f>
        <v/>
      </c>
      <c r="I513" s="25">
        <f>IFERROR(INDEX(Pedidos!$E$2:$E$1801,MATCH(B513,Pedidos!$A$2:$A$1801,0)),"")</f>
        <v/>
      </c>
      <c r="J513" s="25">
        <f>IFERROR(INDEX(Pedidos!$C$2:$C$1801,MATCH(B513,Pedidos!$A$2:$A$1801,0)),"")</f>
        <v/>
      </c>
      <c r="K513" s="25">
        <f>IFERROR(INDEX(Pedidos!$D$2:$D$1801,MATCH(B513,Pedidos!$A$2:$A$1801,0)),"")</f>
        <v/>
      </c>
      <c r="L513" s="25">
        <f>IFERROR(INDEX(Pedidos!$F$2:$F$1801,MATCH(B513,Pedidos!$A$2:$A$1801,0)),"")</f>
        <v/>
      </c>
      <c r="M513" s="26">
        <f>IFERROR(INDEX(Pedidos!$G$2:$G$1801,MATCH(B513,Pedidos!$A$2:$A$1801,0)),0)</f>
        <v/>
      </c>
      <c r="N513" s="25">
        <f>IFERROR(INDEX(Produtos!$B$2:$B$71,MATCH(C513,Produtos!$A$2:$A$71,0)),"")</f>
        <v/>
      </c>
      <c r="O513" s="25">
        <f>IFERROR(INDEX(Produtos!$C$2:$C$71,MATCH(C513,Produtos!$A$2:$A$71,0)),"")</f>
        <v/>
      </c>
      <c r="P513" s="25">
        <f>IFERROR(INDEX(Produtos!$D$2:$D$71,MATCH(C513,Produtos!$A$2:$A$71,0)),0)</f>
        <v/>
      </c>
      <c r="Q513" s="25">
        <f>IFERROR(INDEX(Produtos!$E$2:$E$71,MATCH(C513,Produtos!$A$2:$A$71,0)),0)</f>
        <v/>
      </c>
      <c r="R513" s="27">
        <f>D513*Q513</f>
        <v/>
      </c>
      <c r="S513" s="27">
        <f>R513*E513</f>
        <v/>
      </c>
      <c r="T513" s="27">
        <f>(R513-S513)*M513</f>
        <v/>
      </c>
      <c r="U513" s="27">
        <f>R513-S513-T513</f>
        <v/>
      </c>
      <c r="V513" s="27">
        <f>D513*P513</f>
        <v/>
      </c>
      <c r="W513" s="27">
        <f>U513-V513</f>
        <v/>
      </c>
      <c r="X513" s="28">
        <f>IFERROR(W513/U513,0)</f>
        <v/>
      </c>
    </row>
    <row r="514">
      <c r="A514" s="21">
        <f>ItensPedido!A514</f>
        <v/>
      </c>
      <c r="B514" s="21">
        <f>ItensPedido!B514</f>
        <v/>
      </c>
      <c r="C514" s="21">
        <f>ItensPedido!C514</f>
        <v/>
      </c>
      <c r="D514" s="21">
        <f>ItensPedido!D514</f>
        <v/>
      </c>
      <c r="E514" s="22">
        <f>ItensPedido!E514</f>
        <v/>
      </c>
      <c r="F514" s="21">
        <f>IFERROR(INDEX(Pedidos!$B$2:$B$1801,MATCH(B514,Pedidos!$A$2:$A$1801,0)),0)</f>
        <v/>
      </c>
      <c r="G514" s="21">
        <f>IF(F514=0,"",YEAR(F514))</f>
        <v/>
      </c>
      <c r="H514" s="21">
        <f>IF(F514=0,"",MONTH(F514))</f>
        <v/>
      </c>
      <c r="I514" s="21">
        <f>IFERROR(INDEX(Pedidos!$E$2:$E$1801,MATCH(B514,Pedidos!$A$2:$A$1801,0)),"")</f>
        <v/>
      </c>
      <c r="J514" s="21">
        <f>IFERROR(INDEX(Pedidos!$C$2:$C$1801,MATCH(B514,Pedidos!$A$2:$A$1801,0)),"")</f>
        <v/>
      </c>
      <c r="K514" s="21">
        <f>IFERROR(INDEX(Pedidos!$D$2:$D$1801,MATCH(B514,Pedidos!$A$2:$A$1801,0)),"")</f>
        <v/>
      </c>
      <c r="L514" s="21">
        <f>IFERROR(INDEX(Pedidos!$F$2:$F$1801,MATCH(B514,Pedidos!$A$2:$A$1801,0)),"")</f>
        <v/>
      </c>
      <c r="M514" s="22">
        <f>IFERROR(INDEX(Pedidos!$G$2:$G$1801,MATCH(B514,Pedidos!$A$2:$A$1801,0)),0)</f>
        <v/>
      </c>
      <c r="N514" s="21">
        <f>IFERROR(INDEX(Produtos!$B$2:$B$71,MATCH(C514,Produtos!$A$2:$A$71,0)),"")</f>
        <v/>
      </c>
      <c r="O514" s="21">
        <f>IFERROR(INDEX(Produtos!$C$2:$C$71,MATCH(C514,Produtos!$A$2:$A$71,0)),"")</f>
        <v/>
      </c>
      <c r="P514" s="21">
        <f>IFERROR(INDEX(Produtos!$D$2:$D$71,MATCH(C514,Produtos!$A$2:$A$71,0)),0)</f>
        <v/>
      </c>
      <c r="Q514" s="21">
        <f>IFERROR(INDEX(Produtos!$E$2:$E$71,MATCH(C514,Produtos!$A$2:$A$71,0)),0)</f>
        <v/>
      </c>
      <c r="R514" s="23">
        <f>D514*Q514</f>
        <v/>
      </c>
      <c r="S514" s="23">
        <f>R514*E514</f>
        <v/>
      </c>
      <c r="T514" s="23">
        <f>(R514-S514)*M514</f>
        <v/>
      </c>
      <c r="U514" s="23">
        <f>R514-S514-T514</f>
        <v/>
      </c>
      <c r="V514" s="23">
        <f>D514*P514</f>
        <v/>
      </c>
      <c r="W514" s="23">
        <f>U514-V514</f>
        <v/>
      </c>
      <c r="X514" s="24">
        <f>IFERROR(W514/U514,0)</f>
        <v/>
      </c>
    </row>
    <row r="515">
      <c r="A515" s="25">
        <f>ItensPedido!A515</f>
        <v/>
      </c>
      <c r="B515" s="25">
        <f>ItensPedido!B515</f>
        <v/>
      </c>
      <c r="C515" s="25">
        <f>ItensPedido!C515</f>
        <v/>
      </c>
      <c r="D515" s="25">
        <f>ItensPedido!D515</f>
        <v/>
      </c>
      <c r="E515" s="26">
        <f>ItensPedido!E515</f>
        <v/>
      </c>
      <c r="F515" s="25">
        <f>IFERROR(INDEX(Pedidos!$B$2:$B$1801,MATCH(B515,Pedidos!$A$2:$A$1801,0)),0)</f>
        <v/>
      </c>
      <c r="G515" s="25">
        <f>IF(F515=0,"",YEAR(F515))</f>
        <v/>
      </c>
      <c r="H515" s="25">
        <f>IF(F515=0,"",MONTH(F515))</f>
        <v/>
      </c>
      <c r="I515" s="25">
        <f>IFERROR(INDEX(Pedidos!$E$2:$E$1801,MATCH(B515,Pedidos!$A$2:$A$1801,0)),"")</f>
        <v/>
      </c>
      <c r="J515" s="25">
        <f>IFERROR(INDEX(Pedidos!$C$2:$C$1801,MATCH(B515,Pedidos!$A$2:$A$1801,0)),"")</f>
        <v/>
      </c>
      <c r="K515" s="25">
        <f>IFERROR(INDEX(Pedidos!$D$2:$D$1801,MATCH(B515,Pedidos!$A$2:$A$1801,0)),"")</f>
        <v/>
      </c>
      <c r="L515" s="25">
        <f>IFERROR(INDEX(Pedidos!$F$2:$F$1801,MATCH(B515,Pedidos!$A$2:$A$1801,0)),"")</f>
        <v/>
      </c>
      <c r="M515" s="26">
        <f>IFERROR(INDEX(Pedidos!$G$2:$G$1801,MATCH(B515,Pedidos!$A$2:$A$1801,0)),0)</f>
        <v/>
      </c>
      <c r="N515" s="25">
        <f>IFERROR(INDEX(Produtos!$B$2:$B$71,MATCH(C515,Produtos!$A$2:$A$71,0)),"")</f>
        <v/>
      </c>
      <c r="O515" s="25">
        <f>IFERROR(INDEX(Produtos!$C$2:$C$71,MATCH(C515,Produtos!$A$2:$A$71,0)),"")</f>
        <v/>
      </c>
      <c r="P515" s="25">
        <f>IFERROR(INDEX(Produtos!$D$2:$D$71,MATCH(C515,Produtos!$A$2:$A$71,0)),0)</f>
        <v/>
      </c>
      <c r="Q515" s="25">
        <f>IFERROR(INDEX(Produtos!$E$2:$E$71,MATCH(C515,Produtos!$A$2:$A$71,0)),0)</f>
        <v/>
      </c>
      <c r="R515" s="27">
        <f>D515*Q515</f>
        <v/>
      </c>
      <c r="S515" s="27">
        <f>R515*E515</f>
        <v/>
      </c>
      <c r="T515" s="27">
        <f>(R515-S515)*M515</f>
        <v/>
      </c>
      <c r="U515" s="27">
        <f>R515-S515-T515</f>
        <v/>
      </c>
      <c r="V515" s="27">
        <f>D515*P515</f>
        <v/>
      </c>
      <c r="W515" s="27">
        <f>U515-V515</f>
        <v/>
      </c>
      <c r="X515" s="28">
        <f>IFERROR(W515/U515,0)</f>
        <v/>
      </c>
    </row>
    <row r="516">
      <c r="A516" s="21">
        <f>ItensPedido!A516</f>
        <v/>
      </c>
      <c r="B516" s="21">
        <f>ItensPedido!B516</f>
        <v/>
      </c>
      <c r="C516" s="21">
        <f>ItensPedido!C516</f>
        <v/>
      </c>
      <c r="D516" s="21">
        <f>ItensPedido!D516</f>
        <v/>
      </c>
      <c r="E516" s="22">
        <f>ItensPedido!E516</f>
        <v/>
      </c>
      <c r="F516" s="21">
        <f>IFERROR(INDEX(Pedidos!$B$2:$B$1801,MATCH(B516,Pedidos!$A$2:$A$1801,0)),0)</f>
        <v/>
      </c>
      <c r="G516" s="21">
        <f>IF(F516=0,"",YEAR(F516))</f>
        <v/>
      </c>
      <c r="H516" s="21">
        <f>IF(F516=0,"",MONTH(F516))</f>
        <v/>
      </c>
      <c r="I516" s="21">
        <f>IFERROR(INDEX(Pedidos!$E$2:$E$1801,MATCH(B516,Pedidos!$A$2:$A$1801,0)),"")</f>
        <v/>
      </c>
      <c r="J516" s="21">
        <f>IFERROR(INDEX(Pedidos!$C$2:$C$1801,MATCH(B516,Pedidos!$A$2:$A$1801,0)),"")</f>
        <v/>
      </c>
      <c r="K516" s="21">
        <f>IFERROR(INDEX(Pedidos!$D$2:$D$1801,MATCH(B516,Pedidos!$A$2:$A$1801,0)),"")</f>
        <v/>
      </c>
      <c r="L516" s="21">
        <f>IFERROR(INDEX(Pedidos!$F$2:$F$1801,MATCH(B516,Pedidos!$A$2:$A$1801,0)),"")</f>
        <v/>
      </c>
      <c r="M516" s="22">
        <f>IFERROR(INDEX(Pedidos!$G$2:$G$1801,MATCH(B516,Pedidos!$A$2:$A$1801,0)),0)</f>
        <v/>
      </c>
      <c r="N516" s="21">
        <f>IFERROR(INDEX(Produtos!$B$2:$B$71,MATCH(C516,Produtos!$A$2:$A$71,0)),"")</f>
        <v/>
      </c>
      <c r="O516" s="21">
        <f>IFERROR(INDEX(Produtos!$C$2:$C$71,MATCH(C516,Produtos!$A$2:$A$71,0)),"")</f>
        <v/>
      </c>
      <c r="P516" s="21">
        <f>IFERROR(INDEX(Produtos!$D$2:$D$71,MATCH(C516,Produtos!$A$2:$A$71,0)),0)</f>
        <v/>
      </c>
      <c r="Q516" s="21">
        <f>IFERROR(INDEX(Produtos!$E$2:$E$71,MATCH(C516,Produtos!$A$2:$A$71,0)),0)</f>
        <v/>
      </c>
      <c r="R516" s="23">
        <f>D516*Q516</f>
        <v/>
      </c>
      <c r="S516" s="23">
        <f>R516*E516</f>
        <v/>
      </c>
      <c r="T516" s="23">
        <f>(R516-S516)*M516</f>
        <v/>
      </c>
      <c r="U516" s="23">
        <f>R516-S516-T516</f>
        <v/>
      </c>
      <c r="V516" s="23">
        <f>D516*P516</f>
        <v/>
      </c>
      <c r="W516" s="23">
        <f>U516-V516</f>
        <v/>
      </c>
      <c r="X516" s="24">
        <f>IFERROR(W516/U516,0)</f>
        <v/>
      </c>
    </row>
    <row r="517">
      <c r="A517" s="25">
        <f>ItensPedido!A517</f>
        <v/>
      </c>
      <c r="B517" s="25">
        <f>ItensPedido!B517</f>
        <v/>
      </c>
      <c r="C517" s="25">
        <f>ItensPedido!C517</f>
        <v/>
      </c>
      <c r="D517" s="25">
        <f>ItensPedido!D517</f>
        <v/>
      </c>
      <c r="E517" s="26">
        <f>ItensPedido!E517</f>
        <v/>
      </c>
      <c r="F517" s="25">
        <f>IFERROR(INDEX(Pedidos!$B$2:$B$1801,MATCH(B517,Pedidos!$A$2:$A$1801,0)),0)</f>
        <v/>
      </c>
      <c r="G517" s="25">
        <f>IF(F517=0,"",YEAR(F517))</f>
        <v/>
      </c>
      <c r="H517" s="25">
        <f>IF(F517=0,"",MONTH(F517))</f>
        <v/>
      </c>
      <c r="I517" s="25">
        <f>IFERROR(INDEX(Pedidos!$E$2:$E$1801,MATCH(B517,Pedidos!$A$2:$A$1801,0)),"")</f>
        <v/>
      </c>
      <c r="J517" s="25">
        <f>IFERROR(INDEX(Pedidos!$C$2:$C$1801,MATCH(B517,Pedidos!$A$2:$A$1801,0)),"")</f>
        <v/>
      </c>
      <c r="K517" s="25">
        <f>IFERROR(INDEX(Pedidos!$D$2:$D$1801,MATCH(B517,Pedidos!$A$2:$A$1801,0)),"")</f>
        <v/>
      </c>
      <c r="L517" s="25">
        <f>IFERROR(INDEX(Pedidos!$F$2:$F$1801,MATCH(B517,Pedidos!$A$2:$A$1801,0)),"")</f>
        <v/>
      </c>
      <c r="M517" s="26">
        <f>IFERROR(INDEX(Pedidos!$G$2:$G$1801,MATCH(B517,Pedidos!$A$2:$A$1801,0)),0)</f>
        <v/>
      </c>
      <c r="N517" s="25">
        <f>IFERROR(INDEX(Produtos!$B$2:$B$71,MATCH(C517,Produtos!$A$2:$A$71,0)),"")</f>
        <v/>
      </c>
      <c r="O517" s="25">
        <f>IFERROR(INDEX(Produtos!$C$2:$C$71,MATCH(C517,Produtos!$A$2:$A$71,0)),"")</f>
        <v/>
      </c>
      <c r="P517" s="25">
        <f>IFERROR(INDEX(Produtos!$D$2:$D$71,MATCH(C517,Produtos!$A$2:$A$71,0)),0)</f>
        <v/>
      </c>
      <c r="Q517" s="25">
        <f>IFERROR(INDEX(Produtos!$E$2:$E$71,MATCH(C517,Produtos!$A$2:$A$71,0)),0)</f>
        <v/>
      </c>
      <c r="R517" s="27">
        <f>D517*Q517</f>
        <v/>
      </c>
      <c r="S517" s="27">
        <f>R517*E517</f>
        <v/>
      </c>
      <c r="T517" s="27">
        <f>(R517-S517)*M517</f>
        <v/>
      </c>
      <c r="U517" s="27">
        <f>R517-S517-T517</f>
        <v/>
      </c>
      <c r="V517" s="27">
        <f>D517*P517</f>
        <v/>
      </c>
      <c r="W517" s="27">
        <f>U517-V517</f>
        <v/>
      </c>
      <c r="X517" s="28">
        <f>IFERROR(W517/U517,0)</f>
        <v/>
      </c>
    </row>
    <row r="518">
      <c r="A518" s="21">
        <f>ItensPedido!A518</f>
        <v/>
      </c>
      <c r="B518" s="21">
        <f>ItensPedido!B518</f>
        <v/>
      </c>
      <c r="C518" s="21">
        <f>ItensPedido!C518</f>
        <v/>
      </c>
      <c r="D518" s="21">
        <f>ItensPedido!D518</f>
        <v/>
      </c>
      <c r="E518" s="22">
        <f>ItensPedido!E518</f>
        <v/>
      </c>
      <c r="F518" s="21">
        <f>IFERROR(INDEX(Pedidos!$B$2:$B$1801,MATCH(B518,Pedidos!$A$2:$A$1801,0)),0)</f>
        <v/>
      </c>
      <c r="G518" s="21">
        <f>IF(F518=0,"",YEAR(F518))</f>
        <v/>
      </c>
      <c r="H518" s="21">
        <f>IF(F518=0,"",MONTH(F518))</f>
        <v/>
      </c>
      <c r="I518" s="21">
        <f>IFERROR(INDEX(Pedidos!$E$2:$E$1801,MATCH(B518,Pedidos!$A$2:$A$1801,0)),"")</f>
        <v/>
      </c>
      <c r="J518" s="21">
        <f>IFERROR(INDEX(Pedidos!$C$2:$C$1801,MATCH(B518,Pedidos!$A$2:$A$1801,0)),"")</f>
        <v/>
      </c>
      <c r="K518" s="21">
        <f>IFERROR(INDEX(Pedidos!$D$2:$D$1801,MATCH(B518,Pedidos!$A$2:$A$1801,0)),"")</f>
        <v/>
      </c>
      <c r="L518" s="21">
        <f>IFERROR(INDEX(Pedidos!$F$2:$F$1801,MATCH(B518,Pedidos!$A$2:$A$1801,0)),"")</f>
        <v/>
      </c>
      <c r="M518" s="22">
        <f>IFERROR(INDEX(Pedidos!$G$2:$G$1801,MATCH(B518,Pedidos!$A$2:$A$1801,0)),0)</f>
        <v/>
      </c>
      <c r="N518" s="21">
        <f>IFERROR(INDEX(Produtos!$B$2:$B$71,MATCH(C518,Produtos!$A$2:$A$71,0)),"")</f>
        <v/>
      </c>
      <c r="O518" s="21">
        <f>IFERROR(INDEX(Produtos!$C$2:$C$71,MATCH(C518,Produtos!$A$2:$A$71,0)),"")</f>
        <v/>
      </c>
      <c r="P518" s="21">
        <f>IFERROR(INDEX(Produtos!$D$2:$D$71,MATCH(C518,Produtos!$A$2:$A$71,0)),0)</f>
        <v/>
      </c>
      <c r="Q518" s="21">
        <f>IFERROR(INDEX(Produtos!$E$2:$E$71,MATCH(C518,Produtos!$A$2:$A$71,0)),0)</f>
        <v/>
      </c>
      <c r="R518" s="23">
        <f>D518*Q518</f>
        <v/>
      </c>
      <c r="S518" s="23">
        <f>R518*E518</f>
        <v/>
      </c>
      <c r="T518" s="23">
        <f>(R518-S518)*M518</f>
        <v/>
      </c>
      <c r="U518" s="23">
        <f>R518-S518-T518</f>
        <v/>
      </c>
      <c r="V518" s="23">
        <f>D518*P518</f>
        <v/>
      </c>
      <c r="W518" s="23">
        <f>U518-V518</f>
        <v/>
      </c>
      <c r="X518" s="24">
        <f>IFERROR(W518/U518,0)</f>
        <v/>
      </c>
    </row>
    <row r="519">
      <c r="A519" s="25">
        <f>ItensPedido!A519</f>
        <v/>
      </c>
      <c r="B519" s="25">
        <f>ItensPedido!B519</f>
        <v/>
      </c>
      <c r="C519" s="25">
        <f>ItensPedido!C519</f>
        <v/>
      </c>
      <c r="D519" s="25">
        <f>ItensPedido!D519</f>
        <v/>
      </c>
      <c r="E519" s="26">
        <f>ItensPedido!E519</f>
        <v/>
      </c>
      <c r="F519" s="25">
        <f>IFERROR(INDEX(Pedidos!$B$2:$B$1801,MATCH(B519,Pedidos!$A$2:$A$1801,0)),0)</f>
        <v/>
      </c>
      <c r="G519" s="25">
        <f>IF(F519=0,"",YEAR(F519))</f>
        <v/>
      </c>
      <c r="H519" s="25">
        <f>IF(F519=0,"",MONTH(F519))</f>
        <v/>
      </c>
      <c r="I519" s="25">
        <f>IFERROR(INDEX(Pedidos!$E$2:$E$1801,MATCH(B519,Pedidos!$A$2:$A$1801,0)),"")</f>
        <v/>
      </c>
      <c r="J519" s="25">
        <f>IFERROR(INDEX(Pedidos!$C$2:$C$1801,MATCH(B519,Pedidos!$A$2:$A$1801,0)),"")</f>
        <v/>
      </c>
      <c r="K519" s="25">
        <f>IFERROR(INDEX(Pedidos!$D$2:$D$1801,MATCH(B519,Pedidos!$A$2:$A$1801,0)),"")</f>
        <v/>
      </c>
      <c r="L519" s="25">
        <f>IFERROR(INDEX(Pedidos!$F$2:$F$1801,MATCH(B519,Pedidos!$A$2:$A$1801,0)),"")</f>
        <v/>
      </c>
      <c r="M519" s="26">
        <f>IFERROR(INDEX(Pedidos!$G$2:$G$1801,MATCH(B519,Pedidos!$A$2:$A$1801,0)),0)</f>
        <v/>
      </c>
      <c r="N519" s="25">
        <f>IFERROR(INDEX(Produtos!$B$2:$B$71,MATCH(C519,Produtos!$A$2:$A$71,0)),"")</f>
        <v/>
      </c>
      <c r="O519" s="25">
        <f>IFERROR(INDEX(Produtos!$C$2:$C$71,MATCH(C519,Produtos!$A$2:$A$71,0)),"")</f>
        <v/>
      </c>
      <c r="P519" s="25">
        <f>IFERROR(INDEX(Produtos!$D$2:$D$71,MATCH(C519,Produtos!$A$2:$A$71,0)),0)</f>
        <v/>
      </c>
      <c r="Q519" s="25">
        <f>IFERROR(INDEX(Produtos!$E$2:$E$71,MATCH(C519,Produtos!$A$2:$A$71,0)),0)</f>
        <v/>
      </c>
      <c r="R519" s="27">
        <f>D519*Q519</f>
        <v/>
      </c>
      <c r="S519" s="27">
        <f>R519*E519</f>
        <v/>
      </c>
      <c r="T519" s="27">
        <f>(R519-S519)*M519</f>
        <v/>
      </c>
      <c r="U519" s="27">
        <f>R519-S519-T519</f>
        <v/>
      </c>
      <c r="V519" s="27">
        <f>D519*P519</f>
        <v/>
      </c>
      <c r="W519" s="27">
        <f>U519-V519</f>
        <v/>
      </c>
      <c r="X519" s="28">
        <f>IFERROR(W519/U519,0)</f>
        <v/>
      </c>
    </row>
    <row r="520">
      <c r="A520" s="21">
        <f>ItensPedido!A520</f>
        <v/>
      </c>
      <c r="B520" s="21">
        <f>ItensPedido!B520</f>
        <v/>
      </c>
      <c r="C520" s="21">
        <f>ItensPedido!C520</f>
        <v/>
      </c>
      <c r="D520" s="21">
        <f>ItensPedido!D520</f>
        <v/>
      </c>
      <c r="E520" s="22">
        <f>ItensPedido!E520</f>
        <v/>
      </c>
      <c r="F520" s="21">
        <f>IFERROR(INDEX(Pedidos!$B$2:$B$1801,MATCH(B520,Pedidos!$A$2:$A$1801,0)),0)</f>
        <v/>
      </c>
      <c r="G520" s="21">
        <f>IF(F520=0,"",YEAR(F520))</f>
        <v/>
      </c>
      <c r="H520" s="21">
        <f>IF(F520=0,"",MONTH(F520))</f>
        <v/>
      </c>
      <c r="I520" s="21">
        <f>IFERROR(INDEX(Pedidos!$E$2:$E$1801,MATCH(B520,Pedidos!$A$2:$A$1801,0)),"")</f>
        <v/>
      </c>
      <c r="J520" s="21">
        <f>IFERROR(INDEX(Pedidos!$C$2:$C$1801,MATCH(B520,Pedidos!$A$2:$A$1801,0)),"")</f>
        <v/>
      </c>
      <c r="K520" s="21">
        <f>IFERROR(INDEX(Pedidos!$D$2:$D$1801,MATCH(B520,Pedidos!$A$2:$A$1801,0)),"")</f>
        <v/>
      </c>
      <c r="L520" s="21">
        <f>IFERROR(INDEX(Pedidos!$F$2:$F$1801,MATCH(B520,Pedidos!$A$2:$A$1801,0)),"")</f>
        <v/>
      </c>
      <c r="M520" s="22">
        <f>IFERROR(INDEX(Pedidos!$G$2:$G$1801,MATCH(B520,Pedidos!$A$2:$A$1801,0)),0)</f>
        <v/>
      </c>
      <c r="N520" s="21">
        <f>IFERROR(INDEX(Produtos!$B$2:$B$71,MATCH(C520,Produtos!$A$2:$A$71,0)),"")</f>
        <v/>
      </c>
      <c r="O520" s="21">
        <f>IFERROR(INDEX(Produtos!$C$2:$C$71,MATCH(C520,Produtos!$A$2:$A$71,0)),"")</f>
        <v/>
      </c>
      <c r="P520" s="21">
        <f>IFERROR(INDEX(Produtos!$D$2:$D$71,MATCH(C520,Produtos!$A$2:$A$71,0)),0)</f>
        <v/>
      </c>
      <c r="Q520" s="21">
        <f>IFERROR(INDEX(Produtos!$E$2:$E$71,MATCH(C520,Produtos!$A$2:$A$71,0)),0)</f>
        <v/>
      </c>
      <c r="R520" s="23">
        <f>D520*Q520</f>
        <v/>
      </c>
      <c r="S520" s="23">
        <f>R520*E520</f>
        <v/>
      </c>
      <c r="T520" s="23">
        <f>(R520-S520)*M520</f>
        <v/>
      </c>
      <c r="U520" s="23">
        <f>R520-S520-T520</f>
        <v/>
      </c>
      <c r="V520" s="23">
        <f>D520*P520</f>
        <v/>
      </c>
      <c r="W520" s="23">
        <f>U520-V520</f>
        <v/>
      </c>
      <c r="X520" s="24">
        <f>IFERROR(W520/U520,0)</f>
        <v/>
      </c>
    </row>
    <row r="521">
      <c r="A521" s="25">
        <f>ItensPedido!A521</f>
        <v/>
      </c>
      <c r="B521" s="25">
        <f>ItensPedido!B521</f>
        <v/>
      </c>
      <c r="C521" s="25">
        <f>ItensPedido!C521</f>
        <v/>
      </c>
      <c r="D521" s="25">
        <f>ItensPedido!D521</f>
        <v/>
      </c>
      <c r="E521" s="26">
        <f>ItensPedido!E521</f>
        <v/>
      </c>
      <c r="F521" s="25">
        <f>IFERROR(INDEX(Pedidos!$B$2:$B$1801,MATCH(B521,Pedidos!$A$2:$A$1801,0)),0)</f>
        <v/>
      </c>
      <c r="G521" s="25">
        <f>IF(F521=0,"",YEAR(F521))</f>
        <v/>
      </c>
      <c r="H521" s="25">
        <f>IF(F521=0,"",MONTH(F521))</f>
        <v/>
      </c>
      <c r="I521" s="25">
        <f>IFERROR(INDEX(Pedidos!$E$2:$E$1801,MATCH(B521,Pedidos!$A$2:$A$1801,0)),"")</f>
        <v/>
      </c>
      <c r="J521" s="25">
        <f>IFERROR(INDEX(Pedidos!$C$2:$C$1801,MATCH(B521,Pedidos!$A$2:$A$1801,0)),"")</f>
        <v/>
      </c>
      <c r="K521" s="25">
        <f>IFERROR(INDEX(Pedidos!$D$2:$D$1801,MATCH(B521,Pedidos!$A$2:$A$1801,0)),"")</f>
        <v/>
      </c>
      <c r="L521" s="25">
        <f>IFERROR(INDEX(Pedidos!$F$2:$F$1801,MATCH(B521,Pedidos!$A$2:$A$1801,0)),"")</f>
        <v/>
      </c>
      <c r="M521" s="26">
        <f>IFERROR(INDEX(Pedidos!$G$2:$G$1801,MATCH(B521,Pedidos!$A$2:$A$1801,0)),0)</f>
        <v/>
      </c>
      <c r="N521" s="25">
        <f>IFERROR(INDEX(Produtos!$B$2:$B$71,MATCH(C521,Produtos!$A$2:$A$71,0)),"")</f>
        <v/>
      </c>
      <c r="O521" s="25">
        <f>IFERROR(INDEX(Produtos!$C$2:$C$71,MATCH(C521,Produtos!$A$2:$A$71,0)),"")</f>
        <v/>
      </c>
      <c r="P521" s="25">
        <f>IFERROR(INDEX(Produtos!$D$2:$D$71,MATCH(C521,Produtos!$A$2:$A$71,0)),0)</f>
        <v/>
      </c>
      <c r="Q521" s="25">
        <f>IFERROR(INDEX(Produtos!$E$2:$E$71,MATCH(C521,Produtos!$A$2:$A$71,0)),0)</f>
        <v/>
      </c>
      <c r="R521" s="27">
        <f>D521*Q521</f>
        <v/>
      </c>
      <c r="S521" s="27">
        <f>R521*E521</f>
        <v/>
      </c>
      <c r="T521" s="27">
        <f>(R521-S521)*M521</f>
        <v/>
      </c>
      <c r="U521" s="27">
        <f>R521-S521-T521</f>
        <v/>
      </c>
      <c r="V521" s="27">
        <f>D521*P521</f>
        <v/>
      </c>
      <c r="W521" s="27">
        <f>U521-V521</f>
        <v/>
      </c>
      <c r="X521" s="28">
        <f>IFERROR(W521/U521,0)</f>
        <v/>
      </c>
    </row>
    <row r="522">
      <c r="A522" s="21">
        <f>ItensPedido!A522</f>
        <v/>
      </c>
      <c r="B522" s="21">
        <f>ItensPedido!B522</f>
        <v/>
      </c>
      <c r="C522" s="21">
        <f>ItensPedido!C522</f>
        <v/>
      </c>
      <c r="D522" s="21">
        <f>ItensPedido!D522</f>
        <v/>
      </c>
      <c r="E522" s="22">
        <f>ItensPedido!E522</f>
        <v/>
      </c>
      <c r="F522" s="21">
        <f>IFERROR(INDEX(Pedidos!$B$2:$B$1801,MATCH(B522,Pedidos!$A$2:$A$1801,0)),0)</f>
        <v/>
      </c>
      <c r="G522" s="21">
        <f>IF(F522=0,"",YEAR(F522))</f>
        <v/>
      </c>
      <c r="H522" s="21">
        <f>IF(F522=0,"",MONTH(F522))</f>
        <v/>
      </c>
      <c r="I522" s="21">
        <f>IFERROR(INDEX(Pedidos!$E$2:$E$1801,MATCH(B522,Pedidos!$A$2:$A$1801,0)),"")</f>
        <v/>
      </c>
      <c r="J522" s="21">
        <f>IFERROR(INDEX(Pedidos!$C$2:$C$1801,MATCH(B522,Pedidos!$A$2:$A$1801,0)),"")</f>
        <v/>
      </c>
      <c r="K522" s="21">
        <f>IFERROR(INDEX(Pedidos!$D$2:$D$1801,MATCH(B522,Pedidos!$A$2:$A$1801,0)),"")</f>
        <v/>
      </c>
      <c r="L522" s="21">
        <f>IFERROR(INDEX(Pedidos!$F$2:$F$1801,MATCH(B522,Pedidos!$A$2:$A$1801,0)),"")</f>
        <v/>
      </c>
      <c r="M522" s="22">
        <f>IFERROR(INDEX(Pedidos!$G$2:$G$1801,MATCH(B522,Pedidos!$A$2:$A$1801,0)),0)</f>
        <v/>
      </c>
      <c r="N522" s="21">
        <f>IFERROR(INDEX(Produtos!$B$2:$B$71,MATCH(C522,Produtos!$A$2:$A$71,0)),"")</f>
        <v/>
      </c>
      <c r="O522" s="21">
        <f>IFERROR(INDEX(Produtos!$C$2:$C$71,MATCH(C522,Produtos!$A$2:$A$71,0)),"")</f>
        <v/>
      </c>
      <c r="P522" s="21">
        <f>IFERROR(INDEX(Produtos!$D$2:$D$71,MATCH(C522,Produtos!$A$2:$A$71,0)),0)</f>
        <v/>
      </c>
      <c r="Q522" s="21">
        <f>IFERROR(INDEX(Produtos!$E$2:$E$71,MATCH(C522,Produtos!$A$2:$A$71,0)),0)</f>
        <v/>
      </c>
      <c r="R522" s="23">
        <f>D522*Q522</f>
        <v/>
      </c>
      <c r="S522" s="23">
        <f>R522*E522</f>
        <v/>
      </c>
      <c r="T522" s="23">
        <f>(R522-S522)*M522</f>
        <v/>
      </c>
      <c r="U522" s="23">
        <f>R522-S522-T522</f>
        <v/>
      </c>
      <c r="V522" s="23">
        <f>D522*P522</f>
        <v/>
      </c>
      <c r="W522" s="23">
        <f>U522-V522</f>
        <v/>
      </c>
      <c r="X522" s="24">
        <f>IFERROR(W522/U522,0)</f>
        <v/>
      </c>
    </row>
    <row r="523">
      <c r="A523" s="25">
        <f>ItensPedido!A523</f>
        <v/>
      </c>
      <c r="B523" s="25">
        <f>ItensPedido!B523</f>
        <v/>
      </c>
      <c r="C523" s="25">
        <f>ItensPedido!C523</f>
        <v/>
      </c>
      <c r="D523" s="25">
        <f>ItensPedido!D523</f>
        <v/>
      </c>
      <c r="E523" s="26">
        <f>ItensPedido!E523</f>
        <v/>
      </c>
      <c r="F523" s="25">
        <f>IFERROR(INDEX(Pedidos!$B$2:$B$1801,MATCH(B523,Pedidos!$A$2:$A$1801,0)),0)</f>
        <v/>
      </c>
      <c r="G523" s="25">
        <f>IF(F523=0,"",YEAR(F523))</f>
        <v/>
      </c>
      <c r="H523" s="25">
        <f>IF(F523=0,"",MONTH(F523))</f>
        <v/>
      </c>
      <c r="I523" s="25">
        <f>IFERROR(INDEX(Pedidos!$E$2:$E$1801,MATCH(B523,Pedidos!$A$2:$A$1801,0)),"")</f>
        <v/>
      </c>
      <c r="J523" s="25">
        <f>IFERROR(INDEX(Pedidos!$C$2:$C$1801,MATCH(B523,Pedidos!$A$2:$A$1801,0)),"")</f>
        <v/>
      </c>
      <c r="K523" s="25">
        <f>IFERROR(INDEX(Pedidos!$D$2:$D$1801,MATCH(B523,Pedidos!$A$2:$A$1801,0)),"")</f>
        <v/>
      </c>
      <c r="L523" s="25">
        <f>IFERROR(INDEX(Pedidos!$F$2:$F$1801,MATCH(B523,Pedidos!$A$2:$A$1801,0)),"")</f>
        <v/>
      </c>
      <c r="M523" s="26">
        <f>IFERROR(INDEX(Pedidos!$G$2:$G$1801,MATCH(B523,Pedidos!$A$2:$A$1801,0)),0)</f>
        <v/>
      </c>
      <c r="N523" s="25">
        <f>IFERROR(INDEX(Produtos!$B$2:$B$71,MATCH(C523,Produtos!$A$2:$A$71,0)),"")</f>
        <v/>
      </c>
      <c r="O523" s="25">
        <f>IFERROR(INDEX(Produtos!$C$2:$C$71,MATCH(C523,Produtos!$A$2:$A$71,0)),"")</f>
        <v/>
      </c>
      <c r="P523" s="25">
        <f>IFERROR(INDEX(Produtos!$D$2:$D$71,MATCH(C523,Produtos!$A$2:$A$71,0)),0)</f>
        <v/>
      </c>
      <c r="Q523" s="25">
        <f>IFERROR(INDEX(Produtos!$E$2:$E$71,MATCH(C523,Produtos!$A$2:$A$71,0)),0)</f>
        <v/>
      </c>
      <c r="R523" s="27">
        <f>D523*Q523</f>
        <v/>
      </c>
      <c r="S523" s="27">
        <f>R523*E523</f>
        <v/>
      </c>
      <c r="T523" s="27">
        <f>(R523-S523)*M523</f>
        <v/>
      </c>
      <c r="U523" s="27">
        <f>R523-S523-T523</f>
        <v/>
      </c>
      <c r="V523" s="27">
        <f>D523*P523</f>
        <v/>
      </c>
      <c r="W523" s="27">
        <f>U523-V523</f>
        <v/>
      </c>
      <c r="X523" s="28">
        <f>IFERROR(W523/U523,0)</f>
        <v/>
      </c>
    </row>
    <row r="524">
      <c r="A524" s="21">
        <f>ItensPedido!A524</f>
        <v/>
      </c>
      <c r="B524" s="21">
        <f>ItensPedido!B524</f>
        <v/>
      </c>
      <c r="C524" s="21">
        <f>ItensPedido!C524</f>
        <v/>
      </c>
      <c r="D524" s="21">
        <f>ItensPedido!D524</f>
        <v/>
      </c>
      <c r="E524" s="22">
        <f>ItensPedido!E524</f>
        <v/>
      </c>
      <c r="F524" s="21">
        <f>IFERROR(INDEX(Pedidos!$B$2:$B$1801,MATCH(B524,Pedidos!$A$2:$A$1801,0)),0)</f>
        <v/>
      </c>
      <c r="G524" s="21">
        <f>IF(F524=0,"",YEAR(F524))</f>
        <v/>
      </c>
      <c r="H524" s="21">
        <f>IF(F524=0,"",MONTH(F524))</f>
        <v/>
      </c>
      <c r="I524" s="21">
        <f>IFERROR(INDEX(Pedidos!$E$2:$E$1801,MATCH(B524,Pedidos!$A$2:$A$1801,0)),"")</f>
        <v/>
      </c>
      <c r="J524" s="21">
        <f>IFERROR(INDEX(Pedidos!$C$2:$C$1801,MATCH(B524,Pedidos!$A$2:$A$1801,0)),"")</f>
        <v/>
      </c>
      <c r="K524" s="21">
        <f>IFERROR(INDEX(Pedidos!$D$2:$D$1801,MATCH(B524,Pedidos!$A$2:$A$1801,0)),"")</f>
        <v/>
      </c>
      <c r="L524" s="21">
        <f>IFERROR(INDEX(Pedidos!$F$2:$F$1801,MATCH(B524,Pedidos!$A$2:$A$1801,0)),"")</f>
        <v/>
      </c>
      <c r="M524" s="22">
        <f>IFERROR(INDEX(Pedidos!$G$2:$G$1801,MATCH(B524,Pedidos!$A$2:$A$1801,0)),0)</f>
        <v/>
      </c>
      <c r="N524" s="21">
        <f>IFERROR(INDEX(Produtos!$B$2:$B$71,MATCH(C524,Produtos!$A$2:$A$71,0)),"")</f>
        <v/>
      </c>
      <c r="O524" s="21">
        <f>IFERROR(INDEX(Produtos!$C$2:$C$71,MATCH(C524,Produtos!$A$2:$A$71,0)),"")</f>
        <v/>
      </c>
      <c r="P524" s="21">
        <f>IFERROR(INDEX(Produtos!$D$2:$D$71,MATCH(C524,Produtos!$A$2:$A$71,0)),0)</f>
        <v/>
      </c>
      <c r="Q524" s="21">
        <f>IFERROR(INDEX(Produtos!$E$2:$E$71,MATCH(C524,Produtos!$A$2:$A$71,0)),0)</f>
        <v/>
      </c>
      <c r="R524" s="23">
        <f>D524*Q524</f>
        <v/>
      </c>
      <c r="S524" s="23">
        <f>R524*E524</f>
        <v/>
      </c>
      <c r="T524" s="23">
        <f>(R524-S524)*M524</f>
        <v/>
      </c>
      <c r="U524" s="23">
        <f>R524-S524-T524</f>
        <v/>
      </c>
      <c r="V524" s="23">
        <f>D524*P524</f>
        <v/>
      </c>
      <c r="W524" s="23">
        <f>U524-V524</f>
        <v/>
      </c>
      <c r="X524" s="24">
        <f>IFERROR(W524/U524,0)</f>
        <v/>
      </c>
    </row>
    <row r="525">
      <c r="A525" s="25">
        <f>ItensPedido!A525</f>
        <v/>
      </c>
      <c r="B525" s="25">
        <f>ItensPedido!B525</f>
        <v/>
      </c>
      <c r="C525" s="25">
        <f>ItensPedido!C525</f>
        <v/>
      </c>
      <c r="D525" s="25">
        <f>ItensPedido!D525</f>
        <v/>
      </c>
      <c r="E525" s="26">
        <f>ItensPedido!E525</f>
        <v/>
      </c>
      <c r="F525" s="25">
        <f>IFERROR(INDEX(Pedidos!$B$2:$B$1801,MATCH(B525,Pedidos!$A$2:$A$1801,0)),0)</f>
        <v/>
      </c>
      <c r="G525" s="25">
        <f>IF(F525=0,"",YEAR(F525))</f>
        <v/>
      </c>
      <c r="H525" s="25">
        <f>IF(F525=0,"",MONTH(F525))</f>
        <v/>
      </c>
      <c r="I525" s="25">
        <f>IFERROR(INDEX(Pedidos!$E$2:$E$1801,MATCH(B525,Pedidos!$A$2:$A$1801,0)),"")</f>
        <v/>
      </c>
      <c r="J525" s="25">
        <f>IFERROR(INDEX(Pedidos!$C$2:$C$1801,MATCH(B525,Pedidos!$A$2:$A$1801,0)),"")</f>
        <v/>
      </c>
      <c r="K525" s="25">
        <f>IFERROR(INDEX(Pedidos!$D$2:$D$1801,MATCH(B525,Pedidos!$A$2:$A$1801,0)),"")</f>
        <v/>
      </c>
      <c r="L525" s="25">
        <f>IFERROR(INDEX(Pedidos!$F$2:$F$1801,MATCH(B525,Pedidos!$A$2:$A$1801,0)),"")</f>
        <v/>
      </c>
      <c r="M525" s="26">
        <f>IFERROR(INDEX(Pedidos!$G$2:$G$1801,MATCH(B525,Pedidos!$A$2:$A$1801,0)),0)</f>
        <v/>
      </c>
      <c r="N525" s="25">
        <f>IFERROR(INDEX(Produtos!$B$2:$B$71,MATCH(C525,Produtos!$A$2:$A$71,0)),"")</f>
        <v/>
      </c>
      <c r="O525" s="25">
        <f>IFERROR(INDEX(Produtos!$C$2:$C$71,MATCH(C525,Produtos!$A$2:$A$71,0)),"")</f>
        <v/>
      </c>
      <c r="P525" s="25">
        <f>IFERROR(INDEX(Produtos!$D$2:$D$71,MATCH(C525,Produtos!$A$2:$A$71,0)),0)</f>
        <v/>
      </c>
      <c r="Q525" s="25">
        <f>IFERROR(INDEX(Produtos!$E$2:$E$71,MATCH(C525,Produtos!$A$2:$A$71,0)),0)</f>
        <v/>
      </c>
      <c r="R525" s="27">
        <f>D525*Q525</f>
        <v/>
      </c>
      <c r="S525" s="27">
        <f>R525*E525</f>
        <v/>
      </c>
      <c r="T525" s="27">
        <f>(R525-S525)*M525</f>
        <v/>
      </c>
      <c r="U525" s="27">
        <f>R525-S525-T525</f>
        <v/>
      </c>
      <c r="V525" s="27">
        <f>D525*P525</f>
        <v/>
      </c>
      <c r="W525" s="27">
        <f>U525-V525</f>
        <v/>
      </c>
      <c r="X525" s="28">
        <f>IFERROR(W525/U525,0)</f>
        <v/>
      </c>
    </row>
    <row r="526">
      <c r="A526" s="21">
        <f>ItensPedido!A526</f>
        <v/>
      </c>
      <c r="B526" s="21">
        <f>ItensPedido!B526</f>
        <v/>
      </c>
      <c r="C526" s="21">
        <f>ItensPedido!C526</f>
        <v/>
      </c>
      <c r="D526" s="21">
        <f>ItensPedido!D526</f>
        <v/>
      </c>
      <c r="E526" s="22">
        <f>ItensPedido!E526</f>
        <v/>
      </c>
      <c r="F526" s="21">
        <f>IFERROR(INDEX(Pedidos!$B$2:$B$1801,MATCH(B526,Pedidos!$A$2:$A$1801,0)),0)</f>
        <v/>
      </c>
      <c r="G526" s="21">
        <f>IF(F526=0,"",YEAR(F526))</f>
        <v/>
      </c>
      <c r="H526" s="21">
        <f>IF(F526=0,"",MONTH(F526))</f>
        <v/>
      </c>
      <c r="I526" s="21">
        <f>IFERROR(INDEX(Pedidos!$E$2:$E$1801,MATCH(B526,Pedidos!$A$2:$A$1801,0)),"")</f>
        <v/>
      </c>
      <c r="J526" s="21">
        <f>IFERROR(INDEX(Pedidos!$C$2:$C$1801,MATCH(B526,Pedidos!$A$2:$A$1801,0)),"")</f>
        <v/>
      </c>
      <c r="K526" s="21">
        <f>IFERROR(INDEX(Pedidos!$D$2:$D$1801,MATCH(B526,Pedidos!$A$2:$A$1801,0)),"")</f>
        <v/>
      </c>
      <c r="L526" s="21">
        <f>IFERROR(INDEX(Pedidos!$F$2:$F$1801,MATCH(B526,Pedidos!$A$2:$A$1801,0)),"")</f>
        <v/>
      </c>
      <c r="M526" s="22">
        <f>IFERROR(INDEX(Pedidos!$G$2:$G$1801,MATCH(B526,Pedidos!$A$2:$A$1801,0)),0)</f>
        <v/>
      </c>
      <c r="N526" s="21">
        <f>IFERROR(INDEX(Produtos!$B$2:$B$71,MATCH(C526,Produtos!$A$2:$A$71,0)),"")</f>
        <v/>
      </c>
      <c r="O526" s="21">
        <f>IFERROR(INDEX(Produtos!$C$2:$C$71,MATCH(C526,Produtos!$A$2:$A$71,0)),"")</f>
        <v/>
      </c>
      <c r="P526" s="21">
        <f>IFERROR(INDEX(Produtos!$D$2:$D$71,MATCH(C526,Produtos!$A$2:$A$71,0)),0)</f>
        <v/>
      </c>
      <c r="Q526" s="21">
        <f>IFERROR(INDEX(Produtos!$E$2:$E$71,MATCH(C526,Produtos!$A$2:$A$71,0)),0)</f>
        <v/>
      </c>
      <c r="R526" s="23">
        <f>D526*Q526</f>
        <v/>
      </c>
      <c r="S526" s="23">
        <f>R526*E526</f>
        <v/>
      </c>
      <c r="T526" s="23">
        <f>(R526-S526)*M526</f>
        <v/>
      </c>
      <c r="U526" s="23">
        <f>R526-S526-T526</f>
        <v/>
      </c>
      <c r="V526" s="23">
        <f>D526*P526</f>
        <v/>
      </c>
      <c r="W526" s="23">
        <f>U526-V526</f>
        <v/>
      </c>
      <c r="X526" s="24">
        <f>IFERROR(W526/U526,0)</f>
        <v/>
      </c>
    </row>
    <row r="527">
      <c r="A527" s="25">
        <f>ItensPedido!A527</f>
        <v/>
      </c>
      <c r="B527" s="25">
        <f>ItensPedido!B527</f>
        <v/>
      </c>
      <c r="C527" s="25">
        <f>ItensPedido!C527</f>
        <v/>
      </c>
      <c r="D527" s="25">
        <f>ItensPedido!D527</f>
        <v/>
      </c>
      <c r="E527" s="26">
        <f>ItensPedido!E527</f>
        <v/>
      </c>
      <c r="F527" s="25">
        <f>IFERROR(INDEX(Pedidos!$B$2:$B$1801,MATCH(B527,Pedidos!$A$2:$A$1801,0)),0)</f>
        <v/>
      </c>
      <c r="G527" s="25">
        <f>IF(F527=0,"",YEAR(F527))</f>
        <v/>
      </c>
      <c r="H527" s="25">
        <f>IF(F527=0,"",MONTH(F527))</f>
        <v/>
      </c>
      <c r="I527" s="25">
        <f>IFERROR(INDEX(Pedidos!$E$2:$E$1801,MATCH(B527,Pedidos!$A$2:$A$1801,0)),"")</f>
        <v/>
      </c>
      <c r="J527" s="25">
        <f>IFERROR(INDEX(Pedidos!$C$2:$C$1801,MATCH(B527,Pedidos!$A$2:$A$1801,0)),"")</f>
        <v/>
      </c>
      <c r="K527" s="25">
        <f>IFERROR(INDEX(Pedidos!$D$2:$D$1801,MATCH(B527,Pedidos!$A$2:$A$1801,0)),"")</f>
        <v/>
      </c>
      <c r="L527" s="25">
        <f>IFERROR(INDEX(Pedidos!$F$2:$F$1801,MATCH(B527,Pedidos!$A$2:$A$1801,0)),"")</f>
        <v/>
      </c>
      <c r="M527" s="26">
        <f>IFERROR(INDEX(Pedidos!$G$2:$G$1801,MATCH(B527,Pedidos!$A$2:$A$1801,0)),0)</f>
        <v/>
      </c>
      <c r="N527" s="25">
        <f>IFERROR(INDEX(Produtos!$B$2:$B$71,MATCH(C527,Produtos!$A$2:$A$71,0)),"")</f>
        <v/>
      </c>
      <c r="O527" s="25">
        <f>IFERROR(INDEX(Produtos!$C$2:$C$71,MATCH(C527,Produtos!$A$2:$A$71,0)),"")</f>
        <v/>
      </c>
      <c r="P527" s="25">
        <f>IFERROR(INDEX(Produtos!$D$2:$D$71,MATCH(C527,Produtos!$A$2:$A$71,0)),0)</f>
        <v/>
      </c>
      <c r="Q527" s="25">
        <f>IFERROR(INDEX(Produtos!$E$2:$E$71,MATCH(C527,Produtos!$A$2:$A$71,0)),0)</f>
        <v/>
      </c>
      <c r="R527" s="27">
        <f>D527*Q527</f>
        <v/>
      </c>
      <c r="S527" s="27">
        <f>R527*E527</f>
        <v/>
      </c>
      <c r="T527" s="27">
        <f>(R527-S527)*M527</f>
        <v/>
      </c>
      <c r="U527" s="27">
        <f>R527-S527-T527</f>
        <v/>
      </c>
      <c r="V527" s="27">
        <f>D527*P527</f>
        <v/>
      </c>
      <c r="W527" s="27">
        <f>U527-V527</f>
        <v/>
      </c>
      <c r="X527" s="28">
        <f>IFERROR(W527/U527,0)</f>
        <v/>
      </c>
    </row>
    <row r="528">
      <c r="A528" s="21">
        <f>ItensPedido!A528</f>
        <v/>
      </c>
      <c r="B528" s="21">
        <f>ItensPedido!B528</f>
        <v/>
      </c>
      <c r="C528" s="21">
        <f>ItensPedido!C528</f>
        <v/>
      </c>
      <c r="D528" s="21">
        <f>ItensPedido!D528</f>
        <v/>
      </c>
      <c r="E528" s="22">
        <f>ItensPedido!E528</f>
        <v/>
      </c>
      <c r="F528" s="21">
        <f>IFERROR(INDEX(Pedidos!$B$2:$B$1801,MATCH(B528,Pedidos!$A$2:$A$1801,0)),0)</f>
        <v/>
      </c>
      <c r="G528" s="21">
        <f>IF(F528=0,"",YEAR(F528))</f>
        <v/>
      </c>
      <c r="H528" s="21">
        <f>IF(F528=0,"",MONTH(F528))</f>
        <v/>
      </c>
      <c r="I528" s="21">
        <f>IFERROR(INDEX(Pedidos!$E$2:$E$1801,MATCH(B528,Pedidos!$A$2:$A$1801,0)),"")</f>
        <v/>
      </c>
      <c r="J528" s="21">
        <f>IFERROR(INDEX(Pedidos!$C$2:$C$1801,MATCH(B528,Pedidos!$A$2:$A$1801,0)),"")</f>
        <v/>
      </c>
      <c r="K528" s="21">
        <f>IFERROR(INDEX(Pedidos!$D$2:$D$1801,MATCH(B528,Pedidos!$A$2:$A$1801,0)),"")</f>
        <v/>
      </c>
      <c r="L528" s="21">
        <f>IFERROR(INDEX(Pedidos!$F$2:$F$1801,MATCH(B528,Pedidos!$A$2:$A$1801,0)),"")</f>
        <v/>
      </c>
      <c r="M528" s="22">
        <f>IFERROR(INDEX(Pedidos!$G$2:$G$1801,MATCH(B528,Pedidos!$A$2:$A$1801,0)),0)</f>
        <v/>
      </c>
      <c r="N528" s="21">
        <f>IFERROR(INDEX(Produtos!$B$2:$B$71,MATCH(C528,Produtos!$A$2:$A$71,0)),"")</f>
        <v/>
      </c>
      <c r="O528" s="21">
        <f>IFERROR(INDEX(Produtos!$C$2:$C$71,MATCH(C528,Produtos!$A$2:$A$71,0)),"")</f>
        <v/>
      </c>
      <c r="P528" s="21">
        <f>IFERROR(INDEX(Produtos!$D$2:$D$71,MATCH(C528,Produtos!$A$2:$A$71,0)),0)</f>
        <v/>
      </c>
      <c r="Q528" s="21">
        <f>IFERROR(INDEX(Produtos!$E$2:$E$71,MATCH(C528,Produtos!$A$2:$A$71,0)),0)</f>
        <v/>
      </c>
      <c r="R528" s="23">
        <f>D528*Q528</f>
        <v/>
      </c>
      <c r="S528" s="23">
        <f>R528*E528</f>
        <v/>
      </c>
      <c r="T528" s="23">
        <f>(R528-S528)*M528</f>
        <v/>
      </c>
      <c r="U528" s="23">
        <f>R528-S528-T528</f>
        <v/>
      </c>
      <c r="V528" s="23">
        <f>D528*P528</f>
        <v/>
      </c>
      <c r="W528" s="23">
        <f>U528-V528</f>
        <v/>
      </c>
      <c r="X528" s="24">
        <f>IFERROR(W528/U528,0)</f>
        <v/>
      </c>
    </row>
    <row r="529">
      <c r="A529" s="25">
        <f>ItensPedido!A529</f>
        <v/>
      </c>
      <c r="B529" s="25">
        <f>ItensPedido!B529</f>
        <v/>
      </c>
      <c r="C529" s="25">
        <f>ItensPedido!C529</f>
        <v/>
      </c>
      <c r="D529" s="25">
        <f>ItensPedido!D529</f>
        <v/>
      </c>
      <c r="E529" s="26">
        <f>ItensPedido!E529</f>
        <v/>
      </c>
      <c r="F529" s="25">
        <f>IFERROR(INDEX(Pedidos!$B$2:$B$1801,MATCH(B529,Pedidos!$A$2:$A$1801,0)),0)</f>
        <v/>
      </c>
      <c r="G529" s="25">
        <f>IF(F529=0,"",YEAR(F529))</f>
        <v/>
      </c>
      <c r="H529" s="25">
        <f>IF(F529=0,"",MONTH(F529))</f>
        <v/>
      </c>
      <c r="I529" s="25">
        <f>IFERROR(INDEX(Pedidos!$E$2:$E$1801,MATCH(B529,Pedidos!$A$2:$A$1801,0)),"")</f>
        <v/>
      </c>
      <c r="J529" s="25">
        <f>IFERROR(INDEX(Pedidos!$C$2:$C$1801,MATCH(B529,Pedidos!$A$2:$A$1801,0)),"")</f>
        <v/>
      </c>
      <c r="K529" s="25">
        <f>IFERROR(INDEX(Pedidos!$D$2:$D$1801,MATCH(B529,Pedidos!$A$2:$A$1801,0)),"")</f>
        <v/>
      </c>
      <c r="L529" s="25">
        <f>IFERROR(INDEX(Pedidos!$F$2:$F$1801,MATCH(B529,Pedidos!$A$2:$A$1801,0)),"")</f>
        <v/>
      </c>
      <c r="M529" s="26">
        <f>IFERROR(INDEX(Pedidos!$G$2:$G$1801,MATCH(B529,Pedidos!$A$2:$A$1801,0)),0)</f>
        <v/>
      </c>
      <c r="N529" s="25">
        <f>IFERROR(INDEX(Produtos!$B$2:$B$71,MATCH(C529,Produtos!$A$2:$A$71,0)),"")</f>
        <v/>
      </c>
      <c r="O529" s="25">
        <f>IFERROR(INDEX(Produtos!$C$2:$C$71,MATCH(C529,Produtos!$A$2:$A$71,0)),"")</f>
        <v/>
      </c>
      <c r="P529" s="25">
        <f>IFERROR(INDEX(Produtos!$D$2:$D$71,MATCH(C529,Produtos!$A$2:$A$71,0)),0)</f>
        <v/>
      </c>
      <c r="Q529" s="25">
        <f>IFERROR(INDEX(Produtos!$E$2:$E$71,MATCH(C529,Produtos!$A$2:$A$71,0)),0)</f>
        <v/>
      </c>
      <c r="R529" s="27">
        <f>D529*Q529</f>
        <v/>
      </c>
      <c r="S529" s="27">
        <f>R529*E529</f>
        <v/>
      </c>
      <c r="T529" s="27">
        <f>(R529-S529)*M529</f>
        <v/>
      </c>
      <c r="U529" s="27">
        <f>R529-S529-T529</f>
        <v/>
      </c>
      <c r="V529" s="27">
        <f>D529*P529</f>
        <v/>
      </c>
      <c r="W529" s="27">
        <f>U529-V529</f>
        <v/>
      </c>
      <c r="X529" s="28">
        <f>IFERROR(W529/U529,0)</f>
        <v/>
      </c>
    </row>
    <row r="530">
      <c r="A530" s="21">
        <f>ItensPedido!A530</f>
        <v/>
      </c>
      <c r="B530" s="21">
        <f>ItensPedido!B530</f>
        <v/>
      </c>
      <c r="C530" s="21">
        <f>ItensPedido!C530</f>
        <v/>
      </c>
      <c r="D530" s="21">
        <f>ItensPedido!D530</f>
        <v/>
      </c>
      <c r="E530" s="22">
        <f>ItensPedido!E530</f>
        <v/>
      </c>
      <c r="F530" s="21">
        <f>IFERROR(INDEX(Pedidos!$B$2:$B$1801,MATCH(B530,Pedidos!$A$2:$A$1801,0)),0)</f>
        <v/>
      </c>
      <c r="G530" s="21">
        <f>IF(F530=0,"",YEAR(F530))</f>
        <v/>
      </c>
      <c r="H530" s="21">
        <f>IF(F530=0,"",MONTH(F530))</f>
        <v/>
      </c>
      <c r="I530" s="21">
        <f>IFERROR(INDEX(Pedidos!$E$2:$E$1801,MATCH(B530,Pedidos!$A$2:$A$1801,0)),"")</f>
        <v/>
      </c>
      <c r="J530" s="21">
        <f>IFERROR(INDEX(Pedidos!$C$2:$C$1801,MATCH(B530,Pedidos!$A$2:$A$1801,0)),"")</f>
        <v/>
      </c>
      <c r="K530" s="21">
        <f>IFERROR(INDEX(Pedidos!$D$2:$D$1801,MATCH(B530,Pedidos!$A$2:$A$1801,0)),"")</f>
        <v/>
      </c>
      <c r="L530" s="21">
        <f>IFERROR(INDEX(Pedidos!$F$2:$F$1801,MATCH(B530,Pedidos!$A$2:$A$1801,0)),"")</f>
        <v/>
      </c>
      <c r="M530" s="22">
        <f>IFERROR(INDEX(Pedidos!$G$2:$G$1801,MATCH(B530,Pedidos!$A$2:$A$1801,0)),0)</f>
        <v/>
      </c>
      <c r="N530" s="21">
        <f>IFERROR(INDEX(Produtos!$B$2:$B$71,MATCH(C530,Produtos!$A$2:$A$71,0)),"")</f>
        <v/>
      </c>
      <c r="O530" s="21">
        <f>IFERROR(INDEX(Produtos!$C$2:$C$71,MATCH(C530,Produtos!$A$2:$A$71,0)),"")</f>
        <v/>
      </c>
      <c r="P530" s="21">
        <f>IFERROR(INDEX(Produtos!$D$2:$D$71,MATCH(C530,Produtos!$A$2:$A$71,0)),0)</f>
        <v/>
      </c>
      <c r="Q530" s="21">
        <f>IFERROR(INDEX(Produtos!$E$2:$E$71,MATCH(C530,Produtos!$A$2:$A$71,0)),0)</f>
        <v/>
      </c>
      <c r="R530" s="23">
        <f>D530*Q530</f>
        <v/>
      </c>
      <c r="S530" s="23">
        <f>R530*E530</f>
        <v/>
      </c>
      <c r="T530" s="23">
        <f>(R530-S530)*M530</f>
        <v/>
      </c>
      <c r="U530" s="23">
        <f>R530-S530-T530</f>
        <v/>
      </c>
      <c r="V530" s="23">
        <f>D530*P530</f>
        <v/>
      </c>
      <c r="W530" s="23">
        <f>U530-V530</f>
        <v/>
      </c>
      <c r="X530" s="24">
        <f>IFERROR(W530/U530,0)</f>
        <v/>
      </c>
    </row>
    <row r="531">
      <c r="A531" s="25">
        <f>ItensPedido!A531</f>
        <v/>
      </c>
      <c r="B531" s="25">
        <f>ItensPedido!B531</f>
        <v/>
      </c>
      <c r="C531" s="25">
        <f>ItensPedido!C531</f>
        <v/>
      </c>
      <c r="D531" s="25">
        <f>ItensPedido!D531</f>
        <v/>
      </c>
      <c r="E531" s="26">
        <f>ItensPedido!E531</f>
        <v/>
      </c>
      <c r="F531" s="25">
        <f>IFERROR(INDEX(Pedidos!$B$2:$B$1801,MATCH(B531,Pedidos!$A$2:$A$1801,0)),0)</f>
        <v/>
      </c>
      <c r="G531" s="25">
        <f>IF(F531=0,"",YEAR(F531))</f>
        <v/>
      </c>
      <c r="H531" s="25">
        <f>IF(F531=0,"",MONTH(F531))</f>
        <v/>
      </c>
      <c r="I531" s="25">
        <f>IFERROR(INDEX(Pedidos!$E$2:$E$1801,MATCH(B531,Pedidos!$A$2:$A$1801,0)),"")</f>
        <v/>
      </c>
      <c r="J531" s="25">
        <f>IFERROR(INDEX(Pedidos!$C$2:$C$1801,MATCH(B531,Pedidos!$A$2:$A$1801,0)),"")</f>
        <v/>
      </c>
      <c r="K531" s="25">
        <f>IFERROR(INDEX(Pedidos!$D$2:$D$1801,MATCH(B531,Pedidos!$A$2:$A$1801,0)),"")</f>
        <v/>
      </c>
      <c r="L531" s="25">
        <f>IFERROR(INDEX(Pedidos!$F$2:$F$1801,MATCH(B531,Pedidos!$A$2:$A$1801,0)),"")</f>
        <v/>
      </c>
      <c r="M531" s="26">
        <f>IFERROR(INDEX(Pedidos!$G$2:$G$1801,MATCH(B531,Pedidos!$A$2:$A$1801,0)),0)</f>
        <v/>
      </c>
      <c r="N531" s="25">
        <f>IFERROR(INDEX(Produtos!$B$2:$B$71,MATCH(C531,Produtos!$A$2:$A$71,0)),"")</f>
        <v/>
      </c>
      <c r="O531" s="25">
        <f>IFERROR(INDEX(Produtos!$C$2:$C$71,MATCH(C531,Produtos!$A$2:$A$71,0)),"")</f>
        <v/>
      </c>
      <c r="P531" s="25">
        <f>IFERROR(INDEX(Produtos!$D$2:$D$71,MATCH(C531,Produtos!$A$2:$A$71,0)),0)</f>
        <v/>
      </c>
      <c r="Q531" s="25">
        <f>IFERROR(INDEX(Produtos!$E$2:$E$71,MATCH(C531,Produtos!$A$2:$A$71,0)),0)</f>
        <v/>
      </c>
      <c r="R531" s="27">
        <f>D531*Q531</f>
        <v/>
      </c>
      <c r="S531" s="27">
        <f>R531*E531</f>
        <v/>
      </c>
      <c r="T531" s="27">
        <f>(R531-S531)*M531</f>
        <v/>
      </c>
      <c r="U531" s="27">
        <f>R531-S531-T531</f>
        <v/>
      </c>
      <c r="V531" s="27">
        <f>D531*P531</f>
        <v/>
      </c>
      <c r="W531" s="27">
        <f>U531-V531</f>
        <v/>
      </c>
      <c r="X531" s="28">
        <f>IFERROR(W531/U531,0)</f>
        <v/>
      </c>
    </row>
    <row r="532">
      <c r="A532" s="21">
        <f>ItensPedido!A532</f>
        <v/>
      </c>
      <c r="B532" s="21">
        <f>ItensPedido!B532</f>
        <v/>
      </c>
      <c r="C532" s="21">
        <f>ItensPedido!C532</f>
        <v/>
      </c>
      <c r="D532" s="21">
        <f>ItensPedido!D532</f>
        <v/>
      </c>
      <c r="E532" s="22">
        <f>ItensPedido!E532</f>
        <v/>
      </c>
      <c r="F532" s="21">
        <f>IFERROR(INDEX(Pedidos!$B$2:$B$1801,MATCH(B532,Pedidos!$A$2:$A$1801,0)),0)</f>
        <v/>
      </c>
      <c r="G532" s="21">
        <f>IF(F532=0,"",YEAR(F532))</f>
        <v/>
      </c>
      <c r="H532" s="21">
        <f>IF(F532=0,"",MONTH(F532))</f>
        <v/>
      </c>
      <c r="I532" s="21">
        <f>IFERROR(INDEX(Pedidos!$E$2:$E$1801,MATCH(B532,Pedidos!$A$2:$A$1801,0)),"")</f>
        <v/>
      </c>
      <c r="J532" s="21">
        <f>IFERROR(INDEX(Pedidos!$C$2:$C$1801,MATCH(B532,Pedidos!$A$2:$A$1801,0)),"")</f>
        <v/>
      </c>
      <c r="K532" s="21">
        <f>IFERROR(INDEX(Pedidos!$D$2:$D$1801,MATCH(B532,Pedidos!$A$2:$A$1801,0)),"")</f>
        <v/>
      </c>
      <c r="L532" s="21">
        <f>IFERROR(INDEX(Pedidos!$F$2:$F$1801,MATCH(B532,Pedidos!$A$2:$A$1801,0)),"")</f>
        <v/>
      </c>
      <c r="M532" s="22">
        <f>IFERROR(INDEX(Pedidos!$G$2:$G$1801,MATCH(B532,Pedidos!$A$2:$A$1801,0)),0)</f>
        <v/>
      </c>
      <c r="N532" s="21">
        <f>IFERROR(INDEX(Produtos!$B$2:$B$71,MATCH(C532,Produtos!$A$2:$A$71,0)),"")</f>
        <v/>
      </c>
      <c r="O532" s="21">
        <f>IFERROR(INDEX(Produtos!$C$2:$C$71,MATCH(C532,Produtos!$A$2:$A$71,0)),"")</f>
        <v/>
      </c>
      <c r="P532" s="21">
        <f>IFERROR(INDEX(Produtos!$D$2:$D$71,MATCH(C532,Produtos!$A$2:$A$71,0)),0)</f>
        <v/>
      </c>
      <c r="Q532" s="21">
        <f>IFERROR(INDEX(Produtos!$E$2:$E$71,MATCH(C532,Produtos!$A$2:$A$71,0)),0)</f>
        <v/>
      </c>
      <c r="R532" s="23">
        <f>D532*Q532</f>
        <v/>
      </c>
      <c r="S532" s="23">
        <f>R532*E532</f>
        <v/>
      </c>
      <c r="T532" s="23">
        <f>(R532-S532)*M532</f>
        <v/>
      </c>
      <c r="U532" s="23">
        <f>R532-S532-T532</f>
        <v/>
      </c>
      <c r="V532" s="23">
        <f>D532*P532</f>
        <v/>
      </c>
      <c r="W532" s="23">
        <f>U532-V532</f>
        <v/>
      </c>
      <c r="X532" s="24">
        <f>IFERROR(W532/U532,0)</f>
        <v/>
      </c>
    </row>
    <row r="533">
      <c r="A533" s="25">
        <f>ItensPedido!A533</f>
        <v/>
      </c>
      <c r="B533" s="25">
        <f>ItensPedido!B533</f>
        <v/>
      </c>
      <c r="C533" s="25">
        <f>ItensPedido!C533</f>
        <v/>
      </c>
      <c r="D533" s="25">
        <f>ItensPedido!D533</f>
        <v/>
      </c>
      <c r="E533" s="26">
        <f>ItensPedido!E533</f>
        <v/>
      </c>
      <c r="F533" s="25">
        <f>IFERROR(INDEX(Pedidos!$B$2:$B$1801,MATCH(B533,Pedidos!$A$2:$A$1801,0)),0)</f>
        <v/>
      </c>
      <c r="G533" s="25">
        <f>IF(F533=0,"",YEAR(F533))</f>
        <v/>
      </c>
      <c r="H533" s="25">
        <f>IF(F533=0,"",MONTH(F533))</f>
        <v/>
      </c>
      <c r="I533" s="25">
        <f>IFERROR(INDEX(Pedidos!$E$2:$E$1801,MATCH(B533,Pedidos!$A$2:$A$1801,0)),"")</f>
        <v/>
      </c>
      <c r="J533" s="25">
        <f>IFERROR(INDEX(Pedidos!$C$2:$C$1801,MATCH(B533,Pedidos!$A$2:$A$1801,0)),"")</f>
        <v/>
      </c>
      <c r="K533" s="25">
        <f>IFERROR(INDEX(Pedidos!$D$2:$D$1801,MATCH(B533,Pedidos!$A$2:$A$1801,0)),"")</f>
        <v/>
      </c>
      <c r="L533" s="25">
        <f>IFERROR(INDEX(Pedidos!$F$2:$F$1801,MATCH(B533,Pedidos!$A$2:$A$1801,0)),"")</f>
        <v/>
      </c>
      <c r="M533" s="26">
        <f>IFERROR(INDEX(Pedidos!$G$2:$G$1801,MATCH(B533,Pedidos!$A$2:$A$1801,0)),0)</f>
        <v/>
      </c>
      <c r="N533" s="25">
        <f>IFERROR(INDEX(Produtos!$B$2:$B$71,MATCH(C533,Produtos!$A$2:$A$71,0)),"")</f>
        <v/>
      </c>
      <c r="O533" s="25">
        <f>IFERROR(INDEX(Produtos!$C$2:$C$71,MATCH(C533,Produtos!$A$2:$A$71,0)),"")</f>
        <v/>
      </c>
      <c r="P533" s="25">
        <f>IFERROR(INDEX(Produtos!$D$2:$D$71,MATCH(C533,Produtos!$A$2:$A$71,0)),0)</f>
        <v/>
      </c>
      <c r="Q533" s="25">
        <f>IFERROR(INDEX(Produtos!$E$2:$E$71,MATCH(C533,Produtos!$A$2:$A$71,0)),0)</f>
        <v/>
      </c>
      <c r="R533" s="27">
        <f>D533*Q533</f>
        <v/>
      </c>
      <c r="S533" s="27">
        <f>R533*E533</f>
        <v/>
      </c>
      <c r="T533" s="27">
        <f>(R533-S533)*M533</f>
        <v/>
      </c>
      <c r="U533" s="27">
        <f>R533-S533-T533</f>
        <v/>
      </c>
      <c r="V533" s="27">
        <f>D533*P533</f>
        <v/>
      </c>
      <c r="W533" s="27">
        <f>U533-V533</f>
        <v/>
      </c>
      <c r="X533" s="28">
        <f>IFERROR(W533/U533,0)</f>
        <v/>
      </c>
    </row>
    <row r="534">
      <c r="A534" s="21">
        <f>ItensPedido!A534</f>
        <v/>
      </c>
      <c r="B534" s="21">
        <f>ItensPedido!B534</f>
        <v/>
      </c>
      <c r="C534" s="21">
        <f>ItensPedido!C534</f>
        <v/>
      </c>
      <c r="D534" s="21">
        <f>ItensPedido!D534</f>
        <v/>
      </c>
      <c r="E534" s="22">
        <f>ItensPedido!E534</f>
        <v/>
      </c>
      <c r="F534" s="21">
        <f>IFERROR(INDEX(Pedidos!$B$2:$B$1801,MATCH(B534,Pedidos!$A$2:$A$1801,0)),0)</f>
        <v/>
      </c>
      <c r="G534" s="21">
        <f>IF(F534=0,"",YEAR(F534))</f>
        <v/>
      </c>
      <c r="H534" s="21">
        <f>IF(F534=0,"",MONTH(F534))</f>
        <v/>
      </c>
      <c r="I534" s="21">
        <f>IFERROR(INDEX(Pedidos!$E$2:$E$1801,MATCH(B534,Pedidos!$A$2:$A$1801,0)),"")</f>
        <v/>
      </c>
      <c r="J534" s="21">
        <f>IFERROR(INDEX(Pedidos!$C$2:$C$1801,MATCH(B534,Pedidos!$A$2:$A$1801,0)),"")</f>
        <v/>
      </c>
      <c r="K534" s="21">
        <f>IFERROR(INDEX(Pedidos!$D$2:$D$1801,MATCH(B534,Pedidos!$A$2:$A$1801,0)),"")</f>
        <v/>
      </c>
      <c r="L534" s="21">
        <f>IFERROR(INDEX(Pedidos!$F$2:$F$1801,MATCH(B534,Pedidos!$A$2:$A$1801,0)),"")</f>
        <v/>
      </c>
      <c r="M534" s="22">
        <f>IFERROR(INDEX(Pedidos!$G$2:$G$1801,MATCH(B534,Pedidos!$A$2:$A$1801,0)),0)</f>
        <v/>
      </c>
      <c r="N534" s="21">
        <f>IFERROR(INDEX(Produtos!$B$2:$B$71,MATCH(C534,Produtos!$A$2:$A$71,0)),"")</f>
        <v/>
      </c>
      <c r="O534" s="21">
        <f>IFERROR(INDEX(Produtos!$C$2:$C$71,MATCH(C534,Produtos!$A$2:$A$71,0)),"")</f>
        <v/>
      </c>
      <c r="P534" s="21">
        <f>IFERROR(INDEX(Produtos!$D$2:$D$71,MATCH(C534,Produtos!$A$2:$A$71,0)),0)</f>
        <v/>
      </c>
      <c r="Q534" s="21">
        <f>IFERROR(INDEX(Produtos!$E$2:$E$71,MATCH(C534,Produtos!$A$2:$A$71,0)),0)</f>
        <v/>
      </c>
      <c r="R534" s="23">
        <f>D534*Q534</f>
        <v/>
      </c>
      <c r="S534" s="23">
        <f>R534*E534</f>
        <v/>
      </c>
      <c r="T534" s="23">
        <f>(R534-S534)*M534</f>
        <v/>
      </c>
      <c r="U534" s="23">
        <f>R534-S534-T534</f>
        <v/>
      </c>
      <c r="V534" s="23">
        <f>D534*P534</f>
        <v/>
      </c>
      <c r="W534" s="23">
        <f>U534-V534</f>
        <v/>
      </c>
      <c r="X534" s="24">
        <f>IFERROR(W534/U534,0)</f>
        <v/>
      </c>
    </row>
    <row r="535">
      <c r="A535" s="25">
        <f>ItensPedido!A535</f>
        <v/>
      </c>
      <c r="B535" s="25">
        <f>ItensPedido!B535</f>
        <v/>
      </c>
      <c r="C535" s="25">
        <f>ItensPedido!C535</f>
        <v/>
      </c>
      <c r="D535" s="25">
        <f>ItensPedido!D535</f>
        <v/>
      </c>
      <c r="E535" s="26">
        <f>ItensPedido!E535</f>
        <v/>
      </c>
      <c r="F535" s="25">
        <f>IFERROR(INDEX(Pedidos!$B$2:$B$1801,MATCH(B535,Pedidos!$A$2:$A$1801,0)),0)</f>
        <v/>
      </c>
      <c r="G535" s="25">
        <f>IF(F535=0,"",YEAR(F535))</f>
        <v/>
      </c>
      <c r="H535" s="25">
        <f>IF(F535=0,"",MONTH(F535))</f>
        <v/>
      </c>
      <c r="I535" s="25">
        <f>IFERROR(INDEX(Pedidos!$E$2:$E$1801,MATCH(B535,Pedidos!$A$2:$A$1801,0)),"")</f>
        <v/>
      </c>
      <c r="J535" s="25">
        <f>IFERROR(INDEX(Pedidos!$C$2:$C$1801,MATCH(B535,Pedidos!$A$2:$A$1801,0)),"")</f>
        <v/>
      </c>
      <c r="K535" s="25">
        <f>IFERROR(INDEX(Pedidos!$D$2:$D$1801,MATCH(B535,Pedidos!$A$2:$A$1801,0)),"")</f>
        <v/>
      </c>
      <c r="L535" s="25">
        <f>IFERROR(INDEX(Pedidos!$F$2:$F$1801,MATCH(B535,Pedidos!$A$2:$A$1801,0)),"")</f>
        <v/>
      </c>
      <c r="M535" s="26">
        <f>IFERROR(INDEX(Pedidos!$G$2:$G$1801,MATCH(B535,Pedidos!$A$2:$A$1801,0)),0)</f>
        <v/>
      </c>
      <c r="N535" s="25">
        <f>IFERROR(INDEX(Produtos!$B$2:$B$71,MATCH(C535,Produtos!$A$2:$A$71,0)),"")</f>
        <v/>
      </c>
      <c r="O535" s="25">
        <f>IFERROR(INDEX(Produtos!$C$2:$C$71,MATCH(C535,Produtos!$A$2:$A$71,0)),"")</f>
        <v/>
      </c>
      <c r="P535" s="25">
        <f>IFERROR(INDEX(Produtos!$D$2:$D$71,MATCH(C535,Produtos!$A$2:$A$71,0)),0)</f>
        <v/>
      </c>
      <c r="Q535" s="25">
        <f>IFERROR(INDEX(Produtos!$E$2:$E$71,MATCH(C535,Produtos!$A$2:$A$71,0)),0)</f>
        <v/>
      </c>
      <c r="R535" s="27">
        <f>D535*Q535</f>
        <v/>
      </c>
      <c r="S535" s="27">
        <f>R535*E535</f>
        <v/>
      </c>
      <c r="T535" s="27">
        <f>(R535-S535)*M535</f>
        <v/>
      </c>
      <c r="U535" s="27">
        <f>R535-S535-T535</f>
        <v/>
      </c>
      <c r="V535" s="27">
        <f>D535*P535</f>
        <v/>
      </c>
      <c r="W535" s="27">
        <f>U535-V535</f>
        <v/>
      </c>
      <c r="X535" s="28">
        <f>IFERROR(W535/U535,0)</f>
        <v/>
      </c>
    </row>
    <row r="536">
      <c r="A536" s="21">
        <f>ItensPedido!A536</f>
        <v/>
      </c>
      <c r="B536" s="21">
        <f>ItensPedido!B536</f>
        <v/>
      </c>
      <c r="C536" s="21">
        <f>ItensPedido!C536</f>
        <v/>
      </c>
      <c r="D536" s="21">
        <f>ItensPedido!D536</f>
        <v/>
      </c>
      <c r="E536" s="22">
        <f>ItensPedido!E536</f>
        <v/>
      </c>
      <c r="F536" s="21">
        <f>IFERROR(INDEX(Pedidos!$B$2:$B$1801,MATCH(B536,Pedidos!$A$2:$A$1801,0)),0)</f>
        <v/>
      </c>
      <c r="G536" s="21">
        <f>IF(F536=0,"",YEAR(F536))</f>
        <v/>
      </c>
      <c r="H536" s="21">
        <f>IF(F536=0,"",MONTH(F536))</f>
        <v/>
      </c>
      <c r="I536" s="21">
        <f>IFERROR(INDEX(Pedidos!$E$2:$E$1801,MATCH(B536,Pedidos!$A$2:$A$1801,0)),"")</f>
        <v/>
      </c>
      <c r="J536" s="21">
        <f>IFERROR(INDEX(Pedidos!$C$2:$C$1801,MATCH(B536,Pedidos!$A$2:$A$1801,0)),"")</f>
        <v/>
      </c>
      <c r="K536" s="21">
        <f>IFERROR(INDEX(Pedidos!$D$2:$D$1801,MATCH(B536,Pedidos!$A$2:$A$1801,0)),"")</f>
        <v/>
      </c>
      <c r="L536" s="21">
        <f>IFERROR(INDEX(Pedidos!$F$2:$F$1801,MATCH(B536,Pedidos!$A$2:$A$1801,0)),"")</f>
        <v/>
      </c>
      <c r="M536" s="22">
        <f>IFERROR(INDEX(Pedidos!$G$2:$G$1801,MATCH(B536,Pedidos!$A$2:$A$1801,0)),0)</f>
        <v/>
      </c>
      <c r="N536" s="21">
        <f>IFERROR(INDEX(Produtos!$B$2:$B$71,MATCH(C536,Produtos!$A$2:$A$71,0)),"")</f>
        <v/>
      </c>
      <c r="O536" s="21">
        <f>IFERROR(INDEX(Produtos!$C$2:$C$71,MATCH(C536,Produtos!$A$2:$A$71,0)),"")</f>
        <v/>
      </c>
      <c r="P536" s="21">
        <f>IFERROR(INDEX(Produtos!$D$2:$D$71,MATCH(C536,Produtos!$A$2:$A$71,0)),0)</f>
        <v/>
      </c>
      <c r="Q536" s="21">
        <f>IFERROR(INDEX(Produtos!$E$2:$E$71,MATCH(C536,Produtos!$A$2:$A$71,0)),0)</f>
        <v/>
      </c>
      <c r="R536" s="23">
        <f>D536*Q536</f>
        <v/>
      </c>
      <c r="S536" s="23">
        <f>R536*E536</f>
        <v/>
      </c>
      <c r="T536" s="23">
        <f>(R536-S536)*M536</f>
        <v/>
      </c>
      <c r="U536" s="23">
        <f>R536-S536-T536</f>
        <v/>
      </c>
      <c r="V536" s="23">
        <f>D536*P536</f>
        <v/>
      </c>
      <c r="W536" s="23">
        <f>U536-V536</f>
        <v/>
      </c>
      <c r="X536" s="24">
        <f>IFERROR(W536/U536,0)</f>
        <v/>
      </c>
    </row>
    <row r="537">
      <c r="A537" s="25">
        <f>ItensPedido!A537</f>
        <v/>
      </c>
      <c r="B537" s="25">
        <f>ItensPedido!B537</f>
        <v/>
      </c>
      <c r="C537" s="25">
        <f>ItensPedido!C537</f>
        <v/>
      </c>
      <c r="D537" s="25">
        <f>ItensPedido!D537</f>
        <v/>
      </c>
      <c r="E537" s="26">
        <f>ItensPedido!E537</f>
        <v/>
      </c>
      <c r="F537" s="25">
        <f>IFERROR(INDEX(Pedidos!$B$2:$B$1801,MATCH(B537,Pedidos!$A$2:$A$1801,0)),0)</f>
        <v/>
      </c>
      <c r="G537" s="25">
        <f>IF(F537=0,"",YEAR(F537))</f>
        <v/>
      </c>
      <c r="H537" s="25">
        <f>IF(F537=0,"",MONTH(F537))</f>
        <v/>
      </c>
      <c r="I537" s="25">
        <f>IFERROR(INDEX(Pedidos!$E$2:$E$1801,MATCH(B537,Pedidos!$A$2:$A$1801,0)),"")</f>
        <v/>
      </c>
      <c r="J537" s="25">
        <f>IFERROR(INDEX(Pedidos!$C$2:$C$1801,MATCH(B537,Pedidos!$A$2:$A$1801,0)),"")</f>
        <v/>
      </c>
      <c r="K537" s="25">
        <f>IFERROR(INDEX(Pedidos!$D$2:$D$1801,MATCH(B537,Pedidos!$A$2:$A$1801,0)),"")</f>
        <v/>
      </c>
      <c r="L537" s="25">
        <f>IFERROR(INDEX(Pedidos!$F$2:$F$1801,MATCH(B537,Pedidos!$A$2:$A$1801,0)),"")</f>
        <v/>
      </c>
      <c r="M537" s="26">
        <f>IFERROR(INDEX(Pedidos!$G$2:$G$1801,MATCH(B537,Pedidos!$A$2:$A$1801,0)),0)</f>
        <v/>
      </c>
      <c r="N537" s="25">
        <f>IFERROR(INDEX(Produtos!$B$2:$B$71,MATCH(C537,Produtos!$A$2:$A$71,0)),"")</f>
        <v/>
      </c>
      <c r="O537" s="25">
        <f>IFERROR(INDEX(Produtos!$C$2:$C$71,MATCH(C537,Produtos!$A$2:$A$71,0)),"")</f>
        <v/>
      </c>
      <c r="P537" s="25">
        <f>IFERROR(INDEX(Produtos!$D$2:$D$71,MATCH(C537,Produtos!$A$2:$A$71,0)),0)</f>
        <v/>
      </c>
      <c r="Q537" s="25">
        <f>IFERROR(INDEX(Produtos!$E$2:$E$71,MATCH(C537,Produtos!$A$2:$A$71,0)),0)</f>
        <v/>
      </c>
      <c r="R537" s="27">
        <f>D537*Q537</f>
        <v/>
      </c>
      <c r="S537" s="27">
        <f>R537*E537</f>
        <v/>
      </c>
      <c r="T537" s="27">
        <f>(R537-S537)*M537</f>
        <v/>
      </c>
      <c r="U537" s="27">
        <f>R537-S537-T537</f>
        <v/>
      </c>
      <c r="V537" s="27">
        <f>D537*P537</f>
        <v/>
      </c>
      <c r="W537" s="27">
        <f>U537-V537</f>
        <v/>
      </c>
      <c r="X537" s="28">
        <f>IFERROR(W537/U537,0)</f>
        <v/>
      </c>
    </row>
    <row r="538">
      <c r="A538" s="21">
        <f>ItensPedido!A538</f>
        <v/>
      </c>
      <c r="B538" s="21">
        <f>ItensPedido!B538</f>
        <v/>
      </c>
      <c r="C538" s="21">
        <f>ItensPedido!C538</f>
        <v/>
      </c>
      <c r="D538" s="21">
        <f>ItensPedido!D538</f>
        <v/>
      </c>
      <c r="E538" s="22">
        <f>ItensPedido!E538</f>
        <v/>
      </c>
      <c r="F538" s="21">
        <f>IFERROR(INDEX(Pedidos!$B$2:$B$1801,MATCH(B538,Pedidos!$A$2:$A$1801,0)),0)</f>
        <v/>
      </c>
      <c r="G538" s="21">
        <f>IF(F538=0,"",YEAR(F538))</f>
        <v/>
      </c>
      <c r="H538" s="21">
        <f>IF(F538=0,"",MONTH(F538))</f>
        <v/>
      </c>
      <c r="I538" s="21">
        <f>IFERROR(INDEX(Pedidos!$E$2:$E$1801,MATCH(B538,Pedidos!$A$2:$A$1801,0)),"")</f>
        <v/>
      </c>
      <c r="J538" s="21">
        <f>IFERROR(INDEX(Pedidos!$C$2:$C$1801,MATCH(B538,Pedidos!$A$2:$A$1801,0)),"")</f>
        <v/>
      </c>
      <c r="K538" s="21">
        <f>IFERROR(INDEX(Pedidos!$D$2:$D$1801,MATCH(B538,Pedidos!$A$2:$A$1801,0)),"")</f>
        <v/>
      </c>
      <c r="L538" s="21">
        <f>IFERROR(INDEX(Pedidos!$F$2:$F$1801,MATCH(B538,Pedidos!$A$2:$A$1801,0)),"")</f>
        <v/>
      </c>
      <c r="M538" s="22">
        <f>IFERROR(INDEX(Pedidos!$G$2:$G$1801,MATCH(B538,Pedidos!$A$2:$A$1801,0)),0)</f>
        <v/>
      </c>
      <c r="N538" s="21">
        <f>IFERROR(INDEX(Produtos!$B$2:$B$71,MATCH(C538,Produtos!$A$2:$A$71,0)),"")</f>
        <v/>
      </c>
      <c r="O538" s="21">
        <f>IFERROR(INDEX(Produtos!$C$2:$C$71,MATCH(C538,Produtos!$A$2:$A$71,0)),"")</f>
        <v/>
      </c>
      <c r="P538" s="21">
        <f>IFERROR(INDEX(Produtos!$D$2:$D$71,MATCH(C538,Produtos!$A$2:$A$71,0)),0)</f>
        <v/>
      </c>
      <c r="Q538" s="21">
        <f>IFERROR(INDEX(Produtos!$E$2:$E$71,MATCH(C538,Produtos!$A$2:$A$71,0)),0)</f>
        <v/>
      </c>
      <c r="R538" s="23">
        <f>D538*Q538</f>
        <v/>
      </c>
      <c r="S538" s="23">
        <f>R538*E538</f>
        <v/>
      </c>
      <c r="T538" s="23">
        <f>(R538-S538)*M538</f>
        <v/>
      </c>
      <c r="U538" s="23">
        <f>R538-S538-T538</f>
        <v/>
      </c>
      <c r="V538" s="23">
        <f>D538*P538</f>
        <v/>
      </c>
      <c r="W538" s="23">
        <f>U538-V538</f>
        <v/>
      </c>
      <c r="X538" s="24">
        <f>IFERROR(W538/U538,0)</f>
        <v/>
      </c>
    </row>
    <row r="539">
      <c r="A539" s="25">
        <f>ItensPedido!A539</f>
        <v/>
      </c>
      <c r="B539" s="25">
        <f>ItensPedido!B539</f>
        <v/>
      </c>
      <c r="C539" s="25">
        <f>ItensPedido!C539</f>
        <v/>
      </c>
      <c r="D539" s="25">
        <f>ItensPedido!D539</f>
        <v/>
      </c>
      <c r="E539" s="26">
        <f>ItensPedido!E539</f>
        <v/>
      </c>
      <c r="F539" s="25">
        <f>IFERROR(INDEX(Pedidos!$B$2:$B$1801,MATCH(B539,Pedidos!$A$2:$A$1801,0)),0)</f>
        <v/>
      </c>
      <c r="G539" s="25">
        <f>IF(F539=0,"",YEAR(F539))</f>
        <v/>
      </c>
      <c r="H539" s="25">
        <f>IF(F539=0,"",MONTH(F539))</f>
        <v/>
      </c>
      <c r="I539" s="25">
        <f>IFERROR(INDEX(Pedidos!$E$2:$E$1801,MATCH(B539,Pedidos!$A$2:$A$1801,0)),"")</f>
        <v/>
      </c>
      <c r="J539" s="25">
        <f>IFERROR(INDEX(Pedidos!$C$2:$C$1801,MATCH(B539,Pedidos!$A$2:$A$1801,0)),"")</f>
        <v/>
      </c>
      <c r="K539" s="25">
        <f>IFERROR(INDEX(Pedidos!$D$2:$D$1801,MATCH(B539,Pedidos!$A$2:$A$1801,0)),"")</f>
        <v/>
      </c>
      <c r="L539" s="25">
        <f>IFERROR(INDEX(Pedidos!$F$2:$F$1801,MATCH(B539,Pedidos!$A$2:$A$1801,0)),"")</f>
        <v/>
      </c>
      <c r="M539" s="26">
        <f>IFERROR(INDEX(Pedidos!$G$2:$G$1801,MATCH(B539,Pedidos!$A$2:$A$1801,0)),0)</f>
        <v/>
      </c>
      <c r="N539" s="25">
        <f>IFERROR(INDEX(Produtos!$B$2:$B$71,MATCH(C539,Produtos!$A$2:$A$71,0)),"")</f>
        <v/>
      </c>
      <c r="O539" s="25">
        <f>IFERROR(INDEX(Produtos!$C$2:$C$71,MATCH(C539,Produtos!$A$2:$A$71,0)),"")</f>
        <v/>
      </c>
      <c r="P539" s="25">
        <f>IFERROR(INDEX(Produtos!$D$2:$D$71,MATCH(C539,Produtos!$A$2:$A$71,0)),0)</f>
        <v/>
      </c>
      <c r="Q539" s="25">
        <f>IFERROR(INDEX(Produtos!$E$2:$E$71,MATCH(C539,Produtos!$A$2:$A$71,0)),0)</f>
        <v/>
      </c>
      <c r="R539" s="27">
        <f>D539*Q539</f>
        <v/>
      </c>
      <c r="S539" s="27">
        <f>R539*E539</f>
        <v/>
      </c>
      <c r="T539" s="27">
        <f>(R539-S539)*M539</f>
        <v/>
      </c>
      <c r="U539" s="27">
        <f>R539-S539-T539</f>
        <v/>
      </c>
      <c r="V539" s="27">
        <f>D539*P539</f>
        <v/>
      </c>
      <c r="W539" s="27">
        <f>U539-V539</f>
        <v/>
      </c>
      <c r="X539" s="28">
        <f>IFERROR(W539/U539,0)</f>
        <v/>
      </c>
    </row>
    <row r="540">
      <c r="A540" s="21">
        <f>ItensPedido!A540</f>
        <v/>
      </c>
      <c r="B540" s="21">
        <f>ItensPedido!B540</f>
        <v/>
      </c>
      <c r="C540" s="21">
        <f>ItensPedido!C540</f>
        <v/>
      </c>
      <c r="D540" s="21">
        <f>ItensPedido!D540</f>
        <v/>
      </c>
      <c r="E540" s="22">
        <f>ItensPedido!E540</f>
        <v/>
      </c>
      <c r="F540" s="21">
        <f>IFERROR(INDEX(Pedidos!$B$2:$B$1801,MATCH(B540,Pedidos!$A$2:$A$1801,0)),0)</f>
        <v/>
      </c>
      <c r="G540" s="21">
        <f>IF(F540=0,"",YEAR(F540))</f>
        <v/>
      </c>
      <c r="H540" s="21">
        <f>IF(F540=0,"",MONTH(F540))</f>
        <v/>
      </c>
      <c r="I540" s="21">
        <f>IFERROR(INDEX(Pedidos!$E$2:$E$1801,MATCH(B540,Pedidos!$A$2:$A$1801,0)),"")</f>
        <v/>
      </c>
      <c r="J540" s="21">
        <f>IFERROR(INDEX(Pedidos!$C$2:$C$1801,MATCH(B540,Pedidos!$A$2:$A$1801,0)),"")</f>
        <v/>
      </c>
      <c r="K540" s="21">
        <f>IFERROR(INDEX(Pedidos!$D$2:$D$1801,MATCH(B540,Pedidos!$A$2:$A$1801,0)),"")</f>
        <v/>
      </c>
      <c r="L540" s="21">
        <f>IFERROR(INDEX(Pedidos!$F$2:$F$1801,MATCH(B540,Pedidos!$A$2:$A$1801,0)),"")</f>
        <v/>
      </c>
      <c r="M540" s="22">
        <f>IFERROR(INDEX(Pedidos!$G$2:$G$1801,MATCH(B540,Pedidos!$A$2:$A$1801,0)),0)</f>
        <v/>
      </c>
      <c r="N540" s="21">
        <f>IFERROR(INDEX(Produtos!$B$2:$B$71,MATCH(C540,Produtos!$A$2:$A$71,0)),"")</f>
        <v/>
      </c>
      <c r="O540" s="21">
        <f>IFERROR(INDEX(Produtos!$C$2:$C$71,MATCH(C540,Produtos!$A$2:$A$71,0)),"")</f>
        <v/>
      </c>
      <c r="P540" s="21">
        <f>IFERROR(INDEX(Produtos!$D$2:$D$71,MATCH(C540,Produtos!$A$2:$A$71,0)),0)</f>
        <v/>
      </c>
      <c r="Q540" s="21">
        <f>IFERROR(INDEX(Produtos!$E$2:$E$71,MATCH(C540,Produtos!$A$2:$A$71,0)),0)</f>
        <v/>
      </c>
      <c r="R540" s="23">
        <f>D540*Q540</f>
        <v/>
      </c>
      <c r="S540" s="23">
        <f>R540*E540</f>
        <v/>
      </c>
      <c r="T540" s="23">
        <f>(R540-S540)*M540</f>
        <v/>
      </c>
      <c r="U540" s="23">
        <f>R540-S540-T540</f>
        <v/>
      </c>
      <c r="V540" s="23">
        <f>D540*P540</f>
        <v/>
      </c>
      <c r="W540" s="23">
        <f>U540-V540</f>
        <v/>
      </c>
      <c r="X540" s="24">
        <f>IFERROR(W540/U540,0)</f>
        <v/>
      </c>
    </row>
    <row r="541">
      <c r="A541" s="25">
        <f>ItensPedido!A541</f>
        <v/>
      </c>
      <c r="B541" s="25">
        <f>ItensPedido!B541</f>
        <v/>
      </c>
      <c r="C541" s="25">
        <f>ItensPedido!C541</f>
        <v/>
      </c>
      <c r="D541" s="25">
        <f>ItensPedido!D541</f>
        <v/>
      </c>
      <c r="E541" s="26">
        <f>ItensPedido!E541</f>
        <v/>
      </c>
      <c r="F541" s="25">
        <f>IFERROR(INDEX(Pedidos!$B$2:$B$1801,MATCH(B541,Pedidos!$A$2:$A$1801,0)),0)</f>
        <v/>
      </c>
      <c r="G541" s="25">
        <f>IF(F541=0,"",YEAR(F541))</f>
        <v/>
      </c>
      <c r="H541" s="25">
        <f>IF(F541=0,"",MONTH(F541))</f>
        <v/>
      </c>
      <c r="I541" s="25">
        <f>IFERROR(INDEX(Pedidos!$E$2:$E$1801,MATCH(B541,Pedidos!$A$2:$A$1801,0)),"")</f>
        <v/>
      </c>
      <c r="J541" s="25">
        <f>IFERROR(INDEX(Pedidos!$C$2:$C$1801,MATCH(B541,Pedidos!$A$2:$A$1801,0)),"")</f>
        <v/>
      </c>
      <c r="K541" s="25">
        <f>IFERROR(INDEX(Pedidos!$D$2:$D$1801,MATCH(B541,Pedidos!$A$2:$A$1801,0)),"")</f>
        <v/>
      </c>
      <c r="L541" s="25">
        <f>IFERROR(INDEX(Pedidos!$F$2:$F$1801,MATCH(B541,Pedidos!$A$2:$A$1801,0)),"")</f>
        <v/>
      </c>
      <c r="M541" s="26">
        <f>IFERROR(INDEX(Pedidos!$G$2:$G$1801,MATCH(B541,Pedidos!$A$2:$A$1801,0)),0)</f>
        <v/>
      </c>
      <c r="N541" s="25">
        <f>IFERROR(INDEX(Produtos!$B$2:$B$71,MATCH(C541,Produtos!$A$2:$A$71,0)),"")</f>
        <v/>
      </c>
      <c r="O541" s="25">
        <f>IFERROR(INDEX(Produtos!$C$2:$C$71,MATCH(C541,Produtos!$A$2:$A$71,0)),"")</f>
        <v/>
      </c>
      <c r="P541" s="25">
        <f>IFERROR(INDEX(Produtos!$D$2:$D$71,MATCH(C541,Produtos!$A$2:$A$71,0)),0)</f>
        <v/>
      </c>
      <c r="Q541" s="25">
        <f>IFERROR(INDEX(Produtos!$E$2:$E$71,MATCH(C541,Produtos!$A$2:$A$71,0)),0)</f>
        <v/>
      </c>
      <c r="R541" s="27">
        <f>D541*Q541</f>
        <v/>
      </c>
      <c r="S541" s="27">
        <f>R541*E541</f>
        <v/>
      </c>
      <c r="T541" s="27">
        <f>(R541-S541)*M541</f>
        <v/>
      </c>
      <c r="U541" s="27">
        <f>R541-S541-T541</f>
        <v/>
      </c>
      <c r="V541" s="27">
        <f>D541*P541</f>
        <v/>
      </c>
      <c r="W541" s="27">
        <f>U541-V541</f>
        <v/>
      </c>
      <c r="X541" s="28">
        <f>IFERROR(W541/U541,0)</f>
        <v/>
      </c>
    </row>
    <row r="542">
      <c r="A542" s="21">
        <f>ItensPedido!A542</f>
        <v/>
      </c>
      <c r="B542" s="21">
        <f>ItensPedido!B542</f>
        <v/>
      </c>
      <c r="C542" s="21">
        <f>ItensPedido!C542</f>
        <v/>
      </c>
      <c r="D542" s="21">
        <f>ItensPedido!D542</f>
        <v/>
      </c>
      <c r="E542" s="22">
        <f>ItensPedido!E542</f>
        <v/>
      </c>
      <c r="F542" s="21">
        <f>IFERROR(INDEX(Pedidos!$B$2:$B$1801,MATCH(B542,Pedidos!$A$2:$A$1801,0)),0)</f>
        <v/>
      </c>
      <c r="G542" s="21">
        <f>IF(F542=0,"",YEAR(F542))</f>
        <v/>
      </c>
      <c r="H542" s="21">
        <f>IF(F542=0,"",MONTH(F542))</f>
        <v/>
      </c>
      <c r="I542" s="21">
        <f>IFERROR(INDEX(Pedidos!$E$2:$E$1801,MATCH(B542,Pedidos!$A$2:$A$1801,0)),"")</f>
        <v/>
      </c>
      <c r="J542" s="21">
        <f>IFERROR(INDEX(Pedidos!$C$2:$C$1801,MATCH(B542,Pedidos!$A$2:$A$1801,0)),"")</f>
        <v/>
      </c>
      <c r="K542" s="21">
        <f>IFERROR(INDEX(Pedidos!$D$2:$D$1801,MATCH(B542,Pedidos!$A$2:$A$1801,0)),"")</f>
        <v/>
      </c>
      <c r="L542" s="21">
        <f>IFERROR(INDEX(Pedidos!$F$2:$F$1801,MATCH(B542,Pedidos!$A$2:$A$1801,0)),"")</f>
        <v/>
      </c>
      <c r="M542" s="22">
        <f>IFERROR(INDEX(Pedidos!$G$2:$G$1801,MATCH(B542,Pedidos!$A$2:$A$1801,0)),0)</f>
        <v/>
      </c>
      <c r="N542" s="21">
        <f>IFERROR(INDEX(Produtos!$B$2:$B$71,MATCH(C542,Produtos!$A$2:$A$71,0)),"")</f>
        <v/>
      </c>
      <c r="O542" s="21">
        <f>IFERROR(INDEX(Produtos!$C$2:$C$71,MATCH(C542,Produtos!$A$2:$A$71,0)),"")</f>
        <v/>
      </c>
      <c r="P542" s="21">
        <f>IFERROR(INDEX(Produtos!$D$2:$D$71,MATCH(C542,Produtos!$A$2:$A$71,0)),0)</f>
        <v/>
      </c>
      <c r="Q542" s="21">
        <f>IFERROR(INDEX(Produtos!$E$2:$E$71,MATCH(C542,Produtos!$A$2:$A$71,0)),0)</f>
        <v/>
      </c>
      <c r="R542" s="23">
        <f>D542*Q542</f>
        <v/>
      </c>
      <c r="S542" s="23">
        <f>R542*E542</f>
        <v/>
      </c>
      <c r="T542" s="23">
        <f>(R542-S542)*M542</f>
        <v/>
      </c>
      <c r="U542" s="23">
        <f>R542-S542-T542</f>
        <v/>
      </c>
      <c r="V542" s="23">
        <f>D542*P542</f>
        <v/>
      </c>
      <c r="W542" s="23">
        <f>U542-V542</f>
        <v/>
      </c>
      <c r="X542" s="24">
        <f>IFERROR(W542/U542,0)</f>
        <v/>
      </c>
    </row>
    <row r="543">
      <c r="A543" s="25">
        <f>ItensPedido!A543</f>
        <v/>
      </c>
      <c r="B543" s="25">
        <f>ItensPedido!B543</f>
        <v/>
      </c>
      <c r="C543" s="25">
        <f>ItensPedido!C543</f>
        <v/>
      </c>
      <c r="D543" s="25">
        <f>ItensPedido!D543</f>
        <v/>
      </c>
      <c r="E543" s="26">
        <f>ItensPedido!E543</f>
        <v/>
      </c>
      <c r="F543" s="25">
        <f>IFERROR(INDEX(Pedidos!$B$2:$B$1801,MATCH(B543,Pedidos!$A$2:$A$1801,0)),0)</f>
        <v/>
      </c>
      <c r="G543" s="25">
        <f>IF(F543=0,"",YEAR(F543))</f>
        <v/>
      </c>
      <c r="H543" s="25">
        <f>IF(F543=0,"",MONTH(F543))</f>
        <v/>
      </c>
      <c r="I543" s="25">
        <f>IFERROR(INDEX(Pedidos!$E$2:$E$1801,MATCH(B543,Pedidos!$A$2:$A$1801,0)),"")</f>
        <v/>
      </c>
      <c r="J543" s="25">
        <f>IFERROR(INDEX(Pedidos!$C$2:$C$1801,MATCH(B543,Pedidos!$A$2:$A$1801,0)),"")</f>
        <v/>
      </c>
      <c r="K543" s="25">
        <f>IFERROR(INDEX(Pedidos!$D$2:$D$1801,MATCH(B543,Pedidos!$A$2:$A$1801,0)),"")</f>
        <v/>
      </c>
      <c r="L543" s="25">
        <f>IFERROR(INDEX(Pedidos!$F$2:$F$1801,MATCH(B543,Pedidos!$A$2:$A$1801,0)),"")</f>
        <v/>
      </c>
      <c r="M543" s="26">
        <f>IFERROR(INDEX(Pedidos!$G$2:$G$1801,MATCH(B543,Pedidos!$A$2:$A$1801,0)),0)</f>
        <v/>
      </c>
      <c r="N543" s="25">
        <f>IFERROR(INDEX(Produtos!$B$2:$B$71,MATCH(C543,Produtos!$A$2:$A$71,0)),"")</f>
        <v/>
      </c>
      <c r="O543" s="25">
        <f>IFERROR(INDEX(Produtos!$C$2:$C$71,MATCH(C543,Produtos!$A$2:$A$71,0)),"")</f>
        <v/>
      </c>
      <c r="P543" s="25">
        <f>IFERROR(INDEX(Produtos!$D$2:$D$71,MATCH(C543,Produtos!$A$2:$A$71,0)),0)</f>
        <v/>
      </c>
      <c r="Q543" s="25">
        <f>IFERROR(INDEX(Produtos!$E$2:$E$71,MATCH(C543,Produtos!$A$2:$A$71,0)),0)</f>
        <v/>
      </c>
      <c r="R543" s="27">
        <f>D543*Q543</f>
        <v/>
      </c>
      <c r="S543" s="27">
        <f>R543*E543</f>
        <v/>
      </c>
      <c r="T543" s="27">
        <f>(R543-S543)*M543</f>
        <v/>
      </c>
      <c r="U543" s="27">
        <f>R543-S543-T543</f>
        <v/>
      </c>
      <c r="V543" s="27">
        <f>D543*P543</f>
        <v/>
      </c>
      <c r="W543" s="27">
        <f>U543-V543</f>
        <v/>
      </c>
      <c r="X543" s="28">
        <f>IFERROR(W543/U543,0)</f>
        <v/>
      </c>
    </row>
    <row r="544">
      <c r="A544" s="21">
        <f>ItensPedido!A544</f>
        <v/>
      </c>
      <c r="B544" s="21">
        <f>ItensPedido!B544</f>
        <v/>
      </c>
      <c r="C544" s="21">
        <f>ItensPedido!C544</f>
        <v/>
      </c>
      <c r="D544" s="21">
        <f>ItensPedido!D544</f>
        <v/>
      </c>
      <c r="E544" s="22">
        <f>ItensPedido!E544</f>
        <v/>
      </c>
      <c r="F544" s="21">
        <f>IFERROR(INDEX(Pedidos!$B$2:$B$1801,MATCH(B544,Pedidos!$A$2:$A$1801,0)),0)</f>
        <v/>
      </c>
      <c r="G544" s="21">
        <f>IF(F544=0,"",YEAR(F544))</f>
        <v/>
      </c>
      <c r="H544" s="21">
        <f>IF(F544=0,"",MONTH(F544))</f>
        <v/>
      </c>
      <c r="I544" s="21">
        <f>IFERROR(INDEX(Pedidos!$E$2:$E$1801,MATCH(B544,Pedidos!$A$2:$A$1801,0)),"")</f>
        <v/>
      </c>
      <c r="J544" s="21">
        <f>IFERROR(INDEX(Pedidos!$C$2:$C$1801,MATCH(B544,Pedidos!$A$2:$A$1801,0)),"")</f>
        <v/>
      </c>
      <c r="K544" s="21">
        <f>IFERROR(INDEX(Pedidos!$D$2:$D$1801,MATCH(B544,Pedidos!$A$2:$A$1801,0)),"")</f>
        <v/>
      </c>
      <c r="L544" s="21">
        <f>IFERROR(INDEX(Pedidos!$F$2:$F$1801,MATCH(B544,Pedidos!$A$2:$A$1801,0)),"")</f>
        <v/>
      </c>
      <c r="M544" s="22">
        <f>IFERROR(INDEX(Pedidos!$G$2:$G$1801,MATCH(B544,Pedidos!$A$2:$A$1801,0)),0)</f>
        <v/>
      </c>
      <c r="N544" s="21">
        <f>IFERROR(INDEX(Produtos!$B$2:$B$71,MATCH(C544,Produtos!$A$2:$A$71,0)),"")</f>
        <v/>
      </c>
      <c r="O544" s="21">
        <f>IFERROR(INDEX(Produtos!$C$2:$C$71,MATCH(C544,Produtos!$A$2:$A$71,0)),"")</f>
        <v/>
      </c>
      <c r="P544" s="21">
        <f>IFERROR(INDEX(Produtos!$D$2:$D$71,MATCH(C544,Produtos!$A$2:$A$71,0)),0)</f>
        <v/>
      </c>
      <c r="Q544" s="21">
        <f>IFERROR(INDEX(Produtos!$E$2:$E$71,MATCH(C544,Produtos!$A$2:$A$71,0)),0)</f>
        <v/>
      </c>
      <c r="R544" s="23">
        <f>D544*Q544</f>
        <v/>
      </c>
      <c r="S544" s="23">
        <f>R544*E544</f>
        <v/>
      </c>
      <c r="T544" s="23">
        <f>(R544-S544)*M544</f>
        <v/>
      </c>
      <c r="U544" s="23">
        <f>R544-S544-T544</f>
        <v/>
      </c>
      <c r="V544" s="23">
        <f>D544*P544</f>
        <v/>
      </c>
      <c r="W544" s="23">
        <f>U544-V544</f>
        <v/>
      </c>
      <c r="X544" s="24">
        <f>IFERROR(W544/U544,0)</f>
        <v/>
      </c>
    </row>
    <row r="545">
      <c r="A545" s="25">
        <f>ItensPedido!A545</f>
        <v/>
      </c>
      <c r="B545" s="25">
        <f>ItensPedido!B545</f>
        <v/>
      </c>
      <c r="C545" s="25">
        <f>ItensPedido!C545</f>
        <v/>
      </c>
      <c r="D545" s="25">
        <f>ItensPedido!D545</f>
        <v/>
      </c>
      <c r="E545" s="26">
        <f>ItensPedido!E545</f>
        <v/>
      </c>
      <c r="F545" s="25">
        <f>IFERROR(INDEX(Pedidos!$B$2:$B$1801,MATCH(B545,Pedidos!$A$2:$A$1801,0)),0)</f>
        <v/>
      </c>
      <c r="G545" s="25">
        <f>IF(F545=0,"",YEAR(F545))</f>
        <v/>
      </c>
      <c r="H545" s="25">
        <f>IF(F545=0,"",MONTH(F545))</f>
        <v/>
      </c>
      <c r="I545" s="25">
        <f>IFERROR(INDEX(Pedidos!$E$2:$E$1801,MATCH(B545,Pedidos!$A$2:$A$1801,0)),"")</f>
        <v/>
      </c>
      <c r="J545" s="25">
        <f>IFERROR(INDEX(Pedidos!$C$2:$C$1801,MATCH(B545,Pedidos!$A$2:$A$1801,0)),"")</f>
        <v/>
      </c>
      <c r="K545" s="25">
        <f>IFERROR(INDEX(Pedidos!$D$2:$D$1801,MATCH(B545,Pedidos!$A$2:$A$1801,0)),"")</f>
        <v/>
      </c>
      <c r="L545" s="25">
        <f>IFERROR(INDEX(Pedidos!$F$2:$F$1801,MATCH(B545,Pedidos!$A$2:$A$1801,0)),"")</f>
        <v/>
      </c>
      <c r="M545" s="26">
        <f>IFERROR(INDEX(Pedidos!$G$2:$G$1801,MATCH(B545,Pedidos!$A$2:$A$1801,0)),0)</f>
        <v/>
      </c>
      <c r="N545" s="25">
        <f>IFERROR(INDEX(Produtos!$B$2:$B$71,MATCH(C545,Produtos!$A$2:$A$71,0)),"")</f>
        <v/>
      </c>
      <c r="O545" s="25">
        <f>IFERROR(INDEX(Produtos!$C$2:$C$71,MATCH(C545,Produtos!$A$2:$A$71,0)),"")</f>
        <v/>
      </c>
      <c r="P545" s="25">
        <f>IFERROR(INDEX(Produtos!$D$2:$D$71,MATCH(C545,Produtos!$A$2:$A$71,0)),0)</f>
        <v/>
      </c>
      <c r="Q545" s="25">
        <f>IFERROR(INDEX(Produtos!$E$2:$E$71,MATCH(C545,Produtos!$A$2:$A$71,0)),0)</f>
        <v/>
      </c>
      <c r="R545" s="27">
        <f>D545*Q545</f>
        <v/>
      </c>
      <c r="S545" s="27">
        <f>R545*E545</f>
        <v/>
      </c>
      <c r="T545" s="27">
        <f>(R545-S545)*M545</f>
        <v/>
      </c>
      <c r="U545" s="27">
        <f>R545-S545-T545</f>
        <v/>
      </c>
      <c r="V545" s="27">
        <f>D545*P545</f>
        <v/>
      </c>
      <c r="W545" s="27">
        <f>U545-V545</f>
        <v/>
      </c>
      <c r="X545" s="28">
        <f>IFERROR(W545/U545,0)</f>
        <v/>
      </c>
    </row>
    <row r="546">
      <c r="A546" s="21">
        <f>ItensPedido!A546</f>
        <v/>
      </c>
      <c r="B546" s="21">
        <f>ItensPedido!B546</f>
        <v/>
      </c>
      <c r="C546" s="21">
        <f>ItensPedido!C546</f>
        <v/>
      </c>
      <c r="D546" s="21">
        <f>ItensPedido!D546</f>
        <v/>
      </c>
      <c r="E546" s="22">
        <f>ItensPedido!E546</f>
        <v/>
      </c>
      <c r="F546" s="21">
        <f>IFERROR(INDEX(Pedidos!$B$2:$B$1801,MATCH(B546,Pedidos!$A$2:$A$1801,0)),0)</f>
        <v/>
      </c>
      <c r="G546" s="21">
        <f>IF(F546=0,"",YEAR(F546))</f>
        <v/>
      </c>
      <c r="H546" s="21">
        <f>IF(F546=0,"",MONTH(F546))</f>
        <v/>
      </c>
      <c r="I546" s="21">
        <f>IFERROR(INDEX(Pedidos!$E$2:$E$1801,MATCH(B546,Pedidos!$A$2:$A$1801,0)),"")</f>
        <v/>
      </c>
      <c r="J546" s="21">
        <f>IFERROR(INDEX(Pedidos!$C$2:$C$1801,MATCH(B546,Pedidos!$A$2:$A$1801,0)),"")</f>
        <v/>
      </c>
      <c r="K546" s="21">
        <f>IFERROR(INDEX(Pedidos!$D$2:$D$1801,MATCH(B546,Pedidos!$A$2:$A$1801,0)),"")</f>
        <v/>
      </c>
      <c r="L546" s="21">
        <f>IFERROR(INDEX(Pedidos!$F$2:$F$1801,MATCH(B546,Pedidos!$A$2:$A$1801,0)),"")</f>
        <v/>
      </c>
      <c r="M546" s="22">
        <f>IFERROR(INDEX(Pedidos!$G$2:$G$1801,MATCH(B546,Pedidos!$A$2:$A$1801,0)),0)</f>
        <v/>
      </c>
      <c r="N546" s="21">
        <f>IFERROR(INDEX(Produtos!$B$2:$B$71,MATCH(C546,Produtos!$A$2:$A$71,0)),"")</f>
        <v/>
      </c>
      <c r="O546" s="21">
        <f>IFERROR(INDEX(Produtos!$C$2:$C$71,MATCH(C546,Produtos!$A$2:$A$71,0)),"")</f>
        <v/>
      </c>
      <c r="P546" s="21">
        <f>IFERROR(INDEX(Produtos!$D$2:$D$71,MATCH(C546,Produtos!$A$2:$A$71,0)),0)</f>
        <v/>
      </c>
      <c r="Q546" s="21">
        <f>IFERROR(INDEX(Produtos!$E$2:$E$71,MATCH(C546,Produtos!$A$2:$A$71,0)),0)</f>
        <v/>
      </c>
      <c r="R546" s="23">
        <f>D546*Q546</f>
        <v/>
      </c>
      <c r="S546" s="23">
        <f>R546*E546</f>
        <v/>
      </c>
      <c r="T546" s="23">
        <f>(R546-S546)*M546</f>
        <v/>
      </c>
      <c r="U546" s="23">
        <f>R546-S546-T546</f>
        <v/>
      </c>
      <c r="V546" s="23">
        <f>D546*P546</f>
        <v/>
      </c>
      <c r="W546" s="23">
        <f>U546-V546</f>
        <v/>
      </c>
      <c r="X546" s="24">
        <f>IFERROR(W546/U546,0)</f>
        <v/>
      </c>
    </row>
    <row r="547">
      <c r="A547" s="25">
        <f>ItensPedido!A547</f>
        <v/>
      </c>
      <c r="B547" s="25">
        <f>ItensPedido!B547</f>
        <v/>
      </c>
      <c r="C547" s="25">
        <f>ItensPedido!C547</f>
        <v/>
      </c>
      <c r="D547" s="25">
        <f>ItensPedido!D547</f>
        <v/>
      </c>
      <c r="E547" s="26">
        <f>ItensPedido!E547</f>
        <v/>
      </c>
      <c r="F547" s="25">
        <f>IFERROR(INDEX(Pedidos!$B$2:$B$1801,MATCH(B547,Pedidos!$A$2:$A$1801,0)),0)</f>
        <v/>
      </c>
      <c r="G547" s="25">
        <f>IF(F547=0,"",YEAR(F547))</f>
        <v/>
      </c>
      <c r="H547" s="25">
        <f>IF(F547=0,"",MONTH(F547))</f>
        <v/>
      </c>
      <c r="I547" s="25">
        <f>IFERROR(INDEX(Pedidos!$E$2:$E$1801,MATCH(B547,Pedidos!$A$2:$A$1801,0)),"")</f>
        <v/>
      </c>
      <c r="J547" s="25">
        <f>IFERROR(INDEX(Pedidos!$C$2:$C$1801,MATCH(B547,Pedidos!$A$2:$A$1801,0)),"")</f>
        <v/>
      </c>
      <c r="K547" s="25">
        <f>IFERROR(INDEX(Pedidos!$D$2:$D$1801,MATCH(B547,Pedidos!$A$2:$A$1801,0)),"")</f>
        <v/>
      </c>
      <c r="L547" s="25">
        <f>IFERROR(INDEX(Pedidos!$F$2:$F$1801,MATCH(B547,Pedidos!$A$2:$A$1801,0)),"")</f>
        <v/>
      </c>
      <c r="M547" s="26">
        <f>IFERROR(INDEX(Pedidos!$G$2:$G$1801,MATCH(B547,Pedidos!$A$2:$A$1801,0)),0)</f>
        <v/>
      </c>
      <c r="N547" s="25">
        <f>IFERROR(INDEX(Produtos!$B$2:$B$71,MATCH(C547,Produtos!$A$2:$A$71,0)),"")</f>
        <v/>
      </c>
      <c r="O547" s="25">
        <f>IFERROR(INDEX(Produtos!$C$2:$C$71,MATCH(C547,Produtos!$A$2:$A$71,0)),"")</f>
        <v/>
      </c>
      <c r="P547" s="25">
        <f>IFERROR(INDEX(Produtos!$D$2:$D$71,MATCH(C547,Produtos!$A$2:$A$71,0)),0)</f>
        <v/>
      </c>
      <c r="Q547" s="25">
        <f>IFERROR(INDEX(Produtos!$E$2:$E$71,MATCH(C547,Produtos!$A$2:$A$71,0)),0)</f>
        <v/>
      </c>
      <c r="R547" s="27">
        <f>D547*Q547</f>
        <v/>
      </c>
      <c r="S547" s="27">
        <f>R547*E547</f>
        <v/>
      </c>
      <c r="T547" s="27">
        <f>(R547-S547)*M547</f>
        <v/>
      </c>
      <c r="U547" s="27">
        <f>R547-S547-T547</f>
        <v/>
      </c>
      <c r="V547" s="27">
        <f>D547*P547</f>
        <v/>
      </c>
      <c r="W547" s="27">
        <f>U547-V547</f>
        <v/>
      </c>
      <c r="X547" s="28">
        <f>IFERROR(W547/U547,0)</f>
        <v/>
      </c>
    </row>
    <row r="548">
      <c r="A548" s="21">
        <f>ItensPedido!A548</f>
        <v/>
      </c>
      <c r="B548" s="21">
        <f>ItensPedido!B548</f>
        <v/>
      </c>
      <c r="C548" s="21">
        <f>ItensPedido!C548</f>
        <v/>
      </c>
      <c r="D548" s="21">
        <f>ItensPedido!D548</f>
        <v/>
      </c>
      <c r="E548" s="22">
        <f>ItensPedido!E548</f>
        <v/>
      </c>
      <c r="F548" s="21">
        <f>IFERROR(INDEX(Pedidos!$B$2:$B$1801,MATCH(B548,Pedidos!$A$2:$A$1801,0)),0)</f>
        <v/>
      </c>
      <c r="G548" s="21">
        <f>IF(F548=0,"",YEAR(F548))</f>
        <v/>
      </c>
      <c r="H548" s="21">
        <f>IF(F548=0,"",MONTH(F548))</f>
        <v/>
      </c>
      <c r="I548" s="21">
        <f>IFERROR(INDEX(Pedidos!$E$2:$E$1801,MATCH(B548,Pedidos!$A$2:$A$1801,0)),"")</f>
        <v/>
      </c>
      <c r="J548" s="21">
        <f>IFERROR(INDEX(Pedidos!$C$2:$C$1801,MATCH(B548,Pedidos!$A$2:$A$1801,0)),"")</f>
        <v/>
      </c>
      <c r="K548" s="21">
        <f>IFERROR(INDEX(Pedidos!$D$2:$D$1801,MATCH(B548,Pedidos!$A$2:$A$1801,0)),"")</f>
        <v/>
      </c>
      <c r="L548" s="21">
        <f>IFERROR(INDEX(Pedidos!$F$2:$F$1801,MATCH(B548,Pedidos!$A$2:$A$1801,0)),"")</f>
        <v/>
      </c>
      <c r="M548" s="22">
        <f>IFERROR(INDEX(Pedidos!$G$2:$G$1801,MATCH(B548,Pedidos!$A$2:$A$1801,0)),0)</f>
        <v/>
      </c>
      <c r="N548" s="21">
        <f>IFERROR(INDEX(Produtos!$B$2:$B$71,MATCH(C548,Produtos!$A$2:$A$71,0)),"")</f>
        <v/>
      </c>
      <c r="O548" s="21">
        <f>IFERROR(INDEX(Produtos!$C$2:$C$71,MATCH(C548,Produtos!$A$2:$A$71,0)),"")</f>
        <v/>
      </c>
      <c r="P548" s="21">
        <f>IFERROR(INDEX(Produtos!$D$2:$D$71,MATCH(C548,Produtos!$A$2:$A$71,0)),0)</f>
        <v/>
      </c>
      <c r="Q548" s="21">
        <f>IFERROR(INDEX(Produtos!$E$2:$E$71,MATCH(C548,Produtos!$A$2:$A$71,0)),0)</f>
        <v/>
      </c>
      <c r="R548" s="23">
        <f>D548*Q548</f>
        <v/>
      </c>
      <c r="S548" s="23">
        <f>R548*E548</f>
        <v/>
      </c>
      <c r="T548" s="23">
        <f>(R548-S548)*M548</f>
        <v/>
      </c>
      <c r="U548" s="23">
        <f>R548-S548-T548</f>
        <v/>
      </c>
      <c r="V548" s="23">
        <f>D548*P548</f>
        <v/>
      </c>
      <c r="W548" s="23">
        <f>U548-V548</f>
        <v/>
      </c>
      <c r="X548" s="24">
        <f>IFERROR(W548/U548,0)</f>
        <v/>
      </c>
    </row>
    <row r="549">
      <c r="A549" s="25">
        <f>ItensPedido!A549</f>
        <v/>
      </c>
      <c r="B549" s="25">
        <f>ItensPedido!B549</f>
        <v/>
      </c>
      <c r="C549" s="25">
        <f>ItensPedido!C549</f>
        <v/>
      </c>
      <c r="D549" s="25">
        <f>ItensPedido!D549</f>
        <v/>
      </c>
      <c r="E549" s="26">
        <f>ItensPedido!E549</f>
        <v/>
      </c>
      <c r="F549" s="25">
        <f>IFERROR(INDEX(Pedidos!$B$2:$B$1801,MATCH(B549,Pedidos!$A$2:$A$1801,0)),0)</f>
        <v/>
      </c>
      <c r="G549" s="25">
        <f>IF(F549=0,"",YEAR(F549))</f>
        <v/>
      </c>
      <c r="H549" s="25">
        <f>IF(F549=0,"",MONTH(F549))</f>
        <v/>
      </c>
      <c r="I549" s="25">
        <f>IFERROR(INDEX(Pedidos!$E$2:$E$1801,MATCH(B549,Pedidos!$A$2:$A$1801,0)),"")</f>
        <v/>
      </c>
      <c r="J549" s="25">
        <f>IFERROR(INDEX(Pedidos!$C$2:$C$1801,MATCH(B549,Pedidos!$A$2:$A$1801,0)),"")</f>
        <v/>
      </c>
      <c r="K549" s="25">
        <f>IFERROR(INDEX(Pedidos!$D$2:$D$1801,MATCH(B549,Pedidos!$A$2:$A$1801,0)),"")</f>
        <v/>
      </c>
      <c r="L549" s="25">
        <f>IFERROR(INDEX(Pedidos!$F$2:$F$1801,MATCH(B549,Pedidos!$A$2:$A$1801,0)),"")</f>
        <v/>
      </c>
      <c r="M549" s="26">
        <f>IFERROR(INDEX(Pedidos!$G$2:$G$1801,MATCH(B549,Pedidos!$A$2:$A$1801,0)),0)</f>
        <v/>
      </c>
      <c r="N549" s="25">
        <f>IFERROR(INDEX(Produtos!$B$2:$B$71,MATCH(C549,Produtos!$A$2:$A$71,0)),"")</f>
        <v/>
      </c>
      <c r="O549" s="25">
        <f>IFERROR(INDEX(Produtos!$C$2:$C$71,MATCH(C549,Produtos!$A$2:$A$71,0)),"")</f>
        <v/>
      </c>
      <c r="P549" s="25">
        <f>IFERROR(INDEX(Produtos!$D$2:$D$71,MATCH(C549,Produtos!$A$2:$A$71,0)),0)</f>
        <v/>
      </c>
      <c r="Q549" s="25">
        <f>IFERROR(INDEX(Produtos!$E$2:$E$71,MATCH(C549,Produtos!$A$2:$A$71,0)),0)</f>
        <v/>
      </c>
      <c r="R549" s="27">
        <f>D549*Q549</f>
        <v/>
      </c>
      <c r="S549" s="27">
        <f>R549*E549</f>
        <v/>
      </c>
      <c r="T549" s="27">
        <f>(R549-S549)*M549</f>
        <v/>
      </c>
      <c r="U549" s="27">
        <f>R549-S549-T549</f>
        <v/>
      </c>
      <c r="V549" s="27">
        <f>D549*P549</f>
        <v/>
      </c>
      <c r="W549" s="27">
        <f>U549-V549</f>
        <v/>
      </c>
      <c r="X549" s="28">
        <f>IFERROR(W549/U549,0)</f>
        <v/>
      </c>
    </row>
    <row r="550">
      <c r="A550" s="21">
        <f>ItensPedido!A550</f>
        <v/>
      </c>
      <c r="B550" s="21">
        <f>ItensPedido!B550</f>
        <v/>
      </c>
      <c r="C550" s="21">
        <f>ItensPedido!C550</f>
        <v/>
      </c>
      <c r="D550" s="21">
        <f>ItensPedido!D550</f>
        <v/>
      </c>
      <c r="E550" s="22">
        <f>ItensPedido!E550</f>
        <v/>
      </c>
      <c r="F550" s="21">
        <f>IFERROR(INDEX(Pedidos!$B$2:$B$1801,MATCH(B550,Pedidos!$A$2:$A$1801,0)),0)</f>
        <v/>
      </c>
      <c r="G550" s="21">
        <f>IF(F550=0,"",YEAR(F550))</f>
        <v/>
      </c>
      <c r="H550" s="21">
        <f>IF(F550=0,"",MONTH(F550))</f>
        <v/>
      </c>
      <c r="I550" s="21">
        <f>IFERROR(INDEX(Pedidos!$E$2:$E$1801,MATCH(B550,Pedidos!$A$2:$A$1801,0)),"")</f>
        <v/>
      </c>
      <c r="J550" s="21">
        <f>IFERROR(INDEX(Pedidos!$C$2:$C$1801,MATCH(B550,Pedidos!$A$2:$A$1801,0)),"")</f>
        <v/>
      </c>
      <c r="K550" s="21">
        <f>IFERROR(INDEX(Pedidos!$D$2:$D$1801,MATCH(B550,Pedidos!$A$2:$A$1801,0)),"")</f>
        <v/>
      </c>
      <c r="L550" s="21">
        <f>IFERROR(INDEX(Pedidos!$F$2:$F$1801,MATCH(B550,Pedidos!$A$2:$A$1801,0)),"")</f>
        <v/>
      </c>
      <c r="M550" s="22">
        <f>IFERROR(INDEX(Pedidos!$G$2:$G$1801,MATCH(B550,Pedidos!$A$2:$A$1801,0)),0)</f>
        <v/>
      </c>
      <c r="N550" s="21">
        <f>IFERROR(INDEX(Produtos!$B$2:$B$71,MATCH(C550,Produtos!$A$2:$A$71,0)),"")</f>
        <v/>
      </c>
      <c r="O550" s="21">
        <f>IFERROR(INDEX(Produtos!$C$2:$C$71,MATCH(C550,Produtos!$A$2:$A$71,0)),"")</f>
        <v/>
      </c>
      <c r="P550" s="21">
        <f>IFERROR(INDEX(Produtos!$D$2:$D$71,MATCH(C550,Produtos!$A$2:$A$71,0)),0)</f>
        <v/>
      </c>
      <c r="Q550" s="21">
        <f>IFERROR(INDEX(Produtos!$E$2:$E$71,MATCH(C550,Produtos!$A$2:$A$71,0)),0)</f>
        <v/>
      </c>
      <c r="R550" s="23">
        <f>D550*Q550</f>
        <v/>
      </c>
      <c r="S550" s="23">
        <f>R550*E550</f>
        <v/>
      </c>
      <c r="T550" s="23">
        <f>(R550-S550)*M550</f>
        <v/>
      </c>
      <c r="U550" s="23">
        <f>R550-S550-T550</f>
        <v/>
      </c>
      <c r="V550" s="23">
        <f>D550*P550</f>
        <v/>
      </c>
      <c r="W550" s="23">
        <f>U550-V550</f>
        <v/>
      </c>
      <c r="X550" s="24">
        <f>IFERROR(W550/U550,0)</f>
        <v/>
      </c>
    </row>
    <row r="551">
      <c r="A551" s="25">
        <f>ItensPedido!A551</f>
        <v/>
      </c>
      <c r="B551" s="25">
        <f>ItensPedido!B551</f>
        <v/>
      </c>
      <c r="C551" s="25">
        <f>ItensPedido!C551</f>
        <v/>
      </c>
      <c r="D551" s="25">
        <f>ItensPedido!D551</f>
        <v/>
      </c>
      <c r="E551" s="26">
        <f>ItensPedido!E551</f>
        <v/>
      </c>
      <c r="F551" s="25">
        <f>IFERROR(INDEX(Pedidos!$B$2:$B$1801,MATCH(B551,Pedidos!$A$2:$A$1801,0)),0)</f>
        <v/>
      </c>
      <c r="G551" s="25">
        <f>IF(F551=0,"",YEAR(F551))</f>
        <v/>
      </c>
      <c r="H551" s="25">
        <f>IF(F551=0,"",MONTH(F551))</f>
        <v/>
      </c>
      <c r="I551" s="25">
        <f>IFERROR(INDEX(Pedidos!$E$2:$E$1801,MATCH(B551,Pedidos!$A$2:$A$1801,0)),"")</f>
        <v/>
      </c>
      <c r="J551" s="25">
        <f>IFERROR(INDEX(Pedidos!$C$2:$C$1801,MATCH(B551,Pedidos!$A$2:$A$1801,0)),"")</f>
        <v/>
      </c>
      <c r="K551" s="25">
        <f>IFERROR(INDEX(Pedidos!$D$2:$D$1801,MATCH(B551,Pedidos!$A$2:$A$1801,0)),"")</f>
        <v/>
      </c>
      <c r="L551" s="25">
        <f>IFERROR(INDEX(Pedidos!$F$2:$F$1801,MATCH(B551,Pedidos!$A$2:$A$1801,0)),"")</f>
        <v/>
      </c>
      <c r="M551" s="26">
        <f>IFERROR(INDEX(Pedidos!$G$2:$G$1801,MATCH(B551,Pedidos!$A$2:$A$1801,0)),0)</f>
        <v/>
      </c>
      <c r="N551" s="25">
        <f>IFERROR(INDEX(Produtos!$B$2:$B$71,MATCH(C551,Produtos!$A$2:$A$71,0)),"")</f>
        <v/>
      </c>
      <c r="O551" s="25">
        <f>IFERROR(INDEX(Produtos!$C$2:$C$71,MATCH(C551,Produtos!$A$2:$A$71,0)),"")</f>
        <v/>
      </c>
      <c r="P551" s="25">
        <f>IFERROR(INDEX(Produtos!$D$2:$D$71,MATCH(C551,Produtos!$A$2:$A$71,0)),0)</f>
        <v/>
      </c>
      <c r="Q551" s="25">
        <f>IFERROR(INDEX(Produtos!$E$2:$E$71,MATCH(C551,Produtos!$A$2:$A$71,0)),0)</f>
        <v/>
      </c>
      <c r="R551" s="27">
        <f>D551*Q551</f>
        <v/>
      </c>
      <c r="S551" s="27">
        <f>R551*E551</f>
        <v/>
      </c>
      <c r="T551" s="27">
        <f>(R551-S551)*M551</f>
        <v/>
      </c>
      <c r="U551" s="27">
        <f>R551-S551-T551</f>
        <v/>
      </c>
      <c r="V551" s="27">
        <f>D551*P551</f>
        <v/>
      </c>
      <c r="W551" s="27">
        <f>U551-V551</f>
        <v/>
      </c>
      <c r="X551" s="28">
        <f>IFERROR(W551/U551,0)</f>
        <v/>
      </c>
    </row>
    <row r="552">
      <c r="A552" s="21">
        <f>ItensPedido!A552</f>
        <v/>
      </c>
      <c r="B552" s="21">
        <f>ItensPedido!B552</f>
        <v/>
      </c>
      <c r="C552" s="21">
        <f>ItensPedido!C552</f>
        <v/>
      </c>
      <c r="D552" s="21">
        <f>ItensPedido!D552</f>
        <v/>
      </c>
      <c r="E552" s="22">
        <f>ItensPedido!E552</f>
        <v/>
      </c>
      <c r="F552" s="21">
        <f>IFERROR(INDEX(Pedidos!$B$2:$B$1801,MATCH(B552,Pedidos!$A$2:$A$1801,0)),0)</f>
        <v/>
      </c>
      <c r="G552" s="21">
        <f>IF(F552=0,"",YEAR(F552))</f>
        <v/>
      </c>
      <c r="H552" s="21">
        <f>IF(F552=0,"",MONTH(F552))</f>
        <v/>
      </c>
      <c r="I552" s="21">
        <f>IFERROR(INDEX(Pedidos!$E$2:$E$1801,MATCH(B552,Pedidos!$A$2:$A$1801,0)),"")</f>
        <v/>
      </c>
      <c r="J552" s="21">
        <f>IFERROR(INDEX(Pedidos!$C$2:$C$1801,MATCH(B552,Pedidos!$A$2:$A$1801,0)),"")</f>
        <v/>
      </c>
      <c r="K552" s="21">
        <f>IFERROR(INDEX(Pedidos!$D$2:$D$1801,MATCH(B552,Pedidos!$A$2:$A$1801,0)),"")</f>
        <v/>
      </c>
      <c r="L552" s="21">
        <f>IFERROR(INDEX(Pedidos!$F$2:$F$1801,MATCH(B552,Pedidos!$A$2:$A$1801,0)),"")</f>
        <v/>
      </c>
      <c r="M552" s="22">
        <f>IFERROR(INDEX(Pedidos!$G$2:$G$1801,MATCH(B552,Pedidos!$A$2:$A$1801,0)),0)</f>
        <v/>
      </c>
      <c r="N552" s="21">
        <f>IFERROR(INDEX(Produtos!$B$2:$B$71,MATCH(C552,Produtos!$A$2:$A$71,0)),"")</f>
        <v/>
      </c>
      <c r="O552" s="21">
        <f>IFERROR(INDEX(Produtos!$C$2:$C$71,MATCH(C552,Produtos!$A$2:$A$71,0)),"")</f>
        <v/>
      </c>
      <c r="P552" s="21">
        <f>IFERROR(INDEX(Produtos!$D$2:$D$71,MATCH(C552,Produtos!$A$2:$A$71,0)),0)</f>
        <v/>
      </c>
      <c r="Q552" s="21">
        <f>IFERROR(INDEX(Produtos!$E$2:$E$71,MATCH(C552,Produtos!$A$2:$A$71,0)),0)</f>
        <v/>
      </c>
      <c r="R552" s="23">
        <f>D552*Q552</f>
        <v/>
      </c>
      <c r="S552" s="23">
        <f>R552*E552</f>
        <v/>
      </c>
      <c r="T552" s="23">
        <f>(R552-S552)*M552</f>
        <v/>
      </c>
      <c r="U552" s="23">
        <f>R552-S552-T552</f>
        <v/>
      </c>
      <c r="V552" s="23">
        <f>D552*P552</f>
        <v/>
      </c>
      <c r="W552" s="23">
        <f>U552-V552</f>
        <v/>
      </c>
      <c r="X552" s="24">
        <f>IFERROR(W552/U552,0)</f>
        <v/>
      </c>
    </row>
    <row r="553">
      <c r="A553" s="25">
        <f>ItensPedido!A553</f>
        <v/>
      </c>
      <c r="B553" s="25">
        <f>ItensPedido!B553</f>
        <v/>
      </c>
      <c r="C553" s="25">
        <f>ItensPedido!C553</f>
        <v/>
      </c>
      <c r="D553" s="25">
        <f>ItensPedido!D553</f>
        <v/>
      </c>
      <c r="E553" s="26">
        <f>ItensPedido!E553</f>
        <v/>
      </c>
      <c r="F553" s="25">
        <f>IFERROR(INDEX(Pedidos!$B$2:$B$1801,MATCH(B553,Pedidos!$A$2:$A$1801,0)),0)</f>
        <v/>
      </c>
      <c r="G553" s="25">
        <f>IF(F553=0,"",YEAR(F553))</f>
        <v/>
      </c>
      <c r="H553" s="25">
        <f>IF(F553=0,"",MONTH(F553))</f>
        <v/>
      </c>
      <c r="I553" s="25">
        <f>IFERROR(INDEX(Pedidos!$E$2:$E$1801,MATCH(B553,Pedidos!$A$2:$A$1801,0)),"")</f>
        <v/>
      </c>
      <c r="J553" s="25">
        <f>IFERROR(INDEX(Pedidos!$C$2:$C$1801,MATCH(B553,Pedidos!$A$2:$A$1801,0)),"")</f>
        <v/>
      </c>
      <c r="K553" s="25">
        <f>IFERROR(INDEX(Pedidos!$D$2:$D$1801,MATCH(B553,Pedidos!$A$2:$A$1801,0)),"")</f>
        <v/>
      </c>
      <c r="L553" s="25">
        <f>IFERROR(INDEX(Pedidos!$F$2:$F$1801,MATCH(B553,Pedidos!$A$2:$A$1801,0)),"")</f>
        <v/>
      </c>
      <c r="M553" s="26">
        <f>IFERROR(INDEX(Pedidos!$G$2:$G$1801,MATCH(B553,Pedidos!$A$2:$A$1801,0)),0)</f>
        <v/>
      </c>
      <c r="N553" s="25">
        <f>IFERROR(INDEX(Produtos!$B$2:$B$71,MATCH(C553,Produtos!$A$2:$A$71,0)),"")</f>
        <v/>
      </c>
      <c r="O553" s="25">
        <f>IFERROR(INDEX(Produtos!$C$2:$C$71,MATCH(C553,Produtos!$A$2:$A$71,0)),"")</f>
        <v/>
      </c>
      <c r="P553" s="25">
        <f>IFERROR(INDEX(Produtos!$D$2:$D$71,MATCH(C553,Produtos!$A$2:$A$71,0)),0)</f>
        <v/>
      </c>
      <c r="Q553" s="25">
        <f>IFERROR(INDEX(Produtos!$E$2:$E$71,MATCH(C553,Produtos!$A$2:$A$71,0)),0)</f>
        <v/>
      </c>
      <c r="R553" s="27">
        <f>D553*Q553</f>
        <v/>
      </c>
      <c r="S553" s="27">
        <f>R553*E553</f>
        <v/>
      </c>
      <c r="T553" s="27">
        <f>(R553-S553)*M553</f>
        <v/>
      </c>
      <c r="U553" s="27">
        <f>R553-S553-T553</f>
        <v/>
      </c>
      <c r="V553" s="27">
        <f>D553*P553</f>
        <v/>
      </c>
      <c r="W553" s="27">
        <f>U553-V553</f>
        <v/>
      </c>
      <c r="X553" s="28">
        <f>IFERROR(W553/U553,0)</f>
        <v/>
      </c>
    </row>
    <row r="554">
      <c r="A554" s="21">
        <f>ItensPedido!A554</f>
        <v/>
      </c>
      <c r="B554" s="21">
        <f>ItensPedido!B554</f>
        <v/>
      </c>
      <c r="C554" s="21">
        <f>ItensPedido!C554</f>
        <v/>
      </c>
      <c r="D554" s="21">
        <f>ItensPedido!D554</f>
        <v/>
      </c>
      <c r="E554" s="22">
        <f>ItensPedido!E554</f>
        <v/>
      </c>
      <c r="F554" s="21">
        <f>IFERROR(INDEX(Pedidos!$B$2:$B$1801,MATCH(B554,Pedidos!$A$2:$A$1801,0)),0)</f>
        <v/>
      </c>
      <c r="G554" s="21">
        <f>IF(F554=0,"",YEAR(F554))</f>
        <v/>
      </c>
      <c r="H554" s="21">
        <f>IF(F554=0,"",MONTH(F554))</f>
        <v/>
      </c>
      <c r="I554" s="21">
        <f>IFERROR(INDEX(Pedidos!$E$2:$E$1801,MATCH(B554,Pedidos!$A$2:$A$1801,0)),"")</f>
        <v/>
      </c>
      <c r="J554" s="21">
        <f>IFERROR(INDEX(Pedidos!$C$2:$C$1801,MATCH(B554,Pedidos!$A$2:$A$1801,0)),"")</f>
        <v/>
      </c>
      <c r="K554" s="21">
        <f>IFERROR(INDEX(Pedidos!$D$2:$D$1801,MATCH(B554,Pedidos!$A$2:$A$1801,0)),"")</f>
        <v/>
      </c>
      <c r="L554" s="21">
        <f>IFERROR(INDEX(Pedidos!$F$2:$F$1801,MATCH(B554,Pedidos!$A$2:$A$1801,0)),"")</f>
        <v/>
      </c>
      <c r="M554" s="22">
        <f>IFERROR(INDEX(Pedidos!$G$2:$G$1801,MATCH(B554,Pedidos!$A$2:$A$1801,0)),0)</f>
        <v/>
      </c>
      <c r="N554" s="21">
        <f>IFERROR(INDEX(Produtos!$B$2:$B$71,MATCH(C554,Produtos!$A$2:$A$71,0)),"")</f>
        <v/>
      </c>
      <c r="O554" s="21">
        <f>IFERROR(INDEX(Produtos!$C$2:$C$71,MATCH(C554,Produtos!$A$2:$A$71,0)),"")</f>
        <v/>
      </c>
      <c r="P554" s="21">
        <f>IFERROR(INDEX(Produtos!$D$2:$D$71,MATCH(C554,Produtos!$A$2:$A$71,0)),0)</f>
        <v/>
      </c>
      <c r="Q554" s="21">
        <f>IFERROR(INDEX(Produtos!$E$2:$E$71,MATCH(C554,Produtos!$A$2:$A$71,0)),0)</f>
        <v/>
      </c>
      <c r="R554" s="23">
        <f>D554*Q554</f>
        <v/>
      </c>
      <c r="S554" s="23">
        <f>R554*E554</f>
        <v/>
      </c>
      <c r="T554" s="23">
        <f>(R554-S554)*M554</f>
        <v/>
      </c>
      <c r="U554" s="23">
        <f>R554-S554-T554</f>
        <v/>
      </c>
      <c r="V554" s="23">
        <f>D554*P554</f>
        <v/>
      </c>
      <c r="W554" s="23">
        <f>U554-V554</f>
        <v/>
      </c>
      <c r="X554" s="24">
        <f>IFERROR(W554/U554,0)</f>
        <v/>
      </c>
    </row>
    <row r="555">
      <c r="A555" s="25">
        <f>ItensPedido!A555</f>
        <v/>
      </c>
      <c r="B555" s="25">
        <f>ItensPedido!B555</f>
        <v/>
      </c>
      <c r="C555" s="25">
        <f>ItensPedido!C555</f>
        <v/>
      </c>
      <c r="D555" s="25">
        <f>ItensPedido!D555</f>
        <v/>
      </c>
      <c r="E555" s="26">
        <f>ItensPedido!E555</f>
        <v/>
      </c>
      <c r="F555" s="25">
        <f>IFERROR(INDEX(Pedidos!$B$2:$B$1801,MATCH(B555,Pedidos!$A$2:$A$1801,0)),0)</f>
        <v/>
      </c>
      <c r="G555" s="25">
        <f>IF(F555=0,"",YEAR(F555))</f>
        <v/>
      </c>
      <c r="H555" s="25">
        <f>IF(F555=0,"",MONTH(F555))</f>
        <v/>
      </c>
      <c r="I555" s="25">
        <f>IFERROR(INDEX(Pedidos!$E$2:$E$1801,MATCH(B555,Pedidos!$A$2:$A$1801,0)),"")</f>
        <v/>
      </c>
      <c r="J555" s="25">
        <f>IFERROR(INDEX(Pedidos!$C$2:$C$1801,MATCH(B555,Pedidos!$A$2:$A$1801,0)),"")</f>
        <v/>
      </c>
      <c r="K555" s="25">
        <f>IFERROR(INDEX(Pedidos!$D$2:$D$1801,MATCH(B555,Pedidos!$A$2:$A$1801,0)),"")</f>
        <v/>
      </c>
      <c r="L555" s="25">
        <f>IFERROR(INDEX(Pedidos!$F$2:$F$1801,MATCH(B555,Pedidos!$A$2:$A$1801,0)),"")</f>
        <v/>
      </c>
      <c r="M555" s="26">
        <f>IFERROR(INDEX(Pedidos!$G$2:$G$1801,MATCH(B555,Pedidos!$A$2:$A$1801,0)),0)</f>
        <v/>
      </c>
      <c r="N555" s="25">
        <f>IFERROR(INDEX(Produtos!$B$2:$B$71,MATCH(C555,Produtos!$A$2:$A$71,0)),"")</f>
        <v/>
      </c>
      <c r="O555" s="25">
        <f>IFERROR(INDEX(Produtos!$C$2:$C$71,MATCH(C555,Produtos!$A$2:$A$71,0)),"")</f>
        <v/>
      </c>
      <c r="P555" s="25">
        <f>IFERROR(INDEX(Produtos!$D$2:$D$71,MATCH(C555,Produtos!$A$2:$A$71,0)),0)</f>
        <v/>
      </c>
      <c r="Q555" s="25">
        <f>IFERROR(INDEX(Produtos!$E$2:$E$71,MATCH(C555,Produtos!$A$2:$A$71,0)),0)</f>
        <v/>
      </c>
      <c r="R555" s="27">
        <f>D555*Q555</f>
        <v/>
      </c>
      <c r="S555" s="27">
        <f>R555*E555</f>
        <v/>
      </c>
      <c r="T555" s="27">
        <f>(R555-S555)*M555</f>
        <v/>
      </c>
      <c r="U555" s="27">
        <f>R555-S555-T555</f>
        <v/>
      </c>
      <c r="V555" s="27">
        <f>D555*P555</f>
        <v/>
      </c>
      <c r="W555" s="27">
        <f>U555-V555</f>
        <v/>
      </c>
      <c r="X555" s="28">
        <f>IFERROR(W555/U555,0)</f>
        <v/>
      </c>
    </row>
    <row r="556">
      <c r="A556" s="21">
        <f>ItensPedido!A556</f>
        <v/>
      </c>
      <c r="B556" s="21">
        <f>ItensPedido!B556</f>
        <v/>
      </c>
      <c r="C556" s="21">
        <f>ItensPedido!C556</f>
        <v/>
      </c>
      <c r="D556" s="21">
        <f>ItensPedido!D556</f>
        <v/>
      </c>
      <c r="E556" s="22">
        <f>ItensPedido!E556</f>
        <v/>
      </c>
      <c r="F556" s="21">
        <f>IFERROR(INDEX(Pedidos!$B$2:$B$1801,MATCH(B556,Pedidos!$A$2:$A$1801,0)),0)</f>
        <v/>
      </c>
      <c r="G556" s="21">
        <f>IF(F556=0,"",YEAR(F556))</f>
        <v/>
      </c>
      <c r="H556" s="21">
        <f>IF(F556=0,"",MONTH(F556))</f>
        <v/>
      </c>
      <c r="I556" s="21">
        <f>IFERROR(INDEX(Pedidos!$E$2:$E$1801,MATCH(B556,Pedidos!$A$2:$A$1801,0)),"")</f>
        <v/>
      </c>
      <c r="J556" s="21">
        <f>IFERROR(INDEX(Pedidos!$C$2:$C$1801,MATCH(B556,Pedidos!$A$2:$A$1801,0)),"")</f>
        <v/>
      </c>
      <c r="K556" s="21">
        <f>IFERROR(INDEX(Pedidos!$D$2:$D$1801,MATCH(B556,Pedidos!$A$2:$A$1801,0)),"")</f>
        <v/>
      </c>
      <c r="L556" s="21">
        <f>IFERROR(INDEX(Pedidos!$F$2:$F$1801,MATCH(B556,Pedidos!$A$2:$A$1801,0)),"")</f>
        <v/>
      </c>
      <c r="M556" s="22">
        <f>IFERROR(INDEX(Pedidos!$G$2:$G$1801,MATCH(B556,Pedidos!$A$2:$A$1801,0)),0)</f>
        <v/>
      </c>
      <c r="N556" s="21">
        <f>IFERROR(INDEX(Produtos!$B$2:$B$71,MATCH(C556,Produtos!$A$2:$A$71,0)),"")</f>
        <v/>
      </c>
      <c r="O556" s="21">
        <f>IFERROR(INDEX(Produtos!$C$2:$C$71,MATCH(C556,Produtos!$A$2:$A$71,0)),"")</f>
        <v/>
      </c>
      <c r="P556" s="21">
        <f>IFERROR(INDEX(Produtos!$D$2:$D$71,MATCH(C556,Produtos!$A$2:$A$71,0)),0)</f>
        <v/>
      </c>
      <c r="Q556" s="21">
        <f>IFERROR(INDEX(Produtos!$E$2:$E$71,MATCH(C556,Produtos!$A$2:$A$71,0)),0)</f>
        <v/>
      </c>
      <c r="R556" s="23">
        <f>D556*Q556</f>
        <v/>
      </c>
      <c r="S556" s="23">
        <f>R556*E556</f>
        <v/>
      </c>
      <c r="T556" s="23">
        <f>(R556-S556)*M556</f>
        <v/>
      </c>
      <c r="U556" s="23">
        <f>R556-S556-T556</f>
        <v/>
      </c>
      <c r="V556" s="23">
        <f>D556*P556</f>
        <v/>
      </c>
      <c r="W556" s="23">
        <f>U556-V556</f>
        <v/>
      </c>
      <c r="X556" s="24">
        <f>IFERROR(W556/U556,0)</f>
        <v/>
      </c>
    </row>
    <row r="557">
      <c r="A557" s="25">
        <f>ItensPedido!A557</f>
        <v/>
      </c>
      <c r="B557" s="25">
        <f>ItensPedido!B557</f>
        <v/>
      </c>
      <c r="C557" s="25">
        <f>ItensPedido!C557</f>
        <v/>
      </c>
      <c r="D557" s="25">
        <f>ItensPedido!D557</f>
        <v/>
      </c>
      <c r="E557" s="26">
        <f>ItensPedido!E557</f>
        <v/>
      </c>
      <c r="F557" s="25">
        <f>IFERROR(INDEX(Pedidos!$B$2:$B$1801,MATCH(B557,Pedidos!$A$2:$A$1801,0)),0)</f>
        <v/>
      </c>
      <c r="G557" s="25">
        <f>IF(F557=0,"",YEAR(F557))</f>
        <v/>
      </c>
      <c r="H557" s="25">
        <f>IF(F557=0,"",MONTH(F557))</f>
        <v/>
      </c>
      <c r="I557" s="25">
        <f>IFERROR(INDEX(Pedidos!$E$2:$E$1801,MATCH(B557,Pedidos!$A$2:$A$1801,0)),"")</f>
        <v/>
      </c>
      <c r="J557" s="25">
        <f>IFERROR(INDEX(Pedidos!$C$2:$C$1801,MATCH(B557,Pedidos!$A$2:$A$1801,0)),"")</f>
        <v/>
      </c>
      <c r="K557" s="25">
        <f>IFERROR(INDEX(Pedidos!$D$2:$D$1801,MATCH(B557,Pedidos!$A$2:$A$1801,0)),"")</f>
        <v/>
      </c>
      <c r="L557" s="25">
        <f>IFERROR(INDEX(Pedidos!$F$2:$F$1801,MATCH(B557,Pedidos!$A$2:$A$1801,0)),"")</f>
        <v/>
      </c>
      <c r="M557" s="26">
        <f>IFERROR(INDEX(Pedidos!$G$2:$G$1801,MATCH(B557,Pedidos!$A$2:$A$1801,0)),0)</f>
        <v/>
      </c>
      <c r="N557" s="25">
        <f>IFERROR(INDEX(Produtos!$B$2:$B$71,MATCH(C557,Produtos!$A$2:$A$71,0)),"")</f>
        <v/>
      </c>
      <c r="O557" s="25">
        <f>IFERROR(INDEX(Produtos!$C$2:$C$71,MATCH(C557,Produtos!$A$2:$A$71,0)),"")</f>
        <v/>
      </c>
      <c r="P557" s="25">
        <f>IFERROR(INDEX(Produtos!$D$2:$D$71,MATCH(C557,Produtos!$A$2:$A$71,0)),0)</f>
        <v/>
      </c>
      <c r="Q557" s="25">
        <f>IFERROR(INDEX(Produtos!$E$2:$E$71,MATCH(C557,Produtos!$A$2:$A$71,0)),0)</f>
        <v/>
      </c>
      <c r="R557" s="27">
        <f>D557*Q557</f>
        <v/>
      </c>
      <c r="S557" s="27">
        <f>R557*E557</f>
        <v/>
      </c>
      <c r="T557" s="27">
        <f>(R557-S557)*M557</f>
        <v/>
      </c>
      <c r="U557" s="27">
        <f>R557-S557-T557</f>
        <v/>
      </c>
      <c r="V557" s="27">
        <f>D557*P557</f>
        <v/>
      </c>
      <c r="W557" s="27">
        <f>U557-V557</f>
        <v/>
      </c>
      <c r="X557" s="28">
        <f>IFERROR(W557/U557,0)</f>
        <v/>
      </c>
    </row>
    <row r="558">
      <c r="A558" s="21">
        <f>ItensPedido!A558</f>
        <v/>
      </c>
      <c r="B558" s="21">
        <f>ItensPedido!B558</f>
        <v/>
      </c>
      <c r="C558" s="21">
        <f>ItensPedido!C558</f>
        <v/>
      </c>
      <c r="D558" s="21">
        <f>ItensPedido!D558</f>
        <v/>
      </c>
      <c r="E558" s="22">
        <f>ItensPedido!E558</f>
        <v/>
      </c>
      <c r="F558" s="21">
        <f>IFERROR(INDEX(Pedidos!$B$2:$B$1801,MATCH(B558,Pedidos!$A$2:$A$1801,0)),0)</f>
        <v/>
      </c>
      <c r="G558" s="21">
        <f>IF(F558=0,"",YEAR(F558))</f>
        <v/>
      </c>
      <c r="H558" s="21">
        <f>IF(F558=0,"",MONTH(F558))</f>
        <v/>
      </c>
      <c r="I558" s="21">
        <f>IFERROR(INDEX(Pedidos!$E$2:$E$1801,MATCH(B558,Pedidos!$A$2:$A$1801,0)),"")</f>
        <v/>
      </c>
      <c r="J558" s="21">
        <f>IFERROR(INDEX(Pedidos!$C$2:$C$1801,MATCH(B558,Pedidos!$A$2:$A$1801,0)),"")</f>
        <v/>
      </c>
      <c r="K558" s="21">
        <f>IFERROR(INDEX(Pedidos!$D$2:$D$1801,MATCH(B558,Pedidos!$A$2:$A$1801,0)),"")</f>
        <v/>
      </c>
      <c r="L558" s="21">
        <f>IFERROR(INDEX(Pedidos!$F$2:$F$1801,MATCH(B558,Pedidos!$A$2:$A$1801,0)),"")</f>
        <v/>
      </c>
      <c r="M558" s="22">
        <f>IFERROR(INDEX(Pedidos!$G$2:$G$1801,MATCH(B558,Pedidos!$A$2:$A$1801,0)),0)</f>
        <v/>
      </c>
      <c r="N558" s="21">
        <f>IFERROR(INDEX(Produtos!$B$2:$B$71,MATCH(C558,Produtos!$A$2:$A$71,0)),"")</f>
        <v/>
      </c>
      <c r="O558" s="21">
        <f>IFERROR(INDEX(Produtos!$C$2:$C$71,MATCH(C558,Produtos!$A$2:$A$71,0)),"")</f>
        <v/>
      </c>
      <c r="P558" s="21">
        <f>IFERROR(INDEX(Produtos!$D$2:$D$71,MATCH(C558,Produtos!$A$2:$A$71,0)),0)</f>
        <v/>
      </c>
      <c r="Q558" s="21">
        <f>IFERROR(INDEX(Produtos!$E$2:$E$71,MATCH(C558,Produtos!$A$2:$A$71,0)),0)</f>
        <v/>
      </c>
      <c r="R558" s="23">
        <f>D558*Q558</f>
        <v/>
      </c>
      <c r="S558" s="23">
        <f>R558*E558</f>
        <v/>
      </c>
      <c r="T558" s="23">
        <f>(R558-S558)*M558</f>
        <v/>
      </c>
      <c r="U558" s="23">
        <f>R558-S558-T558</f>
        <v/>
      </c>
      <c r="V558" s="23">
        <f>D558*P558</f>
        <v/>
      </c>
      <c r="W558" s="23">
        <f>U558-V558</f>
        <v/>
      </c>
      <c r="X558" s="24">
        <f>IFERROR(W558/U558,0)</f>
        <v/>
      </c>
    </row>
    <row r="559">
      <c r="A559" s="25">
        <f>ItensPedido!A559</f>
        <v/>
      </c>
      <c r="B559" s="25">
        <f>ItensPedido!B559</f>
        <v/>
      </c>
      <c r="C559" s="25">
        <f>ItensPedido!C559</f>
        <v/>
      </c>
      <c r="D559" s="25">
        <f>ItensPedido!D559</f>
        <v/>
      </c>
      <c r="E559" s="26">
        <f>ItensPedido!E559</f>
        <v/>
      </c>
      <c r="F559" s="25">
        <f>IFERROR(INDEX(Pedidos!$B$2:$B$1801,MATCH(B559,Pedidos!$A$2:$A$1801,0)),0)</f>
        <v/>
      </c>
      <c r="G559" s="25">
        <f>IF(F559=0,"",YEAR(F559))</f>
        <v/>
      </c>
      <c r="H559" s="25">
        <f>IF(F559=0,"",MONTH(F559))</f>
        <v/>
      </c>
      <c r="I559" s="25">
        <f>IFERROR(INDEX(Pedidos!$E$2:$E$1801,MATCH(B559,Pedidos!$A$2:$A$1801,0)),"")</f>
        <v/>
      </c>
      <c r="J559" s="25">
        <f>IFERROR(INDEX(Pedidos!$C$2:$C$1801,MATCH(B559,Pedidos!$A$2:$A$1801,0)),"")</f>
        <v/>
      </c>
      <c r="K559" s="25">
        <f>IFERROR(INDEX(Pedidos!$D$2:$D$1801,MATCH(B559,Pedidos!$A$2:$A$1801,0)),"")</f>
        <v/>
      </c>
      <c r="L559" s="25">
        <f>IFERROR(INDEX(Pedidos!$F$2:$F$1801,MATCH(B559,Pedidos!$A$2:$A$1801,0)),"")</f>
        <v/>
      </c>
      <c r="M559" s="26">
        <f>IFERROR(INDEX(Pedidos!$G$2:$G$1801,MATCH(B559,Pedidos!$A$2:$A$1801,0)),0)</f>
        <v/>
      </c>
      <c r="N559" s="25">
        <f>IFERROR(INDEX(Produtos!$B$2:$B$71,MATCH(C559,Produtos!$A$2:$A$71,0)),"")</f>
        <v/>
      </c>
      <c r="O559" s="25">
        <f>IFERROR(INDEX(Produtos!$C$2:$C$71,MATCH(C559,Produtos!$A$2:$A$71,0)),"")</f>
        <v/>
      </c>
      <c r="P559" s="25">
        <f>IFERROR(INDEX(Produtos!$D$2:$D$71,MATCH(C559,Produtos!$A$2:$A$71,0)),0)</f>
        <v/>
      </c>
      <c r="Q559" s="25">
        <f>IFERROR(INDEX(Produtos!$E$2:$E$71,MATCH(C559,Produtos!$A$2:$A$71,0)),0)</f>
        <v/>
      </c>
      <c r="R559" s="27">
        <f>D559*Q559</f>
        <v/>
      </c>
      <c r="S559" s="27">
        <f>R559*E559</f>
        <v/>
      </c>
      <c r="T559" s="27">
        <f>(R559-S559)*M559</f>
        <v/>
      </c>
      <c r="U559" s="27">
        <f>R559-S559-T559</f>
        <v/>
      </c>
      <c r="V559" s="27">
        <f>D559*P559</f>
        <v/>
      </c>
      <c r="W559" s="27">
        <f>U559-V559</f>
        <v/>
      </c>
      <c r="X559" s="28">
        <f>IFERROR(W559/U559,0)</f>
        <v/>
      </c>
    </row>
    <row r="560">
      <c r="A560" s="21">
        <f>ItensPedido!A560</f>
        <v/>
      </c>
      <c r="B560" s="21">
        <f>ItensPedido!B560</f>
        <v/>
      </c>
      <c r="C560" s="21">
        <f>ItensPedido!C560</f>
        <v/>
      </c>
      <c r="D560" s="21">
        <f>ItensPedido!D560</f>
        <v/>
      </c>
      <c r="E560" s="22">
        <f>ItensPedido!E560</f>
        <v/>
      </c>
      <c r="F560" s="21">
        <f>IFERROR(INDEX(Pedidos!$B$2:$B$1801,MATCH(B560,Pedidos!$A$2:$A$1801,0)),0)</f>
        <v/>
      </c>
      <c r="G560" s="21">
        <f>IF(F560=0,"",YEAR(F560))</f>
        <v/>
      </c>
      <c r="H560" s="21">
        <f>IF(F560=0,"",MONTH(F560))</f>
        <v/>
      </c>
      <c r="I560" s="21">
        <f>IFERROR(INDEX(Pedidos!$E$2:$E$1801,MATCH(B560,Pedidos!$A$2:$A$1801,0)),"")</f>
        <v/>
      </c>
      <c r="J560" s="21">
        <f>IFERROR(INDEX(Pedidos!$C$2:$C$1801,MATCH(B560,Pedidos!$A$2:$A$1801,0)),"")</f>
        <v/>
      </c>
      <c r="K560" s="21">
        <f>IFERROR(INDEX(Pedidos!$D$2:$D$1801,MATCH(B560,Pedidos!$A$2:$A$1801,0)),"")</f>
        <v/>
      </c>
      <c r="L560" s="21">
        <f>IFERROR(INDEX(Pedidos!$F$2:$F$1801,MATCH(B560,Pedidos!$A$2:$A$1801,0)),"")</f>
        <v/>
      </c>
      <c r="M560" s="22">
        <f>IFERROR(INDEX(Pedidos!$G$2:$G$1801,MATCH(B560,Pedidos!$A$2:$A$1801,0)),0)</f>
        <v/>
      </c>
      <c r="N560" s="21">
        <f>IFERROR(INDEX(Produtos!$B$2:$B$71,MATCH(C560,Produtos!$A$2:$A$71,0)),"")</f>
        <v/>
      </c>
      <c r="O560" s="21">
        <f>IFERROR(INDEX(Produtos!$C$2:$C$71,MATCH(C560,Produtos!$A$2:$A$71,0)),"")</f>
        <v/>
      </c>
      <c r="P560" s="21">
        <f>IFERROR(INDEX(Produtos!$D$2:$D$71,MATCH(C560,Produtos!$A$2:$A$71,0)),0)</f>
        <v/>
      </c>
      <c r="Q560" s="21">
        <f>IFERROR(INDEX(Produtos!$E$2:$E$71,MATCH(C560,Produtos!$A$2:$A$71,0)),0)</f>
        <v/>
      </c>
      <c r="R560" s="23">
        <f>D560*Q560</f>
        <v/>
      </c>
      <c r="S560" s="23">
        <f>R560*E560</f>
        <v/>
      </c>
      <c r="T560" s="23">
        <f>(R560-S560)*M560</f>
        <v/>
      </c>
      <c r="U560" s="23">
        <f>R560-S560-T560</f>
        <v/>
      </c>
      <c r="V560" s="23">
        <f>D560*P560</f>
        <v/>
      </c>
      <c r="W560" s="23">
        <f>U560-V560</f>
        <v/>
      </c>
      <c r="X560" s="24">
        <f>IFERROR(W560/U560,0)</f>
        <v/>
      </c>
    </row>
    <row r="561">
      <c r="A561" s="25">
        <f>ItensPedido!A561</f>
        <v/>
      </c>
      <c r="B561" s="25">
        <f>ItensPedido!B561</f>
        <v/>
      </c>
      <c r="C561" s="25">
        <f>ItensPedido!C561</f>
        <v/>
      </c>
      <c r="D561" s="25">
        <f>ItensPedido!D561</f>
        <v/>
      </c>
      <c r="E561" s="26">
        <f>ItensPedido!E561</f>
        <v/>
      </c>
      <c r="F561" s="25">
        <f>IFERROR(INDEX(Pedidos!$B$2:$B$1801,MATCH(B561,Pedidos!$A$2:$A$1801,0)),0)</f>
        <v/>
      </c>
      <c r="G561" s="25">
        <f>IF(F561=0,"",YEAR(F561))</f>
        <v/>
      </c>
      <c r="H561" s="25">
        <f>IF(F561=0,"",MONTH(F561))</f>
        <v/>
      </c>
      <c r="I561" s="25">
        <f>IFERROR(INDEX(Pedidos!$E$2:$E$1801,MATCH(B561,Pedidos!$A$2:$A$1801,0)),"")</f>
        <v/>
      </c>
      <c r="J561" s="25">
        <f>IFERROR(INDEX(Pedidos!$C$2:$C$1801,MATCH(B561,Pedidos!$A$2:$A$1801,0)),"")</f>
        <v/>
      </c>
      <c r="K561" s="25">
        <f>IFERROR(INDEX(Pedidos!$D$2:$D$1801,MATCH(B561,Pedidos!$A$2:$A$1801,0)),"")</f>
        <v/>
      </c>
      <c r="L561" s="25">
        <f>IFERROR(INDEX(Pedidos!$F$2:$F$1801,MATCH(B561,Pedidos!$A$2:$A$1801,0)),"")</f>
        <v/>
      </c>
      <c r="M561" s="26">
        <f>IFERROR(INDEX(Pedidos!$G$2:$G$1801,MATCH(B561,Pedidos!$A$2:$A$1801,0)),0)</f>
        <v/>
      </c>
      <c r="N561" s="25">
        <f>IFERROR(INDEX(Produtos!$B$2:$B$71,MATCH(C561,Produtos!$A$2:$A$71,0)),"")</f>
        <v/>
      </c>
      <c r="O561" s="25">
        <f>IFERROR(INDEX(Produtos!$C$2:$C$71,MATCH(C561,Produtos!$A$2:$A$71,0)),"")</f>
        <v/>
      </c>
      <c r="P561" s="25">
        <f>IFERROR(INDEX(Produtos!$D$2:$D$71,MATCH(C561,Produtos!$A$2:$A$71,0)),0)</f>
        <v/>
      </c>
      <c r="Q561" s="25">
        <f>IFERROR(INDEX(Produtos!$E$2:$E$71,MATCH(C561,Produtos!$A$2:$A$71,0)),0)</f>
        <v/>
      </c>
      <c r="R561" s="27">
        <f>D561*Q561</f>
        <v/>
      </c>
      <c r="S561" s="27">
        <f>R561*E561</f>
        <v/>
      </c>
      <c r="T561" s="27">
        <f>(R561-S561)*M561</f>
        <v/>
      </c>
      <c r="U561" s="27">
        <f>R561-S561-T561</f>
        <v/>
      </c>
      <c r="V561" s="27">
        <f>D561*P561</f>
        <v/>
      </c>
      <c r="W561" s="27">
        <f>U561-V561</f>
        <v/>
      </c>
      <c r="X561" s="28">
        <f>IFERROR(W561/U561,0)</f>
        <v/>
      </c>
    </row>
    <row r="562">
      <c r="A562" s="21">
        <f>ItensPedido!A562</f>
        <v/>
      </c>
      <c r="B562" s="21">
        <f>ItensPedido!B562</f>
        <v/>
      </c>
      <c r="C562" s="21">
        <f>ItensPedido!C562</f>
        <v/>
      </c>
      <c r="D562" s="21">
        <f>ItensPedido!D562</f>
        <v/>
      </c>
      <c r="E562" s="22">
        <f>ItensPedido!E562</f>
        <v/>
      </c>
      <c r="F562" s="21">
        <f>IFERROR(INDEX(Pedidos!$B$2:$B$1801,MATCH(B562,Pedidos!$A$2:$A$1801,0)),0)</f>
        <v/>
      </c>
      <c r="G562" s="21">
        <f>IF(F562=0,"",YEAR(F562))</f>
        <v/>
      </c>
      <c r="H562" s="21">
        <f>IF(F562=0,"",MONTH(F562))</f>
        <v/>
      </c>
      <c r="I562" s="21">
        <f>IFERROR(INDEX(Pedidos!$E$2:$E$1801,MATCH(B562,Pedidos!$A$2:$A$1801,0)),"")</f>
        <v/>
      </c>
      <c r="J562" s="21">
        <f>IFERROR(INDEX(Pedidos!$C$2:$C$1801,MATCH(B562,Pedidos!$A$2:$A$1801,0)),"")</f>
        <v/>
      </c>
      <c r="K562" s="21">
        <f>IFERROR(INDEX(Pedidos!$D$2:$D$1801,MATCH(B562,Pedidos!$A$2:$A$1801,0)),"")</f>
        <v/>
      </c>
      <c r="L562" s="21">
        <f>IFERROR(INDEX(Pedidos!$F$2:$F$1801,MATCH(B562,Pedidos!$A$2:$A$1801,0)),"")</f>
        <v/>
      </c>
      <c r="M562" s="22">
        <f>IFERROR(INDEX(Pedidos!$G$2:$G$1801,MATCH(B562,Pedidos!$A$2:$A$1801,0)),0)</f>
        <v/>
      </c>
      <c r="N562" s="21">
        <f>IFERROR(INDEX(Produtos!$B$2:$B$71,MATCH(C562,Produtos!$A$2:$A$71,0)),"")</f>
        <v/>
      </c>
      <c r="O562" s="21">
        <f>IFERROR(INDEX(Produtos!$C$2:$C$71,MATCH(C562,Produtos!$A$2:$A$71,0)),"")</f>
        <v/>
      </c>
      <c r="P562" s="21">
        <f>IFERROR(INDEX(Produtos!$D$2:$D$71,MATCH(C562,Produtos!$A$2:$A$71,0)),0)</f>
        <v/>
      </c>
      <c r="Q562" s="21">
        <f>IFERROR(INDEX(Produtos!$E$2:$E$71,MATCH(C562,Produtos!$A$2:$A$71,0)),0)</f>
        <v/>
      </c>
      <c r="R562" s="23">
        <f>D562*Q562</f>
        <v/>
      </c>
      <c r="S562" s="23">
        <f>R562*E562</f>
        <v/>
      </c>
      <c r="T562" s="23">
        <f>(R562-S562)*M562</f>
        <v/>
      </c>
      <c r="U562" s="23">
        <f>R562-S562-T562</f>
        <v/>
      </c>
      <c r="V562" s="23">
        <f>D562*P562</f>
        <v/>
      </c>
      <c r="W562" s="23">
        <f>U562-V562</f>
        <v/>
      </c>
      <c r="X562" s="24">
        <f>IFERROR(W562/U562,0)</f>
        <v/>
      </c>
    </row>
    <row r="563">
      <c r="A563" s="25">
        <f>ItensPedido!A563</f>
        <v/>
      </c>
      <c r="B563" s="25">
        <f>ItensPedido!B563</f>
        <v/>
      </c>
      <c r="C563" s="25">
        <f>ItensPedido!C563</f>
        <v/>
      </c>
      <c r="D563" s="25">
        <f>ItensPedido!D563</f>
        <v/>
      </c>
      <c r="E563" s="26">
        <f>ItensPedido!E563</f>
        <v/>
      </c>
      <c r="F563" s="25">
        <f>IFERROR(INDEX(Pedidos!$B$2:$B$1801,MATCH(B563,Pedidos!$A$2:$A$1801,0)),0)</f>
        <v/>
      </c>
      <c r="G563" s="25">
        <f>IF(F563=0,"",YEAR(F563))</f>
        <v/>
      </c>
      <c r="H563" s="25">
        <f>IF(F563=0,"",MONTH(F563))</f>
        <v/>
      </c>
      <c r="I563" s="25">
        <f>IFERROR(INDEX(Pedidos!$E$2:$E$1801,MATCH(B563,Pedidos!$A$2:$A$1801,0)),"")</f>
        <v/>
      </c>
      <c r="J563" s="25">
        <f>IFERROR(INDEX(Pedidos!$C$2:$C$1801,MATCH(B563,Pedidos!$A$2:$A$1801,0)),"")</f>
        <v/>
      </c>
      <c r="K563" s="25">
        <f>IFERROR(INDEX(Pedidos!$D$2:$D$1801,MATCH(B563,Pedidos!$A$2:$A$1801,0)),"")</f>
        <v/>
      </c>
      <c r="L563" s="25">
        <f>IFERROR(INDEX(Pedidos!$F$2:$F$1801,MATCH(B563,Pedidos!$A$2:$A$1801,0)),"")</f>
        <v/>
      </c>
      <c r="M563" s="26">
        <f>IFERROR(INDEX(Pedidos!$G$2:$G$1801,MATCH(B563,Pedidos!$A$2:$A$1801,0)),0)</f>
        <v/>
      </c>
      <c r="N563" s="25">
        <f>IFERROR(INDEX(Produtos!$B$2:$B$71,MATCH(C563,Produtos!$A$2:$A$71,0)),"")</f>
        <v/>
      </c>
      <c r="O563" s="25">
        <f>IFERROR(INDEX(Produtos!$C$2:$C$71,MATCH(C563,Produtos!$A$2:$A$71,0)),"")</f>
        <v/>
      </c>
      <c r="P563" s="25">
        <f>IFERROR(INDEX(Produtos!$D$2:$D$71,MATCH(C563,Produtos!$A$2:$A$71,0)),0)</f>
        <v/>
      </c>
      <c r="Q563" s="25">
        <f>IFERROR(INDEX(Produtos!$E$2:$E$71,MATCH(C563,Produtos!$A$2:$A$71,0)),0)</f>
        <v/>
      </c>
      <c r="R563" s="27">
        <f>D563*Q563</f>
        <v/>
      </c>
      <c r="S563" s="27">
        <f>R563*E563</f>
        <v/>
      </c>
      <c r="T563" s="27">
        <f>(R563-S563)*M563</f>
        <v/>
      </c>
      <c r="U563" s="27">
        <f>R563-S563-T563</f>
        <v/>
      </c>
      <c r="V563" s="27">
        <f>D563*P563</f>
        <v/>
      </c>
      <c r="W563" s="27">
        <f>U563-V563</f>
        <v/>
      </c>
      <c r="X563" s="28">
        <f>IFERROR(W563/U563,0)</f>
        <v/>
      </c>
    </row>
    <row r="564">
      <c r="A564" s="21">
        <f>ItensPedido!A564</f>
        <v/>
      </c>
      <c r="B564" s="21">
        <f>ItensPedido!B564</f>
        <v/>
      </c>
      <c r="C564" s="21">
        <f>ItensPedido!C564</f>
        <v/>
      </c>
      <c r="D564" s="21">
        <f>ItensPedido!D564</f>
        <v/>
      </c>
      <c r="E564" s="22">
        <f>ItensPedido!E564</f>
        <v/>
      </c>
      <c r="F564" s="21">
        <f>IFERROR(INDEX(Pedidos!$B$2:$B$1801,MATCH(B564,Pedidos!$A$2:$A$1801,0)),0)</f>
        <v/>
      </c>
      <c r="G564" s="21">
        <f>IF(F564=0,"",YEAR(F564))</f>
        <v/>
      </c>
      <c r="H564" s="21">
        <f>IF(F564=0,"",MONTH(F564))</f>
        <v/>
      </c>
      <c r="I564" s="21">
        <f>IFERROR(INDEX(Pedidos!$E$2:$E$1801,MATCH(B564,Pedidos!$A$2:$A$1801,0)),"")</f>
        <v/>
      </c>
      <c r="J564" s="21">
        <f>IFERROR(INDEX(Pedidos!$C$2:$C$1801,MATCH(B564,Pedidos!$A$2:$A$1801,0)),"")</f>
        <v/>
      </c>
      <c r="K564" s="21">
        <f>IFERROR(INDEX(Pedidos!$D$2:$D$1801,MATCH(B564,Pedidos!$A$2:$A$1801,0)),"")</f>
        <v/>
      </c>
      <c r="L564" s="21">
        <f>IFERROR(INDEX(Pedidos!$F$2:$F$1801,MATCH(B564,Pedidos!$A$2:$A$1801,0)),"")</f>
        <v/>
      </c>
      <c r="M564" s="22">
        <f>IFERROR(INDEX(Pedidos!$G$2:$G$1801,MATCH(B564,Pedidos!$A$2:$A$1801,0)),0)</f>
        <v/>
      </c>
      <c r="N564" s="21">
        <f>IFERROR(INDEX(Produtos!$B$2:$B$71,MATCH(C564,Produtos!$A$2:$A$71,0)),"")</f>
        <v/>
      </c>
      <c r="O564" s="21">
        <f>IFERROR(INDEX(Produtos!$C$2:$C$71,MATCH(C564,Produtos!$A$2:$A$71,0)),"")</f>
        <v/>
      </c>
      <c r="P564" s="21">
        <f>IFERROR(INDEX(Produtos!$D$2:$D$71,MATCH(C564,Produtos!$A$2:$A$71,0)),0)</f>
        <v/>
      </c>
      <c r="Q564" s="21">
        <f>IFERROR(INDEX(Produtos!$E$2:$E$71,MATCH(C564,Produtos!$A$2:$A$71,0)),0)</f>
        <v/>
      </c>
      <c r="R564" s="23">
        <f>D564*Q564</f>
        <v/>
      </c>
      <c r="S564" s="23">
        <f>R564*E564</f>
        <v/>
      </c>
      <c r="T564" s="23">
        <f>(R564-S564)*M564</f>
        <v/>
      </c>
      <c r="U564" s="23">
        <f>R564-S564-T564</f>
        <v/>
      </c>
      <c r="V564" s="23">
        <f>D564*P564</f>
        <v/>
      </c>
      <c r="W564" s="23">
        <f>U564-V564</f>
        <v/>
      </c>
      <c r="X564" s="24">
        <f>IFERROR(W564/U564,0)</f>
        <v/>
      </c>
    </row>
    <row r="565">
      <c r="A565" s="25">
        <f>ItensPedido!A565</f>
        <v/>
      </c>
      <c r="B565" s="25">
        <f>ItensPedido!B565</f>
        <v/>
      </c>
      <c r="C565" s="25">
        <f>ItensPedido!C565</f>
        <v/>
      </c>
      <c r="D565" s="25">
        <f>ItensPedido!D565</f>
        <v/>
      </c>
      <c r="E565" s="26">
        <f>ItensPedido!E565</f>
        <v/>
      </c>
      <c r="F565" s="25">
        <f>IFERROR(INDEX(Pedidos!$B$2:$B$1801,MATCH(B565,Pedidos!$A$2:$A$1801,0)),0)</f>
        <v/>
      </c>
      <c r="G565" s="25">
        <f>IF(F565=0,"",YEAR(F565))</f>
        <v/>
      </c>
      <c r="H565" s="25">
        <f>IF(F565=0,"",MONTH(F565))</f>
        <v/>
      </c>
      <c r="I565" s="25">
        <f>IFERROR(INDEX(Pedidos!$E$2:$E$1801,MATCH(B565,Pedidos!$A$2:$A$1801,0)),"")</f>
        <v/>
      </c>
      <c r="J565" s="25">
        <f>IFERROR(INDEX(Pedidos!$C$2:$C$1801,MATCH(B565,Pedidos!$A$2:$A$1801,0)),"")</f>
        <v/>
      </c>
      <c r="K565" s="25">
        <f>IFERROR(INDEX(Pedidos!$D$2:$D$1801,MATCH(B565,Pedidos!$A$2:$A$1801,0)),"")</f>
        <v/>
      </c>
      <c r="L565" s="25">
        <f>IFERROR(INDEX(Pedidos!$F$2:$F$1801,MATCH(B565,Pedidos!$A$2:$A$1801,0)),"")</f>
        <v/>
      </c>
      <c r="M565" s="26">
        <f>IFERROR(INDEX(Pedidos!$G$2:$G$1801,MATCH(B565,Pedidos!$A$2:$A$1801,0)),0)</f>
        <v/>
      </c>
      <c r="N565" s="25">
        <f>IFERROR(INDEX(Produtos!$B$2:$B$71,MATCH(C565,Produtos!$A$2:$A$71,0)),"")</f>
        <v/>
      </c>
      <c r="O565" s="25">
        <f>IFERROR(INDEX(Produtos!$C$2:$C$71,MATCH(C565,Produtos!$A$2:$A$71,0)),"")</f>
        <v/>
      </c>
      <c r="P565" s="25">
        <f>IFERROR(INDEX(Produtos!$D$2:$D$71,MATCH(C565,Produtos!$A$2:$A$71,0)),0)</f>
        <v/>
      </c>
      <c r="Q565" s="25">
        <f>IFERROR(INDEX(Produtos!$E$2:$E$71,MATCH(C565,Produtos!$A$2:$A$71,0)),0)</f>
        <v/>
      </c>
      <c r="R565" s="27">
        <f>D565*Q565</f>
        <v/>
      </c>
      <c r="S565" s="27">
        <f>R565*E565</f>
        <v/>
      </c>
      <c r="T565" s="27">
        <f>(R565-S565)*M565</f>
        <v/>
      </c>
      <c r="U565" s="27">
        <f>R565-S565-T565</f>
        <v/>
      </c>
      <c r="V565" s="27">
        <f>D565*P565</f>
        <v/>
      </c>
      <c r="W565" s="27">
        <f>U565-V565</f>
        <v/>
      </c>
      <c r="X565" s="28">
        <f>IFERROR(W565/U565,0)</f>
        <v/>
      </c>
    </row>
    <row r="566">
      <c r="A566" s="21">
        <f>ItensPedido!A566</f>
        <v/>
      </c>
      <c r="B566" s="21">
        <f>ItensPedido!B566</f>
        <v/>
      </c>
      <c r="C566" s="21">
        <f>ItensPedido!C566</f>
        <v/>
      </c>
      <c r="D566" s="21">
        <f>ItensPedido!D566</f>
        <v/>
      </c>
      <c r="E566" s="22">
        <f>ItensPedido!E566</f>
        <v/>
      </c>
      <c r="F566" s="21">
        <f>IFERROR(INDEX(Pedidos!$B$2:$B$1801,MATCH(B566,Pedidos!$A$2:$A$1801,0)),0)</f>
        <v/>
      </c>
      <c r="G566" s="21">
        <f>IF(F566=0,"",YEAR(F566))</f>
        <v/>
      </c>
      <c r="H566" s="21">
        <f>IF(F566=0,"",MONTH(F566))</f>
        <v/>
      </c>
      <c r="I566" s="21">
        <f>IFERROR(INDEX(Pedidos!$E$2:$E$1801,MATCH(B566,Pedidos!$A$2:$A$1801,0)),"")</f>
        <v/>
      </c>
      <c r="J566" s="21">
        <f>IFERROR(INDEX(Pedidos!$C$2:$C$1801,MATCH(B566,Pedidos!$A$2:$A$1801,0)),"")</f>
        <v/>
      </c>
      <c r="K566" s="21">
        <f>IFERROR(INDEX(Pedidos!$D$2:$D$1801,MATCH(B566,Pedidos!$A$2:$A$1801,0)),"")</f>
        <v/>
      </c>
      <c r="L566" s="21">
        <f>IFERROR(INDEX(Pedidos!$F$2:$F$1801,MATCH(B566,Pedidos!$A$2:$A$1801,0)),"")</f>
        <v/>
      </c>
      <c r="M566" s="22">
        <f>IFERROR(INDEX(Pedidos!$G$2:$G$1801,MATCH(B566,Pedidos!$A$2:$A$1801,0)),0)</f>
        <v/>
      </c>
      <c r="N566" s="21">
        <f>IFERROR(INDEX(Produtos!$B$2:$B$71,MATCH(C566,Produtos!$A$2:$A$71,0)),"")</f>
        <v/>
      </c>
      <c r="O566" s="21">
        <f>IFERROR(INDEX(Produtos!$C$2:$C$71,MATCH(C566,Produtos!$A$2:$A$71,0)),"")</f>
        <v/>
      </c>
      <c r="P566" s="21">
        <f>IFERROR(INDEX(Produtos!$D$2:$D$71,MATCH(C566,Produtos!$A$2:$A$71,0)),0)</f>
        <v/>
      </c>
      <c r="Q566" s="21">
        <f>IFERROR(INDEX(Produtos!$E$2:$E$71,MATCH(C566,Produtos!$A$2:$A$71,0)),0)</f>
        <v/>
      </c>
      <c r="R566" s="23">
        <f>D566*Q566</f>
        <v/>
      </c>
      <c r="S566" s="23">
        <f>R566*E566</f>
        <v/>
      </c>
      <c r="T566" s="23">
        <f>(R566-S566)*M566</f>
        <v/>
      </c>
      <c r="U566" s="23">
        <f>R566-S566-T566</f>
        <v/>
      </c>
      <c r="V566" s="23">
        <f>D566*P566</f>
        <v/>
      </c>
      <c r="W566" s="23">
        <f>U566-V566</f>
        <v/>
      </c>
      <c r="X566" s="24">
        <f>IFERROR(W566/U566,0)</f>
        <v/>
      </c>
    </row>
    <row r="567">
      <c r="A567" s="25">
        <f>ItensPedido!A567</f>
        <v/>
      </c>
      <c r="B567" s="25">
        <f>ItensPedido!B567</f>
        <v/>
      </c>
      <c r="C567" s="25">
        <f>ItensPedido!C567</f>
        <v/>
      </c>
      <c r="D567" s="25">
        <f>ItensPedido!D567</f>
        <v/>
      </c>
      <c r="E567" s="26">
        <f>ItensPedido!E567</f>
        <v/>
      </c>
      <c r="F567" s="25">
        <f>IFERROR(INDEX(Pedidos!$B$2:$B$1801,MATCH(B567,Pedidos!$A$2:$A$1801,0)),0)</f>
        <v/>
      </c>
      <c r="G567" s="25">
        <f>IF(F567=0,"",YEAR(F567))</f>
        <v/>
      </c>
      <c r="H567" s="25">
        <f>IF(F567=0,"",MONTH(F567))</f>
        <v/>
      </c>
      <c r="I567" s="25">
        <f>IFERROR(INDEX(Pedidos!$E$2:$E$1801,MATCH(B567,Pedidos!$A$2:$A$1801,0)),"")</f>
        <v/>
      </c>
      <c r="J567" s="25">
        <f>IFERROR(INDEX(Pedidos!$C$2:$C$1801,MATCH(B567,Pedidos!$A$2:$A$1801,0)),"")</f>
        <v/>
      </c>
      <c r="K567" s="25">
        <f>IFERROR(INDEX(Pedidos!$D$2:$D$1801,MATCH(B567,Pedidos!$A$2:$A$1801,0)),"")</f>
        <v/>
      </c>
      <c r="L567" s="25">
        <f>IFERROR(INDEX(Pedidos!$F$2:$F$1801,MATCH(B567,Pedidos!$A$2:$A$1801,0)),"")</f>
        <v/>
      </c>
      <c r="M567" s="26">
        <f>IFERROR(INDEX(Pedidos!$G$2:$G$1801,MATCH(B567,Pedidos!$A$2:$A$1801,0)),0)</f>
        <v/>
      </c>
      <c r="N567" s="25">
        <f>IFERROR(INDEX(Produtos!$B$2:$B$71,MATCH(C567,Produtos!$A$2:$A$71,0)),"")</f>
        <v/>
      </c>
      <c r="O567" s="25">
        <f>IFERROR(INDEX(Produtos!$C$2:$C$71,MATCH(C567,Produtos!$A$2:$A$71,0)),"")</f>
        <v/>
      </c>
      <c r="P567" s="25">
        <f>IFERROR(INDEX(Produtos!$D$2:$D$71,MATCH(C567,Produtos!$A$2:$A$71,0)),0)</f>
        <v/>
      </c>
      <c r="Q567" s="25">
        <f>IFERROR(INDEX(Produtos!$E$2:$E$71,MATCH(C567,Produtos!$A$2:$A$71,0)),0)</f>
        <v/>
      </c>
      <c r="R567" s="27">
        <f>D567*Q567</f>
        <v/>
      </c>
      <c r="S567" s="27">
        <f>R567*E567</f>
        <v/>
      </c>
      <c r="T567" s="27">
        <f>(R567-S567)*M567</f>
        <v/>
      </c>
      <c r="U567" s="27">
        <f>R567-S567-T567</f>
        <v/>
      </c>
      <c r="V567" s="27">
        <f>D567*P567</f>
        <v/>
      </c>
      <c r="W567" s="27">
        <f>U567-V567</f>
        <v/>
      </c>
      <c r="X567" s="28">
        <f>IFERROR(W567/U567,0)</f>
        <v/>
      </c>
    </row>
    <row r="568">
      <c r="A568" s="21">
        <f>ItensPedido!A568</f>
        <v/>
      </c>
      <c r="B568" s="21">
        <f>ItensPedido!B568</f>
        <v/>
      </c>
      <c r="C568" s="21">
        <f>ItensPedido!C568</f>
        <v/>
      </c>
      <c r="D568" s="21">
        <f>ItensPedido!D568</f>
        <v/>
      </c>
      <c r="E568" s="22">
        <f>ItensPedido!E568</f>
        <v/>
      </c>
      <c r="F568" s="21">
        <f>IFERROR(INDEX(Pedidos!$B$2:$B$1801,MATCH(B568,Pedidos!$A$2:$A$1801,0)),0)</f>
        <v/>
      </c>
      <c r="G568" s="21">
        <f>IF(F568=0,"",YEAR(F568))</f>
        <v/>
      </c>
      <c r="H568" s="21">
        <f>IF(F568=0,"",MONTH(F568))</f>
        <v/>
      </c>
      <c r="I568" s="21">
        <f>IFERROR(INDEX(Pedidos!$E$2:$E$1801,MATCH(B568,Pedidos!$A$2:$A$1801,0)),"")</f>
        <v/>
      </c>
      <c r="J568" s="21">
        <f>IFERROR(INDEX(Pedidos!$C$2:$C$1801,MATCH(B568,Pedidos!$A$2:$A$1801,0)),"")</f>
        <v/>
      </c>
      <c r="K568" s="21">
        <f>IFERROR(INDEX(Pedidos!$D$2:$D$1801,MATCH(B568,Pedidos!$A$2:$A$1801,0)),"")</f>
        <v/>
      </c>
      <c r="L568" s="21">
        <f>IFERROR(INDEX(Pedidos!$F$2:$F$1801,MATCH(B568,Pedidos!$A$2:$A$1801,0)),"")</f>
        <v/>
      </c>
      <c r="M568" s="22">
        <f>IFERROR(INDEX(Pedidos!$G$2:$G$1801,MATCH(B568,Pedidos!$A$2:$A$1801,0)),0)</f>
        <v/>
      </c>
      <c r="N568" s="21">
        <f>IFERROR(INDEX(Produtos!$B$2:$B$71,MATCH(C568,Produtos!$A$2:$A$71,0)),"")</f>
        <v/>
      </c>
      <c r="O568" s="21">
        <f>IFERROR(INDEX(Produtos!$C$2:$C$71,MATCH(C568,Produtos!$A$2:$A$71,0)),"")</f>
        <v/>
      </c>
      <c r="P568" s="21">
        <f>IFERROR(INDEX(Produtos!$D$2:$D$71,MATCH(C568,Produtos!$A$2:$A$71,0)),0)</f>
        <v/>
      </c>
      <c r="Q568" s="21">
        <f>IFERROR(INDEX(Produtos!$E$2:$E$71,MATCH(C568,Produtos!$A$2:$A$71,0)),0)</f>
        <v/>
      </c>
      <c r="R568" s="23">
        <f>D568*Q568</f>
        <v/>
      </c>
      <c r="S568" s="23">
        <f>R568*E568</f>
        <v/>
      </c>
      <c r="T568" s="23">
        <f>(R568-S568)*M568</f>
        <v/>
      </c>
      <c r="U568" s="23">
        <f>R568-S568-T568</f>
        <v/>
      </c>
      <c r="V568" s="23">
        <f>D568*P568</f>
        <v/>
      </c>
      <c r="W568" s="23">
        <f>U568-V568</f>
        <v/>
      </c>
      <c r="X568" s="24">
        <f>IFERROR(W568/U568,0)</f>
        <v/>
      </c>
    </row>
    <row r="569">
      <c r="A569" s="25">
        <f>ItensPedido!A569</f>
        <v/>
      </c>
      <c r="B569" s="25">
        <f>ItensPedido!B569</f>
        <v/>
      </c>
      <c r="C569" s="25">
        <f>ItensPedido!C569</f>
        <v/>
      </c>
      <c r="D569" s="25">
        <f>ItensPedido!D569</f>
        <v/>
      </c>
      <c r="E569" s="26">
        <f>ItensPedido!E569</f>
        <v/>
      </c>
      <c r="F569" s="25">
        <f>IFERROR(INDEX(Pedidos!$B$2:$B$1801,MATCH(B569,Pedidos!$A$2:$A$1801,0)),0)</f>
        <v/>
      </c>
      <c r="G569" s="25">
        <f>IF(F569=0,"",YEAR(F569))</f>
        <v/>
      </c>
      <c r="H569" s="25">
        <f>IF(F569=0,"",MONTH(F569))</f>
        <v/>
      </c>
      <c r="I569" s="25">
        <f>IFERROR(INDEX(Pedidos!$E$2:$E$1801,MATCH(B569,Pedidos!$A$2:$A$1801,0)),"")</f>
        <v/>
      </c>
      <c r="J569" s="25">
        <f>IFERROR(INDEX(Pedidos!$C$2:$C$1801,MATCH(B569,Pedidos!$A$2:$A$1801,0)),"")</f>
        <v/>
      </c>
      <c r="K569" s="25">
        <f>IFERROR(INDEX(Pedidos!$D$2:$D$1801,MATCH(B569,Pedidos!$A$2:$A$1801,0)),"")</f>
        <v/>
      </c>
      <c r="L569" s="25">
        <f>IFERROR(INDEX(Pedidos!$F$2:$F$1801,MATCH(B569,Pedidos!$A$2:$A$1801,0)),"")</f>
        <v/>
      </c>
      <c r="M569" s="26">
        <f>IFERROR(INDEX(Pedidos!$G$2:$G$1801,MATCH(B569,Pedidos!$A$2:$A$1801,0)),0)</f>
        <v/>
      </c>
      <c r="N569" s="25">
        <f>IFERROR(INDEX(Produtos!$B$2:$B$71,MATCH(C569,Produtos!$A$2:$A$71,0)),"")</f>
        <v/>
      </c>
      <c r="O569" s="25">
        <f>IFERROR(INDEX(Produtos!$C$2:$C$71,MATCH(C569,Produtos!$A$2:$A$71,0)),"")</f>
        <v/>
      </c>
      <c r="P569" s="25">
        <f>IFERROR(INDEX(Produtos!$D$2:$D$71,MATCH(C569,Produtos!$A$2:$A$71,0)),0)</f>
        <v/>
      </c>
      <c r="Q569" s="25">
        <f>IFERROR(INDEX(Produtos!$E$2:$E$71,MATCH(C569,Produtos!$A$2:$A$71,0)),0)</f>
        <v/>
      </c>
      <c r="R569" s="27">
        <f>D569*Q569</f>
        <v/>
      </c>
      <c r="S569" s="27">
        <f>R569*E569</f>
        <v/>
      </c>
      <c r="T569" s="27">
        <f>(R569-S569)*M569</f>
        <v/>
      </c>
      <c r="U569" s="27">
        <f>R569-S569-T569</f>
        <v/>
      </c>
      <c r="V569" s="27">
        <f>D569*P569</f>
        <v/>
      </c>
      <c r="W569" s="27">
        <f>U569-V569</f>
        <v/>
      </c>
      <c r="X569" s="28">
        <f>IFERROR(W569/U569,0)</f>
        <v/>
      </c>
    </row>
    <row r="570">
      <c r="A570" s="21">
        <f>ItensPedido!A570</f>
        <v/>
      </c>
      <c r="B570" s="21">
        <f>ItensPedido!B570</f>
        <v/>
      </c>
      <c r="C570" s="21">
        <f>ItensPedido!C570</f>
        <v/>
      </c>
      <c r="D570" s="21">
        <f>ItensPedido!D570</f>
        <v/>
      </c>
      <c r="E570" s="22">
        <f>ItensPedido!E570</f>
        <v/>
      </c>
      <c r="F570" s="21">
        <f>IFERROR(INDEX(Pedidos!$B$2:$B$1801,MATCH(B570,Pedidos!$A$2:$A$1801,0)),0)</f>
        <v/>
      </c>
      <c r="G570" s="21">
        <f>IF(F570=0,"",YEAR(F570))</f>
        <v/>
      </c>
      <c r="H570" s="21">
        <f>IF(F570=0,"",MONTH(F570))</f>
        <v/>
      </c>
      <c r="I570" s="21">
        <f>IFERROR(INDEX(Pedidos!$E$2:$E$1801,MATCH(B570,Pedidos!$A$2:$A$1801,0)),"")</f>
        <v/>
      </c>
      <c r="J570" s="21">
        <f>IFERROR(INDEX(Pedidos!$C$2:$C$1801,MATCH(B570,Pedidos!$A$2:$A$1801,0)),"")</f>
        <v/>
      </c>
      <c r="K570" s="21">
        <f>IFERROR(INDEX(Pedidos!$D$2:$D$1801,MATCH(B570,Pedidos!$A$2:$A$1801,0)),"")</f>
        <v/>
      </c>
      <c r="L570" s="21">
        <f>IFERROR(INDEX(Pedidos!$F$2:$F$1801,MATCH(B570,Pedidos!$A$2:$A$1801,0)),"")</f>
        <v/>
      </c>
      <c r="M570" s="22">
        <f>IFERROR(INDEX(Pedidos!$G$2:$G$1801,MATCH(B570,Pedidos!$A$2:$A$1801,0)),0)</f>
        <v/>
      </c>
      <c r="N570" s="21">
        <f>IFERROR(INDEX(Produtos!$B$2:$B$71,MATCH(C570,Produtos!$A$2:$A$71,0)),"")</f>
        <v/>
      </c>
      <c r="O570" s="21">
        <f>IFERROR(INDEX(Produtos!$C$2:$C$71,MATCH(C570,Produtos!$A$2:$A$71,0)),"")</f>
        <v/>
      </c>
      <c r="P570" s="21">
        <f>IFERROR(INDEX(Produtos!$D$2:$D$71,MATCH(C570,Produtos!$A$2:$A$71,0)),0)</f>
        <v/>
      </c>
      <c r="Q570" s="21">
        <f>IFERROR(INDEX(Produtos!$E$2:$E$71,MATCH(C570,Produtos!$A$2:$A$71,0)),0)</f>
        <v/>
      </c>
      <c r="R570" s="23">
        <f>D570*Q570</f>
        <v/>
      </c>
      <c r="S570" s="23">
        <f>R570*E570</f>
        <v/>
      </c>
      <c r="T570" s="23">
        <f>(R570-S570)*M570</f>
        <v/>
      </c>
      <c r="U570" s="23">
        <f>R570-S570-T570</f>
        <v/>
      </c>
      <c r="V570" s="23">
        <f>D570*P570</f>
        <v/>
      </c>
      <c r="W570" s="23">
        <f>U570-V570</f>
        <v/>
      </c>
      <c r="X570" s="24">
        <f>IFERROR(W570/U570,0)</f>
        <v/>
      </c>
    </row>
    <row r="571">
      <c r="A571" s="25">
        <f>ItensPedido!A571</f>
        <v/>
      </c>
      <c r="B571" s="25">
        <f>ItensPedido!B571</f>
        <v/>
      </c>
      <c r="C571" s="25">
        <f>ItensPedido!C571</f>
        <v/>
      </c>
      <c r="D571" s="25">
        <f>ItensPedido!D571</f>
        <v/>
      </c>
      <c r="E571" s="26">
        <f>ItensPedido!E571</f>
        <v/>
      </c>
      <c r="F571" s="25">
        <f>IFERROR(INDEX(Pedidos!$B$2:$B$1801,MATCH(B571,Pedidos!$A$2:$A$1801,0)),0)</f>
        <v/>
      </c>
      <c r="G571" s="25">
        <f>IF(F571=0,"",YEAR(F571))</f>
        <v/>
      </c>
      <c r="H571" s="25">
        <f>IF(F571=0,"",MONTH(F571))</f>
        <v/>
      </c>
      <c r="I571" s="25">
        <f>IFERROR(INDEX(Pedidos!$E$2:$E$1801,MATCH(B571,Pedidos!$A$2:$A$1801,0)),"")</f>
        <v/>
      </c>
      <c r="J571" s="25">
        <f>IFERROR(INDEX(Pedidos!$C$2:$C$1801,MATCH(B571,Pedidos!$A$2:$A$1801,0)),"")</f>
        <v/>
      </c>
      <c r="K571" s="25">
        <f>IFERROR(INDEX(Pedidos!$D$2:$D$1801,MATCH(B571,Pedidos!$A$2:$A$1801,0)),"")</f>
        <v/>
      </c>
      <c r="L571" s="25">
        <f>IFERROR(INDEX(Pedidos!$F$2:$F$1801,MATCH(B571,Pedidos!$A$2:$A$1801,0)),"")</f>
        <v/>
      </c>
      <c r="M571" s="26">
        <f>IFERROR(INDEX(Pedidos!$G$2:$G$1801,MATCH(B571,Pedidos!$A$2:$A$1801,0)),0)</f>
        <v/>
      </c>
      <c r="N571" s="25">
        <f>IFERROR(INDEX(Produtos!$B$2:$B$71,MATCH(C571,Produtos!$A$2:$A$71,0)),"")</f>
        <v/>
      </c>
      <c r="O571" s="25">
        <f>IFERROR(INDEX(Produtos!$C$2:$C$71,MATCH(C571,Produtos!$A$2:$A$71,0)),"")</f>
        <v/>
      </c>
      <c r="P571" s="25">
        <f>IFERROR(INDEX(Produtos!$D$2:$D$71,MATCH(C571,Produtos!$A$2:$A$71,0)),0)</f>
        <v/>
      </c>
      <c r="Q571" s="25">
        <f>IFERROR(INDEX(Produtos!$E$2:$E$71,MATCH(C571,Produtos!$A$2:$A$71,0)),0)</f>
        <v/>
      </c>
      <c r="R571" s="27">
        <f>D571*Q571</f>
        <v/>
      </c>
      <c r="S571" s="27">
        <f>R571*E571</f>
        <v/>
      </c>
      <c r="T571" s="27">
        <f>(R571-S571)*M571</f>
        <v/>
      </c>
      <c r="U571" s="27">
        <f>R571-S571-T571</f>
        <v/>
      </c>
      <c r="V571" s="27">
        <f>D571*P571</f>
        <v/>
      </c>
      <c r="W571" s="27">
        <f>U571-V571</f>
        <v/>
      </c>
      <c r="X571" s="28">
        <f>IFERROR(W571/U571,0)</f>
        <v/>
      </c>
    </row>
    <row r="572">
      <c r="A572" s="21">
        <f>ItensPedido!A572</f>
        <v/>
      </c>
      <c r="B572" s="21">
        <f>ItensPedido!B572</f>
        <v/>
      </c>
      <c r="C572" s="21">
        <f>ItensPedido!C572</f>
        <v/>
      </c>
      <c r="D572" s="21">
        <f>ItensPedido!D572</f>
        <v/>
      </c>
      <c r="E572" s="22">
        <f>ItensPedido!E572</f>
        <v/>
      </c>
      <c r="F572" s="21">
        <f>IFERROR(INDEX(Pedidos!$B$2:$B$1801,MATCH(B572,Pedidos!$A$2:$A$1801,0)),0)</f>
        <v/>
      </c>
      <c r="G572" s="21">
        <f>IF(F572=0,"",YEAR(F572))</f>
        <v/>
      </c>
      <c r="H572" s="21">
        <f>IF(F572=0,"",MONTH(F572))</f>
        <v/>
      </c>
      <c r="I572" s="21">
        <f>IFERROR(INDEX(Pedidos!$E$2:$E$1801,MATCH(B572,Pedidos!$A$2:$A$1801,0)),"")</f>
        <v/>
      </c>
      <c r="J572" s="21">
        <f>IFERROR(INDEX(Pedidos!$C$2:$C$1801,MATCH(B572,Pedidos!$A$2:$A$1801,0)),"")</f>
        <v/>
      </c>
      <c r="K572" s="21">
        <f>IFERROR(INDEX(Pedidos!$D$2:$D$1801,MATCH(B572,Pedidos!$A$2:$A$1801,0)),"")</f>
        <v/>
      </c>
      <c r="L572" s="21">
        <f>IFERROR(INDEX(Pedidos!$F$2:$F$1801,MATCH(B572,Pedidos!$A$2:$A$1801,0)),"")</f>
        <v/>
      </c>
      <c r="M572" s="22">
        <f>IFERROR(INDEX(Pedidos!$G$2:$G$1801,MATCH(B572,Pedidos!$A$2:$A$1801,0)),0)</f>
        <v/>
      </c>
      <c r="N572" s="21">
        <f>IFERROR(INDEX(Produtos!$B$2:$B$71,MATCH(C572,Produtos!$A$2:$A$71,0)),"")</f>
        <v/>
      </c>
      <c r="O572" s="21">
        <f>IFERROR(INDEX(Produtos!$C$2:$C$71,MATCH(C572,Produtos!$A$2:$A$71,0)),"")</f>
        <v/>
      </c>
      <c r="P572" s="21">
        <f>IFERROR(INDEX(Produtos!$D$2:$D$71,MATCH(C572,Produtos!$A$2:$A$71,0)),0)</f>
        <v/>
      </c>
      <c r="Q572" s="21">
        <f>IFERROR(INDEX(Produtos!$E$2:$E$71,MATCH(C572,Produtos!$A$2:$A$71,0)),0)</f>
        <v/>
      </c>
      <c r="R572" s="23">
        <f>D572*Q572</f>
        <v/>
      </c>
      <c r="S572" s="23">
        <f>R572*E572</f>
        <v/>
      </c>
      <c r="T572" s="23">
        <f>(R572-S572)*M572</f>
        <v/>
      </c>
      <c r="U572" s="23">
        <f>R572-S572-T572</f>
        <v/>
      </c>
      <c r="V572" s="23">
        <f>D572*P572</f>
        <v/>
      </c>
      <c r="W572" s="23">
        <f>U572-V572</f>
        <v/>
      </c>
      <c r="X572" s="24">
        <f>IFERROR(W572/U572,0)</f>
        <v/>
      </c>
    </row>
    <row r="573">
      <c r="A573" s="25">
        <f>ItensPedido!A573</f>
        <v/>
      </c>
      <c r="B573" s="25">
        <f>ItensPedido!B573</f>
        <v/>
      </c>
      <c r="C573" s="25">
        <f>ItensPedido!C573</f>
        <v/>
      </c>
      <c r="D573" s="25">
        <f>ItensPedido!D573</f>
        <v/>
      </c>
      <c r="E573" s="26">
        <f>ItensPedido!E573</f>
        <v/>
      </c>
      <c r="F573" s="25">
        <f>IFERROR(INDEX(Pedidos!$B$2:$B$1801,MATCH(B573,Pedidos!$A$2:$A$1801,0)),0)</f>
        <v/>
      </c>
      <c r="G573" s="25">
        <f>IF(F573=0,"",YEAR(F573))</f>
        <v/>
      </c>
      <c r="H573" s="25">
        <f>IF(F573=0,"",MONTH(F573))</f>
        <v/>
      </c>
      <c r="I573" s="25">
        <f>IFERROR(INDEX(Pedidos!$E$2:$E$1801,MATCH(B573,Pedidos!$A$2:$A$1801,0)),"")</f>
        <v/>
      </c>
      <c r="J573" s="25">
        <f>IFERROR(INDEX(Pedidos!$C$2:$C$1801,MATCH(B573,Pedidos!$A$2:$A$1801,0)),"")</f>
        <v/>
      </c>
      <c r="K573" s="25">
        <f>IFERROR(INDEX(Pedidos!$D$2:$D$1801,MATCH(B573,Pedidos!$A$2:$A$1801,0)),"")</f>
        <v/>
      </c>
      <c r="L573" s="25">
        <f>IFERROR(INDEX(Pedidos!$F$2:$F$1801,MATCH(B573,Pedidos!$A$2:$A$1801,0)),"")</f>
        <v/>
      </c>
      <c r="M573" s="26">
        <f>IFERROR(INDEX(Pedidos!$G$2:$G$1801,MATCH(B573,Pedidos!$A$2:$A$1801,0)),0)</f>
        <v/>
      </c>
      <c r="N573" s="25">
        <f>IFERROR(INDEX(Produtos!$B$2:$B$71,MATCH(C573,Produtos!$A$2:$A$71,0)),"")</f>
        <v/>
      </c>
      <c r="O573" s="25">
        <f>IFERROR(INDEX(Produtos!$C$2:$C$71,MATCH(C573,Produtos!$A$2:$A$71,0)),"")</f>
        <v/>
      </c>
      <c r="P573" s="25">
        <f>IFERROR(INDEX(Produtos!$D$2:$D$71,MATCH(C573,Produtos!$A$2:$A$71,0)),0)</f>
        <v/>
      </c>
      <c r="Q573" s="25">
        <f>IFERROR(INDEX(Produtos!$E$2:$E$71,MATCH(C573,Produtos!$A$2:$A$71,0)),0)</f>
        <v/>
      </c>
      <c r="R573" s="27">
        <f>D573*Q573</f>
        <v/>
      </c>
      <c r="S573" s="27">
        <f>R573*E573</f>
        <v/>
      </c>
      <c r="T573" s="27">
        <f>(R573-S573)*M573</f>
        <v/>
      </c>
      <c r="U573" s="27">
        <f>R573-S573-T573</f>
        <v/>
      </c>
      <c r="V573" s="27">
        <f>D573*P573</f>
        <v/>
      </c>
      <c r="W573" s="27">
        <f>U573-V573</f>
        <v/>
      </c>
      <c r="X573" s="28">
        <f>IFERROR(W573/U573,0)</f>
        <v/>
      </c>
    </row>
    <row r="574">
      <c r="A574" s="21">
        <f>ItensPedido!A574</f>
        <v/>
      </c>
      <c r="B574" s="21">
        <f>ItensPedido!B574</f>
        <v/>
      </c>
      <c r="C574" s="21">
        <f>ItensPedido!C574</f>
        <v/>
      </c>
      <c r="D574" s="21">
        <f>ItensPedido!D574</f>
        <v/>
      </c>
      <c r="E574" s="22">
        <f>ItensPedido!E574</f>
        <v/>
      </c>
      <c r="F574" s="21">
        <f>IFERROR(INDEX(Pedidos!$B$2:$B$1801,MATCH(B574,Pedidos!$A$2:$A$1801,0)),0)</f>
        <v/>
      </c>
      <c r="G574" s="21">
        <f>IF(F574=0,"",YEAR(F574))</f>
        <v/>
      </c>
      <c r="H574" s="21">
        <f>IF(F574=0,"",MONTH(F574))</f>
        <v/>
      </c>
      <c r="I574" s="21">
        <f>IFERROR(INDEX(Pedidos!$E$2:$E$1801,MATCH(B574,Pedidos!$A$2:$A$1801,0)),"")</f>
        <v/>
      </c>
      <c r="J574" s="21">
        <f>IFERROR(INDEX(Pedidos!$C$2:$C$1801,MATCH(B574,Pedidos!$A$2:$A$1801,0)),"")</f>
        <v/>
      </c>
      <c r="K574" s="21">
        <f>IFERROR(INDEX(Pedidos!$D$2:$D$1801,MATCH(B574,Pedidos!$A$2:$A$1801,0)),"")</f>
        <v/>
      </c>
      <c r="L574" s="21">
        <f>IFERROR(INDEX(Pedidos!$F$2:$F$1801,MATCH(B574,Pedidos!$A$2:$A$1801,0)),"")</f>
        <v/>
      </c>
      <c r="M574" s="22">
        <f>IFERROR(INDEX(Pedidos!$G$2:$G$1801,MATCH(B574,Pedidos!$A$2:$A$1801,0)),0)</f>
        <v/>
      </c>
      <c r="N574" s="21">
        <f>IFERROR(INDEX(Produtos!$B$2:$B$71,MATCH(C574,Produtos!$A$2:$A$71,0)),"")</f>
        <v/>
      </c>
      <c r="O574" s="21">
        <f>IFERROR(INDEX(Produtos!$C$2:$C$71,MATCH(C574,Produtos!$A$2:$A$71,0)),"")</f>
        <v/>
      </c>
      <c r="P574" s="21">
        <f>IFERROR(INDEX(Produtos!$D$2:$D$71,MATCH(C574,Produtos!$A$2:$A$71,0)),0)</f>
        <v/>
      </c>
      <c r="Q574" s="21">
        <f>IFERROR(INDEX(Produtos!$E$2:$E$71,MATCH(C574,Produtos!$A$2:$A$71,0)),0)</f>
        <v/>
      </c>
      <c r="R574" s="23">
        <f>D574*Q574</f>
        <v/>
      </c>
      <c r="S574" s="23">
        <f>R574*E574</f>
        <v/>
      </c>
      <c r="T574" s="23">
        <f>(R574-S574)*M574</f>
        <v/>
      </c>
      <c r="U574" s="23">
        <f>R574-S574-T574</f>
        <v/>
      </c>
      <c r="V574" s="23">
        <f>D574*P574</f>
        <v/>
      </c>
      <c r="W574" s="23">
        <f>U574-V574</f>
        <v/>
      </c>
      <c r="X574" s="24">
        <f>IFERROR(W574/U574,0)</f>
        <v/>
      </c>
    </row>
    <row r="575">
      <c r="A575" s="25">
        <f>ItensPedido!A575</f>
        <v/>
      </c>
      <c r="B575" s="25">
        <f>ItensPedido!B575</f>
        <v/>
      </c>
      <c r="C575" s="25">
        <f>ItensPedido!C575</f>
        <v/>
      </c>
      <c r="D575" s="25">
        <f>ItensPedido!D575</f>
        <v/>
      </c>
      <c r="E575" s="26">
        <f>ItensPedido!E575</f>
        <v/>
      </c>
      <c r="F575" s="25">
        <f>IFERROR(INDEX(Pedidos!$B$2:$B$1801,MATCH(B575,Pedidos!$A$2:$A$1801,0)),0)</f>
        <v/>
      </c>
      <c r="G575" s="25">
        <f>IF(F575=0,"",YEAR(F575))</f>
        <v/>
      </c>
      <c r="H575" s="25">
        <f>IF(F575=0,"",MONTH(F575))</f>
        <v/>
      </c>
      <c r="I575" s="25">
        <f>IFERROR(INDEX(Pedidos!$E$2:$E$1801,MATCH(B575,Pedidos!$A$2:$A$1801,0)),"")</f>
        <v/>
      </c>
      <c r="J575" s="25">
        <f>IFERROR(INDEX(Pedidos!$C$2:$C$1801,MATCH(B575,Pedidos!$A$2:$A$1801,0)),"")</f>
        <v/>
      </c>
      <c r="K575" s="25">
        <f>IFERROR(INDEX(Pedidos!$D$2:$D$1801,MATCH(B575,Pedidos!$A$2:$A$1801,0)),"")</f>
        <v/>
      </c>
      <c r="L575" s="25">
        <f>IFERROR(INDEX(Pedidos!$F$2:$F$1801,MATCH(B575,Pedidos!$A$2:$A$1801,0)),"")</f>
        <v/>
      </c>
      <c r="M575" s="26">
        <f>IFERROR(INDEX(Pedidos!$G$2:$G$1801,MATCH(B575,Pedidos!$A$2:$A$1801,0)),0)</f>
        <v/>
      </c>
      <c r="N575" s="25">
        <f>IFERROR(INDEX(Produtos!$B$2:$B$71,MATCH(C575,Produtos!$A$2:$A$71,0)),"")</f>
        <v/>
      </c>
      <c r="O575" s="25">
        <f>IFERROR(INDEX(Produtos!$C$2:$C$71,MATCH(C575,Produtos!$A$2:$A$71,0)),"")</f>
        <v/>
      </c>
      <c r="P575" s="25">
        <f>IFERROR(INDEX(Produtos!$D$2:$D$71,MATCH(C575,Produtos!$A$2:$A$71,0)),0)</f>
        <v/>
      </c>
      <c r="Q575" s="25">
        <f>IFERROR(INDEX(Produtos!$E$2:$E$71,MATCH(C575,Produtos!$A$2:$A$71,0)),0)</f>
        <v/>
      </c>
      <c r="R575" s="27">
        <f>D575*Q575</f>
        <v/>
      </c>
      <c r="S575" s="27">
        <f>R575*E575</f>
        <v/>
      </c>
      <c r="T575" s="27">
        <f>(R575-S575)*M575</f>
        <v/>
      </c>
      <c r="U575" s="27">
        <f>R575-S575-T575</f>
        <v/>
      </c>
      <c r="V575" s="27">
        <f>D575*P575</f>
        <v/>
      </c>
      <c r="W575" s="27">
        <f>U575-V575</f>
        <v/>
      </c>
      <c r="X575" s="28">
        <f>IFERROR(W575/U575,0)</f>
        <v/>
      </c>
    </row>
    <row r="576">
      <c r="A576" s="21">
        <f>ItensPedido!A576</f>
        <v/>
      </c>
      <c r="B576" s="21">
        <f>ItensPedido!B576</f>
        <v/>
      </c>
      <c r="C576" s="21">
        <f>ItensPedido!C576</f>
        <v/>
      </c>
      <c r="D576" s="21">
        <f>ItensPedido!D576</f>
        <v/>
      </c>
      <c r="E576" s="22">
        <f>ItensPedido!E576</f>
        <v/>
      </c>
      <c r="F576" s="21">
        <f>IFERROR(INDEX(Pedidos!$B$2:$B$1801,MATCH(B576,Pedidos!$A$2:$A$1801,0)),0)</f>
        <v/>
      </c>
      <c r="G576" s="21">
        <f>IF(F576=0,"",YEAR(F576))</f>
        <v/>
      </c>
      <c r="H576" s="21">
        <f>IF(F576=0,"",MONTH(F576))</f>
        <v/>
      </c>
      <c r="I576" s="21">
        <f>IFERROR(INDEX(Pedidos!$E$2:$E$1801,MATCH(B576,Pedidos!$A$2:$A$1801,0)),"")</f>
        <v/>
      </c>
      <c r="J576" s="21">
        <f>IFERROR(INDEX(Pedidos!$C$2:$C$1801,MATCH(B576,Pedidos!$A$2:$A$1801,0)),"")</f>
        <v/>
      </c>
      <c r="K576" s="21">
        <f>IFERROR(INDEX(Pedidos!$D$2:$D$1801,MATCH(B576,Pedidos!$A$2:$A$1801,0)),"")</f>
        <v/>
      </c>
      <c r="L576" s="21">
        <f>IFERROR(INDEX(Pedidos!$F$2:$F$1801,MATCH(B576,Pedidos!$A$2:$A$1801,0)),"")</f>
        <v/>
      </c>
      <c r="M576" s="22">
        <f>IFERROR(INDEX(Pedidos!$G$2:$G$1801,MATCH(B576,Pedidos!$A$2:$A$1801,0)),0)</f>
        <v/>
      </c>
      <c r="N576" s="21">
        <f>IFERROR(INDEX(Produtos!$B$2:$B$71,MATCH(C576,Produtos!$A$2:$A$71,0)),"")</f>
        <v/>
      </c>
      <c r="O576" s="21">
        <f>IFERROR(INDEX(Produtos!$C$2:$C$71,MATCH(C576,Produtos!$A$2:$A$71,0)),"")</f>
        <v/>
      </c>
      <c r="P576" s="21">
        <f>IFERROR(INDEX(Produtos!$D$2:$D$71,MATCH(C576,Produtos!$A$2:$A$71,0)),0)</f>
        <v/>
      </c>
      <c r="Q576" s="21">
        <f>IFERROR(INDEX(Produtos!$E$2:$E$71,MATCH(C576,Produtos!$A$2:$A$71,0)),0)</f>
        <v/>
      </c>
      <c r="R576" s="23">
        <f>D576*Q576</f>
        <v/>
      </c>
      <c r="S576" s="23">
        <f>R576*E576</f>
        <v/>
      </c>
      <c r="T576" s="23">
        <f>(R576-S576)*M576</f>
        <v/>
      </c>
      <c r="U576" s="23">
        <f>R576-S576-T576</f>
        <v/>
      </c>
      <c r="V576" s="23">
        <f>D576*P576</f>
        <v/>
      </c>
      <c r="W576" s="23">
        <f>U576-V576</f>
        <v/>
      </c>
      <c r="X576" s="24">
        <f>IFERROR(W576/U576,0)</f>
        <v/>
      </c>
    </row>
    <row r="577">
      <c r="A577" s="25">
        <f>ItensPedido!A577</f>
        <v/>
      </c>
      <c r="B577" s="25">
        <f>ItensPedido!B577</f>
        <v/>
      </c>
      <c r="C577" s="25">
        <f>ItensPedido!C577</f>
        <v/>
      </c>
      <c r="D577" s="25">
        <f>ItensPedido!D577</f>
        <v/>
      </c>
      <c r="E577" s="26">
        <f>ItensPedido!E577</f>
        <v/>
      </c>
      <c r="F577" s="25">
        <f>IFERROR(INDEX(Pedidos!$B$2:$B$1801,MATCH(B577,Pedidos!$A$2:$A$1801,0)),0)</f>
        <v/>
      </c>
      <c r="G577" s="25">
        <f>IF(F577=0,"",YEAR(F577))</f>
        <v/>
      </c>
      <c r="H577" s="25">
        <f>IF(F577=0,"",MONTH(F577))</f>
        <v/>
      </c>
      <c r="I577" s="25">
        <f>IFERROR(INDEX(Pedidos!$E$2:$E$1801,MATCH(B577,Pedidos!$A$2:$A$1801,0)),"")</f>
        <v/>
      </c>
      <c r="J577" s="25">
        <f>IFERROR(INDEX(Pedidos!$C$2:$C$1801,MATCH(B577,Pedidos!$A$2:$A$1801,0)),"")</f>
        <v/>
      </c>
      <c r="K577" s="25">
        <f>IFERROR(INDEX(Pedidos!$D$2:$D$1801,MATCH(B577,Pedidos!$A$2:$A$1801,0)),"")</f>
        <v/>
      </c>
      <c r="L577" s="25">
        <f>IFERROR(INDEX(Pedidos!$F$2:$F$1801,MATCH(B577,Pedidos!$A$2:$A$1801,0)),"")</f>
        <v/>
      </c>
      <c r="M577" s="26">
        <f>IFERROR(INDEX(Pedidos!$G$2:$G$1801,MATCH(B577,Pedidos!$A$2:$A$1801,0)),0)</f>
        <v/>
      </c>
      <c r="N577" s="25">
        <f>IFERROR(INDEX(Produtos!$B$2:$B$71,MATCH(C577,Produtos!$A$2:$A$71,0)),"")</f>
        <v/>
      </c>
      <c r="O577" s="25">
        <f>IFERROR(INDEX(Produtos!$C$2:$C$71,MATCH(C577,Produtos!$A$2:$A$71,0)),"")</f>
        <v/>
      </c>
      <c r="P577" s="25">
        <f>IFERROR(INDEX(Produtos!$D$2:$D$71,MATCH(C577,Produtos!$A$2:$A$71,0)),0)</f>
        <v/>
      </c>
      <c r="Q577" s="25">
        <f>IFERROR(INDEX(Produtos!$E$2:$E$71,MATCH(C577,Produtos!$A$2:$A$71,0)),0)</f>
        <v/>
      </c>
      <c r="R577" s="27">
        <f>D577*Q577</f>
        <v/>
      </c>
      <c r="S577" s="27">
        <f>R577*E577</f>
        <v/>
      </c>
      <c r="T577" s="27">
        <f>(R577-S577)*M577</f>
        <v/>
      </c>
      <c r="U577" s="27">
        <f>R577-S577-T577</f>
        <v/>
      </c>
      <c r="V577" s="27">
        <f>D577*P577</f>
        <v/>
      </c>
      <c r="W577" s="27">
        <f>U577-V577</f>
        <v/>
      </c>
      <c r="X577" s="28">
        <f>IFERROR(W577/U577,0)</f>
        <v/>
      </c>
    </row>
    <row r="578">
      <c r="A578" s="21">
        <f>ItensPedido!A578</f>
        <v/>
      </c>
      <c r="B578" s="21">
        <f>ItensPedido!B578</f>
        <v/>
      </c>
      <c r="C578" s="21">
        <f>ItensPedido!C578</f>
        <v/>
      </c>
      <c r="D578" s="21">
        <f>ItensPedido!D578</f>
        <v/>
      </c>
      <c r="E578" s="22">
        <f>ItensPedido!E578</f>
        <v/>
      </c>
      <c r="F578" s="21">
        <f>IFERROR(INDEX(Pedidos!$B$2:$B$1801,MATCH(B578,Pedidos!$A$2:$A$1801,0)),0)</f>
        <v/>
      </c>
      <c r="G578" s="21">
        <f>IF(F578=0,"",YEAR(F578))</f>
        <v/>
      </c>
      <c r="H578" s="21">
        <f>IF(F578=0,"",MONTH(F578))</f>
        <v/>
      </c>
      <c r="I578" s="21">
        <f>IFERROR(INDEX(Pedidos!$E$2:$E$1801,MATCH(B578,Pedidos!$A$2:$A$1801,0)),"")</f>
        <v/>
      </c>
      <c r="J578" s="21">
        <f>IFERROR(INDEX(Pedidos!$C$2:$C$1801,MATCH(B578,Pedidos!$A$2:$A$1801,0)),"")</f>
        <v/>
      </c>
      <c r="K578" s="21">
        <f>IFERROR(INDEX(Pedidos!$D$2:$D$1801,MATCH(B578,Pedidos!$A$2:$A$1801,0)),"")</f>
        <v/>
      </c>
      <c r="L578" s="21">
        <f>IFERROR(INDEX(Pedidos!$F$2:$F$1801,MATCH(B578,Pedidos!$A$2:$A$1801,0)),"")</f>
        <v/>
      </c>
      <c r="M578" s="22">
        <f>IFERROR(INDEX(Pedidos!$G$2:$G$1801,MATCH(B578,Pedidos!$A$2:$A$1801,0)),0)</f>
        <v/>
      </c>
      <c r="N578" s="21">
        <f>IFERROR(INDEX(Produtos!$B$2:$B$71,MATCH(C578,Produtos!$A$2:$A$71,0)),"")</f>
        <v/>
      </c>
      <c r="O578" s="21">
        <f>IFERROR(INDEX(Produtos!$C$2:$C$71,MATCH(C578,Produtos!$A$2:$A$71,0)),"")</f>
        <v/>
      </c>
      <c r="P578" s="21">
        <f>IFERROR(INDEX(Produtos!$D$2:$D$71,MATCH(C578,Produtos!$A$2:$A$71,0)),0)</f>
        <v/>
      </c>
      <c r="Q578" s="21">
        <f>IFERROR(INDEX(Produtos!$E$2:$E$71,MATCH(C578,Produtos!$A$2:$A$71,0)),0)</f>
        <v/>
      </c>
      <c r="R578" s="23">
        <f>D578*Q578</f>
        <v/>
      </c>
      <c r="S578" s="23">
        <f>R578*E578</f>
        <v/>
      </c>
      <c r="T578" s="23">
        <f>(R578-S578)*M578</f>
        <v/>
      </c>
      <c r="U578" s="23">
        <f>R578-S578-T578</f>
        <v/>
      </c>
      <c r="V578" s="23">
        <f>D578*P578</f>
        <v/>
      </c>
      <c r="W578" s="23">
        <f>U578-V578</f>
        <v/>
      </c>
      <c r="X578" s="24">
        <f>IFERROR(W578/U578,0)</f>
        <v/>
      </c>
    </row>
    <row r="579">
      <c r="A579" s="25">
        <f>ItensPedido!A579</f>
        <v/>
      </c>
      <c r="B579" s="25">
        <f>ItensPedido!B579</f>
        <v/>
      </c>
      <c r="C579" s="25">
        <f>ItensPedido!C579</f>
        <v/>
      </c>
      <c r="D579" s="25">
        <f>ItensPedido!D579</f>
        <v/>
      </c>
      <c r="E579" s="26">
        <f>ItensPedido!E579</f>
        <v/>
      </c>
      <c r="F579" s="25">
        <f>IFERROR(INDEX(Pedidos!$B$2:$B$1801,MATCH(B579,Pedidos!$A$2:$A$1801,0)),0)</f>
        <v/>
      </c>
      <c r="G579" s="25">
        <f>IF(F579=0,"",YEAR(F579))</f>
        <v/>
      </c>
      <c r="H579" s="25">
        <f>IF(F579=0,"",MONTH(F579))</f>
        <v/>
      </c>
      <c r="I579" s="25">
        <f>IFERROR(INDEX(Pedidos!$E$2:$E$1801,MATCH(B579,Pedidos!$A$2:$A$1801,0)),"")</f>
        <v/>
      </c>
      <c r="J579" s="25">
        <f>IFERROR(INDEX(Pedidos!$C$2:$C$1801,MATCH(B579,Pedidos!$A$2:$A$1801,0)),"")</f>
        <v/>
      </c>
      <c r="K579" s="25">
        <f>IFERROR(INDEX(Pedidos!$D$2:$D$1801,MATCH(B579,Pedidos!$A$2:$A$1801,0)),"")</f>
        <v/>
      </c>
      <c r="L579" s="25">
        <f>IFERROR(INDEX(Pedidos!$F$2:$F$1801,MATCH(B579,Pedidos!$A$2:$A$1801,0)),"")</f>
        <v/>
      </c>
      <c r="M579" s="26">
        <f>IFERROR(INDEX(Pedidos!$G$2:$G$1801,MATCH(B579,Pedidos!$A$2:$A$1801,0)),0)</f>
        <v/>
      </c>
      <c r="N579" s="25">
        <f>IFERROR(INDEX(Produtos!$B$2:$B$71,MATCH(C579,Produtos!$A$2:$A$71,0)),"")</f>
        <v/>
      </c>
      <c r="O579" s="25">
        <f>IFERROR(INDEX(Produtos!$C$2:$C$71,MATCH(C579,Produtos!$A$2:$A$71,0)),"")</f>
        <v/>
      </c>
      <c r="P579" s="25">
        <f>IFERROR(INDEX(Produtos!$D$2:$D$71,MATCH(C579,Produtos!$A$2:$A$71,0)),0)</f>
        <v/>
      </c>
      <c r="Q579" s="25">
        <f>IFERROR(INDEX(Produtos!$E$2:$E$71,MATCH(C579,Produtos!$A$2:$A$71,0)),0)</f>
        <v/>
      </c>
      <c r="R579" s="27">
        <f>D579*Q579</f>
        <v/>
      </c>
      <c r="S579" s="27">
        <f>R579*E579</f>
        <v/>
      </c>
      <c r="T579" s="27">
        <f>(R579-S579)*M579</f>
        <v/>
      </c>
      <c r="U579" s="27">
        <f>R579-S579-T579</f>
        <v/>
      </c>
      <c r="V579" s="27">
        <f>D579*P579</f>
        <v/>
      </c>
      <c r="W579" s="27">
        <f>U579-V579</f>
        <v/>
      </c>
      <c r="X579" s="28">
        <f>IFERROR(W579/U579,0)</f>
        <v/>
      </c>
    </row>
    <row r="580">
      <c r="A580" s="21">
        <f>ItensPedido!A580</f>
        <v/>
      </c>
      <c r="B580" s="21">
        <f>ItensPedido!B580</f>
        <v/>
      </c>
      <c r="C580" s="21">
        <f>ItensPedido!C580</f>
        <v/>
      </c>
      <c r="D580" s="21">
        <f>ItensPedido!D580</f>
        <v/>
      </c>
      <c r="E580" s="22">
        <f>ItensPedido!E580</f>
        <v/>
      </c>
      <c r="F580" s="21">
        <f>IFERROR(INDEX(Pedidos!$B$2:$B$1801,MATCH(B580,Pedidos!$A$2:$A$1801,0)),0)</f>
        <v/>
      </c>
      <c r="G580" s="21">
        <f>IF(F580=0,"",YEAR(F580))</f>
        <v/>
      </c>
      <c r="H580" s="21">
        <f>IF(F580=0,"",MONTH(F580))</f>
        <v/>
      </c>
      <c r="I580" s="21">
        <f>IFERROR(INDEX(Pedidos!$E$2:$E$1801,MATCH(B580,Pedidos!$A$2:$A$1801,0)),"")</f>
        <v/>
      </c>
      <c r="J580" s="21">
        <f>IFERROR(INDEX(Pedidos!$C$2:$C$1801,MATCH(B580,Pedidos!$A$2:$A$1801,0)),"")</f>
        <v/>
      </c>
      <c r="K580" s="21">
        <f>IFERROR(INDEX(Pedidos!$D$2:$D$1801,MATCH(B580,Pedidos!$A$2:$A$1801,0)),"")</f>
        <v/>
      </c>
      <c r="L580" s="21">
        <f>IFERROR(INDEX(Pedidos!$F$2:$F$1801,MATCH(B580,Pedidos!$A$2:$A$1801,0)),"")</f>
        <v/>
      </c>
      <c r="M580" s="22">
        <f>IFERROR(INDEX(Pedidos!$G$2:$G$1801,MATCH(B580,Pedidos!$A$2:$A$1801,0)),0)</f>
        <v/>
      </c>
      <c r="N580" s="21">
        <f>IFERROR(INDEX(Produtos!$B$2:$B$71,MATCH(C580,Produtos!$A$2:$A$71,0)),"")</f>
        <v/>
      </c>
      <c r="O580" s="21">
        <f>IFERROR(INDEX(Produtos!$C$2:$C$71,MATCH(C580,Produtos!$A$2:$A$71,0)),"")</f>
        <v/>
      </c>
      <c r="P580" s="21">
        <f>IFERROR(INDEX(Produtos!$D$2:$D$71,MATCH(C580,Produtos!$A$2:$A$71,0)),0)</f>
        <v/>
      </c>
      <c r="Q580" s="21">
        <f>IFERROR(INDEX(Produtos!$E$2:$E$71,MATCH(C580,Produtos!$A$2:$A$71,0)),0)</f>
        <v/>
      </c>
      <c r="R580" s="23">
        <f>D580*Q580</f>
        <v/>
      </c>
      <c r="S580" s="23">
        <f>R580*E580</f>
        <v/>
      </c>
      <c r="T580" s="23">
        <f>(R580-S580)*M580</f>
        <v/>
      </c>
      <c r="U580" s="23">
        <f>R580-S580-T580</f>
        <v/>
      </c>
      <c r="V580" s="23">
        <f>D580*P580</f>
        <v/>
      </c>
      <c r="W580" s="23">
        <f>U580-V580</f>
        <v/>
      </c>
      <c r="X580" s="24">
        <f>IFERROR(W580/U580,0)</f>
        <v/>
      </c>
    </row>
    <row r="581">
      <c r="A581" s="25">
        <f>ItensPedido!A581</f>
        <v/>
      </c>
      <c r="B581" s="25">
        <f>ItensPedido!B581</f>
        <v/>
      </c>
      <c r="C581" s="25">
        <f>ItensPedido!C581</f>
        <v/>
      </c>
      <c r="D581" s="25">
        <f>ItensPedido!D581</f>
        <v/>
      </c>
      <c r="E581" s="26">
        <f>ItensPedido!E581</f>
        <v/>
      </c>
      <c r="F581" s="25">
        <f>IFERROR(INDEX(Pedidos!$B$2:$B$1801,MATCH(B581,Pedidos!$A$2:$A$1801,0)),0)</f>
        <v/>
      </c>
      <c r="G581" s="25">
        <f>IF(F581=0,"",YEAR(F581))</f>
        <v/>
      </c>
      <c r="H581" s="25">
        <f>IF(F581=0,"",MONTH(F581))</f>
        <v/>
      </c>
      <c r="I581" s="25">
        <f>IFERROR(INDEX(Pedidos!$E$2:$E$1801,MATCH(B581,Pedidos!$A$2:$A$1801,0)),"")</f>
        <v/>
      </c>
      <c r="J581" s="25">
        <f>IFERROR(INDEX(Pedidos!$C$2:$C$1801,MATCH(B581,Pedidos!$A$2:$A$1801,0)),"")</f>
        <v/>
      </c>
      <c r="K581" s="25">
        <f>IFERROR(INDEX(Pedidos!$D$2:$D$1801,MATCH(B581,Pedidos!$A$2:$A$1801,0)),"")</f>
        <v/>
      </c>
      <c r="L581" s="25">
        <f>IFERROR(INDEX(Pedidos!$F$2:$F$1801,MATCH(B581,Pedidos!$A$2:$A$1801,0)),"")</f>
        <v/>
      </c>
      <c r="M581" s="26">
        <f>IFERROR(INDEX(Pedidos!$G$2:$G$1801,MATCH(B581,Pedidos!$A$2:$A$1801,0)),0)</f>
        <v/>
      </c>
      <c r="N581" s="25">
        <f>IFERROR(INDEX(Produtos!$B$2:$B$71,MATCH(C581,Produtos!$A$2:$A$71,0)),"")</f>
        <v/>
      </c>
      <c r="O581" s="25">
        <f>IFERROR(INDEX(Produtos!$C$2:$C$71,MATCH(C581,Produtos!$A$2:$A$71,0)),"")</f>
        <v/>
      </c>
      <c r="P581" s="25">
        <f>IFERROR(INDEX(Produtos!$D$2:$D$71,MATCH(C581,Produtos!$A$2:$A$71,0)),0)</f>
        <v/>
      </c>
      <c r="Q581" s="25">
        <f>IFERROR(INDEX(Produtos!$E$2:$E$71,MATCH(C581,Produtos!$A$2:$A$71,0)),0)</f>
        <v/>
      </c>
      <c r="R581" s="27">
        <f>D581*Q581</f>
        <v/>
      </c>
      <c r="S581" s="27">
        <f>R581*E581</f>
        <v/>
      </c>
      <c r="T581" s="27">
        <f>(R581-S581)*M581</f>
        <v/>
      </c>
      <c r="U581" s="27">
        <f>R581-S581-T581</f>
        <v/>
      </c>
      <c r="V581" s="27">
        <f>D581*P581</f>
        <v/>
      </c>
      <c r="W581" s="27">
        <f>U581-V581</f>
        <v/>
      </c>
      <c r="X581" s="28">
        <f>IFERROR(W581/U581,0)</f>
        <v/>
      </c>
    </row>
    <row r="582">
      <c r="A582" s="21">
        <f>ItensPedido!A582</f>
        <v/>
      </c>
      <c r="B582" s="21">
        <f>ItensPedido!B582</f>
        <v/>
      </c>
      <c r="C582" s="21">
        <f>ItensPedido!C582</f>
        <v/>
      </c>
      <c r="D582" s="21">
        <f>ItensPedido!D582</f>
        <v/>
      </c>
      <c r="E582" s="22">
        <f>ItensPedido!E582</f>
        <v/>
      </c>
      <c r="F582" s="21">
        <f>IFERROR(INDEX(Pedidos!$B$2:$B$1801,MATCH(B582,Pedidos!$A$2:$A$1801,0)),0)</f>
        <v/>
      </c>
      <c r="G582" s="21">
        <f>IF(F582=0,"",YEAR(F582))</f>
        <v/>
      </c>
      <c r="H582" s="21">
        <f>IF(F582=0,"",MONTH(F582))</f>
        <v/>
      </c>
      <c r="I582" s="21">
        <f>IFERROR(INDEX(Pedidos!$E$2:$E$1801,MATCH(B582,Pedidos!$A$2:$A$1801,0)),"")</f>
        <v/>
      </c>
      <c r="J582" s="21">
        <f>IFERROR(INDEX(Pedidos!$C$2:$C$1801,MATCH(B582,Pedidos!$A$2:$A$1801,0)),"")</f>
        <v/>
      </c>
      <c r="K582" s="21">
        <f>IFERROR(INDEX(Pedidos!$D$2:$D$1801,MATCH(B582,Pedidos!$A$2:$A$1801,0)),"")</f>
        <v/>
      </c>
      <c r="L582" s="21">
        <f>IFERROR(INDEX(Pedidos!$F$2:$F$1801,MATCH(B582,Pedidos!$A$2:$A$1801,0)),"")</f>
        <v/>
      </c>
      <c r="M582" s="22">
        <f>IFERROR(INDEX(Pedidos!$G$2:$G$1801,MATCH(B582,Pedidos!$A$2:$A$1801,0)),0)</f>
        <v/>
      </c>
      <c r="N582" s="21">
        <f>IFERROR(INDEX(Produtos!$B$2:$B$71,MATCH(C582,Produtos!$A$2:$A$71,0)),"")</f>
        <v/>
      </c>
      <c r="O582" s="21">
        <f>IFERROR(INDEX(Produtos!$C$2:$C$71,MATCH(C582,Produtos!$A$2:$A$71,0)),"")</f>
        <v/>
      </c>
      <c r="P582" s="21">
        <f>IFERROR(INDEX(Produtos!$D$2:$D$71,MATCH(C582,Produtos!$A$2:$A$71,0)),0)</f>
        <v/>
      </c>
      <c r="Q582" s="21">
        <f>IFERROR(INDEX(Produtos!$E$2:$E$71,MATCH(C582,Produtos!$A$2:$A$71,0)),0)</f>
        <v/>
      </c>
      <c r="R582" s="23">
        <f>D582*Q582</f>
        <v/>
      </c>
      <c r="S582" s="23">
        <f>R582*E582</f>
        <v/>
      </c>
      <c r="T582" s="23">
        <f>(R582-S582)*M582</f>
        <v/>
      </c>
      <c r="U582" s="23">
        <f>R582-S582-T582</f>
        <v/>
      </c>
      <c r="V582" s="23">
        <f>D582*P582</f>
        <v/>
      </c>
      <c r="W582" s="23">
        <f>U582-V582</f>
        <v/>
      </c>
      <c r="X582" s="24">
        <f>IFERROR(W582/U582,0)</f>
        <v/>
      </c>
    </row>
    <row r="583">
      <c r="A583" s="25">
        <f>ItensPedido!A583</f>
        <v/>
      </c>
      <c r="B583" s="25">
        <f>ItensPedido!B583</f>
        <v/>
      </c>
      <c r="C583" s="25">
        <f>ItensPedido!C583</f>
        <v/>
      </c>
      <c r="D583" s="25">
        <f>ItensPedido!D583</f>
        <v/>
      </c>
      <c r="E583" s="26">
        <f>ItensPedido!E583</f>
        <v/>
      </c>
      <c r="F583" s="25">
        <f>IFERROR(INDEX(Pedidos!$B$2:$B$1801,MATCH(B583,Pedidos!$A$2:$A$1801,0)),0)</f>
        <v/>
      </c>
      <c r="G583" s="25">
        <f>IF(F583=0,"",YEAR(F583))</f>
        <v/>
      </c>
      <c r="H583" s="25">
        <f>IF(F583=0,"",MONTH(F583))</f>
        <v/>
      </c>
      <c r="I583" s="25">
        <f>IFERROR(INDEX(Pedidos!$E$2:$E$1801,MATCH(B583,Pedidos!$A$2:$A$1801,0)),"")</f>
        <v/>
      </c>
      <c r="J583" s="25">
        <f>IFERROR(INDEX(Pedidos!$C$2:$C$1801,MATCH(B583,Pedidos!$A$2:$A$1801,0)),"")</f>
        <v/>
      </c>
      <c r="K583" s="25">
        <f>IFERROR(INDEX(Pedidos!$D$2:$D$1801,MATCH(B583,Pedidos!$A$2:$A$1801,0)),"")</f>
        <v/>
      </c>
      <c r="L583" s="25">
        <f>IFERROR(INDEX(Pedidos!$F$2:$F$1801,MATCH(B583,Pedidos!$A$2:$A$1801,0)),"")</f>
        <v/>
      </c>
      <c r="M583" s="26">
        <f>IFERROR(INDEX(Pedidos!$G$2:$G$1801,MATCH(B583,Pedidos!$A$2:$A$1801,0)),0)</f>
        <v/>
      </c>
      <c r="N583" s="25">
        <f>IFERROR(INDEX(Produtos!$B$2:$B$71,MATCH(C583,Produtos!$A$2:$A$71,0)),"")</f>
        <v/>
      </c>
      <c r="O583" s="25">
        <f>IFERROR(INDEX(Produtos!$C$2:$C$71,MATCH(C583,Produtos!$A$2:$A$71,0)),"")</f>
        <v/>
      </c>
      <c r="P583" s="25">
        <f>IFERROR(INDEX(Produtos!$D$2:$D$71,MATCH(C583,Produtos!$A$2:$A$71,0)),0)</f>
        <v/>
      </c>
      <c r="Q583" s="25">
        <f>IFERROR(INDEX(Produtos!$E$2:$E$71,MATCH(C583,Produtos!$A$2:$A$71,0)),0)</f>
        <v/>
      </c>
      <c r="R583" s="27">
        <f>D583*Q583</f>
        <v/>
      </c>
      <c r="S583" s="27">
        <f>R583*E583</f>
        <v/>
      </c>
      <c r="T583" s="27">
        <f>(R583-S583)*M583</f>
        <v/>
      </c>
      <c r="U583" s="27">
        <f>R583-S583-T583</f>
        <v/>
      </c>
      <c r="V583" s="27">
        <f>D583*P583</f>
        <v/>
      </c>
      <c r="W583" s="27">
        <f>U583-V583</f>
        <v/>
      </c>
      <c r="X583" s="28">
        <f>IFERROR(W583/U583,0)</f>
        <v/>
      </c>
    </row>
    <row r="584">
      <c r="A584" s="21">
        <f>ItensPedido!A584</f>
        <v/>
      </c>
      <c r="B584" s="21">
        <f>ItensPedido!B584</f>
        <v/>
      </c>
      <c r="C584" s="21">
        <f>ItensPedido!C584</f>
        <v/>
      </c>
      <c r="D584" s="21">
        <f>ItensPedido!D584</f>
        <v/>
      </c>
      <c r="E584" s="22">
        <f>ItensPedido!E584</f>
        <v/>
      </c>
      <c r="F584" s="21">
        <f>IFERROR(INDEX(Pedidos!$B$2:$B$1801,MATCH(B584,Pedidos!$A$2:$A$1801,0)),0)</f>
        <v/>
      </c>
      <c r="G584" s="21">
        <f>IF(F584=0,"",YEAR(F584))</f>
        <v/>
      </c>
      <c r="H584" s="21">
        <f>IF(F584=0,"",MONTH(F584))</f>
        <v/>
      </c>
      <c r="I584" s="21">
        <f>IFERROR(INDEX(Pedidos!$E$2:$E$1801,MATCH(B584,Pedidos!$A$2:$A$1801,0)),"")</f>
        <v/>
      </c>
      <c r="J584" s="21">
        <f>IFERROR(INDEX(Pedidos!$C$2:$C$1801,MATCH(B584,Pedidos!$A$2:$A$1801,0)),"")</f>
        <v/>
      </c>
      <c r="K584" s="21">
        <f>IFERROR(INDEX(Pedidos!$D$2:$D$1801,MATCH(B584,Pedidos!$A$2:$A$1801,0)),"")</f>
        <v/>
      </c>
      <c r="L584" s="21">
        <f>IFERROR(INDEX(Pedidos!$F$2:$F$1801,MATCH(B584,Pedidos!$A$2:$A$1801,0)),"")</f>
        <v/>
      </c>
      <c r="M584" s="22">
        <f>IFERROR(INDEX(Pedidos!$G$2:$G$1801,MATCH(B584,Pedidos!$A$2:$A$1801,0)),0)</f>
        <v/>
      </c>
      <c r="N584" s="21">
        <f>IFERROR(INDEX(Produtos!$B$2:$B$71,MATCH(C584,Produtos!$A$2:$A$71,0)),"")</f>
        <v/>
      </c>
      <c r="O584" s="21">
        <f>IFERROR(INDEX(Produtos!$C$2:$C$71,MATCH(C584,Produtos!$A$2:$A$71,0)),"")</f>
        <v/>
      </c>
      <c r="P584" s="21">
        <f>IFERROR(INDEX(Produtos!$D$2:$D$71,MATCH(C584,Produtos!$A$2:$A$71,0)),0)</f>
        <v/>
      </c>
      <c r="Q584" s="21">
        <f>IFERROR(INDEX(Produtos!$E$2:$E$71,MATCH(C584,Produtos!$A$2:$A$71,0)),0)</f>
        <v/>
      </c>
      <c r="R584" s="23">
        <f>D584*Q584</f>
        <v/>
      </c>
      <c r="S584" s="23">
        <f>R584*E584</f>
        <v/>
      </c>
      <c r="T584" s="23">
        <f>(R584-S584)*M584</f>
        <v/>
      </c>
      <c r="U584" s="23">
        <f>R584-S584-T584</f>
        <v/>
      </c>
      <c r="V584" s="23">
        <f>D584*P584</f>
        <v/>
      </c>
      <c r="W584" s="23">
        <f>U584-V584</f>
        <v/>
      </c>
      <c r="X584" s="24">
        <f>IFERROR(W584/U584,0)</f>
        <v/>
      </c>
    </row>
    <row r="585">
      <c r="A585" s="25">
        <f>ItensPedido!A585</f>
        <v/>
      </c>
      <c r="B585" s="25">
        <f>ItensPedido!B585</f>
        <v/>
      </c>
      <c r="C585" s="25">
        <f>ItensPedido!C585</f>
        <v/>
      </c>
      <c r="D585" s="25">
        <f>ItensPedido!D585</f>
        <v/>
      </c>
      <c r="E585" s="26">
        <f>ItensPedido!E585</f>
        <v/>
      </c>
      <c r="F585" s="25">
        <f>IFERROR(INDEX(Pedidos!$B$2:$B$1801,MATCH(B585,Pedidos!$A$2:$A$1801,0)),0)</f>
        <v/>
      </c>
      <c r="G585" s="25">
        <f>IF(F585=0,"",YEAR(F585))</f>
        <v/>
      </c>
      <c r="H585" s="25">
        <f>IF(F585=0,"",MONTH(F585))</f>
        <v/>
      </c>
      <c r="I585" s="25">
        <f>IFERROR(INDEX(Pedidos!$E$2:$E$1801,MATCH(B585,Pedidos!$A$2:$A$1801,0)),"")</f>
        <v/>
      </c>
      <c r="J585" s="25">
        <f>IFERROR(INDEX(Pedidos!$C$2:$C$1801,MATCH(B585,Pedidos!$A$2:$A$1801,0)),"")</f>
        <v/>
      </c>
      <c r="K585" s="25">
        <f>IFERROR(INDEX(Pedidos!$D$2:$D$1801,MATCH(B585,Pedidos!$A$2:$A$1801,0)),"")</f>
        <v/>
      </c>
      <c r="L585" s="25">
        <f>IFERROR(INDEX(Pedidos!$F$2:$F$1801,MATCH(B585,Pedidos!$A$2:$A$1801,0)),"")</f>
        <v/>
      </c>
      <c r="M585" s="26">
        <f>IFERROR(INDEX(Pedidos!$G$2:$G$1801,MATCH(B585,Pedidos!$A$2:$A$1801,0)),0)</f>
        <v/>
      </c>
      <c r="N585" s="25">
        <f>IFERROR(INDEX(Produtos!$B$2:$B$71,MATCH(C585,Produtos!$A$2:$A$71,0)),"")</f>
        <v/>
      </c>
      <c r="O585" s="25">
        <f>IFERROR(INDEX(Produtos!$C$2:$C$71,MATCH(C585,Produtos!$A$2:$A$71,0)),"")</f>
        <v/>
      </c>
      <c r="P585" s="25">
        <f>IFERROR(INDEX(Produtos!$D$2:$D$71,MATCH(C585,Produtos!$A$2:$A$71,0)),0)</f>
        <v/>
      </c>
      <c r="Q585" s="25">
        <f>IFERROR(INDEX(Produtos!$E$2:$E$71,MATCH(C585,Produtos!$A$2:$A$71,0)),0)</f>
        <v/>
      </c>
      <c r="R585" s="27">
        <f>D585*Q585</f>
        <v/>
      </c>
      <c r="S585" s="27">
        <f>R585*E585</f>
        <v/>
      </c>
      <c r="T585" s="27">
        <f>(R585-S585)*M585</f>
        <v/>
      </c>
      <c r="U585" s="27">
        <f>R585-S585-T585</f>
        <v/>
      </c>
      <c r="V585" s="27">
        <f>D585*P585</f>
        <v/>
      </c>
      <c r="W585" s="27">
        <f>U585-V585</f>
        <v/>
      </c>
      <c r="X585" s="28">
        <f>IFERROR(W585/U585,0)</f>
        <v/>
      </c>
    </row>
    <row r="586">
      <c r="A586" s="21">
        <f>ItensPedido!A586</f>
        <v/>
      </c>
      <c r="B586" s="21">
        <f>ItensPedido!B586</f>
        <v/>
      </c>
      <c r="C586" s="21">
        <f>ItensPedido!C586</f>
        <v/>
      </c>
      <c r="D586" s="21">
        <f>ItensPedido!D586</f>
        <v/>
      </c>
      <c r="E586" s="22">
        <f>ItensPedido!E586</f>
        <v/>
      </c>
      <c r="F586" s="21">
        <f>IFERROR(INDEX(Pedidos!$B$2:$B$1801,MATCH(B586,Pedidos!$A$2:$A$1801,0)),0)</f>
        <v/>
      </c>
      <c r="G586" s="21">
        <f>IF(F586=0,"",YEAR(F586))</f>
        <v/>
      </c>
      <c r="H586" s="21">
        <f>IF(F586=0,"",MONTH(F586))</f>
        <v/>
      </c>
      <c r="I586" s="21">
        <f>IFERROR(INDEX(Pedidos!$E$2:$E$1801,MATCH(B586,Pedidos!$A$2:$A$1801,0)),"")</f>
        <v/>
      </c>
      <c r="J586" s="21">
        <f>IFERROR(INDEX(Pedidos!$C$2:$C$1801,MATCH(B586,Pedidos!$A$2:$A$1801,0)),"")</f>
        <v/>
      </c>
      <c r="K586" s="21">
        <f>IFERROR(INDEX(Pedidos!$D$2:$D$1801,MATCH(B586,Pedidos!$A$2:$A$1801,0)),"")</f>
        <v/>
      </c>
      <c r="L586" s="21">
        <f>IFERROR(INDEX(Pedidos!$F$2:$F$1801,MATCH(B586,Pedidos!$A$2:$A$1801,0)),"")</f>
        <v/>
      </c>
      <c r="M586" s="22">
        <f>IFERROR(INDEX(Pedidos!$G$2:$G$1801,MATCH(B586,Pedidos!$A$2:$A$1801,0)),0)</f>
        <v/>
      </c>
      <c r="N586" s="21">
        <f>IFERROR(INDEX(Produtos!$B$2:$B$71,MATCH(C586,Produtos!$A$2:$A$71,0)),"")</f>
        <v/>
      </c>
      <c r="O586" s="21">
        <f>IFERROR(INDEX(Produtos!$C$2:$C$71,MATCH(C586,Produtos!$A$2:$A$71,0)),"")</f>
        <v/>
      </c>
      <c r="P586" s="21">
        <f>IFERROR(INDEX(Produtos!$D$2:$D$71,MATCH(C586,Produtos!$A$2:$A$71,0)),0)</f>
        <v/>
      </c>
      <c r="Q586" s="21">
        <f>IFERROR(INDEX(Produtos!$E$2:$E$71,MATCH(C586,Produtos!$A$2:$A$71,0)),0)</f>
        <v/>
      </c>
      <c r="R586" s="23">
        <f>D586*Q586</f>
        <v/>
      </c>
      <c r="S586" s="23">
        <f>R586*E586</f>
        <v/>
      </c>
      <c r="T586" s="23">
        <f>(R586-S586)*M586</f>
        <v/>
      </c>
      <c r="U586" s="23">
        <f>R586-S586-T586</f>
        <v/>
      </c>
      <c r="V586" s="23">
        <f>D586*P586</f>
        <v/>
      </c>
      <c r="W586" s="23">
        <f>U586-V586</f>
        <v/>
      </c>
      <c r="X586" s="24">
        <f>IFERROR(W586/U586,0)</f>
        <v/>
      </c>
    </row>
    <row r="587">
      <c r="A587" s="25">
        <f>ItensPedido!A587</f>
        <v/>
      </c>
      <c r="B587" s="25">
        <f>ItensPedido!B587</f>
        <v/>
      </c>
      <c r="C587" s="25">
        <f>ItensPedido!C587</f>
        <v/>
      </c>
      <c r="D587" s="25">
        <f>ItensPedido!D587</f>
        <v/>
      </c>
      <c r="E587" s="26">
        <f>ItensPedido!E587</f>
        <v/>
      </c>
      <c r="F587" s="25">
        <f>IFERROR(INDEX(Pedidos!$B$2:$B$1801,MATCH(B587,Pedidos!$A$2:$A$1801,0)),0)</f>
        <v/>
      </c>
      <c r="G587" s="25">
        <f>IF(F587=0,"",YEAR(F587))</f>
        <v/>
      </c>
      <c r="H587" s="25">
        <f>IF(F587=0,"",MONTH(F587))</f>
        <v/>
      </c>
      <c r="I587" s="25">
        <f>IFERROR(INDEX(Pedidos!$E$2:$E$1801,MATCH(B587,Pedidos!$A$2:$A$1801,0)),"")</f>
        <v/>
      </c>
      <c r="J587" s="25">
        <f>IFERROR(INDEX(Pedidos!$C$2:$C$1801,MATCH(B587,Pedidos!$A$2:$A$1801,0)),"")</f>
        <v/>
      </c>
      <c r="K587" s="25">
        <f>IFERROR(INDEX(Pedidos!$D$2:$D$1801,MATCH(B587,Pedidos!$A$2:$A$1801,0)),"")</f>
        <v/>
      </c>
      <c r="L587" s="25">
        <f>IFERROR(INDEX(Pedidos!$F$2:$F$1801,MATCH(B587,Pedidos!$A$2:$A$1801,0)),"")</f>
        <v/>
      </c>
      <c r="M587" s="26">
        <f>IFERROR(INDEX(Pedidos!$G$2:$G$1801,MATCH(B587,Pedidos!$A$2:$A$1801,0)),0)</f>
        <v/>
      </c>
      <c r="N587" s="25">
        <f>IFERROR(INDEX(Produtos!$B$2:$B$71,MATCH(C587,Produtos!$A$2:$A$71,0)),"")</f>
        <v/>
      </c>
      <c r="O587" s="25">
        <f>IFERROR(INDEX(Produtos!$C$2:$C$71,MATCH(C587,Produtos!$A$2:$A$71,0)),"")</f>
        <v/>
      </c>
      <c r="P587" s="25">
        <f>IFERROR(INDEX(Produtos!$D$2:$D$71,MATCH(C587,Produtos!$A$2:$A$71,0)),0)</f>
        <v/>
      </c>
      <c r="Q587" s="25">
        <f>IFERROR(INDEX(Produtos!$E$2:$E$71,MATCH(C587,Produtos!$A$2:$A$71,0)),0)</f>
        <v/>
      </c>
      <c r="R587" s="27">
        <f>D587*Q587</f>
        <v/>
      </c>
      <c r="S587" s="27">
        <f>R587*E587</f>
        <v/>
      </c>
      <c r="T587" s="27">
        <f>(R587-S587)*M587</f>
        <v/>
      </c>
      <c r="U587" s="27">
        <f>R587-S587-T587</f>
        <v/>
      </c>
      <c r="V587" s="27">
        <f>D587*P587</f>
        <v/>
      </c>
      <c r="W587" s="27">
        <f>U587-V587</f>
        <v/>
      </c>
      <c r="X587" s="28">
        <f>IFERROR(W587/U587,0)</f>
        <v/>
      </c>
    </row>
    <row r="588">
      <c r="A588" s="21">
        <f>ItensPedido!A588</f>
        <v/>
      </c>
      <c r="B588" s="21">
        <f>ItensPedido!B588</f>
        <v/>
      </c>
      <c r="C588" s="21">
        <f>ItensPedido!C588</f>
        <v/>
      </c>
      <c r="D588" s="21">
        <f>ItensPedido!D588</f>
        <v/>
      </c>
      <c r="E588" s="22">
        <f>ItensPedido!E588</f>
        <v/>
      </c>
      <c r="F588" s="21">
        <f>IFERROR(INDEX(Pedidos!$B$2:$B$1801,MATCH(B588,Pedidos!$A$2:$A$1801,0)),0)</f>
        <v/>
      </c>
      <c r="G588" s="21">
        <f>IF(F588=0,"",YEAR(F588))</f>
        <v/>
      </c>
      <c r="H588" s="21">
        <f>IF(F588=0,"",MONTH(F588))</f>
        <v/>
      </c>
      <c r="I588" s="21">
        <f>IFERROR(INDEX(Pedidos!$E$2:$E$1801,MATCH(B588,Pedidos!$A$2:$A$1801,0)),"")</f>
        <v/>
      </c>
      <c r="J588" s="21">
        <f>IFERROR(INDEX(Pedidos!$C$2:$C$1801,MATCH(B588,Pedidos!$A$2:$A$1801,0)),"")</f>
        <v/>
      </c>
      <c r="K588" s="21">
        <f>IFERROR(INDEX(Pedidos!$D$2:$D$1801,MATCH(B588,Pedidos!$A$2:$A$1801,0)),"")</f>
        <v/>
      </c>
      <c r="L588" s="21">
        <f>IFERROR(INDEX(Pedidos!$F$2:$F$1801,MATCH(B588,Pedidos!$A$2:$A$1801,0)),"")</f>
        <v/>
      </c>
      <c r="M588" s="22">
        <f>IFERROR(INDEX(Pedidos!$G$2:$G$1801,MATCH(B588,Pedidos!$A$2:$A$1801,0)),0)</f>
        <v/>
      </c>
      <c r="N588" s="21">
        <f>IFERROR(INDEX(Produtos!$B$2:$B$71,MATCH(C588,Produtos!$A$2:$A$71,0)),"")</f>
        <v/>
      </c>
      <c r="O588" s="21">
        <f>IFERROR(INDEX(Produtos!$C$2:$C$71,MATCH(C588,Produtos!$A$2:$A$71,0)),"")</f>
        <v/>
      </c>
      <c r="P588" s="21">
        <f>IFERROR(INDEX(Produtos!$D$2:$D$71,MATCH(C588,Produtos!$A$2:$A$71,0)),0)</f>
        <v/>
      </c>
      <c r="Q588" s="21">
        <f>IFERROR(INDEX(Produtos!$E$2:$E$71,MATCH(C588,Produtos!$A$2:$A$71,0)),0)</f>
        <v/>
      </c>
      <c r="R588" s="23">
        <f>D588*Q588</f>
        <v/>
      </c>
      <c r="S588" s="23">
        <f>R588*E588</f>
        <v/>
      </c>
      <c r="T588" s="23">
        <f>(R588-S588)*M588</f>
        <v/>
      </c>
      <c r="U588" s="23">
        <f>R588-S588-T588</f>
        <v/>
      </c>
      <c r="V588" s="23">
        <f>D588*P588</f>
        <v/>
      </c>
      <c r="W588" s="23">
        <f>U588-V588</f>
        <v/>
      </c>
      <c r="X588" s="24">
        <f>IFERROR(W588/U588,0)</f>
        <v/>
      </c>
    </row>
    <row r="589">
      <c r="A589" s="25">
        <f>ItensPedido!A589</f>
        <v/>
      </c>
      <c r="B589" s="25">
        <f>ItensPedido!B589</f>
        <v/>
      </c>
      <c r="C589" s="25">
        <f>ItensPedido!C589</f>
        <v/>
      </c>
      <c r="D589" s="25">
        <f>ItensPedido!D589</f>
        <v/>
      </c>
      <c r="E589" s="26">
        <f>ItensPedido!E589</f>
        <v/>
      </c>
      <c r="F589" s="25">
        <f>IFERROR(INDEX(Pedidos!$B$2:$B$1801,MATCH(B589,Pedidos!$A$2:$A$1801,0)),0)</f>
        <v/>
      </c>
      <c r="G589" s="25">
        <f>IF(F589=0,"",YEAR(F589))</f>
        <v/>
      </c>
      <c r="H589" s="25">
        <f>IF(F589=0,"",MONTH(F589))</f>
        <v/>
      </c>
      <c r="I589" s="25">
        <f>IFERROR(INDEX(Pedidos!$E$2:$E$1801,MATCH(B589,Pedidos!$A$2:$A$1801,0)),"")</f>
        <v/>
      </c>
      <c r="J589" s="25">
        <f>IFERROR(INDEX(Pedidos!$C$2:$C$1801,MATCH(B589,Pedidos!$A$2:$A$1801,0)),"")</f>
        <v/>
      </c>
      <c r="K589" s="25">
        <f>IFERROR(INDEX(Pedidos!$D$2:$D$1801,MATCH(B589,Pedidos!$A$2:$A$1801,0)),"")</f>
        <v/>
      </c>
      <c r="L589" s="25">
        <f>IFERROR(INDEX(Pedidos!$F$2:$F$1801,MATCH(B589,Pedidos!$A$2:$A$1801,0)),"")</f>
        <v/>
      </c>
      <c r="M589" s="26">
        <f>IFERROR(INDEX(Pedidos!$G$2:$G$1801,MATCH(B589,Pedidos!$A$2:$A$1801,0)),0)</f>
        <v/>
      </c>
      <c r="N589" s="25">
        <f>IFERROR(INDEX(Produtos!$B$2:$B$71,MATCH(C589,Produtos!$A$2:$A$71,0)),"")</f>
        <v/>
      </c>
      <c r="O589" s="25">
        <f>IFERROR(INDEX(Produtos!$C$2:$C$71,MATCH(C589,Produtos!$A$2:$A$71,0)),"")</f>
        <v/>
      </c>
      <c r="P589" s="25">
        <f>IFERROR(INDEX(Produtos!$D$2:$D$71,MATCH(C589,Produtos!$A$2:$A$71,0)),0)</f>
        <v/>
      </c>
      <c r="Q589" s="25">
        <f>IFERROR(INDEX(Produtos!$E$2:$E$71,MATCH(C589,Produtos!$A$2:$A$71,0)),0)</f>
        <v/>
      </c>
      <c r="R589" s="27">
        <f>D589*Q589</f>
        <v/>
      </c>
      <c r="S589" s="27">
        <f>R589*E589</f>
        <v/>
      </c>
      <c r="T589" s="27">
        <f>(R589-S589)*M589</f>
        <v/>
      </c>
      <c r="U589" s="27">
        <f>R589-S589-T589</f>
        <v/>
      </c>
      <c r="V589" s="27">
        <f>D589*P589</f>
        <v/>
      </c>
      <c r="W589" s="27">
        <f>U589-V589</f>
        <v/>
      </c>
      <c r="X589" s="28">
        <f>IFERROR(W589/U589,0)</f>
        <v/>
      </c>
    </row>
    <row r="590">
      <c r="A590" s="21">
        <f>ItensPedido!A590</f>
        <v/>
      </c>
      <c r="B590" s="21">
        <f>ItensPedido!B590</f>
        <v/>
      </c>
      <c r="C590" s="21">
        <f>ItensPedido!C590</f>
        <v/>
      </c>
      <c r="D590" s="21">
        <f>ItensPedido!D590</f>
        <v/>
      </c>
      <c r="E590" s="22">
        <f>ItensPedido!E590</f>
        <v/>
      </c>
      <c r="F590" s="21">
        <f>IFERROR(INDEX(Pedidos!$B$2:$B$1801,MATCH(B590,Pedidos!$A$2:$A$1801,0)),0)</f>
        <v/>
      </c>
      <c r="G590" s="21">
        <f>IF(F590=0,"",YEAR(F590))</f>
        <v/>
      </c>
      <c r="H590" s="21">
        <f>IF(F590=0,"",MONTH(F590))</f>
        <v/>
      </c>
      <c r="I590" s="21">
        <f>IFERROR(INDEX(Pedidos!$E$2:$E$1801,MATCH(B590,Pedidos!$A$2:$A$1801,0)),"")</f>
        <v/>
      </c>
      <c r="J590" s="21">
        <f>IFERROR(INDEX(Pedidos!$C$2:$C$1801,MATCH(B590,Pedidos!$A$2:$A$1801,0)),"")</f>
        <v/>
      </c>
      <c r="K590" s="21">
        <f>IFERROR(INDEX(Pedidos!$D$2:$D$1801,MATCH(B590,Pedidos!$A$2:$A$1801,0)),"")</f>
        <v/>
      </c>
      <c r="L590" s="21">
        <f>IFERROR(INDEX(Pedidos!$F$2:$F$1801,MATCH(B590,Pedidos!$A$2:$A$1801,0)),"")</f>
        <v/>
      </c>
      <c r="M590" s="22">
        <f>IFERROR(INDEX(Pedidos!$G$2:$G$1801,MATCH(B590,Pedidos!$A$2:$A$1801,0)),0)</f>
        <v/>
      </c>
      <c r="N590" s="21">
        <f>IFERROR(INDEX(Produtos!$B$2:$B$71,MATCH(C590,Produtos!$A$2:$A$71,0)),"")</f>
        <v/>
      </c>
      <c r="O590" s="21">
        <f>IFERROR(INDEX(Produtos!$C$2:$C$71,MATCH(C590,Produtos!$A$2:$A$71,0)),"")</f>
        <v/>
      </c>
      <c r="P590" s="21">
        <f>IFERROR(INDEX(Produtos!$D$2:$D$71,MATCH(C590,Produtos!$A$2:$A$71,0)),0)</f>
        <v/>
      </c>
      <c r="Q590" s="21">
        <f>IFERROR(INDEX(Produtos!$E$2:$E$71,MATCH(C590,Produtos!$A$2:$A$71,0)),0)</f>
        <v/>
      </c>
      <c r="R590" s="23">
        <f>D590*Q590</f>
        <v/>
      </c>
      <c r="S590" s="23">
        <f>R590*E590</f>
        <v/>
      </c>
      <c r="T590" s="23">
        <f>(R590-S590)*M590</f>
        <v/>
      </c>
      <c r="U590" s="23">
        <f>R590-S590-T590</f>
        <v/>
      </c>
      <c r="V590" s="23">
        <f>D590*P590</f>
        <v/>
      </c>
      <c r="W590" s="23">
        <f>U590-V590</f>
        <v/>
      </c>
      <c r="X590" s="24">
        <f>IFERROR(W590/U590,0)</f>
        <v/>
      </c>
    </row>
    <row r="591">
      <c r="A591" s="25">
        <f>ItensPedido!A591</f>
        <v/>
      </c>
      <c r="B591" s="25">
        <f>ItensPedido!B591</f>
        <v/>
      </c>
      <c r="C591" s="25">
        <f>ItensPedido!C591</f>
        <v/>
      </c>
      <c r="D591" s="25">
        <f>ItensPedido!D591</f>
        <v/>
      </c>
      <c r="E591" s="26">
        <f>ItensPedido!E591</f>
        <v/>
      </c>
      <c r="F591" s="25">
        <f>IFERROR(INDEX(Pedidos!$B$2:$B$1801,MATCH(B591,Pedidos!$A$2:$A$1801,0)),0)</f>
        <v/>
      </c>
      <c r="G591" s="25">
        <f>IF(F591=0,"",YEAR(F591))</f>
        <v/>
      </c>
      <c r="H591" s="25">
        <f>IF(F591=0,"",MONTH(F591))</f>
        <v/>
      </c>
      <c r="I591" s="25">
        <f>IFERROR(INDEX(Pedidos!$E$2:$E$1801,MATCH(B591,Pedidos!$A$2:$A$1801,0)),"")</f>
        <v/>
      </c>
      <c r="J591" s="25">
        <f>IFERROR(INDEX(Pedidos!$C$2:$C$1801,MATCH(B591,Pedidos!$A$2:$A$1801,0)),"")</f>
        <v/>
      </c>
      <c r="K591" s="25">
        <f>IFERROR(INDEX(Pedidos!$D$2:$D$1801,MATCH(B591,Pedidos!$A$2:$A$1801,0)),"")</f>
        <v/>
      </c>
      <c r="L591" s="25">
        <f>IFERROR(INDEX(Pedidos!$F$2:$F$1801,MATCH(B591,Pedidos!$A$2:$A$1801,0)),"")</f>
        <v/>
      </c>
      <c r="M591" s="26">
        <f>IFERROR(INDEX(Pedidos!$G$2:$G$1801,MATCH(B591,Pedidos!$A$2:$A$1801,0)),0)</f>
        <v/>
      </c>
      <c r="N591" s="25">
        <f>IFERROR(INDEX(Produtos!$B$2:$B$71,MATCH(C591,Produtos!$A$2:$A$71,0)),"")</f>
        <v/>
      </c>
      <c r="O591" s="25">
        <f>IFERROR(INDEX(Produtos!$C$2:$C$71,MATCH(C591,Produtos!$A$2:$A$71,0)),"")</f>
        <v/>
      </c>
      <c r="P591" s="25">
        <f>IFERROR(INDEX(Produtos!$D$2:$D$71,MATCH(C591,Produtos!$A$2:$A$71,0)),0)</f>
        <v/>
      </c>
      <c r="Q591" s="25">
        <f>IFERROR(INDEX(Produtos!$E$2:$E$71,MATCH(C591,Produtos!$A$2:$A$71,0)),0)</f>
        <v/>
      </c>
      <c r="R591" s="27">
        <f>D591*Q591</f>
        <v/>
      </c>
      <c r="S591" s="27">
        <f>R591*E591</f>
        <v/>
      </c>
      <c r="T591" s="27">
        <f>(R591-S591)*M591</f>
        <v/>
      </c>
      <c r="U591" s="27">
        <f>R591-S591-T591</f>
        <v/>
      </c>
      <c r="V591" s="27">
        <f>D591*P591</f>
        <v/>
      </c>
      <c r="W591" s="27">
        <f>U591-V591</f>
        <v/>
      </c>
      <c r="X591" s="28">
        <f>IFERROR(W591/U591,0)</f>
        <v/>
      </c>
    </row>
    <row r="592">
      <c r="A592" s="21">
        <f>ItensPedido!A592</f>
        <v/>
      </c>
      <c r="B592" s="21">
        <f>ItensPedido!B592</f>
        <v/>
      </c>
      <c r="C592" s="21">
        <f>ItensPedido!C592</f>
        <v/>
      </c>
      <c r="D592" s="21">
        <f>ItensPedido!D592</f>
        <v/>
      </c>
      <c r="E592" s="22">
        <f>ItensPedido!E592</f>
        <v/>
      </c>
      <c r="F592" s="21">
        <f>IFERROR(INDEX(Pedidos!$B$2:$B$1801,MATCH(B592,Pedidos!$A$2:$A$1801,0)),0)</f>
        <v/>
      </c>
      <c r="G592" s="21">
        <f>IF(F592=0,"",YEAR(F592))</f>
        <v/>
      </c>
      <c r="H592" s="21">
        <f>IF(F592=0,"",MONTH(F592))</f>
        <v/>
      </c>
      <c r="I592" s="21">
        <f>IFERROR(INDEX(Pedidos!$E$2:$E$1801,MATCH(B592,Pedidos!$A$2:$A$1801,0)),"")</f>
        <v/>
      </c>
      <c r="J592" s="21">
        <f>IFERROR(INDEX(Pedidos!$C$2:$C$1801,MATCH(B592,Pedidos!$A$2:$A$1801,0)),"")</f>
        <v/>
      </c>
      <c r="K592" s="21">
        <f>IFERROR(INDEX(Pedidos!$D$2:$D$1801,MATCH(B592,Pedidos!$A$2:$A$1801,0)),"")</f>
        <v/>
      </c>
      <c r="L592" s="21">
        <f>IFERROR(INDEX(Pedidos!$F$2:$F$1801,MATCH(B592,Pedidos!$A$2:$A$1801,0)),"")</f>
        <v/>
      </c>
      <c r="M592" s="22">
        <f>IFERROR(INDEX(Pedidos!$G$2:$G$1801,MATCH(B592,Pedidos!$A$2:$A$1801,0)),0)</f>
        <v/>
      </c>
      <c r="N592" s="21">
        <f>IFERROR(INDEX(Produtos!$B$2:$B$71,MATCH(C592,Produtos!$A$2:$A$71,0)),"")</f>
        <v/>
      </c>
      <c r="O592" s="21">
        <f>IFERROR(INDEX(Produtos!$C$2:$C$71,MATCH(C592,Produtos!$A$2:$A$71,0)),"")</f>
        <v/>
      </c>
      <c r="P592" s="21">
        <f>IFERROR(INDEX(Produtos!$D$2:$D$71,MATCH(C592,Produtos!$A$2:$A$71,0)),0)</f>
        <v/>
      </c>
      <c r="Q592" s="21">
        <f>IFERROR(INDEX(Produtos!$E$2:$E$71,MATCH(C592,Produtos!$A$2:$A$71,0)),0)</f>
        <v/>
      </c>
      <c r="R592" s="23">
        <f>D592*Q592</f>
        <v/>
      </c>
      <c r="S592" s="23">
        <f>R592*E592</f>
        <v/>
      </c>
      <c r="T592" s="23">
        <f>(R592-S592)*M592</f>
        <v/>
      </c>
      <c r="U592" s="23">
        <f>R592-S592-T592</f>
        <v/>
      </c>
      <c r="V592" s="23">
        <f>D592*P592</f>
        <v/>
      </c>
      <c r="W592" s="23">
        <f>U592-V592</f>
        <v/>
      </c>
      <c r="X592" s="24">
        <f>IFERROR(W592/U592,0)</f>
        <v/>
      </c>
    </row>
    <row r="593">
      <c r="A593" s="25">
        <f>ItensPedido!A593</f>
        <v/>
      </c>
      <c r="B593" s="25">
        <f>ItensPedido!B593</f>
        <v/>
      </c>
      <c r="C593" s="25">
        <f>ItensPedido!C593</f>
        <v/>
      </c>
      <c r="D593" s="25">
        <f>ItensPedido!D593</f>
        <v/>
      </c>
      <c r="E593" s="26">
        <f>ItensPedido!E593</f>
        <v/>
      </c>
      <c r="F593" s="25">
        <f>IFERROR(INDEX(Pedidos!$B$2:$B$1801,MATCH(B593,Pedidos!$A$2:$A$1801,0)),0)</f>
        <v/>
      </c>
      <c r="G593" s="25">
        <f>IF(F593=0,"",YEAR(F593))</f>
        <v/>
      </c>
      <c r="H593" s="25">
        <f>IF(F593=0,"",MONTH(F593))</f>
        <v/>
      </c>
      <c r="I593" s="25">
        <f>IFERROR(INDEX(Pedidos!$E$2:$E$1801,MATCH(B593,Pedidos!$A$2:$A$1801,0)),"")</f>
        <v/>
      </c>
      <c r="J593" s="25">
        <f>IFERROR(INDEX(Pedidos!$C$2:$C$1801,MATCH(B593,Pedidos!$A$2:$A$1801,0)),"")</f>
        <v/>
      </c>
      <c r="K593" s="25">
        <f>IFERROR(INDEX(Pedidos!$D$2:$D$1801,MATCH(B593,Pedidos!$A$2:$A$1801,0)),"")</f>
        <v/>
      </c>
      <c r="L593" s="25">
        <f>IFERROR(INDEX(Pedidos!$F$2:$F$1801,MATCH(B593,Pedidos!$A$2:$A$1801,0)),"")</f>
        <v/>
      </c>
      <c r="M593" s="26">
        <f>IFERROR(INDEX(Pedidos!$G$2:$G$1801,MATCH(B593,Pedidos!$A$2:$A$1801,0)),0)</f>
        <v/>
      </c>
      <c r="N593" s="25">
        <f>IFERROR(INDEX(Produtos!$B$2:$B$71,MATCH(C593,Produtos!$A$2:$A$71,0)),"")</f>
        <v/>
      </c>
      <c r="O593" s="25">
        <f>IFERROR(INDEX(Produtos!$C$2:$C$71,MATCH(C593,Produtos!$A$2:$A$71,0)),"")</f>
        <v/>
      </c>
      <c r="P593" s="25">
        <f>IFERROR(INDEX(Produtos!$D$2:$D$71,MATCH(C593,Produtos!$A$2:$A$71,0)),0)</f>
        <v/>
      </c>
      <c r="Q593" s="25">
        <f>IFERROR(INDEX(Produtos!$E$2:$E$71,MATCH(C593,Produtos!$A$2:$A$71,0)),0)</f>
        <v/>
      </c>
      <c r="R593" s="27">
        <f>D593*Q593</f>
        <v/>
      </c>
      <c r="S593" s="27">
        <f>R593*E593</f>
        <v/>
      </c>
      <c r="T593" s="27">
        <f>(R593-S593)*M593</f>
        <v/>
      </c>
      <c r="U593" s="27">
        <f>R593-S593-T593</f>
        <v/>
      </c>
      <c r="V593" s="27">
        <f>D593*P593</f>
        <v/>
      </c>
      <c r="W593" s="27">
        <f>U593-V593</f>
        <v/>
      </c>
      <c r="X593" s="28">
        <f>IFERROR(W593/U593,0)</f>
        <v/>
      </c>
    </row>
    <row r="594">
      <c r="A594" s="21">
        <f>ItensPedido!A594</f>
        <v/>
      </c>
      <c r="B594" s="21">
        <f>ItensPedido!B594</f>
        <v/>
      </c>
      <c r="C594" s="21">
        <f>ItensPedido!C594</f>
        <v/>
      </c>
      <c r="D594" s="21">
        <f>ItensPedido!D594</f>
        <v/>
      </c>
      <c r="E594" s="22">
        <f>ItensPedido!E594</f>
        <v/>
      </c>
      <c r="F594" s="21">
        <f>IFERROR(INDEX(Pedidos!$B$2:$B$1801,MATCH(B594,Pedidos!$A$2:$A$1801,0)),0)</f>
        <v/>
      </c>
      <c r="G594" s="21">
        <f>IF(F594=0,"",YEAR(F594))</f>
        <v/>
      </c>
      <c r="H594" s="21">
        <f>IF(F594=0,"",MONTH(F594))</f>
        <v/>
      </c>
      <c r="I594" s="21">
        <f>IFERROR(INDEX(Pedidos!$E$2:$E$1801,MATCH(B594,Pedidos!$A$2:$A$1801,0)),"")</f>
        <v/>
      </c>
      <c r="J594" s="21">
        <f>IFERROR(INDEX(Pedidos!$C$2:$C$1801,MATCH(B594,Pedidos!$A$2:$A$1801,0)),"")</f>
        <v/>
      </c>
      <c r="K594" s="21">
        <f>IFERROR(INDEX(Pedidos!$D$2:$D$1801,MATCH(B594,Pedidos!$A$2:$A$1801,0)),"")</f>
        <v/>
      </c>
      <c r="L594" s="21">
        <f>IFERROR(INDEX(Pedidos!$F$2:$F$1801,MATCH(B594,Pedidos!$A$2:$A$1801,0)),"")</f>
        <v/>
      </c>
      <c r="M594" s="22">
        <f>IFERROR(INDEX(Pedidos!$G$2:$G$1801,MATCH(B594,Pedidos!$A$2:$A$1801,0)),0)</f>
        <v/>
      </c>
      <c r="N594" s="21">
        <f>IFERROR(INDEX(Produtos!$B$2:$B$71,MATCH(C594,Produtos!$A$2:$A$71,0)),"")</f>
        <v/>
      </c>
      <c r="O594" s="21">
        <f>IFERROR(INDEX(Produtos!$C$2:$C$71,MATCH(C594,Produtos!$A$2:$A$71,0)),"")</f>
        <v/>
      </c>
      <c r="P594" s="21">
        <f>IFERROR(INDEX(Produtos!$D$2:$D$71,MATCH(C594,Produtos!$A$2:$A$71,0)),0)</f>
        <v/>
      </c>
      <c r="Q594" s="21">
        <f>IFERROR(INDEX(Produtos!$E$2:$E$71,MATCH(C594,Produtos!$A$2:$A$71,0)),0)</f>
        <v/>
      </c>
      <c r="R594" s="23">
        <f>D594*Q594</f>
        <v/>
      </c>
      <c r="S594" s="23">
        <f>R594*E594</f>
        <v/>
      </c>
      <c r="T594" s="23">
        <f>(R594-S594)*M594</f>
        <v/>
      </c>
      <c r="U594" s="23">
        <f>R594-S594-T594</f>
        <v/>
      </c>
      <c r="V594" s="23">
        <f>D594*P594</f>
        <v/>
      </c>
      <c r="W594" s="23">
        <f>U594-V594</f>
        <v/>
      </c>
      <c r="X594" s="24">
        <f>IFERROR(W594/U594,0)</f>
        <v/>
      </c>
    </row>
    <row r="595">
      <c r="A595" s="25">
        <f>ItensPedido!A595</f>
        <v/>
      </c>
      <c r="B595" s="25">
        <f>ItensPedido!B595</f>
        <v/>
      </c>
      <c r="C595" s="25">
        <f>ItensPedido!C595</f>
        <v/>
      </c>
      <c r="D595" s="25">
        <f>ItensPedido!D595</f>
        <v/>
      </c>
      <c r="E595" s="26">
        <f>ItensPedido!E595</f>
        <v/>
      </c>
      <c r="F595" s="25">
        <f>IFERROR(INDEX(Pedidos!$B$2:$B$1801,MATCH(B595,Pedidos!$A$2:$A$1801,0)),0)</f>
        <v/>
      </c>
      <c r="G595" s="25">
        <f>IF(F595=0,"",YEAR(F595))</f>
        <v/>
      </c>
      <c r="H595" s="25">
        <f>IF(F595=0,"",MONTH(F595))</f>
        <v/>
      </c>
      <c r="I595" s="25">
        <f>IFERROR(INDEX(Pedidos!$E$2:$E$1801,MATCH(B595,Pedidos!$A$2:$A$1801,0)),"")</f>
        <v/>
      </c>
      <c r="J595" s="25">
        <f>IFERROR(INDEX(Pedidos!$C$2:$C$1801,MATCH(B595,Pedidos!$A$2:$A$1801,0)),"")</f>
        <v/>
      </c>
      <c r="K595" s="25">
        <f>IFERROR(INDEX(Pedidos!$D$2:$D$1801,MATCH(B595,Pedidos!$A$2:$A$1801,0)),"")</f>
        <v/>
      </c>
      <c r="L595" s="25">
        <f>IFERROR(INDEX(Pedidos!$F$2:$F$1801,MATCH(B595,Pedidos!$A$2:$A$1801,0)),"")</f>
        <v/>
      </c>
      <c r="M595" s="26">
        <f>IFERROR(INDEX(Pedidos!$G$2:$G$1801,MATCH(B595,Pedidos!$A$2:$A$1801,0)),0)</f>
        <v/>
      </c>
      <c r="N595" s="25">
        <f>IFERROR(INDEX(Produtos!$B$2:$B$71,MATCH(C595,Produtos!$A$2:$A$71,0)),"")</f>
        <v/>
      </c>
      <c r="O595" s="25">
        <f>IFERROR(INDEX(Produtos!$C$2:$C$71,MATCH(C595,Produtos!$A$2:$A$71,0)),"")</f>
        <v/>
      </c>
      <c r="P595" s="25">
        <f>IFERROR(INDEX(Produtos!$D$2:$D$71,MATCH(C595,Produtos!$A$2:$A$71,0)),0)</f>
        <v/>
      </c>
      <c r="Q595" s="25">
        <f>IFERROR(INDEX(Produtos!$E$2:$E$71,MATCH(C595,Produtos!$A$2:$A$71,0)),0)</f>
        <v/>
      </c>
      <c r="R595" s="27">
        <f>D595*Q595</f>
        <v/>
      </c>
      <c r="S595" s="27">
        <f>R595*E595</f>
        <v/>
      </c>
      <c r="T595" s="27">
        <f>(R595-S595)*M595</f>
        <v/>
      </c>
      <c r="U595" s="27">
        <f>R595-S595-T595</f>
        <v/>
      </c>
      <c r="V595" s="27">
        <f>D595*P595</f>
        <v/>
      </c>
      <c r="W595" s="27">
        <f>U595-V595</f>
        <v/>
      </c>
      <c r="X595" s="28">
        <f>IFERROR(W595/U595,0)</f>
        <v/>
      </c>
    </row>
    <row r="596">
      <c r="A596" s="21">
        <f>ItensPedido!A596</f>
        <v/>
      </c>
      <c r="B596" s="21">
        <f>ItensPedido!B596</f>
        <v/>
      </c>
      <c r="C596" s="21">
        <f>ItensPedido!C596</f>
        <v/>
      </c>
      <c r="D596" s="21">
        <f>ItensPedido!D596</f>
        <v/>
      </c>
      <c r="E596" s="22">
        <f>ItensPedido!E596</f>
        <v/>
      </c>
      <c r="F596" s="21">
        <f>IFERROR(INDEX(Pedidos!$B$2:$B$1801,MATCH(B596,Pedidos!$A$2:$A$1801,0)),0)</f>
        <v/>
      </c>
      <c r="G596" s="21">
        <f>IF(F596=0,"",YEAR(F596))</f>
        <v/>
      </c>
      <c r="H596" s="21">
        <f>IF(F596=0,"",MONTH(F596))</f>
        <v/>
      </c>
      <c r="I596" s="21">
        <f>IFERROR(INDEX(Pedidos!$E$2:$E$1801,MATCH(B596,Pedidos!$A$2:$A$1801,0)),"")</f>
        <v/>
      </c>
      <c r="J596" s="21">
        <f>IFERROR(INDEX(Pedidos!$C$2:$C$1801,MATCH(B596,Pedidos!$A$2:$A$1801,0)),"")</f>
        <v/>
      </c>
      <c r="K596" s="21">
        <f>IFERROR(INDEX(Pedidos!$D$2:$D$1801,MATCH(B596,Pedidos!$A$2:$A$1801,0)),"")</f>
        <v/>
      </c>
      <c r="L596" s="21">
        <f>IFERROR(INDEX(Pedidos!$F$2:$F$1801,MATCH(B596,Pedidos!$A$2:$A$1801,0)),"")</f>
        <v/>
      </c>
      <c r="M596" s="22">
        <f>IFERROR(INDEX(Pedidos!$G$2:$G$1801,MATCH(B596,Pedidos!$A$2:$A$1801,0)),0)</f>
        <v/>
      </c>
      <c r="N596" s="21">
        <f>IFERROR(INDEX(Produtos!$B$2:$B$71,MATCH(C596,Produtos!$A$2:$A$71,0)),"")</f>
        <v/>
      </c>
      <c r="O596" s="21">
        <f>IFERROR(INDEX(Produtos!$C$2:$C$71,MATCH(C596,Produtos!$A$2:$A$71,0)),"")</f>
        <v/>
      </c>
      <c r="P596" s="21">
        <f>IFERROR(INDEX(Produtos!$D$2:$D$71,MATCH(C596,Produtos!$A$2:$A$71,0)),0)</f>
        <v/>
      </c>
      <c r="Q596" s="21">
        <f>IFERROR(INDEX(Produtos!$E$2:$E$71,MATCH(C596,Produtos!$A$2:$A$71,0)),0)</f>
        <v/>
      </c>
      <c r="R596" s="23">
        <f>D596*Q596</f>
        <v/>
      </c>
      <c r="S596" s="23">
        <f>R596*E596</f>
        <v/>
      </c>
      <c r="T596" s="23">
        <f>(R596-S596)*M596</f>
        <v/>
      </c>
      <c r="U596" s="23">
        <f>R596-S596-T596</f>
        <v/>
      </c>
      <c r="V596" s="23">
        <f>D596*P596</f>
        <v/>
      </c>
      <c r="W596" s="23">
        <f>U596-V596</f>
        <v/>
      </c>
      <c r="X596" s="24">
        <f>IFERROR(W596/U596,0)</f>
        <v/>
      </c>
    </row>
    <row r="597">
      <c r="A597" s="25">
        <f>ItensPedido!A597</f>
        <v/>
      </c>
      <c r="B597" s="25">
        <f>ItensPedido!B597</f>
        <v/>
      </c>
      <c r="C597" s="25">
        <f>ItensPedido!C597</f>
        <v/>
      </c>
      <c r="D597" s="25">
        <f>ItensPedido!D597</f>
        <v/>
      </c>
      <c r="E597" s="26">
        <f>ItensPedido!E597</f>
        <v/>
      </c>
      <c r="F597" s="25">
        <f>IFERROR(INDEX(Pedidos!$B$2:$B$1801,MATCH(B597,Pedidos!$A$2:$A$1801,0)),0)</f>
        <v/>
      </c>
      <c r="G597" s="25">
        <f>IF(F597=0,"",YEAR(F597))</f>
        <v/>
      </c>
      <c r="H597" s="25">
        <f>IF(F597=0,"",MONTH(F597))</f>
        <v/>
      </c>
      <c r="I597" s="25">
        <f>IFERROR(INDEX(Pedidos!$E$2:$E$1801,MATCH(B597,Pedidos!$A$2:$A$1801,0)),"")</f>
        <v/>
      </c>
      <c r="J597" s="25">
        <f>IFERROR(INDEX(Pedidos!$C$2:$C$1801,MATCH(B597,Pedidos!$A$2:$A$1801,0)),"")</f>
        <v/>
      </c>
      <c r="K597" s="25">
        <f>IFERROR(INDEX(Pedidos!$D$2:$D$1801,MATCH(B597,Pedidos!$A$2:$A$1801,0)),"")</f>
        <v/>
      </c>
      <c r="L597" s="25">
        <f>IFERROR(INDEX(Pedidos!$F$2:$F$1801,MATCH(B597,Pedidos!$A$2:$A$1801,0)),"")</f>
        <v/>
      </c>
      <c r="M597" s="26">
        <f>IFERROR(INDEX(Pedidos!$G$2:$G$1801,MATCH(B597,Pedidos!$A$2:$A$1801,0)),0)</f>
        <v/>
      </c>
      <c r="N597" s="25">
        <f>IFERROR(INDEX(Produtos!$B$2:$B$71,MATCH(C597,Produtos!$A$2:$A$71,0)),"")</f>
        <v/>
      </c>
      <c r="O597" s="25">
        <f>IFERROR(INDEX(Produtos!$C$2:$C$71,MATCH(C597,Produtos!$A$2:$A$71,0)),"")</f>
        <v/>
      </c>
      <c r="P597" s="25">
        <f>IFERROR(INDEX(Produtos!$D$2:$D$71,MATCH(C597,Produtos!$A$2:$A$71,0)),0)</f>
        <v/>
      </c>
      <c r="Q597" s="25">
        <f>IFERROR(INDEX(Produtos!$E$2:$E$71,MATCH(C597,Produtos!$A$2:$A$71,0)),0)</f>
        <v/>
      </c>
      <c r="R597" s="27">
        <f>D597*Q597</f>
        <v/>
      </c>
      <c r="S597" s="27">
        <f>R597*E597</f>
        <v/>
      </c>
      <c r="T597" s="27">
        <f>(R597-S597)*M597</f>
        <v/>
      </c>
      <c r="U597" s="27">
        <f>R597-S597-T597</f>
        <v/>
      </c>
      <c r="V597" s="27">
        <f>D597*P597</f>
        <v/>
      </c>
      <c r="W597" s="27">
        <f>U597-V597</f>
        <v/>
      </c>
      <c r="X597" s="28">
        <f>IFERROR(W597/U597,0)</f>
        <v/>
      </c>
    </row>
    <row r="598">
      <c r="A598" s="21">
        <f>ItensPedido!A598</f>
        <v/>
      </c>
      <c r="B598" s="21">
        <f>ItensPedido!B598</f>
        <v/>
      </c>
      <c r="C598" s="21">
        <f>ItensPedido!C598</f>
        <v/>
      </c>
      <c r="D598" s="21">
        <f>ItensPedido!D598</f>
        <v/>
      </c>
      <c r="E598" s="22">
        <f>ItensPedido!E598</f>
        <v/>
      </c>
      <c r="F598" s="21">
        <f>IFERROR(INDEX(Pedidos!$B$2:$B$1801,MATCH(B598,Pedidos!$A$2:$A$1801,0)),0)</f>
        <v/>
      </c>
      <c r="G598" s="21">
        <f>IF(F598=0,"",YEAR(F598))</f>
        <v/>
      </c>
      <c r="H598" s="21">
        <f>IF(F598=0,"",MONTH(F598))</f>
        <v/>
      </c>
      <c r="I598" s="21">
        <f>IFERROR(INDEX(Pedidos!$E$2:$E$1801,MATCH(B598,Pedidos!$A$2:$A$1801,0)),"")</f>
        <v/>
      </c>
      <c r="J598" s="21">
        <f>IFERROR(INDEX(Pedidos!$C$2:$C$1801,MATCH(B598,Pedidos!$A$2:$A$1801,0)),"")</f>
        <v/>
      </c>
      <c r="K598" s="21">
        <f>IFERROR(INDEX(Pedidos!$D$2:$D$1801,MATCH(B598,Pedidos!$A$2:$A$1801,0)),"")</f>
        <v/>
      </c>
      <c r="L598" s="21">
        <f>IFERROR(INDEX(Pedidos!$F$2:$F$1801,MATCH(B598,Pedidos!$A$2:$A$1801,0)),"")</f>
        <v/>
      </c>
      <c r="M598" s="22">
        <f>IFERROR(INDEX(Pedidos!$G$2:$G$1801,MATCH(B598,Pedidos!$A$2:$A$1801,0)),0)</f>
        <v/>
      </c>
      <c r="N598" s="21">
        <f>IFERROR(INDEX(Produtos!$B$2:$B$71,MATCH(C598,Produtos!$A$2:$A$71,0)),"")</f>
        <v/>
      </c>
      <c r="O598" s="21">
        <f>IFERROR(INDEX(Produtos!$C$2:$C$71,MATCH(C598,Produtos!$A$2:$A$71,0)),"")</f>
        <v/>
      </c>
      <c r="P598" s="21">
        <f>IFERROR(INDEX(Produtos!$D$2:$D$71,MATCH(C598,Produtos!$A$2:$A$71,0)),0)</f>
        <v/>
      </c>
      <c r="Q598" s="21">
        <f>IFERROR(INDEX(Produtos!$E$2:$E$71,MATCH(C598,Produtos!$A$2:$A$71,0)),0)</f>
        <v/>
      </c>
      <c r="R598" s="23">
        <f>D598*Q598</f>
        <v/>
      </c>
      <c r="S598" s="23">
        <f>R598*E598</f>
        <v/>
      </c>
      <c r="T598" s="23">
        <f>(R598-S598)*M598</f>
        <v/>
      </c>
      <c r="U598" s="23">
        <f>R598-S598-T598</f>
        <v/>
      </c>
      <c r="V598" s="23">
        <f>D598*P598</f>
        <v/>
      </c>
      <c r="W598" s="23">
        <f>U598-V598</f>
        <v/>
      </c>
      <c r="X598" s="24">
        <f>IFERROR(W598/U598,0)</f>
        <v/>
      </c>
    </row>
    <row r="599">
      <c r="A599" s="25">
        <f>ItensPedido!A599</f>
        <v/>
      </c>
      <c r="B599" s="25">
        <f>ItensPedido!B599</f>
        <v/>
      </c>
      <c r="C599" s="25">
        <f>ItensPedido!C599</f>
        <v/>
      </c>
      <c r="D599" s="25">
        <f>ItensPedido!D599</f>
        <v/>
      </c>
      <c r="E599" s="26">
        <f>ItensPedido!E599</f>
        <v/>
      </c>
      <c r="F599" s="25">
        <f>IFERROR(INDEX(Pedidos!$B$2:$B$1801,MATCH(B599,Pedidos!$A$2:$A$1801,0)),0)</f>
        <v/>
      </c>
      <c r="G599" s="25">
        <f>IF(F599=0,"",YEAR(F599))</f>
        <v/>
      </c>
      <c r="H599" s="25">
        <f>IF(F599=0,"",MONTH(F599))</f>
        <v/>
      </c>
      <c r="I599" s="25">
        <f>IFERROR(INDEX(Pedidos!$E$2:$E$1801,MATCH(B599,Pedidos!$A$2:$A$1801,0)),"")</f>
        <v/>
      </c>
      <c r="J599" s="25">
        <f>IFERROR(INDEX(Pedidos!$C$2:$C$1801,MATCH(B599,Pedidos!$A$2:$A$1801,0)),"")</f>
        <v/>
      </c>
      <c r="K599" s="25">
        <f>IFERROR(INDEX(Pedidos!$D$2:$D$1801,MATCH(B599,Pedidos!$A$2:$A$1801,0)),"")</f>
        <v/>
      </c>
      <c r="L599" s="25">
        <f>IFERROR(INDEX(Pedidos!$F$2:$F$1801,MATCH(B599,Pedidos!$A$2:$A$1801,0)),"")</f>
        <v/>
      </c>
      <c r="M599" s="26">
        <f>IFERROR(INDEX(Pedidos!$G$2:$G$1801,MATCH(B599,Pedidos!$A$2:$A$1801,0)),0)</f>
        <v/>
      </c>
      <c r="N599" s="25">
        <f>IFERROR(INDEX(Produtos!$B$2:$B$71,MATCH(C599,Produtos!$A$2:$A$71,0)),"")</f>
        <v/>
      </c>
      <c r="O599" s="25">
        <f>IFERROR(INDEX(Produtos!$C$2:$C$71,MATCH(C599,Produtos!$A$2:$A$71,0)),"")</f>
        <v/>
      </c>
      <c r="P599" s="25">
        <f>IFERROR(INDEX(Produtos!$D$2:$D$71,MATCH(C599,Produtos!$A$2:$A$71,0)),0)</f>
        <v/>
      </c>
      <c r="Q599" s="25">
        <f>IFERROR(INDEX(Produtos!$E$2:$E$71,MATCH(C599,Produtos!$A$2:$A$71,0)),0)</f>
        <v/>
      </c>
      <c r="R599" s="27">
        <f>D599*Q599</f>
        <v/>
      </c>
      <c r="S599" s="27">
        <f>R599*E599</f>
        <v/>
      </c>
      <c r="T599" s="27">
        <f>(R599-S599)*M599</f>
        <v/>
      </c>
      <c r="U599" s="27">
        <f>R599-S599-T599</f>
        <v/>
      </c>
      <c r="V599" s="27">
        <f>D599*P599</f>
        <v/>
      </c>
      <c r="W599" s="27">
        <f>U599-V599</f>
        <v/>
      </c>
      <c r="X599" s="28">
        <f>IFERROR(W599/U599,0)</f>
        <v/>
      </c>
    </row>
    <row r="600">
      <c r="A600" s="21">
        <f>ItensPedido!A600</f>
        <v/>
      </c>
      <c r="B600" s="21">
        <f>ItensPedido!B600</f>
        <v/>
      </c>
      <c r="C600" s="21">
        <f>ItensPedido!C600</f>
        <v/>
      </c>
      <c r="D600" s="21">
        <f>ItensPedido!D600</f>
        <v/>
      </c>
      <c r="E600" s="22">
        <f>ItensPedido!E600</f>
        <v/>
      </c>
      <c r="F600" s="21">
        <f>IFERROR(INDEX(Pedidos!$B$2:$B$1801,MATCH(B600,Pedidos!$A$2:$A$1801,0)),0)</f>
        <v/>
      </c>
      <c r="G600" s="21">
        <f>IF(F600=0,"",YEAR(F600))</f>
        <v/>
      </c>
      <c r="H600" s="21">
        <f>IF(F600=0,"",MONTH(F600))</f>
        <v/>
      </c>
      <c r="I600" s="21">
        <f>IFERROR(INDEX(Pedidos!$E$2:$E$1801,MATCH(B600,Pedidos!$A$2:$A$1801,0)),"")</f>
        <v/>
      </c>
      <c r="J600" s="21">
        <f>IFERROR(INDEX(Pedidos!$C$2:$C$1801,MATCH(B600,Pedidos!$A$2:$A$1801,0)),"")</f>
        <v/>
      </c>
      <c r="K600" s="21">
        <f>IFERROR(INDEX(Pedidos!$D$2:$D$1801,MATCH(B600,Pedidos!$A$2:$A$1801,0)),"")</f>
        <v/>
      </c>
      <c r="L600" s="21">
        <f>IFERROR(INDEX(Pedidos!$F$2:$F$1801,MATCH(B600,Pedidos!$A$2:$A$1801,0)),"")</f>
        <v/>
      </c>
      <c r="M600" s="22">
        <f>IFERROR(INDEX(Pedidos!$G$2:$G$1801,MATCH(B600,Pedidos!$A$2:$A$1801,0)),0)</f>
        <v/>
      </c>
      <c r="N600" s="21">
        <f>IFERROR(INDEX(Produtos!$B$2:$B$71,MATCH(C600,Produtos!$A$2:$A$71,0)),"")</f>
        <v/>
      </c>
      <c r="O600" s="21">
        <f>IFERROR(INDEX(Produtos!$C$2:$C$71,MATCH(C600,Produtos!$A$2:$A$71,0)),"")</f>
        <v/>
      </c>
      <c r="P600" s="21">
        <f>IFERROR(INDEX(Produtos!$D$2:$D$71,MATCH(C600,Produtos!$A$2:$A$71,0)),0)</f>
        <v/>
      </c>
      <c r="Q600" s="21">
        <f>IFERROR(INDEX(Produtos!$E$2:$E$71,MATCH(C600,Produtos!$A$2:$A$71,0)),0)</f>
        <v/>
      </c>
      <c r="R600" s="23">
        <f>D600*Q600</f>
        <v/>
      </c>
      <c r="S600" s="23">
        <f>R600*E600</f>
        <v/>
      </c>
      <c r="T600" s="23">
        <f>(R600-S600)*M600</f>
        <v/>
      </c>
      <c r="U600" s="23">
        <f>R600-S600-T600</f>
        <v/>
      </c>
      <c r="V600" s="23">
        <f>D600*P600</f>
        <v/>
      </c>
      <c r="W600" s="23">
        <f>U600-V600</f>
        <v/>
      </c>
      <c r="X600" s="24">
        <f>IFERROR(W600/U600,0)</f>
        <v/>
      </c>
    </row>
    <row r="601">
      <c r="A601" s="25">
        <f>ItensPedido!A601</f>
        <v/>
      </c>
      <c r="B601" s="25">
        <f>ItensPedido!B601</f>
        <v/>
      </c>
      <c r="C601" s="25">
        <f>ItensPedido!C601</f>
        <v/>
      </c>
      <c r="D601" s="25">
        <f>ItensPedido!D601</f>
        <v/>
      </c>
      <c r="E601" s="26">
        <f>ItensPedido!E601</f>
        <v/>
      </c>
      <c r="F601" s="25">
        <f>IFERROR(INDEX(Pedidos!$B$2:$B$1801,MATCH(B601,Pedidos!$A$2:$A$1801,0)),0)</f>
        <v/>
      </c>
      <c r="G601" s="25">
        <f>IF(F601=0,"",YEAR(F601))</f>
        <v/>
      </c>
      <c r="H601" s="25">
        <f>IF(F601=0,"",MONTH(F601))</f>
        <v/>
      </c>
      <c r="I601" s="25">
        <f>IFERROR(INDEX(Pedidos!$E$2:$E$1801,MATCH(B601,Pedidos!$A$2:$A$1801,0)),"")</f>
        <v/>
      </c>
      <c r="J601" s="25">
        <f>IFERROR(INDEX(Pedidos!$C$2:$C$1801,MATCH(B601,Pedidos!$A$2:$A$1801,0)),"")</f>
        <v/>
      </c>
      <c r="K601" s="25">
        <f>IFERROR(INDEX(Pedidos!$D$2:$D$1801,MATCH(B601,Pedidos!$A$2:$A$1801,0)),"")</f>
        <v/>
      </c>
      <c r="L601" s="25">
        <f>IFERROR(INDEX(Pedidos!$F$2:$F$1801,MATCH(B601,Pedidos!$A$2:$A$1801,0)),"")</f>
        <v/>
      </c>
      <c r="M601" s="26">
        <f>IFERROR(INDEX(Pedidos!$G$2:$G$1801,MATCH(B601,Pedidos!$A$2:$A$1801,0)),0)</f>
        <v/>
      </c>
      <c r="N601" s="25">
        <f>IFERROR(INDEX(Produtos!$B$2:$B$71,MATCH(C601,Produtos!$A$2:$A$71,0)),"")</f>
        <v/>
      </c>
      <c r="O601" s="25">
        <f>IFERROR(INDEX(Produtos!$C$2:$C$71,MATCH(C601,Produtos!$A$2:$A$71,0)),"")</f>
        <v/>
      </c>
      <c r="P601" s="25">
        <f>IFERROR(INDEX(Produtos!$D$2:$D$71,MATCH(C601,Produtos!$A$2:$A$71,0)),0)</f>
        <v/>
      </c>
      <c r="Q601" s="25">
        <f>IFERROR(INDEX(Produtos!$E$2:$E$71,MATCH(C601,Produtos!$A$2:$A$71,0)),0)</f>
        <v/>
      </c>
      <c r="R601" s="27">
        <f>D601*Q601</f>
        <v/>
      </c>
      <c r="S601" s="27">
        <f>R601*E601</f>
        <v/>
      </c>
      <c r="T601" s="27">
        <f>(R601-S601)*M601</f>
        <v/>
      </c>
      <c r="U601" s="27">
        <f>R601-S601-T601</f>
        <v/>
      </c>
      <c r="V601" s="27">
        <f>D601*P601</f>
        <v/>
      </c>
      <c r="W601" s="27">
        <f>U601-V601</f>
        <v/>
      </c>
      <c r="X601" s="28">
        <f>IFERROR(W601/U601,0)</f>
        <v/>
      </c>
    </row>
    <row r="602">
      <c r="A602" s="21">
        <f>ItensPedido!A602</f>
        <v/>
      </c>
      <c r="B602" s="21">
        <f>ItensPedido!B602</f>
        <v/>
      </c>
      <c r="C602" s="21">
        <f>ItensPedido!C602</f>
        <v/>
      </c>
      <c r="D602" s="21">
        <f>ItensPedido!D602</f>
        <v/>
      </c>
      <c r="E602" s="22">
        <f>ItensPedido!E602</f>
        <v/>
      </c>
      <c r="F602" s="21">
        <f>IFERROR(INDEX(Pedidos!$B$2:$B$1801,MATCH(B602,Pedidos!$A$2:$A$1801,0)),0)</f>
        <v/>
      </c>
      <c r="G602" s="21">
        <f>IF(F602=0,"",YEAR(F602))</f>
        <v/>
      </c>
      <c r="H602" s="21">
        <f>IF(F602=0,"",MONTH(F602))</f>
        <v/>
      </c>
      <c r="I602" s="21">
        <f>IFERROR(INDEX(Pedidos!$E$2:$E$1801,MATCH(B602,Pedidos!$A$2:$A$1801,0)),"")</f>
        <v/>
      </c>
      <c r="J602" s="21">
        <f>IFERROR(INDEX(Pedidos!$C$2:$C$1801,MATCH(B602,Pedidos!$A$2:$A$1801,0)),"")</f>
        <v/>
      </c>
      <c r="K602" s="21">
        <f>IFERROR(INDEX(Pedidos!$D$2:$D$1801,MATCH(B602,Pedidos!$A$2:$A$1801,0)),"")</f>
        <v/>
      </c>
      <c r="L602" s="21">
        <f>IFERROR(INDEX(Pedidos!$F$2:$F$1801,MATCH(B602,Pedidos!$A$2:$A$1801,0)),"")</f>
        <v/>
      </c>
      <c r="M602" s="22">
        <f>IFERROR(INDEX(Pedidos!$G$2:$G$1801,MATCH(B602,Pedidos!$A$2:$A$1801,0)),0)</f>
        <v/>
      </c>
      <c r="N602" s="21">
        <f>IFERROR(INDEX(Produtos!$B$2:$B$71,MATCH(C602,Produtos!$A$2:$A$71,0)),"")</f>
        <v/>
      </c>
      <c r="O602" s="21">
        <f>IFERROR(INDEX(Produtos!$C$2:$C$71,MATCH(C602,Produtos!$A$2:$A$71,0)),"")</f>
        <v/>
      </c>
      <c r="P602" s="21">
        <f>IFERROR(INDEX(Produtos!$D$2:$D$71,MATCH(C602,Produtos!$A$2:$A$71,0)),0)</f>
        <v/>
      </c>
      <c r="Q602" s="21">
        <f>IFERROR(INDEX(Produtos!$E$2:$E$71,MATCH(C602,Produtos!$A$2:$A$71,0)),0)</f>
        <v/>
      </c>
      <c r="R602" s="23">
        <f>D602*Q602</f>
        <v/>
      </c>
      <c r="S602" s="23">
        <f>R602*E602</f>
        <v/>
      </c>
      <c r="T602" s="23">
        <f>(R602-S602)*M602</f>
        <v/>
      </c>
      <c r="U602" s="23">
        <f>R602-S602-T602</f>
        <v/>
      </c>
      <c r="V602" s="23">
        <f>D602*P602</f>
        <v/>
      </c>
      <c r="W602" s="23">
        <f>U602-V602</f>
        <v/>
      </c>
      <c r="X602" s="24">
        <f>IFERROR(W602/U602,0)</f>
        <v/>
      </c>
    </row>
    <row r="603">
      <c r="A603" s="25">
        <f>ItensPedido!A603</f>
        <v/>
      </c>
      <c r="B603" s="25">
        <f>ItensPedido!B603</f>
        <v/>
      </c>
      <c r="C603" s="25">
        <f>ItensPedido!C603</f>
        <v/>
      </c>
      <c r="D603" s="25">
        <f>ItensPedido!D603</f>
        <v/>
      </c>
      <c r="E603" s="26">
        <f>ItensPedido!E603</f>
        <v/>
      </c>
      <c r="F603" s="25">
        <f>IFERROR(INDEX(Pedidos!$B$2:$B$1801,MATCH(B603,Pedidos!$A$2:$A$1801,0)),0)</f>
        <v/>
      </c>
      <c r="G603" s="25">
        <f>IF(F603=0,"",YEAR(F603))</f>
        <v/>
      </c>
      <c r="H603" s="25">
        <f>IF(F603=0,"",MONTH(F603))</f>
        <v/>
      </c>
      <c r="I603" s="25">
        <f>IFERROR(INDEX(Pedidos!$E$2:$E$1801,MATCH(B603,Pedidos!$A$2:$A$1801,0)),"")</f>
        <v/>
      </c>
      <c r="J603" s="25">
        <f>IFERROR(INDEX(Pedidos!$C$2:$C$1801,MATCH(B603,Pedidos!$A$2:$A$1801,0)),"")</f>
        <v/>
      </c>
      <c r="K603" s="25">
        <f>IFERROR(INDEX(Pedidos!$D$2:$D$1801,MATCH(B603,Pedidos!$A$2:$A$1801,0)),"")</f>
        <v/>
      </c>
      <c r="L603" s="25">
        <f>IFERROR(INDEX(Pedidos!$F$2:$F$1801,MATCH(B603,Pedidos!$A$2:$A$1801,0)),"")</f>
        <v/>
      </c>
      <c r="M603" s="26">
        <f>IFERROR(INDEX(Pedidos!$G$2:$G$1801,MATCH(B603,Pedidos!$A$2:$A$1801,0)),0)</f>
        <v/>
      </c>
      <c r="N603" s="25">
        <f>IFERROR(INDEX(Produtos!$B$2:$B$71,MATCH(C603,Produtos!$A$2:$A$71,0)),"")</f>
        <v/>
      </c>
      <c r="O603" s="25">
        <f>IFERROR(INDEX(Produtos!$C$2:$C$71,MATCH(C603,Produtos!$A$2:$A$71,0)),"")</f>
        <v/>
      </c>
      <c r="P603" s="25">
        <f>IFERROR(INDEX(Produtos!$D$2:$D$71,MATCH(C603,Produtos!$A$2:$A$71,0)),0)</f>
        <v/>
      </c>
      <c r="Q603" s="25">
        <f>IFERROR(INDEX(Produtos!$E$2:$E$71,MATCH(C603,Produtos!$A$2:$A$71,0)),0)</f>
        <v/>
      </c>
      <c r="R603" s="27">
        <f>D603*Q603</f>
        <v/>
      </c>
      <c r="S603" s="27">
        <f>R603*E603</f>
        <v/>
      </c>
      <c r="T603" s="27">
        <f>(R603-S603)*M603</f>
        <v/>
      </c>
      <c r="U603" s="27">
        <f>R603-S603-T603</f>
        <v/>
      </c>
      <c r="V603" s="27">
        <f>D603*P603</f>
        <v/>
      </c>
      <c r="W603" s="27">
        <f>U603-V603</f>
        <v/>
      </c>
      <c r="X603" s="28">
        <f>IFERROR(W603/U603,0)</f>
        <v/>
      </c>
    </row>
    <row r="604">
      <c r="A604" s="21">
        <f>ItensPedido!A604</f>
        <v/>
      </c>
      <c r="B604" s="21">
        <f>ItensPedido!B604</f>
        <v/>
      </c>
      <c r="C604" s="21">
        <f>ItensPedido!C604</f>
        <v/>
      </c>
      <c r="D604" s="21">
        <f>ItensPedido!D604</f>
        <v/>
      </c>
      <c r="E604" s="22">
        <f>ItensPedido!E604</f>
        <v/>
      </c>
      <c r="F604" s="21">
        <f>IFERROR(INDEX(Pedidos!$B$2:$B$1801,MATCH(B604,Pedidos!$A$2:$A$1801,0)),0)</f>
        <v/>
      </c>
      <c r="G604" s="21">
        <f>IF(F604=0,"",YEAR(F604))</f>
        <v/>
      </c>
      <c r="H604" s="21">
        <f>IF(F604=0,"",MONTH(F604))</f>
        <v/>
      </c>
      <c r="I604" s="21">
        <f>IFERROR(INDEX(Pedidos!$E$2:$E$1801,MATCH(B604,Pedidos!$A$2:$A$1801,0)),"")</f>
        <v/>
      </c>
      <c r="J604" s="21">
        <f>IFERROR(INDEX(Pedidos!$C$2:$C$1801,MATCH(B604,Pedidos!$A$2:$A$1801,0)),"")</f>
        <v/>
      </c>
      <c r="K604" s="21">
        <f>IFERROR(INDEX(Pedidos!$D$2:$D$1801,MATCH(B604,Pedidos!$A$2:$A$1801,0)),"")</f>
        <v/>
      </c>
      <c r="L604" s="21">
        <f>IFERROR(INDEX(Pedidos!$F$2:$F$1801,MATCH(B604,Pedidos!$A$2:$A$1801,0)),"")</f>
        <v/>
      </c>
      <c r="M604" s="22">
        <f>IFERROR(INDEX(Pedidos!$G$2:$G$1801,MATCH(B604,Pedidos!$A$2:$A$1801,0)),0)</f>
        <v/>
      </c>
      <c r="N604" s="21">
        <f>IFERROR(INDEX(Produtos!$B$2:$B$71,MATCH(C604,Produtos!$A$2:$A$71,0)),"")</f>
        <v/>
      </c>
      <c r="O604" s="21">
        <f>IFERROR(INDEX(Produtos!$C$2:$C$71,MATCH(C604,Produtos!$A$2:$A$71,0)),"")</f>
        <v/>
      </c>
      <c r="P604" s="21">
        <f>IFERROR(INDEX(Produtos!$D$2:$D$71,MATCH(C604,Produtos!$A$2:$A$71,0)),0)</f>
        <v/>
      </c>
      <c r="Q604" s="21">
        <f>IFERROR(INDEX(Produtos!$E$2:$E$71,MATCH(C604,Produtos!$A$2:$A$71,0)),0)</f>
        <v/>
      </c>
      <c r="R604" s="23">
        <f>D604*Q604</f>
        <v/>
      </c>
      <c r="S604" s="23">
        <f>R604*E604</f>
        <v/>
      </c>
      <c r="T604" s="23">
        <f>(R604-S604)*M604</f>
        <v/>
      </c>
      <c r="U604" s="23">
        <f>R604-S604-T604</f>
        <v/>
      </c>
      <c r="V604" s="23">
        <f>D604*P604</f>
        <v/>
      </c>
      <c r="W604" s="23">
        <f>U604-V604</f>
        <v/>
      </c>
      <c r="X604" s="24">
        <f>IFERROR(W604/U604,0)</f>
        <v/>
      </c>
    </row>
    <row r="605">
      <c r="A605" s="25">
        <f>ItensPedido!A605</f>
        <v/>
      </c>
      <c r="B605" s="25">
        <f>ItensPedido!B605</f>
        <v/>
      </c>
      <c r="C605" s="25">
        <f>ItensPedido!C605</f>
        <v/>
      </c>
      <c r="D605" s="25">
        <f>ItensPedido!D605</f>
        <v/>
      </c>
      <c r="E605" s="26">
        <f>ItensPedido!E605</f>
        <v/>
      </c>
      <c r="F605" s="25">
        <f>IFERROR(INDEX(Pedidos!$B$2:$B$1801,MATCH(B605,Pedidos!$A$2:$A$1801,0)),0)</f>
        <v/>
      </c>
      <c r="G605" s="25">
        <f>IF(F605=0,"",YEAR(F605))</f>
        <v/>
      </c>
      <c r="H605" s="25">
        <f>IF(F605=0,"",MONTH(F605))</f>
        <v/>
      </c>
      <c r="I605" s="25">
        <f>IFERROR(INDEX(Pedidos!$E$2:$E$1801,MATCH(B605,Pedidos!$A$2:$A$1801,0)),"")</f>
        <v/>
      </c>
      <c r="J605" s="25">
        <f>IFERROR(INDEX(Pedidos!$C$2:$C$1801,MATCH(B605,Pedidos!$A$2:$A$1801,0)),"")</f>
        <v/>
      </c>
      <c r="K605" s="25">
        <f>IFERROR(INDEX(Pedidos!$D$2:$D$1801,MATCH(B605,Pedidos!$A$2:$A$1801,0)),"")</f>
        <v/>
      </c>
      <c r="L605" s="25">
        <f>IFERROR(INDEX(Pedidos!$F$2:$F$1801,MATCH(B605,Pedidos!$A$2:$A$1801,0)),"")</f>
        <v/>
      </c>
      <c r="M605" s="26">
        <f>IFERROR(INDEX(Pedidos!$G$2:$G$1801,MATCH(B605,Pedidos!$A$2:$A$1801,0)),0)</f>
        <v/>
      </c>
      <c r="N605" s="25">
        <f>IFERROR(INDEX(Produtos!$B$2:$B$71,MATCH(C605,Produtos!$A$2:$A$71,0)),"")</f>
        <v/>
      </c>
      <c r="O605" s="25">
        <f>IFERROR(INDEX(Produtos!$C$2:$C$71,MATCH(C605,Produtos!$A$2:$A$71,0)),"")</f>
        <v/>
      </c>
      <c r="P605" s="25">
        <f>IFERROR(INDEX(Produtos!$D$2:$D$71,MATCH(C605,Produtos!$A$2:$A$71,0)),0)</f>
        <v/>
      </c>
      <c r="Q605" s="25">
        <f>IFERROR(INDEX(Produtos!$E$2:$E$71,MATCH(C605,Produtos!$A$2:$A$71,0)),0)</f>
        <v/>
      </c>
      <c r="R605" s="27">
        <f>D605*Q605</f>
        <v/>
      </c>
      <c r="S605" s="27">
        <f>R605*E605</f>
        <v/>
      </c>
      <c r="T605" s="27">
        <f>(R605-S605)*M605</f>
        <v/>
      </c>
      <c r="U605" s="27">
        <f>R605-S605-T605</f>
        <v/>
      </c>
      <c r="V605" s="27">
        <f>D605*P605</f>
        <v/>
      </c>
      <c r="W605" s="27">
        <f>U605-V605</f>
        <v/>
      </c>
      <c r="X605" s="28">
        <f>IFERROR(W605/U605,0)</f>
        <v/>
      </c>
    </row>
    <row r="606">
      <c r="A606" s="21">
        <f>ItensPedido!A606</f>
        <v/>
      </c>
      <c r="B606" s="21">
        <f>ItensPedido!B606</f>
        <v/>
      </c>
      <c r="C606" s="21">
        <f>ItensPedido!C606</f>
        <v/>
      </c>
      <c r="D606" s="21">
        <f>ItensPedido!D606</f>
        <v/>
      </c>
      <c r="E606" s="22">
        <f>ItensPedido!E606</f>
        <v/>
      </c>
      <c r="F606" s="21">
        <f>IFERROR(INDEX(Pedidos!$B$2:$B$1801,MATCH(B606,Pedidos!$A$2:$A$1801,0)),0)</f>
        <v/>
      </c>
      <c r="G606" s="21">
        <f>IF(F606=0,"",YEAR(F606))</f>
        <v/>
      </c>
      <c r="H606" s="21">
        <f>IF(F606=0,"",MONTH(F606))</f>
        <v/>
      </c>
      <c r="I606" s="21">
        <f>IFERROR(INDEX(Pedidos!$E$2:$E$1801,MATCH(B606,Pedidos!$A$2:$A$1801,0)),"")</f>
        <v/>
      </c>
      <c r="J606" s="21">
        <f>IFERROR(INDEX(Pedidos!$C$2:$C$1801,MATCH(B606,Pedidos!$A$2:$A$1801,0)),"")</f>
        <v/>
      </c>
      <c r="K606" s="21">
        <f>IFERROR(INDEX(Pedidos!$D$2:$D$1801,MATCH(B606,Pedidos!$A$2:$A$1801,0)),"")</f>
        <v/>
      </c>
      <c r="L606" s="21">
        <f>IFERROR(INDEX(Pedidos!$F$2:$F$1801,MATCH(B606,Pedidos!$A$2:$A$1801,0)),"")</f>
        <v/>
      </c>
      <c r="M606" s="22">
        <f>IFERROR(INDEX(Pedidos!$G$2:$G$1801,MATCH(B606,Pedidos!$A$2:$A$1801,0)),0)</f>
        <v/>
      </c>
      <c r="N606" s="21">
        <f>IFERROR(INDEX(Produtos!$B$2:$B$71,MATCH(C606,Produtos!$A$2:$A$71,0)),"")</f>
        <v/>
      </c>
      <c r="O606" s="21">
        <f>IFERROR(INDEX(Produtos!$C$2:$C$71,MATCH(C606,Produtos!$A$2:$A$71,0)),"")</f>
        <v/>
      </c>
      <c r="P606" s="21">
        <f>IFERROR(INDEX(Produtos!$D$2:$D$71,MATCH(C606,Produtos!$A$2:$A$71,0)),0)</f>
        <v/>
      </c>
      <c r="Q606" s="21">
        <f>IFERROR(INDEX(Produtos!$E$2:$E$71,MATCH(C606,Produtos!$A$2:$A$71,0)),0)</f>
        <v/>
      </c>
      <c r="R606" s="23">
        <f>D606*Q606</f>
        <v/>
      </c>
      <c r="S606" s="23">
        <f>R606*E606</f>
        <v/>
      </c>
      <c r="T606" s="23">
        <f>(R606-S606)*M606</f>
        <v/>
      </c>
      <c r="U606" s="23">
        <f>R606-S606-T606</f>
        <v/>
      </c>
      <c r="V606" s="23">
        <f>D606*P606</f>
        <v/>
      </c>
      <c r="W606" s="23">
        <f>U606-V606</f>
        <v/>
      </c>
      <c r="X606" s="24">
        <f>IFERROR(W606/U606,0)</f>
        <v/>
      </c>
    </row>
    <row r="607">
      <c r="A607" s="25">
        <f>ItensPedido!A607</f>
        <v/>
      </c>
      <c r="B607" s="25">
        <f>ItensPedido!B607</f>
        <v/>
      </c>
      <c r="C607" s="25">
        <f>ItensPedido!C607</f>
        <v/>
      </c>
      <c r="D607" s="25">
        <f>ItensPedido!D607</f>
        <v/>
      </c>
      <c r="E607" s="26">
        <f>ItensPedido!E607</f>
        <v/>
      </c>
      <c r="F607" s="25">
        <f>IFERROR(INDEX(Pedidos!$B$2:$B$1801,MATCH(B607,Pedidos!$A$2:$A$1801,0)),0)</f>
        <v/>
      </c>
      <c r="G607" s="25">
        <f>IF(F607=0,"",YEAR(F607))</f>
        <v/>
      </c>
      <c r="H607" s="25">
        <f>IF(F607=0,"",MONTH(F607))</f>
        <v/>
      </c>
      <c r="I607" s="25">
        <f>IFERROR(INDEX(Pedidos!$E$2:$E$1801,MATCH(B607,Pedidos!$A$2:$A$1801,0)),"")</f>
        <v/>
      </c>
      <c r="J607" s="25">
        <f>IFERROR(INDEX(Pedidos!$C$2:$C$1801,MATCH(B607,Pedidos!$A$2:$A$1801,0)),"")</f>
        <v/>
      </c>
      <c r="K607" s="25">
        <f>IFERROR(INDEX(Pedidos!$D$2:$D$1801,MATCH(B607,Pedidos!$A$2:$A$1801,0)),"")</f>
        <v/>
      </c>
      <c r="L607" s="25">
        <f>IFERROR(INDEX(Pedidos!$F$2:$F$1801,MATCH(B607,Pedidos!$A$2:$A$1801,0)),"")</f>
        <v/>
      </c>
      <c r="M607" s="26">
        <f>IFERROR(INDEX(Pedidos!$G$2:$G$1801,MATCH(B607,Pedidos!$A$2:$A$1801,0)),0)</f>
        <v/>
      </c>
      <c r="N607" s="25">
        <f>IFERROR(INDEX(Produtos!$B$2:$B$71,MATCH(C607,Produtos!$A$2:$A$71,0)),"")</f>
        <v/>
      </c>
      <c r="O607" s="25">
        <f>IFERROR(INDEX(Produtos!$C$2:$C$71,MATCH(C607,Produtos!$A$2:$A$71,0)),"")</f>
        <v/>
      </c>
      <c r="P607" s="25">
        <f>IFERROR(INDEX(Produtos!$D$2:$D$71,MATCH(C607,Produtos!$A$2:$A$71,0)),0)</f>
        <v/>
      </c>
      <c r="Q607" s="25">
        <f>IFERROR(INDEX(Produtos!$E$2:$E$71,MATCH(C607,Produtos!$A$2:$A$71,0)),0)</f>
        <v/>
      </c>
      <c r="R607" s="27">
        <f>D607*Q607</f>
        <v/>
      </c>
      <c r="S607" s="27">
        <f>R607*E607</f>
        <v/>
      </c>
      <c r="T607" s="27">
        <f>(R607-S607)*M607</f>
        <v/>
      </c>
      <c r="U607" s="27">
        <f>R607-S607-T607</f>
        <v/>
      </c>
      <c r="V607" s="27">
        <f>D607*P607</f>
        <v/>
      </c>
      <c r="W607" s="27">
        <f>U607-V607</f>
        <v/>
      </c>
      <c r="X607" s="28">
        <f>IFERROR(W607/U607,0)</f>
        <v/>
      </c>
    </row>
    <row r="608">
      <c r="A608" s="21">
        <f>ItensPedido!A608</f>
        <v/>
      </c>
      <c r="B608" s="21">
        <f>ItensPedido!B608</f>
        <v/>
      </c>
      <c r="C608" s="21">
        <f>ItensPedido!C608</f>
        <v/>
      </c>
      <c r="D608" s="21">
        <f>ItensPedido!D608</f>
        <v/>
      </c>
      <c r="E608" s="22">
        <f>ItensPedido!E608</f>
        <v/>
      </c>
      <c r="F608" s="21">
        <f>IFERROR(INDEX(Pedidos!$B$2:$B$1801,MATCH(B608,Pedidos!$A$2:$A$1801,0)),0)</f>
        <v/>
      </c>
      <c r="G608" s="21">
        <f>IF(F608=0,"",YEAR(F608))</f>
        <v/>
      </c>
      <c r="H608" s="21">
        <f>IF(F608=0,"",MONTH(F608))</f>
        <v/>
      </c>
      <c r="I608" s="21">
        <f>IFERROR(INDEX(Pedidos!$E$2:$E$1801,MATCH(B608,Pedidos!$A$2:$A$1801,0)),"")</f>
        <v/>
      </c>
      <c r="J608" s="21">
        <f>IFERROR(INDEX(Pedidos!$C$2:$C$1801,MATCH(B608,Pedidos!$A$2:$A$1801,0)),"")</f>
        <v/>
      </c>
      <c r="K608" s="21">
        <f>IFERROR(INDEX(Pedidos!$D$2:$D$1801,MATCH(B608,Pedidos!$A$2:$A$1801,0)),"")</f>
        <v/>
      </c>
      <c r="L608" s="21">
        <f>IFERROR(INDEX(Pedidos!$F$2:$F$1801,MATCH(B608,Pedidos!$A$2:$A$1801,0)),"")</f>
        <v/>
      </c>
      <c r="M608" s="22">
        <f>IFERROR(INDEX(Pedidos!$G$2:$G$1801,MATCH(B608,Pedidos!$A$2:$A$1801,0)),0)</f>
        <v/>
      </c>
      <c r="N608" s="21">
        <f>IFERROR(INDEX(Produtos!$B$2:$B$71,MATCH(C608,Produtos!$A$2:$A$71,0)),"")</f>
        <v/>
      </c>
      <c r="O608" s="21">
        <f>IFERROR(INDEX(Produtos!$C$2:$C$71,MATCH(C608,Produtos!$A$2:$A$71,0)),"")</f>
        <v/>
      </c>
      <c r="P608" s="21">
        <f>IFERROR(INDEX(Produtos!$D$2:$D$71,MATCH(C608,Produtos!$A$2:$A$71,0)),0)</f>
        <v/>
      </c>
      <c r="Q608" s="21">
        <f>IFERROR(INDEX(Produtos!$E$2:$E$71,MATCH(C608,Produtos!$A$2:$A$71,0)),0)</f>
        <v/>
      </c>
      <c r="R608" s="23">
        <f>D608*Q608</f>
        <v/>
      </c>
      <c r="S608" s="23">
        <f>R608*E608</f>
        <v/>
      </c>
      <c r="T608" s="23">
        <f>(R608-S608)*M608</f>
        <v/>
      </c>
      <c r="U608" s="23">
        <f>R608-S608-T608</f>
        <v/>
      </c>
      <c r="V608" s="23">
        <f>D608*P608</f>
        <v/>
      </c>
      <c r="W608" s="23">
        <f>U608-V608</f>
        <v/>
      </c>
      <c r="X608" s="24">
        <f>IFERROR(W608/U608,0)</f>
        <v/>
      </c>
    </row>
    <row r="609">
      <c r="A609" s="25">
        <f>ItensPedido!A609</f>
        <v/>
      </c>
      <c r="B609" s="25">
        <f>ItensPedido!B609</f>
        <v/>
      </c>
      <c r="C609" s="25">
        <f>ItensPedido!C609</f>
        <v/>
      </c>
      <c r="D609" s="25">
        <f>ItensPedido!D609</f>
        <v/>
      </c>
      <c r="E609" s="26">
        <f>ItensPedido!E609</f>
        <v/>
      </c>
      <c r="F609" s="25">
        <f>IFERROR(INDEX(Pedidos!$B$2:$B$1801,MATCH(B609,Pedidos!$A$2:$A$1801,0)),0)</f>
        <v/>
      </c>
      <c r="G609" s="25">
        <f>IF(F609=0,"",YEAR(F609))</f>
        <v/>
      </c>
      <c r="H609" s="25">
        <f>IF(F609=0,"",MONTH(F609))</f>
        <v/>
      </c>
      <c r="I609" s="25">
        <f>IFERROR(INDEX(Pedidos!$E$2:$E$1801,MATCH(B609,Pedidos!$A$2:$A$1801,0)),"")</f>
        <v/>
      </c>
      <c r="J609" s="25">
        <f>IFERROR(INDEX(Pedidos!$C$2:$C$1801,MATCH(B609,Pedidos!$A$2:$A$1801,0)),"")</f>
        <v/>
      </c>
      <c r="K609" s="25">
        <f>IFERROR(INDEX(Pedidos!$D$2:$D$1801,MATCH(B609,Pedidos!$A$2:$A$1801,0)),"")</f>
        <v/>
      </c>
      <c r="L609" s="25">
        <f>IFERROR(INDEX(Pedidos!$F$2:$F$1801,MATCH(B609,Pedidos!$A$2:$A$1801,0)),"")</f>
        <v/>
      </c>
      <c r="M609" s="26">
        <f>IFERROR(INDEX(Pedidos!$G$2:$G$1801,MATCH(B609,Pedidos!$A$2:$A$1801,0)),0)</f>
        <v/>
      </c>
      <c r="N609" s="25">
        <f>IFERROR(INDEX(Produtos!$B$2:$B$71,MATCH(C609,Produtos!$A$2:$A$71,0)),"")</f>
        <v/>
      </c>
      <c r="O609" s="25">
        <f>IFERROR(INDEX(Produtos!$C$2:$C$71,MATCH(C609,Produtos!$A$2:$A$71,0)),"")</f>
        <v/>
      </c>
      <c r="P609" s="25">
        <f>IFERROR(INDEX(Produtos!$D$2:$D$71,MATCH(C609,Produtos!$A$2:$A$71,0)),0)</f>
        <v/>
      </c>
      <c r="Q609" s="25">
        <f>IFERROR(INDEX(Produtos!$E$2:$E$71,MATCH(C609,Produtos!$A$2:$A$71,0)),0)</f>
        <v/>
      </c>
      <c r="R609" s="27">
        <f>D609*Q609</f>
        <v/>
      </c>
      <c r="S609" s="27">
        <f>R609*E609</f>
        <v/>
      </c>
      <c r="T609" s="27">
        <f>(R609-S609)*M609</f>
        <v/>
      </c>
      <c r="U609" s="27">
        <f>R609-S609-T609</f>
        <v/>
      </c>
      <c r="V609" s="27">
        <f>D609*P609</f>
        <v/>
      </c>
      <c r="W609" s="27">
        <f>U609-V609</f>
        <v/>
      </c>
      <c r="X609" s="28">
        <f>IFERROR(W609/U609,0)</f>
        <v/>
      </c>
    </row>
    <row r="610">
      <c r="A610" s="21">
        <f>ItensPedido!A610</f>
        <v/>
      </c>
      <c r="B610" s="21">
        <f>ItensPedido!B610</f>
        <v/>
      </c>
      <c r="C610" s="21">
        <f>ItensPedido!C610</f>
        <v/>
      </c>
      <c r="D610" s="21">
        <f>ItensPedido!D610</f>
        <v/>
      </c>
      <c r="E610" s="22">
        <f>ItensPedido!E610</f>
        <v/>
      </c>
      <c r="F610" s="21">
        <f>IFERROR(INDEX(Pedidos!$B$2:$B$1801,MATCH(B610,Pedidos!$A$2:$A$1801,0)),0)</f>
        <v/>
      </c>
      <c r="G610" s="21">
        <f>IF(F610=0,"",YEAR(F610))</f>
        <v/>
      </c>
      <c r="H610" s="21">
        <f>IF(F610=0,"",MONTH(F610))</f>
        <v/>
      </c>
      <c r="I610" s="21">
        <f>IFERROR(INDEX(Pedidos!$E$2:$E$1801,MATCH(B610,Pedidos!$A$2:$A$1801,0)),"")</f>
        <v/>
      </c>
      <c r="J610" s="21">
        <f>IFERROR(INDEX(Pedidos!$C$2:$C$1801,MATCH(B610,Pedidos!$A$2:$A$1801,0)),"")</f>
        <v/>
      </c>
      <c r="K610" s="21">
        <f>IFERROR(INDEX(Pedidos!$D$2:$D$1801,MATCH(B610,Pedidos!$A$2:$A$1801,0)),"")</f>
        <v/>
      </c>
      <c r="L610" s="21">
        <f>IFERROR(INDEX(Pedidos!$F$2:$F$1801,MATCH(B610,Pedidos!$A$2:$A$1801,0)),"")</f>
        <v/>
      </c>
      <c r="M610" s="22">
        <f>IFERROR(INDEX(Pedidos!$G$2:$G$1801,MATCH(B610,Pedidos!$A$2:$A$1801,0)),0)</f>
        <v/>
      </c>
      <c r="N610" s="21">
        <f>IFERROR(INDEX(Produtos!$B$2:$B$71,MATCH(C610,Produtos!$A$2:$A$71,0)),"")</f>
        <v/>
      </c>
      <c r="O610" s="21">
        <f>IFERROR(INDEX(Produtos!$C$2:$C$71,MATCH(C610,Produtos!$A$2:$A$71,0)),"")</f>
        <v/>
      </c>
      <c r="P610" s="21">
        <f>IFERROR(INDEX(Produtos!$D$2:$D$71,MATCH(C610,Produtos!$A$2:$A$71,0)),0)</f>
        <v/>
      </c>
      <c r="Q610" s="21">
        <f>IFERROR(INDEX(Produtos!$E$2:$E$71,MATCH(C610,Produtos!$A$2:$A$71,0)),0)</f>
        <v/>
      </c>
      <c r="R610" s="23">
        <f>D610*Q610</f>
        <v/>
      </c>
      <c r="S610" s="23">
        <f>R610*E610</f>
        <v/>
      </c>
      <c r="T610" s="23">
        <f>(R610-S610)*M610</f>
        <v/>
      </c>
      <c r="U610" s="23">
        <f>R610-S610-T610</f>
        <v/>
      </c>
      <c r="V610" s="23">
        <f>D610*P610</f>
        <v/>
      </c>
      <c r="W610" s="23">
        <f>U610-V610</f>
        <v/>
      </c>
      <c r="X610" s="24">
        <f>IFERROR(W610/U610,0)</f>
        <v/>
      </c>
    </row>
    <row r="611">
      <c r="A611" s="25">
        <f>ItensPedido!A611</f>
        <v/>
      </c>
      <c r="B611" s="25">
        <f>ItensPedido!B611</f>
        <v/>
      </c>
      <c r="C611" s="25">
        <f>ItensPedido!C611</f>
        <v/>
      </c>
      <c r="D611" s="25">
        <f>ItensPedido!D611</f>
        <v/>
      </c>
      <c r="E611" s="26">
        <f>ItensPedido!E611</f>
        <v/>
      </c>
      <c r="F611" s="25">
        <f>IFERROR(INDEX(Pedidos!$B$2:$B$1801,MATCH(B611,Pedidos!$A$2:$A$1801,0)),0)</f>
        <v/>
      </c>
      <c r="G611" s="25">
        <f>IF(F611=0,"",YEAR(F611))</f>
        <v/>
      </c>
      <c r="H611" s="25">
        <f>IF(F611=0,"",MONTH(F611))</f>
        <v/>
      </c>
      <c r="I611" s="25">
        <f>IFERROR(INDEX(Pedidos!$E$2:$E$1801,MATCH(B611,Pedidos!$A$2:$A$1801,0)),"")</f>
        <v/>
      </c>
      <c r="J611" s="25">
        <f>IFERROR(INDEX(Pedidos!$C$2:$C$1801,MATCH(B611,Pedidos!$A$2:$A$1801,0)),"")</f>
        <v/>
      </c>
      <c r="K611" s="25">
        <f>IFERROR(INDEX(Pedidos!$D$2:$D$1801,MATCH(B611,Pedidos!$A$2:$A$1801,0)),"")</f>
        <v/>
      </c>
      <c r="L611" s="25">
        <f>IFERROR(INDEX(Pedidos!$F$2:$F$1801,MATCH(B611,Pedidos!$A$2:$A$1801,0)),"")</f>
        <v/>
      </c>
      <c r="M611" s="26">
        <f>IFERROR(INDEX(Pedidos!$G$2:$G$1801,MATCH(B611,Pedidos!$A$2:$A$1801,0)),0)</f>
        <v/>
      </c>
      <c r="N611" s="25">
        <f>IFERROR(INDEX(Produtos!$B$2:$B$71,MATCH(C611,Produtos!$A$2:$A$71,0)),"")</f>
        <v/>
      </c>
      <c r="O611" s="25">
        <f>IFERROR(INDEX(Produtos!$C$2:$C$71,MATCH(C611,Produtos!$A$2:$A$71,0)),"")</f>
        <v/>
      </c>
      <c r="P611" s="25">
        <f>IFERROR(INDEX(Produtos!$D$2:$D$71,MATCH(C611,Produtos!$A$2:$A$71,0)),0)</f>
        <v/>
      </c>
      <c r="Q611" s="25">
        <f>IFERROR(INDEX(Produtos!$E$2:$E$71,MATCH(C611,Produtos!$A$2:$A$71,0)),0)</f>
        <v/>
      </c>
      <c r="R611" s="27">
        <f>D611*Q611</f>
        <v/>
      </c>
      <c r="S611" s="27">
        <f>R611*E611</f>
        <v/>
      </c>
      <c r="T611" s="27">
        <f>(R611-S611)*M611</f>
        <v/>
      </c>
      <c r="U611" s="27">
        <f>R611-S611-T611</f>
        <v/>
      </c>
      <c r="V611" s="27">
        <f>D611*P611</f>
        <v/>
      </c>
      <c r="W611" s="27">
        <f>U611-V611</f>
        <v/>
      </c>
      <c r="X611" s="28">
        <f>IFERROR(W611/U611,0)</f>
        <v/>
      </c>
    </row>
    <row r="612">
      <c r="A612" s="21">
        <f>ItensPedido!A612</f>
        <v/>
      </c>
      <c r="B612" s="21">
        <f>ItensPedido!B612</f>
        <v/>
      </c>
      <c r="C612" s="21">
        <f>ItensPedido!C612</f>
        <v/>
      </c>
      <c r="D612" s="21">
        <f>ItensPedido!D612</f>
        <v/>
      </c>
      <c r="E612" s="22">
        <f>ItensPedido!E612</f>
        <v/>
      </c>
      <c r="F612" s="21">
        <f>IFERROR(INDEX(Pedidos!$B$2:$B$1801,MATCH(B612,Pedidos!$A$2:$A$1801,0)),0)</f>
        <v/>
      </c>
      <c r="G612" s="21">
        <f>IF(F612=0,"",YEAR(F612))</f>
        <v/>
      </c>
      <c r="H612" s="21">
        <f>IF(F612=0,"",MONTH(F612))</f>
        <v/>
      </c>
      <c r="I612" s="21">
        <f>IFERROR(INDEX(Pedidos!$E$2:$E$1801,MATCH(B612,Pedidos!$A$2:$A$1801,0)),"")</f>
        <v/>
      </c>
      <c r="J612" s="21">
        <f>IFERROR(INDEX(Pedidos!$C$2:$C$1801,MATCH(B612,Pedidos!$A$2:$A$1801,0)),"")</f>
        <v/>
      </c>
      <c r="K612" s="21">
        <f>IFERROR(INDEX(Pedidos!$D$2:$D$1801,MATCH(B612,Pedidos!$A$2:$A$1801,0)),"")</f>
        <v/>
      </c>
      <c r="L612" s="21">
        <f>IFERROR(INDEX(Pedidos!$F$2:$F$1801,MATCH(B612,Pedidos!$A$2:$A$1801,0)),"")</f>
        <v/>
      </c>
      <c r="M612" s="22">
        <f>IFERROR(INDEX(Pedidos!$G$2:$G$1801,MATCH(B612,Pedidos!$A$2:$A$1801,0)),0)</f>
        <v/>
      </c>
      <c r="N612" s="21">
        <f>IFERROR(INDEX(Produtos!$B$2:$B$71,MATCH(C612,Produtos!$A$2:$A$71,0)),"")</f>
        <v/>
      </c>
      <c r="O612" s="21">
        <f>IFERROR(INDEX(Produtos!$C$2:$C$71,MATCH(C612,Produtos!$A$2:$A$71,0)),"")</f>
        <v/>
      </c>
      <c r="P612" s="21">
        <f>IFERROR(INDEX(Produtos!$D$2:$D$71,MATCH(C612,Produtos!$A$2:$A$71,0)),0)</f>
        <v/>
      </c>
      <c r="Q612" s="21">
        <f>IFERROR(INDEX(Produtos!$E$2:$E$71,MATCH(C612,Produtos!$A$2:$A$71,0)),0)</f>
        <v/>
      </c>
      <c r="R612" s="23">
        <f>D612*Q612</f>
        <v/>
      </c>
      <c r="S612" s="23">
        <f>R612*E612</f>
        <v/>
      </c>
      <c r="T612" s="23">
        <f>(R612-S612)*M612</f>
        <v/>
      </c>
      <c r="U612" s="23">
        <f>R612-S612-T612</f>
        <v/>
      </c>
      <c r="V612" s="23">
        <f>D612*P612</f>
        <v/>
      </c>
      <c r="W612" s="23">
        <f>U612-V612</f>
        <v/>
      </c>
      <c r="X612" s="24">
        <f>IFERROR(W612/U612,0)</f>
        <v/>
      </c>
    </row>
    <row r="613">
      <c r="A613" s="25">
        <f>ItensPedido!A613</f>
        <v/>
      </c>
      <c r="B613" s="25">
        <f>ItensPedido!B613</f>
        <v/>
      </c>
      <c r="C613" s="25">
        <f>ItensPedido!C613</f>
        <v/>
      </c>
      <c r="D613" s="25">
        <f>ItensPedido!D613</f>
        <v/>
      </c>
      <c r="E613" s="26">
        <f>ItensPedido!E613</f>
        <v/>
      </c>
      <c r="F613" s="25">
        <f>IFERROR(INDEX(Pedidos!$B$2:$B$1801,MATCH(B613,Pedidos!$A$2:$A$1801,0)),0)</f>
        <v/>
      </c>
      <c r="G613" s="25">
        <f>IF(F613=0,"",YEAR(F613))</f>
        <v/>
      </c>
      <c r="H613" s="25">
        <f>IF(F613=0,"",MONTH(F613))</f>
        <v/>
      </c>
      <c r="I613" s="25">
        <f>IFERROR(INDEX(Pedidos!$E$2:$E$1801,MATCH(B613,Pedidos!$A$2:$A$1801,0)),"")</f>
        <v/>
      </c>
      <c r="J613" s="25">
        <f>IFERROR(INDEX(Pedidos!$C$2:$C$1801,MATCH(B613,Pedidos!$A$2:$A$1801,0)),"")</f>
        <v/>
      </c>
      <c r="K613" s="25">
        <f>IFERROR(INDEX(Pedidos!$D$2:$D$1801,MATCH(B613,Pedidos!$A$2:$A$1801,0)),"")</f>
        <v/>
      </c>
      <c r="L613" s="25">
        <f>IFERROR(INDEX(Pedidos!$F$2:$F$1801,MATCH(B613,Pedidos!$A$2:$A$1801,0)),"")</f>
        <v/>
      </c>
      <c r="M613" s="26">
        <f>IFERROR(INDEX(Pedidos!$G$2:$G$1801,MATCH(B613,Pedidos!$A$2:$A$1801,0)),0)</f>
        <v/>
      </c>
      <c r="N613" s="25">
        <f>IFERROR(INDEX(Produtos!$B$2:$B$71,MATCH(C613,Produtos!$A$2:$A$71,0)),"")</f>
        <v/>
      </c>
      <c r="O613" s="25">
        <f>IFERROR(INDEX(Produtos!$C$2:$C$71,MATCH(C613,Produtos!$A$2:$A$71,0)),"")</f>
        <v/>
      </c>
      <c r="P613" s="25">
        <f>IFERROR(INDEX(Produtos!$D$2:$D$71,MATCH(C613,Produtos!$A$2:$A$71,0)),0)</f>
        <v/>
      </c>
      <c r="Q613" s="25">
        <f>IFERROR(INDEX(Produtos!$E$2:$E$71,MATCH(C613,Produtos!$A$2:$A$71,0)),0)</f>
        <v/>
      </c>
      <c r="R613" s="27">
        <f>D613*Q613</f>
        <v/>
      </c>
      <c r="S613" s="27">
        <f>R613*E613</f>
        <v/>
      </c>
      <c r="T613" s="27">
        <f>(R613-S613)*M613</f>
        <v/>
      </c>
      <c r="U613" s="27">
        <f>R613-S613-T613</f>
        <v/>
      </c>
      <c r="V613" s="27">
        <f>D613*P613</f>
        <v/>
      </c>
      <c r="W613" s="27">
        <f>U613-V613</f>
        <v/>
      </c>
      <c r="X613" s="28">
        <f>IFERROR(W613/U613,0)</f>
        <v/>
      </c>
    </row>
    <row r="614">
      <c r="A614" s="21">
        <f>ItensPedido!A614</f>
        <v/>
      </c>
      <c r="B614" s="21">
        <f>ItensPedido!B614</f>
        <v/>
      </c>
      <c r="C614" s="21">
        <f>ItensPedido!C614</f>
        <v/>
      </c>
      <c r="D614" s="21">
        <f>ItensPedido!D614</f>
        <v/>
      </c>
      <c r="E614" s="22">
        <f>ItensPedido!E614</f>
        <v/>
      </c>
      <c r="F614" s="21">
        <f>IFERROR(INDEX(Pedidos!$B$2:$B$1801,MATCH(B614,Pedidos!$A$2:$A$1801,0)),0)</f>
        <v/>
      </c>
      <c r="G614" s="21">
        <f>IF(F614=0,"",YEAR(F614))</f>
        <v/>
      </c>
      <c r="H614" s="21">
        <f>IF(F614=0,"",MONTH(F614))</f>
        <v/>
      </c>
      <c r="I614" s="21">
        <f>IFERROR(INDEX(Pedidos!$E$2:$E$1801,MATCH(B614,Pedidos!$A$2:$A$1801,0)),"")</f>
        <v/>
      </c>
      <c r="J614" s="21">
        <f>IFERROR(INDEX(Pedidos!$C$2:$C$1801,MATCH(B614,Pedidos!$A$2:$A$1801,0)),"")</f>
        <v/>
      </c>
      <c r="K614" s="21">
        <f>IFERROR(INDEX(Pedidos!$D$2:$D$1801,MATCH(B614,Pedidos!$A$2:$A$1801,0)),"")</f>
        <v/>
      </c>
      <c r="L614" s="21">
        <f>IFERROR(INDEX(Pedidos!$F$2:$F$1801,MATCH(B614,Pedidos!$A$2:$A$1801,0)),"")</f>
        <v/>
      </c>
      <c r="M614" s="22">
        <f>IFERROR(INDEX(Pedidos!$G$2:$G$1801,MATCH(B614,Pedidos!$A$2:$A$1801,0)),0)</f>
        <v/>
      </c>
      <c r="N614" s="21">
        <f>IFERROR(INDEX(Produtos!$B$2:$B$71,MATCH(C614,Produtos!$A$2:$A$71,0)),"")</f>
        <v/>
      </c>
      <c r="O614" s="21">
        <f>IFERROR(INDEX(Produtos!$C$2:$C$71,MATCH(C614,Produtos!$A$2:$A$71,0)),"")</f>
        <v/>
      </c>
      <c r="P614" s="21">
        <f>IFERROR(INDEX(Produtos!$D$2:$D$71,MATCH(C614,Produtos!$A$2:$A$71,0)),0)</f>
        <v/>
      </c>
      <c r="Q614" s="21">
        <f>IFERROR(INDEX(Produtos!$E$2:$E$71,MATCH(C614,Produtos!$A$2:$A$71,0)),0)</f>
        <v/>
      </c>
      <c r="R614" s="23">
        <f>D614*Q614</f>
        <v/>
      </c>
      <c r="S614" s="23">
        <f>R614*E614</f>
        <v/>
      </c>
      <c r="T614" s="23">
        <f>(R614-S614)*M614</f>
        <v/>
      </c>
      <c r="U614" s="23">
        <f>R614-S614-T614</f>
        <v/>
      </c>
      <c r="V614" s="23">
        <f>D614*P614</f>
        <v/>
      </c>
      <c r="W614" s="23">
        <f>U614-V614</f>
        <v/>
      </c>
      <c r="X614" s="24">
        <f>IFERROR(W614/U614,0)</f>
        <v/>
      </c>
    </row>
    <row r="615">
      <c r="A615" s="25">
        <f>ItensPedido!A615</f>
        <v/>
      </c>
      <c r="B615" s="25">
        <f>ItensPedido!B615</f>
        <v/>
      </c>
      <c r="C615" s="25">
        <f>ItensPedido!C615</f>
        <v/>
      </c>
      <c r="D615" s="25">
        <f>ItensPedido!D615</f>
        <v/>
      </c>
      <c r="E615" s="26">
        <f>ItensPedido!E615</f>
        <v/>
      </c>
      <c r="F615" s="25">
        <f>IFERROR(INDEX(Pedidos!$B$2:$B$1801,MATCH(B615,Pedidos!$A$2:$A$1801,0)),0)</f>
        <v/>
      </c>
      <c r="G615" s="25">
        <f>IF(F615=0,"",YEAR(F615))</f>
        <v/>
      </c>
      <c r="H615" s="25">
        <f>IF(F615=0,"",MONTH(F615))</f>
        <v/>
      </c>
      <c r="I615" s="25">
        <f>IFERROR(INDEX(Pedidos!$E$2:$E$1801,MATCH(B615,Pedidos!$A$2:$A$1801,0)),"")</f>
        <v/>
      </c>
      <c r="J615" s="25">
        <f>IFERROR(INDEX(Pedidos!$C$2:$C$1801,MATCH(B615,Pedidos!$A$2:$A$1801,0)),"")</f>
        <v/>
      </c>
      <c r="K615" s="25">
        <f>IFERROR(INDEX(Pedidos!$D$2:$D$1801,MATCH(B615,Pedidos!$A$2:$A$1801,0)),"")</f>
        <v/>
      </c>
      <c r="L615" s="25">
        <f>IFERROR(INDEX(Pedidos!$F$2:$F$1801,MATCH(B615,Pedidos!$A$2:$A$1801,0)),"")</f>
        <v/>
      </c>
      <c r="M615" s="26">
        <f>IFERROR(INDEX(Pedidos!$G$2:$G$1801,MATCH(B615,Pedidos!$A$2:$A$1801,0)),0)</f>
        <v/>
      </c>
      <c r="N615" s="25">
        <f>IFERROR(INDEX(Produtos!$B$2:$B$71,MATCH(C615,Produtos!$A$2:$A$71,0)),"")</f>
        <v/>
      </c>
      <c r="O615" s="25">
        <f>IFERROR(INDEX(Produtos!$C$2:$C$71,MATCH(C615,Produtos!$A$2:$A$71,0)),"")</f>
        <v/>
      </c>
      <c r="P615" s="25">
        <f>IFERROR(INDEX(Produtos!$D$2:$D$71,MATCH(C615,Produtos!$A$2:$A$71,0)),0)</f>
        <v/>
      </c>
      <c r="Q615" s="25">
        <f>IFERROR(INDEX(Produtos!$E$2:$E$71,MATCH(C615,Produtos!$A$2:$A$71,0)),0)</f>
        <v/>
      </c>
      <c r="R615" s="27">
        <f>D615*Q615</f>
        <v/>
      </c>
      <c r="S615" s="27">
        <f>R615*E615</f>
        <v/>
      </c>
      <c r="T615" s="27">
        <f>(R615-S615)*M615</f>
        <v/>
      </c>
      <c r="U615" s="27">
        <f>R615-S615-T615</f>
        <v/>
      </c>
      <c r="V615" s="27">
        <f>D615*P615</f>
        <v/>
      </c>
      <c r="W615" s="27">
        <f>U615-V615</f>
        <v/>
      </c>
      <c r="X615" s="28">
        <f>IFERROR(W615/U615,0)</f>
        <v/>
      </c>
    </row>
    <row r="616">
      <c r="A616" s="21">
        <f>ItensPedido!A616</f>
        <v/>
      </c>
      <c r="B616" s="21">
        <f>ItensPedido!B616</f>
        <v/>
      </c>
      <c r="C616" s="21">
        <f>ItensPedido!C616</f>
        <v/>
      </c>
      <c r="D616" s="21">
        <f>ItensPedido!D616</f>
        <v/>
      </c>
      <c r="E616" s="22">
        <f>ItensPedido!E616</f>
        <v/>
      </c>
      <c r="F616" s="21">
        <f>IFERROR(INDEX(Pedidos!$B$2:$B$1801,MATCH(B616,Pedidos!$A$2:$A$1801,0)),0)</f>
        <v/>
      </c>
      <c r="G616" s="21">
        <f>IF(F616=0,"",YEAR(F616))</f>
        <v/>
      </c>
      <c r="H616" s="21">
        <f>IF(F616=0,"",MONTH(F616))</f>
        <v/>
      </c>
      <c r="I616" s="21">
        <f>IFERROR(INDEX(Pedidos!$E$2:$E$1801,MATCH(B616,Pedidos!$A$2:$A$1801,0)),"")</f>
        <v/>
      </c>
      <c r="J616" s="21">
        <f>IFERROR(INDEX(Pedidos!$C$2:$C$1801,MATCH(B616,Pedidos!$A$2:$A$1801,0)),"")</f>
        <v/>
      </c>
      <c r="K616" s="21">
        <f>IFERROR(INDEX(Pedidos!$D$2:$D$1801,MATCH(B616,Pedidos!$A$2:$A$1801,0)),"")</f>
        <v/>
      </c>
      <c r="L616" s="21">
        <f>IFERROR(INDEX(Pedidos!$F$2:$F$1801,MATCH(B616,Pedidos!$A$2:$A$1801,0)),"")</f>
        <v/>
      </c>
      <c r="M616" s="22">
        <f>IFERROR(INDEX(Pedidos!$G$2:$G$1801,MATCH(B616,Pedidos!$A$2:$A$1801,0)),0)</f>
        <v/>
      </c>
      <c r="N616" s="21">
        <f>IFERROR(INDEX(Produtos!$B$2:$B$71,MATCH(C616,Produtos!$A$2:$A$71,0)),"")</f>
        <v/>
      </c>
      <c r="O616" s="21">
        <f>IFERROR(INDEX(Produtos!$C$2:$C$71,MATCH(C616,Produtos!$A$2:$A$71,0)),"")</f>
        <v/>
      </c>
      <c r="P616" s="21">
        <f>IFERROR(INDEX(Produtos!$D$2:$D$71,MATCH(C616,Produtos!$A$2:$A$71,0)),0)</f>
        <v/>
      </c>
      <c r="Q616" s="21">
        <f>IFERROR(INDEX(Produtos!$E$2:$E$71,MATCH(C616,Produtos!$A$2:$A$71,0)),0)</f>
        <v/>
      </c>
      <c r="R616" s="23">
        <f>D616*Q616</f>
        <v/>
      </c>
      <c r="S616" s="23">
        <f>R616*E616</f>
        <v/>
      </c>
      <c r="T616" s="23">
        <f>(R616-S616)*M616</f>
        <v/>
      </c>
      <c r="U616" s="23">
        <f>R616-S616-T616</f>
        <v/>
      </c>
      <c r="V616" s="23">
        <f>D616*P616</f>
        <v/>
      </c>
      <c r="W616" s="23">
        <f>U616-V616</f>
        <v/>
      </c>
      <c r="X616" s="24">
        <f>IFERROR(W616/U616,0)</f>
        <v/>
      </c>
    </row>
    <row r="617">
      <c r="A617" s="25">
        <f>ItensPedido!A617</f>
        <v/>
      </c>
      <c r="B617" s="25">
        <f>ItensPedido!B617</f>
        <v/>
      </c>
      <c r="C617" s="25">
        <f>ItensPedido!C617</f>
        <v/>
      </c>
      <c r="D617" s="25">
        <f>ItensPedido!D617</f>
        <v/>
      </c>
      <c r="E617" s="26">
        <f>ItensPedido!E617</f>
        <v/>
      </c>
      <c r="F617" s="25">
        <f>IFERROR(INDEX(Pedidos!$B$2:$B$1801,MATCH(B617,Pedidos!$A$2:$A$1801,0)),0)</f>
        <v/>
      </c>
      <c r="G617" s="25">
        <f>IF(F617=0,"",YEAR(F617))</f>
        <v/>
      </c>
      <c r="H617" s="25">
        <f>IF(F617=0,"",MONTH(F617))</f>
        <v/>
      </c>
      <c r="I617" s="25">
        <f>IFERROR(INDEX(Pedidos!$E$2:$E$1801,MATCH(B617,Pedidos!$A$2:$A$1801,0)),"")</f>
        <v/>
      </c>
      <c r="J617" s="25">
        <f>IFERROR(INDEX(Pedidos!$C$2:$C$1801,MATCH(B617,Pedidos!$A$2:$A$1801,0)),"")</f>
        <v/>
      </c>
      <c r="K617" s="25">
        <f>IFERROR(INDEX(Pedidos!$D$2:$D$1801,MATCH(B617,Pedidos!$A$2:$A$1801,0)),"")</f>
        <v/>
      </c>
      <c r="L617" s="25">
        <f>IFERROR(INDEX(Pedidos!$F$2:$F$1801,MATCH(B617,Pedidos!$A$2:$A$1801,0)),"")</f>
        <v/>
      </c>
      <c r="M617" s="26">
        <f>IFERROR(INDEX(Pedidos!$G$2:$G$1801,MATCH(B617,Pedidos!$A$2:$A$1801,0)),0)</f>
        <v/>
      </c>
      <c r="N617" s="25">
        <f>IFERROR(INDEX(Produtos!$B$2:$B$71,MATCH(C617,Produtos!$A$2:$A$71,0)),"")</f>
        <v/>
      </c>
      <c r="O617" s="25">
        <f>IFERROR(INDEX(Produtos!$C$2:$C$71,MATCH(C617,Produtos!$A$2:$A$71,0)),"")</f>
        <v/>
      </c>
      <c r="P617" s="25">
        <f>IFERROR(INDEX(Produtos!$D$2:$D$71,MATCH(C617,Produtos!$A$2:$A$71,0)),0)</f>
        <v/>
      </c>
      <c r="Q617" s="25">
        <f>IFERROR(INDEX(Produtos!$E$2:$E$71,MATCH(C617,Produtos!$A$2:$A$71,0)),0)</f>
        <v/>
      </c>
      <c r="R617" s="27">
        <f>D617*Q617</f>
        <v/>
      </c>
      <c r="S617" s="27">
        <f>R617*E617</f>
        <v/>
      </c>
      <c r="T617" s="27">
        <f>(R617-S617)*M617</f>
        <v/>
      </c>
      <c r="U617" s="27">
        <f>R617-S617-T617</f>
        <v/>
      </c>
      <c r="V617" s="27">
        <f>D617*P617</f>
        <v/>
      </c>
      <c r="W617" s="27">
        <f>U617-V617</f>
        <v/>
      </c>
      <c r="X617" s="28">
        <f>IFERROR(W617/U617,0)</f>
        <v/>
      </c>
    </row>
    <row r="618">
      <c r="A618" s="21">
        <f>ItensPedido!A618</f>
        <v/>
      </c>
      <c r="B618" s="21">
        <f>ItensPedido!B618</f>
        <v/>
      </c>
      <c r="C618" s="21">
        <f>ItensPedido!C618</f>
        <v/>
      </c>
      <c r="D618" s="21">
        <f>ItensPedido!D618</f>
        <v/>
      </c>
      <c r="E618" s="22">
        <f>ItensPedido!E618</f>
        <v/>
      </c>
      <c r="F618" s="21">
        <f>IFERROR(INDEX(Pedidos!$B$2:$B$1801,MATCH(B618,Pedidos!$A$2:$A$1801,0)),0)</f>
        <v/>
      </c>
      <c r="G618" s="21">
        <f>IF(F618=0,"",YEAR(F618))</f>
        <v/>
      </c>
      <c r="H618" s="21">
        <f>IF(F618=0,"",MONTH(F618))</f>
        <v/>
      </c>
      <c r="I618" s="21">
        <f>IFERROR(INDEX(Pedidos!$E$2:$E$1801,MATCH(B618,Pedidos!$A$2:$A$1801,0)),"")</f>
        <v/>
      </c>
      <c r="J618" s="21">
        <f>IFERROR(INDEX(Pedidos!$C$2:$C$1801,MATCH(B618,Pedidos!$A$2:$A$1801,0)),"")</f>
        <v/>
      </c>
      <c r="K618" s="21">
        <f>IFERROR(INDEX(Pedidos!$D$2:$D$1801,MATCH(B618,Pedidos!$A$2:$A$1801,0)),"")</f>
        <v/>
      </c>
      <c r="L618" s="21">
        <f>IFERROR(INDEX(Pedidos!$F$2:$F$1801,MATCH(B618,Pedidos!$A$2:$A$1801,0)),"")</f>
        <v/>
      </c>
      <c r="M618" s="22">
        <f>IFERROR(INDEX(Pedidos!$G$2:$G$1801,MATCH(B618,Pedidos!$A$2:$A$1801,0)),0)</f>
        <v/>
      </c>
      <c r="N618" s="21">
        <f>IFERROR(INDEX(Produtos!$B$2:$B$71,MATCH(C618,Produtos!$A$2:$A$71,0)),"")</f>
        <v/>
      </c>
      <c r="O618" s="21">
        <f>IFERROR(INDEX(Produtos!$C$2:$C$71,MATCH(C618,Produtos!$A$2:$A$71,0)),"")</f>
        <v/>
      </c>
      <c r="P618" s="21">
        <f>IFERROR(INDEX(Produtos!$D$2:$D$71,MATCH(C618,Produtos!$A$2:$A$71,0)),0)</f>
        <v/>
      </c>
      <c r="Q618" s="21">
        <f>IFERROR(INDEX(Produtos!$E$2:$E$71,MATCH(C618,Produtos!$A$2:$A$71,0)),0)</f>
        <v/>
      </c>
      <c r="R618" s="23">
        <f>D618*Q618</f>
        <v/>
      </c>
      <c r="S618" s="23">
        <f>R618*E618</f>
        <v/>
      </c>
      <c r="T618" s="23">
        <f>(R618-S618)*M618</f>
        <v/>
      </c>
      <c r="U618" s="23">
        <f>R618-S618-T618</f>
        <v/>
      </c>
      <c r="V618" s="23">
        <f>D618*P618</f>
        <v/>
      </c>
      <c r="W618" s="23">
        <f>U618-V618</f>
        <v/>
      </c>
      <c r="X618" s="24">
        <f>IFERROR(W618/U618,0)</f>
        <v/>
      </c>
    </row>
    <row r="619">
      <c r="A619" s="25">
        <f>ItensPedido!A619</f>
        <v/>
      </c>
      <c r="B619" s="25">
        <f>ItensPedido!B619</f>
        <v/>
      </c>
      <c r="C619" s="25">
        <f>ItensPedido!C619</f>
        <v/>
      </c>
      <c r="D619" s="25">
        <f>ItensPedido!D619</f>
        <v/>
      </c>
      <c r="E619" s="26">
        <f>ItensPedido!E619</f>
        <v/>
      </c>
      <c r="F619" s="25">
        <f>IFERROR(INDEX(Pedidos!$B$2:$B$1801,MATCH(B619,Pedidos!$A$2:$A$1801,0)),0)</f>
        <v/>
      </c>
      <c r="G619" s="25">
        <f>IF(F619=0,"",YEAR(F619))</f>
        <v/>
      </c>
      <c r="H619" s="25">
        <f>IF(F619=0,"",MONTH(F619))</f>
        <v/>
      </c>
      <c r="I619" s="25">
        <f>IFERROR(INDEX(Pedidos!$E$2:$E$1801,MATCH(B619,Pedidos!$A$2:$A$1801,0)),"")</f>
        <v/>
      </c>
      <c r="J619" s="25">
        <f>IFERROR(INDEX(Pedidos!$C$2:$C$1801,MATCH(B619,Pedidos!$A$2:$A$1801,0)),"")</f>
        <v/>
      </c>
      <c r="K619" s="25">
        <f>IFERROR(INDEX(Pedidos!$D$2:$D$1801,MATCH(B619,Pedidos!$A$2:$A$1801,0)),"")</f>
        <v/>
      </c>
      <c r="L619" s="25">
        <f>IFERROR(INDEX(Pedidos!$F$2:$F$1801,MATCH(B619,Pedidos!$A$2:$A$1801,0)),"")</f>
        <v/>
      </c>
      <c r="M619" s="26">
        <f>IFERROR(INDEX(Pedidos!$G$2:$G$1801,MATCH(B619,Pedidos!$A$2:$A$1801,0)),0)</f>
        <v/>
      </c>
      <c r="N619" s="25">
        <f>IFERROR(INDEX(Produtos!$B$2:$B$71,MATCH(C619,Produtos!$A$2:$A$71,0)),"")</f>
        <v/>
      </c>
      <c r="O619" s="25">
        <f>IFERROR(INDEX(Produtos!$C$2:$C$71,MATCH(C619,Produtos!$A$2:$A$71,0)),"")</f>
        <v/>
      </c>
      <c r="P619" s="25">
        <f>IFERROR(INDEX(Produtos!$D$2:$D$71,MATCH(C619,Produtos!$A$2:$A$71,0)),0)</f>
        <v/>
      </c>
      <c r="Q619" s="25">
        <f>IFERROR(INDEX(Produtos!$E$2:$E$71,MATCH(C619,Produtos!$A$2:$A$71,0)),0)</f>
        <v/>
      </c>
      <c r="R619" s="27">
        <f>D619*Q619</f>
        <v/>
      </c>
      <c r="S619" s="27">
        <f>R619*E619</f>
        <v/>
      </c>
      <c r="T619" s="27">
        <f>(R619-S619)*M619</f>
        <v/>
      </c>
      <c r="U619" s="27">
        <f>R619-S619-T619</f>
        <v/>
      </c>
      <c r="V619" s="27">
        <f>D619*P619</f>
        <v/>
      </c>
      <c r="W619" s="27">
        <f>U619-V619</f>
        <v/>
      </c>
      <c r="X619" s="28">
        <f>IFERROR(W619/U619,0)</f>
        <v/>
      </c>
    </row>
    <row r="620">
      <c r="A620" s="21">
        <f>ItensPedido!A620</f>
        <v/>
      </c>
      <c r="B620" s="21">
        <f>ItensPedido!B620</f>
        <v/>
      </c>
      <c r="C620" s="21">
        <f>ItensPedido!C620</f>
        <v/>
      </c>
      <c r="D620" s="21">
        <f>ItensPedido!D620</f>
        <v/>
      </c>
      <c r="E620" s="22">
        <f>ItensPedido!E620</f>
        <v/>
      </c>
      <c r="F620" s="21">
        <f>IFERROR(INDEX(Pedidos!$B$2:$B$1801,MATCH(B620,Pedidos!$A$2:$A$1801,0)),0)</f>
        <v/>
      </c>
      <c r="G620" s="21">
        <f>IF(F620=0,"",YEAR(F620))</f>
        <v/>
      </c>
      <c r="H620" s="21">
        <f>IF(F620=0,"",MONTH(F620))</f>
        <v/>
      </c>
      <c r="I620" s="21">
        <f>IFERROR(INDEX(Pedidos!$E$2:$E$1801,MATCH(B620,Pedidos!$A$2:$A$1801,0)),"")</f>
        <v/>
      </c>
      <c r="J620" s="21">
        <f>IFERROR(INDEX(Pedidos!$C$2:$C$1801,MATCH(B620,Pedidos!$A$2:$A$1801,0)),"")</f>
        <v/>
      </c>
      <c r="K620" s="21">
        <f>IFERROR(INDEX(Pedidos!$D$2:$D$1801,MATCH(B620,Pedidos!$A$2:$A$1801,0)),"")</f>
        <v/>
      </c>
      <c r="L620" s="21">
        <f>IFERROR(INDEX(Pedidos!$F$2:$F$1801,MATCH(B620,Pedidos!$A$2:$A$1801,0)),"")</f>
        <v/>
      </c>
      <c r="M620" s="22">
        <f>IFERROR(INDEX(Pedidos!$G$2:$G$1801,MATCH(B620,Pedidos!$A$2:$A$1801,0)),0)</f>
        <v/>
      </c>
      <c r="N620" s="21">
        <f>IFERROR(INDEX(Produtos!$B$2:$B$71,MATCH(C620,Produtos!$A$2:$A$71,0)),"")</f>
        <v/>
      </c>
      <c r="O620" s="21">
        <f>IFERROR(INDEX(Produtos!$C$2:$C$71,MATCH(C620,Produtos!$A$2:$A$71,0)),"")</f>
        <v/>
      </c>
      <c r="P620" s="21">
        <f>IFERROR(INDEX(Produtos!$D$2:$D$71,MATCH(C620,Produtos!$A$2:$A$71,0)),0)</f>
        <v/>
      </c>
      <c r="Q620" s="21">
        <f>IFERROR(INDEX(Produtos!$E$2:$E$71,MATCH(C620,Produtos!$A$2:$A$71,0)),0)</f>
        <v/>
      </c>
      <c r="R620" s="23">
        <f>D620*Q620</f>
        <v/>
      </c>
      <c r="S620" s="23">
        <f>R620*E620</f>
        <v/>
      </c>
      <c r="T620" s="23">
        <f>(R620-S620)*M620</f>
        <v/>
      </c>
      <c r="U620" s="23">
        <f>R620-S620-T620</f>
        <v/>
      </c>
      <c r="V620" s="23">
        <f>D620*P620</f>
        <v/>
      </c>
      <c r="W620" s="23">
        <f>U620-V620</f>
        <v/>
      </c>
      <c r="X620" s="24">
        <f>IFERROR(W620/U620,0)</f>
        <v/>
      </c>
    </row>
    <row r="621">
      <c r="A621" s="25">
        <f>ItensPedido!A621</f>
        <v/>
      </c>
      <c r="B621" s="25">
        <f>ItensPedido!B621</f>
        <v/>
      </c>
      <c r="C621" s="25">
        <f>ItensPedido!C621</f>
        <v/>
      </c>
      <c r="D621" s="25">
        <f>ItensPedido!D621</f>
        <v/>
      </c>
      <c r="E621" s="26">
        <f>ItensPedido!E621</f>
        <v/>
      </c>
      <c r="F621" s="25">
        <f>IFERROR(INDEX(Pedidos!$B$2:$B$1801,MATCH(B621,Pedidos!$A$2:$A$1801,0)),0)</f>
        <v/>
      </c>
      <c r="G621" s="25">
        <f>IF(F621=0,"",YEAR(F621))</f>
        <v/>
      </c>
      <c r="H621" s="25">
        <f>IF(F621=0,"",MONTH(F621))</f>
        <v/>
      </c>
      <c r="I621" s="25">
        <f>IFERROR(INDEX(Pedidos!$E$2:$E$1801,MATCH(B621,Pedidos!$A$2:$A$1801,0)),"")</f>
        <v/>
      </c>
      <c r="J621" s="25">
        <f>IFERROR(INDEX(Pedidos!$C$2:$C$1801,MATCH(B621,Pedidos!$A$2:$A$1801,0)),"")</f>
        <v/>
      </c>
      <c r="K621" s="25">
        <f>IFERROR(INDEX(Pedidos!$D$2:$D$1801,MATCH(B621,Pedidos!$A$2:$A$1801,0)),"")</f>
        <v/>
      </c>
      <c r="L621" s="25">
        <f>IFERROR(INDEX(Pedidos!$F$2:$F$1801,MATCH(B621,Pedidos!$A$2:$A$1801,0)),"")</f>
        <v/>
      </c>
      <c r="M621" s="26">
        <f>IFERROR(INDEX(Pedidos!$G$2:$G$1801,MATCH(B621,Pedidos!$A$2:$A$1801,0)),0)</f>
        <v/>
      </c>
      <c r="N621" s="25">
        <f>IFERROR(INDEX(Produtos!$B$2:$B$71,MATCH(C621,Produtos!$A$2:$A$71,0)),"")</f>
        <v/>
      </c>
      <c r="O621" s="25">
        <f>IFERROR(INDEX(Produtos!$C$2:$C$71,MATCH(C621,Produtos!$A$2:$A$71,0)),"")</f>
        <v/>
      </c>
      <c r="P621" s="25">
        <f>IFERROR(INDEX(Produtos!$D$2:$D$71,MATCH(C621,Produtos!$A$2:$A$71,0)),0)</f>
        <v/>
      </c>
      <c r="Q621" s="25">
        <f>IFERROR(INDEX(Produtos!$E$2:$E$71,MATCH(C621,Produtos!$A$2:$A$71,0)),0)</f>
        <v/>
      </c>
      <c r="R621" s="27">
        <f>D621*Q621</f>
        <v/>
      </c>
      <c r="S621" s="27">
        <f>R621*E621</f>
        <v/>
      </c>
      <c r="T621" s="27">
        <f>(R621-S621)*M621</f>
        <v/>
      </c>
      <c r="U621" s="27">
        <f>R621-S621-T621</f>
        <v/>
      </c>
      <c r="V621" s="27">
        <f>D621*P621</f>
        <v/>
      </c>
      <c r="W621" s="27">
        <f>U621-V621</f>
        <v/>
      </c>
      <c r="X621" s="28">
        <f>IFERROR(W621/U621,0)</f>
        <v/>
      </c>
    </row>
    <row r="622">
      <c r="A622" s="21">
        <f>ItensPedido!A622</f>
        <v/>
      </c>
      <c r="B622" s="21">
        <f>ItensPedido!B622</f>
        <v/>
      </c>
      <c r="C622" s="21">
        <f>ItensPedido!C622</f>
        <v/>
      </c>
      <c r="D622" s="21">
        <f>ItensPedido!D622</f>
        <v/>
      </c>
      <c r="E622" s="22">
        <f>ItensPedido!E622</f>
        <v/>
      </c>
      <c r="F622" s="21">
        <f>IFERROR(INDEX(Pedidos!$B$2:$B$1801,MATCH(B622,Pedidos!$A$2:$A$1801,0)),0)</f>
        <v/>
      </c>
      <c r="G622" s="21">
        <f>IF(F622=0,"",YEAR(F622))</f>
        <v/>
      </c>
      <c r="H622" s="21">
        <f>IF(F622=0,"",MONTH(F622))</f>
        <v/>
      </c>
      <c r="I622" s="21">
        <f>IFERROR(INDEX(Pedidos!$E$2:$E$1801,MATCH(B622,Pedidos!$A$2:$A$1801,0)),"")</f>
        <v/>
      </c>
      <c r="J622" s="21">
        <f>IFERROR(INDEX(Pedidos!$C$2:$C$1801,MATCH(B622,Pedidos!$A$2:$A$1801,0)),"")</f>
        <v/>
      </c>
      <c r="K622" s="21">
        <f>IFERROR(INDEX(Pedidos!$D$2:$D$1801,MATCH(B622,Pedidos!$A$2:$A$1801,0)),"")</f>
        <v/>
      </c>
      <c r="L622" s="21">
        <f>IFERROR(INDEX(Pedidos!$F$2:$F$1801,MATCH(B622,Pedidos!$A$2:$A$1801,0)),"")</f>
        <v/>
      </c>
      <c r="M622" s="22">
        <f>IFERROR(INDEX(Pedidos!$G$2:$G$1801,MATCH(B622,Pedidos!$A$2:$A$1801,0)),0)</f>
        <v/>
      </c>
      <c r="N622" s="21">
        <f>IFERROR(INDEX(Produtos!$B$2:$B$71,MATCH(C622,Produtos!$A$2:$A$71,0)),"")</f>
        <v/>
      </c>
      <c r="O622" s="21">
        <f>IFERROR(INDEX(Produtos!$C$2:$C$71,MATCH(C622,Produtos!$A$2:$A$71,0)),"")</f>
        <v/>
      </c>
      <c r="P622" s="21">
        <f>IFERROR(INDEX(Produtos!$D$2:$D$71,MATCH(C622,Produtos!$A$2:$A$71,0)),0)</f>
        <v/>
      </c>
      <c r="Q622" s="21">
        <f>IFERROR(INDEX(Produtos!$E$2:$E$71,MATCH(C622,Produtos!$A$2:$A$71,0)),0)</f>
        <v/>
      </c>
      <c r="R622" s="23">
        <f>D622*Q622</f>
        <v/>
      </c>
      <c r="S622" s="23">
        <f>R622*E622</f>
        <v/>
      </c>
      <c r="T622" s="23">
        <f>(R622-S622)*M622</f>
        <v/>
      </c>
      <c r="U622" s="23">
        <f>R622-S622-T622</f>
        <v/>
      </c>
      <c r="V622" s="23">
        <f>D622*P622</f>
        <v/>
      </c>
      <c r="W622" s="23">
        <f>U622-V622</f>
        <v/>
      </c>
      <c r="X622" s="24">
        <f>IFERROR(W622/U622,0)</f>
        <v/>
      </c>
    </row>
    <row r="623">
      <c r="A623" s="25">
        <f>ItensPedido!A623</f>
        <v/>
      </c>
      <c r="B623" s="25">
        <f>ItensPedido!B623</f>
        <v/>
      </c>
      <c r="C623" s="25">
        <f>ItensPedido!C623</f>
        <v/>
      </c>
      <c r="D623" s="25">
        <f>ItensPedido!D623</f>
        <v/>
      </c>
      <c r="E623" s="26">
        <f>ItensPedido!E623</f>
        <v/>
      </c>
      <c r="F623" s="25">
        <f>IFERROR(INDEX(Pedidos!$B$2:$B$1801,MATCH(B623,Pedidos!$A$2:$A$1801,0)),0)</f>
        <v/>
      </c>
      <c r="G623" s="25">
        <f>IF(F623=0,"",YEAR(F623))</f>
        <v/>
      </c>
      <c r="H623" s="25">
        <f>IF(F623=0,"",MONTH(F623))</f>
        <v/>
      </c>
      <c r="I623" s="25">
        <f>IFERROR(INDEX(Pedidos!$E$2:$E$1801,MATCH(B623,Pedidos!$A$2:$A$1801,0)),"")</f>
        <v/>
      </c>
      <c r="J623" s="25">
        <f>IFERROR(INDEX(Pedidos!$C$2:$C$1801,MATCH(B623,Pedidos!$A$2:$A$1801,0)),"")</f>
        <v/>
      </c>
      <c r="K623" s="25">
        <f>IFERROR(INDEX(Pedidos!$D$2:$D$1801,MATCH(B623,Pedidos!$A$2:$A$1801,0)),"")</f>
        <v/>
      </c>
      <c r="L623" s="25">
        <f>IFERROR(INDEX(Pedidos!$F$2:$F$1801,MATCH(B623,Pedidos!$A$2:$A$1801,0)),"")</f>
        <v/>
      </c>
      <c r="M623" s="26">
        <f>IFERROR(INDEX(Pedidos!$G$2:$G$1801,MATCH(B623,Pedidos!$A$2:$A$1801,0)),0)</f>
        <v/>
      </c>
      <c r="N623" s="25">
        <f>IFERROR(INDEX(Produtos!$B$2:$B$71,MATCH(C623,Produtos!$A$2:$A$71,0)),"")</f>
        <v/>
      </c>
      <c r="O623" s="25">
        <f>IFERROR(INDEX(Produtos!$C$2:$C$71,MATCH(C623,Produtos!$A$2:$A$71,0)),"")</f>
        <v/>
      </c>
      <c r="P623" s="25">
        <f>IFERROR(INDEX(Produtos!$D$2:$D$71,MATCH(C623,Produtos!$A$2:$A$71,0)),0)</f>
        <v/>
      </c>
      <c r="Q623" s="25">
        <f>IFERROR(INDEX(Produtos!$E$2:$E$71,MATCH(C623,Produtos!$A$2:$A$71,0)),0)</f>
        <v/>
      </c>
      <c r="R623" s="27">
        <f>D623*Q623</f>
        <v/>
      </c>
      <c r="S623" s="27">
        <f>R623*E623</f>
        <v/>
      </c>
      <c r="T623" s="27">
        <f>(R623-S623)*M623</f>
        <v/>
      </c>
      <c r="U623" s="27">
        <f>R623-S623-T623</f>
        <v/>
      </c>
      <c r="V623" s="27">
        <f>D623*P623</f>
        <v/>
      </c>
      <c r="W623" s="27">
        <f>U623-V623</f>
        <v/>
      </c>
      <c r="X623" s="28">
        <f>IFERROR(W623/U623,0)</f>
        <v/>
      </c>
    </row>
    <row r="624">
      <c r="A624" s="21">
        <f>ItensPedido!A624</f>
        <v/>
      </c>
      <c r="B624" s="21">
        <f>ItensPedido!B624</f>
        <v/>
      </c>
      <c r="C624" s="21">
        <f>ItensPedido!C624</f>
        <v/>
      </c>
      <c r="D624" s="21">
        <f>ItensPedido!D624</f>
        <v/>
      </c>
      <c r="E624" s="22">
        <f>ItensPedido!E624</f>
        <v/>
      </c>
      <c r="F624" s="21">
        <f>IFERROR(INDEX(Pedidos!$B$2:$B$1801,MATCH(B624,Pedidos!$A$2:$A$1801,0)),0)</f>
        <v/>
      </c>
      <c r="G624" s="21">
        <f>IF(F624=0,"",YEAR(F624))</f>
        <v/>
      </c>
      <c r="H624" s="21">
        <f>IF(F624=0,"",MONTH(F624))</f>
        <v/>
      </c>
      <c r="I624" s="21">
        <f>IFERROR(INDEX(Pedidos!$E$2:$E$1801,MATCH(B624,Pedidos!$A$2:$A$1801,0)),"")</f>
        <v/>
      </c>
      <c r="J624" s="21">
        <f>IFERROR(INDEX(Pedidos!$C$2:$C$1801,MATCH(B624,Pedidos!$A$2:$A$1801,0)),"")</f>
        <v/>
      </c>
      <c r="K624" s="21">
        <f>IFERROR(INDEX(Pedidos!$D$2:$D$1801,MATCH(B624,Pedidos!$A$2:$A$1801,0)),"")</f>
        <v/>
      </c>
      <c r="L624" s="21">
        <f>IFERROR(INDEX(Pedidos!$F$2:$F$1801,MATCH(B624,Pedidos!$A$2:$A$1801,0)),"")</f>
        <v/>
      </c>
      <c r="M624" s="22">
        <f>IFERROR(INDEX(Pedidos!$G$2:$G$1801,MATCH(B624,Pedidos!$A$2:$A$1801,0)),0)</f>
        <v/>
      </c>
      <c r="N624" s="21">
        <f>IFERROR(INDEX(Produtos!$B$2:$B$71,MATCH(C624,Produtos!$A$2:$A$71,0)),"")</f>
        <v/>
      </c>
      <c r="O624" s="21">
        <f>IFERROR(INDEX(Produtos!$C$2:$C$71,MATCH(C624,Produtos!$A$2:$A$71,0)),"")</f>
        <v/>
      </c>
      <c r="P624" s="21">
        <f>IFERROR(INDEX(Produtos!$D$2:$D$71,MATCH(C624,Produtos!$A$2:$A$71,0)),0)</f>
        <v/>
      </c>
      <c r="Q624" s="21">
        <f>IFERROR(INDEX(Produtos!$E$2:$E$71,MATCH(C624,Produtos!$A$2:$A$71,0)),0)</f>
        <v/>
      </c>
      <c r="R624" s="23">
        <f>D624*Q624</f>
        <v/>
      </c>
      <c r="S624" s="23">
        <f>R624*E624</f>
        <v/>
      </c>
      <c r="T624" s="23">
        <f>(R624-S624)*M624</f>
        <v/>
      </c>
      <c r="U624" s="23">
        <f>R624-S624-T624</f>
        <v/>
      </c>
      <c r="V624" s="23">
        <f>D624*P624</f>
        <v/>
      </c>
      <c r="W624" s="23">
        <f>U624-V624</f>
        <v/>
      </c>
      <c r="X624" s="24">
        <f>IFERROR(W624/U624,0)</f>
        <v/>
      </c>
    </row>
    <row r="625">
      <c r="A625" s="25">
        <f>ItensPedido!A625</f>
        <v/>
      </c>
      <c r="B625" s="25">
        <f>ItensPedido!B625</f>
        <v/>
      </c>
      <c r="C625" s="25">
        <f>ItensPedido!C625</f>
        <v/>
      </c>
      <c r="D625" s="25">
        <f>ItensPedido!D625</f>
        <v/>
      </c>
      <c r="E625" s="26">
        <f>ItensPedido!E625</f>
        <v/>
      </c>
      <c r="F625" s="25">
        <f>IFERROR(INDEX(Pedidos!$B$2:$B$1801,MATCH(B625,Pedidos!$A$2:$A$1801,0)),0)</f>
        <v/>
      </c>
      <c r="G625" s="25">
        <f>IF(F625=0,"",YEAR(F625))</f>
        <v/>
      </c>
      <c r="H625" s="25">
        <f>IF(F625=0,"",MONTH(F625))</f>
        <v/>
      </c>
      <c r="I625" s="25">
        <f>IFERROR(INDEX(Pedidos!$E$2:$E$1801,MATCH(B625,Pedidos!$A$2:$A$1801,0)),"")</f>
        <v/>
      </c>
      <c r="J625" s="25">
        <f>IFERROR(INDEX(Pedidos!$C$2:$C$1801,MATCH(B625,Pedidos!$A$2:$A$1801,0)),"")</f>
        <v/>
      </c>
      <c r="K625" s="25">
        <f>IFERROR(INDEX(Pedidos!$D$2:$D$1801,MATCH(B625,Pedidos!$A$2:$A$1801,0)),"")</f>
        <v/>
      </c>
      <c r="L625" s="25">
        <f>IFERROR(INDEX(Pedidos!$F$2:$F$1801,MATCH(B625,Pedidos!$A$2:$A$1801,0)),"")</f>
        <v/>
      </c>
      <c r="M625" s="26">
        <f>IFERROR(INDEX(Pedidos!$G$2:$G$1801,MATCH(B625,Pedidos!$A$2:$A$1801,0)),0)</f>
        <v/>
      </c>
      <c r="N625" s="25">
        <f>IFERROR(INDEX(Produtos!$B$2:$B$71,MATCH(C625,Produtos!$A$2:$A$71,0)),"")</f>
        <v/>
      </c>
      <c r="O625" s="25">
        <f>IFERROR(INDEX(Produtos!$C$2:$C$71,MATCH(C625,Produtos!$A$2:$A$71,0)),"")</f>
        <v/>
      </c>
      <c r="P625" s="25">
        <f>IFERROR(INDEX(Produtos!$D$2:$D$71,MATCH(C625,Produtos!$A$2:$A$71,0)),0)</f>
        <v/>
      </c>
      <c r="Q625" s="25">
        <f>IFERROR(INDEX(Produtos!$E$2:$E$71,MATCH(C625,Produtos!$A$2:$A$71,0)),0)</f>
        <v/>
      </c>
      <c r="R625" s="27">
        <f>D625*Q625</f>
        <v/>
      </c>
      <c r="S625" s="27">
        <f>R625*E625</f>
        <v/>
      </c>
      <c r="T625" s="27">
        <f>(R625-S625)*M625</f>
        <v/>
      </c>
      <c r="U625" s="27">
        <f>R625-S625-T625</f>
        <v/>
      </c>
      <c r="V625" s="27">
        <f>D625*P625</f>
        <v/>
      </c>
      <c r="W625" s="27">
        <f>U625-V625</f>
        <v/>
      </c>
      <c r="X625" s="28">
        <f>IFERROR(W625/U625,0)</f>
        <v/>
      </c>
    </row>
    <row r="626">
      <c r="A626" s="21">
        <f>ItensPedido!A626</f>
        <v/>
      </c>
      <c r="B626" s="21">
        <f>ItensPedido!B626</f>
        <v/>
      </c>
      <c r="C626" s="21">
        <f>ItensPedido!C626</f>
        <v/>
      </c>
      <c r="D626" s="21">
        <f>ItensPedido!D626</f>
        <v/>
      </c>
      <c r="E626" s="22">
        <f>ItensPedido!E626</f>
        <v/>
      </c>
      <c r="F626" s="21">
        <f>IFERROR(INDEX(Pedidos!$B$2:$B$1801,MATCH(B626,Pedidos!$A$2:$A$1801,0)),0)</f>
        <v/>
      </c>
      <c r="G626" s="21">
        <f>IF(F626=0,"",YEAR(F626))</f>
        <v/>
      </c>
      <c r="H626" s="21">
        <f>IF(F626=0,"",MONTH(F626))</f>
        <v/>
      </c>
      <c r="I626" s="21">
        <f>IFERROR(INDEX(Pedidos!$E$2:$E$1801,MATCH(B626,Pedidos!$A$2:$A$1801,0)),"")</f>
        <v/>
      </c>
      <c r="J626" s="21">
        <f>IFERROR(INDEX(Pedidos!$C$2:$C$1801,MATCH(B626,Pedidos!$A$2:$A$1801,0)),"")</f>
        <v/>
      </c>
      <c r="K626" s="21">
        <f>IFERROR(INDEX(Pedidos!$D$2:$D$1801,MATCH(B626,Pedidos!$A$2:$A$1801,0)),"")</f>
        <v/>
      </c>
      <c r="L626" s="21">
        <f>IFERROR(INDEX(Pedidos!$F$2:$F$1801,MATCH(B626,Pedidos!$A$2:$A$1801,0)),"")</f>
        <v/>
      </c>
      <c r="M626" s="22">
        <f>IFERROR(INDEX(Pedidos!$G$2:$G$1801,MATCH(B626,Pedidos!$A$2:$A$1801,0)),0)</f>
        <v/>
      </c>
      <c r="N626" s="21">
        <f>IFERROR(INDEX(Produtos!$B$2:$B$71,MATCH(C626,Produtos!$A$2:$A$71,0)),"")</f>
        <v/>
      </c>
      <c r="O626" s="21">
        <f>IFERROR(INDEX(Produtos!$C$2:$C$71,MATCH(C626,Produtos!$A$2:$A$71,0)),"")</f>
        <v/>
      </c>
      <c r="P626" s="21">
        <f>IFERROR(INDEX(Produtos!$D$2:$D$71,MATCH(C626,Produtos!$A$2:$A$71,0)),0)</f>
        <v/>
      </c>
      <c r="Q626" s="21">
        <f>IFERROR(INDEX(Produtos!$E$2:$E$71,MATCH(C626,Produtos!$A$2:$A$71,0)),0)</f>
        <v/>
      </c>
      <c r="R626" s="23">
        <f>D626*Q626</f>
        <v/>
      </c>
      <c r="S626" s="23">
        <f>R626*E626</f>
        <v/>
      </c>
      <c r="T626" s="23">
        <f>(R626-S626)*M626</f>
        <v/>
      </c>
      <c r="U626" s="23">
        <f>R626-S626-T626</f>
        <v/>
      </c>
      <c r="V626" s="23">
        <f>D626*P626</f>
        <v/>
      </c>
      <c r="W626" s="23">
        <f>U626-V626</f>
        <v/>
      </c>
      <c r="X626" s="24">
        <f>IFERROR(W626/U626,0)</f>
        <v/>
      </c>
    </row>
    <row r="627">
      <c r="A627" s="25">
        <f>ItensPedido!A627</f>
        <v/>
      </c>
      <c r="B627" s="25">
        <f>ItensPedido!B627</f>
        <v/>
      </c>
      <c r="C627" s="25">
        <f>ItensPedido!C627</f>
        <v/>
      </c>
      <c r="D627" s="25">
        <f>ItensPedido!D627</f>
        <v/>
      </c>
      <c r="E627" s="26">
        <f>ItensPedido!E627</f>
        <v/>
      </c>
      <c r="F627" s="25">
        <f>IFERROR(INDEX(Pedidos!$B$2:$B$1801,MATCH(B627,Pedidos!$A$2:$A$1801,0)),0)</f>
        <v/>
      </c>
      <c r="G627" s="25">
        <f>IF(F627=0,"",YEAR(F627))</f>
        <v/>
      </c>
      <c r="H627" s="25">
        <f>IF(F627=0,"",MONTH(F627))</f>
        <v/>
      </c>
      <c r="I627" s="25">
        <f>IFERROR(INDEX(Pedidos!$E$2:$E$1801,MATCH(B627,Pedidos!$A$2:$A$1801,0)),"")</f>
        <v/>
      </c>
      <c r="J627" s="25">
        <f>IFERROR(INDEX(Pedidos!$C$2:$C$1801,MATCH(B627,Pedidos!$A$2:$A$1801,0)),"")</f>
        <v/>
      </c>
      <c r="K627" s="25">
        <f>IFERROR(INDEX(Pedidos!$D$2:$D$1801,MATCH(B627,Pedidos!$A$2:$A$1801,0)),"")</f>
        <v/>
      </c>
      <c r="L627" s="25">
        <f>IFERROR(INDEX(Pedidos!$F$2:$F$1801,MATCH(B627,Pedidos!$A$2:$A$1801,0)),"")</f>
        <v/>
      </c>
      <c r="M627" s="26">
        <f>IFERROR(INDEX(Pedidos!$G$2:$G$1801,MATCH(B627,Pedidos!$A$2:$A$1801,0)),0)</f>
        <v/>
      </c>
      <c r="N627" s="25">
        <f>IFERROR(INDEX(Produtos!$B$2:$B$71,MATCH(C627,Produtos!$A$2:$A$71,0)),"")</f>
        <v/>
      </c>
      <c r="O627" s="25">
        <f>IFERROR(INDEX(Produtos!$C$2:$C$71,MATCH(C627,Produtos!$A$2:$A$71,0)),"")</f>
        <v/>
      </c>
      <c r="P627" s="25">
        <f>IFERROR(INDEX(Produtos!$D$2:$D$71,MATCH(C627,Produtos!$A$2:$A$71,0)),0)</f>
        <v/>
      </c>
      <c r="Q627" s="25">
        <f>IFERROR(INDEX(Produtos!$E$2:$E$71,MATCH(C627,Produtos!$A$2:$A$71,0)),0)</f>
        <v/>
      </c>
      <c r="R627" s="27">
        <f>D627*Q627</f>
        <v/>
      </c>
      <c r="S627" s="27">
        <f>R627*E627</f>
        <v/>
      </c>
      <c r="T627" s="27">
        <f>(R627-S627)*M627</f>
        <v/>
      </c>
      <c r="U627" s="27">
        <f>R627-S627-T627</f>
        <v/>
      </c>
      <c r="V627" s="27">
        <f>D627*P627</f>
        <v/>
      </c>
      <c r="W627" s="27">
        <f>U627-V627</f>
        <v/>
      </c>
      <c r="X627" s="28">
        <f>IFERROR(W627/U627,0)</f>
        <v/>
      </c>
    </row>
    <row r="628">
      <c r="A628" s="21">
        <f>ItensPedido!A628</f>
        <v/>
      </c>
      <c r="B628" s="21">
        <f>ItensPedido!B628</f>
        <v/>
      </c>
      <c r="C628" s="21">
        <f>ItensPedido!C628</f>
        <v/>
      </c>
      <c r="D628" s="21">
        <f>ItensPedido!D628</f>
        <v/>
      </c>
      <c r="E628" s="22">
        <f>ItensPedido!E628</f>
        <v/>
      </c>
      <c r="F628" s="21">
        <f>IFERROR(INDEX(Pedidos!$B$2:$B$1801,MATCH(B628,Pedidos!$A$2:$A$1801,0)),0)</f>
        <v/>
      </c>
      <c r="G628" s="21">
        <f>IF(F628=0,"",YEAR(F628))</f>
        <v/>
      </c>
      <c r="H628" s="21">
        <f>IF(F628=0,"",MONTH(F628))</f>
        <v/>
      </c>
      <c r="I628" s="21">
        <f>IFERROR(INDEX(Pedidos!$E$2:$E$1801,MATCH(B628,Pedidos!$A$2:$A$1801,0)),"")</f>
        <v/>
      </c>
      <c r="J628" s="21">
        <f>IFERROR(INDEX(Pedidos!$C$2:$C$1801,MATCH(B628,Pedidos!$A$2:$A$1801,0)),"")</f>
        <v/>
      </c>
      <c r="K628" s="21">
        <f>IFERROR(INDEX(Pedidos!$D$2:$D$1801,MATCH(B628,Pedidos!$A$2:$A$1801,0)),"")</f>
        <v/>
      </c>
      <c r="L628" s="21">
        <f>IFERROR(INDEX(Pedidos!$F$2:$F$1801,MATCH(B628,Pedidos!$A$2:$A$1801,0)),"")</f>
        <v/>
      </c>
      <c r="M628" s="22">
        <f>IFERROR(INDEX(Pedidos!$G$2:$G$1801,MATCH(B628,Pedidos!$A$2:$A$1801,0)),0)</f>
        <v/>
      </c>
      <c r="N628" s="21">
        <f>IFERROR(INDEX(Produtos!$B$2:$B$71,MATCH(C628,Produtos!$A$2:$A$71,0)),"")</f>
        <v/>
      </c>
      <c r="O628" s="21">
        <f>IFERROR(INDEX(Produtos!$C$2:$C$71,MATCH(C628,Produtos!$A$2:$A$71,0)),"")</f>
        <v/>
      </c>
      <c r="P628" s="21">
        <f>IFERROR(INDEX(Produtos!$D$2:$D$71,MATCH(C628,Produtos!$A$2:$A$71,0)),0)</f>
        <v/>
      </c>
      <c r="Q628" s="21">
        <f>IFERROR(INDEX(Produtos!$E$2:$E$71,MATCH(C628,Produtos!$A$2:$A$71,0)),0)</f>
        <v/>
      </c>
      <c r="R628" s="23">
        <f>D628*Q628</f>
        <v/>
      </c>
      <c r="S628" s="23">
        <f>R628*E628</f>
        <v/>
      </c>
      <c r="T628" s="23">
        <f>(R628-S628)*M628</f>
        <v/>
      </c>
      <c r="U628" s="23">
        <f>R628-S628-T628</f>
        <v/>
      </c>
      <c r="V628" s="23">
        <f>D628*P628</f>
        <v/>
      </c>
      <c r="W628" s="23">
        <f>U628-V628</f>
        <v/>
      </c>
      <c r="X628" s="24">
        <f>IFERROR(W628/U628,0)</f>
        <v/>
      </c>
    </row>
    <row r="629">
      <c r="A629" s="25">
        <f>ItensPedido!A629</f>
        <v/>
      </c>
      <c r="B629" s="25">
        <f>ItensPedido!B629</f>
        <v/>
      </c>
      <c r="C629" s="25">
        <f>ItensPedido!C629</f>
        <v/>
      </c>
      <c r="D629" s="25">
        <f>ItensPedido!D629</f>
        <v/>
      </c>
      <c r="E629" s="26">
        <f>ItensPedido!E629</f>
        <v/>
      </c>
      <c r="F629" s="25">
        <f>IFERROR(INDEX(Pedidos!$B$2:$B$1801,MATCH(B629,Pedidos!$A$2:$A$1801,0)),0)</f>
        <v/>
      </c>
      <c r="G629" s="25">
        <f>IF(F629=0,"",YEAR(F629))</f>
        <v/>
      </c>
      <c r="H629" s="25">
        <f>IF(F629=0,"",MONTH(F629))</f>
        <v/>
      </c>
      <c r="I629" s="25">
        <f>IFERROR(INDEX(Pedidos!$E$2:$E$1801,MATCH(B629,Pedidos!$A$2:$A$1801,0)),"")</f>
        <v/>
      </c>
      <c r="J629" s="25">
        <f>IFERROR(INDEX(Pedidos!$C$2:$C$1801,MATCH(B629,Pedidos!$A$2:$A$1801,0)),"")</f>
        <v/>
      </c>
      <c r="K629" s="25">
        <f>IFERROR(INDEX(Pedidos!$D$2:$D$1801,MATCH(B629,Pedidos!$A$2:$A$1801,0)),"")</f>
        <v/>
      </c>
      <c r="L629" s="25">
        <f>IFERROR(INDEX(Pedidos!$F$2:$F$1801,MATCH(B629,Pedidos!$A$2:$A$1801,0)),"")</f>
        <v/>
      </c>
      <c r="M629" s="26">
        <f>IFERROR(INDEX(Pedidos!$G$2:$G$1801,MATCH(B629,Pedidos!$A$2:$A$1801,0)),0)</f>
        <v/>
      </c>
      <c r="N629" s="25">
        <f>IFERROR(INDEX(Produtos!$B$2:$B$71,MATCH(C629,Produtos!$A$2:$A$71,0)),"")</f>
        <v/>
      </c>
      <c r="O629" s="25">
        <f>IFERROR(INDEX(Produtos!$C$2:$C$71,MATCH(C629,Produtos!$A$2:$A$71,0)),"")</f>
        <v/>
      </c>
      <c r="P629" s="25">
        <f>IFERROR(INDEX(Produtos!$D$2:$D$71,MATCH(C629,Produtos!$A$2:$A$71,0)),0)</f>
        <v/>
      </c>
      <c r="Q629" s="25">
        <f>IFERROR(INDEX(Produtos!$E$2:$E$71,MATCH(C629,Produtos!$A$2:$A$71,0)),0)</f>
        <v/>
      </c>
      <c r="R629" s="27">
        <f>D629*Q629</f>
        <v/>
      </c>
      <c r="S629" s="27">
        <f>R629*E629</f>
        <v/>
      </c>
      <c r="T629" s="27">
        <f>(R629-S629)*M629</f>
        <v/>
      </c>
      <c r="U629" s="27">
        <f>R629-S629-T629</f>
        <v/>
      </c>
      <c r="V629" s="27">
        <f>D629*P629</f>
        <v/>
      </c>
      <c r="W629" s="27">
        <f>U629-V629</f>
        <v/>
      </c>
      <c r="X629" s="28">
        <f>IFERROR(W629/U629,0)</f>
        <v/>
      </c>
    </row>
    <row r="630">
      <c r="A630" s="21">
        <f>ItensPedido!A630</f>
        <v/>
      </c>
      <c r="B630" s="21">
        <f>ItensPedido!B630</f>
        <v/>
      </c>
      <c r="C630" s="21">
        <f>ItensPedido!C630</f>
        <v/>
      </c>
      <c r="D630" s="21">
        <f>ItensPedido!D630</f>
        <v/>
      </c>
      <c r="E630" s="22">
        <f>ItensPedido!E630</f>
        <v/>
      </c>
      <c r="F630" s="21">
        <f>IFERROR(INDEX(Pedidos!$B$2:$B$1801,MATCH(B630,Pedidos!$A$2:$A$1801,0)),0)</f>
        <v/>
      </c>
      <c r="G630" s="21">
        <f>IF(F630=0,"",YEAR(F630))</f>
        <v/>
      </c>
      <c r="H630" s="21">
        <f>IF(F630=0,"",MONTH(F630))</f>
        <v/>
      </c>
      <c r="I630" s="21">
        <f>IFERROR(INDEX(Pedidos!$E$2:$E$1801,MATCH(B630,Pedidos!$A$2:$A$1801,0)),"")</f>
        <v/>
      </c>
      <c r="J630" s="21">
        <f>IFERROR(INDEX(Pedidos!$C$2:$C$1801,MATCH(B630,Pedidos!$A$2:$A$1801,0)),"")</f>
        <v/>
      </c>
      <c r="K630" s="21">
        <f>IFERROR(INDEX(Pedidos!$D$2:$D$1801,MATCH(B630,Pedidos!$A$2:$A$1801,0)),"")</f>
        <v/>
      </c>
      <c r="L630" s="21">
        <f>IFERROR(INDEX(Pedidos!$F$2:$F$1801,MATCH(B630,Pedidos!$A$2:$A$1801,0)),"")</f>
        <v/>
      </c>
      <c r="M630" s="22">
        <f>IFERROR(INDEX(Pedidos!$G$2:$G$1801,MATCH(B630,Pedidos!$A$2:$A$1801,0)),0)</f>
        <v/>
      </c>
      <c r="N630" s="21">
        <f>IFERROR(INDEX(Produtos!$B$2:$B$71,MATCH(C630,Produtos!$A$2:$A$71,0)),"")</f>
        <v/>
      </c>
      <c r="O630" s="21">
        <f>IFERROR(INDEX(Produtos!$C$2:$C$71,MATCH(C630,Produtos!$A$2:$A$71,0)),"")</f>
        <v/>
      </c>
      <c r="P630" s="21">
        <f>IFERROR(INDEX(Produtos!$D$2:$D$71,MATCH(C630,Produtos!$A$2:$A$71,0)),0)</f>
        <v/>
      </c>
      <c r="Q630" s="21">
        <f>IFERROR(INDEX(Produtos!$E$2:$E$71,MATCH(C630,Produtos!$A$2:$A$71,0)),0)</f>
        <v/>
      </c>
      <c r="R630" s="23">
        <f>D630*Q630</f>
        <v/>
      </c>
      <c r="S630" s="23">
        <f>R630*E630</f>
        <v/>
      </c>
      <c r="T630" s="23">
        <f>(R630-S630)*M630</f>
        <v/>
      </c>
      <c r="U630" s="23">
        <f>R630-S630-T630</f>
        <v/>
      </c>
      <c r="V630" s="23">
        <f>D630*P630</f>
        <v/>
      </c>
      <c r="W630" s="23">
        <f>U630-V630</f>
        <v/>
      </c>
      <c r="X630" s="24">
        <f>IFERROR(W630/U630,0)</f>
        <v/>
      </c>
    </row>
    <row r="631">
      <c r="A631" s="25">
        <f>ItensPedido!A631</f>
        <v/>
      </c>
      <c r="B631" s="25">
        <f>ItensPedido!B631</f>
        <v/>
      </c>
      <c r="C631" s="25">
        <f>ItensPedido!C631</f>
        <v/>
      </c>
      <c r="D631" s="25">
        <f>ItensPedido!D631</f>
        <v/>
      </c>
      <c r="E631" s="26">
        <f>ItensPedido!E631</f>
        <v/>
      </c>
      <c r="F631" s="25">
        <f>IFERROR(INDEX(Pedidos!$B$2:$B$1801,MATCH(B631,Pedidos!$A$2:$A$1801,0)),0)</f>
        <v/>
      </c>
      <c r="G631" s="25">
        <f>IF(F631=0,"",YEAR(F631))</f>
        <v/>
      </c>
      <c r="H631" s="25">
        <f>IF(F631=0,"",MONTH(F631))</f>
        <v/>
      </c>
      <c r="I631" s="25">
        <f>IFERROR(INDEX(Pedidos!$E$2:$E$1801,MATCH(B631,Pedidos!$A$2:$A$1801,0)),"")</f>
        <v/>
      </c>
      <c r="J631" s="25">
        <f>IFERROR(INDEX(Pedidos!$C$2:$C$1801,MATCH(B631,Pedidos!$A$2:$A$1801,0)),"")</f>
        <v/>
      </c>
      <c r="K631" s="25">
        <f>IFERROR(INDEX(Pedidos!$D$2:$D$1801,MATCH(B631,Pedidos!$A$2:$A$1801,0)),"")</f>
        <v/>
      </c>
      <c r="L631" s="25">
        <f>IFERROR(INDEX(Pedidos!$F$2:$F$1801,MATCH(B631,Pedidos!$A$2:$A$1801,0)),"")</f>
        <v/>
      </c>
      <c r="M631" s="26">
        <f>IFERROR(INDEX(Pedidos!$G$2:$G$1801,MATCH(B631,Pedidos!$A$2:$A$1801,0)),0)</f>
        <v/>
      </c>
      <c r="N631" s="25">
        <f>IFERROR(INDEX(Produtos!$B$2:$B$71,MATCH(C631,Produtos!$A$2:$A$71,0)),"")</f>
        <v/>
      </c>
      <c r="O631" s="25">
        <f>IFERROR(INDEX(Produtos!$C$2:$C$71,MATCH(C631,Produtos!$A$2:$A$71,0)),"")</f>
        <v/>
      </c>
      <c r="P631" s="25">
        <f>IFERROR(INDEX(Produtos!$D$2:$D$71,MATCH(C631,Produtos!$A$2:$A$71,0)),0)</f>
        <v/>
      </c>
      <c r="Q631" s="25">
        <f>IFERROR(INDEX(Produtos!$E$2:$E$71,MATCH(C631,Produtos!$A$2:$A$71,0)),0)</f>
        <v/>
      </c>
      <c r="R631" s="27">
        <f>D631*Q631</f>
        <v/>
      </c>
      <c r="S631" s="27">
        <f>R631*E631</f>
        <v/>
      </c>
      <c r="T631" s="27">
        <f>(R631-S631)*M631</f>
        <v/>
      </c>
      <c r="U631" s="27">
        <f>R631-S631-T631</f>
        <v/>
      </c>
      <c r="V631" s="27">
        <f>D631*P631</f>
        <v/>
      </c>
      <c r="W631" s="27">
        <f>U631-V631</f>
        <v/>
      </c>
      <c r="X631" s="28">
        <f>IFERROR(W631/U631,0)</f>
        <v/>
      </c>
    </row>
    <row r="632">
      <c r="A632" s="21">
        <f>ItensPedido!A632</f>
        <v/>
      </c>
      <c r="B632" s="21">
        <f>ItensPedido!B632</f>
        <v/>
      </c>
      <c r="C632" s="21">
        <f>ItensPedido!C632</f>
        <v/>
      </c>
      <c r="D632" s="21">
        <f>ItensPedido!D632</f>
        <v/>
      </c>
      <c r="E632" s="22">
        <f>ItensPedido!E632</f>
        <v/>
      </c>
      <c r="F632" s="21">
        <f>IFERROR(INDEX(Pedidos!$B$2:$B$1801,MATCH(B632,Pedidos!$A$2:$A$1801,0)),0)</f>
        <v/>
      </c>
      <c r="G632" s="21">
        <f>IF(F632=0,"",YEAR(F632))</f>
        <v/>
      </c>
      <c r="H632" s="21">
        <f>IF(F632=0,"",MONTH(F632))</f>
        <v/>
      </c>
      <c r="I632" s="21">
        <f>IFERROR(INDEX(Pedidos!$E$2:$E$1801,MATCH(B632,Pedidos!$A$2:$A$1801,0)),"")</f>
        <v/>
      </c>
      <c r="J632" s="21">
        <f>IFERROR(INDEX(Pedidos!$C$2:$C$1801,MATCH(B632,Pedidos!$A$2:$A$1801,0)),"")</f>
        <v/>
      </c>
      <c r="K632" s="21">
        <f>IFERROR(INDEX(Pedidos!$D$2:$D$1801,MATCH(B632,Pedidos!$A$2:$A$1801,0)),"")</f>
        <v/>
      </c>
      <c r="L632" s="21">
        <f>IFERROR(INDEX(Pedidos!$F$2:$F$1801,MATCH(B632,Pedidos!$A$2:$A$1801,0)),"")</f>
        <v/>
      </c>
      <c r="M632" s="22">
        <f>IFERROR(INDEX(Pedidos!$G$2:$G$1801,MATCH(B632,Pedidos!$A$2:$A$1801,0)),0)</f>
        <v/>
      </c>
      <c r="N632" s="21">
        <f>IFERROR(INDEX(Produtos!$B$2:$B$71,MATCH(C632,Produtos!$A$2:$A$71,0)),"")</f>
        <v/>
      </c>
      <c r="O632" s="21">
        <f>IFERROR(INDEX(Produtos!$C$2:$C$71,MATCH(C632,Produtos!$A$2:$A$71,0)),"")</f>
        <v/>
      </c>
      <c r="P632" s="21">
        <f>IFERROR(INDEX(Produtos!$D$2:$D$71,MATCH(C632,Produtos!$A$2:$A$71,0)),0)</f>
        <v/>
      </c>
      <c r="Q632" s="21">
        <f>IFERROR(INDEX(Produtos!$E$2:$E$71,MATCH(C632,Produtos!$A$2:$A$71,0)),0)</f>
        <v/>
      </c>
      <c r="R632" s="23">
        <f>D632*Q632</f>
        <v/>
      </c>
      <c r="S632" s="23">
        <f>R632*E632</f>
        <v/>
      </c>
      <c r="T632" s="23">
        <f>(R632-S632)*M632</f>
        <v/>
      </c>
      <c r="U632" s="23">
        <f>R632-S632-T632</f>
        <v/>
      </c>
      <c r="V632" s="23">
        <f>D632*P632</f>
        <v/>
      </c>
      <c r="W632" s="23">
        <f>U632-V632</f>
        <v/>
      </c>
      <c r="X632" s="24">
        <f>IFERROR(W632/U632,0)</f>
        <v/>
      </c>
    </row>
    <row r="633">
      <c r="A633" s="25">
        <f>ItensPedido!A633</f>
        <v/>
      </c>
      <c r="B633" s="25">
        <f>ItensPedido!B633</f>
        <v/>
      </c>
      <c r="C633" s="25">
        <f>ItensPedido!C633</f>
        <v/>
      </c>
      <c r="D633" s="25">
        <f>ItensPedido!D633</f>
        <v/>
      </c>
      <c r="E633" s="26">
        <f>ItensPedido!E633</f>
        <v/>
      </c>
      <c r="F633" s="25">
        <f>IFERROR(INDEX(Pedidos!$B$2:$B$1801,MATCH(B633,Pedidos!$A$2:$A$1801,0)),0)</f>
        <v/>
      </c>
      <c r="G633" s="25">
        <f>IF(F633=0,"",YEAR(F633))</f>
        <v/>
      </c>
      <c r="H633" s="25">
        <f>IF(F633=0,"",MONTH(F633))</f>
        <v/>
      </c>
      <c r="I633" s="25">
        <f>IFERROR(INDEX(Pedidos!$E$2:$E$1801,MATCH(B633,Pedidos!$A$2:$A$1801,0)),"")</f>
        <v/>
      </c>
      <c r="J633" s="25">
        <f>IFERROR(INDEX(Pedidos!$C$2:$C$1801,MATCH(B633,Pedidos!$A$2:$A$1801,0)),"")</f>
        <v/>
      </c>
      <c r="K633" s="25">
        <f>IFERROR(INDEX(Pedidos!$D$2:$D$1801,MATCH(B633,Pedidos!$A$2:$A$1801,0)),"")</f>
        <v/>
      </c>
      <c r="L633" s="25">
        <f>IFERROR(INDEX(Pedidos!$F$2:$F$1801,MATCH(B633,Pedidos!$A$2:$A$1801,0)),"")</f>
        <v/>
      </c>
      <c r="M633" s="26">
        <f>IFERROR(INDEX(Pedidos!$G$2:$G$1801,MATCH(B633,Pedidos!$A$2:$A$1801,0)),0)</f>
        <v/>
      </c>
      <c r="N633" s="25">
        <f>IFERROR(INDEX(Produtos!$B$2:$B$71,MATCH(C633,Produtos!$A$2:$A$71,0)),"")</f>
        <v/>
      </c>
      <c r="O633" s="25">
        <f>IFERROR(INDEX(Produtos!$C$2:$C$71,MATCH(C633,Produtos!$A$2:$A$71,0)),"")</f>
        <v/>
      </c>
      <c r="P633" s="25">
        <f>IFERROR(INDEX(Produtos!$D$2:$D$71,MATCH(C633,Produtos!$A$2:$A$71,0)),0)</f>
        <v/>
      </c>
      <c r="Q633" s="25">
        <f>IFERROR(INDEX(Produtos!$E$2:$E$71,MATCH(C633,Produtos!$A$2:$A$71,0)),0)</f>
        <v/>
      </c>
      <c r="R633" s="27">
        <f>D633*Q633</f>
        <v/>
      </c>
      <c r="S633" s="27">
        <f>R633*E633</f>
        <v/>
      </c>
      <c r="T633" s="27">
        <f>(R633-S633)*M633</f>
        <v/>
      </c>
      <c r="U633" s="27">
        <f>R633-S633-T633</f>
        <v/>
      </c>
      <c r="V633" s="27">
        <f>D633*P633</f>
        <v/>
      </c>
      <c r="W633" s="27">
        <f>U633-V633</f>
        <v/>
      </c>
      <c r="X633" s="28">
        <f>IFERROR(W633/U633,0)</f>
        <v/>
      </c>
    </row>
    <row r="634">
      <c r="A634" s="21">
        <f>ItensPedido!A634</f>
        <v/>
      </c>
      <c r="B634" s="21">
        <f>ItensPedido!B634</f>
        <v/>
      </c>
      <c r="C634" s="21">
        <f>ItensPedido!C634</f>
        <v/>
      </c>
      <c r="D634" s="21">
        <f>ItensPedido!D634</f>
        <v/>
      </c>
      <c r="E634" s="22">
        <f>ItensPedido!E634</f>
        <v/>
      </c>
      <c r="F634" s="21">
        <f>IFERROR(INDEX(Pedidos!$B$2:$B$1801,MATCH(B634,Pedidos!$A$2:$A$1801,0)),0)</f>
        <v/>
      </c>
      <c r="G634" s="21">
        <f>IF(F634=0,"",YEAR(F634))</f>
        <v/>
      </c>
      <c r="H634" s="21">
        <f>IF(F634=0,"",MONTH(F634))</f>
        <v/>
      </c>
      <c r="I634" s="21">
        <f>IFERROR(INDEX(Pedidos!$E$2:$E$1801,MATCH(B634,Pedidos!$A$2:$A$1801,0)),"")</f>
        <v/>
      </c>
      <c r="J634" s="21">
        <f>IFERROR(INDEX(Pedidos!$C$2:$C$1801,MATCH(B634,Pedidos!$A$2:$A$1801,0)),"")</f>
        <v/>
      </c>
      <c r="K634" s="21">
        <f>IFERROR(INDEX(Pedidos!$D$2:$D$1801,MATCH(B634,Pedidos!$A$2:$A$1801,0)),"")</f>
        <v/>
      </c>
      <c r="L634" s="21">
        <f>IFERROR(INDEX(Pedidos!$F$2:$F$1801,MATCH(B634,Pedidos!$A$2:$A$1801,0)),"")</f>
        <v/>
      </c>
      <c r="M634" s="22">
        <f>IFERROR(INDEX(Pedidos!$G$2:$G$1801,MATCH(B634,Pedidos!$A$2:$A$1801,0)),0)</f>
        <v/>
      </c>
      <c r="N634" s="21">
        <f>IFERROR(INDEX(Produtos!$B$2:$B$71,MATCH(C634,Produtos!$A$2:$A$71,0)),"")</f>
        <v/>
      </c>
      <c r="O634" s="21">
        <f>IFERROR(INDEX(Produtos!$C$2:$C$71,MATCH(C634,Produtos!$A$2:$A$71,0)),"")</f>
        <v/>
      </c>
      <c r="P634" s="21">
        <f>IFERROR(INDEX(Produtos!$D$2:$D$71,MATCH(C634,Produtos!$A$2:$A$71,0)),0)</f>
        <v/>
      </c>
      <c r="Q634" s="21">
        <f>IFERROR(INDEX(Produtos!$E$2:$E$71,MATCH(C634,Produtos!$A$2:$A$71,0)),0)</f>
        <v/>
      </c>
      <c r="R634" s="23">
        <f>D634*Q634</f>
        <v/>
      </c>
      <c r="S634" s="23">
        <f>R634*E634</f>
        <v/>
      </c>
      <c r="T634" s="23">
        <f>(R634-S634)*M634</f>
        <v/>
      </c>
      <c r="U634" s="23">
        <f>R634-S634-T634</f>
        <v/>
      </c>
      <c r="V634" s="23">
        <f>D634*P634</f>
        <v/>
      </c>
      <c r="W634" s="23">
        <f>U634-V634</f>
        <v/>
      </c>
      <c r="X634" s="24">
        <f>IFERROR(W634/U634,0)</f>
        <v/>
      </c>
    </row>
    <row r="635">
      <c r="A635" s="25">
        <f>ItensPedido!A635</f>
        <v/>
      </c>
      <c r="B635" s="25">
        <f>ItensPedido!B635</f>
        <v/>
      </c>
      <c r="C635" s="25">
        <f>ItensPedido!C635</f>
        <v/>
      </c>
      <c r="D635" s="25">
        <f>ItensPedido!D635</f>
        <v/>
      </c>
      <c r="E635" s="26">
        <f>ItensPedido!E635</f>
        <v/>
      </c>
      <c r="F635" s="25">
        <f>IFERROR(INDEX(Pedidos!$B$2:$B$1801,MATCH(B635,Pedidos!$A$2:$A$1801,0)),0)</f>
        <v/>
      </c>
      <c r="G635" s="25">
        <f>IF(F635=0,"",YEAR(F635))</f>
        <v/>
      </c>
      <c r="H635" s="25">
        <f>IF(F635=0,"",MONTH(F635))</f>
        <v/>
      </c>
      <c r="I635" s="25">
        <f>IFERROR(INDEX(Pedidos!$E$2:$E$1801,MATCH(B635,Pedidos!$A$2:$A$1801,0)),"")</f>
        <v/>
      </c>
      <c r="J635" s="25">
        <f>IFERROR(INDEX(Pedidos!$C$2:$C$1801,MATCH(B635,Pedidos!$A$2:$A$1801,0)),"")</f>
        <v/>
      </c>
      <c r="K635" s="25">
        <f>IFERROR(INDEX(Pedidos!$D$2:$D$1801,MATCH(B635,Pedidos!$A$2:$A$1801,0)),"")</f>
        <v/>
      </c>
      <c r="L635" s="25">
        <f>IFERROR(INDEX(Pedidos!$F$2:$F$1801,MATCH(B635,Pedidos!$A$2:$A$1801,0)),"")</f>
        <v/>
      </c>
      <c r="M635" s="26">
        <f>IFERROR(INDEX(Pedidos!$G$2:$G$1801,MATCH(B635,Pedidos!$A$2:$A$1801,0)),0)</f>
        <v/>
      </c>
      <c r="N635" s="25">
        <f>IFERROR(INDEX(Produtos!$B$2:$B$71,MATCH(C635,Produtos!$A$2:$A$71,0)),"")</f>
        <v/>
      </c>
      <c r="O635" s="25">
        <f>IFERROR(INDEX(Produtos!$C$2:$C$71,MATCH(C635,Produtos!$A$2:$A$71,0)),"")</f>
        <v/>
      </c>
      <c r="P635" s="25">
        <f>IFERROR(INDEX(Produtos!$D$2:$D$71,MATCH(C635,Produtos!$A$2:$A$71,0)),0)</f>
        <v/>
      </c>
      <c r="Q635" s="25">
        <f>IFERROR(INDEX(Produtos!$E$2:$E$71,MATCH(C635,Produtos!$A$2:$A$71,0)),0)</f>
        <v/>
      </c>
      <c r="R635" s="27">
        <f>D635*Q635</f>
        <v/>
      </c>
      <c r="S635" s="27">
        <f>R635*E635</f>
        <v/>
      </c>
      <c r="T635" s="27">
        <f>(R635-S635)*M635</f>
        <v/>
      </c>
      <c r="U635" s="27">
        <f>R635-S635-T635</f>
        <v/>
      </c>
      <c r="V635" s="27">
        <f>D635*P635</f>
        <v/>
      </c>
      <c r="W635" s="27">
        <f>U635-V635</f>
        <v/>
      </c>
      <c r="X635" s="28">
        <f>IFERROR(W635/U635,0)</f>
        <v/>
      </c>
    </row>
    <row r="636">
      <c r="A636" s="21">
        <f>ItensPedido!A636</f>
        <v/>
      </c>
      <c r="B636" s="21">
        <f>ItensPedido!B636</f>
        <v/>
      </c>
      <c r="C636" s="21">
        <f>ItensPedido!C636</f>
        <v/>
      </c>
      <c r="D636" s="21">
        <f>ItensPedido!D636</f>
        <v/>
      </c>
      <c r="E636" s="22">
        <f>ItensPedido!E636</f>
        <v/>
      </c>
      <c r="F636" s="21">
        <f>IFERROR(INDEX(Pedidos!$B$2:$B$1801,MATCH(B636,Pedidos!$A$2:$A$1801,0)),0)</f>
        <v/>
      </c>
      <c r="G636" s="21">
        <f>IF(F636=0,"",YEAR(F636))</f>
        <v/>
      </c>
      <c r="H636" s="21">
        <f>IF(F636=0,"",MONTH(F636))</f>
        <v/>
      </c>
      <c r="I636" s="21">
        <f>IFERROR(INDEX(Pedidos!$E$2:$E$1801,MATCH(B636,Pedidos!$A$2:$A$1801,0)),"")</f>
        <v/>
      </c>
      <c r="J636" s="21">
        <f>IFERROR(INDEX(Pedidos!$C$2:$C$1801,MATCH(B636,Pedidos!$A$2:$A$1801,0)),"")</f>
        <v/>
      </c>
      <c r="K636" s="21">
        <f>IFERROR(INDEX(Pedidos!$D$2:$D$1801,MATCH(B636,Pedidos!$A$2:$A$1801,0)),"")</f>
        <v/>
      </c>
      <c r="L636" s="21">
        <f>IFERROR(INDEX(Pedidos!$F$2:$F$1801,MATCH(B636,Pedidos!$A$2:$A$1801,0)),"")</f>
        <v/>
      </c>
      <c r="M636" s="22">
        <f>IFERROR(INDEX(Pedidos!$G$2:$G$1801,MATCH(B636,Pedidos!$A$2:$A$1801,0)),0)</f>
        <v/>
      </c>
      <c r="N636" s="21">
        <f>IFERROR(INDEX(Produtos!$B$2:$B$71,MATCH(C636,Produtos!$A$2:$A$71,0)),"")</f>
        <v/>
      </c>
      <c r="O636" s="21">
        <f>IFERROR(INDEX(Produtos!$C$2:$C$71,MATCH(C636,Produtos!$A$2:$A$71,0)),"")</f>
        <v/>
      </c>
      <c r="P636" s="21">
        <f>IFERROR(INDEX(Produtos!$D$2:$D$71,MATCH(C636,Produtos!$A$2:$A$71,0)),0)</f>
        <v/>
      </c>
      <c r="Q636" s="21">
        <f>IFERROR(INDEX(Produtos!$E$2:$E$71,MATCH(C636,Produtos!$A$2:$A$71,0)),0)</f>
        <v/>
      </c>
      <c r="R636" s="23">
        <f>D636*Q636</f>
        <v/>
      </c>
      <c r="S636" s="23">
        <f>R636*E636</f>
        <v/>
      </c>
      <c r="T636" s="23">
        <f>(R636-S636)*M636</f>
        <v/>
      </c>
      <c r="U636" s="23">
        <f>R636-S636-T636</f>
        <v/>
      </c>
      <c r="V636" s="23">
        <f>D636*P636</f>
        <v/>
      </c>
      <c r="W636" s="23">
        <f>U636-V636</f>
        <v/>
      </c>
      <c r="X636" s="24">
        <f>IFERROR(W636/U636,0)</f>
        <v/>
      </c>
    </row>
    <row r="637">
      <c r="A637" s="25">
        <f>ItensPedido!A637</f>
        <v/>
      </c>
      <c r="B637" s="25">
        <f>ItensPedido!B637</f>
        <v/>
      </c>
      <c r="C637" s="25">
        <f>ItensPedido!C637</f>
        <v/>
      </c>
      <c r="D637" s="25">
        <f>ItensPedido!D637</f>
        <v/>
      </c>
      <c r="E637" s="26">
        <f>ItensPedido!E637</f>
        <v/>
      </c>
      <c r="F637" s="25">
        <f>IFERROR(INDEX(Pedidos!$B$2:$B$1801,MATCH(B637,Pedidos!$A$2:$A$1801,0)),0)</f>
        <v/>
      </c>
      <c r="G637" s="25">
        <f>IF(F637=0,"",YEAR(F637))</f>
        <v/>
      </c>
      <c r="H637" s="25">
        <f>IF(F637=0,"",MONTH(F637))</f>
        <v/>
      </c>
      <c r="I637" s="25">
        <f>IFERROR(INDEX(Pedidos!$E$2:$E$1801,MATCH(B637,Pedidos!$A$2:$A$1801,0)),"")</f>
        <v/>
      </c>
      <c r="J637" s="25">
        <f>IFERROR(INDEX(Pedidos!$C$2:$C$1801,MATCH(B637,Pedidos!$A$2:$A$1801,0)),"")</f>
        <v/>
      </c>
      <c r="K637" s="25">
        <f>IFERROR(INDEX(Pedidos!$D$2:$D$1801,MATCH(B637,Pedidos!$A$2:$A$1801,0)),"")</f>
        <v/>
      </c>
      <c r="L637" s="25">
        <f>IFERROR(INDEX(Pedidos!$F$2:$F$1801,MATCH(B637,Pedidos!$A$2:$A$1801,0)),"")</f>
        <v/>
      </c>
      <c r="M637" s="26">
        <f>IFERROR(INDEX(Pedidos!$G$2:$G$1801,MATCH(B637,Pedidos!$A$2:$A$1801,0)),0)</f>
        <v/>
      </c>
      <c r="N637" s="25">
        <f>IFERROR(INDEX(Produtos!$B$2:$B$71,MATCH(C637,Produtos!$A$2:$A$71,0)),"")</f>
        <v/>
      </c>
      <c r="O637" s="25">
        <f>IFERROR(INDEX(Produtos!$C$2:$C$71,MATCH(C637,Produtos!$A$2:$A$71,0)),"")</f>
        <v/>
      </c>
      <c r="P637" s="25">
        <f>IFERROR(INDEX(Produtos!$D$2:$D$71,MATCH(C637,Produtos!$A$2:$A$71,0)),0)</f>
        <v/>
      </c>
      <c r="Q637" s="25">
        <f>IFERROR(INDEX(Produtos!$E$2:$E$71,MATCH(C637,Produtos!$A$2:$A$71,0)),0)</f>
        <v/>
      </c>
      <c r="R637" s="27">
        <f>D637*Q637</f>
        <v/>
      </c>
      <c r="S637" s="27">
        <f>R637*E637</f>
        <v/>
      </c>
      <c r="T637" s="27">
        <f>(R637-S637)*M637</f>
        <v/>
      </c>
      <c r="U637" s="27">
        <f>R637-S637-T637</f>
        <v/>
      </c>
      <c r="V637" s="27">
        <f>D637*P637</f>
        <v/>
      </c>
      <c r="W637" s="27">
        <f>U637-V637</f>
        <v/>
      </c>
      <c r="X637" s="28">
        <f>IFERROR(W637/U637,0)</f>
        <v/>
      </c>
    </row>
    <row r="638">
      <c r="A638" s="21">
        <f>ItensPedido!A638</f>
        <v/>
      </c>
      <c r="B638" s="21">
        <f>ItensPedido!B638</f>
        <v/>
      </c>
      <c r="C638" s="21">
        <f>ItensPedido!C638</f>
        <v/>
      </c>
      <c r="D638" s="21">
        <f>ItensPedido!D638</f>
        <v/>
      </c>
      <c r="E638" s="22">
        <f>ItensPedido!E638</f>
        <v/>
      </c>
      <c r="F638" s="21">
        <f>IFERROR(INDEX(Pedidos!$B$2:$B$1801,MATCH(B638,Pedidos!$A$2:$A$1801,0)),0)</f>
        <v/>
      </c>
      <c r="G638" s="21">
        <f>IF(F638=0,"",YEAR(F638))</f>
        <v/>
      </c>
      <c r="H638" s="21">
        <f>IF(F638=0,"",MONTH(F638))</f>
        <v/>
      </c>
      <c r="I638" s="21">
        <f>IFERROR(INDEX(Pedidos!$E$2:$E$1801,MATCH(B638,Pedidos!$A$2:$A$1801,0)),"")</f>
        <v/>
      </c>
      <c r="J638" s="21">
        <f>IFERROR(INDEX(Pedidos!$C$2:$C$1801,MATCH(B638,Pedidos!$A$2:$A$1801,0)),"")</f>
        <v/>
      </c>
      <c r="K638" s="21">
        <f>IFERROR(INDEX(Pedidos!$D$2:$D$1801,MATCH(B638,Pedidos!$A$2:$A$1801,0)),"")</f>
        <v/>
      </c>
      <c r="L638" s="21">
        <f>IFERROR(INDEX(Pedidos!$F$2:$F$1801,MATCH(B638,Pedidos!$A$2:$A$1801,0)),"")</f>
        <v/>
      </c>
      <c r="M638" s="22">
        <f>IFERROR(INDEX(Pedidos!$G$2:$G$1801,MATCH(B638,Pedidos!$A$2:$A$1801,0)),0)</f>
        <v/>
      </c>
      <c r="N638" s="21">
        <f>IFERROR(INDEX(Produtos!$B$2:$B$71,MATCH(C638,Produtos!$A$2:$A$71,0)),"")</f>
        <v/>
      </c>
      <c r="O638" s="21">
        <f>IFERROR(INDEX(Produtos!$C$2:$C$71,MATCH(C638,Produtos!$A$2:$A$71,0)),"")</f>
        <v/>
      </c>
      <c r="P638" s="21">
        <f>IFERROR(INDEX(Produtos!$D$2:$D$71,MATCH(C638,Produtos!$A$2:$A$71,0)),0)</f>
        <v/>
      </c>
      <c r="Q638" s="21">
        <f>IFERROR(INDEX(Produtos!$E$2:$E$71,MATCH(C638,Produtos!$A$2:$A$71,0)),0)</f>
        <v/>
      </c>
      <c r="R638" s="23">
        <f>D638*Q638</f>
        <v/>
      </c>
      <c r="S638" s="23">
        <f>R638*E638</f>
        <v/>
      </c>
      <c r="T638" s="23">
        <f>(R638-S638)*M638</f>
        <v/>
      </c>
      <c r="U638" s="23">
        <f>R638-S638-T638</f>
        <v/>
      </c>
      <c r="V638" s="23">
        <f>D638*P638</f>
        <v/>
      </c>
      <c r="W638" s="23">
        <f>U638-V638</f>
        <v/>
      </c>
      <c r="X638" s="24">
        <f>IFERROR(W638/U638,0)</f>
        <v/>
      </c>
    </row>
    <row r="639">
      <c r="A639" s="25">
        <f>ItensPedido!A639</f>
        <v/>
      </c>
      <c r="B639" s="25">
        <f>ItensPedido!B639</f>
        <v/>
      </c>
      <c r="C639" s="25">
        <f>ItensPedido!C639</f>
        <v/>
      </c>
      <c r="D639" s="25">
        <f>ItensPedido!D639</f>
        <v/>
      </c>
      <c r="E639" s="26">
        <f>ItensPedido!E639</f>
        <v/>
      </c>
      <c r="F639" s="25">
        <f>IFERROR(INDEX(Pedidos!$B$2:$B$1801,MATCH(B639,Pedidos!$A$2:$A$1801,0)),0)</f>
        <v/>
      </c>
      <c r="G639" s="25">
        <f>IF(F639=0,"",YEAR(F639))</f>
        <v/>
      </c>
      <c r="H639" s="25">
        <f>IF(F639=0,"",MONTH(F639))</f>
        <v/>
      </c>
      <c r="I639" s="25">
        <f>IFERROR(INDEX(Pedidos!$E$2:$E$1801,MATCH(B639,Pedidos!$A$2:$A$1801,0)),"")</f>
        <v/>
      </c>
      <c r="J639" s="25">
        <f>IFERROR(INDEX(Pedidos!$C$2:$C$1801,MATCH(B639,Pedidos!$A$2:$A$1801,0)),"")</f>
        <v/>
      </c>
      <c r="K639" s="25">
        <f>IFERROR(INDEX(Pedidos!$D$2:$D$1801,MATCH(B639,Pedidos!$A$2:$A$1801,0)),"")</f>
        <v/>
      </c>
      <c r="L639" s="25">
        <f>IFERROR(INDEX(Pedidos!$F$2:$F$1801,MATCH(B639,Pedidos!$A$2:$A$1801,0)),"")</f>
        <v/>
      </c>
      <c r="M639" s="26">
        <f>IFERROR(INDEX(Pedidos!$G$2:$G$1801,MATCH(B639,Pedidos!$A$2:$A$1801,0)),0)</f>
        <v/>
      </c>
      <c r="N639" s="25">
        <f>IFERROR(INDEX(Produtos!$B$2:$B$71,MATCH(C639,Produtos!$A$2:$A$71,0)),"")</f>
        <v/>
      </c>
      <c r="O639" s="25">
        <f>IFERROR(INDEX(Produtos!$C$2:$C$71,MATCH(C639,Produtos!$A$2:$A$71,0)),"")</f>
        <v/>
      </c>
      <c r="P639" s="25">
        <f>IFERROR(INDEX(Produtos!$D$2:$D$71,MATCH(C639,Produtos!$A$2:$A$71,0)),0)</f>
        <v/>
      </c>
      <c r="Q639" s="25">
        <f>IFERROR(INDEX(Produtos!$E$2:$E$71,MATCH(C639,Produtos!$A$2:$A$71,0)),0)</f>
        <v/>
      </c>
      <c r="R639" s="27">
        <f>D639*Q639</f>
        <v/>
      </c>
      <c r="S639" s="27">
        <f>R639*E639</f>
        <v/>
      </c>
      <c r="T639" s="27">
        <f>(R639-S639)*M639</f>
        <v/>
      </c>
      <c r="U639" s="27">
        <f>R639-S639-T639</f>
        <v/>
      </c>
      <c r="V639" s="27">
        <f>D639*P639</f>
        <v/>
      </c>
      <c r="W639" s="27">
        <f>U639-V639</f>
        <v/>
      </c>
      <c r="X639" s="28">
        <f>IFERROR(W639/U639,0)</f>
        <v/>
      </c>
    </row>
    <row r="640">
      <c r="A640" s="21">
        <f>ItensPedido!A640</f>
        <v/>
      </c>
      <c r="B640" s="21">
        <f>ItensPedido!B640</f>
        <v/>
      </c>
      <c r="C640" s="21">
        <f>ItensPedido!C640</f>
        <v/>
      </c>
      <c r="D640" s="21">
        <f>ItensPedido!D640</f>
        <v/>
      </c>
      <c r="E640" s="22">
        <f>ItensPedido!E640</f>
        <v/>
      </c>
      <c r="F640" s="21">
        <f>IFERROR(INDEX(Pedidos!$B$2:$B$1801,MATCH(B640,Pedidos!$A$2:$A$1801,0)),0)</f>
        <v/>
      </c>
      <c r="G640" s="21">
        <f>IF(F640=0,"",YEAR(F640))</f>
        <v/>
      </c>
      <c r="H640" s="21">
        <f>IF(F640=0,"",MONTH(F640))</f>
        <v/>
      </c>
      <c r="I640" s="21">
        <f>IFERROR(INDEX(Pedidos!$E$2:$E$1801,MATCH(B640,Pedidos!$A$2:$A$1801,0)),"")</f>
        <v/>
      </c>
      <c r="J640" s="21">
        <f>IFERROR(INDEX(Pedidos!$C$2:$C$1801,MATCH(B640,Pedidos!$A$2:$A$1801,0)),"")</f>
        <v/>
      </c>
      <c r="K640" s="21">
        <f>IFERROR(INDEX(Pedidos!$D$2:$D$1801,MATCH(B640,Pedidos!$A$2:$A$1801,0)),"")</f>
        <v/>
      </c>
      <c r="L640" s="21">
        <f>IFERROR(INDEX(Pedidos!$F$2:$F$1801,MATCH(B640,Pedidos!$A$2:$A$1801,0)),"")</f>
        <v/>
      </c>
      <c r="M640" s="22">
        <f>IFERROR(INDEX(Pedidos!$G$2:$G$1801,MATCH(B640,Pedidos!$A$2:$A$1801,0)),0)</f>
        <v/>
      </c>
      <c r="N640" s="21">
        <f>IFERROR(INDEX(Produtos!$B$2:$B$71,MATCH(C640,Produtos!$A$2:$A$71,0)),"")</f>
        <v/>
      </c>
      <c r="O640" s="21">
        <f>IFERROR(INDEX(Produtos!$C$2:$C$71,MATCH(C640,Produtos!$A$2:$A$71,0)),"")</f>
        <v/>
      </c>
      <c r="P640" s="21">
        <f>IFERROR(INDEX(Produtos!$D$2:$D$71,MATCH(C640,Produtos!$A$2:$A$71,0)),0)</f>
        <v/>
      </c>
      <c r="Q640" s="21">
        <f>IFERROR(INDEX(Produtos!$E$2:$E$71,MATCH(C640,Produtos!$A$2:$A$71,0)),0)</f>
        <v/>
      </c>
      <c r="R640" s="23">
        <f>D640*Q640</f>
        <v/>
      </c>
      <c r="S640" s="23">
        <f>R640*E640</f>
        <v/>
      </c>
      <c r="T640" s="23">
        <f>(R640-S640)*M640</f>
        <v/>
      </c>
      <c r="U640" s="23">
        <f>R640-S640-T640</f>
        <v/>
      </c>
      <c r="V640" s="23">
        <f>D640*P640</f>
        <v/>
      </c>
      <c r="W640" s="23">
        <f>U640-V640</f>
        <v/>
      </c>
      <c r="X640" s="24">
        <f>IFERROR(W640/U640,0)</f>
        <v/>
      </c>
    </row>
    <row r="641">
      <c r="A641" s="25">
        <f>ItensPedido!A641</f>
        <v/>
      </c>
      <c r="B641" s="25">
        <f>ItensPedido!B641</f>
        <v/>
      </c>
      <c r="C641" s="25">
        <f>ItensPedido!C641</f>
        <v/>
      </c>
      <c r="D641" s="25">
        <f>ItensPedido!D641</f>
        <v/>
      </c>
      <c r="E641" s="26">
        <f>ItensPedido!E641</f>
        <v/>
      </c>
      <c r="F641" s="25">
        <f>IFERROR(INDEX(Pedidos!$B$2:$B$1801,MATCH(B641,Pedidos!$A$2:$A$1801,0)),0)</f>
        <v/>
      </c>
      <c r="G641" s="25">
        <f>IF(F641=0,"",YEAR(F641))</f>
        <v/>
      </c>
      <c r="H641" s="25">
        <f>IF(F641=0,"",MONTH(F641))</f>
        <v/>
      </c>
      <c r="I641" s="25">
        <f>IFERROR(INDEX(Pedidos!$E$2:$E$1801,MATCH(B641,Pedidos!$A$2:$A$1801,0)),"")</f>
        <v/>
      </c>
      <c r="J641" s="25">
        <f>IFERROR(INDEX(Pedidos!$C$2:$C$1801,MATCH(B641,Pedidos!$A$2:$A$1801,0)),"")</f>
        <v/>
      </c>
      <c r="K641" s="25">
        <f>IFERROR(INDEX(Pedidos!$D$2:$D$1801,MATCH(B641,Pedidos!$A$2:$A$1801,0)),"")</f>
        <v/>
      </c>
      <c r="L641" s="25">
        <f>IFERROR(INDEX(Pedidos!$F$2:$F$1801,MATCH(B641,Pedidos!$A$2:$A$1801,0)),"")</f>
        <v/>
      </c>
      <c r="M641" s="26">
        <f>IFERROR(INDEX(Pedidos!$G$2:$G$1801,MATCH(B641,Pedidos!$A$2:$A$1801,0)),0)</f>
        <v/>
      </c>
      <c r="N641" s="25">
        <f>IFERROR(INDEX(Produtos!$B$2:$B$71,MATCH(C641,Produtos!$A$2:$A$71,0)),"")</f>
        <v/>
      </c>
      <c r="O641" s="25">
        <f>IFERROR(INDEX(Produtos!$C$2:$C$71,MATCH(C641,Produtos!$A$2:$A$71,0)),"")</f>
        <v/>
      </c>
      <c r="P641" s="25">
        <f>IFERROR(INDEX(Produtos!$D$2:$D$71,MATCH(C641,Produtos!$A$2:$A$71,0)),0)</f>
        <v/>
      </c>
      <c r="Q641" s="25">
        <f>IFERROR(INDEX(Produtos!$E$2:$E$71,MATCH(C641,Produtos!$A$2:$A$71,0)),0)</f>
        <v/>
      </c>
      <c r="R641" s="27">
        <f>D641*Q641</f>
        <v/>
      </c>
      <c r="S641" s="27">
        <f>R641*E641</f>
        <v/>
      </c>
      <c r="T641" s="27">
        <f>(R641-S641)*M641</f>
        <v/>
      </c>
      <c r="U641" s="27">
        <f>R641-S641-T641</f>
        <v/>
      </c>
      <c r="V641" s="27">
        <f>D641*P641</f>
        <v/>
      </c>
      <c r="W641" s="27">
        <f>U641-V641</f>
        <v/>
      </c>
      <c r="X641" s="28">
        <f>IFERROR(W641/U641,0)</f>
        <v/>
      </c>
    </row>
    <row r="642">
      <c r="A642" s="21">
        <f>ItensPedido!A642</f>
        <v/>
      </c>
      <c r="B642" s="21">
        <f>ItensPedido!B642</f>
        <v/>
      </c>
      <c r="C642" s="21">
        <f>ItensPedido!C642</f>
        <v/>
      </c>
      <c r="D642" s="21">
        <f>ItensPedido!D642</f>
        <v/>
      </c>
      <c r="E642" s="22">
        <f>ItensPedido!E642</f>
        <v/>
      </c>
      <c r="F642" s="21">
        <f>IFERROR(INDEX(Pedidos!$B$2:$B$1801,MATCH(B642,Pedidos!$A$2:$A$1801,0)),0)</f>
        <v/>
      </c>
      <c r="G642" s="21">
        <f>IF(F642=0,"",YEAR(F642))</f>
        <v/>
      </c>
      <c r="H642" s="21">
        <f>IF(F642=0,"",MONTH(F642))</f>
        <v/>
      </c>
      <c r="I642" s="21">
        <f>IFERROR(INDEX(Pedidos!$E$2:$E$1801,MATCH(B642,Pedidos!$A$2:$A$1801,0)),"")</f>
        <v/>
      </c>
      <c r="J642" s="21">
        <f>IFERROR(INDEX(Pedidos!$C$2:$C$1801,MATCH(B642,Pedidos!$A$2:$A$1801,0)),"")</f>
        <v/>
      </c>
      <c r="K642" s="21">
        <f>IFERROR(INDEX(Pedidos!$D$2:$D$1801,MATCH(B642,Pedidos!$A$2:$A$1801,0)),"")</f>
        <v/>
      </c>
      <c r="L642" s="21">
        <f>IFERROR(INDEX(Pedidos!$F$2:$F$1801,MATCH(B642,Pedidos!$A$2:$A$1801,0)),"")</f>
        <v/>
      </c>
      <c r="M642" s="22">
        <f>IFERROR(INDEX(Pedidos!$G$2:$G$1801,MATCH(B642,Pedidos!$A$2:$A$1801,0)),0)</f>
        <v/>
      </c>
      <c r="N642" s="21">
        <f>IFERROR(INDEX(Produtos!$B$2:$B$71,MATCH(C642,Produtos!$A$2:$A$71,0)),"")</f>
        <v/>
      </c>
      <c r="O642" s="21">
        <f>IFERROR(INDEX(Produtos!$C$2:$C$71,MATCH(C642,Produtos!$A$2:$A$71,0)),"")</f>
        <v/>
      </c>
      <c r="P642" s="21">
        <f>IFERROR(INDEX(Produtos!$D$2:$D$71,MATCH(C642,Produtos!$A$2:$A$71,0)),0)</f>
        <v/>
      </c>
      <c r="Q642" s="21">
        <f>IFERROR(INDEX(Produtos!$E$2:$E$71,MATCH(C642,Produtos!$A$2:$A$71,0)),0)</f>
        <v/>
      </c>
      <c r="R642" s="23">
        <f>D642*Q642</f>
        <v/>
      </c>
      <c r="S642" s="23">
        <f>R642*E642</f>
        <v/>
      </c>
      <c r="T642" s="23">
        <f>(R642-S642)*M642</f>
        <v/>
      </c>
      <c r="U642" s="23">
        <f>R642-S642-T642</f>
        <v/>
      </c>
      <c r="V642" s="23">
        <f>D642*P642</f>
        <v/>
      </c>
      <c r="W642" s="23">
        <f>U642-V642</f>
        <v/>
      </c>
      <c r="X642" s="24">
        <f>IFERROR(W642/U642,0)</f>
        <v/>
      </c>
    </row>
    <row r="643">
      <c r="A643" s="25">
        <f>ItensPedido!A643</f>
        <v/>
      </c>
      <c r="B643" s="25">
        <f>ItensPedido!B643</f>
        <v/>
      </c>
      <c r="C643" s="25">
        <f>ItensPedido!C643</f>
        <v/>
      </c>
      <c r="D643" s="25">
        <f>ItensPedido!D643</f>
        <v/>
      </c>
      <c r="E643" s="26">
        <f>ItensPedido!E643</f>
        <v/>
      </c>
      <c r="F643" s="25">
        <f>IFERROR(INDEX(Pedidos!$B$2:$B$1801,MATCH(B643,Pedidos!$A$2:$A$1801,0)),0)</f>
        <v/>
      </c>
      <c r="G643" s="25">
        <f>IF(F643=0,"",YEAR(F643))</f>
        <v/>
      </c>
      <c r="H643" s="25">
        <f>IF(F643=0,"",MONTH(F643))</f>
        <v/>
      </c>
      <c r="I643" s="25">
        <f>IFERROR(INDEX(Pedidos!$E$2:$E$1801,MATCH(B643,Pedidos!$A$2:$A$1801,0)),"")</f>
        <v/>
      </c>
      <c r="J643" s="25">
        <f>IFERROR(INDEX(Pedidos!$C$2:$C$1801,MATCH(B643,Pedidos!$A$2:$A$1801,0)),"")</f>
        <v/>
      </c>
      <c r="K643" s="25">
        <f>IFERROR(INDEX(Pedidos!$D$2:$D$1801,MATCH(B643,Pedidos!$A$2:$A$1801,0)),"")</f>
        <v/>
      </c>
      <c r="L643" s="25">
        <f>IFERROR(INDEX(Pedidos!$F$2:$F$1801,MATCH(B643,Pedidos!$A$2:$A$1801,0)),"")</f>
        <v/>
      </c>
      <c r="M643" s="26">
        <f>IFERROR(INDEX(Pedidos!$G$2:$G$1801,MATCH(B643,Pedidos!$A$2:$A$1801,0)),0)</f>
        <v/>
      </c>
      <c r="N643" s="25">
        <f>IFERROR(INDEX(Produtos!$B$2:$B$71,MATCH(C643,Produtos!$A$2:$A$71,0)),"")</f>
        <v/>
      </c>
      <c r="O643" s="25">
        <f>IFERROR(INDEX(Produtos!$C$2:$C$71,MATCH(C643,Produtos!$A$2:$A$71,0)),"")</f>
        <v/>
      </c>
      <c r="P643" s="25">
        <f>IFERROR(INDEX(Produtos!$D$2:$D$71,MATCH(C643,Produtos!$A$2:$A$71,0)),0)</f>
        <v/>
      </c>
      <c r="Q643" s="25">
        <f>IFERROR(INDEX(Produtos!$E$2:$E$71,MATCH(C643,Produtos!$A$2:$A$71,0)),0)</f>
        <v/>
      </c>
      <c r="R643" s="27">
        <f>D643*Q643</f>
        <v/>
      </c>
      <c r="S643" s="27">
        <f>R643*E643</f>
        <v/>
      </c>
      <c r="T643" s="27">
        <f>(R643-S643)*M643</f>
        <v/>
      </c>
      <c r="U643" s="27">
        <f>R643-S643-T643</f>
        <v/>
      </c>
      <c r="V643" s="27">
        <f>D643*P643</f>
        <v/>
      </c>
      <c r="W643" s="27">
        <f>U643-V643</f>
        <v/>
      </c>
      <c r="X643" s="28">
        <f>IFERROR(W643/U643,0)</f>
        <v/>
      </c>
    </row>
    <row r="644">
      <c r="A644" s="21">
        <f>ItensPedido!A644</f>
        <v/>
      </c>
      <c r="B644" s="21">
        <f>ItensPedido!B644</f>
        <v/>
      </c>
      <c r="C644" s="21">
        <f>ItensPedido!C644</f>
        <v/>
      </c>
      <c r="D644" s="21">
        <f>ItensPedido!D644</f>
        <v/>
      </c>
      <c r="E644" s="22">
        <f>ItensPedido!E644</f>
        <v/>
      </c>
      <c r="F644" s="21">
        <f>IFERROR(INDEX(Pedidos!$B$2:$B$1801,MATCH(B644,Pedidos!$A$2:$A$1801,0)),0)</f>
        <v/>
      </c>
      <c r="G644" s="21">
        <f>IF(F644=0,"",YEAR(F644))</f>
        <v/>
      </c>
      <c r="H644" s="21">
        <f>IF(F644=0,"",MONTH(F644))</f>
        <v/>
      </c>
      <c r="I644" s="21">
        <f>IFERROR(INDEX(Pedidos!$E$2:$E$1801,MATCH(B644,Pedidos!$A$2:$A$1801,0)),"")</f>
        <v/>
      </c>
      <c r="J644" s="21">
        <f>IFERROR(INDEX(Pedidos!$C$2:$C$1801,MATCH(B644,Pedidos!$A$2:$A$1801,0)),"")</f>
        <v/>
      </c>
      <c r="K644" s="21">
        <f>IFERROR(INDEX(Pedidos!$D$2:$D$1801,MATCH(B644,Pedidos!$A$2:$A$1801,0)),"")</f>
        <v/>
      </c>
      <c r="L644" s="21">
        <f>IFERROR(INDEX(Pedidos!$F$2:$F$1801,MATCH(B644,Pedidos!$A$2:$A$1801,0)),"")</f>
        <v/>
      </c>
      <c r="M644" s="22">
        <f>IFERROR(INDEX(Pedidos!$G$2:$G$1801,MATCH(B644,Pedidos!$A$2:$A$1801,0)),0)</f>
        <v/>
      </c>
      <c r="N644" s="21">
        <f>IFERROR(INDEX(Produtos!$B$2:$B$71,MATCH(C644,Produtos!$A$2:$A$71,0)),"")</f>
        <v/>
      </c>
      <c r="O644" s="21">
        <f>IFERROR(INDEX(Produtos!$C$2:$C$71,MATCH(C644,Produtos!$A$2:$A$71,0)),"")</f>
        <v/>
      </c>
      <c r="P644" s="21">
        <f>IFERROR(INDEX(Produtos!$D$2:$D$71,MATCH(C644,Produtos!$A$2:$A$71,0)),0)</f>
        <v/>
      </c>
      <c r="Q644" s="21">
        <f>IFERROR(INDEX(Produtos!$E$2:$E$71,MATCH(C644,Produtos!$A$2:$A$71,0)),0)</f>
        <v/>
      </c>
      <c r="R644" s="23">
        <f>D644*Q644</f>
        <v/>
      </c>
      <c r="S644" s="23">
        <f>R644*E644</f>
        <v/>
      </c>
      <c r="T644" s="23">
        <f>(R644-S644)*M644</f>
        <v/>
      </c>
      <c r="U644" s="23">
        <f>R644-S644-T644</f>
        <v/>
      </c>
      <c r="V644" s="23">
        <f>D644*P644</f>
        <v/>
      </c>
      <c r="W644" s="23">
        <f>U644-V644</f>
        <v/>
      </c>
      <c r="X644" s="24">
        <f>IFERROR(W644/U644,0)</f>
        <v/>
      </c>
    </row>
    <row r="645">
      <c r="A645" s="25">
        <f>ItensPedido!A645</f>
        <v/>
      </c>
      <c r="B645" s="25">
        <f>ItensPedido!B645</f>
        <v/>
      </c>
      <c r="C645" s="25">
        <f>ItensPedido!C645</f>
        <v/>
      </c>
      <c r="D645" s="25">
        <f>ItensPedido!D645</f>
        <v/>
      </c>
      <c r="E645" s="26">
        <f>ItensPedido!E645</f>
        <v/>
      </c>
      <c r="F645" s="25">
        <f>IFERROR(INDEX(Pedidos!$B$2:$B$1801,MATCH(B645,Pedidos!$A$2:$A$1801,0)),0)</f>
        <v/>
      </c>
      <c r="G645" s="25">
        <f>IF(F645=0,"",YEAR(F645))</f>
        <v/>
      </c>
      <c r="H645" s="25">
        <f>IF(F645=0,"",MONTH(F645))</f>
        <v/>
      </c>
      <c r="I645" s="25">
        <f>IFERROR(INDEX(Pedidos!$E$2:$E$1801,MATCH(B645,Pedidos!$A$2:$A$1801,0)),"")</f>
        <v/>
      </c>
      <c r="J645" s="25">
        <f>IFERROR(INDEX(Pedidos!$C$2:$C$1801,MATCH(B645,Pedidos!$A$2:$A$1801,0)),"")</f>
        <v/>
      </c>
      <c r="K645" s="25">
        <f>IFERROR(INDEX(Pedidos!$D$2:$D$1801,MATCH(B645,Pedidos!$A$2:$A$1801,0)),"")</f>
        <v/>
      </c>
      <c r="L645" s="25">
        <f>IFERROR(INDEX(Pedidos!$F$2:$F$1801,MATCH(B645,Pedidos!$A$2:$A$1801,0)),"")</f>
        <v/>
      </c>
      <c r="M645" s="26">
        <f>IFERROR(INDEX(Pedidos!$G$2:$G$1801,MATCH(B645,Pedidos!$A$2:$A$1801,0)),0)</f>
        <v/>
      </c>
      <c r="N645" s="25">
        <f>IFERROR(INDEX(Produtos!$B$2:$B$71,MATCH(C645,Produtos!$A$2:$A$71,0)),"")</f>
        <v/>
      </c>
      <c r="O645" s="25">
        <f>IFERROR(INDEX(Produtos!$C$2:$C$71,MATCH(C645,Produtos!$A$2:$A$71,0)),"")</f>
        <v/>
      </c>
      <c r="P645" s="25">
        <f>IFERROR(INDEX(Produtos!$D$2:$D$71,MATCH(C645,Produtos!$A$2:$A$71,0)),0)</f>
        <v/>
      </c>
      <c r="Q645" s="25">
        <f>IFERROR(INDEX(Produtos!$E$2:$E$71,MATCH(C645,Produtos!$A$2:$A$71,0)),0)</f>
        <v/>
      </c>
      <c r="R645" s="27">
        <f>D645*Q645</f>
        <v/>
      </c>
      <c r="S645" s="27">
        <f>R645*E645</f>
        <v/>
      </c>
      <c r="T645" s="27">
        <f>(R645-S645)*M645</f>
        <v/>
      </c>
      <c r="U645" s="27">
        <f>R645-S645-T645</f>
        <v/>
      </c>
      <c r="V645" s="27">
        <f>D645*P645</f>
        <v/>
      </c>
      <c r="W645" s="27">
        <f>U645-V645</f>
        <v/>
      </c>
      <c r="X645" s="28">
        <f>IFERROR(W645/U645,0)</f>
        <v/>
      </c>
    </row>
    <row r="646">
      <c r="A646" s="21">
        <f>ItensPedido!A646</f>
        <v/>
      </c>
      <c r="B646" s="21">
        <f>ItensPedido!B646</f>
        <v/>
      </c>
      <c r="C646" s="21">
        <f>ItensPedido!C646</f>
        <v/>
      </c>
      <c r="D646" s="21">
        <f>ItensPedido!D646</f>
        <v/>
      </c>
      <c r="E646" s="22">
        <f>ItensPedido!E646</f>
        <v/>
      </c>
      <c r="F646" s="21">
        <f>IFERROR(INDEX(Pedidos!$B$2:$B$1801,MATCH(B646,Pedidos!$A$2:$A$1801,0)),0)</f>
        <v/>
      </c>
      <c r="G646" s="21">
        <f>IF(F646=0,"",YEAR(F646))</f>
        <v/>
      </c>
      <c r="H646" s="21">
        <f>IF(F646=0,"",MONTH(F646))</f>
        <v/>
      </c>
      <c r="I646" s="21">
        <f>IFERROR(INDEX(Pedidos!$E$2:$E$1801,MATCH(B646,Pedidos!$A$2:$A$1801,0)),"")</f>
        <v/>
      </c>
      <c r="J646" s="21">
        <f>IFERROR(INDEX(Pedidos!$C$2:$C$1801,MATCH(B646,Pedidos!$A$2:$A$1801,0)),"")</f>
        <v/>
      </c>
      <c r="K646" s="21">
        <f>IFERROR(INDEX(Pedidos!$D$2:$D$1801,MATCH(B646,Pedidos!$A$2:$A$1801,0)),"")</f>
        <v/>
      </c>
      <c r="L646" s="21">
        <f>IFERROR(INDEX(Pedidos!$F$2:$F$1801,MATCH(B646,Pedidos!$A$2:$A$1801,0)),"")</f>
        <v/>
      </c>
      <c r="M646" s="22">
        <f>IFERROR(INDEX(Pedidos!$G$2:$G$1801,MATCH(B646,Pedidos!$A$2:$A$1801,0)),0)</f>
        <v/>
      </c>
      <c r="N646" s="21">
        <f>IFERROR(INDEX(Produtos!$B$2:$B$71,MATCH(C646,Produtos!$A$2:$A$71,0)),"")</f>
        <v/>
      </c>
      <c r="O646" s="21">
        <f>IFERROR(INDEX(Produtos!$C$2:$C$71,MATCH(C646,Produtos!$A$2:$A$71,0)),"")</f>
        <v/>
      </c>
      <c r="P646" s="21">
        <f>IFERROR(INDEX(Produtos!$D$2:$D$71,MATCH(C646,Produtos!$A$2:$A$71,0)),0)</f>
        <v/>
      </c>
      <c r="Q646" s="21">
        <f>IFERROR(INDEX(Produtos!$E$2:$E$71,MATCH(C646,Produtos!$A$2:$A$71,0)),0)</f>
        <v/>
      </c>
      <c r="R646" s="23">
        <f>D646*Q646</f>
        <v/>
      </c>
      <c r="S646" s="23">
        <f>R646*E646</f>
        <v/>
      </c>
      <c r="T646" s="23">
        <f>(R646-S646)*M646</f>
        <v/>
      </c>
      <c r="U646" s="23">
        <f>R646-S646-T646</f>
        <v/>
      </c>
      <c r="V646" s="23">
        <f>D646*P646</f>
        <v/>
      </c>
      <c r="W646" s="23">
        <f>U646-V646</f>
        <v/>
      </c>
      <c r="X646" s="24">
        <f>IFERROR(W646/U646,0)</f>
        <v/>
      </c>
    </row>
    <row r="647">
      <c r="A647" s="25">
        <f>ItensPedido!A647</f>
        <v/>
      </c>
      <c r="B647" s="25">
        <f>ItensPedido!B647</f>
        <v/>
      </c>
      <c r="C647" s="25">
        <f>ItensPedido!C647</f>
        <v/>
      </c>
      <c r="D647" s="25">
        <f>ItensPedido!D647</f>
        <v/>
      </c>
      <c r="E647" s="26">
        <f>ItensPedido!E647</f>
        <v/>
      </c>
      <c r="F647" s="25">
        <f>IFERROR(INDEX(Pedidos!$B$2:$B$1801,MATCH(B647,Pedidos!$A$2:$A$1801,0)),0)</f>
        <v/>
      </c>
      <c r="G647" s="25">
        <f>IF(F647=0,"",YEAR(F647))</f>
        <v/>
      </c>
      <c r="H647" s="25">
        <f>IF(F647=0,"",MONTH(F647))</f>
        <v/>
      </c>
      <c r="I647" s="25">
        <f>IFERROR(INDEX(Pedidos!$E$2:$E$1801,MATCH(B647,Pedidos!$A$2:$A$1801,0)),"")</f>
        <v/>
      </c>
      <c r="J647" s="25">
        <f>IFERROR(INDEX(Pedidos!$C$2:$C$1801,MATCH(B647,Pedidos!$A$2:$A$1801,0)),"")</f>
        <v/>
      </c>
      <c r="K647" s="25">
        <f>IFERROR(INDEX(Pedidos!$D$2:$D$1801,MATCH(B647,Pedidos!$A$2:$A$1801,0)),"")</f>
        <v/>
      </c>
      <c r="L647" s="25">
        <f>IFERROR(INDEX(Pedidos!$F$2:$F$1801,MATCH(B647,Pedidos!$A$2:$A$1801,0)),"")</f>
        <v/>
      </c>
      <c r="M647" s="26">
        <f>IFERROR(INDEX(Pedidos!$G$2:$G$1801,MATCH(B647,Pedidos!$A$2:$A$1801,0)),0)</f>
        <v/>
      </c>
      <c r="N647" s="25">
        <f>IFERROR(INDEX(Produtos!$B$2:$B$71,MATCH(C647,Produtos!$A$2:$A$71,0)),"")</f>
        <v/>
      </c>
      <c r="O647" s="25">
        <f>IFERROR(INDEX(Produtos!$C$2:$C$71,MATCH(C647,Produtos!$A$2:$A$71,0)),"")</f>
        <v/>
      </c>
      <c r="P647" s="25">
        <f>IFERROR(INDEX(Produtos!$D$2:$D$71,MATCH(C647,Produtos!$A$2:$A$71,0)),0)</f>
        <v/>
      </c>
      <c r="Q647" s="25">
        <f>IFERROR(INDEX(Produtos!$E$2:$E$71,MATCH(C647,Produtos!$A$2:$A$71,0)),0)</f>
        <v/>
      </c>
      <c r="R647" s="27">
        <f>D647*Q647</f>
        <v/>
      </c>
      <c r="S647" s="27">
        <f>R647*E647</f>
        <v/>
      </c>
      <c r="T647" s="27">
        <f>(R647-S647)*M647</f>
        <v/>
      </c>
      <c r="U647" s="27">
        <f>R647-S647-T647</f>
        <v/>
      </c>
      <c r="V647" s="27">
        <f>D647*P647</f>
        <v/>
      </c>
      <c r="W647" s="27">
        <f>U647-V647</f>
        <v/>
      </c>
      <c r="X647" s="28">
        <f>IFERROR(W647/U647,0)</f>
        <v/>
      </c>
    </row>
    <row r="648">
      <c r="A648" s="21">
        <f>ItensPedido!A648</f>
        <v/>
      </c>
      <c r="B648" s="21">
        <f>ItensPedido!B648</f>
        <v/>
      </c>
      <c r="C648" s="21">
        <f>ItensPedido!C648</f>
        <v/>
      </c>
      <c r="D648" s="21">
        <f>ItensPedido!D648</f>
        <v/>
      </c>
      <c r="E648" s="22">
        <f>ItensPedido!E648</f>
        <v/>
      </c>
      <c r="F648" s="21">
        <f>IFERROR(INDEX(Pedidos!$B$2:$B$1801,MATCH(B648,Pedidos!$A$2:$A$1801,0)),0)</f>
        <v/>
      </c>
      <c r="G648" s="21">
        <f>IF(F648=0,"",YEAR(F648))</f>
        <v/>
      </c>
      <c r="H648" s="21">
        <f>IF(F648=0,"",MONTH(F648))</f>
        <v/>
      </c>
      <c r="I648" s="21">
        <f>IFERROR(INDEX(Pedidos!$E$2:$E$1801,MATCH(B648,Pedidos!$A$2:$A$1801,0)),"")</f>
        <v/>
      </c>
      <c r="J648" s="21">
        <f>IFERROR(INDEX(Pedidos!$C$2:$C$1801,MATCH(B648,Pedidos!$A$2:$A$1801,0)),"")</f>
        <v/>
      </c>
      <c r="K648" s="21">
        <f>IFERROR(INDEX(Pedidos!$D$2:$D$1801,MATCH(B648,Pedidos!$A$2:$A$1801,0)),"")</f>
        <v/>
      </c>
      <c r="L648" s="21">
        <f>IFERROR(INDEX(Pedidos!$F$2:$F$1801,MATCH(B648,Pedidos!$A$2:$A$1801,0)),"")</f>
        <v/>
      </c>
      <c r="M648" s="22">
        <f>IFERROR(INDEX(Pedidos!$G$2:$G$1801,MATCH(B648,Pedidos!$A$2:$A$1801,0)),0)</f>
        <v/>
      </c>
      <c r="N648" s="21">
        <f>IFERROR(INDEX(Produtos!$B$2:$B$71,MATCH(C648,Produtos!$A$2:$A$71,0)),"")</f>
        <v/>
      </c>
      <c r="O648" s="21">
        <f>IFERROR(INDEX(Produtos!$C$2:$C$71,MATCH(C648,Produtos!$A$2:$A$71,0)),"")</f>
        <v/>
      </c>
      <c r="P648" s="21">
        <f>IFERROR(INDEX(Produtos!$D$2:$D$71,MATCH(C648,Produtos!$A$2:$A$71,0)),0)</f>
        <v/>
      </c>
      <c r="Q648" s="21">
        <f>IFERROR(INDEX(Produtos!$E$2:$E$71,MATCH(C648,Produtos!$A$2:$A$71,0)),0)</f>
        <v/>
      </c>
      <c r="R648" s="23">
        <f>D648*Q648</f>
        <v/>
      </c>
      <c r="S648" s="23">
        <f>R648*E648</f>
        <v/>
      </c>
      <c r="T648" s="23">
        <f>(R648-S648)*M648</f>
        <v/>
      </c>
      <c r="U648" s="23">
        <f>R648-S648-T648</f>
        <v/>
      </c>
      <c r="V648" s="23">
        <f>D648*P648</f>
        <v/>
      </c>
      <c r="W648" s="23">
        <f>U648-V648</f>
        <v/>
      </c>
      <c r="X648" s="24">
        <f>IFERROR(W648/U648,0)</f>
        <v/>
      </c>
    </row>
    <row r="649">
      <c r="A649" s="25">
        <f>ItensPedido!A649</f>
        <v/>
      </c>
      <c r="B649" s="25">
        <f>ItensPedido!B649</f>
        <v/>
      </c>
      <c r="C649" s="25">
        <f>ItensPedido!C649</f>
        <v/>
      </c>
      <c r="D649" s="25">
        <f>ItensPedido!D649</f>
        <v/>
      </c>
      <c r="E649" s="26">
        <f>ItensPedido!E649</f>
        <v/>
      </c>
      <c r="F649" s="25">
        <f>IFERROR(INDEX(Pedidos!$B$2:$B$1801,MATCH(B649,Pedidos!$A$2:$A$1801,0)),0)</f>
        <v/>
      </c>
      <c r="G649" s="25">
        <f>IF(F649=0,"",YEAR(F649))</f>
        <v/>
      </c>
      <c r="H649" s="25">
        <f>IF(F649=0,"",MONTH(F649))</f>
        <v/>
      </c>
      <c r="I649" s="25">
        <f>IFERROR(INDEX(Pedidos!$E$2:$E$1801,MATCH(B649,Pedidos!$A$2:$A$1801,0)),"")</f>
        <v/>
      </c>
      <c r="J649" s="25">
        <f>IFERROR(INDEX(Pedidos!$C$2:$C$1801,MATCH(B649,Pedidos!$A$2:$A$1801,0)),"")</f>
        <v/>
      </c>
      <c r="K649" s="25">
        <f>IFERROR(INDEX(Pedidos!$D$2:$D$1801,MATCH(B649,Pedidos!$A$2:$A$1801,0)),"")</f>
        <v/>
      </c>
      <c r="L649" s="25">
        <f>IFERROR(INDEX(Pedidos!$F$2:$F$1801,MATCH(B649,Pedidos!$A$2:$A$1801,0)),"")</f>
        <v/>
      </c>
      <c r="M649" s="26">
        <f>IFERROR(INDEX(Pedidos!$G$2:$G$1801,MATCH(B649,Pedidos!$A$2:$A$1801,0)),0)</f>
        <v/>
      </c>
      <c r="N649" s="25">
        <f>IFERROR(INDEX(Produtos!$B$2:$B$71,MATCH(C649,Produtos!$A$2:$A$71,0)),"")</f>
        <v/>
      </c>
      <c r="O649" s="25">
        <f>IFERROR(INDEX(Produtos!$C$2:$C$71,MATCH(C649,Produtos!$A$2:$A$71,0)),"")</f>
        <v/>
      </c>
      <c r="P649" s="25">
        <f>IFERROR(INDEX(Produtos!$D$2:$D$71,MATCH(C649,Produtos!$A$2:$A$71,0)),0)</f>
        <v/>
      </c>
      <c r="Q649" s="25">
        <f>IFERROR(INDEX(Produtos!$E$2:$E$71,MATCH(C649,Produtos!$A$2:$A$71,0)),0)</f>
        <v/>
      </c>
      <c r="R649" s="27">
        <f>D649*Q649</f>
        <v/>
      </c>
      <c r="S649" s="27">
        <f>R649*E649</f>
        <v/>
      </c>
      <c r="T649" s="27">
        <f>(R649-S649)*M649</f>
        <v/>
      </c>
      <c r="U649" s="27">
        <f>R649-S649-T649</f>
        <v/>
      </c>
      <c r="V649" s="27">
        <f>D649*P649</f>
        <v/>
      </c>
      <c r="W649" s="27">
        <f>U649-V649</f>
        <v/>
      </c>
      <c r="X649" s="28">
        <f>IFERROR(W649/U649,0)</f>
        <v/>
      </c>
    </row>
    <row r="650">
      <c r="A650" s="21">
        <f>ItensPedido!A650</f>
        <v/>
      </c>
      <c r="B650" s="21">
        <f>ItensPedido!B650</f>
        <v/>
      </c>
      <c r="C650" s="21">
        <f>ItensPedido!C650</f>
        <v/>
      </c>
      <c r="D650" s="21">
        <f>ItensPedido!D650</f>
        <v/>
      </c>
      <c r="E650" s="22">
        <f>ItensPedido!E650</f>
        <v/>
      </c>
      <c r="F650" s="21">
        <f>IFERROR(INDEX(Pedidos!$B$2:$B$1801,MATCH(B650,Pedidos!$A$2:$A$1801,0)),0)</f>
        <v/>
      </c>
      <c r="G650" s="21">
        <f>IF(F650=0,"",YEAR(F650))</f>
        <v/>
      </c>
      <c r="H650" s="21">
        <f>IF(F650=0,"",MONTH(F650))</f>
        <v/>
      </c>
      <c r="I650" s="21">
        <f>IFERROR(INDEX(Pedidos!$E$2:$E$1801,MATCH(B650,Pedidos!$A$2:$A$1801,0)),"")</f>
        <v/>
      </c>
      <c r="J650" s="21">
        <f>IFERROR(INDEX(Pedidos!$C$2:$C$1801,MATCH(B650,Pedidos!$A$2:$A$1801,0)),"")</f>
        <v/>
      </c>
      <c r="K650" s="21">
        <f>IFERROR(INDEX(Pedidos!$D$2:$D$1801,MATCH(B650,Pedidos!$A$2:$A$1801,0)),"")</f>
        <v/>
      </c>
      <c r="L650" s="21">
        <f>IFERROR(INDEX(Pedidos!$F$2:$F$1801,MATCH(B650,Pedidos!$A$2:$A$1801,0)),"")</f>
        <v/>
      </c>
      <c r="M650" s="22">
        <f>IFERROR(INDEX(Pedidos!$G$2:$G$1801,MATCH(B650,Pedidos!$A$2:$A$1801,0)),0)</f>
        <v/>
      </c>
      <c r="N650" s="21">
        <f>IFERROR(INDEX(Produtos!$B$2:$B$71,MATCH(C650,Produtos!$A$2:$A$71,0)),"")</f>
        <v/>
      </c>
      <c r="O650" s="21">
        <f>IFERROR(INDEX(Produtos!$C$2:$C$71,MATCH(C650,Produtos!$A$2:$A$71,0)),"")</f>
        <v/>
      </c>
      <c r="P650" s="21">
        <f>IFERROR(INDEX(Produtos!$D$2:$D$71,MATCH(C650,Produtos!$A$2:$A$71,0)),0)</f>
        <v/>
      </c>
      <c r="Q650" s="21">
        <f>IFERROR(INDEX(Produtos!$E$2:$E$71,MATCH(C650,Produtos!$A$2:$A$71,0)),0)</f>
        <v/>
      </c>
      <c r="R650" s="23">
        <f>D650*Q650</f>
        <v/>
      </c>
      <c r="S650" s="23">
        <f>R650*E650</f>
        <v/>
      </c>
      <c r="T650" s="23">
        <f>(R650-S650)*M650</f>
        <v/>
      </c>
      <c r="U650" s="23">
        <f>R650-S650-T650</f>
        <v/>
      </c>
      <c r="V650" s="23">
        <f>D650*P650</f>
        <v/>
      </c>
      <c r="W650" s="23">
        <f>U650-V650</f>
        <v/>
      </c>
      <c r="X650" s="24">
        <f>IFERROR(W650/U650,0)</f>
        <v/>
      </c>
    </row>
    <row r="651">
      <c r="A651" s="25">
        <f>ItensPedido!A651</f>
        <v/>
      </c>
      <c r="B651" s="25">
        <f>ItensPedido!B651</f>
        <v/>
      </c>
      <c r="C651" s="25">
        <f>ItensPedido!C651</f>
        <v/>
      </c>
      <c r="D651" s="25">
        <f>ItensPedido!D651</f>
        <v/>
      </c>
      <c r="E651" s="26">
        <f>ItensPedido!E651</f>
        <v/>
      </c>
      <c r="F651" s="25">
        <f>IFERROR(INDEX(Pedidos!$B$2:$B$1801,MATCH(B651,Pedidos!$A$2:$A$1801,0)),0)</f>
        <v/>
      </c>
      <c r="G651" s="25">
        <f>IF(F651=0,"",YEAR(F651))</f>
        <v/>
      </c>
      <c r="H651" s="25">
        <f>IF(F651=0,"",MONTH(F651))</f>
        <v/>
      </c>
      <c r="I651" s="25">
        <f>IFERROR(INDEX(Pedidos!$E$2:$E$1801,MATCH(B651,Pedidos!$A$2:$A$1801,0)),"")</f>
        <v/>
      </c>
      <c r="J651" s="25">
        <f>IFERROR(INDEX(Pedidos!$C$2:$C$1801,MATCH(B651,Pedidos!$A$2:$A$1801,0)),"")</f>
        <v/>
      </c>
      <c r="K651" s="25">
        <f>IFERROR(INDEX(Pedidos!$D$2:$D$1801,MATCH(B651,Pedidos!$A$2:$A$1801,0)),"")</f>
        <v/>
      </c>
      <c r="L651" s="25">
        <f>IFERROR(INDEX(Pedidos!$F$2:$F$1801,MATCH(B651,Pedidos!$A$2:$A$1801,0)),"")</f>
        <v/>
      </c>
      <c r="M651" s="26">
        <f>IFERROR(INDEX(Pedidos!$G$2:$G$1801,MATCH(B651,Pedidos!$A$2:$A$1801,0)),0)</f>
        <v/>
      </c>
      <c r="N651" s="25">
        <f>IFERROR(INDEX(Produtos!$B$2:$B$71,MATCH(C651,Produtos!$A$2:$A$71,0)),"")</f>
        <v/>
      </c>
      <c r="O651" s="25">
        <f>IFERROR(INDEX(Produtos!$C$2:$C$71,MATCH(C651,Produtos!$A$2:$A$71,0)),"")</f>
        <v/>
      </c>
      <c r="P651" s="25">
        <f>IFERROR(INDEX(Produtos!$D$2:$D$71,MATCH(C651,Produtos!$A$2:$A$71,0)),0)</f>
        <v/>
      </c>
      <c r="Q651" s="25">
        <f>IFERROR(INDEX(Produtos!$E$2:$E$71,MATCH(C651,Produtos!$A$2:$A$71,0)),0)</f>
        <v/>
      </c>
      <c r="R651" s="27">
        <f>D651*Q651</f>
        <v/>
      </c>
      <c r="S651" s="27">
        <f>R651*E651</f>
        <v/>
      </c>
      <c r="T651" s="27">
        <f>(R651-S651)*M651</f>
        <v/>
      </c>
      <c r="U651" s="27">
        <f>R651-S651-T651</f>
        <v/>
      </c>
      <c r="V651" s="27">
        <f>D651*P651</f>
        <v/>
      </c>
      <c r="W651" s="27">
        <f>U651-V651</f>
        <v/>
      </c>
      <c r="X651" s="28">
        <f>IFERROR(W651/U651,0)</f>
        <v/>
      </c>
    </row>
    <row r="652">
      <c r="A652" s="21">
        <f>ItensPedido!A652</f>
        <v/>
      </c>
      <c r="B652" s="21">
        <f>ItensPedido!B652</f>
        <v/>
      </c>
      <c r="C652" s="21">
        <f>ItensPedido!C652</f>
        <v/>
      </c>
      <c r="D652" s="21">
        <f>ItensPedido!D652</f>
        <v/>
      </c>
      <c r="E652" s="22">
        <f>ItensPedido!E652</f>
        <v/>
      </c>
      <c r="F652" s="21">
        <f>IFERROR(INDEX(Pedidos!$B$2:$B$1801,MATCH(B652,Pedidos!$A$2:$A$1801,0)),0)</f>
        <v/>
      </c>
      <c r="G652" s="21">
        <f>IF(F652=0,"",YEAR(F652))</f>
        <v/>
      </c>
      <c r="H652" s="21">
        <f>IF(F652=0,"",MONTH(F652))</f>
        <v/>
      </c>
      <c r="I652" s="21">
        <f>IFERROR(INDEX(Pedidos!$E$2:$E$1801,MATCH(B652,Pedidos!$A$2:$A$1801,0)),"")</f>
        <v/>
      </c>
      <c r="J652" s="21">
        <f>IFERROR(INDEX(Pedidos!$C$2:$C$1801,MATCH(B652,Pedidos!$A$2:$A$1801,0)),"")</f>
        <v/>
      </c>
      <c r="K652" s="21">
        <f>IFERROR(INDEX(Pedidos!$D$2:$D$1801,MATCH(B652,Pedidos!$A$2:$A$1801,0)),"")</f>
        <v/>
      </c>
      <c r="L652" s="21">
        <f>IFERROR(INDEX(Pedidos!$F$2:$F$1801,MATCH(B652,Pedidos!$A$2:$A$1801,0)),"")</f>
        <v/>
      </c>
      <c r="M652" s="22">
        <f>IFERROR(INDEX(Pedidos!$G$2:$G$1801,MATCH(B652,Pedidos!$A$2:$A$1801,0)),0)</f>
        <v/>
      </c>
      <c r="N652" s="21">
        <f>IFERROR(INDEX(Produtos!$B$2:$B$71,MATCH(C652,Produtos!$A$2:$A$71,0)),"")</f>
        <v/>
      </c>
      <c r="O652" s="21">
        <f>IFERROR(INDEX(Produtos!$C$2:$C$71,MATCH(C652,Produtos!$A$2:$A$71,0)),"")</f>
        <v/>
      </c>
      <c r="P652" s="21">
        <f>IFERROR(INDEX(Produtos!$D$2:$D$71,MATCH(C652,Produtos!$A$2:$A$71,0)),0)</f>
        <v/>
      </c>
      <c r="Q652" s="21">
        <f>IFERROR(INDEX(Produtos!$E$2:$E$71,MATCH(C652,Produtos!$A$2:$A$71,0)),0)</f>
        <v/>
      </c>
      <c r="R652" s="23">
        <f>D652*Q652</f>
        <v/>
      </c>
      <c r="S652" s="23">
        <f>R652*E652</f>
        <v/>
      </c>
      <c r="T652" s="23">
        <f>(R652-S652)*M652</f>
        <v/>
      </c>
      <c r="U652" s="23">
        <f>R652-S652-T652</f>
        <v/>
      </c>
      <c r="V652" s="23">
        <f>D652*P652</f>
        <v/>
      </c>
      <c r="W652" s="23">
        <f>U652-V652</f>
        <v/>
      </c>
      <c r="X652" s="24">
        <f>IFERROR(W652/U652,0)</f>
        <v/>
      </c>
    </row>
    <row r="653">
      <c r="A653" s="25">
        <f>ItensPedido!A653</f>
        <v/>
      </c>
      <c r="B653" s="25">
        <f>ItensPedido!B653</f>
        <v/>
      </c>
      <c r="C653" s="25">
        <f>ItensPedido!C653</f>
        <v/>
      </c>
      <c r="D653" s="25">
        <f>ItensPedido!D653</f>
        <v/>
      </c>
      <c r="E653" s="26">
        <f>ItensPedido!E653</f>
        <v/>
      </c>
      <c r="F653" s="25">
        <f>IFERROR(INDEX(Pedidos!$B$2:$B$1801,MATCH(B653,Pedidos!$A$2:$A$1801,0)),0)</f>
        <v/>
      </c>
      <c r="G653" s="25">
        <f>IF(F653=0,"",YEAR(F653))</f>
        <v/>
      </c>
      <c r="H653" s="25">
        <f>IF(F653=0,"",MONTH(F653))</f>
        <v/>
      </c>
      <c r="I653" s="25">
        <f>IFERROR(INDEX(Pedidos!$E$2:$E$1801,MATCH(B653,Pedidos!$A$2:$A$1801,0)),"")</f>
        <v/>
      </c>
      <c r="J653" s="25">
        <f>IFERROR(INDEX(Pedidos!$C$2:$C$1801,MATCH(B653,Pedidos!$A$2:$A$1801,0)),"")</f>
        <v/>
      </c>
      <c r="K653" s="25">
        <f>IFERROR(INDEX(Pedidos!$D$2:$D$1801,MATCH(B653,Pedidos!$A$2:$A$1801,0)),"")</f>
        <v/>
      </c>
      <c r="L653" s="25">
        <f>IFERROR(INDEX(Pedidos!$F$2:$F$1801,MATCH(B653,Pedidos!$A$2:$A$1801,0)),"")</f>
        <v/>
      </c>
      <c r="M653" s="26">
        <f>IFERROR(INDEX(Pedidos!$G$2:$G$1801,MATCH(B653,Pedidos!$A$2:$A$1801,0)),0)</f>
        <v/>
      </c>
      <c r="N653" s="25">
        <f>IFERROR(INDEX(Produtos!$B$2:$B$71,MATCH(C653,Produtos!$A$2:$A$71,0)),"")</f>
        <v/>
      </c>
      <c r="O653" s="25">
        <f>IFERROR(INDEX(Produtos!$C$2:$C$71,MATCH(C653,Produtos!$A$2:$A$71,0)),"")</f>
        <v/>
      </c>
      <c r="P653" s="25">
        <f>IFERROR(INDEX(Produtos!$D$2:$D$71,MATCH(C653,Produtos!$A$2:$A$71,0)),0)</f>
        <v/>
      </c>
      <c r="Q653" s="25">
        <f>IFERROR(INDEX(Produtos!$E$2:$E$71,MATCH(C653,Produtos!$A$2:$A$71,0)),0)</f>
        <v/>
      </c>
      <c r="R653" s="27">
        <f>D653*Q653</f>
        <v/>
      </c>
      <c r="S653" s="27">
        <f>R653*E653</f>
        <v/>
      </c>
      <c r="T653" s="27">
        <f>(R653-S653)*M653</f>
        <v/>
      </c>
      <c r="U653" s="27">
        <f>R653-S653-T653</f>
        <v/>
      </c>
      <c r="V653" s="27">
        <f>D653*P653</f>
        <v/>
      </c>
      <c r="W653" s="27">
        <f>U653-V653</f>
        <v/>
      </c>
      <c r="X653" s="28">
        <f>IFERROR(W653/U653,0)</f>
        <v/>
      </c>
    </row>
    <row r="654">
      <c r="A654" s="21">
        <f>ItensPedido!A654</f>
        <v/>
      </c>
      <c r="B654" s="21">
        <f>ItensPedido!B654</f>
        <v/>
      </c>
      <c r="C654" s="21">
        <f>ItensPedido!C654</f>
        <v/>
      </c>
      <c r="D654" s="21">
        <f>ItensPedido!D654</f>
        <v/>
      </c>
      <c r="E654" s="22">
        <f>ItensPedido!E654</f>
        <v/>
      </c>
      <c r="F654" s="21">
        <f>IFERROR(INDEX(Pedidos!$B$2:$B$1801,MATCH(B654,Pedidos!$A$2:$A$1801,0)),0)</f>
        <v/>
      </c>
      <c r="G654" s="21">
        <f>IF(F654=0,"",YEAR(F654))</f>
        <v/>
      </c>
      <c r="H654" s="21">
        <f>IF(F654=0,"",MONTH(F654))</f>
        <v/>
      </c>
      <c r="I654" s="21">
        <f>IFERROR(INDEX(Pedidos!$E$2:$E$1801,MATCH(B654,Pedidos!$A$2:$A$1801,0)),"")</f>
        <v/>
      </c>
      <c r="J654" s="21">
        <f>IFERROR(INDEX(Pedidos!$C$2:$C$1801,MATCH(B654,Pedidos!$A$2:$A$1801,0)),"")</f>
        <v/>
      </c>
      <c r="K654" s="21">
        <f>IFERROR(INDEX(Pedidos!$D$2:$D$1801,MATCH(B654,Pedidos!$A$2:$A$1801,0)),"")</f>
        <v/>
      </c>
      <c r="L654" s="21">
        <f>IFERROR(INDEX(Pedidos!$F$2:$F$1801,MATCH(B654,Pedidos!$A$2:$A$1801,0)),"")</f>
        <v/>
      </c>
      <c r="M654" s="22">
        <f>IFERROR(INDEX(Pedidos!$G$2:$G$1801,MATCH(B654,Pedidos!$A$2:$A$1801,0)),0)</f>
        <v/>
      </c>
      <c r="N654" s="21">
        <f>IFERROR(INDEX(Produtos!$B$2:$B$71,MATCH(C654,Produtos!$A$2:$A$71,0)),"")</f>
        <v/>
      </c>
      <c r="O654" s="21">
        <f>IFERROR(INDEX(Produtos!$C$2:$C$71,MATCH(C654,Produtos!$A$2:$A$71,0)),"")</f>
        <v/>
      </c>
      <c r="P654" s="21">
        <f>IFERROR(INDEX(Produtos!$D$2:$D$71,MATCH(C654,Produtos!$A$2:$A$71,0)),0)</f>
        <v/>
      </c>
      <c r="Q654" s="21">
        <f>IFERROR(INDEX(Produtos!$E$2:$E$71,MATCH(C654,Produtos!$A$2:$A$71,0)),0)</f>
        <v/>
      </c>
      <c r="R654" s="23">
        <f>D654*Q654</f>
        <v/>
      </c>
      <c r="S654" s="23">
        <f>R654*E654</f>
        <v/>
      </c>
      <c r="T654" s="23">
        <f>(R654-S654)*M654</f>
        <v/>
      </c>
      <c r="U654" s="23">
        <f>R654-S654-T654</f>
        <v/>
      </c>
      <c r="V654" s="23">
        <f>D654*P654</f>
        <v/>
      </c>
      <c r="W654" s="23">
        <f>U654-V654</f>
        <v/>
      </c>
      <c r="X654" s="24">
        <f>IFERROR(W654/U654,0)</f>
        <v/>
      </c>
    </row>
    <row r="655">
      <c r="A655" s="25">
        <f>ItensPedido!A655</f>
        <v/>
      </c>
      <c r="B655" s="25">
        <f>ItensPedido!B655</f>
        <v/>
      </c>
      <c r="C655" s="25">
        <f>ItensPedido!C655</f>
        <v/>
      </c>
      <c r="D655" s="25">
        <f>ItensPedido!D655</f>
        <v/>
      </c>
      <c r="E655" s="26">
        <f>ItensPedido!E655</f>
        <v/>
      </c>
      <c r="F655" s="25">
        <f>IFERROR(INDEX(Pedidos!$B$2:$B$1801,MATCH(B655,Pedidos!$A$2:$A$1801,0)),0)</f>
        <v/>
      </c>
      <c r="G655" s="25">
        <f>IF(F655=0,"",YEAR(F655))</f>
        <v/>
      </c>
      <c r="H655" s="25">
        <f>IF(F655=0,"",MONTH(F655))</f>
        <v/>
      </c>
      <c r="I655" s="25">
        <f>IFERROR(INDEX(Pedidos!$E$2:$E$1801,MATCH(B655,Pedidos!$A$2:$A$1801,0)),"")</f>
        <v/>
      </c>
      <c r="J655" s="25">
        <f>IFERROR(INDEX(Pedidos!$C$2:$C$1801,MATCH(B655,Pedidos!$A$2:$A$1801,0)),"")</f>
        <v/>
      </c>
      <c r="K655" s="25">
        <f>IFERROR(INDEX(Pedidos!$D$2:$D$1801,MATCH(B655,Pedidos!$A$2:$A$1801,0)),"")</f>
        <v/>
      </c>
      <c r="L655" s="25">
        <f>IFERROR(INDEX(Pedidos!$F$2:$F$1801,MATCH(B655,Pedidos!$A$2:$A$1801,0)),"")</f>
        <v/>
      </c>
      <c r="M655" s="26">
        <f>IFERROR(INDEX(Pedidos!$G$2:$G$1801,MATCH(B655,Pedidos!$A$2:$A$1801,0)),0)</f>
        <v/>
      </c>
      <c r="N655" s="25">
        <f>IFERROR(INDEX(Produtos!$B$2:$B$71,MATCH(C655,Produtos!$A$2:$A$71,0)),"")</f>
        <v/>
      </c>
      <c r="O655" s="25">
        <f>IFERROR(INDEX(Produtos!$C$2:$C$71,MATCH(C655,Produtos!$A$2:$A$71,0)),"")</f>
        <v/>
      </c>
      <c r="P655" s="25">
        <f>IFERROR(INDEX(Produtos!$D$2:$D$71,MATCH(C655,Produtos!$A$2:$A$71,0)),0)</f>
        <v/>
      </c>
      <c r="Q655" s="25">
        <f>IFERROR(INDEX(Produtos!$E$2:$E$71,MATCH(C655,Produtos!$A$2:$A$71,0)),0)</f>
        <v/>
      </c>
      <c r="R655" s="27">
        <f>D655*Q655</f>
        <v/>
      </c>
      <c r="S655" s="27">
        <f>R655*E655</f>
        <v/>
      </c>
      <c r="T655" s="27">
        <f>(R655-S655)*M655</f>
        <v/>
      </c>
      <c r="U655" s="27">
        <f>R655-S655-T655</f>
        <v/>
      </c>
      <c r="V655" s="27">
        <f>D655*P655</f>
        <v/>
      </c>
      <c r="W655" s="27">
        <f>U655-V655</f>
        <v/>
      </c>
      <c r="X655" s="28">
        <f>IFERROR(W655/U655,0)</f>
        <v/>
      </c>
    </row>
    <row r="656">
      <c r="A656" s="21">
        <f>ItensPedido!A656</f>
        <v/>
      </c>
      <c r="B656" s="21">
        <f>ItensPedido!B656</f>
        <v/>
      </c>
      <c r="C656" s="21">
        <f>ItensPedido!C656</f>
        <v/>
      </c>
      <c r="D656" s="21">
        <f>ItensPedido!D656</f>
        <v/>
      </c>
      <c r="E656" s="22">
        <f>ItensPedido!E656</f>
        <v/>
      </c>
      <c r="F656" s="21">
        <f>IFERROR(INDEX(Pedidos!$B$2:$B$1801,MATCH(B656,Pedidos!$A$2:$A$1801,0)),0)</f>
        <v/>
      </c>
      <c r="G656" s="21">
        <f>IF(F656=0,"",YEAR(F656))</f>
        <v/>
      </c>
      <c r="H656" s="21">
        <f>IF(F656=0,"",MONTH(F656))</f>
        <v/>
      </c>
      <c r="I656" s="21">
        <f>IFERROR(INDEX(Pedidos!$E$2:$E$1801,MATCH(B656,Pedidos!$A$2:$A$1801,0)),"")</f>
        <v/>
      </c>
      <c r="J656" s="21">
        <f>IFERROR(INDEX(Pedidos!$C$2:$C$1801,MATCH(B656,Pedidos!$A$2:$A$1801,0)),"")</f>
        <v/>
      </c>
      <c r="K656" s="21">
        <f>IFERROR(INDEX(Pedidos!$D$2:$D$1801,MATCH(B656,Pedidos!$A$2:$A$1801,0)),"")</f>
        <v/>
      </c>
      <c r="L656" s="21">
        <f>IFERROR(INDEX(Pedidos!$F$2:$F$1801,MATCH(B656,Pedidos!$A$2:$A$1801,0)),"")</f>
        <v/>
      </c>
      <c r="M656" s="22">
        <f>IFERROR(INDEX(Pedidos!$G$2:$G$1801,MATCH(B656,Pedidos!$A$2:$A$1801,0)),0)</f>
        <v/>
      </c>
      <c r="N656" s="21">
        <f>IFERROR(INDEX(Produtos!$B$2:$B$71,MATCH(C656,Produtos!$A$2:$A$71,0)),"")</f>
        <v/>
      </c>
      <c r="O656" s="21">
        <f>IFERROR(INDEX(Produtos!$C$2:$C$71,MATCH(C656,Produtos!$A$2:$A$71,0)),"")</f>
        <v/>
      </c>
      <c r="P656" s="21">
        <f>IFERROR(INDEX(Produtos!$D$2:$D$71,MATCH(C656,Produtos!$A$2:$A$71,0)),0)</f>
        <v/>
      </c>
      <c r="Q656" s="21">
        <f>IFERROR(INDEX(Produtos!$E$2:$E$71,MATCH(C656,Produtos!$A$2:$A$71,0)),0)</f>
        <v/>
      </c>
      <c r="R656" s="23">
        <f>D656*Q656</f>
        <v/>
      </c>
      <c r="S656" s="23">
        <f>R656*E656</f>
        <v/>
      </c>
      <c r="T656" s="23">
        <f>(R656-S656)*M656</f>
        <v/>
      </c>
      <c r="U656" s="23">
        <f>R656-S656-T656</f>
        <v/>
      </c>
      <c r="V656" s="23">
        <f>D656*P656</f>
        <v/>
      </c>
      <c r="W656" s="23">
        <f>U656-V656</f>
        <v/>
      </c>
      <c r="X656" s="24">
        <f>IFERROR(W656/U656,0)</f>
        <v/>
      </c>
    </row>
    <row r="657">
      <c r="A657" s="25">
        <f>ItensPedido!A657</f>
        <v/>
      </c>
      <c r="B657" s="25">
        <f>ItensPedido!B657</f>
        <v/>
      </c>
      <c r="C657" s="25">
        <f>ItensPedido!C657</f>
        <v/>
      </c>
      <c r="D657" s="25">
        <f>ItensPedido!D657</f>
        <v/>
      </c>
      <c r="E657" s="26">
        <f>ItensPedido!E657</f>
        <v/>
      </c>
      <c r="F657" s="25">
        <f>IFERROR(INDEX(Pedidos!$B$2:$B$1801,MATCH(B657,Pedidos!$A$2:$A$1801,0)),0)</f>
        <v/>
      </c>
      <c r="G657" s="25">
        <f>IF(F657=0,"",YEAR(F657))</f>
        <v/>
      </c>
      <c r="H657" s="25">
        <f>IF(F657=0,"",MONTH(F657))</f>
        <v/>
      </c>
      <c r="I657" s="25">
        <f>IFERROR(INDEX(Pedidos!$E$2:$E$1801,MATCH(B657,Pedidos!$A$2:$A$1801,0)),"")</f>
        <v/>
      </c>
      <c r="J657" s="25">
        <f>IFERROR(INDEX(Pedidos!$C$2:$C$1801,MATCH(B657,Pedidos!$A$2:$A$1801,0)),"")</f>
        <v/>
      </c>
      <c r="K657" s="25">
        <f>IFERROR(INDEX(Pedidos!$D$2:$D$1801,MATCH(B657,Pedidos!$A$2:$A$1801,0)),"")</f>
        <v/>
      </c>
      <c r="L657" s="25">
        <f>IFERROR(INDEX(Pedidos!$F$2:$F$1801,MATCH(B657,Pedidos!$A$2:$A$1801,0)),"")</f>
        <v/>
      </c>
      <c r="M657" s="26">
        <f>IFERROR(INDEX(Pedidos!$G$2:$G$1801,MATCH(B657,Pedidos!$A$2:$A$1801,0)),0)</f>
        <v/>
      </c>
      <c r="N657" s="25">
        <f>IFERROR(INDEX(Produtos!$B$2:$B$71,MATCH(C657,Produtos!$A$2:$A$71,0)),"")</f>
        <v/>
      </c>
      <c r="O657" s="25">
        <f>IFERROR(INDEX(Produtos!$C$2:$C$71,MATCH(C657,Produtos!$A$2:$A$71,0)),"")</f>
        <v/>
      </c>
      <c r="P657" s="25">
        <f>IFERROR(INDEX(Produtos!$D$2:$D$71,MATCH(C657,Produtos!$A$2:$A$71,0)),0)</f>
        <v/>
      </c>
      <c r="Q657" s="25">
        <f>IFERROR(INDEX(Produtos!$E$2:$E$71,MATCH(C657,Produtos!$A$2:$A$71,0)),0)</f>
        <v/>
      </c>
      <c r="R657" s="27">
        <f>D657*Q657</f>
        <v/>
      </c>
      <c r="S657" s="27">
        <f>R657*E657</f>
        <v/>
      </c>
      <c r="T657" s="27">
        <f>(R657-S657)*M657</f>
        <v/>
      </c>
      <c r="U657" s="27">
        <f>R657-S657-T657</f>
        <v/>
      </c>
      <c r="V657" s="27">
        <f>D657*P657</f>
        <v/>
      </c>
      <c r="W657" s="27">
        <f>U657-V657</f>
        <v/>
      </c>
      <c r="X657" s="28">
        <f>IFERROR(W657/U657,0)</f>
        <v/>
      </c>
    </row>
    <row r="658">
      <c r="A658" s="21">
        <f>ItensPedido!A658</f>
        <v/>
      </c>
      <c r="B658" s="21">
        <f>ItensPedido!B658</f>
        <v/>
      </c>
      <c r="C658" s="21">
        <f>ItensPedido!C658</f>
        <v/>
      </c>
      <c r="D658" s="21">
        <f>ItensPedido!D658</f>
        <v/>
      </c>
      <c r="E658" s="22">
        <f>ItensPedido!E658</f>
        <v/>
      </c>
      <c r="F658" s="21">
        <f>IFERROR(INDEX(Pedidos!$B$2:$B$1801,MATCH(B658,Pedidos!$A$2:$A$1801,0)),0)</f>
        <v/>
      </c>
      <c r="G658" s="21">
        <f>IF(F658=0,"",YEAR(F658))</f>
        <v/>
      </c>
      <c r="H658" s="21">
        <f>IF(F658=0,"",MONTH(F658))</f>
        <v/>
      </c>
      <c r="I658" s="21">
        <f>IFERROR(INDEX(Pedidos!$E$2:$E$1801,MATCH(B658,Pedidos!$A$2:$A$1801,0)),"")</f>
        <v/>
      </c>
      <c r="J658" s="21">
        <f>IFERROR(INDEX(Pedidos!$C$2:$C$1801,MATCH(B658,Pedidos!$A$2:$A$1801,0)),"")</f>
        <v/>
      </c>
      <c r="K658" s="21">
        <f>IFERROR(INDEX(Pedidos!$D$2:$D$1801,MATCH(B658,Pedidos!$A$2:$A$1801,0)),"")</f>
        <v/>
      </c>
      <c r="L658" s="21">
        <f>IFERROR(INDEX(Pedidos!$F$2:$F$1801,MATCH(B658,Pedidos!$A$2:$A$1801,0)),"")</f>
        <v/>
      </c>
      <c r="M658" s="22">
        <f>IFERROR(INDEX(Pedidos!$G$2:$G$1801,MATCH(B658,Pedidos!$A$2:$A$1801,0)),0)</f>
        <v/>
      </c>
      <c r="N658" s="21">
        <f>IFERROR(INDEX(Produtos!$B$2:$B$71,MATCH(C658,Produtos!$A$2:$A$71,0)),"")</f>
        <v/>
      </c>
      <c r="O658" s="21">
        <f>IFERROR(INDEX(Produtos!$C$2:$C$71,MATCH(C658,Produtos!$A$2:$A$71,0)),"")</f>
        <v/>
      </c>
      <c r="P658" s="21">
        <f>IFERROR(INDEX(Produtos!$D$2:$D$71,MATCH(C658,Produtos!$A$2:$A$71,0)),0)</f>
        <v/>
      </c>
      <c r="Q658" s="21">
        <f>IFERROR(INDEX(Produtos!$E$2:$E$71,MATCH(C658,Produtos!$A$2:$A$71,0)),0)</f>
        <v/>
      </c>
      <c r="R658" s="23">
        <f>D658*Q658</f>
        <v/>
      </c>
      <c r="S658" s="23">
        <f>R658*E658</f>
        <v/>
      </c>
      <c r="T658" s="23">
        <f>(R658-S658)*M658</f>
        <v/>
      </c>
      <c r="U658" s="23">
        <f>R658-S658-T658</f>
        <v/>
      </c>
      <c r="V658" s="23">
        <f>D658*P658</f>
        <v/>
      </c>
      <c r="W658" s="23">
        <f>U658-V658</f>
        <v/>
      </c>
      <c r="X658" s="24">
        <f>IFERROR(W658/U658,0)</f>
        <v/>
      </c>
    </row>
    <row r="659">
      <c r="A659" s="25">
        <f>ItensPedido!A659</f>
        <v/>
      </c>
      <c r="B659" s="25">
        <f>ItensPedido!B659</f>
        <v/>
      </c>
      <c r="C659" s="25">
        <f>ItensPedido!C659</f>
        <v/>
      </c>
      <c r="D659" s="25">
        <f>ItensPedido!D659</f>
        <v/>
      </c>
      <c r="E659" s="26">
        <f>ItensPedido!E659</f>
        <v/>
      </c>
      <c r="F659" s="25">
        <f>IFERROR(INDEX(Pedidos!$B$2:$B$1801,MATCH(B659,Pedidos!$A$2:$A$1801,0)),0)</f>
        <v/>
      </c>
      <c r="G659" s="25">
        <f>IF(F659=0,"",YEAR(F659))</f>
        <v/>
      </c>
      <c r="H659" s="25">
        <f>IF(F659=0,"",MONTH(F659))</f>
        <v/>
      </c>
      <c r="I659" s="25">
        <f>IFERROR(INDEX(Pedidos!$E$2:$E$1801,MATCH(B659,Pedidos!$A$2:$A$1801,0)),"")</f>
        <v/>
      </c>
      <c r="J659" s="25">
        <f>IFERROR(INDEX(Pedidos!$C$2:$C$1801,MATCH(B659,Pedidos!$A$2:$A$1801,0)),"")</f>
        <v/>
      </c>
      <c r="K659" s="25">
        <f>IFERROR(INDEX(Pedidos!$D$2:$D$1801,MATCH(B659,Pedidos!$A$2:$A$1801,0)),"")</f>
        <v/>
      </c>
      <c r="L659" s="25">
        <f>IFERROR(INDEX(Pedidos!$F$2:$F$1801,MATCH(B659,Pedidos!$A$2:$A$1801,0)),"")</f>
        <v/>
      </c>
      <c r="M659" s="26">
        <f>IFERROR(INDEX(Pedidos!$G$2:$G$1801,MATCH(B659,Pedidos!$A$2:$A$1801,0)),0)</f>
        <v/>
      </c>
      <c r="N659" s="25">
        <f>IFERROR(INDEX(Produtos!$B$2:$B$71,MATCH(C659,Produtos!$A$2:$A$71,0)),"")</f>
        <v/>
      </c>
      <c r="O659" s="25">
        <f>IFERROR(INDEX(Produtos!$C$2:$C$71,MATCH(C659,Produtos!$A$2:$A$71,0)),"")</f>
        <v/>
      </c>
      <c r="P659" s="25">
        <f>IFERROR(INDEX(Produtos!$D$2:$D$71,MATCH(C659,Produtos!$A$2:$A$71,0)),0)</f>
        <v/>
      </c>
      <c r="Q659" s="25">
        <f>IFERROR(INDEX(Produtos!$E$2:$E$71,MATCH(C659,Produtos!$A$2:$A$71,0)),0)</f>
        <v/>
      </c>
      <c r="R659" s="27">
        <f>D659*Q659</f>
        <v/>
      </c>
      <c r="S659" s="27">
        <f>R659*E659</f>
        <v/>
      </c>
      <c r="T659" s="27">
        <f>(R659-S659)*M659</f>
        <v/>
      </c>
      <c r="U659" s="27">
        <f>R659-S659-T659</f>
        <v/>
      </c>
      <c r="V659" s="27">
        <f>D659*P659</f>
        <v/>
      </c>
      <c r="W659" s="27">
        <f>U659-V659</f>
        <v/>
      </c>
      <c r="X659" s="28">
        <f>IFERROR(W659/U659,0)</f>
        <v/>
      </c>
    </row>
    <row r="660">
      <c r="A660" s="21">
        <f>ItensPedido!A660</f>
        <v/>
      </c>
      <c r="B660" s="21">
        <f>ItensPedido!B660</f>
        <v/>
      </c>
      <c r="C660" s="21">
        <f>ItensPedido!C660</f>
        <v/>
      </c>
      <c r="D660" s="21">
        <f>ItensPedido!D660</f>
        <v/>
      </c>
      <c r="E660" s="22">
        <f>ItensPedido!E660</f>
        <v/>
      </c>
      <c r="F660" s="21">
        <f>IFERROR(INDEX(Pedidos!$B$2:$B$1801,MATCH(B660,Pedidos!$A$2:$A$1801,0)),0)</f>
        <v/>
      </c>
      <c r="G660" s="21">
        <f>IF(F660=0,"",YEAR(F660))</f>
        <v/>
      </c>
      <c r="H660" s="21">
        <f>IF(F660=0,"",MONTH(F660))</f>
        <v/>
      </c>
      <c r="I660" s="21">
        <f>IFERROR(INDEX(Pedidos!$E$2:$E$1801,MATCH(B660,Pedidos!$A$2:$A$1801,0)),"")</f>
        <v/>
      </c>
      <c r="J660" s="21">
        <f>IFERROR(INDEX(Pedidos!$C$2:$C$1801,MATCH(B660,Pedidos!$A$2:$A$1801,0)),"")</f>
        <v/>
      </c>
      <c r="K660" s="21">
        <f>IFERROR(INDEX(Pedidos!$D$2:$D$1801,MATCH(B660,Pedidos!$A$2:$A$1801,0)),"")</f>
        <v/>
      </c>
      <c r="L660" s="21">
        <f>IFERROR(INDEX(Pedidos!$F$2:$F$1801,MATCH(B660,Pedidos!$A$2:$A$1801,0)),"")</f>
        <v/>
      </c>
      <c r="M660" s="22">
        <f>IFERROR(INDEX(Pedidos!$G$2:$G$1801,MATCH(B660,Pedidos!$A$2:$A$1801,0)),0)</f>
        <v/>
      </c>
      <c r="N660" s="21">
        <f>IFERROR(INDEX(Produtos!$B$2:$B$71,MATCH(C660,Produtos!$A$2:$A$71,0)),"")</f>
        <v/>
      </c>
      <c r="O660" s="21">
        <f>IFERROR(INDEX(Produtos!$C$2:$C$71,MATCH(C660,Produtos!$A$2:$A$71,0)),"")</f>
        <v/>
      </c>
      <c r="P660" s="21">
        <f>IFERROR(INDEX(Produtos!$D$2:$D$71,MATCH(C660,Produtos!$A$2:$A$71,0)),0)</f>
        <v/>
      </c>
      <c r="Q660" s="21">
        <f>IFERROR(INDEX(Produtos!$E$2:$E$71,MATCH(C660,Produtos!$A$2:$A$71,0)),0)</f>
        <v/>
      </c>
      <c r="R660" s="23">
        <f>D660*Q660</f>
        <v/>
      </c>
      <c r="S660" s="23">
        <f>R660*E660</f>
        <v/>
      </c>
      <c r="T660" s="23">
        <f>(R660-S660)*M660</f>
        <v/>
      </c>
      <c r="U660" s="23">
        <f>R660-S660-T660</f>
        <v/>
      </c>
      <c r="V660" s="23">
        <f>D660*P660</f>
        <v/>
      </c>
      <c r="W660" s="23">
        <f>U660-V660</f>
        <v/>
      </c>
      <c r="X660" s="24">
        <f>IFERROR(W660/U660,0)</f>
        <v/>
      </c>
    </row>
    <row r="661">
      <c r="A661" s="25">
        <f>ItensPedido!A661</f>
        <v/>
      </c>
      <c r="B661" s="25">
        <f>ItensPedido!B661</f>
        <v/>
      </c>
      <c r="C661" s="25">
        <f>ItensPedido!C661</f>
        <v/>
      </c>
      <c r="D661" s="25">
        <f>ItensPedido!D661</f>
        <v/>
      </c>
      <c r="E661" s="26">
        <f>ItensPedido!E661</f>
        <v/>
      </c>
      <c r="F661" s="25">
        <f>IFERROR(INDEX(Pedidos!$B$2:$B$1801,MATCH(B661,Pedidos!$A$2:$A$1801,0)),0)</f>
        <v/>
      </c>
      <c r="G661" s="25">
        <f>IF(F661=0,"",YEAR(F661))</f>
        <v/>
      </c>
      <c r="H661" s="25">
        <f>IF(F661=0,"",MONTH(F661))</f>
        <v/>
      </c>
      <c r="I661" s="25">
        <f>IFERROR(INDEX(Pedidos!$E$2:$E$1801,MATCH(B661,Pedidos!$A$2:$A$1801,0)),"")</f>
        <v/>
      </c>
      <c r="J661" s="25">
        <f>IFERROR(INDEX(Pedidos!$C$2:$C$1801,MATCH(B661,Pedidos!$A$2:$A$1801,0)),"")</f>
        <v/>
      </c>
      <c r="K661" s="25">
        <f>IFERROR(INDEX(Pedidos!$D$2:$D$1801,MATCH(B661,Pedidos!$A$2:$A$1801,0)),"")</f>
        <v/>
      </c>
      <c r="L661" s="25">
        <f>IFERROR(INDEX(Pedidos!$F$2:$F$1801,MATCH(B661,Pedidos!$A$2:$A$1801,0)),"")</f>
        <v/>
      </c>
      <c r="M661" s="26">
        <f>IFERROR(INDEX(Pedidos!$G$2:$G$1801,MATCH(B661,Pedidos!$A$2:$A$1801,0)),0)</f>
        <v/>
      </c>
      <c r="N661" s="25">
        <f>IFERROR(INDEX(Produtos!$B$2:$B$71,MATCH(C661,Produtos!$A$2:$A$71,0)),"")</f>
        <v/>
      </c>
      <c r="O661" s="25">
        <f>IFERROR(INDEX(Produtos!$C$2:$C$71,MATCH(C661,Produtos!$A$2:$A$71,0)),"")</f>
        <v/>
      </c>
      <c r="P661" s="25">
        <f>IFERROR(INDEX(Produtos!$D$2:$D$71,MATCH(C661,Produtos!$A$2:$A$71,0)),0)</f>
        <v/>
      </c>
      <c r="Q661" s="25">
        <f>IFERROR(INDEX(Produtos!$E$2:$E$71,MATCH(C661,Produtos!$A$2:$A$71,0)),0)</f>
        <v/>
      </c>
      <c r="R661" s="27">
        <f>D661*Q661</f>
        <v/>
      </c>
      <c r="S661" s="27">
        <f>R661*E661</f>
        <v/>
      </c>
      <c r="T661" s="27">
        <f>(R661-S661)*M661</f>
        <v/>
      </c>
      <c r="U661" s="27">
        <f>R661-S661-T661</f>
        <v/>
      </c>
      <c r="V661" s="27">
        <f>D661*P661</f>
        <v/>
      </c>
      <c r="W661" s="27">
        <f>U661-V661</f>
        <v/>
      </c>
      <c r="X661" s="28">
        <f>IFERROR(W661/U661,0)</f>
        <v/>
      </c>
    </row>
    <row r="662">
      <c r="A662" s="21">
        <f>ItensPedido!A662</f>
        <v/>
      </c>
      <c r="B662" s="21">
        <f>ItensPedido!B662</f>
        <v/>
      </c>
      <c r="C662" s="21">
        <f>ItensPedido!C662</f>
        <v/>
      </c>
      <c r="D662" s="21">
        <f>ItensPedido!D662</f>
        <v/>
      </c>
      <c r="E662" s="22">
        <f>ItensPedido!E662</f>
        <v/>
      </c>
      <c r="F662" s="21">
        <f>IFERROR(INDEX(Pedidos!$B$2:$B$1801,MATCH(B662,Pedidos!$A$2:$A$1801,0)),0)</f>
        <v/>
      </c>
      <c r="G662" s="21">
        <f>IF(F662=0,"",YEAR(F662))</f>
        <v/>
      </c>
      <c r="H662" s="21">
        <f>IF(F662=0,"",MONTH(F662))</f>
        <v/>
      </c>
      <c r="I662" s="21">
        <f>IFERROR(INDEX(Pedidos!$E$2:$E$1801,MATCH(B662,Pedidos!$A$2:$A$1801,0)),"")</f>
        <v/>
      </c>
      <c r="J662" s="21">
        <f>IFERROR(INDEX(Pedidos!$C$2:$C$1801,MATCH(B662,Pedidos!$A$2:$A$1801,0)),"")</f>
        <v/>
      </c>
      <c r="K662" s="21">
        <f>IFERROR(INDEX(Pedidos!$D$2:$D$1801,MATCH(B662,Pedidos!$A$2:$A$1801,0)),"")</f>
        <v/>
      </c>
      <c r="L662" s="21">
        <f>IFERROR(INDEX(Pedidos!$F$2:$F$1801,MATCH(B662,Pedidos!$A$2:$A$1801,0)),"")</f>
        <v/>
      </c>
      <c r="M662" s="22">
        <f>IFERROR(INDEX(Pedidos!$G$2:$G$1801,MATCH(B662,Pedidos!$A$2:$A$1801,0)),0)</f>
        <v/>
      </c>
      <c r="N662" s="21">
        <f>IFERROR(INDEX(Produtos!$B$2:$B$71,MATCH(C662,Produtos!$A$2:$A$71,0)),"")</f>
        <v/>
      </c>
      <c r="O662" s="21">
        <f>IFERROR(INDEX(Produtos!$C$2:$C$71,MATCH(C662,Produtos!$A$2:$A$71,0)),"")</f>
        <v/>
      </c>
      <c r="P662" s="21">
        <f>IFERROR(INDEX(Produtos!$D$2:$D$71,MATCH(C662,Produtos!$A$2:$A$71,0)),0)</f>
        <v/>
      </c>
      <c r="Q662" s="21">
        <f>IFERROR(INDEX(Produtos!$E$2:$E$71,MATCH(C662,Produtos!$A$2:$A$71,0)),0)</f>
        <v/>
      </c>
      <c r="R662" s="23">
        <f>D662*Q662</f>
        <v/>
      </c>
      <c r="S662" s="23">
        <f>R662*E662</f>
        <v/>
      </c>
      <c r="T662" s="23">
        <f>(R662-S662)*M662</f>
        <v/>
      </c>
      <c r="U662" s="23">
        <f>R662-S662-T662</f>
        <v/>
      </c>
      <c r="V662" s="23">
        <f>D662*P662</f>
        <v/>
      </c>
      <c r="W662" s="23">
        <f>U662-V662</f>
        <v/>
      </c>
      <c r="X662" s="24">
        <f>IFERROR(W662/U662,0)</f>
        <v/>
      </c>
    </row>
    <row r="663">
      <c r="A663" s="25">
        <f>ItensPedido!A663</f>
        <v/>
      </c>
      <c r="B663" s="25">
        <f>ItensPedido!B663</f>
        <v/>
      </c>
      <c r="C663" s="25">
        <f>ItensPedido!C663</f>
        <v/>
      </c>
      <c r="D663" s="25">
        <f>ItensPedido!D663</f>
        <v/>
      </c>
      <c r="E663" s="26">
        <f>ItensPedido!E663</f>
        <v/>
      </c>
      <c r="F663" s="25">
        <f>IFERROR(INDEX(Pedidos!$B$2:$B$1801,MATCH(B663,Pedidos!$A$2:$A$1801,0)),0)</f>
        <v/>
      </c>
      <c r="G663" s="25">
        <f>IF(F663=0,"",YEAR(F663))</f>
        <v/>
      </c>
      <c r="H663" s="25">
        <f>IF(F663=0,"",MONTH(F663))</f>
        <v/>
      </c>
      <c r="I663" s="25">
        <f>IFERROR(INDEX(Pedidos!$E$2:$E$1801,MATCH(B663,Pedidos!$A$2:$A$1801,0)),"")</f>
        <v/>
      </c>
      <c r="J663" s="25">
        <f>IFERROR(INDEX(Pedidos!$C$2:$C$1801,MATCH(B663,Pedidos!$A$2:$A$1801,0)),"")</f>
        <v/>
      </c>
      <c r="K663" s="25">
        <f>IFERROR(INDEX(Pedidos!$D$2:$D$1801,MATCH(B663,Pedidos!$A$2:$A$1801,0)),"")</f>
        <v/>
      </c>
      <c r="L663" s="25">
        <f>IFERROR(INDEX(Pedidos!$F$2:$F$1801,MATCH(B663,Pedidos!$A$2:$A$1801,0)),"")</f>
        <v/>
      </c>
      <c r="M663" s="26">
        <f>IFERROR(INDEX(Pedidos!$G$2:$G$1801,MATCH(B663,Pedidos!$A$2:$A$1801,0)),0)</f>
        <v/>
      </c>
      <c r="N663" s="25">
        <f>IFERROR(INDEX(Produtos!$B$2:$B$71,MATCH(C663,Produtos!$A$2:$A$71,0)),"")</f>
        <v/>
      </c>
      <c r="O663" s="25">
        <f>IFERROR(INDEX(Produtos!$C$2:$C$71,MATCH(C663,Produtos!$A$2:$A$71,0)),"")</f>
        <v/>
      </c>
      <c r="P663" s="25">
        <f>IFERROR(INDEX(Produtos!$D$2:$D$71,MATCH(C663,Produtos!$A$2:$A$71,0)),0)</f>
        <v/>
      </c>
      <c r="Q663" s="25">
        <f>IFERROR(INDEX(Produtos!$E$2:$E$71,MATCH(C663,Produtos!$A$2:$A$71,0)),0)</f>
        <v/>
      </c>
      <c r="R663" s="27">
        <f>D663*Q663</f>
        <v/>
      </c>
      <c r="S663" s="27">
        <f>R663*E663</f>
        <v/>
      </c>
      <c r="T663" s="27">
        <f>(R663-S663)*M663</f>
        <v/>
      </c>
      <c r="U663" s="27">
        <f>R663-S663-T663</f>
        <v/>
      </c>
      <c r="V663" s="27">
        <f>D663*P663</f>
        <v/>
      </c>
      <c r="W663" s="27">
        <f>U663-V663</f>
        <v/>
      </c>
      <c r="X663" s="28">
        <f>IFERROR(W663/U663,0)</f>
        <v/>
      </c>
    </row>
    <row r="664">
      <c r="A664" s="21">
        <f>ItensPedido!A664</f>
        <v/>
      </c>
      <c r="B664" s="21">
        <f>ItensPedido!B664</f>
        <v/>
      </c>
      <c r="C664" s="21">
        <f>ItensPedido!C664</f>
        <v/>
      </c>
      <c r="D664" s="21">
        <f>ItensPedido!D664</f>
        <v/>
      </c>
      <c r="E664" s="22">
        <f>ItensPedido!E664</f>
        <v/>
      </c>
      <c r="F664" s="21">
        <f>IFERROR(INDEX(Pedidos!$B$2:$B$1801,MATCH(B664,Pedidos!$A$2:$A$1801,0)),0)</f>
        <v/>
      </c>
      <c r="G664" s="21">
        <f>IF(F664=0,"",YEAR(F664))</f>
        <v/>
      </c>
      <c r="H664" s="21">
        <f>IF(F664=0,"",MONTH(F664))</f>
        <v/>
      </c>
      <c r="I664" s="21">
        <f>IFERROR(INDEX(Pedidos!$E$2:$E$1801,MATCH(B664,Pedidos!$A$2:$A$1801,0)),"")</f>
        <v/>
      </c>
      <c r="J664" s="21">
        <f>IFERROR(INDEX(Pedidos!$C$2:$C$1801,MATCH(B664,Pedidos!$A$2:$A$1801,0)),"")</f>
        <v/>
      </c>
      <c r="K664" s="21">
        <f>IFERROR(INDEX(Pedidos!$D$2:$D$1801,MATCH(B664,Pedidos!$A$2:$A$1801,0)),"")</f>
        <v/>
      </c>
      <c r="L664" s="21">
        <f>IFERROR(INDEX(Pedidos!$F$2:$F$1801,MATCH(B664,Pedidos!$A$2:$A$1801,0)),"")</f>
        <v/>
      </c>
      <c r="M664" s="22">
        <f>IFERROR(INDEX(Pedidos!$G$2:$G$1801,MATCH(B664,Pedidos!$A$2:$A$1801,0)),0)</f>
        <v/>
      </c>
      <c r="N664" s="21">
        <f>IFERROR(INDEX(Produtos!$B$2:$B$71,MATCH(C664,Produtos!$A$2:$A$71,0)),"")</f>
        <v/>
      </c>
      <c r="O664" s="21">
        <f>IFERROR(INDEX(Produtos!$C$2:$C$71,MATCH(C664,Produtos!$A$2:$A$71,0)),"")</f>
        <v/>
      </c>
      <c r="P664" s="21">
        <f>IFERROR(INDEX(Produtos!$D$2:$D$71,MATCH(C664,Produtos!$A$2:$A$71,0)),0)</f>
        <v/>
      </c>
      <c r="Q664" s="21">
        <f>IFERROR(INDEX(Produtos!$E$2:$E$71,MATCH(C664,Produtos!$A$2:$A$71,0)),0)</f>
        <v/>
      </c>
      <c r="R664" s="23">
        <f>D664*Q664</f>
        <v/>
      </c>
      <c r="S664" s="23">
        <f>R664*E664</f>
        <v/>
      </c>
      <c r="T664" s="23">
        <f>(R664-S664)*M664</f>
        <v/>
      </c>
      <c r="U664" s="23">
        <f>R664-S664-T664</f>
        <v/>
      </c>
      <c r="V664" s="23">
        <f>D664*P664</f>
        <v/>
      </c>
      <c r="W664" s="23">
        <f>U664-V664</f>
        <v/>
      </c>
      <c r="X664" s="24">
        <f>IFERROR(W664/U664,0)</f>
        <v/>
      </c>
    </row>
    <row r="665">
      <c r="A665" s="25">
        <f>ItensPedido!A665</f>
        <v/>
      </c>
      <c r="B665" s="25">
        <f>ItensPedido!B665</f>
        <v/>
      </c>
      <c r="C665" s="25">
        <f>ItensPedido!C665</f>
        <v/>
      </c>
      <c r="D665" s="25">
        <f>ItensPedido!D665</f>
        <v/>
      </c>
      <c r="E665" s="26">
        <f>ItensPedido!E665</f>
        <v/>
      </c>
      <c r="F665" s="25">
        <f>IFERROR(INDEX(Pedidos!$B$2:$B$1801,MATCH(B665,Pedidos!$A$2:$A$1801,0)),0)</f>
        <v/>
      </c>
      <c r="G665" s="25">
        <f>IF(F665=0,"",YEAR(F665))</f>
        <v/>
      </c>
      <c r="H665" s="25">
        <f>IF(F665=0,"",MONTH(F665))</f>
        <v/>
      </c>
      <c r="I665" s="25">
        <f>IFERROR(INDEX(Pedidos!$E$2:$E$1801,MATCH(B665,Pedidos!$A$2:$A$1801,0)),"")</f>
        <v/>
      </c>
      <c r="J665" s="25">
        <f>IFERROR(INDEX(Pedidos!$C$2:$C$1801,MATCH(B665,Pedidos!$A$2:$A$1801,0)),"")</f>
        <v/>
      </c>
      <c r="K665" s="25">
        <f>IFERROR(INDEX(Pedidos!$D$2:$D$1801,MATCH(B665,Pedidos!$A$2:$A$1801,0)),"")</f>
        <v/>
      </c>
      <c r="L665" s="25">
        <f>IFERROR(INDEX(Pedidos!$F$2:$F$1801,MATCH(B665,Pedidos!$A$2:$A$1801,0)),"")</f>
        <v/>
      </c>
      <c r="M665" s="26">
        <f>IFERROR(INDEX(Pedidos!$G$2:$G$1801,MATCH(B665,Pedidos!$A$2:$A$1801,0)),0)</f>
        <v/>
      </c>
      <c r="N665" s="25">
        <f>IFERROR(INDEX(Produtos!$B$2:$B$71,MATCH(C665,Produtos!$A$2:$A$71,0)),"")</f>
        <v/>
      </c>
      <c r="O665" s="25">
        <f>IFERROR(INDEX(Produtos!$C$2:$C$71,MATCH(C665,Produtos!$A$2:$A$71,0)),"")</f>
        <v/>
      </c>
      <c r="P665" s="25">
        <f>IFERROR(INDEX(Produtos!$D$2:$D$71,MATCH(C665,Produtos!$A$2:$A$71,0)),0)</f>
        <v/>
      </c>
      <c r="Q665" s="25">
        <f>IFERROR(INDEX(Produtos!$E$2:$E$71,MATCH(C665,Produtos!$A$2:$A$71,0)),0)</f>
        <v/>
      </c>
      <c r="R665" s="27">
        <f>D665*Q665</f>
        <v/>
      </c>
      <c r="S665" s="27">
        <f>R665*E665</f>
        <v/>
      </c>
      <c r="T665" s="27">
        <f>(R665-S665)*M665</f>
        <v/>
      </c>
      <c r="U665" s="27">
        <f>R665-S665-T665</f>
        <v/>
      </c>
      <c r="V665" s="27">
        <f>D665*P665</f>
        <v/>
      </c>
      <c r="W665" s="27">
        <f>U665-V665</f>
        <v/>
      </c>
      <c r="X665" s="28">
        <f>IFERROR(W665/U665,0)</f>
        <v/>
      </c>
    </row>
    <row r="666">
      <c r="A666" s="21">
        <f>ItensPedido!A666</f>
        <v/>
      </c>
      <c r="B666" s="21">
        <f>ItensPedido!B666</f>
        <v/>
      </c>
      <c r="C666" s="21">
        <f>ItensPedido!C666</f>
        <v/>
      </c>
      <c r="D666" s="21">
        <f>ItensPedido!D666</f>
        <v/>
      </c>
      <c r="E666" s="22">
        <f>ItensPedido!E666</f>
        <v/>
      </c>
      <c r="F666" s="21">
        <f>IFERROR(INDEX(Pedidos!$B$2:$B$1801,MATCH(B666,Pedidos!$A$2:$A$1801,0)),0)</f>
        <v/>
      </c>
      <c r="G666" s="21">
        <f>IF(F666=0,"",YEAR(F666))</f>
        <v/>
      </c>
      <c r="H666" s="21">
        <f>IF(F666=0,"",MONTH(F666))</f>
        <v/>
      </c>
      <c r="I666" s="21">
        <f>IFERROR(INDEX(Pedidos!$E$2:$E$1801,MATCH(B666,Pedidos!$A$2:$A$1801,0)),"")</f>
        <v/>
      </c>
      <c r="J666" s="21">
        <f>IFERROR(INDEX(Pedidos!$C$2:$C$1801,MATCH(B666,Pedidos!$A$2:$A$1801,0)),"")</f>
        <v/>
      </c>
      <c r="K666" s="21">
        <f>IFERROR(INDEX(Pedidos!$D$2:$D$1801,MATCH(B666,Pedidos!$A$2:$A$1801,0)),"")</f>
        <v/>
      </c>
      <c r="L666" s="21">
        <f>IFERROR(INDEX(Pedidos!$F$2:$F$1801,MATCH(B666,Pedidos!$A$2:$A$1801,0)),"")</f>
        <v/>
      </c>
      <c r="M666" s="22">
        <f>IFERROR(INDEX(Pedidos!$G$2:$G$1801,MATCH(B666,Pedidos!$A$2:$A$1801,0)),0)</f>
        <v/>
      </c>
      <c r="N666" s="21">
        <f>IFERROR(INDEX(Produtos!$B$2:$B$71,MATCH(C666,Produtos!$A$2:$A$71,0)),"")</f>
        <v/>
      </c>
      <c r="O666" s="21">
        <f>IFERROR(INDEX(Produtos!$C$2:$C$71,MATCH(C666,Produtos!$A$2:$A$71,0)),"")</f>
        <v/>
      </c>
      <c r="P666" s="21">
        <f>IFERROR(INDEX(Produtos!$D$2:$D$71,MATCH(C666,Produtos!$A$2:$A$71,0)),0)</f>
        <v/>
      </c>
      <c r="Q666" s="21">
        <f>IFERROR(INDEX(Produtos!$E$2:$E$71,MATCH(C666,Produtos!$A$2:$A$71,0)),0)</f>
        <v/>
      </c>
      <c r="R666" s="23">
        <f>D666*Q666</f>
        <v/>
      </c>
      <c r="S666" s="23">
        <f>R666*E666</f>
        <v/>
      </c>
      <c r="T666" s="23">
        <f>(R666-S666)*M666</f>
        <v/>
      </c>
      <c r="U666" s="23">
        <f>R666-S666-T666</f>
        <v/>
      </c>
      <c r="V666" s="23">
        <f>D666*P666</f>
        <v/>
      </c>
      <c r="W666" s="23">
        <f>U666-V666</f>
        <v/>
      </c>
      <c r="X666" s="24">
        <f>IFERROR(W666/U666,0)</f>
        <v/>
      </c>
    </row>
    <row r="667">
      <c r="A667" s="25">
        <f>ItensPedido!A667</f>
        <v/>
      </c>
      <c r="B667" s="25">
        <f>ItensPedido!B667</f>
        <v/>
      </c>
      <c r="C667" s="25">
        <f>ItensPedido!C667</f>
        <v/>
      </c>
      <c r="D667" s="25">
        <f>ItensPedido!D667</f>
        <v/>
      </c>
      <c r="E667" s="26">
        <f>ItensPedido!E667</f>
        <v/>
      </c>
      <c r="F667" s="25">
        <f>IFERROR(INDEX(Pedidos!$B$2:$B$1801,MATCH(B667,Pedidos!$A$2:$A$1801,0)),0)</f>
        <v/>
      </c>
      <c r="G667" s="25">
        <f>IF(F667=0,"",YEAR(F667))</f>
        <v/>
      </c>
      <c r="H667" s="25">
        <f>IF(F667=0,"",MONTH(F667))</f>
        <v/>
      </c>
      <c r="I667" s="25">
        <f>IFERROR(INDEX(Pedidos!$E$2:$E$1801,MATCH(B667,Pedidos!$A$2:$A$1801,0)),"")</f>
        <v/>
      </c>
      <c r="J667" s="25">
        <f>IFERROR(INDEX(Pedidos!$C$2:$C$1801,MATCH(B667,Pedidos!$A$2:$A$1801,0)),"")</f>
        <v/>
      </c>
      <c r="K667" s="25">
        <f>IFERROR(INDEX(Pedidos!$D$2:$D$1801,MATCH(B667,Pedidos!$A$2:$A$1801,0)),"")</f>
        <v/>
      </c>
      <c r="L667" s="25">
        <f>IFERROR(INDEX(Pedidos!$F$2:$F$1801,MATCH(B667,Pedidos!$A$2:$A$1801,0)),"")</f>
        <v/>
      </c>
      <c r="M667" s="26">
        <f>IFERROR(INDEX(Pedidos!$G$2:$G$1801,MATCH(B667,Pedidos!$A$2:$A$1801,0)),0)</f>
        <v/>
      </c>
      <c r="N667" s="25">
        <f>IFERROR(INDEX(Produtos!$B$2:$B$71,MATCH(C667,Produtos!$A$2:$A$71,0)),"")</f>
        <v/>
      </c>
      <c r="O667" s="25">
        <f>IFERROR(INDEX(Produtos!$C$2:$C$71,MATCH(C667,Produtos!$A$2:$A$71,0)),"")</f>
        <v/>
      </c>
      <c r="P667" s="25">
        <f>IFERROR(INDEX(Produtos!$D$2:$D$71,MATCH(C667,Produtos!$A$2:$A$71,0)),0)</f>
        <v/>
      </c>
      <c r="Q667" s="25">
        <f>IFERROR(INDEX(Produtos!$E$2:$E$71,MATCH(C667,Produtos!$A$2:$A$71,0)),0)</f>
        <v/>
      </c>
      <c r="R667" s="27">
        <f>D667*Q667</f>
        <v/>
      </c>
      <c r="S667" s="27">
        <f>R667*E667</f>
        <v/>
      </c>
      <c r="T667" s="27">
        <f>(R667-S667)*M667</f>
        <v/>
      </c>
      <c r="U667" s="27">
        <f>R667-S667-T667</f>
        <v/>
      </c>
      <c r="V667" s="27">
        <f>D667*P667</f>
        <v/>
      </c>
      <c r="W667" s="27">
        <f>U667-V667</f>
        <v/>
      </c>
      <c r="X667" s="28">
        <f>IFERROR(W667/U667,0)</f>
        <v/>
      </c>
    </row>
    <row r="668">
      <c r="A668" s="21">
        <f>ItensPedido!A668</f>
        <v/>
      </c>
      <c r="B668" s="21">
        <f>ItensPedido!B668</f>
        <v/>
      </c>
      <c r="C668" s="21">
        <f>ItensPedido!C668</f>
        <v/>
      </c>
      <c r="D668" s="21">
        <f>ItensPedido!D668</f>
        <v/>
      </c>
      <c r="E668" s="22">
        <f>ItensPedido!E668</f>
        <v/>
      </c>
      <c r="F668" s="21">
        <f>IFERROR(INDEX(Pedidos!$B$2:$B$1801,MATCH(B668,Pedidos!$A$2:$A$1801,0)),0)</f>
        <v/>
      </c>
      <c r="G668" s="21">
        <f>IF(F668=0,"",YEAR(F668))</f>
        <v/>
      </c>
      <c r="H668" s="21">
        <f>IF(F668=0,"",MONTH(F668))</f>
        <v/>
      </c>
      <c r="I668" s="21">
        <f>IFERROR(INDEX(Pedidos!$E$2:$E$1801,MATCH(B668,Pedidos!$A$2:$A$1801,0)),"")</f>
        <v/>
      </c>
      <c r="J668" s="21">
        <f>IFERROR(INDEX(Pedidos!$C$2:$C$1801,MATCH(B668,Pedidos!$A$2:$A$1801,0)),"")</f>
        <v/>
      </c>
      <c r="K668" s="21">
        <f>IFERROR(INDEX(Pedidos!$D$2:$D$1801,MATCH(B668,Pedidos!$A$2:$A$1801,0)),"")</f>
        <v/>
      </c>
      <c r="L668" s="21">
        <f>IFERROR(INDEX(Pedidos!$F$2:$F$1801,MATCH(B668,Pedidos!$A$2:$A$1801,0)),"")</f>
        <v/>
      </c>
      <c r="M668" s="22">
        <f>IFERROR(INDEX(Pedidos!$G$2:$G$1801,MATCH(B668,Pedidos!$A$2:$A$1801,0)),0)</f>
        <v/>
      </c>
      <c r="N668" s="21">
        <f>IFERROR(INDEX(Produtos!$B$2:$B$71,MATCH(C668,Produtos!$A$2:$A$71,0)),"")</f>
        <v/>
      </c>
      <c r="O668" s="21">
        <f>IFERROR(INDEX(Produtos!$C$2:$C$71,MATCH(C668,Produtos!$A$2:$A$71,0)),"")</f>
        <v/>
      </c>
      <c r="P668" s="21">
        <f>IFERROR(INDEX(Produtos!$D$2:$D$71,MATCH(C668,Produtos!$A$2:$A$71,0)),0)</f>
        <v/>
      </c>
      <c r="Q668" s="21">
        <f>IFERROR(INDEX(Produtos!$E$2:$E$71,MATCH(C668,Produtos!$A$2:$A$71,0)),0)</f>
        <v/>
      </c>
      <c r="R668" s="23">
        <f>D668*Q668</f>
        <v/>
      </c>
      <c r="S668" s="23">
        <f>R668*E668</f>
        <v/>
      </c>
      <c r="T668" s="23">
        <f>(R668-S668)*M668</f>
        <v/>
      </c>
      <c r="U668" s="23">
        <f>R668-S668-T668</f>
        <v/>
      </c>
      <c r="V668" s="23">
        <f>D668*P668</f>
        <v/>
      </c>
      <c r="W668" s="23">
        <f>U668-V668</f>
        <v/>
      </c>
      <c r="X668" s="24">
        <f>IFERROR(W668/U668,0)</f>
        <v/>
      </c>
    </row>
    <row r="669">
      <c r="A669" s="25">
        <f>ItensPedido!A669</f>
        <v/>
      </c>
      <c r="B669" s="25">
        <f>ItensPedido!B669</f>
        <v/>
      </c>
      <c r="C669" s="25">
        <f>ItensPedido!C669</f>
        <v/>
      </c>
      <c r="D669" s="25">
        <f>ItensPedido!D669</f>
        <v/>
      </c>
      <c r="E669" s="26">
        <f>ItensPedido!E669</f>
        <v/>
      </c>
      <c r="F669" s="25">
        <f>IFERROR(INDEX(Pedidos!$B$2:$B$1801,MATCH(B669,Pedidos!$A$2:$A$1801,0)),0)</f>
        <v/>
      </c>
      <c r="G669" s="25">
        <f>IF(F669=0,"",YEAR(F669))</f>
        <v/>
      </c>
      <c r="H669" s="25">
        <f>IF(F669=0,"",MONTH(F669))</f>
        <v/>
      </c>
      <c r="I669" s="25">
        <f>IFERROR(INDEX(Pedidos!$E$2:$E$1801,MATCH(B669,Pedidos!$A$2:$A$1801,0)),"")</f>
        <v/>
      </c>
      <c r="J669" s="25">
        <f>IFERROR(INDEX(Pedidos!$C$2:$C$1801,MATCH(B669,Pedidos!$A$2:$A$1801,0)),"")</f>
        <v/>
      </c>
      <c r="K669" s="25">
        <f>IFERROR(INDEX(Pedidos!$D$2:$D$1801,MATCH(B669,Pedidos!$A$2:$A$1801,0)),"")</f>
        <v/>
      </c>
      <c r="L669" s="25">
        <f>IFERROR(INDEX(Pedidos!$F$2:$F$1801,MATCH(B669,Pedidos!$A$2:$A$1801,0)),"")</f>
        <v/>
      </c>
      <c r="M669" s="26">
        <f>IFERROR(INDEX(Pedidos!$G$2:$G$1801,MATCH(B669,Pedidos!$A$2:$A$1801,0)),0)</f>
        <v/>
      </c>
      <c r="N669" s="25">
        <f>IFERROR(INDEX(Produtos!$B$2:$B$71,MATCH(C669,Produtos!$A$2:$A$71,0)),"")</f>
        <v/>
      </c>
      <c r="O669" s="25">
        <f>IFERROR(INDEX(Produtos!$C$2:$C$71,MATCH(C669,Produtos!$A$2:$A$71,0)),"")</f>
        <v/>
      </c>
      <c r="P669" s="25">
        <f>IFERROR(INDEX(Produtos!$D$2:$D$71,MATCH(C669,Produtos!$A$2:$A$71,0)),0)</f>
        <v/>
      </c>
      <c r="Q669" s="25">
        <f>IFERROR(INDEX(Produtos!$E$2:$E$71,MATCH(C669,Produtos!$A$2:$A$71,0)),0)</f>
        <v/>
      </c>
      <c r="R669" s="27">
        <f>D669*Q669</f>
        <v/>
      </c>
      <c r="S669" s="27">
        <f>R669*E669</f>
        <v/>
      </c>
      <c r="T669" s="27">
        <f>(R669-S669)*M669</f>
        <v/>
      </c>
      <c r="U669" s="27">
        <f>R669-S669-T669</f>
        <v/>
      </c>
      <c r="V669" s="27">
        <f>D669*P669</f>
        <v/>
      </c>
      <c r="W669" s="27">
        <f>U669-V669</f>
        <v/>
      </c>
      <c r="X669" s="28">
        <f>IFERROR(W669/U669,0)</f>
        <v/>
      </c>
    </row>
    <row r="670">
      <c r="A670" s="21">
        <f>ItensPedido!A670</f>
        <v/>
      </c>
      <c r="B670" s="21">
        <f>ItensPedido!B670</f>
        <v/>
      </c>
      <c r="C670" s="21">
        <f>ItensPedido!C670</f>
        <v/>
      </c>
      <c r="D670" s="21">
        <f>ItensPedido!D670</f>
        <v/>
      </c>
      <c r="E670" s="22">
        <f>ItensPedido!E670</f>
        <v/>
      </c>
      <c r="F670" s="21">
        <f>IFERROR(INDEX(Pedidos!$B$2:$B$1801,MATCH(B670,Pedidos!$A$2:$A$1801,0)),0)</f>
        <v/>
      </c>
      <c r="G670" s="21">
        <f>IF(F670=0,"",YEAR(F670))</f>
        <v/>
      </c>
      <c r="H670" s="21">
        <f>IF(F670=0,"",MONTH(F670))</f>
        <v/>
      </c>
      <c r="I670" s="21">
        <f>IFERROR(INDEX(Pedidos!$E$2:$E$1801,MATCH(B670,Pedidos!$A$2:$A$1801,0)),"")</f>
        <v/>
      </c>
      <c r="J670" s="21">
        <f>IFERROR(INDEX(Pedidos!$C$2:$C$1801,MATCH(B670,Pedidos!$A$2:$A$1801,0)),"")</f>
        <v/>
      </c>
      <c r="K670" s="21">
        <f>IFERROR(INDEX(Pedidos!$D$2:$D$1801,MATCH(B670,Pedidos!$A$2:$A$1801,0)),"")</f>
        <v/>
      </c>
      <c r="L670" s="21">
        <f>IFERROR(INDEX(Pedidos!$F$2:$F$1801,MATCH(B670,Pedidos!$A$2:$A$1801,0)),"")</f>
        <v/>
      </c>
      <c r="M670" s="22">
        <f>IFERROR(INDEX(Pedidos!$G$2:$G$1801,MATCH(B670,Pedidos!$A$2:$A$1801,0)),0)</f>
        <v/>
      </c>
      <c r="N670" s="21">
        <f>IFERROR(INDEX(Produtos!$B$2:$B$71,MATCH(C670,Produtos!$A$2:$A$71,0)),"")</f>
        <v/>
      </c>
      <c r="O670" s="21">
        <f>IFERROR(INDEX(Produtos!$C$2:$C$71,MATCH(C670,Produtos!$A$2:$A$71,0)),"")</f>
        <v/>
      </c>
      <c r="P670" s="21">
        <f>IFERROR(INDEX(Produtos!$D$2:$D$71,MATCH(C670,Produtos!$A$2:$A$71,0)),0)</f>
        <v/>
      </c>
      <c r="Q670" s="21">
        <f>IFERROR(INDEX(Produtos!$E$2:$E$71,MATCH(C670,Produtos!$A$2:$A$71,0)),0)</f>
        <v/>
      </c>
      <c r="R670" s="23">
        <f>D670*Q670</f>
        <v/>
      </c>
      <c r="S670" s="23">
        <f>R670*E670</f>
        <v/>
      </c>
      <c r="T670" s="23">
        <f>(R670-S670)*M670</f>
        <v/>
      </c>
      <c r="U670" s="23">
        <f>R670-S670-T670</f>
        <v/>
      </c>
      <c r="V670" s="23">
        <f>D670*P670</f>
        <v/>
      </c>
      <c r="W670" s="23">
        <f>U670-V670</f>
        <v/>
      </c>
      <c r="X670" s="24">
        <f>IFERROR(W670/U670,0)</f>
        <v/>
      </c>
    </row>
    <row r="671">
      <c r="A671" s="25">
        <f>ItensPedido!A671</f>
        <v/>
      </c>
      <c r="B671" s="25">
        <f>ItensPedido!B671</f>
        <v/>
      </c>
      <c r="C671" s="25">
        <f>ItensPedido!C671</f>
        <v/>
      </c>
      <c r="D671" s="25">
        <f>ItensPedido!D671</f>
        <v/>
      </c>
      <c r="E671" s="26">
        <f>ItensPedido!E671</f>
        <v/>
      </c>
      <c r="F671" s="25">
        <f>IFERROR(INDEX(Pedidos!$B$2:$B$1801,MATCH(B671,Pedidos!$A$2:$A$1801,0)),0)</f>
        <v/>
      </c>
      <c r="G671" s="25">
        <f>IF(F671=0,"",YEAR(F671))</f>
        <v/>
      </c>
      <c r="H671" s="25">
        <f>IF(F671=0,"",MONTH(F671))</f>
        <v/>
      </c>
      <c r="I671" s="25">
        <f>IFERROR(INDEX(Pedidos!$E$2:$E$1801,MATCH(B671,Pedidos!$A$2:$A$1801,0)),"")</f>
        <v/>
      </c>
      <c r="J671" s="25">
        <f>IFERROR(INDEX(Pedidos!$C$2:$C$1801,MATCH(B671,Pedidos!$A$2:$A$1801,0)),"")</f>
        <v/>
      </c>
      <c r="K671" s="25">
        <f>IFERROR(INDEX(Pedidos!$D$2:$D$1801,MATCH(B671,Pedidos!$A$2:$A$1801,0)),"")</f>
        <v/>
      </c>
      <c r="L671" s="25">
        <f>IFERROR(INDEX(Pedidos!$F$2:$F$1801,MATCH(B671,Pedidos!$A$2:$A$1801,0)),"")</f>
        <v/>
      </c>
      <c r="M671" s="26">
        <f>IFERROR(INDEX(Pedidos!$G$2:$G$1801,MATCH(B671,Pedidos!$A$2:$A$1801,0)),0)</f>
        <v/>
      </c>
      <c r="N671" s="25">
        <f>IFERROR(INDEX(Produtos!$B$2:$B$71,MATCH(C671,Produtos!$A$2:$A$71,0)),"")</f>
        <v/>
      </c>
      <c r="O671" s="25">
        <f>IFERROR(INDEX(Produtos!$C$2:$C$71,MATCH(C671,Produtos!$A$2:$A$71,0)),"")</f>
        <v/>
      </c>
      <c r="P671" s="25">
        <f>IFERROR(INDEX(Produtos!$D$2:$D$71,MATCH(C671,Produtos!$A$2:$A$71,0)),0)</f>
        <v/>
      </c>
      <c r="Q671" s="25">
        <f>IFERROR(INDEX(Produtos!$E$2:$E$71,MATCH(C671,Produtos!$A$2:$A$71,0)),0)</f>
        <v/>
      </c>
      <c r="R671" s="27">
        <f>D671*Q671</f>
        <v/>
      </c>
      <c r="S671" s="27">
        <f>R671*E671</f>
        <v/>
      </c>
      <c r="T671" s="27">
        <f>(R671-S671)*M671</f>
        <v/>
      </c>
      <c r="U671" s="27">
        <f>R671-S671-T671</f>
        <v/>
      </c>
      <c r="V671" s="27">
        <f>D671*P671</f>
        <v/>
      </c>
      <c r="W671" s="27">
        <f>U671-V671</f>
        <v/>
      </c>
      <c r="X671" s="28">
        <f>IFERROR(W671/U671,0)</f>
        <v/>
      </c>
    </row>
    <row r="672">
      <c r="A672" s="21">
        <f>ItensPedido!A672</f>
        <v/>
      </c>
      <c r="B672" s="21">
        <f>ItensPedido!B672</f>
        <v/>
      </c>
      <c r="C672" s="21">
        <f>ItensPedido!C672</f>
        <v/>
      </c>
      <c r="D672" s="21">
        <f>ItensPedido!D672</f>
        <v/>
      </c>
      <c r="E672" s="22">
        <f>ItensPedido!E672</f>
        <v/>
      </c>
      <c r="F672" s="21">
        <f>IFERROR(INDEX(Pedidos!$B$2:$B$1801,MATCH(B672,Pedidos!$A$2:$A$1801,0)),0)</f>
        <v/>
      </c>
      <c r="G672" s="21">
        <f>IF(F672=0,"",YEAR(F672))</f>
        <v/>
      </c>
      <c r="H672" s="21">
        <f>IF(F672=0,"",MONTH(F672))</f>
        <v/>
      </c>
      <c r="I672" s="21">
        <f>IFERROR(INDEX(Pedidos!$E$2:$E$1801,MATCH(B672,Pedidos!$A$2:$A$1801,0)),"")</f>
        <v/>
      </c>
      <c r="J672" s="21">
        <f>IFERROR(INDEX(Pedidos!$C$2:$C$1801,MATCH(B672,Pedidos!$A$2:$A$1801,0)),"")</f>
        <v/>
      </c>
      <c r="K672" s="21">
        <f>IFERROR(INDEX(Pedidos!$D$2:$D$1801,MATCH(B672,Pedidos!$A$2:$A$1801,0)),"")</f>
        <v/>
      </c>
      <c r="L672" s="21">
        <f>IFERROR(INDEX(Pedidos!$F$2:$F$1801,MATCH(B672,Pedidos!$A$2:$A$1801,0)),"")</f>
        <v/>
      </c>
      <c r="M672" s="22">
        <f>IFERROR(INDEX(Pedidos!$G$2:$G$1801,MATCH(B672,Pedidos!$A$2:$A$1801,0)),0)</f>
        <v/>
      </c>
      <c r="N672" s="21">
        <f>IFERROR(INDEX(Produtos!$B$2:$B$71,MATCH(C672,Produtos!$A$2:$A$71,0)),"")</f>
        <v/>
      </c>
      <c r="O672" s="21">
        <f>IFERROR(INDEX(Produtos!$C$2:$C$71,MATCH(C672,Produtos!$A$2:$A$71,0)),"")</f>
        <v/>
      </c>
      <c r="P672" s="21">
        <f>IFERROR(INDEX(Produtos!$D$2:$D$71,MATCH(C672,Produtos!$A$2:$A$71,0)),0)</f>
        <v/>
      </c>
      <c r="Q672" s="21">
        <f>IFERROR(INDEX(Produtos!$E$2:$E$71,MATCH(C672,Produtos!$A$2:$A$71,0)),0)</f>
        <v/>
      </c>
      <c r="R672" s="23">
        <f>D672*Q672</f>
        <v/>
      </c>
      <c r="S672" s="23">
        <f>R672*E672</f>
        <v/>
      </c>
      <c r="T672" s="23">
        <f>(R672-S672)*M672</f>
        <v/>
      </c>
      <c r="U672" s="23">
        <f>R672-S672-T672</f>
        <v/>
      </c>
      <c r="V672" s="23">
        <f>D672*P672</f>
        <v/>
      </c>
      <c r="W672" s="23">
        <f>U672-V672</f>
        <v/>
      </c>
      <c r="X672" s="24">
        <f>IFERROR(W672/U672,0)</f>
        <v/>
      </c>
    </row>
    <row r="673">
      <c r="A673" s="25">
        <f>ItensPedido!A673</f>
        <v/>
      </c>
      <c r="B673" s="25">
        <f>ItensPedido!B673</f>
        <v/>
      </c>
      <c r="C673" s="25">
        <f>ItensPedido!C673</f>
        <v/>
      </c>
      <c r="D673" s="25">
        <f>ItensPedido!D673</f>
        <v/>
      </c>
      <c r="E673" s="26">
        <f>ItensPedido!E673</f>
        <v/>
      </c>
      <c r="F673" s="25">
        <f>IFERROR(INDEX(Pedidos!$B$2:$B$1801,MATCH(B673,Pedidos!$A$2:$A$1801,0)),0)</f>
        <v/>
      </c>
      <c r="G673" s="25">
        <f>IF(F673=0,"",YEAR(F673))</f>
        <v/>
      </c>
      <c r="H673" s="25">
        <f>IF(F673=0,"",MONTH(F673))</f>
        <v/>
      </c>
      <c r="I673" s="25">
        <f>IFERROR(INDEX(Pedidos!$E$2:$E$1801,MATCH(B673,Pedidos!$A$2:$A$1801,0)),"")</f>
        <v/>
      </c>
      <c r="J673" s="25">
        <f>IFERROR(INDEX(Pedidos!$C$2:$C$1801,MATCH(B673,Pedidos!$A$2:$A$1801,0)),"")</f>
        <v/>
      </c>
      <c r="K673" s="25">
        <f>IFERROR(INDEX(Pedidos!$D$2:$D$1801,MATCH(B673,Pedidos!$A$2:$A$1801,0)),"")</f>
        <v/>
      </c>
      <c r="L673" s="25">
        <f>IFERROR(INDEX(Pedidos!$F$2:$F$1801,MATCH(B673,Pedidos!$A$2:$A$1801,0)),"")</f>
        <v/>
      </c>
      <c r="M673" s="26">
        <f>IFERROR(INDEX(Pedidos!$G$2:$G$1801,MATCH(B673,Pedidos!$A$2:$A$1801,0)),0)</f>
        <v/>
      </c>
      <c r="N673" s="25">
        <f>IFERROR(INDEX(Produtos!$B$2:$B$71,MATCH(C673,Produtos!$A$2:$A$71,0)),"")</f>
        <v/>
      </c>
      <c r="O673" s="25">
        <f>IFERROR(INDEX(Produtos!$C$2:$C$71,MATCH(C673,Produtos!$A$2:$A$71,0)),"")</f>
        <v/>
      </c>
      <c r="P673" s="25">
        <f>IFERROR(INDEX(Produtos!$D$2:$D$71,MATCH(C673,Produtos!$A$2:$A$71,0)),0)</f>
        <v/>
      </c>
      <c r="Q673" s="25">
        <f>IFERROR(INDEX(Produtos!$E$2:$E$71,MATCH(C673,Produtos!$A$2:$A$71,0)),0)</f>
        <v/>
      </c>
      <c r="R673" s="27">
        <f>D673*Q673</f>
        <v/>
      </c>
      <c r="S673" s="27">
        <f>R673*E673</f>
        <v/>
      </c>
      <c r="T673" s="27">
        <f>(R673-S673)*M673</f>
        <v/>
      </c>
      <c r="U673" s="27">
        <f>R673-S673-T673</f>
        <v/>
      </c>
      <c r="V673" s="27">
        <f>D673*P673</f>
        <v/>
      </c>
      <c r="W673" s="27">
        <f>U673-V673</f>
        <v/>
      </c>
      <c r="X673" s="28">
        <f>IFERROR(W673/U673,0)</f>
        <v/>
      </c>
    </row>
    <row r="674">
      <c r="A674" s="21">
        <f>ItensPedido!A674</f>
        <v/>
      </c>
      <c r="B674" s="21">
        <f>ItensPedido!B674</f>
        <v/>
      </c>
      <c r="C674" s="21">
        <f>ItensPedido!C674</f>
        <v/>
      </c>
      <c r="D674" s="21">
        <f>ItensPedido!D674</f>
        <v/>
      </c>
      <c r="E674" s="22">
        <f>ItensPedido!E674</f>
        <v/>
      </c>
      <c r="F674" s="21">
        <f>IFERROR(INDEX(Pedidos!$B$2:$B$1801,MATCH(B674,Pedidos!$A$2:$A$1801,0)),0)</f>
        <v/>
      </c>
      <c r="G674" s="21">
        <f>IF(F674=0,"",YEAR(F674))</f>
        <v/>
      </c>
      <c r="H674" s="21">
        <f>IF(F674=0,"",MONTH(F674))</f>
        <v/>
      </c>
      <c r="I674" s="21">
        <f>IFERROR(INDEX(Pedidos!$E$2:$E$1801,MATCH(B674,Pedidos!$A$2:$A$1801,0)),"")</f>
        <v/>
      </c>
      <c r="J674" s="21">
        <f>IFERROR(INDEX(Pedidos!$C$2:$C$1801,MATCH(B674,Pedidos!$A$2:$A$1801,0)),"")</f>
        <v/>
      </c>
      <c r="K674" s="21">
        <f>IFERROR(INDEX(Pedidos!$D$2:$D$1801,MATCH(B674,Pedidos!$A$2:$A$1801,0)),"")</f>
        <v/>
      </c>
      <c r="L674" s="21">
        <f>IFERROR(INDEX(Pedidos!$F$2:$F$1801,MATCH(B674,Pedidos!$A$2:$A$1801,0)),"")</f>
        <v/>
      </c>
      <c r="M674" s="22">
        <f>IFERROR(INDEX(Pedidos!$G$2:$G$1801,MATCH(B674,Pedidos!$A$2:$A$1801,0)),0)</f>
        <v/>
      </c>
      <c r="N674" s="21">
        <f>IFERROR(INDEX(Produtos!$B$2:$B$71,MATCH(C674,Produtos!$A$2:$A$71,0)),"")</f>
        <v/>
      </c>
      <c r="O674" s="21">
        <f>IFERROR(INDEX(Produtos!$C$2:$C$71,MATCH(C674,Produtos!$A$2:$A$71,0)),"")</f>
        <v/>
      </c>
      <c r="P674" s="21">
        <f>IFERROR(INDEX(Produtos!$D$2:$D$71,MATCH(C674,Produtos!$A$2:$A$71,0)),0)</f>
        <v/>
      </c>
      <c r="Q674" s="21">
        <f>IFERROR(INDEX(Produtos!$E$2:$E$71,MATCH(C674,Produtos!$A$2:$A$71,0)),0)</f>
        <v/>
      </c>
      <c r="R674" s="23">
        <f>D674*Q674</f>
        <v/>
      </c>
      <c r="S674" s="23">
        <f>R674*E674</f>
        <v/>
      </c>
      <c r="T674" s="23">
        <f>(R674-S674)*M674</f>
        <v/>
      </c>
      <c r="U674" s="23">
        <f>R674-S674-T674</f>
        <v/>
      </c>
      <c r="V674" s="23">
        <f>D674*P674</f>
        <v/>
      </c>
      <c r="W674" s="23">
        <f>U674-V674</f>
        <v/>
      </c>
      <c r="X674" s="24">
        <f>IFERROR(W674/U674,0)</f>
        <v/>
      </c>
    </row>
    <row r="675">
      <c r="A675" s="25">
        <f>ItensPedido!A675</f>
        <v/>
      </c>
      <c r="B675" s="25">
        <f>ItensPedido!B675</f>
        <v/>
      </c>
      <c r="C675" s="25">
        <f>ItensPedido!C675</f>
        <v/>
      </c>
      <c r="D675" s="25">
        <f>ItensPedido!D675</f>
        <v/>
      </c>
      <c r="E675" s="26">
        <f>ItensPedido!E675</f>
        <v/>
      </c>
      <c r="F675" s="25">
        <f>IFERROR(INDEX(Pedidos!$B$2:$B$1801,MATCH(B675,Pedidos!$A$2:$A$1801,0)),0)</f>
        <v/>
      </c>
      <c r="G675" s="25">
        <f>IF(F675=0,"",YEAR(F675))</f>
        <v/>
      </c>
      <c r="H675" s="25">
        <f>IF(F675=0,"",MONTH(F675))</f>
        <v/>
      </c>
      <c r="I675" s="25">
        <f>IFERROR(INDEX(Pedidos!$E$2:$E$1801,MATCH(B675,Pedidos!$A$2:$A$1801,0)),"")</f>
        <v/>
      </c>
      <c r="J675" s="25">
        <f>IFERROR(INDEX(Pedidos!$C$2:$C$1801,MATCH(B675,Pedidos!$A$2:$A$1801,0)),"")</f>
        <v/>
      </c>
      <c r="K675" s="25">
        <f>IFERROR(INDEX(Pedidos!$D$2:$D$1801,MATCH(B675,Pedidos!$A$2:$A$1801,0)),"")</f>
        <v/>
      </c>
      <c r="L675" s="25">
        <f>IFERROR(INDEX(Pedidos!$F$2:$F$1801,MATCH(B675,Pedidos!$A$2:$A$1801,0)),"")</f>
        <v/>
      </c>
      <c r="M675" s="26">
        <f>IFERROR(INDEX(Pedidos!$G$2:$G$1801,MATCH(B675,Pedidos!$A$2:$A$1801,0)),0)</f>
        <v/>
      </c>
      <c r="N675" s="25">
        <f>IFERROR(INDEX(Produtos!$B$2:$B$71,MATCH(C675,Produtos!$A$2:$A$71,0)),"")</f>
        <v/>
      </c>
      <c r="O675" s="25">
        <f>IFERROR(INDEX(Produtos!$C$2:$C$71,MATCH(C675,Produtos!$A$2:$A$71,0)),"")</f>
        <v/>
      </c>
      <c r="P675" s="25">
        <f>IFERROR(INDEX(Produtos!$D$2:$D$71,MATCH(C675,Produtos!$A$2:$A$71,0)),0)</f>
        <v/>
      </c>
      <c r="Q675" s="25">
        <f>IFERROR(INDEX(Produtos!$E$2:$E$71,MATCH(C675,Produtos!$A$2:$A$71,0)),0)</f>
        <v/>
      </c>
      <c r="R675" s="27">
        <f>D675*Q675</f>
        <v/>
      </c>
      <c r="S675" s="27">
        <f>R675*E675</f>
        <v/>
      </c>
      <c r="T675" s="27">
        <f>(R675-S675)*M675</f>
        <v/>
      </c>
      <c r="U675" s="27">
        <f>R675-S675-T675</f>
        <v/>
      </c>
      <c r="V675" s="27">
        <f>D675*P675</f>
        <v/>
      </c>
      <c r="W675" s="27">
        <f>U675-V675</f>
        <v/>
      </c>
      <c r="X675" s="28">
        <f>IFERROR(W675/U675,0)</f>
        <v/>
      </c>
    </row>
    <row r="676">
      <c r="A676" s="21">
        <f>ItensPedido!A676</f>
        <v/>
      </c>
      <c r="B676" s="21">
        <f>ItensPedido!B676</f>
        <v/>
      </c>
      <c r="C676" s="21">
        <f>ItensPedido!C676</f>
        <v/>
      </c>
      <c r="D676" s="21">
        <f>ItensPedido!D676</f>
        <v/>
      </c>
      <c r="E676" s="22">
        <f>ItensPedido!E676</f>
        <v/>
      </c>
      <c r="F676" s="21">
        <f>IFERROR(INDEX(Pedidos!$B$2:$B$1801,MATCH(B676,Pedidos!$A$2:$A$1801,0)),0)</f>
        <v/>
      </c>
      <c r="G676" s="21">
        <f>IF(F676=0,"",YEAR(F676))</f>
        <v/>
      </c>
      <c r="H676" s="21">
        <f>IF(F676=0,"",MONTH(F676))</f>
        <v/>
      </c>
      <c r="I676" s="21">
        <f>IFERROR(INDEX(Pedidos!$E$2:$E$1801,MATCH(B676,Pedidos!$A$2:$A$1801,0)),"")</f>
        <v/>
      </c>
      <c r="J676" s="21">
        <f>IFERROR(INDEX(Pedidos!$C$2:$C$1801,MATCH(B676,Pedidos!$A$2:$A$1801,0)),"")</f>
        <v/>
      </c>
      <c r="K676" s="21">
        <f>IFERROR(INDEX(Pedidos!$D$2:$D$1801,MATCH(B676,Pedidos!$A$2:$A$1801,0)),"")</f>
        <v/>
      </c>
      <c r="L676" s="21">
        <f>IFERROR(INDEX(Pedidos!$F$2:$F$1801,MATCH(B676,Pedidos!$A$2:$A$1801,0)),"")</f>
        <v/>
      </c>
      <c r="M676" s="22">
        <f>IFERROR(INDEX(Pedidos!$G$2:$G$1801,MATCH(B676,Pedidos!$A$2:$A$1801,0)),0)</f>
        <v/>
      </c>
      <c r="N676" s="21">
        <f>IFERROR(INDEX(Produtos!$B$2:$B$71,MATCH(C676,Produtos!$A$2:$A$71,0)),"")</f>
        <v/>
      </c>
      <c r="O676" s="21">
        <f>IFERROR(INDEX(Produtos!$C$2:$C$71,MATCH(C676,Produtos!$A$2:$A$71,0)),"")</f>
        <v/>
      </c>
      <c r="P676" s="21">
        <f>IFERROR(INDEX(Produtos!$D$2:$D$71,MATCH(C676,Produtos!$A$2:$A$71,0)),0)</f>
        <v/>
      </c>
      <c r="Q676" s="21">
        <f>IFERROR(INDEX(Produtos!$E$2:$E$71,MATCH(C676,Produtos!$A$2:$A$71,0)),0)</f>
        <v/>
      </c>
      <c r="R676" s="23">
        <f>D676*Q676</f>
        <v/>
      </c>
      <c r="S676" s="23">
        <f>R676*E676</f>
        <v/>
      </c>
      <c r="T676" s="23">
        <f>(R676-S676)*M676</f>
        <v/>
      </c>
      <c r="U676" s="23">
        <f>R676-S676-T676</f>
        <v/>
      </c>
      <c r="V676" s="23">
        <f>D676*P676</f>
        <v/>
      </c>
      <c r="W676" s="23">
        <f>U676-V676</f>
        <v/>
      </c>
      <c r="X676" s="24">
        <f>IFERROR(W676/U676,0)</f>
        <v/>
      </c>
    </row>
    <row r="677">
      <c r="A677" s="25">
        <f>ItensPedido!A677</f>
        <v/>
      </c>
      <c r="B677" s="25">
        <f>ItensPedido!B677</f>
        <v/>
      </c>
      <c r="C677" s="25">
        <f>ItensPedido!C677</f>
        <v/>
      </c>
      <c r="D677" s="25">
        <f>ItensPedido!D677</f>
        <v/>
      </c>
      <c r="E677" s="26">
        <f>ItensPedido!E677</f>
        <v/>
      </c>
      <c r="F677" s="25">
        <f>IFERROR(INDEX(Pedidos!$B$2:$B$1801,MATCH(B677,Pedidos!$A$2:$A$1801,0)),0)</f>
        <v/>
      </c>
      <c r="G677" s="25">
        <f>IF(F677=0,"",YEAR(F677))</f>
        <v/>
      </c>
      <c r="H677" s="25">
        <f>IF(F677=0,"",MONTH(F677))</f>
        <v/>
      </c>
      <c r="I677" s="25">
        <f>IFERROR(INDEX(Pedidos!$E$2:$E$1801,MATCH(B677,Pedidos!$A$2:$A$1801,0)),"")</f>
        <v/>
      </c>
      <c r="J677" s="25">
        <f>IFERROR(INDEX(Pedidos!$C$2:$C$1801,MATCH(B677,Pedidos!$A$2:$A$1801,0)),"")</f>
        <v/>
      </c>
      <c r="K677" s="25">
        <f>IFERROR(INDEX(Pedidos!$D$2:$D$1801,MATCH(B677,Pedidos!$A$2:$A$1801,0)),"")</f>
        <v/>
      </c>
      <c r="L677" s="25">
        <f>IFERROR(INDEX(Pedidos!$F$2:$F$1801,MATCH(B677,Pedidos!$A$2:$A$1801,0)),"")</f>
        <v/>
      </c>
      <c r="M677" s="26">
        <f>IFERROR(INDEX(Pedidos!$G$2:$G$1801,MATCH(B677,Pedidos!$A$2:$A$1801,0)),0)</f>
        <v/>
      </c>
      <c r="N677" s="25">
        <f>IFERROR(INDEX(Produtos!$B$2:$B$71,MATCH(C677,Produtos!$A$2:$A$71,0)),"")</f>
        <v/>
      </c>
      <c r="O677" s="25">
        <f>IFERROR(INDEX(Produtos!$C$2:$C$71,MATCH(C677,Produtos!$A$2:$A$71,0)),"")</f>
        <v/>
      </c>
      <c r="P677" s="25">
        <f>IFERROR(INDEX(Produtos!$D$2:$D$71,MATCH(C677,Produtos!$A$2:$A$71,0)),0)</f>
        <v/>
      </c>
      <c r="Q677" s="25">
        <f>IFERROR(INDEX(Produtos!$E$2:$E$71,MATCH(C677,Produtos!$A$2:$A$71,0)),0)</f>
        <v/>
      </c>
      <c r="R677" s="27">
        <f>D677*Q677</f>
        <v/>
      </c>
      <c r="S677" s="27">
        <f>R677*E677</f>
        <v/>
      </c>
      <c r="T677" s="27">
        <f>(R677-S677)*M677</f>
        <v/>
      </c>
      <c r="U677" s="27">
        <f>R677-S677-T677</f>
        <v/>
      </c>
      <c r="V677" s="27">
        <f>D677*P677</f>
        <v/>
      </c>
      <c r="W677" s="27">
        <f>U677-V677</f>
        <v/>
      </c>
      <c r="X677" s="28">
        <f>IFERROR(W677/U677,0)</f>
        <v/>
      </c>
    </row>
    <row r="678">
      <c r="A678" s="21">
        <f>ItensPedido!A678</f>
        <v/>
      </c>
      <c r="B678" s="21">
        <f>ItensPedido!B678</f>
        <v/>
      </c>
      <c r="C678" s="21">
        <f>ItensPedido!C678</f>
        <v/>
      </c>
      <c r="D678" s="21">
        <f>ItensPedido!D678</f>
        <v/>
      </c>
      <c r="E678" s="22">
        <f>ItensPedido!E678</f>
        <v/>
      </c>
      <c r="F678" s="21">
        <f>IFERROR(INDEX(Pedidos!$B$2:$B$1801,MATCH(B678,Pedidos!$A$2:$A$1801,0)),0)</f>
        <v/>
      </c>
      <c r="G678" s="21">
        <f>IF(F678=0,"",YEAR(F678))</f>
        <v/>
      </c>
      <c r="H678" s="21">
        <f>IF(F678=0,"",MONTH(F678))</f>
        <v/>
      </c>
      <c r="I678" s="21">
        <f>IFERROR(INDEX(Pedidos!$E$2:$E$1801,MATCH(B678,Pedidos!$A$2:$A$1801,0)),"")</f>
        <v/>
      </c>
      <c r="J678" s="21">
        <f>IFERROR(INDEX(Pedidos!$C$2:$C$1801,MATCH(B678,Pedidos!$A$2:$A$1801,0)),"")</f>
        <v/>
      </c>
      <c r="K678" s="21">
        <f>IFERROR(INDEX(Pedidos!$D$2:$D$1801,MATCH(B678,Pedidos!$A$2:$A$1801,0)),"")</f>
        <v/>
      </c>
      <c r="L678" s="21">
        <f>IFERROR(INDEX(Pedidos!$F$2:$F$1801,MATCH(B678,Pedidos!$A$2:$A$1801,0)),"")</f>
        <v/>
      </c>
      <c r="M678" s="22">
        <f>IFERROR(INDEX(Pedidos!$G$2:$G$1801,MATCH(B678,Pedidos!$A$2:$A$1801,0)),0)</f>
        <v/>
      </c>
      <c r="N678" s="21">
        <f>IFERROR(INDEX(Produtos!$B$2:$B$71,MATCH(C678,Produtos!$A$2:$A$71,0)),"")</f>
        <v/>
      </c>
      <c r="O678" s="21">
        <f>IFERROR(INDEX(Produtos!$C$2:$C$71,MATCH(C678,Produtos!$A$2:$A$71,0)),"")</f>
        <v/>
      </c>
      <c r="P678" s="21">
        <f>IFERROR(INDEX(Produtos!$D$2:$D$71,MATCH(C678,Produtos!$A$2:$A$71,0)),0)</f>
        <v/>
      </c>
      <c r="Q678" s="21">
        <f>IFERROR(INDEX(Produtos!$E$2:$E$71,MATCH(C678,Produtos!$A$2:$A$71,0)),0)</f>
        <v/>
      </c>
      <c r="R678" s="23">
        <f>D678*Q678</f>
        <v/>
      </c>
      <c r="S678" s="23">
        <f>R678*E678</f>
        <v/>
      </c>
      <c r="T678" s="23">
        <f>(R678-S678)*M678</f>
        <v/>
      </c>
      <c r="U678" s="23">
        <f>R678-S678-T678</f>
        <v/>
      </c>
      <c r="V678" s="23">
        <f>D678*P678</f>
        <v/>
      </c>
      <c r="W678" s="23">
        <f>U678-V678</f>
        <v/>
      </c>
      <c r="X678" s="24">
        <f>IFERROR(W678/U678,0)</f>
        <v/>
      </c>
    </row>
    <row r="679">
      <c r="A679" s="25">
        <f>ItensPedido!A679</f>
        <v/>
      </c>
      <c r="B679" s="25">
        <f>ItensPedido!B679</f>
        <v/>
      </c>
      <c r="C679" s="25">
        <f>ItensPedido!C679</f>
        <v/>
      </c>
      <c r="D679" s="25">
        <f>ItensPedido!D679</f>
        <v/>
      </c>
      <c r="E679" s="26">
        <f>ItensPedido!E679</f>
        <v/>
      </c>
      <c r="F679" s="25">
        <f>IFERROR(INDEX(Pedidos!$B$2:$B$1801,MATCH(B679,Pedidos!$A$2:$A$1801,0)),0)</f>
        <v/>
      </c>
      <c r="G679" s="25">
        <f>IF(F679=0,"",YEAR(F679))</f>
        <v/>
      </c>
      <c r="H679" s="25">
        <f>IF(F679=0,"",MONTH(F679))</f>
        <v/>
      </c>
      <c r="I679" s="25">
        <f>IFERROR(INDEX(Pedidos!$E$2:$E$1801,MATCH(B679,Pedidos!$A$2:$A$1801,0)),"")</f>
        <v/>
      </c>
      <c r="J679" s="25">
        <f>IFERROR(INDEX(Pedidos!$C$2:$C$1801,MATCH(B679,Pedidos!$A$2:$A$1801,0)),"")</f>
        <v/>
      </c>
      <c r="K679" s="25">
        <f>IFERROR(INDEX(Pedidos!$D$2:$D$1801,MATCH(B679,Pedidos!$A$2:$A$1801,0)),"")</f>
        <v/>
      </c>
      <c r="L679" s="25">
        <f>IFERROR(INDEX(Pedidos!$F$2:$F$1801,MATCH(B679,Pedidos!$A$2:$A$1801,0)),"")</f>
        <v/>
      </c>
      <c r="M679" s="26">
        <f>IFERROR(INDEX(Pedidos!$G$2:$G$1801,MATCH(B679,Pedidos!$A$2:$A$1801,0)),0)</f>
        <v/>
      </c>
      <c r="N679" s="25">
        <f>IFERROR(INDEX(Produtos!$B$2:$B$71,MATCH(C679,Produtos!$A$2:$A$71,0)),"")</f>
        <v/>
      </c>
      <c r="O679" s="25">
        <f>IFERROR(INDEX(Produtos!$C$2:$C$71,MATCH(C679,Produtos!$A$2:$A$71,0)),"")</f>
        <v/>
      </c>
      <c r="P679" s="25">
        <f>IFERROR(INDEX(Produtos!$D$2:$D$71,MATCH(C679,Produtos!$A$2:$A$71,0)),0)</f>
        <v/>
      </c>
      <c r="Q679" s="25">
        <f>IFERROR(INDEX(Produtos!$E$2:$E$71,MATCH(C679,Produtos!$A$2:$A$71,0)),0)</f>
        <v/>
      </c>
      <c r="R679" s="27">
        <f>D679*Q679</f>
        <v/>
      </c>
      <c r="S679" s="27">
        <f>R679*E679</f>
        <v/>
      </c>
      <c r="T679" s="27">
        <f>(R679-S679)*M679</f>
        <v/>
      </c>
      <c r="U679" s="27">
        <f>R679-S679-T679</f>
        <v/>
      </c>
      <c r="V679" s="27">
        <f>D679*P679</f>
        <v/>
      </c>
      <c r="W679" s="27">
        <f>U679-V679</f>
        <v/>
      </c>
      <c r="X679" s="28">
        <f>IFERROR(W679/U679,0)</f>
        <v/>
      </c>
    </row>
    <row r="680">
      <c r="A680" s="21">
        <f>ItensPedido!A680</f>
        <v/>
      </c>
      <c r="B680" s="21">
        <f>ItensPedido!B680</f>
        <v/>
      </c>
      <c r="C680" s="21">
        <f>ItensPedido!C680</f>
        <v/>
      </c>
      <c r="D680" s="21">
        <f>ItensPedido!D680</f>
        <v/>
      </c>
      <c r="E680" s="22">
        <f>ItensPedido!E680</f>
        <v/>
      </c>
      <c r="F680" s="21">
        <f>IFERROR(INDEX(Pedidos!$B$2:$B$1801,MATCH(B680,Pedidos!$A$2:$A$1801,0)),0)</f>
        <v/>
      </c>
      <c r="G680" s="21">
        <f>IF(F680=0,"",YEAR(F680))</f>
        <v/>
      </c>
      <c r="H680" s="21">
        <f>IF(F680=0,"",MONTH(F680))</f>
        <v/>
      </c>
      <c r="I680" s="21">
        <f>IFERROR(INDEX(Pedidos!$E$2:$E$1801,MATCH(B680,Pedidos!$A$2:$A$1801,0)),"")</f>
        <v/>
      </c>
      <c r="J680" s="21">
        <f>IFERROR(INDEX(Pedidos!$C$2:$C$1801,MATCH(B680,Pedidos!$A$2:$A$1801,0)),"")</f>
        <v/>
      </c>
      <c r="K680" s="21">
        <f>IFERROR(INDEX(Pedidos!$D$2:$D$1801,MATCH(B680,Pedidos!$A$2:$A$1801,0)),"")</f>
        <v/>
      </c>
      <c r="L680" s="21">
        <f>IFERROR(INDEX(Pedidos!$F$2:$F$1801,MATCH(B680,Pedidos!$A$2:$A$1801,0)),"")</f>
        <v/>
      </c>
      <c r="M680" s="22">
        <f>IFERROR(INDEX(Pedidos!$G$2:$G$1801,MATCH(B680,Pedidos!$A$2:$A$1801,0)),0)</f>
        <v/>
      </c>
      <c r="N680" s="21">
        <f>IFERROR(INDEX(Produtos!$B$2:$B$71,MATCH(C680,Produtos!$A$2:$A$71,0)),"")</f>
        <v/>
      </c>
      <c r="O680" s="21">
        <f>IFERROR(INDEX(Produtos!$C$2:$C$71,MATCH(C680,Produtos!$A$2:$A$71,0)),"")</f>
        <v/>
      </c>
      <c r="P680" s="21">
        <f>IFERROR(INDEX(Produtos!$D$2:$D$71,MATCH(C680,Produtos!$A$2:$A$71,0)),0)</f>
        <v/>
      </c>
      <c r="Q680" s="21">
        <f>IFERROR(INDEX(Produtos!$E$2:$E$71,MATCH(C680,Produtos!$A$2:$A$71,0)),0)</f>
        <v/>
      </c>
      <c r="R680" s="23">
        <f>D680*Q680</f>
        <v/>
      </c>
      <c r="S680" s="23">
        <f>R680*E680</f>
        <v/>
      </c>
      <c r="T680" s="23">
        <f>(R680-S680)*M680</f>
        <v/>
      </c>
      <c r="U680" s="23">
        <f>R680-S680-T680</f>
        <v/>
      </c>
      <c r="V680" s="23">
        <f>D680*P680</f>
        <v/>
      </c>
      <c r="W680" s="23">
        <f>U680-V680</f>
        <v/>
      </c>
      <c r="X680" s="24">
        <f>IFERROR(W680/U680,0)</f>
        <v/>
      </c>
    </row>
    <row r="681">
      <c r="A681" s="25">
        <f>ItensPedido!A681</f>
        <v/>
      </c>
      <c r="B681" s="25">
        <f>ItensPedido!B681</f>
        <v/>
      </c>
      <c r="C681" s="25">
        <f>ItensPedido!C681</f>
        <v/>
      </c>
      <c r="D681" s="25">
        <f>ItensPedido!D681</f>
        <v/>
      </c>
      <c r="E681" s="26">
        <f>ItensPedido!E681</f>
        <v/>
      </c>
      <c r="F681" s="25">
        <f>IFERROR(INDEX(Pedidos!$B$2:$B$1801,MATCH(B681,Pedidos!$A$2:$A$1801,0)),0)</f>
        <v/>
      </c>
      <c r="G681" s="25">
        <f>IF(F681=0,"",YEAR(F681))</f>
        <v/>
      </c>
      <c r="H681" s="25">
        <f>IF(F681=0,"",MONTH(F681))</f>
        <v/>
      </c>
      <c r="I681" s="25">
        <f>IFERROR(INDEX(Pedidos!$E$2:$E$1801,MATCH(B681,Pedidos!$A$2:$A$1801,0)),"")</f>
        <v/>
      </c>
      <c r="J681" s="25">
        <f>IFERROR(INDEX(Pedidos!$C$2:$C$1801,MATCH(B681,Pedidos!$A$2:$A$1801,0)),"")</f>
        <v/>
      </c>
      <c r="K681" s="25">
        <f>IFERROR(INDEX(Pedidos!$D$2:$D$1801,MATCH(B681,Pedidos!$A$2:$A$1801,0)),"")</f>
        <v/>
      </c>
      <c r="L681" s="25">
        <f>IFERROR(INDEX(Pedidos!$F$2:$F$1801,MATCH(B681,Pedidos!$A$2:$A$1801,0)),"")</f>
        <v/>
      </c>
      <c r="M681" s="26">
        <f>IFERROR(INDEX(Pedidos!$G$2:$G$1801,MATCH(B681,Pedidos!$A$2:$A$1801,0)),0)</f>
        <v/>
      </c>
      <c r="N681" s="25">
        <f>IFERROR(INDEX(Produtos!$B$2:$B$71,MATCH(C681,Produtos!$A$2:$A$71,0)),"")</f>
        <v/>
      </c>
      <c r="O681" s="25">
        <f>IFERROR(INDEX(Produtos!$C$2:$C$71,MATCH(C681,Produtos!$A$2:$A$71,0)),"")</f>
        <v/>
      </c>
      <c r="P681" s="25">
        <f>IFERROR(INDEX(Produtos!$D$2:$D$71,MATCH(C681,Produtos!$A$2:$A$71,0)),0)</f>
        <v/>
      </c>
      <c r="Q681" s="25">
        <f>IFERROR(INDEX(Produtos!$E$2:$E$71,MATCH(C681,Produtos!$A$2:$A$71,0)),0)</f>
        <v/>
      </c>
      <c r="R681" s="27">
        <f>D681*Q681</f>
        <v/>
      </c>
      <c r="S681" s="27">
        <f>R681*E681</f>
        <v/>
      </c>
      <c r="T681" s="27">
        <f>(R681-S681)*M681</f>
        <v/>
      </c>
      <c r="U681" s="27">
        <f>R681-S681-T681</f>
        <v/>
      </c>
      <c r="V681" s="27">
        <f>D681*P681</f>
        <v/>
      </c>
      <c r="W681" s="27">
        <f>U681-V681</f>
        <v/>
      </c>
      <c r="X681" s="28">
        <f>IFERROR(W681/U681,0)</f>
        <v/>
      </c>
    </row>
    <row r="682">
      <c r="A682" s="21">
        <f>ItensPedido!A682</f>
        <v/>
      </c>
      <c r="B682" s="21">
        <f>ItensPedido!B682</f>
        <v/>
      </c>
      <c r="C682" s="21">
        <f>ItensPedido!C682</f>
        <v/>
      </c>
      <c r="D682" s="21">
        <f>ItensPedido!D682</f>
        <v/>
      </c>
      <c r="E682" s="22">
        <f>ItensPedido!E682</f>
        <v/>
      </c>
      <c r="F682" s="21">
        <f>IFERROR(INDEX(Pedidos!$B$2:$B$1801,MATCH(B682,Pedidos!$A$2:$A$1801,0)),0)</f>
        <v/>
      </c>
      <c r="G682" s="21">
        <f>IF(F682=0,"",YEAR(F682))</f>
        <v/>
      </c>
      <c r="H682" s="21">
        <f>IF(F682=0,"",MONTH(F682))</f>
        <v/>
      </c>
      <c r="I682" s="21">
        <f>IFERROR(INDEX(Pedidos!$E$2:$E$1801,MATCH(B682,Pedidos!$A$2:$A$1801,0)),"")</f>
        <v/>
      </c>
      <c r="J682" s="21">
        <f>IFERROR(INDEX(Pedidos!$C$2:$C$1801,MATCH(B682,Pedidos!$A$2:$A$1801,0)),"")</f>
        <v/>
      </c>
      <c r="K682" s="21">
        <f>IFERROR(INDEX(Pedidos!$D$2:$D$1801,MATCH(B682,Pedidos!$A$2:$A$1801,0)),"")</f>
        <v/>
      </c>
      <c r="L682" s="21">
        <f>IFERROR(INDEX(Pedidos!$F$2:$F$1801,MATCH(B682,Pedidos!$A$2:$A$1801,0)),"")</f>
        <v/>
      </c>
      <c r="M682" s="22">
        <f>IFERROR(INDEX(Pedidos!$G$2:$G$1801,MATCH(B682,Pedidos!$A$2:$A$1801,0)),0)</f>
        <v/>
      </c>
      <c r="N682" s="21">
        <f>IFERROR(INDEX(Produtos!$B$2:$B$71,MATCH(C682,Produtos!$A$2:$A$71,0)),"")</f>
        <v/>
      </c>
      <c r="O682" s="21">
        <f>IFERROR(INDEX(Produtos!$C$2:$C$71,MATCH(C682,Produtos!$A$2:$A$71,0)),"")</f>
        <v/>
      </c>
      <c r="P682" s="21">
        <f>IFERROR(INDEX(Produtos!$D$2:$D$71,MATCH(C682,Produtos!$A$2:$A$71,0)),0)</f>
        <v/>
      </c>
      <c r="Q682" s="21">
        <f>IFERROR(INDEX(Produtos!$E$2:$E$71,MATCH(C682,Produtos!$A$2:$A$71,0)),0)</f>
        <v/>
      </c>
      <c r="R682" s="23">
        <f>D682*Q682</f>
        <v/>
      </c>
      <c r="S682" s="23">
        <f>R682*E682</f>
        <v/>
      </c>
      <c r="T682" s="23">
        <f>(R682-S682)*M682</f>
        <v/>
      </c>
      <c r="U682" s="23">
        <f>R682-S682-T682</f>
        <v/>
      </c>
      <c r="V682" s="23">
        <f>D682*P682</f>
        <v/>
      </c>
      <c r="W682" s="23">
        <f>U682-V682</f>
        <v/>
      </c>
      <c r="X682" s="24">
        <f>IFERROR(W682/U682,0)</f>
        <v/>
      </c>
    </row>
    <row r="683">
      <c r="A683" s="25">
        <f>ItensPedido!A683</f>
        <v/>
      </c>
      <c r="B683" s="25">
        <f>ItensPedido!B683</f>
        <v/>
      </c>
      <c r="C683" s="25">
        <f>ItensPedido!C683</f>
        <v/>
      </c>
      <c r="D683" s="25">
        <f>ItensPedido!D683</f>
        <v/>
      </c>
      <c r="E683" s="26">
        <f>ItensPedido!E683</f>
        <v/>
      </c>
      <c r="F683" s="25">
        <f>IFERROR(INDEX(Pedidos!$B$2:$B$1801,MATCH(B683,Pedidos!$A$2:$A$1801,0)),0)</f>
        <v/>
      </c>
      <c r="G683" s="25">
        <f>IF(F683=0,"",YEAR(F683))</f>
        <v/>
      </c>
      <c r="H683" s="25">
        <f>IF(F683=0,"",MONTH(F683))</f>
        <v/>
      </c>
      <c r="I683" s="25">
        <f>IFERROR(INDEX(Pedidos!$E$2:$E$1801,MATCH(B683,Pedidos!$A$2:$A$1801,0)),"")</f>
        <v/>
      </c>
      <c r="J683" s="25">
        <f>IFERROR(INDEX(Pedidos!$C$2:$C$1801,MATCH(B683,Pedidos!$A$2:$A$1801,0)),"")</f>
        <v/>
      </c>
      <c r="K683" s="25">
        <f>IFERROR(INDEX(Pedidos!$D$2:$D$1801,MATCH(B683,Pedidos!$A$2:$A$1801,0)),"")</f>
        <v/>
      </c>
      <c r="L683" s="25">
        <f>IFERROR(INDEX(Pedidos!$F$2:$F$1801,MATCH(B683,Pedidos!$A$2:$A$1801,0)),"")</f>
        <v/>
      </c>
      <c r="M683" s="26">
        <f>IFERROR(INDEX(Pedidos!$G$2:$G$1801,MATCH(B683,Pedidos!$A$2:$A$1801,0)),0)</f>
        <v/>
      </c>
      <c r="N683" s="25">
        <f>IFERROR(INDEX(Produtos!$B$2:$B$71,MATCH(C683,Produtos!$A$2:$A$71,0)),"")</f>
        <v/>
      </c>
      <c r="O683" s="25">
        <f>IFERROR(INDEX(Produtos!$C$2:$C$71,MATCH(C683,Produtos!$A$2:$A$71,0)),"")</f>
        <v/>
      </c>
      <c r="P683" s="25">
        <f>IFERROR(INDEX(Produtos!$D$2:$D$71,MATCH(C683,Produtos!$A$2:$A$71,0)),0)</f>
        <v/>
      </c>
      <c r="Q683" s="25">
        <f>IFERROR(INDEX(Produtos!$E$2:$E$71,MATCH(C683,Produtos!$A$2:$A$71,0)),0)</f>
        <v/>
      </c>
      <c r="R683" s="27">
        <f>D683*Q683</f>
        <v/>
      </c>
      <c r="S683" s="27">
        <f>R683*E683</f>
        <v/>
      </c>
      <c r="T683" s="27">
        <f>(R683-S683)*M683</f>
        <v/>
      </c>
      <c r="U683" s="27">
        <f>R683-S683-T683</f>
        <v/>
      </c>
      <c r="V683" s="27">
        <f>D683*P683</f>
        <v/>
      </c>
      <c r="W683" s="27">
        <f>U683-V683</f>
        <v/>
      </c>
      <c r="X683" s="28">
        <f>IFERROR(W683/U683,0)</f>
        <v/>
      </c>
    </row>
    <row r="684">
      <c r="A684" s="21">
        <f>ItensPedido!A684</f>
        <v/>
      </c>
      <c r="B684" s="21">
        <f>ItensPedido!B684</f>
        <v/>
      </c>
      <c r="C684" s="21">
        <f>ItensPedido!C684</f>
        <v/>
      </c>
      <c r="D684" s="21">
        <f>ItensPedido!D684</f>
        <v/>
      </c>
      <c r="E684" s="22">
        <f>ItensPedido!E684</f>
        <v/>
      </c>
      <c r="F684" s="21">
        <f>IFERROR(INDEX(Pedidos!$B$2:$B$1801,MATCH(B684,Pedidos!$A$2:$A$1801,0)),0)</f>
        <v/>
      </c>
      <c r="G684" s="21">
        <f>IF(F684=0,"",YEAR(F684))</f>
        <v/>
      </c>
      <c r="H684" s="21">
        <f>IF(F684=0,"",MONTH(F684))</f>
        <v/>
      </c>
      <c r="I684" s="21">
        <f>IFERROR(INDEX(Pedidos!$E$2:$E$1801,MATCH(B684,Pedidos!$A$2:$A$1801,0)),"")</f>
        <v/>
      </c>
      <c r="J684" s="21">
        <f>IFERROR(INDEX(Pedidos!$C$2:$C$1801,MATCH(B684,Pedidos!$A$2:$A$1801,0)),"")</f>
        <v/>
      </c>
      <c r="K684" s="21">
        <f>IFERROR(INDEX(Pedidos!$D$2:$D$1801,MATCH(B684,Pedidos!$A$2:$A$1801,0)),"")</f>
        <v/>
      </c>
      <c r="L684" s="21">
        <f>IFERROR(INDEX(Pedidos!$F$2:$F$1801,MATCH(B684,Pedidos!$A$2:$A$1801,0)),"")</f>
        <v/>
      </c>
      <c r="M684" s="22">
        <f>IFERROR(INDEX(Pedidos!$G$2:$G$1801,MATCH(B684,Pedidos!$A$2:$A$1801,0)),0)</f>
        <v/>
      </c>
      <c r="N684" s="21">
        <f>IFERROR(INDEX(Produtos!$B$2:$B$71,MATCH(C684,Produtos!$A$2:$A$71,0)),"")</f>
        <v/>
      </c>
      <c r="O684" s="21">
        <f>IFERROR(INDEX(Produtos!$C$2:$C$71,MATCH(C684,Produtos!$A$2:$A$71,0)),"")</f>
        <v/>
      </c>
      <c r="P684" s="21">
        <f>IFERROR(INDEX(Produtos!$D$2:$D$71,MATCH(C684,Produtos!$A$2:$A$71,0)),0)</f>
        <v/>
      </c>
      <c r="Q684" s="21">
        <f>IFERROR(INDEX(Produtos!$E$2:$E$71,MATCH(C684,Produtos!$A$2:$A$71,0)),0)</f>
        <v/>
      </c>
      <c r="R684" s="23">
        <f>D684*Q684</f>
        <v/>
      </c>
      <c r="S684" s="23">
        <f>R684*E684</f>
        <v/>
      </c>
      <c r="T684" s="23">
        <f>(R684-S684)*M684</f>
        <v/>
      </c>
      <c r="U684" s="23">
        <f>R684-S684-T684</f>
        <v/>
      </c>
      <c r="V684" s="23">
        <f>D684*P684</f>
        <v/>
      </c>
      <c r="W684" s="23">
        <f>U684-V684</f>
        <v/>
      </c>
      <c r="X684" s="24">
        <f>IFERROR(W684/U684,0)</f>
        <v/>
      </c>
    </row>
    <row r="685">
      <c r="A685" s="25">
        <f>ItensPedido!A685</f>
        <v/>
      </c>
      <c r="B685" s="25">
        <f>ItensPedido!B685</f>
        <v/>
      </c>
      <c r="C685" s="25">
        <f>ItensPedido!C685</f>
        <v/>
      </c>
      <c r="D685" s="25">
        <f>ItensPedido!D685</f>
        <v/>
      </c>
      <c r="E685" s="26">
        <f>ItensPedido!E685</f>
        <v/>
      </c>
      <c r="F685" s="25">
        <f>IFERROR(INDEX(Pedidos!$B$2:$B$1801,MATCH(B685,Pedidos!$A$2:$A$1801,0)),0)</f>
        <v/>
      </c>
      <c r="G685" s="25">
        <f>IF(F685=0,"",YEAR(F685))</f>
        <v/>
      </c>
      <c r="H685" s="25">
        <f>IF(F685=0,"",MONTH(F685))</f>
        <v/>
      </c>
      <c r="I685" s="25">
        <f>IFERROR(INDEX(Pedidos!$E$2:$E$1801,MATCH(B685,Pedidos!$A$2:$A$1801,0)),"")</f>
        <v/>
      </c>
      <c r="J685" s="25">
        <f>IFERROR(INDEX(Pedidos!$C$2:$C$1801,MATCH(B685,Pedidos!$A$2:$A$1801,0)),"")</f>
        <v/>
      </c>
      <c r="K685" s="25">
        <f>IFERROR(INDEX(Pedidos!$D$2:$D$1801,MATCH(B685,Pedidos!$A$2:$A$1801,0)),"")</f>
        <v/>
      </c>
      <c r="L685" s="25">
        <f>IFERROR(INDEX(Pedidos!$F$2:$F$1801,MATCH(B685,Pedidos!$A$2:$A$1801,0)),"")</f>
        <v/>
      </c>
      <c r="M685" s="26">
        <f>IFERROR(INDEX(Pedidos!$G$2:$G$1801,MATCH(B685,Pedidos!$A$2:$A$1801,0)),0)</f>
        <v/>
      </c>
      <c r="N685" s="25">
        <f>IFERROR(INDEX(Produtos!$B$2:$B$71,MATCH(C685,Produtos!$A$2:$A$71,0)),"")</f>
        <v/>
      </c>
      <c r="O685" s="25">
        <f>IFERROR(INDEX(Produtos!$C$2:$C$71,MATCH(C685,Produtos!$A$2:$A$71,0)),"")</f>
        <v/>
      </c>
      <c r="P685" s="25">
        <f>IFERROR(INDEX(Produtos!$D$2:$D$71,MATCH(C685,Produtos!$A$2:$A$71,0)),0)</f>
        <v/>
      </c>
      <c r="Q685" s="25">
        <f>IFERROR(INDEX(Produtos!$E$2:$E$71,MATCH(C685,Produtos!$A$2:$A$71,0)),0)</f>
        <v/>
      </c>
      <c r="R685" s="27">
        <f>D685*Q685</f>
        <v/>
      </c>
      <c r="S685" s="27">
        <f>R685*E685</f>
        <v/>
      </c>
      <c r="T685" s="27">
        <f>(R685-S685)*M685</f>
        <v/>
      </c>
      <c r="U685" s="27">
        <f>R685-S685-T685</f>
        <v/>
      </c>
      <c r="V685" s="27">
        <f>D685*P685</f>
        <v/>
      </c>
      <c r="W685" s="27">
        <f>U685-V685</f>
        <v/>
      </c>
      <c r="X685" s="28">
        <f>IFERROR(W685/U685,0)</f>
        <v/>
      </c>
    </row>
    <row r="686">
      <c r="A686" s="21">
        <f>ItensPedido!A686</f>
        <v/>
      </c>
      <c r="B686" s="21">
        <f>ItensPedido!B686</f>
        <v/>
      </c>
      <c r="C686" s="21">
        <f>ItensPedido!C686</f>
        <v/>
      </c>
      <c r="D686" s="21">
        <f>ItensPedido!D686</f>
        <v/>
      </c>
      <c r="E686" s="22">
        <f>ItensPedido!E686</f>
        <v/>
      </c>
      <c r="F686" s="21">
        <f>IFERROR(INDEX(Pedidos!$B$2:$B$1801,MATCH(B686,Pedidos!$A$2:$A$1801,0)),0)</f>
        <v/>
      </c>
      <c r="G686" s="21">
        <f>IF(F686=0,"",YEAR(F686))</f>
        <v/>
      </c>
      <c r="H686" s="21">
        <f>IF(F686=0,"",MONTH(F686))</f>
        <v/>
      </c>
      <c r="I686" s="21">
        <f>IFERROR(INDEX(Pedidos!$E$2:$E$1801,MATCH(B686,Pedidos!$A$2:$A$1801,0)),"")</f>
        <v/>
      </c>
      <c r="J686" s="21">
        <f>IFERROR(INDEX(Pedidos!$C$2:$C$1801,MATCH(B686,Pedidos!$A$2:$A$1801,0)),"")</f>
        <v/>
      </c>
      <c r="K686" s="21">
        <f>IFERROR(INDEX(Pedidos!$D$2:$D$1801,MATCH(B686,Pedidos!$A$2:$A$1801,0)),"")</f>
        <v/>
      </c>
      <c r="L686" s="21">
        <f>IFERROR(INDEX(Pedidos!$F$2:$F$1801,MATCH(B686,Pedidos!$A$2:$A$1801,0)),"")</f>
        <v/>
      </c>
      <c r="M686" s="22">
        <f>IFERROR(INDEX(Pedidos!$G$2:$G$1801,MATCH(B686,Pedidos!$A$2:$A$1801,0)),0)</f>
        <v/>
      </c>
      <c r="N686" s="21">
        <f>IFERROR(INDEX(Produtos!$B$2:$B$71,MATCH(C686,Produtos!$A$2:$A$71,0)),"")</f>
        <v/>
      </c>
      <c r="O686" s="21">
        <f>IFERROR(INDEX(Produtos!$C$2:$C$71,MATCH(C686,Produtos!$A$2:$A$71,0)),"")</f>
        <v/>
      </c>
      <c r="P686" s="21">
        <f>IFERROR(INDEX(Produtos!$D$2:$D$71,MATCH(C686,Produtos!$A$2:$A$71,0)),0)</f>
        <v/>
      </c>
      <c r="Q686" s="21">
        <f>IFERROR(INDEX(Produtos!$E$2:$E$71,MATCH(C686,Produtos!$A$2:$A$71,0)),0)</f>
        <v/>
      </c>
      <c r="R686" s="23">
        <f>D686*Q686</f>
        <v/>
      </c>
      <c r="S686" s="23">
        <f>R686*E686</f>
        <v/>
      </c>
      <c r="T686" s="23">
        <f>(R686-S686)*M686</f>
        <v/>
      </c>
      <c r="U686" s="23">
        <f>R686-S686-T686</f>
        <v/>
      </c>
      <c r="V686" s="23">
        <f>D686*P686</f>
        <v/>
      </c>
      <c r="W686" s="23">
        <f>U686-V686</f>
        <v/>
      </c>
      <c r="X686" s="24">
        <f>IFERROR(W686/U686,0)</f>
        <v/>
      </c>
    </row>
    <row r="687">
      <c r="A687" s="25">
        <f>ItensPedido!A687</f>
        <v/>
      </c>
      <c r="B687" s="25">
        <f>ItensPedido!B687</f>
        <v/>
      </c>
      <c r="C687" s="25">
        <f>ItensPedido!C687</f>
        <v/>
      </c>
      <c r="D687" s="25">
        <f>ItensPedido!D687</f>
        <v/>
      </c>
      <c r="E687" s="26">
        <f>ItensPedido!E687</f>
        <v/>
      </c>
      <c r="F687" s="25">
        <f>IFERROR(INDEX(Pedidos!$B$2:$B$1801,MATCH(B687,Pedidos!$A$2:$A$1801,0)),0)</f>
        <v/>
      </c>
      <c r="G687" s="25">
        <f>IF(F687=0,"",YEAR(F687))</f>
        <v/>
      </c>
      <c r="H687" s="25">
        <f>IF(F687=0,"",MONTH(F687))</f>
        <v/>
      </c>
      <c r="I687" s="25">
        <f>IFERROR(INDEX(Pedidos!$E$2:$E$1801,MATCH(B687,Pedidos!$A$2:$A$1801,0)),"")</f>
        <v/>
      </c>
      <c r="J687" s="25">
        <f>IFERROR(INDEX(Pedidos!$C$2:$C$1801,MATCH(B687,Pedidos!$A$2:$A$1801,0)),"")</f>
        <v/>
      </c>
      <c r="K687" s="25">
        <f>IFERROR(INDEX(Pedidos!$D$2:$D$1801,MATCH(B687,Pedidos!$A$2:$A$1801,0)),"")</f>
        <v/>
      </c>
      <c r="L687" s="25">
        <f>IFERROR(INDEX(Pedidos!$F$2:$F$1801,MATCH(B687,Pedidos!$A$2:$A$1801,0)),"")</f>
        <v/>
      </c>
      <c r="M687" s="26">
        <f>IFERROR(INDEX(Pedidos!$G$2:$G$1801,MATCH(B687,Pedidos!$A$2:$A$1801,0)),0)</f>
        <v/>
      </c>
      <c r="N687" s="25">
        <f>IFERROR(INDEX(Produtos!$B$2:$B$71,MATCH(C687,Produtos!$A$2:$A$71,0)),"")</f>
        <v/>
      </c>
      <c r="O687" s="25">
        <f>IFERROR(INDEX(Produtos!$C$2:$C$71,MATCH(C687,Produtos!$A$2:$A$71,0)),"")</f>
        <v/>
      </c>
      <c r="P687" s="25">
        <f>IFERROR(INDEX(Produtos!$D$2:$D$71,MATCH(C687,Produtos!$A$2:$A$71,0)),0)</f>
        <v/>
      </c>
      <c r="Q687" s="25">
        <f>IFERROR(INDEX(Produtos!$E$2:$E$71,MATCH(C687,Produtos!$A$2:$A$71,0)),0)</f>
        <v/>
      </c>
      <c r="R687" s="27">
        <f>D687*Q687</f>
        <v/>
      </c>
      <c r="S687" s="27">
        <f>R687*E687</f>
        <v/>
      </c>
      <c r="T687" s="27">
        <f>(R687-S687)*M687</f>
        <v/>
      </c>
      <c r="U687" s="27">
        <f>R687-S687-T687</f>
        <v/>
      </c>
      <c r="V687" s="27">
        <f>D687*P687</f>
        <v/>
      </c>
      <c r="W687" s="27">
        <f>U687-V687</f>
        <v/>
      </c>
      <c r="X687" s="28">
        <f>IFERROR(W687/U687,0)</f>
        <v/>
      </c>
    </row>
    <row r="688">
      <c r="A688" s="21">
        <f>ItensPedido!A688</f>
        <v/>
      </c>
      <c r="B688" s="21">
        <f>ItensPedido!B688</f>
        <v/>
      </c>
      <c r="C688" s="21">
        <f>ItensPedido!C688</f>
        <v/>
      </c>
      <c r="D688" s="21">
        <f>ItensPedido!D688</f>
        <v/>
      </c>
      <c r="E688" s="22">
        <f>ItensPedido!E688</f>
        <v/>
      </c>
      <c r="F688" s="21">
        <f>IFERROR(INDEX(Pedidos!$B$2:$B$1801,MATCH(B688,Pedidos!$A$2:$A$1801,0)),0)</f>
        <v/>
      </c>
      <c r="G688" s="21">
        <f>IF(F688=0,"",YEAR(F688))</f>
        <v/>
      </c>
      <c r="H688" s="21">
        <f>IF(F688=0,"",MONTH(F688))</f>
        <v/>
      </c>
      <c r="I688" s="21">
        <f>IFERROR(INDEX(Pedidos!$E$2:$E$1801,MATCH(B688,Pedidos!$A$2:$A$1801,0)),"")</f>
        <v/>
      </c>
      <c r="J688" s="21">
        <f>IFERROR(INDEX(Pedidos!$C$2:$C$1801,MATCH(B688,Pedidos!$A$2:$A$1801,0)),"")</f>
        <v/>
      </c>
      <c r="K688" s="21">
        <f>IFERROR(INDEX(Pedidos!$D$2:$D$1801,MATCH(B688,Pedidos!$A$2:$A$1801,0)),"")</f>
        <v/>
      </c>
      <c r="L688" s="21">
        <f>IFERROR(INDEX(Pedidos!$F$2:$F$1801,MATCH(B688,Pedidos!$A$2:$A$1801,0)),"")</f>
        <v/>
      </c>
      <c r="M688" s="22">
        <f>IFERROR(INDEX(Pedidos!$G$2:$G$1801,MATCH(B688,Pedidos!$A$2:$A$1801,0)),0)</f>
        <v/>
      </c>
      <c r="N688" s="21">
        <f>IFERROR(INDEX(Produtos!$B$2:$B$71,MATCH(C688,Produtos!$A$2:$A$71,0)),"")</f>
        <v/>
      </c>
      <c r="O688" s="21">
        <f>IFERROR(INDEX(Produtos!$C$2:$C$71,MATCH(C688,Produtos!$A$2:$A$71,0)),"")</f>
        <v/>
      </c>
      <c r="P688" s="21">
        <f>IFERROR(INDEX(Produtos!$D$2:$D$71,MATCH(C688,Produtos!$A$2:$A$71,0)),0)</f>
        <v/>
      </c>
      <c r="Q688" s="21">
        <f>IFERROR(INDEX(Produtos!$E$2:$E$71,MATCH(C688,Produtos!$A$2:$A$71,0)),0)</f>
        <v/>
      </c>
      <c r="R688" s="23">
        <f>D688*Q688</f>
        <v/>
      </c>
      <c r="S688" s="23">
        <f>R688*E688</f>
        <v/>
      </c>
      <c r="T688" s="23">
        <f>(R688-S688)*M688</f>
        <v/>
      </c>
      <c r="U688" s="23">
        <f>R688-S688-T688</f>
        <v/>
      </c>
      <c r="V688" s="23">
        <f>D688*P688</f>
        <v/>
      </c>
      <c r="W688" s="23">
        <f>U688-V688</f>
        <v/>
      </c>
      <c r="X688" s="24">
        <f>IFERROR(W688/U688,0)</f>
        <v/>
      </c>
    </row>
    <row r="689">
      <c r="A689" s="25">
        <f>ItensPedido!A689</f>
        <v/>
      </c>
      <c r="B689" s="25">
        <f>ItensPedido!B689</f>
        <v/>
      </c>
      <c r="C689" s="25">
        <f>ItensPedido!C689</f>
        <v/>
      </c>
      <c r="D689" s="25">
        <f>ItensPedido!D689</f>
        <v/>
      </c>
      <c r="E689" s="26">
        <f>ItensPedido!E689</f>
        <v/>
      </c>
      <c r="F689" s="25">
        <f>IFERROR(INDEX(Pedidos!$B$2:$B$1801,MATCH(B689,Pedidos!$A$2:$A$1801,0)),0)</f>
        <v/>
      </c>
      <c r="G689" s="25">
        <f>IF(F689=0,"",YEAR(F689))</f>
        <v/>
      </c>
      <c r="H689" s="25">
        <f>IF(F689=0,"",MONTH(F689))</f>
        <v/>
      </c>
      <c r="I689" s="25">
        <f>IFERROR(INDEX(Pedidos!$E$2:$E$1801,MATCH(B689,Pedidos!$A$2:$A$1801,0)),"")</f>
        <v/>
      </c>
      <c r="J689" s="25">
        <f>IFERROR(INDEX(Pedidos!$C$2:$C$1801,MATCH(B689,Pedidos!$A$2:$A$1801,0)),"")</f>
        <v/>
      </c>
      <c r="K689" s="25">
        <f>IFERROR(INDEX(Pedidos!$D$2:$D$1801,MATCH(B689,Pedidos!$A$2:$A$1801,0)),"")</f>
        <v/>
      </c>
      <c r="L689" s="25">
        <f>IFERROR(INDEX(Pedidos!$F$2:$F$1801,MATCH(B689,Pedidos!$A$2:$A$1801,0)),"")</f>
        <v/>
      </c>
      <c r="M689" s="26">
        <f>IFERROR(INDEX(Pedidos!$G$2:$G$1801,MATCH(B689,Pedidos!$A$2:$A$1801,0)),0)</f>
        <v/>
      </c>
      <c r="N689" s="25">
        <f>IFERROR(INDEX(Produtos!$B$2:$B$71,MATCH(C689,Produtos!$A$2:$A$71,0)),"")</f>
        <v/>
      </c>
      <c r="O689" s="25">
        <f>IFERROR(INDEX(Produtos!$C$2:$C$71,MATCH(C689,Produtos!$A$2:$A$71,0)),"")</f>
        <v/>
      </c>
      <c r="P689" s="25">
        <f>IFERROR(INDEX(Produtos!$D$2:$D$71,MATCH(C689,Produtos!$A$2:$A$71,0)),0)</f>
        <v/>
      </c>
      <c r="Q689" s="25">
        <f>IFERROR(INDEX(Produtos!$E$2:$E$71,MATCH(C689,Produtos!$A$2:$A$71,0)),0)</f>
        <v/>
      </c>
      <c r="R689" s="27">
        <f>D689*Q689</f>
        <v/>
      </c>
      <c r="S689" s="27">
        <f>R689*E689</f>
        <v/>
      </c>
      <c r="T689" s="27">
        <f>(R689-S689)*M689</f>
        <v/>
      </c>
      <c r="U689" s="27">
        <f>R689-S689-T689</f>
        <v/>
      </c>
      <c r="V689" s="27">
        <f>D689*P689</f>
        <v/>
      </c>
      <c r="W689" s="27">
        <f>U689-V689</f>
        <v/>
      </c>
      <c r="X689" s="28">
        <f>IFERROR(W689/U689,0)</f>
        <v/>
      </c>
    </row>
    <row r="690">
      <c r="A690" s="21">
        <f>ItensPedido!A690</f>
        <v/>
      </c>
      <c r="B690" s="21">
        <f>ItensPedido!B690</f>
        <v/>
      </c>
      <c r="C690" s="21">
        <f>ItensPedido!C690</f>
        <v/>
      </c>
      <c r="D690" s="21">
        <f>ItensPedido!D690</f>
        <v/>
      </c>
      <c r="E690" s="22">
        <f>ItensPedido!E690</f>
        <v/>
      </c>
      <c r="F690" s="21">
        <f>IFERROR(INDEX(Pedidos!$B$2:$B$1801,MATCH(B690,Pedidos!$A$2:$A$1801,0)),0)</f>
        <v/>
      </c>
      <c r="G690" s="21">
        <f>IF(F690=0,"",YEAR(F690))</f>
        <v/>
      </c>
      <c r="H690" s="21">
        <f>IF(F690=0,"",MONTH(F690))</f>
        <v/>
      </c>
      <c r="I690" s="21">
        <f>IFERROR(INDEX(Pedidos!$E$2:$E$1801,MATCH(B690,Pedidos!$A$2:$A$1801,0)),"")</f>
        <v/>
      </c>
      <c r="J690" s="21">
        <f>IFERROR(INDEX(Pedidos!$C$2:$C$1801,MATCH(B690,Pedidos!$A$2:$A$1801,0)),"")</f>
        <v/>
      </c>
      <c r="K690" s="21">
        <f>IFERROR(INDEX(Pedidos!$D$2:$D$1801,MATCH(B690,Pedidos!$A$2:$A$1801,0)),"")</f>
        <v/>
      </c>
      <c r="L690" s="21">
        <f>IFERROR(INDEX(Pedidos!$F$2:$F$1801,MATCH(B690,Pedidos!$A$2:$A$1801,0)),"")</f>
        <v/>
      </c>
      <c r="M690" s="22">
        <f>IFERROR(INDEX(Pedidos!$G$2:$G$1801,MATCH(B690,Pedidos!$A$2:$A$1801,0)),0)</f>
        <v/>
      </c>
      <c r="N690" s="21">
        <f>IFERROR(INDEX(Produtos!$B$2:$B$71,MATCH(C690,Produtos!$A$2:$A$71,0)),"")</f>
        <v/>
      </c>
      <c r="O690" s="21">
        <f>IFERROR(INDEX(Produtos!$C$2:$C$71,MATCH(C690,Produtos!$A$2:$A$71,0)),"")</f>
        <v/>
      </c>
      <c r="P690" s="21">
        <f>IFERROR(INDEX(Produtos!$D$2:$D$71,MATCH(C690,Produtos!$A$2:$A$71,0)),0)</f>
        <v/>
      </c>
      <c r="Q690" s="21">
        <f>IFERROR(INDEX(Produtos!$E$2:$E$71,MATCH(C690,Produtos!$A$2:$A$71,0)),0)</f>
        <v/>
      </c>
      <c r="R690" s="23">
        <f>D690*Q690</f>
        <v/>
      </c>
      <c r="S690" s="23">
        <f>R690*E690</f>
        <v/>
      </c>
      <c r="T690" s="23">
        <f>(R690-S690)*M690</f>
        <v/>
      </c>
      <c r="U690" s="23">
        <f>R690-S690-T690</f>
        <v/>
      </c>
      <c r="V690" s="23">
        <f>D690*P690</f>
        <v/>
      </c>
      <c r="W690" s="23">
        <f>U690-V690</f>
        <v/>
      </c>
      <c r="X690" s="24">
        <f>IFERROR(W690/U690,0)</f>
        <v/>
      </c>
    </row>
    <row r="691">
      <c r="A691" s="25">
        <f>ItensPedido!A691</f>
        <v/>
      </c>
      <c r="B691" s="25">
        <f>ItensPedido!B691</f>
        <v/>
      </c>
      <c r="C691" s="25">
        <f>ItensPedido!C691</f>
        <v/>
      </c>
      <c r="D691" s="25">
        <f>ItensPedido!D691</f>
        <v/>
      </c>
      <c r="E691" s="26">
        <f>ItensPedido!E691</f>
        <v/>
      </c>
      <c r="F691" s="25">
        <f>IFERROR(INDEX(Pedidos!$B$2:$B$1801,MATCH(B691,Pedidos!$A$2:$A$1801,0)),0)</f>
        <v/>
      </c>
      <c r="G691" s="25">
        <f>IF(F691=0,"",YEAR(F691))</f>
        <v/>
      </c>
      <c r="H691" s="25">
        <f>IF(F691=0,"",MONTH(F691))</f>
        <v/>
      </c>
      <c r="I691" s="25">
        <f>IFERROR(INDEX(Pedidos!$E$2:$E$1801,MATCH(B691,Pedidos!$A$2:$A$1801,0)),"")</f>
        <v/>
      </c>
      <c r="J691" s="25">
        <f>IFERROR(INDEX(Pedidos!$C$2:$C$1801,MATCH(B691,Pedidos!$A$2:$A$1801,0)),"")</f>
        <v/>
      </c>
      <c r="K691" s="25">
        <f>IFERROR(INDEX(Pedidos!$D$2:$D$1801,MATCH(B691,Pedidos!$A$2:$A$1801,0)),"")</f>
        <v/>
      </c>
      <c r="L691" s="25">
        <f>IFERROR(INDEX(Pedidos!$F$2:$F$1801,MATCH(B691,Pedidos!$A$2:$A$1801,0)),"")</f>
        <v/>
      </c>
      <c r="M691" s="26">
        <f>IFERROR(INDEX(Pedidos!$G$2:$G$1801,MATCH(B691,Pedidos!$A$2:$A$1801,0)),0)</f>
        <v/>
      </c>
      <c r="N691" s="25">
        <f>IFERROR(INDEX(Produtos!$B$2:$B$71,MATCH(C691,Produtos!$A$2:$A$71,0)),"")</f>
        <v/>
      </c>
      <c r="O691" s="25">
        <f>IFERROR(INDEX(Produtos!$C$2:$C$71,MATCH(C691,Produtos!$A$2:$A$71,0)),"")</f>
        <v/>
      </c>
      <c r="P691" s="25">
        <f>IFERROR(INDEX(Produtos!$D$2:$D$71,MATCH(C691,Produtos!$A$2:$A$71,0)),0)</f>
        <v/>
      </c>
      <c r="Q691" s="25">
        <f>IFERROR(INDEX(Produtos!$E$2:$E$71,MATCH(C691,Produtos!$A$2:$A$71,0)),0)</f>
        <v/>
      </c>
      <c r="R691" s="27">
        <f>D691*Q691</f>
        <v/>
      </c>
      <c r="S691" s="27">
        <f>R691*E691</f>
        <v/>
      </c>
      <c r="T691" s="27">
        <f>(R691-S691)*M691</f>
        <v/>
      </c>
      <c r="U691" s="27">
        <f>R691-S691-T691</f>
        <v/>
      </c>
      <c r="V691" s="27">
        <f>D691*P691</f>
        <v/>
      </c>
      <c r="W691" s="27">
        <f>U691-V691</f>
        <v/>
      </c>
      <c r="X691" s="28">
        <f>IFERROR(W691/U691,0)</f>
        <v/>
      </c>
    </row>
    <row r="692">
      <c r="A692" s="21">
        <f>ItensPedido!A692</f>
        <v/>
      </c>
      <c r="B692" s="21">
        <f>ItensPedido!B692</f>
        <v/>
      </c>
      <c r="C692" s="21">
        <f>ItensPedido!C692</f>
        <v/>
      </c>
      <c r="D692" s="21">
        <f>ItensPedido!D692</f>
        <v/>
      </c>
      <c r="E692" s="22">
        <f>ItensPedido!E692</f>
        <v/>
      </c>
      <c r="F692" s="21">
        <f>IFERROR(INDEX(Pedidos!$B$2:$B$1801,MATCH(B692,Pedidos!$A$2:$A$1801,0)),0)</f>
        <v/>
      </c>
      <c r="G692" s="21">
        <f>IF(F692=0,"",YEAR(F692))</f>
        <v/>
      </c>
      <c r="H692" s="21">
        <f>IF(F692=0,"",MONTH(F692))</f>
        <v/>
      </c>
      <c r="I692" s="21">
        <f>IFERROR(INDEX(Pedidos!$E$2:$E$1801,MATCH(B692,Pedidos!$A$2:$A$1801,0)),"")</f>
        <v/>
      </c>
      <c r="J692" s="21">
        <f>IFERROR(INDEX(Pedidos!$C$2:$C$1801,MATCH(B692,Pedidos!$A$2:$A$1801,0)),"")</f>
        <v/>
      </c>
      <c r="K692" s="21">
        <f>IFERROR(INDEX(Pedidos!$D$2:$D$1801,MATCH(B692,Pedidos!$A$2:$A$1801,0)),"")</f>
        <v/>
      </c>
      <c r="L692" s="21">
        <f>IFERROR(INDEX(Pedidos!$F$2:$F$1801,MATCH(B692,Pedidos!$A$2:$A$1801,0)),"")</f>
        <v/>
      </c>
      <c r="M692" s="22">
        <f>IFERROR(INDEX(Pedidos!$G$2:$G$1801,MATCH(B692,Pedidos!$A$2:$A$1801,0)),0)</f>
        <v/>
      </c>
      <c r="N692" s="21">
        <f>IFERROR(INDEX(Produtos!$B$2:$B$71,MATCH(C692,Produtos!$A$2:$A$71,0)),"")</f>
        <v/>
      </c>
      <c r="O692" s="21">
        <f>IFERROR(INDEX(Produtos!$C$2:$C$71,MATCH(C692,Produtos!$A$2:$A$71,0)),"")</f>
        <v/>
      </c>
      <c r="P692" s="21">
        <f>IFERROR(INDEX(Produtos!$D$2:$D$71,MATCH(C692,Produtos!$A$2:$A$71,0)),0)</f>
        <v/>
      </c>
      <c r="Q692" s="21">
        <f>IFERROR(INDEX(Produtos!$E$2:$E$71,MATCH(C692,Produtos!$A$2:$A$71,0)),0)</f>
        <v/>
      </c>
      <c r="R692" s="23">
        <f>D692*Q692</f>
        <v/>
      </c>
      <c r="S692" s="23">
        <f>R692*E692</f>
        <v/>
      </c>
      <c r="T692" s="23">
        <f>(R692-S692)*M692</f>
        <v/>
      </c>
      <c r="U692" s="23">
        <f>R692-S692-T692</f>
        <v/>
      </c>
      <c r="V692" s="23">
        <f>D692*P692</f>
        <v/>
      </c>
      <c r="W692" s="23">
        <f>U692-V692</f>
        <v/>
      </c>
      <c r="X692" s="24">
        <f>IFERROR(W692/U692,0)</f>
        <v/>
      </c>
    </row>
    <row r="693">
      <c r="A693" s="25">
        <f>ItensPedido!A693</f>
        <v/>
      </c>
      <c r="B693" s="25">
        <f>ItensPedido!B693</f>
        <v/>
      </c>
      <c r="C693" s="25">
        <f>ItensPedido!C693</f>
        <v/>
      </c>
      <c r="D693" s="25">
        <f>ItensPedido!D693</f>
        <v/>
      </c>
      <c r="E693" s="26">
        <f>ItensPedido!E693</f>
        <v/>
      </c>
      <c r="F693" s="25">
        <f>IFERROR(INDEX(Pedidos!$B$2:$B$1801,MATCH(B693,Pedidos!$A$2:$A$1801,0)),0)</f>
        <v/>
      </c>
      <c r="G693" s="25">
        <f>IF(F693=0,"",YEAR(F693))</f>
        <v/>
      </c>
      <c r="H693" s="25">
        <f>IF(F693=0,"",MONTH(F693))</f>
        <v/>
      </c>
      <c r="I693" s="25">
        <f>IFERROR(INDEX(Pedidos!$E$2:$E$1801,MATCH(B693,Pedidos!$A$2:$A$1801,0)),"")</f>
        <v/>
      </c>
      <c r="J693" s="25">
        <f>IFERROR(INDEX(Pedidos!$C$2:$C$1801,MATCH(B693,Pedidos!$A$2:$A$1801,0)),"")</f>
        <v/>
      </c>
      <c r="K693" s="25">
        <f>IFERROR(INDEX(Pedidos!$D$2:$D$1801,MATCH(B693,Pedidos!$A$2:$A$1801,0)),"")</f>
        <v/>
      </c>
      <c r="L693" s="25">
        <f>IFERROR(INDEX(Pedidos!$F$2:$F$1801,MATCH(B693,Pedidos!$A$2:$A$1801,0)),"")</f>
        <v/>
      </c>
      <c r="M693" s="26">
        <f>IFERROR(INDEX(Pedidos!$G$2:$G$1801,MATCH(B693,Pedidos!$A$2:$A$1801,0)),0)</f>
        <v/>
      </c>
      <c r="N693" s="25">
        <f>IFERROR(INDEX(Produtos!$B$2:$B$71,MATCH(C693,Produtos!$A$2:$A$71,0)),"")</f>
        <v/>
      </c>
      <c r="O693" s="25">
        <f>IFERROR(INDEX(Produtos!$C$2:$C$71,MATCH(C693,Produtos!$A$2:$A$71,0)),"")</f>
        <v/>
      </c>
      <c r="P693" s="25">
        <f>IFERROR(INDEX(Produtos!$D$2:$D$71,MATCH(C693,Produtos!$A$2:$A$71,0)),0)</f>
        <v/>
      </c>
      <c r="Q693" s="25">
        <f>IFERROR(INDEX(Produtos!$E$2:$E$71,MATCH(C693,Produtos!$A$2:$A$71,0)),0)</f>
        <v/>
      </c>
      <c r="R693" s="27">
        <f>D693*Q693</f>
        <v/>
      </c>
      <c r="S693" s="27">
        <f>R693*E693</f>
        <v/>
      </c>
      <c r="T693" s="27">
        <f>(R693-S693)*M693</f>
        <v/>
      </c>
      <c r="U693" s="27">
        <f>R693-S693-T693</f>
        <v/>
      </c>
      <c r="V693" s="27">
        <f>D693*P693</f>
        <v/>
      </c>
      <c r="W693" s="27">
        <f>U693-V693</f>
        <v/>
      </c>
      <c r="X693" s="28">
        <f>IFERROR(W693/U693,0)</f>
        <v/>
      </c>
    </row>
    <row r="694">
      <c r="A694" s="21">
        <f>ItensPedido!A694</f>
        <v/>
      </c>
      <c r="B694" s="21">
        <f>ItensPedido!B694</f>
        <v/>
      </c>
      <c r="C694" s="21">
        <f>ItensPedido!C694</f>
        <v/>
      </c>
      <c r="D694" s="21">
        <f>ItensPedido!D694</f>
        <v/>
      </c>
      <c r="E694" s="22">
        <f>ItensPedido!E694</f>
        <v/>
      </c>
      <c r="F694" s="21">
        <f>IFERROR(INDEX(Pedidos!$B$2:$B$1801,MATCH(B694,Pedidos!$A$2:$A$1801,0)),0)</f>
        <v/>
      </c>
      <c r="G694" s="21">
        <f>IF(F694=0,"",YEAR(F694))</f>
        <v/>
      </c>
      <c r="H694" s="21">
        <f>IF(F694=0,"",MONTH(F694))</f>
        <v/>
      </c>
      <c r="I694" s="21">
        <f>IFERROR(INDEX(Pedidos!$E$2:$E$1801,MATCH(B694,Pedidos!$A$2:$A$1801,0)),"")</f>
        <v/>
      </c>
      <c r="J694" s="21">
        <f>IFERROR(INDEX(Pedidos!$C$2:$C$1801,MATCH(B694,Pedidos!$A$2:$A$1801,0)),"")</f>
        <v/>
      </c>
      <c r="K694" s="21">
        <f>IFERROR(INDEX(Pedidos!$D$2:$D$1801,MATCH(B694,Pedidos!$A$2:$A$1801,0)),"")</f>
        <v/>
      </c>
      <c r="L694" s="21">
        <f>IFERROR(INDEX(Pedidos!$F$2:$F$1801,MATCH(B694,Pedidos!$A$2:$A$1801,0)),"")</f>
        <v/>
      </c>
      <c r="M694" s="22">
        <f>IFERROR(INDEX(Pedidos!$G$2:$G$1801,MATCH(B694,Pedidos!$A$2:$A$1801,0)),0)</f>
        <v/>
      </c>
      <c r="N694" s="21">
        <f>IFERROR(INDEX(Produtos!$B$2:$B$71,MATCH(C694,Produtos!$A$2:$A$71,0)),"")</f>
        <v/>
      </c>
      <c r="O694" s="21">
        <f>IFERROR(INDEX(Produtos!$C$2:$C$71,MATCH(C694,Produtos!$A$2:$A$71,0)),"")</f>
        <v/>
      </c>
      <c r="P694" s="21">
        <f>IFERROR(INDEX(Produtos!$D$2:$D$71,MATCH(C694,Produtos!$A$2:$A$71,0)),0)</f>
        <v/>
      </c>
      <c r="Q694" s="21">
        <f>IFERROR(INDEX(Produtos!$E$2:$E$71,MATCH(C694,Produtos!$A$2:$A$71,0)),0)</f>
        <v/>
      </c>
      <c r="R694" s="23">
        <f>D694*Q694</f>
        <v/>
      </c>
      <c r="S694" s="23">
        <f>R694*E694</f>
        <v/>
      </c>
      <c r="T694" s="23">
        <f>(R694-S694)*M694</f>
        <v/>
      </c>
      <c r="U694" s="23">
        <f>R694-S694-T694</f>
        <v/>
      </c>
      <c r="V694" s="23">
        <f>D694*P694</f>
        <v/>
      </c>
      <c r="W694" s="23">
        <f>U694-V694</f>
        <v/>
      </c>
      <c r="X694" s="24">
        <f>IFERROR(W694/U694,0)</f>
        <v/>
      </c>
    </row>
    <row r="695">
      <c r="A695" s="25">
        <f>ItensPedido!A695</f>
        <v/>
      </c>
      <c r="B695" s="25">
        <f>ItensPedido!B695</f>
        <v/>
      </c>
      <c r="C695" s="25">
        <f>ItensPedido!C695</f>
        <v/>
      </c>
      <c r="D695" s="25">
        <f>ItensPedido!D695</f>
        <v/>
      </c>
      <c r="E695" s="26">
        <f>ItensPedido!E695</f>
        <v/>
      </c>
      <c r="F695" s="25">
        <f>IFERROR(INDEX(Pedidos!$B$2:$B$1801,MATCH(B695,Pedidos!$A$2:$A$1801,0)),0)</f>
        <v/>
      </c>
      <c r="G695" s="25">
        <f>IF(F695=0,"",YEAR(F695))</f>
        <v/>
      </c>
      <c r="H695" s="25">
        <f>IF(F695=0,"",MONTH(F695))</f>
        <v/>
      </c>
      <c r="I695" s="25">
        <f>IFERROR(INDEX(Pedidos!$E$2:$E$1801,MATCH(B695,Pedidos!$A$2:$A$1801,0)),"")</f>
        <v/>
      </c>
      <c r="J695" s="25">
        <f>IFERROR(INDEX(Pedidos!$C$2:$C$1801,MATCH(B695,Pedidos!$A$2:$A$1801,0)),"")</f>
        <v/>
      </c>
      <c r="K695" s="25">
        <f>IFERROR(INDEX(Pedidos!$D$2:$D$1801,MATCH(B695,Pedidos!$A$2:$A$1801,0)),"")</f>
        <v/>
      </c>
      <c r="L695" s="25">
        <f>IFERROR(INDEX(Pedidos!$F$2:$F$1801,MATCH(B695,Pedidos!$A$2:$A$1801,0)),"")</f>
        <v/>
      </c>
      <c r="M695" s="26">
        <f>IFERROR(INDEX(Pedidos!$G$2:$G$1801,MATCH(B695,Pedidos!$A$2:$A$1801,0)),0)</f>
        <v/>
      </c>
      <c r="N695" s="25">
        <f>IFERROR(INDEX(Produtos!$B$2:$B$71,MATCH(C695,Produtos!$A$2:$A$71,0)),"")</f>
        <v/>
      </c>
      <c r="O695" s="25">
        <f>IFERROR(INDEX(Produtos!$C$2:$C$71,MATCH(C695,Produtos!$A$2:$A$71,0)),"")</f>
        <v/>
      </c>
      <c r="P695" s="25">
        <f>IFERROR(INDEX(Produtos!$D$2:$D$71,MATCH(C695,Produtos!$A$2:$A$71,0)),0)</f>
        <v/>
      </c>
      <c r="Q695" s="25">
        <f>IFERROR(INDEX(Produtos!$E$2:$E$71,MATCH(C695,Produtos!$A$2:$A$71,0)),0)</f>
        <v/>
      </c>
      <c r="R695" s="27">
        <f>D695*Q695</f>
        <v/>
      </c>
      <c r="S695" s="27">
        <f>R695*E695</f>
        <v/>
      </c>
      <c r="T695" s="27">
        <f>(R695-S695)*M695</f>
        <v/>
      </c>
      <c r="U695" s="27">
        <f>R695-S695-T695</f>
        <v/>
      </c>
      <c r="V695" s="27">
        <f>D695*P695</f>
        <v/>
      </c>
      <c r="W695" s="27">
        <f>U695-V695</f>
        <v/>
      </c>
      <c r="X695" s="28">
        <f>IFERROR(W695/U695,0)</f>
        <v/>
      </c>
    </row>
    <row r="696">
      <c r="A696" s="21">
        <f>ItensPedido!A696</f>
        <v/>
      </c>
      <c r="B696" s="21">
        <f>ItensPedido!B696</f>
        <v/>
      </c>
      <c r="C696" s="21">
        <f>ItensPedido!C696</f>
        <v/>
      </c>
      <c r="D696" s="21">
        <f>ItensPedido!D696</f>
        <v/>
      </c>
      <c r="E696" s="22">
        <f>ItensPedido!E696</f>
        <v/>
      </c>
      <c r="F696" s="21">
        <f>IFERROR(INDEX(Pedidos!$B$2:$B$1801,MATCH(B696,Pedidos!$A$2:$A$1801,0)),0)</f>
        <v/>
      </c>
      <c r="G696" s="21">
        <f>IF(F696=0,"",YEAR(F696))</f>
        <v/>
      </c>
      <c r="H696" s="21">
        <f>IF(F696=0,"",MONTH(F696))</f>
        <v/>
      </c>
      <c r="I696" s="21">
        <f>IFERROR(INDEX(Pedidos!$E$2:$E$1801,MATCH(B696,Pedidos!$A$2:$A$1801,0)),"")</f>
        <v/>
      </c>
      <c r="J696" s="21">
        <f>IFERROR(INDEX(Pedidos!$C$2:$C$1801,MATCH(B696,Pedidos!$A$2:$A$1801,0)),"")</f>
        <v/>
      </c>
      <c r="K696" s="21">
        <f>IFERROR(INDEX(Pedidos!$D$2:$D$1801,MATCH(B696,Pedidos!$A$2:$A$1801,0)),"")</f>
        <v/>
      </c>
      <c r="L696" s="21">
        <f>IFERROR(INDEX(Pedidos!$F$2:$F$1801,MATCH(B696,Pedidos!$A$2:$A$1801,0)),"")</f>
        <v/>
      </c>
      <c r="M696" s="22">
        <f>IFERROR(INDEX(Pedidos!$G$2:$G$1801,MATCH(B696,Pedidos!$A$2:$A$1801,0)),0)</f>
        <v/>
      </c>
      <c r="N696" s="21">
        <f>IFERROR(INDEX(Produtos!$B$2:$B$71,MATCH(C696,Produtos!$A$2:$A$71,0)),"")</f>
        <v/>
      </c>
      <c r="O696" s="21">
        <f>IFERROR(INDEX(Produtos!$C$2:$C$71,MATCH(C696,Produtos!$A$2:$A$71,0)),"")</f>
        <v/>
      </c>
      <c r="P696" s="21">
        <f>IFERROR(INDEX(Produtos!$D$2:$D$71,MATCH(C696,Produtos!$A$2:$A$71,0)),0)</f>
        <v/>
      </c>
      <c r="Q696" s="21">
        <f>IFERROR(INDEX(Produtos!$E$2:$E$71,MATCH(C696,Produtos!$A$2:$A$71,0)),0)</f>
        <v/>
      </c>
      <c r="R696" s="23">
        <f>D696*Q696</f>
        <v/>
      </c>
      <c r="S696" s="23">
        <f>R696*E696</f>
        <v/>
      </c>
      <c r="T696" s="23">
        <f>(R696-S696)*M696</f>
        <v/>
      </c>
      <c r="U696" s="23">
        <f>R696-S696-T696</f>
        <v/>
      </c>
      <c r="V696" s="23">
        <f>D696*P696</f>
        <v/>
      </c>
      <c r="W696" s="23">
        <f>U696-V696</f>
        <v/>
      </c>
      <c r="X696" s="24">
        <f>IFERROR(W696/U696,0)</f>
        <v/>
      </c>
    </row>
    <row r="697">
      <c r="A697" s="25">
        <f>ItensPedido!A697</f>
        <v/>
      </c>
      <c r="B697" s="25">
        <f>ItensPedido!B697</f>
        <v/>
      </c>
      <c r="C697" s="25">
        <f>ItensPedido!C697</f>
        <v/>
      </c>
      <c r="D697" s="25">
        <f>ItensPedido!D697</f>
        <v/>
      </c>
      <c r="E697" s="26">
        <f>ItensPedido!E697</f>
        <v/>
      </c>
      <c r="F697" s="25">
        <f>IFERROR(INDEX(Pedidos!$B$2:$B$1801,MATCH(B697,Pedidos!$A$2:$A$1801,0)),0)</f>
        <v/>
      </c>
      <c r="G697" s="25">
        <f>IF(F697=0,"",YEAR(F697))</f>
        <v/>
      </c>
      <c r="H697" s="25">
        <f>IF(F697=0,"",MONTH(F697))</f>
        <v/>
      </c>
      <c r="I697" s="25">
        <f>IFERROR(INDEX(Pedidos!$E$2:$E$1801,MATCH(B697,Pedidos!$A$2:$A$1801,0)),"")</f>
        <v/>
      </c>
      <c r="J697" s="25">
        <f>IFERROR(INDEX(Pedidos!$C$2:$C$1801,MATCH(B697,Pedidos!$A$2:$A$1801,0)),"")</f>
        <v/>
      </c>
      <c r="K697" s="25">
        <f>IFERROR(INDEX(Pedidos!$D$2:$D$1801,MATCH(B697,Pedidos!$A$2:$A$1801,0)),"")</f>
        <v/>
      </c>
      <c r="L697" s="25">
        <f>IFERROR(INDEX(Pedidos!$F$2:$F$1801,MATCH(B697,Pedidos!$A$2:$A$1801,0)),"")</f>
        <v/>
      </c>
      <c r="M697" s="26">
        <f>IFERROR(INDEX(Pedidos!$G$2:$G$1801,MATCH(B697,Pedidos!$A$2:$A$1801,0)),0)</f>
        <v/>
      </c>
      <c r="N697" s="25">
        <f>IFERROR(INDEX(Produtos!$B$2:$B$71,MATCH(C697,Produtos!$A$2:$A$71,0)),"")</f>
        <v/>
      </c>
      <c r="O697" s="25">
        <f>IFERROR(INDEX(Produtos!$C$2:$C$71,MATCH(C697,Produtos!$A$2:$A$71,0)),"")</f>
        <v/>
      </c>
      <c r="P697" s="25">
        <f>IFERROR(INDEX(Produtos!$D$2:$D$71,MATCH(C697,Produtos!$A$2:$A$71,0)),0)</f>
        <v/>
      </c>
      <c r="Q697" s="25">
        <f>IFERROR(INDEX(Produtos!$E$2:$E$71,MATCH(C697,Produtos!$A$2:$A$71,0)),0)</f>
        <v/>
      </c>
      <c r="R697" s="27">
        <f>D697*Q697</f>
        <v/>
      </c>
      <c r="S697" s="27">
        <f>R697*E697</f>
        <v/>
      </c>
      <c r="T697" s="27">
        <f>(R697-S697)*M697</f>
        <v/>
      </c>
      <c r="U697" s="27">
        <f>R697-S697-T697</f>
        <v/>
      </c>
      <c r="V697" s="27">
        <f>D697*P697</f>
        <v/>
      </c>
      <c r="W697" s="27">
        <f>U697-V697</f>
        <v/>
      </c>
      <c r="X697" s="28">
        <f>IFERROR(W697/U697,0)</f>
        <v/>
      </c>
    </row>
    <row r="698">
      <c r="A698" s="21">
        <f>ItensPedido!A698</f>
        <v/>
      </c>
      <c r="B698" s="21">
        <f>ItensPedido!B698</f>
        <v/>
      </c>
      <c r="C698" s="21">
        <f>ItensPedido!C698</f>
        <v/>
      </c>
      <c r="D698" s="21">
        <f>ItensPedido!D698</f>
        <v/>
      </c>
      <c r="E698" s="22">
        <f>ItensPedido!E698</f>
        <v/>
      </c>
      <c r="F698" s="21">
        <f>IFERROR(INDEX(Pedidos!$B$2:$B$1801,MATCH(B698,Pedidos!$A$2:$A$1801,0)),0)</f>
        <v/>
      </c>
      <c r="G698" s="21">
        <f>IF(F698=0,"",YEAR(F698))</f>
        <v/>
      </c>
      <c r="H698" s="21">
        <f>IF(F698=0,"",MONTH(F698))</f>
        <v/>
      </c>
      <c r="I698" s="21">
        <f>IFERROR(INDEX(Pedidos!$E$2:$E$1801,MATCH(B698,Pedidos!$A$2:$A$1801,0)),"")</f>
        <v/>
      </c>
      <c r="J698" s="21">
        <f>IFERROR(INDEX(Pedidos!$C$2:$C$1801,MATCH(B698,Pedidos!$A$2:$A$1801,0)),"")</f>
        <v/>
      </c>
      <c r="K698" s="21">
        <f>IFERROR(INDEX(Pedidos!$D$2:$D$1801,MATCH(B698,Pedidos!$A$2:$A$1801,0)),"")</f>
        <v/>
      </c>
      <c r="L698" s="21">
        <f>IFERROR(INDEX(Pedidos!$F$2:$F$1801,MATCH(B698,Pedidos!$A$2:$A$1801,0)),"")</f>
        <v/>
      </c>
      <c r="M698" s="22">
        <f>IFERROR(INDEX(Pedidos!$G$2:$G$1801,MATCH(B698,Pedidos!$A$2:$A$1801,0)),0)</f>
        <v/>
      </c>
      <c r="N698" s="21">
        <f>IFERROR(INDEX(Produtos!$B$2:$B$71,MATCH(C698,Produtos!$A$2:$A$71,0)),"")</f>
        <v/>
      </c>
      <c r="O698" s="21">
        <f>IFERROR(INDEX(Produtos!$C$2:$C$71,MATCH(C698,Produtos!$A$2:$A$71,0)),"")</f>
        <v/>
      </c>
      <c r="P698" s="21">
        <f>IFERROR(INDEX(Produtos!$D$2:$D$71,MATCH(C698,Produtos!$A$2:$A$71,0)),0)</f>
        <v/>
      </c>
      <c r="Q698" s="21">
        <f>IFERROR(INDEX(Produtos!$E$2:$E$71,MATCH(C698,Produtos!$A$2:$A$71,0)),0)</f>
        <v/>
      </c>
      <c r="R698" s="23">
        <f>D698*Q698</f>
        <v/>
      </c>
      <c r="S698" s="23">
        <f>R698*E698</f>
        <v/>
      </c>
      <c r="T698" s="23">
        <f>(R698-S698)*M698</f>
        <v/>
      </c>
      <c r="U698" s="23">
        <f>R698-S698-T698</f>
        <v/>
      </c>
      <c r="V698" s="23">
        <f>D698*P698</f>
        <v/>
      </c>
      <c r="W698" s="23">
        <f>U698-V698</f>
        <v/>
      </c>
      <c r="X698" s="24">
        <f>IFERROR(W698/U698,0)</f>
        <v/>
      </c>
    </row>
    <row r="699">
      <c r="A699" s="25">
        <f>ItensPedido!A699</f>
        <v/>
      </c>
      <c r="B699" s="25">
        <f>ItensPedido!B699</f>
        <v/>
      </c>
      <c r="C699" s="25">
        <f>ItensPedido!C699</f>
        <v/>
      </c>
      <c r="D699" s="25">
        <f>ItensPedido!D699</f>
        <v/>
      </c>
      <c r="E699" s="26">
        <f>ItensPedido!E699</f>
        <v/>
      </c>
      <c r="F699" s="25">
        <f>IFERROR(INDEX(Pedidos!$B$2:$B$1801,MATCH(B699,Pedidos!$A$2:$A$1801,0)),0)</f>
        <v/>
      </c>
      <c r="G699" s="25">
        <f>IF(F699=0,"",YEAR(F699))</f>
        <v/>
      </c>
      <c r="H699" s="25">
        <f>IF(F699=0,"",MONTH(F699))</f>
        <v/>
      </c>
      <c r="I699" s="25">
        <f>IFERROR(INDEX(Pedidos!$E$2:$E$1801,MATCH(B699,Pedidos!$A$2:$A$1801,0)),"")</f>
        <v/>
      </c>
      <c r="J699" s="25">
        <f>IFERROR(INDEX(Pedidos!$C$2:$C$1801,MATCH(B699,Pedidos!$A$2:$A$1801,0)),"")</f>
        <v/>
      </c>
      <c r="K699" s="25">
        <f>IFERROR(INDEX(Pedidos!$D$2:$D$1801,MATCH(B699,Pedidos!$A$2:$A$1801,0)),"")</f>
        <v/>
      </c>
      <c r="L699" s="25">
        <f>IFERROR(INDEX(Pedidos!$F$2:$F$1801,MATCH(B699,Pedidos!$A$2:$A$1801,0)),"")</f>
        <v/>
      </c>
      <c r="M699" s="26">
        <f>IFERROR(INDEX(Pedidos!$G$2:$G$1801,MATCH(B699,Pedidos!$A$2:$A$1801,0)),0)</f>
        <v/>
      </c>
      <c r="N699" s="25">
        <f>IFERROR(INDEX(Produtos!$B$2:$B$71,MATCH(C699,Produtos!$A$2:$A$71,0)),"")</f>
        <v/>
      </c>
      <c r="O699" s="25">
        <f>IFERROR(INDEX(Produtos!$C$2:$C$71,MATCH(C699,Produtos!$A$2:$A$71,0)),"")</f>
        <v/>
      </c>
      <c r="P699" s="25">
        <f>IFERROR(INDEX(Produtos!$D$2:$D$71,MATCH(C699,Produtos!$A$2:$A$71,0)),0)</f>
        <v/>
      </c>
      <c r="Q699" s="25">
        <f>IFERROR(INDEX(Produtos!$E$2:$E$71,MATCH(C699,Produtos!$A$2:$A$71,0)),0)</f>
        <v/>
      </c>
      <c r="R699" s="27">
        <f>D699*Q699</f>
        <v/>
      </c>
      <c r="S699" s="27">
        <f>R699*E699</f>
        <v/>
      </c>
      <c r="T699" s="27">
        <f>(R699-S699)*M699</f>
        <v/>
      </c>
      <c r="U699" s="27">
        <f>R699-S699-T699</f>
        <v/>
      </c>
      <c r="V699" s="27">
        <f>D699*P699</f>
        <v/>
      </c>
      <c r="W699" s="27">
        <f>U699-V699</f>
        <v/>
      </c>
      <c r="X699" s="28">
        <f>IFERROR(W699/U699,0)</f>
        <v/>
      </c>
    </row>
    <row r="700">
      <c r="A700" s="21">
        <f>ItensPedido!A700</f>
        <v/>
      </c>
      <c r="B700" s="21">
        <f>ItensPedido!B700</f>
        <v/>
      </c>
      <c r="C700" s="21">
        <f>ItensPedido!C700</f>
        <v/>
      </c>
      <c r="D700" s="21">
        <f>ItensPedido!D700</f>
        <v/>
      </c>
      <c r="E700" s="22">
        <f>ItensPedido!E700</f>
        <v/>
      </c>
      <c r="F700" s="21">
        <f>IFERROR(INDEX(Pedidos!$B$2:$B$1801,MATCH(B700,Pedidos!$A$2:$A$1801,0)),0)</f>
        <v/>
      </c>
      <c r="G700" s="21">
        <f>IF(F700=0,"",YEAR(F700))</f>
        <v/>
      </c>
      <c r="H700" s="21">
        <f>IF(F700=0,"",MONTH(F700))</f>
        <v/>
      </c>
      <c r="I700" s="21">
        <f>IFERROR(INDEX(Pedidos!$E$2:$E$1801,MATCH(B700,Pedidos!$A$2:$A$1801,0)),"")</f>
        <v/>
      </c>
      <c r="J700" s="21">
        <f>IFERROR(INDEX(Pedidos!$C$2:$C$1801,MATCH(B700,Pedidos!$A$2:$A$1801,0)),"")</f>
        <v/>
      </c>
      <c r="K700" s="21">
        <f>IFERROR(INDEX(Pedidos!$D$2:$D$1801,MATCH(B700,Pedidos!$A$2:$A$1801,0)),"")</f>
        <v/>
      </c>
      <c r="L700" s="21">
        <f>IFERROR(INDEX(Pedidos!$F$2:$F$1801,MATCH(B700,Pedidos!$A$2:$A$1801,0)),"")</f>
        <v/>
      </c>
      <c r="M700" s="22">
        <f>IFERROR(INDEX(Pedidos!$G$2:$G$1801,MATCH(B700,Pedidos!$A$2:$A$1801,0)),0)</f>
        <v/>
      </c>
      <c r="N700" s="21">
        <f>IFERROR(INDEX(Produtos!$B$2:$B$71,MATCH(C700,Produtos!$A$2:$A$71,0)),"")</f>
        <v/>
      </c>
      <c r="O700" s="21">
        <f>IFERROR(INDEX(Produtos!$C$2:$C$71,MATCH(C700,Produtos!$A$2:$A$71,0)),"")</f>
        <v/>
      </c>
      <c r="P700" s="21">
        <f>IFERROR(INDEX(Produtos!$D$2:$D$71,MATCH(C700,Produtos!$A$2:$A$71,0)),0)</f>
        <v/>
      </c>
      <c r="Q700" s="21">
        <f>IFERROR(INDEX(Produtos!$E$2:$E$71,MATCH(C700,Produtos!$A$2:$A$71,0)),0)</f>
        <v/>
      </c>
      <c r="R700" s="23">
        <f>D700*Q700</f>
        <v/>
      </c>
      <c r="S700" s="23">
        <f>R700*E700</f>
        <v/>
      </c>
      <c r="T700" s="23">
        <f>(R700-S700)*M700</f>
        <v/>
      </c>
      <c r="U700" s="23">
        <f>R700-S700-T700</f>
        <v/>
      </c>
      <c r="V700" s="23">
        <f>D700*P700</f>
        <v/>
      </c>
      <c r="W700" s="23">
        <f>U700-V700</f>
        <v/>
      </c>
      <c r="X700" s="24">
        <f>IFERROR(W700/U700,0)</f>
        <v/>
      </c>
    </row>
    <row r="701">
      <c r="A701" s="25">
        <f>ItensPedido!A701</f>
        <v/>
      </c>
      <c r="B701" s="25">
        <f>ItensPedido!B701</f>
        <v/>
      </c>
      <c r="C701" s="25">
        <f>ItensPedido!C701</f>
        <v/>
      </c>
      <c r="D701" s="25">
        <f>ItensPedido!D701</f>
        <v/>
      </c>
      <c r="E701" s="26">
        <f>ItensPedido!E701</f>
        <v/>
      </c>
      <c r="F701" s="25">
        <f>IFERROR(INDEX(Pedidos!$B$2:$B$1801,MATCH(B701,Pedidos!$A$2:$A$1801,0)),0)</f>
        <v/>
      </c>
      <c r="G701" s="25">
        <f>IF(F701=0,"",YEAR(F701))</f>
        <v/>
      </c>
      <c r="H701" s="25">
        <f>IF(F701=0,"",MONTH(F701))</f>
        <v/>
      </c>
      <c r="I701" s="25">
        <f>IFERROR(INDEX(Pedidos!$E$2:$E$1801,MATCH(B701,Pedidos!$A$2:$A$1801,0)),"")</f>
        <v/>
      </c>
      <c r="J701" s="25">
        <f>IFERROR(INDEX(Pedidos!$C$2:$C$1801,MATCH(B701,Pedidos!$A$2:$A$1801,0)),"")</f>
        <v/>
      </c>
      <c r="K701" s="25">
        <f>IFERROR(INDEX(Pedidos!$D$2:$D$1801,MATCH(B701,Pedidos!$A$2:$A$1801,0)),"")</f>
        <v/>
      </c>
      <c r="L701" s="25">
        <f>IFERROR(INDEX(Pedidos!$F$2:$F$1801,MATCH(B701,Pedidos!$A$2:$A$1801,0)),"")</f>
        <v/>
      </c>
      <c r="M701" s="26">
        <f>IFERROR(INDEX(Pedidos!$G$2:$G$1801,MATCH(B701,Pedidos!$A$2:$A$1801,0)),0)</f>
        <v/>
      </c>
      <c r="N701" s="25">
        <f>IFERROR(INDEX(Produtos!$B$2:$B$71,MATCH(C701,Produtos!$A$2:$A$71,0)),"")</f>
        <v/>
      </c>
      <c r="O701" s="25">
        <f>IFERROR(INDEX(Produtos!$C$2:$C$71,MATCH(C701,Produtos!$A$2:$A$71,0)),"")</f>
        <v/>
      </c>
      <c r="P701" s="25">
        <f>IFERROR(INDEX(Produtos!$D$2:$D$71,MATCH(C701,Produtos!$A$2:$A$71,0)),0)</f>
        <v/>
      </c>
      <c r="Q701" s="25">
        <f>IFERROR(INDEX(Produtos!$E$2:$E$71,MATCH(C701,Produtos!$A$2:$A$71,0)),0)</f>
        <v/>
      </c>
      <c r="R701" s="27">
        <f>D701*Q701</f>
        <v/>
      </c>
      <c r="S701" s="27">
        <f>R701*E701</f>
        <v/>
      </c>
      <c r="T701" s="27">
        <f>(R701-S701)*M701</f>
        <v/>
      </c>
      <c r="U701" s="27">
        <f>R701-S701-T701</f>
        <v/>
      </c>
      <c r="V701" s="27">
        <f>D701*P701</f>
        <v/>
      </c>
      <c r="W701" s="27">
        <f>U701-V701</f>
        <v/>
      </c>
      <c r="X701" s="28">
        <f>IFERROR(W701/U701,0)</f>
        <v/>
      </c>
    </row>
    <row r="702">
      <c r="A702" s="21">
        <f>ItensPedido!A702</f>
        <v/>
      </c>
      <c r="B702" s="21">
        <f>ItensPedido!B702</f>
        <v/>
      </c>
      <c r="C702" s="21">
        <f>ItensPedido!C702</f>
        <v/>
      </c>
      <c r="D702" s="21">
        <f>ItensPedido!D702</f>
        <v/>
      </c>
      <c r="E702" s="22">
        <f>ItensPedido!E702</f>
        <v/>
      </c>
      <c r="F702" s="21">
        <f>IFERROR(INDEX(Pedidos!$B$2:$B$1801,MATCH(B702,Pedidos!$A$2:$A$1801,0)),0)</f>
        <v/>
      </c>
      <c r="G702" s="21">
        <f>IF(F702=0,"",YEAR(F702))</f>
        <v/>
      </c>
      <c r="H702" s="21">
        <f>IF(F702=0,"",MONTH(F702))</f>
        <v/>
      </c>
      <c r="I702" s="21">
        <f>IFERROR(INDEX(Pedidos!$E$2:$E$1801,MATCH(B702,Pedidos!$A$2:$A$1801,0)),"")</f>
        <v/>
      </c>
      <c r="J702" s="21">
        <f>IFERROR(INDEX(Pedidos!$C$2:$C$1801,MATCH(B702,Pedidos!$A$2:$A$1801,0)),"")</f>
        <v/>
      </c>
      <c r="K702" s="21">
        <f>IFERROR(INDEX(Pedidos!$D$2:$D$1801,MATCH(B702,Pedidos!$A$2:$A$1801,0)),"")</f>
        <v/>
      </c>
      <c r="L702" s="21">
        <f>IFERROR(INDEX(Pedidos!$F$2:$F$1801,MATCH(B702,Pedidos!$A$2:$A$1801,0)),"")</f>
        <v/>
      </c>
      <c r="M702" s="22">
        <f>IFERROR(INDEX(Pedidos!$G$2:$G$1801,MATCH(B702,Pedidos!$A$2:$A$1801,0)),0)</f>
        <v/>
      </c>
      <c r="N702" s="21">
        <f>IFERROR(INDEX(Produtos!$B$2:$B$71,MATCH(C702,Produtos!$A$2:$A$71,0)),"")</f>
        <v/>
      </c>
      <c r="O702" s="21">
        <f>IFERROR(INDEX(Produtos!$C$2:$C$71,MATCH(C702,Produtos!$A$2:$A$71,0)),"")</f>
        <v/>
      </c>
      <c r="P702" s="21">
        <f>IFERROR(INDEX(Produtos!$D$2:$D$71,MATCH(C702,Produtos!$A$2:$A$71,0)),0)</f>
        <v/>
      </c>
      <c r="Q702" s="21">
        <f>IFERROR(INDEX(Produtos!$E$2:$E$71,MATCH(C702,Produtos!$A$2:$A$71,0)),0)</f>
        <v/>
      </c>
      <c r="R702" s="23">
        <f>D702*Q702</f>
        <v/>
      </c>
      <c r="S702" s="23">
        <f>R702*E702</f>
        <v/>
      </c>
      <c r="T702" s="23">
        <f>(R702-S702)*M702</f>
        <v/>
      </c>
      <c r="U702" s="23">
        <f>R702-S702-T702</f>
        <v/>
      </c>
      <c r="V702" s="23">
        <f>D702*P702</f>
        <v/>
      </c>
      <c r="W702" s="23">
        <f>U702-V702</f>
        <v/>
      </c>
      <c r="X702" s="24">
        <f>IFERROR(W702/U702,0)</f>
        <v/>
      </c>
    </row>
    <row r="703">
      <c r="A703" s="25">
        <f>ItensPedido!A703</f>
        <v/>
      </c>
      <c r="B703" s="25">
        <f>ItensPedido!B703</f>
        <v/>
      </c>
      <c r="C703" s="25">
        <f>ItensPedido!C703</f>
        <v/>
      </c>
      <c r="D703" s="25">
        <f>ItensPedido!D703</f>
        <v/>
      </c>
      <c r="E703" s="26">
        <f>ItensPedido!E703</f>
        <v/>
      </c>
      <c r="F703" s="25">
        <f>IFERROR(INDEX(Pedidos!$B$2:$B$1801,MATCH(B703,Pedidos!$A$2:$A$1801,0)),0)</f>
        <v/>
      </c>
      <c r="G703" s="25">
        <f>IF(F703=0,"",YEAR(F703))</f>
        <v/>
      </c>
      <c r="H703" s="25">
        <f>IF(F703=0,"",MONTH(F703))</f>
        <v/>
      </c>
      <c r="I703" s="25">
        <f>IFERROR(INDEX(Pedidos!$E$2:$E$1801,MATCH(B703,Pedidos!$A$2:$A$1801,0)),"")</f>
        <v/>
      </c>
      <c r="J703" s="25">
        <f>IFERROR(INDEX(Pedidos!$C$2:$C$1801,MATCH(B703,Pedidos!$A$2:$A$1801,0)),"")</f>
        <v/>
      </c>
      <c r="K703" s="25">
        <f>IFERROR(INDEX(Pedidos!$D$2:$D$1801,MATCH(B703,Pedidos!$A$2:$A$1801,0)),"")</f>
        <v/>
      </c>
      <c r="L703" s="25">
        <f>IFERROR(INDEX(Pedidos!$F$2:$F$1801,MATCH(B703,Pedidos!$A$2:$A$1801,0)),"")</f>
        <v/>
      </c>
      <c r="M703" s="26">
        <f>IFERROR(INDEX(Pedidos!$G$2:$G$1801,MATCH(B703,Pedidos!$A$2:$A$1801,0)),0)</f>
        <v/>
      </c>
      <c r="N703" s="25">
        <f>IFERROR(INDEX(Produtos!$B$2:$B$71,MATCH(C703,Produtos!$A$2:$A$71,0)),"")</f>
        <v/>
      </c>
      <c r="O703" s="25">
        <f>IFERROR(INDEX(Produtos!$C$2:$C$71,MATCH(C703,Produtos!$A$2:$A$71,0)),"")</f>
        <v/>
      </c>
      <c r="P703" s="25">
        <f>IFERROR(INDEX(Produtos!$D$2:$D$71,MATCH(C703,Produtos!$A$2:$A$71,0)),0)</f>
        <v/>
      </c>
      <c r="Q703" s="25">
        <f>IFERROR(INDEX(Produtos!$E$2:$E$71,MATCH(C703,Produtos!$A$2:$A$71,0)),0)</f>
        <v/>
      </c>
      <c r="R703" s="27">
        <f>D703*Q703</f>
        <v/>
      </c>
      <c r="S703" s="27">
        <f>R703*E703</f>
        <v/>
      </c>
      <c r="T703" s="27">
        <f>(R703-S703)*M703</f>
        <v/>
      </c>
      <c r="U703" s="27">
        <f>R703-S703-T703</f>
        <v/>
      </c>
      <c r="V703" s="27">
        <f>D703*P703</f>
        <v/>
      </c>
      <c r="W703" s="27">
        <f>U703-V703</f>
        <v/>
      </c>
      <c r="X703" s="28">
        <f>IFERROR(W703/U703,0)</f>
        <v/>
      </c>
    </row>
    <row r="704">
      <c r="A704" s="21">
        <f>ItensPedido!A704</f>
        <v/>
      </c>
      <c r="B704" s="21">
        <f>ItensPedido!B704</f>
        <v/>
      </c>
      <c r="C704" s="21">
        <f>ItensPedido!C704</f>
        <v/>
      </c>
      <c r="D704" s="21">
        <f>ItensPedido!D704</f>
        <v/>
      </c>
      <c r="E704" s="22">
        <f>ItensPedido!E704</f>
        <v/>
      </c>
      <c r="F704" s="21">
        <f>IFERROR(INDEX(Pedidos!$B$2:$B$1801,MATCH(B704,Pedidos!$A$2:$A$1801,0)),0)</f>
        <v/>
      </c>
      <c r="G704" s="21">
        <f>IF(F704=0,"",YEAR(F704))</f>
        <v/>
      </c>
      <c r="H704" s="21">
        <f>IF(F704=0,"",MONTH(F704))</f>
        <v/>
      </c>
      <c r="I704" s="21">
        <f>IFERROR(INDEX(Pedidos!$E$2:$E$1801,MATCH(B704,Pedidos!$A$2:$A$1801,0)),"")</f>
        <v/>
      </c>
      <c r="J704" s="21">
        <f>IFERROR(INDEX(Pedidos!$C$2:$C$1801,MATCH(B704,Pedidos!$A$2:$A$1801,0)),"")</f>
        <v/>
      </c>
      <c r="K704" s="21">
        <f>IFERROR(INDEX(Pedidos!$D$2:$D$1801,MATCH(B704,Pedidos!$A$2:$A$1801,0)),"")</f>
        <v/>
      </c>
      <c r="L704" s="21">
        <f>IFERROR(INDEX(Pedidos!$F$2:$F$1801,MATCH(B704,Pedidos!$A$2:$A$1801,0)),"")</f>
        <v/>
      </c>
      <c r="M704" s="22">
        <f>IFERROR(INDEX(Pedidos!$G$2:$G$1801,MATCH(B704,Pedidos!$A$2:$A$1801,0)),0)</f>
        <v/>
      </c>
      <c r="N704" s="21">
        <f>IFERROR(INDEX(Produtos!$B$2:$B$71,MATCH(C704,Produtos!$A$2:$A$71,0)),"")</f>
        <v/>
      </c>
      <c r="O704" s="21">
        <f>IFERROR(INDEX(Produtos!$C$2:$C$71,MATCH(C704,Produtos!$A$2:$A$71,0)),"")</f>
        <v/>
      </c>
      <c r="P704" s="21">
        <f>IFERROR(INDEX(Produtos!$D$2:$D$71,MATCH(C704,Produtos!$A$2:$A$71,0)),0)</f>
        <v/>
      </c>
      <c r="Q704" s="21">
        <f>IFERROR(INDEX(Produtos!$E$2:$E$71,MATCH(C704,Produtos!$A$2:$A$71,0)),0)</f>
        <v/>
      </c>
      <c r="R704" s="23">
        <f>D704*Q704</f>
        <v/>
      </c>
      <c r="S704" s="23">
        <f>R704*E704</f>
        <v/>
      </c>
      <c r="T704" s="23">
        <f>(R704-S704)*M704</f>
        <v/>
      </c>
      <c r="U704" s="23">
        <f>R704-S704-T704</f>
        <v/>
      </c>
      <c r="V704" s="23">
        <f>D704*P704</f>
        <v/>
      </c>
      <c r="W704" s="23">
        <f>U704-V704</f>
        <v/>
      </c>
      <c r="X704" s="24">
        <f>IFERROR(W704/U704,0)</f>
        <v/>
      </c>
    </row>
    <row r="705">
      <c r="A705" s="25">
        <f>ItensPedido!A705</f>
        <v/>
      </c>
      <c r="B705" s="25">
        <f>ItensPedido!B705</f>
        <v/>
      </c>
      <c r="C705" s="25">
        <f>ItensPedido!C705</f>
        <v/>
      </c>
      <c r="D705" s="25">
        <f>ItensPedido!D705</f>
        <v/>
      </c>
      <c r="E705" s="26">
        <f>ItensPedido!E705</f>
        <v/>
      </c>
      <c r="F705" s="25">
        <f>IFERROR(INDEX(Pedidos!$B$2:$B$1801,MATCH(B705,Pedidos!$A$2:$A$1801,0)),0)</f>
        <v/>
      </c>
      <c r="G705" s="25">
        <f>IF(F705=0,"",YEAR(F705))</f>
        <v/>
      </c>
      <c r="H705" s="25">
        <f>IF(F705=0,"",MONTH(F705))</f>
        <v/>
      </c>
      <c r="I705" s="25">
        <f>IFERROR(INDEX(Pedidos!$E$2:$E$1801,MATCH(B705,Pedidos!$A$2:$A$1801,0)),"")</f>
        <v/>
      </c>
      <c r="J705" s="25">
        <f>IFERROR(INDEX(Pedidos!$C$2:$C$1801,MATCH(B705,Pedidos!$A$2:$A$1801,0)),"")</f>
        <v/>
      </c>
      <c r="K705" s="25">
        <f>IFERROR(INDEX(Pedidos!$D$2:$D$1801,MATCH(B705,Pedidos!$A$2:$A$1801,0)),"")</f>
        <v/>
      </c>
      <c r="L705" s="25">
        <f>IFERROR(INDEX(Pedidos!$F$2:$F$1801,MATCH(B705,Pedidos!$A$2:$A$1801,0)),"")</f>
        <v/>
      </c>
      <c r="M705" s="26">
        <f>IFERROR(INDEX(Pedidos!$G$2:$G$1801,MATCH(B705,Pedidos!$A$2:$A$1801,0)),0)</f>
        <v/>
      </c>
      <c r="N705" s="25">
        <f>IFERROR(INDEX(Produtos!$B$2:$B$71,MATCH(C705,Produtos!$A$2:$A$71,0)),"")</f>
        <v/>
      </c>
      <c r="O705" s="25">
        <f>IFERROR(INDEX(Produtos!$C$2:$C$71,MATCH(C705,Produtos!$A$2:$A$71,0)),"")</f>
        <v/>
      </c>
      <c r="P705" s="25">
        <f>IFERROR(INDEX(Produtos!$D$2:$D$71,MATCH(C705,Produtos!$A$2:$A$71,0)),0)</f>
        <v/>
      </c>
      <c r="Q705" s="25">
        <f>IFERROR(INDEX(Produtos!$E$2:$E$71,MATCH(C705,Produtos!$A$2:$A$71,0)),0)</f>
        <v/>
      </c>
      <c r="R705" s="27">
        <f>D705*Q705</f>
        <v/>
      </c>
      <c r="S705" s="27">
        <f>R705*E705</f>
        <v/>
      </c>
      <c r="T705" s="27">
        <f>(R705-S705)*M705</f>
        <v/>
      </c>
      <c r="U705" s="27">
        <f>R705-S705-T705</f>
        <v/>
      </c>
      <c r="V705" s="27">
        <f>D705*P705</f>
        <v/>
      </c>
      <c r="W705" s="27">
        <f>U705-V705</f>
        <v/>
      </c>
      <c r="X705" s="28">
        <f>IFERROR(W705/U705,0)</f>
        <v/>
      </c>
    </row>
    <row r="706">
      <c r="A706" s="21">
        <f>ItensPedido!A706</f>
        <v/>
      </c>
      <c r="B706" s="21">
        <f>ItensPedido!B706</f>
        <v/>
      </c>
      <c r="C706" s="21">
        <f>ItensPedido!C706</f>
        <v/>
      </c>
      <c r="D706" s="21">
        <f>ItensPedido!D706</f>
        <v/>
      </c>
      <c r="E706" s="22">
        <f>ItensPedido!E706</f>
        <v/>
      </c>
      <c r="F706" s="21">
        <f>IFERROR(INDEX(Pedidos!$B$2:$B$1801,MATCH(B706,Pedidos!$A$2:$A$1801,0)),0)</f>
        <v/>
      </c>
      <c r="G706" s="21">
        <f>IF(F706=0,"",YEAR(F706))</f>
        <v/>
      </c>
      <c r="H706" s="21">
        <f>IF(F706=0,"",MONTH(F706))</f>
        <v/>
      </c>
      <c r="I706" s="21">
        <f>IFERROR(INDEX(Pedidos!$E$2:$E$1801,MATCH(B706,Pedidos!$A$2:$A$1801,0)),"")</f>
        <v/>
      </c>
      <c r="J706" s="21">
        <f>IFERROR(INDEX(Pedidos!$C$2:$C$1801,MATCH(B706,Pedidos!$A$2:$A$1801,0)),"")</f>
        <v/>
      </c>
      <c r="K706" s="21">
        <f>IFERROR(INDEX(Pedidos!$D$2:$D$1801,MATCH(B706,Pedidos!$A$2:$A$1801,0)),"")</f>
        <v/>
      </c>
      <c r="L706" s="21">
        <f>IFERROR(INDEX(Pedidos!$F$2:$F$1801,MATCH(B706,Pedidos!$A$2:$A$1801,0)),"")</f>
        <v/>
      </c>
      <c r="M706" s="22">
        <f>IFERROR(INDEX(Pedidos!$G$2:$G$1801,MATCH(B706,Pedidos!$A$2:$A$1801,0)),0)</f>
        <v/>
      </c>
      <c r="N706" s="21">
        <f>IFERROR(INDEX(Produtos!$B$2:$B$71,MATCH(C706,Produtos!$A$2:$A$71,0)),"")</f>
        <v/>
      </c>
      <c r="O706" s="21">
        <f>IFERROR(INDEX(Produtos!$C$2:$C$71,MATCH(C706,Produtos!$A$2:$A$71,0)),"")</f>
        <v/>
      </c>
      <c r="P706" s="21">
        <f>IFERROR(INDEX(Produtos!$D$2:$D$71,MATCH(C706,Produtos!$A$2:$A$71,0)),0)</f>
        <v/>
      </c>
      <c r="Q706" s="21">
        <f>IFERROR(INDEX(Produtos!$E$2:$E$71,MATCH(C706,Produtos!$A$2:$A$71,0)),0)</f>
        <v/>
      </c>
      <c r="R706" s="23">
        <f>D706*Q706</f>
        <v/>
      </c>
      <c r="S706" s="23">
        <f>R706*E706</f>
        <v/>
      </c>
      <c r="T706" s="23">
        <f>(R706-S706)*M706</f>
        <v/>
      </c>
      <c r="U706" s="23">
        <f>R706-S706-T706</f>
        <v/>
      </c>
      <c r="V706" s="23">
        <f>D706*P706</f>
        <v/>
      </c>
      <c r="W706" s="23">
        <f>U706-V706</f>
        <v/>
      </c>
      <c r="X706" s="24">
        <f>IFERROR(W706/U706,0)</f>
        <v/>
      </c>
    </row>
    <row r="707">
      <c r="A707" s="25">
        <f>ItensPedido!A707</f>
        <v/>
      </c>
      <c r="B707" s="25">
        <f>ItensPedido!B707</f>
        <v/>
      </c>
      <c r="C707" s="25">
        <f>ItensPedido!C707</f>
        <v/>
      </c>
      <c r="D707" s="25">
        <f>ItensPedido!D707</f>
        <v/>
      </c>
      <c r="E707" s="26">
        <f>ItensPedido!E707</f>
        <v/>
      </c>
      <c r="F707" s="25">
        <f>IFERROR(INDEX(Pedidos!$B$2:$B$1801,MATCH(B707,Pedidos!$A$2:$A$1801,0)),0)</f>
        <v/>
      </c>
      <c r="G707" s="25">
        <f>IF(F707=0,"",YEAR(F707))</f>
        <v/>
      </c>
      <c r="H707" s="25">
        <f>IF(F707=0,"",MONTH(F707))</f>
        <v/>
      </c>
      <c r="I707" s="25">
        <f>IFERROR(INDEX(Pedidos!$E$2:$E$1801,MATCH(B707,Pedidos!$A$2:$A$1801,0)),"")</f>
        <v/>
      </c>
      <c r="J707" s="25">
        <f>IFERROR(INDEX(Pedidos!$C$2:$C$1801,MATCH(B707,Pedidos!$A$2:$A$1801,0)),"")</f>
        <v/>
      </c>
      <c r="K707" s="25">
        <f>IFERROR(INDEX(Pedidos!$D$2:$D$1801,MATCH(B707,Pedidos!$A$2:$A$1801,0)),"")</f>
        <v/>
      </c>
      <c r="L707" s="25">
        <f>IFERROR(INDEX(Pedidos!$F$2:$F$1801,MATCH(B707,Pedidos!$A$2:$A$1801,0)),"")</f>
        <v/>
      </c>
      <c r="M707" s="26">
        <f>IFERROR(INDEX(Pedidos!$G$2:$G$1801,MATCH(B707,Pedidos!$A$2:$A$1801,0)),0)</f>
        <v/>
      </c>
      <c r="N707" s="25">
        <f>IFERROR(INDEX(Produtos!$B$2:$B$71,MATCH(C707,Produtos!$A$2:$A$71,0)),"")</f>
        <v/>
      </c>
      <c r="O707" s="25">
        <f>IFERROR(INDEX(Produtos!$C$2:$C$71,MATCH(C707,Produtos!$A$2:$A$71,0)),"")</f>
        <v/>
      </c>
      <c r="P707" s="25">
        <f>IFERROR(INDEX(Produtos!$D$2:$D$71,MATCH(C707,Produtos!$A$2:$A$71,0)),0)</f>
        <v/>
      </c>
      <c r="Q707" s="25">
        <f>IFERROR(INDEX(Produtos!$E$2:$E$71,MATCH(C707,Produtos!$A$2:$A$71,0)),0)</f>
        <v/>
      </c>
      <c r="R707" s="27">
        <f>D707*Q707</f>
        <v/>
      </c>
      <c r="S707" s="27">
        <f>R707*E707</f>
        <v/>
      </c>
      <c r="T707" s="27">
        <f>(R707-S707)*M707</f>
        <v/>
      </c>
      <c r="U707" s="27">
        <f>R707-S707-T707</f>
        <v/>
      </c>
      <c r="V707" s="27">
        <f>D707*P707</f>
        <v/>
      </c>
      <c r="W707" s="27">
        <f>U707-V707</f>
        <v/>
      </c>
      <c r="X707" s="28">
        <f>IFERROR(W707/U707,0)</f>
        <v/>
      </c>
    </row>
    <row r="708">
      <c r="A708" s="21">
        <f>ItensPedido!A708</f>
        <v/>
      </c>
      <c r="B708" s="21">
        <f>ItensPedido!B708</f>
        <v/>
      </c>
      <c r="C708" s="21">
        <f>ItensPedido!C708</f>
        <v/>
      </c>
      <c r="D708" s="21">
        <f>ItensPedido!D708</f>
        <v/>
      </c>
      <c r="E708" s="22">
        <f>ItensPedido!E708</f>
        <v/>
      </c>
      <c r="F708" s="21">
        <f>IFERROR(INDEX(Pedidos!$B$2:$B$1801,MATCH(B708,Pedidos!$A$2:$A$1801,0)),0)</f>
        <v/>
      </c>
      <c r="G708" s="21">
        <f>IF(F708=0,"",YEAR(F708))</f>
        <v/>
      </c>
      <c r="H708" s="21">
        <f>IF(F708=0,"",MONTH(F708))</f>
        <v/>
      </c>
      <c r="I708" s="21">
        <f>IFERROR(INDEX(Pedidos!$E$2:$E$1801,MATCH(B708,Pedidos!$A$2:$A$1801,0)),"")</f>
        <v/>
      </c>
      <c r="J708" s="21">
        <f>IFERROR(INDEX(Pedidos!$C$2:$C$1801,MATCH(B708,Pedidos!$A$2:$A$1801,0)),"")</f>
        <v/>
      </c>
      <c r="K708" s="21">
        <f>IFERROR(INDEX(Pedidos!$D$2:$D$1801,MATCH(B708,Pedidos!$A$2:$A$1801,0)),"")</f>
        <v/>
      </c>
      <c r="L708" s="21">
        <f>IFERROR(INDEX(Pedidos!$F$2:$F$1801,MATCH(B708,Pedidos!$A$2:$A$1801,0)),"")</f>
        <v/>
      </c>
      <c r="M708" s="22">
        <f>IFERROR(INDEX(Pedidos!$G$2:$G$1801,MATCH(B708,Pedidos!$A$2:$A$1801,0)),0)</f>
        <v/>
      </c>
      <c r="N708" s="21">
        <f>IFERROR(INDEX(Produtos!$B$2:$B$71,MATCH(C708,Produtos!$A$2:$A$71,0)),"")</f>
        <v/>
      </c>
      <c r="O708" s="21">
        <f>IFERROR(INDEX(Produtos!$C$2:$C$71,MATCH(C708,Produtos!$A$2:$A$71,0)),"")</f>
        <v/>
      </c>
      <c r="P708" s="21">
        <f>IFERROR(INDEX(Produtos!$D$2:$D$71,MATCH(C708,Produtos!$A$2:$A$71,0)),0)</f>
        <v/>
      </c>
      <c r="Q708" s="21">
        <f>IFERROR(INDEX(Produtos!$E$2:$E$71,MATCH(C708,Produtos!$A$2:$A$71,0)),0)</f>
        <v/>
      </c>
      <c r="R708" s="23">
        <f>D708*Q708</f>
        <v/>
      </c>
      <c r="S708" s="23">
        <f>R708*E708</f>
        <v/>
      </c>
      <c r="T708" s="23">
        <f>(R708-S708)*M708</f>
        <v/>
      </c>
      <c r="U708" s="23">
        <f>R708-S708-T708</f>
        <v/>
      </c>
      <c r="V708" s="23">
        <f>D708*P708</f>
        <v/>
      </c>
      <c r="W708" s="23">
        <f>U708-V708</f>
        <v/>
      </c>
      <c r="X708" s="24">
        <f>IFERROR(W708/U708,0)</f>
        <v/>
      </c>
    </row>
    <row r="709">
      <c r="A709" s="25">
        <f>ItensPedido!A709</f>
        <v/>
      </c>
      <c r="B709" s="25">
        <f>ItensPedido!B709</f>
        <v/>
      </c>
      <c r="C709" s="25">
        <f>ItensPedido!C709</f>
        <v/>
      </c>
      <c r="D709" s="25">
        <f>ItensPedido!D709</f>
        <v/>
      </c>
      <c r="E709" s="26">
        <f>ItensPedido!E709</f>
        <v/>
      </c>
      <c r="F709" s="25">
        <f>IFERROR(INDEX(Pedidos!$B$2:$B$1801,MATCH(B709,Pedidos!$A$2:$A$1801,0)),0)</f>
        <v/>
      </c>
      <c r="G709" s="25">
        <f>IF(F709=0,"",YEAR(F709))</f>
        <v/>
      </c>
      <c r="H709" s="25">
        <f>IF(F709=0,"",MONTH(F709))</f>
        <v/>
      </c>
      <c r="I709" s="25">
        <f>IFERROR(INDEX(Pedidos!$E$2:$E$1801,MATCH(B709,Pedidos!$A$2:$A$1801,0)),"")</f>
        <v/>
      </c>
      <c r="J709" s="25">
        <f>IFERROR(INDEX(Pedidos!$C$2:$C$1801,MATCH(B709,Pedidos!$A$2:$A$1801,0)),"")</f>
        <v/>
      </c>
      <c r="K709" s="25">
        <f>IFERROR(INDEX(Pedidos!$D$2:$D$1801,MATCH(B709,Pedidos!$A$2:$A$1801,0)),"")</f>
        <v/>
      </c>
      <c r="L709" s="25">
        <f>IFERROR(INDEX(Pedidos!$F$2:$F$1801,MATCH(B709,Pedidos!$A$2:$A$1801,0)),"")</f>
        <v/>
      </c>
      <c r="M709" s="26">
        <f>IFERROR(INDEX(Pedidos!$G$2:$G$1801,MATCH(B709,Pedidos!$A$2:$A$1801,0)),0)</f>
        <v/>
      </c>
      <c r="N709" s="25">
        <f>IFERROR(INDEX(Produtos!$B$2:$B$71,MATCH(C709,Produtos!$A$2:$A$71,0)),"")</f>
        <v/>
      </c>
      <c r="O709" s="25">
        <f>IFERROR(INDEX(Produtos!$C$2:$C$71,MATCH(C709,Produtos!$A$2:$A$71,0)),"")</f>
        <v/>
      </c>
      <c r="P709" s="25">
        <f>IFERROR(INDEX(Produtos!$D$2:$D$71,MATCH(C709,Produtos!$A$2:$A$71,0)),0)</f>
        <v/>
      </c>
      <c r="Q709" s="25">
        <f>IFERROR(INDEX(Produtos!$E$2:$E$71,MATCH(C709,Produtos!$A$2:$A$71,0)),0)</f>
        <v/>
      </c>
      <c r="R709" s="27">
        <f>D709*Q709</f>
        <v/>
      </c>
      <c r="S709" s="27">
        <f>R709*E709</f>
        <v/>
      </c>
      <c r="T709" s="27">
        <f>(R709-S709)*M709</f>
        <v/>
      </c>
      <c r="U709" s="27">
        <f>R709-S709-T709</f>
        <v/>
      </c>
      <c r="V709" s="27">
        <f>D709*P709</f>
        <v/>
      </c>
      <c r="W709" s="27">
        <f>U709-V709</f>
        <v/>
      </c>
      <c r="X709" s="28">
        <f>IFERROR(W709/U709,0)</f>
        <v/>
      </c>
    </row>
    <row r="710">
      <c r="A710" s="21">
        <f>ItensPedido!A710</f>
        <v/>
      </c>
      <c r="B710" s="21">
        <f>ItensPedido!B710</f>
        <v/>
      </c>
      <c r="C710" s="21">
        <f>ItensPedido!C710</f>
        <v/>
      </c>
      <c r="D710" s="21">
        <f>ItensPedido!D710</f>
        <v/>
      </c>
      <c r="E710" s="22">
        <f>ItensPedido!E710</f>
        <v/>
      </c>
      <c r="F710" s="21">
        <f>IFERROR(INDEX(Pedidos!$B$2:$B$1801,MATCH(B710,Pedidos!$A$2:$A$1801,0)),0)</f>
        <v/>
      </c>
      <c r="G710" s="21">
        <f>IF(F710=0,"",YEAR(F710))</f>
        <v/>
      </c>
      <c r="H710" s="21">
        <f>IF(F710=0,"",MONTH(F710))</f>
        <v/>
      </c>
      <c r="I710" s="21">
        <f>IFERROR(INDEX(Pedidos!$E$2:$E$1801,MATCH(B710,Pedidos!$A$2:$A$1801,0)),"")</f>
        <v/>
      </c>
      <c r="J710" s="21">
        <f>IFERROR(INDEX(Pedidos!$C$2:$C$1801,MATCH(B710,Pedidos!$A$2:$A$1801,0)),"")</f>
        <v/>
      </c>
      <c r="K710" s="21">
        <f>IFERROR(INDEX(Pedidos!$D$2:$D$1801,MATCH(B710,Pedidos!$A$2:$A$1801,0)),"")</f>
        <v/>
      </c>
      <c r="L710" s="21">
        <f>IFERROR(INDEX(Pedidos!$F$2:$F$1801,MATCH(B710,Pedidos!$A$2:$A$1801,0)),"")</f>
        <v/>
      </c>
      <c r="M710" s="22">
        <f>IFERROR(INDEX(Pedidos!$G$2:$G$1801,MATCH(B710,Pedidos!$A$2:$A$1801,0)),0)</f>
        <v/>
      </c>
      <c r="N710" s="21">
        <f>IFERROR(INDEX(Produtos!$B$2:$B$71,MATCH(C710,Produtos!$A$2:$A$71,0)),"")</f>
        <v/>
      </c>
      <c r="O710" s="21">
        <f>IFERROR(INDEX(Produtos!$C$2:$C$71,MATCH(C710,Produtos!$A$2:$A$71,0)),"")</f>
        <v/>
      </c>
      <c r="P710" s="21">
        <f>IFERROR(INDEX(Produtos!$D$2:$D$71,MATCH(C710,Produtos!$A$2:$A$71,0)),0)</f>
        <v/>
      </c>
      <c r="Q710" s="21">
        <f>IFERROR(INDEX(Produtos!$E$2:$E$71,MATCH(C710,Produtos!$A$2:$A$71,0)),0)</f>
        <v/>
      </c>
      <c r="R710" s="23">
        <f>D710*Q710</f>
        <v/>
      </c>
      <c r="S710" s="23">
        <f>R710*E710</f>
        <v/>
      </c>
      <c r="T710" s="23">
        <f>(R710-S710)*M710</f>
        <v/>
      </c>
      <c r="U710" s="23">
        <f>R710-S710-T710</f>
        <v/>
      </c>
      <c r="V710" s="23">
        <f>D710*P710</f>
        <v/>
      </c>
      <c r="W710" s="23">
        <f>U710-V710</f>
        <v/>
      </c>
      <c r="X710" s="24">
        <f>IFERROR(W710/U710,0)</f>
        <v/>
      </c>
    </row>
    <row r="711">
      <c r="A711" s="25">
        <f>ItensPedido!A711</f>
        <v/>
      </c>
      <c r="B711" s="25">
        <f>ItensPedido!B711</f>
        <v/>
      </c>
      <c r="C711" s="25">
        <f>ItensPedido!C711</f>
        <v/>
      </c>
      <c r="D711" s="25">
        <f>ItensPedido!D711</f>
        <v/>
      </c>
      <c r="E711" s="26">
        <f>ItensPedido!E711</f>
        <v/>
      </c>
      <c r="F711" s="25">
        <f>IFERROR(INDEX(Pedidos!$B$2:$B$1801,MATCH(B711,Pedidos!$A$2:$A$1801,0)),0)</f>
        <v/>
      </c>
      <c r="G711" s="25">
        <f>IF(F711=0,"",YEAR(F711))</f>
        <v/>
      </c>
      <c r="H711" s="25">
        <f>IF(F711=0,"",MONTH(F711))</f>
        <v/>
      </c>
      <c r="I711" s="25">
        <f>IFERROR(INDEX(Pedidos!$E$2:$E$1801,MATCH(B711,Pedidos!$A$2:$A$1801,0)),"")</f>
        <v/>
      </c>
      <c r="J711" s="25">
        <f>IFERROR(INDEX(Pedidos!$C$2:$C$1801,MATCH(B711,Pedidos!$A$2:$A$1801,0)),"")</f>
        <v/>
      </c>
      <c r="K711" s="25">
        <f>IFERROR(INDEX(Pedidos!$D$2:$D$1801,MATCH(B711,Pedidos!$A$2:$A$1801,0)),"")</f>
        <v/>
      </c>
      <c r="L711" s="25">
        <f>IFERROR(INDEX(Pedidos!$F$2:$F$1801,MATCH(B711,Pedidos!$A$2:$A$1801,0)),"")</f>
        <v/>
      </c>
      <c r="M711" s="26">
        <f>IFERROR(INDEX(Pedidos!$G$2:$G$1801,MATCH(B711,Pedidos!$A$2:$A$1801,0)),0)</f>
        <v/>
      </c>
      <c r="N711" s="25">
        <f>IFERROR(INDEX(Produtos!$B$2:$B$71,MATCH(C711,Produtos!$A$2:$A$71,0)),"")</f>
        <v/>
      </c>
      <c r="O711" s="25">
        <f>IFERROR(INDEX(Produtos!$C$2:$C$71,MATCH(C711,Produtos!$A$2:$A$71,0)),"")</f>
        <v/>
      </c>
      <c r="P711" s="25">
        <f>IFERROR(INDEX(Produtos!$D$2:$D$71,MATCH(C711,Produtos!$A$2:$A$71,0)),0)</f>
        <v/>
      </c>
      <c r="Q711" s="25">
        <f>IFERROR(INDEX(Produtos!$E$2:$E$71,MATCH(C711,Produtos!$A$2:$A$71,0)),0)</f>
        <v/>
      </c>
      <c r="R711" s="27">
        <f>D711*Q711</f>
        <v/>
      </c>
      <c r="S711" s="27">
        <f>R711*E711</f>
        <v/>
      </c>
      <c r="T711" s="27">
        <f>(R711-S711)*M711</f>
        <v/>
      </c>
      <c r="U711" s="27">
        <f>R711-S711-T711</f>
        <v/>
      </c>
      <c r="V711" s="27">
        <f>D711*P711</f>
        <v/>
      </c>
      <c r="W711" s="27">
        <f>U711-V711</f>
        <v/>
      </c>
      <c r="X711" s="28">
        <f>IFERROR(W711/U711,0)</f>
        <v/>
      </c>
    </row>
    <row r="712">
      <c r="A712" s="21">
        <f>ItensPedido!A712</f>
        <v/>
      </c>
      <c r="B712" s="21">
        <f>ItensPedido!B712</f>
        <v/>
      </c>
      <c r="C712" s="21">
        <f>ItensPedido!C712</f>
        <v/>
      </c>
      <c r="D712" s="21">
        <f>ItensPedido!D712</f>
        <v/>
      </c>
      <c r="E712" s="22">
        <f>ItensPedido!E712</f>
        <v/>
      </c>
      <c r="F712" s="21">
        <f>IFERROR(INDEX(Pedidos!$B$2:$B$1801,MATCH(B712,Pedidos!$A$2:$A$1801,0)),0)</f>
        <v/>
      </c>
      <c r="G712" s="21">
        <f>IF(F712=0,"",YEAR(F712))</f>
        <v/>
      </c>
      <c r="H712" s="21">
        <f>IF(F712=0,"",MONTH(F712))</f>
        <v/>
      </c>
      <c r="I712" s="21">
        <f>IFERROR(INDEX(Pedidos!$E$2:$E$1801,MATCH(B712,Pedidos!$A$2:$A$1801,0)),"")</f>
        <v/>
      </c>
      <c r="J712" s="21">
        <f>IFERROR(INDEX(Pedidos!$C$2:$C$1801,MATCH(B712,Pedidos!$A$2:$A$1801,0)),"")</f>
        <v/>
      </c>
      <c r="K712" s="21">
        <f>IFERROR(INDEX(Pedidos!$D$2:$D$1801,MATCH(B712,Pedidos!$A$2:$A$1801,0)),"")</f>
        <v/>
      </c>
      <c r="L712" s="21">
        <f>IFERROR(INDEX(Pedidos!$F$2:$F$1801,MATCH(B712,Pedidos!$A$2:$A$1801,0)),"")</f>
        <v/>
      </c>
      <c r="M712" s="22">
        <f>IFERROR(INDEX(Pedidos!$G$2:$G$1801,MATCH(B712,Pedidos!$A$2:$A$1801,0)),0)</f>
        <v/>
      </c>
      <c r="N712" s="21">
        <f>IFERROR(INDEX(Produtos!$B$2:$B$71,MATCH(C712,Produtos!$A$2:$A$71,0)),"")</f>
        <v/>
      </c>
      <c r="O712" s="21">
        <f>IFERROR(INDEX(Produtos!$C$2:$C$71,MATCH(C712,Produtos!$A$2:$A$71,0)),"")</f>
        <v/>
      </c>
      <c r="P712" s="21">
        <f>IFERROR(INDEX(Produtos!$D$2:$D$71,MATCH(C712,Produtos!$A$2:$A$71,0)),0)</f>
        <v/>
      </c>
      <c r="Q712" s="21">
        <f>IFERROR(INDEX(Produtos!$E$2:$E$71,MATCH(C712,Produtos!$A$2:$A$71,0)),0)</f>
        <v/>
      </c>
      <c r="R712" s="23">
        <f>D712*Q712</f>
        <v/>
      </c>
      <c r="S712" s="23">
        <f>R712*E712</f>
        <v/>
      </c>
      <c r="T712" s="23">
        <f>(R712-S712)*M712</f>
        <v/>
      </c>
      <c r="U712" s="23">
        <f>R712-S712-T712</f>
        <v/>
      </c>
      <c r="V712" s="23">
        <f>D712*P712</f>
        <v/>
      </c>
      <c r="W712" s="23">
        <f>U712-V712</f>
        <v/>
      </c>
      <c r="X712" s="24">
        <f>IFERROR(W712/U712,0)</f>
        <v/>
      </c>
    </row>
    <row r="713">
      <c r="A713" s="25">
        <f>ItensPedido!A713</f>
        <v/>
      </c>
      <c r="B713" s="25">
        <f>ItensPedido!B713</f>
        <v/>
      </c>
      <c r="C713" s="25">
        <f>ItensPedido!C713</f>
        <v/>
      </c>
      <c r="D713" s="25">
        <f>ItensPedido!D713</f>
        <v/>
      </c>
      <c r="E713" s="26">
        <f>ItensPedido!E713</f>
        <v/>
      </c>
      <c r="F713" s="25">
        <f>IFERROR(INDEX(Pedidos!$B$2:$B$1801,MATCH(B713,Pedidos!$A$2:$A$1801,0)),0)</f>
        <v/>
      </c>
      <c r="G713" s="25">
        <f>IF(F713=0,"",YEAR(F713))</f>
        <v/>
      </c>
      <c r="H713" s="25">
        <f>IF(F713=0,"",MONTH(F713))</f>
        <v/>
      </c>
      <c r="I713" s="25">
        <f>IFERROR(INDEX(Pedidos!$E$2:$E$1801,MATCH(B713,Pedidos!$A$2:$A$1801,0)),"")</f>
        <v/>
      </c>
      <c r="J713" s="25">
        <f>IFERROR(INDEX(Pedidos!$C$2:$C$1801,MATCH(B713,Pedidos!$A$2:$A$1801,0)),"")</f>
        <v/>
      </c>
      <c r="K713" s="25">
        <f>IFERROR(INDEX(Pedidos!$D$2:$D$1801,MATCH(B713,Pedidos!$A$2:$A$1801,0)),"")</f>
        <v/>
      </c>
      <c r="L713" s="25">
        <f>IFERROR(INDEX(Pedidos!$F$2:$F$1801,MATCH(B713,Pedidos!$A$2:$A$1801,0)),"")</f>
        <v/>
      </c>
      <c r="M713" s="26">
        <f>IFERROR(INDEX(Pedidos!$G$2:$G$1801,MATCH(B713,Pedidos!$A$2:$A$1801,0)),0)</f>
        <v/>
      </c>
      <c r="N713" s="25">
        <f>IFERROR(INDEX(Produtos!$B$2:$B$71,MATCH(C713,Produtos!$A$2:$A$71,0)),"")</f>
        <v/>
      </c>
      <c r="O713" s="25">
        <f>IFERROR(INDEX(Produtos!$C$2:$C$71,MATCH(C713,Produtos!$A$2:$A$71,0)),"")</f>
        <v/>
      </c>
      <c r="P713" s="25">
        <f>IFERROR(INDEX(Produtos!$D$2:$D$71,MATCH(C713,Produtos!$A$2:$A$71,0)),0)</f>
        <v/>
      </c>
      <c r="Q713" s="25">
        <f>IFERROR(INDEX(Produtos!$E$2:$E$71,MATCH(C713,Produtos!$A$2:$A$71,0)),0)</f>
        <v/>
      </c>
      <c r="R713" s="27">
        <f>D713*Q713</f>
        <v/>
      </c>
      <c r="S713" s="27">
        <f>R713*E713</f>
        <v/>
      </c>
      <c r="T713" s="27">
        <f>(R713-S713)*M713</f>
        <v/>
      </c>
      <c r="U713" s="27">
        <f>R713-S713-T713</f>
        <v/>
      </c>
      <c r="V713" s="27">
        <f>D713*P713</f>
        <v/>
      </c>
      <c r="W713" s="27">
        <f>U713-V713</f>
        <v/>
      </c>
      <c r="X713" s="28">
        <f>IFERROR(W713/U713,0)</f>
        <v/>
      </c>
    </row>
    <row r="714">
      <c r="A714" s="21">
        <f>ItensPedido!A714</f>
        <v/>
      </c>
      <c r="B714" s="21">
        <f>ItensPedido!B714</f>
        <v/>
      </c>
      <c r="C714" s="21">
        <f>ItensPedido!C714</f>
        <v/>
      </c>
      <c r="D714" s="21">
        <f>ItensPedido!D714</f>
        <v/>
      </c>
      <c r="E714" s="22">
        <f>ItensPedido!E714</f>
        <v/>
      </c>
      <c r="F714" s="21">
        <f>IFERROR(INDEX(Pedidos!$B$2:$B$1801,MATCH(B714,Pedidos!$A$2:$A$1801,0)),0)</f>
        <v/>
      </c>
      <c r="G714" s="21">
        <f>IF(F714=0,"",YEAR(F714))</f>
        <v/>
      </c>
      <c r="H714" s="21">
        <f>IF(F714=0,"",MONTH(F714))</f>
        <v/>
      </c>
      <c r="I714" s="21">
        <f>IFERROR(INDEX(Pedidos!$E$2:$E$1801,MATCH(B714,Pedidos!$A$2:$A$1801,0)),"")</f>
        <v/>
      </c>
      <c r="J714" s="21">
        <f>IFERROR(INDEX(Pedidos!$C$2:$C$1801,MATCH(B714,Pedidos!$A$2:$A$1801,0)),"")</f>
        <v/>
      </c>
      <c r="K714" s="21">
        <f>IFERROR(INDEX(Pedidos!$D$2:$D$1801,MATCH(B714,Pedidos!$A$2:$A$1801,0)),"")</f>
        <v/>
      </c>
      <c r="L714" s="21">
        <f>IFERROR(INDEX(Pedidos!$F$2:$F$1801,MATCH(B714,Pedidos!$A$2:$A$1801,0)),"")</f>
        <v/>
      </c>
      <c r="M714" s="22">
        <f>IFERROR(INDEX(Pedidos!$G$2:$G$1801,MATCH(B714,Pedidos!$A$2:$A$1801,0)),0)</f>
        <v/>
      </c>
      <c r="N714" s="21">
        <f>IFERROR(INDEX(Produtos!$B$2:$B$71,MATCH(C714,Produtos!$A$2:$A$71,0)),"")</f>
        <v/>
      </c>
      <c r="O714" s="21">
        <f>IFERROR(INDEX(Produtos!$C$2:$C$71,MATCH(C714,Produtos!$A$2:$A$71,0)),"")</f>
        <v/>
      </c>
      <c r="P714" s="21">
        <f>IFERROR(INDEX(Produtos!$D$2:$D$71,MATCH(C714,Produtos!$A$2:$A$71,0)),0)</f>
        <v/>
      </c>
      <c r="Q714" s="21">
        <f>IFERROR(INDEX(Produtos!$E$2:$E$71,MATCH(C714,Produtos!$A$2:$A$71,0)),0)</f>
        <v/>
      </c>
      <c r="R714" s="23">
        <f>D714*Q714</f>
        <v/>
      </c>
      <c r="S714" s="23">
        <f>R714*E714</f>
        <v/>
      </c>
      <c r="T714" s="23">
        <f>(R714-S714)*M714</f>
        <v/>
      </c>
      <c r="U714" s="23">
        <f>R714-S714-T714</f>
        <v/>
      </c>
      <c r="V714" s="23">
        <f>D714*P714</f>
        <v/>
      </c>
      <c r="W714" s="23">
        <f>U714-V714</f>
        <v/>
      </c>
      <c r="X714" s="24">
        <f>IFERROR(W714/U714,0)</f>
        <v/>
      </c>
    </row>
    <row r="715">
      <c r="A715" s="25">
        <f>ItensPedido!A715</f>
        <v/>
      </c>
      <c r="B715" s="25">
        <f>ItensPedido!B715</f>
        <v/>
      </c>
      <c r="C715" s="25">
        <f>ItensPedido!C715</f>
        <v/>
      </c>
      <c r="D715" s="25">
        <f>ItensPedido!D715</f>
        <v/>
      </c>
      <c r="E715" s="26">
        <f>ItensPedido!E715</f>
        <v/>
      </c>
      <c r="F715" s="25">
        <f>IFERROR(INDEX(Pedidos!$B$2:$B$1801,MATCH(B715,Pedidos!$A$2:$A$1801,0)),0)</f>
        <v/>
      </c>
      <c r="G715" s="25">
        <f>IF(F715=0,"",YEAR(F715))</f>
        <v/>
      </c>
      <c r="H715" s="25">
        <f>IF(F715=0,"",MONTH(F715))</f>
        <v/>
      </c>
      <c r="I715" s="25">
        <f>IFERROR(INDEX(Pedidos!$E$2:$E$1801,MATCH(B715,Pedidos!$A$2:$A$1801,0)),"")</f>
        <v/>
      </c>
      <c r="J715" s="25">
        <f>IFERROR(INDEX(Pedidos!$C$2:$C$1801,MATCH(B715,Pedidos!$A$2:$A$1801,0)),"")</f>
        <v/>
      </c>
      <c r="K715" s="25">
        <f>IFERROR(INDEX(Pedidos!$D$2:$D$1801,MATCH(B715,Pedidos!$A$2:$A$1801,0)),"")</f>
        <v/>
      </c>
      <c r="L715" s="25">
        <f>IFERROR(INDEX(Pedidos!$F$2:$F$1801,MATCH(B715,Pedidos!$A$2:$A$1801,0)),"")</f>
        <v/>
      </c>
      <c r="M715" s="26">
        <f>IFERROR(INDEX(Pedidos!$G$2:$G$1801,MATCH(B715,Pedidos!$A$2:$A$1801,0)),0)</f>
        <v/>
      </c>
      <c r="N715" s="25">
        <f>IFERROR(INDEX(Produtos!$B$2:$B$71,MATCH(C715,Produtos!$A$2:$A$71,0)),"")</f>
        <v/>
      </c>
      <c r="O715" s="25">
        <f>IFERROR(INDEX(Produtos!$C$2:$C$71,MATCH(C715,Produtos!$A$2:$A$71,0)),"")</f>
        <v/>
      </c>
      <c r="P715" s="25">
        <f>IFERROR(INDEX(Produtos!$D$2:$D$71,MATCH(C715,Produtos!$A$2:$A$71,0)),0)</f>
        <v/>
      </c>
      <c r="Q715" s="25">
        <f>IFERROR(INDEX(Produtos!$E$2:$E$71,MATCH(C715,Produtos!$A$2:$A$71,0)),0)</f>
        <v/>
      </c>
      <c r="R715" s="27">
        <f>D715*Q715</f>
        <v/>
      </c>
      <c r="S715" s="27">
        <f>R715*E715</f>
        <v/>
      </c>
      <c r="T715" s="27">
        <f>(R715-S715)*M715</f>
        <v/>
      </c>
      <c r="U715" s="27">
        <f>R715-S715-T715</f>
        <v/>
      </c>
      <c r="V715" s="27">
        <f>D715*P715</f>
        <v/>
      </c>
      <c r="W715" s="27">
        <f>U715-V715</f>
        <v/>
      </c>
      <c r="X715" s="28">
        <f>IFERROR(W715/U715,0)</f>
        <v/>
      </c>
    </row>
    <row r="716">
      <c r="A716" s="21">
        <f>ItensPedido!A716</f>
        <v/>
      </c>
      <c r="B716" s="21">
        <f>ItensPedido!B716</f>
        <v/>
      </c>
      <c r="C716" s="21">
        <f>ItensPedido!C716</f>
        <v/>
      </c>
      <c r="D716" s="21">
        <f>ItensPedido!D716</f>
        <v/>
      </c>
      <c r="E716" s="22">
        <f>ItensPedido!E716</f>
        <v/>
      </c>
      <c r="F716" s="21">
        <f>IFERROR(INDEX(Pedidos!$B$2:$B$1801,MATCH(B716,Pedidos!$A$2:$A$1801,0)),0)</f>
        <v/>
      </c>
      <c r="G716" s="21">
        <f>IF(F716=0,"",YEAR(F716))</f>
        <v/>
      </c>
      <c r="H716" s="21">
        <f>IF(F716=0,"",MONTH(F716))</f>
        <v/>
      </c>
      <c r="I716" s="21">
        <f>IFERROR(INDEX(Pedidos!$E$2:$E$1801,MATCH(B716,Pedidos!$A$2:$A$1801,0)),"")</f>
        <v/>
      </c>
      <c r="J716" s="21">
        <f>IFERROR(INDEX(Pedidos!$C$2:$C$1801,MATCH(B716,Pedidos!$A$2:$A$1801,0)),"")</f>
        <v/>
      </c>
      <c r="K716" s="21">
        <f>IFERROR(INDEX(Pedidos!$D$2:$D$1801,MATCH(B716,Pedidos!$A$2:$A$1801,0)),"")</f>
        <v/>
      </c>
      <c r="L716" s="21">
        <f>IFERROR(INDEX(Pedidos!$F$2:$F$1801,MATCH(B716,Pedidos!$A$2:$A$1801,0)),"")</f>
        <v/>
      </c>
      <c r="M716" s="22">
        <f>IFERROR(INDEX(Pedidos!$G$2:$G$1801,MATCH(B716,Pedidos!$A$2:$A$1801,0)),0)</f>
        <v/>
      </c>
      <c r="N716" s="21">
        <f>IFERROR(INDEX(Produtos!$B$2:$B$71,MATCH(C716,Produtos!$A$2:$A$71,0)),"")</f>
        <v/>
      </c>
      <c r="O716" s="21">
        <f>IFERROR(INDEX(Produtos!$C$2:$C$71,MATCH(C716,Produtos!$A$2:$A$71,0)),"")</f>
        <v/>
      </c>
      <c r="P716" s="21">
        <f>IFERROR(INDEX(Produtos!$D$2:$D$71,MATCH(C716,Produtos!$A$2:$A$71,0)),0)</f>
        <v/>
      </c>
      <c r="Q716" s="21">
        <f>IFERROR(INDEX(Produtos!$E$2:$E$71,MATCH(C716,Produtos!$A$2:$A$71,0)),0)</f>
        <v/>
      </c>
      <c r="R716" s="23">
        <f>D716*Q716</f>
        <v/>
      </c>
      <c r="S716" s="23">
        <f>R716*E716</f>
        <v/>
      </c>
      <c r="T716" s="23">
        <f>(R716-S716)*M716</f>
        <v/>
      </c>
      <c r="U716" s="23">
        <f>R716-S716-T716</f>
        <v/>
      </c>
      <c r="V716" s="23">
        <f>D716*P716</f>
        <v/>
      </c>
      <c r="W716" s="23">
        <f>U716-V716</f>
        <v/>
      </c>
      <c r="X716" s="24">
        <f>IFERROR(W716/U716,0)</f>
        <v/>
      </c>
    </row>
    <row r="717">
      <c r="A717" s="25">
        <f>ItensPedido!A717</f>
        <v/>
      </c>
      <c r="B717" s="25">
        <f>ItensPedido!B717</f>
        <v/>
      </c>
      <c r="C717" s="25">
        <f>ItensPedido!C717</f>
        <v/>
      </c>
      <c r="D717" s="25">
        <f>ItensPedido!D717</f>
        <v/>
      </c>
      <c r="E717" s="26">
        <f>ItensPedido!E717</f>
        <v/>
      </c>
      <c r="F717" s="25">
        <f>IFERROR(INDEX(Pedidos!$B$2:$B$1801,MATCH(B717,Pedidos!$A$2:$A$1801,0)),0)</f>
        <v/>
      </c>
      <c r="G717" s="25">
        <f>IF(F717=0,"",YEAR(F717))</f>
        <v/>
      </c>
      <c r="H717" s="25">
        <f>IF(F717=0,"",MONTH(F717))</f>
        <v/>
      </c>
      <c r="I717" s="25">
        <f>IFERROR(INDEX(Pedidos!$E$2:$E$1801,MATCH(B717,Pedidos!$A$2:$A$1801,0)),"")</f>
        <v/>
      </c>
      <c r="J717" s="25">
        <f>IFERROR(INDEX(Pedidos!$C$2:$C$1801,MATCH(B717,Pedidos!$A$2:$A$1801,0)),"")</f>
        <v/>
      </c>
      <c r="K717" s="25">
        <f>IFERROR(INDEX(Pedidos!$D$2:$D$1801,MATCH(B717,Pedidos!$A$2:$A$1801,0)),"")</f>
        <v/>
      </c>
      <c r="L717" s="25">
        <f>IFERROR(INDEX(Pedidos!$F$2:$F$1801,MATCH(B717,Pedidos!$A$2:$A$1801,0)),"")</f>
        <v/>
      </c>
      <c r="M717" s="26">
        <f>IFERROR(INDEX(Pedidos!$G$2:$G$1801,MATCH(B717,Pedidos!$A$2:$A$1801,0)),0)</f>
        <v/>
      </c>
      <c r="N717" s="25">
        <f>IFERROR(INDEX(Produtos!$B$2:$B$71,MATCH(C717,Produtos!$A$2:$A$71,0)),"")</f>
        <v/>
      </c>
      <c r="O717" s="25">
        <f>IFERROR(INDEX(Produtos!$C$2:$C$71,MATCH(C717,Produtos!$A$2:$A$71,0)),"")</f>
        <v/>
      </c>
      <c r="P717" s="25">
        <f>IFERROR(INDEX(Produtos!$D$2:$D$71,MATCH(C717,Produtos!$A$2:$A$71,0)),0)</f>
        <v/>
      </c>
      <c r="Q717" s="25">
        <f>IFERROR(INDEX(Produtos!$E$2:$E$71,MATCH(C717,Produtos!$A$2:$A$71,0)),0)</f>
        <v/>
      </c>
      <c r="R717" s="27">
        <f>D717*Q717</f>
        <v/>
      </c>
      <c r="S717" s="27">
        <f>R717*E717</f>
        <v/>
      </c>
      <c r="T717" s="27">
        <f>(R717-S717)*M717</f>
        <v/>
      </c>
      <c r="U717" s="27">
        <f>R717-S717-T717</f>
        <v/>
      </c>
      <c r="V717" s="27">
        <f>D717*P717</f>
        <v/>
      </c>
      <c r="W717" s="27">
        <f>U717-V717</f>
        <v/>
      </c>
      <c r="X717" s="28">
        <f>IFERROR(W717/U717,0)</f>
        <v/>
      </c>
    </row>
    <row r="718">
      <c r="A718" s="21">
        <f>ItensPedido!A718</f>
        <v/>
      </c>
      <c r="B718" s="21">
        <f>ItensPedido!B718</f>
        <v/>
      </c>
      <c r="C718" s="21">
        <f>ItensPedido!C718</f>
        <v/>
      </c>
      <c r="D718" s="21">
        <f>ItensPedido!D718</f>
        <v/>
      </c>
      <c r="E718" s="22">
        <f>ItensPedido!E718</f>
        <v/>
      </c>
      <c r="F718" s="21">
        <f>IFERROR(INDEX(Pedidos!$B$2:$B$1801,MATCH(B718,Pedidos!$A$2:$A$1801,0)),0)</f>
        <v/>
      </c>
      <c r="G718" s="21">
        <f>IF(F718=0,"",YEAR(F718))</f>
        <v/>
      </c>
      <c r="H718" s="21">
        <f>IF(F718=0,"",MONTH(F718))</f>
        <v/>
      </c>
      <c r="I718" s="21">
        <f>IFERROR(INDEX(Pedidos!$E$2:$E$1801,MATCH(B718,Pedidos!$A$2:$A$1801,0)),"")</f>
        <v/>
      </c>
      <c r="J718" s="21">
        <f>IFERROR(INDEX(Pedidos!$C$2:$C$1801,MATCH(B718,Pedidos!$A$2:$A$1801,0)),"")</f>
        <v/>
      </c>
      <c r="K718" s="21">
        <f>IFERROR(INDEX(Pedidos!$D$2:$D$1801,MATCH(B718,Pedidos!$A$2:$A$1801,0)),"")</f>
        <v/>
      </c>
      <c r="L718" s="21">
        <f>IFERROR(INDEX(Pedidos!$F$2:$F$1801,MATCH(B718,Pedidos!$A$2:$A$1801,0)),"")</f>
        <v/>
      </c>
      <c r="M718" s="22">
        <f>IFERROR(INDEX(Pedidos!$G$2:$G$1801,MATCH(B718,Pedidos!$A$2:$A$1801,0)),0)</f>
        <v/>
      </c>
      <c r="N718" s="21">
        <f>IFERROR(INDEX(Produtos!$B$2:$B$71,MATCH(C718,Produtos!$A$2:$A$71,0)),"")</f>
        <v/>
      </c>
      <c r="O718" s="21">
        <f>IFERROR(INDEX(Produtos!$C$2:$C$71,MATCH(C718,Produtos!$A$2:$A$71,0)),"")</f>
        <v/>
      </c>
      <c r="P718" s="21">
        <f>IFERROR(INDEX(Produtos!$D$2:$D$71,MATCH(C718,Produtos!$A$2:$A$71,0)),0)</f>
        <v/>
      </c>
      <c r="Q718" s="21">
        <f>IFERROR(INDEX(Produtos!$E$2:$E$71,MATCH(C718,Produtos!$A$2:$A$71,0)),0)</f>
        <v/>
      </c>
      <c r="R718" s="23">
        <f>D718*Q718</f>
        <v/>
      </c>
      <c r="S718" s="23">
        <f>R718*E718</f>
        <v/>
      </c>
      <c r="T718" s="23">
        <f>(R718-S718)*M718</f>
        <v/>
      </c>
      <c r="U718" s="23">
        <f>R718-S718-T718</f>
        <v/>
      </c>
      <c r="V718" s="23">
        <f>D718*P718</f>
        <v/>
      </c>
      <c r="W718" s="23">
        <f>U718-V718</f>
        <v/>
      </c>
      <c r="X718" s="24">
        <f>IFERROR(W718/U718,0)</f>
        <v/>
      </c>
    </row>
    <row r="719">
      <c r="A719" s="25">
        <f>ItensPedido!A719</f>
        <v/>
      </c>
      <c r="B719" s="25">
        <f>ItensPedido!B719</f>
        <v/>
      </c>
      <c r="C719" s="25">
        <f>ItensPedido!C719</f>
        <v/>
      </c>
      <c r="D719" s="25">
        <f>ItensPedido!D719</f>
        <v/>
      </c>
      <c r="E719" s="26">
        <f>ItensPedido!E719</f>
        <v/>
      </c>
      <c r="F719" s="25">
        <f>IFERROR(INDEX(Pedidos!$B$2:$B$1801,MATCH(B719,Pedidos!$A$2:$A$1801,0)),0)</f>
        <v/>
      </c>
      <c r="G719" s="25">
        <f>IF(F719=0,"",YEAR(F719))</f>
        <v/>
      </c>
      <c r="H719" s="25">
        <f>IF(F719=0,"",MONTH(F719))</f>
        <v/>
      </c>
      <c r="I719" s="25">
        <f>IFERROR(INDEX(Pedidos!$E$2:$E$1801,MATCH(B719,Pedidos!$A$2:$A$1801,0)),"")</f>
        <v/>
      </c>
      <c r="J719" s="25">
        <f>IFERROR(INDEX(Pedidos!$C$2:$C$1801,MATCH(B719,Pedidos!$A$2:$A$1801,0)),"")</f>
        <v/>
      </c>
      <c r="K719" s="25">
        <f>IFERROR(INDEX(Pedidos!$D$2:$D$1801,MATCH(B719,Pedidos!$A$2:$A$1801,0)),"")</f>
        <v/>
      </c>
      <c r="L719" s="25">
        <f>IFERROR(INDEX(Pedidos!$F$2:$F$1801,MATCH(B719,Pedidos!$A$2:$A$1801,0)),"")</f>
        <v/>
      </c>
      <c r="M719" s="26">
        <f>IFERROR(INDEX(Pedidos!$G$2:$G$1801,MATCH(B719,Pedidos!$A$2:$A$1801,0)),0)</f>
        <v/>
      </c>
      <c r="N719" s="25">
        <f>IFERROR(INDEX(Produtos!$B$2:$B$71,MATCH(C719,Produtos!$A$2:$A$71,0)),"")</f>
        <v/>
      </c>
      <c r="O719" s="25">
        <f>IFERROR(INDEX(Produtos!$C$2:$C$71,MATCH(C719,Produtos!$A$2:$A$71,0)),"")</f>
        <v/>
      </c>
      <c r="P719" s="25">
        <f>IFERROR(INDEX(Produtos!$D$2:$D$71,MATCH(C719,Produtos!$A$2:$A$71,0)),0)</f>
        <v/>
      </c>
      <c r="Q719" s="25">
        <f>IFERROR(INDEX(Produtos!$E$2:$E$71,MATCH(C719,Produtos!$A$2:$A$71,0)),0)</f>
        <v/>
      </c>
      <c r="R719" s="27">
        <f>D719*Q719</f>
        <v/>
      </c>
      <c r="S719" s="27">
        <f>R719*E719</f>
        <v/>
      </c>
      <c r="T719" s="27">
        <f>(R719-S719)*M719</f>
        <v/>
      </c>
      <c r="U719" s="27">
        <f>R719-S719-T719</f>
        <v/>
      </c>
      <c r="V719" s="27">
        <f>D719*P719</f>
        <v/>
      </c>
      <c r="W719" s="27">
        <f>U719-V719</f>
        <v/>
      </c>
      <c r="X719" s="28">
        <f>IFERROR(W719/U719,0)</f>
        <v/>
      </c>
    </row>
    <row r="720">
      <c r="A720" s="21">
        <f>ItensPedido!A720</f>
        <v/>
      </c>
      <c r="B720" s="21">
        <f>ItensPedido!B720</f>
        <v/>
      </c>
      <c r="C720" s="21">
        <f>ItensPedido!C720</f>
        <v/>
      </c>
      <c r="D720" s="21">
        <f>ItensPedido!D720</f>
        <v/>
      </c>
      <c r="E720" s="22">
        <f>ItensPedido!E720</f>
        <v/>
      </c>
      <c r="F720" s="21">
        <f>IFERROR(INDEX(Pedidos!$B$2:$B$1801,MATCH(B720,Pedidos!$A$2:$A$1801,0)),0)</f>
        <v/>
      </c>
      <c r="G720" s="21">
        <f>IF(F720=0,"",YEAR(F720))</f>
        <v/>
      </c>
      <c r="H720" s="21">
        <f>IF(F720=0,"",MONTH(F720))</f>
        <v/>
      </c>
      <c r="I720" s="21">
        <f>IFERROR(INDEX(Pedidos!$E$2:$E$1801,MATCH(B720,Pedidos!$A$2:$A$1801,0)),"")</f>
        <v/>
      </c>
      <c r="J720" s="21">
        <f>IFERROR(INDEX(Pedidos!$C$2:$C$1801,MATCH(B720,Pedidos!$A$2:$A$1801,0)),"")</f>
        <v/>
      </c>
      <c r="K720" s="21">
        <f>IFERROR(INDEX(Pedidos!$D$2:$D$1801,MATCH(B720,Pedidos!$A$2:$A$1801,0)),"")</f>
        <v/>
      </c>
      <c r="L720" s="21">
        <f>IFERROR(INDEX(Pedidos!$F$2:$F$1801,MATCH(B720,Pedidos!$A$2:$A$1801,0)),"")</f>
        <v/>
      </c>
      <c r="M720" s="22">
        <f>IFERROR(INDEX(Pedidos!$G$2:$G$1801,MATCH(B720,Pedidos!$A$2:$A$1801,0)),0)</f>
        <v/>
      </c>
      <c r="N720" s="21">
        <f>IFERROR(INDEX(Produtos!$B$2:$B$71,MATCH(C720,Produtos!$A$2:$A$71,0)),"")</f>
        <v/>
      </c>
      <c r="O720" s="21">
        <f>IFERROR(INDEX(Produtos!$C$2:$C$71,MATCH(C720,Produtos!$A$2:$A$71,0)),"")</f>
        <v/>
      </c>
      <c r="P720" s="21">
        <f>IFERROR(INDEX(Produtos!$D$2:$D$71,MATCH(C720,Produtos!$A$2:$A$71,0)),0)</f>
        <v/>
      </c>
      <c r="Q720" s="21">
        <f>IFERROR(INDEX(Produtos!$E$2:$E$71,MATCH(C720,Produtos!$A$2:$A$71,0)),0)</f>
        <v/>
      </c>
      <c r="R720" s="23">
        <f>D720*Q720</f>
        <v/>
      </c>
      <c r="S720" s="23">
        <f>R720*E720</f>
        <v/>
      </c>
      <c r="T720" s="23">
        <f>(R720-S720)*M720</f>
        <v/>
      </c>
      <c r="U720" s="23">
        <f>R720-S720-T720</f>
        <v/>
      </c>
      <c r="V720" s="23">
        <f>D720*P720</f>
        <v/>
      </c>
      <c r="W720" s="23">
        <f>U720-V720</f>
        <v/>
      </c>
      <c r="X720" s="24">
        <f>IFERROR(W720/U720,0)</f>
        <v/>
      </c>
    </row>
    <row r="721">
      <c r="A721" s="25">
        <f>ItensPedido!A721</f>
        <v/>
      </c>
      <c r="B721" s="25">
        <f>ItensPedido!B721</f>
        <v/>
      </c>
      <c r="C721" s="25">
        <f>ItensPedido!C721</f>
        <v/>
      </c>
      <c r="D721" s="25">
        <f>ItensPedido!D721</f>
        <v/>
      </c>
      <c r="E721" s="26">
        <f>ItensPedido!E721</f>
        <v/>
      </c>
      <c r="F721" s="25">
        <f>IFERROR(INDEX(Pedidos!$B$2:$B$1801,MATCH(B721,Pedidos!$A$2:$A$1801,0)),0)</f>
        <v/>
      </c>
      <c r="G721" s="25">
        <f>IF(F721=0,"",YEAR(F721))</f>
        <v/>
      </c>
      <c r="H721" s="25">
        <f>IF(F721=0,"",MONTH(F721))</f>
        <v/>
      </c>
      <c r="I721" s="25">
        <f>IFERROR(INDEX(Pedidos!$E$2:$E$1801,MATCH(B721,Pedidos!$A$2:$A$1801,0)),"")</f>
        <v/>
      </c>
      <c r="J721" s="25">
        <f>IFERROR(INDEX(Pedidos!$C$2:$C$1801,MATCH(B721,Pedidos!$A$2:$A$1801,0)),"")</f>
        <v/>
      </c>
      <c r="K721" s="25">
        <f>IFERROR(INDEX(Pedidos!$D$2:$D$1801,MATCH(B721,Pedidos!$A$2:$A$1801,0)),"")</f>
        <v/>
      </c>
      <c r="L721" s="25">
        <f>IFERROR(INDEX(Pedidos!$F$2:$F$1801,MATCH(B721,Pedidos!$A$2:$A$1801,0)),"")</f>
        <v/>
      </c>
      <c r="M721" s="26">
        <f>IFERROR(INDEX(Pedidos!$G$2:$G$1801,MATCH(B721,Pedidos!$A$2:$A$1801,0)),0)</f>
        <v/>
      </c>
      <c r="N721" s="25">
        <f>IFERROR(INDEX(Produtos!$B$2:$B$71,MATCH(C721,Produtos!$A$2:$A$71,0)),"")</f>
        <v/>
      </c>
      <c r="O721" s="25">
        <f>IFERROR(INDEX(Produtos!$C$2:$C$71,MATCH(C721,Produtos!$A$2:$A$71,0)),"")</f>
        <v/>
      </c>
      <c r="P721" s="25">
        <f>IFERROR(INDEX(Produtos!$D$2:$D$71,MATCH(C721,Produtos!$A$2:$A$71,0)),0)</f>
        <v/>
      </c>
      <c r="Q721" s="25">
        <f>IFERROR(INDEX(Produtos!$E$2:$E$71,MATCH(C721,Produtos!$A$2:$A$71,0)),0)</f>
        <v/>
      </c>
      <c r="R721" s="27">
        <f>D721*Q721</f>
        <v/>
      </c>
      <c r="S721" s="27">
        <f>R721*E721</f>
        <v/>
      </c>
      <c r="T721" s="27">
        <f>(R721-S721)*M721</f>
        <v/>
      </c>
      <c r="U721" s="27">
        <f>R721-S721-T721</f>
        <v/>
      </c>
      <c r="V721" s="27">
        <f>D721*P721</f>
        <v/>
      </c>
      <c r="W721" s="27">
        <f>U721-V721</f>
        <v/>
      </c>
      <c r="X721" s="28">
        <f>IFERROR(W721/U721,0)</f>
        <v/>
      </c>
    </row>
    <row r="722">
      <c r="A722" s="21">
        <f>ItensPedido!A722</f>
        <v/>
      </c>
      <c r="B722" s="21">
        <f>ItensPedido!B722</f>
        <v/>
      </c>
      <c r="C722" s="21">
        <f>ItensPedido!C722</f>
        <v/>
      </c>
      <c r="D722" s="21">
        <f>ItensPedido!D722</f>
        <v/>
      </c>
      <c r="E722" s="22">
        <f>ItensPedido!E722</f>
        <v/>
      </c>
      <c r="F722" s="21">
        <f>IFERROR(INDEX(Pedidos!$B$2:$B$1801,MATCH(B722,Pedidos!$A$2:$A$1801,0)),0)</f>
        <v/>
      </c>
      <c r="G722" s="21">
        <f>IF(F722=0,"",YEAR(F722))</f>
        <v/>
      </c>
      <c r="H722" s="21">
        <f>IF(F722=0,"",MONTH(F722))</f>
        <v/>
      </c>
      <c r="I722" s="21">
        <f>IFERROR(INDEX(Pedidos!$E$2:$E$1801,MATCH(B722,Pedidos!$A$2:$A$1801,0)),"")</f>
        <v/>
      </c>
      <c r="J722" s="21">
        <f>IFERROR(INDEX(Pedidos!$C$2:$C$1801,MATCH(B722,Pedidos!$A$2:$A$1801,0)),"")</f>
        <v/>
      </c>
      <c r="K722" s="21">
        <f>IFERROR(INDEX(Pedidos!$D$2:$D$1801,MATCH(B722,Pedidos!$A$2:$A$1801,0)),"")</f>
        <v/>
      </c>
      <c r="L722" s="21">
        <f>IFERROR(INDEX(Pedidos!$F$2:$F$1801,MATCH(B722,Pedidos!$A$2:$A$1801,0)),"")</f>
        <v/>
      </c>
      <c r="M722" s="22">
        <f>IFERROR(INDEX(Pedidos!$G$2:$G$1801,MATCH(B722,Pedidos!$A$2:$A$1801,0)),0)</f>
        <v/>
      </c>
      <c r="N722" s="21">
        <f>IFERROR(INDEX(Produtos!$B$2:$B$71,MATCH(C722,Produtos!$A$2:$A$71,0)),"")</f>
        <v/>
      </c>
      <c r="O722" s="21">
        <f>IFERROR(INDEX(Produtos!$C$2:$C$71,MATCH(C722,Produtos!$A$2:$A$71,0)),"")</f>
        <v/>
      </c>
      <c r="P722" s="21">
        <f>IFERROR(INDEX(Produtos!$D$2:$D$71,MATCH(C722,Produtos!$A$2:$A$71,0)),0)</f>
        <v/>
      </c>
      <c r="Q722" s="21">
        <f>IFERROR(INDEX(Produtos!$E$2:$E$71,MATCH(C722,Produtos!$A$2:$A$71,0)),0)</f>
        <v/>
      </c>
      <c r="R722" s="23">
        <f>D722*Q722</f>
        <v/>
      </c>
      <c r="S722" s="23">
        <f>R722*E722</f>
        <v/>
      </c>
      <c r="T722" s="23">
        <f>(R722-S722)*M722</f>
        <v/>
      </c>
      <c r="U722" s="23">
        <f>R722-S722-T722</f>
        <v/>
      </c>
      <c r="V722" s="23">
        <f>D722*P722</f>
        <v/>
      </c>
      <c r="W722" s="23">
        <f>U722-V722</f>
        <v/>
      </c>
      <c r="X722" s="24">
        <f>IFERROR(W722/U722,0)</f>
        <v/>
      </c>
    </row>
    <row r="723">
      <c r="A723" s="25">
        <f>ItensPedido!A723</f>
        <v/>
      </c>
      <c r="B723" s="25">
        <f>ItensPedido!B723</f>
        <v/>
      </c>
      <c r="C723" s="25">
        <f>ItensPedido!C723</f>
        <v/>
      </c>
      <c r="D723" s="25">
        <f>ItensPedido!D723</f>
        <v/>
      </c>
      <c r="E723" s="26">
        <f>ItensPedido!E723</f>
        <v/>
      </c>
      <c r="F723" s="25">
        <f>IFERROR(INDEX(Pedidos!$B$2:$B$1801,MATCH(B723,Pedidos!$A$2:$A$1801,0)),0)</f>
        <v/>
      </c>
      <c r="G723" s="25">
        <f>IF(F723=0,"",YEAR(F723))</f>
        <v/>
      </c>
      <c r="H723" s="25">
        <f>IF(F723=0,"",MONTH(F723))</f>
        <v/>
      </c>
      <c r="I723" s="25">
        <f>IFERROR(INDEX(Pedidos!$E$2:$E$1801,MATCH(B723,Pedidos!$A$2:$A$1801,0)),"")</f>
        <v/>
      </c>
      <c r="J723" s="25">
        <f>IFERROR(INDEX(Pedidos!$C$2:$C$1801,MATCH(B723,Pedidos!$A$2:$A$1801,0)),"")</f>
        <v/>
      </c>
      <c r="K723" s="25">
        <f>IFERROR(INDEX(Pedidos!$D$2:$D$1801,MATCH(B723,Pedidos!$A$2:$A$1801,0)),"")</f>
        <v/>
      </c>
      <c r="L723" s="25">
        <f>IFERROR(INDEX(Pedidos!$F$2:$F$1801,MATCH(B723,Pedidos!$A$2:$A$1801,0)),"")</f>
        <v/>
      </c>
      <c r="M723" s="26">
        <f>IFERROR(INDEX(Pedidos!$G$2:$G$1801,MATCH(B723,Pedidos!$A$2:$A$1801,0)),0)</f>
        <v/>
      </c>
      <c r="N723" s="25">
        <f>IFERROR(INDEX(Produtos!$B$2:$B$71,MATCH(C723,Produtos!$A$2:$A$71,0)),"")</f>
        <v/>
      </c>
      <c r="O723" s="25">
        <f>IFERROR(INDEX(Produtos!$C$2:$C$71,MATCH(C723,Produtos!$A$2:$A$71,0)),"")</f>
        <v/>
      </c>
      <c r="P723" s="25">
        <f>IFERROR(INDEX(Produtos!$D$2:$D$71,MATCH(C723,Produtos!$A$2:$A$71,0)),0)</f>
        <v/>
      </c>
      <c r="Q723" s="25">
        <f>IFERROR(INDEX(Produtos!$E$2:$E$71,MATCH(C723,Produtos!$A$2:$A$71,0)),0)</f>
        <v/>
      </c>
      <c r="R723" s="27">
        <f>D723*Q723</f>
        <v/>
      </c>
      <c r="S723" s="27">
        <f>R723*E723</f>
        <v/>
      </c>
      <c r="T723" s="27">
        <f>(R723-S723)*M723</f>
        <v/>
      </c>
      <c r="U723" s="27">
        <f>R723-S723-T723</f>
        <v/>
      </c>
      <c r="V723" s="27">
        <f>D723*P723</f>
        <v/>
      </c>
      <c r="W723" s="27">
        <f>U723-V723</f>
        <v/>
      </c>
      <c r="X723" s="28">
        <f>IFERROR(W723/U723,0)</f>
        <v/>
      </c>
    </row>
    <row r="724">
      <c r="A724" s="21">
        <f>ItensPedido!A724</f>
        <v/>
      </c>
      <c r="B724" s="21">
        <f>ItensPedido!B724</f>
        <v/>
      </c>
      <c r="C724" s="21">
        <f>ItensPedido!C724</f>
        <v/>
      </c>
      <c r="D724" s="21">
        <f>ItensPedido!D724</f>
        <v/>
      </c>
      <c r="E724" s="22">
        <f>ItensPedido!E724</f>
        <v/>
      </c>
      <c r="F724" s="21">
        <f>IFERROR(INDEX(Pedidos!$B$2:$B$1801,MATCH(B724,Pedidos!$A$2:$A$1801,0)),0)</f>
        <v/>
      </c>
      <c r="G724" s="21">
        <f>IF(F724=0,"",YEAR(F724))</f>
        <v/>
      </c>
      <c r="H724" s="21">
        <f>IF(F724=0,"",MONTH(F724))</f>
        <v/>
      </c>
      <c r="I724" s="21">
        <f>IFERROR(INDEX(Pedidos!$E$2:$E$1801,MATCH(B724,Pedidos!$A$2:$A$1801,0)),"")</f>
        <v/>
      </c>
      <c r="J724" s="21">
        <f>IFERROR(INDEX(Pedidos!$C$2:$C$1801,MATCH(B724,Pedidos!$A$2:$A$1801,0)),"")</f>
        <v/>
      </c>
      <c r="K724" s="21">
        <f>IFERROR(INDEX(Pedidos!$D$2:$D$1801,MATCH(B724,Pedidos!$A$2:$A$1801,0)),"")</f>
        <v/>
      </c>
      <c r="L724" s="21">
        <f>IFERROR(INDEX(Pedidos!$F$2:$F$1801,MATCH(B724,Pedidos!$A$2:$A$1801,0)),"")</f>
        <v/>
      </c>
      <c r="M724" s="22">
        <f>IFERROR(INDEX(Pedidos!$G$2:$G$1801,MATCH(B724,Pedidos!$A$2:$A$1801,0)),0)</f>
        <v/>
      </c>
      <c r="N724" s="21">
        <f>IFERROR(INDEX(Produtos!$B$2:$B$71,MATCH(C724,Produtos!$A$2:$A$71,0)),"")</f>
        <v/>
      </c>
      <c r="O724" s="21">
        <f>IFERROR(INDEX(Produtos!$C$2:$C$71,MATCH(C724,Produtos!$A$2:$A$71,0)),"")</f>
        <v/>
      </c>
      <c r="P724" s="21">
        <f>IFERROR(INDEX(Produtos!$D$2:$D$71,MATCH(C724,Produtos!$A$2:$A$71,0)),0)</f>
        <v/>
      </c>
      <c r="Q724" s="21">
        <f>IFERROR(INDEX(Produtos!$E$2:$E$71,MATCH(C724,Produtos!$A$2:$A$71,0)),0)</f>
        <v/>
      </c>
      <c r="R724" s="23">
        <f>D724*Q724</f>
        <v/>
      </c>
      <c r="S724" s="23">
        <f>R724*E724</f>
        <v/>
      </c>
      <c r="T724" s="23">
        <f>(R724-S724)*M724</f>
        <v/>
      </c>
      <c r="U724" s="23">
        <f>R724-S724-T724</f>
        <v/>
      </c>
      <c r="V724" s="23">
        <f>D724*P724</f>
        <v/>
      </c>
      <c r="W724" s="23">
        <f>U724-V724</f>
        <v/>
      </c>
      <c r="X724" s="24">
        <f>IFERROR(W724/U724,0)</f>
        <v/>
      </c>
    </row>
    <row r="725">
      <c r="A725" s="25">
        <f>ItensPedido!A725</f>
        <v/>
      </c>
      <c r="B725" s="25">
        <f>ItensPedido!B725</f>
        <v/>
      </c>
      <c r="C725" s="25">
        <f>ItensPedido!C725</f>
        <v/>
      </c>
      <c r="D725" s="25">
        <f>ItensPedido!D725</f>
        <v/>
      </c>
      <c r="E725" s="26">
        <f>ItensPedido!E725</f>
        <v/>
      </c>
      <c r="F725" s="25">
        <f>IFERROR(INDEX(Pedidos!$B$2:$B$1801,MATCH(B725,Pedidos!$A$2:$A$1801,0)),0)</f>
        <v/>
      </c>
      <c r="G725" s="25">
        <f>IF(F725=0,"",YEAR(F725))</f>
        <v/>
      </c>
      <c r="H725" s="25">
        <f>IF(F725=0,"",MONTH(F725))</f>
        <v/>
      </c>
      <c r="I725" s="25">
        <f>IFERROR(INDEX(Pedidos!$E$2:$E$1801,MATCH(B725,Pedidos!$A$2:$A$1801,0)),"")</f>
        <v/>
      </c>
      <c r="J725" s="25">
        <f>IFERROR(INDEX(Pedidos!$C$2:$C$1801,MATCH(B725,Pedidos!$A$2:$A$1801,0)),"")</f>
        <v/>
      </c>
      <c r="K725" s="25">
        <f>IFERROR(INDEX(Pedidos!$D$2:$D$1801,MATCH(B725,Pedidos!$A$2:$A$1801,0)),"")</f>
        <v/>
      </c>
      <c r="L725" s="25">
        <f>IFERROR(INDEX(Pedidos!$F$2:$F$1801,MATCH(B725,Pedidos!$A$2:$A$1801,0)),"")</f>
        <v/>
      </c>
      <c r="M725" s="26">
        <f>IFERROR(INDEX(Pedidos!$G$2:$G$1801,MATCH(B725,Pedidos!$A$2:$A$1801,0)),0)</f>
        <v/>
      </c>
      <c r="N725" s="25">
        <f>IFERROR(INDEX(Produtos!$B$2:$B$71,MATCH(C725,Produtos!$A$2:$A$71,0)),"")</f>
        <v/>
      </c>
      <c r="O725" s="25">
        <f>IFERROR(INDEX(Produtos!$C$2:$C$71,MATCH(C725,Produtos!$A$2:$A$71,0)),"")</f>
        <v/>
      </c>
      <c r="P725" s="25">
        <f>IFERROR(INDEX(Produtos!$D$2:$D$71,MATCH(C725,Produtos!$A$2:$A$71,0)),0)</f>
        <v/>
      </c>
      <c r="Q725" s="25">
        <f>IFERROR(INDEX(Produtos!$E$2:$E$71,MATCH(C725,Produtos!$A$2:$A$71,0)),0)</f>
        <v/>
      </c>
      <c r="R725" s="27">
        <f>D725*Q725</f>
        <v/>
      </c>
      <c r="S725" s="27">
        <f>R725*E725</f>
        <v/>
      </c>
      <c r="T725" s="27">
        <f>(R725-S725)*M725</f>
        <v/>
      </c>
      <c r="U725" s="27">
        <f>R725-S725-T725</f>
        <v/>
      </c>
      <c r="V725" s="27">
        <f>D725*P725</f>
        <v/>
      </c>
      <c r="W725" s="27">
        <f>U725-V725</f>
        <v/>
      </c>
      <c r="X725" s="28">
        <f>IFERROR(W725/U725,0)</f>
        <v/>
      </c>
    </row>
    <row r="726">
      <c r="A726" s="21">
        <f>ItensPedido!A726</f>
        <v/>
      </c>
      <c r="B726" s="21">
        <f>ItensPedido!B726</f>
        <v/>
      </c>
      <c r="C726" s="21">
        <f>ItensPedido!C726</f>
        <v/>
      </c>
      <c r="D726" s="21">
        <f>ItensPedido!D726</f>
        <v/>
      </c>
      <c r="E726" s="22">
        <f>ItensPedido!E726</f>
        <v/>
      </c>
      <c r="F726" s="21">
        <f>IFERROR(INDEX(Pedidos!$B$2:$B$1801,MATCH(B726,Pedidos!$A$2:$A$1801,0)),0)</f>
        <v/>
      </c>
      <c r="G726" s="21">
        <f>IF(F726=0,"",YEAR(F726))</f>
        <v/>
      </c>
      <c r="H726" s="21">
        <f>IF(F726=0,"",MONTH(F726))</f>
        <v/>
      </c>
      <c r="I726" s="21">
        <f>IFERROR(INDEX(Pedidos!$E$2:$E$1801,MATCH(B726,Pedidos!$A$2:$A$1801,0)),"")</f>
        <v/>
      </c>
      <c r="J726" s="21">
        <f>IFERROR(INDEX(Pedidos!$C$2:$C$1801,MATCH(B726,Pedidos!$A$2:$A$1801,0)),"")</f>
        <v/>
      </c>
      <c r="K726" s="21">
        <f>IFERROR(INDEX(Pedidos!$D$2:$D$1801,MATCH(B726,Pedidos!$A$2:$A$1801,0)),"")</f>
        <v/>
      </c>
      <c r="L726" s="21">
        <f>IFERROR(INDEX(Pedidos!$F$2:$F$1801,MATCH(B726,Pedidos!$A$2:$A$1801,0)),"")</f>
        <v/>
      </c>
      <c r="M726" s="22">
        <f>IFERROR(INDEX(Pedidos!$G$2:$G$1801,MATCH(B726,Pedidos!$A$2:$A$1801,0)),0)</f>
        <v/>
      </c>
      <c r="N726" s="21">
        <f>IFERROR(INDEX(Produtos!$B$2:$B$71,MATCH(C726,Produtos!$A$2:$A$71,0)),"")</f>
        <v/>
      </c>
      <c r="O726" s="21">
        <f>IFERROR(INDEX(Produtos!$C$2:$C$71,MATCH(C726,Produtos!$A$2:$A$71,0)),"")</f>
        <v/>
      </c>
      <c r="P726" s="21">
        <f>IFERROR(INDEX(Produtos!$D$2:$D$71,MATCH(C726,Produtos!$A$2:$A$71,0)),0)</f>
        <v/>
      </c>
      <c r="Q726" s="21">
        <f>IFERROR(INDEX(Produtos!$E$2:$E$71,MATCH(C726,Produtos!$A$2:$A$71,0)),0)</f>
        <v/>
      </c>
      <c r="R726" s="23">
        <f>D726*Q726</f>
        <v/>
      </c>
      <c r="S726" s="23">
        <f>R726*E726</f>
        <v/>
      </c>
      <c r="T726" s="23">
        <f>(R726-S726)*M726</f>
        <v/>
      </c>
      <c r="U726" s="23">
        <f>R726-S726-T726</f>
        <v/>
      </c>
      <c r="V726" s="23">
        <f>D726*P726</f>
        <v/>
      </c>
      <c r="W726" s="23">
        <f>U726-V726</f>
        <v/>
      </c>
      <c r="X726" s="24">
        <f>IFERROR(W726/U726,0)</f>
        <v/>
      </c>
    </row>
    <row r="727">
      <c r="A727" s="25">
        <f>ItensPedido!A727</f>
        <v/>
      </c>
      <c r="B727" s="25">
        <f>ItensPedido!B727</f>
        <v/>
      </c>
      <c r="C727" s="25">
        <f>ItensPedido!C727</f>
        <v/>
      </c>
      <c r="D727" s="25">
        <f>ItensPedido!D727</f>
        <v/>
      </c>
      <c r="E727" s="26">
        <f>ItensPedido!E727</f>
        <v/>
      </c>
      <c r="F727" s="25">
        <f>IFERROR(INDEX(Pedidos!$B$2:$B$1801,MATCH(B727,Pedidos!$A$2:$A$1801,0)),0)</f>
        <v/>
      </c>
      <c r="G727" s="25">
        <f>IF(F727=0,"",YEAR(F727))</f>
        <v/>
      </c>
      <c r="H727" s="25">
        <f>IF(F727=0,"",MONTH(F727))</f>
        <v/>
      </c>
      <c r="I727" s="25">
        <f>IFERROR(INDEX(Pedidos!$E$2:$E$1801,MATCH(B727,Pedidos!$A$2:$A$1801,0)),"")</f>
        <v/>
      </c>
      <c r="J727" s="25">
        <f>IFERROR(INDEX(Pedidos!$C$2:$C$1801,MATCH(B727,Pedidos!$A$2:$A$1801,0)),"")</f>
        <v/>
      </c>
      <c r="K727" s="25">
        <f>IFERROR(INDEX(Pedidos!$D$2:$D$1801,MATCH(B727,Pedidos!$A$2:$A$1801,0)),"")</f>
        <v/>
      </c>
      <c r="L727" s="25">
        <f>IFERROR(INDEX(Pedidos!$F$2:$F$1801,MATCH(B727,Pedidos!$A$2:$A$1801,0)),"")</f>
        <v/>
      </c>
      <c r="M727" s="26">
        <f>IFERROR(INDEX(Pedidos!$G$2:$G$1801,MATCH(B727,Pedidos!$A$2:$A$1801,0)),0)</f>
        <v/>
      </c>
      <c r="N727" s="25">
        <f>IFERROR(INDEX(Produtos!$B$2:$B$71,MATCH(C727,Produtos!$A$2:$A$71,0)),"")</f>
        <v/>
      </c>
      <c r="O727" s="25">
        <f>IFERROR(INDEX(Produtos!$C$2:$C$71,MATCH(C727,Produtos!$A$2:$A$71,0)),"")</f>
        <v/>
      </c>
      <c r="P727" s="25">
        <f>IFERROR(INDEX(Produtos!$D$2:$D$71,MATCH(C727,Produtos!$A$2:$A$71,0)),0)</f>
        <v/>
      </c>
      <c r="Q727" s="25">
        <f>IFERROR(INDEX(Produtos!$E$2:$E$71,MATCH(C727,Produtos!$A$2:$A$71,0)),0)</f>
        <v/>
      </c>
      <c r="R727" s="27">
        <f>D727*Q727</f>
        <v/>
      </c>
      <c r="S727" s="27">
        <f>R727*E727</f>
        <v/>
      </c>
      <c r="T727" s="27">
        <f>(R727-S727)*M727</f>
        <v/>
      </c>
      <c r="U727" s="27">
        <f>R727-S727-T727</f>
        <v/>
      </c>
      <c r="V727" s="27">
        <f>D727*P727</f>
        <v/>
      </c>
      <c r="W727" s="27">
        <f>U727-V727</f>
        <v/>
      </c>
      <c r="X727" s="28">
        <f>IFERROR(W727/U727,0)</f>
        <v/>
      </c>
    </row>
    <row r="728">
      <c r="A728" s="21">
        <f>ItensPedido!A728</f>
        <v/>
      </c>
      <c r="B728" s="21">
        <f>ItensPedido!B728</f>
        <v/>
      </c>
      <c r="C728" s="21">
        <f>ItensPedido!C728</f>
        <v/>
      </c>
      <c r="D728" s="21">
        <f>ItensPedido!D728</f>
        <v/>
      </c>
      <c r="E728" s="22">
        <f>ItensPedido!E728</f>
        <v/>
      </c>
      <c r="F728" s="21">
        <f>IFERROR(INDEX(Pedidos!$B$2:$B$1801,MATCH(B728,Pedidos!$A$2:$A$1801,0)),0)</f>
        <v/>
      </c>
      <c r="G728" s="21">
        <f>IF(F728=0,"",YEAR(F728))</f>
        <v/>
      </c>
      <c r="H728" s="21">
        <f>IF(F728=0,"",MONTH(F728))</f>
        <v/>
      </c>
      <c r="I728" s="21">
        <f>IFERROR(INDEX(Pedidos!$E$2:$E$1801,MATCH(B728,Pedidos!$A$2:$A$1801,0)),"")</f>
        <v/>
      </c>
      <c r="J728" s="21">
        <f>IFERROR(INDEX(Pedidos!$C$2:$C$1801,MATCH(B728,Pedidos!$A$2:$A$1801,0)),"")</f>
        <v/>
      </c>
      <c r="K728" s="21">
        <f>IFERROR(INDEX(Pedidos!$D$2:$D$1801,MATCH(B728,Pedidos!$A$2:$A$1801,0)),"")</f>
        <v/>
      </c>
      <c r="L728" s="21">
        <f>IFERROR(INDEX(Pedidos!$F$2:$F$1801,MATCH(B728,Pedidos!$A$2:$A$1801,0)),"")</f>
        <v/>
      </c>
      <c r="M728" s="22">
        <f>IFERROR(INDEX(Pedidos!$G$2:$G$1801,MATCH(B728,Pedidos!$A$2:$A$1801,0)),0)</f>
        <v/>
      </c>
      <c r="N728" s="21">
        <f>IFERROR(INDEX(Produtos!$B$2:$B$71,MATCH(C728,Produtos!$A$2:$A$71,0)),"")</f>
        <v/>
      </c>
      <c r="O728" s="21">
        <f>IFERROR(INDEX(Produtos!$C$2:$C$71,MATCH(C728,Produtos!$A$2:$A$71,0)),"")</f>
        <v/>
      </c>
      <c r="P728" s="21">
        <f>IFERROR(INDEX(Produtos!$D$2:$D$71,MATCH(C728,Produtos!$A$2:$A$71,0)),0)</f>
        <v/>
      </c>
      <c r="Q728" s="21">
        <f>IFERROR(INDEX(Produtos!$E$2:$E$71,MATCH(C728,Produtos!$A$2:$A$71,0)),0)</f>
        <v/>
      </c>
      <c r="R728" s="23">
        <f>D728*Q728</f>
        <v/>
      </c>
      <c r="S728" s="23">
        <f>R728*E728</f>
        <v/>
      </c>
      <c r="T728" s="23">
        <f>(R728-S728)*M728</f>
        <v/>
      </c>
      <c r="U728" s="23">
        <f>R728-S728-T728</f>
        <v/>
      </c>
      <c r="V728" s="23">
        <f>D728*P728</f>
        <v/>
      </c>
      <c r="W728" s="23">
        <f>U728-V728</f>
        <v/>
      </c>
      <c r="X728" s="24">
        <f>IFERROR(W728/U728,0)</f>
        <v/>
      </c>
    </row>
    <row r="729">
      <c r="A729" s="25">
        <f>ItensPedido!A729</f>
        <v/>
      </c>
      <c r="B729" s="25">
        <f>ItensPedido!B729</f>
        <v/>
      </c>
      <c r="C729" s="25">
        <f>ItensPedido!C729</f>
        <v/>
      </c>
      <c r="D729" s="25">
        <f>ItensPedido!D729</f>
        <v/>
      </c>
      <c r="E729" s="26">
        <f>ItensPedido!E729</f>
        <v/>
      </c>
      <c r="F729" s="25">
        <f>IFERROR(INDEX(Pedidos!$B$2:$B$1801,MATCH(B729,Pedidos!$A$2:$A$1801,0)),0)</f>
        <v/>
      </c>
      <c r="G729" s="25">
        <f>IF(F729=0,"",YEAR(F729))</f>
        <v/>
      </c>
      <c r="H729" s="25">
        <f>IF(F729=0,"",MONTH(F729))</f>
        <v/>
      </c>
      <c r="I729" s="25">
        <f>IFERROR(INDEX(Pedidos!$E$2:$E$1801,MATCH(B729,Pedidos!$A$2:$A$1801,0)),"")</f>
        <v/>
      </c>
      <c r="J729" s="25">
        <f>IFERROR(INDEX(Pedidos!$C$2:$C$1801,MATCH(B729,Pedidos!$A$2:$A$1801,0)),"")</f>
        <v/>
      </c>
      <c r="K729" s="25">
        <f>IFERROR(INDEX(Pedidos!$D$2:$D$1801,MATCH(B729,Pedidos!$A$2:$A$1801,0)),"")</f>
        <v/>
      </c>
      <c r="L729" s="25">
        <f>IFERROR(INDEX(Pedidos!$F$2:$F$1801,MATCH(B729,Pedidos!$A$2:$A$1801,0)),"")</f>
        <v/>
      </c>
      <c r="M729" s="26">
        <f>IFERROR(INDEX(Pedidos!$G$2:$G$1801,MATCH(B729,Pedidos!$A$2:$A$1801,0)),0)</f>
        <v/>
      </c>
      <c r="N729" s="25">
        <f>IFERROR(INDEX(Produtos!$B$2:$B$71,MATCH(C729,Produtos!$A$2:$A$71,0)),"")</f>
        <v/>
      </c>
      <c r="O729" s="25">
        <f>IFERROR(INDEX(Produtos!$C$2:$C$71,MATCH(C729,Produtos!$A$2:$A$71,0)),"")</f>
        <v/>
      </c>
      <c r="P729" s="25">
        <f>IFERROR(INDEX(Produtos!$D$2:$D$71,MATCH(C729,Produtos!$A$2:$A$71,0)),0)</f>
        <v/>
      </c>
      <c r="Q729" s="25">
        <f>IFERROR(INDEX(Produtos!$E$2:$E$71,MATCH(C729,Produtos!$A$2:$A$71,0)),0)</f>
        <v/>
      </c>
      <c r="R729" s="27">
        <f>D729*Q729</f>
        <v/>
      </c>
      <c r="S729" s="27">
        <f>R729*E729</f>
        <v/>
      </c>
      <c r="T729" s="27">
        <f>(R729-S729)*M729</f>
        <v/>
      </c>
      <c r="U729" s="27">
        <f>R729-S729-T729</f>
        <v/>
      </c>
      <c r="V729" s="27">
        <f>D729*P729</f>
        <v/>
      </c>
      <c r="W729" s="27">
        <f>U729-V729</f>
        <v/>
      </c>
      <c r="X729" s="28">
        <f>IFERROR(W729/U729,0)</f>
        <v/>
      </c>
    </row>
    <row r="730">
      <c r="A730" s="21">
        <f>ItensPedido!A730</f>
        <v/>
      </c>
      <c r="B730" s="21">
        <f>ItensPedido!B730</f>
        <v/>
      </c>
      <c r="C730" s="21">
        <f>ItensPedido!C730</f>
        <v/>
      </c>
      <c r="D730" s="21">
        <f>ItensPedido!D730</f>
        <v/>
      </c>
      <c r="E730" s="22">
        <f>ItensPedido!E730</f>
        <v/>
      </c>
      <c r="F730" s="21">
        <f>IFERROR(INDEX(Pedidos!$B$2:$B$1801,MATCH(B730,Pedidos!$A$2:$A$1801,0)),0)</f>
        <v/>
      </c>
      <c r="G730" s="21">
        <f>IF(F730=0,"",YEAR(F730))</f>
        <v/>
      </c>
      <c r="H730" s="21">
        <f>IF(F730=0,"",MONTH(F730))</f>
        <v/>
      </c>
      <c r="I730" s="21">
        <f>IFERROR(INDEX(Pedidos!$E$2:$E$1801,MATCH(B730,Pedidos!$A$2:$A$1801,0)),"")</f>
        <v/>
      </c>
      <c r="J730" s="21">
        <f>IFERROR(INDEX(Pedidos!$C$2:$C$1801,MATCH(B730,Pedidos!$A$2:$A$1801,0)),"")</f>
        <v/>
      </c>
      <c r="K730" s="21">
        <f>IFERROR(INDEX(Pedidos!$D$2:$D$1801,MATCH(B730,Pedidos!$A$2:$A$1801,0)),"")</f>
        <v/>
      </c>
      <c r="L730" s="21">
        <f>IFERROR(INDEX(Pedidos!$F$2:$F$1801,MATCH(B730,Pedidos!$A$2:$A$1801,0)),"")</f>
        <v/>
      </c>
      <c r="M730" s="22">
        <f>IFERROR(INDEX(Pedidos!$G$2:$G$1801,MATCH(B730,Pedidos!$A$2:$A$1801,0)),0)</f>
        <v/>
      </c>
      <c r="N730" s="21">
        <f>IFERROR(INDEX(Produtos!$B$2:$B$71,MATCH(C730,Produtos!$A$2:$A$71,0)),"")</f>
        <v/>
      </c>
      <c r="O730" s="21">
        <f>IFERROR(INDEX(Produtos!$C$2:$C$71,MATCH(C730,Produtos!$A$2:$A$71,0)),"")</f>
        <v/>
      </c>
      <c r="P730" s="21">
        <f>IFERROR(INDEX(Produtos!$D$2:$D$71,MATCH(C730,Produtos!$A$2:$A$71,0)),0)</f>
        <v/>
      </c>
      <c r="Q730" s="21">
        <f>IFERROR(INDEX(Produtos!$E$2:$E$71,MATCH(C730,Produtos!$A$2:$A$71,0)),0)</f>
        <v/>
      </c>
      <c r="R730" s="23">
        <f>D730*Q730</f>
        <v/>
      </c>
      <c r="S730" s="23">
        <f>R730*E730</f>
        <v/>
      </c>
      <c r="T730" s="23">
        <f>(R730-S730)*M730</f>
        <v/>
      </c>
      <c r="U730" s="23">
        <f>R730-S730-T730</f>
        <v/>
      </c>
      <c r="V730" s="23">
        <f>D730*P730</f>
        <v/>
      </c>
      <c r="W730" s="23">
        <f>U730-V730</f>
        <v/>
      </c>
      <c r="X730" s="24">
        <f>IFERROR(W730/U730,0)</f>
        <v/>
      </c>
    </row>
    <row r="731">
      <c r="A731" s="25">
        <f>ItensPedido!A731</f>
        <v/>
      </c>
      <c r="B731" s="25">
        <f>ItensPedido!B731</f>
        <v/>
      </c>
      <c r="C731" s="25">
        <f>ItensPedido!C731</f>
        <v/>
      </c>
      <c r="D731" s="25">
        <f>ItensPedido!D731</f>
        <v/>
      </c>
      <c r="E731" s="26">
        <f>ItensPedido!E731</f>
        <v/>
      </c>
      <c r="F731" s="25">
        <f>IFERROR(INDEX(Pedidos!$B$2:$B$1801,MATCH(B731,Pedidos!$A$2:$A$1801,0)),0)</f>
        <v/>
      </c>
      <c r="G731" s="25">
        <f>IF(F731=0,"",YEAR(F731))</f>
        <v/>
      </c>
      <c r="H731" s="25">
        <f>IF(F731=0,"",MONTH(F731))</f>
        <v/>
      </c>
      <c r="I731" s="25">
        <f>IFERROR(INDEX(Pedidos!$E$2:$E$1801,MATCH(B731,Pedidos!$A$2:$A$1801,0)),"")</f>
        <v/>
      </c>
      <c r="J731" s="25">
        <f>IFERROR(INDEX(Pedidos!$C$2:$C$1801,MATCH(B731,Pedidos!$A$2:$A$1801,0)),"")</f>
        <v/>
      </c>
      <c r="K731" s="25">
        <f>IFERROR(INDEX(Pedidos!$D$2:$D$1801,MATCH(B731,Pedidos!$A$2:$A$1801,0)),"")</f>
        <v/>
      </c>
      <c r="L731" s="25">
        <f>IFERROR(INDEX(Pedidos!$F$2:$F$1801,MATCH(B731,Pedidos!$A$2:$A$1801,0)),"")</f>
        <v/>
      </c>
      <c r="M731" s="26">
        <f>IFERROR(INDEX(Pedidos!$G$2:$G$1801,MATCH(B731,Pedidos!$A$2:$A$1801,0)),0)</f>
        <v/>
      </c>
      <c r="N731" s="25">
        <f>IFERROR(INDEX(Produtos!$B$2:$B$71,MATCH(C731,Produtos!$A$2:$A$71,0)),"")</f>
        <v/>
      </c>
      <c r="O731" s="25">
        <f>IFERROR(INDEX(Produtos!$C$2:$C$71,MATCH(C731,Produtos!$A$2:$A$71,0)),"")</f>
        <v/>
      </c>
      <c r="P731" s="25">
        <f>IFERROR(INDEX(Produtos!$D$2:$D$71,MATCH(C731,Produtos!$A$2:$A$71,0)),0)</f>
        <v/>
      </c>
      <c r="Q731" s="25">
        <f>IFERROR(INDEX(Produtos!$E$2:$E$71,MATCH(C731,Produtos!$A$2:$A$71,0)),0)</f>
        <v/>
      </c>
      <c r="R731" s="27">
        <f>D731*Q731</f>
        <v/>
      </c>
      <c r="S731" s="27">
        <f>R731*E731</f>
        <v/>
      </c>
      <c r="T731" s="27">
        <f>(R731-S731)*M731</f>
        <v/>
      </c>
      <c r="U731" s="27">
        <f>R731-S731-T731</f>
        <v/>
      </c>
      <c r="V731" s="27">
        <f>D731*P731</f>
        <v/>
      </c>
      <c r="W731" s="27">
        <f>U731-V731</f>
        <v/>
      </c>
      <c r="X731" s="28">
        <f>IFERROR(W731/U731,0)</f>
        <v/>
      </c>
    </row>
    <row r="732">
      <c r="A732" s="21">
        <f>ItensPedido!A732</f>
        <v/>
      </c>
      <c r="B732" s="21">
        <f>ItensPedido!B732</f>
        <v/>
      </c>
      <c r="C732" s="21">
        <f>ItensPedido!C732</f>
        <v/>
      </c>
      <c r="D732" s="21">
        <f>ItensPedido!D732</f>
        <v/>
      </c>
      <c r="E732" s="22">
        <f>ItensPedido!E732</f>
        <v/>
      </c>
      <c r="F732" s="21">
        <f>IFERROR(INDEX(Pedidos!$B$2:$B$1801,MATCH(B732,Pedidos!$A$2:$A$1801,0)),0)</f>
        <v/>
      </c>
      <c r="G732" s="21">
        <f>IF(F732=0,"",YEAR(F732))</f>
        <v/>
      </c>
      <c r="H732" s="21">
        <f>IF(F732=0,"",MONTH(F732))</f>
        <v/>
      </c>
      <c r="I732" s="21">
        <f>IFERROR(INDEX(Pedidos!$E$2:$E$1801,MATCH(B732,Pedidos!$A$2:$A$1801,0)),"")</f>
        <v/>
      </c>
      <c r="J732" s="21">
        <f>IFERROR(INDEX(Pedidos!$C$2:$C$1801,MATCH(B732,Pedidos!$A$2:$A$1801,0)),"")</f>
        <v/>
      </c>
      <c r="K732" s="21">
        <f>IFERROR(INDEX(Pedidos!$D$2:$D$1801,MATCH(B732,Pedidos!$A$2:$A$1801,0)),"")</f>
        <v/>
      </c>
      <c r="L732" s="21">
        <f>IFERROR(INDEX(Pedidos!$F$2:$F$1801,MATCH(B732,Pedidos!$A$2:$A$1801,0)),"")</f>
        <v/>
      </c>
      <c r="M732" s="22">
        <f>IFERROR(INDEX(Pedidos!$G$2:$G$1801,MATCH(B732,Pedidos!$A$2:$A$1801,0)),0)</f>
        <v/>
      </c>
      <c r="N732" s="21">
        <f>IFERROR(INDEX(Produtos!$B$2:$B$71,MATCH(C732,Produtos!$A$2:$A$71,0)),"")</f>
        <v/>
      </c>
      <c r="O732" s="21">
        <f>IFERROR(INDEX(Produtos!$C$2:$C$71,MATCH(C732,Produtos!$A$2:$A$71,0)),"")</f>
        <v/>
      </c>
      <c r="P732" s="21">
        <f>IFERROR(INDEX(Produtos!$D$2:$D$71,MATCH(C732,Produtos!$A$2:$A$71,0)),0)</f>
        <v/>
      </c>
      <c r="Q732" s="21">
        <f>IFERROR(INDEX(Produtos!$E$2:$E$71,MATCH(C732,Produtos!$A$2:$A$71,0)),0)</f>
        <v/>
      </c>
      <c r="R732" s="23">
        <f>D732*Q732</f>
        <v/>
      </c>
      <c r="S732" s="23">
        <f>R732*E732</f>
        <v/>
      </c>
      <c r="T732" s="23">
        <f>(R732-S732)*M732</f>
        <v/>
      </c>
      <c r="U732" s="23">
        <f>R732-S732-T732</f>
        <v/>
      </c>
      <c r="V732" s="23">
        <f>D732*P732</f>
        <v/>
      </c>
      <c r="W732" s="23">
        <f>U732-V732</f>
        <v/>
      </c>
      <c r="X732" s="24">
        <f>IFERROR(W732/U732,0)</f>
        <v/>
      </c>
    </row>
    <row r="733">
      <c r="A733" s="25">
        <f>ItensPedido!A733</f>
        <v/>
      </c>
      <c r="B733" s="25">
        <f>ItensPedido!B733</f>
        <v/>
      </c>
      <c r="C733" s="25">
        <f>ItensPedido!C733</f>
        <v/>
      </c>
      <c r="D733" s="25">
        <f>ItensPedido!D733</f>
        <v/>
      </c>
      <c r="E733" s="26">
        <f>ItensPedido!E733</f>
        <v/>
      </c>
      <c r="F733" s="25">
        <f>IFERROR(INDEX(Pedidos!$B$2:$B$1801,MATCH(B733,Pedidos!$A$2:$A$1801,0)),0)</f>
        <v/>
      </c>
      <c r="G733" s="25">
        <f>IF(F733=0,"",YEAR(F733))</f>
        <v/>
      </c>
      <c r="H733" s="25">
        <f>IF(F733=0,"",MONTH(F733))</f>
        <v/>
      </c>
      <c r="I733" s="25">
        <f>IFERROR(INDEX(Pedidos!$E$2:$E$1801,MATCH(B733,Pedidos!$A$2:$A$1801,0)),"")</f>
        <v/>
      </c>
      <c r="J733" s="25">
        <f>IFERROR(INDEX(Pedidos!$C$2:$C$1801,MATCH(B733,Pedidos!$A$2:$A$1801,0)),"")</f>
        <v/>
      </c>
      <c r="K733" s="25">
        <f>IFERROR(INDEX(Pedidos!$D$2:$D$1801,MATCH(B733,Pedidos!$A$2:$A$1801,0)),"")</f>
        <v/>
      </c>
      <c r="L733" s="25">
        <f>IFERROR(INDEX(Pedidos!$F$2:$F$1801,MATCH(B733,Pedidos!$A$2:$A$1801,0)),"")</f>
        <v/>
      </c>
      <c r="M733" s="26">
        <f>IFERROR(INDEX(Pedidos!$G$2:$G$1801,MATCH(B733,Pedidos!$A$2:$A$1801,0)),0)</f>
        <v/>
      </c>
      <c r="N733" s="25">
        <f>IFERROR(INDEX(Produtos!$B$2:$B$71,MATCH(C733,Produtos!$A$2:$A$71,0)),"")</f>
        <v/>
      </c>
      <c r="O733" s="25">
        <f>IFERROR(INDEX(Produtos!$C$2:$C$71,MATCH(C733,Produtos!$A$2:$A$71,0)),"")</f>
        <v/>
      </c>
      <c r="P733" s="25">
        <f>IFERROR(INDEX(Produtos!$D$2:$D$71,MATCH(C733,Produtos!$A$2:$A$71,0)),0)</f>
        <v/>
      </c>
      <c r="Q733" s="25">
        <f>IFERROR(INDEX(Produtos!$E$2:$E$71,MATCH(C733,Produtos!$A$2:$A$71,0)),0)</f>
        <v/>
      </c>
      <c r="R733" s="27">
        <f>D733*Q733</f>
        <v/>
      </c>
      <c r="S733" s="27">
        <f>R733*E733</f>
        <v/>
      </c>
      <c r="T733" s="27">
        <f>(R733-S733)*M733</f>
        <v/>
      </c>
      <c r="U733" s="27">
        <f>R733-S733-T733</f>
        <v/>
      </c>
      <c r="V733" s="27">
        <f>D733*P733</f>
        <v/>
      </c>
      <c r="W733" s="27">
        <f>U733-V733</f>
        <v/>
      </c>
      <c r="X733" s="28">
        <f>IFERROR(W733/U733,0)</f>
        <v/>
      </c>
    </row>
    <row r="734">
      <c r="A734" s="21">
        <f>ItensPedido!A734</f>
        <v/>
      </c>
      <c r="B734" s="21">
        <f>ItensPedido!B734</f>
        <v/>
      </c>
      <c r="C734" s="21">
        <f>ItensPedido!C734</f>
        <v/>
      </c>
      <c r="D734" s="21">
        <f>ItensPedido!D734</f>
        <v/>
      </c>
      <c r="E734" s="22">
        <f>ItensPedido!E734</f>
        <v/>
      </c>
      <c r="F734" s="21">
        <f>IFERROR(INDEX(Pedidos!$B$2:$B$1801,MATCH(B734,Pedidos!$A$2:$A$1801,0)),0)</f>
        <v/>
      </c>
      <c r="G734" s="21">
        <f>IF(F734=0,"",YEAR(F734))</f>
        <v/>
      </c>
      <c r="H734" s="21">
        <f>IF(F734=0,"",MONTH(F734))</f>
        <v/>
      </c>
      <c r="I734" s="21">
        <f>IFERROR(INDEX(Pedidos!$E$2:$E$1801,MATCH(B734,Pedidos!$A$2:$A$1801,0)),"")</f>
        <v/>
      </c>
      <c r="J734" s="21">
        <f>IFERROR(INDEX(Pedidos!$C$2:$C$1801,MATCH(B734,Pedidos!$A$2:$A$1801,0)),"")</f>
        <v/>
      </c>
      <c r="K734" s="21">
        <f>IFERROR(INDEX(Pedidos!$D$2:$D$1801,MATCH(B734,Pedidos!$A$2:$A$1801,0)),"")</f>
        <v/>
      </c>
      <c r="L734" s="21">
        <f>IFERROR(INDEX(Pedidos!$F$2:$F$1801,MATCH(B734,Pedidos!$A$2:$A$1801,0)),"")</f>
        <v/>
      </c>
      <c r="M734" s="22">
        <f>IFERROR(INDEX(Pedidos!$G$2:$G$1801,MATCH(B734,Pedidos!$A$2:$A$1801,0)),0)</f>
        <v/>
      </c>
      <c r="N734" s="21">
        <f>IFERROR(INDEX(Produtos!$B$2:$B$71,MATCH(C734,Produtos!$A$2:$A$71,0)),"")</f>
        <v/>
      </c>
      <c r="O734" s="21">
        <f>IFERROR(INDEX(Produtos!$C$2:$C$71,MATCH(C734,Produtos!$A$2:$A$71,0)),"")</f>
        <v/>
      </c>
      <c r="P734" s="21">
        <f>IFERROR(INDEX(Produtos!$D$2:$D$71,MATCH(C734,Produtos!$A$2:$A$71,0)),0)</f>
        <v/>
      </c>
      <c r="Q734" s="21">
        <f>IFERROR(INDEX(Produtos!$E$2:$E$71,MATCH(C734,Produtos!$A$2:$A$71,0)),0)</f>
        <v/>
      </c>
      <c r="R734" s="23">
        <f>D734*Q734</f>
        <v/>
      </c>
      <c r="S734" s="23">
        <f>R734*E734</f>
        <v/>
      </c>
      <c r="T734" s="23">
        <f>(R734-S734)*M734</f>
        <v/>
      </c>
      <c r="U734" s="23">
        <f>R734-S734-T734</f>
        <v/>
      </c>
      <c r="V734" s="23">
        <f>D734*P734</f>
        <v/>
      </c>
      <c r="W734" s="23">
        <f>U734-V734</f>
        <v/>
      </c>
      <c r="X734" s="24">
        <f>IFERROR(W734/U734,0)</f>
        <v/>
      </c>
    </row>
    <row r="735">
      <c r="A735" s="25">
        <f>ItensPedido!A735</f>
        <v/>
      </c>
      <c r="B735" s="25">
        <f>ItensPedido!B735</f>
        <v/>
      </c>
      <c r="C735" s="25">
        <f>ItensPedido!C735</f>
        <v/>
      </c>
      <c r="D735" s="25">
        <f>ItensPedido!D735</f>
        <v/>
      </c>
      <c r="E735" s="26">
        <f>ItensPedido!E735</f>
        <v/>
      </c>
      <c r="F735" s="25">
        <f>IFERROR(INDEX(Pedidos!$B$2:$B$1801,MATCH(B735,Pedidos!$A$2:$A$1801,0)),0)</f>
        <v/>
      </c>
      <c r="G735" s="25">
        <f>IF(F735=0,"",YEAR(F735))</f>
        <v/>
      </c>
      <c r="H735" s="25">
        <f>IF(F735=0,"",MONTH(F735))</f>
        <v/>
      </c>
      <c r="I735" s="25">
        <f>IFERROR(INDEX(Pedidos!$E$2:$E$1801,MATCH(B735,Pedidos!$A$2:$A$1801,0)),"")</f>
        <v/>
      </c>
      <c r="J735" s="25">
        <f>IFERROR(INDEX(Pedidos!$C$2:$C$1801,MATCH(B735,Pedidos!$A$2:$A$1801,0)),"")</f>
        <v/>
      </c>
      <c r="K735" s="25">
        <f>IFERROR(INDEX(Pedidos!$D$2:$D$1801,MATCH(B735,Pedidos!$A$2:$A$1801,0)),"")</f>
        <v/>
      </c>
      <c r="L735" s="25">
        <f>IFERROR(INDEX(Pedidos!$F$2:$F$1801,MATCH(B735,Pedidos!$A$2:$A$1801,0)),"")</f>
        <v/>
      </c>
      <c r="M735" s="26">
        <f>IFERROR(INDEX(Pedidos!$G$2:$G$1801,MATCH(B735,Pedidos!$A$2:$A$1801,0)),0)</f>
        <v/>
      </c>
      <c r="N735" s="25">
        <f>IFERROR(INDEX(Produtos!$B$2:$B$71,MATCH(C735,Produtos!$A$2:$A$71,0)),"")</f>
        <v/>
      </c>
      <c r="O735" s="25">
        <f>IFERROR(INDEX(Produtos!$C$2:$C$71,MATCH(C735,Produtos!$A$2:$A$71,0)),"")</f>
        <v/>
      </c>
      <c r="P735" s="25">
        <f>IFERROR(INDEX(Produtos!$D$2:$D$71,MATCH(C735,Produtos!$A$2:$A$71,0)),0)</f>
        <v/>
      </c>
      <c r="Q735" s="25">
        <f>IFERROR(INDEX(Produtos!$E$2:$E$71,MATCH(C735,Produtos!$A$2:$A$71,0)),0)</f>
        <v/>
      </c>
      <c r="R735" s="27">
        <f>D735*Q735</f>
        <v/>
      </c>
      <c r="S735" s="27">
        <f>R735*E735</f>
        <v/>
      </c>
      <c r="T735" s="27">
        <f>(R735-S735)*M735</f>
        <v/>
      </c>
      <c r="U735" s="27">
        <f>R735-S735-T735</f>
        <v/>
      </c>
      <c r="V735" s="27">
        <f>D735*P735</f>
        <v/>
      </c>
      <c r="W735" s="27">
        <f>U735-V735</f>
        <v/>
      </c>
      <c r="X735" s="28">
        <f>IFERROR(W735/U735,0)</f>
        <v/>
      </c>
    </row>
    <row r="736">
      <c r="A736" s="21">
        <f>ItensPedido!A736</f>
        <v/>
      </c>
      <c r="B736" s="21">
        <f>ItensPedido!B736</f>
        <v/>
      </c>
      <c r="C736" s="21">
        <f>ItensPedido!C736</f>
        <v/>
      </c>
      <c r="D736" s="21">
        <f>ItensPedido!D736</f>
        <v/>
      </c>
      <c r="E736" s="22">
        <f>ItensPedido!E736</f>
        <v/>
      </c>
      <c r="F736" s="21">
        <f>IFERROR(INDEX(Pedidos!$B$2:$B$1801,MATCH(B736,Pedidos!$A$2:$A$1801,0)),0)</f>
        <v/>
      </c>
      <c r="G736" s="21">
        <f>IF(F736=0,"",YEAR(F736))</f>
        <v/>
      </c>
      <c r="H736" s="21">
        <f>IF(F736=0,"",MONTH(F736))</f>
        <v/>
      </c>
      <c r="I736" s="21">
        <f>IFERROR(INDEX(Pedidos!$E$2:$E$1801,MATCH(B736,Pedidos!$A$2:$A$1801,0)),"")</f>
        <v/>
      </c>
      <c r="J736" s="21">
        <f>IFERROR(INDEX(Pedidos!$C$2:$C$1801,MATCH(B736,Pedidos!$A$2:$A$1801,0)),"")</f>
        <v/>
      </c>
      <c r="K736" s="21">
        <f>IFERROR(INDEX(Pedidos!$D$2:$D$1801,MATCH(B736,Pedidos!$A$2:$A$1801,0)),"")</f>
        <v/>
      </c>
      <c r="L736" s="21">
        <f>IFERROR(INDEX(Pedidos!$F$2:$F$1801,MATCH(B736,Pedidos!$A$2:$A$1801,0)),"")</f>
        <v/>
      </c>
      <c r="M736" s="22">
        <f>IFERROR(INDEX(Pedidos!$G$2:$G$1801,MATCH(B736,Pedidos!$A$2:$A$1801,0)),0)</f>
        <v/>
      </c>
      <c r="N736" s="21">
        <f>IFERROR(INDEX(Produtos!$B$2:$B$71,MATCH(C736,Produtos!$A$2:$A$71,0)),"")</f>
        <v/>
      </c>
      <c r="O736" s="21">
        <f>IFERROR(INDEX(Produtos!$C$2:$C$71,MATCH(C736,Produtos!$A$2:$A$71,0)),"")</f>
        <v/>
      </c>
      <c r="P736" s="21">
        <f>IFERROR(INDEX(Produtos!$D$2:$D$71,MATCH(C736,Produtos!$A$2:$A$71,0)),0)</f>
        <v/>
      </c>
      <c r="Q736" s="21">
        <f>IFERROR(INDEX(Produtos!$E$2:$E$71,MATCH(C736,Produtos!$A$2:$A$71,0)),0)</f>
        <v/>
      </c>
      <c r="R736" s="23">
        <f>D736*Q736</f>
        <v/>
      </c>
      <c r="S736" s="23">
        <f>R736*E736</f>
        <v/>
      </c>
      <c r="T736" s="23">
        <f>(R736-S736)*M736</f>
        <v/>
      </c>
      <c r="U736" s="23">
        <f>R736-S736-T736</f>
        <v/>
      </c>
      <c r="V736" s="23">
        <f>D736*P736</f>
        <v/>
      </c>
      <c r="W736" s="23">
        <f>U736-V736</f>
        <v/>
      </c>
      <c r="X736" s="24">
        <f>IFERROR(W736/U736,0)</f>
        <v/>
      </c>
    </row>
    <row r="737">
      <c r="A737" s="25">
        <f>ItensPedido!A737</f>
        <v/>
      </c>
      <c r="B737" s="25">
        <f>ItensPedido!B737</f>
        <v/>
      </c>
      <c r="C737" s="25">
        <f>ItensPedido!C737</f>
        <v/>
      </c>
      <c r="D737" s="25">
        <f>ItensPedido!D737</f>
        <v/>
      </c>
      <c r="E737" s="26">
        <f>ItensPedido!E737</f>
        <v/>
      </c>
      <c r="F737" s="25">
        <f>IFERROR(INDEX(Pedidos!$B$2:$B$1801,MATCH(B737,Pedidos!$A$2:$A$1801,0)),0)</f>
        <v/>
      </c>
      <c r="G737" s="25">
        <f>IF(F737=0,"",YEAR(F737))</f>
        <v/>
      </c>
      <c r="H737" s="25">
        <f>IF(F737=0,"",MONTH(F737))</f>
        <v/>
      </c>
      <c r="I737" s="25">
        <f>IFERROR(INDEX(Pedidos!$E$2:$E$1801,MATCH(B737,Pedidos!$A$2:$A$1801,0)),"")</f>
        <v/>
      </c>
      <c r="J737" s="25">
        <f>IFERROR(INDEX(Pedidos!$C$2:$C$1801,MATCH(B737,Pedidos!$A$2:$A$1801,0)),"")</f>
        <v/>
      </c>
      <c r="K737" s="25">
        <f>IFERROR(INDEX(Pedidos!$D$2:$D$1801,MATCH(B737,Pedidos!$A$2:$A$1801,0)),"")</f>
        <v/>
      </c>
      <c r="L737" s="25">
        <f>IFERROR(INDEX(Pedidos!$F$2:$F$1801,MATCH(B737,Pedidos!$A$2:$A$1801,0)),"")</f>
        <v/>
      </c>
      <c r="M737" s="26">
        <f>IFERROR(INDEX(Pedidos!$G$2:$G$1801,MATCH(B737,Pedidos!$A$2:$A$1801,0)),0)</f>
        <v/>
      </c>
      <c r="N737" s="25">
        <f>IFERROR(INDEX(Produtos!$B$2:$B$71,MATCH(C737,Produtos!$A$2:$A$71,0)),"")</f>
        <v/>
      </c>
      <c r="O737" s="25">
        <f>IFERROR(INDEX(Produtos!$C$2:$C$71,MATCH(C737,Produtos!$A$2:$A$71,0)),"")</f>
        <v/>
      </c>
      <c r="P737" s="25">
        <f>IFERROR(INDEX(Produtos!$D$2:$D$71,MATCH(C737,Produtos!$A$2:$A$71,0)),0)</f>
        <v/>
      </c>
      <c r="Q737" s="25">
        <f>IFERROR(INDEX(Produtos!$E$2:$E$71,MATCH(C737,Produtos!$A$2:$A$71,0)),0)</f>
        <v/>
      </c>
      <c r="R737" s="27">
        <f>D737*Q737</f>
        <v/>
      </c>
      <c r="S737" s="27">
        <f>R737*E737</f>
        <v/>
      </c>
      <c r="T737" s="27">
        <f>(R737-S737)*M737</f>
        <v/>
      </c>
      <c r="U737" s="27">
        <f>R737-S737-T737</f>
        <v/>
      </c>
      <c r="V737" s="27">
        <f>D737*P737</f>
        <v/>
      </c>
      <c r="W737" s="27">
        <f>U737-V737</f>
        <v/>
      </c>
      <c r="X737" s="28">
        <f>IFERROR(W737/U737,0)</f>
        <v/>
      </c>
    </row>
    <row r="738">
      <c r="A738" s="21">
        <f>ItensPedido!A738</f>
        <v/>
      </c>
      <c r="B738" s="21">
        <f>ItensPedido!B738</f>
        <v/>
      </c>
      <c r="C738" s="21">
        <f>ItensPedido!C738</f>
        <v/>
      </c>
      <c r="D738" s="21">
        <f>ItensPedido!D738</f>
        <v/>
      </c>
      <c r="E738" s="22">
        <f>ItensPedido!E738</f>
        <v/>
      </c>
      <c r="F738" s="21">
        <f>IFERROR(INDEX(Pedidos!$B$2:$B$1801,MATCH(B738,Pedidos!$A$2:$A$1801,0)),0)</f>
        <v/>
      </c>
      <c r="G738" s="21">
        <f>IF(F738=0,"",YEAR(F738))</f>
        <v/>
      </c>
      <c r="H738" s="21">
        <f>IF(F738=0,"",MONTH(F738))</f>
        <v/>
      </c>
      <c r="I738" s="21">
        <f>IFERROR(INDEX(Pedidos!$E$2:$E$1801,MATCH(B738,Pedidos!$A$2:$A$1801,0)),"")</f>
        <v/>
      </c>
      <c r="J738" s="21">
        <f>IFERROR(INDEX(Pedidos!$C$2:$C$1801,MATCH(B738,Pedidos!$A$2:$A$1801,0)),"")</f>
        <v/>
      </c>
      <c r="K738" s="21">
        <f>IFERROR(INDEX(Pedidos!$D$2:$D$1801,MATCH(B738,Pedidos!$A$2:$A$1801,0)),"")</f>
        <v/>
      </c>
      <c r="L738" s="21">
        <f>IFERROR(INDEX(Pedidos!$F$2:$F$1801,MATCH(B738,Pedidos!$A$2:$A$1801,0)),"")</f>
        <v/>
      </c>
      <c r="M738" s="22">
        <f>IFERROR(INDEX(Pedidos!$G$2:$G$1801,MATCH(B738,Pedidos!$A$2:$A$1801,0)),0)</f>
        <v/>
      </c>
      <c r="N738" s="21">
        <f>IFERROR(INDEX(Produtos!$B$2:$B$71,MATCH(C738,Produtos!$A$2:$A$71,0)),"")</f>
        <v/>
      </c>
      <c r="O738" s="21">
        <f>IFERROR(INDEX(Produtos!$C$2:$C$71,MATCH(C738,Produtos!$A$2:$A$71,0)),"")</f>
        <v/>
      </c>
      <c r="P738" s="21">
        <f>IFERROR(INDEX(Produtos!$D$2:$D$71,MATCH(C738,Produtos!$A$2:$A$71,0)),0)</f>
        <v/>
      </c>
      <c r="Q738" s="21">
        <f>IFERROR(INDEX(Produtos!$E$2:$E$71,MATCH(C738,Produtos!$A$2:$A$71,0)),0)</f>
        <v/>
      </c>
      <c r="R738" s="23">
        <f>D738*Q738</f>
        <v/>
      </c>
      <c r="S738" s="23">
        <f>R738*E738</f>
        <v/>
      </c>
      <c r="T738" s="23">
        <f>(R738-S738)*M738</f>
        <v/>
      </c>
      <c r="U738" s="23">
        <f>R738-S738-T738</f>
        <v/>
      </c>
      <c r="V738" s="23">
        <f>D738*P738</f>
        <v/>
      </c>
      <c r="W738" s="23">
        <f>U738-V738</f>
        <v/>
      </c>
      <c r="X738" s="24">
        <f>IFERROR(W738/U738,0)</f>
        <v/>
      </c>
    </row>
    <row r="739">
      <c r="A739" s="25">
        <f>ItensPedido!A739</f>
        <v/>
      </c>
      <c r="B739" s="25">
        <f>ItensPedido!B739</f>
        <v/>
      </c>
      <c r="C739" s="25">
        <f>ItensPedido!C739</f>
        <v/>
      </c>
      <c r="D739" s="25">
        <f>ItensPedido!D739</f>
        <v/>
      </c>
      <c r="E739" s="26">
        <f>ItensPedido!E739</f>
        <v/>
      </c>
      <c r="F739" s="25">
        <f>IFERROR(INDEX(Pedidos!$B$2:$B$1801,MATCH(B739,Pedidos!$A$2:$A$1801,0)),0)</f>
        <v/>
      </c>
      <c r="G739" s="25">
        <f>IF(F739=0,"",YEAR(F739))</f>
        <v/>
      </c>
      <c r="H739" s="25">
        <f>IF(F739=0,"",MONTH(F739))</f>
        <v/>
      </c>
      <c r="I739" s="25">
        <f>IFERROR(INDEX(Pedidos!$E$2:$E$1801,MATCH(B739,Pedidos!$A$2:$A$1801,0)),"")</f>
        <v/>
      </c>
      <c r="J739" s="25">
        <f>IFERROR(INDEX(Pedidos!$C$2:$C$1801,MATCH(B739,Pedidos!$A$2:$A$1801,0)),"")</f>
        <v/>
      </c>
      <c r="K739" s="25">
        <f>IFERROR(INDEX(Pedidos!$D$2:$D$1801,MATCH(B739,Pedidos!$A$2:$A$1801,0)),"")</f>
        <v/>
      </c>
      <c r="L739" s="25">
        <f>IFERROR(INDEX(Pedidos!$F$2:$F$1801,MATCH(B739,Pedidos!$A$2:$A$1801,0)),"")</f>
        <v/>
      </c>
      <c r="M739" s="26">
        <f>IFERROR(INDEX(Pedidos!$G$2:$G$1801,MATCH(B739,Pedidos!$A$2:$A$1801,0)),0)</f>
        <v/>
      </c>
      <c r="N739" s="25">
        <f>IFERROR(INDEX(Produtos!$B$2:$B$71,MATCH(C739,Produtos!$A$2:$A$71,0)),"")</f>
        <v/>
      </c>
      <c r="O739" s="25">
        <f>IFERROR(INDEX(Produtos!$C$2:$C$71,MATCH(C739,Produtos!$A$2:$A$71,0)),"")</f>
        <v/>
      </c>
      <c r="P739" s="25">
        <f>IFERROR(INDEX(Produtos!$D$2:$D$71,MATCH(C739,Produtos!$A$2:$A$71,0)),0)</f>
        <v/>
      </c>
      <c r="Q739" s="25">
        <f>IFERROR(INDEX(Produtos!$E$2:$E$71,MATCH(C739,Produtos!$A$2:$A$71,0)),0)</f>
        <v/>
      </c>
      <c r="R739" s="27">
        <f>D739*Q739</f>
        <v/>
      </c>
      <c r="S739" s="27">
        <f>R739*E739</f>
        <v/>
      </c>
      <c r="T739" s="27">
        <f>(R739-S739)*M739</f>
        <v/>
      </c>
      <c r="U739" s="27">
        <f>R739-S739-T739</f>
        <v/>
      </c>
      <c r="V739" s="27">
        <f>D739*P739</f>
        <v/>
      </c>
      <c r="W739" s="27">
        <f>U739-V739</f>
        <v/>
      </c>
      <c r="X739" s="28">
        <f>IFERROR(W739/U739,0)</f>
        <v/>
      </c>
    </row>
    <row r="740">
      <c r="A740" s="21">
        <f>ItensPedido!A740</f>
        <v/>
      </c>
      <c r="B740" s="21">
        <f>ItensPedido!B740</f>
        <v/>
      </c>
      <c r="C740" s="21">
        <f>ItensPedido!C740</f>
        <v/>
      </c>
      <c r="D740" s="21">
        <f>ItensPedido!D740</f>
        <v/>
      </c>
      <c r="E740" s="22">
        <f>ItensPedido!E740</f>
        <v/>
      </c>
      <c r="F740" s="21">
        <f>IFERROR(INDEX(Pedidos!$B$2:$B$1801,MATCH(B740,Pedidos!$A$2:$A$1801,0)),0)</f>
        <v/>
      </c>
      <c r="G740" s="21">
        <f>IF(F740=0,"",YEAR(F740))</f>
        <v/>
      </c>
      <c r="H740" s="21">
        <f>IF(F740=0,"",MONTH(F740))</f>
        <v/>
      </c>
      <c r="I740" s="21">
        <f>IFERROR(INDEX(Pedidos!$E$2:$E$1801,MATCH(B740,Pedidos!$A$2:$A$1801,0)),"")</f>
        <v/>
      </c>
      <c r="J740" s="21">
        <f>IFERROR(INDEX(Pedidos!$C$2:$C$1801,MATCH(B740,Pedidos!$A$2:$A$1801,0)),"")</f>
        <v/>
      </c>
      <c r="K740" s="21">
        <f>IFERROR(INDEX(Pedidos!$D$2:$D$1801,MATCH(B740,Pedidos!$A$2:$A$1801,0)),"")</f>
        <v/>
      </c>
      <c r="L740" s="21">
        <f>IFERROR(INDEX(Pedidos!$F$2:$F$1801,MATCH(B740,Pedidos!$A$2:$A$1801,0)),"")</f>
        <v/>
      </c>
      <c r="M740" s="22">
        <f>IFERROR(INDEX(Pedidos!$G$2:$G$1801,MATCH(B740,Pedidos!$A$2:$A$1801,0)),0)</f>
        <v/>
      </c>
      <c r="N740" s="21">
        <f>IFERROR(INDEX(Produtos!$B$2:$B$71,MATCH(C740,Produtos!$A$2:$A$71,0)),"")</f>
        <v/>
      </c>
      <c r="O740" s="21">
        <f>IFERROR(INDEX(Produtos!$C$2:$C$71,MATCH(C740,Produtos!$A$2:$A$71,0)),"")</f>
        <v/>
      </c>
      <c r="P740" s="21">
        <f>IFERROR(INDEX(Produtos!$D$2:$D$71,MATCH(C740,Produtos!$A$2:$A$71,0)),0)</f>
        <v/>
      </c>
      <c r="Q740" s="21">
        <f>IFERROR(INDEX(Produtos!$E$2:$E$71,MATCH(C740,Produtos!$A$2:$A$71,0)),0)</f>
        <v/>
      </c>
      <c r="R740" s="23">
        <f>D740*Q740</f>
        <v/>
      </c>
      <c r="S740" s="23">
        <f>R740*E740</f>
        <v/>
      </c>
      <c r="T740" s="23">
        <f>(R740-S740)*M740</f>
        <v/>
      </c>
      <c r="U740" s="23">
        <f>R740-S740-T740</f>
        <v/>
      </c>
      <c r="V740" s="23">
        <f>D740*P740</f>
        <v/>
      </c>
      <c r="W740" s="23">
        <f>U740-V740</f>
        <v/>
      </c>
      <c r="X740" s="24">
        <f>IFERROR(W740/U740,0)</f>
        <v/>
      </c>
    </row>
    <row r="741">
      <c r="A741" s="25">
        <f>ItensPedido!A741</f>
        <v/>
      </c>
      <c r="B741" s="25">
        <f>ItensPedido!B741</f>
        <v/>
      </c>
      <c r="C741" s="25">
        <f>ItensPedido!C741</f>
        <v/>
      </c>
      <c r="D741" s="25">
        <f>ItensPedido!D741</f>
        <v/>
      </c>
      <c r="E741" s="26">
        <f>ItensPedido!E741</f>
        <v/>
      </c>
      <c r="F741" s="25">
        <f>IFERROR(INDEX(Pedidos!$B$2:$B$1801,MATCH(B741,Pedidos!$A$2:$A$1801,0)),0)</f>
        <v/>
      </c>
      <c r="G741" s="25">
        <f>IF(F741=0,"",YEAR(F741))</f>
        <v/>
      </c>
      <c r="H741" s="25">
        <f>IF(F741=0,"",MONTH(F741))</f>
        <v/>
      </c>
      <c r="I741" s="25">
        <f>IFERROR(INDEX(Pedidos!$E$2:$E$1801,MATCH(B741,Pedidos!$A$2:$A$1801,0)),"")</f>
        <v/>
      </c>
      <c r="J741" s="25">
        <f>IFERROR(INDEX(Pedidos!$C$2:$C$1801,MATCH(B741,Pedidos!$A$2:$A$1801,0)),"")</f>
        <v/>
      </c>
      <c r="K741" s="25">
        <f>IFERROR(INDEX(Pedidos!$D$2:$D$1801,MATCH(B741,Pedidos!$A$2:$A$1801,0)),"")</f>
        <v/>
      </c>
      <c r="L741" s="25">
        <f>IFERROR(INDEX(Pedidos!$F$2:$F$1801,MATCH(B741,Pedidos!$A$2:$A$1801,0)),"")</f>
        <v/>
      </c>
      <c r="M741" s="26">
        <f>IFERROR(INDEX(Pedidos!$G$2:$G$1801,MATCH(B741,Pedidos!$A$2:$A$1801,0)),0)</f>
        <v/>
      </c>
      <c r="N741" s="25">
        <f>IFERROR(INDEX(Produtos!$B$2:$B$71,MATCH(C741,Produtos!$A$2:$A$71,0)),"")</f>
        <v/>
      </c>
      <c r="O741" s="25">
        <f>IFERROR(INDEX(Produtos!$C$2:$C$71,MATCH(C741,Produtos!$A$2:$A$71,0)),"")</f>
        <v/>
      </c>
      <c r="P741" s="25">
        <f>IFERROR(INDEX(Produtos!$D$2:$D$71,MATCH(C741,Produtos!$A$2:$A$71,0)),0)</f>
        <v/>
      </c>
      <c r="Q741" s="25">
        <f>IFERROR(INDEX(Produtos!$E$2:$E$71,MATCH(C741,Produtos!$A$2:$A$71,0)),0)</f>
        <v/>
      </c>
      <c r="R741" s="27">
        <f>D741*Q741</f>
        <v/>
      </c>
      <c r="S741" s="27">
        <f>R741*E741</f>
        <v/>
      </c>
      <c r="T741" s="27">
        <f>(R741-S741)*M741</f>
        <v/>
      </c>
      <c r="U741" s="27">
        <f>R741-S741-T741</f>
        <v/>
      </c>
      <c r="V741" s="27">
        <f>D741*P741</f>
        <v/>
      </c>
      <c r="W741" s="27">
        <f>U741-V741</f>
        <v/>
      </c>
      <c r="X741" s="28">
        <f>IFERROR(W741/U741,0)</f>
        <v/>
      </c>
    </row>
    <row r="742">
      <c r="A742" s="21">
        <f>ItensPedido!A742</f>
        <v/>
      </c>
      <c r="B742" s="21">
        <f>ItensPedido!B742</f>
        <v/>
      </c>
      <c r="C742" s="21">
        <f>ItensPedido!C742</f>
        <v/>
      </c>
      <c r="D742" s="21">
        <f>ItensPedido!D742</f>
        <v/>
      </c>
      <c r="E742" s="22">
        <f>ItensPedido!E742</f>
        <v/>
      </c>
      <c r="F742" s="21">
        <f>IFERROR(INDEX(Pedidos!$B$2:$B$1801,MATCH(B742,Pedidos!$A$2:$A$1801,0)),0)</f>
        <v/>
      </c>
      <c r="G742" s="21">
        <f>IF(F742=0,"",YEAR(F742))</f>
        <v/>
      </c>
      <c r="H742" s="21">
        <f>IF(F742=0,"",MONTH(F742))</f>
        <v/>
      </c>
      <c r="I742" s="21">
        <f>IFERROR(INDEX(Pedidos!$E$2:$E$1801,MATCH(B742,Pedidos!$A$2:$A$1801,0)),"")</f>
        <v/>
      </c>
      <c r="J742" s="21">
        <f>IFERROR(INDEX(Pedidos!$C$2:$C$1801,MATCH(B742,Pedidos!$A$2:$A$1801,0)),"")</f>
        <v/>
      </c>
      <c r="K742" s="21">
        <f>IFERROR(INDEX(Pedidos!$D$2:$D$1801,MATCH(B742,Pedidos!$A$2:$A$1801,0)),"")</f>
        <v/>
      </c>
      <c r="L742" s="21">
        <f>IFERROR(INDEX(Pedidos!$F$2:$F$1801,MATCH(B742,Pedidos!$A$2:$A$1801,0)),"")</f>
        <v/>
      </c>
      <c r="M742" s="22">
        <f>IFERROR(INDEX(Pedidos!$G$2:$G$1801,MATCH(B742,Pedidos!$A$2:$A$1801,0)),0)</f>
        <v/>
      </c>
      <c r="N742" s="21">
        <f>IFERROR(INDEX(Produtos!$B$2:$B$71,MATCH(C742,Produtos!$A$2:$A$71,0)),"")</f>
        <v/>
      </c>
      <c r="O742" s="21">
        <f>IFERROR(INDEX(Produtos!$C$2:$C$71,MATCH(C742,Produtos!$A$2:$A$71,0)),"")</f>
        <v/>
      </c>
      <c r="P742" s="21">
        <f>IFERROR(INDEX(Produtos!$D$2:$D$71,MATCH(C742,Produtos!$A$2:$A$71,0)),0)</f>
        <v/>
      </c>
      <c r="Q742" s="21">
        <f>IFERROR(INDEX(Produtos!$E$2:$E$71,MATCH(C742,Produtos!$A$2:$A$71,0)),0)</f>
        <v/>
      </c>
      <c r="R742" s="23">
        <f>D742*Q742</f>
        <v/>
      </c>
      <c r="S742" s="23">
        <f>R742*E742</f>
        <v/>
      </c>
      <c r="T742" s="23">
        <f>(R742-S742)*M742</f>
        <v/>
      </c>
      <c r="U742" s="23">
        <f>R742-S742-T742</f>
        <v/>
      </c>
      <c r="V742" s="23">
        <f>D742*P742</f>
        <v/>
      </c>
      <c r="W742" s="23">
        <f>U742-V742</f>
        <v/>
      </c>
      <c r="X742" s="24">
        <f>IFERROR(W742/U742,0)</f>
        <v/>
      </c>
    </row>
    <row r="743">
      <c r="A743" s="25">
        <f>ItensPedido!A743</f>
        <v/>
      </c>
      <c r="B743" s="25">
        <f>ItensPedido!B743</f>
        <v/>
      </c>
      <c r="C743" s="25">
        <f>ItensPedido!C743</f>
        <v/>
      </c>
      <c r="D743" s="25">
        <f>ItensPedido!D743</f>
        <v/>
      </c>
      <c r="E743" s="26">
        <f>ItensPedido!E743</f>
        <v/>
      </c>
      <c r="F743" s="25">
        <f>IFERROR(INDEX(Pedidos!$B$2:$B$1801,MATCH(B743,Pedidos!$A$2:$A$1801,0)),0)</f>
        <v/>
      </c>
      <c r="G743" s="25">
        <f>IF(F743=0,"",YEAR(F743))</f>
        <v/>
      </c>
      <c r="H743" s="25">
        <f>IF(F743=0,"",MONTH(F743))</f>
        <v/>
      </c>
      <c r="I743" s="25">
        <f>IFERROR(INDEX(Pedidos!$E$2:$E$1801,MATCH(B743,Pedidos!$A$2:$A$1801,0)),"")</f>
        <v/>
      </c>
      <c r="J743" s="25">
        <f>IFERROR(INDEX(Pedidos!$C$2:$C$1801,MATCH(B743,Pedidos!$A$2:$A$1801,0)),"")</f>
        <v/>
      </c>
      <c r="K743" s="25">
        <f>IFERROR(INDEX(Pedidos!$D$2:$D$1801,MATCH(B743,Pedidos!$A$2:$A$1801,0)),"")</f>
        <v/>
      </c>
      <c r="L743" s="25">
        <f>IFERROR(INDEX(Pedidos!$F$2:$F$1801,MATCH(B743,Pedidos!$A$2:$A$1801,0)),"")</f>
        <v/>
      </c>
      <c r="M743" s="26">
        <f>IFERROR(INDEX(Pedidos!$G$2:$G$1801,MATCH(B743,Pedidos!$A$2:$A$1801,0)),0)</f>
        <v/>
      </c>
      <c r="N743" s="25">
        <f>IFERROR(INDEX(Produtos!$B$2:$B$71,MATCH(C743,Produtos!$A$2:$A$71,0)),"")</f>
        <v/>
      </c>
      <c r="O743" s="25">
        <f>IFERROR(INDEX(Produtos!$C$2:$C$71,MATCH(C743,Produtos!$A$2:$A$71,0)),"")</f>
        <v/>
      </c>
      <c r="P743" s="25">
        <f>IFERROR(INDEX(Produtos!$D$2:$D$71,MATCH(C743,Produtos!$A$2:$A$71,0)),0)</f>
        <v/>
      </c>
      <c r="Q743" s="25">
        <f>IFERROR(INDEX(Produtos!$E$2:$E$71,MATCH(C743,Produtos!$A$2:$A$71,0)),0)</f>
        <v/>
      </c>
      <c r="R743" s="27">
        <f>D743*Q743</f>
        <v/>
      </c>
      <c r="S743" s="27">
        <f>R743*E743</f>
        <v/>
      </c>
      <c r="T743" s="27">
        <f>(R743-S743)*M743</f>
        <v/>
      </c>
      <c r="U743" s="27">
        <f>R743-S743-T743</f>
        <v/>
      </c>
      <c r="V743" s="27">
        <f>D743*P743</f>
        <v/>
      </c>
      <c r="W743" s="27">
        <f>U743-V743</f>
        <v/>
      </c>
      <c r="X743" s="28">
        <f>IFERROR(W743/U743,0)</f>
        <v/>
      </c>
    </row>
    <row r="744">
      <c r="A744" s="21">
        <f>ItensPedido!A744</f>
        <v/>
      </c>
      <c r="B744" s="21">
        <f>ItensPedido!B744</f>
        <v/>
      </c>
      <c r="C744" s="21">
        <f>ItensPedido!C744</f>
        <v/>
      </c>
      <c r="D744" s="21">
        <f>ItensPedido!D744</f>
        <v/>
      </c>
      <c r="E744" s="22">
        <f>ItensPedido!E744</f>
        <v/>
      </c>
      <c r="F744" s="21">
        <f>IFERROR(INDEX(Pedidos!$B$2:$B$1801,MATCH(B744,Pedidos!$A$2:$A$1801,0)),0)</f>
        <v/>
      </c>
      <c r="G744" s="21">
        <f>IF(F744=0,"",YEAR(F744))</f>
        <v/>
      </c>
      <c r="H744" s="21">
        <f>IF(F744=0,"",MONTH(F744))</f>
        <v/>
      </c>
      <c r="I744" s="21">
        <f>IFERROR(INDEX(Pedidos!$E$2:$E$1801,MATCH(B744,Pedidos!$A$2:$A$1801,0)),"")</f>
        <v/>
      </c>
      <c r="J744" s="21">
        <f>IFERROR(INDEX(Pedidos!$C$2:$C$1801,MATCH(B744,Pedidos!$A$2:$A$1801,0)),"")</f>
        <v/>
      </c>
      <c r="K744" s="21">
        <f>IFERROR(INDEX(Pedidos!$D$2:$D$1801,MATCH(B744,Pedidos!$A$2:$A$1801,0)),"")</f>
        <v/>
      </c>
      <c r="L744" s="21">
        <f>IFERROR(INDEX(Pedidos!$F$2:$F$1801,MATCH(B744,Pedidos!$A$2:$A$1801,0)),"")</f>
        <v/>
      </c>
      <c r="M744" s="22">
        <f>IFERROR(INDEX(Pedidos!$G$2:$G$1801,MATCH(B744,Pedidos!$A$2:$A$1801,0)),0)</f>
        <v/>
      </c>
      <c r="N744" s="21">
        <f>IFERROR(INDEX(Produtos!$B$2:$B$71,MATCH(C744,Produtos!$A$2:$A$71,0)),"")</f>
        <v/>
      </c>
      <c r="O744" s="21">
        <f>IFERROR(INDEX(Produtos!$C$2:$C$71,MATCH(C744,Produtos!$A$2:$A$71,0)),"")</f>
        <v/>
      </c>
      <c r="P744" s="21">
        <f>IFERROR(INDEX(Produtos!$D$2:$D$71,MATCH(C744,Produtos!$A$2:$A$71,0)),0)</f>
        <v/>
      </c>
      <c r="Q744" s="21">
        <f>IFERROR(INDEX(Produtos!$E$2:$E$71,MATCH(C744,Produtos!$A$2:$A$71,0)),0)</f>
        <v/>
      </c>
      <c r="R744" s="23">
        <f>D744*Q744</f>
        <v/>
      </c>
      <c r="S744" s="23">
        <f>R744*E744</f>
        <v/>
      </c>
      <c r="T744" s="23">
        <f>(R744-S744)*M744</f>
        <v/>
      </c>
      <c r="U744" s="23">
        <f>R744-S744-T744</f>
        <v/>
      </c>
      <c r="V744" s="23">
        <f>D744*P744</f>
        <v/>
      </c>
      <c r="W744" s="23">
        <f>U744-V744</f>
        <v/>
      </c>
      <c r="X744" s="24">
        <f>IFERROR(W744/U744,0)</f>
        <v/>
      </c>
    </row>
    <row r="745">
      <c r="A745" s="25">
        <f>ItensPedido!A745</f>
        <v/>
      </c>
      <c r="B745" s="25">
        <f>ItensPedido!B745</f>
        <v/>
      </c>
      <c r="C745" s="25">
        <f>ItensPedido!C745</f>
        <v/>
      </c>
      <c r="D745" s="25">
        <f>ItensPedido!D745</f>
        <v/>
      </c>
      <c r="E745" s="26">
        <f>ItensPedido!E745</f>
        <v/>
      </c>
      <c r="F745" s="25">
        <f>IFERROR(INDEX(Pedidos!$B$2:$B$1801,MATCH(B745,Pedidos!$A$2:$A$1801,0)),0)</f>
        <v/>
      </c>
      <c r="G745" s="25">
        <f>IF(F745=0,"",YEAR(F745))</f>
        <v/>
      </c>
      <c r="H745" s="25">
        <f>IF(F745=0,"",MONTH(F745))</f>
        <v/>
      </c>
      <c r="I745" s="25">
        <f>IFERROR(INDEX(Pedidos!$E$2:$E$1801,MATCH(B745,Pedidos!$A$2:$A$1801,0)),"")</f>
        <v/>
      </c>
      <c r="J745" s="25">
        <f>IFERROR(INDEX(Pedidos!$C$2:$C$1801,MATCH(B745,Pedidos!$A$2:$A$1801,0)),"")</f>
        <v/>
      </c>
      <c r="K745" s="25">
        <f>IFERROR(INDEX(Pedidos!$D$2:$D$1801,MATCH(B745,Pedidos!$A$2:$A$1801,0)),"")</f>
        <v/>
      </c>
      <c r="L745" s="25">
        <f>IFERROR(INDEX(Pedidos!$F$2:$F$1801,MATCH(B745,Pedidos!$A$2:$A$1801,0)),"")</f>
        <v/>
      </c>
      <c r="M745" s="26">
        <f>IFERROR(INDEX(Pedidos!$G$2:$G$1801,MATCH(B745,Pedidos!$A$2:$A$1801,0)),0)</f>
        <v/>
      </c>
      <c r="N745" s="25">
        <f>IFERROR(INDEX(Produtos!$B$2:$B$71,MATCH(C745,Produtos!$A$2:$A$71,0)),"")</f>
        <v/>
      </c>
      <c r="O745" s="25">
        <f>IFERROR(INDEX(Produtos!$C$2:$C$71,MATCH(C745,Produtos!$A$2:$A$71,0)),"")</f>
        <v/>
      </c>
      <c r="P745" s="25">
        <f>IFERROR(INDEX(Produtos!$D$2:$D$71,MATCH(C745,Produtos!$A$2:$A$71,0)),0)</f>
        <v/>
      </c>
      <c r="Q745" s="25">
        <f>IFERROR(INDEX(Produtos!$E$2:$E$71,MATCH(C745,Produtos!$A$2:$A$71,0)),0)</f>
        <v/>
      </c>
      <c r="R745" s="27">
        <f>D745*Q745</f>
        <v/>
      </c>
      <c r="S745" s="27">
        <f>R745*E745</f>
        <v/>
      </c>
      <c r="T745" s="27">
        <f>(R745-S745)*M745</f>
        <v/>
      </c>
      <c r="U745" s="27">
        <f>R745-S745-T745</f>
        <v/>
      </c>
      <c r="V745" s="27">
        <f>D745*P745</f>
        <v/>
      </c>
      <c r="W745" s="27">
        <f>U745-V745</f>
        <v/>
      </c>
      <c r="X745" s="28">
        <f>IFERROR(W745/U745,0)</f>
        <v/>
      </c>
    </row>
    <row r="746">
      <c r="A746" s="21">
        <f>ItensPedido!A746</f>
        <v/>
      </c>
      <c r="B746" s="21">
        <f>ItensPedido!B746</f>
        <v/>
      </c>
      <c r="C746" s="21">
        <f>ItensPedido!C746</f>
        <v/>
      </c>
      <c r="D746" s="21">
        <f>ItensPedido!D746</f>
        <v/>
      </c>
      <c r="E746" s="22">
        <f>ItensPedido!E746</f>
        <v/>
      </c>
      <c r="F746" s="21">
        <f>IFERROR(INDEX(Pedidos!$B$2:$B$1801,MATCH(B746,Pedidos!$A$2:$A$1801,0)),0)</f>
        <v/>
      </c>
      <c r="G746" s="21">
        <f>IF(F746=0,"",YEAR(F746))</f>
        <v/>
      </c>
      <c r="H746" s="21">
        <f>IF(F746=0,"",MONTH(F746))</f>
        <v/>
      </c>
      <c r="I746" s="21">
        <f>IFERROR(INDEX(Pedidos!$E$2:$E$1801,MATCH(B746,Pedidos!$A$2:$A$1801,0)),"")</f>
        <v/>
      </c>
      <c r="J746" s="21">
        <f>IFERROR(INDEX(Pedidos!$C$2:$C$1801,MATCH(B746,Pedidos!$A$2:$A$1801,0)),"")</f>
        <v/>
      </c>
      <c r="K746" s="21">
        <f>IFERROR(INDEX(Pedidos!$D$2:$D$1801,MATCH(B746,Pedidos!$A$2:$A$1801,0)),"")</f>
        <v/>
      </c>
      <c r="L746" s="21">
        <f>IFERROR(INDEX(Pedidos!$F$2:$F$1801,MATCH(B746,Pedidos!$A$2:$A$1801,0)),"")</f>
        <v/>
      </c>
      <c r="M746" s="22">
        <f>IFERROR(INDEX(Pedidos!$G$2:$G$1801,MATCH(B746,Pedidos!$A$2:$A$1801,0)),0)</f>
        <v/>
      </c>
      <c r="N746" s="21">
        <f>IFERROR(INDEX(Produtos!$B$2:$B$71,MATCH(C746,Produtos!$A$2:$A$71,0)),"")</f>
        <v/>
      </c>
      <c r="O746" s="21">
        <f>IFERROR(INDEX(Produtos!$C$2:$C$71,MATCH(C746,Produtos!$A$2:$A$71,0)),"")</f>
        <v/>
      </c>
      <c r="P746" s="21">
        <f>IFERROR(INDEX(Produtos!$D$2:$D$71,MATCH(C746,Produtos!$A$2:$A$71,0)),0)</f>
        <v/>
      </c>
      <c r="Q746" s="21">
        <f>IFERROR(INDEX(Produtos!$E$2:$E$71,MATCH(C746,Produtos!$A$2:$A$71,0)),0)</f>
        <v/>
      </c>
      <c r="R746" s="23">
        <f>D746*Q746</f>
        <v/>
      </c>
      <c r="S746" s="23">
        <f>R746*E746</f>
        <v/>
      </c>
      <c r="T746" s="23">
        <f>(R746-S746)*M746</f>
        <v/>
      </c>
      <c r="U746" s="23">
        <f>R746-S746-T746</f>
        <v/>
      </c>
      <c r="V746" s="23">
        <f>D746*P746</f>
        <v/>
      </c>
      <c r="W746" s="23">
        <f>U746-V746</f>
        <v/>
      </c>
      <c r="X746" s="24">
        <f>IFERROR(W746/U746,0)</f>
        <v/>
      </c>
    </row>
    <row r="747">
      <c r="A747" s="25">
        <f>ItensPedido!A747</f>
        <v/>
      </c>
      <c r="B747" s="25">
        <f>ItensPedido!B747</f>
        <v/>
      </c>
      <c r="C747" s="25">
        <f>ItensPedido!C747</f>
        <v/>
      </c>
      <c r="D747" s="25">
        <f>ItensPedido!D747</f>
        <v/>
      </c>
      <c r="E747" s="26">
        <f>ItensPedido!E747</f>
        <v/>
      </c>
      <c r="F747" s="25">
        <f>IFERROR(INDEX(Pedidos!$B$2:$B$1801,MATCH(B747,Pedidos!$A$2:$A$1801,0)),0)</f>
        <v/>
      </c>
      <c r="G747" s="25">
        <f>IF(F747=0,"",YEAR(F747))</f>
        <v/>
      </c>
      <c r="H747" s="25">
        <f>IF(F747=0,"",MONTH(F747))</f>
        <v/>
      </c>
      <c r="I747" s="25">
        <f>IFERROR(INDEX(Pedidos!$E$2:$E$1801,MATCH(B747,Pedidos!$A$2:$A$1801,0)),"")</f>
        <v/>
      </c>
      <c r="J747" s="25">
        <f>IFERROR(INDEX(Pedidos!$C$2:$C$1801,MATCH(B747,Pedidos!$A$2:$A$1801,0)),"")</f>
        <v/>
      </c>
      <c r="K747" s="25">
        <f>IFERROR(INDEX(Pedidos!$D$2:$D$1801,MATCH(B747,Pedidos!$A$2:$A$1801,0)),"")</f>
        <v/>
      </c>
      <c r="L747" s="25">
        <f>IFERROR(INDEX(Pedidos!$F$2:$F$1801,MATCH(B747,Pedidos!$A$2:$A$1801,0)),"")</f>
        <v/>
      </c>
      <c r="M747" s="26">
        <f>IFERROR(INDEX(Pedidos!$G$2:$G$1801,MATCH(B747,Pedidos!$A$2:$A$1801,0)),0)</f>
        <v/>
      </c>
      <c r="N747" s="25">
        <f>IFERROR(INDEX(Produtos!$B$2:$B$71,MATCH(C747,Produtos!$A$2:$A$71,0)),"")</f>
        <v/>
      </c>
      <c r="O747" s="25">
        <f>IFERROR(INDEX(Produtos!$C$2:$C$71,MATCH(C747,Produtos!$A$2:$A$71,0)),"")</f>
        <v/>
      </c>
      <c r="P747" s="25">
        <f>IFERROR(INDEX(Produtos!$D$2:$D$71,MATCH(C747,Produtos!$A$2:$A$71,0)),0)</f>
        <v/>
      </c>
      <c r="Q747" s="25">
        <f>IFERROR(INDEX(Produtos!$E$2:$E$71,MATCH(C747,Produtos!$A$2:$A$71,0)),0)</f>
        <v/>
      </c>
      <c r="R747" s="27">
        <f>D747*Q747</f>
        <v/>
      </c>
      <c r="S747" s="27">
        <f>R747*E747</f>
        <v/>
      </c>
      <c r="T747" s="27">
        <f>(R747-S747)*M747</f>
        <v/>
      </c>
      <c r="U747" s="27">
        <f>R747-S747-T747</f>
        <v/>
      </c>
      <c r="V747" s="27">
        <f>D747*P747</f>
        <v/>
      </c>
      <c r="W747" s="27">
        <f>U747-V747</f>
        <v/>
      </c>
      <c r="X747" s="28">
        <f>IFERROR(W747/U747,0)</f>
        <v/>
      </c>
    </row>
    <row r="748">
      <c r="A748" s="21">
        <f>ItensPedido!A748</f>
        <v/>
      </c>
      <c r="B748" s="21">
        <f>ItensPedido!B748</f>
        <v/>
      </c>
      <c r="C748" s="21">
        <f>ItensPedido!C748</f>
        <v/>
      </c>
      <c r="D748" s="21">
        <f>ItensPedido!D748</f>
        <v/>
      </c>
      <c r="E748" s="22">
        <f>ItensPedido!E748</f>
        <v/>
      </c>
      <c r="F748" s="21">
        <f>IFERROR(INDEX(Pedidos!$B$2:$B$1801,MATCH(B748,Pedidos!$A$2:$A$1801,0)),0)</f>
        <v/>
      </c>
      <c r="G748" s="21">
        <f>IF(F748=0,"",YEAR(F748))</f>
        <v/>
      </c>
      <c r="H748" s="21">
        <f>IF(F748=0,"",MONTH(F748))</f>
        <v/>
      </c>
      <c r="I748" s="21">
        <f>IFERROR(INDEX(Pedidos!$E$2:$E$1801,MATCH(B748,Pedidos!$A$2:$A$1801,0)),"")</f>
        <v/>
      </c>
      <c r="J748" s="21">
        <f>IFERROR(INDEX(Pedidos!$C$2:$C$1801,MATCH(B748,Pedidos!$A$2:$A$1801,0)),"")</f>
        <v/>
      </c>
      <c r="K748" s="21">
        <f>IFERROR(INDEX(Pedidos!$D$2:$D$1801,MATCH(B748,Pedidos!$A$2:$A$1801,0)),"")</f>
        <v/>
      </c>
      <c r="L748" s="21">
        <f>IFERROR(INDEX(Pedidos!$F$2:$F$1801,MATCH(B748,Pedidos!$A$2:$A$1801,0)),"")</f>
        <v/>
      </c>
      <c r="M748" s="22">
        <f>IFERROR(INDEX(Pedidos!$G$2:$G$1801,MATCH(B748,Pedidos!$A$2:$A$1801,0)),0)</f>
        <v/>
      </c>
      <c r="N748" s="21">
        <f>IFERROR(INDEX(Produtos!$B$2:$B$71,MATCH(C748,Produtos!$A$2:$A$71,0)),"")</f>
        <v/>
      </c>
      <c r="O748" s="21">
        <f>IFERROR(INDEX(Produtos!$C$2:$C$71,MATCH(C748,Produtos!$A$2:$A$71,0)),"")</f>
        <v/>
      </c>
      <c r="P748" s="21">
        <f>IFERROR(INDEX(Produtos!$D$2:$D$71,MATCH(C748,Produtos!$A$2:$A$71,0)),0)</f>
        <v/>
      </c>
      <c r="Q748" s="21">
        <f>IFERROR(INDEX(Produtos!$E$2:$E$71,MATCH(C748,Produtos!$A$2:$A$71,0)),0)</f>
        <v/>
      </c>
      <c r="R748" s="23">
        <f>D748*Q748</f>
        <v/>
      </c>
      <c r="S748" s="23">
        <f>R748*E748</f>
        <v/>
      </c>
      <c r="T748" s="23">
        <f>(R748-S748)*M748</f>
        <v/>
      </c>
      <c r="U748" s="23">
        <f>R748-S748-T748</f>
        <v/>
      </c>
      <c r="V748" s="23">
        <f>D748*P748</f>
        <v/>
      </c>
      <c r="W748" s="23">
        <f>U748-V748</f>
        <v/>
      </c>
      <c r="X748" s="24">
        <f>IFERROR(W748/U748,0)</f>
        <v/>
      </c>
    </row>
    <row r="749">
      <c r="A749" s="25">
        <f>ItensPedido!A749</f>
        <v/>
      </c>
      <c r="B749" s="25">
        <f>ItensPedido!B749</f>
        <v/>
      </c>
      <c r="C749" s="25">
        <f>ItensPedido!C749</f>
        <v/>
      </c>
      <c r="D749" s="25">
        <f>ItensPedido!D749</f>
        <v/>
      </c>
      <c r="E749" s="26">
        <f>ItensPedido!E749</f>
        <v/>
      </c>
      <c r="F749" s="25">
        <f>IFERROR(INDEX(Pedidos!$B$2:$B$1801,MATCH(B749,Pedidos!$A$2:$A$1801,0)),0)</f>
        <v/>
      </c>
      <c r="G749" s="25">
        <f>IF(F749=0,"",YEAR(F749))</f>
        <v/>
      </c>
      <c r="H749" s="25">
        <f>IF(F749=0,"",MONTH(F749))</f>
        <v/>
      </c>
      <c r="I749" s="25">
        <f>IFERROR(INDEX(Pedidos!$E$2:$E$1801,MATCH(B749,Pedidos!$A$2:$A$1801,0)),"")</f>
        <v/>
      </c>
      <c r="J749" s="25">
        <f>IFERROR(INDEX(Pedidos!$C$2:$C$1801,MATCH(B749,Pedidos!$A$2:$A$1801,0)),"")</f>
        <v/>
      </c>
      <c r="K749" s="25">
        <f>IFERROR(INDEX(Pedidos!$D$2:$D$1801,MATCH(B749,Pedidos!$A$2:$A$1801,0)),"")</f>
        <v/>
      </c>
      <c r="L749" s="25">
        <f>IFERROR(INDEX(Pedidos!$F$2:$F$1801,MATCH(B749,Pedidos!$A$2:$A$1801,0)),"")</f>
        <v/>
      </c>
      <c r="M749" s="26">
        <f>IFERROR(INDEX(Pedidos!$G$2:$G$1801,MATCH(B749,Pedidos!$A$2:$A$1801,0)),0)</f>
        <v/>
      </c>
      <c r="N749" s="25">
        <f>IFERROR(INDEX(Produtos!$B$2:$B$71,MATCH(C749,Produtos!$A$2:$A$71,0)),"")</f>
        <v/>
      </c>
      <c r="O749" s="25">
        <f>IFERROR(INDEX(Produtos!$C$2:$C$71,MATCH(C749,Produtos!$A$2:$A$71,0)),"")</f>
        <v/>
      </c>
      <c r="P749" s="25">
        <f>IFERROR(INDEX(Produtos!$D$2:$D$71,MATCH(C749,Produtos!$A$2:$A$71,0)),0)</f>
        <v/>
      </c>
      <c r="Q749" s="25">
        <f>IFERROR(INDEX(Produtos!$E$2:$E$71,MATCH(C749,Produtos!$A$2:$A$71,0)),0)</f>
        <v/>
      </c>
      <c r="R749" s="27">
        <f>D749*Q749</f>
        <v/>
      </c>
      <c r="S749" s="27">
        <f>R749*E749</f>
        <v/>
      </c>
      <c r="T749" s="27">
        <f>(R749-S749)*M749</f>
        <v/>
      </c>
      <c r="U749" s="27">
        <f>R749-S749-T749</f>
        <v/>
      </c>
      <c r="V749" s="27">
        <f>D749*P749</f>
        <v/>
      </c>
      <c r="W749" s="27">
        <f>U749-V749</f>
        <v/>
      </c>
      <c r="X749" s="28">
        <f>IFERROR(W749/U749,0)</f>
        <v/>
      </c>
    </row>
    <row r="750">
      <c r="A750" s="21">
        <f>ItensPedido!A750</f>
        <v/>
      </c>
      <c r="B750" s="21">
        <f>ItensPedido!B750</f>
        <v/>
      </c>
      <c r="C750" s="21">
        <f>ItensPedido!C750</f>
        <v/>
      </c>
      <c r="D750" s="21">
        <f>ItensPedido!D750</f>
        <v/>
      </c>
      <c r="E750" s="22">
        <f>ItensPedido!E750</f>
        <v/>
      </c>
      <c r="F750" s="21">
        <f>IFERROR(INDEX(Pedidos!$B$2:$B$1801,MATCH(B750,Pedidos!$A$2:$A$1801,0)),0)</f>
        <v/>
      </c>
      <c r="G750" s="21">
        <f>IF(F750=0,"",YEAR(F750))</f>
        <v/>
      </c>
      <c r="H750" s="21">
        <f>IF(F750=0,"",MONTH(F750))</f>
        <v/>
      </c>
      <c r="I750" s="21">
        <f>IFERROR(INDEX(Pedidos!$E$2:$E$1801,MATCH(B750,Pedidos!$A$2:$A$1801,0)),"")</f>
        <v/>
      </c>
      <c r="J750" s="21">
        <f>IFERROR(INDEX(Pedidos!$C$2:$C$1801,MATCH(B750,Pedidos!$A$2:$A$1801,0)),"")</f>
        <v/>
      </c>
      <c r="K750" s="21">
        <f>IFERROR(INDEX(Pedidos!$D$2:$D$1801,MATCH(B750,Pedidos!$A$2:$A$1801,0)),"")</f>
        <v/>
      </c>
      <c r="L750" s="21">
        <f>IFERROR(INDEX(Pedidos!$F$2:$F$1801,MATCH(B750,Pedidos!$A$2:$A$1801,0)),"")</f>
        <v/>
      </c>
      <c r="M750" s="22">
        <f>IFERROR(INDEX(Pedidos!$G$2:$G$1801,MATCH(B750,Pedidos!$A$2:$A$1801,0)),0)</f>
        <v/>
      </c>
      <c r="N750" s="21">
        <f>IFERROR(INDEX(Produtos!$B$2:$B$71,MATCH(C750,Produtos!$A$2:$A$71,0)),"")</f>
        <v/>
      </c>
      <c r="O750" s="21">
        <f>IFERROR(INDEX(Produtos!$C$2:$C$71,MATCH(C750,Produtos!$A$2:$A$71,0)),"")</f>
        <v/>
      </c>
      <c r="P750" s="21">
        <f>IFERROR(INDEX(Produtos!$D$2:$D$71,MATCH(C750,Produtos!$A$2:$A$71,0)),0)</f>
        <v/>
      </c>
      <c r="Q750" s="21">
        <f>IFERROR(INDEX(Produtos!$E$2:$E$71,MATCH(C750,Produtos!$A$2:$A$71,0)),0)</f>
        <v/>
      </c>
      <c r="R750" s="23">
        <f>D750*Q750</f>
        <v/>
      </c>
      <c r="S750" s="23">
        <f>R750*E750</f>
        <v/>
      </c>
      <c r="T750" s="23">
        <f>(R750-S750)*M750</f>
        <v/>
      </c>
      <c r="U750" s="23">
        <f>R750-S750-T750</f>
        <v/>
      </c>
      <c r="V750" s="23">
        <f>D750*P750</f>
        <v/>
      </c>
      <c r="W750" s="23">
        <f>U750-V750</f>
        <v/>
      </c>
      <c r="X750" s="24">
        <f>IFERROR(W750/U750,0)</f>
        <v/>
      </c>
    </row>
    <row r="751">
      <c r="A751" s="25">
        <f>ItensPedido!A751</f>
        <v/>
      </c>
      <c r="B751" s="25">
        <f>ItensPedido!B751</f>
        <v/>
      </c>
      <c r="C751" s="25">
        <f>ItensPedido!C751</f>
        <v/>
      </c>
      <c r="D751" s="25">
        <f>ItensPedido!D751</f>
        <v/>
      </c>
      <c r="E751" s="26">
        <f>ItensPedido!E751</f>
        <v/>
      </c>
      <c r="F751" s="25">
        <f>IFERROR(INDEX(Pedidos!$B$2:$B$1801,MATCH(B751,Pedidos!$A$2:$A$1801,0)),0)</f>
        <v/>
      </c>
      <c r="G751" s="25">
        <f>IF(F751=0,"",YEAR(F751))</f>
        <v/>
      </c>
      <c r="H751" s="25">
        <f>IF(F751=0,"",MONTH(F751))</f>
        <v/>
      </c>
      <c r="I751" s="25">
        <f>IFERROR(INDEX(Pedidos!$E$2:$E$1801,MATCH(B751,Pedidos!$A$2:$A$1801,0)),"")</f>
        <v/>
      </c>
      <c r="J751" s="25">
        <f>IFERROR(INDEX(Pedidos!$C$2:$C$1801,MATCH(B751,Pedidos!$A$2:$A$1801,0)),"")</f>
        <v/>
      </c>
      <c r="K751" s="25">
        <f>IFERROR(INDEX(Pedidos!$D$2:$D$1801,MATCH(B751,Pedidos!$A$2:$A$1801,0)),"")</f>
        <v/>
      </c>
      <c r="L751" s="25">
        <f>IFERROR(INDEX(Pedidos!$F$2:$F$1801,MATCH(B751,Pedidos!$A$2:$A$1801,0)),"")</f>
        <v/>
      </c>
      <c r="M751" s="26">
        <f>IFERROR(INDEX(Pedidos!$G$2:$G$1801,MATCH(B751,Pedidos!$A$2:$A$1801,0)),0)</f>
        <v/>
      </c>
      <c r="N751" s="25">
        <f>IFERROR(INDEX(Produtos!$B$2:$B$71,MATCH(C751,Produtos!$A$2:$A$71,0)),"")</f>
        <v/>
      </c>
      <c r="O751" s="25">
        <f>IFERROR(INDEX(Produtos!$C$2:$C$71,MATCH(C751,Produtos!$A$2:$A$71,0)),"")</f>
        <v/>
      </c>
      <c r="P751" s="25">
        <f>IFERROR(INDEX(Produtos!$D$2:$D$71,MATCH(C751,Produtos!$A$2:$A$71,0)),0)</f>
        <v/>
      </c>
      <c r="Q751" s="25">
        <f>IFERROR(INDEX(Produtos!$E$2:$E$71,MATCH(C751,Produtos!$A$2:$A$71,0)),0)</f>
        <v/>
      </c>
      <c r="R751" s="27">
        <f>D751*Q751</f>
        <v/>
      </c>
      <c r="S751" s="27">
        <f>R751*E751</f>
        <v/>
      </c>
      <c r="T751" s="27">
        <f>(R751-S751)*M751</f>
        <v/>
      </c>
      <c r="U751" s="27">
        <f>R751-S751-T751</f>
        <v/>
      </c>
      <c r="V751" s="27">
        <f>D751*P751</f>
        <v/>
      </c>
      <c r="W751" s="27">
        <f>U751-V751</f>
        <v/>
      </c>
      <c r="X751" s="28">
        <f>IFERROR(W751/U751,0)</f>
        <v/>
      </c>
    </row>
    <row r="752">
      <c r="A752" s="21">
        <f>ItensPedido!A752</f>
        <v/>
      </c>
      <c r="B752" s="21">
        <f>ItensPedido!B752</f>
        <v/>
      </c>
      <c r="C752" s="21">
        <f>ItensPedido!C752</f>
        <v/>
      </c>
      <c r="D752" s="21">
        <f>ItensPedido!D752</f>
        <v/>
      </c>
      <c r="E752" s="22">
        <f>ItensPedido!E752</f>
        <v/>
      </c>
      <c r="F752" s="21">
        <f>IFERROR(INDEX(Pedidos!$B$2:$B$1801,MATCH(B752,Pedidos!$A$2:$A$1801,0)),0)</f>
        <v/>
      </c>
      <c r="G752" s="21">
        <f>IF(F752=0,"",YEAR(F752))</f>
        <v/>
      </c>
      <c r="H752" s="21">
        <f>IF(F752=0,"",MONTH(F752))</f>
        <v/>
      </c>
      <c r="I752" s="21">
        <f>IFERROR(INDEX(Pedidos!$E$2:$E$1801,MATCH(B752,Pedidos!$A$2:$A$1801,0)),"")</f>
        <v/>
      </c>
      <c r="J752" s="21">
        <f>IFERROR(INDEX(Pedidos!$C$2:$C$1801,MATCH(B752,Pedidos!$A$2:$A$1801,0)),"")</f>
        <v/>
      </c>
      <c r="K752" s="21">
        <f>IFERROR(INDEX(Pedidos!$D$2:$D$1801,MATCH(B752,Pedidos!$A$2:$A$1801,0)),"")</f>
        <v/>
      </c>
      <c r="L752" s="21">
        <f>IFERROR(INDEX(Pedidos!$F$2:$F$1801,MATCH(B752,Pedidos!$A$2:$A$1801,0)),"")</f>
        <v/>
      </c>
      <c r="M752" s="22">
        <f>IFERROR(INDEX(Pedidos!$G$2:$G$1801,MATCH(B752,Pedidos!$A$2:$A$1801,0)),0)</f>
        <v/>
      </c>
      <c r="N752" s="21">
        <f>IFERROR(INDEX(Produtos!$B$2:$B$71,MATCH(C752,Produtos!$A$2:$A$71,0)),"")</f>
        <v/>
      </c>
      <c r="O752" s="21">
        <f>IFERROR(INDEX(Produtos!$C$2:$C$71,MATCH(C752,Produtos!$A$2:$A$71,0)),"")</f>
        <v/>
      </c>
      <c r="P752" s="21">
        <f>IFERROR(INDEX(Produtos!$D$2:$D$71,MATCH(C752,Produtos!$A$2:$A$71,0)),0)</f>
        <v/>
      </c>
      <c r="Q752" s="21">
        <f>IFERROR(INDEX(Produtos!$E$2:$E$71,MATCH(C752,Produtos!$A$2:$A$71,0)),0)</f>
        <v/>
      </c>
      <c r="R752" s="23">
        <f>D752*Q752</f>
        <v/>
      </c>
      <c r="S752" s="23">
        <f>R752*E752</f>
        <v/>
      </c>
      <c r="T752" s="23">
        <f>(R752-S752)*M752</f>
        <v/>
      </c>
      <c r="U752" s="23">
        <f>R752-S752-T752</f>
        <v/>
      </c>
      <c r="V752" s="23">
        <f>D752*P752</f>
        <v/>
      </c>
      <c r="W752" s="23">
        <f>U752-V752</f>
        <v/>
      </c>
      <c r="X752" s="24">
        <f>IFERROR(W752/U752,0)</f>
        <v/>
      </c>
    </row>
    <row r="753">
      <c r="A753" s="25">
        <f>ItensPedido!A753</f>
        <v/>
      </c>
      <c r="B753" s="25">
        <f>ItensPedido!B753</f>
        <v/>
      </c>
      <c r="C753" s="25">
        <f>ItensPedido!C753</f>
        <v/>
      </c>
      <c r="D753" s="25">
        <f>ItensPedido!D753</f>
        <v/>
      </c>
      <c r="E753" s="26">
        <f>ItensPedido!E753</f>
        <v/>
      </c>
      <c r="F753" s="25">
        <f>IFERROR(INDEX(Pedidos!$B$2:$B$1801,MATCH(B753,Pedidos!$A$2:$A$1801,0)),0)</f>
        <v/>
      </c>
      <c r="G753" s="25">
        <f>IF(F753=0,"",YEAR(F753))</f>
        <v/>
      </c>
      <c r="H753" s="25">
        <f>IF(F753=0,"",MONTH(F753))</f>
        <v/>
      </c>
      <c r="I753" s="25">
        <f>IFERROR(INDEX(Pedidos!$E$2:$E$1801,MATCH(B753,Pedidos!$A$2:$A$1801,0)),"")</f>
        <v/>
      </c>
      <c r="J753" s="25">
        <f>IFERROR(INDEX(Pedidos!$C$2:$C$1801,MATCH(B753,Pedidos!$A$2:$A$1801,0)),"")</f>
        <v/>
      </c>
      <c r="K753" s="25">
        <f>IFERROR(INDEX(Pedidos!$D$2:$D$1801,MATCH(B753,Pedidos!$A$2:$A$1801,0)),"")</f>
        <v/>
      </c>
      <c r="L753" s="25">
        <f>IFERROR(INDEX(Pedidos!$F$2:$F$1801,MATCH(B753,Pedidos!$A$2:$A$1801,0)),"")</f>
        <v/>
      </c>
      <c r="M753" s="26">
        <f>IFERROR(INDEX(Pedidos!$G$2:$G$1801,MATCH(B753,Pedidos!$A$2:$A$1801,0)),0)</f>
        <v/>
      </c>
      <c r="N753" s="25">
        <f>IFERROR(INDEX(Produtos!$B$2:$B$71,MATCH(C753,Produtos!$A$2:$A$71,0)),"")</f>
        <v/>
      </c>
      <c r="O753" s="25">
        <f>IFERROR(INDEX(Produtos!$C$2:$C$71,MATCH(C753,Produtos!$A$2:$A$71,0)),"")</f>
        <v/>
      </c>
      <c r="P753" s="25">
        <f>IFERROR(INDEX(Produtos!$D$2:$D$71,MATCH(C753,Produtos!$A$2:$A$71,0)),0)</f>
        <v/>
      </c>
      <c r="Q753" s="25">
        <f>IFERROR(INDEX(Produtos!$E$2:$E$71,MATCH(C753,Produtos!$A$2:$A$71,0)),0)</f>
        <v/>
      </c>
      <c r="R753" s="27">
        <f>D753*Q753</f>
        <v/>
      </c>
      <c r="S753" s="27">
        <f>R753*E753</f>
        <v/>
      </c>
      <c r="T753" s="27">
        <f>(R753-S753)*M753</f>
        <v/>
      </c>
      <c r="U753" s="27">
        <f>R753-S753-T753</f>
        <v/>
      </c>
      <c r="V753" s="27">
        <f>D753*P753</f>
        <v/>
      </c>
      <c r="W753" s="27">
        <f>U753-V753</f>
        <v/>
      </c>
      <c r="X753" s="28">
        <f>IFERROR(W753/U753,0)</f>
        <v/>
      </c>
    </row>
    <row r="754">
      <c r="A754" s="21">
        <f>ItensPedido!A754</f>
        <v/>
      </c>
      <c r="B754" s="21">
        <f>ItensPedido!B754</f>
        <v/>
      </c>
      <c r="C754" s="21">
        <f>ItensPedido!C754</f>
        <v/>
      </c>
      <c r="D754" s="21">
        <f>ItensPedido!D754</f>
        <v/>
      </c>
      <c r="E754" s="22">
        <f>ItensPedido!E754</f>
        <v/>
      </c>
      <c r="F754" s="21">
        <f>IFERROR(INDEX(Pedidos!$B$2:$B$1801,MATCH(B754,Pedidos!$A$2:$A$1801,0)),0)</f>
        <v/>
      </c>
      <c r="G754" s="21">
        <f>IF(F754=0,"",YEAR(F754))</f>
        <v/>
      </c>
      <c r="H754" s="21">
        <f>IF(F754=0,"",MONTH(F754))</f>
        <v/>
      </c>
      <c r="I754" s="21">
        <f>IFERROR(INDEX(Pedidos!$E$2:$E$1801,MATCH(B754,Pedidos!$A$2:$A$1801,0)),"")</f>
        <v/>
      </c>
      <c r="J754" s="21">
        <f>IFERROR(INDEX(Pedidos!$C$2:$C$1801,MATCH(B754,Pedidos!$A$2:$A$1801,0)),"")</f>
        <v/>
      </c>
      <c r="K754" s="21">
        <f>IFERROR(INDEX(Pedidos!$D$2:$D$1801,MATCH(B754,Pedidos!$A$2:$A$1801,0)),"")</f>
        <v/>
      </c>
      <c r="L754" s="21">
        <f>IFERROR(INDEX(Pedidos!$F$2:$F$1801,MATCH(B754,Pedidos!$A$2:$A$1801,0)),"")</f>
        <v/>
      </c>
      <c r="M754" s="22">
        <f>IFERROR(INDEX(Pedidos!$G$2:$G$1801,MATCH(B754,Pedidos!$A$2:$A$1801,0)),0)</f>
        <v/>
      </c>
      <c r="N754" s="21">
        <f>IFERROR(INDEX(Produtos!$B$2:$B$71,MATCH(C754,Produtos!$A$2:$A$71,0)),"")</f>
        <v/>
      </c>
      <c r="O754" s="21">
        <f>IFERROR(INDEX(Produtos!$C$2:$C$71,MATCH(C754,Produtos!$A$2:$A$71,0)),"")</f>
        <v/>
      </c>
      <c r="P754" s="21">
        <f>IFERROR(INDEX(Produtos!$D$2:$D$71,MATCH(C754,Produtos!$A$2:$A$71,0)),0)</f>
        <v/>
      </c>
      <c r="Q754" s="21">
        <f>IFERROR(INDEX(Produtos!$E$2:$E$71,MATCH(C754,Produtos!$A$2:$A$71,0)),0)</f>
        <v/>
      </c>
      <c r="R754" s="23">
        <f>D754*Q754</f>
        <v/>
      </c>
      <c r="S754" s="23">
        <f>R754*E754</f>
        <v/>
      </c>
      <c r="T754" s="23">
        <f>(R754-S754)*M754</f>
        <v/>
      </c>
      <c r="U754" s="23">
        <f>R754-S754-T754</f>
        <v/>
      </c>
      <c r="V754" s="23">
        <f>D754*P754</f>
        <v/>
      </c>
      <c r="W754" s="23">
        <f>U754-V754</f>
        <v/>
      </c>
      <c r="X754" s="24">
        <f>IFERROR(W754/U754,0)</f>
        <v/>
      </c>
    </row>
    <row r="755">
      <c r="A755" s="25">
        <f>ItensPedido!A755</f>
        <v/>
      </c>
      <c r="B755" s="25">
        <f>ItensPedido!B755</f>
        <v/>
      </c>
      <c r="C755" s="25">
        <f>ItensPedido!C755</f>
        <v/>
      </c>
      <c r="D755" s="25">
        <f>ItensPedido!D755</f>
        <v/>
      </c>
      <c r="E755" s="26">
        <f>ItensPedido!E755</f>
        <v/>
      </c>
      <c r="F755" s="25">
        <f>IFERROR(INDEX(Pedidos!$B$2:$B$1801,MATCH(B755,Pedidos!$A$2:$A$1801,0)),0)</f>
        <v/>
      </c>
      <c r="G755" s="25">
        <f>IF(F755=0,"",YEAR(F755))</f>
        <v/>
      </c>
      <c r="H755" s="25">
        <f>IF(F755=0,"",MONTH(F755))</f>
        <v/>
      </c>
      <c r="I755" s="25">
        <f>IFERROR(INDEX(Pedidos!$E$2:$E$1801,MATCH(B755,Pedidos!$A$2:$A$1801,0)),"")</f>
        <v/>
      </c>
      <c r="J755" s="25">
        <f>IFERROR(INDEX(Pedidos!$C$2:$C$1801,MATCH(B755,Pedidos!$A$2:$A$1801,0)),"")</f>
        <v/>
      </c>
      <c r="K755" s="25">
        <f>IFERROR(INDEX(Pedidos!$D$2:$D$1801,MATCH(B755,Pedidos!$A$2:$A$1801,0)),"")</f>
        <v/>
      </c>
      <c r="L755" s="25">
        <f>IFERROR(INDEX(Pedidos!$F$2:$F$1801,MATCH(B755,Pedidos!$A$2:$A$1801,0)),"")</f>
        <v/>
      </c>
      <c r="M755" s="26">
        <f>IFERROR(INDEX(Pedidos!$G$2:$G$1801,MATCH(B755,Pedidos!$A$2:$A$1801,0)),0)</f>
        <v/>
      </c>
      <c r="N755" s="25">
        <f>IFERROR(INDEX(Produtos!$B$2:$B$71,MATCH(C755,Produtos!$A$2:$A$71,0)),"")</f>
        <v/>
      </c>
      <c r="O755" s="25">
        <f>IFERROR(INDEX(Produtos!$C$2:$C$71,MATCH(C755,Produtos!$A$2:$A$71,0)),"")</f>
        <v/>
      </c>
      <c r="P755" s="25">
        <f>IFERROR(INDEX(Produtos!$D$2:$D$71,MATCH(C755,Produtos!$A$2:$A$71,0)),0)</f>
        <v/>
      </c>
      <c r="Q755" s="25">
        <f>IFERROR(INDEX(Produtos!$E$2:$E$71,MATCH(C755,Produtos!$A$2:$A$71,0)),0)</f>
        <v/>
      </c>
      <c r="R755" s="27">
        <f>D755*Q755</f>
        <v/>
      </c>
      <c r="S755" s="27">
        <f>R755*E755</f>
        <v/>
      </c>
      <c r="T755" s="27">
        <f>(R755-S755)*M755</f>
        <v/>
      </c>
      <c r="U755" s="27">
        <f>R755-S755-T755</f>
        <v/>
      </c>
      <c r="V755" s="27">
        <f>D755*P755</f>
        <v/>
      </c>
      <c r="W755" s="27">
        <f>U755-V755</f>
        <v/>
      </c>
      <c r="X755" s="28">
        <f>IFERROR(W755/U755,0)</f>
        <v/>
      </c>
    </row>
    <row r="756">
      <c r="A756" s="21">
        <f>ItensPedido!A756</f>
        <v/>
      </c>
      <c r="B756" s="21">
        <f>ItensPedido!B756</f>
        <v/>
      </c>
      <c r="C756" s="21">
        <f>ItensPedido!C756</f>
        <v/>
      </c>
      <c r="D756" s="21">
        <f>ItensPedido!D756</f>
        <v/>
      </c>
      <c r="E756" s="22">
        <f>ItensPedido!E756</f>
        <v/>
      </c>
      <c r="F756" s="21">
        <f>IFERROR(INDEX(Pedidos!$B$2:$B$1801,MATCH(B756,Pedidos!$A$2:$A$1801,0)),0)</f>
        <v/>
      </c>
      <c r="G756" s="21">
        <f>IF(F756=0,"",YEAR(F756))</f>
        <v/>
      </c>
      <c r="H756" s="21">
        <f>IF(F756=0,"",MONTH(F756))</f>
        <v/>
      </c>
      <c r="I756" s="21">
        <f>IFERROR(INDEX(Pedidos!$E$2:$E$1801,MATCH(B756,Pedidos!$A$2:$A$1801,0)),"")</f>
        <v/>
      </c>
      <c r="J756" s="21">
        <f>IFERROR(INDEX(Pedidos!$C$2:$C$1801,MATCH(B756,Pedidos!$A$2:$A$1801,0)),"")</f>
        <v/>
      </c>
      <c r="K756" s="21">
        <f>IFERROR(INDEX(Pedidos!$D$2:$D$1801,MATCH(B756,Pedidos!$A$2:$A$1801,0)),"")</f>
        <v/>
      </c>
      <c r="L756" s="21">
        <f>IFERROR(INDEX(Pedidos!$F$2:$F$1801,MATCH(B756,Pedidos!$A$2:$A$1801,0)),"")</f>
        <v/>
      </c>
      <c r="M756" s="22">
        <f>IFERROR(INDEX(Pedidos!$G$2:$G$1801,MATCH(B756,Pedidos!$A$2:$A$1801,0)),0)</f>
        <v/>
      </c>
      <c r="N756" s="21">
        <f>IFERROR(INDEX(Produtos!$B$2:$B$71,MATCH(C756,Produtos!$A$2:$A$71,0)),"")</f>
        <v/>
      </c>
      <c r="O756" s="21">
        <f>IFERROR(INDEX(Produtos!$C$2:$C$71,MATCH(C756,Produtos!$A$2:$A$71,0)),"")</f>
        <v/>
      </c>
      <c r="P756" s="21">
        <f>IFERROR(INDEX(Produtos!$D$2:$D$71,MATCH(C756,Produtos!$A$2:$A$71,0)),0)</f>
        <v/>
      </c>
      <c r="Q756" s="21">
        <f>IFERROR(INDEX(Produtos!$E$2:$E$71,MATCH(C756,Produtos!$A$2:$A$71,0)),0)</f>
        <v/>
      </c>
      <c r="R756" s="23">
        <f>D756*Q756</f>
        <v/>
      </c>
      <c r="S756" s="23">
        <f>R756*E756</f>
        <v/>
      </c>
      <c r="T756" s="23">
        <f>(R756-S756)*M756</f>
        <v/>
      </c>
      <c r="U756" s="23">
        <f>R756-S756-T756</f>
        <v/>
      </c>
      <c r="V756" s="23">
        <f>D756*P756</f>
        <v/>
      </c>
      <c r="W756" s="23">
        <f>U756-V756</f>
        <v/>
      </c>
      <c r="X756" s="24">
        <f>IFERROR(W756/U756,0)</f>
        <v/>
      </c>
    </row>
    <row r="757">
      <c r="A757" s="25">
        <f>ItensPedido!A757</f>
        <v/>
      </c>
      <c r="B757" s="25">
        <f>ItensPedido!B757</f>
        <v/>
      </c>
      <c r="C757" s="25">
        <f>ItensPedido!C757</f>
        <v/>
      </c>
      <c r="D757" s="25">
        <f>ItensPedido!D757</f>
        <v/>
      </c>
      <c r="E757" s="26">
        <f>ItensPedido!E757</f>
        <v/>
      </c>
      <c r="F757" s="25">
        <f>IFERROR(INDEX(Pedidos!$B$2:$B$1801,MATCH(B757,Pedidos!$A$2:$A$1801,0)),0)</f>
        <v/>
      </c>
      <c r="G757" s="25">
        <f>IF(F757=0,"",YEAR(F757))</f>
        <v/>
      </c>
      <c r="H757" s="25">
        <f>IF(F757=0,"",MONTH(F757))</f>
        <v/>
      </c>
      <c r="I757" s="25">
        <f>IFERROR(INDEX(Pedidos!$E$2:$E$1801,MATCH(B757,Pedidos!$A$2:$A$1801,0)),"")</f>
        <v/>
      </c>
      <c r="J757" s="25">
        <f>IFERROR(INDEX(Pedidos!$C$2:$C$1801,MATCH(B757,Pedidos!$A$2:$A$1801,0)),"")</f>
        <v/>
      </c>
      <c r="K757" s="25">
        <f>IFERROR(INDEX(Pedidos!$D$2:$D$1801,MATCH(B757,Pedidos!$A$2:$A$1801,0)),"")</f>
        <v/>
      </c>
      <c r="L757" s="25">
        <f>IFERROR(INDEX(Pedidos!$F$2:$F$1801,MATCH(B757,Pedidos!$A$2:$A$1801,0)),"")</f>
        <v/>
      </c>
      <c r="M757" s="26">
        <f>IFERROR(INDEX(Pedidos!$G$2:$G$1801,MATCH(B757,Pedidos!$A$2:$A$1801,0)),0)</f>
        <v/>
      </c>
      <c r="N757" s="25">
        <f>IFERROR(INDEX(Produtos!$B$2:$B$71,MATCH(C757,Produtos!$A$2:$A$71,0)),"")</f>
        <v/>
      </c>
      <c r="O757" s="25">
        <f>IFERROR(INDEX(Produtos!$C$2:$C$71,MATCH(C757,Produtos!$A$2:$A$71,0)),"")</f>
        <v/>
      </c>
      <c r="P757" s="25">
        <f>IFERROR(INDEX(Produtos!$D$2:$D$71,MATCH(C757,Produtos!$A$2:$A$71,0)),0)</f>
        <v/>
      </c>
      <c r="Q757" s="25">
        <f>IFERROR(INDEX(Produtos!$E$2:$E$71,MATCH(C757,Produtos!$A$2:$A$71,0)),0)</f>
        <v/>
      </c>
      <c r="R757" s="27">
        <f>D757*Q757</f>
        <v/>
      </c>
      <c r="S757" s="27">
        <f>R757*E757</f>
        <v/>
      </c>
      <c r="T757" s="27">
        <f>(R757-S757)*M757</f>
        <v/>
      </c>
      <c r="U757" s="27">
        <f>R757-S757-T757</f>
        <v/>
      </c>
      <c r="V757" s="27">
        <f>D757*P757</f>
        <v/>
      </c>
      <c r="W757" s="27">
        <f>U757-V757</f>
        <v/>
      </c>
      <c r="X757" s="28">
        <f>IFERROR(W757/U757,0)</f>
        <v/>
      </c>
    </row>
    <row r="758">
      <c r="A758" s="21">
        <f>ItensPedido!A758</f>
        <v/>
      </c>
      <c r="B758" s="21">
        <f>ItensPedido!B758</f>
        <v/>
      </c>
      <c r="C758" s="21">
        <f>ItensPedido!C758</f>
        <v/>
      </c>
      <c r="D758" s="21">
        <f>ItensPedido!D758</f>
        <v/>
      </c>
      <c r="E758" s="22">
        <f>ItensPedido!E758</f>
        <v/>
      </c>
      <c r="F758" s="21">
        <f>IFERROR(INDEX(Pedidos!$B$2:$B$1801,MATCH(B758,Pedidos!$A$2:$A$1801,0)),0)</f>
        <v/>
      </c>
      <c r="G758" s="21">
        <f>IF(F758=0,"",YEAR(F758))</f>
        <v/>
      </c>
      <c r="H758" s="21">
        <f>IF(F758=0,"",MONTH(F758))</f>
        <v/>
      </c>
      <c r="I758" s="21">
        <f>IFERROR(INDEX(Pedidos!$E$2:$E$1801,MATCH(B758,Pedidos!$A$2:$A$1801,0)),"")</f>
        <v/>
      </c>
      <c r="J758" s="21">
        <f>IFERROR(INDEX(Pedidos!$C$2:$C$1801,MATCH(B758,Pedidos!$A$2:$A$1801,0)),"")</f>
        <v/>
      </c>
      <c r="K758" s="21">
        <f>IFERROR(INDEX(Pedidos!$D$2:$D$1801,MATCH(B758,Pedidos!$A$2:$A$1801,0)),"")</f>
        <v/>
      </c>
      <c r="L758" s="21">
        <f>IFERROR(INDEX(Pedidos!$F$2:$F$1801,MATCH(B758,Pedidos!$A$2:$A$1801,0)),"")</f>
        <v/>
      </c>
      <c r="M758" s="22">
        <f>IFERROR(INDEX(Pedidos!$G$2:$G$1801,MATCH(B758,Pedidos!$A$2:$A$1801,0)),0)</f>
        <v/>
      </c>
      <c r="N758" s="21">
        <f>IFERROR(INDEX(Produtos!$B$2:$B$71,MATCH(C758,Produtos!$A$2:$A$71,0)),"")</f>
        <v/>
      </c>
      <c r="O758" s="21">
        <f>IFERROR(INDEX(Produtos!$C$2:$C$71,MATCH(C758,Produtos!$A$2:$A$71,0)),"")</f>
        <v/>
      </c>
      <c r="P758" s="21">
        <f>IFERROR(INDEX(Produtos!$D$2:$D$71,MATCH(C758,Produtos!$A$2:$A$71,0)),0)</f>
        <v/>
      </c>
      <c r="Q758" s="21">
        <f>IFERROR(INDEX(Produtos!$E$2:$E$71,MATCH(C758,Produtos!$A$2:$A$71,0)),0)</f>
        <v/>
      </c>
      <c r="R758" s="23">
        <f>D758*Q758</f>
        <v/>
      </c>
      <c r="S758" s="23">
        <f>R758*E758</f>
        <v/>
      </c>
      <c r="T758" s="23">
        <f>(R758-S758)*M758</f>
        <v/>
      </c>
      <c r="U758" s="23">
        <f>R758-S758-T758</f>
        <v/>
      </c>
      <c r="V758" s="23">
        <f>D758*P758</f>
        <v/>
      </c>
      <c r="W758" s="23">
        <f>U758-V758</f>
        <v/>
      </c>
      <c r="X758" s="24">
        <f>IFERROR(W758/U758,0)</f>
        <v/>
      </c>
    </row>
    <row r="759">
      <c r="A759" s="25">
        <f>ItensPedido!A759</f>
        <v/>
      </c>
      <c r="B759" s="25">
        <f>ItensPedido!B759</f>
        <v/>
      </c>
      <c r="C759" s="25">
        <f>ItensPedido!C759</f>
        <v/>
      </c>
      <c r="D759" s="25">
        <f>ItensPedido!D759</f>
        <v/>
      </c>
      <c r="E759" s="26">
        <f>ItensPedido!E759</f>
        <v/>
      </c>
      <c r="F759" s="25">
        <f>IFERROR(INDEX(Pedidos!$B$2:$B$1801,MATCH(B759,Pedidos!$A$2:$A$1801,0)),0)</f>
        <v/>
      </c>
      <c r="G759" s="25">
        <f>IF(F759=0,"",YEAR(F759))</f>
        <v/>
      </c>
      <c r="H759" s="25">
        <f>IF(F759=0,"",MONTH(F759))</f>
        <v/>
      </c>
      <c r="I759" s="25">
        <f>IFERROR(INDEX(Pedidos!$E$2:$E$1801,MATCH(B759,Pedidos!$A$2:$A$1801,0)),"")</f>
        <v/>
      </c>
      <c r="J759" s="25">
        <f>IFERROR(INDEX(Pedidos!$C$2:$C$1801,MATCH(B759,Pedidos!$A$2:$A$1801,0)),"")</f>
        <v/>
      </c>
      <c r="K759" s="25">
        <f>IFERROR(INDEX(Pedidos!$D$2:$D$1801,MATCH(B759,Pedidos!$A$2:$A$1801,0)),"")</f>
        <v/>
      </c>
      <c r="L759" s="25">
        <f>IFERROR(INDEX(Pedidos!$F$2:$F$1801,MATCH(B759,Pedidos!$A$2:$A$1801,0)),"")</f>
        <v/>
      </c>
      <c r="M759" s="26">
        <f>IFERROR(INDEX(Pedidos!$G$2:$G$1801,MATCH(B759,Pedidos!$A$2:$A$1801,0)),0)</f>
        <v/>
      </c>
      <c r="N759" s="25">
        <f>IFERROR(INDEX(Produtos!$B$2:$B$71,MATCH(C759,Produtos!$A$2:$A$71,0)),"")</f>
        <v/>
      </c>
      <c r="O759" s="25">
        <f>IFERROR(INDEX(Produtos!$C$2:$C$71,MATCH(C759,Produtos!$A$2:$A$71,0)),"")</f>
        <v/>
      </c>
      <c r="P759" s="25">
        <f>IFERROR(INDEX(Produtos!$D$2:$D$71,MATCH(C759,Produtos!$A$2:$A$71,0)),0)</f>
        <v/>
      </c>
      <c r="Q759" s="25">
        <f>IFERROR(INDEX(Produtos!$E$2:$E$71,MATCH(C759,Produtos!$A$2:$A$71,0)),0)</f>
        <v/>
      </c>
      <c r="R759" s="27">
        <f>D759*Q759</f>
        <v/>
      </c>
      <c r="S759" s="27">
        <f>R759*E759</f>
        <v/>
      </c>
      <c r="T759" s="27">
        <f>(R759-S759)*M759</f>
        <v/>
      </c>
      <c r="U759" s="27">
        <f>R759-S759-T759</f>
        <v/>
      </c>
      <c r="V759" s="27">
        <f>D759*P759</f>
        <v/>
      </c>
      <c r="W759" s="27">
        <f>U759-V759</f>
        <v/>
      </c>
      <c r="X759" s="28">
        <f>IFERROR(W759/U759,0)</f>
        <v/>
      </c>
    </row>
    <row r="760">
      <c r="A760" s="21">
        <f>ItensPedido!A760</f>
        <v/>
      </c>
      <c r="B760" s="21">
        <f>ItensPedido!B760</f>
        <v/>
      </c>
      <c r="C760" s="21">
        <f>ItensPedido!C760</f>
        <v/>
      </c>
      <c r="D760" s="21">
        <f>ItensPedido!D760</f>
        <v/>
      </c>
      <c r="E760" s="22">
        <f>ItensPedido!E760</f>
        <v/>
      </c>
      <c r="F760" s="21">
        <f>IFERROR(INDEX(Pedidos!$B$2:$B$1801,MATCH(B760,Pedidos!$A$2:$A$1801,0)),0)</f>
        <v/>
      </c>
      <c r="G760" s="21">
        <f>IF(F760=0,"",YEAR(F760))</f>
        <v/>
      </c>
      <c r="H760" s="21">
        <f>IF(F760=0,"",MONTH(F760))</f>
        <v/>
      </c>
      <c r="I760" s="21">
        <f>IFERROR(INDEX(Pedidos!$E$2:$E$1801,MATCH(B760,Pedidos!$A$2:$A$1801,0)),"")</f>
        <v/>
      </c>
      <c r="J760" s="21">
        <f>IFERROR(INDEX(Pedidos!$C$2:$C$1801,MATCH(B760,Pedidos!$A$2:$A$1801,0)),"")</f>
        <v/>
      </c>
      <c r="K760" s="21">
        <f>IFERROR(INDEX(Pedidos!$D$2:$D$1801,MATCH(B760,Pedidos!$A$2:$A$1801,0)),"")</f>
        <v/>
      </c>
      <c r="L760" s="21">
        <f>IFERROR(INDEX(Pedidos!$F$2:$F$1801,MATCH(B760,Pedidos!$A$2:$A$1801,0)),"")</f>
        <v/>
      </c>
      <c r="M760" s="22">
        <f>IFERROR(INDEX(Pedidos!$G$2:$G$1801,MATCH(B760,Pedidos!$A$2:$A$1801,0)),0)</f>
        <v/>
      </c>
      <c r="N760" s="21">
        <f>IFERROR(INDEX(Produtos!$B$2:$B$71,MATCH(C760,Produtos!$A$2:$A$71,0)),"")</f>
        <v/>
      </c>
      <c r="O760" s="21">
        <f>IFERROR(INDEX(Produtos!$C$2:$C$71,MATCH(C760,Produtos!$A$2:$A$71,0)),"")</f>
        <v/>
      </c>
      <c r="P760" s="21">
        <f>IFERROR(INDEX(Produtos!$D$2:$D$71,MATCH(C760,Produtos!$A$2:$A$71,0)),0)</f>
        <v/>
      </c>
      <c r="Q760" s="21">
        <f>IFERROR(INDEX(Produtos!$E$2:$E$71,MATCH(C760,Produtos!$A$2:$A$71,0)),0)</f>
        <v/>
      </c>
      <c r="R760" s="23">
        <f>D760*Q760</f>
        <v/>
      </c>
      <c r="S760" s="23">
        <f>R760*E760</f>
        <v/>
      </c>
      <c r="T760" s="23">
        <f>(R760-S760)*M760</f>
        <v/>
      </c>
      <c r="U760" s="23">
        <f>R760-S760-T760</f>
        <v/>
      </c>
      <c r="V760" s="23">
        <f>D760*P760</f>
        <v/>
      </c>
      <c r="W760" s="23">
        <f>U760-V760</f>
        <v/>
      </c>
      <c r="X760" s="24">
        <f>IFERROR(W760/U760,0)</f>
        <v/>
      </c>
    </row>
    <row r="761">
      <c r="A761" s="25">
        <f>ItensPedido!A761</f>
        <v/>
      </c>
      <c r="B761" s="25">
        <f>ItensPedido!B761</f>
        <v/>
      </c>
      <c r="C761" s="25">
        <f>ItensPedido!C761</f>
        <v/>
      </c>
      <c r="D761" s="25">
        <f>ItensPedido!D761</f>
        <v/>
      </c>
      <c r="E761" s="26">
        <f>ItensPedido!E761</f>
        <v/>
      </c>
      <c r="F761" s="25">
        <f>IFERROR(INDEX(Pedidos!$B$2:$B$1801,MATCH(B761,Pedidos!$A$2:$A$1801,0)),0)</f>
        <v/>
      </c>
      <c r="G761" s="25">
        <f>IF(F761=0,"",YEAR(F761))</f>
        <v/>
      </c>
      <c r="H761" s="25">
        <f>IF(F761=0,"",MONTH(F761))</f>
        <v/>
      </c>
      <c r="I761" s="25">
        <f>IFERROR(INDEX(Pedidos!$E$2:$E$1801,MATCH(B761,Pedidos!$A$2:$A$1801,0)),"")</f>
        <v/>
      </c>
      <c r="J761" s="25">
        <f>IFERROR(INDEX(Pedidos!$C$2:$C$1801,MATCH(B761,Pedidos!$A$2:$A$1801,0)),"")</f>
        <v/>
      </c>
      <c r="K761" s="25">
        <f>IFERROR(INDEX(Pedidos!$D$2:$D$1801,MATCH(B761,Pedidos!$A$2:$A$1801,0)),"")</f>
        <v/>
      </c>
      <c r="L761" s="25">
        <f>IFERROR(INDEX(Pedidos!$F$2:$F$1801,MATCH(B761,Pedidos!$A$2:$A$1801,0)),"")</f>
        <v/>
      </c>
      <c r="M761" s="26">
        <f>IFERROR(INDEX(Pedidos!$G$2:$G$1801,MATCH(B761,Pedidos!$A$2:$A$1801,0)),0)</f>
        <v/>
      </c>
      <c r="N761" s="25">
        <f>IFERROR(INDEX(Produtos!$B$2:$B$71,MATCH(C761,Produtos!$A$2:$A$71,0)),"")</f>
        <v/>
      </c>
      <c r="O761" s="25">
        <f>IFERROR(INDEX(Produtos!$C$2:$C$71,MATCH(C761,Produtos!$A$2:$A$71,0)),"")</f>
        <v/>
      </c>
      <c r="P761" s="25">
        <f>IFERROR(INDEX(Produtos!$D$2:$D$71,MATCH(C761,Produtos!$A$2:$A$71,0)),0)</f>
        <v/>
      </c>
      <c r="Q761" s="25">
        <f>IFERROR(INDEX(Produtos!$E$2:$E$71,MATCH(C761,Produtos!$A$2:$A$71,0)),0)</f>
        <v/>
      </c>
      <c r="R761" s="27">
        <f>D761*Q761</f>
        <v/>
      </c>
      <c r="S761" s="27">
        <f>R761*E761</f>
        <v/>
      </c>
      <c r="T761" s="27">
        <f>(R761-S761)*M761</f>
        <v/>
      </c>
      <c r="U761" s="27">
        <f>R761-S761-T761</f>
        <v/>
      </c>
      <c r="V761" s="27">
        <f>D761*P761</f>
        <v/>
      </c>
      <c r="W761" s="27">
        <f>U761-V761</f>
        <v/>
      </c>
      <c r="X761" s="28">
        <f>IFERROR(W761/U761,0)</f>
        <v/>
      </c>
    </row>
    <row r="762">
      <c r="A762" s="21">
        <f>ItensPedido!A762</f>
        <v/>
      </c>
      <c r="B762" s="21">
        <f>ItensPedido!B762</f>
        <v/>
      </c>
      <c r="C762" s="21">
        <f>ItensPedido!C762</f>
        <v/>
      </c>
      <c r="D762" s="21">
        <f>ItensPedido!D762</f>
        <v/>
      </c>
      <c r="E762" s="22">
        <f>ItensPedido!E762</f>
        <v/>
      </c>
      <c r="F762" s="21">
        <f>IFERROR(INDEX(Pedidos!$B$2:$B$1801,MATCH(B762,Pedidos!$A$2:$A$1801,0)),0)</f>
        <v/>
      </c>
      <c r="G762" s="21">
        <f>IF(F762=0,"",YEAR(F762))</f>
        <v/>
      </c>
      <c r="H762" s="21">
        <f>IF(F762=0,"",MONTH(F762))</f>
        <v/>
      </c>
      <c r="I762" s="21">
        <f>IFERROR(INDEX(Pedidos!$E$2:$E$1801,MATCH(B762,Pedidos!$A$2:$A$1801,0)),"")</f>
        <v/>
      </c>
      <c r="J762" s="21">
        <f>IFERROR(INDEX(Pedidos!$C$2:$C$1801,MATCH(B762,Pedidos!$A$2:$A$1801,0)),"")</f>
        <v/>
      </c>
      <c r="K762" s="21">
        <f>IFERROR(INDEX(Pedidos!$D$2:$D$1801,MATCH(B762,Pedidos!$A$2:$A$1801,0)),"")</f>
        <v/>
      </c>
      <c r="L762" s="21">
        <f>IFERROR(INDEX(Pedidos!$F$2:$F$1801,MATCH(B762,Pedidos!$A$2:$A$1801,0)),"")</f>
        <v/>
      </c>
      <c r="M762" s="22">
        <f>IFERROR(INDEX(Pedidos!$G$2:$G$1801,MATCH(B762,Pedidos!$A$2:$A$1801,0)),0)</f>
        <v/>
      </c>
      <c r="N762" s="21">
        <f>IFERROR(INDEX(Produtos!$B$2:$B$71,MATCH(C762,Produtos!$A$2:$A$71,0)),"")</f>
        <v/>
      </c>
      <c r="O762" s="21">
        <f>IFERROR(INDEX(Produtos!$C$2:$C$71,MATCH(C762,Produtos!$A$2:$A$71,0)),"")</f>
        <v/>
      </c>
      <c r="P762" s="21">
        <f>IFERROR(INDEX(Produtos!$D$2:$D$71,MATCH(C762,Produtos!$A$2:$A$71,0)),0)</f>
        <v/>
      </c>
      <c r="Q762" s="21">
        <f>IFERROR(INDEX(Produtos!$E$2:$E$71,MATCH(C762,Produtos!$A$2:$A$71,0)),0)</f>
        <v/>
      </c>
      <c r="R762" s="23">
        <f>D762*Q762</f>
        <v/>
      </c>
      <c r="S762" s="23">
        <f>R762*E762</f>
        <v/>
      </c>
      <c r="T762" s="23">
        <f>(R762-S762)*M762</f>
        <v/>
      </c>
      <c r="U762" s="23">
        <f>R762-S762-T762</f>
        <v/>
      </c>
      <c r="V762" s="23">
        <f>D762*P762</f>
        <v/>
      </c>
      <c r="W762" s="23">
        <f>U762-V762</f>
        <v/>
      </c>
      <c r="X762" s="24">
        <f>IFERROR(W762/U762,0)</f>
        <v/>
      </c>
    </row>
    <row r="763">
      <c r="A763" s="25">
        <f>ItensPedido!A763</f>
        <v/>
      </c>
      <c r="B763" s="25">
        <f>ItensPedido!B763</f>
        <v/>
      </c>
      <c r="C763" s="25">
        <f>ItensPedido!C763</f>
        <v/>
      </c>
      <c r="D763" s="25">
        <f>ItensPedido!D763</f>
        <v/>
      </c>
      <c r="E763" s="26">
        <f>ItensPedido!E763</f>
        <v/>
      </c>
      <c r="F763" s="25">
        <f>IFERROR(INDEX(Pedidos!$B$2:$B$1801,MATCH(B763,Pedidos!$A$2:$A$1801,0)),0)</f>
        <v/>
      </c>
      <c r="G763" s="25">
        <f>IF(F763=0,"",YEAR(F763))</f>
        <v/>
      </c>
      <c r="H763" s="25">
        <f>IF(F763=0,"",MONTH(F763))</f>
        <v/>
      </c>
      <c r="I763" s="25">
        <f>IFERROR(INDEX(Pedidos!$E$2:$E$1801,MATCH(B763,Pedidos!$A$2:$A$1801,0)),"")</f>
        <v/>
      </c>
      <c r="J763" s="25">
        <f>IFERROR(INDEX(Pedidos!$C$2:$C$1801,MATCH(B763,Pedidos!$A$2:$A$1801,0)),"")</f>
        <v/>
      </c>
      <c r="K763" s="25">
        <f>IFERROR(INDEX(Pedidos!$D$2:$D$1801,MATCH(B763,Pedidos!$A$2:$A$1801,0)),"")</f>
        <v/>
      </c>
      <c r="L763" s="25">
        <f>IFERROR(INDEX(Pedidos!$F$2:$F$1801,MATCH(B763,Pedidos!$A$2:$A$1801,0)),"")</f>
        <v/>
      </c>
      <c r="M763" s="26">
        <f>IFERROR(INDEX(Pedidos!$G$2:$G$1801,MATCH(B763,Pedidos!$A$2:$A$1801,0)),0)</f>
        <v/>
      </c>
      <c r="N763" s="25">
        <f>IFERROR(INDEX(Produtos!$B$2:$B$71,MATCH(C763,Produtos!$A$2:$A$71,0)),"")</f>
        <v/>
      </c>
      <c r="O763" s="25">
        <f>IFERROR(INDEX(Produtos!$C$2:$C$71,MATCH(C763,Produtos!$A$2:$A$71,0)),"")</f>
        <v/>
      </c>
      <c r="P763" s="25">
        <f>IFERROR(INDEX(Produtos!$D$2:$D$71,MATCH(C763,Produtos!$A$2:$A$71,0)),0)</f>
        <v/>
      </c>
      <c r="Q763" s="25">
        <f>IFERROR(INDEX(Produtos!$E$2:$E$71,MATCH(C763,Produtos!$A$2:$A$71,0)),0)</f>
        <v/>
      </c>
      <c r="R763" s="27">
        <f>D763*Q763</f>
        <v/>
      </c>
      <c r="S763" s="27">
        <f>R763*E763</f>
        <v/>
      </c>
      <c r="T763" s="27">
        <f>(R763-S763)*M763</f>
        <v/>
      </c>
      <c r="U763" s="27">
        <f>R763-S763-T763</f>
        <v/>
      </c>
      <c r="V763" s="27">
        <f>D763*P763</f>
        <v/>
      </c>
      <c r="W763" s="27">
        <f>U763-V763</f>
        <v/>
      </c>
      <c r="X763" s="28">
        <f>IFERROR(W763/U763,0)</f>
        <v/>
      </c>
    </row>
    <row r="764">
      <c r="A764" s="21">
        <f>ItensPedido!A764</f>
        <v/>
      </c>
      <c r="B764" s="21">
        <f>ItensPedido!B764</f>
        <v/>
      </c>
      <c r="C764" s="21">
        <f>ItensPedido!C764</f>
        <v/>
      </c>
      <c r="D764" s="21">
        <f>ItensPedido!D764</f>
        <v/>
      </c>
      <c r="E764" s="22">
        <f>ItensPedido!E764</f>
        <v/>
      </c>
      <c r="F764" s="21">
        <f>IFERROR(INDEX(Pedidos!$B$2:$B$1801,MATCH(B764,Pedidos!$A$2:$A$1801,0)),0)</f>
        <v/>
      </c>
      <c r="G764" s="21">
        <f>IF(F764=0,"",YEAR(F764))</f>
        <v/>
      </c>
      <c r="H764" s="21">
        <f>IF(F764=0,"",MONTH(F764))</f>
        <v/>
      </c>
      <c r="I764" s="21">
        <f>IFERROR(INDEX(Pedidos!$E$2:$E$1801,MATCH(B764,Pedidos!$A$2:$A$1801,0)),"")</f>
        <v/>
      </c>
      <c r="J764" s="21">
        <f>IFERROR(INDEX(Pedidos!$C$2:$C$1801,MATCH(B764,Pedidos!$A$2:$A$1801,0)),"")</f>
        <v/>
      </c>
      <c r="K764" s="21">
        <f>IFERROR(INDEX(Pedidos!$D$2:$D$1801,MATCH(B764,Pedidos!$A$2:$A$1801,0)),"")</f>
        <v/>
      </c>
      <c r="L764" s="21">
        <f>IFERROR(INDEX(Pedidos!$F$2:$F$1801,MATCH(B764,Pedidos!$A$2:$A$1801,0)),"")</f>
        <v/>
      </c>
      <c r="M764" s="22">
        <f>IFERROR(INDEX(Pedidos!$G$2:$G$1801,MATCH(B764,Pedidos!$A$2:$A$1801,0)),0)</f>
        <v/>
      </c>
      <c r="N764" s="21">
        <f>IFERROR(INDEX(Produtos!$B$2:$B$71,MATCH(C764,Produtos!$A$2:$A$71,0)),"")</f>
        <v/>
      </c>
      <c r="O764" s="21">
        <f>IFERROR(INDEX(Produtos!$C$2:$C$71,MATCH(C764,Produtos!$A$2:$A$71,0)),"")</f>
        <v/>
      </c>
      <c r="P764" s="21">
        <f>IFERROR(INDEX(Produtos!$D$2:$D$71,MATCH(C764,Produtos!$A$2:$A$71,0)),0)</f>
        <v/>
      </c>
      <c r="Q764" s="21">
        <f>IFERROR(INDEX(Produtos!$E$2:$E$71,MATCH(C764,Produtos!$A$2:$A$71,0)),0)</f>
        <v/>
      </c>
      <c r="R764" s="23">
        <f>D764*Q764</f>
        <v/>
      </c>
      <c r="S764" s="23">
        <f>R764*E764</f>
        <v/>
      </c>
      <c r="T764" s="23">
        <f>(R764-S764)*M764</f>
        <v/>
      </c>
      <c r="U764" s="23">
        <f>R764-S764-T764</f>
        <v/>
      </c>
      <c r="V764" s="23">
        <f>D764*P764</f>
        <v/>
      </c>
      <c r="W764" s="23">
        <f>U764-V764</f>
        <v/>
      </c>
      <c r="X764" s="24">
        <f>IFERROR(W764/U764,0)</f>
        <v/>
      </c>
    </row>
    <row r="765">
      <c r="A765" s="25">
        <f>ItensPedido!A765</f>
        <v/>
      </c>
      <c r="B765" s="25">
        <f>ItensPedido!B765</f>
        <v/>
      </c>
      <c r="C765" s="25">
        <f>ItensPedido!C765</f>
        <v/>
      </c>
      <c r="D765" s="25">
        <f>ItensPedido!D765</f>
        <v/>
      </c>
      <c r="E765" s="26">
        <f>ItensPedido!E765</f>
        <v/>
      </c>
      <c r="F765" s="25">
        <f>IFERROR(INDEX(Pedidos!$B$2:$B$1801,MATCH(B765,Pedidos!$A$2:$A$1801,0)),0)</f>
        <v/>
      </c>
      <c r="G765" s="25">
        <f>IF(F765=0,"",YEAR(F765))</f>
        <v/>
      </c>
      <c r="H765" s="25">
        <f>IF(F765=0,"",MONTH(F765))</f>
        <v/>
      </c>
      <c r="I765" s="25">
        <f>IFERROR(INDEX(Pedidos!$E$2:$E$1801,MATCH(B765,Pedidos!$A$2:$A$1801,0)),"")</f>
        <v/>
      </c>
      <c r="J765" s="25">
        <f>IFERROR(INDEX(Pedidos!$C$2:$C$1801,MATCH(B765,Pedidos!$A$2:$A$1801,0)),"")</f>
        <v/>
      </c>
      <c r="K765" s="25">
        <f>IFERROR(INDEX(Pedidos!$D$2:$D$1801,MATCH(B765,Pedidos!$A$2:$A$1801,0)),"")</f>
        <v/>
      </c>
      <c r="L765" s="25">
        <f>IFERROR(INDEX(Pedidos!$F$2:$F$1801,MATCH(B765,Pedidos!$A$2:$A$1801,0)),"")</f>
        <v/>
      </c>
      <c r="M765" s="26">
        <f>IFERROR(INDEX(Pedidos!$G$2:$G$1801,MATCH(B765,Pedidos!$A$2:$A$1801,0)),0)</f>
        <v/>
      </c>
      <c r="N765" s="25">
        <f>IFERROR(INDEX(Produtos!$B$2:$B$71,MATCH(C765,Produtos!$A$2:$A$71,0)),"")</f>
        <v/>
      </c>
      <c r="O765" s="25">
        <f>IFERROR(INDEX(Produtos!$C$2:$C$71,MATCH(C765,Produtos!$A$2:$A$71,0)),"")</f>
        <v/>
      </c>
      <c r="P765" s="25">
        <f>IFERROR(INDEX(Produtos!$D$2:$D$71,MATCH(C765,Produtos!$A$2:$A$71,0)),0)</f>
        <v/>
      </c>
      <c r="Q765" s="25">
        <f>IFERROR(INDEX(Produtos!$E$2:$E$71,MATCH(C765,Produtos!$A$2:$A$71,0)),0)</f>
        <v/>
      </c>
      <c r="R765" s="27">
        <f>D765*Q765</f>
        <v/>
      </c>
      <c r="S765" s="27">
        <f>R765*E765</f>
        <v/>
      </c>
      <c r="T765" s="27">
        <f>(R765-S765)*M765</f>
        <v/>
      </c>
      <c r="U765" s="27">
        <f>R765-S765-T765</f>
        <v/>
      </c>
      <c r="V765" s="27">
        <f>D765*P765</f>
        <v/>
      </c>
      <c r="W765" s="27">
        <f>U765-V765</f>
        <v/>
      </c>
      <c r="X765" s="28">
        <f>IFERROR(W765/U765,0)</f>
        <v/>
      </c>
    </row>
    <row r="766">
      <c r="A766" s="21">
        <f>ItensPedido!A766</f>
        <v/>
      </c>
      <c r="B766" s="21">
        <f>ItensPedido!B766</f>
        <v/>
      </c>
      <c r="C766" s="21">
        <f>ItensPedido!C766</f>
        <v/>
      </c>
      <c r="D766" s="21">
        <f>ItensPedido!D766</f>
        <v/>
      </c>
      <c r="E766" s="22">
        <f>ItensPedido!E766</f>
        <v/>
      </c>
      <c r="F766" s="21">
        <f>IFERROR(INDEX(Pedidos!$B$2:$B$1801,MATCH(B766,Pedidos!$A$2:$A$1801,0)),0)</f>
        <v/>
      </c>
      <c r="G766" s="21">
        <f>IF(F766=0,"",YEAR(F766))</f>
        <v/>
      </c>
      <c r="H766" s="21">
        <f>IF(F766=0,"",MONTH(F766))</f>
        <v/>
      </c>
      <c r="I766" s="21">
        <f>IFERROR(INDEX(Pedidos!$E$2:$E$1801,MATCH(B766,Pedidos!$A$2:$A$1801,0)),"")</f>
        <v/>
      </c>
      <c r="J766" s="21">
        <f>IFERROR(INDEX(Pedidos!$C$2:$C$1801,MATCH(B766,Pedidos!$A$2:$A$1801,0)),"")</f>
        <v/>
      </c>
      <c r="K766" s="21">
        <f>IFERROR(INDEX(Pedidos!$D$2:$D$1801,MATCH(B766,Pedidos!$A$2:$A$1801,0)),"")</f>
        <v/>
      </c>
      <c r="L766" s="21">
        <f>IFERROR(INDEX(Pedidos!$F$2:$F$1801,MATCH(B766,Pedidos!$A$2:$A$1801,0)),"")</f>
        <v/>
      </c>
      <c r="M766" s="22">
        <f>IFERROR(INDEX(Pedidos!$G$2:$G$1801,MATCH(B766,Pedidos!$A$2:$A$1801,0)),0)</f>
        <v/>
      </c>
      <c r="N766" s="21">
        <f>IFERROR(INDEX(Produtos!$B$2:$B$71,MATCH(C766,Produtos!$A$2:$A$71,0)),"")</f>
        <v/>
      </c>
      <c r="O766" s="21">
        <f>IFERROR(INDEX(Produtos!$C$2:$C$71,MATCH(C766,Produtos!$A$2:$A$71,0)),"")</f>
        <v/>
      </c>
      <c r="P766" s="21">
        <f>IFERROR(INDEX(Produtos!$D$2:$D$71,MATCH(C766,Produtos!$A$2:$A$71,0)),0)</f>
        <v/>
      </c>
      <c r="Q766" s="21">
        <f>IFERROR(INDEX(Produtos!$E$2:$E$71,MATCH(C766,Produtos!$A$2:$A$71,0)),0)</f>
        <v/>
      </c>
      <c r="R766" s="23">
        <f>D766*Q766</f>
        <v/>
      </c>
      <c r="S766" s="23">
        <f>R766*E766</f>
        <v/>
      </c>
      <c r="T766" s="23">
        <f>(R766-S766)*M766</f>
        <v/>
      </c>
      <c r="U766" s="23">
        <f>R766-S766-T766</f>
        <v/>
      </c>
      <c r="V766" s="23">
        <f>D766*P766</f>
        <v/>
      </c>
      <c r="W766" s="23">
        <f>U766-V766</f>
        <v/>
      </c>
      <c r="X766" s="24">
        <f>IFERROR(W766/U766,0)</f>
        <v/>
      </c>
    </row>
    <row r="767">
      <c r="A767" s="25">
        <f>ItensPedido!A767</f>
        <v/>
      </c>
      <c r="B767" s="25">
        <f>ItensPedido!B767</f>
        <v/>
      </c>
      <c r="C767" s="25">
        <f>ItensPedido!C767</f>
        <v/>
      </c>
      <c r="D767" s="25">
        <f>ItensPedido!D767</f>
        <v/>
      </c>
      <c r="E767" s="26">
        <f>ItensPedido!E767</f>
        <v/>
      </c>
      <c r="F767" s="25">
        <f>IFERROR(INDEX(Pedidos!$B$2:$B$1801,MATCH(B767,Pedidos!$A$2:$A$1801,0)),0)</f>
        <v/>
      </c>
      <c r="G767" s="25">
        <f>IF(F767=0,"",YEAR(F767))</f>
        <v/>
      </c>
      <c r="H767" s="25">
        <f>IF(F767=0,"",MONTH(F767))</f>
        <v/>
      </c>
      <c r="I767" s="25">
        <f>IFERROR(INDEX(Pedidos!$E$2:$E$1801,MATCH(B767,Pedidos!$A$2:$A$1801,0)),"")</f>
        <v/>
      </c>
      <c r="J767" s="25">
        <f>IFERROR(INDEX(Pedidos!$C$2:$C$1801,MATCH(B767,Pedidos!$A$2:$A$1801,0)),"")</f>
        <v/>
      </c>
      <c r="K767" s="25">
        <f>IFERROR(INDEX(Pedidos!$D$2:$D$1801,MATCH(B767,Pedidos!$A$2:$A$1801,0)),"")</f>
        <v/>
      </c>
      <c r="L767" s="25">
        <f>IFERROR(INDEX(Pedidos!$F$2:$F$1801,MATCH(B767,Pedidos!$A$2:$A$1801,0)),"")</f>
        <v/>
      </c>
      <c r="M767" s="26">
        <f>IFERROR(INDEX(Pedidos!$G$2:$G$1801,MATCH(B767,Pedidos!$A$2:$A$1801,0)),0)</f>
        <v/>
      </c>
      <c r="N767" s="25">
        <f>IFERROR(INDEX(Produtos!$B$2:$B$71,MATCH(C767,Produtos!$A$2:$A$71,0)),"")</f>
        <v/>
      </c>
      <c r="O767" s="25">
        <f>IFERROR(INDEX(Produtos!$C$2:$C$71,MATCH(C767,Produtos!$A$2:$A$71,0)),"")</f>
        <v/>
      </c>
      <c r="P767" s="25">
        <f>IFERROR(INDEX(Produtos!$D$2:$D$71,MATCH(C767,Produtos!$A$2:$A$71,0)),0)</f>
        <v/>
      </c>
      <c r="Q767" s="25">
        <f>IFERROR(INDEX(Produtos!$E$2:$E$71,MATCH(C767,Produtos!$A$2:$A$71,0)),0)</f>
        <v/>
      </c>
      <c r="R767" s="27">
        <f>D767*Q767</f>
        <v/>
      </c>
      <c r="S767" s="27">
        <f>R767*E767</f>
        <v/>
      </c>
      <c r="T767" s="27">
        <f>(R767-S767)*M767</f>
        <v/>
      </c>
      <c r="U767" s="27">
        <f>R767-S767-T767</f>
        <v/>
      </c>
      <c r="V767" s="27">
        <f>D767*P767</f>
        <v/>
      </c>
      <c r="W767" s="27">
        <f>U767-V767</f>
        <v/>
      </c>
      <c r="X767" s="28">
        <f>IFERROR(W767/U767,0)</f>
        <v/>
      </c>
    </row>
    <row r="768">
      <c r="A768" s="21">
        <f>ItensPedido!A768</f>
        <v/>
      </c>
      <c r="B768" s="21">
        <f>ItensPedido!B768</f>
        <v/>
      </c>
      <c r="C768" s="21">
        <f>ItensPedido!C768</f>
        <v/>
      </c>
      <c r="D768" s="21">
        <f>ItensPedido!D768</f>
        <v/>
      </c>
      <c r="E768" s="22">
        <f>ItensPedido!E768</f>
        <v/>
      </c>
      <c r="F768" s="21">
        <f>IFERROR(INDEX(Pedidos!$B$2:$B$1801,MATCH(B768,Pedidos!$A$2:$A$1801,0)),0)</f>
        <v/>
      </c>
      <c r="G768" s="21">
        <f>IF(F768=0,"",YEAR(F768))</f>
        <v/>
      </c>
      <c r="H768" s="21">
        <f>IF(F768=0,"",MONTH(F768))</f>
        <v/>
      </c>
      <c r="I768" s="21">
        <f>IFERROR(INDEX(Pedidos!$E$2:$E$1801,MATCH(B768,Pedidos!$A$2:$A$1801,0)),"")</f>
        <v/>
      </c>
      <c r="J768" s="21">
        <f>IFERROR(INDEX(Pedidos!$C$2:$C$1801,MATCH(B768,Pedidos!$A$2:$A$1801,0)),"")</f>
        <v/>
      </c>
      <c r="K768" s="21">
        <f>IFERROR(INDEX(Pedidos!$D$2:$D$1801,MATCH(B768,Pedidos!$A$2:$A$1801,0)),"")</f>
        <v/>
      </c>
      <c r="L768" s="21">
        <f>IFERROR(INDEX(Pedidos!$F$2:$F$1801,MATCH(B768,Pedidos!$A$2:$A$1801,0)),"")</f>
        <v/>
      </c>
      <c r="M768" s="22">
        <f>IFERROR(INDEX(Pedidos!$G$2:$G$1801,MATCH(B768,Pedidos!$A$2:$A$1801,0)),0)</f>
        <v/>
      </c>
      <c r="N768" s="21">
        <f>IFERROR(INDEX(Produtos!$B$2:$B$71,MATCH(C768,Produtos!$A$2:$A$71,0)),"")</f>
        <v/>
      </c>
      <c r="O768" s="21">
        <f>IFERROR(INDEX(Produtos!$C$2:$C$71,MATCH(C768,Produtos!$A$2:$A$71,0)),"")</f>
        <v/>
      </c>
      <c r="P768" s="21">
        <f>IFERROR(INDEX(Produtos!$D$2:$D$71,MATCH(C768,Produtos!$A$2:$A$71,0)),0)</f>
        <v/>
      </c>
      <c r="Q768" s="21">
        <f>IFERROR(INDEX(Produtos!$E$2:$E$71,MATCH(C768,Produtos!$A$2:$A$71,0)),0)</f>
        <v/>
      </c>
      <c r="R768" s="23">
        <f>D768*Q768</f>
        <v/>
      </c>
      <c r="S768" s="23">
        <f>R768*E768</f>
        <v/>
      </c>
      <c r="T768" s="23">
        <f>(R768-S768)*M768</f>
        <v/>
      </c>
      <c r="U768" s="23">
        <f>R768-S768-T768</f>
        <v/>
      </c>
      <c r="V768" s="23">
        <f>D768*P768</f>
        <v/>
      </c>
      <c r="W768" s="23">
        <f>U768-V768</f>
        <v/>
      </c>
      <c r="X768" s="24">
        <f>IFERROR(W768/U768,0)</f>
        <v/>
      </c>
    </row>
    <row r="769">
      <c r="A769" s="25">
        <f>ItensPedido!A769</f>
        <v/>
      </c>
      <c r="B769" s="25">
        <f>ItensPedido!B769</f>
        <v/>
      </c>
      <c r="C769" s="25">
        <f>ItensPedido!C769</f>
        <v/>
      </c>
      <c r="D769" s="25">
        <f>ItensPedido!D769</f>
        <v/>
      </c>
      <c r="E769" s="26">
        <f>ItensPedido!E769</f>
        <v/>
      </c>
      <c r="F769" s="25">
        <f>IFERROR(INDEX(Pedidos!$B$2:$B$1801,MATCH(B769,Pedidos!$A$2:$A$1801,0)),0)</f>
        <v/>
      </c>
      <c r="G769" s="25">
        <f>IF(F769=0,"",YEAR(F769))</f>
        <v/>
      </c>
      <c r="H769" s="25">
        <f>IF(F769=0,"",MONTH(F769))</f>
        <v/>
      </c>
      <c r="I769" s="25">
        <f>IFERROR(INDEX(Pedidos!$E$2:$E$1801,MATCH(B769,Pedidos!$A$2:$A$1801,0)),"")</f>
        <v/>
      </c>
      <c r="J769" s="25">
        <f>IFERROR(INDEX(Pedidos!$C$2:$C$1801,MATCH(B769,Pedidos!$A$2:$A$1801,0)),"")</f>
        <v/>
      </c>
      <c r="K769" s="25">
        <f>IFERROR(INDEX(Pedidos!$D$2:$D$1801,MATCH(B769,Pedidos!$A$2:$A$1801,0)),"")</f>
        <v/>
      </c>
      <c r="L769" s="25">
        <f>IFERROR(INDEX(Pedidos!$F$2:$F$1801,MATCH(B769,Pedidos!$A$2:$A$1801,0)),"")</f>
        <v/>
      </c>
      <c r="M769" s="26">
        <f>IFERROR(INDEX(Pedidos!$G$2:$G$1801,MATCH(B769,Pedidos!$A$2:$A$1801,0)),0)</f>
        <v/>
      </c>
      <c r="N769" s="25">
        <f>IFERROR(INDEX(Produtos!$B$2:$B$71,MATCH(C769,Produtos!$A$2:$A$71,0)),"")</f>
        <v/>
      </c>
      <c r="O769" s="25">
        <f>IFERROR(INDEX(Produtos!$C$2:$C$71,MATCH(C769,Produtos!$A$2:$A$71,0)),"")</f>
        <v/>
      </c>
      <c r="P769" s="25">
        <f>IFERROR(INDEX(Produtos!$D$2:$D$71,MATCH(C769,Produtos!$A$2:$A$71,0)),0)</f>
        <v/>
      </c>
      <c r="Q769" s="25">
        <f>IFERROR(INDEX(Produtos!$E$2:$E$71,MATCH(C769,Produtos!$A$2:$A$71,0)),0)</f>
        <v/>
      </c>
      <c r="R769" s="27">
        <f>D769*Q769</f>
        <v/>
      </c>
      <c r="S769" s="27">
        <f>R769*E769</f>
        <v/>
      </c>
      <c r="T769" s="27">
        <f>(R769-S769)*M769</f>
        <v/>
      </c>
      <c r="U769" s="27">
        <f>R769-S769-T769</f>
        <v/>
      </c>
      <c r="V769" s="27">
        <f>D769*P769</f>
        <v/>
      </c>
      <c r="W769" s="27">
        <f>U769-V769</f>
        <v/>
      </c>
      <c r="X769" s="28">
        <f>IFERROR(W769/U769,0)</f>
        <v/>
      </c>
    </row>
    <row r="770">
      <c r="A770" s="21">
        <f>ItensPedido!A770</f>
        <v/>
      </c>
      <c r="B770" s="21">
        <f>ItensPedido!B770</f>
        <v/>
      </c>
      <c r="C770" s="21">
        <f>ItensPedido!C770</f>
        <v/>
      </c>
      <c r="D770" s="21">
        <f>ItensPedido!D770</f>
        <v/>
      </c>
      <c r="E770" s="22">
        <f>ItensPedido!E770</f>
        <v/>
      </c>
      <c r="F770" s="21">
        <f>IFERROR(INDEX(Pedidos!$B$2:$B$1801,MATCH(B770,Pedidos!$A$2:$A$1801,0)),0)</f>
        <v/>
      </c>
      <c r="G770" s="21">
        <f>IF(F770=0,"",YEAR(F770))</f>
        <v/>
      </c>
      <c r="H770" s="21">
        <f>IF(F770=0,"",MONTH(F770))</f>
        <v/>
      </c>
      <c r="I770" s="21">
        <f>IFERROR(INDEX(Pedidos!$E$2:$E$1801,MATCH(B770,Pedidos!$A$2:$A$1801,0)),"")</f>
        <v/>
      </c>
      <c r="J770" s="21">
        <f>IFERROR(INDEX(Pedidos!$C$2:$C$1801,MATCH(B770,Pedidos!$A$2:$A$1801,0)),"")</f>
        <v/>
      </c>
      <c r="K770" s="21">
        <f>IFERROR(INDEX(Pedidos!$D$2:$D$1801,MATCH(B770,Pedidos!$A$2:$A$1801,0)),"")</f>
        <v/>
      </c>
      <c r="L770" s="21">
        <f>IFERROR(INDEX(Pedidos!$F$2:$F$1801,MATCH(B770,Pedidos!$A$2:$A$1801,0)),"")</f>
        <v/>
      </c>
      <c r="M770" s="22">
        <f>IFERROR(INDEX(Pedidos!$G$2:$G$1801,MATCH(B770,Pedidos!$A$2:$A$1801,0)),0)</f>
        <v/>
      </c>
      <c r="N770" s="21">
        <f>IFERROR(INDEX(Produtos!$B$2:$B$71,MATCH(C770,Produtos!$A$2:$A$71,0)),"")</f>
        <v/>
      </c>
      <c r="O770" s="21">
        <f>IFERROR(INDEX(Produtos!$C$2:$C$71,MATCH(C770,Produtos!$A$2:$A$71,0)),"")</f>
        <v/>
      </c>
      <c r="P770" s="21">
        <f>IFERROR(INDEX(Produtos!$D$2:$D$71,MATCH(C770,Produtos!$A$2:$A$71,0)),0)</f>
        <v/>
      </c>
      <c r="Q770" s="21">
        <f>IFERROR(INDEX(Produtos!$E$2:$E$71,MATCH(C770,Produtos!$A$2:$A$71,0)),0)</f>
        <v/>
      </c>
      <c r="R770" s="23">
        <f>D770*Q770</f>
        <v/>
      </c>
      <c r="S770" s="23">
        <f>R770*E770</f>
        <v/>
      </c>
      <c r="T770" s="23">
        <f>(R770-S770)*M770</f>
        <v/>
      </c>
      <c r="U770" s="23">
        <f>R770-S770-T770</f>
        <v/>
      </c>
      <c r="V770" s="23">
        <f>D770*P770</f>
        <v/>
      </c>
      <c r="W770" s="23">
        <f>U770-V770</f>
        <v/>
      </c>
      <c r="X770" s="24">
        <f>IFERROR(W770/U770,0)</f>
        <v/>
      </c>
    </row>
    <row r="771">
      <c r="A771" s="25">
        <f>ItensPedido!A771</f>
        <v/>
      </c>
      <c r="B771" s="25">
        <f>ItensPedido!B771</f>
        <v/>
      </c>
      <c r="C771" s="25">
        <f>ItensPedido!C771</f>
        <v/>
      </c>
      <c r="D771" s="25">
        <f>ItensPedido!D771</f>
        <v/>
      </c>
      <c r="E771" s="26">
        <f>ItensPedido!E771</f>
        <v/>
      </c>
      <c r="F771" s="25">
        <f>IFERROR(INDEX(Pedidos!$B$2:$B$1801,MATCH(B771,Pedidos!$A$2:$A$1801,0)),0)</f>
        <v/>
      </c>
      <c r="G771" s="25">
        <f>IF(F771=0,"",YEAR(F771))</f>
        <v/>
      </c>
      <c r="H771" s="25">
        <f>IF(F771=0,"",MONTH(F771))</f>
        <v/>
      </c>
      <c r="I771" s="25">
        <f>IFERROR(INDEX(Pedidos!$E$2:$E$1801,MATCH(B771,Pedidos!$A$2:$A$1801,0)),"")</f>
        <v/>
      </c>
      <c r="J771" s="25">
        <f>IFERROR(INDEX(Pedidos!$C$2:$C$1801,MATCH(B771,Pedidos!$A$2:$A$1801,0)),"")</f>
        <v/>
      </c>
      <c r="K771" s="25">
        <f>IFERROR(INDEX(Pedidos!$D$2:$D$1801,MATCH(B771,Pedidos!$A$2:$A$1801,0)),"")</f>
        <v/>
      </c>
      <c r="L771" s="25">
        <f>IFERROR(INDEX(Pedidos!$F$2:$F$1801,MATCH(B771,Pedidos!$A$2:$A$1801,0)),"")</f>
        <v/>
      </c>
      <c r="M771" s="26">
        <f>IFERROR(INDEX(Pedidos!$G$2:$G$1801,MATCH(B771,Pedidos!$A$2:$A$1801,0)),0)</f>
        <v/>
      </c>
      <c r="N771" s="25">
        <f>IFERROR(INDEX(Produtos!$B$2:$B$71,MATCH(C771,Produtos!$A$2:$A$71,0)),"")</f>
        <v/>
      </c>
      <c r="O771" s="25">
        <f>IFERROR(INDEX(Produtos!$C$2:$C$71,MATCH(C771,Produtos!$A$2:$A$71,0)),"")</f>
        <v/>
      </c>
      <c r="P771" s="25">
        <f>IFERROR(INDEX(Produtos!$D$2:$D$71,MATCH(C771,Produtos!$A$2:$A$71,0)),0)</f>
        <v/>
      </c>
      <c r="Q771" s="25">
        <f>IFERROR(INDEX(Produtos!$E$2:$E$71,MATCH(C771,Produtos!$A$2:$A$71,0)),0)</f>
        <v/>
      </c>
      <c r="R771" s="27">
        <f>D771*Q771</f>
        <v/>
      </c>
      <c r="S771" s="27">
        <f>R771*E771</f>
        <v/>
      </c>
      <c r="T771" s="27">
        <f>(R771-S771)*M771</f>
        <v/>
      </c>
      <c r="U771" s="27">
        <f>R771-S771-T771</f>
        <v/>
      </c>
      <c r="V771" s="27">
        <f>D771*P771</f>
        <v/>
      </c>
      <c r="W771" s="27">
        <f>U771-V771</f>
        <v/>
      </c>
      <c r="X771" s="28">
        <f>IFERROR(W771/U771,0)</f>
        <v/>
      </c>
    </row>
    <row r="772">
      <c r="A772" s="21">
        <f>ItensPedido!A772</f>
        <v/>
      </c>
      <c r="B772" s="21">
        <f>ItensPedido!B772</f>
        <v/>
      </c>
      <c r="C772" s="21">
        <f>ItensPedido!C772</f>
        <v/>
      </c>
      <c r="D772" s="21">
        <f>ItensPedido!D772</f>
        <v/>
      </c>
      <c r="E772" s="22">
        <f>ItensPedido!E772</f>
        <v/>
      </c>
      <c r="F772" s="21">
        <f>IFERROR(INDEX(Pedidos!$B$2:$B$1801,MATCH(B772,Pedidos!$A$2:$A$1801,0)),0)</f>
        <v/>
      </c>
      <c r="G772" s="21">
        <f>IF(F772=0,"",YEAR(F772))</f>
        <v/>
      </c>
      <c r="H772" s="21">
        <f>IF(F772=0,"",MONTH(F772))</f>
        <v/>
      </c>
      <c r="I772" s="21">
        <f>IFERROR(INDEX(Pedidos!$E$2:$E$1801,MATCH(B772,Pedidos!$A$2:$A$1801,0)),"")</f>
        <v/>
      </c>
      <c r="J772" s="21">
        <f>IFERROR(INDEX(Pedidos!$C$2:$C$1801,MATCH(B772,Pedidos!$A$2:$A$1801,0)),"")</f>
        <v/>
      </c>
      <c r="K772" s="21">
        <f>IFERROR(INDEX(Pedidos!$D$2:$D$1801,MATCH(B772,Pedidos!$A$2:$A$1801,0)),"")</f>
        <v/>
      </c>
      <c r="L772" s="21">
        <f>IFERROR(INDEX(Pedidos!$F$2:$F$1801,MATCH(B772,Pedidos!$A$2:$A$1801,0)),"")</f>
        <v/>
      </c>
      <c r="M772" s="22">
        <f>IFERROR(INDEX(Pedidos!$G$2:$G$1801,MATCH(B772,Pedidos!$A$2:$A$1801,0)),0)</f>
        <v/>
      </c>
      <c r="N772" s="21">
        <f>IFERROR(INDEX(Produtos!$B$2:$B$71,MATCH(C772,Produtos!$A$2:$A$71,0)),"")</f>
        <v/>
      </c>
      <c r="O772" s="21">
        <f>IFERROR(INDEX(Produtos!$C$2:$C$71,MATCH(C772,Produtos!$A$2:$A$71,0)),"")</f>
        <v/>
      </c>
      <c r="P772" s="21">
        <f>IFERROR(INDEX(Produtos!$D$2:$D$71,MATCH(C772,Produtos!$A$2:$A$71,0)),0)</f>
        <v/>
      </c>
      <c r="Q772" s="21">
        <f>IFERROR(INDEX(Produtos!$E$2:$E$71,MATCH(C772,Produtos!$A$2:$A$71,0)),0)</f>
        <v/>
      </c>
      <c r="R772" s="23">
        <f>D772*Q772</f>
        <v/>
      </c>
      <c r="S772" s="23">
        <f>R772*E772</f>
        <v/>
      </c>
      <c r="T772" s="23">
        <f>(R772-S772)*M772</f>
        <v/>
      </c>
      <c r="U772" s="23">
        <f>R772-S772-T772</f>
        <v/>
      </c>
      <c r="V772" s="23">
        <f>D772*P772</f>
        <v/>
      </c>
      <c r="W772" s="23">
        <f>U772-V772</f>
        <v/>
      </c>
      <c r="X772" s="24">
        <f>IFERROR(W772/U772,0)</f>
        <v/>
      </c>
    </row>
    <row r="773">
      <c r="A773" s="25">
        <f>ItensPedido!A773</f>
        <v/>
      </c>
      <c r="B773" s="25">
        <f>ItensPedido!B773</f>
        <v/>
      </c>
      <c r="C773" s="25">
        <f>ItensPedido!C773</f>
        <v/>
      </c>
      <c r="D773" s="25">
        <f>ItensPedido!D773</f>
        <v/>
      </c>
      <c r="E773" s="26">
        <f>ItensPedido!E773</f>
        <v/>
      </c>
      <c r="F773" s="25">
        <f>IFERROR(INDEX(Pedidos!$B$2:$B$1801,MATCH(B773,Pedidos!$A$2:$A$1801,0)),0)</f>
        <v/>
      </c>
      <c r="G773" s="25">
        <f>IF(F773=0,"",YEAR(F773))</f>
        <v/>
      </c>
      <c r="H773" s="25">
        <f>IF(F773=0,"",MONTH(F773))</f>
        <v/>
      </c>
      <c r="I773" s="25">
        <f>IFERROR(INDEX(Pedidos!$E$2:$E$1801,MATCH(B773,Pedidos!$A$2:$A$1801,0)),"")</f>
        <v/>
      </c>
      <c r="J773" s="25">
        <f>IFERROR(INDEX(Pedidos!$C$2:$C$1801,MATCH(B773,Pedidos!$A$2:$A$1801,0)),"")</f>
        <v/>
      </c>
      <c r="K773" s="25">
        <f>IFERROR(INDEX(Pedidos!$D$2:$D$1801,MATCH(B773,Pedidos!$A$2:$A$1801,0)),"")</f>
        <v/>
      </c>
      <c r="L773" s="25">
        <f>IFERROR(INDEX(Pedidos!$F$2:$F$1801,MATCH(B773,Pedidos!$A$2:$A$1801,0)),"")</f>
        <v/>
      </c>
      <c r="M773" s="26">
        <f>IFERROR(INDEX(Pedidos!$G$2:$G$1801,MATCH(B773,Pedidos!$A$2:$A$1801,0)),0)</f>
        <v/>
      </c>
      <c r="N773" s="25">
        <f>IFERROR(INDEX(Produtos!$B$2:$B$71,MATCH(C773,Produtos!$A$2:$A$71,0)),"")</f>
        <v/>
      </c>
      <c r="O773" s="25">
        <f>IFERROR(INDEX(Produtos!$C$2:$C$71,MATCH(C773,Produtos!$A$2:$A$71,0)),"")</f>
        <v/>
      </c>
      <c r="P773" s="25">
        <f>IFERROR(INDEX(Produtos!$D$2:$D$71,MATCH(C773,Produtos!$A$2:$A$71,0)),0)</f>
        <v/>
      </c>
      <c r="Q773" s="25">
        <f>IFERROR(INDEX(Produtos!$E$2:$E$71,MATCH(C773,Produtos!$A$2:$A$71,0)),0)</f>
        <v/>
      </c>
      <c r="R773" s="27">
        <f>D773*Q773</f>
        <v/>
      </c>
      <c r="S773" s="27">
        <f>R773*E773</f>
        <v/>
      </c>
      <c r="T773" s="27">
        <f>(R773-S773)*M773</f>
        <v/>
      </c>
      <c r="U773" s="27">
        <f>R773-S773-T773</f>
        <v/>
      </c>
      <c r="V773" s="27">
        <f>D773*P773</f>
        <v/>
      </c>
      <c r="W773" s="27">
        <f>U773-V773</f>
        <v/>
      </c>
      <c r="X773" s="28">
        <f>IFERROR(W773/U773,0)</f>
        <v/>
      </c>
    </row>
    <row r="774">
      <c r="A774" s="21">
        <f>ItensPedido!A774</f>
        <v/>
      </c>
      <c r="B774" s="21">
        <f>ItensPedido!B774</f>
        <v/>
      </c>
      <c r="C774" s="21">
        <f>ItensPedido!C774</f>
        <v/>
      </c>
      <c r="D774" s="21">
        <f>ItensPedido!D774</f>
        <v/>
      </c>
      <c r="E774" s="22">
        <f>ItensPedido!E774</f>
        <v/>
      </c>
      <c r="F774" s="21">
        <f>IFERROR(INDEX(Pedidos!$B$2:$B$1801,MATCH(B774,Pedidos!$A$2:$A$1801,0)),0)</f>
        <v/>
      </c>
      <c r="G774" s="21">
        <f>IF(F774=0,"",YEAR(F774))</f>
        <v/>
      </c>
      <c r="H774" s="21">
        <f>IF(F774=0,"",MONTH(F774))</f>
        <v/>
      </c>
      <c r="I774" s="21">
        <f>IFERROR(INDEX(Pedidos!$E$2:$E$1801,MATCH(B774,Pedidos!$A$2:$A$1801,0)),"")</f>
        <v/>
      </c>
      <c r="J774" s="21">
        <f>IFERROR(INDEX(Pedidos!$C$2:$C$1801,MATCH(B774,Pedidos!$A$2:$A$1801,0)),"")</f>
        <v/>
      </c>
      <c r="K774" s="21">
        <f>IFERROR(INDEX(Pedidos!$D$2:$D$1801,MATCH(B774,Pedidos!$A$2:$A$1801,0)),"")</f>
        <v/>
      </c>
      <c r="L774" s="21">
        <f>IFERROR(INDEX(Pedidos!$F$2:$F$1801,MATCH(B774,Pedidos!$A$2:$A$1801,0)),"")</f>
        <v/>
      </c>
      <c r="M774" s="22">
        <f>IFERROR(INDEX(Pedidos!$G$2:$G$1801,MATCH(B774,Pedidos!$A$2:$A$1801,0)),0)</f>
        <v/>
      </c>
      <c r="N774" s="21">
        <f>IFERROR(INDEX(Produtos!$B$2:$B$71,MATCH(C774,Produtos!$A$2:$A$71,0)),"")</f>
        <v/>
      </c>
      <c r="O774" s="21">
        <f>IFERROR(INDEX(Produtos!$C$2:$C$71,MATCH(C774,Produtos!$A$2:$A$71,0)),"")</f>
        <v/>
      </c>
      <c r="P774" s="21">
        <f>IFERROR(INDEX(Produtos!$D$2:$D$71,MATCH(C774,Produtos!$A$2:$A$71,0)),0)</f>
        <v/>
      </c>
      <c r="Q774" s="21">
        <f>IFERROR(INDEX(Produtos!$E$2:$E$71,MATCH(C774,Produtos!$A$2:$A$71,0)),0)</f>
        <v/>
      </c>
      <c r="R774" s="23">
        <f>D774*Q774</f>
        <v/>
      </c>
      <c r="S774" s="23">
        <f>R774*E774</f>
        <v/>
      </c>
      <c r="T774" s="23">
        <f>(R774-S774)*M774</f>
        <v/>
      </c>
      <c r="U774" s="23">
        <f>R774-S774-T774</f>
        <v/>
      </c>
      <c r="V774" s="23">
        <f>D774*P774</f>
        <v/>
      </c>
      <c r="W774" s="23">
        <f>U774-V774</f>
        <v/>
      </c>
      <c r="X774" s="24">
        <f>IFERROR(W774/U774,0)</f>
        <v/>
      </c>
    </row>
    <row r="775">
      <c r="A775" s="25">
        <f>ItensPedido!A775</f>
        <v/>
      </c>
      <c r="B775" s="25">
        <f>ItensPedido!B775</f>
        <v/>
      </c>
      <c r="C775" s="25">
        <f>ItensPedido!C775</f>
        <v/>
      </c>
      <c r="D775" s="25">
        <f>ItensPedido!D775</f>
        <v/>
      </c>
      <c r="E775" s="26">
        <f>ItensPedido!E775</f>
        <v/>
      </c>
      <c r="F775" s="25">
        <f>IFERROR(INDEX(Pedidos!$B$2:$B$1801,MATCH(B775,Pedidos!$A$2:$A$1801,0)),0)</f>
        <v/>
      </c>
      <c r="G775" s="25">
        <f>IF(F775=0,"",YEAR(F775))</f>
        <v/>
      </c>
      <c r="H775" s="25">
        <f>IF(F775=0,"",MONTH(F775))</f>
        <v/>
      </c>
      <c r="I775" s="25">
        <f>IFERROR(INDEX(Pedidos!$E$2:$E$1801,MATCH(B775,Pedidos!$A$2:$A$1801,0)),"")</f>
        <v/>
      </c>
      <c r="J775" s="25">
        <f>IFERROR(INDEX(Pedidos!$C$2:$C$1801,MATCH(B775,Pedidos!$A$2:$A$1801,0)),"")</f>
        <v/>
      </c>
      <c r="K775" s="25">
        <f>IFERROR(INDEX(Pedidos!$D$2:$D$1801,MATCH(B775,Pedidos!$A$2:$A$1801,0)),"")</f>
        <v/>
      </c>
      <c r="L775" s="25">
        <f>IFERROR(INDEX(Pedidos!$F$2:$F$1801,MATCH(B775,Pedidos!$A$2:$A$1801,0)),"")</f>
        <v/>
      </c>
      <c r="M775" s="26">
        <f>IFERROR(INDEX(Pedidos!$G$2:$G$1801,MATCH(B775,Pedidos!$A$2:$A$1801,0)),0)</f>
        <v/>
      </c>
      <c r="N775" s="25">
        <f>IFERROR(INDEX(Produtos!$B$2:$B$71,MATCH(C775,Produtos!$A$2:$A$71,0)),"")</f>
        <v/>
      </c>
      <c r="O775" s="25">
        <f>IFERROR(INDEX(Produtos!$C$2:$C$71,MATCH(C775,Produtos!$A$2:$A$71,0)),"")</f>
        <v/>
      </c>
      <c r="P775" s="25">
        <f>IFERROR(INDEX(Produtos!$D$2:$D$71,MATCH(C775,Produtos!$A$2:$A$71,0)),0)</f>
        <v/>
      </c>
      <c r="Q775" s="25">
        <f>IFERROR(INDEX(Produtos!$E$2:$E$71,MATCH(C775,Produtos!$A$2:$A$71,0)),0)</f>
        <v/>
      </c>
      <c r="R775" s="27">
        <f>D775*Q775</f>
        <v/>
      </c>
      <c r="S775" s="27">
        <f>R775*E775</f>
        <v/>
      </c>
      <c r="T775" s="27">
        <f>(R775-S775)*M775</f>
        <v/>
      </c>
      <c r="U775" s="27">
        <f>R775-S775-T775</f>
        <v/>
      </c>
      <c r="V775" s="27">
        <f>D775*P775</f>
        <v/>
      </c>
      <c r="W775" s="27">
        <f>U775-V775</f>
        <v/>
      </c>
      <c r="X775" s="28">
        <f>IFERROR(W775/U775,0)</f>
        <v/>
      </c>
    </row>
    <row r="776">
      <c r="A776" s="21">
        <f>ItensPedido!A776</f>
        <v/>
      </c>
      <c r="B776" s="21">
        <f>ItensPedido!B776</f>
        <v/>
      </c>
      <c r="C776" s="21">
        <f>ItensPedido!C776</f>
        <v/>
      </c>
      <c r="D776" s="21">
        <f>ItensPedido!D776</f>
        <v/>
      </c>
      <c r="E776" s="22">
        <f>ItensPedido!E776</f>
        <v/>
      </c>
      <c r="F776" s="21">
        <f>IFERROR(INDEX(Pedidos!$B$2:$B$1801,MATCH(B776,Pedidos!$A$2:$A$1801,0)),0)</f>
        <v/>
      </c>
      <c r="G776" s="21">
        <f>IF(F776=0,"",YEAR(F776))</f>
        <v/>
      </c>
      <c r="H776" s="21">
        <f>IF(F776=0,"",MONTH(F776))</f>
        <v/>
      </c>
      <c r="I776" s="21">
        <f>IFERROR(INDEX(Pedidos!$E$2:$E$1801,MATCH(B776,Pedidos!$A$2:$A$1801,0)),"")</f>
        <v/>
      </c>
      <c r="J776" s="21">
        <f>IFERROR(INDEX(Pedidos!$C$2:$C$1801,MATCH(B776,Pedidos!$A$2:$A$1801,0)),"")</f>
        <v/>
      </c>
      <c r="K776" s="21">
        <f>IFERROR(INDEX(Pedidos!$D$2:$D$1801,MATCH(B776,Pedidos!$A$2:$A$1801,0)),"")</f>
        <v/>
      </c>
      <c r="L776" s="21">
        <f>IFERROR(INDEX(Pedidos!$F$2:$F$1801,MATCH(B776,Pedidos!$A$2:$A$1801,0)),"")</f>
        <v/>
      </c>
      <c r="M776" s="22">
        <f>IFERROR(INDEX(Pedidos!$G$2:$G$1801,MATCH(B776,Pedidos!$A$2:$A$1801,0)),0)</f>
        <v/>
      </c>
      <c r="N776" s="21">
        <f>IFERROR(INDEX(Produtos!$B$2:$B$71,MATCH(C776,Produtos!$A$2:$A$71,0)),"")</f>
        <v/>
      </c>
      <c r="O776" s="21">
        <f>IFERROR(INDEX(Produtos!$C$2:$C$71,MATCH(C776,Produtos!$A$2:$A$71,0)),"")</f>
        <v/>
      </c>
      <c r="P776" s="21">
        <f>IFERROR(INDEX(Produtos!$D$2:$D$71,MATCH(C776,Produtos!$A$2:$A$71,0)),0)</f>
        <v/>
      </c>
      <c r="Q776" s="21">
        <f>IFERROR(INDEX(Produtos!$E$2:$E$71,MATCH(C776,Produtos!$A$2:$A$71,0)),0)</f>
        <v/>
      </c>
      <c r="R776" s="23">
        <f>D776*Q776</f>
        <v/>
      </c>
      <c r="S776" s="23">
        <f>R776*E776</f>
        <v/>
      </c>
      <c r="T776" s="23">
        <f>(R776-S776)*M776</f>
        <v/>
      </c>
      <c r="U776" s="23">
        <f>R776-S776-T776</f>
        <v/>
      </c>
      <c r="V776" s="23">
        <f>D776*P776</f>
        <v/>
      </c>
      <c r="W776" s="23">
        <f>U776-V776</f>
        <v/>
      </c>
      <c r="X776" s="24">
        <f>IFERROR(W776/U776,0)</f>
        <v/>
      </c>
    </row>
    <row r="777">
      <c r="A777" s="25">
        <f>ItensPedido!A777</f>
        <v/>
      </c>
      <c r="B777" s="25">
        <f>ItensPedido!B777</f>
        <v/>
      </c>
      <c r="C777" s="25">
        <f>ItensPedido!C777</f>
        <v/>
      </c>
      <c r="D777" s="25">
        <f>ItensPedido!D777</f>
        <v/>
      </c>
      <c r="E777" s="26">
        <f>ItensPedido!E777</f>
        <v/>
      </c>
      <c r="F777" s="25">
        <f>IFERROR(INDEX(Pedidos!$B$2:$B$1801,MATCH(B777,Pedidos!$A$2:$A$1801,0)),0)</f>
        <v/>
      </c>
      <c r="G777" s="25">
        <f>IF(F777=0,"",YEAR(F777))</f>
        <v/>
      </c>
      <c r="H777" s="25">
        <f>IF(F777=0,"",MONTH(F777))</f>
        <v/>
      </c>
      <c r="I777" s="25">
        <f>IFERROR(INDEX(Pedidos!$E$2:$E$1801,MATCH(B777,Pedidos!$A$2:$A$1801,0)),"")</f>
        <v/>
      </c>
      <c r="J777" s="25">
        <f>IFERROR(INDEX(Pedidos!$C$2:$C$1801,MATCH(B777,Pedidos!$A$2:$A$1801,0)),"")</f>
        <v/>
      </c>
      <c r="K777" s="25">
        <f>IFERROR(INDEX(Pedidos!$D$2:$D$1801,MATCH(B777,Pedidos!$A$2:$A$1801,0)),"")</f>
        <v/>
      </c>
      <c r="L777" s="25">
        <f>IFERROR(INDEX(Pedidos!$F$2:$F$1801,MATCH(B777,Pedidos!$A$2:$A$1801,0)),"")</f>
        <v/>
      </c>
      <c r="M777" s="26">
        <f>IFERROR(INDEX(Pedidos!$G$2:$G$1801,MATCH(B777,Pedidos!$A$2:$A$1801,0)),0)</f>
        <v/>
      </c>
      <c r="N777" s="25">
        <f>IFERROR(INDEX(Produtos!$B$2:$B$71,MATCH(C777,Produtos!$A$2:$A$71,0)),"")</f>
        <v/>
      </c>
      <c r="O777" s="25">
        <f>IFERROR(INDEX(Produtos!$C$2:$C$71,MATCH(C777,Produtos!$A$2:$A$71,0)),"")</f>
        <v/>
      </c>
      <c r="P777" s="25">
        <f>IFERROR(INDEX(Produtos!$D$2:$D$71,MATCH(C777,Produtos!$A$2:$A$71,0)),0)</f>
        <v/>
      </c>
      <c r="Q777" s="25">
        <f>IFERROR(INDEX(Produtos!$E$2:$E$71,MATCH(C777,Produtos!$A$2:$A$71,0)),0)</f>
        <v/>
      </c>
      <c r="R777" s="27">
        <f>D777*Q777</f>
        <v/>
      </c>
      <c r="S777" s="27">
        <f>R777*E777</f>
        <v/>
      </c>
      <c r="T777" s="27">
        <f>(R777-S777)*M777</f>
        <v/>
      </c>
      <c r="U777" s="27">
        <f>R777-S777-T777</f>
        <v/>
      </c>
      <c r="V777" s="27">
        <f>D777*P777</f>
        <v/>
      </c>
      <c r="W777" s="27">
        <f>U777-V777</f>
        <v/>
      </c>
      <c r="X777" s="28">
        <f>IFERROR(W777/U777,0)</f>
        <v/>
      </c>
    </row>
    <row r="778">
      <c r="A778" s="21">
        <f>ItensPedido!A778</f>
        <v/>
      </c>
      <c r="B778" s="21">
        <f>ItensPedido!B778</f>
        <v/>
      </c>
      <c r="C778" s="21">
        <f>ItensPedido!C778</f>
        <v/>
      </c>
      <c r="D778" s="21">
        <f>ItensPedido!D778</f>
        <v/>
      </c>
      <c r="E778" s="22">
        <f>ItensPedido!E778</f>
        <v/>
      </c>
      <c r="F778" s="21">
        <f>IFERROR(INDEX(Pedidos!$B$2:$B$1801,MATCH(B778,Pedidos!$A$2:$A$1801,0)),0)</f>
        <v/>
      </c>
      <c r="G778" s="21">
        <f>IF(F778=0,"",YEAR(F778))</f>
        <v/>
      </c>
      <c r="H778" s="21">
        <f>IF(F778=0,"",MONTH(F778))</f>
        <v/>
      </c>
      <c r="I778" s="21">
        <f>IFERROR(INDEX(Pedidos!$E$2:$E$1801,MATCH(B778,Pedidos!$A$2:$A$1801,0)),"")</f>
        <v/>
      </c>
      <c r="J778" s="21">
        <f>IFERROR(INDEX(Pedidos!$C$2:$C$1801,MATCH(B778,Pedidos!$A$2:$A$1801,0)),"")</f>
        <v/>
      </c>
      <c r="K778" s="21">
        <f>IFERROR(INDEX(Pedidos!$D$2:$D$1801,MATCH(B778,Pedidos!$A$2:$A$1801,0)),"")</f>
        <v/>
      </c>
      <c r="L778" s="21">
        <f>IFERROR(INDEX(Pedidos!$F$2:$F$1801,MATCH(B778,Pedidos!$A$2:$A$1801,0)),"")</f>
        <v/>
      </c>
      <c r="M778" s="22">
        <f>IFERROR(INDEX(Pedidos!$G$2:$G$1801,MATCH(B778,Pedidos!$A$2:$A$1801,0)),0)</f>
        <v/>
      </c>
      <c r="N778" s="21">
        <f>IFERROR(INDEX(Produtos!$B$2:$B$71,MATCH(C778,Produtos!$A$2:$A$71,0)),"")</f>
        <v/>
      </c>
      <c r="O778" s="21">
        <f>IFERROR(INDEX(Produtos!$C$2:$C$71,MATCH(C778,Produtos!$A$2:$A$71,0)),"")</f>
        <v/>
      </c>
      <c r="P778" s="21">
        <f>IFERROR(INDEX(Produtos!$D$2:$D$71,MATCH(C778,Produtos!$A$2:$A$71,0)),0)</f>
        <v/>
      </c>
      <c r="Q778" s="21">
        <f>IFERROR(INDEX(Produtos!$E$2:$E$71,MATCH(C778,Produtos!$A$2:$A$71,0)),0)</f>
        <v/>
      </c>
      <c r="R778" s="23">
        <f>D778*Q778</f>
        <v/>
      </c>
      <c r="S778" s="23">
        <f>R778*E778</f>
        <v/>
      </c>
      <c r="T778" s="23">
        <f>(R778-S778)*M778</f>
        <v/>
      </c>
      <c r="U778" s="23">
        <f>R778-S778-T778</f>
        <v/>
      </c>
      <c r="V778" s="23">
        <f>D778*P778</f>
        <v/>
      </c>
      <c r="W778" s="23">
        <f>U778-V778</f>
        <v/>
      </c>
      <c r="X778" s="24">
        <f>IFERROR(W778/U778,0)</f>
        <v/>
      </c>
    </row>
    <row r="779">
      <c r="A779" s="25">
        <f>ItensPedido!A779</f>
        <v/>
      </c>
      <c r="B779" s="25">
        <f>ItensPedido!B779</f>
        <v/>
      </c>
      <c r="C779" s="25">
        <f>ItensPedido!C779</f>
        <v/>
      </c>
      <c r="D779" s="25">
        <f>ItensPedido!D779</f>
        <v/>
      </c>
      <c r="E779" s="26">
        <f>ItensPedido!E779</f>
        <v/>
      </c>
      <c r="F779" s="25">
        <f>IFERROR(INDEX(Pedidos!$B$2:$B$1801,MATCH(B779,Pedidos!$A$2:$A$1801,0)),0)</f>
        <v/>
      </c>
      <c r="G779" s="25">
        <f>IF(F779=0,"",YEAR(F779))</f>
        <v/>
      </c>
      <c r="H779" s="25">
        <f>IF(F779=0,"",MONTH(F779))</f>
        <v/>
      </c>
      <c r="I779" s="25">
        <f>IFERROR(INDEX(Pedidos!$E$2:$E$1801,MATCH(B779,Pedidos!$A$2:$A$1801,0)),"")</f>
        <v/>
      </c>
      <c r="J779" s="25">
        <f>IFERROR(INDEX(Pedidos!$C$2:$C$1801,MATCH(B779,Pedidos!$A$2:$A$1801,0)),"")</f>
        <v/>
      </c>
      <c r="K779" s="25">
        <f>IFERROR(INDEX(Pedidos!$D$2:$D$1801,MATCH(B779,Pedidos!$A$2:$A$1801,0)),"")</f>
        <v/>
      </c>
      <c r="L779" s="25">
        <f>IFERROR(INDEX(Pedidos!$F$2:$F$1801,MATCH(B779,Pedidos!$A$2:$A$1801,0)),"")</f>
        <v/>
      </c>
      <c r="M779" s="26">
        <f>IFERROR(INDEX(Pedidos!$G$2:$G$1801,MATCH(B779,Pedidos!$A$2:$A$1801,0)),0)</f>
        <v/>
      </c>
      <c r="N779" s="25">
        <f>IFERROR(INDEX(Produtos!$B$2:$B$71,MATCH(C779,Produtos!$A$2:$A$71,0)),"")</f>
        <v/>
      </c>
      <c r="O779" s="25">
        <f>IFERROR(INDEX(Produtos!$C$2:$C$71,MATCH(C779,Produtos!$A$2:$A$71,0)),"")</f>
        <v/>
      </c>
      <c r="P779" s="25">
        <f>IFERROR(INDEX(Produtos!$D$2:$D$71,MATCH(C779,Produtos!$A$2:$A$71,0)),0)</f>
        <v/>
      </c>
      <c r="Q779" s="25">
        <f>IFERROR(INDEX(Produtos!$E$2:$E$71,MATCH(C779,Produtos!$A$2:$A$71,0)),0)</f>
        <v/>
      </c>
      <c r="R779" s="27">
        <f>D779*Q779</f>
        <v/>
      </c>
      <c r="S779" s="27">
        <f>R779*E779</f>
        <v/>
      </c>
      <c r="T779" s="27">
        <f>(R779-S779)*M779</f>
        <v/>
      </c>
      <c r="U779" s="27">
        <f>R779-S779-T779</f>
        <v/>
      </c>
      <c r="V779" s="27">
        <f>D779*P779</f>
        <v/>
      </c>
      <c r="W779" s="27">
        <f>U779-V779</f>
        <v/>
      </c>
      <c r="X779" s="28">
        <f>IFERROR(W779/U779,0)</f>
        <v/>
      </c>
    </row>
    <row r="780">
      <c r="A780" s="21">
        <f>ItensPedido!A780</f>
        <v/>
      </c>
      <c r="B780" s="21">
        <f>ItensPedido!B780</f>
        <v/>
      </c>
      <c r="C780" s="21">
        <f>ItensPedido!C780</f>
        <v/>
      </c>
      <c r="D780" s="21">
        <f>ItensPedido!D780</f>
        <v/>
      </c>
      <c r="E780" s="22">
        <f>ItensPedido!E780</f>
        <v/>
      </c>
      <c r="F780" s="21">
        <f>IFERROR(INDEX(Pedidos!$B$2:$B$1801,MATCH(B780,Pedidos!$A$2:$A$1801,0)),0)</f>
        <v/>
      </c>
      <c r="G780" s="21">
        <f>IF(F780=0,"",YEAR(F780))</f>
        <v/>
      </c>
      <c r="H780" s="21">
        <f>IF(F780=0,"",MONTH(F780))</f>
        <v/>
      </c>
      <c r="I780" s="21">
        <f>IFERROR(INDEX(Pedidos!$E$2:$E$1801,MATCH(B780,Pedidos!$A$2:$A$1801,0)),"")</f>
        <v/>
      </c>
      <c r="J780" s="21">
        <f>IFERROR(INDEX(Pedidos!$C$2:$C$1801,MATCH(B780,Pedidos!$A$2:$A$1801,0)),"")</f>
        <v/>
      </c>
      <c r="K780" s="21">
        <f>IFERROR(INDEX(Pedidos!$D$2:$D$1801,MATCH(B780,Pedidos!$A$2:$A$1801,0)),"")</f>
        <v/>
      </c>
      <c r="L780" s="21">
        <f>IFERROR(INDEX(Pedidos!$F$2:$F$1801,MATCH(B780,Pedidos!$A$2:$A$1801,0)),"")</f>
        <v/>
      </c>
      <c r="M780" s="22">
        <f>IFERROR(INDEX(Pedidos!$G$2:$G$1801,MATCH(B780,Pedidos!$A$2:$A$1801,0)),0)</f>
        <v/>
      </c>
      <c r="N780" s="21">
        <f>IFERROR(INDEX(Produtos!$B$2:$B$71,MATCH(C780,Produtos!$A$2:$A$71,0)),"")</f>
        <v/>
      </c>
      <c r="O780" s="21">
        <f>IFERROR(INDEX(Produtos!$C$2:$C$71,MATCH(C780,Produtos!$A$2:$A$71,0)),"")</f>
        <v/>
      </c>
      <c r="P780" s="21">
        <f>IFERROR(INDEX(Produtos!$D$2:$D$71,MATCH(C780,Produtos!$A$2:$A$71,0)),0)</f>
        <v/>
      </c>
      <c r="Q780" s="21">
        <f>IFERROR(INDEX(Produtos!$E$2:$E$71,MATCH(C780,Produtos!$A$2:$A$71,0)),0)</f>
        <v/>
      </c>
      <c r="R780" s="23">
        <f>D780*Q780</f>
        <v/>
      </c>
      <c r="S780" s="23">
        <f>R780*E780</f>
        <v/>
      </c>
      <c r="T780" s="23">
        <f>(R780-S780)*M780</f>
        <v/>
      </c>
      <c r="U780" s="23">
        <f>R780-S780-T780</f>
        <v/>
      </c>
      <c r="V780" s="23">
        <f>D780*P780</f>
        <v/>
      </c>
      <c r="W780" s="23">
        <f>U780-V780</f>
        <v/>
      </c>
      <c r="X780" s="24">
        <f>IFERROR(W780/U780,0)</f>
        <v/>
      </c>
    </row>
    <row r="781">
      <c r="A781" s="25">
        <f>ItensPedido!A781</f>
        <v/>
      </c>
      <c r="B781" s="25">
        <f>ItensPedido!B781</f>
        <v/>
      </c>
      <c r="C781" s="25">
        <f>ItensPedido!C781</f>
        <v/>
      </c>
      <c r="D781" s="25">
        <f>ItensPedido!D781</f>
        <v/>
      </c>
      <c r="E781" s="26">
        <f>ItensPedido!E781</f>
        <v/>
      </c>
      <c r="F781" s="25">
        <f>IFERROR(INDEX(Pedidos!$B$2:$B$1801,MATCH(B781,Pedidos!$A$2:$A$1801,0)),0)</f>
        <v/>
      </c>
      <c r="G781" s="25">
        <f>IF(F781=0,"",YEAR(F781))</f>
        <v/>
      </c>
      <c r="H781" s="25">
        <f>IF(F781=0,"",MONTH(F781))</f>
        <v/>
      </c>
      <c r="I781" s="25">
        <f>IFERROR(INDEX(Pedidos!$E$2:$E$1801,MATCH(B781,Pedidos!$A$2:$A$1801,0)),"")</f>
        <v/>
      </c>
      <c r="J781" s="25">
        <f>IFERROR(INDEX(Pedidos!$C$2:$C$1801,MATCH(B781,Pedidos!$A$2:$A$1801,0)),"")</f>
        <v/>
      </c>
      <c r="K781" s="25">
        <f>IFERROR(INDEX(Pedidos!$D$2:$D$1801,MATCH(B781,Pedidos!$A$2:$A$1801,0)),"")</f>
        <v/>
      </c>
      <c r="L781" s="25">
        <f>IFERROR(INDEX(Pedidos!$F$2:$F$1801,MATCH(B781,Pedidos!$A$2:$A$1801,0)),"")</f>
        <v/>
      </c>
      <c r="M781" s="26">
        <f>IFERROR(INDEX(Pedidos!$G$2:$G$1801,MATCH(B781,Pedidos!$A$2:$A$1801,0)),0)</f>
        <v/>
      </c>
      <c r="N781" s="25">
        <f>IFERROR(INDEX(Produtos!$B$2:$B$71,MATCH(C781,Produtos!$A$2:$A$71,0)),"")</f>
        <v/>
      </c>
      <c r="O781" s="25">
        <f>IFERROR(INDEX(Produtos!$C$2:$C$71,MATCH(C781,Produtos!$A$2:$A$71,0)),"")</f>
        <v/>
      </c>
      <c r="P781" s="25">
        <f>IFERROR(INDEX(Produtos!$D$2:$D$71,MATCH(C781,Produtos!$A$2:$A$71,0)),0)</f>
        <v/>
      </c>
      <c r="Q781" s="25">
        <f>IFERROR(INDEX(Produtos!$E$2:$E$71,MATCH(C781,Produtos!$A$2:$A$71,0)),0)</f>
        <v/>
      </c>
      <c r="R781" s="27">
        <f>D781*Q781</f>
        <v/>
      </c>
      <c r="S781" s="27">
        <f>R781*E781</f>
        <v/>
      </c>
      <c r="T781" s="27">
        <f>(R781-S781)*M781</f>
        <v/>
      </c>
      <c r="U781" s="27">
        <f>R781-S781-T781</f>
        <v/>
      </c>
      <c r="V781" s="27">
        <f>D781*P781</f>
        <v/>
      </c>
      <c r="W781" s="27">
        <f>U781-V781</f>
        <v/>
      </c>
      <c r="X781" s="28">
        <f>IFERROR(W781/U781,0)</f>
        <v/>
      </c>
    </row>
    <row r="782">
      <c r="A782" s="21">
        <f>ItensPedido!A782</f>
        <v/>
      </c>
      <c r="B782" s="21">
        <f>ItensPedido!B782</f>
        <v/>
      </c>
      <c r="C782" s="21">
        <f>ItensPedido!C782</f>
        <v/>
      </c>
      <c r="D782" s="21">
        <f>ItensPedido!D782</f>
        <v/>
      </c>
      <c r="E782" s="22">
        <f>ItensPedido!E782</f>
        <v/>
      </c>
      <c r="F782" s="21">
        <f>IFERROR(INDEX(Pedidos!$B$2:$B$1801,MATCH(B782,Pedidos!$A$2:$A$1801,0)),0)</f>
        <v/>
      </c>
      <c r="G782" s="21">
        <f>IF(F782=0,"",YEAR(F782))</f>
        <v/>
      </c>
      <c r="H782" s="21">
        <f>IF(F782=0,"",MONTH(F782))</f>
        <v/>
      </c>
      <c r="I782" s="21">
        <f>IFERROR(INDEX(Pedidos!$E$2:$E$1801,MATCH(B782,Pedidos!$A$2:$A$1801,0)),"")</f>
        <v/>
      </c>
      <c r="J782" s="21">
        <f>IFERROR(INDEX(Pedidos!$C$2:$C$1801,MATCH(B782,Pedidos!$A$2:$A$1801,0)),"")</f>
        <v/>
      </c>
      <c r="K782" s="21">
        <f>IFERROR(INDEX(Pedidos!$D$2:$D$1801,MATCH(B782,Pedidos!$A$2:$A$1801,0)),"")</f>
        <v/>
      </c>
      <c r="L782" s="21">
        <f>IFERROR(INDEX(Pedidos!$F$2:$F$1801,MATCH(B782,Pedidos!$A$2:$A$1801,0)),"")</f>
        <v/>
      </c>
      <c r="M782" s="22">
        <f>IFERROR(INDEX(Pedidos!$G$2:$G$1801,MATCH(B782,Pedidos!$A$2:$A$1801,0)),0)</f>
        <v/>
      </c>
      <c r="N782" s="21">
        <f>IFERROR(INDEX(Produtos!$B$2:$B$71,MATCH(C782,Produtos!$A$2:$A$71,0)),"")</f>
        <v/>
      </c>
      <c r="O782" s="21">
        <f>IFERROR(INDEX(Produtos!$C$2:$C$71,MATCH(C782,Produtos!$A$2:$A$71,0)),"")</f>
        <v/>
      </c>
      <c r="P782" s="21">
        <f>IFERROR(INDEX(Produtos!$D$2:$D$71,MATCH(C782,Produtos!$A$2:$A$71,0)),0)</f>
        <v/>
      </c>
      <c r="Q782" s="21">
        <f>IFERROR(INDEX(Produtos!$E$2:$E$71,MATCH(C782,Produtos!$A$2:$A$71,0)),0)</f>
        <v/>
      </c>
      <c r="R782" s="23">
        <f>D782*Q782</f>
        <v/>
      </c>
      <c r="S782" s="23">
        <f>R782*E782</f>
        <v/>
      </c>
      <c r="T782" s="23">
        <f>(R782-S782)*M782</f>
        <v/>
      </c>
      <c r="U782" s="23">
        <f>R782-S782-T782</f>
        <v/>
      </c>
      <c r="V782" s="23">
        <f>D782*P782</f>
        <v/>
      </c>
      <c r="W782" s="23">
        <f>U782-V782</f>
        <v/>
      </c>
      <c r="X782" s="24">
        <f>IFERROR(W782/U782,0)</f>
        <v/>
      </c>
    </row>
    <row r="783">
      <c r="A783" s="25">
        <f>ItensPedido!A783</f>
        <v/>
      </c>
      <c r="B783" s="25">
        <f>ItensPedido!B783</f>
        <v/>
      </c>
      <c r="C783" s="25">
        <f>ItensPedido!C783</f>
        <v/>
      </c>
      <c r="D783" s="25">
        <f>ItensPedido!D783</f>
        <v/>
      </c>
      <c r="E783" s="26">
        <f>ItensPedido!E783</f>
        <v/>
      </c>
      <c r="F783" s="25">
        <f>IFERROR(INDEX(Pedidos!$B$2:$B$1801,MATCH(B783,Pedidos!$A$2:$A$1801,0)),0)</f>
        <v/>
      </c>
      <c r="G783" s="25">
        <f>IF(F783=0,"",YEAR(F783))</f>
        <v/>
      </c>
      <c r="H783" s="25">
        <f>IF(F783=0,"",MONTH(F783))</f>
        <v/>
      </c>
      <c r="I783" s="25">
        <f>IFERROR(INDEX(Pedidos!$E$2:$E$1801,MATCH(B783,Pedidos!$A$2:$A$1801,0)),"")</f>
        <v/>
      </c>
      <c r="J783" s="25">
        <f>IFERROR(INDEX(Pedidos!$C$2:$C$1801,MATCH(B783,Pedidos!$A$2:$A$1801,0)),"")</f>
        <v/>
      </c>
      <c r="K783" s="25">
        <f>IFERROR(INDEX(Pedidos!$D$2:$D$1801,MATCH(B783,Pedidos!$A$2:$A$1801,0)),"")</f>
        <v/>
      </c>
      <c r="L783" s="25">
        <f>IFERROR(INDEX(Pedidos!$F$2:$F$1801,MATCH(B783,Pedidos!$A$2:$A$1801,0)),"")</f>
        <v/>
      </c>
      <c r="M783" s="26">
        <f>IFERROR(INDEX(Pedidos!$G$2:$G$1801,MATCH(B783,Pedidos!$A$2:$A$1801,0)),0)</f>
        <v/>
      </c>
      <c r="N783" s="25">
        <f>IFERROR(INDEX(Produtos!$B$2:$B$71,MATCH(C783,Produtos!$A$2:$A$71,0)),"")</f>
        <v/>
      </c>
      <c r="O783" s="25">
        <f>IFERROR(INDEX(Produtos!$C$2:$C$71,MATCH(C783,Produtos!$A$2:$A$71,0)),"")</f>
        <v/>
      </c>
      <c r="P783" s="25">
        <f>IFERROR(INDEX(Produtos!$D$2:$D$71,MATCH(C783,Produtos!$A$2:$A$71,0)),0)</f>
        <v/>
      </c>
      <c r="Q783" s="25">
        <f>IFERROR(INDEX(Produtos!$E$2:$E$71,MATCH(C783,Produtos!$A$2:$A$71,0)),0)</f>
        <v/>
      </c>
      <c r="R783" s="27">
        <f>D783*Q783</f>
        <v/>
      </c>
      <c r="S783" s="27">
        <f>R783*E783</f>
        <v/>
      </c>
      <c r="T783" s="27">
        <f>(R783-S783)*M783</f>
        <v/>
      </c>
      <c r="U783" s="27">
        <f>R783-S783-T783</f>
        <v/>
      </c>
      <c r="V783" s="27">
        <f>D783*P783</f>
        <v/>
      </c>
      <c r="W783" s="27">
        <f>U783-V783</f>
        <v/>
      </c>
      <c r="X783" s="28">
        <f>IFERROR(W783/U783,0)</f>
        <v/>
      </c>
    </row>
    <row r="784">
      <c r="A784" s="21">
        <f>ItensPedido!A784</f>
        <v/>
      </c>
      <c r="B784" s="21">
        <f>ItensPedido!B784</f>
        <v/>
      </c>
      <c r="C784" s="21">
        <f>ItensPedido!C784</f>
        <v/>
      </c>
      <c r="D784" s="21">
        <f>ItensPedido!D784</f>
        <v/>
      </c>
      <c r="E784" s="22">
        <f>ItensPedido!E784</f>
        <v/>
      </c>
      <c r="F784" s="21">
        <f>IFERROR(INDEX(Pedidos!$B$2:$B$1801,MATCH(B784,Pedidos!$A$2:$A$1801,0)),0)</f>
        <v/>
      </c>
      <c r="G784" s="21">
        <f>IF(F784=0,"",YEAR(F784))</f>
        <v/>
      </c>
      <c r="H784" s="21">
        <f>IF(F784=0,"",MONTH(F784))</f>
        <v/>
      </c>
      <c r="I784" s="21">
        <f>IFERROR(INDEX(Pedidos!$E$2:$E$1801,MATCH(B784,Pedidos!$A$2:$A$1801,0)),"")</f>
        <v/>
      </c>
      <c r="J784" s="21">
        <f>IFERROR(INDEX(Pedidos!$C$2:$C$1801,MATCH(B784,Pedidos!$A$2:$A$1801,0)),"")</f>
        <v/>
      </c>
      <c r="K784" s="21">
        <f>IFERROR(INDEX(Pedidos!$D$2:$D$1801,MATCH(B784,Pedidos!$A$2:$A$1801,0)),"")</f>
        <v/>
      </c>
      <c r="L784" s="21">
        <f>IFERROR(INDEX(Pedidos!$F$2:$F$1801,MATCH(B784,Pedidos!$A$2:$A$1801,0)),"")</f>
        <v/>
      </c>
      <c r="M784" s="22">
        <f>IFERROR(INDEX(Pedidos!$G$2:$G$1801,MATCH(B784,Pedidos!$A$2:$A$1801,0)),0)</f>
        <v/>
      </c>
      <c r="N784" s="21">
        <f>IFERROR(INDEX(Produtos!$B$2:$B$71,MATCH(C784,Produtos!$A$2:$A$71,0)),"")</f>
        <v/>
      </c>
      <c r="O784" s="21">
        <f>IFERROR(INDEX(Produtos!$C$2:$C$71,MATCH(C784,Produtos!$A$2:$A$71,0)),"")</f>
        <v/>
      </c>
      <c r="P784" s="21">
        <f>IFERROR(INDEX(Produtos!$D$2:$D$71,MATCH(C784,Produtos!$A$2:$A$71,0)),0)</f>
        <v/>
      </c>
      <c r="Q784" s="21">
        <f>IFERROR(INDEX(Produtos!$E$2:$E$71,MATCH(C784,Produtos!$A$2:$A$71,0)),0)</f>
        <v/>
      </c>
      <c r="R784" s="23">
        <f>D784*Q784</f>
        <v/>
      </c>
      <c r="S784" s="23">
        <f>R784*E784</f>
        <v/>
      </c>
      <c r="T784" s="23">
        <f>(R784-S784)*M784</f>
        <v/>
      </c>
      <c r="U784" s="23">
        <f>R784-S784-T784</f>
        <v/>
      </c>
      <c r="V784" s="23">
        <f>D784*P784</f>
        <v/>
      </c>
      <c r="W784" s="23">
        <f>U784-V784</f>
        <v/>
      </c>
      <c r="X784" s="24">
        <f>IFERROR(W784/U784,0)</f>
        <v/>
      </c>
    </row>
    <row r="785">
      <c r="A785" s="25">
        <f>ItensPedido!A785</f>
        <v/>
      </c>
      <c r="B785" s="25">
        <f>ItensPedido!B785</f>
        <v/>
      </c>
      <c r="C785" s="25">
        <f>ItensPedido!C785</f>
        <v/>
      </c>
      <c r="D785" s="25">
        <f>ItensPedido!D785</f>
        <v/>
      </c>
      <c r="E785" s="26">
        <f>ItensPedido!E785</f>
        <v/>
      </c>
      <c r="F785" s="25">
        <f>IFERROR(INDEX(Pedidos!$B$2:$B$1801,MATCH(B785,Pedidos!$A$2:$A$1801,0)),0)</f>
        <v/>
      </c>
      <c r="G785" s="25">
        <f>IF(F785=0,"",YEAR(F785))</f>
        <v/>
      </c>
      <c r="H785" s="25">
        <f>IF(F785=0,"",MONTH(F785))</f>
        <v/>
      </c>
      <c r="I785" s="25">
        <f>IFERROR(INDEX(Pedidos!$E$2:$E$1801,MATCH(B785,Pedidos!$A$2:$A$1801,0)),"")</f>
        <v/>
      </c>
      <c r="J785" s="25">
        <f>IFERROR(INDEX(Pedidos!$C$2:$C$1801,MATCH(B785,Pedidos!$A$2:$A$1801,0)),"")</f>
        <v/>
      </c>
      <c r="K785" s="25">
        <f>IFERROR(INDEX(Pedidos!$D$2:$D$1801,MATCH(B785,Pedidos!$A$2:$A$1801,0)),"")</f>
        <v/>
      </c>
      <c r="L785" s="25">
        <f>IFERROR(INDEX(Pedidos!$F$2:$F$1801,MATCH(B785,Pedidos!$A$2:$A$1801,0)),"")</f>
        <v/>
      </c>
      <c r="M785" s="26">
        <f>IFERROR(INDEX(Pedidos!$G$2:$G$1801,MATCH(B785,Pedidos!$A$2:$A$1801,0)),0)</f>
        <v/>
      </c>
      <c r="N785" s="25">
        <f>IFERROR(INDEX(Produtos!$B$2:$B$71,MATCH(C785,Produtos!$A$2:$A$71,0)),"")</f>
        <v/>
      </c>
      <c r="O785" s="25">
        <f>IFERROR(INDEX(Produtos!$C$2:$C$71,MATCH(C785,Produtos!$A$2:$A$71,0)),"")</f>
        <v/>
      </c>
      <c r="P785" s="25">
        <f>IFERROR(INDEX(Produtos!$D$2:$D$71,MATCH(C785,Produtos!$A$2:$A$71,0)),0)</f>
        <v/>
      </c>
      <c r="Q785" s="25">
        <f>IFERROR(INDEX(Produtos!$E$2:$E$71,MATCH(C785,Produtos!$A$2:$A$71,0)),0)</f>
        <v/>
      </c>
      <c r="R785" s="27">
        <f>D785*Q785</f>
        <v/>
      </c>
      <c r="S785" s="27">
        <f>R785*E785</f>
        <v/>
      </c>
      <c r="T785" s="27">
        <f>(R785-S785)*M785</f>
        <v/>
      </c>
      <c r="U785" s="27">
        <f>R785-S785-T785</f>
        <v/>
      </c>
      <c r="V785" s="27">
        <f>D785*P785</f>
        <v/>
      </c>
      <c r="W785" s="27">
        <f>U785-V785</f>
        <v/>
      </c>
      <c r="X785" s="28">
        <f>IFERROR(W785/U785,0)</f>
        <v/>
      </c>
    </row>
    <row r="786">
      <c r="A786" s="21">
        <f>ItensPedido!A786</f>
        <v/>
      </c>
      <c r="B786" s="21">
        <f>ItensPedido!B786</f>
        <v/>
      </c>
      <c r="C786" s="21">
        <f>ItensPedido!C786</f>
        <v/>
      </c>
      <c r="D786" s="21">
        <f>ItensPedido!D786</f>
        <v/>
      </c>
      <c r="E786" s="22">
        <f>ItensPedido!E786</f>
        <v/>
      </c>
      <c r="F786" s="21">
        <f>IFERROR(INDEX(Pedidos!$B$2:$B$1801,MATCH(B786,Pedidos!$A$2:$A$1801,0)),0)</f>
        <v/>
      </c>
      <c r="G786" s="21">
        <f>IF(F786=0,"",YEAR(F786))</f>
        <v/>
      </c>
      <c r="H786" s="21">
        <f>IF(F786=0,"",MONTH(F786))</f>
        <v/>
      </c>
      <c r="I786" s="21">
        <f>IFERROR(INDEX(Pedidos!$E$2:$E$1801,MATCH(B786,Pedidos!$A$2:$A$1801,0)),"")</f>
        <v/>
      </c>
      <c r="J786" s="21">
        <f>IFERROR(INDEX(Pedidos!$C$2:$C$1801,MATCH(B786,Pedidos!$A$2:$A$1801,0)),"")</f>
        <v/>
      </c>
      <c r="K786" s="21">
        <f>IFERROR(INDEX(Pedidos!$D$2:$D$1801,MATCH(B786,Pedidos!$A$2:$A$1801,0)),"")</f>
        <v/>
      </c>
      <c r="L786" s="21">
        <f>IFERROR(INDEX(Pedidos!$F$2:$F$1801,MATCH(B786,Pedidos!$A$2:$A$1801,0)),"")</f>
        <v/>
      </c>
      <c r="M786" s="22">
        <f>IFERROR(INDEX(Pedidos!$G$2:$G$1801,MATCH(B786,Pedidos!$A$2:$A$1801,0)),0)</f>
        <v/>
      </c>
      <c r="N786" s="21">
        <f>IFERROR(INDEX(Produtos!$B$2:$B$71,MATCH(C786,Produtos!$A$2:$A$71,0)),"")</f>
        <v/>
      </c>
      <c r="O786" s="21">
        <f>IFERROR(INDEX(Produtos!$C$2:$C$71,MATCH(C786,Produtos!$A$2:$A$71,0)),"")</f>
        <v/>
      </c>
      <c r="P786" s="21">
        <f>IFERROR(INDEX(Produtos!$D$2:$D$71,MATCH(C786,Produtos!$A$2:$A$71,0)),0)</f>
        <v/>
      </c>
      <c r="Q786" s="21">
        <f>IFERROR(INDEX(Produtos!$E$2:$E$71,MATCH(C786,Produtos!$A$2:$A$71,0)),0)</f>
        <v/>
      </c>
      <c r="R786" s="23">
        <f>D786*Q786</f>
        <v/>
      </c>
      <c r="S786" s="23">
        <f>R786*E786</f>
        <v/>
      </c>
      <c r="T786" s="23">
        <f>(R786-S786)*M786</f>
        <v/>
      </c>
      <c r="U786" s="23">
        <f>R786-S786-T786</f>
        <v/>
      </c>
      <c r="V786" s="23">
        <f>D786*P786</f>
        <v/>
      </c>
      <c r="W786" s="23">
        <f>U786-V786</f>
        <v/>
      </c>
      <c r="X786" s="24">
        <f>IFERROR(W786/U786,0)</f>
        <v/>
      </c>
    </row>
    <row r="787">
      <c r="A787" s="25">
        <f>ItensPedido!A787</f>
        <v/>
      </c>
      <c r="B787" s="25">
        <f>ItensPedido!B787</f>
        <v/>
      </c>
      <c r="C787" s="25">
        <f>ItensPedido!C787</f>
        <v/>
      </c>
      <c r="D787" s="25">
        <f>ItensPedido!D787</f>
        <v/>
      </c>
      <c r="E787" s="26">
        <f>ItensPedido!E787</f>
        <v/>
      </c>
      <c r="F787" s="25">
        <f>IFERROR(INDEX(Pedidos!$B$2:$B$1801,MATCH(B787,Pedidos!$A$2:$A$1801,0)),0)</f>
        <v/>
      </c>
      <c r="G787" s="25">
        <f>IF(F787=0,"",YEAR(F787))</f>
        <v/>
      </c>
      <c r="H787" s="25">
        <f>IF(F787=0,"",MONTH(F787))</f>
        <v/>
      </c>
      <c r="I787" s="25">
        <f>IFERROR(INDEX(Pedidos!$E$2:$E$1801,MATCH(B787,Pedidos!$A$2:$A$1801,0)),"")</f>
        <v/>
      </c>
      <c r="J787" s="25">
        <f>IFERROR(INDEX(Pedidos!$C$2:$C$1801,MATCH(B787,Pedidos!$A$2:$A$1801,0)),"")</f>
        <v/>
      </c>
      <c r="K787" s="25">
        <f>IFERROR(INDEX(Pedidos!$D$2:$D$1801,MATCH(B787,Pedidos!$A$2:$A$1801,0)),"")</f>
        <v/>
      </c>
      <c r="L787" s="25">
        <f>IFERROR(INDEX(Pedidos!$F$2:$F$1801,MATCH(B787,Pedidos!$A$2:$A$1801,0)),"")</f>
        <v/>
      </c>
      <c r="M787" s="26">
        <f>IFERROR(INDEX(Pedidos!$G$2:$G$1801,MATCH(B787,Pedidos!$A$2:$A$1801,0)),0)</f>
        <v/>
      </c>
      <c r="N787" s="25">
        <f>IFERROR(INDEX(Produtos!$B$2:$B$71,MATCH(C787,Produtos!$A$2:$A$71,0)),"")</f>
        <v/>
      </c>
      <c r="O787" s="25">
        <f>IFERROR(INDEX(Produtos!$C$2:$C$71,MATCH(C787,Produtos!$A$2:$A$71,0)),"")</f>
        <v/>
      </c>
      <c r="P787" s="25">
        <f>IFERROR(INDEX(Produtos!$D$2:$D$71,MATCH(C787,Produtos!$A$2:$A$71,0)),0)</f>
        <v/>
      </c>
      <c r="Q787" s="25">
        <f>IFERROR(INDEX(Produtos!$E$2:$E$71,MATCH(C787,Produtos!$A$2:$A$71,0)),0)</f>
        <v/>
      </c>
      <c r="R787" s="27">
        <f>D787*Q787</f>
        <v/>
      </c>
      <c r="S787" s="27">
        <f>R787*E787</f>
        <v/>
      </c>
      <c r="T787" s="27">
        <f>(R787-S787)*M787</f>
        <v/>
      </c>
      <c r="U787" s="27">
        <f>R787-S787-T787</f>
        <v/>
      </c>
      <c r="V787" s="27">
        <f>D787*P787</f>
        <v/>
      </c>
      <c r="W787" s="27">
        <f>U787-V787</f>
        <v/>
      </c>
      <c r="X787" s="28">
        <f>IFERROR(W787/U787,0)</f>
        <v/>
      </c>
    </row>
    <row r="788">
      <c r="A788" s="21">
        <f>ItensPedido!A788</f>
        <v/>
      </c>
      <c r="B788" s="21">
        <f>ItensPedido!B788</f>
        <v/>
      </c>
      <c r="C788" s="21">
        <f>ItensPedido!C788</f>
        <v/>
      </c>
      <c r="D788" s="21">
        <f>ItensPedido!D788</f>
        <v/>
      </c>
      <c r="E788" s="22">
        <f>ItensPedido!E788</f>
        <v/>
      </c>
      <c r="F788" s="21">
        <f>IFERROR(INDEX(Pedidos!$B$2:$B$1801,MATCH(B788,Pedidos!$A$2:$A$1801,0)),0)</f>
        <v/>
      </c>
      <c r="G788" s="21">
        <f>IF(F788=0,"",YEAR(F788))</f>
        <v/>
      </c>
      <c r="H788" s="21">
        <f>IF(F788=0,"",MONTH(F788))</f>
        <v/>
      </c>
      <c r="I788" s="21">
        <f>IFERROR(INDEX(Pedidos!$E$2:$E$1801,MATCH(B788,Pedidos!$A$2:$A$1801,0)),"")</f>
        <v/>
      </c>
      <c r="J788" s="21">
        <f>IFERROR(INDEX(Pedidos!$C$2:$C$1801,MATCH(B788,Pedidos!$A$2:$A$1801,0)),"")</f>
        <v/>
      </c>
      <c r="K788" s="21">
        <f>IFERROR(INDEX(Pedidos!$D$2:$D$1801,MATCH(B788,Pedidos!$A$2:$A$1801,0)),"")</f>
        <v/>
      </c>
      <c r="L788" s="21">
        <f>IFERROR(INDEX(Pedidos!$F$2:$F$1801,MATCH(B788,Pedidos!$A$2:$A$1801,0)),"")</f>
        <v/>
      </c>
      <c r="M788" s="22">
        <f>IFERROR(INDEX(Pedidos!$G$2:$G$1801,MATCH(B788,Pedidos!$A$2:$A$1801,0)),0)</f>
        <v/>
      </c>
      <c r="N788" s="21">
        <f>IFERROR(INDEX(Produtos!$B$2:$B$71,MATCH(C788,Produtos!$A$2:$A$71,0)),"")</f>
        <v/>
      </c>
      <c r="O788" s="21">
        <f>IFERROR(INDEX(Produtos!$C$2:$C$71,MATCH(C788,Produtos!$A$2:$A$71,0)),"")</f>
        <v/>
      </c>
      <c r="P788" s="21">
        <f>IFERROR(INDEX(Produtos!$D$2:$D$71,MATCH(C788,Produtos!$A$2:$A$71,0)),0)</f>
        <v/>
      </c>
      <c r="Q788" s="21">
        <f>IFERROR(INDEX(Produtos!$E$2:$E$71,MATCH(C788,Produtos!$A$2:$A$71,0)),0)</f>
        <v/>
      </c>
      <c r="R788" s="23">
        <f>D788*Q788</f>
        <v/>
      </c>
      <c r="S788" s="23">
        <f>R788*E788</f>
        <v/>
      </c>
      <c r="T788" s="23">
        <f>(R788-S788)*M788</f>
        <v/>
      </c>
      <c r="U788" s="23">
        <f>R788-S788-T788</f>
        <v/>
      </c>
      <c r="V788" s="23">
        <f>D788*P788</f>
        <v/>
      </c>
      <c r="W788" s="23">
        <f>U788-V788</f>
        <v/>
      </c>
      <c r="X788" s="24">
        <f>IFERROR(W788/U788,0)</f>
        <v/>
      </c>
    </row>
    <row r="789">
      <c r="A789" s="25">
        <f>ItensPedido!A789</f>
        <v/>
      </c>
      <c r="B789" s="25">
        <f>ItensPedido!B789</f>
        <v/>
      </c>
      <c r="C789" s="25">
        <f>ItensPedido!C789</f>
        <v/>
      </c>
      <c r="D789" s="25">
        <f>ItensPedido!D789</f>
        <v/>
      </c>
      <c r="E789" s="26">
        <f>ItensPedido!E789</f>
        <v/>
      </c>
      <c r="F789" s="25">
        <f>IFERROR(INDEX(Pedidos!$B$2:$B$1801,MATCH(B789,Pedidos!$A$2:$A$1801,0)),0)</f>
        <v/>
      </c>
      <c r="G789" s="25">
        <f>IF(F789=0,"",YEAR(F789))</f>
        <v/>
      </c>
      <c r="H789" s="25">
        <f>IF(F789=0,"",MONTH(F789))</f>
        <v/>
      </c>
      <c r="I789" s="25">
        <f>IFERROR(INDEX(Pedidos!$E$2:$E$1801,MATCH(B789,Pedidos!$A$2:$A$1801,0)),"")</f>
        <v/>
      </c>
      <c r="J789" s="25">
        <f>IFERROR(INDEX(Pedidos!$C$2:$C$1801,MATCH(B789,Pedidos!$A$2:$A$1801,0)),"")</f>
        <v/>
      </c>
      <c r="K789" s="25">
        <f>IFERROR(INDEX(Pedidos!$D$2:$D$1801,MATCH(B789,Pedidos!$A$2:$A$1801,0)),"")</f>
        <v/>
      </c>
      <c r="L789" s="25">
        <f>IFERROR(INDEX(Pedidos!$F$2:$F$1801,MATCH(B789,Pedidos!$A$2:$A$1801,0)),"")</f>
        <v/>
      </c>
      <c r="M789" s="26">
        <f>IFERROR(INDEX(Pedidos!$G$2:$G$1801,MATCH(B789,Pedidos!$A$2:$A$1801,0)),0)</f>
        <v/>
      </c>
      <c r="N789" s="25">
        <f>IFERROR(INDEX(Produtos!$B$2:$B$71,MATCH(C789,Produtos!$A$2:$A$71,0)),"")</f>
        <v/>
      </c>
      <c r="O789" s="25">
        <f>IFERROR(INDEX(Produtos!$C$2:$C$71,MATCH(C789,Produtos!$A$2:$A$71,0)),"")</f>
        <v/>
      </c>
      <c r="P789" s="25">
        <f>IFERROR(INDEX(Produtos!$D$2:$D$71,MATCH(C789,Produtos!$A$2:$A$71,0)),0)</f>
        <v/>
      </c>
      <c r="Q789" s="25">
        <f>IFERROR(INDEX(Produtos!$E$2:$E$71,MATCH(C789,Produtos!$A$2:$A$71,0)),0)</f>
        <v/>
      </c>
      <c r="R789" s="27">
        <f>D789*Q789</f>
        <v/>
      </c>
      <c r="S789" s="27">
        <f>R789*E789</f>
        <v/>
      </c>
      <c r="T789" s="27">
        <f>(R789-S789)*M789</f>
        <v/>
      </c>
      <c r="U789" s="27">
        <f>R789-S789-T789</f>
        <v/>
      </c>
      <c r="V789" s="27">
        <f>D789*P789</f>
        <v/>
      </c>
      <c r="W789" s="27">
        <f>U789-V789</f>
        <v/>
      </c>
      <c r="X789" s="28">
        <f>IFERROR(W789/U789,0)</f>
        <v/>
      </c>
    </row>
    <row r="790">
      <c r="A790" s="21">
        <f>ItensPedido!A790</f>
        <v/>
      </c>
      <c r="B790" s="21">
        <f>ItensPedido!B790</f>
        <v/>
      </c>
      <c r="C790" s="21">
        <f>ItensPedido!C790</f>
        <v/>
      </c>
      <c r="D790" s="21">
        <f>ItensPedido!D790</f>
        <v/>
      </c>
      <c r="E790" s="22">
        <f>ItensPedido!E790</f>
        <v/>
      </c>
      <c r="F790" s="21">
        <f>IFERROR(INDEX(Pedidos!$B$2:$B$1801,MATCH(B790,Pedidos!$A$2:$A$1801,0)),0)</f>
        <v/>
      </c>
      <c r="G790" s="21">
        <f>IF(F790=0,"",YEAR(F790))</f>
        <v/>
      </c>
      <c r="H790" s="21">
        <f>IF(F790=0,"",MONTH(F790))</f>
        <v/>
      </c>
      <c r="I790" s="21">
        <f>IFERROR(INDEX(Pedidos!$E$2:$E$1801,MATCH(B790,Pedidos!$A$2:$A$1801,0)),"")</f>
        <v/>
      </c>
      <c r="J790" s="21">
        <f>IFERROR(INDEX(Pedidos!$C$2:$C$1801,MATCH(B790,Pedidos!$A$2:$A$1801,0)),"")</f>
        <v/>
      </c>
      <c r="K790" s="21">
        <f>IFERROR(INDEX(Pedidos!$D$2:$D$1801,MATCH(B790,Pedidos!$A$2:$A$1801,0)),"")</f>
        <v/>
      </c>
      <c r="L790" s="21">
        <f>IFERROR(INDEX(Pedidos!$F$2:$F$1801,MATCH(B790,Pedidos!$A$2:$A$1801,0)),"")</f>
        <v/>
      </c>
      <c r="M790" s="22">
        <f>IFERROR(INDEX(Pedidos!$G$2:$G$1801,MATCH(B790,Pedidos!$A$2:$A$1801,0)),0)</f>
        <v/>
      </c>
      <c r="N790" s="21">
        <f>IFERROR(INDEX(Produtos!$B$2:$B$71,MATCH(C790,Produtos!$A$2:$A$71,0)),"")</f>
        <v/>
      </c>
      <c r="O790" s="21">
        <f>IFERROR(INDEX(Produtos!$C$2:$C$71,MATCH(C790,Produtos!$A$2:$A$71,0)),"")</f>
        <v/>
      </c>
      <c r="P790" s="21">
        <f>IFERROR(INDEX(Produtos!$D$2:$D$71,MATCH(C790,Produtos!$A$2:$A$71,0)),0)</f>
        <v/>
      </c>
      <c r="Q790" s="21">
        <f>IFERROR(INDEX(Produtos!$E$2:$E$71,MATCH(C790,Produtos!$A$2:$A$71,0)),0)</f>
        <v/>
      </c>
      <c r="R790" s="23">
        <f>D790*Q790</f>
        <v/>
      </c>
      <c r="S790" s="23">
        <f>R790*E790</f>
        <v/>
      </c>
      <c r="T790" s="23">
        <f>(R790-S790)*M790</f>
        <v/>
      </c>
      <c r="U790" s="23">
        <f>R790-S790-T790</f>
        <v/>
      </c>
      <c r="V790" s="23">
        <f>D790*P790</f>
        <v/>
      </c>
      <c r="W790" s="23">
        <f>U790-V790</f>
        <v/>
      </c>
      <c r="X790" s="24">
        <f>IFERROR(W790/U790,0)</f>
        <v/>
      </c>
    </row>
    <row r="791">
      <c r="A791" s="25">
        <f>ItensPedido!A791</f>
        <v/>
      </c>
      <c r="B791" s="25">
        <f>ItensPedido!B791</f>
        <v/>
      </c>
      <c r="C791" s="25">
        <f>ItensPedido!C791</f>
        <v/>
      </c>
      <c r="D791" s="25">
        <f>ItensPedido!D791</f>
        <v/>
      </c>
      <c r="E791" s="26">
        <f>ItensPedido!E791</f>
        <v/>
      </c>
      <c r="F791" s="25">
        <f>IFERROR(INDEX(Pedidos!$B$2:$B$1801,MATCH(B791,Pedidos!$A$2:$A$1801,0)),0)</f>
        <v/>
      </c>
      <c r="G791" s="25">
        <f>IF(F791=0,"",YEAR(F791))</f>
        <v/>
      </c>
      <c r="H791" s="25">
        <f>IF(F791=0,"",MONTH(F791))</f>
        <v/>
      </c>
      <c r="I791" s="25">
        <f>IFERROR(INDEX(Pedidos!$E$2:$E$1801,MATCH(B791,Pedidos!$A$2:$A$1801,0)),"")</f>
        <v/>
      </c>
      <c r="J791" s="25">
        <f>IFERROR(INDEX(Pedidos!$C$2:$C$1801,MATCH(B791,Pedidos!$A$2:$A$1801,0)),"")</f>
        <v/>
      </c>
      <c r="K791" s="25">
        <f>IFERROR(INDEX(Pedidos!$D$2:$D$1801,MATCH(B791,Pedidos!$A$2:$A$1801,0)),"")</f>
        <v/>
      </c>
      <c r="L791" s="25">
        <f>IFERROR(INDEX(Pedidos!$F$2:$F$1801,MATCH(B791,Pedidos!$A$2:$A$1801,0)),"")</f>
        <v/>
      </c>
      <c r="M791" s="26">
        <f>IFERROR(INDEX(Pedidos!$G$2:$G$1801,MATCH(B791,Pedidos!$A$2:$A$1801,0)),0)</f>
        <v/>
      </c>
      <c r="N791" s="25">
        <f>IFERROR(INDEX(Produtos!$B$2:$B$71,MATCH(C791,Produtos!$A$2:$A$71,0)),"")</f>
        <v/>
      </c>
      <c r="O791" s="25">
        <f>IFERROR(INDEX(Produtos!$C$2:$C$71,MATCH(C791,Produtos!$A$2:$A$71,0)),"")</f>
        <v/>
      </c>
      <c r="P791" s="25">
        <f>IFERROR(INDEX(Produtos!$D$2:$D$71,MATCH(C791,Produtos!$A$2:$A$71,0)),0)</f>
        <v/>
      </c>
      <c r="Q791" s="25">
        <f>IFERROR(INDEX(Produtos!$E$2:$E$71,MATCH(C791,Produtos!$A$2:$A$71,0)),0)</f>
        <v/>
      </c>
      <c r="R791" s="27">
        <f>D791*Q791</f>
        <v/>
      </c>
      <c r="S791" s="27">
        <f>R791*E791</f>
        <v/>
      </c>
      <c r="T791" s="27">
        <f>(R791-S791)*M791</f>
        <v/>
      </c>
      <c r="U791" s="27">
        <f>R791-S791-T791</f>
        <v/>
      </c>
      <c r="V791" s="27">
        <f>D791*P791</f>
        <v/>
      </c>
      <c r="W791" s="27">
        <f>U791-V791</f>
        <v/>
      </c>
      <c r="X791" s="28">
        <f>IFERROR(W791/U791,0)</f>
        <v/>
      </c>
    </row>
    <row r="792">
      <c r="A792" s="21">
        <f>ItensPedido!A792</f>
        <v/>
      </c>
      <c r="B792" s="21">
        <f>ItensPedido!B792</f>
        <v/>
      </c>
      <c r="C792" s="21">
        <f>ItensPedido!C792</f>
        <v/>
      </c>
      <c r="D792" s="21">
        <f>ItensPedido!D792</f>
        <v/>
      </c>
      <c r="E792" s="22">
        <f>ItensPedido!E792</f>
        <v/>
      </c>
      <c r="F792" s="21">
        <f>IFERROR(INDEX(Pedidos!$B$2:$B$1801,MATCH(B792,Pedidos!$A$2:$A$1801,0)),0)</f>
        <v/>
      </c>
      <c r="G792" s="21">
        <f>IF(F792=0,"",YEAR(F792))</f>
        <v/>
      </c>
      <c r="H792" s="21">
        <f>IF(F792=0,"",MONTH(F792))</f>
        <v/>
      </c>
      <c r="I792" s="21">
        <f>IFERROR(INDEX(Pedidos!$E$2:$E$1801,MATCH(B792,Pedidos!$A$2:$A$1801,0)),"")</f>
        <v/>
      </c>
      <c r="J792" s="21">
        <f>IFERROR(INDEX(Pedidos!$C$2:$C$1801,MATCH(B792,Pedidos!$A$2:$A$1801,0)),"")</f>
        <v/>
      </c>
      <c r="K792" s="21">
        <f>IFERROR(INDEX(Pedidos!$D$2:$D$1801,MATCH(B792,Pedidos!$A$2:$A$1801,0)),"")</f>
        <v/>
      </c>
      <c r="L792" s="21">
        <f>IFERROR(INDEX(Pedidos!$F$2:$F$1801,MATCH(B792,Pedidos!$A$2:$A$1801,0)),"")</f>
        <v/>
      </c>
      <c r="M792" s="22">
        <f>IFERROR(INDEX(Pedidos!$G$2:$G$1801,MATCH(B792,Pedidos!$A$2:$A$1801,0)),0)</f>
        <v/>
      </c>
      <c r="N792" s="21">
        <f>IFERROR(INDEX(Produtos!$B$2:$B$71,MATCH(C792,Produtos!$A$2:$A$71,0)),"")</f>
        <v/>
      </c>
      <c r="O792" s="21">
        <f>IFERROR(INDEX(Produtos!$C$2:$C$71,MATCH(C792,Produtos!$A$2:$A$71,0)),"")</f>
        <v/>
      </c>
      <c r="P792" s="21">
        <f>IFERROR(INDEX(Produtos!$D$2:$D$71,MATCH(C792,Produtos!$A$2:$A$71,0)),0)</f>
        <v/>
      </c>
      <c r="Q792" s="21">
        <f>IFERROR(INDEX(Produtos!$E$2:$E$71,MATCH(C792,Produtos!$A$2:$A$71,0)),0)</f>
        <v/>
      </c>
      <c r="R792" s="23">
        <f>D792*Q792</f>
        <v/>
      </c>
      <c r="S792" s="23">
        <f>R792*E792</f>
        <v/>
      </c>
      <c r="T792" s="23">
        <f>(R792-S792)*M792</f>
        <v/>
      </c>
      <c r="U792" s="23">
        <f>R792-S792-T792</f>
        <v/>
      </c>
      <c r="V792" s="23">
        <f>D792*P792</f>
        <v/>
      </c>
      <c r="W792" s="23">
        <f>U792-V792</f>
        <v/>
      </c>
      <c r="X792" s="24">
        <f>IFERROR(W792/U792,0)</f>
        <v/>
      </c>
    </row>
    <row r="793">
      <c r="A793" s="25">
        <f>ItensPedido!A793</f>
        <v/>
      </c>
      <c r="B793" s="25">
        <f>ItensPedido!B793</f>
        <v/>
      </c>
      <c r="C793" s="25">
        <f>ItensPedido!C793</f>
        <v/>
      </c>
      <c r="D793" s="25">
        <f>ItensPedido!D793</f>
        <v/>
      </c>
      <c r="E793" s="26">
        <f>ItensPedido!E793</f>
        <v/>
      </c>
      <c r="F793" s="25">
        <f>IFERROR(INDEX(Pedidos!$B$2:$B$1801,MATCH(B793,Pedidos!$A$2:$A$1801,0)),0)</f>
        <v/>
      </c>
      <c r="G793" s="25">
        <f>IF(F793=0,"",YEAR(F793))</f>
        <v/>
      </c>
      <c r="H793" s="25">
        <f>IF(F793=0,"",MONTH(F793))</f>
        <v/>
      </c>
      <c r="I793" s="25">
        <f>IFERROR(INDEX(Pedidos!$E$2:$E$1801,MATCH(B793,Pedidos!$A$2:$A$1801,0)),"")</f>
        <v/>
      </c>
      <c r="J793" s="25">
        <f>IFERROR(INDEX(Pedidos!$C$2:$C$1801,MATCH(B793,Pedidos!$A$2:$A$1801,0)),"")</f>
        <v/>
      </c>
      <c r="K793" s="25">
        <f>IFERROR(INDEX(Pedidos!$D$2:$D$1801,MATCH(B793,Pedidos!$A$2:$A$1801,0)),"")</f>
        <v/>
      </c>
      <c r="L793" s="25">
        <f>IFERROR(INDEX(Pedidos!$F$2:$F$1801,MATCH(B793,Pedidos!$A$2:$A$1801,0)),"")</f>
        <v/>
      </c>
      <c r="M793" s="26">
        <f>IFERROR(INDEX(Pedidos!$G$2:$G$1801,MATCH(B793,Pedidos!$A$2:$A$1801,0)),0)</f>
        <v/>
      </c>
      <c r="N793" s="25">
        <f>IFERROR(INDEX(Produtos!$B$2:$B$71,MATCH(C793,Produtos!$A$2:$A$71,0)),"")</f>
        <v/>
      </c>
      <c r="O793" s="25">
        <f>IFERROR(INDEX(Produtos!$C$2:$C$71,MATCH(C793,Produtos!$A$2:$A$71,0)),"")</f>
        <v/>
      </c>
      <c r="P793" s="25">
        <f>IFERROR(INDEX(Produtos!$D$2:$D$71,MATCH(C793,Produtos!$A$2:$A$71,0)),0)</f>
        <v/>
      </c>
      <c r="Q793" s="25">
        <f>IFERROR(INDEX(Produtos!$E$2:$E$71,MATCH(C793,Produtos!$A$2:$A$71,0)),0)</f>
        <v/>
      </c>
      <c r="R793" s="27">
        <f>D793*Q793</f>
        <v/>
      </c>
      <c r="S793" s="27">
        <f>R793*E793</f>
        <v/>
      </c>
      <c r="T793" s="27">
        <f>(R793-S793)*M793</f>
        <v/>
      </c>
      <c r="U793" s="27">
        <f>R793-S793-T793</f>
        <v/>
      </c>
      <c r="V793" s="27">
        <f>D793*P793</f>
        <v/>
      </c>
      <c r="W793" s="27">
        <f>U793-V793</f>
        <v/>
      </c>
      <c r="X793" s="28">
        <f>IFERROR(W793/U793,0)</f>
        <v/>
      </c>
    </row>
    <row r="794">
      <c r="A794" s="21">
        <f>ItensPedido!A794</f>
        <v/>
      </c>
      <c r="B794" s="21">
        <f>ItensPedido!B794</f>
        <v/>
      </c>
      <c r="C794" s="21">
        <f>ItensPedido!C794</f>
        <v/>
      </c>
      <c r="D794" s="21">
        <f>ItensPedido!D794</f>
        <v/>
      </c>
      <c r="E794" s="22">
        <f>ItensPedido!E794</f>
        <v/>
      </c>
      <c r="F794" s="21">
        <f>IFERROR(INDEX(Pedidos!$B$2:$B$1801,MATCH(B794,Pedidos!$A$2:$A$1801,0)),0)</f>
        <v/>
      </c>
      <c r="G794" s="21">
        <f>IF(F794=0,"",YEAR(F794))</f>
        <v/>
      </c>
      <c r="H794" s="21">
        <f>IF(F794=0,"",MONTH(F794))</f>
        <v/>
      </c>
      <c r="I794" s="21">
        <f>IFERROR(INDEX(Pedidos!$E$2:$E$1801,MATCH(B794,Pedidos!$A$2:$A$1801,0)),"")</f>
        <v/>
      </c>
      <c r="J794" s="21">
        <f>IFERROR(INDEX(Pedidos!$C$2:$C$1801,MATCH(B794,Pedidos!$A$2:$A$1801,0)),"")</f>
        <v/>
      </c>
      <c r="K794" s="21">
        <f>IFERROR(INDEX(Pedidos!$D$2:$D$1801,MATCH(B794,Pedidos!$A$2:$A$1801,0)),"")</f>
        <v/>
      </c>
      <c r="L794" s="21">
        <f>IFERROR(INDEX(Pedidos!$F$2:$F$1801,MATCH(B794,Pedidos!$A$2:$A$1801,0)),"")</f>
        <v/>
      </c>
      <c r="M794" s="22">
        <f>IFERROR(INDEX(Pedidos!$G$2:$G$1801,MATCH(B794,Pedidos!$A$2:$A$1801,0)),0)</f>
        <v/>
      </c>
      <c r="N794" s="21">
        <f>IFERROR(INDEX(Produtos!$B$2:$B$71,MATCH(C794,Produtos!$A$2:$A$71,0)),"")</f>
        <v/>
      </c>
      <c r="O794" s="21">
        <f>IFERROR(INDEX(Produtos!$C$2:$C$71,MATCH(C794,Produtos!$A$2:$A$71,0)),"")</f>
        <v/>
      </c>
      <c r="P794" s="21">
        <f>IFERROR(INDEX(Produtos!$D$2:$D$71,MATCH(C794,Produtos!$A$2:$A$71,0)),0)</f>
        <v/>
      </c>
      <c r="Q794" s="21">
        <f>IFERROR(INDEX(Produtos!$E$2:$E$71,MATCH(C794,Produtos!$A$2:$A$71,0)),0)</f>
        <v/>
      </c>
      <c r="R794" s="23">
        <f>D794*Q794</f>
        <v/>
      </c>
      <c r="S794" s="23">
        <f>R794*E794</f>
        <v/>
      </c>
      <c r="T794" s="23">
        <f>(R794-S794)*M794</f>
        <v/>
      </c>
      <c r="U794" s="23">
        <f>R794-S794-T794</f>
        <v/>
      </c>
      <c r="V794" s="23">
        <f>D794*P794</f>
        <v/>
      </c>
      <c r="W794" s="23">
        <f>U794-V794</f>
        <v/>
      </c>
      <c r="X794" s="24">
        <f>IFERROR(W794/U794,0)</f>
        <v/>
      </c>
    </row>
    <row r="795">
      <c r="A795" s="25">
        <f>ItensPedido!A795</f>
        <v/>
      </c>
      <c r="B795" s="25">
        <f>ItensPedido!B795</f>
        <v/>
      </c>
      <c r="C795" s="25">
        <f>ItensPedido!C795</f>
        <v/>
      </c>
      <c r="D795" s="25">
        <f>ItensPedido!D795</f>
        <v/>
      </c>
      <c r="E795" s="26">
        <f>ItensPedido!E795</f>
        <v/>
      </c>
      <c r="F795" s="25">
        <f>IFERROR(INDEX(Pedidos!$B$2:$B$1801,MATCH(B795,Pedidos!$A$2:$A$1801,0)),0)</f>
        <v/>
      </c>
      <c r="G795" s="25">
        <f>IF(F795=0,"",YEAR(F795))</f>
        <v/>
      </c>
      <c r="H795" s="25">
        <f>IF(F795=0,"",MONTH(F795))</f>
        <v/>
      </c>
      <c r="I795" s="25">
        <f>IFERROR(INDEX(Pedidos!$E$2:$E$1801,MATCH(B795,Pedidos!$A$2:$A$1801,0)),"")</f>
        <v/>
      </c>
      <c r="J795" s="25">
        <f>IFERROR(INDEX(Pedidos!$C$2:$C$1801,MATCH(B795,Pedidos!$A$2:$A$1801,0)),"")</f>
        <v/>
      </c>
      <c r="K795" s="25">
        <f>IFERROR(INDEX(Pedidos!$D$2:$D$1801,MATCH(B795,Pedidos!$A$2:$A$1801,0)),"")</f>
        <v/>
      </c>
      <c r="L795" s="25">
        <f>IFERROR(INDEX(Pedidos!$F$2:$F$1801,MATCH(B795,Pedidos!$A$2:$A$1801,0)),"")</f>
        <v/>
      </c>
      <c r="M795" s="26">
        <f>IFERROR(INDEX(Pedidos!$G$2:$G$1801,MATCH(B795,Pedidos!$A$2:$A$1801,0)),0)</f>
        <v/>
      </c>
      <c r="N795" s="25">
        <f>IFERROR(INDEX(Produtos!$B$2:$B$71,MATCH(C795,Produtos!$A$2:$A$71,0)),"")</f>
        <v/>
      </c>
      <c r="O795" s="25">
        <f>IFERROR(INDEX(Produtos!$C$2:$C$71,MATCH(C795,Produtos!$A$2:$A$71,0)),"")</f>
        <v/>
      </c>
      <c r="P795" s="25">
        <f>IFERROR(INDEX(Produtos!$D$2:$D$71,MATCH(C795,Produtos!$A$2:$A$71,0)),0)</f>
        <v/>
      </c>
      <c r="Q795" s="25">
        <f>IFERROR(INDEX(Produtos!$E$2:$E$71,MATCH(C795,Produtos!$A$2:$A$71,0)),0)</f>
        <v/>
      </c>
      <c r="R795" s="27">
        <f>D795*Q795</f>
        <v/>
      </c>
      <c r="S795" s="27">
        <f>R795*E795</f>
        <v/>
      </c>
      <c r="T795" s="27">
        <f>(R795-S795)*M795</f>
        <v/>
      </c>
      <c r="U795" s="27">
        <f>R795-S795-T795</f>
        <v/>
      </c>
      <c r="V795" s="27">
        <f>D795*P795</f>
        <v/>
      </c>
      <c r="W795" s="27">
        <f>U795-V795</f>
        <v/>
      </c>
      <c r="X795" s="28">
        <f>IFERROR(W795/U795,0)</f>
        <v/>
      </c>
    </row>
    <row r="796">
      <c r="A796" s="21">
        <f>ItensPedido!A796</f>
        <v/>
      </c>
      <c r="B796" s="21">
        <f>ItensPedido!B796</f>
        <v/>
      </c>
      <c r="C796" s="21">
        <f>ItensPedido!C796</f>
        <v/>
      </c>
      <c r="D796" s="21">
        <f>ItensPedido!D796</f>
        <v/>
      </c>
      <c r="E796" s="22">
        <f>ItensPedido!E796</f>
        <v/>
      </c>
      <c r="F796" s="21">
        <f>IFERROR(INDEX(Pedidos!$B$2:$B$1801,MATCH(B796,Pedidos!$A$2:$A$1801,0)),0)</f>
        <v/>
      </c>
      <c r="G796" s="21">
        <f>IF(F796=0,"",YEAR(F796))</f>
        <v/>
      </c>
      <c r="H796" s="21">
        <f>IF(F796=0,"",MONTH(F796))</f>
        <v/>
      </c>
      <c r="I796" s="21">
        <f>IFERROR(INDEX(Pedidos!$E$2:$E$1801,MATCH(B796,Pedidos!$A$2:$A$1801,0)),"")</f>
        <v/>
      </c>
      <c r="J796" s="21">
        <f>IFERROR(INDEX(Pedidos!$C$2:$C$1801,MATCH(B796,Pedidos!$A$2:$A$1801,0)),"")</f>
        <v/>
      </c>
      <c r="K796" s="21">
        <f>IFERROR(INDEX(Pedidos!$D$2:$D$1801,MATCH(B796,Pedidos!$A$2:$A$1801,0)),"")</f>
        <v/>
      </c>
      <c r="L796" s="21">
        <f>IFERROR(INDEX(Pedidos!$F$2:$F$1801,MATCH(B796,Pedidos!$A$2:$A$1801,0)),"")</f>
        <v/>
      </c>
      <c r="M796" s="22">
        <f>IFERROR(INDEX(Pedidos!$G$2:$G$1801,MATCH(B796,Pedidos!$A$2:$A$1801,0)),0)</f>
        <v/>
      </c>
      <c r="N796" s="21">
        <f>IFERROR(INDEX(Produtos!$B$2:$B$71,MATCH(C796,Produtos!$A$2:$A$71,0)),"")</f>
        <v/>
      </c>
      <c r="O796" s="21">
        <f>IFERROR(INDEX(Produtos!$C$2:$C$71,MATCH(C796,Produtos!$A$2:$A$71,0)),"")</f>
        <v/>
      </c>
      <c r="P796" s="21">
        <f>IFERROR(INDEX(Produtos!$D$2:$D$71,MATCH(C796,Produtos!$A$2:$A$71,0)),0)</f>
        <v/>
      </c>
      <c r="Q796" s="21">
        <f>IFERROR(INDEX(Produtos!$E$2:$E$71,MATCH(C796,Produtos!$A$2:$A$71,0)),0)</f>
        <v/>
      </c>
      <c r="R796" s="23">
        <f>D796*Q796</f>
        <v/>
      </c>
      <c r="S796" s="23">
        <f>R796*E796</f>
        <v/>
      </c>
      <c r="T796" s="23">
        <f>(R796-S796)*M796</f>
        <v/>
      </c>
      <c r="U796" s="23">
        <f>R796-S796-T796</f>
        <v/>
      </c>
      <c r="V796" s="23">
        <f>D796*P796</f>
        <v/>
      </c>
      <c r="W796" s="23">
        <f>U796-V796</f>
        <v/>
      </c>
      <c r="X796" s="24">
        <f>IFERROR(W796/U796,0)</f>
        <v/>
      </c>
    </row>
    <row r="797">
      <c r="A797" s="25">
        <f>ItensPedido!A797</f>
        <v/>
      </c>
      <c r="B797" s="25">
        <f>ItensPedido!B797</f>
        <v/>
      </c>
      <c r="C797" s="25">
        <f>ItensPedido!C797</f>
        <v/>
      </c>
      <c r="D797" s="25">
        <f>ItensPedido!D797</f>
        <v/>
      </c>
      <c r="E797" s="26">
        <f>ItensPedido!E797</f>
        <v/>
      </c>
      <c r="F797" s="25">
        <f>IFERROR(INDEX(Pedidos!$B$2:$B$1801,MATCH(B797,Pedidos!$A$2:$A$1801,0)),0)</f>
        <v/>
      </c>
      <c r="G797" s="25">
        <f>IF(F797=0,"",YEAR(F797))</f>
        <v/>
      </c>
      <c r="H797" s="25">
        <f>IF(F797=0,"",MONTH(F797))</f>
        <v/>
      </c>
      <c r="I797" s="25">
        <f>IFERROR(INDEX(Pedidos!$E$2:$E$1801,MATCH(B797,Pedidos!$A$2:$A$1801,0)),"")</f>
        <v/>
      </c>
      <c r="J797" s="25">
        <f>IFERROR(INDEX(Pedidos!$C$2:$C$1801,MATCH(B797,Pedidos!$A$2:$A$1801,0)),"")</f>
        <v/>
      </c>
      <c r="K797" s="25">
        <f>IFERROR(INDEX(Pedidos!$D$2:$D$1801,MATCH(B797,Pedidos!$A$2:$A$1801,0)),"")</f>
        <v/>
      </c>
      <c r="L797" s="25">
        <f>IFERROR(INDEX(Pedidos!$F$2:$F$1801,MATCH(B797,Pedidos!$A$2:$A$1801,0)),"")</f>
        <v/>
      </c>
      <c r="M797" s="26">
        <f>IFERROR(INDEX(Pedidos!$G$2:$G$1801,MATCH(B797,Pedidos!$A$2:$A$1801,0)),0)</f>
        <v/>
      </c>
      <c r="N797" s="25">
        <f>IFERROR(INDEX(Produtos!$B$2:$B$71,MATCH(C797,Produtos!$A$2:$A$71,0)),"")</f>
        <v/>
      </c>
      <c r="O797" s="25">
        <f>IFERROR(INDEX(Produtos!$C$2:$C$71,MATCH(C797,Produtos!$A$2:$A$71,0)),"")</f>
        <v/>
      </c>
      <c r="P797" s="25">
        <f>IFERROR(INDEX(Produtos!$D$2:$D$71,MATCH(C797,Produtos!$A$2:$A$71,0)),0)</f>
        <v/>
      </c>
      <c r="Q797" s="25">
        <f>IFERROR(INDEX(Produtos!$E$2:$E$71,MATCH(C797,Produtos!$A$2:$A$71,0)),0)</f>
        <v/>
      </c>
      <c r="R797" s="27">
        <f>D797*Q797</f>
        <v/>
      </c>
      <c r="S797" s="27">
        <f>R797*E797</f>
        <v/>
      </c>
      <c r="T797" s="27">
        <f>(R797-S797)*M797</f>
        <v/>
      </c>
      <c r="U797" s="27">
        <f>R797-S797-T797</f>
        <v/>
      </c>
      <c r="V797" s="27">
        <f>D797*P797</f>
        <v/>
      </c>
      <c r="W797" s="27">
        <f>U797-V797</f>
        <v/>
      </c>
      <c r="X797" s="28">
        <f>IFERROR(W797/U797,0)</f>
        <v/>
      </c>
    </row>
    <row r="798">
      <c r="A798" s="21">
        <f>ItensPedido!A798</f>
        <v/>
      </c>
      <c r="B798" s="21">
        <f>ItensPedido!B798</f>
        <v/>
      </c>
      <c r="C798" s="21">
        <f>ItensPedido!C798</f>
        <v/>
      </c>
      <c r="D798" s="21">
        <f>ItensPedido!D798</f>
        <v/>
      </c>
      <c r="E798" s="22">
        <f>ItensPedido!E798</f>
        <v/>
      </c>
      <c r="F798" s="21">
        <f>IFERROR(INDEX(Pedidos!$B$2:$B$1801,MATCH(B798,Pedidos!$A$2:$A$1801,0)),0)</f>
        <v/>
      </c>
      <c r="G798" s="21">
        <f>IF(F798=0,"",YEAR(F798))</f>
        <v/>
      </c>
      <c r="H798" s="21">
        <f>IF(F798=0,"",MONTH(F798))</f>
        <v/>
      </c>
      <c r="I798" s="21">
        <f>IFERROR(INDEX(Pedidos!$E$2:$E$1801,MATCH(B798,Pedidos!$A$2:$A$1801,0)),"")</f>
        <v/>
      </c>
      <c r="J798" s="21">
        <f>IFERROR(INDEX(Pedidos!$C$2:$C$1801,MATCH(B798,Pedidos!$A$2:$A$1801,0)),"")</f>
        <v/>
      </c>
      <c r="K798" s="21">
        <f>IFERROR(INDEX(Pedidos!$D$2:$D$1801,MATCH(B798,Pedidos!$A$2:$A$1801,0)),"")</f>
        <v/>
      </c>
      <c r="L798" s="21">
        <f>IFERROR(INDEX(Pedidos!$F$2:$F$1801,MATCH(B798,Pedidos!$A$2:$A$1801,0)),"")</f>
        <v/>
      </c>
      <c r="M798" s="22">
        <f>IFERROR(INDEX(Pedidos!$G$2:$G$1801,MATCH(B798,Pedidos!$A$2:$A$1801,0)),0)</f>
        <v/>
      </c>
      <c r="N798" s="21">
        <f>IFERROR(INDEX(Produtos!$B$2:$B$71,MATCH(C798,Produtos!$A$2:$A$71,0)),"")</f>
        <v/>
      </c>
      <c r="O798" s="21">
        <f>IFERROR(INDEX(Produtos!$C$2:$C$71,MATCH(C798,Produtos!$A$2:$A$71,0)),"")</f>
        <v/>
      </c>
      <c r="P798" s="21">
        <f>IFERROR(INDEX(Produtos!$D$2:$D$71,MATCH(C798,Produtos!$A$2:$A$71,0)),0)</f>
        <v/>
      </c>
      <c r="Q798" s="21">
        <f>IFERROR(INDEX(Produtos!$E$2:$E$71,MATCH(C798,Produtos!$A$2:$A$71,0)),0)</f>
        <v/>
      </c>
      <c r="R798" s="23">
        <f>D798*Q798</f>
        <v/>
      </c>
      <c r="S798" s="23">
        <f>R798*E798</f>
        <v/>
      </c>
      <c r="T798" s="23">
        <f>(R798-S798)*M798</f>
        <v/>
      </c>
      <c r="U798" s="23">
        <f>R798-S798-T798</f>
        <v/>
      </c>
      <c r="V798" s="23">
        <f>D798*P798</f>
        <v/>
      </c>
      <c r="W798" s="23">
        <f>U798-V798</f>
        <v/>
      </c>
      <c r="X798" s="24">
        <f>IFERROR(W798/U798,0)</f>
        <v/>
      </c>
    </row>
    <row r="799">
      <c r="A799" s="25">
        <f>ItensPedido!A799</f>
        <v/>
      </c>
      <c r="B799" s="25">
        <f>ItensPedido!B799</f>
        <v/>
      </c>
      <c r="C799" s="25">
        <f>ItensPedido!C799</f>
        <v/>
      </c>
      <c r="D799" s="25">
        <f>ItensPedido!D799</f>
        <v/>
      </c>
      <c r="E799" s="26">
        <f>ItensPedido!E799</f>
        <v/>
      </c>
      <c r="F799" s="25">
        <f>IFERROR(INDEX(Pedidos!$B$2:$B$1801,MATCH(B799,Pedidos!$A$2:$A$1801,0)),0)</f>
        <v/>
      </c>
      <c r="G799" s="25">
        <f>IF(F799=0,"",YEAR(F799))</f>
        <v/>
      </c>
      <c r="H799" s="25">
        <f>IF(F799=0,"",MONTH(F799))</f>
        <v/>
      </c>
      <c r="I799" s="25">
        <f>IFERROR(INDEX(Pedidos!$E$2:$E$1801,MATCH(B799,Pedidos!$A$2:$A$1801,0)),"")</f>
        <v/>
      </c>
      <c r="J799" s="25">
        <f>IFERROR(INDEX(Pedidos!$C$2:$C$1801,MATCH(B799,Pedidos!$A$2:$A$1801,0)),"")</f>
        <v/>
      </c>
      <c r="K799" s="25">
        <f>IFERROR(INDEX(Pedidos!$D$2:$D$1801,MATCH(B799,Pedidos!$A$2:$A$1801,0)),"")</f>
        <v/>
      </c>
      <c r="L799" s="25">
        <f>IFERROR(INDEX(Pedidos!$F$2:$F$1801,MATCH(B799,Pedidos!$A$2:$A$1801,0)),"")</f>
        <v/>
      </c>
      <c r="M799" s="26">
        <f>IFERROR(INDEX(Pedidos!$G$2:$G$1801,MATCH(B799,Pedidos!$A$2:$A$1801,0)),0)</f>
        <v/>
      </c>
      <c r="N799" s="25">
        <f>IFERROR(INDEX(Produtos!$B$2:$B$71,MATCH(C799,Produtos!$A$2:$A$71,0)),"")</f>
        <v/>
      </c>
      <c r="O799" s="25">
        <f>IFERROR(INDEX(Produtos!$C$2:$C$71,MATCH(C799,Produtos!$A$2:$A$71,0)),"")</f>
        <v/>
      </c>
      <c r="P799" s="25">
        <f>IFERROR(INDEX(Produtos!$D$2:$D$71,MATCH(C799,Produtos!$A$2:$A$71,0)),0)</f>
        <v/>
      </c>
      <c r="Q799" s="25">
        <f>IFERROR(INDEX(Produtos!$E$2:$E$71,MATCH(C799,Produtos!$A$2:$A$71,0)),0)</f>
        <v/>
      </c>
      <c r="R799" s="27">
        <f>D799*Q799</f>
        <v/>
      </c>
      <c r="S799" s="27">
        <f>R799*E799</f>
        <v/>
      </c>
      <c r="T799" s="27">
        <f>(R799-S799)*M799</f>
        <v/>
      </c>
      <c r="U799" s="27">
        <f>R799-S799-T799</f>
        <v/>
      </c>
      <c r="V799" s="27">
        <f>D799*P799</f>
        <v/>
      </c>
      <c r="W799" s="27">
        <f>U799-V799</f>
        <v/>
      </c>
      <c r="X799" s="28">
        <f>IFERROR(W799/U799,0)</f>
        <v/>
      </c>
    </row>
    <row r="800">
      <c r="A800" s="21">
        <f>ItensPedido!A800</f>
        <v/>
      </c>
      <c r="B800" s="21">
        <f>ItensPedido!B800</f>
        <v/>
      </c>
      <c r="C800" s="21">
        <f>ItensPedido!C800</f>
        <v/>
      </c>
      <c r="D800" s="21">
        <f>ItensPedido!D800</f>
        <v/>
      </c>
      <c r="E800" s="22">
        <f>ItensPedido!E800</f>
        <v/>
      </c>
      <c r="F800" s="21">
        <f>IFERROR(INDEX(Pedidos!$B$2:$B$1801,MATCH(B800,Pedidos!$A$2:$A$1801,0)),0)</f>
        <v/>
      </c>
      <c r="G800" s="21">
        <f>IF(F800=0,"",YEAR(F800))</f>
        <v/>
      </c>
      <c r="H800" s="21">
        <f>IF(F800=0,"",MONTH(F800))</f>
        <v/>
      </c>
      <c r="I800" s="21">
        <f>IFERROR(INDEX(Pedidos!$E$2:$E$1801,MATCH(B800,Pedidos!$A$2:$A$1801,0)),"")</f>
        <v/>
      </c>
      <c r="J800" s="21">
        <f>IFERROR(INDEX(Pedidos!$C$2:$C$1801,MATCH(B800,Pedidos!$A$2:$A$1801,0)),"")</f>
        <v/>
      </c>
      <c r="K800" s="21">
        <f>IFERROR(INDEX(Pedidos!$D$2:$D$1801,MATCH(B800,Pedidos!$A$2:$A$1801,0)),"")</f>
        <v/>
      </c>
      <c r="L800" s="21">
        <f>IFERROR(INDEX(Pedidos!$F$2:$F$1801,MATCH(B800,Pedidos!$A$2:$A$1801,0)),"")</f>
        <v/>
      </c>
      <c r="M800" s="22">
        <f>IFERROR(INDEX(Pedidos!$G$2:$G$1801,MATCH(B800,Pedidos!$A$2:$A$1801,0)),0)</f>
        <v/>
      </c>
      <c r="N800" s="21">
        <f>IFERROR(INDEX(Produtos!$B$2:$B$71,MATCH(C800,Produtos!$A$2:$A$71,0)),"")</f>
        <v/>
      </c>
      <c r="O800" s="21">
        <f>IFERROR(INDEX(Produtos!$C$2:$C$71,MATCH(C800,Produtos!$A$2:$A$71,0)),"")</f>
        <v/>
      </c>
      <c r="P800" s="21">
        <f>IFERROR(INDEX(Produtos!$D$2:$D$71,MATCH(C800,Produtos!$A$2:$A$71,0)),0)</f>
        <v/>
      </c>
      <c r="Q800" s="21">
        <f>IFERROR(INDEX(Produtos!$E$2:$E$71,MATCH(C800,Produtos!$A$2:$A$71,0)),0)</f>
        <v/>
      </c>
      <c r="R800" s="23">
        <f>D800*Q800</f>
        <v/>
      </c>
      <c r="S800" s="23">
        <f>R800*E800</f>
        <v/>
      </c>
      <c r="T800" s="23">
        <f>(R800-S800)*M800</f>
        <v/>
      </c>
      <c r="U800" s="23">
        <f>R800-S800-T800</f>
        <v/>
      </c>
      <c r="V800" s="23">
        <f>D800*P800</f>
        <v/>
      </c>
      <c r="W800" s="23">
        <f>U800-V800</f>
        <v/>
      </c>
      <c r="X800" s="24">
        <f>IFERROR(W800/U800,0)</f>
        <v/>
      </c>
    </row>
    <row r="801">
      <c r="A801" s="25">
        <f>ItensPedido!A801</f>
        <v/>
      </c>
      <c r="B801" s="25">
        <f>ItensPedido!B801</f>
        <v/>
      </c>
      <c r="C801" s="25">
        <f>ItensPedido!C801</f>
        <v/>
      </c>
      <c r="D801" s="25">
        <f>ItensPedido!D801</f>
        <v/>
      </c>
      <c r="E801" s="26">
        <f>ItensPedido!E801</f>
        <v/>
      </c>
      <c r="F801" s="25">
        <f>IFERROR(INDEX(Pedidos!$B$2:$B$1801,MATCH(B801,Pedidos!$A$2:$A$1801,0)),0)</f>
        <v/>
      </c>
      <c r="G801" s="25">
        <f>IF(F801=0,"",YEAR(F801))</f>
        <v/>
      </c>
      <c r="H801" s="25">
        <f>IF(F801=0,"",MONTH(F801))</f>
        <v/>
      </c>
      <c r="I801" s="25">
        <f>IFERROR(INDEX(Pedidos!$E$2:$E$1801,MATCH(B801,Pedidos!$A$2:$A$1801,0)),"")</f>
        <v/>
      </c>
      <c r="J801" s="25">
        <f>IFERROR(INDEX(Pedidos!$C$2:$C$1801,MATCH(B801,Pedidos!$A$2:$A$1801,0)),"")</f>
        <v/>
      </c>
      <c r="K801" s="25">
        <f>IFERROR(INDEX(Pedidos!$D$2:$D$1801,MATCH(B801,Pedidos!$A$2:$A$1801,0)),"")</f>
        <v/>
      </c>
      <c r="L801" s="25">
        <f>IFERROR(INDEX(Pedidos!$F$2:$F$1801,MATCH(B801,Pedidos!$A$2:$A$1801,0)),"")</f>
        <v/>
      </c>
      <c r="M801" s="26">
        <f>IFERROR(INDEX(Pedidos!$G$2:$G$1801,MATCH(B801,Pedidos!$A$2:$A$1801,0)),0)</f>
        <v/>
      </c>
      <c r="N801" s="25">
        <f>IFERROR(INDEX(Produtos!$B$2:$B$71,MATCH(C801,Produtos!$A$2:$A$71,0)),"")</f>
        <v/>
      </c>
      <c r="O801" s="25">
        <f>IFERROR(INDEX(Produtos!$C$2:$C$71,MATCH(C801,Produtos!$A$2:$A$71,0)),"")</f>
        <v/>
      </c>
      <c r="P801" s="25">
        <f>IFERROR(INDEX(Produtos!$D$2:$D$71,MATCH(C801,Produtos!$A$2:$A$71,0)),0)</f>
        <v/>
      </c>
      <c r="Q801" s="25">
        <f>IFERROR(INDEX(Produtos!$E$2:$E$71,MATCH(C801,Produtos!$A$2:$A$71,0)),0)</f>
        <v/>
      </c>
      <c r="R801" s="27">
        <f>D801*Q801</f>
        <v/>
      </c>
      <c r="S801" s="27">
        <f>R801*E801</f>
        <v/>
      </c>
      <c r="T801" s="27">
        <f>(R801-S801)*M801</f>
        <v/>
      </c>
      <c r="U801" s="27">
        <f>R801-S801-T801</f>
        <v/>
      </c>
      <c r="V801" s="27">
        <f>D801*P801</f>
        <v/>
      </c>
      <c r="W801" s="27">
        <f>U801-V801</f>
        <v/>
      </c>
      <c r="X801" s="28">
        <f>IFERROR(W801/U801,0)</f>
        <v/>
      </c>
    </row>
    <row r="802">
      <c r="A802" s="21">
        <f>ItensPedido!A802</f>
        <v/>
      </c>
      <c r="B802" s="21">
        <f>ItensPedido!B802</f>
        <v/>
      </c>
      <c r="C802" s="21">
        <f>ItensPedido!C802</f>
        <v/>
      </c>
      <c r="D802" s="21">
        <f>ItensPedido!D802</f>
        <v/>
      </c>
      <c r="E802" s="22">
        <f>ItensPedido!E802</f>
        <v/>
      </c>
      <c r="F802" s="21">
        <f>IFERROR(INDEX(Pedidos!$B$2:$B$1801,MATCH(B802,Pedidos!$A$2:$A$1801,0)),0)</f>
        <v/>
      </c>
      <c r="G802" s="21">
        <f>IF(F802=0,"",YEAR(F802))</f>
        <v/>
      </c>
      <c r="H802" s="21">
        <f>IF(F802=0,"",MONTH(F802))</f>
        <v/>
      </c>
      <c r="I802" s="21">
        <f>IFERROR(INDEX(Pedidos!$E$2:$E$1801,MATCH(B802,Pedidos!$A$2:$A$1801,0)),"")</f>
        <v/>
      </c>
      <c r="J802" s="21">
        <f>IFERROR(INDEX(Pedidos!$C$2:$C$1801,MATCH(B802,Pedidos!$A$2:$A$1801,0)),"")</f>
        <v/>
      </c>
      <c r="K802" s="21">
        <f>IFERROR(INDEX(Pedidos!$D$2:$D$1801,MATCH(B802,Pedidos!$A$2:$A$1801,0)),"")</f>
        <v/>
      </c>
      <c r="L802" s="21">
        <f>IFERROR(INDEX(Pedidos!$F$2:$F$1801,MATCH(B802,Pedidos!$A$2:$A$1801,0)),"")</f>
        <v/>
      </c>
      <c r="M802" s="22">
        <f>IFERROR(INDEX(Pedidos!$G$2:$G$1801,MATCH(B802,Pedidos!$A$2:$A$1801,0)),0)</f>
        <v/>
      </c>
      <c r="N802" s="21">
        <f>IFERROR(INDEX(Produtos!$B$2:$B$71,MATCH(C802,Produtos!$A$2:$A$71,0)),"")</f>
        <v/>
      </c>
      <c r="O802" s="21">
        <f>IFERROR(INDEX(Produtos!$C$2:$C$71,MATCH(C802,Produtos!$A$2:$A$71,0)),"")</f>
        <v/>
      </c>
      <c r="P802" s="21">
        <f>IFERROR(INDEX(Produtos!$D$2:$D$71,MATCH(C802,Produtos!$A$2:$A$71,0)),0)</f>
        <v/>
      </c>
      <c r="Q802" s="21">
        <f>IFERROR(INDEX(Produtos!$E$2:$E$71,MATCH(C802,Produtos!$A$2:$A$71,0)),0)</f>
        <v/>
      </c>
      <c r="R802" s="23">
        <f>D802*Q802</f>
        <v/>
      </c>
      <c r="S802" s="23">
        <f>R802*E802</f>
        <v/>
      </c>
      <c r="T802" s="23">
        <f>(R802-S802)*M802</f>
        <v/>
      </c>
      <c r="U802" s="23">
        <f>R802-S802-T802</f>
        <v/>
      </c>
      <c r="V802" s="23">
        <f>D802*P802</f>
        <v/>
      </c>
      <c r="W802" s="23">
        <f>U802-V802</f>
        <v/>
      </c>
      <c r="X802" s="24">
        <f>IFERROR(W802/U802,0)</f>
        <v/>
      </c>
    </row>
    <row r="803">
      <c r="A803" s="25">
        <f>ItensPedido!A803</f>
        <v/>
      </c>
      <c r="B803" s="25">
        <f>ItensPedido!B803</f>
        <v/>
      </c>
      <c r="C803" s="25">
        <f>ItensPedido!C803</f>
        <v/>
      </c>
      <c r="D803" s="25">
        <f>ItensPedido!D803</f>
        <v/>
      </c>
      <c r="E803" s="26">
        <f>ItensPedido!E803</f>
        <v/>
      </c>
      <c r="F803" s="25">
        <f>IFERROR(INDEX(Pedidos!$B$2:$B$1801,MATCH(B803,Pedidos!$A$2:$A$1801,0)),0)</f>
        <v/>
      </c>
      <c r="G803" s="25">
        <f>IF(F803=0,"",YEAR(F803))</f>
        <v/>
      </c>
      <c r="H803" s="25">
        <f>IF(F803=0,"",MONTH(F803))</f>
        <v/>
      </c>
      <c r="I803" s="25">
        <f>IFERROR(INDEX(Pedidos!$E$2:$E$1801,MATCH(B803,Pedidos!$A$2:$A$1801,0)),"")</f>
        <v/>
      </c>
      <c r="J803" s="25">
        <f>IFERROR(INDEX(Pedidos!$C$2:$C$1801,MATCH(B803,Pedidos!$A$2:$A$1801,0)),"")</f>
        <v/>
      </c>
      <c r="K803" s="25">
        <f>IFERROR(INDEX(Pedidos!$D$2:$D$1801,MATCH(B803,Pedidos!$A$2:$A$1801,0)),"")</f>
        <v/>
      </c>
      <c r="L803" s="25">
        <f>IFERROR(INDEX(Pedidos!$F$2:$F$1801,MATCH(B803,Pedidos!$A$2:$A$1801,0)),"")</f>
        <v/>
      </c>
      <c r="M803" s="26">
        <f>IFERROR(INDEX(Pedidos!$G$2:$G$1801,MATCH(B803,Pedidos!$A$2:$A$1801,0)),0)</f>
        <v/>
      </c>
      <c r="N803" s="25">
        <f>IFERROR(INDEX(Produtos!$B$2:$B$71,MATCH(C803,Produtos!$A$2:$A$71,0)),"")</f>
        <v/>
      </c>
      <c r="O803" s="25">
        <f>IFERROR(INDEX(Produtos!$C$2:$C$71,MATCH(C803,Produtos!$A$2:$A$71,0)),"")</f>
        <v/>
      </c>
      <c r="P803" s="25">
        <f>IFERROR(INDEX(Produtos!$D$2:$D$71,MATCH(C803,Produtos!$A$2:$A$71,0)),0)</f>
        <v/>
      </c>
      <c r="Q803" s="25">
        <f>IFERROR(INDEX(Produtos!$E$2:$E$71,MATCH(C803,Produtos!$A$2:$A$71,0)),0)</f>
        <v/>
      </c>
      <c r="R803" s="27">
        <f>D803*Q803</f>
        <v/>
      </c>
      <c r="S803" s="27">
        <f>R803*E803</f>
        <v/>
      </c>
      <c r="T803" s="27">
        <f>(R803-S803)*M803</f>
        <v/>
      </c>
      <c r="U803" s="27">
        <f>R803-S803-T803</f>
        <v/>
      </c>
      <c r="V803" s="27">
        <f>D803*P803</f>
        <v/>
      </c>
      <c r="W803" s="27">
        <f>U803-V803</f>
        <v/>
      </c>
      <c r="X803" s="28">
        <f>IFERROR(W803/U803,0)</f>
        <v/>
      </c>
    </row>
    <row r="804">
      <c r="A804" s="21">
        <f>ItensPedido!A804</f>
        <v/>
      </c>
      <c r="B804" s="21">
        <f>ItensPedido!B804</f>
        <v/>
      </c>
      <c r="C804" s="21">
        <f>ItensPedido!C804</f>
        <v/>
      </c>
      <c r="D804" s="21">
        <f>ItensPedido!D804</f>
        <v/>
      </c>
      <c r="E804" s="22">
        <f>ItensPedido!E804</f>
        <v/>
      </c>
      <c r="F804" s="21">
        <f>IFERROR(INDEX(Pedidos!$B$2:$B$1801,MATCH(B804,Pedidos!$A$2:$A$1801,0)),0)</f>
        <v/>
      </c>
      <c r="G804" s="21">
        <f>IF(F804=0,"",YEAR(F804))</f>
        <v/>
      </c>
      <c r="H804" s="21">
        <f>IF(F804=0,"",MONTH(F804))</f>
        <v/>
      </c>
      <c r="I804" s="21">
        <f>IFERROR(INDEX(Pedidos!$E$2:$E$1801,MATCH(B804,Pedidos!$A$2:$A$1801,0)),"")</f>
        <v/>
      </c>
      <c r="J804" s="21">
        <f>IFERROR(INDEX(Pedidos!$C$2:$C$1801,MATCH(B804,Pedidos!$A$2:$A$1801,0)),"")</f>
        <v/>
      </c>
      <c r="K804" s="21">
        <f>IFERROR(INDEX(Pedidos!$D$2:$D$1801,MATCH(B804,Pedidos!$A$2:$A$1801,0)),"")</f>
        <v/>
      </c>
      <c r="L804" s="21">
        <f>IFERROR(INDEX(Pedidos!$F$2:$F$1801,MATCH(B804,Pedidos!$A$2:$A$1801,0)),"")</f>
        <v/>
      </c>
      <c r="M804" s="22">
        <f>IFERROR(INDEX(Pedidos!$G$2:$G$1801,MATCH(B804,Pedidos!$A$2:$A$1801,0)),0)</f>
        <v/>
      </c>
      <c r="N804" s="21">
        <f>IFERROR(INDEX(Produtos!$B$2:$B$71,MATCH(C804,Produtos!$A$2:$A$71,0)),"")</f>
        <v/>
      </c>
      <c r="O804" s="21">
        <f>IFERROR(INDEX(Produtos!$C$2:$C$71,MATCH(C804,Produtos!$A$2:$A$71,0)),"")</f>
        <v/>
      </c>
      <c r="P804" s="21">
        <f>IFERROR(INDEX(Produtos!$D$2:$D$71,MATCH(C804,Produtos!$A$2:$A$71,0)),0)</f>
        <v/>
      </c>
      <c r="Q804" s="21">
        <f>IFERROR(INDEX(Produtos!$E$2:$E$71,MATCH(C804,Produtos!$A$2:$A$71,0)),0)</f>
        <v/>
      </c>
      <c r="R804" s="23">
        <f>D804*Q804</f>
        <v/>
      </c>
      <c r="S804" s="23">
        <f>R804*E804</f>
        <v/>
      </c>
      <c r="T804" s="23">
        <f>(R804-S804)*M804</f>
        <v/>
      </c>
      <c r="U804" s="23">
        <f>R804-S804-T804</f>
        <v/>
      </c>
      <c r="V804" s="23">
        <f>D804*P804</f>
        <v/>
      </c>
      <c r="W804" s="23">
        <f>U804-V804</f>
        <v/>
      </c>
      <c r="X804" s="24">
        <f>IFERROR(W804/U804,0)</f>
        <v/>
      </c>
    </row>
    <row r="805">
      <c r="A805" s="25">
        <f>ItensPedido!A805</f>
        <v/>
      </c>
      <c r="B805" s="25">
        <f>ItensPedido!B805</f>
        <v/>
      </c>
      <c r="C805" s="25">
        <f>ItensPedido!C805</f>
        <v/>
      </c>
      <c r="D805" s="25">
        <f>ItensPedido!D805</f>
        <v/>
      </c>
      <c r="E805" s="26">
        <f>ItensPedido!E805</f>
        <v/>
      </c>
      <c r="F805" s="25">
        <f>IFERROR(INDEX(Pedidos!$B$2:$B$1801,MATCH(B805,Pedidos!$A$2:$A$1801,0)),0)</f>
        <v/>
      </c>
      <c r="G805" s="25">
        <f>IF(F805=0,"",YEAR(F805))</f>
        <v/>
      </c>
      <c r="H805" s="25">
        <f>IF(F805=0,"",MONTH(F805))</f>
        <v/>
      </c>
      <c r="I805" s="25">
        <f>IFERROR(INDEX(Pedidos!$E$2:$E$1801,MATCH(B805,Pedidos!$A$2:$A$1801,0)),"")</f>
        <v/>
      </c>
      <c r="J805" s="25">
        <f>IFERROR(INDEX(Pedidos!$C$2:$C$1801,MATCH(B805,Pedidos!$A$2:$A$1801,0)),"")</f>
        <v/>
      </c>
      <c r="K805" s="25">
        <f>IFERROR(INDEX(Pedidos!$D$2:$D$1801,MATCH(B805,Pedidos!$A$2:$A$1801,0)),"")</f>
        <v/>
      </c>
      <c r="L805" s="25">
        <f>IFERROR(INDEX(Pedidos!$F$2:$F$1801,MATCH(B805,Pedidos!$A$2:$A$1801,0)),"")</f>
        <v/>
      </c>
      <c r="M805" s="26">
        <f>IFERROR(INDEX(Pedidos!$G$2:$G$1801,MATCH(B805,Pedidos!$A$2:$A$1801,0)),0)</f>
        <v/>
      </c>
      <c r="N805" s="25">
        <f>IFERROR(INDEX(Produtos!$B$2:$B$71,MATCH(C805,Produtos!$A$2:$A$71,0)),"")</f>
        <v/>
      </c>
      <c r="O805" s="25">
        <f>IFERROR(INDEX(Produtos!$C$2:$C$71,MATCH(C805,Produtos!$A$2:$A$71,0)),"")</f>
        <v/>
      </c>
      <c r="P805" s="25">
        <f>IFERROR(INDEX(Produtos!$D$2:$D$71,MATCH(C805,Produtos!$A$2:$A$71,0)),0)</f>
        <v/>
      </c>
      <c r="Q805" s="25">
        <f>IFERROR(INDEX(Produtos!$E$2:$E$71,MATCH(C805,Produtos!$A$2:$A$71,0)),0)</f>
        <v/>
      </c>
      <c r="R805" s="27">
        <f>D805*Q805</f>
        <v/>
      </c>
      <c r="S805" s="27">
        <f>R805*E805</f>
        <v/>
      </c>
      <c r="T805" s="27">
        <f>(R805-S805)*M805</f>
        <v/>
      </c>
      <c r="U805" s="27">
        <f>R805-S805-T805</f>
        <v/>
      </c>
      <c r="V805" s="27">
        <f>D805*P805</f>
        <v/>
      </c>
      <c r="W805" s="27">
        <f>U805-V805</f>
        <v/>
      </c>
      <c r="X805" s="28">
        <f>IFERROR(W805/U805,0)</f>
        <v/>
      </c>
    </row>
    <row r="806">
      <c r="A806" s="21">
        <f>ItensPedido!A806</f>
        <v/>
      </c>
      <c r="B806" s="21">
        <f>ItensPedido!B806</f>
        <v/>
      </c>
      <c r="C806" s="21">
        <f>ItensPedido!C806</f>
        <v/>
      </c>
      <c r="D806" s="21">
        <f>ItensPedido!D806</f>
        <v/>
      </c>
      <c r="E806" s="22">
        <f>ItensPedido!E806</f>
        <v/>
      </c>
      <c r="F806" s="21">
        <f>IFERROR(INDEX(Pedidos!$B$2:$B$1801,MATCH(B806,Pedidos!$A$2:$A$1801,0)),0)</f>
        <v/>
      </c>
      <c r="G806" s="21">
        <f>IF(F806=0,"",YEAR(F806))</f>
        <v/>
      </c>
      <c r="H806" s="21">
        <f>IF(F806=0,"",MONTH(F806))</f>
        <v/>
      </c>
      <c r="I806" s="21">
        <f>IFERROR(INDEX(Pedidos!$E$2:$E$1801,MATCH(B806,Pedidos!$A$2:$A$1801,0)),"")</f>
        <v/>
      </c>
      <c r="J806" s="21">
        <f>IFERROR(INDEX(Pedidos!$C$2:$C$1801,MATCH(B806,Pedidos!$A$2:$A$1801,0)),"")</f>
        <v/>
      </c>
      <c r="K806" s="21">
        <f>IFERROR(INDEX(Pedidos!$D$2:$D$1801,MATCH(B806,Pedidos!$A$2:$A$1801,0)),"")</f>
        <v/>
      </c>
      <c r="L806" s="21">
        <f>IFERROR(INDEX(Pedidos!$F$2:$F$1801,MATCH(B806,Pedidos!$A$2:$A$1801,0)),"")</f>
        <v/>
      </c>
      <c r="M806" s="22">
        <f>IFERROR(INDEX(Pedidos!$G$2:$G$1801,MATCH(B806,Pedidos!$A$2:$A$1801,0)),0)</f>
        <v/>
      </c>
      <c r="N806" s="21">
        <f>IFERROR(INDEX(Produtos!$B$2:$B$71,MATCH(C806,Produtos!$A$2:$A$71,0)),"")</f>
        <v/>
      </c>
      <c r="O806" s="21">
        <f>IFERROR(INDEX(Produtos!$C$2:$C$71,MATCH(C806,Produtos!$A$2:$A$71,0)),"")</f>
        <v/>
      </c>
      <c r="P806" s="21">
        <f>IFERROR(INDEX(Produtos!$D$2:$D$71,MATCH(C806,Produtos!$A$2:$A$71,0)),0)</f>
        <v/>
      </c>
      <c r="Q806" s="21">
        <f>IFERROR(INDEX(Produtos!$E$2:$E$71,MATCH(C806,Produtos!$A$2:$A$71,0)),0)</f>
        <v/>
      </c>
      <c r="R806" s="23">
        <f>D806*Q806</f>
        <v/>
      </c>
      <c r="S806" s="23">
        <f>R806*E806</f>
        <v/>
      </c>
      <c r="T806" s="23">
        <f>(R806-S806)*M806</f>
        <v/>
      </c>
      <c r="U806" s="23">
        <f>R806-S806-T806</f>
        <v/>
      </c>
      <c r="V806" s="23">
        <f>D806*P806</f>
        <v/>
      </c>
      <c r="W806" s="23">
        <f>U806-V806</f>
        <v/>
      </c>
      <c r="X806" s="24">
        <f>IFERROR(W806/U806,0)</f>
        <v/>
      </c>
    </row>
    <row r="807">
      <c r="A807" s="25">
        <f>ItensPedido!A807</f>
        <v/>
      </c>
      <c r="B807" s="25">
        <f>ItensPedido!B807</f>
        <v/>
      </c>
      <c r="C807" s="25">
        <f>ItensPedido!C807</f>
        <v/>
      </c>
      <c r="D807" s="25">
        <f>ItensPedido!D807</f>
        <v/>
      </c>
      <c r="E807" s="26">
        <f>ItensPedido!E807</f>
        <v/>
      </c>
      <c r="F807" s="25">
        <f>IFERROR(INDEX(Pedidos!$B$2:$B$1801,MATCH(B807,Pedidos!$A$2:$A$1801,0)),0)</f>
        <v/>
      </c>
      <c r="G807" s="25">
        <f>IF(F807=0,"",YEAR(F807))</f>
        <v/>
      </c>
      <c r="H807" s="25">
        <f>IF(F807=0,"",MONTH(F807))</f>
        <v/>
      </c>
      <c r="I807" s="25">
        <f>IFERROR(INDEX(Pedidos!$E$2:$E$1801,MATCH(B807,Pedidos!$A$2:$A$1801,0)),"")</f>
        <v/>
      </c>
      <c r="J807" s="25">
        <f>IFERROR(INDEX(Pedidos!$C$2:$C$1801,MATCH(B807,Pedidos!$A$2:$A$1801,0)),"")</f>
        <v/>
      </c>
      <c r="K807" s="25">
        <f>IFERROR(INDEX(Pedidos!$D$2:$D$1801,MATCH(B807,Pedidos!$A$2:$A$1801,0)),"")</f>
        <v/>
      </c>
      <c r="L807" s="25">
        <f>IFERROR(INDEX(Pedidos!$F$2:$F$1801,MATCH(B807,Pedidos!$A$2:$A$1801,0)),"")</f>
        <v/>
      </c>
      <c r="M807" s="26">
        <f>IFERROR(INDEX(Pedidos!$G$2:$G$1801,MATCH(B807,Pedidos!$A$2:$A$1801,0)),0)</f>
        <v/>
      </c>
      <c r="N807" s="25">
        <f>IFERROR(INDEX(Produtos!$B$2:$B$71,MATCH(C807,Produtos!$A$2:$A$71,0)),"")</f>
        <v/>
      </c>
      <c r="O807" s="25">
        <f>IFERROR(INDEX(Produtos!$C$2:$C$71,MATCH(C807,Produtos!$A$2:$A$71,0)),"")</f>
        <v/>
      </c>
      <c r="P807" s="25">
        <f>IFERROR(INDEX(Produtos!$D$2:$D$71,MATCH(C807,Produtos!$A$2:$A$71,0)),0)</f>
        <v/>
      </c>
      <c r="Q807" s="25">
        <f>IFERROR(INDEX(Produtos!$E$2:$E$71,MATCH(C807,Produtos!$A$2:$A$71,0)),0)</f>
        <v/>
      </c>
      <c r="R807" s="27">
        <f>D807*Q807</f>
        <v/>
      </c>
      <c r="S807" s="27">
        <f>R807*E807</f>
        <v/>
      </c>
      <c r="T807" s="27">
        <f>(R807-S807)*M807</f>
        <v/>
      </c>
      <c r="U807" s="27">
        <f>R807-S807-T807</f>
        <v/>
      </c>
      <c r="V807" s="27">
        <f>D807*P807</f>
        <v/>
      </c>
      <c r="W807" s="27">
        <f>U807-V807</f>
        <v/>
      </c>
      <c r="X807" s="28">
        <f>IFERROR(W807/U807,0)</f>
        <v/>
      </c>
    </row>
    <row r="808">
      <c r="A808" s="21">
        <f>ItensPedido!A808</f>
        <v/>
      </c>
      <c r="B808" s="21">
        <f>ItensPedido!B808</f>
        <v/>
      </c>
      <c r="C808" s="21">
        <f>ItensPedido!C808</f>
        <v/>
      </c>
      <c r="D808" s="21">
        <f>ItensPedido!D808</f>
        <v/>
      </c>
      <c r="E808" s="22">
        <f>ItensPedido!E808</f>
        <v/>
      </c>
      <c r="F808" s="21">
        <f>IFERROR(INDEX(Pedidos!$B$2:$B$1801,MATCH(B808,Pedidos!$A$2:$A$1801,0)),0)</f>
        <v/>
      </c>
      <c r="G808" s="21">
        <f>IF(F808=0,"",YEAR(F808))</f>
        <v/>
      </c>
      <c r="H808" s="21">
        <f>IF(F808=0,"",MONTH(F808))</f>
        <v/>
      </c>
      <c r="I808" s="21">
        <f>IFERROR(INDEX(Pedidos!$E$2:$E$1801,MATCH(B808,Pedidos!$A$2:$A$1801,0)),"")</f>
        <v/>
      </c>
      <c r="J808" s="21">
        <f>IFERROR(INDEX(Pedidos!$C$2:$C$1801,MATCH(B808,Pedidos!$A$2:$A$1801,0)),"")</f>
        <v/>
      </c>
      <c r="K808" s="21">
        <f>IFERROR(INDEX(Pedidos!$D$2:$D$1801,MATCH(B808,Pedidos!$A$2:$A$1801,0)),"")</f>
        <v/>
      </c>
      <c r="L808" s="21">
        <f>IFERROR(INDEX(Pedidos!$F$2:$F$1801,MATCH(B808,Pedidos!$A$2:$A$1801,0)),"")</f>
        <v/>
      </c>
      <c r="M808" s="22">
        <f>IFERROR(INDEX(Pedidos!$G$2:$G$1801,MATCH(B808,Pedidos!$A$2:$A$1801,0)),0)</f>
        <v/>
      </c>
      <c r="N808" s="21">
        <f>IFERROR(INDEX(Produtos!$B$2:$B$71,MATCH(C808,Produtos!$A$2:$A$71,0)),"")</f>
        <v/>
      </c>
      <c r="O808" s="21">
        <f>IFERROR(INDEX(Produtos!$C$2:$C$71,MATCH(C808,Produtos!$A$2:$A$71,0)),"")</f>
        <v/>
      </c>
      <c r="P808" s="21">
        <f>IFERROR(INDEX(Produtos!$D$2:$D$71,MATCH(C808,Produtos!$A$2:$A$71,0)),0)</f>
        <v/>
      </c>
      <c r="Q808" s="21">
        <f>IFERROR(INDEX(Produtos!$E$2:$E$71,MATCH(C808,Produtos!$A$2:$A$71,0)),0)</f>
        <v/>
      </c>
      <c r="R808" s="23">
        <f>D808*Q808</f>
        <v/>
      </c>
      <c r="S808" s="23">
        <f>R808*E808</f>
        <v/>
      </c>
      <c r="T808" s="23">
        <f>(R808-S808)*M808</f>
        <v/>
      </c>
      <c r="U808" s="23">
        <f>R808-S808-T808</f>
        <v/>
      </c>
      <c r="V808" s="23">
        <f>D808*P808</f>
        <v/>
      </c>
      <c r="W808" s="23">
        <f>U808-V808</f>
        <v/>
      </c>
      <c r="X808" s="24">
        <f>IFERROR(W808/U808,0)</f>
        <v/>
      </c>
    </row>
    <row r="809">
      <c r="A809" s="25">
        <f>ItensPedido!A809</f>
        <v/>
      </c>
      <c r="B809" s="25">
        <f>ItensPedido!B809</f>
        <v/>
      </c>
      <c r="C809" s="25">
        <f>ItensPedido!C809</f>
        <v/>
      </c>
      <c r="D809" s="25">
        <f>ItensPedido!D809</f>
        <v/>
      </c>
      <c r="E809" s="26">
        <f>ItensPedido!E809</f>
        <v/>
      </c>
      <c r="F809" s="25">
        <f>IFERROR(INDEX(Pedidos!$B$2:$B$1801,MATCH(B809,Pedidos!$A$2:$A$1801,0)),0)</f>
        <v/>
      </c>
      <c r="G809" s="25">
        <f>IF(F809=0,"",YEAR(F809))</f>
        <v/>
      </c>
      <c r="H809" s="25">
        <f>IF(F809=0,"",MONTH(F809))</f>
        <v/>
      </c>
      <c r="I809" s="25">
        <f>IFERROR(INDEX(Pedidos!$E$2:$E$1801,MATCH(B809,Pedidos!$A$2:$A$1801,0)),"")</f>
        <v/>
      </c>
      <c r="J809" s="25">
        <f>IFERROR(INDEX(Pedidos!$C$2:$C$1801,MATCH(B809,Pedidos!$A$2:$A$1801,0)),"")</f>
        <v/>
      </c>
      <c r="K809" s="25">
        <f>IFERROR(INDEX(Pedidos!$D$2:$D$1801,MATCH(B809,Pedidos!$A$2:$A$1801,0)),"")</f>
        <v/>
      </c>
      <c r="L809" s="25">
        <f>IFERROR(INDEX(Pedidos!$F$2:$F$1801,MATCH(B809,Pedidos!$A$2:$A$1801,0)),"")</f>
        <v/>
      </c>
      <c r="M809" s="26">
        <f>IFERROR(INDEX(Pedidos!$G$2:$G$1801,MATCH(B809,Pedidos!$A$2:$A$1801,0)),0)</f>
        <v/>
      </c>
      <c r="N809" s="25">
        <f>IFERROR(INDEX(Produtos!$B$2:$B$71,MATCH(C809,Produtos!$A$2:$A$71,0)),"")</f>
        <v/>
      </c>
      <c r="O809" s="25">
        <f>IFERROR(INDEX(Produtos!$C$2:$C$71,MATCH(C809,Produtos!$A$2:$A$71,0)),"")</f>
        <v/>
      </c>
      <c r="P809" s="25">
        <f>IFERROR(INDEX(Produtos!$D$2:$D$71,MATCH(C809,Produtos!$A$2:$A$71,0)),0)</f>
        <v/>
      </c>
      <c r="Q809" s="25">
        <f>IFERROR(INDEX(Produtos!$E$2:$E$71,MATCH(C809,Produtos!$A$2:$A$71,0)),0)</f>
        <v/>
      </c>
      <c r="R809" s="27">
        <f>D809*Q809</f>
        <v/>
      </c>
      <c r="S809" s="27">
        <f>R809*E809</f>
        <v/>
      </c>
      <c r="T809" s="27">
        <f>(R809-S809)*M809</f>
        <v/>
      </c>
      <c r="U809" s="27">
        <f>R809-S809-T809</f>
        <v/>
      </c>
      <c r="V809" s="27">
        <f>D809*P809</f>
        <v/>
      </c>
      <c r="W809" s="27">
        <f>U809-V809</f>
        <v/>
      </c>
      <c r="X809" s="28">
        <f>IFERROR(W809/U809,0)</f>
        <v/>
      </c>
    </row>
    <row r="810">
      <c r="A810" s="21">
        <f>ItensPedido!A810</f>
        <v/>
      </c>
      <c r="B810" s="21">
        <f>ItensPedido!B810</f>
        <v/>
      </c>
      <c r="C810" s="21">
        <f>ItensPedido!C810</f>
        <v/>
      </c>
      <c r="D810" s="21">
        <f>ItensPedido!D810</f>
        <v/>
      </c>
      <c r="E810" s="22">
        <f>ItensPedido!E810</f>
        <v/>
      </c>
      <c r="F810" s="21">
        <f>IFERROR(INDEX(Pedidos!$B$2:$B$1801,MATCH(B810,Pedidos!$A$2:$A$1801,0)),0)</f>
        <v/>
      </c>
      <c r="G810" s="21">
        <f>IF(F810=0,"",YEAR(F810))</f>
        <v/>
      </c>
      <c r="H810" s="21">
        <f>IF(F810=0,"",MONTH(F810))</f>
        <v/>
      </c>
      <c r="I810" s="21">
        <f>IFERROR(INDEX(Pedidos!$E$2:$E$1801,MATCH(B810,Pedidos!$A$2:$A$1801,0)),"")</f>
        <v/>
      </c>
      <c r="J810" s="21">
        <f>IFERROR(INDEX(Pedidos!$C$2:$C$1801,MATCH(B810,Pedidos!$A$2:$A$1801,0)),"")</f>
        <v/>
      </c>
      <c r="K810" s="21">
        <f>IFERROR(INDEX(Pedidos!$D$2:$D$1801,MATCH(B810,Pedidos!$A$2:$A$1801,0)),"")</f>
        <v/>
      </c>
      <c r="L810" s="21">
        <f>IFERROR(INDEX(Pedidos!$F$2:$F$1801,MATCH(B810,Pedidos!$A$2:$A$1801,0)),"")</f>
        <v/>
      </c>
      <c r="M810" s="22">
        <f>IFERROR(INDEX(Pedidos!$G$2:$G$1801,MATCH(B810,Pedidos!$A$2:$A$1801,0)),0)</f>
        <v/>
      </c>
      <c r="N810" s="21">
        <f>IFERROR(INDEX(Produtos!$B$2:$B$71,MATCH(C810,Produtos!$A$2:$A$71,0)),"")</f>
        <v/>
      </c>
      <c r="O810" s="21">
        <f>IFERROR(INDEX(Produtos!$C$2:$C$71,MATCH(C810,Produtos!$A$2:$A$71,0)),"")</f>
        <v/>
      </c>
      <c r="P810" s="21">
        <f>IFERROR(INDEX(Produtos!$D$2:$D$71,MATCH(C810,Produtos!$A$2:$A$71,0)),0)</f>
        <v/>
      </c>
      <c r="Q810" s="21">
        <f>IFERROR(INDEX(Produtos!$E$2:$E$71,MATCH(C810,Produtos!$A$2:$A$71,0)),0)</f>
        <v/>
      </c>
      <c r="R810" s="23">
        <f>D810*Q810</f>
        <v/>
      </c>
      <c r="S810" s="23">
        <f>R810*E810</f>
        <v/>
      </c>
      <c r="T810" s="23">
        <f>(R810-S810)*M810</f>
        <v/>
      </c>
      <c r="U810" s="23">
        <f>R810-S810-T810</f>
        <v/>
      </c>
      <c r="V810" s="23">
        <f>D810*P810</f>
        <v/>
      </c>
      <c r="W810" s="23">
        <f>U810-V810</f>
        <v/>
      </c>
      <c r="X810" s="24">
        <f>IFERROR(W810/U810,0)</f>
        <v/>
      </c>
    </row>
    <row r="811">
      <c r="A811" s="25">
        <f>ItensPedido!A811</f>
        <v/>
      </c>
      <c r="B811" s="25">
        <f>ItensPedido!B811</f>
        <v/>
      </c>
      <c r="C811" s="25">
        <f>ItensPedido!C811</f>
        <v/>
      </c>
      <c r="D811" s="25">
        <f>ItensPedido!D811</f>
        <v/>
      </c>
      <c r="E811" s="26">
        <f>ItensPedido!E811</f>
        <v/>
      </c>
      <c r="F811" s="25">
        <f>IFERROR(INDEX(Pedidos!$B$2:$B$1801,MATCH(B811,Pedidos!$A$2:$A$1801,0)),0)</f>
        <v/>
      </c>
      <c r="G811" s="25">
        <f>IF(F811=0,"",YEAR(F811))</f>
        <v/>
      </c>
      <c r="H811" s="25">
        <f>IF(F811=0,"",MONTH(F811))</f>
        <v/>
      </c>
      <c r="I811" s="25">
        <f>IFERROR(INDEX(Pedidos!$E$2:$E$1801,MATCH(B811,Pedidos!$A$2:$A$1801,0)),"")</f>
        <v/>
      </c>
      <c r="J811" s="25">
        <f>IFERROR(INDEX(Pedidos!$C$2:$C$1801,MATCH(B811,Pedidos!$A$2:$A$1801,0)),"")</f>
        <v/>
      </c>
      <c r="K811" s="25">
        <f>IFERROR(INDEX(Pedidos!$D$2:$D$1801,MATCH(B811,Pedidos!$A$2:$A$1801,0)),"")</f>
        <v/>
      </c>
      <c r="L811" s="25">
        <f>IFERROR(INDEX(Pedidos!$F$2:$F$1801,MATCH(B811,Pedidos!$A$2:$A$1801,0)),"")</f>
        <v/>
      </c>
      <c r="M811" s="26">
        <f>IFERROR(INDEX(Pedidos!$G$2:$G$1801,MATCH(B811,Pedidos!$A$2:$A$1801,0)),0)</f>
        <v/>
      </c>
      <c r="N811" s="25">
        <f>IFERROR(INDEX(Produtos!$B$2:$B$71,MATCH(C811,Produtos!$A$2:$A$71,0)),"")</f>
        <v/>
      </c>
      <c r="O811" s="25">
        <f>IFERROR(INDEX(Produtos!$C$2:$C$71,MATCH(C811,Produtos!$A$2:$A$71,0)),"")</f>
        <v/>
      </c>
      <c r="P811" s="25">
        <f>IFERROR(INDEX(Produtos!$D$2:$D$71,MATCH(C811,Produtos!$A$2:$A$71,0)),0)</f>
        <v/>
      </c>
      <c r="Q811" s="25">
        <f>IFERROR(INDEX(Produtos!$E$2:$E$71,MATCH(C811,Produtos!$A$2:$A$71,0)),0)</f>
        <v/>
      </c>
      <c r="R811" s="27">
        <f>D811*Q811</f>
        <v/>
      </c>
      <c r="S811" s="27">
        <f>R811*E811</f>
        <v/>
      </c>
      <c r="T811" s="27">
        <f>(R811-S811)*M811</f>
        <v/>
      </c>
      <c r="U811" s="27">
        <f>R811-S811-T811</f>
        <v/>
      </c>
      <c r="V811" s="27">
        <f>D811*P811</f>
        <v/>
      </c>
      <c r="W811" s="27">
        <f>U811-V811</f>
        <v/>
      </c>
      <c r="X811" s="28">
        <f>IFERROR(W811/U811,0)</f>
        <v/>
      </c>
    </row>
    <row r="812">
      <c r="A812" s="21">
        <f>ItensPedido!A812</f>
        <v/>
      </c>
      <c r="B812" s="21">
        <f>ItensPedido!B812</f>
        <v/>
      </c>
      <c r="C812" s="21">
        <f>ItensPedido!C812</f>
        <v/>
      </c>
      <c r="D812" s="21">
        <f>ItensPedido!D812</f>
        <v/>
      </c>
      <c r="E812" s="22">
        <f>ItensPedido!E812</f>
        <v/>
      </c>
      <c r="F812" s="21">
        <f>IFERROR(INDEX(Pedidos!$B$2:$B$1801,MATCH(B812,Pedidos!$A$2:$A$1801,0)),0)</f>
        <v/>
      </c>
      <c r="G812" s="21">
        <f>IF(F812=0,"",YEAR(F812))</f>
        <v/>
      </c>
      <c r="H812" s="21">
        <f>IF(F812=0,"",MONTH(F812))</f>
        <v/>
      </c>
      <c r="I812" s="21">
        <f>IFERROR(INDEX(Pedidos!$E$2:$E$1801,MATCH(B812,Pedidos!$A$2:$A$1801,0)),"")</f>
        <v/>
      </c>
      <c r="J812" s="21">
        <f>IFERROR(INDEX(Pedidos!$C$2:$C$1801,MATCH(B812,Pedidos!$A$2:$A$1801,0)),"")</f>
        <v/>
      </c>
      <c r="K812" s="21">
        <f>IFERROR(INDEX(Pedidos!$D$2:$D$1801,MATCH(B812,Pedidos!$A$2:$A$1801,0)),"")</f>
        <v/>
      </c>
      <c r="L812" s="21">
        <f>IFERROR(INDEX(Pedidos!$F$2:$F$1801,MATCH(B812,Pedidos!$A$2:$A$1801,0)),"")</f>
        <v/>
      </c>
      <c r="M812" s="22">
        <f>IFERROR(INDEX(Pedidos!$G$2:$G$1801,MATCH(B812,Pedidos!$A$2:$A$1801,0)),0)</f>
        <v/>
      </c>
      <c r="N812" s="21">
        <f>IFERROR(INDEX(Produtos!$B$2:$B$71,MATCH(C812,Produtos!$A$2:$A$71,0)),"")</f>
        <v/>
      </c>
      <c r="O812" s="21">
        <f>IFERROR(INDEX(Produtos!$C$2:$C$71,MATCH(C812,Produtos!$A$2:$A$71,0)),"")</f>
        <v/>
      </c>
      <c r="P812" s="21">
        <f>IFERROR(INDEX(Produtos!$D$2:$D$71,MATCH(C812,Produtos!$A$2:$A$71,0)),0)</f>
        <v/>
      </c>
      <c r="Q812" s="21">
        <f>IFERROR(INDEX(Produtos!$E$2:$E$71,MATCH(C812,Produtos!$A$2:$A$71,0)),0)</f>
        <v/>
      </c>
      <c r="R812" s="23">
        <f>D812*Q812</f>
        <v/>
      </c>
      <c r="S812" s="23">
        <f>R812*E812</f>
        <v/>
      </c>
      <c r="T812" s="23">
        <f>(R812-S812)*M812</f>
        <v/>
      </c>
      <c r="U812" s="23">
        <f>R812-S812-T812</f>
        <v/>
      </c>
      <c r="V812" s="23">
        <f>D812*P812</f>
        <v/>
      </c>
      <c r="W812" s="23">
        <f>U812-V812</f>
        <v/>
      </c>
      <c r="X812" s="24">
        <f>IFERROR(W812/U812,0)</f>
        <v/>
      </c>
    </row>
    <row r="813">
      <c r="A813" s="25">
        <f>ItensPedido!A813</f>
        <v/>
      </c>
      <c r="B813" s="25">
        <f>ItensPedido!B813</f>
        <v/>
      </c>
      <c r="C813" s="25">
        <f>ItensPedido!C813</f>
        <v/>
      </c>
      <c r="D813" s="25">
        <f>ItensPedido!D813</f>
        <v/>
      </c>
      <c r="E813" s="26">
        <f>ItensPedido!E813</f>
        <v/>
      </c>
      <c r="F813" s="25">
        <f>IFERROR(INDEX(Pedidos!$B$2:$B$1801,MATCH(B813,Pedidos!$A$2:$A$1801,0)),0)</f>
        <v/>
      </c>
      <c r="G813" s="25">
        <f>IF(F813=0,"",YEAR(F813))</f>
        <v/>
      </c>
      <c r="H813" s="25">
        <f>IF(F813=0,"",MONTH(F813))</f>
        <v/>
      </c>
      <c r="I813" s="25">
        <f>IFERROR(INDEX(Pedidos!$E$2:$E$1801,MATCH(B813,Pedidos!$A$2:$A$1801,0)),"")</f>
        <v/>
      </c>
      <c r="J813" s="25">
        <f>IFERROR(INDEX(Pedidos!$C$2:$C$1801,MATCH(B813,Pedidos!$A$2:$A$1801,0)),"")</f>
        <v/>
      </c>
      <c r="K813" s="25">
        <f>IFERROR(INDEX(Pedidos!$D$2:$D$1801,MATCH(B813,Pedidos!$A$2:$A$1801,0)),"")</f>
        <v/>
      </c>
      <c r="L813" s="25">
        <f>IFERROR(INDEX(Pedidos!$F$2:$F$1801,MATCH(B813,Pedidos!$A$2:$A$1801,0)),"")</f>
        <v/>
      </c>
      <c r="M813" s="26">
        <f>IFERROR(INDEX(Pedidos!$G$2:$G$1801,MATCH(B813,Pedidos!$A$2:$A$1801,0)),0)</f>
        <v/>
      </c>
      <c r="N813" s="25">
        <f>IFERROR(INDEX(Produtos!$B$2:$B$71,MATCH(C813,Produtos!$A$2:$A$71,0)),"")</f>
        <v/>
      </c>
      <c r="O813" s="25">
        <f>IFERROR(INDEX(Produtos!$C$2:$C$71,MATCH(C813,Produtos!$A$2:$A$71,0)),"")</f>
        <v/>
      </c>
      <c r="P813" s="25">
        <f>IFERROR(INDEX(Produtos!$D$2:$D$71,MATCH(C813,Produtos!$A$2:$A$71,0)),0)</f>
        <v/>
      </c>
      <c r="Q813" s="25">
        <f>IFERROR(INDEX(Produtos!$E$2:$E$71,MATCH(C813,Produtos!$A$2:$A$71,0)),0)</f>
        <v/>
      </c>
      <c r="R813" s="27">
        <f>D813*Q813</f>
        <v/>
      </c>
      <c r="S813" s="27">
        <f>R813*E813</f>
        <v/>
      </c>
      <c r="T813" s="27">
        <f>(R813-S813)*M813</f>
        <v/>
      </c>
      <c r="U813" s="27">
        <f>R813-S813-T813</f>
        <v/>
      </c>
      <c r="V813" s="27">
        <f>D813*P813</f>
        <v/>
      </c>
      <c r="W813" s="27">
        <f>U813-V813</f>
        <v/>
      </c>
      <c r="X813" s="28">
        <f>IFERROR(W813/U813,0)</f>
        <v/>
      </c>
    </row>
    <row r="814">
      <c r="A814" s="21">
        <f>ItensPedido!A814</f>
        <v/>
      </c>
      <c r="B814" s="21">
        <f>ItensPedido!B814</f>
        <v/>
      </c>
      <c r="C814" s="21">
        <f>ItensPedido!C814</f>
        <v/>
      </c>
      <c r="D814" s="21">
        <f>ItensPedido!D814</f>
        <v/>
      </c>
      <c r="E814" s="22">
        <f>ItensPedido!E814</f>
        <v/>
      </c>
      <c r="F814" s="21">
        <f>IFERROR(INDEX(Pedidos!$B$2:$B$1801,MATCH(B814,Pedidos!$A$2:$A$1801,0)),0)</f>
        <v/>
      </c>
      <c r="G814" s="21">
        <f>IF(F814=0,"",YEAR(F814))</f>
        <v/>
      </c>
      <c r="H814" s="21">
        <f>IF(F814=0,"",MONTH(F814))</f>
        <v/>
      </c>
      <c r="I814" s="21">
        <f>IFERROR(INDEX(Pedidos!$E$2:$E$1801,MATCH(B814,Pedidos!$A$2:$A$1801,0)),"")</f>
        <v/>
      </c>
      <c r="J814" s="21">
        <f>IFERROR(INDEX(Pedidos!$C$2:$C$1801,MATCH(B814,Pedidos!$A$2:$A$1801,0)),"")</f>
        <v/>
      </c>
      <c r="K814" s="21">
        <f>IFERROR(INDEX(Pedidos!$D$2:$D$1801,MATCH(B814,Pedidos!$A$2:$A$1801,0)),"")</f>
        <v/>
      </c>
      <c r="L814" s="21">
        <f>IFERROR(INDEX(Pedidos!$F$2:$F$1801,MATCH(B814,Pedidos!$A$2:$A$1801,0)),"")</f>
        <v/>
      </c>
      <c r="M814" s="22">
        <f>IFERROR(INDEX(Pedidos!$G$2:$G$1801,MATCH(B814,Pedidos!$A$2:$A$1801,0)),0)</f>
        <v/>
      </c>
      <c r="N814" s="21">
        <f>IFERROR(INDEX(Produtos!$B$2:$B$71,MATCH(C814,Produtos!$A$2:$A$71,0)),"")</f>
        <v/>
      </c>
      <c r="O814" s="21">
        <f>IFERROR(INDEX(Produtos!$C$2:$C$71,MATCH(C814,Produtos!$A$2:$A$71,0)),"")</f>
        <v/>
      </c>
      <c r="P814" s="21">
        <f>IFERROR(INDEX(Produtos!$D$2:$D$71,MATCH(C814,Produtos!$A$2:$A$71,0)),0)</f>
        <v/>
      </c>
      <c r="Q814" s="21">
        <f>IFERROR(INDEX(Produtos!$E$2:$E$71,MATCH(C814,Produtos!$A$2:$A$71,0)),0)</f>
        <v/>
      </c>
      <c r="R814" s="23">
        <f>D814*Q814</f>
        <v/>
      </c>
      <c r="S814" s="23">
        <f>R814*E814</f>
        <v/>
      </c>
      <c r="T814" s="23">
        <f>(R814-S814)*M814</f>
        <v/>
      </c>
      <c r="U814" s="23">
        <f>R814-S814-T814</f>
        <v/>
      </c>
      <c r="V814" s="23">
        <f>D814*P814</f>
        <v/>
      </c>
      <c r="W814" s="23">
        <f>U814-V814</f>
        <v/>
      </c>
      <c r="X814" s="24">
        <f>IFERROR(W814/U814,0)</f>
        <v/>
      </c>
    </row>
    <row r="815">
      <c r="A815" s="25">
        <f>ItensPedido!A815</f>
        <v/>
      </c>
      <c r="B815" s="25">
        <f>ItensPedido!B815</f>
        <v/>
      </c>
      <c r="C815" s="25">
        <f>ItensPedido!C815</f>
        <v/>
      </c>
      <c r="D815" s="25">
        <f>ItensPedido!D815</f>
        <v/>
      </c>
      <c r="E815" s="26">
        <f>ItensPedido!E815</f>
        <v/>
      </c>
      <c r="F815" s="25">
        <f>IFERROR(INDEX(Pedidos!$B$2:$B$1801,MATCH(B815,Pedidos!$A$2:$A$1801,0)),0)</f>
        <v/>
      </c>
      <c r="G815" s="25">
        <f>IF(F815=0,"",YEAR(F815))</f>
        <v/>
      </c>
      <c r="H815" s="25">
        <f>IF(F815=0,"",MONTH(F815))</f>
        <v/>
      </c>
      <c r="I815" s="25">
        <f>IFERROR(INDEX(Pedidos!$E$2:$E$1801,MATCH(B815,Pedidos!$A$2:$A$1801,0)),"")</f>
        <v/>
      </c>
      <c r="J815" s="25">
        <f>IFERROR(INDEX(Pedidos!$C$2:$C$1801,MATCH(B815,Pedidos!$A$2:$A$1801,0)),"")</f>
        <v/>
      </c>
      <c r="K815" s="25">
        <f>IFERROR(INDEX(Pedidos!$D$2:$D$1801,MATCH(B815,Pedidos!$A$2:$A$1801,0)),"")</f>
        <v/>
      </c>
      <c r="L815" s="25">
        <f>IFERROR(INDEX(Pedidos!$F$2:$F$1801,MATCH(B815,Pedidos!$A$2:$A$1801,0)),"")</f>
        <v/>
      </c>
      <c r="M815" s="26">
        <f>IFERROR(INDEX(Pedidos!$G$2:$G$1801,MATCH(B815,Pedidos!$A$2:$A$1801,0)),0)</f>
        <v/>
      </c>
      <c r="N815" s="25">
        <f>IFERROR(INDEX(Produtos!$B$2:$B$71,MATCH(C815,Produtos!$A$2:$A$71,0)),"")</f>
        <v/>
      </c>
      <c r="O815" s="25">
        <f>IFERROR(INDEX(Produtos!$C$2:$C$71,MATCH(C815,Produtos!$A$2:$A$71,0)),"")</f>
        <v/>
      </c>
      <c r="P815" s="25">
        <f>IFERROR(INDEX(Produtos!$D$2:$D$71,MATCH(C815,Produtos!$A$2:$A$71,0)),0)</f>
        <v/>
      </c>
      <c r="Q815" s="25">
        <f>IFERROR(INDEX(Produtos!$E$2:$E$71,MATCH(C815,Produtos!$A$2:$A$71,0)),0)</f>
        <v/>
      </c>
      <c r="R815" s="27">
        <f>D815*Q815</f>
        <v/>
      </c>
      <c r="S815" s="27">
        <f>R815*E815</f>
        <v/>
      </c>
      <c r="T815" s="27">
        <f>(R815-S815)*M815</f>
        <v/>
      </c>
      <c r="U815" s="27">
        <f>R815-S815-T815</f>
        <v/>
      </c>
      <c r="V815" s="27">
        <f>D815*P815</f>
        <v/>
      </c>
      <c r="W815" s="27">
        <f>U815-V815</f>
        <v/>
      </c>
      <c r="X815" s="28">
        <f>IFERROR(W815/U815,0)</f>
        <v/>
      </c>
    </row>
    <row r="816">
      <c r="A816" s="21">
        <f>ItensPedido!A816</f>
        <v/>
      </c>
      <c r="B816" s="21">
        <f>ItensPedido!B816</f>
        <v/>
      </c>
      <c r="C816" s="21">
        <f>ItensPedido!C816</f>
        <v/>
      </c>
      <c r="D816" s="21">
        <f>ItensPedido!D816</f>
        <v/>
      </c>
      <c r="E816" s="22">
        <f>ItensPedido!E816</f>
        <v/>
      </c>
      <c r="F816" s="21">
        <f>IFERROR(INDEX(Pedidos!$B$2:$B$1801,MATCH(B816,Pedidos!$A$2:$A$1801,0)),0)</f>
        <v/>
      </c>
      <c r="G816" s="21">
        <f>IF(F816=0,"",YEAR(F816))</f>
        <v/>
      </c>
      <c r="H816" s="21">
        <f>IF(F816=0,"",MONTH(F816))</f>
        <v/>
      </c>
      <c r="I816" s="21">
        <f>IFERROR(INDEX(Pedidos!$E$2:$E$1801,MATCH(B816,Pedidos!$A$2:$A$1801,0)),"")</f>
        <v/>
      </c>
      <c r="J816" s="21">
        <f>IFERROR(INDEX(Pedidos!$C$2:$C$1801,MATCH(B816,Pedidos!$A$2:$A$1801,0)),"")</f>
        <v/>
      </c>
      <c r="K816" s="21">
        <f>IFERROR(INDEX(Pedidos!$D$2:$D$1801,MATCH(B816,Pedidos!$A$2:$A$1801,0)),"")</f>
        <v/>
      </c>
      <c r="L816" s="21">
        <f>IFERROR(INDEX(Pedidos!$F$2:$F$1801,MATCH(B816,Pedidos!$A$2:$A$1801,0)),"")</f>
        <v/>
      </c>
      <c r="M816" s="22">
        <f>IFERROR(INDEX(Pedidos!$G$2:$G$1801,MATCH(B816,Pedidos!$A$2:$A$1801,0)),0)</f>
        <v/>
      </c>
      <c r="N816" s="21">
        <f>IFERROR(INDEX(Produtos!$B$2:$B$71,MATCH(C816,Produtos!$A$2:$A$71,0)),"")</f>
        <v/>
      </c>
      <c r="O816" s="21">
        <f>IFERROR(INDEX(Produtos!$C$2:$C$71,MATCH(C816,Produtos!$A$2:$A$71,0)),"")</f>
        <v/>
      </c>
      <c r="P816" s="21">
        <f>IFERROR(INDEX(Produtos!$D$2:$D$71,MATCH(C816,Produtos!$A$2:$A$71,0)),0)</f>
        <v/>
      </c>
      <c r="Q816" s="21">
        <f>IFERROR(INDEX(Produtos!$E$2:$E$71,MATCH(C816,Produtos!$A$2:$A$71,0)),0)</f>
        <v/>
      </c>
      <c r="R816" s="23">
        <f>D816*Q816</f>
        <v/>
      </c>
      <c r="S816" s="23">
        <f>R816*E816</f>
        <v/>
      </c>
      <c r="T816" s="23">
        <f>(R816-S816)*M816</f>
        <v/>
      </c>
      <c r="U816" s="23">
        <f>R816-S816-T816</f>
        <v/>
      </c>
      <c r="V816" s="23">
        <f>D816*P816</f>
        <v/>
      </c>
      <c r="W816" s="23">
        <f>U816-V816</f>
        <v/>
      </c>
      <c r="X816" s="24">
        <f>IFERROR(W816/U816,0)</f>
        <v/>
      </c>
    </row>
    <row r="817">
      <c r="A817" s="25">
        <f>ItensPedido!A817</f>
        <v/>
      </c>
      <c r="B817" s="25">
        <f>ItensPedido!B817</f>
        <v/>
      </c>
      <c r="C817" s="25">
        <f>ItensPedido!C817</f>
        <v/>
      </c>
      <c r="D817" s="25">
        <f>ItensPedido!D817</f>
        <v/>
      </c>
      <c r="E817" s="26">
        <f>ItensPedido!E817</f>
        <v/>
      </c>
      <c r="F817" s="25">
        <f>IFERROR(INDEX(Pedidos!$B$2:$B$1801,MATCH(B817,Pedidos!$A$2:$A$1801,0)),0)</f>
        <v/>
      </c>
      <c r="G817" s="25">
        <f>IF(F817=0,"",YEAR(F817))</f>
        <v/>
      </c>
      <c r="H817" s="25">
        <f>IF(F817=0,"",MONTH(F817))</f>
        <v/>
      </c>
      <c r="I817" s="25">
        <f>IFERROR(INDEX(Pedidos!$E$2:$E$1801,MATCH(B817,Pedidos!$A$2:$A$1801,0)),"")</f>
        <v/>
      </c>
      <c r="J817" s="25">
        <f>IFERROR(INDEX(Pedidos!$C$2:$C$1801,MATCH(B817,Pedidos!$A$2:$A$1801,0)),"")</f>
        <v/>
      </c>
      <c r="K817" s="25">
        <f>IFERROR(INDEX(Pedidos!$D$2:$D$1801,MATCH(B817,Pedidos!$A$2:$A$1801,0)),"")</f>
        <v/>
      </c>
      <c r="L817" s="25">
        <f>IFERROR(INDEX(Pedidos!$F$2:$F$1801,MATCH(B817,Pedidos!$A$2:$A$1801,0)),"")</f>
        <v/>
      </c>
      <c r="M817" s="26">
        <f>IFERROR(INDEX(Pedidos!$G$2:$G$1801,MATCH(B817,Pedidos!$A$2:$A$1801,0)),0)</f>
        <v/>
      </c>
      <c r="N817" s="25">
        <f>IFERROR(INDEX(Produtos!$B$2:$B$71,MATCH(C817,Produtos!$A$2:$A$71,0)),"")</f>
        <v/>
      </c>
      <c r="O817" s="25">
        <f>IFERROR(INDEX(Produtos!$C$2:$C$71,MATCH(C817,Produtos!$A$2:$A$71,0)),"")</f>
        <v/>
      </c>
      <c r="P817" s="25">
        <f>IFERROR(INDEX(Produtos!$D$2:$D$71,MATCH(C817,Produtos!$A$2:$A$71,0)),0)</f>
        <v/>
      </c>
      <c r="Q817" s="25">
        <f>IFERROR(INDEX(Produtos!$E$2:$E$71,MATCH(C817,Produtos!$A$2:$A$71,0)),0)</f>
        <v/>
      </c>
      <c r="R817" s="27">
        <f>D817*Q817</f>
        <v/>
      </c>
      <c r="S817" s="27">
        <f>R817*E817</f>
        <v/>
      </c>
      <c r="T817" s="27">
        <f>(R817-S817)*M817</f>
        <v/>
      </c>
      <c r="U817" s="27">
        <f>R817-S817-T817</f>
        <v/>
      </c>
      <c r="V817" s="27">
        <f>D817*P817</f>
        <v/>
      </c>
      <c r="W817" s="27">
        <f>U817-V817</f>
        <v/>
      </c>
      <c r="X817" s="28">
        <f>IFERROR(W817/U817,0)</f>
        <v/>
      </c>
    </row>
    <row r="818">
      <c r="A818" s="21">
        <f>ItensPedido!A818</f>
        <v/>
      </c>
      <c r="B818" s="21">
        <f>ItensPedido!B818</f>
        <v/>
      </c>
      <c r="C818" s="21">
        <f>ItensPedido!C818</f>
        <v/>
      </c>
      <c r="D818" s="21">
        <f>ItensPedido!D818</f>
        <v/>
      </c>
      <c r="E818" s="22">
        <f>ItensPedido!E818</f>
        <v/>
      </c>
      <c r="F818" s="21">
        <f>IFERROR(INDEX(Pedidos!$B$2:$B$1801,MATCH(B818,Pedidos!$A$2:$A$1801,0)),0)</f>
        <v/>
      </c>
      <c r="G818" s="21">
        <f>IF(F818=0,"",YEAR(F818))</f>
        <v/>
      </c>
      <c r="H818" s="21">
        <f>IF(F818=0,"",MONTH(F818))</f>
        <v/>
      </c>
      <c r="I818" s="21">
        <f>IFERROR(INDEX(Pedidos!$E$2:$E$1801,MATCH(B818,Pedidos!$A$2:$A$1801,0)),"")</f>
        <v/>
      </c>
      <c r="J818" s="21">
        <f>IFERROR(INDEX(Pedidos!$C$2:$C$1801,MATCH(B818,Pedidos!$A$2:$A$1801,0)),"")</f>
        <v/>
      </c>
      <c r="K818" s="21">
        <f>IFERROR(INDEX(Pedidos!$D$2:$D$1801,MATCH(B818,Pedidos!$A$2:$A$1801,0)),"")</f>
        <v/>
      </c>
      <c r="L818" s="21">
        <f>IFERROR(INDEX(Pedidos!$F$2:$F$1801,MATCH(B818,Pedidos!$A$2:$A$1801,0)),"")</f>
        <v/>
      </c>
      <c r="M818" s="22">
        <f>IFERROR(INDEX(Pedidos!$G$2:$G$1801,MATCH(B818,Pedidos!$A$2:$A$1801,0)),0)</f>
        <v/>
      </c>
      <c r="N818" s="21">
        <f>IFERROR(INDEX(Produtos!$B$2:$B$71,MATCH(C818,Produtos!$A$2:$A$71,0)),"")</f>
        <v/>
      </c>
      <c r="O818" s="21">
        <f>IFERROR(INDEX(Produtos!$C$2:$C$71,MATCH(C818,Produtos!$A$2:$A$71,0)),"")</f>
        <v/>
      </c>
      <c r="P818" s="21">
        <f>IFERROR(INDEX(Produtos!$D$2:$D$71,MATCH(C818,Produtos!$A$2:$A$71,0)),0)</f>
        <v/>
      </c>
      <c r="Q818" s="21">
        <f>IFERROR(INDEX(Produtos!$E$2:$E$71,MATCH(C818,Produtos!$A$2:$A$71,0)),0)</f>
        <v/>
      </c>
      <c r="R818" s="23">
        <f>D818*Q818</f>
        <v/>
      </c>
      <c r="S818" s="23">
        <f>R818*E818</f>
        <v/>
      </c>
      <c r="T818" s="23">
        <f>(R818-S818)*M818</f>
        <v/>
      </c>
      <c r="U818" s="23">
        <f>R818-S818-T818</f>
        <v/>
      </c>
      <c r="V818" s="23">
        <f>D818*P818</f>
        <v/>
      </c>
      <c r="W818" s="23">
        <f>U818-V818</f>
        <v/>
      </c>
      <c r="X818" s="24">
        <f>IFERROR(W818/U818,0)</f>
        <v/>
      </c>
    </row>
    <row r="819">
      <c r="A819" s="25">
        <f>ItensPedido!A819</f>
        <v/>
      </c>
      <c r="B819" s="25">
        <f>ItensPedido!B819</f>
        <v/>
      </c>
      <c r="C819" s="25">
        <f>ItensPedido!C819</f>
        <v/>
      </c>
      <c r="D819" s="25">
        <f>ItensPedido!D819</f>
        <v/>
      </c>
      <c r="E819" s="26">
        <f>ItensPedido!E819</f>
        <v/>
      </c>
      <c r="F819" s="25">
        <f>IFERROR(INDEX(Pedidos!$B$2:$B$1801,MATCH(B819,Pedidos!$A$2:$A$1801,0)),0)</f>
        <v/>
      </c>
      <c r="G819" s="25">
        <f>IF(F819=0,"",YEAR(F819))</f>
        <v/>
      </c>
      <c r="H819" s="25">
        <f>IF(F819=0,"",MONTH(F819))</f>
        <v/>
      </c>
      <c r="I819" s="25">
        <f>IFERROR(INDEX(Pedidos!$E$2:$E$1801,MATCH(B819,Pedidos!$A$2:$A$1801,0)),"")</f>
        <v/>
      </c>
      <c r="J819" s="25">
        <f>IFERROR(INDEX(Pedidos!$C$2:$C$1801,MATCH(B819,Pedidos!$A$2:$A$1801,0)),"")</f>
        <v/>
      </c>
      <c r="K819" s="25">
        <f>IFERROR(INDEX(Pedidos!$D$2:$D$1801,MATCH(B819,Pedidos!$A$2:$A$1801,0)),"")</f>
        <v/>
      </c>
      <c r="L819" s="25">
        <f>IFERROR(INDEX(Pedidos!$F$2:$F$1801,MATCH(B819,Pedidos!$A$2:$A$1801,0)),"")</f>
        <v/>
      </c>
      <c r="M819" s="26">
        <f>IFERROR(INDEX(Pedidos!$G$2:$G$1801,MATCH(B819,Pedidos!$A$2:$A$1801,0)),0)</f>
        <v/>
      </c>
      <c r="N819" s="25">
        <f>IFERROR(INDEX(Produtos!$B$2:$B$71,MATCH(C819,Produtos!$A$2:$A$71,0)),"")</f>
        <v/>
      </c>
      <c r="O819" s="25">
        <f>IFERROR(INDEX(Produtos!$C$2:$C$71,MATCH(C819,Produtos!$A$2:$A$71,0)),"")</f>
        <v/>
      </c>
      <c r="P819" s="25">
        <f>IFERROR(INDEX(Produtos!$D$2:$D$71,MATCH(C819,Produtos!$A$2:$A$71,0)),0)</f>
        <v/>
      </c>
      <c r="Q819" s="25">
        <f>IFERROR(INDEX(Produtos!$E$2:$E$71,MATCH(C819,Produtos!$A$2:$A$71,0)),0)</f>
        <v/>
      </c>
      <c r="R819" s="27">
        <f>D819*Q819</f>
        <v/>
      </c>
      <c r="S819" s="27">
        <f>R819*E819</f>
        <v/>
      </c>
      <c r="T819" s="27">
        <f>(R819-S819)*M819</f>
        <v/>
      </c>
      <c r="U819" s="27">
        <f>R819-S819-T819</f>
        <v/>
      </c>
      <c r="V819" s="27">
        <f>D819*P819</f>
        <v/>
      </c>
      <c r="W819" s="27">
        <f>U819-V819</f>
        <v/>
      </c>
      <c r="X819" s="28">
        <f>IFERROR(W819/U819,0)</f>
        <v/>
      </c>
    </row>
    <row r="820">
      <c r="A820" s="21">
        <f>ItensPedido!A820</f>
        <v/>
      </c>
      <c r="B820" s="21">
        <f>ItensPedido!B820</f>
        <v/>
      </c>
      <c r="C820" s="21">
        <f>ItensPedido!C820</f>
        <v/>
      </c>
      <c r="D820" s="21">
        <f>ItensPedido!D820</f>
        <v/>
      </c>
      <c r="E820" s="22">
        <f>ItensPedido!E820</f>
        <v/>
      </c>
      <c r="F820" s="21">
        <f>IFERROR(INDEX(Pedidos!$B$2:$B$1801,MATCH(B820,Pedidos!$A$2:$A$1801,0)),0)</f>
        <v/>
      </c>
      <c r="G820" s="21">
        <f>IF(F820=0,"",YEAR(F820))</f>
        <v/>
      </c>
      <c r="H820" s="21">
        <f>IF(F820=0,"",MONTH(F820))</f>
        <v/>
      </c>
      <c r="I820" s="21">
        <f>IFERROR(INDEX(Pedidos!$E$2:$E$1801,MATCH(B820,Pedidos!$A$2:$A$1801,0)),"")</f>
        <v/>
      </c>
      <c r="J820" s="21">
        <f>IFERROR(INDEX(Pedidos!$C$2:$C$1801,MATCH(B820,Pedidos!$A$2:$A$1801,0)),"")</f>
        <v/>
      </c>
      <c r="K820" s="21">
        <f>IFERROR(INDEX(Pedidos!$D$2:$D$1801,MATCH(B820,Pedidos!$A$2:$A$1801,0)),"")</f>
        <v/>
      </c>
      <c r="L820" s="21">
        <f>IFERROR(INDEX(Pedidos!$F$2:$F$1801,MATCH(B820,Pedidos!$A$2:$A$1801,0)),"")</f>
        <v/>
      </c>
      <c r="M820" s="22">
        <f>IFERROR(INDEX(Pedidos!$G$2:$G$1801,MATCH(B820,Pedidos!$A$2:$A$1801,0)),0)</f>
        <v/>
      </c>
      <c r="N820" s="21">
        <f>IFERROR(INDEX(Produtos!$B$2:$B$71,MATCH(C820,Produtos!$A$2:$A$71,0)),"")</f>
        <v/>
      </c>
      <c r="O820" s="21">
        <f>IFERROR(INDEX(Produtos!$C$2:$C$71,MATCH(C820,Produtos!$A$2:$A$71,0)),"")</f>
        <v/>
      </c>
      <c r="P820" s="21">
        <f>IFERROR(INDEX(Produtos!$D$2:$D$71,MATCH(C820,Produtos!$A$2:$A$71,0)),0)</f>
        <v/>
      </c>
      <c r="Q820" s="21">
        <f>IFERROR(INDEX(Produtos!$E$2:$E$71,MATCH(C820,Produtos!$A$2:$A$71,0)),0)</f>
        <v/>
      </c>
      <c r="R820" s="23">
        <f>D820*Q820</f>
        <v/>
      </c>
      <c r="S820" s="23">
        <f>R820*E820</f>
        <v/>
      </c>
      <c r="T820" s="23">
        <f>(R820-S820)*M820</f>
        <v/>
      </c>
      <c r="U820" s="23">
        <f>R820-S820-T820</f>
        <v/>
      </c>
      <c r="V820" s="23">
        <f>D820*P820</f>
        <v/>
      </c>
      <c r="W820" s="23">
        <f>U820-V820</f>
        <v/>
      </c>
      <c r="X820" s="24">
        <f>IFERROR(W820/U820,0)</f>
        <v/>
      </c>
    </row>
    <row r="821">
      <c r="A821" s="25">
        <f>ItensPedido!A821</f>
        <v/>
      </c>
      <c r="B821" s="25">
        <f>ItensPedido!B821</f>
        <v/>
      </c>
      <c r="C821" s="25">
        <f>ItensPedido!C821</f>
        <v/>
      </c>
      <c r="D821" s="25">
        <f>ItensPedido!D821</f>
        <v/>
      </c>
      <c r="E821" s="26">
        <f>ItensPedido!E821</f>
        <v/>
      </c>
      <c r="F821" s="25">
        <f>IFERROR(INDEX(Pedidos!$B$2:$B$1801,MATCH(B821,Pedidos!$A$2:$A$1801,0)),0)</f>
        <v/>
      </c>
      <c r="G821" s="25">
        <f>IF(F821=0,"",YEAR(F821))</f>
        <v/>
      </c>
      <c r="H821" s="25">
        <f>IF(F821=0,"",MONTH(F821))</f>
        <v/>
      </c>
      <c r="I821" s="25">
        <f>IFERROR(INDEX(Pedidos!$E$2:$E$1801,MATCH(B821,Pedidos!$A$2:$A$1801,0)),"")</f>
        <v/>
      </c>
      <c r="J821" s="25">
        <f>IFERROR(INDEX(Pedidos!$C$2:$C$1801,MATCH(B821,Pedidos!$A$2:$A$1801,0)),"")</f>
        <v/>
      </c>
      <c r="K821" s="25">
        <f>IFERROR(INDEX(Pedidos!$D$2:$D$1801,MATCH(B821,Pedidos!$A$2:$A$1801,0)),"")</f>
        <v/>
      </c>
      <c r="L821" s="25">
        <f>IFERROR(INDEX(Pedidos!$F$2:$F$1801,MATCH(B821,Pedidos!$A$2:$A$1801,0)),"")</f>
        <v/>
      </c>
      <c r="M821" s="26">
        <f>IFERROR(INDEX(Pedidos!$G$2:$G$1801,MATCH(B821,Pedidos!$A$2:$A$1801,0)),0)</f>
        <v/>
      </c>
      <c r="N821" s="25">
        <f>IFERROR(INDEX(Produtos!$B$2:$B$71,MATCH(C821,Produtos!$A$2:$A$71,0)),"")</f>
        <v/>
      </c>
      <c r="O821" s="25">
        <f>IFERROR(INDEX(Produtos!$C$2:$C$71,MATCH(C821,Produtos!$A$2:$A$71,0)),"")</f>
        <v/>
      </c>
      <c r="P821" s="25">
        <f>IFERROR(INDEX(Produtos!$D$2:$D$71,MATCH(C821,Produtos!$A$2:$A$71,0)),0)</f>
        <v/>
      </c>
      <c r="Q821" s="25">
        <f>IFERROR(INDEX(Produtos!$E$2:$E$71,MATCH(C821,Produtos!$A$2:$A$71,0)),0)</f>
        <v/>
      </c>
      <c r="R821" s="27">
        <f>D821*Q821</f>
        <v/>
      </c>
      <c r="S821" s="27">
        <f>R821*E821</f>
        <v/>
      </c>
      <c r="T821" s="27">
        <f>(R821-S821)*M821</f>
        <v/>
      </c>
      <c r="U821" s="27">
        <f>R821-S821-T821</f>
        <v/>
      </c>
      <c r="V821" s="27">
        <f>D821*P821</f>
        <v/>
      </c>
      <c r="W821" s="27">
        <f>U821-V821</f>
        <v/>
      </c>
      <c r="X821" s="28">
        <f>IFERROR(W821/U821,0)</f>
        <v/>
      </c>
    </row>
    <row r="822">
      <c r="A822" s="21">
        <f>ItensPedido!A822</f>
        <v/>
      </c>
      <c r="B822" s="21">
        <f>ItensPedido!B822</f>
        <v/>
      </c>
      <c r="C822" s="21">
        <f>ItensPedido!C822</f>
        <v/>
      </c>
      <c r="D822" s="21">
        <f>ItensPedido!D822</f>
        <v/>
      </c>
      <c r="E822" s="22">
        <f>ItensPedido!E822</f>
        <v/>
      </c>
      <c r="F822" s="21">
        <f>IFERROR(INDEX(Pedidos!$B$2:$B$1801,MATCH(B822,Pedidos!$A$2:$A$1801,0)),0)</f>
        <v/>
      </c>
      <c r="G822" s="21">
        <f>IF(F822=0,"",YEAR(F822))</f>
        <v/>
      </c>
      <c r="H822" s="21">
        <f>IF(F822=0,"",MONTH(F822))</f>
        <v/>
      </c>
      <c r="I822" s="21">
        <f>IFERROR(INDEX(Pedidos!$E$2:$E$1801,MATCH(B822,Pedidos!$A$2:$A$1801,0)),"")</f>
        <v/>
      </c>
      <c r="J822" s="21">
        <f>IFERROR(INDEX(Pedidos!$C$2:$C$1801,MATCH(B822,Pedidos!$A$2:$A$1801,0)),"")</f>
        <v/>
      </c>
      <c r="K822" s="21">
        <f>IFERROR(INDEX(Pedidos!$D$2:$D$1801,MATCH(B822,Pedidos!$A$2:$A$1801,0)),"")</f>
        <v/>
      </c>
      <c r="L822" s="21">
        <f>IFERROR(INDEX(Pedidos!$F$2:$F$1801,MATCH(B822,Pedidos!$A$2:$A$1801,0)),"")</f>
        <v/>
      </c>
      <c r="M822" s="22">
        <f>IFERROR(INDEX(Pedidos!$G$2:$G$1801,MATCH(B822,Pedidos!$A$2:$A$1801,0)),0)</f>
        <v/>
      </c>
      <c r="N822" s="21">
        <f>IFERROR(INDEX(Produtos!$B$2:$B$71,MATCH(C822,Produtos!$A$2:$A$71,0)),"")</f>
        <v/>
      </c>
      <c r="O822" s="21">
        <f>IFERROR(INDEX(Produtos!$C$2:$C$71,MATCH(C822,Produtos!$A$2:$A$71,0)),"")</f>
        <v/>
      </c>
      <c r="P822" s="21">
        <f>IFERROR(INDEX(Produtos!$D$2:$D$71,MATCH(C822,Produtos!$A$2:$A$71,0)),0)</f>
        <v/>
      </c>
      <c r="Q822" s="21">
        <f>IFERROR(INDEX(Produtos!$E$2:$E$71,MATCH(C822,Produtos!$A$2:$A$71,0)),0)</f>
        <v/>
      </c>
      <c r="R822" s="23">
        <f>D822*Q822</f>
        <v/>
      </c>
      <c r="S822" s="23">
        <f>R822*E822</f>
        <v/>
      </c>
      <c r="T822" s="23">
        <f>(R822-S822)*M822</f>
        <v/>
      </c>
      <c r="U822" s="23">
        <f>R822-S822-T822</f>
        <v/>
      </c>
      <c r="V822" s="23">
        <f>D822*P822</f>
        <v/>
      </c>
      <c r="W822" s="23">
        <f>U822-V822</f>
        <v/>
      </c>
      <c r="X822" s="24">
        <f>IFERROR(W822/U822,0)</f>
        <v/>
      </c>
    </row>
    <row r="823">
      <c r="A823" s="25">
        <f>ItensPedido!A823</f>
        <v/>
      </c>
      <c r="B823" s="25">
        <f>ItensPedido!B823</f>
        <v/>
      </c>
      <c r="C823" s="25">
        <f>ItensPedido!C823</f>
        <v/>
      </c>
      <c r="D823" s="25">
        <f>ItensPedido!D823</f>
        <v/>
      </c>
      <c r="E823" s="26">
        <f>ItensPedido!E823</f>
        <v/>
      </c>
      <c r="F823" s="25">
        <f>IFERROR(INDEX(Pedidos!$B$2:$B$1801,MATCH(B823,Pedidos!$A$2:$A$1801,0)),0)</f>
        <v/>
      </c>
      <c r="G823" s="25">
        <f>IF(F823=0,"",YEAR(F823))</f>
        <v/>
      </c>
      <c r="H823" s="25">
        <f>IF(F823=0,"",MONTH(F823))</f>
        <v/>
      </c>
      <c r="I823" s="25">
        <f>IFERROR(INDEX(Pedidos!$E$2:$E$1801,MATCH(B823,Pedidos!$A$2:$A$1801,0)),"")</f>
        <v/>
      </c>
      <c r="J823" s="25">
        <f>IFERROR(INDEX(Pedidos!$C$2:$C$1801,MATCH(B823,Pedidos!$A$2:$A$1801,0)),"")</f>
        <v/>
      </c>
      <c r="K823" s="25">
        <f>IFERROR(INDEX(Pedidos!$D$2:$D$1801,MATCH(B823,Pedidos!$A$2:$A$1801,0)),"")</f>
        <v/>
      </c>
      <c r="L823" s="25">
        <f>IFERROR(INDEX(Pedidos!$F$2:$F$1801,MATCH(B823,Pedidos!$A$2:$A$1801,0)),"")</f>
        <v/>
      </c>
      <c r="M823" s="26">
        <f>IFERROR(INDEX(Pedidos!$G$2:$G$1801,MATCH(B823,Pedidos!$A$2:$A$1801,0)),0)</f>
        <v/>
      </c>
      <c r="N823" s="25">
        <f>IFERROR(INDEX(Produtos!$B$2:$B$71,MATCH(C823,Produtos!$A$2:$A$71,0)),"")</f>
        <v/>
      </c>
      <c r="O823" s="25">
        <f>IFERROR(INDEX(Produtos!$C$2:$C$71,MATCH(C823,Produtos!$A$2:$A$71,0)),"")</f>
        <v/>
      </c>
      <c r="P823" s="25">
        <f>IFERROR(INDEX(Produtos!$D$2:$D$71,MATCH(C823,Produtos!$A$2:$A$71,0)),0)</f>
        <v/>
      </c>
      <c r="Q823" s="25">
        <f>IFERROR(INDEX(Produtos!$E$2:$E$71,MATCH(C823,Produtos!$A$2:$A$71,0)),0)</f>
        <v/>
      </c>
      <c r="R823" s="27">
        <f>D823*Q823</f>
        <v/>
      </c>
      <c r="S823" s="27">
        <f>R823*E823</f>
        <v/>
      </c>
      <c r="T823" s="27">
        <f>(R823-S823)*M823</f>
        <v/>
      </c>
      <c r="U823" s="27">
        <f>R823-S823-T823</f>
        <v/>
      </c>
      <c r="V823" s="27">
        <f>D823*P823</f>
        <v/>
      </c>
      <c r="W823" s="27">
        <f>U823-V823</f>
        <v/>
      </c>
      <c r="X823" s="28">
        <f>IFERROR(W823/U823,0)</f>
        <v/>
      </c>
    </row>
    <row r="824">
      <c r="A824" s="21">
        <f>ItensPedido!A824</f>
        <v/>
      </c>
      <c r="B824" s="21">
        <f>ItensPedido!B824</f>
        <v/>
      </c>
      <c r="C824" s="21">
        <f>ItensPedido!C824</f>
        <v/>
      </c>
      <c r="D824" s="21">
        <f>ItensPedido!D824</f>
        <v/>
      </c>
      <c r="E824" s="22">
        <f>ItensPedido!E824</f>
        <v/>
      </c>
      <c r="F824" s="21">
        <f>IFERROR(INDEX(Pedidos!$B$2:$B$1801,MATCH(B824,Pedidos!$A$2:$A$1801,0)),0)</f>
        <v/>
      </c>
      <c r="G824" s="21">
        <f>IF(F824=0,"",YEAR(F824))</f>
        <v/>
      </c>
      <c r="H824" s="21">
        <f>IF(F824=0,"",MONTH(F824))</f>
        <v/>
      </c>
      <c r="I824" s="21">
        <f>IFERROR(INDEX(Pedidos!$E$2:$E$1801,MATCH(B824,Pedidos!$A$2:$A$1801,0)),"")</f>
        <v/>
      </c>
      <c r="J824" s="21">
        <f>IFERROR(INDEX(Pedidos!$C$2:$C$1801,MATCH(B824,Pedidos!$A$2:$A$1801,0)),"")</f>
        <v/>
      </c>
      <c r="K824" s="21">
        <f>IFERROR(INDEX(Pedidos!$D$2:$D$1801,MATCH(B824,Pedidos!$A$2:$A$1801,0)),"")</f>
        <v/>
      </c>
      <c r="L824" s="21">
        <f>IFERROR(INDEX(Pedidos!$F$2:$F$1801,MATCH(B824,Pedidos!$A$2:$A$1801,0)),"")</f>
        <v/>
      </c>
      <c r="M824" s="22">
        <f>IFERROR(INDEX(Pedidos!$G$2:$G$1801,MATCH(B824,Pedidos!$A$2:$A$1801,0)),0)</f>
        <v/>
      </c>
      <c r="N824" s="21">
        <f>IFERROR(INDEX(Produtos!$B$2:$B$71,MATCH(C824,Produtos!$A$2:$A$71,0)),"")</f>
        <v/>
      </c>
      <c r="O824" s="21">
        <f>IFERROR(INDEX(Produtos!$C$2:$C$71,MATCH(C824,Produtos!$A$2:$A$71,0)),"")</f>
        <v/>
      </c>
      <c r="P824" s="21">
        <f>IFERROR(INDEX(Produtos!$D$2:$D$71,MATCH(C824,Produtos!$A$2:$A$71,0)),0)</f>
        <v/>
      </c>
      <c r="Q824" s="21">
        <f>IFERROR(INDEX(Produtos!$E$2:$E$71,MATCH(C824,Produtos!$A$2:$A$71,0)),0)</f>
        <v/>
      </c>
      <c r="R824" s="23">
        <f>D824*Q824</f>
        <v/>
      </c>
      <c r="S824" s="23">
        <f>R824*E824</f>
        <v/>
      </c>
      <c r="T824" s="23">
        <f>(R824-S824)*M824</f>
        <v/>
      </c>
      <c r="U824" s="23">
        <f>R824-S824-T824</f>
        <v/>
      </c>
      <c r="V824" s="23">
        <f>D824*P824</f>
        <v/>
      </c>
      <c r="W824" s="23">
        <f>U824-V824</f>
        <v/>
      </c>
      <c r="X824" s="24">
        <f>IFERROR(W824/U824,0)</f>
        <v/>
      </c>
    </row>
    <row r="825">
      <c r="A825" s="25">
        <f>ItensPedido!A825</f>
        <v/>
      </c>
      <c r="B825" s="25">
        <f>ItensPedido!B825</f>
        <v/>
      </c>
      <c r="C825" s="25">
        <f>ItensPedido!C825</f>
        <v/>
      </c>
      <c r="D825" s="25">
        <f>ItensPedido!D825</f>
        <v/>
      </c>
      <c r="E825" s="26">
        <f>ItensPedido!E825</f>
        <v/>
      </c>
      <c r="F825" s="25">
        <f>IFERROR(INDEX(Pedidos!$B$2:$B$1801,MATCH(B825,Pedidos!$A$2:$A$1801,0)),0)</f>
        <v/>
      </c>
      <c r="G825" s="25">
        <f>IF(F825=0,"",YEAR(F825))</f>
        <v/>
      </c>
      <c r="H825" s="25">
        <f>IF(F825=0,"",MONTH(F825))</f>
        <v/>
      </c>
      <c r="I825" s="25">
        <f>IFERROR(INDEX(Pedidos!$E$2:$E$1801,MATCH(B825,Pedidos!$A$2:$A$1801,0)),"")</f>
        <v/>
      </c>
      <c r="J825" s="25">
        <f>IFERROR(INDEX(Pedidos!$C$2:$C$1801,MATCH(B825,Pedidos!$A$2:$A$1801,0)),"")</f>
        <v/>
      </c>
      <c r="K825" s="25">
        <f>IFERROR(INDEX(Pedidos!$D$2:$D$1801,MATCH(B825,Pedidos!$A$2:$A$1801,0)),"")</f>
        <v/>
      </c>
      <c r="L825" s="25">
        <f>IFERROR(INDEX(Pedidos!$F$2:$F$1801,MATCH(B825,Pedidos!$A$2:$A$1801,0)),"")</f>
        <v/>
      </c>
      <c r="M825" s="26">
        <f>IFERROR(INDEX(Pedidos!$G$2:$G$1801,MATCH(B825,Pedidos!$A$2:$A$1801,0)),0)</f>
        <v/>
      </c>
      <c r="N825" s="25">
        <f>IFERROR(INDEX(Produtos!$B$2:$B$71,MATCH(C825,Produtos!$A$2:$A$71,0)),"")</f>
        <v/>
      </c>
      <c r="O825" s="25">
        <f>IFERROR(INDEX(Produtos!$C$2:$C$71,MATCH(C825,Produtos!$A$2:$A$71,0)),"")</f>
        <v/>
      </c>
      <c r="P825" s="25">
        <f>IFERROR(INDEX(Produtos!$D$2:$D$71,MATCH(C825,Produtos!$A$2:$A$71,0)),0)</f>
        <v/>
      </c>
      <c r="Q825" s="25">
        <f>IFERROR(INDEX(Produtos!$E$2:$E$71,MATCH(C825,Produtos!$A$2:$A$71,0)),0)</f>
        <v/>
      </c>
      <c r="R825" s="27">
        <f>D825*Q825</f>
        <v/>
      </c>
      <c r="S825" s="27">
        <f>R825*E825</f>
        <v/>
      </c>
      <c r="T825" s="27">
        <f>(R825-S825)*M825</f>
        <v/>
      </c>
      <c r="U825" s="27">
        <f>R825-S825-T825</f>
        <v/>
      </c>
      <c r="V825" s="27">
        <f>D825*P825</f>
        <v/>
      </c>
      <c r="W825" s="27">
        <f>U825-V825</f>
        <v/>
      </c>
      <c r="X825" s="28">
        <f>IFERROR(W825/U825,0)</f>
        <v/>
      </c>
    </row>
    <row r="826">
      <c r="A826" s="21">
        <f>ItensPedido!A826</f>
        <v/>
      </c>
      <c r="B826" s="21">
        <f>ItensPedido!B826</f>
        <v/>
      </c>
      <c r="C826" s="21">
        <f>ItensPedido!C826</f>
        <v/>
      </c>
      <c r="D826" s="21">
        <f>ItensPedido!D826</f>
        <v/>
      </c>
      <c r="E826" s="22">
        <f>ItensPedido!E826</f>
        <v/>
      </c>
      <c r="F826" s="21">
        <f>IFERROR(INDEX(Pedidos!$B$2:$B$1801,MATCH(B826,Pedidos!$A$2:$A$1801,0)),0)</f>
        <v/>
      </c>
      <c r="G826" s="21">
        <f>IF(F826=0,"",YEAR(F826))</f>
        <v/>
      </c>
      <c r="H826" s="21">
        <f>IF(F826=0,"",MONTH(F826))</f>
        <v/>
      </c>
      <c r="I826" s="21">
        <f>IFERROR(INDEX(Pedidos!$E$2:$E$1801,MATCH(B826,Pedidos!$A$2:$A$1801,0)),"")</f>
        <v/>
      </c>
      <c r="J826" s="21">
        <f>IFERROR(INDEX(Pedidos!$C$2:$C$1801,MATCH(B826,Pedidos!$A$2:$A$1801,0)),"")</f>
        <v/>
      </c>
      <c r="K826" s="21">
        <f>IFERROR(INDEX(Pedidos!$D$2:$D$1801,MATCH(B826,Pedidos!$A$2:$A$1801,0)),"")</f>
        <v/>
      </c>
      <c r="L826" s="21">
        <f>IFERROR(INDEX(Pedidos!$F$2:$F$1801,MATCH(B826,Pedidos!$A$2:$A$1801,0)),"")</f>
        <v/>
      </c>
      <c r="M826" s="22">
        <f>IFERROR(INDEX(Pedidos!$G$2:$G$1801,MATCH(B826,Pedidos!$A$2:$A$1801,0)),0)</f>
        <v/>
      </c>
      <c r="N826" s="21">
        <f>IFERROR(INDEX(Produtos!$B$2:$B$71,MATCH(C826,Produtos!$A$2:$A$71,0)),"")</f>
        <v/>
      </c>
      <c r="O826" s="21">
        <f>IFERROR(INDEX(Produtos!$C$2:$C$71,MATCH(C826,Produtos!$A$2:$A$71,0)),"")</f>
        <v/>
      </c>
      <c r="P826" s="21">
        <f>IFERROR(INDEX(Produtos!$D$2:$D$71,MATCH(C826,Produtos!$A$2:$A$71,0)),0)</f>
        <v/>
      </c>
      <c r="Q826" s="21">
        <f>IFERROR(INDEX(Produtos!$E$2:$E$71,MATCH(C826,Produtos!$A$2:$A$71,0)),0)</f>
        <v/>
      </c>
      <c r="R826" s="23">
        <f>D826*Q826</f>
        <v/>
      </c>
      <c r="S826" s="23">
        <f>R826*E826</f>
        <v/>
      </c>
      <c r="T826" s="23">
        <f>(R826-S826)*M826</f>
        <v/>
      </c>
      <c r="U826" s="23">
        <f>R826-S826-T826</f>
        <v/>
      </c>
      <c r="V826" s="23">
        <f>D826*P826</f>
        <v/>
      </c>
      <c r="W826" s="23">
        <f>U826-V826</f>
        <v/>
      </c>
      <c r="X826" s="24">
        <f>IFERROR(W826/U826,0)</f>
        <v/>
      </c>
    </row>
    <row r="827">
      <c r="A827" s="25">
        <f>ItensPedido!A827</f>
        <v/>
      </c>
      <c r="B827" s="25">
        <f>ItensPedido!B827</f>
        <v/>
      </c>
      <c r="C827" s="25">
        <f>ItensPedido!C827</f>
        <v/>
      </c>
      <c r="D827" s="25">
        <f>ItensPedido!D827</f>
        <v/>
      </c>
      <c r="E827" s="26">
        <f>ItensPedido!E827</f>
        <v/>
      </c>
      <c r="F827" s="25">
        <f>IFERROR(INDEX(Pedidos!$B$2:$B$1801,MATCH(B827,Pedidos!$A$2:$A$1801,0)),0)</f>
        <v/>
      </c>
      <c r="G827" s="25">
        <f>IF(F827=0,"",YEAR(F827))</f>
        <v/>
      </c>
      <c r="H827" s="25">
        <f>IF(F827=0,"",MONTH(F827))</f>
        <v/>
      </c>
      <c r="I827" s="25">
        <f>IFERROR(INDEX(Pedidos!$E$2:$E$1801,MATCH(B827,Pedidos!$A$2:$A$1801,0)),"")</f>
        <v/>
      </c>
      <c r="J827" s="25">
        <f>IFERROR(INDEX(Pedidos!$C$2:$C$1801,MATCH(B827,Pedidos!$A$2:$A$1801,0)),"")</f>
        <v/>
      </c>
      <c r="K827" s="25">
        <f>IFERROR(INDEX(Pedidos!$D$2:$D$1801,MATCH(B827,Pedidos!$A$2:$A$1801,0)),"")</f>
        <v/>
      </c>
      <c r="L827" s="25">
        <f>IFERROR(INDEX(Pedidos!$F$2:$F$1801,MATCH(B827,Pedidos!$A$2:$A$1801,0)),"")</f>
        <v/>
      </c>
      <c r="M827" s="26">
        <f>IFERROR(INDEX(Pedidos!$G$2:$G$1801,MATCH(B827,Pedidos!$A$2:$A$1801,0)),0)</f>
        <v/>
      </c>
      <c r="N827" s="25">
        <f>IFERROR(INDEX(Produtos!$B$2:$B$71,MATCH(C827,Produtos!$A$2:$A$71,0)),"")</f>
        <v/>
      </c>
      <c r="O827" s="25">
        <f>IFERROR(INDEX(Produtos!$C$2:$C$71,MATCH(C827,Produtos!$A$2:$A$71,0)),"")</f>
        <v/>
      </c>
      <c r="P827" s="25">
        <f>IFERROR(INDEX(Produtos!$D$2:$D$71,MATCH(C827,Produtos!$A$2:$A$71,0)),0)</f>
        <v/>
      </c>
      <c r="Q827" s="25">
        <f>IFERROR(INDEX(Produtos!$E$2:$E$71,MATCH(C827,Produtos!$A$2:$A$71,0)),0)</f>
        <v/>
      </c>
      <c r="R827" s="27">
        <f>D827*Q827</f>
        <v/>
      </c>
      <c r="S827" s="27">
        <f>R827*E827</f>
        <v/>
      </c>
      <c r="T827" s="27">
        <f>(R827-S827)*M827</f>
        <v/>
      </c>
      <c r="U827" s="27">
        <f>R827-S827-T827</f>
        <v/>
      </c>
      <c r="V827" s="27">
        <f>D827*P827</f>
        <v/>
      </c>
      <c r="W827" s="27">
        <f>U827-V827</f>
        <v/>
      </c>
      <c r="X827" s="28">
        <f>IFERROR(W827/U827,0)</f>
        <v/>
      </c>
    </row>
    <row r="828">
      <c r="A828" s="21">
        <f>ItensPedido!A828</f>
        <v/>
      </c>
      <c r="B828" s="21">
        <f>ItensPedido!B828</f>
        <v/>
      </c>
      <c r="C828" s="21">
        <f>ItensPedido!C828</f>
        <v/>
      </c>
      <c r="D828" s="21">
        <f>ItensPedido!D828</f>
        <v/>
      </c>
      <c r="E828" s="22">
        <f>ItensPedido!E828</f>
        <v/>
      </c>
      <c r="F828" s="21">
        <f>IFERROR(INDEX(Pedidos!$B$2:$B$1801,MATCH(B828,Pedidos!$A$2:$A$1801,0)),0)</f>
        <v/>
      </c>
      <c r="G828" s="21">
        <f>IF(F828=0,"",YEAR(F828))</f>
        <v/>
      </c>
      <c r="H828" s="21">
        <f>IF(F828=0,"",MONTH(F828))</f>
        <v/>
      </c>
      <c r="I828" s="21">
        <f>IFERROR(INDEX(Pedidos!$E$2:$E$1801,MATCH(B828,Pedidos!$A$2:$A$1801,0)),"")</f>
        <v/>
      </c>
      <c r="J828" s="21">
        <f>IFERROR(INDEX(Pedidos!$C$2:$C$1801,MATCH(B828,Pedidos!$A$2:$A$1801,0)),"")</f>
        <v/>
      </c>
      <c r="K828" s="21">
        <f>IFERROR(INDEX(Pedidos!$D$2:$D$1801,MATCH(B828,Pedidos!$A$2:$A$1801,0)),"")</f>
        <v/>
      </c>
      <c r="L828" s="21">
        <f>IFERROR(INDEX(Pedidos!$F$2:$F$1801,MATCH(B828,Pedidos!$A$2:$A$1801,0)),"")</f>
        <v/>
      </c>
      <c r="M828" s="22">
        <f>IFERROR(INDEX(Pedidos!$G$2:$G$1801,MATCH(B828,Pedidos!$A$2:$A$1801,0)),0)</f>
        <v/>
      </c>
      <c r="N828" s="21">
        <f>IFERROR(INDEX(Produtos!$B$2:$B$71,MATCH(C828,Produtos!$A$2:$A$71,0)),"")</f>
        <v/>
      </c>
      <c r="O828" s="21">
        <f>IFERROR(INDEX(Produtos!$C$2:$C$71,MATCH(C828,Produtos!$A$2:$A$71,0)),"")</f>
        <v/>
      </c>
      <c r="P828" s="21">
        <f>IFERROR(INDEX(Produtos!$D$2:$D$71,MATCH(C828,Produtos!$A$2:$A$71,0)),0)</f>
        <v/>
      </c>
      <c r="Q828" s="21">
        <f>IFERROR(INDEX(Produtos!$E$2:$E$71,MATCH(C828,Produtos!$A$2:$A$71,0)),0)</f>
        <v/>
      </c>
      <c r="R828" s="23">
        <f>D828*Q828</f>
        <v/>
      </c>
      <c r="S828" s="23">
        <f>R828*E828</f>
        <v/>
      </c>
      <c r="T828" s="23">
        <f>(R828-S828)*M828</f>
        <v/>
      </c>
      <c r="U828" s="23">
        <f>R828-S828-T828</f>
        <v/>
      </c>
      <c r="V828" s="23">
        <f>D828*P828</f>
        <v/>
      </c>
      <c r="W828" s="23">
        <f>U828-V828</f>
        <v/>
      </c>
      <c r="X828" s="24">
        <f>IFERROR(W828/U828,0)</f>
        <v/>
      </c>
    </row>
    <row r="829">
      <c r="A829" s="25">
        <f>ItensPedido!A829</f>
        <v/>
      </c>
      <c r="B829" s="25">
        <f>ItensPedido!B829</f>
        <v/>
      </c>
      <c r="C829" s="25">
        <f>ItensPedido!C829</f>
        <v/>
      </c>
      <c r="D829" s="25">
        <f>ItensPedido!D829</f>
        <v/>
      </c>
      <c r="E829" s="26">
        <f>ItensPedido!E829</f>
        <v/>
      </c>
      <c r="F829" s="25">
        <f>IFERROR(INDEX(Pedidos!$B$2:$B$1801,MATCH(B829,Pedidos!$A$2:$A$1801,0)),0)</f>
        <v/>
      </c>
      <c r="G829" s="25">
        <f>IF(F829=0,"",YEAR(F829))</f>
        <v/>
      </c>
      <c r="H829" s="25">
        <f>IF(F829=0,"",MONTH(F829))</f>
        <v/>
      </c>
      <c r="I829" s="25">
        <f>IFERROR(INDEX(Pedidos!$E$2:$E$1801,MATCH(B829,Pedidos!$A$2:$A$1801,0)),"")</f>
        <v/>
      </c>
      <c r="J829" s="25">
        <f>IFERROR(INDEX(Pedidos!$C$2:$C$1801,MATCH(B829,Pedidos!$A$2:$A$1801,0)),"")</f>
        <v/>
      </c>
      <c r="K829" s="25">
        <f>IFERROR(INDEX(Pedidos!$D$2:$D$1801,MATCH(B829,Pedidos!$A$2:$A$1801,0)),"")</f>
        <v/>
      </c>
      <c r="L829" s="25">
        <f>IFERROR(INDEX(Pedidos!$F$2:$F$1801,MATCH(B829,Pedidos!$A$2:$A$1801,0)),"")</f>
        <v/>
      </c>
      <c r="M829" s="26">
        <f>IFERROR(INDEX(Pedidos!$G$2:$G$1801,MATCH(B829,Pedidos!$A$2:$A$1801,0)),0)</f>
        <v/>
      </c>
      <c r="N829" s="25">
        <f>IFERROR(INDEX(Produtos!$B$2:$B$71,MATCH(C829,Produtos!$A$2:$A$71,0)),"")</f>
        <v/>
      </c>
      <c r="O829" s="25">
        <f>IFERROR(INDEX(Produtos!$C$2:$C$71,MATCH(C829,Produtos!$A$2:$A$71,0)),"")</f>
        <v/>
      </c>
      <c r="P829" s="25">
        <f>IFERROR(INDEX(Produtos!$D$2:$D$71,MATCH(C829,Produtos!$A$2:$A$71,0)),0)</f>
        <v/>
      </c>
      <c r="Q829" s="25">
        <f>IFERROR(INDEX(Produtos!$E$2:$E$71,MATCH(C829,Produtos!$A$2:$A$71,0)),0)</f>
        <v/>
      </c>
      <c r="R829" s="27">
        <f>D829*Q829</f>
        <v/>
      </c>
      <c r="S829" s="27">
        <f>R829*E829</f>
        <v/>
      </c>
      <c r="T829" s="27">
        <f>(R829-S829)*M829</f>
        <v/>
      </c>
      <c r="U829" s="27">
        <f>R829-S829-T829</f>
        <v/>
      </c>
      <c r="V829" s="27">
        <f>D829*P829</f>
        <v/>
      </c>
      <c r="W829" s="27">
        <f>U829-V829</f>
        <v/>
      </c>
      <c r="X829" s="28">
        <f>IFERROR(W829/U829,0)</f>
        <v/>
      </c>
    </row>
    <row r="830">
      <c r="A830" s="21">
        <f>ItensPedido!A830</f>
        <v/>
      </c>
      <c r="B830" s="21">
        <f>ItensPedido!B830</f>
        <v/>
      </c>
      <c r="C830" s="21">
        <f>ItensPedido!C830</f>
        <v/>
      </c>
      <c r="D830" s="21">
        <f>ItensPedido!D830</f>
        <v/>
      </c>
      <c r="E830" s="22">
        <f>ItensPedido!E830</f>
        <v/>
      </c>
      <c r="F830" s="21">
        <f>IFERROR(INDEX(Pedidos!$B$2:$B$1801,MATCH(B830,Pedidos!$A$2:$A$1801,0)),0)</f>
        <v/>
      </c>
      <c r="G830" s="21">
        <f>IF(F830=0,"",YEAR(F830))</f>
        <v/>
      </c>
      <c r="H830" s="21">
        <f>IF(F830=0,"",MONTH(F830))</f>
        <v/>
      </c>
      <c r="I830" s="21">
        <f>IFERROR(INDEX(Pedidos!$E$2:$E$1801,MATCH(B830,Pedidos!$A$2:$A$1801,0)),"")</f>
        <v/>
      </c>
      <c r="J830" s="21">
        <f>IFERROR(INDEX(Pedidos!$C$2:$C$1801,MATCH(B830,Pedidos!$A$2:$A$1801,0)),"")</f>
        <v/>
      </c>
      <c r="K830" s="21">
        <f>IFERROR(INDEX(Pedidos!$D$2:$D$1801,MATCH(B830,Pedidos!$A$2:$A$1801,0)),"")</f>
        <v/>
      </c>
      <c r="L830" s="21">
        <f>IFERROR(INDEX(Pedidos!$F$2:$F$1801,MATCH(B830,Pedidos!$A$2:$A$1801,0)),"")</f>
        <v/>
      </c>
      <c r="M830" s="22">
        <f>IFERROR(INDEX(Pedidos!$G$2:$G$1801,MATCH(B830,Pedidos!$A$2:$A$1801,0)),0)</f>
        <v/>
      </c>
      <c r="N830" s="21">
        <f>IFERROR(INDEX(Produtos!$B$2:$B$71,MATCH(C830,Produtos!$A$2:$A$71,0)),"")</f>
        <v/>
      </c>
      <c r="O830" s="21">
        <f>IFERROR(INDEX(Produtos!$C$2:$C$71,MATCH(C830,Produtos!$A$2:$A$71,0)),"")</f>
        <v/>
      </c>
      <c r="P830" s="21">
        <f>IFERROR(INDEX(Produtos!$D$2:$D$71,MATCH(C830,Produtos!$A$2:$A$71,0)),0)</f>
        <v/>
      </c>
      <c r="Q830" s="21">
        <f>IFERROR(INDEX(Produtos!$E$2:$E$71,MATCH(C830,Produtos!$A$2:$A$71,0)),0)</f>
        <v/>
      </c>
      <c r="R830" s="23">
        <f>D830*Q830</f>
        <v/>
      </c>
      <c r="S830" s="23">
        <f>R830*E830</f>
        <v/>
      </c>
      <c r="T830" s="23">
        <f>(R830-S830)*M830</f>
        <v/>
      </c>
      <c r="U830" s="23">
        <f>R830-S830-T830</f>
        <v/>
      </c>
      <c r="V830" s="23">
        <f>D830*P830</f>
        <v/>
      </c>
      <c r="W830" s="23">
        <f>U830-V830</f>
        <v/>
      </c>
      <c r="X830" s="24">
        <f>IFERROR(W830/U830,0)</f>
        <v/>
      </c>
    </row>
    <row r="831">
      <c r="A831" s="25">
        <f>ItensPedido!A831</f>
        <v/>
      </c>
      <c r="B831" s="25">
        <f>ItensPedido!B831</f>
        <v/>
      </c>
      <c r="C831" s="25">
        <f>ItensPedido!C831</f>
        <v/>
      </c>
      <c r="D831" s="25">
        <f>ItensPedido!D831</f>
        <v/>
      </c>
      <c r="E831" s="26">
        <f>ItensPedido!E831</f>
        <v/>
      </c>
      <c r="F831" s="25">
        <f>IFERROR(INDEX(Pedidos!$B$2:$B$1801,MATCH(B831,Pedidos!$A$2:$A$1801,0)),0)</f>
        <v/>
      </c>
      <c r="G831" s="25">
        <f>IF(F831=0,"",YEAR(F831))</f>
        <v/>
      </c>
      <c r="H831" s="25">
        <f>IF(F831=0,"",MONTH(F831))</f>
        <v/>
      </c>
      <c r="I831" s="25">
        <f>IFERROR(INDEX(Pedidos!$E$2:$E$1801,MATCH(B831,Pedidos!$A$2:$A$1801,0)),"")</f>
        <v/>
      </c>
      <c r="J831" s="25">
        <f>IFERROR(INDEX(Pedidos!$C$2:$C$1801,MATCH(B831,Pedidos!$A$2:$A$1801,0)),"")</f>
        <v/>
      </c>
      <c r="K831" s="25">
        <f>IFERROR(INDEX(Pedidos!$D$2:$D$1801,MATCH(B831,Pedidos!$A$2:$A$1801,0)),"")</f>
        <v/>
      </c>
      <c r="L831" s="25">
        <f>IFERROR(INDEX(Pedidos!$F$2:$F$1801,MATCH(B831,Pedidos!$A$2:$A$1801,0)),"")</f>
        <v/>
      </c>
      <c r="M831" s="26">
        <f>IFERROR(INDEX(Pedidos!$G$2:$G$1801,MATCH(B831,Pedidos!$A$2:$A$1801,0)),0)</f>
        <v/>
      </c>
      <c r="N831" s="25">
        <f>IFERROR(INDEX(Produtos!$B$2:$B$71,MATCH(C831,Produtos!$A$2:$A$71,0)),"")</f>
        <v/>
      </c>
      <c r="O831" s="25">
        <f>IFERROR(INDEX(Produtos!$C$2:$C$71,MATCH(C831,Produtos!$A$2:$A$71,0)),"")</f>
        <v/>
      </c>
      <c r="P831" s="25">
        <f>IFERROR(INDEX(Produtos!$D$2:$D$71,MATCH(C831,Produtos!$A$2:$A$71,0)),0)</f>
        <v/>
      </c>
      <c r="Q831" s="25">
        <f>IFERROR(INDEX(Produtos!$E$2:$E$71,MATCH(C831,Produtos!$A$2:$A$71,0)),0)</f>
        <v/>
      </c>
      <c r="R831" s="27">
        <f>D831*Q831</f>
        <v/>
      </c>
      <c r="S831" s="27">
        <f>R831*E831</f>
        <v/>
      </c>
      <c r="T831" s="27">
        <f>(R831-S831)*M831</f>
        <v/>
      </c>
      <c r="U831" s="27">
        <f>R831-S831-T831</f>
        <v/>
      </c>
      <c r="V831" s="27">
        <f>D831*P831</f>
        <v/>
      </c>
      <c r="W831" s="27">
        <f>U831-V831</f>
        <v/>
      </c>
      <c r="X831" s="28">
        <f>IFERROR(W831/U831,0)</f>
        <v/>
      </c>
    </row>
    <row r="832">
      <c r="A832" s="21">
        <f>ItensPedido!A832</f>
        <v/>
      </c>
      <c r="B832" s="21">
        <f>ItensPedido!B832</f>
        <v/>
      </c>
      <c r="C832" s="21">
        <f>ItensPedido!C832</f>
        <v/>
      </c>
      <c r="D832" s="21">
        <f>ItensPedido!D832</f>
        <v/>
      </c>
      <c r="E832" s="22">
        <f>ItensPedido!E832</f>
        <v/>
      </c>
      <c r="F832" s="21">
        <f>IFERROR(INDEX(Pedidos!$B$2:$B$1801,MATCH(B832,Pedidos!$A$2:$A$1801,0)),0)</f>
        <v/>
      </c>
      <c r="G832" s="21">
        <f>IF(F832=0,"",YEAR(F832))</f>
        <v/>
      </c>
      <c r="H832" s="21">
        <f>IF(F832=0,"",MONTH(F832))</f>
        <v/>
      </c>
      <c r="I832" s="21">
        <f>IFERROR(INDEX(Pedidos!$E$2:$E$1801,MATCH(B832,Pedidos!$A$2:$A$1801,0)),"")</f>
        <v/>
      </c>
      <c r="J832" s="21">
        <f>IFERROR(INDEX(Pedidos!$C$2:$C$1801,MATCH(B832,Pedidos!$A$2:$A$1801,0)),"")</f>
        <v/>
      </c>
      <c r="K832" s="21">
        <f>IFERROR(INDEX(Pedidos!$D$2:$D$1801,MATCH(B832,Pedidos!$A$2:$A$1801,0)),"")</f>
        <v/>
      </c>
      <c r="L832" s="21">
        <f>IFERROR(INDEX(Pedidos!$F$2:$F$1801,MATCH(B832,Pedidos!$A$2:$A$1801,0)),"")</f>
        <v/>
      </c>
      <c r="M832" s="22">
        <f>IFERROR(INDEX(Pedidos!$G$2:$G$1801,MATCH(B832,Pedidos!$A$2:$A$1801,0)),0)</f>
        <v/>
      </c>
      <c r="N832" s="21">
        <f>IFERROR(INDEX(Produtos!$B$2:$B$71,MATCH(C832,Produtos!$A$2:$A$71,0)),"")</f>
        <v/>
      </c>
      <c r="O832" s="21">
        <f>IFERROR(INDEX(Produtos!$C$2:$C$71,MATCH(C832,Produtos!$A$2:$A$71,0)),"")</f>
        <v/>
      </c>
      <c r="P832" s="21">
        <f>IFERROR(INDEX(Produtos!$D$2:$D$71,MATCH(C832,Produtos!$A$2:$A$71,0)),0)</f>
        <v/>
      </c>
      <c r="Q832" s="21">
        <f>IFERROR(INDEX(Produtos!$E$2:$E$71,MATCH(C832,Produtos!$A$2:$A$71,0)),0)</f>
        <v/>
      </c>
      <c r="R832" s="23">
        <f>D832*Q832</f>
        <v/>
      </c>
      <c r="S832" s="23">
        <f>R832*E832</f>
        <v/>
      </c>
      <c r="T832" s="23">
        <f>(R832-S832)*M832</f>
        <v/>
      </c>
      <c r="U832" s="23">
        <f>R832-S832-T832</f>
        <v/>
      </c>
      <c r="V832" s="23">
        <f>D832*P832</f>
        <v/>
      </c>
      <c r="W832" s="23">
        <f>U832-V832</f>
        <v/>
      </c>
      <c r="X832" s="24">
        <f>IFERROR(W832/U832,0)</f>
        <v/>
      </c>
    </row>
    <row r="833">
      <c r="A833" s="25">
        <f>ItensPedido!A833</f>
        <v/>
      </c>
      <c r="B833" s="25">
        <f>ItensPedido!B833</f>
        <v/>
      </c>
      <c r="C833" s="25">
        <f>ItensPedido!C833</f>
        <v/>
      </c>
      <c r="D833" s="25">
        <f>ItensPedido!D833</f>
        <v/>
      </c>
      <c r="E833" s="26">
        <f>ItensPedido!E833</f>
        <v/>
      </c>
      <c r="F833" s="25">
        <f>IFERROR(INDEX(Pedidos!$B$2:$B$1801,MATCH(B833,Pedidos!$A$2:$A$1801,0)),0)</f>
        <v/>
      </c>
      <c r="G833" s="25">
        <f>IF(F833=0,"",YEAR(F833))</f>
        <v/>
      </c>
      <c r="H833" s="25">
        <f>IF(F833=0,"",MONTH(F833))</f>
        <v/>
      </c>
      <c r="I833" s="25">
        <f>IFERROR(INDEX(Pedidos!$E$2:$E$1801,MATCH(B833,Pedidos!$A$2:$A$1801,0)),"")</f>
        <v/>
      </c>
      <c r="J833" s="25">
        <f>IFERROR(INDEX(Pedidos!$C$2:$C$1801,MATCH(B833,Pedidos!$A$2:$A$1801,0)),"")</f>
        <v/>
      </c>
      <c r="K833" s="25">
        <f>IFERROR(INDEX(Pedidos!$D$2:$D$1801,MATCH(B833,Pedidos!$A$2:$A$1801,0)),"")</f>
        <v/>
      </c>
      <c r="L833" s="25">
        <f>IFERROR(INDEX(Pedidos!$F$2:$F$1801,MATCH(B833,Pedidos!$A$2:$A$1801,0)),"")</f>
        <v/>
      </c>
      <c r="M833" s="26">
        <f>IFERROR(INDEX(Pedidos!$G$2:$G$1801,MATCH(B833,Pedidos!$A$2:$A$1801,0)),0)</f>
        <v/>
      </c>
      <c r="N833" s="25">
        <f>IFERROR(INDEX(Produtos!$B$2:$B$71,MATCH(C833,Produtos!$A$2:$A$71,0)),"")</f>
        <v/>
      </c>
      <c r="O833" s="25">
        <f>IFERROR(INDEX(Produtos!$C$2:$C$71,MATCH(C833,Produtos!$A$2:$A$71,0)),"")</f>
        <v/>
      </c>
      <c r="P833" s="25">
        <f>IFERROR(INDEX(Produtos!$D$2:$D$71,MATCH(C833,Produtos!$A$2:$A$71,0)),0)</f>
        <v/>
      </c>
      <c r="Q833" s="25">
        <f>IFERROR(INDEX(Produtos!$E$2:$E$71,MATCH(C833,Produtos!$A$2:$A$71,0)),0)</f>
        <v/>
      </c>
      <c r="R833" s="27">
        <f>D833*Q833</f>
        <v/>
      </c>
      <c r="S833" s="27">
        <f>R833*E833</f>
        <v/>
      </c>
      <c r="T833" s="27">
        <f>(R833-S833)*M833</f>
        <v/>
      </c>
      <c r="U833" s="27">
        <f>R833-S833-T833</f>
        <v/>
      </c>
      <c r="V833" s="27">
        <f>D833*P833</f>
        <v/>
      </c>
      <c r="W833" s="27">
        <f>U833-V833</f>
        <v/>
      </c>
      <c r="X833" s="28">
        <f>IFERROR(W833/U833,0)</f>
        <v/>
      </c>
    </row>
    <row r="834">
      <c r="A834" s="21">
        <f>ItensPedido!A834</f>
        <v/>
      </c>
      <c r="B834" s="21">
        <f>ItensPedido!B834</f>
        <v/>
      </c>
      <c r="C834" s="21">
        <f>ItensPedido!C834</f>
        <v/>
      </c>
      <c r="D834" s="21">
        <f>ItensPedido!D834</f>
        <v/>
      </c>
      <c r="E834" s="22">
        <f>ItensPedido!E834</f>
        <v/>
      </c>
      <c r="F834" s="21">
        <f>IFERROR(INDEX(Pedidos!$B$2:$B$1801,MATCH(B834,Pedidos!$A$2:$A$1801,0)),0)</f>
        <v/>
      </c>
      <c r="G834" s="21">
        <f>IF(F834=0,"",YEAR(F834))</f>
        <v/>
      </c>
      <c r="H834" s="21">
        <f>IF(F834=0,"",MONTH(F834))</f>
        <v/>
      </c>
      <c r="I834" s="21">
        <f>IFERROR(INDEX(Pedidos!$E$2:$E$1801,MATCH(B834,Pedidos!$A$2:$A$1801,0)),"")</f>
        <v/>
      </c>
      <c r="J834" s="21">
        <f>IFERROR(INDEX(Pedidos!$C$2:$C$1801,MATCH(B834,Pedidos!$A$2:$A$1801,0)),"")</f>
        <v/>
      </c>
      <c r="K834" s="21">
        <f>IFERROR(INDEX(Pedidos!$D$2:$D$1801,MATCH(B834,Pedidos!$A$2:$A$1801,0)),"")</f>
        <v/>
      </c>
      <c r="L834" s="21">
        <f>IFERROR(INDEX(Pedidos!$F$2:$F$1801,MATCH(B834,Pedidos!$A$2:$A$1801,0)),"")</f>
        <v/>
      </c>
      <c r="M834" s="22">
        <f>IFERROR(INDEX(Pedidos!$G$2:$G$1801,MATCH(B834,Pedidos!$A$2:$A$1801,0)),0)</f>
        <v/>
      </c>
      <c r="N834" s="21">
        <f>IFERROR(INDEX(Produtos!$B$2:$B$71,MATCH(C834,Produtos!$A$2:$A$71,0)),"")</f>
        <v/>
      </c>
      <c r="O834" s="21">
        <f>IFERROR(INDEX(Produtos!$C$2:$C$71,MATCH(C834,Produtos!$A$2:$A$71,0)),"")</f>
        <v/>
      </c>
      <c r="P834" s="21">
        <f>IFERROR(INDEX(Produtos!$D$2:$D$71,MATCH(C834,Produtos!$A$2:$A$71,0)),0)</f>
        <v/>
      </c>
      <c r="Q834" s="21">
        <f>IFERROR(INDEX(Produtos!$E$2:$E$71,MATCH(C834,Produtos!$A$2:$A$71,0)),0)</f>
        <v/>
      </c>
      <c r="R834" s="23">
        <f>D834*Q834</f>
        <v/>
      </c>
      <c r="S834" s="23">
        <f>R834*E834</f>
        <v/>
      </c>
      <c r="T834" s="23">
        <f>(R834-S834)*M834</f>
        <v/>
      </c>
      <c r="U834" s="23">
        <f>R834-S834-T834</f>
        <v/>
      </c>
      <c r="V834" s="23">
        <f>D834*P834</f>
        <v/>
      </c>
      <c r="W834" s="23">
        <f>U834-V834</f>
        <v/>
      </c>
      <c r="X834" s="24">
        <f>IFERROR(W834/U834,0)</f>
        <v/>
      </c>
    </row>
    <row r="835">
      <c r="A835" s="25">
        <f>ItensPedido!A835</f>
        <v/>
      </c>
      <c r="B835" s="25">
        <f>ItensPedido!B835</f>
        <v/>
      </c>
      <c r="C835" s="25">
        <f>ItensPedido!C835</f>
        <v/>
      </c>
      <c r="D835" s="25">
        <f>ItensPedido!D835</f>
        <v/>
      </c>
      <c r="E835" s="26">
        <f>ItensPedido!E835</f>
        <v/>
      </c>
      <c r="F835" s="25">
        <f>IFERROR(INDEX(Pedidos!$B$2:$B$1801,MATCH(B835,Pedidos!$A$2:$A$1801,0)),0)</f>
        <v/>
      </c>
      <c r="G835" s="25">
        <f>IF(F835=0,"",YEAR(F835))</f>
        <v/>
      </c>
      <c r="H835" s="25">
        <f>IF(F835=0,"",MONTH(F835))</f>
        <v/>
      </c>
      <c r="I835" s="25">
        <f>IFERROR(INDEX(Pedidos!$E$2:$E$1801,MATCH(B835,Pedidos!$A$2:$A$1801,0)),"")</f>
        <v/>
      </c>
      <c r="J835" s="25">
        <f>IFERROR(INDEX(Pedidos!$C$2:$C$1801,MATCH(B835,Pedidos!$A$2:$A$1801,0)),"")</f>
        <v/>
      </c>
      <c r="K835" s="25">
        <f>IFERROR(INDEX(Pedidos!$D$2:$D$1801,MATCH(B835,Pedidos!$A$2:$A$1801,0)),"")</f>
        <v/>
      </c>
      <c r="L835" s="25">
        <f>IFERROR(INDEX(Pedidos!$F$2:$F$1801,MATCH(B835,Pedidos!$A$2:$A$1801,0)),"")</f>
        <v/>
      </c>
      <c r="M835" s="26">
        <f>IFERROR(INDEX(Pedidos!$G$2:$G$1801,MATCH(B835,Pedidos!$A$2:$A$1801,0)),0)</f>
        <v/>
      </c>
      <c r="N835" s="25">
        <f>IFERROR(INDEX(Produtos!$B$2:$B$71,MATCH(C835,Produtos!$A$2:$A$71,0)),"")</f>
        <v/>
      </c>
      <c r="O835" s="25">
        <f>IFERROR(INDEX(Produtos!$C$2:$C$71,MATCH(C835,Produtos!$A$2:$A$71,0)),"")</f>
        <v/>
      </c>
      <c r="P835" s="25">
        <f>IFERROR(INDEX(Produtos!$D$2:$D$71,MATCH(C835,Produtos!$A$2:$A$71,0)),0)</f>
        <v/>
      </c>
      <c r="Q835" s="25">
        <f>IFERROR(INDEX(Produtos!$E$2:$E$71,MATCH(C835,Produtos!$A$2:$A$71,0)),0)</f>
        <v/>
      </c>
      <c r="R835" s="27">
        <f>D835*Q835</f>
        <v/>
      </c>
      <c r="S835" s="27">
        <f>R835*E835</f>
        <v/>
      </c>
      <c r="T835" s="27">
        <f>(R835-S835)*M835</f>
        <v/>
      </c>
      <c r="U835" s="27">
        <f>R835-S835-T835</f>
        <v/>
      </c>
      <c r="V835" s="27">
        <f>D835*P835</f>
        <v/>
      </c>
      <c r="W835" s="27">
        <f>U835-V835</f>
        <v/>
      </c>
      <c r="X835" s="28">
        <f>IFERROR(W835/U835,0)</f>
        <v/>
      </c>
    </row>
    <row r="836">
      <c r="A836" s="21">
        <f>ItensPedido!A836</f>
        <v/>
      </c>
      <c r="B836" s="21">
        <f>ItensPedido!B836</f>
        <v/>
      </c>
      <c r="C836" s="21">
        <f>ItensPedido!C836</f>
        <v/>
      </c>
      <c r="D836" s="21">
        <f>ItensPedido!D836</f>
        <v/>
      </c>
      <c r="E836" s="22">
        <f>ItensPedido!E836</f>
        <v/>
      </c>
      <c r="F836" s="21">
        <f>IFERROR(INDEX(Pedidos!$B$2:$B$1801,MATCH(B836,Pedidos!$A$2:$A$1801,0)),0)</f>
        <v/>
      </c>
      <c r="G836" s="21">
        <f>IF(F836=0,"",YEAR(F836))</f>
        <v/>
      </c>
      <c r="H836" s="21">
        <f>IF(F836=0,"",MONTH(F836))</f>
        <v/>
      </c>
      <c r="I836" s="21">
        <f>IFERROR(INDEX(Pedidos!$E$2:$E$1801,MATCH(B836,Pedidos!$A$2:$A$1801,0)),"")</f>
        <v/>
      </c>
      <c r="J836" s="21">
        <f>IFERROR(INDEX(Pedidos!$C$2:$C$1801,MATCH(B836,Pedidos!$A$2:$A$1801,0)),"")</f>
        <v/>
      </c>
      <c r="K836" s="21">
        <f>IFERROR(INDEX(Pedidos!$D$2:$D$1801,MATCH(B836,Pedidos!$A$2:$A$1801,0)),"")</f>
        <v/>
      </c>
      <c r="L836" s="21">
        <f>IFERROR(INDEX(Pedidos!$F$2:$F$1801,MATCH(B836,Pedidos!$A$2:$A$1801,0)),"")</f>
        <v/>
      </c>
      <c r="M836" s="22">
        <f>IFERROR(INDEX(Pedidos!$G$2:$G$1801,MATCH(B836,Pedidos!$A$2:$A$1801,0)),0)</f>
        <v/>
      </c>
      <c r="N836" s="21">
        <f>IFERROR(INDEX(Produtos!$B$2:$B$71,MATCH(C836,Produtos!$A$2:$A$71,0)),"")</f>
        <v/>
      </c>
      <c r="O836" s="21">
        <f>IFERROR(INDEX(Produtos!$C$2:$C$71,MATCH(C836,Produtos!$A$2:$A$71,0)),"")</f>
        <v/>
      </c>
      <c r="P836" s="21">
        <f>IFERROR(INDEX(Produtos!$D$2:$D$71,MATCH(C836,Produtos!$A$2:$A$71,0)),0)</f>
        <v/>
      </c>
      <c r="Q836" s="21">
        <f>IFERROR(INDEX(Produtos!$E$2:$E$71,MATCH(C836,Produtos!$A$2:$A$71,0)),0)</f>
        <v/>
      </c>
      <c r="R836" s="23">
        <f>D836*Q836</f>
        <v/>
      </c>
      <c r="S836" s="23">
        <f>R836*E836</f>
        <v/>
      </c>
      <c r="T836" s="23">
        <f>(R836-S836)*M836</f>
        <v/>
      </c>
      <c r="U836" s="23">
        <f>R836-S836-T836</f>
        <v/>
      </c>
      <c r="V836" s="23">
        <f>D836*P836</f>
        <v/>
      </c>
      <c r="W836" s="23">
        <f>U836-V836</f>
        <v/>
      </c>
      <c r="X836" s="24">
        <f>IFERROR(W836/U836,0)</f>
        <v/>
      </c>
    </row>
    <row r="837">
      <c r="A837" s="25">
        <f>ItensPedido!A837</f>
        <v/>
      </c>
      <c r="B837" s="25">
        <f>ItensPedido!B837</f>
        <v/>
      </c>
      <c r="C837" s="25">
        <f>ItensPedido!C837</f>
        <v/>
      </c>
      <c r="D837" s="25">
        <f>ItensPedido!D837</f>
        <v/>
      </c>
      <c r="E837" s="26">
        <f>ItensPedido!E837</f>
        <v/>
      </c>
      <c r="F837" s="25">
        <f>IFERROR(INDEX(Pedidos!$B$2:$B$1801,MATCH(B837,Pedidos!$A$2:$A$1801,0)),0)</f>
        <v/>
      </c>
      <c r="G837" s="25">
        <f>IF(F837=0,"",YEAR(F837))</f>
        <v/>
      </c>
      <c r="H837" s="25">
        <f>IF(F837=0,"",MONTH(F837))</f>
        <v/>
      </c>
      <c r="I837" s="25">
        <f>IFERROR(INDEX(Pedidos!$E$2:$E$1801,MATCH(B837,Pedidos!$A$2:$A$1801,0)),"")</f>
        <v/>
      </c>
      <c r="J837" s="25">
        <f>IFERROR(INDEX(Pedidos!$C$2:$C$1801,MATCH(B837,Pedidos!$A$2:$A$1801,0)),"")</f>
        <v/>
      </c>
      <c r="K837" s="25">
        <f>IFERROR(INDEX(Pedidos!$D$2:$D$1801,MATCH(B837,Pedidos!$A$2:$A$1801,0)),"")</f>
        <v/>
      </c>
      <c r="L837" s="25">
        <f>IFERROR(INDEX(Pedidos!$F$2:$F$1801,MATCH(B837,Pedidos!$A$2:$A$1801,0)),"")</f>
        <v/>
      </c>
      <c r="M837" s="26">
        <f>IFERROR(INDEX(Pedidos!$G$2:$G$1801,MATCH(B837,Pedidos!$A$2:$A$1801,0)),0)</f>
        <v/>
      </c>
      <c r="N837" s="25">
        <f>IFERROR(INDEX(Produtos!$B$2:$B$71,MATCH(C837,Produtos!$A$2:$A$71,0)),"")</f>
        <v/>
      </c>
      <c r="O837" s="25">
        <f>IFERROR(INDEX(Produtos!$C$2:$C$71,MATCH(C837,Produtos!$A$2:$A$71,0)),"")</f>
        <v/>
      </c>
      <c r="P837" s="25">
        <f>IFERROR(INDEX(Produtos!$D$2:$D$71,MATCH(C837,Produtos!$A$2:$A$71,0)),0)</f>
        <v/>
      </c>
      <c r="Q837" s="25">
        <f>IFERROR(INDEX(Produtos!$E$2:$E$71,MATCH(C837,Produtos!$A$2:$A$71,0)),0)</f>
        <v/>
      </c>
      <c r="R837" s="27">
        <f>D837*Q837</f>
        <v/>
      </c>
      <c r="S837" s="27">
        <f>R837*E837</f>
        <v/>
      </c>
      <c r="T837" s="27">
        <f>(R837-S837)*M837</f>
        <v/>
      </c>
      <c r="U837" s="27">
        <f>R837-S837-T837</f>
        <v/>
      </c>
      <c r="V837" s="27">
        <f>D837*P837</f>
        <v/>
      </c>
      <c r="W837" s="27">
        <f>U837-V837</f>
        <v/>
      </c>
      <c r="X837" s="28">
        <f>IFERROR(W837/U837,0)</f>
        <v/>
      </c>
    </row>
    <row r="838">
      <c r="A838" s="21">
        <f>ItensPedido!A838</f>
        <v/>
      </c>
      <c r="B838" s="21">
        <f>ItensPedido!B838</f>
        <v/>
      </c>
      <c r="C838" s="21">
        <f>ItensPedido!C838</f>
        <v/>
      </c>
      <c r="D838" s="21">
        <f>ItensPedido!D838</f>
        <v/>
      </c>
      <c r="E838" s="22">
        <f>ItensPedido!E838</f>
        <v/>
      </c>
      <c r="F838" s="21">
        <f>IFERROR(INDEX(Pedidos!$B$2:$B$1801,MATCH(B838,Pedidos!$A$2:$A$1801,0)),0)</f>
        <v/>
      </c>
      <c r="G838" s="21">
        <f>IF(F838=0,"",YEAR(F838))</f>
        <v/>
      </c>
      <c r="H838" s="21">
        <f>IF(F838=0,"",MONTH(F838))</f>
        <v/>
      </c>
      <c r="I838" s="21">
        <f>IFERROR(INDEX(Pedidos!$E$2:$E$1801,MATCH(B838,Pedidos!$A$2:$A$1801,0)),"")</f>
        <v/>
      </c>
      <c r="J838" s="21">
        <f>IFERROR(INDEX(Pedidos!$C$2:$C$1801,MATCH(B838,Pedidos!$A$2:$A$1801,0)),"")</f>
        <v/>
      </c>
      <c r="K838" s="21">
        <f>IFERROR(INDEX(Pedidos!$D$2:$D$1801,MATCH(B838,Pedidos!$A$2:$A$1801,0)),"")</f>
        <v/>
      </c>
      <c r="L838" s="21">
        <f>IFERROR(INDEX(Pedidos!$F$2:$F$1801,MATCH(B838,Pedidos!$A$2:$A$1801,0)),"")</f>
        <v/>
      </c>
      <c r="M838" s="22">
        <f>IFERROR(INDEX(Pedidos!$G$2:$G$1801,MATCH(B838,Pedidos!$A$2:$A$1801,0)),0)</f>
        <v/>
      </c>
      <c r="N838" s="21">
        <f>IFERROR(INDEX(Produtos!$B$2:$B$71,MATCH(C838,Produtos!$A$2:$A$71,0)),"")</f>
        <v/>
      </c>
      <c r="O838" s="21">
        <f>IFERROR(INDEX(Produtos!$C$2:$C$71,MATCH(C838,Produtos!$A$2:$A$71,0)),"")</f>
        <v/>
      </c>
      <c r="P838" s="21">
        <f>IFERROR(INDEX(Produtos!$D$2:$D$71,MATCH(C838,Produtos!$A$2:$A$71,0)),0)</f>
        <v/>
      </c>
      <c r="Q838" s="21">
        <f>IFERROR(INDEX(Produtos!$E$2:$E$71,MATCH(C838,Produtos!$A$2:$A$71,0)),0)</f>
        <v/>
      </c>
      <c r="R838" s="23">
        <f>D838*Q838</f>
        <v/>
      </c>
      <c r="S838" s="23">
        <f>R838*E838</f>
        <v/>
      </c>
      <c r="T838" s="23">
        <f>(R838-S838)*M838</f>
        <v/>
      </c>
      <c r="U838" s="23">
        <f>R838-S838-T838</f>
        <v/>
      </c>
      <c r="V838" s="23">
        <f>D838*P838</f>
        <v/>
      </c>
      <c r="W838" s="23">
        <f>U838-V838</f>
        <v/>
      </c>
      <c r="X838" s="24">
        <f>IFERROR(W838/U838,0)</f>
        <v/>
      </c>
    </row>
    <row r="839">
      <c r="A839" s="25">
        <f>ItensPedido!A839</f>
        <v/>
      </c>
      <c r="B839" s="25">
        <f>ItensPedido!B839</f>
        <v/>
      </c>
      <c r="C839" s="25">
        <f>ItensPedido!C839</f>
        <v/>
      </c>
      <c r="D839" s="25">
        <f>ItensPedido!D839</f>
        <v/>
      </c>
      <c r="E839" s="26">
        <f>ItensPedido!E839</f>
        <v/>
      </c>
      <c r="F839" s="25">
        <f>IFERROR(INDEX(Pedidos!$B$2:$B$1801,MATCH(B839,Pedidos!$A$2:$A$1801,0)),0)</f>
        <v/>
      </c>
      <c r="G839" s="25">
        <f>IF(F839=0,"",YEAR(F839))</f>
        <v/>
      </c>
      <c r="H839" s="25">
        <f>IF(F839=0,"",MONTH(F839))</f>
        <v/>
      </c>
      <c r="I839" s="25">
        <f>IFERROR(INDEX(Pedidos!$E$2:$E$1801,MATCH(B839,Pedidos!$A$2:$A$1801,0)),"")</f>
        <v/>
      </c>
      <c r="J839" s="25">
        <f>IFERROR(INDEX(Pedidos!$C$2:$C$1801,MATCH(B839,Pedidos!$A$2:$A$1801,0)),"")</f>
        <v/>
      </c>
      <c r="K839" s="25">
        <f>IFERROR(INDEX(Pedidos!$D$2:$D$1801,MATCH(B839,Pedidos!$A$2:$A$1801,0)),"")</f>
        <v/>
      </c>
      <c r="L839" s="25">
        <f>IFERROR(INDEX(Pedidos!$F$2:$F$1801,MATCH(B839,Pedidos!$A$2:$A$1801,0)),"")</f>
        <v/>
      </c>
      <c r="M839" s="26">
        <f>IFERROR(INDEX(Pedidos!$G$2:$G$1801,MATCH(B839,Pedidos!$A$2:$A$1801,0)),0)</f>
        <v/>
      </c>
      <c r="N839" s="25">
        <f>IFERROR(INDEX(Produtos!$B$2:$B$71,MATCH(C839,Produtos!$A$2:$A$71,0)),"")</f>
        <v/>
      </c>
      <c r="O839" s="25">
        <f>IFERROR(INDEX(Produtos!$C$2:$C$71,MATCH(C839,Produtos!$A$2:$A$71,0)),"")</f>
        <v/>
      </c>
      <c r="P839" s="25">
        <f>IFERROR(INDEX(Produtos!$D$2:$D$71,MATCH(C839,Produtos!$A$2:$A$71,0)),0)</f>
        <v/>
      </c>
      <c r="Q839" s="25">
        <f>IFERROR(INDEX(Produtos!$E$2:$E$71,MATCH(C839,Produtos!$A$2:$A$71,0)),0)</f>
        <v/>
      </c>
      <c r="R839" s="27">
        <f>D839*Q839</f>
        <v/>
      </c>
      <c r="S839" s="27">
        <f>R839*E839</f>
        <v/>
      </c>
      <c r="T839" s="27">
        <f>(R839-S839)*M839</f>
        <v/>
      </c>
      <c r="U839" s="27">
        <f>R839-S839-T839</f>
        <v/>
      </c>
      <c r="V839" s="27">
        <f>D839*P839</f>
        <v/>
      </c>
      <c r="W839" s="27">
        <f>U839-V839</f>
        <v/>
      </c>
      <c r="X839" s="28">
        <f>IFERROR(W839/U839,0)</f>
        <v/>
      </c>
    </row>
    <row r="840">
      <c r="A840" s="21">
        <f>ItensPedido!A840</f>
        <v/>
      </c>
      <c r="B840" s="21">
        <f>ItensPedido!B840</f>
        <v/>
      </c>
      <c r="C840" s="21">
        <f>ItensPedido!C840</f>
        <v/>
      </c>
      <c r="D840" s="21">
        <f>ItensPedido!D840</f>
        <v/>
      </c>
      <c r="E840" s="22">
        <f>ItensPedido!E840</f>
        <v/>
      </c>
      <c r="F840" s="21">
        <f>IFERROR(INDEX(Pedidos!$B$2:$B$1801,MATCH(B840,Pedidos!$A$2:$A$1801,0)),0)</f>
        <v/>
      </c>
      <c r="G840" s="21">
        <f>IF(F840=0,"",YEAR(F840))</f>
        <v/>
      </c>
      <c r="H840" s="21">
        <f>IF(F840=0,"",MONTH(F840))</f>
        <v/>
      </c>
      <c r="I840" s="21">
        <f>IFERROR(INDEX(Pedidos!$E$2:$E$1801,MATCH(B840,Pedidos!$A$2:$A$1801,0)),"")</f>
        <v/>
      </c>
      <c r="J840" s="21">
        <f>IFERROR(INDEX(Pedidos!$C$2:$C$1801,MATCH(B840,Pedidos!$A$2:$A$1801,0)),"")</f>
        <v/>
      </c>
      <c r="K840" s="21">
        <f>IFERROR(INDEX(Pedidos!$D$2:$D$1801,MATCH(B840,Pedidos!$A$2:$A$1801,0)),"")</f>
        <v/>
      </c>
      <c r="L840" s="21">
        <f>IFERROR(INDEX(Pedidos!$F$2:$F$1801,MATCH(B840,Pedidos!$A$2:$A$1801,0)),"")</f>
        <v/>
      </c>
      <c r="M840" s="22">
        <f>IFERROR(INDEX(Pedidos!$G$2:$G$1801,MATCH(B840,Pedidos!$A$2:$A$1801,0)),0)</f>
        <v/>
      </c>
      <c r="N840" s="21">
        <f>IFERROR(INDEX(Produtos!$B$2:$B$71,MATCH(C840,Produtos!$A$2:$A$71,0)),"")</f>
        <v/>
      </c>
      <c r="O840" s="21">
        <f>IFERROR(INDEX(Produtos!$C$2:$C$71,MATCH(C840,Produtos!$A$2:$A$71,0)),"")</f>
        <v/>
      </c>
      <c r="P840" s="21">
        <f>IFERROR(INDEX(Produtos!$D$2:$D$71,MATCH(C840,Produtos!$A$2:$A$71,0)),0)</f>
        <v/>
      </c>
      <c r="Q840" s="21">
        <f>IFERROR(INDEX(Produtos!$E$2:$E$71,MATCH(C840,Produtos!$A$2:$A$71,0)),0)</f>
        <v/>
      </c>
      <c r="R840" s="23">
        <f>D840*Q840</f>
        <v/>
      </c>
      <c r="S840" s="23">
        <f>R840*E840</f>
        <v/>
      </c>
      <c r="T840" s="23">
        <f>(R840-S840)*M840</f>
        <v/>
      </c>
      <c r="U840" s="23">
        <f>R840-S840-T840</f>
        <v/>
      </c>
      <c r="V840" s="23">
        <f>D840*P840</f>
        <v/>
      </c>
      <c r="W840" s="23">
        <f>U840-V840</f>
        <v/>
      </c>
      <c r="X840" s="24">
        <f>IFERROR(W840/U840,0)</f>
        <v/>
      </c>
    </row>
    <row r="841">
      <c r="A841" s="25">
        <f>ItensPedido!A841</f>
        <v/>
      </c>
      <c r="B841" s="25">
        <f>ItensPedido!B841</f>
        <v/>
      </c>
      <c r="C841" s="25">
        <f>ItensPedido!C841</f>
        <v/>
      </c>
      <c r="D841" s="25">
        <f>ItensPedido!D841</f>
        <v/>
      </c>
      <c r="E841" s="26">
        <f>ItensPedido!E841</f>
        <v/>
      </c>
      <c r="F841" s="25">
        <f>IFERROR(INDEX(Pedidos!$B$2:$B$1801,MATCH(B841,Pedidos!$A$2:$A$1801,0)),0)</f>
        <v/>
      </c>
      <c r="G841" s="25">
        <f>IF(F841=0,"",YEAR(F841))</f>
        <v/>
      </c>
      <c r="H841" s="25">
        <f>IF(F841=0,"",MONTH(F841))</f>
        <v/>
      </c>
      <c r="I841" s="25">
        <f>IFERROR(INDEX(Pedidos!$E$2:$E$1801,MATCH(B841,Pedidos!$A$2:$A$1801,0)),"")</f>
        <v/>
      </c>
      <c r="J841" s="25">
        <f>IFERROR(INDEX(Pedidos!$C$2:$C$1801,MATCH(B841,Pedidos!$A$2:$A$1801,0)),"")</f>
        <v/>
      </c>
      <c r="K841" s="25">
        <f>IFERROR(INDEX(Pedidos!$D$2:$D$1801,MATCH(B841,Pedidos!$A$2:$A$1801,0)),"")</f>
        <v/>
      </c>
      <c r="L841" s="25">
        <f>IFERROR(INDEX(Pedidos!$F$2:$F$1801,MATCH(B841,Pedidos!$A$2:$A$1801,0)),"")</f>
        <v/>
      </c>
      <c r="M841" s="26">
        <f>IFERROR(INDEX(Pedidos!$G$2:$G$1801,MATCH(B841,Pedidos!$A$2:$A$1801,0)),0)</f>
        <v/>
      </c>
      <c r="N841" s="25">
        <f>IFERROR(INDEX(Produtos!$B$2:$B$71,MATCH(C841,Produtos!$A$2:$A$71,0)),"")</f>
        <v/>
      </c>
      <c r="O841" s="25">
        <f>IFERROR(INDEX(Produtos!$C$2:$C$71,MATCH(C841,Produtos!$A$2:$A$71,0)),"")</f>
        <v/>
      </c>
      <c r="P841" s="25">
        <f>IFERROR(INDEX(Produtos!$D$2:$D$71,MATCH(C841,Produtos!$A$2:$A$71,0)),0)</f>
        <v/>
      </c>
      <c r="Q841" s="25">
        <f>IFERROR(INDEX(Produtos!$E$2:$E$71,MATCH(C841,Produtos!$A$2:$A$71,0)),0)</f>
        <v/>
      </c>
      <c r="R841" s="27">
        <f>D841*Q841</f>
        <v/>
      </c>
      <c r="S841" s="27">
        <f>R841*E841</f>
        <v/>
      </c>
      <c r="T841" s="27">
        <f>(R841-S841)*M841</f>
        <v/>
      </c>
      <c r="U841" s="27">
        <f>R841-S841-T841</f>
        <v/>
      </c>
      <c r="V841" s="27">
        <f>D841*P841</f>
        <v/>
      </c>
      <c r="W841" s="27">
        <f>U841-V841</f>
        <v/>
      </c>
      <c r="X841" s="28">
        <f>IFERROR(W841/U841,0)</f>
        <v/>
      </c>
    </row>
    <row r="842">
      <c r="A842" s="21">
        <f>ItensPedido!A842</f>
        <v/>
      </c>
      <c r="B842" s="21">
        <f>ItensPedido!B842</f>
        <v/>
      </c>
      <c r="C842" s="21">
        <f>ItensPedido!C842</f>
        <v/>
      </c>
      <c r="D842" s="21">
        <f>ItensPedido!D842</f>
        <v/>
      </c>
      <c r="E842" s="22">
        <f>ItensPedido!E842</f>
        <v/>
      </c>
      <c r="F842" s="21">
        <f>IFERROR(INDEX(Pedidos!$B$2:$B$1801,MATCH(B842,Pedidos!$A$2:$A$1801,0)),0)</f>
        <v/>
      </c>
      <c r="G842" s="21">
        <f>IF(F842=0,"",YEAR(F842))</f>
        <v/>
      </c>
      <c r="H842" s="21">
        <f>IF(F842=0,"",MONTH(F842))</f>
        <v/>
      </c>
      <c r="I842" s="21">
        <f>IFERROR(INDEX(Pedidos!$E$2:$E$1801,MATCH(B842,Pedidos!$A$2:$A$1801,0)),"")</f>
        <v/>
      </c>
      <c r="J842" s="21">
        <f>IFERROR(INDEX(Pedidos!$C$2:$C$1801,MATCH(B842,Pedidos!$A$2:$A$1801,0)),"")</f>
        <v/>
      </c>
      <c r="K842" s="21">
        <f>IFERROR(INDEX(Pedidos!$D$2:$D$1801,MATCH(B842,Pedidos!$A$2:$A$1801,0)),"")</f>
        <v/>
      </c>
      <c r="L842" s="21">
        <f>IFERROR(INDEX(Pedidos!$F$2:$F$1801,MATCH(B842,Pedidos!$A$2:$A$1801,0)),"")</f>
        <v/>
      </c>
      <c r="M842" s="22">
        <f>IFERROR(INDEX(Pedidos!$G$2:$G$1801,MATCH(B842,Pedidos!$A$2:$A$1801,0)),0)</f>
        <v/>
      </c>
      <c r="N842" s="21">
        <f>IFERROR(INDEX(Produtos!$B$2:$B$71,MATCH(C842,Produtos!$A$2:$A$71,0)),"")</f>
        <v/>
      </c>
      <c r="O842" s="21">
        <f>IFERROR(INDEX(Produtos!$C$2:$C$71,MATCH(C842,Produtos!$A$2:$A$71,0)),"")</f>
        <v/>
      </c>
      <c r="P842" s="21">
        <f>IFERROR(INDEX(Produtos!$D$2:$D$71,MATCH(C842,Produtos!$A$2:$A$71,0)),0)</f>
        <v/>
      </c>
      <c r="Q842" s="21">
        <f>IFERROR(INDEX(Produtos!$E$2:$E$71,MATCH(C842,Produtos!$A$2:$A$71,0)),0)</f>
        <v/>
      </c>
      <c r="R842" s="23">
        <f>D842*Q842</f>
        <v/>
      </c>
      <c r="S842" s="23">
        <f>R842*E842</f>
        <v/>
      </c>
      <c r="T842" s="23">
        <f>(R842-S842)*M842</f>
        <v/>
      </c>
      <c r="U842" s="23">
        <f>R842-S842-T842</f>
        <v/>
      </c>
      <c r="V842" s="23">
        <f>D842*P842</f>
        <v/>
      </c>
      <c r="W842" s="23">
        <f>U842-V842</f>
        <v/>
      </c>
      <c r="X842" s="24">
        <f>IFERROR(W842/U842,0)</f>
        <v/>
      </c>
    </row>
    <row r="843">
      <c r="A843" s="25">
        <f>ItensPedido!A843</f>
        <v/>
      </c>
      <c r="B843" s="25">
        <f>ItensPedido!B843</f>
        <v/>
      </c>
      <c r="C843" s="25">
        <f>ItensPedido!C843</f>
        <v/>
      </c>
      <c r="D843" s="25">
        <f>ItensPedido!D843</f>
        <v/>
      </c>
      <c r="E843" s="26">
        <f>ItensPedido!E843</f>
        <v/>
      </c>
      <c r="F843" s="25">
        <f>IFERROR(INDEX(Pedidos!$B$2:$B$1801,MATCH(B843,Pedidos!$A$2:$A$1801,0)),0)</f>
        <v/>
      </c>
      <c r="G843" s="25">
        <f>IF(F843=0,"",YEAR(F843))</f>
        <v/>
      </c>
      <c r="H843" s="25">
        <f>IF(F843=0,"",MONTH(F843))</f>
        <v/>
      </c>
      <c r="I843" s="25">
        <f>IFERROR(INDEX(Pedidos!$E$2:$E$1801,MATCH(B843,Pedidos!$A$2:$A$1801,0)),"")</f>
        <v/>
      </c>
      <c r="J843" s="25">
        <f>IFERROR(INDEX(Pedidos!$C$2:$C$1801,MATCH(B843,Pedidos!$A$2:$A$1801,0)),"")</f>
        <v/>
      </c>
      <c r="K843" s="25">
        <f>IFERROR(INDEX(Pedidos!$D$2:$D$1801,MATCH(B843,Pedidos!$A$2:$A$1801,0)),"")</f>
        <v/>
      </c>
      <c r="L843" s="25">
        <f>IFERROR(INDEX(Pedidos!$F$2:$F$1801,MATCH(B843,Pedidos!$A$2:$A$1801,0)),"")</f>
        <v/>
      </c>
      <c r="M843" s="26">
        <f>IFERROR(INDEX(Pedidos!$G$2:$G$1801,MATCH(B843,Pedidos!$A$2:$A$1801,0)),0)</f>
        <v/>
      </c>
      <c r="N843" s="25">
        <f>IFERROR(INDEX(Produtos!$B$2:$B$71,MATCH(C843,Produtos!$A$2:$A$71,0)),"")</f>
        <v/>
      </c>
      <c r="O843" s="25">
        <f>IFERROR(INDEX(Produtos!$C$2:$C$71,MATCH(C843,Produtos!$A$2:$A$71,0)),"")</f>
        <v/>
      </c>
      <c r="P843" s="25">
        <f>IFERROR(INDEX(Produtos!$D$2:$D$71,MATCH(C843,Produtos!$A$2:$A$71,0)),0)</f>
        <v/>
      </c>
      <c r="Q843" s="25">
        <f>IFERROR(INDEX(Produtos!$E$2:$E$71,MATCH(C843,Produtos!$A$2:$A$71,0)),0)</f>
        <v/>
      </c>
      <c r="R843" s="27">
        <f>D843*Q843</f>
        <v/>
      </c>
      <c r="S843" s="27">
        <f>R843*E843</f>
        <v/>
      </c>
      <c r="T843" s="27">
        <f>(R843-S843)*M843</f>
        <v/>
      </c>
      <c r="U843" s="27">
        <f>R843-S843-T843</f>
        <v/>
      </c>
      <c r="V843" s="27">
        <f>D843*P843</f>
        <v/>
      </c>
      <c r="W843" s="27">
        <f>U843-V843</f>
        <v/>
      </c>
      <c r="X843" s="28">
        <f>IFERROR(W843/U843,0)</f>
        <v/>
      </c>
    </row>
    <row r="844">
      <c r="A844" s="21">
        <f>ItensPedido!A844</f>
        <v/>
      </c>
      <c r="B844" s="21">
        <f>ItensPedido!B844</f>
        <v/>
      </c>
      <c r="C844" s="21">
        <f>ItensPedido!C844</f>
        <v/>
      </c>
      <c r="D844" s="21">
        <f>ItensPedido!D844</f>
        <v/>
      </c>
      <c r="E844" s="22">
        <f>ItensPedido!E844</f>
        <v/>
      </c>
      <c r="F844" s="21">
        <f>IFERROR(INDEX(Pedidos!$B$2:$B$1801,MATCH(B844,Pedidos!$A$2:$A$1801,0)),0)</f>
        <v/>
      </c>
      <c r="G844" s="21">
        <f>IF(F844=0,"",YEAR(F844))</f>
        <v/>
      </c>
      <c r="H844" s="21">
        <f>IF(F844=0,"",MONTH(F844))</f>
        <v/>
      </c>
      <c r="I844" s="21">
        <f>IFERROR(INDEX(Pedidos!$E$2:$E$1801,MATCH(B844,Pedidos!$A$2:$A$1801,0)),"")</f>
        <v/>
      </c>
      <c r="J844" s="21">
        <f>IFERROR(INDEX(Pedidos!$C$2:$C$1801,MATCH(B844,Pedidos!$A$2:$A$1801,0)),"")</f>
        <v/>
      </c>
      <c r="K844" s="21">
        <f>IFERROR(INDEX(Pedidos!$D$2:$D$1801,MATCH(B844,Pedidos!$A$2:$A$1801,0)),"")</f>
        <v/>
      </c>
      <c r="L844" s="21">
        <f>IFERROR(INDEX(Pedidos!$F$2:$F$1801,MATCH(B844,Pedidos!$A$2:$A$1801,0)),"")</f>
        <v/>
      </c>
      <c r="M844" s="22">
        <f>IFERROR(INDEX(Pedidos!$G$2:$G$1801,MATCH(B844,Pedidos!$A$2:$A$1801,0)),0)</f>
        <v/>
      </c>
      <c r="N844" s="21">
        <f>IFERROR(INDEX(Produtos!$B$2:$B$71,MATCH(C844,Produtos!$A$2:$A$71,0)),"")</f>
        <v/>
      </c>
      <c r="O844" s="21">
        <f>IFERROR(INDEX(Produtos!$C$2:$C$71,MATCH(C844,Produtos!$A$2:$A$71,0)),"")</f>
        <v/>
      </c>
      <c r="P844" s="21">
        <f>IFERROR(INDEX(Produtos!$D$2:$D$71,MATCH(C844,Produtos!$A$2:$A$71,0)),0)</f>
        <v/>
      </c>
      <c r="Q844" s="21">
        <f>IFERROR(INDEX(Produtos!$E$2:$E$71,MATCH(C844,Produtos!$A$2:$A$71,0)),0)</f>
        <v/>
      </c>
      <c r="R844" s="23">
        <f>D844*Q844</f>
        <v/>
      </c>
      <c r="S844" s="23">
        <f>R844*E844</f>
        <v/>
      </c>
      <c r="T844" s="23">
        <f>(R844-S844)*M844</f>
        <v/>
      </c>
      <c r="U844" s="23">
        <f>R844-S844-T844</f>
        <v/>
      </c>
      <c r="V844" s="23">
        <f>D844*P844</f>
        <v/>
      </c>
      <c r="W844" s="23">
        <f>U844-V844</f>
        <v/>
      </c>
      <c r="X844" s="24">
        <f>IFERROR(W844/U844,0)</f>
        <v/>
      </c>
    </row>
    <row r="845">
      <c r="A845" s="25">
        <f>ItensPedido!A845</f>
        <v/>
      </c>
      <c r="B845" s="25">
        <f>ItensPedido!B845</f>
        <v/>
      </c>
      <c r="C845" s="25">
        <f>ItensPedido!C845</f>
        <v/>
      </c>
      <c r="D845" s="25">
        <f>ItensPedido!D845</f>
        <v/>
      </c>
      <c r="E845" s="26">
        <f>ItensPedido!E845</f>
        <v/>
      </c>
      <c r="F845" s="25">
        <f>IFERROR(INDEX(Pedidos!$B$2:$B$1801,MATCH(B845,Pedidos!$A$2:$A$1801,0)),0)</f>
        <v/>
      </c>
      <c r="G845" s="25">
        <f>IF(F845=0,"",YEAR(F845))</f>
        <v/>
      </c>
      <c r="H845" s="25">
        <f>IF(F845=0,"",MONTH(F845))</f>
        <v/>
      </c>
      <c r="I845" s="25">
        <f>IFERROR(INDEX(Pedidos!$E$2:$E$1801,MATCH(B845,Pedidos!$A$2:$A$1801,0)),"")</f>
        <v/>
      </c>
      <c r="J845" s="25">
        <f>IFERROR(INDEX(Pedidos!$C$2:$C$1801,MATCH(B845,Pedidos!$A$2:$A$1801,0)),"")</f>
        <v/>
      </c>
      <c r="K845" s="25">
        <f>IFERROR(INDEX(Pedidos!$D$2:$D$1801,MATCH(B845,Pedidos!$A$2:$A$1801,0)),"")</f>
        <v/>
      </c>
      <c r="L845" s="25">
        <f>IFERROR(INDEX(Pedidos!$F$2:$F$1801,MATCH(B845,Pedidos!$A$2:$A$1801,0)),"")</f>
        <v/>
      </c>
      <c r="M845" s="26">
        <f>IFERROR(INDEX(Pedidos!$G$2:$G$1801,MATCH(B845,Pedidos!$A$2:$A$1801,0)),0)</f>
        <v/>
      </c>
      <c r="N845" s="25">
        <f>IFERROR(INDEX(Produtos!$B$2:$B$71,MATCH(C845,Produtos!$A$2:$A$71,0)),"")</f>
        <v/>
      </c>
      <c r="O845" s="25">
        <f>IFERROR(INDEX(Produtos!$C$2:$C$71,MATCH(C845,Produtos!$A$2:$A$71,0)),"")</f>
        <v/>
      </c>
      <c r="P845" s="25">
        <f>IFERROR(INDEX(Produtos!$D$2:$D$71,MATCH(C845,Produtos!$A$2:$A$71,0)),0)</f>
        <v/>
      </c>
      <c r="Q845" s="25">
        <f>IFERROR(INDEX(Produtos!$E$2:$E$71,MATCH(C845,Produtos!$A$2:$A$71,0)),0)</f>
        <v/>
      </c>
      <c r="R845" s="27">
        <f>D845*Q845</f>
        <v/>
      </c>
      <c r="S845" s="27">
        <f>R845*E845</f>
        <v/>
      </c>
      <c r="T845" s="27">
        <f>(R845-S845)*M845</f>
        <v/>
      </c>
      <c r="U845" s="27">
        <f>R845-S845-T845</f>
        <v/>
      </c>
      <c r="V845" s="27">
        <f>D845*P845</f>
        <v/>
      </c>
      <c r="W845" s="27">
        <f>U845-V845</f>
        <v/>
      </c>
      <c r="X845" s="28">
        <f>IFERROR(W845/U845,0)</f>
        <v/>
      </c>
    </row>
    <row r="846">
      <c r="A846" s="21">
        <f>ItensPedido!A846</f>
        <v/>
      </c>
      <c r="B846" s="21">
        <f>ItensPedido!B846</f>
        <v/>
      </c>
      <c r="C846" s="21">
        <f>ItensPedido!C846</f>
        <v/>
      </c>
      <c r="D846" s="21">
        <f>ItensPedido!D846</f>
        <v/>
      </c>
      <c r="E846" s="22">
        <f>ItensPedido!E846</f>
        <v/>
      </c>
      <c r="F846" s="21">
        <f>IFERROR(INDEX(Pedidos!$B$2:$B$1801,MATCH(B846,Pedidos!$A$2:$A$1801,0)),0)</f>
        <v/>
      </c>
      <c r="G846" s="21">
        <f>IF(F846=0,"",YEAR(F846))</f>
        <v/>
      </c>
      <c r="H846" s="21">
        <f>IF(F846=0,"",MONTH(F846))</f>
        <v/>
      </c>
      <c r="I846" s="21">
        <f>IFERROR(INDEX(Pedidos!$E$2:$E$1801,MATCH(B846,Pedidos!$A$2:$A$1801,0)),"")</f>
        <v/>
      </c>
      <c r="J846" s="21">
        <f>IFERROR(INDEX(Pedidos!$C$2:$C$1801,MATCH(B846,Pedidos!$A$2:$A$1801,0)),"")</f>
        <v/>
      </c>
      <c r="K846" s="21">
        <f>IFERROR(INDEX(Pedidos!$D$2:$D$1801,MATCH(B846,Pedidos!$A$2:$A$1801,0)),"")</f>
        <v/>
      </c>
      <c r="L846" s="21">
        <f>IFERROR(INDEX(Pedidos!$F$2:$F$1801,MATCH(B846,Pedidos!$A$2:$A$1801,0)),"")</f>
        <v/>
      </c>
      <c r="M846" s="22">
        <f>IFERROR(INDEX(Pedidos!$G$2:$G$1801,MATCH(B846,Pedidos!$A$2:$A$1801,0)),0)</f>
        <v/>
      </c>
      <c r="N846" s="21">
        <f>IFERROR(INDEX(Produtos!$B$2:$B$71,MATCH(C846,Produtos!$A$2:$A$71,0)),"")</f>
        <v/>
      </c>
      <c r="O846" s="21">
        <f>IFERROR(INDEX(Produtos!$C$2:$C$71,MATCH(C846,Produtos!$A$2:$A$71,0)),"")</f>
        <v/>
      </c>
      <c r="P846" s="21">
        <f>IFERROR(INDEX(Produtos!$D$2:$D$71,MATCH(C846,Produtos!$A$2:$A$71,0)),0)</f>
        <v/>
      </c>
      <c r="Q846" s="21">
        <f>IFERROR(INDEX(Produtos!$E$2:$E$71,MATCH(C846,Produtos!$A$2:$A$71,0)),0)</f>
        <v/>
      </c>
      <c r="R846" s="23">
        <f>D846*Q846</f>
        <v/>
      </c>
      <c r="S846" s="23">
        <f>R846*E846</f>
        <v/>
      </c>
      <c r="T846" s="23">
        <f>(R846-S846)*M846</f>
        <v/>
      </c>
      <c r="U846" s="23">
        <f>R846-S846-T846</f>
        <v/>
      </c>
      <c r="V846" s="23">
        <f>D846*P846</f>
        <v/>
      </c>
      <c r="W846" s="23">
        <f>U846-V846</f>
        <v/>
      </c>
      <c r="X846" s="24">
        <f>IFERROR(W846/U846,0)</f>
        <v/>
      </c>
    </row>
    <row r="847">
      <c r="A847" s="25">
        <f>ItensPedido!A847</f>
        <v/>
      </c>
      <c r="B847" s="25">
        <f>ItensPedido!B847</f>
        <v/>
      </c>
      <c r="C847" s="25">
        <f>ItensPedido!C847</f>
        <v/>
      </c>
      <c r="D847" s="25">
        <f>ItensPedido!D847</f>
        <v/>
      </c>
      <c r="E847" s="26">
        <f>ItensPedido!E847</f>
        <v/>
      </c>
      <c r="F847" s="25">
        <f>IFERROR(INDEX(Pedidos!$B$2:$B$1801,MATCH(B847,Pedidos!$A$2:$A$1801,0)),0)</f>
        <v/>
      </c>
      <c r="G847" s="25">
        <f>IF(F847=0,"",YEAR(F847))</f>
        <v/>
      </c>
      <c r="H847" s="25">
        <f>IF(F847=0,"",MONTH(F847))</f>
        <v/>
      </c>
      <c r="I847" s="25">
        <f>IFERROR(INDEX(Pedidos!$E$2:$E$1801,MATCH(B847,Pedidos!$A$2:$A$1801,0)),"")</f>
        <v/>
      </c>
      <c r="J847" s="25">
        <f>IFERROR(INDEX(Pedidos!$C$2:$C$1801,MATCH(B847,Pedidos!$A$2:$A$1801,0)),"")</f>
        <v/>
      </c>
      <c r="K847" s="25">
        <f>IFERROR(INDEX(Pedidos!$D$2:$D$1801,MATCH(B847,Pedidos!$A$2:$A$1801,0)),"")</f>
        <v/>
      </c>
      <c r="L847" s="25">
        <f>IFERROR(INDEX(Pedidos!$F$2:$F$1801,MATCH(B847,Pedidos!$A$2:$A$1801,0)),"")</f>
        <v/>
      </c>
      <c r="M847" s="26">
        <f>IFERROR(INDEX(Pedidos!$G$2:$G$1801,MATCH(B847,Pedidos!$A$2:$A$1801,0)),0)</f>
        <v/>
      </c>
      <c r="N847" s="25">
        <f>IFERROR(INDEX(Produtos!$B$2:$B$71,MATCH(C847,Produtos!$A$2:$A$71,0)),"")</f>
        <v/>
      </c>
      <c r="O847" s="25">
        <f>IFERROR(INDEX(Produtos!$C$2:$C$71,MATCH(C847,Produtos!$A$2:$A$71,0)),"")</f>
        <v/>
      </c>
      <c r="P847" s="25">
        <f>IFERROR(INDEX(Produtos!$D$2:$D$71,MATCH(C847,Produtos!$A$2:$A$71,0)),0)</f>
        <v/>
      </c>
      <c r="Q847" s="25">
        <f>IFERROR(INDEX(Produtos!$E$2:$E$71,MATCH(C847,Produtos!$A$2:$A$71,0)),0)</f>
        <v/>
      </c>
      <c r="R847" s="27">
        <f>D847*Q847</f>
        <v/>
      </c>
      <c r="S847" s="27">
        <f>R847*E847</f>
        <v/>
      </c>
      <c r="T847" s="27">
        <f>(R847-S847)*M847</f>
        <v/>
      </c>
      <c r="U847" s="27">
        <f>R847-S847-T847</f>
        <v/>
      </c>
      <c r="V847" s="27">
        <f>D847*P847</f>
        <v/>
      </c>
      <c r="W847" s="27">
        <f>U847-V847</f>
        <v/>
      </c>
      <c r="X847" s="28">
        <f>IFERROR(W847/U847,0)</f>
        <v/>
      </c>
    </row>
    <row r="848">
      <c r="A848" s="21">
        <f>ItensPedido!A848</f>
        <v/>
      </c>
      <c r="B848" s="21">
        <f>ItensPedido!B848</f>
        <v/>
      </c>
      <c r="C848" s="21">
        <f>ItensPedido!C848</f>
        <v/>
      </c>
      <c r="D848" s="21">
        <f>ItensPedido!D848</f>
        <v/>
      </c>
      <c r="E848" s="22">
        <f>ItensPedido!E848</f>
        <v/>
      </c>
      <c r="F848" s="21">
        <f>IFERROR(INDEX(Pedidos!$B$2:$B$1801,MATCH(B848,Pedidos!$A$2:$A$1801,0)),0)</f>
        <v/>
      </c>
      <c r="G848" s="21">
        <f>IF(F848=0,"",YEAR(F848))</f>
        <v/>
      </c>
      <c r="H848" s="21">
        <f>IF(F848=0,"",MONTH(F848))</f>
        <v/>
      </c>
      <c r="I848" s="21">
        <f>IFERROR(INDEX(Pedidos!$E$2:$E$1801,MATCH(B848,Pedidos!$A$2:$A$1801,0)),"")</f>
        <v/>
      </c>
      <c r="J848" s="21">
        <f>IFERROR(INDEX(Pedidos!$C$2:$C$1801,MATCH(B848,Pedidos!$A$2:$A$1801,0)),"")</f>
        <v/>
      </c>
      <c r="K848" s="21">
        <f>IFERROR(INDEX(Pedidos!$D$2:$D$1801,MATCH(B848,Pedidos!$A$2:$A$1801,0)),"")</f>
        <v/>
      </c>
      <c r="L848" s="21">
        <f>IFERROR(INDEX(Pedidos!$F$2:$F$1801,MATCH(B848,Pedidos!$A$2:$A$1801,0)),"")</f>
        <v/>
      </c>
      <c r="M848" s="22">
        <f>IFERROR(INDEX(Pedidos!$G$2:$G$1801,MATCH(B848,Pedidos!$A$2:$A$1801,0)),0)</f>
        <v/>
      </c>
      <c r="N848" s="21">
        <f>IFERROR(INDEX(Produtos!$B$2:$B$71,MATCH(C848,Produtos!$A$2:$A$71,0)),"")</f>
        <v/>
      </c>
      <c r="O848" s="21">
        <f>IFERROR(INDEX(Produtos!$C$2:$C$71,MATCH(C848,Produtos!$A$2:$A$71,0)),"")</f>
        <v/>
      </c>
      <c r="P848" s="21">
        <f>IFERROR(INDEX(Produtos!$D$2:$D$71,MATCH(C848,Produtos!$A$2:$A$71,0)),0)</f>
        <v/>
      </c>
      <c r="Q848" s="21">
        <f>IFERROR(INDEX(Produtos!$E$2:$E$71,MATCH(C848,Produtos!$A$2:$A$71,0)),0)</f>
        <v/>
      </c>
      <c r="R848" s="23">
        <f>D848*Q848</f>
        <v/>
      </c>
      <c r="S848" s="23">
        <f>R848*E848</f>
        <v/>
      </c>
      <c r="T848" s="23">
        <f>(R848-S848)*M848</f>
        <v/>
      </c>
      <c r="U848" s="23">
        <f>R848-S848-T848</f>
        <v/>
      </c>
      <c r="V848" s="23">
        <f>D848*P848</f>
        <v/>
      </c>
      <c r="W848" s="23">
        <f>U848-V848</f>
        <v/>
      </c>
      <c r="X848" s="24">
        <f>IFERROR(W848/U848,0)</f>
        <v/>
      </c>
    </row>
    <row r="849">
      <c r="A849" s="25">
        <f>ItensPedido!A849</f>
        <v/>
      </c>
      <c r="B849" s="25">
        <f>ItensPedido!B849</f>
        <v/>
      </c>
      <c r="C849" s="25">
        <f>ItensPedido!C849</f>
        <v/>
      </c>
      <c r="D849" s="25">
        <f>ItensPedido!D849</f>
        <v/>
      </c>
      <c r="E849" s="26">
        <f>ItensPedido!E849</f>
        <v/>
      </c>
      <c r="F849" s="25">
        <f>IFERROR(INDEX(Pedidos!$B$2:$B$1801,MATCH(B849,Pedidos!$A$2:$A$1801,0)),0)</f>
        <v/>
      </c>
      <c r="G849" s="25">
        <f>IF(F849=0,"",YEAR(F849))</f>
        <v/>
      </c>
      <c r="H849" s="25">
        <f>IF(F849=0,"",MONTH(F849))</f>
        <v/>
      </c>
      <c r="I849" s="25">
        <f>IFERROR(INDEX(Pedidos!$E$2:$E$1801,MATCH(B849,Pedidos!$A$2:$A$1801,0)),"")</f>
        <v/>
      </c>
      <c r="J849" s="25">
        <f>IFERROR(INDEX(Pedidos!$C$2:$C$1801,MATCH(B849,Pedidos!$A$2:$A$1801,0)),"")</f>
        <v/>
      </c>
      <c r="K849" s="25">
        <f>IFERROR(INDEX(Pedidos!$D$2:$D$1801,MATCH(B849,Pedidos!$A$2:$A$1801,0)),"")</f>
        <v/>
      </c>
      <c r="L849" s="25">
        <f>IFERROR(INDEX(Pedidos!$F$2:$F$1801,MATCH(B849,Pedidos!$A$2:$A$1801,0)),"")</f>
        <v/>
      </c>
      <c r="M849" s="26">
        <f>IFERROR(INDEX(Pedidos!$G$2:$G$1801,MATCH(B849,Pedidos!$A$2:$A$1801,0)),0)</f>
        <v/>
      </c>
      <c r="N849" s="25">
        <f>IFERROR(INDEX(Produtos!$B$2:$B$71,MATCH(C849,Produtos!$A$2:$A$71,0)),"")</f>
        <v/>
      </c>
      <c r="O849" s="25">
        <f>IFERROR(INDEX(Produtos!$C$2:$C$71,MATCH(C849,Produtos!$A$2:$A$71,0)),"")</f>
        <v/>
      </c>
      <c r="P849" s="25">
        <f>IFERROR(INDEX(Produtos!$D$2:$D$71,MATCH(C849,Produtos!$A$2:$A$71,0)),0)</f>
        <v/>
      </c>
      <c r="Q849" s="25">
        <f>IFERROR(INDEX(Produtos!$E$2:$E$71,MATCH(C849,Produtos!$A$2:$A$71,0)),0)</f>
        <v/>
      </c>
      <c r="R849" s="27">
        <f>D849*Q849</f>
        <v/>
      </c>
      <c r="S849" s="27">
        <f>R849*E849</f>
        <v/>
      </c>
      <c r="T849" s="27">
        <f>(R849-S849)*M849</f>
        <v/>
      </c>
      <c r="U849" s="27">
        <f>R849-S849-T849</f>
        <v/>
      </c>
      <c r="V849" s="27">
        <f>D849*P849</f>
        <v/>
      </c>
      <c r="W849" s="27">
        <f>U849-V849</f>
        <v/>
      </c>
      <c r="X849" s="28">
        <f>IFERROR(W849/U849,0)</f>
        <v/>
      </c>
    </row>
    <row r="850">
      <c r="A850" s="21">
        <f>ItensPedido!A850</f>
        <v/>
      </c>
      <c r="B850" s="21">
        <f>ItensPedido!B850</f>
        <v/>
      </c>
      <c r="C850" s="21">
        <f>ItensPedido!C850</f>
        <v/>
      </c>
      <c r="D850" s="21">
        <f>ItensPedido!D850</f>
        <v/>
      </c>
      <c r="E850" s="22">
        <f>ItensPedido!E850</f>
        <v/>
      </c>
      <c r="F850" s="21">
        <f>IFERROR(INDEX(Pedidos!$B$2:$B$1801,MATCH(B850,Pedidos!$A$2:$A$1801,0)),0)</f>
        <v/>
      </c>
      <c r="G850" s="21">
        <f>IF(F850=0,"",YEAR(F850))</f>
        <v/>
      </c>
      <c r="H850" s="21">
        <f>IF(F850=0,"",MONTH(F850))</f>
        <v/>
      </c>
      <c r="I850" s="21">
        <f>IFERROR(INDEX(Pedidos!$E$2:$E$1801,MATCH(B850,Pedidos!$A$2:$A$1801,0)),"")</f>
        <v/>
      </c>
      <c r="J850" s="21">
        <f>IFERROR(INDEX(Pedidos!$C$2:$C$1801,MATCH(B850,Pedidos!$A$2:$A$1801,0)),"")</f>
        <v/>
      </c>
      <c r="K850" s="21">
        <f>IFERROR(INDEX(Pedidos!$D$2:$D$1801,MATCH(B850,Pedidos!$A$2:$A$1801,0)),"")</f>
        <v/>
      </c>
      <c r="L850" s="21">
        <f>IFERROR(INDEX(Pedidos!$F$2:$F$1801,MATCH(B850,Pedidos!$A$2:$A$1801,0)),"")</f>
        <v/>
      </c>
      <c r="M850" s="22">
        <f>IFERROR(INDEX(Pedidos!$G$2:$G$1801,MATCH(B850,Pedidos!$A$2:$A$1801,0)),0)</f>
        <v/>
      </c>
      <c r="N850" s="21">
        <f>IFERROR(INDEX(Produtos!$B$2:$B$71,MATCH(C850,Produtos!$A$2:$A$71,0)),"")</f>
        <v/>
      </c>
      <c r="O850" s="21">
        <f>IFERROR(INDEX(Produtos!$C$2:$C$71,MATCH(C850,Produtos!$A$2:$A$71,0)),"")</f>
        <v/>
      </c>
      <c r="P850" s="21">
        <f>IFERROR(INDEX(Produtos!$D$2:$D$71,MATCH(C850,Produtos!$A$2:$A$71,0)),0)</f>
        <v/>
      </c>
      <c r="Q850" s="21">
        <f>IFERROR(INDEX(Produtos!$E$2:$E$71,MATCH(C850,Produtos!$A$2:$A$71,0)),0)</f>
        <v/>
      </c>
      <c r="R850" s="23">
        <f>D850*Q850</f>
        <v/>
      </c>
      <c r="S850" s="23">
        <f>R850*E850</f>
        <v/>
      </c>
      <c r="T850" s="23">
        <f>(R850-S850)*M850</f>
        <v/>
      </c>
      <c r="U850" s="23">
        <f>R850-S850-T850</f>
        <v/>
      </c>
      <c r="V850" s="23">
        <f>D850*P850</f>
        <v/>
      </c>
      <c r="W850" s="23">
        <f>U850-V850</f>
        <v/>
      </c>
      <c r="X850" s="24">
        <f>IFERROR(W850/U850,0)</f>
        <v/>
      </c>
    </row>
    <row r="851">
      <c r="A851" s="25">
        <f>ItensPedido!A851</f>
        <v/>
      </c>
      <c r="B851" s="25">
        <f>ItensPedido!B851</f>
        <v/>
      </c>
      <c r="C851" s="25">
        <f>ItensPedido!C851</f>
        <v/>
      </c>
      <c r="D851" s="25">
        <f>ItensPedido!D851</f>
        <v/>
      </c>
      <c r="E851" s="26">
        <f>ItensPedido!E851</f>
        <v/>
      </c>
      <c r="F851" s="25">
        <f>IFERROR(INDEX(Pedidos!$B$2:$B$1801,MATCH(B851,Pedidos!$A$2:$A$1801,0)),0)</f>
        <v/>
      </c>
      <c r="G851" s="25">
        <f>IF(F851=0,"",YEAR(F851))</f>
        <v/>
      </c>
      <c r="H851" s="25">
        <f>IF(F851=0,"",MONTH(F851))</f>
        <v/>
      </c>
      <c r="I851" s="25">
        <f>IFERROR(INDEX(Pedidos!$E$2:$E$1801,MATCH(B851,Pedidos!$A$2:$A$1801,0)),"")</f>
        <v/>
      </c>
      <c r="J851" s="25">
        <f>IFERROR(INDEX(Pedidos!$C$2:$C$1801,MATCH(B851,Pedidos!$A$2:$A$1801,0)),"")</f>
        <v/>
      </c>
      <c r="K851" s="25">
        <f>IFERROR(INDEX(Pedidos!$D$2:$D$1801,MATCH(B851,Pedidos!$A$2:$A$1801,0)),"")</f>
        <v/>
      </c>
      <c r="L851" s="25">
        <f>IFERROR(INDEX(Pedidos!$F$2:$F$1801,MATCH(B851,Pedidos!$A$2:$A$1801,0)),"")</f>
        <v/>
      </c>
      <c r="M851" s="26">
        <f>IFERROR(INDEX(Pedidos!$G$2:$G$1801,MATCH(B851,Pedidos!$A$2:$A$1801,0)),0)</f>
        <v/>
      </c>
      <c r="N851" s="25">
        <f>IFERROR(INDEX(Produtos!$B$2:$B$71,MATCH(C851,Produtos!$A$2:$A$71,0)),"")</f>
        <v/>
      </c>
      <c r="O851" s="25">
        <f>IFERROR(INDEX(Produtos!$C$2:$C$71,MATCH(C851,Produtos!$A$2:$A$71,0)),"")</f>
        <v/>
      </c>
      <c r="P851" s="25">
        <f>IFERROR(INDEX(Produtos!$D$2:$D$71,MATCH(C851,Produtos!$A$2:$A$71,0)),0)</f>
        <v/>
      </c>
      <c r="Q851" s="25">
        <f>IFERROR(INDEX(Produtos!$E$2:$E$71,MATCH(C851,Produtos!$A$2:$A$71,0)),0)</f>
        <v/>
      </c>
      <c r="R851" s="27">
        <f>D851*Q851</f>
        <v/>
      </c>
      <c r="S851" s="27">
        <f>R851*E851</f>
        <v/>
      </c>
      <c r="T851" s="27">
        <f>(R851-S851)*M851</f>
        <v/>
      </c>
      <c r="U851" s="27">
        <f>R851-S851-T851</f>
        <v/>
      </c>
      <c r="V851" s="27">
        <f>D851*P851</f>
        <v/>
      </c>
      <c r="W851" s="27">
        <f>U851-V851</f>
        <v/>
      </c>
      <c r="X851" s="28">
        <f>IFERROR(W851/U851,0)</f>
        <v/>
      </c>
    </row>
    <row r="852">
      <c r="A852" s="21">
        <f>ItensPedido!A852</f>
        <v/>
      </c>
      <c r="B852" s="21">
        <f>ItensPedido!B852</f>
        <v/>
      </c>
      <c r="C852" s="21">
        <f>ItensPedido!C852</f>
        <v/>
      </c>
      <c r="D852" s="21">
        <f>ItensPedido!D852</f>
        <v/>
      </c>
      <c r="E852" s="22">
        <f>ItensPedido!E852</f>
        <v/>
      </c>
      <c r="F852" s="21">
        <f>IFERROR(INDEX(Pedidos!$B$2:$B$1801,MATCH(B852,Pedidos!$A$2:$A$1801,0)),0)</f>
        <v/>
      </c>
      <c r="G852" s="21">
        <f>IF(F852=0,"",YEAR(F852))</f>
        <v/>
      </c>
      <c r="H852" s="21">
        <f>IF(F852=0,"",MONTH(F852))</f>
        <v/>
      </c>
      <c r="I852" s="21">
        <f>IFERROR(INDEX(Pedidos!$E$2:$E$1801,MATCH(B852,Pedidos!$A$2:$A$1801,0)),"")</f>
        <v/>
      </c>
      <c r="J852" s="21">
        <f>IFERROR(INDEX(Pedidos!$C$2:$C$1801,MATCH(B852,Pedidos!$A$2:$A$1801,0)),"")</f>
        <v/>
      </c>
      <c r="K852" s="21">
        <f>IFERROR(INDEX(Pedidos!$D$2:$D$1801,MATCH(B852,Pedidos!$A$2:$A$1801,0)),"")</f>
        <v/>
      </c>
      <c r="L852" s="21">
        <f>IFERROR(INDEX(Pedidos!$F$2:$F$1801,MATCH(B852,Pedidos!$A$2:$A$1801,0)),"")</f>
        <v/>
      </c>
      <c r="M852" s="22">
        <f>IFERROR(INDEX(Pedidos!$G$2:$G$1801,MATCH(B852,Pedidos!$A$2:$A$1801,0)),0)</f>
        <v/>
      </c>
      <c r="N852" s="21">
        <f>IFERROR(INDEX(Produtos!$B$2:$B$71,MATCH(C852,Produtos!$A$2:$A$71,0)),"")</f>
        <v/>
      </c>
      <c r="O852" s="21">
        <f>IFERROR(INDEX(Produtos!$C$2:$C$71,MATCH(C852,Produtos!$A$2:$A$71,0)),"")</f>
        <v/>
      </c>
      <c r="P852" s="21">
        <f>IFERROR(INDEX(Produtos!$D$2:$D$71,MATCH(C852,Produtos!$A$2:$A$71,0)),0)</f>
        <v/>
      </c>
      <c r="Q852" s="21">
        <f>IFERROR(INDEX(Produtos!$E$2:$E$71,MATCH(C852,Produtos!$A$2:$A$71,0)),0)</f>
        <v/>
      </c>
      <c r="R852" s="23">
        <f>D852*Q852</f>
        <v/>
      </c>
      <c r="S852" s="23">
        <f>R852*E852</f>
        <v/>
      </c>
      <c r="T852" s="23">
        <f>(R852-S852)*M852</f>
        <v/>
      </c>
      <c r="U852" s="23">
        <f>R852-S852-T852</f>
        <v/>
      </c>
      <c r="V852" s="23">
        <f>D852*P852</f>
        <v/>
      </c>
      <c r="W852" s="23">
        <f>U852-V852</f>
        <v/>
      </c>
      <c r="X852" s="24">
        <f>IFERROR(W852/U852,0)</f>
        <v/>
      </c>
    </row>
    <row r="853">
      <c r="A853" s="25">
        <f>ItensPedido!A853</f>
        <v/>
      </c>
      <c r="B853" s="25">
        <f>ItensPedido!B853</f>
        <v/>
      </c>
      <c r="C853" s="25">
        <f>ItensPedido!C853</f>
        <v/>
      </c>
      <c r="D853" s="25">
        <f>ItensPedido!D853</f>
        <v/>
      </c>
      <c r="E853" s="26">
        <f>ItensPedido!E853</f>
        <v/>
      </c>
      <c r="F853" s="25">
        <f>IFERROR(INDEX(Pedidos!$B$2:$B$1801,MATCH(B853,Pedidos!$A$2:$A$1801,0)),0)</f>
        <v/>
      </c>
      <c r="G853" s="25">
        <f>IF(F853=0,"",YEAR(F853))</f>
        <v/>
      </c>
      <c r="H853" s="25">
        <f>IF(F853=0,"",MONTH(F853))</f>
        <v/>
      </c>
      <c r="I853" s="25">
        <f>IFERROR(INDEX(Pedidos!$E$2:$E$1801,MATCH(B853,Pedidos!$A$2:$A$1801,0)),"")</f>
        <v/>
      </c>
      <c r="J853" s="25">
        <f>IFERROR(INDEX(Pedidos!$C$2:$C$1801,MATCH(B853,Pedidos!$A$2:$A$1801,0)),"")</f>
        <v/>
      </c>
      <c r="K853" s="25">
        <f>IFERROR(INDEX(Pedidos!$D$2:$D$1801,MATCH(B853,Pedidos!$A$2:$A$1801,0)),"")</f>
        <v/>
      </c>
      <c r="L853" s="25">
        <f>IFERROR(INDEX(Pedidos!$F$2:$F$1801,MATCH(B853,Pedidos!$A$2:$A$1801,0)),"")</f>
        <v/>
      </c>
      <c r="M853" s="26">
        <f>IFERROR(INDEX(Pedidos!$G$2:$G$1801,MATCH(B853,Pedidos!$A$2:$A$1801,0)),0)</f>
        <v/>
      </c>
      <c r="N853" s="25">
        <f>IFERROR(INDEX(Produtos!$B$2:$B$71,MATCH(C853,Produtos!$A$2:$A$71,0)),"")</f>
        <v/>
      </c>
      <c r="O853" s="25">
        <f>IFERROR(INDEX(Produtos!$C$2:$C$71,MATCH(C853,Produtos!$A$2:$A$71,0)),"")</f>
        <v/>
      </c>
      <c r="P853" s="25">
        <f>IFERROR(INDEX(Produtos!$D$2:$D$71,MATCH(C853,Produtos!$A$2:$A$71,0)),0)</f>
        <v/>
      </c>
      <c r="Q853" s="25">
        <f>IFERROR(INDEX(Produtos!$E$2:$E$71,MATCH(C853,Produtos!$A$2:$A$71,0)),0)</f>
        <v/>
      </c>
      <c r="R853" s="27">
        <f>D853*Q853</f>
        <v/>
      </c>
      <c r="S853" s="27">
        <f>R853*E853</f>
        <v/>
      </c>
      <c r="T853" s="27">
        <f>(R853-S853)*M853</f>
        <v/>
      </c>
      <c r="U853" s="27">
        <f>R853-S853-T853</f>
        <v/>
      </c>
      <c r="V853" s="27">
        <f>D853*P853</f>
        <v/>
      </c>
      <c r="W853" s="27">
        <f>U853-V853</f>
        <v/>
      </c>
      <c r="X853" s="28">
        <f>IFERROR(W853/U853,0)</f>
        <v/>
      </c>
    </row>
    <row r="854">
      <c r="A854" s="21">
        <f>ItensPedido!A854</f>
        <v/>
      </c>
      <c r="B854" s="21">
        <f>ItensPedido!B854</f>
        <v/>
      </c>
      <c r="C854" s="21">
        <f>ItensPedido!C854</f>
        <v/>
      </c>
      <c r="D854" s="21">
        <f>ItensPedido!D854</f>
        <v/>
      </c>
      <c r="E854" s="22">
        <f>ItensPedido!E854</f>
        <v/>
      </c>
      <c r="F854" s="21">
        <f>IFERROR(INDEX(Pedidos!$B$2:$B$1801,MATCH(B854,Pedidos!$A$2:$A$1801,0)),0)</f>
        <v/>
      </c>
      <c r="G854" s="21">
        <f>IF(F854=0,"",YEAR(F854))</f>
        <v/>
      </c>
      <c r="H854" s="21">
        <f>IF(F854=0,"",MONTH(F854))</f>
        <v/>
      </c>
      <c r="I854" s="21">
        <f>IFERROR(INDEX(Pedidos!$E$2:$E$1801,MATCH(B854,Pedidos!$A$2:$A$1801,0)),"")</f>
        <v/>
      </c>
      <c r="J854" s="21">
        <f>IFERROR(INDEX(Pedidos!$C$2:$C$1801,MATCH(B854,Pedidos!$A$2:$A$1801,0)),"")</f>
        <v/>
      </c>
      <c r="K854" s="21">
        <f>IFERROR(INDEX(Pedidos!$D$2:$D$1801,MATCH(B854,Pedidos!$A$2:$A$1801,0)),"")</f>
        <v/>
      </c>
      <c r="L854" s="21">
        <f>IFERROR(INDEX(Pedidos!$F$2:$F$1801,MATCH(B854,Pedidos!$A$2:$A$1801,0)),"")</f>
        <v/>
      </c>
      <c r="M854" s="22">
        <f>IFERROR(INDEX(Pedidos!$G$2:$G$1801,MATCH(B854,Pedidos!$A$2:$A$1801,0)),0)</f>
        <v/>
      </c>
      <c r="N854" s="21">
        <f>IFERROR(INDEX(Produtos!$B$2:$B$71,MATCH(C854,Produtos!$A$2:$A$71,0)),"")</f>
        <v/>
      </c>
      <c r="O854" s="21">
        <f>IFERROR(INDEX(Produtos!$C$2:$C$71,MATCH(C854,Produtos!$A$2:$A$71,0)),"")</f>
        <v/>
      </c>
      <c r="P854" s="21">
        <f>IFERROR(INDEX(Produtos!$D$2:$D$71,MATCH(C854,Produtos!$A$2:$A$71,0)),0)</f>
        <v/>
      </c>
      <c r="Q854" s="21">
        <f>IFERROR(INDEX(Produtos!$E$2:$E$71,MATCH(C854,Produtos!$A$2:$A$71,0)),0)</f>
        <v/>
      </c>
      <c r="R854" s="23">
        <f>D854*Q854</f>
        <v/>
      </c>
      <c r="S854" s="23">
        <f>R854*E854</f>
        <v/>
      </c>
      <c r="T854" s="23">
        <f>(R854-S854)*M854</f>
        <v/>
      </c>
      <c r="U854" s="23">
        <f>R854-S854-T854</f>
        <v/>
      </c>
      <c r="V854" s="23">
        <f>D854*P854</f>
        <v/>
      </c>
      <c r="W854" s="23">
        <f>U854-V854</f>
        <v/>
      </c>
      <c r="X854" s="24">
        <f>IFERROR(W854/U854,0)</f>
        <v/>
      </c>
    </row>
    <row r="855">
      <c r="A855" s="25">
        <f>ItensPedido!A855</f>
        <v/>
      </c>
      <c r="B855" s="25">
        <f>ItensPedido!B855</f>
        <v/>
      </c>
      <c r="C855" s="25">
        <f>ItensPedido!C855</f>
        <v/>
      </c>
      <c r="D855" s="25">
        <f>ItensPedido!D855</f>
        <v/>
      </c>
      <c r="E855" s="26">
        <f>ItensPedido!E855</f>
        <v/>
      </c>
      <c r="F855" s="25">
        <f>IFERROR(INDEX(Pedidos!$B$2:$B$1801,MATCH(B855,Pedidos!$A$2:$A$1801,0)),0)</f>
        <v/>
      </c>
      <c r="G855" s="25">
        <f>IF(F855=0,"",YEAR(F855))</f>
        <v/>
      </c>
      <c r="H855" s="25">
        <f>IF(F855=0,"",MONTH(F855))</f>
        <v/>
      </c>
      <c r="I855" s="25">
        <f>IFERROR(INDEX(Pedidos!$E$2:$E$1801,MATCH(B855,Pedidos!$A$2:$A$1801,0)),"")</f>
        <v/>
      </c>
      <c r="J855" s="25">
        <f>IFERROR(INDEX(Pedidos!$C$2:$C$1801,MATCH(B855,Pedidos!$A$2:$A$1801,0)),"")</f>
        <v/>
      </c>
      <c r="K855" s="25">
        <f>IFERROR(INDEX(Pedidos!$D$2:$D$1801,MATCH(B855,Pedidos!$A$2:$A$1801,0)),"")</f>
        <v/>
      </c>
      <c r="L855" s="25">
        <f>IFERROR(INDEX(Pedidos!$F$2:$F$1801,MATCH(B855,Pedidos!$A$2:$A$1801,0)),"")</f>
        <v/>
      </c>
      <c r="M855" s="26">
        <f>IFERROR(INDEX(Pedidos!$G$2:$G$1801,MATCH(B855,Pedidos!$A$2:$A$1801,0)),0)</f>
        <v/>
      </c>
      <c r="N855" s="25">
        <f>IFERROR(INDEX(Produtos!$B$2:$B$71,MATCH(C855,Produtos!$A$2:$A$71,0)),"")</f>
        <v/>
      </c>
      <c r="O855" s="25">
        <f>IFERROR(INDEX(Produtos!$C$2:$C$71,MATCH(C855,Produtos!$A$2:$A$71,0)),"")</f>
        <v/>
      </c>
      <c r="P855" s="25">
        <f>IFERROR(INDEX(Produtos!$D$2:$D$71,MATCH(C855,Produtos!$A$2:$A$71,0)),0)</f>
        <v/>
      </c>
      <c r="Q855" s="25">
        <f>IFERROR(INDEX(Produtos!$E$2:$E$71,MATCH(C855,Produtos!$A$2:$A$71,0)),0)</f>
        <v/>
      </c>
      <c r="R855" s="27">
        <f>D855*Q855</f>
        <v/>
      </c>
      <c r="S855" s="27">
        <f>R855*E855</f>
        <v/>
      </c>
      <c r="T855" s="27">
        <f>(R855-S855)*M855</f>
        <v/>
      </c>
      <c r="U855" s="27">
        <f>R855-S855-T855</f>
        <v/>
      </c>
      <c r="V855" s="27">
        <f>D855*P855</f>
        <v/>
      </c>
      <c r="W855" s="27">
        <f>U855-V855</f>
        <v/>
      </c>
      <c r="X855" s="28">
        <f>IFERROR(W855/U855,0)</f>
        <v/>
      </c>
    </row>
    <row r="856">
      <c r="A856" s="21">
        <f>ItensPedido!A856</f>
        <v/>
      </c>
      <c r="B856" s="21">
        <f>ItensPedido!B856</f>
        <v/>
      </c>
      <c r="C856" s="21">
        <f>ItensPedido!C856</f>
        <v/>
      </c>
      <c r="D856" s="21">
        <f>ItensPedido!D856</f>
        <v/>
      </c>
      <c r="E856" s="22">
        <f>ItensPedido!E856</f>
        <v/>
      </c>
      <c r="F856" s="21">
        <f>IFERROR(INDEX(Pedidos!$B$2:$B$1801,MATCH(B856,Pedidos!$A$2:$A$1801,0)),0)</f>
        <v/>
      </c>
      <c r="G856" s="21">
        <f>IF(F856=0,"",YEAR(F856))</f>
        <v/>
      </c>
      <c r="H856" s="21">
        <f>IF(F856=0,"",MONTH(F856))</f>
        <v/>
      </c>
      <c r="I856" s="21">
        <f>IFERROR(INDEX(Pedidos!$E$2:$E$1801,MATCH(B856,Pedidos!$A$2:$A$1801,0)),"")</f>
        <v/>
      </c>
      <c r="J856" s="21">
        <f>IFERROR(INDEX(Pedidos!$C$2:$C$1801,MATCH(B856,Pedidos!$A$2:$A$1801,0)),"")</f>
        <v/>
      </c>
      <c r="K856" s="21">
        <f>IFERROR(INDEX(Pedidos!$D$2:$D$1801,MATCH(B856,Pedidos!$A$2:$A$1801,0)),"")</f>
        <v/>
      </c>
      <c r="L856" s="21">
        <f>IFERROR(INDEX(Pedidos!$F$2:$F$1801,MATCH(B856,Pedidos!$A$2:$A$1801,0)),"")</f>
        <v/>
      </c>
      <c r="M856" s="22">
        <f>IFERROR(INDEX(Pedidos!$G$2:$G$1801,MATCH(B856,Pedidos!$A$2:$A$1801,0)),0)</f>
        <v/>
      </c>
      <c r="N856" s="21">
        <f>IFERROR(INDEX(Produtos!$B$2:$B$71,MATCH(C856,Produtos!$A$2:$A$71,0)),"")</f>
        <v/>
      </c>
      <c r="O856" s="21">
        <f>IFERROR(INDEX(Produtos!$C$2:$C$71,MATCH(C856,Produtos!$A$2:$A$71,0)),"")</f>
        <v/>
      </c>
      <c r="P856" s="21">
        <f>IFERROR(INDEX(Produtos!$D$2:$D$71,MATCH(C856,Produtos!$A$2:$A$71,0)),0)</f>
        <v/>
      </c>
      <c r="Q856" s="21">
        <f>IFERROR(INDEX(Produtos!$E$2:$E$71,MATCH(C856,Produtos!$A$2:$A$71,0)),0)</f>
        <v/>
      </c>
      <c r="R856" s="23">
        <f>D856*Q856</f>
        <v/>
      </c>
      <c r="S856" s="23">
        <f>R856*E856</f>
        <v/>
      </c>
      <c r="T856" s="23">
        <f>(R856-S856)*M856</f>
        <v/>
      </c>
      <c r="U856" s="23">
        <f>R856-S856-T856</f>
        <v/>
      </c>
      <c r="V856" s="23">
        <f>D856*P856</f>
        <v/>
      </c>
      <c r="W856" s="23">
        <f>U856-V856</f>
        <v/>
      </c>
      <c r="X856" s="24">
        <f>IFERROR(W856/U856,0)</f>
        <v/>
      </c>
    </row>
    <row r="857">
      <c r="A857" s="25">
        <f>ItensPedido!A857</f>
        <v/>
      </c>
      <c r="B857" s="25">
        <f>ItensPedido!B857</f>
        <v/>
      </c>
      <c r="C857" s="25">
        <f>ItensPedido!C857</f>
        <v/>
      </c>
      <c r="D857" s="25">
        <f>ItensPedido!D857</f>
        <v/>
      </c>
      <c r="E857" s="26">
        <f>ItensPedido!E857</f>
        <v/>
      </c>
      <c r="F857" s="25">
        <f>IFERROR(INDEX(Pedidos!$B$2:$B$1801,MATCH(B857,Pedidos!$A$2:$A$1801,0)),0)</f>
        <v/>
      </c>
      <c r="G857" s="25">
        <f>IF(F857=0,"",YEAR(F857))</f>
        <v/>
      </c>
      <c r="H857" s="25">
        <f>IF(F857=0,"",MONTH(F857))</f>
        <v/>
      </c>
      <c r="I857" s="25">
        <f>IFERROR(INDEX(Pedidos!$E$2:$E$1801,MATCH(B857,Pedidos!$A$2:$A$1801,0)),"")</f>
        <v/>
      </c>
      <c r="J857" s="25">
        <f>IFERROR(INDEX(Pedidos!$C$2:$C$1801,MATCH(B857,Pedidos!$A$2:$A$1801,0)),"")</f>
        <v/>
      </c>
      <c r="K857" s="25">
        <f>IFERROR(INDEX(Pedidos!$D$2:$D$1801,MATCH(B857,Pedidos!$A$2:$A$1801,0)),"")</f>
        <v/>
      </c>
      <c r="L857" s="25">
        <f>IFERROR(INDEX(Pedidos!$F$2:$F$1801,MATCH(B857,Pedidos!$A$2:$A$1801,0)),"")</f>
        <v/>
      </c>
      <c r="M857" s="26">
        <f>IFERROR(INDEX(Pedidos!$G$2:$G$1801,MATCH(B857,Pedidos!$A$2:$A$1801,0)),0)</f>
        <v/>
      </c>
      <c r="N857" s="25">
        <f>IFERROR(INDEX(Produtos!$B$2:$B$71,MATCH(C857,Produtos!$A$2:$A$71,0)),"")</f>
        <v/>
      </c>
      <c r="O857" s="25">
        <f>IFERROR(INDEX(Produtos!$C$2:$C$71,MATCH(C857,Produtos!$A$2:$A$71,0)),"")</f>
        <v/>
      </c>
      <c r="P857" s="25">
        <f>IFERROR(INDEX(Produtos!$D$2:$D$71,MATCH(C857,Produtos!$A$2:$A$71,0)),0)</f>
        <v/>
      </c>
      <c r="Q857" s="25">
        <f>IFERROR(INDEX(Produtos!$E$2:$E$71,MATCH(C857,Produtos!$A$2:$A$71,0)),0)</f>
        <v/>
      </c>
      <c r="R857" s="27">
        <f>D857*Q857</f>
        <v/>
      </c>
      <c r="S857" s="27">
        <f>R857*E857</f>
        <v/>
      </c>
      <c r="T857" s="27">
        <f>(R857-S857)*M857</f>
        <v/>
      </c>
      <c r="U857" s="27">
        <f>R857-S857-T857</f>
        <v/>
      </c>
      <c r="V857" s="27">
        <f>D857*P857</f>
        <v/>
      </c>
      <c r="W857" s="27">
        <f>U857-V857</f>
        <v/>
      </c>
      <c r="X857" s="28">
        <f>IFERROR(W857/U857,0)</f>
        <v/>
      </c>
    </row>
    <row r="858">
      <c r="A858" s="21">
        <f>ItensPedido!A858</f>
        <v/>
      </c>
      <c r="B858" s="21">
        <f>ItensPedido!B858</f>
        <v/>
      </c>
      <c r="C858" s="21">
        <f>ItensPedido!C858</f>
        <v/>
      </c>
      <c r="D858" s="21">
        <f>ItensPedido!D858</f>
        <v/>
      </c>
      <c r="E858" s="22">
        <f>ItensPedido!E858</f>
        <v/>
      </c>
      <c r="F858" s="21">
        <f>IFERROR(INDEX(Pedidos!$B$2:$B$1801,MATCH(B858,Pedidos!$A$2:$A$1801,0)),0)</f>
        <v/>
      </c>
      <c r="G858" s="21">
        <f>IF(F858=0,"",YEAR(F858))</f>
        <v/>
      </c>
      <c r="H858" s="21">
        <f>IF(F858=0,"",MONTH(F858))</f>
        <v/>
      </c>
      <c r="I858" s="21">
        <f>IFERROR(INDEX(Pedidos!$E$2:$E$1801,MATCH(B858,Pedidos!$A$2:$A$1801,0)),"")</f>
        <v/>
      </c>
      <c r="J858" s="21">
        <f>IFERROR(INDEX(Pedidos!$C$2:$C$1801,MATCH(B858,Pedidos!$A$2:$A$1801,0)),"")</f>
        <v/>
      </c>
      <c r="K858" s="21">
        <f>IFERROR(INDEX(Pedidos!$D$2:$D$1801,MATCH(B858,Pedidos!$A$2:$A$1801,0)),"")</f>
        <v/>
      </c>
      <c r="L858" s="21">
        <f>IFERROR(INDEX(Pedidos!$F$2:$F$1801,MATCH(B858,Pedidos!$A$2:$A$1801,0)),"")</f>
        <v/>
      </c>
      <c r="M858" s="22">
        <f>IFERROR(INDEX(Pedidos!$G$2:$G$1801,MATCH(B858,Pedidos!$A$2:$A$1801,0)),0)</f>
        <v/>
      </c>
      <c r="N858" s="21">
        <f>IFERROR(INDEX(Produtos!$B$2:$B$71,MATCH(C858,Produtos!$A$2:$A$71,0)),"")</f>
        <v/>
      </c>
      <c r="O858" s="21">
        <f>IFERROR(INDEX(Produtos!$C$2:$C$71,MATCH(C858,Produtos!$A$2:$A$71,0)),"")</f>
        <v/>
      </c>
      <c r="P858" s="21">
        <f>IFERROR(INDEX(Produtos!$D$2:$D$71,MATCH(C858,Produtos!$A$2:$A$71,0)),0)</f>
        <v/>
      </c>
      <c r="Q858" s="21">
        <f>IFERROR(INDEX(Produtos!$E$2:$E$71,MATCH(C858,Produtos!$A$2:$A$71,0)),0)</f>
        <v/>
      </c>
      <c r="R858" s="23">
        <f>D858*Q858</f>
        <v/>
      </c>
      <c r="S858" s="23">
        <f>R858*E858</f>
        <v/>
      </c>
      <c r="T858" s="23">
        <f>(R858-S858)*M858</f>
        <v/>
      </c>
      <c r="U858" s="23">
        <f>R858-S858-T858</f>
        <v/>
      </c>
      <c r="V858" s="23">
        <f>D858*P858</f>
        <v/>
      </c>
      <c r="W858" s="23">
        <f>U858-V858</f>
        <v/>
      </c>
      <c r="X858" s="24">
        <f>IFERROR(W858/U858,0)</f>
        <v/>
      </c>
    </row>
    <row r="859">
      <c r="A859" s="25">
        <f>ItensPedido!A859</f>
        <v/>
      </c>
      <c r="B859" s="25">
        <f>ItensPedido!B859</f>
        <v/>
      </c>
      <c r="C859" s="25">
        <f>ItensPedido!C859</f>
        <v/>
      </c>
      <c r="D859" s="25">
        <f>ItensPedido!D859</f>
        <v/>
      </c>
      <c r="E859" s="26">
        <f>ItensPedido!E859</f>
        <v/>
      </c>
      <c r="F859" s="25">
        <f>IFERROR(INDEX(Pedidos!$B$2:$B$1801,MATCH(B859,Pedidos!$A$2:$A$1801,0)),0)</f>
        <v/>
      </c>
      <c r="G859" s="25">
        <f>IF(F859=0,"",YEAR(F859))</f>
        <v/>
      </c>
      <c r="H859" s="25">
        <f>IF(F859=0,"",MONTH(F859))</f>
        <v/>
      </c>
      <c r="I859" s="25">
        <f>IFERROR(INDEX(Pedidos!$E$2:$E$1801,MATCH(B859,Pedidos!$A$2:$A$1801,0)),"")</f>
        <v/>
      </c>
      <c r="J859" s="25">
        <f>IFERROR(INDEX(Pedidos!$C$2:$C$1801,MATCH(B859,Pedidos!$A$2:$A$1801,0)),"")</f>
        <v/>
      </c>
      <c r="K859" s="25">
        <f>IFERROR(INDEX(Pedidos!$D$2:$D$1801,MATCH(B859,Pedidos!$A$2:$A$1801,0)),"")</f>
        <v/>
      </c>
      <c r="L859" s="25">
        <f>IFERROR(INDEX(Pedidos!$F$2:$F$1801,MATCH(B859,Pedidos!$A$2:$A$1801,0)),"")</f>
        <v/>
      </c>
      <c r="M859" s="26">
        <f>IFERROR(INDEX(Pedidos!$G$2:$G$1801,MATCH(B859,Pedidos!$A$2:$A$1801,0)),0)</f>
        <v/>
      </c>
      <c r="N859" s="25">
        <f>IFERROR(INDEX(Produtos!$B$2:$B$71,MATCH(C859,Produtos!$A$2:$A$71,0)),"")</f>
        <v/>
      </c>
      <c r="O859" s="25">
        <f>IFERROR(INDEX(Produtos!$C$2:$C$71,MATCH(C859,Produtos!$A$2:$A$71,0)),"")</f>
        <v/>
      </c>
      <c r="P859" s="25">
        <f>IFERROR(INDEX(Produtos!$D$2:$D$71,MATCH(C859,Produtos!$A$2:$A$71,0)),0)</f>
        <v/>
      </c>
      <c r="Q859" s="25">
        <f>IFERROR(INDEX(Produtos!$E$2:$E$71,MATCH(C859,Produtos!$A$2:$A$71,0)),0)</f>
        <v/>
      </c>
      <c r="R859" s="27">
        <f>D859*Q859</f>
        <v/>
      </c>
      <c r="S859" s="27">
        <f>R859*E859</f>
        <v/>
      </c>
      <c r="T859" s="27">
        <f>(R859-S859)*M859</f>
        <v/>
      </c>
      <c r="U859" s="27">
        <f>R859-S859-T859</f>
        <v/>
      </c>
      <c r="V859" s="27">
        <f>D859*P859</f>
        <v/>
      </c>
      <c r="W859" s="27">
        <f>U859-V859</f>
        <v/>
      </c>
      <c r="X859" s="28">
        <f>IFERROR(W859/U859,0)</f>
        <v/>
      </c>
    </row>
    <row r="860">
      <c r="A860" s="21">
        <f>ItensPedido!A860</f>
        <v/>
      </c>
      <c r="B860" s="21">
        <f>ItensPedido!B860</f>
        <v/>
      </c>
      <c r="C860" s="21">
        <f>ItensPedido!C860</f>
        <v/>
      </c>
      <c r="D860" s="21">
        <f>ItensPedido!D860</f>
        <v/>
      </c>
      <c r="E860" s="22">
        <f>ItensPedido!E860</f>
        <v/>
      </c>
      <c r="F860" s="21">
        <f>IFERROR(INDEX(Pedidos!$B$2:$B$1801,MATCH(B860,Pedidos!$A$2:$A$1801,0)),0)</f>
        <v/>
      </c>
      <c r="G860" s="21">
        <f>IF(F860=0,"",YEAR(F860))</f>
        <v/>
      </c>
      <c r="H860" s="21">
        <f>IF(F860=0,"",MONTH(F860))</f>
        <v/>
      </c>
      <c r="I860" s="21">
        <f>IFERROR(INDEX(Pedidos!$E$2:$E$1801,MATCH(B860,Pedidos!$A$2:$A$1801,0)),"")</f>
        <v/>
      </c>
      <c r="J860" s="21">
        <f>IFERROR(INDEX(Pedidos!$C$2:$C$1801,MATCH(B860,Pedidos!$A$2:$A$1801,0)),"")</f>
        <v/>
      </c>
      <c r="K860" s="21">
        <f>IFERROR(INDEX(Pedidos!$D$2:$D$1801,MATCH(B860,Pedidos!$A$2:$A$1801,0)),"")</f>
        <v/>
      </c>
      <c r="L860" s="21">
        <f>IFERROR(INDEX(Pedidos!$F$2:$F$1801,MATCH(B860,Pedidos!$A$2:$A$1801,0)),"")</f>
        <v/>
      </c>
      <c r="M860" s="22">
        <f>IFERROR(INDEX(Pedidos!$G$2:$G$1801,MATCH(B860,Pedidos!$A$2:$A$1801,0)),0)</f>
        <v/>
      </c>
      <c r="N860" s="21">
        <f>IFERROR(INDEX(Produtos!$B$2:$B$71,MATCH(C860,Produtos!$A$2:$A$71,0)),"")</f>
        <v/>
      </c>
      <c r="O860" s="21">
        <f>IFERROR(INDEX(Produtos!$C$2:$C$71,MATCH(C860,Produtos!$A$2:$A$71,0)),"")</f>
        <v/>
      </c>
      <c r="P860" s="21">
        <f>IFERROR(INDEX(Produtos!$D$2:$D$71,MATCH(C860,Produtos!$A$2:$A$71,0)),0)</f>
        <v/>
      </c>
      <c r="Q860" s="21">
        <f>IFERROR(INDEX(Produtos!$E$2:$E$71,MATCH(C860,Produtos!$A$2:$A$71,0)),0)</f>
        <v/>
      </c>
      <c r="R860" s="23">
        <f>D860*Q860</f>
        <v/>
      </c>
      <c r="S860" s="23">
        <f>R860*E860</f>
        <v/>
      </c>
      <c r="T860" s="23">
        <f>(R860-S860)*M860</f>
        <v/>
      </c>
      <c r="U860" s="23">
        <f>R860-S860-T860</f>
        <v/>
      </c>
      <c r="V860" s="23">
        <f>D860*P860</f>
        <v/>
      </c>
      <c r="W860" s="23">
        <f>U860-V860</f>
        <v/>
      </c>
      <c r="X860" s="24">
        <f>IFERROR(W860/U860,0)</f>
        <v/>
      </c>
    </row>
    <row r="861">
      <c r="A861" s="25">
        <f>ItensPedido!A861</f>
        <v/>
      </c>
      <c r="B861" s="25">
        <f>ItensPedido!B861</f>
        <v/>
      </c>
      <c r="C861" s="25">
        <f>ItensPedido!C861</f>
        <v/>
      </c>
      <c r="D861" s="25">
        <f>ItensPedido!D861</f>
        <v/>
      </c>
      <c r="E861" s="26">
        <f>ItensPedido!E861</f>
        <v/>
      </c>
      <c r="F861" s="25">
        <f>IFERROR(INDEX(Pedidos!$B$2:$B$1801,MATCH(B861,Pedidos!$A$2:$A$1801,0)),0)</f>
        <v/>
      </c>
      <c r="G861" s="25">
        <f>IF(F861=0,"",YEAR(F861))</f>
        <v/>
      </c>
      <c r="H861" s="25">
        <f>IF(F861=0,"",MONTH(F861))</f>
        <v/>
      </c>
      <c r="I861" s="25">
        <f>IFERROR(INDEX(Pedidos!$E$2:$E$1801,MATCH(B861,Pedidos!$A$2:$A$1801,0)),"")</f>
        <v/>
      </c>
      <c r="J861" s="25">
        <f>IFERROR(INDEX(Pedidos!$C$2:$C$1801,MATCH(B861,Pedidos!$A$2:$A$1801,0)),"")</f>
        <v/>
      </c>
      <c r="K861" s="25">
        <f>IFERROR(INDEX(Pedidos!$D$2:$D$1801,MATCH(B861,Pedidos!$A$2:$A$1801,0)),"")</f>
        <v/>
      </c>
      <c r="L861" s="25">
        <f>IFERROR(INDEX(Pedidos!$F$2:$F$1801,MATCH(B861,Pedidos!$A$2:$A$1801,0)),"")</f>
        <v/>
      </c>
      <c r="M861" s="26">
        <f>IFERROR(INDEX(Pedidos!$G$2:$G$1801,MATCH(B861,Pedidos!$A$2:$A$1801,0)),0)</f>
        <v/>
      </c>
      <c r="N861" s="25">
        <f>IFERROR(INDEX(Produtos!$B$2:$B$71,MATCH(C861,Produtos!$A$2:$A$71,0)),"")</f>
        <v/>
      </c>
      <c r="O861" s="25">
        <f>IFERROR(INDEX(Produtos!$C$2:$C$71,MATCH(C861,Produtos!$A$2:$A$71,0)),"")</f>
        <v/>
      </c>
      <c r="P861" s="25">
        <f>IFERROR(INDEX(Produtos!$D$2:$D$71,MATCH(C861,Produtos!$A$2:$A$71,0)),0)</f>
        <v/>
      </c>
      <c r="Q861" s="25">
        <f>IFERROR(INDEX(Produtos!$E$2:$E$71,MATCH(C861,Produtos!$A$2:$A$71,0)),0)</f>
        <v/>
      </c>
      <c r="R861" s="27">
        <f>D861*Q861</f>
        <v/>
      </c>
      <c r="S861" s="27">
        <f>R861*E861</f>
        <v/>
      </c>
      <c r="T861" s="27">
        <f>(R861-S861)*M861</f>
        <v/>
      </c>
      <c r="U861" s="27">
        <f>R861-S861-T861</f>
        <v/>
      </c>
      <c r="V861" s="27">
        <f>D861*P861</f>
        <v/>
      </c>
      <c r="W861" s="27">
        <f>U861-V861</f>
        <v/>
      </c>
      <c r="X861" s="28">
        <f>IFERROR(W861/U861,0)</f>
        <v/>
      </c>
    </row>
    <row r="862">
      <c r="A862" s="21">
        <f>ItensPedido!A862</f>
        <v/>
      </c>
      <c r="B862" s="21">
        <f>ItensPedido!B862</f>
        <v/>
      </c>
      <c r="C862" s="21">
        <f>ItensPedido!C862</f>
        <v/>
      </c>
      <c r="D862" s="21">
        <f>ItensPedido!D862</f>
        <v/>
      </c>
      <c r="E862" s="22">
        <f>ItensPedido!E862</f>
        <v/>
      </c>
      <c r="F862" s="21">
        <f>IFERROR(INDEX(Pedidos!$B$2:$B$1801,MATCH(B862,Pedidos!$A$2:$A$1801,0)),0)</f>
        <v/>
      </c>
      <c r="G862" s="21">
        <f>IF(F862=0,"",YEAR(F862))</f>
        <v/>
      </c>
      <c r="H862" s="21">
        <f>IF(F862=0,"",MONTH(F862))</f>
        <v/>
      </c>
      <c r="I862" s="21">
        <f>IFERROR(INDEX(Pedidos!$E$2:$E$1801,MATCH(B862,Pedidos!$A$2:$A$1801,0)),"")</f>
        <v/>
      </c>
      <c r="J862" s="21">
        <f>IFERROR(INDEX(Pedidos!$C$2:$C$1801,MATCH(B862,Pedidos!$A$2:$A$1801,0)),"")</f>
        <v/>
      </c>
      <c r="K862" s="21">
        <f>IFERROR(INDEX(Pedidos!$D$2:$D$1801,MATCH(B862,Pedidos!$A$2:$A$1801,0)),"")</f>
        <v/>
      </c>
      <c r="L862" s="21">
        <f>IFERROR(INDEX(Pedidos!$F$2:$F$1801,MATCH(B862,Pedidos!$A$2:$A$1801,0)),"")</f>
        <v/>
      </c>
      <c r="M862" s="22">
        <f>IFERROR(INDEX(Pedidos!$G$2:$G$1801,MATCH(B862,Pedidos!$A$2:$A$1801,0)),0)</f>
        <v/>
      </c>
      <c r="N862" s="21">
        <f>IFERROR(INDEX(Produtos!$B$2:$B$71,MATCH(C862,Produtos!$A$2:$A$71,0)),"")</f>
        <v/>
      </c>
      <c r="O862" s="21">
        <f>IFERROR(INDEX(Produtos!$C$2:$C$71,MATCH(C862,Produtos!$A$2:$A$71,0)),"")</f>
        <v/>
      </c>
      <c r="P862" s="21">
        <f>IFERROR(INDEX(Produtos!$D$2:$D$71,MATCH(C862,Produtos!$A$2:$A$71,0)),0)</f>
        <v/>
      </c>
      <c r="Q862" s="21">
        <f>IFERROR(INDEX(Produtos!$E$2:$E$71,MATCH(C862,Produtos!$A$2:$A$71,0)),0)</f>
        <v/>
      </c>
      <c r="R862" s="23">
        <f>D862*Q862</f>
        <v/>
      </c>
      <c r="S862" s="23">
        <f>R862*E862</f>
        <v/>
      </c>
      <c r="T862" s="23">
        <f>(R862-S862)*M862</f>
        <v/>
      </c>
      <c r="U862" s="23">
        <f>R862-S862-T862</f>
        <v/>
      </c>
      <c r="V862" s="23">
        <f>D862*P862</f>
        <v/>
      </c>
      <c r="W862" s="23">
        <f>U862-V862</f>
        <v/>
      </c>
      <c r="X862" s="24">
        <f>IFERROR(W862/U862,0)</f>
        <v/>
      </c>
    </row>
    <row r="863">
      <c r="A863" s="25">
        <f>ItensPedido!A863</f>
        <v/>
      </c>
      <c r="B863" s="25">
        <f>ItensPedido!B863</f>
        <v/>
      </c>
      <c r="C863" s="25">
        <f>ItensPedido!C863</f>
        <v/>
      </c>
      <c r="D863" s="25">
        <f>ItensPedido!D863</f>
        <v/>
      </c>
      <c r="E863" s="26">
        <f>ItensPedido!E863</f>
        <v/>
      </c>
      <c r="F863" s="25">
        <f>IFERROR(INDEX(Pedidos!$B$2:$B$1801,MATCH(B863,Pedidos!$A$2:$A$1801,0)),0)</f>
        <v/>
      </c>
      <c r="G863" s="25">
        <f>IF(F863=0,"",YEAR(F863))</f>
        <v/>
      </c>
      <c r="H863" s="25">
        <f>IF(F863=0,"",MONTH(F863))</f>
        <v/>
      </c>
      <c r="I863" s="25">
        <f>IFERROR(INDEX(Pedidos!$E$2:$E$1801,MATCH(B863,Pedidos!$A$2:$A$1801,0)),"")</f>
        <v/>
      </c>
      <c r="J863" s="25">
        <f>IFERROR(INDEX(Pedidos!$C$2:$C$1801,MATCH(B863,Pedidos!$A$2:$A$1801,0)),"")</f>
        <v/>
      </c>
      <c r="K863" s="25">
        <f>IFERROR(INDEX(Pedidos!$D$2:$D$1801,MATCH(B863,Pedidos!$A$2:$A$1801,0)),"")</f>
        <v/>
      </c>
      <c r="L863" s="25">
        <f>IFERROR(INDEX(Pedidos!$F$2:$F$1801,MATCH(B863,Pedidos!$A$2:$A$1801,0)),"")</f>
        <v/>
      </c>
      <c r="M863" s="26">
        <f>IFERROR(INDEX(Pedidos!$G$2:$G$1801,MATCH(B863,Pedidos!$A$2:$A$1801,0)),0)</f>
        <v/>
      </c>
      <c r="N863" s="25">
        <f>IFERROR(INDEX(Produtos!$B$2:$B$71,MATCH(C863,Produtos!$A$2:$A$71,0)),"")</f>
        <v/>
      </c>
      <c r="O863" s="25">
        <f>IFERROR(INDEX(Produtos!$C$2:$C$71,MATCH(C863,Produtos!$A$2:$A$71,0)),"")</f>
        <v/>
      </c>
      <c r="P863" s="25">
        <f>IFERROR(INDEX(Produtos!$D$2:$D$71,MATCH(C863,Produtos!$A$2:$A$71,0)),0)</f>
        <v/>
      </c>
      <c r="Q863" s="25">
        <f>IFERROR(INDEX(Produtos!$E$2:$E$71,MATCH(C863,Produtos!$A$2:$A$71,0)),0)</f>
        <v/>
      </c>
      <c r="R863" s="27">
        <f>D863*Q863</f>
        <v/>
      </c>
      <c r="S863" s="27">
        <f>R863*E863</f>
        <v/>
      </c>
      <c r="T863" s="27">
        <f>(R863-S863)*M863</f>
        <v/>
      </c>
      <c r="U863" s="27">
        <f>R863-S863-T863</f>
        <v/>
      </c>
      <c r="V863" s="27">
        <f>D863*P863</f>
        <v/>
      </c>
      <c r="W863" s="27">
        <f>U863-V863</f>
        <v/>
      </c>
      <c r="X863" s="28">
        <f>IFERROR(W863/U863,0)</f>
        <v/>
      </c>
    </row>
    <row r="864">
      <c r="A864" s="21">
        <f>ItensPedido!A864</f>
        <v/>
      </c>
      <c r="B864" s="21">
        <f>ItensPedido!B864</f>
        <v/>
      </c>
      <c r="C864" s="21">
        <f>ItensPedido!C864</f>
        <v/>
      </c>
      <c r="D864" s="21">
        <f>ItensPedido!D864</f>
        <v/>
      </c>
      <c r="E864" s="22">
        <f>ItensPedido!E864</f>
        <v/>
      </c>
      <c r="F864" s="21">
        <f>IFERROR(INDEX(Pedidos!$B$2:$B$1801,MATCH(B864,Pedidos!$A$2:$A$1801,0)),0)</f>
        <v/>
      </c>
      <c r="G864" s="21">
        <f>IF(F864=0,"",YEAR(F864))</f>
        <v/>
      </c>
      <c r="H864" s="21">
        <f>IF(F864=0,"",MONTH(F864))</f>
        <v/>
      </c>
      <c r="I864" s="21">
        <f>IFERROR(INDEX(Pedidos!$E$2:$E$1801,MATCH(B864,Pedidos!$A$2:$A$1801,0)),"")</f>
        <v/>
      </c>
      <c r="J864" s="21">
        <f>IFERROR(INDEX(Pedidos!$C$2:$C$1801,MATCH(B864,Pedidos!$A$2:$A$1801,0)),"")</f>
        <v/>
      </c>
      <c r="K864" s="21">
        <f>IFERROR(INDEX(Pedidos!$D$2:$D$1801,MATCH(B864,Pedidos!$A$2:$A$1801,0)),"")</f>
        <v/>
      </c>
      <c r="L864" s="21">
        <f>IFERROR(INDEX(Pedidos!$F$2:$F$1801,MATCH(B864,Pedidos!$A$2:$A$1801,0)),"")</f>
        <v/>
      </c>
      <c r="M864" s="22">
        <f>IFERROR(INDEX(Pedidos!$G$2:$G$1801,MATCH(B864,Pedidos!$A$2:$A$1801,0)),0)</f>
        <v/>
      </c>
      <c r="N864" s="21">
        <f>IFERROR(INDEX(Produtos!$B$2:$B$71,MATCH(C864,Produtos!$A$2:$A$71,0)),"")</f>
        <v/>
      </c>
      <c r="O864" s="21">
        <f>IFERROR(INDEX(Produtos!$C$2:$C$71,MATCH(C864,Produtos!$A$2:$A$71,0)),"")</f>
        <v/>
      </c>
      <c r="P864" s="21">
        <f>IFERROR(INDEX(Produtos!$D$2:$D$71,MATCH(C864,Produtos!$A$2:$A$71,0)),0)</f>
        <v/>
      </c>
      <c r="Q864" s="21">
        <f>IFERROR(INDEX(Produtos!$E$2:$E$71,MATCH(C864,Produtos!$A$2:$A$71,0)),0)</f>
        <v/>
      </c>
      <c r="R864" s="23">
        <f>D864*Q864</f>
        <v/>
      </c>
      <c r="S864" s="23">
        <f>R864*E864</f>
        <v/>
      </c>
      <c r="T864" s="23">
        <f>(R864-S864)*M864</f>
        <v/>
      </c>
      <c r="U864" s="23">
        <f>R864-S864-T864</f>
        <v/>
      </c>
      <c r="V864" s="23">
        <f>D864*P864</f>
        <v/>
      </c>
      <c r="W864" s="23">
        <f>U864-V864</f>
        <v/>
      </c>
      <c r="X864" s="24">
        <f>IFERROR(W864/U864,0)</f>
        <v/>
      </c>
    </row>
    <row r="865">
      <c r="A865" s="25">
        <f>ItensPedido!A865</f>
        <v/>
      </c>
      <c r="B865" s="25">
        <f>ItensPedido!B865</f>
        <v/>
      </c>
      <c r="C865" s="25">
        <f>ItensPedido!C865</f>
        <v/>
      </c>
      <c r="D865" s="25">
        <f>ItensPedido!D865</f>
        <v/>
      </c>
      <c r="E865" s="26">
        <f>ItensPedido!E865</f>
        <v/>
      </c>
      <c r="F865" s="25">
        <f>IFERROR(INDEX(Pedidos!$B$2:$B$1801,MATCH(B865,Pedidos!$A$2:$A$1801,0)),0)</f>
        <v/>
      </c>
      <c r="G865" s="25">
        <f>IF(F865=0,"",YEAR(F865))</f>
        <v/>
      </c>
      <c r="H865" s="25">
        <f>IF(F865=0,"",MONTH(F865))</f>
        <v/>
      </c>
      <c r="I865" s="25">
        <f>IFERROR(INDEX(Pedidos!$E$2:$E$1801,MATCH(B865,Pedidos!$A$2:$A$1801,0)),"")</f>
        <v/>
      </c>
      <c r="J865" s="25">
        <f>IFERROR(INDEX(Pedidos!$C$2:$C$1801,MATCH(B865,Pedidos!$A$2:$A$1801,0)),"")</f>
        <v/>
      </c>
      <c r="K865" s="25">
        <f>IFERROR(INDEX(Pedidos!$D$2:$D$1801,MATCH(B865,Pedidos!$A$2:$A$1801,0)),"")</f>
        <v/>
      </c>
      <c r="L865" s="25">
        <f>IFERROR(INDEX(Pedidos!$F$2:$F$1801,MATCH(B865,Pedidos!$A$2:$A$1801,0)),"")</f>
        <v/>
      </c>
      <c r="M865" s="26">
        <f>IFERROR(INDEX(Pedidos!$G$2:$G$1801,MATCH(B865,Pedidos!$A$2:$A$1801,0)),0)</f>
        <v/>
      </c>
      <c r="N865" s="25">
        <f>IFERROR(INDEX(Produtos!$B$2:$B$71,MATCH(C865,Produtos!$A$2:$A$71,0)),"")</f>
        <v/>
      </c>
      <c r="O865" s="25">
        <f>IFERROR(INDEX(Produtos!$C$2:$C$71,MATCH(C865,Produtos!$A$2:$A$71,0)),"")</f>
        <v/>
      </c>
      <c r="P865" s="25">
        <f>IFERROR(INDEX(Produtos!$D$2:$D$71,MATCH(C865,Produtos!$A$2:$A$71,0)),0)</f>
        <v/>
      </c>
      <c r="Q865" s="25">
        <f>IFERROR(INDEX(Produtos!$E$2:$E$71,MATCH(C865,Produtos!$A$2:$A$71,0)),0)</f>
        <v/>
      </c>
      <c r="R865" s="27">
        <f>D865*Q865</f>
        <v/>
      </c>
      <c r="S865" s="27">
        <f>R865*E865</f>
        <v/>
      </c>
      <c r="T865" s="27">
        <f>(R865-S865)*M865</f>
        <v/>
      </c>
      <c r="U865" s="27">
        <f>R865-S865-T865</f>
        <v/>
      </c>
      <c r="V865" s="27">
        <f>D865*P865</f>
        <v/>
      </c>
      <c r="W865" s="27">
        <f>U865-V865</f>
        <v/>
      </c>
      <c r="X865" s="28">
        <f>IFERROR(W865/U865,0)</f>
        <v/>
      </c>
    </row>
    <row r="866">
      <c r="A866" s="21">
        <f>ItensPedido!A866</f>
        <v/>
      </c>
      <c r="B866" s="21">
        <f>ItensPedido!B866</f>
        <v/>
      </c>
      <c r="C866" s="21">
        <f>ItensPedido!C866</f>
        <v/>
      </c>
      <c r="D866" s="21">
        <f>ItensPedido!D866</f>
        <v/>
      </c>
      <c r="E866" s="22">
        <f>ItensPedido!E866</f>
        <v/>
      </c>
      <c r="F866" s="21">
        <f>IFERROR(INDEX(Pedidos!$B$2:$B$1801,MATCH(B866,Pedidos!$A$2:$A$1801,0)),0)</f>
        <v/>
      </c>
      <c r="G866" s="21">
        <f>IF(F866=0,"",YEAR(F866))</f>
        <v/>
      </c>
      <c r="H866" s="21">
        <f>IF(F866=0,"",MONTH(F866))</f>
        <v/>
      </c>
      <c r="I866" s="21">
        <f>IFERROR(INDEX(Pedidos!$E$2:$E$1801,MATCH(B866,Pedidos!$A$2:$A$1801,0)),"")</f>
        <v/>
      </c>
      <c r="J866" s="21">
        <f>IFERROR(INDEX(Pedidos!$C$2:$C$1801,MATCH(B866,Pedidos!$A$2:$A$1801,0)),"")</f>
        <v/>
      </c>
      <c r="K866" s="21">
        <f>IFERROR(INDEX(Pedidos!$D$2:$D$1801,MATCH(B866,Pedidos!$A$2:$A$1801,0)),"")</f>
        <v/>
      </c>
      <c r="L866" s="21">
        <f>IFERROR(INDEX(Pedidos!$F$2:$F$1801,MATCH(B866,Pedidos!$A$2:$A$1801,0)),"")</f>
        <v/>
      </c>
      <c r="M866" s="22">
        <f>IFERROR(INDEX(Pedidos!$G$2:$G$1801,MATCH(B866,Pedidos!$A$2:$A$1801,0)),0)</f>
        <v/>
      </c>
      <c r="N866" s="21">
        <f>IFERROR(INDEX(Produtos!$B$2:$B$71,MATCH(C866,Produtos!$A$2:$A$71,0)),"")</f>
        <v/>
      </c>
      <c r="O866" s="21">
        <f>IFERROR(INDEX(Produtos!$C$2:$C$71,MATCH(C866,Produtos!$A$2:$A$71,0)),"")</f>
        <v/>
      </c>
      <c r="P866" s="21">
        <f>IFERROR(INDEX(Produtos!$D$2:$D$71,MATCH(C866,Produtos!$A$2:$A$71,0)),0)</f>
        <v/>
      </c>
      <c r="Q866" s="21">
        <f>IFERROR(INDEX(Produtos!$E$2:$E$71,MATCH(C866,Produtos!$A$2:$A$71,0)),0)</f>
        <v/>
      </c>
      <c r="R866" s="23">
        <f>D866*Q866</f>
        <v/>
      </c>
      <c r="S866" s="23">
        <f>R866*E866</f>
        <v/>
      </c>
      <c r="T866" s="23">
        <f>(R866-S866)*M866</f>
        <v/>
      </c>
      <c r="U866" s="23">
        <f>R866-S866-T866</f>
        <v/>
      </c>
      <c r="V866" s="23">
        <f>D866*P866</f>
        <v/>
      </c>
      <c r="W866" s="23">
        <f>U866-V866</f>
        <v/>
      </c>
      <c r="X866" s="24">
        <f>IFERROR(W866/U866,0)</f>
        <v/>
      </c>
    </row>
    <row r="867">
      <c r="A867" s="25">
        <f>ItensPedido!A867</f>
        <v/>
      </c>
      <c r="B867" s="25">
        <f>ItensPedido!B867</f>
        <v/>
      </c>
      <c r="C867" s="25">
        <f>ItensPedido!C867</f>
        <v/>
      </c>
      <c r="D867" s="25">
        <f>ItensPedido!D867</f>
        <v/>
      </c>
      <c r="E867" s="26">
        <f>ItensPedido!E867</f>
        <v/>
      </c>
      <c r="F867" s="25">
        <f>IFERROR(INDEX(Pedidos!$B$2:$B$1801,MATCH(B867,Pedidos!$A$2:$A$1801,0)),0)</f>
        <v/>
      </c>
      <c r="G867" s="25">
        <f>IF(F867=0,"",YEAR(F867))</f>
        <v/>
      </c>
      <c r="H867" s="25">
        <f>IF(F867=0,"",MONTH(F867))</f>
        <v/>
      </c>
      <c r="I867" s="25">
        <f>IFERROR(INDEX(Pedidos!$E$2:$E$1801,MATCH(B867,Pedidos!$A$2:$A$1801,0)),"")</f>
        <v/>
      </c>
      <c r="J867" s="25">
        <f>IFERROR(INDEX(Pedidos!$C$2:$C$1801,MATCH(B867,Pedidos!$A$2:$A$1801,0)),"")</f>
        <v/>
      </c>
      <c r="K867" s="25">
        <f>IFERROR(INDEX(Pedidos!$D$2:$D$1801,MATCH(B867,Pedidos!$A$2:$A$1801,0)),"")</f>
        <v/>
      </c>
      <c r="L867" s="25">
        <f>IFERROR(INDEX(Pedidos!$F$2:$F$1801,MATCH(B867,Pedidos!$A$2:$A$1801,0)),"")</f>
        <v/>
      </c>
      <c r="M867" s="26">
        <f>IFERROR(INDEX(Pedidos!$G$2:$G$1801,MATCH(B867,Pedidos!$A$2:$A$1801,0)),0)</f>
        <v/>
      </c>
      <c r="N867" s="25">
        <f>IFERROR(INDEX(Produtos!$B$2:$B$71,MATCH(C867,Produtos!$A$2:$A$71,0)),"")</f>
        <v/>
      </c>
      <c r="O867" s="25">
        <f>IFERROR(INDEX(Produtos!$C$2:$C$71,MATCH(C867,Produtos!$A$2:$A$71,0)),"")</f>
        <v/>
      </c>
      <c r="P867" s="25">
        <f>IFERROR(INDEX(Produtos!$D$2:$D$71,MATCH(C867,Produtos!$A$2:$A$71,0)),0)</f>
        <v/>
      </c>
      <c r="Q867" s="25">
        <f>IFERROR(INDEX(Produtos!$E$2:$E$71,MATCH(C867,Produtos!$A$2:$A$71,0)),0)</f>
        <v/>
      </c>
      <c r="R867" s="27">
        <f>D867*Q867</f>
        <v/>
      </c>
      <c r="S867" s="27">
        <f>R867*E867</f>
        <v/>
      </c>
      <c r="T867" s="27">
        <f>(R867-S867)*M867</f>
        <v/>
      </c>
      <c r="U867" s="27">
        <f>R867-S867-T867</f>
        <v/>
      </c>
      <c r="V867" s="27">
        <f>D867*P867</f>
        <v/>
      </c>
      <c r="W867" s="27">
        <f>U867-V867</f>
        <v/>
      </c>
      <c r="X867" s="28">
        <f>IFERROR(W867/U867,0)</f>
        <v/>
      </c>
    </row>
    <row r="868">
      <c r="A868" s="21">
        <f>ItensPedido!A868</f>
        <v/>
      </c>
      <c r="B868" s="21">
        <f>ItensPedido!B868</f>
        <v/>
      </c>
      <c r="C868" s="21">
        <f>ItensPedido!C868</f>
        <v/>
      </c>
      <c r="D868" s="21">
        <f>ItensPedido!D868</f>
        <v/>
      </c>
      <c r="E868" s="22">
        <f>ItensPedido!E868</f>
        <v/>
      </c>
      <c r="F868" s="21">
        <f>IFERROR(INDEX(Pedidos!$B$2:$B$1801,MATCH(B868,Pedidos!$A$2:$A$1801,0)),0)</f>
        <v/>
      </c>
      <c r="G868" s="21">
        <f>IF(F868=0,"",YEAR(F868))</f>
        <v/>
      </c>
      <c r="H868" s="21">
        <f>IF(F868=0,"",MONTH(F868))</f>
        <v/>
      </c>
      <c r="I868" s="21">
        <f>IFERROR(INDEX(Pedidos!$E$2:$E$1801,MATCH(B868,Pedidos!$A$2:$A$1801,0)),"")</f>
        <v/>
      </c>
      <c r="J868" s="21">
        <f>IFERROR(INDEX(Pedidos!$C$2:$C$1801,MATCH(B868,Pedidos!$A$2:$A$1801,0)),"")</f>
        <v/>
      </c>
      <c r="K868" s="21">
        <f>IFERROR(INDEX(Pedidos!$D$2:$D$1801,MATCH(B868,Pedidos!$A$2:$A$1801,0)),"")</f>
        <v/>
      </c>
      <c r="L868" s="21">
        <f>IFERROR(INDEX(Pedidos!$F$2:$F$1801,MATCH(B868,Pedidos!$A$2:$A$1801,0)),"")</f>
        <v/>
      </c>
      <c r="M868" s="22">
        <f>IFERROR(INDEX(Pedidos!$G$2:$G$1801,MATCH(B868,Pedidos!$A$2:$A$1801,0)),0)</f>
        <v/>
      </c>
      <c r="N868" s="21">
        <f>IFERROR(INDEX(Produtos!$B$2:$B$71,MATCH(C868,Produtos!$A$2:$A$71,0)),"")</f>
        <v/>
      </c>
      <c r="O868" s="21">
        <f>IFERROR(INDEX(Produtos!$C$2:$C$71,MATCH(C868,Produtos!$A$2:$A$71,0)),"")</f>
        <v/>
      </c>
      <c r="P868" s="21">
        <f>IFERROR(INDEX(Produtos!$D$2:$D$71,MATCH(C868,Produtos!$A$2:$A$71,0)),0)</f>
        <v/>
      </c>
      <c r="Q868" s="21">
        <f>IFERROR(INDEX(Produtos!$E$2:$E$71,MATCH(C868,Produtos!$A$2:$A$71,0)),0)</f>
        <v/>
      </c>
      <c r="R868" s="23">
        <f>D868*Q868</f>
        <v/>
      </c>
      <c r="S868" s="23">
        <f>R868*E868</f>
        <v/>
      </c>
      <c r="T868" s="23">
        <f>(R868-S868)*M868</f>
        <v/>
      </c>
      <c r="U868" s="23">
        <f>R868-S868-T868</f>
        <v/>
      </c>
      <c r="V868" s="23">
        <f>D868*P868</f>
        <v/>
      </c>
      <c r="W868" s="23">
        <f>U868-V868</f>
        <v/>
      </c>
      <c r="X868" s="24">
        <f>IFERROR(W868/U868,0)</f>
        <v/>
      </c>
    </row>
    <row r="869">
      <c r="A869" s="25">
        <f>ItensPedido!A869</f>
        <v/>
      </c>
      <c r="B869" s="25">
        <f>ItensPedido!B869</f>
        <v/>
      </c>
      <c r="C869" s="25">
        <f>ItensPedido!C869</f>
        <v/>
      </c>
      <c r="D869" s="25">
        <f>ItensPedido!D869</f>
        <v/>
      </c>
      <c r="E869" s="26">
        <f>ItensPedido!E869</f>
        <v/>
      </c>
      <c r="F869" s="25">
        <f>IFERROR(INDEX(Pedidos!$B$2:$B$1801,MATCH(B869,Pedidos!$A$2:$A$1801,0)),0)</f>
        <v/>
      </c>
      <c r="G869" s="25">
        <f>IF(F869=0,"",YEAR(F869))</f>
        <v/>
      </c>
      <c r="H869" s="25">
        <f>IF(F869=0,"",MONTH(F869))</f>
        <v/>
      </c>
      <c r="I869" s="25">
        <f>IFERROR(INDEX(Pedidos!$E$2:$E$1801,MATCH(B869,Pedidos!$A$2:$A$1801,0)),"")</f>
        <v/>
      </c>
      <c r="J869" s="25">
        <f>IFERROR(INDEX(Pedidos!$C$2:$C$1801,MATCH(B869,Pedidos!$A$2:$A$1801,0)),"")</f>
        <v/>
      </c>
      <c r="K869" s="25">
        <f>IFERROR(INDEX(Pedidos!$D$2:$D$1801,MATCH(B869,Pedidos!$A$2:$A$1801,0)),"")</f>
        <v/>
      </c>
      <c r="L869" s="25">
        <f>IFERROR(INDEX(Pedidos!$F$2:$F$1801,MATCH(B869,Pedidos!$A$2:$A$1801,0)),"")</f>
        <v/>
      </c>
      <c r="M869" s="26">
        <f>IFERROR(INDEX(Pedidos!$G$2:$G$1801,MATCH(B869,Pedidos!$A$2:$A$1801,0)),0)</f>
        <v/>
      </c>
      <c r="N869" s="25">
        <f>IFERROR(INDEX(Produtos!$B$2:$B$71,MATCH(C869,Produtos!$A$2:$A$71,0)),"")</f>
        <v/>
      </c>
      <c r="O869" s="25">
        <f>IFERROR(INDEX(Produtos!$C$2:$C$71,MATCH(C869,Produtos!$A$2:$A$71,0)),"")</f>
        <v/>
      </c>
      <c r="P869" s="25">
        <f>IFERROR(INDEX(Produtos!$D$2:$D$71,MATCH(C869,Produtos!$A$2:$A$71,0)),0)</f>
        <v/>
      </c>
      <c r="Q869" s="25">
        <f>IFERROR(INDEX(Produtos!$E$2:$E$71,MATCH(C869,Produtos!$A$2:$A$71,0)),0)</f>
        <v/>
      </c>
      <c r="R869" s="27">
        <f>D869*Q869</f>
        <v/>
      </c>
      <c r="S869" s="27">
        <f>R869*E869</f>
        <v/>
      </c>
      <c r="T869" s="27">
        <f>(R869-S869)*M869</f>
        <v/>
      </c>
      <c r="U869" s="27">
        <f>R869-S869-T869</f>
        <v/>
      </c>
      <c r="V869" s="27">
        <f>D869*P869</f>
        <v/>
      </c>
      <c r="W869" s="27">
        <f>U869-V869</f>
        <v/>
      </c>
      <c r="X869" s="28">
        <f>IFERROR(W869/U869,0)</f>
        <v/>
      </c>
    </row>
    <row r="870">
      <c r="A870" s="21">
        <f>ItensPedido!A870</f>
        <v/>
      </c>
      <c r="B870" s="21">
        <f>ItensPedido!B870</f>
        <v/>
      </c>
      <c r="C870" s="21">
        <f>ItensPedido!C870</f>
        <v/>
      </c>
      <c r="D870" s="21">
        <f>ItensPedido!D870</f>
        <v/>
      </c>
      <c r="E870" s="22">
        <f>ItensPedido!E870</f>
        <v/>
      </c>
      <c r="F870" s="21">
        <f>IFERROR(INDEX(Pedidos!$B$2:$B$1801,MATCH(B870,Pedidos!$A$2:$A$1801,0)),0)</f>
        <v/>
      </c>
      <c r="G870" s="21">
        <f>IF(F870=0,"",YEAR(F870))</f>
        <v/>
      </c>
      <c r="H870" s="21">
        <f>IF(F870=0,"",MONTH(F870))</f>
        <v/>
      </c>
      <c r="I870" s="21">
        <f>IFERROR(INDEX(Pedidos!$E$2:$E$1801,MATCH(B870,Pedidos!$A$2:$A$1801,0)),"")</f>
        <v/>
      </c>
      <c r="J870" s="21">
        <f>IFERROR(INDEX(Pedidos!$C$2:$C$1801,MATCH(B870,Pedidos!$A$2:$A$1801,0)),"")</f>
        <v/>
      </c>
      <c r="K870" s="21">
        <f>IFERROR(INDEX(Pedidos!$D$2:$D$1801,MATCH(B870,Pedidos!$A$2:$A$1801,0)),"")</f>
        <v/>
      </c>
      <c r="L870" s="21">
        <f>IFERROR(INDEX(Pedidos!$F$2:$F$1801,MATCH(B870,Pedidos!$A$2:$A$1801,0)),"")</f>
        <v/>
      </c>
      <c r="M870" s="22">
        <f>IFERROR(INDEX(Pedidos!$G$2:$G$1801,MATCH(B870,Pedidos!$A$2:$A$1801,0)),0)</f>
        <v/>
      </c>
      <c r="N870" s="21">
        <f>IFERROR(INDEX(Produtos!$B$2:$B$71,MATCH(C870,Produtos!$A$2:$A$71,0)),"")</f>
        <v/>
      </c>
      <c r="O870" s="21">
        <f>IFERROR(INDEX(Produtos!$C$2:$C$71,MATCH(C870,Produtos!$A$2:$A$71,0)),"")</f>
        <v/>
      </c>
      <c r="P870" s="21">
        <f>IFERROR(INDEX(Produtos!$D$2:$D$71,MATCH(C870,Produtos!$A$2:$A$71,0)),0)</f>
        <v/>
      </c>
      <c r="Q870" s="21">
        <f>IFERROR(INDEX(Produtos!$E$2:$E$71,MATCH(C870,Produtos!$A$2:$A$71,0)),0)</f>
        <v/>
      </c>
      <c r="R870" s="23">
        <f>D870*Q870</f>
        <v/>
      </c>
      <c r="S870" s="23">
        <f>R870*E870</f>
        <v/>
      </c>
      <c r="T870" s="23">
        <f>(R870-S870)*M870</f>
        <v/>
      </c>
      <c r="U870" s="23">
        <f>R870-S870-T870</f>
        <v/>
      </c>
      <c r="V870" s="23">
        <f>D870*P870</f>
        <v/>
      </c>
      <c r="W870" s="23">
        <f>U870-V870</f>
        <v/>
      </c>
      <c r="X870" s="24">
        <f>IFERROR(W870/U870,0)</f>
        <v/>
      </c>
    </row>
    <row r="871">
      <c r="A871" s="25">
        <f>ItensPedido!A871</f>
        <v/>
      </c>
      <c r="B871" s="25">
        <f>ItensPedido!B871</f>
        <v/>
      </c>
      <c r="C871" s="25">
        <f>ItensPedido!C871</f>
        <v/>
      </c>
      <c r="D871" s="25">
        <f>ItensPedido!D871</f>
        <v/>
      </c>
      <c r="E871" s="26">
        <f>ItensPedido!E871</f>
        <v/>
      </c>
      <c r="F871" s="25">
        <f>IFERROR(INDEX(Pedidos!$B$2:$B$1801,MATCH(B871,Pedidos!$A$2:$A$1801,0)),0)</f>
        <v/>
      </c>
      <c r="G871" s="25">
        <f>IF(F871=0,"",YEAR(F871))</f>
        <v/>
      </c>
      <c r="H871" s="25">
        <f>IF(F871=0,"",MONTH(F871))</f>
        <v/>
      </c>
      <c r="I871" s="25">
        <f>IFERROR(INDEX(Pedidos!$E$2:$E$1801,MATCH(B871,Pedidos!$A$2:$A$1801,0)),"")</f>
        <v/>
      </c>
      <c r="J871" s="25">
        <f>IFERROR(INDEX(Pedidos!$C$2:$C$1801,MATCH(B871,Pedidos!$A$2:$A$1801,0)),"")</f>
        <v/>
      </c>
      <c r="K871" s="25">
        <f>IFERROR(INDEX(Pedidos!$D$2:$D$1801,MATCH(B871,Pedidos!$A$2:$A$1801,0)),"")</f>
        <v/>
      </c>
      <c r="L871" s="25">
        <f>IFERROR(INDEX(Pedidos!$F$2:$F$1801,MATCH(B871,Pedidos!$A$2:$A$1801,0)),"")</f>
        <v/>
      </c>
      <c r="M871" s="26">
        <f>IFERROR(INDEX(Pedidos!$G$2:$G$1801,MATCH(B871,Pedidos!$A$2:$A$1801,0)),0)</f>
        <v/>
      </c>
      <c r="N871" s="25">
        <f>IFERROR(INDEX(Produtos!$B$2:$B$71,MATCH(C871,Produtos!$A$2:$A$71,0)),"")</f>
        <v/>
      </c>
      <c r="O871" s="25">
        <f>IFERROR(INDEX(Produtos!$C$2:$C$71,MATCH(C871,Produtos!$A$2:$A$71,0)),"")</f>
        <v/>
      </c>
      <c r="P871" s="25">
        <f>IFERROR(INDEX(Produtos!$D$2:$D$71,MATCH(C871,Produtos!$A$2:$A$71,0)),0)</f>
        <v/>
      </c>
      <c r="Q871" s="25">
        <f>IFERROR(INDEX(Produtos!$E$2:$E$71,MATCH(C871,Produtos!$A$2:$A$71,0)),0)</f>
        <v/>
      </c>
      <c r="R871" s="27">
        <f>D871*Q871</f>
        <v/>
      </c>
      <c r="S871" s="27">
        <f>R871*E871</f>
        <v/>
      </c>
      <c r="T871" s="27">
        <f>(R871-S871)*M871</f>
        <v/>
      </c>
      <c r="U871" s="27">
        <f>R871-S871-T871</f>
        <v/>
      </c>
      <c r="V871" s="27">
        <f>D871*P871</f>
        <v/>
      </c>
      <c r="W871" s="27">
        <f>U871-V871</f>
        <v/>
      </c>
      <c r="X871" s="28">
        <f>IFERROR(W871/U871,0)</f>
        <v/>
      </c>
    </row>
    <row r="872">
      <c r="A872" s="21">
        <f>ItensPedido!A872</f>
        <v/>
      </c>
      <c r="B872" s="21">
        <f>ItensPedido!B872</f>
        <v/>
      </c>
      <c r="C872" s="21">
        <f>ItensPedido!C872</f>
        <v/>
      </c>
      <c r="D872" s="21">
        <f>ItensPedido!D872</f>
        <v/>
      </c>
      <c r="E872" s="22">
        <f>ItensPedido!E872</f>
        <v/>
      </c>
      <c r="F872" s="21">
        <f>IFERROR(INDEX(Pedidos!$B$2:$B$1801,MATCH(B872,Pedidos!$A$2:$A$1801,0)),0)</f>
        <v/>
      </c>
      <c r="G872" s="21">
        <f>IF(F872=0,"",YEAR(F872))</f>
        <v/>
      </c>
      <c r="H872" s="21">
        <f>IF(F872=0,"",MONTH(F872))</f>
        <v/>
      </c>
      <c r="I872" s="21">
        <f>IFERROR(INDEX(Pedidos!$E$2:$E$1801,MATCH(B872,Pedidos!$A$2:$A$1801,0)),"")</f>
        <v/>
      </c>
      <c r="J872" s="21">
        <f>IFERROR(INDEX(Pedidos!$C$2:$C$1801,MATCH(B872,Pedidos!$A$2:$A$1801,0)),"")</f>
        <v/>
      </c>
      <c r="K872" s="21">
        <f>IFERROR(INDEX(Pedidos!$D$2:$D$1801,MATCH(B872,Pedidos!$A$2:$A$1801,0)),"")</f>
        <v/>
      </c>
      <c r="L872" s="21">
        <f>IFERROR(INDEX(Pedidos!$F$2:$F$1801,MATCH(B872,Pedidos!$A$2:$A$1801,0)),"")</f>
        <v/>
      </c>
      <c r="M872" s="22">
        <f>IFERROR(INDEX(Pedidos!$G$2:$G$1801,MATCH(B872,Pedidos!$A$2:$A$1801,0)),0)</f>
        <v/>
      </c>
      <c r="N872" s="21">
        <f>IFERROR(INDEX(Produtos!$B$2:$B$71,MATCH(C872,Produtos!$A$2:$A$71,0)),"")</f>
        <v/>
      </c>
      <c r="O872" s="21">
        <f>IFERROR(INDEX(Produtos!$C$2:$C$71,MATCH(C872,Produtos!$A$2:$A$71,0)),"")</f>
        <v/>
      </c>
      <c r="P872" s="21">
        <f>IFERROR(INDEX(Produtos!$D$2:$D$71,MATCH(C872,Produtos!$A$2:$A$71,0)),0)</f>
        <v/>
      </c>
      <c r="Q872" s="21">
        <f>IFERROR(INDEX(Produtos!$E$2:$E$71,MATCH(C872,Produtos!$A$2:$A$71,0)),0)</f>
        <v/>
      </c>
      <c r="R872" s="23">
        <f>D872*Q872</f>
        <v/>
      </c>
      <c r="S872" s="23">
        <f>R872*E872</f>
        <v/>
      </c>
      <c r="T872" s="23">
        <f>(R872-S872)*M872</f>
        <v/>
      </c>
      <c r="U872" s="23">
        <f>R872-S872-T872</f>
        <v/>
      </c>
      <c r="V872" s="23">
        <f>D872*P872</f>
        <v/>
      </c>
      <c r="W872" s="23">
        <f>U872-V872</f>
        <v/>
      </c>
      <c r="X872" s="24">
        <f>IFERROR(W872/U872,0)</f>
        <v/>
      </c>
    </row>
    <row r="873">
      <c r="A873" s="25">
        <f>ItensPedido!A873</f>
        <v/>
      </c>
      <c r="B873" s="25">
        <f>ItensPedido!B873</f>
        <v/>
      </c>
      <c r="C873" s="25">
        <f>ItensPedido!C873</f>
        <v/>
      </c>
      <c r="D873" s="25">
        <f>ItensPedido!D873</f>
        <v/>
      </c>
      <c r="E873" s="26">
        <f>ItensPedido!E873</f>
        <v/>
      </c>
      <c r="F873" s="25">
        <f>IFERROR(INDEX(Pedidos!$B$2:$B$1801,MATCH(B873,Pedidos!$A$2:$A$1801,0)),0)</f>
        <v/>
      </c>
      <c r="G873" s="25">
        <f>IF(F873=0,"",YEAR(F873))</f>
        <v/>
      </c>
      <c r="H873" s="25">
        <f>IF(F873=0,"",MONTH(F873))</f>
        <v/>
      </c>
      <c r="I873" s="25">
        <f>IFERROR(INDEX(Pedidos!$E$2:$E$1801,MATCH(B873,Pedidos!$A$2:$A$1801,0)),"")</f>
        <v/>
      </c>
      <c r="J873" s="25">
        <f>IFERROR(INDEX(Pedidos!$C$2:$C$1801,MATCH(B873,Pedidos!$A$2:$A$1801,0)),"")</f>
        <v/>
      </c>
      <c r="K873" s="25">
        <f>IFERROR(INDEX(Pedidos!$D$2:$D$1801,MATCH(B873,Pedidos!$A$2:$A$1801,0)),"")</f>
        <v/>
      </c>
      <c r="L873" s="25">
        <f>IFERROR(INDEX(Pedidos!$F$2:$F$1801,MATCH(B873,Pedidos!$A$2:$A$1801,0)),"")</f>
        <v/>
      </c>
      <c r="M873" s="26">
        <f>IFERROR(INDEX(Pedidos!$G$2:$G$1801,MATCH(B873,Pedidos!$A$2:$A$1801,0)),0)</f>
        <v/>
      </c>
      <c r="N873" s="25">
        <f>IFERROR(INDEX(Produtos!$B$2:$B$71,MATCH(C873,Produtos!$A$2:$A$71,0)),"")</f>
        <v/>
      </c>
      <c r="O873" s="25">
        <f>IFERROR(INDEX(Produtos!$C$2:$C$71,MATCH(C873,Produtos!$A$2:$A$71,0)),"")</f>
        <v/>
      </c>
      <c r="P873" s="25">
        <f>IFERROR(INDEX(Produtos!$D$2:$D$71,MATCH(C873,Produtos!$A$2:$A$71,0)),0)</f>
        <v/>
      </c>
      <c r="Q873" s="25">
        <f>IFERROR(INDEX(Produtos!$E$2:$E$71,MATCH(C873,Produtos!$A$2:$A$71,0)),0)</f>
        <v/>
      </c>
      <c r="R873" s="27">
        <f>D873*Q873</f>
        <v/>
      </c>
      <c r="S873" s="27">
        <f>R873*E873</f>
        <v/>
      </c>
      <c r="T873" s="27">
        <f>(R873-S873)*M873</f>
        <v/>
      </c>
      <c r="U873" s="27">
        <f>R873-S873-T873</f>
        <v/>
      </c>
      <c r="V873" s="27">
        <f>D873*P873</f>
        <v/>
      </c>
      <c r="W873" s="27">
        <f>U873-V873</f>
        <v/>
      </c>
      <c r="X873" s="28">
        <f>IFERROR(W873/U873,0)</f>
        <v/>
      </c>
    </row>
    <row r="874">
      <c r="A874" s="21">
        <f>ItensPedido!A874</f>
        <v/>
      </c>
      <c r="B874" s="21">
        <f>ItensPedido!B874</f>
        <v/>
      </c>
      <c r="C874" s="21">
        <f>ItensPedido!C874</f>
        <v/>
      </c>
      <c r="D874" s="21">
        <f>ItensPedido!D874</f>
        <v/>
      </c>
      <c r="E874" s="22">
        <f>ItensPedido!E874</f>
        <v/>
      </c>
      <c r="F874" s="21">
        <f>IFERROR(INDEX(Pedidos!$B$2:$B$1801,MATCH(B874,Pedidos!$A$2:$A$1801,0)),0)</f>
        <v/>
      </c>
      <c r="G874" s="21">
        <f>IF(F874=0,"",YEAR(F874))</f>
        <v/>
      </c>
      <c r="H874" s="21">
        <f>IF(F874=0,"",MONTH(F874))</f>
        <v/>
      </c>
      <c r="I874" s="21">
        <f>IFERROR(INDEX(Pedidos!$E$2:$E$1801,MATCH(B874,Pedidos!$A$2:$A$1801,0)),"")</f>
        <v/>
      </c>
      <c r="J874" s="21">
        <f>IFERROR(INDEX(Pedidos!$C$2:$C$1801,MATCH(B874,Pedidos!$A$2:$A$1801,0)),"")</f>
        <v/>
      </c>
      <c r="K874" s="21">
        <f>IFERROR(INDEX(Pedidos!$D$2:$D$1801,MATCH(B874,Pedidos!$A$2:$A$1801,0)),"")</f>
        <v/>
      </c>
      <c r="L874" s="21">
        <f>IFERROR(INDEX(Pedidos!$F$2:$F$1801,MATCH(B874,Pedidos!$A$2:$A$1801,0)),"")</f>
        <v/>
      </c>
      <c r="M874" s="22">
        <f>IFERROR(INDEX(Pedidos!$G$2:$G$1801,MATCH(B874,Pedidos!$A$2:$A$1801,0)),0)</f>
        <v/>
      </c>
      <c r="N874" s="21">
        <f>IFERROR(INDEX(Produtos!$B$2:$B$71,MATCH(C874,Produtos!$A$2:$A$71,0)),"")</f>
        <v/>
      </c>
      <c r="O874" s="21">
        <f>IFERROR(INDEX(Produtos!$C$2:$C$71,MATCH(C874,Produtos!$A$2:$A$71,0)),"")</f>
        <v/>
      </c>
      <c r="P874" s="21">
        <f>IFERROR(INDEX(Produtos!$D$2:$D$71,MATCH(C874,Produtos!$A$2:$A$71,0)),0)</f>
        <v/>
      </c>
      <c r="Q874" s="21">
        <f>IFERROR(INDEX(Produtos!$E$2:$E$71,MATCH(C874,Produtos!$A$2:$A$71,0)),0)</f>
        <v/>
      </c>
      <c r="R874" s="23">
        <f>D874*Q874</f>
        <v/>
      </c>
      <c r="S874" s="23">
        <f>R874*E874</f>
        <v/>
      </c>
      <c r="T874" s="23">
        <f>(R874-S874)*M874</f>
        <v/>
      </c>
      <c r="U874" s="23">
        <f>R874-S874-T874</f>
        <v/>
      </c>
      <c r="V874" s="23">
        <f>D874*P874</f>
        <v/>
      </c>
      <c r="W874" s="23">
        <f>U874-V874</f>
        <v/>
      </c>
      <c r="X874" s="24">
        <f>IFERROR(W874/U874,0)</f>
        <v/>
      </c>
    </row>
    <row r="875">
      <c r="A875" s="25">
        <f>ItensPedido!A875</f>
        <v/>
      </c>
      <c r="B875" s="25">
        <f>ItensPedido!B875</f>
        <v/>
      </c>
      <c r="C875" s="25">
        <f>ItensPedido!C875</f>
        <v/>
      </c>
      <c r="D875" s="25">
        <f>ItensPedido!D875</f>
        <v/>
      </c>
      <c r="E875" s="26">
        <f>ItensPedido!E875</f>
        <v/>
      </c>
      <c r="F875" s="25">
        <f>IFERROR(INDEX(Pedidos!$B$2:$B$1801,MATCH(B875,Pedidos!$A$2:$A$1801,0)),0)</f>
        <v/>
      </c>
      <c r="G875" s="25">
        <f>IF(F875=0,"",YEAR(F875))</f>
        <v/>
      </c>
      <c r="H875" s="25">
        <f>IF(F875=0,"",MONTH(F875))</f>
        <v/>
      </c>
      <c r="I875" s="25">
        <f>IFERROR(INDEX(Pedidos!$E$2:$E$1801,MATCH(B875,Pedidos!$A$2:$A$1801,0)),"")</f>
        <v/>
      </c>
      <c r="J875" s="25">
        <f>IFERROR(INDEX(Pedidos!$C$2:$C$1801,MATCH(B875,Pedidos!$A$2:$A$1801,0)),"")</f>
        <v/>
      </c>
      <c r="K875" s="25">
        <f>IFERROR(INDEX(Pedidos!$D$2:$D$1801,MATCH(B875,Pedidos!$A$2:$A$1801,0)),"")</f>
        <v/>
      </c>
      <c r="L875" s="25">
        <f>IFERROR(INDEX(Pedidos!$F$2:$F$1801,MATCH(B875,Pedidos!$A$2:$A$1801,0)),"")</f>
        <v/>
      </c>
      <c r="M875" s="26">
        <f>IFERROR(INDEX(Pedidos!$G$2:$G$1801,MATCH(B875,Pedidos!$A$2:$A$1801,0)),0)</f>
        <v/>
      </c>
      <c r="N875" s="25">
        <f>IFERROR(INDEX(Produtos!$B$2:$B$71,MATCH(C875,Produtos!$A$2:$A$71,0)),"")</f>
        <v/>
      </c>
      <c r="O875" s="25">
        <f>IFERROR(INDEX(Produtos!$C$2:$C$71,MATCH(C875,Produtos!$A$2:$A$71,0)),"")</f>
        <v/>
      </c>
      <c r="P875" s="25">
        <f>IFERROR(INDEX(Produtos!$D$2:$D$71,MATCH(C875,Produtos!$A$2:$A$71,0)),0)</f>
        <v/>
      </c>
      <c r="Q875" s="25">
        <f>IFERROR(INDEX(Produtos!$E$2:$E$71,MATCH(C875,Produtos!$A$2:$A$71,0)),0)</f>
        <v/>
      </c>
      <c r="R875" s="27">
        <f>D875*Q875</f>
        <v/>
      </c>
      <c r="S875" s="27">
        <f>R875*E875</f>
        <v/>
      </c>
      <c r="T875" s="27">
        <f>(R875-S875)*M875</f>
        <v/>
      </c>
      <c r="U875" s="27">
        <f>R875-S875-T875</f>
        <v/>
      </c>
      <c r="V875" s="27">
        <f>D875*P875</f>
        <v/>
      </c>
      <c r="W875" s="27">
        <f>U875-V875</f>
        <v/>
      </c>
      <c r="X875" s="28">
        <f>IFERROR(W875/U875,0)</f>
        <v/>
      </c>
    </row>
    <row r="876">
      <c r="A876" s="21">
        <f>ItensPedido!A876</f>
        <v/>
      </c>
      <c r="B876" s="21">
        <f>ItensPedido!B876</f>
        <v/>
      </c>
      <c r="C876" s="21">
        <f>ItensPedido!C876</f>
        <v/>
      </c>
      <c r="D876" s="21">
        <f>ItensPedido!D876</f>
        <v/>
      </c>
      <c r="E876" s="22">
        <f>ItensPedido!E876</f>
        <v/>
      </c>
      <c r="F876" s="21">
        <f>IFERROR(INDEX(Pedidos!$B$2:$B$1801,MATCH(B876,Pedidos!$A$2:$A$1801,0)),0)</f>
        <v/>
      </c>
      <c r="G876" s="21">
        <f>IF(F876=0,"",YEAR(F876))</f>
        <v/>
      </c>
      <c r="H876" s="21">
        <f>IF(F876=0,"",MONTH(F876))</f>
        <v/>
      </c>
      <c r="I876" s="21">
        <f>IFERROR(INDEX(Pedidos!$E$2:$E$1801,MATCH(B876,Pedidos!$A$2:$A$1801,0)),"")</f>
        <v/>
      </c>
      <c r="J876" s="21">
        <f>IFERROR(INDEX(Pedidos!$C$2:$C$1801,MATCH(B876,Pedidos!$A$2:$A$1801,0)),"")</f>
        <v/>
      </c>
      <c r="K876" s="21">
        <f>IFERROR(INDEX(Pedidos!$D$2:$D$1801,MATCH(B876,Pedidos!$A$2:$A$1801,0)),"")</f>
        <v/>
      </c>
      <c r="L876" s="21">
        <f>IFERROR(INDEX(Pedidos!$F$2:$F$1801,MATCH(B876,Pedidos!$A$2:$A$1801,0)),"")</f>
        <v/>
      </c>
      <c r="M876" s="22">
        <f>IFERROR(INDEX(Pedidos!$G$2:$G$1801,MATCH(B876,Pedidos!$A$2:$A$1801,0)),0)</f>
        <v/>
      </c>
      <c r="N876" s="21">
        <f>IFERROR(INDEX(Produtos!$B$2:$B$71,MATCH(C876,Produtos!$A$2:$A$71,0)),"")</f>
        <v/>
      </c>
      <c r="O876" s="21">
        <f>IFERROR(INDEX(Produtos!$C$2:$C$71,MATCH(C876,Produtos!$A$2:$A$71,0)),"")</f>
        <v/>
      </c>
      <c r="P876" s="21">
        <f>IFERROR(INDEX(Produtos!$D$2:$D$71,MATCH(C876,Produtos!$A$2:$A$71,0)),0)</f>
        <v/>
      </c>
      <c r="Q876" s="21">
        <f>IFERROR(INDEX(Produtos!$E$2:$E$71,MATCH(C876,Produtos!$A$2:$A$71,0)),0)</f>
        <v/>
      </c>
      <c r="R876" s="23">
        <f>D876*Q876</f>
        <v/>
      </c>
      <c r="S876" s="23">
        <f>R876*E876</f>
        <v/>
      </c>
      <c r="T876" s="23">
        <f>(R876-S876)*M876</f>
        <v/>
      </c>
      <c r="U876" s="23">
        <f>R876-S876-T876</f>
        <v/>
      </c>
      <c r="V876" s="23">
        <f>D876*P876</f>
        <v/>
      </c>
      <c r="W876" s="23">
        <f>U876-V876</f>
        <v/>
      </c>
      <c r="X876" s="24">
        <f>IFERROR(W876/U876,0)</f>
        <v/>
      </c>
    </row>
    <row r="877">
      <c r="A877" s="25">
        <f>ItensPedido!A877</f>
        <v/>
      </c>
      <c r="B877" s="25">
        <f>ItensPedido!B877</f>
        <v/>
      </c>
      <c r="C877" s="25">
        <f>ItensPedido!C877</f>
        <v/>
      </c>
      <c r="D877" s="25">
        <f>ItensPedido!D877</f>
        <v/>
      </c>
      <c r="E877" s="26">
        <f>ItensPedido!E877</f>
        <v/>
      </c>
      <c r="F877" s="25">
        <f>IFERROR(INDEX(Pedidos!$B$2:$B$1801,MATCH(B877,Pedidos!$A$2:$A$1801,0)),0)</f>
        <v/>
      </c>
      <c r="G877" s="25">
        <f>IF(F877=0,"",YEAR(F877))</f>
        <v/>
      </c>
      <c r="H877" s="25">
        <f>IF(F877=0,"",MONTH(F877))</f>
        <v/>
      </c>
      <c r="I877" s="25">
        <f>IFERROR(INDEX(Pedidos!$E$2:$E$1801,MATCH(B877,Pedidos!$A$2:$A$1801,0)),"")</f>
        <v/>
      </c>
      <c r="J877" s="25">
        <f>IFERROR(INDEX(Pedidos!$C$2:$C$1801,MATCH(B877,Pedidos!$A$2:$A$1801,0)),"")</f>
        <v/>
      </c>
      <c r="K877" s="25">
        <f>IFERROR(INDEX(Pedidos!$D$2:$D$1801,MATCH(B877,Pedidos!$A$2:$A$1801,0)),"")</f>
        <v/>
      </c>
      <c r="L877" s="25">
        <f>IFERROR(INDEX(Pedidos!$F$2:$F$1801,MATCH(B877,Pedidos!$A$2:$A$1801,0)),"")</f>
        <v/>
      </c>
      <c r="M877" s="26">
        <f>IFERROR(INDEX(Pedidos!$G$2:$G$1801,MATCH(B877,Pedidos!$A$2:$A$1801,0)),0)</f>
        <v/>
      </c>
      <c r="N877" s="25">
        <f>IFERROR(INDEX(Produtos!$B$2:$B$71,MATCH(C877,Produtos!$A$2:$A$71,0)),"")</f>
        <v/>
      </c>
      <c r="O877" s="25">
        <f>IFERROR(INDEX(Produtos!$C$2:$C$71,MATCH(C877,Produtos!$A$2:$A$71,0)),"")</f>
        <v/>
      </c>
      <c r="P877" s="25">
        <f>IFERROR(INDEX(Produtos!$D$2:$D$71,MATCH(C877,Produtos!$A$2:$A$71,0)),0)</f>
        <v/>
      </c>
      <c r="Q877" s="25">
        <f>IFERROR(INDEX(Produtos!$E$2:$E$71,MATCH(C877,Produtos!$A$2:$A$71,0)),0)</f>
        <v/>
      </c>
      <c r="R877" s="27">
        <f>D877*Q877</f>
        <v/>
      </c>
      <c r="S877" s="27">
        <f>R877*E877</f>
        <v/>
      </c>
      <c r="T877" s="27">
        <f>(R877-S877)*M877</f>
        <v/>
      </c>
      <c r="U877" s="27">
        <f>R877-S877-T877</f>
        <v/>
      </c>
      <c r="V877" s="27">
        <f>D877*P877</f>
        <v/>
      </c>
      <c r="W877" s="27">
        <f>U877-V877</f>
        <v/>
      </c>
      <c r="X877" s="28">
        <f>IFERROR(W877/U877,0)</f>
        <v/>
      </c>
    </row>
    <row r="878">
      <c r="A878" s="21">
        <f>ItensPedido!A878</f>
        <v/>
      </c>
      <c r="B878" s="21">
        <f>ItensPedido!B878</f>
        <v/>
      </c>
      <c r="C878" s="21">
        <f>ItensPedido!C878</f>
        <v/>
      </c>
      <c r="D878" s="21">
        <f>ItensPedido!D878</f>
        <v/>
      </c>
      <c r="E878" s="22">
        <f>ItensPedido!E878</f>
        <v/>
      </c>
      <c r="F878" s="21">
        <f>IFERROR(INDEX(Pedidos!$B$2:$B$1801,MATCH(B878,Pedidos!$A$2:$A$1801,0)),0)</f>
        <v/>
      </c>
      <c r="G878" s="21">
        <f>IF(F878=0,"",YEAR(F878))</f>
        <v/>
      </c>
      <c r="H878" s="21">
        <f>IF(F878=0,"",MONTH(F878))</f>
        <v/>
      </c>
      <c r="I878" s="21">
        <f>IFERROR(INDEX(Pedidos!$E$2:$E$1801,MATCH(B878,Pedidos!$A$2:$A$1801,0)),"")</f>
        <v/>
      </c>
      <c r="J878" s="21">
        <f>IFERROR(INDEX(Pedidos!$C$2:$C$1801,MATCH(B878,Pedidos!$A$2:$A$1801,0)),"")</f>
        <v/>
      </c>
      <c r="K878" s="21">
        <f>IFERROR(INDEX(Pedidos!$D$2:$D$1801,MATCH(B878,Pedidos!$A$2:$A$1801,0)),"")</f>
        <v/>
      </c>
      <c r="L878" s="21">
        <f>IFERROR(INDEX(Pedidos!$F$2:$F$1801,MATCH(B878,Pedidos!$A$2:$A$1801,0)),"")</f>
        <v/>
      </c>
      <c r="M878" s="22">
        <f>IFERROR(INDEX(Pedidos!$G$2:$G$1801,MATCH(B878,Pedidos!$A$2:$A$1801,0)),0)</f>
        <v/>
      </c>
      <c r="N878" s="21">
        <f>IFERROR(INDEX(Produtos!$B$2:$B$71,MATCH(C878,Produtos!$A$2:$A$71,0)),"")</f>
        <v/>
      </c>
      <c r="O878" s="21">
        <f>IFERROR(INDEX(Produtos!$C$2:$C$71,MATCH(C878,Produtos!$A$2:$A$71,0)),"")</f>
        <v/>
      </c>
      <c r="P878" s="21">
        <f>IFERROR(INDEX(Produtos!$D$2:$D$71,MATCH(C878,Produtos!$A$2:$A$71,0)),0)</f>
        <v/>
      </c>
      <c r="Q878" s="21">
        <f>IFERROR(INDEX(Produtos!$E$2:$E$71,MATCH(C878,Produtos!$A$2:$A$71,0)),0)</f>
        <v/>
      </c>
      <c r="R878" s="23">
        <f>D878*Q878</f>
        <v/>
      </c>
      <c r="S878" s="23">
        <f>R878*E878</f>
        <v/>
      </c>
      <c r="T878" s="23">
        <f>(R878-S878)*M878</f>
        <v/>
      </c>
      <c r="U878" s="23">
        <f>R878-S878-T878</f>
        <v/>
      </c>
      <c r="V878" s="23">
        <f>D878*P878</f>
        <v/>
      </c>
      <c r="W878" s="23">
        <f>U878-V878</f>
        <v/>
      </c>
      <c r="X878" s="24">
        <f>IFERROR(W878/U878,0)</f>
        <v/>
      </c>
    </row>
    <row r="879">
      <c r="A879" s="25">
        <f>ItensPedido!A879</f>
        <v/>
      </c>
      <c r="B879" s="25">
        <f>ItensPedido!B879</f>
        <v/>
      </c>
      <c r="C879" s="25">
        <f>ItensPedido!C879</f>
        <v/>
      </c>
      <c r="D879" s="25">
        <f>ItensPedido!D879</f>
        <v/>
      </c>
      <c r="E879" s="26">
        <f>ItensPedido!E879</f>
        <v/>
      </c>
      <c r="F879" s="25">
        <f>IFERROR(INDEX(Pedidos!$B$2:$B$1801,MATCH(B879,Pedidos!$A$2:$A$1801,0)),0)</f>
        <v/>
      </c>
      <c r="G879" s="25">
        <f>IF(F879=0,"",YEAR(F879))</f>
        <v/>
      </c>
      <c r="H879" s="25">
        <f>IF(F879=0,"",MONTH(F879))</f>
        <v/>
      </c>
      <c r="I879" s="25">
        <f>IFERROR(INDEX(Pedidos!$E$2:$E$1801,MATCH(B879,Pedidos!$A$2:$A$1801,0)),"")</f>
        <v/>
      </c>
      <c r="J879" s="25">
        <f>IFERROR(INDEX(Pedidos!$C$2:$C$1801,MATCH(B879,Pedidos!$A$2:$A$1801,0)),"")</f>
        <v/>
      </c>
      <c r="K879" s="25">
        <f>IFERROR(INDEX(Pedidos!$D$2:$D$1801,MATCH(B879,Pedidos!$A$2:$A$1801,0)),"")</f>
        <v/>
      </c>
      <c r="L879" s="25">
        <f>IFERROR(INDEX(Pedidos!$F$2:$F$1801,MATCH(B879,Pedidos!$A$2:$A$1801,0)),"")</f>
        <v/>
      </c>
      <c r="M879" s="26">
        <f>IFERROR(INDEX(Pedidos!$G$2:$G$1801,MATCH(B879,Pedidos!$A$2:$A$1801,0)),0)</f>
        <v/>
      </c>
      <c r="N879" s="25">
        <f>IFERROR(INDEX(Produtos!$B$2:$B$71,MATCH(C879,Produtos!$A$2:$A$71,0)),"")</f>
        <v/>
      </c>
      <c r="O879" s="25">
        <f>IFERROR(INDEX(Produtos!$C$2:$C$71,MATCH(C879,Produtos!$A$2:$A$71,0)),"")</f>
        <v/>
      </c>
      <c r="P879" s="25">
        <f>IFERROR(INDEX(Produtos!$D$2:$D$71,MATCH(C879,Produtos!$A$2:$A$71,0)),0)</f>
        <v/>
      </c>
      <c r="Q879" s="25">
        <f>IFERROR(INDEX(Produtos!$E$2:$E$71,MATCH(C879,Produtos!$A$2:$A$71,0)),0)</f>
        <v/>
      </c>
      <c r="R879" s="27">
        <f>D879*Q879</f>
        <v/>
      </c>
      <c r="S879" s="27">
        <f>R879*E879</f>
        <v/>
      </c>
      <c r="T879" s="27">
        <f>(R879-S879)*M879</f>
        <v/>
      </c>
      <c r="U879" s="27">
        <f>R879-S879-T879</f>
        <v/>
      </c>
      <c r="V879" s="27">
        <f>D879*P879</f>
        <v/>
      </c>
      <c r="W879" s="27">
        <f>U879-V879</f>
        <v/>
      </c>
      <c r="X879" s="28">
        <f>IFERROR(W879/U879,0)</f>
        <v/>
      </c>
    </row>
    <row r="880">
      <c r="A880" s="21">
        <f>ItensPedido!A880</f>
        <v/>
      </c>
      <c r="B880" s="21">
        <f>ItensPedido!B880</f>
        <v/>
      </c>
      <c r="C880" s="21">
        <f>ItensPedido!C880</f>
        <v/>
      </c>
      <c r="D880" s="21">
        <f>ItensPedido!D880</f>
        <v/>
      </c>
      <c r="E880" s="22">
        <f>ItensPedido!E880</f>
        <v/>
      </c>
      <c r="F880" s="21">
        <f>IFERROR(INDEX(Pedidos!$B$2:$B$1801,MATCH(B880,Pedidos!$A$2:$A$1801,0)),0)</f>
        <v/>
      </c>
      <c r="G880" s="21">
        <f>IF(F880=0,"",YEAR(F880))</f>
        <v/>
      </c>
      <c r="H880" s="21">
        <f>IF(F880=0,"",MONTH(F880))</f>
        <v/>
      </c>
      <c r="I880" s="21">
        <f>IFERROR(INDEX(Pedidos!$E$2:$E$1801,MATCH(B880,Pedidos!$A$2:$A$1801,0)),"")</f>
        <v/>
      </c>
      <c r="J880" s="21">
        <f>IFERROR(INDEX(Pedidos!$C$2:$C$1801,MATCH(B880,Pedidos!$A$2:$A$1801,0)),"")</f>
        <v/>
      </c>
      <c r="K880" s="21">
        <f>IFERROR(INDEX(Pedidos!$D$2:$D$1801,MATCH(B880,Pedidos!$A$2:$A$1801,0)),"")</f>
        <v/>
      </c>
      <c r="L880" s="21">
        <f>IFERROR(INDEX(Pedidos!$F$2:$F$1801,MATCH(B880,Pedidos!$A$2:$A$1801,0)),"")</f>
        <v/>
      </c>
      <c r="M880" s="22">
        <f>IFERROR(INDEX(Pedidos!$G$2:$G$1801,MATCH(B880,Pedidos!$A$2:$A$1801,0)),0)</f>
        <v/>
      </c>
      <c r="N880" s="21">
        <f>IFERROR(INDEX(Produtos!$B$2:$B$71,MATCH(C880,Produtos!$A$2:$A$71,0)),"")</f>
        <v/>
      </c>
      <c r="O880" s="21">
        <f>IFERROR(INDEX(Produtos!$C$2:$C$71,MATCH(C880,Produtos!$A$2:$A$71,0)),"")</f>
        <v/>
      </c>
      <c r="P880" s="21">
        <f>IFERROR(INDEX(Produtos!$D$2:$D$71,MATCH(C880,Produtos!$A$2:$A$71,0)),0)</f>
        <v/>
      </c>
      <c r="Q880" s="21">
        <f>IFERROR(INDEX(Produtos!$E$2:$E$71,MATCH(C880,Produtos!$A$2:$A$71,0)),0)</f>
        <v/>
      </c>
      <c r="R880" s="23">
        <f>D880*Q880</f>
        <v/>
      </c>
      <c r="S880" s="23">
        <f>R880*E880</f>
        <v/>
      </c>
      <c r="T880" s="23">
        <f>(R880-S880)*M880</f>
        <v/>
      </c>
      <c r="U880" s="23">
        <f>R880-S880-T880</f>
        <v/>
      </c>
      <c r="V880" s="23">
        <f>D880*P880</f>
        <v/>
      </c>
      <c r="W880" s="23">
        <f>U880-V880</f>
        <v/>
      </c>
      <c r="X880" s="24">
        <f>IFERROR(W880/U880,0)</f>
        <v/>
      </c>
    </row>
    <row r="881">
      <c r="A881" s="25">
        <f>ItensPedido!A881</f>
        <v/>
      </c>
      <c r="B881" s="25">
        <f>ItensPedido!B881</f>
        <v/>
      </c>
      <c r="C881" s="25">
        <f>ItensPedido!C881</f>
        <v/>
      </c>
      <c r="D881" s="25">
        <f>ItensPedido!D881</f>
        <v/>
      </c>
      <c r="E881" s="26">
        <f>ItensPedido!E881</f>
        <v/>
      </c>
      <c r="F881" s="25">
        <f>IFERROR(INDEX(Pedidos!$B$2:$B$1801,MATCH(B881,Pedidos!$A$2:$A$1801,0)),0)</f>
        <v/>
      </c>
      <c r="G881" s="25">
        <f>IF(F881=0,"",YEAR(F881))</f>
        <v/>
      </c>
      <c r="H881" s="25">
        <f>IF(F881=0,"",MONTH(F881))</f>
        <v/>
      </c>
      <c r="I881" s="25">
        <f>IFERROR(INDEX(Pedidos!$E$2:$E$1801,MATCH(B881,Pedidos!$A$2:$A$1801,0)),"")</f>
        <v/>
      </c>
      <c r="J881" s="25">
        <f>IFERROR(INDEX(Pedidos!$C$2:$C$1801,MATCH(B881,Pedidos!$A$2:$A$1801,0)),"")</f>
        <v/>
      </c>
      <c r="K881" s="25">
        <f>IFERROR(INDEX(Pedidos!$D$2:$D$1801,MATCH(B881,Pedidos!$A$2:$A$1801,0)),"")</f>
        <v/>
      </c>
      <c r="L881" s="25">
        <f>IFERROR(INDEX(Pedidos!$F$2:$F$1801,MATCH(B881,Pedidos!$A$2:$A$1801,0)),"")</f>
        <v/>
      </c>
      <c r="M881" s="26">
        <f>IFERROR(INDEX(Pedidos!$G$2:$G$1801,MATCH(B881,Pedidos!$A$2:$A$1801,0)),0)</f>
        <v/>
      </c>
      <c r="N881" s="25">
        <f>IFERROR(INDEX(Produtos!$B$2:$B$71,MATCH(C881,Produtos!$A$2:$A$71,0)),"")</f>
        <v/>
      </c>
      <c r="O881" s="25">
        <f>IFERROR(INDEX(Produtos!$C$2:$C$71,MATCH(C881,Produtos!$A$2:$A$71,0)),"")</f>
        <v/>
      </c>
      <c r="P881" s="25">
        <f>IFERROR(INDEX(Produtos!$D$2:$D$71,MATCH(C881,Produtos!$A$2:$A$71,0)),0)</f>
        <v/>
      </c>
      <c r="Q881" s="25">
        <f>IFERROR(INDEX(Produtos!$E$2:$E$71,MATCH(C881,Produtos!$A$2:$A$71,0)),0)</f>
        <v/>
      </c>
      <c r="R881" s="27">
        <f>D881*Q881</f>
        <v/>
      </c>
      <c r="S881" s="27">
        <f>R881*E881</f>
        <v/>
      </c>
      <c r="T881" s="27">
        <f>(R881-S881)*M881</f>
        <v/>
      </c>
      <c r="U881" s="27">
        <f>R881-S881-T881</f>
        <v/>
      </c>
      <c r="V881" s="27">
        <f>D881*P881</f>
        <v/>
      </c>
      <c r="W881" s="27">
        <f>U881-V881</f>
        <v/>
      </c>
      <c r="X881" s="28">
        <f>IFERROR(W881/U881,0)</f>
        <v/>
      </c>
    </row>
    <row r="882">
      <c r="A882" s="21">
        <f>ItensPedido!A882</f>
        <v/>
      </c>
      <c r="B882" s="21">
        <f>ItensPedido!B882</f>
        <v/>
      </c>
      <c r="C882" s="21">
        <f>ItensPedido!C882</f>
        <v/>
      </c>
      <c r="D882" s="21">
        <f>ItensPedido!D882</f>
        <v/>
      </c>
      <c r="E882" s="22">
        <f>ItensPedido!E882</f>
        <v/>
      </c>
      <c r="F882" s="21">
        <f>IFERROR(INDEX(Pedidos!$B$2:$B$1801,MATCH(B882,Pedidos!$A$2:$A$1801,0)),0)</f>
        <v/>
      </c>
      <c r="G882" s="21">
        <f>IF(F882=0,"",YEAR(F882))</f>
        <v/>
      </c>
      <c r="H882" s="21">
        <f>IF(F882=0,"",MONTH(F882))</f>
        <v/>
      </c>
      <c r="I882" s="21">
        <f>IFERROR(INDEX(Pedidos!$E$2:$E$1801,MATCH(B882,Pedidos!$A$2:$A$1801,0)),"")</f>
        <v/>
      </c>
      <c r="J882" s="21">
        <f>IFERROR(INDEX(Pedidos!$C$2:$C$1801,MATCH(B882,Pedidos!$A$2:$A$1801,0)),"")</f>
        <v/>
      </c>
      <c r="K882" s="21">
        <f>IFERROR(INDEX(Pedidos!$D$2:$D$1801,MATCH(B882,Pedidos!$A$2:$A$1801,0)),"")</f>
        <v/>
      </c>
      <c r="L882" s="21">
        <f>IFERROR(INDEX(Pedidos!$F$2:$F$1801,MATCH(B882,Pedidos!$A$2:$A$1801,0)),"")</f>
        <v/>
      </c>
      <c r="M882" s="22">
        <f>IFERROR(INDEX(Pedidos!$G$2:$G$1801,MATCH(B882,Pedidos!$A$2:$A$1801,0)),0)</f>
        <v/>
      </c>
      <c r="N882" s="21">
        <f>IFERROR(INDEX(Produtos!$B$2:$B$71,MATCH(C882,Produtos!$A$2:$A$71,0)),"")</f>
        <v/>
      </c>
      <c r="O882" s="21">
        <f>IFERROR(INDEX(Produtos!$C$2:$C$71,MATCH(C882,Produtos!$A$2:$A$71,0)),"")</f>
        <v/>
      </c>
      <c r="P882" s="21">
        <f>IFERROR(INDEX(Produtos!$D$2:$D$71,MATCH(C882,Produtos!$A$2:$A$71,0)),0)</f>
        <v/>
      </c>
      <c r="Q882" s="21">
        <f>IFERROR(INDEX(Produtos!$E$2:$E$71,MATCH(C882,Produtos!$A$2:$A$71,0)),0)</f>
        <v/>
      </c>
      <c r="R882" s="23">
        <f>D882*Q882</f>
        <v/>
      </c>
      <c r="S882" s="23">
        <f>R882*E882</f>
        <v/>
      </c>
      <c r="T882" s="23">
        <f>(R882-S882)*M882</f>
        <v/>
      </c>
      <c r="U882" s="23">
        <f>R882-S882-T882</f>
        <v/>
      </c>
      <c r="V882" s="23">
        <f>D882*P882</f>
        <v/>
      </c>
      <c r="W882" s="23">
        <f>U882-V882</f>
        <v/>
      </c>
      <c r="X882" s="24">
        <f>IFERROR(W882/U882,0)</f>
        <v/>
      </c>
    </row>
    <row r="883">
      <c r="A883" s="25">
        <f>ItensPedido!A883</f>
        <v/>
      </c>
      <c r="B883" s="25">
        <f>ItensPedido!B883</f>
        <v/>
      </c>
      <c r="C883" s="25">
        <f>ItensPedido!C883</f>
        <v/>
      </c>
      <c r="D883" s="25">
        <f>ItensPedido!D883</f>
        <v/>
      </c>
      <c r="E883" s="26">
        <f>ItensPedido!E883</f>
        <v/>
      </c>
      <c r="F883" s="25">
        <f>IFERROR(INDEX(Pedidos!$B$2:$B$1801,MATCH(B883,Pedidos!$A$2:$A$1801,0)),0)</f>
        <v/>
      </c>
      <c r="G883" s="25">
        <f>IF(F883=0,"",YEAR(F883))</f>
        <v/>
      </c>
      <c r="H883" s="25">
        <f>IF(F883=0,"",MONTH(F883))</f>
        <v/>
      </c>
      <c r="I883" s="25">
        <f>IFERROR(INDEX(Pedidos!$E$2:$E$1801,MATCH(B883,Pedidos!$A$2:$A$1801,0)),"")</f>
        <v/>
      </c>
      <c r="J883" s="25">
        <f>IFERROR(INDEX(Pedidos!$C$2:$C$1801,MATCH(B883,Pedidos!$A$2:$A$1801,0)),"")</f>
        <v/>
      </c>
      <c r="K883" s="25">
        <f>IFERROR(INDEX(Pedidos!$D$2:$D$1801,MATCH(B883,Pedidos!$A$2:$A$1801,0)),"")</f>
        <v/>
      </c>
      <c r="L883" s="25">
        <f>IFERROR(INDEX(Pedidos!$F$2:$F$1801,MATCH(B883,Pedidos!$A$2:$A$1801,0)),"")</f>
        <v/>
      </c>
      <c r="M883" s="26">
        <f>IFERROR(INDEX(Pedidos!$G$2:$G$1801,MATCH(B883,Pedidos!$A$2:$A$1801,0)),0)</f>
        <v/>
      </c>
      <c r="N883" s="25">
        <f>IFERROR(INDEX(Produtos!$B$2:$B$71,MATCH(C883,Produtos!$A$2:$A$71,0)),"")</f>
        <v/>
      </c>
      <c r="O883" s="25">
        <f>IFERROR(INDEX(Produtos!$C$2:$C$71,MATCH(C883,Produtos!$A$2:$A$71,0)),"")</f>
        <v/>
      </c>
      <c r="P883" s="25">
        <f>IFERROR(INDEX(Produtos!$D$2:$D$71,MATCH(C883,Produtos!$A$2:$A$71,0)),0)</f>
        <v/>
      </c>
      <c r="Q883" s="25">
        <f>IFERROR(INDEX(Produtos!$E$2:$E$71,MATCH(C883,Produtos!$A$2:$A$71,0)),0)</f>
        <v/>
      </c>
      <c r="R883" s="27">
        <f>D883*Q883</f>
        <v/>
      </c>
      <c r="S883" s="27">
        <f>R883*E883</f>
        <v/>
      </c>
      <c r="T883" s="27">
        <f>(R883-S883)*M883</f>
        <v/>
      </c>
      <c r="U883" s="27">
        <f>R883-S883-T883</f>
        <v/>
      </c>
      <c r="V883" s="27">
        <f>D883*P883</f>
        <v/>
      </c>
      <c r="W883" s="27">
        <f>U883-V883</f>
        <v/>
      </c>
      <c r="X883" s="28">
        <f>IFERROR(W883/U883,0)</f>
        <v/>
      </c>
    </row>
    <row r="884">
      <c r="A884" s="21">
        <f>ItensPedido!A884</f>
        <v/>
      </c>
      <c r="B884" s="21">
        <f>ItensPedido!B884</f>
        <v/>
      </c>
      <c r="C884" s="21">
        <f>ItensPedido!C884</f>
        <v/>
      </c>
      <c r="D884" s="21">
        <f>ItensPedido!D884</f>
        <v/>
      </c>
      <c r="E884" s="22">
        <f>ItensPedido!E884</f>
        <v/>
      </c>
      <c r="F884" s="21">
        <f>IFERROR(INDEX(Pedidos!$B$2:$B$1801,MATCH(B884,Pedidos!$A$2:$A$1801,0)),0)</f>
        <v/>
      </c>
      <c r="G884" s="21">
        <f>IF(F884=0,"",YEAR(F884))</f>
        <v/>
      </c>
      <c r="H884" s="21">
        <f>IF(F884=0,"",MONTH(F884))</f>
        <v/>
      </c>
      <c r="I884" s="21">
        <f>IFERROR(INDEX(Pedidos!$E$2:$E$1801,MATCH(B884,Pedidos!$A$2:$A$1801,0)),"")</f>
        <v/>
      </c>
      <c r="J884" s="21">
        <f>IFERROR(INDEX(Pedidos!$C$2:$C$1801,MATCH(B884,Pedidos!$A$2:$A$1801,0)),"")</f>
        <v/>
      </c>
      <c r="K884" s="21">
        <f>IFERROR(INDEX(Pedidos!$D$2:$D$1801,MATCH(B884,Pedidos!$A$2:$A$1801,0)),"")</f>
        <v/>
      </c>
      <c r="L884" s="21">
        <f>IFERROR(INDEX(Pedidos!$F$2:$F$1801,MATCH(B884,Pedidos!$A$2:$A$1801,0)),"")</f>
        <v/>
      </c>
      <c r="M884" s="22">
        <f>IFERROR(INDEX(Pedidos!$G$2:$G$1801,MATCH(B884,Pedidos!$A$2:$A$1801,0)),0)</f>
        <v/>
      </c>
      <c r="N884" s="21">
        <f>IFERROR(INDEX(Produtos!$B$2:$B$71,MATCH(C884,Produtos!$A$2:$A$71,0)),"")</f>
        <v/>
      </c>
      <c r="O884" s="21">
        <f>IFERROR(INDEX(Produtos!$C$2:$C$71,MATCH(C884,Produtos!$A$2:$A$71,0)),"")</f>
        <v/>
      </c>
      <c r="P884" s="21">
        <f>IFERROR(INDEX(Produtos!$D$2:$D$71,MATCH(C884,Produtos!$A$2:$A$71,0)),0)</f>
        <v/>
      </c>
      <c r="Q884" s="21">
        <f>IFERROR(INDEX(Produtos!$E$2:$E$71,MATCH(C884,Produtos!$A$2:$A$71,0)),0)</f>
        <v/>
      </c>
      <c r="R884" s="23">
        <f>D884*Q884</f>
        <v/>
      </c>
      <c r="S884" s="23">
        <f>R884*E884</f>
        <v/>
      </c>
      <c r="T884" s="23">
        <f>(R884-S884)*M884</f>
        <v/>
      </c>
      <c r="U884" s="23">
        <f>R884-S884-T884</f>
        <v/>
      </c>
      <c r="V884" s="23">
        <f>D884*P884</f>
        <v/>
      </c>
      <c r="W884" s="23">
        <f>U884-V884</f>
        <v/>
      </c>
      <c r="X884" s="24">
        <f>IFERROR(W884/U884,0)</f>
        <v/>
      </c>
    </row>
    <row r="885">
      <c r="A885" s="25">
        <f>ItensPedido!A885</f>
        <v/>
      </c>
      <c r="B885" s="25">
        <f>ItensPedido!B885</f>
        <v/>
      </c>
      <c r="C885" s="25">
        <f>ItensPedido!C885</f>
        <v/>
      </c>
      <c r="D885" s="25">
        <f>ItensPedido!D885</f>
        <v/>
      </c>
      <c r="E885" s="26">
        <f>ItensPedido!E885</f>
        <v/>
      </c>
      <c r="F885" s="25">
        <f>IFERROR(INDEX(Pedidos!$B$2:$B$1801,MATCH(B885,Pedidos!$A$2:$A$1801,0)),0)</f>
        <v/>
      </c>
      <c r="G885" s="25">
        <f>IF(F885=0,"",YEAR(F885))</f>
        <v/>
      </c>
      <c r="H885" s="25">
        <f>IF(F885=0,"",MONTH(F885))</f>
        <v/>
      </c>
      <c r="I885" s="25">
        <f>IFERROR(INDEX(Pedidos!$E$2:$E$1801,MATCH(B885,Pedidos!$A$2:$A$1801,0)),"")</f>
        <v/>
      </c>
      <c r="J885" s="25">
        <f>IFERROR(INDEX(Pedidos!$C$2:$C$1801,MATCH(B885,Pedidos!$A$2:$A$1801,0)),"")</f>
        <v/>
      </c>
      <c r="K885" s="25">
        <f>IFERROR(INDEX(Pedidos!$D$2:$D$1801,MATCH(B885,Pedidos!$A$2:$A$1801,0)),"")</f>
        <v/>
      </c>
      <c r="L885" s="25">
        <f>IFERROR(INDEX(Pedidos!$F$2:$F$1801,MATCH(B885,Pedidos!$A$2:$A$1801,0)),"")</f>
        <v/>
      </c>
      <c r="M885" s="26">
        <f>IFERROR(INDEX(Pedidos!$G$2:$G$1801,MATCH(B885,Pedidos!$A$2:$A$1801,0)),0)</f>
        <v/>
      </c>
      <c r="N885" s="25">
        <f>IFERROR(INDEX(Produtos!$B$2:$B$71,MATCH(C885,Produtos!$A$2:$A$71,0)),"")</f>
        <v/>
      </c>
      <c r="O885" s="25">
        <f>IFERROR(INDEX(Produtos!$C$2:$C$71,MATCH(C885,Produtos!$A$2:$A$71,0)),"")</f>
        <v/>
      </c>
      <c r="P885" s="25">
        <f>IFERROR(INDEX(Produtos!$D$2:$D$71,MATCH(C885,Produtos!$A$2:$A$71,0)),0)</f>
        <v/>
      </c>
      <c r="Q885" s="25">
        <f>IFERROR(INDEX(Produtos!$E$2:$E$71,MATCH(C885,Produtos!$A$2:$A$71,0)),0)</f>
        <v/>
      </c>
      <c r="R885" s="27">
        <f>D885*Q885</f>
        <v/>
      </c>
      <c r="S885" s="27">
        <f>R885*E885</f>
        <v/>
      </c>
      <c r="T885" s="27">
        <f>(R885-S885)*M885</f>
        <v/>
      </c>
      <c r="U885" s="27">
        <f>R885-S885-T885</f>
        <v/>
      </c>
      <c r="V885" s="27">
        <f>D885*P885</f>
        <v/>
      </c>
      <c r="W885" s="27">
        <f>U885-V885</f>
        <v/>
      </c>
      <c r="X885" s="28">
        <f>IFERROR(W885/U885,0)</f>
        <v/>
      </c>
    </row>
    <row r="886">
      <c r="A886" s="21">
        <f>ItensPedido!A886</f>
        <v/>
      </c>
      <c r="B886" s="21">
        <f>ItensPedido!B886</f>
        <v/>
      </c>
      <c r="C886" s="21">
        <f>ItensPedido!C886</f>
        <v/>
      </c>
      <c r="D886" s="21">
        <f>ItensPedido!D886</f>
        <v/>
      </c>
      <c r="E886" s="22">
        <f>ItensPedido!E886</f>
        <v/>
      </c>
      <c r="F886" s="21">
        <f>IFERROR(INDEX(Pedidos!$B$2:$B$1801,MATCH(B886,Pedidos!$A$2:$A$1801,0)),0)</f>
        <v/>
      </c>
      <c r="G886" s="21">
        <f>IF(F886=0,"",YEAR(F886))</f>
        <v/>
      </c>
      <c r="H886" s="21">
        <f>IF(F886=0,"",MONTH(F886))</f>
        <v/>
      </c>
      <c r="I886" s="21">
        <f>IFERROR(INDEX(Pedidos!$E$2:$E$1801,MATCH(B886,Pedidos!$A$2:$A$1801,0)),"")</f>
        <v/>
      </c>
      <c r="J886" s="21">
        <f>IFERROR(INDEX(Pedidos!$C$2:$C$1801,MATCH(B886,Pedidos!$A$2:$A$1801,0)),"")</f>
        <v/>
      </c>
      <c r="K886" s="21">
        <f>IFERROR(INDEX(Pedidos!$D$2:$D$1801,MATCH(B886,Pedidos!$A$2:$A$1801,0)),"")</f>
        <v/>
      </c>
      <c r="L886" s="21">
        <f>IFERROR(INDEX(Pedidos!$F$2:$F$1801,MATCH(B886,Pedidos!$A$2:$A$1801,0)),"")</f>
        <v/>
      </c>
      <c r="M886" s="22">
        <f>IFERROR(INDEX(Pedidos!$G$2:$G$1801,MATCH(B886,Pedidos!$A$2:$A$1801,0)),0)</f>
        <v/>
      </c>
      <c r="N886" s="21">
        <f>IFERROR(INDEX(Produtos!$B$2:$B$71,MATCH(C886,Produtos!$A$2:$A$71,0)),"")</f>
        <v/>
      </c>
      <c r="O886" s="21">
        <f>IFERROR(INDEX(Produtos!$C$2:$C$71,MATCH(C886,Produtos!$A$2:$A$71,0)),"")</f>
        <v/>
      </c>
      <c r="P886" s="21">
        <f>IFERROR(INDEX(Produtos!$D$2:$D$71,MATCH(C886,Produtos!$A$2:$A$71,0)),0)</f>
        <v/>
      </c>
      <c r="Q886" s="21">
        <f>IFERROR(INDEX(Produtos!$E$2:$E$71,MATCH(C886,Produtos!$A$2:$A$71,0)),0)</f>
        <v/>
      </c>
      <c r="R886" s="23">
        <f>D886*Q886</f>
        <v/>
      </c>
      <c r="S886" s="23">
        <f>R886*E886</f>
        <v/>
      </c>
      <c r="T886" s="23">
        <f>(R886-S886)*M886</f>
        <v/>
      </c>
      <c r="U886" s="23">
        <f>R886-S886-T886</f>
        <v/>
      </c>
      <c r="V886" s="23">
        <f>D886*P886</f>
        <v/>
      </c>
      <c r="W886" s="23">
        <f>U886-V886</f>
        <v/>
      </c>
      <c r="X886" s="24">
        <f>IFERROR(W886/U886,0)</f>
        <v/>
      </c>
    </row>
    <row r="887">
      <c r="A887" s="25">
        <f>ItensPedido!A887</f>
        <v/>
      </c>
      <c r="B887" s="25">
        <f>ItensPedido!B887</f>
        <v/>
      </c>
      <c r="C887" s="25">
        <f>ItensPedido!C887</f>
        <v/>
      </c>
      <c r="D887" s="25">
        <f>ItensPedido!D887</f>
        <v/>
      </c>
      <c r="E887" s="26">
        <f>ItensPedido!E887</f>
        <v/>
      </c>
      <c r="F887" s="25">
        <f>IFERROR(INDEX(Pedidos!$B$2:$B$1801,MATCH(B887,Pedidos!$A$2:$A$1801,0)),0)</f>
        <v/>
      </c>
      <c r="G887" s="25">
        <f>IF(F887=0,"",YEAR(F887))</f>
        <v/>
      </c>
      <c r="H887" s="25">
        <f>IF(F887=0,"",MONTH(F887))</f>
        <v/>
      </c>
      <c r="I887" s="25">
        <f>IFERROR(INDEX(Pedidos!$E$2:$E$1801,MATCH(B887,Pedidos!$A$2:$A$1801,0)),"")</f>
        <v/>
      </c>
      <c r="J887" s="25">
        <f>IFERROR(INDEX(Pedidos!$C$2:$C$1801,MATCH(B887,Pedidos!$A$2:$A$1801,0)),"")</f>
        <v/>
      </c>
      <c r="K887" s="25">
        <f>IFERROR(INDEX(Pedidos!$D$2:$D$1801,MATCH(B887,Pedidos!$A$2:$A$1801,0)),"")</f>
        <v/>
      </c>
      <c r="L887" s="25">
        <f>IFERROR(INDEX(Pedidos!$F$2:$F$1801,MATCH(B887,Pedidos!$A$2:$A$1801,0)),"")</f>
        <v/>
      </c>
      <c r="M887" s="26">
        <f>IFERROR(INDEX(Pedidos!$G$2:$G$1801,MATCH(B887,Pedidos!$A$2:$A$1801,0)),0)</f>
        <v/>
      </c>
      <c r="N887" s="25">
        <f>IFERROR(INDEX(Produtos!$B$2:$B$71,MATCH(C887,Produtos!$A$2:$A$71,0)),"")</f>
        <v/>
      </c>
      <c r="O887" s="25">
        <f>IFERROR(INDEX(Produtos!$C$2:$C$71,MATCH(C887,Produtos!$A$2:$A$71,0)),"")</f>
        <v/>
      </c>
      <c r="P887" s="25">
        <f>IFERROR(INDEX(Produtos!$D$2:$D$71,MATCH(C887,Produtos!$A$2:$A$71,0)),0)</f>
        <v/>
      </c>
      <c r="Q887" s="25">
        <f>IFERROR(INDEX(Produtos!$E$2:$E$71,MATCH(C887,Produtos!$A$2:$A$71,0)),0)</f>
        <v/>
      </c>
      <c r="R887" s="27">
        <f>D887*Q887</f>
        <v/>
      </c>
      <c r="S887" s="27">
        <f>R887*E887</f>
        <v/>
      </c>
      <c r="T887" s="27">
        <f>(R887-S887)*M887</f>
        <v/>
      </c>
      <c r="U887" s="27">
        <f>R887-S887-T887</f>
        <v/>
      </c>
      <c r="V887" s="27">
        <f>D887*P887</f>
        <v/>
      </c>
      <c r="W887" s="27">
        <f>U887-V887</f>
        <v/>
      </c>
      <c r="X887" s="28">
        <f>IFERROR(W887/U887,0)</f>
        <v/>
      </c>
    </row>
    <row r="888">
      <c r="A888" s="21">
        <f>ItensPedido!A888</f>
        <v/>
      </c>
      <c r="B888" s="21">
        <f>ItensPedido!B888</f>
        <v/>
      </c>
      <c r="C888" s="21">
        <f>ItensPedido!C888</f>
        <v/>
      </c>
      <c r="D888" s="21">
        <f>ItensPedido!D888</f>
        <v/>
      </c>
      <c r="E888" s="22">
        <f>ItensPedido!E888</f>
        <v/>
      </c>
      <c r="F888" s="21">
        <f>IFERROR(INDEX(Pedidos!$B$2:$B$1801,MATCH(B888,Pedidos!$A$2:$A$1801,0)),0)</f>
        <v/>
      </c>
      <c r="G888" s="21">
        <f>IF(F888=0,"",YEAR(F888))</f>
        <v/>
      </c>
      <c r="H888" s="21">
        <f>IF(F888=0,"",MONTH(F888))</f>
        <v/>
      </c>
      <c r="I888" s="21">
        <f>IFERROR(INDEX(Pedidos!$E$2:$E$1801,MATCH(B888,Pedidos!$A$2:$A$1801,0)),"")</f>
        <v/>
      </c>
      <c r="J888" s="21">
        <f>IFERROR(INDEX(Pedidos!$C$2:$C$1801,MATCH(B888,Pedidos!$A$2:$A$1801,0)),"")</f>
        <v/>
      </c>
      <c r="K888" s="21">
        <f>IFERROR(INDEX(Pedidos!$D$2:$D$1801,MATCH(B888,Pedidos!$A$2:$A$1801,0)),"")</f>
        <v/>
      </c>
      <c r="L888" s="21">
        <f>IFERROR(INDEX(Pedidos!$F$2:$F$1801,MATCH(B888,Pedidos!$A$2:$A$1801,0)),"")</f>
        <v/>
      </c>
      <c r="M888" s="22">
        <f>IFERROR(INDEX(Pedidos!$G$2:$G$1801,MATCH(B888,Pedidos!$A$2:$A$1801,0)),0)</f>
        <v/>
      </c>
      <c r="N888" s="21">
        <f>IFERROR(INDEX(Produtos!$B$2:$B$71,MATCH(C888,Produtos!$A$2:$A$71,0)),"")</f>
        <v/>
      </c>
      <c r="O888" s="21">
        <f>IFERROR(INDEX(Produtos!$C$2:$C$71,MATCH(C888,Produtos!$A$2:$A$71,0)),"")</f>
        <v/>
      </c>
      <c r="P888" s="21">
        <f>IFERROR(INDEX(Produtos!$D$2:$D$71,MATCH(C888,Produtos!$A$2:$A$71,0)),0)</f>
        <v/>
      </c>
      <c r="Q888" s="21">
        <f>IFERROR(INDEX(Produtos!$E$2:$E$71,MATCH(C888,Produtos!$A$2:$A$71,0)),0)</f>
        <v/>
      </c>
      <c r="R888" s="23">
        <f>D888*Q888</f>
        <v/>
      </c>
      <c r="S888" s="23">
        <f>R888*E888</f>
        <v/>
      </c>
      <c r="T888" s="23">
        <f>(R888-S888)*M888</f>
        <v/>
      </c>
      <c r="U888" s="23">
        <f>R888-S888-T888</f>
        <v/>
      </c>
      <c r="V888" s="23">
        <f>D888*P888</f>
        <v/>
      </c>
      <c r="W888" s="23">
        <f>U888-V888</f>
        <v/>
      </c>
      <c r="X888" s="24">
        <f>IFERROR(W888/U888,0)</f>
        <v/>
      </c>
    </row>
    <row r="889">
      <c r="A889" s="25">
        <f>ItensPedido!A889</f>
        <v/>
      </c>
      <c r="B889" s="25">
        <f>ItensPedido!B889</f>
        <v/>
      </c>
      <c r="C889" s="25">
        <f>ItensPedido!C889</f>
        <v/>
      </c>
      <c r="D889" s="25">
        <f>ItensPedido!D889</f>
        <v/>
      </c>
      <c r="E889" s="26">
        <f>ItensPedido!E889</f>
        <v/>
      </c>
      <c r="F889" s="25">
        <f>IFERROR(INDEX(Pedidos!$B$2:$B$1801,MATCH(B889,Pedidos!$A$2:$A$1801,0)),0)</f>
        <v/>
      </c>
      <c r="G889" s="25">
        <f>IF(F889=0,"",YEAR(F889))</f>
        <v/>
      </c>
      <c r="H889" s="25">
        <f>IF(F889=0,"",MONTH(F889))</f>
        <v/>
      </c>
      <c r="I889" s="25">
        <f>IFERROR(INDEX(Pedidos!$E$2:$E$1801,MATCH(B889,Pedidos!$A$2:$A$1801,0)),"")</f>
        <v/>
      </c>
      <c r="J889" s="25">
        <f>IFERROR(INDEX(Pedidos!$C$2:$C$1801,MATCH(B889,Pedidos!$A$2:$A$1801,0)),"")</f>
        <v/>
      </c>
      <c r="K889" s="25">
        <f>IFERROR(INDEX(Pedidos!$D$2:$D$1801,MATCH(B889,Pedidos!$A$2:$A$1801,0)),"")</f>
        <v/>
      </c>
      <c r="L889" s="25">
        <f>IFERROR(INDEX(Pedidos!$F$2:$F$1801,MATCH(B889,Pedidos!$A$2:$A$1801,0)),"")</f>
        <v/>
      </c>
      <c r="M889" s="26">
        <f>IFERROR(INDEX(Pedidos!$G$2:$G$1801,MATCH(B889,Pedidos!$A$2:$A$1801,0)),0)</f>
        <v/>
      </c>
      <c r="N889" s="25">
        <f>IFERROR(INDEX(Produtos!$B$2:$B$71,MATCH(C889,Produtos!$A$2:$A$71,0)),"")</f>
        <v/>
      </c>
      <c r="O889" s="25">
        <f>IFERROR(INDEX(Produtos!$C$2:$C$71,MATCH(C889,Produtos!$A$2:$A$71,0)),"")</f>
        <v/>
      </c>
      <c r="P889" s="25">
        <f>IFERROR(INDEX(Produtos!$D$2:$D$71,MATCH(C889,Produtos!$A$2:$A$71,0)),0)</f>
        <v/>
      </c>
      <c r="Q889" s="25">
        <f>IFERROR(INDEX(Produtos!$E$2:$E$71,MATCH(C889,Produtos!$A$2:$A$71,0)),0)</f>
        <v/>
      </c>
      <c r="R889" s="27">
        <f>D889*Q889</f>
        <v/>
      </c>
      <c r="S889" s="27">
        <f>R889*E889</f>
        <v/>
      </c>
      <c r="T889" s="27">
        <f>(R889-S889)*M889</f>
        <v/>
      </c>
      <c r="U889" s="27">
        <f>R889-S889-T889</f>
        <v/>
      </c>
      <c r="V889" s="27">
        <f>D889*P889</f>
        <v/>
      </c>
      <c r="W889" s="27">
        <f>U889-V889</f>
        <v/>
      </c>
      <c r="X889" s="28">
        <f>IFERROR(W889/U889,0)</f>
        <v/>
      </c>
    </row>
    <row r="890">
      <c r="A890" s="21">
        <f>ItensPedido!A890</f>
        <v/>
      </c>
      <c r="B890" s="21">
        <f>ItensPedido!B890</f>
        <v/>
      </c>
      <c r="C890" s="21">
        <f>ItensPedido!C890</f>
        <v/>
      </c>
      <c r="D890" s="21">
        <f>ItensPedido!D890</f>
        <v/>
      </c>
      <c r="E890" s="22">
        <f>ItensPedido!E890</f>
        <v/>
      </c>
      <c r="F890" s="21">
        <f>IFERROR(INDEX(Pedidos!$B$2:$B$1801,MATCH(B890,Pedidos!$A$2:$A$1801,0)),0)</f>
        <v/>
      </c>
      <c r="G890" s="21">
        <f>IF(F890=0,"",YEAR(F890))</f>
        <v/>
      </c>
      <c r="H890" s="21">
        <f>IF(F890=0,"",MONTH(F890))</f>
        <v/>
      </c>
      <c r="I890" s="21">
        <f>IFERROR(INDEX(Pedidos!$E$2:$E$1801,MATCH(B890,Pedidos!$A$2:$A$1801,0)),"")</f>
        <v/>
      </c>
      <c r="J890" s="21">
        <f>IFERROR(INDEX(Pedidos!$C$2:$C$1801,MATCH(B890,Pedidos!$A$2:$A$1801,0)),"")</f>
        <v/>
      </c>
      <c r="K890" s="21">
        <f>IFERROR(INDEX(Pedidos!$D$2:$D$1801,MATCH(B890,Pedidos!$A$2:$A$1801,0)),"")</f>
        <v/>
      </c>
      <c r="L890" s="21">
        <f>IFERROR(INDEX(Pedidos!$F$2:$F$1801,MATCH(B890,Pedidos!$A$2:$A$1801,0)),"")</f>
        <v/>
      </c>
      <c r="M890" s="22">
        <f>IFERROR(INDEX(Pedidos!$G$2:$G$1801,MATCH(B890,Pedidos!$A$2:$A$1801,0)),0)</f>
        <v/>
      </c>
      <c r="N890" s="21">
        <f>IFERROR(INDEX(Produtos!$B$2:$B$71,MATCH(C890,Produtos!$A$2:$A$71,0)),"")</f>
        <v/>
      </c>
      <c r="O890" s="21">
        <f>IFERROR(INDEX(Produtos!$C$2:$C$71,MATCH(C890,Produtos!$A$2:$A$71,0)),"")</f>
        <v/>
      </c>
      <c r="P890" s="21">
        <f>IFERROR(INDEX(Produtos!$D$2:$D$71,MATCH(C890,Produtos!$A$2:$A$71,0)),0)</f>
        <v/>
      </c>
      <c r="Q890" s="21">
        <f>IFERROR(INDEX(Produtos!$E$2:$E$71,MATCH(C890,Produtos!$A$2:$A$71,0)),0)</f>
        <v/>
      </c>
      <c r="R890" s="23">
        <f>D890*Q890</f>
        <v/>
      </c>
      <c r="S890" s="23">
        <f>R890*E890</f>
        <v/>
      </c>
      <c r="T890" s="23">
        <f>(R890-S890)*M890</f>
        <v/>
      </c>
      <c r="U890" s="23">
        <f>R890-S890-T890</f>
        <v/>
      </c>
      <c r="V890" s="23">
        <f>D890*P890</f>
        <v/>
      </c>
      <c r="W890" s="23">
        <f>U890-V890</f>
        <v/>
      </c>
      <c r="X890" s="24">
        <f>IFERROR(W890/U890,0)</f>
        <v/>
      </c>
    </row>
    <row r="891">
      <c r="A891" s="25">
        <f>ItensPedido!A891</f>
        <v/>
      </c>
      <c r="B891" s="25">
        <f>ItensPedido!B891</f>
        <v/>
      </c>
      <c r="C891" s="25">
        <f>ItensPedido!C891</f>
        <v/>
      </c>
      <c r="D891" s="25">
        <f>ItensPedido!D891</f>
        <v/>
      </c>
      <c r="E891" s="26">
        <f>ItensPedido!E891</f>
        <v/>
      </c>
      <c r="F891" s="25">
        <f>IFERROR(INDEX(Pedidos!$B$2:$B$1801,MATCH(B891,Pedidos!$A$2:$A$1801,0)),0)</f>
        <v/>
      </c>
      <c r="G891" s="25">
        <f>IF(F891=0,"",YEAR(F891))</f>
        <v/>
      </c>
      <c r="H891" s="25">
        <f>IF(F891=0,"",MONTH(F891))</f>
        <v/>
      </c>
      <c r="I891" s="25">
        <f>IFERROR(INDEX(Pedidos!$E$2:$E$1801,MATCH(B891,Pedidos!$A$2:$A$1801,0)),"")</f>
        <v/>
      </c>
      <c r="J891" s="25">
        <f>IFERROR(INDEX(Pedidos!$C$2:$C$1801,MATCH(B891,Pedidos!$A$2:$A$1801,0)),"")</f>
        <v/>
      </c>
      <c r="K891" s="25">
        <f>IFERROR(INDEX(Pedidos!$D$2:$D$1801,MATCH(B891,Pedidos!$A$2:$A$1801,0)),"")</f>
        <v/>
      </c>
      <c r="L891" s="25">
        <f>IFERROR(INDEX(Pedidos!$F$2:$F$1801,MATCH(B891,Pedidos!$A$2:$A$1801,0)),"")</f>
        <v/>
      </c>
      <c r="M891" s="26">
        <f>IFERROR(INDEX(Pedidos!$G$2:$G$1801,MATCH(B891,Pedidos!$A$2:$A$1801,0)),0)</f>
        <v/>
      </c>
      <c r="N891" s="25">
        <f>IFERROR(INDEX(Produtos!$B$2:$B$71,MATCH(C891,Produtos!$A$2:$A$71,0)),"")</f>
        <v/>
      </c>
      <c r="O891" s="25">
        <f>IFERROR(INDEX(Produtos!$C$2:$C$71,MATCH(C891,Produtos!$A$2:$A$71,0)),"")</f>
        <v/>
      </c>
      <c r="P891" s="25">
        <f>IFERROR(INDEX(Produtos!$D$2:$D$71,MATCH(C891,Produtos!$A$2:$A$71,0)),0)</f>
        <v/>
      </c>
      <c r="Q891" s="25">
        <f>IFERROR(INDEX(Produtos!$E$2:$E$71,MATCH(C891,Produtos!$A$2:$A$71,0)),0)</f>
        <v/>
      </c>
      <c r="R891" s="27">
        <f>D891*Q891</f>
        <v/>
      </c>
      <c r="S891" s="27">
        <f>R891*E891</f>
        <v/>
      </c>
      <c r="T891" s="27">
        <f>(R891-S891)*M891</f>
        <v/>
      </c>
      <c r="U891" s="27">
        <f>R891-S891-T891</f>
        <v/>
      </c>
      <c r="V891" s="27">
        <f>D891*P891</f>
        <v/>
      </c>
      <c r="W891" s="27">
        <f>U891-V891</f>
        <v/>
      </c>
      <c r="X891" s="28">
        <f>IFERROR(W891/U891,0)</f>
        <v/>
      </c>
    </row>
    <row r="892">
      <c r="A892" s="21">
        <f>ItensPedido!A892</f>
        <v/>
      </c>
      <c r="B892" s="21">
        <f>ItensPedido!B892</f>
        <v/>
      </c>
      <c r="C892" s="21">
        <f>ItensPedido!C892</f>
        <v/>
      </c>
      <c r="D892" s="21">
        <f>ItensPedido!D892</f>
        <v/>
      </c>
      <c r="E892" s="22">
        <f>ItensPedido!E892</f>
        <v/>
      </c>
      <c r="F892" s="21">
        <f>IFERROR(INDEX(Pedidos!$B$2:$B$1801,MATCH(B892,Pedidos!$A$2:$A$1801,0)),0)</f>
        <v/>
      </c>
      <c r="G892" s="21">
        <f>IF(F892=0,"",YEAR(F892))</f>
        <v/>
      </c>
      <c r="H892" s="21">
        <f>IF(F892=0,"",MONTH(F892))</f>
        <v/>
      </c>
      <c r="I892" s="21">
        <f>IFERROR(INDEX(Pedidos!$E$2:$E$1801,MATCH(B892,Pedidos!$A$2:$A$1801,0)),"")</f>
        <v/>
      </c>
      <c r="J892" s="21">
        <f>IFERROR(INDEX(Pedidos!$C$2:$C$1801,MATCH(B892,Pedidos!$A$2:$A$1801,0)),"")</f>
        <v/>
      </c>
      <c r="K892" s="21">
        <f>IFERROR(INDEX(Pedidos!$D$2:$D$1801,MATCH(B892,Pedidos!$A$2:$A$1801,0)),"")</f>
        <v/>
      </c>
      <c r="L892" s="21">
        <f>IFERROR(INDEX(Pedidos!$F$2:$F$1801,MATCH(B892,Pedidos!$A$2:$A$1801,0)),"")</f>
        <v/>
      </c>
      <c r="M892" s="22">
        <f>IFERROR(INDEX(Pedidos!$G$2:$G$1801,MATCH(B892,Pedidos!$A$2:$A$1801,0)),0)</f>
        <v/>
      </c>
      <c r="N892" s="21">
        <f>IFERROR(INDEX(Produtos!$B$2:$B$71,MATCH(C892,Produtos!$A$2:$A$71,0)),"")</f>
        <v/>
      </c>
      <c r="O892" s="21">
        <f>IFERROR(INDEX(Produtos!$C$2:$C$71,MATCH(C892,Produtos!$A$2:$A$71,0)),"")</f>
        <v/>
      </c>
      <c r="P892" s="21">
        <f>IFERROR(INDEX(Produtos!$D$2:$D$71,MATCH(C892,Produtos!$A$2:$A$71,0)),0)</f>
        <v/>
      </c>
      <c r="Q892" s="21">
        <f>IFERROR(INDEX(Produtos!$E$2:$E$71,MATCH(C892,Produtos!$A$2:$A$71,0)),0)</f>
        <v/>
      </c>
      <c r="R892" s="23">
        <f>D892*Q892</f>
        <v/>
      </c>
      <c r="S892" s="23">
        <f>R892*E892</f>
        <v/>
      </c>
      <c r="T892" s="23">
        <f>(R892-S892)*M892</f>
        <v/>
      </c>
      <c r="U892" s="23">
        <f>R892-S892-T892</f>
        <v/>
      </c>
      <c r="V892" s="23">
        <f>D892*P892</f>
        <v/>
      </c>
      <c r="W892" s="23">
        <f>U892-V892</f>
        <v/>
      </c>
      <c r="X892" s="24">
        <f>IFERROR(W892/U892,0)</f>
        <v/>
      </c>
    </row>
    <row r="893">
      <c r="A893" s="25">
        <f>ItensPedido!A893</f>
        <v/>
      </c>
      <c r="B893" s="25">
        <f>ItensPedido!B893</f>
        <v/>
      </c>
      <c r="C893" s="25">
        <f>ItensPedido!C893</f>
        <v/>
      </c>
      <c r="D893" s="25">
        <f>ItensPedido!D893</f>
        <v/>
      </c>
      <c r="E893" s="26">
        <f>ItensPedido!E893</f>
        <v/>
      </c>
      <c r="F893" s="25">
        <f>IFERROR(INDEX(Pedidos!$B$2:$B$1801,MATCH(B893,Pedidos!$A$2:$A$1801,0)),0)</f>
        <v/>
      </c>
      <c r="G893" s="25">
        <f>IF(F893=0,"",YEAR(F893))</f>
        <v/>
      </c>
      <c r="H893" s="25">
        <f>IF(F893=0,"",MONTH(F893))</f>
        <v/>
      </c>
      <c r="I893" s="25">
        <f>IFERROR(INDEX(Pedidos!$E$2:$E$1801,MATCH(B893,Pedidos!$A$2:$A$1801,0)),"")</f>
        <v/>
      </c>
      <c r="J893" s="25">
        <f>IFERROR(INDEX(Pedidos!$C$2:$C$1801,MATCH(B893,Pedidos!$A$2:$A$1801,0)),"")</f>
        <v/>
      </c>
      <c r="K893" s="25">
        <f>IFERROR(INDEX(Pedidos!$D$2:$D$1801,MATCH(B893,Pedidos!$A$2:$A$1801,0)),"")</f>
        <v/>
      </c>
      <c r="L893" s="25">
        <f>IFERROR(INDEX(Pedidos!$F$2:$F$1801,MATCH(B893,Pedidos!$A$2:$A$1801,0)),"")</f>
        <v/>
      </c>
      <c r="M893" s="26">
        <f>IFERROR(INDEX(Pedidos!$G$2:$G$1801,MATCH(B893,Pedidos!$A$2:$A$1801,0)),0)</f>
        <v/>
      </c>
      <c r="N893" s="25">
        <f>IFERROR(INDEX(Produtos!$B$2:$B$71,MATCH(C893,Produtos!$A$2:$A$71,0)),"")</f>
        <v/>
      </c>
      <c r="O893" s="25">
        <f>IFERROR(INDEX(Produtos!$C$2:$C$71,MATCH(C893,Produtos!$A$2:$A$71,0)),"")</f>
        <v/>
      </c>
      <c r="P893" s="25">
        <f>IFERROR(INDEX(Produtos!$D$2:$D$71,MATCH(C893,Produtos!$A$2:$A$71,0)),0)</f>
        <v/>
      </c>
      <c r="Q893" s="25">
        <f>IFERROR(INDEX(Produtos!$E$2:$E$71,MATCH(C893,Produtos!$A$2:$A$71,0)),0)</f>
        <v/>
      </c>
      <c r="R893" s="27">
        <f>D893*Q893</f>
        <v/>
      </c>
      <c r="S893" s="27">
        <f>R893*E893</f>
        <v/>
      </c>
      <c r="T893" s="27">
        <f>(R893-S893)*M893</f>
        <v/>
      </c>
      <c r="U893" s="27">
        <f>R893-S893-T893</f>
        <v/>
      </c>
      <c r="V893" s="27">
        <f>D893*P893</f>
        <v/>
      </c>
      <c r="W893" s="27">
        <f>U893-V893</f>
        <v/>
      </c>
      <c r="X893" s="28">
        <f>IFERROR(W893/U893,0)</f>
        <v/>
      </c>
    </row>
    <row r="894">
      <c r="A894" s="21">
        <f>ItensPedido!A894</f>
        <v/>
      </c>
      <c r="B894" s="21">
        <f>ItensPedido!B894</f>
        <v/>
      </c>
      <c r="C894" s="21">
        <f>ItensPedido!C894</f>
        <v/>
      </c>
      <c r="D894" s="21">
        <f>ItensPedido!D894</f>
        <v/>
      </c>
      <c r="E894" s="22">
        <f>ItensPedido!E894</f>
        <v/>
      </c>
      <c r="F894" s="21">
        <f>IFERROR(INDEX(Pedidos!$B$2:$B$1801,MATCH(B894,Pedidos!$A$2:$A$1801,0)),0)</f>
        <v/>
      </c>
      <c r="G894" s="21">
        <f>IF(F894=0,"",YEAR(F894))</f>
        <v/>
      </c>
      <c r="H894" s="21">
        <f>IF(F894=0,"",MONTH(F894))</f>
        <v/>
      </c>
      <c r="I894" s="21">
        <f>IFERROR(INDEX(Pedidos!$E$2:$E$1801,MATCH(B894,Pedidos!$A$2:$A$1801,0)),"")</f>
        <v/>
      </c>
      <c r="J894" s="21">
        <f>IFERROR(INDEX(Pedidos!$C$2:$C$1801,MATCH(B894,Pedidos!$A$2:$A$1801,0)),"")</f>
        <v/>
      </c>
      <c r="K894" s="21">
        <f>IFERROR(INDEX(Pedidos!$D$2:$D$1801,MATCH(B894,Pedidos!$A$2:$A$1801,0)),"")</f>
        <v/>
      </c>
      <c r="L894" s="21">
        <f>IFERROR(INDEX(Pedidos!$F$2:$F$1801,MATCH(B894,Pedidos!$A$2:$A$1801,0)),"")</f>
        <v/>
      </c>
      <c r="M894" s="22">
        <f>IFERROR(INDEX(Pedidos!$G$2:$G$1801,MATCH(B894,Pedidos!$A$2:$A$1801,0)),0)</f>
        <v/>
      </c>
      <c r="N894" s="21">
        <f>IFERROR(INDEX(Produtos!$B$2:$B$71,MATCH(C894,Produtos!$A$2:$A$71,0)),"")</f>
        <v/>
      </c>
      <c r="O894" s="21">
        <f>IFERROR(INDEX(Produtos!$C$2:$C$71,MATCH(C894,Produtos!$A$2:$A$71,0)),"")</f>
        <v/>
      </c>
      <c r="P894" s="21">
        <f>IFERROR(INDEX(Produtos!$D$2:$D$71,MATCH(C894,Produtos!$A$2:$A$71,0)),0)</f>
        <v/>
      </c>
      <c r="Q894" s="21">
        <f>IFERROR(INDEX(Produtos!$E$2:$E$71,MATCH(C894,Produtos!$A$2:$A$71,0)),0)</f>
        <v/>
      </c>
      <c r="R894" s="23">
        <f>D894*Q894</f>
        <v/>
      </c>
      <c r="S894" s="23">
        <f>R894*E894</f>
        <v/>
      </c>
      <c r="T894" s="23">
        <f>(R894-S894)*M894</f>
        <v/>
      </c>
      <c r="U894" s="23">
        <f>R894-S894-T894</f>
        <v/>
      </c>
      <c r="V894" s="23">
        <f>D894*P894</f>
        <v/>
      </c>
      <c r="W894" s="23">
        <f>U894-V894</f>
        <v/>
      </c>
      <c r="X894" s="24">
        <f>IFERROR(W894/U894,0)</f>
        <v/>
      </c>
    </row>
    <row r="895">
      <c r="A895" s="25">
        <f>ItensPedido!A895</f>
        <v/>
      </c>
      <c r="B895" s="25">
        <f>ItensPedido!B895</f>
        <v/>
      </c>
      <c r="C895" s="25">
        <f>ItensPedido!C895</f>
        <v/>
      </c>
      <c r="D895" s="25">
        <f>ItensPedido!D895</f>
        <v/>
      </c>
      <c r="E895" s="26">
        <f>ItensPedido!E895</f>
        <v/>
      </c>
      <c r="F895" s="25">
        <f>IFERROR(INDEX(Pedidos!$B$2:$B$1801,MATCH(B895,Pedidos!$A$2:$A$1801,0)),0)</f>
        <v/>
      </c>
      <c r="G895" s="25">
        <f>IF(F895=0,"",YEAR(F895))</f>
        <v/>
      </c>
      <c r="H895" s="25">
        <f>IF(F895=0,"",MONTH(F895))</f>
        <v/>
      </c>
      <c r="I895" s="25">
        <f>IFERROR(INDEX(Pedidos!$E$2:$E$1801,MATCH(B895,Pedidos!$A$2:$A$1801,0)),"")</f>
        <v/>
      </c>
      <c r="J895" s="25">
        <f>IFERROR(INDEX(Pedidos!$C$2:$C$1801,MATCH(B895,Pedidos!$A$2:$A$1801,0)),"")</f>
        <v/>
      </c>
      <c r="K895" s="25">
        <f>IFERROR(INDEX(Pedidos!$D$2:$D$1801,MATCH(B895,Pedidos!$A$2:$A$1801,0)),"")</f>
        <v/>
      </c>
      <c r="L895" s="25">
        <f>IFERROR(INDEX(Pedidos!$F$2:$F$1801,MATCH(B895,Pedidos!$A$2:$A$1801,0)),"")</f>
        <v/>
      </c>
      <c r="M895" s="26">
        <f>IFERROR(INDEX(Pedidos!$G$2:$G$1801,MATCH(B895,Pedidos!$A$2:$A$1801,0)),0)</f>
        <v/>
      </c>
      <c r="N895" s="25">
        <f>IFERROR(INDEX(Produtos!$B$2:$B$71,MATCH(C895,Produtos!$A$2:$A$71,0)),"")</f>
        <v/>
      </c>
      <c r="O895" s="25">
        <f>IFERROR(INDEX(Produtos!$C$2:$C$71,MATCH(C895,Produtos!$A$2:$A$71,0)),"")</f>
        <v/>
      </c>
      <c r="P895" s="25">
        <f>IFERROR(INDEX(Produtos!$D$2:$D$71,MATCH(C895,Produtos!$A$2:$A$71,0)),0)</f>
        <v/>
      </c>
      <c r="Q895" s="25">
        <f>IFERROR(INDEX(Produtos!$E$2:$E$71,MATCH(C895,Produtos!$A$2:$A$71,0)),0)</f>
        <v/>
      </c>
      <c r="R895" s="27">
        <f>D895*Q895</f>
        <v/>
      </c>
      <c r="S895" s="27">
        <f>R895*E895</f>
        <v/>
      </c>
      <c r="T895" s="27">
        <f>(R895-S895)*M895</f>
        <v/>
      </c>
      <c r="U895" s="27">
        <f>R895-S895-T895</f>
        <v/>
      </c>
      <c r="V895" s="27">
        <f>D895*P895</f>
        <v/>
      </c>
      <c r="W895" s="27">
        <f>U895-V895</f>
        <v/>
      </c>
      <c r="X895" s="28">
        <f>IFERROR(W895/U895,0)</f>
        <v/>
      </c>
    </row>
    <row r="896">
      <c r="A896" s="21">
        <f>ItensPedido!A896</f>
        <v/>
      </c>
      <c r="B896" s="21">
        <f>ItensPedido!B896</f>
        <v/>
      </c>
      <c r="C896" s="21">
        <f>ItensPedido!C896</f>
        <v/>
      </c>
      <c r="D896" s="21">
        <f>ItensPedido!D896</f>
        <v/>
      </c>
      <c r="E896" s="22">
        <f>ItensPedido!E896</f>
        <v/>
      </c>
      <c r="F896" s="21">
        <f>IFERROR(INDEX(Pedidos!$B$2:$B$1801,MATCH(B896,Pedidos!$A$2:$A$1801,0)),0)</f>
        <v/>
      </c>
      <c r="G896" s="21">
        <f>IF(F896=0,"",YEAR(F896))</f>
        <v/>
      </c>
      <c r="H896" s="21">
        <f>IF(F896=0,"",MONTH(F896))</f>
        <v/>
      </c>
      <c r="I896" s="21">
        <f>IFERROR(INDEX(Pedidos!$E$2:$E$1801,MATCH(B896,Pedidos!$A$2:$A$1801,0)),"")</f>
        <v/>
      </c>
      <c r="J896" s="21">
        <f>IFERROR(INDEX(Pedidos!$C$2:$C$1801,MATCH(B896,Pedidos!$A$2:$A$1801,0)),"")</f>
        <v/>
      </c>
      <c r="K896" s="21">
        <f>IFERROR(INDEX(Pedidos!$D$2:$D$1801,MATCH(B896,Pedidos!$A$2:$A$1801,0)),"")</f>
        <v/>
      </c>
      <c r="L896" s="21">
        <f>IFERROR(INDEX(Pedidos!$F$2:$F$1801,MATCH(B896,Pedidos!$A$2:$A$1801,0)),"")</f>
        <v/>
      </c>
      <c r="M896" s="22">
        <f>IFERROR(INDEX(Pedidos!$G$2:$G$1801,MATCH(B896,Pedidos!$A$2:$A$1801,0)),0)</f>
        <v/>
      </c>
      <c r="N896" s="21">
        <f>IFERROR(INDEX(Produtos!$B$2:$B$71,MATCH(C896,Produtos!$A$2:$A$71,0)),"")</f>
        <v/>
      </c>
      <c r="O896" s="21">
        <f>IFERROR(INDEX(Produtos!$C$2:$C$71,MATCH(C896,Produtos!$A$2:$A$71,0)),"")</f>
        <v/>
      </c>
      <c r="P896" s="21">
        <f>IFERROR(INDEX(Produtos!$D$2:$D$71,MATCH(C896,Produtos!$A$2:$A$71,0)),0)</f>
        <v/>
      </c>
      <c r="Q896" s="21">
        <f>IFERROR(INDEX(Produtos!$E$2:$E$71,MATCH(C896,Produtos!$A$2:$A$71,0)),0)</f>
        <v/>
      </c>
      <c r="R896" s="23">
        <f>D896*Q896</f>
        <v/>
      </c>
      <c r="S896" s="23">
        <f>R896*E896</f>
        <v/>
      </c>
      <c r="T896" s="23">
        <f>(R896-S896)*M896</f>
        <v/>
      </c>
      <c r="U896" s="23">
        <f>R896-S896-T896</f>
        <v/>
      </c>
      <c r="V896" s="23">
        <f>D896*P896</f>
        <v/>
      </c>
      <c r="W896" s="23">
        <f>U896-V896</f>
        <v/>
      </c>
      <c r="X896" s="24">
        <f>IFERROR(W896/U896,0)</f>
        <v/>
      </c>
    </row>
    <row r="897">
      <c r="A897" s="25">
        <f>ItensPedido!A897</f>
        <v/>
      </c>
      <c r="B897" s="25">
        <f>ItensPedido!B897</f>
        <v/>
      </c>
      <c r="C897" s="25">
        <f>ItensPedido!C897</f>
        <v/>
      </c>
      <c r="D897" s="25">
        <f>ItensPedido!D897</f>
        <v/>
      </c>
      <c r="E897" s="26">
        <f>ItensPedido!E897</f>
        <v/>
      </c>
      <c r="F897" s="25">
        <f>IFERROR(INDEX(Pedidos!$B$2:$B$1801,MATCH(B897,Pedidos!$A$2:$A$1801,0)),0)</f>
        <v/>
      </c>
      <c r="G897" s="25">
        <f>IF(F897=0,"",YEAR(F897))</f>
        <v/>
      </c>
      <c r="H897" s="25">
        <f>IF(F897=0,"",MONTH(F897))</f>
        <v/>
      </c>
      <c r="I897" s="25">
        <f>IFERROR(INDEX(Pedidos!$E$2:$E$1801,MATCH(B897,Pedidos!$A$2:$A$1801,0)),"")</f>
        <v/>
      </c>
      <c r="J897" s="25">
        <f>IFERROR(INDEX(Pedidos!$C$2:$C$1801,MATCH(B897,Pedidos!$A$2:$A$1801,0)),"")</f>
        <v/>
      </c>
      <c r="K897" s="25">
        <f>IFERROR(INDEX(Pedidos!$D$2:$D$1801,MATCH(B897,Pedidos!$A$2:$A$1801,0)),"")</f>
        <v/>
      </c>
      <c r="L897" s="25">
        <f>IFERROR(INDEX(Pedidos!$F$2:$F$1801,MATCH(B897,Pedidos!$A$2:$A$1801,0)),"")</f>
        <v/>
      </c>
      <c r="M897" s="26">
        <f>IFERROR(INDEX(Pedidos!$G$2:$G$1801,MATCH(B897,Pedidos!$A$2:$A$1801,0)),0)</f>
        <v/>
      </c>
      <c r="N897" s="25">
        <f>IFERROR(INDEX(Produtos!$B$2:$B$71,MATCH(C897,Produtos!$A$2:$A$71,0)),"")</f>
        <v/>
      </c>
      <c r="O897" s="25">
        <f>IFERROR(INDEX(Produtos!$C$2:$C$71,MATCH(C897,Produtos!$A$2:$A$71,0)),"")</f>
        <v/>
      </c>
      <c r="P897" s="25">
        <f>IFERROR(INDEX(Produtos!$D$2:$D$71,MATCH(C897,Produtos!$A$2:$A$71,0)),0)</f>
        <v/>
      </c>
      <c r="Q897" s="25">
        <f>IFERROR(INDEX(Produtos!$E$2:$E$71,MATCH(C897,Produtos!$A$2:$A$71,0)),0)</f>
        <v/>
      </c>
      <c r="R897" s="27">
        <f>D897*Q897</f>
        <v/>
      </c>
      <c r="S897" s="27">
        <f>R897*E897</f>
        <v/>
      </c>
      <c r="T897" s="27">
        <f>(R897-S897)*M897</f>
        <v/>
      </c>
      <c r="U897" s="27">
        <f>R897-S897-T897</f>
        <v/>
      </c>
      <c r="V897" s="27">
        <f>D897*P897</f>
        <v/>
      </c>
      <c r="W897" s="27">
        <f>U897-V897</f>
        <v/>
      </c>
      <c r="X897" s="28">
        <f>IFERROR(W897/U897,0)</f>
        <v/>
      </c>
    </row>
    <row r="898">
      <c r="A898" s="21">
        <f>ItensPedido!A898</f>
        <v/>
      </c>
      <c r="B898" s="21">
        <f>ItensPedido!B898</f>
        <v/>
      </c>
      <c r="C898" s="21">
        <f>ItensPedido!C898</f>
        <v/>
      </c>
      <c r="D898" s="21">
        <f>ItensPedido!D898</f>
        <v/>
      </c>
      <c r="E898" s="22">
        <f>ItensPedido!E898</f>
        <v/>
      </c>
      <c r="F898" s="21">
        <f>IFERROR(INDEX(Pedidos!$B$2:$B$1801,MATCH(B898,Pedidos!$A$2:$A$1801,0)),0)</f>
        <v/>
      </c>
      <c r="G898" s="21">
        <f>IF(F898=0,"",YEAR(F898))</f>
        <v/>
      </c>
      <c r="H898" s="21">
        <f>IF(F898=0,"",MONTH(F898))</f>
        <v/>
      </c>
      <c r="I898" s="21">
        <f>IFERROR(INDEX(Pedidos!$E$2:$E$1801,MATCH(B898,Pedidos!$A$2:$A$1801,0)),"")</f>
        <v/>
      </c>
      <c r="J898" s="21">
        <f>IFERROR(INDEX(Pedidos!$C$2:$C$1801,MATCH(B898,Pedidos!$A$2:$A$1801,0)),"")</f>
        <v/>
      </c>
      <c r="K898" s="21">
        <f>IFERROR(INDEX(Pedidos!$D$2:$D$1801,MATCH(B898,Pedidos!$A$2:$A$1801,0)),"")</f>
        <v/>
      </c>
      <c r="L898" s="21">
        <f>IFERROR(INDEX(Pedidos!$F$2:$F$1801,MATCH(B898,Pedidos!$A$2:$A$1801,0)),"")</f>
        <v/>
      </c>
      <c r="M898" s="22">
        <f>IFERROR(INDEX(Pedidos!$G$2:$G$1801,MATCH(B898,Pedidos!$A$2:$A$1801,0)),0)</f>
        <v/>
      </c>
      <c r="N898" s="21">
        <f>IFERROR(INDEX(Produtos!$B$2:$B$71,MATCH(C898,Produtos!$A$2:$A$71,0)),"")</f>
        <v/>
      </c>
      <c r="O898" s="21">
        <f>IFERROR(INDEX(Produtos!$C$2:$C$71,MATCH(C898,Produtos!$A$2:$A$71,0)),"")</f>
        <v/>
      </c>
      <c r="P898" s="21">
        <f>IFERROR(INDEX(Produtos!$D$2:$D$71,MATCH(C898,Produtos!$A$2:$A$71,0)),0)</f>
        <v/>
      </c>
      <c r="Q898" s="21">
        <f>IFERROR(INDEX(Produtos!$E$2:$E$71,MATCH(C898,Produtos!$A$2:$A$71,0)),0)</f>
        <v/>
      </c>
      <c r="R898" s="23">
        <f>D898*Q898</f>
        <v/>
      </c>
      <c r="S898" s="23">
        <f>R898*E898</f>
        <v/>
      </c>
      <c r="T898" s="23">
        <f>(R898-S898)*M898</f>
        <v/>
      </c>
      <c r="U898" s="23">
        <f>R898-S898-T898</f>
        <v/>
      </c>
      <c r="V898" s="23">
        <f>D898*P898</f>
        <v/>
      </c>
      <c r="W898" s="23">
        <f>U898-V898</f>
        <v/>
      </c>
      <c r="X898" s="24">
        <f>IFERROR(W898/U898,0)</f>
        <v/>
      </c>
    </row>
    <row r="899">
      <c r="A899" s="25">
        <f>ItensPedido!A899</f>
        <v/>
      </c>
      <c r="B899" s="25">
        <f>ItensPedido!B899</f>
        <v/>
      </c>
      <c r="C899" s="25">
        <f>ItensPedido!C899</f>
        <v/>
      </c>
      <c r="D899" s="25">
        <f>ItensPedido!D899</f>
        <v/>
      </c>
      <c r="E899" s="26">
        <f>ItensPedido!E899</f>
        <v/>
      </c>
      <c r="F899" s="25">
        <f>IFERROR(INDEX(Pedidos!$B$2:$B$1801,MATCH(B899,Pedidos!$A$2:$A$1801,0)),0)</f>
        <v/>
      </c>
      <c r="G899" s="25">
        <f>IF(F899=0,"",YEAR(F899))</f>
        <v/>
      </c>
      <c r="H899" s="25">
        <f>IF(F899=0,"",MONTH(F899))</f>
        <v/>
      </c>
      <c r="I899" s="25">
        <f>IFERROR(INDEX(Pedidos!$E$2:$E$1801,MATCH(B899,Pedidos!$A$2:$A$1801,0)),"")</f>
        <v/>
      </c>
      <c r="J899" s="25">
        <f>IFERROR(INDEX(Pedidos!$C$2:$C$1801,MATCH(B899,Pedidos!$A$2:$A$1801,0)),"")</f>
        <v/>
      </c>
      <c r="K899" s="25">
        <f>IFERROR(INDEX(Pedidos!$D$2:$D$1801,MATCH(B899,Pedidos!$A$2:$A$1801,0)),"")</f>
        <v/>
      </c>
      <c r="L899" s="25">
        <f>IFERROR(INDEX(Pedidos!$F$2:$F$1801,MATCH(B899,Pedidos!$A$2:$A$1801,0)),"")</f>
        <v/>
      </c>
      <c r="M899" s="26">
        <f>IFERROR(INDEX(Pedidos!$G$2:$G$1801,MATCH(B899,Pedidos!$A$2:$A$1801,0)),0)</f>
        <v/>
      </c>
      <c r="N899" s="25">
        <f>IFERROR(INDEX(Produtos!$B$2:$B$71,MATCH(C899,Produtos!$A$2:$A$71,0)),"")</f>
        <v/>
      </c>
      <c r="O899" s="25">
        <f>IFERROR(INDEX(Produtos!$C$2:$C$71,MATCH(C899,Produtos!$A$2:$A$71,0)),"")</f>
        <v/>
      </c>
      <c r="P899" s="25">
        <f>IFERROR(INDEX(Produtos!$D$2:$D$71,MATCH(C899,Produtos!$A$2:$A$71,0)),0)</f>
        <v/>
      </c>
      <c r="Q899" s="25">
        <f>IFERROR(INDEX(Produtos!$E$2:$E$71,MATCH(C899,Produtos!$A$2:$A$71,0)),0)</f>
        <v/>
      </c>
      <c r="R899" s="27">
        <f>D899*Q899</f>
        <v/>
      </c>
      <c r="S899" s="27">
        <f>R899*E899</f>
        <v/>
      </c>
      <c r="T899" s="27">
        <f>(R899-S899)*M899</f>
        <v/>
      </c>
      <c r="U899" s="27">
        <f>R899-S899-T899</f>
        <v/>
      </c>
      <c r="V899" s="27">
        <f>D899*P899</f>
        <v/>
      </c>
      <c r="W899" s="27">
        <f>U899-V899</f>
        <v/>
      </c>
      <c r="X899" s="28">
        <f>IFERROR(W899/U899,0)</f>
        <v/>
      </c>
    </row>
    <row r="900">
      <c r="A900" s="21">
        <f>ItensPedido!A900</f>
        <v/>
      </c>
      <c r="B900" s="21">
        <f>ItensPedido!B900</f>
        <v/>
      </c>
      <c r="C900" s="21">
        <f>ItensPedido!C900</f>
        <v/>
      </c>
      <c r="D900" s="21">
        <f>ItensPedido!D900</f>
        <v/>
      </c>
      <c r="E900" s="22">
        <f>ItensPedido!E900</f>
        <v/>
      </c>
      <c r="F900" s="21">
        <f>IFERROR(INDEX(Pedidos!$B$2:$B$1801,MATCH(B900,Pedidos!$A$2:$A$1801,0)),0)</f>
        <v/>
      </c>
      <c r="G900" s="21">
        <f>IF(F900=0,"",YEAR(F900))</f>
        <v/>
      </c>
      <c r="H900" s="21">
        <f>IF(F900=0,"",MONTH(F900))</f>
        <v/>
      </c>
      <c r="I900" s="21">
        <f>IFERROR(INDEX(Pedidos!$E$2:$E$1801,MATCH(B900,Pedidos!$A$2:$A$1801,0)),"")</f>
        <v/>
      </c>
      <c r="J900" s="21">
        <f>IFERROR(INDEX(Pedidos!$C$2:$C$1801,MATCH(B900,Pedidos!$A$2:$A$1801,0)),"")</f>
        <v/>
      </c>
      <c r="K900" s="21">
        <f>IFERROR(INDEX(Pedidos!$D$2:$D$1801,MATCH(B900,Pedidos!$A$2:$A$1801,0)),"")</f>
        <v/>
      </c>
      <c r="L900" s="21">
        <f>IFERROR(INDEX(Pedidos!$F$2:$F$1801,MATCH(B900,Pedidos!$A$2:$A$1801,0)),"")</f>
        <v/>
      </c>
      <c r="M900" s="22">
        <f>IFERROR(INDEX(Pedidos!$G$2:$G$1801,MATCH(B900,Pedidos!$A$2:$A$1801,0)),0)</f>
        <v/>
      </c>
      <c r="N900" s="21">
        <f>IFERROR(INDEX(Produtos!$B$2:$B$71,MATCH(C900,Produtos!$A$2:$A$71,0)),"")</f>
        <v/>
      </c>
      <c r="O900" s="21">
        <f>IFERROR(INDEX(Produtos!$C$2:$C$71,MATCH(C900,Produtos!$A$2:$A$71,0)),"")</f>
        <v/>
      </c>
      <c r="P900" s="21">
        <f>IFERROR(INDEX(Produtos!$D$2:$D$71,MATCH(C900,Produtos!$A$2:$A$71,0)),0)</f>
        <v/>
      </c>
      <c r="Q900" s="21">
        <f>IFERROR(INDEX(Produtos!$E$2:$E$71,MATCH(C900,Produtos!$A$2:$A$71,0)),0)</f>
        <v/>
      </c>
      <c r="R900" s="23">
        <f>D900*Q900</f>
        <v/>
      </c>
      <c r="S900" s="23">
        <f>R900*E900</f>
        <v/>
      </c>
      <c r="T900" s="23">
        <f>(R900-S900)*M900</f>
        <v/>
      </c>
      <c r="U900" s="23">
        <f>R900-S900-T900</f>
        <v/>
      </c>
      <c r="V900" s="23">
        <f>D900*P900</f>
        <v/>
      </c>
      <c r="W900" s="23">
        <f>U900-V900</f>
        <v/>
      </c>
      <c r="X900" s="24">
        <f>IFERROR(W900/U900,0)</f>
        <v/>
      </c>
    </row>
    <row r="901">
      <c r="A901" s="25">
        <f>ItensPedido!A901</f>
        <v/>
      </c>
      <c r="B901" s="25">
        <f>ItensPedido!B901</f>
        <v/>
      </c>
      <c r="C901" s="25">
        <f>ItensPedido!C901</f>
        <v/>
      </c>
      <c r="D901" s="25">
        <f>ItensPedido!D901</f>
        <v/>
      </c>
      <c r="E901" s="26">
        <f>ItensPedido!E901</f>
        <v/>
      </c>
      <c r="F901" s="25">
        <f>IFERROR(INDEX(Pedidos!$B$2:$B$1801,MATCH(B901,Pedidos!$A$2:$A$1801,0)),0)</f>
        <v/>
      </c>
      <c r="G901" s="25">
        <f>IF(F901=0,"",YEAR(F901))</f>
        <v/>
      </c>
      <c r="H901" s="25">
        <f>IF(F901=0,"",MONTH(F901))</f>
        <v/>
      </c>
      <c r="I901" s="25">
        <f>IFERROR(INDEX(Pedidos!$E$2:$E$1801,MATCH(B901,Pedidos!$A$2:$A$1801,0)),"")</f>
        <v/>
      </c>
      <c r="J901" s="25">
        <f>IFERROR(INDEX(Pedidos!$C$2:$C$1801,MATCH(B901,Pedidos!$A$2:$A$1801,0)),"")</f>
        <v/>
      </c>
      <c r="K901" s="25">
        <f>IFERROR(INDEX(Pedidos!$D$2:$D$1801,MATCH(B901,Pedidos!$A$2:$A$1801,0)),"")</f>
        <v/>
      </c>
      <c r="L901" s="25">
        <f>IFERROR(INDEX(Pedidos!$F$2:$F$1801,MATCH(B901,Pedidos!$A$2:$A$1801,0)),"")</f>
        <v/>
      </c>
      <c r="M901" s="26">
        <f>IFERROR(INDEX(Pedidos!$G$2:$G$1801,MATCH(B901,Pedidos!$A$2:$A$1801,0)),0)</f>
        <v/>
      </c>
      <c r="N901" s="25">
        <f>IFERROR(INDEX(Produtos!$B$2:$B$71,MATCH(C901,Produtos!$A$2:$A$71,0)),"")</f>
        <v/>
      </c>
      <c r="O901" s="25">
        <f>IFERROR(INDEX(Produtos!$C$2:$C$71,MATCH(C901,Produtos!$A$2:$A$71,0)),"")</f>
        <v/>
      </c>
      <c r="P901" s="25">
        <f>IFERROR(INDEX(Produtos!$D$2:$D$71,MATCH(C901,Produtos!$A$2:$A$71,0)),0)</f>
        <v/>
      </c>
      <c r="Q901" s="25">
        <f>IFERROR(INDEX(Produtos!$E$2:$E$71,MATCH(C901,Produtos!$A$2:$A$71,0)),0)</f>
        <v/>
      </c>
      <c r="R901" s="27">
        <f>D901*Q901</f>
        <v/>
      </c>
      <c r="S901" s="27">
        <f>R901*E901</f>
        <v/>
      </c>
      <c r="T901" s="27">
        <f>(R901-S901)*M901</f>
        <v/>
      </c>
      <c r="U901" s="27">
        <f>R901-S901-T901</f>
        <v/>
      </c>
      <c r="V901" s="27">
        <f>D901*P901</f>
        <v/>
      </c>
      <c r="W901" s="27">
        <f>U901-V901</f>
        <v/>
      </c>
      <c r="X901" s="28">
        <f>IFERROR(W901/U901,0)</f>
        <v/>
      </c>
    </row>
    <row r="902">
      <c r="A902" s="21">
        <f>ItensPedido!A902</f>
        <v/>
      </c>
      <c r="B902" s="21">
        <f>ItensPedido!B902</f>
        <v/>
      </c>
      <c r="C902" s="21">
        <f>ItensPedido!C902</f>
        <v/>
      </c>
      <c r="D902" s="21">
        <f>ItensPedido!D902</f>
        <v/>
      </c>
      <c r="E902" s="22">
        <f>ItensPedido!E902</f>
        <v/>
      </c>
      <c r="F902" s="21">
        <f>IFERROR(INDEX(Pedidos!$B$2:$B$1801,MATCH(B902,Pedidos!$A$2:$A$1801,0)),0)</f>
        <v/>
      </c>
      <c r="G902" s="21">
        <f>IF(F902=0,"",YEAR(F902))</f>
        <v/>
      </c>
      <c r="H902" s="21">
        <f>IF(F902=0,"",MONTH(F902))</f>
        <v/>
      </c>
      <c r="I902" s="21">
        <f>IFERROR(INDEX(Pedidos!$E$2:$E$1801,MATCH(B902,Pedidos!$A$2:$A$1801,0)),"")</f>
        <v/>
      </c>
      <c r="J902" s="21">
        <f>IFERROR(INDEX(Pedidos!$C$2:$C$1801,MATCH(B902,Pedidos!$A$2:$A$1801,0)),"")</f>
        <v/>
      </c>
      <c r="K902" s="21">
        <f>IFERROR(INDEX(Pedidos!$D$2:$D$1801,MATCH(B902,Pedidos!$A$2:$A$1801,0)),"")</f>
        <v/>
      </c>
      <c r="L902" s="21">
        <f>IFERROR(INDEX(Pedidos!$F$2:$F$1801,MATCH(B902,Pedidos!$A$2:$A$1801,0)),"")</f>
        <v/>
      </c>
      <c r="M902" s="22">
        <f>IFERROR(INDEX(Pedidos!$G$2:$G$1801,MATCH(B902,Pedidos!$A$2:$A$1801,0)),0)</f>
        <v/>
      </c>
      <c r="N902" s="21">
        <f>IFERROR(INDEX(Produtos!$B$2:$B$71,MATCH(C902,Produtos!$A$2:$A$71,0)),"")</f>
        <v/>
      </c>
      <c r="O902" s="21">
        <f>IFERROR(INDEX(Produtos!$C$2:$C$71,MATCH(C902,Produtos!$A$2:$A$71,0)),"")</f>
        <v/>
      </c>
      <c r="P902" s="21">
        <f>IFERROR(INDEX(Produtos!$D$2:$D$71,MATCH(C902,Produtos!$A$2:$A$71,0)),0)</f>
        <v/>
      </c>
      <c r="Q902" s="21">
        <f>IFERROR(INDEX(Produtos!$E$2:$E$71,MATCH(C902,Produtos!$A$2:$A$71,0)),0)</f>
        <v/>
      </c>
      <c r="R902" s="23">
        <f>D902*Q902</f>
        <v/>
      </c>
      <c r="S902" s="23">
        <f>R902*E902</f>
        <v/>
      </c>
      <c r="T902" s="23">
        <f>(R902-S902)*M902</f>
        <v/>
      </c>
      <c r="U902" s="23">
        <f>R902-S902-T902</f>
        <v/>
      </c>
      <c r="V902" s="23">
        <f>D902*P902</f>
        <v/>
      </c>
      <c r="W902" s="23">
        <f>U902-V902</f>
        <v/>
      </c>
      <c r="X902" s="24">
        <f>IFERROR(W902/U902,0)</f>
        <v/>
      </c>
    </row>
    <row r="903">
      <c r="A903" s="25">
        <f>ItensPedido!A903</f>
        <v/>
      </c>
      <c r="B903" s="25">
        <f>ItensPedido!B903</f>
        <v/>
      </c>
      <c r="C903" s="25">
        <f>ItensPedido!C903</f>
        <v/>
      </c>
      <c r="D903" s="25">
        <f>ItensPedido!D903</f>
        <v/>
      </c>
      <c r="E903" s="26">
        <f>ItensPedido!E903</f>
        <v/>
      </c>
      <c r="F903" s="25">
        <f>IFERROR(INDEX(Pedidos!$B$2:$B$1801,MATCH(B903,Pedidos!$A$2:$A$1801,0)),0)</f>
        <v/>
      </c>
      <c r="G903" s="25">
        <f>IF(F903=0,"",YEAR(F903))</f>
        <v/>
      </c>
      <c r="H903" s="25">
        <f>IF(F903=0,"",MONTH(F903))</f>
        <v/>
      </c>
      <c r="I903" s="25">
        <f>IFERROR(INDEX(Pedidos!$E$2:$E$1801,MATCH(B903,Pedidos!$A$2:$A$1801,0)),"")</f>
        <v/>
      </c>
      <c r="J903" s="25">
        <f>IFERROR(INDEX(Pedidos!$C$2:$C$1801,MATCH(B903,Pedidos!$A$2:$A$1801,0)),"")</f>
        <v/>
      </c>
      <c r="K903" s="25">
        <f>IFERROR(INDEX(Pedidos!$D$2:$D$1801,MATCH(B903,Pedidos!$A$2:$A$1801,0)),"")</f>
        <v/>
      </c>
      <c r="L903" s="25">
        <f>IFERROR(INDEX(Pedidos!$F$2:$F$1801,MATCH(B903,Pedidos!$A$2:$A$1801,0)),"")</f>
        <v/>
      </c>
      <c r="M903" s="26">
        <f>IFERROR(INDEX(Pedidos!$G$2:$G$1801,MATCH(B903,Pedidos!$A$2:$A$1801,0)),0)</f>
        <v/>
      </c>
      <c r="N903" s="25">
        <f>IFERROR(INDEX(Produtos!$B$2:$B$71,MATCH(C903,Produtos!$A$2:$A$71,0)),"")</f>
        <v/>
      </c>
      <c r="O903" s="25">
        <f>IFERROR(INDEX(Produtos!$C$2:$C$71,MATCH(C903,Produtos!$A$2:$A$71,0)),"")</f>
        <v/>
      </c>
      <c r="P903" s="25">
        <f>IFERROR(INDEX(Produtos!$D$2:$D$71,MATCH(C903,Produtos!$A$2:$A$71,0)),0)</f>
        <v/>
      </c>
      <c r="Q903" s="25">
        <f>IFERROR(INDEX(Produtos!$E$2:$E$71,MATCH(C903,Produtos!$A$2:$A$71,0)),0)</f>
        <v/>
      </c>
      <c r="R903" s="27">
        <f>D903*Q903</f>
        <v/>
      </c>
      <c r="S903" s="27">
        <f>R903*E903</f>
        <v/>
      </c>
      <c r="T903" s="27">
        <f>(R903-S903)*M903</f>
        <v/>
      </c>
      <c r="U903" s="27">
        <f>R903-S903-T903</f>
        <v/>
      </c>
      <c r="V903" s="27">
        <f>D903*P903</f>
        <v/>
      </c>
      <c r="W903" s="27">
        <f>U903-V903</f>
        <v/>
      </c>
      <c r="X903" s="28">
        <f>IFERROR(W903/U903,0)</f>
        <v/>
      </c>
    </row>
    <row r="904">
      <c r="A904" s="21">
        <f>ItensPedido!A904</f>
        <v/>
      </c>
      <c r="B904" s="21">
        <f>ItensPedido!B904</f>
        <v/>
      </c>
      <c r="C904" s="21">
        <f>ItensPedido!C904</f>
        <v/>
      </c>
      <c r="D904" s="21">
        <f>ItensPedido!D904</f>
        <v/>
      </c>
      <c r="E904" s="22">
        <f>ItensPedido!E904</f>
        <v/>
      </c>
      <c r="F904" s="21">
        <f>IFERROR(INDEX(Pedidos!$B$2:$B$1801,MATCH(B904,Pedidos!$A$2:$A$1801,0)),0)</f>
        <v/>
      </c>
      <c r="G904" s="21">
        <f>IF(F904=0,"",YEAR(F904))</f>
        <v/>
      </c>
      <c r="H904" s="21">
        <f>IF(F904=0,"",MONTH(F904))</f>
        <v/>
      </c>
      <c r="I904" s="21">
        <f>IFERROR(INDEX(Pedidos!$E$2:$E$1801,MATCH(B904,Pedidos!$A$2:$A$1801,0)),"")</f>
        <v/>
      </c>
      <c r="J904" s="21">
        <f>IFERROR(INDEX(Pedidos!$C$2:$C$1801,MATCH(B904,Pedidos!$A$2:$A$1801,0)),"")</f>
        <v/>
      </c>
      <c r="K904" s="21">
        <f>IFERROR(INDEX(Pedidos!$D$2:$D$1801,MATCH(B904,Pedidos!$A$2:$A$1801,0)),"")</f>
        <v/>
      </c>
      <c r="L904" s="21">
        <f>IFERROR(INDEX(Pedidos!$F$2:$F$1801,MATCH(B904,Pedidos!$A$2:$A$1801,0)),"")</f>
        <v/>
      </c>
      <c r="M904" s="22">
        <f>IFERROR(INDEX(Pedidos!$G$2:$G$1801,MATCH(B904,Pedidos!$A$2:$A$1801,0)),0)</f>
        <v/>
      </c>
      <c r="N904" s="21">
        <f>IFERROR(INDEX(Produtos!$B$2:$B$71,MATCH(C904,Produtos!$A$2:$A$71,0)),"")</f>
        <v/>
      </c>
      <c r="O904" s="21">
        <f>IFERROR(INDEX(Produtos!$C$2:$C$71,MATCH(C904,Produtos!$A$2:$A$71,0)),"")</f>
        <v/>
      </c>
      <c r="P904" s="21">
        <f>IFERROR(INDEX(Produtos!$D$2:$D$71,MATCH(C904,Produtos!$A$2:$A$71,0)),0)</f>
        <v/>
      </c>
      <c r="Q904" s="21">
        <f>IFERROR(INDEX(Produtos!$E$2:$E$71,MATCH(C904,Produtos!$A$2:$A$71,0)),0)</f>
        <v/>
      </c>
      <c r="R904" s="23">
        <f>D904*Q904</f>
        <v/>
      </c>
      <c r="S904" s="23">
        <f>R904*E904</f>
        <v/>
      </c>
      <c r="T904" s="23">
        <f>(R904-S904)*M904</f>
        <v/>
      </c>
      <c r="U904" s="23">
        <f>R904-S904-T904</f>
        <v/>
      </c>
      <c r="V904" s="23">
        <f>D904*P904</f>
        <v/>
      </c>
      <c r="W904" s="23">
        <f>U904-V904</f>
        <v/>
      </c>
      <c r="X904" s="24">
        <f>IFERROR(W904/U904,0)</f>
        <v/>
      </c>
    </row>
    <row r="905">
      <c r="A905" s="25">
        <f>ItensPedido!A905</f>
        <v/>
      </c>
      <c r="B905" s="25">
        <f>ItensPedido!B905</f>
        <v/>
      </c>
      <c r="C905" s="25">
        <f>ItensPedido!C905</f>
        <v/>
      </c>
      <c r="D905" s="25">
        <f>ItensPedido!D905</f>
        <v/>
      </c>
      <c r="E905" s="26">
        <f>ItensPedido!E905</f>
        <v/>
      </c>
      <c r="F905" s="25">
        <f>IFERROR(INDEX(Pedidos!$B$2:$B$1801,MATCH(B905,Pedidos!$A$2:$A$1801,0)),0)</f>
        <v/>
      </c>
      <c r="G905" s="25">
        <f>IF(F905=0,"",YEAR(F905))</f>
        <v/>
      </c>
      <c r="H905" s="25">
        <f>IF(F905=0,"",MONTH(F905))</f>
        <v/>
      </c>
      <c r="I905" s="25">
        <f>IFERROR(INDEX(Pedidos!$E$2:$E$1801,MATCH(B905,Pedidos!$A$2:$A$1801,0)),"")</f>
        <v/>
      </c>
      <c r="J905" s="25">
        <f>IFERROR(INDEX(Pedidos!$C$2:$C$1801,MATCH(B905,Pedidos!$A$2:$A$1801,0)),"")</f>
        <v/>
      </c>
      <c r="K905" s="25">
        <f>IFERROR(INDEX(Pedidos!$D$2:$D$1801,MATCH(B905,Pedidos!$A$2:$A$1801,0)),"")</f>
        <v/>
      </c>
      <c r="L905" s="25">
        <f>IFERROR(INDEX(Pedidos!$F$2:$F$1801,MATCH(B905,Pedidos!$A$2:$A$1801,0)),"")</f>
        <v/>
      </c>
      <c r="M905" s="26">
        <f>IFERROR(INDEX(Pedidos!$G$2:$G$1801,MATCH(B905,Pedidos!$A$2:$A$1801,0)),0)</f>
        <v/>
      </c>
      <c r="N905" s="25">
        <f>IFERROR(INDEX(Produtos!$B$2:$B$71,MATCH(C905,Produtos!$A$2:$A$71,0)),"")</f>
        <v/>
      </c>
      <c r="O905" s="25">
        <f>IFERROR(INDEX(Produtos!$C$2:$C$71,MATCH(C905,Produtos!$A$2:$A$71,0)),"")</f>
        <v/>
      </c>
      <c r="P905" s="25">
        <f>IFERROR(INDEX(Produtos!$D$2:$D$71,MATCH(C905,Produtos!$A$2:$A$71,0)),0)</f>
        <v/>
      </c>
      <c r="Q905" s="25">
        <f>IFERROR(INDEX(Produtos!$E$2:$E$71,MATCH(C905,Produtos!$A$2:$A$71,0)),0)</f>
        <v/>
      </c>
      <c r="R905" s="27">
        <f>D905*Q905</f>
        <v/>
      </c>
      <c r="S905" s="27">
        <f>R905*E905</f>
        <v/>
      </c>
      <c r="T905" s="27">
        <f>(R905-S905)*M905</f>
        <v/>
      </c>
      <c r="U905" s="27">
        <f>R905-S905-T905</f>
        <v/>
      </c>
      <c r="V905" s="27">
        <f>D905*P905</f>
        <v/>
      </c>
      <c r="W905" s="27">
        <f>U905-V905</f>
        <v/>
      </c>
      <c r="X905" s="28">
        <f>IFERROR(W905/U905,0)</f>
        <v/>
      </c>
    </row>
    <row r="906">
      <c r="A906" s="21">
        <f>ItensPedido!A906</f>
        <v/>
      </c>
      <c r="B906" s="21">
        <f>ItensPedido!B906</f>
        <v/>
      </c>
      <c r="C906" s="21">
        <f>ItensPedido!C906</f>
        <v/>
      </c>
      <c r="D906" s="21">
        <f>ItensPedido!D906</f>
        <v/>
      </c>
      <c r="E906" s="22">
        <f>ItensPedido!E906</f>
        <v/>
      </c>
      <c r="F906" s="21">
        <f>IFERROR(INDEX(Pedidos!$B$2:$B$1801,MATCH(B906,Pedidos!$A$2:$A$1801,0)),0)</f>
        <v/>
      </c>
      <c r="G906" s="21">
        <f>IF(F906=0,"",YEAR(F906))</f>
        <v/>
      </c>
      <c r="H906" s="21">
        <f>IF(F906=0,"",MONTH(F906))</f>
        <v/>
      </c>
      <c r="I906" s="21">
        <f>IFERROR(INDEX(Pedidos!$E$2:$E$1801,MATCH(B906,Pedidos!$A$2:$A$1801,0)),"")</f>
        <v/>
      </c>
      <c r="J906" s="21">
        <f>IFERROR(INDEX(Pedidos!$C$2:$C$1801,MATCH(B906,Pedidos!$A$2:$A$1801,0)),"")</f>
        <v/>
      </c>
      <c r="K906" s="21">
        <f>IFERROR(INDEX(Pedidos!$D$2:$D$1801,MATCH(B906,Pedidos!$A$2:$A$1801,0)),"")</f>
        <v/>
      </c>
      <c r="L906" s="21">
        <f>IFERROR(INDEX(Pedidos!$F$2:$F$1801,MATCH(B906,Pedidos!$A$2:$A$1801,0)),"")</f>
        <v/>
      </c>
      <c r="M906" s="22">
        <f>IFERROR(INDEX(Pedidos!$G$2:$G$1801,MATCH(B906,Pedidos!$A$2:$A$1801,0)),0)</f>
        <v/>
      </c>
      <c r="N906" s="21">
        <f>IFERROR(INDEX(Produtos!$B$2:$B$71,MATCH(C906,Produtos!$A$2:$A$71,0)),"")</f>
        <v/>
      </c>
      <c r="O906" s="21">
        <f>IFERROR(INDEX(Produtos!$C$2:$C$71,MATCH(C906,Produtos!$A$2:$A$71,0)),"")</f>
        <v/>
      </c>
      <c r="P906" s="21">
        <f>IFERROR(INDEX(Produtos!$D$2:$D$71,MATCH(C906,Produtos!$A$2:$A$71,0)),0)</f>
        <v/>
      </c>
      <c r="Q906" s="21">
        <f>IFERROR(INDEX(Produtos!$E$2:$E$71,MATCH(C906,Produtos!$A$2:$A$71,0)),0)</f>
        <v/>
      </c>
      <c r="R906" s="23">
        <f>D906*Q906</f>
        <v/>
      </c>
      <c r="S906" s="23">
        <f>R906*E906</f>
        <v/>
      </c>
      <c r="T906" s="23">
        <f>(R906-S906)*M906</f>
        <v/>
      </c>
      <c r="U906" s="23">
        <f>R906-S906-T906</f>
        <v/>
      </c>
      <c r="V906" s="23">
        <f>D906*P906</f>
        <v/>
      </c>
      <c r="W906" s="23">
        <f>U906-V906</f>
        <v/>
      </c>
      <c r="X906" s="24">
        <f>IFERROR(W906/U906,0)</f>
        <v/>
      </c>
    </row>
    <row r="907">
      <c r="A907" s="25">
        <f>ItensPedido!A907</f>
        <v/>
      </c>
      <c r="B907" s="25">
        <f>ItensPedido!B907</f>
        <v/>
      </c>
      <c r="C907" s="25">
        <f>ItensPedido!C907</f>
        <v/>
      </c>
      <c r="D907" s="25">
        <f>ItensPedido!D907</f>
        <v/>
      </c>
      <c r="E907" s="26">
        <f>ItensPedido!E907</f>
        <v/>
      </c>
      <c r="F907" s="25">
        <f>IFERROR(INDEX(Pedidos!$B$2:$B$1801,MATCH(B907,Pedidos!$A$2:$A$1801,0)),0)</f>
        <v/>
      </c>
      <c r="G907" s="25">
        <f>IF(F907=0,"",YEAR(F907))</f>
        <v/>
      </c>
      <c r="H907" s="25">
        <f>IF(F907=0,"",MONTH(F907))</f>
        <v/>
      </c>
      <c r="I907" s="25">
        <f>IFERROR(INDEX(Pedidos!$E$2:$E$1801,MATCH(B907,Pedidos!$A$2:$A$1801,0)),"")</f>
        <v/>
      </c>
      <c r="J907" s="25">
        <f>IFERROR(INDEX(Pedidos!$C$2:$C$1801,MATCH(B907,Pedidos!$A$2:$A$1801,0)),"")</f>
        <v/>
      </c>
      <c r="K907" s="25">
        <f>IFERROR(INDEX(Pedidos!$D$2:$D$1801,MATCH(B907,Pedidos!$A$2:$A$1801,0)),"")</f>
        <v/>
      </c>
      <c r="L907" s="25">
        <f>IFERROR(INDEX(Pedidos!$F$2:$F$1801,MATCH(B907,Pedidos!$A$2:$A$1801,0)),"")</f>
        <v/>
      </c>
      <c r="M907" s="26">
        <f>IFERROR(INDEX(Pedidos!$G$2:$G$1801,MATCH(B907,Pedidos!$A$2:$A$1801,0)),0)</f>
        <v/>
      </c>
      <c r="N907" s="25">
        <f>IFERROR(INDEX(Produtos!$B$2:$B$71,MATCH(C907,Produtos!$A$2:$A$71,0)),"")</f>
        <v/>
      </c>
      <c r="O907" s="25">
        <f>IFERROR(INDEX(Produtos!$C$2:$C$71,MATCH(C907,Produtos!$A$2:$A$71,0)),"")</f>
        <v/>
      </c>
      <c r="P907" s="25">
        <f>IFERROR(INDEX(Produtos!$D$2:$D$71,MATCH(C907,Produtos!$A$2:$A$71,0)),0)</f>
        <v/>
      </c>
      <c r="Q907" s="25">
        <f>IFERROR(INDEX(Produtos!$E$2:$E$71,MATCH(C907,Produtos!$A$2:$A$71,0)),0)</f>
        <v/>
      </c>
      <c r="R907" s="27">
        <f>D907*Q907</f>
        <v/>
      </c>
      <c r="S907" s="27">
        <f>R907*E907</f>
        <v/>
      </c>
      <c r="T907" s="27">
        <f>(R907-S907)*M907</f>
        <v/>
      </c>
      <c r="U907" s="27">
        <f>R907-S907-T907</f>
        <v/>
      </c>
      <c r="V907" s="27">
        <f>D907*P907</f>
        <v/>
      </c>
      <c r="W907" s="27">
        <f>U907-V907</f>
        <v/>
      </c>
      <c r="X907" s="28">
        <f>IFERROR(W907/U907,0)</f>
        <v/>
      </c>
    </row>
    <row r="908">
      <c r="A908" s="21">
        <f>ItensPedido!A908</f>
        <v/>
      </c>
      <c r="B908" s="21">
        <f>ItensPedido!B908</f>
        <v/>
      </c>
      <c r="C908" s="21">
        <f>ItensPedido!C908</f>
        <v/>
      </c>
      <c r="D908" s="21">
        <f>ItensPedido!D908</f>
        <v/>
      </c>
      <c r="E908" s="22">
        <f>ItensPedido!E908</f>
        <v/>
      </c>
      <c r="F908" s="21">
        <f>IFERROR(INDEX(Pedidos!$B$2:$B$1801,MATCH(B908,Pedidos!$A$2:$A$1801,0)),0)</f>
        <v/>
      </c>
      <c r="G908" s="21">
        <f>IF(F908=0,"",YEAR(F908))</f>
        <v/>
      </c>
      <c r="H908" s="21">
        <f>IF(F908=0,"",MONTH(F908))</f>
        <v/>
      </c>
      <c r="I908" s="21">
        <f>IFERROR(INDEX(Pedidos!$E$2:$E$1801,MATCH(B908,Pedidos!$A$2:$A$1801,0)),"")</f>
        <v/>
      </c>
      <c r="J908" s="21">
        <f>IFERROR(INDEX(Pedidos!$C$2:$C$1801,MATCH(B908,Pedidos!$A$2:$A$1801,0)),"")</f>
        <v/>
      </c>
      <c r="K908" s="21">
        <f>IFERROR(INDEX(Pedidos!$D$2:$D$1801,MATCH(B908,Pedidos!$A$2:$A$1801,0)),"")</f>
        <v/>
      </c>
      <c r="L908" s="21">
        <f>IFERROR(INDEX(Pedidos!$F$2:$F$1801,MATCH(B908,Pedidos!$A$2:$A$1801,0)),"")</f>
        <v/>
      </c>
      <c r="M908" s="22">
        <f>IFERROR(INDEX(Pedidos!$G$2:$G$1801,MATCH(B908,Pedidos!$A$2:$A$1801,0)),0)</f>
        <v/>
      </c>
      <c r="N908" s="21">
        <f>IFERROR(INDEX(Produtos!$B$2:$B$71,MATCH(C908,Produtos!$A$2:$A$71,0)),"")</f>
        <v/>
      </c>
      <c r="O908" s="21">
        <f>IFERROR(INDEX(Produtos!$C$2:$C$71,MATCH(C908,Produtos!$A$2:$A$71,0)),"")</f>
        <v/>
      </c>
      <c r="P908" s="21">
        <f>IFERROR(INDEX(Produtos!$D$2:$D$71,MATCH(C908,Produtos!$A$2:$A$71,0)),0)</f>
        <v/>
      </c>
      <c r="Q908" s="21">
        <f>IFERROR(INDEX(Produtos!$E$2:$E$71,MATCH(C908,Produtos!$A$2:$A$71,0)),0)</f>
        <v/>
      </c>
      <c r="R908" s="23">
        <f>D908*Q908</f>
        <v/>
      </c>
      <c r="S908" s="23">
        <f>R908*E908</f>
        <v/>
      </c>
      <c r="T908" s="23">
        <f>(R908-S908)*M908</f>
        <v/>
      </c>
      <c r="U908" s="23">
        <f>R908-S908-T908</f>
        <v/>
      </c>
      <c r="V908" s="23">
        <f>D908*P908</f>
        <v/>
      </c>
      <c r="W908" s="23">
        <f>U908-V908</f>
        <v/>
      </c>
      <c r="X908" s="24">
        <f>IFERROR(W908/U908,0)</f>
        <v/>
      </c>
    </row>
    <row r="909">
      <c r="A909" s="25">
        <f>ItensPedido!A909</f>
        <v/>
      </c>
      <c r="B909" s="25">
        <f>ItensPedido!B909</f>
        <v/>
      </c>
      <c r="C909" s="25">
        <f>ItensPedido!C909</f>
        <v/>
      </c>
      <c r="D909" s="25">
        <f>ItensPedido!D909</f>
        <v/>
      </c>
      <c r="E909" s="26">
        <f>ItensPedido!E909</f>
        <v/>
      </c>
      <c r="F909" s="25">
        <f>IFERROR(INDEX(Pedidos!$B$2:$B$1801,MATCH(B909,Pedidos!$A$2:$A$1801,0)),0)</f>
        <v/>
      </c>
      <c r="G909" s="25">
        <f>IF(F909=0,"",YEAR(F909))</f>
        <v/>
      </c>
      <c r="H909" s="25">
        <f>IF(F909=0,"",MONTH(F909))</f>
        <v/>
      </c>
      <c r="I909" s="25">
        <f>IFERROR(INDEX(Pedidos!$E$2:$E$1801,MATCH(B909,Pedidos!$A$2:$A$1801,0)),"")</f>
        <v/>
      </c>
      <c r="J909" s="25">
        <f>IFERROR(INDEX(Pedidos!$C$2:$C$1801,MATCH(B909,Pedidos!$A$2:$A$1801,0)),"")</f>
        <v/>
      </c>
      <c r="K909" s="25">
        <f>IFERROR(INDEX(Pedidos!$D$2:$D$1801,MATCH(B909,Pedidos!$A$2:$A$1801,0)),"")</f>
        <v/>
      </c>
      <c r="L909" s="25">
        <f>IFERROR(INDEX(Pedidos!$F$2:$F$1801,MATCH(B909,Pedidos!$A$2:$A$1801,0)),"")</f>
        <v/>
      </c>
      <c r="M909" s="26">
        <f>IFERROR(INDEX(Pedidos!$G$2:$G$1801,MATCH(B909,Pedidos!$A$2:$A$1801,0)),0)</f>
        <v/>
      </c>
      <c r="N909" s="25">
        <f>IFERROR(INDEX(Produtos!$B$2:$B$71,MATCH(C909,Produtos!$A$2:$A$71,0)),"")</f>
        <v/>
      </c>
      <c r="O909" s="25">
        <f>IFERROR(INDEX(Produtos!$C$2:$C$71,MATCH(C909,Produtos!$A$2:$A$71,0)),"")</f>
        <v/>
      </c>
      <c r="P909" s="25">
        <f>IFERROR(INDEX(Produtos!$D$2:$D$71,MATCH(C909,Produtos!$A$2:$A$71,0)),0)</f>
        <v/>
      </c>
      <c r="Q909" s="25">
        <f>IFERROR(INDEX(Produtos!$E$2:$E$71,MATCH(C909,Produtos!$A$2:$A$71,0)),0)</f>
        <v/>
      </c>
      <c r="R909" s="27">
        <f>D909*Q909</f>
        <v/>
      </c>
      <c r="S909" s="27">
        <f>R909*E909</f>
        <v/>
      </c>
      <c r="T909" s="27">
        <f>(R909-S909)*M909</f>
        <v/>
      </c>
      <c r="U909" s="27">
        <f>R909-S909-T909</f>
        <v/>
      </c>
      <c r="V909" s="27">
        <f>D909*P909</f>
        <v/>
      </c>
      <c r="W909" s="27">
        <f>U909-V909</f>
        <v/>
      </c>
      <c r="X909" s="28">
        <f>IFERROR(W909/U909,0)</f>
        <v/>
      </c>
    </row>
    <row r="910">
      <c r="A910" s="21">
        <f>ItensPedido!A910</f>
        <v/>
      </c>
      <c r="B910" s="21">
        <f>ItensPedido!B910</f>
        <v/>
      </c>
      <c r="C910" s="21">
        <f>ItensPedido!C910</f>
        <v/>
      </c>
      <c r="D910" s="21">
        <f>ItensPedido!D910</f>
        <v/>
      </c>
      <c r="E910" s="22">
        <f>ItensPedido!E910</f>
        <v/>
      </c>
      <c r="F910" s="21">
        <f>IFERROR(INDEX(Pedidos!$B$2:$B$1801,MATCH(B910,Pedidos!$A$2:$A$1801,0)),0)</f>
        <v/>
      </c>
      <c r="G910" s="21">
        <f>IF(F910=0,"",YEAR(F910))</f>
        <v/>
      </c>
      <c r="H910" s="21">
        <f>IF(F910=0,"",MONTH(F910))</f>
        <v/>
      </c>
      <c r="I910" s="21">
        <f>IFERROR(INDEX(Pedidos!$E$2:$E$1801,MATCH(B910,Pedidos!$A$2:$A$1801,0)),"")</f>
        <v/>
      </c>
      <c r="J910" s="21">
        <f>IFERROR(INDEX(Pedidos!$C$2:$C$1801,MATCH(B910,Pedidos!$A$2:$A$1801,0)),"")</f>
        <v/>
      </c>
      <c r="K910" s="21">
        <f>IFERROR(INDEX(Pedidos!$D$2:$D$1801,MATCH(B910,Pedidos!$A$2:$A$1801,0)),"")</f>
        <v/>
      </c>
      <c r="L910" s="21">
        <f>IFERROR(INDEX(Pedidos!$F$2:$F$1801,MATCH(B910,Pedidos!$A$2:$A$1801,0)),"")</f>
        <v/>
      </c>
      <c r="M910" s="22">
        <f>IFERROR(INDEX(Pedidos!$G$2:$G$1801,MATCH(B910,Pedidos!$A$2:$A$1801,0)),0)</f>
        <v/>
      </c>
      <c r="N910" s="21">
        <f>IFERROR(INDEX(Produtos!$B$2:$B$71,MATCH(C910,Produtos!$A$2:$A$71,0)),"")</f>
        <v/>
      </c>
      <c r="O910" s="21">
        <f>IFERROR(INDEX(Produtos!$C$2:$C$71,MATCH(C910,Produtos!$A$2:$A$71,0)),"")</f>
        <v/>
      </c>
      <c r="P910" s="21">
        <f>IFERROR(INDEX(Produtos!$D$2:$D$71,MATCH(C910,Produtos!$A$2:$A$71,0)),0)</f>
        <v/>
      </c>
      <c r="Q910" s="21">
        <f>IFERROR(INDEX(Produtos!$E$2:$E$71,MATCH(C910,Produtos!$A$2:$A$71,0)),0)</f>
        <v/>
      </c>
      <c r="R910" s="23">
        <f>D910*Q910</f>
        <v/>
      </c>
      <c r="S910" s="23">
        <f>R910*E910</f>
        <v/>
      </c>
      <c r="T910" s="23">
        <f>(R910-S910)*M910</f>
        <v/>
      </c>
      <c r="U910" s="23">
        <f>R910-S910-T910</f>
        <v/>
      </c>
      <c r="V910" s="23">
        <f>D910*P910</f>
        <v/>
      </c>
      <c r="W910" s="23">
        <f>U910-V910</f>
        <v/>
      </c>
      <c r="X910" s="24">
        <f>IFERROR(W910/U910,0)</f>
        <v/>
      </c>
    </row>
    <row r="911">
      <c r="A911" s="25">
        <f>ItensPedido!A911</f>
        <v/>
      </c>
      <c r="B911" s="25">
        <f>ItensPedido!B911</f>
        <v/>
      </c>
      <c r="C911" s="25">
        <f>ItensPedido!C911</f>
        <v/>
      </c>
      <c r="D911" s="25">
        <f>ItensPedido!D911</f>
        <v/>
      </c>
      <c r="E911" s="26">
        <f>ItensPedido!E911</f>
        <v/>
      </c>
      <c r="F911" s="25">
        <f>IFERROR(INDEX(Pedidos!$B$2:$B$1801,MATCH(B911,Pedidos!$A$2:$A$1801,0)),0)</f>
        <v/>
      </c>
      <c r="G911" s="25">
        <f>IF(F911=0,"",YEAR(F911))</f>
        <v/>
      </c>
      <c r="H911" s="25">
        <f>IF(F911=0,"",MONTH(F911))</f>
        <v/>
      </c>
      <c r="I911" s="25">
        <f>IFERROR(INDEX(Pedidos!$E$2:$E$1801,MATCH(B911,Pedidos!$A$2:$A$1801,0)),"")</f>
        <v/>
      </c>
      <c r="J911" s="25">
        <f>IFERROR(INDEX(Pedidos!$C$2:$C$1801,MATCH(B911,Pedidos!$A$2:$A$1801,0)),"")</f>
        <v/>
      </c>
      <c r="K911" s="25">
        <f>IFERROR(INDEX(Pedidos!$D$2:$D$1801,MATCH(B911,Pedidos!$A$2:$A$1801,0)),"")</f>
        <v/>
      </c>
      <c r="L911" s="25">
        <f>IFERROR(INDEX(Pedidos!$F$2:$F$1801,MATCH(B911,Pedidos!$A$2:$A$1801,0)),"")</f>
        <v/>
      </c>
      <c r="M911" s="26">
        <f>IFERROR(INDEX(Pedidos!$G$2:$G$1801,MATCH(B911,Pedidos!$A$2:$A$1801,0)),0)</f>
        <v/>
      </c>
      <c r="N911" s="25">
        <f>IFERROR(INDEX(Produtos!$B$2:$B$71,MATCH(C911,Produtos!$A$2:$A$71,0)),"")</f>
        <v/>
      </c>
      <c r="O911" s="25">
        <f>IFERROR(INDEX(Produtos!$C$2:$C$71,MATCH(C911,Produtos!$A$2:$A$71,0)),"")</f>
        <v/>
      </c>
      <c r="P911" s="25">
        <f>IFERROR(INDEX(Produtos!$D$2:$D$71,MATCH(C911,Produtos!$A$2:$A$71,0)),0)</f>
        <v/>
      </c>
      <c r="Q911" s="25">
        <f>IFERROR(INDEX(Produtos!$E$2:$E$71,MATCH(C911,Produtos!$A$2:$A$71,0)),0)</f>
        <v/>
      </c>
      <c r="R911" s="27">
        <f>D911*Q911</f>
        <v/>
      </c>
      <c r="S911" s="27">
        <f>R911*E911</f>
        <v/>
      </c>
      <c r="T911" s="27">
        <f>(R911-S911)*M911</f>
        <v/>
      </c>
      <c r="U911" s="27">
        <f>R911-S911-T911</f>
        <v/>
      </c>
      <c r="V911" s="27">
        <f>D911*P911</f>
        <v/>
      </c>
      <c r="W911" s="27">
        <f>U911-V911</f>
        <v/>
      </c>
      <c r="X911" s="28">
        <f>IFERROR(W911/U911,0)</f>
        <v/>
      </c>
    </row>
    <row r="912">
      <c r="A912" s="21">
        <f>ItensPedido!A912</f>
        <v/>
      </c>
      <c r="B912" s="21">
        <f>ItensPedido!B912</f>
        <v/>
      </c>
      <c r="C912" s="21">
        <f>ItensPedido!C912</f>
        <v/>
      </c>
      <c r="D912" s="21">
        <f>ItensPedido!D912</f>
        <v/>
      </c>
      <c r="E912" s="22">
        <f>ItensPedido!E912</f>
        <v/>
      </c>
      <c r="F912" s="21">
        <f>IFERROR(INDEX(Pedidos!$B$2:$B$1801,MATCH(B912,Pedidos!$A$2:$A$1801,0)),0)</f>
        <v/>
      </c>
      <c r="G912" s="21">
        <f>IF(F912=0,"",YEAR(F912))</f>
        <v/>
      </c>
      <c r="H912" s="21">
        <f>IF(F912=0,"",MONTH(F912))</f>
        <v/>
      </c>
      <c r="I912" s="21">
        <f>IFERROR(INDEX(Pedidos!$E$2:$E$1801,MATCH(B912,Pedidos!$A$2:$A$1801,0)),"")</f>
        <v/>
      </c>
      <c r="J912" s="21">
        <f>IFERROR(INDEX(Pedidos!$C$2:$C$1801,MATCH(B912,Pedidos!$A$2:$A$1801,0)),"")</f>
        <v/>
      </c>
      <c r="K912" s="21">
        <f>IFERROR(INDEX(Pedidos!$D$2:$D$1801,MATCH(B912,Pedidos!$A$2:$A$1801,0)),"")</f>
        <v/>
      </c>
      <c r="L912" s="21">
        <f>IFERROR(INDEX(Pedidos!$F$2:$F$1801,MATCH(B912,Pedidos!$A$2:$A$1801,0)),"")</f>
        <v/>
      </c>
      <c r="M912" s="22">
        <f>IFERROR(INDEX(Pedidos!$G$2:$G$1801,MATCH(B912,Pedidos!$A$2:$A$1801,0)),0)</f>
        <v/>
      </c>
      <c r="N912" s="21">
        <f>IFERROR(INDEX(Produtos!$B$2:$B$71,MATCH(C912,Produtos!$A$2:$A$71,0)),"")</f>
        <v/>
      </c>
      <c r="O912" s="21">
        <f>IFERROR(INDEX(Produtos!$C$2:$C$71,MATCH(C912,Produtos!$A$2:$A$71,0)),"")</f>
        <v/>
      </c>
      <c r="P912" s="21">
        <f>IFERROR(INDEX(Produtos!$D$2:$D$71,MATCH(C912,Produtos!$A$2:$A$71,0)),0)</f>
        <v/>
      </c>
      <c r="Q912" s="21">
        <f>IFERROR(INDEX(Produtos!$E$2:$E$71,MATCH(C912,Produtos!$A$2:$A$71,0)),0)</f>
        <v/>
      </c>
      <c r="R912" s="23">
        <f>D912*Q912</f>
        <v/>
      </c>
      <c r="S912" s="23">
        <f>R912*E912</f>
        <v/>
      </c>
      <c r="T912" s="23">
        <f>(R912-S912)*M912</f>
        <v/>
      </c>
      <c r="U912" s="23">
        <f>R912-S912-T912</f>
        <v/>
      </c>
      <c r="V912" s="23">
        <f>D912*P912</f>
        <v/>
      </c>
      <c r="W912" s="23">
        <f>U912-V912</f>
        <v/>
      </c>
      <c r="X912" s="24">
        <f>IFERROR(W912/U912,0)</f>
        <v/>
      </c>
    </row>
    <row r="913">
      <c r="A913" s="25">
        <f>ItensPedido!A913</f>
        <v/>
      </c>
      <c r="B913" s="25">
        <f>ItensPedido!B913</f>
        <v/>
      </c>
      <c r="C913" s="25">
        <f>ItensPedido!C913</f>
        <v/>
      </c>
      <c r="D913" s="25">
        <f>ItensPedido!D913</f>
        <v/>
      </c>
      <c r="E913" s="26">
        <f>ItensPedido!E913</f>
        <v/>
      </c>
      <c r="F913" s="25">
        <f>IFERROR(INDEX(Pedidos!$B$2:$B$1801,MATCH(B913,Pedidos!$A$2:$A$1801,0)),0)</f>
        <v/>
      </c>
      <c r="G913" s="25">
        <f>IF(F913=0,"",YEAR(F913))</f>
        <v/>
      </c>
      <c r="H913" s="25">
        <f>IF(F913=0,"",MONTH(F913))</f>
        <v/>
      </c>
      <c r="I913" s="25">
        <f>IFERROR(INDEX(Pedidos!$E$2:$E$1801,MATCH(B913,Pedidos!$A$2:$A$1801,0)),"")</f>
        <v/>
      </c>
      <c r="J913" s="25">
        <f>IFERROR(INDEX(Pedidos!$C$2:$C$1801,MATCH(B913,Pedidos!$A$2:$A$1801,0)),"")</f>
        <v/>
      </c>
      <c r="K913" s="25">
        <f>IFERROR(INDEX(Pedidos!$D$2:$D$1801,MATCH(B913,Pedidos!$A$2:$A$1801,0)),"")</f>
        <v/>
      </c>
      <c r="L913" s="25">
        <f>IFERROR(INDEX(Pedidos!$F$2:$F$1801,MATCH(B913,Pedidos!$A$2:$A$1801,0)),"")</f>
        <v/>
      </c>
      <c r="M913" s="26">
        <f>IFERROR(INDEX(Pedidos!$G$2:$G$1801,MATCH(B913,Pedidos!$A$2:$A$1801,0)),0)</f>
        <v/>
      </c>
      <c r="N913" s="25">
        <f>IFERROR(INDEX(Produtos!$B$2:$B$71,MATCH(C913,Produtos!$A$2:$A$71,0)),"")</f>
        <v/>
      </c>
      <c r="O913" s="25">
        <f>IFERROR(INDEX(Produtos!$C$2:$C$71,MATCH(C913,Produtos!$A$2:$A$71,0)),"")</f>
        <v/>
      </c>
      <c r="P913" s="25">
        <f>IFERROR(INDEX(Produtos!$D$2:$D$71,MATCH(C913,Produtos!$A$2:$A$71,0)),0)</f>
        <v/>
      </c>
      <c r="Q913" s="25">
        <f>IFERROR(INDEX(Produtos!$E$2:$E$71,MATCH(C913,Produtos!$A$2:$A$71,0)),0)</f>
        <v/>
      </c>
      <c r="R913" s="27">
        <f>D913*Q913</f>
        <v/>
      </c>
      <c r="S913" s="27">
        <f>R913*E913</f>
        <v/>
      </c>
      <c r="T913" s="27">
        <f>(R913-S913)*M913</f>
        <v/>
      </c>
      <c r="U913" s="27">
        <f>R913-S913-T913</f>
        <v/>
      </c>
      <c r="V913" s="27">
        <f>D913*P913</f>
        <v/>
      </c>
      <c r="W913" s="27">
        <f>U913-V913</f>
        <v/>
      </c>
      <c r="X913" s="28">
        <f>IFERROR(W913/U913,0)</f>
        <v/>
      </c>
    </row>
    <row r="914">
      <c r="A914" s="21">
        <f>ItensPedido!A914</f>
        <v/>
      </c>
      <c r="B914" s="21">
        <f>ItensPedido!B914</f>
        <v/>
      </c>
      <c r="C914" s="21">
        <f>ItensPedido!C914</f>
        <v/>
      </c>
      <c r="D914" s="21">
        <f>ItensPedido!D914</f>
        <v/>
      </c>
      <c r="E914" s="22">
        <f>ItensPedido!E914</f>
        <v/>
      </c>
      <c r="F914" s="21">
        <f>IFERROR(INDEX(Pedidos!$B$2:$B$1801,MATCH(B914,Pedidos!$A$2:$A$1801,0)),0)</f>
        <v/>
      </c>
      <c r="G914" s="21">
        <f>IF(F914=0,"",YEAR(F914))</f>
        <v/>
      </c>
      <c r="H914" s="21">
        <f>IF(F914=0,"",MONTH(F914))</f>
        <v/>
      </c>
      <c r="I914" s="21">
        <f>IFERROR(INDEX(Pedidos!$E$2:$E$1801,MATCH(B914,Pedidos!$A$2:$A$1801,0)),"")</f>
        <v/>
      </c>
      <c r="J914" s="21">
        <f>IFERROR(INDEX(Pedidos!$C$2:$C$1801,MATCH(B914,Pedidos!$A$2:$A$1801,0)),"")</f>
        <v/>
      </c>
      <c r="K914" s="21">
        <f>IFERROR(INDEX(Pedidos!$D$2:$D$1801,MATCH(B914,Pedidos!$A$2:$A$1801,0)),"")</f>
        <v/>
      </c>
      <c r="L914" s="21">
        <f>IFERROR(INDEX(Pedidos!$F$2:$F$1801,MATCH(B914,Pedidos!$A$2:$A$1801,0)),"")</f>
        <v/>
      </c>
      <c r="M914" s="22">
        <f>IFERROR(INDEX(Pedidos!$G$2:$G$1801,MATCH(B914,Pedidos!$A$2:$A$1801,0)),0)</f>
        <v/>
      </c>
      <c r="N914" s="21">
        <f>IFERROR(INDEX(Produtos!$B$2:$B$71,MATCH(C914,Produtos!$A$2:$A$71,0)),"")</f>
        <v/>
      </c>
      <c r="O914" s="21">
        <f>IFERROR(INDEX(Produtos!$C$2:$C$71,MATCH(C914,Produtos!$A$2:$A$71,0)),"")</f>
        <v/>
      </c>
      <c r="P914" s="21">
        <f>IFERROR(INDEX(Produtos!$D$2:$D$71,MATCH(C914,Produtos!$A$2:$A$71,0)),0)</f>
        <v/>
      </c>
      <c r="Q914" s="21">
        <f>IFERROR(INDEX(Produtos!$E$2:$E$71,MATCH(C914,Produtos!$A$2:$A$71,0)),0)</f>
        <v/>
      </c>
      <c r="R914" s="23">
        <f>D914*Q914</f>
        <v/>
      </c>
      <c r="S914" s="23">
        <f>R914*E914</f>
        <v/>
      </c>
      <c r="T914" s="23">
        <f>(R914-S914)*M914</f>
        <v/>
      </c>
      <c r="U914" s="23">
        <f>R914-S914-T914</f>
        <v/>
      </c>
      <c r="V914" s="23">
        <f>D914*P914</f>
        <v/>
      </c>
      <c r="W914" s="23">
        <f>U914-V914</f>
        <v/>
      </c>
      <c r="X914" s="24">
        <f>IFERROR(W914/U914,0)</f>
        <v/>
      </c>
    </row>
    <row r="915">
      <c r="A915" s="25">
        <f>ItensPedido!A915</f>
        <v/>
      </c>
      <c r="B915" s="25">
        <f>ItensPedido!B915</f>
        <v/>
      </c>
      <c r="C915" s="25">
        <f>ItensPedido!C915</f>
        <v/>
      </c>
      <c r="D915" s="25">
        <f>ItensPedido!D915</f>
        <v/>
      </c>
      <c r="E915" s="26">
        <f>ItensPedido!E915</f>
        <v/>
      </c>
      <c r="F915" s="25">
        <f>IFERROR(INDEX(Pedidos!$B$2:$B$1801,MATCH(B915,Pedidos!$A$2:$A$1801,0)),0)</f>
        <v/>
      </c>
      <c r="G915" s="25">
        <f>IF(F915=0,"",YEAR(F915))</f>
        <v/>
      </c>
      <c r="H915" s="25">
        <f>IF(F915=0,"",MONTH(F915))</f>
        <v/>
      </c>
      <c r="I915" s="25">
        <f>IFERROR(INDEX(Pedidos!$E$2:$E$1801,MATCH(B915,Pedidos!$A$2:$A$1801,0)),"")</f>
        <v/>
      </c>
      <c r="J915" s="25">
        <f>IFERROR(INDEX(Pedidos!$C$2:$C$1801,MATCH(B915,Pedidos!$A$2:$A$1801,0)),"")</f>
        <v/>
      </c>
      <c r="K915" s="25">
        <f>IFERROR(INDEX(Pedidos!$D$2:$D$1801,MATCH(B915,Pedidos!$A$2:$A$1801,0)),"")</f>
        <v/>
      </c>
      <c r="L915" s="25">
        <f>IFERROR(INDEX(Pedidos!$F$2:$F$1801,MATCH(B915,Pedidos!$A$2:$A$1801,0)),"")</f>
        <v/>
      </c>
      <c r="M915" s="26">
        <f>IFERROR(INDEX(Pedidos!$G$2:$G$1801,MATCH(B915,Pedidos!$A$2:$A$1801,0)),0)</f>
        <v/>
      </c>
      <c r="N915" s="25">
        <f>IFERROR(INDEX(Produtos!$B$2:$B$71,MATCH(C915,Produtos!$A$2:$A$71,0)),"")</f>
        <v/>
      </c>
      <c r="O915" s="25">
        <f>IFERROR(INDEX(Produtos!$C$2:$C$71,MATCH(C915,Produtos!$A$2:$A$71,0)),"")</f>
        <v/>
      </c>
      <c r="P915" s="25">
        <f>IFERROR(INDEX(Produtos!$D$2:$D$71,MATCH(C915,Produtos!$A$2:$A$71,0)),0)</f>
        <v/>
      </c>
      <c r="Q915" s="25">
        <f>IFERROR(INDEX(Produtos!$E$2:$E$71,MATCH(C915,Produtos!$A$2:$A$71,0)),0)</f>
        <v/>
      </c>
      <c r="R915" s="27">
        <f>D915*Q915</f>
        <v/>
      </c>
      <c r="S915" s="27">
        <f>R915*E915</f>
        <v/>
      </c>
      <c r="T915" s="27">
        <f>(R915-S915)*M915</f>
        <v/>
      </c>
      <c r="U915" s="27">
        <f>R915-S915-T915</f>
        <v/>
      </c>
      <c r="V915" s="27">
        <f>D915*P915</f>
        <v/>
      </c>
      <c r="W915" s="27">
        <f>U915-V915</f>
        <v/>
      </c>
      <c r="X915" s="28">
        <f>IFERROR(W915/U915,0)</f>
        <v/>
      </c>
    </row>
    <row r="916">
      <c r="A916" s="21">
        <f>ItensPedido!A916</f>
        <v/>
      </c>
      <c r="B916" s="21">
        <f>ItensPedido!B916</f>
        <v/>
      </c>
      <c r="C916" s="21">
        <f>ItensPedido!C916</f>
        <v/>
      </c>
      <c r="D916" s="21">
        <f>ItensPedido!D916</f>
        <v/>
      </c>
      <c r="E916" s="22">
        <f>ItensPedido!E916</f>
        <v/>
      </c>
      <c r="F916" s="21">
        <f>IFERROR(INDEX(Pedidos!$B$2:$B$1801,MATCH(B916,Pedidos!$A$2:$A$1801,0)),0)</f>
        <v/>
      </c>
      <c r="G916" s="21">
        <f>IF(F916=0,"",YEAR(F916))</f>
        <v/>
      </c>
      <c r="H916" s="21">
        <f>IF(F916=0,"",MONTH(F916))</f>
        <v/>
      </c>
      <c r="I916" s="21">
        <f>IFERROR(INDEX(Pedidos!$E$2:$E$1801,MATCH(B916,Pedidos!$A$2:$A$1801,0)),"")</f>
        <v/>
      </c>
      <c r="J916" s="21">
        <f>IFERROR(INDEX(Pedidos!$C$2:$C$1801,MATCH(B916,Pedidos!$A$2:$A$1801,0)),"")</f>
        <v/>
      </c>
      <c r="K916" s="21">
        <f>IFERROR(INDEX(Pedidos!$D$2:$D$1801,MATCH(B916,Pedidos!$A$2:$A$1801,0)),"")</f>
        <v/>
      </c>
      <c r="L916" s="21">
        <f>IFERROR(INDEX(Pedidos!$F$2:$F$1801,MATCH(B916,Pedidos!$A$2:$A$1801,0)),"")</f>
        <v/>
      </c>
      <c r="M916" s="22">
        <f>IFERROR(INDEX(Pedidos!$G$2:$G$1801,MATCH(B916,Pedidos!$A$2:$A$1801,0)),0)</f>
        <v/>
      </c>
      <c r="N916" s="21">
        <f>IFERROR(INDEX(Produtos!$B$2:$B$71,MATCH(C916,Produtos!$A$2:$A$71,0)),"")</f>
        <v/>
      </c>
      <c r="O916" s="21">
        <f>IFERROR(INDEX(Produtos!$C$2:$C$71,MATCH(C916,Produtos!$A$2:$A$71,0)),"")</f>
        <v/>
      </c>
      <c r="P916" s="21">
        <f>IFERROR(INDEX(Produtos!$D$2:$D$71,MATCH(C916,Produtos!$A$2:$A$71,0)),0)</f>
        <v/>
      </c>
      <c r="Q916" s="21">
        <f>IFERROR(INDEX(Produtos!$E$2:$E$71,MATCH(C916,Produtos!$A$2:$A$71,0)),0)</f>
        <v/>
      </c>
      <c r="R916" s="23">
        <f>D916*Q916</f>
        <v/>
      </c>
      <c r="S916" s="23">
        <f>R916*E916</f>
        <v/>
      </c>
      <c r="T916" s="23">
        <f>(R916-S916)*M916</f>
        <v/>
      </c>
      <c r="U916" s="23">
        <f>R916-S916-T916</f>
        <v/>
      </c>
      <c r="V916" s="23">
        <f>D916*P916</f>
        <v/>
      </c>
      <c r="W916" s="23">
        <f>U916-V916</f>
        <v/>
      </c>
      <c r="X916" s="24">
        <f>IFERROR(W916/U916,0)</f>
        <v/>
      </c>
    </row>
    <row r="917">
      <c r="A917" s="25">
        <f>ItensPedido!A917</f>
        <v/>
      </c>
      <c r="B917" s="25">
        <f>ItensPedido!B917</f>
        <v/>
      </c>
      <c r="C917" s="25">
        <f>ItensPedido!C917</f>
        <v/>
      </c>
      <c r="D917" s="25">
        <f>ItensPedido!D917</f>
        <v/>
      </c>
      <c r="E917" s="26">
        <f>ItensPedido!E917</f>
        <v/>
      </c>
      <c r="F917" s="25">
        <f>IFERROR(INDEX(Pedidos!$B$2:$B$1801,MATCH(B917,Pedidos!$A$2:$A$1801,0)),0)</f>
        <v/>
      </c>
      <c r="G917" s="25">
        <f>IF(F917=0,"",YEAR(F917))</f>
        <v/>
      </c>
      <c r="H917" s="25">
        <f>IF(F917=0,"",MONTH(F917))</f>
        <v/>
      </c>
      <c r="I917" s="25">
        <f>IFERROR(INDEX(Pedidos!$E$2:$E$1801,MATCH(B917,Pedidos!$A$2:$A$1801,0)),"")</f>
        <v/>
      </c>
      <c r="J917" s="25">
        <f>IFERROR(INDEX(Pedidos!$C$2:$C$1801,MATCH(B917,Pedidos!$A$2:$A$1801,0)),"")</f>
        <v/>
      </c>
      <c r="K917" s="25">
        <f>IFERROR(INDEX(Pedidos!$D$2:$D$1801,MATCH(B917,Pedidos!$A$2:$A$1801,0)),"")</f>
        <v/>
      </c>
      <c r="L917" s="25">
        <f>IFERROR(INDEX(Pedidos!$F$2:$F$1801,MATCH(B917,Pedidos!$A$2:$A$1801,0)),"")</f>
        <v/>
      </c>
      <c r="M917" s="26">
        <f>IFERROR(INDEX(Pedidos!$G$2:$G$1801,MATCH(B917,Pedidos!$A$2:$A$1801,0)),0)</f>
        <v/>
      </c>
      <c r="N917" s="25">
        <f>IFERROR(INDEX(Produtos!$B$2:$B$71,MATCH(C917,Produtos!$A$2:$A$71,0)),"")</f>
        <v/>
      </c>
      <c r="O917" s="25">
        <f>IFERROR(INDEX(Produtos!$C$2:$C$71,MATCH(C917,Produtos!$A$2:$A$71,0)),"")</f>
        <v/>
      </c>
      <c r="P917" s="25">
        <f>IFERROR(INDEX(Produtos!$D$2:$D$71,MATCH(C917,Produtos!$A$2:$A$71,0)),0)</f>
        <v/>
      </c>
      <c r="Q917" s="25">
        <f>IFERROR(INDEX(Produtos!$E$2:$E$71,MATCH(C917,Produtos!$A$2:$A$71,0)),0)</f>
        <v/>
      </c>
      <c r="R917" s="27">
        <f>D917*Q917</f>
        <v/>
      </c>
      <c r="S917" s="27">
        <f>R917*E917</f>
        <v/>
      </c>
      <c r="T917" s="27">
        <f>(R917-S917)*M917</f>
        <v/>
      </c>
      <c r="U917" s="27">
        <f>R917-S917-T917</f>
        <v/>
      </c>
      <c r="V917" s="27">
        <f>D917*P917</f>
        <v/>
      </c>
      <c r="W917" s="27">
        <f>U917-V917</f>
        <v/>
      </c>
      <c r="X917" s="28">
        <f>IFERROR(W917/U917,0)</f>
        <v/>
      </c>
    </row>
    <row r="918">
      <c r="A918" s="21">
        <f>ItensPedido!A918</f>
        <v/>
      </c>
      <c r="B918" s="21">
        <f>ItensPedido!B918</f>
        <v/>
      </c>
      <c r="C918" s="21">
        <f>ItensPedido!C918</f>
        <v/>
      </c>
      <c r="D918" s="21">
        <f>ItensPedido!D918</f>
        <v/>
      </c>
      <c r="E918" s="22">
        <f>ItensPedido!E918</f>
        <v/>
      </c>
      <c r="F918" s="21">
        <f>IFERROR(INDEX(Pedidos!$B$2:$B$1801,MATCH(B918,Pedidos!$A$2:$A$1801,0)),0)</f>
        <v/>
      </c>
      <c r="G918" s="21">
        <f>IF(F918=0,"",YEAR(F918))</f>
        <v/>
      </c>
      <c r="H918" s="21">
        <f>IF(F918=0,"",MONTH(F918))</f>
        <v/>
      </c>
      <c r="I918" s="21">
        <f>IFERROR(INDEX(Pedidos!$E$2:$E$1801,MATCH(B918,Pedidos!$A$2:$A$1801,0)),"")</f>
        <v/>
      </c>
      <c r="J918" s="21">
        <f>IFERROR(INDEX(Pedidos!$C$2:$C$1801,MATCH(B918,Pedidos!$A$2:$A$1801,0)),"")</f>
        <v/>
      </c>
      <c r="K918" s="21">
        <f>IFERROR(INDEX(Pedidos!$D$2:$D$1801,MATCH(B918,Pedidos!$A$2:$A$1801,0)),"")</f>
        <v/>
      </c>
      <c r="L918" s="21">
        <f>IFERROR(INDEX(Pedidos!$F$2:$F$1801,MATCH(B918,Pedidos!$A$2:$A$1801,0)),"")</f>
        <v/>
      </c>
      <c r="M918" s="22">
        <f>IFERROR(INDEX(Pedidos!$G$2:$G$1801,MATCH(B918,Pedidos!$A$2:$A$1801,0)),0)</f>
        <v/>
      </c>
      <c r="N918" s="21">
        <f>IFERROR(INDEX(Produtos!$B$2:$B$71,MATCH(C918,Produtos!$A$2:$A$71,0)),"")</f>
        <v/>
      </c>
      <c r="O918" s="21">
        <f>IFERROR(INDEX(Produtos!$C$2:$C$71,MATCH(C918,Produtos!$A$2:$A$71,0)),"")</f>
        <v/>
      </c>
      <c r="P918" s="21">
        <f>IFERROR(INDEX(Produtos!$D$2:$D$71,MATCH(C918,Produtos!$A$2:$A$71,0)),0)</f>
        <v/>
      </c>
      <c r="Q918" s="21">
        <f>IFERROR(INDEX(Produtos!$E$2:$E$71,MATCH(C918,Produtos!$A$2:$A$71,0)),0)</f>
        <v/>
      </c>
      <c r="R918" s="23">
        <f>D918*Q918</f>
        <v/>
      </c>
      <c r="S918" s="23">
        <f>R918*E918</f>
        <v/>
      </c>
      <c r="T918" s="23">
        <f>(R918-S918)*M918</f>
        <v/>
      </c>
      <c r="U918" s="23">
        <f>R918-S918-T918</f>
        <v/>
      </c>
      <c r="V918" s="23">
        <f>D918*P918</f>
        <v/>
      </c>
      <c r="W918" s="23">
        <f>U918-V918</f>
        <v/>
      </c>
      <c r="X918" s="24">
        <f>IFERROR(W918/U918,0)</f>
        <v/>
      </c>
    </row>
    <row r="919">
      <c r="A919" s="25">
        <f>ItensPedido!A919</f>
        <v/>
      </c>
      <c r="B919" s="25">
        <f>ItensPedido!B919</f>
        <v/>
      </c>
      <c r="C919" s="25">
        <f>ItensPedido!C919</f>
        <v/>
      </c>
      <c r="D919" s="25">
        <f>ItensPedido!D919</f>
        <v/>
      </c>
      <c r="E919" s="26">
        <f>ItensPedido!E919</f>
        <v/>
      </c>
      <c r="F919" s="25">
        <f>IFERROR(INDEX(Pedidos!$B$2:$B$1801,MATCH(B919,Pedidos!$A$2:$A$1801,0)),0)</f>
        <v/>
      </c>
      <c r="G919" s="25">
        <f>IF(F919=0,"",YEAR(F919))</f>
        <v/>
      </c>
      <c r="H919" s="25">
        <f>IF(F919=0,"",MONTH(F919))</f>
        <v/>
      </c>
      <c r="I919" s="25">
        <f>IFERROR(INDEX(Pedidos!$E$2:$E$1801,MATCH(B919,Pedidos!$A$2:$A$1801,0)),"")</f>
        <v/>
      </c>
      <c r="J919" s="25">
        <f>IFERROR(INDEX(Pedidos!$C$2:$C$1801,MATCH(B919,Pedidos!$A$2:$A$1801,0)),"")</f>
        <v/>
      </c>
      <c r="K919" s="25">
        <f>IFERROR(INDEX(Pedidos!$D$2:$D$1801,MATCH(B919,Pedidos!$A$2:$A$1801,0)),"")</f>
        <v/>
      </c>
      <c r="L919" s="25">
        <f>IFERROR(INDEX(Pedidos!$F$2:$F$1801,MATCH(B919,Pedidos!$A$2:$A$1801,0)),"")</f>
        <v/>
      </c>
      <c r="M919" s="26">
        <f>IFERROR(INDEX(Pedidos!$G$2:$G$1801,MATCH(B919,Pedidos!$A$2:$A$1801,0)),0)</f>
        <v/>
      </c>
      <c r="N919" s="25">
        <f>IFERROR(INDEX(Produtos!$B$2:$B$71,MATCH(C919,Produtos!$A$2:$A$71,0)),"")</f>
        <v/>
      </c>
      <c r="O919" s="25">
        <f>IFERROR(INDEX(Produtos!$C$2:$C$71,MATCH(C919,Produtos!$A$2:$A$71,0)),"")</f>
        <v/>
      </c>
      <c r="P919" s="25">
        <f>IFERROR(INDEX(Produtos!$D$2:$D$71,MATCH(C919,Produtos!$A$2:$A$71,0)),0)</f>
        <v/>
      </c>
      <c r="Q919" s="25">
        <f>IFERROR(INDEX(Produtos!$E$2:$E$71,MATCH(C919,Produtos!$A$2:$A$71,0)),0)</f>
        <v/>
      </c>
      <c r="R919" s="27">
        <f>D919*Q919</f>
        <v/>
      </c>
      <c r="S919" s="27">
        <f>R919*E919</f>
        <v/>
      </c>
      <c r="T919" s="27">
        <f>(R919-S919)*M919</f>
        <v/>
      </c>
      <c r="U919" s="27">
        <f>R919-S919-T919</f>
        <v/>
      </c>
      <c r="V919" s="27">
        <f>D919*P919</f>
        <v/>
      </c>
      <c r="W919" s="27">
        <f>U919-V919</f>
        <v/>
      </c>
      <c r="X919" s="28">
        <f>IFERROR(W919/U919,0)</f>
        <v/>
      </c>
    </row>
    <row r="920">
      <c r="A920" s="21">
        <f>ItensPedido!A920</f>
        <v/>
      </c>
      <c r="B920" s="21">
        <f>ItensPedido!B920</f>
        <v/>
      </c>
      <c r="C920" s="21">
        <f>ItensPedido!C920</f>
        <v/>
      </c>
      <c r="D920" s="21">
        <f>ItensPedido!D920</f>
        <v/>
      </c>
      <c r="E920" s="22">
        <f>ItensPedido!E920</f>
        <v/>
      </c>
      <c r="F920" s="21">
        <f>IFERROR(INDEX(Pedidos!$B$2:$B$1801,MATCH(B920,Pedidos!$A$2:$A$1801,0)),0)</f>
        <v/>
      </c>
      <c r="G920" s="21">
        <f>IF(F920=0,"",YEAR(F920))</f>
        <v/>
      </c>
      <c r="H920" s="21">
        <f>IF(F920=0,"",MONTH(F920))</f>
        <v/>
      </c>
      <c r="I920" s="21">
        <f>IFERROR(INDEX(Pedidos!$E$2:$E$1801,MATCH(B920,Pedidos!$A$2:$A$1801,0)),"")</f>
        <v/>
      </c>
      <c r="J920" s="21">
        <f>IFERROR(INDEX(Pedidos!$C$2:$C$1801,MATCH(B920,Pedidos!$A$2:$A$1801,0)),"")</f>
        <v/>
      </c>
      <c r="K920" s="21">
        <f>IFERROR(INDEX(Pedidos!$D$2:$D$1801,MATCH(B920,Pedidos!$A$2:$A$1801,0)),"")</f>
        <v/>
      </c>
      <c r="L920" s="21">
        <f>IFERROR(INDEX(Pedidos!$F$2:$F$1801,MATCH(B920,Pedidos!$A$2:$A$1801,0)),"")</f>
        <v/>
      </c>
      <c r="M920" s="22">
        <f>IFERROR(INDEX(Pedidos!$G$2:$G$1801,MATCH(B920,Pedidos!$A$2:$A$1801,0)),0)</f>
        <v/>
      </c>
      <c r="N920" s="21">
        <f>IFERROR(INDEX(Produtos!$B$2:$B$71,MATCH(C920,Produtos!$A$2:$A$71,0)),"")</f>
        <v/>
      </c>
      <c r="O920" s="21">
        <f>IFERROR(INDEX(Produtos!$C$2:$C$71,MATCH(C920,Produtos!$A$2:$A$71,0)),"")</f>
        <v/>
      </c>
      <c r="P920" s="21">
        <f>IFERROR(INDEX(Produtos!$D$2:$D$71,MATCH(C920,Produtos!$A$2:$A$71,0)),0)</f>
        <v/>
      </c>
      <c r="Q920" s="21">
        <f>IFERROR(INDEX(Produtos!$E$2:$E$71,MATCH(C920,Produtos!$A$2:$A$71,0)),0)</f>
        <v/>
      </c>
      <c r="R920" s="23">
        <f>D920*Q920</f>
        <v/>
      </c>
      <c r="S920" s="23">
        <f>R920*E920</f>
        <v/>
      </c>
      <c r="T920" s="23">
        <f>(R920-S920)*M920</f>
        <v/>
      </c>
      <c r="U920" s="23">
        <f>R920-S920-T920</f>
        <v/>
      </c>
      <c r="V920" s="23">
        <f>D920*P920</f>
        <v/>
      </c>
      <c r="W920" s="23">
        <f>U920-V920</f>
        <v/>
      </c>
      <c r="X920" s="24">
        <f>IFERROR(W920/U920,0)</f>
        <v/>
      </c>
    </row>
    <row r="921">
      <c r="A921" s="25">
        <f>ItensPedido!A921</f>
        <v/>
      </c>
      <c r="B921" s="25">
        <f>ItensPedido!B921</f>
        <v/>
      </c>
      <c r="C921" s="25">
        <f>ItensPedido!C921</f>
        <v/>
      </c>
      <c r="D921" s="25">
        <f>ItensPedido!D921</f>
        <v/>
      </c>
      <c r="E921" s="26">
        <f>ItensPedido!E921</f>
        <v/>
      </c>
      <c r="F921" s="25">
        <f>IFERROR(INDEX(Pedidos!$B$2:$B$1801,MATCH(B921,Pedidos!$A$2:$A$1801,0)),0)</f>
        <v/>
      </c>
      <c r="G921" s="25">
        <f>IF(F921=0,"",YEAR(F921))</f>
        <v/>
      </c>
      <c r="H921" s="25">
        <f>IF(F921=0,"",MONTH(F921))</f>
        <v/>
      </c>
      <c r="I921" s="25">
        <f>IFERROR(INDEX(Pedidos!$E$2:$E$1801,MATCH(B921,Pedidos!$A$2:$A$1801,0)),"")</f>
        <v/>
      </c>
      <c r="J921" s="25">
        <f>IFERROR(INDEX(Pedidos!$C$2:$C$1801,MATCH(B921,Pedidos!$A$2:$A$1801,0)),"")</f>
        <v/>
      </c>
      <c r="K921" s="25">
        <f>IFERROR(INDEX(Pedidos!$D$2:$D$1801,MATCH(B921,Pedidos!$A$2:$A$1801,0)),"")</f>
        <v/>
      </c>
      <c r="L921" s="25">
        <f>IFERROR(INDEX(Pedidos!$F$2:$F$1801,MATCH(B921,Pedidos!$A$2:$A$1801,0)),"")</f>
        <v/>
      </c>
      <c r="M921" s="26">
        <f>IFERROR(INDEX(Pedidos!$G$2:$G$1801,MATCH(B921,Pedidos!$A$2:$A$1801,0)),0)</f>
        <v/>
      </c>
      <c r="N921" s="25">
        <f>IFERROR(INDEX(Produtos!$B$2:$B$71,MATCH(C921,Produtos!$A$2:$A$71,0)),"")</f>
        <v/>
      </c>
      <c r="O921" s="25">
        <f>IFERROR(INDEX(Produtos!$C$2:$C$71,MATCH(C921,Produtos!$A$2:$A$71,0)),"")</f>
        <v/>
      </c>
      <c r="P921" s="25">
        <f>IFERROR(INDEX(Produtos!$D$2:$D$71,MATCH(C921,Produtos!$A$2:$A$71,0)),0)</f>
        <v/>
      </c>
      <c r="Q921" s="25">
        <f>IFERROR(INDEX(Produtos!$E$2:$E$71,MATCH(C921,Produtos!$A$2:$A$71,0)),0)</f>
        <v/>
      </c>
      <c r="R921" s="27">
        <f>D921*Q921</f>
        <v/>
      </c>
      <c r="S921" s="27">
        <f>R921*E921</f>
        <v/>
      </c>
      <c r="T921" s="27">
        <f>(R921-S921)*M921</f>
        <v/>
      </c>
      <c r="U921" s="27">
        <f>R921-S921-T921</f>
        <v/>
      </c>
      <c r="V921" s="27">
        <f>D921*P921</f>
        <v/>
      </c>
      <c r="W921" s="27">
        <f>U921-V921</f>
        <v/>
      </c>
      <c r="X921" s="28">
        <f>IFERROR(W921/U921,0)</f>
        <v/>
      </c>
    </row>
    <row r="922">
      <c r="A922" s="21">
        <f>ItensPedido!A922</f>
        <v/>
      </c>
      <c r="B922" s="21">
        <f>ItensPedido!B922</f>
        <v/>
      </c>
      <c r="C922" s="21">
        <f>ItensPedido!C922</f>
        <v/>
      </c>
      <c r="D922" s="21">
        <f>ItensPedido!D922</f>
        <v/>
      </c>
      <c r="E922" s="22">
        <f>ItensPedido!E922</f>
        <v/>
      </c>
      <c r="F922" s="21">
        <f>IFERROR(INDEX(Pedidos!$B$2:$B$1801,MATCH(B922,Pedidos!$A$2:$A$1801,0)),0)</f>
        <v/>
      </c>
      <c r="G922" s="21">
        <f>IF(F922=0,"",YEAR(F922))</f>
        <v/>
      </c>
      <c r="H922" s="21">
        <f>IF(F922=0,"",MONTH(F922))</f>
        <v/>
      </c>
      <c r="I922" s="21">
        <f>IFERROR(INDEX(Pedidos!$E$2:$E$1801,MATCH(B922,Pedidos!$A$2:$A$1801,0)),"")</f>
        <v/>
      </c>
      <c r="J922" s="21">
        <f>IFERROR(INDEX(Pedidos!$C$2:$C$1801,MATCH(B922,Pedidos!$A$2:$A$1801,0)),"")</f>
        <v/>
      </c>
      <c r="K922" s="21">
        <f>IFERROR(INDEX(Pedidos!$D$2:$D$1801,MATCH(B922,Pedidos!$A$2:$A$1801,0)),"")</f>
        <v/>
      </c>
      <c r="L922" s="21">
        <f>IFERROR(INDEX(Pedidos!$F$2:$F$1801,MATCH(B922,Pedidos!$A$2:$A$1801,0)),"")</f>
        <v/>
      </c>
      <c r="M922" s="22">
        <f>IFERROR(INDEX(Pedidos!$G$2:$G$1801,MATCH(B922,Pedidos!$A$2:$A$1801,0)),0)</f>
        <v/>
      </c>
      <c r="N922" s="21">
        <f>IFERROR(INDEX(Produtos!$B$2:$B$71,MATCH(C922,Produtos!$A$2:$A$71,0)),"")</f>
        <v/>
      </c>
      <c r="O922" s="21">
        <f>IFERROR(INDEX(Produtos!$C$2:$C$71,MATCH(C922,Produtos!$A$2:$A$71,0)),"")</f>
        <v/>
      </c>
      <c r="P922" s="21">
        <f>IFERROR(INDEX(Produtos!$D$2:$D$71,MATCH(C922,Produtos!$A$2:$A$71,0)),0)</f>
        <v/>
      </c>
      <c r="Q922" s="21">
        <f>IFERROR(INDEX(Produtos!$E$2:$E$71,MATCH(C922,Produtos!$A$2:$A$71,0)),0)</f>
        <v/>
      </c>
      <c r="R922" s="23">
        <f>D922*Q922</f>
        <v/>
      </c>
      <c r="S922" s="23">
        <f>R922*E922</f>
        <v/>
      </c>
      <c r="T922" s="23">
        <f>(R922-S922)*M922</f>
        <v/>
      </c>
      <c r="U922" s="23">
        <f>R922-S922-T922</f>
        <v/>
      </c>
      <c r="V922" s="23">
        <f>D922*P922</f>
        <v/>
      </c>
      <c r="W922" s="23">
        <f>U922-V922</f>
        <v/>
      </c>
      <c r="X922" s="24">
        <f>IFERROR(W922/U922,0)</f>
        <v/>
      </c>
    </row>
    <row r="923">
      <c r="A923" s="25">
        <f>ItensPedido!A923</f>
        <v/>
      </c>
      <c r="B923" s="25">
        <f>ItensPedido!B923</f>
        <v/>
      </c>
      <c r="C923" s="25">
        <f>ItensPedido!C923</f>
        <v/>
      </c>
      <c r="D923" s="25">
        <f>ItensPedido!D923</f>
        <v/>
      </c>
      <c r="E923" s="26">
        <f>ItensPedido!E923</f>
        <v/>
      </c>
      <c r="F923" s="25">
        <f>IFERROR(INDEX(Pedidos!$B$2:$B$1801,MATCH(B923,Pedidos!$A$2:$A$1801,0)),0)</f>
        <v/>
      </c>
      <c r="G923" s="25">
        <f>IF(F923=0,"",YEAR(F923))</f>
        <v/>
      </c>
      <c r="H923" s="25">
        <f>IF(F923=0,"",MONTH(F923))</f>
        <v/>
      </c>
      <c r="I923" s="25">
        <f>IFERROR(INDEX(Pedidos!$E$2:$E$1801,MATCH(B923,Pedidos!$A$2:$A$1801,0)),"")</f>
        <v/>
      </c>
      <c r="J923" s="25">
        <f>IFERROR(INDEX(Pedidos!$C$2:$C$1801,MATCH(B923,Pedidos!$A$2:$A$1801,0)),"")</f>
        <v/>
      </c>
      <c r="K923" s="25">
        <f>IFERROR(INDEX(Pedidos!$D$2:$D$1801,MATCH(B923,Pedidos!$A$2:$A$1801,0)),"")</f>
        <v/>
      </c>
      <c r="L923" s="25">
        <f>IFERROR(INDEX(Pedidos!$F$2:$F$1801,MATCH(B923,Pedidos!$A$2:$A$1801,0)),"")</f>
        <v/>
      </c>
      <c r="M923" s="26">
        <f>IFERROR(INDEX(Pedidos!$G$2:$G$1801,MATCH(B923,Pedidos!$A$2:$A$1801,0)),0)</f>
        <v/>
      </c>
      <c r="N923" s="25">
        <f>IFERROR(INDEX(Produtos!$B$2:$B$71,MATCH(C923,Produtos!$A$2:$A$71,0)),"")</f>
        <v/>
      </c>
      <c r="O923" s="25">
        <f>IFERROR(INDEX(Produtos!$C$2:$C$71,MATCH(C923,Produtos!$A$2:$A$71,0)),"")</f>
        <v/>
      </c>
      <c r="P923" s="25">
        <f>IFERROR(INDEX(Produtos!$D$2:$D$71,MATCH(C923,Produtos!$A$2:$A$71,0)),0)</f>
        <v/>
      </c>
      <c r="Q923" s="25">
        <f>IFERROR(INDEX(Produtos!$E$2:$E$71,MATCH(C923,Produtos!$A$2:$A$71,0)),0)</f>
        <v/>
      </c>
      <c r="R923" s="27">
        <f>D923*Q923</f>
        <v/>
      </c>
      <c r="S923" s="27">
        <f>R923*E923</f>
        <v/>
      </c>
      <c r="T923" s="27">
        <f>(R923-S923)*M923</f>
        <v/>
      </c>
      <c r="U923" s="27">
        <f>R923-S923-T923</f>
        <v/>
      </c>
      <c r="V923" s="27">
        <f>D923*P923</f>
        <v/>
      </c>
      <c r="W923" s="27">
        <f>U923-V923</f>
        <v/>
      </c>
      <c r="X923" s="28">
        <f>IFERROR(W923/U923,0)</f>
        <v/>
      </c>
    </row>
    <row r="924">
      <c r="A924" s="21">
        <f>ItensPedido!A924</f>
        <v/>
      </c>
      <c r="B924" s="21">
        <f>ItensPedido!B924</f>
        <v/>
      </c>
      <c r="C924" s="21">
        <f>ItensPedido!C924</f>
        <v/>
      </c>
      <c r="D924" s="21">
        <f>ItensPedido!D924</f>
        <v/>
      </c>
      <c r="E924" s="22">
        <f>ItensPedido!E924</f>
        <v/>
      </c>
      <c r="F924" s="21">
        <f>IFERROR(INDEX(Pedidos!$B$2:$B$1801,MATCH(B924,Pedidos!$A$2:$A$1801,0)),0)</f>
        <v/>
      </c>
      <c r="G924" s="21">
        <f>IF(F924=0,"",YEAR(F924))</f>
        <v/>
      </c>
      <c r="H924" s="21">
        <f>IF(F924=0,"",MONTH(F924))</f>
        <v/>
      </c>
      <c r="I924" s="21">
        <f>IFERROR(INDEX(Pedidos!$E$2:$E$1801,MATCH(B924,Pedidos!$A$2:$A$1801,0)),"")</f>
        <v/>
      </c>
      <c r="J924" s="21">
        <f>IFERROR(INDEX(Pedidos!$C$2:$C$1801,MATCH(B924,Pedidos!$A$2:$A$1801,0)),"")</f>
        <v/>
      </c>
      <c r="K924" s="21">
        <f>IFERROR(INDEX(Pedidos!$D$2:$D$1801,MATCH(B924,Pedidos!$A$2:$A$1801,0)),"")</f>
        <v/>
      </c>
      <c r="L924" s="21">
        <f>IFERROR(INDEX(Pedidos!$F$2:$F$1801,MATCH(B924,Pedidos!$A$2:$A$1801,0)),"")</f>
        <v/>
      </c>
      <c r="M924" s="22">
        <f>IFERROR(INDEX(Pedidos!$G$2:$G$1801,MATCH(B924,Pedidos!$A$2:$A$1801,0)),0)</f>
        <v/>
      </c>
      <c r="N924" s="21">
        <f>IFERROR(INDEX(Produtos!$B$2:$B$71,MATCH(C924,Produtos!$A$2:$A$71,0)),"")</f>
        <v/>
      </c>
      <c r="O924" s="21">
        <f>IFERROR(INDEX(Produtos!$C$2:$C$71,MATCH(C924,Produtos!$A$2:$A$71,0)),"")</f>
        <v/>
      </c>
      <c r="P924" s="21">
        <f>IFERROR(INDEX(Produtos!$D$2:$D$71,MATCH(C924,Produtos!$A$2:$A$71,0)),0)</f>
        <v/>
      </c>
      <c r="Q924" s="21">
        <f>IFERROR(INDEX(Produtos!$E$2:$E$71,MATCH(C924,Produtos!$A$2:$A$71,0)),0)</f>
        <v/>
      </c>
      <c r="R924" s="23">
        <f>D924*Q924</f>
        <v/>
      </c>
      <c r="S924" s="23">
        <f>R924*E924</f>
        <v/>
      </c>
      <c r="T924" s="23">
        <f>(R924-S924)*M924</f>
        <v/>
      </c>
      <c r="U924" s="23">
        <f>R924-S924-T924</f>
        <v/>
      </c>
      <c r="V924" s="23">
        <f>D924*P924</f>
        <v/>
      </c>
      <c r="W924" s="23">
        <f>U924-V924</f>
        <v/>
      </c>
      <c r="X924" s="24">
        <f>IFERROR(W924/U924,0)</f>
        <v/>
      </c>
    </row>
    <row r="925">
      <c r="A925" s="25">
        <f>ItensPedido!A925</f>
        <v/>
      </c>
      <c r="B925" s="25">
        <f>ItensPedido!B925</f>
        <v/>
      </c>
      <c r="C925" s="25">
        <f>ItensPedido!C925</f>
        <v/>
      </c>
      <c r="D925" s="25">
        <f>ItensPedido!D925</f>
        <v/>
      </c>
      <c r="E925" s="26">
        <f>ItensPedido!E925</f>
        <v/>
      </c>
      <c r="F925" s="25">
        <f>IFERROR(INDEX(Pedidos!$B$2:$B$1801,MATCH(B925,Pedidos!$A$2:$A$1801,0)),0)</f>
        <v/>
      </c>
      <c r="G925" s="25">
        <f>IF(F925=0,"",YEAR(F925))</f>
        <v/>
      </c>
      <c r="H925" s="25">
        <f>IF(F925=0,"",MONTH(F925))</f>
        <v/>
      </c>
      <c r="I925" s="25">
        <f>IFERROR(INDEX(Pedidos!$E$2:$E$1801,MATCH(B925,Pedidos!$A$2:$A$1801,0)),"")</f>
        <v/>
      </c>
      <c r="J925" s="25">
        <f>IFERROR(INDEX(Pedidos!$C$2:$C$1801,MATCH(B925,Pedidos!$A$2:$A$1801,0)),"")</f>
        <v/>
      </c>
      <c r="K925" s="25">
        <f>IFERROR(INDEX(Pedidos!$D$2:$D$1801,MATCH(B925,Pedidos!$A$2:$A$1801,0)),"")</f>
        <v/>
      </c>
      <c r="L925" s="25">
        <f>IFERROR(INDEX(Pedidos!$F$2:$F$1801,MATCH(B925,Pedidos!$A$2:$A$1801,0)),"")</f>
        <v/>
      </c>
      <c r="M925" s="26">
        <f>IFERROR(INDEX(Pedidos!$G$2:$G$1801,MATCH(B925,Pedidos!$A$2:$A$1801,0)),0)</f>
        <v/>
      </c>
      <c r="N925" s="25">
        <f>IFERROR(INDEX(Produtos!$B$2:$B$71,MATCH(C925,Produtos!$A$2:$A$71,0)),"")</f>
        <v/>
      </c>
      <c r="O925" s="25">
        <f>IFERROR(INDEX(Produtos!$C$2:$C$71,MATCH(C925,Produtos!$A$2:$A$71,0)),"")</f>
        <v/>
      </c>
      <c r="P925" s="25">
        <f>IFERROR(INDEX(Produtos!$D$2:$D$71,MATCH(C925,Produtos!$A$2:$A$71,0)),0)</f>
        <v/>
      </c>
      <c r="Q925" s="25">
        <f>IFERROR(INDEX(Produtos!$E$2:$E$71,MATCH(C925,Produtos!$A$2:$A$71,0)),0)</f>
        <v/>
      </c>
      <c r="R925" s="27">
        <f>D925*Q925</f>
        <v/>
      </c>
      <c r="S925" s="27">
        <f>R925*E925</f>
        <v/>
      </c>
      <c r="T925" s="27">
        <f>(R925-S925)*M925</f>
        <v/>
      </c>
      <c r="U925" s="27">
        <f>R925-S925-T925</f>
        <v/>
      </c>
      <c r="V925" s="27">
        <f>D925*P925</f>
        <v/>
      </c>
      <c r="W925" s="27">
        <f>U925-V925</f>
        <v/>
      </c>
      <c r="X925" s="28">
        <f>IFERROR(W925/U925,0)</f>
        <v/>
      </c>
    </row>
    <row r="926">
      <c r="A926" s="21">
        <f>ItensPedido!A926</f>
        <v/>
      </c>
      <c r="B926" s="21">
        <f>ItensPedido!B926</f>
        <v/>
      </c>
      <c r="C926" s="21">
        <f>ItensPedido!C926</f>
        <v/>
      </c>
      <c r="D926" s="21">
        <f>ItensPedido!D926</f>
        <v/>
      </c>
      <c r="E926" s="22">
        <f>ItensPedido!E926</f>
        <v/>
      </c>
      <c r="F926" s="21">
        <f>IFERROR(INDEX(Pedidos!$B$2:$B$1801,MATCH(B926,Pedidos!$A$2:$A$1801,0)),0)</f>
        <v/>
      </c>
      <c r="G926" s="21">
        <f>IF(F926=0,"",YEAR(F926))</f>
        <v/>
      </c>
      <c r="H926" s="21">
        <f>IF(F926=0,"",MONTH(F926))</f>
        <v/>
      </c>
      <c r="I926" s="21">
        <f>IFERROR(INDEX(Pedidos!$E$2:$E$1801,MATCH(B926,Pedidos!$A$2:$A$1801,0)),"")</f>
        <v/>
      </c>
      <c r="J926" s="21">
        <f>IFERROR(INDEX(Pedidos!$C$2:$C$1801,MATCH(B926,Pedidos!$A$2:$A$1801,0)),"")</f>
        <v/>
      </c>
      <c r="K926" s="21">
        <f>IFERROR(INDEX(Pedidos!$D$2:$D$1801,MATCH(B926,Pedidos!$A$2:$A$1801,0)),"")</f>
        <v/>
      </c>
      <c r="L926" s="21">
        <f>IFERROR(INDEX(Pedidos!$F$2:$F$1801,MATCH(B926,Pedidos!$A$2:$A$1801,0)),"")</f>
        <v/>
      </c>
      <c r="M926" s="22">
        <f>IFERROR(INDEX(Pedidos!$G$2:$G$1801,MATCH(B926,Pedidos!$A$2:$A$1801,0)),0)</f>
        <v/>
      </c>
      <c r="N926" s="21">
        <f>IFERROR(INDEX(Produtos!$B$2:$B$71,MATCH(C926,Produtos!$A$2:$A$71,0)),"")</f>
        <v/>
      </c>
      <c r="O926" s="21">
        <f>IFERROR(INDEX(Produtos!$C$2:$C$71,MATCH(C926,Produtos!$A$2:$A$71,0)),"")</f>
        <v/>
      </c>
      <c r="P926" s="21">
        <f>IFERROR(INDEX(Produtos!$D$2:$D$71,MATCH(C926,Produtos!$A$2:$A$71,0)),0)</f>
        <v/>
      </c>
      <c r="Q926" s="21">
        <f>IFERROR(INDEX(Produtos!$E$2:$E$71,MATCH(C926,Produtos!$A$2:$A$71,0)),0)</f>
        <v/>
      </c>
      <c r="R926" s="23">
        <f>D926*Q926</f>
        <v/>
      </c>
      <c r="S926" s="23">
        <f>R926*E926</f>
        <v/>
      </c>
      <c r="T926" s="23">
        <f>(R926-S926)*M926</f>
        <v/>
      </c>
      <c r="U926" s="23">
        <f>R926-S926-T926</f>
        <v/>
      </c>
      <c r="V926" s="23">
        <f>D926*P926</f>
        <v/>
      </c>
      <c r="W926" s="23">
        <f>U926-V926</f>
        <v/>
      </c>
      <c r="X926" s="24">
        <f>IFERROR(W926/U926,0)</f>
        <v/>
      </c>
    </row>
    <row r="927">
      <c r="A927" s="25">
        <f>ItensPedido!A927</f>
        <v/>
      </c>
      <c r="B927" s="25">
        <f>ItensPedido!B927</f>
        <v/>
      </c>
      <c r="C927" s="25">
        <f>ItensPedido!C927</f>
        <v/>
      </c>
      <c r="D927" s="25">
        <f>ItensPedido!D927</f>
        <v/>
      </c>
      <c r="E927" s="26">
        <f>ItensPedido!E927</f>
        <v/>
      </c>
      <c r="F927" s="25">
        <f>IFERROR(INDEX(Pedidos!$B$2:$B$1801,MATCH(B927,Pedidos!$A$2:$A$1801,0)),0)</f>
        <v/>
      </c>
      <c r="G927" s="25">
        <f>IF(F927=0,"",YEAR(F927))</f>
        <v/>
      </c>
      <c r="H927" s="25">
        <f>IF(F927=0,"",MONTH(F927))</f>
        <v/>
      </c>
      <c r="I927" s="25">
        <f>IFERROR(INDEX(Pedidos!$E$2:$E$1801,MATCH(B927,Pedidos!$A$2:$A$1801,0)),"")</f>
        <v/>
      </c>
      <c r="J927" s="25">
        <f>IFERROR(INDEX(Pedidos!$C$2:$C$1801,MATCH(B927,Pedidos!$A$2:$A$1801,0)),"")</f>
        <v/>
      </c>
      <c r="K927" s="25">
        <f>IFERROR(INDEX(Pedidos!$D$2:$D$1801,MATCH(B927,Pedidos!$A$2:$A$1801,0)),"")</f>
        <v/>
      </c>
      <c r="L927" s="25">
        <f>IFERROR(INDEX(Pedidos!$F$2:$F$1801,MATCH(B927,Pedidos!$A$2:$A$1801,0)),"")</f>
        <v/>
      </c>
      <c r="M927" s="26">
        <f>IFERROR(INDEX(Pedidos!$G$2:$G$1801,MATCH(B927,Pedidos!$A$2:$A$1801,0)),0)</f>
        <v/>
      </c>
      <c r="N927" s="25">
        <f>IFERROR(INDEX(Produtos!$B$2:$B$71,MATCH(C927,Produtos!$A$2:$A$71,0)),"")</f>
        <v/>
      </c>
      <c r="O927" s="25">
        <f>IFERROR(INDEX(Produtos!$C$2:$C$71,MATCH(C927,Produtos!$A$2:$A$71,0)),"")</f>
        <v/>
      </c>
      <c r="P927" s="25">
        <f>IFERROR(INDEX(Produtos!$D$2:$D$71,MATCH(C927,Produtos!$A$2:$A$71,0)),0)</f>
        <v/>
      </c>
      <c r="Q927" s="25">
        <f>IFERROR(INDEX(Produtos!$E$2:$E$71,MATCH(C927,Produtos!$A$2:$A$71,0)),0)</f>
        <v/>
      </c>
      <c r="R927" s="27">
        <f>D927*Q927</f>
        <v/>
      </c>
      <c r="S927" s="27">
        <f>R927*E927</f>
        <v/>
      </c>
      <c r="T927" s="27">
        <f>(R927-S927)*M927</f>
        <v/>
      </c>
      <c r="U927" s="27">
        <f>R927-S927-T927</f>
        <v/>
      </c>
      <c r="V927" s="27">
        <f>D927*P927</f>
        <v/>
      </c>
      <c r="W927" s="27">
        <f>U927-V927</f>
        <v/>
      </c>
      <c r="X927" s="28">
        <f>IFERROR(W927/U927,0)</f>
        <v/>
      </c>
    </row>
    <row r="928">
      <c r="A928" s="21">
        <f>ItensPedido!A928</f>
        <v/>
      </c>
      <c r="B928" s="21">
        <f>ItensPedido!B928</f>
        <v/>
      </c>
      <c r="C928" s="21">
        <f>ItensPedido!C928</f>
        <v/>
      </c>
      <c r="D928" s="21">
        <f>ItensPedido!D928</f>
        <v/>
      </c>
      <c r="E928" s="22">
        <f>ItensPedido!E928</f>
        <v/>
      </c>
      <c r="F928" s="21">
        <f>IFERROR(INDEX(Pedidos!$B$2:$B$1801,MATCH(B928,Pedidos!$A$2:$A$1801,0)),0)</f>
        <v/>
      </c>
      <c r="G928" s="21">
        <f>IF(F928=0,"",YEAR(F928))</f>
        <v/>
      </c>
      <c r="H928" s="21">
        <f>IF(F928=0,"",MONTH(F928))</f>
        <v/>
      </c>
      <c r="I928" s="21">
        <f>IFERROR(INDEX(Pedidos!$E$2:$E$1801,MATCH(B928,Pedidos!$A$2:$A$1801,0)),"")</f>
        <v/>
      </c>
      <c r="J928" s="21">
        <f>IFERROR(INDEX(Pedidos!$C$2:$C$1801,MATCH(B928,Pedidos!$A$2:$A$1801,0)),"")</f>
        <v/>
      </c>
      <c r="K928" s="21">
        <f>IFERROR(INDEX(Pedidos!$D$2:$D$1801,MATCH(B928,Pedidos!$A$2:$A$1801,0)),"")</f>
        <v/>
      </c>
      <c r="L928" s="21">
        <f>IFERROR(INDEX(Pedidos!$F$2:$F$1801,MATCH(B928,Pedidos!$A$2:$A$1801,0)),"")</f>
        <v/>
      </c>
      <c r="M928" s="22">
        <f>IFERROR(INDEX(Pedidos!$G$2:$G$1801,MATCH(B928,Pedidos!$A$2:$A$1801,0)),0)</f>
        <v/>
      </c>
      <c r="N928" s="21">
        <f>IFERROR(INDEX(Produtos!$B$2:$B$71,MATCH(C928,Produtos!$A$2:$A$71,0)),"")</f>
        <v/>
      </c>
      <c r="O928" s="21">
        <f>IFERROR(INDEX(Produtos!$C$2:$C$71,MATCH(C928,Produtos!$A$2:$A$71,0)),"")</f>
        <v/>
      </c>
      <c r="P928" s="21">
        <f>IFERROR(INDEX(Produtos!$D$2:$D$71,MATCH(C928,Produtos!$A$2:$A$71,0)),0)</f>
        <v/>
      </c>
      <c r="Q928" s="21">
        <f>IFERROR(INDEX(Produtos!$E$2:$E$71,MATCH(C928,Produtos!$A$2:$A$71,0)),0)</f>
        <v/>
      </c>
      <c r="R928" s="23">
        <f>D928*Q928</f>
        <v/>
      </c>
      <c r="S928" s="23">
        <f>R928*E928</f>
        <v/>
      </c>
      <c r="T928" s="23">
        <f>(R928-S928)*M928</f>
        <v/>
      </c>
      <c r="U928" s="23">
        <f>R928-S928-T928</f>
        <v/>
      </c>
      <c r="V928" s="23">
        <f>D928*P928</f>
        <v/>
      </c>
      <c r="W928" s="23">
        <f>U928-V928</f>
        <v/>
      </c>
      <c r="X928" s="24">
        <f>IFERROR(W928/U928,0)</f>
        <v/>
      </c>
    </row>
    <row r="929">
      <c r="A929" s="25">
        <f>ItensPedido!A929</f>
        <v/>
      </c>
      <c r="B929" s="25">
        <f>ItensPedido!B929</f>
        <v/>
      </c>
      <c r="C929" s="25">
        <f>ItensPedido!C929</f>
        <v/>
      </c>
      <c r="D929" s="25">
        <f>ItensPedido!D929</f>
        <v/>
      </c>
      <c r="E929" s="26">
        <f>ItensPedido!E929</f>
        <v/>
      </c>
      <c r="F929" s="25">
        <f>IFERROR(INDEX(Pedidos!$B$2:$B$1801,MATCH(B929,Pedidos!$A$2:$A$1801,0)),0)</f>
        <v/>
      </c>
      <c r="G929" s="25">
        <f>IF(F929=0,"",YEAR(F929))</f>
        <v/>
      </c>
      <c r="H929" s="25">
        <f>IF(F929=0,"",MONTH(F929))</f>
        <v/>
      </c>
      <c r="I929" s="25">
        <f>IFERROR(INDEX(Pedidos!$E$2:$E$1801,MATCH(B929,Pedidos!$A$2:$A$1801,0)),"")</f>
        <v/>
      </c>
      <c r="J929" s="25">
        <f>IFERROR(INDEX(Pedidos!$C$2:$C$1801,MATCH(B929,Pedidos!$A$2:$A$1801,0)),"")</f>
        <v/>
      </c>
      <c r="K929" s="25">
        <f>IFERROR(INDEX(Pedidos!$D$2:$D$1801,MATCH(B929,Pedidos!$A$2:$A$1801,0)),"")</f>
        <v/>
      </c>
      <c r="L929" s="25">
        <f>IFERROR(INDEX(Pedidos!$F$2:$F$1801,MATCH(B929,Pedidos!$A$2:$A$1801,0)),"")</f>
        <v/>
      </c>
      <c r="M929" s="26">
        <f>IFERROR(INDEX(Pedidos!$G$2:$G$1801,MATCH(B929,Pedidos!$A$2:$A$1801,0)),0)</f>
        <v/>
      </c>
      <c r="N929" s="25">
        <f>IFERROR(INDEX(Produtos!$B$2:$B$71,MATCH(C929,Produtos!$A$2:$A$71,0)),"")</f>
        <v/>
      </c>
      <c r="O929" s="25">
        <f>IFERROR(INDEX(Produtos!$C$2:$C$71,MATCH(C929,Produtos!$A$2:$A$71,0)),"")</f>
        <v/>
      </c>
      <c r="P929" s="25">
        <f>IFERROR(INDEX(Produtos!$D$2:$D$71,MATCH(C929,Produtos!$A$2:$A$71,0)),0)</f>
        <v/>
      </c>
      <c r="Q929" s="25">
        <f>IFERROR(INDEX(Produtos!$E$2:$E$71,MATCH(C929,Produtos!$A$2:$A$71,0)),0)</f>
        <v/>
      </c>
      <c r="R929" s="27">
        <f>D929*Q929</f>
        <v/>
      </c>
      <c r="S929" s="27">
        <f>R929*E929</f>
        <v/>
      </c>
      <c r="T929" s="27">
        <f>(R929-S929)*M929</f>
        <v/>
      </c>
      <c r="U929" s="27">
        <f>R929-S929-T929</f>
        <v/>
      </c>
      <c r="V929" s="27">
        <f>D929*P929</f>
        <v/>
      </c>
      <c r="W929" s="27">
        <f>U929-V929</f>
        <v/>
      </c>
      <c r="X929" s="28">
        <f>IFERROR(W929/U929,0)</f>
        <v/>
      </c>
    </row>
    <row r="930">
      <c r="A930" s="21">
        <f>ItensPedido!A930</f>
        <v/>
      </c>
      <c r="B930" s="21">
        <f>ItensPedido!B930</f>
        <v/>
      </c>
      <c r="C930" s="21">
        <f>ItensPedido!C930</f>
        <v/>
      </c>
      <c r="D930" s="21">
        <f>ItensPedido!D930</f>
        <v/>
      </c>
      <c r="E930" s="22">
        <f>ItensPedido!E930</f>
        <v/>
      </c>
      <c r="F930" s="21">
        <f>IFERROR(INDEX(Pedidos!$B$2:$B$1801,MATCH(B930,Pedidos!$A$2:$A$1801,0)),0)</f>
        <v/>
      </c>
      <c r="G930" s="21">
        <f>IF(F930=0,"",YEAR(F930))</f>
        <v/>
      </c>
      <c r="H930" s="21">
        <f>IF(F930=0,"",MONTH(F930))</f>
        <v/>
      </c>
      <c r="I930" s="21">
        <f>IFERROR(INDEX(Pedidos!$E$2:$E$1801,MATCH(B930,Pedidos!$A$2:$A$1801,0)),"")</f>
        <v/>
      </c>
      <c r="J930" s="21">
        <f>IFERROR(INDEX(Pedidos!$C$2:$C$1801,MATCH(B930,Pedidos!$A$2:$A$1801,0)),"")</f>
        <v/>
      </c>
      <c r="K930" s="21">
        <f>IFERROR(INDEX(Pedidos!$D$2:$D$1801,MATCH(B930,Pedidos!$A$2:$A$1801,0)),"")</f>
        <v/>
      </c>
      <c r="L930" s="21">
        <f>IFERROR(INDEX(Pedidos!$F$2:$F$1801,MATCH(B930,Pedidos!$A$2:$A$1801,0)),"")</f>
        <v/>
      </c>
      <c r="M930" s="22">
        <f>IFERROR(INDEX(Pedidos!$G$2:$G$1801,MATCH(B930,Pedidos!$A$2:$A$1801,0)),0)</f>
        <v/>
      </c>
      <c r="N930" s="21">
        <f>IFERROR(INDEX(Produtos!$B$2:$B$71,MATCH(C930,Produtos!$A$2:$A$71,0)),"")</f>
        <v/>
      </c>
      <c r="O930" s="21">
        <f>IFERROR(INDEX(Produtos!$C$2:$C$71,MATCH(C930,Produtos!$A$2:$A$71,0)),"")</f>
        <v/>
      </c>
      <c r="P930" s="21">
        <f>IFERROR(INDEX(Produtos!$D$2:$D$71,MATCH(C930,Produtos!$A$2:$A$71,0)),0)</f>
        <v/>
      </c>
      <c r="Q930" s="21">
        <f>IFERROR(INDEX(Produtos!$E$2:$E$71,MATCH(C930,Produtos!$A$2:$A$71,0)),0)</f>
        <v/>
      </c>
      <c r="R930" s="23">
        <f>D930*Q930</f>
        <v/>
      </c>
      <c r="S930" s="23">
        <f>R930*E930</f>
        <v/>
      </c>
      <c r="T930" s="23">
        <f>(R930-S930)*M930</f>
        <v/>
      </c>
      <c r="U930" s="23">
        <f>R930-S930-T930</f>
        <v/>
      </c>
      <c r="V930" s="23">
        <f>D930*P930</f>
        <v/>
      </c>
      <c r="W930" s="23">
        <f>U930-V930</f>
        <v/>
      </c>
      <c r="X930" s="24">
        <f>IFERROR(W930/U930,0)</f>
        <v/>
      </c>
    </row>
    <row r="931">
      <c r="A931" s="25">
        <f>ItensPedido!A931</f>
        <v/>
      </c>
      <c r="B931" s="25">
        <f>ItensPedido!B931</f>
        <v/>
      </c>
      <c r="C931" s="25">
        <f>ItensPedido!C931</f>
        <v/>
      </c>
      <c r="D931" s="25">
        <f>ItensPedido!D931</f>
        <v/>
      </c>
      <c r="E931" s="26">
        <f>ItensPedido!E931</f>
        <v/>
      </c>
      <c r="F931" s="25">
        <f>IFERROR(INDEX(Pedidos!$B$2:$B$1801,MATCH(B931,Pedidos!$A$2:$A$1801,0)),0)</f>
        <v/>
      </c>
      <c r="G931" s="25">
        <f>IF(F931=0,"",YEAR(F931))</f>
        <v/>
      </c>
      <c r="H931" s="25">
        <f>IF(F931=0,"",MONTH(F931))</f>
        <v/>
      </c>
      <c r="I931" s="25">
        <f>IFERROR(INDEX(Pedidos!$E$2:$E$1801,MATCH(B931,Pedidos!$A$2:$A$1801,0)),"")</f>
        <v/>
      </c>
      <c r="J931" s="25">
        <f>IFERROR(INDEX(Pedidos!$C$2:$C$1801,MATCH(B931,Pedidos!$A$2:$A$1801,0)),"")</f>
        <v/>
      </c>
      <c r="K931" s="25">
        <f>IFERROR(INDEX(Pedidos!$D$2:$D$1801,MATCH(B931,Pedidos!$A$2:$A$1801,0)),"")</f>
        <v/>
      </c>
      <c r="L931" s="25">
        <f>IFERROR(INDEX(Pedidos!$F$2:$F$1801,MATCH(B931,Pedidos!$A$2:$A$1801,0)),"")</f>
        <v/>
      </c>
      <c r="M931" s="26">
        <f>IFERROR(INDEX(Pedidos!$G$2:$G$1801,MATCH(B931,Pedidos!$A$2:$A$1801,0)),0)</f>
        <v/>
      </c>
      <c r="N931" s="25">
        <f>IFERROR(INDEX(Produtos!$B$2:$B$71,MATCH(C931,Produtos!$A$2:$A$71,0)),"")</f>
        <v/>
      </c>
      <c r="O931" s="25">
        <f>IFERROR(INDEX(Produtos!$C$2:$C$71,MATCH(C931,Produtos!$A$2:$A$71,0)),"")</f>
        <v/>
      </c>
      <c r="P931" s="25">
        <f>IFERROR(INDEX(Produtos!$D$2:$D$71,MATCH(C931,Produtos!$A$2:$A$71,0)),0)</f>
        <v/>
      </c>
      <c r="Q931" s="25">
        <f>IFERROR(INDEX(Produtos!$E$2:$E$71,MATCH(C931,Produtos!$A$2:$A$71,0)),0)</f>
        <v/>
      </c>
      <c r="R931" s="27">
        <f>D931*Q931</f>
        <v/>
      </c>
      <c r="S931" s="27">
        <f>R931*E931</f>
        <v/>
      </c>
      <c r="T931" s="27">
        <f>(R931-S931)*M931</f>
        <v/>
      </c>
      <c r="U931" s="27">
        <f>R931-S931-T931</f>
        <v/>
      </c>
      <c r="V931" s="27">
        <f>D931*P931</f>
        <v/>
      </c>
      <c r="W931" s="27">
        <f>U931-V931</f>
        <v/>
      </c>
      <c r="X931" s="28">
        <f>IFERROR(W931/U931,0)</f>
        <v/>
      </c>
    </row>
    <row r="932">
      <c r="A932" s="21">
        <f>ItensPedido!A932</f>
        <v/>
      </c>
      <c r="B932" s="21">
        <f>ItensPedido!B932</f>
        <v/>
      </c>
      <c r="C932" s="21">
        <f>ItensPedido!C932</f>
        <v/>
      </c>
      <c r="D932" s="21">
        <f>ItensPedido!D932</f>
        <v/>
      </c>
      <c r="E932" s="22">
        <f>ItensPedido!E932</f>
        <v/>
      </c>
      <c r="F932" s="21">
        <f>IFERROR(INDEX(Pedidos!$B$2:$B$1801,MATCH(B932,Pedidos!$A$2:$A$1801,0)),0)</f>
        <v/>
      </c>
      <c r="G932" s="21">
        <f>IF(F932=0,"",YEAR(F932))</f>
        <v/>
      </c>
      <c r="H932" s="21">
        <f>IF(F932=0,"",MONTH(F932))</f>
        <v/>
      </c>
      <c r="I932" s="21">
        <f>IFERROR(INDEX(Pedidos!$E$2:$E$1801,MATCH(B932,Pedidos!$A$2:$A$1801,0)),"")</f>
        <v/>
      </c>
      <c r="J932" s="21">
        <f>IFERROR(INDEX(Pedidos!$C$2:$C$1801,MATCH(B932,Pedidos!$A$2:$A$1801,0)),"")</f>
        <v/>
      </c>
      <c r="K932" s="21">
        <f>IFERROR(INDEX(Pedidos!$D$2:$D$1801,MATCH(B932,Pedidos!$A$2:$A$1801,0)),"")</f>
        <v/>
      </c>
      <c r="L932" s="21">
        <f>IFERROR(INDEX(Pedidos!$F$2:$F$1801,MATCH(B932,Pedidos!$A$2:$A$1801,0)),"")</f>
        <v/>
      </c>
      <c r="M932" s="22">
        <f>IFERROR(INDEX(Pedidos!$G$2:$G$1801,MATCH(B932,Pedidos!$A$2:$A$1801,0)),0)</f>
        <v/>
      </c>
      <c r="N932" s="21">
        <f>IFERROR(INDEX(Produtos!$B$2:$B$71,MATCH(C932,Produtos!$A$2:$A$71,0)),"")</f>
        <v/>
      </c>
      <c r="O932" s="21">
        <f>IFERROR(INDEX(Produtos!$C$2:$C$71,MATCH(C932,Produtos!$A$2:$A$71,0)),"")</f>
        <v/>
      </c>
      <c r="P932" s="21">
        <f>IFERROR(INDEX(Produtos!$D$2:$D$71,MATCH(C932,Produtos!$A$2:$A$71,0)),0)</f>
        <v/>
      </c>
      <c r="Q932" s="21">
        <f>IFERROR(INDEX(Produtos!$E$2:$E$71,MATCH(C932,Produtos!$A$2:$A$71,0)),0)</f>
        <v/>
      </c>
      <c r="R932" s="23">
        <f>D932*Q932</f>
        <v/>
      </c>
      <c r="S932" s="23">
        <f>R932*E932</f>
        <v/>
      </c>
      <c r="T932" s="23">
        <f>(R932-S932)*M932</f>
        <v/>
      </c>
      <c r="U932" s="23">
        <f>R932-S932-T932</f>
        <v/>
      </c>
      <c r="V932" s="23">
        <f>D932*P932</f>
        <v/>
      </c>
      <c r="W932" s="23">
        <f>U932-V932</f>
        <v/>
      </c>
      <c r="X932" s="24">
        <f>IFERROR(W932/U932,0)</f>
        <v/>
      </c>
    </row>
    <row r="933">
      <c r="A933" s="25">
        <f>ItensPedido!A933</f>
        <v/>
      </c>
      <c r="B933" s="25">
        <f>ItensPedido!B933</f>
        <v/>
      </c>
      <c r="C933" s="25">
        <f>ItensPedido!C933</f>
        <v/>
      </c>
      <c r="D933" s="25">
        <f>ItensPedido!D933</f>
        <v/>
      </c>
      <c r="E933" s="26">
        <f>ItensPedido!E933</f>
        <v/>
      </c>
      <c r="F933" s="25">
        <f>IFERROR(INDEX(Pedidos!$B$2:$B$1801,MATCH(B933,Pedidos!$A$2:$A$1801,0)),0)</f>
        <v/>
      </c>
      <c r="G933" s="25">
        <f>IF(F933=0,"",YEAR(F933))</f>
        <v/>
      </c>
      <c r="H933" s="25">
        <f>IF(F933=0,"",MONTH(F933))</f>
        <v/>
      </c>
      <c r="I933" s="25">
        <f>IFERROR(INDEX(Pedidos!$E$2:$E$1801,MATCH(B933,Pedidos!$A$2:$A$1801,0)),"")</f>
        <v/>
      </c>
      <c r="J933" s="25">
        <f>IFERROR(INDEX(Pedidos!$C$2:$C$1801,MATCH(B933,Pedidos!$A$2:$A$1801,0)),"")</f>
        <v/>
      </c>
      <c r="K933" s="25">
        <f>IFERROR(INDEX(Pedidos!$D$2:$D$1801,MATCH(B933,Pedidos!$A$2:$A$1801,0)),"")</f>
        <v/>
      </c>
      <c r="L933" s="25">
        <f>IFERROR(INDEX(Pedidos!$F$2:$F$1801,MATCH(B933,Pedidos!$A$2:$A$1801,0)),"")</f>
        <v/>
      </c>
      <c r="M933" s="26">
        <f>IFERROR(INDEX(Pedidos!$G$2:$G$1801,MATCH(B933,Pedidos!$A$2:$A$1801,0)),0)</f>
        <v/>
      </c>
      <c r="N933" s="25">
        <f>IFERROR(INDEX(Produtos!$B$2:$B$71,MATCH(C933,Produtos!$A$2:$A$71,0)),"")</f>
        <v/>
      </c>
      <c r="O933" s="25">
        <f>IFERROR(INDEX(Produtos!$C$2:$C$71,MATCH(C933,Produtos!$A$2:$A$71,0)),"")</f>
        <v/>
      </c>
      <c r="P933" s="25">
        <f>IFERROR(INDEX(Produtos!$D$2:$D$71,MATCH(C933,Produtos!$A$2:$A$71,0)),0)</f>
        <v/>
      </c>
      <c r="Q933" s="25">
        <f>IFERROR(INDEX(Produtos!$E$2:$E$71,MATCH(C933,Produtos!$A$2:$A$71,0)),0)</f>
        <v/>
      </c>
      <c r="R933" s="27">
        <f>D933*Q933</f>
        <v/>
      </c>
      <c r="S933" s="27">
        <f>R933*E933</f>
        <v/>
      </c>
      <c r="T933" s="27">
        <f>(R933-S933)*M933</f>
        <v/>
      </c>
      <c r="U933" s="27">
        <f>R933-S933-T933</f>
        <v/>
      </c>
      <c r="V933" s="27">
        <f>D933*P933</f>
        <v/>
      </c>
      <c r="W933" s="27">
        <f>U933-V933</f>
        <v/>
      </c>
      <c r="X933" s="28">
        <f>IFERROR(W933/U933,0)</f>
        <v/>
      </c>
    </row>
    <row r="934">
      <c r="A934" s="21">
        <f>ItensPedido!A934</f>
        <v/>
      </c>
      <c r="B934" s="21">
        <f>ItensPedido!B934</f>
        <v/>
      </c>
      <c r="C934" s="21">
        <f>ItensPedido!C934</f>
        <v/>
      </c>
      <c r="D934" s="21">
        <f>ItensPedido!D934</f>
        <v/>
      </c>
      <c r="E934" s="22">
        <f>ItensPedido!E934</f>
        <v/>
      </c>
      <c r="F934" s="21">
        <f>IFERROR(INDEX(Pedidos!$B$2:$B$1801,MATCH(B934,Pedidos!$A$2:$A$1801,0)),0)</f>
        <v/>
      </c>
      <c r="G934" s="21">
        <f>IF(F934=0,"",YEAR(F934))</f>
        <v/>
      </c>
      <c r="H934" s="21">
        <f>IF(F934=0,"",MONTH(F934))</f>
        <v/>
      </c>
      <c r="I934" s="21">
        <f>IFERROR(INDEX(Pedidos!$E$2:$E$1801,MATCH(B934,Pedidos!$A$2:$A$1801,0)),"")</f>
        <v/>
      </c>
      <c r="J934" s="21">
        <f>IFERROR(INDEX(Pedidos!$C$2:$C$1801,MATCH(B934,Pedidos!$A$2:$A$1801,0)),"")</f>
        <v/>
      </c>
      <c r="K934" s="21">
        <f>IFERROR(INDEX(Pedidos!$D$2:$D$1801,MATCH(B934,Pedidos!$A$2:$A$1801,0)),"")</f>
        <v/>
      </c>
      <c r="L934" s="21">
        <f>IFERROR(INDEX(Pedidos!$F$2:$F$1801,MATCH(B934,Pedidos!$A$2:$A$1801,0)),"")</f>
        <v/>
      </c>
      <c r="M934" s="22">
        <f>IFERROR(INDEX(Pedidos!$G$2:$G$1801,MATCH(B934,Pedidos!$A$2:$A$1801,0)),0)</f>
        <v/>
      </c>
      <c r="N934" s="21">
        <f>IFERROR(INDEX(Produtos!$B$2:$B$71,MATCH(C934,Produtos!$A$2:$A$71,0)),"")</f>
        <v/>
      </c>
      <c r="O934" s="21">
        <f>IFERROR(INDEX(Produtos!$C$2:$C$71,MATCH(C934,Produtos!$A$2:$A$71,0)),"")</f>
        <v/>
      </c>
      <c r="P934" s="21">
        <f>IFERROR(INDEX(Produtos!$D$2:$D$71,MATCH(C934,Produtos!$A$2:$A$71,0)),0)</f>
        <v/>
      </c>
      <c r="Q934" s="21">
        <f>IFERROR(INDEX(Produtos!$E$2:$E$71,MATCH(C934,Produtos!$A$2:$A$71,0)),0)</f>
        <v/>
      </c>
      <c r="R934" s="23">
        <f>D934*Q934</f>
        <v/>
      </c>
      <c r="S934" s="23">
        <f>R934*E934</f>
        <v/>
      </c>
      <c r="T934" s="23">
        <f>(R934-S934)*M934</f>
        <v/>
      </c>
      <c r="U934" s="23">
        <f>R934-S934-T934</f>
        <v/>
      </c>
      <c r="V934" s="23">
        <f>D934*P934</f>
        <v/>
      </c>
      <c r="W934" s="23">
        <f>U934-V934</f>
        <v/>
      </c>
      <c r="X934" s="24">
        <f>IFERROR(W934/U934,0)</f>
        <v/>
      </c>
    </row>
    <row r="935">
      <c r="A935" s="25">
        <f>ItensPedido!A935</f>
        <v/>
      </c>
      <c r="B935" s="25">
        <f>ItensPedido!B935</f>
        <v/>
      </c>
      <c r="C935" s="25">
        <f>ItensPedido!C935</f>
        <v/>
      </c>
      <c r="D935" s="25">
        <f>ItensPedido!D935</f>
        <v/>
      </c>
      <c r="E935" s="26">
        <f>ItensPedido!E935</f>
        <v/>
      </c>
      <c r="F935" s="25">
        <f>IFERROR(INDEX(Pedidos!$B$2:$B$1801,MATCH(B935,Pedidos!$A$2:$A$1801,0)),0)</f>
        <v/>
      </c>
      <c r="G935" s="25">
        <f>IF(F935=0,"",YEAR(F935))</f>
        <v/>
      </c>
      <c r="H935" s="25">
        <f>IF(F935=0,"",MONTH(F935))</f>
        <v/>
      </c>
      <c r="I935" s="25">
        <f>IFERROR(INDEX(Pedidos!$E$2:$E$1801,MATCH(B935,Pedidos!$A$2:$A$1801,0)),"")</f>
        <v/>
      </c>
      <c r="J935" s="25">
        <f>IFERROR(INDEX(Pedidos!$C$2:$C$1801,MATCH(B935,Pedidos!$A$2:$A$1801,0)),"")</f>
        <v/>
      </c>
      <c r="K935" s="25">
        <f>IFERROR(INDEX(Pedidos!$D$2:$D$1801,MATCH(B935,Pedidos!$A$2:$A$1801,0)),"")</f>
        <v/>
      </c>
      <c r="L935" s="25">
        <f>IFERROR(INDEX(Pedidos!$F$2:$F$1801,MATCH(B935,Pedidos!$A$2:$A$1801,0)),"")</f>
        <v/>
      </c>
      <c r="M935" s="26">
        <f>IFERROR(INDEX(Pedidos!$G$2:$G$1801,MATCH(B935,Pedidos!$A$2:$A$1801,0)),0)</f>
        <v/>
      </c>
      <c r="N935" s="25">
        <f>IFERROR(INDEX(Produtos!$B$2:$B$71,MATCH(C935,Produtos!$A$2:$A$71,0)),"")</f>
        <v/>
      </c>
      <c r="O935" s="25">
        <f>IFERROR(INDEX(Produtos!$C$2:$C$71,MATCH(C935,Produtos!$A$2:$A$71,0)),"")</f>
        <v/>
      </c>
      <c r="P935" s="25">
        <f>IFERROR(INDEX(Produtos!$D$2:$D$71,MATCH(C935,Produtos!$A$2:$A$71,0)),0)</f>
        <v/>
      </c>
      <c r="Q935" s="25">
        <f>IFERROR(INDEX(Produtos!$E$2:$E$71,MATCH(C935,Produtos!$A$2:$A$71,0)),0)</f>
        <v/>
      </c>
      <c r="R935" s="27">
        <f>D935*Q935</f>
        <v/>
      </c>
      <c r="S935" s="27">
        <f>R935*E935</f>
        <v/>
      </c>
      <c r="T935" s="27">
        <f>(R935-S935)*M935</f>
        <v/>
      </c>
      <c r="U935" s="27">
        <f>R935-S935-T935</f>
        <v/>
      </c>
      <c r="V935" s="27">
        <f>D935*P935</f>
        <v/>
      </c>
      <c r="W935" s="27">
        <f>U935-V935</f>
        <v/>
      </c>
      <c r="X935" s="28">
        <f>IFERROR(W935/U935,0)</f>
        <v/>
      </c>
    </row>
    <row r="936">
      <c r="A936" s="21">
        <f>ItensPedido!A936</f>
        <v/>
      </c>
      <c r="B936" s="21">
        <f>ItensPedido!B936</f>
        <v/>
      </c>
      <c r="C936" s="21">
        <f>ItensPedido!C936</f>
        <v/>
      </c>
      <c r="D936" s="21">
        <f>ItensPedido!D936</f>
        <v/>
      </c>
      <c r="E936" s="22">
        <f>ItensPedido!E936</f>
        <v/>
      </c>
      <c r="F936" s="21">
        <f>IFERROR(INDEX(Pedidos!$B$2:$B$1801,MATCH(B936,Pedidos!$A$2:$A$1801,0)),0)</f>
        <v/>
      </c>
      <c r="G936" s="21">
        <f>IF(F936=0,"",YEAR(F936))</f>
        <v/>
      </c>
      <c r="H936" s="21">
        <f>IF(F936=0,"",MONTH(F936))</f>
        <v/>
      </c>
      <c r="I936" s="21">
        <f>IFERROR(INDEX(Pedidos!$E$2:$E$1801,MATCH(B936,Pedidos!$A$2:$A$1801,0)),"")</f>
        <v/>
      </c>
      <c r="J936" s="21">
        <f>IFERROR(INDEX(Pedidos!$C$2:$C$1801,MATCH(B936,Pedidos!$A$2:$A$1801,0)),"")</f>
        <v/>
      </c>
      <c r="K936" s="21">
        <f>IFERROR(INDEX(Pedidos!$D$2:$D$1801,MATCH(B936,Pedidos!$A$2:$A$1801,0)),"")</f>
        <v/>
      </c>
      <c r="L936" s="21">
        <f>IFERROR(INDEX(Pedidos!$F$2:$F$1801,MATCH(B936,Pedidos!$A$2:$A$1801,0)),"")</f>
        <v/>
      </c>
      <c r="M936" s="22">
        <f>IFERROR(INDEX(Pedidos!$G$2:$G$1801,MATCH(B936,Pedidos!$A$2:$A$1801,0)),0)</f>
        <v/>
      </c>
      <c r="N936" s="21">
        <f>IFERROR(INDEX(Produtos!$B$2:$B$71,MATCH(C936,Produtos!$A$2:$A$71,0)),"")</f>
        <v/>
      </c>
      <c r="O936" s="21">
        <f>IFERROR(INDEX(Produtos!$C$2:$C$71,MATCH(C936,Produtos!$A$2:$A$71,0)),"")</f>
        <v/>
      </c>
      <c r="P936" s="21">
        <f>IFERROR(INDEX(Produtos!$D$2:$D$71,MATCH(C936,Produtos!$A$2:$A$71,0)),0)</f>
        <v/>
      </c>
      <c r="Q936" s="21">
        <f>IFERROR(INDEX(Produtos!$E$2:$E$71,MATCH(C936,Produtos!$A$2:$A$71,0)),0)</f>
        <v/>
      </c>
      <c r="R936" s="23">
        <f>D936*Q936</f>
        <v/>
      </c>
      <c r="S936" s="23">
        <f>R936*E936</f>
        <v/>
      </c>
      <c r="T936" s="23">
        <f>(R936-S936)*M936</f>
        <v/>
      </c>
      <c r="U936" s="23">
        <f>R936-S936-T936</f>
        <v/>
      </c>
      <c r="V936" s="23">
        <f>D936*P936</f>
        <v/>
      </c>
      <c r="W936" s="23">
        <f>U936-V936</f>
        <v/>
      </c>
      <c r="X936" s="24">
        <f>IFERROR(W936/U936,0)</f>
        <v/>
      </c>
    </row>
    <row r="937">
      <c r="A937" s="25">
        <f>ItensPedido!A937</f>
        <v/>
      </c>
      <c r="B937" s="25">
        <f>ItensPedido!B937</f>
        <v/>
      </c>
      <c r="C937" s="25">
        <f>ItensPedido!C937</f>
        <v/>
      </c>
      <c r="D937" s="25">
        <f>ItensPedido!D937</f>
        <v/>
      </c>
      <c r="E937" s="26">
        <f>ItensPedido!E937</f>
        <v/>
      </c>
      <c r="F937" s="25">
        <f>IFERROR(INDEX(Pedidos!$B$2:$B$1801,MATCH(B937,Pedidos!$A$2:$A$1801,0)),0)</f>
        <v/>
      </c>
      <c r="G937" s="25">
        <f>IF(F937=0,"",YEAR(F937))</f>
        <v/>
      </c>
      <c r="H937" s="25">
        <f>IF(F937=0,"",MONTH(F937))</f>
        <v/>
      </c>
      <c r="I937" s="25">
        <f>IFERROR(INDEX(Pedidos!$E$2:$E$1801,MATCH(B937,Pedidos!$A$2:$A$1801,0)),"")</f>
        <v/>
      </c>
      <c r="J937" s="25">
        <f>IFERROR(INDEX(Pedidos!$C$2:$C$1801,MATCH(B937,Pedidos!$A$2:$A$1801,0)),"")</f>
        <v/>
      </c>
      <c r="K937" s="25">
        <f>IFERROR(INDEX(Pedidos!$D$2:$D$1801,MATCH(B937,Pedidos!$A$2:$A$1801,0)),"")</f>
        <v/>
      </c>
      <c r="L937" s="25">
        <f>IFERROR(INDEX(Pedidos!$F$2:$F$1801,MATCH(B937,Pedidos!$A$2:$A$1801,0)),"")</f>
        <v/>
      </c>
      <c r="M937" s="26">
        <f>IFERROR(INDEX(Pedidos!$G$2:$G$1801,MATCH(B937,Pedidos!$A$2:$A$1801,0)),0)</f>
        <v/>
      </c>
      <c r="N937" s="25">
        <f>IFERROR(INDEX(Produtos!$B$2:$B$71,MATCH(C937,Produtos!$A$2:$A$71,0)),"")</f>
        <v/>
      </c>
      <c r="O937" s="25">
        <f>IFERROR(INDEX(Produtos!$C$2:$C$71,MATCH(C937,Produtos!$A$2:$A$71,0)),"")</f>
        <v/>
      </c>
      <c r="P937" s="25">
        <f>IFERROR(INDEX(Produtos!$D$2:$D$71,MATCH(C937,Produtos!$A$2:$A$71,0)),0)</f>
        <v/>
      </c>
      <c r="Q937" s="25">
        <f>IFERROR(INDEX(Produtos!$E$2:$E$71,MATCH(C937,Produtos!$A$2:$A$71,0)),0)</f>
        <v/>
      </c>
      <c r="R937" s="27">
        <f>D937*Q937</f>
        <v/>
      </c>
      <c r="S937" s="27">
        <f>R937*E937</f>
        <v/>
      </c>
      <c r="T937" s="27">
        <f>(R937-S937)*M937</f>
        <v/>
      </c>
      <c r="U937" s="27">
        <f>R937-S937-T937</f>
        <v/>
      </c>
      <c r="V937" s="27">
        <f>D937*P937</f>
        <v/>
      </c>
      <c r="W937" s="27">
        <f>U937-V937</f>
        <v/>
      </c>
      <c r="X937" s="28">
        <f>IFERROR(W937/U937,0)</f>
        <v/>
      </c>
    </row>
    <row r="938">
      <c r="A938" s="21">
        <f>ItensPedido!A938</f>
        <v/>
      </c>
      <c r="B938" s="21">
        <f>ItensPedido!B938</f>
        <v/>
      </c>
      <c r="C938" s="21">
        <f>ItensPedido!C938</f>
        <v/>
      </c>
      <c r="D938" s="21">
        <f>ItensPedido!D938</f>
        <v/>
      </c>
      <c r="E938" s="22">
        <f>ItensPedido!E938</f>
        <v/>
      </c>
      <c r="F938" s="21">
        <f>IFERROR(INDEX(Pedidos!$B$2:$B$1801,MATCH(B938,Pedidos!$A$2:$A$1801,0)),0)</f>
        <v/>
      </c>
      <c r="G938" s="21">
        <f>IF(F938=0,"",YEAR(F938))</f>
        <v/>
      </c>
      <c r="H938" s="21">
        <f>IF(F938=0,"",MONTH(F938))</f>
        <v/>
      </c>
      <c r="I938" s="21">
        <f>IFERROR(INDEX(Pedidos!$E$2:$E$1801,MATCH(B938,Pedidos!$A$2:$A$1801,0)),"")</f>
        <v/>
      </c>
      <c r="J938" s="21">
        <f>IFERROR(INDEX(Pedidos!$C$2:$C$1801,MATCH(B938,Pedidos!$A$2:$A$1801,0)),"")</f>
        <v/>
      </c>
      <c r="K938" s="21">
        <f>IFERROR(INDEX(Pedidos!$D$2:$D$1801,MATCH(B938,Pedidos!$A$2:$A$1801,0)),"")</f>
        <v/>
      </c>
      <c r="L938" s="21">
        <f>IFERROR(INDEX(Pedidos!$F$2:$F$1801,MATCH(B938,Pedidos!$A$2:$A$1801,0)),"")</f>
        <v/>
      </c>
      <c r="M938" s="22">
        <f>IFERROR(INDEX(Pedidos!$G$2:$G$1801,MATCH(B938,Pedidos!$A$2:$A$1801,0)),0)</f>
        <v/>
      </c>
      <c r="N938" s="21">
        <f>IFERROR(INDEX(Produtos!$B$2:$B$71,MATCH(C938,Produtos!$A$2:$A$71,0)),"")</f>
        <v/>
      </c>
      <c r="O938" s="21">
        <f>IFERROR(INDEX(Produtos!$C$2:$C$71,MATCH(C938,Produtos!$A$2:$A$71,0)),"")</f>
        <v/>
      </c>
      <c r="P938" s="21">
        <f>IFERROR(INDEX(Produtos!$D$2:$D$71,MATCH(C938,Produtos!$A$2:$A$71,0)),0)</f>
        <v/>
      </c>
      <c r="Q938" s="21">
        <f>IFERROR(INDEX(Produtos!$E$2:$E$71,MATCH(C938,Produtos!$A$2:$A$71,0)),0)</f>
        <v/>
      </c>
      <c r="R938" s="23">
        <f>D938*Q938</f>
        <v/>
      </c>
      <c r="S938" s="23">
        <f>R938*E938</f>
        <v/>
      </c>
      <c r="T938" s="23">
        <f>(R938-S938)*M938</f>
        <v/>
      </c>
      <c r="U938" s="23">
        <f>R938-S938-T938</f>
        <v/>
      </c>
      <c r="V938" s="23">
        <f>D938*P938</f>
        <v/>
      </c>
      <c r="W938" s="23">
        <f>U938-V938</f>
        <v/>
      </c>
      <c r="X938" s="24">
        <f>IFERROR(W938/U938,0)</f>
        <v/>
      </c>
    </row>
    <row r="939">
      <c r="A939" s="25">
        <f>ItensPedido!A939</f>
        <v/>
      </c>
      <c r="B939" s="25">
        <f>ItensPedido!B939</f>
        <v/>
      </c>
      <c r="C939" s="25">
        <f>ItensPedido!C939</f>
        <v/>
      </c>
      <c r="D939" s="25">
        <f>ItensPedido!D939</f>
        <v/>
      </c>
      <c r="E939" s="26">
        <f>ItensPedido!E939</f>
        <v/>
      </c>
      <c r="F939" s="25">
        <f>IFERROR(INDEX(Pedidos!$B$2:$B$1801,MATCH(B939,Pedidos!$A$2:$A$1801,0)),0)</f>
        <v/>
      </c>
      <c r="G939" s="25">
        <f>IF(F939=0,"",YEAR(F939))</f>
        <v/>
      </c>
      <c r="H939" s="25">
        <f>IF(F939=0,"",MONTH(F939))</f>
        <v/>
      </c>
      <c r="I939" s="25">
        <f>IFERROR(INDEX(Pedidos!$E$2:$E$1801,MATCH(B939,Pedidos!$A$2:$A$1801,0)),"")</f>
        <v/>
      </c>
      <c r="J939" s="25">
        <f>IFERROR(INDEX(Pedidos!$C$2:$C$1801,MATCH(B939,Pedidos!$A$2:$A$1801,0)),"")</f>
        <v/>
      </c>
      <c r="K939" s="25">
        <f>IFERROR(INDEX(Pedidos!$D$2:$D$1801,MATCH(B939,Pedidos!$A$2:$A$1801,0)),"")</f>
        <v/>
      </c>
      <c r="L939" s="25">
        <f>IFERROR(INDEX(Pedidos!$F$2:$F$1801,MATCH(B939,Pedidos!$A$2:$A$1801,0)),"")</f>
        <v/>
      </c>
      <c r="M939" s="26">
        <f>IFERROR(INDEX(Pedidos!$G$2:$G$1801,MATCH(B939,Pedidos!$A$2:$A$1801,0)),0)</f>
        <v/>
      </c>
      <c r="N939" s="25">
        <f>IFERROR(INDEX(Produtos!$B$2:$B$71,MATCH(C939,Produtos!$A$2:$A$71,0)),"")</f>
        <v/>
      </c>
      <c r="O939" s="25">
        <f>IFERROR(INDEX(Produtos!$C$2:$C$71,MATCH(C939,Produtos!$A$2:$A$71,0)),"")</f>
        <v/>
      </c>
      <c r="P939" s="25">
        <f>IFERROR(INDEX(Produtos!$D$2:$D$71,MATCH(C939,Produtos!$A$2:$A$71,0)),0)</f>
        <v/>
      </c>
      <c r="Q939" s="25">
        <f>IFERROR(INDEX(Produtos!$E$2:$E$71,MATCH(C939,Produtos!$A$2:$A$71,0)),0)</f>
        <v/>
      </c>
      <c r="R939" s="27">
        <f>D939*Q939</f>
        <v/>
      </c>
      <c r="S939" s="27">
        <f>R939*E939</f>
        <v/>
      </c>
      <c r="T939" s="27">
        <f>(R939-S939)*M939</f>
        <v/>
      </c>
      <c r="U939" s="27">
        <f>R939-S939-T939</f>
        <v/>
      </c>
      <c r="V939" s="27">
        <f>D939*P939</f>
        <v/>
      </c>
      <c r="W939" s="27">
        <f>U939-V939</f>
        <v/>
      </c>
      <c r="X939" s="28">
        <f>IFERROR(W939/U939,0)</f>
        <v/>
      </c>
    </row>
    <row r="940">
      <c r="A940" s="21">
        <f>ItensPedido!A940</f>
        <v/>
      </c>
      <c r="B940" s="21">
        <f>ItensPedido!B940</f>
        <v/>
      </c>
      <c r="C940" s="21">
        <f>ItensPedido!C940</f>
        <v/>
      </c>
      <c r="D940" s="21">
        <f>ItensPedido!D940</f>
        <v/>
      </c>
      <c r="E940" s="22">
        <f>ItensPedido!E940</f>
        <v/>
      </c>
      <c r="F940" s="21">
        <f>IFERROR(INDEX(Pedidos!$B$2:$B$1801,MATCH(B940,Pedidos!$A$2:$A$1801,0)),0)</f>
        <v/>
      </c>
      <c r="G940" s="21">
        <f>IF(F940=0,"",YEAR(F940))</f>
        <v/>
      </c>
      <c r="H940" s="21">
        <f>IF(F940=0,"",MONTH(F940))</f>
        <v/>
      </c>
      <c r="I940" s="21">
        <f>IFERROR(INDEX(Pedidos!$E$2:$E$1801,MATCH(B940,Pedidos!$A$2:$A$1801,0)),"")</f>
        <v/>
      </c>
      <c r="J940" s="21">
        <f>IFERROR(INDEX(Pedidos!$C$2:$C$1801,MATCH(B940,Pedidos!$A$2:$A$1801,0)),"")</f>
        <v/>
      </c>
      <c r="K940" s="21">
        <f>IFERROR(INDEX(Pedidos!$D$2:$D$1801,MATCH(B940,Pedidos!$A$2:$A$1801,0)),"")</f>
        <v/>
      </c>
      <c r="L940" s="21">
        <f>IFERROR(INDEX(Pedidos!$F$2:$F$1801,MATCH(B940,Pedidos!$A$2:$A$1801,0)),"")</f>
        <v/>
      </c>
      <c r="M940" s="22">
        <f>IFERROR(INDEX(Pedidos!$G$2:$G$1801,MATCH(B940,Pedidos!$A$2:$A$1801,0)),0)</f>
        <v/>
      </c>
      <c r="N940" s="21">
        <f>IFERROR(INDEX(Produtos!$B$2:$B$71,MATCH(C940,Produtos!$A$2:$A$71,0)),"")</f>
        <v/>
      </c>
      <c r="O940" s="21">
        <f>IFERROR(INDEX(Produtos!$C$2:$C$71,MATCH(C940,Produtos!$A$2:$A$71,0)),"")</f>
        <v/>
      </c>
      <c r="P940" s="21">
        <f>IFERROR(INDEX(Produtos!$D$2:$D$71,MATCH(C940,Produtos!$A$2:$A$71,0)),0)</f>
        <v/>
      </c>
      <c r="Q940" s="21">
        <f>IFERROR(INDEX(Produtos!$E$2:$E$71,MATCH(C940,Produtos!$A$2:$A$71,0)),0)</f>
        <v/>
      </c>
      <c r="R940" s="23">
        <f>D940*Q940</f>
        <v/>
      </c>
      <c r="S940" s="23">
        <f>R940*E940</f>
        <v/>
      </c>
      <c r="T940" s="23">
        <f>(R940-S940)*M940</f>
        <v/>
      </c>
      <c r="U940" s="23">
        <f>R940-S940-T940</f>
        <v/>
      </c>
      <c r="V940" s="23">
        <f>D940*P940</f>
        <v/>
      </c>
      <c r="W940" s="23">
        <f>U940-V940</f>
        <v/>
      </c>
      <c r="X940" s="24">
        <f>IFERROR(W940/U940,0)</f>
        <v/>
      </c>
    </row>
    <row r="941">
      <c r="A941" s="25">
        <f>ItensPedido!A941</f>
        <v/>
      </c>
      <c r="B941" s="25">
        <f>ItensPedido!B941</f>
        <v/>
      </c>
      <c r="C941" s="25">
        <f>ItensPedido!C941</f>
        <v/>
      </c>
      <c r="D941" s="25">
        <f>ItensPedido!D941</f>
        <v/>
      </c>
      <c r="E941" s="26">
        <f>ItensPedido!E941</f>
        <v/>
      </c>
      <c r="F941" s="25">
        <f>IFERROR(INDEX(Pedidos!$B$2:$B$1801,MATCH(B941,Pedidos!$A$2:$A$1801,0)),0)</f>
        <v/>
      </c>
      <c r="G941" s="25">
        <f>IF(F941=0,"",YEAR(F941))</f>
        <v/>
      </c>
      <c r="H941" s="25">
        <f>IF(F941=0,"",MONTH(F941))</f>
        <v/>
      </c>
      <c r="I941" s="25">
        <f>IFERROR(INDEX(Pedidos!$E$2:$E$1801,MATCH(B941,Pedidos!$A$2:$A$1801,0)),"")</f>
        <v/>
      </c>
      <c r="J941" s="25">
        <f>IFERROR(INDEX(Pedidos!$C$2:$C$1801,MATCH(B941,Pedidos!$A$2:$A$1801,0)),"")</f>
        <v/>
      </c>
      <c r="K941" s="25">
        <f>IFERROR(INDEX(Pedidos!$D$2:$D$1801,MATCH(B941,Pedidos!$A$2:$A$1801,0)),"")</f>
        <v/>
      </c>
      <c r="L941" s="25">
        <f>IFERROR(INDEX(Pedidos!$F$2:$F$1801,MATCH(B941,Pedidos!$A$2:$A$1801,0)),"")</f>
        <v/>
      </c>
      <c r="M941" s="26">
        <f>IFERROR(INDEX(Pedidos!$G$2:$G$1801,MATCH(B941,Pedidos!$A$2:$A$1801,0)),0)</f>
        <v/>
      </c>
      <c r="N941" s="25">
        <f>IFERROR(INDEX(Produtos!$B$2:$B$71,MATCH(C941,Produtos!$A$2:$A$71,0)),"")</f>
        <v/>
      </c>
      <c r="O941" s="25">
        <f>IFERROR(INDEX(Produtos!$C$2:$C$71,MATCH(C941,Produtos!$A$2:$A$71,0)),"")</f>
        <v/>
      </c>
      <c r="P941" s="25">
        <f>IFERROR(INDEX(Produtos!$D$2:$D$71,MATCH(C941,Produtos!$A$2:$A$71,0)),0)</f>
        <v/>
      </c>
      <c r="Q941" s="25">
        <f>IFERROR(INDEX(Produtos!$E$2:$E$71,MATCH(C941,Produtos!$A$2:$A$71,0)),0)</f>
        <v/>
      </c>
      <c r="R941" s="27">
        <f>D941*Q941</f>
        <v/>
      </c>
      <c r="S941" s="27">
        <f>R941*E941</f>
        <v/>
      </c>
      <c r="T941" s="27">
        <f>(R941-S941)*M941</f>
        <v/>
      </c>
      <c r="U941" s="27">
        <f>R941-S941-T941</f>
        <v/>
      </c>
      <c r="V941" s="27">
        <f>D941*P941</f>
        <v/>
      </c>
      <c r="W941" s="27">
        <f>U941-V941</f>
        <v/>
      </c>
      <c r="X941" s="28">
        <f>IFERROR(W941/U941,0)</f>
        <v/>
      </c>
    </row>
    <row r="942">
      <c r="A942" s="21">
        <f>ItensPedido!A942</f>
        <v/>
      </c>
      <c r="B942" s="21">
        <f>ItensPedido!B942</f>
        <v/>
      </c>
      <c r="C942" s="21">
        <f>ItensPedido!C942</f>
        <v/>
      </c>
      <c r="D942" s="21">
        <f>ItensPedido!D942</f>
        <v/>
      </c>
      <c r="E942" s="22">
        <f>ItensPedido!E942</f>
        <v/>
      </c>
      <c r="F942" s="21">
        <f>IFERROR(INDEX(Pedidos!$B$2:$B$1801,MATCH(B942,Pedidos!$A$2:$A$1801,0)),0)</f>
        <v/>
      </c>
      <c r="G942" s="21">
        <f>IF(F942=0,"",YEAR(F942))</f>
        <v/>
      </c>
      <c r="H942" s="21">
        <f>IF(F942=0,"",MONTH(F942))</f>
        <v/>
      </c>
      <c r="I942" s="21">
        <f>IFERROR(INDEX(Pedidos!$E$2:$E$1801,MATCH(B942,Pedidos!$A$2:$A$1801,0)),"")</f>
        <v/>
      </c>
      <c r="J942" s="21">
        <f>IFERROR(INDEX(Pedidos!$C$2:$C$1801,MATCH(B942,Pedidos!$A$2:$A$1801,0)),"")</f>
        <v/>
      </c>
      <c r="K942" s="21">
        <f>IFERROR(INDEX(Pedidos!$D$2:$D$1801,MATCH(B942,Pedidos!$A$2:$A$1801,0)),"")</f>
        <v/>
      </c>
      <c r="L942" s="21">
        <f>IFERROR(INDEX(Pedidos!$F$2:$F$1801,MATCH(B942,Pedidos!$A$2:$A$1801,0)),"")</f>
        <v/>
      </c>
      <c r="M942" s="22">
        <f>IFERROR(INDEX(Pedidos!$G$2:$G$1801,MATCH(B942,Pedidos!$A$2:$A$1801,0)),0)</f>
        <v/>
      </c>
      <c r="N942" s="21">
        <f>IFERROR(INDEX(Produtos!$B$2:$B$71,MATCH(C942,Produtos!$A$2:$A$71,0)),"")</f>
        <v/>
      </c>
      <c r="O942" s="21">
        <f>IFERROR(INDEX(Produtos!$C$2:$C$71,MATCH(C942,Produtos!$A$2:$A$71,0)),"")</f>
        <v/>
      </c>
      <c r="P942" s="21">
        <f>IFERROR(INDEX(Produtos!$D$2:$D$71,MATCH(C942,Produtos!$A$2:$A$71,0)),0)</f>
        <v/>
      </c>
      <c r="Q942" s="21">
        <f>IFERROR(INDEX(Produtos!$E$2:$E$71,MATCH(C942,Produtos!$A$2:$A$71,0)),0)</f>
        <v/>
      </c>
      <c r="R942" s="23">
        <f>D942*Q942</f>
        <v/>
      </c>
      <c r="S942" s="23">
        <f>R942*E942</f>
        <v/>
      </c>
      <c r="T942" s="23">
        <f>(R942-S942)*M942</f>
        <v/>
      </c>
      <c r="U942" s="23">
        <f>R942-S942-T942</f>
        <v/>
      </c>
      <c r="V942" s="23">
        <f>D942*P942</f>
        <v/>
      </c>
      <c r="W942" s="23">
        <f>U942-V942</f>
        <v/>
      </c>
      <c r="X942" s="24">
        <f>IFERROR(W942/U942,0)</f>
        <v/>
      </c>
    </row>
    <row r="943">
      <c r="A943" s="25">
        <f>ItensPedido!A943</f>
        <v/>
      </c>
      <c r="B943" s="25">
        <f>ItensPedido!B943</f>
        <v/>
      </c>
      <c r="C943" s="25">
        <f>ItensPedido!C943</f>
        <v/>
      </c>
      <c r="D943" s="25">
        <f>ItensPedido!D943</f>
        <v/>
      </c>
      <c r="E943" s="26">
        <f>ItensPedido!E943</f>
        <v/>
      </c>
      <c r="F943" s="25">
        <f>IFERROR(INDEX(Pedidos!$B$2:$B$1801,MATCH(B943,Pedidos!$A$2:$A$1801,0)),0)</f>
        <v/>
      </c>
      <c r="G943" s="25">
        <f>IF(F943=0,"",YEAR(F943))</f>
        <v/>
      </c>
      <c r="H943" s="25">
        <f>IF(F943=0,"",MONTH(F943))</f>
        <v/>
      </c>
      <c r="I943" s="25">
        <f>IFERROR(INDEX(Pedidos!$E$2:$E$1801,MATCH(B943,Pedidos!$A$2:$A$1801,0)),"")</f>
        <v/>
      </c>
      <c r="J943" s="25">
        <f>IFERROR(INDEX(Pedidos!$C$2:$C$1801,MATCH(B943,Pedidos!$A$2:$A$1801,0)),"")</f>
        <v/>
      </c>
      <c r="K943" s="25">
        <f>IFERROR(INDEX(Pedidos!$D$2:$D$1801,MATCH(B943,Pedidos!$A$2:$A$1801,0)),"")</f>
        <v/>
      </c>
      <c r="L943" s="25">
        <f>IFERROR(INDEX(Pedidos!$F$2:$F$1801,MATCH(B943,Pedidos!$A$2:$A$1801,0)),"")</f>
        <v/>
      </c>
      <c r="M943" s="26">
        <f>IFERROR(INDEX(Pedidos!$G$2:$G$1801,MATCH(B943,Pedidos!$A$2:$A$1801,0)),0)</f>
        <v/>
      </c>
      <c r="N943" s="25">
        <f>IFERROR(INDEX(Produtos!$B$2:$B$71,MATCH(C943,Produtos!$A$2:$A$71,0)),"")</f>
        <v/>
      </c>
      <c r="O943" s="25">
        <f>IFERROR(INDEX(Produtos!$C$2:$C$71,MATCH(C943,Produtos!$A$2:$A$71,0)),"")</f>
        <v/>
      </c>
      <c r="P943" s="25">
        <f>IFERROR(INDEX(Produtos!$D$2:$D$71,MATCH(C943,Produtos!$A$2:$A$71,0)),0)</f>
        <v/>
      </c>
      <c r="Q943" s="25">
        <f>IFERROR(INDEX(Produtos!$E$2:$E$71,MATCH(C943,Produtos!$A$2:$A$71,0)),0)</f>
        <v/>
      </c>
      <c r="R943" s="27">
        <f>D943*Q943</f>
        <v/>
      </c>
      <c r="S943" s="27">
        <f>R943*E943</f>
        <v/>
      </c>
      <c r="T943" s="27">
        <f>(R943-S943)*M943</f>
        <v/>
      </c>
      <c r="U943" s="27">
        <f>R943-S943-T943</f>
        <v/>
      </c>
      <c r="V943" s="27">
        <f>D943*P943</f>
        <v/>
      </c>
      <c r="W943" s="27">
        <f>U943-V943</f>
        <v/>
      </c>
      <c r="X943" s="28">
        <f>IFERROR(W943/U943,0)</f>
        <v/>
      </c>
    </row>
    <row r="944">
      <c r="A944" s="21">
        <f>ItensPedido!A944</f>
        <v/>
      </c>
      <c r="B944" s="21">
        <f>ItensPedido!B944</f>
        <v/>
      </c>
      <c r="C944" s="21">
        <f>ItensPedido!C944</f>
        <v/>
      </c>
      <c r="D944" s="21">
        <f>ItensPedido!D944</f>
        <v/>
      </c>
      <c r="E944" s="22">
        <f>ItensPedido!E944</f>
        <v/>
      </c>
      <c r="F944" s="21">
        <f>IFERROR(INDEX(Pedidos!$B$2:$B$1801,MATCH(B944,Pedidos!$A$2:$A$1801,0)),0)</f>
        <v/>
      </c>
      <c r="G944" s="21">
        <f>IF(F944=0,"",YEAR(F944))</f>
        <v/>
      </c>
      <c r="H944" s="21">
        <f>IF(F944=0,"",MONTH(F944))</f>
        <v/>
      </c>
      <c r="I944" s="21">
        <f>IFERROR(INDEX(Pedidos!$E$2:$E$1801,MATCH(B944,Pedidos!$A$2:$A$1801,0)),"")</f>
        <v/>
      </c>
      <c r="J944" s="21">
        <f>IFERROR(INDEX(Pedidos!$C$2:$C$1801,MATCH(B944,Pedidos!$A$2:$A$1801,0)),"")</f>
        <v/>
      </c>
      <c r="K944" s="21">
        <f>IFERROR(INDEX(Pedidos!$D$2:$D$1801,MATCH(B944,Pedidos!$A$2:$A$1801,0)),"")</f>
        <v/>
      </c>
      <c r="L944" s="21">
        <f>IFERROR(INDEX(Pedidos!$F$2:$F$1801,MATCH(B944,Pedidos!$A$2:$A$1801,0)),"")</f>
        <v/>
      </c>
      <c r="M944" s="22">
        <f>IFERROR(INDEX(Pedidos!$G$2:$G$1801,MATCH(B944,Pedidos!$A$2:$A$1801,0)),0)</f>
        <v/>
      </c>
      <c r="N944" s="21">
        <f>IFERROR(INDEX(Produtos!$B$2:$B$71,MATCH(C944,Produtos!$A$2:$A$71,0)),"")</f>
        <v/>
      </c>
      <c r="O944" s="21">
        <f>IFERROR(INDEX(Produtos!$C$2:$C$71,MATCH(C944,Produtos!$A$2:$A$71,0)),"")</f>
        <v/>
      </c>
      <c r="P944" s="21">
        <f>IFERROR(INDEX(Produtos!$D$2:$D$71,MATCH(C944,Produtos!$A$2:$A$71,0)),0)</f>
        <v/>
      </c>
      <c r="Q944" s="21">
        <f>IFERROR(INDEX(Produtos!$E$2:$E$71,MATCH(C944,Produtos!$A$2:$A$71,0)),0)</f>
        <v/>
      </c>
      <c r="R944" s="23">
        <f>D944*Q944</f>
        <v/>
      </c>
      <c r="S944" s="23">
        <f>R944*E944</f>
        <v/>
      </c>
      <c r="T944" s="23">
        <f>(R944-S944)*M944</f>
        <v/>
      </c>
      <c r="U944" s="23">
        <f>R944-S944-T944</f>
        <v/>
      </c>
      <c r="V944" s="23">
        <f>D944*P944</f>
        <v/>
      </c>
      <c r="W944" s="23">
        <f>U944-V944</f>
        <v/>
      </c>
      <c r="X944" s="24">
        <f>IFERROR(W944/U944,0)</f>
        <v/>
      </c>
    </row>
    <row r="945">
      <c r="A945" s="25">
        <f>ItensPedido!A945</f>
        <v/>
      </c>
      <c r="B945" s="25">
        <f>ItensPedido!B945</f>
        <v/>
      </c>
      <c r="C945" s="25">
        <f>ItensPedido!C945</f>
        <v/>
      </c>
      <c r="D945" s="25">
        <f>ItensPedido!D945</f>
        <v/>
      </c>
      <c r="E945" s="26">
        <f>ItensPedido!E945</f>
        <v/>
      </c>
      <c r="F945" s="25">
        <f>IFERROR(INDEX(Pedidos!$B$2:$B$1801,MATCH(B945,Pedidos!$A$2:$A$1801,0)),0)</f>
        <v/>
      </c>
      <c r="G945" s="25">
        <f>IF(F945=0,"",YEAR(F945))</f>
        <v/>
      </c>
      <c r="H945" s="25">
        <f>IF(F945=0,"",MONTH(F945))</f>
        <v/>
      </c>
      <c r="I945" s="25">
        <f>IFERROR(INDEX(Pedidos!$E$2:$E$1801,MATCH(B945,Pedidos!$A$2:$A$1801,0)),"")</f>
        <v/>
      </c>
      <c r="J945" s="25">
        <f>IFERROR(INDEX(Pedidos!$C$2:$C$1801,MATCH(B945,Pedidos!$A$2:$A$1801,0)),"")</f>
        <v/>
      </c>
      <c r="K945" s="25">
        <f>IFERROR(INDEX(Pedidos!$D$2:$D$1801,MATCH(B945,Pedidos!$A$2:$A$1801,0)),"")</f>
        <v/>
      </c>
      <c r="L945" s="25">
        <f>IFERROR(INDEX(Pedidos!$F$2:$F$1801,MATCH(B945,Pedidos!$A$2:$A$1801,0)),"")</f>
        <v/>
      </c>
      <c r="M945" s="26">
        <f>IFERROR(INDEX(Pedidos!$G$2:$G$1801,MATCH(B945,Pedidos!$A$2:$A$1801,0)),0)</f>
        <v/>
      </c>
      <c r="N945" s="25">
        <f>IFERROR(INDEX(Produtos!$B$2:$B$71,MATCH(C945,Produtos!$A$2:$A$71,0)),"")</f>
        <v/>
      </c>
      <c r="O945" s="25">
        <f>IFERROR(INDEX(Produtos!$C$2:$C$71,MATCH(C945,Produtos!$A$2:$A$71,0)),"")</f>
        <v/>
      </c>
      <c r="P945" s="25">
        <f>IFERROR(INDEX(Produtos!$D$2:$D$71,MATCH(C945,Produtos!$A$2:$A$71,0)),0)</f>
        <v/>
      </c>
      <c r="Q945" s="25">
        <f>IFERROR(INDEX(Produtos!$E$2:$E$71,MATCH(C945,Produtos!$A$2:$A$71,0)),0)</f>
        <v/>
      </c>
      <c r="R945" s="27">
        <f>D945*Q945</f>
        <v/>
      </c>
      <c r="S945" s="27">
        <f>R945*E945</f>
        <v/>
      </c>
      <c r="T945" s="27">
        <f>(R945-S945)*M945</f>
        <v/>
      </c>
      <c r="U945" s="27">
        <f>R945-S945-T945</f>
        <v/>
      </c>
      <c r="V945" s="27">
        <f>D945*P945</f>
        <v/>
      </c>
      <c r="W945" s="27">
        <f>U945-V945</f>
        <v/>
      </c>
      <c r="X945" s="28">
        <f>IFERROR(W945/U945,0)</f>
        <v/>
      </c>
    </row>
    <row r="946">
      <c r="A946" s="21">
        <f>ItensPedido!A946</f>
        <v/>
      </c>
      <c r="B946" s="21">
        <f>ItensPedido!B946</f>
        <v/>
      </c>
      <c r="C946" s="21">
        <f>ItensPedido!C946</f>
        <v/>
      </c>
      <c r="D946" s="21">
        <f>ItensPedido!D946</f>
        <v/>
      </c>
      <c r="E946" s="22">
        <f>ItensPedido!E946</f>
        <v/>
      </c>
      <c r="F946" s="21">
        <f>IFERROR(INDEX(Pedidos!$B$2:$B$1801,MATCH(B946,Pedidos!$A$2:$A$1801,0)),0)</f>
        <v/>
      </c>
      <c r="G946" s="21">
        <f>IF(F946=0,"",YEAR(F946))</f>
        <v/>
      </c>
      <c r="H946" s="21">
        <f>IF(F946=0,"",MONTH(F946))</f>
        <v/>
      </c>
      <c r="I946" s="21">
        <f>IFERROR(INDEX(Pedidos!$E$2:$E$1801,MATCH(B946,Pedidos!$A$2:$A$1801,0)),"")</f>
        <v/>
      </c>
      <c r="J946" s="21">
        <f>IFERROR(INDEX(Pedidos!$C$2:$C$1801,MATCH(B946,Pedidos!$A$2:$A$1801,0)),"")</f>
        <v/>
      </c>
      <c r="K946" s="21">
        <f>IFERROR(INDEX(Pedidos!$D$2:$D$1801,MATCH(B946,Pedidos!$A$2:$A$1801,0)),"")</f>
        <v/>
      </c>
      <c r="L946" s="21">
        <f>IFERROR(INDEX(Pedidos!$F$2:$F$1801,MATCH(B946,Pedidos!$A$2:$A$1801,0)),"")</f>
        <v/>
      </c>
      <c r="M946" s="22">
        <f>IFERROR(INDEX(Pedidos!$G$2:$G$1801,MATCH(B946,Pedidos!$A$2:$A$1801,0)),0)</f>
        <v/>
      </c>
      <c r="N946" s="21">
        <f>IFERROR(INDEX(Produtos!$B$2:$B$71,MATCH(C946,Produtos!$A$2:$A$71,0)),"")</f>
        <v/>
      </c>
      <c r="O946" s="21">
        <f>IFERROR(INDEX(Produtos!$C$2:$C$71,MATCH(C946,Produtos!$A$2:$A$71,0)),"")</f>
        <v/>
      </c>
      <c r="P946" s="21">
        <f>IFERROR(INDEX(Produtos!$D$2:$D$71,MATCH(C946,Produtos!$A$2:$A$71,0)),0)</f>
        <v/>
      </c>
      <c r="Q946" s="21">
        <f>IFERROR(INDEX(Produtos!$E$2:$E$71,MATCH(C946,Produtos!$A$2:$A$71,0)),0)</f>
        <v/>
      </c>
      <c r="R946" s="23">
        <f>D946*Q946</f>
        <v/>
      </c>
      <c r="S946" s="23">
        <f>R946*E946</f>
        <v/>
      </c>
      <c r="T946" s="23">
        <f>(R946-S946)*M946</f>
        <v/>
      </c>
      <c r="U946" s="23">
        <f>R946-S946-T946</f>
        <v/>
      </c>
      <c r="V946" s="23">
        <f>D946*P946</f>
        <v/>
      </c>
      <c r="W946" s="23">
        <f>U946-V946</f>
        <v/>
      </c>
      <c r="X946" s="24">
        <f>IFERROR(W946/U946,0)</f>
        <v/>
      </c>
    </row>
    <row r="947">
      <c r="A947" s="25">
        <f>ItensPedido!A947</f>
        <v/>
      </c>
      <c r="B947" s="25">
        <f>ItensPedido!B947</f>
        <v/>
      </c>
      <c r="C947" s="25">
        <f>ItensPedido!C947</f>
        <v/>
      </c>
      <c r="D947" s="25">
        <f>ItensPedido!D947</f>
        <v/>
      </c>
      <c r="E947" s="26">
        <f>ItensPedido!E947</f>
        <v/>
      </c>
      <c r="F947" s="25">
        <f>IFERROR(INDEX(Pedidos!$B$2:$B$1801,MATCH(B947,Pedidos!$A$2:$A$1801,0)),0)</f>
        <v/>
      </c>
      <c r="G947" s="25">
        <f>IF(F947=0,"",YEAR(F947))</f>
        <v/>
      </c>
      <c r="H947" s="25">
        <f>IF(F947=0,"",MONTH(F947))</f>
        <v/>
      </c>
      <c r="I947" s="25">
        <f>IFERROR(INDEX(Pedidos!$E$2:$E$1801,MATCH(B947,Pedidos!$A$2:$A$1801,0)),"")</f>
        <v/>
      </c>
      <c r="J947" s="25">
        <f>IFERROR(INDEX(Pedidos!$C$2:$C$1801,MATCH(B947,Pedidos!$A$2:$A$1801,0)),"")</f>
        <v/>
      </c>
      <c r="K947" s="25">
        <f>IFERROR(INDEX(Pedidos!$D$2:$D$1801,MATCH(B947,Pedidos!$A$2:$A$1801,0)),"")</f>
        <v/>
      </c>
      <c r="L947" s="25">
        <f>IFERROR(INDEX(Pedidos!$F$2:$F$1801,MATCH(B947,Pedidos!$A$2:$A$1801,0)),"")</f>
        <v/>
      </c>
      <c r="M947" s="26">
        <f>IFERROR(INDEX(Pedidos!$G$2:$G$1801,MATCH(B947,Pedidos!$A$2:$A$1801,0)),0)</f>
        <v/>
      </c>
      <c r="N947" s="25">
        <f>IFERROR(INDEX(Produtos!$B$2:$B$71,MATCH(C947,Produtos!$A$2:$A$71,0)),"")</f>
        <v/>
      </c>
      <c r="O947" s="25">
        <f>IFERROR(INDEX(Produtos!$C$2:$C$71,MATCH(C947,Produtos!$A$2:$A$71,0)),"")</f>
        <v/>
      </c>
      <c r="P947" s="25">
        <f>IFERROR(INDEX(Produtos!$D$2:$D$71,MATCH(C947,Produtos!$A$2:$A$71,0)),0)</f>
        <v/>
      </c>
      <c r="Q947" s="25">
        <f>IFERROR(INDEX(Produtos!$E$2:$E$71,MATCH(C947,Produtos!$A$2:$A$71,0)),0)</f>
        <v/>
      </c>
      <c r="R947" s="27">
        <f>D947*Q947</f>
        <v/>
      </c>
      <c r="S947" s="27">
        <f>R947*E947</f>
        <v/>
      </c>
      <c r="T947" s="27">
        <f>(R947-S947)*M947</f>
        <v/>
      </c>
      <c r="U947" s="27">
        <f>R947-S947-T947</f>
        <v/>
      </c>
      <c r="V947" s="27">
        <f>D947*P947</f>
        <v/>
      </c>
      <c r="W947" s="27">
        <f>U947-V947</f>
        <v/>
      </c>
      <c r="X947" s="28">
        <f>IFERROR(W947/U947,0)</f>
        <v/>
      </c>
    </row>
    <row r="948">
      <c r="A948" s="21">
        <f>ItensPedido!A948</f>
        <v/>
      </c>
      <c r="B948" s="21">
        <f>ItensPedido!B948</f>
        <v/>
      </c>
      <c r="C948" s="21">
        <f>ItensPedido!C948</f>
        <v/>
      </c>
      <c r="D948" s="21">
        <f>ItensPedido!D948</f>
        <v/>
      </c>
      <c r="E948" s="22">
        <f>ItensPedido!E948</f>
        <v/>
      </c>
      <c r="F948" s="21">
        <f>IFERROR(INDEX(Pedidos!$B$2:$B$1801,MATCH(B948,Pedidos!$A$2:$A$1801,0)),0)</f>
        <v/>
      </c>
      <c r="G948" s="21">
        <f>IF(F948=0,"",YEAR(F948))</f>
        <v/>
      </c>
      <c r="H948" s="21">
        <f>IF(F948=0,"",MONTH(F948))</f>
        <v/>
      </c>
      <c r="I948" s="21">
        <f>IFERROR(INDEX(Pedidos!$E$2:$E$1801,MATCH(B948,Pedidos!$A$2:$A$1801,0)),"")</f>
        <v/>
      </c>
      <c r="J948" s="21">
        <f>IFERROR(INDEX(Pedidos!$C$2:$C$1801,MATCH(B948,Pedidos!$A$2:$A$1801,0)),"")</f>
        <v/>
      </c>
      <c r="K948" s="21">
        <f>IFERROR(INDEX(Pedidos!$D$2:$D$1801,MATCH(B948,Pedidos!$A$2:$A$1801,0)),"")</f>
        <v/>
      </c>
      <c r="L948" s="21">
        <f>IFERROR(INDEX(Pedidos!$F$2:$F$1801,MATCH(B948,Pedidos!$A$2:$A$1801,0)),"")</f>
        <v/>
      </c>
      <c r="M948" s="22">
        <f>IFERROR(INDEX(Pedidos!$G$2:$G$1801,MATCH(B948,Pedidos!$A$2:$A$1801,0)),0)</f>
        <v/>
      </c>
      <c r="N948" s="21">
        <f>IFERROR(INDEX(Produtos!$B$2:$B$71,MATCH(C948,Produtos!$A$2:$A$71,0)),"")</f>
        <v/>
      </c>
      <c r="O948" s="21">
        <f>IFERROR(INDEX(Produtos!$C$2:$C$71,MATCH(C948,Produtos!$A$2:$A$71,0)),"")</f>
        <v/>
      </c>
      <c r="P948" s="21">
        <f>IFERROR(INDEX(Produtos!$D$2:$D$71,MATCH(C948,Produtos!$A$2:$A$71,0)),0)</f>
        <v/>
      </c>
      <c r="Q948" s="21">
        <f>IFERROR(INDEX(Produtos!$E$2:$E$71,MATCH(C948,Produtos!$A$2:$A$71,0)),0)</f>
        <v/>
      </c>
      <c r="R948" s="23">
        <f>D948*Q948</f>
        <v/>
      </c>
      <c r="S948" s="23">
        <f>R948*E948</f>
        <v/>
      </c>
      <c r="T948" s="23">
        <f>(R948-S948)*M948</f>
        <v/>
      </c>
      <c r="U948" s="23">
        <f>R948-S948-T948</f>
        <v/>
      </c>
      <c r="V948" s="23">
        <f>D948*P948</f>
        <v/>
      </c>
      <c r="W948" s="23">
        <f>U948-V948</f>
        <v/>
      </c>
      <c r="X948" s="24">
        <f>IFERROR(W948/U948,0)</f>
        <v/>
      </c>
    </row>
    <row r="949">
      <c r="A949" s="25">
        <f>ItensPedido!A949</f>
        <v/>
      </c>
      <c r="B949" s="25">
        <f>ItensPedido!B949</f>
        <v/>
      </c>
      <c r="C949" s="25">
        <f>ItensPedido!C949</f>
        <v/>
      </c>
      <c r="D949" s="25">
        <f>ItensPedido!D949</f>
        <v/>
      </c>
      <c r="E949" s="26">
        <f>ItensPedido!E949</f>
        <v/>
      </c>
      <c r="F949" s="25">
        <f>IFERROR(INDEX(Pedidos!$B$2:$B$1801,MATCH(B949,Pedidos!$A$2:$A$1801,0)),0)</f>
        <v/>
      </c>
      <c r="G949" s="25">
        <f>IF(F949=0,"",YEAR(F949))</f>
        <v/>
      </c>
      <c r="H949" s="25">
        <f>IF(F949=0,"",MONTH(F949))</f>
        <v/>
      </c>
      <c r="I949" s="25">
        <f>IFERROR(INDEX(Pedidos!$E$2:$E$1801,MATCH(B949,Pedidos!$A$2:$A$1801,0)),"")</f>
        <v/>
      </c>
      <c r="J949" s="25">
        <f>IFERROR(INDEX(Pedidos!$C$2:$C$1801,MATCH(B949,Pedidos!$A$2:$A$1801,0)),"")</f>
        <v/>
      </c>
      <c r="K949" s="25">
        <f>IFERROR(INDEX(Pedidos!$D$2:$D$1801,MATCH(B949,Pedidos!$A$2:$A$1801,0)),"")</f>
        <v/>
      </c>
      <c r="L949" s="25">
        <f>IFERROR(INDEX(Pedidos!$F$2:$F$1801,MATCH(B949,Pedidos!$A$2:$A$1801,0)),"")</f>
        <v/>
      </c>
      <c r="M949" s="26">
        <f>IFERROR(INDEX(Pedidos!$G$2:$G$1801,MATCH(B949,Pedidos!$A$2:$A$1801,0)),0)</f>
        <v/>
      </c>
      <c r="N949" s="25">
        <f>IFERROR(INDEX(Produtos!$B$2:$B$71,MATCH(C949,Produtos!$A$2:$A$71,0)),"")</f>
        <v/>
      </c>
      <c r="O949" s="25">
        <f>IFERROR(INDEX(Produtos!$C$2:$C$71,MATCH(C949,Produtos!$A$2:$A$71,0)),"")</f>
        <v/>
      </c>
      <c r="P949" s="25">
        <f>IFERROR(INDEX(Produtos!$D$2:$D$71,MATCH(C949,Produtos!$A$2:$A$71,0)),0)</f>
        <v/>
      </c>
      <c r="Q949" s="25">
        <f>IFERROR(INDEX(Produtos!$E$2:$E$71,MATCH(C949,Produtos!$A$2:$A$71,0)),0)</f>
        <v/>
      </c>
      <c r="R949" s="27">
        <f>D949*Q949</f>
        <v/>
      </c>
      <c r="S949" s="27">
        <f>R949*E949</f>
        <v/>
      </c>
      <c r="T949" s="27">
        <f>(R949-S949)*M949</f>
        <v/>
      </c>
      <c r="U949" s="27">
        <f>R949-S949-T949</f>
        <v/>
      </c>
      <c r="V949" s="27">
        <f>D949*P949</f>
        <v/>
      </c>
      <c r="W949" s="27">
        <f>U949-V949</f>
        <v/>
      </c>
      <c r="X949" s="28">
        <f>IFERROR(W949/U949,0)</f>
        <v/>
      </c>
    </row>
    <row r="950">
      <c r="A950" s="21">
        <f>ItensPedido!A950</f>
        <v/>
      </c>
      <c r="B950" s="21">
        <f>ItensPedido!B950</f>
        <v/>
      </c>
      <c r="C950" s="21">
        <f>ItensPedido!C950</f>
        <v/>
      </c>
      <c r="D950" s="21">
        <f>ItensPedido!D950</f>
        <v/>
      </c>
      <c r="E950" s="22">
        <f>ItensPedido!E950</f>
        <v/>
      </c>
      <c r="F950" s="21">
        <f>IFERROR(INDEX(Pedidos!$B$2:$B$1801,MATCH(B950,Pedidos!$A$2:$A$1801,0)),0)</f>
        <v/>
      </c>
      <c r="G950" s="21">
        <f>IF(F950=0,"",YEAR(F950))</f>
        <v/>
      </c>
      <c r="H950" s="21">
        <f>IF(F950=0,"",MONTH(F950))</f>
        <v/>
      </c>
      <c r="I950" s="21">
        <f>IFERROR(INDEX(Pedidos!$E$2:$E$1801,MATCH(B950,Pedidos!$A$2:$A$1801,0)),"")</f>
        <v/>
      </c>
      <c r="J950" s="21">
        <f>IFERROR(INDEX(Pedidos!$C$2:$C$1801,MATCH(B950,Pedidos!$A$2:$A$1801,0)),"")</f>
        <v/>
      </c>
      <c r="K950" s="21">
        <f>IFERROR(INDEX(Pedidos!$D$2:$D$1801,MATCH(B950,Pedidos!$A$2:$A$1801,0)),"")</f>
        <v/>
      </c>
      <c r="L950" s="21">
        <f>IFERROR(INDEX(Pedidos!$F$2:$F$1801,MATCH(B950,Pedidos!$A$2:$A$1801,0)),"")</f>
        <v/>
      </c>
      <c r="M950" s="22">
        <f>IFERROR(INDEX(Pedidos!$G$2:$G$1801,MATCH(B950,Pedidos!$A$2:$A$1801,0)),0)</f>
        <v/>
      </c>
      <c r="N950" s="21">
        <f>IFERROR(INDEX(Produtos!$B$2:$B$71,MATCH(C950,Produtos!$A$2:$A$71,0)),"")</f>
        <v/>
      </c>
      <c r="O950" s="21">
        <f>IFERROR(INDEX(Produtos!$C$2:$C$71,MATCH(C950,Produtos!$A$2:$A$71,0)),"")</f>
        <v/>
      </c>
      <c r="P950" s="21">
        <f>IFERROR(INDEX(Produtos!$D$2:$D$71,MATCH(C950,Produtos!$A$2:$A$71,0)),0)</f>
        <v/>
      </c>
      <c r="Q950" s="21">
        <f>IFERROR(INDEX(Produtos!$E$2:$E$71,MATCH(C950,Produtos!$A$2:$A$71,0)),0)</f>
        <v/>
      </c>
      <c r="R950" s="23">
        <f>D950*Q950</f>
        <v/>
      </c>
      <c r="S950" s="23">
        <f>R950*E950</f>
        <v/>
      </c>
      <c r="T950" s="23">
        <f>(R950-S950)*M950</f>
        <v/>
      </c>
      <c r="U950" s="23">
        <f>R950-S950-T950</f>
        <v/>
      </c>
      <c r="V950" s="23">
        <f>D950*P950</f>
        <v/>
      </c>
      <c r="W950" s="23">
        <f>U950-V950</f>
        <v/>
      </c>
      <c r="X950" s="24">
        <f>IFERROR(W950/U950,0)</f>
        <v/>
      </c>
    </row>
    <row r="951">
      <c r="A951" s="25">
        <f>ItensPedido!A951</f>
        <v/>
      </c>
      <c r="B951" s="25">
        <f>ItensPedido!B951</f>
        <v/>
      </c>
      <c r="C951" s="25">
        <f>ItensPedido!C951</f>
        <v/>
      </c>
      <c r="D951" s="25">
        <f>ItensPedido!D951</f>
        <v/>
      </c>
      <c r="E951" s="26">
        <f>ItensPedido!E951</f>
        <v/>
      </c>
      <c r="F951" s="25">
        <f>IFERROR(INDEX(Pedidos!$B$2:$B$1801,MATCH(B951,Pedidos!$A$2:$A$1801,0)),0)</f>
        <v/>
      </c>
      <c r="G951" s="25">
        <f>IF(F951=0,"",YEAR(F951))</f>
        <v/>
      </c>
      <c r="H951" s="25">
        <f>IF(F951=0,"",MONTH(F951))</f>
        <v/>
      </c>
      <c r="I951" s="25">
        <f>IFERROR(INDEX(Pedidos!$E$2:$E$1801,MATCH(B951,Pedidos!$A$2:$A$1801,0)),"")</f>
        <v/>
      </c>
      <c r="J951" s="25">
        <f>IFERROR(INDEX(Pedidos!$C$2:$C$1801,MATCH(B951,Pedidos!$A$2:$A$1801,0)),"")</f>
        <v/>
      </c>
      <c r="K951" s="25">
        <f>IFERROR(INDEX(Pedidos!$D$2:$D$1801,MATCH(B951,Pedidos!$A$2:$A$1801,0)),"")</f>
        <v/>
      </c>
      <c r="L951" s="25">
        <f>IFERROR(INDEX(Pedidos!$F$2:$F$1801,MATCH(B951,Pedidos!$A$2:$A$1801,0)),"")</f>
        <v/>
      </c>
      <c r="M951" s="26">
        <f>IFERROR(INDEX(Pedidos!$G$2:$G$1801,MATCH(B951,Pedidos!$A$2:$A$1801,0)),0)</f>
        <v/>
      </c>
      <c r="N951" s="25">
        <f>IFERROR(INDEX(Produtos!$B$2:$B$71,MATCH(C951,Produtos!$A$2:$A$71,0)),"")</f>
        <v/>
      </c>
      <c r="O951" s="25">
        <f>IFERROR(INDEX(Produtos!$C$2:$C$71,MATCH(C951,Produtos!$A$2:$A$71,0)),"")</f>
        <v/>
      </c>
      <c r="P951" s="25">
        <f>IFERROR(INDEX(Produtos!$D$2:$D$71,MATCH(C951,Produtos!$A$2:$A$71,0)),0)</f>
        <v/>
      </c>
      <c r="Q951" s="25">
        <f>IFERROR(INDEX(Produtos!$E$2:$E$71,MATCH(C951,Produtos!$A$2:$A$71,0)),0)</f>
        <v/>
      </c>
      <c r="R951" s="27">
        <f>D951*Q951</f>
        <v/>
      </c>
      <c r="S951" s="27">
        <f>R951*E951</f>
        <v/>
      </c>
      <c r="T951" s="27">
        <f>(R951-S951)*M951</f>
        <v/>
      </c>
      <c r="U951" s="27">
        <f>R951-S951-T951</f>
        <v/>
      </c>
      <c r="V951" s="27">
        <f>D951*P951</f>
        <v/>
      </c>
      <c r="W951" s="27">
        <f>U951-V951</f>
        <v/>
      </c>
      <c r="X951" s="28">
        <f>IFERROR(W951/U951,0)</f>
        <v/>
      </c>
    </row>
    <row r="952">
      <c r="A952" s="21">
        <f>ItensPedido!A952</f>
        <v/>
      </c>
      <c r="B952" s="21">
        <f>ItensPedido!B952</f>
        <v/>
      </c>
      <c r="C952" s="21">
        <f>ItensPedido!C952</f>
        <v/>
      </c>
      <c r="D952" s="21">
        <f>ItensPedido!D952</f>
        <v/>
      </c>
      <c r="E952" s="22">
        <f>ItensPedido!E952</f>
        <v/>
      </c>
      <c r="F952" s="21">
        <f>IFERROR(INDEX(Pedidos!$B$2:$B$1801,MATCH(B952,Pedidos!$A$2:$A$1801,0)),0)</f>
        <v/>
      </c>
      <c r="G952" s="21">
        <f>IF(F952=0,"",YEAR(F952))</f>
        <v/>
      </c>
      <c r="H952" s="21">
        <f>IF(F952=0,"",MONTH(F952))</f>
        <v/>
      </c>
      <c r="I952" s="21">
        <f>IFERROR(INDEX(Pedidos!$E$2:$E$1801,MATCH(B952,Pedidos!$A$2:$A$1801,0)),"")</f>
        <v/>
      </c>
      <c r="J952" s="21">
        <f>IFERROR(INDEX(Pedidos!$C$2:$C$1801,MATCH(B952,Pedidos!$A$2:$A$1801,0)),"")</f>
        <v/>
      </c>
      <c r="K952" s="21">
        <f>IFERROR(INDEX(Pedidos!$D$2:$D$1801,MATCH(B952,Pedidos!$A$2:$A$1801,0)),"")</f>
        <v/>
      </c>
      <c r="L952" s="21">
        <f>IFERROR(INDEX(Pedidos!$F$2:$F$1801,MATCH(B952,Pedidos!$A$2:$A$1801,0)),"")</f>
        <v/>
      </c>
      <c r="M952" s="22">
        <f>IFERROR(INDEX(Pedidos!$G$2:$G$1801,MATCH(B952,Pedidos!$A$2:$A$1801,0)),0)</f>
        <v/>
      </c>
      <c r="N952" s="21">
        <f>IFERROR(INDEX(Produtos!$B$2:$B$71,MATCH(C952,Produtos!$A$2:$A$71,0)),"")</f>
        <v/>
      </c>
      <c r="O952" s="21">
        <f>IFERROR(INDEX(Produtos!$C$2:$C$71,MATCH(C952,Produtos!$A$2:$A$71,0)),"")</f>
        <v/>
      </c>
      <c r="P952" s="21">
        <f>IFERROR(INDEX(Produtos!$D$2:$D$71,MATCH(C952,Produtos!$A$2:$A$71,0)),0)</f>
        <v/>
      </c>
      <c r="Q952" s="21">
        <f>IFERROR(INDEX(Produtos!$E$2:$E$71,MATCH(C952,Produtos!$A$2:$A$71,0)),0)</f>
        <v/>
      </c>
      <c r="R952" s="23">
        <f>D952*Q952</f>
        <v/>
      </c>
      <c r="S952" s="23">
        <f>R952*E952</f>
        <v/>
      </c>
      <c r="T952" s="23">
        <f>(R952-S952)*M952</f>
        <v/>
      </c>
      <c r="U952" s="23">
        <f>R952-S952-T952</f>
        <v/>
      </c>
      <c r="V952" s="23">
        <f>D952*P952</f>
        <v/>
      </c>
      <c r="W952" s="23">
        <f>U952-V952</f>
        <v/>
      </c>
      <c r="X952" s="24">
        <f>IFERROR(W952/U952,0)</f>
        <v/>
      </c>
    </row>
    <row r="953">
      <c r="A953" s="25">
        <f>ItensPedido!A953</f>
        <v/>
      </c>
      <c r="B953" s="25">
        <f>ItensPedido!B953</f>
        <v/>
      </c>
      <c r="C953" s="25">
        <f>ItensPedido!C953</f>
        <v/>
      </c>
      <c r="D953" s="25">
        <f>ItensPedido!D953</f>
        <v/>
      </c>
      <c r="E953" s="26">
        <f>ItensPedido!E953</f>
        <v/>
      </c>
      <c r="F953" s="25">
        <f>IFERROR(INDEX(Pedidos!$B$2:$B$1801,MATCH(B953,Pedidos!$A$2:$A$1801,0)),0)</f>
        <v/>
      </c>
      <c r="G953" s="25">
        <f>IF(F953=0,"",YEAR(F953))</f>
        <v/>
      </c>
      <c r="H953" s="25">
        <f>IF(F953=0,"",MONTH(F953))</f>
        <v/>
      </c>
      <c r="I953" s="25">
        <f>IFERROR(INDEX(Pedidos!$E$2:$E$1801,MATCH(B953,Pedidos!$A$2:$A$1801,0)),"")</f>
        <v/>
      </c>
      <c r="J953" s="25">
        <f>IFERROR(INDEX(Pedidos!$C$2:$C$1801,MATCH(B953,Pedidos!$A$2:$A$1801,0)),"")</f>
        <v/>
      </c>
      <c r="K953" s="25">
        <f>IFERROR(INDEX(Pedidos!$D$2:$D$1801,MATCH(B953,Pedidos!$A$2:$A$1801,0)),"")</f>
        <v/>
      </c>
      <c r="L953" s="25">
        <f>IFERROR(INDEX(Pedidos!$F$2:$F$1801,MATCH(B953,Pedidos!$A$2:$A$1801,0)),"")</f>
        <v/>
      </c>
      <c r="M953" s="26">
        <f>IFERROR(INDEX(Pedidos!$G$2:$G$1801,MATCH(B953,Pedidos!$A$2:$A$1801,0)),0)</f>
        <v/>
      </c>
      <c r="N953" s="25">
        <f>IFERROR(INDEX(Produtos!$B$2:$B$71,MATCH(C953,Produtos!$A$2:$A$71,0)),"")</f>
        <v/>
      </c>
      <c r="O953" s="25">
        <f>IFERROR(INDEX(Produtos!$C$2:$C$71,MATCH(C953,Produtos!$A$2:$A$71,0)),"")</f>
        <v/>
      </c>
      <c r="P953" s="25">
        <f>IFERROR(INDEX(Produtos!$D$2:$D$71,MATCH(C953,Produtos!$A$2:$A$71,0)),0)</f>
        <v/>
      </c>
      <c r="Q953" s="25">
        <f>IFERROR(INDEX(Produtos!$E$2:$E$71,MATCH(C953,Produtos!$A$2:$A$71,0)),0)</f>
        <v/>
      </c>
      <c r="R953" s="27">
        <f>D953*Q953</f>
        <v/>
      </c>
      <c r="S953" s="27">
        <f>R953*E953</f>
        <v/>
      </c>
      <c r="T953" s="27">
        <f>(R953-S953)*M953</f>
        <v/>
      </c>
      <c r="U953" s="27">
        <f>R953-S953-T953</f>
        <v/>
      </c>
      <c r="V953" s="27">
        <f>D953*P953</f>
        <v/>
      </c>
      <c r="W953" s="27">
        <f>U953-V953</f>
        <v/>
      </c>
      <c r="X953" s="28">
        <f>IFERROR(W953/U953,0)</f>
        <v/>
      </c>
    </row>
    <row r="954">
      <c r="A954" s="21">
        <f>ItensPedido!A954</f>
        <v/>
      </c>
      <c r="B954" s="21">
        <f>ItensPedido!B954</f>
        <v/>
      </c>
      <c r="C954" s="21">
        <f>ItensPedido!C954</f>
        <v/>
      </c>
      <c r="D954" s="21">
        <f>ItensPedido!D954</f>
        <v/>
      </c>
      <c r="E954" s="22">
        <f>ItensPedido!E954</f>
        <v/>
      </c>
      <c r="F954" s="21">
        <f>IFERROR(INDEX(Pedidos!$B$2:$B$1801,MATCH(B954,Pedidos!$A$2:$A$1801,0)),0)</f>
        <v/>
      </c>
      <c r="G954" s="21">
        <f>IF(F954=0,"",YEAR(F954))</f>
        <v/>
      </c>
      <c r="H954" s="21">
        <f>IF(F954=0,"",MONTH(F954))</f>
        <v/>
      </c>
      <c r="I954" s="21">
        <f>IFERROR(INDEX(Pedidos!$E$2:$E$1801,MATCH(B954,Pedidos!$A$2:$A$1801,0)),"")</f>
        <v/>
      </c>
      <c r="J954" s="21">
        <f>IFERROR(INDEX(Pedidos!$C$2:$C$1801,MATCH(B954,Pedidos!$A$2:$A$1801,0)),"")</f>
        <v/>
      </c>
      <c r="K954" s="21">
        <f>IFERROR(INDEX(Pedidos!$D$2:$D$1801,MATCH(B954,Pedidos!$A$2:$A$1801,0)),"")</f>
        <v/>
      </c>
      <c r="L954" s="21">
        <f>IFERROR(INDEX(Pedidos!$F$2:$F$1801,MATCH(B954,Pedidos!$A$2:$A$1801,0)),"")</f>
        <v/>
      </c>
      <c r="M954" s="22">
        <f>IFERROR(INDEX(Pedidos!$G$2:$G$1801,MATCH(B954,Pedidos!$A$2:$A$1801,0)),0)</f>
        <v/>
      </c>
      <c r="N954" s="21">
        <f>IFERROR(INDEX(Produtos!$B$2:$B$71,MATCH(C954,Produtos!$A$2:$A$71,0)),"")</f>
        <v/>
      </c>
      <c r="O954" s="21">
        <f>IFERROR(INDEX(Produtos!$C$2:$C$71,MATCH(C954,Produtos!$A$2:$A$71,0)),"")</f>
        <v/>
      </c>
      <c r="P954" s="21">
        <f>IFERROR(INDEX(Produtos!$D$2:$D$71,MATCH(C954,Produtos!$A$2:$A$71,0)),0)</f>
        <v/>
      </c>
      <c r="Q954" s="21">
        <f>IFERROR(INDEX(Produtos!$E$2:$E$71,MATCH(C954,Produtos!$A$2:$A$71,0)),0)</f>
        <v/>
      </c>
      <c r="R954" s="23">
        <f>D954*Q954</f>
        <v/>
      </c>
      <c r="S954" s="23">
        <f>R954*E954</f>
        <v/>
      </c>
      <c r="T954" s="23">
        <f>(R954-S954)*M954</f>
        <v/>
      </c>
      <c r="U954" s="23">
        <f>R954-S954-T954</f>
        <v/>
      </c>
      <c r="V954" s="23">
        <f>D954*P954</f>
        <v/>
      </c>
      <c r="W954" s="23">
        <f>U954-V954</f>
        <v/>
      </c>
      <c r="X954" s="24">
        <f>IFERROR(W954/U954,0)</f>
        <v/>
      </c>
    </row>
    <row r="955">
      <c r="A955" s="25">
        <f>ItensPedido!A955</f>
        <v/>
      </c>
      <c r="B955" s="25">
        <f>ItensPedido!B955</f>
        <v/>
      </c>
      <c r="C955" s="25">
        <f>ItensPedido!C955</f>
        <v/>
      </c>
      <c r="D955" s="25">
        <f>ItensPedido!D955</f>
        <v/>
      </c>
      <c r="E955" s="26">
        <f>ItensPedido!E955</f>
        <v/>
      </c>
      <c r="F955" s="25">
        <f>IFERROR(INDEX(Pedidos!$B$2:$B$1801,MATCH(B955,Pedidos!$A$2:$A$1801,0)),0)</f>
        <v/>
      </c>
      <c r="G955" s="25">
        <f>IF(F955=0,"",YEAR(F955))</f>
        <v/>
      </c>
      <c r="H955" s="25">
        <f>IF(F955=0,"",MONTH(F955))</f>
        <v/>
      </c>
      <c r="I955" s="25">
        <f>IFERROR(INDEX(Pedidos!$E$2:$E$1801,MATCH(B955,Pedidos!$A$2:$A$1801,0)),"")</f>
        <v/>
      </c>
      <c r="J955" s="25">
        <f>IFERROR(INDEX(Pedidos!$C$2:$C$1801,MATCH(B955,Pedidos!$A$2:$A$1801,0)),"")</f>
        <v/>
      </c>
      <c r="K955" s="25">
        <f>IFERROR(INDEX(Pedidos!$D$2:$D$1801,MATCH(B955,Pedidos!$A$2:$A$1801,0)),"")</f>
        <v/>
      </c>
      <c r="L955" s="25">
        <f>IFERROR(INDEX(Pedidos!$F$2:$F$1801,MATCH(B955,Pedidos!$A$2:$A$1801,0)),"")</f>
        <v/>
      </c>
      <c r="M955" s="26">
        <f>IFERROR(INDEX(Pedidos!$G$2:$G$1801,MATCH(B955,Pedidos!$A$2:$A$1801,0)),0)</f>
        <v/>
      </c>
      <c r="N955" s="25">
        <f>IFERROR(INDEX(Produtos!$B$2:$B$71,MATCH(C955,Produtos!$A$2:$A$71,0)),"")</f>
        <v/>
      </c>
      <c r="O955" s="25">
        <f>IFERROR(INDEX(Produtos!$C$2:$C$71,MATCH(C955,Produtos!$A$2:$A$71,0)),"")</f>
        <v/>
      </c>
      <c r="P955" s="25">
        <f>IFERROR(INDEX(Produtos!$D$2:$D$71,MATCH(C955,Produtos!$A$2:$A$71,0)),0)</f>
        <v/>
      </c>
      <c r="Q955" s="25">
        <f>IFERROR(INDEX(Produtos!$E$2:$E$71,MATCH(C955,Produtos!$A$2:$A$71,0)),0)</f>
        <v/>
      </c>
      <c r="R955" s="27">
        <f>D955*Q955</f>
        <v/>
      </c>
      <c r="S955" s="27">
        <f>R955*E955</f>
        <v/>
      </c>
      <c r="T955" s="27">
        <f>(R955-S955)*M955</f>
        <v/>
      </c>
      <c r="U955" s="27">
        <f>R955-S955-T955</f>
        <v/>
      </c>
      <c r="V955" s="27">
        <f>D955*P955</f>
        <v/>
      </c>
      <c r="W955" s="27">
        <f>U955-V955</f>
        <v/>
      </c>
      <c r="X955" s="28">
        <f>IFERROR(W955/U955,0)</f>
        <v/>
      </c>
    </row>
    <row r="956">
      <c r="A956" s="21">
        <f>ItensPedido!A956</f>
        <v/>
      </c>
      <c r="B956" s="21">
        <f>ItensPedido!B956</f>
        <v/>
      </c>
      <c r="C956" s="21">
        <f>ItensPedido!C956</f>
        <v/>
      </c>
      <c r="D956" s="21">
        <f>ItensPedido!D956</f>
        <v/>
      </c>
      <c r="E956" s="22">
        <f>ItensPedido!E956</f>
        <v/>
      </c>
      <c r="F956" s="21">
        <f>IFERROR(INDEX(Pedidos!$B$2:$B$1801,MATCH(B956,Pedidos!$A$2:$A$1801,0)),0)</f>
        <v/>
      </c>
      <c r="G956" s="21">
        <f>IF(F956=0,"",YEAR(F956))</f>
        <v/>
      </c>
      <c r="H956" s="21">
        <f>IF(F956=0,"",MONTH(F956))</f>
        <v/>
      </c>
      <c r="I956" s="21">
        <f>IFERROR(INDEX(Pedidos!$E$2:$E$1801,MATCH(B956,Pedidos!$A$2:$A$1801,0)),"")</f>
        <v/>
      </c>
      <c r="J956" s="21">
        <f>IFERROR(INDEX(Pedidos!$C$2:$C$1801,MATCH(B956,Pedidos!$A$2:$A$1801,0)),"")</f>
        <v/>
      </c>
      <c r="K956" s="21">
        <f>IFERROR(INDEX(Pedidos!$D$2:$D$1801,MATCH(B956,Pedidos!$A$2:$A$1801,0)),"")</f>
        <v/>
      </c>
      <c r="L956" s="21">
        <f>IFERROR(INDEX(Pedidos!$F$2:$F$1801,MATCH(B956,Pedidos!$A$2:$A$1801,0)),"")</f>
        <v/>
      </c>
      <c r="M956" s="22">
        <f>IFERROR(INDEX(Pedidos!$G$2:$G$1801,MATCH(B956,Pedidos!$A$2:$A$1801,0)),0)</f>
        <v/>
      </c>
      <c r="N956" s="21">
        <f>IFERROR(INDEX(Produtos!$B$2:$B$71,MATCH(C956,Produtos!$A$2:$A$71,0)),"")</f>
        <v/>
      </c>
      <c r="O956" s="21">
        <f>IFERROR(INDEX(Produtos!$C$2:$C$71,MATCH(C956,Produtos!$A$2:$A$71,0)),"")</f>
        <v/>
      </c>
      <c r="P956" s="21">
        <f>IFERROR(INDEX(Produtos!$D$2:$D$71,MATCH(C956,Produtos!$A$2:$A$71,0)),0)</f>
        <v/>
      </c>
      <c r="Q956" s="21">
        <f>IFERROR(INDEX(Produtos!$E$2:$E$71,MATCH(C956,Produtos!$A$2:$A$71,0)),0)</f>
        <v/>
      </c>
      <c r="R956" s="23">
        <f>D956*Q956</f>
        <v/>
      </c>
      <c r="S956" s="23">
        <f>R956*E956</f>
        <v/>
      </c>
      <c r="T956" s="23">
        <f>(R956-S956)*M956</f>
        <v/>
      </c>
      <c r="U956" s="23">
        <f>R956-S956-T956</f>
        <v/>
      </c>
      <c r="V956" s="23">
        <f>D956*P956</f>
        <v/>
      </c>
      <c r="W956" s="23">
        <f>U956-V956</f>
        <v/>
      </c>
      <c r="X956" s="24">
        <f>IFERROR(W956/U956,0)</f>
        <v/>
      </c>
    </row>
    <row r="957">
      <c r="A957" s="25">
        <f>ItensPedido!A957</f>
        <v/>
      </c>
      <c r="B957" s="25">
        <f>ItensPedido!B957</f>
        <v/>
      </c>
      <c r="C957" s="25">
        <f>ItensPedido!C957</f>
        <v/>
      </c>
      <c r="D957" s="25">
        <f>ItensPedido!D957</f>
        <v/>
      </c>
      <c r="E957" s="26">
        <f>ItensPedido!E957</f>
        <v/>
      </c>
      <c r="F957" s="25">
        <f>IFERROR(INDEX(Pedidos!$B$2:$B$1801,MATCH(B957,Pedidos!$A$2:$A$1801,0)),0)</f>
        <v/>
      </c>
      <c r="G957" s="25">
        <f>IF(F957=0,"",YEAR(F957))</f>
        <v/>
      </c>
      <c r="H957" s="25">
        <f>IF(F957=0,"",MONTH(F957))</f>
        <v/>
      </c>
      <c r="I957" s="25">
        <f>IFERROR(INDEX(Pedidos!$E$2:$E$1801,MATCH(B957,Pedidos!$A$2:$A$1801,0)),"")</f>
        <v/>
      </c>
      <c r="J957" s="25">
        <f>IFERROR(INDEX(Pedidos!$C$2:$C$1801,MATCH(B957,Pedidos!$A$2:$A$1801,0)),"")</f>
        <v/>
      </c>
      <c r="K957" s="25">
        <f>IFERROR(INDEX(Pedidos!$D$2:$D$1801,MATCH(B957,Pedidos!$A$2:$A$1801,0)),"")</f>
        <v/>
      </c>
      <c r="L957" s="25">
        <f>IFERROR(INDEX(Pedidos!$F$2:$F$1801,MATCH(B957,Pedidos!$A$2:$A$1801,0)),"")</f>
        <v/>
      </c>
      <c r="M957" s="26">
        <f>IFERROR(INDEX(Pedidos!$G$2:$G$1801,MATCH(B957,Pedidos!$A$2:$A$1801,0)),0)</f>
        <v/>
      </c>
      <c r="N957" s="25">
        <f>IFERROR(INDEX(Produtos!$B$2:$B$71,MATCH(C957,Produtos!$A$2:$A$71,0)),"")</f>
        <v/>
      </c>
      <c r="O957" s="25">
        <f>IFERROR(INDEX(Produtos!$C$2:$C$71,MATCH(C957,Produtos!$A$2:$A$71,0)),"")</f>
        <v/>
      </c>
      <c r="P957" s="25">
        <f>IFERROR(INDEX(Produtos!$D$2:$D$71,MATCH(C957,Produtos!$A$2:$A$71,0)),0)</f>
        <v/>
      </c>
      <c r="Q957" s="25">
        <f>IFERROR(INDEX(Produtos!$E$2:$E$71,MATCH(C957,Produtos!$A$2:$A$71,0)),0)</f>
        <v/>
      </c>
      <c r="R957" s="27">
        <f>D957*Q957</f>
        <v/>
      </c>
      <c r="S957" s="27">
        <f>R957*E957</f>
        <v/>
      </c>
      <c r="T957" s="27">
        <f>(R957-S957)*M957</f>
        <v/>
      </c>
      <c r="U957" s="27">
        <f>R957-S957-T957</f>
        <v/>
      </c>
      <c r="V957" s="27">
        <f>D957*P957</f>
        <v/>
      </c>
      <c r="W957" s="27">
        <f>U957-V957</f>
        <v/>
      </c>
      <c r="X957" s="28">
        <f>IFERROR(W957/U957,0)</f>
        <v/>
      </c>
    </row>
    <row r="958">
      <c r="A958" s="21">
        <f>ItensPedido!A958</f>
        <v/>
      </c>
      <c r="B958" s="21">
        <f>ItensPedido!B958</f>
        <v/>
      </c>
      <c r="C958" s="21">
        <f>ItensPedido!C958</f>
        <v/>
      </c>
      <c r="D958" s="21">
        <f>ItensPedido!D958</f>
        <v/>
      </c>
      <c r="E958" s="22">
        <f>ItensPedido!E958</f>
        <v/>
      </c>
      <c r="F958" s="21">
        <f>IFERROR(INDEX(Pedidos!$B$2:$B$1801,MATCH(B958,Pedidos!$A$2:$A$1801,0)),0)</f>
        <v/>
      </c>
      <c r="G958" s="21">
        <f>IF(F958=0,"",YEAR(F958))</f>
        <v/>
      </c>
      <c r="H958" s="21">
        <f>IF(F958=0,"",MONTH(F958))</f>
        <v/>
      </c>
      <c r="I958" s="21">
        <f>IFERROR(INDEX(Pedidos!$E$2:$E$1801,MATCH(B958,Pedidos!$A$2:$A$1801,0)),"")</f>
        <v/>
      </c>
      <c r="J958" s="21">
        <f>IFERROR(INDEX(Pedidos!$C$2:$C$1801,MATCH(B958,Pedidos!$A$2:$A$1801,0)),"")</f>
        <v/>
      </c>
      <c r="K958" s="21">
        <f>IFERROR(INDEX(Pedidos!$D$2:$D$1801,MATCH(B958,Pedidos!$A$2:$A$1801,0)),"")</f>
        <v/>
      </c>
      <c r="L958" s="21">
        <f>IFERROR(INDEX(Pedidos!$F$2:$F$1801,MATCH(B958,Pedidos!$A$2:$A$1801,0)),"")</f>
        <v/>
      </c>
      <c r="M958" s="22">
        <f>IFERROR(INDEX(Pedidos!$G$2:$G$1801,MATCH(B958,Pedidos!$A$2:$A$1801,0)),0)</f>
        <v/>
      </c>
      <c r="N958" s="21">
        <f>IFERROR(INDEX(Produtos!$B$2:$B$71,MATCH(C958,Produtos!$A$2:$A$71,0)),"")</f>
        <v/>
      </c>
      <c r="O958" s="21">
        <f>IFERROR(INDEX(Produtos!$C$2:$C$71,MATCH(C958,Produtos!$A$2:$A$71,0)),"")</f>
        <v/>
      </c>
      <c r="P958" s="21">
        <f>IFERROR(INDEX(Produtos!$D$2:$D$71,MATCH(C958,Produtos!$A$2:$A$71,0)),0)</f>
        <v/>
      </c>
      <c r="Q958" s="21">
        <f>IFERROR(INDEX(Produtos!$E$2:$E$71,MATCH(C958,Produtos!$A$2:$A$71,0)),0)</f>
        <v/>
      </c>
      <c r="R958" s="23">
        <f>D958*Q958</f>
        <v/>
      </c>
      <c r="S958" s="23">
        <f>R958*E958</f>
        <v/>
      </c>
      <c r="T958" s="23">
        <f>(R958-S958)*M958</f>
        <v/>
      </c>
      <c r="U958" s="23">
        <f>R958-S958-T958</f>
        <v/>
      </c>
      <c r="V958" s="23">
        <f>D958*P958</f>
        <v/>
      </c>
      <c r="W958" s="23">
        <f>U958-V958</f>
        <v/>
      </c>
      <c r="X958" s="24">
        <f>IFERROR(W958/U958,0)</f>
        <v/>
      </c>
    </row>
    <row r="959">
      <c r="A959" s="25">
        <f>ItensPedido!A959</f>
        <v/>
      </c>
      <c r="B959" s="25">
        <f>ItensPedido!B959</f>
        <v/>
      </c>
      <c r="C959" s="25">
        <f>ItensPedido!C959</f>
        <v/>
      </c>
      <c r="D959" s="25">
        <f>ItensPedido!D959</f>
        <v/>
      </c>
      <c r="E959" s="26">
        <f>ItensPedido!E959</f>
        <v/>
      </c>
      <c r="F959" s="25">
        <f>IFERROR(INDEX(Pedidos!$B$2:$B$1801,MATCH(B959,Pedidos!$A$2:$A$1801,0)),0)</f>
        <v/>
      </c>
      <c r="G959" s="25">
        <f>IF(F959=0,"",YEAR(F959))</f>
        <v/>
      </c>
      <c r="H959" s="25">
        <f>IF(F959=0,"",MONTH(F959))</f>
        <v/>
      </c>
      <c r="I959" s="25">
        <f>IFERROR(INDEX(Pedidos!$E$2:$E$1801,MATCH(B959,Pedidos!$A$2:$A$1801,0)),"")</f>
        <v/>
      </c>
      <c r="J959" s="25">
        <f>IFERROR(INDEX(Pedidos!$C$2:$C$1801,MATCH(B959,Pedidos!$A$2:$A$1801,0)),"")</f>
        <v/>
      </c>
      <c r="K959" s="25">
        <f>IFERROR(INDEX(Pedidos!$D$2:$D$1801,MATCH(B959,Pedidos!$A$2:$A$1801,0)),"")</f>
        <v/>
      </c>
      <c r="L959" s="25">
        <f>IFERROR(INDEX(Pedidos!$F$2:$F$1801,MATCH(B959,Pedidos!$A$2:$A$1801,0)),"")</f>
        <v/>
      </c>
      <c r="M959" s="26">
        <f>IFERROR(INDEX(Pedidos!$G$2:$G$1801,MATCH(B959,Pedidos!$A$2:$A$1801,0)),0)</f>
        <v/>
      </c>
      <c r="N959" s="25">
        <f>IFERROR(INDEX(Produtos!$B$2:$B$71,MATCH(C959,Produtos!$A$2:$A$71,0)),"")</f>
        <v/>
      </c>
      <c r="O959" s="25">
        <f>IFERROR(INDEX(Produtos!$C$2:$C$71,MATCH(C959,Produtos!$A$2:$A$71,0)),"")</f>
        <v/>
      </c>
      <c r="P959" s="25">
        <f>IFERROR(INDEX(Produtos!$D$2:$D$71,MATCH(C959,Produtos!$A$2:$A$71,0)),0)</f>
        <v/>
      </c>
      <c r="Q959" s="25">
        <f>IFERROR(INDEX(Produtos!$E$2:$E$71,MATCH(C959,Produtos!$A$2:$A$71,0)),0)</f>
        <v/>
      </c>
      <c r="R959" s="27">
        <f>D959*Q959</f>
        <v/>
      </c>
      <c r="S959" s="27">
        <f>R959*E959</f>
        <v/>
      </c>
      <c r="T959" s="27">
        <f>(R959-S959)*M959</f>
        <v/>
      </c>
      <c r="U959" s="27">
        <f>R959-S959-T959</f>
        <v/>
      </c>
      <c r="V959" s="27">
        <f>D959*P959</f>
        <v/>
      </c>
      <c r="W959" s="27">
        <f>U959-V959</f>
        <v/>
      </c>
      <c r="X959" s="28">
        <f>IFERROR(W959/U959,0)</f>
        <v/>
      </c>
    </row>
    <row r="960">
      <c r="A960" s="21">
        <f>ItensPedido!A960</f>
        <v/>
      </c>
      <c r="B960" s="21">
        <f>ItensPedido!B960</f>
        <v/>
      </c>
      <c r="C960" s="21">
        <f>ItensPedido!C960</f>
        <v/>
      </c>
      <c r="D960" s="21">
        <f>ItensPedido!D960</f>
        <v/>
      </c>
      <c r="E960" s="22">
        <f>ItensPedido!E960</f>
        <v/>
      </c>
      <c r="F960" s="21">
        <f>IFERROR(INDEX(Pedidos!$B$2:$B$1801,MATCH(B960,Pedidos!$A$2:$A$1801,0)),0)</f>
        <v/>
      </c>
      <c r="G960" s="21">
        <f>IF(F960=0,"",YEAR(F960))</f>
        <v/>
      </c>
      <c r="H960" s="21">
        <f>IF(F960=0,"",MONTH(F960))</f>
        <v/>
      </c>
      <c r="I960" s="21">
        <f>IFERROR(INDEX(Pedidos!$E$2:$E$1801,MATCH(B960,Pedidos!$A$2:$A$1801,0)),"")</f>
        <v/>
      </c>
      <c r="J960" s="21">
        <f>IFERROR(INDEX(Pedidos!$C$2:$C$1801,MATCH(B960,Pedidos!$A$2:$A$1801,0)),"")</f>
        <v/>
      </c>
      <c r="K960" s="21">
        <f>IFERROR(INDEX(Pedidos!$D$2:$D$1801,MATCH(B960,Pedidos!$A$2:$A$1801,0)),"")</f>
        <v/>
      </c>
      <c r="L960" s="21">
        <f>IFERROR(INDEX(Pedidos!$F$2:$F$1801,MATCH(B960,Pedidos!$A$2:$A$1801,0)),"")</f>
        <v/>
      </c>
      <c r="M960" s="22">
        <f>IFERROR(INDEX(Pedidos!$G$2:$G$1801,MATCH(B960,Pedidos!$A$2:$A$1801,0)),0)</f>
        <v/>
      </c>
      <c r="N960" s="21">
        <f>IFERROR(INDEX(Produtos!$B$2:$B$71,MATCH(C960,Produtos!$A$2:$A$71,0)),"")</f>
        <v/>
      </c>
      <c r="O960" s="21">
        <f>IFERROR(INDEX(Produtos!$C$2:$C$71,MATCH(C960,Produtos!$A$2:$A$71,0)),"")</f>
        <v/>
      </c>
      <c r="P960" s="21">
        <f>IFERROR(INDEX(Produtos!$D$2:$D$71,MATCH(C960,Produtos!$A$2:$A$71,0)),0)</f>
        <v/>
      </c>
      <c r="Q960" s="21">
        <f>IFERROR(INDEX(Produtos!$E$2:$E$71,MATCH(C960,Produtos!$A$2:$A$71,0)),0)</f>
        <v/>
      </c>
      <c r="R960" s="23">
        <f>D960*Q960</f>
        <v/>
      </c>
      <c r="S960" s="23">
        <f>R960*E960</f>
        <v/>
      </c>
      <c r="T960" s="23">
        <f>(R960-S960)*M960</f>
        <v/>
      </c>
      <c r="U960" s="23">
        <f>R960-S960-T960</f>
        <v/>
      </c>
      <c r="V960" s="23">
        <f>D960*P960</f>
        <v/>
      </c>
      <c r="W960" s="23">
        <f>U960-V960</f>
        <v/>
      </c>
      <c r="X960" s="24">
        <f>IFERROR(W960/U960,0)</f>
        <v/>
      </c>
    </row>
    <row r="961">
      <c r="A961" s="25">
        <f>ItensPedido!A961</f>
        <v/>
      </c>
      <c r="B961" s="25">
        <f>ItensPedido!B961</f>
        <v/>
      </c>
      <c r="C961" s="25">
        <f>ItensPedido!C961</f>
        <v/>
      </c>
      <c r="D961" s="25">
        <f>ItensPedido!D961</f>
        <v/>
      </c>
      <c r="E961" s="26">
        <f>ItensPedido!E961</f>
        <v/>
      </c>
      <c r="F961" s="25">
        <f>IFERROR(INDEX(Pedidos!$B$2:$B$1801,MATCH(B961,Pedidos!$A$2:$A$1801,0)),0)</f>
        <v/>
      </c>
      <c r="G961" s="25">
        <f>IF(F961=0,"",YEAR(F961))</f>
        <v/>
      </c>
      <c r="H961" s="25">
        <f>IF(F961=0,"",MONTH(F961))</f>
        <v/>
      </c>
      <c r="I961" s="25">
        <f>IFERROR(INDEX(Pedidos!$E$2:$E$1801,MATCH(B961,Pedidos!$A$2:$A$1801,0)),"")</f>
        <v/>
      </c>
      <c r="J961" s="25">
        <f>IFERROR(INDEX(Pedidos!$C$2:$C$1801,MATCH(B961,Pedidos!$A$2:$A$1801,0)),"")</f>
        <v/>
      </c>
      <c r="K961" s="25">
        <f>IFERROR(INDEX(Pedidos!$D$2:$D$1801,MATCH(B961,Pedidos!$A$2:$A$1801,0)),"")</f>
        <v/>
      </c>
      <c r="L961" s="25">
        <f>IFERROR(INDEX(Pedidos!$F$2:$F$1801,MATCH(B961,Pedidos!$A$2:$A$1801,0)),"")</f>
        <v/>
      </c>
      <c r="M961" s="26">
        <f>IFERROR(INDEX(Pedidos!$G$2:$G$1801,MATCH(B961,Pedidos!$A$2:$A$1801,0)),0)</f>
        <v/>
      </c>
      <c r="N961" s="25">
        <f>IFERROR(INDEX(Produtos!$B$2:$B$71,MATCH(C961,Produtos!$A$2:$A$71,0)),"")</f>
        <v/>
      </c>
      <c r="O961" s="25">
        <f>IFERROR(INDEX(Produtos!$C$2:$C$71,MATCH(C961,Produtos!$A$2:$A$71,0)),"")</f>
        <v/>
      </c>
      <c r="P961" s="25">
        <f>IFERROR(INDEX(Produtos!$D$2:$D$71,MATCH(C961,Produtos!$A$2:$A$71,0)),0)</f>
        <v/>
      </c>
      <c r="Q961" s="25">
        <f>IFERROR(INDEX(Produtos!$E$2:$E$71,MATCH(C961,Produtos!$A$2:$A$71,0)),0)</f>
        <v/>
      </c>
      <c r="R961" s="27">
        <f>D961*Q961</f>
        <v/>
      </c>
      <c r="S961" s="27">
        <f>R961*E961</f>
        <v/>
      </c>
      <c r="T961" s="27">
        <f>(R961-S961)*M961</f>
        <v/>
      </c>
      <c r="U961" s="27">
        <f>R961-S961-T961</f>
        <v/>
      </c>
      <c r="V961" s="27">
        <f>D961*P961</f>
        <v/>
      </c>
      <c r="W961" s="27">
        <f>U961-V961</f>
        <v/>
      </c>
      <c r="X961" s="28">
        <f>IFERROR(W961/U961,0)</f>
        <v/>
      </c>
    </row>
    <row r="962">
      <c r="A962" s="21">
        <f>ItensPedido!A962</f>
        <v/>
      </c>
      <c r="B962" s="21">
        <f>ItensPedido!B962</f>
        <v/>
      </c>
      <c r="C962" s="21">
        <f>ItensPedido!C962</f>
        <v/>
      </c>
      <c r="D962" s="21">
        <f>ItensPedido!D962</f>
        <v/>
      </c>
      <c r="E962" s="22">
        <f>ItensPedido!E962</f>
        <v/>
      </c>
      <c r="F962" s="21">
        <f>IFERROR(INDEX(Pedidos!$B$2:$B$1801,MATCH(B962,Pedidos!$A$2:$A$1801,0)),0)</f>
        <v/>
      </c>
      <c r="G962" s="21">
        <f>IF(F962=0,"",YEAR(F962))</f>
        <v/>
      </c>
      <c r="H962" s="21">
        <f>IF(F962=0,"",MONTH(F962))</f>
        <v/>
      </c>
      <c r="I962" s="21">
        <f>IFERROR(INDEX(Pedidos!$E$2:$E$1801,MATCH(B962,Pedidos!$A$2:$A$1801,0)),"")</f>
        <v/>
      </c>
      <c r="J962" s="21">
        <f>IFERROR(INDEX(Pedidos!$C$2:$C$1801,MATCH(B962,Pedidos!$A$2:$A$1801,0)),"")</f>
        <v/>
      </c>
      <c r="K962" s="21">
        <f>IFERROR(INDEX(Pedidos!$D$2:$D$1801,MATCH(B962,Pedidos!$A$2:$A$1801,0)),"")</f>
        <v/>
      </c>
      <c r="L962" s="21">
        <f>IFERROR(INDEX(Pedidos!$F$2:$F$1801,MATCH(B962,Pedidos!$A$2:$A$1801,0)),"")</f>
        <v/>
      </c>
      <c r="M962" s="22">
        <f>IFERROR(INDEX(Pedidos!$G$2:$G$1801,MATCH(B962,Pedidos!$A$2:$A$1801,0)),0)</f>
        <v/>
      </c>
      <c r="N962" s="21">
        <f>IFERROR(INDEX(Produtos!$B$2:$B$71,MATCH(C962,Produtos!$A$2:$A$71,0)),"")</f>
        <v/>
      </c>
      <c r="O962" s="21">
        <f>IFERROR(INDEX(Produtos!$C$2:$C$71,MATCH(C962,Produtos!$A$2:$A$71,0)),"")</f>
        <v/>
      </c>
      <c r="P962" s="21">
        <f>IFERROR(INDEX(Produtos!$D$2:$D$71,MATCH(C962,Produtos!$A$2:$A$71,0)),0)</f>
        <v/>
      </c>
      <c r="Q962" s="21">
        <f>IFERROR(INDEX(Produtos!$E$2:$E$71,MATCH(C962,Produtos!$A$2:$A$71,0)),0)</f>
        <v/>
      </c>
      <c r="R962" s="23">
        <f>D962*Q962</f>
        <v/>
      </c>
      <c r="S962" s="23">
        <f>R962*E962</f>
        <v/>
      </c>
      <c r="T962" s="23">
        <f>(R962-S962)*M962</f>
        <v/>
      </c>
      <c r="U962" s="23">
        <f>R962-S962-T962</f>
        <v/>
      </c>
      <c r="V962" s="23">
        <f>D962*P962</f>
        <v/>
      </c>
      <c r="W962" s="23">
        <f>U962-V962</f>
        <v/>
      </c>
      <c r="X962" s="24">
        <f>IFERROR(W962/U962,0)</f>
        <v/>
      </c>
    </row>
    <row r="963">
      <c r="A963" s="25">
        <f>ItensPedido!A963</f>
        <v/>
      </c>
      <c r="B963" s="25">
        <f>ItensPedido!B963</f>
        <v/>
      </c>
      <c r="C963" s="25">
        <f>ItensPedido!C963</f>
        <v/>
      </c>
      <c r="D963" s="25">
        <f>ItensPedido!D963</f>
        <v/>
      </c>
      <c r="E963" s="26">
        <f>ItensPedido!E963</f>
        <v/>
      </c>
      <c r="F963" s="25">
        <f>IFERROR(INDEX(Pedidos!$B$2:$B$1801,MATCH(B963,Pedidos!$A$2:$A$1801,0)),0)</f>
        <v/>
      </c>
      <c r="G963" s="25">
        <f>IF(F963=0,"",YEAR(F963))</f>
        <v/>
      </c>
      <c r="H963" s="25">
        <f>IF(F963=0,"",MONTH(F963))</f>
        <v/>
      </c>
      <c r="I963" s="25">
        <f>IFERROR(INDEX(Pedidos!$E$2:$E$1801,MATCH(B963,Pedidos!$A$2:$A$1801,0)),"")</f>
        <v/>
      </c>
      <c r="J963" s="25">
        <f>IFERROR(INDEX(Pedidos!$C$2:$C$1801,MATCH(B963,Pedidos!$A$2:$A$1801,0)),"")</f>
        <v/>
      </c>
      <c r="K963" s="25">
        <f>IFERROR(INDEX(Pedidos!$D$2:$D$1801,MATCH(B963,Pedidos!$A$2:$A$1801,0)),"")</f>
        <v/>
      </c>
      <c r="L963" s="25">
        <f>IFERROR(INDEX(Pedidos!$F$2:$F$1801,MATCH(B963,Pedidos!$A$2:$A$1801,0)),"")</f>
        <v/>
      </c>
      <c r="M963" s="26">
        <f>IFERROR(INDEX(Pedidos!$G$2:$G$1801,MATCH(B963,Pedidos!$A$2:$A$1801,0)),0)</f>
        <v/>
      </c>
      <c r="N963" s="25">
        <f>IFERROR(INDEX(Produtos!$B$2:$B$71,MATCH(C963,Produtos!$A$2:$A$71,0)),"")</f>
        <v/>
      </c>
      <c r="O963" s="25">
        <f>IFERROR(INDEX(Produtos!$C$2:$C$71,MATCH(C963,Produtos!$A$2:$A$71,0)),"")</f>
        <v/>
      </c>
      <c r="P963" s="25">
        <f>IFERROR(INDEX(Produtos!$D$2:$D$71,MATCH(C963,Produtos!$A$2:$A$71,0)),0)</f>
        <v/>
      </c>
      <c r="Q963" s="25">
        <f>IFERROR(INDEX(Produtos!$E$2:$E$71,MATCH(C963,Produtos!$A$2:$A$71,0)),0)</f>
        <v/>
      </c>
      <c r="R963" s="27">
        <f>D963*Q963</f>
        <v/>
      </c>
      <c r="S963" s="27">
        <f>R963*E963</f>
        <v/>
      </c>
      <c r="T963" s="27">
        <f>(R963-S963)*M963</f>
        <v/>
      </c>
      <c r="U963" s="27">
        <f>R963-S963-T963</f>
        <v/>
      </c>
      <c r="V963" s="27">
        <f>D963*P963</f>
        <v/>
      </c>
      <c r="W963" s="27">
        <f>U963-V963</f>
        <v/>
      </c>
      <c r="X963" s="28">
        <f>IFERROR(W963/U963,0)</f>
        <v/>
      </c>
    </row>
    <row r="964">
      <c r="A964" s="21">
        <f>ItensPedido!A964</f>
        <v/>
      </c>
      <c r="B964" s="21">
        <f>ItensPedido!B964</f>
        <v/>
      </c>
      <c r="C964" s="21">
        <f>ItensPedido!C964</f>
        <v/>
      </c>
      <c r="D964" s="21">
        <f>ItensPedido!D964</f>
        <v/>
      </c>
      <c r="E964" s="22">
        <f>ItensPedido!E964</f>
        <v/>
      </c>
      <c r="F964" s="21">
        <f>IFERROR(INDEX(Pedidos!$B$2:$B$1801,MATCH(B964,Pedidos!$A$2:$A$1801,0)),0)</f>
        <v/>
      </c>
      <c r="G964" s="21">
        <f>IF(F964=0,"",YEAR(F964))</f>
        <v/>
      </c>
      <c r="H964" s="21">
        <f>IF(F964=0,"",MONTH(F964))</f>
        <v/>
      </c>
      <c r="I964" s="21">
        <f>IFERROR(INDEX(Pedidos!$E$2:$E$1801,MATCH(B964,Pedidos!$A$2:$A$1801,0)),"")</f>
        <v/>
      </c>
      <c r="J964" s="21">
        <f>IFERROR(INDEX(Pedidos!$C$2:$C$1801,MATCH(B964,Pedidos!$A$2:$A$1801,0)),"")</f>
        <v/>
      </c>
      <c r="K964" s="21">
        <f>IFERROR(INDEX(Pedidos!$D$2:$D$1801,MATCH(B964,Pedidos!$A$2:$A$1801,0)),"")</f>
        <v/>
      </c>
      <c r="L964" s="21">
        <f>IFERROR(INDEX(Pedidos!$F$2:$F$1801,MATCH(B964,Pedidos!$A$2:$A$1801,0)),"")</f>
        <v/>
      </c>
      <c r="M964" s="22">
        <f>IFERROR(INDEX(Pedidos!$G$2:$G$1801,MATCH(B964,Pedidos!$A$2:$A$1801,0)),0)</f>
        <v/>
      </c>
      <c r="N964" s="21">
        <f>IFERROR(INDEX(Produtos!$B$2:$B$71,MATCH(C964,Produtos!$A$2:$A$71,0)),"")</f>
        <v/>
      </c>
      <c r="O964" s="21">
        <f>IFERROR(INDEX(Produtos!$C$2:$C$71,MATCH(C964,Produtos!$A$2:$A$71,0)),"")</f>
        <v/>
      </c>
      <c r="P964" s="21">
        <f>IFERROR(INDEX(Produtos!$D$2:$D$71,MATCH(C964,Produtos!$A$2:$A$71,0)),0)</f>
        <v/>
      </c>
      <c r="Q964" s="21">
        <f>IFERROR(INDEX(Produtos!$E$2:$E$71,MATCH(C964,Produtos!$A$2:$A$71,0)),0)</f>
        <v/>
      </c>
      <c r="R964" s="23">
        <f>D964*Q964</f>
        <v/>
      </c>
      <c r="S964" s="23">
        <f>R964*E964</f>
        <v/>
      </c>
      <c r="T964" s="23">
        <f>(R964-S964)*M964</f>
        <v/>
      </c>
      <c r="U964" s="23">
        <f>R964-S964-T964</f>
        <v/>
      </c>
      <c r="V964" s="23">
        <f>D964*P964</f>
        <v/>
      </c>
      <c r="W964" s="23">
        <f>U964-V964</f>
        <v/>
      </c>
      <c r="X964" s="24">
        <f>IFERROR(W964/U964,0)</f>
        <v/>
      </c>
    </row>
    <row r="965">
      <c r="A965" s="25">
        <f>ItensPedido!A965</f>
        <v/>
      </c>
      <c r="B965" s="25">
        <f>ItensPedido!B965</f>
        <v/>
      </c>
      <c r="C965" s="25">
        <f>ItensPedido!C965</f>
        <v/>
      </c>
      <c r="D965" s="25">
        <f>ItensPedido!D965</f>
        <v/>
      </c>
      <c r="E965" s="26">
        <f>ItensPedido!E965</f>
        <v/>
      </c>
      <c r="F965" s="25">
        <f>IFERROR(INDEX(Pedidos!$B$2:$B$1801,MATCH(B965,Pedidos!$A$2:$A$1801,0)),0)</f>
        <v/>
      </c>
      <c r="G965" s="25">
        <f>IF(F965=0,"",YEAR(F965))</f>
        <v/>
      </c>
      <c r="H965" s="25">
        <f>IF(F965=0,"",MONTH(F965))</f>
        <v/>
      </c>
      <c r="I965" s="25">
        <f>IFERROR(INDEX(Pedidos!$E$2:$E$1801,MATCH(B965,Pedidos!$A$2:$A$1801,0)),"")</f>
        <v/>
      </c>
      <c r="J965" s="25">
        <f>IFERROR(INDEX(Pedidos!$C$2:$C$1801,MATCH(B965,Pedidos!$A$2:$A$1801,0)),"")</f>
        <v/>
      </c>
      <c r="K965" s="25">
        <f>IFERROR(INDEX(Pedidos!$D$2:$D$1801,MATCH(B965,Pedidos!$A$2:$A$1801,0)),"")</f>
        <v/>
      </c>
      <c r="L965" s="25">
        <f>IFERROR(INDEX(Pedidos!$F$2:$F$1801,MATCH(B965,Pedidos!$A$2:$A$1801,0)),"")</f>
        <v/>
      </c>
      <c r="M965" s="26">
        <f>IFERROR(INDEX(Pedidos!$G$2:$G$1801,MATCH(B965,Pedidos!$A$2:$A$1801,0)),0)</f>
        <v/>
      </c>
      <c r="N965" s="25">
        <f>IFERROR(INDEX(Produtos!$B$2:$B$71,MATCH(C965,Produtos!$A$2:$A$71,0)),"")</f>
        <v/>
      </c>
      <c r="O965" s="25">
        <f>IFERROR(INDEX(Produtos!$C$2:$C$71,MATCH(C965,Produtos!$A$2:$A$71,0)),"")</f>
        <v/>
      </c>
      <c r="P965" s="25">
        <f>IFERROR(INDEX(Produtos!$D$2:$D$71,MATCH(C965,Produtos!$A$2:$A$71,0)),0)</f>
        <v/>
      </c>
      <c r="Q965" s="25">
        <f>IFERROR(INDEX(Produtos!$E$2:$E$71,MATCH(C965,Produtos!$A$2:$A$71,0)),0)</f>
        <v/>
      </c>
      <c r="R965" s="27">
        <f>D965*Q965</f>
        <v/>
      </c>
      <c r="S965" s="27">
        <f>R965*E965</f>
        <v/>
      </c>
      <c r="T965" s="27">
        <f>(R965-S965)*M965</f>
        <v/>
      </c>
      <c r="U965" s="27">
        <f>R965-S965-T965</f>
        <v/>
      </c>
      <c r="V965" s="27">
        <f>D965*P965</f>
        <v/>
      </c>
      <c r="W965" s="27">
        <f>U965-V965</f>
        <v/>
      </c>
      <c r="X965" s="28">
        <f>IFERROR(W965/U965,0)</f>
        <v/>
      </c>
    </row>
    <row r="966">
      <c r="A966" s="21">
        <f>ItensPedido!A966</f>
        <v/>
      </c>
      <c r="B966" s="21">
        <f>ItensPedido!B966</f>
        <v/>
      </c>
      <c r="C966" s="21">
        <f>ItensPedido!C966</f>
        <v/>
      </c>
      <c r="D966" s="21">
        <f>ItensPedido!D966</f>
        <v/>
      </c>
      <c r="E966" s="22">
        <f>ItensPedido!E966</f>
        <v/>
      </c>
      <c r="F966" s="21">
        <f>IFERROR(INDEX(Pedidos!$B$2:$B$1801,MATCH(B966,Pedidos!$A$2:$A$1801,0)),0)</f>
        <v/>
      </c>
      <c r="G966" s="21">
        <f>IF(F966=0,"",YEAR(F966))</f>
        <v/>
      </c>
      <c r="H966" s="21">
        <f>IF(F966=0,"",MONTH(F966))</f>
        <v/>
      </c>
      <c r="I966" s="21">
        <f>IFERROR(INDEX(Pedidos!$E$2:$E$1801,MATCH(B966,Pedidos!$A$2:$A$1801,0)),"")</f>
        <v/>
      </c>
      <c r="J966" s="21">
        <f>IFERROR(INDEX(Pedidos!$C$2:$C$1801,MATCH(B966,Pedidos!$A$2:$A$1801,0)),"")</f>
        <v/>
      </c>
      <c r="K966" s="21">
        <f>IFERROR(INDEX(Pedidos!$D$2:$D$1801,MATCH(B966,Pedidos!$A$2:$A$1801,0)),"")</f>
        <v/>
      </c>
      <c r="L966" s="21">
        <f>IFERROR(INDEX(Pedidos!$F$2:$F$1801,MATCH(B966,Pedidos!$A$2:$A$1801,0)),"")</f>
        <v/>
      </c>
      <c r="M966" s="22">
        <f>IFERROR(INDEX(Pedidos!$G$2:$G$1801,MATCH(B966,Pedidos!$A$2:$A$1801,0)),0)</f>
        <v/>
      </c>
      <c r="N966" s="21">
        <f>IFERROR(INDEX(Produtos!$B$2:$B$71,MATCH(C966,Produtos!$A$2:$A$71,0)),"")</f>
        <v/>
      </c>
      <c r="O966" s="21">
        <f>IFERROR(INDEX(Produtos!$C$2:$C$71,MATCH(C966,Produtos!$A$2:$A$71,0)),"")</f>
        <v/>
      </c>
      <c r="P966" s="21">
        <f>IFERROR(INDEX(Produtos!$D$2:$D$71,MATCH(C966,Produtos!$A$2:$A$71,0)),0)</f>
        <v/>
      </c>
      <c r="Q966" s="21">
        <f>IFERROR(INDEX(Produtos!$E$2:$E$71,MATCH(C966,Produtos!$A$2:$A$71,0)),0)</f>
        <v/>
      </c>
      <c r="R966" s="23">
        <f>D966*Q966</f>
        <v/>
      </c>
      <c r="S966" s="23">
        <f>R966*E966</f>
        <v/>
      </c>
      <c r="T966" s="23">
        <f>(R966-S966)*M966</f>
        <v/>
      </c>
      <c r="U966" s="23">
        <f>R966-S966-T966</f>
        <v/>
      </c>
      <c r="V966" s="23">
        <f>D966*P966</f>
        <v/>
      </c>
      <c r="W966" s="23">
        <f>U966-V966</f>
        <v/>
      </c>
      <c r="X966" s="24">
        <f>IFERROR(W966/U966,0)</f>
        <v/>
      </c>
    </row>
    <row r="967">
      <c r="A967" s="25">
        <f>ItensPedido!A967</f>
        <v/>
      </c>
      <c r="B967" s="25">
        <f>ItensPedido!B967</f>
        <v/>
      </c>
      <c r="C967" s="25">
        <f>ItensPedido!C967</f>
        <v/>
      </c>
      <c r="D967" s="25">
        <f>ItensPedido!D967</f>
        <v/>
      </c>
      <c r="E967" s="26">
        <f>ItensPedido!E967</f>
        <v/>
      </c>
      <c r="F967" s="25">
        <f>IFERROR(INDEX(Pedidos!$B$2:$B$1801,MATCH(B967,Pedidos!$A$2:$A$1801,0)),0)</f>
        <v/>
      </c>
      <c r="G967" s="25">
        <f>IF(F967=0,"",YEAR(F967))</f>
        <v/>
      </c>
      <c r="H967" s="25">
        <f>IF(F967=0,"",MONTH(F967))</f>
        <v/>
      </c>
      <c r="I967" s="25">
        <f>IFERROR(INDEX(Pedidos!$E$2:$E$1801,MATCH(B967,Pedidos!$A$2:$A$1801,0)),"")</f>
        <v/>
      </c>
      <c r="J967" s="25">
        <f>IFERROR(INDEX(Pedidos!$C$2:$C$1801,MATCH(B967,Pedidos!$A$2:$A$1801,0)),"")</f>
        <v/>
      </c>
      <c r="K967" s="25">
        <f>IFERROR(INDEX(Pedidos!$D$2:$D$1801,MATCH(B967,Pedidos!$A$2:$A$1801,0)),"")</f>
        <v/>
      </c>
      <c r="L967" s="25">
        <f>IFERROR(INDEX(Pedidos!$F$2:$F$1801,MATCH(B967,Pedidos!$A$2:$A$1801,0)),"")</f>
        <v/>
      </c>
      <c r="M967" s="26">
        <f>IFERROR(INDEX(Pedidos!$G$2:$G$1801,MATCH(B967,Pedidos!$A$2:$A$1801,0)),0)</f>
        <v/>
      </c>
      <c r="N967" s="25">
        <f>IFERROR(INDEX(Produtos!$B$2:$B$71,MATCH(C967,Produtos!$A$2:$A$71,0)),"")</f>
        <v/>
      </c>
      <c r="O967" s="25">
        <f>IFERROR(INDEX(Produtos!$C$2:$C$71,MATCH(C967,Produtos!$A$2:$A$71,0)),"")</f>
        <v/>
      </c>
      <c r="P967" s="25">
        <f>IFERROR(INDEX(Produtos!$D$2:$D$71,MATCH(C967,Produtos!$A$2:$A$71,0)),0)</f>
        <v/>
      </c>
      <c r="Q967" s="25">
        <f>IFERROR(INDEX(Produtos!$E$2:$E$71,MATCH(C967,Produtos!$A$2:$A$71,0)),0)</f>
        <v/>
      </c>
      <c r="R967" s="27">
        <f>D967*Q967</f>
        <v/>
      </c>
      <c r="S967" s="27">
        <f>R967*E967</f>
        <v/>
      </c>
      <c r="T967" s="27">
        <f>(R967-S967)*M967</f>
        <v/>
      </c>
      <c r="U967" s="27">
        <f>R967-S967-T967</f>
        <v/>
      </c>
      <c r="V967" s="27">
        <f>D967*P967</f>
        <v/>
      </c>
      <c r="W967" s="27">
        <f>U967-V967</f>
        <v/>
      </c>
      <c r="X967" s="28">
        <f>IFERROR(W967/U967,0)</f>
        <v/>
      </c>
    </row>
    <row r="968">
      <c r="A968" s="21">
        <f>ItensPedido!A968</f>
        <v/>
      </c>
      <c r="B968" s="21">
        <f>ItensPedido!B968</f>
        <v/>
      </c>
      <c r="C968" s="21">
        <f>ItensPedido!C968</f>
        <v/>
      </c>
      <c r="D968" s="21">
        <f>ItensPedido!D968</f>
        <v/>
      </c>
      <c r="E968" s="22">
        <f>ItensPedido!E968</f>
        <v/>
      </c>
      <c r="F968" s="21">
        <f>IFERROR(INDEX(Pedidos!$B$2:$B$1801,MATCH(B968,Pedidos!$A$2:$A$1801,0)),0)</f>
        <v/>
      </c>
      <c r="G968" s="21">
        <f>IF(F968=0,"",YEAR(F968))</f>
        <v/>
      </c>
      <c r="H968" s="21">
        <f>IF(F968=0,"",MONTH(F968))</f>
        <v/>
      </c>
      <c r="I968" s="21">
        <f>IFERROR(INDEX(Pedidos!$E$2:$E$1801,MATCH(B968,Pedidos!$A$2:$A$1801,0)),"")</f>
        <v/>
      </c>
      <c r="J968" s="21">
        <f>IFERROR(INDEX(Pedidos!$C$2:$C$1801,MATCH(B968,Pedidos!$A$2:$A$1801,0)),"")</f>
        <v/>
      </c>
      <c r="K968" s="21">
        <f>IFERROR(INDEX(Pedidos!$D$2:$D$1801,MATCH(B968,Pedidos!$A$2:$A$1801,0)),"")</f>
        <v/>
      </c>
      <c r="L968" s="21">
        <f>IFERROR(INDEX(Pedidos!$F$2:$F$1801,MATCH(B968,Pedidos!$A$2:$A$1801,0)),"")</f>
        <v/>
      </c>
      <c r="M968" s="22">
        <f>IFERROR(INDEX(Pedidos!$G$2:$G$1801,MATCH(B968,Pedidos!$A$2:$A$1801,0)),0)</f>
        <v/>
      </c>
      <c r="N968" s="21">
        <f>IFERROR(INDEX(Produtos!$B$2:$B$71,MATCH(C968,Produtos!$A$2:$A$71,0)),"")</f>
        <v/>
      </c>
      <c r="O968" s="21">
        <f>IFERROR(INDEX(Produtos!$C$2:$C$71,MATCH(C968,Produtos!$A$2:$A$71,0)),"")</f>
        <v/>
      </c>
      <c r="P968" s="21">
        <f>IFERROR(INDEX(Produtos!$D$2:$D$71,MATCH(C968,Produtos!$A$2:$A$71,0)),0)</f>
        <v/>
      </c>
      <c r="Q968" s="21">
        <f>IFERROR(INDEX(Produtos!$E$2:$E$71,MATCH(C968,Produtos!$A$2:$A$71,0)),0)</f>
        <v/>
      </c>
      <c r="R968" s="23">
        <f>D968*Q968</f>
        <v/>
      </c>
      <c r="S968" s="23">
        <f>R968*E968</f>
        <v/>
      </c>
      <c r="T968" s="23">
        <f>(R968-S968)*M968</f>
        <v/>
      </c>
      <c r="U968" s="23">
        <f>R968-S968-T968</f>
        <v/>
      </c>
      <c r="V968" s="23">
        <f>D968*P968</f>
        <v/>
      </c>
      <c r="W968" s="23">
        <f>U968-V968</f>
        <v/>
      </c>
      <c r="X968" s="24">
        <f>IFERROR(W968/U968,0)</f>
        <v/>
      </c>
    </row>
    <row r="969">
      <c r="A969" s="25">
        <f>ItensPedido!A969</f>
        <v/>
      </c>
      <c r="B969" s="25">
        <f>ItensPedido!B969</f>
        <v/>
      </c>
      <c r="C969" s="25">
        <f>ItensPedido!C969</f>
        <v/>
      </c>
      <c r="D969" s="25">
        <f>ItensPedido!D969</f>
        <v/>
      </c>
      <c r="E969" s="26">
        <f>ItensPedido!E969</f>
        <v/>
      </c>
      <c r="F969" s="25">
        <f>IFERROR(INDEX(Pedidos!$B$2:$B$1801,MATCH(B969,Pedidos!$A$2:$A$1801,0)),0)</f>
        <v/>
      </c>
      <c r="G969" s="25">
        <f>IF(F969=0,"",YEAR(F969))</f>
        <v/>
      </c>
      <c r="H969" s="25">
        <f>IF(F969=0,"",MONTH(F969))</f>
        <v/>
      </c>
      <c r="I969" s="25">
        <f>IFERROR(INDEX(Pedidos!$E$2:$E$1801,MATCH(B969,Pedidos!$A$2:$A$1801,0)),"")</f>
        <v/>
      </c>
      <c r="J969" s="25">
        <f>IFERROR(INDEX(Pedidos!$C$2:$C$1801,MATCH(B969,Pedidos!$A$2:$A$1801,0)),"")</f>
        <v/>
      </c>
      <c r="K969" s="25">
        <f>IFERROR(INDEX(Pedidos!$D$2:$D$1801,MATCH(B969,Pedidos!$A$2:$A$1801,0)),"")</f>
        <v/>
      </c>
      <c r="L969" s="25">
        <f>IFERROR(INDEX(Pedidos!$F$2:$F$1801,MATCH(B969,Pedidos!$A$2:$A$1801,0)),"")</f>
        <v/>
      </c>
      <c r="M969" s="26">
        <f>IFERROR(INDEX(Pedidos!$G$2:$G$1801,MATCH(B969,Pedidos!$A$2:$A$1801,0)),0)</f>
        <v/>
      </c>
      <c r="N969" s="25">
        <f>IFERROR(INDEX(Produtos!$B$2:$B$71,MATCH(C969,Produtos!$A$2:$A$71,0)),"")</f>
        <v/>
      </c>
      <c r="O969" s="25">
        <f>IFERROR(INDEX(Produtos!$C$2:$C$71,MATCH(C969,Produtos!$A$2:$A$71,0)),"")</f>
        <v/>
      </c>
      <c r="P969" s="25">
        <f>IFERROR(INDEX(Produtos!$D$2:$D$71,MATCH(C969,Produtos!$A$2:$A$71,0)),0)</f>
        <v/>
      </c>
      <c r="Q969" s="25">
        <f>IFERROR(INDEX(Produtos!$E$2:$E$71,MATCH(C969,Produtos!$A$2:$A$71,0)),0)</f>
        <v/>
      </c>
      <c r="R969" s="27">
        <f>D969*Q969</f>
        <v/>
      </c>
      <c r="S969" s="27">
        <f>R969*E969</f>
        <v/>
      </c>
      <c r="T969" s="27">
        <f>(R969-S969)*M969</f>
        <v/>
      </c>
      <c r="U969" s="27">
        <f>R969-S969-T969</f>
        <v/>
      </c>
      <c r="V969" s="27">
        <f>D969*P969</f>
        <v/>
      </c>
      <c r="W969" s="27">
        <f>U969-V969</f>
        <v/>
      </c>
      <c r="X969" s="28">
        <f>IFERROR(W969/U969,0)</f>
        <v/>
      </c>
    </row>
    <row r="970">
      <c r="A970" s="21">
        <f>ItensPedido!A970</f>
        <v/>
      </c>
      <c r="B970" s="21">
        <f>ItensPedido!B970</f>
        <v/>
      </c>
      <c r="C970" s="21">
        <f>ItensPedido!C970</f>
        <v/>
      </c>
      <c r="D970" s="21">
        <f>ItensPedido!D970</f>
        <v/>
      </c>
      <c r="E970" s="22">
        <f>ItensPedido!E970</f>
        <v/>
      </c>
      <c r="F970" s="21">
        <f>IFERROR(INDEX(Pedidos!$B$2:$B$1801,MATCH(B970,Pedidos!$A$2:$A$1801,0)),0)</f>
        <v/>
      </c>
      <c r="G970" s="21">
        <f>IF(F970=0,"",YEAR(F970))</f>
        <v/>
      </c>
      <c r="H970" s="21">
        <f>IF(F970=0,"",MONTH(F970))</f>
        <v/>
      </c>
      <c r="I970" s="21">
        <f>IFERROR(INDEX(Pedidos!$E$2:$E$1801,MATCH(B970,Pedidos!$A$2:$A$1801,0)),"")</f>
        <v/>
      </c>
      <c r="J970" s="21">
        <f>IFERROR(INDEX(Pedidos!$C$2:$C$1801,MATCH(B970,Pedidos!$A$2:$A$1801,0)),"")</f>
        <v/>
      </c>
      <c r="K970" s="21">
        <f>IFERROR(INDEX(Pedidos!$D$2:$D$1801,MATCH(B970,Pedidos!$A$2:$A$1801,0)),"")</f>
        <v/>
      </c>
      <c r="L970" s="21">
        <f>IFERROR(INDEX(Pedidos!$F$2:$F$1801,MATCH(B970,Pedidos!$A$2:$A$1801,0)),"")</f>
        <v/>
      </c>
      <c r="M970" s="22">
        <f>IFERROR(INDEX(Pedidos!$G$2:$G$1801,MATCH(B970,Pedidos!$A$2:$A$1801,0)),0)</f>
        <v/>
      </c>
      <c r="N970" s="21">
        <f>IFERROR(INDEX(Produtos!$B$2:$B$71,MATCH(C970,Produtos!$A$2:$A$71,0)),"")</f>
        <v/>
      </c>
      <c r="O970" s="21">
        <f>IFERROR(INDEX(Produtos!$C$2:$C$71,MATCH(C970,Produtos!$A$2:$A$71,0)),"")</f>
        <v/>
      </c>
      <c r="P970" s="21">
        <f>IFERROR(INDEX(Produtos!$D$2:$D$71,MATCH(C970,Produtos!$A$2:$A$71,0)),0)</f>
        <v/>
      </c>
      <c r="Q970" s="21">
        <f>IFERROR(INDEX(Produtos!$E$2:$E$71,MATCH(C970,Produtos!$A$2:$A$71,0)),0)</f>
        <v/>
      </c>
      <c r="R970" s="23">
        <f>D970*Q970</f>
        <v/>
      </c>
      <c r="S970" s="23">
        <f>R970*E970</f>
        <v/>
      </c>
      <c r="T970" s="23">
        <f>(R970-S970)*M970</f>
        <v/>
      </c>
      <c r="U970" s="23">
        <f>R970-S970-T970</f>
        <v/>
      </c>
      <c r="V970" s="23">
        <f>D970*P970</f>
        <v/>
      </c>
      <c r="W970" s="23">
        <f>U970-V970</f>
        <v/>
      </c>
      <c r="X970" s="24">
        <f>IFERROR(W970/U970,0)</f>
        <v/>
      </c>
    </row>
    <row r="971">
      <c r="A971" s="25">
        <f>ItensPedido!A971</f>
        <v/>
      </c>
      <c r="B971" s="25">
        <f>ItensPedido!B971</f>
        <v/>
      </c>
      <c r="C971" s="25">
        <f>ItensPedido!C971</f>
        <v/>
      </c>
      <c r="D971" s="25">
        <f>ItensPedido!D971</f>
        <v/>
      </c>
      <c r="E971" s="26">
        <f>ItensPedido!E971</f>
        <v/>
      </c>
      <c r="F971" s="25">
        <f>IFERROR(INDEX(Pedidos!$B$2:$B$1801,MATCH(B971,Pedidos!$A$2:$A$1801,0)),0)</f>
        <v/>
      </c>
      <c r="G971" s="25">
        <f>IF(F971=0,"",YEAR(F971))</f>
        <v/>
      </c>
      <c r="H971" s="25">
        <f>IF(F971=0,"",MONTH(F971))</f>
        <v/>
      </c>
      <c r="I971" s="25">
        <f>IFERROR(INDEX(Pedidos!$E$2:$E$1801,MATCH(B971,Pedidos!$A$2:$A$1801,0)),"")</f>
        <v/>
      </c>
      <c r="J971" s="25">
        <f>IFERROR(INDEX(Pedidos!$C$2:$C$1801,MATCH(B971,Pedidos!$A$2:$A$1801,0)),"")</f>
        <v/>
      </c>
      <c r="K971" s="25">
        <f>IFERROR(INDEX(Pedidos!$D$2:$D$1801,MATCH(B971,Pedidos!$A$2:$A$1801,0)),"")</f>
        <v/>
      </c>
      <c r="L971" s="25">
        <f>IFERROR(INDEX(Pedidos!$F$2:$F$1801,MATCH(B971,Pedidos!$A$2:$A$1801,0)),"")</f>
        <v/>
      </c>
      <c r="M971" s="26">
        <f>IFERROR(INDEX(Pedidos!$G$2:$G$1801,MATCH(B971,Pedidos!$A$2:$A$1801,0)),0)</f>
        <v/>
      </c>
      <c r="N971" s="25">
        <f>IFERROR(INDEX(Produtos!$B$2:$B$71,MATCH(C971,Produtos!$A$2:$A$71,0)),"")</f>
        <v/>
      </c>
      <c r="O971" s="25">
        <f>IFERROR(INDEX(Produtos!$C$2:$C$71,MATCH(C971,Produtos!$A$2:$A$71,0)),"")</f>
        <v/>
      </c>
      <c r="P971" s="25">
        <f>IFERROR(INDEX(Produtos!$D$2:$D$71,MATCH(C971,Produtos!$A$2:$A$71,0)),0)</f>
        <v/>
      </c>
      <c r="Q971" s="25">
        <f>IFERROR(INDEX(Produtos!$E$2:$E$71,MATCH(C971,Produtos!$A$2:$A$71,0)),0)</f>
        <v/>
      </c>
      <c r="R971" s="27">
        <f>D971*Q971</f>
        <v/>
      </c>
      <c r="S971" s="27">
        <f>R971*E971</f>
        <v/>
      </c>
      <c r="T971" s="27">
        <f>(R971-S971)*M971</f>
        <v/>
      </c>
      <c r="U971" s="27">
        <f>R971-S971-T971</f>
        <v/>
      </c>
      <c r="V971" s="27">
        <f>D971*P971</f>
        <v/>
      </c>
      <c r="W971" s="27">
        <f>U971-V971</f>
        <v/>
      </c>
      <c r="X971" s="28">
        <f>IFERROR(W971/U971,0)</f>
        <v/>
      </c>
    </row>
    <row r="972">
      <c r="A972" s="21">
        <f>ItensPedido!A972</f>
        <v/>
      </c>
      <c r="B972" s="21">
        <f>ItensPedido!B972</f>
        <v/>
      </c>
      <c r="C972" s="21">
        <f>ItensPedido!C972</f>
        <v/>
      </c>
      <c r="D972" s="21">
        <f>ItensPedido!D972</f>
        <v/>
      </c>
      <c r="E972" s="22">
        <f>ItensPedido!E972</f>
        <v/>
      </c>
      <c r="F972" s="21">
        <f>IFERROR(INDEX(Pedidos!$B$2:$B$1801,MATCH(B972,Pedidos!$A$2:$A$1801,0)),0)</f>
        <v/>
      </c>
      <c r="G972" s="21">
        <f>IF(F972=0,"",YEAR(F972))</f>
        <v/>
      </c>
      <c r="H972" s="21">
        <f>IF(F972=0,"",MONTH(F972))</f>
        <v/>
      </c>
      <c r="I972" s="21">
        <f>IFERROR(INDEX(Pedidos!$E$2:$E$1801,MATCH(B972,Pedidos!$A$2:$A$1801,0)),"")</f>
        <v/>
      </c>
      <c r="J972" s="21">
        <f>IFERROR(INDEX(Pedidos!$C$2:$C$1801,MATCH(B972,Pedidos!$A$2:$A$1801,0)),"")</f>
        <v/>
      </c>
      <c r="K972" s="21">
        <f>IFERROR(INDEX(Pedidos!$D$2:$D$1801,MATCH(B972,Pedidos!$A$2:$A$1801,0)),"")</f>
        <v/>
      </c>
      <c r="L972" s="21">
        <f>IFERROR(INDEX(Pedidos!$F$2:$F$1801,MATCH(B972,Pedidos!$A$2:$A$1801,0)),"")</f>
        <v/>
      </c>
      <c r="M972" s="22">
        <f>IFERROR(INDEX(Pedidos!$G$2:$G$1801,MATCH(B972,Pedidos!$A$2:$A$1801,0)),0)</f>
        <v/>
      </c>
      <c r="N972" s="21">
        <f>IFERROR(INDEX(Produtos!$B$2:$B$71,MATCH(C972,Produtos!$A$2:$A$71,0)),"")</f>
        <v/>
      </c>
      <c r="O972" s="21">
        <f>IFERROR(INDEX(Produtos!$C$2:$C$71,MATCH(C972,Produtos!$A$2:$A$71,0)),"")</f>
        <v/>
      </c>
      <c r="P972" s="21">
        <f>IFERROR(INDEX(Produtos!$D$2:$D$71,MATCH(C972,Produtos!$A$2:$A$71,0)),0)</f>
        <v/>
      </c>
      <c r="Q972" s="21">
        <f>IFERROR(INDEX(Produtos!$E$2:$E$71,MATCH(C972,Produtos!$A$2:$A$71,0)),0)</f>
        <v/>
      </c>
      <c r="R972" s="23">
        <f>D972*Q972</f>
        <v/>
      </c>
      <c r="S972" s="23">
        <f>R972*E972</f>
        <v/>
      </c>
      <c r="T972" s="23">
        <f>(R972-S972)*M972</f>
        <v/>
      </c>
      <c r="U972" s="23">
        <f>R972-S972-T972</f>
        <v/>
      </c>
      <c r="V972" s="23">
        <f>D972*P972</f>
        <v/>
      </c>
      <c r="W972" s="23">
        <f>U972-V972</f>
        <v/>
      </c>
      <c r="X972" s="24">
        <f>IFERROR(W972/U972,0)</f>
        <v/>
      </c>
    </row>
    <row r="973">
      <c r="A973" s="25">
        <f>ItensPedido!A973</f>
        <v/>
      </c>
      <c r="B973" s="25">
        <f>ItensPedido!B973</f>
        <v/>
      </c>
      <c r="C973" s="25">
        <f>ItensPedido!C973</f>
        <v/>
      </c>
      <c r="D973" s="25">
        <f>ItensPedido!D973</f>
        <v/>
      </c>
      <c r="E973" s="26">
        <f>ItensPedido!E973</f>
        <v/>
      </c>
      <c r="F973" s="25">
        <f>IFERROR(INDEX(Pedidos!$B$2:$B$1801,MATCH(B973,Pedidos!$A$2:$A$1801,0)),0)</f>
        <v/>
      </c>
      <c r="G973" s="25">
        <f>IF(F973=0,"",YEAR(F973))</f>
        <v/>
      </c>
      <c r="H973" s="25">
        <f>IF(F973=0,"",MONTH(F973))</f>
        <v/>
      </c>
      <c r="I973" s="25">
        <f>IFERROR(INDEX(Pedidos!$E$2:$E$1801,MATCH(B973,Pedidos!$A$2:$A$1801,0)),"")</f>
        <v/>
      </c>
      <c r="J973" s="25">
        <f>IFERROR(INDEX(Pedidos!$C$2:$C$1801,MATCH(B973,Pedidos!$A$2:$A$1801,0)),"")</f>
        <v/>
      </c>
      <c r="K973" s="25">
        <f>IFERROR(INDEX(Pedidos!$D$2:$D$1801,MATCH(B973,Pedidos!$A$2:$A$1801,0)),"")</f>
        <v/>
      </c>
      <c r="L973" s="25">
        <f>IFERROR(INDEX(Pedidos!$F$2:$F$1801,MATCH(B973,Pedidos!$A$2:$A$1801,0)),"")</f>
        <v/>
      </c>
      <c r="M973" s="26">
        <f>IFERROR(INDEX(Pedidos!$G$2:$G$1801,MATCH(B973,Pedidos!$A$2:$A$1801,0)),0)</f>
        <v/>
      </c>
      <c r="N973" s="25">
        <f>IFERROR(INDEX(Produtos!$B$2:$B$71,MATCH(C973,Produtos!$A$2:$A$71,0)),"")</f>
        <v/>
      </c>
      <c r="O973" s="25">
        <f>IFERROR(INDEX(Produtos!$C$2:$C$71,MATCH(C973,Produtos!$A$2:$A$71,0)),"")</f>
        <v/>
      </c>
      <c r="P973" s="25">
        <f>IFERROR(INDEX(Produtos!$D$2:$D$71,MATCH(C973,Produtos!$A$2:$A$71,0)),0)</f>
        <v/>
      </c>
      <c r="Q973" s="25">
        <f>IFERROR(INDEX(Produtos!$E$2:$E$71,MATCH(C973,Produtos!$A$2:$A$71,0)),0)</f>
        <v/>
      </c>
      <c r="R973" s="27">
        <f>D973*Q973</f>
        <v/>
      </c>
      <c r="S973" s="27">
        <f>R973*E973</f>
        <v/>
      </c>
      <c r="T973" s="27">
        <f>(R973-S973)*M973</f>
        <v/>
      </c>
      <c r="U973" s="27">
        <f>R973-S973-T973</f>
        <v/>
      </c>
      <c r="V973" s="27">
        <f>D973*P973</f>
        <v/>
      </c>
      <c r="W973" s="27">
        <f>U973-V973</f>
        <v/>
      </c>
      <c r="X973" s="28">
        <f>IFERROR(W973/U973,0)</f>
        <v/>
      </c>
    </row>
    <row r="974">
      <c r="A974" s="21">
        <f>ItensPedido!A974</f>
        <v/>
      </c>
      <c r="B974" s="21">
        <f>ItensPedido!B974</f>
        <v/>
      </c>
      <c r="C974" s="21">
        <f>ItensPedido!C974</f>
        <v/>
      </c>
      <c r="D974" s="21">
        <f>ItensPedido!D974</f>
        <v/>
      </c>
      <c r="E974" s="22">
        <f>ItensPedido!E974</f>
        <v/>
      </c>
      <c r="F974" s="21">
        <f>IFERROR(INDEX(Pedidos!$B$2:$B$1801,MATCH(B974,Pedidos!$A$2:$A$1801,0)),0)</f>
        <v/>
      </c>
      <c r="G974" s="21">
        <f>IF(F974=0,"",YEAR(F974))</f>
        <v/>
      </c>
      <c r="H974" s="21">
        <f>IF(F974=0,"",MONTH(F974))</f>
        <v/>
      </c>
      <c r="I974" s="21">
        <f>IFERROR(INDEX(Pedidos!$E$2:$E$1801,MATCH(B974,Pedidos!$A$2:$A$1801,0)),"")</f>
        <v/>
      </c>
      <c r="J974" s="21">
        <f>IFERROR(INDEX(Pedidos!$C$2:$C$1801,MATCH(B974,Pedidos!$A$2:$A$1801,0)),"")</f>
        <v/>
      </c>
      <c r="K974" s="21">
        <f>IFERROR(INDEX(Pedidos!$D$2:$D$1801,MATCH(B974,Pedidos!$A$2:$A$1801,0)),"")</f>
        <v/>
      </c>
      <c r="L974" s="21">
        <f>IFERROR(INDEX(Pedidos!$F$2:$F$1801,MATCH(B974,Pedidos!$A$2:$A$1801,0)),"")</f>
        <v/>
      </c>
      <c r="M974" s="22">
        <f>IFERROR(INDEX(Pedidos!$G$2:$G$1801,MATCH(B974,Pedidos!$A$2:$A$1801,0)),0)</f>
        <v/>
      </c>
      <c r="N974" s="21">
        <f>IFERROR(INDEX(Produtos!$B$2:$B$71,MATCH(C974,Produtos!$A$2:$A$71,0)),"")</f>
        <v/>
      </c>
      <c r="O974" s="21">
        <f>IFERROR(INDEX(Produtos!$C$2:$C$71,MATCH(C974,Produtos!$A$2:$A$71,0)),"")</f>
        <v/>
      </c>
      <c r="P974" s="21">
        <f>IFERROR(INDEX(Produtos!$D$2:$D$71,MATCH(C974,Produtos!$A$2:$A$71,0)),0)</f>
        <v/>
      </c>
      <c r="Q974" s="21">
        <f>IFERROR(INDEX(Produtos!$E$2:$E$71,MATCH(C974,Produtos!$A$2:$A$71,0)),0)</f>
        <v/>
      </c>
      <c r="R974" s="23">
        <f>D974*Q974</f>
        <v/>
      </c>
      <c r="S974" s="23">
        <f>R974*E974</f>
        <v/>
      </c>
      <c r="T974" s="23">
        <f>(R974-S974)*M974</f>
        <v/>
      </c>
      <c r="U974" s="23">
        <f>R974-S974-T974</f>
        <v/>
      </c>
      <c r="V974" s="23">
        <f>D974*P974</f>
        <v/>
      </c>
      <c r="W974" s="23">
        <f>U974-V974</f>
        <v/>
      </c>
      <c r="X974" s="24">
        <f>IFERROR(W974/U974,0)</f>
        <v/>
      </c>
    </row>
    <row r="975">
      <c r="A975" s="25">
        <f>ItensPedido!A975</f>
        <v/>
      </c>
      <c r="B975" s="25">
        <f>ItensPedido!B975</f>
        <v/>
      </c>
      <c r="C975" s="25">
        <f>ItensPedido!C975</f>
        <v/>
      </c>
      <c r="D975" s="25">
        <f>ItensPedido!D975</f>
        <v/>
      </c>
      <c r="E975" s="26">
        <f>ItensPedido!E975</f>
        <v/>
      </c>
      <c r="F975" s="25">
        <f>IFERROR(INDEX(Pedidos!$B$2:$B$1801,MATCH(B975,Pedidos!$A$2:$A$1801,0)),0)</f>
        <v/>
      </c>
      <c r="G975" s="25">
        <f>IF(F975=0,"",YEAR(F975))</f>
        <v/>
      </c>
      <c r="H975" s="25">
        <f>IF(F975=0,"",MONTH(F975))</f>
        <v/>
      </c>
      <c r="I975" s="25">
        <f>IFERROR(INDEX(Pedidos!$E$2:$E$1801,MATCH(B975,Pedidos!$A$2:$A$1801,0)),"")</f>
        <v/>
      </c>
      <c r="J975" s="25">
        <f>IFERROR(INDEX(Pedidos!$C$2:$C$1801,MATCH(B975,Pedidos!$A$2:$A$1801,0)),"")</f>
        <v/>
      </c>
      <c r="K975" s="25">
        <f>IFERROR(INDEX(Pedidos!$D$2:$D$1801,MATCH(B975,Pedidos!$A$2:$A$1801,0)),"")</f>
        <v/>
      </c>
      <c r="L975" s="25">
        <f>IFERROR(INDEX(Pedidos!$F$2:$F$1801,MATCH(B975,Pedidos!$A$2:$A$1801,0)),"")</f>
        <v/>
      </c>
      <c r="M975" s="26">
        <f>IFERROR(INDEX(Pedidos!$G$2:$G$1801,MATCH(B975,Pedidos!$A$2:$A$1801,0)),0)</f>
        <v/>
      </c>
      <c r="N975" s="25">
        <f>IFERROR(INDEX(Produtos!$B$2:$B$71,MATCH(C975,Produtos!$A$2:$A$71,0)),"")</f>
        <v/>
      </c>
      <c r="O975" s="25">
        <f>IFERROR(INDEX(Produtos!$C$2:$C$71,MATCH(C975,Produtos!$A$2:$A$71,0)),"")</f>
        <v/>
      </c>
      <c r="P975" s="25">
        <f>IFERROR(INDEX(Produtos!$D$2:$D$71,MATCH(C975,Produtos!$A$2:$A$71,0)),0)</f>
        <v/>
      </c>
      <c r="Q975" s="25">
        <f>IFERROR(INDEX(Produtos!$E$2:$E$71,MATCH(C975,Produtos!$A$2:$A$71,0)),0)</f>
        <v/>
      </c>
      <c r="R975" s="27">
        <f>D975*Q975</f>
        <v/>
      </c>
      <c r="S975" s="27">
        <f>R975*E975</f>
        <v/>
      </c>
      <c r="T975" s="27">
        <f>(R975-S975)*M975</f>
        <v/>
      </c>
      <c r="U975" s="27">
        <f>R975-S975-T975</f>
        <v/>
      </c>
      <c r="V975" s="27">
        <f>D975*P975</f>
        <v/>
      </c>
      <c r="W975" s="27">
        <f>U975-V975</f>
        <v/>
      </c>
      <c r="X975" s="28">
        <f>IFERROR(W975/U975,0)</f>
        <v/>
      </c>
    </row>
    <row r="976">
      <c r="A976" s="21">
        <f>ItensPedido!A976</f>
        <v/>
      </c>
      <c r="B976" s="21">
        <f>ItensPedido!B976</f>
        <v/>
      </c>
      <c r="C976" s="21">
        <f>ItensPedido!C976</f>
        <v/>
      </c>
      <c r="D976" s="21">
        <f>ItensPedido!D976</f>
        <v/>
      </c>
      <c r="E976" s="22">
        <f>ItensPedido!E976</f>
        <v/>
      </c>
      <c r="F976" s="21">
        <f>IFERROR(INDEX(Pedidos!$B$2:$B$1801,MATCH(B976,Pedidos!$A$2:$A$1801,0)),0)</f>
        <v/>
      </c>
      <c r="G976" s="21">
        <f>IF(F976=0,"",YEAR(F976))</f>
        <v/>
      </c>
      <c r="H976" s="21">
        <f>IF(F976=0,"",MONTH(F976))</f>
        <v/>
      </c>
      <c r="I976" s="21">
        <f>IFERROR(INDEX(Pedidos!$E$2:$E$1801,MATCH(B976,Pedidos!$A$2:$A$1801,0)),"")</f>
        <v/>
      </c>
      <c r="J976" s="21">
        <f>IFERROR(INDEX(Pedidos!$C$2:$C$1801,MATCH(B976,Pedidos!$A$2:$A$1801,0)),"")</f>
        <v/>
      </c>
      <c r="K976" s="21">
        <f>IFERROR(INDEX(Pedidos!$D$2:$D$1801,MATCH(B976,Pedidos!$A$2:$A$1801,0)),"")</f>
        <v/>
      </c>
      <c r="L976" s="21">
        <f>IFERROR(INDEX(Pedidos!$F$2:$F$1801,MATCH(B976,Pedidos!$A$2:$A$1801,0)),"")</f>
        <v/>
      </c>
      <c r="M976" s="22">
        <f>IFERROR(INDEX(Pedidos!$G$2:$G$1801,MATCH(B976,Pedidos!$A$2:$A$1801,0)),0)</f>
        <v/>
      </c>
      <c r="N976" s="21">
        <f>IFERROR(INDEX(Produtos!$B$2:$B$71,MATCH(C976,Produtos!$A$2:$A$71,0)),"")</f>
        <v/>
      </c>
      <c r="O976" s="21">
        <f>IFERROR(INDEX(Produtos!$C$2:$C$71,MATCH(C976,Produtos!$A$2:$A$71,0)),"")</f>
        <v/>
      </c>
      <c r="P976" s="21">
        <f>IFERROR(INDEX(Produtos!$D$2:$D$71,MATCH(C976,Produtos!$A$2:$A$71,0)),0)</f>
        <v/>
      </c>
      <c r="Q976" s="21">
        <f>IFERROR(INDEX(Produtos!$E$2:$E$71,MATCH(C976,Produtos!$A$2:$A$71,0)),0)</f>
        <v/>
      </c>
      <c r="R976" s="23">
        <f>D976*Q976</f>
        <v/>
      </c>
      <c r="S976" s="23">
        <f>R976*E976</f>
        <v/>
      </c>
      <c r="T976" s="23">
        <f>(R976-S976)*M976</f>
        <v/>
      </c>
      <c r="U976" s="23">
        <f>R976-S976-T976</f>
        <v/>
      </c>
      <c r="V976" s="23">
        <f>D976*P976</f>
        <v/>
      </c>
      <c r="W976" s="23">
        <f>U976-V976</f>
        <v/>
      </c>
      <c r="X976" s="24">
        <f>IFERROR(W976/U976,0)</f>
        <v/>
      </c>
    </row>
    <row r="977">
      <c r="A977" s="25">
        <f>ItensPedido!A977</f>
        <v/>
      </c>
      <c r="B977" s="25">
        <f>ItensPedido!B977</f>
        <v/>
      </c>
      <c r="C977" s="25">
        <f>ItensPedido!C977</f>
        <v/>
      </c>
      <c r="D977" s="25">
        <f>ItensPedido!D977</f>
        <v/>
      </c>
      <c r="E977" s="26">
        <f>ItensPedido!E977</f>
        <v/>
      </c>
      <c r="F977" s="25">
        <f>IFERROR(INDEX(Pedidos!$B$2:$B$1801,MATCH(B977,Pedidos!$A$2:$A$1801,0)),0)</f>
        <v/>
      </c>
      <c r="G977" s="25">
        <f>IF(F977=0,"",YEAR(F977))</f>
        <v/>
      </c>
      <c r="H977" s="25">
        <f>IF(F977=0,"",MONTH(F977))</f>
        <v/>
      </c>
      <c r="I977" s="25">
        <f>IFERROR(INDEX(Pedidos!$E$2:$E$1801,MATCH(B977,Pedidos!$A$2:$A$1801,0)),"")</f>
        <v/>
      </c>
      <c r="J977" s="25">
        <f>IFERROR(INDEX(Pedidos!$C$2:$C$1801,MATCH(B977,Pedidos!$A$2:$A$1801,0)),"")</f>
        <v/>
      </c>
      <c r="K977" s="25">
        <f>IFERROR(INDEX(Pedidos!$D$2:$D$1801,MATCH(B977,Pedidos!$A$2:$A$1801,0)),"")</f>
        <v/>
      </c>
      <c r="L977" s="25">
        <f>IFERROR(INDEX(Pedidos!$F$2:$F$1801,MATCH(B977,Pedidos!$A$2:$A$1801,0)),"")</f>
        <v/>
      </c>
      <c r="M977" s="26">
        <f>IFERROR(INDEX(Pedidos!$G$2:$G$1801,MATCH(B977,Pedidos!$A$2:$A$1801,0)),0)</f>
        <v/>
      </c>
      <c r="N977" s="25">
        <f>IFERROR(INDEX(Produtos!$B$2:$B$71,MATCH(C977,Produtos!$A$2:$A$71,0)),"")</f>
        <v/>
      </c>
      <c r="O977" s="25">
        <f>IFERROR(INDEX(Produtos!$C$2:$C$71,MATCH(C977,Produtos!$A$2:$A$71,0)),"")</f>
        <v/>
      </c>
      <c r="P977" s="25">
        <f>IFERROR(INDEX(Produtos!$D$2:$D$71,MATCH(C977,Produtos!$A$2:$A$71,0)),0)</f>
        <v/>
      </c>
      <c r="Q977" s="25">
        <f>IFERROR(INDEX(Produtos!$E$2:$E$71,MATCH(C977,Produtos!$A$2:$A$71,0)),0)</f>
        <v/>
      </c>
      <c r="R977" s="27">
        <f>D977*Q977</f>
        <v/>
      </c>
      <c r="S977" s="27">
        <f>R977*E977</f>
        <v/>
      </c>
      <c r="T977" s="27">
        <f>(R977-S977)*M977</f>
        <v/>
      </c>
      <c r="U977" s="27">
        <f>R977-S977-T977</f>
        <v/>
      </c>
      <c r="V977" s="27">
        <f>D977*P977</f>
        <v/>
      </c>
      <c r="W977" s="27">
        <f>U977-V977</f>
        <v/>
      </c>
      <c r="X977" s="28">
        <f>IFERROR(W977/U977,0)</f>
        <v/>
      </c>
    </row>
    <row r="978">
      <c r="A978" s="21">
        <f>ItensPedido!A978</f>
        <v/>
      </c>
      <c r="B978" s="21">
        <f>ItensPedido!B978</f>
        <v/>
      </c>
      <c r="C978" s="21">
        <f>ItensPedido!C978</f>
        <v/>
      </c>
      <c r="D978" s="21">
        <f>ItensPedido!D978</f>
        <v/>
      </c>
      <c r="E978" s="22">
        <f>ItensPedido!E978</f>
        <v/>
      </c>
      <c r="F978" s="21">
        <f>IFERROR(INDEX(Pedidos!$B$2:$B$1801,MATCH(B978,Pedidos!$A$2:$A$1801,0)),0)</f>
        <v/>
      </c>
      <c r="G978" s="21">
        <f>IF(F978=0,"",YEAR(F978))</f>
        <v/>
      </c>
      <c r="H978" s="21">
        <f>IF(F978=0,"",MONTH(F978))</f>
        <v/>
      </c>
      <c r="I978" s="21">
        <f>IFERROR(INDEX(Pedidos!$E$2:$E$1801,MATCH(B978,Pedidos!$A$2:$A$1801,0)),"")</f>
        <v/>
      </c>
      <c r="J978" s="21">
        <f>IFERROR(INDEX(Pedidos!$C$2:$C$1801,MATCH(B978,Pedidos!$A$2:$A$1801,0)),"")</f>
        <v/>
      </c>
      <c r="K978" s="21">
        <f>IFERROR(INDEX(Pedidos!$D$2:$D$1801,MATCH(B978,Pedidos!$A$2:$A$1801,0)),"")</f>
        <v/>
      </c>
      <c r="L978" s="21">
        <f>IFERROR(INDEX(Pedidos!$F$2:$F$1801,MATCH(B978,Pedidos!$A$2:$A$1801,0)),"")</f>
        <v/>
      </c>
      <c r="M978" s="22">
        <f>IFERROR(INDEX(Pedidos!$G$2:$G$1801,MATCH(B978,Pedidos!$A$2:$A$1801,0)),0)</f>
        <v/>
      </c>
      <c r="N978" s="21">
        <f>IFERROR(INDEX(Produtos!$B$2:$B$71,MATCH(C978,Produtos!$A$2:$A$71,0)),"")</f>
        <v/>
      </c>
      <c r="O978" s="21">
        <f>IFERROR(INDEX(Produtos!$C$2:$C$71,MATCH(C978,Produtos!$A$2:$A$71,0)),"")</f>
        <v/>
      </c>
      <c r="P978" s="21">
        <f>IFERROR(INDEX(Produtos!$D$2:$D$71,MATCH(C978,Produtos!$A$2:$A$71,0)),0)</f>
        <v/>
      </c>
      <c r="Q978" s="21">
        <f>IFERROR(INDEX(Produtos!$E$2:$E$71,MATCH(C978,Produtos!$A$2:$A$71,0)),0)</f>
        <v/>
      </c>
      <c r="R978" s="23">
        <f>D978*Q978</f>
        <v/>
      </c>
      <c r="S978" s="23">
        <f>R978*E978</f>
        <v/>
      </c>
      <c r="T978" s="23">
        <f>(R978-S978)*M978</f>
        <v/>
      </c>
      <c r="U978" s="23">
        <f>R978-S978-T978</f>
        <v/>
      </c>
      <c r="V978" s="23">
        <f>D978*P978</f>
        <v/>
      </c>
      <c r="W978" s="23">
        <f>U978-V978</f>
        <v/>
      </c>
      <c r="X978" s="24">
        <f>IFERROR(W978/U978,0)</f>
        <v/>
      </c>
    </row>
    <row r="979">
      <c r="A979" s="25">
        <f>ItensPedido!A979</f>
        <v/>
      </c>
      <c r="B979" s="25">
        <f>ItensPedido!B979</f>
        <v/>
      </c>
      <c r="C979" s="25">
        <f>ItensPedido!C979</f>
        <v/>
      </c>
      <c r="D979" s="25">
        <f>ItensPedido!D979</f>
        <v/>
      </c>
      <c r="E979" s="26">
        <f>ItensPedido!E979</f>
        <v/>
      </c>
      <c r="F979" s="25">
        <f>IFERROR(INDEX(Pedidos!$B$2:$B$1801,MATCH(B979,Pedidos!$A$2:$A$1801,0)),0)</f>
        <v/>
      </c>
      <c r="G979" s="25">
        <f>IF(F979=0,"",YEAR(F979))</f>
        <v/>
      </c>
      <c r="H979" s="25">
        <f>IF(F979=0,"",MONTH(F979))</f>
        <v/>
      </c>
      <c r="I979" s="25">
        <f>IFERROR(INDEX(Pedidos!$E$2:$E$1801,MATCH(B979,Pedidos!$A$2:$A$1801,0)),"")</f>
        <v/>
      </c>
      <c r="J979" s="25">
        <f>IFERROR(INDEX(Pedidos!$C$2:$C$1801,MATCH(B979,Pedidos!$A$2:$A$1801,0)),"")</f>
        <v/>
      </c>
      <c r="K979" s="25">
        <f>IFERROR(INDEX(Pedidos!$D$2:$D$1801,MATCH(B979,Pedidos!$A$2:$A$1801,0)),"")</f>
        <v/>
      </c>
      <c r="L979" s="25">
        <f>IFERROR(INDEX(Pedidos!$F$2:$F$1801,MATCH(B979,Pedidos!$A$2:$A$1801,0)),"")</f>
        <v/>
      </c>
      <c r="M979" s="26">
        <f>IFERROR(INDEX(Pedidos!$G$2:$G$1801,MATCH(B979,Pedidos!$A$2:$A$1801,0)),0)</f>
        <v/>
      </c>
      <c r="N979" s="25">
        <f>IFERROR(INDEX(Produtos!$B$2:$B$71,MATCH(C979,Produtos!$A$2:$A$71,0)),"")</f>
        <v/>
      </c>
      <c r="O979" s="25">
        <f>IFERROR(INDEX(Produtos!$C$2:$C$71,MATCH(C979,Produtos!$A$2:$A$71,0)),"")</f>
        <v/>
      </c>
      <c r="P979" s="25">
        <f>IFERROR(INDEX(Produtos!$D$2:$D$71,MATCH(C979,Produtos!$A$2:$A$71,0)),0)</f>
        <v/>
      </c>
      <c r="Q979" s="25">
        <f>IFERROR(INDEX(Produtos!$E$2:$E$71,MATCH(C979,Produtos!$A$2:$A$71,0)),0)</f>
        <v/>
      </c>
      <c r="R979" s="27">
        <f>D979*Q979</f>
        <v/>
      </c>
      <c r="S979" s="27">
        <f>R979*E979</f>
        <v/>
      </c>
      <c r="T979" s="27">
        <f>(R979-S979)*M979</f>
        <v/>
      </c>
      <c r="U979" s="27">
        <f>R979-S979-T979</f>
        <v/>
      </c>
      <c r="V979" s="27">
        <f>D979*P979</f>
        <v/>
      </c>
      <c r="W979" s="27">
        <f>U979-V979</f>
        <v/>
      </c>
      <c r="X979" s="28">
        <f>IFERROR(W979/U979,0)</f>
        <v/>
      </c>
    </row>
    <row r="980">
      <c r="A980" s="21">
        <f>ItensPedido!A980</f>
        <v/>
      </c>
      <c r="B980" s="21">
        <f>ItensPedido!B980</f>
        <v/>
      </c>
      <c r="C980" s="21">
        <f>ItensPedido!C980</f>
        <v/>
      </c>
      <c r="D980" s="21">
        <f>ItensPedido!D980</f>
        <v/>
      </c>
      <c r="E980" s="22">
        <f>ItensPedido!E980</f>
        <v/>
      </c>
      <c r="F980" s="21">
        <f>IFERROR(INDEX(Pedidos!$B$2:$B$1801,MATCH(B980,Pedidos!$A$2:$A$1801,0)),0)</f>
        <v/>
      </c>
      <c r="G980" s="21">
        <f>IF(F980=0,"",YEAR(F980))</f>
        <v/>
      </c>
      <c r="H980" s="21">
        <f>IF(F980=0,"",MONTH(F980))</f>
        <v/>
      </c>
      <c r="I980" s="21">
        <f>IFERROR(INDEX(Pedidos!$E$2:$E$1801,MATCH(B980,Pedidos!$A$2:$A$1801,0)),"")</f>
        <v/>
      </c>
      <c r="J980" s="21">
        <f>IFERROR(INDEX(Pedidos!$C$2:$C$1801,MATCH(B980,Pedidos!$A$2:$A$1801,0)),"")</f>
        <v/>
      </c>
      <c r="K980" s="21">
        <f>IFERROR(INDEX(Pedidos!$D$2:$D$1801,MATCH(B980,Pedidos!$A$2:$A$1801,0)),"")</f>
        <v/>
      </c>
      <c r="L980" s="21">
        <f>IFERROR(INDEX(Pedidos!$F$2:$F$1801,MATCH(B980,Pedidos!$A$2:$A$1801,0)),"")</f>
        <v/>
      </c>
      <c r="M980" s="22">
        <f>IFERROR(INDEX(Pedidos!$G$2:$G$1801,MATCH(B980,Pedidos!$A$2:$A$1801,0)),0)</f>
        <v/>
      </c>
      <c r="N980" s="21">
        <f>IFERROR(INDEX(Produtos!$B$2:$B$71,MATCH(C980,Produtos!$A$2:$A$71,0)),"")</f>
        <v/>
      </c>
      <c r="O980" s="21">
        <f>IFERROR(INDEX(Produtos!$C$2:$C$71,MATCH(C980,Produtos!$A$2:$A$71,0)),"")</f>
        <v/>
      </c>
      <c r="P980" s="21">
        <f>IFERROR(INDEX(Produtos!$D$2:$D$71,MATCH(C980,Produtos!$A$2:$A$71,0)),0)</f>
        <v/>
      </c>
      <c r="Q980" s="21">
        <f>IFERROR(INDEX(Produtos!$E$2:$E$71,MATCH(C980,Produtos!$A$2:$A$71,0)),0)</f>
        <v/>
      </c>
      <c r="R980" s="23">
        <f>D980*Q980</f>
        <v/>
      </c>
      <c r="S980" s="23">
        <f>R980*E980</f>
        <v/>
      </c>
      <c r="T980" s="23">
        <f>(R980-S980)*M980</f>
        <v/>
      </c>
      <c r="U980" s="23">
        <f>R980-S980-T980</f>
        <v/>
      </c>
      <c r="V980" s="23">
        <f>D980*P980</f>
        <v/>
      </c>
      <c r="W980" s="23">
        <f>U980-V980</f>
        <v/>
      </c>
      <c r="X980" s="24">
        <f>IFERROR(W980/U980,0)</f>
        <v/>
      </c>
    </row>
    <row r="981">
      <c r="A981" s="25">
        <f>ItensPedido!A981</f>
        <v/>
      </c>
      <c r="B981" s="25">
        <f>ItensPedido!B981</f>
        <v/>
      </c>
      <c r="C981" s="25">
        <f>ItensPedido!C981</f>
        <v/>
      </c>
      <c r="D981" s="25">
        <f>ItensPedido!D981</f>
        <v/>
      </c>
      <c r="E981" s="26">
        <f>ItensPedido!E981</f>
        <v/>
      </c>
      <c r="F981" s="25">
        <f>IFERROR(INDEX(Pedidos!$B$2:$B$1801,MATCH(B981,Pedidos!$A$2:$A$1801,0)),0)</f>
        <v/>
      </c>
      <c r="G981" s="25">
        <f>IF(F981=0,"",YEAR(F981))</f>
        <v/>
      </c>
      <c r="H981" s="25">
        <f>IF(F981=0,"",MONTH(F981))</f>
        <v/>
      </c>
      <c r="I981" s="25">
        <f>IFERROR(INDEX(Pedidos!$E$2:$E$1801,MATCH(B981,Pedidos!$A$2:$A$1801,0)),"")</f>
        <v/>
      </c>
      <c r="J981" s="25">
        <f>IFERROR(INDEX(Pedidos!$C$2:$C$1801,MATCH(B981,Pedidos!$A$2:$A$1801,0)),"")</f>
        <v/>
      </c>
      <c r="K981" s="25">
        <f>IFERROR(INDEX(Pedidos!$D$2:$D$1801,MATCH(B981,Pedidos!$A$2:$A$1801,0)),"")</f>
        <v/>
      </c>
      <c r="L981" s="25">
        <f>IFERROR(INDEX(Pedidos!$F$2:$F$1801,MATCH(B981,Pedidos!$A$2:$A$1801,0)),"")</f>
        <v/>
      </c>
      <c r="M981" s="26">
        <f>IFERROR(INDEX(Pedidos!$G$2:$G$1801,MATCH(B981,Pedidos!$A$2:$A$1801,0)),0)</f>
        <v/>
      </c>
      <c r="N981" s="25">
        <f>IFERROR(INDEX(Produtos!$B$2:$B$71,MATCH(C981,Produtos!$A$2:$A$71,0)),"")</f>
        <v/>
      </c>
      <c r="O981" s="25">
        <f>IFERROR(INDEX(Produtos!$C$2:$C$71,MATCH(C981,Produtos!$A$2:$A$71,0)),"")</f>
        <v/>
      </c>
      <c r="P981" s="25">
        <f>IFERROR(INDEX(Produtos!$D$2:$D$71,MATCH(C981,Produtos!$A$2:$A$71,0)),0)</f>
        <v/>
      </c>
      <c r="Q981" s="25">
        <f>IFERROR(INDEX(Produtos!$E$2:$E$71,MATCH(C981,Produtos!$A$2:$A$71,0)),0)</f>
        <v/>
      </c>
      <c r="R981" s="27">
        <f>D981*Q981</f>
        <v/>
      </c>
      <c r="S981" s="27">
        <f>R981*E981</f>
        <v/>
      </c>
      <c r="T981" s="27">
        <f>(R981-S981)*M981</f>
        <v/>
      </c>
      <c r="U981" s="27">
        <f>R981-S981-T981</f>
        <v/>
      </c>
      <c r="V981" s="27">
        <f>D981*P981</f>
        <v/>
      </c>
      <c r="W981" s="27">
        <f>U981-V981</f>
        <v/>
      </c>
      <c r="X981" s="28">
        <f>IFERROR(W981/U981,0)</f>
        <v/>
      </c>
    </row>
    <row r="982">
      <c r="A982" s="21">
        <f>ItensPedido!A982</f>
        <v/>
      </c>
      <c r="B982" s="21">
        <f>ItensPedido!B982</f>
        <v/>
      </c>
      <c r="C982" s="21">
        <f>ItensPedido!C982</f>
        <v/>
      </c>
      <c r="D982" s="21">
        <f>ItensPedido!D982</f>
        <v/>
      </c>
      <c r="E982" s="22">
        <f>ItensPedido!E982</f>
        <v/>
      </c>
      <c r="F982" s="21">
        <f>IFERROR(INDEX(Pedidos!$B$2:$B$1801,MATCH(B982,Pedidos!$A$2:$A$1801,0)),0)</f>
        <v/>
      </c>
      <c r="G982" s="21">
        <f>IF(F982=0,"",YEAR(F982))</f>
        <v/>
      </c>
      <c r="H982" s="21">
        <f>IF(F982=0,"",MONTH(F982))</f>
        <v/>
      </c>
      <c r="I982" s="21">
        <f>IFERROR(INDEX(Pedidos!$E$2:$E$1801,MATCH(B982,Pedidos!$A$2:$A$1801,0)),"")</f>
        <v/>
      </c>
      <c r="J982" s="21">
        <f>IFERROR(INDEX(Pedidos!$C$2:$C$1801,MATCH(B982,Pedidos!$A$2:$A$1801,0)),"")</f>
        <v/>
      </c>
      <c r="K982" s="21">
        <f>IFERROR(INDEX(Pedidos!$D$2:$D$1801,MATCH(B982,Pedidos!$A$2:$A$1801,0)),"")</f>
        <v/>
      </c>
      <c r="L982" s="21">
        <f>IFERROR(INDEX(Pedidos!$F$2:$F$1801,MATCH(B982,Pedidos!$A$2:$A$1801,0)),"")</f>
        <v/>
      </c>
      <c r="M982" s="22">
        <f>IFERROR(INDEX(Pedidos!$G$2:$G$1801,MATCH(B982,Pedidos!$A$2:$A$1801,0)),0)</f>
        <v/>
      </c>
      <c r="N982" s="21">
        <f>IFERROR(INDEX(Produtos!$B$2:$B$71,MATCH(C982,Produtos!$A$2:$A$71,0)),"")</f>
        <v/>
      </c>
      <c r="O982" s="21">
        <f>IFERROR(INDEX(Produtos!$C$2:$C$71,MATCH(C982,Produtos!$A$2:$A$71,0)),"")</f>
        <v/>
      </c>
      <c r="P982" s="21">
        <f>IFERROR(INDEX(Produtos!$D$2:$D$71,MATCH(C982,Produtos!$A$2:$A$71,0)),0)</f>
        <v/>
      </c>
      <c r="Q982" s="21">
        <f>IFERROR(INDEX(Produtos!$E$2:$E$71,MATCH(C982,Produtos!$A$2:$A$71,0)),0)</f>
        <v/>
      </c>
      <c r="R982" s="23">
        <f>D982*Q982</f>
        <v/>
      </c>
      <c r="S982" s="23">
        <f>R982*E982</f>
        <v/>
      </c>
      <c r="T982" s="23">
        <f>(R982-S982)*M982</f>
        <v/>
      </c>
      <c r="U982" s="23">
        <f>R982-S982-T982</f>
        <v/>
      </c>
      <c r="V982" s="23">
        <f>D982*P982</f>
        <v/>
      </c>
      <c r="W982" s="23">
        <f>U982-V982</f>
        <v/>
      </c>
      <c r="X982" s="24">
        <f>IFERROR(W982/U982,0)</f>
        <v/>
      </c>
    </row>
    <row r="983">
      <c r="A983" s="25">
        <f>ItensPedido!A983</f>
        <v/>
      </c>
      <c r="B983" s="25">
        <f>ItensPedido!B983</f>
        <v/>
      </c>
      <c r="C983" s="25">
        <f>ItensPedido!C983</f>
        <v/>
      </c>
      <c r="D983" s="25">
        <f>ItensPedido!D983</f>
        <v/>
      </c>
      <c r="E983" s="26">
        <f>ItensPedido!E983</f>
        <v/>
      </c>
      <c r="F983" s="25">
        <f>IFERROR(INDEX(Pedidos!$B$2:$B$1801,MATCH(B983,Pedidos!$A$2:$A$1801,0)),0)</f>
        <v/>
      </c>
      <c r="G983" s="25">
        <f>IF(F983=0,"",YEAR(F983))</f>
        <v/>
      </c>
      <c r="H983" s="25">
        <f>IF(F983=0,"",MONTH(F983))</f>
        <v/>
      </c>
      <c r="I983" s="25">
        <f>IFERROR(INDEX(Pedidos!$E$2:$E$1801,MATCH(B983,Pedidos!$A$2:$A$1801,0)),"")</f>
        <v/>
      </c>
      <c r="J983" s="25">
        <f>IFERROR(INDEX(Pedidos!$C$2:$C$1801,MATCH(B983,Pedidos!$A$2:$A$1801,0)),"")</f>
        <v/>
      </c>
      <c r="K983" s="25">
        <f>IFERROR(INDEX(Pedidos!$D$2:$D$1801,MATCH(B983,Pedidos!$A$2:$A$1801,0)),"")</f>
        <v/>
      </c>
      <c r="L983" s="25">
        <f>IFERROR(INDEX(Pedidos!$F$2:$F$1801,MATCH(B983,Pedidos!$A$2:$A$1801,0)),"")</f>
        <v/>
      </c>
      <c r="M983" s="26">
        <f>IFERROR(INDEX(Pedidos!$G$2:$G$1801,MATCH(B983,Pedidos!$A$2:$A$1801,0)),0)</f>
        <v/>
      </c>
      <c r="N983" s="25">
        <f>IFERROR(INDEX(Produtos!$B$2:$B$71,MATCH(C983,Produtos!$A$2:$A$71,0)),"")</f>
        <v/>
      </c>
      <c r="O983" s="25">
        <f>IFERROR(INDEX(Produtos!$C$2:$C$71,MATCH(C983,Produtos!$A$2:$A$71,0)),"")</f>
        <v/>
      </c>
      <c r="P983" s="25">
        <f>IFERROR(INDEX(Produtos!$D$2:$D$71,MATCH(C983,Produtos!$A$2:$A$71,0)),0)</f>
        <v/>
      </c>
      <c r="Q983" s="25">
        <f>IFERROR(INDEX(Produtos!$E$2:$E$71,MATCH(C983,Produtos!$A$2:$A$71,0)),0)</f>
        <v/>
      </c>
      <c r="R983" s="27">
        <f>D983*Q983</f>
        <v/>
      </c>
      <c r="S983" s="27">
        <f>R983*E983</f>
        <v/>
      </c>
      <c r="T983" s="27">
        <f>(R983-S983)*M983</f>
        <v/>
      </c>
      <c r="U983" s="27">
        <f>R983-S983-T983</f>
        <v/>
      </c>
      <c r="V983" s="27">
        <f>D983*P983</f>
        <v/>
      </c>
      <c r="W983" s="27">
        <f>U983-V983</f>
        <v/>
      </c>
      <c r="X983" s="28">
        <f>IFERROR(W983/U983,0)</f>
        <v/>
      </c>
    </row>
    <row r="984">
      <c r="A984" s="21">
        <f>ItensPedido!A984</f>
        <v/>
      </c>
      <c r="B984" s="21">
        <f>ItensPedido!B984</f>
        <v/>
      </c>
      <c r="C984" s="21">
        <f>ItensPedido!C984</f>
        <v/>
      </c>
      <c r="D984" s="21">
        <f>ItensPedido!D984</f>
        <v/>
      </c>
      <c r="E984" s="22">
        <f>ItensPedido!E984</f>
        <v/>
      </c>
      <c r="F984" s="21">
        <f>IFERROR(INDEX(Pedidos!$B$2:$B$1801,MATCH(B984,Pedidos!$A$2:$A$1801,0)),0)</f>
        <v/>
      </c>
      <c r="G984" s="21">
        <f>IF(F984=0,"",YEAR(F984))</f>
        <v/>
      </c>
      <c r="H984" s="21">
        <f>IF(F984=0,"",MONTH(F984))</f>
        <v/>
      </c>
      <c r="I984" s="21">
        <f>IFERROR(INDEX(Pedidos!$E$2:$E$1801,MATCH(B984,Pedidos!$A$2:$A$1801,0)),"")</f>
        <v/>
      </c>
      <c r="J984" s="21">
        <f>IFERROR(INDEX(Pedidos!$C$2:$C$1801,MATCH(B984,Pedidos!$A$2:$A$1801,0)),"")</f>
        <v/>
      </c>
      <c r="K984" s="21">
        <f>IFERROR(INDEX(Pedidos!$D$2:$D$1801,MATCH(B984,Pedidos!$A$2:$A$1801,0)),"")</f>
        <v/>
      </c>
      <c r="L984" s="21">
        <f>IFERROR(INDEX(Pedidos!$F$2:$F$1801,MATCH(B984,Pedidos!$A$2:$A$1801,0)),"")</f>
        <v/>
      </c>
      <c r="M984" s="22">
        <f>IFERROR(INDEX(Pedidos!$G$2:$G$1801,MATCH(B984,Pedidos!$A$2:$A$1801,0)),0)</f>
        <v/>
      </c>
      <c r="N984" s="21">
        <f>IFERROR(INDEX(Produtos!$B$2:$B$71,MATCH(C984,Produtos!$A$2:$A$71,0)),"")</f>
        <v/>
      </c>
      <c r="O984" s="21">
        <f>IFERROR(INDEX(Produtos!$C$2:$C$71,MATCH(C984,Produtos!$A$2:$A$71,0)),"")</f>
        <v/>
      </c>
      <c r="P984" s="21">
        <f>IFERROR(INDEX(Produtos!$D$2:$D$71,MATCH(C984,Produtos!$A$2:$A$71,0)),0)</f>
        <v/>
      </c>
      <c r="Q984" s="21">
        <f>IFERROR(INDEX(Produtos!$E$2:$E$71,MATCH(C984,Produtos!$A$2:$A$71,0)),0)</f>
        <v/>
      </c>
      <c r="R984" s="23">
        <f>D984*Q984</f>
        <v/>
      </c>
      <c r="S984" s="23">
        <f>R984*E984</f>
        <v/>
      </c>
      <c r="T984" s="23">
        <f>(R984-S984)*M984</f>
        <v/>
      </c>
      <c r="U984" s="23">
        <f>R984-S984-T984</f>
        <v/>
      </c>
      <c r="V984" s="23">
        <f>D984*P984</f>
        <v/>
      </c>
      <c r="W984" s="23">
        <f>U984-V984</f>
        <v/>
      </c>
      <c r="X984" s="24">
        <f>IFERROR(W984/U984,0)</f>
        <v/>
      </c>
    </row>
    <row r="985">
      <c r="A985" s="25">
        <f>ItensPedido!A985</f>
        <v/>
      </c>
      <c r="B985" s="25">
        <f>ItensPedido!B985</f>
        <v/>
      </c>
      <c r="C985" s="25">
        <f>ItensPedido!C985</f>
        <v/>
      </c>
      <c r="D985" s="25">
        <f>ItensPedido!D985</f>
        <v/>
      </c>
      <c r="E985" s="26">
        <f>ItensPedido!E985</f>
        <v/>
      </c>
      <c r="F985" s="25">
        <f>IFERROR(INDEX(Pedidos!$B$2:$B$1801,MATCH(B985,Pedidos!$A$2:$A$1801,0)),0)</f>
        <v/>
      </c>
      <c r="G985" s="25">
        <f>IF(F985=0,"",YEAR(F985))</f>
        <v/>
      </c>
      <c r="H985" s="25">
        <f>IF(F985=0,"",MONTH(F985))</f>
        <v/>
      </c>
      <c r="I985" s="25">
        <f>IFERROR(INDEX(Pedidos!$E$2:$E$1801,MATCH(B985,Pedidos!$A$2:$A$1801,0)),"")</f>
        <v/>
      </c>
      <c r="J985" s="25">
        <f>IFERROR(INDEX(Pedidos!$C$2:$C$1801,MATCH(B985,Pedidos!$A$2:$A$1801,0)),"")</f>
        <v/>
      </c>
      <c r="K985" s="25">
        <f>IFERROR(INDEX(Pedidos!$D$2:$D$1801,MATCH(B985,Pedidos!$A$2:$A$1801,0)),"")</f>
        <v/>
      </c>
      <c r="L985" s="25">
        <f>IFERROR(INDEX(Pedidos!$F$2:$F$1801,MATCH(B985,Pedidos!$A$2:$A$1801,0)),"")</f>
        <v/>
      </c>
      <c r="M985" s="26">
        <f>IFERROR(INDEX(Pedidos!$G$2:$G$1801,MATCH(B985,Pedidos!$A$2:$A$1801,0)),0)</f>
        <v/>
      </c>
      <c r="N985" s="25">
        <f>IFERROR(INDEX(Produtos!$B$2:$B$71,MATCH(C985,Produtos!$A$2:$A$71,0)),"")</f>
        <v/>
      </c>
      <c r="O985" s="25">
        <f>IFERROR(INDEX(Produtos!$C$2:$C$71,MATCH(C985,Produtos!$A$2:$A$71,0)),"")</f>
        <v/>
      </c>
      <c r="P985" s="25">
        <f>IFERROR(INDEX(Produtos!$D$2:$D$71,MATCH(C985,Produtos!$A$2:$A$71,0)),0)</f>
        <v/>
      </c>
      <c r="Q985" s="25">
        <f>IFERROR(INDEX(Produtos!$E$2:$E$71,MATCH(C985,Produtos!$A$2:$A$71,0)),0)</f>
        <v/>
      </c>
      <c r="R985" s="27">
        <f>D985*Q985</f>
        <v/>
      </c>
      <c r="S985" s="27">
        <f>R985*E985</f>
        <v/>
      </c>
      <c r="T985" s="27">
        <f>(R985-S985)*M985</f>
        <v/>
      </c>
      <c r="U985" s="27">
        <f>R985-S985-T985</f>
        <v/>
      </c>
      <c r="V985" s="27">
        <f>D985*P985</f>
        <v/>
      </c>
      <c r="W985" s="27">
        <f>U985-V985</f>
        <v/>
      </c>
      <c r="X985" s="28">
        <f>IFERROR(W985/U985,0)</f>
        <v/>
      </c>
    </row>
    <row r="986">
      <c r="A986" s="21">
        <f>ItensPedido!A986</f>
        <v/>
      </c>
      <c r="B986" s="21">
        <f>ItensPedido!B986</f>
        <v/>
      </c>
      <c r="C986" s="21">
        <f>ItensPedido!C986</f>
        <v/>
      </c>
      <c r="D986" s="21">
        <f>ItensPedido!D986</f>
        <v/>
      </c>
      <c r="E986" s="22">
        <f>ItensPedido!E986</f>
        <v/>
      </c>
      <c r="F986" s="21">
        <f>IFERROR(INDEX(Pedidos!$B$2:$B$1801,MATCH(B986,Pedidos!$A$2:$A$1801,0)),0)</f>
        <v/>
      </c>
      <c r="G986" s="21">
        <f>IF(F986=0,"",YEAR(F986))</f>
        <v/>
      </c>
      <c r="H986" s="21">
        <f>IF(F986=0,"",MONTH(F986))</f>
        <v/>
      </c>
      <c r="I986" s="21">
        <f>IFERROR(INDEX(Pedidos!$E$2:$E$1801,MATCH(B986,Pedidos!$A$2:$A$1801,0)),"")</f>
        <v/>
      </c>
      <c r="J986" s="21">
        <f>IFERROR(INDEX(Pedidos!$C$2:$C$1801,MATCH(B986,Pedidos!$A$2:$A$1801,0)),"")</f>
        <v/>
      </c>
      <c r="K986" s="21">
        <f>IFERROR(INDEX(Pedidos!$D$2:$D$1801,MATCH(B986,Pedidos!$A$2:$A$1801,0)),"")</f>
        <v/>
      </c>
      <c r="L986" s="21">
        <f>IFERROR(INDEX(Pedidos!$F$2:$F$1801,MATCH(B986,Pedidos!$A$2:$A$1801,0)),"")</f>
        <v/>
      </c>
      <c r="M986" s="22">
        <f>IFERROR(INDEX(Pedidos!$G$2:$G$1801,MATCH(B986,Pedidos!$A$2:$A$1801,0)),0)</f>
        <v/>
      </c>
      <c r="N986" s="21">
        <f>IFERROR(INDEX(Produtos!$B$2:$B$71,MATCH(C986,Produtos!$A$2:$A$71,0)),"")</f>
        <v/>
      </c>
      <c r="O986" s="21">
        <f>IFERROR(INDEX(Produtos!$C$2:$C$71,MATCH(C986,Produtos!$A$2:$A$71,0)),"")</f>
        <v/>
      </c>
      <c r="P986" s="21">
        <f>IFERROR(INDEX(Produtos!$D$2:$D$71,MATCH(C986,Produtos!$A$2:$A$71,0)),0)</f>
        <v/>
      </c>
      <c r="Q986" s="21">
        <f>IFERROR(INDEX(Produtos!$E$2:$E$71,MATCH(C986,Produtos!$A$2:$A$71,0)),0)</f>
        <v/>
      </c>
      <c r="R986" s="23">
        <f>D986*Q986</f>
        <v/>
      </c>
      <c r="S986" s="23">
        <f>R986*E986</f>
        <v/>
      </c>
      <c r="T986" s="23">
        <f>(R986-S986)*M986</f>
        <v/>
      </c>
      <c r="U986" s="23">
        <f>R986-S986-T986</f>
        <v/>
      </c>
      <c r="V986" s="23">
        <f>D986*P986</f>
        <v/>
      </c>
      <c r="W986" s="23">
        <f>U986-V986</f>
        <v/>
      </c>
      <c r="X986" s="24">
        <f>IFERROR(W986/U986,0)</f>
        <v/>
      </c>
    </row>
    <row r="987">
      <c r="A987" s="25">
        <f>ItensPedido!A987</f>
        <v/>
      </c>
      <c r="B987" s="25">
        <f>ItensPedido!B987</f>
        <v/>
      </c>
      <c r="C987" s="25">
        <f>ItensPedido!C987</f>
        <v/>
      </c>
      <c r="D987" s="25">
        <f>ItensPedido!D987</f>
        <v/>
      </c>
      <c r="E987" s="26">
        <f>ItensPedido!E987</f>
        <v/>
      </c>
      <c r="F987" s="25">
        <f>IFERROR(INDEX(Pedidos!$B$2:$B$1801,MATCH(B987,Pedidos!$A$2:$A$1801,0)),0)</f>
        <v/>
      </c>
      <c r="G987" s="25">
        <f>IF(F987=0,"",YEAR(F987))</f>
        <v/>
      </c>
      <c r="H987" s="25">
        <f>IF(F987=0,"",MONTH(F987))</f>
        <v/>
      </c>
      <c r="I987" s="25">
        <f>IFERROR(INDEX(Pedidos!$E$2:$E$1801,MATCH(B987,Pedidos!$A$2:$A$1801,0)),"")</f>
        <v/>
      </c>
      <c r="J987" s="25">
        <f>IFERROR(INDEX(Pedidos!$C$2:$C$1801,MATCH(B987,Pedidos!$A$2:$A$1801,0)),"")</f>
        <v/>
      </c>
      <c r="K987" s="25">
        <f>IFERROR(INDEX(Pedidos!$D$2:$D$1801,MATCH(B987,Pedidos!$A$2:$A$1801,0)),"")</f>
        <v/>
      </c>
      <c r="L987" s="25">
        <f>IFERROR(INDEX(Pedidos!$F$2:$F$1801,MATCH(B987,Pedidos!$A$2:$A$1801,0)),"")</f>
        <v/>
      </c>
      <c r="M987" s="26">
        <f>IFERROR(INDEX(Pedidos!$G$2:$G$1801,MATCH(B987,Pedidos!$A$2:$A$1801,0)),0)</f>
        <v/>
      </c>
      <c r="N987" s="25">
        <f>IFERROR(INDEX(Produtos!$B$2:$B$71,MATCH(C987,Produtos!$A$2:$A$71,0)),"")</f>
        <v/>
      </c>
      <c r="O987" s="25">
        <f>IFERROR(INDEX(Produtos!$C$2:$C$71,MATCH(C987,Produtos!$A$2:$A$71,0)),"")</f>
        <v/>
      </c>
      <c r="P987" s="25">
        <f>IFERROR(INDEX(Produtos!$D$2:$D$71,MATCH(C987,Produtos!$A$2:$A$71,0)),0)</f>
        <v/>
      </c>
      <c r="Q987" s="25">
        <f>IFERROR(INDEX(Produtos!$E$2:$E$71,MATCH(C987,Produtos!$A$2:$A$71,0)),0)</f>
        <v/>
      </c>
      <c r="R987" s="27">
        <f>D987*Q987</f>
        <v/>
      </c>
      <c r="S987" s="27">
        <f>R987*E987</f>
        <v/>
      </c>
      <c r="T987" s="27">
        <f>(R987-S987)*M987</f>
        <v/>
      </c>
      <c r="U987" s="27">
        <f>R987-S987-T987</f>
        <v/>
      </c>
      <c r="V987" s="27">
        <f>D987*P987</f>
        <v/>
      </c>
      <c r="W987" s="27">
        <f>U987-V987</f>
        <v/>
      </c>
      <c r="X987" s="28">
        <f>IFERROR(W987/U987,0)</f>
        <v/>
      </c>
    </row>
    <row r="988">
      <c r="A988" s="21">
        <f>ItensPedido!A988</f>
        <v/>
      </c>
      <c r="B988" s="21">
        <f>ItensPedido!B988</f>
        <v/>
      </c>
      <c r="C988" s="21">
        <f>ItensPedido!C988</f>
        <v/>
      </c>
      <c r="D988" s="21">
        <f>ItensPedido!D988</f>
        <v/>
      </c>
      <c r="E988" s="22">
        <f>ItensPedido!E988</f>
        <v/>
      </c>
      <c r="F988" s="21">
        <f>IFERROR(INDEX(Pedidos!$B$2:$B$1801,MATCH(B988,Pedidos!$A$2:$A$1801,0)),0)</f>
        <v/>
      </c>
      <c r="G988" s="21">
        <f>IF(F988=0,"",YEAR(F988))</f>
        <v/>
      </c>
      <c r="H988" s="21">
        <f>IF(F988=0,"",MONTH(F988))</f>
        <v/>
      </c>
      <c r="I988" s="21">
        <f>IFERROR(INDEX(Pedidos!$E$2:$E$1801,MATCH(B988,Pedidos!$A$2:$A$1801,0)),"")</f>
        <v/>
      </c>
      <c r="J988" s="21">
        <f>IFERROR(INDEX(Pedidos!$C$2:$C$1801,MATCH(B988,Pedidos!$A$2:$A$1801,0)),"")</f>
        <v/>
      </c>
      <c r="K988" s="21">
        <f>IFERROR(INDEX(Pedidos!$D$2:$D$1801,MATCH(B988,Pedidos!$A$2:$A$1801,0)),"")</f>
        <v/>
      </c>
      <c r="L988" s="21">
        <f>IFERROR(INDEX(Pedidos!$F$2:$F$1801,MATCH(B988,Pedidos!$A$2:$A$1801,0)),"")</f>
        <v/>
      </c>
      <c r="M988" s="22">
        <f>IFERROR(INDEX(Pedidos!$G$2:$G$1801,MATCH(B988,Pedidos!$A$2:$A$1801,0)),0)</f>
        <v/>
      </c>
      <c r="N988" s="21">
        <f>IFERROR(INDEX(Produtos!$B$2:$B$71,MATCH(C988,Produtos!$A$2:$A$71,0)),"")</f>
        <v/>
      </c>
      <c r="O988" s="21">
        <f>IFERROR(INDEX(Produtos!$C$2:$C$71,MATCH(C988,Produtos!$A$2:$A$71,0)),"")</f>
        <v/>
      </c>
      <c r="P988" s="21">
        <f>IFERROR(INDEX(Produtos!$D$2:$D$71,MATCH(C988,Produtos!$A$2:$A$71,0)),0)</f>
        <v/>
      </c>
      <c r="Q988" s="21">
        <f>IFERROR(INDEX(Produtos!$E$2:$E$71,MATCH(C988,Produtos!$A$2:$A$71,0)),0)</f>
        <v/>
      </c>
      <c r="R988" s="23">
        <f>D988*Q988</f>
        <v/>
      </c>
      <c r="S988" s="23">
        <f>R988*E988</f>
        <v/>
      </c>
      <c r="T988" s="23">
        <f>(R988-S988)*M988</f>
        <v/>
      </c>
      <c r="U988" s="23">
        <f>R988-S988-T988</f>
        <v/>
      </c>
      <c r="V988" s="23">
        <f>D988*P988</f>
        <v/>
      </c>
      <c r="W988" s="23">
        <f>U988-V988</f>
        <v/>
      </c>
      <c r="X988" s="24">
        <f>IFERROR(W988/U988,0)</f>
        <v/>
      </c>
    </row>
    <row r="989">
      <c r="A989" s="25">
        <f>ItensPedido!A989</f>
        <v/>
      </c>
      <c r="B989" s="25">
        <f>ItensPedido!B989</f>
        <v/>
      </c>
      <c r="C989" s="25">
        <f>ItensPedido!C989</f>
        <v/>
      </c>
      <c r="D989" s="25">
        <f>ItensPedido!D989</f>
        <v/>
      </c>
      <c r="E989" s="26">
        <f>ItensPedido!E989</f>
        <v/>
      </c>
      <c r="F989" s="25">
        <f>IFERROR(INDEX(Pedidos!$B$2:$B$1801,MATCH(B989,Pedidos!$A$2:$A$1801,0)),0)</f>
        <v/>
      </c>
      <c r="G989" s="25">
        <f>IF(F989=0,"",YEAR(F989))</f>
        <v/>
      </c>
      <c r="H989" s="25">
        <f>IF(F989=0,"",MONTH(F989))</f>
        <v/>
      </c>
      <c r="I989" s="25">
        <f>IFERROR(INDEX(Pedidos!$E$2:$E$1801,MATCH(B989,Pedidos!$A$2:$A$1801,0)),"")</f>
        <v/>
      </c>
      <c r="J989" s="25">
        <f>IFERROR(INDEX(Pedidos!$C$2:$C$1801,MATCH(B989,Pedidos!$A$2:$A$1801,0)),"")</f>
        <v/>
      </c>
      <c r="K989" s="25">
        <f>IFERROR(INDEX(Pedidos!$D$2:$D$1801,MATCH(B989,Pedidos!$A$2:$A$1801,0)),"")</f>
        <v/>
      </c>
      <c r="L989" s="25">
        <f>IFERROR(INDEX(Pedidos!$F$2:$F$1801,MATCH(B989,Pedidos!$A$2:$A$1801,0)),"")</f>
        <v/>
      </c>
      <c r="M989" s="26">
        <f>IFERROR(INDEX(Pedidos!$G$2:$G$1801,MATCH(B989,Pedidos!$A$2:$A$1801,0)),0)</f>
        <v/>
      </c>
      <c r="N989" s="25">
        <f>IFERROR(INDEX(Produtos!$B$2:$B$71,MATCH(C989,Produtos!$A$2:$A$71,0)),"")</f>
        <v/>
      </c>
      <c r="O989" s="25">
        <f>IFERROR(INDEX(Produtos!$C$2:$C$71,MATCH(C989,Produtos!$A$2:$A$71,0)),"")</f>
        <v/>
      </c>
      <c r="P989" s="25">
        <f>IFERROR(INDEX(Produtos!$D$2:$D$71,MATCH(C989,Produtos!$A$2:$A$71,0)),0)</f>
        <v/>
      </c>
      <c r="Q989" s="25">
        <f>IFERROR(INDEX(Produtos!$E$2:$E$71,MATCH(C989,Produtos!$A$2:$A$71,0)),0)</f>
        <v/>
      </c>
      <c r="R989" s="27">
        <f>D989*Q989</f>
        <v/>
      </c>
      <c r="S989" s="27">
        <f>R989*E989</f>
        <v/>
      </c>
      <c r="T989" s="27">
        <f>(R989-S989)*M989</f>
        <v/>
      </c>
      <c r="U989" s="27">
        <f>R989-S989-T989</f>
        <v/>
      </c>
      <c r="V989" s="27">
        <f>D989*P989</f>
        <v/>
      </c>
      <c r="W989" s="27">
        <f>U989-V989</f>
        <v/>
      </c>
      <c r="X989" s="28">
        <f>IFERROR(W989/U989,0)</f>
        <v/>
      </c>
    </row>
    <row r="990">
      <c r="A990" s="21">
        <f>ItensPedido!A990</f>
        <v/>
      </c>
      <c r="B990" s="21">
        <f>ItensPedido!B990</f>
        <v/>
      </c>
      <c r="C990" s="21">
        <f>ItensPedido!C990</f>
        <v/>
      </c>
      <c r="D990" s="21">
        <f>ItensPedido!D990</f>
        <v/>
      </c>
      <c r="E990" s="22">
        <f>ItensPedido!E990</f>
        <v/>
      </c>
      <c r="F990" s="21">
        <f>IFERROR(INDEX(Pedidos!$B$2:$B$1801,MATCH(B990,Pedidos!$A$2:$A$1801,0)),0)</f>
        <v/>
      </c>
      <c r="G990" s="21">
        <f>IF(F990=0,"",YEAR(F990))</f>
        <v/>
      </c>
      <c r="H990" s="21">
        <f>IF(F990=0,"",MONTH(F990))</f>
        <v/>
      </c>
      <c r="I990" s="21">
        <f>IFERROR(INDEX(Pedidos!$E$2:$E$1801,MATCH(B990,Pedidos!$A$2:$A$1801,0)),"")</f>
        <v/>
      </c>
      <c r="J990" s="21">
        <f>IFERROR(INDEX(Pedidos!$C$2:$C$1801,MATCH(B990,Pedidos!$A$2:$A$1801,0)),"")</f>
        <v/>
      </c>
      <c r="K990" s="21">
        <f>IFERROR(INDEX(Pedidos!$D$2:$D$1801,MATCH(B990,Pedidos!$A$2:$A$1801,0)),"")</f>
        <v/>
      </c>
      <c r="L990" s="21">
        <f>IFERROR(INDEX(Pedidos!$F$2:$F$1801,MATCH(B990,Pedidos!$A$2:$A$1801,0)),"")</f>
        <v/>
      </c>
      <c r="M990" s="22">
        <f>IFERROR(INDEX(Pedidos!$G$2:$G$1801,MATCH(B990,Pedidos!$A$2:$A$1801,0)),0)</f>
        <v/>
      </c>
      <c r="N990" s="21">
        <f>IFERROR(INDEX(Produtos!$B$2:$B$71,MATCH(C990,Produtos!$A$2:$A$71,0)),"")</f>
        <v/>
      </c>
      <c r="O990" s="21">
        <f>IFERROR(INDEX(Produtos!$C$2:$C$71,MATCH(C990,Produtos!$A$2:$A$71,0)),"")</f>
        <v/>
      </c>
      <c r="P990" s="21">
        <f>IFERROR(INDEX(Produtos!$D$2:$D$71,MATCH(C990,Produtos!$A$2:$A$71,0)),0)</f>
        <v/>
      </c>
      <c r="Q990" s="21">
        <f>IFERROR(INDEX(Produtos!$E$2:$E$71,MATCH(C990,Produtos!$A$2:$A$71,0)),0)</f>
        <v/>
      </c>
      <c r="R990" s="23">
        <f>D990*Q990</f>
        <v/>
      </c>
      <c r="S990" s="23">
        <f>R990*E990</f>
        <v/>
      </c>
      <c r="T990" s="23">
        <f>(R990-S990)*M990</f>
        <v/>
      </c>
      <c r="U990" s="23">
        <f>R990-S990-T990</f>
        <v/>
      </c>
      <c r="V990" s="23">
        <f>D990*P990</f>
        <v/>
      </c>
      <c r="W990" s="23">
        <f>U990-V990</f>
        <v/>
      </c>
      <c r="X990" s="24">
        <f>IFERROR(W990/U990,0)</f>
        <v/>
      </c>
    </row>
    <row r="991">
      <c r="A991" s="25">
        <f>ItensPedido!A991</f>
        <v/>
      </c>
      <c r="B991" s="25">
        <f>ItensPedido!B991</f>
        <v/>
      </c>
      <c r="C991" s="25">
        <f>ItensPedido!C991</f>
        <v/>
      </c>
      <c r="D991" s="25">
        <f>ItensPedido!D991</f>
        <v/>
      </c>
      <c r="E991" s="26">
        <f>ItensPedido!E991</f>
        <v/>
      </c>
      <c r="F991" s="25">
        <f>IFERROR(INDEX(Pedidos!$B$2:$B$1801,MATCH(B991,Pedidos!$A$2:$A$1801,0)),0)</f>
        <v/>
      </c>
      <c r="G991" s="25">
        <f>IF(F991=0,"",YEAR(F991))</f>
        <v/>
      </c>
      <c r="H991" s="25">
        <f>IF(F991=0,"",MONTH(F991))</f>
        <v/>
      </c>
      <c r="I991" s="25">
        <f>IFERROR(INDEX(Pedidos!$E$2:$E$1801,MATCH(B991,Pedidos!$A$2:$A$1801,0)),"")</f>
        <v/>
      </c>
      <c r="J991" s="25">
        <f>IFERROR(INDEX(Pedidos!$C$2:$C$1801,MATCH(B991,Pedidos!$A$2:$A$1801,0)),"")</f>
        <v/>
      </c>
      <c r="K991" s="25">
        <f>IFERROR(INDEX(Pedidos!$D$2:$D$1801,MATCH(B991,Pedidos!$A$2:$A$1801,0)),"")</f>
        <v/>
      </c>
      <c r="L991" s="25">
        <f>IFERROR(INDEX(Pedidos!$F$2:$F$1801,MATCH(B991,Pedidos!$A$2:$A$1801,0)),"")</f>
        <v/>
      </c>
      <c r="M991" s="26">
        <f>IFERROR(INDEX(Pedidos!$G$2:$G$1801,MATCH(B991,Pedidos!$A$2:$A$1801,0)),0)</f>
        <v/>
      </c>
      <c r="N991" s="25">
        <f>IFERROR(INDEX(Produtos!$B$2:$B$71,MATCH(C991,Produtos!$A$2:$A$71,0)),"")</f>
        <v/>
      </c>
      <c r="O991" s="25">
        <f>IFERROR(INDEX(Produtos!$C$2:$C$71,MATCH(C991,Produtos!$A$2:$A$71,0)),"")</f>
        <v/>
      </c>
      <c r="P991" s="25">
        <f>IFERROR(INDEX(Produtos!$D$2:$D$71,MATCH(C991,Produtos!$A$2:$A$71,0)),0)</f>
        <v/>
      </c>
      <c r="Q991" s="25">
        <f>IFERROR(INDEX(Produtos!$E$2:$E$71,MATCH(C991,Produtos!$A$2:$A$71,0)),0)</f>
        <v/>
      </c>
      <c r="R991" s="27">
        <f>D991*Q991</f>
        <v/>
      </c>
      <c r="S991" s="27">
        <f>R991*E991</f>
        <v/>
      </c>
      <c r="T991" s="27">
        <f>(R991-S991)*M991</f>
        <v/>
      </c>
      <c r="U991" s="27">
        <f>R991-S991-T991</f>
        <v/>
      </c>
      <c r="V991" s="27">
        <f>D991*P991</f>
        <v/>
      </c>
      <c r="W991" s="27">
        <f>U991-V991</f>
        <v/>
      </c>
      <c r="X991" s="28">
        <f>IFERROR(W991/U991,0)</f>
        <v/>
      </c>
    </row>
    <row r="992">
      <c r="A992" s="21">
        <f>ItensPedido!A992</f>
        <v/>
      </c>
      <c r="B992" s="21">
        <f>ItensPedido!B992</f>
        <v/>
      </c>
      <c r="C992" s="21">
        <f>ItensPedido!C992</f>
        <v/>
      </c>
      <c r="D992" s="21">
        <f>ItensPedido!D992</f>
        <v/>
      </c>
      <c r="E992" s="22">
        <f>ItensPedido!E992</f>
        <v/>
      </c>
      <c r="F992" s="21">
        <f>IFERROR(INDEX(Pedidos!$B$2:$B$1801,MATCH(B992,Pedidos!$A$2:$A$1801,0)),0)</f>
        <v/>
      </c>
      <c r="G992" s="21">
        <f>IF(F992=0,"",YEAR(F992))</f>
        <v/>
      </c>
      <c r="H992" s="21">
        <f>IF(F992=0,"",MONTH(F992))</f>
        <v/>
      </c>
      <c r="I992" s="21">
        <f>IFERROR(INDEX(Pedidos!$E$2:$E$1801,MATCH(B992,Pedidos!$A$2:$A$1801,0)),"")</f>
        <v/>
      </c>
      <c r="J992" s="21">
        <f>IFERROR(INDEX(Pedidos!$C$2:$C$1801,MATCH(B992,Pedidos!$A$2:$A$1801,0)),"")</f>
        <v/>
      </c>
      <c r="K992" s="21">
        <f>IFERROR(INDEX(Pedidos!$D$2:$D$1801,MATCH(B992,Pedidos!$A$2:$A$1801,0)),"")</f>
        <v/>
      </c>
      <c r="L992" s="21">
        <f>IFERROR(INDEX(Pedidos!$F$2:$F$1801,MATCH(B992,Pedidos!$A$2:$A$1801,0)),"")</f>
        <v/>
      </c>
      <c r="M992" s="22">
        <f>IFERROR(INDEX(Pedidos!$G$2:$G$1801,MATCH(B992,Pedidos!$A$2:$A$1801,0)),0)</f>
        <v/>
      </c>
      <c r="N992" s="21">
        <f>IFERROR(INDEX(Produtos!$B$2:$B$71,MATCH(C992,Produtos!$A$2:$A$71,0)),"")</f>
        <v/>
      </c>
      <c r="O992" s="21">
        <f>IFERROR(INDEX(Produtos!$C$2:$C$71,MATCH(C992,Produtos!$A$2:$A$71,0)),"")</f>
        <v/>
      </c>
      <c r="P992" s="21">
        <f>IFERROR(INDEX(Produtos!$D$2:$D$71,MATCH(C992,Produtos!$A$2:$A$71,0)),0)</f>
        <v/>
      </c>
      <c r="Q992" s="21">
        <f>IFERROR(INDEX(Produtos!$E$2:$E$71,MATCH(C992,Produtos!$A$2:$A$71,0)),0)</f>
        <v/>
      </c>
      <c r="R992" s="23">
        <f>D992*Q992</f>
        <v/>
      </c>
      <c r="S992" s="23">
        <f>R992*E992</f>
        <v/>
      </c>
      <c r="T992" s="23">
        <f>(R992-S992)*M992</f>
        <v/>
      </c>
      <c r="U992" s="23">
        <f>R992-S992-T992</f>
        <v/>
      </c>
      <c r="V992" s="23">
        <f>D992*P992</f>
        <v/>
      </c>
      <c r="W992" s="23">
        <f>U992-V992</f>
        <v/>
      </c>
      <c r="X992" s="24">
        <f>IFERROR(W992/U992,0)</f>
        <v/>
      </c>
    </row>
    <row r="993">
      <c r="A993" s="25">
        <f>ItensPedido!A993</f>
        <v/>
      </c>
      <c r="B993" s="25">
        <f>ItensPedido!B993</f>
        <v/>
      </c>
      <c r="C993" s="25">
        <f>ItensPedido!C993</f>
        <v/>
      </c>
      <c r="D993" s="25">
        <f>ItensPedido!D993</f>
        <v/>
      </c>
      <c r="E993" s="26">
        <f>ItensPedido!E993</f>
        <v/>
      </c>
      <c r="F993" s="25">
        <f>IFERROR(INDEX(Pedidos!$B$2:$B$1801,MATCH(B993,Pedidos!$A$2:$A$1801,0)),0)</f>
        <v/>
      </c>
      <c r="G993" s="25">
        <f>IF(F993=0,"",YEAR(F993))</f>
        <v/>
      </c>
      <c r="H993" s="25">
        <f>IF(F993=0,"",MONTH(F993))</f>
        <v/>
      </c>
      <c r="I993" s="25">
        <f>IFERROR(INDEX(Pedidos!$E$2:$E$1801,MATCH(B993,Pedidos!$A$2:$A$1801,0)),"")</f>
        <v/>
      </c>
      <c r="J993" s="25">
        <f>IFERROR(INDEX(Pedidos!$C$2:$C$1801,MATCH(B993,Pedidos!$A$2:$A$1801,0)),"")</f>
        <v/>
      </c>
      <c r="K993" s="25">
        <f>IFERROR(INDEX(Pedidos!$D$2:$D$1801,MATCH(B993,Pedidos!$A$2:$A$1801,0)),"")</f>
        <v/>
      </c>
      <c r="L993" s="25">
        <f>IFERROR(INDEX(Pedidos!$F$2:$F$1801,MATCH(B993,Pedidos!$A$2:$A$1801,0)),"")</f>
        <v/>
      </c>
      <c r="M993" s="26">
        <f>IFERROR(INDEX(Pedidos!$G$2:$G$1801,MATCH(B993,Pedidos!$A$2:$A$1801,0)),0)</f>
        <v/>
      </c>
      <c r="N993" s="25">
        <f>IFERROR(INDEX(Produtos!$B$2:$B$71,MATCH(C993,Produtos!$A$2:$A$71,0)),"")</f>
        <v/>
      </c>
      <c r="O993" s="25">
        <f>IFERROR(INDEX(Produtos!$C$2:$C$71,MATCH(C993,Produtos!$A$2:$A$71,0)),"")</f>
        <v/>
      </c>
      <c r="P993" s="25">
        <f>IFERROR(INDEX(Produtos!$D$2:$D$71,MATCH(C993,Produtos!$A$2:$A$71,0)),0)</f>
        <v/>
      </c>
      <c r="Q993" s="25">
        <f>IFERROR(INDEX(Produtos!$E$2:$E$71,MATCH(C993,Produtos!$A$2:$A$71,0)),0)</f>
        <v/>
      </c>
      <c r="R993" s="27">
        <f>D993*Q993</f>
        <v/>
      </c>
      <c r="S993" s="27">
        <f>R993*E993</f>
        <v/>
      </c>
      <c r="T993" s="27">
        <f>(R993-S993)*M993</f>
        <v/>
      </c>
      <c r="U993" s="27">
        <f>R993-S993-T993</f>
        <v/>
      </c>
      <c r="V993" s="27">
        <f>D993*P993</f>
        <v/>
      </c>
      <c r="W993" s="27">
        <f>U993-V993</f>
        <v/>
      </c>
      <c r="X993" s="28">
        <f>IFERROR(W993/U993,0)</f>
        <v/>
      </c>
    </row>
    <row r="994">
      <c r="A994" s="21">
        <f>ItensPedido!A994</f>
        <v/>
      </c>
      <c r="B994" s="21">
        <f>ItensPedido!B994</f>
        <v/>
      </c>
      <c r="C994" s="21">
        <f>ItensPedido!C994</f>
        <v/>
      </c>
      <c r="D994" s="21">
        <f>ItensPedido!D994</f>
        <v/>
      </c>
      <c r="E994" s="22">
        <f>ItensPedido!E994</f>
        <v/>
      </c>
      <c r="F994" s="21">
        <f>IFERROR(INDEX(Pedidos!$B$2:$B$1801,MATCH(B994,Pedidos!$A$2:$A$1801,0)),0)</f>
        <v/>
      </c>
      <c r="G994" s="21">
        <f>IF(F994=0,"",YEAR(F994))</f>
        <v/>
      </c>
      <c r="H994" s="21">
        <f>IF(F994=0,"",MONTH(F994))</f>
        <v/>
      </c>
      <c r="I994" s="21">
        <f>IFERROR(INDEX(Pedidos!$E$2:$E$1801,MATCH(B994,Pedidos!$A$2:$A$1801,0)),"")</f>
        <v/>
      </c>
      <c r="J994" s="21">
        <f>IFERROR(INDEX(Pedidos!$C$2:$C$1801,MATCH(B994,Pedidos!$A$2:$A$1801,0)),"")</f>
        <v/>
      </c>
      <c r="K994" s="21">
        <f>IFERROR(INDEX(Pedidos!$D$2:$D$1801,MATCH(B994,Pedidos!$A$2:$A$1801,0)),"")</f>
        <v/>
      </c>
      <c r="L994" s="21">
        <f>IFERROR(INDEX(Pedidos!$F$2:$F$1801,MATCH(B994,Pedidos!$A$2:$A$1801,0)),"")</f>
        <v/>
      </c>
      <c r="M994" s="22">
        <f>IFERROR(INDEX(Pedidos!$G$2:$G$1801,MATCH(B994,Pedidos!$A$2:$A$1801,0)),0)</f>
        <v/>
      </c>
      <c r="N994" s="21">
        <f>IFERROR(INDEX(Produtos!$B$2:$B$71,MATCH(C994,Produtos!$A$2:$A$71,0)),"")</f>
        <v/>
      </c>
      <c r="O994" s="21">
        <f>IFERROR(INDEX(Produtos!$C$2:$C$71,MATCH(C994,Produtos!$A$2:$A$71,0)),"")</f>
        <v/>
      </c>
      <c r="P994" s="21">
        <f>IFERROR(INDEX(Produtos!$D$2:$D$71,MATCH(C994,Produtos!$A$2:$A$71,0)),0)</f>
        <v/>
      </c>
      <c r="Q994" s="21">
        <f>IFERROR(INDEX(Produtos!$E$2:$E$71,MATCH(C994,Produtos!$A$2:$A$71,0)),0)</f>
        <v/>
      </c>
      <c r="R994" s="23">
        <f>D994*Q994</f>
        <v/>
      </c>
      <c r="S994" s="23">
        <f>R994*E994</f>
        <v/>
      </c>
      <c r="T994" s="23">
        <f>(R994-S994)*M994</f>
        <v/>
      </c>
      <c r="U994" s="23">
        <f>R994-S994-T994</f>
        <v/>
      </c>
      <c r="V994" s="23">
        <f>D994*P994</f>
        <v/>
      </c>
      <c r="W994" s="23">
        <f>U994-V994</f>
        <v/>
      </c>
      <c r="X994" s="24">
        <f>IFERROR(W994/U994,0)</f>
        <v/>
      </c>
    </row>
    <row r="995">
      <c r="A995" s="25">
        <f>ItensPedido!A995</f>
        <v/>
      </c>
      <c r="B995" s="25">
        <f>ItensPedido!B995</f>
        <v/>
      </c>
      <c r="C995" s="25">
        <f>ItensPedido!C995</f>
        <v/>
      </c>
      <c r="D995" s="25">
        <f>ItensPedido!D995</f>
        <v/>
      </c>
      <c r="E995" s="26">
        <f>ItensPedido!E995</f>
        <v/>
      </c>
      <c r="F995" s="25">
        <f>IFERROR(INDEX(Pedidos!$B$2:$B$1801,MATCH(B995,Pedidos!$A$2:$A$1801,0)),0)</f>
        <v/>
      </c>
      <c r="G995" s="25">
        <f>IF(F995=0,"",YEAR(F995))</f>
        <v/>
      </c>
      <c r="H995" s="25">
        <f>IF(F995=0,"",MONTH(F995))</f>
        <v/>
      </c>
      <c r="I995" s="25">
        <f>IFERROR(INDEX(Pedidos!$E$2:$E$1801,MATCH(B995,Pedidos!$A$2:$A$1801,0)),"")</f>
        <v/>
      </c>
      <c r="J995" s="25">
        <f>IFERROR(INDEX(Pedidos!$C$2:$C$1801,MATCH(B995,Pedidos!$A$2:$A$1801,0)),"")</f>
        <v/>
      </c>
      <c r="K995" s="25">
        <f>IFERROR(INDEX(Pedidos!$D$2:$D$1801,MATCH(B995,Pedidos!$A$2:$A$1801,0)),"")</f>
        <v/>
      </c>
      <c r="L995" s="25">
        <f>IFERROR(INDEX(Pedidos!$F$2:$F$1801,MATCH(B995,Pedidos!$A$2:$A$1801,0)),"")</f>
        <v/>
      </c>
      <c r="M995" s="26">
        <f>IFERROR(INDEX(Pedidos!$G$2:$G$1801,MATCH(B995,Pedidos!$A$2:$A$1801,0)),0)</f>
        <v/>
      </c>
      <c r="N995" s="25">
        <f>IFERROR(INDEX(Produtos!$B$2:$B$71,MATCH(C995,Produtos!$A$2:$A$71,0)),"")</f>
        <v/>
      </c>
      <c r="O995" s="25">
        <f>IFERROR(INDEX(Produtos!$C$2:$C$71,MATCH(C995,Produtos!$A$2:$A$71,0)),"")</f>
        <v/>
      </c>
      <c r="P995" s="25">
        <f>IFERROR(INDEX(Produtos!$D$2:$D$71,MATCH(C995,Produtos!$A$2:$A$71,0)),0)</f>
        <v/>
      </c>
      <c r="Q995" s="25">
        <f>IFERROR(INDEX(Produtos!$E$2:$E$71,MATCH(C995,Produtos!$A$2:$A$71,0)),0)</f>
        <v/>
      </c>
      <c r="R995" s="27">
        <f>D995*Q995</f>
        <v/>
      </c>
      <c r="S995" s="27">
        <f>R995*E995</f>
        <v/>
      </c>
      <c r="T995" s="27">
        <f>(R995-S995)*M995</f>
        <v/>
      </c>
      <c r="U995" s="27">
        <f>R995-S995-T995</f>
        <v/>
      </c>
      <c r="V995" s="27">
        <f>D995*P995</f>
        <v/>
      </c>
      <c r="W995" s="27">
        <f>U995-V995</f>
        <v/>
      </c>
      <c r="X995" s="28">
        <f>IFERROR(W995/U995,0)</f>
        <v/>
      </c>
    </row>
    <row r="996">
      <c r="A996" s="21">
        <f>ItensPedido!A996</f>
        <v/>
      </c>
      <c r="B996" s="21">
        <f>ItensPedido!B996</f>
        <v/>
      </c>
      <c r="C996" s="21">
        <f>ItensPedido!C996</f>
        <v/>
      </c>
      <c r="D996" s="21">
        <f>ItensPedido!D996</f>
        <v/>
      </c>
      <c r="E996" s="22">
        <f>ItensPedido!E996</f>
        <v/>
      </c>
      <c r="F996" s="21">
        <f>IFERROR(INDEX(Pedidos!$B$2:$B$1801,MATCH(B996,Pedidos!$A$2:$A$1801,0)),0)</f>
        <v/>
      </c>
      <c r="G996" s="21">
        <f>IF(F996=0,"",YEAR(F996))</f>
        <v/>
      </c>
      <c r="H996" s="21">
        <f>IF(F996=0,"",MONTH(F996))</f>
        <v/>
      </c>
      <c r="I996" s="21">
        <f>IFERROR(INDEX(Pedidos!$E$2:$E$1801,MATCH(B996,Pedidos!$A$2:$A$1801,0)),"")</f>
        <v/>
      </c>
      <c r="J996" s="21">
        <f>IFERROR(INDEX(Pedidos!$C$2:$C$1801,MATCH(B996,Pedidos!$A$2:$A$1801,0)),"")</f>
        <v/>
      </c>
      <c r="K996" s="21">
        <f>IFERROR(INDEX(Pedidos!$D$2:$D$1801,MATCH(B996,Pedidos!$A$2:$A$1801,0)),"")</f>
        <v/>
      </c>
      <c r="L996" s="21">
        <f>IFERROR(INDEX(Pedidos!$F$2:$F$1801,MATCH(B996,Pedidos!$A$2:$A$1801,0)),"")</f>
        <v/>
      </c>
      <c r="M996" s="22">
        <f>IFERROR(INDEX(Pedidos!$G$2:$G$1801,MATCH(B996,Pedidos!$A$2:$A$1801,0)),0)</f>
        <v/>
      </c>
      <c r="N996" s="21">
        <f>IFERROR(INDEX(Produtos!$B$2:$B$71,MATCH(C996,Produtos!$A$2:$A$71,0)),"")</f>
        <v/>
      </c>
      <c r="O996" s="21">
        <f>IFERROR(INDEX(Produtos!$C$2:$C$71,MATCH(C996,Produtos!$A$2:$A$71,0)),"")</f>
        <v/>
      </c>
      <c r="P996" s="21">
        <f>IFERROR(INDEX(Produtos!$D$2:$D$71,MATCH(C996,Produtos!$A$2:$A$71,0)),0)</f>
        <v/>
      </c>
      <c r="Q996" s="21">
        <f>IFERROR(INDEX(Produtos!$E$2:$E$71,MATCH(C996,Produtos!$A$2:$A$71,0)),0)</f>
        <v/>
      </c>
      <c r="R996" s="23">
        <f>D996*Q996</f>
        <v/>
      </c>
      <c r="S996" s="23">
        <f>R996*E996</f>
        <v/>
      </c>
      <c r="T996" s="23">
        <f>(R996-S996)*M996</f>
        <v/>
      </c>
      <c r="U996" s="23">
        <f>R996-S996-T996</f>
        <v/>
      </c>
      <c r="V996" s="23">
        <f>D996*P996</f>
        <v/>
      </c>
      <c r="W996" s="23">
        <f>U996-V996</f>
        <v/>
      </c>
      <c r="X996" s="24">
        <f>IFERROR(W996/U996,0)</f>
        <v/>
      </c>
    </row>
    <row r="997">
      <c r="A997" s="25">
        <f>ItensPedido!A997</f>
        <v/>
      </c>
      <c r="B997" s="25">
        <f>ItensPedido!B997</f>
        <v/>
      </c>
      <c r="C997" s="25">
        <f>ItensPedido!C997</f>
        <v/>
      </c>
      <c r="D997" s="25">
        <f>ItensPedido!D997</f>
        <v/>
      </c>
      <c r="E997" s="26">
        <f>ItensPedido!E997</f>
        <v/>
      </c>
      <c r="F997" s="25">
        <f>IFERROR(INDEX(Pedidos!$B$2:$B$1801,MATCH(B997,Pedidos!$A$2:$A$1801,0)),0)</f>
        <v/>
      </c>
      <c r="G997" s="25">
        <f>IF(F997=0,"",YEAR(F997))</f>
        <v/>
      </c>
      <c r="H997" s="25">
        <f>IF(F997=0,"",MONTH(F997))</f>
        <v/>
      </c>
      <c r="I997" s="25">
        <f>IFERROR(INDEX(Pedidos!$E$2:$E$1801,MATCH(B997,Pedidos!$A$2:$A$1801,0)),"")</f>
        <v/>
      </c>
      <c r="J997" s="25">
        <f>IFERROR(INDEX(Pedidos!$C$2:$C$1801,MATCH(B997,Pedidos!$A$2:$A$1801,0)),"")</f>
        <v/>
      </c>
      <c r="K997" s="25">
        <f>IFERROR(INDEX(Pedidos!$D$2:$D$1801,MATCH(B997,Pedidos!$A$2:$A$1801,0)),"")</f>
        <v/>
      </c>
      <c r="L997" s="25">
        <f>IFERROR(INDEX(Pedidos!$F$2:$F$1801,MATCH(B997,Pedidos!$A$2:$A$1801,0)),"")</f>
        <v/>
      </c>
      <c r="M997" s="26">
        <f>IFERROR(INDEX(Pedidos!$G$2:$G$1801,MATCH(B997,Pedidos!$A$2:$A$1801,0)),0)</f>
        <v/>
      </c>
      <c r="N997" s="25">
        <f>IFERROR(INDEX(Produtos!$B$2:$B$71,MATCH(C997,Produtos!$A$2:$A$71,0)),"")</f>
        <v/>
      </c>
      <c r="O997" s="25">
        <f>IFERROR(INDEX(Produtos!$C$2:$C$71,MATCH(C997,Produtos!$A$2:$A$71,0)),"")</f>
        <v/>
      </c>
      <c r="P997" s="25">
        <f>IFERROR(INDEX(Produtos!$D$2:$D$71,MATCH(C997,Produtos!$A$2:$A$71,0)),0)</f>
        <v/>
      </c>
      <c r="Q997" s="25">
        <f>IFERROR(INDEX(Produtos!$E$2:$E$71,MATCH(C997,Produtos!$A$2:$A$71,0)),0)</f>
        <v/>
      </c>
      <c r="R997" s="27">
        <f>D997*Q997</f>
        <v/>
      </c>
      <c r="S997" s="27">
        <f>R997*E997</f>
        <v/>
      </c>
      <c r="T997" s="27">
        <f>(R997-S997)*M997</f>
        <v/>
      </c>
      <c r="U997" s="27">
        <f>R997-S997-T997</f>
        <v/>
      </c>
      <c r="V997" s="27">
        <f>D997*P997</f>
        <v/>
      </c>
      <c r="W997" s="27">
        <f>U997-V997</f>
        <v/>
      </c>
      <c r="X997" s="28">
        <f>IFERROR(W997/U997,0)</f>
        <v/>
      </c>
    </row>
    <row r="998">
      <c r="A998" s="21">
        <f>ItensPedido!A998</f>
        <v/>
      </c>
      <c r="B998" s="21">
        <f>ItensPedido!B998</f>
        <v/>
      </c>
      <c r="C998" s="21">
        <f>ItensPedido!C998</f>
        <v/>
      </c>
      <c r="D998" s="21">
        <f>ItensPedido!D998</f>
        <v/>
      </c>
      <c r="E998" s="22">
        <f>ItensPedido!E998</f>
        <v/>
      </c>
      <c r="F998" s="21">
        <f>IFERROR(INDEX(Pedidos!$B$2:$B$1801,MATCH(B998,Pedidos!$A$2:$A$1801,0)),0)</f>
        <v/>
      </c>
      <c r="G998" s="21">
        <f>IF(F998=0,"",YEAR(F998))</f>
        <v/>
      </c>
      <c r="H998" s="21">
        <f>IF(F998=0,"",MONTH(F998))</f>
        <v/>
      </c>
      <c r="I998" s="21">
        <f>IFERROR(INDEX(Pedidos!$E$2:$E$1801,MATCH(B998,Pedidos!$A$2:$A$1801,0)),"")</f>
        <v/>
      </c>
      <c r="J998" s="21">
        <f>IFERROR(INDEX(Pedidos!$C$2:$C$1801,MATCH(B998,Pedidos!$A$2:$A$1801,0)),"")</f>
        <v/>
      </c>
      <c r="K998" s="21">
        <f>IFERROR(INDEX(Pedidos!$D$2:$D$1801,MATCH(B998,Pedidos!$A$2:$A$1801,0)),"")</f>
        <v/>
      </c>
      <c r="L998" s="21">
        <f>IFERROR(INDEX(Pedidos!$F$2:$F$1801,MATCH(B998,Pedidos!$A$2:$A$1801,0)),"")</f>
        <v/>
      </c>
      <c r="M998" s="22">
        <f>IFERROR(INDEX(Pedidos!$G$2:$G$1801,MATCH(B998,Pedidos!$A$2:$A$1801,0)),0)</f>
        <v/>
      </c>
      <c r="N998" s="21">
        <f>IFERROR(INDEX(Produtos!$B$2:$B$71,MATCH(C998,Produtos!$A$2:$A$71,0)),"")</f>
        <v/>
      </c>
      <c r="O998" s="21">
        <f>IFERROR(INDEX(Produtos!$C$2:$C$71,MATCH(C998,Produtos!$A$2:$A$71,0)),"")</f>
        <v/>
      </c>
      <c r="P998" s="21">
        <f>IFERROR(INDEX(Produtos!$D$2:$D$71,MATCH(C998,Produtos!$A$2:$A$71,0)),0)</f>
        <v/>
      </c>
      <c r="Q998" s="21">
        <f>IFERROR(INDEX(Produtos!$E$2:$E$71,MATCH(C998,Produtos!$A$2:$A$71,0)),0)</f>
        <v/>
      </c>
      <c r="R998" s="23">
        <f>D998*Q998</f>
        <v/>
      </c>
      <c r="S998" s="23">
        <f>R998*E998</f>
        <v/>
      </c>
      <c r="T998" s="23">
        <f>(R998-S998)*M998</f>
        <v/>
      </c>
      <c r="U998" s="23">
        <f>R998-S998-T998</f>
        <v/>
      </c>
      <c r="V998" s="23">
        <f>D998*P998</f>
        <v/>
      </c>
      <c r="W998" s="23">
        <f>U998-V998</f>
        <v/>
      </c>
      <c r="X998" s="24">
        <f>IFERROR(W998/U998,0)</f>
        <v/>
      </c>
    </row>
    <row r="999">
      <c r="A999" s="25">
        <f>ItensPedido!A999</f>
        <v/>
      </c>
      <c r="B999" s="25">
        <f>ItensPedido!B999</f>
        <v/>
      </c>
      <c r="C999" s="25">
        <f>ItensPedido!C999</f>
        <v/>
      </c>
      <c r="D999" s="25">
        <f>ItensPedido!D999</f>
        <v/>
      </c>
      <c r="E999" s="26">
        <f>ItensPedido!E999</f>
        <v/>
      </c>
      <c r="F999" s="25">
        <f>IFERROR(INDEX(Pedidos!$B$2:$B$1801,MATCH(B999,Pedidos!$A$2:$A$1801,0)),0)</f>
        <v/>
      </c>
      <c r="G999" s="25">
        <f>IF(F999=0,"",YEAR(F999))</f>
        <v/>
      </c>
      <c r="H999" s="25">
        <f>IF(F999=0,"",MONTH(F999))</f>
        <v/>
      </c>
      <c r="I999" s="25">
        <f>IFERROR(INDEX(Pedidos!$E$2:$E$1801,MATCH(B999,Pedidos!$A$2:$A$1801,0)),"")</f>
        <v/>
      </c>
      <c r="J999" s="25">
        <f>IFERROR(INDEX(Pedidos!$C$2:$C$1801,MATCH(B999,Pedidos!$A$2:$A$1801,0)),"")</f>
        <v/>
      </c>
      <c r="K999" s="25">
        <f>IFERROR(INDEX(Pedidos!$D$2:$D$1801,MATCH(B999,Pedidos!$A$2:$A$1801,0)),"")</f>
        <v/>
      </c>
      <c r="L999" s="25">
        <f>IFERROR(INDEX(Pedidos!$F$2:$F$1801,MATCH(B999,Pedidos!$A$2:$A$1801,0)),"")</f>
        <v/>
      </c>
      <c r="M999" s="26">
        <f>IFERROR(INDEX(Pedidos!$G$2:$G$1801,MATCH(B999,Pedidos!$A$2:$A$1801,0)),0)</f>
        <v/>
      </c>
      <c r="N999" s="25">
        <f>IFERROR(INDEX(Produtos!$B$2:$B$71,MATCH(C999,Produtos!$A$2:$A$71,0)),"")</f>
        <v/>
      </c>
      <c r="O999" s="25">
        <f>IFERROR(INDEX(Produtos!$C$2:$C$71,MATCH(C999,Produtos!$A$2:$A$71,0)),"")</f>
        <v/>
      </c>
      <c r="P999" s="25">
        <f>IFERROR(INDEX(Produtos!$D$2:$D$71,MATCH(C999,Produtos!$A$2:$A$71,0)),0)</f>
        <v/>
      </c>
      <c r="Q999" s="25">
        <f>IFERROR(INDEX(Produtos!$E$2:$E$71,MATCH(C999,Produtos!$A$2:$A$71,0)),0)</f>
        <v/>
      </c>
      <c r="R999" s="27">
        <f>D999*Q999</f>
        <v/>
      </c>
      <c r="S999" s="27">
        <f>R999*E999</f>
        <v/>
      </c>
      <c r="T999" s="27">
        <f>(R999-S999)*M999</f>
        <v/>
      </c>
      <c r="U999" s="27">
        <f>R999-S999-T999</f>
        <v/>
      </c>
      <c r="V999" s="27">
        <f>D999*P999</f>
        <v/>
      </c>
      <c r="W999" s="27">
        <f>U999-V999</f>
        <v/>
      </c>
      <c r="X999" s="28">
        <f>IFERROR(W999/U999,0)</f>
        <v/>
      </c>
    </row>
    <row r="1000">
      <c r="A1000" s="21">
        <f>ItensPedido!A1000</f>
        <v/>
      </c>
      <c r="B1000" s="21">
        <f>ItensPedido!B1000</f>
        <v/>
      </c>
      <c r="C1000" s="21">
        <f>ItensPedido!C1000</f>
        <v/>
      </c>
      <c r="D1000" s="21">
        <f>ItensPedido!D1000</f>
        <v/>
      </c>
      <c r="E1000" s="22">
        <f>ItensPedido!E1000</f>
        <v/>
      </c>
      <c r="F1000" s="21">
        <f>IFERROR(INDEX(Pedidos!$B$2:$B$1801,MATCH(B1000,Pedidos!$A$2:$A$1801,0)),0)</f>
        <v/>
      </c>
      <c r="G1000" s="21">
        <f>IF(F1000=0,"",YEAR(F1000))</f>
        <v/>
      </c>
      <c r="H1000" s="21">
        <f>IF(F1000=0,"",MONTH(F1000))</f>
        <v/>
      </c>
      <c r="I1000" s="21">
        <f>IFERROR(INDEX(Pedidos!$E$2:$E$1801,MATCH(B1000,Pedidos!$A$2:$A$1801,0)),"")</f>
        <v/>
      </c>
      <c r="J1000" s="21">
        <f>IFERROR(INDEX(Pedidos!$C$2:$C$1801,MATCH(B1000,Pedidos!$A$2:$A$1801,0)),"")</f>
        <v/>
      </c>
      <c r="K1000" s="21">
        <f>IFERROR(INDEX(Pedidos!$D$2:$D$1801,MATCH(B1000,Pedidos!$A$2:$A$1801,0)),"")</f>
        <v/>
      </c>
      <c r="L1000" s="21">
        <f>IFERROR(INDEX(Pedidos!$F$2:$F$1801,MATCH(B1000,Pedidos!$A$2:$A$1801,0)),"")</f>
        <v/>
      </c>
      <c r="M1000" s="22">
        <f>IFERROR(INDEX(Pedidos!$G$2:$G$1801,MATCH(B1000,Pedidos!$A$2:$A$1801,0)),0)</f>
        <v/>
      </c>
      <c r="N1000" s="21">
        <f>IFERROR(INDEX(Produtos!$B$2:$B$71,MATCH(C1000,Produtos!$A$2:$A$71,0)),"")</f>
        <v/>
      </c>
      <c r="O1000" s="21">
        <f>IFERROR(INDEX(Produtos!$C$2:$C$71,MATCH(C1000,Produtos!$A$2:$A$71,0)),"")</f>
        <v/>
      </c>
      <c r="P1000" s="21">
        <f>IFERROR(INDEX(Produtos!$D$2:$D$71,MATCH(C1000,Produtos!$A$2:$A$71,0)),0)</f>
        <v/>
      </c>
      <c r="Q1000" s="21">
        <f>IFERROR(INDEX(Produtos!$E$2:$E$71,MATCH(C1000,Produtos!$A$2:$A$71,0)),0)</f>
        <v/>
      </c>
      <c r="R1000" s="23">
        <f>D1000*Q1000</f>
        <v/>
      </c>
      <c r="S1000" s="23">
        <f>R1000*E1000</f>
        <v/>
      </c>
      <c r="T1000" s="23">
        <f>(R1000-S1000)*M1000</f>
        <v/>
      </c>
      <c r="U1000" s="23">
        <f>R1000-S1000-T1000</f>
        <v/>
      </c>
      <c r="V1000" s="23">
        <f>D1000*P1000</f>
        <v/>
      </c>
      <c r="W1000" s="23">
        <f>U1000-V1000</f>
        <v/>
      </c>
      <c r="X1000" s="24">
        <f>IFERROR(W1000/U1000,0)</f>
        <v/>
      </c>
    </row>
    <row r="1001">
      <c r="A1001" s="25">
        <f>ItensPedido!A1001</f>
        <v/>
      </c>
      <c r="B1001" s="25">
        <f>ItensPedido!B1001</f>
        <v/>
      </c>
      <c r="C1001" s="25">
        <f>ItensPedido!C1001</f>
        <v/>
      </c>
      <c r="D1001" s="25">
        <f>ItensPedido!D1001</f>
        <v/>
      </c>
      <c r="E1001" s="26">
        <f>ItensPedido!E1001</f>
        <v/>
      </c>
      <c r="F1001" s="25">
        <f>IFERROR(INDEX(Pedidos!$B$2:$B$1801,MATCH(B1001,Pedidos!$A$2:$A$1801,0)),0)</f>
        <v/>
      </c>
      <c r="G1001" s="25">
        <f>IF(F1001=0,"",YEAR(F1001))</f>
        <v/>
      </c>
      <c r="H1001" s="25">
        <f>IF(F1001=0,"",MONTH(F1001))</f>
        <v/>
      </c>
      <c r="I1001" s="25">
        <f>IFERROR(INDEX(Pedidos!$E$2:$E$1801,MATCH(B1001,Pedidos!$A$2:$A$1801,0)),"")</f>
        <v/>
      </c>
      <c r="J1001" s="25">
        <f>IFERROR(INDEX(Pedidos!$C$2:$C$1801,MATCH(B1001,Pedidos!$A$2:$A$1801,0)),"")</f>
        <v/>
      </c>
      <c r="K1001" s="25">
        <f>IFERROR(INDEX(Pedidos!$D$2:$D$1801,MATCH(B1001,Pedidos!$A$2:$A$1801,0)),"")</f>
        <v/>
      </c>
      <c r="L1001" s="25">
        <f>IFERROR(INDEX(Pedidos!$F$2:$F$1801,MATCH(B1001,Pedidos!$A$2:$A$1801,0)),"")</f>
        <v/>
      </c>
      <c r="M1001" s="26">
        <f>IFERROR(INDEX(Pedidos!$G$2:$G$1801,MATCH(B1001,Pedidos!$A$2:$A$1801,0)),0)</f>
        <v/>
      </c>
      <c r="N1001" s="25">
        <f>IFERROR(INDEX(Produtos!$B$2:$B$71,MATCH(C1001,Produtos!$A$2:$A$71,0)),"")</f>
        <v/>
      </c>
      <c r="O1001" s="25">
        <f>IFERROR(INDEX(Produtos!$C$2:$C$71,MATCH(C1001,Produtos!$A$2:$A$71,0)),"")</f>
        <v/>
      </c>
      <c r="P1001" s="25">
        <f>IFERROR(INDEX(Produtos!$D$2:$D$71,MATCH(C1001,Produtos!$A$2:$A$71,0)),0)</f>
        <v/>
      </c>
      <c r="Q1001" s="25">
        <f>IFERROR(INDEX(Produtos!$E$2:$E$71,MATCH(C1001,Produtos!$A$2:$A$71,0)),0)</f>
        <v/>
      </c>
      <c r="R1001" s="27">
        <f>D1001*Q1001</f>
        <v/>
      </c>
      <c r="S1001" s="27">
        <f>R1001*E1001</f>
        <v/>
      </c>
      <c r="T1001" s="27">
        <f>(R1001-S1001)*M1001</f>
        <v/>
      </c>
      <c r="U1001" s="27">
        <f>R1001-S1001-T1001</f>
        <v/>
      </c>
      <c r="V1001" s="27">
        <f>D1001*P1001</f>
        <v/>
      </c>
      <c r="W1001" s="27">
        <f>U1001-V1001</f>
        <v/>
      </c>
      <c r="X1001" s="28">
        <f>IFERROR(W1001/U1001,0)</f>
        <v/>
      </c>
    </row>
    <row r="1002">
      <c r="A1002" s="21">
        <f>ItensPedido!A1002</f>
        <v/>
      </c>
      <c r="B1002" s="21">
        <f>ItensPedido!B1002</f>
        <v/>
      </c>
      <c r="C1002" s="21">
        <f>ItensPedido!C1002</f>
        <v/>
      </c>
      <c r="D1002" s="21">
        <f>ItensPedido!D1002</f>
        <v/>
      </c>
      <c r="E1002" s="22">
        <f>ItensPedido!E1002</f>
        <v/>
      </c>
      <c r="F1002" s="21">
        <f>IFERROR(INDEX(Pedidos!$B$2:$B$1801,MATCH(B1002,Pedidos!$A$2:$A$1801,0)),0)</f>
        <v/>
      </c>
      <c r="G1002" s="21">
        <f>IF(F1002=0,"",YEAR(F1002))</f>
        <v/>
      </c>
      <c r="H1002" s="21">
        <f>IF(F1002=0,"",MONTH(F1002))</f>
        <v/>
      </c>
      <c r="I1002" s="21">
        <f>IFERROR(INDEX(Pedidos!$E$2:$E$1801,MATCH(B1002,Pedidos!$A$2:$A$1801,0)),"")</f>
        <v/>
      </c>
      <c r="J1002" s="21">
        <f>IFERROR(INDEX(Pedidos!$C$2:$C$1801,MATCH(B1002,Pedidos!$A$2:$A$1801,0)),"")</f>
        <v/>
      </c>
      <c r="K1002" s="21">
        <f>IFERROR(INDEX(Pedidos!$D$2:$D$1801,MATCH(B1002,Pedidos!$A$2:$A$1801,0)),"")</f>
        <v/>
      </c>
      <c r="L1002" s="21">
        <f>IFERROR(INDEX(Pedidos!$F$2:$F$1801,MATCH(B1002,Pedidos!$A$2:$A$1801,0)),"")</f>
        <v/>
      </c>
      <c r="M1002" s="22">
        <f>IFERROR(INDEX(Pedidos!$G$2:$G$1801,MATCH(B1002,Pedidos!$A$2:$A$1801,0)),0)</f>
        <v/>
      </c>
      <c r="N1002" s="21">
        <f>IFERROR(INDEX(Produtos!$B$2:$B$71,MATCH(C1002,Produtos!$A$2:$A$71,0)),"")</f>
        <v/>
      </c>
      <c r="O1002" s="21">
        <f>IFERROR(INDEX(Produtos!$C$2:$C$71,MATCH(C1002,Produtos!$A$2:$A$71,0)),"")</f>
        <v/>
      </c>
      <c r="P1002" s="21">
        <f>IFERROR(INDEX(Produtos!$D$2:$D$71,MATCH(C1002,Produtos!$A$2:$A$71,0)),0)</f>
        <v/>
      </c>
      <c r="Q1002" s="21">
        <f>IFERROR(INDEX(Produtos!$E$2:$E$71,MATCH(C1002,Produtos!$A$2:$A$71,0)),0)</f>
        <v/>
      </c>
      <c r="R1002" s="23">
        <f>D1002*Q1002</f>
        <v/>
      </c>
      <c r="S1002" s="23">
        <f>R1002*E1002</f>
        <v/>
      </c>
      <c r="T1002" s="23">
        <f>(R1002-S1002)*M1002</f>
        <v/>
      </c>
      <c r="U1002" s="23">
        <f>R1002-S1002-T1002</f>
        <v/>
      </c>
      <c r="V1002" s="23">
        <f>D1002*P1002</f>
        <v/>
      </c>
      <c r="W1002" s="23">
        <f>U1002-V1002</f>
        <v/>
      </c>
      <c r="X1002" s="24">
        <f>IFERROR(W1002/U1002,0)</f>
        <v/>
      </c>
    </row>
    <row r="1003">
      <c r="A1003" s="25">
        <f>ItensPedido!A1003</f>
        <v/>
      </c>
      <c r="B1003" s="25">
        <f>ItensPedido!B1003</f>
        <v/>
      </c>
      <c r="C1003" s="25">
        <f>ItensPedido!C1003</f>
        <v/>
      </c>
      <c r="D1003" s="25">
        <f>ItensPedido!D1003</f>
        <v/>
      </c>
      <c r="E1003" s="26">
        <f>ItensPedido!E1003</f>
        <v/>
      </c>
      <c r="F1003" s="25">
        <f>IFERROR(INDEX(Pedidos!$B$2:$B$1801,MATCH(B1003,Pedidos!$A$2:$A$1801,0)),0)</f>
        <v/>
      </c>
      <c r="G1003" s="25">
        <f>IF(F1003=0,"",YEAR(F1003))</f>
        <v/>
      </c>
      <c r="H1003" s="25">
        <f>IF(F1003=0,"",MONTH(F1003))</f>
        <v/>
      </c>
      <c r="I1003" s="25">
        <f>IFERROR(INDEX(Pedidos!$E$2:$E$1801,MATCH(B1003,Pedidos!$A$2:$A$1801,0)),"")</f>
        <v/>
      </c>
      <c r="J1003" s="25">
        <f>IFERROR(INDEX(Pedidos!$C$2:$C$1801,MATCH(B1003,Pedidos!$A$2:$A$1801,0)),"")</f>
        <v/>
      </c>
      <c r="K1003" s="25">
        <f>IFERROR(INDEX(Pedidos!$D$2:$D$1801,MATCH(B1003,Pedidos!$A$2:$A$1801,0)),"")</f>
        <v/>
      </c>
      <c r="L1003" s="25">
        <f>IFERROR(INDEX(Pedidos!$F$2:$F$1801,MATCH(B1003,Pedidos!$A$2:$A$1801,0)),"")</f>
        <v/>
      </c>
      <c r="M1003" s="26">
        <f>IFERROR(INDEX(Pedidos!$G$2:$G$1801,MATCH(B1003,Pedidos!$A$2:$A$1801,0)),0)</f>
        <v/>
      </c>
      <c r="N1003" s="25">
        <f>IFERROR(INDEX(Produtos!$B$2:$B$71,MATCH(C1003,Produtos!$A$2:$A$71,0)),"")</f>
        <v/>
      </c>
      <c r="O1003" s="25">
        <f>IFERROR(INDEX(Produtos!$C$2:$C$71,MATCH(C1003,Produtos!$A$2:$A$71,0)),"")</f>
        <v/>
      </c>
      <c r="P1003" s="25">
        <f>IFERROR(INDEX(Produtos!$D$2:$D$71,MATCH(C1003,Produtos!$A$2:$A$71,0)),0)</f>
        <v/>
      </c>
      <c r="Q1003" s="25">
        <f>IFERROR(INDEX(Produtos!$E$2:$E$71,MATCH(C1003,Produtos!$A$2:$A$71,0)),0)</f>
        <v/>
      </c>
      <c r="R1003" s="27">
        <f>D1003*Q1003</f>
        <v/>
      </c>
      <c r="S1003" s="27">
        <f>R1003*E1003</f>
        <v/>
      </c>
      <c r="T1003" s="27">
        <f>(R1003-S1003)*M1003</f>
        <v/>
      </c>
      <c r="U1003" s="27">
        <f>R1003-S1003-T1003</f>
        <v/>
      </c>
      <c r="V1003" s="27">
        <f>D1003*P1003</f>
        <v/>
      </c>
      <c r="W1003" s="27">
        <f>U1003-V1003</f>
        <v/>
      </c>
      <c r="X1003" s="28">
        <f>IFERROR(W1003/U1003,0)</f>
        <v/>
      </c>
    </row>
    <row r="1004">
      <c r="A1004" s="21">
        <f>ItensPedido!A1004</f>
        <v/>
      </c>
      <c r="B1004" s="21">
        <f>ItensPedido!B1004</f>
        <v/>
      </c>
      <c r="C1004" s="21">
        <f>ItensPedido!C1004</f>
        <v/>
      </c>
      <c r="D1004" s="21">
        <f>ItensPedido!D1004</f>
        <v/>
      </c>
      <c r="E1004" s="22">
        <f>ItensPedido!E1004</f>
        <v/>
      </c>
      <c r="F1004" s="21">
        <f>IFERROR(INDEX(Pedidos!$B$2:$B$1801,MATCH(B1004,Pedidos!$A$2:$A$1801,0)),0)</f>
        <v/>
      </c>
      <c r="G1004" s="21">
        <f>IF(F1004=0,"",YEAR(F1004))</f>
        <v/>
      </c>
      <c r="H1004" s="21">
        <f>IF(F1004=0,"",MONTH(F1004))</f>
        <v/>
      </c>
      <c r="I1004" s="21">
        <f>IFERROR(INDEX(Pedidos!$E$2:$E$1801,MATCH(B1004,Pedidos!$A$2:$A$1801,0)),"")</f>
        <v/>
      </c>
      <c r="J1004" s="21">
        <f>IFERROR(INDEX(Pedidos!$C$2:$C$1801,MATCH(B1004,Pedidos!$A$2:$A$1801,0)),"")</f>
        <v/>
      </c>
      <c r="K1004" s="21">
        <f>IFERROR(INDEX(Pedidos!$D$2:$D$1801,MATCH(B1004,Pedidos!$A$2:$A$1801,0)),"")</f>
        <v/>
      </c>
      <c r="L1004" s="21">
        <f>IFERROR(INDEX(Pedidos!$F$2:$F$1801,MATCH(B1004,Pedidos!$A$2:$A$1801,0)),"")</f>
        <v/>
      </c>
      <c r="M1004" s="22">
        <f>IFERROR(INDEX(Pedidos!$G$2:$G$1801,MATCH(B1004,Pedidos!$A$2:$A$1801,0)),0)</f>
        <v/>
      </c>
      <c r="N1004" s="21">
        <f>IFERROR(INDEX(Produtos!$B$2:$B$71,MATCH(C1004,Produtos!$A$2:$A$71,0)),"")</f>
        <v/>
      </c>
      <c r="O1004" s="21">
        <f>IFERROR(INDEX(Produtos!$C$2:$C$71,MATCH(C1004,Produtos!$A$2:$A$71,0)),"")</f>
        <v/>
      </c>
      <c r="P1004" s="21">
        <f>IFERROR(INDEX(Produtos!$D$2:$D$71,MATCH(C1004,Produtos!$A$2:$A$71,0)),0)</f>
        <v/>
      </c>
      <c r="Q1004" s="21">
        <f>IFERROR(INDEX(Produtos!$E$2:$E$71,MATCH(C1004,Produtos!$A$2:$A$71,0)),0)</f>
        <v/>
      </c>
      <c r="R1004" s="23">
        <f>D1004*Q1004</f>
        <v/>
      </c>
      <c r="S1004" s="23">
        <f>R1004*E1004</f>
        <v/>
      </c>
      <c r="T1004" s="23">
        <f>(R1004-S1004)*M1004</f>
        <v/>
      </c>
      <c r="U1004" s="23">
        <f>R1004-S1004-T1004</f>
        <v/>
      </c>
      <c r="V1004" s="23">
        <f>D1004*P1004</f>
        <v/>
      </c>
      <c r="W1004" s="23">
        <f>U1004-V1004</f>
        <v/>
      </c>
      <c r="X1004" s="24">
        <f>IFERROR(W1004/U1004,0)</f>
        <v/>
      </c>
    </row>
    <row r="1005">
      <c r="A1005" s="25">
        <f>ItensPedido!A1005</f>
        <v/>
      </c>
      <c r="B1005" s="25">
        <f>ItensPedido!B1005</f>
        <v/>
      </c>
      <c r="C1005" s="25">
        <f>ItensPedido!C1005</f>
        <v/>
      </c>
      <c r="D1005" s="25">
        <f>ItensPedido!D1005</f>
        <v/>
      </c>
      <c r="E1005" s="26">
        <f>ItensPedido!E1005</f>
        <v/>
      </c>
      <c r="F1005" s="25">
        <f>IFERROR(INDEX(Pedidos!$B$2:$B$1801,MATCH(B1005,Pedidos!$A$2:$A$1801,0)),0)</f>
        <v/>
      </c>
      <c r="G1005" s="25">
        <f>IF(F1005=0,"",YEAR(F1005))</f>
        <v/>
      </c>
      <c r="H1005" s="25">
        <f>IF(F1005=0,"",MONTH(F1005))</f>
        <v/>
      </c>
      <c r="I1005" s="25">
        <f>IFERROR(INDEX(Pedidos!$E$2:$E$1801,MATCH(B1005,Pedidos!$A$2:$A$1801,0)),"")</f>
        <v/>
      </c>
      <c r="J1005" s="25">
        <f>IFERROR(INDEX(Pedidos!$C$2:$C$1801,MATCH(B1005,Pedidos!$A$2:$A$1801,0)),"")</f>
        <v/>
      </c>
      <c r="K1005" s="25">
        <f>IFERROR(INDEX(Pedidos!$D$2:$D$1801,MATCH(B1005,Pedidos!$A$2:$A$1801,0)),"")</f>
        <v/>
      </c>
      <c r="L1005" s="25">
        <f>IFERROR(INDEX(Pedidos!$F$2:$F$1801,MATCH(B1005,Pedidos!$A$2:$A$1801,0)),"")</f>
        <v/>
      </c>
      <c r="M1005" s="26">
        <f>IFERROR(INDEX(Pedidos!$G$2:$G$1801,MATCH(B1005,Pedidos!$A$2:$A$1801,0)),0)</f>
        <v/>
      </c>
      <c r="N1005" s="25">
        <f>IFERROR(INDEX(Produtos!$B$2:$B$71,MATCH(C1005,Produtos!$A$2:$A$71,0)),"")</f>
        <v/>
      </c>
      <c r="O1005" s="25">
        <f>IFERROR(INDEX(Produtos!$C$2:$C$71,MATCH(C1005,Produtos!$A$2:$A$71,0)),"")</f>
        <v/>
      </c>
      <c r="P1005" s="25">
        <f>IFERROR(INDEX(Produtos!$D$2:$D$71,MATCH(C1005,Produtos!$A$2:$A$71,0)),0)</f>
        <v/>
      </c>
      <c r="Q1005" s="25">
        <f>IFERROR(INDEX(Produtos!$E$2:$E$71,MATCH(C1005,Produtos!$A$2:$A$71,0)),0)</f>
        <v/>
      </c>
      <c r="R1005" s="27">
        <f>D1005*Q1005</f>
        <v/>
      </c>
      <c r="S1005" s="27">
        <f>R1005*E1005</f>
        <v/>
      </c>
      <c r="T1005" s="27">
        <f>(R1005-S1005)*M1005</f>
        <v/>
      </c>
      <c r="U1005" s="27">
        <f>R1005-S1005-T1005</f>
        <v/>
      </c>
      <c r="V1005" s="27">
        <f>D1005*P1005</f>
        <v/>
      </c>
      <c r="W1005" s="27">
        <f>U1005-V1005</f>
        <v/>
      </c>
      <c r="X1005" s="28">
        <f>IFERROR(W1005/U1005,0)</f>
        <v/>
      </c>
    </row>
    <row r="1006">
      <c r="A1006" s="21">
        <f>ItensPedido!A1006</f>
        <v/>
      </c>
      <c r="B1006" s="21">
        <f>ItensPedido!B1006</f>
        <v/>
      </c>
      <c r="C1006" s="21">
        <f>ItensPedido!C1006</f>
        <v/>
      </c>
      <c r="D1006" s="21">
        <f>ItensPedido!D1006</f>
        <v/>
      </c>
      <c r="E1006" s="22">
        <f>ItensPedido!E1006</f>
        <v/>
      </c>
      <c r="F1006" s="21">
        <f>IFERROR(INDEX(Pedidos!$B$2:$B$1801,MATCH(B1006,Pedidos!$A$2:$A$1801,0)),0)</f>
        <v/>
      </c>
      <c r="G1006" s="21">
        <f>IF(F1006=0,"",YEAR(F1006))</f>
        <v/>
      </c>
      <c r="H1006" s="21">
        <f>IF(F1006=0,"",MONTH(F1006))</f>
        <v/>
      </c>
      <c r="I1006" s="21">
        <f>IFERROR(INDEX(Pedidos!$E$2:$E$1801,MATCH(B1006,Pedidos!$A$2:$A$1801,0)),"")</f>
        <v/>
      </c>
      <c r="J1006" s="21">
        <f>IFERROR(INDEX(Pedidos!$C$2:$C$1801,MATCH(B1006,Pedidos!$A$2:$A$1801,0)),"")</f>
        <v/>
      </c>
      <c r="K1006" s="21">
        <f>IFERROR(INDEX(Pedidos!$D$2:$D$1801,MATCH(B1006,Pedidos!$A$2:$A$1801,0)),"")</f>
        <v/>
      </c>
      <c r="L1006" s="21">
        <f>IFERROR(INDEX(Pedidos!$F$2:$F$1801,MATCH(B1006,Pedidos!$A$2:$A$1801,0)),"")</f>
        <v/>
      </c>
      <c r="M1006" s="22">
        <f>IFERROR(INDEX(Pedidos!$G$2:$G$1801,MATCH(B1006,Pedidos!$A$2:$A$1801,0)),0)</f>
        <v/>
      </c>
      <c r="N1006" s="21">
        <f>IFERROR(INDEX(Produtos!$B$2:$B$71,MATCH(C1006,Produtos!$A$2:$A$71,0)),"")</f>
        <v/>
      </c>
      <c r="O1006" s="21">
        <f>IFERROR(INDEX(Produtos!$C$2:$C$71,MATCH(C1006,Produtos!$A$2:$A$71,0)),"")</f>
        <v/>
      </c>
      <c r="P1006" s="21">
        <f>IFERROR(INDEX(Produtos!$D$2:$D$71,MATCH(C1006,Produtos!$A$2:$A$71,0)),0)</f>
        <v/>
      </c>
      <c r="Q1006" s="21">
        <f>IFERROR(INDEX(Produtos!$E$2:$E$71,MATCH(C1006,Produtos!$A$2:$A$71,0)),0)</f>
        <v/>
      </c>
      <c r="R1006" s="23">
        <f>D1006*Q1006</f>
        <v/>
      </c>
      <c r="S1006" s="23">
        <f>R1006*E1006</f>
        <v/>
      </c>
      <c r="T1006" s="23">
        <f>(R1006-S1006)*M1006</f>
        <v/>
      </c>
      <c r="U1006" s="23">
        <f>R1006-S1006-T1006</f>
        <v/>
      </c>
      <c r="V1006" s="23">
        <f>D1006*P1006</f>
        <v/>
      </c>
      <c r="W1006" s="23">
        <f>U1006-V1006</f>
        <v/>
      </c>
      <c r="X1006" s="24">
        <f>IFERROR(W1006/U1006,0)</f>
        <v/>
      </c>
    </row>
    <row r="1007">
      <c r="A1007" s="25">
        <f>ItensPedido!A1007</f>
        <v/>
      </c>
      <c r="B1007" s="25">
        <f>ItensPedido!B1007</f>
        <v/>
      </c>
      <c r="C1007" s="25">
        <f>ItensPedido!C1007</f>
        <v/>
      </c>
      <c r="D1007" s="25">
        <f>ItensPedido!D1007</f>
        <v/>
      </c>
      <c r="E1007" s="26">
        <f>ItensPedido!E1007</f>
        <v/>
      </c>
      <c r="F1007" s="25">
        <f>IFERROR(INDEX(Pedidos!$B$2:$B$1801,MATCH(B1007,Pedidos!$A$2:$A$1801,0)),0)</f>
        <v/>
      </c>
      <c r="G1007" s="25">
        <f>IF(F1007=0,"",YEAR(F1007))</f>
        <v/>
      </c>
      <c r="H1007" s="25">
        <f>IF(F1007=0,"",MONTH(F1007))</f>
        <v/>
      </c>
      <c r="I1007" s="25">
        <f>IFERROR(INDEX(Pedidos!$E$2:$E$1801,MATCH(B1007,Pedidos!$A$2:$A$1801,0)),"")</f>
        <v/>
      </c>
      <c r="J1007" s="25">
        <f>IFERROR(INDEX(Pedidos!$C$2:$C$1801,MATCH(B1007,Pedidos!$A$2:$A$1801,0)),"")</f>
        <v/>
      </c>
      <c r="K1007" s="25">
        <f>IFERROR(INDEX(Pedidos!$D$2:$D$1801,MATCH(B1007,Pedidos!$A$2:$A$1801,0)),"")</f>
        <v/>
      </c>
      <c r="L1007" s="25">
        <f>IFERROR(INDEX(Pedidos!$F$2:$F$1801,MATCH(B1007,Pedidos!$A$2:$A$1801,0)),"")</f>
        <v/>
      </c>
      <c r="M1007" s="26">
        <f>IFERROR(INDEX(Pedidos!$G$2:$G$1801,MATCH(B1007,Pedidos!$A$2:$A$1801,0)),0)</f>
        <v/>
      </c>
      <c r="N1007" s="25">
        <f>IFERROR(INDEX(Produtos!$B$2:$B$71,MATCH(C1007,Produtos!$A$2:$A$71,0)),"")</f>
        <v/>
      </c>
      <c r="O1007" s="25">
        <f>IFERROR(INDEX(Produtos!$C$2:$C$71,MATCH(C1007,Produtos!$A$2:$A$71,0)),"")</f>
        <v/>
      </c>
      <c r="P1007" s="25">
        <f>IFERROR(INDEX(Produtos!$D$2:$D$71,MATCH(C1007,Produtos!$A$2:$A$71,0)),0)</f>
        <v/>
      </c>
      <c r="Q1007" s="25">
        <f>IFERROR(INDEX(Produtos!$E$2:$E$71,MATCH(C1007,Produtos!$A$2:$A$71,0)),0)</f>
        <v/>
      </c>
      <c r="R1007" s="27">
        <f>D1007*Q1007</f>
        <v/>
      </c>
      <c r="S1007" s="27">
        <f>R1007*E1007</f>
        <v/>
      </c>
      <c r="T1007" s="27">
        <f>(R1007-S1007)*M1007</f>
        <v/>
      </c>
      <c r="U1007" s="27">
        <f>R1007-S1007-T1007</f>
        <v/>
      </c>
      <c r="V1007" s="27">
        <f>D1007*P1007</f>
        <v/>
      </c>
      <c r="W1007" s="27">
        <f>U1007-V1007</f>
        <v/>
      </c>
      <c r="X1007" s="28">
        <f>IFERROR(W1007/U1007,0)</f>
        <v/>
      </c>
    </row>
    <row r="1008">
      <c r="A1008" s="21">
        <f>ItensPedido!A1008</f>
        <v/>
      </c>
      <c r="B1008" s="21">
        <f>ItensPedido!B1008</f>
        <v/>
      </c>
      <c r="C1008" s="21">
        <f>ItensPedido!C1008</f>
        <v/>
      </c>
      <c r="D1008" s="21">
        <f>ItensPedido!D1008</f>
        <v/>
      </c>
      <c r="E1008" s="22">
        <f>ItensPedido!E1008</f>
        <v/>
      </c>
      <c r="F1008" s="21">
        <f>IFERROR(INDEX(Pedidos!$B$2:$B$1801,MATCH(B1008,Pedidos!$A$2:$A$1801,0)),0)</f>
        <v/>
      </c>
      <c r="G1008" s="21">
        <f>IF(F1008=0,"",YEAR(F1008))</f>
        <v/>
      </c>
      <c r="H1008" s="21">
        <f>IF(F1008=0,"",MONTH(F1008))</f>
        <v/>
      </c>
      <c r="I1008" s="21">
        <f>IFERROR(INDEX(Pedidos!$E$2:$E$1801,MATCH(B1008,Pedidos!$A$2:$A$1801,0)),"")</f>
        <v/>
      </c>
      <c r="J1008" s="21">
        <f>IFERROR(INDEX(Pedidos!$C$2:$C$1801,MATCH(B1008,Pedidos!$A$2:$A$1801,0)),"")</f>
        <v/>
      </c>
      <c r="K1008" s="21">
        <f>IFERROR(INDEX(Pedidos!$D$2:$D$1801,MATCH(B1008,Pedidos!$A$2:$A$1801,0)),"")</f>
        <v/>
      </c>
      <c r="L1008" s="21">
        <f>IFERROR(INDEX(Pedidos!$F$2:$F$1801,MATCH(B1008,Pedidos!$A$2:$A$1801,0)),"")</f>
        <v/>
      </c>
      <c r="M1008" s="22">
        <f>IFERROR(INDEX(Pedidos!$G$2:$G$1801,MATCH(B1008,Pedidos!$A$2:$A$1801,0)),0)</f>
        <v/>
      </c>
      <c r="N1008" s="21">
        <f>IFERROR(INDEX(Produtos!$B$2:$B$71,MATCH(C1008,Produtos!$A$2:$A$71,0)),"")</f>
        <v/>
      </c>
      <c r="O1008" s="21">
        <f>IFERROR(INDEX(Produtos!$C$2:$C$71,MATCH(C1008,Produtos!$A$2:$A$71,0)),"")</f>
        <v/>
      </c>
      <c r="P1008" s="21">
        <f>IFERROR(INDEX(Produtos!$D$2:$D$71,MATCH(C1008,Produtos!$A$2:$A$71,0)),0)</f>
        <v/>
      </c>
      <c r="Q1008" s="21">
        <f>IFERROR(INDEX(Produtos!$E$2:$E$71,MATCH(C1008,Produtos!$A$2:$A$71,0)),0)</f>
        <v/>
      </c>
      <c r="R1008" s="23">
        <f>D1008*Q1008</f>
        <v/>
      </c>
      <c r="S1008" s="23">
        <f>R1008*E1008</f>
        <v/>
      </c>
      <c r="T1008" s="23">
        <f>(R1008-S1008)*M1008</f>
        <v/>
      </c>
      <c r="U1008" s="23">
        <f>R1008-S1008-T1008</f>
        <v/>
      </c>
      <c r="V1008" s="23">
        <f>D1008*P1008</f>
        <v/>
      </c>
      <c r="W1008" s="23">
        <f>U1008-V1008</f>
        <v/>
      </c>
      <c r="X1008" s="24">
        <f>IFERROR(W1008/U1008,0)</f>
        <v/>
      </c>
    </row>
    <row r="1009">
      <c r="A1009" s="25">
        <f>ItensPedido!A1009</f>
        <v/>
      </c>
      <c r="B1009" s="25">
        <f>ItensPedido!B1009</f>
        <v/>
      </c>
      <c r="C1009" s="25">
        <f>ItensPedido!C1009</f>
        <v/>
      </c>
      <c r="D1009" s="25">
        <f>ItensPedido!D1009</f>
        <v/>
      </c>
      <c r="E1009" s="26">
        <f>ItensPedido!E1009</f>
        <v/>
      </c>
      <c r="F1009" s="25">
        <f>IFERROR(INDEX(Pedidos!$B$2:$B$1801,MATCH(B1009,Pedidos!$A$2:$A$1801,0)),0)</f>
        <v/>
      </c>
      <c r="G1009" s="25">
        <f>IF(F1009=0,"",YEAR(F1009))</f>
        <v/>
      </c>
      <c r="H1009" s="25">
        <f>IF(F1009=0,"",MONTH(F1009))</f>
        <v/>
      </c>
      <c r="I1009" s="25">
        <f>IFERROR(INDEX(Pedidos!$E$2:$E$1801,MATCH(B1009,Pedidos!$A$2:$A$1801,0)),"")</f>
        <v/>
      </c>
      <c r="J1009" s="25">
        <f>IFERROR(INDEX(Pedidos!$C$2:$C$1801,MATCH(B1009,Pedidos!$A$2:$A$1801,0)),"")</f>
        <v/>
      </c>
      <c r="K1009" s="25">
        <f>IFERROR(INDEX(Pedidos!$D$2:$D$1801,MATCH(B1009,Pedidos!$A$2:$A$1801,0)),"")</f>
        <v/>
      </c>
      <c r="L1009" s="25">
        <f>IFERROR(INDEX(Pedidos!$F$2:$F$1801,MATCH(B1009,Pedidos!$A$2:$A$1801,0)),"")</f>
        <v/>
      </c>
      <c r="M1009" s="26">
        <f>IFERROR(INDEX(Pedidos!$G$2:$G$1801,MATCH(B1009,Pedidos!$A$2:$A$1801,0)),0)</f>
        <v/>
      </c>
      <c r="N1009" s="25">
        <f>IFERROR(INDEX(Produtos!$B$2:$B$71,MATCH(C1009,Produtos!$A$2:$A$71,0)),"")</f>
        <v/>
      </c>
      <c r="O1009" s="25">
        <f>IFERROR(INDEX(Produtos!$C$2:$C$71,MATCH(C1009,Produtos!$A$2:$A$71,0)),"")</f>
        <v/>
      </c>
      <c r="P1009" s="25">
        <f>IFERROR(INDEX(Produtos!$D$2:$D$71,MATCH(C1009,Produtos!$A$2:$A$71,0)),0)</f>
        <v/>
      </c>
      <c r="Q1009" s="25">
        <f>IFERROR(INDEX(Produtos!$E$2:$E$71,MATCH(C1009,Produtos!$A$2:$A$71,0)),0)</f>
        <v/>
      </c>
      <c r="R1009" s="27">
        <f>D1009*Q1009</f>
        <v/>
      </c>
      <c r="S1009" s="27">
        <f>R1009*E1009</f>
        <v/>
      </c>
      <c r="T1009" s="27">
        <f>(R1009-S1009)*M1009</f>
        <v/>
      </c>
      <c r="U1009" s="27">
        <f>R1009-S1009-T1009</f>
        <v/>
      </c>
      <c r="V1009" s="27">
        <f>D1009*P1009</f>
        <v/>
      </c>
      <c r="W1009" s="27">
        <f>U1009-V1009</f>
        <v/>
      </c>
      <c r="X1009" s="28">
        <f>IFERROR(W1009/U1009,0)</f>
        <v/>
      </c>
    </row>
    <row r="1010">
      <c r="A1010" s="21">
        <f>ItensPedido!A1010</f>
        <v/>
      </c>
      <c r="B1010" s="21">
        <f>ItensPedido!B1010</f>
        <v/>
      </c>
      <c r="C1010" s="21">
        <f>ItensPedido!C1010</f>
        <v/>
      </c>
      <c r="D1010" s="21">
        <f>ItensPedido!D1010</f>
        <v/>
      </c>
      <c r="E1010" s="22">
        <f>ItensPedido!E1010</f>
        <v/>
      </c>
      <c r="F1010" s="21">
        <f>IFERROR(INDEX(Pedidos!$B$2:$B$1801,MATCH(B1010,Pedidos!$A$2:$A$1801,0)),0)</f>
        <v/>
      </c>
      <c r="G1010" s="21">
        <f>IF(F1010=0,"",YEAR(F1010))</f>
        <v/>
      </c>
      <c r="H1010" s="21">
        <f>IF(F1010=0,"",MONTH(F1010))</f>
        <v/>
      </c>
      <c r="I1010" s="21">
        <f>IFERROR(INDEX(Pedidos!$E$2:$E$1801,MATCH(B1010,Pedidos!$A$2:$A$1801,0)),"")</f>
        <v/>
      </c>
      <c r="J1010" s="21">
        <f>IFERROR(INDEX(Pedidos!$C$2:$C$1801,MATCH(B1010,Pedidos!$A$2:$A$1801,0)),"")</f>
        <v/>
      </c>
      <c r="K1010" s="21">
        <f>IFERROR(INDEX(Pedidos!$D$2:$D$1801,MATCH(B1010,Pedidos!$A$2:$A$1801,0)),"")</f>
        <v/>
      </c>
      <c r="L1010" s="21">
        <f>IFERROR(INDEX(Pedidos!$F$2:$F$1801,MATCH(B1010,Pedidos!$A$2:$A$1801,0)),"")</f>
        <v/>
      </c>
      <c r="M1010" s="22">
        <f>IFERROR(INDEX(Pedidos!$G$2:$G$1801,MATCH(B1010,Pedidos!$A$2:$A$1801,0)),0)</f>
        <v/>
      </c>
      <c r="N1010" s="21">
        <f>IFERROR(INDEX(Produtos!$B$2:$B$71,MATCH(C1010,Produtos!$A$2:$A$71,0)),"")</f>
        <v/>
      </c>
      <c r="O1010" s="21">
        <f>IFERROR(INDEX(Produtos!$C$2:$C$71,MATCH(C1010,Produtos!$A$2:$A$71,0)),"")</f>
        <v/>
      </c>
      <c r="P1010" s="21">
        <f>IFERROR(INDEX(Produtos!$D$2:$D$71,MATCH(C1010,Produtos!$A$2:$A$71,0)),0)</f>
        <v/>
      </c>
      <c r="Q1010" s="21">
        <f>IFERROR(INDEX(Produtos!$E$2:$E$71,MATCH(C1010,Produtos!$A$2:$A$71,0)),0)</f>
        <v/>
      </c>
      <c r="R1010" s="23">
        <f>D1010*Q1010</f>
        <v/>
      </c>
      <c r="S1010" s="23">
        <f>R1010*E1010</f>
        <v/>
      </c>
      <c r="T1010" s="23">
        <f>(R1010-S1010)*M1010</f>
        <v/>
      </c>
      <c r="U1010" s="23">
        <f>R1010-S1010-T1010</f>
        <v/>
      </c>
      <c r="V1010" s="23">
        <f>D1010*P1010</f>
        <v/>
      </c>
      <c r="W1010" s="23">
        <f>U1010-V1010</f>
        <v/>
      </c>
      <c r="X1010" s="24">
        <f>IFERROR(W1010/U1010,0)</f>
        <v/>
      </c>
    </row>
    <row r="1011">
      <c r="A1011" s="25">
        <f>ItensPedido!A1011</f>
        <v/>
      </c>
      <c r="B1011" s="25">
        <f>ItensPedido!B1011</f>
        <v/>
      </c>
      <c r="C1011" s="25">
        <f>ItensPedido!C1011</f>
        <v/>
      </c>
      <c r="D1011" s="25">
        <f>ItensPedido!D1011</f>
        <v/>
      </c>
      <c r="E1011" s="26">
        <f>ItensPedido!E1011</f>
        <v/>
      </c>
      <c r="F1011" s="25">
        <f>IFERROR(INDEX(Pedidos!$B$2:$B$1801,MATCH(B1011,Pedidos!$A$2:$A$1801,0)),0)</f>
        <v/>
      </c>
      <c r="G1011" s="25">
        <f>IF(F1011=0,"",YEAR(F1011))</f>
        <v/>
      </c>
      <c r="H1011" s="25">
        <f>IF(F1011=0,"",MONTH(F1011))</f>
        <v/>
      </c>
      <c r="I1011" s="25">
        <f>IFERROR(INDEX(Pedidos!$E$2:$E$1801,MATCH(B1011,Pedidos!$A$2:$A$1801,0)),"")</f>
        <v/>
      </c>
      <c r="J1011" s="25">
        <f>IFERROR(INDEX(Pedidos!$C$2:$C$1801,MATCH(B1011,Pedidos!$A$2:$A$1801,0)),"")</f>
        <v/>
      </c>
      <c r="K1011" s="25">
        <f>IFERROR(INDEX(Pedidos!$D$2:$D$1801,MATCH(B1011,Pedidos!$A$2:$A$1801,0)),"")</f>
        <v/>
      </c>
      <c r="L1011" s="25">
        <f>IFERROR(INDEX(Pedidos!$F$2:$F$1801,MATCH(B1011,Pedidos!$A$2:$A$1801,0)),"")</f>
        <v/>
      </c>
      <c r="M1011" s="26">
        <f>IFERROR(INDEX(Pedidos!$G$2:$G$1801,MATCH(B1011,Pedidos!$A$2:$A$1801,0)),0)</f>
        <v/>
      </c>
      <c r="N1011" s="25">
        <f>IFERROR(INDEX(Produtos!$B$2:$B$71,MATCH(C1011,Produtos!$A$2:$A$71,0)),"")</f>
        <v/>
      </c>
      <c r="O1011" s="25">
        <f>IFERROR(INDEX(Produtos!$C$2:$C$71,MATCH(C1011,Produtos!$A$2:$A$71,0)),"")</f>
        <v/>
      </c>
      <c r="P1011" s="25">
        <f>IFERROR(INDEX(Produtos!$D$2:$D$71,MATCH(C1011,Produtos!$A$2:$A$71,0)),0)</f>
        <v/>
      </c>
      <c r="Q1011" s="25">
        <f>IFERROR(INDEX(Produtos!$E$2:$E$71,MATCH(C1011,Produtos!$A$2:$A$71,0)),0)</f>
        <v/>
      </c>
      <c r="R1011" s="27">
        <f>D1011*Q1011</f>
        <v/>
      </c>
      <c r="S1011" s="27">
        <f>R1011*E1011</f>
        <v/>
      </c>
      <c r="T1011" s="27">
        <f>(R1011-S1011)*M1011</f>
        <v/>
      </c>
      <c r="U1011" s="27">
        <f>R1011-S1011-T1011</f>
        <v/>
      </c>
      <c r="V1011" s="27">
        <f>D1011*P1011</f>
        <v/>
      </c>
      <c r="W1011" s="27">
        <f>U1011-V1011</f>
        <v/>
      </c>
      <c r="X1011" s="28">
        <f>IFERROR(W1011/U1011,0)</f>
        <v/>
      </c>
    </row>
    <row r="1012">
      <c r="A1012" s="21">
        <f>ItensPedido!A1012</f>
        <v/>
      </c>
      <c r="B1012" s="21">
        <f>ItensPedido!B1012</f>
        <v/>
      </c>
      <c r="C1012" s="21">
        <f>ItensPedido!C1012</f>
        <v/>
      </c>
      <c r="D1012" s="21">
        <f>ItensPedido!D1012</f>
        <v/>
      </c>
      <c r="E1012" s="22">
        <f>ItensPedido!E1012</f>
        <v/>
      </c>
      <c r="F1012" s="21">
        <f>IFERROR(INDEX(Pedidos!$B$2:$B$1801,MATCH(B1012,Pedidos!$A$2:$A$1801,0)),0)</f>
        <v/>
      </c>
      <c r="G1012" s="21">
        <f>IF(F1012=0,"",YEAR(F1012))</f>
        <v/>
      </c>
      <c r="H1012" s="21">
        <f>IF(F1012=0,"",MONTH(F1012))</f>
        <v/>
      </c>
      <c r="I1012" s="21">
        <f>IFERROR(INDEX(Pedidos!$E$2:$E$1801,MATCH(B1012,Pedidos!$A$2:$A$1801,0)),"")</f>
        <v/>
      </c>
      <c r="J1012" s="21">
        <f>IFERROR(INDEX(Pedidos!$C$2:$C$1801,MATCH(B1012,Pedidos!$A$2:$A$1801,0)),"")</f>
        <v/>
      </c>
      <c r="K1012" s="21">
        <f>IFERROR(INDEX(Pedidos!$D$2:$D$1801,MATCH(B1012,Pedidos!$A$2:$A$1801,0)),"")</f>
        <v/>
      </c>
      <c r="L1012" s="21">
        <f>IFERROR(INDEX(Pedidos!$F$2:$F$1801,MATCH(B1012,Pedidos!$A$2:$A$1801,0)),"")</f>
        <v/>
      </c>
      <c r="M1012" s="22">
        <f>IFERROR(INDEX(Pedidos!$G$2:$G$1801,MATCH(B1012,Pedidos!$A$2:$A$1801,0)),0)</f>
        <v/>
      </c>
      <c r="N1012" s="21">
        <f>IFERROR(INDEX(Produtos!$B$2:$B$71,MATCH(C1012,Produtos!$A$2:$A$71,0)),"")</f>
        <v/>
      </c>
      <c r="O1012" s="21">
        <f>IFERROR(INDEX(Produtos!$C$2:$C$71,MATCH(C1012,Produtos!$A$2:$A$71,0)),"")</f>
        <v/>
      </c>
      <c r="P1012" s="21">
        <f>IFERROR(INDEX(Produtos!$D$2:$D$71,MATCH(C1012,Produtos!$A$2:$A$71,0)),0)</f>
        <v/>
      </c>
      <c r="Q1012" s="21">
        <f>IFERROR(INDEX(Produtos!$E$2:$E$71,MATCH(C1012,Produtos!$A$2:$A$71,0)),0)</f>
        <v/>
      </c>
      <c r="R1012" s="23">
        <f>D1012*Q1012</f>
        <v/>
      </c>
      <c r="S1012" s="23">
        <f>R1012*E1012</f>
        <v/>
      </c>
      <c r="T1012" s="23">
        <f>(R1012-S1012)*M1012</f>
        <v/>
      </c>
      <c r="U1012" s="23">
        <f>R1012-S1012-T1012</f>
        <v/>
      </c>
      <c r="V1012" s="23">
        <f>D1012*P1012</f>
        <v/>
      </c>
      <c r="W1012" s="23">
        <f>U1012-V1012</f>
        <v/>
      </c>
      <c r="X1012" s="24">
        <f>IFERROR(W1012/U1012,0)</f>
        <v/>
      </c>
    </row>
    <row r="1013">
      <c r="A1013" s="25">
        <f>ItensPedido!A1013</f>
        <v/>
      </c>
      <c r="B1013" s="25">
        <f>ItensPedido!B1013</f>
        <v/>
      </c>
      <c r="C1013" s="25">
        <f>ItensPedido!C1013</f>
        <v/>
      </c>
      <c r="D1013" s="25">
        <f>ItensPedido!D1013</f>
        <v/>
      </c>
      <c r="E1013" s="26">
        <f>ItensPedido!E1013</f>
        <v/>
      </c>
      <c r="F1013" s="25">
        <f>IFERROR(INDEX(Pedidos!$B$2:$B$1801,MATCH(B1013,Pedidos!$A$2:$A$1801,0)),0)</f>
        <v/>
      </c>
      <c r="G1013" s="25">
        <f>IF(F1013=0,"",YEAR(F1013))</f>
        <v/>
      </c>
      <c r="H1013" s="25">
        <f>IF(F1013=0,"",MONTH(F1013))</f>
        <v/>
      </c>
      <c r="I1013" s="25">
        <f>IFERROR(INDEX(Pedidos!$E$2:$E$1801,MATCH(B1013,Pedidos!$A$2:$A$1801,0)),"")</f>
        <v/>
      </c>
      <c r="J1013" s="25">
        <f>IFERROR(INDEX(Pedidos!$C$2:$C$1801,MATCH(B1013,Pedidos!$A$2:$A$1801,0)),"")</f>
        <v/>
      </c>
      <c r="K1013" s="25">
        <f>IFERROR(INDEX(Pedidos!$D$2:$D$1801,MATCH(B1013,Pedidos!$A$2:$A$1801,0)),"")</f>
        <v/>
      </c>
      <c r="L1013" s="25">
        <f>IFERROR(INDEX(Pedidos!$F$2:$F$1801,MATCH(B1013,Pedidos!$A$2:$A$1801,0)),"")</f>
        <v/>
      </c>
      <c r="M1013" s="26">
        <f>IFERROR(INDEX(Pedidos!$G$2:$G$1801,MATCH(B1013,Pedidos!$A$2:$A$1801,0)),0)</f>
        <v/>
      </c>
      <c r="N1013" s="25">
        <f>IFERROR(INDEX(Produtos!$B$2:$B$71,MATCH(C1013,Produtos!$A$2:$A$71,0)),"")</f>
        <v/>
      </c>
      <c r="O1013" s="25">
        <f>IFERROR(INDEX(Produtos!$C$2:$C$71,MATCH(C1013,Produtos!$A$2:$A$71,0)),"")</f>
        <v/>
      </c>
      <c r="P1013" s="25">
        <f>IFERROR(INDEX(Produtos!$D$2:$D$71,MATCH(C1013,Produtos!$A$2:$A$71,0)),0)</f>
        <v/>
      </c>
      <c r="Q1013" s="25">
        <f>IFERROR(INDEX(Produtos!$E$2:$E$71,MATCH(C1013,Produtos!$A$2:$A$71,0)),0)</f>
        <v/>
      </c>
      <c r="R1013" s="27">
        <f>D1013*Q1013</f>
        <v/>
      </c>
      <c r="S1013" s="27">
        <f>R1013*E1013</f>
        <v/>
      </c>
      <c r="T1013" s="27">
        <f>(R1013-S1013)*M1013</f>
        <v/>
      </c>
      <c r="U1013" s="27">
        <f>R1013-S1013-T1013</f>
        <v/>
      </c>
      <c r="V1013" s="27">
        <f>D1013*P1013</f>
        <v/>
      </c>
      <c r="W1013" s="27">
        <f>U1013-V1013</f>
        <v/>
      </c>
      <c r="X1013" s="28">
        <f>IFERROR(W1013/U1013,0)</f>
        <v/>
      </c>
    </row>
    <row r="1014">
      <c r="A1014" s="21">
        <f>ItensPedido!A1014</f>
        <v/>
      </c>
      <c r="B1014" s="21">
        <f>ItensPedido!B1014</f>
        <v/>
      </c>
      <c r="C1014" s="21">
        <f>ItensPedido!C1014</f>
        <v/>
      </c>
      <c r="D1014" s="21">
        <f>ItensPedido!D1014</f>
        <v/>
      </c>
      <c r="E1014" s="22">
        <f>ItensPedido!E1014</f>
        <v/>
      </c>
      <c r="F1014" s="21">
        <f>IFERROR(INDEX(Pedidos!$B$2:$B$1801,MATCH(B1014,Pedidos!$A$2:$A$1801,0)),0)</f>
        <v/>
      </c>
      <c r="G1014" s="21">
        <f>IF(F1014=0,"",YEAR(F1014))</f>
        <v/>
      </c>
      <c r="H1014" s="21">
        <f>IF(F1014=0,"",MONTH(F1014))</f>
        <v/>
      </c>
      <c r="I1014" s="21">
        <f>IFERROR(INDEX(Pedidos!$E$2:$E$1801,MATCH(B1014,Pedidos!$A$2:$A$1801,0)),"")</f>
        <v/>
      </c>
      <c r="J1014" s="21">
        <f>IFERROR(INDEX(Pedidos!$C$2:$C$1801,MATCH(B1014,Pedidos!$A$2:$A$1801,0)),"")</f>
        <v/>
      </c>
      <c r="K1014" s="21">
        <f>IFERROR(INDEX(Pedidos!$D$2:$D$1801,MATCH(B1014,Pedidos!$A$2:$A$1801,0)),"")</f>
        <v/>
      </c>
      <c r="L1014" s="21">
        <f>IFERROR(INDEX(Pedidos!$F$2:$F$1801,MATCH(B1014,Pedidos!$A$2:$A$1801,0)),"")</f>
        <v/>
      </c>
      <c r="M1014" s="22">
        <f>IFERROR(INDEX(Pedidos!$G$2:$G$1801,MATCH(B1014,Pedidos!$A$2:$A$1801,0)),0)</f>
        <v/>
      </c>
      <c r="N1014" s="21">
        <f>IFERROR(INDEX(Produtos!$B$2:$B$71,MATCH(C1014,Produtos!$A$2:$A$71,0)),"")</f>
        <v/>
      </c>
      <c r="O1014" s="21">
        <f>IFERROR(INDEX(Produtos!$C$2:$C$71,MATCH(C1014,Produtos!$A$2:$A$71,0)),"")</f>
        <v/>
      </c>
      <c r="P1014" s="21">
        <f>IFERROR(INDEX(Produtos!$D$2:$D$71,MATCH(C1014,Produtos!$A$2:$A$71,0)),0)</f>
        <v/>
      </c>
      <c r="Q1014" s="21">
        <f>IFERROR(INDEX(Produtos!$E$2:$E$71,MATCH(C1014,Produtos!$A$2:$A$71,0)),0)</f>
        <v/>
      </c>
      <c r="R1014" s="23">
        <f>D1014*Q1014</f>
        <v/>
      </c>
      <c r="S1014" s="23">
        <f>R1014*E1014</f>
        <v/>
      </c>
      <c r="T1014" s="23">
        <f>(R1014-S1014)*M1014</f>
        <v/>
      </c>
      <c r="U1014" s="23">
        <f>R1014-S1014-T1014</f>
        <v/>
      </c>
      <c r="V1014" s="23">
        <f>D1014*P1014</f>
        <v/>
      </c>
      <c r="W1014" s="23">
        <f>U1014-V1014</f>
        <v/>
      </c>
      <c r="X1014" s="24">
        <f>IFERROR(W1014/U1014,0)</f>
        <v/>
      </c>
    </row>
    <row r="1015">
      <c r="A1015" s="25">
        <f>ItensPedido!A1015</f>
        <v/>
      </c>
      <c r="B1015" s="25">
        <f>ItensPedido!B1015</f>
        <v/>
      </c>
      <c r="C1015" s="25">
        <f>ItensPedido!C1015</f>
        <v/>
      </c>
      <c r="D1015" s="25">
        <f>ItensPedido!D1015</f>
        <v/>
      </c>
      <c r="E1015" s="26">
        <f>ItensPedido!E1015</f>
        <v/>
      </c>
      <c r="F1015" s="25">
        <f>IFERROR(INDEX(Pedidos!$B$2:$B$1801,MATCH(B1015,Pedidos!$A$2:$A$1801,0)),0)</f>
        <v/>
      </c>
      <c r="G1015" s="25">
        <f>IF(F1015=0,"",YEAR(F1015))</f>
        <v/>
      </c>
      <c r="H1015" s="25">
        <f>IF(F1015=0,"",MONTH(F1015))</f>
        <v/>
      </c>
      <c r="I1015" s="25">
        <f>IFERROR(INDEX(Pedidos!$E$2:$E$1801,MATCH(B1015,Pedidos!$A$2:$A$1801,0)),"")</f>
        <v/>
      </c>
      <c r="J1015" s="25">
        <f>IFERROR(INDEX(Pedidos!$C$2:$C$1801,MATCH(B1015,Pedidos!$A$2:$A$1801,0)),"")</f>
        <v/>
      </c>
      <c r="K1015" s="25">
        <f>IFERROR(INDEX(Pedidos!$D$2:$D$1801,MATCH(B1015,Pedidos!$A$2:$A$1801,0)),"")</f>
        <v/>
      </c>
      <c r="L1015" s="25">
        <f>IFERROR(INDEX(Pedidos!$F$2:$F$1801,MATCH(B1015,Pedidos!$A$2:$A$1801,0)),"")</f>
        <v/>
      </c>
      <c r="M1015" s="26">
        <f>IFERROR(INDEX(Pedidos!$G$2:$G$1801,MATCH(B1015,Pedidos!$A$2:$A$1801,0)),0)</f>
        <v/>
      </c>
      <c r="N1015" s="25">
        <f>IFERROR(INDEX(Produtos!$B$2:$B$71,MATCH(C1015,Produtos!$A$2:$A$71,0)),"")</f>
        <v/>
      </c>
      <c r="O1015" s="25">
        <f>IFERROR(INDEX(Produtos!$C$2:$C$71,MATCH(C1015,Produtos!$A$2:$A$71,0)),"")</f>
        <v/>
      </c>
      <c r="P1015" s="25">
        <f>IFERROR(INDEX(Produtos!$D$2:$D$71,MATCH(C1015,Produtos!$A$2:$A$71,0)),0)</f>
        <v/>
      </c>
      <c r="Q1015" s="25">
        <f>IFERROR(INDEX(Produtos!$E$2:$E$71,MATCH(C1015,Produtos!$A$2:$A$71,0)),0)</f>
        <v/>
      </c>
      <c r="R1015" s="27">
        <f>D1015*Q1015</f>
        <v/>
      </c>
      <c r="S1015" s="27">
        <f>R1015*E1015</f>
        <v/>
      </c>
      <c r="T1015" s="27">
        <f>(R1015-S1015)*M1015</f>
        <v/>
      </c>
      <c r="U1015" s="27">
        <f>R1015-S1015-T1015</f>
        <v/>
      </c>
      <c r="V1015" s="27">
        <f>D1015*P1015</f>
        <v/>
      </c>
      <c r="W1015" s="27">
        <f>U1015-V1015</f>
        <v/>
      </c>
      <c r="X1015" s="28">
        <f>IFERROR(W1015/U1015,0)</f>
        <v/>
      </c>
    </row>
    <row r="1016">
      <c r="A1016" s="21">
        <f>ItensPedido!A1016</f>
        <v/>
      </c>
      <c r="B1016" s="21">
        <f>ItensPedido!B1016</f>
        <v/>
      </c>
      <c r="C1016" s="21">
        <f>ItensPedido!C1016</f>
        <v/>
      </c>
      <c r="D1016" s="21">
        <f>ItensPedido!D1016</f>
        <v/>
      </c>
      <c r="E1016" s="22">
        <f>ItensPedido!E1016</f>
        <v/>
      </c>
      <c r="F1016" s="21">
        <f>IFERROR(INDEX(Pedidos!$B$2:$B$1801,MATCH(B1016,Pedidos!$A$2:$A$1801,0)),0)</f>
        <v/>
      </c>
      <c r="G1016" s="21">
        <f>IF(F1016=0,"",YEAR(F1016))</f>
        <v/>
      </c>
      <c r="H1016" s="21">
        <f>IF(F1016=0,"",MONTH(F1016))</f>
        <v/>
      </c>
      <c r="I1016" s="21">
        <f>IFERROR(INDEX(Pedidos!$E$2:$E$1801,MATCH(B1016,Pedidos!$A$2:$A$1801,0)),"")</f>
        <v/>
      </c>
      <c r="J1016" s="21">
        <f>IFERROR(INDEX(Pedidos!$C$2:$C$1801,MATCH(B1016,Pedidos!$A$2:$A$1801,0)),"")</f>
        <v/>
      </c>
      <c r="K1016" s="21">
        <f>IFERROR(INDEX(Pedidos!$D$2:$D$1801,MATCH(B1016,Pedidos!$A$2:$A$1801,0)),"")</f>
        <v/>
      </c>
      <c r="L1016" s="21">
        <f>IFERROR(INDEX(Pedidos!$F$2:$F$1801,MATCH(B1016,Pedidos!$A$2:$A$1801,0)),"")</f>
        <v/>
      </c>
      <c r="M1016" s="22">
        <f>IFERROR(INDEX(Pedidos!$G$2:$G$1801,MATCH(B1016,Pedidos!$A$2:$A$1801,0)),0)</f>
        <v/>
      </c>
      <c r="N1016" s="21">
        <f>IFERROR(INDEX(Produtos!$B$2:$B$71,MATCH(C1016,Produtos!$A$2:$A$71,0)),"")</f>
        <v/>
      </c>
      <c r="O1016" s="21">
        <f>IFERROR(INDEX(Produtos!$C$2:$C$71,MATCH(C1016,Produtos!$A$2:$A$71,0)),"")</f>
        <v/>
      </c>
      <c r="P1016" s="21">
        <f>IFERROR(INDEX(Produtos!$D$2:$D$71,MATCH(C1016,Produtos!$A$2:$A$71,0)),0)</f>
        <v/>
      </c>
      <c r="Q1016" s="21">
        <f>IFERROR(INDEX(Produtos!$E$2:$E$71,MATCH(C1016,Produtos!$A$2:$A$71,0)),0)</f>
        <v/>
      </c>
      <c r="R1016" s="23">
        <f>D1016*Q1016</f>
        <v/>
      </c>
      <c r="S1016" s="23">
        <f>R1016*E1016</f>
        <v/>
      </c>
      <c r="T1016" s="23">
        <f>(R1016-S1016)*M1016</f>
        <v/>
      </c>
      <c r="U1016" s="23">
        <f>R1016-S1016-T1016</f>
        <v/>
      </c>
      <c r="V1016" s="23">
        <f>D1016*P1016</f>
        <v/>
      </c>
      <c r="W1016" s="23">
        <f>U1016-V1016</f>
        <v/>
      </c>
      <c r="X1016" s="24">
        <f>IFERROR(W1016/U1016,0)</f>
        <v/>
      </c>
    </row>
    <row r="1017">
      <c r="A1017" s="25">
        <f>ItensPedido!A1017</f>
        <v/>
      </c>
      <c r="B1017" s="25">
        <f>ItensPedido!B1017</f>
        <v/>
      </c>
      <c r="C1017" s="25">
        <f>ItensPedido!C1017</f>
        <v/>
      </c>
      <c r="D1017" s="25">
        <f>ItensPedido!D1017</f>
        <v/>
      </c>
      <c r="E1017" s="26">
        <f>ItensPedido!E1017</f>
        <v/>
      </c>
      <c r="F1017" s="25">
        <f>IFERROR(INDEX(Pedidos!$B$2:$B$1801,MATCH(B1017,Pedidos!$A$2:$A$1801,0)),0)</f>
        <v/>
      </c>
      <c r="G1017" s="25">
        <f>IF(F1017=0,"",YEAR(F1017))</f>
        <v/>
      </c>
      <c r="H1017" s="25">
        <f>IF(F1017=0,"",MONTH(F1017))</f>
        <v/>
      </c>
      <c r="I1017" s="25">
        <f>IFERROR(INDEX(Pedidos!$E$2:$E$1801,MATCH(B1017,Pedidos!$A$2:$A$1801,0)),"")</f>
        <v/>
      </c>
      <c r="J1017" s="25">
        <f>IFERROR(INDEX(Pedidos!$C$2:$C$1801,MATCH(B1017,Pedidos!$A$2:$A$1801,0)),"")</f>
        <v/>
      </c>
      <c r="K1017" s="25">
        <f>IFERROR(INDEX(Pedidos!$D$2:$D$1801,MATCH(B1017,Pedidos!$A$2:$A$1801,0)),"")</f>
        <v/>
      </c>
      <c r="L1017" s="25">
        <f>IFERROR(INDEX(Pedidos!$F$2:$F$1801,MATCH(B1017,Pedidos!$A$2:$A$1801,0)),"")</f>
        <v/>
      </c>
      <c r="M1017" s="26">
        <f>IFERROR(INDEX(Pedidos!$G$2:$G$1801,MATCH(B1017,Pedidos!$A$2:$A$1801,0)),0)</f>
        <v/>
      </c>
      <c r="N1017" s="25">
        <f>IFERROR(INDEX(Produtos!$B$2:$B$71,MATCH(C1017,Produtos!$A$2:$A$71,0)),"")</f>
        <v/>
      </c>
      <c r="O1017" s="25">
        <f>IFERROR(INDEX(Produtos!$C$2:$C$71,MATCH(C1017,Produtos!$A$2:$A$71,0)),"")</f>
        <v/>
      </c>
      <c r="P1017" s="25">
        <f>IFERROR(INDEX(Produtos!$D$2:$D$71,MATCH(C1017,Produtos!$A$2:$A$71,0)),0)</f>
        <v/>
      </c>
      <c r="Q1017" s="25">
        <f>IFERROR(INDEX(Produtos!$E$2:$E$71,MATCH(C1017,Produtos!$A$2:$A$71,0)),0)</f>
        <v/>
      </c>
      <c r="R1017" s="27">
        <f>D1017*Q1017</f>
        <v/>
      </c>
      <c r="S1017" s="27">
        <f>R1017*E1017</f>
        <v/>
      </c>
      <c r="T1017" s="27">
        <f>(R1017-S1017)*M1017</f>
        <v/>
      </c>
      <c r="U1017" s="27">
        <f>R1017-S1017-T1017</f>
        <v/>
      </c>
      <c r="V1017" s="27">
        <f>D1017*P1017</f>
        <v/>
      </c>
      <c r="W1017" s="27">
        <f>U1017-V1017</f>
        <v/>
      </c>
      <c r="X1017" s="28">
        <f>IFERROR(W1017/U1017,0)</f>
        <v/>
      </c>
    </row>
    <row r="1018">
      <c r="A1018" s="21">
        <f>ItensPedido!A1018</f>
        <v/>
      </c>
      <c r="B1018" s="21">
        <f>ItensPedido!B1018</f>
        <v/>
      </c>
      <c r="C1018" s="21">
        <f>ItensPedido!C1018</f>
        <v/>
      </c>
      <c r="D1018" s="21">
        <f>ItensPedido!D1018</f>
        <v/>
      </c>
      <c r="E1018" s="22">
        <f>ItensPedido!E1018</f>
        <v/>
      </c>
      <c r="F1018" s="21">
        <f>IFERROR(INDEX(Pedidos!$B$2:$B$1801,MATCH(B1018,Pedidos!$A$2:$A$1801,0)),0)</f>
        <v/>
      </c>
      <c r="G1018" s="21">
        <f>IF(F1018=0,"",YEAR(F1018))</f>
        <v/>
      </c>
      <c r="H1018" s="21">
        <f>IF(F1018=0,"",MONTH(F1018))</f>
        <v/>
      </c>
      <c r="I1018" s="21">
        <f>IFERROR(INDEX(Pedidos!$E$2:$E$1801,MATCH(B1018,Pedidos!$A$2:$A$1801,0)),"")</f>
        <v/>
      </c>
      <c r="J1018" s="21">
        <f>IFERROR(INDEX(Pedidos!$C$2:$C$1801,MATCH(B1018,Pedidos!$A$2:$A$1801,0)),"")</f>
        <v/>
      </c>
      <c r="K1018" s="21">
        <f>IFERROR(INDEX(Pedidos!$D$2:$D$1801,MATCH(B1018,Pedidos!$A$2:$A$1801,0)),"")</f>
        <v/>
      </c>
      <c r="L1018" s="21">
        <f>IFERROR(INDEX(Pedidos!$F$2:$F$1801,MATCH(B1018,Pedidos!$A$2:$A$1801,0)),"")</f>
        <v/>
      </c>
      <c r="M1018" s="22">
        <f>IFERROR(INDEX(Pedidos!$G$2:$G$1801,MATCH(B1018,Pedidos!$A$2:$A$1801,0)),0)</f>
        <v/>
      </c>
      <c r="N1018" s="21">
        <f>IFERROR(INDEX(Produtos!$B$2:$B$71,MATCH(C1018,Produtos!$A$2:$A$71,0)),"")</f>
        <v/>
      </c>
      <c r="O1018" s="21">
        <f>IFERROR(INDEX(Produtos!$C$2:$C$71,MATCH(C1018,Produtos!$A$2:$A$71,0)),"")</f>
        <v/>
      </c>
      <c r="P1018" s="21">
        <f>IFERROR(INDEX(Produtos!$D$2:$D$71,MATCH(C1018,Produtos!$A$2:$A$71,0)),0)</f>
        <v/>
      </c>
      <c r="Q1018" s="21">
        <f>IFERROR(INDEX(Produtos!$E$2:$E$71,MATCH(C1018,Produtos!$A$2:$A$71,0)),0)</f>
        <v/>
      </c>
      <c r="R1018" s="23">
        <f>D1018*Q1018</f>
        <v/>
      </c>
      <c r="S1018" s="23">
        <f>R1018*E1018</f>
        <v/>
      </c>
      <c r="T1018" s="23">
        <f>(R1018-S1018)*M1018</f>
        <v/>
      </c>
      <c r="U1018" s="23">
        <f>R1018-S1018-T1018</f>
        <v/>
      </c>
      <c r="V1018" s="23">
        <f>D1018*P1018</f>
        <v/>
      </c>
      <c r="W1018" s="23">
        <f>U1018-V1018</f>
        <v/>
      </c>
      <c r="X1018" s="24">
        <f>IFERROR(W1018/U1018,0)</f>
        <v/>
      </c>
    </row>
    <row r="1019">
      <c r="A1019" s="25">
        <f>ItensPedido!A1019</f>
        <v/>
      </c>
      <c r="B1019" s="25">
        <f>ItensPedido!B1019</f>
        <v/>
      </c>
      <c r="C1019" s="25">
        <f>ItensPedido!C1019</f>
        <v/>
      </c>
      <c r="D1019" s="25">
        <f>ItensPedido!D1019</f>
        <v/>
      </c>
      <c r="E1019" s="26">
        <f>ItensPedido!E1019</f>
        <v/>
      </c>
      <c r="F1019" s="25">
        <f>IFERROR(INDEX(Pedidos!$B$2:$B$1801,MATCH(B1019,Pedidos!$A$2:$A$1801,0)),0)</f>
        <v/>
      </c>
      <c r="G1019" s="25">
        <f>IF(F1019=0,"",YEAR(F1019))</f>
        <v/>
      </c>
      <c r="H1019" s="25">
        <f>IF(F1019=0,"",MONTH(F1019))</f>
        <v/>
      </c>
      <c r="I1019" s="25">
        <f>IFERROR(INDEX(Pedidos!$E$2:$E$1801,MATCH(B1019,Pedidos!$A$2:$A$1801,0)),"")</f>
        <v/>
      </c>
      <c r="J1019" s="25">
        <f>IFERROR(INDEX(Pedidos!$C$2:$C$1801,MATCH(B1019,Pedidos!$A$2:$A$1801,0)),"")</f>
        <v/>
      </c>
      <c r="K1019" s="25">
        <f>IFERROR(INDEX(Pedidos!$D$2:$D$1801,MATCH(B1019,Pedidos!$A$2:$A$1801,0)),"")</f>
        <v/>
      </c>
      <c r="L1019" s="25">
        <f>IFERROR(INDEX(Pedidos!$F$2:$F$1801,MATCH(B1019,Pedidos!$A$2:$A$1801,0)),"")</f>
        <v/>
      </c>
      <c r="M1019" s="26">
        <f>IFERROR(INDEX(Pedidos!$G$2:$G$1801,MATCH(B1019,Pedidos!$A$2:$A$1801,0)),0)</f>
        <v/>
      </c>
      <c r="N1019" s="25">
        <f>IFERROR(INDEX(Produtos!$B$2:$B$71,MATCH(C1019,Produtos!$A$2:$A$71,0)),"")</f>
        <v/>
      </c>
      <c r="O1019" s="25">
        <f>IFERROR(INDEX(Produtos!$C$2:$C$71,MATCH(C1019,Produtos!$A$2:$A$71,0)),"")</f>
        <v/>
      </c>
      <c r="P1019" s="25">
        <f>IFERROR(INDEX(Produtos!$D$2:$D$71,MATCH(C1019,Produtos!$A$2:$A$71,0)),0)</f>
        <v/>
      </c>
      <c r="Q1019" s="25">
        <f>IFERROR(INDEX(Produtos!$E$2:$E$71,MATCH(C1019,Produtos!$A$2:$A$71,0)),0)</f>
        <v/>
      </c>
      <c r="R1019" s="27">
        <f>D1019*Q1019</f>
        <v/>
      </c>
      <c r="S1019" s="27">
        <f>R1019*E1019</f>
        <v/>
      </c>
      <c r="T1019" s="27">
        <f>(R1019-S1019)*M1019</f>
        <v/>
      </c>
      <c r="U1019" s="27">
        <f>R1019-S1019-T1019</f>
        <v/>
      </c>
      <c r="V1019" s="27">
        <f>D1019*P1019</f>
        <v/>
      </c>
      <c r="W1019" s="27">
        <f>U1019-V1019</f>
        <v/>
      </c>
      <c r="X1019" s="28">
        <f>IFERROR(W1019/U1019,0)</f>
        <v/>
      </c>
    </row>
    <row r="1020">
      <c r="A1020" s="21">
        <f>ItensPedido!A1020</f>
        <v/>
      </c>
      <c r="B1020" s="21">
        <f>ItensPedido!B1020</f>
        <v/>
      </c>
      <c r="C1020" s="21">
        <f>ItensPedido!C1020</f>
        <v/>
      </c>
      <c r="D1020" s="21">
        <f>ItensPedido!D1020</f>
        <v/>
      </c>
      <c r="E1020" s="22">
        <f>ItensPedido!E1020</f>
        <v/>
      </c>
      <c r="F1020" s="21">
        <f>IFERROR(INDEX(Pedidos!$B$2:$B$1801,MATCH(B1020,Pedidos!$A$2:$A$1801,0)),0)</f>
        <v/>
      </c>
      <c r="G1020" s="21">
        <f>IF(F1020=0,"",YEAR(F1020))</f>
        <v/>
      </c>
      <c r="H1020" s="21">
        <f>IF(F1020=0,"",MONTH(F1020))</f>
        <v/>
      </c>
      <c r="I1020" s="21">
        <f>IFERROR(INDEX(Pedidos!$E$2:$E$1801,MATCH(B1020,Pedidos!$A$2:$A$1801,0)),"")</f>
        <v/>
      </c>
      <c r="J1020" s="21">
        <f>IFERROR(INDEX(Pedidos!$C$2:$C$1801,MATCH(B1020,Pedidos!$A$2:$A$1801,0)),"")</f>
        <v/>
      </c>
      <c r="K1020" s="21">
        <f>IFERROR(INDEX(Pedidos!$D$2:$D$1801,MATCH(B1020,Pedidos!$A$2:$A$1801,0)),"")</f>
        <v/>
      </c>
      <c r="L1020" s="21">
        <f>IFERROR(INDEX(Pedidos!$F$2:$F$1801,MATCH(B1020,Pedidos!$A$2:$A$1801,0)),"")</f>
        <v/>
      </c>
      <c r="M1020" s="22">
        <f>IFERROR(INDEX(Pedidos!$G$2:$G$1801,MATCH(B1020,Pedidos!$A$2:$A$1801,0)),0)</f>
        <v/>
      </c>
      <c r="N1020" s="21">
        <f>IFERROR(INDEX(Produtos!$B$2:$B$71,MATCH(C1020,Produtos!$A$2:$A$71,0)),"")</f>
        <v/>
      </c>
      <c r="O1020" s="21">
        <f>IFERROR(INDEX(Produtos!$C$2:$C$71,MATCH(C1020,Produtos!$A$2:$A$71,0)),"")</f>
        <v/>
      </c>
      <c r="P1020" s="21">
        <f>IFERROR(INDEX(Produtos!$D$2:$D$71,MATCH(C1020,Produtos!$A$2:$A$71,0)),0)</f>
        <v/>
      </c>
      <c r="Q1020" s="21">
        <f>IFERROR(INDEX(Produtos!$E$2:$E$71,MATCH(C1020,Produtos!$A$2:$A$71,0)),0)</f>
        <v/>
      </c>
      <c r="R1020" s="23">
        <f>D1020*Q1020</f>
        <v/>
      </c>
      <c r="S1020" s="23">
        <f>R1020*E1020</f>
        <v/>
      </c>
      <c r="T1020" s="23">
        <f>(R1020-S1020)*M1020</f>
        <v/>
      </c>
      <c r="U1020" s="23">
        <f>R1020-S1020-T1020</f>
        <v/>
      </c>
      <c r="V1020" s="23">
        <f>D1020*P1020</f>
        <v/>
      </c>
      <c r="W1020" s="23">
        <f>U1020-V1020</f>
        <v/>
      </c>
      <c r="X1020" s="24">
        <f>IFERROR(W1020/U1020,0)</f>
        <v/>
      </c>
    </row>
    <row r="1021">
      <c r="A1021" s="25">
        <f>ItensPedido!A1021</f>
        <v/>
      </c>
      <c r="B1021" s="25">
        <f>ItensPedido!B1021</f>
        <v/>
      </c>
      <c r="C1021" s="25">
        <f>ItensPedido!C1021</f>
        <v/>
      </c>
      <c r="D1021" s="25">
        <f>ItensPedido!D1021</f>
        <v/>
      </c>
      <c r="E1021" s="26">
        <f>ItensPedido!E1021</f>
        <v/>
      </c>
      <c r="F1021" s="25">
        <f>IFERROR(INDEX(Pedidos!$B$2:$B$1801,MATCH(B1021,Pedidos!$A$2:$A$1801,0)),0)</f>
        <v/>
      </c>
      <c r="G1021" s="25">
        <f>IF(F1021=0,"",YEAR(F1021))</f>
        <v/>
      </c>
      <c r="H1021" s="25">
        <f>IF(F1021=0,"",MONTH(F1021))</f>
        <v/>
      </c>
      <c r="I1021" s="25">
        <f>IFERROR(INDEX(Pedidos!$E$2:$E$1801,MATCH(B1021,Pedidos!$A$2:$A$1801,0)),"")</f>
        <v/>
      </c>
      <c r="J1021" s="25">
        <f>IFERROR(INDEX(Pedidos!$C$2:$C$1801,MATCH(B1021,Pedidos!$A$2:$A$1801,0)),"")</f>
        <v/>
      </c>
      <c r="K1021" s="25">
        <f>IFERROR(INDEX(Pedidos!$D$2:$D$1801,MATCH(B1021,Pedidos!$A$2:$A$1801,0)),"")</f>
        <v/>
      </c>
      <c r="L1021" s="25">
        <f>IFERROR(INDEX(Pedidos!$F$2:$F$1801,MATCH(B1021,Pedidos!$A$2:$A$1801,0)),"")</f>
        <v/>
      </c>
      <c r="M1021" s="26">
        <f>IFERROR(INDEX(Pedidos!$G$2:$G$1801,MATCH(B1021,Pedidos!$A$2:$A$1801,0)),0)</f>
        <v/>
      </c>
      <c r="N1021" s="25">
        <f>IFERROR(INDEX(Produtos!$B$2:$B$71,MATCH(C1021,Produtos!$A$2:$A$71,0)),"")</f>
        <v/>
      </c>
      <c r="O1021" s="25">
        <f>IFERROR(INDEX(Produtos!$C$2:$C$71,MATCH(C1021,Produtos!$A$2:$A$71,0)),"")</f>
        <v/>
      </c>
      <c r="P1021" s="25">
        <f>IFERROR(INDEX(Produtos!$D$2:$D$71,MATCH(C1021,Produtos!$A$2:$A$71,0)),0)</f>
        <v/>
      </c>
      <c r="Q1021" s="25">
        <f>IFERROR(INDEX(Produtos!$E$2:$E$71,MATCH(C1021,Produtos!$A$2:$A$71,0)),0)</f>
        <v/>
      </c>
      <c r="R1021" s="27">
        <f>D1021*Q1021</f>
        <v/>
      </c>
      <c r="S1021" s="27">
        <f>R1021*E1021</f>
        <v/>
      </c>
      <c r="T1021" s="27">
        <f>(R1021-S1021)*M1021</f>
        <v/>
      </c>
      <c r="U1021" s="27">
        <f>R1021-S1021-T1021</f>
        <v/>
      </c>
      <c r="V1021" s="27">
        <f>D1021*P1021</f>
        <v/>
      </c>
      <c r="W1021" s="27">
        <f>U1021-V1021</f>
        <v/>
      </c>
      <c r="X1021" s="28">
        <f>IFERROR(W1021/U1021,0)</f>
        <v/>
      </c>
    </row>
    <row r="1022">
      <c r="A1022" s="21">
        <f>ItensPedido!A1022</f>
        <v/>
      </c>
      <c r="B1022" s="21">
        <f>ItensPedido!B1022</f>
        <v/>
      </c>
      <c r="C1022" s="21">
        <f>ItensPedido!C1022</f>
        <v/>
      </c>
      <c r="D1022" s="21">
        <f>ItensPedido!D1022</f>
        <v/>
      </c>
      <c r="E1022" s="22">
        <f>ItensPedido!E1022</f>
        <v/>
      </c>
      <c r="F1022" s="21">
        <f>IFERROR(INDEX(Pedidos!$B$2:$B$1801,MATCH(B1022,Pedidos!$A$2:$A$1801,0)),0)</f>
        <v/>
      </c>
      <c r="G1022" s="21">
        <f>IF(F1022=0,"",YEAR(F1022))</f>
        <v/>
      </c>
      <c r="H1022" s="21">
        <f>IF(F1022=0,"",MONTH(F1022))</f>
        <v/>
      </c>
      <c r="I1022" s="21">
        <f>IFERROR(INDEX(Pedidos!$E$2:$E$1801,MATCH(B1022,Pedidos!$A$2:$A$1801,0)),"")</f>
        <v/>
      </c>
      <c r="J1022" s="21">
        <f>IFERROR(INDEX(Pedidos!$C$2:$C$1801,MATCH(B1022,Pedidos!$A$2:$A$1801,0)),"")</f>
        <v/>
      </c>
      <c r="K1022" s="21">
        <f>IFERROR(INDEX(Pedidos!$D$2:$D$1801,MATCH(B1022,Pedidos!$A$2:$A$1801,0)),"")</f>
        <v/>
      </c>
      <c r="L1022" s="21">
        <f>IFERROR(INDEX(Pedidos!$F$2:$F$1801,MATCH(B1022,Pedidos!$A$2:$A$1801,0)),"")</f>
        <v/>
      </c>
      <c r="M1022" s="22">
        <f>IFERROR(INDEX(Pedidos!$G$2:$G$1801,MATCH(B1022,Pedidos!$A$2:$A$1801,0)),0)</f>
        <v/>
      </c>
      <c r="N1022" s="21">
        <f>IFERROR(INDEX(Produtos!$B$2:$B$71,MATCH(C1022,Produtos!$A$2:$A$71,0)),"")</f>
        <v/>
      </c>
      <c r="O1022" s="21">
        <f>IFERROR(INDEX(Produtos!$C$2:$C$71,MATCH(C1022,Produtos!$A$2:$A$71,0)),"")</f>
        <v/>
      </c>
      <c r="P1022" s="21">
        <f>IFERROR(INDEX(Produtos!$D$2:$D$71,MATCH(C1022,Produtos!$A$2:$A$71,0)),0)</f>
        <v/>
      </c>
      <c r="Q1022" s="21">
        <f>IFERROR(INDEX(Produtos!$E$2:$E$71,MATCH(C1022,Produtos!$A$2:$A$71,0)),0)</f>
        <v/>
      </c>
      <c r="R1022" s="23">
        <f>D1022*Q1022</f>
        <v/>
      </c>
      <c r="S1022" s="23">
        <f>R1022*E1022</f>
        <v/>
      </c>
      <c r="T1022" s="23">
        <f>(R1022-S1022)*M1022</f>
        <v/>
      </c>
      <c r="U1022" s="23">
        <f>R1022-S1022-T1022</f>
        <v/>
      </c>
      <c r="V1022" s="23">
        <f>D1022*P1022</f>
        <v/>
      </c>
      <c r="W1022" s="23">
        <f>U1022-V1022</f>
        <v/>
      </c>
      <c r="X1022" s="24">
        <f>IFERROR(W1022/U1022,0)</f>
        <v/>
      </c>
    </row>
    <row r="1023">
      <c r="A1023" s="25">
        <f>ItensPedido!A1023</f>
        <v/>
      </c>
      <c r="B1023" s="25">
        <f>ItensPedido!B1023</f>
        <v/>
      </c>
      <c r="C1023" s="25">
        <f>ItensPedido!C1023</f>
        <v/>
      </c>
      <c r="D1023" s="25">
        <f>ItensPedido!D1023</f>
        <v/>
      </c>
      <c r="E1023" s="26">
        <f>ItensPedido!E1023</f>
        <v/>
      </c>
      <c r="F1023" s="25">
        <f>IFERROR(INDEX(Pedidos!$B$2:$B$1801,MATCH(B1023,Pedidos!$A$2:$A$1801,0)),0)</f>
        <v/>
      </c>
      <c r="G1023" s="25">
        <f>IF(F1023=0,"",YEAR(F1023))</f>
        <v/>
      </c>
      <c r="H1023" s="25">
        <f>IF(F1023=0,"",MONTH(F1023))</f>
        <v/>
      </c>
      <c r="I1023" s="25">
        <f>IFERROR(INDEX(Pedidos!$E$2:$E$1801,MATCH(B1023,Pedidos!$A$2:$A$1801,0)),"")</f>
        <v/>
      </c>
      <c r="J1023" s="25">
        <f>IFERROR(INDEX(Pedidos!$C$2:$C$1801,MATCH(B1023,Pedidos!$A$2:$A$1801,0)),"")</f>
        <v/>
      </c>
      <c r="K1023" s="25">
        <f>IFERROR(INDEX(Pedidos!$D$2:$D$1801,MATCH(B1023,Pedidos!$A$2:$A$1801,0)),"")</f>
        <v/>
      </c>
      <c r="L1023" s="25">
        <f>IFERROR(INDEX(Pedidos!$F$2:$F$1801,MATCH(B1023,Pedidos!$A$2:$A$1801,0)),"")</f>
        <v/>
      </c>
      <c r="M1023" s="26">
        <f>IFERROR(INDEX(Pedidos!$G$2:$G$1801,MATCH(B1023,Pedidos!$A$2:$A$1801,0)),0)</f>
        <v/>
      </c>
      <c r="N1023" s="25">
        <f>IFERROR(INDEX(Produtos!$B$2:$B$71,MATCH(C1023,Produtos!$A$2:$A$71,0)),"")</f>
        <v/>
      </c>
      <c r="O1023" s="25">
        <f>IFERROR(INDEX(Produtos!$C$2:$C$71,MATCH(C1023,Produtos!$A$2:$A$71,0)),"")</f>
        <v/>
      </c>
      <c r="P1023" s="25">
        <f>IFERROR(INDEX(Produtos!$D$2:$D$71,MATCH(C1023,Produtos!$A$2:$A$71,0)),0)</f>
        <v/>
      </c>
      <c r="Q1023" s="25">
        <f>IFERROR(INDEX(Produtos!$E$2:$E$71,MATCH(C1023,Produtos!$A$2:$A$71,0)),0)</f>
        <v/>
      </c>
      <c r="R1023" s="27">
        <f>D1023*Q1023</f>
        <v/>
      </c>
      <c r="S1023" s="27">
        <f>R1023*E1023</f>
        <v/>
      </c>
      <c r="T1023" s="27">
        <f>(R1023-S1023)*M1023</f>
        <v/>
      </c>
      <c r="U1023" s="27">
        <f>R1023-S1023-T1023</f>
        <v/>
      </c>
      <c r="V1023" s="27">
        <f>D1023*P1023</f>
        <v/>
      </c>
      <c r="W1023" s="27">
        <f>U1023-V1023</f>
        <v/>
      </c>
      <c r="X1023" s="28">
        <f>IFERROR(W1023/U1023,0)</f>
        <v/>
      </c>
    </row>
    <row r="1024">
      <c r="A1024" s="21">
        <f>ItensPedido!A1024</f>
        <v/>
      </c>
      <c r="B1024" s="21">
        <f>ItensPedido!B1024</f>
        <v/>
      </c>
      <c r="C1024" s="21">
        <f>ItensPedido!C1024</f>
        <v/>
      </c>
      <c r="D1024" s="21">
        <f>ItensPedido!D1024</f>
        <v/>
      </c>
      <c r="E1024" s="22">
        <f>ItensPedido!E1024</f>
        <v/>
      </c>
      <c r="F1024" s="21">
        <f>IFERROR(INDEX(Pedidos!$B$2:$B$1801,MATCH(B1024,Pedidos!$A$2:$A$1801,0)),0)</f>
        <v/>
      </c>
      <c r="G1024" s="21">
        <f>IF(F1024=0,"",YEAR(F1024))</f>
        <v/>
      </c>
      <c r="H1024" s="21">
        <f>IF(F1024=0,"",MONTH(F1024))</f>
        <v/>
      </c>
      <c r="I1024" s="21">
        <f>IFERROR(INDEX(Pedidos!$E$2:$E$1801,MATCH(B1024,Pedidos!$A$2:$A$1801,0)),"")</f>
        <v/>
      </c>
      <c r="J1024" s="21">
        <f>IFERROR(INDEX(Pedidos!$C$2:$C$1801,MATCH(B1024,Pedidos!$A$2:$A$1801,0)),"")</f>
        <v/>
      </c>
      <c r="K1024" s="21">
        <f>IFERROR(INDEX(Pedidos!$D$2:$D$1801,MATCH(B1024,Pedidos!$A$2:$A$1801,0)),"")</f>
        <v/>
      </c>
      <c r="L1024" s="21">
        <f>IFERROR(INDEX(Pedidos!$F$2:$F$1801,MATCH(B1024,Pedidos!$A$2:$A$1801,0)),"")</f>
        <v/>
      </c>
      <c r="M1024" s="22">
        <f>IFERROR(INDEX(Pedidos!$G$2:$G$1801,MATCH(B1024,Pedidos!$A$2:$A$1801,0)),0)</f>
        <v/>
      </c>
      <c r="N1024" s="21">
        <f>IFERROR(INDEX(Produtos!$B$2:$B$71,MATCH(C1024,Produtos!$A$2:$A$71,0)),"")</f>
        <v/>
      </c>
      <c r="O1024" s="21">
        <f>IFERROR(INDEX(Produtos!$C$2:$C$71,MATCH(C1024,Produtos!$A$2:$A$71,0)),"")</f>
        <v/>
      </c>
      <c r="P1024" s="21">
        <f>IFERROR(INDEX(Produtos!$D$2:$D$71,MATCH(C1024,Produtos!$A$2:$A$71,0)),0)</f>
        <v/>
      </c>
      <c r="Q1024" s="21">
        <f>IFERROR(INDEX(Produtos!$E$2:$E$71,MATCH(C1024,Produtos!$A$2:$A$71,0)),0)</f>
        <v/>
      </c>
      <c r="R1024" s="23">
        <f>D1024*Q1024</f>
        <v/>
      </c>
      <c r="S1024" s="23">
        <f>R1024*E1024</f>
        <v/>
      </c>
      <c r="T1024" s="23">
        <f>(R1024-S1024)*M1024</f>
        <v/>
      </c>
      <c r="U1024" s="23">
        <f>R1024-S1024-T1024</f>
        <v/>
      </c>
      <c r="V1024" s="23">
        <f>D1024*P1024</f>
        <v/>
      </c>
      <c r="W1024" s="23">
        <f>U1024-V1024</f>
        <v/>
      </c>
      <c r="X1024" s="24">
        <f>IFERROR(W1024/U1024,0)</f>
        <v/>
      </c>
    </row>
    <row r="1025">
      <c r="A1025" s="25">
        <f>ItensPedido!A1025</f>
        <v/>
      </c>
      <c r="B1025" s="25">
        <f>ItensPedido!B1025</f>
        <v/>
      </c>
      <c r="C1025" s="25">
        <f>ItensPedido!C1025</f>
        <v/>
      </c>
      <c r="D1025" s="25">
        <f>ItensPedido!D1025</f>
        <v/>
      </c>
      <c r="E1025" s="26">
        <f>ItensPedido!E1025</f>
        <v/>
      </c>
      <c r="F1025" s="25">
        <f>IFERROR(INDEX(Pedidos!$B$2:$B$1801,MATCH(B1025,Pedidos!$A$2:$A$1801,0)),0)</f>
        <v/>
      </c>
      <c r="G1025" s="25">
        <f>IF(F1025=0,"",YEAR(F1025))</f>
        <v/>
      </c>
      <c r="H1025" s="25">
        <f>IF(F1025=0,"",MONTH(F1025))</f>
        <v/>
      </c>
      <c r="I1025" s="25">
        <f>IFERROR(INDEX(Pedidos!$E$2:$E$1801,MATCH(B1025,Pedidos!$A$2:$A$1801,0)),"")</f>
        <v/>
      </c>
      <c r="J1025" s="25">
        <f>IFERROR(INDEX(Pedidos!$C$2:$C$1801,MATCH(B1025,Pedidos!$A$2:$A$1801,0)),"")</f>
        <v/>
      </c>
      <c r="K1025" s="25">
        <f>IFERROR(INDEX(Pedidos!$D$2:$D$1801,MATCH(B1025,Pedidos!$A$2:$A$1801,0)),"")</f>
        <v/>
      </c>
      <c r="L1025" s="25">
        <f>IFERROR(INDEX(Pedidos!$F$2:$F$1801,MATCH(B1025,Pedidos!$A$2:$A$1801,0)),"")</f>
        <v/>
      </c>
      <c r="M1025" s="26">
        <f>IFERROR(INDEX(Pedidos!$G$2:$G$1801,MATCH(B1025,Pedidos!$A$2:$A$1801,0)),0)</f>
        <v/>
      </c>
      <c r="N1025" s="25">
        <f>IFERROR(INDEX(Produtos!$B$2:$B$71,MATCH(C1025,Produtos!$A$2:$A$71,0)),"")</f>
        <v/>
      </c>
      <c r="O1025" s="25">
        <f>IFERROR(INDEX(Produtos!$C$2:$C$71,MATCH(C1025,Produtos!$A$2:$A$71,0)),"")</f>
        <v/>
      </c>
      <c r="P1025" s="25">
        <f>IFERROR(INDEX(Produtos!$D$2:$D$71,MATCH(C1025,Produtos!$A$2:$A$71,0)),0)</f>
        <v/>
      </c>
      <c r="Q1025" s="25">
        <f>IFERROR(INDEX(Produtos!$E$2:$E$71,MATCH(C1025,Produtos!$A$2:$A$71,0)),0)</f>
        <v/>
      </c>
      <c r="R1025" s="27">
        <f>D1025*Q1025</f>
        <v/>
      </c>
      <c r="S1025" s="27">
        <f>R1025*E1025</f>
        <v/>
      </c>
      <c r="T1025" s="27">
        <f>(R1025-S1025)*M1025</f>
        <v/>
      </c>
      <c r="U1025" s="27">
        <f>R1025-S1025-T1025</f>
        <v/>
      </c>
      <c r="V1025" s="27">
        <f>D1025*P1025</f>
        <v/>
      </c>
      <c r="W1025" s="27">
        <f>U1025-V1025</f>
        <v/>
      </c>
      <c r="X1025" s="28">
        <f>IFERROR(W1025/U1025,0)</f>
        <v/>
      </c>
    </row>
    <row r="1026">
      <c r="A1026" s="21">
        <f>ItensPedido!A1026</f>
        <v/>
      </c>
      <c r="B1026" s="21">
        <f>ItensPedido!B1026</f>
        <v/>
      </c>
      <c r="C1026" s="21">
        <f>ItensPedido!C1026</f>
        <v/>
      </c>
      <c r="D1026" s="21">
        <f>ItensPedido!D1026</f>
        <v/>
      </c>
      <c r="E1026" s="22">
        <f>ItensPedido!E1026</f>
        <v/>
      </c>
      <c r="F1026" s="21">
        <f>IFERROR(INDEX(Pedidos!$B$2:$B$1801,MATCH(B1026,Pedidos!$A$2:$A$1801,0)),0)</f>
        <v/>
      </c>
      <c r="G1026" s="21">
        <f>IF(F1026=0,"",YEAR(F1026))</f>
        <v/>
      </c>
      <c r="H1026" s="21">
        <f>IF(F1026=0,"",MONTH(F1026))</f>
        <v/>
      </c>
      <c r="I1026" s="21">
        <f>IFERROR(INDEX(Pedidos!$E$2:$E$1801,MATCH(B1026,Pedidos!$A$2:$A$1801,0)),"")</f>
        <v/>
      </c>
      <c r="J1026" s="21">
        <f>IFERROR(INDEX(Pedidos!$C$2:$C$1801,MATCH(B1026,Pedidos!$A$2:$A$1801,0)),"")</f>
        <v/>
      </c>
      <c r="K1026" s="21">
        <f>IFERROR(INDEX(Pedidos!$D$2:$D$1801,MATCH(B1026,Pedidos!$A$2:$A$1801,0)),"")</f>
        <v/>
      </c>
      <c r="L1026" s="21">
        <f>IFERROR(INDEX(Pedidos!$F$2:$F$1801,MATCH(B1026,Pedidos!$A$2:$A$1801,0)),"")</f>
        <v/>
      </c>
      <c r="M1026" s="22">
        <f>IFERROR(INDEX(Pedidos!$G$2:$G$1801,MATCH(B1026,Pedidos!$A$2:$A$1801,0)),0)</f>
        <v/>
      </c>
      <c r="N1026" s="21">
        <f>IFERROR(INDEX(Produtos!$B$2:$B$71,MATCH(C1026,Produtos!$A$2:$A$71,0)),"")</f>
        <v/>
      </c>
      <c r="O1026" s="21">
        <f>IFERROR(INDEX(Produtos!$C$2:$C$71,MATCH(C1026,Produtos!$A$2:$A$71,0)),"")</f>
        <v/>
      </c>
      <c r="P1026" s="21">
        <f>IFERROR(INDEX(Produtos!$D$2:$D$71,MATCH(C1026,Produtos!$A$2:$A$71,0)),0)</f>
        <v/>
      </c>
      <c r="Q1026" s="21">
        <f>IFERROR(INDEX(Produtos!$E$2:$E$71,MATCH(C1026,Produtos!$A$2:$A$71,0)),0)</f>
        <v/>
      </c>
      <c r="R1026" s="23">
        <f>D1026*Q1026</f>
        <v/>
      </c>
      <c r="S1026" s="23">
        <f>R1026*E1026</f>
        <v/>
      </c>
      <c r="T1026" s="23">
        <f>(R1026-S1026)*M1026</f>
        <v/>
      </c>
      <c r="U1026" s="23">
        <f>R1026-S1026-T1026</f>
        <v/>
      </c>
      <c r="V1026" s="23">
        <f>D1026*P1026</f>
        <v/>
      </c>
      <c r="W1026" s="23">
        <f>U1026-V1026</f>
        <v/>
      </c>
      <c r="X1026" s="24">
        <f>IFERROR(W1026/U1026,0)</f>
        <v/>
      </c>
    </row>
    <row r="1027">
      <c r="A1027" s="25">
        <f>ItensPedido!A1027</f>
        <v/>
      </c>
      <c r="B1027" s="25">
        <f>ItensPedido!B1027</f>
        <v/>
      </c>
      <c r="C1027" s="25">
        <f>ItensPedido!C1027</f>
        <v/>
      </c>
      <c r="D1027" s="25">
        <f>ItensPedido!D1027</f>
        <v/>
      </c>
      <c r="E1027" s="26">
        <f>ItensPedido!E1027</f>
        <v/>
      </c>
      <c r="F1027" s="25">
        <f>IFERROR(INDEX(Pedidos!$B$2:$B$1801,MATCH(B1027,Pedidos!$A$2:$A$1801,0)),0)</f>
        <v/>
      </c>
      <c r="G1027" s="25">
        <f>IF(F1027=0,"",YEAR(F1027))</f>
        <v/>
      </c>
      <c r="H1027" s="25">
        <f>IF(F1027=0,"",MONTH(F1027))</f>
        <v/>
      </c>
      <c r="I1027" s="25">
        <f>IFERROR(INDEX(Pedidos!$E$2:$E$1801,MATCH(B1027,Pedidos!$A$2:$A$1801,0)),"")</f>
        <v/>
      </c>
      <c r="J1027" s="25">
        <f>IFERROR(INDEX(Pedidos!$C$2:$C$1801,MATCH(B1027,Pedidos!$A$2:$A$1801,0)),"")</f>
        <v/>
      </c>
      <c r="K1027" s="25">
        <f>IFERROR(INDEX(Pedidos!$D$2:$D$1801,MATCH(B1027,Pedidos!$A$2:$A$1801,0)),"")</f>
        <v/>
      </c>
      <c r="L1027" s="25">
        <f>IFERROR(INDEX(Pedidos!$F$2:$F$1801,MATCH(B1027,Pedidos!$A$2:$A$1801,0)),"")</f>
        <v/>
      </c>
      <c r="M1027" s="26">
        <f>IFERROR(INDEX(Pedidos!$G$2:$G$1801,MATCH(B1027,Pedidos!$A$2:$A$1801,0)),0)</f>
        <v/>
      </c>
      <c r="N1027" s="25">
        <f>IFERROR(INDEX(Produtos!$B$2:$B$71,MATCH(C1027,Produtos!$A$2:$A$71,0)),"")</f>
        <v/>
      </c>
      <c r="O1027" s="25">
        <f>IFERROR(INDEX(Produtos!$C$2:$C$71,MATCH(C1027,Produtos!$A$2:$A$71,0)),"")</f>
        <v/>
      </c>
      <c r="P1027" s="25">
        <f>IFERROR(INDEX(Produtos!$D$2:$D$71,MATCH(C1027,Produtos!$A$2:$A$71,0)),0)</f>
        <v/>
      </c>
      <c r="Q1027" s="25">
        <f>IFERROR(INDEX(Produtos!$E$2:$E$71,MATCH(C1027,Produtos!$A$2:$A$71,0)),0)</f>
        <v/>
      </c>
      <c r="R1027" s="27">
        <f>D1027*Q1027</f>
        <v/>
      </c>
      <c r="S1027" s="27">
        <f>R1027*E1027</f>
        <v/>
      </c>
      <c r="T1027" s="27">
        <f>(R1027-S1027)*M1027</f>
        <v/>
      </c>
      <c r="U1027" s="27">
        <f>R1027-S1027-T1027</f>
        <v/>
      </c>
      <c r="V1027" s="27">
        <f>D1027*P1027</f>
        <v/>
      </c>
      <c r="W1027" s="27">
        <f>U1027-V1027</f>
        <v/>
      </c>
      <c r="X1027" s="28">
        <f>IFERROR(W1027/U1027,0)</f>
        <v/>
      </c>
    </row>
    <row r="1028">
      <c r="A1028" s="21">
        <f>ItensPedido!A1028</f>
        <v/>
      </c>
      <c r="B1028" s="21">
        <f>ItensPedido!B1028</f>
        <v/>
      </c>
      <c r="C1028" s="21">
        <f>ItensPedido!C1028</f>
        <v/>
      </c>
      <c r="D1028" s="21">
        <f>ItensPedido!D1028</f>
        <v/>
      </c>
      <c r="E1028" s="22">
        <f>ItensPedido!E1028</f>
        <v/>
      </c>
      <c r="F1028" s="21">
        <f>IFERROR(INDEX(Pedidos!$B$2:$B$1801,MATCH(B1028,Pedidos!$A$2:$A$1801,0)),0)</f>
        <v/>
      </c>
      <c r="G1028" s="21">
        <f>IF(F1028=0,"",YEAR(F1028))</f>
        <v/>
      </c>
      <c r="H1028" s="21">
        <f>IF(F1028=0,"",MONTH(F1028))</f>
        <v/>
      </c>
      <c r="I1028" s="21">
        <f>IFERROR(INDEX(Pedidos!$E$2:$E$1801,MATCH(B1028,Pedidos!$A$2:$A$1801,0)),"")</f>
        <v/>
      </c>
      <c r="J1028" s="21">
        <f>IFERROR(INDEX(Pedidos!$C$2:$C$1801,MATCH(B1028,Pedidos!$A$2:$A$1801,0)),"")</f>
        <v/>
      </c>
      <c r="K1028" s="21">
        <f>IFERROR(INDEX(Pedidos!$D$2:$D$1801,MATCH(B1028,Pedidos!$A$2:$A$1801,0)),"")</f>
        <v/>
      </c>
      <c r="L1028" s="21">
        <f>IFERROR(INDEX(Pedidos!$F$2:$F$1801,MATCH(B1028,Pedidos!$A$2:$A$1801,0)),"")</f>
        <v/>
      </c>
      <c r="M1028" s="22">
        <f>IFERROR(INDEX(Pedidos!$G$2:$G$1801,MATCH(B1028,Pedidos!$A$2:$A$1801,0)),0)</f>
        <v/>
      </c>
      <c r="N1028" s="21">
        <f>IFERROR(INDEX(Produtos!$B$2:$B$71,MATCH(C1028,Produtos!$A$2:$A$71,0)),"")</f>
        <v/>
      </c>
      <c r="O1028" s="21">
        <f>IFERROR(INDEX(Produtos!$C$2:$C$71,MATCH(C1028,Produtos!$A$2:$A$71,0)),"")</f>
        <v/>
      </c>
      <c r="P1028" s="21">
        <f>IFERROR(INDEX(Produtos!$D$2:$D$71,MATCH(C1028,Produtos!$A$2:$A$71,0)),0)</f>
        <v/>
      </c>
      <c r="Q1028" s="21">
        <f>IFERROR(INDEX(Produtos!$E$2:$E$71,MATCH(C1028,Produtos!$A$2:$A$71,0)),0)</f>
        <v/>
      </c>
      <c r="R1028" s="23">
        <f>D1028*Q1028</f>
        <v/>
      </c>
      <c r="S1028" s="23">
        <f>R1028*E1028</f>
        <v/>
      </c>
      <c r="T1028" s="23">
        <f>(R1028-S1028)*M1028</f>
        <v/>
      </c>
      <c r="U1028" s="23">
        <f>R1028-S1028-T1028</f>
        <v/>
      </c>
      <c r="V1028" s="23">
        <f>D1028*P1028</f>
        <v/>
      </c>
      <c r="W1028" s="23">
        <f>U1028-V1028</f>
        <v/>
      </c>
      <c r="X1028" s="24">
        <f>IFERROR(W1028/U1028,0)</f>
        <v/>
      </c>
    </row>
    <row r="1029">
      <c r="A1029" s="25">
        <f>ItensPedido!A1029</f>
        <v/>
      </c>
      <c r="B1029" s="25">
        <f>ItensPedido!B1029</f>
        <v/>
      </c>
      <c r="C1029" s="25">
        <f>ItensPedido!C1029</f>
        <v/>
      </c>
      <c r="D1029" s="25">
        <f>ItensPedido!D1029</f>
        <v/>
      </c>
      <c r="E1029" s="26">
        <f>ItensPedido!E1029</f>
        <v/>
      </c>
      <c r="F1029" s="25">
        <f>IFERROR(INDEX(Pedidos!$B$2:$B$1801,MATCH(B1029,Pedidos!$A$2:$A$1801,0)),0)</f>
        <v/>
      </c>
      <c r="G1029" s="25">
        <f>IF(F1029=0,"",YEAR(F1029))</f>
        <v/>
      </c>
      <c r="H1029" s="25">
        <f>IF(F1029=0,"",MONTH(F1029))</f>
        <v/>
      </c>
      <c r="I1029" s="25">
        <f>IFERROR(INDEX(Pedidos!$E$2:$E$1801,MATCH(B1029,Pedidos!$A$2:$A$1801,0)),"")</f>
        <v/>
      </c>
      <c r="J1029" s="25">
        <f>IFERROR(INDEX(Pedidos!$C$2:$C$1801,MATCH(B1029,Pedidos!$A$2:$A$1801,0)),"")</f>
        <v/>
      </c>
      <c r="K1029" s="25">
        <f>IFERROR(INDEX(Pedidos!$D$2:$D$1801,MATCH(B1029,Pedidos!$A$2:$A$1801,0)),"")</f>
        <v/>
      </c>
      <c r="L1029" s="25">
        <f>IFERROR(INDEX(Pedidos!$F$2:$F$1801,MATCH(B1029,Pedidos!$A$2:$A$1801,0)),"")</f>
        <v/>
      </c>
      <c r="M1029" s="26">
        <f>IFERROR(INDEX(Pedidos!$G$2:$G$1801,MATCH(B1029,Pedidos!$A$2:$A$1801,0)),0)</f>
        <v/>
      </c>
      <c r="N1029" s="25">
        <f>IFERROR(INDEX(Produtos!$B$2:$B$71,MATCH(C1029,Produtos!$A$2:$A$71,0)),"")</f>
        <v/>
      </c>
      <c r="O1029" s="25">
        <f>IFERROR(INDEX(Produtos!$C$2:$C$71,MATCH(C1029,Produtos!$A$2:$A$71,0)),"")</f>
        <v/>
      </c>
      <c r="P1029" s="25">
        <f>IFERROR(INDEX(Produtos!$D$2:$D$71,MATCH(C1029,Produtos!$A$2:$A$71,0)),0)</f>
        <v/>
      </c>
      <c r="Q1029" s="25">
        <f>IFERROR(INDEX(Produtos!$E$2:$E$71,MATCH(C1029,Produtos!$A$2:$A$71,0)),0)</f>
        <v/>
      </c>
      <c r="R1029" s="27">
        <f>D1029*Q1029</f>
        <v/>
      </c>
      <c r="S1029" s="27">
        <f>R1029*E1029</f>
        <v/>
      </c>
      <c r="T1029" s="27">
        <f>(R1029-S1029)*M1029</f>
        <v/>
      </c>
      <c r="U1029" s="27">
        <f>R1029-S1029-T1029</f>
        <v/>
      </c>
      <c r="V1029" s="27">
        <f>D1029*P1029</f>
        <v/>
      </c>
      <c r="W1029" s="27">
        <f>U1029-V1029</f>
        <v/>
      </c>
      <c r="X1029" s="28">
        <f>IFERROR(W1029/U1029,0)</f>
        <v/>
      </c>
    </row>
    <row r="1030">
      <c r="A1030" s="21">
        <f>ItensPedido!A1030</f>
        <v/>
      </c>
      <c r="B1030" s="21">
        <f>ItensPedido!B1030</f>
        <v/>
      </c>
      <c r="C1030" s="21">
        <f>ItensPedido!C1030</f>
        <v/>
      </c>
      <c r="D1030" s="21">
        <f>ItensPedido!D1030</f>
        <v/>
      </c>
      <c r="E1030" s="22">
        <f>ItensPedido!E1030</f>
        <v/>
      </c>
      <c r="F1030" s="21">
        <f>IFERROR(INDEX(Pedidos!$B$2:$B$1801,MATCH(B1030,Pedidos!$A$2:$A$1801,0)),0)</f>
        <v/>
      </c>
      <c r="G1030" s="21">
        <f>IF(F1030=0,"",YEAR(F1030))</f>
        <v/>
      </c>
      <c r="H1030" s="21">
        <f>IF(F1030=0,"",MONTH(F1030))</f>
        <v/>
      </c>
      <c r="I1030" s="21">
        <f>IFERROR(INDEX(Pedidos!$E$2:$E$1801,MATCH(B1030,Pedidos!$A$2:$A$1801,0)),"")</f>
        <v/>
      </c>
      <c r="J1030" s="21">
        <f>IFERROR(INDEX(Pedidos!$C$2:$C$1801,MATCH(B1030,Pedidos!$A$2:$A$1801,0)),"")</f>
        <v/>
      </c>
      <c r="K1030" s="21">
        <f>IFERROR(INDEX(Pedidos!$D$2:$D$1801,MATCH(B1030,Pedidos!$A$2:$A$1801,0)),"")</f>
        <v/>
      </c>
      <c r="L1030" s="21">
        <f>IFERROR(INDEX(Pedidos!$F$2:$F$1801,MATCH(B1030,Pedidos!$A$2:$A$1801,0)),"")</f>
        <v/>
      </c>
      <c r="M1030" s="22">
        <f>IFERROR(INDEX(Pedidos!$G$2:$G$1801,MATCH(B1030,Pedidos!$A$2:$A$1801,0)),0)</f>
        <v/>
      </c>
      <c r="N1030" s="21">
        <f>IFERROR(INDEX(Produtos!$B$2:$B$71,MATCH(C1030,Produtos!$A$2:$A$71,0)),"")</f>
        <v/>
      </c>
      <c r="O1030" s="21">
        <f>IFERROR(INDEX(Produtos!$C$2:$C$71,MATCH(C1030,Produtos!$A$2:$A$71,0)),"")</f>
        <v/>
      </c>
      <c r="P1030" s="21">
        <f>IFERROR(INDEX(Produtos!$D$2:$D$71,MATCH(C1030,Produtos!$A$2:$A$71,0)),0)</f>
        <v/>
      </c>
      <c r="Q1030" s="21">
        <f>IFERROR(INDEX(Produtos!$E$2:$E$71,MATCH(C1030,Produtos!$A$2:$A$71,0)),0)</f>
        <v/>
      </c>
      <c r="R1030" s="23">
        <f>D1030*Q1030</f>
        <v/>
      </c>
      <c r="S1030" s="23">
        <f>R1030*E1030</f>
        <v/>
      </c>
      <c r="T1030" s="23">
        <f>(R1030-S1030)*M1030</f>
        <v/>
      </c>
      <c r="U1030" s="23">
        <f>R1030-S1030-T1030</f>
        <v/>
      </c>
      <c r="V1030" s="23">
        <f>D1030*P1030</f>
        <v/>
      </c>
      <c r="W1030" s="23">
        <f>U1030-V1030</f>
        <v/>
      </c>
      <c r="X1030" s="24">
        <f>IFERROR(W1030/U1030,0)</f>
        <v/>
      </c>
    </row>
    <row r="1031">
      <c r="A1031" s="25">
        <f>ItensPedido!A1031</f>
        <v/>
      </c>
      <c r="B1031" s="25">
        <f>ItensPedido!B1031</f>
        <v/>
      </c>
      <c r="C1031" s="25">
        <f>ItensPedido!C1031</f>
        <v/>
      </c>
      <c r="D1031" s="25">
        <f>ItensPedido!D1031</f>
        <v/>
      </c>
      <c r="E1031" s="26">
        <f>ItensPedido!E1031</f>
        <v/>
      </c>
      <c r="F1031" s="25">
        <f>IFERROR(INDEX(Pedidos!$B$2:$B$1801,MATCH(B1031,Pedidos!$A$2:$A$1801,0)),0)</f>
        <v/>
      </c>
      <c r="G1031" s="25">
        <f>IF(F1031=0,"",YEAR(F1031))</f>
        <v/>
      </c>
      <c r="H1031" s="25">
        <f>IF(F1031=0,"",MONTH(F1031))</f>
        <v/>
      </c>
      <c r="I1031" s="25">
        <f>IFERROR(INDEX(Pedidos!$E$2:$E$1801,MATCH(B1031,Pedidos!$A$2:$A$1801,0)),"")</f>
        <v/>
      </c>
      <c r="J1031" s="25">
        <f>IFERROR(INDEX(Pedidos!$C$2:$C$1801,MATCH(B1031,Pedidos!$A$2:$A$1801,0)),"")</f>
        <v/>
      </c>
      <c r="K1031" s="25">
        <f>IFERROR(INDEX(Pedidos!$D$2:$D$1801,MATCH(B1031,Pedidos!$A$2:$A$1801,0)),"")</f>
        <v/>
      </c>
      <c r="L1031" s="25">
        <f>IFERROR(INDEX(Pedidos!$F$2:$F$1801,MATCH(B1031,Pedidos!$A$2:$A$1801,0)),"")</f>
        <v/>
      </c>
      <c r="M1031" s="26">
        <f>IFERROR(INDEX(Pedidos!$G$2:$G$1801,MATCH(B1031,Pedidos!$A$2:$A$1801,0)),0)</f>
        <v/>
      </c>
      <c r="N1031" s="25">
        <f>IFERROR(INDEX(Produtos!$B$2:$B$71,MATCH(C1031,Produtos!$A$2:$A$71,0)),"")</f>
        <v/>
      </c>
      <c r="O1031" s="25">
        <f>IFERROR(INDEX(Produtos!$C$2:$C$71,MATCH(C1031,Produtos!$A$2:$A$71,0)),"")</f>
        <v/>
      </c>
      <c r="P1031" s="25">
        <f>IFERROR(INDEX(Produtos!$D$2:$D$71,MATCH(C1031,Produtos!$A$2:$A$71,0)),0)</f>
        <v/>
      </c>
      <c r="Q1031" s="25">
        <f>IFERROR(INDEX(Produtos!$E$2:$E$71,MATCH(C1031,Produtos!$A$2:$A$71,0)),0)</f>
        <v/>
      </c>
      <c r="R1031" s="27">
        <f>D1031*Q1031</f>
        <v/>
      </c>
      <c r="S1031" s="27">
        <f>R1031*E1031</f>
        <v/>
      </c>
      <c r="T1031" s="27">
        <f>(R1031-S1031)*M1031</f>
        <v/>
      </c>
      <c r="U1031" s="27">
        <f>R1031-S1031-T1031</f>
        <v/>
      </c>
      <c r="V1031" s="27">
        <f>D1031*P1031</f>
        <v/>
      </c>
      <c r="W1031" s="27">
        <f>U1031-V1031</f>
        <v/>
      </c>
      <c r="X1031" s="28">
        <f>IFERROR(W1031/U1031,0)</f>
        <v/>
      </c>
    </row>
    <row r="1032">
      <c r="A1032" s="21">
        <f>ItensPedido!A1032</f>
        <v/>
      </c>
      <c r="B1032" s="21">
        <f>ItensPedido!B1032</f>
        <v/>
      </c>
      <c r="C1032" s="21">
        <f>ItensPedido!C1032</f>
        <v/>
      </c>
      <c r="D1032" s="21">
        <f>ItensPedido!D1032</f>
        <v/>
      </c>
      <c r="E1032" s="22">
        <f>ItensPedido!E1032</f>
        <v/>
      </c>
      <c r="F1032" s="21">
        <f>IFERROR(INDEX(Pedidos!$B$2:$B$1801,MATCH(B1032,Pedidos!$A$2:$A$1801,0)),0)</f>
        <v/>
      </c>
      <c r="G1032" s="21">
        <f>IF(F1032=0,"",YEAR(F1032))</f>
        <v/>
      </c>
      <c r="H1032" s="21">
        <f>IF(F1032=0,"",MONTH(F1032))</f>
        <v/>
      </c>
      <c r="I1032" s="21">
        <f>IFERROR(INDEX(Pedidos!$E$2:$E$1801,MATCH(B1032,Pedidos!$A$2:$A$1801,0)),"")</f>
        <v/>
      </c>
      <c r="J1032" s="21">
        <f>IFERROR(INDEX(Pedidos!$C$2:$C$1801,MATCH(B1032,Pedidos!$A$2:$A$1801,0)),"")</f>
        <v/>
      </c>
      <c r="K1032" s="21">
        <f>IFERROR(INDEX(Pedidos!$D$2:$D$1801,MATCH(B1032,Pedidos!$A$2:$A$1801,0)),"")</f>
        <v/>
      </c>
      <c r="L1032" s="21">
        <f>IFERROR(INDEX(Pedidos!$F$2:$F$1801,MATCH(B1032,Pedidos!$A$2:$A$1801,0)),"")</f>
        <v/>
      </c>
      <c r="M1032" s="22">
        <f>IFERROR(INDEX(Pedidos!$G$2:$G$1801,MATCH(B1032,Pedidos!$A$2:$A$1801,0)),0)</f>
        <v/>
      </c>
      <c r="N1032" s="21">
        <f>IFERROR(INDEX(Produtos!$B$2:$B$71,MATCH(C1032,Produtos!$A$2:$A$71,0)),"")</f>
        <v/>
      </c>
      <c r="O1032" s="21">
        <f>IFERROR(INDEX(Produtos!$C$2:$C$71,MATCH(C1032,Produtos!$A$2:$A$71,0)),"")</f>
        <v/>
      </c>
      <c r="P1032" s="21">
        <f>IFERROR(INDEX(Produtos!$D$2:$D$71,MATCH(C1032,Produtos!$A$2:$A$71,0)),0)</f>
        <v/>
      </c>
      <c r="Q1032" s="21">
        <f>IFERROR(INDEX(Produtos!$E$2:$E$71,MATCH(C1032,Produtos!$A$2:$A$71,0)),0)</f>
        <v/>
      </c>
      <c r="R1032" s="23">
        <f>D1032*Q1032</f>
        <v/>
      </c>
      <c r="S1032" s="23">
        <f>R1032*E1032</f>
        <v/>
      </c>
      <c r="T1032" s="23">
        <f>(R1032-S1032)*M1032</f>
        <v/>
      </c>
      <c r="U1032" s="23">
        <f>R1032-S1032-T1032</f>
        <v/>
      </c>
      <c r="V1032" s="23">
        <f>D1032*P1032</f>
        <v/>
      </c>
      <c r="W1032" s="23">
        <f>U1032-V1032</f>
        <v/>
      </c>
      <c r="X1032" s="24">
        <f>IFERROR(W1032/U1032,0)</f>
        <v/>
      </c>
    </row>
    <row r="1033">
      <c r="A1033" s="25">
        <f>ItensPedido!A1033</f>
        <v/>
      </c>
      <c r="B1033" s="25">
        <f>ItensPedido!B1033</f>
        <v/>
      </c>
      <c r="C1033" s="25">
        <f>ItensPedido!C1033</f>
        <v/>
      </c>
      <c r="D1033" s="25">
        <f>ItensPedido!D1033</f>
        <v/>
      </c>
      <c r="E1033" s="26">
        <f>ItensPedido!E1033</f>
        <v/>
      </c>
      <c r="F1033" s="25">
        <f>IFERROR(INDEX(Pedidos!$B$2:$B$1801,MATCH(B1033,Pedidos!$A$2:$A$1801,0)),0)</f>
        <v/>
      </c>
      <c r="G1033" s="25">
        <f>IF(F1033=0,"",YEAR(F1033))</f>
        <v/>
      </c>
      <c r="H1033" s="25">
        <f>IF(F1033=0,"",MONTH(F1033))</f>
        <v/>
      </c>
      <c r="I1033" s="25">
        <f>IFERROR(INDEX(Pedidos!$E$2:$E$1801,MATCH(B1033,Pedidos!$A$2:$A$1801,0)),"")</f>
        <v/>
      </c>
      <c r="J1033" s="25">
        <f>IFERROR(INDEX(Pedidos!$C$2:$C$1801,MATCH(B1033,Pedidos!$A$2:$A$1801,0)),"")</f>
        <v/>
      </c>
      <c r="K1033" s="25">
        <f>IFERROR(INDEX(Pedidos!$D$2:$D$1801,MATCH(B1033,Pedidos!$A$2:$A$1801,0)),"")</f>
        <v/>
      </c>
      <c r="L1033" s="25">
        <f>IFERROR(INDEX(Pedidos!$F$2:$F$1801,MATCH(B1033,Pedidos!$A$2:$A$1801,0)),"")</f>
        <v/>
      </c>
      <c r="M1033" s="26">
        <f>IFERROR(INDEX(Pedidos!$G$2:$G$1801,MATCH(B1033,Pedidos!$A$2:$A$1801,0)),0)</f>
        <v/>
      </c>
      <c r="N1033" s="25">
        <f>IFERROR(INDEX(Produtos!$B$2:$B$71,MATCH(C1033,Produtos!$A$2:$A$71,0)),"")</f>
        <v/>
      </c>
      <c r="O1033" s="25">
        <f>IFERROR(INDEX(Produtos!$C$2:$C$71,MATCH(C1033,Produtos!$A$2:$A$71,0)),"")</f>
        <v/>
      </c>
      <c r="P1033" s="25">
        <f>IFERROR(INDEX(Produtos!$D$2:$D$71,MATCH(C1033,Produtos!$A$2:$A$71,0)),0)</f>
        <v/>
      </c>
      <c r="Q1033" s="25">
        <f>IFERROR(INDEX(Produtos!$E$2:$E$71,MATCH(C1033,Produtos!$A$2:$A$71,0)),0)</f>
        <v/>
      </c>
      <c r="R1033" s="27">
        <f>D1033*Q1033</f>
        <v/>
      </c>
      <c r="S1033" s="27">
        <f>R1033*E1033</f>
        <v/>
      </c>
      <c r="T1033" s="27">
        <f>(R1033-S1033)*M1033</f>
        <v/>
      </c>
      <c r="U1033" s="27">
        <f>R1033-S1033-T1033</f>
        <v/>
      </c>
      <c r="V1033" s="27">
        <f>D1033*P1033</f>
        <v/>
      </c>
      <c r="W1033" s="27">
        <f>U1033-V1033</f>
        <v/>
      </c>
      <c r="X1033" s="28">
        <f>IFERROR(W1033/U1033,0)</f>
        <v/>
      </c>
    </row>
    <row r="1034">
      <c r="A1034" s="21">
        <f>ItensPedido!A1034</f>
        <v/>
      </c>
      <c r="B1034" s="21">
        <f>ItensPedido!B1034</f>
        <v/>
      </c>
      <c r="C1034" s="21">
        <f>ItensPedido!C1034</f>
        <v/>
      </c>
      <c r="D1034" s="21">
        <f>ItensPedido!D1034</f>
        <v/>
      </c>
      <c r="E1034" s="22">
        <f>ItensPedido!E1034</f>
        <v/>
      </c>
      <c r="F1034" s="21">
        <f>IFERROR(INDEX(Pedidos!$B$2:$B$1801,MATCH(B1034,Pedidos!$A$2:$A$1801,0)),0)</f>
        <v/>
      </c>
      <c r="G1034" s="21">
        <f>IF(F1034=0,"",YEAR(F1034))</f>
        <v/>
      </c>
      <c r="H1034" s="21">
        <f>IF(F1034=0,"",MONTH(F1034))</f>
        <v/>
      </c>
      <c r="I1034" s="21">
        <f>IFERROR(INDEX(Pedidos!$E$2:$E$1801,MATCH(B1034,Pedidos!$A$2:$A$1801,0)),"")</f>
        <v/>
      </c>
      <c r="J1034" s="21">
        <f>IFERROR(INDEX(Pedidos!$C$2:$C$1801,MATCH(B1034,Pedidos!$A$2:$A$1801,0)),"")</f>
        <v/>
      </c>
      <c r="K1034" s="21">
        <f>IFERROR(INDEX(Pedidos!$D$2:$D$1801,MATCH(B1034,Pedidos!$A$2:$A$1801,0)),"")</f>
        <v/>
      </c>
      <c r="L1034" s="21">
        <f>IFERROR(INDEX(Pedidos!$F$2:$F$1801,MATCH(B1034,Pedidos!$A$2:$A$1801,0)),"")</f>
        <v/>
      </c>
      <c r="M1034" s="22">
        <f>IFERROR(INDEX(Pedidos!$G$2:$G$1801,MATCH(B1034,Pedidos!$A$2:$A$1801,0)),0)</f>
        <v/>
      </c>
      <c r="N1034" s="21">
        <f>IFERROR(INDEX(Produtos!$B$2:$B$71,MATCH(C1034,Produtos!$A$2:$A$71,0)),"")</f>
        <v/>
      </c>
      <c r="O1034" s="21">
        <f>IFERROR(INDEX(Produtos!$C$2:$C$71,MATCH(C1034,Produtos!$A$2:$A$71,0)),"")</f>
        <v/>
      </c>
      <c r="P1034" s="21">
        <f>IFERROR(INDEX(Produtos!$D$2:$D$71,MATCH(C1034,Produtos!$A$2:$A$71,0)),0)</f>
        <v/>
      </c>
      <c r="Q1034" s="21">
        <f>IFERROR(INDEX(Produtos!$E$2:$E$71,MATCH(C1034,Produtos!$A$2:$A$71,0)),0)</f>
        <v/>
      </c>
      <c r="R1034" s="23">
        <f>D1034*Q1034</f>
        <v/>
      </c>
      <c r="S1034" s="23">
        <f>R1034*E1034</f>
        <v/>
      </c>
      <c r="T1034" s="23">
        <f>(R1034-S1034)*M1034</f>
        <v/>
      </c>
      <c r="U1034" s="23">
        <f>R1034-S1034-T1034</f>
        <v/>
      </c>
      <c r="V1034" s="23">
        <f>D1034*P1034</f>
        <v/>
      </c>
      <c r="W1034" s="23">
        <f>U1034-V1034</f>
        <v/>
      </c>
      <c r="X1034" s="24">
        <f>IFERROR(W1034/U1034,0)</f>
        <v/>
      </c>
    </row>
    <row r="1035">
      <c r="A1035" s="25">
        <f>ItensPedido!A1035</f>
        <v/>
      </c>
      <c r="B1035" s="25">
        <f>ItensPedido!B1035</f>
        <v/>
      </c>
      <c r="C1035" s="25">
        <f>ItensPedido!C1035</f>
        <v/>
      </c>
      <c r="D1035" s="25">
        <f>ItensPedido!D1035</f>
        <v/>
      </c>
      <c r="E1035" s="26">
        <f>ItensPedido!E1035</f>
        <v/>
      </c>
      <c r="F1035" s="25">
        <f>IFERROR(INDEX(Pedidos!$B$2:$B$1801,MATCH(B1035,Pedidos!$A$2:$A$1801,0)),0)</f>
        <v/>
      </c>
      <c r="G1035" s="25">
        <f>IF(F1035=0,"",YEAR(F1035))</f>
        <v/>
      </c>
      <c r="H1035" s="25">
        <f>IF(F1035=0,"",MONTH(F1035))</f>
        <v/>
      </c>
      <c r="I1035" s="25">
        <f>IFERROR(INDEX(Pedidos!$E$2:$E$1801,MATCH(B1035,Pedidos!$A$2:$A$1801,0)),"")</f>
        <v/>
      </c>
      <c r="J1035" s="25">
        <f>IFERROR(INDEX(Pedidos!$C$2:$C$1801,MATCH(B1035,Pedidos!$A$2:$A$1801,0)),"")</f>
        <v/>
      </c>
      <c r="K1035" s="25">
        <f>IFERROR(INDEX(Pedidos!$D$2:$D$1801,MATCH(B1035,Pedidos!$A$2:$A$1801,0)),"")</f>
        <v/>
      </c>
      <c r="L1035" s="25">
        <f>IFERROR(INDEX(Pedidos!$F$2:$F$1801,MATCH(B1035,Pedidos!$A$2:$A$1801,0)),"")</f>
        <v/>
      </c>
      <c r="M1035" s="26">
        <f>IFERROR(INDEX(Pedidos!$G$2:$G$1801,MATCH(B1035,Pedidos!$A$2:$A$1801,0)),0)</f>
        <v/>
      </c>
      <c r="N1035" s="25">
        <f>IFERROR(INDEX(Produtos!$B$2:$B$71,MATCH(C1035,Produtos!$A$2:$A$71,0)),"")</f>
        <v/>
      </c>
      <c r="O1035" s="25">
        <f>IFERROR(INDEX(Produtos!$C$2:$C$71,MATCH(C1035,Produtos!$A$2:$A$71,0)),"")</f>
        <v/>
      </c>
      <c r="P1035" s="25">
        <f>IFERROR(INDEX(Produtos!$D$2:$D$71,MATCH(C1035,Produtos!$A$2:$A$71,0)),0)</f>
        <v/>
      </c>
      <c r="Q1035" s="25">
        <f>IFERROR(INDEX(Produtos!$E$2:$E$71,MATCH(C1035,Produtos!$A$2:$A$71,0)),0)</f>
        <v/>
      </c>
      <c r="R1035" s="27">
        <f>D1035*Q1035</f>
        <v/>
      </c>
      <c r="S1035" s="27">
        <f>R1035*E1035</f>
        <v/>
      </c>
      <c r="T1035" s="27">
        <f>(R1035-S1035)*M1035</f>
        <v/>
      </c>
      <c r="U1035" s="27">
        <f>R1035-S1035-T1035</f>
        <v/>
      </c>
      <c r="V1035" s="27">
        <f>D1035*P1035</f>
        <v/>
      </c>
      <c r="W1035" s="27">
        <f>U1035-V1035</f>
        <v/>
      </c>
      <c r="X1035" s="28">
        <f>IFERROR(W1035/U1035,0)</f>
        <v/>
      </c>
    </row>
    <row r="1036">
      <c r="A1036" s="21">
        <f>ItensPedido!A1036</f>
        <v/>
      </c>
      <c r="B1036" s="21">
        <f>ItensPedido!B1036</f>
        <v/>
      </c>
      <c r="C1036" s="21">
        <f>ItensPedido!C1036</f>
        <v/>
      </c>
      <c r="D1036" s="21">
        <f>ItensPedido!D1036</f>
        <v/>
      </c>
      <c r="E1036" s="22">
        <f>ItensPedido!E1036</f>
        <v/>
      </c>
      <c r="F1036" s="21">
        <f>IFERROR(INDEX(Pedidos!$B$2:$B$1801,MATCH(B1036,Pedidos!$A$2:$A$1801,0)),0)</f>
        <v/>
      </c>
      <c r="G1036" s="21">
        <f>IF(F1036=0,"",YEAR(F1036))</f>
        <v/>
      </c>
      <c r="H1036" s="21">
        <f>IF(F1036=0,"",MONTH(F1036))</f>
        <v/>
      </c>
      <c r="I1036" s="21">
        <f>IFERROR(INDEX(Pedidos!$E$2:$E$1801,MATCH(B1036,Pedidos!$A$2:$A$1801,0)),"")</f>
        <v/>
      </c>
      <c r="J1036" s="21">
        <f>IFERROR(INDEX(Pedidos!$C$2:$C$1801,MATCH(B1036,Pedidos!$A$2:$A$1801,0)),"")</f>
        <v/>
      </c>
      <c r="K1036" s="21">
        <f>IFERROR(INDEX(Pedidos!$D$2:$D$1801,MATCH(B1036,Pedidos!$A$2:$A$1801,0)),"")</f>
        <v/>
      </c>
      <c r="L1036" s="21">
        <f>IFERROR(INDEX(Pedidos!$F$2:$F$1801,MATCH(B1036,Pedidos!$A$2:$A$1801,0)),"")</f>
        <v/>
      </c>
      <c r="M1036" s="22">
        <f>IFERROR(INDEX(Pedidos!$G$2:$G$1801,MATCH(B1036,Pedidos!$A$2:$A$1801,0)),0)</f>
        <v/>
      </c>
      <c r="N1036" s="21">
        <f>IFERROR(INDEX(Produtos!$B$2:$B$71,MATCH(C1036,Produtos!$A$2:$A$71,0)),"")</f>
        <v/>
      </c>
      <c r="O1036" s="21">
        <f>IFERROR(INDEX(Produtos!$C$2:$C$71,MATCH(C1036,Produtos!$A$2:$A$71,0)),"")</f>
        <v/>
      </c>
      <c r="P1036" s="21">
        <f>IFERROR(INDEX(Produtos!$D$2:$D$71,MATCH(C1036,Produtos!$A$2:$A$71,0)),0)</f>
        <v/>
      </c>
      <c r="Q1036" s="21">
        <f>IFERROR(INDEX(Produtos!$E$2:$E$71,MATCH(C1036,Produtos!$A$2:$A$71,0)),0)</f>
        <v/>
      </c>
      <c r="R1036" s="23">
        <f>D1036*Q1036</f>
        <v/>
      </c>
      <c r="S1036" s="23">
        <f>R1036*E1036</f>
        <v/>
      </c>
      <c r="T1036" s="23">
        <f>(R1036-S1036)*M1036</f>
        <v/>
      </c>
      <c r="U1036" s="23">
        <f>R1036-S1036-T1036</f>
        <v/>
      </c>
      <c r="V1036" s="23">
        <f>D1036*P1036</f>
        <v/>
      </c>
      <c r="W1036" s="23">
        <f>U1036-V1036</f>
        <v/>
      </c>
      <c r="X1036" s="24">
        <f>IFERROR(W1036/U1036,0)</f>
        <v/>
      </c>
    </row>
    <row r="1037">
      <c r="A1037" s="25">
        <f>ItensPedido!A1037</f>
        <v/>
      </c>
      <c r="B1037" s="25">
        <f>ItensPedido!B1037</f>
        <v/>
      </c>
      <c r="C1037" s="25">
        <f>ItensPedido!C1037</f>
        <v/>
      </c>
      <c r="D1037" s="25">
        <f>ItensPedido!D1037</f>
        <v/>
      </c>
      <c r="E1037" s="26">
        <f>ItensPedido!E1037</f>
        <v/>
      </c>
      <c r="F1037" s="25">
        <f>IFERROR(INDEX(Pedidos!$B$2:$B$1801,MATCH(B1037,Pedidos!$A$2:$A$1801,0)),0)</f>
        <v/>
      </c>
      <c r="G1037" s="25">
        <f>IF(F1037=0,"",YEAR(F1037))</f>
        <v/>
      </c>
      <c r="H1037" s="25">
        <f>IF(F1037=0,"",MONTH(F1037))</f>
        <v/>
      </c>
      <c r="I1037" s="25">
        <f>IFERROR(INDEX(Pedidos!$E$2:$E$1801,MATCH(B1037,Pedidos!$A$2:$A$1801,0)),"")</f>
        <v/>
      </c>
      <c r="J1037" s="25">
        <f>IFERROR(INDEX(Pedidos!$C$2:$C$1801,MATCH(B1037,Pedidos!$A$2:$A$1801,0)),"")</f>
        <v/>
      </c>
      <c r="K1037" s="25">
        <f>IFERROR(INDEX(Pedidos!$D$2:$D$1801,MATCH(B1037,Pedidos!$A$2:$A$1801,0)),"")</f>
        <v/>
      </c>
      <c r="L1037" s="25">
        <f>IFERROR(INDEX(Pedidos!$F$2:$F$1801,MATCH(B1037,Pedidos!$A$2:$A$1801,0)),"")</f>
        <v/>
      </c>
      <c r="M1037" s="26">
        <f>IFERROR(INDEX(Pedidos!$G$2:$G$1801,MATCH(B1037,Pedidos!$A$2:$A$1801,0)),0)</f>
        <v/>
      </c>
      <c r="N1037" s="25">
        <f>IFERROR(INDEX(Produtos!$B$2:$B$71,MATCH(C1037,Produtos!$A$2:$A$71,0)),"")</f>
        <v/>
      </c>
      <c r="O1037" s="25">
        <f>IFERROR(INDEX(Produtos!$C$2:$C$71,MATCH(C1037,Produtos!$A$2:$A$71,0)),"")</f>
        <v/>
      </c>
      <c r="P1037" s="25">
        <f>IFERROR(INDEX(Produtos!$D$2:$D$71,MATCH(C1037,Produtos!$A$2:$A$71,0)),0)</f>
        <v/>
      </c>
      <c r="Q1037" s="25">
        <f>IFERROR(INDEX(Produtos!$E$2:$E$71,MATCH(C1037,Produtos!$A$2:$A$71,0)),0)</f>
        <v/>
      </c>
      <c r="R1037" s="27">
        <f>D1037*Q1037</f>
        <v/>
      </c>
      <c r="S1037" s="27">
        <f>R1037*E1037</f>
        <v/>
      </c>
      <c r="T1037" s="27">
        <f>(R1037-S1037)*M1037</f>
        <v/>
      </c>
      <c r="U1037" s="27">
        <f>R1037-S1037-T1037</f>
        <v/>
      </c>
      <c r="V1037" s="27">
        <f>D1037*P1037</f>
        <v/>
      </c>
      <c r="W1037" s="27">
        <f>U1037-V1037</f>
        <v/>
      </c>
      <c r="X1037" s="28">
        <f>IFERROR(W1037/U1037,0)</f>
        <v/>
      </c>
    </row>
    <row r="1038">
      <c r="A1038" s="21">
        <f>ItensPedido!A1038</f>
        <v/>
      </c>
      <c r="B1038" s="21">
        <f>ItensPedido!B1038</f>
        <v/>
      </c>
      <c r="C1038" s="21">
        <f>ItensPedido!C1038</f>
        <v/>
      </c>
      <c r="D1038" s="21">
        <f>ItensPedido!D1038</f>
        <v/>
      </c>
      <c r="E1038" s="22">
        <f>ItensPedido!E1038</f>
        <v/>
      </c>
      <c r="F1038" s="21">
        <f>IFERROR(INDEX(Pedidos!$B$2:$B$1801,MATCH(B1038,Pedidos!$A$2:$A$1801,0)),0)</f>
        <v/>
      </c>
      <c r="G1038" s="21">
        <f>IF(F1038=0,"",YEAR(F1038))</f>
        <v/>
      </c>
      <c r="H1038" s="21">
        <f>IF(F1038=0,"",MONTH(F1038))</f>
        <v/>
      </c>
      <c r="I1038" s="21">
        <f>IFERROR(INDEX(Pedidos!$E$2:$E$1801,MATCH(B1038,Pedidos!$A$2:$A$1801,0)),"")</f>
        <v/>
      </c>
      <c r="J1038" s="21">
        <f>IFERROR(INDEX(Pedidos!$C$2:$C$1801,MATCH(B1038,Pedidos!$A$2:$A$1801,0)),"")</f>
        <v/>
      </c>
      <c r="K1038" s="21">
        <f>IFERROR(INDEX(Pedidos!$D$2:$D$1801,MATCH(B1038,Pedidos!$A$2:$A$1801,0)),"")</f>
        <v/>
      </c>
      <c r="L1038" s="21">
        <f>IFERROR(INDEX(Pedidos!$F$2:$F$1801,MATCH(B1038,Pedidos!$A$2:$A$1801,0)),"")</f>
        <v/>
      </c>
      <c r="M1038" s="22">
        <f>IFERROR(INDEX(Pedidos!$G$2:$G$1801,MATCH(B1038,Pedidos!$A$2:$A$1801,0)),0)</f>
        <v/>
      </c>
      <c r="N1038" s="21">
        <f>IFERROR(INDEX(Produtos!$B$2:$B$71,MATCH(C1038,Produtos!$A$2:$A$71,0)),"")</f>
        <v/>
      </c>
      <c r="O1038" s="21">
        <f>IFERROR(INDEX(Produtos!$C$2:$C$71,MATCH(C1038,Produtos!$A$2:$A$71,0)),"")</f>
        <v/>
      </c>
      <c r="P1038" s="21">
        <f>IFERROR(INDEX(Produtos!$D$2:$D$71,MATCH(C1038,Produtos!$A$2:$A$71,0)),0)</f>
        <v/>
      </c>
      <c r="Q1038" s="21">
        <f>IFERROR(INDEX(Produtos!$E$2:$E$71,MATCH(C1038,Produtos!$A$2:$A$71,0)),0)</f>
        <v/>
      </c>
      <c r="R1038" s="23">
        <f>D1038*Q1038</f>
        <v/>
      </c>
      <c r="S1038" s="23">
        <f>R1038*E1038</f>
        <v/>
      </c>
      <c r="T1038" s="23">
        <f>(R1038-S1038)*M1038</f>
        <v/>
      </c>
      <c r="U1038" s="23">
        <f>R1038-S1038-T1038</f>
        <v/>
      </c>
      <c r="V1038" s="23">
        <f>D1038*P1038</f>
        <v/>
      </c>
      <c r="W1038" s="23">
        <f>U1038-V1038</f>
        <v/>
      </c>
      <c r="X1038" s="24">
        <f>IFERROR(W1038/U1038,0)</f>
        <v/>
      </c>
    </row>
    <row r="1039">
      <c r="A1039" s="25">
        <f>ItensPedido!A1039</f>
        <v/>
      </c>
      <c r="B1039" s="25">
        <f>ItensPedido!B1039</f>
        <v/>
      </c>
      <c r="C1039" s="25">
        <f>ItensPedido!C1039</f>
        <v/>
      </c>
      <c r="D1039" s="25">
        <f>ItensPedido!D1039</f>
        <v/>
      </c>
      <c r="E1039" s="26">
        <f>ItensPedido!E1039</f>
        <v/>
      </c>
      <c r="F1039" s="25">
        <f>IFERROR(INDEX(Pedidos!$B$2:$B$1801,MATCH(B1039,Pedidos!$A$2:$A$1801,0)),0)</f>
        <v/>
      </c>
      <c r="G1039" s="25">
        <f>IF(F1039=0,"",YEAR(F1039))</f>
        <v/>
      </c>
      <c r="H1039" s="25">
        <f>IF(F1039=0,"",MONTH(F1039))</f>
        <v/>
      </c>
      <c r="I1039" s="25">
        <f>IFERROR(INDEX(Pedidos!$E$2:$E$1801,MATCH(B1039,Pedidos!$A$2:$A$1801,0)),"")</f>
        <v/>
      </c>
      <c r="J1039" s="25">
        <f>IFERROR(INDEX(Pedidos!$C$2:$C$1801,MATCH(B1039,Pedidos!$A$2:$A$1801,0)),"")</f>
        <v/>
      </c>
      <c r="K1039" s="25">
        <f>IFERROR(INDEX(Pedidos!$D$2:$D$1801,MATCH(B1039,Pedidos!$A$2:$A$1801,0)),"")</f>
        <v/>
      </c>
      <c r="L1039" s="25">
        <f>IFERROR(INDEX(Pedidos!$F$2:$F$1801,MATCH(B1039,Pedidos!$A$2:$A$1801,0)),"")</f>
        <v/>
      </c>
      <c r="M1039" s="26">
        <f>IFERROR(INDEX(Pedidos!$G$2:$G$1801,MATCH(B1039,Pedidos!$A$2:$A$1801,0)),0)</f>
        <v/>
      </c>
      <c r="N1039" s="25">
        <f>IFERROR(INDEX(Produtos!$B$2:$B$71,MATCH(C1039,Produtos!$A$2:$A$71,0)),"")</f>
        <v/>
      </c>
      <c r="O1039" s="25">
        <f>IFERROR(INDEX(Produtos!$C$2:$C$71,MATCH(C1039,Produtos!$A$2:$A$71,0)),"")</f>
        <v/>
      </c>
      <c r="P1039" s="25">
        <f>IFERROR(INDEX(Produtos!$D$2:$D$71,MATCH(C1039,Produtos!$A$2:$A$71,0)),0)</f>
        <v/>
      </c>
      <c r="Q1039" s="25">
        <f>IFERROR(INDEX(Produtos!$E$2:$E$71,MATCH(C1039,Produtos!$A$2:$A$71,0)),0)</f>
        <v/>
      </c>
      <c r="R1039" s="27">
        <f>D1039*Q1039</f>
        <v/>
      </c>
      <c r="S1039" s="27">
        <f>R1039*E1039</f>
        <v/>
      </c>
      <c r="T1039" s="27">
        <f>(R1039-S1039)*M1039</f>
        <v/>
      </c>
      <c r="U1039" s="27">
        <f>R1039-S1039-T1039</f>
        <v/>
      </c>
      <c r="V1039" s="27">
        <f>D1039*P1039</f>
        <v/>
      </c>
      <c r="W1039" s="27">
        <f>U1039-V1039</f>
        <v/>
      </c>
      <c r="X1039" s="28">
        <f>IFERROR(W1039/U1039,0)</f>
        <v/>
      </c>
    </row>
    <row r="1040">
      <c r="A1040" s="21">
        <f>ItensPedido!A1040</f>
        <v/>
      </c>
      <c r="B1040" s="21">
        <f>ItensPedido!B1040</f>
        <v/>
      </c>
      <c r="C1040" s="21">
        <f>ItensPedido!C1040</f>
        <v/>
      </c>
      <c r="D1040" s="21">
        <f>ItensPedido!D1040</f>
        <v/>
      </c>
      <c r="E1040" s="22">
        <f>ItensPedido!E1040</f>
        <v/>
      </c>
      <c r="F1040" s="21">
        <f>IFERROR(INDEX(Pedidos!$B$2:$B$1801,MATCH(B1040,Pedidos!$A$2:$A$1801,0)),0)</f>
        <v/>
      </c>
      <c r="G1040" s="21">
        <f>IF(F1040=0,"",YEAR(F1040))</f>
        <v/>
      </c>
      <c r="H1040" s="21">
        <f>IF(F1040=0,"",MONTH(F1040))</f>
        <v/>
      </c>
      <c r="I1040" s="21">
        <f>IFERROR(INDEX(Pedidos!$E$2:$E$1801,MATCH(B1040,Pedidos!$A$2:$A$1801,0)),"")</f>
        <v/>
      </c>
      <c r="J1040" s="21">
        <f>IFERROR(INDEX(Pedidos!$C$2:$C$1801,MATCH(B1040,Pedidos!$A$2:$A$1801,0)),"")</f>
        <v/>
      </c>
      <c r="K1040" s="21">
        <f>IFERROR(INDEX(Pedidos!$D$2:$D$1801,MATCH(B1040,Pedidos!$A$2:$A$1801,0)),"")</f>
        <v/>
      </c>
      <c r="L1040" s="21">
        <f>IFERROR(INDEX(Pedidos!$F$2:$F$1801,MATCH(B1040,Pedidos!$A$2:$A$1801,0)),"")</f>
        <v/>
      </c>
      <c r="M1040" s="22">
        <f>IFERROR(INDEX(Pedidos!$G$2:$G$1801,MATCH(B1040,Pedidos!$A$2:$A$1801,0)),0)</f>
        <v/>
      </c>
      <c r="N1040" s="21">
        <f>IFERROR(INDEX(Produtos!$B$2:$B$71,MATCH(C1040,Produtos!$A$2:$A$71,0)),"")</f>
        <v/>
      </c>
      <c r="O1040" s="21">
        <f>IFERROR(INDEX(Produtos!$C$2:$C$71,MATCH(C1040,Produtos!$A$2:$A$71,0)),"")</f>
        <v/>
      </c>
      <c r="P1040" s="21">
        <f>IFERROR(INDEX(Produtos!$D$2:$D$71,MATCH(C1040,Produtos!$A$2:$A$71,0)),0)</f>
        <v/>
      </c>
      <c r="Q1040" s="21">
        <f>IFERROR(INDEX(Produtos!$E$2:$E$71,MATCH(C1040,Produtos!$A$2:$A$71,0)),0)</f>
        <v/>
      </c>
      <c r="R1040" s="23">
        <f>D1040*Q1040</f>
        <v/>
      </c>
      <c r="S1040" s="23">
        <f>R1040*E1040</f>
        <v/>
      </c>
      <c r="T1040" s="23">
        <f>(R1040-S1040)*M1040</f>
        <v/>
      </c>
      <c r="U1040" s="23">
        <f>R1040-S1040-T1040</f>
        <v/>
      </c>
      <c r="V1040" s="23">
        <f>D1040*P1040</f>
        <v/>
      </c>
      <c r="W1040" s="23">
        <f>U1040-V1040</f>
        <v/>
      </c>
      <c r="X1040" s="24">
        <f>IFERROR(W1040/U1040,0)</f>
        <v/>
      </c>
    </row>
    <row r="1041">
      <c r="A1041" s="25">
        <f>ItensPedido!A1041</f>
        <v/>
      </c>
      <c r="B1041" s="25">
        <f>ItensPedido!B1041</f>
        <v/>
      </c>
      <c r="C1041" s="25">
        <f>ItensPedido!C1041</f>
        <v/>
      </c>
      <c r="D1041" s="25">
        <f>ItensPedido!D1041</f>
        <v/>
      </c>
      <c r="E1041" s="26">
        <f>ItensPedido!E1041</f>
        <v/>
      </c>
      <c r="F1041" s="25">
        <f>IFERROR(INDEX(Pedidos!$B$2:$B$1801,MATCH(B1041,Pedidos!$A$2:$A$1801,0)),0)</f>
        <v/>
      </c>
      <c r="G1041" s="25">
        <f>IF(F1041=0,"",YEAR(F1041))</f>
        <v/>
      </c>
      <c r="H1041" s="25">
        <f>IF(F1041=0,"",MONTH(F1041))</f>
        <v/>
      </c>
      <c r="I1041" s="25">
        <f>IFERROR(INDEX(Pedidos!$E$2:$E$1801,MATCH(B1041,Pedidos!$A$2:$A$1801,0)),"")</f>
        <v/>
      </c>
      <c r="J1041" s="25">
        <f>IFERROR(INDEX(Pedidos!$C$2:$C$1801,MATCH(B1041,Pedidos!$A$2:$A$1801,0)),"")</f>
        <v/>
      </c>
      <c r="K1041" s="25">
        <f>IFERROR(INDEX(Pedidos!$D$2:$D$1801,MATCH(B1041,Pedidos!$A$2:$A$1801,0)),"")</f>
        <v/>
      </c>
      <c r="L1041" s="25">
        <f>IFERROR(INDEX(Pedidos!$F$2:$F$1801,MATCH(B1041,Pedidos!$A$2:$A$1801,0)),"")</f>
        <v/>
      </c>
      <c r="M1041" s="26">
        <f>IFERROR(INDEX(Pedidos!$G$2:$G$1801,MATCH(B1041,Pedidos!$A$2:$A$1801,0)),0)</f>
        <v/>
      </c>
      <c r="N1041" s="25">
        <f>IFERROR(INDEX(Produtos!$B$2:$B$71,MATCH(C1041,Produtos!$A$2:$A$71,0)),"")</f>
        <v/>
      </c>
      <c r="O1041" s="25">
        <f>IFERROR(INDEX(Produtos!$C$2:$C$71,MATCH(C1041,Produtos!$A$2:$A$71,0)),"")</f>
        <v/>
      </c>
      <c r="P1041" s="25">
        <f>IFERROR(INDEX(Produtos!$D$2:$D$71,MATCH(C1041,Produtos!$A$2:$A$71,0)),0)</f>
        <v/>
      </c>
      <c r="Q1041" s="25">
        <f>IFERROR(INDEX(Produtos!$E$2:$E$71,MATCH(C1041,Produtos!$A$2:$A$71,0)),0)</f>
        <v/>
      </c>
      <c r="R1041" s="27">
        <f>D1041*Q1041</f>
        <v/>
      </c>
      <c r="S1041" s="27">
        <f>R1041*E1041</f>
        <v/>
      </c>
      <c r="T1041" s="27">
        <f>(R1041-S1041)*M1041</f>
        <v/>
      </c>
      <c r="U1041" s="27">
        <f>R1041-S1041-T1041</f>
        <v/>
      </c>
      <c r="V1041" s="27">
        <f>D1041*P1041</f>
        <v/>
      </c>
      <c r="W1041" s="27">
        <f>U1041-V1041</f>
        <v/>
      </c>
      <c r="X1041" s="28">
        <f>IFERROR(W1041/U1041,0)</f>
        <v/>
      </c>
    </row>
    <row r="1042">
      <c r="A1042" s="21">
        <f>ItensPedido!A1042</f>
        <v/>
      </c>
      <c r="B1042" s="21">
        <f>ItensPedido!B1042</f>
        <v/>
      </c>
      <c r="C1042" s="21">
        <f>ItensPedido!C1042</f>
        <v/>
      </c>
      <c r="D1042" s="21">
        <f>ItensPedido!D1042</f>
        <v/>
      </c>
      <c r="E1042" s="22">
        <f>ItensPedido!E1042</f>
        <v/>
      </c>
      <c r="F1042" s="21">
        <f>IFERROR(INDEX(Pedidos!$B$2:$B$1801,MATCH(B1042,Pedidos!$A$2:$A$1801,0)),0)</f>
        <v/>
      </c>
      <c r="G1042" s="21">
        <f>IF(F1042=0,"",YEAR(F1042))</f>
        <v/>
      </c>
      <c r="H1042" s="21">
        <f>IF(F1042=0,"",MONTH(F1042))</f>
        <v/>
      </c>
      <c r="I1042" s="21">
        <f>IFERROR(INDEX(Pedidos!$E$2:$E$1801,MATCH(B1042,Pedidos!$A$2:$A$1801,0)),"")</f>
        <v/>
      </c>
      <c r="J1042" s="21">
        <f>IFERROR(INDEX(Pedidos!$C$2:$C$1801,MATCH(B1042,Pedidos!$A$2:$A$1801,0)),"")</f>
        <v/>
      </c>
      <c r="K1042" s="21">
        <f>IFERROR(INDEX(Pedidos!$D$2:$D$1801,MATCH(B1042,Pedidos!$A$2:$A$1801,0)),"")</f>
        <v/>
      </c>
      <c r="L1042" s="21">
        <f>IFERROR(INDEX(Pedidos!$F$2:$F$1801,MATCH(B1042,Pedidos!$A$2:$A$1801,0)),"")</f>
        <v/>
      </c>
      <c r="M1042" s="22">
        <f>IFERROR(INDEX(Pedidos!$G$2:$G$1801,MATCH(B1042,Pedidos!$A$2:$A$1801,0)),0)</f>
        <v/>
      </c>
      <c r="N1042" s="21">
        <f>IFERROR(INDEX(Produtos!$B$2:$B$71,MATCH(C1042,Produtos!$A$2:$A$71,0)),"")</f>
        <v/>
      </c>
      <c r="O1042" s="21">
        <f>IFERROR(INDEX(Produtos!$C$2:$C$71,MATCH(C1042,Produtos!$A$2:$A$71,0)),"")</f>
        <v/>
      </c>
      <c r="P1042" s="21">
        <f>IFERROR(INDEX(Produtos!$D$2:$D$71,MATCH(C1042,Produtos!$A$2:$A$71,0)),0)</f>
        <v/>
      </c>
      <c r="Q1042" s="21">
        <f>IFERROR(INDEX(Produtos!$E$2:$E$71,MATCH(C1042,Produtos!$A$2:$A$71,0)),0)</f>
        <v/>
      </c>
      <c r="R1042" s="23">
        <f>D1042*Q1042</f>
        <v/>
      </c>
      <c r="S1042" s="23">
        <f>R1042*E1042</f>
        <v/>
      </c>
      <c r="T1042" s="23">
        <f>(R1042-S1042)*M1042</f>
        <v/>
      </c>
      <c r="U1042" s="23">
        <f>R1042-S1042-T1042</f>
        <v/>
      </c>
      <c r="V1042" s="23">
        <f>D1042*P1042</f>
        <v/>
      </c>
      <c r="W1042" s="23">
        <f>U1042-V1042</f>
        <v/>
      </c>
      <c r="X1042" s="24">
        <f>IFERROR(W1042/U1042,0)</f>
        <v/>
      </c>
    </row>
    <row r="1043">
      <c r="A1043" s="25">
        <f>ItensPedido!A1043</f>
        <v/>
      </c>
      <c r="B1043" s="25">
        <f>ItensPedido!B1043</f>
        <v/>
      </c>
      <c r="C1043" s="25">
        <f>ItensPedido!C1043</f>
        <v/>
      </c>
      <c r="D1043" s="25">
        <f>ItensPedido!D1043</f>
        <v/>
      </c>
      <c r="E1043" s="26">
        <f>ItensPedido!E1043</f>
        <v/>
      </c>
      <c r="F1043" s="25">
        <f>IFERROR(INDEX(Pedidos!$B$2:$B$1801,MATCH(B1043,Pedidos!$A$2:$A$1801,0)),0)</f>
        <v/>
      </c>
      <c r="G1043" s="25">
        <f>IF(F1043=0,"",YEAR(F1043))</f>
        <v/>
      </c>
      <c r="H1043" s="25">
        <f>IF(F1043=0,"",MONTH(F1043))</f>
        <v/>
      </c>
      <c r="I1043" s="25">
        <f>IFERROR(INDEX(Pedidos!$E$2:$E$1801,MATCH(B1043,Pedidos!$A$2:$A$1801,0)),"")</f>
        <v/>
      </c>
      <c r="J1043" s="25">
        <f>IFERROR(INDEX(Pedidos!$C$2:$C$1801,MATCH(B1043,Pedidos!$A$2:$A$1801,0)),"")</f>
        <v/>
      </c>
      <c r="K1043" s="25">
        <f>IFERROR(INDEX(Pedidos!$D$2:$D$1801,MATCH(B1043,Pedidos!$A$2:$A$1801,0)),"")</f>
        <v/>
      </c>
      <c r="L1043" s="25">
        <f>IFERROR(INDEX(Pedidos!$F$2:$F$1801,MATCH(B1043,Pedidos!$A$2:$A$1801,0)),"")</f>
        <v/>
      </c>
      <c r="M1043" s="26">
        <f>IFERROR(INDEX(Pedidos!$G$2:$G$1801,MATCH(B1043,Pedidos!$A$2:$A$1801,0)),0)</f>
        <v/>
      </c>
      <c r="N1043" s="25">
        <f>IFERROR(INDEX(Produtos!$B$2:$B$71,MATCH(C1043,Produtos!$A$2:$A$71,0)),"")</f>
        <v/>
      </c>
      <c r="O1043" s="25">
        <f>IFERROR(INDEX(Produtos!$C$2:$C$71,MATCH(C1043,Produtos!$A$2:$A$71,0)),"")</f>
        <v/>
      </c>
      <c r="P1043" s="25">
        <f>IFERROR(INDEX(Produtos!$D$2:$D$71,MATCH(C1043,Produtos!$A$2:$A$71,0)),0)</f>
        <v/>
      </c>
      <c r="Q1043" s="25">
        <f>IFERROR(INDEX(Produtos!$E$2:$E$71,MATCH(C1043,Produtos!$A$2:$A$71,0)),0)</f>
        <v/>
      </c>
      <c r="R1043" s="27">
        <f>D1043*Q1043</f>
        <v/>
      </c>
      <c r="S1043" s="27">
        <f>R1043*E1043</f>
        <v/>
      </c>
      <c r="T1043" s="27">
        <f>(R1043-S1043)*M1043</f>
        <v/>
      </c>
      <c r="U1043" s="27">
        <f>R1043-S1043-T1043</f>
        <v/>
      </c>
      <c r="V1043" s="27">
        <f>D1043*P1043</f>
        <v/>
      </c>
      <c r="W1043" s="27">
        <f>U1043-V1043</f>
        <v/>
      </c>
      <c r="X1043" s="28">
        <f>IFERROR(W1043/U1043,0)</f>
        <v/>
      </c>
    </row>
    <row r="1044">
      <c r="A1044" s="21">
        <f>ItensPedido!A1044</f>
        <v/>
      </c>
      <c r="B1044" s="21">
        <f>ItensPedido!B1044</f>
        <v/>
      </c>
      <c r="C1044" s="21">
        <f>ItensPedido!C1044</f>
        <v/>
      </c>
      <c r="D1044" s="21">
        <f>ItensPedido!D1044</f>
        <v/>
      </c>
      <c r="E1044" s="22">
        <f>ItensPedido!E1044</f>
        <v/>
      </c>
      <c r="F1044" s="21">
        <f>IFERROR(INDEX(Pedidos!$B$2:$B$1801,MATCH(B1044,Pedidos!$A$2:$A$1801,0)),0)</f>
        <v/>
      </c>
      <c r="G1044" s="21">
        <f>IF(F1044=0,"",YEAR(F1044))</f>
        <v/>
      </c>
      <c r="H1044" s="21">
        <f>IF(F1044=0,"",MONTH(F1044))</f>
        <v/>
      </c>
      <c r="I1044" s="21">
        <f>IFERROR(INDEX(Pedidos!$E$2:$E$1801,MATCH(B1044,Pedidos!$A$2:$A$1801,0)),"")</f>
        <v/>
      </c>
      <c r="J1044" s="21">
        <f>IFERROR(INDEX(Pedidos!$C$2:$C$1801,MATCH(B1044,Pedidos!$A$2:$A$1801,0)),"")</f>
        <v/>
      </c>
      <c r="K1044" s="21">
        <f>IFERROR(INDEX(Pedidos!$D$2:$D$1801,MATCH(B1044,Pedidos!$A$2:$A$1801,0)),"")</f>
        <v/>
      </c>
      <c r="L1044" s="21">
        <f>IFERROR(INDEX(Pedidos!$F$2:$F$1801,MATCH(B1044,Pedidos!$A$2:$A$1801,0)),"")</f>
        <v/>
      </c>
      <c r="M1044" s="22">
        <f>IFERROR(INDEX(Pedidos!$G$2:$G$1801,MATCH(B1044,Pedidos!$A$2:$A$1801,0)),0)</f>
        <v/>
      </c>
      <c r="N1044" s="21">
        <f>IFERROR(INDEX(Produtos!$B$2:$B$71,MATCH(C1044,Produtos!$A$2:$A$71,0)),"")</f>
        <v/>
      </c>
      <c r="O1044" s="21">
        <f>IFERROR(INDEX(Produtos!$C$2:$C$71,MATCH(C1044,Produtos!$A$2:$A$71,0)),"")</f>
        <v/>
      </c>
      <c r="P1044" s="21">
        <f>IFERROR(INDEX(Produtos!$D$2:$D$71,MATCH(C1044,Produtos!$A$2:$A$71,0)),0)</f>
        <v/>
      </c>
      <c r="Q1044" s="21">
        <f>IFERROR(INDEX(Produtos!$E$2:$E$71,MATCH(C1044,Produtos!$A$2:$A$71,0)),0)</f>
        <v/>
      </c>
      <c r="R1044" s="23">
        <f>D1044*Q1044</f>
        <v/>
      </c>
      <c r="S1044" s="23">
        <f>R1044*E1044</f>
        <v/>
      </c>
      <c r="T1044" s="23">
        <f>(R1044-S1044)*M1044</f>
        <v/>
      </c>
      <c r="U1044" s="23">
        <f>R1044-S1044-T1044</f>
        <v/>
      </c>
      <c r="V1044" s="23">
        <f>D1044*P1044</f>
        <v/>
      </c>
      <c r="W1044" s="23">
        <f>U1044-V1044</f>
        <v/>
      </c>
      <c r="X1044" s="24">
        <f>IFERROR(W1044/U1044,0)</f>
        <v/>
      </c>
    </row>
    <row r="1045">
      <c r="A1045" s="25">
        <f>ItensPedido!A1045</f>
        <v/>
      </c>
      <c r="B1045" s="25">
        <f>ItensPedido!B1045</f>
        <v/>
      </c>
      <c r="C1045" s="25">
        <f>ItensPedido!C1045</f>
        <v/>
      </c>
      <c r="D1045" s="25">
        <f>ItensPedido!D1045</f>
        <v/>
      </c>
      <c r="E1045" s="26">
        <f>ItensPedido!E1045</f>
        <v/>
      </c>
      <c r="F1045" s="25">
        <f>IFERROR(INDEX(Pedidos!$B$2:$B$1801,MATCH(B1045,Pedidos!$A$2:$A$1801,0)),0)</f>
        <v/>
      </c>
      <c r="G1045" s="25">
        <f>IF(F1045=0,"",YEAR(F1045))</f>
        <v/>
      </c>
      <c r="H1045" s="25">
        <f>IF(F1045=0,"",MONTH(F1045))</f>
        <v/>
      </c>
      <c r="I1045" s="25">
        <f>IFERROR(INDEX(Pedidos!$E$2:$E$1801,MATCH(B1045,Pedidos!$A$2:$A$1801,0)),"")</f>
        <v/>
      </c>
      <c r="J1045" s="25">
        <f>IFERROR(INDEX(Pedidos!$C$2:$C$1801,MATCH(B1045,Pedidos!$A$2:$A$1801,0)),"")</f>
        <v/>
      </c>
      <c r="K1045" s="25">
        <f>IFERROR(INDEX(Pedidos!$D$2:$D$1801,MATCH(B1045,Pedidos!$A$2:$A$1801,0)),"")</f>
        <v/>
      </c>
      <c r="L1045" s="25">
        <f>IFERROR(INDEX(Pedidos!$F$2:$F$1801,MATCH(B1045,Pedidos!$A$2:$A$1801,0)),"")</f>
        <v/>
      </c>
      <c r="M1045" s="26">
        <f>IFERROR(INDEX(Pedidos!$G$2:$G$1801,MATCH(B1045,Pedidos!$A$2:$A$1801,0)),0)</f>
        <v/>
      </c>
      <c r="N1045" s="25">
        <f>IFERROR(INDEX(Produtos!$B$2:$B$71,MATCH(C1045,Produtos!$A$2:$A$71,0)),"")</f>
        <v/>
      </c>
      <c r="O1045" s="25">
        <f>IFERROR(INDEX(Produtos!$C$2:$C$71,MATCH(C1045,Produtos!$A$2:$A$71,0)),"")</f>
        <v/>
      </c>
      <c r="P1045" s="25">
        <f>IFERROR(INDEX(Produtos!$D$2:$D$71,MATCH(C1045,Produtos!$A$2:$A$71,0)),0)</f>
        <v/>
      </c>
      <c r="Q1045" s="25">
        <f>IFERROR(INDEX(Produtos!$E$2:$E$71,MATCH(C1045,Produtos!$A$2:$A$71,0)),0)</f>
        <v/>
      </c>
      <c r="R1045" s="27">
        <f>D1045*Q1045</f>
        <v/>
      </c>
      <c r="S1045" s="27">
        <f>R1045*E1045</f>
        <v/>
      </c>
      <c r="T1045" s="27">
        <f>(R1045-S1045)*M1045</f>
        <v/>
      </c>
      <c r="U1045" s="27">
        <f>R1045-S1045-T1045</f>
        <v/>
      </c>
      <c r="V1045" s="27">
        <f>D1045*P1045</f>
        <v/>
      </c>
      <c r="W1045" s="27">
        <f>U1045-V1045</f>
        <v/>
      </c>
      <c r="X1045" s="28">
        <f>IFERROR(W1045/U1045,0)</f>
        <v/>
      </c>
    </row>
    <row r="1046">
      <c r="A1046" s="21">
        <f>ItensPedido!A1046</f>
        <v/>
      </c>
      <c r="B1046" s="21">
        <f>ItensPedido!B1046</f>
        <v/>
      </c>
      <c r="C1046" s="21">
        <f>ItensPedido!C1046</f>
        <v/>
      </c>
      <c r="D1046" s="21">
        <f>ItensPedido!D1046</f>
        <v/>
      </c>
      <c r="E1046" s="22">
        <f>ItensPedido!E1046</f>
        <v/>
      </c>
      <c r="F1046" s="21">
        <f>IFERROR(INDEX(Pedidos!$B$2:$B$1801,MATCH(B1046,Pedidos!$A$2:$A$1801,0)),0)</f>
        <v/>
      </c>
      <c r="G1046" s="21">
        <f>IF(F1046=0,"",YEAR(F1046))</f>
        <v/>
      </c>
      <c r="H1046" s="21">
        <f>IF(F1046=0,"",MONTH(F1046))</f>
        <v/>
      </c>
      <c r="I1046" s="21">
        <f>IFERROR(INDEX(Pedidos!$E$2:$E$1801,MATCH(B1046,Pedidos!$A$2:$A$1801,0)),"")</f>
        <v/>
      </c>
      <c r="J1046" s="21">
        <f>IFERROR(INDEX(Pedidos!$C$2:$C$1801,MATCH(B1046,Pedidos!$A$2:$A$1801,0)),"")</f>
        <v/>
      </c>
      <c r="K1046" s="21">
        <f>IFERROR(INDEX(Pedidos!$D$2:$D$1801,MATCH(B1046,Pedidos!$A$2:$A$1801,0)),"")</f>
        <v/>
      </c>
      <c r="L1046" s="21">
        <f>IFERROR(INDEX(Pedidos!$F$2:$F$1801,MATCH(B1046,Pedidos!$A$2:$A$1801,0)),"")</f>
        <v/>
      </c>
      <c r="M1046" s="22">
        <f>IFERROR(INDEX(Pedidos!$G$2:$G$1801,MATCH(B1046,Pedidos!$A$2:$A$1801,0)),0)</f>
        <v/>
      </c>
      <c r="N1046" s="21">
        <f>IFERROR(INDEX(Produtos!$B$2:$B$71,MATCH(C1046,Produtos!$A$2:$A$71,0)),"")</f>
        <v/>
      </c>
      <c r="O1046" s="21">
        <f>IFERROR(INDEX(Produtos!$C$2:$C$71,MATCH(C1046,Produtos!$A$2:$A$71,0)),"")</f>
        <v/>
      </c>
      <c r="P1046" s="21">
        <f>IFERROR(INDEX(Produtos!$D$2:$D$71,MATCH(C1046,Produtos!$A$2:$A$71,0)),0)</f>
        <v/>
      </c>
      <c r="Q1046" s="21">
        <f>IFERROR(INDEX(Produtos!$E$2:$E$71,MATCH(C1046,Produtos!$A$2:$A$71,0)),0)</f>
        <v/>
      </c>
      <c r="R1046" s="23">
        <f>D1046*Q1046</f>
        <v/>
      </c>
      <c r="S1046" s="23">
        <f>R1046*E1046</f>
        <v/>
      </c>
      <c r="T1046" s="23">
        <f>(R1046-S1046)*M1046</f>
        <v/>
      </c>
      <c r="U1046" s="23">
        <f>R1046-S1046-T1046</f>
        <v/>
      </c>
      <c r="V1046" s="23">
        <f>D1046*P1046</f>
        <v/>
      </c>
      <c r="W1046" s="23">
        <f>U1046-V1046</f>
        <v/>
      </c>
      <c r="X1046" s="24">
        <f>IFERROR(W1046/U1046,0)</f>
        <v/>
      </c>
    </row>
    <row r="1047">
      <c r="A1047" s="25">
        <f>ItensPedido!A1047</f>
        <v/>
      </c>
      <c r="B1047" s="25">
        <f>ItensPedido!B1047</f>
        <v/>
      </c>
      <c r="C1047" s="25">
        <f>ItensPedido!C1047</f>
        <v/>
      </c>
      <c r="D1047" s="25">
        <f>ItensPedido!D1047</f>
        <v/>
      </c>
      <c r="E1047" s="26">
        <f>ItensPedido!E1047</f>
        <v/>
      </c>
      <c r="F1047" s="25">
        <f>IFERROR(INDEX(Pedidos!$B$2:$B$1801,MATCH(B1047,Pedidos!$A$2:$A$1801,0)),0)</f>
        <v/>
      </c>
      <c r="G1047" s="25">
        <f>IF(F1047=0,"",YEAR(F1047))</f>
        <v/>
      </c>
      <c r="H1047" s="25">
        <f>IF(F1047=0,"",MONTH(F1047))</f>
        <v/>
      </c>
      <c r="I1047" s="25">
        <f>IFERROR(INDEX(Pedidos!$E$2:$E$1801,MATCH(B1047,Pedidos!$A$2:$A$1801,0)),"")</f>
        <v/>
      </c>
      <c r="J1047" s="25">
        <f>IFERROR(INDEX(Pedidos!$C$2:$C$1801,MATCH(B1047,Pedidos!$A$2:$A$1801,0)),"")</f>
        <v/>
      </c>
      <c r="K1047" s="25">
        <f>IFERROR(INDEX(Pedidos!$D$2:$D$1801,MATCH(B1047,Pedidos!$A$2:$A$1801,0)),"")</f>
        <v/>
      </c>
      <c r="L1047" s="25">
        <f>IFERROR(INDEX(Pedidos!$F$2:$F$1801,MATCH(B1047,Pedidos!$A$2:$A$1801,0)),"")</f>
        <v/>
      </c>
      <c r="M1047" s="26">
        <f>IFERROR(INDEX(Pedidos!$G$2:$G$1801,MATCH(B1047,Pedidos!$A$2:$A$1801,0)),0)</f>
        <v/>
      </c>
      <c r="N1047" s="25">
        <f>IFERROR(INDEX(Produtos!$B$2:$B$71,MATCH(C1047,Produtos!$A$2:$A$71,0)),"")</f>
        <v/>
      </c>
      <c r="O1047" s="25">
        <f>IFERROR(INDEX(Produtos!$C$2:$C$71,MATCH(C1047,Produtos!$A$2:$A$71,0)),"")</f>
        <v/>
      </c>
      <c r="P1047" s="25">
        <f>IFERROR(INDEX(Produtos!$D$2:$D$71,MATCH(C1047,Produtos!$A$2:$A$71,0)),0)</f>
        <v/>
      </c>
      <c r="Q1047" s="25">
        <f>IFERROR(INDEX(Produtos!$E$2:$E$71,MATCH(C1047,Produtos!$A$2:$A$71,0)),0)</f>
        <v/>
      </c>
      <c r="R1047" s="27">
        <f>D1047*Q1047</f>
        <v/>
      </c>
      <c r="S1047" s="27">
        <f>R1047*E1047</f>
        <v/>
      </c>
      <c r="T1047" s="27">
        <f>(R1047-S1047)*M1047</f>
        <v/>
      </c>
      <c r="U1047" s="27">
        <f>R1047-S1047-T1047</f>
        <v/>
      </c>
      <c r="V1047" s="27">
        <f>D1047*P1047</f>
        <v/>
      </c>
      <c r="W1047" s="27">
        <f>U1047-V1047</f>
        <v/>
      </c>
      <c r="X1047" s="28">
        <f>IFERROR(W1047/U1047,0)</f>
        <v/>
      </c>
    </row>
    <row r="1048">
      <c r="A1048" s="21">
        <f>ItensPedido!A1048</f>
        <v/>
      </c>
      <c r="B1048" s="21">
        <f>ItensPedido!B1048</f>
        <v/>
      </c>
      <c r="C1048" s="21">
        <f>ItensPedido!C1048</f>
        <v/>
      </c>
      <c r="D1048" s="21">
        <f>ItensPedido!D1048</f>
        <v/>
      </c>
      <c r="E1048" s="22">
        <f>ItensPedido!E1048</f>
        <v/>
      </c>
      <c r="F1048" s="21">
        <f>IFERROR(INDEX(Pedidos!$B$2:$B$1801,MATCH(B1048,Pedidos!$A$2:$A$1801,0)),0)</f>
        <v/>
      </c>
      <c r="G1048" s="21">
        <f>IF(F1048=0,"",YEAR(F1048))</f>
        <v/>
      </c>
      <c r="H1048" s="21">
        <f>IF(F1048=0,"",MONTH(F1048))</f>
        <v/>
      </c>
      <c r="I1048" s="21">
        <f>IFERROR(INDEX(Pedidos!$E$2:$E$1801,MATCH(B1048,Pedidos!$A$2:$A$1801,0)),"")</f>
        <v/>
      </c>
      <c r="J1048" s="21">
        <f>IFERROR(INDEX(Pedidos!$C$2:$C$1801,MATCH(B1048,Pedidos!$A$2:$A$1801,0)),"")</f>
        <v/>
      </c>
      <c r="K1048" s="21">
        <f>IFERROR(INDEX(Pedidos!$D$2:$D$1801,MATCH(B1048,Pedidos!$A$2:$A$1801,0)),"")</f>
        <v/>
      </c>
      <c r="L1048" s="21">
        <f>IFERROR(INDEX(Pedidos!$F$2:$F$1801,MATCH(B1048,Pedidos!$A$2:$A$1801,0)),"")</f>
        <v/>
      </c>
      <c r="M1048" s="22">
        <f>IFERROR(INDEX(Pedidos!$G$2:$G$1801,MATCH(B1048,Pedidos!$A$2:$A$1801,0)),0)</f>
        <v/>
      </c>
      <c r="N1048" s="21">
        <f>IFERROR(INDEX(Produtos!$B$2:$B$71,MATCH(C1048,Produtos!$A$2:$A$71,0)),"")</f>
        <v/>
      </c>
      <c r="O1048" s="21">
        <f>IFERROR(INDEX(Produtos!$C$2:$C$71,MATCH(C1048,Produtos!$A$2:$A$71,0)),"")</f>
        <v/>
      </c>
      <c r="P1048" s="21">
        <f>IFERROR(INDEX(Produtos!$D$2:$D$71,MATCH(C1048,Produtos!$A$2:$A$71,0)),0)</f>
        <v/>
      </c>
      <c r="Q1048" s="21">
        <f>IFERROR(INDEX(Produtos!$E$2:$E$71,MATCH(C1048,Produtos!$A$2:$A$71,0)),0)</f>
        <v/>
      </c>
      <c r="R1048" s="23">
        <f>D1048*Q1048</f>
        <v/>
      </c>
      <c r="S1048" s="23">
        <f>R1048*E1048</f>
        <v/>
      </c>
      <c r="T1048" s="23">
        <f>(R1048-S1048)*M1048</f>
        <v/>
      </c>
      <c r="U1048" s="23">
        <f>R1048-S1048-T1048</f>
        <v/>
      </c>
      <c r="V1048" s="23">
        <f>D1048*P1048</f>
        <v/>
      </c>
      <c r="W1048" s="23">
        <f>U1048-V1048</f>
        <v/>
      </c>
      <c r="X1048" s="24">
        <f>IFERROR(W1048/U1048,0)</f>
        <v/>
      </c>
    </row>
    <row r="1049">
      <c r="A1049" s="25">
        <f>ItensPedido!A1049</f>
        <v/>
      </c>
      <c r="B1049" s="25">
        <f>ItensPedido!B1049</f>
        <v/>
      </c>
      <c r="C1049" s="25">
        <f>ItensPedido!C1049</f>
        <v/>
      </c>
      <c r="D1049" s="25">
        <f>ItensPedido!D1049</f>
        <v/>
      </c>
      <c r="E1049" s="26">
        <f>ItensPedido!E1049</f>
        <v/>
      </c>
      <c r="F1049" s="25">
        <f>IFERROR(INDEX(Pedidos!$B$2:$B$1801,MATCH(B1049,Pedidos!$A$2:$A$1801,0)),0)</f>
        <v/>
      </c>
      <c r="G1049" s="25">
        <f>IF(F1049=0,"",YEAR(F1049))</f>
        <v/>
      </c>
      <c r="H1049" s="25">
        <f>IF(F1049=0,"",MONTH(F1049))</f>
        <v/>
      </c>
      <c r="I1049" s="25">
        <f>IFERROR(INDEX(Pedidos!$E$2:$E$1801,MATCH(B1049,Pedidos!$A$2:$A$1801,0)),"")</f>
        <v/>
      </c>
      <c r="J1049" s="25">
        <f>IFERROR(INDEX(Pedidos!$C$2:$C$1801,MATCH(B1049,Pedidos!$A$2:$A$1801,0)),"")</f>
        <v/>
      </c>
      <c r="K1049" s="25">
        <f>IFERROR(INDEX(Pedidos!$D$2:$D$1801,MATCH(B1049,Pedidos!$A$2:$A$1801,0)),"")</f>
        <v/>
      </c>
      <c r="L1049" s="25">
        <f>IFERROR(INDEX(Pedidos!$F$2:$F$1801,MATCH(B1049,Pedidos!$A$2:$A$1801,0)),"")</f>
        <v/>
      </c>
      <c r="M1049" s="26">
        <f>IFERROR(INDEX(Pedidos!$G$2:$G$1801,MATCH(B1049,Pedidos!$A$2:$A$1801,0)),0)</f>
        <v/>
      </c>
      <c r="N1049" s="25">
        <f>IFERROR(INDEX(Produtos!$B$2:$B$71,MATCH(C1049,Produtos!$A$2:$A$71,0)),"")</f>
        <v/>
      </c>
      <c r="O1049" s="25">
        <f>IFERROR(INDEX(Produtos!$C$2:$C$71,MATCH(C1049,Produtos!$A$2:$A$71,0)),"")</f>
        <v/>
      </c>
      <c r="P1049" s="25">
        <f>IFERROR(INDEX(Produtos!$D$2:$D$71,MATCH(C1049,Produtos!$A$2:$A$71,0)),0)</f>
        <v/>
      </c>
      <c r="Q1049" s="25">
        <f>IFERROR(INDEX(Produtos!$E$2:$E$71,MATCH(C1049,Produtos!$A$2:$A$71,0)),0)</f>
        <v/>
      </c>
      <c r="R1049" s="27">
        <f>D1049*Q1049</f>
        <v/>
      </c>
      <c r="S1049" s="27">
        <f>R1049*E1049</f>
        <v/>
      </c>
      <c r="T1049" s="27">
        <f>(R1049-S1049)*M1049</f>
        <v/>
      </c>
      <c r="U1049" s="27">
        <f>R1049-S1049-T1049</f>
        <v/>
      </c>
      <c r="V1049" s="27">
        <f>D1049*P1049</f>
        <v/>
      </c>
      <c r="W1049" s="27">
        <f>U1049-V1049</f>
        <v/>
      </c>
      <c r="X1049" s="28">
        <f>IFERROR(W1049/U1049,0)</f>
        <v/>
      </c>
    </row>
    <row r="1050">
      <c r="A1050" s="21">
        <f>ItensPedido!A1050</f>
        <v/>
      </c>
      <c r="B1050" s="21">
        <f>ItensPedido!B1050</f>
        <v/>
      </c>
      <c r="C1050" s="21">
        <f>ItensPedido!C1050</f>
        <v/>
      </c>
      <c r="D1050" s="21">
        <f>ItensPedido!D1050</f>
        <v/>
      </c>
      <c r="E1050" s="22">
        <f>ItensPedido!E1050</f>
        <v/>
      </c>
      <c r="F1050" s="21">
        <f>IFERROR(INDEX(Pedidos!$B$2:$B$1801,MATCH(B1050,Pedidos!$A$2:$A$1801,0)),0)</f>
        <v/>
      </c>
      <c r="G1050" s="21">
        <f>IF(F1050=0,"",YEAR(F1050))</f>
        <v/>
      </c>
      <c r="H1050" s="21">
        <f>IF(F1050=0,"",MONTH(F1050))</f>
        <v/>
      </c>
      <c r="I1050" s="21">
        <f>IFERROR(INDEX(Pedidos!$E$2:$E$1801,MATCH(B1050,Pedidos!$A$2:$A$1801,0)),"")</f>
        <v/>
      </c>
      <c r="J1050" s="21">
        <f>IFERROR(INDEX(Pedidos!$C$2:$C$1801,MATCH(B1050,Pedidos!$A$2:$A$1801,0)),"")</f>
        <v/>
      </c>
      <c r="K1050" s="21">
        <f>IFERROR(INDEX(Pedidos!$D$2:$D$1801,MATCH(B1050,Pedidos!$A$2:$A$1801,0)),"")</f>
        <v/>
      </c>
      <c r="L1050" s="21">
        <f>IFERROR(INDEX(Pedidos!$F$2:$F$1801,MATCH(B1050,Pedidos!$A$2:$A$1801,0)),"")</f>
        <v/>
      </c>
      <c r="M1050" s="22">
        <f>IFERROR(INDEX(Pedidos!$G$2:$G$1801,MATCH(B1050,Pedidos!$A$2:$A$1801,0)),0)</f>
        <v/>
      </c>
      <c r="N1050" s="21">
        <f>IFERROR(INDEX(Produtos!$B$2:$B$71,MATCH(C1050,Produtos!$A$2:$A$71,0)),"")</f>
        <v/>
      </c>
      <c r="O1050" s="21">
        <f>IFERROR(INDEX(Produtos!$C$2:$C$71,MATCH(C1050,Produtos!$A$2:$A$71,0)),"")</f>
        <v/>
      </c>
      <c r="P1050" s="21">
        <f>IFERROR(INDEX(Produtos!$D$2:$D$71,MATCH(C1050,Produtos!$A$2:$A$71,0)),0)</f>
        <v/>
      </c>
      <c r="Q1050" s="21">
        <f>IFERROR(INDEX(Produtos!$E$2:$E$71,MATCH(C1050,Produtos!$A$2:$A$71,0)),0)</f>
        <v/>
      </c>
      <c r="R1050" s="23">
        <f>D1050*Q1050</f>
        <v/>
      </c>
      <c r="S1050" s="23">
        <f>R1050*E1050</f>
        <v/>
      </c>
      <c r="T1050" s="23">
        <f>(R1050-S1050)*M1050</f>
        <v/>
      </c>
      <c r="U1050" s="23">
        <f>R1050-S1050-T1050</f>
        <v/>
      </c>
      <c r="V1050" s="23">
        <f>D1050*P1050</f>
        <v/>
      </c>
      <c r="W1050" s="23">
        <f>U1050-V1050</f>
        <v/>
      </c>
      <c r="X1050" s="24">
        <f>IFERROR(W1050/U1050,0)</f>
        <v/>
      </c>
    </row>
    <row r="1051">
      <c r="A1051" s="25">
        <f>ItensPedido!A1051</f>
        <v/>
      </c>
      <c r="B1051" s="25">
        <f>ItensPedido!B1051</f>
        <v/>
      </c>
      <c r="C1051" s="25">
        <f>ItensPedido!C1051</f>
        <v/>
      </c>
      <c r="D1051" s="25">
        <f>ItensPedido!D1051</f>
        <v/>
      </c>
      <c r="E1051" s="26">
        <f>ItensPedido!E1051</f>
        <v/>
      </c>
      <c r="F1051" s="25">
        <f>IFERROR(INDEX(Pedidos!$B$2:$B$1801,MATCH(B1051,Pedidos!$A$2:$A$1801,0)),0)</f>
        <v/>
      </c>
      <c r="G1051" s="25">
        <f>IF(F1051=0,"",YEAR(F1051))</f>
        <v/>
      </c>
      <c r="H1051" s="25">
        <f>IF(F1051=0,"",MONTH(F1051))</f>
        <v/>
      </c>
      <c r="I1051" s="25">
        <f>IFERROR(INDEX(Pedidos!$E$2:$E$1801,MATCH(B1051,Pedidos!$A$2:$A$1801,0)),"")</f>
        <v/>
      </c>
      <c r="J1051" s="25">
        <f>IFERROR(INDEX(Pedidos!$C$2:$C$1801,MATCH(B1051,Pedidos!$A$2:$A$1801,0)),"")</f>
        <v/>
      </c>
      <c r="K1051" s="25">
        <f>IFERROR(INDEX(Pedidos!$D$2:$D$1801,MATCH(B1051,Pedidos!$A$2:$A$1801,0)),"")</f>
        <v/>
      </c>
      <c r="L1051" s="25">
        <f>IFERROR(INDEX(Pedidos!$F$2:$F$1801,MATCH(B1051,Pedidos!$A$2:$A$1801,0)),"")</f>
        <v/>
      </c>
      <c r="M1051" s="26">
        <f>IFERROR(INDEX(Pedidos!$G$2:$G$1801,MATCH(B1051,Pedidos!$A$2:$A$1801,0)),0)</f>
        <v/>
      </c>
      <c r="N1051" s="25">
        <f>IFERROR(INDEX(Produtos!$B$2:$B$71,MATCH(C1051,Produtos!$A$2:$A$71,0)),"")</f>
        <v/>
      </c>
      <c r="O1051" s="25">
        <f>IFERROR(INDEX(Produtos!$C$2:$C$71,MATCH(C1051,Produtos!$A$2:$A$71,0)),"")</f>
        <v/>
      </c>
      <c r="P1051" s="25">
        <f>IFERROR(INDEX(Produtos!$D$2:$D$71,MATCH(C1051,Produtos!$A$2:$A$71,0)),0)</f>
        <v/>
      </c>
      <c r="Q1051" s="25">
        <f>IFERROR(INDEX(Produtos!$E$2:$E$71,MATCH(C1051,Produtos!$A$2:$A$71,0)),0)</f>
        <v/>
      </c>
      <c r="R1051" s="27">
        <f>D1051*Q1051</f>
        <v/>
      </c>
      <c r="S1051" s="27">
        <f>R1051*E1051</f>
        <v/>
      </c>
      <c r="T1051" s="27">
        <f>(R1051-S1051)*M1051</f>
        <v/>
      </c>
      <c r="U1051" s="27">
        <f>R1051-S1051-T1051</f>
        <v/>
      </c>
      <c r="V1051" s="27">
        <f>D1051*P1051</f>
        <v/>
      </c>
      <c r="W1051" s="27">
        <f>U1051-V1051</f>
        <v/>
      </c>
      <c r="X1051" s="28">
        <f>IFERROR(W1051/U1051,0)</f>
        <v/>
      </c>
    </row>
    <row r="1052">
      <c r="A1052" s="21">
        <f>ItensPedido!A1052</f>
        <v/>
      </c>
      <c r="B1052" s="21">
        <f>ItensPedido!B1052</f>
        <v/>
      </c>
      <c r="C1052" s="21">
        <f>ItensPedido!C1052</f>
        <v/>
      </c>
      <c r="D1052" s="21">
        <f>ItensPedido!D1052</f>
        <v/>
      </c>
      <c r="E1052" s="22">
        <f>ItensPedido!E1052</f>
        <v/>
      </c>
      <c r="F1052" s="21">
        <f>IFERROR(INDEX(Pedidos!$B$2:$B$1801,MATCH(B1052,Pedidos!$A$2:$A$1801,0)),0)</f>
        <v/>
      </c>
      <c r="G1052" s="21">
        <f>IF(F1052=0,"",YEAR(F1052))</f>
        <v/>
      </c>
      <c r="H1052" s="21">
        <f>IF(F1052=0,"",MONTH(F1052))</f>
        <v/>
      </c>
      <c r="I1052" s="21">
        <f>IFERROR(INDEX(Pedidos!$E$2:$E$1801,MATCH(B1052,Pedidos!$A$2:$A$1801,0)),"")</f>
        <v/>
      </c>
      <c r="J1052" s="21">
        <f>IFERROR(INDEX(Pedidos!$C$2:$C$1801,MATCH(B1052,Pedidos!$A$2:$A$1801,0)),"")</f>
        <v/>
      </c>
      <c r="K1052" s="21">
        <f>IFERROR(INDEX(Pedidos!$D$2:$D$1801,MATCH(B1052,Pedidos!$A$2:$A$1801,0)),"")</f>
        <v/>
      </c>
      <c r="L1052" s="21">
        <f>IFERROR(INDEX(Pedidos!$F$2:$F$1801,MATCH(B1052,Pedidos!$A$2:$A$1801,0)),"")</f>
        <v/>
      </c>
      <c r="M1052" s="22">
        <f>IFERROR(INDEX(Pedidos!$G$2:$G$1801,MATCH(B1052,Pedidos!$A$2:$A$1801,0)),0)</f>
        <v/>
      </c>
      <c r="N1052" s="21">
        <f>IFERROR(INDEX(Produtos!$B$2:$B$71,MATCH(C1052,Produtos!$A$2:$A$71,0)),"")</f>
        <v/>
      </c>
      <c r="O1052" s="21">
        <f>IFERROR(INDEX(Produtos!$C$2:$C$71,MATCH(C1052,Produtos!$A$2:$A$71,0)),"")</f>
        <v/>
      </c>
      <c r="P1052" s="21">
        <f>IFERROR(INDEX(Produtos!$D$2:$D$71,MATCH(C1052,Produtos!$A$2:$A$71,0)),0)</f>
        <v/>
      </c>
      <c r="Q1052" s="21">
        <f>IFERROR(INDEX(Produtos!$E$2:$E$71,MATCH(C1052,Produtos!$A$2:$A$71,0)),0)</f>
        <v/>
      </c>
      <c r="R1052" s="23">
        <f>D1052*Q1052</f>
        <v/>
      </c>
      <c r="S1052" s="23">
        <f>R1052*E1052</f>
        <v/>
      </c>
      <c r="T1052" s="23">
        <f>(R1052-S1052)*M1052</f>
        <v/>
      </c>
      <c r="U1052" s="23">
        <f>R1052-S1052-T1052</f>
        <v/>
      </c>
      <c r="V1052" s="23">
        <f>D1052*P1052</f>
        <v/>
      </c>
      <c r="W1052" s="23">
        <f>U1052-V1052</f>
        <v/>
      </c>
      <c r="X1052" s="24">
        <f>IFERROR(W1052/U1052,0)</f>
        <v/>
      </c>
    </row>
    <row r="1053">
      <c r="A1053" s="25">
        <f>ItensPedido!A1053</f>
        <v/>
      </c>
      <c r="B1053" s="25">
        <f>ItensPedido!B1053</f>
        <v/>
      </c>
      <c r="C1053" s="25">
        <f>ItensPedido!C1053</f>
        <v/>
      </c>
      <c r="D1053" s="25">
        <f>ItensPedido!D1053</f>
        <v/>
      </c>
      <c r="E1053" s="26">
        <f>ItensPedido!E1053</f>
        <v/>
      </c>
      <c r="F1053" s="25">
        <f>IFERROR(INDEX(Pedidos!$B$2:$B$1801,MATCH(B1053,Pedidos!$A$2:$A$1801,0)),0)</f>
        <v/>
      </c>
      <c r="G1053" s="25">
        <f>IF(F1053=0,"",YEAR(F1053))</f>
        <v/>
      </c>
      <c r="H1053" s="25">
        <f>IF(F1053=0,"",MONTH(F1053))</f>
        <v/>
      </c>
      <c r="I1053" s="25">
        <f>IFERROR(INDEX(Pedidos!$E$2:$E$1801,MATCH(B1053,Pedidos!$A$2:$A$1801,0)),"")</f>
        <v/>
      </c>
      <c r="J1053" s="25">
        <f>IFERROR(INDEX(Pedidos!$C$2:$C$1801,MATCH(B1053,Pedidos!$A$2:$A$1801,0)),"")</f>
        <v/>
      </c>
      <c r="K1053" s="25">
        <f>IFERROR(INDEX(Pedidos!$D$2:$D$1801,MATCH(B1053,Pedidos!$A$2:$A$1801,0)),"")</f>
        <v/>
      </c>
      <c r="L1053" s="25">
        <f>IFERROR(INDEX(Pedidos!$F$2:$F$1801,MATCH(B1053,Pedidos!$A$2:$A$1801,0)),"")</f>
        <v/>
      </c>
      <c r="M1053" s="26">
        <f>IFERROR(INDEX(Pedidos!$G$2:$G$1801,MATCH(B1053,Pedidos!$A$2:$A$1801,0)),0)</f>
        <v/>
      </c>
      <c r="N1053" s="25">
        <f>IFERROR(INDEX(Produtos!$B$2:$B$71,MATCH(C1053,Produtos!$A$2:$A$71,0)),"")</f>
        <v/>
      </c>
      <c r="O1053" s="25">
        <f>IFERROR(INDEX(Produtos!$C$2:$C$71,MATCH(C1053,Produtos!$A$2:$A$71,0)),"")</f>
        <v/>
      </c>
      <c r="P1053" s="25">
        <f>IFERROR(INDEX(Produtos!$D$2:$D$71,MATCH(C1053,Produtos!$A$2:$A$71,0)),0)</f>
        <v/>
      </c>
      <c r="Q1053" s="25">
        <f>IFERROR(INDEX(Produtos!$E$2:$E$71,MATCH(C1053,Produtos!$A$2:$A$71,0)),0)</f>
        <v/>
      </c>
      <c r="R1053" s="27">
        <f>D1053*Q1053</f>
        <v/>
      </c>
      <c r="S1053" s="27">
        <f>R1053*E1053</f>
        <v/>
      </c>
      <c r="T1053" s="27">
        <f>(R1053-S1053)*M1053</f>
        <v/>
      </c>
      <c r="U1053" s="27">
        <f>R1053-S1053-T1053</f>
        <v/>
      </c>
      <c r="V1053" s="27">
        <f>D1053*P1053</f>
        <v/>
      </c>
      <c r="W1053" s="27">
        <f>U1053-V1053</f>
        <v/>
      </c>
      <c r="X1053" s="28">
        <f>IFERROR(W1053/U1053,0)</f>
        <v/>
      </c>
    </row>
    <row r="1054">
      <c r="A1054" s="21">
        <f>ItensPedido!A1054</f>
        <v/>
      </c>
      <c r="B1054" s="21">
        <f>ItensPedido!B1054</f>
        <v/>
      </c>
      <c r="C1054" s="21">
        <f>ItensPedido!C1054</f>
        <v/>
      </c>
      <c r="D1054" s="21">
        <f>ItensPedido!D1054</f>
        <v/>
      </c>
      <c r="E1054" s="22">
        <f>ItensPedido!E1054</f>
        <v/>
      </c>
      <c r="F1054" s="21">
        <f>IFERROR(INDEX(Pedidos!$B$2:$B$1801,MATCH(B1054,Pedidos!$A$2:$A$1801,0)),0)</f>
        <v/>
      </c>
      <c r="G1054" s="21">
        <f>IF(F1054=0,"",YEAR(F1054))</f>
        <v/>
      </c>
      <c r="H1054" s="21">
        <f>IF(F1054=0,"",MONTH(F1054))</f>
        <v/>
      </c>
      <c r="I1054" s="21">
        <f>IFERROR(INDEX(Pedidos!$E$2:$E$1801,MATCH(B1054,Pedidos!$A$2:$A$1801,0)),"")</f>
        <v/>
      </c>
      <c r="J1054" s="21">
        <f>IFERROR(INDEX(Pedidos!$C$2:$C$1801,MATCH(B1054,Pedidos!$A$2:$A$1801,0)),"")</f>
        <v/>
      </c>
      <c r="K1054" s="21">
        <f>IFERROR(INDEX(Pedidos!$D$2:$D$1801,MATCH(B1054,Pedidos!$A$2:$A$1801,0)),"")</f>
        <v/>
      </c>
      <c r="L1054" s="21">
        <f>IFERROR(INDEX(Pedidos!$F$2:$F$1801,MATCH(B1054,Pedidos!$A$2:$A$1801,0)),"")</f>
        <v/>
      </c>
      <c r="M1054" s="22">
        <f>IFERROR(INDEX(Pedidos!$G$2:$G$1801,MATCH(B1054,Pedidos!$A$2:$A$1801,0)),0)</f>
        <v/>
      </c>
      <c r="N1054" s="21">
        <f>IFERROR(INDEX(Produtos!$B$2:$B$71,MATCH(C1054,Produtos!$A$2:$A$71,0)),"")</f>
        <v/>
      </c>
      <c r="O1054" s="21">
        <f>IFERROR(INDEX(Produtos!$C$2:$C$71,MATCH(C1054,Produtos!$A$2:$A$71,0)),"")</f>
        <v/>
      </c>
      <c r="P1054" s="21">
        <f>IFERROR(INDEX(Produtos!$D$2:$D$71,MATCH(C1054,Produtos!$A$2:$A$71,0)),0)</f>
        <v/>
      </c>
      <c r="Q1054" s="21">
        <f>IFERROR(INDEX(Produtos!$E$2:$E$71,MATCH(C1054,Produtos!$A$2:$A$71,0)),0)</f>
        <v/>
      </c>
      <c r="R1054" s="23">
        <f>D1054*Q1054</f>
        <v/>
      </c>
      <c r="S1054" s="23">
        <f>R1054*E1054</f>
        <v/>
      </c>
      <c r="T1054" s="23">
        <f>(R1054-S1054)*M1054</f>
        <v/>
      </c>
      <c r="U1054" s="23">
        <f>R1054-S1054-T1054</f>
        <v/>
      </c>
      <c r="V1054" s="23">
        <f>D1054*P1054</f>
        <v/>
      </c>
      <c r="W1054" s="23">
        <f>U1054-V1054</f>
        <v/>
      </c>
      <c r="X1054" s="24">
        <f>IFERROR(W1054/U1054,0)</f>
        <v/>
      </c>
    </row>
    <row r="1055">
      <c r="A1055" s="25">
        <f>ItensPedido!A1055</f>
        <v/>
      </c>
      <c r="B1055" s="25">
        <f>ItensPedido!B1055</f>
        <v/>
      </c>
      <c r="C1055" s="25">
        <f>ItensPedido!C1055</f>
        <v/>
      </c>
      <c r="D1055" s="25">
        <f>ItensPedido!D1055</f>
        <v/>
      </c>
      <c r="E1055" s="26">
        <f>ItensPedido!E1055</f>
        <v/>
      </c>
      <c r="F1055" s="25">
        <f>IFERROR(INDEX(Pedidos!$B$2:$B$1801,MATCH(B1055,Pedidos!$A$2:$A$1801,0)),0)</f>
        <v/>
      </c>
      <c r="G1055" s="25">
        <f>IF(F1055=0,"",YEAR(F1055))</f>
        <v/>
      </c>
      <c r="H1055" s="25">
        <f>IF(F1055=0,"",MONTH(F1055))</f>
        <v/>
      </c>
      <c r="I1055" s="25">
        <f>IFERROR(INDEX(Pedidos!$E$2:$E$1801,MATCH(B1055,Pedidos!$A$2:$A$1801,0)),"")</f>
        <v/>
      </c>
      <c r="J1055" s="25">
        <f>IFERROR(INDEX(Pedidos!$C$2:$C$1801,MATCH(B1055,Pedidos!$A$2:$A$1801,0)),"")</f>
        <v/>
      </c>
      <c r="K1055" s="25">
        <f>IFERROR(INDEX(Pedidos!$D$2:$D$1801,MATCH(B1055,Pedidos!$A$2:$A$1801,0)),"")</f>
        <v/>
      </c>
      <c r="L1055" s="25">
        <f>IFERROR(INDEX(Pedidos!$F$2:$F$1801,MATCH(B1055,Pedidos!$A$2:$A$1801,0)),"")</f>
        <v/>
      </c>
      <c r="M1055" s="26">
        <f>IFERROR(INDEX(Pedidos!$G$2:$G$1801,MATCH(B1055,Pedidos!$A$2:$A$1801,0)),0)</f>
        <v/>
      </c>
      <c r="N1055" s="25">
        <f>IFERROR(INDEX(Produtos!$B$2:$B$71,MATCH(C1055,Produtos!$A$2:$A$71,0)),"")</f>
        <v/>
      </c>
      <c r="O1055" s="25">
        <f>IFERROR(INDEX(Produtos!$C$2:$C$71,MATCH(C1055,Produtos!$A$2:$A$71,0)),"")</f>
        <v/>
      </c>
      <c r="P1055" s="25">
        <f>IFERROR(INDEX(Produtos!$D$2:$D$71,MATCH(C1055,Produtos!$A$2:$A$71,0)),0)</f>
        <v/>
      </c>
      <c r="Q1055" s="25">
        <f>IFERROR(INDEX(Produtos!$E$2:$E$71,MATCH(C1055,Produtos!$A$2:$A$71,0)),0)</f>
        <v/>
      </c>
      <c r="R1055" s="27">
        <f>D1055*Q1055</f>
        <v/>
      </c>
      <c r="S1055" s="27">
        <f>R1055*E1055</f>
        <v/>
      </c>
      <c r="T1055" s="27">
        <f>(R1055-S1055)*M1055</f>
        <v/>
      </c>
      <c r="U1055" s="27">
        <f>R1055-S1055-T1055</f>
        <v/>
      </c>
      <c r="V1055" s="27">
        <f>D1055*P1055</f>
        <v/>
      </c>
      <c r="W1055" s="27">
        <f>U1055-V1055</f>
        <v/>
      </c>
      <c r="X1055" s="28">
        <f>IFERROR(W1055/U1055,0)</f>
        <v/>
      </c>
    </row>
    <row r="1056">
      <c r="A1056" s="21">
        <f>ItensPedido!A1056</f>
        <v/>
      </c>
      <c r="B1056" s="21">
        <f>ItensPedido!B1056</f>
        <v/>
      </c>
      <c r="C1056" s="21">
        <f>ItensPedido!C1056</f>
        <v/>
      </c>
      <c r="D1056" s="21">
        <f>ItensPedido!D1056</f>
        <v/>
      </c>
      <c r="E1056" s="22">
        <f>ItensPedido!E1056</f>
        <v/>
      </c>
      <c r="F1056" s="21">
        <f>IFERROR(INDEX(Pedidos!$B$2:$B$1801,MATCH(B1056,Pedidos!$A$2:$A$1801,0)),0)</f>
        <v/>
      </c>
      <c r="G1056" s="21">
        <f>IF(F1056=0,"",YEAR(F1056))</f>
        <v/>
      </c>
      <c r="H1056" s="21">
        <f>IF(F1056=0,"",MONTH(F1056))</f>
        <v/>
      </c>
      <c r="I1056" s="21">
        <f>IFERROR(INDEX(Pedidos!$E$2:$E$1801,MATCH(B1056,Pedidos!$A$2:$A$1801,0)),"")</f>
        <v/>
      </c>
      <c r="J1056" s="21">
        <f>IFERROR(INDEX(Pedidos!$C$2:$C$1801,MATCH(B1056,Pedidos!$A$2:$A$1801,0)),"")</f>
        <v/>
      </c>
      <c r="K1056" s="21">
        <f>IFERROR(INDEX(Pedidos!$D$2:$D$1801,MATCH(B1056,Pedidos!$A$2:$A$1801,0)),"")</f>
        <v/>
      </c>
      <c r="L1056" s="21">
        <f>IFERROR(INDEX(Pedidos!$F$2:$F$1801,MATCH(B1056,Pedidos!$A$2:$A$1801,0)),"")</f>
        <v/>
      </c>
      <c r="M1056" s="22">
        <f>IFERROR(INDEX(Pedidos!$G$2:$G$1801,MATCH(B1056,Pedidos!$A$2:$A$1801,0)),0)</f>
        <v/>
      </c>
      <c r="N1056" s="21">
        <f>IFERROR(INDEX(Produtos!$B$2:$B$71,MATCH(C1056,Produtos!$A$2:$A$71,0)),"")</f>
        <v/>
      </c>
      <c r="O1056" s="21">
        <f>IFERROR(INDEX(Produtos!$C$2:$C$71,MATCH(C1056,Produtos!$A$2:$A$71,0)),"")</f>
        <v/>
      </c>
      <c r="P1056" s="21">
        <f>IFERROR(INDEX(Produtos!$D$2:$D$71,MATCH(C1056,Produtos!$A$2:$A$71,0)),0)</f>
        <v/>
      </c>
      <c r="Q1056" s="21">
        <f>IFERROR(INDEX(Produtos!$E$2:$E$71,MATCH(C1056,Produtos!$A$2:$A$71,0)),0)</f>
        <v/>
      </c>
      <c r="R1056" s="23">
        <f>D1056*Q1056</f>
        <v/>
      </c>
      <c r="S1056" s="23">
        <f>R1056*E1056</f>
        <v/>
      </c>
      <c r="T1056" s="23">
        <f>(R1056-S1056)*M1056</f>
        <v/>
      </c>
      <c r="U1056" s="23">
        <f>R1056-S1056-T1056</f>
        <v/>
      </c>
      <c r="V1056" s="23">
        <f>D1056*P1056</f>
        <v/>
      </c>
      <c r="W1056" s="23">
        <f>U1056-V1056</f>
        <v/>
      </c>
      <c r="X1056" s="24">
        <f>IFERROR(W1056/U1056,0)</f>
        <v/>
      </c>
    </row>
    <row r="1057">
      <c r="A1057" s="25">
        <f>ItensPedido!A1057</f>
        <v/>
      </c>
      <c r="B1057" s="25">
        <f>ItensPedido!B1057</f>
        <v/>
      </c>
      <c r="C1057" s="25">
        <f>ItensPedido!C1057</f>
        <v/>
      </c>
      <c r="D1057" s="25">
        <f>ItensPedido!D1057</f>
        <v/>
      </c>
      <c r="E1057" s="26">
        <f>ItensPedido!E1057</f>
        <v/>
      </c>
      <c r="F1057" s="25">
        <f>IFERROR(INDEX(Pedidos!$B$2:$B$1801,MATCH(B1057,Pedidos!$A$2:$A$1801,0)),0)</f>
        <v/>
      </c>
      <c r="G1057" s="25">
        <f>IF(F1057=0,"",YEAR(F1057))</f>
        <v/>
      </c>
      <c r="H1057" s="25">
        <f>IF(F1057=0,"",MONTH(F1057))</f>
        <v/>
      </c>
      <c r="I1057" s="25">
        <f>IFERROR(INDEX(Pedidos!$E$2:$E$1801,MATCH(B1057,Pedidos!$A$2:$A$1801,0)),"")</f>
        <v/>
      </c>
      <c r="J1057" s="25">
        <f>IFERROR(INDEX(Pedidos!$C$2:$C$1801,MATCH(B1057,Pedidos!$A$2:$A$1801,0)),"")</f>
        <v/>
      </c>
      <c r="K1057" s="25">
        <f>IFERROR(INDEX(Pedidos!$D$2:$D$1801,MATCH(B1057,Pedidos!$A$2:$A$1801,0)),"")</f>
        <v/>
      </c>
      <c r="L1057" s="25">
        <f>IFERROR(INDEX(Pedidos!$F$2:$F$1801,MATCH(B1057,Pedidos!$A$2:$A$1801,0)),"")</f>
        <v/>
      </c>
      <c r="M1057" s="26">
        <f>IFERROR(INDEX(Pedidos!$G$2:$G$1801,MATCH(B1057,Pedidos!$A$2:$A$1801,0)),0)</f>
        <v/>
      </c>
      <c r="N1057" s="25">
        <f>IFERROR(INDEX(Produtos!$B$2:$B$71,MATCH(C1057,Produtos!$A$2:$A$71,0)),"")</f>
        <v/>
      </c>
      <c r="O1057" s="25">
        <f>IFERROR(INDEX(Produtos!$C$2:$C$71,MATCH(C1057,Produtos!$A$2:$A$71,0)),"")</f>
        <v/>
      </c>
      <c r="P1057" s="25">
        <f>IFERROR(INDEX(Produtos!$D$2:$D$71,MATCH(C1057,Produtos!$A$2:$A$71,0)),0)</f>
        <v/>
      </c>
      <c r="Q1057" s="25">
        <f>IFERROR(INDEX(Produtos!$E$2:$E$71,MATCH(C1057,Produtos!$A$2:$A$71,0)),0)</f>
        <v/>
      </c>
      <c r="R1057" s="27">
        <f>D1057*Q1057</f>
        <v/>
      </c>
      <c r="S1057" s="27">
        <f>R1057*E1057</f>
        <v/>
      </c>
      <c r="T1057" s="27">
        <f>(R1057-S1057)*M1057</f>
        <v/>
      </c>
      <c r="U1057" s="27">
        <f>R1057-S1057-T1057</f>
        <v/>
      </c>
      <c r="V1057" s="27">
        <f>D1057*P1057</f>
        <v/>
      </c>
      <c r="W1057" s="27">
        <f>U1057-V1057</f>
        <v/>
      </c>
      <c r="X1057" s="28">
        <f>IFERROR(W1057/U1057,0)</f>
        <v/>
      </c>
    </row>
    <row r="1058">
      <c r="A1058" s="21">
        <f>ItensPedido!A1058</f>
        <v/>
      </c>
      <c r="B1058" s="21">
        <f>ItensPedido!B1058</f>
        <v/>
      </c>
      <c r="C1058" s="21">
        <f>ItensPedido!C1058</f>
        <v/>
      </c>
      <c r="D1058" s="21">
        <f>ItensPedido!D1058</f>
        <v/>
      </c>
      <c r="E1058" s="22">
        <f>ItensPedido!E1058</f>
        <v/>
      </c>
      <c r="F1058" s="21">
        <f>IFERROR(INDEX(Pedidos!$B$2:$B$1801,MATCH(B1058,Pedidos!$A$2:$A$1801,0)),0)</f>
        <v/>
      </c>
      <c r="G1058" s="21">
        <f>IF(F1058=0,"",YEAR(F1058))</f>
        <v/>
      </c>
      <c r="H1058" s="21">
        <f>IF(F1058=0,"",MONTH(F1058))</f>
        <v/>
      </c>
      <c r="I1058" s="21">
        <f>IFERROR(INDEX(Pedidos!$E$2:$E$1801,MATCH(B1058,Pedidos!$A$2:$A$1801,0)),"")</f>
        <v/>
      </c>
      <c r="J1058" s="21">
        <f>IFERROR(INDEX(Pedidos!$C$2:$C$1801,MATCH(B1058,Pedidos!$A$2:$A$1801,0)),"")</f>
        <v/>
      </c>
      <c r="K1058" s="21">
        <f>IFERROR(INDEX(Pedidos!$D$2:$D$1801,MATCH(B1058,Pedidos!$A$2:$A$1801,0)),"")</f>
        <v/>
      </c>
      <c r="L1058" s="21">
        <f>IFERROR(INDEX(Pedidos!$F$2:$F$1801,MATCH(B1058,Pedidos!$A$2:$A$1801,0)),"")</f>
        <v/>
      </c>
      <c r="M1058" s="22">
        <f>IFERROR(INDEX(Pedidos!$G$2:$G$1801,MATCH(B1058,Pedidos!$A$2:$A$1801,0)),0)</f>
        <v/>
      </c>
      <c r="N1058" s="21">
        <f>IFERROR(INDEX(Produtos!$B$2:$B$71,MATCH(C1058,Produtos!$A$2:$A$71,0)),"")</f>
        <v/>
      </c>
      <c r="O1058" s="21">
        <f>IFERROR(INDEX(Produtos!$C$2:$C$71,MATCH(C1058,Produtos!$A$2:$A$71,0)),"")</f>
        <v/>
      </c>
      <c r="P1058" s="21">
        <f>IFERROR(INDEX(Produtos!$D$2:$D$71,MATCH(C1058,Produtos!$A$2:$A$71,0)),0)</f>
        <v/>
      </c>
      <c r="Q1058" s="21">
        <f>IFERROR(INDEX(Produtos!$E$2:$E$71,MATCH(C1058,Produtos!$A$2:$A$71,0)),0)</f>
        <v/>
      </c>
      <c r="R1058" s="23">
        <f>D1058*Q1058</f>
        <v/>
      </c>
      <c r="S1058" s="23">
        <f>R1058*E1058</f>
        <v/>
      </c>
      <c r="T1058" s="23">
        <f>(R1058-S1058)*M1058</f>
        <v/>
      </c>
      <c r="U1058" s="23">
        <f>R1058-S1058-T1058</f>
        <v/>
      </c>
      <c r="V1058" s="23">
        <f>D1058*P1058</f>
        <v/>
      </c>
      <c r="W1058" s="23">
        <f>U1058-V1058</f>
        <v/>
      </c>
      <c r="X1058" s="24">
        <f>IFERROR(W1058/U1058,0)</f>
        <v/>
      </c>
    </row>
    <row r="1059">
      <c r="A1059" s="25">
        <f>ItensPedido!A1059</f>
        <v/>
      </c>
      <c r="B1059" s="25">
        <f>ItensPedido!B1059</f>
        <v/>
      </c>
      <c r="C1059" s="25">
        <f>ItensPedido!C1059</f>
        <v/>
      </c>
      <c r="D1059" s="25">
        <f>ItensPedido!D1059</f>
        <v/>
      </c>
      <c r="E1059" s="26">
        <f>ItensPedido!E1059</f>
        <v/>
      </c>
      <c r="F1059" s="25">
        <f>IFERROR(INDEX(Pedidos!$B$2:$B$1801,MATCH(B1059,Pedidos!$A$2:$A$1801,0)),0)</f>
        <v/>
      </c>
      <c r="G1059" s="25">
        <f>IF(F1059=0,"",YEAR(F1059))</f>
        <v/>
      </c>
      <c r="H1059" s="25">
        <f>IF(F1059=0,"",MONTH(F1059))</f>
        <v/>
      </c>
      <c r="I1059" s="25">
        <f>IFERROR(INDEX(Pedidos!$E$2:$E$1801,MATCH(B1059,Pedidos!$A$2:$A$1801,0)),"")</f>
        <v/>
      </c>
      <c r="J1059" s="25">
        <f>IFERROR(INDEX(Pedidos!$C$2:$C$1801,MATCH(B1059,Pedidos!$A$2:$A$1801,0)),"")</f>
        <v/>
      </c>
      <c r="K1059" s="25">
        <f>IFERROR(INDEX(Pedidos!$D$2:$D$1801,MATCH(B1059,Pedidos!$A$2:$A$1801,0)),"")</f>
        <v/>
      </c>
      <c r="L1059" s="25">
        <f>IFERROR(INDEX(Pedidos!$F$2:$F$1801,MATCH(B1059,Pedidos!$A$2:$A$1801,0)),"")</f>
        <v/>
      </c>
      <c r="M1059" s="26">
        <f>IFERROR(INDEX(Pedidos!$G$2:$G$1801,MATCH(B1059,Pedidos!$A$2:$A$1801,0)),0)</f>
        <v/>
      </c>
      <c r="N1059" s="25">
        <f>IFERROR(INDEX(Produtos!$B$2:$B$71,MATCH(C1059,Produtos!$A$2:$A$71,0)),"")</f>
        <v/>
      </c>
      <c r="O1059" s="25">
        <f>IFERROR(INDEX(Produtos!$C$2:$C$71,MATCH(C1059,Produtos!$A$2:$A$71,0)),"")</f>
        <v/>
      </c>
      <c r="P1059" s="25">
        <f>IFERROR(INDEX(Produtos!$D$2:$D$71,MATCH(C1059,Produtos!$A$2:$A$71,0)),0)</f>
        <v/>
      </c>
      <c r="Q1059" s="25">
        <f>IFERROR(INDEX(Produtos!$E$2:$E$71,MATCH(C1059,Produtos!$A$2:$A$71,0)),0)</f>
        <v/>
      </c>
      <c r="R1059" s="27">
        <f>D1059*Q1059</f>
        <v/>
      </c>
      <c r="S1059" s="27">
        <f>R1059*E1059</f>
        <v/>
      </c>
      <c r="T1059" s="27">
        <f>(R1059-S1059)*M1059</f>
        <v/>
      </c>
      <c r="U1059" s="27">
        <f>R1059-S1059-T1059</f>
        <v/>
      </c>
      <c r="V1059" s="27">
        <f>D1059*P1059</f>
        <v/>
      </c>
      <c r="W1059" s="27">
        <f>U1059-V1059</f>
        <v/>
      </c>
      <c r="X1059" s="28">
        <f>IFERROR(W1059/U1059,0)</f>
        <v/>
      </c>
    </row>
    <row r="1060">
      <c r="A1060" s="21">
        <f>ItensPedido!A1060</f>
        <v/>
      </c>
      <c r="B1060" s="21">
        <f>ItensPedido!B1060</f>
        <v/>
      </c>
      <c r="C1060" s="21">
        <f>ItensPedido!C1060</f>
        <v/>
      </c>
      <c r="D1060" s="21">
        <f>ItensPedido!D1060</f>
        <v/>
      </c>
      <c r="E1060" s="22">
        <f>ItensPedido!E1060</f>
        <v/>
      </c>
      <c r="F1060" s="21">
        <f>IFERROR(INDEX(Pedidos!$B$2:$B$1801,MATCH(B1060,Pedidos!$A$2:$A$1801,0)),0)</f>
        <v/>
      </c>
      <c r="G1060" s="21">
        <f>IF(F1060=0,"",YEAR(F1060))</f>
        <v/>
      </c>
      <c r="H1060" s="21">
        <f>IF(F1060=0,"",MONTH(F1060))</f>
        <v/>
      </c>
      <c r="I1060" s="21">
        <f>IFERROR(INDEX(Pedidos!$E$2:$E$1801,MATCH(B1060,Pedidos!$A$2:$A$1801,0)),"")</f>
        <v/>
      </c>
      <c r="J1060" s="21">
        <f>IFERROR(INDEX(Pedidos!$C$2:$C$1801,MATCH(B1060,Pedidos!$A$2:$A$1801,0)),"")</f>
        <v/>
      </c>
      <c r="K1060" s="21">
        <f>IFERROR(INDEX(Pedidos!$D$2:$D$1801,MATCH(B1060,Pedidos!$A$2:$A$1801,0)),"")</f>
        <v/>
      </c>
      <c r="L1060" s="21">
        <f>IFERROR(INDEX(Pedidos!$F$2:$F$1801,MATCH(B1060,Pedidos!$A$2:$A$1801,0)),"")</f>
        <v/>
      </c>
      <c r="M1060" s="22">
        <f>IFERROR(INDEX(Pedidos!$G$2:$G$1801,MATCH(B1060,Pedidos!$A$2:$A$1801,0)),0)</f>
        <v/>
      </c>
      <c r="N1060" s="21">
        <f>IFERROR(INDEX(Produtos!$B$2:$B$71,MATCH(C1060,Produtos!$A$2:$A$71,0)),"")</f>
        <v/>
      </c>
      <c r="O1060" s="21">
        <f>IFERROR(INDEX(Produtos!$C$2:$C$71,MATCH(C1060,Produtos!$A$2:$A$71,0)),"")</f>
        <v/>
      </c>
      <c r="P1060" s="21">
        <f>IFERROR(INDEX(Produtos!$D$2:$D$71,MATCH(C1060,Produtos!$A$2:$A$71,0)),0)</f>
        <v/>
      </c>
      <c r="Q1060" s="21">
        <f>IFERROR(INDEX(Produtos!$E$2:$E$71,MATCH(C1060,Produtos!$A$2:$A$71,0)),0)</f>
        <v/>
      </c>
      <c r="R1060" s="23">
        <f>D1060*Q1060</f>
        <v/>
      </c>
      <c r="S1060" s="23">
        <f>R1060*E1060</f>
        <v/>
      </c>
      <c r="T1060" s="23">
        <f>(R1060-S1060)*M1060</f>
        <v/>
      </c>
      <c r="U1060" s="23">
        <f>R1060-S1060-T1060</f>
        <v/>
      </c>
      <c r="V1060" s="23">
        <f>D1060*P1060</f>
        <v/>
      </c>
      <c r="W1060" s="23">
        <f>U1060-V1060</f>
        <v/>
      </c>
      <c r="X1060" s="24">
        <f>IFERROR(W1060/U1060,0)</f>
        <v/>
      </c>
    </row>
    <row r="1061">
      <c r="A1061" s="25">
        <f>ItensPedido!A1061</f>
        <v/>
      </c>
      <c r="B1061" s="25">
        <f>ItensPedido!B1061</f>
        <v/>
      </c>
      <c r="C1061" s="25">
        <f>ItensPedido!C1061</f>
        <v/>
      </c>
      <c r="D1061" s="25">
        <f>ItensPedido!D1061</f>
        <v/>
      </c>
      <c r="E1061" s="26">
        <f>ItensPedido!E1061</f>
        <v/>
      </c>
      <c r="F1061" s="25">
        <f>IFERROR(INDEX(Pedidos!$B$2:$B$1801,MATCH(B1061,Pedidos!$A$2:$A$1801,0)),0)</f>
        <v/>
      </c>
      <c r="G1061" s="25">
        <f>IF(F1061=0,"",YEAR(F1061))</f>
        <v/>
      </c>
      <c r="H1061" s="25">
        <f>IF(F1061=0,"",MONTH(F1061))</f>
        <v/>
      </c>
      <c r="I1061" s="25">
        <f>IFERROR(INDEX(Pedidos!$E$2:$E$1801,MATCH(B1061,Pedidos!$A$2:$A$1801,0)),"")</f>
        <v/>
      </c>
      <c r="J1061" s="25">
        <f>IFERROR(INDEX(Pedidos!$C$2:$C$1801,MATCH(B1061,Pedidos!$A$2:$A$1801,0)),"")</f>
        <v/>
      </c>
      <c r="K1061" s="25">
        <f>IFERROR(INDEX(Pedidos!$D$2:$D$1801,MATCH(B1061,Pedidos!$A$2:$A$1801,0)),"")</f>
        <v/>
      </c>
      <c r="L1061" s="25">
        <f>IFERROR(INDEX(Pedidos!$F$2:$F$1801,MATCH(B1061,Pedidos!$A$2:$A$1801,0)),"")</f>
        <v/>
      </c>
      <c r="M1061" s="26">
        <f>IFERROR(INDEX(Pedidos!$G$2:$G$1801,MATCH(B1061,Pedidos!$A$2:$A$1801,0)),0)</f>
        <v/>
      </c>
      <c r="N1061" s="25">
        <f>IFERROR(INDEX(Produtos!$B$2:$B$71,MATCH(C1061,Produtos!$A$2:$A$71,0)),"")</f>
        <v/>
      </c>
      <c r="O1061" s="25">
        <f>IFERROR(INDEX(Produtos!$C$2:$C$71,MATCH(C1061,Produtos!$A$2:$A$71,0)),"")</f>
        <v/>
      </c>
      <c r="P1061" s="25">
        <f>IFERROR(INDEX(Produtos!$D$2:$D$71,MATCH(C1061,Produtos!$A$2:$A$71,0)),0)</f>
        <v/>
      </c>
      <c r="Q1061" s="25">
        <f>IFERROR(INDEX(Produtos!$E$2:$E$71,MATCH(C1061,Produtos!$A$2:$A$71,0)),0)</f>
        <v/>
      </c>
      <c r="R1061" s="27">
        <f>D1061*Q1061</f>
        <v/>
      </c>
      <c r="S1061" s="27">
        <f>R1061*E1061</f>
        <v/>
      </c>
      <c r="T1061" s="27">
        <f>(R1061-S1061)*M1061</f>
        <v/>
      </c>
      <c r="U1061" s="27">
        <f>R1061-S1061-T1061</f>
        <v/>
      </c>
      <c r="V1061" s="27">
        <f>D1061*P1061</f>
        <v/>
      </c>
      <c r="W1061" s="27">
        <f>U1061-V1061</f>
        <v/>
      </c>
      <c r="X1061" s="28">
        <f>IFERROR(W1061/U1061,0)</f>
        <v/>
      </c>
    </row>
    <row r="1062">
      <c r="A1062" s="21">
        <f>ItensPedido!A1062</f>
        <v/>
      </c>
      <c r="B1062" s="21">
        <f>ItensPedido!B1062</f>
        <v/>
      </c>
      <c r="C1062" s="21">
        <f>ItensPedido!C1062</f>
        <v/>
      </c>
      <c r="D1062" s="21">
        <f>ItensPedido!D1062</f>
        <v/>
      </c>
      <c r="E1062" s="22">
        <f>ItensPedido!E1062</f>
        <v/>
      </c>
      <c r="F1062" s="21">
        <f>IFERROR(INDEX(Pedidos!$B$2:$B$1801,MATCH(B1062,Pedidos!$A$2:$A$1801,0)),0)</f>
        <v/>
      </c>
      <c r="G1062" s="21">
        <f>IF(F1062=0,"",YEAR(F1062))</f>
        <v/>
      </c>
      <c r="H1062" s="21">
        <f>IF(F1062=0,"",MONTH(F1062))</f>
        <v/>
      </c>
      <c r="I1062" s="21">
        <f>IFERROR(INDEX(Pedidos!$E$2:$E$1801,MATCH(B1062,Pedidos!$A$2:$A$1801,0)),"")</f>
        <v/>
      </c>
      <c r="J1062" s="21">
        <f>IFERROR(INDEX(Pedidos!$C$2:$C$1801,MATCH(B1062,Pedidos!$A$2:$A$1801,0)),"")</f>
        <v/>
      </c>
      <c r="K1062" s="21">
        <f>IFERROR(INDEX(Pedidos!$D$2:$D$1801,MATCH(B1062,Pedidos!$A$2:$A$1801,0)),"")</f>
        <v/>
      </c>
      <c r="L1062" s="21">
        <f>IFERROR(INDEX(Pedidos!$F$2:$F$1801,MATCH(B1062,Pedidos!$A$2:$A$1801,0)),"")</f>
        <v/>
      </c>
      <c r="M1062" s="22">
        <f>IFERROR(INDEX(Pedidos!$G$2:$G$1801,MATCH(B1062,Pedidos!$A$2:$A$1801,0)),0)</f>
        <v/>
      </c>
      <c r="N1062" s="21">
        <f>IFERROR(INDEX(Produtos!$B$2:$B$71,MATCH(C1062,Produtos!$A$2:$A$71,0)),"")</f>
        <v/>
      </c>
      <c r="O1062" s="21">
        <f>IFERROR(INDEX(Produtos!$C$2:$C$71,MATCH(C1062,Produtos!$A$2:$A$71,0)),"")</f>
        <v/>
      </c>
      <c r="P1062" s="21">
        <f>IFERROR(INDEX(Produtos!$D$2:$D$71,MATCH(C1062,Produtos!$A$2:$A$71,0)),0)</f>
        <v/>
      </c>
      <c r="Q1062" s="21">
        <f>IFERROR(INDEX(Produtos!$E$2:$E$71,MATCH(C1062,Produtos!$A$2:$A$71,0)),0)</f>
        <v/>
      </c>
      <c r="R1062" s="23">
        <f>D1062*Q1062</f>
        <v/>
      </c>
      <c r="S1062" s="23">
        <f>R1062*E1062</f>
        <v/>
      </c>
      <c r="T1062" s="23">
        <f>(R1062-S1062)*M1062</f>
        <v/>
      </c>
      <c r="U1062" s="23">
        <f>R1062-S1062-T1062</f>
        <v/>
      </c>
      <c r="V1062" s="23">
        <f>D1062*P1062</f>
        <v/>
      </c>
      <c r="W1062" s="23">
        <f>U1062-V1062</f>
        <v/>
      </c>
      <c r="X1062" s="24">
        <f>IFERROR(W1062/U1062,0)</f>
        <v/>
      </c>
    </row>
    <row r="1063">
      <c r="A1063" s="25">
        <f>ItensPedido!A1063</f>
        <v/>
      </c>
      <c r="B1063" s="25">
        <f>ItensPedido!B1063</f>
        <v/>
      </c>
      <c r="C1063" s="25">
        <f>ItensPedido!C1063</f>
        <v/>
      </c>
      <c r="D1063" s="25">
        <f>ItensPedido!D1063</f>
        <v/>
      </c>
      <c r="E1063" s="26">
        <f>ItensPedido!E1063</f>
        <v/>
      </c>
      <c r="F1063" s="25">
        <f>IFERROR(INDEX(Pedidos!$B$2:$B$1801,MATCH(B1063,Pedidos!$A$2:$A$1801,0)),0)</f>
        <v/>
      </c>
      <c r="G1063" s="25">
        <f>IF(F1063=0,"",YEAR(F1063))</f>
        <v/>
      </c>
      <c r="H1063" s="25">
        <f>IF(F1063=0,"",MONTH(F1063))</f>
        <v/>
      </c>
      <c r="I1063" s="25">
        <f>IFERROR(INDEX(Pedidos!$E$2:$E$1801,MATCH(B1063,Pedidos!$A$2:$A$1801,0)),"")</f>
        <v/>
      </c>
      <c r="J1063" s="25">
        <f>IFERROR(INDEX(Pedidos!$C$2:$C$1801,MATCH(B1063,Pedidos!$A$2:$A$1801,0)),"")</f>
        <v/>
      </c>
      <c r="K1063" s="25">
        <f>IFERROR(INDEX(Pedidos!$D$2:$D$1801,MATCH(B1063,Pedidos!$A$2:$A$1801,0)),"")</f>
        <v/>
      </c>
      <c r="L1063" s="25">
        <f>IFERROR(INDEX(Pedidos!$F$2:$F$1801,MATCH(B1063,Pedidos!$A$2:$A$1801,0)),"")</f>
        <v/>
      </c>
      <c r="M1063" s="26">
        <f>IFERROR(INDEX(Pedidos!$G$2:$G$1801,MATCH(B1063,Pedidos!$A$2:$A$1801,0)),0)</f>
        <v/>
      </c>
      <c r="N1063" s="25">
        <f>IFERROR(INDEX(Produtos!$B$2:$B$71,MATCH(C1063,Produtos!$A$2:$A$71,0)),"")</f>
        <v/>
      </c>
      <c r="O1063" s="25">
        <f>IFERROR(INDEX(Produtos!$C$2:$C$71,MATCH(C1063,Produtos!$A$2:$A$71,0)),"")</f>
        <v/>
      </c>
      <c r="P1063" s="25">
        <f>IFERROR(INDEX(Produtos!$D$2:$D$71,MATCH(C1063,Produtos!$A$2:$A$71,0)),0)</f>
        <v/>
      </c>
      <c r="Q1063" s="25">
        <f>IFERROR(INDEX(Produtos!$E$2:$E$71,MATCH(C1063,Produtos!$A$2:$A$71,0)),0)</f>
        <v/>
      </c>
      <c r="R1063" s="27">
        <f>D1063*Q1063</f>
        <v/>
      </c>
      <c r="S1063" s="27">
        <f>R1063*E1063</f>
        <v/>
      </c>
      <c r="T1063" s="27">
        <f>(R1063-S1063)*M1063</f>
        <v/>
      </c>
      <c r="U1063" s="27">
        <f>R1063-S1063-T1063</f>
        <v/>
      </c>
      <c r="V1063" s="27">
        <f>D1063*P1063</f>
        <v/>
      </c>
      <c r="W1063" s="27">
        <f>U1063-V1063</f>
        <v/>
      </c>
      <c r="X1063" s="28">
        <f>IFERROR(W1063/U1063,0)</f>
        <v/>
      </c>
    </row>
    <row r="1064">
      <c r="A1064" s="21">
        <f>ItensPedido!A1064</f>
        <v/>
      </c>
      <c r="B1064" s="21">
        <f>ItensPedido!B1064</f>
        <v/>
      </c>
      <c r="C1064" s="21">
        <f>ItensPedido!C1064</f>
        <v/>
      </c>
      <c r="D1064" s="21">
        <f>ItensPedido!D1064</f>
        <v/>
      </c>
      <c r="E1064" s="22">
        <f>ItensPedido!E1064</f>
        <v/>
      </c>
      <c r="F1064" s="21">
        <f>IFERROR(INDEX(Pedidos!$B$2:$B$1801,MATCH(B1064,Pedidos!$A$2:$A$1801,0)),0)</f>
        <v/>
      </c>
      <c r="G1064" s="21">
        <f>IF(F1064=0,"",YEAR(F1064))</f>
        <v/>
      </c>
      <c r="H1064" s="21">
        <f>IF(F1064=0,"",MONTH(F1064))</f>
        <v/>
      </c>
      <c r="I1064" s="21">
        <f>IFERROR(INDEX(Pedidos!$E$2:$E$1801,MATCH(B1064,Pedidos!$A$2:$A$1801,0)),"")</f>
        <v/>
      </c>
      <c r="J1064" s="21">
        <f>IFERROR(INDEX(Pedidos!$C$2:$C$1801,MATCH(B1064,Pedidos!$A$2:$A$1801,0)),"")</f>
        <v/>
      </c>
      <c r="K1064" s="21">
        <f>IFERROR(INDEX(Pedidos!$D$2:$D$1801,MATCH(B1064,Pedidos!$A$2:$A$1801,0)),"")</f>
        <v/>
      </c>
      <c r="L1064" s="21">
        <f>IFERROR(INDEX(Pedidos!$F$2:$F$1801,MATCH(B1064,Pedidos!$A$2:$A$1801,0)),"")</f>
        <v/>
      </c>
      <c r="M1064" s="22">
        <f>IFERROR(INDEX(Pedidos!$G$2:$G$1801,MATCH(B1064,Pedidos!$A$2:$A$1801,0)),0)</f>
        <v/>
      </c>
      <c r="N1064" s="21">
        <f>IFERROR(INDEX(Produtos!$B$2:$B$71,MATCH(C1064,Produtos!$A$2:$A$71,0)),"")</f>
        <v/>
      </c>
      <c r="O1064" s="21">
        <f>IFERROR(INDEX(Produtos!$C$2:$C$71,MATCH(C1064,Produtos!$A$2:$A$71,0)),"")</f>
        <v/>
      </c>
      <c r="P1064" s="21">
        <f>IFERROR(INDEX(Produtos!$D$2:$D$71,MATCH(C1064,Produtos!$A$2:$A$71,0)),0)</f>
        <v/>
      </c>
      <c r="Q1064" s="21">
        <f>IFERROR(INDEX(Produtos!$E$2:$E$71,MATCH(C1064,Produtos!$A$2:$A$71,0)),0)</f>
        <v/>
      </c>
      <c r="R1064" s="23">
        <f>D1064*Q1064</f>
        <v/>
      </c>
      <c r="S1064" s="23">
        <f>R1064*E1064</f>
        <v/>
      </c>
      <c r="T1064" s="23">
        <f>(R1064-S1064)*M1064</f>
        <v/>
      </c>
      <c r="U1064" s="23">
        <f>R1064-S1064-T1064</f>
        <v/>
      </c>
      <c r="V1064" s="23">
        <f>D1064*P1064</f>
        <v/>
      </c>
      <c r="W1064" s="23">
        <f>U1064-V1064</f>
        <v/>
      </c>
      <c r="X1064" s="24">
        <f>IFERROR(W1064/U1064,0)</f>
        <v/>
      </c>
    </row>
    <row r="1065">
      <c r="A1065" s="25">
        <f>ItensPedido!A1065</f>
        <v/>
      </c>
      <c r="B1065" s="25">
        <f>ItensPedido!B1065</f>
        <v/>
      </c>
      <c r="C1065" s="25">
        <f>ItensPedido!C1065</f>
        <v/>
      </c>
      <c r="D1065" s="25">
        <f>ItensPedido!D1065</f>
        <v/>
      </c>
      <c r="E1065" s="26">
        <f>ItensPedido!E1065</f>
        <v/>
      </c>
      <c r="F1065" s="25">
        <f>IFERROR(INDEX(Pedidos!$B$2:$B$1801,MATCH(B1065,Pedidos!$A$2:$A$1801,0)),0)</f>
        <v/>
      </c>
      <c r="G1065" s="25">
        <f>IF(F1065=0,"",YEAR(F1065))</f>
        <v/>
      </c>
      <c r="H1065" s="25">
        <f>IF(F1065=0,"",MONTH(F1065))</f>
        <v/>
      </c>
      <c r="I1065" s="25">
        <f>IFERROR(INDEX(Pedidos!$E$2:$E$1801,MATCH(B1065,Pedidos!$A$2:$A$1801,0)),"")</f>
        <v/>
      </c>
      <c r="J1065" s="25">
        <f>IFERROR(INDEX(Pedidos!$C$2:$C$1801,MATCH(B1065,Pedidos!$A$2:$A$1801,0)),"")</f>
        <v/>
      </c>
      <c r="K1065" s="25">
        <f>IFERROR(INDEX(Pedidos!$D$2:$D$1801,MATCH(B1065,Pedidos!$A$2:$A$1801,0)),"")</f>
        <v/>
      </c>
      <c r="L1065" s="25">
        <f>IFERROR(INDEX(Pedidos!$F$2:$F$1801,MATCH(B1065,Pedidos!$A$2:$A$1801,0)),"")</f>
        <v/>
      </c>
      <c r="M1065" s="26">
        <f>IFERROR(INDEX(Pedidos!$G$2:$G$1801,MATCH(B1065,Pedidos!$A$2:$A$1801,0)),0)</f>
        <v/>
      </c>
      <c r="N1065" s="25">
        <f>IFERROR(INDEX(Produtos!$B$2:$B$71,MATCH(C1065,Produtos!$A$2:$A$71,0)),"")</f>
        <v/>
      </c>
      <c r="O1065" s="25">
        <f>IFERROR(INDEX(Produtos!$C$2:$C$71,MATCH(C1065,Produtos!$A$2:$A$71,0)),"")</f>
        <v/>
      </c>
      <c r="P1065" s="25">
        <f>IFERROR(INDEX(Produtos!$D$2:$D$71,MATCH(C1065,Produtos!$A$2:$A$71,0)),0)</f>
        <v/>
      </c>
      <c r="Q1065" s="25">
        <f>IFERROR(INDEX(Produtos!$E$2:$E$71,MATCH(C1065,Produtos!$A$2:$A$71,0)),0)</f>
        <v/>
      </c>
      <c r="R1065" s="27">
        <f>D1065*Q1065</f>
        <v/>
      </c>
      <c r="S1065" s="27">
        <f>R1065*E1065</f>
        <v/>
      </c>
      <c r="T1065" s="27">
        <f>(R1065-S1065)*M1065</f>
        <v/>
      </c>
      <c r="U1065" s="27">
        <f>R1065-S1065-T1065</f>
        <v/>
      </c>
      <c r="V1065" s="27">
        <f>D1065*P1065</f>
        <v/>
      </c>
      <c r="W1065" s="27">
        <f>U1065-V1065</f>
        <v/>
      </c>
      <c r="X1065" s="28">
        <f>IFERROR(W1065/U1065,0)</f>
        <v/>
      </c>
    </row>
    <row r="1066">
      <c r="A1066" s="21">
        <f>ItensPedido!A1066</f>
        <v/>
      </c>
      <c r="B1066" s="21">
        <f>ItensPedido!B1066</f>
        <v/>
      </c>
      <c r="C1066" s="21">
        <f>ItensPedido!C1066</f>
        <v/>
      </c>
      <c r="D1066" s="21">
        <f>ItensPedido!D1066</f>
        <v/>
      </c>
      <c r="E1066" s="22">
        <f>ItensPedido!E1066</f>
        <v/>
      </c>
      <c r="F1066" s="21">
        <f>IFERROR(INDEX(Pedidos!$B$2:$B$1801,MATCH(B1066,Pedidos!$A$2:$A$1801,0)),0)</f>
        <v/>
      </c>
      <c r="G1066" s="21">
        <f>IF(F1066=0,"",YEAR(F1066))</f>
        <v/>
      </c>
      <c r="H1066" s="21">
        <f>IF(F1066=0,"",MONTH(F1066))</f>
        <v/>
      </c>
      <c r="I1066" s="21">
        <f>IFERROR(INDEX(Pedidos!$E$2:$E$1801,MATCH(B1066,Pedidos!$A$2:$A$1801,0)),"")</f>
        <v/>
      </c>
      <c r="J1066" s="21">
        <f>IFERROR(INDEX(Pedidos!$C$2:$C$1801,MATCH(B1066,Pedidos!$A$2:$A$1801,0)),"")</f>
        <v/>
      </c>
      <c r="K1066" s="21">
        <f>IFERROR(INDEX(Pedidos!$D$2:$D$1801,MATCH(B1066,Pedidos!$A$2:$A$1801,0)),"")</f>
        <v/>
      </c>
      <c r="L1066" s="21">
        <f>IFERROR(INDEX(Pedidos!$F$2:$F$1801,MATCH(B1066,Pedidos!$A$2:$A$1801,0)),"")</f>
        <v/>
      </c>
      <c r="M1066" s="22">
        <f>IFERROR(INDEX(Pedidos!$G$2:$G$1801,MATCH(B1066,Pedidos!$A$2:$A$1801,0)),0)</f>
        <v/>
      </c>
      <c r="N1066" s="21">
        <f>IFERROR(INDEX(Produtos!$B$2:$B$71,MATCH(C1066,Produtos!$A$2:$A$71,0)),"")</f>
        <v/>
      </c>
      <c r="O1066" s="21">
        <f>IFERROR(INDEX(Produtos!$C$2:$C$71,MATCH(C1066,Produtos!$A$2:$A$71,0)),"")</f>
        <v/>
      </c>
      <c r="P1066" s="21">
        <f>IFERROR(INDEX(Produtos!$D$2:$D$71,MATCH(C1066,Produtos!$A$2:$A$71,0)),0)</f>
        <v/>
      </c>
      <c r="Q1066" s="21">
        <f>IFERROR(INDEX(Produtos!$E$2:$E$71,MATCH(C1066,Produtos!$A$2:$A$71,0)),0)</f>
        <v/>
      </c>
      <c r="R1066" s="23">
        <f>D1066*Q1066</f>
        <v/>
      </c>
      <c r="S1066" s="23">
        <f>R1066*E1066</f>
        <v/>
      </c>
      <c r="T1066" s="23">
        <f>(R1066-S1066)*M1066</f>
        <v/>
      </c>
      <c r="U1066" s="23">
        <f>R1066-S1066-T1066</f>
        <v/>
      </c>
      <c r="V1066" s="23">
        <f>D1066*P1066</f>
        <v/>
      </c>
      <c r="W1066" s="23">
        <f>U1066-V1066</f>
        <v/>
      </c>
      <c r="X1066" s="24">
        <f>IFERROR(W1066/U1066,0)</f>
        <v/>
      </c>
    </row>
    <row r="1067">
      <c r="A1067" s="25">
        <f>ItensPedido!A1067</f>
        <v/>
      </c>
      <c r="B1067" s="25">
        <f>ItensPedido!B1067</f>
        <v/>
      </c>
      <c r="C1067" s="25">
        <f>ItensPedido!C1067</f>
        <v/>
      </c>
      <c r="D1067" s="25">
        <f>ItensPedido!D1067</f>
        <v/>
      </c>
      <c r="E1067" s="26">
        <f>ItensPedido!E1067</f>
        <v/>
      </c>
      <c r="F1067" s="25">
        <f>IFERROR(INDEX(Pedidos!$B$2:$B$1801,MATCH(B1067,Pedidos!$A$2:$A$1801,0)),0)</f>
        <v/>
      </c>
      <c r="G1067" s="25">
        <f>IF(F1067=0,"",YEAR(F1067))</f>
        <v/>
      </c>
      <c r="H1067" s="25">
        <f>IF(F1067=0,"",MONTH(F1067))</f>
        <v/>
      </c>
      <c r="I1067" s="25">
        <f>IFERROR(INDEX(Pedidos!$E$2:$E$1801,MATCH(B1067,Pedidos!$A$2:$A$1801,0)),"")</f>
        <v/>
      </c>
      <c r="J1067" s="25">
        <f>IFERROR(INDEX(Pedidos!$C$2:$C$1801,MATCH(B1067,Pedidos!$A$2:$A$1801,0)),"")</f>
        <v/>
      </c>
      <c r="K1067" s="25">
        <f>IFERROR(INDEX(Pedidos!$D$2:$D$1801,MATCH(B1067,Pedidos!$A$2:$A$1801,0)),"")</f>
        <v/>
      </c>
      <c r="L1067" s="25">
        <f>IFERROR(INDEX(Pedidos!$F$2:$F$1801,MATCH(B1067,Pedidos!$A$2:$A$1801,0)),"")</f>
        <v/>
      </c>
      <c r="M1067" s="26">
        <f>IFERROR(INDEX(Pedidos!$G$2:$G$1801,MATCH(B1067,Pedidos!$A$2:$A$1801,0)),0)</f>
        <v/>
      </c>
      <c r="N1067" s="25">
        <f>IFERROR(INDEX(Produtos!$B$2:$B$71,MATCH(C1067,Produtos!$A$2:$A$71,0)),"")</f>
        <v/>
      </c>
      <c r="O1067" s="25">
        <f>IFERROR(INDEX(Produtos!$C$2:$C$71,MATCH(C1067,Produtos!$A$2:$A$71,0)),"")</f>
        <v/>
      </c>
      <c r="P1067" s="25">
        <f>IFERROR(INDEX(Produtos!$D$2:$D$71,MATCH(C1067,Produtos!$A$2:$A$71,0)),0)</f>
        <v/>
      </c>
      <c r="Q1067" s="25">
        <f>IFERROR(INDEX(Produtos!$E$2:$E$71,MATCH(C1067,Produtos!$A$2:$A$71,0)),0)</f>
        <v/>
      </c>
      <c r="R1067" s="27">
        <f>D1067*Q1067</f>
        <v/>
      </c>
      <c r="S1067" s="27">
        <f>R1067*E1067</f>
        <v/>
      </c>
      <c r="T1067" s="27">
        <f>(R1067-S1067)*M1067</f>
        <v/>
      </c>
      <c r="U1067" s="27">
        <f>R1067-S1067-T1067</f>
        <v/>
      </c>
      <c r="V1067" s="27">
        <f>D1067*P1067</f>
        <v/>
      </c>
      <c r="W1067" s="27">
        <f>U1067-V1067</f>
        <v/>
      </c>
      <c r="X1067" s="28">
        <f>IFERROR(W1067/U1067,0)</f>
        <v/>
      </c>
    </row>
    <row r="1068">
      <c r="A1068" s="21">
        <f>ItensPedido!A1068</f>
        <v/>
      </c>
      <c r="B1068" s="21">
        <f>ItensPedido!B1068</f>
        <v/>
      </c>
      <c r="C1068" s="21">
        <f>ItensPedido!C1068</f>
        <v/>
      </c>
      <c r="D1068" s="21">
        <f>ItensPedido!D1068</f>
        <v/>
      </c>
      <c r="E1068" s="22">
        <f>ItensPedido!E1068</f>
        <v/>
      </c>
      <c r="F1068" s="21">
        <f>IFERROR(INDEX(Pedidos!$B$2:$B$1801,MATCH(B1068,Pedidos!$A$2:$A$1801,0)),0)</f>
        <v/>
      </c>
      <c r="G1068" s="21">
        <f>IF(F1068=0,"",YEAR(F1068))</f>
        <v/>
      </c>
      <c r="H1068" s="21">
        <f>IF(F1068=0,"",MONTH(F1068))</f>
        <v/>
      </c>
      <c r="I1068" s="21">
        <f>IFERROR(INDEX(Pedidos!$E$2:$E$1801,MATCH(B1068,Pedidos!$A$2:$A$1801,0)),"")</f>
        <v/>
      </c>
      <c r="J1068" s="21">
        <f>IFERROR(INDEX(Pedidos!$C$2:$C$1801,MATCH(B1068,Pedidos!$A$2:$A$1801,0)),"")</f>
        <v/>
      </c>
      <c r="K1068" s="21">
        <f>IFERROR(INDEX(Pedidos!$D$2:$D$1801,MATCH(B1068,Pedidos!$A$2:$A$1801,0)),"")</f>
        <v/>
      </c>
      <c r="L1068" s="21">
        <f>IFERROR(INDEX(Pedidos!$F$2:$F$1801,MATCH(B1068,Pedidos!$A$2:$A$1801,0)),"")</f>
        <v/>
      </c>
      <c r="M1068" s="22">
        <f>IFERROR(INDEX(Pedidos!$G$2:$G$1801,MATCH(B1068,Pedidos!$A$2:$A$1801,0)),0)</f>
        <v/>
      </c>
      <c r="N1068" s="21">
        <f>IFERROR(INDEX(Produtos!$B$2:$B$71,MATCH(C1068,Produtos!$A$2:$A$71,0)),"")</f>
        <v/>
      </c>
      <c r="O1068" s="21">
        <f>IFERROR(INDEX(Produtos!$C$2:$C$71,MATCH(C1068,Produtos!$A$2:$A$71,0)),"")</f>
        <v/>
      </c>
      <c r="P1068" s="21">
        <f>IFERROR(INDEX(Produtos!$D$2:$D$71,MATCH(C1068,Produtos!$A$2:$A$71,0)),0)</f>
        <v/>
      </c>
      <c r="Q1068" s="21">
        <f>IFERROR(INDEX(Produtos!$E$2:$E$71,MATCH(C1068,Produtos!$A$2:$A$71,0)),0)</f>
        <v/>
      </c>
      <c r="R1068" s="23">
        <f>D1068*Q1068</f>
        <v/>
      </c>
      <c r="S1068" s="23">
        <f>R1068*E1068</f>
        <v/>
      </c>
      <c r="T1068" s="23">
        <f>(R1068-S1068)*M1068</f>
        <v/>
      </c>
      <c r="U1068" s="23">
        <f>R1068-S1068-T1068</f>
        <v/>
      </c>
      <c r="V1068" s="23">
        <f>D1068*P1068</f>
        <v/>
      </c>
      <c r="W1068" s="23">
        <f>U1068-V1068</f>
        <v/>
      </c>
      <c r="X1068" s="24">
        <f>IFERROR(W1068/U1068,0)</f>
        <v/>
      </c>
    </row>
    <row r="1069">
      <c r="A1069" s="25">
        <f>ItensPedido!A1069</f>
        <v/>
      </c>
      <c r="B1069" s="25">
        <f>ItensPedido!B1069</f>
        <v/>
      </c>
      <c r="C1069" s="25">
        <f>ItensPedido!C1069</f>
        <v/>
      </c>
      <c r="D1069" s="25">
        <f>ItensPedido!D1069</f>
        <v/>
      </c>
      <c r="E1069" s="26">
        <f>ItensPedido!E1069</f>
        <v/>
      </c>
      <c r="F1069" s="25">
        <f>IFERROR(INDEX(Pedidos!$B$2:$B$1801,MATCH(B1069,Pedidos!$A$2:$A$1801,0)),0)</f>
        <v/>
      </c>
      <c r="G1069" s="25">
        <f>IF(F1069=0,"",YEAR(F1069))</f>
        <v/>
      </c>
      <c r="H1069" s="25">
        <f>IF(F1069=0,"",MONTH(F1069))</f>
        <v/>
      </c>
      <c r="I1069" s="25">
        <f>IFERROR(INDEX(Pedidos!$E$2:$E$1801,MATCH(B1069,Pedidos!$A$2:$A$1801,0)),"")</f>
        <v/>
      </c>
      <c r="J1069" s="25">
        <f>IFERROR(INDEX(Pedidos!$C$2:$C$1801,MATCH(B1069,Pedidos!$A$2:$A$1801,0)),"")</f>
        <v/>
      </c>
      <c r="K1069" s="25">
        <f>IFERROR(INDEX(Pedidos!$D$2:$D$1801,MATCH(B1069,Pedidos!$A$2:$A$1801,0)),"")</f>
        <v/>
      </c>
      <c r="L1069" s="25">
        <f>IFERROR(INDEX(Pedidos!$F$2:$F$1801,MATCH(B1069,Pedidos!$A$2:$A$1801,0)),"")</f>
        <v/>
      </c>
      <c r="M1069" s="26">
        <f>IFERROR(INDEX(Pedidos!$G$2:$G$1801,MATCH(B1069,Pedidos!$A$2:$A$1801,0)),0)</f>
        <v/>
      </c>
      <c r="N1069" s="25">
        <f>IFERROR(INDEX(Produtos!$B$2:$B$71,MATCH(C1069,Produtos!$A$2:$A$71,0)),"")</f>
        <v/>
      </c>
      <c r="O1069" s="25">
        <f>IFERROR(INDEX(Produtos!$C$2:$C$71,MATCH(C1069,Produtos!$A$2:$A$71,0)),"")</f>
        <v/>
      </c>
      <c r="P1069" s="25">
        <f>IFERROR(INDEX(Produtos!$D$2:$D$71,MATCH(C1069,Produtos!$A$2:$A$71,0)),0)</f>
        <v/>
      </c>
      <c r="Q1069" s="25">
        <f>IFERROR(INDEX(Produtos!$E$2:$E$71,MATCH(C1069,Produtos!$A$2:$A$71,0)),0)</f>
        <v/>
      </c>
      <c r="R1069" s="27">
        <f>D1069*Q1069</f>
        <v/>
      </c>
      <c r="S1069" s="27">
        <f>R1069*E1069</f>
        <v/>
      </c>
      <c r="T1069" s="27">
        <f>(R1069-S1069)*M1069</f>
        <v/>
      </c>
      <c r="U1069" s="27">
        <f>R1069-S1069-T1069</f>
        <v/>
      </c>
      <c r="V1069" s="27">
        <f>D1069*P1069</f>
        <v/>
      </c>
      <c r="W1069" s="27">
        <f>U1069-V1069</f>
        <v/>
      </c>
      <c r="X1069" s="28">
        <f>IFERROR(W1069/U1069,0)</f>
        <v/>
      </c>
    </row>
    <row r="1070">
      <c r="A1070" s="21">
        <f>ItensPedido!A1070</f>
        <v/>
      </c>
      <c r="B1070" s="21">
        <f>ItensPedido!B1070</f>
        <v/>
      </c>
      <c r="C1070" s="21">
        <f>ItensPedido!C1070</f>
        <v/>
      </c>
      <c r="D1070" s="21">
        <f>ItensPedido!D1070</f>
        <v/>
      </c>
      <c r="E1070" s="22">
        <f>ItensPedido!E1070</f>
        <v/>
      </c>
      <c r="F1070" s="21">
        <f>IFERROR(INDEX(Pedidos!$B$2:$B$1801,MATCH(B1070,Pedidos!$A$2:$A$1801,0)),0)</f>
        <v/>
      </c>
      <c r="G1070" s="21">
        <f>IF(F1070=0,"",YEAR(F1070))</f>
        <v/>
      </c>
      <c r="H1070" s="21">
        <f>IF(F1070=0,"",MONTH(F1070))</f>
        <v/>
      </c>
      <c r="I1070" s="21">
        <f>IFERROR(INDEX(Pedidos!$E$2:$E$1801,MATCH(B1070,Pedidos!$A$2:$A$1801,0)),"")</f>
        <v/>
      </c>
      <c r="J1070" s="21">
        <f>IFERROR(INDEX(Pedidos!$C$2:$C$1801,MATCH(B1070,Pedidos!$A$2:$A$1801,0)),"")</f>
        <v/>
      </c>
      <c r="K1070" s="21">
        <f>IFERROR(INDEX(Pedidos!$D$2:$D$1801,MATCH(B1070,Pedidos!$A$2:$A$1801,0)),"")</f>
        <v/>
      </c>
      <c r="L1070" s="21">
        <f>IFERROR(INDEX(Pedidos!$F$2:$F$1801,MATCH(B1070,Pedidos!$A$2:$A$1801,0)),"")</f>
        <v/>
      </c>
      <c r="M1070" s="22">
        <f>IFERROR(INDEX(Pedidos!$G$2:$G$1801,MATCH(B1070,Pedidos!$A$2:$A$1801,0)),0)</f>
        <v/>
      </c>
      <c r="N1070" s="21">
        <f>IFERROR(INDEX(Produtos!$B$2:$B$71,MATCH(C1070,Produtos!$A$2:$A$71,0)),"")</f>
        <v/>
      </c>
      <c r="O1070" s="21">
        <f>IFERROR(INDEX(Produtos!$C$2:$C$71,MATCH(C1070,Produtos!$A$2:$A$71,0)),"")</f>
        <v/>
      </c>
      <c r="P1070" s="21">
        <f>IFERROR(INDEX(Produtos!$D$2:$D$71,MATCH(C1070,Produtos!$A$2:$A$71,0)),0)</f>
        <v/>
      </c>
      <c r="Q1070" s="21">
        <f>IFERROR(INDEX(Produtos!$E$2:$E$71,MATCH(C1070,Produtos!$A$2:$A$71,0)),0)</f>
        <v/>
      </c>
      <c r="R1070" s="23">
        <f>D1070*Q1070</f>
        <v/>
      </c>
      <c r="S1070" s="23">
        <f>R1070*E1070</f>
        <v/>
      </c>
      <c r="T1070" s="23">
        <f>(R1070-S1070)*M1070</f>
        <v/>
      </c>
      <c r="U1070" s="23">
        <f>R1070-S1070-T1070</f>
        <v/>
      </c>
      <c r="V1070" s="23">
        <f>D1070*P1070</f>
        <v/>
      </c>
      <c r="W1070" s="23">
        <f>U1070-V1070</f>
        <v/>
      </c>
      <c r="X1070" s="24">
        <f>IFERROR(W1070/U1070,0)</f>
        <v/>
      </c>
    </row>
    <row r="1071">
      <c r="A1071" s="25">
        <f>ItensPedido!A1071</f>
        <v/>
      </c>
      <c r="B1071" s="25">
        <f>ItensPedido!B1071</f>
        <v/>
      </c>
      <c r="C1071" s="25">
        <f>ItensPedido!C1071</f>
        <v/>
      </c>
      <c r="D1071" s="25">
        <f>ItensPedido!D1071</f>
        <v/>
      </c>
      <c r="E1071" s="26">
        <f>ItensPedido!E1071</f>
        <v/>
      </c>
      <c r="F1071" s="25">
        <f>IFERROR(INDEX(Pedidos!$B$2:$B$1801,MATCH(B1071,Pedidos!$A$2:$A$1801,0)),0)</f>
        <v/>
      </c>
      <c r="G1071" s="25">
        <f>IF(F1071=0,"",YEAR(F1071))</f>
        <v/>
      </c>
      <c r="H1071" s="25">
        <f>IF(F1071=0,"",MONTH(F1071))</f>
        <v/>
      </c>
      <c r="I1071" s="25">
        <f>IFERROR(INDEX(Pedidos!$E$2:$E$1801,MATCH(B1071,Pedidos!$A$2:$A$1801,0)),"")</f>
        <v/>
      </c>
      <c r="J1071" s="25">
        <f>IFERROR(INDEX(Pedidos!$C$2:$C$1801,MATCH(B1071,Pedidos!$A$2:$A$1801,0)),"")</f>
        <v/>
      </c>
      <c r="K1071" s="25">
        <f>IFERROR(INDEX(Pedidos!$D$2:$D$1801,MATCH(B1071,Pedidos!$A$2:$A$1801,0)),"")</f>
        <v/>
      </c>
      <c r="L1071" s="25">
        <f>IFERROR(INDEX(Pedidos!$F$2:$F$1801,MATCH(B1071,Pedidos!$A$2:$A$1801,0)),"")</f>
        <v/>
      </c>
      <c r="M1071" s="26">
        <f>IFERROR(INDEX(Pedidos!$G$2:$G$1801,MATCH(B1071,Pedidos!$A$2:$A$1801,0)),0)</f>
        <v/>
      </c>
      <c r="N1071" s="25">
        <f>IFERROR(INDEX(Produtos!$B$2:$B$71,MATCH(C1071,Produtos!$A$2:$A$71,0)),"")</f>
        <v/>
      </c>
      <c r="O1071" s="25">
        <f>IFERROR(INDEX(Produtos!$C$2:$C$71,MATCH(C1071,Produtos!$A$2:$A$71,0)),"")</f>
        <v/>
      </c>
      <c r="P1071" s="25">
        <f>IFERROR(INDEX(Produtos!$D$2:$D$71,MATCH(C1071,Produtos!$A$2:$A$71,0)),0)</f>
        <v/>
      </c>
      <c r="Q1071" s="25">
        <f>IFERROR(INDEX(Produtos!$E$2:$E$71,MATCH(C1071,Produtos!$A$2:$A$71,0)),0)</f>
        <v/>
      </c>
      <c r="R1071" s="27">
        <f>D1071*Q1071</f>
        <v/>
      </c>
      <c r="S1071" s="27">
        <f>R1071*E1071</f>
        <v/>
      </c>
      <c r="T1071" s="27">
        <f>(R1071-S1071)*M1071</f>
        <v/>
      </c>
      <c r="U1071" s="27">
        <f>R1071-S1071-T1071</f>
        <v/>
      </c>
      <c r="V1071" s="27">
        <f>D1071*P1071</f>
        <v/>
      </c>
      <c r="W1071" s="27">
        <f>U1071-V1071</f>
        <v/>
      </c>
      <c r="X1071" s="28">
        <f>IFERROR(W1071/U1071,0)</f>
        <v/>
      </c>
    </row>
    <row r="1072">
      <c r="A1072" s="21">
        <f>ItensPedido!A1072</f>
        <v/>
      </c>
      <c r="B1072" s="21">
        <f>ItensPedido!B1072</f>
        <v/>
      </c>
      <c r="C1072" s="21">
        <f>ItensPedido!C1072</f>
        <v/>
      </c>
      <c r="D1072" s="21">
        <f>ItensPedido!D1072</f>
        <v/>
      </c>
      <c r="E1072" s="22">
        <f>ItensPedido!E1072</f>
        <v/>
      </c>
      <c r="F1072" s="21">
        <f>IFERROR(INDEX(Pedidos!$B$2:$B$1801,MATCH(B1072,Pedidos!$A$2:$A$1801,0)),0)</f>
        <v/>
      </c>
      <c r="G1072" s="21">
        <f>IF(F1072=0,"",YEAR(F1072))</f>
        <v/>
      </c>
      <c r="H1072" s="21">
        <f>IF(F1072=0,"",MONTH(F1072))</f>
        <v/>
      </c>
      <c r="I1072" s="21">
        <f>IFERROR(INDEX(Pedidos!$E$2:$E$1801,MATCH(B1072,Pedidos!$A$2:$A$1801,0)),"")</f>
        <v/>
      </c>
      <c r="J1072" s="21">
        <f>IFERROR(INDEX(Pedidos!$C$2:$C$1801,MATCH(B1072,Pedidos!$A$2:$A$1801,0)),"")</f>
        <v/>
      </c>
      <c r="K1072" s="21">
        <f>IFERROR(INDEX(Pedidos!$D$2:$D$1801,MATCH(B1072,Pedidos!$A$2:$A$1801,0)),"")</f>
        <v/>
      </c>
      <c r="L1072" s="21">
        <f>IFERROR(INDEX(Pedidos!$F$2:$F$1801,MATCH(B1072,Pedidos!$A$2:$A$1801,0)),"")</f>
        <v/>
      </c>
      <c r="M1072" s="22">
        <f>IFERROR(INDEX(Pedidos!$G$2:$G$1801,MATCH(B1072,Pedidos!$A$2:$A$1801,0)),0)</f>
        <v/>
      </c>
      <c r="N1072" s="21">
        <f>IFERROR(INDEX(Produtos!$B$2:$B$71,MATCH(C1072,Produtos!$A$2:$A$71,0)),"")</f>
        <v/>
      </c>
      <c r="O1072" s="21">
        <f>IFERROR(INDEX(Produtos!$C$2:$C$71,MATCH(C1072,Produtos!$A$2:$A$71,0)),"")</f>
        <v/>
      </c>
      <c r="P1072" s="21">
        <f>IFERROR(INDEX(Produtos!$D$2:$D$71,MATCH(C1072,Produtos!$A$2:$A$71,0)),0)</f>
        <v/>
      </c>
      <c r="Q1072" s="21">
        <f>IFERROR(INDEX(Produtos!$E$2:$E$71,MATCH(C1072,Produtos!$A$2:$A$71,0)),0)</f>
        <v/>
      </c>
      <c r="R1072" s="23">
        <f>D1072*Q1072</f>
        <v/>
      </c>
      <c r="S1072" s="23">
        <f>R1072*E1072</f>
        <v/>
      </c>
      <c r="T1072" s="23">
        <f>(R1072-S1072)*M1072</f>
        <v/>
      </c>
      <c r="U1072" s="23">
        <f>R1072-S1072-T1072</f>
        <v/>
      </c>
      <c r="V1072" s="23">
        <f>D1072*P1072</f>
        <v/>
      </c>
      <c r="W1072" s="23">
        <f>U1072-V1072</f>
        <v/>
      </c>
      <c r="X1072" s="24">
        <f>IFERROR(W1072/U1072,0)</f>
        <v/>
      </c>
    </row>
    <row r="1073">
      <c r="A1073" s="25">
        <f>ItensPedido!A1073</f>
        <v/>
      </c>
      <c r="B1073" s="25">
        <f>ItensPedido!B1073</f>
        <v/>
      </c>
      <c r="C1073" s="25">
        <f>ItensPedido!C1073</f>
        <v/>
      </c>
      <c r="D1073" s="25">
        <f>ItensPedido!D1073</f>
        <v/>
      </c>
      <c r="E1073" s="26">
        <f>ItensPedido!E1073</f>
        <v/>
      </c>
      <c r="F1073" s="25">
        <f>IFERROR(INDEX(Pedidos!$B$2:$B$1801,MATCH(B1073,Pedidos!$A$2:$A$1801,0)),0)</f>
        <v/>
      </c>
      <c r="G1073" s="25">
        <f>IF(F1073=0,"",YEAR(F1073))</f>
        <v/>
      </c>
      <c r="H1073" s="25">
        <f>IF(F1073=0,"",MONTH(F1073))</f>
        <v/>
      </c>
      <c r="I1073" s="25">
        <f>IFERROR(INDEX(Pedidos!$E$2:$E$1801,MATCH(B1073,Pedidos!$A$2:$A$1801,0)),"")</f>
        <v/>
      </c>
      <c r="J1073" s="25">
        <f>IFERROR(INDEX(Pedidos!$C$2:$C$1801,MATCH(B1073,Pedidos!$A$2:$A$1801,0)),"")</f>
        <v/>
      </c>
      <c r="K1073" s="25">
        <f>IFERROR(INDEX(Pedidos!$D$2:$D$1801,MATCH(B1073,Pedidos!$A$2:$A$1801,0)),"")</f>
        <v/>
      </c>
      <c r="L1073" s="25">
        <f>IFERROR(INDEX(Pedidos!$F$2:$F$1801,MATCH(B1073,Pedidos!$A$2:$A$1801,0)),"")</f>
        <v/>
      </c>
      <c r="M1073" s="26">
        <f>IFERROR(INDEX(Pedidos!$G$2:$G$1801,MATCH(B1073,Pedidos!$A$2:$A$1801,0)),0)</f>
        <v/>
      </c>
      <c r="N1073" s="25">
        <f>IFERROR(INDEX(Produtos!$B$2:$B$71,MATCH(C1073,Produtos!$A$2:$A$71,0)),"")</f>
        <v/>
      </c>
      <c r="O1073" s="25">
        <f>IFERROR(INDEX(Produtos!$C$2:$C$71,MATCH(C1073,Produtos!$A$2:$A$71,0)),"")</f>
        <v/>
      </c>
      <c r="P1073" s="25">
        <f>IFERROR(INDEX(Produtos!$D$2:$D$71,MATCH(C1073,Produtos!$A$2:$A$71,0)),0)</f>
        <v/>
      </c>
      <c r="Q1073" s="25">
        <f>IFERROR(INDEX(Produtos!$E$2:$E$71,MATCH(C1073,Produtos!$A$2:$A$71,0)),0)</f>
        <v/>
      </c>
      <c r="R1073" s="27">
        <f>D1073*Q1073</f>
        <v/>
      </c>
      <c r="S1073" s="27">
        <f>R1073*E1073</f>
        <v/>
      </c>
      <c r="T1073" s="27">
        <f>(R1073-S1073)*M1073</f>
        <v/>
      </c>
      <c r="U1073" s="27">
        <f>R1073-S1073-T1073</f>
        <v/>
      </c>
      <c r="V1073" s="27">
        <f>D1073*P1073</f>
        <v/>
      </c>
      <c r="W1073" s="27">
        <f>U1073-V1073</f>
        <v/>
      </c>
      <c r="X1073" s="28">
        <f>IFERROR(W1073/U1073,0)</f>
        <v/>
      </c>
    </row>
    <row r="1074">
      <c r="A1074" s="21">
        <f>ItensPedido!A1074</f>
        <v/>
      </c>
      <c r="B1074" s="21">
        <f>ItensPedido!B1074</f>
        <v/>
      </c>
      <c r="C1074" s="21">
        <f>ItensPedido!C1074</f>
        <v/>
      </c>
      <c r="D1074" s="21">
        <f>ItensPedido!D1074</f>
        <v/>
      </c>
      <c r="E1074" s="22">
        <f>ItensPedido!E1074</f>
        <v/>
      </c>
      <c r="F1074" s="21">
        <f>IFERROR(INDEX(Pedidos!$B$2:$B$1801,MATCH(B1074,Pedidos!$A$2:$A$1801,0)),0)</f>
        <v/>
      </c>
      <c r="G1074" s="21">
        <f>IF(F1074=0,"",YEAR(F1074))</f>
        <v/>
      </c>
      <c r="H1074" s="21">
        <f>IF(F1074=0,"",MONTH(F1074))</f>
        <v/>
      </c>
      <c r="I1074" s="21">
        <f>IFERROR(INDEX(Pedidos!$E$2:$E$1801,MATCH(B1074,Pedidos!$A$2:$A$1801,0)),"")</f>
        <v/>
      </c>
      <c r="J1074" s="21">
        <f>IFERROR(INDEX(Pedidos!$C$2:$C$1801,MATCH(B1074,Pedidos!$A$2:$A$1801,0)),"")</f>
        <v/>
      </c>
      <c r="K1074" s="21">
        <f>IFERROR(INDEX(Pedidos!$D$2:$D$1801,MATCH(B1074,Pedidos!$A$2:$A$1801,0)),"")</f>
        <v/>
      </c>
      <c r="L1074" s="21">
        <f>IFERROR(INDEX(Pedidos!$F$2:$F$1801,MATCH(B1074,Pedidos!$A$2:$A$1801,0)),"")</f>
        <v/>
      </c>
      <c r="M1074" s="22">
        <f>IFERROR(INDEX(Pedidos!$G$2:$G$1801,MATCH(B1074,Pedidos!$A$2:$A$1801,0)),0)</f>
        <v/>
      </c>
      <c r="N1074" s="21">
        <f>IFERROR(INDEX(Produtos!$B$2:$B$71,MATCH(C1074,Produtos!$A$2:$A$71,0)),"")</f>
        <v/>
      </c>
      <c r="O1074" s="21">
        <f>IFERROR(INDEX(Produtos!$C$2:$C$71,MATCH(C1074,Produtos!$A$2:$A$71,0)),"")</f>
        <v/>
      </c>
      <c r="P1074" s="21">
        <f>IFERROR(INDEX(Produtos!$D$2:$D$71,MATCH(C1074,Produtos!$A$2:$A$71,0)),0)</f>
        <v/>
      </c>
      <c r="Q1074" s="21">
        <f>IFERROR(INDEX(Produtos!$E$2:$E$71,MATCH(C1074,Produtos!$A$2:$A$71,0)),0)</f>
        <v/>
      </c>
      <c r="R1074" s="23">
        <f>D1074*Q1074</f>
        <v/>
      </c>
      <c r="S1074" s="23">
        <f>R1074*E1074</f>
        <v/>
      </c>
      <c r="T1074" s="23">
        <f>(R1074-S1074)*M1074</f>
        <v/>
      </c>
      <c r="U1074" s="23">
        <f>R1074-S1074-T1074</f>
        <v/>
      </c>
      <c r="V1074" s="23">
        <f>D1074*P1074</f>
        <v/>
      </c>
      <c r="W1074" s="23">
        <f>U1074-V1074</f>
        <v/>
      </c>
      <c r="X1074" s="24">
        <f>IFERROR(W1074/U1074,0)</f>
        <v/>
      </c>
    </row>
    <row r="1075">
      <c r="A1075" s="25">
        <f>ItensPedido!A1075</f>
        <v/>
      </c>
      <c r="B1075" s="25">
        <f>ItensPedido!B1075</f>
        <v/>
      </c>
      <c r="C1075" s="25">
        <f>ItensPedido!C1075</f>
        <v/>
      </c>
      <c r="D1075" s="25">
        <f>ItensPedido!D1075</f>
        <v/>
      </c>
      <c r="E1075" s="26">
        <f>ItensPedido!E1075</f>
        <v/>
      </c>
      <c r="F1075" s="25">
        <f>IFERROR(INDEX(Pedidos!$B$2:$B$1801,MATCH(B1075,Pedidos!$A$2:$A$1801,0)),0)</f>
        <v/>
      </c>
      <c r="G1075" s="25">
        <f>IF(F1075=0,"",YEAR(F1075))</f>
        <v/>
      </c>
      <c r="H1075" s="25">
        <f>IF(F1075=0,"",MONTH(F1075))</f>
        <v/>
      </c>
      <c r="I1075" s="25">
        <f>IFERROR(INDEX(Pedidos!$E$2:$E$1801,MATCH(B1075,Pedidos!$A$2:$A$1801,0)),"")</f>
        <v/>
      </c>
      <c r="J1075" s="25">
        <f>IFERROR(INDEX(Pedidos!$C$2:$C$1801,MATCH(B1075,Pedidos!$A$2:$A$1801,0)),"")</f>
        <v/>
      </c>
      <c r="K1075" s="25">
        <f>IFERROR(INDEX(Pedidos!$D$2:$D$1801,MATCH(B1075,Pedidos!$A$2:$A$1801,0)),"")</f>
        <v/>
      </c>
      <c r="L1075" s="25">
        <f>IFERROR(INDEX(Pedidos!$F$2:$F$1801,MATCH(B1075,Pedidos!$A$2:$A$1801,0)),"")</f>
        <v/>
      </c>
      <c r="M1075" s="26">
        <f>IFERROR(INDEX(Pedidos!$G$2:$G$1801,MATCH(B1075,Pedidos!$A$2:$A$1801,0)),0)</f>
        <v/>
      </c>
      <c r="N1075" s="25">
        <f>IFERROR(INDEX(Produtos!$B$2:$B$71,MATCH(C1075,Produtos!$A$2:$A$71,0)),"")</f>
        <v/>
      </c>
      <c r="O1075" s="25">
        <f>IFERROR(INDEX(Produtos!$C$2:$C$71,MATCH(C1075,Produtos!$A$2:$A$71,0)),"")</f>
        <v/>
      </c>
      <c r="P1075" s="25">
        <f>IFERROR(INDEX(Produtos!$D$2:$D$71,MATCH(C1075,Produtos!$A$2:$A$71,0)),0)</f>
        <v/>
      </c>
      <c r="Q1075" s="25">
        <f>IFERROR(INDEX(Produtos!$E$2:$E$71,MATCH(C1075,Produtos!$A$2:$A$71,0)),0)</f>
        <v/>
      </c>
      <c r="R1075" s="27">
        <f>D1075*Q1075</f>
        <v/>
      </c>
      <c r="S1075" s="27">
        <f>R1075*E1075</f>
        <v/>
      </c>
      <c r="T1075" s="27">
        <f>(R1075-S1075)*M1075</f>
        <v/>
      </c>
      <c r="U1075" s="27">
        <f>R1075-S1075-T1075</f>
        <v/>
      </c>
      <c r="V1075" s="27">
        <f>D1075*P1075</f>
        <v/>
      </c>
      <c r="W1075" s="27">
        <f>U1075-V1075</f>
        <v/>
      </c>
      <c r="X1075" s="28">
        <f>IFERROR(W1075/U1075,0)</f>
        <v/>
      </c>
    </row>
    <row r="1076">
      <c r="A1076" s="21">
        <f>ItensPedido!A1076</f>
        <v/>
      </c>
      <c r="B1076" s="21">
        <f>ItensPedido!B1076</f>
        <v/>
      </c>
      <c r="C1076" s="21">
        <f>ItensPedido!C1076</f>
        <v/>
      </c>
      <c r="D1076" s="21">
        <f>ItensPedido!D1076</f>
        <v/>
      </c>
      <c r="E1076" s="22">
        <f>ItensPedido!E1076</f>
        <v/>
      </c>
      <c r="F1076" s="21">
        <f>IFERROR(INDEX(Pedidos!$B$2:$B$1801,MATCH(B1076,Pedidos!$A$2:$A$1801,0)),0)</f>
        <v/>
      </c>
      <c r="G1076" s="21">
        <f>IF(F1076=0,"",YEAR(F1076))</f>
        <v/>
      </c>
      <c r="H1076" s="21">
        <f>IF(F1076=0,"",MONTH(F1076))</f>
        <v/>
      </c>
      <c r="I1076" s="21">
        <f>IFERROR(INDEX(Pedidos!$E$2:$E$1801,MATCH(B1076,Pedidos!$A$2:$A$1801,0)),"")</f>
        <v/>
      </c>
      <c r="J1076" s="21">
        <f>IFERROR(INDEX(Pedidos!$C$2:$C$1801,MATCH(B1076,Pedidos!$A$2:$A$1801,0)),"")</f>
        <v/>
      </c>
      <c r="K1076" s="21">
        <f>IFERROR(INDEX(Pedidos!$D$2:$D$1801,MATCH(B1076,Pedidos!$A$2:$A$1801,0)),"")</f>
        <v/>
      </c>
      <c r="L1076" s="21">
        <f>IFERROR(INDEX(Pedidos!$F$2:$F$1801,MATCH(B1076,Pedidos!$A$2:$A$1801,0)),"")</f>
        <v/>
      </c>
      <c r="M1076" s="22">
        <f>IFERROR(INDEX(Pedidos!$G$2:$G$1801,MATCH(B1076,Pedidos!$A$2:$A$1801,0)),0)</f>
        <v/>
      </c>
      <c r="N1076" s="21">
        <f>IFERROR(INDEX(Produtos!$B$2:$B$71,MATCH(C1076,Produtos!$A$2:$A$71,0)),"")</f>
        <v/>
      </c>
      <c r="O1076" s="21">
        <f>IFERROR(INDEX(Produtos!$C$2:$C$71,MATCH(C1076,Produtos!$A$2:$A$71,0)),"")</f>
        <v/>
      </c>
      <c r="P1076" s="21">
        <f>IFERROR(INDEX(Produtos!$D$2:$D$71,MATCH(C1076,Produtos!$A$2:$A$71,0)),0)</f>
        <v/>
      </c>
      <c r="Q1076" s="21">
        <f>IFERROR(INDEX(Produtos!$E$2:$E$71,MATCH(C1076,Produtos!$A$2:$A$71,0)),0)</f>
        <v/>
      </c>
      <c r="R1076" s="23">
        <f>D1076*Q1076</f>
        <v/>
      </c>
      <c r="S1076" s="23">
        <f>R1076*E1076</f>
        <v/>
      </c>
      <c r="T1076" s="23">
        <f>(R1076-S1076)*M1076</f>
        <v/>
      </c>
      <c r="U1076" s="23">
        <f>R1076-S1076-T1076</f>
        <v/>
      </c>
      <c r="V1076" s="23">
        <f>D1076*P1076</f>
        <v/>
      </c>
      <c r="W1076" s="23">
        <f>U1076-V1076</f>
        <v/>
      </c>
      <c r="X1076" s="24">
        <f>IFERROR(W1076/U1076,0)</f>
        <v/>
      </c>
    </row>
    <row r="1077">
      <c r="A1077" s="25">
        <f>ItensPedido!A1077</f>
        <v/>
      </c>
      <c r="B1077" s="25">
        <f>ItensPedido!B1077</f>
        <v/>
      </c>
      <c r="C1077" s="25">
        <f>ItensPedido!C1077</f>
        <v/>
      </c>
      <c r="D1077" s="25">
        <f>ItensPedido!D1077</f>
        <v/>
      </c>
      <c r="E1077" s="26">
        <f>ItensPedido!E1077</f>
        <v/>
      </c>
      <c r="F1077" s="25">
        <f>IFERROR(INDEX(Pedidos!$B$2:$B$1801,MATCH(B1077,Pedidos!$A$2:$A$1801,0)),0)</f>
        <v/>
      </c>
      <c r="G1077" s="25">
        <f>IF(F1077=0,"",YEAR(F1077))</f>
        <v/>
      </c>
      <c r="H1077" s="25">
        <f>IF(F1077=0,"",MONTH(F1077))</f>
        <v/>
      </c>
      <c r="I1077" s="25">
        <f>IFERROR(INDEX(Pedidos!$E$2:$E$1801,MATCH(B1077,Pedidos!$A$2:$A$1801,0)),"")</f>
        <v/>
      </c>
      <c r="J1077" s="25">
        <f>IFERROR(INDEX(Pedidos!$C$2:$C$1801,MATCH(B1077,Pedidos!$A$2:$A$1801,0)),"")</f>
        <v/>
      </c>
      <c r="K1077" s="25">
        <f>IFERROR(INDEX(Pedidos!$D$2:$D$1801,MATCH(B1077,Pedidos!$A$2:$A$1801,0)),"")</f>
        <v/>
      </c>
      <c r="L1077" s="25">
        <f>IFERROR(INDEX(Pedidos!$F$2:$F$1801,MATCH(B1077,Pedidos!$A$2:$A$1801,0)),"")</f>
        <v/>
      </c>
      <c r="M1077" s="26">
        <f>IFERROR(INDEX(Pedidos!$G$2:$G$1801,MATCH(B1077,Pedidos!$A$2:$A$1801,0)),0)</f>
        <v/>
      </c>
      <c r="N1077" s="25">
        <f>IFERROR(INDEX(Produtos!$B$2:$B$71,MATCH(C1077,Produtos!$A$2:$A$71,0)),"")</f>
        <v/>
      </c>
      <c r="O1077" s="25">
        <f>IFERROR(INDEX(Produtos!$C$2:$C$71,MATCH(C1077,Produtos!$A$2:$A$71,0)),"")</f>
        <v/>
      </c>
      <c r="P1077" s="25">
        <f>IFERROR(INDEX(Produtos!$D$2:$D$71,MATCH(C1077,Produtos!$A$2:$A$71,0)),0)</f>
        <v/>
      </c>
      <c r="Q1077" s="25">
        <f>IFERROR(INDEX(Produtos!$E$2:$E$71,MATCH(C1077,Produtos!$A$2:$A$71,0)),0)</f>
        <v/>
      </c>
      <c r="R1077" s="27">
        <f>D1077*Q1077</f>
        <v/>
      </c>
      <c r="S1077" s="27">
        <f>R1077*E1077</f>
        <v/>
      </c>
      <c r="T1077" s="27">
        <f>(R1077-S1077)*M1077</f>
        <v/>
      </c>
      <c r="U1077" s="27">
        <f>R1077-S1077-T1077</f>
        <v/>
      </c>
      <c r="V1077" s="27">
        <f>D1077*P1077</f>
        <v/>
      </c>
      <c r="W1077" s="27">
        <f>U1077-V1077</f>
        <v/>
      </c>
      <c r="X1077" s="28">
        <f>IFERROR(W1077/U1077,0)</f>
        <v/>
      </c>
    </row>
    <row r="1078">
      <c r="A1078" s="21">
        <f>ItensPedido!A1078</f>
        <v/>
      </c>
      <c r="B1078" s="21">
        <f>ItensPedido!B1078</f>
        <v/>
      </c>
      <c r="C1078" s="21">
        <f>ItensPedido!C1078</f>
        <v/>
      </c>
      <c r="D1078" s="21">
        <f>ItensPedido!D1078</f>
        <v/>
      </c>
      <c r="E1078" s="22">
        <f>ItensPedido!E1078</f>
        <v/>
      </c>
      <c r="F1078" s="21">
        <f>IFERROR(INDEX(Pedidos!$B$2:$B$1801,MATCH(B1078,Pedidos!$A$2:$A$1801,0)),0)</f>
        <v/>
      </c>
      <c r="G1078" s="21">
        <f>IF(F1078=0,"",YEAR(F1078))</f>
        <v/>
      </c>
      <c r="H1078" s="21">
        <f>IF(F1078=0,"",MONTH(F1078))</f>
        <v/>
      </c>
      <c r="I1078" s="21">
        <f>IFERROR(INDEX(Pedidos!$E$2:$E$1801,MATCH(B1078,Pedidos!$A$2:$A$1801,0)),"")</f>
        <v/>
      </c>
      <c r="J1078" s="21">
        <f>IFERROR(INDEX(Pedidos!$C$2:$C$1801,MATCH(B1078,Pedidos!$A$2:$A$1801,0)),"")</f>
        <v/>
      </c>
      <c r="K1078" s="21">
        <f>IFERROR(INDEX(Pedidos!$D$2:$D$1801,MATCH(B1078,Pedidos!$A$2:$A$1801,0)),"")</f>
        <v/>
      </c>
      <c r="L1078" s="21">
        <f>IFERROR(INDEX(Pedidos!$F$2:$F$1801,MATCH(B1078,Pedidos!$A$2:$A$1801,0)),"")</f>
        <v/>
      </c>
      <c r="M1078" s="22">
        <f>IFERROR(INDEX(Pedidos!$G$2:$G$1801,MATCH(B1078,Pedidos!$A$2:$A$1801,0)),0)</f>
        <v/>
      </c>
      <c r="N1078" s="21">
        <f>IFERROR(INDEX(Produtos!$B$2:$B$71,MATCH(C1078,Produtos!$A$2:$A$71,0)),"")</f>
        <v/>
      </c>
      <c r="O1078" s="21">
        <f>IFERROR(INDEX(Produtos!$C$2:$C$71,MATCH(C1078,Produtos!$A$2:$A$71,0)),"")</f>
        <v/>
      </c>
      <c r="P1078" s="21">
        <f>IFERROR(INDEX(Produtos!$D$2:$D$71,MATCH(C1078,Produtos!$A$2:$A$71,0)),0)</f>
        <v/>
      </c>
      <c r="Q1078" s="21">
        <f>IFERROR(INDEX(Produtos!$E$2:$E$71,MATCH(C1078,Produtos!$A$2:$A$71,0)),0)</f>
        <v/>
      </c>
      <c r="R1078" s="23">
        <f>D1078*Q1078</f>
        <v/>
      </c>
      <c r="S1078" s="23">
        <f>R1078*E1078</f>
        <v/>
      </c>
      <c r="T1078" s="23">
        <f>(R1078-S1078)*M1078</f>
        <v/>
      </c>
      <c r="U1078" s="23">
        <f>R1078-S1078-T1078</f>
        <v/>
      </c>
      <c r="V1078" s="23">
        <f>D1078*P1078</f>
        <v/>
      </c>
      <c r="W1078" s="23">
        <f>U1078-V1078</f>
        <v/>
      </c>
      <c r="X1078" s="24">
        <f>IFERROR(W1078/U1078,0)</f>
        <v/>
      </c>
    </row>
    <row r="1079">
      <c r="A1079" s="25">
        <f>ItensPedido!A1079</f>
        <v/>
      </c>
      <c r="B1079" s="25">
        <f>ItensPedido!B1079</f>
        <v/>
      </c>
      <c r="C1079" s="25">
        <f>ItensPedido!C1079</f>
        <v/>
      </c>
      <c r="D1079" s="25">
        <f>ItensPedido!D1079</f>
        <v/>
      </c>
      <c r="E1079" s="26">
        <f>ItensPedido!E1079</f>
        <v/>
      </c>
      <c r="F1079" s="25">
        <f>IFERROR(INDEX(Pedidos!$B$2:$B$1801,MATCH(B1079,Pedidos!$A$2:$A$1801,0)),0)</f>
        <v/>
      </c>
      <c r="G1079" s="25">
        <f>IF(F1079=0,"",YEAR(F1079))</f>
        <v/>
      </c>
      <c r="H1079" s="25">
        <f>IF(F1079=0,"",MONTH(F1079))</f>
        <v/>
      </c>
      <c r="I1079" s="25">
        <f>IFERROR(INDEX(Pedidos!$E$2:$E$1801,MATCH(B1079,Pedidos!$A$2:$A$1801,0)),"")</f>
        <v/>
      </c>
      <c r="J1079" s="25">
        <f>IFERROR(INDEX(Pedidos!$C$2:$C$1801,MATCH(B1079,Pedidos!$A$2:$A$1801,0)),"")</f>
        <v/>
      </c>
      <c r="K1079" s="25">
        <f>IFERROR(INDEX(Pedidos!$D$2:$D$1801,MATCH(B1079,Pedidos!$A$2:$A$1801,0)),"")</f>
        <v/>
      </c>
      <c r="L1079" s="25">
        <f>IFERROR(INDEX(Pedidos!$F$2:$F$1801,MATCH(B1079,Pedidos!$A$2:$A$1801,0)),"")</f>
        <v/>
      </c>
      <c r="M1079" s="26">
        <f>IFERROR(INDEX(Pedidos!$G$2:$G$1801,MATCH(B1079,Pedidos!$A$2:$A$1801,0)),0)</f>
        <v/>
      </c>
      <c r="N1079" s="25">
        <f>IFERROR(INDEX(Produtos!$B$2:$B$71,MATCH(C1079,Produtos!$A$2:$A$71,0)),"")</f>
        <v/>
      </c>
      <c r="O1079" s="25">
        <f>IFERROR(INDEX(Produtos!$C$2:$C$71,MATCH(C1079,Produtos!$A$2:$A$71,0)),"")</f>
        <v/>
      </c>
      <c r="P1079" s="25">
        <f>IFERROR(INDEX(Produtos!$D$2:$D$71,MATCH(C1079,Produtos!$A$2:$A$71,0)),0)</f>
        <v/>
      </c>
      <c r="Q1079" s="25">
        <f>IFERROR(INDEX(Produtos!$E$2:$E$71,MATCH(C1079,Produtos!$A$2:$A$71,0)),0)</f>
        <v/>
      </c>
      <c r="R1079" s="27">
        <f>D1079*Q1079</f>
        <v/>
      </c>
      <c r="S1079" s="27">
        <f>R1079*E1079</f>
        <v/>
      </c>
      <c r="T1079" s="27">
        <f>(R1079-S1079)*M1079</f>
        <v/>
      </c>
      <c r="U1079" s="27">
        <f>R1079-S1079-T1079</f>
        <v/>
      </c>
      <c r="V1079" s="27">
        <f>D1079*P1079</f>
        <v/>
      </c>
      <c r="W1079" s="27">
        <f>U1079-V1079</f>
        <v/>
      </c>
      <c r="X1079" s="28">
        <f>IFERROR(W1079/U1079,0)</f>
        <v/>
      </c>
    </row>
    <row r="1080">
      <c r="A1080" s="21">
        <f>ItensPedido!A1080</f>
        <v/>
      </c>
      <c r="B1080" s="21">
        <f>ItensPedido!B1080</f>
        <v/>
      </c>
      <c r="C1080" s="21">
        <f>ItensPedido!C1080</f>
        <v/>
      </c>
      <c r="D1080" s="21">
        <f>ItensPedido!D1080</f>
        <v/>
      </c>
      <c r="E1080" s="22">
        <f>ItensPedido!E1080</f>
        <v/>
      </c>
      <c r="F1080" s="21">
        <f>IFERROR(INDEX(Pedidos!$B$2:$B$1801,MATCH(B1080,Pedidos!$A$2:$A$1801,0)),0)</f>
        <v/>
      </c>
      <c r="G1080" s="21">
        <f>IF(F1080=0,"",YEAR(F1080))</f>
        <v/>
      </c>
      <c r="H1080" s="21">
        <f>IF(F1080=0,"",MONTH(F1080))</f>
        <v/>
      </c>
      <c r="I1080" s="21">
        <f>IFERROR(INDEX(Pedidos!$E$2:$E$1801,MATCH(B1080,Pedidos!$A$2:$A$1801,0)),"")</f>
        <v/>
      </c>
      <c r="J1080" s="21">
        <f>IFERROR(INDEX(Pedidos!$C$2:$C$1801,MATCH(B1080,Pedidos!$A$2:$A$1801,0)),"")</f>
        <v/>
      </c>
      <c r="K1080" s="21">
        <f>IFERROR(INDEX(Pedidos!$D$2:$D$1801,MATCH(B1080,Pedidos!$A$2:$A$1801,0)),"")</f>
        <v/>
      </c>
      <c r="L1080" s="21">
        <f>IFERROR(INDEX(Pedidos!$F$2:$F$1801,MATCH(B1080,Pedidos!$A$2:$A$1801,0)),"")</f>
        <v/>
      </c>
      <c r="M1080" s="22">
        <f>IFERROR(INDEX(Pedidos!$G$2:$G$1801,MATCH(B1080,Pedidos!$A$2:$A$1801,0)),0)</f>
        <v/>
      </c>
      <c r="N1080" s="21">
        <f>IFERROR(INDEX(Produtos!$B$2:$B$71,MATCH(C1080,Produtos!$A$2:$A$71,0)),"")</f>
        <v/>
      </c>
      <c r="O1080" s="21">
        <f>IFERROR(INDEX(Produtos!$C$2:$C$71,MATCH(C1080,Produtos!$A$2:$A$71,0)),"")</f>
        <v/>
      </c>
      <c r="P1080" s="21">
        <f>IFERROR(INDEX(Produtos!$D$2:$D$71,MATCH(C1080,Produtos!$A$2:$A$71,0)),0)</f>
        <v/>
      </c>
      <c r="Q1080" s="21">
        <f>IFERROR(INDEX(Produtos!$E$2:$E$71,MATCH(C1080,Produtos!$A$2:$A$71,0)),0)</f>
        <v/>
      </c>
      <c r="R1080" s="23">
        <f>D1080*Q1080</f>
        <v/>
      </c>
      <c r="S1080" s="23">
        <f>R1080*E1080</f>
        <v/>
      </c>
      <c r="T1080" s="23">
        <f>(R1080-S1080)*M1080</f>
        <v/>
      </c>
      <c r="U1080" s="23">
        <f>R1080-S1080-T1080</f>
        <v/>
      </c>
      <c r="V1080" s="23">
        <f>D1080*P1080</f>
        <v/>
      </c>
      <c r="W1080" s="23">
        <f>U1080-V1080</f>
        <v/>
      </c>
      <c r="X1080" s="24">
        <f>IFERROR(W1080/U1080,0)</f>
        <v/>
      </c>
    </row>
    <row r="1081">
      <c r="A1081" s="25">
        <f>ItensPedido!A1081</f>
        <v/>
      </c>
      <c r="B1081" s="25">
        <f>ItensPedido!B1081</f>
        <v/>
      </c>
      <c r="C1081" s="25">
        <f>ItensPedido!C1081</f>
        <v/>
      </c>
      <c r="D1081" s="25">
        <f>ItensPedido!D1081</f>
        <v/>
      </c>
      <c r="E1081" s="26">
        <f>ItensPedido!E1081</f>
        <v/>
      </c>
      <c r="F1081" s="25">
        <f>IFERROR(INDEX(Pedidos!$B$2:$B$1801,MATCH(B1081,Pedidos!$A$2:$A$1801,0)),0)</f>
        <v/>
      </c>
      <c r="G1081" s="25">
        <f>IF(F1081=0,"",YEAR(F1081))</f>
        <v/>
      </c>
      <c r="H1081" s="25">
        <f>IF(F1081=0,"",MONTH(F1081))</f>
        <v/>
      </c>
      <c r="I1081" s="25">
        <f>IFERROR(INDEX(Pedidos!$E$2:$E$1801,MATCH(B1081,Pedidos!$A$2:$A$1801,0)),"")</f>
        <v/>
      </c>
      <c r="J1081" s="25">
        <f>IFERROR(INDEX(Pedidos!$C$2:$C$1801,MATCH(B1081,Pedidos!$A$2:$A$1801,0)),"")</f>
        <v/>
      </c>
      <c r="K1081" s="25">
        <f>IFERROR(INDEX(Pedidos!$D$2:$D$1801,MATCH(B1081,Pedidos!$A$2:$A$1801,0)),"")</f>
        <v/>
      </c>
      <c r="L1081" s="25">
        <f>IFERROR(INDEX(Pedidos!$F$2:$F$1801,MATCH(B1081,Pedidos!$A$2:$A$1801,0)),"")</f>
        <v/>
      </c>
      <c r="M1081" s="26">
        <f>IFERROR(INDEX(Pedidos!$G$2:$G$1801,MATCH(B1081,Pedidos!$A$2:$A$1801,0)),0)</f>
        <v/>
      </c>
      <c r="N1081" s="25">
        <f>IFERROR(INDEX(Produtos!$B$2:$B$71,MATCH(C1081,Produtos!$A$2:$A$71,0)),"")</f>
        <v/>
      </c>
      <c r="O1081" s="25">
        <f>IFERROR(INDEX(Produtos!$C$2:$C$71,MATCH(C1081,Produtos!$A$2:$A$71,0)),"")</f>
        <v/>
      </c>
      <c r="P1081" s="25">
        <f>IFERROR(INDEX(Produtos!$D$2:$D$71,MATCH(C1081,Produtos!$A$2:$A$71,0)),0)</f>
        <v/>
      </c>
      <c r="Q1081" s="25">
        <f>IFERROR(INDEX(Produtos!$E$2:$E$71,MATCH(C1081,Produtos!$A$2:$A$71,0)),0)</f>
        <v/>
      </c>
      <c r="R1081" s="27">
        <f>D1081*Q1081</f>
        <v/>
      </c>
      <c r="S1081" s="27">
        <f>R1081*E1081</f>
        <v/>
      </c>
      <c r="T1081" s="27">
        <f>(R1081-S1081)*M1081</f>
        <v/>
      </c>
      <c r="U1081" s="27">
        <f>R1081-S1081-T1081</f>
        <v/>
      </c>
      <c r="V1081" s="27">
        <f>D1081*P1081</f>
        <v/>
      </c>
      <c r="W1081" s="27">
        <f>U1081-V1081</f>
        <v/>
      </c>
      <c r="X1081" s="28">
        <f>IFERROR(W1081/U1081,0)</f>
        <v/>
      </c>
    </row>
    <row r="1082">
      <c r="A1082" s="21">
        <f>ItensPedido!A1082</f>
        <v/>
      </c>
      <c r="B1082" s="21">
        <f>ItensPedido!B1082</f>
        <v/>
      </c>
      <c r="C1082" s="21">
        <f>ItensPedido!C1082</f>
        <v/>
      </c>
      <c r="D1082" s="21">
        <f>ItensPedido!D1082</f>
        <v/>
      </c>
      <c r="E1082" s="22">
        <f>ItensPedido!E1082</f>
        <v/>
      </c>
      <c r="F1082" s="21">
        <f>IFERROR(INDEX(Pedidos!$B$2:$B$1801,MATCH(B1082,Pedidos!$A$2:$A$1801,0)),0)</f>
        <v/>
      </c>
      <c r="G1082" s="21">
        <f>IF(F1082=0,"",YEAR(F1082))</f>
        <v/>
      </c>
      <c r="H1082" s="21">
        <f>IF(F1082=0,"",MONTH(F1082))</f>
        <v/>
      </c>
      <c r="I1082" s="21">
        <f>IFERROR(INDEX(Pedidos!$E$2:$E$1801,MATCH(B1082,Pedidos!$A$2:$A$1801,0)),"")</f>
        <v/>
      </c>
      <c r="J1082" s="21">
        <f>IFERROR(INDEX(Pedidos!$C$2:$C$1801,MATCH(B1082,Pedidos!$A$2:$A$1801,0)),"")</f>
        <v/>
      </c>
      <c r="K1082" s="21">
        <f>IFERROR(INDEX(Pedidos!$D$2:$D$1801,MATCH(B1082,Pedidos!$A$2:$A$1801,0)),"")</f>
        <v/>
      </c>
      <c r="L1082" s="21">
        <f>IFERROR(INDEX(Pedidos!$F$2:$F$1801,MATCH(B1082,Pedidos!$A$2:$A$1801,0)),"")</f>
        <v/>
      </c>
      <c r="M1082" s="22">
        <f>IFERROR(INDEX(Pedidos!$G$2:$G$1801,MATCH(B1082,Pedidos!$A$2:$A$1801,0)),0)</f>
        <v/>
      </c>
      <c r="N1082" s="21">
        <f>IFERROR(INDEX(Produtos!$B$2:$B$71,MATCH(C1082,Produtos!$A$2:$A$71,0)),"")</f>
        <v/>
      </c>
      <c r="O1082" s="21">
        <f>IFERROR(INDEX(Produtos!$C$2:$C$71,MATCH(C1082,Produtos!$A$2:$A$71,0)),"")</f>
        <v/>
      </c>
      <c r="P1082" s="21">
        <f>IFERROR(INDEX(Produtos!$D$2:$D$71,MATCH(C1082,Produtos!$A$2:$A$71,0)),0)</f>
        <v/>
      </c>
      <c r="Q1082" s="21">
        <f>IFERROR(INDEX(Produtos!$E$2:$E$71,MATCH(C1082,Produtos!$A$2:$A$71,0)),0)</f>
        <v/>
      </c>
      <c r="R1082" s="23">
        <f>D1082*Q1082</f>
        <v/>
      </c>
      <c r="S1082" s="23">
        <f>R1082*E1082</f>
        <v/>
      </c>
      <c r="T1082" s="23">
        <f>(R1082-S1082)*M1082</f>
        <v/>
      </c>
      <c r="U1082" s="23">
        <f>R1082-S1082-T1082</f>
        <v/>
      </c>
      <c r="V1082" s="23">
        <f>D1082*P1082</f>
        <v/>
      </c>
      <c r="W1082" s="23">
        <f>U1082-V1082</f>
        <v/>
      </c>
      <c r="X1082" s="24">
        <f>IFERROR(W1082/U1082,0)</f>
        <v/>
      </c>
    </row>
    <row r="1083">
      <c r="A1083" s="25">
        <f>ItensPedido!A1083</f>
        <v/>
      </c>
      <c r="B1083" s="25">
        <f>ItensPedido!B1083</f>
        <v/>
      </c>
      <c r="C1083" s="25">
        <f>ItensPedido!C1083</f>
        <v/>
      </c>
      <c r="D1083" s="25">
        <f>ItensPedido!D1083</f>
        <v/>
      </c>
      <c r="E1083" s="26">
        <f>ItensPedido!E1083</f>
        <v/>
      </c>
      <c r="F1083" s="25">
        <f>IFERROR(INDEX(Pedidos!$B$2:$B$1801,MATCH(B1083,Pedidos!$A$2:$A$1801,0)),0)</f>
        <v/>
      </c>
      <c r="G1083" s="25">
        <f>IF(F1083=0,"",YEAR(F1083))</f>
        <v/>
      </c>
      <c r="H1083" s="25">
        <f>IF(F1083=0,"",MONTH(F1083))</f>
        <v/>
      </c>
      <c r="I1083" s="25">
        <f>IFERROR(INDEX(Pedidos!$E$2:$E$1801,MATCH(B1083,Pedidos!$A$2:$A$1801,0)),"")</f>
        <v/>
      </c>
      <c r="J1083" s="25">
        <f>IFERROR(INDEX(Pedidos!$C$2:$C$1801,MATCH(B1083,Pedidos!$A$2:$A$1801,0)),"")</f>
        <v/>
      </c>
      <c r="K1083" s="25">
        <f>IFERROR(INDEX(Pedidos!$D$2:$D$1801,MATCH(B1083,Pedidos!$A$2:$A$1801,0)),"")</f>
        <v/>
      </c>
      <c r="L1083" s="25">
        <f>IFERROR(INDEX(Pedidos!$F$2:$F$1801,MATCH(B1083,Pedidos!$A$2:$A$1801,0)),"")</f>
        <v/>
      </c>
      <c r="M1083" s="26">
        <f>IFERROR(INDEX(Pedidos!$G$2:$G$1801,MATCH(B1083,Pedidos!$A$2:$A$1801,0)),0)</f>
        <v/>
      </c>
      <c r="N1083" s="25">
        <f>IFERROR(INDEX(Produtos!$B$2:$B$71,MATCH(C1083,Produtos!$A$2:$A$71,0)),"")</f>
        <v/>
      </c>
      <c r="O1083" s="25">
        <f>IFERROR(INDEX(Produtos!$C$2:$C$71,MATCH(C1083,Produtos!$A$2:$A$71,0)),"")</f>
        <v/>
      </c>
      <c r="P1083" s="25">
        <f>IFERROR(INDEX(Produtos!$D$2:$D$71,MATCH(C1083,Produtos!$A$2:$A$71,0)),0)</f>
        <v/>
      </c>
      <c r="Q1083" s="25">
        <f>IFERROR(INDEX(Produtos!$E$2:$E$71,MATCH(C1083,Produtos!$A$2:$A$71,0)),0)</f>
        <v/>
      </c>
      <c r="R1083" s="27">
        <f>D1083*Q1083</f>
        <v/>
      </c>
      <c r="S1083" s="27">
        <f>R1083*E1083</f>
        <v/>
      </c>
      <c r="T1083" s="27">
        <f>(R1083-S1083)*M1083</f>
        <v/>
      </c>
      <c r="U1083" s="27">
        <f>R1083-S1083-T1083</f>
        <v/>
      </c>
      <c r="V1083" s="27">
        <f>D1083*P1083</f>
        <v/>
      </c>
      <c r="W1083" s="27">
        <f>U1083-V1083</f>
        <v/>
      </c>
      <c r="X1083" s="28">
        <f>IFERROR(W1083/U1083,0)</f>
        <v/>
      </c>
    </row>
    <row r="1084">
      <c r="A1084" s="21">
        <f>ItensPedido!A1084</f>
        <v/>
      </c>
      <c r="B1084" s="21">
        <f>ItensPedido!B1084</f>
        <v/>
      </c>
      <c r="C1084" s="21">
        <f>ItensPedido!C1084</f>
        <v/>
      </c>
      <c r="D1084" s="21">
        <f>ItensPedido!D1084</f>
        <v/>
      </c>
      <c r="E1084" s="22">
        <f>ItensPedido!E1084</f>
        <v/>
      </c>
      <c r="F1084" s="21">
        <f>IFERROR(INDEX(Pedidos!$B$2:$B$1801,MATCH(B1084,Pedidos!$A$2:$A$1801,0)),0)</f>
        <v/>
      </c>
      <c r="G1084" s="21">
        <f>IF(F1084=0,"",YEAR(F1084))</f>
        <v/>
      </c>
      <c r="H1084" s="21">
        <f>IF(F1084=0,"",MONTH(F1084))</f>
        <v/>
      </c>
      <c r="I1084" s="21">
        <f>IFERROR(INDEX(Pedidos!$E$2:$E$1801,MATCH(B1084,Pedidos!$A$2:$A$1801,0)),"")</f>
        <v/>
      </c>
      <c r="J1084" s="21">
        <f>IFERROR(INDEX(Pedidos!$C$2:$C$1801,MATCH(B1084,Pedidos!$A$2:$A$1801,0)),"")</f>
        <v/>
      </c>
      <c r="K1084" s="21">
        <f>IFERROR(INDEX(Pedidos!$D$2:$D$1801,MATCH(B1084,Pedidos!$A$2:$A$1801,0)),"")</f>
        <v/>
      </c>
      <c r="L1084" s="21">
        <f>IFERROR(INDEX(Pedidos!$F$2:$F$1801,MATCH(B1084,Pedidos!$A$2:$A$1801,0)),"")</f>
        <v/>
      </c>
      <c r="M1084" s="22">
        <f>IFERROR(INDEX(Pedidos!$G$2:$G$1801,MATCH(B1084,Pedidos!$A$2:$A$1801,0)),0)</f>
        <v/>
      </c>
      <c r="N1084" s="21">
        <f>IFERROR(INDEX(Produtos!$B$2:$B$71,MATCH(C1084,Produtos!$A$2:$A$71,0)),"")</f>
        <v/>
      </c>
      <c r="O1084" s="21">
        <f>IFERROR(INDEX(Produtos!$C$2:$C$71,MATCH(C1084,Produtos!$A$2:$A$71,0)),"")</f>
        <v/>
      </c>
      <c r="P1084" s="21">
        <f>IFERROR(INDEX(Produtos!$D$2:$D$71,MATCH(C1084,Produtos!$A$2:$A$71,0)),0)</f>
        <v/>
      </c>
      <c r="Q1084" s="21">
        <f>IFERROR(INDEX(Produtos!$E$2:$E$71,MATCH(C1084,Produtos!$A$2:$A$71,0)),0)</f>
        <v/>
      </c>
      <c r="R1084" s="23">
        <f>D1084*Q1084</f>
        <v/>
      </c>
      <c r="S1084" s="23">
        <f>R1084*E1084</f>
        <v/>
      </c>
      <c r="T1084" s="23">
        <f>(R1084-S1084)*M1084</f>
        <v/>
      </c>
      <c r="U1084" s="23">
        <f>R1084-S1084-T1084</f>
        <v/>
      </c>
      <c r="V1084" s="23">
        <f>D1084*P1084</f>
        <v/>
      </c>
      <c r="W1084" s="23">
        <f>U1084-V1084</f>
        <v/>
      </c>
      <c r="X1084" s="24">
        <f>IFERROR(W1084/U1084,0)</f>
        <v/>
      </c>
    </row>
    <row r="1085">
      <c r="A1085" s="25">
        <f>ItensPedido!A1085</f>
        <v/>
      </c>
      <c r="B1085" s="25">
        <f>ItensPedido!B1085</f>
        <v/>
      </c>
      <c r="C1085" s="25">
        <f>ItensPedido!C1085</f>
        <v/>
      </c>
      <c r="D1085" s="25">
        <f>ItensPedido!D1085</f>
        <v/>
      </c>
      <c r="E1085" s="26">
        <f>ItensPedido!E1085</f>
        <v/>
      </c>
      <c r="F1085" s="25">
        <f>IFERROR(INDEX(Pedidos!$B$2:$B$1801,MATCH(B1085,Pedidos!$A$2:$A$1801,0)),0)</f>
        <v/>
      </c>
      <c r="G1085" s="25">
        <f>IF(F1085=0,"",YEAR(F1085))</f>
        <v/>
      </c>
      <c r="H1085" s="25">
        <f>IF(F1085=0,"",MONTH(F1085))</f>
        <v/>
      </c>
      <c r="I1085" s="25">
        <f>IFERROR(INDEX(Pedidos!$E$2:$E$1801,MATCH(B1085,Pedidos!$A$2:$A$1801,0)),"")</f>
        <v/>
      </c>
      <c r="J1085" s="25">
        <f>IFERROR(INDEX(Pedidos!$C$2:$C$1801,MATCH(B1085,Pedidos!$A$2:$A$1801,0)),"")</f>
        <v/>
      </c>
      <c r="K1085" s="25">
        <f>IFERROR(INDEX(Pedidos!$D$2:$D$1801,MATCH(B1085,Pedidos!$A$2:$A$1801,0)),"")</f>
        <v/>
      </c>
      <c r="L1085" s="25">
        <f>IFERROR(INDEX(Pedidos!$F$2:$F$1801,MATCH(B1085,Pedidos!$A$2:$A$1801,0)),"")</f>
        <v/>
      </c>
      <c r="M1085" s="26">
        <f>IFERROR(INDEX(Pedidos!$G$2:$G$1801,MATCH(B1085,Pedidos!$A$2:$A$1801,0)),0)</f>
        <v/>
      </c>
      <c r="N1085" s="25">
        <f>IFERROR(INDEX(Produtos!$B$2:$B$71,MATCH(C1085,Produtos!$A$2:$A$71,0)),"")</f>
        <v/>
      </c>
      <c r="O1085" s="25">
        <f>IFERROR(INDEX(Produtos!$C$2:$C$71,MATCH(C1085,Produtos!$A$2:$A$71,0)),"")</f>
        <v/>
      </c>
      <c r="P1085" s="25">
        <f>IFERROR(INDEX(Produtos!$D$2:$D$71,MATCH(C1085,Produtos!$A$2:$A$71,0)),0)</f>
        <v/>
      </c>
      <c r="Q1085" s="25">
        <f>IFERROR(INDEX(Produtos!$E$2:$E$71,MATCH(C1085,Produtos!$A$2:$A$71,0)),0)</f>
        <v/>
      </c>
      <c r="R1085" s="27">
        <f>D1085*Q1085</f>
        <v/>
      </c>
      <c r="S1085" s="27">
        <f>R1085*E1085</f>
        <v/>
      </c>
      <c r="T1085" s="27">
        <f>(R1085-S1085)*M1085</f>
        <v/>
      </c>
      <c r="U1085" s="27">
        <f>R1085-S1085-T1085</f>
        <v/>
      </c>
      <c r="V1085" s="27">
        <f>D1085*P1085</f>
        <v/>
      </c>
      <c r="W1085" s="27">
        <f>U1085-V1085</f>
        <v/>
      </c>
      <c r="X1085" s="28">
        <f>IFERROR(W1085/U1085,0)</f>
        <v/>
      </c>
    </row>
    <row r="1086">
      <c r="A1086" s="21">
        <f>ItensPedido!A1086</f>
        <v/>
      </c>
      <c r="B1086" s="21">
        <f>ItensPedido!B1086</f>
        <v/>
      </c>
      <c r="C1086" s="21">
        <f>ItensPedido!C1086</f>
        <v/>
      </c>
      <c r="D1086" s="21">
        <f>ItensPedido!D1086</f>
        <v/>
      </c>
      <c r="E1086" s="22">
        <f>ItensPedido!E1086</f>
        <v/>
      </c>
      <c r="F1086" s="21">
        <f>IFERROR(INDEX(Pedidos!$B$2:$B$1801,MATCH(B1086,Pedidos!$A$2:$A$1801,0)),0)</f>
        <v/>
      </c>
      <c r="G1086" s="21">
        <f>IF(F1086=0,"",YEAR(F1086))</f>
        <v/>
      </c>
      <c r="H1086" s="21">
        <f>IF(F1086=0,"",MONTH(F1086))</f>
        <v/>
      </c>
      <c r="I1086" s="21">
        <f>IFERROR(INDEX(Pedidos!$E$2:$E$1801,MATCH(B1086,Pedidos!$A$2:$A$1801,0)),"")</f>
        <v/>
      </c>
      <c r="J1086" s="21">
        <f>IFERROR(INDEX(Pedidos!$C$2:$C$1801,MATCH(B1086,Pedidos!$A$2:$A$1801,0)),"")</f>
        <v/>
      </c>
      <c r="K1086" s="21">
        <f>IFERROR(INDEX(Pedidos!$D$2:$D$1801,MATCH(B1086,Pedidos!$A$2:$A$1801,0)),"")</f>
        <v/>
      </c>
      <c r="L1086" s="21">
        <f>IFERROR(INDEX(Pedidos!$F$2:$F$1801,MATCH(B1086,Pedidos!$A$2:$A$1801,0)),"")</f>
        <v/>
      </c>
      <c r="M1086" s="22">
        <f>IFERROR(INDEX(Pedidos!$G$2:$G$1801,MATCH(B1086,Pedidos!$A$2:$A$1801,0)),0)</f>
        <v/>
      </c>
      <c r="N1086" s="21">
        <f>IFERROR(INDEX(Produtos!$B$2:$B$71,MATCH(C1086,Produtos!$A$2:$A$71,0)),"")</f>
        <v/>
      </c>
      <c r="O1086" s="21">
        <f>IFERROR(INDEX(Produtos!$C$2:$C$71,MATCH(C1086,Produtos!$A$2:$A$71,0)),"")</f>
        <v/>
      </c>
      <c r="P1086" s="21">
        <f>IFERROR(INDEX(Produtos!$D$2:$D$71,MATCH(C1086,Produtos!$A$2:$A$71,0)),0)</f>
        <v/>
      </c>
      <c r="Q1086" s="21">
        <f>IFERROR(INDEX(Produtos!$E$2:$E$71,MATCH(C1086,Produtos!$A$2:$A$71,0)),0)</f>
        <v/>
      </c>
      <c r="R1086" s="23">
        <f>D1086*Q1086</f>
        <v/>
      </c>
      <c r="S1086" s="23">
        <f>R1086*E1086</f>
        <v/>
      </c>
      <c r="T1086" s="23">
        <f>(R1086-S1086)*M1086</f>
        <v/>
      </c>
      <c r="U1086" s="23">
        <f>R1086-S1086-T1086</f>
        <v/>
      </c>
      <c r="V1086" s="23">
        <f>D1086*P1086</f>
        <v/>
      </c>
      <c r="W1086" s="23">
        <f>U1086-V1086</f>
        <v/>
      </c>
      <c r="X1086" s="24">
        <f>IFERROR(W1086/U1086,0)</f>
        <v/>
      </c>
    </row>
    <row r="1087">
      <c r="A1087" s="25">
        <f>ItensPedido!A1087</f>
        <v/>
      </c>
      <c r="B1087" s="25">
        <f>ItensPedido!B1087</f>
        <v/>
      </c>
      <c r="C1087" s="25">
        <f>ItensPedido!C1087</f>
        <v/>
      </c>
      <c r="D1087" s="25">
        <f>ItensPedido!D1087</f>
        <v/>
      </c>
      <c r="E1087" s="26">
        <f>ItensPedido!E1087</f>
        <v/>
      </c>
      <c r="F1087" s="25">
        <f>IFERROR(INDEX(Pedidos!$B$2:$B$1801,MATCH(B1087,Pedidos!$A$2:$A$1801,0)),0)</f>
        <v/>
      </c>
      <c r="G1087" s="25">
        <f>IF(F1087=0,"",YEAR(F1087))</f>
        <v/>
      </c>
      <c r="H1087" s="25">
        <f>IF(F1087=0,"",MONTH(F1087))</f>
        <v/>
      </c>
      <c r="I1087" s="25">
        <f>IFERROR(INDEX(Pedidos!$E$2:$E$1801,MATCH(B1087,Pedidos!$A$2:$A$1801,0)),"")</f>
        <v/>
      </c>
      <c r="J1087" s="25">
        <f>IFERROR(INDEX(Pedidos!$C$2:$C$1801,MATCH(B1087,Pedidos!$A$2:$A$1801,0)),"")</f>
        <v/>
      </c>
      <c r="K1087" s="25">
        <f>IFERROR(INDEX(Pedidos!$D$2:$D$1801,MATCH(B1087,Pedidos!$A$2:$A$1801,0)),"")</f>
        <v/>
      </c>
      <c r="L1087" s="25">
        <f>IFERROR(INDEX(Pedidos!$F$2:$F$1801,MATCH(B1087,Pedidos!$A$2:$A$1801,0)),"")</f>
        <v/>
      </c>
      <c r="M1087" s="26">
        <f>IFERROR(INDEX(Pedidos!$G$2:$G$1801,MATCH(B1087,Pedidos!$A$2:$A$1801,0)),0)</f>
        <v/>
      </c>
      <c r="N1087" s="25">
        <f>IFERROR(INDEX(Produtos!$B$2:$B$71,MATCH(C1087,Produtos!$A$2:$A$71,0)),"")</f>
        <v/>
      </c>
      <c r="O1087" s="25">
        <f>IFERROR(INDEX(Produtos!$C$2:$C$71,MATCH(C1087,Produtos!$A$2:$A$71,0)),"")</f>
        <v/>
      </c>
      <c r="P1087" s="25">
        <f>IFERROR(INDEX(Produtos!$D$2:$D$71,MATCH(C1087,Produtos!$A$2:$A$71,0)),0)</f>
        <v/>
      </c>
      <c r="Q1087" s="25">
        <f>IFERROR(INDEX(Produtos!$E$2:$E$71,MATCH(C1087,Produtos!$A$2:$A$71,0)),0)</f>
        <v/>
      </c>
      <c r="R1087" s="27">
        <f>D1087*Q1087</f>
        <v/>
      </c>
      <c r="S1087" s="27">
        <f>R1087*E1087</f>
        <v/>
      </c>
      <c r="T1087" s="27">
        <f>(R1087-S1087)*M1087</f>
        <v/>
      </c>
      <c r="U1087" s="27">
        <f>R1087-S1087-T1087</f>
        <v/>
      </c>
      <c r="V1087" s="27">
        <f>D1087*P1087</f>
        <v/>
      </c>
      <c r="W1087" s="27">
        <f>U1087-V1087</f>
        <v/>
      </c>
      <c r="X1087" s="28">
        <f>IFERROR(W1087/U1087,0)</f>
        <v/>
      </c>
    </row>
    <row r="1088">
      <c r="A1088" s="21">
        <f>ItensPedido!A1088</f>
        <v/>
      </c>
      <c r="B1088" s="21">
        <f>ItensPedido!B1088</f>
        <v/>
      </c>
      <c r="C1088" s="21">
        <f>ItensPedido!C1088</f>
        <v/>
      </c>
      <c r="D1088" s="21">
        <f>ItensPedido!D1088</f>
        <v/>
      </c>
      <c r="E1088" s="22">
        <f>ItensPedido!E1088</f>
        <v/>
      </c>
      <c r="F1088" s="21">
        <f>IFERROR(INDEX(Pedidos!$B$2:$B$1801,MATCH(B1088,Pedidos!$A$2:$A$1801,0)),0)</f>
        <v/>
      </c>
      <c r="G1088" s="21">
        <f>IF(F1088=0,"",YEAR(F1088))</f>
        <v/>
      </c>
      <c r="H1088" s="21">
        <f>IF(F1088=0,"",MONTH(F1088))</f>
        <v/>
      </c>
      <c r="I1088" s="21">
        <f>IFERROR(INDEX(Pedidos!$E$2:$E$1801,MATCH(B1088,Pedidos!$A$2:$A$1801,0)),"")</f>
        <v/>
      </c>
      <c r="J1088" s="21">
        <f>IFERROR(INDEX(Pedidos!$C$2:$C$1801,MATCH(B1088,Pedidos!$A$2:$A$1801,0)),"")</f>
        <v/>
      </c>
      <c r="K1088" s="21">
        <f>IFERROR(INDEX(Pedidos!$D$2:$D$1801,MATCH(B1088,Pedidos!$A$2:$A$1801,0)),"")</f>
        <v/>
      </c>
      <c r="L1088" s="21">
        <f>IFERROR(INDEX(Pedidos!$F$2:$F$1801,MATCH(B1088,Pedidos!$A$2:$A$1801,0)),"")</f>
        <v/>
      </c>
      <c r="M1088" s="22">
        <f>IFERROR(INDEX(Pedidos!$G$2:$G$1801,MATCH(B1088,Pedidos!$A$2:$A$1801,0)),0)</f>
        <v/>
      </c>
      <c r="N1088" s="21">
        <f>IFERROR(INDEX(Produtos!$B$2:$B$71,MATCH(C1088,Produtos!$A$2:$A$71,0)),"")</f>
        <v/>
      </c>
      <c r="O1088" s="21">
        <f>IFERROR(INDEX(Produtos!$C$2:$C$71,MATCH(C1088,Produtos!$A$2:$A$71,0)),"")</f>
        <v/>
      </c>
      <c r="P1088" s="21">
        <f>IFERROR(INDEX(Produtos!$D$2:$D$71,MATCH(C1088,Produtos!$A$2:$A$71,0)),0)</f>
        <v/>
      </c>
      <c r="Q1088" s="21">
        <f>IFERROR(INDEX(Produtos!$E$2:$E$71,MATCH(C1088,Produtos!$A$2:$A$71,0)),0)</f>
        <v/>
      </c>
      <c r="R1088" s="23">
        <f>D1088*Q1088</f>
        <v/>
      </c>
      <c r="S1088" s="23">
        <f>R1088*E1088</f>
        <v/>
      </c>
      <c r="T1088" s="23">
        <f>(R1088-S1088)*M1088</f>
        <v/>
      </c>
      <c r="U1088" s="23">
        <f>R1088-S1088-T1088</f>
        <v/>
      </c>
      <c r="V1088" s="23">
        <f>D1088*P1088</f>
        <v/>
      </c>
      <c r="W1088" s="23">
        <f>U1088-V1088</f>
        <v/>
      </c>
      <c r="X1088" s="24">
        <f>IFERROR(W1088/U1088,0)</f>
        <v/>
      </c>
    </row>
    <row r="1089">
      <c r="A1089" s="25">
        <f>ItensPedido!A1089</f>
        <v/>
      </c>
      <c r="B1089" s="25">
        <f>ItensPedido!B1089</f>
        <v/>
      </c>
      <c r="C1089" s="25">
        <f>ItensPedido!C1089</f>
        <v/>
      </c>
      <c r="D1089" s="25">
        <f>ItensPedido!D1089</f>
        <v/>
      </c>
      <c r="E1089" s="26">
        <f>ItensPedido!E1089</f>
        <v/>
      </c>
      <c r="F1089" s="25">
        <f>IFERROR(INDEX(Pedidos!$B$2:$B$1801,MATCH(B1089,Pedidos!$A$2:$A$1801,0)),0)</f>
        <v/>
      </c>
      <c r="G1089" s="25">
        <f>IF(F1089=0,"",YEAR(F1089))</f>
        <v/>
      </c>
      <c r="H1089" s="25">
        <f>IF(F1089=0,"",MONTH(F1089))</f>
        <v/>
      </c>
      <c r="I1089" s="25">
        <f>IFERROR(INDEX(Pedidos!$E$2:$E$1801,MATCH(B1089,Pedidos!$A$2:$A$1801,0)),"")</f>
        <v/>
      </c>
      <c r="J1089" s="25">
        <f>IFERROR(INDEX(Pedidos!$C$2:$C$1801,MATCH(B1089,Pedidos!$A$2:$A$1801,0)),"")</f>
        <v/>
      </c>
      <c r="K1089" s="25">
        <f>IFERROR(INDEX(Pedidos!$D$2:$D$1801,MATCH(B1089,Pedidos!$A$2:$A$1801,0)),"")</f>
        <v/>
      </c>
      <c r="L1089" s="25">
        <f>IFERROR(INDEX(Pedidos!$F$2:$F$1801,MATCH(B1089,Pedidos!$A$2:$A$1801,0)),"")</f>
        <v/>
      </c>
      <c r="M1089" s="26">
        <f>IFERROR(INDEX(Pedidos!$G$2:$G$1801,MATCH(B1089,Pedidos!$A$2:$A$1801,0)),0)</f>
        <v/>
      </c>
      <c r="N1089" s="25">
        <f>IFERROR(INDEX(Produtos!$B$2:$B$71,MATCH(C1089,Produtos!$A$2:$A$71,0)),"")</f>
        <v/>
      </c>
      <c r="O1089" s="25">
        <f>IFERROR(INDEX(Produtos!$C$2:$C$71,MATCH(C1089,Produtos!$A$2:$A$71,0)),"")</f>
        <v/>
      </c>
      <c r="P1089" s="25">
        <f>IFERROR(INDEX(Produtos!$D$2:$D$71,MATCH(C1089,Produtos!$A$2:$A$71,0)),0)</f>
        <v/>
      </c>
      <c r="Q1089" s="25">
        <f>IFERROR(INDEX(Produtos!$E$2:$E$71,MATCH(C1089,Produtos!$A$2:$A$71,0)),0)</f>
        <v/>
      </c>
      <c r="R1089" s="27">
        <f>D1089*Q1089</f>
        <v/>
      </c>
      <c r="S1089" s="27">
        <f>R1089*E1089</f>
        <v/>
      </c>
      <c r="T1089" s="27">
        <f>(R1089-S1089)*M1089</f>
        <v/>
      </c>
      <c r="U1089" s="27">
        <f>R1089-S1089-T1089</f>
        <v/>
      </c>
      <c r="V1089" s="27">
        <f>D1089*P1089</f>
        <v/>
      </c>
      <c r="W1089" s="27">
        <f>U1089-V1089</f>
        <v/>
      </c>
      <c r="X1089" s="28">
        <f>IFERROR(W1089/U1089,0)</f>
        <v/>
      </c>
    </row>
    <row r="1090">
      <c r="A1090" s="21">
        <f>ItensPedido!A1090</f>
        <v/>
      </c>
      <c r="B1090" s="21">
        <f>ItensPedido!B1090</f>
        <v/>
      </c>
      <c r="C1090" s="21">
        <f>ItensPedido!C1090</f>
        <v/>
      </c>
      <c r="D1090" s="21">
        <f>ItensPedido!D1090</f>
        <v/>
      </c>
      <c r="E1090" s="22">
        <f>ItensPedido!E1090</f>
        <v/>
      </c>
      <c r="F1090" s="21">
        <f>IFERROR(INDEX(Pedidos!$B$2:$B$1801,MATCH(B1090,Pedidos!$A$2:$A$1801,0)),0)</f>
        <v/>
      </c>
      <c r="G1090" s="21">
        <f>IF(F1090=0,"",YEAR(F1090))</f>
        <v/>
      </c>
      <c r="H1090" s="21">
        <f>IF(F1090=0,"",MONTH(F1090))</f>
        <v/>
      </c>
      <c r="I1090" s="21">
        <f>IFERROR(INDEX(Pedidos!$E$2:$E$1801,MATCH(B1090,Pedidos!$A$2:$A$1801,0)),"")</f>
        <v/>
      </c>
      <c r="J1090" s="21">
        <f>IFERROR(INDEX(Pedidos!$C$2:$C$1801,MATCH(B1090,Pedidos!$A$2:$A$1801,0)),"")</f>
        <v/>
      </c>
      <c r="K1090" s="21">
        <f>IFERROR(INDEX(Pedidos!$D$2:$D$1801,MATCH(B1090,Pedidos!$A$2:$A$1801,0)),"")</f>
        <v/>
      </c>
      <c r="L1090" s="21">
        <f>IFERROR(INDEX(Pedidos!$F$2:$F$1801,MATCH(B1090,Pedidos!$A$2:$A$1801,0)),"")</f>
        <v/>
      </c>
      <c r="M1090" s="22">
        <f>IFERROR(INDEX(Pedidos!$G$2:$G$1801,MATCH(B1090,Pedidos!$A$2:$A$1801,0)),0)</f>
        <v/>
      </c>
      <c r="N1090" s="21">
        <f>IFERROR(INDEX(Produtos!$B$2:$B$71,MATCH(C1090,Produtos!$A$2:$A$71,0)),"")</f>
        <v/>
      </c>
      <c r="O1090" s="21">
        <f>IFERROR(INDEX(Produtos!$C$2:$C$71,MATCH(C1090,Produtos!$A$2:$A$71,0)),"")</f>
        <v/>
      </c>
      <c r="P1090" s="21">
        <f>IFERROR(INDEX(Produtos!$D$2:$D$71,MATCH(C1090,Produtos!$A$2:$A$71,0)),0)</f>
        <v/>
      </c>
      <c r="Q1090" s="21">
        <f>IFERROR(INDEX(Produtos!$E$2:$E$71,MATCH(C1090,Produtos!$A$2:$A$71,0)),0)</f>
        <v/>
      </c>
      <c r="R1090" s="23">
        <f>D1090*Q1090</f>
        <v/>
      </c>
      <c r="S1090" s="23">
        <f>R1090*E1090</f>
        <v/>
      </c>
      <c r="T1090" s="23">
        <f>(R1090-S1090)*M1090</f>
        <v/>
      </c>
      <c r="U1090" s="23">
        <f>R1090-S1090-T1090</f>
        <v/>
      </c>
      <c r="V1090" s="23">
        <f>D1090*P1090</f>
        <v/>
      </c>
      <c r="W1090" s="23">
        <f>U1090-V1090</f>
        <v/>
      </c>
      <c r="X1090" s="24">
        <f>IFERROR(W1090/U1090,0)</f>
        <v/>
      </c>
    </row>
    <row r="1091">
      <c r="A1091" s="25">
        <f>ItensPedido!A1091</f>
        <v/>
      </c>
      <c r="B1091" s="25">
        <f>ItensPedido!B1091</f>
        <v/>
      </c>
      <c r="C1091" s="25">
        <f>ItensPedido!C1091</f>
        <v/>
      </c>
      <c r="D1091" s="25">
        <f>ItensPedido!D1091</f>
        <v/>
      </c>
      <c r="E1091" s="26">
        <f>ItensPedido!E1091</f>
        <v/>
      </c>
      <c r="F1091" s="25">
        <f>IFERROR(INDEX(Pedidos!$B$2:$B$1801,MATCH(B1091,Pedidos!$A$2:$A$1801,0)),0)</f>
        <v/>
      </c>
      <c r="G1091" s="25">
        <f>IF(F1091=0,"",YEAR(F1091))</f>
        <v/>
      </c>
      <c r="H1091" s="25">
        <f>IF(F1091=0,"",MONTH(F1091))</f>
        <v/>
      </c>
      <c r="I1091" s="25">
        <f>IFERROR(INDEX(Pedidos!$E$2:$E$1801,MATCH(B1091,Pedidos!$A$2:$A$1801,0)),"")</f>
        <v/>
      </c>
      <c r="J1091" s="25">
        <f>IFERROR(INDEX(Pedidos!$C$2:$C$1801,MATCH(B1091,Pedidos!$A$2:$A$1801,0)),"")</f>
        <v/>
      </c>
      <c r="K1091" s="25">
        <f>IFERROR(INDEX(Pedidos!$D$2:$D$1801,MATCH(B1091,Pedidos!$A$2:$A$1801,0)),"")</f>
        <v/>
      </c>
      <c r="L1091" s="25">
        <f>IFERROR(INDEX(Pedidos!$F$2:$F$1801,MATCH(B1091,Pedidos!$A$2:$A$1801,0)),"")</f>
        <v/>
      </c>
      <c r="M1091" s="26">
        <f>IFERROR(INDEX(Pedidos!$G$2:$G$1801,MATCH(B1091,Pedidos!$A$2:$A$1801,0)),0)</f>
        <v/>
      </c>
      <c r="N1091" s="25">
        <f>IFERROR(INDEX(Produtos!$B$2:$B$71,MATCH(C1091,Produtos!$A$2:$A$71,0)),"")</f>
        <v/>
      </c>
      <c r="O1091" s="25">
        <f>IFERROR(INDEX(Produtos!$C$2:$C$71,MATCH(C1091,Produtos!$A$2:$A$71,0)),"")</f>
        <v/>
      </c>
      <c r="P1091" s="25">
        <f>IFERROR(INDEX(Produtos!$D$2:$D$71,MATCH(C1091,Produtos!$A$2:$A$71,0)),0)</f>
        <v/>
      </c>
      <c r="Q1091" s="25">
        <f>IFERROR(INDEX(Produtos!$E$2:$E$71,MATCH(C1091,Produtos!$A$2:$A$71,0)),0)</f>
        <v/>
      </c>
      <c r="R1091" s="27">
        <f>D1091*Q1091</f>
        <v/>
      </c>
      <c r="S1091" s="27">
        <f>R1091*E1091</f>
        <v/>
      </c>
      <c r="T1091" s="27">
        <f>(R1091-S1091)*M1091</f>
        <v/>
      </c>
      <c r="U1091" s="27">
        <f>R1091-S1091-T1091</f>
        <v/>
      </c>
      <c r="V1091" s="27">
        <f>D1091*P1091</f>
        <v/>
      </c>
      <c r="W1091" s="27">
        <f>U1091-V1091</f>
        <v/>
      </c>
      <c r="X1091" s="28">
        <f>IFERROR(W1091/U1091,0)</f>
        <v/>
      </c>
    </row>
    <row r="1092">
      <c r="A1092" s="21">
        <f>ItensPedido!A1092</f>
        <v/>
      </c>
      <c r="B1092" s="21">
        <f>ItensPedido!B1092</f>
        <v/>
      </c>
      <c r="C1092" s="21">
        <f>ItensPedido!C1092</f>
        <v/>
      </c>
      <c r="D1092" s="21">
        <f>ItensPedido!D1092</f>
        <v/>
      </c>
      <c r="E1092" s="22">
        <f>ItensPedido!E1092</f>
        <v/>
      </c>
      <c r="F1092" s="21">
        <f>IFERROR(INDEX(Pedidos!$B$2:$B$1801,MATCH(B1092,Pedidos!$A$2:$A$1801,0)),0)</f>
        <v/>
      </c>
      <c r="G1092" s="21">
        <f>IF(F1092=0,"",YEAR(F1092))</f>
        <v/>
      </c>
      <c r="H1092" s="21">
        <f>IF(F1092=0,"",MONTH(F1092))</f>
        <v/>
      </c>
      <c r="I1092" s="21">
        <f>IFERROR(INDEX(Pedidos!$E$2:$E$1801,MATCH(B1092,Pedidos!$A$2:$A$1801,0)),"")</f>
        <v/>
      </c>
      <c r="J1092" s="21">
        <f>IFERROR(INDEX(Pedidos!$C$2:$C$1801,MATCH(B1092,Pedidos!$A$2:$A$1801,0)),"")</f>
        <v/>
      </c>
      <c r="K1092" s="21">
        <f>IFERROR(INDEX(Pedidos!$D$2:$D$1801,MATCH(B1092,Pedidos!$A$2:$A$1801,0)),"")</f>
        <v/>
      </c>
      <c r="L1092" s="21">
        <f>IFERROR(INDEX(Pedidos!$F$2:$F$1801,MATCH(B1092,Pedidos!$A$2:$A$1801,0)),"")</f>
        <v/>
      </c>
      <c r="M1092" s="22">
        <f>IFERROR(INDEX(Pedidos!$G$2:$G$1801,MATCH(B1092,Pedidos!$A$2:$A$1801,0)),0)</f>
        <v/>
      </c>
      <c r="N1092" s="21">
        <f>IFERROR(INDEX(Produtos!$B$2:$B$71,MATCH(C1092,Produtos!$A$2:$A$71,0)),"")</f>
        <v/>
      </c>
      <c r="O1092" s="21">
        <f>IFERROR(INDEX(Produtos!$C$2:$C$71,MATCH(C1092,Produtos!$A$2:$A$71,0)),"")</f>
        <v/>
      </c>
      <c r="P1092" s="21">
        <f>IFERROR(INDEX(Produtos!$D$2:$D$71,MATCH(C1092,Produtos!$A$2:$A$71,0)),0)</f>
        <v/>
      </c>
      <c r="Q1092" s="21">
        <f>IFERROR(INDEX(Produtos!$E$2:$E$71,MATCH(C1092,Produtos!$A$2:$A$71,0)),0)</f>
        <v/>
      </c>
      <c r="R1092" s="23">
        <f>D1092*Q1092</f>
        <v/>
      </c>
      <c r="S1092" s="23">
        <f>R1092*E1092</f>
        <v/>
      </c>
      <c r="T1092" s="23">
        <f>(R1092-S1092)*M1092</f>
        <v/>
      </c>
      <c r="U1092" s="23">
        <f>R1092-S1092-T1092</f>
        <v/>
      </c>
      <c r="V1092" s="23">
        <f>D1092*P1092</f>
        <v/>
      </c>
      <c r="W1092" s="23">
        <f>U1092-V1092</f>
        <v/>
      </c>
      <c r="X1092" s="24">
        <f>IFERROR(W1092/U1092,0)</f>
        <v/>
      </c>
    </row>
    <row r="1093">
      <c r="A1093" s="25">
        <f>ItensPedido!A1093</f>
        <v/>
      </c>
      <c r="B1093" s="25">
        <f>ItensPedido!B1093</f>
        <v/>
      </c>
      <c r="C1093" s="25">
        <f>ItensPedido!C1093</f>
        <v/>
      </c>
      <c r="D1093" s="25">
        <f>ItensPedido!D1093</f>
        <v/>
      </c>
      <c r="E1093" s="26">
        <f>ItensPedido!E1093</f>
        <v/>
      </c>
      <c r="F1093" s="25">
        <f>IFERROR(INDEX(Pedidos!$B$2:$B$1801,MATCH(B1093,Pedidos!$A$2:$A$1801,0)),0)</f>
        <v/>
      </c>
      <c r="G1093" s="25">
        <f>IF(F1093=0,"",YEAR(F1093))</f>
        <v/>
      </c>
      <c r="H1093" s="25">
        <f>IF(F1093=0,"",MONTH(F1093))</f>
        <v/>
      </c>
      <c r="I1093" s="25">
        <f>IFERROR(INDEX(Pedidos!$E$2:$E$1801,MATCH(B1093,Pedidos!$A$2:$A$1801,0)),"")</f>
        <v/>
      </c>
      <c r="J1093" s="25">
        <f>IFERROR(INDEX(Pedidos!$C$2:$C$1801,MATCH(B1093,Pedidos!$A$2:$A$1801,0)),"")</f>
        <v/>
      </c>
      <c r="K1093" s="25">
        <f>IFERROR(INDEX(Pedidos!$D$2:$D$1801,MATCH(B1093,Pedidos!$A$2:$A$1801,0)),"")</f>
        <v/>
      </c>
      <c r="L1093" s="25">
        <f>IFERROR(INDEX(Pedidos!$F$2:$F$1801,MATCH(B1093,Pedidos!$A$2:$A$1801,0)),"")</f>
        <v/>
      </c>
      <c r="M1093" s="26">
        <f>IFERROR(INDEX(Pedidos!$G$2:$G$1801,MATCH(B1093,Pedidos!$A$2:$A$1801,0)),0)</f>
        <v/>
      </c>
      <c r="N1093" s="25">
        <f>IFERROR(INDEX(Produtos!$B$2:$B$71,MATCH(C1093,Produtos!$A$2:$A$71,0)),"")</f>
        <v/>
      </c>
      <c r="O1093" s="25">
        <f>IFERROR(INDEX(Produtos!$C$2:$C$71,MATCH(C1093,Produtos!$A$2:$A$71,0)),"")</f>
        <v/>
      </c>
      <c r="P1093" s="25">
        <f>IFERROR(INDEX(Produtos!$D$2:$D$71,MATCH(C1093,Produtos!$A$2:$A$71,0)),0)</f>
        <v/>
      </c>
      <c r="Q1093" s="25">
        <f>IFERROR(INDEX(Produtos!$E$2:$E$71,MATCH(C1093,Produtos!$A$2:$A$71,0)),0)</f>
        <v/>
      </c>
      <c r="R1093" s="27">
        <f>D1093*Q1093</f>
        <v/>
      </c>
      <c r="S1093" s="27">
        <f>R1093*E1093</f>
        <v/>
      </c>
      <c r="T1093" s="27">
        <f>(R1093-S1093)*M1093</f>
        <v/>
      </c>
      <c r="U1093" s="27">
        <f>R1093-S1093-T1093</f>
        <v/>
      </c>
      <c r="V1093" s="27">
        <f>D1093*P1093</f>
        <v/>
      </c>
      <c r="W1093" s="27">
        <f>U1093-V1093</f>
        <v/>
      </c>
      <c r="X1093" s="28">
        <f>IFERROR(W1093/U1093,0)</f>
        <v/>
      </c>
    </row>
    <row r="1094">
      <c r="A1094" s="21">
        <f>ItensPedido!A1094</f>
        <v/>
      </c>
      <c r="B1094" s="21">
        <f>ItensPedido!B1094</f>
        <v/>
      </c>
      <c r="C1094" s="21">
        <f>ItensPedido!C1094</f>
        <v/>
      </c>
      <c r="D1094" s="21">
        <f>ItensPedido!D1094</f>
        <v/>
      </c>
      <c r="E1094" s="22">
        <f>ItensPedido!E1094</f>
        <v/>
      </c>
      <c r="F1094" s="21">
        <f>IFERROR(INDEX(Pedidos!$B$2:$B$1801,MATCH(B1094,Pedidos!$A$2:$A$1801,0)),0)</f>
        <v/>
      </c>
      <c r="G1094" s="21">
        <f>IF(F1094=0,"",YEAR(F1094))</f>
        <v/>
      </c>
      <c r="H1094" s="21">
        <f>IF(F1094=0,"",MONTH(F1094))</f>
        <v/>
      </c>
      <c r="I1094" s="21">
        <f>IFERROR(INDEX(Pedidos!$E$2:$E$1801,MATCH(B1094,Pedidos!$A$2:$A$1801,0)),"")</f>
        <v/>
      </c>
      <c r="J1094" s="21">
        <f>IFERROR(INDEX(Pedidos!$C$2:$C$1801,MATCH(B1094,Pedidos!$A$2:$A$1801,0)),"")</f>
        <v/>
      </c>
      <c r="K1094" s="21">
        <f>IFERROR(INDEX(Pedidos!$D$2:$D$1801,MATCH(B1094,Pedidos!$A$2:$A$1801,0)),"")</f>
        <v/>
      </c>
      <c r="L1094" s="21">
        <f>IFERROR(INDEX(Pedidos!$F$2:$F$1801,MATCH(B1094,Pedidos!$A$2:$A$1801,0)),"")</f>
        <v/>
      </c>
      <c r="M1094" s="22">
        <f>IFERROR(INDEX(Pedidos!$G$2:$G$1801,MATCH(B1094,Pedidos!$A$2:$A$1801,0)),0)</f>
        <v/>
      </c>
      <c r="N1094" s="21">
        <f>IFERROR(INDEX(Produtos!$B$2:$B$71,MATCH(C1094,Produtos!$A$2:$A$71,0)),"")</f>
        <v/>
      </c>
      <c r="O1094" s="21">
        <f>IFERROR(INDEX(Produtos!$C$2:$C$71,MATCH(C1094,Produtos!$A$2:$A$71,0)),"")</f>
        <v/>
      </c>
      <c r="P1094" s="21">
        <f>IFERROR(INDEX(Produtos!$D$2:$D$71,MATCH(C1094,Produtos!$A$2:$A$71,0)),0)</f>
        <v/>
      </c>
      <c r="Q1094" s="21">
        <f>IFERROR(INDEX(Produtos!$E$2:$E$71,MATCH(C1094,Produtos!$A$2:$A$71,0)),0)</f>
        <v/>
      </c>
      <c r="R1094" s="23">
        <f>D1094*Q1094</f>
        <v/>
      </c>
      <c r="S1094" s="23">
        <f>R1094*E1094</f>
        <v/>
      </c>
      <c r="T1094" s="23">
        <f>(R1094-S1094)*M1094</f>
        <v/>
      </c>
      <c r="U1094" s="23">
        <f>R1094-S1094-T1094</f>
        <v/>
      </c>
      <c r="V1094" s="23">
        <f>D1094*P1094</f>
        <v/>
      </c>
      <c r="W1094" s="23">
        <f>U1094-V1094</f>
        <v/>
      </c>
      <c r="X1094" s="24">
        <f>IFERROR(W1094/U1094,0)</f>
        <v/>
      </c>
    </row>
    <row r="1095">
      <c r="A1095" s="25">
        <f>ItensPedido!A1095</f>
        <v/>
      </c>
      <c r="B1095" s="25">
        <f>ItensPedido!B1095</f>
        <v/>
      </c>
      <c r="C1095" s="25">
        <f>ItensPedido!C1095</f>
        <v/>
      </c>
      <c r="D1095" s="25">
        <f>ItensPedido!D1095</f>
        <v/>
      </c>
      <c r="E1095" s="26">
        <f>ItensPedido!E1095</f>
        <v/>
      </c>
      <c r="F1095" s="25">
        <f>IFERROR(INDEX(Pedidos!$B$2:$B$1801,MATCH(B1095,Pedidos!$A$2:$A$1801,0)),0)</f>
        <v/>
      </c>
      <c r="G1095" s="25">
        <f>IF(F1095=0,"",YEAR(F1095))</f>
        <v/>
      </c>
      <c r="H1095" s="25">
        <f>IF(F1095=0,"",MONTH(F1095))</f>
        <v/>
      </c>
      <c r="I1095" s="25">
        <f>IFERROR(INDEX(Pedidos!$E$2:$E$1801,MATCH(B1095,Pedidos!$A$2:$A$1801,0)),"")</f>
        <v/>
      </c>
      <c r="J1095" s="25">
        <f>IFERROR(INDEX(Pedidos!$C$2:$C$1801,MATCH(B1095,Pedidos!$A$2:$A$1801,0)),"")</f>
        <v/>
      </c>
      <c r="K1095" s="25">
        <f>IFERROR(INDEX(Pedidos!$D$2:$D$1801,MATCH(B1095,Pedidos!$A$2:$A$1801,0)),"")</f>
        <v/>
      </c>
      <c r="L1095" s="25">
        <f>IFERROR(INDEX(Pedidos!$F$2:$F$1801,MATCH(B1095,Pedidos!$A$2:$A$1801,0)),"")</f>
        <v/>
      </c>
      <c r="M1095" s="26">
        <f>IFERROR(INDEX(Pedidos!$G$2:$G$1801,MATCH(B1095,Pedidos!$A$2:$A$1801,0)),0)</f>
        <v/>
      </c>
      <c r="N1095" s="25">
        <f>IFERROR(INDEX(Produtos!$B$2:$B$71,MATCH(C1095,Produtos!$A$2:$A$71,0)),"")</f>
        <v/>
      </c>
      <c r="O1095" s="25">
        <f>IFERROR(INDEX(Produtos!$C$2:$C$71,MATCH(C1095,Produtos!$A$2:$A$71,0)),"")</f>
        <v/>
      </c>
      <c r="P1095" s="25">
        <f>IFERROR(INDEX(Produtos!$D$2:$D$71,MATCH(C1095,Produtos!$A$2:$A$71,0)),0)</f>
        <v/>
      </c>
      <c r="Q1095" s="25">
        <f>IFERROR(INDEX(Produtos!$E$2:$E$71,MATCH(C1095,Produtos!$A$2:$A$71,0)),0)</f>
        <v/>
      </c>
      <c r="R1095" s="27">
        <f>D1095*Q1095</f>
        <v/>
      </c>
      <c r="S1095" s="27">
        <f>R1095*E1095</f>
        <v/>
      </c>
      <c r="T1095" s="27">
        <f>(R1095-S1095)*M1095</f>
        <v/>
      </c>
      <c r="U1095" s="27">
        <f>R1095-S1095-T1095</f>
        <v/>
      </c>
      <c r="V1095" s="27">
        <f>D1095*P1095</f>
        <v/>
      </c>
      <c r="W1095" s="27">
        <f>U1095-V1095</f>
        <v/>
      </c>
      <c r="X1095" s="28">
        <f>IFERROR(W1095/U1095,0)</f>
        <v/>
      </c>
    </row>
    <row r="1096">
      <c r="A1096" s="21">
        <f>ItensPedido!A1096</f>
        <v/>
      </c>
      <c r="B1096" s="21">
        <f>ItensPedido!B1096</f>
        <v/>
      </c>
      <c r="C1096" s="21">
        <f>ItensPedido!C1096</f>
        <v/>
      </c>
      <c r="D1096" s="21">
        <f>ItensPedido!D1096</f>
        <v/>
      </c>
      <c r="E1096" s="22">
        <f>ItensPedido!E1096</f>
        <v/>
      </c>
      <c r="F1096" s="21">
        <f>IFERROR(INDEX(Pedidos!$B$2:$B$1801,MATCH(B1096,Pedidos!$A$2:$A$1801,0)),0)</f>
        <v/>
      </c>
      <c r="G1096" s="21">
        <f>IF(F1096=0,"",YEAR(F1096))</f>
        <v/>
      </c>
      <c r="H1096" s="21">
        <f>IF(F1096=0,"",MONTH(F1096))</f>
        <v/>
      </c>
      <c r="I1096" s="21">
        <f>IFERROR(INDEX(Pedidos!$E$2:$E$1801,MATCH(B1096,Pedidos!$A$2:$A$1801,0)),"")</f>
        <v/>
      </c>
      <c r="J1096" s="21">
        <f>IFERROR(INDEX(Pedidos!$C$2:$C$1801,MATCH(B1096,Pedidos!$A$2:$A$1801,0)),"")</f>
        <v/>
      </c>
      <c r="K1096" s="21">
        <f>IFERROR(INDEX(Pedidos!$D$2:$D$1801,MATCH(B1096,Pedidos!$A$2:$A$1801,0)),"")</f>
        <v/>
      </c>
      <c r="L1096" s="21">
        <f>IFERROR(INDEX(Pedidos!$F$2:$F$1801,MATCH(B1096,Pedidos!$A$2:$A$1801,0)),"")</f>
        <v/>
      </c>
      <c r="M1096" s="22">
        <f>IFERROR(INDEX(Pedidos!$G$2:$G$1801,MATCH(B1096,Pedidos!$A$2:$A$1801,0)),0)</f>
        <v/>
      </c>
      <c r="N1096" s="21">
        <f>IFERROR(INDEX(Produtos!$B$2:$B$71,MATCH(C1096,Produtos!$A$2:$A$71,0)),"")</f>
        <v/>
      </c>
      <c r="O1096" s="21">
        <f>IFERROR(INDEX(Produtos!$C$2:$C$71,MATCH(C1096,Produtos!$A$2:$A$71,0)),"")</f>
        <v/>
      </c>
      <c r="P1096" s="21">
        <f>IFERROR(INDEX(Produtos!$D$2:$D$71,MATCH(C1096,Produtos!$A$2:$A$71,0)),0)</f>
        <v/>
      </c>
      <c r="Q1096" s="21">
        <f>IFERROR(INDEX(Produtos!$E$2:$E$71,MATCH(C1096,Produtos!$A$2:$A$71,0)),0)</f>
        <v/>
      </c>
      <c r="R1096" s="23">
        <f>D1096*Q1096</f>
        <v/>
      </c>
      <c r="S1096" s="23">
        <f>R1096*E1096</f>
        <v/>
      </c>
      <c r="T1096" s="23">
        <f>(R1096-S1096)*M1096</f>
        <v/>
      </c>
      <c r="U1096" s="23">
        <f>R1096-S1096-T1096</f>
        <v/>
      </c>
      <c r="V1096" s="23">
        <f>D1096*P1096</f>
        <v/>
      </c>
      <c r="W1096" s="23">
        <f>U1096-V1096</f>
        <v/>
      </c>
      <c r="X1096" s="24">
        <f>IFERROR(W1096/U1096,0)</f>
        <v/>
      </c>
    </row>
    <row r="1097">
      <c r="A1097" s="25">
        <f>ItensPedido!A1097</f>
        <v/>
      </c>
      <c r="B1097" s="25">
        <f>ItensPedido!B1097</f>
        <v/>
      </c>
      <c r="C1097" s="25">
        <f>ItensPedido!C1097</f>
        <v/>
      </c>
      <c r="D1097" s="25">
        <f>ItensPedido!D1097</f>
        <v/>
      </c>
      <c r="E1097" s="26">
        <f>ItensPedido!E1097</f>
        <v/>
      </c>
      <c r="F1097" s="25">
        <f>IFERROR(INDEX(Pedidos!$B$2:$B$1801,MATCH(B1097,Pedidos!$A$2:$A$1801,0)),0)</f>
        <v/>
      </c>
      <c r="G1097" s="25">
        <f>IF(F1097=0,"",YEAR(F1097))</f>
        <v/>
      </c>
      <c r="H1097" s="25">
        <f>IF(F1097=0,"",MONTH(F1097))</f>
        <v/>
      </c>
      <c r="I1097" s="25">
        <f>IFERROR(INDEX(Pedidos!$E$2:$E$1801,MATCH(B1097,Pedidos!$A$2:$A$1801,0)),"")</f>
        <v/>
      </c>
      <c r="J1097" s="25">
        <f>IFERROR(INDEX(Pedidos!$C$2:$C$1801,MATCH(B1097,Pedidos!$A$2:$A$1801,0)),"")</f>
        <v/>
      </c>
      <c r="K1097" s="25">
        <f>IFERROR(INDEX(Pedidos!$D$2:$D$1801,MATCH(B1097,Pedidos!$A$2:$A$1801,0)),"")</f>
        <v/>
      </c>
      <c r="L1097" s="25">
        <f>IFERROR(INDEX(Pedidos!$F$2:$F$1801,MATCH(B1097,Pedidos!$A$2:$A$1801,0)),"")</f>
        <v/>
      </c>
      <c r="M1097" s="26">
        <f>IFERROR(INDEX(Pedidos!$G$2:$G$1801,MATCH(B1097,Pedidos!$A$2:$A$1801,0)),0)</f>
        <v/>
      </c>
      <c r="N1097" s="25">
        <f>IFERROR(INDEX(Produtos!$B$2:$B$71,MATCH(C1097,Produtos!$A$2:$A$71,0)),"")</f>
        <v/>
      </c>
      <c r="O1097" s="25">
        <f>IFERROR(INDEX(Produtos!$C$2:$C$71,MATCH(C1097,Produtos!$A$2:$A$71,0)),"")</f>
        <v/>
      </c>
      <c r="P1097" s="25">
        <f>IFERROR(INDEX(Produtos!$D$2:$D$71,MATCH(C1097,Produtos!$A$2:$A$71,0)),0)</f>
        <v/>
      </c>
      <c r="Q1097" s="25">
        <f>IFERROR(INDEX(Produtos!$E$2:$E$71,MATCH(C1097,Produtos!$A$2:$A$71,0)),0)</f>
        <v/>
      </c>
      <c r="R1097" s="27">
        <f>D1097*Q1097</f>
        <v/>
      </c>
      <c r="S1097" s="27">
        <f>R1097*E1097</f>
        <v/>
      </c>
      <c r="T1097" s="27">
        <f>(R1097-S1097)*M1097</f>
        <v/>
      </c>
      <c r="U1097" s="27">
        <f>R1097-S1097-T1097</f>
        <v/>
      </c>
      <c r="V1097" s="27">
        <f>D1097*P1097</f>
        <v/>
      </c>
      <c r="W1097" s="27">
        <f>U1097-V1097</f>
        <v/>
      </c>
      <c r="X1097" s="28">
        <f>IFERROR(W1097/U1097,0)</f>
        <v/>
      </c>
    </row>
    <row r="1098">
      <c r="A1098" s="21">
        <f>ItensPedido!A1098</f>
        <v/>
      </c>
      <c r="B1098" s="21">
        <f>ItensPedido!B1098</f>
        <v/>
      </c>
      <c r="C1098" s="21">
        <f>ItensPedido!C1098</f>
        <v/>
      </c>
      <c r="D1098" s="21">
        <f>ItensPedido!D1098</f>
        <v/>
      </c>
      <c r="E1098" s="22">
        <f>ItensPedido!E1098</f>
        <v/>
      </c>
      <c r="F1098" s="21">
        <f>IFERROR(INDEX(Pedidos!$B$2:$B$1801,MATCH(B1098,Pedidos!$A$2:$A$1801,0)),0)</f>
        <v/>
      </c>
      <c r="G1098" s="21">
        <f>IF(F1098=0,"",YEAR(F1098))</f>
        <v/>
      </c>
      <c r="H1098" s="21">
        <f>IF(F1098=0,"",MONTH(F1098))</f>
        <v/>
      </c>
      <c r="I1098" s="21">
        <f>IFERROR(INDEX(Pedidos!$E$2:$E$1801,MATCH(B1098,Pedidos!$A$2:$A$1801,0)),"")</f>
        <v/>
      </c>
      <c r="J1098" s="21">
        <f>IFERROR(INDEX(Pedidos!$C$2:$C$1801,MATCH(B1098,Pedidos!$A$2:$A$1801,0)),"")</f>
        <v/>
      </c>
      <c r="K1098" s="21">
        <f>IFERROR(INDEX(Pedidos!$D$2:$D$1801,MATCH(B1098,Pedidos!$A$2:$A$1801,0)),"")</f>
        <v/>
      </c>
      <c r="L1098" s="21">
        <f>IFERROR(INDEX(Pedidos!$F$2:$F$1801,MATCH(B1098,Pedidos!$A$2:$A$1801,0)),"")</f>
        <v/>
      </c>
      <c r="M1098" s="22">
        <f>IFERROR(INDEX(Pedidos!$G$2:$G$1801,MATCH(B1098,Pedidos!$A$2:$A$1801,0)),0)</f>
        <v/>
      </c>
      <c r="N1098" s="21">
        <f>IFERROR(INDEX(Produtos!$B$2:$B$71,MATCH(C1098,Produtos!$A$2:$A$71,0)),"")</f>
        <v/>
      </c>
      <c r="O1098" s="21">
        <f>IFERROR(INDEX(Produtos!$C$2:$C$71,MATCH(C1098,Produtos!$A$2:$A$71,0)),"")</f>
        <v/>
      </c>
      <c r="P1098" s="21">
        <f>IFERROR(INDEX(Produtos!$D$2:$D$71,MATCH(C1098,Produtos!$A$2:$A$71,0)),0)</f>
        <v/>
      </c>
      <c r="Q1098" s="21">
        <f>IFERROR(INDEX(Produtos!$E$2:$E$71,MATCH(C1098,Produtos!$A$2:$A$71,0)),0)</f>
        <v/>
      </c>
      <c r="R1098" s="23">
        <f>D1098*Q1098</f>
        <v/>
      </c>
      <c r="S1098" s="23">
        <f>R1098*E1098</f>
        <v/>
      </c>
      <c r="T1098" s="23">
        <f>(R1098-S1098)*M1098</f>
        <v/>
      </c>
      <c r="U1098" s="23">
        <f>R1098-S1098-T1098</f>
        <v/>
      </c>
      <c r="V1098" s="23">
        <f>D1098*P1098</f>
        <v/>
      </c>
      <c r="W1098" s="23">
        <f>U1098-V1098</f>
        <v/>
      </c>
      <c r="X1098" s="24">
        <f>IFERROR(W1098/U1098,0)</f>
        <v/>
      </c>
    </row>
    <row r="1099">
      <c r="A1099" s="25">
        <f>ItensPedido!A1099</f>
        <v/>
      </c>
      <c r="B1099" s="25">
        <f>ItensPedido!B1099</f>
        <v/>
      </c>
      <c r="C1099" s="25">
        <f>ItensPedido!C1099</f>
        <v/>
      </c>
      <c r="D1099" s="25">
        <f>ItensPedido!D1099</f>
        <v/>
      </c>
      <c r="E1099" s="26">
        <f>ItensPedido!E1099</f>
        <v/>
      </c>
      <c r="F1099" s="25">
        <f>IFERROR(INDEX(Pedidos!$B$2:$B$1801,MATCH(B1099,Pedidos!$A$2:$A$1801,0)),0)</f>
        <v/>
      </c>
      <c r="G1099" s="25">
        <f>IF(F1099=0,"",YEAR(F1099))</f>
        <v/>
      </c>
      <c r="H1099" s="25">
        <f>IF(F1099=0,"",MONTH(F1099))</f>
        <v/>
      </c>
      <c r="I1099" s="25">
        <f>IFERROR(INDEX(Pedidos!$E$2:$E$1801,MATCH(B1099,Pedidos!$A$2:$A$1801,0)),"")</f>
        <v/>
      </c>
      <c r="J1099" s="25">
        <f>IFERROR(INDEX(Pedidos!$C$2:$C$1801,MATCH(B1099,Pedidos!$A$2:$A$1801,0)),"")</f>
        <v/>
      </c>
      <c r="K1099" s="25">
        <f>IFERROR(INDEX(Pedidos!$D$2:$D$1801,MATCH(B1099,Pedidos!$A$2:$A$1801,0)),"")</f>
        <v/>
      </c>
      <c r="L1099" s="25">
        <f>IFERROR(INDEX(Pedidos!$F$2:$F$1801,MATCH(B1099,Pedidos!$A$2:$A$1801,0)),"")</f>
        <v/>
      </c>
      <c r="M1099" s="26">
        <f>IFERROR(INDEX(Pedidos!$G$2:$G$1801,MATCH(B1099,Pedidos!$A$2:$A$1801,0)),0)</f>
        <v/>
      </c>
      <c r="N1099" s="25">
        <f>IFERROR(INDEX(Produtos!$B$2:$B$71,MATCH(C1099,Produtos!$A$2:$A$71,0)),"")</f>
        <v/>
      </c>
      <c r="O1099" s="25">
        <f>IFERROR(INDEX(Produtos!$C$2:$C$71,MATCH(C1099,Produtos!$A$2:$A$71,0)),"")</f>
        <v/>
      </c>
      <c r="P1099" s="25">
        <f>IFERROR(INDEX(Produtos!$D$2:$D$71,MATCH(C1099,Produtos!$A$2:$A$71,0)),0)</f>
        <v/>
      </c>
      <c r="Q1099" s="25">
        <f>IFERROR(INDEX(Produtos!$E$2:$E$71,MATCH(C1099,Produtos!$A$2:$A$71,0)),0)</f>
        <v/>
      </c>
      <c r="R1099" s="27">
        <f>D1099*Q1099</f>
        <v/>
      </c>
      <c r="S1099" s="27">
        <f>R1099*E1099</f>
        <v/>
      </c>
      <c r="T1099" s="27">
        <f>(R1099-S1099)*M1099</f>
        <v/>
      </c>
      <c r="U1099" s="27">
        <f>R1099-S1099-T1099</f>
        <v/>
      </c>
      <c r="V1099" s="27">
        <f>D1099*P1099</f>
        <v/>
      </c>
      <c r="W1099" s="27">
        <f>U1099-V1099</f>
        <v/>
      </c>
      <c r="X1099" s="28">
        <f>IFERROR(W1099/U1099,0)</f>
        <v/>
      </c>
    </row>
    <row r="1100">
      <c r="A1100" s="21">
        <f>ItensPedido!A1100</f>
        <v/>
      </c>
      <c r="B1100" s="21">
        <f>ItensPedido!B1100</f>
        <v/>
      </c>
      <c r="C1100" s="21">
        <f>ItensPedido!C1100</f>
        <v/>
      </c>
      <c r="D1100" s="21">
        <f>ItensPedido!D1100</f>
        <v/>
      </c>
      <c r="E1100" s="22">
        <f>ItensPedido!E1100</f>
        <v/>
      </c>
      <c r="F1100" s="21">
        <f>IFERROR(INDEX(Pedidos!$B$2:$B$1801,MATCH(B1100,Pedidos!$A$2:$A$1801,0)),0)</f>
        <v/>
      </c>
      <c r="G1100" s="21">
        <f>IF(F1100=0,"",YEAR(F1100))</f>
        <v/>
      </c>
      <c r="H1100" s="21">
        <f>IF(F1100=0,"",MONTH(F1100))</f>
        <v/>
      </c>
      <c r="I1100" s="21">
        <f>IFERROR(INDEX(Pedidos!$E$2:$E$1801,MATCH(B1100,Pedidos!$A$2:$A$1801,0)),"")</f>
        <v/>
      </c>
      <c r="J1100" s="21">
        <f>IFERROR(INDEX(Pedidos!$C$2:$C$1801,MATCH(B1100,Pedidos!$A$2:$A$1801,0)),"")</f>
        <v/>
      </c>
      <c r="K1100" s="21">
        <f>IFERROR(INDEX(Pedidos!$D$2:$D$1801,MATCH(B1100,Pedidos!$A$2:$A$1801,0)),"")</f>
        <v/>
      </c>
      <c r="L1100" s="21">
        <f>IFERROR(INDEX(Pedidos!$F$2:$F$1801,MATCH(B1100,Pedidos!$A$2:$A$1801,0)),"")</f>
        <v/>
      </c>
      <c r="M1100" s="22">
        <f>IFERROR(INDEX(Pedidos!$G$2:$G$1801,MATCH(B1100,Pedidos!$A$2:$A$1801,0)),0)</f>
        <v/>
      </c>
      <c r="N1100" s="21">
        <f>IFERROR(INDEX(Produtos!$B$2:$B$71,MATCH(C1100,Produtos!$A$2:$A$71,0)),"")</f>
        <v/>
      </c>
      <c r="O1100" s="21">
        <f>IFERROR(INDEX(Produtos!$C$2:$C$71,MATCH(C1100,Produtos!$A$2:$A$71,0)),"")</f>
        <v/>
      </c>
      <c r="P1100" s="21">
        <f>IFERROR(INDEX(Produtos!$D$2:$D$71,MATCH(C1100,Produtos!$A$2:$A$71,0)),0)</f>
        <v/>
      </c>
      <c r="Q1100" s="21">
        <f>IFERROR(INDEX(Produtos!$E$2:$E$71,MATCH(C1100,Produtos!$A$2:$A$71,0)),0)</f>
        <v/>
      </c>
      <c r="R1100" s="23">
        <f>D1100*Q1100</f>
        <v/>
      </c>
      <c r="S1100" s="23">
        <f>R1100*E1100</f>
        <v/>
      </c>
      <c r="T1100" s="23">
        <f>(R1100-S1100)*M1100</f>
        <v/>
      </c>
      <c r="U1100" s="23">
        <f>R1100-S1100-T1100</f>
        <v/>
      </c>
      <c r="V1100" s="23">
        <f>D1100*P1100</f>
        <v/>
      </c>
      <c r="W1100" s="23">
        <f>U1100-V1100</f>
        <v/>
      </c>
      <c r="X1100" s="24">
        <f>IFERROR(W1100/U1100,0)</f>
        <v/>
      </c>
    </row>
    <row r="1101">
      <c r="A1101" s="25">
        <f>ItensPedido!A1101</f>
        <v/>
      </c>
      <c r="B1101" s="25">
        <f>ItensPedido!B1101</f>
        <v/>
      </c>
      <c r="C1101" s="25">
        <f>ItensPedido!C1101</f>
        <v/>
      </c>
      <c r="D1101" s="25">
        <f>ItensPedido!D1101</f>
        <v/>
      </c>
      <c r="E1101" s="26">
        <f>ItensPedido!E1101</f>
        <v/>
      </c>
      <c r="F1101" s="25">
        <f>IFERROR(INDEX(Pedidos!$B$2:$B$1801,MATCH(B1101,Pedidos!$A$2:$A$1801,0)),0)</f>
        <v/>
      </c>
      <c r="G1101" s="25">
        <f>IF(F1101=0,"",YEAR(F1101))</f>
        <v/>
      </c>
      <c r="H1101" s="25">
        <f>IF(F1101=0,"",MONTH(F1101))</f>
        <v/>
      </c>
      <c r="I1101" s="25">
        <f>IFERROR(INDEX(Pedidos!$E$2:$E$1801,MATCH(B1101,Pedidos!$A$2:$A$1801,0)),"")</f>
        <v/>
      </c>
      <c r="J1101" s="25">
        <f>IFERROR(INDEX(Pedidos!$C$2:$C$1801,MATCH(B1101,Pedidos!$A$2:$A$1801,0)),"")</f>
        <v/>
      </c>
      <c r="K1101" s="25">
        <f>IFERROR(INDEX(Pedidos!$D$2:$D$1801,MATCH(B1101,Pedidos!$A$2:$A$1801,0)),"")</f>
        <v/>
      </c>
      <c r="L1101" s="25">
        <f>IFERROR(INDEX(Pedidos!$F$2:$F$1801,MATCH(B1101,Pedidos!$A$2:$A$1801,0)),"")</f>
        <v/>
      </c>
      <c r="M1101" s="26">
        <f>IFERROR(INDEX(Pedidos!$G$2:$G$1801,MATCH(B1101,Pedidos!$A$2:$A$1801,0)),0)</f>
        <v/>
      </c>
      <c r="N1101" s="25">
        <f>IFERROR(INDEX(Produtos!$B$2:$B$71,MATCH(C1101,Produtos!$A$2:$A$71,0)),"")</f>
        <v/>
      </c>
      <c r="O1101" s="25">
        <f>IFERROR(INDEX(Produtos!$C$2:$C$71,MATCH(C1101,Produtos!$A$2:$A$71,0)),"")</f>
        <v/>
      </c>
      <c r="P1101" s="25">
        <f>IFERROR(INDEX(Produtos!$D$2:$D$71,MATCH(C1101,Produtos!$A$2:$A$71,0)),0)</f>
        <v/>
      </c>
      <c r="Q1101" s="25">
        <f>IFERROR(INDEX(Produtos!$E$2:$E$71,MATCH(C1101,Produtos!$A$2:$A$71,0)),0)</f>
        <v/>
      </c>
      <c r="R1101" s="27">
        <f>D1101*Q1101</f>
        <v/>
      </c>
      <c r="S1101" s="27">
        <f>R1101*E1101</f>
        <v/>
      </c>
      <c r="T1101" s="27">
        <f>(R1101-S1101)*M1101</f>
        <v/>
      </c>
      <c r="U1101" s="27">
        <f>R1101-S1101-T1101</f>
        <v/>
      </c>
      <c r="V1101" s="27">
        <f>D1101*P1101</f>
        <v/>
      </c>
      <c r="W1101" s="27">
        <f>U1101-V1101</f>
        <v/>
      </c>
      <c r="X1101" s="28">
        <f>IFERROR(W1101/U1101,0)</f>
        <v/>
      </c>
    </row>
    <row r="1102">
      <c r="A1102" s="21">
        <f>ItensPedido!A1102</f>
        <v/>
      </c>
      <c r="B1102" s="21">
        <f>ItensPedido!B1102</f>
        <v/>
      </c>
      <c r="C1102" s="21">
        <f>ItensPedido!C1102</f>
        <v/>
      </c>
      <c r="D1102" s="21">
        <f>ItensPedido!D1102</f>
        <v/>
      </c>
      <c r="E1102" s="22">
        <f>ItensPedido!E1102</f>
        <v/>
      </c>
      <c r="F1102" s="21">
        <f>IFERROR(INDEX(Pedidos!$B$2:$B$1801,MATCH(B1102,Pedidos!$A$2:$A$1801,0)),0)</f>
        <v/>
      </c>
      <c r="G1102" s="21">
        <f>IF(F1102=0,"",YEAR(F1102))</f>
        <v/>
      </c>
      <c r="H1102" s="21">
        <f>IF(F1102=0,"",MONTH(F1102))</f>
        <v/>
      </c>
      <c r="I1102" s="21">
        <f>IFERROR(INDEX(Pedidos!$E$2:$E$1801,MATCH(B1102,Pedidos!$A$2:$A$1801,0)),"")</f>
        <v/>
      </c>
      <c r="J1102" s="21">
        <f>IFERROR(INDEX(Pedidos!$C$2:$C$1801,MATCH(B1102,Pedidos!$A$2:$A$1801,0)),"")</f>
        <v/>
      </c>
      <c r="K1102" s="21">
        <f>IFERROR(INDEX(Pedidos!$D$2:$D$1801,MATCH(B1102,Pedidos!$A$2:$A$1801,0)),"")</f>
        <v/>
      </c>
      <c r="L1102" s="21">
        <f>IFERROR(INDEX(Pedidos!$F$2:$F$1801,MATCH(B1102,Pedidos!$A$2:$A$1801,0)),"")</f>
        <v/>
      </c>
      <c r="M1102" s="22">
        <f>IFERROR(INDEX(Pedidos!$G$2:$G$1801,MATCH(B1102,Pedidos!$A$2:$A$1801,0)),0)</f>
        <v/>
      </c>
      <c r="N1102" s="21">
        <f>IFERROR(INDEX(Produtos!$B$2:$B$71,MATCH(C1102,Produtos!$A$2:$A$71,0)),"")</f>
        <v/>
      </c>
      <c r="O1102" s="21">
        <f>IFERROR(INDEX(Produtos!$C$2:$C$71,MATCH(C1102,Produtos!$A$2:$A$71,0)),"")</f>
        <v/>
      </c>
      <c r="P1102" s="21">
        <f>IFERROR(INDEX(Produtos!$D$2:$D$71,MATCH(C1102,Produtos!$A$2:$A$71,0)),0)</f>
        <v/>
      </c>
      <c r="Q1102" s="21">
        <f>IFERROR(INDEX(Produtos!$E$2:$E$71,MATCH(C1102,Produtos!$A$2:$A$71,0)),0)</f>
        <v/>
      </c>
      <c r="R1102" s="23">
        <f>D1102*Q1102</f>
        <v/>
      </c>
      <c r="S1102" s="23">
        <f>R1102*E1102</f>
        <v/>
      </c>
      <c r="T1102" s="23">
        <f>(R1102-S1102)*M1102</f>
        <v/>
      </c>
      <c r="U1102" s="23">
        <f>R1102-S1102-T1102</f>
        <v/>
      </c>
      <c r="V1102" s="23">
        <f>D1102*P1102</f>
        <v/>
      </c>
      <c r="W1102" s="23">
        <f>U1102-V1102</f>
        <v/>
      </c>
      <c r="X1102" s="24">
        <f>IFERROR(W1102/U1102,0)</f>
        <v/>
      </c>
    </row>
    <row r="1103">
      <c r="A1103" s="25">
        <f>ItensPedido!A1103</f>
        <v/>
      </c>
      <c r="B1103" s="25">
        <f>ItensPedido!B1103</f>
        <v/>
      </c>
      <c r="C1103" s="25">
        <f>ItensPedido!C1103</f>
        <v/>
      </c>
      <c r="D1103" s="25">
        <f>ItensPedido!D1103</f>
        <v/>
      </c>
      <c r="E1103" s="26">
        <f>ItensPedido!E1103</f>
        <v/>
      </c>
      <c r="F1103" s="25">
        <f>IFERROR(INDEX(Pedidos!$B$2:$B$1801,MATCH(B1103,Pedidos!$A$2:$A$1801,0)),0)</f>
        <v/>
      </c>
      <c r="G1103" s="25">
        <f>IF(F1103=0,"",YEAR(F1103))</f>
        <v/>
      </c>
      <c r="H1103" s="25">
        <f>IF(F1103=0,"",MONTH(F1103))</f>
        <v/>
      </c>
      <c r="I1103" s="25">
        <f>IFERROR(INDEX(Pedidos!$E$2:$E$1801,MATCH(B1103,Pedidos!$A$2:$A$1801,0)),"")</f>
        <v/>
      </c>
      <c r="J1103" s="25">
        <f>IFERROR(INDEX(Pedidos!$C$2:$C$1801,MATCH(B1103,Pedidos!$A$2:$A$1801,0)),"")</f>
        <v/>
      </c>
      <c r="K1103" s="25">
        <f>IFERROR(INDEX(Pedidos!$D$2:$D$1801,MATCH(B1103,Pedidos!$A$2:$A$1801,0)),"")</f>
        <v/>
      </c>
      <c r="L1103" s="25">
        <f>IFERROR(INDEX(Pedidos!$F$2:$F$1801,MATCH(B1103,Pedidos!$A$2:$A$1801,0)),"")</f>
        <v/>
      </c>
      <c r="M1103" s="26">
        <f>IFERROR(INDEX(Pedidos!$G$2:$G$1801,MATCH(B1103,Pedidos!$A$2:$A$1801,0)),0)</f>
        <v/>
      </c>
      <c r="N1103" s="25">
        <f>IFERROR(INDEX(Produtos!$B$2:$B$71,MATCH(C1103,Produtos!$A$2:$A$71,0)),"")</f>
        <v/>
      </c>
      <c r="O1103" s="25">
        <f>IFERROR(INDEX(Produtos!$C$2:$C$71,MATCH(C1103,Produtos!$A$2:$A$71,0)),"")</f>
        <v/>
      </c>
      <c r="P1103" s="25">
        <f>IFERROR(INDEX(Produtos!$D$2:$D$71,MATCH(C1103,Produtos!$A$2:$A$71,0)),0)</f>
        <v/>
      </c>
      <c r="Q1103" s="25">
        <f>IFERROR(INDEX(Produtos!$E$2:$E$71,MATCH(C1103,Produtos!$A$2:$A$71,0)),0)</f>
        <v/>
      </c>
      <c r="R1103" s="27">
        <f>D1103*Q1103</f>
        <v/>
      </c>
      <c r="S1103" s="27">
        <f>R1103*E1103</f>
        <v/>
      </c>
      <c r="T1103" s="27">
        <f>(R1103-S1103)*M1103</f>
        <v/>
      </c>
      <c r="U1103" s="27">
        <f>R1103-S1103-T1103</f>
        <v/>
      </c>
      <c r="V1103" s="27">
        <f>D1103*P1103</f>
        <v/>
      </c>
      <c r="W1103" s="27">
        <f>U1103-V1103</f>
        <v/>
      </c>
      <c r="X1103" s="28">
        <f>IFERROR(W1103/U1103,0)</f>
        <v/>
      </c>
    </row>
    <row r="1104">
      <c r="A1104" s="21">
        <f>ItensPedido!A1104</f>
        <v/>
      </c>
      <c r="B1104" s="21">
        <f>ItensPedido!B1104</f>
        <v/>
      </c>
      <c r="C1104" s="21">
        <f>ItensPedido!C1104</f>
        <v/>
      </c>
      <c r="D1104" s="21">
        <f>ItensPedido!D1104</f>
        <v/>
      </c>
      <c r="E1104" s="22">
        <f>ItensPedido!E1104</f>
        <v/>
      </c>
      <c r="F1104" s="21">
        <f>IFERROR(INDEX(Pedidos!$B$2:$B$1801,MATCH(B1104,Pedidos!$A$2:$A$1801,0)),0)</f>
        <v/>
      </c>
      <c r="G1104" s="21">
        <f>IF(F1104=0,"",YEAR(F1104))</f>
        <v/>
      </c>
      <c r="H1104" s="21">
        <f>IF(F1104=0,"",MONTH(F1104))</f>
        <v/>
      </c>
      <c r="I1104" s="21">
        <f>IFERROR(INDEX(Pedidos!$E$2:$E$1801,MATCH(B1104,Pedidos!$A$2:$A$1801,0)),"")</f>
        <v/>
      </c>
      <c r="J1104" s="21">
        <f>IFERROR(INDEX(Pedidos!$C$2:$C$1801,MATCH(B1104,Pedidos!$A$2:$A$1801,0)),"")</f>
        <v/>
      </c>
      <c r="K1104" s="21">
        <f>IFERROR(INDEX(Pedidos!$D$2:$D$1801,MATCH(B1104,Pedidos!$A$2:$A$1801,0)),"")</f>
        <v/>
      </c>
      <c r="L1104" s="21">
        <f>IFERROR(INDEX(Pedidos!$F$2:$F$1801,MATCH(B1104,Pedidos!$A$2:$A$1801,0)),"")</f>
        <v/>
      </c>
      <c r="M1104" s="22">
        <f>IFERROR(INDEX(Pedidos!$G$2:$G$1801,MATCH(B1104,Pedidos!$A$2:$A$1801,0)),0)</f>
        <v/>
      </c>
      <c r="N1104" s="21">
        <f>IFERROR(INDEX(Produtos!$B$2:$B$71,MATCH(C1104,Produtos!$A$2:$A$71,0)),"")</f>
        <v/>
      </c>
      <c r="O1104" s="21">
        <f>IFERROR(INDEX(Produtos!$C$2:$C$71,MATCH(C1104,Produtos!$A$2:$A$71,0)),"")</f>
        <v/>
      </c>
      <c r="P1104" s="21">
        <f>IFERROR(INDEX(Produtos!$D$2:$D$71,MATCH(C1104,Produtos!$A$2:$A$71,0)),0)</f>
        <v/>
      </c>
      <c r="Q1104" s="21">
        <f>IFERROR(INDEX(Produtos!$E$2:$E$71,MATCH(C1104,Produtos!$A$2:$A$71,0)),0)</f>
        <v/>
      </c>
      <c r="R1104" s="23">
        <f>D1104*Q1104</f>
        <v/>
      </c>
      <c r="S1104" s="23">
        <f>R1104*E1104</f>
        <v/>
      </c>
      <c r="T1104" s="23">
        <f>(R1104-S1104)*M1104</f>
        <v/>
      </c>
      <c r="U1104" s="23">
        <f>R1104-S1104-T1104</f>
        <v/>
      </c>
      <c r="V1104" s="23">
        <f>D1104*P1104</f>
        <v/>
      </c>
      <c r="W1104" s="23">
        <f>U1104-V1104</f>
        <v/>
      </c>
      <c r="X1104" s="24">
        <f>IFERROR(W1104/U1104,0)</f>
        <v/>
      </c>
    </row>
    <row r="1105">
      <c r="A1105" s="25">
        <f>ItensPedido!A1105</f>
        <v/>
      </c>
      <c r="B1105" s="25">
        <f>ItensPedido!B1105</f>
        <v/>
      </c>
      <c r="C1105" s="25">
        <f>ItensPedido!C1105</f>
        <v/>
      </c>
      <c r="D1105" s="25">
        <f>ItensPedido!D1105</f>
        <v/>
      </c>
      <c r="E1105" s="26">
        <f>ItensPedido!E1105</f>
        <v/>
      </c>
      <c r="F1105" s="25">
        <f>IFERROR(INDEX(Pedidos!$B$2:$B$1801,MATCH(B1105,Pedidos!$A$2:$A$1801,0)),0)</f>
        <v/>
      </c>
      <c r="G1105" s="25">
        <f>IF(F1105=0,"",YEAR(F1105))</f>
        <v/>
      </c>
      <c r="H1105" s="25">
        <f>IF(F1105=0,"",MONTH(F1105))</f>
        <v/>
      </c>
      <c r="I1105" s="25">
        <f>IFERROR(INDEX(Pedidos!$E$2:$E$1801,MATCH(B1105,Pedidos!$A$2:$A$1801,0)),"")</f>
        <v/>
      </c>
      <c r="J1105" s="25">
        <f>IFERROR(INDEX(Pedidos!$C$2:$C$1801,MATCH(B1105,Pedidos!$A$2:$A$1801,0)),"")</f>
        <v/>
      </c>
      <c r="K1105" s="25">
        <f>IFERROR(INDEX(Pedidos!$D$2:$D$1801,MATCH(B1105,Pedidos!$A$2:$A$1801,0)),"")</f>
        <v/>
      </c>
      <c r="L1105" s="25">
        <f>IFERROR(INDEX(Pedidos!$F$2:$F$1801,MATCH(B1105,Pedidos!$A$2:$A$1801,0)),"")</f>
        <v/>
      </c>
      <c r="M1105" s="26">
        <f>IFERROR(INDEX(Pedidos!$G$2:$G$1801,MATCH(B1105,Pedidos!$A$2:$A$1801,0)),0)</f>
        <v/>
      </c>
      <c r="N1105" s="25">
        <f>IFERROR(INDEX(Produtos!$B$2:$B$71,MATCH(C1105,Produtos!$A$2:$A$71,0)),"")</f>
        <v/>
      </c>
      <c r="O1105" s="25">
        <f>IFERROR(INDEX(Produtos!$C$2:$C$71,MATCH(C1105,Produtos!$A$2:$A$71,0)),"")</f>
        <v/>
      </c>
      <c r="P1105" s="25">
        <f>IFERROR(INDEX(Produtos!$D$2:$D$71,MATCH(C1105,Produtos!$A$2:$A$71,0)),0)</f>
        <v/>
      </c>
      <c r="Q1105" s="25">
        <f>IFERROR(INDEX(Produtos!$E$2:$E$71,MATCH(C1105,Produtos!$A$2:$A$71,0)),0)</f>
        <v/>
      </c>
      <c r="R1105" s="27">
        <f>D1105*Q1105</f>
        <v/>
      </c>
      <c r="S1105" s="27">
        <f>R1105*E1105</f>
        <v/>
      </c>
      <c r="T1105" s="27">
        <f>(R1105-S1105)*M1105</f>
        <v/>
      </c>
      <c r="U1105" s="27">
        <f>R1105-S1105-T1105</f>
        <v/>
      </c>
      <c r="V1105" s="27">
        <f>D1105*P1105</f>
        <v/>
      </c>
      <c r="W1105" s="27">
        <f>U1105-V1105</f>
        <v/>
      </c>
      <c r="X1105" s="28">
        <f>IFERROR(W1105/U1105,0)</f>
        <v/>
      </c>
    </row>
    <row r="1106">
      <c r="A1106" s="21">
        <f>ItensPedido!A1106</f>
        <v/>
      </c>
      <c r="B1106" s="21">
        <f>ItensPedido!B1106</f>
        <v/>
      </c>
      <c r="C1106" s="21">
        <f>ItensPedido!C1106</f>
        <v/>
      </c>
      <c r="D1106" s="21">
        <f>ItensPedido!D1106</f>
        <v/>
      </c>
      <c r="E1106" s="22">
        <f>ItensPedido!E1106</f>
        <v/>
      </c>
      <c r="F1106" s="21">
        <f>IFERROR(INDEX(Pedidos!$B$2:$B$1801,MATCH(B1106,Pedidos!$A$2:$A$1801,0)),0)</f>
        <v/>
      </c>
      <c r="G1106" s="21">
        <f>IF(F1106=0,"",YEAR(F1106))</f>
        <v/>
      </c>
      <c r="H1106" s="21">
        <f>IF(F1106=0,"",MONTH(F1106))</f>
        <v/>
      </c>
      <c r="I1106" s="21">
        <f>IFERROR(INDEX(Pedidos!$E$2:$E$1801,MATCH(B1106,Pedidos!$A$2:$A$1801,0)),"")</f>
        <v/>
      </c>
      <c r="J1106" s="21">
        <f>IFERROR(INDEX(Pedidos!$C$2:$C$1801,MATCH(B1106,Pedidos!$A$2:$A$1801,0)),"")</f>
        <v/>
      </c>
      <c r="K1106" s="21">
        <f>IFERROR(INDEX(Pedidos!$D$2:$D$1801,MATCH(B1106,Pedidos!$A$2:$A$1801,0)),"")</f>
        <v/>
      </c>
      <c r="L1106" s="21">
        <f>IFERROR(INDEX(Pedidos!$F$2:$F$1801,MATCH(B1106,Pedidos!$A$2:$A$1801,0)),"")</f>
        <v/>
      </c>
      <c r="M1106" s="22">
        <f>IFERROR(INDEX(Pedidos!$G$2:$G$1801,MATCH(B1106,Pedidos!$A$2:$A$1801,0)),0)</f>
        <v/>
      </c>
      <c r="N1106" s="21">
        <f>IFERROR(INDEX(Produtos!$B$2:$B$71,MATCH(C1106,Produtos!$A$2:$A$71,0)),"")</f>
        <v/>
      </c>
      <c r="O1106" s="21">
        <f>IFERROR(INDEX(Produtos!$C$2:$C$71,MATCH(C1106,Produtos!$A$2:$A$71,0)),"")</f>
        <v/>
      </c>
      <c r="P1106" s="21">
        <f>IFERROR(INDEX(Produtos!$D$2:$D$71,MATCH(C1106,Produtos!$A$2:$A$71,0)),0)</f>
        <v/>
      </c>
      <c r="Q1106" s="21">
        <f>IFERROR(INDEX(Produtos!$E$2:$E$71,MATCH(C1106,Produtos!$A$2:$A$71,0)),0)</f>
        <v/>
      </c>
      <c r="R1106" s="23">
        <f>D1106*Q1106</f>
        <v/>
      </c>
      <c r="S1106" s="23">
        <f>R1106*E1106</f>
        <v/>
      </c>
      <c r="T1106" s="23">
        <f>(R1106-S1106)*M1106</f>
        <v/>
      </c>
      <c r="U1106" s="23">
        <f>R1106-S1106-T1106</f>
        <v/>
      </c>
      <c r="V1106" s="23">
        <f>D1106*P1106</f>
        <v/>
      </c>
      <c r="W1106" s="23">
        <f>U1106-V1106</f>
        <v/>
      </c>
      <c r="X1106" s="24">
        <f>IFERROR(W1106/U1106,0)</f>
        <v/>
      </c>
    </row>
    <row r="1107">
      <c r="A1107" s="25">
        <f>ItensPedido!A1107</f>
        <v/>
      </c>
      <c r="B1107" s="25">
        <f>ItensPedido!B1107</f>
        <v/>
      </c>
      <c r="C1107" s="25">
        <f>ItensPedido!C1107</f>
        <v/>
      </c>
      <c r="D1107" s="25">
        <f>ItensPedido!D1107</f>
        <v/>
      </c>
      <c r="E1107" s="26">
        <f>ItensPedido!E1107</f>
        <v/>
      </c>
      <c r="F1107" s="25">
        <f>IFERROR(INDEX(Pedidos!$B$2:$B$1801,MATCH(B1107,Pedidos!$A$2:$A$1801,0)),0)</f>
        <v/>
      </c>
      <c r="G1107" s="25">
        <f>IF(F1107=0,"",YEAR(F1107))</f>
        <v/>
      </c>
      <c r="H1107" s="25">
        <f>IF(F1107=0,"",MONTH(F1107))</f>
        <v/>
      </c>
      <c r="I1107" s="25">
        <f>IFERROR(INDEX(Pedidos!$E$2:$E$1801,MATCH(B1107,Pedidos!$A$2:$A$1801,0)),"")</f>
        <v/>
      </c>
      <c r="J1107" s="25">
        <f>IFERROR(INDEX(Pedidos!$C$2:$C$1801,MATCH(B1107,Pedidos!$A$2:$A$1801,0)),"")</f>
        <v/>
      </c>
      <c r="K1107" s="25">
        <f>IFERROR(INDEX(Pedidos!$D$2:$D$1801,MATCH(B1107,Pedidos!$A$2:$A$1801,0)),"")</f>
        <v/>
      </c>
      <c r="L1107" s="25">
        <f>IFERROR(INDEX(Pedidos!$F$2:$F$1801,MATCH(B1107,Pedidos!$A$2:$A$1801,0)),"")</f>
        <v/>
      </c>
      <c r="M1107" s="26">
        <f>IFERROR(INDEX(Pedidos!$G$2:$G$1801,MATCH(B1107,Pedidos!$A$2:$A$1801,0)),0)</f>
        <v/>
      </c>
      <c r="N1107" s="25">
        <f>IFERROR(INDEX(Produtos!$B$2:$B$71,MATCH(C1107,Produtos!$A$2:$A$71,0)),"")</f>
        <v/>
      </c>
      <c r="O1107" s="25">
        <f>IFERROR(INDEX(Produtos!$C$2:$C$71,MATCH(C1107,Produtos!$A$2:$A$71,0)),"")</f>
        <v/>
      </c>
      <c r="P1107" s="25">
        <f>IFERROR(INDEX(Produtos!$D$2:$D$71,MATCH(C1107,Produtos!$A$2:$A$71,0)),0)</f>
        <v/>
      </c>
      <c r="Q1107" s="25">
        <f>IFERROR(INDEX(Produtos!$E$2:$E$71,MATCH(C1107,Produtos!$A$2:$A$71,0)),0)</f>
        <v/>
      </c>
      <c r="R1107" s="27">
        <f>D1107*Q1107</f>
        <v/>
      </c>
      <c r="S1107" s="27">
        <f>R1107*E1107</f>
        <v/>
      </c>
      <c r="T1107" s="27">
        <f>(R1107-S1107)*M1107</f>
        <v/>
      </c>
      <c r="U1107" s="27">
        <f>R1107-S1107-T1107</f>
        <v/>
      </c>
      <c r="V1107" s="27">
        <f>D1107*P1107</f>
        <v/>
      </c>
      <c r="W1107" s="27">
        <f>U1107-V1107</f>
        <v/>
      </c>
      <c r="X1107" s="28">
        <f>IFERROR(W1107/U1107,0)</f>
        <v/>
      </c>
    </row>
    <row r="1108">
      <c r="A1108" s="21">
        <f>ItensPedido!A1108</f>
        <v/>
      </c>
      <c r="B1108" s="21">
        <f>ItensPedido!B1108</f>
        <v/>
      </c>
      <c r="C1108" s="21">
        <f>ItensPedido!C1108</f>
        <v/>
      </c>
      <c r="D1108" s="21">
        <f>ItensPedido!D1108</f>
        <v/>
      </c>
      <c r="E1108" s="22">
        <f>ItensPedido!E1108</f>
        <v/>
      </c>
      <c r="F1108" s="21">
        <f>IFERROR(INDEX(Pedidos!$B$2:$B$1801,MATCH(B1108,Pedidos!$A$2:$A$1801,0)),0)</f>
        <v/>
      </c>
      <c r="G1108" s="21">
        <f>IF(F1108=0,"",YEAR(F1108))</f>
        <v/>
      </c>
      <c r="H1108" s="21">
        <f>IF(F1108=0,"",MONTH(F1108))</f>
        <v/>
      </c>
      <c r="I1108" s="21">
        <f>IFERROR(INDEX(Pedidos!$E$2:$E$1801,MATCH(B1108,Pedidos!$A$2:$A$1801,0)),"")</f>
        <v/>
      </c>
      <c r="J1108" s="21">
        <f>IFERROR(INDEX(Pedidos!$C$2:$C$1801,MATCH(B1108,Pedidos!$A$2:$A$1801,0)),"")</f>
        <v/>
      </c>
      <c r="K1108" s="21">
        <f>IFERROR(INDEX(Pedidos!$D$2:$D$1801,MATCH(B1108,Pedidos!$A$2:$A$1801,0)),"")</f>
        <v/>
      </c>
      <c r="L1108" s="21">
        <f>IFERROR(INDEX(Pedidos!$F$2:$F$1801,MATCH(B1108,Pedidos!$A$2:$A$1801,0)),"")</f>
        <v/>
      </c>
      <c r="M1108" s="22">
        <f>IFERROR(INDEX(Pedidos!$G$2:$G$1801,MATCH(B1108,Pedidos!$A$2:$A$1801,0)),0)</f>
        <v/>
      </c>
      <c r="N1108" s="21">
        <f>IFERROR(INDEX(Produtos!$B$2:$B$71,MATCH(C1108,Produtos!$A$2:$A$71,0)),"")</f>
        <v/>
      </c>
      <c r="O1108" s="21">
        <f>IFERROR(INDEX(Produtos!$C$2:$C$71,MATCH(C1108,Produtos!$A$2:$A$71,0)),"")</f>
        <v/>
      </c>
      <c r="P1108" s="21">
        <f>IFERROR(INDEX(Produtos!$D$2:$D$71,MATCH(C1108,Produtos!$A$2:$A$71,0)),0)</f>
        <v/>
      </c>
      <c r="Q1108" s="21">
        <f>IFERROR(INDEX(Produtos!$E$2:$E$71,MATCH(C1108,Produtos!$A$2:$A$71,0)),0)</f>
        <v/>
      </c>
      <c r="R1108" s="23">
        <f>D1108*Q1108</f>
        <v/>
      </c>
      <c r="S1108" s="23">
        <f>R1108*E1108</f>
        <v/>
      </c>
      <c r="T1108" s="23">
        <f>(R1108-S1108)*M1108</f>
        <v/>
      </c>
      <c r="U1108" s="23">
        <f>R1108-S1108-T1108</f>
        <v/>
      </c>
      <c r="V1108" s="23">
        <f>D1108*P1108</f>
        <v/>
      </c>
      <c r="W1108" s="23">
        <f>U1108-V1108</f>
        <v/>
      </c>
      <c r="X1108" s="24">
        <f>IFERROR(W1108/U1108,0)</f>
        <v/>
      </c>
    </row>
    <row r="1109">
      <c r="A1109" s="25">
        <f>ItensPedido!A1109</f>
        <v/>
      </c>
      <c r="B1109" s="25">
        <f>ItensPedido!B1109</f>
        <v/>
      </c>
      <c r="C1109" s="25">
        <f>ItensPedido!C1109</f>
        <v/>
      </c>
      <c r="D1109" s="25">
        <f>ItensPedido!D1109</f>
        <v/>
      </c>
      <c r="E1109" s="26">
        <f>ItensPedido!E1109</f>
        <v/>
      </c>
      <c r="F1109" s="25">
        <f>IFERROR(INDEX(Pedidos!$B$2:$B$1801,MATCH(B1109,Pedidos!$A$2:$A$1801,0)),0)</f>
        <v/>
      </c>
      <c r="G1109" s="25">
        <f>IF(F1109=0,"",YEAR(F1109))</f>
        <v/>
      </c>
      <c r="H1109" s="25">
        <f>IF(F1109=0,"",MONTH(F1109))</f>
        <v/>
      </c>
      <c r="I1109" s="25">
        <f>IFERROR(INDEX(Pedidos!$E$2:$E$1801,MATCH(B1109,Pedidos!$A$2:$A$1801,0)),"")</f>
        <v/>
      </c>
      <c r="J1109" s="25">
        <f>IFERROR(INDEX(Pedidos!$C$2:$C$1801,MATCH(B1109,Pedidos!$A$2:$A$1801,0)),"")</f>
        <v/>
      </c>
      <c r="K1109" s="25">
        <f>IFERROR(INDEX(Pedidos!$D$2:$D$1801,MATCH(B1109,Pedidos!$A$2:$A$1801,0)),"")</f>
        <v/>
      </c>
      <c r="L1109" s="25">
        <f>IFERROR(INDEX(Pedidos!$F$2:$F$1801,MATCH(B1109,Pedidos!$A$2:$A$1801,0)),"")</f>
        <v/>
      </c>
      <c r="M1109" s="26">
        <f>IFERROR(INDEX(Pedidos!$G$2:$G$1801,MATCH(B1109,Pedidos!$A$2:$A$1801,0)),0)</f>
        <v/>
      </c>
      <c r="N1109" s="25">
        <f>IFERROR(INDEX(Produtos!$B$2:$B$71,MATCH(C1109,Produtos!$A$2:$A$71,0)),"")</f>
        <v/>
      </c>
      <c r="O1109" s="25">
        <f>IFERROR(INDEX(Produtos!$C$2:$C$71,MATCH(C1109,Produtos!$A$2:$A$71,0)),"")</f>
        <v/>
      </c>
      <c r="P1109" s="25">
        <f>IFERROR(INDEX(Produtos!$D$2:$D$71,MATCH(C1109,Produtos!$A$2:$A$71,0)),0)</f>
        <v/>
      </c>
      <c r="Q1109" s="25">
        <f>IFERROR(INDEX(Produtos!$E$2:$E$71,MATCH(C1109,Produtos!$A$2:$A$71,0)),0)</f>
        <v/>
      </c>
      <c r="R1109" s="27">
        <f>D1109*Q1109</f>
        <v/>
      </c>
      <c r="S1109" s="27">
        <f>R1109*E1109</f>
        <v/>
      </c>
      <c r="T1109" s="27">
        <f>(R1109-S1109)*M1109</f>
        <v/>
      </c>
      <c r="U1109" s="27">
        <f>R1109-S1109-T1109</f>
        <v/>
      </c>
      <c r="V1109" s="27">
        <f>D1109*P1109</f>
        <v/>
      </c>
      <c r="W1109" s="27">
        <f>U1109-V1109</f>
        <v/>
      </c>
      <c r="X1109" s="28">
        <f>IFERROR(W1109/U1109,0)</f>
        <v/>
      </c>
    </row>
    <row r="1110">
      <c r="A1110" s="21">
        <f>ItensPedido!A1110</f>
        <v/>
      </c>
      <c r="B1110" s="21">
        <f>ItensPedido!B1110</f>
        <v/>
      </c>
      <c r="C1110" s="21">
        <f>ItensPedido!C1110</f>
        <v/>
      </c>
      <c r="D1110" s="21">
        <f>ItensPedido!D1110</f>
        <v/>
      </c>
      <c r="E1110" s="22">
        <f>ItensPedido!E1110</f>
        <v/>
      </c>
      <c r="F1110" s="21">
        <f>IFERROR(INDEX(Pedidos!$B$2:$B$1801,MATCH(B1110,Pedidos!$A$2:$A$1801,0)),0)</f>
        <v/>
      </c>
      <c r="G1110" s="21">
        <f>IF(F1110=0,"",YEAR(F1110))</f>
        <v/>
      </c>
      <c r="H1110" s="21">
        <f>IF(F1110=0,"",MONTH(F1110))</f>
        <v/>
      </c>
      <c r="I1110" s="21">
        <f>IFERROR(INDEX(Pedidos!$E$2:$E$1801,MATCH(B1110,Pedidos!$A$2:$A$1801,0)),"")</f>
        <v/>
      </c>
      <c r="J1110" s="21">
        <f>IFERROR(INDEX(Pedidos!$C$2:$C$1801,MATCH(B1110,Pedidos!$A$2:$A$1801,0)),"")</f>
        <v/>
      </c>
      <c r="K1110" s="21">
        <f>IFERROR(INDEX(Pedidos!$D$2:$D$1801,MATCH(B1110,Pedidos!$A$2:$A$1801,0)),"")</f>
        <v/>
      </c>
      <c r="L1110" s="21">
        <f>IFERROR(INDEX(Pedidos!$F$2:$F$1801,MATCH(B1110,Pedidos!$A$2:$A$1801,0)),"")</f>
        <v/>
      </c>
      <c r="M1110" s="22">
        <f>IFERROR(INDEX(Pedidos!$G$2:$G$1801,MATCH(B1110,Pedidos!$A$2:$A$1801,0)),0)</f>
        <v/>
      </c>
      <c r="N1110" s="21">
        <f>IFERROR(INDEX(Produtos!$B$2:$B$71,MATCH(C1110,Produtos!$A$2:$A$71,0)),"")</f>
        <v/>
      </c>
      <c r="O1110" s="21">
        <f>IFERROR(INDEX(Produtos!$C$2:$C$71,MATCH(C1110,Produtos!$A$2:$A$71,0)),"")</f>
        <v/>
      </c>
      <c r="P1110" s="21">
        <f>IFERROR(INDEX(Produtos!$D$2:$D$71,MATCH(C1110,Produtos!$A$2:$A$71,0)),0)</f>
        <v/>
      </c>
      <c r="Q1110" s="21">
        <f>IFERROR(INDEX(Produtos!$E$2:$E$71,MATCH(C1110,Produtos!$A$2:$A$71,0)),0)</f>
        <v/>
      </c>
      <c r="R1110" s="23">
        <f>D1110*Q1110</f>
        <v/>
      </c>
      <c r="S1110" s="23">
        <f>R1110*E1110</f>
        <v/>
      </c>
      <c r="T1110" s="23">
        <f>(R1110-S1110)*M1110</f>
        <v/>
      </c>
      <c r="U1110" s="23">
        <f>R1110-S1110-T1110</f>
        <v/>
      </c>
      <c r="V1110" s="23">
        <f>D1110*P1110</f>
        <v/>
      </c>
      <c r="W1110" s="23">
        <f>U1110-V1110</f>
        <v/>
      </c>
      <c r="X1110" s="24">
        <f>IFERROR(W1110/U1110,0)</f>
        <v/>
      </c>
    </row>
    <row r="1111">
      <c r="A1111" s="25">
        <f>ItensPedido!A1111</f>
        <v/>
      </c>
      <c r="B1111" s="25">
        <f>ItensPedido!B1111</f>
        <v/>
      </c>
      <c r="C1111" s="25">
        <f>ItensPedido!C1111</f>
        <v/>
      </c>
      <c r="D1111" s="25">
        <f>ItensPedido!D1111</f>
        <v/>
      </c>
      <c r="E1111" s="26">
        <f>ItensPedido!E1111</f>
        <v/>
      </c>
      <c r="F1111" s="25">
        <f>IFERROR(INDEX(Pedidos!$B$2:$B$1801,MATCH(B1111,Pedidos!$A$2:$A$1801,0)),0)</f>
        <v/>
      </c>
      <c r="G1111" s="25">
        <f>IF(F1111=0,"",YEAR(F1111))</f>
        <v/>
      </c>
      <c r="H1111" s="25">
        <f>IF(F1111=0,"",MONTH(F1111))</f>
        <v/>
      </c>
      <c r="I1111" s="25">
        <f>IFERROR(INDEX(Pedidos!$E$2:$E$1801,MATCH(B1111,Pedidos!$A$2:$A$1801,0)),"")</f>
        <v/>
      </c>
      <c r="J1111" s="25">
        <f>IFERROR(INDEX(Pedidos!$C$2:$C$1801,MATCH(B1111,Pedidos!$A$2:$A$1801,0)),"")</f>
        <v/>
      </c>
      <c r="K1111" s="25">
        <f>IFERROR(INDEX(Pedidos!$D$2:$D$1801,MATCH(B1111,Pedidos!$A$2:$A$1801,0)),"")</f>
        <v/>
      </c>
      <c r="L1111" s="25">
        <f>IFERROR(INDEX(Pedidos!$F$2:$F$1801,MATCH(B1111,Pedidos!$A$2:$A$1801,0)),"")</f>
        <v/>
      </c>
      <c r="M1111" s="26">
        <f>IFERROR(INDEX(Pedidos!$G$2:$G$1801,MATCH(B1111,Pedidos!$A$2:$A$1801,0)),0)</f>
        <v/>
      </c>
      <c r="N1111" s="25">
        <f>IFERROR(INDEX(Produtos!$B$2:$B$71,MATCH(C1111,Produtos!$A$2:$A$71,0)),"")</f>
        <v/>
      </c>
      <c r="O1111" s="25">
        <f>IFERROR(INDEX(Produtos!$C$2:$C$71,MATCH(C1111,Produtos!$A$2:$A$71,0)),"")</f>
        <v/>
      </c>
      <c r="P1111" s="25">
        <f>IFERROR(INDEX(Produtos!$D$2:$D$71,MATCH(C1111,Produtos!$A$2:$A$71,0)),0)</f>
        <v/>
      </c>
      <c r="Q1111" s="25">
        <f>IFERROR(INDEX(Produtos!$E$2:$E$71,MATCH(C1111,Produtos!$A$2:$A$71,0)),0)</f>
        <v/>
      </c>
      <c r="R1111" s="27">
        <f>D1111*Q1111</f>
        <v/>
      </c>
      <c r="S1111" s="27">
        <f>R1111*E1111</f>
        <v/>
      </c>
      <c r="T1111" s="27">
        <f>(R1111-S1111)*M1111</f>
        <v/>
      </c>
      <c r="U1111" s="27">
        <f>R1111-S1111-T1111</f>
        <v/>
      </c>
      <c r="V1111" s="27">
        <f>D1111*P1111</f>
        <v/>
      </c>
      <c r="W1111" s="27">
        <f>U1111-V1111</f>
        <v/>
      </c>
      <c r="X1111" s="28">
        <f>IFERROR(W1111/U1111,0)</f>
        <v/>
      </c>
    </row>
    <row r="1112">
      <c r="A1112" s="21">
        <f>ItensPedido!A1112</f>
        <v/>
      </c>
      <c r="B1112" s="21">
        <f>ItensPedido!B1112</f>
        <v/>
      </c>
      <c r="C1112" s="21">
        <f>ItensPedido!C1112</f>
        <v/>
      </c>
      <c r="D1112" s="21">
        <f>ItensPedido!D1112</f>
        <v/>
      </c>
      <c r="E1112" s="22">
        <f>ItensPedido!E1112</f>
        <v/>
      </c>
      <c r="F1112" s="21">
        <f>IFERROR(INDEX(Pedidos!$B$2:$B$1801,MATCH(B1112,Pedidos!$A$2:$A$1801,0)),0)</f>
        <v/>
      </c>
      <c r="G1112" s="21">
        <f>IF(F1112=0,"",YEAR(F1112))</f>
        <v/>
      </c>
      <c r="H1112" s="21">
        <f>IF(F1112=0,"",MONTH(F1112))</f>
        <v/>
      </c>
      <c r="I1112" s="21">
        <f>IFERROR(INDEX(Pedidos!$E$2:$E$1801,MATCH(B1112,Pedidos!$A$2:$A$1801,0)),"")</f>
        <v/>
      </c>
      <c r="J1112" s="21">
        <f>IFERROR(INDEX(Pedidos!$C$2:$C$1801,MATCH(B1112,Pedidos!$A$2:$A$1801,0)),"")</f>
        <v/>
      </c>
      <c r="K1112" s="21">
        <f>IFERROR(INDEX(Pedidos!$D$2:$D$1801,MATCH(B1112,Pedidos!$A$2:$A$1801,0)),"")</f>
        <v/>
      </c>
      <c r="L1112" s="21">
        <f>IFERROR(INDEX(Pedidos!$F$2:$F$1801,MATCH(B1112,Pedidos!$A$2:$A$1801,0)),"")</f>
        <v/>
      </c>
      <c r="M1112" s="22">
        <f>IFERROR(INDEX(Pedidos!$G$2:$G$1801,MATCH(B1112,Pedidos!$A$2:$A$1801,0)),0)</f>
        <v/>
      </c>
      <c r="N1112" s="21">
        <f>IFERROR(INDEX(Produtos!$B$2:$B$71,MATCH(C1112,Produtos!$A$2:$A$71,0)),"")</f>
        <v/>
      </c>
      <c r="O1112" s="21">
        <f>IFERROR(INDEX(Produtos!$C$2:$C$71,MATCH(C1112,Produtos!$A$2:$A$71,0)),"")</f>
        <v/>
      </c>
      <c r="P1112" s="21">
        <f>IFERROR(INDEX(Produtos!$D$2:$D$71,MATCH(C1112,Produtos!$A$2:$A$71,0)),0)</f>
        <v/>
      </c>
      <c r="Q1112" s="21">
        <f>IFERROR(INDEX(Produtos!$E$2:$E$71,MATCH(C1112,Produtos!$A$2:$A$71,0)),0)</f>
        <v/>
      </c>
      <c r="R1112" s="23">
        <f>D1112*Q1112</f>
        <v/>
      </c>
      <c r="S1112" s="23">
        <f>R1112*E1112</f>
        <v/>
      </c>
      <c r="T1112" s="23">
        <f>(R1112-S1112)*M1112</f>
        <v/>
      </c>
      <c r="U1112" s="23">
        <f>R1112-S1112-T1112</f>
        <v/>
      </c>
      <c r="V1112" s="23">
        <f>D1112*P1112</f>
        <v/>
      </c>
      <c r="W1112" s="23">
        <f>U1112-V1112</f>
        <v/>
      </c>
      <c r="X1112" s="24">
        <f>IFERROR(W1112/U1112,0)</f>
        <v/>
      </c>
    </row>
    <row r="1113">
      <c r="A1113" s="25">
        <f>ItensPedido!A1113</f>
        <v/>
      </c>
      <c r="B1113" s="25">
        <f>ItensPedido!B1113</f>
        <v/>
      </c>
      <c r="C1113" s="25">
        <f>ItensPedido!C1113</f>
        <v/>
      </c>
      <c r="D1113" s="25">
        <f>ItensPedido!D1113</f>
        <v/>
      </c>
      <c r="E1113" s="26">
        <f>ItensPedido!E1113</f>
        <v/>
      </c>
      <c r="F1113" s="25">
        <f>IFERROR(INDEX(Pedidos!$B$2:$B$1801,MATCH(B1113,Pedidos!$A$2:$A$1801,0)),0)</f>
        <v/>
      </c>
      <c r="G1113" s="25">
        <f>IF(F1113=0,"",YEAR(F1113))</f>
        <v/>
      </c>
      <c r="H1113" s="25">
        <f>IF(F1113=0,"",MONTH(F1113))</f>
        <v/>
      </c>
      <c r="I1113" s="25">
        <f>IFERROR(INDEX(Pedidos!$E$2:$E$1801,MATCH(B1113,Pedidos!$A$2:$A$1801,0)),"")</f>
        <v/>
      </c>
      <c r="J1113" s="25">
        <f>IFERROR(INDEX(Pedidos!$C$2:$C$1801,MATCH(B1113,Pedidos!$A$2:$A$1801,0)),"")</f>
        <v/>
      </c>
      <c r="K1113" s="25">
        <f>IFERROR(INDEX(Pedidos!$D$2:$D$1801,MATCH(B1113,Pedidos!$A$2:$A$1801,0)),"")</f>
        <v/>
      </c>
      <c r="L1113" s="25">
        <f>IFERROR(INDEX(Pedidos!$F$2:$F$1801,MATCH(B1113,Pedidos!$A$2:$A$1801,0)),"")</f>
        <v/>
      </c>
      <c r="M1113" s="26">
        <f>IFERROR(INDEX(Pedidos!$G$2:$G$1801,MATCH(B1113,Pedidos!$A$2:$A$1801,0)),0)</f>
        <v/>
      </c>
      <c r="N1113" s="25">
        <f>IFERROR(INDEX(Produtos!$B$2:$B$71,MATCH(C1113,Produtos!$A$2:$A$71,0)),"")</f>
        <v/>
      </c>
      <c r="O1113" s="25">
        <f>IFERROR(INDEX(Produtos!$C$2:$C$71,MATCH(C1113,Produtos!$A$2:$A$71,0)),"")</f>
        <v/>
      </c>
      <c r="P1113" s="25">
        <f>IFERROR(INDEX(Produtos!$D$2:$D$71,MATCH(C1113,Produtos!$A$2:$A$71,0)),0)</f>
        <v/>
      </c>
      <c r="Q1113" s="25">
        <f>IFERROR(INDEX(Produtos!$E$2:$E$71,MATCH(C1113,Produtos!$A$2:$A$71,0)),0)</f>
        <v/>
      </c>
      <c r="R1113" s="27">
        <f>D1113*Q1113</f>
        <v/>
      </c>
      <c r="S1113" s="27">
        <f>R1113*E1113</f>
        <v/>
      </c>
      <c r="T1113" s="27">
        <f>(R1113-S1113)*M1113</f>
        <v/>
      </c>
      <c r="U1113" s="27">
        <f>R1113-S1113-T1113</f>
        <v/>
      </c>
      <c r="V1113" s="27">
        <f>D1113*P1113</f>
        <v/>
      </c>
      <c r="W1113" s="27">
        <f>U1113-V1113</f>
        <v/>
      </c>
      <c r="X1113" s="28">
        <f>IFERROR(W1113/U1113,0)</f>
        <v/>
      </c>
    </row>
    <row r="1114">
      <c r="A1114" s="21">
        <f>ItensPedido!A1114</f>
        <v/>
      </c>
      <c r="B1114" s="21">
        <f>ItensPedido!B1114</f>
        <v/>
      </c>
      <c r="C1114" s="21">
        <f>ItensPedido!C1114</f>
        <v/>
      </c>
      <c r="D1114" s="21">
        <f>ItensPedido!D1114</f>
        <v/>
      </c>
      <c r="E1114" s="22">
        <f>ItensPedido!E1114</f>
        <v/>
      </c>
      <c r="F1114" s="21">
        <f>IFERROR(INDEX(Pedidos!$B$2:$B$1801,MATCH(B1114,Pedidos!$A$2:$A$1801,0)),0)</f>
        <v/>
      </c>
      <c r="G1114" s="21">
        <f>IF(F1114=0,"",YEAR(F1114))</f>
        <v/>
      </c>
      <c r="H1114" s="21">
        <f>IF(F1114=0,"",MONTH(F1114))</f>
        <v/>
      </c>
      <c r="I1114" s="21">
        <f>IFERROR(INDEX(Pedidos!$E$2:$E$1801,MATCH(B1114,Pedidos!$A$2:$A$1801,0)),"")</f>
        <v/>
      </c>
      <c r="J1114" s="21">
        <f>IFERROR(INDEX(Pedidos!$C$2:$C$1801,MATCH(B1114,Pedidos!$A$2:$A$1801,0)),"")</f>
        <v/>
      </c>
      <c r="K1114" s="21">
        <f>IFERROR(INDEX(Pedidos!$D$2:$D$1801,MATCH(B1114,Pedidos!$A$2:$A$1801,0)),"")</f>
        <v/>
      </c>
      <c r="L1114" s="21">
        <f>IFERROR(INDEX(Pedidos!$F$2:$F$1801,MATCH(B1114,Pedidos!$A$2:$A$1801,0)),"")</f>
        <v/>
      </c>
      <c r="M1114" s="22">
        <f>IFERROR(INDEX(Pedidos!$G$2:$G$1801,MATCH(B1114,Pedidos!$A$2:$A$1801,0)),0)</f>
        <v/>
      </c>
      <c r="N1114" s="21">
        <f>IFERROR(INDEX(Produtos!$B$2:$B$71,MATCH(C1114,Produtos!$A$2:$A$71,0)),"")</f>
        <v/>
      </c>
      <c r="O1114" s="21">
        <f>IFERROR(INDEX(Produtos!$C$2:$C$71,MATCH(C1114,Produtos!$A$2:$A$71,0)),"")</f>
        <v/>
      </c>
      <c r="P1114" s="21">
        <f>IFERROR(INDEX(Produtos!$D$2:$D$71,MATCH(C1114,Produtos!$A$2:$A$71,0)),0)</f>
        <v/>
      </c>
      <c r="Q1114" s="21">
        <f>IFERROR(INDEX(Produtos!$E$2:$E$71,MATCH(C1114,Produtos!$A$2:$A$71,0)),0)</f>
        <v/>
      </c>
      <c r="R1114" s="23">
        <f>D1114*Q1114</f>
        <v/>
      </c>
      <c r="S1114" s="23">
        <f>R1114*E1114</f>
        <v/>
      </c>
      <c r="T1114" s="23">
        <f>(R1114-S1114)*M1114</f>
        <v/>
      </c>
      <c r="U1114" s="23">
        <f>R1114-S1114-T1114</f>
        <v/>
      </c>
      <c r="V1114" s="23">
        <f>D1114*P1114</f>
        <v/>
      </c>
      <c r="W1114" s="23">
        <f>U1114-V1114</f>
        <v/>
      </c>
      <c r="X1114" s="24">
        <f>IFERROR(W1114/U1114,0)</f>
        <v/>
      </c>
    </row>
    <row r="1115">
      <c r="A1115" s="25">
        <f>ItensPedido!A1115</f>
        <v/>
      </c>
      <c r="B1115" s="25">
        <f>ItensPedido!B1115</f>
        <v/>
      </c>
      <c r="C1115" s="25">
        <f>ItensPedido!C1115</f>
        <v/>
      </c>
      <c r="D1115" s="25">
        <f>ItensPedido!D1115</f>
        <v/>
      </c>
      <c r="E1115" s="26">
        <f>ItensPedido!E1115</f>
        <v/>
      </c>
      <c r="F1115" s="25">
        <f>IFERROR(INDEX(Pedidos!$B$2:$B$1801,MATCH(B1115,Pedidos!$A$2:$A$1801,0)),0)</f>
        <v/>
      </c>
      <c r="G1115" s="25">
        <f>IF(F1115=0,"",YEAR(F1115))</f>
        <v/>
      </c>
      <c r="H1115" s="25">
        <f>IF(F1115=0,"",MONTH(F1115))</f>
        <v/>
      </c>
      <c r="I1115" s="25">
        <f>IFERROR(INDEX(Pedidos!$E$2:$E$1801,MATCH(B1115,Pedidos!$A$2:$A$1801,0)),"")</f>
        <v/>
      </c>
      <c r="J1115" s="25">
        <f>IFERROR(INDEX(Pedidos!$C$2:$C$1801,MATCH(B1115,Pedidos!$A$2:$A$1801,0)),"")</f>
        <v/>
      </c>
      <c r="K1115" s="25">
        <f>IFERROR(INDEX(Pedidos!$D$2:$D$1801,MATCH(B1115,Pedidos!$A$2:$A$1801,0)),"")</f>
        <v/>
      </c>
      <c r="L1115" s="25">
        <f>IFERROR(INDEX(Pedidos!$F$2:$F$1801,MATCH(B1115,Pedidos!$A$2:$A$1801,0)),"")</f>
        <v/>
      </c>
      <c r="M1115" s="26">
        <f>IFERROR(INDEX(Pedidos!$G$2:$G$1801,MATCH(B1115,Pedidos!$A$2:$A$1801,0)),0)</f>
        <v/>
      </c>
      <c r="N1115" s="25">
        <f>IFERROR(INDEX(Produtos!$B$2:$B$71,MATCH(C1115,Produtos!$A$2:$A$71,0)),"")</f>
        <v/>
      </c>
      <c r="O1115" s="25">
        <f>IFERROR(INDEX(Produtos!$C$2:$C$71,MATCH(C1115,Produtos!$A$2:$A$71,0)),"")</f>
        <v/>
      </c>
      <c r="P1115" s="25">
        <f>IFERROR(INDEX(Produtos!$D$2:$D$71,MATCH(C1115,Produtos!$A$2:$A$71,0)),0)</f>
        <v/>
      </c>
      <c r="Q1115" s="25">
        <f>IFERROR(INDEX(Produtos!$E$2:$E$71,MATCH(C1115,Produtos!$A$2:$A$71,0)),0)</f>
        <v/>
      </c>
      <c r="R1115" s="27">
        <f>D1115*Q1115</f>
        <v/>
      </c>
      <c r="S1115" s="27">
        <f>R1115*E1115</f>
        <v/>
      </c>
      <c r="T1115" s="27">
        <f>(R1115-S1115)*M1115</f>
        <v/>
      </c>
      <c r="U1115" s="27">
        <f>R1115-S1115-T1115</f>
        <v/>
      </c>
      <c r="V1115" s="27">
        <f>D1115*P1115</f>
        <v/>
      </c>
      <c r="W1115" s="27">
        <f>U1115-V1115</f>
        <v/>
      </c>
      <c r="X1115" s="28">
        <f>IFERROR(W1115/U1115,0)</f>
        <v/>
      </c>
    </row>
    <row r="1116">
      <c r="A1116" s="21">
        <f>ItensPedido!A1116</f>
        <v/>
      </c>
      <c r="B1116" s="21">
        <f>ItensPedido!B1116</f>
        <v/>
      </c>
      <c r="C1116" s="21">
        <f>ItensPedido!C1116</f>
        <v/>
      </c>
      <c r="D1116" s="21">
        <f>ItensPedido!D1116</f>
        <v/>
      </c>
      <c r="E1116" s="22">
        <f>ItensPedido!E1116</f>
        <v/>
      </c>
      <c r="F1116" s="21">
        <f>IFERROR(INDEX(Pedidos!$B$2:$B$1801,MATCH(B1116,Pedidos!$A$2:$A$1801,0)),0)</f>
        <v/>
      </c>
      <c r="G1116" s="21">
        <f>IF(F1116=0,"",YEAR(F1116))</f>
        <v/>
      </c>
      <c r="H1116" s="21">
        <f>IF(F1116=0,"",MONTH(F1116))</f>
        <v/>
      </c>
      <c r="I1116" s="21">
        <f>IFERROR(INDEX(Pedidos!$E$2:$E$1801,MATCH(B1116,Pedidos!$A$2:$A$1801,0)),"")</f>
        <v/>
      </c>
      <c r="J1116" s="21">
        <f>IFERROR(INDEX(Pedidos!$C$2:$C$1801,MATCH(B1116,Pedidos!$A$2:$A$1801,0)),"")</f>
        <v/>
      </c>
      <c r="K1116" s="21">
        <f>IFERROR(INDEX(Pedidos!$D$2:$D$1801,MATCH(B1116,Pedidos!$A$2:$A$1801,0)),"")</f>
        <v/>
      </c>
      <c r="L1116" s="21">
        <f>IFERROR(INDEX(Pedidos!$F$2:$F$1801,MATCH(B1116,Pedidos!$A$2:$A$1801,0)),"")</f>
        <v/>
      </c>
      <c r="M1116" s="22">
        <f>IFERROR(INDEX(Pedidos!$G$2:$G$1801,MATCH(B1116,Pedidos!$A$2:$A$1801,0)),0)</f>
        <v/>
      </c>
      <c r="N1116" s="21">
        <f>IFERROR(INDEX(Produtos!$B$2:$B$71,MATCH(C1116,Produtos!$A$2:$A$71,0)),"")</f>
        <v/>
      </c>
      <c r="O1116" s="21">
        <f>IFERROR(INDEX(Produtos!$C$2:$C$71,MATCH(C1116,Produtos!$A$2:$A$71,0)),"")</f>
        <v/>
      </c>
      <c r="P1116" s="21">
        <f>IFERROR(INDEX(Produtos!$D$2:$D$71,MATCH(C1116,Produtos!$A$2:$A$71,0)),0)</f>
        <v/>
      </c>
      <c r="Q1116" s="21">
        <f>IFERROR(INDEX(Produtos!$E$2:$E$71,MATCH(C1116,Produtos!$A$2:$A$71,0)),0)</f>
        <v/>
      </c>
      <c r="R1116" s="23">
        <f>D1116*Q1116</f>
        <v/>
      </c>
      <c r="S1116" s="23">
        <f>R1116*E1116</f>
        <v/>
      </c>
      <c r="T1116" s="23">
        <f>(R1116-S1116)*M1116</f>
        <v/>
      </c>
      <c r="U1116" s="23">
        <f>R1116-S1116-T1116</f>
        <v/>
      </c>
      <c r="V1116" s="23">
        <f>D1116*P1116</f>
        <v/>
      </c>
      <c r="W1116" s="23">
        <f>U1116-V1116</f>
        <v/>
      </c>
      <c r="X1116" s="24">
        <f>IFERROR(W1116/U1116,0)</f>
        <v/>
      </c>
    </row>
    <row r="1117">
      <c r="A1117" s="25">
        <f>ItensPedido!A1117</f>
        <v/>
      </c>
      <c r="B1117" s="25">
        <f>ItensPedido!B1117</f>
        <v/>
      </c>
      <c r="C1117" s="25">
        <f>ItensPedido!C1117</f>
        <v/>
      </c>
      <c r="D1117" s="25">
        <f>ItensPedido!D1117</f>
        <v/>
      </c>
      <c r="E1117" s="26">
        <f>ItensPedido!E1117</f>
        <v/>
      </c>
      <c r="F1117" s="25">
        <f>IFERROR(INDEX(Pedidos!$B$2:$B$1801,MATCH(B1117,Pedidos!$A$2:$A$1801,0)),0)</f>
        <v/>
      </c>
      <c r="G1117" s="25">
        <f>IF(F1117=0,"",YEAR(F1117))</f>
        <v/>
      </c>
      <c r="H1117" s="25">
        <f>IF(F1117=0,"",MONTH(F1117))</f>
        <v/>
      </c>
      <c r="I1117" s="25">
        <f>IFERROR(INDEX(Pedidos!$E$2:$E$1801,MATCH(B1117,Pedidos!$A$2:$A$1801,0)),"")</f>
        <v/>
      </c>
      <c r="J1117" s="25">
        <f>IFERROR(INDEX(Pedidos!$C$2:$C$1801,MATCH(B1117,Pedidos!$A$2:$A$1801,0)),"")</f>
        <v/>
      </c>
      <c r="K1117" s="25">
        <f>IFERROR(INDEX(Pedidos!$D$2:$D$1801,MATCH(B1117,Pedidos!$A$2:$A$1801,0)),"")</f>
        <v/>
      </c>
      <c r="L1117" s="25">
        <f>IFERROR(INDEX(Pedidos!$F$2:$F$1801,MATCH(B1117,Pedidos!$A$2:$A$1801,0)),"")</f>
        <v/>
      </c>
      <c r="M1117" s="26">
        <f>IFERROR(INDEX(Pedidos!$G$2:$G$1801,MATCH(B1117,Pedidos!$A$2:$A$1801,0)),0)</f>
        <v/>
      </c>
      <c r="N1117" s="25">
        <f>IFERROR(INDEX(Produtos!$B$2:$B$71,MATCH(C1117,Produtos!$A$2:$A$71,0)),"")</f>
        <v/>
      </c>
      <c r="O1117" s="25">
        <f>IFERROR(INDEX(Produtos!$C$2:$C$71,MATCH(C1117,Produtos!$A$2:$A$71,0)),"")</f>
        <v/>
      </c>
      <c r="P1117" s="25">
        <f>IFERROR(INDEX(Produtos!$D$2:$D$71,MATCH(C1117,Produtos!$A$2:$A$71,0)),0)</f>
        <v/>
      </c>
      <c r="Q1117" s="25">
        <f>IFERROR(INDEX(Produtos!$E$2:$E$71,MATCH(C1117,Produtos!$A$2:$A$71,0)),0)</f>
        <v/>
      </c>
      <c r="R1117" s="27">
        <f>D1117*Q1117</f>
        <v/>
      </c>
      <c r="S1117" s="27">
        <f>R1117*E1117</f>
        <v/>
      </c>
      <c r="T1117" s="27">
        <f>(R1117-S1117)*M1117</f>
        <v/>
      </c>
      <c r="U1117" s="27">
        <f>R1117-S1117-T1117</f>
        <v/>
      </c>
      <c r="V1117" s="27">
        <f>D1117*P1117</f>
        <v/>
      </c>
      <c r="W1117" s="27">
        <f>U1117-V1117</f>
        <v/>
      </c>
      <c r="X1117" s="28">
        <f>IFERROR(W1117/U1117,0)</f>
        <v/>
      </c>
    </row>
    <row r="1118">
      <c r="A1118" s="21">
        <f>ItensPedido!A1118</f>
        <v/>
      </c>
      <c r="B1118" s="21">
        <f>ItensPedido!B1118</f>
        <v/>
      </c>
      <c r="C1118" s="21">
        <f>ItensPedido!C1118</f>
        <v/>
      </c>
      <c r="D1118" s="21">
        <f>ItensPedido!D1118</f>
        <v/>
      </c>
      <c r="E1118" s="22">
        <f>ItensPedido!E1118</f>
        <v/>
      </c>
      <c r="F1118" s="21">
        <f>IFERROR(INDEX(Pedidos!$B$2:$B$1801,MATCH(B1118,Pedidos!$A$2:$A$1801,0)),0)</f>
        <v/>
      </c>
      <c r="G1118" s="21">
        <f>IF(F1118=0,"",YEAR(F1118))</f>
        <v/>
      </c>
      <c r="H1118" s="21">
        <f>IF(F1118=0,"",MONTH(F1118))</f>
        <v/>
      </c>
      <c r="I1118" s="21">
        <f>IFERROR(INDEX(Pedidos!$E$2:$E$1801,MATCH(B1118,Pedidos!$A$2:$A$1801,0)),"")</f>
        <v/>
      </c>
      <c r="J1118" s="21">
        <f>IFERROR(INDEX(Pedidos!$C$2:$C$1801,MATCH(B1118,Pedidos!$A$2:$A$1801,0)),"")</f>
        <v/>
      </c>
      <c r="K1118" s="21">
        <f>IFERROR(INDEX(Pedidos!$D$2:$D$1801,MATCH(B1118,Pedidos!$A$2:$A$1801,0)),"")</f>
        <v/>
      </c>
      <c r="L1118" s="21">
        <f>IFERROR(INDEX(Pedidos!$F$2:$F$1801,MATCH(B1118,Pedidos!$A$2:$A$1801,0)),"")</f>
        <v/>
      </c>
      <c r="M1118" s="22">
        <f>IFERROR(INDEX(Pedidos!$G$2:$G$1801,MATCH(B1118,Pedidos!$A$2:$A$1801,0)),0)</f>
        <v/>
      </c>
      <c r="N1118" s="21">
        <f>IFERROR(INDEX(Produtos!$B$2:$B$71,MATCH(C1118,Produtos!$A$2:$A$71,0)),"")</f>
        <v/>
      </c>
      <c r="O1118" s="21">
        <f>IFERROR(INDEX(Produtos!$C$2:$C$71,MATCH(C1118,Produtos!$A$2:$A$71,0)),"")</f>
        <v/>
      </c>
      <c r="P1118" s="21">
        <f>IFERROR(INDEX(Produtos!$D$2:$D$71,MATCH(C1118,Produtos!$A$2:$A$71,0)),0)</f>
        <v/>
      </c>
      <c r="Q1118" s="21">
        <f>IFERROR(INDEX(Produtos!$E$2:$E$71,MATCH(C1118,Produtos!$A$2:$A$71,0)),0)</f>
        <v/>
      </c>
      <c r="R1118" s="23">
        <f>D1118*Q1118</f>
        <v/>
      </c>
      <c r="S1118" s="23">
        <f>R1118*E1118</f>
        <v/>
      </c>
      <c r="T1118" s="23">
        <f>(R1118-S1118)*M1118</f>
        <v/>
      </c>
      <c r="U1118" s="23">
        <f>R1118-S1118-T1118</f>
        <v/>
      </c>
      <c r="V1118" s="23">
        <f>D1118*P1118</f>
        <v/>
      </c>
      <c r="W1118" s="23">
        <f>U1118-V1118</f>
        <v/>
      </c>
      <c r="X1118" s="24">
        <f>IFERROR(W1118/U1118,0)</f>
        <v/>
      </c>
    </row>
    <row r="1119">
      <c r="A1119" s="25">
        <f>ItensPedido!A1119</f>
        <v/>
      </c>
      <c r="B1119" s="25">
        <f>ItensPedido!B1119</f>
        <v/>
      </c>
      <c r="C1119" s="25">
        <f>ItensPedido!C1119</f>
        <v/>
      </c>
      <c r="D1119" s="25">
        <f>ItensPedido!D1119</f>
        <v/>
      </c>
      <c r="E1119" s="26">
        <f>ItensPedido!E1119</f>
        <v/>
      </c>
      <c r="F1119" s="25">
        <f>IFERROR(INDEX(Pedidos!$B$2:$B$1801,MATCH(B1119,Pedidos!$A$2:$A$1801,0)),0)</f>
        <v/>
      </c>
      <c r="G1119" s="25">
        <f>IF(F1119=0,"",YEAR(F1119))</f>
        <v/>
      </c>
      <c r="H1119" s="25">
        <f>IF(F1119=0,"",MONTH(F1119))</f>
        <v/>
      </c>
      <c r="I1119" s="25">
        <f>IFERROR(INDEX(Pedidos!$E$2:$E$1801,MATCH(B1119,Pedidos!$A$2:$A$1801,0)),"")</f>
        <v/>
      </c>
      <c r="J1119" s="25">
        <f>IFERROR(INDEX(Pedidos!$C$2:$C$1801,MATCH(B1119,Pedidos!$A$2:$A$1801,0)),"")</f>
        <v/>
      </c>
      <c r="K1119" s="25">
        <f>IFERROR(INDEX(Pedidos!$D$2:$D$1801,MATCH(B1119,Pedidos!$A$2:$A$1801,0)),"")</f>
        <v/>
      </c>
      <c r="L1119" s="25">
        <f>IFERROR(INDEX(Pedidos!$F$2:$F$1801,MATCH(B1119,Pedidos!$A$2:$A$1801,0)),"")</f>
        <v/>
      </c>
      <c r="M1119" s="26">
        <f>IFERROR(INDEX(Pedidos!$G$2:$G$1801,MATCH(B1119,Pedidos!$A$2:$A$1801,0)),0)</f>
        <v/>
      </c>
      <c r="N1119" s="25">
        <f>IFERROR(INDEX(Produtos!$B$2:$B$71,MATCH(C1119,Produtos!$A$2:$A$71,0)),"")</f>
        <v/>
      </c>
      <c r="O1119" s="25">
        <f>IFERROR(INDEX(Produtos!$C$2:$C$71,MATCH(C1119,Produtos!$A$2:$A$71,0)),"")</f>
        <v/>
      </c>
      <c r="P1119" s="25">
        <f>IFERROR(INDEX(Produtos!$D$2:$D$71,MATCH(C1119,Produtos!$A$2:$A$71,0)),0)</f>
        <v/>
      </c>
      <c r="Q1119" s="25">
        <f>IFERROR(INDEX(Produtos!$E$2:$E$71,MATCH(C1119,Produtos!$A$2:$A$71,0)),0)</f>
        <v/>
      </c>
      <c r="R1119" s="27">
        <f>D1119*Q1119</f>
        <v/>
      </c>
      <c r="S1119" s="27">
        <f>R1119*E1119</f>
        <v/>
      </c>
      <c r="T1119" s="27">
        <f>(R1119-S1119)*M1119</f>
        <v/>
      </c>
      <c r="U1119" s="27">
        <f>R1119-S1119-T1119</f>
        <v/>
      </c>
      <c r="V1119" s="27">
        <f>D1119*P1119</f>
        <v/>
      </c>
      <c r="W1119" s="27">
        <f>U1119-V1119</f>
        <v/>
      </c>
      <c r="X1119" s="28">
        <f>IFERROR(W1119/U1119,0)</f>
        <v/>
      </c>
    </row>
    <row r="1120">
      <c r="A1120" s="21">
        <f>ItensPedido!A1120</f>
        <v/>
      </c>
      <c r="B1120" s="21">
        <f>ItensPedido!B1120</f>
        <v/>
      </c>
      <c r="C1120" s="21">
        <f>ItensPedido!C1120</f>
        <v/>
      </c>
      <c r="D1120" s="21">
        <f>ItensPedido!D1120</f>
        <v/>
      </c>
      <c r="E1120" s="22">
        <f>ItensPedido!E1120</f>
        <v/>
      </c>
      <c r="F1120" s="21">
        <f>IFERROR(INDEX(Pedidos!$B$2:$B$1801,MATCH(B1120,Pedidos!$A$2:$A$1801,0)),0)</f>
        <v/>
      </c>
      <c r="G1120" s="21">
        <f>IF(F1120=0,"",YEAR(F1120))</f>
        <v/>
      </c>
      <c r="H1120" s="21">
        <f>IF(F1120=0,"",MONTH(F1120))</f>
        <v/>
      </c>
      <c r="I1120" s="21">
        <f>IFERROR(INDEX(Pedidos!$E$2:$E$1801,MATCH(B1120,Pedidos!$A$2:$A$1801,0)),"")</f>
        <v/>
      </c>
      <c r="J1120" s="21">
        <f>IFERROR(INDEX(Pedidos!$C$2:$C$1801,MATCH(B1120,Pedidos!$A$2:$A$1801,0)),"")</f>
        <v/>
      </c>
      <c r="K1120" s="21">
        <f>IFERROR(INDEX(Pedidos!$D$2:$D$1801,MATCH(B1120,Pedidos!$A$2:$A$1801,0)),"")</f>
        <v/>
      </c>
      <c r="L1120" s="21">
        <f>IFERROR(INDEX(Pedidos!$F$2:$F$1801,MATCH(B1120,Pedidos!$A$2:$A$1801,0)),"")</f>
        <v/>
      </c>
      <c r="M1120" s="22">
        <f>IFERROR(INDEX(Pedidos!$G$2:$G$1801,MATCH(B1120,Pedidos!$A$2:$A$1801,0)),0)</f>
        <v/>
      </c>
      <c r="N1120" s="21">
        <f>IFERROR(INDEX(Produtos!$B$2:$B$71,MATCH(C1120,Produtos!$A$2:$A$71,0)),"")</f>
        <v/>
      </c>
      <c r="O1120" s="21">
        <f>IFERROR(INDEX(Produtos!$C$2:$C$71,MATCH(C1120,Produtos!$A$2:$A$71,0)),"")</f>
        <v/>
      </c>
      <c r="P1120" s="21">
        <f>IFERROR(INDEX(Produtos!$D$2:$D$71,MATCH(C1120,Produtos!$A$2:$A$71,0)),0)</f>
        <v/>
      </c>
      <c r="Q1120" s="21">
        <f>IFERROR(INDEX(Produtos!$E$2:$E$71,MATCH(C1120,Produtos!$A$2:$A$71,0)),0)</f>
        <v/>
      </c>
      <c r="R1120" s="23">
        <f>D1120*Q1120</f>
        <v/>
      </c>
      <c r="S1120" s="23">
        <f>R1120*E1120</f>
        <v/>
      </c>
      <c r="T1120" s="23">
        <f>(R1120-S1120)*M1120</f>
        <v/>
      </c>
      <c r="U1120" s="23">
        <f>R1120-S1120-T1120</f>
        <v/>
      </c>
      <c r="V1120" s="23">
        <f>D1120*P1120</f>
        <v/>
      </c>
      <c r="W1120" s="23">
        <f>U1120-V1120</f>
        <v/>
      </c>
      <c r="X1120" s="24">
        <f>IFERROR(W1120/U1120,0)</f>
        <v/>
      </c>
    </row>
    <row r="1121">
      <c r="A1121" s="25">
        <f>ItensPedido!A1121</f>
        <v/>
      </c>
      <c r="B1121" s="25">
        <f>ItensPedido!B1121</f>
        <v/>
      </c>
      <c r="C1121" s="25">
        <f>ItensPedido!C1121</f>
        <v/>
      </c>
      <c r="D1121" s="25">
        <f>ItensPedido!D1121</f>
        <v/>
      </c>
      <c r="E1121" s="26">
        <f>ItensPedido!E1121</f>
        <v/>
      </c>
      <c r="F1121" s="25">
        <f>IFERROR(INDEX(Pedidos!$B$2:$B$1801,MATCH(B1121,Pedidos!$A$2:$A$1801,0)),0)</f>
        <v/>
      </c>
      <c r="G1121" s="25">
        <f>IF(F1121=0,"",YEAR(F1121))</f>
        <v/>
      </c>
      <c r="H1121" s="25">
        <f>IF(F1121=0,"",MONTH(F1121))</f>
        <v/>
      </c>
      <c r="I1121" s="25">
        <f>IFERROR(INDEX(Pedidos!$E$2:$E$1801,MATCH(B1121,Pedidos!$A$2:$A$1801,0)),"")</f>
        <v/>
      </c>
      <c r="J1121" s="25">
        <f>IFERROR(INDEX(Pedidos!$C$2:$C$1801,MATCH(B1121,Pedidos!$A$2:$A$1801,0)),"")</f>
        <v/>
      </c>
      <c r="K1121" s="25">
        <f>IFERROR(INDEX(Pedidos!$D$2:$D$1801,MATCH(B1121,Pedidos!$A$2:$A$1801,0)),"")</f>
        <v/>
      </c>
      <c r="L1121" s="25">
        <f>IFERROR(INDEX(Pedidos!$F$2:$F$1801,MATCH(B1121,Pedidos!$A$2:$A$1801,0)),"")</f>
        <v/>
      </c>
      <c r="M1121" s="26">
        <f>IFERROR(INDEX(Pedidos!$G$2:$G$1801,MATCH(B1121,Pedidos!$A$2:$A$1801,0)),0)</f>
        <v/>
      </c>
      <c r="N1121" s="25">
        <f>IFERROR(INDEX(Produtos!$B$2:$B$71,MATCH(C1121,Produtos!$A$2:$A$71,0)),"")</f>
        <v/>
      </c>
      <c r="O1121" s="25">
        <f>IFERROR(INDEX(Produtos!$C$2:$C$71,MATCH(C1121,Produtos!$A$2:$A$71,0)),"")</f>
        <v/>
      </c>
      <c r="P1121" s="25">
        <f>IFERROR(INDEX(Produtos!$D$2:$D$71,MATCH(C1121,Produtos!$A$2:$A$71,0)),0)</f>
        <v/>
      </c>
      <c r="Q1121" s="25">
        <f>IFERROR(INDEX(Produtos!$E$2:$E$71,MATCH(C1121,Produtos!$A$2:$A$71,0)),0)</f>
        <v/>
      </c>
      <c r="R1121" s="27">
        <f>D1121*Q1121</f>
        <v/>
      </c>
      <c r="S1121" s="27">
        <f>R1121*E1121</f>
        <v/>
      </c>
      <c r="T1121" s="27">
        <f>(R1121-S1121)*M1121</f>
        <v/>
      </c>
      <c r="U1121" s="27">
        <f>R1121-S1121-T1121</f>
        <v/>
      </c>
      <c r="V1121" s="27">
        <f>D1121*P1121</f>
        <v/>
      </c>
      <c r="W1121" s="27">
        <f>U1121-V1121</f>
        <v/>
      </c>
      <c r="X1121" s="28">
        <f>IFERROR(W1121/U1121,0)</f>
        <v/>
      </c>
    </row>
    <row r="1122">
      <c r="A1122" s="21">
        <f>ItensPedido!A1122</f>
        <v/>
      </c>
      <c r="B1122" s="21">
        <f>ItensPedido!B1122</f>
        <v/>
      </c>
      <c r="C1122" s="21">
        <f>ItensPedido!C1122</f>
        <v/>
      </c>
      <c r="D1122" s="21">
        <f>ItensPedido!D1122</f>
        <v/>
      </c>
      <c r="E1122" s="22">
        <f>ItensPedido!E1122</f>
        <v/>
      </c>
      <c r="F1122" s="21">
        <f>IFERROR(INDEX(Pedidos!$B$2:$B$1801,MATCH(B1122,Pedidos!$A$2:$A$1801,0)),0)</f>
        <v/>
      </c>
      <c r="G1122" s="21">
        <f>IF(F1122=0,"",YEAR(F1122))</f>
        <v/>
      </c>
      <c r="H1122" s="21">
        <f>IF(F1122=0,"",MONTH(F1122))</f>
        <v/>
      </c>
      <c r="I1122" s="21">
        <f>IFERROR(INDEX(Pedidos!$E$2:$E$1801,MATCH(B1122,Pedidos!$A$2:$A$1801,0)),"")</f>
        <v/>
      </c>
      <c r="J1122" s="21">
        <f>IFERROR(INDEX(Pedidos!$C$2:$C$1801,MATCH(B1122,Pedidos!$A$2:$A$1801,0)),"")</f>
        <v/>
      </c>
      <c r="K1122" s="21">
        <f>IFERROR(INDEX(Pedidos!$D$2:$D$1801,MATCH(B1122,Pedidos!$A$2:$A$1801,0)),"")</f>
        <v/>
      </c>
      <c r="L1122" s="21">
        <f>IFERROR(INDEX(Pedidos!$F$2:$F$1801,MATCH(B1122,Pedidos!$A$2:$A$1801,0)),"")</f>
        <v/>
      </c>
      <c r="M1122" s="22">
        <f>IFERROR(INDEX(Pedidos!$G$2:$G$1801,MATCH(B1122,Pedidos!$A$2:$A$1801,0)),0)</f>
        <v/>
      </c>
      <c r="N1122" s="21">
        <f>IFERROR(INDEX(Produtos!$B$2:$B$71,MATCH(C1122,Produtos!$A$2:$A$71,0)),"")</f>
        <v/>
      </c>
      <c r="O1122" s="21">
        <f>IFERROR(INDEX(Produtos!$C$2:$C$71,MATCH(C1122,Produtos!$A$2:$A$71,0)),"")</f>
        <v/>
      </c>
      <c r="P1122" s="21">
        <f>IFERROR(INDEX(Produtos!$D$2:$D$71,MATCH(C1122,Produtos!$A$2:$A$71,0)),0)</f>
        <v/>
      </c>
      <c r="Q1122" s="21">
        <f>IFERROR(INDEX(Produtos!$E$2:$E$71,MATCH(C1122,Produtos!$A$2:$A$71,0)),0)</f>
        <v/>
      </c>
      <c r="R1122" s="23">
        <f>D1122*Q1122</f>
        <v/>
      </c>
      <c r="S1122" s="23">
        <f>R1122*E1122</f>
        <v/>
      </c>
      <c r="T1122" s="23">
        <f>(R1122-S1122)*M1122</f>
        <v/>
      </c>
      <c r="U1122" s="23">
        <f>R1122-S1122-T1122</f>
        <v/>
      </c>
      <c r="V1122" s="23">
        <f>D1122*P1122</f>
        <v/>
      </c>
      <c r="W1122" s="23">
        <f>U1122-V1122</f>
        <v/>
      </c>
      <c r="X1122" s="24">
        <f>IFERROR(W1122/U1122,0)</f>
        <v/>
      </c>
    </row>
    <row r="1123">
      <c r="A1123" s="25">
        <f>ItensPedido!A1123</f>
        <v/>
      </c>
      <c r="B1123" s="25">
        <f>ItensPedido!B1123</f>
        <v/>
      </c>
      <c r="C1123" s="25">
        <f>ItensPedido!C1123</f>
        <v/>
      </c>
      <c r="D1123" s="25">
        <f>ItensPedido!D1123</f>
        <v/>
      </c>
      <c r="E1123" s="26">
        <f>ItensPedido!E1123</f>
        <v/>
      </c>
      <c r="F1123" s="25">
        <f>IFERROR(INDEX(Pedidos!$B$2:$B$1801,MATCH(B1123,Pedidos!$A$2:$A$1801,0)),0)</f>
        <v/>
      </c>
      <c r="G1123" s="25">
        <f>IF(F1123=0,"",YEAR(F1123))</f>
        <v/>
      </c>
      <c r="H1123" s="25">
        <f>IF(F1123=0,"",MONTH(F1123))</f>
        <v/>
      </c>
      <c r="I1123" s="25">
        <f>IFERROR(INDEX(Pedidos!$E$2:$E$1801,MATCH(B1123,Pedidos!$A$2:$A$1801,0)),"")</f>
        <v/>
      </c>
      <c r="J1123" s="25">
        <f>IFERROR(INDEX(Pedidos!$C$2:$C$1801,MATCH(B1123,Pedidos!$A$2:$A$1801,0)),"")</f>
        <v/>
      </c>
      <c r="K1123" s="25">
        <f>IFERROR(INDEX(Pedidos!$D$2:$D$1801,MATCH(B1123,Pedidos!$A$2:$A$1801,0)),"")</f>
        <v/>
      </c>
      <c r="L1123" s="25">
        <f>IFERROR(INDEX(Pedidos!$F$2:$F$1801,MATCH(B1123,Pedidos!$A$2:$A$1801,0)),"")</f>
        <v/>
      </c>
      <c r="M1123" s="26">
        <f>IFERROR(INDEX(Pedidos!$G$2:$G$1801,MATCH(B1123,Pedidos!$A$2:$A$1801,0)),0)</f>
        <v/>
      </c>
      <c r="N1123" s="25">
        <f>IFERROR(INDEX(Produtos!$B$2:$B$71,MATCH(C1123,Produtos!$A$2:$A$71,0)),"")</f>
        <v/>
      </c>
      <c r="O1123" s="25">
        <f>IFERROR(INDEX(Produtos!$C$2:$C$71,MATCH(C1123,Produtos!$A$2:$A$71,0)),"")</f>
        <v/>
      </c>
      <c r="P1123" s="25">
        <f>IFERROR(INDEX(Produtos!$D$2:$D$71,MATCH(C1123,Produtos!$A$2:$A$71,0)),0)</f>
        <v/>
      </c>
      <c r="Q1123" s="25">
        <f>IFERROR(INDEX(Produtos!$E$2:$E$71,MATCH(C1123,Produtos!$A$2:$A$71,0)),0)</f>
        <v/>
      </c>
      <c r="R1123" s="27">
        <f>D1123*Q1123</f>
        <v/>
      </c>
      <c r="S1123" s="27">
        <f>R1123*E1123</f>
        <v/>
      </c>
      <c r="T1123" s="27">
        <f>(R1123-S1123)*M1123</f>
        <v/>
      </c>
      <c r="U1123" s="27">
        <f>R1123-S1123-T1123</f>
        <v/>
      </c>
      <c r="V1123" s="27">
        <f>D1123*P1123</f>
        <v/>
      </c>
      <c r="W1123" s="27">
        <f>U1123-V1123</f>
        <v/>
      </c>
      <c r="X1123" s="28">
        <f>IFERROR(W1123/U1123,0)</f>
        <v/>
      </c>
    </row>
    <row r="1124">
      <c r="A1124" s="21">
        <f>ItensPedido!A1124</f>
        <v/>
      </c>
      <c r="B1124" s="21">
        <f>ItensPedido!B1124</f>
        <v/>
      </c>
      <c r="C1124" s="21">
        <f>ItensPedido!C1124</f>
        <v/>
      </c>
      <c r="D1124" s="21">
        <f>ItensPedido!D1124</f>
        <v/>
      </c>
      <c r="E1124" s="22">
        <f>ItensPedido!E1124</f>
        <v/>
      </c>
      <c r="F1124" s="21">
        <f>IFERROR(INDEX(Pedidos!$B$2:$B$1801,MATCH(B1124,Pedidos!$A$2:$A$1801,0)),0)</f>
        <v/>
      </c>
      <c r="G1124" s="21">
        <f>IF(F1124=0,"",YEAR(F1124))</f>
        <v/>
      </c>
      <c r="H1124" s="21">
        <f>IF(F1124=0,"",MONTH(F1124))</f>
        <v/>
      </c>
      <c r="I1124" s="21">
        <f>IFERROR(INDEX(Pedidos!$E$2:$E$1801,MATCH(B1124,Pedidos!$A$2:$A$1801,0)),"")</f>
        <v/>
      </c>
      <c r="J1124" s="21">
        <f>IFERROR(INDEX(Pedidos!$C$2:$C$1801,MATCH(B1124,Pedidos!$A$2:$A$1801,0)),"")</f>
        <v/>
      </c>
      <c r="K1124" s="21">
        <f>IFERROR(INDEX(Pedidos!$D$2:$D$1801,MATCH(B1124,Pedidos!$A$2:$A$1801,0)),"")</f>
        <v/>
      </c>
      <c r="L1124" s="21">
        <f>IFERROR(INDEX(Pedidos!$F$2:$F$1801,MATCH(B1124,Pedidos!$A$2:$A$1801,0)),"")</f>
        <v/>
      </c>
      <c r="M1124" s="22">
        <f>IFERROR(INDEX(Pedidos!$G$2:$G$1801,MATCH(B1124,Pedidos!$A$2:$A$1801,0)),0)</f>
        <v/>
      </c>
      <c r="N1124" s="21">
        <f>IFERROR(INDEX(Produtos!$B$2:$B$71,MATCH(C1124,Produtos!$A$2:$A$71,0)),"")</f>
        <v/>
      </c>
      <c r="O1124" s="21">
        <f>IFERROR(INDEX(Produtos!$C$2:$C$71,MATCH(C1124,Produtos!$A$2:$A$71,0)),"")</f>
        <v/>
      </c>
      <c r="P1124" s="21">
        <f>IFERROR(INDEX(Produtos!$D$2:$D$71,MATCH(C1124,Produtos!$A$2:$A$71,0)),0)</f>
        <v/>
      </c>
      <c r="Q1124" s="21">
        <f>IFERROR(INDEX(Produtos!$E$2:$E$71,MATCH(C1124,Produtos!$A$2:$A$71,0)),0)</f>
        <v/>
      </c>
      <c r="R1124" s="23">
        <f>D1124*Q1124</f>
        <v/>
      </c>
      <c r="S1124" s="23">
        <f>R1124*E1124</f>
        <v/>
      </c>
      <c r="T1124" s="23">
        <f>(R1124-S1124)*M1124</f>
        <v/>
      </c>
      <c r="U1124" s="23">
        <f>R1124-S1124-T1124</f>
        <v/>
      </c>
      <c r="V1124" s="23">
        <f>D1124*P1124</f>
        <v/>
      </c>
      <c r="W1124" s="23">
        <f>U1124-V1124</f>
        <v/>
      </c>
      <c r="X1124" s="24">
        <f>IFERROR(W1124/U1124,0)</f>
        <v/>
      </c>
    </row>
    <row r="1125">
      <c r="A1125" s="25">
        <f>ItensPedido!A1125</f>
        <v/>
      </c>
      <c r="B1125" s="25">
        <f>ItensPedido!B1125</f>
        <v/>
      </c>
      <c r="C1125" s="25">
        <f>ItensPedido!C1125</f>
        <v/>
      </c>
      <c r="D1125" s="25">
        <f>ItensPedido!D1125</f>
        <v/>
      </c>
      <c r="E1125" s="26">
        <f>ItensPedido!E1125</f>
        <v/>
      </c>
      <c r="F1125" s="25">
        <f>IFERROR(INDEX(Pedidos!$B$2:$B$1801,MATCH(B1125,Pedidos!$A$2:$A$1801,0)),0)</f>
        <v/>
      </c>
      <c r="G1125" s="25">
        <f>IF(F1125=0,"",YEAR(F1125))</f>
        <v/>
      </c>
      <c r="H1125" s="25">
        <f>IF(F1125=0,"",MONTH(F1125))</f>
        <v/>
      </c>
      <c r="I1125" s="25">
        <f>IFERROR(INDEX(Pedidos!$E$2:$E$1801,MATCH(B1125,Pedidos!$A$2:$A$1801,0)),"")</f>
        <v/>
      </c>
      <c r="J1125" s="25">
        <f>IFERROR(INDEX(Pedidos!$C$2:$C$1801,MATCH(B1125,Pedidos!$A$2:$A$1801,0)),"")</f>
        <v/>
      </c>
      <c r="K1125" s="25">
        <f>IFERROR(INDEX(Pedidos!$D$2:$D$1801,MATCH(B1125,Pedidos!$A$2:$A$1801,0)),"")</f>
        <v/>
      </c>
      <c r="L1125" s="25">
        <f>IFERROR(INDEX(Pedidos!$F$2:$F$1801,MATCH(B1125,Pedidos!$A$2:$A$1801,0)),"")</f>
        <v/>
      </c>
      <c r="M1125" s="26">
        <f>IFERROR(INDEX(Pedidos!$G$2:$G$1801,MATCH(B1125,Pedidos!$A$2:$A$1801,0)),0)</f>
        <v/>
      </c>
      <c r="N1125" s="25">
        <f>IFERROR(INDEX(Produtos!$B$2:$B$71,MATCH(C1125,Produtos!$A$2:$A$71,0)),"")</f>
        <v/>
      </c>
      <c r="O1125" s="25">
        <f>IFERROR(INDEX(Produtos!$C$2:$C$71,MATCH(C1125,Produtos!$A$2:$A$71,0)),"")</f>
        <v/>
      </c>
      <c r="P1125" s="25">
        <f>IFERROR(INDEX(Produtos!$D$2:$D$71,MATCH(C1125,Produtos!$A$2:$A$71,0)),0)</f>
        <v/>
      </c>
      <c r="Q1125" s="25">
        <f>IFERROR(INDEX(Produtos!$E$2:$E$71,MATCH(C1125,Produtos!$A$2:$A$71,0)),0)</f>
        <v/>
      </c>
      <c r="R1125" s="27">
        <f>D1125*Q1125</f>
        <v/>
      </c>
      <c r="S1125" s="27">
        <f>R1125*E1125</f>
        <v/>
      </c>
      <c r="T1125" s="27">
        <f>(R1125-S1125)*M1125</f>
        <v/>
      </c>
      <c r="U1125" s="27">
        <f>R1125-S1125-T1125</f>
        <v/>
      </c>
      <c r="V1125" s="27">
        <f>D1125*P1125</f>
        <v/>
      </c>
      <c r="W1125" s="27">
        <f>U1125-V1125</f>
        <v/>
      </c>
      <c r="X1125" s="28">
        <f>IFERROR(W1125/U1125,0)</f>
        <v/>
      </c>
    </row>
    <row r="1126">
      <c r="A1126" s="21">
        <f>ItensPedido!A1126</f>
        <v/>
      </c>
      <c r="B1126" s="21">
        <f>ItensPedido!B1126</f>
        <v/>
      </c>
      <c r="C1126" s="21">
        <f>ItensPedido!C1126</f>
        <v/>
      </c>
      <c r="D1126" s="21">
        <f>ItensPedido!D1126</f>
        <v/>
      </c>
      <c r="E1126" s="22">
        <f>ItensPedido!E1126</f>
        <v/>
      </c>
      <c r="F1126" s="21">
        <f>IFERROR(INDEX(Pedidos!$B$2:$B$1801,MATCH(B1126,Pedidos!$A$2:$A$1801,0)),0)</f>
        <v/>
      </c>
      <c r="G1126" s="21">
        <f>IF(F1126=0,"",YEAR(F1126))</f>
        <v/>
      </c>
      <c r="H1126" s="21">
        <f>IF(F1126=0,"",MONTH(F1126))</f>
        <v/>
      </c>
      <c r="I1126" s="21">
        <f>IFERROR(INDEX(Pedidos!$E$2:$E$1801,MATCH(B1126,Pedidos!$A$2:$A$1801,0)),"")</f>
        <v/>
      </c>
      <c r="J1126" s="21">
        <f>IFERROR(INDEX(Pedidos!$C$2:$C$1801,MATCH(B1126,Pedidos!$A$2:$A$1801,0)),"")</f>
        <v/>
      </c>
      <c r="K1126" s="21">
        <f>IFERROR(INDEX(Pedidos!$D$2:$D$1801,MATCH(B1126,Pedidos!$A$2:$A$1801,0)),"")</f>
        <v/>
      </c>
      <c r="L1126" s="21">
        <f>IFERROR(INDEX(Pedidos!$F$2:$F$1801,MATCH(B1126,Pedidos!$A$2:$A$1801,0)),"")</f>
        <v/>
      </c>
      <c r="M1126" s="22">
        <f>IFERROR(INDEX(Pedidos!$G$2:$G$1801,MATCH(B1126,Pedidos!$A$2:$A$1801,0)),0)</f>
        <v/>
      </c>
      <c r="N1126" s="21">
        <f>IFERROR(INDEX(Produtos!$B$2:$B$71,MATCH(C1126,Produtos!$A$2:$A$71,0)),"")</f>
        <v/>
      </c>
      <c r="O1126" s="21">
        <f>IFERROR(INDEX(Produtos!$C$2:$C$71,MATCH(C1126,Produtos!$A$2:$A$71,0)),"")</f>
        <v/>
      </c>
      <c r="P1126" s="21">
        <f>IFERROR(INDEX(Produtos!$D$2:$D$71,MATCH(C1126,Produtos!$A$2:$A$71,0)),0)</f>
        <v/>
      </c>
      <c r="Q1126" s="21">
        <f>IFERROR(INDEX(Produtos!$E$2:$E$71,MATCH(C1126,Produtos!$A$2:$A$71,0)),0)</f>
        <v/>
      </c>
      <c r="R1126" s="23">
        <f>D1126*Q1126</f>
        <v/>
      </c>
      <c r="S1126" s="23">
        <f>R1126*E1126</f>
        <v/>
      </c>
      <c r="T1126" s="23">
        <f>(R1126-S1126)*M1126</f>
        <v/>
      </c>
      <c r="U1126" s="23">
        <f>R1126-S1126-T1126</f>
        <v/>
      </c>
      <c r="V1126" s="23">
        <f>D1126*P1126</f>
        <v/>
      </c>
      <c r="W1126" s="23">
        <f>U1126-V1126</f>
        <v/>
      </c>
      <c r="X1126" s="24">
        <f>IFERROR(W1126/U1126,0)</f>
        <v/>
      </c>
    </row>
    <row r="1127">
      <c r="A1127" s="25">
        <f>ItensPedido!A1127</f>
        <v/>
      </c>
      <c r="B1127" s="25">
        <f>ItensPedido!B1127</f>
        <v/>
      </c>
      <c r="C1127" s="25">
        <f>ItensPedido!C1127</f>
        <v/>
      </c>
      <c r="D1127" s="25">
        <f>ItensPedido!D1127</f>
        <v/>
      </c>
      <c r="E1127" s="26">
        <f>ItensPedido!E1127</f>
        <v/>
      </c>
      <c r="F1127" s="25">
        <f>IFERROR(INDEX(Pedidos!$B$2:$B$1801,MATCH(B1127,Pedidos!$A$2:$A$1801,0)),0)</f>
        <v/>
      </c>
      <c r="G1127" s="25">
        <f>IF(F1127=0,"",YEAR(F1127))</f>
        <v/>
      </c>
      <c r="H1127" s="25">
        <f>IF(F1127=0,"",MONTH(F1127))</f>
        <v/>
      </c>
      <c r="I1127" s="25">
        <f>IFERROR(INDEX(Pedidos!$E$2:$E$1801,MATCH(B1127,Pedidos!$A$2:$A$1801,0)),"")</f>
        <v/>
      </c>
      <c r="J1127" s="25">
        <f>IFERROR(INDEX(Pedidos!$C$2:$C$1801,MATCH(B1127,Pedidos!$A$2:$A$1801,0)),"")</f>
        <v/>
      </c>
      <c r="K1127" s="25">
        <f>IFERROR(INDEX(Pedidos!$D$2:$D$1801,MATCH(B1127,Pedidos!$A$2:$A$1801,0)),"")</f>
        <v/>
      </c>
      <c r="L1127" s="25">
        <f>IFERROR(INDEX(Pedidos!$F$2:$F$1801,MATCH(B1127,Pedidos!$A$2:$A$1801,0)),"")</f>
        <v/>
      </c>
      <c r="M1127" s="26">
        <f>IFERROR(INDEX(Pedidos!$G$2:$G$1801,MATCH(B1127,Pedidos!$A$2:$A$1801,0)),0)</f>
        <v/>
      </c>
      <c r="N1127" s="25">
        <f>IFERROR(INDEX(Produtos!$B$2:$B$71,MATCH(C1127,Produtos!$A$2:$A$71,0)),"")</f>
        <v/>
      </c>
      <c r="O1127" s="25">
        <f>IFERROR(INDEX(Produtos!$C$2:$C$71,MATCH(C1127,Produtos!$A$2:$A$71,0)),"")</f>
        <v/>
      </c>
      <c r="P1127" s="25">
        <f>IFERROR(INDEX(Produtos!$D$2:$D$71,MATCH(C1127,Produtos!$A$2:$A$71,0)),0)</f>
        <v/>
      </c>
      <c r="Q1127" s="25">
        <f>IFERROR(INDEX(Produtos!$E$2:$E$71,MATCH(C1127,Produtos!$A$2:$A$71,0)),0)</f>
        <v/>
      </c>
      <c r="R1127" s="27">
        <f>D1127*Q1127</f>
        <v/>
      </c>
      <c r="S1127" s="27">
        <f>R1127*E1127</f>
        <v/>
      </c>
      <c r="T1127" s="27">
        <f>(R1127-S1127)*M1127</f>
        <v/>
      </c>
      <c r="U1127" s="27">
        <f>R1127-S1127-T1127</f>
        <v/>
      </c>
      <c r="V1127" s="27">
        <f>D1127*P1127</f>
        <v/>
      </c>
      <c r="W1127" s="27">
        <f>U1127-V1127</f>
        <v/>
      </c>
      <c r="X1127" s="28">
        <f>IFERROR(W1127/U1127,0)</f>
        <v/>
      </c>
    </row>
    <row r="1128">
      <c r="A1128" s="21">
        <f>ItensPedido!A1128</f>
        <v/>
      </c>
      <c r="B1128" s="21">
        <f>ItensPedido!B1128</f>
        <v/>
      </c>
      <c r="C1128" s="21">
        <f>ItensPedido!C1128</f>
        <v/>
      </c>
      <c r="D1128" s="21">
        <f>ItensPedido!D1128</f>
        <v/>
      </c>
      <c r="E1128" s="22">
        <f>ItensPedido!E1128</f>
        <v/>
      </c>
      <c r="F1128" s="21">
        <f>IFERROR(INDEX(Pedidos!$B$2:$B$1801,MATCH(B1128,Pedidos!$A$2:$A$1801,0)),0)</f>
        <v/>
      </c>
      <c r="G1128" s="21">
        <f>IF(F1128=0,"",YEAR(F1128))</f>
        <v/>
      </c>
      <c r="H1128" s="21">
        <f>IF(F1128=0,"",MONTH(F1128))</f>
        <v/>
      </c>
      <c r="I1128" s="21">
        <f>IFERROR(INDEX(Pedidos!$E$2:$E$1801,MATCH(B1128,Pedidos!$A$2:$A$1801,0)),"")</f>
        <v/>
      </c>
      <c r="J1128" s="21">
        <f>IFERROR(INDEX(Pedidos!$C$2:$C$1801,MATCH(B1128,Pedidos!$A$2:$A$1801,0)),"")</f>
        <v/>
      </c>
      <c r="K1128" s="21">
        <f>IFERROR(INDEX(Pedidos!$D$2:$D$1801,MATCH(B1128,Pedidos!$A$2:$A$1801,0)),"")</f>
        <v/>
      </c>
      <c r="L1128" s="21">
        <f>IFERROR(INDEX(Pedidos!$F$2:$F$1801,MATCH(B1128,Pedidos!$A$2:$A$1801,0)),"")</f>
        <v/>
      </c>
      <c r="M1128" s="22">
        <f>IFERROR(INDEX(Pedidos!$G$2:$G$1801,MATCH(B1128,Pedidos!$A$2:$A$1801,0)),0)</f>
        <v/>
      </c>
      <c r="N1128" s="21">
        <f>IFERROR(INDEX(Produtos!$B$2:$B$71,MATCH(C1128,Produtos!$A$2:$A$71,0)),"")</f>
        <v/>
      </c>
      <c r="O1128" s="21">
        <f>IFERROR(INDEX(Produtos!$C$2:$C$71,MATCH(C1128,Produtos!$A$2:$A$71,0)),"")</f>
        <v/>
      </c>
      <c r="P1128" s="21">
        <f>IFERROR(INDEX(Produtos!$D$2:$D$71,MATCH(C1128,Produtos!$A$2:$A$71,0)),0)</f>
        <v/>
      </c>
      <c r="Q1128" s="21">
        <f>IFERROR(INDEX(Produtos!$E$2:$E$71,MATCH(C1128,Produtos!$A$2:$A$71,0)),0)</f>
        <v/>
      </c>
      <c r="R1128" s="23">
        <f>D1128*Q1128</f>
        <v/>
      </c>
      <c r="S1128" s="23">
        <f>R1128*E1128</f>
        <v/>
      </c>
      <c r="T1128" s="23">
        <f>(R1128-S1128)*M1128</f>
        <v/>
      </c>
      <c r="U1128" s="23">
        <f>R1128-S1128-T1128</f>
        <v/>
      </c>
      <c r="V1128" s="23">
        <f>D1128*P1128</f>
        <v/>
      </c>
      <c r="W1128" s="23">
        <f>U1128-V1128</f>
        <v/>
      </c>
      <c r="X1128" s="24">
        <f>IFERROR(W1128/U1128,0)</f>
        <v/>
      </c>
    </row>
    <row r="1129">
      <c r="A1129" s="25">
        <f>ItensPedido!A1129</f>
        <v/>
      </c>
      <c r="B1129" s="25">
        <f>ItensPedido!B1129</f>
        <v/>
      </c>
      <c r="C1129" s="25">
        <f>ItensPedido!C1129</f>
        <v/>
      </c>
      <c r="D1129" s="25">
        <f>ItensPedido!D1129</f>
        <v/>
      </c>
      <c r="E1129" s="26">
        <f>ItensPedido!E1129</f>
        <v/>
      </c>
      <c r="F1129" s="25">
        <f>IFERROR(INDEX(Pedidos!$B$2:$B$1801,MATCH(B1129,Pedidos!$A$2:$A$1801,0)),0)</f>
        <v/>
      </c>
      <c r="G1129" s="25">
        <f>IF(F1129=0,"",YEAR(F1129))</f>
        <v/>
      </c>
      <c r="H1129" s="25">
        <f>IF(F1129=0,"",MONTH(F1129))</f>
        <v/>
      </c>
      <c r="I1129" s="25">
        <f>IFERROR(INDEX(Pedidos!$E$2:$E$1801,MATCH(B1129,Pedidos!$A$2:$A$1801,0)),"")</f>
        <v/>
      </c>
      <c r="J1129" s="25">
        <f>IFERROR(INDEX(Pedidos!$C$2:$C$1801,MATCH(B1129,Pedidos!$A$2:$A$1801,0)),"")</f>
        <v/>
      </c>
      <c r="K1129" s="25">
        <f>IFERROR(INDEX(Pedidos!$D$2:$D$1801,MATCH(B1129,Pedidos!$A$2:$A$1801,0)),"")</f>
        <v/>
      </c>
      <c r="L1129" s="25">
        <f>IFERROR(INDEX(Pedidos!$F$2:$F$1801,MATCH(B1129,Pedidos!$A$2:$A$1801,0)),"")</f>
        <v/>
      </c>
      <c r="M1129" s="26">
        <f>IFERROR(INDEX(Pedidos!$G$2:$G$1801,MATCH(B1129,Pedidos!$A$2:$A$1801,0)),0)</f>
        <v/>
      </c>
      <c r="N1129" s="25">
        <f>IFERROR(INDEX(Produtos!$B$2:$B$71,MATCH(C1129,Produtos!$A$2:$A$71,0)),"")</f>
        <v/>
      </c>
      <c r="O1129" s="25">
        <f>IFERROR(INDEX(Produtos!$C$2:$C$71,MATCH(C1129,Produtos!$A$2:$A$71,0)),"")</f>
        <v/>
      </c>
      <c r="P1129" s="25">
        <f>IFERROR(INDEX(Produtos!$D$2:$D$71,MATCH(C1129,Produtos!$A$2:$A$71,0)),0)</f>
        <v/>
      </c>
      <c r="Q1129" s="25">
        <f>IFERROR(INDEX(Produtos!$E$2:$E$71,MATCH(C1129,Produtos!$A$2:$A$71,0)),0)</f>
        <v/>
      </c>
      <c r="R1129" s="27">
        <f>D1129*Q1129</f>
        <v/>
      </c>
      <c r="S1129" s="27">
        <f>R1129*E1129</f>
        <v/>
      </c>
      <c r="T1129" s="27">
        <f>(R1129-S1129)*M1129</f>
        <v/>
      </c>
      <c r="U1129" s="27">
        <f>R1129-S1129-T1129</f>
        <v/>
      </c>
      <c r="V1129" s="27">
        <f>D1129*P1129</f>
        <v/>
      </c>
      <c r="W1129" s="27">
        <f>U1129-V1129</f>
        <v/>
      </c>
      <c r="X1129" s="28">
        <f>IFERROR(W1129/U1129,0)</f>
        <v/>
      </c>
    </row>
    <row r="1130">
      <c r="A1130" s="21">
        <f>ItensPedido!A1130</f>
        <v/>
      </c>
      <c r="B1130" s="21">
        <f>ItensPedido!B1130</f>
        <v/>
      </c>
      <c r="C1130" s="21">
        <f>ItensPedido!C1130</f>
        <v/>
      </c>
      <c r="D1130" s="21">
        <f>ItensPedido!D1130</f>
        <v/>
      </c>
      <c r="E1130" s="22">
        <f>ItensPedido!E1130</f>
        <v/>
      </c>
      <c r="F1130" s="21">
        <f>IFERROR(INDEX(Pedidos!$B$2:$B$1801,MATCH(B1130,Pedidos!$A$2:$A$1801,0)),0)</f>
        <v/>
      </c>
      <c r="G1130" s="21">
        <f>IF(F1130=0,"",YEAR(F1130))</f>
        <v/>
      </c>
      <c r="H1130" s="21">
        <f>IF(F1130=0,"",MONTH(F1130))</f>
        <v/>
      </c>
      <c r="I1130" s="21">
        <f>IFERROR(INDEX(Pedidos!$E$2:$E$1801,MATCH(B1130,Pedidos!$A$2:$A$1801,0)),"")</f>
        <v/>
      </c>
      <c r="J1130" s="21">
        <f>IFERROR(INDEX(Pedidos!$C$2:$C$1801,MATCH(B1130,Pedidos!$A$2:$A$1801,0)),"")</f>
        <v/>
      </c>
      <c r="K1130" s="21">
        <f>IFERROR(INDEX(Pedidos!$D$2:$D$1801,MATCH(B1130,Pedidos!$A$2:$A$1801,0)),"")</f>
        <v/>
      </c>
      <c r="L1130" s="21">
        <f>IFERROR(INDEX(Pedidos!$F$2:$F$1801,MATCH(B1130,Pedidos!$A$2:$A$1801,0)),"")</f>
        <v/>
      </c>
      <c r="M1130" s="22">
        <f>IFERROR(INDEX(Pedidos!$G$2:$G$1801,MATCH(B1130,Pedidos!$A$2:$A$1801,0)),0)</f>
        <v/>
      </c>
      <c r="N1130" s="21">
        <f>IFERROR(INDEX(Produtos!$B$2:$B$71,MATCH(C1130,Produtos!$A$2:$A$71,0)),"")</f>
        <v/>
      </c>
      <c r="O1130" s="21">
        <f>IFERROR(INDEX(Produtos!$C$2:$C$71,MATCH(C1130,Produtos!$A$2:$A$71,0)),"")</f>
        <v/>
      </c>
      <c r="P1130" s="21">
        <f>IFERROR(INDEX(Produtos!$D$2:$D$71,MATCH(C1130,Produtos!$A$2:$A$71,0)),0)</f>
        <v/>
      </c>
      <c r="Q1130" s="21">
        <f>IFERROR(INDEX(Produtos!$E$2:$E$71,MATCH(C1130,Produtos!$A$2:$A$71,0)),0)</f>
        <v/>
      </c>
      <c r="R1130" s="23">
        <f>D1130*Q1130</f>
        <v/>
      </c>
      <c r="S1130" s="23">
        <f>R1130*E1130</f>
        <v/>
      </c>
      <c r="T1130" s="23">
        <f>(R1130-S1130)*M1130</f>
        <v/>
      </c>
      <c r="U1130" s="23">
        <f>R1130-S1130-T1130</f>
        <v/>
      </c>
      <c r="V1130" s="23">
        <f>D1130*P1130</f>
        <v/>
      </c>
      <c r="W1130" s="23">
        <f>U1130-V1130</f>
        <v/>
      </c>
      <c r="X1130" s="24">
        <f>IFERROR(W1130/U1130,0)</f>
        <v/>
      </c>
    </row>
    <row r="1131">
      <c r="A1131" s="25">
        <f>ItensPedido!A1131</f>
        <v/>
      </c>
      <c r="B1131" s="25">
        <f>ItensPedido!B1131</f>
        <v/>
      </c>
      <c r="C1131" s="25">
        <f>ItensPedido!C1131</f>
        <v/>
      </c>
      <c r="D1131" s="25">
        <f>ItensPedido!D1131</f>
        <v/>
      </c>
      <c r="E1131" s="26">
        <f>ItensPedido!E1131</f>
        <v/>
      </c>
      <c r="F1131" s="25">
        <f>IFERROR(INDEX(Pedidos!$B$2:$B$1801,MATCH(B1131,Pedidos!$A$2:$A$1801,0)),0)</f>
        <v/>
      </c>
      <c r="G1131" s="25">
        <f>IF(F1131=0,"",YEAR(F1131))</f>
        <v/>
      </c>
      <c r="H1131" s="25">
        <f>IF(F1131=0,"",MONTH(F1131))</f>
        <v/>
      </c>
      <c r="I1131" s="25">
        <f>IFERROR(INDEX(Pedidos!$E$2:$E$1801,MATCH(B1131,Pedidos!$A$2:$A$1801,0)),"")</f>
        <v/>
      </c>
      <c r="J1131" s="25">
        <f>IFERROR(INDEX(Pedidos!$C$2:$C$1801,MATCH(B1131,Pedidos!$A$2:$A$1801,0)),"")</f>
        <v/>
      </c>
      <c r="K1131" s="25">
        <f>IFERROR(INDEX(Pedidos!$D$2:$D$1801,MATCH(B1131,Pedidos!$A$2:$A$1801,0)),"")</f>
        <v/>
      </c>
      <c r="L1131" s="25">
        <f>IFERROR(INDEX(Pedidos!$F$2:$F$1801,MATCH(B1131,Pedidos!$A$2:$A$1801,0)),"")</f>
        <v/>
      </c>
      <c r="M1131" s="26">
        <f>IFERROR(INDEX(Pedidos!$G$2:$G$1801,MATCH(B1131,Pedidos!$A$2:$A$1801,0)),0)</f>
        <v/>
      </c>
      <c r="N1131" s="25">
        <f>IFERROR(INDEX(Produtos!$B$2:$B$71,MATCH(C1131,Produtos!$A$2:$A$71,0)),"")</f>
        <v/>
      </c>
      <c r="O1131" s="25">
        <f>IFERROR(INDEX(Produtos!$C$2:$C$71,MATCH(C1131,Produtos!$A$2:$A$71,0)),"")</f>
        <v/>
      </c>
      <c r="P1131" s="25">
        <f>IFERROR(INDEX(Produtos!$D$2:$D$71,MATCH(C1131,Produtos!$A$2:$A$71,0)),0)</f>
        <v/>
      </c>
      <c r="Q1131" s="25">
        <f>IFERROR(INDEX(Produtos!$E$2:$E$71,MATCH(C1131,Produtos!$A$2:$A$71,0)),0)</f>
        <v/>
      </c>
      <c r="R1131" s="27">
        <f>D1131*Q1131</f>
        <v/>
      </c>
      <c r="S1131" s="27">
        <f>R1131*E1131</f>
        <v/>
      </c>
      <c r="T1131" s="27">
        <f>(R1131-S1131)*M1131</f>
        <v/>
      </c>
      <c r="U1131" s="27">
        <f>R1131-S1131-T1131</f>
        <v/>
      </c>
      <c r="V1131" s="27">
        <f>D1131*P1131</f>
        <v/>
      </c>
      <c r="W1131" s="27">
        <f>U1131-V1131</f>
        <v/>
      </c>
      <c r="X1131" s="28">
        <f>IFERROR(W1131/U1131,0)</f>
        <v/>
      </c>
    </row>
    <row r="1132">
      <c r="A1132" s="21">
        <f>ItensPedido!A1132</f>
        <v/>
      </c>
      <c r="B1132" s="21">
        <f>ItensPedido!B1132</f>
        <v/>
      </c>
      <c r="C1132" s="21">
        <f>ItensPedido!C1132</f>
        <v/>
      </c>
      <c r="D1132" s="21">
        <f>ItensPedido!D1132</f>
        <v/>
      </c>
      <c r="E1132" s="22">
        <f>ItensPedido!E1132</f>
        <v/>
      </c>
      <c r="F1132" s="21">
        <f>IFERROR(INDEX(Pedidos!$B$2:$B$1801,MATCH(B1132,Pedidos!$A$2:$A$1801,0)),0)</f>
        <v/>
      </c>
      <c r="G1132" s="21">
        <f>IF(F1132=0,"",YEAR(F1132))</f>
        <v/>
      </c>
      <c r="H1132" s="21">
        <f>IF(F1132=0,"",MONTH(F1132))</f>
        <v/>
      </c>
      <c r="I1132" s="21">
        <f>IFERROR(INDEX(Pedidos!$E$2:$E$1801,MATCH(B1132,Pedidos!$A$2:$A$1801,0)),"")</f>
        <v/>
      </c>
      <c r="J1132" s="21">
        <f>IFERROR(INDEX(Pedidos!$C$2:$C$1801,MATCH(B1132,Pedidos!$A$2:$A$1801,0)),"")</f>
        <v/>
      </c>
      <c r="K1132" s="21">
        <f>IFERROR(INDEX(Pedidos!$D$2:$D$1801,MATCH(B1132,Pedidos!$A$2:$A$1801,0)),"")</f>
        <v/>
      </c>
      <c r="L1132" s="21">
        <f>IFERROR(INDEX(Pedidos!$F$2:$F$1801,MATCH(B1132,Pedidos!$A$2:$A$1801,0)),"")</f>
        <v/>
      </c>
      <c r="M1132" s="22">
        <f>IFERROR(INDEX(Pedidos!$G$2:$G$1801,MATCH(B1132,Pedidos!$A$2:$A$1801,0)),0)</f>
        <v/>
      </c>
      <c r="N1132" s="21">
        <f>IFERROR(INDEX(Produtos!$B$2:$B$71,MATCH(C1132,Produtos!$A$2:$A$71,0)),"")</f>
        <v/>
      </c>
      <c r="O1132" s="21">
        <f>IFERROR(INDEX(Produtos!$C$2:$C$71,MATCH(C1132,Produtos!$A$2:$A$71,0)),"")</f>
        <v/>
      </c>
      <c r="P1132" s="21">
        <f>IFERROR(INDEX(Produtos!$D$2:$D$71,MATCH(C1132,Produtos!$A$2:$A$71,0)),0)</f>
        <v/>
      </c>
      <c r="Q1132" s="21">
        <f>IFERROR(INDEX(Produtos!$E$2:$E$71,MATCH(C1132,Produtos!$A$2:$A$71,0)),0)</f>
        <v/>
      </c>
      <c r="R1132" s="23">
        <f>D1132*Q1132</f>
        <v/>
      </c>
      <c r="S1132" s="23">
        <f>R1132*E1132</f>
        <v/>
      </c>
      <c r="T1132" s="23">
        <f>(R1132-S1132)*M1132</f>
        <v/>
      </c>
      <c r="U1132" s="23">
        <f>R1132-S1132-T1132</f>
        <v/>
      </c>
      <c r="V1132" s="23">
        <f>D1132*P1132</f>
        <v/>
      </c>
      <c r="W1132" s="23">
        <f>U1132-V1132</f>
        <v/>
      </c>
      <c r="X1132" s="24">
        <f>IFERROR(W1132/U1132,0)</f>
        <v/>
      </c>
    </row>
    <row r="1133">
      <c r="A1133" s="25">
        <f>ItensPedido!A1133</f>
        <v/>
      </c>
      <c r="B1133" s="25">
        <f>ItensPedido!B1133</f>
        <v/>
      </c>
      <c r="C1133" s="25">
        <f>ItensPedido!C1133</f>
        <v/>
      </c>
      <c r="D1133" s="25">
        <f>ItensPedido!D1133</f>
        <v/>
      </c>
      <c r="E1133" s="26">
        <f>ItensPedido!E1133</f>
        <v/>
      </c>
      <c r="F1133" s="25">
        <f>IFERROR(INDEX(Pedidos!$B$2:$B$1801,MATCH(B1133,Pedidos!$A$2:$A$1801,0)),0)</f>
        <v/>
      </c>
      <c r="G1133" s="25">
        <f>IF(F1133=0,"",YEAR(F1133))</f>
        <v/>
      </c>
      <c r="H1133" s="25">
        <f>IF(F1133=0,"",MONTH(F1133))</f>
        <v/>
      </c>
      <c r="I1133" s="25">
        <f>IFERROR(INDEX(Pedidos!$E$2:$E$1801,MATCH(B1133,Pedidos!$A$2:$A$1801,0)),"")</f>
        <v/>
      </c>
      <c r="J1133" s="25">
        <f>IFERROR(INDEX(Pedidos!$C$2:$C$1801,MATCH(B1133,Pedidos!$A$2:$A$1801,0)),"")</f>
        <v/>
      </c>
      <c r="K1133" s="25">
        <f>IFERROR(INDEX(Pedidos!$D$2:$D$1801,MATCH(B1133,Pedidos!$A$2:$A$1801,0)),"")</f>
        <v/>
      </c>
      <c r="L1133" s="25">
        <f>IFERROR(INDEX(Pedidos!$F$2:$F$1801,MATCH(B1133,Pedidos!$A$2:$A$1801,0)),"")</f>
        <v/>
      </c>
      <c r="M1133" s="26">
        <f>IFERROR(INDEX(Pedidos!$G$2:$G$1801,MATCH(B1133,Pedidos!$A$2:$A$1801,0)),0)</f>
        <v/>
      </c>
      <c r="N1133" s="25">
        <f>IFERROR(INDEX(Produtos!$B$2:$B$71,MATCH(C1133,Produtos!$A$2:$A$71,0)),"")</f>
        <v/>
      </c>
      <c r="O1133" s="25">
        <f>IFERROR(INDEX(Produtos!$C$2:$C$71,MATCH(C1133,Produtos!$A$2:$A$71,0)),"")</f>
        <v/>
      </c>
      <c r="P1133" s="25">
        <f>IFERROR(INDEX(Produtos!$D$2:$D$71,MATCH(C1133,Produtos!$A$2:$A$71,0)),0)</f>
        <v/>
      </c>
      <c r="Q1133" s="25">
        <f>IFERROR(INDEX(Produtos!$E$2:$E$71,MATCH(C1133,Produtos!$A$2:$A$71,0)),0)</f>
        <v/>
      </c>
      <c r="R1133" s="27">
        <f>D1133*Q1133</f>
        <v/>
      </c>
      <c r="S1133" s="27">
        <f>R1133*E1133</f>
        <v/>
      </c>
      <c r="T1133" s="27">
        <f>(R1133-S1133)*M1133</f>
        <v/>
      </c>
      <c r="U1133" s="27">
        <f>R1133-S1133-T1133</f>
        <v/>
      </c>
      <c r="V1133" s="27">
        <f>D1133*P1133</f>
        <v/>
      </c>
      <c r="W1133" s="27">
        <f>U1133-V1133</f>
        <v/>
      </c>
      <c r="X1133" s="28">
        <f>IFERROR(W1133/U1133,0)</f>
        <v/>
      </c>
    </row>
    <row r="1134">
      <c r="A1134" s="21">
        <f>ItensPedido!A1134</f>
        <v/>
      </c>
      <c r="B1134" s="21">
        <f>ItensPedido!B1134</f>
        <v/>
      </c>
      <c r="C1134" s="21">
        <f>ItensPedido!C1134</f>
        <v/>
      </c>
      <c r="D1134" s="21">
        <f>ItensPedido!D1134</f>
        <v/>
      </c>
      <c r="E1134" s="22">
        <f>ItensPedido!E1134</f>
        <v/>
      </c>
      <c r="F1134" s="21">
        <f>IFERROR(INDEX(Pedidos!$B$2:$B$1801,MATCH(B1134,Pedidos!$A$2:$A$1801,0)),0)</f>
        <v/>
      </c>
      <c r="G1134" s="21">
        <f>IF(F1134=0,"",YEAR(F1134))</f>
        <v/>
      </c>
      <c r="H1134" s="21">
        <f>IF(F1134=0,"",MONTH(F1134))</f>
        <v/>
      </c>
      <c r="I1134" s="21">
        <f>IFERROR(INDEX(Pedidos!$E$2:$E$1801,MATCH(B1134,Pedidos!$A$2:$A$1801,0)),"")</f>
        <v/>
      </c>
      <c r="J1134" s="21">
        <f>IFERROR(INDEX(Pedidos!$C$2:$C$1801,MATCH(B1134,Pedidos!$A$2:$A$1801,0)),"")</f>
        <v/>
      </c>
      <c r="K1134" s="21">
        <f>IFERROR(INDEX(Pedidos!$D$2:$D$1801,MATCH(B1134,Pedidos!$A$2:$A$1801,0)),"")</f>
        <v/>
      </c>
      <c r="L1134" s="21">
        <f>IFERROR(INDEX(Pedidos!$F$2:$F$1801,MATCH(B1134,Pedidos!$A$2:$A$1801,0)),"")</f>
        <v/>
      </c>
      <c r="M1134" s="22">
        <f>IFERROR(INDEX(Pedidos!$G$2:$G$1801,MATCH(B1134,Pedidos!$A$2:$A$1801,0)),0)</f>
        <v/>
      </c>
      <c r="N1134" s="21">
        <f>IFERROR(INDEX(Produtos!$B$2:$B$71,MATCH(C1134,Produtos!$A$2:$A$71,0)),"")</f>
        <v/>
      </c>
      <c r="O1134" s="21">
        <f>IFERROR(INDEX(Produtos!$C$2:$C$71,MATCH(C1134,Produtos!$A$2:$A$71,0)),"")</f>
        <v/>
      </c>
      <c r="P1134" s="21">
        <f>IFERROR(INDEX(Produtos!$D$2:$D$71,MATCH(C1134,Produtos!$A$2:$A$71,0)),0)</f>
        <v/>
      </c>
      <c r="Q1134" s="21">
        <f>IFERROR(INDEX(Produtos!$E$2:$E$71,MATCH(C1134,Produtos!$A$2:$A$71,0)),0)</f>
        <v/>
      </c>
      <c r="R1134" s="23">
        <f>D1134*Q1134</f>
        <v/>
      </c>
      <c r="S1134" s="23">
        <f>R1134*E1134</f>
        <v/>
      </c>
      <c r="T1134" s="23">
        <f>(R1134-S1134)*M1134</f>
        <v/>
      </c>
      <c r="U1134" s="23">
        <f>R1134-S1134-T1134</f>
        <v/>
      </c>
      <c r="V1134" s="23">
        <f>D1134*P1134</f>
        <v/>
      </c>
      <c r="W1134" s="23">
        <f>U1134-V1134</f>
        <v/>
      </c>
      <c r="X1134" s="24">
        <f>IFERROR(W1134/U1134,0)</f>
        <v/>
      </c>
    </row>
    <row r="1135">
      <c r="A1135" s="25">
        <f>ItensPedido!A1135</f>
        <v/>
      </c>
      <c r="B1135" s="25">
        <f>ItensPedido!B1135</f>
        <v/>
      </c>
      <c r="C1135" s="25">
        <f>ItensPedido!C1135</f>
        <v/>
      </c>
      <c r="D1135" s="25">
        <f>ItensPedido!D1135</f>
        <v/>
      </c>
      <c r="E1135" s="26">
        <f>ItensPedido!E1135</f>
        <v/>
      </c>
      <c r="F1135" s="25">
        <f>IFERROR(INDEX(Pedidos!$B$2:$B$1801,MATCH(B1135,Pedidos!$A$2:$A$1801,0)),0)</f>
        <v/>
      </c>
      <c r="G1135" s="25">
        <f>IF(F1135=0,"",YEAR(F1135))</f>
        <v/>
      </c>
      <c r="H1135" s="25">
        <f>IF(F1135=0,"",MONTH(F1135))</f>
        <v/>
      </c>
      <c r="I1135" s="25">
        <f>IFERROR(INDEX(Pedidos!$E$2:$E$1801,MATCH(B1135,Pedidos!$A$2:$A$1801,0)),"")</f>
        <v/>
      </c>
      <c r="J1135" s="25">
        <f>IFERROR(INDEX(Pedidos!$C$2:$C$1801,MATCH(B1135,Pedidos!$A$2:$A$1801,0)),"")</f>
        <v/>
      </c>
      <c r="K1135" s="25">
        <f>IFERROR(INDEX(Pedidos!$D$2:$D$1801,MATCH(B1135,Pedidos!$A$2:$A$1801,0)),"")</f>
        <v/>
      </c>
      <c r="L1135" s="25">
        <f>IFERROR(INDEX(Pedidos!$F$2:$F$1801,MATCH(B1135,Pedidos!$A$2:$A$1801,0)),"")</f>
        <v/>
      </c>
      <c r="M1135" s="26">
        <f>IFERROR(INDEX(Pedidos!$G$2:$G$1801,MATCH(B1135,Pedidos!$A$2:$A$1801,0)),0)</f>
        <v/>
      </c>
      <c r="N1135" s="25">
        <f>IFERROR(INDEX(Produtos!$B$2:$B$71,MATCH(C1135,Produtos!$A$2:$A$71,0)),"")</f>
        <v/>
      </c>
      <c r="O1135" s="25">
        <f>IFERROR(INDEX(Produtos!$C$2:$C$71,MATCH(C1135,Produtos!$A$2:$A$71,0)),"")</f>
        <v/>
      </c>
      <c r="P1135" s="25">
        <f>IFERROR(INDEX(Produtos!$D$2:$D$71,MATCH(C1135,Produtos!$A$2:$A$71,0)),0)</f>
        <v/>
      </c>
      <c r="Q1135" s="25">
        <f>IFERROR(INDEX(Produtos!$E$2:$E$71,MATCH(C1135,Produtos!$A$2:$A$71,0)),0)</f>
        <v/>
      </c>
      <c r="R1135" s="27">
        <f>D1135*Q1135</f>
        <v/>
      </c>
      <c r="S1135" s="27">
        <f>R1135*E1135</f>
        <v/>
      </c>
      <c r="T1135" s="27">
        <f>(R1135-S1135)*M1135</f>
        <v/>
      </c>
      <c r="U1135" s="27">
        <f>R1135-S1135-T1135</f>
        <v/>
      </c>
      <c r="V1135" s="27">
        <f>D1135*P1135</f>
        <v/>
      </c>
      <c r="W1135" s="27">
        <f>U1135-V1135</f>
        <v/>
      </c>
      <c r="X1135" s="28">
        <f>IFERROR(W1135/U1135,0)</f>
        <v/>
      </c>
    </row>
    <row r="1136">
      <c r="A1136" s="21">
        <f>ItensPedido!A1136</f>
        <v/>
      </c>
      <c r="B1136" s="21">
        <f>ItensPedido!B1136</f>
        <v/>
      </c>
      <c r="C1136" s="21">
        <f>ItensPedido!C1136</f>
        <v/>
      </c>
      <c r="D1136" s="21">
        <f>ItensPedido!D1136</f>
        <v/>
      </c>
      <c r="E1136" s="22">
        <f>ItensPedido!E1136</f>
        <v/>
      </c>
      <c r="F1136" s="21">
        <f>IFERROR(INDEX(Pedidos!$B$2:$B$1801,MATCH(B1136,Pedidos!$A$2:$A$1801,0)),0)</f>
        <v/>
      </c>
      <c r="G1136" s="21">
        <f>IF(F1136=0,"",YEAR(F1136))</f>
        <v/>
      </c>
      <c r="H1136" s="21">
        <f>IF(F1136=0,"",MONTH(F1136))</f>
        <v/>
      </c>
      <c r="I1136" s="21">
        <f>IFERROR(INDEX(Pedidos!$E$2:$E$1801,MATCH(B1136,Pedidos!$A$2:$A$1801,0)),"")</f>
        <v/>
      </c>
      <c r="J1136" s="21">
        <f>IFERROR(INDEX(Pedidos!$C$2:$C$1801,MATCH(B1136,Pedidos!$A$2:$A$1801,0)),"")</f>
        <v/>
      </c>
      <c r="K1136" s="21">
        <f>IFERROR(INDEX(Pedidos!$D$2:$D$1801,MATCH(B1136,Pedidos!$A$2:$A$1801,0)),"")</f>
        <v/>
      </c>
      <c r="L1136" s="21">
        <f>IFERROR(INDEX(Pedidos!$F$2:$F$1801,MATCH(B1136,Pedidos!$A$2:$A$1801,0)),"")</f>
        <v/>
      </c>
      <c r="M1136" s="22">
        <f>IFERROR(INDEX(Pedidos!$G$2:$G$1801,MATCH(B1136,Pedidos!$A$2:$A$1801,0)),0)</f>
        <v/>
      </c>
      <c r="N1136" s="21">
        <f>IFERROR(INDEX(Produtos!$B$2:$B$71,MATCH(C1136,Produtos!$A$2:$A$71,0)),"")</f>
        <v/>
      </c>
      <c r="O1136" s="21">
        <f>IFERROR(INDEX(Produtos!$C$2:$C$71,MATCH(C1136,Produtos!$A$2:$A$71,0)),"")</f>
        <v/>
      </c>
      <c r="P1136" s="21">
        <f>IFERROR(INDEX(Produtos!$D$2:$D$71,MATCH(C1136,Produtos!$A$2:$A$71,0)),0)</f>
        <v/>
      </c>
      <c r="Q1136" s="21">
        <f>IFERROR(INDEX(Produtos!$E$2:$E$71,MATCH(C1136,Produtos!$A$2:$A$71,0)),0)</f>
        <v/>
      </c>
      <c r="R1136" s="23">
        <f>D1136*Q1136</f>
        <v/>
      </c>
      <c r="S1136" s="23">
        <f>R1136*E1136</f>
        <v/>
      </c>
      <c r="T1136" s="23">
        <f>(R1136-S1136)*M1136</f>
        <v/>
      </c>
      <c r="U1136" s="23">
        <f>R1136-S1136-T1136</f>
        <v/>
      </c>
      <c r="V1136" s="23">
        <f>D1136*P1136</f>
        <v/>
      </c>
      <c r="W1136" s="23">
        <f>U1136-V1136</f>
        <v/>
      </c>
      <c r="X1136" s="24">
        <f>IFERROR(W1136/U1136,0)</f>
        <v/>
      </c>
    </row>
    <row r="1137">
      <c r="A1137" s="25">
        <f>ItensPedido!A1137</f>
        <v/>
      </c>
      <c r="B1137" s="25">
        <f>ItensPedido!B1137</f>
        <v/>
      </c>
      <c r="C1137" s="25">
        <f>ItensPedido!C1137</f>
        <v/>
      </c>
      <c r="D1137" s="25">
        <f>ItensPedido!D1137</f>
        <v/>
      </c>
      <c r="E1137" s="26">
        <f>ItensPedido!E1137</f>
        <v/>
      </c>
      <c r="F1137" s="25">
        <f>IFERROR(INDEX(Pedidos!$B$2:$B$1801,MATCH(B1137,Pedidos!$A$2:$A$1801,0)),0)</f>
        <v/>
      </c>
      <c r="G1137" s="25">
        <f>IF(F1137=0,"",YEAR(F1137))</f>
        <v/>
      </c>
      <c r="H1137" s="25">
        <f>IF(F1137=0,"",MONTH(F1137))</f>
        <v/>
      </c>
      <c r="I1137" s="25">
        <f>IFERROR(INDEX(Pedidos!$E$2:$E$1801,MATCH(B1137,Pedidos!$A$2:$A$1801,0)),"")</f>
        <v/>
      </c>
      <c r="J1137" s="25">
        <f>IFERROR(INDEX(Pedidos!$C$2:$C$1801,MATCH(B1137,Pedidos!$A$2:$A$1801,0)),"")</f>
        <v/>
      </c>
      <c r="K1137" s="25">
        <f>IFERROR(INDEX(Pedidos!$D$2:$D$1801,MATCH(B1137,Pedidos!$A$2:$A$1801,0)),"")</f>
        <v/>
      </c>
      <c r="L1137" s="25">
        <f>IFERROR(INDEX(Pedidos!$F$2:$F$1801,MATCH(B1137,Pedidos!$A$2:$A$1801,0)),"")</f>
        <v/>
      </c>
      <c r="M1137" s="26">
        <f>IFERROR(INDEX(Pedidos!$G$2:$G$1801,MATCH(B1137,Pedidos!$A$2:$A$1801,0)),0)</f>
        <v/>
      </c>
      <c r="N1137" s="25">
        <f>IFERROR(INDEX(Produtos!$B$2:$B$71,MATCH(C1137,Produtos!$A$2:$A$71,0)),"")</f>
        <v/>
      </c>
      <c r="O1137" s="25">
        <f>IFERROR(INDEX(Produtos!$C$2:$C$71,MATCH(C1137,Produtos!$A$2:$A$71,0)),"")</f>
        <v/>
      </c>
      <c r="P1137" s="25">
        <f>IFERROR(INDEX(Produtos!$D$2:$D$71,MATCH(C1137,Produtos!$A$2:$A$71,0)),0)</f>
        <v/>
      </c>
      <c r="Q1137" s="25">
        <f>IFERROR(INDEX(Produtos!$E$2:$E$71,MATCH(C1137,Produtos!$A$2:$A$71,0)),0)</f>
        <v/>
      </c>
      <c r="R1137" s="27">
        <f>D1137*Q1137</f>
        <v/>
      </c>
      <c r="S1137" s="27">
        <f>R1137*E1137</f>
        <v/>
      </c>
      <c r="T1137" s="27">
        <f>(R1137-S1137)*M1137</f>
        <v/>
      </c>
      <c r="U1137" s="27">
        <f>R1137-S1137-T1137</f>
        <v/>
      </c>
      <c r="V1137" s="27">
        <f>D1137*P1137</f>
        <v/>
      </c>
      <c r="W1137" s="27">
        <f>U1137-V1137</f>
        <v/>
      </c>
      <c r="X1137" s="28">
        <f>IFERROR(W1137/U1137,0)</f>
        <v/>
      </c>
    </row>
    <row r="1138">
      <c r="A1138" s="21">
        <f>ItensPedido!A1138</f>
        <v/>
      </c>
      <c r="B1138" s="21">
        <f>ItensPedido!B1138</f>
        <v/>
      </c>
      <c r="C1138" s="21">
        <f>ItensPedido!C1138</f>
        <v/>
      </c>
      <c r="D1138" s="21">
        <f>ItensPedido!D1138</f>
        <v/>
      </c>
      <c r="E1138" s="22">
        <f>ItensPedido!E1138</f>
        <v/>
      </c>
      <c r="F1138" s="21">
        <f>IFERROR(INDEX(Pedidos!$B$2:$B$1801,MATCH(B1138,Pedidos!$A$2:$A$1801,0)),0)</f>
        <v/>
      </c>
      <c r="G1138" s="21">
        <f>IF(F1138=0,"",YEAR(F1138))</f>
        <v/>
      </c>
      <c r="H1138" s="21">
        <f>IF(F1138=0,"",MONTH(F1138))</f>
        <v/>
      </c>
      <c r="I1138" s="21">
        <f>IFERROR(INDEX(Pedidos!$E$2:$E$1801,MATCH(B1138,Pedidos!$A$2:$A$1801,0)),"")</f>
        <v/>
      </c>
      <c r="J1138" s="21">
        <f>IFERROR(INDEX(Pedidos!$C$2:$C$1801,MATCH(B1138,Pedidos!$A$2:$A$1801,0)),"")</f>
        <v/>
      </c>
      <c r="K1138" s="21">
        <f>IFERROR(INDEX(Pedidos!$D$2:$D$1801,MATCH(B1138,Pedidos!$A$2:$A$1801,0)),"")</f>
        <v/>
      </c>
      <c r="L1138" s="21">
        <f>IFERROR(INDEX(Pedidos!$F$2:$F$1801,MATCH(B1138,Pedidos!$A$2:$A$1801,0)),"")</f>
        <v/>
      </c>
      <c r="M1138" s="22">
        <f>IFERROR(INDEX(Pedidos!$G$2:$G$1801,MATCH(B1138,Pedidos!$A$2:$A$1801,0)),0)</f>
        <v/>
      </c>
      <c r="N1138" s="21">
        <f>IFERROR(INDEX(Produtos!$B$2:$B$71,MATCH(C1138,Produtos!$A$2:$A$71,0)),"")</f>
        <v/>
      </c>
      <c r="O1138" s="21">
        <f>IFERROR(INDEX(Produtos!$C$2:$C$71,MATCH(C1138,Produtos!$A$2:$A$71,0)),"")</f>
        <v/>
      </c>
      <c r="P1138" s="21">
        <f>IFERROR(INDEX(Produtos!$D$2:$D$71,MATCH(C1138,Produtos!$A$2:$A$71,0)),0)</f>
        <v/>
      </c>
      <c r="Q1138" s="21">
        <f>IFERROR(INDEX(Produtos!$E$2:$E$71,MATCH(C1138,Produtos!$A$2:$A$71,0)),0)</f>
        <v/>
      </c>
      <c r="R1138" s="23">
        <f>D1138*Q1138</f>
        <v/>
      </c>
      <c r="S1138" s="23">
        <f>R1138*E1138</f>
        <v/>
      </c>
      <c r="T1138" s="23">
        <f>(R1138-S1138)*M1138</f>
        <v/>
      </c>
      <c r="U1138" s="23">
        <f>R1138-S1138-T1138</f>
        <v/>
      </c>
      <c r="V1138" s="23">
        <f>D1138*P1138</f>
        <v/>
      </c>
      <c r="W1138" s="23">
        <f>U1138-V1138</f>
        <v/>
      </c>
      <c r="X1138" s="24">
        <f>IFERROR(W1138/U1138,0)</f>
        <v/>
      </c>
    </row>
    <row r="1139">
      <c r="A1139" s="25">
        <f>ItensPedido!A1139</f>
        <v/>
      </c>
      <c r="B1139" s="25">
        <f>ItensPedido!B1139</f>
        <v/>
      </c>
      <c r="C1139" s="25">
        <f>ItensPedido!C1139</f>
        <v/>
      </c>
      <c r="D1139" s="25">
        <f>ItensPedido!D1139</f>
        <v/>
      </c>
      <c r="E1139" s="26">
        <f>ItensPedido!E1139</f>
        <v/>
      </c>
      <c r="F1139" s="25">
        <f>IFERROR(INDEX(Pedidos!$B$2:$B$1801,MATCH(B1139,Pedidos!$A$2:$A$1801,0)),0)</f>
        <v/>
      </c>
      <c r="G1139" s="25">
        <f>IF(F1139=0,"",YEAR(F1139))</f>
        <v/>
      </c>
      <c r="H1139" s="25">
        <f>IF(F1139=0,"",MONTH(F1139))</f>
        <v/>
      </c>
      <c r="I1139" s="25">
        <f>IFERROR(INDEX(Pedidos!$E$2:$E$1801,MATCH(B1139,Pedidos!$A$2:$A$1801,0)),"")</f>
        <v/>
      </c>
      <c r="J1139" s="25">
        <f>IFERROR(INDEX(Pedidos!$C$2:$C$1801,MATCH(B1139,Pedidos!$A$2:$A$1801,0)),"")</f>
        <v/>
      </c>
      <c r="K1139" s="25">
        <f>IFERROR(INDEX(Pedidos!$D$2:$D$1801,MATCH(B1139,Pedidos!$A$2:$A$1801,0)),"")</f>
        <v/>
      </c>
      <c r="L1139" s="25">
        <f>IFERROR(INDEX(Pedidos!$F$2:$F$1801,MATCH(B1139,Pedidos!$A$2:$A$1801,0)),"")</f>
        <v/>
      </c>
      <c r="M1139" s="26">
        <f>IFERROR(INDEX(Pedidos!$G$2:$G$1801,MATCH(B1139,Pedidos!$A$2:$A$1801,0)),0)</f>
        <v/>
      </c>
      <c r="N1139" s="25">
        <f>IFERROR(INDEX(Produtos!$B$2:$B$71,MATCH(C1139,Produtos!$A$2:$A$71,0)),"")</f>
        <v/>
      </c>
      <c r="O1139" s="25">
        <f>IFERROR(INDEX(Produtos!$C$2:$C$71,MATCH(C1139,Produtos!$A$2:$A$71,0)),"")</f>
        <v/>
      </c>
      <c r="P1139" s="25">
        <f>IFERROR(INDEX(Produtos!$D$2:$D$71,MATCH(C1139,Produtos!$A$2:$A$71,0)),0)</f>
        <v/>
      </c>
      <c r="Q1139" s="25">
        <f>IFERROR(INDEX(Produtos!$E$2:$E$71,MATCH(C1139,Produtos!$A$2:$A$71,0)),0)</f>
        <v/>
      </c>
      <c r="R1139" s="27">
        <f>D1139*Q1139</f>
        <v/>
      </c>
      <c r="S1139" s="27">
        <f>R1139*E1139</f>
        <v/>
      </c>
      <c r="T1139" s="27">
        <f>(R1139-S1139)*M1139</f>
        <v/>
      </c>
      <c r="U1139" s="27">
        <f>R1139-S1139-T1139</f>
        <v/>
      </c>
      <c r="V1139" s="27">
        <f>D1139*P1139</f>
        <v/>
      </c>
      <c r="W1139" s="27">
        <f>U1139-V1139</f>
        <v/>
      </c>
      <c r="X1139" s="28">
        <f>IFERROR(W1139/U1139,0)</f>
        <v/>
      </c>
    </row>
    <row r="1140">
      <c r="A1140" s="21">
        <f>ItensPedido!A1140</f>
        <v/>
      </c>
      <c r="B1140" s="21">
        <f>ItensPedido!B1140</f>
        <v/>
      </c>
      <c r="C1140" s="21">
        <f>ItensPedido!C1140</f>
        <v/>
      </c>
      <c r="D1140" s="21">
        <f>ItensPedido!D1140</f>
        <v/>
      </c>
      <c r="E1140" s="22">
        <f>ItensPedido!E1140</f>
        <v/>
      </c>
      <c r="F1140" s="21">
        <f>IFERROR(INDEX(Pedidos!$B$2:$B$1801,MATCH(B1140,Pedidos!$A$2:$A$1801,0)),0)</f>
        <v/>
      </c>
      <c r="G1140" s="21">
        <f>IF(F1140=0,"",YEAR(F1140))</f>
        <v/>
      </c>
      <c r="H1140" s="21">
        <f>IF(F1140=0,"",MONTH(F1140))</f>
        <v/>
      </c>
      <c r="I1140" s="21">
        <f>IFERROR(INDEX(Pedidos!$E$2:$E$1801,MATCH(B1140,Pedidos!$A$2:$A$1801,0)),"")</f>
        <v/>
      </c>
      <c r="J1140" s="21">
        <f>IFERROR(INDEX(Pedidos!$C$2:$C$1801,MATCH(B1140,Pedidos!$A$2:$A$1801,0)),"")</f>
        <v/>
      </c>
      <c r="K1140" s="21">
        <f>IFERROR(INDEX(Pedidos!$D$2:$D$1801,MATCH(B1140,Pedidos!$A$2:$A$1801,0)),"")</f>
        <v/>
      </c>
      <c r="L1140" s="21">
        <f>IFERROR(INDEX(Pedidos!$F$2:$F$1801,MATCH(B1140,Pedidos!$A$2:$A$1801,0)),"")</f>
        <v/>
      </c>
      <c r="M1140" s="22">
        <f>IFERROR(INDEX(Pedidos!$G$2:$G$1801,MATCH(B1140,Pedidos!$A$2:$A$1801,0)),0)</f>
        <v/>
      </c>
      <c r="N1140" s="21">
        <f>IFERROR(INDEX(Produtos!$B$2:$B$71,MATCH(C1140,Produtos!$A$2:$A$71,0)),"")</f>
        <v/>
      </c>
      <c r="O1140" s="21">
        <f>IFERROR(INDEX(Produtos!$C$2:$C$71,MATCH(C1140,Produtos!$A$2:$A$71,0)),"")</f>
        <v/>
      </c>
      <c r="P1140" s="21">
        <f>IFERROR(INDEX(Produtos!$D$2:$D$71,MATCH(C1140,Produtos!$A$2:$A$71,0)),0)</f>
        <v/>
      </c>
      <c r="Q1140" s="21">
        <f>IFERROR(INDEX(Produtos!$E$2:$E$71,MATCH(C1140,Produtos!$A$2:$A$71,0)),0)</f>
        <v/>
      </c>
      <c r="R1140" s="23">
        <f>D1140*Q1140</f>
        <v/>
      </c>
      <c r="S1140" s="23">
        <f>R1140*E1140</f>
        <v/>
      </c>
      <c r="T1140" s="23">
        <f>(R1140-S1140)*M1140</f>
        <v/>
      </c>
      <c r="U1140" s="23">
        <f>R1140-S1140-T1140</f>
        <v/>
      </c>
      <c r="V1140" s="23">
        <f>D1140*P1140</f>
        <v/>
      </c>
      <c r="W1140" s="23">
        <f>U1140-V1140</f>
        <v/>
      </c>
      <c r="X1140" s="24">
        <f>IFERROR(W1140/U1140,0)</f>
        <v/>
      </c>
    </row>
    <row r="1141">
      <c r="A1141" s="25">
        <f>ItensPedido!A1141</f>
        <v/>
      </c>
      <c r="B1141" s="25">
        <f>ItensPedido!B1141</f>
        <v/>
      </c>
      <c r="C1141" s="25">
        <f>ItensPedido!C1141</f>
        <v/>
      </c>
      <c r="D1141" s="25">
        <f>ItensPedido!D1141</f>
        <v/>
      </c>
      <c r="E1141" s="26">
        <f>ItensPedido!E1141</f>
        <v/>
      </c>
      <c r="F1141" s="25">
        <f>IFERROR(INDEX(Pedidos!$B$2:$B$1801,MATCH(B1141,Pedidos!$A$2:$A$1801,0)),0)</f>
        <v/>
      </c>
      <c r="G1141" s="25">
        <f>IF(F1141=0,"",YEAR(F1141))</f>
        <v/>
      </c>
      <c r="H1141" s="25">
        <f>IF(F1141=0,"",MONTH(F1141))</f>
        <v/>
      </c>
      <c r="I1141" s="25">
        <f>IFERROR(INDEX(Pedidos!$E$2:$E$1801,MATCH(B1141,Pedidos!$A$2:$A$1801,0)),"")</f>
        <v/>
      </c>
      <c r="J1141" s="25">
        <f>IFERROR(INDEX(Pedidos!$C$2:$C$1801,MATCH(B1141,Pedidos!$A$2:$A$1801,0)),"")</f>
        <v/>
      </c>
      <c r="K1141" s="25">
        <f>IFERROR(INDEX(Pedidos!$D$2:$D$1801,MATCH(B1141,Pedidos!$A$2:$A$1801,0)),"")</f>
        <v/>
      </c>
      <c r="L1141" s="25">
        <f>IFERROR(INDEX(Pedidos!$F$2:$F$1801,MATCH(B1141,Pedidos!$A$2:$A$1801,0)),"")</f>
        <v/>
      </c>
      <c r="M1141" s="26">
        <f>IFERROR(INDEX(Pedidos!$G$2:$G$1801,MATCH(B1141,Pedidos!$A$2:$A$1801,0)),0)</f>
        <v/>
      </c>
      <c r="N1141" s="25">
        <f>IFERROR(INDEX(Produtos!$B$2:$B$71,MATCH(C1141,Produtos!$A$2:$A$71,0)),"")</f>
        <v/>
      </c>
      <c r="O1141" s="25">
        <f>IFERROR(INDEX(Produtos!$C$2:$C$71,MATCH(C1141,Produtos!$A$2:$A$71,0)),"")</f>
        <v/>
      </c>
      <c r="P1141" s="25">
        <f>IFERROR(INDEX(Produtos!$D$2:$D$71,MATCH(C1141,Produtos!$A$2:$A$71,0)),0)</f>
        <v/>
      </c>
      <c r="Q1141" s="25">
        <f>IFERROR(INDEX(Produtos!$E$2:$E$71,MATCH(C1141,Produtos!$A$2:$A$71,0)),0)</f>
        <v/>
      </c>
      <c r="R1141" s="27">
        <f>D1141*Q1141</f>
        <v/>
      </c>
      <c r="S1141" s="27">
        <f>R1141*E1141</f>
        <v/>
      </c>
      <c r="T1141" s="27">
        <f>(R1141-S1141)*M1141</f>
        <v/>
      </c>
      <c r="U1141" s="27">
        <f>R1141-S1141-T1141</f>
        <v/>
      </c>
      <c r="V1141" s="27">
        <f>D1141*P1141</f>
        <v/>
      </c>
      <c r="W1141" s="27">
        <f>U1141-V1141</f>
        <v/>
      </c>
      <c r="X1141" s="28">
        <f>IFERROR(W1141/U1141,0)</f>
        <v/>
      </c>
    </row>
    <row r="1142">
      <c r="A1142" s="21">
        <f>ItensPedido!A1142</f>
        <v/>
      </c>
      <c r="B1142" s="21">
        <f>ItensPedido!B1142</f>
        <v/>
      </c>
      <c r="C1142" s="21">
        <f>ItensPedido!C1142</f>
        <v/>
      </c>
      <c r="D1142" s="21">
        <f>ItensPedido!D1142</f>
        <v/>
      </c>
      <c r="E1142" s="22">
        <f>ItensPedido!E1142</f>
        <v/>
      </c>
      <c r="F1142" s="21">
        <f>IFERROR(INDEX(Pedidos!$B$2:$B$1801,MATCH(B1142,Pedidos!$A$2:$A$1801,0)),0)</f>
        <v/>
      </c>
      <c r="G1142" s="21">
        <f>IF(F1142=0,"",YEAR(F1142))</f>
        <v/>
      </c>
      <c r="H1142" s="21">
        <f>IF(F1142=0,"",MONTH(F1142))</f>
        <v/>
      </c>
      <c r="I1142" s="21">
        <f>IFERROR(INDEX(Pedidos!$E$2:$E$1801,MATCH(B1142,Pedidos!$A$2:$A$1801,0)),"")</f>
        <v/>
      </c>
      <c r="J1142" s="21">
        <f>IFERROR(INDEX(Pedidos!$C$2:$C$1801,MATCH(B1142,Pedidos!$A$2:$A$1801,0)),"")</f>
        <v/>
      </c>
      <c r="K1142" s="21">
        <f>IFERROR(INDEX(Pedidos!$D$2:$D$1801,MATCH(B1142,Pedidos!$A$2:$A$1801,0)),"")</f>
        <v/>
      </c>
      <c r="L1142" s="21">
        <f>IFERROR(INDEX(Pedidos!$F$2:$F$1801,MATCH(B1142,Pedidos!$A$2:$A$1801,0)),"")</f>
        <v/>
      </c>
      <c r="M1142" s="22">
        <f>IFERROR(INDEX(Pedidos!$G$2:$G$1801,MATCH(B1142,Pedidos!$A$2:$A$1801,0)),0)</f>
        <v/>
      </c>
      <c r="N1142" s="21">
        <f>IFERROR(INDEX(Produtos!$B$2:$B$71,MATCH(C1142,Produtos!$A$2:$A$71,0)),"")</f>
        <v/>
      </c>
      <c r="O1142" s="21">
        <f>IFERROR(INDEX(Produtos!$C$2:$C$71,MATCH(C1142,Produtos!$A$2:$A$71,0)),"")</f>
        <v/>
      </c>
      <c r="P1142" s="21">
        <f>IFERROR(INDEX(Produtos!$D$2:$D$71,MATCH(C1142,Produtos!$A$2:$A$71,0)),0)</f>
        <v/>
      </c>
      <c r="Q1142" s="21">
        <f>IFERROR(INDEX(Produtos!$E$2:$E$71,MATCH(C1142,Produtos!$A$2:$A$71,0)),0)</f>
        <v/>
      </c>
      <c r="R1142" s="23">
        <f>D1142*Q1142</f>
        <v/>
      </c>
      <c r="S1142" s="23">
        <f>R1142*E1142</f>
        <v/>
      </c>
      <c r="T1142" s="23">
        <f>(R1142-S1142)*M1142</f>
        <v/>
      </c>
      <c r="U1142" s="23">
        <f>R1142-S1142-T1142</f>
        <v/>
      </c>
      <c r="V1142" s="23">
        <f>D1142*P1142</f>
        <v/>
      </c>
      <c r="W1142" s="23">
        <f>U1142-V1142</f>
        <v/>
      </c>
      <c r="X1142" s="24">
        <f>IFERROR(W1142/U1142,0)</f>
        <v/>
      </c>
    </row>
    <row r="1143">
      <c r="A1143" s="25">
        <f>ItensPedido!A1143</f>
        <v/>
      </c>
      <c r="B1143" s="25">
        <f>ItensPedido!B1143</f>
        <v/>
      </c>
      <c r="C1143" s="25">
        <f>ItensPedido!C1143</f>
        <v/>
      </c>
      <c r="D1143" s="25">
        <f>ItensPedido!D1143</f>
        <v/>
      </c>
      <c r="E1143" s="26">
        <f>ItensPedido!E1143</f>
        <v/>
      </c>
      <c r="F1143" s="25">
        <f>IFERROR(INDEX(Pedidos!$B$2:$B$1801,MATCH(B1143,Pedidos!$A$2:$A$1801,0)),0)</f>
        <v/>
      </c>
      <c r="G1143" s="25">
        <f>IF(F1143=0,"",YEAR(F1143))</f>
        <v/>
      </c>
      <c r="H1143" s="25">
        <f>IF(F1143=0,"",MONTH(F1143))</f>
        <v/>
      </c>
      <c r="I1143" s="25">
        <f>IFERROR(INDEX(Pedidos!$E$2:$E$1801,MATCH(B1143,Pedidos!$A$2:$A$1801,0)),"")</f>
        <v/>
      </c>
      <c r="J1143" s="25">
        <f>IFERROR(INDEX(Pedidos!$C$2:$C$1801,MATCH(B1143,Pedidos!$A$2:$A$1801,0)),"")</f>
        <v/>
      </c>
      <c r="K1143" s="25">
        <f>IFERROR(INDEX(Pedidos!$D$2:$D$1801,MATCH(B1143,Pedidos!$A$2:$A$1801,0)),"")</f>
        <v/>
      </c>
      <c r="L1143" s="25">
        <f>IFERROR(INDEX(Pedidos!$F$2:$F$1801,MATCH(B1143,Pedidos!$A$2:$A$1801,0)),"")</f>
        <v/>
      </c>
      <c r="M1143" s="26">
        <f>IFERROR(INDEX(Pedidos!$G$2:$G$1801,MATCH(B1143,Pedidos!$A$2:$A$1801,0)),0)</f>
        <v/>
      </c>
      <c r="N1143" s="25">
        <f>IFERROR(INDEX(Produtos!$B$2:$B$71,MATCH(C1143,Produtos!$A$2:$A$71,0)),"")</f>
        <v/>
      </c>
      <c r="O1143" s="25">
        <f>IFERROR(INDEX(Produtos!$C$2:$C$71,MATCH(C1143,Produtos!$A$2:$A$71,0)),"")</f>
        <v/>
      </c>
      <c r="P1143" s="25">
        <f>IFERROR(INDEX(Produtos!$D$2:$D$71,MATCH(C1143,Produtos!$A$2:$A$71,0)),0)</f>
        <v/>
      </c>
      <c r="Q1143" s="25">
        <f>IFERROR(INDEX(Produtos!$E$2:$E$71,MATCH(C1143,Produtos!$A$2:$A$71,0)),0)</f>
        <v/>
      </c>
      <c r="R1143" s="27">
        <f>D1143*Q1143</f>
        <v/>
      </c>
      <c r="S1143" s="27">
        <f>R1143*E1143</f>
        <v/>
      </c>
      <c r="T1143" s="27">
        <f>(R1143-S1143)*M1143</f>
        <v/>
      </c>
      <c r="U1143" s="27">
        <f>R1143-S1143-T1143</f>
        <v/>
      </c>
      <c r="V1143" s="27">
        <f>D1143*P1143</f>
        <v/>
      </c>
      <c r="W1143" s="27">
        <f>U1143-V1143</f>
        <v/>
      </c>
      <c r="X1143" s="28">
        <f>IFERROR(W1143/U1143,0)</f>
        <v/>
      </c>
    </row>
    <row r="1144">
      <c r="A1144" s="21">
        <f>ItensPedido!A1144</f>
        <v/>
      </c>
      <c r="B1144" s="21">
        <f>ItensPedido!B1144</f>
        <v/>
      </c>
      <c r="C1144" s="21">
        <f>ItensPedido!C1144</f>
        <v/>
      </c>
      <c r="D1144" s="21">
        <f>ItensPedido!D1144</f>
        <v/>
      </c>
      <c r="E1144" s="22">
        <f>ItensPedido!E1144</f>
        <v/>
      </c>
      <c r="F1144" s="21">
        <f>IFERROR(INDEX(Pedidos!$B$2:$B$1801,MATCH(B1144,Pedidos!$A$2:$A$1801,0)),0)</f>
        <v/>
      </c>
      <c r="G1144" s="21">
        <f>IF(F1144=0,"",YEAR(F1144))</f>
        <v/>
      </c>
      <c r="H1144" s="21">
        <f>IF(F1144=0,"",MONTH(F1144))</f>
        <v/>
      </c>
      <c r="I1144" s="21">
        <f>IFERROR(INDEX(Pedidos!$E$2:$E$1801,MATCH(B1144,Pedidos!$A$2:$A$1801,0)),"")</f>
        <v/>
      </c>
      <c r="J1144" s="21">
        <f>IFERROR(INDEX(Pedidos!$C$2:$C$1801,MATCH(B1144,Pedidos!$A$2:$A$1801,0)),"")</f>
        <v/>
      </c>
      <c r="K1144" s="21">
        <f>IFERROR(INDEX(Pedidos!$D$2:$D$1801,MATCH(B1144,Pedidos!$A$2:$A$1801,0)),"")</f>
        <v/>
      </c>
      <c r="L1144" s="21">
        <f>IFERROR(INDEX(Pedidos!$F$2:$F$1801,MATCH(B1144,Pedidos!$A$2:$A$1801,0)),"")</f>
        <v/>
      </c>
      <c r="M1144" s="22">
        <f>IFERROR(INDEX(Pedidos!$G$2:$G$1801,MATCH(B1144,Pedidos!$A$2:$A$1801,0)),0)</f>
        <v/>
      </c>
      <c r="N1144" s="21">
        <f>IFERROR(INDEX(Produtos!$B$2:$B$71,MATCH(C1144,Produtos!$A$2:$A$71,0)),"")</f>
        <v/>
      </c>
      <c r="O1144" s="21">
        <f>IFERROR(INDEX(Produtos!$C$2:$C$71,MATCH(C1144,Produtos!$A$2:$A$71,0)),"")</f>
        <v/>
      </c>
      <c r="P1144" s="21">
        <f>IFERROR(INDEX(Produtos!$D$2:$D$71,MATCH(C1144,Produtos!$A$2:$A$71,0)),0)</f>
        <v/>
      </c>
      <c r="Q1144" s="21">
        <f>IFERROR(INDEX(Produtos!$E$2:$E$71,MATCH(C1144,Produtos!$A$2:$A$71,0)),0)</f>
        <v/>
      </c>
      <c r="R1144" s="23">
        <f>D1144*Q1144</f>
        <v/>
      </c>
      <c r="S1144" s="23">
        <f>R1144*E1144</f>
        <v/>
      </c>
      <c r="T1144" s="23">
        <f>(R1144-S1144)*M1144</f>
        <v/>
      </c>
      <c r="U1144" s="23">
        <f>R1144-S1144-T1144</f>
        <v/>
      </c>
      <c r="V1144" s="23">
        <f>D1144*P1144</f>
        <v/>
      </c>
      <c r="W1144" s="23">
        <f>U1144-V1144</f>
        <v/>
      </c>
      <c r="X1144" s="24">
        <f>IFERROR(W1144/U1144,0)</f>
        <v/>
      </c>
    </row>
    <row r="1145">
      <c r="A1145" s="25">
        <f>ItensPedido!A1145</f>
        <v/>
      </c>
      <c r="B1145" s="25">
        <f>ItensPedido!B1145</f>
        <v/>
      </c>
      <c r="C1145" s="25">
        <f>ItensPedido!C1145</f>
        <v/>
      </c>
      <c r="D1145" s="25">
        <f>ItensPedido!D1145</f>
        <v/>
      </c>
      <c r="E1145" s="26">
        <f>ItensPedido!E1145</f>
        <v/>
      </c>
      <c r="F1145" s="25">
        <f>IFERROR(INDEX(Pedidos!$B$2:$B$1801,MATCH(B1145,Pedidos!$A$2:$A$1801,0)),0)</f>
        <v/>
      </c>
      <c r="G1145" s="25">
        <f>IF(F1145=0,"",YEAR(F1145))</f>
        <v/>
      </c>
      <c r="H1145" s="25">
        <f>IF(F1145=0,"",MONTH(F1145))</f>
        <v/>
      </c>
      <c r="I1145" s="25">
        <f>IFERROR(INDEX(Pedidos!$E$2:$E$1801,MATCH(B1145,Pedidos!$A$2:$A$1801,0)),"")</f>
        <v/>
      </c>
      <c r="J1145" s="25">
        <f>IFERROR(INDEX(Pedidos!$C$2:$C$1801,MATCH(B1145,Pedidos!$A$2:$A$1801,0)),"")</f>
        <v/>
      </c>
      <c r="K1145" s="25">
        <f>IFERROR(INDEX(Pedidos!$D$2:$D$1801,MATCH(B1145,Pedidos!$A$2:$A$1801,0)),"")</f>
        <v/>
      </c>
      <c r="L1145" s="25">
        <f>IFERROR(INDEX(Pedidos!$F$2:$F$1801,MATCH(B1145,Pedidos!$A$2:$A$1801,0)),"")</f>
        <v/>
      </c>
      <c r="M1145" s="26">
        <f>IFERROR(INDEX(Pedidos!$G$2:$G$1801,MATCH(B1145,Pedidos!$A$2:$A$1801,0)),0)</f>
        <v/>
      </c>
      <c r="N1145" s="25">
        <f>IFERROR(INDEX(Produtos!$B$2:$B$71,MATCH(C1145,Produtos!$A$2:$A$71,0)),"")</f>
        <v/>
      </c>
      <c r="O1145" s="25">
        <f>IFERROR(INDEX(Produtos!$C$2:$C$71,MATCH(C1145,Produtos!$A$2:$A$71,0)),"")</f>
        <v/>
      </c>
      <c r="P1145" s="25">
        <f>IFERROR(INDEX(Produtos!$D$2:$D$71,MATCH(C1145,Produtos!$A$2:$A$71,0)),0)</f>
        <v/>
      </c>
      <c r="Q1145" s="25">
        <f>IFERROR(INDEX(Produtos!$E$2:$E$71,MATCH(C1145,Produtos!$A$2:$A$71,0)),0)</f>
        <v/>
      </c>
      <c r="R1145" s="27">
        <f>D1145*Q1145</f>
        <v/>
      </c>
      <c r="S1145" s="27">
        <f>R1145*E1145</f>
        <v/>
      </c>
      <c r="T1145" s="27">
        <f>(R1145-S1145)*M1145</f>
        <v/>
      </c>
      <c r="U1145" s="27">
        <f>R1145-S1145-T1145</f>
        <v/>
      </c>
      <c r="V1145" s="27">
        <f>D1145*P1145</f>
        <v/>
      </c>
      <c r="W1145" s="27">
        <f>U1145-V1145</f>
        <v/>
      </c>
      <c r="X1145" s="28">
        <f>IFERROR(W1145/U1145,0)</f>
        <v/>
      </c>
    </row>
    <row r="1146">
      <c r="A1146" s="21">
        <f>ItensPedido!A1146</f>
        <v/>
      </c>
      <c r="B1146" s="21">
        <f>ItensPedido!B1146</f>
        <v/>
      </c>
      <c r="C1146" s="21">
        <f>ItensPedido!C1146</f>
        <v/>
      </c>
      <c r="D1146" s="21">
        <f>ItensPedido!D1146</f>
        <v/>
      </c>
      <c r="E1146" s="22">
        <f>ItensPedido!E1146</f>
        <v/>
      </c>
      <c r="F1146" s="21">
        <f>IFERROR(INDEX(Pedidos!$B$2:$B$1801,MATCH(B1146,Pedidos!$A$2:$A$1801,0)),0)</f>
        <v/>
      </c>
      <c r="G1146" s="21">
        <f>IF(F1146=0,"",YEAR(F1146))</f>
        <v/>
      </c>
      <c r="H1146" s="21">
        <f>IF(F1146=0,"",MONTH(F1146))</f>
        <v/>
      </c>
      <c r="I1146" s="21">
        <f>IFERROR(INDEX(Pedidos!$E$2:$E$1801,MATCH(B1146,Pedidos!$A$2:$A$1801,0)),"")</f>
        <v/>
      </c>
      <c r="J1146" s="21">
        <f>IFERROR(INDEX(Pedidos!$C$2:$C$1801,MATCH(B1146,Pedidos!$A$2:$A$1801,0)),"")</f>
        <v/>
      </c>
      <c r="K1146" s="21">
        <f>IFERROR(INDEX(Pedidos!$D$2:$D$1801,MATCH(B1146,Pedidos!$A$2:$A$1801,0)),"")</f>
        <v/>
      </c>
      <c r="L1146" s="21">
        <f>IFERROR(INDEX(Pedidos!$F$2:$F$1801,MATCH(B1146,Pedidos!$A$2:$A$1801,0)),"")</f>
        <v/>
      </c>
      <c r="M1146" s="22">
        <f>IFERROR(INDEX(Pedidos!$G$2:$G$1801,MATCH(B1146,Pedidos!$A$2:$A$1801,0)),0)</f>
        <v/>
      </c>
      <c r="N1146" s="21">
        <f>IFERROR(INDEX(Produtos!$B$2:$B$71,MATCH(C1146,Produtos!$A$2:$A$71,0)),"")</f>
        <v/>
      </c>
      <c r="O1146" s="21">
        <f>IFERROR(INDEX(Produtos!$C$2:$C$71,MATCH(C1146,Produtos!$A$2:$A$71,0)),"")</f>
        <v/>
      </c>
      <c r="P1146" s="21">
        <f>IFERROR(INDEX(Produtos!$D$2:$D$71,MATCH(C1146,Produtos!$A$2:$A$71,0)),0)</f>
        <v/>
      </c>
      <c r="Q1146" s="21">
        <f>IFERROR(INDEX(Produtos!$E$2:$E$71,MATCH(C1146,Produtos!$A$2:$A$71,0)),0)</f>
        <v/>
      </c>
      <c r="R1146" s="23">
        <f>D1146*Q1146</f>
        <v/>
      </c>
      <c r="S1146" s="23">
        <f>R1146*E1146</f>
        <v/>
      </c>
      <c r="T1146" s="23">
        <f>(R1146-S1146)*M1146</f>
        <v/>
      </c>
      <c r="U1146" s="23">
        <f>R1146-S1146-T1146</f>
        <v/>
      </c>
      <c r="V1146" s="23">
        <f>D1146*P1146</f>
        <v/>
      </c>
      <c r="W1146" s="23">
        <f>U1146-V1146</f>
        <v/>
      </c>
      <c r="X1146" s="24">
        <f>IFERROR(W1146/U1146,0)</f>
        <v/>
      </c>
    </row>
    <row r="1147">
      <c r="A1147" s="25">
        <f>ItensPedido!A1147</f>
        <v/>
      </c>
      <c r="B1147" s="25">
        <f>ItensPedido!B1147</f>
        <v/>
      </c>
      <c r="C1147" s="25">
        <f>ItensPedido!C1147</f>
        <v/>
      </c>
      <c r="D1147" s="25">
        <f>ItensPedido!D1147</f>
        <v/>
      </c>
      <c r="E1147" s="26">
        <f>ItensPedido!E1147</f>
        <v/>
      </c>
      <c r="F1147" s="25">
        <f>IFERROR(INDEX(Pedidos!$B$2:$B$1801,MATCH(B1147,Pedidos!$A$2:$A$1801,0)),0)</f>
        <v/>
      </c>
      <c r="G1147" s="25">
        <f>IF(F1147=0,"",YEAR(F1147))</f>
        <v/>
      </c>
      <c r="H1147" s="25">
        <f>IF(F1147=0,"",MONTH(F1147))</f>
        <v/>
      </c>
      <c r="I1147" s="25">
        <f>IFERROR(INDEX(Pedidos!$E$2:$E$1801,MATCH(B1147,Pedidos!$A$2:$A$1801,0)),"")</f>
        <v/>
      </c>
      <c r="J1147" s="25">
        <f>IFERROR(INDEX(Pedidos!$C$2:$C$1801,MATCH(B1147,Pedidos!$A$2:$A$1801,0)),"")</f>
        <v/>
      </c>
      <c r="K1147" s="25">
        <f>IFERROR(INDEX(Pedidos!$D$2:$D$1801,MATCH(B1147,Pedidos!$A$2:$A$1801,0)),"")</f>
        <v/>
      </c>
      <c r="L1147" s="25">
        <f>IFERROR(INDEX(Pedidos!$F$2:$F$1801,MATCH(B1147,Pedidos!$A$2:$A$1801,0)),"")</f>
        <v/>
      </c>
      <c r="M1147" s="26">
        <f>IFERROR(INDEX(Pedidos!$G$2:$G$1801,MATCH(B1147,Pedidos!$A$2:$A$1801,0)),0)</f>
        <v/>
      </c>
      <c r="N1147" s="25">
        <f>IFERROR(INDEX(Produtos!$B$2:$B$71,MATCH(C1147,Produtos!$A$2:$A$71,0)),"")</f>
        <v/>
      </c>
      <c r="O1147" s="25">
        <f>IFERROR(INDEX(Produtos!$C$2:$C$71,MATCH(C1147,Produtos!$A$2:$A$71,0)),"")</f>
        <v/>
      </c>
      <c r="P1147" s="25">
        <f>IFERROR(INDEX(Produtos!$D$2:$D$71,MATCH(C1147,Produtos!$A$2:$A$71,0)),0)</f>
        <v/>
      </c>
      <c r="Q1147" s="25">
        <f>IFERROR(INDEX(Produtos!$E$2:$E$71,MATCH(C1147,Produtos!$A$2:$A$71,0)),0)</f>
        <v/>
      </c>
      <c r="R1147" s="27">
        <f>D1147*Q1147</f>
        <v/>
      </c>
      <c r="S1147" s="27">
        <f>R1147*E1147</f>
        <v/>
      </c>
      <c r="T1147" s="27">
        <f>(R1147-S1147)*M1147</f>
        <v/>
      </c>
      <c r="U1147" s="27">
        <f>R1147-S1147-T1147</f>
        <v/>
      </c>
      <c r="V1147" s="27">
        <f>D1147*P1147</f>
        <v/>
      </c>
      <c r="W1147" s="27">
        <f>U1147-V1147</f>
        <v/>
      </c>
      <c r="X1147" s="28">
        <f>IFERROR(W1147/U1147,0)</f>
        <v/>
      </c>
    </row>
    <row r="1148">
      <c r="A1148" s="21">
        <f>ItensPedido!A1148</f>
        <v/>
      </c>
      <c r="B1148" s="21">
        <f>ItensPedido!B1148</f>
        <v/>
      </c>
      <c r="C1148" s="21">
        <f>ItensPedido!C1148</f>
        <v/>
      </c>
      <c r="D1148" s="21">
        <f>ItensPedido!D1148</f>
        <v/>
      </c>
      <c r="E1148" s="22">
        <f>ItensPedido!E1148</f>
        <v/>
      </c>
      <c r="F1148" s="21">
        <f>IFERROR(INDEX(Pedidos!$B$2:$B$1801,MATCH(B1148,Pedidos!$A$2:$A$1801,0)),0)</f>
        <v/>
      </c>
      <c r="G1148" s="21">
        <f>IF(F1148=0,"",YEAR(F1148))</f>
        <v/>
      </c>
      <c r="H1148" s="21">
        <f>IF(F1148=0,"",MONTH(F1148))</f>
        <v/>
      </c>
      <c r="I1148" s="21">
        <f>IFERROR(INDEX(Pedidos!$E$2:$E$1801,MATCH(B1148,Pedidos!$A$2:$A$1801,0)),"")</f>
        <v/>
      </c>
      <c r="J1148" s="21">
        <f>IFERROR(INDEX(Pedidos!$C$2:$C$1801,MATCH(B1148,Pedidos!$A$2:$A$1801,0)),"")</f>
        <v/>
      </c>
      <c r="K1148" s="21">
        <f>IFERROR(INDEX(Pedidos!$D$2:$D$1801,MATCH(B1148,Pedidos!$A$2:$A$1801,0)),"")</f>
        <v/>
      </c>
      <c r="L1148" s="21">
        <f>IFERROR(INDEX(Pedidos!$F$2:$F$1801,MATCH(B1148,Pedidos!$A$2:$A$1801,0)),"")</f>
        <v/>
      </c>
      <c r="M1148" s="22">
        <f>IFERROR(INDEX(Pedidos!$G$2:$G$1801,MATCH(B1148,Pedidos!$A$2:$A$1801,0)),0)</f>
        <v/>
      </c>
      <c r="N1148" s="21">
        <f>IFERROR(INDEX(Produtos!$B$2:$B$71,MATCH(C1148,Produtos!$A$2:$A$71,0)),"")</f>
        <v/>
      </c>
      <c r="O1148" s="21">
        <f>IFERROR(INDEX(Produtos!$C$2:$C$71,MATCH(C1148,Produtos!$A$2:$A$71,0)),"")</f>
        <v/>
      </c>
      <c r="P1148" s="21">
        <f>IFERROR(INDEX(Produtos!$D$2:$D$71,MATCH(C1148,Produtos!$A$2:$A$71,0)),0)</f>
        <v/>
      </c>
      <c r="Q1148" s="21">
        <f>IFERROR(INDEX(Produtos!$E$2:$E$71,MATCH(C1148,Produtos!$A$2:$A$71,0)),0)</f>
        <v/>
      </c>
      <c r="R1148" s="23">
        <f>D1148*Q1148</f>
        <v/>
      </c>
      <c r="S1148" s="23">
        <f>R1148*E1148</f>
        <v/>
      </c>
      <c r="T1148" s="23">
        <f>(R1148-S1148)*M1148</f>
        <v/>
      </c>
      <c r="U1148" s="23">
        <f>R1148-S1148-T1148</f>
        <v/>
      </c>
      <c r="V1148" s="23">
        <f>D1148*P1148</f>
        <v/>
      </c>
      <c r="W1148" s="23">
        <f>U1148-V1148</f>
        <v/>
      </c>
      <c r="X1148" s="24">
        <f>IFERROR(W1148/U1148,0)</f>
        <v/>
      </c>
    </row>
    <row r="1149">
      <c r="A1149" s="25">
        <f>ItensPedido!A1149</f>
        <v/>
      </c>
      <c r="B1149" s="25">
        <f>ItensPedido!B1149</f>
        <v/>
      </c>
      <c r="C1149" s="25">
        <f>ItensPedido!C1149</f>
        <v/>
      </c>
      <c r="D1149" s="25">
        <f>ItensPedido!D1149</f>
        <v/>
      </c>
      <c r="E1149" s="26">
        <f>ItensPedido!E1149</f>
        <v/>
      </c>
      <c r="F1149" s="25">
        <f>IFERROR(INDEX(Pedidos!$B$2:$B$1801,MATCH(B1149,Pedidos!$A$2:$A$1801,0)),0)</f>
        <v/>
      </c>
      <c r="G1149" s="25">
        <f>IF(F1149=0,"",YEAR(F1149))</f>
        <v/>
      </c>
      <c r="H1149" s="25">
        <f>IF(F1149=0,"",MONTH(F1149))</f>
        <v/>
      </c>
      <c r="I1149" s="25">
        <f>IFERROR(INDEX(Pedidos!$E$2:$E$1801,MATCH(B1149,Pedidos!$A$2:$A$1801,0)),"")</f>
        <v/>
      </c>
      <c r="J1149" s="25">
        <f>IFERROR(INDEX(Pedidos!$C$2:$C$1801,MATCH(B1149,Pedidos!$A$2:$A$1801,0)),"")</f>
        <v/>
      </c>
      <c r="K1149" s="25">
        <f>IFERROR(INDEX(Pedidos!$D$2:$D$1801,MATCH(B1149,Pedidos!$A$2:$A$1801,0)),"")</f>
        <v/>
      </c>
      <c r="L1149" s="25">
        <f>IFERROR(INDEX(Pedidos!$F$2:$F$1801,MATCH(B1149,Pedidos!$A$2:$A$1801,0)),"")</f>
        <v/>
      </c>
      <c r="M1149" s="26">
        <f>IFERROR(INDEX(Pedidos!$G$2:$G$1801,MATCH(B1149,Pedidos!$A$2:$A$1801,0)),0)</f>
        <v/>
      </c>
      <c r="N1149" s="25">
        <f>IFERROR(INDEX(Produtos!$B$2:$B$71,MATCH(C1149,Produtos!$A$2:$A$71,0)),"")</f>
        <v/>
      </c>
      <c r="O1149" s="25">
        <f>IFERROR(INDEX(Produtos!$C$2:$C$71,MATCH(C1149,Produtos!$A$2:$A$71,0)),"")</f>
        <v/>
      </c>
      <c r="P1149" s="25">
        <f>IFERROR(INDEX(Produtos!$D$2:$D$71,MATCH(C1149,Produtos!$A$2:$A$71,0)),0)</f>
        <v/>
      </c>
      <c r="Q1149" s="25">
        <f>IFERROR(INDEX(Produtos!$E$2:$E$71,MATCH(C1149,Produtos!$A$2:$A$71,0)),0)</f>
        <v/>
      </c>
      <c r="R1149" s="27">
        <f>D1149*Q1149</f>
        <v/>
      </c>
      <c r="S1149" s="27">
        <f>R1149*E1149</f>
        <v/>
      </c>
      <c r="T1149" s="27">
        <f>(R1149-S1149)*M1149</f>
        <v/>
      </c>
      <c r="U1149" s="27">
        <f>R1149-S1149-T1149</f>
        <v/>
      </c>
      <c r="V1149" s="27">
        <f>D1149*P1149</f>
        <v/>
      </c>
      <c r="W1149" s="27">
        <f>U1149-V1149</f>
        <v/>
      </c>
      <c r="X1149" s="28">
        <f>IFERROR(W1149/U1149,0)</f>
        <v/>
      </c>
    </row>
    <row r="1150">
      <c r="A1150" s="21">
        <f>ItensPedido!A1150</f>
        <v/>
      </c>
      <c r="B1150" s="21">
        <f>ItensPedido!B1150</f>
        <v/>
      </c>
      <c r="C1150" s="21">
        <f>ItensPedido!C1150</f>
        <v/>
      </c>
      <c r="D1150" s="21">
        <f>ItensPedido!D1150</f>
        <v/>
      </c>
      <c r="E1150" s="22">
        <f>ItensPedido!E1150</f>
        <v/>
      </c>
      <c r="F1150" s="21">
        <f>IFERROR(INDEX(Pedidos!$B$2:$B$1801,MATCH(B1150,Pedidos!$A$2:$A$1801,0)),0)</f>
        <v/>
      </c>
      <c r="G1150" s="21">
        <f>IF(F1150=0,"",YEAR(F1150))</f>
        <v/>
      </c>
      <c r="H1150" s="21">
        <f>IF(F1150=0,"",MONTH(F1150))</f>
        <v/>
      </c>
      <c r="I1150" s="21">
        <f>IFERROR(INDEX(Pedidos!$E$2:$E$1801,MATCH(B1150,Pedidos!$A$2:$A$1801,0)),"")</f>
        <v/>
      </c>
      <c r="J1150" s="21">
        <f>IFERROR(INDEX(Pedidos!$C$2:$C$1801,MATCH(B1150,Pedidos!$A$2:$A$1801,0)),"")</f>
        <v/>
      </c>
      <c r="K1150" s="21">
        <f>IFERROR(INDEX(Pedidos!$D$2:$D$1801,MATCH(B1150,Pedidos!$A$2:$A$1801,0)),"")</f>
        <v/>
      </c>
      <c r="L1150" s="21">
        <f>IFERROR(INDEX(Pedidos!$F$2:$F$1801,MATCH(B1150,Pedidos!$A$2:$A$1801,0)),"")</f>
        <v/>
      </c>
      <c r="M1150" s="22">
        <f>IFERROR(INDEX(Pedidos!$G$2:$G$1801,MATCH(B1150,Pedidos!$A$2:$A$1801,0)),0)</f>
        <v/>
      </c>
      <c r="N1150" s="21">
        <f>IFERROR(INDEX(Produtos!$B$2:$B$71,MATCH(C1150,Produtos!$A$2:$A$71,0)),"")</f>
        <v/>
      </c>
      <c r="O1150" s="21">
        <f>IFERROR(INDEX(Produtos!$C$2:$C$71,MATCH(C1150,Produtos!$A$2:$A$71,0)),"")</f>
        <v/>
      </c>
      <c r="P1150" s="21">
        <f>IFERROR(INDEX(Produtos!$D$2:$D$71,MATCH(C1150,Produtos!$A$2:$A$71,0)),0)</f>
        <v/>
      </c>
      <c r="Q1150" s="21">
        <f>IFERROR(INDEX(Produtos!$E$2:$E$71,MATCH(C1150,Produtos!$A$2:$A$71,0)),0)</f>
        <v/>
      </c>
      <c r="R1150" s="23">
        <f>D1150*Q1150</f>
        <v/>
      </c>
      <c r="S1150" s="23">
        <f>R1150*E1150</f>
        <v/>
      </c>
      <c r="T1150" s="23">
        <f>(R1150-S1150)*M1150</f>
        <v/>
      </c>
      <c r="U1150" s="23">
        <f>R1150-S1150-T1150</f>
        <v/>
      </c>
      <c r="V1150" s="23">
        <f>D1150*P1150</f>
        <v/>
      </c>
      <c r="W1150" s="23">
        <f>U1150-V1150</f>
        <v/>
      </c>
      <c r="X1150" s="24">
        <f>IFERROR(W1150/U1150,0)</f>
        <v/>
      </c>
    </row>
    <row r="1151">
      <c r="A1151" s="25">
        <f>ItensPedido!A1151</f>
        <v/>
      </c>
      <c r="B1151" s="25">
        <f>ItensPedido!B1151</f>
        <v/>
      </c>
      <c r="C1151" s="25">
        <f>ItensPedido!C1151</f>
        <v/>
      </c>
      <c r="D1151" s="25">
        <f>ItensPedido!D1151</f>
        <v/>
      </c>
      <c r="E1151" s="26">
        <f>ItensPedido!E1151</f>
        <v/>
      </c>
      <c r="F1151" s="25">
        <f>IFERROR(INDEX(Pedidos!$B$2:$B$1801,MATCH(B1151,Pedidos!$A$2:$A$1801,0)),0)</f>
        <v/>
      </c>
      <c r="G1151" s="25">
        <f>IF(F1151=0,"",YEAR(F1151))</f>
        <v/>
      </c>
      <c r="H1151" s="25">
        <f>IF(F1151=0,"",MONTH(F1151))</f>
        <v/>
      </c>
      <c r="I1151" s="25">
        <f>IFERROR(INDEX(Pedidos!$E$2:$E$1801,MATCH(B1151,Pedidos!$A$2:$A$1801,0)),"")</f>
        <v/>
      </c>
      <c r="J1151" s="25">
        <f>IFERROR(INDEX(Pedidos!$C$2:$C$1801,MATCH(B1151,Pedidos!$A$2:$A$1801,0)),"")</f>
        <v/>
      </c>
      <c r="K1151" s="25">
        <f>IFERROR(INDEX(Pedidos!$D$2:$D$1801,MATCH(B1151,Pedidos!$A$2:$A$1801,0)),"")</f>
        <v/>
      </c>
      <c r="L1151" s="25">
        <f>IFERROR(INDEX(Pedidos!$F$2:$F$1801,MATCH(B1151,Pedidos!$A$2:$A$1801,0)),"")</f>
        <v/>
      </c>
      <c r="M1151" s="26">
        <f>IFERROR(INDEX(Pedidos!$G$2:$G$1801,MATCH(B1151,Pedidos!$A$2:$A$1801,0)),0)</f>
        <v/>
      </c>
      <c r="N1151" s="25">
        <f>IFERROR(INDEX(Produtos!$B$2:$B$71,MATCH(C1151,Produtos!$A$2:$A$71,0)),"")</f>
        <v/>
      </c>
      <c r="O1151" s="25">
        <f>IFERROR(INDEX(Produtos!$C$2:$C$71,MATCH(C1151,Produtos!$A$2:$A$71,0)),"")</f>
        <v/>
      </c>
      <c r="P1151" s="25">
        <f>IFERROR(INDEX(Produtos!$D$2:$D$71,MATCH(C1151,Produtos!$A$2:$A$71,0)),0)</f>
        <v/>
      </c>
      <c r="Q1151" s="25">
        <f>IFERROR(INDEX(Produtos!$E$2:$E$71,MATCH(C1151,Produtos!$A$2:$A$71,0)),0)</f>
        <v/>
      </c>
      <c r="R1151" s="27">
        <f>D1151*Q1151</f>
        <v/>
      </c>
      <c r="S1151" s="27">
        <f>R1151*E1151</f>
        <v/>
      </c>
      <c r="T1151" s="27">
        <f>(R1151-S1151)*M1151</f>
        <v/>
      </c>
      <c r="U1151" s="27">
        <f>R1151-S1151-T1151</f>
        <v/>
      </c>
      <c r="V1151" s="27">
        <f>D1151*P1151</f>
        <v/>
      </c>
      <c r="W1151" s="27">
        <f>U1151-V1151</f>
        <v/>
      </c>
      <c r="X1151" s="28">
        <f>IFERROR(W1151/U1151,0)</f>
        <v/>
      </c>
    </row>
    <row r="1152">
      <c r="A1152" s="21">
        <f>ItensPedido!A1152</f>
        <v/>
      </c>
      <c r="B1152" s="21">
        <f>ItensPedido!B1152</f>
        <v/>
      </c>
      <c r="C1152" s="21">
        <f>ItensPedido!C1152</f>
        <v/>
      </c>
      <c r="D1152" s="21">
        <f>ItensPedido!D1152</f>
        <v/>
      </c>
      <c r="E1152" s="22">
        <f>ItensPedido!E1152</f>
        <v/>
      </c>
      <c r="F1152" s="21">
        <f>IFERROR(INDEX(Pedidos!$B$2:$B$1801,MATCH(B1152,Pedidos!$A$2:$A$1801,0)),0)</f>
        <v/>
      </c>
      <c r="G1152" s="21">
        <f>IF(F1152=0,"",YEAR(F1152))</f>
        <v/>
      </c>
      <c r="H1152" s="21">
        <f>IF(F1152=0,"",MONTH(F1152))</f>
        <v/>
      </c>
      <c r="I1152" s="21">
        <f>IFERROR(INDEX(Pedidos!$E$2:$E$1801,MATCH(B1152,Pedidos!$A$2:$A$1801,0)),"")</f>
        <v/>
      </c>
      <c r="J1152" s="21">
        <f>IFERROR(INDEX(Pedidos!$C$2:$C$1801,MATCH(B1152,Pedidos!$A$2:$A$1801,0)),"")</f>
        <v/>
      </c>
      <c r="K1152" s="21">
        <f>IFERROR(INDEX(Pedidos!$D$2:$D$1801,MATCH(B1152,Pedidos!$A$2:$A$1801,0)),"")</f>
        <v/>
      </c>
      <c r="L1152" s="21">
        <f>IFERROR(INDEX(Pedidos!$F$2:$F$1801,MATCH(B1152,Pedidos!$A$2:$A$1801,0)),"")</f>
        <v/>
      </c>
      <c r="M1152" s="22">
        <f>IFERROR(INDEX(Pedidos!$G$2:$G$1801,MATCH(B1152,Pedidos!$A$2:$A$1801,0)),0)</f>
        <v/>
      </c>
      <c r="N1152" s="21">
        <f>IFERROR(INDEX(Produtos!$B$2:$B$71,MATCH(C1152,Produtos!$A$2:$A$71,0)),"")</f>
        <v/>
      </c>
      <c r="O1152" s="21">
        <f>IFERROR(INDEX(Produtos!$C$2:$C$71,MATCH(C1152,Produtos!$A$2:$A$71,0)),"")</f>
        <v/>
      </c>
      <c r="P1152" s="21">
        <f>IFERROR(INDEX(Produtos!$D$2:$D$71,MATCH(C1152,Produtos!$A$2:$A$71,0)),0)</f>
        <v/>
      </c>
      <c r="Q1152" s="21">
        <f>IFERROR(INDEX(Produtos!$E$2:$E$71,MATCH(C1152,Produtos!$A$2:$A$71,0)),0)</f>
        <v/>
      </c>
      <c r="R1152" s="23">
        <f>D1152*Q1152</f>
        <v/>
      </c>
      <c r="S1152" s="23">
        <f>R1152*E1152</f>
        <v/>
      </c>
      <c r="T1152" s="23">
        <f>(R1152-S1152)*M1152</f>
        <v/>
      </c>
      <c r="U1152" s="23">
        <f>R1152-S1152-T1152</f>
        <v/>
      </c>
      <c r="V1152" s="23">
        <f>D1152*P1152</f>
        <v/>
      </c>
      <c r="W1152" s="23">
        <f>U1152-V1152</f>
        <v/>
      </c>
      <c r="X1152" s="24">
        <f>IFERROR(W1152/U1152,0)</f>
        <v/>
      </c>
    </row>
    <row r="1153">
      <c r="A1153" s="25">
        <f>ItensPedido!A1153</f>
        <v/>
      </c>
      <c r="B1153" s="25">
        <f>ItensPedido!B1153</f>
        <v/>
      </c>
      <c r="C1153" s="25">
        <f>ItensPedido!C1153</f>
        <v/>
      </c>
      <c r="D1153" s="25">
        <f>ItensPedido!D1153</f>
        <v/>
      </c>
      <c r="E1153" s="26">
        <f>ItensPedido!E1153</f>
        <v/>
      </c>
      <c r="F1153" s="25">
        <f>IFERROR(INDEX(Pedidos!$B$2:$B$1801,MATCH(B1153,Pedidos!$A$2:$A$1801,0)),0)</f>
        <v/>
      </c>
      <c r="G1153" s="25">
        <f>IF(F1153=0,"",YEAR(F1153))</f>
        <v/>
      </c>
      <c r="H1153" s="25">
        <f>IF(F1153=0,"",MONTH(F1153))</f>
        <v/>
      </c>
      <c r="I1153" s="25">
        <f>IFERROR(INDEX(Pedidos!$E$2:$E$1801,MATCH(B1153,Pedidos!$A$2:$A$1801,0)),"")</f>
        <v/>
      </c>
      <c r="J1153" s="25">
        <f>IFERROR(INDEX(Pedidos!$C$2:$C$1801,MATCH(B1153,Pedidos!$A$2:$A$1801,0)),"")</f>
        <v/>
      </c>
      <c r="K1153" s="25">
        <f>IFERROR(INDEX(Pedidos!$D$2:$D$1801,MATCH(B1153,Pedidos!$A$2:$A$1801,0)),"")</f>
        <v/>
      </c>
      <c r="L1153" s="25">
        <f>IFERROR(INDEX(Pedidos!$F$2:$F$1801,MATCH(B1153,Pedidos!$A$2:$A$1801,0)),"")</f>
        <v/>
      </c>
      <c r="M1153" s="26">
        <f>IFERROR(INDEX(Pedidos!$G$2:$G$1801,MATCH(B1153,Pedidos!$A$2:$A$1801,0)),0)</f>
        <v/>
      </c>
      <c r="N1153" s="25">
        <f>IFERROR(INDEX(Produtos!$B$2:$B$71,MATCH(C1153,Produtos!$A$2:$A$71,0)),"")</f>
        <v/>
      </c>
      <c r="O1153" s="25">
        <f>IFERROR(INDEX(Produtos!$C$2:$C$71,MATCH(C1153,Produtos!$A$2:$A$71,0)),"")</f>
        <v/>
      </c>
      <c r="P1153" s="25">
        <f>IFERROR(INDEX(Produtos!$D$2:$D$71,MATCH(C1153,Produtos!$A$2:$A$71,0)),0)</f>
        <v/>
      </c>
      <c r="Q1153" s="25">
        <f>IFERROR(INDEX(Produtos!$E$2:$E$71,MATCH(C1153,Produtos!$A$2:$A$71,0)),0)</f>
        <v/>
      </c>
      <c r="R1153" s="27">
        <f>D1153*Q1153</f>
        <v/>
      </c>
      <c r="S1153" s="27">
        <f>R1153*E1153</f>
        <v/>
      </c>
      <c r="T1153" s="27">
        <f>(R1153-S1153)*M1153</f>
        <v/>
      </c>
      <c r="U1153" s="27">
        <f>R1153-S1153-T1153</f>
        <v/>
      </c>
      <c r="V1153" s="27">
        <f>D1153*P1153</f>
        <v/>
      </c>
      <c r="W1153" s="27">
        <f>U1153-V1153</f>
        <v/>
      </c>
      <c r="X1153" s="28">
        <f>IFERROR(W1153/U1153,0)</f>
        <v/>
      </c>
    </row>
    <row r="1154">
      <c r="A1154" s="21">
        <f>ItensPedido!A1154</f>
        <v/>
      </c>
      <c r="B1154" s="21">
        <f>ItensPedido!B1154</f>
        <v/>
      </c>
      <c r="C1154" s="21">
        <f>ItensPedido!C1154</f>
        <v/>
      </c>
      <c r="D1154" s="21">
        <f>ItensPedido!D1154</f>
        <v/>
      </c>
      <c r="E1154" s="22">
        <f>ItensPedido!E1154</f>
        <v/>
      </c>
      <c r="F1154" s="21">
        <f>IFERROR(INDEX(Pedidos!$B$2:$B$1801,MATCH(B1154,Pedidos!$A$2:$A$1801,0)),0)</f>
        <v/>
      </c>
      <c r="G1154" s="21">
        <f>IF(F1154=0,"",YEAR(F1154))</f>
        <v/>
      </c>
      <c r="H1154" s="21">
        <f>IF(F1154=0,"",MONTH(F1154))</f>
        <v/>
      </c>
      <c r="I1154" s="21">
        <f>IFERROR(INDEX(Pedidos!$E$2:$E$1801,MATCH(B1154,Pedidos!$A$2:$A$1801,0)),"")</f>
        <v/>
      </c>
      <c r="J1154" s="21">
        <f>IFERROR(INDEX(Pedidos!$C$2:$C$1801,MATCH(B1154,Pedidos!$A$2:$A$1801,0)),"")</f>
        <v/>
      </c>
      <c r="K1154" s="21">
        <f>IFERROR(INDEX(Pedidos!$D$2:$D$1801,MATCH(B1154,Pedidos!$A$2:$A$1801,0)),"")</f>
        <v/>
      </c>
      <c r="L1154" s="21">
        <f>IFERROR(INDEX(Pedidos!$F$2:$F$1801,MATCH(B1154,Pedidos!$A$2:$A$1801,0)),"")</f>
        <v/>
      </c>
      <c r="M1154" s="22">
        <f>IFERROR(INDEX(Pedidos!$G$2:$G$1801,MATCH(B1154,Pedidos!$A$2:$A$1801,0)),0)</f>
        <v/>
      </c>
      <c r="N1154" s="21">
        <f>IFERROR(INDEX(Produtos!$B$2:$B$71,MATCH(C1154,Produtos!$A$2:$A$71,0)),"")</f>
        <v/>
      </c>
      <c r="O1154" s="21">
        <f>IFERROR(INDEX(Produtos!$C$2:$C$71,MATCH(C1154,Produtos!$A$2:$A$71,0)),"")</f>
        <v/>
      </c>
      <c r="P1154" s="21">
        <f>IFERROR(INDEX(Produtos!$D$2:$D$71,MATCH(C1154,Produtos!$A$2:$A$71,0)),0)</f>
        <v/>
      </c>
      <c r="Q1154" s="21">
        <f>IFERROR(INDEX(Produtos!$E$2:$E$71,MATCH(C1154,Produtos!$A$2:$A$71,0)),0)</f>
        <v/>
      </c>
      <c r="R1154" s="23">
        <f>D1154*Q1154</f>
        <v/>
      </c>
      <c r="S1154" s="23">
        <f>R1154*E1154</f>
        <v/>
      </c>
      <c r="T1154" s="23">
        <f>(R1154-S1154)*M1154</f>
        <v/>
      </c>
      <c r="U1154" s="23">
        <f>R1154-S1154-T1154</f>
        <v/>
      </c>
      <c r="V1154" s="23">
        <f>D1154*P1154</f>
        <v/>
      </c>
      <c r="W1154" s="23">
        <f>U1154-V1154</f>
        <v/>
      </c>
      <c r="X1154" s="24">
        <f>IFERROR(W1154/U1154,0)</f>
        <v/>
      </c>
    </row>
    <row r="1155">
      <c r="A1155" s="25">
        <f>ItensPedido!A1155</f>
        <v/>
      </c>
      <c r="B1155" s="25">
        <f>ItensPedido!B1155</f>
        <v/>
      </c>
      <c r="C1155" s="25">
        <f>ItensPedido!C1155</f>
        <v/>
      </c>
      <c r="D1155" s="25">
        <f>ItensPedido!D1155</f>
        <v/>
      </c>
      <c r="E1155" s="26">
        <f>ItensPedido!E1155</f>
        <v/>
      </c>
      <c r="F1155" s="25">
        <f>IFERROR(INDEX(Pedidos!$B$2:$B$1801,MATCH(B1155,Pedidos!$A$2:$A$1801,0)),0)</f>
        <v/>
      </c>
      <c r="G1155" s="25">
        <f>IF(F1155=0,"",YEAR(F1155))</f>
        <v/>
      </c>
      <c r="H1155" s="25">
        <f>IF(F1155=0,"",MONTH(F1155))</f>
        <v/>
      </c>
      <c r="I1155" s="25">
        <f>IFERROR(INDEX(Pedidos!$E$2:$E$1801,MATCH(B1155,Pedidos!$A$2:$A$1801,0)),"")</f>
        <v/>
      </c>
      <c r="J1155" s="25">
        <f>IFERROR(INDEX(Pedidos!$C$2:$C$1801,MATCH(B1155,Pedidos!$A$2:$A$1801,0)),"")</f>
        <v/>
      </c>
      <c r="K1155" s="25">
        <f>IFERROR(INDEX(Pedidos!$D$2:$D$1801,MATCH(B1155,Pedidos!$A$2:$A$1801,0)),"")</f>
        <v/>
      </c>
      <c r="L1155" s="25">
        <f>IFERROR(INDEX(Pedidos!$F$2:$F$1801,MATCH(B1155,Pedidos!$A$2:$A$1801,0)),"")</f>
        <v/>
      </c>
      <c r="M1155" s="26">
        <f>IFERROR(INDEX(Pedidos!$G$2:$G$1801,MATCH(B1155,Pedidos!$A$2:$A$1801,0)),0)</f>
        <v/>
      </c>
      <c r="N1155" s="25">
        <f>IFERROR(INDEX(Produtos!$B$2:$B$71,MATCH(C1155,Produtos!$A$2:$A$71,0)),"")</f>
        <v/>
      </c>
      <c r="O1155" s="25">
        <f>IFERROR(INDEX(Produtos!$C$2:$C$71,MATCH(C1155,Produtos!$A$2:$A$71,0)),"")</f>
        <v/>
      </c>
      <c r="P1155" s="25">
        <f>IFERROR(INDEX(Produtos!$D$2:$D$71,MATCH(C1155,Produtos!$A$2:$A$71,0)),0)</f>
        <v/>
      </c>
      <c r="Q1155" s="25">
        <f>IFERROR(INDEX(Produtos!$E$2:$E$71,MATCH(C1155,Produtos!$A$2:$A$71,0)),0)</f>
        <v/>
      </c>
      <c r="R1155" s="27">
        <f>D1155*Q1155</f>
        <v/>
      </c>
      <c r="S1155" s="27">
        <f>R1155*E1155</f>
        <v/>
      </c>
      <c r="T1155" s="27">
        <f>(R1155-S1155)*M1155</f>
        <v/>
      </c>
      <c r="U1155" s="27">
        <f>R1155-S1155-T1155</f>
        <v/>
      </c>
      <c r="V1155" s="27">
        <f>D1155*P1155</f>
        <v/>
      </c>
      <c r="W1155" s="27">
        <f>U1155-V1155</f>
        <v/>
      </c>
      <c r="X1155" s="28">
        <f>IFERROR(W1155/U1155,0)</f>
        <v/>
      </c>
    </row>
    <row r="1156">
      <c r="A1156" s="21">
        <f>ItensPedido!A1156</f>
        <v/>
      </c>
      <c r="B1156" s="21">
        <f>ItensPedido!B1156</f>
        <v/>
      </c>
      <c r="C1156" s="21">
        <f>ItensPedido!C1156</f>
        <v/>
      </c>
      <c r="D1156" s="21">
        <f>ItensPedido!D1156</f>
        <v/>
      </c>
      <c r="E1156" s="22">
        <f>ItensPedido!E1156</f>
        <v/>
      </c>
      <c r="F1156" s="21">
        <f>IFERROR(INDEX(Pedidos!$B$2:$B$1801,MATCH(B1156,Pedidos!$A$2:$A$1801,0)),0)</f>
        <v/>
      </c>
      <c r="G1156" s="21">
        <f>IF(F1156=0,"",YEAR(F1156))</f>
        <v/>
      </c>
      <c r="H1156" s="21">
        <f>IF(F1156=0,"",MONTH(F1156))</f>
        <v/>
      </c>
      <c r="I1156" s="21">
        <f>IFERROR(INDEX(Pedidos!$E$2:$E$1801,MATCH(B1156,Pedidos!$A$2:$A$1801,0)),"")</f>
        <v/>
      </c>
      <c r="J1156" s="21">
        <f>IFERROR(INDEX(Pedidos!$C$2:$C$1801,MATCH(B1156,Pedidos!$A$2:$A$1801,0)),"")</f>
        <v/>
      </c>
      <c r="K1156" s="21">
        <f>IFERROR(INDEX(Pedidos!$D$2:$D$1801,MATCH(B1156,Pedidos!$A$2:$A$1801,0)),"")</f>
        <v/>
      </c>
      <c r="L1156" s="21">
        <f>IFERROR(INDEX(Pedidos!$F$2:$F$1801,MATCH(B1156,Pedidos!$A$2:$A$1801,0)),"")</f>
        <v/>
      </c>
      <c r="M1156" s="22">
        <f>IFERROR(INDEX(Pedidos!$G$2:$G$1801,MATCH(B1156,Pedidos!$A$2:$A$1801,0)),0)</f>
        <v/>
      </c>
      <c r="N1156" s="21">
        <f>IFERROR(INDEX(Produtos!$B$2:$B$71,MATCH(C1156,Produtos!$A$2:$A$71,0)),"")</f>
        <v/>
      </c>
      <c r="O1156" s="21">
        <f>IFERROR(INDEX(Produtos!$C$2:$C$71,MATCH(C1156,Produtos!$A$2:$A$71,0)),"")</f>
        <v/>
      </c>
      <c r="P1156" s="21">
        <f>IFERROR(INDEX(Produtos!$D$2:$D$71,MATCH(C1156,Produtos!$A$2:$A$71,0)),0)</f>
        <v/>
      </c>
      <c r="Q1156" s="21">
        <f>IFERROR(INDEX(Produtos!$E$2:$E$71,MATCH(C1156,Produtos!$A$2:$A$71,0)),0)</f>
        <v/>
      </c>
      <c r="R1156" s="23">
        <f>D1156*Q1156</f>
        <v/>
      </c>
      <c r="S1156" s="23">
        <f>R1156*E1156</f>
        <v/>
      </c>
      <c r="T1156" s="23">
        <f>(R1156-S1156)*M1156</f>
        <v/>
      </c>
      <c r="U1156" s="23">
        <f>R1156-S1156-T1156</f>
        <v/>
      </c>
      <c r="V1156" s="23">
        <f>D1156*P1156</f>
        <v/>
      </c>
      <c r="W1156" s="23">
        <f>U1156-V1156</f>
        <v/>
      </c>
      <c r="X1156" s="24">
        <f>IFERROR(W1156/U1156,0)</f>
        <v/>
      </c>
    </row>
    <row r="1157">
      <c r="A1157" s="25">
        <f>ItensPedido!A1157</f>
        <v/>
      </c>
      <c r="B1157" s="25">
        <f>ItensPedido!B1157</f>
        <v/>
      </c>
      <c r="C1157" s="25">
        <f>ItensPedido!C1157</f>
        <v/>
      </c>
      <c r="D1157" s="25">
        <f>ItensPedido!D1157</f>
        <v/>
      </c>
      <c r="E1157" s="26">
        <f>ItensPedido!E1157</f>
        <v/>
      </c>
      <c r="F1157" s="25">
        <f>IFERROR(INDEX(Pedidos!$B$2:$B$1801,MATCH(B1157,Pedidos!$A$2:$A$1801,0)),0)</f>
        <v/>
      </c>
      <c r="G1157" s="25">
        <f>IF(F1157=0,"",YEAR(F1157))</f>
        <v/>
      </c>
      <c r="H1157" s="25">
        <f>IF(F1157=0,"",MONTH(F1157))</f>
        <v/>
      </c>
      <c r="I1157" s="25">
        <f>IFERROR(INDEX(Pedidos!$E$2:$E$1801,MATCH(B1157,Pedidos!$A$2:$A$1801,0)),"")</f>
        <v/>
      </c>
      <c r="J1157" s="25">
        <f>IFERROR(INDEX(Pedidos!$C$2:$C$1801,MATCH(B1157,Pedidos!$A$2:$A$1801,0)),"")</f>
        <v/>
      </c>
      <c r="K1157" s="25">
        <f>IFERROR(INDEX(Pedidos!$D$2:$D$1801,MATCH(B1157,Pedidos!$A$2:$A$1801,0)),"")</f>
        <v/>
      </c>
      <c r="L1157" s="25">
        <f>IFERROR(INDEX(Pedidos!$F$2:$F$1801,MATCH(B1157,Pedidos!$A$2:$A$1801,0)),"")</f>
        <v/>
      </c>
      <c r="M1157" s="26">
        <f>IFERROR(INDEX(Pedidos!$G$2:$G$1801,MATCH(B1157,Pedidos!$A$2:$A$1801,0)),0)</f>
        <v/>
      </c>
      <c r="N1157" s="25">
        <f>IFERROR(INDEX(Produtos!$B$2:$B$71,MATCH(C1157,Produtos!$A$2:$A$71,0)),"")</f>
        <v/>
      </c>
      <c r="O1157" s="25">
        <f>IFERROR(INDEX(Produtos!$C$2:$C$71,MATCH(C1157,Produtos!$A$2:$A$71,0)),"")</f>
        <v/>
      </c>
      <c r="P1157" s="25">
        <f>IFERROR(INDEX(Produtos!$D$2:$D$71,MATCH(C1157,Produtos!$A$2:$A$71,0)),0)</f>
        <v/>
      </c>
      <c r="Q1157" s="25">
        <f>IFERROR(INDEX(Produtos!$E$2:$E$71,MATCH(C1157,Produtos!$A$2:$A$71,0)),0)</f>
        <v/>
      </c>
      <c r="R1157" s="27">
        <f>D1157*Q1157</f>
        <v/>
      </c>
      <c r="S1157" s="27">
        <f>R1157*E1157</f>
        <v/>
      </c>
      <c r="T1157" s="27">
        <f>(R1157-S1157)*M1157</f>
        <v/>
      </c>
      <c r="U1157" s="27">
        <f>R1157-S1157-T1157</f>
        <v/>
      </c>
      <c r="V1157" s="27">
        <f>D1157*P1157</f>
        <v/>
      </c>
      <c r="W1157" s="27">
        <f>U1157-V1157</f>
        <v/>
      </c>
      <c r="X1157" s="28">
        <f>IFERROR(W1157/U1157,0)</f>
        <v/>
      </c>
    </row>
    <row r="1158">
      <c r="A1158" s="21">
        <f>ItensPedido!A1158</f>
        <v/>
      </c>
      <c r="B1158" s="21">
        <f>ItensPedido!B1158</f>
        <v/>
      </c>
      <c r="C1158" s="21">
        <f>ItensPedido!C1158</f>
        <v/>
      </c>
      <c r="D1158" s="21">
        <f>ItensPedido!D1158</f>
        <v/>
      </c>
      <c r="E1158" s="22">
        <f>ItensPedido!E1158</f>
        <v/>
      </c>
      <c r="F1158" s="21">
        <f>IFERROR(INDEX(Pedidos!$B$2:$B$1801,MATCH(B1158,Pedidos!$A$2:$A$1801,0)),0)</f>
        <v/>
      </c>
      <c r="G1158" s="21">
        <f>IF(F1158=0,"",YEAR(F1158))</f>
        <v/>
      </c>
      <c r="H1158" s="21">
        <f>IF(F1158=0,"",MONTH(F1158))</f>
        <v/>
      </c>
      <c r="I1158" s="21">
        <f>IFERROR(INDEX(Pedidos!$E$2:$E$1801,MATCH(B1158,Pedidos!$A$2:$A$1801,0)),"")</f>
        <v/>
      </c>
      <c r="J1158" s="21">
        <f>IFERROR(INDEX(Pedidos!$C$2:$C$1801,MATCH(B1158,Pedidos!$A$2:$A$1801,0)),"")</f>
        <v/>
      </c>
      <c r="K1158" s="21">
        <f>IFERROR(INDEX(Pedidos!$D$2:$D$1801,MATCH(B1158,Pedidos!$A$2:$A$1801,0)),"")</f>
        <v/>
      </c>
      <c r="L1158" s="21">
        <f>IFERROR(INDEX(Pedidos!$F$2:$F$1801,MATCH(B1158,Pedidos!$A$2:$A$1801,0)),"")</f>
        <v/>
      </c>
      <c r="M1158" s="22">
        <f>IFERROR(INDEX(Pedidos!$G$2:$G$1801,MATCH(B1158,Pedidos!$A$2:$A$1801,0)),0)</f>
        <v/>
      </c>
      <c r="N1158" s="21">
        <f>IFERROR(INDEX(Produtos!$B$2:$B$71,MATCH(C1158,Produtos!$A$2:$A$71,0)),"")</f>
        <v/>
      </c>
      <c r="O1158" s="21">
        <f>IFERROR(INDEX(Produtos!$C$2:$C$71,MATCH(C1158,Produtos!$A$2:$A$71,0)),"")</f>
        <v/>
      </c>
      <c r="P1158" s="21">
        <f>IFERROR(INDEX(Produtos!$D$2:$D$71,MATCH(C1158,Produtos!$A$2:$A$71,0)),0)</f>
        <v/>
      </c>
      <c r="Q1158" s="21">
        <f>IFERROR(INDEX(Produtos!$E$2:$E$71,MATCH(C1158,Produtos!$A$2:$A$71,0)),0)</f>
        <v/>
      </c>
      <c r="R1158" s="23">
        <f>D1158*Q1158</f>
        <v/>
      </c>
      <c r="S1158" s="23">
        <f>R1158*E1158</f>
        <v/>
      </c>
      <c r="T1158" s="23">
        <f>(R1158-S1158)*M1158</f>
        <v/>
      </c>
      <c r="U1158" s="23">
        <f>R1158-S1158-T1158</f>
        <v/>
      </c>
      <c r="V1158" s="23">
        <f>D1158*P1158</f>
        <v/>
      </c>
      <c r="W1158" s="23">
        <f>U1158-V1158</f>
        <v/>
      </c>
      <c r="X1158" s="24">
        <f>IFERROR(W1158/U1158,0)</f>
        <v/>
      </c>
    </row>
    <row r="1159">
      <c r="A1159" s="25">
        <f>ItensPedido!A1159</f>
        <v/>
      </c>
      <c r="B1159" s="25">
        <f>ItensPedido!B1159</f>
        <v/>
      </c>
      <c r="C1159" s="25">
        <f>ItensPedido!C1159</f>
        <v/>
      </c>
      <c r="D1159" s="25">
        <f>ItensPedido!D1159</f>
        <v/>
      </c>
      <c r="E1159" s="26">
        <f>ItensPedido!E1159</f>
        <v/>
      </c>
      <c r="F1159" s="25">
        <f>IFERROR(INDEX(Pedidos!$B$2:$B$1801,MATCH(B1159,Pedidos!$A$2:$A$1801,0)),0)</f>
        <v/>
      </c>
      <c r="G1159" s="25">
        <f>IF(F1159=0,"",YEAR(F1159))</f>
        <v/>
      </c>
      <c r="H1159" s="25">
        <f>IF(F1159=0,"",MONTH(F1159))</f>
        <v/>
      </c>
      <c r="I1159" s="25">
        <f>IFERROR(INDEX(Pedidos!$E$2:$E$1801,MATCH(B1159,Pedidos!$A$2:$A$1801,0)),"")</f>
        <v/>
      </c>
      <c r="J1159" s="25">
        <f>IFERROR(INDEX(Pedidos!$C$2:$C$1801,MATCH(B1159,Pedidos!$A$2:$A$1801,0)),"")</f>
        <v/>
      </c>
      <c r="K1159" s="25">
        <f>IFERROR(INDEX(Pedidos!$D$2:$D$1801,MATCH(B1159,Pedidos!$A$2:$A$1801,0)),"")</f>
        <v/>
      </c>
      <c r="L1159" s="25">
        <f>IFERROR(INDEX(Pedidos!$F$2:$F$1801,MATCH(B1159,Pedidos!$A$2:$A$1801,0)),"")</f>
        <v/>
      </c>
      <c r="M1159" s="26">
        <f>IFERROR(INDEX(Pedidos!$G$2:$G$1801,MATCH(B1159,Pedidos!$A$2:$A$1801,0)),0)</f>
        <v/>
      </c>
      <c r="N1159" s="25">
        <f>IFERROR(INDEX(Produtos!$B$2:$B$71,MATCH(C1159,Produtos!$A$2:$A$71,0)),"")</f>
        <v/>
      </c>
      <c r="O1159" s="25">
        <f>IFERROR(INDEX(Produtos!$C$2:$C$71,MATCH(C1159,Produtos!$A$2:$A$71,0)),"")</f>
        <v/>
      </c>
      <c r="P1159" s="25">
        <f>IFERROR(INDEX(Produtos!$D$2:$D$71,MATCH(C1159,Produtos!$A$2:$A$71,0)),0)</f>
        <v/>
      </c>
      <c r="Q1159" s="25">
        <f>IFERROR(INDEX(Produtos!$E$2:$E$71,MATCH(C1159,Produtos!$A$2:$A$71,0)),0)</f>
        <v/>
      </c>
      <c r="R1159" s="27">
        <f>D1159*Q1159</f>
        <v/>
      </c>
      <c r="S1159" s="27">
        <f>R1159*E1159</f>
        <v/>
      </c>
      <c r="T1159" s="27">
        <f>(R1159-S1159)*M1159</f>
        <v/>
      </c>
      <c r="U1159" s="27">
        <f>R1159-S1159-T1159</f>
        <v/>
      </c>
      <c r="V1159" s="27">
        <f>D1159*P1159</f>
        <v/>
      </c>
      <c r="W1159" s="27">
        <f>U1159-V1159</f>
        <v/>
      </c>
      <c r="X1159" s="28">
        <f>IFERROR(W1159/U1159,0)</f>
        <v/>
      </c>
    </row>
    <row r="1160">
      <c r="A1160" s="21">
        <f>ItensPedido!A1160</f>
        <v/>
      </c>
      <c r="B1160" s="21">
        <f>ItensPedido!B1160</f>
        <v/>
      </c>
      <c r="C1160" s="21">
        <f>ItensPedido!C1160</f>
        <v/>
      </c>
      <c r="D1160" s="21">
        <f>ItensPedido!D1160</f>
        <v/>
      </c>
      <c r="E1160" s="22">
        <f>ItensPedido!E1160</f>
        <v/>
      </c>
      <c r="F1160" s="21">
        <f>IFERROR(INDEX(Pedidos!$B$2:$B$1801,MATCH(B1160,Pedidos!$A$2:$A$1801,0)),0)</f>
        <v/>
      </c>
      <c r="G1160" s="21">
        <f>IF(F1160=0,"",YEAR(F1160))</f>
        <v/>
      </c>
      <c r="H1160" s="21">
        <f>IF(F1160=0,"",MONTH(F1160))</f>
        <v/>
      </c>
      <c r="I1160" s="21">
        <f>IFERROR(INDEX(Pedidos!$E$2:$E$1801,MATCH(B1160,Pedidos!$A$2:$A$1801,0)),"")</f>
        <v/>
      </c>
      <c r="J1160" s="21">
        <f>IFERROR(INDEX(Pedidos!$C$2:$C$1801,MATCH(B1160,Pedidos!$A$2:$A$1801,0)),"")</f>
        <v/>
      </c>
      <c r="K1160" s="21">
        <f>IFERROR(INDEX(Pedidos!$D$2:$D$1801,MATCH(B1160,Pedidos!$A$2:$A$1801,0)),"")</f>
        <v/>
      </c>
      <c r="L1160" s="21">
        <f>IFERROR(INDEX(Pedidos!$F$2:$F$1801,MATCH(B1160,Pedidos!$A$2:$A$1801,0)),"")</f>
        <v/>
      </c>
      <c r="M1160" s="22">
        <f>IFERROR(INDEX(Pedidos!$G$2:$G$1801,MATCH(B1160,Pedidos!$A$2:$A$1801,0)),0)</f>
        <v/>
      </c>
      <c r="N1160" s="21">
        <f>IFERROR(INDEX(Produtos!$B$2:$B$71,MATCH(C1160,Produtos!$A$2:$A$71,0)),"")</f>
        <v/>
      </c>
      <c r="O1160" s="21">
        <f>IFERROR(INDEX(Produtos!$C$2:$C$71,MATCH(C1160,Produtos!$A$2:$A$71,0)),"")</f>
        <v/>
      </c>
      <c r="P1160" s="21">
        <f>IFERROR(INDEX(Produtos!$D$2:$D$71,MATCH(C1160,Produtos!$A$2:$A$71,0)),0)</f>
        <v/>
      </c>
      <c r="Q1160" s="21">
        <f>IFERROR(INDEX(Produtos!$E$2:$E$71,MATCH(C1160,Produtos!$A$2:$A$71,0)),0)</f>
        <v/>
      </c>
      <c r="R1160" s="23">
        <f>D1160*Q1160</f>
        <v/>
      </c>
      <c r="S1160" s="23">
        <f>R1160*E1160</f>
        <v/>
      </c>
      <c r="T1160" s="23">
        <f>(R1160-S1160)*M1160</f>
        <v/>
      </c>
      <c r="U1160" s="23">
        <f>R1160-S1160-T1160</f>
        <v/>
      </c>
      <c r="V1160" s="23">
        <f>D1160*P1160</f>
        <v/>
      </c>
      <c r="W1160" s="23">
        <f>U1160-V1160</f>
        <v/>
      </c>
      <c r="X1160" s="24">
        <f>IFERROR(W1160/U1160,0)</f>
        <v/>
      </c>
    </row>
    <row r="1161">
      <c r="A1161" s="25">
        <f>ItensPedido!A1161</f>
        <v/>
      </c>
      <c r="B1161" s="25">
        <f>ItensPedido!B1161</f>
        <v/>
      </c>
      <c r="C1161" s="25">
        <f>ItensPedido!C1161</f>
        <v/>
      </c>
      <c r="D1161" s="25">
        <f>ItensPedido!D1161</f>
        <v/>
      </c>
      <c r="E1161" s="26">
        <f>ItensPedido!E1161</f>
        <v/>
      </c>
      <c r="F1161" s="25">
        <f>IFERROR(INDEX(Pedidos!$B$2:$B$1801,MATCH(B1161,Pedidos!$A$2:$A$1801,0)),0)</f>
        <v/>
      </c>
      <c r="G1161" s="25">
        <f>IF(F1161=0,"",YEAR(F1161))</f>
        <v/>
      </c>
      <c r="H1161" s="25">
        <f>IF(F1161=0,"",MONTH(F1161))</f>
        <v/>
      </c>
      <c r="I1161" s="25">
        <f>IFERROR(INDEX(Pedidos!$E$2:$E$1801,MATCH(B1161,Pedidos!$A$2:$A$1801,0)),"")</f>
        <v/>
      </c>
      <c r="J1161" s="25">
        <f>IFERROR(INDEX(Pedidos!$C$2:$C$1801,MATCH(B1161,Pedidos!$A$2:$A$1801,0)),"")</f>
        <v/>
      </c>
      <c r="K1161" s="25">
        <f>IFERROR(INDEX(Pedidos!$D$2:$D$1801,MATCH(B1161,Pedidos!$A$2:$A$1801,0)),"")</f>
        <v/>
      </c>
      <c r="L1161" s="25">
        <f>IFERROR(INDEX(Pedidos!$F$2:$F$1801,MATCH(B1161,Pedidos!$A$2:$A$1801,0)),"")</f>
        <v/>
      </c>
      <c r="M1161" s="26">
        <f>IFERROR(INDEX(Pedidos!$G$2:$G$1801,MATCH(B1161,Pedidos!$A$2:$A$1801,0)),0)</f>
        <v/>
      </c>
      <c r="N1161" s="25">
        <f>IFERROR(INDEX(Produtos!$B$2:$B$71,MATCH(C1161,Produtos!$A$2:$A$71,0)),"")</f>
        <v/>
      </c>
      <c r="O1161" s="25">
        <f>IFERROR(INDEX(Produtos!$C$2:$C$71,MATCH(C1161,Produtos!$A$2:$A$71,0)),"")</f>
        <v/>
      </c>
      <c r="P1161" s="25">
        <f>IFERROR(INDEX(Produtos!$D$2:$D$71,MATCH(C1161,Produtos!$A$2:$A$71,0)),0)</f>
        <v/>
      </c>
      <c r="Q1161" s="25">
        <f>IFERROR(INDEX(Produtos!$E$2:$E$71,MATCH(C1161,Produtos!$A$2:$A$71,0)),0)</f>
        <v/>
      </c>
      <c r="R1161" s="27">
        <f>D1161*Q1161</f>
        <v/>
      </c>
      <c r="S1161" s="27">
        <f>R1161*E1161</f>
        <v/>
      </c>
      <c r="T1161" s="27">
        <f>(R1161-S1161)*M1161</f>
        <v/>
      </c>
      <c r="U1161" s="27">
        <f>R1161-S1161-T1161</f>
        <v/>
      </c>
      <c r="V1161" s="27">
        <f>D1161*P1161</f>
        <v/>
      </c>
      <c r="W1161" s="27">
        <f>U1161-V1161</f>
        <v/>
      </c>
      <c r="X1161" s="28">
        <f>IFERROR(W1161/U1161,0)</f>
        <v/>
      </c>
    </row>
    <row r="1162">
      <c r="A1162" s="21">
        <f>ItensPedido!A1162</f>
        <v/>
      </c>
      <c r="B1162" s="21">
        <f>ItensPedido!B1162</f>
        <v/>
      </c>
      <c r="C1162" s="21">
        <f>ItensPedido!C1162</f>
        <v/>
      </c>
      <c r="D1162" s="21">
        <f>ItensPedido!D1162</f>
        <v/>
      </c>
      <c r="E1162" s="22">
        <f>ItensPedido!E1162</f>
        <v/>
      </c>
      <c r="F1162" s="21">
        <f>IFERROR(INDEX(Pedidos!$B$2:$B$1801,MATCH(B1162,Pedidos!$A$2:$A$1801,0)),0)</f>
        <v/>
      </c>
      <c r="G1162" s="21">
        <f>IF(F1162=0,"",YEAR(F1162))</f>
        <v/>
      </c>
      <c r="H1162" s="21">
        <f>IF(F1162=0,"",MONTH(F1162))</f>
        <v/>
      </c>
      <c r="I1162" s="21">
        <f>IFERROR(INDEX(Pedidos!$E$2:$E$1801,MATCH(B1162,Pedidos!$A$2:$A$1801,0)),"")</f>
        <v/>
      </c>
      <c r="J1162" s="21">
        <f>IFERROR(INDEX(Pedidos!$C$2:$C$1801,MATCH(B1162,Pedidos!$A$2:$A$1801,0)),"")</f>
        <v/>
      </c>
      <c r="K1162" s="21">
        <f>IFERROR(INDEX(Pedidos!$D$2:$D$1801,MATCH(B1162,Pedidos!$A$2:$A$1801,0)),"")</f>
        <v/>
      </c>
      <c r="L1162" s="21">
        <f>IFERROR(INDEX(Pedidos!$F$2:$F$1801,MATCH(B1162,Pedidos!$A$2:$A$1801,0)),"")</f>
        <v/>
      </c>
      <c r="M1162" s="22">
        <f>IFERROR(INDEX(Pedidos!$G$2:$G$1801,MATCH(B1162,Pedidos!$A$2:$A$1801,0)),0)</f>
        <v/>
      </c>
      <c r="N1162" s="21">
        <f>IFERROR(INDEX(Produtos!$B$2:$B$71,MATCH(C1162,Produtos!$A$2:$A$71,0)),"")</f>
        <v/>
      </c>
      <c r="O1162" s="21">
        <f>IFERROR(INDEX(Produtos!$C$2:$C$71,MATCH(C1162,Produtos!$A$2:$A$71,0)),"")</f>
        <v/>
      </c>
      <c r="P1162" s="21">
        <f>IFERROR(INDEX(Produtos!$D$2:$D$71,MATCH(C1162,Produtos!$A$2:$A$71,0)),0)</f>
        <v/>
      </c>
      <c r="Q1162" s="21">
        <f>IFERROR(INDEX(Produtos!$E$2:$E$71,MATCH(C1162,Produtos!$A$2:$A$71,0)),0)</f>
        <v/>
      </c>
      <c r="R1162" s="23">
        <f>D1162*Q1162</f>
        <v/>
      </c>
      <c r="S1162" s="23">
        <f>R1162*E1162</f>
        <v/>
      </c>
      <c r="T1162" s="23">
        <f>(R1162-S1162)*M1162</f>
        <v/>
      </c>
      <c r="U1162" s="23">
        <f>R1162-S1162-T1162</f>
        <v/>
      </c>
      <c r="V1162" s="23">
        <f>D1162*P1162</f>
        <v/>
      </c>
      <c r="W1162" s="23">
        <f>U1162-V1162</f>
        <v/>
      </c>
      <c r="X1162" s="24">
        <f>IFERROR(W1162/U1162,0)</f>
        <v/>
      </c>
    </row>
    <row r="1163">
      <c r="A1163" s="25">
        <f>ItensPedido!A1163</f>
        <v/>
      </c>
      <c r="B1163" s="25">
        <f>ItensPedido!B1163</f>
        <v/>
      </c>
      <c r="C1163" s="25">
        <f>ItensPedido!C1163</f>
        <v/>
      </c>
      <c r="D1163" s="25">
        <f>ItensPedido!D1163</f>
        <v/>
      </c>
      <c r="E1163" s="26">
        <f>ItensPedido!E1163</f>
        <v/>
      </c>
      <c r="F1163" s="25">
        <f>IFERROR(INDEX(Pedidos!$B$2:$B$1801,MATCH(B1163,Pedidos!$A$2:$A$1801,0)),0)</f>
        <v/>
      </c>
      <c r="G1163" s="25">
        <f>IF(F1163=0,"",YEAR(F1163))</f>
        <v/>
      </c>
      <c r="H1163" s="25">
        <f>IF(F1163=0,"",MONTH(F1163))</f>
        <v/>
      </c>
      <c r="I1163" s="25">
        <f>IFERROR(INDEX(Pedidos!$E$2:$E$1801,MATCH(B1163,Pedidos!$A$2:$A$1801,0)),"")</f>
        <v/>
      </c>
      <c r="J1163" s="25">
        <f>IFERROR(INDEX(Pedidos!$C$2:$C$1801,MATCH(B1163,Pedidos!$A$2:$A$1801,0)),"")</f>
        <v/>
      </c>
      <c r="K1163" s="25">
        <f>IFERROR(INDEX(Pedidos!$D$2:$D$1801,MATCH(B1163,Pedidos!$A$2:$A$1801,0)),"")</f>
        <v/>
      </c>
      <c r="L1163" s="25">
        <f>IFERROR(INDEX(Pedidos!$F$2:$F$1801,MATCH(B1163,Pedidos!$A$2:$A$1801,0)),"")</f>
        <v/>
      </c>
      <c r="M1163" s="26">
        <f>IFERROR(INDEX(Pedidos!$G$2:$G$1801,MATCH(B1163,Pedidos!$A$2:$A$1801,0)),0)</f>
        <v/>
      </c>
      <c r="N1163" s="25">
        <f>IFERROR(INDEX(Produtos!$B$2:$B$71,MATCH(C1163,Produtos!$A$2:$A$71,0)),"")</f>
        <v/>
      </c>
      <c r="O1163" s="25">
        <f>IFERROR(INDEX(Produtos!$C$2:$C$71,MATCH(C1163,Produtos!$A$2:$A$71,0)),"")</f>
        <v/>
      </c>
      <c r="P1163" s="25">
        <f>IFERROR(INDEX(Produtos!$D$2:$D$71,MATCH(C1163,Produtos!$A$2:$A$71,0)),0)</f>
        <v/>
      </c>
      <c r="Q1163" s="25">
        <f>IFERROR(INDEX(Produtos!$E$2:$E$71,MATCH(C1163,Produtos!$A$2:$A$71,0)),0)</f>
        <v/>
      </c>
      <c r="R1163" s="27">
        <f>D1163*Q1163</f>
        <v/>
      </c>
      <c r="S1163" s="27">
        <f>R1163*E1163</f>
        <v/>
      </c>
      <c r="T1163" s="27">
        <f>(R1163-S1163)*M1163</f>
        <v/>
      </c>
      <c r="U1163" s="27">
        <f>R1163-S1163-T1163</f>
        <v/>
      </c>
      <c r="V1163" s="27">
        <f>D1163*P1163</f>
        <v/>
      </c>
      <c r="W1163" s="27">
        <f>U1163-V1163</f>
        <v/>
      </c>
      <c r="X1163" s="28">
        <f>IFERROR(W1163/U1163,0)</f>
        <v/>
      </c>
    </row>
    <row r="1164">
      <c r="A1164" s="21">
        <f>ItensPedido!A1164</f>
        <v/>
      </c>
      <c r="B1164" s="21">
        <f>ItensPedido!B1164</f>
        <v/>
      </c>
      <c r="C1164" s="21">
        <f>ItensPedido!C1164</f>
        <v/>
      </c>
      <c r="D1164" s="21">
        <f>ItensPedido!D1164</f>
        <v/>
      </c>
      <c r="E1164" s="22">
        <f>ItensPedido!E1164</f>
        <v/>
      </c>
      <c r="F1164" s="21">
        <f>IFERROR(INDEX(Pedidos!$B$2:$B$1801,MATCH(B1164,Pedidos!$A$2:$A$1801,0)),0)</f>
        <v/>
      </c>
      <c r="G1164" s="21">
        <f>IF(F1164=0,"",YEAR(F1164))</f>
        <v/>
      </c>
      <c r="H1164" s="21">
        <f>IF(F1164=0,"",MONTH(F1164))</f>
        <v/>
      </c>
      <c r="I1164" s="21">
        <f>IFERROR(INDEX(Pedidos!$E$2:$E$1801,MATCH(B1164,Pedidos!$A$2:$A$1801,0)),"")</f>
        <v/>
      </c>
      <c r="J1164" s="21">
        <f>IFERROR(INDEX(Pedidos!$C$2:$C$1801,MATCH(B1164,Pedidos!$A$2:$A$1801,0)),"")</f>
        <v/>
      </c>
      <c r="K1164" s="21">
        <f>IFERROR(INDEX(Pedidos!$D$2:$D$1801,MATCH(B1164,Pedidos!$A$2:$A$1801,0)),"")</f>
        <v/>
      </c>
      <c r="L1164" s="21">
        <f>IFERROR(INDEX(Pedidos!$F$2:$F$1801,MATCH(B1164,Pedidos!$A$2:$A$1801,0)),"")</f>
        <v/>
      </c>
      <c r="M1164" s="22">
        <f>IFERROR(INDEX(Pedidos!$G$2:$G$1801,MATCH(B1164,Pedidos!$A$2:$A$1801,0)),0)</f>
        <v/>
      </c>
      <c r="N1164" s="21">
        <f>IFERROR(INDEX(Produtos!$B$2:$B$71,MATCH(C1164,Produtos!$A$2:$A$71,0)),"")</f>
        <v/>
      </c>
      <c r="O1164" s="21">
        <f>IFERROR(INDEX(Produtos!$C$2:$C$71,MATCH(C1164,Produtos!$A$2:$A$71,0)),"")</f>
        <v/>
      </c>
      <c r="P1164" s="21">
        <f>IFERROR(INDEX(Produtos!$D$2:$D$71,MATCH(C1164,Produtos!$A$2:$A$71,0)),0)</f>
        <v/>
      </c>
      <c r="Q1164" s="21">
        <f>IFERROR(INDEX(Produtos!$E$2:$E$71,MATCH(C1164,Produtos!$A$2:$A$71,0)),0)</f>
        <v/>
      </c>
      <c r="R1164" s="23">
        <f>D1164*Q1164</f>
        <v/>
      </c>
      <c r="S1164" s="23">
        <f>R1164*E1164</f>
        <v/>
      </c>
      <c r="T1164" s="23">
        <f>(R1164-S1164)*M1164</f>
        <v/>
      </c>
      <c r="U1164" s="23">
        <f>R1164-S1164-T1164</f>
        <v/>
      </c>
      <c r="V1164" s="23">
        <f>D1164*P1164</f>
        <v/>
      </c>
      <c r="W1164" s="23">
        <f>U1164-V1164</f>
        <v/>
      </c>
      <c r="X1164" s="24">
        <f>IFERROR(W1164/U1164,0)</f>
        <v/>
      </c>
    </row>
    <row r="1165">
      <c r="A1165" s="25">
        <f>ItensPedido!A1165</f>
        <v/>
      </c>
      <c r="B1165" s="25">
        <f>ItensPedido!B1165</f>
        <v/>
      </c>
      <c r="C1165" s="25">
        <f>ItensPedido!C1165</f>
        <v/>
      </c>
      <c r="D1165" s="25">
        <f>ItensPedido!D1165</f>
        <v/>
      </c>
      <c r="E1165" s="26">
        <f>ItensPedido!E1165</f>
        <v/>
      </c>
      <c r="F1165" s="25">
        <f>IFERROR(INDEX(Pedidos!$B$2:$B$1801,MATCH(B1165,Pedidos!$A$2:$A$1801,0)),0)</f>
        <v/>
      </c>
      <c r="G1165" s="25">
        <f>IF(F1165=0,"",YEAR(F1165))</f>
        <v/>
      </c>
      <c r="H1165" s="25">
        <f>IF(F1165=0,"",MONTH(F1165))</f>
        <v/>
      </c>
      <c r="I1165" s="25">
        <f>IFERROR(INDEX(Pedidos!$E$2:$E$1801,MATCH(B1165,Pedidos!$A$2:$A$1801,0)),"")</f>
        <v/>
      </c>
      <c r="J1165" s="25">
        <f>IFERROR(INDEX(Pedidos!$C$2:$C$1801,MATCH(B1165,Pedidos!$A$2:$A$1801,0)),"")</f>
        <v/>
      </c>
      <c r="K1165" s="25">
        <f>IFERROR(INDEX(Pedidos!$D$2:$D$1801,MATCH(B1165,Pedidos!$A$2:$A$1801,0)),"")</f>
        <v/>
      </c>
      <c r="L1165" s="25">
        <f>IFERROR(INDEX(Pedidos!$F$2:$F$1801,MATCH(B1165,Pedidos!$A$2:$A$1801,0)),"")</f>
        <v/>
      </c>
      <c r="M1165" s="26">
        <f>IFERROR(INDEX(Pedidos!$G$2:$G$1801,MATCH(B1165,Pedidos!$A$2:$A$1801,0)),0)</f>
        <v/>
      </c>
      <c r="N1165" s="25">
        <f>IFERROR(INDEX(Produtos!$B$2:$B$71,MATCH(C1165,Produtos!$A$2:$A$71,0)),"")</f>
        <v/>
      </c>
      <c r="O1165" s="25">
        <f>IFERROR(INDEX(Produtos!$C$2:$C$71,MATCH(C1165,Produtos!$A$2:$A$71,0)),"")</f>
        <v/>
      </c>
      <c r="P1165" s="25">
        <f>IFERROR(INDEX(Produtos!$D$2:$D$71,MATCH(C1165,Produtos!$A$2:$A$71,0)),0)</f>
        <v/>
      </c>
      <c r="Q1165" s="25">
        <f>IFERROR(INDEX(Produtos!$E$2:$E$71,MATCH(C1165,Produtos!$A$2:$A$71,0)),0)</f>
        <v/>
      </c>
      <c r="R1165" s="27">
        <f>D1165*Q1165</f>
        <v/>
      </c>
      <c r="S1165" s="27">
        <f>R1165*E1165</f>
        <v/>
      </c>
      <c r="T1165" s="27">
        <f>(R1165-S1165)*M1165</f>
        <v/>
      </c>
      <c r="U1165" s="27">
        <f>R1165-S1165-T1165</f>
        <v/>
      </c>
      <c r="V1165" s="27">
        <f>D1165*P1165</f>
        <v/>
      </c>
      <c r="W1165" s="27">
        <f>U1165-V1165</f>
        <v/>
      </c>
      <c r="X1165" s="28">
        <f>IFERROR(W1165/U1165,0)</f>
        <v/>
      </c>
    </row>
    <row r="1166">
      <c r="A1166" s="21">
        <f>ItensPedido!A1166</f>
        <v/>
      </c>
      <c r="B1166" s="21">
        <f>ItensPedido!B1166</f>
        <v/>
      </c>
      <c r="C1166" s="21">
        <f>ItensPedido!C1166</f>
        <v/>
      </c>
      <c r="D1166" s="21">
        <f>ItensPedido!D1166</f>
        <v/>
      </c>
      <c r="E1166" s="22">
        <f>ItensPedido!E1166</f>
        <v/>
      </c>
      <c r="F1166" s="21">
        <f>IFERROR(INDEX(Pedidos!$B$2:$B$1801,MATCH(B1166,Pedidos!$A$2:$A$1801,0)),0)</f>
        <v/>
      </c>
      <c r="G1166" s="21">
        <f>IF(F1166=0,"",YEAR(F1166))</f>
        <v/>
      </c>
      <c r="H1166" s="21">
        <f>IF(F1166=0,"",MONTH(F1166))</f>
        <v/>
      </c>
      <c r="I1166" s="21">
        <f>IFERROR(INDEX(Pedidos!$E$2:$E$1801,MATCH(B1166,Pedidos!$A$2:$A$1801,0)),"")</f>
        <v/>
      </c>
      <c r="J1166" s="21">
        <f>IFERROR(INDEX(Pedidos!$C$2:$C$1801,MATCH(B1166,Pedidos!$A$2:$A$1801,0)),"")</f>
        <v/>
      </c>
      <c r="K1166" s="21">
        <f>IFERROR(INDEX(Pedidos!$D$2:$D$1801,MATCH(B1166,Pedidos!$A$2:$A$1801,0)),"")</f>
        <v/>
      </c>
      <c r="L1166" s="21">
        <f>IFERROR(INDEX(Pedidos!$F$2:$F$1801,MATCH(B1166,Pedidos!$A$2:$A$1801,0)),"")</f>
        <v/>
      </c>
      <c r="M1166" s="22">
        <f>IFERROR(INDEX(Pedidos!$G$2:$G$1801,MATCH(B1166,Pedidos!$A$2:$A$1801,0)),0)</f>
        <v/>
      </c>
      <c r="N1166" s="21">
        <f>IFERROR(INDEX(Produtos!$B$2:$B$71,MATCH(C1166,Produtos!$A$2:$A$71,0)),"")</f>
        <v/>
      </c>
      <c r="O1166" s="21">
        <f>IFERROR(INDEX(Produtos!$C$2:$C$71,MATCH(C1166,Produtos!$A$2:$A$71,0)),"")</f>
        <v/>
      </c>
      <c r="P1166" s="21">
        <f>IFERROR(INDEX(Produtos!$D$2:$D$71,MATCH(C1166,Produtos!$A$2:$A$71,0)),0)</f>
        <v/>
      </c>
      <c r="Q1166" s="21">
        <f>IFERROR(INDEX(Produtos!$E$2:$E$71,MATCH(C1166,Produtos!$A$2:$A$71,0)),0)</f>
        <v/>
      </c>
      <c r="R1166" s="23">
        <f>D1166*Q1166</f>
        <v/>
      </c>
      <c r="S1166" s="23">
        <f>R1166*E1166</f>
        <v/>
      </c>
      <c r="T1166" s="23">
        <f>(R1166-S1166)*M1166</f>
        <v/>
      </c>
      <c r="U1166" s="23">
        <f>R1166-S1166-T1166</f>
        <v/>
      </c>
      <c r="V1166" s="23">
        <f>D1166*P1166</f>
        <v/>
      </c>
      <c r="W1166" s="23">
        <f>U1166-V1166</f>
        <v/>
      </c>
      <c r="X1166" s="24">
        <f>IFERROR(W1166/U1166,0)</f>
        <v/>
      </c>
    </row>
    <row r="1167">
      <c r="A1167" s="25">
        <f>ItensPedido!A1167</f>
        <v/>
      </c>
      <c r="B1167" s="25">
        <f>ItensPedido!B1167</f>
        <v/>
      </c>
      <c r="C1167" s="25">
        <f>ItensPedido!C1167</f>
        <v/>
      </c>
      <c r="D1167" s="25">
        <f>ItensPedido!D1167</f>
        <v/>
      </c>
      <c r="E1167" s="26">
        <f>ItensPedido!E1167</f>
        <v/>
      </c>
      <c r="F1167" s="25">
        <f>IFERROR(INDEX(Pedidos!$B$2:$B$1801,MATCH(B1167,Pedidos!$A$2:$A$1801,0)),0)</f>
        <v/>
      </c>
      <c r="G1167" s="25">
        <f>IF(F1167=0,"",YEAR(F1167))</f>
        <v/>
      </c>
      <c r="H1167" s="25">
        <f>IF(F1167=0,"",MONTH(F1167))</f>
        <v/>
      </c>
      <c r="I1167" s="25">
        <f>IFERROR(INDEX(Pedidos!$E$2:$E$1801,MATCH(B1167,Pedidos!$A$2:$A$1801,0)),"")</f>
        <v/>
      </c>
      <c r="J1167" s="25">
        <f>IFERROR(INDEX(Pedidos!$C$2:$C$1801,MATCH(B1167,Pedidos!$A$2:$A$1801,0)),"")</f>
        <v/>
      </c>
      <c r="K1167" s="25">
        <f>IFERROR(INDEX(Pedidos!$D$2:$D$1801,MATCH(B1167,Pedidos!$A$2:$A$1801,0)),"")</f>
        <v/>
      </c>
      <c r="L1167" s="25">
        <f>IFERROR(INDEX(Pedidos!$F$2:$F$1801,MATCH(B1167,Pedidos!$A$2:$A$1801,0)),"")</f>
        <v/>
      </c>
      <c r="M1167" s="26">
        <f>IFERROR(INDEX(Pedidos!$G$2:$G$1801,MATCH(B1167,Pedidos!$A$2:$A$1801,0)),0)</f>
        <v/>
      </c>
      <c r="N1167" s="25">
        <f>IFERROR(INDEX(Produtos!$B$2:$B$71,MATCH(C1167,Produtos!$A$2:$A$71,0)),"")</f>
        <v/>
      </c>
      <c r="O1167" s="25">
        <f>IFERROR(INDEX(Produtos!$C$2:$C$71,MATCH(C1167,Produtos!$A$2:$A$71,0)),"")</f>
        <v/>
      </c>
      <c r="P1167" s="25">
        <f>IFERROR(INDEX(Produtos!$D$2:$D$71,MATCH(C1167,Produtos!$A$2:$A$71,0)),0)</f>
        <v/>
      </c>
      <c r="Q1167" s="25">
        <f>IFERROR(INDEX(Produtos!$E$2:$E$71,MATCH(C1167,Produtos!$A$2:$A$71,0)),0)</f>
        <v/>
      </c>
      <c r="R1167" s="27">
        <f>D1167*Q1167</f>
        <v/>
      </c>
      <c r="S1167" s="27">
        <f>R1167*E1167</f>
        <v/>
      </c>
      <c r="T1167" s="27">
        <f>(R1167-S1167)*M1167</f>
        <v/>
      </c>
      <c r="U1167" s="27">
        <f>R1167-S1167-T1167</f>
        <v/>
      </c>
      <c r="V1167" s="27">
        <f>D1167*P1167</f>
        <v/>
      </c>
      <c r="W1167" s="27">
        <f>U1167-V1167</f>
        <v/>
      </c>
      <c r="X1167" s="28">
        <f>IFERROR(W1167/U1167,0)</f>
        <v/>
      </c>
    </row>
    <row r="1168">
      <c r="A1168" s="21">
        <f>ItensPedido!A1168</f>
        <v/>
      </c>
      <c r="B1168" s="21">
        <f>ItensPedido!B1168</f>
        <v/>
      </c>
      <c r="C1168" s="21">
        <f>ItensPedido!C1168</f>
        <v/>
      </c>
      <c r="D1168" s="21">
        <f>ItensPedido!D1168</f>
        <v/>
      </c>
      <c r="E1168" s="22">
        <f>ItensPedido!E1168</f>
        <v/>
      </c>
      <c r="F1168" s="21">
        <f>IFERROR(INDEX(Pedidos!$B$2:$B$1801,MATCH(B1168,Pedidos!$A$2:$A$1801,0)),0)</f>
        <v/>
      </c>
      <c r="G1168" s="21">
        <f>IF(F1168=0,"",YEAR(F1168))</f>
        <v/>
      </c>
      <c r="H1168" s="21">
        <f>IF(F1168=0,"",MONTH(F1168))</f>
        <v/>
      </c>
      <c r="I1168" s="21">
        <f>IFERROR(INDEX(Pedidos!$E$2:$E$1801,MATCH(B1168,Pedidos!$A$2:$A$1801,0)),"")</f>
        <v/>
      </c>
      <c r="J1168" s="21">
        <f>IFERROR(INDEX(Pedidos!$C$2:$C$1801,MATCH(B1168,Pedidos!$A$2:$A$1801,0)),"")</f>
        <v/>
      </c>
      <c r="K1168" s="21">
        <f>IFERROR(INDEX(Pedidos!$D$2:$D$1801,MATCH(B1168,Pedidos!$A$2:$A$1801,0)),"")</f>
        <v/>
      </c>
      <c r="L1168" s="21">
        <f>IFERROR(INDEX(Pedidos!$F$2:$F$1801,MATCH(B1168,Pedidos!$A$2:$A$1801,0)),"")</f>
        <v/>
      </c>
      <c r="M1168" s="22">
        <f>IFERROR(INDEX(Pedidos!$G$2:$G$1801,MATCH(B1168,Pedidos!$A$2:$A$1801,0)),0)</f>
        <v/>
      </c>
      <c r="N1168" s="21">
        <f>IFERROR(INDEX(Produtos!$B$2:$B$71,MATCH(C1168,Produtos!$A$2:$A$71,0)),"")</f>
        <v/>
      </c>
      <c r="O1168" s="21">
        <f>IFERROR(INDEX(Produtos!$C$2:$C$71,MATCH(C1168,Produtos!$A$2:$A$71,0)),"")</f>
        <v/>
      </c>
      <c r="P1168" s="21">
        <f>IFERROR(INDEX(Produtos!$D$2:$D$71,MATCH(C1168,Produtos!$A$2:$A$71,0)),0)</f>
        <v/>
      </c>
      <c r="Q1168" s="21">
        <f>IFERROR(INDEX(Produtos!$E$2:$E$71,MATCH(C1168,Produtos!$A$2:$A$71,0)),0)</f>
        <v/>
      </c>
      <c r="R1168" s="23">
        <f>D1168*Q1168</f>
        <v/>
      </c>
      <c r="S1168" s="23">
        <f>R1168*E1168</f>
        <v/>
      </c>
      <c r="T1168" s="23">
        <f>(R1168-S1168)*M1168</f>
        <v/>
      </c>
      <c r="U1168" s="23">
        <f>R1168-S1168-T1168</f>
        <v/>
      </c>
      <c r="V1168" s="23">
        <f>D1168*P1168</f>
        <v/>
      </c>
      <c r="W1168" s="23">
        <f>U1168-V1168</f>
        <v/>
      </c>
      <c r="X1168" s="24">
        <f>IFERROR(W1168/U1168,0)</f>
        <v/>
      </c>
    </row>
    <row r="1169">
      <c r="A1169" s="25">
        <f>ItensPedido!A1169</f>
        <v/>
      </c>
      <c r="B1169" s="25">
        <f>ItensPedido!B1169</f>
        <v/>
      </c>
      <c r="C1169" s="25">
        <f>ItensPedido!C1169</f>
        <v/>
      </c>
      <c r="D1169" s="25">
        <f>ItensPedido!D1169</f>
        <v/>
      </c>
      <c r="E1169" s="26">
        <f>ItensPedido!E1169</f>
        <v/>
      </c>
      <c r="F1169" s="25">
        <f>IFERROR(INDEX(Pedidos!$B$2:$B$1801,MATCH(B1169,Pedidos!$A$2:$A$1801,0)),0)</f>
        <v/>
      </c>
      <c r="G1169" s="25">
        <f>IF(F1169=0,"",YEAR(F1169))</f>
        <v/>
      </c>
      <c r="H1169" s="25">
        <f>IF(F1169=0,"",MONTH(F1169))</f>
        <v/>
      </c>
      <c r="I1169" s="25">
        <f>IFERROR(INDEX(Pedidos!$E$2:$E$1801,MATCH(B1169,Pedidos!$A$2:$A$1801,0)),"")</f>
        <v/>
      </c>
      <c r="J1169" s="25">
        <f>IFERROR(INDEX(Pedidos!$C$2:$C$1801,MATCH(B1169,Pedidos!$A$2:$A$1801,0)),"")</f>
        <v/>
      </c>
      <c r="K1169" s="25">
        <f>IFERROR(INDEX(Pedidos!$D$2:$D$1801,MATCH(B1169,Pedidos!$A$2:$A$1801,0)),"")</f>
        <v/>
      </c>
      <c r="L1169" s="25">
        <f>IFERROR(INDEX(Pedidos!$F$2:$F$1801,MATCH(B1169,Pedidos!$A$2:$A$1801,0)),"")</f>
        <v/>
      </c>
      <c r="M1169" s="26">
        <f>IFERROR(INDEX(Pedidos!$G$2:$G$1801,MATCH(B1169,Pedidos!$A$2:$A$1801,0)),0)</f>
        <v/>
      </c>
      <c r="N1169" s="25">
        <f>IFERROR(INDEX(Produtos!$B$2:$B$71,MATCH(C1169,Produtos!$A$2:$A$71,0)),"")</f>
        <v/>
      </c>
      <c r="O1169" s="25">
        <f>IFERROR(INDEX(Produtos!$C$2:$C$71,MATCH(C1169,Produtos!$A$2:$A$71,0)),"")</f>
        <v/>
      </c>
      <c r="P1169" s="25">
        <f>IFERROR(INDEX(Produtos!$D$2:$D$71,MATCH(C1169,Produtos!$A$2:$A$71,0)),0)</f>
        <v/>
      </c>
      <c r="Q1169" s="25">
        <f>IFERROR(INDEX(Produtos!$E$2:$E$71,MATCH(C1169,Produtos!$A$2:$A$71,0)),0)</f>
        <v/>
      </c>
      <c r="R1169" s="27">
        <f>D1169*Q1169</f>
        <v/>
      </c>
      <c r="S1169" s="27">
        <f>R1169*E1169</f>
        <v/>
      </c>
      <c r="T1169" s="27">
        <f>(R1169-S1169)*M1169</f>
        <v/>
      </c>
      <c r="U1169" s="27">
        <f>R1169-S1169-T1169</f>
        <v/>
      </c>
      <c r="V1169" s="27">
        <f>D1169*P1169</f>
        <v/>
      </c>
      <c r="W1169" s="27">
        <f>U1169-V1169</f>
        <v/>
      </c>
      <c r="X1169" s="28">
        <f>IFERROR(W1169/U1169,0)</f>
        <v/>
      </c>
    </row>
    <row r="1170">
      <c r="A1170" s="21">
        <f>ItensPedido!A1170</f>
        <v/>
      </c>
      <c r="B1170" s="21">
        <f>ItensPedido!B1170</f>
        <v/>
      </c>
      <c r="C1170" s="21">
        <f>ItensPedido!C1170</f>
        <v/>
      </c>
      <c r="D1170" s="21">
        <f>ItensPedido!D1170</f>
        <v/>
      </c>
      <c r="E1170" s="22">
        <f>ItensPedido!E1170</f>
        <v/>
      </c>
      <c r="F1170" s="21">
        <f>IFERROR(INDEX(Pedidos!$B$2:$B$1801,MATCH(B1170,Pedidos!$A$2:$A$1801,0)),0)</f>
        <v/>
      </c>
      <c r="G1170" s="21">
        <f>IF(F1170=0,"",YEAR(F1170))</f>
        <v/>
      </c>
      <c r="H1170" s="21">
        <f>IF(F1170=0,"",MONTH(F1170))</f>
        <v/>
      </c>
      <c r="I1170" s="21">
        <f>IFERROR(INDEX(Pedidos!$E$2:$E$1801,MATCH(B1170,Pedidos!$A$2:$A$1801,0)),"")</f>
        <v/>
      </c>
      <c r="J1170" s="21">
        <f>IFERROR(INDEX(Pedidos!$C$2:$C$1801,MATCH(B1170,Pedidos!$A$2:$A$1801,0)),"")</f>
        <v/>
      </c>
      <c r="K1170" s="21">
        <f>IFERROR(INDEX(Pedidos!$D$2:$D$1801,MATCH(B1170,Pedidos!$A$2:$A$1801,0)),"")</f>
        <v/>
      </c>
      <c r="L1170" s="21">
        <f>IFERROR(INDEX(Pedidos!$F$2:$F$1801,MATCH(B1170,Pedidos!$A$2:$A$1801,0)),"")</f>
        <v/>
      </c>
      <c r="M1170" s="22">
        <f>IFERROR(INDEX(Pedidos!$G$2:$G$1801,MATCH(B1170,Pedidos!$A$2:$A$1801,0)),0)</f>
        <v/>
      </c>
      <c r="N1170" s="21">
        <f>IFERROR(INDEX(Produtos!$B$2:$B$71,MATCH(C1170,Produtos!$A$2:$A$71,0)),"")</f>
        <v/>
      </c>
      <c r="O1170" s="21">
        <f>IFERROR(INDEX(Produtos!$C$2:$C$71,MATCH(C1170,Produtos!$A$2:$A$71,0)),"")</f>
        <v/>
      </c>
      <c r="P1170" s="21">
        <f>IFERROR(INDEX(Produtos!$D$2:$D$71,MATCH(C1170,Produtos!$A$2:$A$71,0)),0)</f>
        <v/>
      </c>
      <c r="Q1170" s="21">
        <f>IFERROR(INDEX(Produtos!$E$2:$E$71,MATCH(C1170,Produtos!$A$2:$A$71,0)),0)</f>
        <v/>
      </c>
      <c r="R1170" s="23">
        <f>D1170*Q1170</f>
        <v/>
      </c>
      <c r="S1170" s="23">
        <f>R1170*E1170</f>
        <v/>
      </c>
      <c r="T1170" s="23">
        <f>(R1170-S1170)*M1170</f>
        <v/>
      </c>
      <c r="U1170" s="23">
        <f>R1170-S1170-T1170</f>
        <v/>
      </c>
      <c r="V1170" s="23">
        <f>D1170*P1170</f>
        <v/>
      </c>
      <c r="W1170" s="23">
        <f>U1170-V1170</f>
        <v/>
      </c>
      <c r="X1170" s="24">
        <f>IFERROR(W1170/U1170,0)</f>
        <v/>
      </c>
    </row>
    <row r="1171">
      <c r="A1171" s="25">
        <f>ItensPedido!A1171</f>
        <v/>
      </c>
      <c r="B1171" s="25">
        <f>ItensPedido!B1171</f>
        <v/>
      </c>
      <c r="C1171" s="25">
        <f>ItensPedido!C1171</f>
        <v/>
      </c>
      <c r="D1171" s="25">
        <f>ItensPedido!D1171</f>
        <v/>
      </c>
      <c r="E1171" s="26">
        <f>ItensPedido!E1171</f>
        <v/>
      </c>
      <c r="F1171" s="25">
        <f>IFERROR(INDEX(Pedidos!$B$2:$B$1801,MATCH(B1171,Pedidos!$A$2:$A$1801,0)),0)</f>
        <v/>
      </c>
      <c r="G1171" s="25">
        <f>IF(F1171=0,"",YEAR(F1171))</f>
        <v/>
      </c>
      <c r="H1171" s="25">
        <f>IF(F1171=0,"",MONTH(F1171))</f>
        <v/>
      </c>
      <c r="I1171" s="25">
        <f>IFERROR(INDEX(Pedidos!$E$2:$E$1801,MATCH(B1171,Pedidos!$A$2:$A$1801,0)),"")</f>
        <v/>
      </c>
      <c r="J1171" s="25">
        <f>IFERROR(INDEX(Pedidos!$C$2:$C$1801,MATCH(B1171,Pedidos!$A$2:$A$1801,0)),"")</f>
        <v/>
      </c>
      <c r="K1171" s="25">
        <f>IFERROR(INDEX(Pedidos!$D$2:$D$1801,MATCH(B1171,Pedidos!$A$2:$A$1801,0)),"")</f>
        <v/>
      </c>
      <c r="L1171" s="25">
        <f>IFERROR(INDEX(Pedidos!$F$2:$F$1801,MATCH(B1171,Pedidos!$A$2:$A$1801,0)),"")</f>
        <v/>
      </c>
      <c r="M1171" s="26">
        <f>IFERROR(INDEX(Pedidos!$G$2:$G$1801,MATCH(B1171,Pedidos!$A$2:$A$1801,0)),0)</f>
        <v/>
      </c>
      <c r="N1171" s="25">
        <f>IFERROR(INDEX(Produtos!$B$2:$B$71,MATCH(C1171,Produtos!$A$2:$A$71,0)),"")</f>
        <v/>
      </c>
      <c r="O1171" s="25">
        <f>IFERROR(INDEX(Produtos!$C$2:$C$71,MATCH(C1171,Produtos!$A$2:$A$71,0)),"")</f>
        <v/>
      </c>
      <c r="P1171" s="25">
        <f>IFERROR(INDEX(Produtos!$D$2:$D$71,MATCH(C1171,Produtos!$A$2:$A$71,0)),0)</f>
        <v/>
      </c>
      <c r="Q1171" s="25">
        <f>IFERROR(INDEX(Produtos!$E$2:$E$71,MATCH(C1171,Produtos!$A$2:$A$71,0)),0)</f>
        <v/>
      </c>
      <c r="R1171" s="27">
        <f>D1171*Q1171</f>
        <v/>
      </c>
      <c r="S1171" s="27">
        <f>R1171*E1171</f>
        <v/>
      </c>
      <c r="T1171" s="27">
        <f>(R1171-S1171)*M1171</f>
        <v/>
      </c>
      <c r="U1171" s="27">
        <f>R1171-S1171-T1171</f>
        <v/>
      </c>
      <c r="V1171" s="27">
        <f>D1171*P1171</f>
        <v/>
      </c>
      <c r="W1171" s="27">
        <f>U1171-V1171</f>
        <v/>
      </c>
      <c r="X1171" s="28">
        <f>IFERROR(W1171/U1171,0)</f>
        <v/>
      </c>
    </row>
    <row r="1172">
      <c r="A1172" s="21">
        <f>ItensPedido!A1172</f>
        <v/>
      </c>
      <c r="B1172" s="21">
        <f>ItensPedido!B1172</f>
        <v/>
      </c>
      <c r="C1172" s="21">
        <f>ItensPedido!C1172</f>
        <v/>
      </c>
      <c r="D1172" s="21">
        <f>ItensPedido!D1172</f>
        <v/>
      </c>
      <c r="E1172" s="22">
        <f>ItensPedido!E1172</f>
        <v/>
      </c>
      <c r="F1172" s="21">
        <f>IFERROR(INDEX(Pedidos!$B$2:$B$1801,MATCH(B1172,Pedidos!$A$2:$A$1801,0)),0)</f>
        <v/>
      </c>
      <c r="G1172" s="21">
        <f>IF(F1172=0,"",YEAR(F1172))</f>
        <v/>
      </c>
      <c r="H1172" s="21">
        <f>IF(F1172=0,"",MONTH(F1172))</f>
        <v/>
      </c>
      <c r="I1172" s="21">
        <f>IFERROR(INDEX(Pedidos!$E$2:$E$1801,MATCH(B1172,Pedidos!$A$2:$A$1801,0)),"")</f>
        <v/>
      </c>
      <c r="J1172" s="21">
        <f>IFERROR(INDEX(Pedidos!$C$2:$C$1801,MATCH(B1172,Pedidos!$A$2:$A$1801,0)),"")</f>
        <v/>
      </c>
      <c r="K1172" s="21">
        <f>IFERROR(INDEX(Pedidos!$D$2:$D$1801,MATCH(B1172,Pedidos!$A$2:$A$1801,0)),"")</f>
        <v/>
      </c>
      <c r="L1172" s="21">
        <f>IFERROR(INDEX(Pedidos!$F$2:$F$1801,MATCH(B1172,Pedidos!$A$2:$A$1801,0)),"")</f>
        <v/>
      </c>
      <c r="M1172" s="22">
        <f>IFERROR(INDEX(Pedidos!$G$2:$G$1801,MATCH(B1172,Pedidos!$A$2:$A$1801,0)),0)</f>
        <v/>
      </c>
      <c r="N1172" s="21">
        <f>IFERROR(INDEX(Produtos!$B$2:$B$71,MATCH(C1172,Produtos!$A$2:$A$71,0)),"")</f>
        <v/>
      </c>
      <c r="O1172" s="21">
        <f>IFERROR(INDEX(Produtos!$C$2:$C$71,MATCH(C1172,Produtos!$A$2:$A$71,0)),"")</f>
        <v/>
      </c>
      <c r="P1172" s="21">
        <f>IFERROR(INDEX(Produtos!$D$2:$D$71,MATCH(C1172,Produtos!$A$2:$A$71,0)),0)</f>
        <v/>
      </c>
      <c r="Q1172" s="21">
        <f>IFERROR(INDEX(Produtos!$E$2:$E$71,MATCH(C1172,Produtos!$A$2:$A$71,0)),0)</f>
        <v/>
      </c>
      <c r="R1172" s="23">
        <f>D1172*Q1172</f>
        <v/>
      </c>
      <c r="S1172" s="23">
        <f>R1172*E1172</f>
        <v/>
      </c>
      <c r="T1172" s="23">
        <f>(R1172-S1172)*M1172</f>
        <v/>
      </c>
      <c r="U1172" s="23">
        <f>R1172-S1172-T1172</f>
        <v/>
      </c>
      <c r="V1172" s="23">
        <f>D1172*P1172</f>
        <v/>
      </c>
      <c r="W1172" s="23">
        <f>U1172-V1172</f>
        <v/>
      </c>
      <c r="X1172" s="24">
        <f>IFERROR(W1172/U1172,0)</f>
        <v/>
      </c>
    </row>
    <row r="1173">
      <c r="A1173" s="25">
        <f>ItensPedido!A1173</f>
        <v/>
      </c>
      <c r="B1173" s="25">
        <f>ItensPedido!B1173</f>
        <v/>
      </c>
      <c r="C1173" s="25">
        <f>ItensPedido!C1173</f>
        <v/>
      </c>
      <c r="D1173" s="25">
        <f>ItensPedido!D1173</f>
        <v/>
      </c>
      <c r="E1173" s="26">
        <f>ItensPedido!E1173</f>
        <v/>
      </c>
      <c r="F1173" s="25">
        <f>IFERROR(INDEX(Pedidos!$B$2:$B$1801,MATCH(B1173,Pedidos!$A$2:$A$1801,0)),0)</f>
        <v/>
      </c>
      <c r="G1173" s="25">
        <f>IF(F1173=0,"",YEAR(F1173))</f>
        <v/>
      </c>
      <c r="H1173" s="25">
        <f>IF(F1173=0,"",MONTH(F1173))</f>
        <v/>
      </c>
      <c r="I1173" s="25">
        <f>IFERROR(INDEX(Pedidos!$E$2:$E$1801,MATCH(B1173,Pedidos!$A$2:$A$1801,0)),"")</f>
        <v/>
      </c>
      <c r="J1173" s="25">
        <f>IFERROR(INDEX(Pedidos!$C$2:$C$1801,MATCH(B1173,Pedidos!$A$2:$A$1801,0)),"")</f>
        <v/>
      </c>
      <c r="K1173" s="25">
        <f>IFERROR(INDEX(Pedidos!$D$2:$D$1801,MATCH(B1173,Pedidos!$A$2:$A$1801,0)),"")</f>
        <v/>
      </c>
      <c r="L1173" s="25">
        <f>IFERROR(INDEX(Pedidos!$F$2:$F$1801,MATCH(B1173,Pedidos!$A$2:$A$1801,0)),"")</f>
        <v/>
      </c>
      <c r="M1173" s="26">
        <f>IFERROR(INDEX(Pedidos!$G$2:$G$1801,MATCH(B1173,Pedidos!$A$2:$A$1801,0)),0)</f>
        <v/>
      </c>
      <c r="N1173" s="25">
        <f>IFERROR(INDEX(Produtos!$B$2:$B$71,MATCH(C1173,Produtos!$A$2:$A$71,0)),"")</f>
        <v/>
      </c>
      <c r="O1173" s="25">
        <f>IFERROR(INDEX(Produtos!$C$2:$C$71,MATCH(C1173,Produtos!$A$2:$A$71,0)),"")</f>
        <v/>
      </c>
      <c r="P1173" s="25">
        <f>IFERROR(INDEX(Produtos!$D$2:$D$71,MATCH(C1173,Produtos!$A$2:$A$71,0)),0)</f>
        <v/>
      </c>
      <c r="Q1173" s="25">
        <f>IFERROR(INDEX(Produtos!$E$2:$E$71,MATCH(C1173,Produtos!$A$2:$A$71,0)),0)</f>
        <v/>
      </c>
      <c r="R1173" s="27">
        <f>D1173*Q1173</f>
        <v/>
      </c>
      <c r="S1173" s="27">
        <f>R1173*E1173</f>
        <v/>
      </c>
      <c r="T1173" s="27">
        <f>(R1173-S1173)*M1173</f>
        <v/>
      </c>
      <c r="U1173" s="27">
        <f>R1173-S1173-T1173</f>
        <v/>
      </c>
      <c r="V1173" s="27">
        <f>D1173*P1173</f>
        <v/>
      </c>
      <c r="W1173" s="27">
        <f>U1173-V1173</f>
        <v/>
      </c>
      <c r="X1173" s="28">
        <f>IFERROR(W1173/U1173,0)</f>
        <v/>
      </c>
    </row>
    <row r="1174">
      <c r="A1174" s="21">
        <f>ItensPedido!A1174</f>
        <v/>
      </c>
      <c r="B1174" s="21">
        <f>ItensPedido!B1174</f>
        <v/>
      </c>
      <c r="C1174" s="21">
        <f>ItensPedido!C1174</f>
        <v/>
      </c>
      <c r="D1174" s="21">
        <f>ItensPedido!D1174</f>
        <v/>
      </c>
      <c r="E1174" s="22">
        <f>ItensPedido!E1174</f>
        <v/>
      </c>
      <c r="F1174" s="21">
        <f>IFERROR(INDEX(Pedidos!$B$2:$B$1801,MATCH(B1174,Pedidos!$A$2:$A$1801,0)),0)</f>
        <v/>
      </c>
      <c r="G1174" s="21">
        <f>IF(F1174=0,"",YEAR(F1174))</f>
        <v/>
      </c>
      <c r="H1174" s="21">
        <f>IF(F1174=0,"",MONTH(F1174))</f>
        <v/>
      </c>
      <c r="I1174" s="21">
        <f>IFERROR(INDEX(Pedidos!$E$2:$E$1801,MATCH(B1174,Pedidos!$A$2:$A$1801,0)),"")</f>
        <v/>
      </c>
      <c r="J1174" s="21">
        <f>IFERROR(INDEX(Pedidos!$C$2:$C$1801,MATCH(B1174,Pedidos!$A$2:$A$1801,0)),"")</f>
        <v/>
      </c>
      <c r="K1174" s="21">
        <f>IFERROR(INDEX(Pedidos!$D$2:$D$1801,MATCH(B1174,Pedidos!$A$2:$A$1801,0)),"")</f>
        <v/>
      </c>
      <c r="L1174" s="21">
        <f>IFERROR(INDEX(Pedidos!$F$2:$F$1801,MATCH(B1174,Pedidos!$A$2:$A$1801,0)),"")</f>
        <v/>
      </c>
      <c r="M1174" s="22">
        <f>IFERROR(INDEX(Pedidos!$G$2:$G$1801,MATCH(B1174,Pedidos!$A$2:$A$1801,0)),0)</f>
        <v/>
      </c>
      <c r="N1174" s="21">
        <f>IFERROR(INDEX(Produtos!$B$2:$B$71,MATCH(C1174,Produtos!$A$2:$A$71,0)),"")</f>
        <v/>
      </c>
      <c r="O1174" s="21">
        <f>IFERROR(INDEX(Produtos!$C$2:$C$71,MATCH(C1174,Produtos!$A$2:$A$71,0)),"")</f>
        <v/>
      </c>
      <c r="P1174" s="21">
        <f>IFERROR(INDEX(Produtos!$D$2:$D$71,MATCH(C1174,Produtos!$A$2:$A$71,0)),0)</f>
        <v/>
      </c>
      <c r="Q1174" s="21">
        <f>IFERROR(INDEX(Produtos!$E$2:$E$71,MATCH(C1174,Produtos!$A$2:$A$71,0)),0)</f>
        <v/>
      </c>
      <c r="R1174" s="23">
        <f>D1174*Q1174</f>
        <v/>
      </c>
      <c r="S1174" s="23">
        <f>R1174*E1174</f>
        <v/>
      </c>
      <c r="T1174" s="23">
        <f>(R1174-S1174)*M1174</f>
        <v/>
      </c>
      <c r="U1174" s="23">
        <f>R1174-S1174-T1174</f>
        <v/>
      </c>
      <c r="V1174" s="23">
        <f>D1174*P1174</f>
        <v/>
      </c>
      <c r="W1174" s="23">
        <f>U1174-V1174</f>
        <v/>
      </c>
      <c r="X1174" s="24">
        <f>IFERROR(W1174/U1174,0)</f>
        <v/>
      </c>
    </row>
    <row r="1175">
      <c r="A1175" s="25">
        <f>ItensPedido!A1175</f>
        <v/>
      </c>
      <c r="B1175" s="25">
        <f>ItensPedido!B1175</f>
        <v/>
      </c>
      <c r="C1175" s="25">
        <f>ItensPedido!C1175</f>
        <v/>
      </c>
      <c r="D1175" s="25">
        <f>ItensPedido!D1175</f>
        <v/>
      </c>
      <c r="E1175" s="26">
        <f>ItensPedido!E1175</f>
        <v/>
      </c>
      <c r="F1175" s="25">
        <f>IFERROR(INDEX(Pedidos!$B$2:$B$1801,MATCH(B1175,Pedidos!$A$2:$A$1801,0)),0)</f>
        <v/>
      </c>
      <c r="G1175" s="25">
        <f>IF(F1175=0,"",YEAR(F1175))</f>
        <v/>
      </c>
      <c r="H1175" s="25">
        <f>IF(F1175=0,"",MONTH(F1175))</f>
        <v/>
      </c>
      <c r="I1175" s="25">
        <f>IFERROR(INDEX(Pedidos!$E$2:$E$1801,MATCH(B1175,Pedidos!$A$2:$A$1801,0)),"")</f>
        <v/>
      </c>
      <c r="J1175" s="25">
        <f>IFERROR(INDEX(Pedidos!$C$2:$C$1801,MATCH(B1175,Pedidos!$A$2:$A$1801,0)),"")</f>
        <v/>
      </c>
      <c r="K1175" s="25">
        <f>IFERROR(INDEX(Pedidos!$D$2:$D$1801,MATCH(B1175,Pedidos!$A$2:$A$1801,0)),"")</f>
        <v/>
      </c>
      <c r="L1175" s="25">
        <f>IFERROR(INDEX(Pedidos!$F$2:$F$1801,MATCH(B1175,Pedidos!$A$2:$A$1801,0)),"")</f>
        <v/>
      </c>
      <c r="M1175" s="26">
        <f>IFERROR(INDEX(Pedidos!$G$2:$G$1801,MATCH(B1175,Pedidos!$A$2:$A$1801,0)),0)</f>
        <v/>
      </c>
      <c r="N1175" s="25">
        <f>IFERROR(INDEX(Produtos!$B$2:$B$71,MATCH(C1175,Produtos!$A$2:$A$71,0)),"")</f>
        <v/>
      </c>
      <c r="O1175" s="25">
        <f>IFERROR(INDEX(Produtos!$C$2:$C$71,MATCH(C1175,Produtos!$A$2:$A$71,0)),"")</f>
        <v/>
      </c>
      <c r="P1175" s="25">
        <f>IFERROR(INDEX(Produtos!$D$2:$D$71,MATCH(C1175,Produtos!$A$2:$A$71,0)),0)</f>
        <v/>
      </c>
      <c r="Q1175" s="25">
        <f>IFERROR(INDEX(Produtos!$E$2:$E$71,MATCH(C1175,Produtos!$A$2:$A$71,0)),0)</f>
        <v/>
      </c>
      <c r="R1175" s="27">
        <f>D1175*Q1175</f>
        <v/>
      </c>
      <c r="S1175" s="27">
        <f>R1175*E1175</f>
        <v/>
      </c>
      <c r="T1175" s="27">
        <f>(R1175-S1175)*M1175</f>
        <v/>
      </c>
      <c r="U1175" s="27">
        <f>R1175-S1175-T1175</f>
        <v/>
      </c>
      <c r="V1175" s="27">
        <f>D1175*P1175</f>
        <v/>
      </c>
      <c r="W1175" s="27">
        <f>U1175-V1175</f>
        <v/>
      </c>
      <c r="X1175" s="28">
        <f>IFERROR(W1175/U1175,0)</f>
        <v/>
      </c>
    </row>
    <row r="1176">
      <c r="A1176" s="21">
        <f>ItensPedido!A1176</f>
        <v/>
      </c>
      <c r="B1176" s="21">
        <f>ItensPedido!B1176</f>
        <v/>
      </c>
      <c r="C1176" s="21">
        <f>ItensPedido!C1176</f>
        <v/>
      </c>
      <c r="D1176" s="21">
        <f>ItensPedido!D1176</f>
        <v/>
      </c>
      <c r="E1176" s="22">
        <f>ItensPedido!E1176</f>
        <v/>
      </c>
      <c r="F1176" s="21">
        <f>IFERROR(INDEX(Pedidos!$B$2:$B$1801,MATCH(B1176,Pedidos!$A$2:$A$1801,0)),0)</f>
        <v/>
      </c>
      <c r="G1176" s="21">
        <f>IF(F1176=0,"",YEAR(F1176))</f>
        <v/>
      </c>
      <c r="H1176" s="21">
        <f>IF(F1176=0,"",MONTH(F1176))</f>
        <v/>
      </c>
      <c r="I1176" s="21">
        <f>IFERROR(INDEX(Pedidos!$E$2:$E$1801,MATCH(B1176,Pedidos!$A$2:$A$1801,0)),"")</f>
        <v/>
      </c>
      <c r="J1176" s="21">
        <f>IFERROR(INDEX(Pedidos!$C$2:$C$1801,MATCH(B1176,Pedidos!$A$2:$A$1801,0)),"")</f>
        <v/>
      </c>
      <c r="K1176" s="21">
        <f>IFERROR(INDEX(Pedidos!$D$2:$D$1801,MATCH(B1176,Pedidos!$A$2:$A$1801,0)),"")</f>
        <v/>
      </c>
      <c r="L1176" s="21">
        <f>IFERROR(INDEX(Pedidos!$F$2:$F$1801,MATCH(B1176,Pedidos!$A$2:$A$1801,0)),"")</f>
        <v/>
      </c>
      <c r="M1176" s="22">
        <f>IFERROR(INDEX(Pedidos!$G$2:$G$1801,MATCH(B1176,Pedidos!$A$2:$A$1801,0)),0)</f>
        <v/>
      </c>
      <c r="N1176" s="21">
        <f>IFERROR(INDEX(Produtos!$B$2:$B$71,MATCH(C1176,Produtos!$A$2:$A$71,0)),"")</f>
        <v/>
      </c>
      <c r="O1176" s="21">
        <f>IFERROR(INDEX(Produtos!$C$2:$C$71,MATCH(C1176,Produtos!$A$2:$A$71,0)),"")</f>
        <v/>
      </c>
      <c r="P1176" s="21">
        <f>IFERROR(INDEX(Produtos!$D$2:$D$71,MATCH(C1176,Produtos!$A$2:$A$71,0)),0)</f>
        <v/>
      </c>
      <c r="Q1176" s="21">
        <f>IFERROR(INDEX(Produtos!$E$2:$E$71,MATCH(C1176,Produtos!$A$2:$A$71,0)),0)</f>
        <v/>
      </c>
      <c r="R1176" s="23">
        <f>D1176*Q1176</f>
        <v/>
      </c>
      <c r="S1176" s="23">
        <f>R1176*E1176</f>
        <v/>
      </c>
      <c r="T1176" s="23">
        <f>(R1176-S1176)*M1176</f>
        <v/>
      </c>
      <c r="U1176" s="23">
        <f>R1176-S1176-T1176</f>
        <v/>
      </c>
      <c r="V1176" s="23">
        <f>D1176*P1176</f>
        <v/>
      </c>
      <c r="W1176" s="23">
        <f>U1176-V1176</f>
        <v/>
      </c>
      <c r="X1176" s="24">
        <f>IFERROR(W1176/U1176,0)</f>
        <v/>
      </c>
    </row>
    <row r="1177">
      <c r="A1177" s="25">
        <f>ItensPedido!A1177</f>
        <v/>
      </c>
      <c r="B1177" s="25">
        <f>ItensPedido!B1177</f>
        <v/>
      </c>
      <c r="C1177" s="25">
        <f>ItensPedido!C1177</f>
        <v/>
      </c>
      <c r="D1177" s="25">
        <f>ItensPedido!D1177</f>
        <v/>
      </c>
      <c r="E1177" s="26">
        <f>ItensPedido!E1177</f>
        <v/>
      </c>
      <c r="F1177" s="25">
        <f>IFERROR(INDEX(Pedidos!$B$2:$B$1801,MATCH(B1177,Pedidos!$A$2:$A$1801,0)),0)</f>
        <v/>
      </c>
      <c r="G1177" s="25">
        <f>IF(F1177=0,"",YEAR(F1177))</f>
        <v/>
      </c>
      <c r="H1177" s="25">
        <f>IF(F1177=0,"",MONTH(F1177))</f>
        <v/>
      </c>
      <c r="I1177" s="25">
        <f>IFERROR(INDEX(Pedidos!$E$2:$E$1801,MATCH(B1177,Pedidos!$A$2:$A$1801,0)),"")</f>
        <v/>
      </c>
      <c r="J1177" s="25">
        <f>IFERROR(INDEX(Pedidos!$C$2:$C$1801,MATCH(B1177,Pedidos!$A$2:$A$1801,0)),"")</f>
        <v/>
      </c>
      <c r="K1177" s="25">
        <f>IFERROR(INDEX(Pedidos!$D$2:$D$1801,MATCH(B1177,Pedidos!$A$2:$A$1801,0)),"")</f>
        <v/>
      </c>
      <c r="L1177" s="25">
        <f>IFERROR(INDEX(Pedidos!$F$2:$F$1801,MATCH(B1177,Pedidos!$A$2:$A$1801,0)),"")</f>
        <v/>
      </c>
      <c r="M1177" s="26">
        <f>IFERROR(INDEX(Pedidos!$G$2:$G$1801,MATCH(B1177,Pedidos!$A$2:$A$1801,0)),0)</f>
        <v/>
      </c>
      <c r="N1177" s="25">
        <f>IFERROR(INDEX(Produtos!$B$2:$B$71,MATCH(C1177,Produtos!$A$2:$A$71,0)),"")</f>
        <v/>
      </c>
      <c r="O1177" s="25">
        <f>IFERROR(INDEX(Produtos!$C$2:$C$71,MATCH(C1177,Produtos!$A$2:$A$71,0)),"")</f>
        <v/>
      </c>
      <c r="P1177" s="25">
        <f>IFERROR(INDEX(Produtos!$D$2:$D$71,MATCH(C1177,Produtos!$A$2:$A$71,0)),0)</f>
        <v/>
      </c>
      <c r="Q1177" s="25">
        <f>IFERROR(INDEX(Produtos!$E$2:$E$71,MATCH(C1177,Produtos!$A$2:$A$71,0)),0)</f>
        <v/>
      </c>
      <c r="R1177" s="27">
        <f>D1177*Q1177</f>
        <v/>
      </c>
      <c r="S1177" s="27">
        <f>R1177*E1177</f>
        <v/>
      </c>
      <c r="T1177" s="27">
        <f>(R1177-S1177)*M1177</f>
        <v/>
      </c>
      <c r="U1177" s="27">
        <f>R1177-S1177-T1177</f>
        <v/>
      </c>
      <c r="V1177" s="27">
        <f>D1177*P1177</f>
        <v/>
      </c>
      <c r="W1177" s="27">
        <f>U1177-V1177</f>
        <v/>
      </c>
      <c r="X1177" s="28">
        <f>IFERROR(W1177/U1177,0)</f>
        <v/>
      </c>
    </row>
    <row r="1178">
      <c r="A1178" s="21">
        <f>ItensPedido!A1178</f>
        <v/>
      </c>
      <c r="B1178" s="21">
        <f>ItensPedido!B1178</f>
        <v/>
      </c>
      <c r="C1178" s="21">
        <f>ItensPedido!C1178</f>
        <v/>
      </c>
      <c r="D1178" s="21">
        <f>ItensPedido!D1178</f>
        <v/>
      </c>
      <c r="E1178" s="22">
        <f>ItensPedido!E1178</f>
        <v/>
      </c>
      <c r="F1178" s="21">
        <f>IFERROR(INDEX(Pedidos!$B$2:$B$1801,MATCH(B1178,Pedidos!$A$2:$A$1801,0)),0)</f>
        <v/>
      </c>
      <c r="G1178" s="21">
        <f>IF(F1178=0,"",YEAR(F1178))</f>
        <v/>
      </c>
      <c r="H1178" s="21">
        <f>IF(F1178=0,"",MONTH(F1178))</f>
        <v/>
      </c>
      <c r="I1178" s="21">
        <f>IFERROR(INDEX(Pedidos!$E$2:$E$1801,MATCH(B1178,Pedidos!$A$2:$A$1801,0)),"")</f>
        <v/>
      </c>
      <c r="J1178" s="21">
        <f>IFERROR(INDEX(Pedidos!$C$2:$C$1801,MATCH(B1178,Pedidos!$A$2:$A$1801,0)),"")</f>
        <v/>
      </c>
      <c r="K1178" s="21">
        <f>IFERROR(INDEX(Pedidos!$D$2:$D$1801,MATCH(B1178,Pedidos!$A$2:$A$1801,0)),"")</f>
        <v/>
      </c>
      <c r="L1178" s="21">
        <f>IFERROR(INDEX(Pedidos!$F$2:$F$1801,MATCH(B1178,Pedidos!$A$2:$A$1801,0)),"")</f>
        <v/>
      </c>
      <c r="M1178" s="22">
        <f>IFERROR(INDEX(Pedidos!$G$2:$G$1801,MATCH(B1178,Pedidos!$A$2:$A$1801,0)),0)</f>
        <v/>
      </c>
      <c r="N1178" s="21">
        <f>IFERROR(INDEX(Produtos!$B$2:$B$71,MATCH(C1178,Produtos!$A$2:$A$71,0)),"")</f>
        <v/>
      </c>
      <c r="O1178" s="21">
        <f>IFERROR(INDEX(Produtos!$C$2:$C$71,MATCH(C1178,Produtos!$A$2:$A$71,0)),"")</f>
        <v/>
      </c>
      <c r="P1178" s="21">
        <f>IFERROR(INDEX(Produtos!$D$2:$D$71,MATCH(C1178,Produtos!$A$2:$A$71,0)),0)</f>
        <v/>
      </c>
      <c r="Q1178" s="21">
        <f>IFERROR(INDEX(Produtos!$E$2:$E$71,MATCH(C1178,Produtos!$A$2:$A$71,0)),0)</f>
        <v/>
      </c>
      <c r="R1178" s="23">
        <f>D1178*Q1178</f>
        <v/>
      </c>
      <c r="S1178" s="23">
        <f>R1178*E1178</f>
        <v/>
      </c>
      <c r="T1178" s="23">
        <f>(R1178-S1178)*M1178</f>
        <v/>
      </c>
      <c r="U1178" s="23">
        <f>R1178-S1178-T1178</f>
        <v/>
      </c>
      <c r="V1178" s="23">
        <f>D1178*P1178</f>
        <v/>
      </c>
      <c r="W1178" s="23">
        <f>U1178-V1178</f>
        <v/>
      </c>
      <c r="X1178" s="24">
        <f>IFERROR(W1178/U1178,0)</f>
        <v/>
      </c>
    </row>
    <row r="1179">
      <c r="A1179" s="25">
        <f>ItensPedido!A1179</f>
        <v/>
      </c>
      <c r="B1179" s="25">
        <f>ItensPedido!B1179</f>
        <v/>
      </c>
      <c r="C1179" s="25">
        <f>ItensPedido!C1179</f>
        <v/>
      </c>
      <c r="D1179" s="25">
        <f>ItensPedido!D1179</f>
        <v/>
      </c>
      <c r="E1179" s="26">
        <f>ItensPedido!E1179</f>
        <v/>
      </c>
      <c r="F1179" s="25">
        <f>IFERROR(INDEX(Pedidos!$B$2:$B$1801,MATCH(B1179,Pedidos!$A$2:$A$1801,0)),0)</f>
        <v/>
      </c>
      <c r="G1179" s="25">
        <f>IF(F1179=0,"",YEAR(F1179))</f>
        <v/>
      </c>
      <c r="H1179" s="25">
        <f>IF(F1179=0,"",MONTH(F1179))</f>
        <v/>
      </c>
      <c r="I1179" s="25">
        <f>IFERROR(INDEX(Pedidos!$E$2:$E$1801,MATCH(B1179,Pedidos!$A$2:$A$1801,0)),"")</f>
        <v/>
      </c>
      <c r="J1179" s="25">
        <f>IFERROR(INDEX(Pedidos!$C$2:$C$1801,MATCH(B1179,Pedidos!$A$2:$A$1801,0)),"")</f>
        <v/>
      </c>
      <c r="K1179" s="25">
        <f>IFERROR(INDEX(Pedidos!$D$2:$D$1801,MATCH(B1179,Pedidos!$A$2:$A$1801,0)),"")</f>
        <v/>
      </c>
      <c r="L1179" s="25">
        <f>IFERROR(INDEX(Pedidos!$F$2:$F$1801,MATCH(B1179,Pedidos!$A$2:$A$1801,0)),"")</f>
        <v/>
      </c>
      <c r="M1179" s="26">
        <f>IFERROR(INDEX(Pedidos!$G$2:$G$1801,MATCH(B1179,Pedidos!$A$2:$A$1801,0)),0)</f>
        <v/>
      </c>
      <c r="N1179" s="25">
        <f>IFERROR(INDEX(Produtos!$B$2:$B$71,MATCH(C1179,Produtos!$A$2:$A$71,0)),"")</f>
        <v/>
      </c>
      <c r="O1179" s="25">
        <f>IFERROR(INDEX(Produtos!$C$2:$C$71,MATCH(C1179,Produtos!$A$2:$A$71,0)),"")</f>
        <v/>
      </c>
      <c r="P1179" s="25">
        <f>IFERROR(INDEX(Produtos!$D$2:$D$71,MATCH(C1179,Produtos!$A$2:$A$71,0)),0)</f>
        <v/>
      </c>
      <c r="Q1179" s="25">
        <f>IFERROR(INDEX(Produtos!$E$2:$E$71,MATCH(C1179,Produtos!$A$2:$A$71,0)),0)</f>
        <v/>
      </c>
      <c r="R1179" s="27">
        <f>D1179*Q1179</f>
        <v/>
      </c>
      <c r="S1179" s="27">
        <f>R1179*E1179</f>
        <v/>
      </c>
      <c r="T1179" s="27">
        <f>(R1179-S1179)*M1179</f>
        <v/>
      </c>
      <c r="U1179" s="27">
        <f>R1179-S1179-T1179</f>
        <v/>
      </c>
      <c r="V1179" s="27">
        <f>D1179*P1179</f>
        <v/>
      </c>
      <c r="W1179" s="27">
        <f>U1179-V1179</f>
        <v/>
      </c>
      <c r="X1179" s="28">
        <f>IFERROR(W1179/U1179,0)</f>
        <v/>
      </c>
    </row>
    <row r="1180">
      <c r="A1180" s="21">
        <f>ItensPedido!A1180</f>
        <v/>
      </c>
      <c r="B1180" s="21">
        <f>ItensPedido!B1180</f>
        <v/>
      </c>
      <c r="C1180" s="21">
        <f>ItensPedido!C1180</f>
        <v/>
      </c>
      <c r="D1180" s="21">
        <f>ItensPedido!D1180</f>
        <v/>
      </c>
      <c r="E1180" s="22">
        <f>ItensPedido!E1180</f>
        <v/>
      </c>
      <c r="F1180" s="21">
        <f>IFERROR(INDEX(Pedidos!$B$2:$B$1801,MATCH(B1180,Pedidos!$A$2:$A$1801,0)),0)</f>
        <v/>
      </c>
      <c r="G1180" s="21">
        <f>IF(F1180=0,"",YEAR(F1180))</f>
        <v/>
      </c>
      <c r="H1180" s="21">
        <f>IF(F1180=0,"",MONTH(F1180))</f>
        <v/>
      </c>
      <c r="I1180" s="21">
        <f>IFERROR(INDEX(Pedidos!$E$2:$E$1801,MATCH(B1180,Pedidos!$A$2:$A$1801,0)),"")</f>
        <v/>
      </c>
      <c r="J1180" s="21">
        <f>IFERROR(INDEX(Pedidos!$C$2:$C$1801,MATCH(B1180,Pedidos!$A$2:$A$1801,0)),"")</f>
        <v/>
      </c>
      <c r="K1180" s="21">
        <f>IFERROR(INDEX(Pedidos!$D$2:$D$1801,MATCH(B1180,Pedidos!$A$2:$A$1801,0)),"")</f>
        <v/>
      </c>
      <c r="L1180" s="21">
        <f>IFERROR(INDEX(Pedidos!$F$2:$F$1801,MATCH(B1180,Pedidos!$A$2:$A$1801,0)),"")</f>
        <v/>
      </c>
      <c r="M1180" s="22">
        <f>IFERROR(INDEX(Pedidos!$G$2:$G$1801,MATCH(B1180,Pedidos!$A$2:$A$1801,0)),0)</f>
        <v/>
      </c>
      <c r="N1180" s="21">
        <f>IFERROR(INDEX(Produtos!$B$2:$B$71,MATCH(C1180,Produtos!$A$2:$A$71,0)),"")</f>
        <v/>
      </c>
      <c r="O1180" s="21">
        <f>IFERROR(INDEX(Produtos!$C$2:$C$71,MATCH(C1180,Produtos!$A$2:$A$71,0)),"")</f>
        <v/>
      </c>
      <c r="P1180" s="21">
        <f>IFERROR(INDEX(Produtos!$D$2:$D$71,MATCH(C1180,Produtos!$A$2:$A$71,0)),0)</f>
        <v/>
      </c>
      <c r="Q1180" s="21">
        <f>IFERROR(INDEX(Produtos!$E$2:$E$71,MATCH(C1180,Produtos!$A$2:$A$71,0)),0)</f>
        <v/>
      </c>
      <c r="R1180" s="23">
        <f>D1180*Q1180</f>
        <v/>
      </c>
      <c r="S1180" s="23">
        <f>R1180*E1180</f>
        <v/>
      </c>
      <c r="T1180" s="23">
        <f>(R1180-S1180)*M1180</f>
        <v/>
      </c>
      <c r="U1180" s="23">
        <f>R1180-S1180-T1180</f>
        <v/>
      </c>
      <c r="V1180" s="23">
        <f>D1180*P1180</f>
        <v/>
      </c>
      <c r="W1180" s="23">
        <f>U1180-V1180</f>
        <v/>
      </c>
      <c r="X1180" s="24">
        <f>IFERROR(W1180/U1180,0)</f>
        <v/>
      </c>
    </row>
    <row r="1181">
      <c r="A1181" s="25">
        <f>ItensPedido!A1181</f>
        <v/>
      </c>
      <c r="B1181" s="25">
        <f>ItensPedido!B1181</f>
        <v/>
      </c>
      <c r="C1181" s="25">
        <f>ItensPedido!C1181</f>
        <v/>
      </c>
      <c r="D1181" s="25">
        <f>ItensPedido!D1181</f>
        <v/>
      </c>
      <c r="E1181" s="26">
        <f>ItensPedido!E1181</f>
        <v/>
      </c>
      <c r="F1181" s="25">
        <f>IFERROR(INDEX(Pedidos!$B$2:$B$1801,MATCH(B1181,Pedidos!$A$2:$A$1801,0)),0)</f>
        <v/>
      </c>
      <c r="G1181" s="25">
        <f>IF(F1181=0,"",YEAR(F1181))</f>
        <v/>
      </c>
      <c r="H1181" s="25">
        <f>IF(F1181=0,"",MONTH(F1181))</f>
        <v/>
      </c>
      <c r="I1181" s="25">
        <f>IFERROR(INDEX(Pedidos!$E$2:$E$1801,MATCH(B1181,Pedidos!$A$2:$A$1801,0)),"")</f>
        <v/>
      </c>
      <c r="J1181" s="25">
        <f>IFERROR(INDEX(Pedidos!$C$2:$C$1801,MATCH(B1181,Pedidos!$A$2:$A$1801,0)),"")</f>
        <v/>
      </c>
      <c r="K1181" s="25">
        <f>IFERROR(INDEX(Pedidos!$D$2:$D$1801,MATCH(B1181,Pedidos!$A$2:$A$1801,0)),"")</f>
        <v/>
      </c>
      <c r="L1181" s="25">
        <f>IFERROR(INDEX(Pedidos!$F$2:$F$1801,MATCH(B1181,Pedidos!$A$2:$A$1801,0)),"")</f>
        <v/>
      </c>
      <c r="M1181" s="26">
        <f>IFERROR(INDEX(Pedidos!$G$2:$G$1801,MATCH(B1181,Pedidos!$A$2:$A$1801,0)),0)</f>
        <v/>
      </c>
      <c r="N1181" s="25">
        <f>IFERROR(INDEX(Produtos!$B$2:$B$71,MATCH(C1181,Produtos!$A$2:$A$71,0)),"")</f>
        <v/>
      </c>
      <c r="O1181" s="25">
        <f>IFERROR(INDEX(Produtos!$C$2:$C$71,MATCH(C1181,Produtos!$A$2:$A$71,0)),"")</f>
        <v/>
      </c>
      <c r="P1181" s="25">
        <f>IFERROR(INDEX(Produtos!$D$2:$D$71,MATCH(C1181,Produtos!$A$2:$A$71,0)),0)</f>
        <v/>
      </c>
      <c r="Q1181" s="25">
        <f>IFERROR(INDEX(Produtos!$E$2:$E$71,MATCH(C1181,Produtos!$A$2:$A$71,0)),0)</f>
        <v/>
      </c>
      <c r="R1181" s="27">
        <f>D1181*Q1181</f>
        <v/>
      </c>
      <c r="S1181" s="27">
        <f>R1181*E1181</f>
        <v/>
      </c>
      <c r="T1181" s="27">
        <f>(R1181-S1181)*M1181</f>
        <v/>
      </c>
      <c r="U1181" s="27">
        <f>R1181-S1181-T1181</f>
        <v/>
      </c>
      <c r="V1181" s="27">
        <f>D1181*P1181</f>
        <v/>
      </c>
      <c r="W1181" s="27">
        <f>U1181-V1181</f>
        <v/>
      </c>
      <c r="X1181" s="28">
        <f>IFERROR(W1181/U1181,0)</f>
        <v/>
      </c>
    </row>
    <row r="1182">
      <c r="A1182" s="21">
        <f>ItensPedido!A1182</f>
        <v/>
      </c>
      <c r="B1182" s="21">
        <f>ItensPedido!B1182</f>
        <v/>
      </c>
      <c r="C1182" s="21">
        <f>ItensPedido!C1182</f>
        <v/>
      </c>
      <c r="D1182" s="21">
        <f>ItensPedido!D1182</f>
        <v/>
      </c>
      <c r="E1182" s="22">
        <f>ItensPedido!E1182</f>
        <v/>
      </c>
      <c r="F1182" s="21">
        <f>IFERROR(INDEX(Pedidos!$B$2:$B$1801,MATCH(B1182,Pedidos!$A$2:$A$1801,0)),0)</f>
        <v/>
      </c>
      <c r="G1182" s="21">
        <f>IF(F1182=0,"",YEAR(F1182))</f>
        <v/>
      </c>
      <c r="H1182" s="21">
        <f>IF(F1182=0,"",MONTH(F1182))</f>
        <v/>
      </c>
      <c r="I1182" s="21">
        <f>IFERROR(INDEX(Pedidos!$E$2:$E$1801,MATCH(B1182,Pedidos!$A$2:$A$1801,0)),"")</f>
        <v/>
      </c>
      <c r="J1182" s="21">
        <f>IFERROR(INDEX(Pedidos!$C$2:$C$1801,MATCH(B1182,Pedidos!$A$2:$A$1801,0)),"")</f>
        <v/>
      </c>
      <c r="K1182" s="21">
        <f>IFERROR(INDEX(Pedidos!$D$2:$D$1801,MATCH(B1182,Pedidos!$A$2:$A$1801,0)),"")</f>
        <v/>
      </c>
      <c r="L1182" s="21">
        <f>IFERROR(INDEX(Pedidos!$F$2:$F$1801,MATCH(B1182,Pedidos!$A$2:$A$1801,0)),"")</f>
        <v/>
      </c>
      <c r="M1182" s="22">
        <f>IFERROR(INDEX(Pedidos!$G$2:$G$1801,MATCH(B1182,Pedidos!$A$2:$A$1801,0)),0)</f>
        <v/>
      </c>
      <c r="N1182" s="21">
        <f>IFERROR(INDEX(Produtos!$B$2:$B$71,MATCH(C1182,Produtos!$A$2:$A$71,0)),"")</f>
        <v/>
      </c>
      <c r="O1182" s="21">
        <f>IFERROR(INDEX(Produtos!$C$2:$C$71,MATCH(C1182,Produtos!$A$2:$A$71,0)),"")</f>
        <v/>
      </c>
      <c r="P1182" s="21">
        <f>IFERROR(INDEX(Produtos!$D$2:$D$71,MATCH(C1182,Produtos!$A$2:$A$71,0)),0)</f>
        <v/>
      </c>
      <c r="Q1182" s="21">
        <f>IFERROR(INDEX(Produtos!$E$2:$E$71,MATCH(C1182,Produtos!$A$2:$A$71,0)),0)</f>
        <v/>
      </c>
      <c r="R1182" s="23">
        <f>D1182*Q1182</f>
        <v/>
      </c>
      <c r="S1182" s="23">
        <f>R1182*E1182</f>
        <v/>
      </c>
      <c r="T1182" s="23">
        <f>(R1182-S1182)*M1182</f>
        <v/>
      </c>
      <c r="U1182" s="23">
        <f>R1182-S1182-T1182</f>
        <v/>
      </c>
      <c r="V1182" s="23">
        <f>D1182*P1182</f>
        <v/>
      </c>
      <c r="W1182" s="23">
        <f>U1182-V1182</f>
        <v/>
      </c>
      <c r="X1182" s="24">
        <f>IFERROR(W1182/U1182,0)</f>
        <v/>
      </c>
    </row>
    <row r="1183">
      <c r="A1183" s="25">
        <f>ItensPedido!A1183</f>
        <v/>
      </c>
      <c r="B1183" s="25">
        <f>ItensPedido!B1183</f>
        <v/>
      </c>
      <c r="C1183" s="25">
        <f>ItensPedido!C1183</f>
        <v/>
      </c>
      <c r="D1183" s="25">
        <f>ItensPedido!D1183</f>
        <v/>
      </c>
      <c r="E1183" s="26">
        <f>ItensPedido!E1183</f>
        <v/>
      </c>
      <c r="F1183" s="25">
        <f>IFERROR(INDEX(Pedidos!$B$2:$B$1801,MATCH(B1183,Pedidos!$A$2:$A$1801,0)),0)</f>
        <v/>
      </c>
      <c r="G1183" s="25">
        <f>IF(F1183=0,"",YEAR(F1183))</f>
        <v/>
      </c>
      <c r="H1183" s="25">
        <f>IF(F1183=0,"",MONTH(F1183))</f>
        <v/>
      </c>
      <c r="I1183" s="25">
        <f>IFERROR(INDEX(Pedidos!$E$2:$E$1801,MATCH(B1183,Pedidos!$A$2:$A$1801,0)),"")</f>
        <v/>
      </c>
      <c r="J1183" s="25">
        <f>IFERROR(INDEX(Pedidos!$C$2:$C$1801,MATCH(B1183,Pedidos!$A$2:$A$1801,0)),"")</f>
        <v/>
      </c>
      <c r="K1183" s="25">
        <f>IFERROR(INDEX(Pedidos!$D$2:$D$1801,MATCH(B1183,Pedidos!$A$2:$A$1801,0)),"")</f>
        <v/>
      </c>
      <c r="L1183" s="25">
        <f>IFERROR(INDEX(Pedidos!$F$2:$F$1801,MATCH(B1183,Pedidos!$A$2:$A$1801,0)),"")</f>
        <v/>
      </c>
      <c r="M1183" s="26">
        <f>IFERROR(INDEX(Pedidos!$G$2:$G$1801,MATCH(B1183,Pedidos!$A$2:$A$1801,0)),0)</f>
        <v/>
      </c>
      <c r="N1183" s="25">
        <f>IFERROR(INDEX(Produtos!$B$2:$B$71,MATCH(C1183,Produtos!$A$2:$A$71,0)),"")</f>
        <v/>
      </c>
      <c r="O1183" s="25">
        <f>IFERROR(INDEX(Produtos!$C$2:$C$71,MATCH(C1183,Produtos!$A$2:$A$71,0)),"")</f>
        <v/>
      </c>
      <c r="P1183" s="25">
        <f>IFERROR(INDEX(Produtos!$D$2:$D$71,MATCH(C1183,Produtos!$A$2:$A$71,0)),0)</f>
        <v/>
      </c>
      <c r="Q1183" s="25">
        <f>IFERROR(INDEX(Produtos!$E$2:$E$71,MATCH(C1183,Produtos!$A$2:$A$71,0)),0)</f>
        <v/>
      </c>
      <c r="R1183" s="27">
        <f>D1183*Q1183</f>
        <v/>
      </c>
      <c r="S1183" s="27">
        <f>R1183*E1183</f>
        <v/>
      </c>
      <c r="T1183" s="27">
        <f>(R1183-S1183)*M1183</f>
        <v/>
      </c>
      <c r="U1183" s="27">
        <f>R1183-S1183-T1183</f>
        <v/>
      </c>
      <c r="V1183" s="27">
        <f>D1183*P1183</f>
        <v/>
      </c>
      <c r="W1183" s="27">
        <f>U1183-V1183</f>
        <v/>
      </c>
      <c r="X1183" s="28">
        <f>IFERROR(W1183/U1183,0)</f>
        <v/>
      </c>
    </row>
    <row r="1184">
      <c r="A1184" s="21">
        <f>ItensPedido!A1184</f>
        <v/>
      </c>
      <c r="B1184" s="21">
        <f>ItensPedido!B1184</f>
        <v/>
      </c>
      <c r="C1184" s="21">
        <f>ItensPedido!C1184</f>
        <v/>
      </c>
      <c r="D1184" s="21">
        <f>ItensPedido!D1184</f>
        <v/>
      </c>
      <c r="E1184" s="22">
        <f>ItensPedido!E1184</f>
        <v/>
      </c>
      <c r="F1184" s="21">
        <f>IFERROR(INDEX(Pedidos!$B$2:$B$1801,MATCH(B1184,Pedidos!$A$2:$A$1801,0)),0)</f>
        <v/>
      </c>
      <c r="G1184" s="21">
        <f>IF(F1184=0,"",YEAR(F1184))</f>
        <v/>
      </c>
      <c r="H1184" s="21">
        <f>IF(F1184=0,"",MONTH(F1184))</f>
        <v/>
      </c>
      <c r="I1184" s="21">
        <f>IFERROR(INDEX(Pedidos!$E$2:$E$1801,MATCH(B1184,Pedidos!$A$2:$A$1801,0)),"")</f>
        <v/>
      </c>
      <c r="J1184" s="21">
        <f>IFERROR(INDEX(Pedidos!$C$2:$C$1801,MATCH(B1184,Pedidos!$A$2:$A$1801,0)),"")</f>
        <v/>
      </c>
      <c r="K1184" s="21">
        <f>IFERROR(INDEX(Pedidos!$D$2:$D$1801,MATCH(B1184,Pedidos!$A$2:$A$1801,0)),"")</f>
        <v/>
      </c>
      <c r="L1184" s="21">
        <f>IFERROR(INDEX(Pedidos!$F$2:$F$1801,MATCH(B1184,Pedidos!$A$2:$A$1801,0)),"")</f>
        <v/>
      </c>
      <c r="M1184" s="22">
        <f>IFERROR(INDEX(Pedidos!$G$2:$G$1801,MATCH(B1184,Pedidos!$A$2:$A$1801,0)),0)</f>
        <v/>
      </c>
      <c r="N1184" s="21">
        <f>IFERROR(INDEX(Produtos!$B$2:$B$71,MATCH(C1184,Produtos!$A$2:$A$71,0)),"")</f>
        <v/>
      </c>
      <c r="O1184" s="21">
        <f>IFERROR(INDEX(Produtos!$C$2:$C$71,MATCH(C1184,Produtos!$A$2:$A$71,0)),"")</f>
        <v/>
      </c>
      <c r="P1184" s="21">
        <f>IFERROR(INDEX(Produtos!$D$2:$D$71,MATCH(C1184,Produtos!$A$2:$A$71,0)),0)</f>
        <v/>
      </c>
      <c r="Q1184" s="21">
        <f>IFERROR(INDEX(Produtos!$E$2:$E$71,MATCH(C1184,Produtos!$A$2:$A$71,0)),0)</f>
        <v/>
      </c>
      <c r="R1184" s="23">
        <f>D1184*Q1184</f>
        <v/>
      </c>
      <c r="S1184" s="23">
        <f>R1184*E1184</f>
        <v/>
      </c>
      <c r="T1184" s="23">
        <f>(R1184-S1184)*M1184</f>
        <v/>
      </c>
      <c r="U1184" s="23">
        <f>R1184-S1184-T1184</f>
        <v/>
      </c>
      <c r="V1184" s="23">
        <f>D1184*P1184</f>
        <v/>
      </c>
      <c r="W1184" s="23">
        <f>U1184-V1184</f>
        <v/>
      </c>
      <c r="X1184" s="24">
        <f>IFERROR(W1184/U1184,0)</f>
        <v/>
      </c>
    </row>
    <row r="1185">
      <c r="A1185" s="25">
        <f>ItensPedido!A1185</f>
        <v/>
      </c>
      <c r="B1185" s="25">
        <f>ItensPedido!B1185</f>
        <v/>
      </c>
      <c r="C1185" s="25">
        <f>ItensPedido!C1185</f>
        <v/>
      </c>
      <c r="D1185" s="25">
        <f>ItensPedido!D1185</f>
        <v/>
      </c>
      <c r="E1185" s="26">
        <f>ItensPedido!E1185</f>
        <v/>
      </c>
      <c r="F1185" s="25">
        <f>IFERROR(INDEX(Pedidos!$B$2:$B$1801,MATCH(B1185,Pedidos!$A$2:$A$1801,0)),0)</f>
        <v/>
      </c>
      <c r="G1185" s="25">
        <f>IF(F1185=0,"",YEAR(F1185))</f>
        <v/>
      </c>
      <c r="H1185" s="25">
        <f>IF(F1185=0,"",MONTH(F1185))</f>
        <v/>
      </c>
      <c r="I1185" s="25">
        <f>IFERROR(INDEX(Pedidos!$E$2:$E$1801,MATCH(B1185,Pedidos!$A$2:$A$1801,0)),"")</f>
        <v/>
      </c>
      <c r="J1185" s="25">
        <f>IFERROR(INDEX(Pedidos!$C$2:$C$1801,MATCH(B1185,Pedidos!$A$2:$A$1801,0)),"")</f>
        <v/>
      </c>
      <c r="K1185" s="25">
        <f>IFERROR(INDEX(Pedidos!$D$2:$D$1801,MATCH(B1185,Pedidos!$A$2:$A$1801,0)),"")</f>
        <v/>
      </c>
      <c r="L1185" s="25">
        <f>IFERROR(INDEX(Pedidos!$F$2:$F$1801,MATCH(B1185,Pedidos!$A$2:$A$1801,0)),"")</f>
        <v/>
      </c>
      <c r="M1185" s="26">
        <f>IFERROR(INDEX(Pedidos!$G$2:$G$1801,MATCH(B1185,Pedidos!$A$2:$A$1801,0)),0)</f>
        <v/>
      </c>
      <c r="N1185" s="25">
        <f>IFERROR(INDEX(Produtos!$B$2:$B$71,MATCH(C1185,Produtos!$A$2:$A$71,0)),"")</f>
        <v/>
      </c>
      <c r="O1185" s="25">
        <f>IFERROR(INDEX(Produtos!$C$2:$C$71,MATCH(C1185,Produtos!$A$2:$A$71,0)),"")</f>
        <v/>
      </c>
      <c r="P1185" s="25">
        <f>IFERROR(INDEX(Produtos!$D$2:$D$71,MATCH(C1185,Produtos!$A$2:$A$71,0)),0)</f>
        <v/>
      </c>
      <c r="Q1185" s="25">
        <f>IFERROR(INDEX(Produtos!$E$2:$E$71,MATCH(C1185,Produtos!$A$2:$A$71,0)),0)</f>
        <v/>
      </c>
      <c r="R1185" s="27">
        <f>D1185*Q1185</f>
        <v/>
      </c>
      <c r="S1185" s="27">
        <f>R1185*E1185</f>
        <v/>
      </c>
      <c r="T1185" s="27">
        <f>(R1185-S1185)*M1185</f>
        <v/>
      </c>
      <c r="U1185" s="27">
        <f>R1185-S1185-T1185</f>
        <v/>
      </c>
      <c r="V1185" s="27">
        <f>D1185*P1185</f>
        <v/>
      </c>
      <c r="W1185" s="27">
        <f>U1185-V1185</f>
        <v/>
      </c>
      <c r="X1185" s="28">
        <f>IFERROR(W1185/U1185,0)</f>
        <v/>
      </c>
    </row>
    <row r="1186">
      <c r="A1186" s="21">
        <f>ItensPedido!A1186</f>
        <v/>
      </c>
      <c r="B1186" s="21">
        <f>ItensPedido!B1186</f>
        <v/>
      </c>
      <c r="C1186" s="21">
        <f>ItensPedido!C1186</f>
        <v/>
      </c>
      <c r="D1186" s="21">
        <f>ItensPedido!D1186</f>
        <v/>
      </c>
      <c r="E1186" s="22">
        <f>ItensPedido!E1186</f>
        <v/>
      </c>
      <c r="F1186" s="21">
        <f>IFERROR(INDEX(Pedidos!$B$2:$B$1801,MATCH(B1186,Pedidos!$A$2:$A$1801,0)),0)</f>
        <v/>
      </c>
      <c r="G1186" s="21">
        <f>IF(F1186=0,"",YEAR(F1186))</f>
        <v/>
      </c>
      <c r="H1186" s="21">
        <f>IF(F1186=0,"",MONTH(F1186))</f>
        <v/>
      </c>
      <c r="I1186" s="21">
        <f>IFERROR(INDEX(Pedidos!$E$2:$E$1801,MATCH(B1186,Pedidos!$A$2:$A$1801,0)),"")</f>
        <v/>
      </c>
      <c r="J1186" s="21">
        <f>IFERROR(INDEX(Pedidos!$C$2:$C$1801,MATCH(B1186,Pedidos!$A$2:$A$1801,0)),"")</f>
        <v/>
      </c>
      <c r="K1186" s="21">
        <f>IFERROR(INDEX(Pedidos!$D$2:$D$1801,MATCH(B1186,Pedidos!$A$2:$A$1801,0)),"")</f>
        <v/>
      </c>
      <c r="L1186" s="21">
        <f>IFERROR(INDEX(Pedidos!$F$2:$F$1801,MATCH(B1186,Pedidos!$A$2:$A$1801,0)),"")</f>
        <v/>
      </c>
      <c r="M1186" s="22">
        <f>IFERROR(INDEX(Pedidos!$G$2:$G$1801,MATCH(B1186,Pedidos!$A$2:$A$1801,0)),0)</f>
        <v/>
      </c>
      <c r="N1186" s="21">
        <f>IFERROR(INDEX(Produtos!$B$2:$B$71,MATCH(C1186,Produtos!$A$2:$A$71,0)),"")</f>
        <v/>
      </c>
      <c r="O1186" s="21">
        <f>IFERROR(INDEX(Produtos!$C$2:$C$71,MATCH(C1186,Produtos!$A$2:$A$71,0)),"")</f>
        <v/>
      </c>
      <c r="P1186" s="21">
        <f>IFERROR(INDEX(Produtos!$D$2:$D$71,MATCH(C1186,Produtos!$A$2:$A$71,0)),0)</f>
        <v/>
      </c>
      <c r="Q1186" s="21">
        <f>IFERROR(INDEX(Produtos!$E$2:$E$71,MATCH(C1186,Produtos!$A$2:$A$71,0)),0)</f>
        <v/>
      </c>
      <c r="R1186" s="23">
        <f>D1186*Q1186</f>
        <v/>
      </c>
      <c r="S1186" s="23">
        <f>R1186*E1186</f>
        <v/>
      </c>
      <c r="T1186" s="23">
        <f>(R1186-S1186)*M1186</f>
        <v/>
      </c>
      <c r="U1186" s="23">
        <f>R1186-S1186-T1186</f>
        <v/>
      </c>
      <c r="V1186" s="23">
        <f>D1186*P1186</f>
        <v/>
      </c>
      <c r="W1186" s="23">
        <f>U1186-V1186</f>
        <v/>
      </c>
      <c r="X1186" s="24">
        <f>IFERROR(W1186/U1186,0)</f>
        <v/>
      </c>
    </row>
    <row r="1187">
      <c r="A1187" s="25">
        <f>ItensPedido!A1187</f>
        <v/>
      </c>
      <c r="B1187" s="25">
        <f>ItensPedido!B1187</f>
        <v/>
      </c>
      <c r="C1187" s="25">
        <f>ItensPedido!C1187</f>
        <v/>
      </c>
      <c r="D1187" s="25">
        <f>ItensPedido!D1187</f>
        <v/>
      </c>
      <c r="E1187" s="26">
        <f>ItensPedido!E1187</f>
        <v/>
      </c>
      <c r="F1187" s="25">
        <f>IFERROR(INDEX(Pedidos!$B$2:$B$1801,MATCH(B1187,Pedidos!$A$2:$A$1801,0)),0)</f>
        <v/>
      </c>
      <c r="G1187" s="25">
        <f>IF(F1187=0,"",YEAR(F1187))</f>
        <v/>
      </c>
      <c r="H1187" s="25">
        <f>IF(F1187=0,"",MONTH(F1187))</f>
        <v/>
      </c>
      <c r="I1187" s="25">
        <f>IFERROR(INDEX(Pedidos!$E$2:$E$1801,MATCH(B1187,Pedidos!$A$2:$A$1801,0)),"")</f>
        <v/>
      </c>
      <c r="J1187" s="25">
        <f>IFERROR(INDEX(Pedidos!$C$2:$C$1801,MATCH(B1187,Pedidos!$A$2:$A$1801,0)),"")</f>
        <v/>
      </c>
      <c r="K1187" s="25">
        <f>IFERROR(INDEX(Pedidos!$D$2:$D$1801,MATCH(B1187,Pedidos!$A$2:$A$1801,0)),"")</f>
        <v/>
      </c>
      <c r="L1187" s="25">
        <f>IFERROR(INDEX(Pedidos!$F$2:$F$1801,MATCH(B1187,Pedidos!$A$2:$A$1801,0)),"")</f>
        <v/>
      </c>
      <c r="M1187" s="26">
        <f>IFERROR(INDEX(Pedidos!$G$2:$G$1801,MATCH(B1187,Pedidos!$A$2:$A$1801,0)),0)</f>
        <v/>
      </c>
      <c r="N1187" s="25">
        <f>IFERROR(INDEX(Produtos!$B$2:$B$71,MATCH(C1187,Produtos!$A$2:$A$71,0)),"")</f>
        <v/>
      </c>
      <c r="O1187" s="25">
        <f>IFERROR(INDEX(Produtos!$C$2:$C$71,MATCH(C1187,Produtos!$A$2:$A$71,0)),"")</f>
        <v/>
      </c>
      <c r="P1187" s="25">
        <f>IFERROR(INDEX(Produtos!$D$2:$D$71,MATCH(C1187,Produtos!$A$2:$A$71,0)),0)</f>
        <v/>
      </c>
      <c r="Q1187" s="25">
        <f>IFERROR(INDEX(Produtos!$E$2:$E$71,MATCH(C1187,Produtos!$A$2:$A$71,0)),0)</f>
        <v/>
      </c>
      <c r="R1187" s="27">
        <f>D1187*Q1187</f>
        <v/>
      </c>
      <c r="S1187" s="27">
        <f>R1187*E1187</f>
        <v/>
      </c>
      <c r="T1187" s="27">
        <f>(R1187-S1187)*M1187</f>
        <v/>
      </c>
      <c r="U1187" s="27">
        <f>R1187-S1187-T1187</f>
        <v/>
      </c>
      <c r="V1187" s="27">
        <f>D1187*P1187</f>
        <v/>
      </c>
      <c r="W1187" s="27">
        <f>U1187-V1187</f>
        <v/>
      </c>
      <c r="X1187" s="28">
        <f>IFERROR(W1187/U1187,0)</f>
        <v/>
      </c>
    </row>
    <row r="1188">
      <c r="A1188" s="21">
        <f>ItensPedido!A1188</f>
        <v/>
      </c>
      <c r="B1188" s="21">
        <f>ItensPedido!B1188</f>
        <v/>
      </c>
      <c r="C1188" s="21">
        <f>ItensPedido!C1188</f>
        <v/>
      </c>
      <c r="D1188" s="21">
        <f>ItensPedido!D1188</f>
        <v/>
      </c>
      <c r="E1188" s="22">
        <f>ItensPedido!E1188</f>
        <v/>
      </c>
      <c r="F1188" s="21">
        <f>IFERROR(INDEX(Pedidos!$B$2:$B$1801,MATCH(B1188,Pedidos!$A$2:$A$1801,0)),0)</f>
        <v/>
      </c>
      <c r="G1188" s="21">
        <f>IF(F1188=0,"",YEAR(F1188))</f>
        <v/>
      </c>
      <c r="H1188" s="21">
        <f>IF(F1188=0,"",MONTH(F1188))</f>
        <v/>
      </c>
      <c r="I1188" s="21">
        <f>IFERROR(INDEX(Pedidos!$E$2:$E$1801,MATCH(B1188,Pedidos!$A$2:$A$1801,0)),"")</f>
        <v/>
      </c>
      <c r="J1188" s="21">
        <f>IFERROR(INDEX(Pedidos!$C$2:$C$1801,MATCH(B1188,Pedidos!$A$2:$A$1801,0)),"")</f>
        <v/>
      </c>
      <c r="K1188" s="21">
        <f>IFERROR(INDEX(Pedidos!$D$2:$D$1801,MATCH(B1188,Pedidos!$A$2:$A$1801,0)),"")</f>
        <v/>
      </c>
      <c r="L1188" s="21">
        <f>IFERROR(INDEX(Pedidos!$F$2:$F$1801,MATCH(B1188,Pedidos!$A$2:$A$1801,0)),"")</f>
        <v/>
      </c>
      <c r="M1188" s="22">
        <f>IFERROR(INDEX(Pedidos!$G$2:$G$1801,MATCH(B1188,Pedidos!$A$2:$A$1801,0)),0)</f>
        <v/>
      </c>
      <c r="N1188" s="21">
        <f>IFERROR(INDEX(Produtos!$B$2:$B$71,MATCH(C1188,Produtos!$A$2:$A$71,0)),"")</f>
        <v/>
      </c>
      <c r="O1188" s="21">
        <f>IFERROR(INDEX(Produtos!$C$2:$C$71,MATCH(C1188,Produtos!$A$2:$A$71,0)),"")</f>
        <v/>
      </c>
      <c r="P1188" s="21">
        <f>IFERROR(INDEX(Produtos!$D$2:$D$71,MATCH(C1188,Produtos!$A$2:$A$71,0)),0)</f>
        <v/>
      </c>
      <c r="Q1188" s="21">
        <f>IFERROR(INDEX(Produtos!$E$2:$E$71,MATCH(C1188,Produtos!$A$2:$A$71,0)),0)</f>
        <v/>
      </c>
      <c r="R1188" s="23">
        <f>D1188*Q1188</f>
        <v/>
      </c>
      <c r="S1188" s="23">
        <f>R1188*E1188</f>
        <v/>
      </c>
      <c r="T1188" s="23">
        <f>(R1188-S1188)*M1188</f>
        <v/>
      </c>
      <c r="U1188" s="23">
        <f>R1188-S1188-T1188</f>
        <v/>
      </c>
      <c r="V1188" s="23">
        <f>D1188*P1188</f>
        <v/>
      </c>
      <c r="W1188" s="23">
        <f>U1188-V1188</f>
        <v/>
      </c>
      <c r="X1188" s="24">
        <f>IFERROR(W1188/U1188,0)</f>
        <v/>
      </c>
    </row>
    <row r="1189">
      <c r="A1189" s="25">
        <f>ItensPedido!A1189</f>
        <v/>
      </c>
      <c r="B1189" s="25">
        <f>ItensPedido!B1189</f>
        <v/>
      </c>
      <c r="C1189" s="25">
        <f>ItensPedido!C1189</f>
        <v/>
      </c>
      <c r="D1189" s="25">
        <f>ItensPedido!D1189</f>
        <v/>
      </c>
      <c r="E1189" s="26">
        <f>ItensPedido!E1189</f>
        <v/>
      </c>
      <c r="F1189" s="25">
        <f>IFERROR(INDEX(Pedidos!$B$2:$B$1801,MATCH(B1189,Pedidos!$A$2:$A$1801,0)),0)</f>
        <v/>
      </c>
      <c r="G1189" s="25">
        <f>IF(F1189=0,"",YEAR(F1189))</f>
        <v/>
      </c>
      <c r="H1189" s="25">
        <f>IF(F1189=0,"",MONTH(F1189))</f>
        <v/>
      </c>
      <c r="I1189" s="25">
        <f>IFERROR(INDEX(Pedidos!$E$2:$E$1801,MATCH(B1189,Pedidos!$A$2:$A$1801,0)),"")</f>
        <v/>
      </c>
      <c r="J1189" s="25">
        <f>IFERROR(INDEX(Pedidos!$C$2:$C$1801,MATCH(B1189,Pedidos!$A$2:$A$1801,0)),"")</f>
        <v/>
      </c>
      <c r="K1189" s="25">
        <f>IFERROR(INDEX(Pedidos!$D$2:$D$1801,MATCH(B1189,Pedidos!$A$2:$A$1801,0)),"")</f>
        <v/>
      </c>
      <c r="L1189" s="25">
        <f>IFERROR(INDEX(Pedidos!$F$2:$F$1801,MATCH(B1189,Pedidos!$A$2:$A$1801,0)),"")</f>
        <v/>
      </c>
      <c r="M1189" s="26">
        <f>IFERROR(INDEX(Pedidos!$G$2:$G$1801,MATCH(B1189,Pedidos!$A$2:$A$1801,0)),0)</f>
        <v/>
      </c>
      <c r="N1189" s="25">
        <f>IFERROR(INDEX(Produtos!$B$2:$B$71,MATCH(C1189,Produtos!$A$2:$A$71,0)),"")</f>
        <v/>
      </c>
      <c r="O1189" s="25">
        <f>IFERROR(INDEX(Produtos!$C$2:$C$71,MATCH(C1189,Produtos!$A$2:$A$71,0)),"")</f>
        <v/>
      </c>
      <c r="P1189" s="25">
        <f>IFERROR(INDEX(Produtos!$D$2:$D$71,MATCH(C1189,Produtos!$A$2:$A$71,0)),0)</f>
        <v/>
      </c>
      <c r="Q1189" s="25">
        <f>IFERROR(INDEX(Produtos!$E$2:$E$71,MATCH(C1189,Produtos!$A$2:$A$71,0)),0)</f>
        <v/>
      </c>
      <c r="R1189" s="27">
        <f>D1189*Q1189</f>
        <v/>
      </c>
      <c r="S1189" s="27">
        <f>R1189*E1189</f>
        <v/>
      </c>
      <c r="T1189" s="27">
        <f>(R1189-S1189)*M1189</f>
        <v/>
      </c>
      <c r="U1189" s="27">
        <f>R1189-S1189-T1189</f>
        <v/>
      </c>
      <c r="V1189" s="27">
        <f>D1189*P1189</f>
        <v/>
      </c>
      <c r="W1189" s="27">
        <f>U1189-V1189</f>
        <v/>
      </c>
      <c r="X1189" s="28">
        <f>IFERROR(W1189/U1189,0)</f>
        <v/>
      </c>
    </row>
    <row r="1190">
      <c r="A1190" s="21">
        <f>ItensPedido!A1190</f>
        <v/>
      </c>
      <c r="B1190" s="21">
        <f>ItensPedido!B1190</f>
        <v/>
      </c>
      <c r="C1190" s="21">
        <f>ItensPedido!C1190</f>
        <v/>
      </c>
      <c r="D1190" s="21">
        <f>ItensPedido!D1190</f>
        <v/>
      </c>
      <c r="E1190" s="22">
        <f>ItensPedido!E1190</f>
        <v/>
      </c>
      <c r="F1190" s="21">
        <f>IFERROR(INDEX(Pedidos!$B$2:$B$1801,MATCH(B1190,Pedidos!$A$2:$A$1801,0)),0)</f>
        <v/>
      </c>
      <c r="G1190" s="21">
        <f>IF(F1190=0,"",YEAR(F1190))</f>
        <v/>
      </c>
      <c r="H1190" s="21">
        <f>IF(F1190=0,"",MONTH(F1190))</f>
        <v/>
      </c>
      <c r="I1190" s="21">
        <f>IFERROR(INDEX(Pedidos!$E$2:$E$1801,MATCH(B1190,Pedidos!$A$2:$A$1801,0)),"")</f>
        <v/>
      </c>
      <c r="J1190" s="21">
        <f>IFERROR(INDEX(Pedidos!$C$2:$C$1801,MATCH(B1190,Pedidos!$A$2:$A$1801,0)),"")</f>
        <v/>
      </c>
      <c r="K1190" s="21">
        <f>IFERROR(INDEX(Pedidos!$D$2:$D$1801,MATCH(B1190,Pedidos!$A$2:$A$1801,0)),"")</f>
        <v/>
      </c>
      <c r="L1190" s="21">
        <f>IFERROR(INDEX(Pedidos!$F$2:$F$1801,MATCH(B1190,Pedidos!$A$2:$A$1801,0)),"")</f>
        <v/>
      </c>
      <c r="M1190" s="22">
        <f>IFERROR(INDEX(Pedidos!$G$2:$G$1801,MATCH(B1190,Pedidos!$A$2:$A$1801,0)),0)</f>
        <v/>
      </c>
      <c r="N1190" s="21">
        <f>IFERROR(INDEX(Produtos!$B$2:$B$71,MATCH(C1190,Produtos!$A$2:$A$71,0)),"")</f>
        <v/>
      </c>
      <c r="O1190" s="21">
        <f>IFERROR(INDEX(Produtos!$C$2:$C$71,MATCH(C1190,Produtos!$A$2:$A$71,0)),"")</f>
        <v/>
      </c>
      <c r="P1190" s="21">
        <f>IFERROR(INDEX(Produtos!$D$2:$D$71,MATCH(C1190,Produtos!$A$2:$A$71,0)),0)</f>
        <v/>
      </c>
      <c r="Q1190" s="21">
        <f>IFERROR(INDEX(Produtos!$E$2:$E$71,MATCH(C1190,Produtos!$A$2:$A$71,0)),0)</f>
        <v/>
      </c>
      <c r="R1190" s="23">
        <f>D1190*Q1190</f>
        <v/>
      </c>
      <c r="S1190" s="23">
        <f>R1190*E1190</f>
        <v/>
      </c>
      <c r="T1190" s="23">
        <f>(R1190-S1190)*M1190</f>
        <v/>
      </c>
      <c r="U1190" s="23">
        <f>R1190-S1190-T1190</f>
        <v/>
      </c>
      <c r="V1190" s="23">
        <f>D1190*P1190</f>
        <v/>
      </c>
      <c r="W1190" s="23">
        <f>U1190-V1190</f>
        <v/>
      </c>
      <c r="X1190" s="24">
        <f>IFERROR(W1190/U1190,0)</f>
        <v/>
      </c>
    </row>
    <row r="1191">
      <c r="A1191" s="25">
        <f>ItensPedido!A1191</f>
        <v/>
      </c>
      <c r="B1191" s="25">
        <f>ItensPedido!B1191</f>
        <v/>
      </c>
      <c r="C1191" s="25">
        <f>ItensPedido!C1191</f>
        <v/>
      </c>
      <c r="D1191" s="25">
        <f>ItensPedido!D1191</f>
        <v/>
      </c>
      <c r="E1191" s="26">
        <f>ItensPedido!E1191</f>
        <v/>
      </c>
      <c r="F1191" s="25">
        <f>IFERROR(INDEX(Pedidos!$B$2:$B$1801,MATCH(B1191,Pedidos!$A$2:$A$1801,0)),0)</f>
        <v/>
      </c>
      <c r="G1191" s="25">
        <f>IF(F1191=0,"",YEAR(F1191))</f>
        <v/>
      </c>
      <c r="H1191" s="25">
        <f>IF(F1191=0,"",MONTH(F1191))</f>
        <v/>
      </c>
      <c r="I1191" s="25">
        <f>IFERROR(INDEX(Pedidos!$E$2:$E$1801,MATCH(B1191,Pedidos!$A$2:$A$1801,0)),"")</f>
        <v/>
      </c>
      <c r="J1191" s="25">
        <f>IFERROR(INDEX(Pedidos!$C$2:$C$1801,MATCH(B1191,Pedidos!$A$2:$A$1801,0)),"")</f>
        <v/>
      </c>
      <c r="K1191" s="25">
        <f>IFERROR(INDEX(Pedidos!$D$2:$D$1801,MATCH(B1191,Pedidos!$A$2:$A$1801,0)),"")</f>
        <v/>
      </c>
      <c r="L1191" s="25">
        <f>IFERROR(INDEX(Pedidos!$F$2:$F$1801,MATCH(B1191,Pedidos!$A$2:$A$1801,0)),"")</f>
        <v/>
      </c>
      <c r="M1191" s="26">
        <f>IFERROR(INDEX(Pedidos!$G$2:$G$1801,MATCH(B1191,Pedidos!$A$2:$A$1801,0)),0)</f>
        <v/>
      </c>
      <c r="N1191" s="25">
        <f>IFERROR(INDEX(Produtos!$B$2:$B$71,MATCH(C1191,Produtos!$A$2:$A$71,0)),"")</f>
        <v/>
      </c>
      <c r="O1191" s="25">
        <f>IFERROR(INDEX(Produtos!$C$2:$C$71,MATCH(C1191,Produtos!$A$2:$A$71,0)),"")</f>
        <v/>
      </c>
      <c r="P1191" s="25">
        <f>IFERROR(INDEX(Produtos!$D$2:$D$71,MATCH(C1191,Produtos!$A$2:$A$71,0)),0)</f>
        <v/>
      </c>
      <c r="Q1191" s="25">
        <f>IFERROR(INDEX(Produtos!$E$2:$E$71,MATCH(C1191,Produtos!$A$2:$A$71,0)),0)</f>
        <v/>
      </c>
      <c r="R1191" s="27">
        <f>D1191*Q1191</f>
        <v/>
      </c>
      <c r="S1191" s="27">
        <f>R1191*E1191</f>
        <v/>
      </c>
      <c r="T1191" s="27">
        <f>(R1191-S1191)*M1191</f>
        <v/>
      </c>
      <c r="U1191" s="27">
        <f>R1191-S1191-T1191</f>
        <v/>
      </c>
      <c r="V1191" s="27">
        <f>D1191*P1191</f>
        <v/>
      </c>
      <c r="W1191" s="27">
        <f>U1191-V1191</f>
        <v/>
      </c>
      <c r="X1191" s="28">
        <f>IFERROR(W1191/U1191,0)</f>
        <v/>
      </c>
    </row>
    <row r="1192">
      <c r="A1192" s="21">
        <f>ItensPedido!A1192</f>
        <v/>
      </c>
      <c r="B1192" s="21">
        <f>ItensPedido!B1192</f>
        <v/>
      </c>
      <c r="C1192" s="21">
        <f>ItensPedido!C1192</f>
        <v/>
      </c>
      <c r="D1192" s="21">
        <f>ItensPedido!D1192</f>
        <v/>
      </c>
      <c r="E1192" s="22">
        <f>ItensPedido!E1192</f>
        <v/>
      </c>
      <c r="F1192" s="21">
        <f>IFERROR(INDEX(Pedidos!$B$2:$B$1801,MATCH(B1192,Pedidos!$A$2:$A$1801,0)),0)</f>
        <v/>
      </c>
      <c r="G1192" s="21">
        <f>IF(F1192=0,"",YEAR(F1192))</f>
        <v/>
      </c>
      <c r="H1192" s="21">
        <f>IF(F1192=0,"",MONTH(F1192))</f>
        <v/>
      </c>
      <c r="I1192" s="21">
        <f>IFERROR(INDEX(Pedidos!$E$2:$E$1801,MATCH(B1192,Pedidos!$A$2:$A$1801,0)),"")</f>
        <v/>
      </c>
      <c r="J1192" s="21">
        <f>IFERROR(INDEX(Pedidos!$C$2:$C$1801,MATCH(B1192,Pedidos!$A$2:$A$1801,0)),"")</f>
        <v/>
      </c>
      <c r="K1192" s="21">
        <f>IFERROR(INDEX(Pedidos!$D$2:$D$1801,MATCH(B1192,Pedidos!$A$2:$A$1801,0)),"")</f>
        <v/>
      </c>
      <c r="L1192" s="21">
        <f>IFERROR(INDEX(Pedidos!$F$2:$F$1801,MATCH(B1192,Pedidos!$A$2:$A$1801,0)),"")</f>
        <v/>
      </c>
      <c r="M1192" s="22">
        <f>IFERROR(INDEX(Pedidos!$G$2:$G$1801,MATCH(B1192,Pedidos!$A$2:$A$1801,0)),0)</f>
        <v/>
      </c>
      <c r="N1192" s="21">
        <f>IFERROR(INDEX(Produtos!$B$2:$B$71,MATCH(C1192,Produtos!$A$2:$A$71,0)),"")</f>
        <v/>
      </c>
      <c r="O1192" s="21">
        <f>IFERROR(INDEX(Produtos!$C$2:$C$71,MATCH(C1192,Produtos!$A$2:$A$71,0)),"")</f>
        <v/>
      </c>
      <c r="P1192" s="21">
        <f>IFERROR(INDEX(Produtos!$D$2:$D$71,MATCH(C1192,Produtos!$A$2:$A$71,0)),0)</f>
        <v/>
      </c>
      <c r="Q1192" s="21">
        <f>IFERROR(INDEX(Produtos!$E$2:$E$71,MATCH(C1192,Produtos!$A$2:$A$71,0)),0)</f>
        <v/>
      </c>
      <c r="R1192" s="23">
        <f>D1192*Q1192</f>
        <v/>
      </c>
      <c r="S1192" s="23">
        <f>R1192*E1192</f>
        <v/>
      </c>
      <c r="T1192" s="23">
        <f>(R1192-S1192)*M1192</f>
        <v/>
      </c>
      <c r="U1192" s="23">
        <f>R1192-S1192-T1192</f>
        <v/>
      </c>
      <c r="V1192" s="23">
        <f>D1192*P1192</f>
        <v/>
      </c>
      <c r="W1192" s="23">
        <f>U1192-V1192</f>
        <v/>
      </c>
      <c r="X1192" s="24">
        <f>IFERROR(W1192/U1192,0)</f>
        <v/>
      </c>
    </row>
    <row r="1193">
      <c r="A1193" s="25">
        <f>ItensPedido!A1193</f>
        <v/>
      </c>
      <c r="B1193" s="25">
        <f>ItensPedido!B1193</f>
        <v/>
      </c>
      <c r="C1193" s="25">
        <f>ItensPedido!C1193</f>
        <v/>
      </c>
      <c r="D1193" s="25">
        <f>ItensPedido!D1193</f>
        <v/>
      </c>
      <c r="E1193" s="26">
        <f>ItensPedido!E1193</f>
        <v/>
      </c>
      <c r="F1193" s="25">
        <f>IFERROR(INDEX(Pedidos!$B$2:$B$1801,MATCH(B1193,Pedidos!$A$2:$A$1801,0)),0)</f>
        <v/>
      </c>
      <c r="G1193" s="25">
        <f>IF(F1193=0,"",YEAR(F1193))</f>
        <v/>
      </c>
      <c r="H1193" s="25">
        <f>IF(F1193=0,"",MONTH(F1193))</f>
        <v/>
      </c>
      <c r="I1193" s="25">
        <f>IFERROR(INDEX(Pedidos!$E$2:$E$1801,MATCH(B1193,Pedidos!$A$2:$A$1801,0)),"")</f>
        <v/>
      </c>
      <c r="J1193" s="25">
        <f>IFERROR(INDEX(Pedidos!$C$2:$C$1801,MATCH(B1193,Pedidos!$A$2:$A$1801,0)),"")</f>
        <v/>
      </c>
      <c r="K1193" s="25">
        <f>IFERROR(INDEX(Pedidos!$D$2:$D$1801,MATCH(B1193,Pedidos!$A$2:$A$1801,0)),"")</f>
        <v/>
      </c>
      <c r="L1193" s="25">
        <f>IFERROR(INDEX(Pedidos!$F$2:$F$1801,MATCH(B1193,Pedidos!$A$2:$A$1801,0)),"")</f>
        <v/>
      </c>
      <c r="M1193" s="26">
        <f>IFERROR(INDEX(Pedidos!$G$2:$G$1801,MATCH(B1193,Pedidos!$A$2:$A$1801,0)),0)</f>
        <v/>
      </c>
      <c r="N1193" s="25">
        <f>IFERROR(INDEX(Produtos!$B$2:$B$71,MATCH(C1193,Produtos!$A$2:$A$71,0)),"")</f>
        <v/>
      </c>
      <c r="O1193" s="25">
        <f>IFERROR(INDEX(Produtos!$C$2:$C$71,MATCH(C1193,Produtos!$A$2:$A$71,0)),"")</f>
        <v/>
      </c>
      <c r="P1193" s="25">
        <f>IFERROR(INDEX(Produtos!$D$2:$D$71,MATCH(C1193,Produtos!$A$2:$A$71,0)),0)</f>
        <v/>
      </c>
      <c r="Q1193" s="25">
        <f>IFERROR(INDEX(Produtos!$E$2:$E$71,MATCH(C1193,Produtos!$A$2:$A$71,0)),0)</f>
        <v/>
      </c>
      <c r="R1193" s="27">
        <f>D1193*Q1193</f>
        <v/>
      </c>
      <c r="S1193" s="27">
        <f>R1193*E1193</f>
        <v/>
      </c>
      <c r="T1193" s="27">
        <f>(R1193-S1193)*M1193</f>
        <v/>
      </c>
      <c r="U1193" s="27">
        <f>R1193-S1193-T1193</f>
        <v/>
      </c>
      <c r="V1193" s="27">
        <f>D1193*P1193</f>
        <v/>
      </c>
      <c r="W1193" s="27">
        <f>U1193-V1193</f>
        <v/>
      </c>
      <c r="X1193" s="28">
        <f>IFERROR(W1193/U1193,0)</f>
        <v/>
      </c>
    </row>
    <row r="1194">
      <c r="A1194" s="21">
        <f>ItensPedido!A1194</f>
        <v/>
      </c>
      <c r="B1194" s="21">
        <f>ItensPedido!B1194</f>
        <v/>
      </c>
      <c r="C1194" s="21">
        <f>ItensPedido!C1194</f>
        <v/>
      </c>
      <c r="D1194" s="21">
        <f>ItensPedido!D1194</f>
        <v/>
      </c>
      <c r="E1194" s="22">
        <f>ItensPedido!E1194</f>
        <v/>
      </c>
      <c r="F1194" s="21">
        <f>IFERROR(INDEX(Pedidos!$B$2:$B$1801,MATCH(B1194,Pedidos!$A$2:$A$1801,0)),0)</f>
        <v/>
      </c>
      <c r="G1194" s="21">
        <f>IF(F1194=0,"",YEAR(F1194))</f>
        <v/>
      </c>
      <c r="H1194" s="21">
        <f>IF(F1194=0,"",MONTH(F1194))</f>
        <v/>
      </c>
      <c r="I1194" s="21">
        <f>IFERROR(INDEX(Pedidos!$E$2:$E$1801,MATCH(B1194,Pedidos!$A$2:$A$1801,0)),"")</f>
        <v/>
      </c>
      <c r="J1194" s="21">
        <f>IFERROR(INDEX(Pedidos!$C$2:$C$1801,MATCH(B1194,Pedidos!$A$2:$A$1801,0)),"")</f>
        <v/>
      </c>
      <c r="K1194" s="21">
        <f>IFERROR(INDEX(Pedidos!$D$2:$D$1801,MATCH(B1194,Pedidos!$A$2:$A$1801,0)),"")</f>
        <v/>
      </c>
      <c r="L1194" s="21">
        <f>IFERROR(INDEX(Pedidos!$F$2:$F$1801,MATCH(B1194,Pedidos!$A$2:$A$1801,0)),"")</f>
        <v/>
      </c>
      <c r="M1194" s="22">
        <f>IFERROR(INDEX(Pedidos!$G$2:$G$1801,MATCH(B1194,Pedidos!$A$2:$A$1801,0)),0)</f>
        <v/>
      </c>
      <c r="N1194" s="21">
        <f>IFERROR(INDEX(Produtos!$B$2:$B$71,MATCH(C1194,Produtos!$A$2:$A$71,0)),"")</f>
        <v/>
      </c>
      <c r="O1194" s="21">
        <f>IFERROR(INDEX(Produtos!$C$2:$C$71,MATCH(C1194,Produtos!$A$2:$A$71,0)),"")</f>
        <v/>
      </c>
      <c r="P1194" s="21">
        <f>IFERROR(INDEX(Produtos!$D$2:$D$71,MATCH(C1194,Produtos!$A$2:$A$71,0)),0)</f>
        <v/>
      </c>
      <c r="Q1194" s="21">
        <f>IFERROR(INDEX(Produtos!$E$2:$E$71,MATCH(C1194,Produtos!$A$2:$A$71,0)),0)</f>
        <v/>
      </c>
      <c r="R1194" s="23">
        <f>D1194*Q1194</f>
        <v/>
      </c>
      <c r="S1194" s="23">
        <f>R1194*E1194</f>
        <v/>
      </c>
      <c r="T1194" s="23">
        <f>(R1194-S1194)*M1194</f>
        <v/>
      </c>
      <c r="U1194" s="23">
        <f>R1194-S1194-T1194</f>
        <v/>
      </c>
      <c r="V1194" s="23">
        <f>D1194*P1194</f>
        <v/>
      </c>
      <c r="W1194" s="23">
        <f>U1194-V1194</f>
        <v/>
      </c>
      <c r="X1194" s="24">
        <f>IFERROR(W1194/U1194,0)</f>
        <v/>
      </c>
    </row>
    <row r="1195">
      <c r="A1195" s="25">
        <f>ItensPedido!A1195</f>
        <v/>
      </c>
      <c r="B1195" s="25">
        <f>ItensPedido!B1195</f>
        <v/>
      </c>
      <c r="C1195" s="25">
        <f>ItensPedido!C1195</f>
        <v/>
      </c>
      <c r="D1195" s="25">
        <f>ItensPedido!D1195</f>
        <v/>
      </c>
      <c r="E1195" s="26">
        <f>ItensPedido!E1195</f>
        <v/>
      </c>
      <c r="F1195" s="25">
        <f>IFERROR(INDEX(Pedidos!$B$2:$B$1801,MATCH(B1195,Pedidos!$A$2:$A$1801,0)),0)</f>
        <v/>
      </c>
      <c r="G1195" s="25">
        <f>IF(F1195=0,"",YEAR(F1195))</f>
        <v/>
      </c>
      <c r="H1195" s="25">
        <f>IF(F1195=0,"",MONTH(F1195))</f>
        <v/>
      </c>
      <c r="I1195" s="25">
        <f>IFERROR(INDEX(Pedidos!$E$2:$E$1801,MATCH(B1195,Pedidos!$A$2:$A$1801,0)),"")</f>
        <v/>
      </c>
      <c r="J1195" s="25">
        <f>IFERROR(INDEX(Pedidos!$C$2:$C$1801,MATCH(B1195,Pedidos!$A$2:$A$1801,0)),"")</f>
        <v/>
      </c>
      <c r="K1195" s="25">
        <f>IFERROR(INDEX(Pedidos!$D$2:$D$1801,MATCH(B1195,Pedidos!$A$2:$A$1801,0)),"")</f>
        <v/>
      </c>
      <c r="L1195" s="25">
        <f>IFERROR(INDEX(Pedidos!$F$2:$F$1801,MATCH(B1195,Pedidos!$A$2:$A$1801,0)),"")</f>
        <v/>
      </c>
      <c r="M1195" s="26">
        <f>IFERROR(INDEX(Pedidos!$G$2:$G$1801,MATCH(B1195,Pedidos!$A$2:$A$1801,0)),0)</f>
        <v/>
      </c>
      <c r="N1195" s="25">
        <f>IFERROR(INDEX(Produtos!$B$2:$B$71,MATCH(C1195,Produtos!$A$2:$A$71,0)),"")</f>
        <v/>
      </c>
      <c r="O1195" s="25">
        <f>IFERROR(INDEX(Produtos!$C$2:$C$71,MATCH(C1195,Produtos!$A$2:$A$71,0)),"")</f>
        <v/>
      </c>
      <c r="P1195" s="25">
        <f>IFERROR(INDEX(Produtos!$D$2:$D$71,MATCH(C1195,Produtos!$A$2:$A$71,0)),0)</f>
        <v/>
      </c>
      <c r="Q1195" s="25">
        <f>IFERROR(INDEX(Produtos!$E$2:$E$71,MATCH(C1195,Produtos!$A$2:$A$71,0)),0)</f>
        <v/>
      </c>
      <c r="R1195" s="27">
        <f>D1195*Q1195</f>
        <v/>
      </c>
      <c r="S1195" s="27">
        <f>R1195*E1195</f>
        <v/>
      </c>
      <c r="T1195" s="27">
        <f>(R1195-S1195)*M1195</f>
        <v/>
      </c>
      <c r="U1195" s="27">
        <f>R1195-S1195-T1195</f>
        <v/>
      </c>
      <c r="V1195" s="27">
        <f>D1195*P1195</f>
        <v/>
      </c>
      <c r="W1195" s="27">
        <f>U1195-V1195</f>
        <v/>
      </c>
      <c r="X1195" s="28">
        <f>IFERROR(W1195/U1195,0)</f>
        <v/>
      </c>
    </row>
    <row r="1196">
      <c r="A1196" s="21">
        <f>ItensPedido!A1196</f>
        <v/>
      </c>
      <c r="B1196" s="21">
        <f>ItensPedido!B1196</f>
        <v/>
      </c>
      <c r="C1196" s="21">
        <f>ItensPedido!C1196</f>
        <v/>
      </c>
      <c r="D1196" s="21">
        <f>ItensPedido!D1196</f>
        <v/>
      </c>
      <c r="E1196" s="22">
        <f>ItensPedido!E1196</f>
        <v/>
      </c>
      <c r="F1196" s="21">
        <f>IFERROR(INDEX(Pedidos!$B$2:$B$1801,MATCH(B1196,Pedidos!$A$2:$A$1801,0)),0)</f>
        <v/>
      </c>
      <c r="G1196" s="21">
        <f>IF(F1196=0,"",YEAR(F1196))</f>
        <v/>
      </c>
      <c r="H1196" s="21">
        <f>IF(F1196=0,"",MONTH(F1196))</f>
        <v/>
      </c>
      <c r="I1196" s="21">
        <f>IFERROR(INDEX(Pedidos!$E$2:$E$1801,MATCH(B1196,Pedidos!$A$2:$A$1801,0)),"")</f>
        <v/>
      </c>
      <c r="J1196" s="21">
        <f>IFERROR(INDEX(Pedidos!$C$2:$C$1801,MATCH(B1196,Pedidos!$A$2:$A$1801,0)),"")</f>
        <v/>
      </c>
      <c r="K1196" s="21">
        <f>IFERROR(INDEX(Pedidos!$D$2:$D$1801,MATCH(B1196,Pedidos!$A$2:$A$1801,0)),"")</f>
        <v/>
      </c>
      <c r="L1196" s="21">
        <f>IFERROR(INDEX(Pedidos!$F$2:$F$1801,MATCH(B1196,Pedidos!$A$2:$A$1801,0)),"")</f>
        <v/>
      </c>
      <c r="M1196" s="22">
        <f>IFERROR(INDEX(Pedidos!$G$2:$G$1801,MATCH(B1196,Pedidos!$A$2:$A$1801,0)),0)</f>
        <v/>
      </c>
      <c r="N1196" s="21">
        <f>IFERROR(INDEX(Produtos!$B$2:$B$71,MATCH(C1196,Produtos!$A$2:$A$71,0)),"")</f>
        <v/>
      </c>
      <c r="O1196" s="21">
        <f>IFERROR(INDEX(Produtos!$C$2:$C$71,MATCH(C1196,Produtos!$A$2:$A$71,0)),"")</f>
        <v/>
      </c>
      <c r="P1196" s="21">
        <f>IFERROR(INDEX(Produtos!$D$2:$D$71,MATCH(C1196,Produtos!$A$2:$A$71,0)),0)</f>
        <v/>
      </c>
      <c r="Q1196" s="21">
        <f>IFERROR(INDEX(Produtos!$E$2:$E$71,MATCH(C1196,Produtos!$A$2:$A$71,0)),0)</f>
        <v/>
      </c>
      <c r="R1196" s="23">
        <f>D1196*Q1196</f>
        <v/>
      </c>
      <c r="S1196" s="23">
        <f>R1196*E1196</f>
        <v/>
      </c>
      <c r="T1196" s="23">
        <f>(R1196-S1196)*M1196</f>
        <v/>
      </c>
      <c r="U1196" s="23">
        <f>R1196-S1196-T1196</f>
        <v/>
      </c>
      <c r="V1196" s="23">
        <f>D1196*P1196</f>
        <v/>
      </c>
      <c r="W1196" s="23">
        <f>U1196-V1196</f>
        <v/>
      </c>
      <c r="X1196" s="24">
        <f>IFERROR(W1196/U1196,0)</f>
        <v/>
      </c>
    </row>
    <row r="1197">
      <c r="A1197" s="25">
        <f>ItensPedido!A1197</f>
        <v/>
      </c>
      <c r="B1197" s="25">
        <f>ItensPedido!B1197</f>
        <v/>
      </c>
      <c r="C1197" s="25">
        <f>ItensPedido!C1197</f>
        <v/>
      </c>
      <c r="D1197" s="25">
        <f>ItensPedido!D1197</f>
        <v/>
      </c>
      <c r="E1197" s="26">
        <f>ItensPedido!E1197</f>
        <v/>
      </c>
      <c r="F1197" s="25">
        <f>IFERROR(INDEX(Pedidos!$B$2:$B$1801,MATCH(B1197,Pedidos!$A$2:$A$1801,0)),0)</f>
        <v/>
      </c>
      <c r="G1197" s="25">
        <f>IF(F1197=0,"",YEAR(F1197))</f>
        <v/>
      </c>
      <c r="H1197" s="25">
        <f>IF(F1197=0,"",MONTH(F1197))</f>
        <v/>
      </c>
      <c r="I1197" s="25">
        <f>IFERROR(INDEX(Pedidos!$E$2:$E$1801,MATCH(B1197,Pedidos!$A$2:$A$1801,0)),"")</f>
        <v/>
      </c>
      <c r="J1197" s="25">
        <f>IFERROR(INDEX(Pedidos!$C$2:$C$1801,MATCH(B1197,Pedidos!$A$2:$A$1801,0)),"")</f>
        <v/>
      </c>
      <c r="K1197" s="25">
        <f>IFERROR(INDEX(Pedidos!$D$2:$D$1801,MATCH(B1197,Pedidos!$A$2:$A$1801,0)),"")</f>
        <v/>
      </c>
      <c r="L1197" s="25">
        <f>IFERROR(INDEX(Pedidos!$F$2:$F$1801,MATCH(B1197,Pedidos!$A$2:$A$1801,0)),"")</f>
        <v/>
      </c>
      <c r="M1197" s="26">
        <f>IFERROR(INDEX(Pedidos!$G$2:$G$1801,MATCH(B1197,Pedidos!$A$2:$A$1801,0)),0)</f>
        <v/>
      </c>
      <c r="N1197" s="25">
        <f>IFERROR(INDEX(Produtos!$B$2:$B$71,MATCH(C1197,Produtos!$A$2:$A$71,0)),"")</f>
        <v/>
      </c>
      <c r="O1197" s="25">
        <f>IFERROR(INDEX(Produtos!$C$2:$C$71,MATCH(C1197,Produtos!$A$2:$A$71,0)),"")</f>
        <v/>
      </c>
      <c r="P1197" s="25">
        <f>IFERROR(INDEX(Produtos!$D$2:$D$71,MATCH(C1197,Produtos!$A$2:$A$71,0)),0)</f>
        <v/>
      </c>
      <c r="Q1197" s="25">
        <f>IFERROR(INDEX(Produtos!$E$2:$E$71,MATCH(C1197,Produtos!$A$2:$A$71,0)),0)</f>
        <v/>
      </c>
      <c r="R1197" s="27">
        <f>D1197*Q1197</f>
        <v/>
      </c>
      <c r="S1197" s="27">
        <f>R1197*E1197</f>
        <v/>
      </c>
      <c r="T1197" s="27">
        <f>(R1197-S1197)*M1197</f>
        <v/>
      </c>
      <c r="U1197" s="27">
        <f>R1197-S1197-T1197</f>
        <v/>
      </c>
      <c r="V1197" s="27">
        <f>D1197*P1197</f>
        <v/>
      </c>
      <c r="W1197" s="27">
        <f>U1197-V1197</f>
        <v/>
      </c>
      <c r="X1197" s="28">
        <f>IFERROR(W1197/U1197,0)</f>
        <v/>
      </c>
    </row>
    <row r="1198">
      <c r="A1198" s="21">
        <f>ItensPedido!A1198</f>
        <v/>
      </c>
      <c r="B1198" s="21">
        <f>ItensPedido!B1198</f>
        <v/>
      </c>
      <c r="C1198" s="21">
        <f>ItensPedido!C1198</f>
        <v/>
      </c>
      <c r="D1198" s="21">
        <f>ItensPedido!D1198</f>
        <v/>
      </c>
      <c r="E1198" s="22">
        <f>ItensPedido!E1198</f>
        <v/>
      </c>
      <c r="F1198" s="21">
        <f>IFERROR(INDEX(Pedidos!$B$2:$B$1801,MATCH(B1198,Pedidos!$A$2:$A$1801,0)),0)</f>
        <v/>
      </c>
      <c r="G1198" s="21">
        <f>IF(F1198=0,"",YEAR(F1198))</f>
        <v/>
      </c>
      <c r="H1198" s="21">
        <f>IF(F1198=0,"",MONTH(F1198))</f>
        <v/>
      </c>
      <c r="I1198" s="21">
        <f>IFERROR(INDEX(Pedidos!$E$2:$E$1801,MATCH(B1198,Pedidos!$A$2:$A$1801,0)),"")</f>
        <v/>
      </c>
      <c r="J1198" s="21">
        <f>IFERROR(INDEX(Pedidos!$C$2:$C$1801,MATCH(B1198,Pedidos!$A$2:$A$1801,0)),"")</f>
        <v/>
      </c>
      <c r="K1198" s="21">
        <f>IFERROR(INDEX(Pedidos!$D$2:$D$1801,MATCH(B1198,Pedidos!$A$2:$A$1801,0)),"")</f>
        <v/>
      </c>
      <c r="L1198" s="21">
        <f>IFERROR(INDEX(Pedidos!$F$2:$F$1801,MATCH(B1198,Pedidos!$A$2:$A$1801,0)),"")</f>
        <v/>
      </c>
      <c r="M1198" s="22">
        <f>IFERROR(INDEX(Pedidos!$G$2:$G$1801,MATCH(B1198,Pedidos!$A$2:$A$1801,0)),0)</f>
        <v/>
      </c>
      <c r="N1198" s="21">
        <f>IFERROR(INDEX(Produtos!$B$2:$B$71,MATCH(C1198,Produtos!$A$2:$A$71,0)),"")</f>
        <v/>
      </c>
      <c r="O1198" s="21">
        <f>IFERROR(INDEX(Produtos!$C$2:$C$71,MATCH(C1198,Produtos!$A$2:$A$71,0)),"")</f>
        <v/>
      </c>
      <c r="P1198" s="21">
        <f>IFERROR(INDEX(Produtos!$D$2:$D$71,MATCH(C1198,Produtos!$A$2:$A$71,0)),0)</f>
        <v/>
      </c>
      <c r="Q1198" s="21">
        <f>IFERROR(INDEX(Produtos!$E$2:$E$71,MATCH(C1198,Produtos!$A$2:$A$71,0)),0)</f>
        <v/>
      </c>
      <c r="R1198" s="23">
        <f>D1198*Q1198</f>
        <v/>
      </c>
      <c r="S1198" s="23">
        <f>R1198*E1198</f>
        <v/>
      </c>
      <c r="T1198" s="23">
        <f>(R1198-S1198)*M1198</f>
        <v/>
      </c>
      <c r="U1198" s="23">
        <f>R1198-S1198-T1198</f>
        <v/>
      </c>
      <c r="V1198" s="23">
        <f>D1198*P1198</f>
        <v/>
      </c>
      <c r="W1198" s="23">
        <f>U1198-V1198</f>
        <v/>
      </c>
      <c r="X1198" s="24">
        <f>IFERROR(W1198/U1198,0)</f>
        <v/>
      </c>
    </row>
    <row r="1199">
      <c r="A1199" s="25">
        <f>ItensPedido!A1199</f>
        <v/>
      </c>
      <c r="B1199" s="25">
        <f>ItensPedido!B1199</f>
        <v/>
      </c>
      <c r="C1199" s="25">
        <f>ItensPedido!C1199</f>
        <v/>
      </c>
      <c r="D1199" s="25">
        <f>ItensPedido!D1199</f>
        <v/>
      </c>
      <c r="E1199" s="26">
        <f>ItensPedido!E1199</f>
        <v/>
      </c>
      <c r="F1199" s="25">
        <f>IFERROR(INDEX(Pedidos!$B$2:$B$1801,MATCH(B1199,Pedidos!$A$2:$A$1801,0)),0)</f>
        <v/>
      </c>
      <c r="G1199" s="25">
        <f>IF(F1199=0,"",YEAR(F1199))</f>
        <v/>
      </c>
      <c r="H1199" s="25">
        <f>IF(F1199=0,"",MONTH(F1199))</f>
        <v/>
      </c>
      <c r="I1199" s="25">
        <f>IFERROR(INDEX(Pedidos!$E$2:$E$1801,MATCH(B1199,Pedidos!$A$2:$A$1801,0)),"")</f>
        <v/>
      </c>
      <c r="J1199" s="25">
        <f>IFERROR(INDEX(Pedidos!$C$2:$C$1801,MATCH(B1199,Pedidos!$A$2:$A$1801,0)),"")</f>
        <v/>
      </c>
      <c r="K1199" s="25">
        <f>IFERROR(INDEX(Pedidos!$D$2:$D$1801,MATCH(B1199,Pedidos!$A$2:$A$1801,0)),"")</f>
        <v/>
      </c>
      <c r="L1199" s="25">
        <f>IFERROR(INDEX(Pedidos!$F$2:$F$1801,MATCH(B1199,Pedidos!$A$2:$A$1801,0)),"")</f>
        <v/>
      </c>
      <c r="M1199" s="26">
        <f>IFERROR(INDEX(Pedidos!$G$2:$G$1801,MATCH(B1199,Pedidos!$A$2:$A$1801,0)),0)</f>
        <v/>
      </c>
      <c r="N1199" s="25">
        <f>IFERROR(INDEX(Produtos!$B$2:$B$71,MATCH(C1199,Produtos!$A$2:$A$71,0)),"")</f>
        <v/>
      </c>
      <c r="O1199" s="25">
        <f>IFERROR(INDEX(Produtos!$C$2:$C$71,MATCH(C1199,Produtos!$A$2:$A$71,0)),"")</f>
        <v/>
      </c>
      <c r="P1199" s="25">
        <f>IFERROR(INDEX(Produtos!$D$2:$D$71,MATCH(C1199,Produtos!$A$2:$A$71,0)),0)</f>
        <v/>
      </c>
      <c r="Q1199" s="25">
        <f>IFERROR(INDEX(Produtos!$E$2:$E$71,MATCH(C1199,Produtos!$A$2:$A$71,0)),0)</f>
        <v/>
      </c>
      <c r="R1199" s="27">
        <f>D1199*Q1199</f>
        <v/>
      </c>
      <c r="S1199" s="27">
        <f>R1199*E1199</f>
        <v/>
      </c>
      <c r="T1199" s="27">
        <f>(R1199-S1199)*M1199</f>
        <v/>
      </c>
      <c r="U1199" s="27">
        <f>R1199-S1199-T1199</f>
        <v/>
      </c>
      <c r="V1199" s="27">
        <f>D1199*P1199</f>
        <v/>
      </c>
      <c r="W1199" s="27">
        <f>U1199-V1199</f>
        <v/>
      </c>
      <c r="X1199" s="28">
        <f>IFERROR(W1199/U1199,0)</f>
        <v/>
      </c>
    </row>
    <row r="1200">
      <c r="A1200" s="21">
        <f>ItensPedido!A1200</f>
        <v/>
      </c>
      <c r="B1200" s="21">
        <f>ItensPedido!B1200</f>
        <v/>
      </c>
      <c r="C1200" s="21">
        <f>ItensPedido!C1200</f>
        <v/>
      </c>
      <c r="D1200" s="21">
        <f>ItensPedido!D1200</f>
        <v/>
      </c>
      <c r="E1200" s="22">
        <f>ItensPedido!E1200</f>
        <v/>
      </c>
      <c r="F1200" s="21">
        <f>IFERROR(INDEX(Pedidos!$B$2:$B$1801,MATCH(B1200,Pedidos!$A$2:$A$1801,0)),0)</f>
        <v/>
      </c>
      <c r="G1200" s="21">
        <f>IF(F1200=0,"",YEAR(F1200))</f>
        <v/>
      </c>
      <c r="H1200" s="21">
        <f>IF(F1200=0,"",MONTH(F1200))</f>
        <v/>
      </c>
      <c r="I1200" s="21">
        <f>IFERROR(INDEX(Pedidos!$E$2:$E$1801,MATCH(B1200,Pedidos!$A$2:$A$1801,0)),"")</f>
        <v/>
      </c>
      <c r="J1200" s="21">
        <f>IFERROR(INDEX(Pedidos!$C$2:$C$1801,MATCH(B1200,Pedidos!$A$2:$A$1801,0)),"")</f>
        <v/>
      </c>
      <c r="K1200" s="21">
        <f>IFERROR(INDEX(Pedidos!$D$2:$D$1801,MATCH(B1200,Pedidos!$A$2:$A$1801,0)),"")</f>
        <v/>
      </c>
      <c r="L1200" s="21">
        <f>IFERROR(INDEX(Pedidos!$F$2:$F$1801,MATCH(B1200,Pedidos!$A$2:$A$1801,0)),"")</f>
        <v/>
      </c>
      <c r="M1200" s="22">
        <f>IFERROR(INDEX(Pedidos!$G$2:$G$1801,MATCH(B1200,Pedidos!$A$2:$A$1801,0)),0)</f>
        <v/>
      </c>
      <c r="N1200" s="21">
        <f>IFERROR(INDEX(Produtos!$B$2:$B$71,MATCH(C1200,Produtos!$A$2:$A$71,0)),"")</f>
        <v/>
      </c>
      <c r="O1200" s="21">
        <f>IFERROR(INDEX(Produtos!$C$2:$C$71,MATCH(C1200,Produtos!$A$2:$A$71,0)),"")</f>
        <v/>
      </c>
      <c r="P1200" s="21">
        <f>IFERROR(INDEX(Produtos!$D$2:$D$71,MATCH(C1200,Produtos!$A$2:$A$71,0)),0)</f>
        <v/>
      </c>
      <c r="Q1200" s="21">
        <f>IFERROR(INDEX(Produtos!$E$2:$E$71,MATCH(C1200,Produtos!$A$2:$A$71,0)),0)</f>
        <v/>
      </c>
      <c r="R1200" s="23">
        <f>D1200*Q1200</f>
        <v/>
      </c>
      <c r="S1200" s="23">
        <f>R1200*E1200</f>
        <v/>
      </c>
      <c r="T1200" s="23">
        <f>(R1200-S1200)*M1200</f>
        <v/>
      </c>
      <c r="U1200" s="23">
        <f>R1200-S1200-T1200</f>
        <v/>
      </c>
      <c r="V1200" s="23">
        <f>D1200*P1200</f>
        <v/>
      </c>
      <c r="W1200" s="23">
        <f>U1200-V1200</f>
        <v/>
      </c>
      <c r="X1200" s="24">
        <f>IFERROR(W1200/U1200,0)</f>
        <v/>
      </c>
    </row>
    <row r="1201">
      <c r="A1201" s="25">
        <f>ItensPedido!A1201</f>
        <v/>
      </c>
      <c r="B1201" s="25">
        <f>ItensPedido!B1201</f>
        <v/>
      </c>
      <c r="C1201" s="25">
        <f>ItensPedido!C1201</f>
        <v/>
      </c>
      <c r="D1201" s="25">
        <f>ItensPedido!D1201</f>
        <v/>
      </c>
      <c r="E1201" s="26">
        <f>ItensPedido!E1201</f>
        <v/>
      </c>
      <c r="F1201" s="25">
        <f>IFERROR(INDEX(Pedidos!$B$2:$B$1801,MATCH(B1201,Pedidos!$A$2:$A$1801,0)),0)</f>
        <v/>
      </c>
      <c r="G1201" s="25">
        <f>IF(F1201=0,"",YEAR(F1201))</f>
        <v/>
      </c>
      <c r="H1201" s="25">
        <f>IF(F1201=0,"",MONTH(F1201))</f>
        <v/>
      </c>
      <c r="I1201" s="25">
        <f>IFERROR(INDEX(Pedidos!$E$2:$E$1801,MATCH(B1201,Pedidos!$A$2:$A$1801,0)),"")</f>
        <v/>
      </c>
      <c r="J1201" s="25">
        <f>IFERROR(INDEX(Pedidos!$C$2:$C$1801,MATCH(B1201,Pedidos!$A$2:$A$1801,0)),"")</f>
        <v/>
      </c>
      <c r="K1201" s="25">
        <f>IFERROR(INDEX(Pedidos!$D$2:$D$1801,MATCH(B1201,Pedidos!$A$2:$A$1801,0)),"")</f>
        <v/>
      </c>
      <c r="L1201" s="25">
        <f>IFERROR(INDEX(Pedidos!$F$2:$F$1801,MATCH(B1201,Pedidos!$A$2:$A$1801,0)),"")</f>
        <v/>
      </c>
      <c r="M1201" s="26">
        <f>IFERROR(INDEX(Pedidos!$G$2:$G$1801,MATCH(B1201,Pedidos!$A$2:$A$1801,0)),0)</f>
        <v/>
      </c>
      <c r="N1201" s="25">
        <f>IFERROR(INDEX(Produtos!$B$2:$B$71,MATCH(C1201,Produtos!$A$2:$A$71,0)),"")</f>
        <v/>
      </c>
      <c r="O1201" s="25">
        <f>IFERROR(INDEX(Produtos!$C$2:$C$71,MATCH(C1201,Produtos!$A$2:$A$71,0)),"")</f>
        <v/>
      </c>
      <c r="P1201" s="25">
        <f>IFERROR(INDEX(Produtos!$D$2:$D$71,MATCH(C1201,Produtos!$A$2:$A$71,0)),0)</f>
        <v/>
      </c>
      <c r="Q1201" s="25">
        <f>IFERROR(INDEX(Produtos!$E$2:$E$71,MATCH(C1201,Produtos!$A$2:$A$71,0)),0)</f>
        <v/>
      </c>
      <c r="R1201" s="27">
        <f>D1201*Q1201</f>
        <v/>
      </c>
      <c r="S1201" s="27">
        <f>R1201*E1201</f>
        <v/>
      </c>
      <c r="T1201" s="27">
        <f>(R1201-S1201)*M1201</f>
        <v/>
      </c>
      <c r="U1201" s="27">
        <f>R1201-S1201-T1201</f>
        <v/>
      </c>
      <c r="V1201" s="27">
        <f>D1201*P1201</f>
        <v/>
      </c>
      <c r="W1201" s="27">
        <f>U1201-V1201</f>
        <v/>
      </c>
      <c r="X1201" s="28">
        <f>IFERROR(W1201/U1201,0)</f>
        <v/>
      </c>
    </row>
    <row r="1202">
      <c r="A1202" s="21">
        <f>ItensPedido!A1202</f>
        <v/>
      </c>
      <c r="B1202" s="21">
        <f>ItensPedido!B1202</f>
        <v/>
      </c>
      <c r="C1202" s="21">
        <f>ItensPedido!C1202</f>
        <v/>
      </c>
      <c r="D1202" s="21">
        <f>ItensPedido!D1202</f>
        <v/>
      </c>
      <c r="E1202" s="22">
        <f>ItensPedido!E1202</f>
        <v/>
      </c>
      <c r="F1202" s="21">
        <f>IFERROR(INDEX(Pedidos!$B$2:$B$1801,MATCH(B1202,Pedidos!$A$2:$A$1801,0)),0)</f>
        <v/>
      </c>
      <c r="G1202" s="21">
        <f>IF(F1202=0,"",YEAR(F1202))</f>
        <v/>
      </c>
      <c r="H1202" s="21">
        <f>IF(F1202=0,"",MONTH(F1202))</f>
        <v/>
      </c>
      <c r="I1202" s="21">
        <f>IFERROR(INDEX(Pedidos!$E$2:$E$1801,MATCH(B1202,Pedidos!$A$2:$A$1801,0)),"")</f>
        <v/>
      </c>
      <c r="J1202" s="21">
        <f>IFERROR(INDEX(Pedidos!$C$2:$C$1801,MATCH(B1202,Pedidos!$A$2:$A$1801,0)),"")</f>
        <v/>
      </c>
      <c r="K1202" s="21">
        <f>IFERROR(INDEX(Pedidos!$D$2:$D$1801,MATCH(B1202,Pedidos!$A$2:$A$1801,0)),"")</f>
        <v/>
      </c>
      <c r="L1202" s="21">
        <f>IFERROR(INDEX(Pedidos!$F$2:$F$1801,MATCH(B1202,Pedidos!$A$2:$A$1801,0)),"")</f>
        <v/>
      </c>
      <c r="M1202" s="22">
        <f>IFERROR(INDEX(Pedidos!$G$2:$G$1801,MATCH(B1202,Pedidos!$A$2:$A$1801,0)),0)</f>
        <v/>
      </c>
      <c r="N1202" s="21">
        <f>IFERROR(INDEX(Produtos!$B$2:$B$71,MATCH(C1202,Produtos!$A$2:$A$71,0)),"")</f>
        <v/>
      </c>
      <c r="O1202" s="21">
        <f>IFERROR(INDEX(Produtos!$C$2:$C$71,MATCH(C1202,Produtos!$A$2:$A$71,0)),"")</f>
        <v/>
      </c>
      <c r="P1202" s="21">
        <f>IFERROR(INDEX(Produtos!$D$2:$D$71,MATCH(C1202,Produtos!$A$2:$A$71,0)),0)</f>
        <v/>
      </c>
      <c r="Q1202" s="21">
        <f>IFERROR(INDEX(Produtos!$E$2:$E$71,MATCH(C1202,Produtos!$A$2:$A$71,0)),0)</f>
        <v/>
      </c>
      <c r="R1202" s="23">
        <f>D1202*Q1202</f>
        <v/>
      </c>
      <c r="S1202" s="23">
        <f>R1202*E1202</f>
        <v/>
      </c>
      <c r="T1202" s="23">
        <f>(R1202-S1202)*M1202</f>
        <v/>
      </c>
      <c r="U1202" s="23">
        <f>R1202-S1202-T1202</f>
        <v/>
      </c>
      <c r="V1202" s="23">
        <f>D1202*P1202</f>
        <v/>
      </c>
      <c r="W1202" s="23">
        <f>U1202-V1202</f>
        <v/>
      </c>
      <c r="X1202" s="24">
        <f>IFERROR(W1202/U1202,0)</f>
        <v/>
      </c>
    </row>
    <row r="1203">
      <c r="A1203" s="25">
        <f>ItensPedido!A1203</f>
        <v/>
      </c>
      <c r="B1203" s="25">
        <f>ItensPedido!B1203</f>
        <v/>
      </c>
      <c r="C1203" s="25">
        <f>ItensPedido!C1203</f>
        <v/>
      </c>
      <c r="D1203" s="25">
        <f>ItensPedido!D1203</f>
        <v/>
      </c>
      <c r="E1203" s="26">
        <f>ItensPedido!E1203</f>
        <v/>
      </c>
      <c r="F1203" s="25">
        <f>IFERROR(INDEX(Pedidos!$B$2:$B$1801,MATCH(B1203,Pedidos!$A$2:$A$1801,0)),0)</f>
        <v/>
      </c>
      <c r="G1203" s="25">
        <f>IF(F1203=0,"",YEAR(F1203))</f>
        <v/>
      </c>
      <c r="H1203" s="25">
        <f>IF(F1203=0,"",MONTH(F1203))</f>
        <v/>
      </c>
      <c r="I1203" s="25">
        <f>IFERROR(INDEX(Pedidos!$E$2:$E$1801,MATCH(B1203,Pedidos!$A$2:$A$1801,0)),"")</f>
        <v/>
      </c>
      <c r="J1203" s="25">
        <f>IFERROR(INDEX(Pedidos!$C$2:$C$1801,MATCH(B1203,Pedidos!$A$2:$A$1801,0)),"")</f>
        <v/>
      </c>
      <c r="K1203" s="25">
        <f>IFERROR(INDEX(Pedidos!$D$2:$D$1801,MATCH(B1203,Pedidos!$A$2:$A$1801,0)),"")</f>
        <v/>
      </c>
      <c r="L1203" s="25">
        <f>IFERROR(INDEX(Pedidos!$F$2:$F$1801,MATCH(B1203,Pedidos!$A$2:$A$1801,0)),"")</f>
        <v/>
      </c>
      <c r="M1203" s="26">
        <f>IFERROR(INDEX(Pedidos!$G$2:$G$1801,MATCH(B1203,Pedidos!$A$2:$A$1801,0)),0)</f>
        <v/>
      </c>
      <c r="N1203" s="25">
        <f>IFERROR(INDEX(Produtos!$B$2:$B$71,MATCH(C1203,Produtos!$A$2:$A$71,0)),"")</f>
        <v/>
      </c>
      <c r="O1203" s="25">
        <f>IFERROR(INDEX(Produtos!$C$2:$C$71,MATCH(C1203,Produtos!$A$2:$A$71,0)),"")</f>
        <v/>
      </c>
      <c r="P1203" s="25">
        <f>IFERROR(INDEX(Produtos!$D$2:$D$71,MATCH(C1203,Produtos!$A$2:$A$71,0)),0)</f>
        <v/>
      </c>
      <c r="Q1203" s="25">
        <f>IFERROR(INDEX(Produtos!$E$2:$E$71,MATCH(C1203,Produtos!$A$2:$A$71,0)),0)</f>
        <v/>
      </c>
      <c r="R1203" s="27">
        <f>D1203*Q1203</f>
        <v/>
      </c>
      <c r="S1203" s="27">
        <f>R1203*E1203</f>
        <v/>
      </c>
      <c r="T1203" s="27">
        <f>(R1203-S1203)*M1203</f>
        <v/>
      </c>
      <c r="U1203" s="27">
        <f>R1203-S1203-T1203</f>
        <v/>
      </c>
      <c r="V1203" s="27">
        <f>D1203*P1203</f>
        <v/>
      </c>
      <c r="W1203" s="27">
        <f>U1203-V1203</f>
        <v/>
      </c>
      <c r="X1203" s="28">
        <f>IFERROR(W1203/U1203,0)</f>
        <v/>
      </c>
    </row>
    <row r="1204">
      <c r="A1204" s="21">
        <f>ItensPedido!A1204</f>
        <v/>
      </c>
      <c r="B1204" s="21">
        <f>ItensPedido!B1204</f>
        <v/>
      </c>
      <c r="C1204" s="21">
        <f>ItensPedido!C1204</f>
        <v/>
      </c>
      <c r="D1204" s="21">
        <f>ItensPedido!D1204</f>
        <v/>
      </c>
      <c r="E1204" s="22">
        <f>ItensPedido!E1204</f>
        <v/>
      </c>
      <c r="F1204" s="21">
        <f>IFERROR(INDEX(Pedidos!$B$2:$B$1801,MATCH(B1204,Pedidos!$A$2:$A$1801,0)),0)</f>
        <v/>
      </c>
      <c r="G1204" s="21">
        <f>IF(F1204=0,"",YEAR(F1204))</f>
        <v/>
      </c>
      <c r="H1204" s="21">
        <f>IF(F1204=0,"",MONTH(F1204))</f>
        <v/>
      </c>
      <c r="I1204" s="21">
        <f>IFERROR(INDEX(Pedidos!$E$2:$E$1801,MATCH(B1204,Pedidos!$A$2:$A$1801,0)),"")</f>
        <v/>
      </c>
      <c r="J1204" s="21">
        <f>IFERROR(INDEX(Pedidos!$C$2:$C$1801,MATCH(B1204,Pedidos!$A$2:$A$1801,0)),"")</f>
        <v/>
      </c>
      <c r="K1204" s="21">
        <f>IFERROR(INDEX(Pedidos!$D$2:$D$1801,MATCH(B1204,Pedidos!$A$2:$A$1801,0)),"")</f>
        <v/>
      </c>
      <c r="L1204" s="21">
        <f>IFERROR(INDEX(Pedidos!$F$2:$F$1801,MATCH(B1204,Pedidos!$A$2:$A$1801,0)),"")</f>
        <v/>
      </c>
      <c r="M1204" s="22">
        <f>IFERROR(INDEX(Pedidos!$G$2:$G$1801,MATCH(B1204,Pedidos!$A$2:$A$1801,0)),0)</f>
        <v/>
      </c>
      <c r="N1204" s="21">
        <f>IFERROR(INDEX(Produtos!$B$2:$B$71,MATCH(C1204,Produtos!$A$2:$A$71,0)),"")</f>
        <v/>
      </c>
      <c r="O1204" s="21">
        <f>IFERROR(INDEX(Produtos!$C$2:$C$71,MATCH(C1204,Produtos!$A$2:$A$71,0)),"")</f>
        <v/>
      </c>
      <c r="P1204" s="21">
        <f>IFERROR(INDEX(Produtos!$D$2:$D$71,MATCH(C1204,Produtos!$A$2:$A$71,0)),0)</f>
        <v/>
      </c>
      <c r="Q1204" s="21">
        <f>IFERROR(INDEX(Produtos!$E$2:$E$71,MATCH(C1204,Produtos!$A$2:$A$71,0)),0)</f>
        <v/>
      </c>
      <c r="R1204" s="23">
        <f>D1204*Q1204</f>
        <v/>
      </c>
      <c r="S1204" s="23">
        <f>R1204*E1204</f>
        <v/>
      </c>
      <c r="T1204" s="23">
        <f>(R1204-S1204)*M1204</f>
        <v/>
      </c>
      <c r="U1204" s="23">
        <f>R1204-S1204-T1204</f>
        <v/>
      </c>
      <c r="V1204" s="23">
        <f>D1204*P1204</f>
        <v/>
      </c>
      <c r="W1204" s="23">
        <f>U1204-V1204</f>
        <v/>
      </c>
      <c r="X1204" s="24">
        <f>IFERROR(W1204/U1204,0)</f>
        <v/>
      </c>
    </row>
    <row r="1205">
      <c r="A1205" s="25">
        <f>ItensPedido!A1205</f>
        <v/>
      </c>
      <c r="B1205" s="25">
        <f>ItensPedido!B1205</f>
        <v/>
      </c>
      <c r="C1205" s="25">
        <f>ItensPedido!C1205</f>
        <v/>
      </c>
      <c r="D1205" s="25">
        <f>ItensPedido!D1205</f>
        <v/>
      </c>
      <c r="E1205" s="26">
        <f>ItensPedido!E1205</f>
        <v/>
      </c>
      <c r="F1205" s="25">
        <f>IFERROR(INDEX(Pedidos!$B$2:$B$1801,MATCH(B1205,Pedidos!$A$2:$A$1801,0)),0)</f>
        <v/>
      </c>
      <c r="G1205" s="25">
        <f>IF(F1205=0,"",YEAR(F1205))</f>
        <v/>
      </c>
      <c r="H1205" s="25">
        <f>IF(F1205=0,"",MONTH(F1205))</f>
        <v/>
      </c>
      <c r="I1205" s="25">
        <f>IFERROR(INDEX(Pedidos!$E$2:$E$1801,MATCH(B1205,Pedidos!$A$2:$A$1801,0)),"")</f>
        <v/>
      </c>
      <c r="J1205" s="25">
        <f>IFERROR(INDEX(Pedidos!$C$2:$C$1801,MATCH(B1205,Pedidos!$A$2:$A$1801,0)),"")</f>
        <v/>
      </c>
      <c r="K1205" s="25">
        <f>IFERROR(INDEX(Pedidos!$D$2:$D$1801,MATCH(B1205,Pedidos!$A$2:$A$1801,0)),"")</f>
        <v/>
      </c>
      <c r="L1205" s="25">
        <f>IFERROR(INDEX(Pedidos!$F$2:$F$1801,MATCH(B1205,Pedidos!$A$2:$A$1801,0)),"")</f>
        <v/>
      </c>
      <c r="M1205" s="26">
        <f>IFERROR(INDEX(Pedidos!$G$2:$G$1801,MATCH(B1205,Pedidos!$A$2:$A$1801,0)),0)</f>
        <v/>
      </c>
      <c r="N1205" s="25">
        <f>IFERROR(INDEX(Produtos!$B$2:$B$71,MATCH(C1205,Produtos!$A$2:$A$71,0)),"")</f>
        <v/>
      </c>
      <c r="O1205" s="25">
        <f>IFERROR(INDEX(Produtos!$C$2:$C$71,MATCH(C1205,Produtos!$A$2:$A$71,0)),"")</f>
        <v/>
      </c>
      <c r="P1205" s="25">
        <f>IFERROR(INDEX(Produtos!$D$2:$D$71,MATCH(C1205,Produtos!$A$2:$A$71,0)),0)</f>
        <v/>
      </c>
      <c r="Q1205" s="25">
        <f>IFERROR(INDEX(Produtos!$E$2:$E$71,MATCH(C1205,Produtos!$A$2:$A$71,0)),0)</f>
        <v/>
      </c>
      <c r="R1205" s="27">
        <f>D1205*Q1205</f>
        <v/>
      </c>
      <c r="S1205" s="27">
        <f>R1205*E1205</f>
        <v/>
      </c>
      <c r="T1205" s="27">
        <f>(R1205-S1205)*M1205</f>
        <v/>
      </c>
      <c r="U1205" s="27">
        <f>R1205-S1205-T1205</f>
        <v/>
      </c>
      <c r="V1205" s="27">
        <f>D1205*P1205</f>
        <v/>
      </c>
      <c r="W1205" s="27">
        <f>U1205-V1205</f>
        <v/>
      </c>
      <c r="X1205" s="28">
        <f>IFERROR(W1205/U1205,0)</f>
        <v/>
      </c>
    </row>
    <row r="1206">
      <c r="A1206" s="21">
        <f>ItensPedido!A1206</f>
        <v/>
      </c>
      <c r="B1206" s="21">
        <f>ItensPedido!B1206</f>
        <v/>
      </c>
      <c r="C1206" s="21">
        <f>ItensPedido!C1206</f>
        <v/>
      </c>
      <c r="D1206" s="21">
        <f>ItensPedido!D1206</f>
        <v/>
      </c>
      <c r="E1206" s="22">
        <f>ItensPedido!E1206</f>
        <v/>
      </c>
      <c r="F1206" s="21">
        <f>IFERROR(INDEX(Pedidos!$B$2:$B$1801,MATCH(B1206,Pedidos!$A$2:$A$1801,0)),0)</f>
        <v/>
      </c>
      <c r="G1206" s="21">
        <f>IF(F1206=0,"",YEAR(F1206))</f>
        <v/>
      </c>
      <c r="H1206" s="21">
        <f>IF(F1206=0,"",MONTH(F1206))</f>
        <v/>
      </c>
      <c r="I1206" s="21">
        <f>IFERROR(INDEX(Pedidos!$E$2:$E$1801,MATCH(B1206,Pedidos!$A$2:$A$1801,0)),"")</f>
        <v/>
      </c>
      <c r="J1206" s="21">
        <f>IFERROR(INDEX(Pedidos!$C$2:$C$1801,MATCH(B1206,Pedidos!$A$2:$A$1801,0)),"")</f>
        <v/>
      </c>
      <c r="K1206" s="21">
        <f>IFERROR(INDEX(Pedidos!$D$2:$D$1801,MATCH(B1206,Pedidos!$A$2:$A$1801,0)),"")</f>
        <v/>
      </c>
      <c r="L1206" s="21">
        <f>IFERROR(INDEX(Pedidos!$F$2:$F$1801,MATCH(B1206,Pedidos!$A$2:$A$1801,0)),"")</f>
        <v/>
      </c>
      <c r="M1206" s="22">
        <f>IFERROR(INDEX(Pedidos!$G$2:$G$1801,MATCH(B1206,Pedidos!$A$2:$A$1801,0)),0)</f>
        <v/>
      </c>
      <c r="N1206" s="21">
        <f>IFERROR(INDEX(Produtos!$B$2:$B$71,MATCH(C1206,Produtos!$A$2:$A$71,0)),"")</f>
        <v/>
      </c>
      <c r="O1206" s="21">
        <f>IFERROR(INDEX(Produtos!$C$2:$C$71,MATCH(C1206,Produtos!$A$2:$A$71,0)),"")</f>
        <v/>
      </c>
      <c r="P1206" s="21">
        <f>IFERROR(INDEX(Produtos!$D$2:$D$71,MATCH(C1206,Produtos!$A$2:$A$71,0)),0)</f>
        <v/>
      </c>
      <c r="Q1206" s="21">
        <f>IFERROR(INDEX(Produtos!$E$2:$E$71,MATCH(C1206,Produtos!$A$2:$A$71,0)),0)</f>
        <v/>
      </c>
      <c r="R1206" s="23">
        <f>D1206*Q1206</f>
        <v/>
      </c>
      <c r="S1206" s="23">
        <f>R1206*E1206</f>
        <v/>
      </c>
      <c r="T1206" s="23">
        <f>(R1206-S1206)*M1206</f>
        <v/>
      </c>
      <c r="U1206" s="23">
        <f>R1206-S1206-T1206</f>
        <v/>
      </c>
      <c r="V1206" s="23">
        <f>D1206*P1206</f>
        <v/>
      </c>
      <c r="W1206" s="23">
        <f>U1206-V1206</f>
        <v/>
      </c>
      <c r="X1206" s="24">
        <f>IFERROR(W1206/U1206,0)</f>
        <v/>
      </c>
    </row>
    <row r="1207">
      <c r="A1207" s="25">
        <f>ItensPedido!A1207</f>
        <v/>
      </c>
      <c r="B1207" s="25">
        <f>ItensPedido!B1207</f>
        <v/>
      </c>
      <c r="C1207" s="25">
        <f>ItensPedido!C1207</f>
        <v/>
      </c>
      <c r="D1207" s="25">
        <f>ItensPedido!D1207</f>
        <v/>
      </c>
      <c r="E1207" s="26">
        <f>ItensPedido!E1207</f>
        <v/>
      </c>
      <c r="F1207" s="25">
        <f>IFERROR(INDEX(Pedidos!$B$2:$B$1801,MATCH(B1207,Pedidos!$A$2:$A$1801,0)),0)</f>
        <v/>
      </c>
      <c r="G1207" s="25">
        <f>IF(F1207=0,"",YEAR(F1207))</f>
        <v/>
      </c>
      <c r="H1207" s="25">
        <f>IF(F1207=0,"",MONTH(F1207))</f>
        <v/>
      </c>
      <c r="I1207" s="25">
        <f>IFERROR(INDEX(Pedidos!$E$2:$E$1801,MATCH(B1207,Pedidos!$A$2:$A$1801,0)),"")</f>
        <v/>
      </c>
      <c r="J1207" s="25">
        <f>IFERROR(INDEX(Pedidos!$C$2:$C$1801,MATCH(B1207,Pedidos!$A$2:$A$1801,0)),"")</f>
        <v/>
      </c>
      <c r="K1207" s="25">
        <f>IFERROR(INDEX(Pedidos!$D$2:$D$1801,MATCH(B1207,Pedidos!$A$2:$A$1801,0)),"")</f>
        <v/>
      </c>
      <c r="L1207" s="25">
        <f>IFERROR(INDEX(Pedidos!$F$2:$F$1801,MATCH(B1207,Pedidos!$A$2:$A$1801,0)),"")</f>
        <v/>
      </c>
      <c r="M1207" s="26">
        <f>IFERROR(INDEX(Pedidos!$G$2:$G$1801,MATCH(B1207,Pedidos!$A$2:$A$1801,0)),0)</f>
        <v/>
      </c>
      <c r="N1207" s="25">
        <f>IFERROR(INDEX(Produtos!$B$2:$B$71,MATCH(C1207,Produtos!$A$2:$A$71,0)),"")</f>
        <v/>
      </c>
      <c r="O1207" s="25">
        <f>IFERROR(INDEX(Produtos!$C$2:$C$71,MATCH(C1207,Produtos!$A$2:$A$71,0)),"")</f>
        <v/>
      </c>
      <c r="P1207" s="25">
        <f>IFERROR(INDEX(Produtos!$D$2:$D$71,MATCH(C1207,Produtos!$A$2:$A$71,0)),0)</f>
        <v/>
      </c>
      <c r="Q1207" s="25">
        <f>IFERROR(INDEX(Produtos!$E$2:$E$71,MATCH(C1207,Produtos!$A$2:$A$71,0)),0)</f>
        <v/>
      </c>
      <c r="R1207" s="27">
        <f>D1207*Q1207</f>
        <v/>
      </c>
      <c r="S1207" s="27">
        <f>R1207*E1207</f>
        <v/>
      </c>
      <c r="T1207" s="27">
        <f>(R1207-S1207)*M1207</f>
        <v/>
      </c>
      <c r="U1207" s="27">
        <f>R1207-S1207-T1207</f>
        <v/>
      </c>
      <c r="V1207" s="27">
        <f>D1207*P1207</f>
        <v/>
      </c>
      <c r="W1207" s="27">
        <f>U1207-V1207</f>
        <v/>
      </c>
      <c r="X1207" s="28">
        <f>IFERROR(W1207/U1207,0)</f>
        <v/>
      </c>
    </row>
    <row r="1208">
      <c r="A1208" s="21">
        <f>ItensPedido!A1208</f>
        <v/>
      </c>
      <c r="B1208" s="21">
        <f>ItensPedido!B1208</f>
        <v/>
      </c>
      <c r="C1208" s="21">
        <f>ItensPedido!C1208</f>
        <v/>
      </c>
      <c r="D1208" s="21">
        <f>ItensPedido!D1208</f>
        <v/>
      </c>
      <c r="E1208" s="22">
        <f>ItensPedido!E1208</f>
        <v/>
      </c>
      <c r="F1208" s="21">
        <f>IFERROR(INDEX(Pedidos!$B$2:$B$1801,MATCH(B1208,Pedidos!$A$2:$A$1801,0)),0)</f>
        <v/>
      </c>
      <c r="G1208" s="21">
        <f>IF(F1208=0,"",YEAR(F1208))</f>
        <v/>
      </c>
      <c r="H1208" s="21">
        <f>IF(F1208=0,"",MONTH(F1208))</f>
        <v/>
      </c>
      <c r="I1208" s="21">
        <f>IFERROR(INDEX(Pedidos!$E$2:$E$1801,MATCH(B1208,Pedidos!$A$2:$A$1801,0)),"")</f>
        <v/>
      </c>
      <c r="J1208" s="21">
        <f>IFERROR(INDEX(Pedidos!$C$2:$C$1801,MATCH(B1208,Pedidos!$A$2:$A$1801,0)),"")</f>
        <v/>
      </c>
      <c r="K1208" s="21">
        <f>IFERROR(INDEX(Pedidos!$D$2:$D$1801,MATCH(B1208,Pedidos!$A$2:$A$1801,0)),"")</f>
        <v/>
      </c>
      <c r="L1208" s="21">
        <f>IFERROR(INDEX(Pedidos!$F$2:$F$1801,MATCH(B1208,Pedidos!$A$2:$A$1801,0)),"")</f>
        <v/>
      </c>
      <c r="M1208" s="22">
        <f>IFERROR(INDEX(Pedidos!$G$2:$G$1801,MATCH(B1208,Pedidos!$A$2:$A$1801,0)),0)</f>
        <v/>
      </c>
      <c r="N1208" s="21">
        <f>IFERROR(INDEX(Produtos!$B$2:$B$71,MATCH(C1208,Produtos!$A$2:$A$71,0)),"")</f>
        <v/>
      </c>
      <c r="O1208" s="21">
        <f>IFERROR(INDEX(Produtos!$C$2:$C$71,MATCH(C1208,Produtos!$A$2:$A$71,0)),"")</f>
        <v/>
      </c>
      <c r="P1208" s="21">
        <f>IFERROR(INDEX(Produtos!$D$2:$D$71,MATCH(C1208,Produtos!$A$2:$A$71,0)),0)</f>
        <v/>
      </c>
      <c r="Q1208" s="21">
        <f>IFERROR(INDEX(Produtos!$E$2:$E$71,MATCH(C1208,Produtos!$A$2:$A$71,0)),0)</f>
        <v/>
      </c>
      <c r="R1208" s="23">
        <f>D1208*Q1208</f>
        <v/>
      </c>
      <c r="S1208" s="23">
        <f>R1208*E1208</f>
        <v/>
      </c>
      <c r="T1208" s="23">
        <f>(R1208-S1208)*M1208</f>
        <v/>
      </c>
      <c r="U1208" s="23">
        <f>R1208-S1208-T1208</f>
        <v/>
      </c>
      <c r="V1208" s="23">
        <f>D1208*P1208</f>
        <v/>
      </c>
      <c r="W1208" s="23">
        <f>U1208-V1208</f>
        <v/>
      </c>
      <c r="X1208" s="24">
        <f>IFERROR(W1208/U1208,0)</f>
        <v/>
      </c>
    </row>
    <row r="1209">
      <c r="A1209" s="25">
        <f>ItensPedido!A1209</f>
        <v/>
      </c>
      <c r="B1209" s="25">
        <f>ItensPedido!B1209</f>
        <v/>
      </c>
      <c r="C1209" s="25">
        <f>ItensPedido!C1209</f>
        <v/>
      </c>
      <c r="D1209" s="25">
        <f>ItensPedido!D1209</f>
        <v/>
      </c>
      <c r="E1209" s="26">
        <f>ItensPedido!E1209</f>
        <v/>
      </c>
      <c r="F1209" s="25">
        <f>IFERROR(INDEX(Pedidos!$B$2:$B$1801,MATCH(B1209,Pedidos!$A$2:$A$1801,0)),0)</f>
        <v/>
      </c>
      <c r="G1209" s="25">
        <f>IF(F1209=0,"",YEAR(F1209))</f>
        <v/>
      </c>
      <c r="H1209" s="25">
        <f>IF(F1209=0,"",MONTH(F1209))</f>
        <v/>
      </c>
      <c r="I1209" s="25">
        <f>IFERROR(INDEX(Pedidos!$E$2:$E$1801,MATCH(B1209,Pedidos!$A$2:$A$1801,0)),"")</f>
        <v/>
      </c>
      <c r="J1209" s="25">
        <f>IFERROR(INDEX(Pedidos!$C$2:$C$1801,MATCH(B1209,Pedidos!$A$2:$A$1801,0)),"")</f>
        <v/>
      </c>
      <c r="K1209" s="25">
        <f>IFERROR(INDEX(Pedidos!$D$2:$D$1801,MATCH(B1209,Pedidos!$A$2:$A$1801,0)),"")</f>
        <v/>
      </c>
      <c r="L1209" s="25">
        <f>IFERROR(INDEX(Pedidos!$F$2:$F$1801,MATCH(B1209,Pedidos!$A$2:$A$1801,0)),"")</f>
        <v/>
      </c>
      <c r="M1209" s="26">
        <f>IFERROR(INDEX(Pedidos!$G$2:$G$1801,MATCH(B1209,Pedidos!$A$2:$A$1801,0)),0)</f>
        <v/>
      </c>
      <c r="N1209" s="25">
        <f>IFERROR(INDEX(Produtos!$B$2:$B$71,MATCH(C1209,Produtos!$A$2:$A$71,0)),"")</f>
        <v/>
      </c>
      <c r="O1209" s="25">
        <f>IFERROR(INDEX(Produtos!$C$2:$C$71,MATCH(C1209,Produtos!$A$2:$A$71,0)),"")</f>
        <v/>
      </c>
      <c r="P1209" s="25">
        <f>IFERROR(INDEX(Produtos!$D$2:$D$71,MATCH(C1209,Produtos!$A$2:$A$71,0)),0)</f>
        <v/>
      </c>
      <c r="Q1209" s="25">
        <f>IFERROR(INDEX(Produtos!$E$2:$E$71,MATCH(C1209,Produtos!$A$2:$A$71,0)),0)</f>
        <v/>
      </c>
      <c r="R1209" s="27">
        <f>D1209*Q1209</f>
        <v/>
      </c>
      <c r="S1209" s="27">
        <f>R1209*E1209</f>
        <v/>
      </c>
      <c r="T1209" s="27">
        <f>(R1209-S1209)*M1209</f>
        <v/>
      </c>
      <c r="U1209" s="27">
        <f>R1209-S1209-T1209</f>
        <v/>
      </c>
      <c r="V1209" s="27">
        <f>D1209*P1209</f>
        <v/>
      </c>
      <c r="W1209" s="27">
        <f>U1209-V1209</f>
        <v/>
      </c>
      <c r="X1209" s="28">
        <f>IFERROR(W1209/U1209,0)</f>
        <v/>
      </c>
    </row>
    <row r="1210">
      <c r="A1210" s="21">
        <f>ItensPedido!A1210</f>
        <v/>
      </c>
      <c r="B1210" s="21">
        <f>ItensPedido!B1210</f>
        <v/>
      </c>
      <c r="C1210" s="21">
        <f>ItensPedido!C1210</f>
        <v/>
      </c>
      <c r="D1210" s="21">
        <f>ItensPedido!D1210</f>
        <v/>
      </c>
      <c r="E1210" s="22">
        <f>ItensPedido!E1210</f>
        <v/>
      </c>
      <c r="F1210" s="21">
        <f>IFERROR(INDEX(Pedidos!$B$2:$B$1801,MATCH(B1210,Pedidos!$A$2:$A$1801,0)),0)</f>
        <v/>
      </c>
      <c r="G1210" s="21">
        <f>IF(F1210=0,"",YEAR(F1210))</f>
        <v/>
      </c>
      <c r="H1210" s="21">
        <f>IF(F1210=0,"",MONTH(F1210))</f>
        <v/>
      </c>
      <c r="I1210" s="21">
        <f>IFERROR(INDEX(Pedidos!$E$2:$E$1801,MATCH(B1210,Pedidos!$A$2:$A$1801,0)),"")</f>
        <v/>
      </c>
      <c r="J1210" s="21">
        <f>IFERROR(INDEX(Pedidos!$C$2:$C$1801,MATCH(B1210,Pedidos!$A$2:$A$1801,0)),"")</f>
        <v/>
      </c>
      <c r="K1210" s="21">
        <f>IFERROR(INDEX(Pedidos!$D$2:$D$1801,MATCH(B1210,Pedidos!$A$2:$A$1801,0)),"")</f>
        <v/>
      </c>
      <c r="L1210" s="21">
        <f>IFERROR(INDEX(Pedidos!$F$2:$F$1801,MATCH(B1210,Pedidos!$A$2:$A$1801,0)),"")</f>
        <v/>
      </c>
      <c r="M1210" s="22">
        <f>IFERROR(INDEX(Pedidos!$G$2:$G$1801,MATCH(B1210,Pedidos!$A$2:$A$1801,0)),0)</f>
        <v/>
      </c>
      <c r="N1210" s="21">
        <f>IFERROR(INDEX(Produtos!$B$2:$B$71,MATCH(C1210,Produtos!$A$2:$A$71,0)),"")</f>
        <v/>
      </c>
      <c r="O1210" s="21">
        <f>IFERROR(INDEX(Produtos!$C$2:$C$71,MATCH(C1210,Produtos!$A$2:$A$71,0)),"")</f>
        <v/>
      </c>
      <c r="P1210" s="21">
        <f>IFERROR(INDEX(Produtos!$D$2:$D$71,MATCH(C1210,Produtos!$A$2:$A$71,0)),0)</f>
        <v/>
      </c>
      <c r="Q1210" s="21">
        <f>IFERROR(INDEX(Produtos!$E$2:$E$71,MATCH(C1210,Produtos!$A$2:$A$71,0)),0)</f>
        <v/>
      </c>
      <c r="R1210" s="23">
        <f>D1210*Q1210</f>
        <v/>
      </c>
      <c r="S1210" s="23">
        <f>R1210*E1210</f>
        <v/>
      </c>
      <c r="T1210" s="23">
        <f>(R1210-S1210)*M1210</f>
        <v/>
      </c>
      <c r="U1210" s="23">
        <f>R1210-S1210-T1210</f>
        <v/>
      </c>
      <c r="V1210" s="23">
        <f>D1210*P1210</f>
        <v/>
      </c>
      <c r="W1210" s="23">
        <f>U1210-V1210</f>
        <v/>
      </c>
      <c r="X1210" s="24">
        <f>IFERROR(W1210/U1210,0)</f>
        <v/>
      </c>
    </row>
    <row r="1211">
      <c r="A1211" s="25">
        <f>ItensPedido!A1211</f>
        <v/>
      </c>
      <c r="B1211" s="25">
        <f>ItensPedido!B1211</f>
        <v/>
      </c>
      <c r="C1211" s="25">
        <f>ItensPedido!C1211</f>
        <v/>
      </c>
      <c r="D1211" s="25">
        <f>ItensPedido!D1211</f>
        <v/>
      </c>
      <c r="E1211" s="26">
        <f>ItensPedido!E1211</f>
        <v/>
      </c>
      <c r="F1211" s="25">
        <f>IFERROR(INDEX(Pedidos!$B$2:$B$1801,MATCH(B1211,Pedidos!$A$2:$A$1801,0)),0)</f>
        <v/>
      </c>
      <c r="G1211" s="25">
        <f>IF(F1211=0,"",YEAR(F1211))</f>
        <v/>
      </c>
      <c r="H1211" s="25">
        <f>IF(F1211=0,"",MONTH(F1211))</f>
        <v/>
      </c>
      <c r="I1211" s="25">
        <f>IFERROR(INDEX(Pedidos!$E$2:$E$1801,MATCH(B1211,Pedidos!$A$2:$A$1801,0)),"")</f>
        <v/>
      </c>
      <c r="J1211" s="25">
        <f>IFERROR(INDEX(Pedidos!$C$2:$C$1801,MATCH(B1211,Pedidos!$A$2:$A$1801,0)),"")</f>
        <v/>
      </c>
      <c r="K1211" s="25">
        <f>IFERROR(INDEX(Pedidos!$D$2:$D$1801,MATCH(B1211,Pedidos!$A$2:$A$1801,0)),"")</f>
        <v/>
      </c>
      <c r="L1211" s="25">
        <f>IFERROR(INDEX(Pedidos!$F$2:$F$1801,MATCH(B1211,Pedidos!$A$2:$A$1801,0)),"")</f>
        <v/>
      </c>
      <c r="M1211" s="26">
        <f>IFERROR(INDEX(Pedidos!$G$2:$G$1801,MATCH(B1211,Pedidos!$A$2:$A$1801,0)),0)</f>
        <v/>
      </c>
      <c r="N1211" s="25">
        <f>IFERROR(INDEX(Produtos!$B$2:$B$71,MATCH(C1211,Produtos!$A$2:$A$71,0)),"")</f>
        <v/>
      </c>
      <c r="O1211" s="25">
        <f>IFERROR(INDEX(Produtos!$C$2:$C$71,MATCH(C1211,Produtos!$A$2:$A$71,0)),"")</f>
        <v/>
      </c>
      <c r="P1211" s="25">
        <f>IFERROR(INDEX(Produtos!$D$2:$D$71,MATCH(C1211,Produtos!$A$2:$A$71,0)),0)</f>
        <v/>
      </c>
      <c r="Q1211" s="25">
        <f>IFERROR(INDEX(Produtos!$E$2:$E$71,MATCH(C1211,Produtos!$A$2:$A$71,0)),0)</f>
        <v/>
      </c>
      <c r="R1211" s="27">
        <f>D1211*Q1211</f>
        <v/>
      </c>
      <c r="S1211" s="27">
        <f>R1211*E1211</f>
        <v/>
      </c>
      <c r="T1211" s="27">
        <f>(R1211-S1211)*M1211</f>
        <v/>
      </c>
      <c r="U1211" s="27">
        <f>R1211-S1211-T1211</f>
        <v/>
      </c>
      <c r="V1211" s="27">
        <f>D1211*P1211</f>
        <v/>
      </c>
      <c r="W1211" s="27">
        <f>U1211-V1211</f>
        <v/>
      </c>
      <c r="X1211" s="28">
        <f>IFERROR(W1211/U1211,0)</f>
        <v/>
      </c>
    </row>
    <row r="1212">
      <c r="A1212" s="21">
        <f>ItensPedido!A1212</f>
        <v/>
      </c>
      <c r="B1212" s="21">
        <f>ItensPedido!B1212</f>
        <v/>
      </c>
      <c r="C1212" s="21">
        <f>ItensPedido!C1212</f>
        <v/>
      </c>
      <c r="D1212" s="21">
        <f>ItensPedido!D1212</f>
        <v/>
      </c>
      <c r="E1212" s="22">
        <f>ItensPedido!E1212</f>
        <v/>
      </c>
      <c r="F1212" s="21">
        <f>IFERROR(INDEX(Pedidos!$B$2:$B$1801,MATCH(B1212,Pedidos!$A$2:$A$1801,0)),0)</f>
        <v/>
      </c>
      <c r="G1212" s="21">
        <f>IF(F1212=0,"",YEAR(F1212))</f>
        <v/>
      </c>
      <c r="H1212" s="21">
        <f>IF(F1212=0,"",MONTH(F1212))</f>
        <v/>
      </c>
      <c r="I1212" s="21">
        <f>IFERROR(INDEX(Pedidos!$E$2:$E$1801,MATCH(B1212,Pedidos!$A$2:$A$1801,0)),"")</f>
        <v/>
      </c>
      <c r="J1212" s="21">
        <f>IFERROR(INDEX(Pedidos!$C$2:$C$1801,MATCH(B1212,Pedidos!$A$2:$A$1801,0)),"")</f>
        <v/>
      </c>
      <c r="K1212" s="21">
        <f>IFERROR(INDEX(Pedidos!$D$2:$D$1801,MATCH(B1212,Pedidos!$A$2:$A$1801,0)),"")</f>
        <v/>
      </c>
      <c r="L1212" s="21">
        <f>IFERROR(INDEX(Pedidos!$F$2:$F$1801,MATCH(B1212,Pedidos!$A$2:$A$1801,0)),"")</f>
        <v/>
      </c>
      <c r="M1212" s="22">
        <f>IFERROR(INDEX(Pedidos!$G$2:$G$1801,MATCH(B1212,Pedidos!$A$2:$A$1801,0)),0)</f>
        <v/>
      </c>
      <c r="N1212" s="21">
        <f>IFERROR(INDEX(Produtos!$B$2:$B$71,MATCH(C1212,Produtos!$A$2:$A$71,0)),"")</f>
        <v/>
      </c>
      <c r="O1212" s="21">
        <f>IFERROR(INDEX(Produtos!$C$2:$C$71,MATCH(C1212,Produtos!$A$2:$A$71,0)),"")</f>
        <v/>
      </c>
      <c r="P1212" s="21">
        <f>IFERROR(INDEX(Produtos!$D$2:$D$71,MATCH(C1212,Produtos!$A$2:$A$71,0)),0)</f>
        <v/>
      </c>
      <c r="Q1212" s="21">
        <f>IFERROR(INDEX(Produtos!$E$2:$E$71,MATCH(C1212,Produtos!$A$2:$A$71,0)),0)</f>
        <v/>
      </c>
      <c r="R1212" s="23">
        <f>D1212*Q1212</f>
        <v/>
      </c>
      <c r="S1212" s="23">
        <f>R1212*E1212</f>
        <v/>
      </c>
      <c r="T1212" s="23">
        <f>(R1212-S1212)*M1212</f>
        <v/>
      </c>
      <c r="U1212" s="23">
        <f>R1212-S1212-T1212</f>
        <v/>
      </c>
      <c r="V1212" s="23">
        <f>D1212*P1212</f>
        <v/>
      </c>
      <c r="W1212" s="23">
        <f>U1212-V1212</f>
        <v/>
      </c>
      <c r="X1212" s="24">
        <f>IFERROR(W1212/U1212,0)</f>
        <v/>
      </c>
    </row>
    <row r="1213">
      <c r="A1213" s="25">
        <f>ItensPedido!A1213</f>
        <v/>
      </c>
      <c r="B1213" s="25">
        <f>ItensPedido!B1213</f>
        <v/>
      </c>
      <c r="C1213" s="25">
        <f>ItensPedido!C1213</f>
        <v/>
      </c>
      <c r="D1213" s="25">
        <f>ItensPedido!D1213</f>
        <v/>
      </c>
      <c r="E1213" s="26">
        <f>ItensPedido!E1213</f>
        <v/>
      </c>
      <c r="F1213" s="25">
        <f>IFERROR(INDEX(Pedidos!$B$2:$B$1801,MATCH(B1213,Pedidos!$A$2:$A$1801,0)),0)</f>
        <v/>
      </c>
      <c r="G1213" s="25">
        <f>IF(F1213=0,"",YEAR(F1213))</f>
        <v/>
      </c>
      <c r="H1213" s="25">
        <f>IF(F1213=0,"",MONTH(F1213))</f>
        <v/>
      </c>
      <c r="I1213" s="25">
        <f>IFERROR(INDEX(Pedidos!$E$2:$E$1801,MATCH(B1213,Pedidos!$A$2:$A$1801,0)),"")</f>
        <v/>
      </c>
      <c r="J1213" s="25">
        <f>IFERROR(INDEX(Pedidos!$C$2:$C$1801,MATCH(B1213,Pedidos!$A$2:$A$1801,0)),"")</f>
        <v/>
      </c>
      <c r="K1213" s="25">
        <f>IFERROR(INDEX(Pedidos!$D$2:$D$1801,MATCH(B1213,Pedidos!$A$2:$A$1801,0)),"")</f>
        <v/>
      </c>
      <c r="L1213" s="25">
        <f>IFERROR(INDEX(Pedidos!$F$2:$F$1801,MATCH(B1213,Pedidos!$A$2:$A$1801,0)),"")</f>
        <v/>
      </c>
      <c r="M1213" s="26">
        <f>IFERROR(INDEX(Pedidos!$G$2:$G$1801,MATCH(B1213,Pedidos!$A$2:$A$1801,0)),0)</f>
        <v/>
      </c>
      <c r="N1213" s="25">
        <f>IFERROR(INDEX(Produtos!$B$2:$B$71,MATCH(C1213,Produtos!$A$2:$A$71,0)),"")</f>
        <v/>
      </c>
      <c r="O1213" s="25">
        <f>IFERROR(INDEX(Produtos!$C$2:$C$71,MATCH(C1213,Produtos!$A$2:$A$71,0)),"")</f>
        <v/>
      </c>
      <c r="P1213" s="25">
        <f>IFERROR(INDEX(Produtos!$D$2:$D$71,MATCH(C1213,Produtos!$A$2:$A$71,0)),0)</f>
        <v/>
      </c>
      <c r="Q1213" s="25">
        <f>IFERROR(INDEX(Produtos!$E$2:$E$71,MATCH(C1213,Produtos!$A$2:$A$71,0)),0)</f>
        <v/>
      </c>
      <c r="R1213" s="27">
        <f>D1213*Q1213</f>
        <v/>
      </c>
      <c r="S1213" s="27">
        <f>R1213*E1213</f>
        <v/>
      </c>
      <c r="T1213" s="27">
        <f>(R1213-S1213)*M1213</f>
        <v/>
      </c>
      <c r="U1213" s="27">
        <f>R1213-S1213-T1213</f>
        <v/>
      </c>
      <c r="V1213" s="27">
        <f>D1213*P1213</f>
        <v/>
      </c>
      <c r="W1213" s="27">
        <f>U1213-V1213</f>
        <v/>
      </c>
      <c r="X1213" s="28">
        <f>IFERROR(W1213/U1213,0)</f>
        <v/>
      </c>
    </row>
    <row r="1214">
      <c r="A1214" s="21">
        <f>ItensPedido!A1214</f>
        <v/>
      </c>
      <c r="B1214" s="21">
        <f>ItensPedido!B1214</f>
        <v/>
      </c>
      <c r="C1214" s="21">
        <f>ItensPedido!C1214</f>
        <v/>
      </c>
      <c r="D1214" s="21">
        <f>ItensPedido!D1214</f>
        <v/>
      </c>
      <c r="E1214" s="22">
        <f>ItensPedido!E1214</f>
        <v/>
      </c>
      <c r="F1214" s="21">
        <f>IFERROR(INDEX(Pedidos!$B$2:$B$1801,MATCH(B1214,Pedidos!$A$2:$A$1801,0)),0)</f>
        <v/>
      </c>
      <c r="G1214" s="21">
        <f>IF(F1214=0,"",YEAR(F1214))</f>
        <v/>
      </c>
      <c r="H1214" s="21">
        <f>IF(F1214=0,"",MONTH(F1214))</f>
        <v/>
      </c>
      <c r="I1214" s="21">
        <f>IFERROR(INDEX(Pedidos!$E$2:$E$1801,MATCH(B1214,Pedidos!$A$2:$A$1801,0)),"")</f>
        <v/>
      </c>
      <c r="J1214" s="21">
        <f>IFERROR(INDEX(Pedidos!$C$2:$C$1801,MATCH(B1214,Pedidos!$A$2:$A$1801,0)),"")</f>
        <v/>
      </c>
      <c r="K1214" s="21">
        <f>IFERROR(INDEX(Pedidos!$D$2:$D$1801,MATCH(B1214,Pedidos!$A$2:$A$1801,0)),"")</f>
        <v/>
      </c>
      <c r="L1214" s="21">
        <f>IFERROR(INDEX(Pedidos!$F$2:$F$1801,MATCH(B1214,Pedidos!$A$2:$A$1801,0)),"")</f>
        <v/>
      </c>
      <c r="M1214" s="22">
        <f>IFERROR(INDEX(Pedidos!$G$2:$G$1801,MATCH(B1214,Pedidos!$A$2:$A$1801,0)),0)</f>
        <v/>
      </c>
      <c r="N1214" s="21">
        <f>IFERROR(INDEX(Produtos!$B$2:$B$71,MATCH(C1214,Produtos!$A$2:$A$71,0)),"")</f>
        <v/>
      </c>
      <c r="O1214" s="21">
        <f>IFERROR(INDEX(Produtos!$C$2:$C$71,MATCH(C1214,Produtos!$A$2:$A$71,0)),"")</f>
        <v/>
      </c>
      <c r="P1214" s="21">
        <f>IFERROR(INDEX(Produtos!$D$2:$D$71,MATCH(C1214,Produtos!$A$2:$A$71,0)),0)</f>
        <v/>
      </c>
      <c r="Q1214" s="21">
        <f>IFERROR(INDEX(Produtos!$E$2:$E$71,MATCH(C1214,Produtos!$A$2:$A$71,0)),0)</f>
        <v/>
      </c>
      <c r="R1214" s="23">
        <f>D1214*Q1214</f>
        <v/>
      </c>
      <c r="S1214" s="23">
        <f>R1214*E1214</f>
        <v/>
      </c>
      <c r="T1214" s="23">
        <f>(R1214-S1214)*M1214</f>
        <v/>
      </c>
      <c r="U1214" s="23">
        <f>R1214-S1214-T1214</f>
        <v/>
      </c>
      <c r="V1214" s="23">
        <f>D1214*P1214</f>
        <v/>
      </c>
      <c r="W1214" s="23">
        <f>U1214-V1214</f>
        <v/>
      </c>
      <c r="X1214" s="24">
        <f>IFERROR(W1214/U1214,0)</f>
        <v/>
      </c>
    </row>
    <row r="1215">
      <c r="A1215" s="25">
        <f>ItensPedido!A1215</f>
        <v/>
      </c>
      <c r="B1215" s="25">
        <f>ItensPedido!B1215</f>
        <v/>
      </c>
      <c r="C1215" s="25">
        <f>ItensPedido!C1215</f>
        <v/>
      </c>
      <c r="D1215" s="25">
        <f>ItensPedido!D1215</f>
        <v/>
      </c>
      <c r="E1215" s="26">
        <f>ItensPedido!E1215</f>
        <v/>
      </c>
      <c r="F1215" s="25">
        <f>IFERROR(INDEX(Pedidos!$B$2:$B$1801,MATCH(B1215,Pedidos!$A$2:$A$1801,0)),0)</f>
        <v/>
      </c>
      <c r="G1215" s="25">
        <f>IF(F1215=0,"",YEAR(F1215))</f>
        <v/>
      </c>
      <c r="H1215" s="25">
        <f>IF(F1215=0,"",MONTH(F1215))</f>
        <v/>
      </c>
      <c r="I1215" s="25">
        <f>IFERROR(INDEX(Pedidos!$E$2:$E$1801,MATCH(B1215,Pedidos!$A$2:$A$1801,0)),"")</f>
        <v/>
      </c>
      <c r="J1215" s="25">
        <f>IFERROR(INDEX(Pedidos!$C$2:$C$1801,MATCH(B1215,Pedidos!$A$2:$A$1801,0)),"")</f>
        <v/>
      </c>
      <c r="K1215" s="25">
        <f>IFERROR(INDEX(Pedidos!$D$2:$D$1801,MATCH(B1215,Pedidos!$A$2:$A$1801,0)),"")</f>
        <v/>
      </c>
      <c r="L1215" s="25">
        <f>IFERROR(INDEX(Pedidos!$F$2:$F$1801,MATCH(B1215,Pedidos!$A$2:$A$1801,0)),"")</f>
        <v/>
      </c>
      <c r="M1215" s="26">
        <f>IFERROR(INDEX(Pedidos!$G$2:$G$1801,MATCH(B1215,Pedidos!$A$2:$A$1801,0)),0)</f>
        <v/>
      </c>
      <c r="N1215" s="25">
        <f>IFERROR(INDEX(Produtos!$B$2:$B$71,MATCH(C1215,Produtos!$A$2:$A$71,0)),"")</f>
        <v/>
      </c>
      <c r="O1215" s="25">
        <f>IFERROR(INDEX(Produtos!$C$2:$C$71,MATCH(C1215,Produtos!$A$2:$A$71,0)),"")</f>
        <v/>
      </c>
      <c r="P1215" s="25">
        <f>IFERROR(INDEX(Produtos!$D$2:$D$71,MATCH(C1215,Produtos!$A$2:$A$71,0)),0)</f>
        <v/>
      </c>
      <c r="Q1215" s="25">
        <f>IFERROR(INDEX(Produtos!$E$2:$E$71,MATCH(C1215,Produtos!$A$2:$A$71,0)),0)</f>
        <v/>
      </c>
      <c r="R1215" s="27">
        <f>D1215*Q1215</f>
        <v/>
      </c>
      <c r="S1215" s="27">
        <f>R1215*E1215</f>
        <v/>
      </c>
      <c r="T1215" s="27">
        <f>(R1215-S1215)*M1215</f>
        <v/>
      </c>
      <c r="U1215" s="27">
        <f>R1215-S1215-T1215</f>
        <v/>
      </c>
      <c r="V1215" s="27">
        <f>D1215*P1215</f>
        <v/>
      </c>
      <c r="W1215" s="27">
        <f>U1215-V1215</f>
        <v/>
      </c>
      <c r="X1215" s="28">
        <f>IFERROR(W1215/U1215,0)</f>
        <v/>
      </c>
    </row>
    <row r="1216">
      <c r="A1216" s="21">
        <f>ItensPedido!A1216</f>
        <v/>
      </c>
      <c r="B1216" s="21">
        <f>ItensPedido!B1216</f>
        <v/>
      </c>
      <c r="C1216" s="21">
        <f>ItensPedido!C1216</f>
        <v/>
      </c>
      <c r="D1216" s="21">
        <f>ItensPedido!D1216</f>
        <v/>
      </c>
      <c r="E1216" s="22">
        <f>ItensPedido!E1216</f>
        <v/>
      </c>
      <c r="F1216" s="21">
        <f>IFERROR(INDEX(Pedidos!$B$2:$B$1801,MATCH(B1216,Pedidos!$A$2:$A$1801,0)),0)</f>
        <v/>
      </c>
      <c r="G1216" s="21">
        <f>IF(F1216=0,"",YEAR(F1216))</f>
        <v/>
      </c>
      <c r="H1216" s="21">
        <f>IF(F1216=0,"",MONTH(F1216))</f>
        <v/>
      </c>
      <c r="I1216" s="21">
        <f>IFERROR(INDEX(Pedidos!$E$2:$E$1801,MATCH(B1216,Pedidos!$A$2:$A$1801,0)),"")</f>
        <v/>
      </c>
      <c r="J1216" s="21">
        <f>IFERROR(INDEX(Pedidos!$C$2:$C$1801,MATCH(B1216,Pedidos!$A$2:$A$1801,0)),"")</f>
        <v/>
      </c>
      <c r="K1216" s="21">
        <f>IFERROR(INDEX(Pedidos!$D$2:$D$1801,MATCH(B1216,Pedidos!$A$2:$A$1801,0)),"")</f>
        <v/>
      </c>
      <c r="L1216" s="21">
        <f>IFERROR(INDEX(Pedidos!$F$2:$F$1801,MATCH(B1216,Pedidos!$A$2:$A$1801,0)),"")</f>
        <v/>
      </c>
      <c r="M1216" s="22">
        <f>IFERROR(INDEX(Pedidos!$G$2:$G$1801,MATCH(B1216,Pedidos!$A$2:$A$1801,0)),0)</f>
        <v/>
      </c>
      <c r="N1216" s="21">
        <f>IFERROR(INDEX(Produtos!$B$2:$B$71,MATCH(C1216,Produtos!$A$2:$A$71,0)),"")</f>
        <v/>
      </c>
      <c r="O1216" s="21">
        <f>IFERROR(INDEX(Produtos!$C$2:$C$71,MATCH(C1216,Produtos!$A$2:$A$71,0)),"")</f>
        <v/>
      </c>
      <c r="P1216" s="21">
        <f>IFERROR(INDEX(Produtos!$D$2:$D$71,MATCH(C1216,Produtos!$A$2:$A$71,0)),0)</f>
        <v/>
      </c>
      <c r="Q1216" s="21">
        <f>IFERROR(INDEX(Produtos!$E$2:$E$71,MATCH(C1216,Produtos!$A$2:$A$71,0)),0)</f>
        <v/>
      </c>
      <c r="R1216" s="23">
        <f>D1216*Q1216</f>
        <v/>
      </c>
      <c r="S1216" s="23">
        <f>R1216*E1216</f>
        <v/>
      </c>
      <c r="T1216" s="23">
        <f>(R1216-S1216)*M1216</f>
        <v/>
      </c>
      <c r="U1216" s="23">
        <f>R1216-S1216-T1216</f>
        <v/>
      </c>
      <c r="V1216" s="23">
        <f>D1216*P1216</f>
        <v/>
      </c>
      <c r="W1216" s="23">
        <f>U1216-V1216</f>
        <v/>
      </c>
      <c r="X1216" s="24">
        <f>IFERROR(W1216/U1216,0)</f>
        <v/>
      </c>
    </row>
    <row r="1217">
      <c r="A1217" s="25">
        <f>ItensPedido!A1217</f>
        <v/>
      </c>
      <c r="B1217" s="25">
        <f>ItensPedido!B1217</f>
        <v/>
      </c>
      <c r="C1217" s="25">
        <f>ItensPedido!C1217</f>
        <v/>
      </c>
      <c r="D1217" s="25">
        <f>ItensPedido!D1217</f>
        <v/>
      </c>
      <c r="E1217" s="26">
        <f>ItensPedido!E1217</f>
        <v/>
      </c>
      <c r="F1217" s="25">
        <f>IFERROR(INDEX(Pedidos!$B$2:$B$1801,MATCH(B1217,Pedidos!$A$2:$A$1801,0)),0)</f>
        <v/>
      </c>
      <c r="G1217" s="25">
        <f>IF(F1217=0,"",YEAR(F1217))</f>
        <v/>
      </c>
      <c r="H1217" s="25">
        <f>IF(F1217=0,"",MONTH(F1217))</f>
        <v/>
      </c>
      <c r="I1217" s="25">
        <f>IFERROR(INDEX(Pedidos!$E$2:$E$1801,MATCH(B1217,Pedidos!$A$2:$A$1801,0)),"")</f>
        <v/>
      </c>
      <c r="J1217" s="25">
        <f>IFERROR(INDEX(Pedidos!$C$2:$C$1801,MATCH(B1217,Pedidos!$A$2:$A$1801,0)),"")</f>
        <v/>
      </c>
      <c r="K1217" s="25">
        <f>IFERROR(INDEX(Pedidos!$D$2:$D$1801,MATCH(B1217,Pedidos!$A$2:$A$1801,0)),"")</f>
        <v/>
      </c>
      <c r="L1217" s="25">
        <f>IFERROR(INDEX(Pedidos!$F$2:$F$1801,MATCH(B1217,Pedidos!$A$2:$A$1801,0)),"")</f>
        <v/>
      </c>
      <c r="M1217" s="26">
        <f>IFERROR(INDEX(Pedidos!$G$2:$G$1801,MATCH(B1217,Pedidos!$A$2:$A$1801,0)),0)</f>
        <v/>
      </c>
      <c r="N1217" s="25">
        <f>IFERROR(INDEX(Produtos!$B$2:$B$71,MATCH(C1217,Produtos!$A$2:$A$71,0)),"")</f>
        <v/>
      </c>
      <c r="O1217" s="25">
        <f>IFERROR(INDEX(Produtos!$C$2:$C$71,MATCH(C1217,Produtos!$A$2:$A$71,0)),"")</f>
        <v/>
      </c>
      <c r="P1217" s="25">
        <f>IFERROR(INDEX(Produtos!$D$2:$D$71,MATCH(C1217,Produtos!$A$2:$A$71,0)),0)</f>
        <v/>
      </c>
      <c r="Q1217" s="25">
        <f>IFERROR(INDEX(Produtos!$E$2:$E$71,MATCH(C1217,Produtos!$A$2:$A$71,0)),0)</f>
        <v/>
      </c>
      <c r="R1217" s="27">
        <f>D1217*Q1217</f>
        <v/>
      </c>
      <c r="S1217" s="27">
        <f>R1217*E1217</f>
        <v/>
      </c>
      <c r="T1217" s="27">
        <f>(R1217-S1217)*M1217</f>
        <v/>
      </c>
      <c r="U1217" s="27">
        <f>R1217-S1217-T1217</f>
        <v/>
      </c>
      <c r="V1217" s="27">
        <f>D1217*P1217</f>
        <v/>
      </c>
      <c r="W1217" s="27">
        <f>U1217-V1217</f>
        <v/>
      </c>
      <c r="X1217" s="28">
        <f>IFERROR(W1217/U1217,0)</f>
        <v/>
      </c>
    </row>
    <row r="1218">
      <c r="A1218" s="21">
        <f>ItensPedido!A1218</f>
        <v/>
      </c>
      <c r="B1218" s="21">
        <f>ItensPedido!B1218</f>
        <v/>
      </c>
      <c r="C1218" s="21">
        <f>ItensPedido!C1218</f>
        <v/>
      </c>
      <c r="D1218" s="21">
        <f>ItensPedido!D1218</f>
        <v/>
      </c>
      <c r="E1218" s="22">
        <f>ItensPedido!E1218</f>
        <v/>
      </c>
      <c r="F1218" s="21">
        <f>IFERROR(INDEX(Pedidos!$B$2:$B$1801,MATCH(B1218,Pedidos!$A$2:$A$1801,0)),0)</f>
        <v/>
      </c>
      <c r="G1218" s="21">
        <f>IF(F1218=0,"",YEAR(F1218))</f>
        <v/>
      </c>
      <c r="H1218" s="21">
        <f>IF(F1218=0,"",MONTH(F1218))</f>
        <v/>
      </c>
      <c r="I1218" s="21">
        <f>IFERROR(INDEX(Pedidos!$E$2:$E$1801,MATCH(B1218,Pedidos!$A$2:$A$1801,0)),"")</f>
        <v/>
      </c>
      <c r="J1218" s="21">
        <f>IFERROR(INDEX(Pedidos!$C$2:$C$1801,MATCH(B1218,Pedidos!$A$2:$A$1801,0)),"")</f>
        <v/>
      </c>
      <c r="K1218" s="21">
        <f>IFERROR(INDEX(Pedidos!$D$2:$D$1801,MATCH(B1218,Pedidos!$A$2:$A$1801,0)),"")</f>
        <v/>
      </c>
      <c r="L1218" s="21">
        <f>IFERROR(INDEX(Pedidos!$F$2:$F$1801,MATCH(B1218,Pedidos!$A$2:$A$1801,0)),"")</f>
        <v/>
      </c>
      <c r="M1218" s="22">
        <f>IFERROR(INDEX(Pedidos!$G$2:$G$1801,MATCH(B1218,Pedidos!$A$2:$A$1801,0)),0)</f>
        <v/>
      </c>
      <c r="N1218" s="21">
        <f>IFERROR(INDEX(Produtos!$B$2:$B$71,MATCH(C1218,Produtos!$A$2:$A$71,0)),"")</f>
        <v/>
      </c>
      <c r="O1218" s="21">
        <f>IFERROR(INDEX(Produtos!$C$2:$C$71,MATCH(C1218,Produtos!$A$2:$A$71,0)),"")</f>
        <v/>
      </c>
      <c r="P1218" s="21">
        <f>IFERROR(INDEX(Produtos!$D$2:$D$71,MATCH(C1218,Produtos!$A$2:$A$71,0)),0)</f>
        <v/>
      </c>
      <c r="Q1218" s="21">
        <f>IFERROR(INDEX(Produtos!$E$2:$E$71,MATCH(C1218,Produtos!$A$2:$A$71,0)),0)</f>
        <v/>
      </c>
      <c r="R1218" s="23">
        <f>D1218*Q1218</f>
        <v/>
      </c>
      <c r="S1218" s="23">
        <f>R1218*E1218</f>
        <v/>
      </c>
      <c r="T1218" s="23">
        <f>(R1218-S1218)*M1218</f>
        <v/>
      </c>
      <c r="U1218" s="23">
        <f>R1218-S1218-T1218</f>
        <v/>
      </c>
      <c r="V1218" s="23">
        <f>D1218*P1218</f>
        <v/>
      </c>
      <c r="W1218" s="23">
        <f>U1218-V1218</f>
        <v/>
      </c>
      <c r="X1218" s="24">
        <f>IFERROR(W1218/U1218,0)</f>
        <v/>
      </c>
    </row>
    <row r="1219">
      <c r="A1219" s="25">
        <f>ItensPedido!A1219</f>
        <v/>
      </c>
      <c r="B1219" s="25">
        <f>ItensPedido!B1219</f>
        <v/>
      </c>
      <c r="C1219" s="25">
        <f>ItensPedido!C1219</f>
        <v/>
      </c>
      <c r="D1219" s="25">
        <f>ItensPedido!D1219</f>
        <v/>
      </c>
      <c r="E1219" s="26">
        <f>ItensPedido!E1219</f>
        <v/>
      </c>
      <c r="F1219" s="25">
        <f>IFERROR(INDEX(Pedidos!$B$2:$B$1801,MATCH(B1219,Pedidos!$A$2:$A$1801,0)),0)</f>
        <v/>
      </c>
      <c r="G1219" s="25">
        <f>IF(F1219=0,"",YEAR(F1219))</f>
        <v/>
      </c>
      <c r="H1219" s="25">
        <f>IF(F1219=0,"",MONTH(F1219))</f>
        <v/>
      </c>
      <c r="I1219" s="25">
        <f>IFERROR(INDEX(Pedidos!$E$2:$E$1801,MATCH(B1219,Pedidos!$A$2:$A$1801,0)),"")</f>
        <v/>
      </c>
      <c r="J1219" s="25">
        <f>IFERROR(INDEX(Pedidos!$C$2:$C$1801,MATCH(B1219,Pedidos!$A$2:$A$1801,0)),"")</f>
        <v/>
      </c>
      <c r="K1219" s="25">
        <f>IFERROR(INDEX(Pedidos!$D$2:$D$1801,MATCH(B1219,Pedidos!$A$2:$A$1801,0)),"")</f>
        <v/>
      </c>
      <c r="L1219" s="25">
        <f>IFERROR(INDEX(Pedidos!$F$2:$F$1801,MATCH(B1219,Pedidos!$A$2:$A$1801,0)),"")</f>
        <v/>
      </c>
      <c r="M1219" s="26">
        <f>IFERROR(INDEX(Pedidos!$G$2:$G$1801,MATCH(B1219,Pedidos!$A$2:$A$1801,0)),0)</f>
        <v/>
      </c>
      <c r="N1219" s="25">
        <f>IFERROR(INDEX(Produtos!$B$2:$B$71,MATCH(C1219,Produtos!$A$2:$A$71,0)),"")</f>
        <v/>
      </c>
      <c r="O1219" s="25">
        <f>IFERROR(INDEX(Produtos!$C$2:$C$71,MATCH(C1219,Produtos!$A$2:$A$71,0)),"")</f>
        <v/>
      </c>
      <c r="P1219" s="25">
        <f>IFERROR(INDEX(Produtos!$D$2:$D$71,MATCH(C1219,Produtos!$A$2:$A$71,0)),0)</f>
        <v/>
      </c>
      <c r="Q1219" s="25">
        <f>IFERROR(INDEX(Produtos!$E$2:$E$71,MATCH(C1219,Produtos!$A$2:$A$71,0)),0)</f>
        <v/>
      </c>
      <c r="R1219" s="27">
        <f>D1219*Q1219</f>
        <v/>
      </c>
      <c r="S1219" s="27">
        <f>R1219*E1219</f>
        <v/>
      </c>
      <c r="T1219" s="27">
        <f>(R1219-S1219)*M1219</f>
        <v/>
      </c>
      <c r="U1219" s="27">
        <f>R1219-S1219-T1219</f>
        <v/>
      </c>
      <c r="V1219" s="27">
        <f>D1219*P1219</f>
        <v/>
      </c>
      <c r="W1219" s="27">
        <f>U1219-V1219</f>
        <v/>
      </c>
      <c r="X1219" s="28">
        <f>IFERROR(W1219/U1219,0)</f>
        <v/>
      </c>
    </row>
    <row r="1220">
      <c r="A1220" s="21">
        <f>ItensPedido!A1220</f>
        <v/>
      </c>
      <c r="B1220" s="21">
        <f>ItensPedido!B1220</f>
        <v/>
      </c>
      <c r="C1220" s="21">
        <f>ItensPedido!C1220</f>
        <v/>
      </c>
      <c r="D1220" s="21">
        <f>ItensPedido!D1220</f>
        <v/>
      </c>
      <c r="E1220" s="22">
        <f>ItensPedido!E1220</f>
        <v/>
      </c>
      <c r="F1220" s="21">
        <f>IFERROR(INDEX(Pedidos!$B$2:$B$1801,MATCH(B1220,Pedidos!$A$2:$A$1801,0)),0)</f>
        <v/>
      </c>
      <c r="G1220" s="21">
        <f>IF(F1220=0,"",YEAR(F1220))</f>
        <v/>
      </c>
      <c r="H1220" s="21">
        <f>IF(F1220=0,"",MONTH(F1220))</f>
        <v/>
      </c>
      <c r="I1220" s="21">
        <f>IFERROR(INDEX(Pedidos!$E$2:$E$1801,MATCH(B1220,Pedidos!$A$2:$A$1801,0)),"")</f>
        <v/>
      </c>
      <c r="J1220" s="21">
        <f>IFERROR(INDEX(Pedidos!$C$2:$C$1801,MATCH(B1220,Pedidos!$A$2:$A$1801,0)),"")</f>
        <v/>
      </c>
      <c r="K1220" s="21">
        <f>IFERROR(INDEX(Pedidos!$D$2:$D$1801,MATCH(B1220,Pedidos!$A$2:$A$1801,0)),"")</f>
        <v/>
      </c>
      <c r="L1220" s="21">
        <f>IFERROR(INDEX(Pedidos!$F$2:$F$1801,MATCH(B1220,Pedidos!$A$2:$A$1801,0)),"")</f>
        <v/>
      </c>
      <c r="M1220" s="22">
        <f>IFERROR(INDEX(Pedidos!$G$2:$G$1801,MATCH(B1220,Pedidos!$A$2:$A$1801,0)),0)</f>
        <v/>
      </c>
      <c r="N1220" s="21">
        <f>IFERROR(INDEX(Produtos!$B$2:$B$71,MATCH(C1220,Produtos!$A$2:$A$71,0)),"")</f>
        <v/>
      </c>
      <c r="O1220" s="21">
        <f>IFERROR(INDEX(Produtos!$C$2:$C$71,MATCH(C1220,Produtos!$A$2:$A$71,0)),"")</f>
        <v/>
      </c>
      <c r="P1220" s="21">
        <f>IFERROR(INDEX(Produtos!$D$2:$D$71,MATCH(C1220,Produtos!$A$2:$A$71,0)),0)</f>
        <v/>
      </c>
      <c r="Q1220" s="21">
        <f>IFERROR(INDEX(Produtos!$E$2:$E$71,MATCH(C1220,Produtos!$A$2:$A$71,0)),0)</f>
        <v/>
      </c>
      <c r="R1220" s="23">
        <f>D1220*Q1220</f>
        <v/>
      </c>
      <c r="S1220" s="23">
        <f>R1220*E1220</f>
        <v/>
      </c>
      <c r="T1220" s="23">
        <f>(R1220-S1220)*M1220</f>
        <v/>
      </c>
      <c r="U1220" s="23">
        <f>R1220-S1220-T1220</f>
        <v/>
      </c>
      <c r="V1220" s="23">
        <f>D1220*P1220</f>
        <v/>
      </c>
      <c r="W1220" s="23">
        <f>U1220-V1220</f>
        <v/>
      </c>
      <c r="X1220" s="24">
        <f>IFERROR(W1220/U1220,0)</f>
        <v/>
      </c>
    </row>
    <row r="1221">
      <c r="A1221" s="25">
        <f>ItensPedido!A1221</f>
        <v/>
      </c>
      <c r="B1221" s="25">
        <f>ItensPedido!B1221</f>
        <v/>
      </c>
      <c r="C1221" s="25">
        <f>ItensPedido!C1221</f>
        <v/>
      </c>
      <c r="D1221" s="25">
        <f>ItensPedido!D1221</f>
        <v/>
      </c>
      <c r="E1221" s="26">
        <f>ItensPedido!E1221</f>
        <v/>
      </c>
      <c r="F1221" s="25">
        <f>IFERROR(INDEX(Pedidos!$B$2:$B$1801,MATCH(B1221,Pedidos!$A$2:$A$1801,0)),0)</f>
        <v/>
      </c>
      <c r="G1221" s="25">
        <f>IF(F1221=0,"",YEAR(F1221))</f>
        <v/>
      </c>
      <c r="H1221" s="25">
        <f>IF(F1221=0,"",MONTH(F1221))</f>
        <v/>
      </c>
      <c r="I1221" s="25">
        <f>IFERROR(INDEX(Pedidos!$E$2:$E$1801,MATCH(B1221,Pedidos!$A$2:$A$1801,0)),"")</f>
        <v/>
      </c>
      <c r="J1221" s="25">
        <f>IFERROR(INDEX(Pedidos!$C$2:$C$1801,MATCH(B1221,Pedidos!$A$2:$A$1801,0)),"")</f>
        <v/>
      </c>
      <c r="K1221" s="25">
        <f>IFERROR(INDEX(Pedidos!$D$2:$D$1801,MATCH(B1221,Pedidos!$A$2:$A$1801,0)),"")</f>
        <v/>
      </c>
      <c r="L1221" s="25">
        <f>IFERROR(INDEX(Pedidos!$F$2:$F$1801,MATCH(B1221,Pedidos!$A$2:$A$1801,0)),"")</f>
        <v/>
      </c>
      <c r="M1221" s="26">
        <f>IFERROR(INDEX(Pedidos!$G$2:$G$1801,MATCH(B1221,Pedidos!$A$2:$A$1801,0)),0)</f>
        <v/>
      </c>
      <c r="N1221" s="25">
        <f>IFERROR(INDEX(Produtos!$B$2:$B$71,MATCH(C1221,Produtos!$A$2:$A$71,0)),"")</f>
        <v/>
      </c>
      <c r="O1221" s="25">
        <f>IFERROR(INDEX(Produtos!$C$2:$C$71,MATCH(C1221,Produtos!$A$2:$A$71,0)),"")</f>
        <v/>
      </c>
      <c r="P1221" s="25">
        <f>IFERROR(INDEX(Produtos!$D$2:$D$71,MATCH(C1221,Produtos!$A$2:$A$71,0)),0)</f>
        <v/>
      </c>
      <c r="Q1221" s="25">
        <f>IFERROR(INDEX(Produtos!$E$2:$E$71,MATCH(C1221,Produtos!$A$2:$A$71,0)),0)</f>
        <v/>
      </c>
      <c r="R1221" s="27">
        <f>D1221*Q1221</f>
        <v/>
      </c>
      <c r="S1221" s="27">
        <f>R1221*E1221</f>
        <v/>
      </c>
      <c r="T1221" s="27">
        <f>(R1221-S1221)*M1221</f>
        <v/>
      </c>
      <c r="U1221" s="27">
        <f>R1221-S1221-T1221</f>
        <v/>
      </c>
      <c r="V1221" s="27">
        <f>D1221*P1221</f>
        <v/>
      </c>
      <c r="W1221" s="27">
        <f>U1221-V1221</f>
        <v/>
      </c>
      <c r="X1221" s="28">
        <f>IFERROR(W1221/U1221,0)</f>
        <v/>
      </c>
    </row>
    <row r="1222">
      <c r="A1222" s="21">
        <f>ItensPedido!A1222</f>
        <v/>
      </c>
      <c r="B1222" s="21">
        <f>ItensPedido!B1222</f>
        <v/>
      </c>
      <c r="C1222" s="21">
        <f>ItensPedido!C1222</f>
        <v/>
      </c>
      <c r="D1222" s="21">
        <f>ItensPedido!D1222</f>
        <v/>
      </c>
      <c r="E1222" s="22">
        <f>ItensPedido!E1222</f>
        <v/>
      </c>
      <c r="F1222" s="21">
        <f>IFERROR(INDEX(Pedidos!$B$2:$B$1801,MATCH(B1222,Pedidos!$A$2:$A$1801,0)),0)</f>
        <v/>
      </c>
      <c r="G1222" s="21">
        <f>IF(F1222=0,"",YEAR(F1222))</f>
        <v/>
      </c>
      <c r="H1222" s="21">
        <f>IF(F1222=0,"",MONTH(F1222))</f>
        <v/>
      </c>
      <c r="I1222" s="21">
        <f>IFERROR(INDEX(Pedidos!$E$2:$E$1801,MATCH(B1222,Pedidos!$A$2:$A$1801,0)),"")</f>
        <v/>
      </c>
      <c r="J1222" s="21">
        <f>IFERROR(INDEX(Pedidos!$C$2:$C$1801,MATCH(B1222,Pedidos!$A$2:$A$1801,0)),"")</f>
        <v/>
      </c>
      <c r="K1222" s="21">
        <f>IFERROR(INDEX(Pedidos!$D$2:$D$1801,MATCH(B1222,Pedidos!$A$2:$A$1801,0)),"")</f>
        <v/>
      </c>
      <c r="L1222" s="21">
        <f>IFERROR(INDEX(Pedidos!$F$2:$F$1801,MATCH(B1222,Pedidos!$A$2:$A$1801,0)),"")</f>
        <v/>
      </c>
      <c r="M1222" s="22">
        <f>IFERROR(INDEX(Pedidos!$G$2:$G$1801,MATCH(B1222,Pedidos!$A$2:$A$1801,0)),0)</f>
        <v/>
      </c>
      <c r="N1222" s="21">
        <f>IFERROR(INDEX(Produtos!$B$2:$B$71,MATCH(C1222,Produtos!$A$2:$A$71,0)),"")</f>
        <v/>
      </c>
      <c r="O1222" s="21">
        <f>IFERROR(INDEX(Produtos!$C$2:$C$71,MATCH(C1222,Produtos!$A$2:$A$71,0)),"")</f>
        <v/>
      </c>
      <c r="P1222" s="21">
        <f>IFERROR(INDEX(Produtos!$D$2:$D$71,MATCH(C1222,Produtos!$A$2:$A$71,0)),0)</f>
        <v/>
      </c>
      <c r="Q1222" s="21">
        <f>IFERROR(INDEX(Produtos!$E$2:$E$71,MATCH(C1222,Produtos!$A$2:$A$71,0)),0)</f>
        <v/>
      </c>
      <c r="R1222" s="23">
        <f>D1222*Q1222</f>
        <v/>
      </c>
      <c r="S1222" s="23">
        <f>R1222*E1222</f>
        <v/>
      </c>
      <c r="T1222" s="23">
        <f>(R1222-S1222)*M1222</f>
        <v/>
      </c>
      <c r="U1222" s="23">
        <f>R1222-S1222-T1222</f>
        <v/>
      </c>
      <c r="V1222" s="23">
        <f>D1222*P1222</f>
        <v/>
      </c>
      <c r="W1222" s="23">
        <f>U1222-V1222</f>
        <v/>
      </c>
      <c r="X1222" s="24">
        <f>IFERROR(W1222/U1222,0)</f>
        <v/>
      </c>
    </row>
    <row r="1223">
      <c r="A1223" s="25">
        <f>ItensPedido!A1223</f>
        <v/>
      </c>
      <c r="B1223" s="25">
        <f>ItensPedido!B1223</f>
        <v/>
      </c>
      <c r="C1223" s="25">
        <f>ItensPedido!C1223</f>
        <v/>
      </c>
      <c r="D1223" s="25">
        <f>ItensPedido!D1223</f>
        <v/>
      </c>
      <c r="E1223" s="26">
        <f>ItensPedido!E1223</f>
        <v/>
      </c>
      <c r="F1223" s="25">
        <f>IFERROR(INDEX(Pedidos!$B$2:$B$1801,MATCH(B1223,Pedidos!$A$2:$A$1801,0)),0)</f>
        <v/>
      </c>
      <c r="G1223" s="25">
        <f>IF(F1223=0,"",YEAR(F1223))</f>
        <v/>
      </c>
      <c r="H1223" s="25">
        <f>IF(F1223=0,"",MONTH(F1223))</f>
        <v/>
      </c>
      <c r="I1223" s="25">
        <f>IFERROR(INDEX(Pedidos!$E$2:$E$1801,MATCH(B1223,Pedidos!$A$2:$A$1801,0)),"")</f>
        <v/>
      </c>
      <c r="J1223" s="25">
        <f>IFERROR(INDEX(Pedidos!$C$2:$C$1801,MATCH(B1223,Pedidos!$A$2:$A$1801,0)),"")</f>
        <v/>
      </c>
      <c r="K1223" s="25">
        <f>IFERROR(INDEX(Pedidos!$D$2:$D$1801,MATCH(B1223,Pedidos!$A$2:$A$1801,0)),"")</f>
        <v/>
      </c>
      <c r="L1223" s="25">
        <f>IFERROR(INDEX(Pedidos!$F$2:$F$1801,MATCH(B1223,Pedidos!$A$2:$A$1801,0)),"")</f>
        <v/>
      </c>
      <c r="M1223" s="26">
        <f>IFERROR(INDEX(Pedidos!$G$2:$G$1801,MATCH(B1223,Pedidos!$A$2:$A$1801,0)),0)</f>
        <v/>
      </c>
      <c r="N1223" s="25">
        <f>IFERROR(INDEX(Produtos!$B$2:$B$71,MATCH(C1223,Produtos!$A$2:$A$71,0)),"")</f>
        <v/>
      </c>
      <c r="O1223" s="25">
        <f>IFERROR(INDEX(Produtos!$C$2:$C$71,MATCH(C1223,Produtos!$A$2:$A$71,0)),"")</f>
        <v/>
      </c>
      <c r="P1223" s="25">
        <f>IFERROR(INDEX(Produtos!$D$2:$D$71,MATCH(C1223,Produtos!$A$2:$A$71,0)),0)</f>
        <v/>
      </c>
      <c r="Q1223" s="25">
        <f>IFERROR(INDEX(Produtos!$E$2:$E$71,MATCH(C1223,Produtos!$A$2:$A$71,0)),0)</f>
        <v/>
      </c>
      <c r="R1223" s="27">
        <f>D1223*Q1223</f>
        <v/>
      </c>
      <c r="S1223" s="27">
        <f>R1223*E1223</f>
        <v/>
      </c>
      <c r="T1223" s="27">
        <f>(R1223-S1223)*M1223</f>
        <v/>
      </c>
      <c r="U1223" s="27">
        <f>R1223-S1223-T1223</f>
        <v/>
      </c>
      <c r="V1223" s="27">
        <f>D1223*P1223</f>
        <v/>
      </c>
      <c r="W1223" s="27">
        <f>U1223-V1223</f>
        <v/>
      </c>
      <c r="X1223" s="28">
        <f>IFERROR(W1223/U1223,0)</f>
        <v/>
      </c>
    </row>
    <row r="1224">
      <c r="A1224" s="21">
        <f>ItensPedido!A1224</f>
        <v/>
      </c>
      <c r="B1224" s="21">
        <f>ItensPedido!B1224</f>
        <v/>
      </c>
      <c r="C1224" s="21">
        <f>ItensPedido!C1224</f>
        <v/>
      </c>
      <c r="D1224" s="21">
        <f>ItensPedido!D1224</f>
        <v/>
      </c>
      <c r="E1224" s="22">
        <f>ItensPedido!E1224</f>
        <v/>
      </c>
      <c r="F1224" s="21">
        <f>IFERROR(INDEX(Pedidos!$B$2:$B$1801,MATCH(B1224,Pedidos!$A$2:$A$1801,0)),0)</f>
        <v/>
      </c>
      <c r="G1224" s="21">
        <f>IF(F1224=0,"",YEAR(F1224))</f>
        <v/>
      </c>
      <c r="H1224" s="21">
        <f>IF(F1224=0,"",MONTH(F1224))</f>
        <v/>
      </c>
      <c r="I1224" s="21">
        <f>IFERROR(INDEX(Pedidos!$E$2:$E$1801,MATCH(B1224,Pedidos!$A$2:$A$1801,0)),"")</f>
        <v/>
      </c>
      <c r="J1224" s="21">
        <f>IFERROR(INDEX(Pedidos!$C$2:$C$1801,MATCH(B1224,Pedidos!$A$2:$A$1801,0)),"")</f>
        <v/>
      </c>
      <c r="K1224" s="21">
        <f>IFERROR(INDEX(Pedidos!$D$2:$D$1801,MATCH(B1224,Pedidos!$A$2:$A$1801,0)),"")</f>
        <v/>
      </c>
      <c r="L1224" s="21">
        <f>IFERROR(INDEX(Pedidos!$F$2:$F$1801,MATCH(B1224,Pedidos!$A$2:$A$1801,0)),"")</f>
        <v/>
      </c>
      <c r="M1224" s="22">
        <f>IFERROR(INDEX(Pedidos!$G$2:$G$1801,MATCH(B1224,Pedidos!$A$2:$A$1801,0)),0)</f>
        <v/>
      </c>
      <c r="N1224" s="21">
        <f>IFERROR(INDEX(Produtos!$B$2:$B$71,MATCH(C1224,Produtos!$A$2:$A$71,0)),"")</f>
        <v/>
      </c>
      <c r="O1224" s="21">
        <f>IFERROR(INDEX(Produtos!$C$2:$C$71,MATCH(C1224,Produtos!$A$2:$A$71,0)),"")</f>
        <v/>
      </c>
      <c r="P1224" s="21">
        <f>IFERROR(INDEX(Produtos!$D$2:$D$71,MATCH(C1224,Produtos!$A$2:$A$71,0)),0)</f>
        <v/>
      </c>
      <c r="Q1224" s="21">
        <f>IFERROR(INDEX(Produtos!$E$2:$E$71,MATCH(C1224,Produtos!$A$2:$A$71,0)),0)</f>
        <v/>
      </c>
      <c r="R1224" s="23">
        <f>D1224*Q1224</f>
        <v/>
      </c>
      <c r="S1224" s="23">
        <f>R1224*E1224</f>
        <v/>
      </c>
      <c r="T1224" s="23">
        <f>(R1224-S1224)*M1224</f>
        <v/>
      </c>
      <c r="U1224" s="23">
        <f>R1224-S1224-T1224</f>
        <v/>
      </c>
      <c r="V1224" s="23">
        <f>D1224*P1224</f>
        <v/>
      </c>
      <c r="W1224" s="23">
        <f>U1224-V1224</f>
        <v/>
      </c>
      <c r="X1224" s="24">
        <f>IFERROR(W1224/U1224,0)</f>
        <v/>
      </c>
    </row>
    <row r="1225">
      <c r="A1225" s="25">
        <f>ItensPedido!A1225</f>
        <v/>
      </c>
      <c r="B1225" s="25">
        <f>ItensPedido!B1225</f>
        <v/>
      </c>
      <c r="C1225" s="25">
        <f>ItensPedido!C1225</f>
        <v/>
      </c>
      <c r="D1225" s="25">
        <f>ItensPedido!D1225</f>
        <v/>
      </c>
      <c r="E1225" s="26">
        <f>ItensPedido!E1225</f>
        <v/>
      </c>
      <c r="F1225" s="25">
        <f>IFERROR(INDEX(Pedidos!$B$2:$B$1801,MATCH(B1225,Pedidos!$A$2:$A$1801,0)),0)</f>
        <v/>
      </c>
      <c r="G1225" s="25">
        <f>IF(F1225=0,"",YEAR(F1225))</f>
        <v/>
      </c>
      <c r="H1225" s="25">
        <f>IF(F1225=0,"",MONTH(F1225))</f>
        <v/>
      </c>
      <c r="I1225" s="25">
        <f>IFERROR(INDEX(Pedidos!$E$2:$E$1801,MATCH(B1225,Pedidos!$A$2:$A$1801,0)),"")</f>
        <v/>
      </c>
      <c r="J1225" s="25">
        <f>IFERROR(INDEX(Pedidos!$C$2:$C$1801,MATCH(B1225,Pedidos!$A$2:$A$1801,0)),"")</f>
        <v/>
      </c>
      <c r="K1225" s="25">
        <f>IFERROR(INDEX(Pedidos!$D$2:$D$1801,MATCH(B1225,Pedidos!$A$2:$A$1801,0)),"")</f>
        <v/>
      </c>
      <c r="L1225" s="25">
        <f>IFERROR(INDEX(Pedidos!$F$2:$F$1801,MATCH(B1225,Pedidos!$A$2:$A$1801,0)),"")</f>
        <v/>
      </c>
      <c r="M1225" s="26">
        <f>IFERROR(INDEX(Pedidos!$G$2:$G$1801,MATCH(B1225,Pedidos!$A$2:$A$1801,0)),0)</f>
        <v/>
      </c>
      <c r="N1225" s="25">
        <f>IFERROR(INDEX(Produtos!$B$2:$B$71,MATCH(C1225,Produtos!$A$2:$A$71,0)),"")</f>
        <v/>
      </c>
      <c r="O1225" s="25">
        <f>IFERROR(INDEX(Produtos!$C$2:$C$71,MATCH(C1225,Produtos!$A$2:$A$71,0)),"")</f>
        <v/>
      </c>
      <c r="P1225" s="25">
        <f>IFERROR(INDEX(Produtos!$D$2:$D$71,MATCH(C1225,Produtos!$A$2:$A$71,0)),0)</f>
        <v/>
      </c>
      <c r="Q1225" s="25">
        <f>IFERROR(INDEX(Produtos!$E$2:$E$71,MATCH(C1225,Produtos!$A$2:$A$71,0)),0)</f>
        <v/>
      </c>
      <c r="R1225" s="27">
        <f>D1225*Q1225</f>
        <v/>
      </c>
      <c r="S1225" s="27">
        <f>R1225*E1225</f>
        <v/>
      </c>
      <c r="T1225" s="27">
        <f>(R1225-S1225)*M1225</f>
        <v/>
      </c>
      <c r="U1225" s="27">
        <f>R1225-S1225-T1225</f>
        <v/>
      </c>
      <c r="V1225" s="27">
        <f>D1225*P1225</f>
        <v/>
      </c>
      <c r="W1225" s="27">
        <f>U1225-V1225</f>
        <v/>
      </c>
      <c r="X1225" s="28">
        <f>IFERROR(W1225/U1225,0)</f>
        <v/>
      </c>
    </row>
    <row r="1226">
      <c r="A1226" s="21">
        <f>ItensPedido!A1226</f>
        <v/>
      </c>
      <c r="B1226" s="21">
        <f>ItensPedido!B1226</f>
        <v/>
      </c>
      <c r="C1226" s="21">
        <f>ItensPedido!C1226</f>
        <v/>
      </c>
      <c r="D1226" s="21">
        <f>ItensPedido!D1226</f>
        <v/>
      </c>
      <c r="E1226" s="22">
        <f>ItensPedido!E1226</f>
        <v/>
      </c>
      <c r="F1226" s="21">
        <f>IFERROR(INDEX(Pedidos!$B$2:$B$1801,MATCH(B1226,Pedidos!$A$2:$A$1801,0)),0)</f>
        <v/>
      </c>
      <c r="G1226" s="21">
        <f>IF(F1226=0,"",YEAR(F1226))</f>
        <v/>
      </c>
      <c r="H1226" s="21">
        <f>IF(F1226=0,"",MONTH(F1226))</f>
        <v/>
      </c>
      <c r="I1226" s="21">
        <f>IFERROR(INDEX(Pedidos!$E$2:$E$1801,MATCH(B1226,Pedidos!$A$2:$A$1801,0)),"")</f>
        <v/>
      </c>
      <c r="J1226" s="21">
        <f>IFERROR(INDEX(Pedidos!$C$2:$C$1801,MATCH(B1226,Pedidos!$A$2:$A$1801,0)),"")</f>
        <v/>
      </c>
      <c r="K1226" s="21">
        <f>IFERROR(INDEX(Pedidos!$D$2:$D$1801,MATCH(B1226,Pedidos!$A$2:$A$1801,0)),"")</f>
        <v/>
      </c>
      <c r="L1226" s="21">
        <f>IFERROR(INDEX(Pedidos!$F$2:$F$1801,MATCH(B1226,Pedidos!$A$2:$A$1801,0)),"")</f>
        <v/>
      </c>
      <c r="M1226" s="22">
        <f>IFERROR(INDEX(Pedidos!$G$2:$G$1801,MATCH(B1226,Pedidos!$A$2:$A$1801,0)),0)</f>
        <v/>
      </c>
      <c r="N1226" s="21">
        <f>IFERROR(INDEX(Produtos!$B$2:$B$71,MATCH(C1226,Produtos!$A$2:$A$71,0)),"")</f>
        <v/>
      </c>
      <c r="O1226" s="21">
        <f>IFERROR(INDEX(Produtos!$C$2:$C$71,MATCH(C1226,Produtos!$A$2:$A$71,0)),"")</f>
        <v/>
      </c>
      <c r="P1226" s="21">
        <f>IFERROR(INDEX(Produtos!$D$2:$D$71,MATCH(C1226,Produtos!$A$2:$A$71,0)),0)</f>
        <v/>
      </c>
      <c r="Q1226" s="21">
        <f>IFERROR(INDEX(Produtos!$E$2:$E$71,MATCH(C1226,Produtos!$A$2:$A$71,0)),0)</f>
        <v/>
      </c>
      <c r="R1226" s="23">
        <f>D1226*Q1226</f>
        <v/>
      </c>
      <c r="S1226" s="23">
        <f>R1226*E1226</f>
        <v/>
      </c>
      <c r="T1226" s="23">
        <f>(R1226-S1226)*M1226</f>
        <v/>
      </c>
      <c r="U1226" s="23">
        <f>R1226-S1226-T1226</f>
        <v/>
      </c>
      <c r="V1226" s="23">
        <f>D1226*P1226</f>
        <v/>
      </c>
      <c r="W1226" s="23">
        <f>U1226-V1226</f>
        <v/>
      </c>
      <c r="X1226" s="24">
        <f>IFERROR(W1226/U1226,0)</f>
        <v/>
      </c>
    </row>
    <row r="1227">
      <c r="A1227" s="25">
        <f>ItensPedido!A1227</f>
        <v/>
      </c>
      <c r="B1227" s="25">
        <f>ItensPedido!B1227</f>
        <v/>
      </c>
      <c r="C1227" s="25">
        <f>ItensPedido!C1227</f>
        <v/>
      </c>
      <c r="D1227" s="25">
        <f>ItensPedido!D1227</f>
        <v/>
      </c>
      <c r="E1227" s="26">
        <f>ItensPedido!E1227</f>
        <v/>
      </c>
      <c r="F1227" s="25">
        <f>IFERROR(INDEX(Pedidos!$B$2:$B$1801,MATCH(B1227,Pedidos!$A$2:$A$1801,0)),0)</f>
        <v/>
      </c>
      <c r="G1227" s="25">
        <f>IF(F1227=0,"",YEAR(F1227))</f>
        <v/>
      </c>
      <c r="H1227" s="25">
        <f>IF(F1227=0,"",MONTH(F1227))</f>
        <v/>
      </c>
      <c r="I1227" s="25">
        <f>IFERROR(INDEX(Pedidos!$E$2:$E$1801,MATCH(B1227,Pedidos!$A$2:$A$1801,0)),"")</f>
        <v/>
      </c>
      <c r="J1227" s="25">
        <f>IFERROR(INDEX(Pedidos!$C$2:$C$1801,MATCH(B1227,Pedidos!$A$2:$A$1801,0)),"")</f>
        <v/>
      </c>
      <c r="K1227" s="25">
        <f>IFERROR(INDEX(Pedidos!$D$2:$D$1801,MATCH(B1227,Pedidos!$A$2:$A$1801,0)),"")</f>
        <v/>
      </c>
      <c r="L1227" s="25">
        <f>IFERROR(INDEX(Pedidos!$F$2:$F$1801,MATCH(B1227,Pedidos!$A$2:$A$1801,0)),"")</f>
        <v/>
      </c>
      <c r="M1227" s="26">
        <f>IFERROR(INDEX(Pedidos!$G$2:$G$1801,MATCH(B1227,Pedidos!$A$2:$A$1801,0)),0)</f>
        <v/>
      </c>
      <c r="N1227" s="25">
        <f>IFERROR(INDEX(Produtos!$B$2:$B$71,MATCH(C1227,Produtos!$A$2:$A$71,0)),"")</f>
        <v/>
      </c>
      <c r="O1227" s="25">
        <f>IFERROR(INDEX(Produtos!$C$2:$C$71,MATCH(C1227,Produtos!$A$2:$A$71,0)),"")</f>
        <v/>
      </c>
      <c r="P1227" s="25">
        <f>IFERROR(INDEX(Produtos!$D$2:$D$71,MATCH(C1227,Produtos!$A$2:$A$71,0)),0)</f>
        <v/>
      </c>
      <c r="Q1227" s="25">
        <f>IFERROR(INDEX(Produtos!$E$2:$E$71,MATCH(C1227,Produtos!$A$2:$A$71,0)),0)</f>
        <v/>
      </c>
      <c r="R1227" s="27">
        <f>D1227*Q1227</f>
        <v/>
      </c>
      <c r="S1227" s="27">
        <f>R1227*E1227</f>
        <v/>
      </c>
      <c r="T1227" s="27">
        <f>(R1227-S1227)*M1227</f>
        <v/>
      </c>
      <c r="U1227" s="27">
        <f>R1227-S1227-T1227</f>
        <v/>
      </c>
      <c r="V1227" s="27">
        <f>D1227*P1227</f>
        <v/>
      </c>
      <c r="W1227" s="27">
        <f>U1227-V1227</f>
        <v/>
      </c>
      <c r="X1227" s="28">
        <f>IFERROR(W1227/U1227,0)</f>
        <v/>
      </c>
    </row>
    <row r="1228">
      <c r="A1228" s="21">
        <f>ItensPedido!A1228</f>
        <v/>
      </c>
      <c r="B1228" s="21">
        <f>ItensPedido!B1228</f>
        <v/>
      </c>
      <c r="C1228" s="21">
        <f>ItensPedido!C1228</f>
        <v/>
      </c>
      <c r="D1228" s="21">
        <f>ItensPedido!D1228</f>
        <v/>
      </c>
      <c r="E1228" s="22">
        <f>ItensPedido!E1228</f>
        <v/>
      </c>
      <c r="F1228" s="21">
        <f>IFERROR(INDEX(Pedidos!$B$2:$B$1801,MATCH(B1228,Pedidos!$A$2:$A$1801,0)),0)</f>
        <v/>
      </c>
      <c r="G1228" s="21">
        <f>IF(F1228=0,"",YEAR(F1228))</f>
        <v/>
      </c>
      <c r="H1228" s="21">
        <f>IF(F1228=0,"",MONTH(F1228))</f>
        <v/>
      </c>
      <c r="I1228" s="21">
        <f>IFERROR(INDEX(Pedidos!$E$2:$E$1801,MATCH(B1228,Pedidos!$A$2:$A$1801,0)),"")</f>
        <v/>
      </c>
      <c r="J1228" s="21">
        <f>IFERROR(INDEX(Pedidos!$C$2:$C$1801,MATCH(B1228,Pedidos!$A$2:$A$1801,0)),"")</f>
        <v/>
      </c>
      <c r="K1228" s="21">
        <f>IFERROR(INDEX(Pedidos!$D$2:$D$1801,MATCH(B1228,Pedidos!$A$2:$A$1801,0)),"")</f>
        <v/>
      </c>
      <c r="L1228" s="21">
        <f>IFERROR(INDEX(Pedidos!$F$2:$F$1801,MATCH(B1228,Pedidos!$A$2:$A$1801,0)),"")</f>
        <v/>
      </c>
      <c r="M1228" s="22">
        <f>IFERROR(INDEX(Pedidos!$G$2:$G$1801,MATCH(B1228,Pedidos!$A$2:$A$1801,0)),0)</f>
        <v/>
      </c>
      <c r="N1228" s="21">
        <f>IFERROR(INDEX(Produtos!$B$2:$B$71,MATCH(C1228,Produtos!$A$2:$A$71,0)),"")</f>
        <v/>
      </c>
      <c r="O1228" s="21">
        <f>IFERROR(INDEX(Produtos!$C$2:$C$71,MATCH(C1228,Produtos!$A$2:$A$71,0)),"")</f>
        <v/>
      </c>
      <c r="P1228" s="21">
        <f>IFERROR(INDEX(Produtos!$D$2:$D$71,MATCH(C1228,Produtos!$A$2:$A$71,0)),0)</f>
        <v/>
      </c>
      <c r="Q1228" s="21">
        <f>IFERROR(INDEX(Produtos!$E$2:$E$71,MATCH(C1228,Produtos!$A$2:$A$71,0)),0)</f>
        <v/>
      </c>
      <c r="R1228" s="23">
        <f>D1228*Q1228</f>
        <v/>
      </c>
      <c r="S1228" s="23">
        <f>R1228*E1228</f>
        <v/>
      </c>
      <c r="T1228" s="23">
        <f>(R1228-S1228)*M1228</f>
        <v/>
      </c>
      <c r="U1228" s="23">
        <f>R1228-S1228-T1228</f>
        <v/>
      </c>
      <c r="V1228" s="23">
        <f>D1228*P1228</f>
        <v/>
      </c>
      <c r="W1228" s="23">
        <f>U1228-V1228</f>
        <v/>
      </c>
      <c r="X1228" s="24">
        <f>IFERROR(W1228/U1228,0)</f>
        <v/>
      </c>
    </row>
    <row r="1229">
      <c r="A1229" s="25">
        <f>ItensPedido!A1229</f>
        <v/>
      </c>
      <c r="B1229" s="25">
        <f>ItensPedido!B1229</f>
        <v/>
      </c>
      <c r="C1229" s="25">
        <f>ItensPedido!C1229</f>
        <v/>
      </c>
      <c r="D1229" s="25">
        <f>ItensPedido!D1229</f>
        <v/>
      </c>
      <c r="E1229" s="26">
        <f>ItensPedido!E1229</f>
        <v/>
      </c>
      <c r="F1229" s="25">
        <f>IFERROR(INDEX(Pedidos!$B$2:$B$1801,MATCH(B1229,Pedidos!$A$2:$A$1801,0)),0)</f>
        <v/>
      </c>
      <c r="G1229" s="25">
        <f>IF(F1229=0,"",YEAR(F1229))</f>
        <v/>
      </c>
      <c r="H1229" s="25">
        <f>IF(F1229=0,"",MONTH(F1229))</f>
        <v/>
      </c>
      <c r="I1229" s="25">
        <f>IFERROR(INDEX(Pedidos!$E$2:$E$1801,MATCH(B1229,Pedidos!$A$2:$A$1801,0)),"")</f>
        <v/>
      </c>
      <c r="J1229" s="25">
        <f>IFERROR(INDEX(Pedidos!$C$2:$C$1801,MATCH(B1229,Pedidos!$A$2:$A$1801,0)),"")</f>
        <v/>
      </c>
      <c r="K1229" s="25">
        <f>IFERROR(INDEX(Pedidos!$D$2:$D$1801,MATCH(B1229,Pedidos!$A$2:$A$1801,0)),"")</f>
        <v/>
      </c>
      <c r="L1229" s="25">
        <f>IFERROR(INDEX(Pedidos!$F$2:$F$1801,MATCH(B1229,Pedidos!$A$2:$A$1801,0)),"")</f>
        <v/>
      </c>
      <c r="M1229" s="26">
        <f>IFERROR(INDEX(Pedidos!$G$2:$G$1801,MATCH(B1229,Pedidos!$A$2:$A$1801,0)),0)</f>
        <v/>
      </c>
      <c r="N1229" s="25">
        <f>IFERROR(INDEX(Produtos!$B$2:$B$71,MATCH(C1229,Produtos!$A$2:$A$71,0)),"")</f>
        <v/>
      </c>
      <c r="O1229" s="25">
        <f>IFERROR(INDEX(Produtos!$C$2:$C$71,MATCH(C1229,Produtos!$A$2:$A$71,0)),"")</f>
        <v/>
      </c>
      <c r="P1229" s="25">
        <f>IFERROR(INDEX(Produtos!$D$2:$D$71,MATCH(C1229,Produtos!$A$2:$A$71,0)),0)</f>
        <v/>
      </c>
      <c r="Q1229" s="25">
        <f>IFERROR(INDEX(Produtos!$E$2:$E$71,MATCH(C1229,Produtos!$A$2:$A$71,0)),0)</f>
        <v/>
      </c>
      <c r="R1229" s="27">
        <f>D1229*Q1229</f>
        <v/>
      </c>
      <c r="S1229" s="27">
        <f>R1229*E1229</f>
        <v/>
      </c>
      <c r="T1229" s="27">
        <f>(R1229-S1229)*M1229</f>
        <v/>
      </c>
      <c r="U1229" s="27">
        <f>R1229-S1229-T1229</f>
        <v/>
      </c>
      <c r="V1229" s="27">
        <f>D1229*P1229</f>
        <v/>
      </c>
      <c r="W1229" s="27">
        <f>U1229-V1229</f>
        <v/>
      </c>
      <c r="X1229" s="28">
        <f>IFERROR(W1229/U1229,0)</f>
        <v/>
      </c>
    </row>
    <row r="1230">
      <c r="A1230" s="21">
        <f>ItensPedido!A1230</f>
        <v/>
      </c>
      <c r="B1230" s="21">
        <f>ItensPedido!B1230</f>
        <v/>
      </c>
      <c r="C1230" s="21">
        <f>ItensPedido!C1230</f>
        <v/>
      </c>
      <c r="D1230" s="21">
        <f>ItensPedido!D1230</f>
        <v/>
      </c>
      <c r="E1230" s="22">
        <f>ItensPedido!E1230</f>
        <v/>
      </c>
      <c r="F1230" s="21">
        <f>IFERROR(INDEX(Pedidos!$B$2:$B$1801,MATCH(B1230,Pedidos!$A$2:$A$1801,0)),0)</f>
        <v/>
      </c>
      <c r="G1230" s="21">
        <f>IF(F1230=0,"",YEAR(F1230))</f>
        <v/>
      </c>
      <c r="H1230" s="21">
        <f>IF(F1230=0,"",MONTH(F1230))</f>
        <v/>
      </c>
      <c r="I1230" s="21">
        <f>IFERROR(INDEX(Pedidos!$E$2:$E$1801,MATCH(B1230,Pedidos!$A$2:$A$1801,0)),"")</f>
        <v/>
      </c>
      <c r="J1230" s="21">
        <f>IFERROR(INDEX(Pedidos!$C$2:$C$1801,MATCH(B1230,Pedidos!$A$2:$A$1801,0)),"")</f>
        <v/>
      </c>
      <c r="K1230" s="21">
        <f>IFERROR(INDEX(Pedidos!$D$2:$D$1801,MATCH(B1230,Pedidos!$A$2:$A$1801,0)),"")</f>
        <v/>
      </c>
      <c r="L1230" s="21">
        <f>IFERROR(INDEX(Pedidos!$F$2:$F$1801,MATCH(B1230,Pedidos!$A$2:$A$1801,0)),"")</f>
        <v/>
      </c>
      <c r="M1230" s="22">
        <f>IFERROR(INDEX(Pedidos!$G$2:$G$1801,MATCH(B1230,Pedidos!$A$2:$A$1801,0)),0)</f>
        <v/>
      </c>
      <c r="N1230" s="21">
        <f>IFERROR(INDEX(Produtos!$B$2:$B$71,MATCH(C1230,Produtos!$A$2:$A$71,0)),"")</f>
        <v/>
      </c>
      <c r="O1230" s="21">
        <f>IFERROR(INDEX(Produtos!$C$2:$C$71,MATCH(C1230,Produtos!$A$2:$A$71,0)),"")</f>
        <v/>
      </c>
      <c r="P1230" s="21">
        <f>IFERROR(INDEX(Produtos!$D$2:$D$71,MATCH(C1230,Produtos!$A$2:$A$71,0)),0)</f>
        <v/>
      </c>
      <c r="Q1230" s="21">
        <f>IFERROR(INDEX(Produtos!$E$2:$E$71,MATCH(C1230,Produtos!$A$2:$A$71,0)),0)</f>
        <v/>
      </c>
      <c r="R1230" s="23">
        <f>D1230*Q1230</f>
        <v/>
      </c>
      <c r="S1230" s="23">
        <f>R1230*E1230</f>
        <v/>
      </c>
      <c r="T1230" s="23">
        <f>(R1230-S1230)*M1230</f>
        <v/>
      </c>
      <c r="U1230" s="23">
        <f>R1230-S1230-T1230</f>
        <v/>
      </c>
      <c r="V1230" s="23">
        <f>D1230*P1230</f>
        <v/>
      </c>
      <c r="W1230" s="23">
        <f>U1230-V1230</f>
        <v/>
      </c>
      <c r="X1230" s="24">
        <f>IFERROR(W1230/U1230,0)</f>
        <v/>
      </c>
    </row>
    <row r="1231">
      <c r="A1231" s="25">
        <f>ItensPedido!A1231</f>
        <v/>
      </c>
      <c r="B1231" s="25">
        <f>ItensPedido!B1231</f>
        <v/>
      </c>
      <c r="C1231" s="25">
        <f>ItensPedido!C1231</f>
        <v/>
      </c>
      <c r="D1231" s="25">
        <f>ItensPedido!D1231</f>
        <v/>
      </c>
      <c r="E1231" s="26">
        <f>ItensPedido!E1231</f>
        <v/>
      </c>
      <c r="F1231" s="25">
        <f>IFERROR(INDEX(Pedidos!$B$2:$B$1801,MATCH(B1231,Pedidos!$A$2:$A$1801,0)),0)</f>
        <v/>
      </c>
      <c r="G1231" s="25">
        <f>IF(F1231=0,"",YEAR(F1231))</f>
        <v/>
      </c>
      <c r="H1231" s="25">
        <f>IF(F1231=0,"",MONTH(F1231))</f>
        <v/>
      </c>
      <c r="I1231" s="25">
        <f>IFERROR(INDEX(Pedidos!$E$2:$E$1801,MATCH(B1231,Pedidos!$A$2:$A$1801,0)),"")</f>
        <v/>
      </c>
      <c r="J1231" s="25">
        <f>IFERROR(INDEX(Pedidos!$C$2:$C$1801,MATCH(B1231,Pedidos!$A$2:$A$1801,0)),"")</f>
        <v/>
      </c>
      <c r="K1231" s="25">
        <f>IFERROR(INDEX(Pedidos!$D$2:$D$1801,MATCH(B1231,Pedidos!$A$2:$A$1801,0)),"")</f>
        <v/>
      </c>
      <c r="L1231" s="25">
        <f>IFERROR(INDEX(Pedidos!$F$2:$F$1801,MATCH(B1231,Pedidos!$A$2:$A$1801,0)),"")</f>
        <v/>
      </c>
      <c r="M1231" s="26">
        <f>IFERROR(INDEX(Pedidos!$G$2:$G$1801,MATCH(B1231,Pedidos!$A$2:$A$1801,0)),0)</f>
        <v/>
      </c>
      <c r="N1231" s="25">
        <f>IFERROR(INDEX(Produtos!$B$2:$B$71,MATCH(C1231,Produtos!$A$2:$A$71,0)),"")</f>
        <v/>
      </c>
      <c r="O1231" s="25">
        <f>IFERROR(INDEX(Produtos!$C$2:$C$71,MATCH(C1231,Produtos!$A$2:$A$71,0)),"")</f>
        <v/>
      </c>
      <c r="P1231" s="25">
        <f>IFERROR(INDEX(Produtos!$D$2:$D$71,MATCH(C1231,Produtos!$A$2:$A$71,0)),0)</f>
        <v/>
      </c>
      <c r="Q1231" s="25">
        <f>IFERROR(INDEX(Produtos!$E$2:$E$71,MATCH(C1231,Produtos!$A$2:$A$71,0)),0)</f>
        <v/>
      </c>
      <c r="R1231" s="27">
        <f>D1231*Q1231</f>
        <v/>
      </c>
      <c r="S1231" s="27">
        <f>R1231*E1231</f>
        <v/>
      </c>
      <c r="T1231" s="27">
        <f>(R1231-S1231)*M1231</f>
        <v/>
      </c>
      <c r="U1231" s="27">
        <f>R1231-S1231-T1231</f>
        <v/>
      </c>
      <c r="V1231" s="27">
        <f>D1231*P1231</f>
        <v/>
      </c>
      <c r="W1231" s="27">
        <f>U1231-V1231</f>
        <v/>
      </c>
      <c r="X1231" s="28">
        <f>IFERROR(W1231/U1231,0)</f>
        <v/>
      </c>
    </row>
    <row r="1232">
      <c r="A1232" s="21">
        <f>ItensPedido!A1232</f>
        <v/>
      </c>
      <c r="B1232" s="21">
        <f>ItensPedido!B1232</f>
        <v/>
      </c>
      <c r="C1232" s="21">
        <f>ItensPedido!C1232</f>
        <v/>
      </c>
      <c r="D1232" s="21">
        <f>ItensPedido!D1232</f>
        <v/>
      </c>
      <c r="E1232" s="22">
        <f>ItensPedido!E1232</f>
        <v/>
      </c>
      <c r="F1232" s="21">
        <f>IFERROR(INDEX(Pedidos!$B$2:$B$1801,MATCH(B1232,Pedidos!$A$2:$A$1801,0)),0)</f>
        <v/>
      </c>
      <c r="G1232" s="21">
        <f>IF(F1232=0,"",YEAR(F1232))</f>
        <v/>
      </c>
      <c r="H1232" s="21">
        <f>IF(F1232=0,"",MONTH(F1232))</f>
        <v/>
      </c>
      <c r="I1232" s="21">
        <f>IFERROR(INDEX(Pedidos!$E$2:$E$1801,MATCH(B1232,Pedidos!$A$2:$A$1801,0)),"")</f>
        <v/>
      </c>
      <c r="J1232" s="21">
        <f>IFERROR(INDEX(Pedidos!$C$2:$C$1801,MATCH(B1232,Pedidos!$A$2:$A$1801,0)),"")</f>
        <v/>
      </c>
      <c r="K1232" s="21">
        <f>IFERROR(INDEX(Pedidos!$D$2:$D$1801,MATCH(B1232,Pedidos!$A$2:$A$1801,0)),"")</f>
        <v/>
      </c>
      <c r="L1232" s="21">
        <f>IFERROR(INDEX(Pedidos!$F$2:$F$1801,MATCH(B1232,Pedidos!$A$2:$A$1801,0)),"")</f>
        <v/>
      </c>
      <c r="M1232" s="22">
        <f>IFERROR(INDEX(Pedidos!$G$2:$G$1801,MATCH(B1232,Pedidos!$A$2:$A$1801,0)),0)</f>
        <v/>
      </c>
      <c r="N1232" s="21">
        <f>IFERROR(INDEX(Produtos!$B$2:$B$71,MATCH(C1232,Produtos!$A$2:$A$71,0)),"")</f>
        <v/>
      </c>
      <c r="O1232" s="21">
        <f>IFERROR(INDEX(Produtos!$C$2:$C$71,MATCH(C1232,Produtos!$A$2:$A$71,0)),"")</f>
        <v/>
      </c>
      <c r="P1232" s="21">
        <f>IFERROR(INDEX(Produtos!$D$2:$D$71,MATCH(C1232,Produtos!$A$2:$A$71,0)),0)</f>
        <v/>
      </c>
      <c r="Q1232" s="21">
        <f>IFERROR(INDEX(Produtos!$E$2:$E$71,MATCH(C1232,Produtos!$A$2:$A$71,0)),0)</f>
        <v/>
      </c>
      <c r="R1232" s="23">
        <f>D1232*Q1232</f>
        <v/>
      </c>
      <c r="S1232" s="23">
        <f>R1232*E1232</f>
        <v/>
      </c>
      <c r="T1232" s="23">
        <f>(R1232-S1232)*M1232</f>
        <v/>
      </c>
      <c r="U1232" s="23">
        <f>R1232-S1232-T1232</f>
        <v/>
      </c>
      <c r="V1232" s="23">
        <f>D1232*P1232</f>
        <v/>
      </c>
      <c r="W1232" s="23">
        <f>U1232-V1232</f>
        <v/>
      </c>
      <c r="X1232" s="24">
        <f>IFERROR(W1232/U1232,0)</f>
        <v/>
      </c>
    </row>
    <row r="1233">
      <c r="A1233" s="25">
        <f>ItensPedido!A1233</f>
        <v/>
      </c>
      <c r="B1233" s="25">
        <f>ItensPedido!B1233</f>
        <v/>
      </c>
      <c r="C1233" s="25">
        <f>ItensPedido!C1233</f>
        <v/>
      </c>
      <c r="D1233" s="25">
        <f>ItensPedido!D1233</f>
        <v/>
      </c>
      <c r="E1233" s="26">
        <f>ItensPedido!E1233</f>
        <v/>
      </c>
      <c r="F1233" s="25">
        <f>IFERROR(INDEX(Pedidos!$B$2:$B$1801,MATCH(B1233,Pedidos!$A$2:$A$1801,0)),0)</f>
        <v/>
      </c>
      <c r="G1233" s="25">
        <f>IF(F1233=0,"",YEAR(F1233))</f>
        <v/>
      </c>
      <c r="H1233" s="25">
        <f>IF(F1233=0,"",MONTH(F1233))</f>
        <v/>
      </c>
      <c r="I1233" s="25">
        <f>IFERROR(INDEX(Pedidos!$E$2:$E$1801,MATCH(B1233,Pedidos!$A$2:$A$1801,0)),"")</f>
        <v/>
      </c>
      <c r="J1233" s="25">
        <f>IFERROR(INDEX(Pedidos!$C$2:$C$1801,MATCH(B1233,Pedidos!$A$2:$A$1801,0)),"")</f>
        <v/>
      </c>
      <c r="K1233" s="25">
        <f>IFERROR(INDEX(Pedidos!$D$2:$D$1801,MATCH(B1233,Pedidos!$A$2:$A$1801,0)),"")</f>
        <v/>
      </c>
      <c r="L1233" s="25">
        <f>IFERROR(INDEX(Pedidos!$F$2:$F$1801,MATCH(B1233,Pedidos!$A$2:$A$1801,0)),"")</f>
        <v/>
      </c>
      <c r="M1233" s="26">
        <f>IFERROR(INDEX(Pedidos!$G$2:$G$1801,MATCH(B1233,Pedidos!$A$2:$A$1801,0)),0)</f>
        <v/>
      </c>
      <c r="N1233" s="25">
        <f>IFERROR(INDEX(Produtos!$B$2:$B$71,MATCH(C1233,Produtos!$A$2:$A$71,0)),"")</f>
        <v/>
      </c>
      <c r="O1233" s="25">
        <f>IFERROR(INDEX(Produtos!$C$2:$C$71,MATCH(C1233,Produtos!$A$2:$A$71,0)),"")</f>
        <v/>
      </c>
      <c r="P1233" s="25">
        <f>IFERROR(INDEX(Produtos!$D$2:$D$71,MATCH(C1233,Produtos!$A$2:$A$71,0)),0)</f>
        <v/>
      </c>
      <c r="Q1233" s="25">
        <f>IFERROR(INDEX(Produtos!$E$2:$E$71,MATCH(C1233,Produtos!$A$2:$A$71,0)),0)</f>
        <v/>
      </c>
      <c r="R1233" s="27">
        <f>D1233*Q1233</f>
        <v/>
      </c>
      <c r="S1233" s="27">
        <f>R1233*E1233</f>
        <v/>
      </c>
      <c r="T1233" s="27">
        <f>(R1233-S1233)*M1233</f>
        <v/>
      </c>
      <c r="U1233" s="27">
        <f>R1233-S1233-T1233</f>
        <v/>
      </c>
      <c r="V1233" s="27">
        <f>D1233*P1233</f>
        <v/>
      </c>
      <c r="W1233" s="27">
        <f>U1233-V1233</f>
        <v/>
      </c>
      <c r="X1233" s="28">
        <f>IFERROR(W1233/U1233,0)</f>
        <v/>
      </c>
    </row>
    <row r="1234">
      <c r="A1234" s="21">
        <f>ItensPedido!A1234</f>
        <v/>
      </c>
      <c r="B1234" s="21">
        <f>ItensPedido!B1234</f>
        <v/>
      </c>
      <c r="C1234" s="21">
        <f>ItensPedido!C1234</f>
        <v/>
      </c>
      <c r="D1234" s="21">
        <f>ItensPedido!D1234</f>
        <v/>
      </c>
      <c r="E1234" s="22">
        <f>ItensPedido!E1234</f>
        <v/>
      </c>
      <c r="F1234" s="21">
        <f>IFERROR(INDEX(Pedidos!$B$2:$B$1801,MATCH(B1234,Pedidos!$A$2:$A$1801,0)),0)</f>
        <v/>
      </c>
      <c r="G1234" s="21">
        <f>IF(F1234=0,"",YEAR(F1234))</f>
        <v/>
      </c>
      <c r="H1234" s="21">
        <f>IF(F1234=0,"",MONTH(F1234))</f>
        <v/>
      </c>
      <c r="I1234" s="21">
        <f>IFERROR(INDEX(Pedidos!$E$2:$E$1801,MATCH(B1234,Pedidos!$A$2:$A$1801,0)),"")</f>
        <v/>
      </c>
      <c r="J1234" s="21">
        <f>IFERROR(INDEX(Pedidos!$C$2:$C$1801,MATCH(B1234,Pedidos!$A$2:$A$1801,0)),"")</f>
        <v/>
      </c>
      <c r="K1234" s="21">
        <f>IFERROR(INDEX(Pedidos!$D$2:$D$1801,MATCH(B1234,Pedidos!$A$2:$A$1801,0)),"")</f>
        <v/>
      </c>
      <c r="L1234" s="21">
        <f>IFERROR(INDEX(Pedidos!$F$2:$F$1801,MATCH(B1234,Pedidos!$A$2:$A$1801,0)),"")</f>
        <v/>
      </c>
      <c r="M1234" s="22">
        <f>IFERROR(INDEX(Pedidos!$G$2:$G$1801,MATCH(B1234,Pedidos!$A$2:$A$1801,0)),0)</f>
        <v/>
      </c>
      <c r="N1234" s="21">
        <f>IFERROR(INDEX(Produtos!$B$2:$B$71,MATCH(C1234,Produtos!$A$2:$A$71,0)),"")</f>
        <v/>
      </c>
      <c r="O1234" s="21">
        <f>IFERROR(INDEX(Produtos!$C$2:$C$71,MATCH(C1234,Produtos!$A$2:$A$71,0)),"")</f>
        <v/>
      </c>
      <c r="P1234" s="21">
        <f>IFERROR(INDEX(Produtos!$D$2:$D$71,MATCH(C1234,Produtos!$A$2:$A$71,0)),0)</f>
        <v/>
      </c>
      <c r="Q1234" s="21">
        <f>IFERROR(INDEX(Produtos!$E$2:$E$71,MATCH(C1234,Produtos!$A$2:$A$71,0)),0)</f>
        <v/>
      </c>
      <c r="R1234" s="23">
        <f>D1234*Q1234</f>
        <v/>
      </c>
      <c r="S1234" s="23">
        <f>R1234*E1234</f>
        <v/>
      </c>
      <c r="T1234" s="23">
        <f>(R1234-S1234)*M1234</f>
        <v/>
      </c>
      <c r="U1234" s="23">
        <f>R1234-S1234-T1234</f>
        <v/>
      </c>
      <c r="V1234" s="23">
        <f>D1234*P1234</f>
        <v/>
      </c>
      <c r="W1234" s="23">
        <f>U1234-V1234</f>
        <v/>
      </c>
      <c r="X1234" s="24">
        <f>IFERROR(W1234/U1234,0)</f>
        <v/>
      </c>
    </row>
    <row r="1235">
      <c r="A1235" s="25">
        <f>ItensPedido!A1235</f>
        <v/>
      </c>
      <c r="B1235" s="25">
        <f>ItensPedido!B1235</f>
        <v/>
      </c>
      <c r="C1235" s="25">
        <f>ItensPedido!C1235</f>
        <v/>
      </c>
      <c r="D1235" s="25">
        <f>ItensPedido!D1235</f>
        <v/>
      </c>
      <c r="E1235" s="26">
        <f>ItensPedido!E1235</f>
        <v/>
      </c>
      <c r="F1235" s="25">
        <f>IFERROR(INDEX(Pedidos!$B$2:$B$1801,MATCH(B1235,Pedidos!$A$2:$A$1801,0)),0)</f>
        <v/>
      </c>
      <c r="G1235" s="25">
        <f>IF(F1235=0,"",YEAR(F1235))</f>
        <v/>
      </c>
      <c r="H1235" s="25">
        <f>IF(F1235=0,"",MONTH(F1235))</f>
        <v/>
      </c>
      <c r="I1235" s="25">
        <f>IFERROR(INDEX(Pedidos!$E$2:$E$1801,MATCH(B1235,Pedidos!$A$2:$A$1801,0)),"")</f>
        <v/>
      </c>
      <c r="J1235" s="25">
        <f>IFERROR(INDEX(Pedidos!$C$2:$C$1801,MATCH(B1235,Pedidos!$A$2:$A$1801,0)),"")</f>
        <v/>
      </c>
      <c r="K1235" s="25">
        <f>IFERROR(INDEX(Pedidos!$D$2:$D$1801,MATCH(B1235,Pedidos!$A$2:$A$1801,0)),"")</f>
        <v/>
      </c>
      <c r="L1235" s="25">
        <f>IFERROR(INDEX(Pedidos!$F$2:$F$1801,MATCH(B1235,Pedidos!$A$2:$A$1801,0)),"")</f>
        <v/>
      </c>
      <c r="M1235" s="26">
        <f>IFERROR(INDEX(Pedidos!$G$2:$G$1801,MATCH(B1235,Pedidos!$A$2:$A$1801,0)),0)</f>
        <v/>
      </c>
      <c r="N1235" s="25">
        <f>IFERROR(INDEX(Produtos!$B$2:$B$71,MATCH(C1235,Produtos!$A$2:$A$71,0)),"")</f>
        <v/>
      </c>
      <c r="O1235" s="25">
        <f>IFERROR(INDEX(Produtos!$C$2:$C$71,MATCH(C1235,Produtos!$A$2:$A$71,0)),"")</f>
        <v/>
      </c>
      <c r="P1235" s="25">
        <f>IFERROR(INDEX(Produtos!$D$2:$D$71,MATCH(C1235,Produtos!$A$2:$A$71,0)),0)</f>
        <v/>
      </c>
      <c r="Q1235" s="25">
        <f>IFERROR(INDEX(Produtos!$E$2:$E$71,MATCH(C1235,Produtos!$A$2:$A$71,0)),0)</f>
        <v/>
      </c>
      <c r="R1235" s="27">
        <f>D1235*Q1235</f>
        <v/>
      </c>
      <c r="S1235" s="27">
        <f>R1235*E1235</f>
        <v/>
      </c>
      <c r="T1235" s="27">
        <f>(R1235-S1235)*M1235</f>
        <v/>
      </c>
      <c r="U1235" s="27">
        <f>R1235-S1235-T1235</f>
        <v/>
      </c>
      <c r="V1235" s="27">
        <f>D1235*P1235</f>
        <v/>
      </c>
      <c r="W1235" s="27">
        <f>U1235-V1235</f>
        <v/>
      </c>
      <c r="X1235" s="28">
        <f>IFERROR(W1235/U1235,0)</f>
        <v/>
      </c>
    </row>
    <row r="1236">
      <c r="A1236" s="21">
        <f>ItensPedido!A1236</f>
        <v/>
      </c>
      <c r="B1236" s="21">
        <f>ItensPedido!B1236</f>
        <v/>
      </c>
      <c r="C1236" s="21">
        <f>ItensPedido!C1236</f>
        <v/>
      </c>
      <c r="D1236" s="21">
        <f>ItensPedido!D1236</f>
        <v/>
      </c>
      <c r="E1236" s="22">
        <f>ItensPedido!E1236</f>
        <v/>
      </c>
      <c r="F1236" s="21">
        <f>IFERROR(INDEX(Pedidos!$B$2:$B$1801,MATCH(B1236,Pedidos!$A$2:$A$1801,0)),0)</f>
        <v/>
      </c>
      <c r="G1236" s="21">
        <f>IF(F1236=0,"",YEAR(F1236))</f>
        <v/>
      </c>
      <c r="H1236" s="21">
        <f>IF(F1236=0,"",MONTH(F1236))</f>
        <v/>
      </c>
      <c r="I1236" s="21">
        <f>IFERROR(INDEX(Pedidos!$E$2:$E$1801,MATCH(B1236,Pedidos!$A$2:$A$1801,0)),"")</f>
        <v/>
      </c>
      <c r="J1236" s="21">
        <f>IFERROR(INDEX(Pedidos!$C$2:$C$1801,MATCH(B1236,Pedidos!$A$2:$A$1801,0)),"")</f>
        <v/>
      </c>
      <c r="K1236" s="21">
        <f>IFERROR(INDEX(Pedidos!$D$2:$D$1801,MATCH(B1236,Pedidos!$A$2:$A$1801,0)),"")</f>
        <v/>
      </c>
      <c r="L1236" s="21">
        <f>IFERROR(INDEX(Pedidos!$F$2:$F$1801,MATCH(B1236,Pedidos!$A$2:$A$1801,0)),"")</f>
        <v/>
      </c>
      <c r="M1236" s="22">
        <f>IFERROR(INDEX(Pedidos!$G$2:$G$1801,MATCH(B1236,Pedidos!$A$2:$A$1801,0)),0)</f>
        <v/>
      </c>
      <c r="N1236" s="21">
        <f>IFERROR(INDEX(Produtos!$B$2:$B$71,MATCH(C1236,Produtos!$A$2:$A$71,0)),"")</f>
        <v/>
      </c>
      <c r="O1236" s="21">
        <f>IFERROR(INDEX(Produtos!$C$2:$C$71,MATCH(C1236,Produtos!$A$2:$A$71,0)),"")</f>
        <v/>
      </c>
      <c r="P1236" s="21">
        <f>IFERROR(INDEX(Produtos!$D$2:$D$71,MATCH(C1236,Produtos!$A$2:$A$71,0)),0)</f>
        <v/>
      </c>
      <c r="Q1236" s="21">
        <f>IFERROR(INDEX(Produtos!$E$2:$E$71,MATCH(C1236,Produtos!$A$2:$A$71,0)),0)</f>
        <v/>
      </c>
      <c r="R1236" s="23">
        <f>D1236*Q1236</f>
        <v/>
      </c>
      <c r="S1236" s="23">
        <f>R1236*E1236</f>
        <v/>
      </c>
      <c r="T1236" s="23">
        <f>(R1236-S1236)*M1236</f>
        <v/>
      </c>
      <c r="U1236" s="23">
        <f>R1236-S1236-T1236</f>
        <v/>
      </c>
      <c r="V1236" s="23">
        <f>D1236*P1236</f>
        <v/>
      </c>
      <c r="W1236" s="23">
        <f>U1236-V1236</f>
        <v/>
      </c>
      <c r="X1236" s="24">
        <f>IFERROR(W1236/U1236,0)</f>
        <v/>
      </c>
    </row>
    <row r="1237">
      <c r="A1237" s="25">
        <f>ItensPedido!A1237</f>
        <v/>
      </c>
      <c r="B1237" s="25">
        <f>ItensPedido!B1237</f>
        <v/>
      </c>
      <c r="C1237" s="25">
        <f>ItensPedido!C1237</f>
        <v/>
      </c>
      <c r="D1237" s="25">
        <f>ItensPedido!D1237</f>
        <v/>
      </c>
      <c r="E1237" s="26">
        <f>ItensPedido!E1237</f>
        <v/>
      </c>
      <c r="F1237" s="25">
        <f>IFERROR(INDEX(Pedidos!$B$2:$B$1801,MATCH(B1237,Pedidos!$A$2:$A$1801,0)),0)</f>
        <v/>
      </c>
      <c r="G1237" s="25">
        <f>IF(F1237=0,"",YEAR(F1237))</f>
        <v/>
      </c>
      <c r="H1237" s="25">
        <f>IF(F1237=0,"",MONTH(F1237))</f>
        <v/>
      </c>
      <c r="I1237" s="25">
        <f>IFERROR(INDEX(Pedidos!$E$2:$E$1801,MATCH(B1237,Pedidos!$A$2:$A$1801,0)),"")</f>
        <v/>
      </c>
      <c r="J1237" s="25">
        <f>IFERROR(INDEX(Pedidos!$C$2:$C$1801,MATCH(B1237,Pedidos!$A$2:$A$1801,0)),"")</f>
        <v/>
      </c>
      <c r="K1237" s="25">
        <f>IFERROR(INDEX(Pedidos!$D$2:$D$1801,MATCH(B1237,Pedidos!$A$2:$A$1801,0)),"")</f>
        <v/>
      </c>
      <c r="L1237" s="25">
        <f>IFERROR(INDEX(Pedidos!$F$2:$F$1801,MATCH(B1237,Pedidos!$A$2:$A$1801,0)),"")</f>
        <v/>
      </c>
      <c r="M1237" s="26">
        <f>IFERROR(INDEX(Pedidos!$G$2:$G$1801,MATCH(B1237,Pedidos!$A$2:$A$1801,0)),0)</f>
        <v/>
      </c>
      <c r="N1237" s="25">
        <f>IFERROR(INDEX(Produtos!$B$2:$B$71,MATCH(C1237,Produtos!$A$2:$A$71,0)),"")</f>
        <v/>
      </c>
      <c r="O1237" s="25">
        <f>IFERROR(INDEX(Produtos!$C$2:$C$71,MATCH(C1237,Produtos!$A$2:$A$71,0)),"")</f>
        <v/>
      </c>
      <c r="P1237" s="25">
        <f>IFERROR(INDEX(Produtos!$D$2:$D$71,MATCH(C1237,Produtos!$A$2:$A$71,0)),0)</f>
        <v/>
      </c>
      <c r="Q1237" s="25">
        <f>IFERROR(INDEX(Produtos!$E$2:$E$71,MATCH(C1237,Produtos!$A$2:$A$71,0)),0)</f>
        <v/>
      </c>
      <c r="R1237" s="27">
        <f>D1237*Q1237</f>
        <v/>
      </c>
      <c r="S1237" s="27">
        <f>R1237*E1237</f>
        <v/>
      </c>
      <c r="T1237" s="27">
        <f>(R1237-S1237)*M1237</f>
        <v/>
      </c>
      <c r="U1237" s="27">
        <f>R1237-S1237-T1237</f>
        <v/>
      </c>
      <c r="V1237" s="27">
        <f>D1237*P1237</f>
        <v/>
      </c>
      <c r="W1237" s="27">
        <f>U1237-V1237</f>
        <v/>
      </c>
      <c r="X1237" s="28">
        <f>IFERROR(W1237/U1237,0)</f>
        <v/>
      </c>
    </row>
    <row r="1238">
      <c r="A1238" s="21">
        <f>ItensPedido!A1238</f>
        <v/>
      </c>
      <c r="B1238" s="21">
        <f>ItensPedido!B1238</f>
        <v/>
      </c>
      <c r="C1238" s="21">
        <f>ItensPedido!C1238</f>
        <v/>
      </c>
      <c r="D1238" s="21">
        <f>ItensPedido!D1238</f>
        <v/>
      </c>
      <c r="E1238" s="22">
        <f>ItensPedido!E1238</f>
        <v/>
      </c>
      <c r="F1238" s="21">
        <f>IFERROR(INDEX(Pedidos!$B$2:$B$1801,MATCH(B1238,Pedidos!$A$2:$A$1801,0)),0)</f>
        <v/>
      </c>
      <c r="G1238" s="21">
        <f>IF(F1238=0,"",YEAR(F1238))</f>
        <v/>
      </c>
      <c r="H1238" s="21">
        <f>IF(F1238=0,"",MONTH(F1238))</f>
        <v/>
      </c>
      <c r="I1238" s="21">
        <f>IFERROR(INDEX(Pedidos!$E$2:$E$1801,MATCH(B1238,Pedidos!$A$2:$A$1801,0)),"")</f>
        <v/>
      </c>
      <c r="J1238" s="21">
        <f>IFERROR(INDEX(Pedidos!$C$2:$C$1801,MATCH(B1238,Pedidos!$A$2:$A$1801,0)),"")</f>
        <v/>
      </c>
      <c r="K1238" s="21">
        <f>IFERROR(INDEX(Pedidos!$D$2:$D$1801,MATCH(B1238,Pedidos!$A$2:$A$1801,0)),"")</f>
        <v/>
      </c>
      <c r="L1238" s="21">
        <f>IFERROR(INDEX(Pedidos!$F$2:$F$1801,MATCH(B1238,Pedidos!$A$2:$A$1801,0)),"")</f>
        <v/>
      </c>
      <c r="M1238" s="22">
        <f>IFERROR(INDEX(Pedidos!$G$2:$G$1801,MATCH(B1238,Pedidos!$A$2:$A$1801,0)),0)</f>
        <v/>
      </c>
      <c r="N1238" s="21">
        <f>IFERROR(INDEX(Produtos!$B$2:$B$71,MATCH(C1238,Produtos!$A$2:$A$71,0)),"")</f>
        <v/>
      </c>
      <c r="O1238" s="21">
        <f>IFERROR(INDEX(Produtos!$C$2:$C$71,MATCH(C1238,Produtos!$A$2:$A$71,0)),"")</f>
        <v/>
      </c>
      <c r="P1238" s="21">
        <f>IFERROR(INDEX(Produtos!$D$2:$D$71,MATCH(C1238,Produtos!$A$2:$A$71,0)),0)</f>
        <v/>
      </c>
      <c r="Q1238" s="21">
        <f>IFERROR(INDEX(Produtos!$E$2:$E$71,MATCH(C1238,Produtos!$A$2:$A$71,0)),0)</f>
        <v/>
      </c>
      <c r="R1238" s="23">
        <f>D1238*Q1238</f>
        <v/>
      </c>
      <c r="S1238" s="23">
        <f>R1238*E1238</f>
        <v/>
      </c>
      <c r="T1238" s="23">
        <f>(R1238-S1238)*M1238</f>
        <v/>
      </c>
      <c r="U1238" s="23">
        <f>R1238-S1238-T1238</f>
        <v/>
      </c>
      <c r="V1238" s="23">
        <f>D1238*P1238</f>
        <v/>
      </c>
      <c r="W1238" s="23">
        <f>U1238-V1238</f>
        <v/>
      </c>
      <c r="X1238" s="24">
        <f>IFERROR(W1238/U1238,0)</f>
        <v/>
      </c>
    </row>
    <row r="1239">
      <c r="A1239" s="25">
        <f>ItensPedido!A1239</f>
        <v/>
      </c>
      <c r="B1239" s="25">
        <f>ItensPedido!B1239</f>
        <v/>
      </c>
      <c r="C1239" s="25">
        <f>ItensPedido!C1239</f>
        <v/>
      </c>
      <c r="D1239" s="25">
        <f>ItensPedido!D1239</f>
        <v/>
      </c>
      <c r="E1239" s="26">
        <f>ItensPedido!E1239</f>
        <v/>
      </c>
      <c r="F1239" s="25">
        <f>IFERROR(INDEX(Pedidos!$B$2:$B$1801,MATCH(B1239,Pedidos!$A$2:$A$1801,0)),0)</f>
        <v/>
      </c>
      <c r="G1239" s="25">
        <f>IF(F1239=0,"",YEAR(F1239))</f>
        <v/>
      </c>
      <c r="H1239" s="25">
        <f>IF(F1239=0,"",MONTH(F1239))</f>
        <v/>
      </c>
      <c r="I1239" s="25">
        <f>IFERROR(INDEX(Pedidos!$E$2:$E$1801,MATCH(B1239,Pedidos!$A$2:$A$1801,0)),"")</f>
        <v/>
      </c>
      <c r="J1239" s="25">
        <f>IFERROR(INDEX(Pedidos!$C$2:$C$1801,MATCH(B1239,Pedidos!$A$2:$A$1801,0)),"")</f>
        <v/>
      </c>
      <c r="K1239" s="25">
        <f>IFERROR(INDEX(Pedidos!$D$2:$D$1801,MATCH(B1239,Pedidos!$A$2:$A$1801,0)),"")</f>
        <v/>
      </c>
      <c r="L1239" s="25">
        <f>IFERROR(INDEX(Pedidos!$F$2:$F$1801,MATCH(B1239,Pedidos!$A$2:$A$1801,0)),"")</f>
        <v/>
      </c>
      <c r="M1239" s="26">
        <f>IFERROR(INDEX(Pedidos!$G$2:$G$1801,MATCH(B1239,Pedidos!$A$2:$A$1801,0)),0)</f>
        <v/>
      </c>
      <c r="N1239" s="25">
        <f>IFERROR(INDEX(Produtos!$B$2:$B$71,MATCH(C1239,Produtos!$A$2:$A$71,0)),"")</f>
        <v/>
      </c>
      <c r="O1239" s="25">
        <f>IFERROR(INDEX(Produtos!$C$2:$C$71,MATCH(C1239,Produtos!$A$2:$A$71,0)),"")</f>
        <v/>
      </c>
      <c r="P1239" s="25">
        <f>IFERROR(INDEX(Produtos!$D$2:$D$71,MATCH(C1239,Produtos!$A$2:$A$71,0)),0)</f>
        <v/>
      </c>
      <c r="Q1239" s="25">
        <f>IFERROR(INDEX(Produtos!$E$2:$E$71,MATCH(C1239,Produtos!$A$2:$A$71,0)),0)</f>
        <v/>
      </c>
      <c r="R1239" s="27">
        <f>D1239*Q1239</f>
        <v/>
      </c>
      <c r="S1239" s="27">
        <f>R1239*E1239</f>
        <v/>
      </c>
      <c r="T1239" s="27">
        <f>(R1239-S1239)*M1239</f>
        <v/>
      </c>
      <c r="U1239" s="27">
        <f>R1239-S1239-T1239</f>
        <v/>
      </c>
      <c r="V1239" s="27">
        <f>D1239*P1239</f>
        <v/>
      </c>
      <c r="W1239" s="27">
        <f>U1239-V1239</f>
        <v/>
      </c>
      <c r="X1239" s="28">
        <f>IFERROR(W1239/U1239,0)</f>
        <v/>
      </c>
    </row>
    <row r="1240">
      <c r="A1240" s="21">
        <f>ItensPedido!A1240</f>
        <v/>
      </c>
      <c r="B1240" s="21">
        <f>ItensPedido!B1240</f>
        <v/>
      </c>
      <c r="C1240" s="21">
        <f>ItensPedido!C1240</f>
        <v/>
      </c>
      <c r="D1240" s="21">
        <f>ItensPedido!D1240</f>
        <v/>
      </c>
      <c r="E1240" s="22">
        <f>ItensPedido!E1240</f>
        <v/>
      </c>
      <c r="F1240" s="21">
        <f>IFERROR(INDEX(Pedidos!$B$2:$B$1801,MATCH(B1240,Pedidos!$A$2:$A$1801,0)),0)</f>
        <v/>
      </c>
      <c r="G1240" s="21">
        <f>IF(F1240=0,"",YEAR(F1240))</f>
        <v/>
      </c>
      <c r="H1240" s="21">
        <f>IF(F1240=0,"",MONTH(F1240))</f>
        <v/>
      </c>
      <c r="I1240" s="21">
        <f>IFERROR(INDEX(Pedidos!$E$2:$E$1801,MATCH(B1240,Pedidos!$A$2:$A$1801,0)),"")</f>
        <v/>
      </c>
      <c r="J1240" s="21">
        <f>IFERROR(INDEX(Pedidos!$C$2:$C$1801,MATCH(B1240,Pedidos!$A$2:$A$1801,0)),"")</f>
        <v/>
      </c>
      <c r="K1240" s="21">
        <f>IFERROR(INDEX(Pedidos!$D$2:$D$1801,MATCH(B1240,Pedidos!$A$2:$A$1801,0)),"")</f>
        <v/>
      </c>
      <c r="L1240" s="21">
        <f>IFERROR(INDEX(Pedidos!$F$2:$F$1801,MATCH(B1240,Pedidos!$A$2:$A$1801,0)),"")</f>
        <v/>
      </c>
      <c r="M1240" s="22">
        <f>IFERROR(INDEX(Pedidos!$G$2:$G$1801,MATCH(B1240,Pedidos!$A$2:$A$1801,0)),0)</f>
        <v/>
      </c>
      <c r="N1240" s="21">
        <f>IFERROR(INDEX(Produtos!$B$2:$B$71,MATCH(C1240,Produtos!$A$2:$A$71,0)),"")</f>
        <v/>
      </c>
      <c r="O1240" s="21">
        <f>IFERROR(INDEX(Produtos!$C$2:$C$71,MATCH(C1240,Produtos!$A$2:$A$71,0)),"")</f>
        <v/>
      </c>
      <c r="P1240" s="21">
        <f>IFERROR(INDEX(Produtos!$D$2:$D$71,MATCH(C1240,Produtos!$A$2:$A$71,0)),0)</f>
        <v/>
      </c>
      <c r="Q1240" s="21">
        <f>IFERROR(INDEX(Produtos!$E$2:$E$71,MATCH(C1240,Produtos!$A$2:$A$71,0)),0)</f>
        <v/>
      </c>
      <c r="R1240" s="23">
        <f>D1240*Q1240</f>
        <v/>
      </c>
      <c r="S1240" s="23">
        <f>R1240*E1240</f>
        <v/>
      </c>
      <c r="T1240" s="23">
        <f>(R1240-S1240)*M1240</f>
        <v/>
      </c>
      <c r="U1240" s="23">
        <f>R1240-S1240-T1240</f>
        <v/>
      </c>
      <c r="V1240" s="23">
        <f>D1240*P1240</f>
        <v/>
      </c>
      <c r="W1240" s="23">
        <f>U1240-V1240</f>
        <v/>
      </c>
      <c r="X1240" s="24">
        <f>IFERROR(W1240/U1240,0)</f>
        <v/>
      </c>
    </row>
    <row r="1241">
      <c r="A1241" s="25">
        <f>ItensPedido!A1241</f>
        <v/>
      </c>
      <c r="B1241" s="25">
        <f>ItensPedido!B1241</f>
        <v/>
      </c>
      <c r="C1241" s="25">
        <f>ItensPedido!C1241</f>
        <v/>
      </c>
      <c r="D1241" s="25">
        <f>ItensPedido!D1241</f>
        <v/>
      </c>
      <c r="E1241" s="26">
        <f>ItensPedido!E1241</f>
        <v/>
      </c>
      <c r="F1241" s="25">
        <f>IFERROR(INDEX(Pedidos!$B$2:$B$1801,MATCH(B1241,Pedidos!$A$2:$A$1801,0)),0)</f>
        <v/>
      </c>
      <c r="G1241" s="25">
        <f>IF(F1241=0,"",YEAR(F1241))</f>
        <v/>
      </c>
      <c r="H1241" s="25">
        <f>IF(F1241=0,"",MONTH(F1241))</f>
        <v/>
      </c>
      <c r="I1241" s="25">
        <f>IFERROR(INDEX(Pedidos!$E$2:$E$1801,MATCH(B1241,Pedidos!$A$2:$A$1801,0)),"")</f>
        <v/>
      </c>
      <c r="J1241" s="25">
        <f>IFERROR(INDEX(Pedidos!$C$2:$C$1801,MATCH(B1241,Pedidos!$A$2:$A$1801,0)),"")</f>
        <v/>
      </c>
      <c r="K1241" s="25">
        <f>IFERROR(INDEX(Pedidos!$D$2:$D$1801,MATCH(B1241,Pedidos!$A$2:$A$1801,0)),"")</f>
        <v/>
      </c>
      <c r="L1241" s="25">
        <f>IFERROR(INDEX(Pedidos!$F$2:$F$1801,MATCH(B1241,Pedidos!$A$2:$A$1801,0)),"")</f>
        <v/>
      </c>
      <c r="M1241" s="26">
        <f>IFERROR(INDEX(Pedidos!$G$2:$G$1801,MATCH(B1241,Pedidos!$A$2:$A$1801,0)),0)</f>
        <v/>
      </c>
      <c r="N1241" s="25">
        <f>IFERROR(INDEX(Produtos!$B$2:$B$71,MATCH(C1241,Produtos!$A$2:$A$71,0)),"")</f>
        <v/>
      </c>
      <c r="O1241" s="25">
        <f>IFERROR(INDEX(Produtos!$C$2:$C$71,MATCH(C1241,Produtos!$A$2:$A$71,0)),"")</f>
        <v/>
      </c>
      <c r="P1241" s="25">
        <f>IFERROR(INDEX(Produtos!$D$2:$D$71,MATCH(C1241,Produtos!$A$2:$A$71,0)),0)</f>
        <v/>
      </c>
      <c r="Q1241" s="25">
        <f>IFERROR(INDEX(Produtos!$E$2:$E$71,MATCH(C1241,Produtos!$A$2:$A$71,0)),0)</f>
        <v/>
      </c>
      <c r="R1241" s="27">
        <f>D1241*Q1241</f>
        <v/>
      </c>
      <c r="S1241" s="27">
        <f>R1241*E1241</f>
        <v/>
      </c>
      <c r="T1241" s="27">
        <f>(R1241-S1241)*M1241</f>
        <v/>
      </c>
      <c r="U1241" s="27">
        <f>R1241-S1241-T1241</f>
        <v/>
      </c>
      <c r="V1241" s="27">
        <f>D1241*P1241</f>
        <v/>
      </c>
      <c r="W1241" s="27">
        <f>U1241-V1241</f>
        <v/>
      </c>
      <c r="X1241" s="28">
        <f>IFERROR(W1241/U1241,0)</f>
        <v/>
      </c>
    </row>
    <row r="1242">
      <c r="A1242" s="21">
        <f>ItensPedido!A1242</f>
        <v/>
      </c>
      <c r="B1242" s="21">
        <f>ItensPedido!B1242</f>
        <v/>
      </c>
      <c r="C1242" s="21">
        <f>ItensPedido!C1242</f>
        <v/>
      </c>
      <c r="D1242" s="21">
        <f>ItensPedido!D1242</f>
        <v/>
      </c>
      <c r="E1242" s="22">
        <f>ItensPedido!E1242</f>
        <v/>
      </c>
      <c r="F1242" s="21">
        <f>IFERROR(INDEX(Pedidos!$B$2:$B$1801,MATCH(B1242,Pedidos!$A$2:$A$1801,0)),0)</f>
        <v/>
      </c>
      <c r="G1242" s="21">
        <f>IF(F1242=0,"",YEAR(F1242))</f>
        <v/>
      </c>
      <c r="H1242" s="21">
        <f>IF(F1242=0,"",MONTH(F1242))</f>
        <v/>
      </c>
      <c r="I1242" s="21">
        <f>IFERROR(INDEX(Pedidos!$E$2:$E$1801,MATCH(B1242,Pedidos!$A$2:$A$1801,0)),"")</f>
        <v/>
      </c>
      <c r="J1242" s="21">
        <f>IFERROR(INDEX(Pedidos!$C$2:$C$1801,MATCH(B1242,Pedidos!$A$2:$A$1801,0)),"")</f>
        <v/>
      </c>
      <c r="K1242" s="21">
        <f>IFERROR(INDEX(Pedidos!$D$2:$D$1801,MATCH(B1242,Pedidos!$A$2:$A$1801,0)),"")</f>
        <v/>
      </c>
      <c r="L1242" s="21">
        <f>IFERROR(INDEX(Pedidos!$F$2:$F$1801,MATCH(B1242,Pedidos!$A$2:$A$1801,0)),"")</f>
        <v/>
      </c>
      <c r="M1242" s="22">
        <f>IFERROR(INDEX(Pedidos!$G$2:$G$1801,MATCH(B1242,Pedidos!$A$2:$A$1801,0)),0)</f>
        <v/>
      </c>
      <c r="N1242" s="21">
        <f>IFERROR(INDEX(Produtos!$B$2:$B$71,MATCH(C1242,Produtos!$A$2:$A$71,0)),"")</f>
        <v/>
      </c>
      <c r="O1242" s="21">
        <f>IFERROR(INDEX(Produtos!$C$2:$C$71,MATCH(C1242,Produtos!$A$2:$A$71,0)),"")</f>
        <v/>
      </c>
      <c r="P1242" s="21">
        <f>IFERROR(INDEX(Produtos!$D$2:$D$71,MATCH(C1242,Produtos!$A$2:$A$71,0)),0)</f>
        <v/>
      </c>
      <c r="Q1242" s="21">
        <f>IFERROR(INDEX(Produtos!$E$2:$E$71,MATCH(C1242,Produtos!$A$2:$A$71,0)),0)</f>
        <v/>
      </c>
      <c r="R1242" s="23">
        <f>D1242*Q1242</f>
        <v/>
      </c>
      <c r="S1242" s="23">
        <f>R1242*E1242</f>
        <v/>
      </c>
      <c r="T1242" s="23">
        <f>(R1242-S1242)*M1242</f>
        <v/>
      </c>
      <c r="U1242" s="23">
        <f>R1242-S1242-T1242</f>
        <v/>
      </c>
      <c r="V1242" s="23">
        <f>D1242*P1242</f>
        <v/>
      </c>
      <c r="W1242" s="23">
        <f>U1242-V1242</f>
        <v/>
      </c>
      <c r="X1242" s="24">
        <f>IFERROR(W1242/U1242,0)</f>
        <v/>
      </c>
    </row>
    <row r="1243">
      <c r="A1243" s="25">
        <f>ItensPedido!A1243</f>
        <v/>
      </c>
      <c r="B1243" s="25">
        <f>ItensPedido!B1243</f>
        <v/>
      </c>
      <c r="C1243" s="25">
        <f>ItensPedido!C1243</f>
        <v/>
      </c>
      <c r="D1243" s="25">
        <f>ItensPedido!D1243</f>
        <v/>
      </c>
      <c r="E1243" s="26">
        <f>ItensPedido!E1243</f>
        <v/>
      </c>
      <c r="F1243" s="25">
        <f>IFERROR(INDEX(Pedidos!$B$2:$B$1801,MATCH(B1243,Pedidos!$A$2:$A$1801,0)),0)</f>
        <v/>
      </c>
      <c r="G1243" s="25">
        <f>IF(F1243=0,"",YEAR(F1243))</f>
        <v/>
      </c>
      <c r="H1243" s="25">
        <f>IF(F1243=0,"",MONTH(F1243))</f>
        <v/>
      </c>
      <c r="I1243" s="25">
        <f>IFERROR(INDEX(Pedidos!$E$2:$E$1801,MATCH(B1243,Pedidos!$A$2:$A$1801,0)),"")</f>
        <v/>
      </c>
      <c r="J1243" s="25">
        <f>IFERROR(INDEX(Pedidos!$C$2:$C$1801,MATCH(B1243,Pedidos!$A$2:$A$1801,0)),"")</f>
        <v/>
      </c>
      <c r="K1243" s="25">
        <f>IFERROR(INDEX(Pedidos!$D$2:$D$1801,MATCH(B1243,Pedidos!$A$2:$A$1801,0)),"")</f>
        <v/>
      </c>
      <c r="L1243" s="25">
        <f>IFERROR(INDEX(Pedidos!$F$2:$F$1801,MATCH(B1243,Pedidos!$A$2:$A$1801,0)),"")</f>
        <v/>
      </c>
      <c r="M1243" s="26">
        <f>IFERROR(INDEX(Pedidos!$G$2:$G$1801,MATCH(B1243,Pedidos!$A$2:$A$1801,0)),0)</f>
        <v/>
      </c>
      <c r="N1243" s="25">
        <f>IFERROR(INDEX(Produtos!$B$2:$B$71,MATCH(C1243,Produtos!$A$2:$A$71,0)),"")</f>
        <v/>
      </c>
      <c r="O1243" s="25">
        <f>IFERROR(INDEX(Produtos!$C$2:$C$71,MATCH(C1243,Produtos!$A$2:$A$71,0)),"")</f>
        <v/>
      </c>
      <c r="P1243" s="25">
        <f>IFERROR(INDEX(Produtos!$D$2:$D$71,MATCH(C1243,Produtos!$A$2:$A$71,0)),0)</f>
        <v/>
      </c>
      <c r="Q1243" s="25">
        <f>IFERROR(INDEX(Produtos!$E$2:$E$71,MATCH(C1243,Produtos!$A$2:$A$71,0)),0)</f>
        <v/>
      </c>
      <c r="R1243" s="27">
        <f>D1243*Q1243</f>
        <v/>
      </c>
      <c r="S1243" s="27">
        <f>R1243*E1243</f>
        <v/>
      </c>
      <c r="T1243" s="27">
        <f>(R1243-S1243)*M1243</f>
        <v/>
      </c>
      <c r="U1243" s="27">
        <f>R1243-S1243-T1243</f>
        <v/>
      </c>
      <c r="V1243" s="27">
        <f>D1243*P1243</f>
        <v/>
      </c>
      <c r="W1243" s="27">
        <f>U1243-V1243</f>
        <v/>
      </c>
      <c r="X1243" s="28">
        <f>IFERROR(W1243/U1243,0)</f>
        <v/>
      </c>
    </row>
    <row r="1244">
      <c r="A1244" s="21">
        <f>ItensPedido!A1244</f>
        <v/>
      </c>
      <c r="B1244" s="21">
        <f>ItensPedido!B1244</f>
        <v/>
      </c>
      <c r="C1244" s="21">
        <f>ItensPedido!C1244</f>
        <v/>
      </c>
      <c r="D1244" s="21">
        <f>ItensPedido!D1244</f>
        <v/>
      </c>
      <c r="E1244" s="22">
        <f>ItensPedido!E1244</f>
        <v/>
      </c>
      <c r="F1244" s="21">
        <f>IFERROR(INDEX(Pedidos!$B$2:$B$1801,MATCH(B1244,Pedidos!$A$2:$A$1801,0)),0)</f>
        <v/>
      </c>
      <c r="G1244" s="21">
        <f>IF(F1244=0,"",YEAR(F1244))</f>
        <v/>
      </c>
      <c r="H1244" s="21">
        <f>IF(F1244=0,"",MONTH(F1244))</f>
        <v/>
      </c>
      <c r="I1244" s="21">
        <f>IFERROR(INDEX(Pedidos!$E$2:$E$1801,MATCH(B1244,Pedidos!$A$2:$A$1801,0)),"")</f>
        <v/>
      </c>
      <c r="J1244" s="21">
        <f>IFERROR(INDEX(Pedidos!$C$2:$C$1801,MATCH(B1244,Pedidos!$A$2:$A$1801,0)),"")</f>
        <v/>
      </c>
      <c r="K1244" s="21">
        <f>IFERROR(INDEX(Pedidos!$D$2:$D$1801,MATCH(B1244,Pedidos!$A$2:$A$1801,0)),"")</f>
        <v/>
      </c>
      <c r="L1244" s="21">
        <f>IFERROR(INDEX(Pedidos!$F$2:$F$1801,MATCH(B1244,Pedidos!$A$2:$A$1801,0)),"")</f>
        <v/>
      </c>
      <c r="M1244" s="22">
        <f>IFERROR(INDEX(Pedidos!$G$2:$G$1801,MATCH(B1244,Pedidos!$A$2:$A$1801,0)),0)</f>
        <v/>
      </c>
      <c r="N1244" s="21">
        <f>IFERROR(INDEX(Produtos!$B$2:$B$71,MATCH(C1244,Produtos!$A$2:$A$71,0)),"")</f>
        <v/>
      </c>
      <c r="O1244" s="21">
        <f>IFERROR(INDEX(Produtos!$C$2:$C$71,MATCH(C1244,Produtos!$A$2:$A$71,0)),"")</f>
        <v/>
      </c>
      <c r="P1244" s="21">
        <f>IFERROR(INDEX(Produtos!$D$2:$D$71,MATCH(C1244,Produtos!$A$2:$A$71,0)),0)</f>
        <v/>
      </c>
      <c r="Q1244" s="21">
        <f>IFERROR(INDEX(Produtos!$E$2:$E$71,MATCH(C1244,Produtos!$A$2:$A$71,0)),0)</f>
        <v/>
      </c>
      <c r="R1244" s="23">
        <f>D1244*Q1244</f>
        <v/>
      </c>
      <c r="S1244" s="23">
        <f>R1244*E1244</f>
        <v/>
      </c>
      <c r="T1244" s="23">
        <f>(R1244-S1244)*M1244</f>
        <v/>
      </c>
      <c r="U1244" s="23">
        <f>R1244-S1244-T1244</f>
        <v/>
      </c>
      <c r="V1244" s="23">
        <f>D1244*P1244</f>
        <v/>
      </c>
      <c r="W1244" s="23">
        <f>U1244-V1244</f>
        <v/>
      </c>
      <c r="X1244" s="24">
        <f>IFERROR(W1244/U1244,0)</f>
        <v/>
      </c>
    </row>
    <row r="1245">
      <c r="A1245" s="25">
        <f>ItensPedido!A1245</f>
        <v/>
      </c>
      <c r="B1245" s="25">
        <f>ItensPedido!B1245</f>
        <v/>
      </c>
      <c r="C1245" s="25">
        <f>ItensPedido!C1245</f>
        <v/>
      </c>
      <c r="D1245" s="25">
        <f>ItensPedido!D1245</f>
        <v/>
      </c>
      <c r="E1245" s="26">
        <f>ItensPedido!E1245</f>
        <v/>
      </c>
      <c r="F1245" s="25">
        <f>IFERROR(INDEX(Pedidos!$B$2:$B$1801,MATCH(B1245,Pedidos!$A$2:$A$1801,0)),0)</f>
        <v/>
      </c>
      <c r="G1245" s="25">
        <f>IF(F1245=0,"",YEAR(F1245))</f>
        <v/>
      </c>
      <c r="H1245" s="25">
        <f>IF(F1245=0,"",MONTH(F1245))</f>
        <v/>
      </c>
      <c r="I1245" s="25">
        <f>IFERROR(INDEX(Pedidos!$E$2:$E$1801,MATCH(B1245,Pedidos!$A$2:$A$1801,0)),"")</f>
        <v/>
      </c>
      <c r="J1245" s="25">
        <f>IFERROR(INDEX(Pedidos!$C$2:$C$1801,MATCH(B1245,Pedidos!$A$2:$A$1801,0)),"")</f>
        <v/>
      </c>
      <c r="K1245" s="25">
        <f>IFERROR(INDEX(Pedidos!$D$2:$D$1801,MATCH(B1245,Pedidos!$A$2:$A$1801,0)),"")</f>
        <v/>
      </c>
      <c r="L1245" s="25">
        <f>IFERROR(INDEX(Pedidos!$F$2:$F$1801,MATCH(B1245,Pedidos!$A$2:$A$1801,0)),"")</f>
        <v/>
      </c>
      <c r="M1245" s="26">
        <f>IFERROR(INDEX(Pedidos!$G$2:$G$1801,MATCH(B1245,Pedidos!$A$2:$A$1801,0)),0)</f>
        <v/>
      </c>
      <c r="N1245" s="25">
        <f>IFERROR(INDEX(Produtos!$B$2:$B$71,MATCH(C1245,Produtos!$A$2:$A$71,0)),"")</f>
        <v/>
      </c>
      <c r="O1245" s="25">
        <f>IFERROR(INDEX(Produtos!$C$2:$C$71,MATCH(C1245,Produtos!$A$2:$A$71,0)),"")</f>
        <v/>
      </c>
      <c r="P1245" s="25">
        <f>IFERROR(INDEX(Produtos!$D$2:$D$71,MATCH(C1245,Produtos!$A$2:$A$71,0)),0)</f>
        <v/>
      </c>
      <c r="Q1245" s="25">
        <f>IFERROR(INDEX(Produtos!$E$2:$E$71,MATCH(C1245,Produtos!$A$2:$A$71,0)),0)</f>
        <v/>
      </c>
      <c r="R1245" s="27">
        <f>D1245*Q1245</f>
        <v/>
      </c>
      <c r="S1245" s="27">
        <f>R1245*E1245</f>
        <v/>
      </c>
      <c r="T1245" s="27">
        <f>(R1245-S1245)*M1245</f>
        <v/>
      </c>
      <c r="U1245" s="27">
        <f>R1245-S1245-T1245</f>
        <v/>
      </c>
      <c r="V1245" s="27">
        <f>D1245*P1245</f>
        <v/>
      </c>
      <c r="W1245" s="27">
        <f>U1245-V1245</f>
        <v/>
      </c>
      <c r="X1245" s="28">
        <f>IFERROR(W1245/U1245,0)</f>
        <v/>
      </c>
    </row>
    <row r="1246">
      <c r="A1246" s="21">
        <f>ItensPedido!A1246</f>
        <v/>
      </c>
      <c r="B1246" s="21">
        <f>ItensPedido!B1246</f>
        <v/>
      </c>
      <c r="C1246" s="21">
        <f>ItensPedido!C1246</f>
        <v/>
      </c>
      <c r="D1246" s="21">
        <f>ItensPedido!D1246</f>
        <v/>
      </c>
      <c r="E1246" s="22">
        <f>ItensPedido!E1246</f>
        <v/>
      </c>
      <c r="F1246" s="21">
        <f>IFERROR(INDEX(Pedidos!$B$2:$B$1801,MATCH(B1246,Pedidos!$A$2:$A$1801,0)),0)</f>
        <v/>
      </c>
      <c r="G1246" s="21">
        <f>IF(F1246=0,"",YEAR(F1246))</f>
        <v/>
      </c>
      <c r="H1246" s="21">
        <f>IF(F1246=0,"",MONTH(F1246))</f>
        <v/>
      </c>
      <c r="I1246" s="21">
        <f>IFERROR(INDEX(Pedidos!$E$2:$E$1801,MATCH(B1246,Pedidos!$A$2:$A$1801,0)),"")</f>
        <v/>
      </c>
      <c r="J1246" s="21">
        <f>IFERROR(INDEX(Pedidos!$C$2:$C$1801,MATCH(B1246,Pedidos!$A$2:$A$1801,0)),"")</f>
        <v/>
      </c>
      <c r="K1246" s="21">
        <f>IFERROR(INDEX(Pedidos!$D$2:$D$1801,MATCH(B1246,Pedidos!$A$2:$A$1801,0)),"")</f>
        <v/>
      </c>
      <c r="L1246" s="21">
        <f>IFERROR(INDEX(Pedidos!$F$2:$F$1801,MATCH(B1246,Pedidos!$A$2:$A$1801,0)),"")</f>
        <v/>
      </c>
      <c r="M1246" s="22">
        <f>IFERROR(INDEX(Pedidos!$G$2:$G$1801,MATCH(B1246,Pedidos!$A$2:$A$1801,0)),0)</f>
        <v/>
      </c>
      <c r="N1246" s="21">
        <f>IFERROR(INDEX(Produtos!$B$2:$B$71,MATCH(C1246,Produtos!$A$2:$A$71,0)),"")</f>
        <v/>
      </c>
      <c r="O1246" s="21">
        <f>IFERROR(INDEX(Produtos!$C$2:$C$71,MATCH(C1246,Produtos!$A$2:$A$71,0)),"")</f>
        <v/>
      </c>
      <c r="P1246" s="21">
        <f>IFERROR(INDEX(Produtos!$D$2:$D$71,MATCH(C1246,Produtos!$A$2:$A$71,0)),0)</f>
        <v/>
      </c>
      <c r="Q1246" s="21">
        <f>IFERROR(INDEX(Produtos!$E$2:$E$71,MATCH(C1246,Produtos!$A$2:$A$71,0)),0)</f>
        <v/>
      </c>
      <c r="R1246" s="23">
        <f>D1246*Q1246</f>
        <v/>
      </c>
      <c r="S1246" s="23">
        <f>R1246*E1246</f>
        <v/>
      </c>
      <c r="T1246" s="23">
        <f>(R1246-S1246)*M1246</f>
        <v/>
      </c>
      <c r="U1246" s="23">
        <f>R1246-S1246-T1246</f>
        <v/>
      </c>
      <c r="V1246" s="23">
        <f>D1246*P1246</f>
        <v/>
      </c>
      <c r="W1246" s="23">
        <f>U1246-V1246</f>
        <v/>
      </c>
      <c r="X1246" s="24">
        <f>IFERROR(W1246/U1246,0)</f>
        <v/>
      </c>
    </row>
    <row r="1247">
      <c r="A1247" s="25">
        <f>ItensPedido!A1247</f>
        <v/>
      </c>
      <c r="B1247" s="25">
        <f>ItensPedido!B1247</f>
        <v/>
      </c>
      <c r="C1247" s="25">
        <f>ItensPedido!C1247</f>
        <v/>
      </c>
      <c r="D1247" s="25">
        <f>ItensPedido!D1247</f>
        <v/>
      </c>
      <c r="E1247" s="26">
        <f>ItensPedido!E1247</f>
        <v/>
      </c>
      <c r="F1247" s="25">
        <f>IFERROR(INDEX(Pedidos!$B$2:$B$1801,MATCH(B1247,Pedidos!$A$2:$A$1801,0)),0)</f>
        <v/>
      </c>
      <c r="G1247" s="25">
        <f>IF(F1247=0,"",YEAR(F1247))</f>
        <v/>
      </c>
      <c r="H1247" s="25">
        <f>IF(F1247=0,"",MONTH(F1247))</f>
        <v/>
      </c>
      <c r="I1247" s="25">
        <f>IFERROR(INDEX(Pedidos!$E$2:$E$1801,MATCH(B1247,Pedidos!$A$2:$A$1801,0)),"")</f>
        <v/>
      </c>
      <c r="J1247" s="25">
        <f>IFERROR(INDEX(Pedidos!$C$2:$C$1801,MATCH(B1247,Pedidos!$A$2:$A$1801,0)),"")</f>
        <v/>
      </c>
      <c r="K1247" s="25">
        <f>IFERROR(INDEX(Pedidos!$D$2:$D$1801,MATCH(B1247,Pedidos!$A$2:$A$1801,0)),"")</f>
        <v/>
      </c>
      <c r="L1247" s="25">
        <f>IFERROR(INDEX(Pedidos!$F$2:$F$1801,MATCH(B1247,Pedidos!$A$2:$A$1801,0)),"")</f>
        <v/>
      </c>
      <c r="M1247" s="26">
        <f>IFERROR(INDEX(Pedidos!$G$2:$G$1801,MATCH(B1247,Pedidos!$A$2:$A$1801,0)),0)</f>
        <v/>
      </c>
      <c r="N1247" s="25">
        <f>IFERROR(INDEX(Produtos!$B$2:$B$71,MATCH(C1247,Produtos!$A$2:$A$71,0)),"")</f>
        <v/>
      </c>
      <c r="O1247" s="25">
        <f>IFERROR(INDEX(Produtos!$C$2:$C$71,MATCH(C1247,Produtos!$A$2:$A$71,0)),"")</f>
        <v/>
      </c>
      <c r="P1247" s="25">
        <f>IFERROR(INDEX(Produtos!$D$2:$D$71,MATCH(C1247,Produtos!$A$2:$A$71,0)),0)</f>
        <v/>
      </c>
      <c r="Q1247" s="25">
        <f>IFERROR(INDEX(Produtos!$E$2:$E$71,MATCH(C1247,Produtos!$A$2:$A$71,0)),0)</f>
        <v/>
      </c>
      <c r="R1247" s="27">
        <f>D1247*Q1247</f>
        <v/>
      </c>
      <c r="S1247" s="27">
        <f>R1247*E1247</f>
        <v/>
      </c>
      <c r="T1247" s="27">
        <f>(R1247-S1247)*M1247</f>
        <v/>
      </c>
      <c r="U1247" s="27">
        <f>R1247-S1247-T1247</f>
        <v/>
      </c>
      <c r="V1247" s="27">
        <f>D1247*P1247</f>
        <v/>
      </c>
      <c r="W1247" s="27">
        <f>U1247-V1247</f>
        <v/>
      </c>
      <c r="X1247" s="28">
        <f>IFERROR(W1247/U1247,0)</f>
        <v/>
      </c>
    </row>
    <row r="1248">
      <c r="A1248" s="21">
        <f>ItensPedido!A1248</f>
        <v/>
      </c>
      <c r="B1248" s="21">
        <f>ItensPedido!B1248</f>
        <v/>
      </c>
      <c r="C1248" s="21">
        <f>ItensPedido!C1248</f>
        <v/>
      </c>
      <c r="D1248" s="21">
        <f>ItensPedido!D1248</f>
        <v/>
      </c>
      <c r="E1248" s="22">
        <f>ItensPedido!E1248</f>
        <v/>
      </c>
      <c r="F1248" s="21">
        <f>IFERROR(INDEX(Pedidos!$B$2:$B$1801,MATCH(B1248,Pedidos!$A$2:$A$1801,0)),0)</f>
        <v/>
      </c>
      <c r="G1248" s="21">
        <f>IF(F1248=0,"",YEAR(F1248))</f>
        <v/>
      </c>
      <c r="H1248" s="21">
        <f>IF(F1248=0,"",MONTH(F1248))</f>
        <v/>
      </c>
      <c r="I1248" s="21">
        <f>IFERROR(INDEX(Pedidos!$E$2:$E$1801,MATCH(B1248,Pedidos!$A$2:$A$1801,0)),"")</f>
        <v/>
      </c>
      <c r="J1248" s="21">
        <f>IFERROR(INDEX(Pedidos!$C$2:$C$1801,MATCH(B1248,Pedidos!$A$2:$A$1801,0)),"")</f>
        <v/>
      </c>
      <c r="K1248" s="21">
        <f>IFERROR(INDEX(Pedidos!$D$2:$D$1801,MATCH(B1248,Pedidos!$A$2:$A$1801,0)),"")</f>
        <v/>
      </c>
      <c r="L1248" s="21">
        <f>IFERROR(INDEX(Pedidos!$F$2:$F$1801,MATCH(B1248,Pedidos!$A$2:$A$1801,0)),"")</f>
        <v/>
      </c>
      <c r="M1248" s="22">
        <f>IFERROR(INDEX(Pedidos!$G$2:$G$1801,MATCH(B1248,Pedidos!$A$2:$A$1801,0)),0)</f>
        <v/>
      </c>
      <c r="N1248" s="21">
        <f>IFERROR(INDEX(Produtos!$B$2:$B$71,MATCH(C1248,Produtos!$A$2:$A$71,0)),"")</f>
        <v/>
      </c>
      <c r="O1248" s="21">
        <f>IFERROR(INDEX(Produtos!$C$2:$C$71,MATCH(C1248,Produtos!$A$2:$A$71,0)),"")</f>
        <v/>
      </c>
      <c r="P1248" s="21">
        <f>IFERROR(INDEX(Produtos!$D$2:$D$71,MATCH(C1248,Produtos!$A$2:$A$71,0)),0)</f>
        <v/>
      </c>
      <c r="Q1248" s="21">
        <f>IFERROR(INDEX(Produtos!$E$2:$E$71,MATCH(C1248,Produtos!$A$2:$A$71,0)),0)</f>
        <v/>
      </c>
      <c r="R1248" s="23">
        <f>D1248*Q1248</f>
        <v/>
      </c>
      <c r="S1248" s="23">
        <f>R1248*E1248</f>
        <v/>
      </c>
      <c r="T1248" s="23">
        <f>(R1248-S1248)*M1248</f>
        <v/>
      </c>
      <c r="U1248" s="23">
        <f>R1248-S1248-T1248</f>
        <v/>
      </c>
      <c r="V1248" s="23">
        <f>D1248*P1248</f>
        <v/>
      </c>
      <c r="W1248" s="23">
        <f>U1248-V1248</f>
        <v/>
      </c>
      <c r="X1248" s="24">
        <f>IFERROR(W1248/U1248,0)</f>
        <v/>
      </c>
    </row>
    <row r="1249">
      <c r="A1249" s="25">
        <f>ItensPedido!A1249</f>
        <v/>
      </c>
      <c r="B1249" s="25">
        <f>ItensPedido!B1249</f>
        <v/>
      </c>
      <c r="C1249" s="25">
        <f>ItensPedido!C1249</f>
        <v/>
      </c>
      <c r="D1249" s="25">
        <f>ItensPedido!D1249</f>
        <v/>
      </c>
      <c r="E1249" s="26">
        <f>ItensPedido!E1249</f>
        <v/>
      </c>
      <c r="F1249" s="25">
        <f>IFERROR(INDEX(Pedidos!$B$2:$B$1801,MATCH(B1249,Pedidos!$A$2:$A$1801,0)),0)</f>
        <v/>
      </c>
      <c r="G1249" s="25">
        <f>IF(F1249=0,"",YEAR(F1249))</f>
        <v/>
      </c>
      <c r="H1249" s="25">
        <f>IF(F1249=0,"",MONTH(F1249))</f>
        <v/>
      </c>
      <c r="I1249" s="25">
        <f>IFERROR(INDEX(Pedidos!$E$2:$E$1801,MATCH(B1249,Pedidos!$A$2:$A$1801,0)),"")</f>
        <v/>
      </c>
      <c r="J1249" s="25">
        <f>IFERROR(INDEX(Pedidos!$C$2:$C$1801,MATCH(B1249,Pedidos!$A$2:$A$1801,0)),"")</f>
        <v/>
      </c>
      <c r="K1249" s="25">
        <f>IFERROR(INDEX(Pedidos!$D$2:$D$1801,MATCH(B1249,Pedidos!$A$2:$A$1801,0)),"")</f>
        <v/>
      </c>
      <c r="L1249" s="25">
        <f>IFERROR(INDEX(Pedidos!$F$2:$F$1801,MATCH(B1249,Pedidos!$A$2:$A$1801,0)),"")</f>
        <v/>
      </c>
      <c r="M1249" s="26">
        <f>IFERROR(INDEX(Pedidos!$G$2:$G$1801,MATCH(B1249,Pedidos!$A$2:$A$1801,0)),0)</f>
        <v/>
      </c>
      <c r="N1249" s="25">
        <f>IFERROR(INDEX(Produtos!$B$2:$B$71,MATCH(C1249,Produtos!$A$2:$A$71,0)),"")</f>
        <v/>
      </c>
      <c r="O1249" s="25">
        <f>IFERROR(INDEX(Produtos!$C$2:$C$71,MATCH(C1249,Produtos!$A$2:$A$71,0)),"")</f>
        <v/>
      </c>
      <c r="P1249" s="25">
        <f>IFERROR(INDEX(Produtos!$D$2:$D$71,MATCH(C1249,Produtos!$A$2:$A$71,0)),0)</f>
        <v/>
      </c>
      <c r="Q1249" s="25">
        <f>IFERROR(INDEX(Produtos!$E$2:$E$71,MATCH(C1249,Produtos!$A$2:$A$71,0)),0)</f>
        <v/>
      </c>
      <c r="R1249" s="27">
        <f>D1249*Q1249</f>
        <v/>
      </c>
      <c r="S1249" s="27">
        <f>R1249*E1249</f>
        <v/>
      </c>
      <c r="T1249" s="27">
        <f>(R1249-S1249)*M1249</f>
        <v/>
      </c>
      <c r="U1249" s="27">
        <f>R1249-S1249-T1249</f>
        <v/>
      </c>
      <c r="V1249" s="27">
        <f>D1249*P1249</f>
        <v/>
      </c>
      <c r="W1249" s="27">
        <f>U1249-V1249</f>
        <v/>
      </c>
      <c r="X1249" s="28">
        <f>IFERROR(W1249/U1249,0)</f>
        <v/>
      </c>
    </row>
    <row r="1250">
      <c r="A1250" s="21">
        <f>ItensPedido!A1250</f>
        <v/>
      </c>
      <c r="B1250" s="21">
        <f>ItensPedido!B1250</f>
        <v/>
      </c>
      <c r="C1250" s="21">
        <f>ItensPedido!C1250</f>
        <v/>
      </c>
      <c r="D1250" s="21">
        <f>ItensPedido!D1250</f>
        <v/>
      </c>
      <c r="E1250" s="22">
        <f>ItensPedido!E1250</f>
        <v/>
      </c>
      <c r="F1250" s="21">
        <f>IFERROR(INDEX(Pedidos!$B$2:$B$1801,MATCH(B1250,Pedidos!$A$2:$A$1801,0)),0)</f>
        <v/>
      </c>
      <c r="G1250" s="21">
        <f>IF(F1250=0,"",YEAR(F1250))</f>
        <v/>
      </c>
      <c r="H1250" s="21">
        <f>IF(F1250=0,"",MONTH(F1250))</f>
        <v/>
      </c>
      <c r="I1250" s="21">
        <f>IFERROR(INDEX(Pedidos!$E$2:$E$1801,MATCH(B1250,Pedidos!$A$2:$A$1801,0)),"")</f>
        <v/>
      </c>
      <c r="J1250" s="21">
        <f>IFERROR(INDEX(Pedidos!$C$2:$C$1801,MATCH(B1250,Pedidos!$A$2:$A$1801,0)),"")</f>
        <v/>
      </c>
      <c r="K1250" s="21">
        <f>IFERROR(INDEX(Pedidos!$D$2:$D$1801,MATCH(B1250,Pedidos!$A$2:$A$1801,0)),"")</f>
        <v/>
      </c>
      <c r="L1250" s="21">
        <f>IFERROR(INDEX(Pedidos!$F$2:$F$1801,MATCH(B1250,Pedidos!$A$2:$A$1801,0)),"")</f>
        <v/>
      </c>
      <c r="M1250" s="22">
        <f>IFERROR(INDEX(Pedidos!$G$2:$G$1801,MATCH(B1250,Pedidos!$A$2:$A$1801,0)),0)</f>
        <v/>
      </c>
      <c r="N1250" s="21">
        <f>IFERROR(INDEX(Produtos!$B$2:$B$71,MATCH(C1250,Produtos!$A$2:$A$71,0)),"")</f>
        <v/>
      </c>
      <c r="O1250" s="21">
        <f>IFERROR(INDEX(Produtos!$C$2:$C$71,MATCH(C1250,Produtos!$A$2:$A$71,0)),"")</f>
        <v/>
      </c>
      <c r="P1250" s="21">
        <f>IFERROR(INDEX(Produtos!$D$2:$D$71,MATCH(C1250,Produtos!$A$2:$A$71,0)),0)</f>
        <v/>
      </c>
      <c r="Q1250" s="21">
        <f>IFERROR(INDEX(Produtos!$E$2:$E$71,MATCH(C1250,Produtos!$A$2:$A$71,0)),0)</f>
        <v/>
      </c>
      <c r="R1250" s="23">
        <f>D1250*Q1250</f>
        <v/>
      </c>
      <c r="S1250" s="23">
        <f>R1250*E1250</f>
        <v/>
      </c>
      <c r="T1250" s="23">
        <f>(R1250-S1250)*M1250</f>
        <v/>
      </c>
      <c r="U1250" s="23">
        <f>R1250-S1250-T1250</f>
        <v/>
      </c>
      <c r="V1250" s="23">
        <f>D1250*P1250</f>
        <v/>
      </c>
      <c r="W1250" s="23">
        <f>U1250-V1250</f>
        <v/>
      </c>
      <c r="X1250" s="24">
        <f>IFERROR(W1250/U1250,0)</f>
        <v/>
      </c>
    </row>
    <row r="1251">
      <c r="A1251" s="25">
        <f>ItensPedido!A1251</f>
        <v/>
      </c>
      <c r="B1251" s="25">
        <f>ItensPedido!B1251</f>
        <v/>
      </c>
      <c r="C1251" s="25">
        <f>ItensPedido!C1251</f>
        <v/>
      </c>
      <c r="D1251" s="25">
        <f>ItensPedido!D1251</f>
        <v/>
      </c>
      <c r="E1251" s="26">
        <f>ItensPedido!E1251</f>
        <v/>
      </c>
      <c r="F1251" s="25">
        <f>IFERROR(INDEX(Pedidos!$B$2:$B$1801,MATCH(B1251,Pedidos!$A$2:$A$1801,0)),0)</f>
        <v/>
      </c>
      <c r="G1251" s="25">
        <f>IF(F1251=0,"",YEAR(F1251))</f>
        <v/>
      </c>
      <c r="H1251" s="25">
        <f>IF(F1251=0,"",MONTH(F1251))</f>
        <v/>
      </c>
      <c r="I1251" s="25">
        <f>IFERROR(INDEX(Pedidos!$E$2:$E$1801,MATCH(B1251,Pedidos!$A$2:$A$1801,0)),"")</f>
        <v/>
      </c>
      <c r="J1251" s="25">
        <f>IFERROR(INDEX(Pedidos!$C$2:$C$1801,MATCH(B1251,Pedidos!$A$2:$A$1801,0)),"")</f>
        <v/>
      </c>
      <c r="K1251" s="25">
        <f>IFERROR(INDEX(Pedidos!$D$2:$D$1801,MATCH(B1251,Pedidos!$A$2:$A$1801,0)),"")</f>
        <v/>
      </c>
      <c r="L1251" s="25">
        <f>IFERROR(INDEX(Pedidos!$F$2:$F$1801,MATCH(B1251,Pedidos!$A$2:$A$1801,0)),"")</f>
        <v/>
      </c>
      <c r="M1251" s="26">
        <f>IFERROR(INDEX(Pedidos!$G$2:$G$1801,MATCH(B1251,Pedidos!$A$2:$A$1801,0)),0)</f>
        <v/>
      </c>
      <c r="N1251" s="25">
        <f>IFERROR(INDEX(Produtos!$B$2:$B$71,MATCH(C1251,Produtos!$A$2:$A$71,0)),"")</f>
        <v/>
      </c>
      <c r="O1251" s="25">
        <f>IFERROR(INDEX(Produtos!$C$2:$C$71,MATCH(C1251,Produtos!$A$2:$A$71,0)),"")</f>
        <v/>
      </c>
      <c r="P1251" s="25">
        <f>IFERROR(INDEX(Produtos!$D$2:$D$71,MATCH(C1251,Produtos!$A$2:$A$71,0)),0)</f>
        <v/>
      </c>
      <c r="Q1251" s="25">
        <f>IFERROR(INDEX(Produtos!$E$2:$E$71,MATCH(C1251,Produtos!$A$2:$A$71,0)),0)</f>
        <v/>
      </c>
      <c r="R1251" s="27">
        <f>D1251*Q1251</f>
        <v/>
      </c>
      <c r="S1251" s="27">
        <f>R1251*E1251</f>
        <v/>
      </c>
      <c r="T1251" s="27">
        <f>(R1251-S1251)*M1251</f>
        <v/>
      </c>
      <c r="U1251" s="27">
        <f>R1251-S1251-T1251</f>
        <v/>
      </c>
      <c r="V1251" s="27">
        <f>D1251*P1251</f>
        <v/>
      </c>
      <c r="W1251" s="27">
        <f>U1251-V1251</f>
        <v/>
      </c>
      <c r="X1251" s="28">
        <f>IFERROR(W1251/U1251,0)</f>
        <v/>
      </c>
    </row>
    <row r="1252">
      <c r="A1252" s="21">
        <f>ItensPedido!A1252</f>
        <v/>
      </c>
      <c r="B1252" s="21">
        <f>ItensPedido!B1252</f>
        <v/>
      </c>
      <c r="C1252" s="21">
        <f>ItensPedido!C1252</f>
        <v/>
      </c>
      <c r="D1252" s="21">
        <f>ItensPedido!D1252</f>
        <v/>
      </c>
      <c r="E1252" s="22">
        <f>ItensPedido!E1252</f>
        <v/>
      </c>
      <c r="F1252" s="21">
        <f>IFERROR(INDEX(Pedidos!$B$2:$B$1801,MATCH(B1252,Pedidos!$A$2:$A$1801,0)),0)</f>
        <v/>
      </c>
      <c r="G1252" s="21">
        <f>IF(F1252=0,"",YEAR(F1252))</f>
        <v/>
      </c>
      <c r="H1252" s="21">
        <f>IF(F1252=0,"",MONTH(F1252))</f>
        <v/>
      </c>
      <c r="I1252" s="21">
        <f>IFERROR(INDEX(Pedidos!$E$2:$E$1801,MATCH(B1252,Pedidos!$A$2:$A$1801,0)),"")</f>
        <v/>
      </c>
      <c r="J1252" s="21">
        <f>IFERROR(INDEX(Pedidos!$C$2:$C$1801,MATCH(B1252,Pedidos!$A$2:$A$1801,0)),"")</f>
        <v/>
      </c>
      <c r="K1252" s="21">
        <f>IFERROR(INDEX(Pedidos!$D$2:$D$1801,MATCH(B1252,Pedidos!$A$2:$A$1801,0)),"")</f>
        <v/>
      </c>
      <c r="L1252" s="21">
        <f>IFERROR(INDEX(Pedidos!$F$2:$F$1801,MATCH(B1252,Pedidos!$A$2:$A$1801,0)),"")</f>
        <v/>
      </c>
      <c r="M1252" s="22">
        <f>IFERROR(INDEX(Pedidos!$G$2:$G$1801,MATCH(B1252,Pedidos!$A$2:$A$1801,0)),0)</f>
        <v/>
      </c>
      <c r="N1252" s="21">
        <f>IFERROR(INDEX(Produtos!$B$2:$B$71,MATCH(C1252,Produtos!$A$2:$A$71,0)),"")</f>
        <v/>
      </c>
      <c r="O1252" s="21">
        <f>IFERROR(INDEX(Produtos!$C$2:$C$71,MATCH(C1252,Produtos!$A$2:$A$71,0)),"")</f>
        <v/>
      </c>
      <c r="P1252" s="21">
        <f>IFERROR(INDEX(Produtos!$D$2:$D$71,MATCH(C1252,Produtos!$A$2:$A$71,0)),0)</f>
        <v/>
      </c>
      <c r="Q1252" s="21">
        <f>IFERROR(INDEX(Produtos!$E$2:$E$71,MATCH(C1252,Produtos!$A$2:$A$71,0)),0)</f>
        <v/>
      </c>
      <c r="R1252" s="23">
        <f>D1252*Q1252</f>
        <v/>
      </c>
      <c r="S1252" s="23">
        <f>R1252*E1252</f>
        <v/>
      </c>
      <c r="T1252" s="23">
        <f>(R1252-S1252)*M1252</f>
        <v/>
      </c>
      <c r="U1252" s="23">
        <f>R1252-S1252-T1252</f>
        <v/>
      </c>
      <c r="V1252" s="23">
        <f>D1252*P1252</f>
        <v/>
      </c>
      <c r="W1252" s="23">
        <f>U1252-V1252</f>
        <v/>
      </c>
      <c r="X1252" s="24">
        <f>IFERROR(W1252/U1252,0)</f>
        <v/>
      </c>
    </row>
    <row r="1253">
      <c r="A1253" s="25">
        <f>ItensPedido!A1253</f>
        <v/>
      </c>
      <c r="B1253" s="25">
        <f>ItensPedido!B1253</f>
        <v/>
      </c>
      <c r="C1253" s="25">
        <f>ItensPedido!C1253</f>
        <v/>
      </c>
      <c r="D1253" s="25">
        <f>ItensPedido!D1253</f>
        <v/>
      </c>
      <c r="E1253" s="26">
        <f>ItensPedido!E1253</f>
        <v/>
      </c>
      <c r="F1253" s="25">
        <f>IFERROR(INDEX(Pedidos!$B$2:$B$1801,MATCH(B1253,Pedidos!$A$2:$A$1801,0)),0)</f>
        <v/>
      </c>
      <c r="G1253" s="25">
        <f>IF(F1253=0,"",YEAR(F1253))</f>
        <v/>
      </c>
      <c r="H1253" s="25">
        <f>IF(F1253=0,"",MONTH(F1253))</f>
        <v/>
      </c>
      <c r="I1253" s="25">
        <f>IFERROR(INDEX(Pedidos!$E$2:$E$1801,MATCH(B1253,Pedidos!$A$2:$A$1801,0)),"")</f>
        <v/>
      </c>
      <c r="J1253" s="25">
        <f>IFERROR(INDEX(Pedidos!$C$2:$C$1801,MATCH(B1253,Pedidos!$A$2:$A$1801,0)),"")</f>
        <v/>
      </c>
      <c r="K1253" s="25">
        <f>IFERROR(INDEX(Pedidos!$D$2:$D$1801,MATCH(B1253,Pedidos!$A$2:$A$1801,0)),"")</f>
        <v/>
      </c>
      <c r="L1253" s="25">
        <f>IFERROR(INDEX(Pedidos!$F$2:$F$1801,MATCH(B1253,Pedidos!$A$2:$A$1801,0)),"")</f>
        <v/>
      </c>
      <c r="M1253" s="26">
        <f>IFERROR(INDEX(Pedidos!$G$2:$G$1801,MATCH(B1253,Pedidos!$A$2:$A$1801,0)),0)</f>
        <v/>
      </c>
      <c r="N1253" s="25">
        <f>IFERROR(INDEX(Produtos!$B$2:$B$71,MATCH(C1253,Produtos!$A$2:$A$71,0)),"")</f>
        <v/>
      </c>
      <c r="O1253" s="25">
        <f>IFERROR(INDEX(Produtos!$C$2:$C$71,MATCH(C1253,Produtos!$A$2:$A$71,0)),"")</f>
        <v/>
      </c>
      <c r="P1253" s="25">
        <f>IFERROR(INDEX(Produtos!$D$2:$D$71,MATCH(C1253,Produtos!$A$2:$A$71,0)),0)</f>
        <v/>
      </c>
      <c r="Q1253" s="25">
        <f>IFERROR(INDEX(Produtos!$E$2:$E$71,MATCH(C1253,Produtos!$A$2:$A$71,0)),0)</f>
        <v/>
      </c>
      <c r="R1253" s="27">
        <f>D1253*Q1253</f>
        <v/>
      </c>
      <c r="S1253" s="27">
        <f>R1253*E1253</f>
        <v/>
      </c>
      <c r="T1253" s="27">
        <f>(R1253-S1253)*M1253</f>
        <v/>
      </c>
      <c r="U1253" s="27">
        <f>R1253-S1253-T1253</f>
        <v/>
      </c>
      <c r="V1253" s="27">
        <f>D1253*P1253</f>
        <v/>
      </c>
      <c r="W1253" s="27">
        <f>U1253-V1253</f>
        <v/>
      </c>
      <c r="X1253" s="28">
        <f>IFERROR(W1253/U1253,0)</f>
        <v/>
      </c>
    </row>
    <row r="1254">
      <c r="A1254" s="21">
        <f>ItensPedido!A1254</f>
        <v/>
      </c>
      <c r="B1254" s="21">
        <f>ItensPedido!B1254</f>
        <v/>
      </c>
      <c r="C1254" s="21">
        <f>ItensPedido!C1254</f>
        <v/>
      </c>
      <c r="D1254" s="21">
        <f>ItensPedido!D1254</f>
        <v/>
      </c>
      <c r="E1254" s="22">
        <f>ItensPedido!E1254</f>
        <v/>
      </c>
      <c r="F1254" s="21">
        <f>IFERROR(INDEX(Pedidos!$B$2:$B$1801,MATCH(B1254,Pedidos!$A$2:$A$1801,0)),0)</f>
        <v/>
      </c>
      <c r="G1254" s="21">
        <f>IF(F1254=0,"",YEAR(F1254))</f>
        <v/>
      </c>
      <c r="H1254" s="21">
        <f>IF(F1254=0,"",MONTH(F1254))</f>
        <v/>
      </c>
      <c r="I1254" s="21">
        <f>IFERROR(INDEX(Pedidos!$E$2:$E$1801,MATCH(B1254,Pedidos!$A$2:$A$1801,0)),"")</f>
        <v/>
      </c>
      <c r="J1254" s="21">
        <f>IFERROR(INDEX(Pedidos!$C$2:$C$1801,MATCH(B1254,Pedidos!$A$2:$A$1801,0)),"")</f>
        <v/>
      </c>
      <c r="K1254" s="21">
        <f>IFERROR(INDEX(Pedidos!$D$2:$D$1801,MATCH(B1254,Pedidos!$A$2:$A$1801,0)),"")</f>
        <v/>
      </c>
      <c r="L1254" s="21">
        <f>IFERROR(INDEX(Pedidos!$F$2:$F$1801,MATCH(B1254,Pedidos!$A$2:$A$1801,0)),"")</f>
        <v/>
      </c>
      <c r="M1254" s="22">
        <f>IFERROR(INDEX(Pedidos!$G$2:$G$1801,MATCH(B1254,Pedidos!$A$2:$A$1801,0)),0)</f>
        <v/>
      </c>
      <c r="N1254" s="21">
        <f>IFERROR(INDEX(Produtos!$B$2:$B$71,MATCH(C1254,Produtos!$A$2:$A$71,0)),"")</f>
        <v/>
      </c>
      <c r="O1254" s="21">
        <f>IFERROR(INDEX(Produtos!$C$2:$C$71,MATCH(C1254,Produtos!$A$2:$A$71,0)),"")</f>
        <v/>
      </c>
      <c r="P1254" s="21">
        <f>IFERROR(INDEX(Produtos!$D$2:$D$71,MATCH(C1254,Produtos!$A$2:$A$71,0)),0)</f>
        <v/>
      </c>
      <c r="Q1254" s="21">
        <f>IFERROR(INDEX(Produtos!$E$2:$E$71,MATCH(C1254,Produtos!$A$2:$A$71,0)),0)</f>
        <v/>
      </c>
      <c r="R1254" s="23">
        <f>D1254*Q1254</f>
        <v/>
      </c>
      <c r="S1254" s="23">
        <f>R1254*E1254</f>
        <v/>
      </c>
      <c r="T1254" s="23">
        <f>(R1254-S1254)*M1254</f>
        <v/>
      </c>
      <c r="U1254" s="23">
        <f>R1254-S1254-T1254</f>
        <v/>
      </c>
      <c r="V1254" s="23">
        <f>D1254*P1254</f>
        <v/>
      </c>
      <c r="W1254" s="23">
        <f>U1254-V1254</f>
        <v/>
      </c>
      <c r="X1254" s="24">
        <f>IFERROR(W1254/U1254,0)</f>
        <v/>
      </c>
    </row>
    <row r="1255">
      <c r="A1255" s="25">
        <f>ItensPedido!A1255</f>
        <v/>
      </c>
      <c r="B1255" s="25">
        <f>ItensPedido!B1255</f>
        <v/>
      </c>
      <c r="C1255" s="25">
        <f>ItensPedido!C1255</f>
        <v/>
      </c>
      <c r="D1255" s="25">
        <f>ItensPedido!D1255</f>
        <v/>
      </c>
      <c r="E1255" s="26">
        <f>ItensPedido!E1255</f>
        <v/>
      </c>
      <c r="F1255" s="25">
        <f>IFERROR(INDEX(Pedidos!$B$2:$B$1801,MATCH(B1255,Pedidos!$A$2:$A$1801,0)),0)</f>
        <v/>
      </c>
      <c r="G1255" s="25">
        <f>IF(F1255=0,"",YEAR(F1255))</f>
        <v/>
      </c>
      <c r="H1255" s="25">
        <f>IF(F1255=0,"",MONTH(F1255))</f>
        <v/>
      </c>
      <c r="I1255" s="25">
        <f>IFERROR(INDEX(Pedidos!$E$2:$E$1801,MATCH(B1255,Pedidos!$A$2:$A$1801,0)),"")</f>
        <v/>
      </c>
      <c r="J1255" s="25">
        <f>IFERROR(INDEX(Pedidos!$C$2:$C$1801,MATCH(B1255,Pedidos!$A$2:$A$1801,0)),"")</f>
        <v/>
      </c>
      <c r="K1255" s="25">
        <f>IFERROR(INDEX(Pedidos!$D$2:$D$1801,MATCH(B1255,Pedidos!$A$2:$A$1801,0)),"")</f>
        <v/>
      </c>
      <c r="L1255" s="25">
        <f>IFERROR(INDEX(Pedidos!$F$2:$F$1801,MATCH(B1255,Pedidos!$A$2:$A$1801,0)),"")</f>
        <v/>
      </c>
      <c r="M1255" s="26">
        <f>IFERROR(INDEX(Pedidos!$G$2:$G$1801,MATCH(B1255,Pedidos!$A$2:$A$1801,0)),0)</f>
        <v/>
      </c>
      <c r="N1255" s="25">
        <f>IFERROR(INDEX(Produtos!$B$2:$B$71,MATCH(C1255,Produtos!$A$2:$A$71,0)),"")</f>
        <v/>
      </c>
      <c r="O1255" s="25">
        <f>IFERROR(INDEX(Produtos!$C$2:$C$71,MATCH(C1255,Produtos!$A$2:$A$71,0)),"")</f>
        <v/>
      </c>
      <c r="P1255" s="25">
        <f>IFERROR(INDEX(Produtos!$D$2:$D$71,MATCH(C1255,Produtos!$A$2:$A$71,0)),0)</f>
        <v/>
      </c>
      <c r="Q1255" s="25">
        <f>IFERROR(INDEX(Produtos!$E$2:$E$71,MATCH(C1255,Produtos!$A$2:$A$71,0)),0)</f>
        <v/>
      </c>
      <c r="R1255" s="27">
        <f>D1255*Q1255</f>
        <v/>
      </c>
      <c r="S1255" s="27">
        <f>R1255*E1255</f>
        <v/>
      </c>
      <c r="T1255" s="27">
        <f>(R1255-S1255)*M1255</f>
        <v/>
      </c>
      <c r="U1255" s="27">
        <f>R1255-S1255-T1255</f>
        <v/>
      </c>
      <c r="V1255" s="27">
        <f>D1255*P1255</f>
        <v/>
      </c>
      <c r="W1255" s="27">
        <f>U1255-V1255</f>
        <v/>
      </c>
      <c r="X1255" s="28">
        <f>IFERROR(W1255/U1255,0)</f>
        <v/>
      </c>
    </row>
    <row r="1256">
      <c r="A1256" s="21">
        <f>ItensPedido!A1256</f>
        <v/>
      </c>
      <c r="B1256" s="21">
        <f>ItensPedido!B1256</f>
        <v/>
      </c>
      <c r="C1256" s="21">
        <f>ItensPedido!C1256</f>
        <v/>
      </c>
      <c r="D1256" s="21">
        <f>ItensPedido!D1256</f>
        <v/>
      </c>
      <c r="E1256" s="22">
        <f>ItensPedido!E1256</f>
        <v/>
      </c>
      <c r="F1256" s="21">
        <f>IFERROR(INDEX(Pedidos!$B$2:$B$1801,MATCH(B1256,Pedidos!$A$2:$A$1801,0)),0)</f>
        <v/>
      </c>
      <c r="G1256" s="21">
        <f>IF(F1256=0,"",YEAR(F1256))</f>
        <v/>
      </c>
      <c r="H1256" s="21">
        <f>IF(F1256=0,"",MONTH(F1256))</f>
        <v/>
      </c>
      <c r="I1256" s="21">
        <f>IFERROR(INDEX(Pedidos!$E$2:$E$1801,MATCH(B1256,Pedidos!$A$2:$A$1801,0)),"")</f>
        <v/>
      </c>
      <c r="J1256" s="21">
        <f>IFERROR(INDEX(Pedidos!$C$2:$C$1801,MATCH(B1256,Pedidos!$A$2:$A$1801,0)),"")</f>
        <v/>
      </c>
      <c r="K1256" s="21">
        <f>IFERROR(INDEX(Pedidos!$D$2:$D$1801,MATCH(B1256,Pedidos!$A$2:$A$1801,0)),"")</f>
        <v/>
      </c>
      <c r="L1256" s="21">
        <f>IFERROR(INDEX(Pedidos!$F$2:$F$1801,MATCH(B1256,Pedidos!$A$2:$A$1801,0)),"")</f>
        <v/>
      </c>
      <c r="M1256" s="22">
        <f>IFERROR(INDEX(Pedidos!$G$2:$G$1801,MATCH(B1256,Pedidos!$A$2:$A$1801,0)),0)</f>
        <v/>
      </c>
      <c r="N1256" s="21">
        <f>IFERROR(INDEX(Produtos!$B$2:$B$71,MATCH(C1256,Produtos!$A$2:$A$71,0)),"")</f>
        <v/>
      </c>
      <c r="O1256" s="21">
        <f>IFERROR(INDEX(Produtos!$C$2:$C$71,MATCH(C1256,Produtos!$A$2:$A$71,0)),"")</f>
        <v/>
      </c>
      <c r="P1256" s="21">
        <f>IFERROR(INDEX(Produtos!$D$2:$D$71,MATCH(C1256,Produtos!$A$2:$A$71,0)),0)</f>
        <v/>
      </c>
      <c r="Q1256" s="21">
        <f>IFERROR(INDEX(Produtos!$E$2:$E$71,MATCH(C1256,Produtos!$A$2:$A$71,0)),0)</f>
        <v/>
      </c>
      <c r="R1256" s="23">
        <f>D1256*Q1256</f>
        <v/>
      </c>
      <c r="S1256" s="23">
        <f>R1256*E1256</f>
        <v/>
      </c>
      <c r="T1256" s="23">
        <f>(R1256-S1256)*M1256</f>
        <v/>
      </c>
      <c r="U1256" s="23">
        <f>R1256-S1256-T1256</f>
        <v/>
      </c>
      <c r="V1256" s="23">
        <f>D1256*P1256</f>
        <v/>
      </c>
      <c r="W1256" s="23">
        <f>U1256-V1256</f>
        <v/>
      </c>
      <c r="X1256" s="24">
        <f>IFERROR(W1256/U1256,0)</f>
        <v/>
      </c>
    </row>
    <row r="1257">
      <c r="A1257" s="25">
        <f>ItensPedido!A1257</f>
        <v/>
      </c>
      <c r="B1257" s="25">
        <f>ItensPedido!B1257</f>
        <v/>
      </c>
      <c r="C1257" s="25">
        <f>ItensPedido!C1257</f>
        <v/>
      </c>
      <c r="D1257" s="25">
        <f>ItensPedido!D1257</f>
        <v/>
      </c>
      <c r="E1257" s="26">
        <f>ItensPedido!E1257</f>
        <v/>
      </c>
      <c r="F1257" s="25">
        <f>IFERROR(INDEX(Pedidos!$B$2:$B$1801,MATCH(B1257,Pedidos!$A$2:$A$1801,0)),0)</f>
        <v/>
      </c>
      <c r="G1257" s="25">
        <f>IF(F1257=0,"",YEAR(F1257))</f>
        <v/>
      </c>
      <c r="H1257" s="25">
        <f>IF(F1257=0,"",MONTH(F1257))</f>
        <v/>
      </c>
      <c r="I1257" s="25">
        <f>IFERROR(INDEX(Pedidos!$E$2:$E$1801,MATCH(B1257,Pedidos!$A$2:$A$1801,0)),"")</f>
        <v/>
      </c>
      <c r="J1257" s="25">
        <f>IFERROR(INDEX(Pedidos!$C$2:$C$1801,MATCH(B1257,Pedidos!$A$2:$A$1801,0)),"")</f>
        <v/>
      </c>
      <c r="K1257" s="25">
        <f>IFERROR(INDEX(Pedidos!$D$2:$D$1801,MATCH(B1257,Pedidos!$A$2:$A$1801,0)),"")</f>
        <v/>
      </c>
      <c r="L1257" s="25">
        <f>IFERROR(INDEX(Pedidos!$F$2:$F$1801,MATCH(B1257,Pedidos!$A$2:$A$1801,0)),"")</f>
        <v/>
      </c>
      <c r="M1257" s="26">
        <f>IFERROR(INDEX(Pedidos!$G$2:$G$1801,MATCH(B1257,Pedidos!$A$2:$A$1801,0)),0)</f>
        <v/>
      </c>
      <c r="N1257" s="25">
        <f>IFERROR(INDEX(Produtos!$B$2:$B$71,MATCH(C1257,Produtos!$A$2:$A$71,0)),"")</f>
        <v/>
      </c>
      <c r="O1257" s="25">
        <f>IFERROR(INDEX(Produtos!$C$2:$C$71,MATCH(C1257,Produtos!$A$2:$A$71,0)),"")</f>
        <v/>
      </c>
      <c r="P1257" s="25">
        <f>IFERROR(INDEX(Produtos!$D$2:$D$71,MATCH(C1257,Produtos!$A$2:$A$71,0)),0)</f>
        <v/>
      </c>
      <c r="Q1257" s="25">
        <f>IFERROR(INDEX(Produtos!$E$2:$E$71,MATCH(C1257,Produtos!$A$2:$A$71,0)),0)</f>
        <v/>
      </c>
      <c r="R1257" s="27">
        <f>D1257*Q1257</f>
        <v/>
      </c>
      <c r="S1257" s="27">
        <f>R1257*E1257</f>
        <v/>
      </c>
      <c r="T1257" s="27">
        <f>(R1257-S1257)*M1257</f>
        <v/>
      </c>
      <c r="U1257" s="27">
        <f>R1257-S1257-T1257</f>
        <v/>
      </c>
      <c r="V1257" s="27">
        <f>D1257*P1257</f>
        <v/>
      </c>
      <c r="W1257" s="27">
        <f>U1257-V1257</f>
        <v/>
      </c>
      <c r="X1257" s="28">
        <f>IFERROR(W1257/U1257,0)</f>
        <v/>
      </c>
    </row>
    <row r="1258">
      <c r="A1258" s="21">
        <f>ItensPedido!A1258</f>
        <v/>
      </c>
      <c r="B1258" s="21">
        <f>ItensPedido!B1258</f>
        <v/>
      </c>
      <c r="C1258" s="21">
        <f>ItensPedido!C1258</f>
        <v/>
      </c>
      <c r="D1258" s="21">
        <f>ItensPedido!D1258</f>
        <v/>
      </c>
      <c r="E1258" s="22">
        <f>ItensPedido!E1258</f>
        <v/>
      </c>
      <c r="F1258" s="21">
        <f>IFERROR(INDEX(Pedidos!$B$2:$B$1801,MATCH(B1258,Pedidos!$A$2:$A$1801,0)),0)</f>
        <v/>
      </c>
      <c r="G1258" s="21">
        <f>IF(F1258=0,"",YEAR(F1258))</f>
        <v/>
      </c>
      <c r="H1258" s="21">
        <f>IF(F1258=0,"",MONTH(F1258))</f>
        <v/>
      </c>
      <c r="I1258" s="21">
        <f>IFERROR(INDEX(Pedidos!$E$2:$E$1801,MATCH(B1258,Pedidos!$A$2:$A$1801,0)),"")</f>
        <v/>
      </c>
      <c r="J1258" s="21">
        <f>IFERROR(INDEX(Pedidos!$C$2:$C$1801,MATCH(B1258,Pedidos!$A$2:$A$1801,0)),"")</f>
        <v/>
      </c>
      <c r="K1258" s="21">
        <f>IFERROR(INDEX(Pedidos!$D$2:$D$1801,MATCH(B1258,Pedidos!$A$2:$A$1801,0)),"")</f>
        <v/>
      </c>
      <c r="L1258" s="21">
        <f>IFERROR(INDEX(Pedidos!$F$2:$F$1801,MATCH(B1258,Pedidos!$A$2:$A$1801,0)),"")</f>
        <v/>
      </c>
      <c r="M1258" s="22">
        <f>IFERROR(INDEX(Pedidos!$G$2:$G$1801,MATCH(B1258,Pedidos!$A$2:$A$1801,0)),0)</f>
        <v/>
      </c>
      <c r="N1258" s="21">
        <f>IFERROR(INDEX(Produtos!$B$2:$B$71,MATCH(C1258,Produtos!$A$2:$A$71,0)),"")</f>
        <v/>
      </c>
      <c r="O1258" s="21">
        <f>IFERROR(INDEX(Produtos!$C$2:$C$71,MATCH(C1258,Produtos!$A$2:$A$71,0)),"")</f>
        <v/>
      </c>
      <c r="P1258" s="21">
        <f>IFERROR(INDEX(Produtos!$D$2:$D$71,MATCH(C1258,Produtos!$A$2:$A$71,0)),0)</f>
        <v/>
      </c>
      <c r="Q1258" s="21">
        <f>IFERROR(INDEX(Produtos!$E$2:$E$71,MATCH(C1258,Produtos!$A$2:$A$71,0)),0)</f>
        <v/>
      </c>
      <c r="R1258" s="23">
        <f>D1258*Q1258</f>
        <v/>
      </c>
      <c r="S1258" s="23">
        <f>R1258*E1258</f>
        <v/>
      </c>
      <c r="T1258" s="23">
        <f>(R1258-S1258)*M1258</f>
        <v/>
      </c>
      <c r="U1258" s="23">
        <f>R1258-S1258-T1258</f>
        <v/>
      </c>
      <c r="V1258" s="23">
        <f>D1258*P1258</f>
        <v/>
      </c>
      <c r="W1258" s="23">
        <f>U1258-V1258</f>
        <v/>
      </c>
      <c r="X1258" s="24">
        <f>IFERROR(W1258/U1258,0)</f>
        <v/>
      </c>
    </row>
    <row r="1259">
      <c r="A1259" s="25">
        <f>ItensPedido!A1259</f>
        <v/>
      </c>
      <c r="B1259" s="25">
        <f>ItensPedido!B1259</f>
        <v/>
      </c>
      <c r="C1259" s="25">
        <f>ItensPedido!C1259</f>
        <v/>
      </c>
      <c r="D1259" s="25">
        <f>ItensPedido!D1259</f>
        <v/>
      </c>
      <c r="E1259" s="26">
        <f>ItensPedido!E1259</f>
        <v/>
      </c>
      <c r="F1259" s="25">
        <f>IFERROR(INDEX(Pedidos!$B$2:$B$1801,MATCH(B1259,Pedidos!$A$2:$A$1801,0)),0)</f>
        <v/>
      </c>
      <c r="G1259" s="25">
        <f>IF(F1259=0,"",YEAR(F1259))</f>
        <v/>
      </c>
      <c r="H1259" s="25">
        <f>IF(F1259=0,"",MONTH(F1259))</f>
        <v/>
      </c>
      <c r="I1259" s="25">
        <f>IFERROR(INDEX(Pedidos!$E$2:$E$1801,MATCH(B1259,Pedidos!$A$2:$A$1801,0)),"")</f>
        <v/>
      </c>
      <c r="J1259" s="25">
        <f>IFERROR(INDEX(Pedidos!$C$2:$C$1801,MATCH(B1259,Pedidos!$A$2:$A$1801,0)),"")</f>
        <v/>
      </c>
      <c r="K1259" s="25">
        <f>IFERROR(INDEX(Pedidos!$D$2:$D$1801,MATCH(B1259,Pedidos!$A$2:$A$1801,0)),"")</f>
        <v/>
      </c>
      <c r="L1259" s="25">
        <f>IFERROR(INDEX(Pedidos!$F$2:$F$1801,MATCH(B1259,Pedidos!$A$2:$A$1801,0)),"")</f>
        <v/>
      </c>
      <c r="M1259" s="26">
        <f>IFERROR(INDEX(Pedidos!$G$2:$G$1801,MATCH(B1259,Pedidos!$A$2:$A$1801,0)),0)</f>
        <v/>
      </c>
      <c r="N1259" s="25">
        <f>IFERROR(INDEX(Produtos!$B$2:$B$71,MATCH(C1259,Produtos!$A$2:$A$71,0)),"")</f>
        <v/>
      </c>
      <c r="O1259" s="25">
        <f>IFERROR(INDEX(Produtos!$C$2:$C$71,MATCH(C1259,Produtos!$A$2:$A$71,0)),"")</f>
        <v/>
      </c>
      <c r="P1259" s="25">
        <f>IFERROR(INDEX(Produtos!$D$2:$D$71,MATCH(C1259,Produtos!$A$2:$A$71,0)),0)</f>
        <v/>
      </c>
      <c r="Q1259" s="25">
        <f>IFERROR(INDEX(Produtos!$E$2:$E$71,MATCH(C1259,Produtos!$A$2:$A$71,0)),0)</f>
        <v/>
      </c>
      <c r="R1259" s="27">
        <f>D1259*Q1259</f>
        <v/>
      </c>
      <c r="S1259" s="27">
        <f>R1259*E1259</f>
        <v/>
      </c>
      <c r="T1259" s="27">
        <f>(R1259-S1259)*M1259</f>
        <v/>
      </c>
      <c r="U1259" s="27">
        <f>R1259-S1259-T1259</f>
        <v/>
      </c>
      <c r="V1259" s="27">
        <f>D1259*P1259</f>
        <v/>
      </c>
      <c r="W1259" s="27">
        <f>U1259-V1259</f>
        <v/>
      </c>
      <c r="X1259" s="28">
        <f>IFERROR(W1259/U1259,0)</f>
        <v/>
      </c>
    </row>
    <row r="1260">
      <c r="A1260" s="21">
        <f>ItensPedido!A1260</f>
        <v/>
      </c>
      <c r="B1260" s="21">
        <f>ItensPedido!B1260</f>
        <v/>
      </c>
      <c r="C1260" s="21">
        <f>ItensPedido!C1260</f>
        <v/>
      </c>
      <c r="D1260" s="21">
        <f>ItensPedido!D1260</f>
        <v/>
      </c>
      <c r="E1260" s="22">
        <f>ItensPedido!E1260</f>
        <v/>
      </c>
      <c r="F1260" s="21">
        <f>IFERROR(INDEX(Pedidos!$B$2:$B$1801,MATCH(B1260,Pedidos!$A$2:$A$1801,0)),0)</f>
        <v/>
      </c>
      <c r="G1260" s="21">
        <f>IF(F1260=0,"",YEAR(F1260))</f>
        <v/>
      </c>
      <c r="H1260" s="21">
        <f>IF(F1260=0,"",MONTH(F1260))</f>
        <v/>
      </c>
      <c r="I1260" s="21">
        <f>IFERROR(INDEX(Pedidos!$E$2:$E$1801,MATCH(B1260,Pedidos!$A$2:$A$1801,0)),"")</f>
        <v/>
      </c>
      <c r="J1260" s="21">
        <f>IFERROR(INDEX(Pedidos!$C$2:$C$1801,MATCH(B1260,Pedidos!$A$2:$A$1801,0)),"")</f>
        <v/>
      </c>
      <c r="K1260" s="21">
        <f>IFERROR(INDEX(Pedidos!$D$2:$D$1801,MATCH(B1260,Pedidos!$A$2:$A$1801,0)),"")</f>
        <v/>
      </c>
      <c r="L1260" s="21">
        <f>IFERROR(INDEX(Pedidos!$F$2:$F$1801,MATCH(B1260,Pedidos!$A$2:$A$1801,0)),"")</f>
        <v/>
      </c>
      <c r="M1260" s="22">
        <f>IFERROR(INDEX(Pedidos!$G$2:$G$1801,MATCH(B1260,Pedidos!$A$2:$A$1801,0)),0)</f>
        <v/>
      </c>
      <c r="N1260" s="21">
        <f>IFERROR(INDEX(Produtos!$B$2:$B$71,MATCH(C1260,Produtos!$A$2:$A$71,0)),"")</f>
        <v/>
      </c>
      <c r="O1260" s="21">
        <f>IFERROR(INDEX(Produtos!$C$2:$C$71,MATCH(C1260,Produtos!$A$2:$A$71,0)),"")</f>
        <v/>
      </c>
      <c r="P1260" s="21">
        <f>IFERROR(INDEX(Produtos!$D$2:$D$71,MATCH(C1260,Produtos!$A$2:$A$71,0)),0)</f>
        <v/>
      </c>
      <c r="Q1260" s="21">
        <f>IFERROR(INDEX(Produtos!$E$2:$E$71,MATCH(C1260,Produtos!$A$2:$A$71,0)),0)</f>
        <v/>
      </c>
      <c r="R1260" s="23">
        <f>D1260*Q1260</f>
        <v/>
      </c>
      <c r="S1260" s="23">
        <f>R1260*E1260</f>
        <v/>
      </c>
      <c r="T1260" s="23">
        <f>(R1260-S1260)*M1260</f>
        <v/>
      </c>
      <c r="U1260" s="23">
        <f>R1260-S1260-T1260</f>
        <v/>
      </c>
      <c r="V1260" s="23">
        <f>D1260*P1260</f>
        <v/>
      </c>
      <c r="W1260" s="23">
        <f>U1260-V1260</f>
        <v/>
      </c>
      <c r="X1260" s="24">
        <f>IFERROR(W1260/U1260,0)</f>
        <v/>
      </c>
    </row>
    <row r="1261">
      <c r="A1261" s="25">
        <f>ItensPedido!A1261</f>
        <v/>
      </c>
      <c r="B1261" s="25">
        <f>ItensPedido!B1261</f>
        <v/>
      </c>
      <c r="C1261" s="25">
        <f>ItensPedido!C1261</f>
        <v/>
      </c>
      <c r="D1261" s="25">
        <f>ItensPedido!D1261</f>
        <v/>
      </c>
      <c r="E1261" s="26">
        <f>ItensPedido!E1261</f>
        <v/>
      </c>
      <c r="F1261" s="25">
        <f>IFERROR(INDEX(Pedidos!$B$2:$B$1801,MATCH(B1261,Pedidos!$A$2:$A$1801,0)),0)</f>
        <v/>
      </c>
      <c r="G1261" s="25">
        <f>IF(F1261=0,"",YEAR(F1261))</f>
        <v/>
      </c>
      <c r="H1261" s="25">
        <f>IF(F1261=0,"",MONTH(F1261))</f>
        <v/>
      </c>
      <c r="I1261" s="25">
        <f>IFERROR(INDEX(Pedidos!$E$2:$E$1801,MATCH(B1261,Pedidos!$A$2:$A$1801,0)),"")</f>
        <v/>
      </c>
      <c r="J1261" s="25">
        <f>IFERROR(INDEX(Pedidos!$C$2:$C$1801,MATCH(B1261,Pedidos!$A$2:$A$1801,0)),"")</f>
        <v/>
      </c>
      <c r="K1261" s="25">
        <f>IFERROR(INDEX(Pedidos!$D$2:$D$1801,MATCH(B1261,Pedidos!$A$2:$A$1801,0)),"")</f>
        <v/>
      </c>
      <c r="L1261" s="25">
        <f>IFERROR(INDEX(Pedidos!$F$2:$F$1801,MATCH(B1261,Pedidos!$A$2:$A$1801,0)),"")</f>
        <v/>
      </c>
      <c r="M1261" s="26">
        <f>IFERROR(INDEX(Pedidos!$G$2:$G$1801,MATCH(B1261,Pedidos!$A$2:$A$1801,0)),0)</f>
        <v/>
      </c>
      <c r="N1261" s="25">
        <f>IFERROR(INDEX(Produtos!$B$2:$B$71,MATCH(C1261,Produtos!$A$2:$A$71,0)),"")</f>
        <v/>
      </c>
      <c r="O1261" s="25">
        <f>IFERROR(INDEX(Produtos!$C$2:$C$71,MATCH(C1261,Produtos!$A$2:$A$71,0)),"")</f>
        <v/>
      </c>
      <c r="P1261" s="25">
        <f>IFERROR(INDEX(Produtos!$D$2:$D$71,MATCH(C1261,Produtos!$A$2:$A$71,0)),0)</f>
        <v/>
      </c>
      <c r="Q1261" s="25">
        <f>IFERROR(INDEX(Produtos!$E$2:$E$71,MATCH(C1261,Produtos!$A$2:$A$71,0)),0)</f>
        <v/>
      </c>
      <c r="R1261" s="27">
        <f>D1261*Q1261</f>
        <v/>
      </c>
      <c r="S1261" s="27">
        <f>R1261*E1261</f>
        <v/>
      </c>
      <c r="T1261" s="27">
        <f>(R1261-S1261)*M1261</f>
        <v/>
      </c>
      <c r="U1261" s="27">
        <f>R1261-S1261-T1261</f>
        <v/>
      </c>
      <c r="V1261" s="27">
        <f>D1261*P1261</f>
        <v/>
      </c>
      <c r="W1261" s="27">
        <f>U1261-V1261</f>
        <v/>
      </c>
      <c r="X1261" s="28">
        <f>IFERROR(W1261/U1261,0)</f>
        <v/>
      </c>
    </row>
    <row r="1262">
      <c r="A1262" s="21">
        <f>ItensPedido!A1262</f>
        <v/>
      </c>
      <c r="B1262" s="21">
        <f>ItensPedido!B1262</f>
        <v/>
      </c>
      <c r="C1262" s="21">
        <f>ItensPedido!C1262</f>
        <v/>
      </c>
      <c r="D1262" s="21">
        <f>ItensPedido!D1262</f>
        <v/>
      </c>
      <c r="E1262" s="22">
        <f>ItensPedido!E1262</f>
        <v/>
      </c>
      <c r="F1262" s="21">
        <f>IFERROR(INDEX(Pedidos!$B$2:$B$1801,MATCH(B1262,Pedidos!$A$2:$A$1801,0)),0)</f>
        <v/>
      </c>
      <c r="G1262" s="21">
        <f>IF(F1262=0,"",YEAR(F1262))</f>
        <v/>
      </c>
      <c r="H1262" s="21">
        <f>IF(F1262=0,"",MONTH(F1262))</f>
        <v/>
      </c>
      <c r="I1262" s="21">
        <f>IFERROR(INDEX(Pedidos!$E$2:$E$1801,MATCH(B1262,Pedidos!$A$2:$A$1801,0)),"")</f>
        <v/>
      </c>
      <c r="J1262" s="21">
        <f>IFERROR(INDEX(Pedidos!$C$2:$C$1801,MATCH(B1262,Pedidos!$A$2:$A$1801,0)),"")</f>
        <v/>
      </c>
      <c r="K1262" s="21">
        <f>IFERROR(INDEX(Pedidos!$D$2:$D$1801,MATCH(B1262,Pedidos!$A$2:$A$1801,0)),"")</f>
        <v/>
      </c>
      <c r="L1262" s="21">
        <f>IFERROR(INDEX(Pedidos!$F$2:$F$1801,MATCH(B1262,Pedidos!$A$2:$A$1801,0)),"")</f>
        <v/>
      </c>
      <c r="M1262" s="22">
        <f>IFERROR(INDEX(Pedidos!$G$2:$G$1801,MATCH(B1262,Pedidos!$A$2:$A$1801,0)),0)</f>
        <v/>
      </c>
      <c r="N1262" s="21">
        <f>IFERROR(INDEX(Produtos!$B$2:$B$71,MATCH(C1262,Produtos!$A$2:$A$71,0)),"")</f>
        <v/>
      </c>
      <c r="O1262" s="21">
        <f>IFERROR(INDEX(Produtos!$C$2:$C$71,MATCH(C1262,Produtos!$A$2:$A$71,0)),"")</f>
        <v/>
      </c>
      <c r="P1262" s="21">
        <f>IFERROR(INDEX(Produtos!$D$2:$D$71,MATCH(C1262,Produtos!$A$2:$A$71,0)),0)</f>
        <v/>
      </c>
      <c r="Q1262" s="21">
        <f>IFERROR(INDEX(Produtos!$E$2:$E$71,MATCH(C1262,Produtos!$A$2:$A$71,0)),0)</f>
        <v/>
      </c>
      <c r="R1262" s="23">
        <f>D1262*Q1262</f>
        <v/>
      </c>
      <c r="S1262" s="23">
        <f>R1262*E1262</f>
        <v/>
      </c>
      <c r="T1262" s="23">
        <f>(R1262-S1262)*M1262</f>
        <v/>
      </c>
      <c r="U1262" s="23">
        <f>R1262-S1262-T1262</f>
        <v/>
      </c>
      <c r="V1262" s="23">
        <f>D1262*P1262</f>
        <v/>
      </c>
      <c r="W1262" s="23">
        <f>U1262-V1262</f>
        <v/>
      </c>
      <c r="X1262" s="24">
        <f>IFERROR(W1262/U1262,0)</f>
        <v/>
      </c>
    </row>
    <row r="1263">
      <c r="A1263" s="25">
        <f>ItensPedido!A1263</f>
        <v/>
      </c>
      <c r="B1263" s="25">
        <f>ItensPedido!B1263</f>
        <v/>
      </c>
      <c r="C1263" s="25">
        <f>ItensPedido!C1263</f>
        <v/>
      </c>
      <c r="D1263" s="25">
        <f>ItensPedido!D1263</f>
        <v/>
      </c>
      <c r="E1263" s="26">
        <f>ItensPedido!E1263</f>
        <v/>
      </c>
      <c r="F1263" s="25">
        <f>IFERROR(INDEX(Pedidos!$B$2:$B$1801,MATCH(B1263,Pedidos!$A$2:$A$1801,0)),0)</f>
        <v/>
      </c>
      <c r="G1263" s="25">
        <f>IF(F1263=0,"",YEAR(F1263))</f>
        <v/>
      </c>
      <c r="H1263" s="25">
        <f>IF(F1263=0,"",MONTH(F1263))</f>
        <v/>
      </c>
      <c r="I1263" s="25">
        <f>IFERROR(INDEX(Pedidos!$E$2:$E$1801,MATCH(B1263,Pedidos!$A$2:$A$1801,0)),"")</f>
        <v/>
      </c>
      <c r="J1263" s="25">
        <f>IFERROR(INDEX(Pedidos!$C$2:$C$1801,MATCH(B1263,Pedidos!$A$2:$A$1801,0)),"")</f>
        <v/>
      </c>
      <c r="K1263" s="25">
        <f>IFERROR(INDEX(Pedidos!$D$2:$D$1801,MATCH(B1263,Pedidos!$A$2:$A$1801,0)),"")</f>
        <v/>
      </c>
      <c r="L1263" s="25">
        <f>IFERROR(INDEX(Pedidos!$F$2:$F$1801,MATCH(B1263,Pedidos!$A$2:$A$1801,0)),"")</f>
        <v/>
      </c>
      <c r="M1263" s="26">
        <f>IFERROR(INDEX(Pedidos!$G$2:$G$1801,MATCH(B1263,Pedidos!$A$2:$A$1801,0)),0)</f>
        <v/>
      </c>
      <c r="N1263" s="25">
        <f>IFERROR(INDEX(Produtos!$B$2:$B$71,MATCH(C1263,Produtos!$A$2:$A$71,0)),"")</f>
        <v/>
      </c>
      <c r="O1263" s="25">
        <f>IFERROR(INDEX(Produtos!$C$2:$C$71,MATCH(C1263,Produtos!$A$2:$A$71,0)),"")</f>
        <v/>
      </c>
      <c r="P1263" s="25">
        <f>IFERROR(INDEX(Produtos!$D$2:$D$71,MATCH(C1263,Produtos!$A$2:$A$71,0)),0)</f>
        <v/>
      </c>
      <c r="Q1263" s="25">
        <f>IFERROR(INDEX(Produtos!$E$2:$E$71,MATCH(C1263,Produtos!$A$2:$A$71,0)),0)</f>
        <v/>
      </c>
      <c r="R1263" s="27">
        <f>D1263*Q1263</f>
        <v/>
      </c>
      <c r="S1263" s="27">
        <f>R1263*E1263</f>
        <v/>
      </c>
      <c r="T1263" s="27">
        <f>(R1263-S1263)*M1263</f>
        <v/>
      </c>
      <c r="U1263" s="27">
        <f>R1263-S1263-T1263</f>
        <v/>
      </c>
      <c r="V1263" s="27">
        <f>D1263*P1263</f>
        <v/>
      </c>
      <c r="W1263" s="27">
        <f>U1263-V1263</f>
        <v/>
      </c>
      <c r="X1263" s="28">
        <f>IFERROR(W1263/U1263,0)</f>
        <v/>
      </c>
    </row>
    <row r="1264">
      <c r="A1264" s="21">
        <f>ItensPedido!A1264</f>
        <v/>
      </c>
      <c r="B1264" s="21">
        <f>ItensPedido!B1264</f>
        <v/>
      </c>
      <c r="C1264" s="21">
        <f>ItensPedido!C1264</f>
        <v/>
      </c>
      <c r="D1264" s="21">
        <f>ItensPedido!D1264</f>
        <v/>
      </c>
      <c r="E1264" s="22">
        <f>ItensPedido!E1264</f>
        <v/>
      </c>
      <c r="F1264" s="21">
        <f>IFERROR(INDEX(Pedidos!$B$2:$B$1801,MATCH(B1264,Pedidos!$A$2:$A$1801,0)),0)</f>
        <v/>
      </c>
      <c r="G1264" s="21">
        <f>IF(F1264=0,"",YEAR(F1264))</f>
        <v/>
      </c>
      <c r="H1264" s="21">
        <f>IF(F1264=0,"",MONTH(F1264))</f>
        <v/>
      </c>
      <c r="I1264" s="21">
        <f>IFERROR(INDEX(Pedidos!$E$2:$E$1801,MATCH(B1264,Pedidos!$A$2:$A$1801,0)),"")</f>
        <v/>
      </c>
      <c r="J1264" s="21">
        <f>IFERROR(INDEX(Pedidos!$C$2:$C$1801,MATCH(B1264,Pedidos!$A$2:$A$1801,0)),"")</f>
        <v/>
      </c>
      <c r="K1264" s="21">
        <f>IFERROR(INDEX(Pedidos!$D$2:$D$1801,MATCH(B1264,Pedidos!$A$2:$A$1801,0)),"")</f>
        <v/>
      </c>
      <c r="L1264" s="21">
        <f>IFERROR(INDEX(Pedidos!$F$2:$F$1801,MATCH(B1264,Pedidos!$A$2:$A$1801,0)),"")</f>
        <v/>
      </c>
      <c r="M1264" s="22">
        <f>IFERROR(INDEX(Pedidos!$G$2:$G$1801,MATCH(B1264,Pedidos!$A$2:$A$1801,0)),0)</f>
        <v/>
      </c>
      <c r="N1264" s="21">
        <f>IFERROR(INDEX(Produtos!$B$2:$B$71,MATCH(C1264,Produtos!$A$2:$A$71,0)),"")</f>
        <v/>
      </c>
      <c r="O1264" s="21">
        <f>IFERROR(INDEX(Produtos!$C$2:$C$71,MATCH(C1264,Produtos!$A$2:$A$71,0)),"")</f>
        <v/>
      </c>
      <c r="P1264" s="21">
        <f>IFERROR(INDEX(Produtos!$D$2:$D$71,MATCH(C1264,Produtos!$A$2:$A$71,0)),0)</f>
        <v/>
      </c>
      <c r="Q1264" s="21">
        <f>IFERROR(INDEX(Produtos!$E$2:$E$71,MATCH(C1264,Produtos!$A$2:$A$71,0)),0)</f>
        <v/>
      </c>
      <c r="R1264" s="23">
        <f>D1264*Q1264</f>
        <v/>
      </c>
      <c r="S1264" s="23">
        <f>R1264*E1264</f>
        <v/>
      </c>
      <c r="T1264" s="23">
        <f>(R1264-S1264)*M1264</f>
        <v/>
      </c>
      <c r="U1264" s="23">
        <f>R1264-S1264-T1264</f>
        <v/>
      </c>
      <c r="V1264" s="23">
        <f>D1264*P1264</f>
        <v/>
      </c>
      <c r="W1264" s="23">
        <f>U1264-V1264</f>
        <v/>
      </c>
      <c r="X1264" s="24">
        <f>IFERROR(W1264/U1264,0)</f>
        <v/>
      </c>
    </row>
    <row r="1265">
      <c r="A1265" s="25">
        <f>ItensPedido!A1265</f>
        <v/>
      </c>
      <c r="B1265" s="25">
        <f>ItensPedido!B1265</f>
        <v/>
      </c>
      <c r="C1265" s="25">
        <f>ItensPedido!C1265</f>
        <v/>
      </c>
      <c r="D1265" s="25">
        <f>ItensPedido!D1265</f>
        <v/>
      </c>
      <c r="E1265" s="26">
        <f>ItensPedido!E1265</f>
        <v/>
      </c>
      <c r="F1265" s="25">
        <f>IFERROR(INDEX(Pedidos!$B$2:$B$1801,MATCH(B1265,Pedidos!$A$2:$A$1801,0)),0)</f>
        <v/>
      </c>
      <c r="G1265" s="25">
        <f>IF(F1265=0,"",YEAR(F1265))</f>
        <v/>
      </c>
      <c r="H1265" s="25">
        <f>IF(F1265=0,"",MONTH(F1265))</f>
        <v/>
      </c>
      <c r="I1265" s="25">
        <f>IFERROR(INDEX(Pedidos!$E$2:$E$1801,MATCH(B1265,Pedidos!$A$2:$A$1801,0)),"")</f>
        <v/>
      </c>
      <c r="J1265" s="25">
        <f>IFERROR(INDEX(Pedidos!$C$2:$C$1801,MATCH(B1265,Pedidos!$A$2:$A$1801,0)),"")</f>
        <v/>
      </c>
      <c r="K1265" s="25">
        <f>IFERROR(INDEX(Pedidos!$D$2:$D$1801,MATCH(B1265,Pedidos!$A$2:$A$1801,0)),"")</f>
        <v/>
      </c>
      <c r="L1265" s="25">
        <f>IFERROR(INDEX(Pedidos!$F$2:$F$1801,MATCH(B1265,Pedidos!$A$2:$A$1801,0)),"")</f>
        <v/>
      </c>
      <c r="M1265" s="26">
        <f>IFERROR(INDEX(Pedidos!$G$2:$G$1801,MATCH(B1265,Pedidos!$A$2:$A$1801,0)),0)</f>
        <v/>
      </c>
      <c r="N1265" s="25">
        <f>IFERROR(INDEX(Produtos!$B$2:$B$71,MATCH(C1265,Produtos!$A$2:$A$71,0)),"")</f>
        <v/>
      </c>
      <c r="O1265" s="25">
        <f>IFERROR(INDEX(Produtos!$C$2:$C$71,MATCH(C1265,Produtos!$A$2:$A$71,0)),"")</f>
        <v/>
      </c>
      <c r="P1265" s="25">
        <f>IFERROR(INDEX(Produtos!$D$2:$D$71,MATCH(C1265,Produtos!$A$2:$A$71,0)),0)</f>
        <v/>
      </c>
      <c r="Q1265" s="25">
        <f>IFERROR(INDEX(Produtos!$E$2:$E$71,MATCH(C1265,Produtos!$A$2:$A$71,0)),0)</f>
        <v/>
      </c>
      <c r="R1265" s="27">
        <f>D1265*Q1265</f>
        <v/>
      </c>
      <c r="S1265" s="27">
        <f>R1265*E1265</f>
        <v/>
      </c>
      <c r="T1265" s="27">
        <f>(R1265-S1265)*M1265</f>
        <v/>
      </c>
      <c r="U1265" s="27">
        <f>R1265-S1265-T1265</f>
        <v/>
      </c>
      <c r="V1265" s="27">
        <f>D1265*P1265</f>
        <v/>
      </c>
      <c r="W1265" s="27">
        <f>U1265-V1265</f>
        <v/>
      </c>
      <c r="X1265" s="28">
        <f>IFERROR(W1265/U1265,0)</f>
        <v/>
      </c>
    </row>
    <row r="1266">
      <c r="A1266" s="21">
        <f>ItensPedido!A1266</f>
        <v/>
      </c>
      <c r="B1266" s="21">
        <f>ItensPedido!B1266</f>
        <v/>
      </c>
      <c r="C1266" s="21">
        <f>ItensPedido!C1266</f>
        <v/>
      </c>
      <c r="D1266" s="21">
        <f>ItensPedido!D1266</f>
        <v/>
      </c>
      <c r="E1266" s="22">
        <f>ItensPedido!E1266</f>
        <v/>
      </c>
      <c r="F1266" s="21">
        <f>IFERROR(INDEX(Pedidos!$B$2:$B$1801,MATCH(B1266,Pedidos!$A$2:$A$1801,0)),0)</f>
        <v/>
      </c>
      <c r="G1266" s="21">
        <f>IF(F1266=0,"",YEAR(F1266))</f>
        <v/>
      </c>
      <c r="H1266" s="21">
        <f>IF(F1266=0,"",MONTH(F1266))</f>
        <v/>
      </c>
      <c r="I1266" s="21">
        <f>IFERROR(INDEX(Pedidos!$E$2:$E$1801,MATCH(B1266,Pedidos!$A$2:$A$1801,0)),"")</f>
        <v/>
      </c>
      <c r="J1266" s="21">
        <f>IFERROR(INDEX(Pedidos!$C$2:$C$1801,MATCH(B1266,Pedidos!$A$2:$A$1801,0)),"")</f>
        <v/>
      </c>
      <c r="K1266" s="21">
        <f>IFERROR(INDEX(Pedidos!$D$2:$D$1801,MATCH(B1266,Pedidos!$A$2:$A$1801,0)),"")</f>
        <v/>
      </c>
      <c r="L1266" s="21">
        <f>IFERROR(INDEX(Pedidos!$F$2:$F$1801,MATCH(B1266,Pedidos!$A$2:$A$1801,0)),"")</f>
        <v/>
      </c>
      <c r="M1266" s="22">
        <f>IFERROR(INDEX(Pedidos!$G$2:$G$1801,MATCH(B1266,Pedidos!$A$2:$A$1801,0)),0)</f>
        <v/>
      </c>
      <c r="N1266" s="21">
        <f>IFERROR(INDEX(Produtos!$B$2:$B$71,MATCH(C1266,Produtos!$A$2:$A$71,0)),"")</f>
        <v/>
      </c>
      <c r="O1266" s="21">
        <f>IFERROR(INDEX(Produtos!$C$2:$C$71,MATCH(C1266,Produtos!$A$2:$A$71,0)),"")</f>
        <v/>
      </c>
      <c r="P1266" s="21">
        <f>IFERROR(INDEX(Produtos!$D$2:$D$71,MATCH(C1266,Produtos!$A$2:$A$71,0)),0)</f>
        <v/>
      </c>
      <c r="Q1266" s="21">
        <f>IFERROR(INDEX(Produtos!$E$2:$E$71,MATCH(C1266,Produtos!$A$2:$A$71,0)),0)</f>
        <v/>
      </c>
      <c r="R1266" s="23">
        <f>D1266*Q1266</f>
        <v/>
      </c>
      <c r="S1266" s="23">
        <f>R1266*E1266</f>
        <v/>
      </c>
      <c r="T1266" s="23">
        <f>(R1266-S1266)*M1266</f>
        <v/>
      </c>
      <c r="U1266" s="23">
        <f>R1266-S1266-T1266</f>
        <v/>
      </c>
      <c r="V1266" s="23">
        <f>D1266*P1266</f>
        <v/>
      </c>
      <c r="W1266" s="23">
        <f>U1266-V1266</f>
        <v/>
      </c>
      <c r="X1266" s="24">
        <f>IFERROR(W1266/U1266,0)</f>
        <v/>
      </c>
    </row>
    <row r="1267">
      <c r="A1267" s="25">
        <f>ItensPedido!A1267</f>
        <v/>
      </c>
      <c r="B1267" s="25">
        <f>ItensPedido!B1267</f>
        <v/>
      </c>
      <c r="C1267" s="25">
        <f>ItensPedido!C1267</f>
        <v/>
      </c>
      <c r="D1267" s="25">
        <f>ItensPedido!D1267</f>
        <v/>
      </c>
      <c r="E1267" s="26">
        <f>ItensPedido!E1267</f>
        <v/>
      </c>
      <c r="F1267" s="25">
        <f>IFERROR(INDEX(Pedidos!$B$2:$B$1801,MATCH(B1267,Pedidos!$A$2:$A$1801,0)),0)</f>
        <v/>
      </c>
      <c r="G1267" s="25">
        <f>IF(F1267=0,"",YEAR(F1267))</f>
        <v/>
      </c>
      <c r="H1267" s="25">
        <f>IF(F1267=0,"",MONTH(F1267))</f>
        <v/>
      </c>
      <c r="I1267" s="25">
        <f>IFERROR(INDEX(Pedidos!$E$2:$E$1801,MATCH(B1267,Pedidos!$A$2:$A$1801,0)),"")</f>
        <v/>
      </c>
      <c r="J1267" s="25">
        <f>IFERROR(INDEX(Pedidos!$C$2:$C$1801,MATCH(B1267,Pedidos!$A$2:$A$1801,0)),"")</f>
        <v/>
      </c>
      <c r="K1267" s="25">
        <f>IFERROR(INDEX(Pedidos!$D$2:$D$1801,MATCH(B1267,Pedidos!$A$2:$A$1801,0)),"")</f>
        <v/>
      </c>
      <c r="L1267" s="25">
        <f>IFERROR(INDEX(Pedidos!$F$2:$F$1801,MATCH(B1267,Pedidos!$A$2:$A$1801,0)),"")</f>
        <v/>
      </c>
      <c r="M1267" s="26">
        <f>IFERROR(INDEX(Pedidos!$G$2:$G$1801,MATCH(B1267,Pedidos!$A$2:$A$1801,0)),0)</f>
        <v/>
      </c>
      <c r="N1267" s="25">
        <f>IFERROR(INDEX(Produtos!$B$2:$B$71,MATCH(C1267,Produtos!$A$2:$A$71,0)),"")</f>
        <v/>
      </c>
      <c r="O1267" s="25">
        <f>IFERROR(INDEX(Produtos!$C$2:$C$71,MATCH(C1267,Produtos!$A$2:$A$71,0)),"")</f>
        <v/>
      </c>
      <c r="P1267" s="25">
        <f>IFERROR(INDEX(Produtos!$D$2:$D$71,MATCH(C1267,Produtos!$A$2:$A$71,0)),0)</f>
        <v/>
      </c>
      <c r="Q1267" s="25">
        <f>IFERROR(INDEX(Produtos!$E$2:$E$71,MATCH(C1267,Produtos!$A$2:$A$71,0)),0)</f>
        <v/>
      </c>
      <c r="R1267" s="27">
        <f>D1267*Q1267</f>
        <v/>
      </c>
      <c r="S1267" s="27">
        <f>R1267*E1267</f>
        <v/>
      </c>
      <c r="T1267" s="27">
        <f>(R1267-S1267)*M1267</f>
        <v/>
      </c>
      <c r="U1267" s="27">
        <f>R1267-S1267-T1267</f>
        <v/>
      </c>
      <c r="V1267" s="27">
        <f>D1267*P1267</f>
        <v/>
      </c>
      <c r="W1267" s="27">
        <f>U1267-V1267</f>
        <v/>
      </c>
      <c r="X1267" s="28">
        <f>IFERROR(W1267/U1267,0)</f>
        <v/>
      </c>
    </row>
    <row r="1268">
      <c r="A1268" s="21">
        <f>ItensPedido!A1268</f>
        <v/>
      </c>
      <c r="B1268" s="21">
        <f>ItensPedido!B1268</f>
        <v/>
      </c>
      <c r="C1268" s="21">
        <f>ItensPedido!C1268</f>
        <v/>
      </c>
      <c r="D1268" s="21">
        <f>ItensPedido!D1268</f>
        <v/>
      </c>
      <c r="E1268" s="22">
        <f>ItensPedido!E1268</f>
        <v/>
      </c>
      <c r="F1268" s="21">
        <f>IFERROR(INDEX(Pedidos!$B$2:$B$1801,MATCH(B1268,Pedidos!$A$2:$A$1801,0)),0)</f>
        <v/>
      </c>
      <c r="G1268" s="21">
        <f>IF(F1268=0,"",YEAR(F1268))</f>
        <v/>
      </c>
      <c r="H1268" s="21">
        <f>IF(F1268=0,"",MONTH(F1268))</f>
        <v/>
      </c>
      <c r="I1268" s="21">
        <f>IFERROR(INDEX(Pedidos!$E$2:$E$1801,MATCH(B1268,Pedidos!$A$2:$A$1801,0)),"")</f>
        <v/>
      </c>
      <c r="J1268" s="21">
        <f>IFERROR(INDEX(Pedidos!$C$2:$C$1801,MATCH(B1268,Pedidos!$A$2:$A$1801,0)),"")</f>
        <v/>
      </c>
      <c r="K1268" s="21">
        <f>IFERROR(INDEX(Pedidos!$D$2:$D$1801,MATCH(B1268,Pedidos!$A$2:$A$1801,0)),"")</f>
        <v/>
      </c>
      <c r="L1268" s="21">
        <f>IFERROR(INDEX(Pedidos!$F$2:$F$1801,MATCH(B1268,Pedidos!$A$2:$A$1801,0)),"")</f>
        <v/>
      </c>
      <c r="M1268" s="22">
        <f>IFERROR(INDEX(Pedidos!$G$2:$G$1801,MATCH(B1268,Pedidos!$A$2:$A$1801,0)),0)</f>
        <v/>
      </c>
      <c r="N1268" s="21">
        <f>IFERROR(INDEX(Produtos!$B$2:$B$71,MATCH(C1268,Produtos!$A$2:$A$71,0)),"")</f>
        <v/>
      </c>
      <c r="O1268" s="21">
        <f>IFERROR(INDEX(Produtos!$C$2:$C$71,MATCH(C1268,Produtos!$A$2:$A$71,0)),"")</f>
        <v/>
      </c>
      <c r="P1268" s="21">
        <f>IFERROR(INDEX(Produtos!$D$2:$D$71,MATCH(C1268,Produtos!$A$2:$A$71,0)),0)</f>
        <v/>
      </c>
      <c r="Q1268" s="21">
        <f>IFERROR(INDEX(Produtos!$E$2:$E$71,MATCH(C1268,Produtos!$A$2:$A$71,0)),0)</f>
        <v/>
      </c>
      <c r="R1268" s="23">
        <f>D1268*Q1268</f>
        <v/>
      </c>
      <c r="S1268" s="23">
        <f>R1268*E1268</f>
        <v/>
      </c>
      <c r="T1268" s="23">
        <f>(R1268-S1268)*M1268</f>
        <v/>
      </c>
      <c r="U1268" s="23">
        <f>R1268-S1268-T1268</f>
        <v/>
      </c>
      <c r="V1268" s="23">
        <f>D1268*P1268</f>
        <v/>
      </c>
      <c r="W1268" s="23">
        <f>U1268-V1268</f>
        <v/>
      </c>
      <c r="X1268" s="24">
        <f>IFERROR(W1268/U1268,0)</f>
        <v/>
      </c>
    </row>
    <row r="1269">
      <c r="A1269" s="25">
        <f>ItensPedido!A1269</f>
        <v/>
      </c>
      <c r="B1269" s="25">
        <f>ItensPedido!B1269</f>
        <v/>
      </c>
      <c r="C1269" s="25">
        <f>ItensPedido!C1269</f>
        <v/>
      </c>
      <c r="D1269" s="25">
        <f>ItensPedido!D1269</f>
        <v/>
      </c>
      <c r="E1269" s="26">
        <f>ItensPedido!E1269</f>
        <v/>
      </c>
      <c r="F1269" s="25">
        <f>IFERROR(INDEX(Pedidos!$B$2:$B$1801,MATCH(B1269,Pedidos!$A$2:$A$1801,0)),0)</f>
        <v/>
      </c>
      <c r="G1269" s="25">
        <f>IF(F1269=0,"",YEAR(F1269))</f>
        <v/>
      </c>
      <c r="H1269" s="25">
        <f>IF(F1269=0,"",MONTH(F1269))</f>
        <v/>
      </c>
      <c r="I1269" s="25">
        <f>IFERROR(INDEX(Pedidos!$E$2:$E$1801,MATCH(B1269,Pedidos!$A$2:$A$1801,0)),"")</f>
        <v/>
      </c>
      <c r="J1269" s="25">
        <f>IFERROR(INDEX(Pedidos!$C$2:$C$1801,MATCH(B1269,Pedidos!$A$2:$A$1801,0)),"")</f>
        <v/>
      </c>
      <c r="K1269" s="25">
        <f>IFERROR(INDEX(Pedidos!$D$2:$D$1801,MATCH(B1269,Pedidos!$A$2:$A$1801,0)),"")</f>
        <v/>
      </c>
      <c r="L1269" s="25">
        <f>IFERROR(INDEX(Pedidos!$F$2:$F$1801,MATCH(B1269,Pedidos!$A$2:$A$1801,0)),"")</f>
        <v/>
      </c>
      <c r="M1269" s="26">
        <f>IFERROR(INDEX(Pedidos!$G$2:$G$1801,MATCH(B1269,Pedidos!$A$2:$A$1801,0)),0)</f>
        <v/>
      </c>
      <c r="N1269" s="25">
        <f>IFERROR(INDEX(Produtos!$B$2:$B$71,MATCH(C1269,Produtos!$A$2:$A$71,0)),"")</f>
        <v/>
      </c>
      <c r="O1269" s="25">
        <f>IFERROR(INDEX(Produtos!$C$2:$C$71,MATCH(C1269,Produtos!$A$2:$A$71,0)),"")</f>
        <v/>
      </c>
      <c r="P1269" s="25">
        <f>IFERROR(INDEX(Produtos!$D$2:$D$71,MATCH(C1269,Produtos!$A$2:$A$71,0)),0)</f>
        <v/>
      </c>
      <c r="Q1269" s="25">
        <f>IFERROR(INDEX(Produtos!$E$2:$E$71,MATCH(C1269,Produtos!$A$2:$A$71,0)),0)</f>
        <v/>
      </c>
      <c r="R1269" s="27">
        <f>D1269*Q1269</f>
        <v/>
      </c>
      <c r="S1269" s="27">
        <f>R1269*E1269</f>
        <v/>
      </c>
      <c r="T1269" s="27">
        <f>(R1269-S1269)*M1269</f>
        <v/>
      </c>
      <c r="U1269" s="27">
        <f>R1269-S1269-T1269</f>
        <v/>
      </c>
      <c r="V1269" s="27">
        <f>D1269*P1269</f>
        <v/>
      </c>
      <c r="W1269" s="27">
        <f>U1269-V1269</f>
        <v/>
      </c>
      <c r="X1269" s="28">
        <f>IFERROR(W1269/U1269,0)</f>
        <v/>
      </c>
    </row>
    <row r="1270">
      <c r="A1270" s="21">
        <f>ItensPedido!A1270</f>
        <v/>
      </c>
      <c r="B1270" s="21">
        <f>ItensPedido!B1270</f>
        <v/>
      </c>
      <c r="C1270" s="21">
        <f>ItensPedido!C1270</f>
        <v/>
      </c>
      <c r="D1270" s="21">
        <f>ItensPedido!D1270</f>
        <v/>
      </c>
      <c r="E1270" s="22">
        <f>ItensPedido!E1270</f>
        <v/>
      </c>
      <c r="F1270" s="21">
        <f>IFERROR(INDEX(Pedidos!$B$2:$B$1801,MATCH(B1270,Pedidos!$A$2:$A$1801,0)),0)</f>
        <v/>
      </c>
      <c r="G1270" s="21">
        <f>IF(F1270=0,"",YEAR(F1270))</f>
        <v/>
      </c>
      <c r="H1270" s="21">
        <f>IF(F1270=0,"",MONTH(F1270))</f>
        <v/>
      </c>
      <c r="I1270" s="21">
        <f>IFERROR(INDEX(Pedidos!$E$2:$E$1801,MATCH(B1270,Pedidos!$A$2:$A$1801,0)),"")</f>
        <v/>
      </c>
      <c r="J1270" s="21">
        <f>IFERROR(INDEX(Pedidos!$C$2:$C$1801,MATCH(B1270,Pedidos!$A$2:$A$1801,0)),"")</f>
        <v/>
      </c>
      <c r="K1270" s="21">
        <f>IFERROR(INDEX(Pedidos!$D$2:$D$1801,MATCH(B1270,Pedidos!$A$2:$A$1801,0)),"")</f>
        <v/>
      </c>
      <c r="L1270" s="21">
        <f>IFERROR(INDEX(Pedidos!$F$2:$F$1801,MATCH(B1270,Pedidos!$A$2:$A$1801,0)),"")</f>
        <v/>
      </c>
      <c r="M1270" s="22">
        <f>IFERROR(INDEX(Pedidos!$G$2:$G$1801,MATCH(B1270,Pedidos!$A$2:$A$1801,0)),0)</f>
        <v/>
      </c>
      <c r="N1270" s="21">
        <f>IFERROR(INDEX(Produtos!$B$2:$B$71,MATCH(C1270,Produtos!$A$2:$A$71,0)),"")</f>
        <v/>
      </c>
      <c r="O1270" s="21">
        <f>IFERROR(INDEX(Produtos!$C$2:$C$71,MATCH(C1270,Produtos!$A$2:$A$71,0)),"")</f>
        <v/>
      </c>
      <c r="P1270" s="21">
        <f>IFERROR(INDEX(Produtos!$D$2:$D$71,MATCH(C1270,Produtos!$A$2:$A$71,0)),0)</f>
        <v/>
      </c>
      <c r="Q1270" s="21">
        <f>IFERROR(INDEX(Produtos!$E$2:$E$71,MATCH(C1270,Produtos!$A$2:$A$71,0)),0)</f>
        <v/>
      </c>
      <c r="R1270" s="23">
        <f>D1270*Q1270</f>
        <v/>
      </c>
      <c r="S1270" s="23">
        <f>R1270*E1270</f>
        <v/>
      </c>
      <c r="T1270" s="23">
        <f>(R1270-S1270)*M1270</f>
        <v/>
      </c>
      <c r="U1270" s="23">
        <f>R1270-S1270-T1270</f>
        <v/>
      </c>
      <c r="V1270" s="23">
        <f>D1270*P1270</f>
        <v/>
      </c>
      <c r="W1270" s="23">
        <f>U1270-V1270</f>
        <v/>
      </c>
      <c r="X1270" s="24">
        <f>IFERROR(W1270/U1270,0)</f>
        <v/>
      </c>
    </row>
    <row r="1271">
      <c r="A1271" s="25">
        <f>ItensPedido!A1271</f>
        <v/>
      </c>
      <c r="B1271" s="25">
        <f>ItensPedido!B1271</f>
        <v/>
      </c>
      <c r="C1271" s="25">
        <f>ItensPedido!C1271</f>
        <v/>
      </c>
      <c r="D1271" s="25">
        <f>ItensPedido!D1271</f>
        <v/>
      </c>
      <c r="E1271" s="26">
        <f>ItensPedido!E1271</f>
        <v/>
      </c>
      <c r="F1271" s="25">
        <f>IFERROR(INDEX(Pedidos!$B$2:$B$1801,MATCH(B1271,Pedidos!$A$2:$A$1801,0)),0)</f>
        <v/>
      </c>
      <c r="G1271" s="25">
        <f>IF(F1271=0,"",YEAR(F1271))</f>
        <v/>
      </c>
      <c r="H1271" s="25">
        <f>IF(F1271=0,"",MONTH(F1271))</f>
        <v/>
      </c>
      <c r="I1271" s="25">
        <f>IFERROR(INDEX(Pedidos!$E$2:$E$1801,MATCH(B1271,Pedidos!$A$2:$A$1801,0)),"")</f>
        <v/>
      </c>
      <c r="J1271" s="25">
        <f>IFERROR(INDEX(Pedidos!$C$2:$C$1801,MATCH(B1271,Pedidos!$A$2:$A$1801,0)),"")</f>
        <v/>
      </c>
      <c r="K1271" s="25">
        <f>IFERROR(INDEX(Pedidos!$D$2:$D$1801,MATCH(B1271,Pedidos!$A$2:$A$1801,0)),"")</f>
        <v/>
      </c>
      <c r="L1271" s="25">
        <f>IFERROR(INDEX(Pedidos!$F$2:$F$1801,MATCH(B1271,Pedidos!$A$2:$A$1801,0)),"")</f>
        <v/>
      </c>
      <c r="M1271" s="26">
        <f>IFERROR(INDEX(Pedidos!$G$2:$G$1801,MATCH(B1271,Pedidos!$A$2:$A$1801,0)),0)</f>
        <v/>
      </c>
      <c r="N1271" s="25">
        <f>IFERROR(INDEX(Produtos!$B$2:$B$71,MATCH(C1271,Produtos!$A$2:$A$71,0)),"")</f>
        <v/>
      </c>
      <c r="O1271" s="25">
        <f>IFERROR(INDEX(Produtos!$C$2:$C$71,MATCH(C1271,Produtos!$A$2:$A$71,0)),"")</f>
        <v/>
      </c>
      <c r="P1271" s="25">
        <f>IFERROR(INDEX(Produtos!$D$2:$D$71,MATCH(C1271,Produtos!$A$2:$A$71,0)),0)</f>
        <v/>
      </c>
      <c r="Q1271" s="25">
        <f>IFERROR(INDEX(Produtos!$E$2:$E$71,MATCH(C1271,Produtos!$A$2:$A$71,0)),0)</f>
        <v/>
      </c>
      <c r="R1271" s="27">
        <f>D1271*Q1271</f>
        <v/>
      </c>
      <c r="S1271" s="27">
        <f>R1271*E1271</f>
        <v/>
      </c>
      <c r="T1271" s="27">
        <f>(R1271-S1271)*M1271</f>
        <v/>
      </c>
      <c r="U1271" s="27">
        <f>R1271-S1271-T1271</f>
        <v/>
      </c>
      <c r="V1271" s="27">
        <f>D1271*P1271</f>
        <v/>
      </c>
      <c r="W1271" s="27">
        <f>U1271-V1271</f>
        <v/>
      </c>
      <c r="X1271" s="28">
        <f>IFERROR(W1271/U1271,0)</f>
        <v/>
      </c>
    </row>
    <row r="1272">
      <c r="A1272" s="21">
        <f>ItensPedido!A1272</f>
        <v/>
      </c>
      <c r="B1272" s="21">
        <f>ItensPedido!B1272</f>
        <v/>
      </c>
      <c r="C1272" s="21">
        <f>ItensPedido!C1272</f>
        <v/>
      </c>
      <c r="D1272" s="21">
        <f>ItensPedido!D1272</f>
        <v/>
      </c>
      <c r="E1272" s="22">
        <f>ItensPedido!E1272</f>
        <v/>
      </c>
      <c r="F1272" s="21">
        <f>IFERROR(INDEX(Pedidos!$B$2:$B$1801,MATCH(B1272,Pedidos!$A$2:$A$1801,0)),0)</f>
        <v/>
      </c>
      <c r="G1272" s="21">
        <f>IF(F1272=0,"",YEAR(F1272))</f>
        <v/>
      </c>
      <c r="H1272" s="21">
        <f>IF(F1272=0,"",MONTH(F1272))</f>
        <v/>
      </c>
      <c r="I1272" s="21">
        <f>IFERROR(INDEX(Pedidos!$E$2:$E$1801,MATCH(B1272,Pedidos!$A$2:$A$1801,0)),"")</f>
        <v/>
      </c>
      <c r="J1272" s="21">
        <f>IFERROR(INDEX(Pedidos!$C$2:$C$1801,MATCH(B1272,Pedidos!$A$2:$A$1801,0)),"")</f>
        <v/>
      </c>
      <c r="K1272" s="21">
        <f>IFERROR(INDEX(Pedidos!$D$2:$D$1801,MATCH(B1272,Pedidos!$A$2:$A$1801,0)),"")</f>
        <v/>
      </c>
      <c r="L1272" s="21">
        <f>IFERROR(INDEX(Pedidos!$F$2:$F$1801,MATCH(B1272,Pedidos!$A$2:$A$1801,0)),"")</f>
        <v/>
      </c>
      <c r="M1272" s="22">
        <f>IFERROR(INDEX(Pedidos!$G$2:$G$1801,MATCH(B1272,Pedidos!$A$2:$A$1801,0)),0)</f>
        <v/>
      </c>
      <c r="N1272" s="21">
        <f>IFERROR(INDEX(Produtos!$B$2:$B$71,MATCH(C1272,Produtos!$A$2:$A$71,0)),"")</f>
        <v/>
      </c>
      <c r="O1272" s="21">
        <f>IFERROR(INDEX(Produtos!$C$2:$C$71,MATCH(C1272,Produtos!$A$2:$A$71,0)),"")</f>
        <v/>
      </c>
      <c r="P1272" s="21">
        <f>IFERROR(INDEX(Produtos!$D$2:$D$71,MATCH(C1272,Produtos!$A$2:$A$71,0)),0)</f>
        <v/>
      </c>
      <c r="Q1272" s="21">
        <f>IFERROR(INDEX(Produtos!$E$2:$E$71,MATCH(C1272,Produtos!$A$2:$A$71,0)),0)</f>
        <v/>
      </c>
      <c r="R1272" s="23">
        <f>D1272*Q1272</f>
        <v/>
      </c>
      <c r="S1272" s="23">
        <f>R1272*E1272</f>
        <v/>
      </c>
      <c r="T1272" s="23">
        <f>(R1272-S1272)*M1272</f>
        <v/>
      </c>
      <c r="U1272" s="23">
        <f>R1272-S1272-T1272</f>
        <v/>
      </c>
      <c r="V1272" s="23">
        <f>D1272*P1272</f>
        <v/>
      </c>
      <c r="W1272" s="23">
        <f>U1272-V1272</f>
        <v/>
      </c>
      <c r="X1272" s="24">
        <f>IFERROR(W1272/U1272,0)</f>
        <v/>
      </c>
    </row>
    <row r="1273">
      <c r="A1273" s="25">
        <f>ItensPedido!A1273</f>
        <v/>
      </c>
      <c r="B1273" s="25">
        <f>ItensPedido!B1273</f>
        <v/>
      </c>
      <c r="C1273" s="25">
        <f>ItensPedido!C1273</f>
        <v/>
      </c>
      <c r="D1273" s="25">
        <f>ItensPedido!D1273</f>
        <v/>
      </c>
      <c r="E1273" s="26">
        <f>ItensPedido!E1273</f>
        <v/>
      </c>
      <c r="F1273" s="25">
        <f>IFERROR(INDEX(Pedidos!$B$2:$B$1801,MATCH(B1273,Pedidos!$A$2:$A$1801,0)),0)</f>
        <v/>
      </c>
      <c r="G1273" s="25">
        <f>IF(F1273=0,"",YEAR(F1273))</f>
        <v/>
      </c>
      <c r="H1273" s="25">
        <f>IF(F1273=0,"",MONTH(F1273))</f>
        <v/>
      </c>
      <c r="I1273" s="25">
        <f>IFERROR(INDEX(Pedidos!$E$2:$E$1801,MATCH(B1273,Pedidos!$A$2:$A$1801,0)),"")</f>
        <v/>
      </c>
      <c r="J1273" s="25">
        <f>IFERROR(INDEX(Pedidos!$C$2:$C$1801,MATCH(B1273,Pedidos!$A$2:$A$1801,0)),"")</f>
        <v/>
      </c>
      <c r="K1273" s="25">
        <f>IFERROR(INDEX(Pedidos!$D$2:$D$1801,MATCH(B1273,Pedidos!$A$2:$A$1801,0)),"")</f>
        <v/>
      </c>
      <c r="L1273" s="25">
        <f>IFERROR(INDEX(Pedidos!$F$2:$F$1801,MATCH(B1273,Pedidos!$A$2:$A$1801,0)),"")</f>
        <v/>
      </c>
      <c r="M1273" s="26">
        <f>IFERROR(INDEX(Pedidos!$G$2:$G$1801,MATCH(B1273,Pedidos!$A$2:$A$1801,0)),0)</f>
        <v/>
      </c>
      <c r="N1273" s="25">
        <f>IFERROR(INDEX(Produtos!$B$2:$B$71,MATCH(C1273,Produtos!$A$2:$A$71,0)),"")</f>
        <v/>
      </c>
      <c r="O1273" s="25">
        <f>IFERROR(INDEX(Produtos!$C$2:$C$71,MATCH(C1273,Produtos!$A$2:$A$71,0)),"")</f>
        <v/>
      </c>
      <c r="P1273" s="25">
        <f>IFERROR(INDEX(Produtos!$D$2:$D$71,MATCH(C1273,Produtos!$A$2:$A$71,0)),0)</f>
        <v/>
      </c>
      <c r="Q1273" s="25">
        <f>IFERROR(INDEX(Produtos!$E$2:$E$71,MATCH(C1273,Produtos!$A$2:$A$71,0)),0)</f>
        <v/>
      </c>
      <c r="R1273" s="27">
        <f>D1273*Q1273</f>
        <v/>
      </c>
      <c r="S1273" s="27">
        <f>R1273*E1273</f>
        <v/>
      </c>
      <c r="T1273" s="27">
        <f>(R1273-S1273)*M1273</f>
        <v/>
      </c>
      <c r="U1273" s="27">
        <f>R1273-S1273-T1273</f>
        <v/>
      </c>
      <c r="V1273" s="27">
        <f>D1273*P1273</f>
        <v/>
      </c>
      <c r="W1273" s="27">
        <f>U1273-V1273</f>
        <v/>
      </c>
      <c r="X1273" s="28">
        <f>IFERROR(W1273/U1273,0)</f>
        <v/>
      </c>
    </row>
    <row r="1274">
      <c r="A1274" s="21">
        <f>ItensPedido!A1274</f>
        <v/>
      </c>
      <c r="B1274" s="21">
        <f>ItensPedido!B1274</f>
        <v/>
      </c>
      <c r="C1274" s="21">
        <f>ItensPedido!C1274</f>
        <v/>
      </c>
      <c r="D1274" s="21">
        <f>ItensPedido!D1274</f>
        <v/>
      </c>
      <c r="E1274" s="22">
        <f>ItensPedido!E1274</f>
        <v/>
      </c>
      <c r="F1274" s="21">
        <f>IFERROR(INDEX(Pedidos!$B$2:$B$1801,MATCH(B1274,Pedidos!$A$2:$A$1801,0)),0)</f>
        <v/>
      </c>
      <c r="G1274" s="21">
        <f>IF(F1274=0,"",YEAR(F1274))</f>
        <v/>
      </c>
      <c r="H1274" s="21">
        <f>IF(F1274=0,"",MONTH(F1274))</f>
        <v/>
      </c>
      <c r="I1274" s="21">
        <f>IFERROR(INDEX(Pedidos!$E$2:$E$1801,MATCH(B1274,Pedidos!$A$2:$A$1801,0)),"")</f>
        <v/>
      </c>
      <c r="J1274" s="21">
        <f>IFERROR(INDEX(Pedidos!$C$2:$C$1801,MATCH(B1274,Pedidos!$A$2:$A$1801,0)),"")</f>
        <v/>
      </c>
      <c r="K1274" s="21">
        <f>IFERROR(INDEX(Pedidos!$D$2:$D$1801,MATCH(B1274,Pedidos!$A$2:$A$1801,0)),"")</f>
        <v/>
      </c>
      <c r="L1274" s="21">
        <f>IFERROR(INDEX(Pedidos!$F$2:$F$1801,MATCH(B1274,Pedidos!$A$2:$A$1801,0)),"")</f>
        <v/>
      </c>
      <c r="M1274" s="22">
        <f>IFERROR(INDEX(Pedidos!$G$2:$G$1801,MATCH(B1274,Pedidos!$A$2:$A$1801,0)),0)</f>
        <v/>
      </c>
      <c r="N1274" s="21">
        <f>IFERROR(INDEX(Produtos!$B$2:$B$71,MATCH(C1274,Produtos!$A$2:$A$71,0)),"")</f>
        <v/>
      </c>
      <c r="O1274" s="21">
        <f>IFERROR(INDEX(Produtos!$C$2:$C$71,MATCH(C1274,Produtos!$A$2:$A$71,0)),"")</f>
        <v/>
      </c>
      <c r="P1274" s="21">
        <f>IFERROR(INDEX(Produtos!$D$2:$D$71,MATCH(C1274,Produtos!$A$2:$A$71,0)),0)</f>
        <v/>
      </c>
      <c r="Q1274" s="21">
        <f>IFERROR(INDEX(Produtos!$E$2:$E$71,MATCH(C1274,Produtos!$A$2:$A$71,0)),0)</f>
        <v/>
      </c>
      <c r="R1274" s="23">
        <f>D1274*Q1274</f>
        <v/>
      </c>
      <c r="S1274" s="23">
        <f>R1274*E1274</f>
        <v/>
      </c>
      <c r="T1274" s="23">
        <f>(R1274-S1274)*M1274</f>
        <v/>
      </c>
      <c r="U1274" s="23">
        <f>R1274-S1274-T1274</f>
        <v/>
      </c>
      <c r="V1274" s="23">
        <f>D1274*P1274</f>
        <v/>
      </c>
      <c r="W1274" s="23">
        <f>U1274-V1274</f>
        <v/>
      </c>
      <c r="X1274" s="24">
        <f>IFERROR(W1274/U1274,0)</f>
        <v/>
      </c>
    </row>
    <row r="1275">
      <c r="A1275" s="25">
        <f>ItensPedido!A1275</f>
        <v/>
      </c>
      <c r="B1275" s="25">
        <f>ItensPedido!B1275</f>
        <v/>
      </c>
      <c r="C1275" s="25">
        <f>ItensPedido!C1275</f>
        <v/>
      </c>
      <c r="D1275" s="25">
        <f>ItensPedido!D1275</f>
        <v/>
      </c>
      <c r="E1275" s="26">
        <f>ItensPedido!E1275</f>
        <v/>
      </c>
      <c r="F1275" s="25">
        <f>IFERROR(INDEX(Pedidos!$B$2:$B$1801,MATCH(B1275,Pedidos!$A$2:$A$1801,0)),0)</f>
        <v/>
      </c>
      <c r="G1275" s="25">
        <f>IF(F1275=0,"",YEAR(F1275))</f>
        <v/>
      </c>
      <c r="H1275" s="25">
        <f>IF(F1275=0,"",MONTH(F1275))</f>
        <v/>
      </c>
      <c r="I1275" s="25">
        <f>IFERROR(INDEX(Pedidos!$E$2:$E$1801,MATCH(B1275,Pedidos!$A$2:$A$1801,0)),"")</f>
        <v/>
      </c>
      <c r="J1275" s="25">
        <f>IFERROR(INDEX(Pedidos!$C$2:$C$1801,MATCH(B1275,Pedidos!$A$2:$A$1801,0)),"")</f>
        <v/>
      </c>
      <c r="K1275" s="25">
        <f>IFERROR(INDEX(Pedidos!$D$2:$D$1801,MATCH(B1275,Pedidos!$A$2:$A$1801,0)),"")</f>
        <v/>
      </c>
      <c r="L1275" s="25">
        <f>IFERROR(INDEX(Pedidos!$F$2:$F$1801,MATCH(B1275,Pedidos!$A$2:$A$1801,0)),"")</f>
        <v/>
      </c>
      <c r="M1275" s="26">
        <f>IFERROR(INDEX(Pedidos!$G$2:$G$1801,MATCH(B1275,Pedidos!$A$2:$A$1801,0)),0)</f>
        <v/>
      </c>
      <c r="N1275" s="25">
        <f>IFERROR(INDEX(Produtos!$B$2:$B$71,MATCH(C1275,Produtos!$A$2:$A$71,0)),"")</f>
        <v/>
      </c>
      <c r="O1275" s="25">
        <f>IFERROR(INDEX(Produtos!$C$2:$C$71,MATCH(C1275,Produtos!$A$2:$A$71,0)),"")</f>
        <v/>
      </c>
      <c r="P1275" s="25">
        <f>IFERROR(INDEX(Produtos!$D$2:$D$71,MATCH(C1275,Produtos!$A$2:$A$71,0)),0)</f>
        <v/>
      </c>
      <c r="Q1275" s="25">
        <f>IFERROR(INDEX(Produtos!$E$2:$E$71,MATCH(C1275,Produtos!$A$2:$A$71,0)),0)</f>
        <v/>
      </c>
      <c r="R1275" s="27">
        <f>D1275*Q1275</f>
        <v/>
      </c>
      <c r="S1275" s="27">
        <f>R1275*E1275</f>
        <v/>
      </c>
      <c r="T1275" s="27">
        <f>(R1275-S1275)*M1275</f>
        <v/>
      </c>
      <c r="U1275" s="27">
        <f>R1275-S1275-T1275</f>
        <v/>
      </c>
      <c r="V1275" s="27">
        <f>D1275*P1275</f>
        <v/>
      </c>
      <c r="W1275" s="27">
        <f>U1275-V1275</f>
        <v/>
      </c>
      <c r="X1275" s="28">
        <f>IFERROR(W1275/U1275,0)</f>
        <v/>
      </c>
    </row>
    <row r="1276">
      <c r="A1276" s="21">
        <f>ItensPedido!A1276</f>
        <v/>
      </c>
      <c r="B1276" s="21">
        <f>ItensPedido!B1276</f>
        <v/>
      </c>
      <c r="C1276" s="21">
        <f>ItensPedido!C1276</f>
        <v/>
      </c>
      <c r="D1276" s="21">
        <f>ItensPedido!D1276</f>
        <v/>
      </c>
      <c r="E1276" s="22">
        <f>ItensPedido!E1276</f>
        <v/>
      </c>
      <c r="F1276" s="21">
        <f>IFERROR(INDEX(Pedidos!$B$2:$B$1801,MATCH(B1276,Pedidos!$A$2:$A$1801,0)),0)</f>
        <v/>
      </c>
      <c r="G1276" s="21">
        <f>IF(F1276=0,"",YEAR(F1276))</f>
        <v/>
      </c>
      <c r="H1276" s="21">
        <f>IF(F1276=0,"",MONTH(F1276))</f>
        <v/>
      </c>
      <c r="I1276" s="21">
        <f>IFERROR(INDEX(Pedidos!$E$2:$E$1801,MATCH(B1276,Pedidos!$A$2:$A$1801,0)),"")</f>
        <v/>
      </c>
      <c r="J1276" s="21">
        <f>IFERROR(INDEX(Pedidos!$C$2:$C$1801,MATCH(B1276,Pedidos!$A$2:$A$1801,0)),"")</f>
        <v/>
      </c>
      <c r="K1276" s="21">
        <f>IFERROR(INDEX(Pedidos!$D$2:$D$1801,MATCH(B1276,Pedidos!$A$2:$A$1801,0)),"")</f>
        <v/>
      </c>
      <c r="L1276" s="21">
        <f>IFERROR(INDEX(Pedidos!$F$2:$F$1801,MATCH(B1276,Pedidos!$A$2:$A$1801,0)),"")</f>
        <v/>
      </c>
      <c r="M1276" s="22">
        <f>IFERROR(INDEX(Pedidos!$G$2:$G$1801,MATCH(B1276,Pedidos!$A$2:$A$1801,0)),0)</f>
        <v/>
      </c>
      <c r="N1276" s="21">
        <f>IFERROR(INDEX(Produtos!$B$2:$B$71,MATCH(C1276,Produtos!$A$2:$A$71,0)),"")</f>
        <v/>
      </c>
      <c r="O1276" s="21">
        <f>IFERROR(INDEX(Produtos!$C$2:$C$71,MATCH(C1276,Produtos!$A$2:$A$71,0)),"")</f>
        <v/>
      </c>
      <c r="P1276" s="21">
        <f>IFERROR(INDEX(Produtos!$D$2:$D$71,MATCH(C1276,Produtos!$A$2:$A$71,0)),0)</f>
        <v/>
      </c>
      <c r="Q1276" s="21">
        <f>IFERROR(INDEX(Produtos!$E$2:$E$71,MATCH(C1276,Produtos!$A$2:$A$71,0)),0)</f>
        <v/>
      </c>
      <c r="R1276" s="23">
        <f>D1276*Q1276</f>
        <v/>
      </c>
      <c r="S1276" s="23">
        <f>R1276*E1276</f>
        <v/>
      </c>
      <c r="T1276" s="23">
        <f>(R1276-S1276)*M1276</f>
        <v/>
      </c>
      <c r="U1276" s="23">
        <f>R1276-S1276-T1276</f>
        <v/>
      </c>
      <c r="V1276" s="23">
        <f>D1276*P1276</f>
        <v/>
      </c>
      <c r="W1276" s="23">
        <f>U1276-V1276</f>
        <v/>
      </c>
      <c r="X1276" s="24">
        <f>IFERROR(W1276/U1276,0)</f>
        <v/>
      </c>
    </row>
    <row r="1277">
      <c r="A1277" s="25">
        <f>ItensPedido!A1277</f>
        <v/>
      </c>
      <c r="B1277" s="25">
        <f>ItensPedido!B1277</f>
        <v/>
      </c>
      <c r="C1277" s="25">
        <f>ItensPedido!C1277</f>
        <v/>
      </c>
      <c r="D1277" s="25">
        <f>ItensPedido!D1277</f>
        <v/>
      </c>
      <c r="E1277" s="26">
        <f>ItensPedido!E1277</f>
        <v/>
      </c>
      <c r="F1277" s="25">
        <f>IFERROR(INDEX(Pedidos!$B$2:$B$1801,MATCH(B1277,Pedidos!$A$2:$A$1801,0)),0)</f>
        <v/>
      </c>
      <c r="G1277" s="25">
        <f>IF(F1277=0,"",YEAR(F1277))</f>
        <v/>
      </c>
      <c r="H1277" s="25">
        <f>IF(F1277=0,"",MONTH(F1277))</f>
        <v/>
      </c>
      <c r="I1277" s="25">
        <f>IFERROR(INDEX(Pedidos!$E$2:$E$1801,MATCH(B1277,Pedidos!$A$2:$A$1801,0)),"")</f>
        <v/>
      </c>
      <c r="J1277" s="25">
        <f>IFERROR(INDEX(Pedidos!$C$2:$C$1801,MATCH(B1277,Pedidos!$A$2:$A$1801,0)),"")</f>
        <v/>
      </c>
      <c r="K1277" s="25">
        <f>IFERROR(INDEX(Pedidos!$D$2:$D$1801,MATCH(B1277,Pedidos!$A$2:$A$1801,0)),"")</f>
        <v/>
      </c>
      <c r="L1277" s="25">
        <f>IFERROR(INDEX(Pedidos!$F$2:$F$1801,MATCH(B1277,Pedidos!$A$2:$A$1801,0)),"")</f>
        <v/>
      </c>
      <c r="M1277" s="26">
        <f>IFERROR(INDEX(Pedidos!$G$2:$G$1801,MATCH(B1277,Pedidos!$A$2:$A$1801,0)),0)</f>
        <v/>
      </c>
      <c r="N1277" s="25">
        <f>IFERROR(INDEX(Produtos!$B$2:$B$71,MATCH(C1277,Produtos!$A$2:$A$71,0)),"")</f>
        <v/>
      </c>
      <c r="O1277" s="25">
        <f>IFERROR(INDEX(Produtos!$C$2:$C$71,MATCH(C1277,Produtos!$A$2:$A$71,0)),"")</f>
        <v/>
      </c>
      <c r="P1277" s="25">
        <f>IFERROR(INDEX(Produtos!$D$2:$D$71,MATCH(C1277,Produtos!$A$2:$A$71,0)),0)</f>
        <v/>
      </c>
      <c r="Q1277" s="25">
        <f>IFERROR(INDEX(Produtos!$E$2:$E$71,MATCH(C1277,Produtos!$A$2:$A$71,0)),0)</f>
        <v/>
      </c>
      <c r="R1277" s="27">
        <f>D1277*Q1277</f>
        <v/>
      </c>
      <c r="S1277" s="27">
        <f>R1277*E1277</f>
        <v/>
      </c>
      <c r="T1277" s="27">
        <f>(R1277-S1277)*M1277</f>
        <v/>
      </c>
      <c r="U1277" s="27">
        <f>R1277-S1277-T1277</f>
        <v/>
      </c>
      <c r="V1277" s="27">
        <f>D1277*P1277</f>
        <v/>
      </c>
      <c r="W1277" s="27">
        <f>U1277-V1277</f>
        <v/>
      </c>
      <c r="X1277" s="28">
        <f>IFERROR(W1277/U1277,0)</f>
        <v/>
      </c>
    </row>
    <row r="1278">
      <c r="A1278" s="21">
        <f>ItensPedido!A1278</f>
        <v/>
      </c>
      <c r="B1278" s="21">
        <f>ItensPedido!B1278</f>
        <v/>
      </c>
      <c r="C1278" s="21">
        <f>ItensPedido!C1278</f>
        <v/>
      </c>
      <c r="D1278" s="21">
        <f>ItensPedido!D1278</f>
        <v/>
      </c>
      <c r="E1278" s="22">
        <f>ItensPedido!E1278</f>
        <v/>
      </c>
      <c r="F1278" s="21">
        <f>IFERROR(INDEX(Pedidos!$B$2:$B$1801,MATCH(B1278,Pedidos!$A$2:$A$1801,0)),0)</f>
        <v/>
      </c>
      <c r="G1278" s="21">
        <f>IF(F1278=0,"",YEAR(F1278))</f>
        <v/>
      </c>
      <c r="H1278" s="21">
        <f>IF(F1278=0,"",MONTH(F1278))</f>
        <v/>
      </c>
      <c r="I1278" s="21">
        <f>IFERROR(INDEX(Pedidos!$E$2:$E$1801,MATCH(B1278,Pedidos!$A$2:$A$1801,0)),"")</f>
        <v/>
      </c>
      <c r="J1278" s="21">
        <f>IFERROR(INDEX(Pedidos!$C$2:$C$1801,MATCH(B1278,Pedidos!$A$2:$A$1801,0)),"")</f>
        <v/>
      </c>
      <c r="K1278" s="21">
        <f>IFERROR(INDEX(Pedidos!$D$2:$D$1801,MATCH(B1278,Pedidos!$A$2:$A$1801,0)),"")</f>
        <v/>
      </c>
      <c r="L1278" s="21">
        <f>IFERROR(INDEX(Pedidos!$F$2:$F$1801,MATCH(B1278,Pedidos!$A$2:$A$1801,0)),"")</f>
        <v/>
      </c>
      <c r="M1278" s="22">
        <f>IFERROR(INDEX(Pedidos!$G$2:$G$1801,MATCH(B1278,Pedidos!$A$2:$A$1801,0)),0)</f>
        <v/>
      </c>
      <c r="N1278" s="21">
        <f>IFERROR(INDEX(Produtos!$B$2:$B$71,MATCH(C1278,Produtos!$A$2:$A$71,0)),"")</f>
        <v/>
      </c>
      <c r="O1278" s="21">
        <f>IFERROR(INDEX(Produtos!$C$2:$C$71,MATCH(C1278,Produtos!$A$2:$A$71,0)),"")</f>
        <v/>
      </c>
      <c r="P1278" s="21">
        <f>IFERROR(INDEX(Produtos!$D$2:$D$71,MATCH(C1278,Produtos!$A$2:$A$71,0)),0)</f>
        <v/>
      </c>
      <c r="Q1278" s="21">
        <f>IFERROR(INDEX(Produtos!$E$2:$E$71,MATCH(C1278,Produtos!$A$2:$A$71,0)),0)</f>
        <v/>
      </c>
      <c r="R1278" s="23">
        <f>D1278*Q1278</f>
        <v/>
      </c>
      <c r="S1278" s="23">
        <f>R1278*E1278</f>
        <v/>
      </c>
      <c r="T1278" s="23">
        <f>(R1278-S1278)*M1278</f>
        <v/>
      </c>
      <c r="U1278" s="23">
        <f>R1278-S1278-T1278</f>
        <v/>
      </c>
      <c r="V1278" s="23">
        <f>D1278*P1278</f>
        <v/>
      </c>
      <c r="W1278" s="23">
        <f>U1278-V1278</f>
        <v/>
      </c>
      <c r="X1278" s="24">
        <f>IFERROR(W1278/U1278,0)</f>
        <v/>
      </c>
    </row>
    <row r="1279">
      <c r="A1279" s="25">
        <f>ItensPedido!A1279</f>
        <v/>
      </c>
      <c r="B1279" s="25">
        <f>ItensPedido!B1279</f>
        <v/>
      </c>
      <c r="C1279" s="25">
        <f>ItensPedido!C1279</f>
        <v/>
      </c>
      <c r="D1279" s="25">
        <f>ItensPedido!D1279</f>
        <v/>
      </c>
      <c r="E1279" s="26">
        <f>ItensPedido!E1279</f>
        <v/>
      </c>
      <c r="F1279" s="25">
        <f>IFERROR(INDEX(Pedidos!$B$2:$B$1801,MATCH(B1279,Pedidos!$A$2:$A$1801,0)),0)</f>
        <v/>
      </c>
      <c r="G1279" s="25">
        <f>IF(F1279=0,"",YEAR(F1279))</f>
        <v/>
      </c>
      <c r="H1279" s="25">
        <f>IF(F1279=0,"",MONTH(F1279))</f>
        <v/>
      </c>
      <c r="I1279" s="25">
        <f>IFERROR(INDEX(Pedidos!$E$2:$E$1801,MATCH(B1279,Pedidos!$A$2:$A$1801,0)),"")</f>
        <v/>
      </c>
      <c r="J1279" s="25">
        <f>IFERROR(INDEX(Pedidos!$C$2:$C$1801,MATCH(B1279,Pedidos!$A$2:$A$1801,0)),"")</f>
        <v/>
      </c>
      <c r="K1279" s="25">
        <f>IFERROR(INDEX(Pedidos!$D$2:$D$1801,MATCH(B1279,Pedidos!$A$2:$A$1801,0)),"")</f>
        <v/>
      </c>
      <c r="L1279" s="25">
        <f>IFERROR(INDEX(Pedidos!$F$2:$F$1801,MATCH(B1279,Pedidos!$A$2:$A$1801,0)),"")</f>
        <v/>
      </c>
      <c r="M1279" s="26">
        <f>IFERROR(INDEX(Pedidos!$G$2:$G$1801,MATCH(B1279,Pedidos!$A$2:$A$1801,0)),0)</f>
        <v/>
      </c>
      <c r="N1279" s="25">
        <f>IFERROR(INDEX(Produtos!$B$2:$B$71,MATCH(C1279,Produtos!$A$2:$A$71,0)),"")</f>
        <v/>
      </c>
      <c r="O1279" s="25">
        <f>IFERROR(INDEX(Produtos!$C$2:$C$71,MATCH(C1279,Produtos!$A$2:$A$71,0)),"")</f>
        <v/>
      </c>
      <c r="P1279" s="25">
        <f>IFERROR(INDEX(Produtos!$D$2:$D$71,MATCH(C1279,Produtos!$A$2:$A$71,0)),0)</f>
        <v/>
      </c>
      <c r="Q1279" s="25">
        <f>IFERROR(INDEX(Produtos!$E$2:$E$71,MATCH(C1279,Produtos!$A$2:$A$71,0)),0)</f>
        <v/>
      </c>
      <c r="R1279" s="27">
        <f>D1279*Q1279</f>
        <v/>
      </c>
      <c r="S1279" s="27">
        <f>R1279*E1279</f>
        <v/>
      </c>
      <c r="T1279" s="27">
        <f>(R1279-S1279)*M1279</f>
        <v/>
      </c>
      <c r="U1279" s="27">
        <f>R1279-S1279-T1279</f>
        <v/>
      </c>
      <c r="V1279" s="27">
        <f>D1279*P1279</f>
        <v/>
      </c>
      <c r="W1279" s="27">
        <f>U1279-V1279</f>
        <v/>
      </c>
      <c r="X1279" s="28">
        <f>IFERROR(W1279/U1279,0)</f>
        <v/>
      </c>
    </row>
    <row r="1280">
      <c r="A1280" s="21">
        <f>ItensPedido!A1280</f>
        <v/>
      </c>
      <c r="B1280" s="21">
        <f>ItensPedido!B1280</f>
        <v/>
      </c>
      <c r="C1280" s="21">
        <f>ItensPedido!C1280</f>
        <v/>
      </c>
      <c r="D1280" s="21">
        <f>ItensPedido!D1280</f>
        <v/>
      </c>
      <c r="E1280" s="22">
        <f>ItensPedido!E1280</f>
        <v/>
      </c>
      <c r="F1280" s="21">
        <f>IFERROR(INDEX(Pedidos!$B$2:$B$1801,MATCH(B1280,Pedidos!$A$2:$A$1801,0)),0)</f>
        <v/>
      </c>
      <c r="G1280" s="21">
        <f>IF(F1280=0,"",YEAR(F1280))</f>
        <v/>
      </c>
      <c r="H1280" s="21">
        <f>IF(F1280=0,"",MONTH(F1280))</f>
        <v/>
      </c>
      <c r="I1280" s="21">
        <f>IFERROR(INDEX(Pedidos!$E$2:$E$1801,MATCH(B1280,Pedidos!$A$2:$A$1801,0)),"")</f>
        <v/>
      </c>
      <c r="J1280" s="21">
        <f>IFERROR(INDEX(Pedidos!$C$2:$C$1801,MATCH(B1280,Pedidos!$A$2:$A$1801,0)),"")</f>
        <v/>
      </c>
      <c r="K1280" s="21">
        <f>IFERROR(INDEX(Pedidos!$D$2:$D$1801,MATCH(B1280,Pedidos!$A$2:$A$1801,0)),"")</f>
        <v/>
      </c>
      <c r="L1280" s="21">
        <f>IFERROR(INDEX(Pedidos!$F$2:$F$1801,MATCH(B1280,Pedidos!$A$2:$A$1801,0)),"")</f>
        <v/>
      </c>
      <c r="M1280" s="22">
        <f>IFERROR(INDEX(Pedidos!$G$2:$G$1801,MATCH(B1280,Pedidos!$A$2:$A$1801,0)),0)</f>
        <v/>
      </c>
      <c r="N1280" s="21">
        <f>IFERROR(INDEX(Produtos!$B$2:$B$71,MATCH(C1280,Produtos!$A$2:$A$71,0)),"")</f>
        <v/>
      </c>
      <c r="O1280" s="21">
        <f>IFERROR(INDEX(Produtos!$C$2:$C$71,MATCH(C1280,Produtos!$A$2:$A$71,0)),"")</f>
        <v/>
      </c>
      <c r="P1280" s="21">
        <f>IFERROR(INDEX(Produtos!$D$2:$D$71,MATCH(C1280,Produtos!$A$2:$A$71,0)),0)</f>
        <v/>
      </c>
      <c r="Q1280" s="21">
        <f>IFERROR(INDEX(Produtos!$E$2:$E$71,MATCH(C1280,Produtos!$A$2:$A$71,0)),0)</f>
        <v/>
      </c>
      <c r="R1280" s="23">
        <f>D1280*Q1280</f>
        <v/>
      </c>
      <c r="S1280" s="23">
        <f>R1280*E1280</f>
        <v/>
      </c>
      <c r="T1280" s="23">
        <f>(R1280-S1280)*M1280</f>
        <v/>
      </c>
      <c r="U1280" s="23">
        <f>R1280-S1280-T1280</f>
        <v/>
      </c>
      <c r="V1280" s="23">
        <f>D1280*P1280</f>
        <v/>
      </c>
      <c r="W1280" s="23">
        <f>U1280-V1280</f>
        <v/>
      </c>
      <c r="X1280" s="24">
        <f>IFERROR(W1280/U1280,0)</f>
        <v/>
      </c>
    </row>
    <row r="1281">
      <c r="A1281" s="25">
        <f>ItensPedido!A1281</f>
        <v/>
      </c>
      <c r="B1281" s="25">
        <f>ItensPedido!B1281</f>
        <v/>
      </c>
      <c r="C1281" s="25">
        <f>ItensPedido!C1281</f>
        <v/>
      </c>
      <c r="D1281" s="25">
        <f>ItensPedido!D1281</f>
        <v/>
      </c>
      <c r="E1281" s="26">
        <f>ItensPedido!E1281</f>
        <v/>
      </c>
      <c r="F1281" s="25">
        <f>IFERROR(INDEX(Pedidos!$B$2:$B$1801,MATCH(B1281,Pedidos!$A$2:$A$1801,0)),0)</f>
        <v/>
      </c>
      <c r="G1281" s="25">
        <f>IF(F1281=0,"",YEAR(F1281))</f>
        <v/>
      </c>
      <c r="H1281" s="25">
        <f>IF(F1281=0,"",MONTH(F1281))</f>
        <v/>
      </c>
      <c r="I1281" s="25">
        <f>IFERROR(INDEX(Pedidos!$E$2:$E$1801,MATCH(B1281,Pedidos!$A$2:$A$1801,0)),"")</f>
        <v/>
      </c>
      <c r="J1281" s="25">
        <f>IFERROR(INDEX(Pedidos!$C$2:$C$1801,MATCH(B1281,Pedidos!$A$2:$A$1801,0)),"")</f>
        <v/>
      </c>
      <c r="K1281" s="25">
        <f>IFERROR(INDEX(Pedidos!$D$2:$D$1801,MATCH(B1281,Pedidos!$A$2:$A$1801,0)),"")</f>
        <v/>
      </c>
      <c r="L1281" s="25">
        <f>IFERROR(INDEX(Pedidos!$F$2:$F$1801,MATCH(B1281,Pedidos!$A$2:$A$1801,0)),"")</f>
        <v/>
      </c>
      <c r="M1281" s="26">
        <f>IFERROR(INDEX(Pedidos!$G$2:$G$1801,MATCH(B1281,Pedidos!$A$2:$A$1801,0)),0)</f>
        <v/>
      </c>
      <c r="N1281" s="25">
        <f>IFERROR(INDEX(Produtos!$B$2:$B$71,MATCH(C1281,Produtos!$A$2:$A$71,0)),"")</f>
        <v/>
      </c>
      <c r="O1281" s="25">
        <f>IFERROR(INDEX(Produtos!$C$2:$C$71,MATCH(C1281,Produtos!$A$2:$A$71,0)),"")</f>
        <v/>
      </c>
      <c r="P1281" s="25">
        <f>IFERROR(INDEX(Produtos!$D$2:$D$71,MATCH(C1281,Produtos!$A$2:$A$71,0)),0)</f>
        <v/>
      </c>
      <c r="Q1281" s="25">
        <f>IFERROR(INDEX(Produtos!$E$2:$E$71,MATCH(C1281,Produtos!$A$2:$A$71,0)),0)</f>
        <v/>
      </c>
      <c r="R1281" s="27">
        <f>D1281*Q1281</f>
        <v/>
      </c>
      <c r="S1281" s="27">
        <f>R1281*E1281</f>
        <v/>
      </c>
      <c r="T1281" s="27">
        <f>(R1281-S1281)*M1281</f>
        <v/>
      </c>
      <c r="U1281" s="27">
        <f>R1281-S1281-T1281</f>
        <v/>
      </c>
      <c r="V1281" s="27">
        <f>D1281*P1281</f>
        <v/>
      </c>
      <c r="W1281" s="27">
        <f>U1281-V1281</f>
        <v/>
      </c>
      <c r="X1281" s="28">
        <f>IFERROR(W1281/U1281,0)</f>
        <v/>
      </c>
    </row>
    <row r="1282">
      <c r="A1282" s="21">
        <f>ItensPedido!A1282</f>
        <v/>
      </c>
      <c r="B1282" s="21">
        <f>ItensPedido!B1282</f>
        <v/>
      </c>
      <c r="C1282" s="21">
        <f>ItensPedido!C1282</f>
        <v/>
      </c>
      <c r="D1282" s="21">
        <f>ItensPedido!D1282</f>
        <v/>
      </c>
      <c r="E1282" s="22">
        <f>ItensPedido!E1282</f>
        <v/>
      </c>
      <c r="F1282" s="21">
        <f>IFERROR(INDEX(Pedidos!$B$2:$B$1801,MATCH(B1282,Pedidos!$A$2:$A$1801,0)),0)</f>
        <v/>
      </c>
      <c r="G1282" s="21">
        <f>IF(F1282=0,"",YEAR(F1282))</f>
        <v/>
      </c>
      <c r="H1282" s="21">
        <f>IF(F1282=0,"",MONTH(F1282))</f>
        <v/>
      </c>
      <c r="I1282" s="21">
        <f>IFERROR(INDEX(Pedidos!$E$2:$E$1801,MATCH(B1282,Pedidos!$A$2:$A$1801,0)),"")</f>
        <v/>
      </c>
      <c r="J1282" s="21">
        <f>IFERROR(INDEX(Pedidos!$C$2:$C$1801,MATCH(B1282,Pedidos!$A$2:$A$1801,0)),"")</f>
        <v/>
      </c>
      <c r="K1282" s="21">
        <f>IFERROR(INDEX(Pedidos!$D$2:$D$1801,MATCH(B1282,Pedidos!$A$2:$A$1801,0)),"")</f>
        <v/>
      </c>
      <c r="L1282" s="21">
        <f>IFERROR(INDEX(Pedidos!$F$2:$F$1801,MATCH(B1282,Pedidos!$A$2:$A$1801,0)),"")</f>
        <v/>
      </c>
      <c r="M1282" s="22">
        <f>IFERROR(INDEX(Pedidos!$G$2:$G$1801,MATCH(B1282,Pedidos!$A$2:$A$1801,0)),0)</f>
        <v/>
      </c>
      <c r="N1282" s="21">
        <f>IFERROR(INDEX(Produtos!$B$2:$B$71,MATCH(C1282,Produtos!$A$2:$A$71,0)),"")</f>
        <v/>
      </c>
      <c r="O1282" s="21">
        <f>IFERROR(INDEX(Produtos!$C$2:$C$71,MATCH(C1282,Produtos!$A$2:$A$71,0)),"")</f>
        <v/>
      </c>
      <c r="P1282" s="21">
        <f>IFERROR(INDEX(Produtos!$D$2:$D$71,MATCH(C1282,Produtos!$A$2:$A$71,0)),0)</f>
        <v/>
      </c>
      <c r="Q1282" s="21">
        <f>IFERROR(INDEX(Produtos!$E$2:$E$71,MATCH(C1282,Produtos!$A$2:$A$71,0)),0)</f>
        <v/>
      </c>
      <c r="R1282" s="23">
        <f>D1282*Q1282</f>
        <v/>
      </c>
      <c r="S1282" s="23">
        <f>R1282*E1282</f>
        <v/>
      </c>
      <c r="T1282" s="23">
        <f>(R1282-S1282)*M1282</f>
        <v/>
      </c>
      <c r="U1282" s="23">
        <f>R1282-S1282-T1282</f>
        <v/>
      </c>
      <c r="V1282" s="23">
        <f>D1282*P1282</f>
        <v/>
      </c>
      <c r="W1282" s="23">
        <f>U1282-V1282</f>
        <v/>
      </c>
      <c r="X1282" s="24">
        <f>IFERROR(W1282/U1282,0)</f>
        <v/>
      </c>
    </row>
    <row r="1283">
      <c r="A1283" s="25">
        <f>ItensPedido!A1283</f>
        <v/>
      </c>
      <c r="B1283" s="25">
        <f>ItensPedido!B1283</f>
        <v/>
      </c>
      <c r="C1283" s="25">
        <f>ItensPedido!C1283</f>
        <v/>
      </c>
      <c r="D1283" s="25">
        <f>ItensPedido!D1283</f>
        <v/>
      </c>
      <c r="E1283" s="26">
        <f>ItensPedido!E1283</f>
        <v/>
      </c>
      <c r="F1283" s="25">
        <f>IFERROR(INDEX(Pedidos!$B$2:$B$1801,MATCH(B1283,Pedidos!$A$2:$A$1801,0)),0)</f>
        <v/>
      </c>
      <c r="G1283" s="25">
        <f>IF(F1283=0,"",YEAR(F1283))</f>
        <v/>
      </c>
      <c r="H1283" s="25">
        <f>IF(F1283=0,"",MONTH(F1283))</f>
        <v/>
      </c>
      <c r="I1283" s="25">
        <f>IFERROR(INDEX(Pedidos!$E$2:$E$1801,MATCH(B1283,Pedidos!$A$2:$A$1801,0)),"")</f>
        <v/>
      </c>
      <c r="J1283" s="25">
        <f>IFERROR(INDEX(Pedidos!$C$2:$C$1801,MATCH(B1283,Pedidos!$A$2:$A$1801,0)),"")</f>
        <v/>
      </c>
      <c r="K1283" s="25">
        <f>IFERROR(INDEX(Pedidos!$D$2:$D$1801,MATCH(B1283,Pedidos!$A$2:$A$1801,0)),"")</f>
        <v/>
      </c>
      <c r="L1283" s="25">
        <f>IFERROR(INDEX(Pedidos!$F$2:$F$1801,MATCH(B1283,Pedidos!$A$2:$A$1801,0)),"")</f>
        <v/>
      </c>
      <c r="M1283" s="26">
        <f>IFERROR(INDEX(Pedidos!$G$2:$G$1801,MATCH(B1283,Pedidos!$A$2:$A$1801,0)),0)</f>
        <v/>
      </c>
      <c r="N1283" s="25">
        <f>IFERROR(INDEX(Produtos!$B$2:$B$71,MATCH(C1283,Produtos!$A$2:$A$71,0)),"")</f>
        <v/>
      </c>
      <c r="O1283" s="25">
        <f>IFERROR(INDEX(Produtos!$C$2:$C$71,MATCH(C1283,Produtos!$A$2:$A$71,0)),"")</f>
        <v/>
      </c>
      <c r="P1283" s="25">
        <f>IFERROR(INDEX(Produtos!$D$2:$D$71,MATCH(C1283,Produtos!$A$2:$A$71,0)),0)</f>
        <v/>
      </c>
      <c r="Q1283" s="25">
        <f>IFERROR(INDEX(Produtos!$E$2:$E$71,MATCH(C1283,Produtos!$A$2:$A$71,0)),0)</f>
        <v/>
      </c>
      <c r="R1283" s="27">
        <f>D1283*Q1283</f>
        <v/>
      </c>
      <c r="S1283" s="27">
        <f>R1283*E1283</f>
        <v/>
      </c>
      <c r="T1283" s="27">
        <f>(R1283-S1283)*M1283</f>
        <v/>
      </c>
      <c r="U1283" s="27">
        <f>R1283-S1283-T1283</f>
        <v/>
      </c>
      <c r="V1283" s="27">
        <f>D1283*P1283</f>
        <v/>
      </c>
      <c r="W1283" s="27">
        <f>U1283-V1283</f>
        <v/>
      </c>
      <c r="X1283" s="28">
        <f>IFERROR(W1283/U1283,0)</f>
        <v/>
      </c>
    </row>
    <row r="1284">
      <c r="A1284" s="21">
        <f>ItensPedido!A1284</f>
        <v/>
      </c>
      <c r="B1284" s="21">
        <f>ItensPedido!B1284</f>
        <v/>
      </c>
      <c r="C1284" s="21">
        <f>ItensPedido!C1284</f>
        <v/>
      </c>
      <c r="D1284" s="21">
        <f>ItensPedido!D1284</f>
        <v/>
      </c>
      <c r="E1284" s="22">
        <f>ItensPedido!E1284</f>
        <v/>
      </c>
      <c r="F1284" s="21">
        <f>IFERROR(INDEX(Pedidos!$B$2:$B$1801,MATCH(B1284,Pedidos!$A$2:$A$1801,0)),0)</f>
        <v/>
      </c>
      <c r="G1284" s="21">
        <f>IF(F1284=0,"",YEAR(F1284))</f>
        <v/>
      </c>
      <c r="H1284" s="21">
        <f>IF(F1284=0,"",MONTH(F1284))</f>
        <v/>
      </c>
      <c r="I1284" s="21">
        <f>IFERROR(INDEX(Pedidos!$E$2:$E$1801,MATCH(B1284,Pedidos!$A$2:$A$1801,0)),"")</f>
        <v/>
      </c>
      <c r="J1284" s="21">
        <f>IFERROR(INDEX(Pedidos!$C$2:$C$1801,MATCH(B1284,Pedidos!$A$2:$A$1801,0)),"")</f>
        <v/>
      </c>
      <c r="K1284" s="21">
        <f>IFERROR(INDEX(Pedidos!$D$2:$D$1801,MATCH(B1284,Pedidos!$A$2:$A$1801,0)),"")</f>
        <v/>
      </c>
      <c r="L1284" s="21">
        <f>IFERROR(INDEX(Pedidos!$F$2:$F$1801,MATCH(B1284,Pedidos!$A$2:$A$1801,0)),"")</f>
        <v/>
      </c>
      <c r="M1284" s="22">
        <f>IFERROR(INDEX(Pedidos!$G$2:$G$1801,MATCH(B1284,Pedidos!$A$2:$A$1801,0)),0)</f>
        <v/>
      </c>
      <c r="N1284" s="21">
        <f>IFERROR(INDEX(Produtos!$B$2:$B$71,MATCH(C1284,Produtos!$A$2:$A$71,0)),"")</f>
        <v/>
      </c>
      <c r="O1284" s="21">
        <f>IFERROR(INDEX(Produtos!$C$2:$C$71,MATCH(C1284,Produtos!$A$2:$A$71,0)),"")</f>
        <v/>
      </c>
      <c r="P1284" s="21">
        <f>IFERROR(INDEX(Produtos!$D$2:$D$71,MATCH(C1284,Produtos!$A$2:$A$71,0)),0)</f>
        <v/>
      </c>
      <c r="Q1284" s="21">
        <f>IFERROR(INDEX(Produtos!$E$2:$E$71,MATCH(C1284,Produtos!$A$2:$A$71,0)),0)</f>
        <v/>
      </c>
      <c r="R1284" s="23">
        <f>D1284*Q1284</f>
        <v/>
      </c>
      <c r="S1284" s="23">
        <f>R1284*E1284</f>
        <v/>
      </c>
      <c r="T1284" s="23">
        <f>(R1284-S1284)*M1284</f>
        <v/>
      </c>
      <c r="U1284" s="23">
        <f>R1284-S1284-T1284</f>
        <v/>
      </c>
      <c r="V1284" s="23">
        <f>D1284*P1284</f>
        <v/>
      </c>
      <c r="W1284" s="23">
        <f>U1284-V1284</f>
        <v/>
      </c>
      <c r="X1284" s="24">
        <f>IFERROR(W1284/U1284,0)</f>
        <v/>
      </c>
    </row>
    <row r="1285">
      <c r="A1285" s="25">
        <f>ItensPedido!A1285</f>
        <v/>
      </c>
      <c r="B1285" s="25">
        <f>ItensPedido!B1285</f>
        <v/>
      </c>
      <c r="C1285" s="25">
        <f>ItensPedido!C1285</f>
        <v/>
      </c>
      <c r="D1285" s="25">
        <f>ItensPedido!D1285</f>
        <v/>
      </c>
      <c r="E1285" s="26">
        <f>ItensPedido!E1285</f>
        <v/>
      </c>
      <c r="F1285" s="25">
        <f>IFERROR(INDEX(Pedidos!$B$2:$B$1801,MATCH(B1285,Pedidos!$A$2:$A$1801,0)),0)</f>
        <v/>
      </c>
      <c r="G1285" s="25">
        <f>IF(F1285=0,"",YEAR(F1285))</f>
        <v/>
      </c>
      <c r="H1285" s="25">
        <f>IF(F1285=0,"",MONTH(F1285))</f>
        <v/>
      </c>
      <c r="I1285" s="25">
        <f>IFERROR(INDEX(Pedidos!$E$2:$E$1801,MATCH(B1285,Pedidos!$A$2:$A$1801,0)),"")</f>
        <v/>
      </c>
      <c r="J1285" s="25">
        <f>IFERROR(INDEX(Pedidos!$C$2:$C$1801,MATCH(B1285,Pedidos!$A$2:$A$1801,0)),"")</f>
        <v/>
      </c>
      <c r="K1285" s="25">
        <f>IFERROR(INDEX(Pedidos!$D$2:$D$1801,MATCH(B1285,Pedidos!$A$2:$A$1801,0)),"")</f>
        <v/>
      </c>
      <c r="L1285" s="25">
        <f>IFERROR(INDEX(Pedidos!$F$2:$F$1801,MATCH(B1285,Pedidos!$A$2:$A$1801,0)),"")</f>
        <v/>
      </c>
      <c r="M1285" s="26">
        <f>IFERROR(INDEX(Pedidos!$G$2:$G$1801,MATCH(B1285,Pedidos!$A$2:$A$1801,0)),0)</f>
        <v/>
      </c>
      <c r="N1285" s="25">
        <f>IFERROR(INDEX(Produtos!$B$2:$B$71,MATCH(C1285,Produtos!$A$2:$A$71,0)),"")</f>
        <v/>
      </c>
      <c r="O1285" s="25">
        <f>IFERROR(INDEX(Produtos!$C$2:$C$71,MATCH(C1285,Produtos!$A$2:$A$71,0)),"")</f>
        <v/>
      </c>
      <c r="P1285" s="25">
        <f>IFERROR(INDEX(Produtos!$D$2:$D$71,MATCH(C1285,Produtos!$A$2:$A$71,0)),0)</f>
        <v/>
      </c>
      <c r="Q1285" s="25">
        <f>IFERROR(INDEX(Produtos!$E$2:$E$71,MATCH(C1285,Produtos!$A$2:$A$71,0)),0)</f>
        <v/>
      </c>
      <c r="R1285" s="27">
        <f>D1285*Q1285</f>
        <v/>
      </c>
      <c r="S1285" s="27">
        <f>R1285*E1285</f>
        <v/>
      </c>
      <c r="T1285" s="27">
        <f>(R1285-S1285)*M1285</f>
        <v/>
      </c>
      <c r="U1285" s="27">
        <f>R1285-S1285-T1285</f>
        <v/>
      </c>
      <c r="V1285" s="27">
        <f>D1285*P1285</f>
        <v/>
      </c>
      <c r="W1285" s="27">
        <f>U1285-V1285</f>
        <v/>
      </c>
      <c r="X1285" s="28">
        <f>IFERROR(W1285/U1285,0)</f>
        <v/>
      </c>
    </row>
    <row r="1286">
      <c r="A1286" s="21">
        <f>ItensPedido!A1286</f>
        <v/>
      </c>
      <c r="B1286" s="21">
        <f>ItensPedido!B1286</f>
        <v/>
      </c>
      <c r="C1286" s="21">
        <f>ItensPedido!C1286</f>
        <v/>
      </c>
      <c r="D1286" s="21">
        <f>ItensPedido!D1286</f>
        <v/>
      </c>
      <c r="E1286" s="22">
        <f>ItensPedido!E1286</f>
        <v/>
      </c>
      <c r="F1286" s="21">
        <f>IFERROR(INDEX(Pedidos!$B$2:$B$1801,MATCH(B1286,Pedidos!$A$2:$A$1801,0)),0)</f>
        <v/>
      </c>
      <c r="G1286" s="21">
        <f>IF(F1286=0,"",YEAR(F1286))</f>
        <v/>
      </c>
      <c r="H1286" s="21">
        <f>IF(F1286=0,"",MONTH(F1286))</f>
        <v/>
      </c>
      <c r="I1286" s="21">
        <f>IFERROR(INDEX(Pedidos!$E$2:$E$1801,MATCH(B1286,Pedidos!$A$2:$A$1801,0)),"")</f>
        <v/>
      </c>
      <c r="J1286" s="21">
        <f>IFERROR(INDEX(Pedidos!$C$2:$C$1801,MATCH(B1286,Pedidos!$A$2:$A$1801,0)),"")</f>
        <v/>
      </c>
      <c r="K1286" s="21">
        <f>IFERROR(INDEX(Pedidos!$D$2:$D$1801,MATCH(B1286,Pedidos!$A$2:$A$1801,0)),"")</f>
        <v/>
      </c>
      <c r="L1286" s="21">
        <f>IFERROR(INDEX(Pedidos!$F$2:$F$1801,MATCH(B1286,Pedidos!$A$2:$A$1801,0)),"")</f>
        <v/>
      </c>
      <c r="M1286" s="22">
        <f>IFERROR(INDEX(Pedidos!$G$2:$G$1801,MATCH(B1286,Pedidos!$A$2:$A$1801,0)),0)</f>
        <v/>
      </c>
      <c r="N1286" s="21">
        <f>IFERROR(INDEX(Produtos!$B$2:$B$71,MATCH(C1286,Produtos!$A$2:$A$71,0)),"")</f>
        <v/>
      </c>
      <c r="O1286" s="21">
        <f>IFERROR(INDEX(Produtos!$C$2:$C$71,MATCH(C1286,Produtos!$A$2:$A$71,0)),"")</f>
        <v/>
      </c>
      <c r="P1286" s="21">
        <f>IFERROR(INDEX(Produtos!$D$2:$D$71,MATCH(C1286,Produtos!$A$2:$A$71,0)),0)</f>
        <v/>
      </c>
      <c r="Q1286" s="21">
        <f>IFERROR(INDEX(Produtos!$E$2:$E$71,MATCH(C1286,Produtos!$A$2:$A$71,0)),0)</f>
        <v/>
      </c>
      <c r="R1286" s="23">
        <f>D1286*Q1286</f>
        <v/>
      </c>
      <c r="S1286" s="23">
        <f>R1286*E1286</f>
        <v/>
      </c>
      <c r="T1286" s="23">
        <f>(R1286-S1286)*M1286</f>
        <v/>
      </c>
      <c r="U1286" s="23">
        <f>R1286-S1286-T1286</f>
        <v/>
      </c>
      <c r="V1286" s="23">
        <f>D1286*P1286</f>
        <v/>
      </c>
      <c r="W1286" s="23">
        <f>U1286-V1286</f>
        <v/>
      </c>
      <c r="X1286" s="24">
        <f>IFERROR(W1286/U1286,0)</f>
        <v/>
      </c>
    </row>
    <row r="1287">
      <c r="A1287" s="25">
        <f>ItensPedido!A1287</f>
        <v/>
      </c>
      <c r="B1287" s="25">
        <f>ItensPedido!B1287</f>
        <v/>
      </c>
      <c r="C1287" s="25">
        <f>ItensPedido!C1287</f>
        <v/>
      </c>
      <c r="D1287" s="25">
        <f>ItensPedido!D1287</f>
        <v/>
      </c>
      <c r="E1287" s="26">
        <f>ItensPedido!E1287</f>
        <v/>
      </c>
      <c r="F1287" s="25">
        <f>IFERROR(INDEX(Pedidos!$B$2:$B$1801,MATCH(B1287,Pedidos!$A$2:$A$1801,0)),0)</f>
        <v/>
      </c>
      <c r="G1287" s="25">
        <f>IF(F1287=0,"",YEAR(F1287))</f>
        <v/>
      </c>
      <c r="H1287" s="25">
        <f>IF(F1287=0,"",MONTH(F1287))</f>
        <v/>
      </c>
      <c r="I1287" s="25">
        <f>IFERROR(INDEX(Pedidos!$E$2:$E$1801,MATCH(B1287,Pedidos!$A$2:$A$1801,0)),"")</f>
        <v/>
      </c>
      <c r="J1287" s="25">
        <f>IFERROR(INDEX(Pedidos!$C$2:$C$1801,MATCH(B1287,Pedidos!$A$2:$A$1801,0)),"")</f>
        <v/>
      </c>
      <c r="K1287" s="25">
        <f>IFERROR(INDEX(Pedidos!$D$2:$D$1801,MATCH(B1287,Pedidos!$A$2:$A$1801,0)),"")</f>
        <v/>
      </c>
      <c r="L1287" s="25">
        <f>IFERROR(INDEX(Pedidos!$F$2:$F$1801,MATCH(B1287,Pedidos!$A$2:$A$1801,0)),"")</f>
        <v/>
      </c>
      <c r="M1287" s="26">
        <f>IFERROR(INDEX(Pedidos!$G$2:$G$1801,MATCH(B1287,Pedidos!$A$2:$A$1801,0)),0)</f>
        <v/>
      </c>
      <c r="N1287" s="25">
        <f>IFERROR(INDEX(Produtos!$B$2:$B$71,MATCH(C1287,Produtos!$A$2:$A$71,0)),"")</f>
        <v/>
      </c>
      <c r="O1287" s="25">
        <f>IFERROR(INDEX(Produtos!$C$2:$C$71,MATCH(C1287,Produtos!$A$2:$A$71,0)),"")</f>
        <v/>
      </c>
      <c r="P1287" s="25">
        <f>IFERROR(INDEX(Produtos!$D$2:$D$71,MATCH(C1287,Produtos!$A$2:$A$71,0)),0)</f>
        <v/>
      </c>
      <c r="Q1287" s="25">
        <f>IFERROR(INDEX(Produtos!$E$2:$E$71,MATCH(C1287,Produtos!$A$2:$A$71,0)),0)</f>
        <v/>
      </c>
      <c r="R1287" s="27">
        <f>D1287*Q1287</f>
        <v/>
      </c>
      <c r="S1287" s="27">
        <f>R1287*E1287</f>
        <v/>
      </c>
      <c r="T1287" s="27">
        <f>(R1287-S1287)*M1287</f>
        <v/>
      </c>
      <c r="U1287" s="27">
        <f>R1287-S1287-T1287</f>
        <v/>
      </c>
      <c r="V1287" s="27">
        <f>D1287*P1287</f>
        <v/>
      </c>
      <c r="W1287" s="27">
        <f>U1287-V1287</f>
        <v/>
      </c>
      <c r="X1287" s="28">
        <f>IFERROR(W1287/U1287,0)</f>
        <v/>
      </c>
    </row>
    <row r="1288">
      <c r="A1288" s="21">
        <f>ItensPedido!A1288</f>
        <v/>
      </c>
      <c r="B1288" s="21">
        <f>ItensPedido!B1288</f>
        <v/>
      </c>
      <c r="C1288" s="21">
        <f>ItensPedido!C1288</f>
        <v/>
      </c>
      <c r="D1288" s="21">
        <f>ItensPedido!D1288</f>
        <v/>
      </c>
      <c r="E1288" s="22">
        <f>ItensPedido!E1288</f>
        <v/>
      </c>
      <c r="F1288" s="21">
        <f>IFERROR(INDEX(Pedidos!$B$2:$B$1801,MATCH(B1288,Pedidos!$A$2:$A$1801,0)),0)</f>
        <v/>
      </c>
      <c r="G1288" s="21">
        <f>IF(F1288=0,"",YEAR(F1288))</f>
        <v/>
      </c>
      <c r="H1288" s="21">
        <f>IF(F1288=0,"",MONTH(F1288))</f>
        <v/>
      </c>
      <c r="I1288" s="21">
        <f>IFERROR(INDEX(Pedidos!$E$2:$E$1801,MATCH(B1288,Pedidos!$A$2:$A$1801,0)),"")</f>
        <v/>
      </c>
      <c r="J1288" s="21">
        <f>IFERROR(INDEX(Pedidos!$C$2:$C$1801,MATCH(B1288,Pedidos!$A$2:$A$1801,0)),"")</f>
        <v/>
      </c>
      <c r="K1288" s="21">
        <f>IFERROR(INDEX(Pedidos!$D$2:$D$1801,MATCH(B1288,Pedidos!$A$2:$A$1801,0)),"")</f>
        <v/>
      </c>
      <c r="L1288" s="21">
        <f>IFERROR(INDEX(Pedidos!$F$2:$F$1801,MATCH(B1288,Pedidos!$A$2:$A$1801,0)),"")</f>
        <v/>
      </c>
      <c r="M1288" s="22">
        <f>IFERROR(INDEX(Pedidos!$G$2:$G$1801,MATCH(B1288,Pedidos!$A$2:$A$1801,0)),0)</f>
        <v/>
      </c>
      <c r="N1288" s="21">
        <f>IFERROR(INDEX(Produtos!$B$2:$B$71,MATCH(C1288,Produtos!$A$2:$A$71,0)),"")</f>
        <v/>
      </c>
      <c r="O1288" s="21">
        <f>IFERROR(INDEX(Produtos!$C$2:$C$71,MATCH(C1288,Produtos!$A$2:$A$71,0)),"")</f>
        <v/>
      </c>
      <c r="P1288" s="21">
        <f>IFERROR(INDEX(Produtos!$D$2:$D$71,MATCH(C1288,Produtos!$A$2:$A$71,0)),0)</f>
        <v/>
      </c>
      <c r="Q1288" s="21">
        <f>IFERROR(INDEX(Produtos!$E$2:$E$71,MATCH(C1288,Produtos!$A$2:$A$71,0)),0)</f>
        <v/>
      </c>
      <c r="R1288" s="23">
        <f>D1288*Q1288</f>
        <v/>
      </c>
      <c r="S1288" s="23">
        <f>R1288*E1288</f>
        <v/>
      </c>
      <c r="T1288" s="23">
        <f>(R1288-S1288)*M1288</f>
        <v/>
      </c>
      <c r="U1288" s="23">
        <f>R1288-S1288-T1288</f>
        <v/>
      </c>
      <c r="V1288" s="23">
        <f>D1288*P1288</f>
        <v/>
      </c>
      <c r="W1288" s="23">
        <f>U1288-V1288</f>
        <v/>
      </c>
      <c r="X1288" s="24">
        <f>IFERROR(W1288/U1288,0)</f>
        <v/>
      </c>
    </row>
    <row r="1289">
      <c r="A1289" s="25">
        <f>ItensPedido!A1289</f>
        <v/>
      </c>
      <c r="B1289" s="25">
        <f>ItensPedido!B1289</f>
        <v/>
      </c>
      <c r="C1289" s="25">
        <f>ItensPedido!C1289</f>
        <v/>
      </c>
      <c r="D1289" s="25">
        <f>ItensPedido!D1289</f>
        <v/>
      </c>
      <c r="E1289" s="26">
        <f>ItensPedido!E1289</f>
        <v/>
      </c>
      <c r="F1289" s="25">
        <f>IFERROR(INDEX(Pedidos!$B$2:$B$1801,MATCH(B1289,Pedidos!$A$2:$A$1801,0)),0)</f>
        <v/>
      </c>
      <c r="G1289" s="25">
        <f>IF(F1289=0,"",YEAR(F1289))</f>
        <v/>
      </c>
      <c r="H1289" s="25">
        <f>IF(F1289=0,"",MONTH(F1289))</f>
        <v/>
      </c>
      <c r="I1289" s="25">
        <f>IFERROR(INDEX(Pedidos!$E$2:$E$1801,MATCH(B1289,Pedidos!$A$2:$A$1801,0)),"")</f>
        <v/>
      </c>
      <c r="J1289" s="25">
        <f>IFERROR(INDEX(Pedidos!$C$2:$C$1801,MATCH(B1289,Pedidos!$A$2:$A$1801,0)),"")</f>
        <v/>
      </c>
      <c r="K1289" s="25">
        <f>IFERROR(INDEX(Pedidos!$D$2:$D$1801,MATCH(B1289,Pedidos!$A$2:$A$1801,0)),"")</f>
        <v/>
      </c>
      <c r="L1289" s="25">
        <f>IFERROR(INDEX(Pedidos!$F$2:$F$1801,MATCH(B1289,Pedidos!$A$2:$A$1801,0)),"")</f>
        <v/>
      </c>
      <c r="M1289" s="26">
        <f>IFERROR(INDEX(Pedidos!$G$2:$G$1801,MATCH(B1289,Pedidos!$A$2:$A$1801,0)),0)</f>
        <v/>
      </c>
      <c r="N1289" s="25">
        <f>IFERROR(INDEX(Produtos!$B$2:$B$71,MATCH(C1289,Produtos!$A$2:$A$71,0)),"")</f>
        <v/>
      </c>
      <c r="O1289" s="25">
        <f>IFERROR(INDEX(Produtos!$C$2:$C$71,MATCH(C1289,Produtos!$A$2:$A$71,0)),"")</f>
        <v/>
      </c>
      <c r="P1289" s="25">
        <f>IFERROR(INDEX(Produtos!$D$2:$D$71,MATCH(C1289,Produtos!$A$2:$A$71,0)),0)</f>
        <v/>
      </c>
      <c r="Q1289" s="25">
        <f>IFERROR(INDEX(Produtos!$E$2:$E$71,MATCH(C1289,Produtos!$A$2:$A$71,0)),0)</f>
        <v/>
      </c>
      <c r="R1289" s="27">
        <f>D1289*Q1289</f>
        <v/>
      </c>
      <c r="S1289" s="27">
        <f>R1289*E1289</f>
        <v/>
      </c>
      <c r="T1289" s="27">
        <f>(R1289-S1289)*M1289</f>
        <v/>
      </c>
      <c r="U1289" s="27">
        <f>R1289-S1289-T1289</f>
        <v/>
      </c>
      <c r="V1289" s="27">
        <f>D1289*P1289</f>
        <v/>
      </c>
      <c r="W1289" s="27">
        <f>U1289-V1289</f>
        <v/>
      </c>
      <c r="X1289" s="28">
        <f>IFERROR(W1289/U1289,0)</f>
        <v/>
      </c>
    </row>
    <row r="1290">
      <c r="A1290" s="21">
        <f>ItensPedido!A1290</f>
        <v/>
      </c>
      <c r="B1290" s="21">
        <f>ItensPedido!B1290</f>
        <v/>
      </c>
      <c r="C1290" s="21">
        <f>ItensPedido!C1290</f>
        <v/>
      </c>
      <c r="D1290" s="21">
        <f>ItensPedido!D1290</f>
        <v/>
      </c>
      <c r="E1290" s="22">
        <f>ItensPedido!E1290</f>
        <v/>
      </c>
      <c r="F1290" s="21">
        <f>IFERROR(INDEX(Pedidos!$B$2:$B$1801,MATCH(B1290,Pedidos!$A$2:$A$1801,0)),0)</f>
        <v/>
      </c>
      <c r="G1290" s="21">
        <f>IF(F1290=0,"",YEAR(F1290))</f>
        <v/>
      </c>
      <c r="H1290" s="21">
        <f>IF(F1290=0,"",MONTH(F1290))</f>
        <v/>
      </c>
      <c r="I1290" s="21">
        <f>IFERROR(INDEX(Pedidos!$E$2:$E$1801,MATCH(B1290,Pedidos!$A$2:$A$1801,0)),"")</f>
        <v/>
      </c>
      <c r="J1290" s="21">
        <f>IFERROR(INDEX(Pedidos!$C$2:$C$1801,MATCH(B1290,Pedidos!$A$2:$A$1801,0)),"")</f>
        <v/>
      </c>
      <c r="K1290" s="21">
        <f>IFERROR(INDEX(Pedidos!$D$2:$D$1801,MATCH(B1290,Pedidos!$A$2:$A$1801,0)),"")</f>
        <v/>
      </c>
      <c r="L1290" s="21">
        <f>IFERROR(INDEX(Pedidos!$F$2:$F$1801,MATCH(B1290,Pedidos!$A$2:$A$1801,0)),"")</f>
        <v/>
      </c>
      <c r="M1290" s="22">
        <f>IFERROR(INDEX(Pedidos!$G$2:$G$1801,MATCH(B1290,Pedidos!$A$2:$A$1801,0)),0)</f>
        <v/>
      </c>
      <c r="N1290" s="21">
        <f>IFERROR(INDEX(Produtos!$B$2:$B$71,MATCH(C1290,Produtos!$A$2:$A$71,0)),"")</f>
        <v/>
      </c>
      <c r="O1290" s="21">
        <f>IFERROR(INDEX(Produtos!$C$2:$C$71,MATCH(C1290,Produtos!$A$2:$A$71,0)),"")</f>
        <v/>
      </c>
      <c r="P1290" s="21">
        <f>IFERROR(INDEX(Produtos!$D$2:$D$71,MATCH(C1290,Produtos!$A$2:$A$71,0)),0)</f>
        <v/>
      </c>
      <c r="Q1290" s="21">
        <f>IFERROR(INDEX(Produtos!$E$2:$E$71,MATCH(C1290,Produtos!$A$2:$A$71,0)),0)</f>
        <v/>
      </c>
      <c r="R1290" s="23">
        <f>D1290*Q1290</f>
        <v/>
      </c>
      <c r="S1290" s="23">
        <f>R1290*E1290</f>
        <v/>
      </c>
      <c r="T1290" s="23">
        <f>(R1290-S1290)*M1290</f>
        <v/>
      </c>
      <c r="U1290" s="23">
        <f>R1290-S1290-T1290</f>
        <v/>
      </c>
      <c r="V1290" s="23">
        <f>D1290*P1290</f>
        <v/>
      </c>
      <c r="W1290" s="23">
        <f>U1290-V1290</f>
        <v/>
      </c>
      <c r="X1290" s="24">
        <f>IFERROR(W1290/U1290,0)</f>
        <v/>
      </c>
    </row>
    <row r="1291">
      <c r="A1291" s="25">
        <f>ItensPedido!A1291</f>
        <v/>
      </c>
      <c r="B1291" s="25">
        <f>ItensPedido!B1291</f>
        <v/>
      </c>
      <c r="C1291" s="25">
        <f>ItensPedido!C1291</f>
        <v/>
      </c>
      <c r="D1291" s="25">
        <f>ItensPedido!D1291</f>
        <v/>
      </c>
      <c r="E1291" s="26">
        <f>ItensPedido!E1291</f>
        <v/>
      </c>
      <c r="F1291" s="25">
        <f>IFERROR(INDEX(Pedidos!$B$2:$B$1801,MATCH(B1291,Pedidos!$A$2:$A$1801,0)),0)</f>
        <v/>
      </c>
      <c r="G1291" s="25">
        <f>IF(F1291=0,"",YEAR(F1291))</f>
        <v/>
      </c>
      <c r="H1291" s="25">
        <f>IF(F1291=0,"",MONTH(F1291))</f>
        <v/>
      </c>
      <c r="I1291" s="25">
        <f>IFERROR(INDEX(Pedidos!$E$2:$E$1801,MATCH(B1291,Pedidos!$A$2:$A$1801,0)),"")</f>
        <v/>
      </c>
      <c r="J1291" s="25">
        <f>IFERROR(INDEX(Pedidos!$C$2:$C$1801,MATCH(B1291,Pedidos!$A$2:$A$1801,0)),"")</f>
        <v/>
      </c>
      <c r="K1291" s="25">
        <f>IFERROR(INDEX(Pedidos!$D$2:$D$1801,MATCH(B1291,Pedidos!$A$2:$A$1801,0)),"")</f>
        <v/>
      </c>
      <c r="L1291" s="25">
        <f>IFERROR(INDEX(Pedidos!$F$2:$F$1801,MATCH(B1291,Pedidos!$A$2:$A$1801,0)),"")</f>
        <v/>
      </c>
      <c r="M1291" s="26">
        <f>IFERROR(INDEX(Pedidos!$G$2:$G$1801,MATCH(B1291,Pedidos!$A$2:$A$1801,0)),0)</f>
        <v/>
      </c>
      <c r="N1291" s="25">
        <f>IFERROR(INDEX(Produtos!$B$2:$B$71,MATCH(C1291,Produtos!$A$2:$A$71,0)),"")</f>
        <v/>
      </c>
      <c r="O1291" s="25">
        <f>IFERROR(INDEX(Produtos!$C$2:$C$71,MATCH(C1291,Produtos!$A$2:$A$71,0)),"")</f>
        <v/>
      </c>
      <c r="P1291" s="25">
        <f>IFERROR(INDEX(Produtos!$D$2:$D$71,MATCH(C1291,Produtos!$A$2:$A$71,0)),0)</f>
        <v/>
      </c>
      <c r="Q1291" s="25">
        <f>IFERROR(INDEX(Produtos!$E$2:$E$71,MATCH(C1291,Produtos!$A$2:$A$71,0)),0)</f>
        <v/>
      </c>
      <c r="R1291" s="27">
        <f>D1291*Q1291</f>
        <v/>
      </c>
      <c r="S1291" s="27">
        <f>R1291*E1291</f>
        <v/>
      </c>
      <c r="T1291" s="27">
        <f>(R1291-S1291)*M1291</f>
        <v/>
      </c>
      <c r="U1291" s="27">
        <f>R1291-S1291-T1291</f>
        <v/>
      </c>
      <c r="V1291" s="27">
        <f>D1291*P1291</f>
        <v/>
      </c>
      <c r="W1291" s="27">
        <f>U1291-V1291</f>
        <v/>
      </c>
      <c r="X1291" s="28">
        <f>IFERROR(W1291/U1291,0)</f>
        <v/>
      </c>
    </row>
    <row r="1292">
      <c r="A1292" s="21">
        <f>ItensPedido!A1292</f>
        <v/>
      </c>
      <c r="B1292" s="21">
        <f>ItensPedido!B1292</f>
        <v/>
      </c>
      <c r="C1292" s="21">
        <f>ItensPedido!C1292</f>
        <v/>
      </c>
      <c r="D1292" s="21">
        <f>ItensPedido!D1292</f>
        <v/>
      </c>
      <c r="E1292" s="22">
        <f>ItensPedido!E1292</f>
        <v/>
      </c>
      <c r="F1292" s="21">
        <f>IFERROR(INDEX(Pedidos!$B$2:$B$1801,MATCH(B1292,Pedidos!$A$2:$A$1801,0)),0)</f>
        <v/>
      </c>
      <c r="G1292" s="21">
        <f>IF(F1292=0,"",YEAR(F1292))</f>
        <v/>
      </c>
      <c r="H1292" s="21">
        <f>IF(F1292=0,"",MONTH(F1292))</f>
        <v/>
      </c>
      <c r="I1292" s="21">
        <f>IFERROR(INDEX(Pedidos!$E$2:$E$1801,MATCH(B1292,Pedidos!$A$2:$A$1801,0)),"")</f>
        <v/>
      </c>
      <c r="J1292" s="21">
        <f>IFERROR(INDEX(Pedidos!$C$2:$C$1801,MATCH(B1292,Pedidos!$A$2:$A$1801,0)),"")</f>
        <v/>
      </c>
      <c r="K1292" s="21">
        <f>IFERROR(INDEX(Pedidos!$D$2:$D$1801,MATCH(B1292,Pedidos!$A$2:$A$1801,0)),"")</f>
        <v/>
      </c>
      <c r="L1292" s="21">
        <f>IFERROR(INDEX(Pedidos!$F$2:$F$1801,MATCH(B1292,Pedidos!$A$2:$A$1801,0)),"")</f>
        <v/>
      </c>
      <c r="M1292" s="22">
        <f>IFERROR(INDEX(Pedidos!$G$2:$G$1801,MATCH(B1292,Pedidos!$A$2:$A$1801,0)),0)</f>
        <v/>
      </c>
      <c r="N1292" s="21">
        <f>IFERROR(INDEX(Produtos!$B$2:$B$71,MATCH(C1292,Produtos!$A$2:$A$71,0)),"")</f>
        <v/>
      </c>
      <c r="O1292" s="21">
        <f>IFERROR(INDEX(Produtos!$C$2:$C$71,MATCH(C1292,Produtos!$A$2:$A$71,0)),"")</f>
        <v/>
      </c>
      <c r="P1292" s="21">
        <f>IFERROR(INDEX(Produtos!$D$2:$D$71,MATCH(C1292,Produtos!$A$2:$A$71,0)),0)</f>
        <v/>
      </c>
      <c r="Q1292" s="21">
        <f>IFERROR(INDEX(Produtos!$E$2:$E$71,MATCH(C1292,Produtos!$A$2:$A$71,0)),0)</f>
        <v/>
      </c>
      <c r="R1292" s="23">
        <f>D1292*Q1292</f>
        <v/>
      </c>
      <c r="S1292" s="23">
        <f>R1292*E1292</f>
        <v/>
      </c>
      <c r="T1292" s="23">
        <f>(R1292-S1292)*M1292</f>
        <v/>
      </c>
      <c r="U1292" s="23">
        <f>R1292-S1292-T1292</f>
        <v/>
      </c>
      <c r="V1292" s="23">
        <f>D1292*P1292</f>
        <v/>
      </c>
      <c r="W1292" s="23">
        <f>U1292-V1292</f>
        <v/>
      </c>
      <c r="X1292" s="24">
        <f>IFERROR(W1292/U1292,0)</f>
        <v/>
      </c>
    </row>
    <row r="1293">
      <c r="A1293" s="25">
        <f>ItensPedido!A1293</f>
        <v/>
      </c>
      <c r="B1293" s="25">
        <f>ItensPedido!B1293</f>
        <v/>
      </c>
      <c r="C1293" s="25">
        <f>ItensPedido!C1293</f>
        <v/>
      </c>
      <c r="D1293" s="25">
        <f>ItensPedido!D1293</f>
        <v/>
      </c>
      <c r="E1293" s="26">
        <f>ItensPedido!E1293</f>
        <v/>
      </c>
      <c r="F1293" s="25">
        <f>IFERROR(INDEX(Pedidos!$B$2:$B$1801,MATCH(B1293,Pedidos!$A$2:$A$1801,0)),0)</f>
        <v/>
      </c>
      <c r="G1293" s="25">
        <f>IF(F1293=0,"",YEAR(F1293))</f>
        <v/>
      </c>
      <c r="H1293" s="25">
        <f>IF(F1293=0,"",MONTH(F1293))</f>
        <v/>
      </c>
      <c r="I1293" s="25">
        <f>IFERROR(INDEX(Pedidos!$E$2:$E$1801,MATCH(B1293,Pedidos!$A$2:$A$1801,0)),"")</f>
        <v/>
      </c>
      <c r="J1293" s="25">
        <f>IFERROR(INDEX(Pedidos!$C$2:$C$1801,MATCH(B1293,Pedidos!$A$2:$A$1801,0)),"")</f>
        <v/>
      </c>
      <c r="K1293" s="25">
        <f>IFERROR(INDEX(Pedidos!$D$2:$D$1801,MATCH(B1293,Pedidos!$A$2:$A$1801,0)),"")</f>
        <v/>
      </c>
      <c r="L1293" s="25">
        <f>IFERROR(INDEX(Pedidos!$F$2:$F$1801,MATCH(B1293,Pedidos!$A$2:$A$1801,0)),"")</f>
        <v/>
      </c>
      <c r="M1293" s="26">
        <f>IFERROR(INDEX(Pedidos!$G$2:$G$1801,MATCH(B1293,Pedidos!$A$2:$A$1801,0)),0)</f>
        <v/>
      </c>
      <c r="N1293" s="25">
        <f>IFERROR(INDEX(Produtos!$B$2:$B$71,MATCH(C1293,Produtos!$A$2:$A$71,0)),"")</f>
        <v/>
      </c>
      <c r="O1293" s="25">
        <f>IFERROR(INDEX(Produtos!$C$2:$C$71,MATCH(C1293,Produtos!$A$2:$A$71,0)),"")</f>
        <v/>
      </c>
      <c r="P1293" s="25">
        <f>IFERROR(INDEX(Produtos!$D$2:$D$71,MATCH(C1293,Produtos!$A$2:$A$71,0)),0)</f>
        <v/>
      </c>
      <c r="Q1293" s="25">
        <f>IFERROR(INDEX(Produtos!$E$2:$E$71,MATCH(C1293,Produtos!$A$2:$A$71,0)),0)</f>
        <v/>
      </c>
      <c r="R1293" s="27">
        <f>D1293*Q1293</f>
        <v/>
      </c>
      <c r="S1293" s="27">
        <f>R1293*E1293</f>
        <v/>
      </c>
      <c r="T1293" s="27">
        <f>(R1293-S1293)*M1293</f>
        <v/>
      </c>
      <c r="U1293" s="27">
        <f>R1293-S1293-T1293</f>
        <v/>
      </c>
      <c r="V1293" s="27">
        <f>D1293*P1293</f>
        <v/>
      </c>
      <c r="W1293" s="27">
        <f>U1293-V1293</f>
        <v/>
      </c>
      <c r="X1293" s="28">
        <f>IFERROR(W1293/U1293,0)</f>
        <v/>
      </c>
    </row>
    <row r="1294">
      <c r="A1294" s="21">
        <f>ItensPedido!A1294</f>
        <v/>
      </c>
      <c r="B1294" s="21">
        <f>ItensPedido!B1294</f>
        <v/>
      </c>
      <c r="C1294" s="21">
        <f>ItensPedido!C1294</f>
        <v/>
      </c>
      <c r="D1294" s="21">
        <f>ItensPedido!D1294</f>
        <v/>
      </c>
      <c r="E1294" s="22">
        <f>ItensPedido!E1294</f>
        <v/>
      </c>
      <c r="F1294" s="21">
        <f>IFERROR(INDEX(Pedidos!$B$2:$B$1801,MATCH(B1294,Pedidos!$A$2:$A$1801,0)),0)</f>
        <v/>
      </c>
      <c r="G1294" s="21">
        <f>IF(F1294=0,"",YEAR(F1294))</f>
        <v/>
      </c>
      <c r="H1294" s="21">
        <f>IF(F1294=0,"",MONTH(F1294))</f>
        <v/>
      </c>
      <c r="I1294" s="21">
        <f>IFERROR(INDEX(Pedidos!$E$2:$E$1801,MATCH(B1294,Pedidos!$A$2:$A$1801,0)),"")</f>
        <v/>
      </c>
      <c r="J1294" s="21">
        <f>IFERROR(INDEX(Pedidos!$C$2:$C$1801,MATCH(B1294,Pedidos!$A$2:$A$1801,0)),"")</f>
        <v/>
      </c>
      <c r="K1294" s="21">
        <f>IFERROR(INDEX(Pedidos!$D$2:$D$1801,MATCH(B1294,Pedidos!$A$2:$A$1801,0)),"")</f>
        <v/>
      </c>
      <c r="L1294" s="21">
        <f>IFERROR(INDEX(Pedidos!$F$2:$F$1801,MATCH(B1294,Pedidos!$A$2:$A$1801,0)),"")</f>
        <v/>
      </c>
      <c r="M1294" s="22">
        <f>IFERROR(INDEX(Pedidos!$G$2:$G$1801,MATCH(B1294,Pedidos!$A$2:$A$1801,0)),0)</f>
        <v/>
      </c>
      <c r="N1294" s="21">
        <f>IFERROR(INDEX(Produtos!$B$2:$B$71,MATCH(C1294,Produtos!$A$2:$A$71,0)),"")</f>
        <v/>
      </c>
      <c r="O1294" s="21">
        <f>IFERROR(INDEX(Produtos!$C$2:$C$71,MATCH(C1294,Produtos!$A$2:$A$71,0)),"")</f>
        <v/>
      </c>
      <c r="P1294" s="21">
        <f>IFERROR(INDEX(Produtos!$D$2:$D$71,MATCH(C1294,Produtos!$A$2:$A$71,0)),0)</f>
        <v/>
      </c>
      <c r="Q1294" s="21">
        <f>IFERROR(INDEX(Produtos!$E$2:$E$71,MATCH(C1294,Produtos!$A$2:$A$71,0)),0)</f>
        <v/>
      </c>
      <c r="R1294" s="23">
        <f>D1294*Q1294</f>
        <v/>
      </c>
      <c r="S1294" s="23">
        <f>R1294*E1294</f>
        <v/>
      </c>
      <c r="T1294" s="23">
        <f>(R1294-S1294)*M1294</f>
        <v/>
      </c>
      <c r="U1294" s="23">
        <f>R1294-S1294-T1294</f>
        <v/>
      </c>
      <c r="V1294" s="23">
        <f>D1294*P1294</f>
        <v/>
      </c>
      <c r="W1294" s="23">
        <f>U1294-V1294</f>
        <v/>
      </c>
      <c r="X1294" s="24">
        <f>IFERROR(W1294/U1294,0)</f>
        <v/>
      </c>
    </row>
    <row r="1295">
      <c r="A1295" s="25">
        <f>ItensPedido!A1295</f>
        <v/>
      </c>
      <c r="B1295" s="25">
        <f>ItensPedido!B1295</f>
        <v/>
      </c>
      <c r="C1295" s="25">
        <f>ItensPedido!C1295</f>
        <v/>
      </c>
      <c r="D1295" s="25">
        <f>ItensPedido!D1295</f>
        <v/>
      </c>
      <c r="E1295" s="26">
        <f>ItensPedido!E1295</f>
        <v/>
      </c>
      <c r="F1295" s="25">
        <f>IFERROR(INDEX(Pedidos!$B$2:$B$1801,MATCH(B1295,Pedidos!$A$2:$A$1801,0)),0)</f>
        <v/>
      </c>
      <c r="G1295" s="25">
        <f>IF(F1295=0,"",YEAR(F1295))</f>
        <v/>
      </c>
      <c r="H1295" s="25">
        <f>IF(F1295=0,"",MONTH(F1295))</f>
        <v/>
      </c>
      <c r="I1295" s="25">
        <f>IFERROR(INDEX(Pedidos!$E$2:$E$1801,MATCH(B1295,Pedidos!$A$2:$A$1801,0)),"")</f>
        <v/>
      </c>
      <c r="J1295" s="25">
        <f>IFERROR(INDEX(Pedidos!$C$2:$C$1801,MATCH(B1295,Pedidos!$A$2:$A$1801,0)),"")</f>
        <v/>
      </c>
      <c r="K1295" s="25">
        <f>IFERROR(INDEX(Pedidos!$D$2:$D$1801,MATCH(B1295,Pedidos!$A$2:$A$1801,0)),"")</f>
        <v/>
      </c>
      <c r="L1295" s="25">
        <f>IFERROR(INDEX(Pedidos!$F$2:$F$1801,MATCH(B1295,Pedidos!$A$2:$A$1801,0)),"")</f>
        <v/>
      </c>
      <c r="M1295" s="26">
        <f>IFERROR(INDEX(Pedidos!$G$2:$G$1801,MATCH(B1295,Pedidos!$A$2:$A$1801,0)),0)</f>
        <v/>
      </c>
      <c r="N1295" s="25">
        <f>IFERROR(INDEX(Produtos!$B$2:$B$71,MATCH(C1295,Produtos!$A$2:$A$71,0)),"")</f>
        <v/>
      </c>
      <c r="O1295" s="25">
        <f>IFERROR(INDEX(Produtos!$C$2:$C$71,MATCH(C1295,Produtos!$A$2:$A$71,0)),"")</f>
        <v/>
      </c>
      <c r="P1295" s="25">
        <f>IFERROR(INDEX(Produtos!$D$2:$D$71,MATCH(C1295,Produtos!$A$2:$A$71,0)),0)</f>
        <v/>
      </c>
      <c r="Q1295" s="25">
        <f>IFERROR(INDEX(Produtos!$E$2:$E$71,MATCH(C1295,Produtos!$A$2:$A$71,0)),0)</f>
        <v/>
      </c>
      <c r="R1295" s="27">
        <f>D1295*Q1295</f>
        <v/>
      </c>
      <c r="S1295" s="27">
        <f>R1295*E1295</f>
        <v/>
      </c>
      <c r="T1295" s="27">
        <f>(R1295-S1295)*M1295</f>
        <v/>
      </c>
      <c r="U1295" s="27">
        <f>R1295-S1295-T1295</f>
        <v/>
      </c>
      <c r="V1295" s="27">
        <f>D1295*P1295</f>
        <v/>
      </c>
      <c r="W1295" s="27">
        <f>U1295-V1295</f>
        <v/>
      </c>
      <c r="X1295" s="28">
        <f>IFERROR(W1295/U1295,0)</f>
        <v/>
      </c>
    </row>
    <row r="1296">
      <c r="A1296" s="21">
        <f>ItensPedido!A1296</f>
        <v/>
      </c>
      <c r="B1296" s="21">
        <f>ItensPedido!B1296</f>
        <v/>
      </c>
      <c r="C1296" s="21">
        <f>ItensPedido!C1296</f>
        <v/>
      </c>
      <c r="D1296" s="21">
        <f>ItensPedido!D1296</f>
        <v/>
      </c>
      <c r="E1296" s="22">
        <f>ItensPedido!E1296</f>
        <v/>
      </c>
      <c r="F1296" s="21">
        <f>IFERROR(INDEX(Pedidos!$B$2:$B$1801,MATCH(B1296,Pedidos!$A$2:$A$1801,0)),0)</f>
        <v/>
      </c>
      <c r="G1296" s="21">
        <f>IF(F1296=0,"",YEAR(F1296))</f>
        <v/>
      </c>
      <c r="H1296" s="21">
        <f>IF(F1296=0,"",MONTH(F1296))</f>
        <v/>
      </c>
      <c r="I1296" s="21">
        <f>IFERROR(INDEX(Pedidos!$E$2:$E$1801,MATCH(B1296,Pedidos!$A$2:$A$1801,0)),"")</f>
        <v/>
      </c>
      <c r="J1296" s="21">
        <f>IFERROR(INDEX(Pedidos!$C$2:$C$1801,MATCH(B1296,Pedidos!$A$2:$A$1801,0)),"")</f>
        <v/>
      </c>
      <c r="K1296" s="21">
        <f>IFERROR(INDEX(Pedidos!$D$2:$D$1801,MATCH(B1296,Pedidos!$A$2:$A$1801,0)),"")</f>
        <v/>
      </c>
      <c r="L1296" s="21">
        <f>IFERROR(INDEX(Pedidos!$F$2:$F$1801,MATCH(B1296,Pedidos!$A$2:$A$1801,0)),"")</f>
        <v/>
      </c>
      <c r="M1296" s="22">
        <f>IFERROR(INDEX(Pedidos!$G$2:$G$1801,MATCH(B1296,Pedidos!$A$2:$A$1801,0)),0)</f>
        <v/>
      </c>
      <c r="N1296" s="21">
        <f>IFERROR(INDEX(Produtos!$B$2:$B$71,MATCH(C1296,Produtos!$A$2:$A$71,0)),"")</f>
        <v/>
      </c>
      <c r="O1296" s="21">
        <f>IFERROR(INDEX(Produtos!$C$2:$C$71,MATCH(C1296,Produtos!$A$2:$A$71,0)),"")</f>
        <v/>
      </c>
      <c r="P1296" s="21">
        <f>IFERROR(INDEX(Produtos!$D$2:$D$71,MATCH(C1296,Produtos!$A$2:$A$71,0)),0)</f>
        <v/>
      </c>
      <c r="Q1296" s="21">
        <f>IFERROR(INDEX(Produtos!$E$2:$E$71,MATCH(C1296,Produtos!$A$2:$A$71,0)),0)</f>
        <v/>
      </c>
      <c r="R1296" s="23">
        <f>D1296*Q1296</f>
        <v/>
      </c>
      <c r="S1296" s="23">
        <f>R1296*E1296</f>
        <v/>
      </c>
      <c r="T1296" s="23">
        <f>(R1296-S1296)*M1296</f>
        <v/>
      </c>
      <c r="U1296" s="23">
        <f>R1296-S1296-T1296</f>
        <v/>
      </c>
      <c r="V1296" s="23">
        <f>D1296*P1296</f>
        <v/>
      </c>
      <c r="W1296" s="23">
        <f>U1296-V1296</f>
        <v/>
      </c>
      <c r="X1296" s="24">
        <f>IFERROR(W1296/U1296,0)</f>
        <v/>
      </c>
    </row>
    <row r="1297">
      <c r="A1297" s="25">
        <f>ItensPedido!A1297</f>
        <v/>
      </c>
      <c r="B1297" s="25">
        <f>ItensPedido!B1297</f>
        <v/>
      </c>
      <c r="C1297" s="25">
        <f>ItensPedido!C1297</f>
        <v/>
      </c>
      <c r="D1297" s="25">
        <f>ItensPedido!D1297</f>
        <v/>
      </c>
      <c r="E1297" s="26">
        <f>ItensPedido!E1297</f>
        <v/>
      </c>
      <c r="F1297" s="25">
        <f>IFERROR(INDEX(Pedidos!$B$2:$B$1801,MATCH(B1297,Pedidos!$A$2:$A$1801,0)),0)</f>
        <v/>
      </c>
      <c r="G1297" s="25">
        <f>IF(F1297=0,"",YEAR(F1297))</f>
        <v/>
      </c>
      <c r="H1297" s="25">
        <f>IF(F1297=0,"",MONTH(F1297))</f>
        <v/>
      </c>
      <c r="I1297" s="25">
        <f>IFERROR(INDEX(Pedidos!$E$2:$E$1801,MATCH(B1297,Pedidos!$A$2:$A$1801,0)),"")</f>
        <v/>
      </c>
      <c r="J1297" s="25">
        <f>IFERROR(INDEX(Pedidos!$C$2:$C$1801,MATCH(B1297,Pedidos!$A$2:$A$1801,0)),"")</f>
        <v/>
      </c>
      <c r="K1297" s="25">
        <f>IFERROR(INDEX(Pedidos!$D$2:$D$1801,MATCH(B1297,Pedidos!$A$2:$A$1801,0)),"")</f>
        <v/>
      </c>
      <c r="L1297" s="25">
        <f>IFERROR(INDEX(Pedidos!$F$2:$F$1801,MATCH(B1297,Pedidos!$A$2:$A$1801,0)),"")</f>
        <v/>
      </c>
      <c r="M1297" s="26">
        <f>IFERROR(INDEX(Pedidos!$G$2:$G$1801,MATCH(B1297,Pedidos!$A$2:$A$1801,0)),0)</f>
        <v/>
      </c>
      <c r="N1297" s="25">
        <f>IFERROR(INDEX(Produtos!$B$2:$B$71,MATCH(C1297,Produtos!$A$2:$A$71,0)),"")</f>
        <v/>
      </c>
      <c r="O1297" s="25">
        <f>IFERROR(INDEX(Produtos!$C$2:$C$71,MATCH(C1297,Produtos!$A$2:$A$71,0)),"")</f>
        <v/>
      </c>
      <c r="P1297" s="25">
        <f>IFERROR(INDEX(Produtos!$D$2:$D$71,MATCH(C1297,Produtos!$A$2:$A$71,0)),0)</f>
        <v/>
      </c>
      <c r="Q1297" s="25">
        <f>IFERROR(INDEX(Produtos!$E$2:$E$71,MATCH(C1297,Produtos!$A$2:$A$71,0)),0)</f>
        <v/>
      </c>
      <c r="R1297" s="27">
        <f>D1297*Q1297</f>
        <v/>
      </c>
      <c r="S1297" s="27">
        <f>R1297*E1297</f>
        <v/>
      </c>
      <c r="T1297" s="27">
        <f>(R1297-S1297)*M1297</f>
        <v/>
      </c>
      <c r="U1297" s="27">
        <f>R1297-S1297-T1297</f>
        <v/>
      </c>
      <c r="V1297" s="27">
        <f>D1297*P1297</f>
        <v/>
      </c>
      <c r="W1297" s="27">
        <f>U1297-V1297</f>
        <v/>
      </c>
      <c r="X1297" s="28">
        <f>IFERROR(W1297/U1297,0)</f>
        <v/>
      </c>
    </row>
    <row r="1298">
      <c r="A1298" s="21">
        <f>ItensPedido!A1298</f>
        <v/>
      </c>
      <c r="B1298" s="21">
        <f>ItensPedido!B1298</f>
        <v/>
      </c>
      <c r="C1298" s="21">
        <f>ItensPedido!C1298</f>
        <v/>
      </c>
      <c r="D1298" s="21">
        <f>ItensPedido!D1298</f>
        <v/>
      </c>
      <c r="E1298" s="22">
        <f>ItensPedido!E1298</f>
        <v/>
      </c>
      <c r="F1298" s="21">
        <f>IFERROR(INDEX(Pedidos!$B$2:$B$1801,MATCH(B1298,Pedidos!$A$2:$A$1801,0)),0)</f>
        <v/>
      </c>
      <c r="G1298" s="21">
        <f>IF(F1298=0,"",YEAR(F1298))</f>
        <v/>
      </c>
      <c r="H1298" s="21">
        <f>IF(F1298=0,"",MONTH(F1298))</f>
        <v/>
      </c>
      <c r="I1298" s="21">
        <f>IFERROR(INDEX(Pedidos!$E$2:$E$1801,MATCH(B1298,Pedidos!$A$2:$A$1801,0)),"")</f>
        <v/>
      </c>
      <c r="J1298" s="21">
        <f>IFERROR(INDEX(Pedidos!$C$2:$C$1801,MATCH(B1298,Pedidos!$A$2:$A$1801,0)),"")</f>
        <v/>
      </c>
      <c r="K1298" s="21">
        <f>IFERROR(INDEX(Pedidos!$D$2:$D$1801,MATCH(B1298,Pedidos!$A$2:$A$1801,0)),"")</f>
        <v/>
      </c>
      <c r="L1298" s="21">
        <f>IFERROR(INDEX(Pedidos!$F$2:$F$1801,MATCH(B1298,Pedidos!$A$2:$A$1801,0)),"")</f>
        <v/>
      </c>
      <c r="M1298" s="22">
        <f>IFERROR(INDEX(Pedidos!$G$2:$G$1801,MATCH(B1298,Pedidos!$A$2:$A$1801,0)),0)</f>
        <v/>
      </c>
      <c r="N1298" s="21">
        <f>IFERROR(INDEX(Produtos!$B$2:$B$71,MATCH(C1298,Produtos!$A$2:$A$71,0)),"")</f>
        <v/>
      </c>
      <c r="O1298" s="21">
        <f>IFERROR(INDEX(Produtos!$C$2:$C$71,MATCH(C1298,Produtos!$A$2:$A$71,0)),"")</f>
        <v/>
      </c>
      <c r="P1298" s="21">
        <f>IFERROR(INDEX(Produtos!$D$2:$D$71,MATCH(C1298,Produtos!$A$2:$A$71,0)),0)</f>
        <v/>
      </c>
      <c r="Q1298" s="21">
        <f>IFERROR(INDEX(Produtos!$E$2:$E$71,MATCH(C1298,Produtos!$A$2:$A$71,0)),0)</f>
        <v/>
      </c>
      <c r="R1298" s="23">
        <f>D1298*Q1298</f>
        <v/>
      </c>
      <c r="S1298" s="23">
        <f>R1298*E1298</f>
        <v/>
      </c>
      <c r="T1298" s="23">
        <f>(R1298-S1298)*M1298</f>
        <v/>
      </c>
      <c r="U1298" s="23">
        <f>R1298-S1298-T1298</f>
        <v/>
      </c>
      <c r="V1298" s="23">
        <f>D1298*P1298</f>
        <v/>
      </c>
      <c r="W1298" s="23">
        <f>U1298-V1298</f>
        <v/>
      </c>
      <c r="X1298" s="24">
        <f>IFERROR(W1298/U1298,0)</f>
        <v/>
      </c>
    </row>
    <row r="1299">
      <c r="A1299" s="25">
        <f>ItensPedido!A1299</f>
        <v/>
      </c>
      <c r="B1299" s="25">
        <f>ItensPedido!B1299</f>
        <v/>
      </c>
      <c r="C1299" s="25">
        <f>ItensPedido!C1299</f>
        <v/>
      </c>
      <c r="D1299" s="25">
        <f>ItensPedido!D1299</f>
        <v/>
      </c>
      <c r="E1299" s="26">
        <f>ItensPedido!E1299</f>
        <v/>
      </c>
      <c r="F1299" s="25">
        <f>IFERROR(INDEX(Pedidos!$B$2:$B$1801,MATCH(B1299,Pedidos!$A$2:$A$1801,0)),0)</f>
        <v/>
      </c>
      <c r="G1299" s="25">
        <f>IF(F1299=0,"",YEAR(F1299))</f>
        <v/>
      </c>
      <c r="H1299" s="25">
        <f>IF(F1299=0,"",MONTH(F1299))</f>
        <v/>
      </c>
      <c r="I1299" s="25">
        <f>IFERROR(INDEX(Pedidos!$E$2:$E$1801,MATCH(B1299,Pedidos!$A$2:$A$1801,0)),"")</f>
        <v/>
      </c>
      <c r="J1299" s="25">
        <f>IFERROR(INDEX(Pedidos!$C$2:$C$1801,MATCH(B1299,Pedidos!$A$2:$A$1801,0)),"")</f>
        <v/>
      </c>
      <c r="K1299" s="25">
        <f>IFERROR(INDEX(Pedidos!$D$2:$D$1801,MATCH(B1299,Pedidos!$A$2:$A$1801,0)),"")</f>
        <v/>
      </c>
      <c r="L1299" s="25">
        <f>IFERROR(INDEX(Pedidos!$F$2:$F$1801,MATCH(B1299,Pedidos!$A$2:$A$1801,0)),"")</f>
        <v/>
      </c>
      <c r="M1299" s="26">
        <f>IFERROR(INDEX(Pedidos!$G$2:$G$1801,MATCH(B1299,Pedidos!$A$2:$A$1801,0)),0)</f>
        <v/>
      </c>
      <c r="N1299" s="25">
        <f>IFERROR(INDEX(Produtos!$B$2:$B$71,MATCH(C1299,Produtos!$A$2:$A$71,0)),"")</f>
        <v/>
      </c>
      <c r="O1299" s="25">
        <f>IFERROR(INDEX(Produtos!$C$2:$C$71,MATCH(C1299,Produtos!$A$2:$A$71,0)),"")</f>
        <v/>
      </c>
      <c r="P1299" s="25">
        <f>IFERROR(INDEX(Produtos!$D$2:$D$71,MATCH(C1299,Produtos!$A$2:$A$71,0)),0)</f>
        <v/>
      </c>
      <c r="Q1299" s="25">
        <f>IFERROR(INDEX(Produtos!$E$2:$E$71,MATCH(C1299,Produtos!$A$2:$A$71,0)),0)</f>
        <v/>
      </c>
      <c r="R1299" s="27">
        <f>D1299*Q1299</f>
        <v/>
      </c>
      <c r="S1299" s="27">
        <f>R1299*E1299</f>
        <v/>
      </c>
      <c r="T1299" s="27">
        <f>(R1299-S1299)*M1299</f>
        <v/>
      </c>
      <c r="U1299" s="27">
        <f>R1299-S1299-T1299</f>
        <v/>
      </c>
      <c r="V1299" s="27">
        <f>D1299*P1299</f>
        <v/>
      </c>
      <c r="W1299" s="27">
        <f>U1299-V1299</f>
        <v/>
      </c>
      <c r="X1299" s="28">
        <f>IFERROR(W1299/U1299,0)</f>
        <v/>
      </c>
    </row>
    <row r="1300">
      <c r="A1300" s="21">
        <f>ItensPedido!A1300</f>
        <v/>
      </c>
      <c r="B1300" s="21">
        <f>ItensPedido!B1300</f>
        <v/>
      </c>
      <c r="C1300" s="21">
        <f>ItensPedido!C1300</f>
        <v/>
      </c>
      <c r="D1300" s="21">
        <f>ItensPedido!D1300</f>
        <v/>
      </c>
      <c r="E1300" s="22">
        <f>ItensPedido!E1300</f>
        <v/>
      </c>
      <c r="F1300" s="21">
        <f>IFERROR(INDEX(Pedidos!$B$2:$B$1801,MATCH(B1300,Pedidos!$A$2:$A$1801,0)),0)</f>
        <v/>
      </c>
      <c r="G1300" s="21">
        <f>IF(F1300=0,"",YEAR(F1300))</f>
        <v/>
      </c>
      <c r="H1300" s="21">
        <f>IF(F1300=0,"",MONTH(F1300))</f>
        <v/>
      </c>
      <c r="I1300" s="21">
        <f>IFERROR(INDEX(Pedidos!$E$2:$E$1801,MATCH(B1300,Pedidos!$A$2:$A$1801,0)),"")</f>
        <v/>
      </c>
      <c r="J1300" s="21">
        <f>IFERROR(INDEX(Pedidos!$C$2:$C$1801,MATCH(B1300,Pedidos!$A$2:$A$1801,0)),"")</f>
        <v/>
      </c>
      <c r="K1300" s="21">
        <f>IFERROR(INDEX(Pedidos!$D$2:$D$1801,MATCH(B1300,Pedidos!$A$2:$A$1801,0)),"")</f>
        <v/>
      </c>
      <c r="L1300" s="21">
        <f>IFERROR(INDEX(Pedidos!$F$2:$F$1801,MATCH(B1300,Pedidos!$A$2:$A$1801,0)),"")</f>
        <v/>
      </c>
      <c r="M1300" s="22">
        <f>IFERROR(INDEX(Pedidos!$G$2:$G$1801,MATCH(B1300,Pedidos!$A$2:$A$1801,0)),0)</f>
        <v/>
      </c>
      <c r="N1300" s="21">
        <f>IFERROR(INDEX(Produtos!$B$2:$B$71,MATCH(C1300,Produtos!$A$2:$A$71,0)),"")</f>
        <v/>
      </c>
      <c r="O1300" s="21">
        <f>IFERROR(INDEX(Produtos!$C$2:$C$71,MATCH(C1300,Produtos!$A$2:$A$71,0)),"")</f>
        <v/>
      </c>
      <c r="P1300" s="21">
        <f>IFERROR(INDEX(Produtos!$D$2:$D$71,MATCH(C1300,Produtos!$A$2:$A$71,0)),0)</f>
        <v/>
      </c>
      <c r="Q1300" s="21">
        <f>IFERROR(INDEX(Produtos!$E$2:$E$71,MATCH(C1300,Produtos!$A$2:$A$71,0)),0)</f>
        <v/>
      </c>
      <c r="R1300" s="23">
        <f>D1300*Q1300</f>
        <v/>
      </c>
      <c r="S1300" s="23">
        <f>R1300*E1300</f>
        <v/>
      </c>
      <c r="T1300" s="23">
        <f>(R1300-S1300)*M1300</f>
        <v/>
      </c>
      <c r="U1300" s="23">
        <f>R1300-S1300-T1300</f>
        <v/>
      </c>
      <c r="V1300" s="23">
        <f>D1300*P1300</f>
        <v/>
      </c>
      <c r="W1300" s="23">
        <f>U1300-V1300</f>
        <v/>
      </c>
      <c r="X1300" s="24">
        <f>IFERROR(W1300/U1300,0)</f>
        <v/>
      </c>
    </row>
    <row r="1301">
      <c r="A1301" s="25">
        <f>ItensPedido!A1301</f>
        <v/>
      </c>
      <c r="B1301" s="25">
        <f>ItensPedido!B1301</f>
        <v/>
      </c>
      <c r="C1301" s="25">
        <f>ItensPedido!C1301</f>
        <v/>
      </c>
      <c r="D1301" s="25">
        <f>ItensPedido!D1301</f>
        <v/>
      </c>
      <c r="E1301" s="26">
        <f>ItensPedido!E1301</f>
        <v/>
      </c>
      <c r="F1301" s="25">
        <f>IFERROR(INDEX(Pedidos!$B$2:$B$1801,MATCH(B1301,Pedidos!$A$2:$A$1801,0)),0)</f>
        <v/>
      </c>
      <c r="G1301" s="25">
        <f>IF(F1301=0,"",YEAR(F1301))</f>
        <v/>
      </c>
      <c r="H1301" s="25">
        <f>IF(F1301=0,"",MONTH(F1301))</f>
        <v/>
      </c>
      <c r="I1301" s="25">
        <f>IFERROR(INDEX(Pedidos!$E$2:$E$1801,MATCH(B1301,Pedidos!$A$2:$A$1801,0)),"")</f>
        <v/>
      </c>
      <c r="J1301" s="25">
        <f>IFERROR(INDEX(Pedidos!$C$2:$C$1801,MATCH(B1301,Pedidos!$A$2:$A$1801,0)),"")</f>
        <v/>
      </c>
      <c r="K1301" s="25">
        <f>IFERROR(INDEX(Pedidos!$D$2:$D$1801,MATCH(B1301,Pedidos!$A$2:$A$1801,0)),"")</f>
        <v/>
      </c>
      <c r="L1301" s="25">
        <f>IFERROR(INDEX(Pedidos!$F$2:$F$1801,MATCH(B1301,Pedidos!$A$2:$A$1801,0)),"")</f>
        <v/>
      </c>
      <c r="M1301" s="26">
        <f>IFERROR(INDEX(Pedidos!$G$2:$G$1801,MATCH(B1301,Pedidos!$A$2:$A$1801,0)),0)</f>
        <v/>
      </c>
      <c r="N1301" s="25">
        <f>IFERROR(INDEX(Produtos!$B$2:$B$71,MATCH(C1301,Produtos!$A$2:$A$71,0)),"")</f>
        <v/>
      </c>
      <c r="O1301" s="25">
        <f>IFERROR(INDEX(Produtos!$C$2:$C$71,MATCH(C1301,Produtos!$A$2:$A$71,0)),"")</f>
        <v/>
      </c>
      <c r="P1301" s="25">
        <f>IFERROR(INDEX(Produtos!$D$2:$D$71,MATCH(C1301,Produtos!$A$2:$A$71,0)),0)</f>
        <v/>
      </c>
      <c r="Q1301" s="25">
        <f>IFERROR(INDEX(Produtos!$E$2:$E$71,MATCH(C1301,Produtos!$A$2:$A$71,0)),0)</f>
        <v/>
      </c>
      <c r="R1301" s="27">
        <f>D1301*Q1301</f>
        <v/>
      </c>
      <c r="S1301" s="27">
        <f>R1301*E1301</f>
        <v/>
      </c>
      <c r="T1301" s="27">
        <f>(R1301-S1301)*M1301</f>
        <v/>
      </c>
      <c r="U1301" s="27">
        <f>R1301-S1301-T1301</f>
        <v/>
      </c>
      <c r="V1301" s="27">
        <f>D1301*P1301</f>
        <v/>
      </c>
      <c r="W1301" s="27">
        <f>U1301-V1301</f>
        <v/>
      </c>
      <c r="X1301" s="28">
        <f>IFERROR(W1301/U1301,0)</f>
        <v/>
      </c>
    </row>
    <row r="1302">
      <c r="A1302" s="21">
        <f>ItensPedido!A1302</f>
        <v/>
      </c>
      <c r="B1302" s="21">
        <f>ItensPedido!B1302</f>
        <v/>
      </c>
      <c r="C1302" s="21">
        <f>ItensPedido!C1302</f>
        <v/>
      </c>
      <c r="D1302" s="21">
        <f>ItensPedido!D1302</f>
        <v/>
      </c>
      <c r="E1302" s="22">
        <f>ItensPedido!E1302</f>
        <v/>
      </c>
      <c r="F1302" s="21">
        <f>IFERROR(INDEX(Pedidos!$B$2:$B$1801,MATCH(B1302,Pedidos!$A$2:$A$1801,0)),0)</f>
        <v/>
      </c>
      <c r="G1302" s="21">
        <f>IF(F1302=0,"",YEAR(F1302))</f>
        <v/>
      </c>
      <c r="H1302" s="21">
        <f>IF(F1302=0,"",MONTH(F1302))</f>
        <v/>
      </c>
      <c r="I1302" s="21">
        <f>IFERROR(INDEX(Pedidos!$E$2:$E$1801,MATCH(B1302,Pedidos!$A$2:$A$1801,0)),"")</f>
        <v/>
      </c>
      <c r="J1302" s="21">
        <f>IFERROR(INDEX(Pedidos!$C$2:$C$1801,MATCH(B1302,Pedidos!$A$2:$A$1801,0)),"")</f>
        <v/>
      </c>
      <c r="K1302" s="21">
        <f>IFERROR(INDEX(Pedidos!$D$2:$D$1801,MATCH(B1302,Pedidos!$A$2:$A$1801,0)),"")</f>
        <v/>
      </c>
      <c r="L1302" s="21">
        <f>IFERROR(INDEX(Pedidos!$F$2:$F$1801,MATCH(B1302,Pedidos!$A$2:$A$1801,0)),"")</f>
        <v/>
      </c>
      <c r="M1302" s="22">
        <f>IFERROR(INDEX(Pedidos!$G$2:$G$1801,MATCH(B1302,Pedidos!$A$2:$A$1801,0)),0)</f>
        <v/>
      </c>
      <c r="N1302" s="21">
        <f>IFERROR(INDEX(Produtos!$B$2:$B$71,MATCH(C1302,Produtos!$A$2:$A$71,0)),"")</f>
        <v/>
      </c>
      <c r="O1302" s="21">
        <f>IFERROR(INDEX(Produtos!$C$2:$C$71,MATCH(C1302,Produtos!$A$2:$A$71,0)),"")</f>
        <v/>
      </c>
      <c r="P1302" s="21">
        <f>IFERROR(INDEX(Produtos!$D$2:$D$71,MATCH(C1302,Produtos!$A$2:$A$71,0)),0)</f>
        <v/>
      </c>
      <c r="Q1302" s="21">
        <f>IFERROR(INDEX(Produtos!$E$2:$E$71,MATCH(C1302,Produtos!$A$2:$A$71,0)),0)</f>
        <v/>
      </c>
      <c r="R1302" s="23">
        <f>D1302*Q1302</f>
        <v/>
      </c>
      <c r="S1302" s="23">
        <f>R1302*E1302</f>
        <v/>
      </c>
      <c r="T1302" s="23">
        <f>(R1302-S1302)*M1302</f>
        <v/>
      </c>
      <c r="U1302" s="23">
        <f>R1302-S1302-T1302</f>
        <v/>
      </c>
      <c r="V1302" s="23">
        <f>D1302*P1302</f>
        <v/>
      </c>
      <c r="W1302" s="23">
        <f>U1302-V1302</f>
        <v/>
      </c>
      <c r="X1302" s="24">
        <f>IFERROR(W1302/U1302,0)</f>
        <v/>
      </c>
    </row>
    <row r="1303">
      <c r="A1303" s="25">
        <f>ItensPedido!A1303</f>
        <v/>
      </c>
      <c r="B1303" s="25">
        <f>ItensPedido!B1303</f>
        <v/>
      </c>
      <c r="C1303" s="25">
        <f>ItensPedido!C1303</f>
        <v/>
      </c>
      <c r="D1303" s="25">
        <f>ItensPedido!D1303</f>
        <v/>
      </c>
      <c r="E1303" s="26">
        <f>ItensPedido!E1303</f>
        <v/>
      </c>
      <c r="F1303" s="25">
        <f>IFERROR(INDEX(Pedidos!$B$2:$B$1801,MATCH(B1303,Pedidos!$A$2:$A$1801,0)),0)</f>
        <v/>
      </c>
      <c r="G1303" s="25">
        <f>IF(F1303=0,"",YEAR(F1303))</f>
        <v/>
      </c>
      <c r="H1303" s="25">
        <f>IF(F1303=0,"",MONTH(F1303))</f>
        <v/>
      </c>
      <c r="I1303" s="25">
        <f>IFERROR(INDEX(Pedidos!$E$2:$E$1801,MATCH(B1303,Pedidos!$A$2:$A$1801,0)),"")</f>
        <v/>
      </c>
      <c r="J1303" s="25">
        <f>IFERROR(INDEX(Pedidos!$C$2:$C$1801,MATCH(B1303,Pedidos!$A$2:$A$1801,0)),"")</f>
        <v/>
      </c>
      <c r="K1303" s="25">
        <f>IFERROR(INDEX(Pedidos!$D$2:$D$1801,MATCH(B1303,Pedidos!$A$2:$A$1801,0)),"")</f>
        <v/>
      </c>
      <c r="L1303" s="25">
        <f>IFERROR(INDEX(Pedidos!$F$2:$F$1801,MATCH(B1303,Pedidos!$A$2:$A$1801,0)),"")</f>
        <v/>
      </c>
      <c r="M1303" s="26">
        <f>IFERROR(INDEX(Pedidos!$G$2:$G$1801,MATCH(B1303,Pedidos!$A$2:$A$1801,0)),0)</f>
        <v/>
      </c>
      <c r="N1303" s="25">
        <f>IFERROR(INDEX(Produtos!$B$2:$B$71,MATCH(C1303,Produtos!$A$2:$A$71,0)),"")</f>
        <v/>
      </c>
      <c r="O1303" s="25">
        <f>IFERROR(INDEX(Produtos!$C$2:$C$71,MATCH(C1303,Produtos!$A$2:$A$71,0)),"")</f>
        <v/>
      </c>
      <c r="P1303" s="25">
        <f>IFERROR(INDEX(Produtos!$D$2:$D$71,MATCH(C1303,Produtos!$A$2:$A$71,0)),0)</f>
        <v/>
      </c>
      <c r="Q1303" s="25">
        <f>IFERROR(INDEX(Produtos!$E$2:$E$71,MATCH(C1303,Produtos!$A$2:$A$71,0)),0)</f>
        <v/>
      </c>
      <c r="R1303" s="27">
        <f>D1303*Q1303</f>
        <v/>
      </c>
      <c r="S1303" s="27">
        <f>R1303*E1303</f>
        <v/>
      </c>
      <c r="T1303" s="27">
        <f>(R1303-S1303)*M1303</f>
        <v/>
      </c>
      <c r="U1303" s="27">
        <f>R1303-S1303-T1303</f>
        <v/>
      </c>
      <c r="V1303" s="27">
        <f>D1303*P1303</f>
        <v/>
      </c>
      <c r="W1303" s="27">
        <f>U1303-V1303</f>
        <v/>
      </c>
      <c r="X1303" s="28">
        <f>IFERROR(W1303/U1303,0)</f>
        <v/>
      </c>
    </row>
    <row r="1304">
      <c r="A1304" s="21">
        <f>ItensPedido!A1304</f>
        <v/>
      </c>
      <c r="B1304" s="21">
        <f>ItensPedido!B1304</f>
        <v/>
      </c>
      <c r="C1304" s="21">
        <f>ItensPedido!C1304</f>
        <v/>
      </c>
      <c r="D1304" s="21">
        <f>ItensPedido!D1304</f>
        <v/>
      </c>
      <c r="E1304" s="22">
        <f>ItensPedido!E1304</f>
        <v/>
      </c>
      <c r="F1304" s="21">
        <f>IFERROR(INDEX(Pedidos!$B$2:$B$1801,MATCH(B1304,Pedidos!$A$2:$A$1801,0)),0)</f>
        <v/>
      </c>
      <c r="G1304" s="21">
        <f>IF(F1304=0,"",YEAR(F1304))</f>
        <v/>
      </c>
      <c r="H1304" s="21">
        <f>IF(F1304=0,"",MONTH(F1304))</f>
        <v/>
      </c>
      <c r="I1304" s="21">
        <f>IFERROR(INDEX(Pedidos!$E$2:$E$1801,MATCH(B1304,Pedidos!$A$2:$A$1801,0)),"")</f>
        <v/>
      </c>
      <c r="J1304" s="21">
        <f>IFERROR(INDEX(Pedidos!$C$2:$C$1801,MATCH(B1304,Pedidos!$A$2:$A$1801,0)),"")</f>
        <v/>
      </c>
      <c r="K1304" s="21">
        <f>IFERROR(INDEX(Pedidos!$D$2:$D$1801,MATCH(B1304,Pedidos!$A$2:$A$1801,0)),"")</f>
        <v/>
      </c>
      <c r="L1304" s="21">
        <f>IFERROR(INDEX(Pedidos!$F$2:$F$1801,MATCH(B1304,Pedidos!$A$2:$A$1801,0)),"")</f>
        <v/>
      </c>
      <c r="M1304" s="22">
        <f>IFERROR(INDEX(Pedidos!$G$2:$G$1801,MATCH(B1304,Pedidos!$A$2:$A$1801,0)),0)</f>
        <v/>
      </c>
      <c r="N1304" s="21">
        <f>IFERROR(INDEX(Produtos!$B$2:$B$71,MATCH(C1304,Produtos!$A$2:$A$71,0)),"")</f>
        <v/>
      </c>
      <c r="O1304" s="21">
        <f>IFERROR(INDEX(Produtos!$C$2:$C$71,MATCH(C1304,Produtos!$A$2:$A$71,0)),"")</f>
        <v/>
      </c>
      <c r="P1304" s="21">
        <f>IFERROR(INDEX(Produtos!$D$2:$D$71,MATCH(C1304,Produtos!$A$2:$A$71,0)),0)</f>
        <v/>
      </c>
      <c r="Q1304" s="21">
        <f>IFERROR(INDEX(Produtos!$E$2:$E$71,MATCH(C1304,Produtos!$A$2:$A$71,0)),0)</f>
        <v/>
      </c>
      <c r="R1304" s="23">
        <f>D1304*Q1304</f>
        <v/>
      </c>
      <c r="S1304" s="23">
        <f>R1304*E1304</f>
        <v/>
      </c>
      <c r="T1304" s="23">
        <f>(R1304-S1304)*M1304</f>
        <v/>
      </c>
      <c r="U1304" s="23">
        <f>R1304-S1304-T1304</f>
        <v/>
      </c>
      <c r="V1304" s="23">
        <f>D1304*P1304</f>
        <v/>
      </c>
      <c r="W1304" s="23">
        <f>U1304-V1304</f>
        <v/>
      </c>
      <c r="X1304" s="24">
        <f>IFERROR(W1304/U1304,0)</f>
        <v/>
      </c>
    </row>
    <row r="1305">
      <c r="A1305" s="25">
        <f>ItensPedido!A1305</f>
        <v/>
      </c>
      <c r="B1305" s="25">
        <f>ItensPedido!B1305</f>
        <v/>
      </c>
      <c r="C1305" s="25">
        <f>ItensPedido!C1305</f>
        <v/>
      </c>
      <c r="D1305" s="25">
        <f>ItensPedido!D1305</f>
        <v/>
      </c>
      <c r="E1305" s="26">
        <f>ItensPedido!E1305</f>
        <v/>
      </c>
      <c r="F1305" s="25">
        <f>IFERROR(INDEX(Pedidos!$B$2:$B$1801,MATCH(B1305,Pedidos!$A$2:$A$1801,0)),0)</f>
        <v/>
      </c>
      <c r="G1305" s="25">
        <f>IF(F1305=0,"",YEAR(F1305))</f>
        <v/>
      </c>
      <c r="H1305" s="25">
        <f>IF(F1305=0,"",MONTH(F1305))</f>
        <v/>
      </c>
      <c r="I1305" s="25">
        <f>IFERROR(INDEX(Pedidos!$E$2:$E$1801,MATCH(B1305,Pedidos!$A$2:$A$1801,0)),"")</f>
        <v/>
      </c>
      <c r="J1305" s="25">
        <f>IFERROR(INDEX(Pedidos!$C$2:$C$1801,MATCH(B1305,Pedidos!$A$2:$A$1801,0)),"")</f>
        <v/>
      </c>
      <c r="K1305" s="25">
        <f>IFERROR(INDEX(Pedidos!$D$2:$D$1801,MATCH(B1305,Pedidos!$A$2:$A$1801,0)),"")</f>
        <v/>
      </c>
      <c r="L1305" s="25">
        <f>IFERROR(INDEX(Pedidos!$F$2:$F$1801,MATCH(B1305,Pedidos!$A$2:$A$1801,0)),"")</f>
        <v/>
      </c>
      <c r="M1305" s="26">
        <f>IFERROR(INDEX(Pedidos!$G$2:$G$1801,MATCH(B1305,Pedidos!$A$2:$A$1801,0)),0)</f>
        <v/>
      </c>
      <c r="N1305" s="25">
        <f>IFERROR(INDEX(Produtos!$B$2:$B$71,MATCH(C1305,Produtos!$A$2:$A$71,0)),"")</f>
        <v/>
      </c>
      <c r="O1305" s="25">
        <f>IFERROR(INDEX(Produtos!$C$2:$C$71,MATCH(C1305,Produtos!$A$2:$A$71,0)),"")</f>
        <v/>
      </c>
      <c r="P1305" s="25">
        <f>IFERROR(INDEX(Produtos!$D$2:$D$71,MATCH(C1305,Produtos!$A$2:$A$71,0)),0)</f>
        <v/>
      </c>
      <c r="Q1305" s="25">
        <f>IFERROR(INDEX(Produtos!$E$2:$E$71,MATCH(C1305,Produtos!$A$2:$A$71,0)),0)</f>
        <v/>
      </c>
      <c r="R1305" s="27">
        <f>D1305*Q1305</f>
        <v/>
      </c>
      <c r="S1305" s="27">
        <f>R1305*E1305</f>
        <v/>
      </c>
      <c r="T1305" s="27">
        <f>(R1305-S1305)*M1305</f>
        <v/>
      </c>
      <c r="U1305" s="27">
        <f>R1305-S1305-T1305</f>
        <v/>
      </c>
      <c r="V1305" s="27">
        <f>D1305*P1305</f>
        <v/>
      </c>
      <c r="W1305" s="27">
        <f>U1305-V1305</f>
        <v/>
      </c>
      <c r="X1305" s="28">
        <f>IFERROR(W1305/U1305,0)</f>
        <v/>
      </c>
    </row>
    <row r="1306">
      <c r="A1306" s="21">
        <f>ItensPedido!A1306</f>
        <v/>
      </c>
      <c r="B1306" s="21">
        <f>ItensPedido!B1306</f>
        <v/>
      </c>
      <c r="C1306" s="21">
        <f>ItensPedido!C1306</f>
        <v/>
      </c>
      <c r="D1306" s="21">
        <f>ItensPedido!D1306</f>
        <v/>
      </c>
      <c r="E1306" s="22">
        <f>ItensPedido!E1306</f>
        <v/>
      </c>
      <c r="F1306" s="21">
        <f>IFERROR(INDEX(Pedidos!$B$2:$B$1801,MATCH(B1306,Pedidos!$A$2:$A$1801,0)),0)</f>
        <v/>
      </c>
      <c r="G1306" s="21">
        <f>IF(F1306=0,"",YEAR(F1306))</f>
        <v/>
      </c>
      <c r="H1306" s="21">
        <f>IF(F1306=0,"",MONTH(F1306))</f>
        <v/>
      </c>
      <c r="I1306" s="21">
        <f>IFERROR(INDEX(Pedidos!$E$2:$E$1801,MATCH(B1306,Pedidos!$A$2:$A$1801,0)),"")</f>
        <v/>
      </c>
      <c r="J1306" s="21">
        <f>IFERROR(INDEX(Pedidos!$C$2:$C$1801,MATCH(B1306,Pedidos!$A$2:$A$1801,0)),"")</f>
        <v/>
      </c>
      <c r="K1306" s="21">
        <f>IFERROR(INDEX(Pedidos!$D$2:$D$1801,MATCH(B1306,Pedidos!$A$2:$A$1801,0)),"")</f>
        <v/>
      </c>
      <c r="L1306" s="21">
        <f>IFERROR(INDEX(Pedidos!$F$2:$F$1801,MATCH(B1306,Pedidos!$A$2:$A$1801,0)),"")</f>
        <v/>
      </c>
      <c r="M1306" s="22">
        <f>IFERROR(INDEX(Pedidos!$G$2:$G$1801,MATCH(B1306,Pedidos!$A$2:$A$1801,0)),0)</f>
        <v/>
      </c>
      <c r="N1306" s="21">
        <f>IFERROR(INDEX(Produtos!$B$2:$B$71,MATCH(C1306,Produtos!$A$2:$A$71,0)),"")</f>
        <v/>
      </c>
      <c r="O1306" s="21">
        <f>IFERROR(INDEX(Produtos!$C$2:$C$71,MATCH(C1306,Produtos!$A$2:$A$71,0)),"")</f>
        <v/>
      </c>
      <c r="P1306" s="21">
        <f>IFERROR(INDEX(Produtos!$D$2:$D$71,MATCH(C1306,Produtos!$A$2:$A$71,0)),0)</f>
        <v/>
      </c>
      <c r="Q1306" s="21">
        <f>IFERROR(INDEX(Produtos!$E$2:$E$71,MATCH(C1306,Produtos!$A$2:$A$71,0)),0)</f>
        <v/>
      </c>
      <c r="R1306" s="23">
        <f>D1306*Q1306</f>
        <v/>
      </c>
      <c r="S1306" s="23">
        <f>R1306*E1306</f>
        <v/>
      </c>
      <c r="T1306" s="23">
        <f>(R1306-S1306)*M1306</f>
        <v/>
      </c>
      <c r="U1306" s="23">
        <f>R1306-S1306-T1306</f>
        <v/>
      </c>
      <c r="V1306" s="23">
        <f>D1306*P1306</f>
        <v/>
      </c>
      <c r="W1306" s="23">
        <f>U1306-V1306</f>
        <v/>
      </c>
      <c r="X1306" s="24">
        <f>IFERROR(W1306/U1306,0)</f>
        <v/>
      </c>
    </row>
    <row r="1307">
      <c r="A1307" s="25">
        <f>ItensPedido!A1307</f>
        <v/>
      </c>
      <c r="B1307" s="25">
        <f>ItensPedido!B1307</f>
        <v/>
      </c>
      <c r="C1307" s="25">
        <f>ItensPedido!C1307</f>
        <v/>
      </c>
      <c r="D1307" s="25">
        <f>ItensPedido!D1307</f>
        <v/>
      </c>
      <c r="E1307" s="26">
        <f>ItensPedido!E1307</f>
        <v/>
      </c>
      <c r="F1307" s="25">
        <f>IFERROR(INDEX(Pedidos!$B$2:$B$1801,MATCH(B1307,Pedidos!$A$2:$A$1801,0)),0)</f>
        <v/>
      </c>
      <c r="G1307" s="25">
        <f>IF(F1307=0,"",YEAR(F1307))</f>
        <v/>
      </c>
      <c r="H1307" s="25">
        <f>IF(F1307=0,"",MONTH(F1307))</f>
        <v/>
      </c>
      <c r="I1307" s="25">
        <f>IFERROR(INDEX(Pedidos!$E$2:$E$1801,MATCH(B1307,Pedidos!$A$2:$A$1801,0)),"")</f>
        <v/>
      </c>
      <c r="J1307" s="25">
        <f>IFERROR(INDEX(Pedidos!$C$2:$C$1801,MATCH(B1307,Pedidos!$A$2:$A$1801,0)),"")</f>
        <v/>
      </c>
      <c r="K1307" s="25">
        <f>IFERROR(INDEX(Pedidos!$D$2:$D$1801,MATCH(B1307,Pedidos!$A$2:$A$1801,0)),"")</f>
        <v/>
      </c>
      <c r="L1307" s="25">
        <f>IFERROR(INDEX(Pedidos!$F$2:$F$1801,MATCH(B1307,Pedidos!$A$2:$A$1801,0)),"")</f>
        <v/>
      </c>
      <c r="M1307" s="26">
        <f>IFERROR(INDEX(Pedidos!$G$2:$G$1801,MATCH(B1307,Pedidos!$A$2:$A$1801,0)),0)</f>
        <v/>
      </c>
      <c r="N1307" s="25">
        <f>IFERROR(INDEX(Produtos!$B$2:$B$71,MATCH(C1307,Produtos!$A$2:$A$71,0)),"")</f>
        <v/>
      </c>
      <c r="O1307" s="25">
        <f>IFERROR(INDEX(Produtos!$C$2:$C$71,MATCH(C1307,Produtos!$A$2:$A$71,0)),"")</f>
        <v/>
      </c>
      <c r="P1307" s="25">
        <f>IFERROR(INDEX(Produtos!$D$2:$D$71,MATCH(C1307,Produtos!$A$2:$A$71,0)),0)</f>
        <v/>
      </c>
      <c r="Q1307" s="25">
        <f>IFERROR(INDEX(Produtos!$E$2:$E$71,MATCH(C1307,Produtos!$A$2:$A$71,0)),0)</f>
        <v/>
      </c>
      <c r="R1307" s="27">
        <f>D1307*Q1307</f>
        <v/>
      </c>
      <c r="S1307" s="27">
        <f>R1307*E1307</f>
        <v/>
      </c>
      <c r="T1307" s="27">
        <f>(R1307-S1307)*M1307</f>
        <v/>
      </c>
      <c r="U1307" s="27">
        <f>R1307-S1307-T1307</f>
        <v/>
      </c>
      <c r="V1307" s="27">
        <f>D1307*P1307</f>
        <v/>
      </c>
      <c r="W1307" s="27">
        <f>U1307-V1307</f>
        <v/>
      </c>
      <c r="X1307" s="28">
        <f>IFERROR(W1307/U1307,0)</f>
        <v/>
      </c>
    </row>
    <row r="1308">
      <c r="A1308" s="21">
        <f>ItensPedido!A1308</f>
        <v/>
      </c>
      <c r="B1308" s="21">
        <f>ItensPedido!B1308</f>
        <v/>
      </c>
      <c r="C1308" s="21">
        <f>ItensPedido!C1308</f>
        <v/>
      </c>
      <c r="D1308" s="21">
        <f>ItensPedido!D1308</f>
        <v/>
      </c>
      <c r="E1308" s="22">
        <f>ItensPedido!E1308</f>
        <v/>
      </c>
      <c r="F1308" s="21">
        <f>IFERROR(INDEX(Pedidos!$B$2:$B$1801,MATCH(B1308,Pedidos!$A$2:$A$1801,0)),0)</f>
        <v/>
      </c>
      <c r="G1308" s="21">
        <f>IF(F1308=0,"",YEAR(F1308))</f>
        <v/>
      </c>
      <c r="H1308" s="21">
        <f>IF(F1308=0,"",MONTH(F1308))</f>
        <v/>
      </c>
      <c r="I1308" s="21">
        <f>IFERROR(INDEX(Pedidos!$E$2:$E$1801,MATCH(B1308,Pedidos!$A$2:$A$1801,0)),"")</f>
        <v/>
      </c>
      <c r="J1308" s="21">
        <f>IFERROR(INDEX(Pedidos!$C$2:$C$1801,MATCH(B1308,Pedidos!$A$2:$A$1801,0)),"")</f>
        <v/>
      </c>
      <c r="K1308" s="21">
        <f>IFERROR(INDEX(Pedidos!$D$2:$D$1801,MATCH(B1308,Pedidos!$A$2:$A$1801,0)),"")</f>
        <v/>
      </c>
      <c r="L1308" s="21">
        <f>IFERROR(INDEX(Pedidos!$F$2:$F$1801,MATCH(B1308,Pedidos!$A$2:$A$1801,0)),"")</f>
        <v/>
      </c>
      <c r="M1308" s="22">
        <f>IFERROR(INDEX(Pedidos!$G$2:$G$1801,MATCH(B1308,Pedidos!$A$2:$A$1801,0)),0)</f>
        <v/>
      </c>
      <c r="N1308" s="21">
        <f>IFERROR(INDEX(Produtos!$B$2:$B$71,MATCH(C1308,Produtos!$A$2:$A$71,0)),"")</f>
        <v/>
      </c>
      <c r="O1308" s="21">
        <f>IFERROR(INDEX(Produtos!$C$2:$C$71,MATCH(C1308,Produtos!$A$2:$A$71,0)),"")</f>
        <v/>
      </c>
      <c r="P1308" s="21">
        <f>IFERROR(INDEX(Produtos!$D$2:$D$71,MATCH(C1308,Produtos!$A$2:$A$71,0)),0)</f>
        <v/>
      </c>
      <c r="Q1308" s="21">
        <f>IFERROR(INDEX(Produtos!$E$2:$E$71,MATCH(C1308,Produtos!$A$2:$A$71,0)),0)</f>
        <v/>
      </c>
      <c r="R1308" s="23">
        <f>D1308*Q1308</f>
        <v/>
      </c>
      <c r="S1308" s="23">
        <f>R1308*E1308</f>
        <v/>
      </c>
      <c r="T1308" s="23">
        <f>(R1308-S1308)*M1308</f>
        <v/>
      </c>
      <c r="U1308" s="23">
        <f>R1308-S1308-T1308</f>
        <v/>
      </c>
      <c r="V1308" s="23">
        <f>D1308*P1308</f>
        <v/>
      </c>
      <c r="W1308" s="23">
        <f>U1308-V1308</f>
        <v/>
      </c>
      <c r="X1308" s="24">
        <f>IFERROR(W1308/U1308,0)</f>
        <v/>
      </c>
    </row>
    <row r="1309">
      <c r="A1309" s="25">
        <f>ItensPedido!A1309</f>
        <v/>
      </c>
      <c r="B1309" s="25">
        <f>ItensPedido!B1309</f>
        <v/>
      </c>
      <c r="C1309" s="25">
        <f>ItensPedido!C1309</f>
        <v/>
      </c>
      <c r="D1309" s="25">
        <f>ItensPedido!D1309</f>
        <v/>
      </c>
      <c r="E1309" s="26">
        <f>ItensPedido!E1309</f>
        <v/>
      </c>
      <c r="F1309" s="25">
        <f>IFERROR(INDEX(Pedidos!$B$2:$B$1801,MATCH(B1309,Pedidos!$A$2:$A$1801,0)),0)</f>
        <v/>
      </c>
      <c r="G1309" s="25">
        <f>IF(F1309=0,"",YEAR(F1309))</f>
        <v/>
      </c>
      <c r="H1309" s="25">
        <f>IF(F1309=0,"",MONTH(F1309))</f>
        <v/>
      </c>
      <c r="I1309" s="25">
        <f>IFERROR(INDEX(Pedidos!$E$2:$E$1801,MATCH(B1309,Pedidos!$A$2:$A$1801,0)),"")</f>
        <v/>
      </c>
      <c r="J1309" s="25">
        <f>IFERROR(INDEX(Pedidos!$C$2:$C$1801,MATCH(B1309,Pedidos!$A$2:$A$1801,0)),"")</f>
        <v/>
      </c>
      <c r="K1309" s="25">
        <f>IFERROR(INDEX(Pedidos!$D$2:$D$1801,MATCH(B1309,Pedidos!$A$2:$A$1801,0)),"")</f>
        <v/>
      </c>
      <c r="L1309" s="25">
        <f>IFERROR(INDEX(Pedidos!$F$2:$F$1801,MATCH(B1309,Pedidos!$A$2:$A$1801,0)),"")</f>
        <v/>
      </c>
      <c r="M1309" s="26">
        <f>IFERROR(INDEX(Pedidos!$G$2:$G$1801,MATCH(B1309,Pedidos!$A$2:$A$1801,0)),0)</f>
        <v/>
      </c>
      <c r="N1309" s="25">
        <f>IFERROR(INDEX(Produtos!$B$2:$B$71,MATCH(C1309,Produtos!$A$2:$A$71,0)),"")</f>
        <v/>
      </c>
      <c r="O1309" s="25">
        <f>IFERROR(INDEX(Produtos!$C$2:$C$71,MATCH(C1309,Produtos!$A$2:$A$71,0)),"")</f>
        <v/>
      </c>
      <c r="P1309" s="25">
        <f>IFERROR(INDEX(Produtos!$D$2:$D$71,MATCH(C1309,Produtos!$A$2:$A$71,0)),0)</f>
        <v/>
      </c>
      <c r="Q1309" s="25">
        <f>IFERROR(INDEX(Produtos!$E$2:$E$71,MATCH(C1309,Produtos!$A$2:$A$71,0)),0)</f>
        <v/>
      </c>
      <c r="R1309" s="27">
        <f>D1309*Q1309</f>
        <v/>
      </c>
      <c r="S1309" s="27">
        <f>R1309*E1309</f>
        <v/>
      </c>
      <c r="T1309" s="27">
        <f>(R1309-S1309)*M1309</f>
        <v/>
      </c>
      <c r="U1309" s="27">
        <f>R1309-S1309-T1309</f>
        <v/>
      </c>
      <c r="V1309" s="27">
        <f>D1309*P1309</f>
        <v/>
      </c>
      <c r="W1309" s="27">
        <f>U1309-V1309</f>
        <v/>
      </c>
      <c r="X1309" s="28">
        <f>IFERROR(W1309/U1309,0)</f>
        <v/>
      </c>
    </row>
    <row r="1310">
      <c r="A1310" s="21">
        <f>ItensPedido!A1310</f>
        <v/>
      </c>
      <c r="B1310" s="21">
        <f>ItensPedido!B1310</f>
        <v/>
      </c>
      <c r="C1310" s="21">
        <f>ItensPedido!C1310</f>
        <v/>
      </c>
      <c r="D1310" s="21">
        <f>ItensPedido!D1310</f>
        <v/>
      </c>
      <c r="E1310" s="22">
        <f>ItensPedido!E1310</f>
        <v/>
      </c>
      <c r="F1310" s="21">
        <f>IFERROR(INDEX(Pedidos!$B$2:$B$1801,MATCH(B1310,Pedidos!$A$2:$A$1801,0)),0)</f>
        <v/>
      </c>
      <c r="G1310" s="21">
        <f>IF(F1310=0,"",YEAR(F1310))</f>
        <v/>
      </c>
      <c r="H1310" s="21">
        <f>IF(F1310=0,"",MONTH(F1310))</f>
        <v/>
      </c>
      <c r="I1310" s="21">
        <f>IFERROR(INDEX(Pedidos!$E$2:$E$1801,MATCH(B1310,Pedidos!$A$2:$A$1801,0)),"")</f>
        <v/>
      </c>
      <c r="J1310" s="21">
        <f>IFERROR(INDEX(Pedidos!$C$2:$C$1801,MATCH(B1310,Pedidos!$A$2:$A$1801,0)),"")</f>
        <v/>
      </c>
      <c r="K1310" s="21">
        <f>IFERROR(INDEX(Pedidos!$D$2:$D$1801,MATCH(B1310,Pedidos!$A$2:$A$1801,0)),"")</f>
        <v/>
      </c>
      <c r="L1310" s="21">
        <f>IFERROR(INDEX(Pedidos!$F$2:$F$1801,MATCH(B1310,Pedidos!$A$2:$A$1801,0)),"")</f>
        <v/>
      </c>
      <c r="M1310" s="22">
        <f>IFERROR(INDEX(Pedidos!$G$2:$G$1801,MATCH(B1310,Pedidos!$A$2:$A$1801,0)),0)</f>
        <v/>
      </c>
      <c r="N1310" s="21">
        <f>IFERROR(INDEX(Produtos!$B$2:$B$71,MATCH(C1310,Produtos!$A$2:$A$71,0)),"")</f>
        <v/>
      </c>
      <c r="O1310" s="21">
        <f>IFERROR(INDEX(Produtos!$C$2:$C$71,MATCH(C1310,Produtos!$A$2:$A$71,0)),"")</f>
        <v/>
      </c>
      <c r="P1310" s="21">
        <f>IFERROR(INDEX(Produtos!$D$2:$D$71,MATCH(C1310,Produtos!$A$2:$A$71,0)),0)</f>
        <v/>
      </c>
      <c r="Q1310" s="21">
        <f>IFERROR(INDEX(Produtos!$E$2:$E$71,MATCH(C1310,Produtos!$A$2:$A$71,0)),0)</f>
        <v/>
      </c>
      <c r="R1310" s="23">
        <f>D1310*Q1310</f>
        <v/>
      </c>
      <c r="S1310" s="23">
        <f>R1310*E1310</f>
        <v/>
      </c>
      <c r="T1310" s="23">
        <f>(R1310-S1310)*M1310</f>
        <v/>
      </c>
      <c r="U1310" s="23">
        <f>R1310-S1310-T1310</f>
        <v/>
      </c>
      <c r="V1310" s="23">
        <f>D1310*P1310</f>
        <v/>
      </c>
      <c r="W1310" s="23">
        <f>U1310-V1310</f>
        <v/>
      </c>
      <c r="X1310" s="24">
        <f>IFERROR(W1310/U1310,0)</f>
        <v/>
      </c>
    </row>
    <row r="1311">
      <c r="A1311" s="25">
        <f>ItensPedido!A1311</f>
        <v/>
      </c>
      <c r="B1311" s="25">
        <f>ItensPedido!B1311</f>
        <v/>
      </c>
      <c r="C1311" s="25">
        <f>ItensPedido!C1311</f>
        <v/>
      </c>
      <c r="D1311" s="25">
        <f>ItensPedido!D1311</f>
        <v/>
      </c>
      <c r="E1311" s="26">
        <f>ItensPedido!E1311</f>
        <v/>
      </c>
      <c r="F1311" s="25">
        <f>IFERROR(INDEX(Pedidos!$B$2:$B$1801,MATCH(B1311,Pedidos!$A$2:$A$1801,0)),0)</f>
        <v/>
      </c>
      <c r="G1311" s="25">
        <f>IF(F1311=0,"",YEAR(F1311))</f>
        <v/>
      </c>
      <c r="H1311" s="25">
        <f>IF(F1311=0,"",MONTH(F1311))</f>
        <v/>
      </c>
      <c r="I1311" s="25">
        <f>IFERROR(INDEX(Pedidos!$E$2:$E$1801,MATCH(B1311,Pedidos!$A$2:$A$1801,0)),"")</f>
        <v/>
      </c>
      <c r="J1311" s="25">
        <f>IFERROR(INDEX(Pedidos!$C$2:$C$1801,MATCH(B1311,Pedidos!$A$2:$A$1801,0)),"")</f>
        <v/>
      </c>
      <c r="K1311" s="25">
        <f>IFERROR(INDEX(Pedidos!$D$2:$D$1801,MATCH(B1311,Pedidos!$A$2:$A$1801,0)),"")</f>
        <v/>
      </c>
      <c r="L1311" s="25">
        <f>IFERROR(INDEX(Pedidos!$F$2:$F$1801,MATCH(B1311,Pedidos!$A$2:$A$1801,0)),"")</f>
        <v/>
      </c>
      <c r="M1311" s="26">
        <f>IFERROR(INDEX(Pedidos!$G$2:$G$1801,MATCH(B1311,Pedidos!$A$2:$A$1801,0)),0)</f>
        <v/>
      </c>
      <c r="N1311" s="25">
        <f>IFERROR(INDEX(Produtos!$B$2:$B$71,MATCH(C1311,Produtos!$A$2:$A$71,0)),"")</f>
        <v/>
      </c>
      <c r="O1311" s="25">
        <f>IFERROR(INDEX(Produtos!$C$2:$C$71,MATCH(C1311,Produtos!$A$2:$A$71,0)),"")</f>
        <v/>
      </c>
      <c r="P1311" s="25">
        <f>IFERROR(INDEX(Produtos!$D$2:$D$71,MATCH(C1311,Produtos!$A$2:$A$71,0)),0)</f>
        <v/>
      </c>
      <c r="Q1311" s="25">
        <f>IFERROR(INDEX(Produtos!$E$2:$E$71,MATCH(C1311,Produtos!$A$2:$A$71,0)),0)</f>
        <v/>
      </c>
      <c r="R1311" s="27">
        <f>D1311*Q1311</f>
        <v/>
      </c>
      <c r="S1311" s="27">
        <f>R1311*E1311</f>
        <v/>
      </c>
      <c r="T1311" s="27">
        <f>(R1311-S1311)*M1311</f>
        <v/>
      </c>
      <c r="U1311" s="27">
        <f>R1311-S1311-T1311</f>
        <v/>
      </c>
      <c r="V1311" s="27">
        <f>D1311*P1311</f>
        <v/>
      </c>
      <c r="W1311" s="27">
        <f>U1311-V1311</f>
        <v/>
      </c>
      <c r="X1311" s="28">
        <f>IFERROR(W1311/U1311,0)</f>
        <v/>
      </c>
    </row>
    <row r="1312">
      <c r="A1312" s="21">
        <f>ItensPedido!A1312</f>
        <v/>
      </c>
      <c r="B1312" s="21">
        <f>ItensPedido!B1312</f>
        <v/>
      </c>
      <c r="C1312" s="21">
        <f>ItensPedido!C1312</f>
        <v/>
      </c>
      <c r="D1312" s="21">
        <f>ItensPedido!D1312</f>
        <v/>
      </c>
      <c r="E1312" s="22">
        <f>ItensPedido!E1312</f>
        <v/>
      </c>
      <c r="F1312" s="21">
        <f>IFERROR(INDEX(Pedidos!$B$2:$B$1801,MATCH(B1312,Pedidos!$A$2:$A$1801,0)),0)</f>
        <v/>
      </c>
      <c r="G1312" s="21">
        <f>IF(F1312=0,"",YEAR(F1312))</f>
        <v/>
      </c>
      <c r="H1312" s="21">
        <f>IF(F1312=0,"",MONTH(F1312))</f>
        <v/>
      </c>
      <c r="I1312" s="21">
        <f>IFERROR(INDEX(Pedidos!$E$2:$E$1801,MATCH(B1312,Pedidos!$A$2:$A$1801,0)),"")</f>
        <v/>
      </c>
      <c r="J1312" s="21">
        <f>IFERROR(INDEX(Pedidos!$C$2:$C$1801,MATCH(B1312,Pedidos!$A$2:$A$1801,0)),"")</f>
        <v/>
      </c>
      <c r="K1312" s="21">
        <f>IFERROR(INDEX(Pedidos!$D$2:$D$1801,MATCH(B1312,Pedidos!$A$2:$A$1801,0)),"")</f>
        <v/>
      </c>
      <c r="L1312" s="21">
        <f>IFERROR(INDEX(Pedidos!$F$2:$F$1801,MATCH(B1312,Pedidos!$A$2:$A$1801,0)),"")</f>
        <v/>
      </c>
      <c r="M1312" s="22">
        <f>IFERROR(INDEX(Pedidos!$G$2:$G$1801,MATCH(B1312,Pedidos!$A$2:$A$1801,0)),0)</f>
        <v/>
      </c>
      <c r="N1312" s="21">
        <f>IFERROR(INDEX(Produtos!$B$2:$B$71,MATCH(C1312,Produtos!$A$2:$A$71,0)),"")</f>
        <v/>
      </c>
      <c r="O1312" s="21">
        <f>IFERROR(INDEX(Produtos!$C$2:$C$71,MATCH(C1312,Produtos!$A$2:$A$71,0)),"")</f>
        <v/>
      </c>
      <c r="P1312" s="21">
        <f>IFERROR(INDEX(Produtos!$D$2:$D$71,MATCH(C1312,Produtos!$A$2:$A$71,0)),0)</f>
        <v/>
      </c>
      <c r="Q1312" s="21">
        <f>IFERROR(INDEX(Produtos!$E$2:$E$71,MATCH(C1312,Produtos!$A$2:$A$71,0)),0)</f>
        <v/>
      </c>
      <c r="R1312" s="23">
        <f>D1312*Q1312</f>
        <v/>
      </c>
      <c r="S1312" s="23">
        <f>R1312*E1312</f>
        <v/>
      </c>
      <c r="T1312" s="23">
        <f>(R1312-S1312)*M1312</f>
        <v/>
      </c>
      <c r="U1312" s="23">
        <f>R1312-S1312-T1312</f>
        <v/>
      </c>
      <c r="V1312" s="23">
        <f>D1312*P1312</f>
        <v/>
      </c>
      <c r="W1312" s="23">
        <f>U1312-V1312</f>
        <v/>
      </c>
      <c r="X1312" s="24">
        <f>IFERROR(W1312/U1312,0)</f>
        <v/>
      </c>
    </row>
    <row r="1313">
      <c r="A1313" s="25">
        <f>ItensPedido!A1313</f>
        <v/>
      </c>
      <c r="B1313" s="25">
        <f>ItensPedido!B1313</f>
        <v/>
      </c>
      <c r="C1313" s="25">
        <f>ItensPedido!C1313</f>
        <v/>
      </c>
      <c r="D1313" s="25">
        <f>ItensPedido!D1313</f>
        <v/>
      </c>
      <c r="E1313" s="26">
        <f>ItensPedido!E1313</f>
        <v/>
      </c>
      <c r="F1313" s="25">
        <f>IFERROR(INDEX(Pedidos!$B$2:$B$1801,MATCH(B1313,Pedidos!$A$2:$A$1801,0)),0)</f>
        <v/>
      </c>
      <c r="G1313" s="25">
        <f>IF(F1313=0,"",YEAR(F1313))</f>
        <v/>
      </c>
      <c r="H1313" s="25">
        <f>IF(F1313=0,"",MONTH(F1313))</f>
        <v/>
      </c>
      <c r="I1313" s="25">
        <f>IFERROR(INDEX(Pedidos!$E$2:$E$1801,MATCH(B1313,Pedidos!$A$2:$A$1801,0)),"")</f>
        <v/>
      </c>
      <c r="J1313" s="25">
        <f>IFERROR(INDEX(Pedidos!$C$2:$C$1801,MATCH(B1313,Pedidos!$A$2:$A$1801,0)),"")</f>
        <v/>
      </c>
      <c r="K1313" s="25">
        <f>IFERROR(INDEX(Pedidos!$D$2:$D$1801,MATCH(B1313,Pedidos!$A$2:$A$1801,0)),"")</f>
        <v/>
      </c>
      <c r="L1313" s="25">
        <f>IFERROR(INDEX(Pedidos!$F$2:$F$1801,MATCH(B1313,Pedidos!$A$2:$A$1801,0)),"")</f>
        <v/>
      </c>
      <c r="M1313" s="26">
        <f>IFERROR(INDEX(Pedidos!$G$2:$G$1801,MATCH(B1313,Pedidos!$A$2:$A$1801,0)),0)</f>
        <v/>
      </c>
      <c r="N1313" s="25">
        <f>IFERROR(INDEX(Produtos!$B$2:$B$71,MATCH(C1313,Produtos!$A$2:$A$71,0)),"")</f>
        <v/>
      </c>
      <c r="O1313" s="25">
        <f>IFERROR(INDEX(Produtos!$C$2:$C$71,MATCH(C1313,Produtos!$A$2:$A$71,0)),"")</f>
        <v/>
      </c>
      <c r="P1313" s="25">
        <f>IFERROR(INDEX(Produtos!$D$2:$D$71,MATCH(C1313,Produtos!$A$2:$A$71,0)),0)</f>
        <v/>
      </c>
      <c r="Q1313" s="25">
        <f>IFERROR(INDEX(Produtos!$E$2:$E$71,MATCH(C1313,Produtos!$A$2:$A$71,0)),0)</f>
        <v/>
      </c>
      <c r="R1313" s="27">
        <f>D1313*Q1313</f>
        <v/>
      </c>
      <c r="S1313" s="27">
        <f>R1313*E1313</f>
        <v/>
      </c>
      <c r="T1313" s="27">
        <f>(R1313-S1313)*M1313</f>
        <v/>
      </c>
      <c r="U1313" s="27">
        <f>R1313-S1313-T1313</f>
        <v/>
      </c>
      <c r="V1313" s="27">
        <f>D1313*P1313</f>
        <v/>
      </c>
      <c r="W1313" s="27">
        <f>U1313-V1313</f>
        <v/>
      </c>
      <c r="X1313" s="28">
        <f>IFERROR(W1313/U1313,0)</f>
        <v/>
      </c>
    </row>
    <row r="1314">
      <c r="A1314" s="21">
        <f>ItensPedido!A1314</f>
        <v/>
      </c>
      <c r="B1314" s="21">
        <f>ItensPedido!B1314</f>
        <v/>
      </c>
      <c r="C1314" s="21">
        <f>ItensPedido!C1314</f>
        <v/>
      </c>
      <c r="D1314" s="21">
        <f>ItensPedido!D1314</f>
        <v/>
      </c>
      <c r="E1314" s="22">
        <f>ItensPedido!E1314</f>
        <v/>
      </c>
      <c r="F1314" s="21">
        <f>IFERROR(INDEX(Pedidos!$B$2:$B$1801,MATCH(B1314,Pedidos!$A$2:$A$1801,0)),0)</f>
        <v/>
      </c>
      <c r="G1314" s="21">
        <f>IF(F1314=0,"",YEAR(F1314))</f>
        <v/>
      </c>
      <c r="H1314" s="21">
        <f>IF(F1314=0,"",MONTH(F1314))</f>
        <v/>
      </c>
      <c r="I1314" s="21">
        <f>IFERROR(INDEX(Pedidos!$E$2:$E$1801,MATCH(B1314,Pedidos!$A$2:$A$1801,0)),"")</f>
        <v/>
      </c>
      <c r="J1314" s="21">
        <f>IFERROR(INDEX(Pedidos!$C$2:$C$1801,MATCH(B1314,Pedidos!$A$2:$A$1801,0)),"")</f>
        <v/>
      </c>
      <c r="K1314" s="21">
        <f>IFERROR(INDEX(Pedidos!$D$2:$D$1801,MATCH(B1314,Pedidos!$A$2:$A$1801,0)),"")</f>
        <v/>
      </c>
      <c r="L1314" s="21">
        <f>IFERROR(INDEX(Pedidos!$F$2:$F$1801,MATCH(B1314,Pedidos!$A$2:$A$1801,0)),"")</f>
        <v/>
      </c>
      <c r="M1314" s="22">
        <f>IFERROR(INDEX(Pedidos!$G$2:$G$1801,MATCH(B1314,Pedidos!$A$2:$A$1801,0)),0)</f>
        <v/>
      </c>
      <c r="N1314" s="21">
        <f>IFERROR(INDEX(Produtos!$B$2:$B$71,MATCH(C1314,Produtos!$A$2:$A$71,0)),"")</f>
        <v/>
      </c>
      <c r="O1314" s="21">
        <f>IFERROR(INDEX(Produtos!$C$2:$C$71,MATCH(C1314,Produtos!$A$2:$A$71,0)),"")</f>
        <v/>
      </c>
      <c r="P1314" s="21">
        <f>IFERROR(INDEX(Produtos!$D$2:$D$71,MATCH(C1314,Produtos!$A$2:$A$71,0)),0)</f>
        <v/>
      </c>
      <c r="Q1314" s="21">
        <f>IFERROR(INDEX(Produtos!$E$2:$E$71,MATCH(C1314,Produtos!$A$2:$A$71,0)),0)</f>
        <v/>
      </c>
      <c r="R1314" s="23">
        <f>D1314*Q1314</f>
        <v/>
      </c>
      <c r="S1314" s="23">
        <f>R1314*E1314</f>
        <v/>
      </c>
      <c r="T1314" s="23">
        <f>(R1314-S1314)*M1314</f>
        <v/>
      </c>
      <c r="U1314" s="23">
        <f>R1314-S1314-T1314</f>
        <v/>
      </c>
      <c r="V1314" s="23">
        <f>D1314*P1314</f>
        <v/>
      </c>
      <c r="W1314" s="23">
        <f>U1314-V1314</f>
        <v/>
      </c>
      <c r="X1314" s="24">
        <f>IFERROR(W1314/U1314,0)</f>
        <v/>
      </c>
    </row>
    <row r="1315">
      <c r="A1315" s="25">
        <f>ItensPedido!A1315</f>
        <v/>
      </c>
      <c r="B1315" s="25">
        <f>ItensPedido!B1315</f>
        <v/>
      </c>
      <c r="C1315" s="25">
        <f>ItensPedido!C1315</f>
        <v/>
      </c>
      <c r="D1315" s="25">
        <f>ItensPedido!D1315</f>
        <v/>
      </c>
      <c r="E1315" s="26">
        <f>ItensPedido!E1315</f>
        <v/>
      </c>
      <c r="F1315" s="25">
        <f>IFERROR(INDEX(Pedidos!$B$2:$B$1801,MATCH(B1315,Pedidos!$A$2:$A$1801,0)),0)</f>
        <v/>
      </c>
      <c r="G1315" s="25">
        <f>IF(F1315=0,"",YEAR(F1315))</f>
        <v/>
      </c>
      <c r="H1315" s="25">
        <f>IF(F1315=0,"",MONTH(F1315))</f>
        <v/>
      </c>
      <c r="I1315" s="25">
        <f>IFERROR(INDEX(Pedidos!$E$2:$E$1801,MATCH(B1315,Pedidos!$A$2:$A$1801,0)),"")</f>
        <v/>
      </c>
      <c r="J1315" s="25">
        <f>IFERROR(INDEX(Pedidos!$C$2:$C$1801,MATCH(B1315,Pedidos!$A$2:$A$1801,0)),"")</f>
        <v/>
      </c>
      <c r="K1315" s="25">
        <f>IFERROR(INDEX(Pedidos!$D$2:$D$1801,MATCH(B1315,Pedidos!$A$2:$A$1801,0)),"")</f>
        <v/>
      </c>
      <c r="L1315" s="25">
        <f>IFERROR(INDEX(Pedidos!$F$2:$F$1801,MATCH(B1315,Pedidos!$A$2:$A$1801,0)),"")</f>
        <v/>
      </c>
      <c r="M1315" s="26">
        <f>IFERROR(INDEX(Pedidos!$G$2:$G$1801,MATCH(B1315,Pedidos!$A$2:$A$1801,0)),0)</f>
        <v/>
      </c>
      <c r="N1315" s="25">
        <f>IFERROR(INDEX(Produtos!$B$2:$B$71,MATCH(C1315,Produtos!$A$2:$A$71,0)),"")</f>
        <v/>
      </c>
      <c r="O1315" s="25">
        <f>IFERROR(INDEX(Produtos!$C$2:$C$71,MATCH(C1315,Produtos!$A$2:$A$71,0)),"")</f>
        <v/>
      </c>
      <c r="P1315" s="25">
        <f>IFERROR(INDEX(Produtos!$D$2:$D$71,MATCH(C1315,Produtos!$A$2:$A$71,0)),0)</f>
        <v/>
      </c>
      <c r="Q1315" s="25">
        <f>IFERROR(INDEX(Produtos!$E$2:$E$71,MATCH(C1315,Produtos!$A$2:$A$71,0)),0)</f>
        <v/>
      </c>
      <c r="R1315" s="27">
        <f>D1315*Q1315</f>
        <v/>
      </c>
      <c r="S1315" s="27">
        <f>R1315*E1315</f>
        <v/>
      </c>
      <c r="T1315" s="27">
        <f>(R1315-S1315)*M1315</f>
        <v/>
      </c>
      <c r="U1315" s="27">
        <f>R1315-S1315-T1315</f>
        <v/>
      </c>
      <c r="V1315" s="27">
        <f>D1315*P1315</f>
        <v/>
      </c>
      <c r="W1315" s="27">
        <f>U1315-V1315</f>
        <v/>
      </c>
      <c r="X1315" s="28">
        <f>IFERROR(W1315/U1315,0)</f>
        <v/>
      </c>
    </row>
    <row r="1316">
      <c r="A1316" s="21">
        <f>ItensPedido!A1316</f>
        <v/>
      </c>
      <c r="B1316" s="21">
        <f>ItensPedido!B1316</f>
        <v/>
      </c>
      <c r="C1316" s="21">
        <f>ItensPedido!C1316</f>
        <v/>
      </c>
      <c r="D1316" s="21">
        <f>ItensPedido!D1316</f>
        <v/>
      </c>
      <c r="E1316" s="22">
        <f>ItensPedido!E1316</f>
        <v/>
      </c>
      <c r="F1316" s="21">
        <f>IFERROR(INDEX(Pedidos!$B$2:$B$1801,MATCH(B1316,Pedidos!$A$2:$A$1801,0)),0)</f>
        <v/>
      </c>
      <c r="G1316" s="21">
        <f>IF(F1316=0,"",YEAR(F1316))</f>
        <v/>
      </c>
      <c r="H1316" s="21">
        <f>IF(F1316=0,"",MONTH(F1316))</f>
        <v/>
      </c>
      <c r="I1316" s="21">
        <f>IFERROR(INDEX(Pedidos!$E$2:$E$1801,MATCH(B1316,Pedidos!$A$2:$A$1801,0)),"")</f>
        <v/>
      </c>
      <c r="J1316" s="21">
        <f>IFERROR(INDEX(Pedidos!$C$2:$C$1801,MATCH(B1316,Pedidos!$A$2:$A$1801,0)),"")</f>
        <v/>
      </c>
      <c r="K1316" s="21">
        <f>IFERROR(INDEX(Pedidos!$D$2:$D$1801,MATCH(B1316,Pedidos!$A$2:$A$1801,0)),"")</f>
        <v/>
      </c>
      <c r="L1316" s="21">
        <f>IFERROR(INDEX(Pedidos!$F$2:$F$1801,MATCH(B1316,Pedidos!$A$2:$A$1801,0)),"")</f>
        <v/>
      </c>
      <c r="M1316" s="22">
        <f>IFERROR(INDEX(Pedidos!$G$2:$G$1801,MATCH(B1316,Pedidos!$A$2:$A$1801,0)),0)</f>
        <v/>
      </c>
      <c r="N1316" s="21">
        <f>IFERROR(INDEX(Produtos!$B$2:$B$71,MATCH(C1316,Produtos!$A$2:$A$71,0)),"")</f>
        <v/>
      </c>
      <c r="O1316" s="21">
        <f>IFERROR(INDEX(Produtos!$C$2:$C$71,MATCH(C1316,Produtos!$A$2:$A$71,0)),"")</f>
        <v/>
      </c>
      <c r="P1316" s="21">
        <f>IFERROR(INDEX(Produtos!$D$2:$D$71,MATCH(C1316,Produtos!$A$2:$A$71,0)),0)</f>
        <v/>
      </c>
      <c r="Q1316" s="21">
        <f>IFERROR(INDEX(Produtos!$E$2:$E$71,MATCH(C1316,Produtos!$A$2:$A$71,0)),0)</f>
        <v/>
      </c>
      <c r="R1316" s="23">
        <f>D1316*Q1316</f>
        <v/>
      </c>
      <c r="S1316" s="23">
        <f>R1316*E1316</f>
        <v/>
      </c>
      <c r="T1316" s="23">
        <f>(R1316-S1316)*M1316</f>
        <v/>
      </c>
      <c r="U1316" s="23">
        <f>R1316-S1316-T1316</f>
        <v/>
      </c>
      <c r="V1316" s="23">
        <f>D1316*P1316</f>
        <v/>
      </c>
      <c r="W1316" s="23">
        <f>U1316-V1316</f>
        <v/>
      </c>
      <c r="X1316" s="24">
        <f>IFERROR(W1316/U1316,0)</f>
        <v/>
      </c>
    </row>
    <row r="1317">
      <c r="A1317" s="25">
        <f>ItensPedido!A1317</f>
        <v/>
      </c>
      <c r="B1317" s="25">
        <f>ItensPedido!B1317</f>
        <v/>
      </c>
      <c r="C1317" s="25">
        <f>ItensPedido!C1317</f>
        <v/>
      </c>
      <c r="D1317" s="25">
        <f>ItensPedido!D1317</f>
        <v/>
      </c>
      <c r="E1317" s="26">
        <f>ItensPedido!E1317</f>
        <v/>
      </c>
      <c r="F1317" s="25">
        <f>IFERROR(INDEX(Pedidos!$B$2:$B$1801,MATCH(B1317,Pedidos!$A$2:$A$1801,0)),0)</f>
        <v/>
      </c>
      <c r="G1317" s="25">
        <f>IF(F1317=0,"",YEAR(F1317))</f>
        <v/>
      </c>
      <c r="H1317" s="25">
        <f>IF(F1317=0,"",MONTH(F1317))</f>
        <v/>
      </c>
      <c r="I1317" s="25">
        <f>IFERROR(INDEX(Pedidos!$E$2:$E$1801,MATCH(B1317,Pedidos!$A$2:$A$1801,0)),"")</f>
        <v/>
      </c>
      <c r="J1317" s="25">
        <f>IFERROR(INDEX(Pedidos!$C$2:$C$1801,MATCH(B1317,Pedidos!$A$2:$A$1801,0)),"")</f>
        <v/>
      </c>
      <c r="K1317" s="25">
        <f>IFERROR(INDEX(Pedidos!$D$2:$D$1801,MATCH(B1317,Pedidos!$A$2:$A$1801,0)),"")</f>
        <v/>
      </c>
      <c r="L1317" s="25">
        <f>IFERROR(INDEX(Pedidos!$F$2:$F$1801,MATCH(B1317,Pedidos!$A$2:$A$1801,0)),"")</f>
        <v/>
      </c>
      <c r="M1317" s="26">
        <f>IFERROR(INDEX(Pedidos!$G$2:$G$1801,MATCH(B1317,Pedidos!$A$2:$A$1801,0)),0)</f>
        <v/>
      </c>
      <c r="N1317" s="25">
        <f>IFERROR(INDEX(Produtos!$B$2:$B$71,MATCH(C1317,Produtos!$A$2:$A$71,0)),"")</f>
        <v/>
      </c>
      <c r="O1317" s="25">
        <f>IFERROR(INDEX(Produtos!$C$2:$C$71,MATCH(C1317,Produtos!$A$2:$A$71,0)),"")</f>
        <v/>
      </c>
      <c r="P1317" s="25">
        <f>IFERROR(INDEX(Produtos!$D$2:$D$71,MATCH(C1317,Produtos!$A$2:$A$71,0)),0)</f>
        <v/>
      </c>
      <c r="Q1317" s="25">
        <f>IFERROR(INDEX(Produtos!$E$2:$E$71,MATCH(C1317,Produtos!$A$2:$A$71,0)),0)</f>
        <v/>
      </c>
      <c r="R1317" s="27">
        <f>D1317*Q1317</f>
        <v/>
      </c>
      <c r="S1317" s="27">
        <f>R1317*E1317</f>
        <v/>
      </c>
      <c r="T1317" s="27">
        <f>(R1317-S1317)*M1317</f>
        <v/>
      </c>
      <c r="U1317" s="27">
        <f>R1317-S1317-T1317</f>
        <v/>
      </c>
      <c r="V1317" s="27">
        <f>D1317*P1317</f>
        <v/>
      </c>
      <c r="W1317" s="27">
        <f>U1317-V1317</f>
        <v/>
      </c>
      <c r="X1317" s="28">
        <f>IFERROR(W1317/U1317,0)</f>
        <v/>
      </c>
    </row>
    <row r="1318">
      <c r="A1318" s="21">
        <f>ItensPedido!A1318</f>
        <v/>
      </c>
      <c r="B1318" s="21">
        <f>ItensPedido!B1318</f>
        <v/>
      </c>
      <c r="C1318" s="21">
        <f>ItensPedido!C1318</f>
        <v/>
      </c>
      <c r="D1318" s="21">
        <f>ItensPedido!D1318</f>
        <v/>
      </c>
      <c r="E1318" s="22">
        <f>ItensPedido!E1318</f>
        <v/>
      </c>
      <c r="F1318" s="21">
        <f>IFERROR(INDEX(Pedidos!$B$2:$B$1801,MATCH(B1318,Pedidos!$A$2:$A$1801,0)),0)</f>
        <v/>
      </c>
      <c r="G1318" s="21">
        <f>IF(F1318=0,"",YEAR(F1318))</f>
        <v/>
      </c>
      <c r="H1318" s="21">
        <f>IF(F1318=0,"",MONTH(F1318))</f>
        <v/>
      </c>
      <c r="I1318" s="21">
        <f>IFERROR(INDEX(Pedidos!$E$2:$E$1801,MATCH(B1318,Pedidos!$A$2:$A$1801,0)),"")</f>
        <v/>
      </c>
      <c r="J1318" s="21">
        <f>IFERROR(INDEX(Pedidos!$C$2:$C$1801,MATCH(B1318,Pedidos!$A$2:$A$1801,0)),"")</f>
        <v/>
      </c>
      <c r="K1318" s="21">
        <f>IFERROR(INDEX(Pedidos!$D$2:$D$1801,MATCH(B1318,Pedidos!$A$2:$A$1801,0)),"")</f>
        <v/>
      </c>
      <c r="L1318" s="21">
        <f>IFERROR(INDEX(Pedidos!$F$2:$F$1801,MATCH(B1318,Pedidos!$A$2:$A$1801,0)),"")</f>
        <v/>
      </c>
      <c r="M1318" s="22">
        <f>IFERROR(INDEX(Pedidos!$G$2:$G$1801,MATCH(B1318,Pedidos!$A$2:$A$1801,0)),0)</f>
        <v/>
      </c>
      <c r="N1318" s="21">
        <f>IFERROR(INDEX(Produtos!$B$2:$B$71,MATCH(C1318,Produtos!$A$2:$A$71,0)),"")</f>
        <v/>
      </c>
      <c r="O1318" s="21">
        <f>IFERROR(INDEX(Produtos!$C$2:$C$71,MATCH(C1318,Produtos!$A$2:$A$71,0)),"")</f>
        <v/>
      </c>
      <c r="P1318" s="21">
        <f>IFERROR(INDEX(Produtos!$D$2:$D$71,MATCH(C1318,Produtos!$A$2:$A$71,0)),0)</f>
        <v/>
      </c>
      <c r="Q1318" s="21">
        <f>IFERROR(INDEX(Produtos!$E$2:$E$71,MATCH(C1318,Produtos!$A$2:$A$71,0)),0)</f>
        <v/>
      </c>
      <c r="R1318" s="23">
        <f>D1318*Q1318</f>
        <v/>
      </c>
      <c r="S1318" s="23">
        <f>R1318*E1318</f>
        <v/>
      </c>
      <c r="T1318" s="23">
        <f>(R1318-S1318)*M1318</f>
        <v/>
      </c>
      <c r="U1318" s="23">
        <f>R1318-S1318-T1318</f>
        <v/>
      </c>
      <c r="V1318" s="23">
        <f>D1318*P1318</f>
        <v/>
      </c>
      <c r="W1318" s="23">
        <f>U1318-V1318</f>
        <v/>
      </c>
      <c r="X1318" s="24">
        <f>IFERROR(W1318/U1318,0)</f>
        <v/>
      </c>
    </row>
    <row r="1319">
      <c r="A1319" s="25">
        <f>ItensPedido!A1319</f>
        <v/>
      </c>
      <c r="B1319" s="25">
        <f>ItensPedido!B1319</f>
        <v/>
      </c>
      <c r="C1319" s="25">
        <f>ItensPedido!C1319</f>
        <v/>
      </c>
      <c r="D1319" s="25">
        <f>ItensPedido!D1319</f>
        <v/>
      </c>
      <c r="E1319" s="26">
        <f>ItensPedido!E1319</f>
        <v/>
      </c>
      <c r="F1319" s="25">
        <f>IFERROR(INDEX(Pedidos!$B$2:$B$1801,MATCH(B1319,Pedidos!$A$2:$A$1801,0)),0)</f>
        <v/>
      </c>
      <c r="G1319" s="25">
        <f>IF(F1319=0,"",YEAR(F1319))</f>
        <v/>
      </c>
      <c r="H1319" s="25">
        <f>IF(F1319=0,"",MONTH(F1319))</f>
        <v/>
      </c>
      <c r="I1319" s="25">
        <f>IFERROR(INDEX(Pedidos!$E$2:$E$1801,MATCH(B1319,Pedidos!$A$2:$A$1801,0)),"")</f>
        <v/>
      </c>
      <c r="J1319" s="25">
        <f>IFERROR(INDEX(Pedidos!$C$2:$C$1801,MATCH(B1319,Pedidos!$A$2:$A$1801,0)),"")</f>
        <v/>
      </c>
      <c r="K1319" s="25">
        <f>IFERROR(INDEX(Pedidos!$D$2:$D$1801,MATCH(B1319,Pedidos!$A$2:$A$1801,0)),"")</f>
        <v/>
      </c>
      <c r="L1319" s="25">
        <f>IFERROR(INDEX(Pedidos!$F$2:$F$1801,MATCH(B1319,Pedidos!$A$2:$A$1801,0)),"")</f>
        <v/>
      </c>
      <c r="M1319" s="26">
        <f>IFERROR(INDEX(Pedidos!$G$2:$G$1801,MATCH(B1319,Pedidos!$A$2:$A$1801,0)),0)</f>
        <v/>
      </c>
      <c r="N1319" s="25">
        <f>IFERROR(INDEX(Produtos!$B$2:$B$71,MATCH(C1319,Produtos!$A$2:$A$71,0)),"")</f>
        <v/>
      </c>
      <c r="O1319" s="25">
        <f>IFERROR(INDEX(Produtos!$C$2:$C$71,MATCH(C1319,Produtos!$A$2:$A$71,0)),"")</f>
        <v/>
      </c>
      <c r="P1319" s="25">
        <f>IFERROR(INDEX(Produtos!$D$2:$D$71,MATCH(C1319,Produtos!$A$2:$A$71,0)),0)</f>
        <v/>
      </c>
      <c r="Q1319" s="25">
        <f>IFERROR(INDEX(Produtos!$E$2:$E$71,MATCH(C1319,Produtos!$A$2:$A$71,0)),0)</f>
        <v/>
      </c>
      <c r="R1319" s="27">
        <f>D1319*Q1319</f>
        <v/>
      </c>
      <c r="S1319" s="27">
        <f>R1319*E1319</f>
        <v/>
      </c>
      <c r="T1319" s="27">
        <f>(R1319-S1319)*M1319</f>
        <v/>
      </c>
      <c r="U1319" s="27">
        <f>R1319-S1319-T1319</f>
        <v/>
      </c>
      <c r="V1319" s="27">
        <f>D1319*P1319</f>
        <v/>
      </c>
      <c r="W1319" s="27">
        <f>U1319-V1319</f>
        <v/>
      </c>
      <c r="X1319" s="28">
        <f>IFERROR(W1319/U1319,0)</f>
        <v/>
      </c>
    </row>
    <row r="1320">
      <c r="A1320" s="21">
        <f>ItensPedido!A1320</f>
        <v/>
      </c>
      <c r="B1320" s="21">
        <f>ItensPedido!B1320</f>
        <v/>
      </c>
      <c r="C1320" s="21">
        <f>ItensPedido!C1320</f>
        <v/>
      </c>
      <c r="D1320" s="21">
        <f>ItensPedido!D1320</f>
        <v/>
      </c>
      <c r="E1320" s="22">
        <f>ItensPedido!E1320</f>
        <v/>
      </c>
      <c r="F1320" s="21">
        <f>IFERROR(INDEX(Pedidos!$B$2:$B$1801,MATCH(B1320,Pedidos!$A$2:$A$1801,0)),0)</f>
        <v/>
      </c>
      <c r="G1320" s="21">
        <f>IF(F1320=0,"",YEAR(F1320))</f>
        <v/>
      </c>
      <c r="H1320" s="21">
        <f>IF(F1320=0,"",MONTH(F1320))</f>
        <v/>
      </c>
      <c r="I1320" s="21">
        <f>IFERROR(INDEX(Pedidos!$E$2:$E$1801,MATCH(B1320,Pedidos!$A$2:$A$1801,0)),"")</f>
        <v/>
      </c>
      <c r="J1320" s="21">
        <f>IFERROR(INDEX(Pedidos!$C$2:$C$1801,MATCH(B1320,Pedidos!$A$2:$A$1801,0)),"")</f>
        <v/>
      </c>
      <c r="K1320" s="21">
        <f>IFERROR(INDEX(Pedidos!$D$2:$D$1801,MATCH(B1320,Pedidos!$A$2:$A$1801,0)),"")</f>
        <v/>
      </c>
      <c r="L1320" s="21">
        <f>IFERROR(INDEX(Pedidos!$F$2:$F$1801,MATCH(B1320,Pedidos!$A$2:$A$1801,0)),"")</f>
        <v/>
      </c>
      <c r="M1320" s="22">
        <f>IFERROR(INDEX(Pedidos!$G$2:$G$1801,MATCH(B1320,Pedidos!$A$2:$A$1801,0)),0)</f>
        <v/>
      </c>
      <c r="N1320" s="21">
        <f>IFERROR(INDEX(Produtos!$B$2:$B$71,MATCH(C1320,Produtos!$A$2:$A$71,0)),"")</f>
        <v/>
      </c>
      <c r="O1320" s="21">
        <f>IFERROR(INDEX(Produtos!$C$2:$C$71,MATCH(C1320,Produtos!$A$2:$A$71,0)),"")</f>
        <v/>
      </c>
      <c r="P1320" s="21">
        <f>IFERROR(INDEX(Produtos!$D$2:$D$71,MATCH(C1320,Produtos!$A$2:$A$71,0)),0)</f>
        <v/>
      </c>
      <c r="Q1320" s="21">
        <f>IFERROR(INDEX(Produtos!$E$2:$E$71,MATCH(C1320,Produtos!$A$2:$A$71,0)),0)</f>
        <v/>
      </c>
      <c r="R1320" s="23">
        <f>D1320*Q1320</f>
        <v/>
      </c>
      <c r="S1320" s="23">
        <f>R1320*E1320</f>
        <v/>
      </c>
      <c r="T1320" s="23">
        <f>(R1320-S1320)*M1320</f>
        <v/>
      </c>
      <c r="U1320" s="23">
        <f>R1320-S1320-T1320</f>
        <v/>
      </c>
      <c r="V1320" s="23">
        <f>D1320*P1320</f>
        <v/>
      </c>
      <c r="W1320" s="23">
        <f>U1320-V1320</f>
        <v/>
      </c>
      <c r="X1320" s="24">
        <f>IFERROR(W1320/U1320,0)</f>
        <v/>
      </c>
    </row>
    <row r="1321">
      <c r="A1321" s="25">
        <f>ItensPedido!A1321</f>
        <v/>
      </c>
      <c r="B1321" s="25">
        <f>ItensPedido!B1321</f>
        <v/>
      </c>
      <c r="C1321" s="25">
        <f>ItensPedido!C1321</f>
        <v/>
      </c>
      <c r="D1321" s="25">
        <f>ItensPedido!D1321</f>
        <v/>
      </c>
      <c r="E1321" s="26">
        <f>ItensPedido!E1321</f>
        <v/>
      </c>
      <c r="F1321" s="25">
        <f>IFERROR(INDEX(Pedidos!$B$2:$B$1801,MATCH(B1321,Pedidos!$A$2:$A$1801,0)),0)</f>
        <v/>
      </c>
      <c r="G1321" s="25">
        <f>IF(F1321=0,"",YEAR(F1321))</f>
        <v/>
      </c>
      <c r="H1321" s="25">
        <f>IF(F1321=0,"",MONTH(F1321))</f>
        <v/>
      </c>
      <c r="I1321" s="25">
        <f>IFERROR(INDEX(Pedidos!$E$2:$E$1801,MATCH(B1321,Pedidos!$A$2:$A$1801,0)),"")</f>
        <v/>
      </c>
      <c r="J1321" s="25">
        <f>IFERROR(INDEX(Pedidos!$C$2:$C$1801,MATCH(B1321,Pedidos!$A$2:$A$1801,0)),"")</f>
        <v/>
      </c>
      <c r="K1321" s="25">
        <f>IFERROR(INDEX(Pedidos!$D$2:$D$1801,MATCH(B1321,Pedidos!$A$2:$A$1801,0)),"")</f>
        <v/>
      </c>
      <c r="L1321" s="25">
        <f>IFERROR(INDEX(Pedidos!$F$2:$F$1801,MATCH(B1321,Pedidos!$A$2:$A$1801,0)),"")</f>
        <v/>
      </c>
      <c r="M1321" s="26">
        <f>IFERROR(INDEX(Pedidos!$G$2:$G$1801,MATCH(B1321,Pedidos!$A$2:$A$1801,0)),0)</f>
        <v/>
      </c>
      <c r="N1321" s="25">
        <f>IFERROR(INDEX(Produtos!$B$2:$B$71,MATCH(C1321,Produtos!$A$2:$A$71,0)),"")</f>
        <v/>
      </c>
      <c r="O1321" s="25">
        <f>IFERROR(INDEX(Produtos!$C$2:$C$71,MATCH(C1321,Produtos!$A$2:$A$71,0)),"")</f>
        <v/>
      </c>
      <c r="P1321" s="25">
        <f>IFERROR(INDEX(Produtos!$D$2:$D$71,MATCH(C1321,Produtos!$A$2:$A$71,0)),0)</f>
        <v/>
      </c>
      <c r="Q1321" s="25">
        <f>IFERROR(INDEX(Produtos!$E$2:$E$71,MATCH(C1321,Produtos!$A$2:$A$71,0)),0)</f>
        <v/>
      </c>
      <c r="R1321" s="27">
        <f>D1321*Q1321</f>
        <v/>
      </c>
      <c r="S1321" s="27">
        <f>R1321*E1321</f>
        <v/>
      </c>
      <c r="T1321" s="27">
        <f>(R1321-S1321)*M1321</f>
        <v/>
      </c>
      <c r="U1321" s="27">
        <f>R1321-S1321-T1321</f>
        <v/>
      </c>
      <c r="V1321" s="27">
        <f>D1321*P1321</f>
        <v/>
      </c>
      <c r="W1321" s="27">
        <f>U1321-V1321</f>
        <v/>
      </c>
      <c r="X1321" s="28">
        <f>IFERROR(W1321/U1321,0)</f>
        <v/>
      </c>
    </row>
    <row r="1322">
      <c r="A1322" s="21">
        <f>ItensPedido!A1322</f>
        <v/>
      </c>
      <c r="B1322" s="21">
        <f>ItensPedido!B1322</f>
        <v/>
      </c>
      <c r="C1322" s="21">
        <f>ItensPedido!C1322</f>
        <v/>
      </c>
      <c r="D1322" s="21">
        <f>ItensPedido!D1322</f>
        <v/>
      </c>
      <c r="E1322" s="22">
        <f>ItensPedido!E1322</f>
        <v/>
      </c>
      <c r="F1322" s="21">
        <f>IFERROR(INDEX(Pedidos!$B$2:$B$1801,MATCH(B1322,Pedidos!$A$2:$A$1801,0)),0)</f>
        <v/>
      </c>
      <c r="G1322" s="21">
        <f>IF(F1322=0,"",YEAR(F1322))</f>
        <v/>
      </c>
      <c r="H1322" s="21">
        <f>IF(F1322=0,"",MONTH(F1322))</f>
        <v/>
      </c>
      <c r="I1322" s="21">
        <f>IFERROR(INDEX(Pedidos!$E$2:$E$1801,MATCH(B1322,Pedidos!$A$2:$A$1801,0)),"")</f>
        <v/>
      </c>
      <c r="J1322" s="21">
        <f>IFERROR(INDEX(Pedidos!$C$2:$C$1801,MATCH(B1322,Pedidos!$A$2:$A$1801,0)),"")</f>
        <v/>
      </c>
      <c r="K1322" s="21">
        <f>IFERROR(INDEX(Pedidos!$D$2:$D$1801,MATCH(B1322,Pedidos!$A$2:$A$1801,0)),"")</f>
        <v/>
      </c>
      <c r="L1322" s="21">
        <f>IFERROR(INDEX(Pedidos!$F$2:$F$1801,MATCH(B1322,Pedidos!$A$2:$A$1801,0)),"")</f>
        <v/>
      </c>
      <c r="M1322" s="22">
        <f>IFERROR(INDEX(Pedidos!$G$2:$G$1801,MATCH(B1322,Pedidos!$A$2:$A$1801,0)),0)</f>
        <v/>
      </c>
      <c r="N1322" s="21">
        <f>IFERROR(INDEX(Produtos!$B$2:$B$71,MATCH(C1322,Produtos!$A$2:$A$71,0)),"")</f>
        <v/>
      </c>
      <c r="O1322" s="21">
        <f>IFERROR(INDEX(Produtos!$C$2:$C$71,MATCH(C1322,Produtos!$A$2:$A$71,0)),"")</f>
        <v/>
      </c>
      <c r="P1322" s="21">
        <f>IFERROR(INDEX(Produtos!$D$2:$D$71,MATCH(C1322,Produtos!$A$2:$A$71,0)),0)</f>
        <v/>
      </c>
      <c r="Q1322" s="21">
        <f>IFERROR(INDEX(Produtos!$E$2:$E$71,MATCH(C1322,Produtos!$A$2:$A$71,0)),0)</f>
        <v/>
      </c>
      <c r="R1322" s="23">
        <f>D1322*Q1322</f>
        <v/>
      </c>
      <c r="S1322" s="23">
        <f>R1322*E1322</f>
        <v/>
      </c>
      <c r="T1322" s="23">
        <f>(R1322-S1322)*M1322</f>
        <v/>
      </c>
      <c r="U1322" s="23">
        <f>R1322-S1322-T1322</f>
        <v/>
      </c>
      <c r="V1322" s="23">
        <f>D1322*P1322</f>
        <v/>
      </c>
      <c r="W1322" s="23">
        <f>U1322-V1322</f>
        <v/>
      </c>
      <c r="X1322" s="24">
        <f>IFERROR(W1322/U1322,0)</f>
        <v/>
      </c>
    </row>
    <row r="1323">
      <c r="A1323" s="25">
        <f>ItensPedido!A1323</f>
        <v/>
      </c>
      <c r="B1323" s="25">
        <f>ItensPedido!B1323</f>
        <v/>
      </c>
      <c r="C1323" s="25">
        <f>ItensPedido!C1323</f>
        <v/>
      </c>
      <c r="D1323" s="25">
        <f>ItensPedido!D1323</f>
        <v/>
      </c>
      <c r="E1323" s="26">
        <f>ItensPedido!E1323</f>
        <v/>
      </c>
      <c r="F1323" s="25">
        <f>IFERROR(INDEX(Pedidos!$B$2:$B$1801,MATCH(B1323,Pedidos!$A$2:$A$1801,0)),0)</f>
        <v/>
      </c>
      <c r="G1323" s="25">
        <f>IF(F1323=0,"",YEAR(F1323))</f>
        <v/>
      </c>
      <c r="H1323" s="25">
        <f>IF(F1323=0,"",MONTH(F1323))</f>
        <v/>
      </c>
      <c r="I1323" s="25">
        <f>IFERROR(INDEX(Pedidos!$E$2:$E$1801,MATCH(B1323,Pedidos!$A$2:$A$1801,0)),"")</f>
        <v/>
      </c>
      <c r="J1323" s="25">
        <f>IFERROR(INDEX(Pedidos!$C$2:$C$1801,MATCH(B1323,Pedidos!$A$2:$A$1801,0)),"")</f>
        <v/>
      </c>
      <c r="K1323" s="25">
        <f>IFERROR(INDEX(Pedidos!$D$2:$D$1801,MATCH(B1323,Pedidos!$A$2:$A$1801,0)),"")</f>
        <v/>
      </c>
      <c r="L1323" s="25">
        <f>IFERROR(INDEX(Pedidos!$F$2:$F$1801,MATCH(B1323,Pedidos!$A$2:$A$1801,0)),"")</f>
        <v/>
      </c>
      <c r="M1323" s="26">
        <f>IFERROR(INDEX(Pedidos!$G$2:$G$1801,MATCH(B1323,Pedidos!$A$2:$A$1801,0)),0)</f>
        <v/>
      </c>
      <c r="N1323" s="25">
        <f>IFERROR(INDEX(Produtos!$B$2:$B$71,MATCH(C1323,Produtos!$A$2:$A$71,0)),"")</f>
        <v/>
      </c>
      <c r="O1323" s="25">
        <f>IFERROR(INDEX(Produtos!$C$2:$C$71,MATCH(C1323,Produtos!$A$2:$A$71,0)),"")</f>
        <v/>
      </c>
      <c r="P1323" s="25">
        <f>IFERROR(INDEX(Produtos!$D$2:$D$71,MATCH(C1323,Produtos!$A$2:$A$71,0)),0)</f>
        <v/>
      </c>
      <c r="Q1323" s="25">
        <f>IFERROR(INDEX(Produtos!$E$2:$E$71,MATCH(C1323,Produtos!$A$2:$A$71,0)),0)</f>
        <v/>
      </c>
      <c r="R1323" s="27">
        <f>D1323*Q1323</f>
        <v/>
      </c>
      <c r="S1323" s="27">
        <f>R1323*E1323</f>
        <v/>
      </c>
      <c r="T1323" s="27">
        <f>(R1323-S1323)*M1323</f>
        <v/>
      </c>
      <c r="U1323" s="27">
        <f>R1323-S1323-T1323</f>
        <v/>
      </c>
      <c r="V1323" s="27">
        <f>D1323*P1323</f>
        <v/>
      </c>
      <c r="W1323" s="27">
        <f>U1323-V1323</f>
        <v/>
      </c>
      <c r="X1323" s="28">
        <f>IFERROR(W1323/U1323,0)</f>
        <v/>
      </c>
    </row>
    <row r="1324">
      <c r="A1324" s="21">
        <f>ItensPedido!A1324</f>
        <v/>
      </c>
      <c r="B1324" s="21">
        <f>ItensPedido!B1324</f>
        <v/>
      </c>
      <c r="C1324" s="21">
        <f>ItensPedido!C1324</f>
        <v/>
      </c>
      <c r="D1324" s="21">
        <f>ItensPedido!D1324</f>
        <v/>
      </c>
      <c r="E1324" s="22">
        <f>ItensPedido!E1324</f>
        <v/>
      </c>
      <c r="F1324" s="21">
        <f>IFERROR(INDEX(Pedidos!$B$2:$B$1801,MATCH(B1324,Pedidos!$A$2:$A$1801,0)),0)</f>
        <v/>
      </c>
      <c r="G1324" s="21">
        <f>IF(F1324=0,"",YEAR(F1324))</f>
        <v/>
      </c>
      <c r="H1324" s="21">
        <f>IF(F1324=0,"",MONTH(F1324))</f>
        <v/>
      </c>
      <c r="I1324" s="21">
        <f>IFERROR(INDEX(Pedidos!$E$2:$E$1801,MATCH(B1324,Pedidos!$A$2:$A$1801,0)),"")</f>
        <v/>
      </c>
      <c r="J1324" s="21">
        <f>IFERROR(INDEX(Pedidos!$C$2:$C$1801,MATCH(B1324,Pedidos!$A$2:$A$1801,0)),"")</f>
        <v/>
      </c>
      <c r="K1324" s="21">
        <f>IFERROR(INDEX(Pedidos!$D$2:$D$1801,MATCH(B1324,Pedidos!$A$2:$A$1801,0)),"")</f>
        <v/>
      </c>
      <c r="L1324" s="21">
        <f>IFERROR(INDEX(Pedidos!$F$2:$F$1801,MATCH(B1324,Pedidos!$A$2:$A$1801,0)),"")</f>
        <v/>
      </c>
      <c r="M1324" s="22">
        <f>IFERROR(INDEX(Pedidos!$G$2:$G$1801,MATCH(B1324,Pedidos!$A$2:$A$1801,0)),0)</f>
        <v/>
      </c>
      <c r="N1324" s="21">
        <f>IFERROR(INDEX(Produtos!$B$2:$B$71,MATCH(C1324,Produtos!$A$2:$A$71,0)),"")</f>
        <v/>
      </c>
      <c r="O1324" s="21">
        <f>IFERROR(INDEX(Produtos!$C$2:$C$71,MATCH(C1324,Produtos!$A$2:$A$71,0)),"")</f>
        <v/>
      </c>
      <c r="P1324" s="21">
        <f>IFERROR(INDEX(Produtos!$D$2:$D$71,MATCH(C1324,Produtos!$A$2:$A$71,0)),0)</f>
        <v/>
      </c>
      <c r="Q1324" s="21">
        <f>IFERROR(INDEX(Produtos!$E$2:$E$71,MATCH(C1324,Produtos!$A$2:$A$71,0)),0)</f>
        <v/>
      </c>
      <c r="R1324" s="23">
        <f>D1324*Q1324</f>
        <v/>
      </c>
      <c r="S1324" s="23">
        <f>R1324*E1324</f>
        <v/>
      </c>
      <c r="T1324" s="23">
        <f>(R1324-S1324)*M1324</f>
        <v/>
      </c>
      <c r="U1324" s="23">
        <f>R1324-S1324-T1324</f>
        <v/>
      </c>
      <c r="V1324" s="23">
        <f>D1324*P1324</f>
        <v/>
      </c>
      <c r="W1324" s="23">
        <f>U1324-V1324</f>
        <v/>
      </c>
      <c r="X1324" s="24">
        <f>IFERROR(W1324/U1324,0)</f>
        <v/>
      </c>
    </row>
    <row r="1325">
      <c r="A1325" s="25">
        <f>ItensPedido!A1325</f>
        <v/>
      </c>
      <c r="B1325" s="25">
        <f>ItensPedido!B1325</f>
        <v/>
      </c>
      <c r="C1325" s="25">
        <f>ItensPedido!C1325</f>
        <v/>
      </c>
      <c r="D1325" s="25">
        <f>ItensPedido!D1325</f>
        <v/>
      </c>
      <c r="E1325" s="26">
        <f>ItensPedido!E1325</f>
        <v/>
      </c>
      <c r="F1325" s="25">
        <f>IFERROR(INDEX(Pedidos!$B$2:$B$1801,MATCH(B1325,Pedidos!$A$2:$A$1801,0)),0)</f>
        <v/>
      </c>
      <c r="G1325" s="25">
        <f>IF(F1325=0,"",YEAR(F1325))</f>
        <v/>
      </c>
      <c r="H1325" s="25">
        <f>IF(F1325=0,"",MONTH(F1325))</f>
        <v/>
      </c>
      <c r="I1325" s="25">
        <f>IFERROR(INDEX(Pedidos!$E$2:$E$1801,MATCH(B1325,Pedidos!$A$2:$A$1801,0)),"")</f>
        <v/>
      </c>
      <c r="J1325" s="25">
        <f>IFERROR(INDEX(Pedidos!$C$2:$C$1801,MATCH(B1325,Pedidos!$A$2:$A$1801,0)),"")</f>
        <v/>
      </c>
      <c r="K1325" s="25">
        <f>IFERROR(INDEX(Pedidos!$D$2:$D$1801,MATCH(B1325,Pedidos!$A$2:$A$1801,0)),"")</f>
        <v/>
      </c>
      <c r="L1325" s="25">
        <f>IFERROR(INDEX(Pedidos!$F$2:$F$1801,MATCH(B1325,Pedidos!$A$2:$A$1801,0)),"")</f>
        <v/>
      </c>
      <c r="M1325" s="26">
        <f>IFERROR(INDEX(Pedidos!$G$2:$G$1801,MATCH(B1325,Pedidos!$A$2:$A$1801,0)),0)</f>
        <v/>
      </c>
      <c r="N1325" s="25">
        <f>IFERROR(INDEX(Produtos!$B$2:$B$71,MATCH(C1325,Produtos!$A$2:$A$71,0)),"")</f>
        <v/>
      </c>
      <c r="O1325" s="25">
        <f>IFERROR(INDEX(Produtos!$C$2:$C$71,MATCH(C1325,Produtos!$A$2:$A$71,0)),"")</f>
        <v/>
      </c>
      <c r="P1325" s="25">
        <f>IFERROR(INDEX(Produtos!$D$2:$D$71,MATCH(C1325,Produtos!$A$2:$A$71,0)),0)</f>
        <v/>
      </c>
      <c r="Q1325" s="25">
        <f>IFERROR(INDEX(Produtos!$E$2:$E$71,MATCH(C1325,Produtos!$A$2:$A$71,0)),0)</f>
        <v/>
      </c>
      <c r="R1325" s="27">
        <f>D1325*Q1325</f>
        <v/>
      </c>
      <c r="S1325" s="27">
        <f>R1325*E1325</f>
        <v/>
      </c>
      <c r="T1325" s="27">
        <f>(R1325-S1325)*M1325</f>
        <v/>
      </c>
      <c r="U1325" s="27">
        <f>R1325-S1325-T1325</f>
        <v/>
      </c>
      <c r="V1325" s="27">
        <f>D1325*P1325</f>
        <v/>
      </c>
      <c r="W1325" s="27">
        <f>U1325-V1325</f>
        <v/>
      </c>
      <c r="X1325" s="28">
        <f>IFERROR(W1325/U1325,0)</f>
        <v/>
      </c>
    </row>
    <row r="1326">
      <c r="A1326" s="21">
        <f>ItensPedido!A1326</f>
        <v/>
      </c>
      <c r="B1326" s="21">
        <f>ItensPedido!B1326</f>
        <v/>
      </c>
      <c r="C1326" s="21">
        <f>ItensPedido!C1326</f>
        <v/>
      </c>
      <c r="D1326" s="21">
        <f>ItensPedido!D1326</f>
        <v/>
      </c>
      <c r="E1326" s="22">
        <f>ItensPedido!E1326</f>
        <v/>
      </c>
      <c r="F1326" s="21">
        <f>IFERROR(INDEX(Pedidos!$B$2:$B$1801,MATCH(B1326,Pedidos!$A$2:$A$1801,0)),0)</f>
        <v/>
      </c>
      <c r="G1326" s="21">
        <f>IF(F1326=0,"",YEAR(F1326))</f>
        <v/>
      </c>
      <c r="H1326" s="21">
        <f>IF(F1326=0,"",MONTH(F1326))</f>
        <v/>
      </c>
      <c r="I1326" s="21">
        <f>IFERROR(INDEX(Pedidos!$E$2:$E$1801,MATCH(B1326,Pedidos!$A$2:$A$1801,0)),"")</f>
        <v/>
      </c>
      <c r="J1326" s="21">
        <f>IFERROR(INDEX(Pedidos!$C$2:$C$1801,MATCH(B1326,Pedidos!$A$2:$A$1801,0)),"")</f>
        <v/>
      </c>
      <c r="K1326" s="21">
        <f>IFERROR(INDEX(Pedidos!$D$2:$D$1801,MATCH(B1326,Pedidos!$A$2:$A$1801,0)),"")</f>
        <v/>
      </c>
      <c r="L1326" s="21">
        <f>IFERROR(INDEX(Pedidos!$F$2:$F$1801,MATCH(B1326,Pedidos!$A$2:$A$1801,0)),"")</f>
        <v/>
      </c>
      <c r="M1326" s="22">
        <f>IFERROR(INDEX(Pedidos!$G$2:$G$1801,MATCH(B1326,Pedidos!$A$2:$A$1801,0)),0)</f>
        <v/>
      </c>
      <c r="N1326" s="21">
        <f>IFERROR(INDEX(Produtos!$B$2:$B$71,MATCH(C1326,Produtos!$A$2:$A$71,0)),"")</f>
        <v/>
      </c>
      <c r="O1326" s="21">
        <f>IFERROR(INDEX(Produtos!$C$2:$C$71,MATCH(C1326,Produtos!$A$2:$A$71,0)),"")</f>
        <v/>
      </c>
      <c r="P1326" s="21">
        <f>IFERROR(INDEX(Produtos!$D$2:$D$71,MATCH(C1326,Produtos!$A$2:$A$71,0)),0)</f>
        <v/>
      </c>
      <c r="Q1326" s="21">
        <f>IFERROR(INDEX(Produtos!$E$2:$E$71,MATCH(C1326,Produtos!$A$2:$A$71,0)),0)</f>
        <v/>
      </c>
      <c r="R1326" s="23">
        <f>D1326*Q1326</f>
        <v/>
      </c>
      <c r="S1326" s="23">
        <f>R1326*E1326</f>
        <v/>
      </c>
      <c r="T1326" s="23">
        <f>(R1326-S1326)*M1326</f>
        <v/>
      </c>
      <c r="U1326" s="23">
        <f>R1326-S1326-T1326</f>
        <v/>
      </c>
      <c r="V1326" s="23">
        <f>D1326*P1326</f>
        <v/>
      </c>
      <c r="W1326" s="23">
        <f>U1326-V1326</f>
        <v/>
      </c>
      <c r="X1326" s="24">
        <f>IFERROR(W1326/U1326,0)</f>
        <v/>
      </c>
    </row>
    <row r="1327">
      <c r="A1327" s="25">
        <f>ItensPedido!A1327</f>
        <v/>
      </c>
      <c r="B1327" s="25">
        <f>ItensPedido!B1327</f>
        <v/>
      </c>
      <c r="C1327" s="25">
        <f>ItensPedido!C1327</f>
        <v/>
      </c>
      <c r="D1327" s="25">
        <f>ItensPedido!D1327</f>
        <v/>
      </c>
      <c r="E1327" s="26">
        <f>ItensPedido!E1327</f>
        <v/>
      </c>
      <c r="F1327" s="25">
        <f>IFERROR(INDEX(Pedidos!$B$2:$B$1801,MATCH(B1327,Pedidos!$A$2:$A$1801,0)),0)</f>
        <v/>
      </c>
      <c r="G1327" s="25">
        <f>IF(F1327=0,"",YEAR(F1327))</f>
        <v/>
      </c>
      <c r="H1327" s="25">
        <f>IF(F1327=0,"",MONTH(F1327))</f>
        <v/>
      </c>
      <c r="I1327" s="25">
        <f>IFERROR(INDEX(Pedidos!$E$2:$E$1801,MATCH(B1327,Pedidos!$A$2:$A$1801,0)),"")</f>
        <v/>
      </c>
      <c r="J1327" s="25">
        <f>IFERROR(INDEX(Pedidos!$C$2:$C$1801,MATCH(B1327,Pedidos!$A$2:$A$1801,0)),"")</f>
        <v/>
      </c>
      <c r="K1327" s="25">
        <f>IFERROR(INDEX(Pedidos!$D$2:$D$1801,MATCH(B1327,Pedidos!$A$2:$A$1801,0)),"")</f>
        <v/>
      </c>
      <c r="L1327" s="25">
        <f>IFERROR(INDEX(Pedidos!$F$2:$F$1801,MATCH(B1327,Pedidos!$A$2:$A$1801,0)),"")</f>
        <v/>
      </c>
      <c r="M1327" s="26">
        <f>IFERROR(INDEX(Pedidos!$G$2:$G$1801,MATCH(B1327,Pedidos!$A$2:$A$1801,0)),0)</f>
        <v/>
      </c>
      <c r="N1327" s="25">
        <f>IFERROR(INDEX(Produtos!$B$2:$B$71,MATCH(C1327,Produtos!$A$2:$A$71,0)),"")</f>
        <v/>
      </c>
      <c r="O1327" s="25">
        <f>IFERROR(INDEX(Produtos!$C$2:$C$71,MATCH(C1327,Produtos!$A$2:$A$71,0)),"")</f>
        <v/>
      </c>
      <c r="P1327" s="25">
        <f>IFERROR(INDEX(Produtos!$D$2:$D$71,MATCH(C1327,Produtos!$A$2:$A$71,0)),0)</f>
        <v/>
      </c>
      <c r="Q1327" s="25">
        <f>IFERROR(INDEX(Produtos!$E$2:$E$71,MATCH(C1327,Produtos!$A$2:$A$71,0)),0)</f>
        <v/>
      </c>
      <c r="R1327" s="27">
        <f>D1327*Q1327</f>
        <v/>
      </c>
      <c r="S1327" s="27">
        <f>R1327*E1327</f>
        <v/>
      </c>
      <c r="T1327" s="27">
        <f>(R1327-S1327)*M1327</f>
        <v/>
      </c>
      <c r="U1327" s="27">
        <f>R1327-S1327-T1327</f>
        <v/>
      </c>
      <c r="V1327" s="27">
        <f>D1327*P1327</f>
        <v/>
      </c>
      <c r="W1327" s="27">
        <f>U1327-V1327</f>
        <v/>
      </c>
      <c r="X1327" s="28">
        <f>IFERROR(W1327/U1327,0)</f>
        <v/>
      </c>
    </row>
    <row r="1328">
      <c r="A1328" s="21">
        <f>ItensPedido!A1328</f>
        <v/>
      </c>
      <c r="B1328" s="21">
        <f>ItensPedido!B1328</f>
        <v/>
      </c>
      <c r="C1328" s="21">
        <f>ItensPedido!C1328</f>
        <v/>
      </c>
      <c r="D1328" s="21">
        <f>ItensPedido!D1328</f>
        <v/>
      </c>
      <c r="E1328" s="22">
        <f>ItensPedido!E1328</f>
        <v/>
      </c>
      <c r="F1328" s="21">
        <f>IFERROR(INDEX(Pedidos!$B$2:$B$1801,MATCH(B1328,Pedidos!$A$2:$A$1801,0)),0)</f>
        <v/>
      </c>
      <c r="G1328" s="21">
        <f>IF(F1328=0,"",YEAR(F1328))</f>
        <v/>
      </c>
      <c r="H1328" s="21">
        <f>IF(F1328=0,"",MONTH(F1328))</f>
        <v/>
      </c>
      <c r="I1328" s="21">
        <f>IFERROR(INDEX(Pedidos!$E$2:$E$1801,MATCH(B1328,Pedidos!$A$2:$A$1801,0)),"")</f>
        <v/>
      </c>
      <c r="J1328" s="21">
        <f>IFERROR(INDEX(Pedidos!$C$2:$C$1801,MATCH(B1328,Pedidos!$A$2:$A$1801,0)),"")</f>
        <v/>
      </c>
      <c r="K1328" s="21">
        <f>IFERROR(INDEX(Pedidos!$D$2:$D$1801,MATCH(B1328,Pedidos!$A$2:$A$1801,0)),"")</f>
        <v/>
      </c>
      <c r="L1328" s="21">
        <f>IFERROR(INDEX(Pedidos!$F$2:$F$1801,MATCH(B1328,Pedidos!$A$2:$A$1801,0)),"")</f>
        <v/>
      </c>
      <c r="M1328" s="22">
        <f>IFERROR(INDEX(Pedidos!$G$2:$G$1801,MATCH(B1328,Pedidos!$A$2:$A$1801,0)),0)</f>
        <v/>
      </c>
      <c r="N1328" s="21">
        <f>IFERROR(INDEX(Produtos!$B$2:$B$71,MATCH(C1328,Produtos!$A$2:$A$71,0)),"")</f>
        <v/>
      </c>
      <c r="O1328" s="21">
        <f>IFERROR(INDEX(Produtos!$C$2:$C$71,MATCH(C1328,Produtos!$A$2:$A$71,0)),"")</f>
        <v/>
      </c>
      <c r="P1328" s="21">
        <f>IFERROR(INDEX(Produtos!$D$2:$D$71,MATCH(C1328,Produtos!$A$2:$A$71,0)),0)</f>
        <v/>
      </c>
      <c r="Q1328" s="21">
        <f>IFERROR(INDEX(Produtos!$E$2:$E$71,MATCH(C1328,Produtos!$A$2:$A$71,0)),0)</f>
        <v/>
      </c>
      <c r="R1328" s="23">
        <f>D1328*Q1328</f>
        <v/>
      </c>
      <c r="S1328" s="23">
        <f>R1328*E1328</f>
        <v/>
      </c>
      <c r="T1328" s="23">
        <f>(R1328-S1328)*M1328</f>
        <v/>
      </c>
      <c r="U1328" s="23">
        <f>R1328-S1328-T1328</f>
        <v/>
      </c>
      <c r="V1328" s="23">
        <f>D1328*P1328</f>
        <v/>
      </c>
      <c r="W1328" s="23">
        <f>U1328-V1328</f>
        <v/>
      </c>
      <c r="X1328" s="24">
        <f>IFERROR(W1328/U1328,0)</f>
        <v/>
      </c>
    </row>
    <row r="1329">
      <c r="A1329" s="25">
        <f>ItensPedido!A1329</f>
        <v/>
      </c>
      <c r="B1329" s="25">
        <f>ItensPedido!B1329</f>
        <v/>
      </c>
      <c r="C1329" s="25">
        <f>ItensPedido!C1329</f>
        <v/>
      </c>
      <c r="D1329" s="25">
        <f>ItensPedido!D1329</f>
        <v/>
      </c>
      <c r="E1329" s="26">
        <f>ItensPedido!E1329</f>
        <v/>
      </c>
      <c r="F1329" s="25">
        <f>IFERROR(INDEX(Pedidos!$B$2:$B$1801,MATCH(B1329,Pedidos!$A$2:$A$1801,0)),0)</f>
        <v/>
      </c>
      <c r="G1329" s="25">
        <f>IF(F1329=0,"",YEAR(F1329))</f>
        <v/>
      </c>
      <c r="H1329" s="25">
        <f>IF(F1329=0,"",MONTH(F1329))</f>
        <v/>
      </c>
      <c r="I1329" s="25">
        <f>IFERROR(INDEX(Pedidos!$E$2:$E$1801,MATCH(B1329,Pedidos!$A$2:$A$1801,0)),"")</f>
        <v/>
      </c>
      <c r="J1329" s="25">
        <f>IFERROR(INDEX(Pedidos!$C$2:$C$1801,MATCH(B1329,Pedidos!$A$2:$A$1801,0)),"")</f>
        <v/>
      </c>
      <c r="K1329" s="25">
        <f>IFERROR(INDEX(Pedidos!$D$2:$D$1801,MATCH(B1329,Pedidos!$A$2:$A$1801,0)),"")</f>
        <v/>
      </c>
      <c r="L1329" s="25">
        <f>IFERROR(INDEX(Pedidos!$F$2:$F$1801,MATCH(B1329,Pedidos!$A$2:$A$1801,0)),"")</f>
        <v/>
      </c>
      <c r="M1329" s="26">
        <f>IFERROR(INDEX(Pedidos!$G$2:$G$1801,MATCH(B1329,Pedidos!$A$2:$A$1801,0)),0)</f>
        <v/>
      </c>
      <c r="N1329" s="25">
        <f>IFERROR(INDEX(Produtos!$B$2:$B$71,MATCH(C1329,Produtos!$A$2:$A$71,0)),"")</f>
        <v/>
      </c>
      <c r="O1329" s="25">
        <f>IFERROR(INDEX(Produtos!$C$2:$C$71,MATCH(C1329,Produtos!$A$2:$A$71,0)),"")</f>
        <v/>
      </c>
      <c r="P1329" s="25">
        <f>IFERROR(INDEX(Produtos!$D$2:$D$71,MATCH(C1329,Produtos!$A$2:$A$71,0)),0)</f>
        <v/>
      </c>
      <c r="Q1329" s="25">
        <f>IFERROR(INDEX(Produtos!$E$2:$E$71,MATCH(C1329,Produtos!$A$2:$A$71,0)),0)</f>
        <v/>
      </c>
      <c r="R1329" s="27">
        <f>D1329*Q1329</f>
        <v/>
      </c>
      <c r="S1329" s="27">
        <f>R1329*E1329</f>
        <v/>
      </c>
      <c r="T1329" s="27">
        <f>(R1329-S1329)*M1329</f>
        <v/>
      </c>
      <c r="U1329" s="27">
        <f>R1329-S1329-T1329</f>
        <v/>
      </c>
      <c r="V1329" s="27">
        <f>D1329*P1329</f>
        <v/>
      </c>
      <c r="W1329" s="27">
        <f>U1329-V1329</f>
        <v/>
      </c>
      <c r="X1329" s="28">
        <f>IFERROR(W1329/U1329,0)</f>
        <v/>
      </c>
    </row>
    <row r="1330">
      <c r="A1330" s="21">
        <f>ItensPedido!A1330</f>
        <v/>
      </c>
      <c r="B1330" s="21">
        <f>ItensPedido!B1330</f>
        <v/>
      </c>
      <c r="C1330" s="21">
        <f>ItensPedido!C1330</f>
        <v/>
      </c>
      <c r="D1330" s="21">
        <f>ItensPedido!D1330</f>
        <v/>
      </c>
      <c r="E1330" s="22">
        <f>ItensPedido!E1330</f>
        <v/>
      </c>
      <c r="F1330" s="21">
        <f>IFERROR(INDEX(Pedidos!$B$2:$B$1801,MATCH(B1330,Pedidos!$A$2:$A$1801,0)),0)</f>
        <v/>
      </c>
      <c r="G1330" s="21">
        <f>IF(F1330=0,"",YEAR(F1330))</f>
        <v/>
      </c>
      <c r="H1330" s="21">
        <f>IF(F1330=0,"",MONTH(F1330))</f>
        <v/>
      </c>
      <c r="I1330" s="21">
        <f>IFERROR(INDEX(Pedidos!$E$2:$E$1801,MATCH(B1330,Pedidos!$A$2:$A$1801,0)),"")</f>
        <v/>
      </c>
      <c r="J1330" s="21">
        <f>IFERROR(INDEX(Pedidos!$C$2:$C$1801,MATCH(B1330,Pedidos!$A$2:$A$1801,0)),"")</f>
        <v/>
      </c>
      <c r="K1330" s="21">
        <f>IFERROR(INDEX(Pedidos!$D$2:$D$1801,MATCH(B1330,Pedidos!$A$2:$A$1801,0)),"")</f>
        <v/>
      </c>
      <c r="L1330" s="21">
        <f>IFERROR(INDEX(Pedidos!$F$2:$F$1801,MATCH(B1330,Pedidos!$A$2:$A$1801,0)),"")</f>
        <v/>
      </c>
      <c r="M1330" s="22">
        <f>IFERROR(INDEX(Pedidos!$G$2:$G$1801,MATCH(B1330,Pedidos!$A$2:$A$1801,0)),0)</f>
        <v/>
      </c>
      <c r="N1330" s="21">
        <f>IFERROR(INDEX(Produtos!$B$2:$B$71,MATCH(C1330,Produtos!$A$2:$A$71,0)),"")</f>
        <v/>
      </c>
      <c r="O1330" s="21">
        <f>IFERROR(INDEX(Produtos!$C$2:$C$71,MATCH(C1330,Produtos!$A$2:$A$71,0)),"")</f>
        <v/>
      </c>
      <c r="P1330" s="21">
        <f>IFERROR(INDEX(Produtos!$D$2:$D$71,MATCH(C1330,Produtos!$A$2:$A$71,0)),0)</f>
        <v/>
      </c>
      <c r="Q1330" s="21">
        <f>IFERROR(INDEX(Produtos!$E$2:$E$71,MATCH(C1330,Produtos!$A$2:$A$71,0)),0)</f>
        <v/>
      </c>
      <c r="R1330" s="23">
        <f>D1330*Q1330</f>
        <v/>
      </c>
      <c r="S1330" s="23">
        <f>R1330*E1330</f>
        <v/>
      </c>
      <c r="T1330" s="23">
        <f>(R1330-S1330)*M1330</f>
        <v/>
      </c>
      <c r="U1330" s="23">
        <f>R1330-S1330-T1330</f>
        <v/>
      </c>
      <c r="V1330" s="23">
        <f>D1330*P1330</f>
        <v/>
      </c>
      <c r="W1330" s="23">
        <f>U1330-V1330</f>
        <v/>
      </c>
      <c r="X1330" s="24">
        <f>IFERROR(W1330/U1330,0)</f>
        <v/>
      </c>
    </row>
    <row r="1331">
      <c r="A1331" s="25">
        <f>ItensPedido!A1331</f>
        <v/>
      </c>
      <c r="B1331" s="25">
        <f>ItensPedido!B1331</f>
        <v/>
      </c>
      <c r="C1331" s="25">
        <f>ItensPedido!C1331</f>
        <v/>
      </c>
      <c r="D1331" s="25">
        <f>ItensPedido!D1331</f>
        <v/>
      </c>
      <c r="E1331" s="26">
        <f>ItensPedido!E1331</f>
        <v/>
      </c>
      <c r="F1331" s="25">
        <f>IFERROR(INDEX(Pedidos!$B$2:$B$1801,MATCH(B1331,Pedidos!$A$2:$A$1801,0)),0)</f>
        <v/>
      </c>
      <c r="G1331" s="25">
        <f>IF(F1331=0,"",YEAR(F1331))</f>
        <v/>
      </c>
      <c r="H1331" s="25">
        <f>IF(F1331=0,"",MONTH(F1331))</f>
        <v/>
      </c>
      <c r="I1331" s="25">
        <f>IFERROR(INDEX(Pedidos!$E$2:$E$1801,MATCH(B1331,Pedidos!$A$2:$A$1801,0)),"")</f>
        <v/>
      </c>
      <c r="J1331" s="25">
        <f>IFERROR(INDEX(Pedidos!$C$2:$C$1801,MATCH(B1331,Pedidos!$A$2:$A$1801,0)),"")</f>
        <v/>
      </c>
      <c r="K1331" s="25">
        <f>IFERROR(INDEX(Pedidos!$D$2:$D$1801,MATCH(B1331,Pedidos!$A$2:$A$1801,0)),"")</f>
        <v/>
      </c>
      <c r="L1331" s="25">
        <f>IFERROR(INDEX(Pedidos!$F$2:$F$1801,MATCH(B1331,Pedidos!$A$2:$A$1801,0)),"")</f>
        <v/>
      </c>
      <c r="M1331" s="26">
        <f>IFERROR(INDEX(Pedidos!$G$2:$G$1801,MATCH(B1331,Pedidos!$A$2:$A$1801,0)),0)</f>
        <v/>
      </c>
      <c r="N1331" s="25">
        <f>IFERROR(INDEX(Produtos!$B$2:$B$71,MATCH(C1331,Produtos!$A$2:$A$71,0)),"")</f>
        <v/>
      </c>
      <c r="O1331" s="25">
        <f>IFERROR(INDEX(Produtos!$C$2:$C$71,MATCH(C1331,Produtos!$A$2:$A$71,0)),"")</f>
        <v/>
      </c>
      <c r="P1331" s="25">
        <f>IFERROR(INDEX(Produtos!$D$2:$D$71,MATCH(C1331,Produtos!$A$2:$A$71,0)),0)</f>
        <v/>
      </c>
      <c r="Q1331" s="25">
        <f>IFERROR(INDEX(Produtos!$E$2:$E$71,MATCH(C1331,Produtos!$A$2:$A$71,0)),0)</f>
        <v/>
      </c>
      <c r="R1331" s="27">
        <f>D1331*Q1331</f>
        <v/>
      </c>
      <c r="S1331" s="27">
        <f>R1331*E1331</f>
        <v/>
      </c>
      <c r="T1331" s="27">
        <f>(R1331-S1331)*M1331</f>
        <v/>
      </c>
      <c r="U1331" s="27">
        <f>R1331-S1331-T1331</f>
        <v/>
      </c>
      <c r="V1331" s="27">
        <f>D1331*P1331</f>
        <v/>
      </c>
      <c r="W1331" s="27">
        <f>U1331-V1331</f>
        <v/>
      </c>
      <c r="X1331" s="28">
        <f>IFERROR(W1331/U1331,0)</f>
        <v/>
      </c>
    </row>
    <row r="1332">
      <c r="A1332" s="21">
        <f>ItensPedido!A1332</f>
        <v/>
      </c>
      <c r="B1332" s="21">
        <f>ItensPedido!B1332</f>
        <v/>
      </c>
      <c r="C1332" s="21">
        <f>ItensPedido!C1332</f>
        <v/>
      </c>
      <c r="D1332" s="21">
        <f>ItensPedido!D1332</f>
        <v/>
      </c>
      <c r="E1332" s="22">
        <f>ItensPedido!E1332</f>
        <v/>
      </c>
      <c r="F1332" s="21">
        <f>IFERROR(INDEX(Pedidos!$B$2:$B$1801,MATCH(B1332,Pedidos!$A$2:$A$1801,0)),0)</f>
        <v/>
      </c>
      <c r="G1332" s="21">
        <f>IF(F1332=0,"",YEAR(F1332))</f>
        <v/>
      </c>
      <c r="H1332" s="21">
        <f>IF(F1332=0,"",MONTH(F1332))</f>
        <v/>
      </c>
      <c r="I1332" s="21">
        <f>IFERROR(INDEX(Pedidos!$E$2:$E$1801,MATCH(B1332,Pedidos!$A$2:$A$1801,0)),"")</f>
        <v/>
      </c>
      <c r="J1332" s="21">
        <f>IFERROR(INDEX(Pedidos!$C$2:$C$1801,MATCH(B1332,Pedidos!$A$2:$A$1801,0)),"")</f>
        <v/>
      </c>
      <c r="K1332" s="21">
        <f>IFERROR(INDEX(Pedidos!$D$2:$D$1801,MATCH(B1332,Pedidos!$A$2:$A$1801,0)),"")</f>
        <v/>
      </c>
      <c r="L1332" s="21">
        <f>IFERROR(INDEX(Pedidos!$F$2:$F$1801,MATCH(B1332,Pedidos!$A$2:$A$1801,0)),"")</f>
        <v/>
      </c>
      <c r="M1332" s="22">
        <f>IFERROR(INDEX(Pedidos!$G$2:$G$1801,MATCH(B1332,Pedidos!$A$2:$A$1801,0)),0)</f>
        <v/>
      </c>
      <c r="N1332" s="21">
        <f>IFERROR(INDEX(Produtos!$B$2:$B$71,MATCH(C1332,Produtos!$A$2:$A$71,0)),"")</f>
        <v/>
      </c>
      <c r="O1332" s="21">
        <f>IFERROR(INDEX(Produtos!$C$2:$C$71,MATCH(C1332,Produtos!$A$2:$A$71,0)),"")</f>
        <v/>
      </c>
      <c r="P1332" s="21">
        <f>IFERROR(INDEX(Produtos!$D$2:$D$71,MATCH(C1332,Produtos!$A$2:$A$71,0)),0)</f>
        <v/>
      </c>
      <c r="Q1332" s="21">
        <f>IFERROR(INDEX(Produtos!$E$2:$E$71,MATCH(C1332,Produtos!$A$2:$A$71,0)),0)</f>
        <v/>
      </c>
      <c r="R1332" s="23">
        <f>D1332*Q1332</f>
        <v/>
      </c>
      <c r="S1332" s="23">
        <f>R1332*E1332</f>
        <v/>
      </c>
      <c r="T1332" s="23">
        <f>(R1332-S1332)*M1332</f>
        <v/>
      </c>
      <c r="U1332" s="23">
        <f>R1332-S1332-T1332</f>
        <v/>
      </c>
      <c r="V1332" s="23">
        <f>D1332*P1332</f>
        <v/>
      </c>
      <c r="W1332" s="23">
        <f>U1332-V1332</f>
        <v/>
      </c>
      <c r="X1332" s="24">
        <f>IFERROR(W1332/U1332,0)</f>
        <v/>
      </c>
    </row>
    <row r="1333">
      <c r="A1333" s="25">
        <f>ItensPedido!A1333</f>
        <v/>
      </c>
      <c r="B1333" s="25">
        <f>ItensPedido!B1333</f>
        <v/>
      </c>
      <c r="C1333" s="25">
        <f>ItensPedido!C1333</f>
        <v/>
      </c>
      <c r="D1333" s="25">
        <f>ItensPedido!D1333</f>
        <v/>
      </c>
      <c r="E1333" s="26">
        <f>ItensPedido!E1333</f>
        <v/>
      </c>
      <c r="F1333" s="25">
        <f>IFERROR(INDEX(Pedidos!$B$2:$B$1801,MATCH(B1333,Pedidos!$A$2:$A$1801,0)),0)</f>
        <v/>
      </c>
      <c r="G1333" s="25">
        <f>IF(F1333=0,"",YEAR(F1333))</f>
        <v/>
      </c>
      <c r="H1333" s="25">
        <f>IF(F1333=0,"",MONTH(F1333))</f>
        <v/>
      </c>
      <c r="I1333" s="25">
        <f>IFERROR(INDEX(Pedidos!$E$2:$E$1801,MATCH(B1333,Pedidos!$A$2:$A$1801,0)),"")</f>
        <v/>
      </c>
      <c r="J1333" s="25">
        <f>IFERROR(INDEX(Pedidos!$C$2:$C$1801,MATCH(B1333,Pedidos!$A$2:$A$1801,0)),"")</f>
        <v/>
      </c>
      <c r="K1333" s="25">
        <f>IFERROR(INDEX(Pedidos!$D$2:$D$1801,MATCH(B1333,Pedidos!$A$2:$A$1801,0)),"")</f>
        <v/>
      </c>
      <c r="L1333" s="25">
        <f>IFERROR(INDEX(Pedidos!$F$2:$F$1801,MATCH(B1333,Pedidos!$A$2:$A$1801,0)),"")</f>
        <v/>
      </c>
      <c r="M1333" s="26">
        <f>IFERROR(INDEX(Pedidos!$G$2:$G$1801,MATCH(B1333,Pedidos!$A$2:$A$1801,0)),0)</f>
        <v/>
      </c>
      <c r="N1333" s="25">
        <f>IFERROR(INDEX(Produtos!$B$2:$B$71,MATCH(C1333,Produtos!$A$2:$A$71,0)),"")</f>
        <v/>
      </c>
      <c r="O1333" s="25">
        <f>IFERROR(INDEX(Produtos!$C$2:$C$71,MATCH(C1333,Produtos!$A$2:$A$71,0)),"")</f>
        <v/>
      </c>
      <c r="P1333" s="25">
        <f>IFERROR(INDEX(Produtos!$D$2:$D$71,MATCH(C1333,Produtos!$A$2:$A$71,0)),0)</f>
        <v/>
      </c>
      <c r="Q1333" s="25">
        <f>IFERROR(INDEX(Produtos!$E$2:$E$71,MATCH(C1333,Produtos!$A$2:$A$71,0)),0)</f>
        <v/>
      </c>
      <c r="R1333" s="27">
        <f>D1333*Q1333</f>
        <v/>
      </c>
      <c r="S1333" s="27">
        <f>R1333*E1333</f>
        <v/>
      </c>
      <c r="T1333" s="27">
        <f>(R1333-S1333)*M1333</f>
        <v/>
      </c>
      <c r="U1333" s="27">
        <f>R1333-S1333-T1333</f>
        <v/>
      </c>
      <c r="V1333" s="27">
        <f>D1333*P1333</f>
        <v/>
      </c>
      <c r="W1333" s="27">
        <f>U1333-V1333</f>
        <v/>
      </c>
      <c r="X1333" s="28">
        <f>IFERROR(W1333/U1333,0)</f>
        <v/>
      </c>
    </row>
    <row r="1334">
      <c r="A1334" s="21">
        <f>ItensPedido!A1334</f>
        <v/>
      </c>
      <c r="B1334" s="21">
        <f>ItensPedido!B1334</f>
        <v/>
      </c>
      <c r="C1334" s="21">
        <f>ItensPedido!C1334</f>
        <v/>
      </c>
      <c r="D1334" s="21">
        <f>ItensPedido!D1334</f>
        <v/>
      </c>
      <c r="E1334" s="22">
        <f>ItensPedido!E1334</f>
        <v/>
      </c>
      <c r="F1334" s="21">
        <f>IFERROR(INDEX(Pedidos!$B$2:$B$1801,MATCH(B1334,Pedidos!$A$2:$A$1801,0)),0)</f>
        <v/>
      </c>
      <c r="G1334" s="21">
        <f>IF(F1334=0,"",YEAR(F1334))</f>
        <v/>
      </c>
      <c r="H1334" s="21">
        <f>IF(F1334=0,"",MONTH(F1334))</f>
        <v/>
      </c>
      <c r="I1334" s="21">
        <f>IFERROR(INDEX(Pedidos!$E$2:$E$1801,MATCH(B1334,Pedidos!$A$2:$A$1801,0)),"")</f>
        <v/>
      </c>
      <c r="J1334" s="21">
        <f>IFERROR(INDEX(Pedidos!$C$2:$C$1801,MATCH(B1334,Pedidos!$A$2:$A$1801,0)),"")</f>
        <v/>
      </c>
      <c r="K1334" s="21">
        <f>IFERROR(INDEX(Pedidos!$D$2:$D$1801,MATCH(B1334,Pedidos!$A$2:$A$1801,0)),"")</f>
        <v/>
      </c>
      <c r="L1334" s="21">
        <f>IFERROR(INDEX(Pedidos!$F$2:$F$1801,MATCH(B1334,Pedidos!$A$2:$A$1801,0)),"")</f>
        <v/>
      </c>
      <c r="M1334" s="22">
        <f>IFERROR(INDEX(Pedidos!$G$2:$G$1801,MATCH(B1334,Pedidos!$A$2:$A$1801,0)),0)</f>
        <v/>
      </c>
      <c r="N1334" s="21">
        <f>IFERROR(INDEX(Produtos!$B$2:$B$71,MATCH(C1334,Produtos!$A$2:$A$71,0)),"")</f>
        <v/>
      </c>
      <c r="O1334" s="21">
        <f>IFERROR(INDEX(Produtos!$C$2:$C$71,MATCH(C1334,Produtos!$A$2:$A$71,0)),"")</f>
        <v/>
      </c>
      <c r="P1334" s="21">
        <f>IFERROR(INDEX(Produtos!$D$2:$D$71,MATCH(C1334,Produtos!$A$2:$A$71,0)),0)</f>
        <v/>
      </c>
      <c r="Q1334" s="21">
        <f>IFERROR(INDEX(Produtos!$E$2:$E$71,MATCH(C1334,Produtos!$A$2:$A$71,0)),0)</f>
        <v/>
      </c>
      <c r="R1334" s="23">
        <f>D1334*Q1334</f>
        <v/>
      </c>
      <c r="S1334" s="23">
        <f>R1334*E1334</f>
        <v/>
      </c>
      <c r="T1334" s="23">
        <f>(R1334-S1334)*M1334</f>
        <v/>
      </c>
      <c r="U1334" s="23">
        <f>R1334-S1334-T1334</f>
        <v/>
      </c>
      <c r="V1334" s="23">
        <f>D1334*P1334</f>
        <v/>
      </c>
      <c r="W1334" s="23">
        <f>U1334-V1334</f>
        <v/>
      </c>
      <c r="X1334" s="24">
        <f>IFERROR(W1334/U1334,0)</f>
        <v/>
      </c>
    </row>
    <row r="1335">
      <c r="A1335" s="25">
        <f>ItensPedido!A1335</f>
        <v/>
      </c>
      <c r="B1335" s="25">
        <f>ItensPedido!B1335</f>
        <v/>
      </c>
      <c r="C1335" s="25">
        <f>ItensPedido!C1335</f>
        <v/>
      </c>
      <c r="D1335" s="25">
        <f>ItensPedido!D1335</f>
        <v/>
      </c>
      <c r="E1335" s="26">
        <f>ItensPedido!E1335</f>
        <v/>
      </c>
      <c r="F1335" s="25">
        <f>IFERROR(INDEX(Pedidos!$B$2:$B$1801,MATCH(B1335,Pedidos!$A$2:$A$1801,0)),0)</f>
        <v/>
      </c>
      <c r="G1335" s="25">
        <f>IF(F1335=0,"",YEAR(F1335))</f>
        <v/>
      </c>
      <c r="H1335" s="25">
        <f>IF(F1335=0,"",MONTH(F1335))</f>
        <v/>
      </c>
      <c r="I1335" s="25">
        <f>IFERROR(INDEX(Pedidos!$E$2:$E$1801,MATCH(B1335,Pedidos!$A$2:$A$1801,0)),"")</f>
        <v/>
      </c>
      <c r="J1335" s="25">
        <f>IFERROR(INDEX(Pedidos!$C$2:$C$1801,MATCH(B1335,Pedidos!$A$2:$A$1801,0)),"")</f>
        <v/>
      </c>
      <c r="K1335" s="25">
        <f>IFERROR(INDEX(Pedidos!$D$2:$D$1801,MATCH(B1335,Pedidos!$A$2:$A$1801,0)),"")</f>
        <v/>
      </c>
      <c r="L1335" s="25">
        <f>IFERROR(INDEX(Pedidos!$F$2:$F$1801,MATCH(B1335,Pedidos!$A$2:$A$1801,0)),"")</f>
        <v/>
      </c>
      <c r="M1335" s="26">
        <f>IFERROR(INDEX(Pedidos!$G$2:$G$1801,MATCH(B1335,Pedidos!$A$2:$A$1801,0)),0)</f>
        <v/>
      </c>
      <c r="N1335" s="25">
        <f>IFERROR(INDEX(Produtos!$B$2:$B$71,MATCH(C1335,Produtos!$A$2:$A$71,0)),"")</f>
        <v/>
      </c>
      <c r="O1335" s="25">
        <f>IFERROR(INDEX(Produtos!$C$2:$C$71,MATCH(C1335,Produtos!$A$2:$A$71,0)),"")</f>
        <v/>
      </c>
      <c r="P1335" s="25">
        <f>IFERROR(INDEX(Produtos!$D$2:$D$71,MATCH(C1335,Produtos!$A$2:$A$71,0)),0)</f>
        <v/>
      </c>
      <c r="Q1335" s="25">
        <f>IFERROR(INDEX(Produtos!$E$2:$E$71,MATCH(C1335,Produtos!$A$2:$A$71,0)),0)</f>
        <v/>
      </c>
      <c r="R1335" s="27">
        <f>D1335*Q1335</f>
        <v/>
      </c>
      <c r="S1335" s="27">
        <f>R1335*E1335</f>
        <v/>
      </c>
      <c r="T1335" s="27">
        <f>(R1335-S1335)*M1335</f>
        <v/>
      </c>
      <c r="U1335" s="27">
        <f>R1335-S1335-T1335</f>
        <v/>
      </c>
      <c r="V1335" s="27">
        <f>D1335*P1335</f>
        <v/>
      </c>
      <c r="W1335" s="27">
        <f>U1335-V1335</f>
        <v/>
      </c>
      <c r="X1335" s="28">
        <f>IFERROR(W1335/U1335,0)</f>
        <v/>
      </c>
    </row>
    <row r="1336">
      <c r="A1336" s="21">
        <f>ItensPedido!A1336</f>
        <v/>
      </c>
      <c r="B1336" s="21">
        <f>ItensPedido!B1336</f>
        <v/>
      </c>
      <c r="C1336" s="21">
        <f>ItensPedido!C1336</f>
        <v/>
      </c>
      <c r="D1336" s="21">
        <f>ItensPedido!D1336</f>
        <v/>
      </c>
      <c r="E1336" s="22">
        <f>ItensPedido!E1336</f>
        <v/>
      </c>
      <c r="F1336" s="21">
        <f>IFERROR(INDEX(Pedidos!$B$2:$B$1801,MATCH(B1336,Pedidos!$A$2:$A$1801,0)),0)</f>
        <v/>
      </c>
      <c r="G1336" s="21">
        <f>IF(F1336=0,"",YEAR(F1336))</f>
        <v/>
      </c>
      <c r="H1336" s="21">
        <f>IF(F1336=0,"",MONTH(F1336))</f>
        <v/>
      </c>
      <c r="I1336" s="21">
        <f>IFERROR(INDEX(Pedidos!$E$2:$E$1801,MATCH(B1336,Pedidos!$A$2:$A$1801,0)),"")</f>
        <v/>
      </c>
      <c r="J1336" s="21">
        <f>IFERROR(INDEX(Pedidos!$C$2:$C$1801,MATCH(B1336,Pedidos!$A$2:$A$1801,0)),"")</f>
        <v/>
      </c>
      <c r="K1336" s="21">
        <f>IFERROR(INDEX(Pedidos!$D$2:$D$1801,MATCH(B1336,Pedidos!$A$2:$A$1801,0)),"")</f>
        <v/>
      </c>
      <c r="L1336" s="21">
        <f>IFERROR(INDEX(Pedidos!$F$2:$F$1801,MATCH(B1336,Pedidos!$A$2:$A$1801,0)),"")</f>
        <v/>
      </c>
      <c r="M1336" s="22">
        <f>IFERROR(INDEX(Pedidos!$G$2:$G$1801,MATCH(B1336,Pedidos!$A$2:$A$1801,0)),0)</f>
        <v/>
      </c>
      <c r="N1336" s="21">
        <f>IFERROR(INDEX(Produtos!$B$2:$B$71,MATCH(C1336,Produtos!$A$2:$A$71,0)),"")</f>
        <v/>
      </c>
      <c r="O1336" s="21">
        <f>IFERROR(INDEX(Produtos!$C$2:$C$71,MATCH(C1336,Produtos!$A$2:$A$71,0)),"")</f>
        <v/>
      </c>
      <c r="P1336" s="21">
        <f>IFERROR(INDEX(Produtos!$D$2:$D$71,MATCH(C1336,Produtos!$A$2:$A$71,0)),0)</f>
        <v/>
      </c>
      <c r="Q1336" s="21">
        <f>IFERROR(INDEX(Produtos!$E$2:$E$71,MATCH(C1336,Produtos!$A$2:$A$71,0)),0)</f>
        <v/>
      </c>
      <c r="R1336" s="23">
        <f>D1336*Q1336</f>
        <v/>
      </c>
      <c r="S1336" s="23">
        <f>R1336*E1336</f>
        <v/>
      </c>
      <c r="T1336" s="23">
        <f>(R1336-S1336)*M1336</f>
        <v/>
      </c>
      <c r="U1336" s="23">
        <f>R1336-S1336-T1336</f>
        <v/>
      </c>
      <c r="V1336" s="23">
        <f>D1336*P1336</f>
        <v/>
      </c>
      <c r="W1336" s="23">
        <f>U1336-V1336</f>
        <v/>
      </c>
      <c r="X1336" s="24">
        <f>IFERROR(W1336/U1336,0)</f>
        <v/>
      </c>
    </row>
    <row r="1337">
      <c r="A1337" s="25">
        <f>ItensPedido!A1337</f>
        <v/>
      </c>
      <c r="B1337" s="25">
        <f>ItensPedido!B1337</f>
        <v/>
      </c>
      <c r="C1337" s="25">
        <f>ItensPedido!C1337</f>
        <v/>
      </c>
      <c r="D1337" s="25">
        <f>ItensPedido!D1337</f>
        <v/>
      </c>
      <c r="E1337" s="26">
        <f>ItensPedido!E1337</f>
        <v/>
      </c>
      <c r="F1337" s="25">
        <f>IFERROR(INDEX(Pedidos!$B$2:$B$1801,MATCH(B1337,Pedidos!$A$2:$A$1801,0)),0)</f>
        <v/>
      </c>
      <c r="G1337" s="25">
        <f>IF(F1337=0,"",YEAR(F1337))</f>
        <v/>
      </c>
      <c r="H1337" s="25">
        <f>IF(F1337=0,"",MONTH(F1337))</f>
        <v/>
      </c>
      <c r="I1337" s="25">
        <f>IFERROR(INDEX(Pedidos!$E$2:$E$1801,MATCH(B1337,Pedidos!$A$2:$A$1801,0)),"")</f>
        <v/>
      </c>
      <c r="J1337" s="25">
        <f>IFERROR(INDEX(Pedidos!$C$2:$C$1801,MATCH(B1337,Pedidos!$A$2:$A$1801,0)),"")</f>
        <v/>
      </c>
      <c r="K1337" s="25">
        <f>IFERROR(INDEX(Pedidos!$D$2:$D$1801,MATCH(B1337,Pedidos!$A$2:$A$1801,0)),"")</f>
        <v/>
      </c>
      <c r="L1337" s="25">
        <f>IFERROR(INDEX(Pedidos!$F$2:$F$1801,MATCH(B1337,Pedidos!$A$2:$A$1801,0)),"")</f>
        <v/>
      </c>
      <c r="M1337" s="26">
        <f>IFERROR(INDEX(Pedidos!$G$2:$G$1801,MATCH(B1337,Pedidos!$A$2:$A$1801,0)),0)</f>
        <v/>
      </c>
      <c r="N1337" s="25">
        <f>IFERROR(INDEX(Produtos!$B$2:$B$71,MATCH(C1337,Produtos!$A$2:$A$71,0)),"")</f>
        <v/>
      </c>
      <c r="O1337" s="25">
        <f>IFERROR(INDEX(Produtos!$C$2:$C$71,MATCH(C1337,Produtos!$A$2:$A$71,0)),"")</f>
        <v/>
      </c>
      <c r="P1337" s="25">
        <f>IFERROR(INDEX(Produtos!$D$2:$D$71,MATCH(C1337,Produtos!$A$2:$A$71,0)),0)</f>
        <v/>
      </c>
      <c r="Q1337" s="25">
        <f>IFERROR(INDEX(Produtos!$E$2:$E$71,MATCH(C1337,Produtos!$A$2:$A$71,0)),0)</f>
        <v/>
      </c>
      <c r="R1337" s="27">
        <f>D1337*Q1337</f>
        <v/>
      </c>
      <c r="S1337" s="27">
        <f>R1337*E1337</f>
        <v/>
      </c>
      <c r="T1337" s="27">
        <f>(R1337-S1337)*M1337</f>
        <v/>
      </c>
      <c r="U1337" s="27">
        <f>R1337-S1337-T1337</f>
        <v/>
      </c>
      <c r="V1337" s="27">
        <f>D1337*P1337</f>
        <v/>
      </c>
      <c r="W1337" s="27">
        <f>U1337-V1337</f>
        <v/>
      </c>
      <c r="X1337" s="28">
        <f>IFERROR(W1337/U1337,0)</f>
        <v/>
      </c>
    </row>
    <row r="1338">
      <c r="A1338" s="21">
        <f>ItensPedido!A1338</f>
        <v/>
      </c>
      <c r="B1338" s="21">
        <f>ItensPedido!B1338</f>
        <v/>
      </c>
      <c r="C1338" s="21">
        <f>ItensPedido!C1338</f>
        <v/>
      </c>
      <c r="D1338" s="21">
        <f>ItensPedido!D1338</f>
        <v/>
      </c>
      <c r="E1338" s="22">
        <f>ItensPedido!E1338</f>
        <v/>
      </c>
      <c r="F1338" s="21">
        <f>IFERROR(INDEX(Pedidos!$B$2:$B$1801,MATCH(B1338,Pedidos!$A$2:$A$1801,0)),0)</f>
        <v/>
      </c>
      <c r="G1338" s="21">
        <f>IF(F1338=0,"",YEAR(F1338))</f>
        <v/>
      </c>
      <c r="H1338" s="21">
        <f>IF(F1338=0,"",MONTH(F1338))</f>
        <v/>
      </c>
      <c r="I1338" s="21">
        <f>IFERROR(INDEX(Pedidos!$E$2:$E$1801,MATCH(B1338,Pedidos!$A$2:$A$1801,0)),"")</f>
        <v/>
      </c>
      <c r="J1338" s="21">
        <f>IFERROR(INDEX(Pedidos!$C$2:$C$1801,MATCH(B1338,Pedidos!$A$2:$A$1801,0)),"")</f>
        <v/>
      </c>
      <c r="K1338" s="21">
        <f>IFERROR(INDEX(Pedidos!$D$2:$D$1801,MATCH(B1338,Pedidos!$A$2:$A$1801,0)),"")</f>
        <v/>
      </c>
      <c r="L1338" s="21">
        <f>IFERROR(INDEX(Pedidos!$F$2:$F$1801,MATCH(B1338,Pedidos!$A$2:$A$1801,0)),"")</f>
        <v/>
      </c>
      <c r="M1338" s="22">
        <f>IFERROR(INDEX(Pedidos!$G$2:$G$1801,MATCH(B1338,Pedidos!$A$2:$A$1801,0)),0)</f>
        <v/>
      </c>
      <c r="N1338" s="21">
        <f>IFERROR(INDEX(Produtos!$B$2:$B$71,MATCH(C1338,Produtos!$A$2:$A$71,0)),"")</f>
        <v/>
      </c>
      <c r="O1338" s="21">
        <f>IFERROR(INDEX(Produtos!$C$2:$C$71,MATCH(C1338,Produtos!$A$2:$A$71,0)),"")</f>
        <v/>
      </c>
      <c r="P1338" s="21">
        <f>IFERROR(INDEX(Produtos!$D$2:$D$71,MATCH(C1338,Produtos!$A$2:$A$71,0)),0)</f>
        <v/>
      </c>
      <c r="Q1338" s="21">
        <f>IFERROR(INDEX(Produtos!$E$2:$E$71,MATCH(C1338,Produtos!$A$2:$A$71,0)),0)</f>
        <v/>
      </c>
      <c r="R1338" s="23">
        <f>D1338*Q1338</f>
        <v/>
      </c>
      <c r="S1338" s="23">
        <f>R1338*E1338</f>
        <v/>
      </c>
      <c r="T1338" s="23">
        <f>(R1338-S1338)*M1338</f>
        <v/>
      </c>
      <c r="U1338" s="23">
        <f>R1338-S1338-T1338</f>
        <v/>
      </c>
      <c r="V1338" s="23">
        <f>D1338*P1338</f>
        <v/>
      </c>
      <c r="W1338" s="23">
        <f>U1338-V1338</f>
        <v/>
      </c>
      <c r="X1338" s="24">
        <f>IFERROR(W1338/U1338,0)</f>
        <v/>
      </c>
    </row>
    <row r="1339">
      <c r="A1339" s="25">
        <f>ItensPedido!A1339</f>
        <v/>
      </c>
      <c r="B1339" s="25">
        <f>ItensPedido!B1339</f>
        <v/>
      </c>
      <c r="C1339" s="25">
        <f>ItensPedido!C1339</f>
        <v/>
      </c>
      <c r="D1339" s="25">
        <f>ItensPedido!D1339</f>
        <v/>
      </c>
      <c r="E1339" s="26">
        <f>ItensPedido!E1339</f>
        <v/>
      </c>
      <c r="F1339" s="25">
        <f>IFERROR(INDEX(Pedidos!$B$2:$B$1801,MATCH(B1339,Pedidos!$A$2:$A$1801,0)),0)</f>
        <v/>
      </c>
      <c r="G1339" s="25">
        <f>IF(F1339=0,"",YEAR(F1339))</f>
        <v/>
      </c>
      <c r="H1339" s="25">
        <f>IF(F1339=0,"",MONTH(F1339))</f>
        <v/>
      </c>
      <c r="I1339" s="25">
        <f>IFERROR(INDEX(Pedidos!$E$2:$E$1801,MATCH(B1339,Pedidos!$A$2:$A$1801,0)),"")</f>
        <v/>
      </c>
      <c r="J1339" s="25">
        <f>IFERROR(INDEX(Pedidos!$C$2:$C$1801,MATCH(B1339,Pedidos!$A$2:$A$1801,0)),"")</f>
        <v/>
      </c>
      <c r="K1339" s="25">
        <f>IFERROR(INDEX(Pedidos!$D$2:$D$1801,MATCH(B1339,Pedidos!$A$2:$A$1801,0)),"")</f>
        <v/>
      </c>
      <c r="L1339" s="25">
        <f>IFERROR(INDEX(Pedidos!$F$2:$F$1801,MATCH(B1339,Pedidos!$A$2:$A$1801,0)),"")</f>
        <v/>
      </c>
      <c r="M1339" s="26">
        <f>IFERROR(INDEX(Pedidos!$G$2:$G$1801,MATCH(B1339,Pedidos!$A$2:$A$1801,0)),0)</f>
        <v/>
      </c>
      <c r="N1339" s="25">
        <f>IFERROR(INDEX(Produtos!$B$2:$B$71,MATCH(C1339,Produtos!$A$2:$A$71,0)),"")</f>
        <v/>
      </c>
      <c r="O1339" s="25">
        <f>IFERROR(INDEX(Produtos!$C$2:$C$71,MATCH(C1339,Produtos!$A$2:$A$71,0)),"")</f>
        <v/>
      </c>
      <c r="P1339" s="25">
        <f>IFERROR(INDEX(Produtos!$D$2:$D$71,MATCH(C1339,Produtos!$A$2:$A$71,0)),0)</f>
        <v/>
      </c>
      <c r="Q1339" s="25">
        <f>IFERROR(INDEX(Produtos!$E$2:$E$71,MATCH(C1339,Produtos!$A$2:$A$71,0)),0)</f>
        <v/>
      </c>
      <c r="R1339" s="27">
        <f>D1339*Q1339</f>
        <v/>
      </c>
      <c r="S1339" s="27">
        <f>R1339*E1339</f>
        <v/>
      </c>
      <c r="T1339" s="27">
        <f>(R1339-S1339)*M1339</f>
        <v/>
      </c>
      <c r="U1339" s="27">
        <f>R1339-S1339-T1339</f>
        <v/>
      </c>
      <c r="V1339" s="27">
        <f>D1339*P1339</f>
        <v/>
      </c>
      <c r="W1339" s="27">
        <f>U1339-V1339</f>
        <v/>
      </c>
      <c r="X1339" s="28">
        <f>IFERROR(W1339/U1339,0)</f>
        <v/>
      </c>
    </row>
    <row r="1340">
      <c r="A1340" s="21">
        <f>ItensPedido!A1340</f>
        <v/>
      </c>
      <c r="B1340" s="21">
        <f>ItensPedido!B1340</f>
        <v/>
      </c>
      <c r="C1340" s="21">
        <f>ItensPedido!C1340</f>
        <v/>
      </c>
      <c r="D1340" s="21">
        <f>ItensPedido!D1340</f>
        <v/>
      </c>
      <c r="E1340" s="22">
        <f>ItensPedido!E1340</f>
        <v/>
      </c>
      <c r="F1340" s="21">
        <f>IFERROR(INDEX(Pedidos!$B$2:$B$1801,MATCH(B1340,Pedidos!$A$2:$A$1801,0)),0)</f>
        <v/>
      </c>
      <c r="G1340" s="21">
        <f>IF(F1340=0,"",YEAR(F1340))</f>
        <v/>
      </c>
      <c r="H1340" s="21">
        <f>IF(F1340=0,"",MONTH(F1340))</f>
        <v/>
      </c>
      <c r="I1340" s="21">
        <f>IFERROR(INDEX(Pedidos!$E$2:$E$1801,MATCH(B1340,Pedidos!$A$2:$A$1801,0)),"")</f>
        <v/>
      </c>
      <c r="J1340" s="21">
        <f>IFERROR(INDEX(Pedidos!$C$2:$C$1801,MATCH(B1340,Pedidos!$A$2:$A$1801,0)),"")</f>
        <v/>
      </c>
      <c r="K1340" s="21">
        <f>IFERROR(INDEX(Pedidos!$D$2:$D$1801,MATCH(B1340,Pedidos!$A$2:$A$1801,0)),"")</f>
        <v/>
      </c>
      <c r="L1340" s="21">
        <f>IFERROR(INDEX(Pedidos!$F$2:$F$1801,MATCH(B1340,Pedidos!$A$2:$A$1801,0)),"")</f>
        <v/>
      </c>
      <c r="M1340" s="22">
        <f>IFERROR(INDEX(Pedidos!$G$2:$G$1801,MATCH(B1340,Pedidos!$A$2:$A$1801,0)),0)</f>
        <v/>
      </c>
      <c r="N1340" s="21">
        <f>IFERROR(INDEX(Produtos!$B$2:$B$71,MATCH(C1340,Produtos!$A$2:$A$71,0)),"")</f>
        <v/>
      </c>
      <c r="O1340" s="21">
        <f>IFERROR(INDEX(Produtos!$C$2:$C$71,MATCH(C1340,Produtos!$A$2:$A$71,0)),"")</f>
        <v/>
      </c>
      <c r="P1340" s="21">
        <f>IFERROR(INDEX(Produtos!$D$2:$D$71,MATCH(C1340,Produtos!$A$2:$A$71,0)),0)</f>
        <v/>
      </c>
      <c r="Q1340" s="21">
        <f>IFERROR(INDEX(Produtos!$E$2:$E$71,MATCH(C1340,Produtos!$A$2:$A$71,0)),0)</f>
        <v/>
      </c>
      <c r="R1340" s="23">
        <f>D1340*Q1340</f>
        <v/>
      </c>
      <c r="S1340" s="23">
        <f>R1340*E1340</f>
        <v/>
      </c>
      <c r="T1340" s="23">
        <f>(R1340-S1340)*M1340</f>
        <v/>
      </c>
      <c r="U1340" s="23">
        <f>R1340-S1340-T1340</f>
        <v/>
      </c>
      <c r="V1340" s="23">
        <f>D1340*P1340</f>
        <v/>
      </c>
      <c r="W1340" s="23">
        <f>U1340-V1340</f>
        <v/>
      </c>
      <c r="X1340" s="24">
        <f>IFERROR(W1340/U1340,0)</f>
        <v/>
      </c>
    </row>
    <row r="1341">
      <c r="A1341" s="25">
        <f>ItensPedido!A1341</f>
        <v/>
      </c>
      <c r="B1341" s="25">
        <f>ItensPedido!B1341</f>
        <v/>
      </c>
      <c r="C1341" s="25">
        <f>ItensPedido!C1341</f>
        <v/>
      </c>
      <c r="D1341" s="25">
        <f>ItensPedido!D1341</f>
        <v/>
      </c>
      <c r="E1341" s="26">
        <f>ItensPedido!E1341</f>
        <v/>
      </c>
      <c r="F1341" s="25">
        <f>IFERROR(INDEX(Pedidos!$B$2:$B$1801,MATCH(B1341,Pedidos!$A$2:$A$1801,0)),0)</f>
        <v/>
      </c>
      <c r="G1341" s="25">
        <f>IF(F1341=0,"",YEAR(F1341))</f>
        <v/>
      </c>
      <c r="H1341" s="25">
        <f>IF(F1341=0,"",MONTH(F1341))</f>
        <v/>
      </c>
      <c r="I1341" s="25">
        <f>IFERROR(INDEX(Pedidos!$E$2:$E$1801,MATCH(B1341,Pedidos!$A$2:$A$1801,0)),"")</f>
        <v/>
      </c>
      <c r="J1341" s="25">
        <f>IFERROR(INDEX(Pedidos!$C$2:$C$1801,MATCH(B1341,Pedidos!$A$2:$A$1801,0)),"")</f>
        <v/>
      </c>
      <c r="K1341" s="25">
        <f>IFERROR(INDEX(Pedidos!$D$2:$D$1801,MATCH(B1341,Pedidos!$A$2:$A$1801,0)),"")</f>
        <v/>
      </c>
      <c r="L1341" s="25">
        <f>IFERROR(INDEX(Pedidos!$F$2:$F$1801,MATCH(B1341,Pedidos!$A$2:$A$1801,0)),"")</f>
        <v/>
      </c>
      <c r="M1341" s="26">
        <f>IFERROR(INDEX(Pedidos!$G$2:$G$1801,MATCH(B1341,Pedidos!$A$2:$A$1801,0)),0)</f>
        <v/>
      </c>
      <c r="N1341" s="25">
        <f>IFERROR(INDEX(Produtos!$B$2:$B$71,MATCH(C1341,Produtos!$A$2:$A$71,0)),"")</f>
        <v/>
      </c>
      <c r="O1341" s="25">
        <f>IFERROR(INDEX(Produtos!$C$2:$C$71,MATCH(C1341,Produtos!$A$2:$A$71,0)),"")</f>
        <v/>
      </c>
      <c r="P1341" s="25">
        <f>IFERROR(INDEX(Produtos!$D$2:$D$71,MATCH(C1341,Produtos!$A$2:$A$71,0)),0)</f>
        <v/>
      </c>
      <c r="Q1341" s="25">
        <f>IFERROR(INDEX(Produtos!$E$2:$E$71,MATCH(C1341,Produtos!$A$2:$A$71,0)),0)</f>
        <v/>
      </c>
      <c r="R1341" s="27">
        <f>D1341*Q1341</f>
        <v/>
      </c>
      <c r="S1341" s="27">
        <f>R1341*E1341</f>
        <v/>
      </c>
      <c r="T1341" s="27">
        <f>(R1341-S1341)*M1341</f>
        <v/>
      </c>
      <c r="U1341" s="27">
        <f>R1341-S1341-T1341</f>
        <v/>
      </c>
      <c r="V1341" s="27">
        <f>D1341*P1341</f>
        <v/>
      </c>
      <c r="W1341" s="27">
        <f>U1341-V1341</f>
        <v/>
      </c>
      <c r="X1341" s="28">
        <f>IFERROR(W1341/U1341,0)</f>
        <v/>
      </c>
    </row>
    <row r="1342">
      <c r="A1342" s="21">
        <f>ItensPedido!A1342</f>
        <v/>
      </c>
      <c r="B1342" s="21">
        <f>ItensPedido!B1342</f>
        <v/>
      </c>
      <c r="C1342" s="21">
        <f>ItensPedido!C1342</f>
        <v/>
      </c>
      <c r="D1342" s="21">
        <f>ItensPedido!D1342</f>
        <v/>
      </c>
      <c r="E1342" s="22">
        <f>ItensPedido!E1342</f>
        <v/>
      </c>
      <c r="F1342" s="21">
        <f>IFERROR(INDEX(Pedidos!$B$2:$B$1801,MATCH(B1342,Pedidos!$A$2:$A$1801,0)),0)</f>
        <v/>
      </c>
      <c r="G1342" s="21">
        <f>IF(F1342=0,"",YEAR(F1342))</f>
        <v/>
      </c>
      <c r="H1342" s="21">
        <f>IF(F1342=0,"",MONTH(F1342))</f>
        <v/>
      </c>
      <c r="I1342" s="21">
        <f>IFERROR(INDEX(Pedidos!$E$2:$E$1801,MATCH(B1342,Pedidos!$A$2:$A$1801,0)),"")</f>
        <v/>
      </c>
      <c r="J1342" s="21">
        <f>IFERROR(INDEX(Pedidos!$C$2:$C$1801,MATCH(B1342,Pedidos!$A$2:$A$1801,0)),"")</f>
        <v/>
      </c>
      <c r="K1342" s="21">
        <f>IFERROR(INDEX(Pedidos!$D$2:$D$1801,MATCH(B1342,Pedidos!$A$2:$A$1801,0)),"")</f>
        <v/>
      </c>
      <c r="L1342" s="21">
        <f>IFERROR(INDEX(Pedidos!$F$2:$F$1801,MATCH(B1342,Pedidos!$A$2:$A$1801,0)),"")</f>
        <v/>
      </c>
      <c r="M1342" s="22">
        <f>IFERROR(INDEX(Pedidos!$G$2:$G$1801,MATCH(B1342,Pedidos!$A$2:$A$1801,0)),0)</f>
        <v/>
      </c>
      <c r="N1342" s="21">
        <f>IFERROR(INDEX(Produtos!$B$2:$B$71,MATCH(C1342,Produtos!$A$2:$A$71,0)),"")</f>
        <v/>
      </c>
      <c r="O1342" s="21">
        <f>IFERROR(INDEX(Produtos!$C$2:$C$71,MATCH(C1342,Produtos!$A$2:$A$71,0)),"")</f>
        <v/>
      </c>
      <c r="P1342" s="21">
        <f>IFERROR(INDEX(Produtos!$D$2:$D$71,MATCH(C1342,Produtos!$A$2:$A$71,0)),0)</f>
        <v/>
      </c>
      <c r="Q1342" s="21">
        <f>IFERROR(INDEX(Produtos!$E$2:$E$71,MATCH(C1342,Produtos!$A$2:$A$71,0)),0)</f>
        <v/>
      </c>
      <c r="R1342" s="23">
        <f>D1342*Q1342</f>
        <v/>
      </c>
      <c r="S1342" s="23">
        <f>R1342*E1342</f>
        <v/>
      </c>
      <c r="T1342" s="23">
        <f>(R1342-S1342)*M1342</f>
        <v/>
      </c>
      <c r="U1342" s="23">
        <f>R1342-S1342-T1342</f>
        <v/>
      </c>
      <c r="V1342" s="23">
        <f>D1342*P1342</f>
        <v/>
      </c>
      <c r="W1342" s="23">
        <f>U1342-V1342</f>
        <v/>
      </c>
      <c r="X1342" s="24">
        <f>IFERROR(W1342/U1342,0)</f>
        <v/>
      </c>
    </row>
    <row r="1343">
      <c r="A1343" s="25">
        <f>ItensPedido!A1343</f>
        <v/>
      </c>
      <c r="B1343" s="25">
        <f>ItensPedido!B1343</f>
        <v/>
      </c>
      <c r="C1343" s="25">
        <f>ItensPedido!C1343</f>
        <v/>
      </c>
      <c r="D1343" s="25">
        <f>ItensPedido!D1343</f>
        <v/>
      </c>
      <c r="E1343" s="26">
        <f>ItensPedido!E1343</f>
        <v/>
      </c>
      <c r="F1343" s="25">
        <f>IFERROR(INDEX(Pedidos!$B$2:$B$1801,MATCH(B1343,Pedidos!$A$2:$A$1801,0)),0)</f>
        <v/>
      </c>
      <c r="G1343" s="25">
        <f>IF(F1343=0,"",YEAR(F1343))</f>
        <v/>
      </c>
      <c r="H1343" s="25">
        <f>IF(F1343=0,"",MONTH(F1343))</f>
        <v/>
      </c>
      <c r="I1343" s="25">
        <f>IFERROR(INDEX(Pedidos!$E$2:$E$1801,MATCH(B1343,Pedidos!$A$2:$A$1801,0)),"")</f>
        <v/>
      </c>
      <c r="J1343" s="25">
        <f>IFERROR(INDEX(Pedidos!$C$2:$C$1801,MATCH(B1343,Pedidos!$A$2:$A$1801,0)),"")</f>
        <v/>
      </c>
      <c r="K1343" s="25">
        <f>IFERROR(INDEX(Pedidos!$D$2:$D$1801,MATCH(B1343,Pedidos!$A$2:$A$1801,0)),"")</f>
        <v/>
      </c>
      <c r="L1343" s="25">
        <f>IFERROR(INDEX(Pedidos!$F$2:$F$1801,MATCH(B1343,Pedidos!$A$2:$A$1801,0)),"")</f>
        <v/>
      </c>
      <c r="M1343" s="26">
        <f>IFERROR(INDEX(Pedidos!$G$2:$G$1801,MATCH(B1343,Pedidos!$A$2:$A$1801,0)),0)</f>
        <v/>
      </c>
      <c r="N1343" s="25">
        <f>IFERROR(INDEX(Produtos!$B$2:$B$71,MATCH(C1343,Produtos!$A$2:$A$71,0)),"")</f>
        <v/>
      </c>
      <c r="O1343" s="25">
        <f>IFERROR(INDEX(Produtos!$C$2:$C$71,MATCH(C1343,Produtos!$A$2:$A$71,0)),"")</f>
        <v/>
      </c>
      <c r="P1343" s="25">
        <f>IFERROR(INDEX(Produtos!$D$2:$D$71,MATCH(C1343,Produtos!$A$2:$A$71,0)),0)</f>
        <v/>
      </c>
      <c r="Q1343" s="25">
        <f>IFERROR(INDEX(Produtos!$E$2:$E$71,MATCH(C1343,Produtos!$A$2:$A$71,0)),0)</f>
        <v/>
      </c>
      <c r="R1343" s="27">
        <f>D1343*Q1343</f>
        <v/>
      </c>
      <c r="S1343" s="27">
        <f>R1343*E1343</f>
        <v/>
      </c>
      <c r="T1343" s="27">
        <f>(R1343-S1343)*M1343</f>
        <v/>
      </c>
      <c r="U1343" s="27">
        <f>R1343-S1343-T1343</f>
        <v/>
      </c>
      <c r="V1343" s="27">
        <f>D1343*P1343</f>
        <v/>
      </c>
      <c r="W1343" s="27">
        <f>U1343-V1343</f>
        <v/>
      </c>
      <c r="X1343" s="28">
        <f>IFERROR(W1343/U1343,0)</f>
        <v/>
      </c>
    </row>
    <row r="1344">
      <c r="A1344" s="21">
        <f>ItensPedido!A1344</f>
        <v/>
      </c>
      <c r="B1344" s="21">
        <f>ItensPedido!B1344</f>
        <v/>
      </c>
      <c r="C1344" s="21">
        <f>ItensPedido!C1344</f>
        <v/>
      </c>
      <c r="D1344" s="21">
        <f>ItensPedido!D1344</f>
        <v/>
      </c>
      <c r="E1344" s="22">
        <f>ItensPedido!E1344</f>
        <v/>
      </c>
      <c r="F1344" s="21">
        <f>IFERROR(INDEX(Pedidos!$B$2:$B$1801,MATCH(B1344,Pedidos!$A$2:$A$1801,0)),0)</f>
        <v/>
      </c>
      <c r="G1344" s="21">
        <f>IF(F1344=0,"",YEAR(F1344))</f>
        <v/>
      </c>
      <c r="H1344" s="21">
        <f>IF(F1344=0,"",MONTH(F1344))</f>
        <v/>
      </c>
      <c r="I1344" s="21">
        <f>IFERROR(INDEX(Pedidos!$E$2:$E$1801,MATCH(B1344,Pedidos!$A$2:$A$1801,0)),"")</f>
        <v/>
      </c>
      <c r="J1344" s="21">
        <f>IFERROR(INDEX(Pedidos!$C$2:$C$1801,MATCH(B1344,Pedidos!$A$2:$A$1801,0)),"")</f>
        <v/>
      </c>
      <c r="K1344" s="21">
        <f>IFERROR(INDEX(Pedidos!$D$2:$D$1801,MATCH(B1344,Pedidos!$A$2:$A$1801,0)),"")</f>
        <v/>
      </c>
      <c r="L1344" s="21">
        <f>IFERROR(INDEX(Pedidos!$F$2:$F$1801,MATCH(B1344,Pedidos!$A$2:$A$1801,0)),"")</f>
        <v/>
      </c>
      <c r="M1344" s="22">
        <f>IFERROR(INDEX(Pedidos!$G$2:$G$1801,MATCH(B1344,Pedidos!$A$2:$A$1801,0)),0)</f>
        <v/>
      </c>
      <c r="N1344" s="21">
        <f>IFERROR(INDEX(Produtos!$B$2:$B$71,MATCH(C1344,Produtos!$A$2:$A$71,0)),"")</f>
        <v/>
      </c>
      <c r="O1344" s="21">
        <f>IFERROR(INDEX(Produtos!$C$2:$C$71,MATCH(C1344,Produtos!$A$2:$A$71,0)),"")</f>
        <v/>
      </c>
      <c r="P1344" s="21">
        <f>IFERROR(INDEX(Produtos!$D$2:$D$71,MATCH(C1344,Produtos!$A$2:$A$71,0)),0)</f>
        <v/>
      </c>
      <c r="Q1344" s="21">
        <f>IFERROR(INDEX(Produtos!$E$2:$E$71,MATCH(C1344,Produtos!$A$2:$A$71,0)),0)</f>
        <v/>
      </c>
      <c r="R1344" s="23">
        <f>D1344*Q1344</f>
        <v/>
      </c>
      <c r="S1344" s="23">
        <f>R1344*E1344</f>
        <v/>
      </c>
      <c r="T1344" s="23">
        <f>(R1344-S1344)*M1344</f>
        <v/>
      </c>
      <c r="U1344" s="23">
        <f>R1344-S1344-T1344</f>
        <v/>
      </c>
      <c r="V1344" s="23">
        <f>D1344*P1344</f>
        <v/>
      </c>
      <c r="W1344" s="23">
        <f>U1344-V1344</f>
        <v/>
      </c>
      <c r="X1344" s="24">
        <f>IFERROR(W1344/U1344,0)</f>
        <v/>
      </c>
    </row>
    <row r="1345">
      <c r="A1345" s="25">
        <f>ItensPedido!A1345</f>
        <v/>
      </c>
      <c r="B1345" s="25">
        <f>ItensPedido!B1345</f>
        <v/>
      </c>
      <c r="C1345" s="25">
        <f>ItensPedido!C1345</f>
        <v/>
      </c>
      <c r="D1345" s="25">
        <f>ItensPedido!D1345</f>
        <v/>
      </c>
      <c r="E1345" s="26">
        <f>ItensPedido!E1345</f>
        <v/>
      </c>
      <c r="F1345" s="25">
        <f>IFERROR(INDEX(Pedidos!$B$2:$B$1801,MATCH(B1345,Pedidos!$A$2:$A$1801,0)),0)</f>
        <v/>
      </c>
      <c r="G1345" s="25">
        <f>IF(F1345=0,"",YEAR(F1345))</f>
        <v/>
      </c>
      <c r="H1345" s="25">
        <f>IF(F1345=0,"",MONTH(F1345))</f>
        <v/>
      </c>
      <c r="I1345" s="25">
        <f>IFERROR(INDEX(Pedidos!$E$2:$E$1801,MATCH(B1345,Pedidos!$A$2:$A$1801,0)),"")</f>
        <v/>
      </c>
      <c r="J1345" s="25">
        <f>IFERROR(INDEX(Pedidos!$C$2:$C$1801,MATCH(B1345,Pedidos!$A$2:$A$1801,0)),"")</f>
        <v/>
      </c>
      <c r="K1345" s="25">
        <f>IFERROR(INDEX(Pedidos!$D$2:$D$1801,MATCH(B1345,Pedidos!$A$2:$A$1801,0)),"")</f>
        <v/>
      </c>
      <c r="L1345" s="25">
        <f>IFERROR(INDEX(Pedidos!$F$2:$F$1801,MATCH(B1345,Pedidos!$A$2:$A$1801,0)),"")</f>
        <v/>
      </c>
      <c r="M1345" s="26">
        <f>IFERROR(INDEX(Pedidos!$G$2:$G$1801,MATCH(B1345,Pedidos!$A$2:$A$1801,0)),0)</f>
        <v/>
      </c>
      <c r="N1345" s="25">
        <f>IFERROR(INDEX(Produtos!$B$2:$B$71,MATCH(C1345,Produtos!$A$2:$A$71,0)),"")</f>
        <v/>
      </c>
      <c r="O1345" s="25">
        <f>IFERROR(INDEX(Produtos!$C$2:$C$71,MATCH(C1345,Produtos!$A$2:$A$71,0)),"")</f>
        <v/>
      </c>
      <c r="P1345" s="25">
        <f>IFERROR(INDEX(Produtos!$D$2:$D$71,MATCH(C1345,Produtos!$A$2:$A$71,0)),0)</f>
        <v/>
      </c>
      <c r="Q1345" s="25">
        <f>IFERROR(INDEX(Produtos!$E$2:$E$71,MATCH(C1345,Produtos!$A$2:$A$71,0)),0)</f>
        <v/>
      </c>
      <c r="R1345" s="27">
        <f>D1345*Q1345</f>
        <v/>
      </c>
      <c r="S1345" s="27">
        <f>R1345*E1345</f>
        <v/>
      </c>
      <c r="T1345" s="27">
        <f>(R1345-S1345)*M1345</f>
        <v/>
      </c>
      <c r="U1345" s="27">
        <f>R1345-S1345-T1345</f>
        <v/>
      </c>
      <c r="V1345" s="27">
        <f>D1345*P1345</f>
        <v/>
      </c>
      <c r="W1345" s="27">
        <f>U1345-V1345</f>
        <v/>
      </c>
      <c r="X1345" s="28">
        <f>IFERROR(W1345/U1345,0)</f>
        <v/>
      </c>
    </row>
    <row r="1346">
      <c r="A1346" s="21">
        <f>ItensPedido!A1346</f>
        <v/>
      </c>
      <c r="B1346" s="21">
        <f>ItensPedido!B1346</f>
        <v/>
      </c>
      <c r="C1346" s="21">
        <f>ItensPedido!C1346</f>
        <v/>
      </c>
      <c r="D1346" s="21">
        <f>ItensPedido!D1346</f>
        <v/>
      </c>
      <c r="E1346" s="22">
        <f>ItensPedido!E1346</f>
        <v/>
      </c>
      <c r="F1346" s="21">
        <f>IFERROR(INDEX(Pedidos!$B$2:$B$1801,MATCH(B1346,Pedidos!$A$2:$A$1801,0)),0)</f>
        <v/>
      </c>
      <c r="G1346" s="21">
        <f>IF(F1346=0,"",YEAR(F1346))</f>
        <v/>
      </c>
      <c r="H1346" s="21">
        <f>IF(F1346=0,"",MONTH(F1346))</f>
        <v/>
      </c>
      <c r="I1346" s="21">
        <f>IFERROR(INDEX(Pedidos!$E$2:$E$1801,MATCH(B1346,Pedidos!$A$2:$A$1801,0)),"")</f>
        <v/>
      </c>
      <c r="J1346" s="21">
        <f>IFERROR(INDEX(Pedidos!$C$2:$C$1801,MATCH(B1346,Pedidos!$A$2:$A$1801,0)),"")</f>
        <v/>
      </c>
      <c r="K1346" s="21">
        <f>IFERROR(INDEX(Pedidos!$D$2:$D$1801,MATCH(B1346,Pedidos!$A$2:$A$1801,0)),"")</f>
        <v/>
      </c>
      <c r="L1346" s="21">
        <f>IFERROR(INDEX(Pedidos!$F$2:$F$1801,MATCH(B1346,Pedidos!$A$2:$A$1801,0)),"")</f>
        <v/>
      </c>
      <c r="M1346" s="22">
        <f>IFERROR(INDEX(Pedidos!$G$2:$G$1801,MATCH(B1346,Pedidos!$A$2:$A$1801,0)),0)</f>
        <v/>
      </c>
      <c r="N1346" s="21">
        <f>IFERROR(INDEX(Produtos!$B$2:$B$71,MATCH(C1346,Produtos!$A$2:$A$71,0)),"")</f>
        <v/>
      </c>
      <c r="O1346" s="21">
        <f>IFERROR(INDEX(Produtos!$C$2:$C$71,MATCH(C1346,Produtos!$A$2:$A$71,0)),"")</f>
        <v/>
      </c>
      <c r="P1346" s="21">
        <f>IFERROR(INDEX(Produtos!$D$2:$D$71,MATCH(C1346,Produtos!$A$2:$A$71,0)),0)</f>
        <v/>
      </c>
      <c r="Q1346" s="21">
        <f>IFERROR(INDEX(Produtos!$E$2:$E$71,MATCH(C1346,Produtos!$A$2:$A$71,0)),0)</f>
        <v/>
      </c>
      <c r="R1346" s="23">
        <f>D1346*Q1346</f>
        <v/>
      </c>
      <c r="S1346" s="23">
        <f>R1346*E1346</f>
        <v/>
      </c>
      <c r="T1346" s="23">
        <f>(R1346-S1346)*M1346</f>
        <v/>
      </c>
      <c r="U1346" s="23">
        <f>R1346-S1346-T1346</f>
        <v/>
      </c>
      <c r="V1346" s="23">
        <f>D1346*P1346</f>
        <v/>
      </c>
      <c r="W1346" s="23">
        <f>U1346-V1346</f>
        <v/>
      </c>
      <c r="X1346" s="24">
        <f>IFERROR(W1346/U1346,0)</f>
        <v/>
      </c>
    </row>
    <row r="1347">
      <c r="A1347" s="25">
        <f>ItensPedido!A1347</f>
        <v/>
      </c>
      <c r="B1347" s="25">
        <f>ItensPedido!B1347</f>
        <v/>
      </c>
      <c r="C1347" s="25">
        <f>ItensPedido!C1347</f>
        <v/>
      </c>
      <c r="D1347" s="25">
        <f>ItensPedido!D1347</f>
        <v/>
      </c>
      <c r="E1347" s="26">
        <f>ItensPedido!E1347</f>
        <v/>
      </c>
      <c r="F1347" s="25">
        <f>IFERROR(INDEX(Pedidos!$B$2:$B$1801,MATCH(B1347,Pedidos!$A$2:$A$1801,0)),0)</f>
        <v/>
      </c>
      <c r="G1347" s="25">
        <f>IF(F1347=0,"",YEAR(F1347))</f>
        <v/>
      </c>
      <c r="H1347" s="25">
        <f>IF(F1347=0,"",MONTH(F1347))</f>
        <v/>
      </c>
      <c r="I1347" s="25">
        <f>IFERROR(INDEX(Pedidos!$E$2:$E$1801,MATCH(B1347,Pedidos!$A$2:$A$1801,0)),"")</f>
        <v/>
      </c>
      <c r="J1347" s="25">
        <f>IFERROR(INDEX(Pedidos!$C$2:$C$1801,MATCH(B1347,Pedidos!$A$2:$A$1801,0)),"")</f>
        <v/>
      </c>
      <c r="K1347" s="25">
        <f>IFERROR(INDEX(Pedidos!$D$2:$D$1801,MATCH(B1347,Pedidos!$A$2:$A$1801,0)),"")</f>
        <v/>
      </c>
      <c r="L1347" s="25">
        <f>IFERROR(INDEX(Pedidos!$F$2:$F$1801,MATCH(B1347,Pedidos!$A$2:$A$1801,0)),"")</f>
        <v/>
      </c>
      <c r="M1347" s="26">
        <f>IFERROR(INDEX(Pedidos!$G$2:$G$1801,MATCH(B1347,Pedidos!$A$2:$A$1801,0)),0)</f>
        <v/>
      </c>
      <c r="N1347" s="25">
        <f>IFERROR(INDEX(Produtos!$B$2:$B$71,MATCH(C1347,Produtos!$A$2:$A$71,0)),"")</f>
        <v/>
      </c>
      <c r="O1347" s="25">
        <f>IFERROR(INDEX(Produtos!$C$2:$C$71,MATCH(C1347,Produtos!$A$2:$A$71,0)),"")</f>
        <v/>
      </c>
      <c r="P1347" s="25">
        <f>IFERROR(INDEX(Produtos!$D$2:$D$71,MATCH(C1347,Produtos!$A$2:$A$71,0)),0)</f>
        <v/>
      </c>
      <c r="Q1347" s="25">
        <f>IFERROR(INDEX(Produtos!$E$2:$E$71,MATCH(C1347,Produtos!$A$2:$A$71,0)),0)</f>
        <v/>
      </c>
      <c r="R1347" s="27">
        <f>D1347*Q1347</f>
        <v/>
      </c>
      <c r="S1347" s="27">
        <f>R1347*E1347</f>
        <v/>
      </c>
      <c r="T1347" s="27">
        <f>(R1347-S1347)*M1347</f>
        <v/>
      </c>
      <c r="U1347" s="27">
        <f>R1347-S1347-T1347</f>
        <v/>
      </c>
      <c r="V1347" s="27">
        <f>D1347*P1347</f>
        <v/>
      </c>
      <c r="W1347" s="27">
        <f>U1347-V1347</f>
        <v/>
      </c>
      <c r="X1347" s="28">
        <f>IFERROR(W1347/U1347,0)</f>
        <v/>
      </c>
    </row>
    <row r="1348">
      <c r="A1348" s="21">
        <f>ItensPedido!A1348</f>
        <v/>
      </c>
      <c r="B1348" s="21">
        <f>ItensPedido!B1348</f>
        <v/>
      </c>
      <c r="C1348" s="21">
        <f>ItensPedido!C1348</f>
        <v/>
      </c>
      <c r="D1348" s="21">
        <f>ItensPedido!D1348</f>
        <v/>
      </c>
      <c r="E1348" s="22">
        <f>ItensPedido!E1348</f>
        <v/>
      </c>
      <c r="F1348" s="21">
        <f>IFERROR(INDEX(Pedidos!$B$2:$B$1801,MATCH(B1348,Pedidos!$A$2:$A$1801,0)),0)</f>
        <v/>
      </c>
      <c r="G1348" s="21">
        <f>IF(F1348=0,"",YEAR(F1348))</f>
        <v/>
      </c>
      <c r="H1348" s="21">
        <f>IF(F1348=0,"",MONTH(F1348))</f>
        <v/>
      </c>
      <c r="I1348" s="21">
        <f>IFERROR(INDEX(Pedidos!$E$2:$E$1801,MATCH(B1348,Pedidos!$A$2:$A$1801,0)),"")</f>
        <v/>
      </c>
      <c r="J1348" s="21">
        <f>IFERROR(INDEX(Pedidos!$C$2:$C$1801,MATCH(B1348,Pedidos!$A$2:$A$1801,0)),"")</f>
        <v/>
      </c>
      <c r="K1348" s="21">
        <f>IFERROR(INDEX(Pedidos!$D$2:$D$1801,MATCH(B1348,Pedidos!$A$2:$A$1801,0)),"")</f>
        <v/>
      </c>
      <c r="L1348" s="21">
        <f>IFERROR(INDEX(Pedidos!$F$2:$F$1801,MATCH(B1348,Pedidos!$A$2:$A$1801,0)),"")</f>
        <v/>
      </c>
      <c r="M1348" s="22">
        <f>IFERROR(INDEX(Pedidos!$G$2:$G$1801,MATCH(B1348,Pedidos!$A$2:$A$1801,0)),0)</f>
        <v/>
      </c>
      <c r="N1348" s="21">
        <f>IFERROR(INDEX(Produtos!$B$2:$B$71,MATCH(C1348,Produtos!$A$2:$A$71,0)),"")</f>
        <v/>
      </c>
      <c r="O1348" s="21">
        <f>IFERROR(INDEX(Produtos!$C$2:$C$71,MATCH(C1348,Produtos!$A$2:$A$71,0)),"")</f>
        <v/>
      </c>
      <c r="P1348" s="21">
        <f>IFERROR(INDEX(Produtos!$D$2:$D$71,MATCH(C1348,Produtos!$A$2:$A$71,0)),0)</f>
        <v/>
      </c>
      <c r="Q1348" s="21">
        <f>IFERROR(INDEX(Produtos!$E$2:$E$71,MATCH(C1348,Produtos!$A$2:$A$71,0)),0)</f>
        <v/>
      </c>
      <c r="R1348" s="23">
        <f>D1348*Q1348</f>
        <v/>
      </c>
      <c r="S1348" s="23">
        <f>R1348*E1348</f>
        <v/>
      </c>
      <c r="T1348" s="23">
        <f>(R1348-S1348)*M1348</f>
        <v/>
      </c>
      <c r="U1348" s="23">
        <f>R1348-S1348-T1348</f>
        <v/>
      </c>
      <c r="V1348" s="23">
        <f>D1348*P1348</f>
        <v/>
      </c>
      <c r="W1348" s="23">
        <f>U1348-V1348</f>
        <v/>
      </c>
      <c r="X1348" s="24">
        <f>IFERROR(W1348/U1348,0)</f>
        <v/>
      </c>
    </row>
    <row r="1349">
      <c r="A1349" s="25">
        <f>ItensPedido!A1349</f>
        <v/>
      </c>
      <c r="B1349" s="25">
        <f>ItensPedido!B1349</f>
        <v/>
      </c>
      <c r="C1349" s="25">
        <f>ItensPedido!C1349</f>
        <v/>
      </c>
      <c r="D1349" s="25">
        <f>ItensPedido!D1349</f>
        <v/>
      </c>
      <c r="E1349" s="26">
        <f>ItensPedido!E1349</f>
        <v/>
      </c>
      <c r="F1349" s="25">
        <f>IFERROR(INDEX(Pedidos!$B$2:$B$1801,MATCH(B1349,Pedidos!$A$2:$A$1801,0)),0)</f>
        <v/>
      </c>
      <c r="G1349" s="25">
        <f>IF(F1349=0,"",YEAR(F1349))</f>
        <v/>
      </c>
      <c r="H1349" s="25">
        <f>IF(F1349=0,"",MONTH(F1349))</f>
        <v/>
      </c>
      <c r="I1349" s="25">
        <f>IFERROR(INDEX(Pedidos!$E$2:$E$1801,MATCH(B1349,Pedidos!$A$2:$A$1801,0)),"")</f>
        <v/>
      </c>
      <c r="J1349" s="25">
        <f>IFERROR(INDEX(Pedidos!$C$2:$C$1801,MATCH(B1349,Pedidos!$A$2:$A$1801,0)),"")</f>
        <v/>
      </c>
      <c r="K1349" s="25">
        <f>IFERROR(INDEX(Pedidos!$D$2:$D$1801,MATCH(B1349,Pedidos!$A$2:$A$1801,0)),"")</f>
        <v/>
      </c>
      <c r="L1349" s="25">
        <f>IFERROR(INDEX(Pedidos!$F$2:$F$1801,MATCH(B1349,Pedidos!$A$2:$A$1801,0)),"")</f>
        <v/>
      </c>
      <c r="M1349" s="26">
        <f>IFERROR(INDEX(Pedidos!$G$2:$G$1801,MATCH(B1349,Pedidos!$A$2:$A$1801,0)),0)</f>
        <v/>
      </c>
      <c r="N1349" s="25">
        <f>IFERROR(INDEX(Produtos!$B$2:$B$71,MATCH(C1349,Produtos!$A$2:$A$71,0)),"")</f>
        <v/>
      </c>
      <c r="O1349" s="25">
        <f>IFERROR(INDEX(Produtos!$C$2:$C$71,MATCH(C1349,Produtos!$A$2:$A$71,0)),"")</f>
        <v/>
      </c>
      <c r="P1349" s="25">
        <f>IFERROR(INDEX(Produtos!$D$2:$D$71,MATCH(C1349,Produtos!$A$2:$A$71,0)),0)</f>
        <v/>
      </c>
      <c r="Q1349" s="25">
        <f>IFERROR(INDEX(Produtos!$E$2:$E$71,MATCH(C1349,Produtos!$A$2:$A$71,0)),0)</f>
        <v/>
      </c>
      <c r="R1349" s="27">
        <f>D1349*Q1349</f>
        <v/>
      </c>
      <c r="S1349" s="27">
        <f>R1349*E1349</f>
        <v/>
      </c>
      <c r="T1349" s="27">
        <f>(R1349-S1349)*M1349</f>
        <v/>
      </c>
      <c r="U1349" s="27">
        <f>R1349-S1349-T1349</f>
        <v/>
      </c>
      <c r="V1349" s="27">
        <f>D1349*P1349</f>
        <v/>
      </c>
      <c r="W1349" s="27">
        <f>U1349-V1349</f>
        <v/>
      </c>
      <c r="X1349" s="28">
        <f>IFERROR(W1349/U1349,0)</f>
        <v/>
      </c>
    </row>
    <row r="1350">
      <c r="A1350" s="21">
        <f>ItensPedido!A1350</f>
        <v/>
      </c>
      <c r="B1350" s="21">
        <f>ItensPedido!B1350</f>
        <v/>
      </c>
      <c r="C1350" s="21">
        <f>ItensPedido!C1350</f>
        <v/>
      </c>
      <c r="D1350" s="21">
        <f>ItensPedido!D1350</f>
        <v/>
      </c>
      <c r="E1350" s="22">
        <f>ItensPedido!E1350</f>
        <v/>
      </c>
      <c r="F1350" s="21">
        <f>IFERROR(INDEX(Pedidos!$B$2:$B$1801,MATCH(B1350,Pedidos!$A$2:$A$1801,0)),0)</f>
        <v/>
      </c>
      <c r="G1350" s="21">
        <f>IF(F1350=0,"",YEAR(F1350))</f>
        <v/>
      </c>
      <c r="H1350" s="21">
        <f>IF(F1350=0,"",MONTH(F1350))</f>
        <v/>
      </c>
      <c r="I1350" s="21">
        <f>IFERROR(INDEX(Pedidos!$E$2:$E$1801,MATCH(B1350,Pedidos!$A$2:$A$1801,0)),"")</f>
        <v/>
      </c>
      <c r="J1350" s="21">
        <f>IFERROR(INDEX(Pedidos!$C$2:$C$1801,MATCH(B1350,Pedidos!$A$2:$A$1801,0)),"")</f>
        <v/>
      </c>
      <c r="K1350" s="21">
        <f>IFERROR(INDEX(Pedidos!$D$2:$D$1801,MATCH(B1350,Pedidos!$A$2:$A$1801,0)),"")</f>
        <v/>
      </c>
      <c r="L1350" s="21">
        <f>IFERROR(INDEX(Pedidos!$F$2:$F$1801,MATCH(B1350,Pedidos!$A$2:$A$1801,0)),"")</f>
        <v/>
      </c>
      <c r="M1350" s="22">
        <f>IFERROR(INDEX(Pedidos!$G$2:$G$1801,MATCH(B1350,Pedidos!$A$2:$A$1801,0)),0)</f>
        <v/>
      </c>
      <c r="N1350" s="21">
        <f>IFERROR(INDEX(Produtos!$B$2:$B$71,MATCH(C1350,Produtos!$A$2:$A$71,0)),"")</f>
        <v/>
      </c>
      <c r="O1350" s="21">
        <f>IFERROR(INDEX(Produtos!$C$2:$C$71,MATCH(C1350,Produtos!$A$2:$A$71,0)),"")</f>
        <v/>
      </c>
      <c r="P1350" s="21">
        <f>IFERROR(INDEX(Produtos!$D$2:$D$71,MATCH(C1350,Produtos!$A$2:$A$71,0)),0)</f>
        <v/>
      </c>
      <c r="Q1350" s="21">
        <f>IFERROR(INDEX(Produtos!$E$2:$E$71,MATCH(C1350,Produtos!$A$2:$A$71,0)),0)</f>
        <v/>
      </c>
      <c r="R1350" s="23">
        <f>D1350*Q1350</f>
        <v/>
      </c>
      <c r="S1350" s="23">
        <f>R1350*E1350</f>
        <v/>
      </c>
      <c r="T1350" s="23">
        <f>(R1350-S1350)*M1350</f>
        <v/>
      </c>
      <c r="U1350" s="23">
        <f>R1350-S1350-T1350</f>
        <v/>
      </c>
      <c r="V1350" s="23">
        <f>D1350*P1350</f>
        <v/>
      </c>
      <c r="W1350" s="23">
        <f>U1350-V1350</f>
        <v/>
      </c>
      <c r="X1350" s="24">
        <f>IFERROR(W1350/U1350,0)</f>
        <v/>
      </c>
    </row>
    <row r="1351">
      <c r="A1351" s="25">
        <f>ItensPedido!A1351</f>
        <v/>
      </c>
      <c r="B1351" s="25">
        <f>ItensPedido!B1351</f>
        <v/>
      </c>
      <c r="C1351" s="25">
        <f>ItensPedido!C1351</f>
        <v/>
      </c>
      <c r="D1351" s="25">
        <f>ItensPedido!D1351</f>
        <v/>
      </c>
      <c r="E1351" s="26">
        <f>ItensPedido!E1351</f>
        <v/>
      </c>
      <c r="F1351" s="25">
        <f>IFERROR(INDEX(Pedidos!$B$2:$B$1801,MATCH(B1351,Pedidos!$A$2:$A$1801,0)),0)</f>
        <v/>
      </c>
      <c r="G1351" s="25">
        <f>IF(F1351=0,"",YEAR(F1351))</f>
        <v/>
      </c>
      <c r="H1351" s="25">
        <f>IF(F1351=0,"",MONTH(F1351))</f>
        <v/>
      </c>
      <c r="I1351" s="25">
        <f>IFERROR(INDEX(Pedidos!$E$2:$E$1801,MATCH(B1351,Pedidos!$A$2:$A$1801,0)),"")</f>
        <v/>
      </c>
      <c r="J1351" s="25">
        <f>IFERROR(INDEX(Pedidos!$C$2:$C$1801,MATCH(B1351,Pedidos!$A$2:$A$1801,0)),"")</f>
        <v/>
      </c>
      <c r="K1351" s="25">
        <f>IFERROR(INDEX(Pedidos!$D$2:$D$1801,MATCH(B1351,Pedidos!$A$2:$A$1801,0)),"")</f>
        <v/>
      </c>
      <c r="L1351" s="25">
        <f>IFERROR(INDEX(Pedidos!$F$2:$F$1801,MATCH(B1351,Pedidos!$A$2:$A$1801,0)),"")</f>
        <v/>
      </c>
      <c r="M1351" s="26">
        <f>IFERROR(INDEX(Pedidos!$G$2:$G$1801,MATCH(B1351,Pedidos!$A$2:$A$1801,0)),0)</f>
        <v/>
      </c>
      <c r="N1351" s="25">
        <f>IFERROR(INDEX(Produtos!$B$2:$B$71,MATCH(C1351,Produtos!$A$2:$A$71,0)),"")</f>
        <v/>
      </c>
      <c r="O1351" s="25">
        <f>IFERROR(INDEX(Produtos!$C$2:$C$71,MATCH(C1351,Produtos!$A$2:$A$71,0)),"")</f>
        <v/>
      </c>
      <c r="P1351" s="25">
        <f>IFERROR(INDEX(Produtos!$D$2:$D$71,MATCH(C1351,Produtos!$A$2:$A$71,0)),0)</f>
        <v/>
      </c>
      <c r="Q1351" s="25">
        <f>IFERROR(INDEX(Produtos!$E$2:$E$71,MATCH(C1351,Produtos!$A$2:$A$71,0)),0)</f>
        <v/>
      </c>
      <c r="R1351" s="27">
        <f>D1351*Q1351</f>
        <v/>
      </c>
      <c r="S1351" s="27">
        <f>R1351*E1351</f>
        <v/>
      </c>
      <c r="T1351" s="27">
        <f>(R1351-S1351)*M1351</f>
        <v/>
      </c>
      <c r="U1351" s="27">
        <f>R1351-S1351-T1351</f>
        <v/>
      </c>
      <c r="V1351" s="27">
        <f>D1351*P1351</f>
        <v/>
      </c>
      <c r="W1351" s="27">
        <f>U1351-V1351</f>
        <v/>
      </c>
      <c r="X1351" s="28">
        <f>IFERROR(W1351/U1351,0)</f>
        <v/>
      </c>
    </row>
    <row r="1352">
      <c r="A1352" s="21">
        <f>ItensPedido!A1352</f>
        <v/>
      </c>
      <c r="B1352" s="21">
        <f>ItensPedido!B1352</f>
        <v/>
      </c>
      <c r="C1352" s="21">
        <f>ItensPedido!C1352</f>
        <v/>
      </c>
      <c r="D1352" s="21">
        <f>ItensPedido!D1352</f>
        <v/>
      </c>
      <c r="E1352" s="22">
        <f>ItensPedido!E1352</f>
        <v/>
      </c>
      <c r="F1352" s="21">
        <f>IFERROR(INDEX(Pedidos!$B$2:$B$1801,MATCH(B1352,Pedidos!$A$2:$A$1801,0)),0)</f>
        <v/>
      </c>
      <c r="G1352" s="21">
        <f>IF(F1352=0,"",YEAR(F1352))</f>
        <v/>
      </c>
      <c r="H1352" s="21">
        <f>IF(F1352=0,"",MONTH(F1352))</f>
        <v/>
      </c>
      <c r="I1352" s="21">
        <f>IFERROR(INDEX(Pedidos!$E$2:$E$1801,MATCH(B1352,Pedidos!$A$2:$A$1801,0)),"")</f>
        <v/>
      </c>
      <c r="J1352" s="21">
        <f>IFERROR(INDEX(Pedidos!$C$2:$C$1801,MATCH(B1352,Pedidos!$A$2:$A$1801,0)),"")</f>
        <v/>
      </c>
      <c r="K1352" s="21">
        <f>IFERROR(INDEX(Pedidos!$D$2:$D$1801,MATCH(B1352,Pedidos!$A$2:$A$1801,0)),"")</f>
        <v/>
      </c>
      <c r="L1352" s="21">
        <f>IFERROR(INDEX(Pedidos!$F$2:$F$1801,MATCH(B1352,Pedidos!$A$2:$A$1801,0)),"")</f>
        <v/>
      </c>
      <c r="M1352" s="22">
        <f>IFERROR(INDEX(Pedidos!$G$2:$G$1801,MATCH(B1352,Pedidos!$A$2:$A$1801,0)),0)</f>
        <v/>
      </c>
      <c r="N1352" s="21">
        <f>IFERROR(INDEX(Produtos!$B$2:$B$71,MATCH(C1352,Produtos!$A$2:$A$71,0)),"")</f>
        <v/>
      </c>
      <c r="O1352" s="21">
        <f>IFERROR(INDEX(Produtos!$C$2:$C$71,MATCH(C1352,Produtos!$A$2:$A$71,0)),"")</f>
        <v/>
      </c>
      <c r="P1352" s="21">
        <f>IFERROR(INDEX(Produtos!$D$2:$D$71,MATCH(C1352,Produtos!$A$2:$A$71,0)),0)</f>
        <v/>
      </c>
      <c r="Q1352" s="21">
        <f>IFERROR(INDEX(Produtos!$E$2:$E$71,MATCH(C1352,Produtos!$A$2:$A$71,0)),0)</f>
        <v/>
      </c>
      <c r="R1352" s="23">
        <f>D1352*Q1352</f>
        <v/>
      </c>
      <c r="S1352" s="23">
        <f>R1352*E1352</f>
        <v/>
      </c>
      <c r="T1352" s="23">
        <f>(R1352-S1352)*M1352</f>
        <v/>
      </c>
      <c r="U1352" s="23">
        <f>R1352-S1352-T1352</f>
        <v/>
      </c>
      <c r="V1352" s="23">
        <f>D1352*P1352</f>
        <v/>
      </c>
      <c r="W1352" s="23">
        <f>U1352-V1352</f>
        <v/>
      </c>
      <c r="X1352" s="24">
        <f>IFERROR(W1352/U1352,0)</f>
        <v/>
      </c>
    </row>
    <row r="1353">
      <c r="A1353" s="25">
        <f>ItensPedido!A1353</f>
        <v/>
      </c>
      <c r="B1353" s="25">
        <f>ItensPedido!B1353</f>
        <v/>
      </c>
      <c r="C1353" s="25">
        <f>ItensPedido!C1353</f>
        <v/>
      </c>
      <c r="D1353" s="25">
        <f>ItensPedido!D1353</f>
        <v/>
      </c>
      <c r="E1353" s="26">
        <f>ItensPedido!E1353</f>
        <v/>
      </c>
      <c r="F1353" s="25">
        <f>IFERROR(INDEX(Pedidos!$B$2:$B$1801,MATCH(B1353,Pedidos!$A$2:$A$1801,0)),0)</f>
        <v/>
      </c>
      <c r="G1353" s="25">
        <f>IF(F1353=0,"",YEAR(F1353))</f>
        <v/>
      </c>
      <c r="H1353" s="25">
        <f>IF(F1353=0,"",MONTH(F1353))</f>
        <v/>
      </c>
      <c r="I1353" s="25">
        <f>IFERROR(INDEX(Pedidos!$E$2:$E$1801,MATCH(B1353,Pedidos!$A$2:$A$1801,0)),"")</f>
        <v/>
      </c>
      <c r="J1353" s="25">
        <f>IFERROR(INDEX(Pedidos!$C$2:$C$1801,MATCH(B1353,Pedidos!$A$2:$A$1801,0)),"")</f>
        <v/>
      </c>
      <c r="K1353" s="25">
        <f>IFERROR(INDEX(Pedidos!$D$2:$D$1801,MATCH(B1353,Pedidos!$A$2:$A$1801,0)),"")</f>
        <v/>
      </c>
      <c r="L1353" s="25">
        <f>IFERROR(INDEX(Pedidos!$F$2:$F$1801,MATCH(B1353,Pedidos!$A$2:$A$1801,0)),"")</f>
        <v/>
      </c>
      <c r="M1353" s="26">
        <f>IFERROR(INDEX(Pedidos!$G$2:$G$1801,MATCH(B1353,Pedidos!$A$2:$A$1801,0)),0)</f>
        <v/>
      </c>
      <c r="N1353" s="25">
        <f>IFERROR(INDEX(Produtos!$B$2:$B$71,MATCH(C1353,Produtos!$A$2:$A$71,0)),"")</f>
        <v/>
      </c>
      <c r="O1353" s="25">
        <f>IFERROR(INDEX(Produtos!$C$2:$C$71,MATCH(C1353,Produtos!$A$2:$A$71,0)),"")</f>
        <v/>
      </c>
      <c r="P1353" s="25">
        <f>IFERROR(INDEX(Produtos!$D$2:$D$71,MATCH(C1353,Produtos!$A$2:$A$71,0)),0)</f>
        <v/>
      </c>
      <c r="Q1353" s="25">
        <f>IFERROR(INDEX(Produtos!$E$2:$E$71,MATCH(C1353,Produtos!$A$2:$A$71,0)),0)</f>
        <v/>
      </c>
      <c r="R1353" s="27">
        <f>D1353*Q1353</f>
        <v/>
      </c>
      <c r="S1353" s="27">
        <f>R1353*E1353</f>
        <v/>
      </c>
      <c r="T1353" s="27">
        <f>(R1353-S1353)*M1353</f>
        <v/>
      </c>
      <c r="U1353" s="27">
        <f>R1353-S1353-T1353</f>
        <v/>
      </c>
      <c r="V1353" s="27">
        <f>D1353*P1353</f>
        <v/>
      </c>
      <c r="W1353" s="27">
        <f>U1353-V1353</f>
        <v/>
      </c>
      <c r="X1353" s="28">
        <f>IFERROR(W1353/U1353,0)</f>
        <v/>
      </c>
    </row>
    <row r="1354">
      <c r="A1354" s="21">
        <f>ItensPedido!A1354</f>
        <v/>
      </c>
      <c r="B1354" s="21">
        <f>ItensPedido!B1354</f>
        <v/>
      </c>
      <c r="C1354" s="21">
        <f>ItensPedido!C1354</f>
        <v/>
      </c>
      <c r="D1354" s="21">
        <f>ItensPedido!D1354</f>
        <v/>
      </c>
      <c r="E1354" s="22">
        <f>ItensPedido!E1354</f>
        <v/>
      </c>
      <c r="F1354" s="21">
        <f>IFERROR(INDEX(Pedidos!$B$2:$B$1801,MATCH(B1354,Pedidos!$A$2:$A$1801,0)),0)</f>
        <v/>
      </c>
      <c r="G1354" s="21">
        <f>IF(F1354=0,"",YEAR(F1354))</f>
        <v/>
      </c>
      <c r="H1354" s="21">
        <f>IF(F1354=0,"",MONTH(F1354))</f>
        <v/>
      </c>
      <c r="I1354" s="21">
        <f>IFERROR(INDEX(Pedidos!$E$2:$E$1801,MATCH(B1354,Pedidos!$A$2:$A$1801,0)),"")</f>
        <v/>
      </c>
      <c r="J1354" s="21">
        <f>IFERROR(INDEX(Pedidos!$C$2:$C$1801,MATCH(B1354,Pedidos!$A$2:$A$1801,0)),"")</f>
        <v/>
      </c>
      <c r="K1354" s="21">
        <f>IFERROR(INDEX(Pedidos!$D$2:$D$1801,MATCH(B1354,Pedidos!$A$2:$A$1801,0)),"")</f>
        <v/>
      </c>
      <c r="L1354" s="21">
        <f>IFERROR(INDEX(Pedidos!$F$2:$F$1801,MATCH(B1354,Pedidos!$A$2:$A$1801,0)),"")</f>
        <v/>
      </c>
      <c r="M1354" s="22">
        <f>IFERROR(INDEX(Pedidos!$G$2:$G$1801,MATCH(B1354,Pedidos!$A$2:$A$1801,0)),0)</f>
        <v/>
      </c>
      <c r="N1354" s="21">
        <f>IFERROR(INDEX(Produtos!$B$2:$B$71,MATCH(C1354,Produtos!$A$2:$A$71,0)),"")</f>
        <v/>
      </c>
      <c r="O1354" s="21">
        <f>IFERROR(INDEX(Produtos!$C$2:$C$71,MATCH(C1354,Produtos!$A$2:$A$71,0)),"")</f>
        <v/>
      </c>
      <c r="P1354" s="21">
        <f>IFERROR(INDEX(Produtos!$D$2:$D$71,MATCH(C1354,Produtos!$A$2:$A$71,0)),0)</f>
        <v/>
      </c>
      <c r="Q1354" s="21">
        <f>IFERROR(INDEX(Produtos!$E$2:$E$71,MATCH(C1354,Produtos!$A$2:$A$71,0)),0)</f>
        <v/>
      </c>
      <c r="R1354" s="23">
        <f>D1354*Q1354</f>
        <v/>
      </c>
      <c r="S1354" s="23">
        <f>R1354*E1354</f>
        <v/>
      </c>
      <c r="T1354" s="23">
        <f>(R1354-S1354)*M1354</f>
        <v/>
      </c>
      <c r="U1354" s="23">
        <f>R1354-S1354-T1354</f>
        <v/>
      </c>
      <c r="V1354" s="23">
        <f>D1354*P1354</f>
        <v/>
      </c>
      <c r="W1354" s="23">
        <f>U1354-V1354</f>
        <v/>
      </c>
      <c r="X1354" s="24">
        <f>IFERROR(W1354/U1354,0)</f>
        <v/>
      </c>
    </row>
    <row r="1355">
      <c r="A1355" s="25">
        <f>ItensPedido!A1355</f>
        <v/>
      </c>
      <c r="B1355" s="25">
        <f>ItensPedido!B1355</f>
        <v/>
      </c>
      <c r="C1355" s="25">
        <f>ItensPedido!C1355</f>
        <v/>
      </c>
      <c r="D1355" s="25">
        <f>ItensPedido!D1355</f>
        <v/>
      </c>
      <c r="E1355" s="26">
        <f>ItensPedido!E1355</f>
        <v/>
      </c>
      <c r="F1355" s="25">
        <f>IFERROR(INDEX(Pedidos!$B$2:$B$1801,MATCH(B1355,Pedidos!$A$2:$A$1801,0)),0)</f>
        <v/>
      </c>
      <c r="G1355" s="25">
        <f>IF(F1355=0,"",YEAR(F1355))</f>
        <v/>
      </c>
      <c r="H1355" s="25">
        <f>IF(F1355=0,"",MONTH(F1355))</f>
        <v/>
      </c>
      <c r="I1355" s="25">
        <f>IFERROR(INDEX(Pedidos!$E$2:$E$1801,MATCH(B1355,Pedidos!$A$2:$A$1801,0)),"")</f>
        <v/>
      </c>
      <c r="J1355" s="25">
        <f>IFERROR(INDEX(Pedidos!$C$2:$C$1801,MATCH(B1355,Pedidos!$A$2:$A$1801,0)),"")</f>
        <v/>
      </c>
      <c r="K1355" s="25">
        <f>IFERROR(INDEX(Pedidos!$D$2:$D$1801,MATCH(B1355,Pedidos!$A$2:$A$1801,0)),"")</f>
        <v/>
      </c>
      <c r="L1355" s="25">
        <f>IFERROR(INDEX(Pedidos!$F$2:$F$1801,MATCH(B1355,Pedidos!$A$2:$A$1801,0)),"")</f>
        <v/>
      </c>
      <c r="M1355" s="26">
        <f>IFERROR(INDEX(Pedidos!$G$2:$G$1801,MATCH(B1355,Pedidos!$A$2:$A$1801,0)),0)</f>
        <v/>
      </c>
      <c r="N1355" s="25">
        <f>IFERROR(INDEX(Produtos!$B$2:$B$71,MATCH(C1355,Produtos!$A$2:$A$71,0)),"")</f>
        <v/>
      </c>
      <c r="O1355" s="25">
        <f>IFERROR(INDEX(Produtos!$C$2:$C$71,MATCH(C1355,Produtos!$A$2:$A$71,0)),"")</f>
        <v/>
      </c>
      <c r="P1355" s="25">
        <f>IFERROR(INDEX(Produtos!$D$2:$D$71,MATCH(C1355,Produtos!$A$2:$A$71,0)),0)</f>
        <v/>
      </c>
      <c r="Q1355" s="25">
        <f>IFERROR(INDEX(Produtos!$E$2:$E$71,MATCH(C1355,Produtos!$A$2:$A$71,0)),0)</f>
        <v/>
      </c>
      <c r="R1355" s="27">
        <f>D1355*Q1355</f>
        <v/>
      </c>
      <c r="S1355" s="27">
        <f>R1355*E1355</f>
        <v/>
      </c>
      <c r="T1355" s="27">
        <f>(R1355-S1355)*M1355</f>
        <v/>
      </c>
      <c r="U1355" s="27">
        <f>R1355-S1355-T1355</f>
        <v/>
      </c>
      <c r="V1355" s="27">
        <f>D1355*P1355</f>
        <v/>
      </c>
      <c r="W1355" s="27">
        <f>U1355-V1355</f>
        <v/>
      </c>
      <c r="X1355" s="28">
        <f>IFERROR(W1355/U1355,0)</f>
        <v/>
      </c>
    </row>
    <row r="1356">
      <c r="A1356" s="21">
        <f>ItensPedido!A1356</f>
        <v/>
      </c>
      <c r="B1356" s="21">
        <f>ItensPedido!B1356</f>
        <v/>
      </c>
      <c r="C1356" s="21">
        <f>ItensPedido!C1356</f>
        <v/>
      </c>
      <c r="D1356" s="21">
        <f>ItensPedido!D1356</f>
        <v/>
      </c>
      <c r="E1356" s="22">
        <f>ItensPedido!E1356</f>
        <v/>
      </c>
      <c r="F1356" s="21">
        <f>IFERROR(INDEX(Pedidos!$B$2:$B$1801,MATCH(B1356,Pedidos!$A$2:$A$1801,0)),0)</f>
        <v/>
      </c>
      <c r="G1356" s="21">
        <f>IF(F1356=0,"",YEAR(F1356))</f>
        <v/>
      </c>
      <c r="H1356" s="21">
        <f>IF(F1356=0,"",MONTH(F1356))</f>
        <v/>
      </c>
      <c r="I1356" s="21">
        <f>IFERROR(INDEX(Pedidos!$E$2:$E$1801,MATCH(B1356,Pedidos!$A$2:$A$1801,0)),"")</f>
        <v/>
      </c>
      <c r="J1356" s="21">
        <f>IFERROR(INDEX(Pedidos!$C$2:$C$1801,MATCH(B1356,Pedidos!$A$2:$A$1801,0)),"")</f>
        <v/>
      </c>
      <c r="K1356" s="21">
        <f>IFERROR(INDEX(Pedidos!$D$2:$D$1801,MATCH(B1356,Pedidos!$A$2:$A$1801,0)),"")</f>
        <v/>
      </c>
      <c r="L1356" s="21">
        <f>IFERROR(INDEX(Pedidos!$F$2:$F$1801,MATCH(B1356,Pedidos!$A$2:$A$1801,0)),"")</f>
        <v/>
      </c>
      <c r="M1356" s="22">
        <f>IFERROR(INDEX(Pedidos!$G$2:$G$1801,MATCH(B1356,Pedidos!$A$2:$A$1801,0)),0)</f>
        <v/>
      </c>
      <c r="N1356" s="21">
        <f>IFERROR(INDEX(Produtos!$B$2:$B$71,MATCH(C1356,Produtos!$A$2:$A$71,0)),"")</f>
        <v/>
      </c>
      <c r="O1356" s="21">
        <f>IFERROR(INDEX(Produtos!$C$2:$C$71,MATCH(C1356,Produtos!$A$2:$A$71,0)),"")</f>
        <v/>
      </c>
      <c r="P1356" s="21">
        <f>IFERROR(INDEX(Produtos!$D$2:$D$71,MATCH(C1356,Produtos!$A$2:$A$71,0)),0)</f>
        <v/>
      </c>
      <c r="Q1356" s="21">
        <f>IFERROR(INDEX(Produtos!$E$2:$E$71,MATCH(C1356,Produtos!$A$2:$A$71,0)),0)</f>
        <v/>
      </c>
      <c r="R1356" s="23">
        <f>D1356*Q1356</f>
        <v/>
      </c>
      <c r="S1356" s="23">
        <f>R1356*E1356</f>
        <v/>
      </c>
      <c r="T1356" s="23">
        <f>(R1356-S1356)*M1356</f>
        <v/>
      </c>
      <c r="U1356" s="23">
        <f>R1356-S1356-T1356</f>
        <v/>
      </c>
      <c r="V1356" s="23">
        <f>D1356*P1356</f>
        <v/>
      </c>
      <c r="W1356" s="23">
        <f>U1356-V1356</f>
        <v/>
      </c>
      <c r="X1356" s="24">
        <f>IFERROR(W1356/U1356,0)</f>
        <v/>
      </c>
    </row>
    <row r="1357">
      <c r="A1357" s="25">
        <f>ItensPedido!A1357</f>
        <v/>
      </c>
      <c r="B1357" s="25">
        <f>ItensPedido!B1357</f>
        <v/>
      </c>
      <c r="C1357" s="25">
        <f>ItensPedido!C1357</f>
        <v/>
      </c>
      <c r="D1357" s="25">
        <f>ItensPedido!D1357</f>
        <v/>
      </c>
      <c r="E1357" s="26">
        <f>ItensPedido!E1357</f>
        <v/>
      </c>
      <c r="F1357" s="25">
        <f>IFERROR(INDEX(Pedidos!$B$2:$B$1801,MATCH(B1357,Pedidos!$A$2:$A$1801,0)),0)</f>
        <v/>
      </c>
      <c r="G1357" s="25">
        <f>IF(F1357=0,"",YEAR(F1357))</f>
        <v/>
      </c>
      <c r="H1357" s="25">
        <f>IF(F1357=0,"",MONTH(F1357))</f>
        <v/>
      </c>
      <c r="I1357" s="25">
        <f>IFERROR(INDEX(Pedidos!$E$2:$E$1801,MATCH(B1357,Pedidos!$A$2:$A$1801,0)),"")</f>
        <v/>
      </c>
      <c r="J1357" s="25">
        <f>IFERROR(INDEX(Pedidos!$C$2:$C$1801,MATCH(B1357,Pedidos!$A$2:$A$1801,0)),"")</f>
        <v/>
      </c>
      <c r="K1357" s="25">
        <f>IFERROR(INDEX(Pedidos!$D$2:$D$1801,MATCH(B1357,Pedidos!$A$2:$A$1801,0)),"")</f>
        <v/>
      </c>
      <c r="L1357" s="25">
        <f>IFERROR(INDEX(Pedidos!$F$2:$F$1801,MATCH(B1357,Pedidos!$A$2:$A$1801,0)),"")</f>
        <v/>
      </c>
      <c r="M1357" s="26">
        <f>IFERROR(INDEX(Pedidos!$G$2:$G$1801,MATCH(B1357,Pedidos!$A$2:$A$1801,0)),0)</f>
        <v/>
      </c>
      <c r="N1357" s="25">
        <f>IFERROR(INDEX(Produtos!$B$2:$B$71,MATCH(C1357,Produtos!$A$2:$A$71,0)),"")</f>
        <v/>
      </c>
      <c r="O1357" s="25">
        <f>IFERROR(INDEX(Produtos!$C$2:$C$71,MATCH(C1357,Produtos!$A$2:$A$71,0)),"")</f>
        <v/>
      </c>
      <c r="P1357" s="25">
        <f>IFERROR(INDEX(Produtos!$D$2:$D$71,MATCH(C1357,Produtos!$A$2:$A$71,0)),0)</f>
        <v/>
      </c>
      <c r="Q1357" s="25">
        <f>IFERROR(INDEX(Produtos!$E$2:$E$71,MATCH(C1357,Produtos!$A$2:$A$71,0)),0)</f>
        <v/>
      </c>
      <c r="R1357" s="27">
        <f>D1357*Q1357</f>
        <v/>
      </c>
      <c r="S1357" s="27">
        <f>R1357*E1357</f>
        <v/>
      </c>
      <c r="T1357" s="27">
        <f>(R1357-S1357)*M1357</f>
        <v/>
      </c>
      <c r="U1357" s="27">
        <f>R1357-S1357-T1357</f>
        <v/>
      </c>
      <c r="V1357" s="27">
        <f>D1357*P1357</f>
        <v/>
      </c>
      <c r="W1357" s="27">
        <f>U1357-V1357</f>
        <v/>
      </c>
      <c r="X1357" s="28">
        <f>IFERROR(W1357/U1357,0)</f>
        <v/>
      </c>
    </row>
    <row r="1358">
      <c r="A1358" s="21">
        <f>ItensPedido!A1358</f>
        <v/>
      </c>
      <c r="B1358" s="21">
        <f>ItensPedido!B1358</f>
        <v/>
      </c>
      <c r="C1358" s="21">
        <f>ItensPedido!C1358</f>
        <v/>
      </c>
      <c r="D1358" s="21">
        <f>ItensPedido!D1358</f>
        <v/>
      </c>
      <c r="E1358" s="22">
        <f>ItensPedido!E1358</f>
        <v/>
      </c>
      <c r="F1358" s="21">
        <f>IFERROR(INDEX(Pedidos!$B$2:$B$1801,MATCH(B1358,Pedidos!$A$2:$A$1801,0)),0)</f>
        <v/>
      </c>
      <c r="G1358" s="21">
        <f>IF(F1358=0,"",YEAR(F1358))</f>
        <v/>
      </c>
      <c r="H1358" s="21">
        <f>IF(F1358=0,"",MONTH(F1358))</f>
        <v/>
      </c>
      <c r="I1358" s="21">
        <f>IFERROR(INDEX(Pedidos!$E$2:$E$1801,MATCH(B1358,Pedidos!$A$2:$A$1801,0)),"")</f>
        <v/>
      </c>
      <c r="J1358" s="21">
        <f>IFERROR(INDEX(Pedidos!$C$2:$C$1801,MATCH(B1358,Pedidos!$A$2:$A$1801,0)),"")</f>
        <v/>
      </c>
      <c r="K1358" s="21">
        <f>IFERROR(INDEX(Pedidos!$D$2:$D$1801,MATCH(B1358,Pedidos!$A$2:$A$1801,0)),"")</f>
        <v/>
      </c>
      <c r="L1358" s="21">
        <f>IFERROR(INDEX(Pedidos!$F$2:$F$1801,MATCH(B1358,Pedidos!$A$2:$A$1801,0)),"")</f>
        <v/>
      </c>
      <c r="M1358" s="22">
        <f>IFERROR(INDEX(Pedidos!$G$2:$G$1801,MATCH(B1358,Pedidos!$A$2:$A$1801,0)),0)</f>
        <v/>
      </c>
      <c r="N1358" s="21">
        <f>IFERROR(INDEX(Produtos!$B$2:$B$71,MATCH(C1358,Produtos!$A$2:$A$71,0)),"")</f>
        <v/>
      </c>
      <c r="O1358" s="21">
        <f>IFERROR(INDEX(Produtos!$C$2:$C$71,MATCH(C1358,Produtos!$A$2:$A$71,0)),"")</f>
        <v/>
      </c>
      <c r="P1358" s="21">
        <f>IFERROR(INDEX(Produtos!$D$2:$D$71,MATCH(C1358,Produtos!$A$2:$A$71,0)),0)</f>
        <v/>
      </c>
      <c r="Q1358" s="21">
        <f>IFERROR(INDEX(Produtos!$E$2:$E$71,MATCH(C1358,Produtos!$A$2:$A$71,0)),0)</f>
        <v/>
      </c>
      <c r="R1358" s="23">
        <f>D1358*Q1358</f>
        <v/>
      </c>
      <c r="S1358" s="23">
        <f>R1358*E1358</f>
        <v/>
      </c>
      <c r="T1358" s="23">
        <f>(R1358-S1358)*M1358</f>
        <v/>
      </c>
      <c r="U1358" s="23">
        <f>R1358-S1358-T1358</f>
        <v/>
      </c>
      <c r="V1358" s="23">
        <f>D1358*P1358</f>
        <v/>
      </c>
      <c r="W1358" s="23">
        <f>U1358-V1358</f>
        <v/>
      </c>
      <c r="X1358" s="24">
        <f>IFERROR(W1358/U1358,0)</f>
        <v/>
      </c>
    </row>
    <row r="1359">
      <c r="A1359" s="25">
        <f>ItensPedido!A1359</f>
        <v/>
      </c>
      <c r="B1359" s="25">
        <f>ItensPedido!B1359</f>
        <v/>
      </c>
      <c r="C1359" s="25">
        <f>ItensPedido!C1359</f>
        <v/>
      </c>
      <c r="D1359" s="25">
        <f>ItensPedido!D1359</f>
        <v/>
      </c>
      <c r="E1359" s="26">
        <f>ItensPedido!E1359</f>
        <v/>
      </c>
      <c r="F1359" s="25">
        <f>IFERROR(INDEX(Pedidos!$B$2:$B$1801,MATCH(B1359,Pedidos!$A$2:$A$1801,0)),0)</f>
        <v/>
      </c>
      <c r="G1359" s="25">
        <f>IF(F1359=0,"",YEAR(F1359))</f>
        <v/>
      </c>
      <c r="H1359" s="25">
        <f>IF(F1359=0,"",MONTH(F1359))</f>
        <v/>
      </c>
      <c r="I1359" s="25">
        <f>IFERROR(INDEX(Pedidos!$E$2:$E$1801,MATCH(B1359,Pedidos!$A$2:$A$1801,0)),"")</f>
        <v/>
      </c>
      <c r="J1359" s="25">
        <f>IFERROR(INDEX(Pedidos!$C$2:$C$1801,MATCH(B1359,Pedidos!$A$2:$A$1801,0)),"")</f>
        <v/>
      </c>
      <c r="K1359" s="25">
        <f>IFERROR(INDEX(Pedidos!$D$2:$D$1801,MATCH(B1359,Pedidos!$A$2:$A$1801,0)),"")</f>
        <v/>
      </c>
      <c r="L1359" s="25">
        <f>IFERROR(INDEX(Pedidos!$F$2:$F$1801,MATCH(B1359,Pedidos!$A$2:$A$1801,0)),"")</f>
        <v/>
      </c>
      <c r="M1359" s="26">
        <f>IFERROR(INDEX(Pedidos!$G$2:$G$1801,MATCH(B1359,Pedidos!$A$2:$A$1801,0)),0)</f>
        <v/>
      </c>
      <c r="N1359" s="25">
        <f>IFERROR(INDEX(Produtos!$B$2:$B$71,MATCH(C1359,Produtos!$A$2:$A$71,0)),"")</f>
        <v/>
      </c>
      <c r="O1359" s="25">
        <f>IFERROR(INDEX(Produtos!$C$2:$C$71,MATCH(C1359,Produtos!$A$2:$A$71,0)),"")</f>
        <v/>
      </c>
      <c r="P1359" s="25">
        <f>IFERROR(INDEX(Produtos!$D$2:$D$71,MATCH(C1359,Produtos!$A$2:$A$71,0)),0)</f>
        <v/>
      </c>
      <c r="Q1359" s="25">
        <f>IFERROR(INDEX(Produtos!$E$2:$E$71,MATCH(C1359,Produtos!$A$2:$A$71,0)),0)</f>
        <v/>
      </c>
      <c r="R1359" s="27">
        <f>D1359*Q1359</f>
        <v/>
      </c>
      <c r="S1359" s="27">
        <f>R1359*E1359</f>
        <v/>
      </c>
      <c r="T1359" s="27">
        <f>(R1359-S1359)*M1359</f>
        <v/>
      </c>
      <c r="U1359" s="27">
        <f>R1359-S1359-T1359</f>
        <v/>
      </c>
      <c r="V1359" s="27">
        <f>D1359*P1359</f>
        <v/>
      </c>
      <c r="W1359" s="27">
        <f>U1359-V1359</f>
        <v/>
      </c>
      <c r="X1359" s="28">
        <f>IFERROR(W1359/U1359,0)</f>
        <v/>
      </c>
    </row>
    <row r="1360">
      <c r="A1360" s="21">
        <f>ItensPedido!A1360</f>
        <v/>
      </c>
      <c r="B1360" s="21">
        <f>ItensPedido!B1360</f>
        <v/>
      </c>
      <c r="C1360" s="21">
        <f>ItensPedido!C1360</f>
        <v/>
      </c>
      <c r="D1360" s="21">
        <f>ItensPedido!D1360</f>
        <v/>
      </c>
      <c r="E1360" s="22">
        <f>ItensPedido!E1360</f>
        <v/>
      </c>
      <c r="F1360" s="21">
        <f>IFERROR(INDEX(Pedidos!$B$2:$B$1801,MATCH(B1360,Pedidos!$A$2:$A$1801,0)),0)</f>
        <v/>
      </c>
      <c r="G1360" s="21">
        <f>IF(F1360=0,"",YEAR(F1360))</f>
        <v/>
      </c>
      <c r="H1360" s="21">
        <f>IF(F1360=0,"",MONTH(F1360))</f>
        <v/>
      </c>
      <c r="I1360" s="21">
        <f>IFERROR(INDEX(Pedidos!$E$2:$E$1801,MATCH(B1360,Pedidos!$A$2:$A$1801,0)),"")</f>
        <v/>
      </c>
      <c r="J1360" s="21">
        <f>IFERROR(INDEX(Pedidos!$C$2:$C$1801,MATCH(B1360,Pedidos!$A$2:$A$1801,0)),"")</f>
        <v/>
      </c>
      <c r="K1360" s="21">
        <f>IFERROR(INDEX(Pedidos!$D$2:$D$1801,MATCH(B1360,Pedidos!$A$2:$A$1801,0)),"")</f>
        <v/>
      </c>
      <c r="L1360" s="21">
        <f>IFERROR(INDEX(Pedidos!$F$2:$F$1801,MATCH(B1360,Pedidos!$A$2:$A$1801,0)),"")</f>
        <v/>
      </c>
      <c r="M1360" s="22">
        <f>IFERROR(INDEX(Pedidos!$G$2:$G$1801,MATCH(B1360,Pedidos!$A$2:$A$1801,0)),0)</f>
        <v/>
      </c>
      <c r="N1360" s="21">
        <f>IFERROR(INDEX(Produtos!$B$2:$B$71,MATCH(C1360,Produtos!$A$2:$A$71,0)),"")</f>
        <v/>
      </c>
      <c r="O1360" s="21">
        <f>IFERROR(INDEX(Produtos!$C$2:$C$71,MATCH(C1360,Produtos!$A$2:$A$71,0)),"")</f>
        <v/>
      </c>
      <c r="P1360" s="21">
        <f>IFERROR(INDEX(Produtos!$D$2:$D$71,MATCH(C1360,Produtos!$A$2:$A$71,0)),0)</f>
        <v/>
      </c>
      <c r="Q1360" s="21">
        <f>IFERROR(INDEX(Produtos!$E$2:$E$71,MATCH(C1360,Produtos!$A$2:$A$71,0)),0)</f>
        <v/>
      </c>
      <c r="R1360" s="23">
        <f>D1360*Q1360</f>
        <v/>
      </c>
      <c r="S1360" s="23">
        <f>R1360*E1360</f>
        <v/>
      </c>
      <c r="T1360" s="23">
        <f>(R1360-S1360)*M1360</f>
        <v/>
      </c>
      <c r="U1360" s="23">
        <f>R1360-S1360-T1360</f>
        <v/>
      </c>
      <c r="V1360" s="23">
        <f>D1360*P1360</f>
        <v/>
      </c>
      <c r="W1360" s="23">
        <f>U1360-V1360</f>
        <v/>
      </c>
      <c r="X1360" s="24">
        <f>IFERROR(W1360/U1360,0)</f>
        <v/>
      </c>
    </row>
    <row r="1361">
      <c r="A1361" s="25">
        <f>ItensPedido!A1361</f>
        <v/>
      </c>
      <c r="B1361" s="25">
        <f>ItensPedido!B1361</f>
        <v/>
      </c>
      <c r="C1361" s="25">
        <f>ItensPedido!C1361</f>
        <v/>
      </c>
      <c r="D1361" s="25">
        <f>ItensPedido!D1361</f>
        <v/>
      </c>
      <c r="E1361" s="26">
        <f>ItensPedido!E1361</f>
        <v/>
      </c>
      <c r="F1361" s="25">
        <f>IFERROR(INDEX(Pedidos!$B$2:$B$1801,MATCH(B1361,Pedidos!$A$2:$A$1801,0)),0)</f>
        <v/>
      </c>
      <c r="G1361" s="25">
        <f>IF(F1361=0,"",YEAR(F1361))</f>
        <v/>
      </c>
      <c r="H1361" s="25">
        <f>IF(F1361=0,"",MONTH(F1361))</f>
        <v/>
      </c>
      <c r="I1361" s="25">
        <f>IFERROR(INDEX(Pedidos!$E$2:$E$1801,MATCH(B1361,Pedidos!$A$2:$A$1801,0)),"")</f>
        <v/>
      </c>
      <c r="J1361" s="25">
        <f>IFERROR(INDEX(Pedidos!$C$2:$C$1801,MATCH(B1361,Pedidos!$A$2:$A$1801,0)),"")</f>
        <v/>
      </c>
      <c r="K1361" s="25">
        <f>IFERROR(INDEX(Pedidos!$D$2:$D$1801,MATCH(B1361,Pedidos!$A$2:$A$1801,0)),"")</f>
        <v/>
      </c>
      <c r="L1361" s="25">
        <f>IFERROR(INDEX(Pedidos!$F$2:$F$1801,MATCH(B1361,Pedidos!$A$2:$A$1801,0)),"")</f>
        <v/>
      </c>
      <c r="M1361" s="26">
        <f>IFERROR(INDEX(Pedidos!$G$2:$G$1801,MATCH(B1361,Pedidos!$A$2:$A$1801,0)),0)</f>
        <v/>
      </c>
      <c r="N1361" s="25">
        <f>IFERROR(INDEX(Produtos!$B$2:$B$71,MATCH(C1361,Produtos!$A$2:$A$71,0)),"")</f>
        <v/>
      </c>
      <c r="O1361" s="25">
        <f>IFERROR(INDEX(Produtos!$C$2:$C$71,MATCH(C1361,Produtos!$A$2:$A$71,0)),"")</f>
        <v/>
      </c>
      <c r="P1361" s="25">
        <f>IFERROR(INDEX(Produtos!$D$2:$D$71,MATCH(C1361,Produtos!$A$2:$A$71,0)),0)</f>
        <v/>
      </c>
      <c r="Q1361" s="25">
        <f>IFERROR(INDEX(Produtos!$E$2:$E$71,MATCH(C1361,Produtos!$A$2:$A$71,0)),0)</f>
        <v/>
      </c>
      <c r="R1361" s="27">
        <f>D1361*Q1361</f>
        <v/>
      </c>
      <c r="S1361" s="27">
        <f>R1361*E1361</f>
        <v/>
      </c>
      <c r="T1361" s="27">
        <f>(R1361-S1361)*M1361</f>
        <v/>
      </c>
      <c r="U1361" s="27">
        <f>R1361-S1361-T1361</f>
        <v/>
      </c>
      <c r="V1361" s="27">
        <f>D1361*P1361</f>
        <v/>
      </c>
      <c r="W1361" s="27">
        <f>U1361-V1361</f>
        <v/>
      </c>
      <c r="X1361" s="28">
        <f>IFERROR(W1361/U1361,0)</f>
        <v/>
      </c>
    </row>
    <row r="1362">
      <c r="A1362" s="21">
        <f>ItensPedido!A1362</f>
        <v/>
      </c>
      <c r="B1362" s="21">
        <f>ItensPedido!B1362</f>
        <v/>
      </c>
      <c r="C1362" s="21">
        <f>ItensPedido!C1362</f>
        <v/>
      </c>
      <c r="D1362" s="21">
        <f>ItensPedido!D1362</f>
        <v/>
      </c>
      <c r="E1362" s="22">
        <f>ItensPedido!E1362</f>
        <v/>
      </c>
      <c r="F1362" s="21">
        <f>IFERROR(INDEX(Pedidos!$B$2:$B$1801,MATCH(B1362,Pedidos!$A$2:$A$1801,0)),0)</f>
        <v/>
      </c>
      <c r="G1362" s="21">
        <f>IF(F1362=0,"",YEAR(F1362))</f>
        <v/>
      </c>
      <c r="H1362" s="21">
        <f>IF(F1362=0,"",MONTH(F1362))</f>
        <v/>
      </c>
      <c r="I1362" s="21">
        <f>IFERROR(INDEX(Pedidos!$E$2:$E$1801,MATCH(B1362,Pedidos!$A$2:$A$1801,0)),"")</f>
        <v/>
      </c>
      <c r="J1362" s="21">
        <f>IFERROR(INDEX(Pedidos!$C$2:$C$1801,MATCH(B1362,Pedidos!$A$2:$A$1801,0)),"")</f>
        <v/>
      </c>
      <c r="K1362" s="21">
        <f>IFERROR(INDEX(Pedidos!$D$2:$D$1801,MATCH(B1362,Pedidos!$A$2:$A$1801,0)),"")</f>
        <v/>
      </c>
      <c r="L1362" s="21">
        <f>IFERROR(INDEX(Pedidos!$F$2:$F$1801,MATCH(B1362,Pedidos!$A$2:$A$1801,0)),"")</f>
        <v/>
      </c>
      <c r="M1362" s="22">
        <f>IFERROR(INDEX(Pedidos!$G$2:$G$1801,MATCH(B1362,Pedidos!$A$2:$A$1801,0)),0)</f>
        <v/>
      </c>
      <c r="N1362" s="21">
        <f>IFERROR(INDEX(Produtos!$B$2:$B$71,MATCH(C1362,Produtos!$A$2:$A$71,0)),"")</f>
        <v/>
      </c>
      <c r="O1362" s="21">
        <f>IFERROR(INDEX(Produtos!$C$2:$C$71,MATCH(C1362,Produtos!$A$2:$A$71,0)),"")</f>
        <v/>
      </c>
      <c r="P1362" s="21">
        <f>IFERROR(INDEX(Produtos!$D$2:$D$71,MATCH(C1362,Produtos!$A$2:$A$71,0)),0)</f>
        <v/>
      </c>
      <c r="Q1362" s="21">
        <f>IFERROR(INDEX(Produtos!$E$2:$E$71,MATCH(C1362,Produtos!$A$2:$A$71,0)),0)</f>
        <v/>
      </c>
      <c r="R1362" s="23">
        <f>D1362*Q1362</f>
        <v/>
      </c>
      <c r="S1362" s="23">
        <f>R1362*E1362</f>
        <v/>
      </c>
      <c r="T1362" s="23">
        <f>(R1362-S1362)*M1362</f>
        <v/>
      </c>
      <c r="U1362" s="23">
        <f>R1362-S1362-T1362</f>
        <v/>
      </c>
      <c r="V1362" s="23">
        <f>D1362*P1362</f>
        <v/>
      </c>
      <c r="W1362" s="23">
        <f>U1362-V1362</f>
        <v/>
      </c>
      <c r="X1362" s="24">
        <f>IFERROR(W1362/U1362,0)</f>
        <v/>
      </c>
    </row>
    <row r="1363">
      <c r="A1363" s="25">
        <f>ItensPedido!A1363</f>
        <v/>
      </c>
      <c r="B1363" s="25">
        <f>ItensPedido!B1363</f>
        <v/>
      </c>
      <c r="C1363" s="25">
        <f>ItensPedido!C1363</f>
        <v/>
      </c>
      <c r="D1363" s="25">
        <f>ItensPedido!D1363</f>
        <v/>
      </c>
      <c r="E1363" s="26">
        <f>ItensPedido!E1363</f>
        <v/>
      </c>
      <c r="F1363" s="25">
        <f>IFERROR(INDEX(Pedidos!$B$2:$B$1801,MATCH(B1363,Pedidos!$A$2:$A$1801,0)),0)</f>
        <v/>
      </c>
      <c r="G1363" s="25">
        <f>IF(F1363=0,"",YEAR(F1363))</f>
        <v/>
      </c>
      <c r="H1363" s="25">
        <f>IF(F1363=0,"",MONTH(F1363))</f>
        <v/>
      </c>
      <c r="I1363" s="25">
        <f>IFERROR(INDEX(Pedidos!$E$2:$E$1801,MATCH(B1363,Pedidos!$A$2:$A$1801,0)),"")</f>
        <v/>
      </c>
      <c r="J1363" s="25">
        <f>IFERROR(INDEX(Pedidos!$C$2:$C$1801,MATCH(B1363,Pedidos!$A$2:$A$1801,0)),"")</f>
        <v/>
      </c>
      <c r="K1363" s="25">
        <f>IFERROR(INDEX(Pedidos!$D$2:$D$1801,MATCH(B1363,Pedidos!$A$2:$A$1801,0)),"")</f>
        <v/>
      </c>
      <c r="L1363" s="25">
        <f>IFERROR(INDEX(Pedidos!$F$2:$F$1801,MATCH(B1363,Pedidos!$A$2:$A$1801,0)),"")</f>
        <v/>
      </c>
      <c r="M1363" s="26">
        <f>IFERROR(INDEX(Pedidos!$G$2:$G$1801,MATCH(B1363,Pedidos!$A$2:$A$1801,0)),0)</f>
        <v/>
      </c>
      <c r="N1363" s="25">
        <f>IFERROR(INDEX(Produtos!$B$2:$B$71,MATCH(C1363,Produtos!$A$2:$A$71,0)),"")</f>
        <v/>
      </c>
      <c r="O1363" s="25">
        <f>IFERROR(INDEX(Produtos!$C$2:$C$71,MATCH(C1363,Produtos!$A$2:$A$71,0)),"")</f>
        <v/>
      </c>
      <c r="P1363" s="25">
        <f>IFERROR(INDEX(Produtos!$D$2:$D$71,MATCH(C1363,Produtos!$A$2:$A$71,0)),0)</f>
        <v/>
      </c>
      <c r="Q1363" s="25">
        <f>IFERROR(INDEX(Produtos!$E$2:$E$71,MATCH(C1363,Produtos!$A$2:$A$71,0)),0)</f>
        <v/>
      </c>
      <c r="R1363" s="27">
        <f>D1363*Q1363</f>
        <v/>
      </c>
      <c r="S1363" s="27">
        <f>R1363*E1363</f>
        <v/>
      </c>
      <c r="T1363" s="27">
        <f>(R1363-S1363)*M1363</f>
        <v/>
      </c>
      <c r="U1363" s="27">
        <f>R1363-S1363-T1363</f>
        <v/>
      </c>
      <c r="V1363" s="27">
        <f>D1363*P1363</f>
        <v/>
      </c>
      <c r="W1363" s="27">
        <f>U1363-V1363</f>
        <v/>
      </c>
      <c r="X1363" s="28">
        <f>IFERROR(W1363/U1363,0)</f>
        <v/>
      </c>
    </row>
    <row r="1364">
      <c r="A1364" s="21">
        <f>ItensPedido!A1364</f>
        <v/>
      </c>
      <c r="B1364" s="21">
        <f>ItensPedido!B1364</f>
        <v/>
      </c>
      <c r="C1364" s="21">
        <f>ItensPedido!C1364</f>
        <v/>
      </c>
      <c r="D1364" s="21">
        <f>ItensPedido!D1364</f>
        <v/>
      </c>
      <c r="E1364" s="22">
        <f>ItensPedido!E1364</f>
        <v/>
      </c>
      <c r="F1364" s="21">
        <f>IFERROR(INDEX(Pedidos!$B$2:$B$1801,MATCH(B1364,Pedidos!$A$2:$A$1801,0)),0)</f>
        <v/>
      </c>
      <c r="G1364" s="21">
        <f>IF(F1364=0,"",YEAR(F1364))</f>
        <v/>
      </c>
      <c r="H1364" s="21">
        <f>IF(F1364=0,"",MONTH(F1364))</f>
        <v/>
      </c>
      <c r="I1364" s="21">
        <f>IFERROR(INDEX(Pedidos!$E$2:$E$1801,MATCH(B1364,Pedidos!$A$2:$A$1801,0)),"")</f>
        <v/>
      </c>
      <c r="J1364" s="21">
        <f>IFERROR(INDEX(Pedidos!$C$2:$C$1801,MATCH(B1364,Pedidos!$A$2:$A$1801,0)),"")</f>
        <v/>
      </c>
      <c r="K1364" s="21">
        <f>IFERROR(INDEX(Pedidos!$D$2:$D$1801,MATCH(B1364,Pedidos!$A$2:$A$1801,0)),"")</f>
        <v/>
      </c>
      <c r="L1364" s="21">
        <f>IFERROR(INDEX(Pedidos!$F$2:$F$1801,MATCH(B1364,Pedidos!$A$2:$A$1801,0)),"")</f>
        <v/>
      </c>
      <c r="M1364" s="22">
        <f>IFERROR(INDEX(Pedidos!$G$2:$G$1801,MATCH(B1364,Pedidos!$A$2:$A$1801,0)),0)</f>
        <v/>
      </c>
      <c r="N1364" s="21">
        <f>IFERROR(INDEX(Produtos!$B$2:$B$71,MATCH(C1364,Produtos!$A$2:$A$71,0)),"")</f>
        <v/>
      </c>
      <c r="O1364" s="21">
        <f>IFERROR(INDEX(Produtos!$C$2:$C$71,MATCH(C1364,Produtos!$A$2:$A$71,0)),"")</f>
        <v/>
      </c>
      <c r="P1364" s="21">
        <f>IFERROR(INDEX(Produtos!$D$2:$D$71,MATCH(C1364,Produtos!$A$2:$A$71,0)),0)</f>
        <v/>
      </c>
      <c r="Q1364" s="21">
        <f>IFERROR(INDEX(Produtos!$E$2:$E$71,MATCH(C1364,Produtos!$A$2:$A$71,0)),0)</f>
        <v/>
      </c>
      <c r="R1364" s="23">
        <f>D1364*Q1364</f>
        <v/>
      </c>
      <c r="S1364" s="23">
        <f>R1364*E1364</f>
        <v/>
      </c>
      <c r="T1364" s="23">
        <f>(R1364-S1364)*M1364</f>
        <v/>
      </c>
      <c r="U1364" s="23">
        <f>R1364-S1364-T1364</f>
        <v/>
      </c>
      <c r="V1364" s="23">
        <f>D1364*P1364</f>
        <v/>
      </c>
      <c r="W1364" s="23">
        <f>U1364-V1364</f>
        <v/>
      </c>
      <c r="X1364" s="24">
        <f>IFERROR(W1364/U1364,0)</f>
        <v/>
      </c>
    </row>
    <row r="1365">
      <c r="A1365" s="25">
        <f>ItensPedido!A1365</f>
        <v/>
      </c>
      <c r="B1365" s="25">
        <f>ItensPedido!B1365</f>
        <v/>
      </c>
      <c r="C1365" s="25">
        <f>ItensPedido!C1365</f>
        <v/>
      </c>
      <c r="D1365" s="25">
        <f>ItensPedido!D1365</f>
        <v/>
      </c>
      <c r="E1365" s="26">
        <f>ItensPedido!E1365</f>
        <v/>
      </c>
      <c r="F1365" s="25">
        <f>IFERROR(INDEX(Pedidos!$B$2:$B$1801,MATCH(B1365,Pedidos!$A$2:$A$1801,0)),0)</f>
        <v/>
      </c>
      <c r="G1365" s="25">
        <f>IF(F1365=0,"",YEAR(F1365))</f>
        <v/>
      </c>
      <c r="H1365" s="25">
        <f>IF(F1365=0,"",MONTH(F1365))</f>
        <v/>
      </c>
      <c r="I1365" s="25">
        <f>IFERROR(INDEX(Pedidos!$E$2:$E$1801,MATCH(B1365,Pedidos!$A$2:$A$1801,0)),"")</f>
        <v/>
      </c>
      <c r="J1365" s="25">
        <f>IFERROR(INDEX(Pedidos!$C$2:$C$1801,MATCH(B1365,Pedidos!$A$2:$A$1801,0)),"")</f>
        <v/>
      </c>
      <c r="K1365" s="25">
        <f>IFERROR(INDEX(Pedidos!$D$2:$D$1801,MATCH(B1365,Pedidos!$A$2:$A$1801,0)),"")</f>
        <v/>
      </c>
      <c r="L1365" s="25">
        <f>IFERROR(INDEX(Pedidos!$F$2:$F$1801,MATCH(B1365,Pedidos!$A$2:$A$1801,0)),"")</f>
        <v/>
      </c>
      <c r="M1365" s="26">
        <f>IFERROR(INDEX(Pedidos!$G$2:$G$1801,MATCH(B1365,Pedidos!$A$2:$A$1801,0)),0)</f>
        <v/>
      </c>
      <c r="N1365" s="25">
        <f>IFERROR(INDEX(Produtos!$B$2:$B$71,MATCH(C1365,Produtos!$A$2:$A$71,0)),"")</f>
        <v/>
      </c>
      <c r="O1365" s="25">
        <f>IFERROR(INDEX(Produtos!$C$2:$C$71,MATCH(C1365,Produtos!$A$2:$A$71,0)),"")</f>
        <v/>
      </c>
      <c r="P1365" s="25">
        <f>IFERROR(INDEX(Produtos!$D$2:$D$71,MATCH(C1365,Produtos!$A$2:$A$71,0)),0)</f>
        <v/>
      </c>
      <c r="Q1365" s="25">
        <f>IFERROR(INDEX(Produtos!$E$2:$E$71,MATCH(C1365,Produtos!$A$2:$A$71,0)),0)</f>
        <v/>
      </c>
      <c r="R1365" s="27">
        <f>D1365*Q1365</f>
        <v/>
      </c>
      <c r="S1365" s="27">
        <f>R1365*E1365</f>
        <v/>
      </c>
      <c r="T1365" s="27">
        <f>(R1365-S1365)*M1365</f>
        <v/>
      </c>
      <c r="U1365" s="27">
        <f>R1365-S1365-T1365</f>
        <v/>
      </c>
      <c r="V1365" s="27">
        <f>D1365*P1365</f>
        <v/>
      </c>
      <c r="W1365" s="27">
        <f>U1365-V1365</f>
        <v/>
      </c>
      <c r="X1365" s="28">
        <f>IFERROR(W1365/U1365,0)</f>
        <v/>
      </c>
    </row>
    <row r="1366">
      <c r="A1366" s="21">
        <f>ItensPedido!A1366</f>
        <v/>
      </c>
      <c r="B1366" s="21">
        <f>ItensPedido!B1366</f>
        <v/>
      </c>
      <c r="C1366" s="21">
        <f>ItensPedido!C1366</f>
        <v/>
      </c>
      <c r="D1366" s="21">
        <f>ItensPedido!D1366</f>
        <v/>
      </c>
      <c r="E1366" s="22">
        <f>ItensPedido!E1366</f>
        <v/>
      </c>
      <c r="F1366" s="21">
        <f>IFERROR(INDEX(Pedidos!$B$2:$B$1801,MATCH(B1366,Pedidos!$A$2:$A$1801,0)),0)</f>
        <v/>
      </c>
      <c r="G1366" s="21">
        <f>IF(F1366=0,"",YEAR(F1366))</f>
        <v/>
      </c>
      <c r="H1366" s="21">
        <f>IF(F1366=0,"",MONTH(F1366))</f>
        <v/>
      </c>
      <c r="I1366" s="21">
        <f>IFERROR(INDEX(Pedidos!$E$2:$E$1801,MATCH(B1366,Pedidos!$A$2:$A$1801,0)),"")</f>
        <v/>
      </c>
      <c r="J1366" s="21">
        <f>IFERROR(INDEX(Pedidos!$C$2:$C$1801,MATCH(B1366,Pedidos!$A$2:$A$1801,0)),"")</f>
        <v/>
      </c>
      <c r="K1366" s="21">
        <f>IFERROR(INDEX(Pedidos!$D$2:$D$1801,MATCH(B1366,Pedidos!$A$2:$A$1801,0)),"")</f>
        <v/>
      </c>
      <c r="L1366" s="21">
        <f>IFERROR(INDEX(Pedidos!$F$2:$F$1801,MATCH(B1366,Pedidos!$A$2:$A$1801,0)),"")</f>
        <v/>
      </c>
      <c r="M1366" s="22">
        <f>IFERROR(INDEX(Pedidos!$G$2:$G$1801,MATCH(B1366,Pedidos!$A$2:$A$1801,0)),0)</f>
        <v/>
      </c>
      <c r="N1366" s="21">
        <f>IFERROR(INDEX(Produtos!$B$2:$B$71,MATCH(C1366,Produtos!$A$2:$A$71,0)),"")</f>
        <v/>
      </c>
      <c r="O1366" s="21">
        <f>IFERROR(INDEX(Produtos!$C$2:$C$71,MATCH(C1366,Produtos!$A$2:$A$71,0)),"")</f>
        <v/>
      </c>
      <c r="P1366" s="21">
        <f>IFERROR(INDEX(Produtos!$D$2:$D$71,MATCH(C1366,Produtos!$A$2:$A$71,0)),0)</f>
        <v/>
      </c>
      <c r="Q1366" s="21">
        <f>IFERROR(INDEX(Produtos!$E$2:$E$71,MATCH(C1366,Produtos!$A$2:$A$71,0)),0)</f>
        <v/>
      </c>
      <c r="R1366" s="23">
        <f>D1366*Q1366</f>
        <v/>
      </c>
      <c r="S1366" s="23">
        <f>R1366*E1366</f>
        <v/>
      </c>
      <c r="T1366" s="23">
        <f>(R1366-S1366)*M1366</f>
        <v/>
      </c>
      <c r="U1366" s="23">
        <f>R1366-S1366-T1366</f>
        <v/>
      </c>
      <c r="V1366" s="23">
        <f>D1366*P1366</f>
        <v/>
      </c>
      <c r="W1366" s="23">
        <f>U1366-V1366</f>
        <v/>
      </c>
      <c r="X1366" s="24">
        <f>IFERROR(W1366/U1366,0)</f>
        <v/>
      </c>
    </row>
    <row r="1367">
      <c r="A1367" s="25">
        <f>ItensPedido!A1367</f>
        <v/>
      </c>
      <c r="B1367" s="25">
        <f>ItensPedido!B1367</f>
        <v/>
      </c>
      <c r="C1367" s="25">
        <f>ItensPedido!C1367</f>
        <v/>
      </c>
      <c r="D1367" s="25">
        <f>ItensPedido!D1367</f>
        <v/>
      </c>
      <c r="E1367" s="26">
        <f>ItensPedido!E1367</f>
        <v/>
      </c>
      <c r="F1367" s="25">
        <f>IFERROR(INDEX(Pedidos!$B$2:$B$1801,MATCH(B1367,Pedidos!$A$2:$A$1801,0)),0)</f>
        <v/>
      </c>
      <c r="G1367" s="25">
        <f>IF(F1367=0,"",YEAR(F1367))</f>
        <v/>
      </c>
      <c r="H1367" s="25">
        <f>IF(F1367=0,"",MONTH(F1367))</f>
        <v/>
      </c>
      <c r="I1367" s="25">
        <f>IFERROR(INDEX(Pedidos!$E$2:$E$1801,MATCH(B1367,Pedidos!$A$2:$A$1801,0)),"")</f>
        <v/>
      </c>
      <c r="J1367" s="25">
        <f>IFERROR(INDEX(Pedidos!$C$2:$C$1801,MATCH(B1367,Pedidos!$A$2:$A$1801,0)),"")</f>
        <v/>
      </c>
      <c r="K1367" s="25">
        <f>IFERROR(INDEX(Pedidos!$D$2:$D$1801,MATCH(B1367,Pedidos!$A$2:$A$1801,0)),"")</f>
        <v/>
      </c>
      <c r="L1367" s="25">
        <f>IFERROR(INDEX(Pedidos!$F$2:$F$1801,MATCH(B1367,Pedidos!$A$2:$A$1801,0)),"")</f>
        <v/>
      </c>
      <c r="M1367" s="26">
        <f>IFERROR(INDEX(Pedidos!$G$2:$G$1801,MATCH(B1367,Pedidos!$A$2:$A$1801,0)),0)</f>
        <v/>
      </c>
      <c r="N1367" s="25">
        <f>IFERROR(INDEX(Produtos!$B$2:$B$71,MATCH(C1367,Produtos!$A$2:$A$71,0)),"")</f>
        <v/>
      </c>
      <c r="O1367" s="25">
        <f>IFERROR(INDEX(Produtos!$C$2:$C$71,MATCH(C1367,Produtos!$A$2:$A$71,0)),"")</f>
        <v/>
      </c>
      <c r="P1367" s="25">
        <f>IFERROR(INDEX(Produtos!$D$2:$D$71,MATCH(C1367,Produtos!$A$2:$A$71,0)),0)</f>
        <v/>
      </c>
      <c r="Q1367" s="25">
        <f>IFERROR(INDEX(Produtos!$E$2:$E$71,MATCH(C1367,Produtos!$A$2:$A$71,0)),0)</f>
        <v/>
      </c>
      <c r="R1367" s="27">
        <f>D1367*Q1367</f>
        <v/>
      </c>
      <c r="S1367" s="27">
        <f>R1367*E1367</f>
        <v/>
      </c>
      <c r="T1367" s="27">
        <f>(R1367-S1367)*M1367</f>
        <v/>
      </c>
      <c r="U1367" s="27">
        <f>R1367-S1367-T1367</f>
        <v/>
      </c>
      <c r="V1367" s="27">
        <f>D1367*P1367</f>
        <v/>
      </c>
      <c r="W1367" s="27">
        <f>U1367-V1367</f>
        <v/>
      </c>
      <c r="X1367" s="28">
        <f>IFERROR(W1367/U1367,0)</f>
        <v/>
      </c>
    </row>
    <row r="1368">
      <c r="A1368" s="21">
        <f>ItensPedido!A1368</f>
        <v/>
      </c>
      <c r="B1368" s="21">
        <f>ItensPedido!B1368</f>
        <v/>
      </c>
      <c r="C1368" s="21">
        <f>ItensPedido!C1368</f>
        <v/>
      </c>
      <c r="D1368" s="21">
        <f>ItensPedido!D1368</f>
        <v/>
      </c>
      <c r="E1368" s="22">
        <f>ItensPedido!E1368</f>
        <v/>
      </c>
      <c r="F1368" s="21">
        <f>IFERROR(INDEX(Pedidos!$B$2:$B$1801,MATCH(B1368,Pedidos!$A$2:$A$1801,0)),0)</f>
        <v/>
      </c>
      <c r="G1368" s="21">
        <f>IF(F1368=0,"",YEAR(F1368))</f>
        <v/>
      </c>
      <c r="H1368" s="21">
        <f>IF(F1368=0,"",MONTH(F1368))</f>
        <v/>
      </c>
      <c r="I1368" s="21">
        <f>IFERROR(INDEX(Pedidos!$E$2:$E$1801,MATCH(B1368,Pedidos!$A$2:$A$1801,0)),"")</f>
        <v/>
      </c>
      <c r="J1368" s="21">
        <f>IFERROR(INDEX(Pedidos!$C$2:$C$1801,MATCH(B1368,Pedidos!$A$2:$A$1801,0)),"")</f>
        <v/>
      </c>
      <c r="K1368" s="21">
        <f>IFERROR(INDEX(Pedidos!$D$2:$D$1801,MATCH(B1368,Pedidos!$A$2:$A$1801,0)),"")</f>
        <v/>
      </c>
      <c r="L1368" s="21">
        <f>IFERROR(INDEX(Pedidos!$F$2:$F$1801,MATCH(B1368,Pedidos!$A$2:$A$1801,0)),"")</f>
        <v/>
      </c>
      <c r="M1368" s="22">
        <f>IFERROR(INDEX(Pedidos!$G$2:$G$1801,MATCH(B1368,Pedidos!$A$2:$A$1801,0)),0)</f>
        <v/>
      </c>
      <c r="N1368" s="21">
        <f>IFERROR(INDEX(Produtos!$B$2:$B$71,MATCH(C1368,Produtos!$A$2:$A$71,0)),"")</f>
        <v/>
      </c>
      <c r="O1368" s="21">
        <f>IFERROR(INDEX(Produtos!$C$2:$C$71,MATCH(C1368,Produtos!$A$2:$A$71,0)),"")</f>
        <v/>
      </c>
      <c r="P1368" s="21">
        <f>IFERROR(INDEX(Produtos!$D$2:$D$71,MATCH(C1368,Produtos!$A$2:$A$71,0)),0)</f>
        <v/>
      </c>
      <c r="Q1368" s="21">
        <f>IFERROR(INDEX(Produtos!$E$2:$E$71,MATCH(C1368,Produtos!$A$2:$A$71,0)),0)</f>
        <v/>
      </c>
      <c r="R1368" s="23">
        <f>D1368*Q1368</f>
        <v/>
      </c>
      <c r="S1368" s="23">
        <f>R1368*E1368</f>
        <v/>
      </c>
      <c r="T1368" s="23">
        <f>(R1368-S1368)*M1368</f>
        <v/>
      </c>
      <c r="U1368" s="23">
        <f>R1368-S1368-T1368</f>
        <v/>
      </c>
      <c r="V1368" s="23">
        <f>D1368*P1368</f>
        <v/>
      </c>
      <c r="W1368" s="23">
        <f>U1368-V1368</f>
        <v/>
      </c>
      <c r="X1368" s="24">
        <f>IFERROR(W1368/U1368,0)</f>
        <v/>
      </c>
    </row>
    <row r="1369">
      <c r="A1369" s="25">
        <f>ItensPedido!A1369</f>
        <v/>
      </c>
      <c r="B1369" s="25">
        <f>ItensPedido!B1369</f>
        <v/>
      </c>
      <c r="C1369" s="25">
        <f>ItensPedido!C1369</f>
        <v/>
      </c>
      <c r="D1369" s="25">
        <f>ItensPedido!D1369</f>
        <v/>
      </c>
      <c r="E1369" s="26">
        <f>ItensPedido!E1369</f>
        <v/>
      </c>
      <c r="F1369" s="25">
        <f>IFERROR(INDEX(Pedidos!$B$2:$B$1801,MATCH(B1369,Pedidos!$A$2:$A$1801,0)),0)</f>
        <v/>
      </c>
      <c r="G1369" s="25">
        <f>IF(F1369=0,"",YEAR(F1369))</f>
        <v/>
      </c>
      <c r="H1369" s="25">
        <f>IF(F1369=0,"",MONTH(F1369))</f>
        <v/>
      </c>
      <c r="I1369" s="25">
        <f>IFERROR(INDEX(Pedidos!$E$2:$E$1801,MATCH(B1369,Pedidos!$A$2:$A$1801,0)),"")</f>
        <v/>
      </c>
      <c r="J1369" s="25">
        <f>IFERROR(INDEX(Pedidos!$C$2:$C$1801,MATCH(B1369,Pedidos!$A$2:$A$1801,0)),"")</f>
        <v/>
      </c>
      <c r="K1369" s="25">
        <f>IFERROR(INDEX(Pedidos!$D$2:$D$1801,MATCH(B1369,Pedidos!$A$2:$A$1801,0)),"")</f>
        <v/>
      </c>
      <c r="L1369" s="25">
        <f>IFERROR(INDEX(Pedidos!$F$2:$F$1801,MATCH(B1369,Pedidos!$A$2:$A$1801,0)),"")</f>
        <v/>
      </c>
      <c r="M1369" s="26">
        <f>IFERROR(INDEX(Pedidos!$G$2:$G$1801,MATCH(B1369,Pedidos!$A$2:$A$1801,0)),0)</f>
        <v/>
      </c>
      <c r="N1369" s="25">
        <f>IFERROR(INDEX(Produtos!$B$2:$B$71,MATCH(C1369,Produtos!$A$2:$A$71,0)),"")</f>
        <v/>
      </c>
      <c r="O1369" s="25">
        <f>IFERROR(INDEX(Produtos!$C$2:$C$71,MATCH(C1369,Produtos!$A$2:$A$71,0)),"")</f>
        <v/>
      </c>
      <c r="P1369" s="25">
        <f>IFERROR(INDEX(Produtos!$D$2:$D$71,MATCH(C1369,Produtos!$A$2:$A$71,0)),0)</f>
        <v/>
      </c>
      <c r="Q1369" s="25">
        <f>IFERROR(INDEX(Produtos!$E$2:$E$71,MATCH(C1369,Produtos!$A$2:$A$71,0)),0)</f>
        <v/>
      </c>
      <c r="R1369" s="27">
        <f>D1369*Q1369</f>
        <v/>
      </c>
      <c r="S1369" s="27">
        <f>R1369*E1369</f>
        <v/>
      </c>
      <c r="T1369" s="27">
        <f>(R1369-S1369)*M1369</f>
        <v/>
      </c>
      <c r="U1369" s="27">
        <f>R1369-S1369-T1369</f>
        <v/>
      </c>
      <c r="V1369" s="27">
        <f>D1369*P1369</f>
        <v/>
      </c>
      <c r="W1369" s="27">
        <f>U1369-V1369</f>
        <v/>
      </c>
      <c r="X1369" s="28">
        <f>IFERROR(W1369/U1369,0)</f>
        <v/>
      </c>
    </row>
    <row r="1370">
      <c r="A1370" s="21">
        <f>ItensPedido!A1370</f>
        <v/>
      </c>
      <c r="B1370" s="21">
        <f>ItensPedido!B1370</f>
        <v/>
      </c>
      <c r="C1370" s="21">
        <f>ItensPedido!C1370</f>
        <v/>
      </c>
      <c r="D1370" s="21">
        <f>ItensPedido!D1370</f>
        <v/>
      </c>
      <c r="E1370" s="22">
        <f>ItensPedido!E1370</f>
        <v/>
      </c>
      <c r="F1370" s="21">
        <f>IFERROR(INDEX(Pedidos!$B$2:$B$1801,MATCH(B1370,Pedidos!$A$2:$A$1801,0)),0)</f>
        <v/>
      </c>
      <c r="G1370" s="21">
        <f>IF(F1370=0,"",YEAR(F1370))</f>
        <v/>
      </c>
      <c r="H1370" s="21">
        <f>IF(F1370=0,"",MONTH(F1370))</f>
        <v/>
      </c>
      <c r="I1370" s="21">
        <f>IFERROR(INDEX(Pedidos!$E$2:$E$1801,MATCH(B1370,Pedidos!$A$2:$A$1801,0)),"")</f>
        <v/>
      </c>
      <c r="J1370" s="21">
        <f>IFERROR(INDEX(Pedidos!$C$2:$C$1801,MATCH(B1370,Pedidos!$A$2:$A$1801,0)),"")</f>
        <v/>
      </c>
      <c r="K1370" s="21">
        <f>IFERROR(INDEX(Pedidos!$D$2:$D$1801,MATCH(B1370,Pedidos!$A$2:$A$1801,0)),"")</f>
        <v/>
      </c>
      <c r="L1370" s="21">
        <f>IFERROR(INDEX(Pedidos!$F$2:$F$1801,MATCH(B1370,Pedidos!$A$2:$A$1801,0)),"")</f>
        <v/>
      </c>
      <c r="M1370" s="22">
        <f>IFERROR(INDEX(Pedidos!$G$2:$G$1801,MATCH(B1370,Pedidos!$A$2:$A$1801,0)),0)</f>
        <v/>
      </c>
      <c r="N1370" s="21">
        <f>IFERROR(INDEX(Produtos!$B$2:$B$71,MATCH(C1370,Produtos!$A$2:$A$71,0)),"")</f>
        <v/>
      </c>
      <c r="O1370" s="21">
        <f>IFERROR(INDEX(Produtos!$C$2:$C$71,MATCH(C1370,Produtos!$A$2:$A$71,0)),"")</f>
        <v/>
      </c>
      <c r="P1370" s="21">
        <f>IFERROR(INDEX(Produtos!$D$2:$D$71,MATCH(C1370,Produtos!$A$2:$A$71,0)),0)</f>
        <v/>
      </c>
      <c r="Q1370" s="21">
        <f>IFERROR(INDEX(Produtos!$E$2:$E$71,MATCH(C1370,Produtos!$A$2:$A$71,0)),0)</f>
        <v/>
      </c>
      <c r="R1370" s="23">
        <f>D1370*Q1370</f>
        <v/>
      </c>
      <c r="S1370" s="23">
        <f>R1370*E1370</f>
        <v/>
      </c>
      <c r="T1370" s="23">
        <f>(R1370-S1370)*M1370</f>
        <v/>
      </c>
      <c r="U1370" s="23">
        <f>R1370-S1370-T1370</f>
        <v/>
      </c>
      <c r="V1370" s="23">
        <f>D1370*P1370</f>
        <v/>
      </c>
      <c r="W1370" s="23">
        <f>U1370-V1370</f>
        <v/>
      </c>
      <c r="X1370" s="24">
        <f>IFERROR(W1370/U1370,0)</f>
        <v/>
      </c>
    </row>
    <row r="1371">
      <c r="A1371" s="25">
        <f>ItensPedido!A1371</f>
        <v/>
      </c>
      <c r="B1371" s="25">
        <f>ItensPedido!B1371</f>
        <v/>
      </c>
      <c r="C1371" s="25">
        <f>ItensPedido!C1371</f>
        <v/>
      </c>
      <c r="D1371" s="25">
        <f>ItensPedido!D1371</f>
        <v/>
      </c>
      <c r="E1371" s="26">
        <f>ItensPedido!E1371</f>
        <v/>
      </c>
      <c r="F1371" s="25">
        <f>IFERROR(INDEX(Pedidos!$B$2:$B$1801,MATCH(B1371,Pedidos!$A$2:$A$1801,0)),0)</f>
        <v/>
      </c>
      <c r="G1371" s="25">
        <f>IF(F1371=0,"",YEAR(F1371))</f>
        <v/>
      </c>
      <c r="H1371" s="25">
        <f>IF(F1371=0,"",MONTH(F1371))</f>
        <v/>
      </c>
      <c r="I1371" s="25">
        <f>IFERROR(INDEX(Pedidos!$E$2:$E$1801,MATCH(B1371,Pedidos!$A$2:$A$1801,0)),"")</f>
        <v/>
      </c>
      <c r="J1371" s="25">
        <f>IFERROR(INDEX(Pedidos!$C$2:$C$1801,MATCH(B1371,Pedidos!$A$2:$A$1801,0)),"")</f>
        <v/>
      </c>
      <c r="K1371" s="25">
        <f>IFERROR(INDEX(Pedidos!$D$2:$D$1801,MATCH(B1371,Pedidos!$A$2:$A$1801,0)),"")</f>
        <v/>
      </c>
      <c r="L1371" s="25">
        <f>IFERROR(INDEX(Pedidos!$F$2:$F$1801,MATCH(B1371,Pedidos!$A$2:$A$1801,0)),"")</f>
        <v/>
      </c>
      <c r="M1371" s="26">
        <f>IFERROR(INDEX(Pedidos!$G$2:$G$1801,MATCH(B1371,Pedidos!$A$2:$A$1801,0)),0)</f>
        <v/>
      </c>
      <c r="N1371" s="25">
        <f>IFERROR(INDEX(Produtos!$B$2:$B$71,MATCH(C1371,Produtos!$A$2:$A$71,0)),"")</f>
        <v/>
      </c>
      <c r="O1371" s="25">
        <f>IFERROR(INDEX(Produtos!$C$2:$C$71,MATCH(C1371,Produtos!$A$2:$A$71,0)),"")</f>
        <v/>
      </c>
      <c r="P1371" s="25">
        <f>IFERROR(INDEX(Produtos!$D$2:$D$71,MATCH(C1371,Produtos!$A$2:$A$71,0)),0)</f>
        <v/>
      </c>
      <c r="Q1371" s="25">
        <f>IFERROR(INDEX(Produtos!$E$2:$E$71,MATCH(C1371,Produtos!$A$2:$A$71,0)),0)</f>
        <v/>
      </c>
      <c r="R1371" s="27">
        <f>D1371*Q1371</f>
        <v/>
      </c>
      <c r="S1371" s="27">
        <f>R1371*E1371</f>
        <v/>
      </c>
      <c r="T1371" s="27">
        <f>(R1371-S1371)*M1371</f>
        <v/>
      </c>
      <c r="U1371" s="27">
        <f>R1371-S1371-T1371</f>
        <v/>
      </c>
      <c r="V1371" s="27">
        <f>D1371*P1371</f>
        <v/>
      </c>
      <c r="W1371" s="27">
        <f>U1371-V1371</f>
        <v/>
      </c>
      <c r="X1371" s="28">
        <f>IFERROR(W1371/U1371,0)</f>
        <v/>
      </c>
    </row>
    <row r="1372">
      <c r="A1372" s="21">
        <f>ItensPedido!A1372</f>
        <v/>
      </c>
      <c r="B1372" s="21">
        <f>ItensPedido!B1372</f>
        <v/>
      </c>
      <c r="C1372" s="21">
        <f>ItensPedido!C1372</f>
        <v/>
      </c>
      <c r="D1372" s="21">
        <f>ItensPedido!D1372</f>
        <v/>
      </c>
      <c r="E1372" s="22">
        <f>ItensPedido!E1372</f>
        <v/>
      </c>
      <c r="F1372" s="21">
        <f>IFERROR(INDEX(Pedidos!$B$2:$B$1801,MATCH(B1372,Pedidos!$A$2:$A$1801,0)),0)</f>
        <v/>
      </c>
      <c r="G1372" s="21">
        <f>IF(F1372=0,"",YEAR(F1372))</f>
        <v/>
      </c>
      <c r="H1372" s="21">
        <f>IF(F1372=0,"",MONTH(F1372))</f>
        <v/>
      </c>
      <c r="I1372" s="21">
        <f>IFERROR(INDEX(Pedidos!$E$2:$E$1801,MATCH(B1372,Pedidos!$A$2:$A$1801,0)),"")</f>
        <v/>
      </c>
      <c r="J1372" s="21">
        <f>IFERROR(INDEX(Pedidos!$C$2:$C$1801,MATCH(B1372,Pedidos!$A$2:$A$1801,0)),"")</f>
        <v/>
      </c>
      <c r="K1372" s="21">
        <f>IFERROR(INDEX(Pedidos!$D$2:$D$1801,MATCH(B1372,Pedidos!$A$2:$A$1801,0)),"")</f>
        <v/>
      </c>
      <c r="L1372" s="21">
        <f>IFERROR(INDEX(Pedidos!$F$2:$F$1801,MATCH(B1372,Pedidos!$A$2:$A$1801,0)),"")</f>
        <v/>
      </c>
      <c r="M1372" s="22">
        <f>IFERROR(INDEX(Pedidos!$G$2:$G$1801,MATCH(B1372,Pedidos!$A$2:$A$1801,0)),0)</f>
        <v/>
      </c>
      <c r="N1372" s="21">
        <f>IFERROR(INDEX(Produtos!$B$2:$B$71,MATCH(C1372,Produtos!$A$2:$A$71,0)),"")</f>
        <v/>
      </c>
      <c r="O1372" s="21">
        <f>IFERROR(INDEX(Produtos!$C$2:$C$71,MATCH(C1372,Produtos!$A$2:$A$71,0)),"")</f>
        <v/>
      </c>
      <c r="P1372" s="21">
        <f>IFERROR(INDEX(Produtos!$D$2:$D$71,MATCH(C1372,Produtos!$A$2:$A$71,0)),0)</f>
        <v/>
      </c>
      <c r="Q1372" s="21">
        <f>IFERROR(INDEX(Produtos!$E$2:$E$71,MATCH(C1372,Produtos!$A$2:$A$71,0)),0)</f>
        <v/>
      </c>
      <c r="R1372" s="23">
        <f>D1372*Q1372</f>
        <v/>
      </c>
      <c r="S1372" s="23">
        <f>R1372*E1372</f>
        <v/>
      </c>
      <c r="T1372" s="23">
        <f>(R1372-S1372)*M1372</f>
        <v/>
      </c>
      <c r="U1372" s="23">
        <f>R1372-S1372-T1372</f>
        <v/>
      </c>
      <c r="V1372" s="23">
        <f>D1372*P1372</f>
        <v/>
      </c>
      <c r="W1372" s="23">
        <f>U1372-V1372</f>
        <v/>
      </c>
      <c r="X1372" s="24">
        <f>IFERROR(W1372/U1372,0)</f>
        <v/>
      </c>
    </row>
    <row r="1373">
      <c r="A1373" s="25">
        <f>ItensPedido!A1373</f>
        <v/>
      </c>
      <c r="B1373" s="25">
        <f>ItensPedido!B1373</f>
        <v/>
      </c>
      <c r="C1373" s="25">
        <f>ItensPedido!C1373</f>
        <v/>
      </c>
      <c r="D1373" s="25">
        <f>ItensPedido!D1373</f>
        <v/>
      </c>
      <c r="E1373" s="26">
        <f>ItensPedido!E1373</f>
        <v/>
      </c>
      <c r="F1373" s="25">
        <f>IFERROR(INDEX(Pedidos!$B$2:$B$1801,MATCH(B1373,Pedidos!$A$2:$A$1801,0)),0)</f>
        <v/>
      </c>
      <c r="G1373" s="25">
        <f>IF(F1373=0,"",YEAR(F1373))</f>
        <v/>
      </c>
      <c r="H1373" s="25">
        <f>IF(F1373=0,"",MONTH(F1373))</f>
        <v/>
      </c>
      <c r="I1373" s="25">
        <f>IFERROR(INDEX(Pedidos!$E$2:$E$1801,MATCH(B1373,Pedidos!$A$2:$A$1801,0)),"")</f>
        <v/>
      </c>
      <c r="J1373" s="25">
        <f>IFERROR(INDEX(Pedidos!$C$2:$C$1801,MATCH(B1373,Pedidos!$A$2:$A$1801,0)),"")</f>
        <v/>
      </c>
      <c r="K1373" s="25">
        <f>IFERROR(INDEX(Pedidos!$D$2:$D$1801,MATCH(B1373,Pedidos!$A$2:$A$1801,0)),"")</f>
        <v/>
      </c>
      <c r="L1373" s="25">
        <f>IFERROR(INDEX(Pedidos!$F$2:$F$1801,MATCH(B1373,Pedidos!$A$2:$A$1801,0)),"")</f>
        <v/>
      </c>
      <c r="M1373" s="26">
        <f>IFERROR(INDEX(Pedidos!$G$2:$G$1801,MATCH(B1373,Pedidos!$A$2:$A$1801,0)),0)</f>
        <v/>
      </c>
      <c r="N1373" s="25">
        <f>IFERROR(INDEX(Produtos!$B$2:$B$71,MATCH(C1373,Produtos!$A$2:$A$71,0)),"")</f>
        <v/>
      </c>
      <c r="O1373" s="25">
        <f>IFERROR(INDEX(Produtos!$C$2:$C$71,MATCH(C1373,Produtos!$A$2:$A$71,0)),"")</f>
        <v/>
      </c>
      <c r="P1373" s="25">
        <f>IFERROR(INDEX(Produtos!$D$2:$D$71,MATCH(C1373,Produtos!$A$2:$A$71,0)),0)</f>
        <v/>
      </c>
      <c r="Q1373" s="25">
        <f>IFERROR(INDEX(Produtos!$E$2:$E$71,MATCH(C1373,Produtos!$A$2:$A$71,0)),0)</f>
        <v/>
      </c>
      <c r="R1373" s="27">
        <f>D1373*Q1373</f>
        <v/>
      </c>
      <c r="S1373" s="27">
        <f>R1373*E1373</f>
        <v/>
      </c>
      <c r="T1373" s="27">
        <f>(R1373-S1373)*M1373</f>
        <v/>
      </c>
      <c r="U1373" s="27">
        <f>R1373-S1373-T1373</f>
        <v/>
      </c>
      <c r="V1373" s="27">
        <f>D1373*P1373</f>
        <v/>
      </c>
      <c r="W1373" s="27">
        <f>U1373-V1373</f>
        <v/>
      </c>
      <c r="X1373" s="28">
        <f>IFERROR(W1373/U1373,0)</f>
        <v/>
      </c>
    </row>
    <row r="1374">
      <c r="A1374" s="21">
        <f>ItensPedido!A1374</f>
        <v/>
      </c>
      <c r="B1374" s="21">
        <f>ItensPedido!B1374</f>
        <v/>
      </c>
      <c r="C1374" s="21">
        <f>ItensPedido!C1374</f>
        <v/>
      </c>
      <c r="D1374" s="21">
        <f>ItensPedido!D1374</f>
        <v/>
      </c>
      <c r="E1374" s="22">
        <f>ItensPedido!E1374</f>
        <v/>
      </c>
      <c r="F1374" s="21">
        <f>IFERROR(INDEX(Pedidos!$B$2:$B$1801,MATCH(B1374,Pedidos!$A$2:$A$1801,0)),0)</f>
        <v/>
      </c>
      <c r="G1374" s="21">
        <f>IF(F1374=0,"",YEAR(F1374))</f>
        <v/>
      </c>
      <c r="H1374" s="21">
        <f>IF(F1374=0,"",MONTH(F1374))</f>
        <v/>
      </c>
      <c r="I1374" s="21">
        <f>IFERROR(INDEX(Pedidos!$E$2:$E$1801,MATCH(B1374,Pedidos!$A$2:$A$1801,0)),"")</f>
        <v/>
      </c>
      <c r="J1374" s="21">
        <f>IFERROR(INDEX(Pedidos!$C$2:$C$1801,MATCH(B1374,Pedidos!$A$2:$A$1801,0)),"")</f>
        <v/>
      </c>
      <c r="K1374" s="21">
        <f>IFERROR(INDEX(Pedidos!$D$2:$D$1801,MATCH(B1374,Pedidos!$A$2:$A$1801,0)),"")</f>
        <v/>
      </c>
      <c r="L1374" s="21">
        <f>IFERROR(INDEX(Pedidos!$F$2:$F$1801,MATCH(B1374,Pedidos!$A$2:$A$1801,0)),"")</f>
        <v/>
      </c>
      <c r="M1374" s="22">
        <f>IFERROR(INDEX(Pedidos!$G$2:$G$1801,MATCH(B1374,Pedidos!$A$2:$A$1801,0)),0)</f>
        <v/>
      </c>
      <c r="N1374" s="21">
        <f>IFERROR(INDEX(Produtos!$B$2:$B$71,MATCH(C1374,Produtos!$A$2:$A$71,0)),"")</f>
        <v/>
      </c>
      <c r="O1374" s="21">
        <f>IFERROR(INDEX(Produtos!$C$2:$C$71,MATCH(C1374,Produtos!$A$2:$A$71,0)),"")</f>
        <v/>
      </c>
      <c r="P1374" s="21">
        <f>IFERROR(INDEX(Produtos!$D$2:$D$71,MATCH(C1374,Produtos!$A$2:$A$71,0)),0)</f>
        <v/>
      </c>
      <c r="Q1374" s="21">
        <f>IFERROR(INDEX(Produtos!$E$2:$E$71,MATCH(C1374,Produtos!$A$2:$A$71,0)),0)</f>
        <v/>
      </c>
      <c r="R1374" s="23">
        <f>D1374*Q1374</f>
        <v/>
      </c>
      <c r="S1374" s="23">
        <f>R1374*E1374</f>
        <v/>
      </c>
      <c r="T1374" s="23">
        <f>(R1374-S1374)*M1374</f>
        <v/>
      </c>
      <c r="U1374" s="23">
        <f>R1374-S1374-T1374</f>
        <v/>
      </c>
      <c r="V1374" s="23">
        <f>D1374*P1374</f>
        <v/>
      </c>
      <c r="W1374" s="23">
        <f>U1374-V1374</f>
        <v/>
      </c>
      <c r="X1374" s="24">
        <f>IFERROR(W1374/U1374,0)</f>
        <v/>
      </c>
    </row>
    <row r="1375">
      <c r="A1375" s="25">
        <f>ItensPedido!A1375</f>
        <v/>
      </c>
      <c r="B1375" s="25">
        <f>ItensPedido!B1375</f>
        <v/>
      </c>
      <c r="C1375" s="25">
        <f>ItensPedido!C1375</f>
        <v/>
      </c>
      <c r="D1375" s="25">
        <f>ItensPedido!D1375</f>
        <v/>
      </c>
      <c r="E1375" s="26">
        <f>ItensPedido!E1375</f>
        <v/>
      </c>
      <c r="F1375" s="25">
        <f>IFERROR(INDEX(Pedidos!$B$2:$B$1801,MATCH(B1375,Pedidos!$A$2:$A$1801,0)),0)</f>
        <v/>
      </c>
      <c r="G1375" s="25">
        <f>IF(F1375=0,"",YEAR(F1375))</f>
        <v/>
      </c>
      <c r="H1375" s="25">
        <f>IF(F1375=0,"",MONTH(F1375))</f>
        <v/>
      </c>
      <c r="I1375" s="25">
        <f>IFERROR(INDEX(Pedidos!$E$2:$E$1801,MATCH(B1375,Pedidos!$A$2:$A$1801,0)),"")</f>
        <v/>
      </c>
      <c r="J1375" s="25">
        <f>IFERROR(INDEX(Pedidos!$C$2:$C$1801,MATCH(B1375,Pedidos!$A$2:$A$1801,0)),"")</f>
        <v/>
      </c>
      <c r="K1375" s="25">
        <f>IFERROR(INDEX(Pedidos!$D$2:$D$1801,MATCH(B1375,Pedidos!$A$2:$A$1801,0)),"")</f>
        <v/>
      </c>
      <c r="L1375" s="25">
        <f>IFERROR(INDEX(Pedidos!$F$2:$F$1801,MATCH(B1375,Pedidos!$A$2:$A$1801,0)),"")</f>
        <v/>
      </c>
      <c r="M1375" s="26">
        <f>IFERROR(INDEX(Pedidos!$G$2:$G$1801,MATCH(B1375,Pedidos!$A$2:$A$1801,0)),0)</f>
        <v/>
      </c>
      <c r="N1375" s="25">
        <f>IFERROR(INDEX(Produtos!$B$2:$B$71,MATCH(C1375,Produtos!$A$2:$A$71,0)),"")</f>
        <v/>
      </c>
      <c r="O1375" s="25">
        <f>IFERROR(INDEX(Produtos!$C$2:$C$71,MATCH(C1375,Produtos!$A$2:$A$71,0)),"")</f>
        <v/>
      </c>
      <c r="P1375" s="25">
        <f>IFERROR(INDEX(Produtos!$D$2:$D$71,MATCH(C1375,Produtos!$A$2:$A$71,0)),0)</f>
        <v/>
      </c>
      <c r="Q1375" s="25">
        <f>IFERROR(INDEX(Produtos!$E$2:$E$71,MATCH(C1375,Produtos!$A$2:$A$71,0)),0)</f>
        <v/>
      </c>
      <c r="R1375" s="27">
        <f>D1375*Q1375</f>
        <v/>
      </c>
      <c r="S1375" s="27">
        <f>R1375*E1375</f>
        <v/>
      </c>
      <c r="T1375" s="27">
        <f>(R1375-S1375)*M1375</f>
        <v/>
      </c>
      <c r="U1375" s="27">
        <f>R1375-S1375-T1375</f>
        <v/>
      </c>
      <c r="V1375" s="27">
        <f>D1375*P1375</f>
        <v/>
      </c>
      <c r="W1375" s="27">
        <f>U1375-V1375</f>
        <v/>
      </c>
      <c r="X1375" s="28">
        <f>IFERROR(W1375/U1375,0)</f>
        <v/>
      </c>
    </row>
    <row r="1376">
      <c r="A1376" s="21">
        <f>ItensPedido!A1376</f>
        <v/>
      </c>
      <c r="B1376" s="21">
        <f>ItensPedido!B1376</f>
        <v/>
      </c>
      <c r="C1376" s="21">
        <f>ItensPedido!C1376</f>
        <v/>
      </c>
      <c r="D1376" s="21">
        <f>ItensPedido!D1376</f>
        <v/>
      </c>
      <c r="E1376" s="22">
        <f>ItensPedido!E1376</f>
        <v/>
      </c>
      <c r="F1376" s="21">
        <f>IFERROR(INDEX(Pedidos!$B$2:$B$1801,MATCH(B1376,Pedidos!$A$2:$A$1801,0)),0)</f>
        <v/>
      </c>
      <c r="G1376" s="21">
        <f>IF(F1376=0,"",YEAR(F1376))</f>
        <v/>
      </c>
      <c r="H1376" s="21">
        <f>IF(F1376=0,"",MONTH(F1376))</f>
        <v/>
      </c>
      <c r="I1376" s="21">
        <f>IFERROR(INDEX(Pedidos!$E$2:$E$1801,MATCH(B1376,Pedidos!$A$2:$A$1801,0)),"")</f>
        <v/>
      </c>
      <c r="J1376" s="21">
        <f>IFERROR(INDEX(Pedidos!$C$2:$C$1801,MATCH(B1376,Pedidos!$A$2:$A$1801,0)),"")</f>
        <v/>
      </c>
      <c r="K1376" s="21">
        <f>IFERROR(INDEX(Pedidos!$D$2:$D$1801,MATCH(B1376,Pedidos!$A$2:$A$1801,0)),"")</f>
        <v/>
      </c>
      <c r="L1376" s="21">
        <f>IFERROR(INDEX(Pedidos!$F$2:$F$1801,MATCH(B1376,Pedidos!$A$2:$A$1801,0)),"")</f>
        <v/>
      </c>
      <c r="M1376" s="22">
        <f>IFERROR(INDEX(Pedidos!$G$2:$G$1801,MATCH(B1376,Pedidos!$A$2:$A$1801,0)),0)</f>
        <v/>
      </c>
      <c r="N1376" s="21">
        <f>IFERROR(INDEX(Produtos!$B$2:$B$71,MATCH(C1376,Produtos!$A$2:$A$71,0)),"")</f>
        <v/>
      </c>
      <c r="O1376" s="21">
        <f>IFERROR(INDEX(Produtos!$C$2:$C$71,MATCH(C1376,Produtos!$A$2:$A$71,0)),"")</f>
        <v/>
      </c>
      <c r="P1376" s="21">
        <f>IFERROR(INDEX(Produtos!$D$2:$D$71,MATCH(C1376,Produtos!$A$2:$A$71,0)),0)</f>
        <v/>
      </c>
      <c r="Q1376" s="21">
        <f>IFERROR(INDEX(Produtos!$E$2:$E$71,MATCH(C1376,Produtos!$A$2:$A$71,0)),0)</f>
        <v/>
      </c>
      <c r="R1376" s="23">
        <f>D1376*Q1376</f>
        <v/>
      </c>
      <c r="S1376" s="23">
        <f>R1376*E1376</f>
        <v/>
      </c>
      <c r="T1376" s="23">
        <f>(R1376-S1376)*M1376</f>
        <v/>
      </c>
      <c r="U1376" s="23">
        <f>R1376-S1376-T1376</f>
        <v/>
      </c>
      <c r="V1376" s="23">
        <f>D1376*P1376</f>
        <v/>
      </c>
      <c r="W1376" s="23">
        <f>U1376-V1376</f>
        <v/>
      </c>
      <c r="X1376" s="24">
        <f>IFERROR(W1376/U1376,0)</f>
        <v/>
      </c>
    </row>
    <row r="1377">
      <c r="A1377" s="25">
        <f>ItensPedido!A1377</f>
        <v/>
      </c>
      <c r="B1377" s="25">
        <f>ItensPedido!B1377</f>
        <v/>
      </c>
      <c r="C1377" s="25">
        <f>ItensPedido!C1377</f>
        <v/>
      </c>
      <c r="D1377" s="25">
        <f>ItensPedido!D1377</f>
        <v/>
      </c>
      <c r="E1377" s="26">
        <f>ItensPedido!E1377</f>
        <v/>
      </c>
      <c r="F1377" s="25">
        <f>IFERROR(INDEX(Pedidos!$B$2:$B$1801,MATCH(B1377,Pedidos!$A$2:$A$1801,0)),0)</f>
        <v/>
      </c>
      <c r="G1377" s="25">
        <f>IF(F1377=0,"",YEAR(F1377))</f>
        <v/>
      </c>
      <c r="H1377" s="25">
        <f>IF(F1377=0,"",MONTH(F1377))</f>
        <v/>
      </c>
      <c r="I1377" s="25">
        <f>IFERROR(INDEX(Pedidos!$E$2:$E$1801,MATCH(B1377,Pedidos!$A$2:$A$1801,0)),"")</f>
        <v/>
      </c>
      <c r="J1377" s="25">
        <f>IFERROR(INDEX(Pedidos!$C$2:$C$1801,MATCH(B1377,Pedidos!$A$2:$A$1801,0)),"")</f>
        <v/>
      </c>
      <c r="K1377" s="25">
        <f>IFERROR(INDEX(Pedidos!$D$2:$D$1801,MATCH(B1377,Pedidos!$A$2:$A$1801,0)),"")</f>
        <v/>
      </c>
      <c r="L1377" s="25">
        <f>IFERROR(INDEX(Pedidos!$F$2:$F$1801,MATCH(B1377,Pedidos!$A$2:$A$1801,0)),"")</f>
        <v/>
      </c>
      <c r="M1377" s="26">
        <f>IFERROR(INDEX(Pedidos!$G$2:$G$1801,MATCH(B1377,Pedidos!$A$2:$A$1801,0)),0)</f>
        <v/>
      </c>
      <c r="N1377" s="25">
        <f>IFERROR(INDEX(Produtos!$B$2:$B$71,MATCH(C1377,Produtos!$A$2:$A$71,0)),"")</f>
        <v/>
      </c>
      <c r="O1377" s="25">
        <f>IFERROR(INDEX(Produtos!$C$2:$C$71,MATCH(C1377,Produtos!$A$2:$A$71,0)),"")</f>
        <v/>
      </c>
      <c r="P1377" s="25">
        <f>IFERROR(INDEX(Produtos!$D$2:$D$71,MATCH(C1377,Produtos!$A$2:$A$71,0)),0)</f>
        <v/>
      </c>
      <c r="Q1377" s="25">
        <f>IFERROR(INDEX(Produtos!$E$2:$E$71,MATCH(C1377,Produtos!$A$2:$A$71,0)),0)</f>
        <v/>
      </c>
      <c r="R1377" s="27">
        <f>D1377*Q1377</f>
        <v/>
      </c>
      <c r="S1377" s="27">
        <f>R1377*E1377</f>
        <v/>
      </c>
      <c r="T1377" s="27">
        <f>(R1377-S1377)*M1377</f>
        <v/>
      </c>
      <c r="U1377" s="27">
        <f>R1377-S1377-T1377</f>
        <v/>
      </c>
      <c r="V1377" s="27">
        <f>D1377*P1377</f>
        <v/>
      </c>
      <c r="W1377" s="27">
        <f>U1377-V1377</f>
        <v/>
      </c>
      <c r="X1377" s="28">
        <f>IFERROR(W1377/U1377,0)</f>
        <v/>
      </c>
    </row>
    <row r="1378">
      <c r="A1378" s="21">
        <f>ItensPedido!A1378</f>
        <v/>
      </c>
      <c r="B1378" s="21">
        <f>ItensPedido!B1378</f>
        <v/>
      </c>
      <c r="C1378" s="21">
        <f>ItensPedido!C1378</f>
        <v/>
      </c>
      <c r="D1378" s="21">
        <f>ItensPedido!D1378</f>
        <v/>
      </c>
      <c r="E1378" s="22">
        <f>ItensPedido!E1378</f>
        <v/>
      </c>
      <c r="F1378" s="21">
        <f>IFERROR(INDEX(Pedidos!$B$2:$B$1801,MATCH(B1378,Pedidos!$A$2:$A$1801,0)),0)</f>
        <v/>
      </c>
      <c r="G1378" s="21">
        <f>IF(F1378=0,"",YEAR(F1378))</f>
        <v/>
      </c>
      <c r="H1378" s="21">
        <f>IF(F1378=0,"",MONTH(F1378))</f>
        <v/>
      </c>
      <c r="I1378" s="21">
        <f>IFERROR(INDEX(Pedidos!$E$2:$E$1801,MATCH(B1378,Pedidos!$A$2:$A$1801,0)),"")</f>
        <v/>
      </c>
      <c r="J1378" s="21">
        <f>IFERROR(INDEX(Pedidos!$C$2:$C$1801,MATCH(B1378,Pedidos!$A$2:$A$1801,0)),"")</f>
        <v/>
      </c>
      <c r="K1378" s="21">
        <f>IFERROR(INDEX(Pedidos!$D$2:$D$1801,MATCH(B1378,Pedidos!$A$2:$A$1801,0)),"")</f>
        <v/>
      </c>
      <c r="L1378" s="21">
        <f>IFERROR(INDEX(Pedidos!$F$2:$F$1801,MATCH(B1378,Pedidos!$A$2:$A$1801,0)),"")</f>
        <v/>
      </c>
      <c r="M1378" s="22">
        <f>IFERROR(INDEX(Pedidos!$G$2:$G$1801,MATCH(B1378,Pedidos!$A$2:$A$1801,0)),0)</f>
        <v/>
      </c>
      <c r="N1378" s="21">
        <f>IFERROR(INDEX(Produtos!$B$2:$B$71,MATCH(C1378,Produtos!$A$2:$A$71,0)),"")</f>
        <v/>
      </c>
      <c r="O1378" s="21">
        <f>IFERROR(INDEX(Produtos!$C$2:$C$71,MATCH(C1378,Produtos!$A$2:$A$71,0)),"")</f>
        <v/>
      </c>
      <c r="P1378" s="21">
        <f>IFERROR(INDEX(Produtos!$D$2:$D$71,MATCH(C1378,Produtos!$A$2:$A$71,0)),0)</f>
        <v/>
      </c>
      <c r="Q1378" s="21">
        <f>IFERROR(INDEX(Produtos!$E$2:$E$71,MATCH(C1378,Produtos!$A$2:$A$71,0)),0)</f>
        <v/>
      </c>
      <c r="R1378" s="23">
        <f>D1378*Q1378</f>
        <v/>
      </c>
      <c r="S1378" s="23">
        <f>R1378*E1378</f>
        <v/>
      </c>
      <c r="T1378" s="23">
        <f>(R1378-S1378)*M1378</f>
        <v/>
      </c>
      <c r="U1378" s="23">
        <f>R1378-S1378-T1378</f>
        <v/>
      </c>
      <c r="V1378" s="23">
        <f>D1378*P1378</f>
        <v/>
      </c>
      <c r="W1378" s="23">
        <f>U1378-V1378</f>
        <v/>
      </c>
      <c r="X1378" s="24">
        <f>IFERROR(W1378/U1378,0)</f>
        <v/>
      </c>
    </row>
    <row r="1379">
      <c r="A1379" s="25">
        <f>ItensPedido!A1379</f>
        <v/>
      </c>
      <c r="B1379" s="25">
        <f>ItensPedido!B1379</f>
        <v/>
      </c>
      <c r="C1379" s="25">
        <f>ItensPedido!C1379</f>
        <v/>
      </c>
      <c r="D1379" s="25">
        <f>ItensPedido!D1379</f>
        <v/>
      </c>
      <c r="E1379" s="26">
        <f>ItensPedido!E1379</f>
        <v/>
      </c>
      <c r="F1379" s="25">
        <f>IFERROR(INDEX(Pedidos!$B$2:$B$1801,MATCH(B1379,Pedidos!$A$2:$A$1801,0)),0)</f>
        <v/>
      </c>
      <c r="G1379" s="25">
        <f>IF(F1379=0,"",YEAR(F1379))</f>
        <v/>
      </c>
      <c r="H1379" s="25">
        <f>IF(F1379=0,"",MONTH(F1379))</f>
        <v/>
      </c>
      <c r="I1379" s="25">
        <f>IFERROR(INDEX(Pedidos!$E$2:$E$1801,MATCH(B1379,Pedidos!$A$2:$A$1801,0)),"")</f>
        <v/>
      </c>
      <c r="J1379" s="25">
        <f>IFERROR(INDEX(Pedidos!$C$2:$C$1801,MATCH(B1379,Pedidos!$A$2:$A$1801,0)),"")</f>
        <v/>
      </c>
      <c r="K1379" s="25">
        <f>IFERROR(INDEX(Pedidos!$D$2:$D$1801,MATCH(B1379,Pedidos!$A$2:$A$1801,0)),"")</f>
        <v/>
      </c>
      <c r="L1379" s="25">
        <f>IFERROR(INDEX(Pedidos!$F$2:$F$1801,MATCH(B1379,Pedidos!$A$2:$A$1801,0)),"")</f>
        <v/>
      </c>
      <c r="M1379" s="26">
        <f>IFERROR(INDEX(Pedidos!$G$2:$G$1801,MATCH(B1379,Pedidos!$A$2:$A$1801,0)),0)</f>
        <v/>
      </c>
      <c r="N1379" s="25">
        <f>IFERROR(INDEX(Produtos!$B$2:$B$71,MATCH(C1379,Produtos!$A$2:$A$71,0)),"")</f>
        <v/>
      </c>
      <c r="O1379" s="25">
        <f>IFERROR(INDEX(Produtos!$C$2:$C$71,MATCH(C1379,Produtos!$A$2:$A$71,0)),"")</f>
        <v/>
      </c>
      <c r="P1379" s="25">
        <f>IFERROR(INDEX(Produtos!$D$2:$D$71,MATCH(C1379,Produtos!$A$2:$A$71,0)),0)</f>
        <v/>
      </c>
      <c r="Q1379" s="25">
        <f>IFERROR(INDEX(Produtos!$E$2:$E$71,MATCH(C1379,Produtos!$A$2:$A$71,0)),0)</f>
        <v/>
      </c>
      <c r="R1379" s="27">
        <f>D1379*Q1379</f>
        <v/>
      </c>
      <c r="S1379" s="27">
        <f>R1379*E1379</f>
        <v/>
      </c>
      <c r="T1379" s="27">
        <f>(R1379-S1379)*M1379</f>
        <v/>
      </c>
      <c r="U1379" s="27">
        <f>R1379-S1379-T1379</f>
        <v/>
      </c>
      <c r="V1379" s="27">
        <f>D1379*P1379</f>
        <v/>
      </c>
      <c r="W1379" s="27">
        <f>U1379-V1379</f>
        <v/>
      </c>
      <c r="X1379" s="28">
        <f>IFERROR(W1379/U1379,0)</f>
        <v/>
      </c>
    </row>
    <row r="1380">
      <c r="A1380" s="21">
        <f>ItensPedido!A1380</f>
        <v/>
      </c>
      <c r="B1380" s="21">
        <f>ItensPedido!B1380</f>
        <v/>
      </c>
      <c r="C1380" s="21">
        <f>ItensPedido!C1380</f>
        <v/>
      </c>
      <c r="D1380" s="21">
        <f>ItensPedido!D1380</f>
        <v/>
      </c>
      <c r="E1380" s="22">
        <f>ItensPedido!E1380</f>
        <v/>
      </c>
      <c r="F1380" s="21">
        <f>IFERROR(INDEX(Pedidos!$B$2:$B$1801,MATCH(B1380,Pedidos!$A$2:$A$1801,0)),0)</f>
        <v/>
      </c>
      <c r="G1380" s="21">
        <f>IF(F1380=0,"",YEAR(F1380))</f>
        <v/>
      </c>
      <c r="H1380" s="21">
        <f>IF(F1380=0,"",MONTH(F1380))</f>
        <v/>
      </c>
      <c r="I1380" s="21">
        <f>IFERROR(INDEX(Pedidos!$E$2:$E$1801,MATCH(B1380,Pedidos!$A$2:$A$1801,0)),"")</f>
        <v/>
      </c>
      <c r="J1380" s="21">
        <f>IFERROR(INDEX(Pedidos!$C$2:$C$1801,MATCH(B1380,Pedidos!$A$2:$A$1801,0)),"")</f>
        <v/>
      </c>
      <c r="K1380" s="21">
        <f>IFERROR(INDEX(Pedidos!$D$2:$D$1801,MATCH(B1380,Pedidos!$A$2:$A$1801,0)),"")</f>
        <v/>
      </c>
      <c r="L1380" s="21">
        <f>IFERROR(INDEX(Pedidos!$F$2:$F$1801,MATCH(B1380,Pedidos!$A$2:$A$1801,0)),"")</f>
        <v/>
      </c>
      <c r="M1380" s="22">
        <f>IFERROR(INDEX(Pedidos!$G$2:$G$1801,MATCH(B1380,Pedidos!$A$2:$A$1801,0)),0)</f>
        <v/>
      </c>
      <c r="N1380" s="21">
        <f>IFERROR(INDEX(Produtos!$B$2:$B$71,MATCH(C1380,Produtos!$A$2:$A$71,0)),"")</f>
        <v/>
      </c>
      <c r="O1380" s="21">
        <f>IFERROR(INDEX(Produtos!$C$2:$C$71,MATCH(C1380,Produtos!$A$2:$A$71,0)),"")</f>
        <v/>
      </c>
      <c r="P1380" s="21">
        <f>IFERROR(INDEX(Produtos!$D$2:$D$71,MATCH(C1380,Produtos!$A$2:$A$71,0)),0)</f>
        <v/>
      </c>
      <c r="Q1380" s="21">
        <f>IFERROR(INDEX(Produtos!$E$2:$E$71,MATCH(C1380,Produtos!$A$2:$A$71,0)),0)</f>
        <v/>
      </c>
      <c r="R1380" s="23">
        <f>D1380*Q1380</f>
        <v/>
      </c>
      <c r="S1380" s="23">
        <f>R1380*E1380</f>
        <v/>
      </c>
      <c r="T1380" s="23">
        <f>(R1380-S1380)*M1380</f>
        <v/>
      </c>
      <c r="U1380" s="23">
        <f>R1380-S1380-T1380</f>
        <v/>
      </c>
      <c r="V1380" s="23">
        <f>D1380*P1380</f>
        <v/>
      </c>
      <c r="W1380" s="23">
        <f>U1380-V1380</f>
        <v/>
      </c>
      <c r="X1380" s="24">
        <f>IFERROR(W1380/U1380,0)</f>
        <v/>
      </c>
    </row>
    <row r="1381">
      <c r="A1381" s="25">
        <f>ItensPedido!A1381</f>
        <v/>
      </c>
      <c r="B1381" s="25">
        <f>ItensPedido!B1381</f>
        <v/>
      </c>
      <c r="C1381" s="25">
        <f>ItensPedido!C1381</f>
        <v/>
      </c>
      <c r="D1381" s="25">
        <f>ItensPedido!D1381</f>
        <v/>
      </c>
      <c r="E1381" s="26">
        <f>ItensPedido!E1381</f>
        <v/>
      </c>
      <c r="F1381" s="25">
        <f>IFERROR(INDEX(Pedidos!$B$2:$B$1801,MATCH(B1381,Pedidos!$A$2:$A$1801,0)),0)</f>
        <v/>
      </c>
      <c r="G1381" s="25">
        <f>IF(F1381=0,"",YEAR(F1381))</f>
        <v/>
      </c>
      <c r="H1381" s="25">
        <f>IF(F1381=0,"",MONTH(F1381))</f>
        <v/>
      </c>
      <c r="I1381" s="25">
        <f>IFERROR(INDEX(Pedidos!$E$2:$E$1801,MATCH(B1381,Pedidos!$A$2:$A$1801,0)),"")</f>
        <v/>
      </c>
      <c r="J1381" s="25">
        <f>IFERROR(INDEX(Pedidos!$C$2:$C$1801,MATCH(B1381,Pedidos!$A$2:$A$1801,0)),"")</f>
        <v/>
      </c>
      <c r="K1381" s="25">
        <f>IFERROR(INDEX(Pedidos!$D$2:$D$1801,MATCH(B1381,Pedidos!$A$2:$A$1801,0)),"")</f>
        <v/>
      </c>
      <c r="L1381" s="25">
        <f>IFERROR(INDEX(Pedidos!$F$2:$F$1801,MATCH(B1381,Pedidos!$A$2:$A$1801,0)),"")</f>
        <v/>
      </c>
      <c r="M1381" s="26">
        <f>IFERROR(INDEX(Pedidos!$G$2:$G$1801,MATCH(B1381,Pedidos!$A$2:$A$1801,0)),0)</f>
        <v/>
      </c>
      <c r="N1381" s="25">
        <f>IFERROR(INDEX(Produtos!$B$2:$B$71,MATCH(C1381,Produtos!$A$2:$A$71,0)),"")</f>
        <v/>
      </c>
      <c r="O1381" s="25">
        <f>IFERROR(INDEX(Produtos!$C$2:$C$71,MATCH(C1381,Produtos!$A$2:$A$71,0)),"")</f>
        <v/>
      </c>
      <c r="P1381" s="25">
        <f>IFERROR(INDEX(Produtos!$D$2:$D$71,MATCH(C1381,Produtos!$A$2:$A$71,0)),0)</f>
        <v/>
      </c>
      <c r="Q1381" s="25">
        <f>IFERROR(INDEX(Produtos!$E$2:$E$71,MATCH(C1381,Produtos!$A$2:$A$71,0)),0)</f>
        <v/>
      </c>
      <c r="R1381" s="27">
        <f>D1381*Q1381</f>
        <v/>
      </c>
      <c r="S1381" s="27">
        <f>R1381*E1381</f>
        <v/>
      </c>
      <c r="T1381" s="27">
        <f>(R1381-S1381)*M1381</f>
        <v/>
      </c>
      <c r="U1381" s="27">
        <f>R1381-S1381-T1381</f>
        <v/>
      </c>
      <c r="V1381" s="27">
        <f>D1381*P1381</f>
        <v/>
      </c>
      <c r="W1381" s="27">
        <f>U1381-V1381</f>
        <v/>
      </c>
      <c r="X1381" s="28">
        <f>IFERROR(W1381/U1381,0)</f>
        <v/>
      </c>
    </row>
    <row r="1382">
      <c r="A1382" s="21">
        <f>ItensPedido!A1382</f>
        <v/>
      </c>
      <c r="B1382" s="21">
        <f>ItensPedido!B1382</f>
        <v/>
      </c>
      <c r="C1382" s="21">
        <f>ItensPedido!C1382</f>
        <v/>
      </c>
      <c r="D1382" s="21">
        <f>ItensPedido!D1382</f>
        <v/>
      </c>
      <c r="E1382" s="22">
        <f>ItensPedido!E1382</f>
        <v/>
      </c>
      <c r="F1382" s="21">
        <f>IFERROR(INDEX(Pedidos!$B$2:$B$1801,MATCH(B1382,Pedidos!$A$2:$A$1801,0)),0)</f>
        <v/>
      </c>
      <c r="G1382" s="21">
        <f>IF(F1382=0,"",YEAR(F1382))</f>
        <v/>
      </c>
      <c r="H1382" s="21">
        <f>IF(F1382=0,"",MONTH(F1382))</f>
        <v/>
      </c>
      <c r="I1382" s="21">
        <f>IFERROR(INDEX(Pedidos!$E$2:$E$1801,MATCH(B1382,Pedidos!$A$2:$A$1801,0)),"")</f>
        <v/>
      </c>
      <c r="J1382" s="21">
        <f>IFERROR(INDEX(Pedidos!$C$2:$C$1801,MATCH(B1382,Pedidos!$A$2:$A$1801,0)),"")</f>
        <v/>
      </c>
      <c r="K1382" s="21">
        <f>IFERROR(INDEX(Pedidos!$D$2:$D$1801,MATCH(B1382,Pedidos!$A$2:$A$1801,0)),"")</f>
        <v/>
      </c>
      <c r="L1382" s="21">
        <f>IFERROR(INDEX(Pedidos!$F$2:$F$1801,MATCH(B1382,Pedidos!$A$2:$A$1801,0)),"")</f>
        <v/>
      </c>
      <c r="M1382" s="22">
        <f>IFERROR(INDEX(Pedidos!$G$2:$G$1801,MATCH(B1382,Pedidos!$A$2:$A$1801,0)),0)</f>
        <v/>
      </c>
      <c r="N1382" s="21">
        <f>IFERROR(INDEX(Produtos!$B$2:$B$71,MATCH(C1382,Produtos!$A$2:$A$71,0)),"")</f>
        <v/>
      </c>
      <c r="O1382" s="21">
        <f>IFERROR(INDEX(Produtos!$C$2:$C$71,MATCH(C1382,Produtos!$A$2:$A$71,0)),"")</f>
        <v/>
      </c>
      <c r="P1382" s="21">
        <f>IFERROR(INDEX(Produtos!$D$2:$D$71,MATCH(C1382,Produtos!$A$2:$A$71,0)),0)</f>
        <v/>
      </c>
      <c r="Q1382" s="21">
        <f>IFERROR(INDEX(Produtos!$E$2:$E$71,MATCH(C1382,Produtos!$A$2:$A$71,0)),0)</f>
        <v/>
      </c>
      <c r="R1382" s="23">
        <f>D1382*Q1382</f>
        <v/>
      </c>
      <c r="S1382" s="23">
        <f>R1382*E1382</f>
        <v/>
      </c>
      <c r="T1382" s="23">
        <f>(R1382-S1382)*M1382</f>
        <v/>
      </c>
      <c r="U1382" s="23">
        <f>R1382-S1382-T1382</f>
        <v/>
      </c>
      <c r="V1382" s="23">
        <f>D1382*P1382</f>
        <v/>
      </c>
      <c r="W1382" s="23">
        <f>U1382-V1382</f>
        <v/>
      </c>
      <c r="X1382" s="24">
        <f>IFERROR(W1382/U1382,0)</f>
        <v/>
      </c>
    </row>
    <row r="1383">
      <c r="A1383" s="25">
        <f>ItensPedido!A1383</f>
        <v/>
      </c>
      <c r="B1383" s="25">
        <f>ItensPedido!B1383</f>
        <v/>
      </c>
      <c r="C1383" s="25">
        <f>ItensPedido!C1383</f>
        <v/>
      </c>
      <c r="D1383" s="25">
        <f>ItensPedido!D1383</f>
        <v/>
      </c>
      <c r="E1383" s="26">
        <f>ItensPedido!E1383</f>
        <v/>
      </c>
      <c r="F1383" s="25">
        <f>IFERROR(INDEX(Pedidos!$B$2:$B$1801,MATCH(B1383,Pedidos!$A$2:$A$1801,0)),0)</f>
        <v/>
      </c>
      <c r="G1383" s="25">
        <f>IF(F1383=0,"",YEAR(F1383))</f>
        <v/>
      </c>
      <c r="H1383" s="25">
        <f>IF(F1383=0,"",MONTH(F1383))</f>
        <v/>
      </c>
      <c r="I1383" s="25">
        <f>IFERROR(INDEX(Pedidos!$E$2:$E$1801,MATCH(B1383,Pedidos!$A$2:$A$1801,0)),"")</f>
        <v/>
      </c>
      <c r="J1383" s="25">
        <f>IFERROR(INDEX(Pedidos!$C$2:$C$1801,MATCH(B1383,Pedidos!$A$2:$A$1801,0)),"")</f>
        <v/>
      </c>
      <c r="K1383" s="25">
        <f>IFERROR(INDEX(Pedidos!$D$2:$D$1801,MATCH(B1383,Pedidos!$A$2:$A$1801,0)),"")</f>
        <v/>
      </c>
      <c r="L1383" s="25">
        <f>IFERROR(INDEX(Pedidos!$F$2:$F$1801,MATCH(B1383,Pedidos!$A$2:$A$1801,0)),"")</f>
        <v/>
      </c>
      <c r="M1383" s="26">
        <f>IFERROR(INDEX(Pedidos!$G$2:$G$1801,MATCH(B1383,Pedidos!$A$2:$A$1801,0)),0)</f>
        <v/>
      </c>
      <c r="N1383" s="25">
        <f>IFERROR(INDEX(Produtos!$B$2:$B$71,MATCH(C1383,Produtos!$A$2:$A$71,0)),"")</f>
        <v/>
      </c>
      <c r="O1383" s="25">
        <f>IFERROR(INDEX(Produtos!$C$2:$C$71,MATCH(C1383,Produtos!$A$2:$A$71,0)),"")</f>
        <v/>
      </c>
      <c r="P1383" s="25">
        <f>IFERROR(INDEX(Produtos!$D$2:$D$71,MATCH(C1383,Produtos!$A$2:$A$71,0)),0)</f>
        <v/>
      </c>
      <c r="Q1383" s="25">
        <f>IFERROR(INDEX(Produtos!$E$2:$E$71,MATCH(C1383,Produtos!$A$2:$A$71,0)),0)</f>
        <v/>
      </c>
      <c r="R1383" s="27">
        <f>D1383*Q1383</f>
        <v/>
      </c>
      <c r="S1383" s="27">
        <f>R1383*E1383</f>
        <v/>
      </c>
      <c r="T1383" s="27">
        <f>(R1383-S1383)*M1383</f>
        <v/>
      </c>
      <c r="U1383" s="27">
        <f>R1383-S1383-T1383</f>
        <v/>
      </c>
      <c r="V1383" s="27">
        <f>D1383*P1383</f>
        <v/>
      </c>
      <c r="W1383" s="27">
        <f>U1383-V1383</f>
        <v/>
      </c>
      <c r="X1383" s="28">
        <f>IFERROR(W1383/U1383,0)</f>
        <v/>
      </c>
    </row>
    <row r="1384">
      <c r="A1384" s="21">
        <f>ItensPedido!A1384</f>
        <v/>
      </c>
      <c r="B1384" s="21">
        <f>ItensPedido!B1384</f>
        <v/>
      </c>
      <c r="C1384" s="21">
        <f>ItensPedido!C1384</f>
        <v/>
      </c>
      <c r="D1384" s="21">
        <f>ItensPedido!D1384</f>
        <v/>
      </c>
      <c r="E1384" s="22">
        <f>ItensPedido!E1384</f>
        <v/>
      </c>
      <c r="F1384" s="21">
        <f>IFERROR(INDEX(Pedidos!$B$2:$B$1801,MATCH(B1384,Pedidos!$A$2:$A$1801,0)),0)</f>
        <v/>
      </c>
      <c r="G1384" s="21">
        <f>IF(F1384=0,"",YEAR(F1384))</f>
        <v/>
      </c>
      <c r="H1384" s="21">
        <f>IF(F1384=0,"",MONTH(F1384))</f>
        <v/>
      </c>
      <c r="I1384" s="21">
        <f>IFERROR(INDEX(Pedidos!$E$2:$E$1801,MATCH(B1384,Pedidos!$A$2:$A$1801,0)),"")</f>
        <v/>
      </c>
      <c r="J1384" s="21">
        <f>IFERROR(INDEX(Pedidos!$C$2:$C$1801,MATCH(B1384,Pedidos!$A$2:$A$1801,0)),"")</f>
        <v/>
      </c>
      <c r="K1384" s="21">
        <f>IFERROR(INDEX(Pedidos!$D$2:$D$1801,MATCH(B1384,Pedidos!$A$2:$A$1801,0)),"")</f>
        <v/>
      </c>
      <c r="L1384" s="21">
        <f>IFERROR(INDEX(Pedidos!$F$2:$F$1801,MATCH(B1384,Pedidos!$A$2:$A$1801,0)),"")</f>
        <v/>
      </c>
      <c r="M1384" s="22">
        <f>IFERROR(INDEX(Pedidos!$G$2:$G$1801,MATCH(B1384,Pedidos!$A$2:$A$1801,0)),0)</f>
        <v/>
      </c>
      <c r="N1384" s="21">
        <f>IFERROR(INDEX(Produtos!$B$2:$B$71,MATCH(C1384,Produtos!$A$2:$A$71,0)),"")</f>
        <v/>
      </c>
      <c r="O1384" s="21">
        <f>IFERROR(INDEX(Produtos!$C$2:$C$71,MATCH(C1384,Produtos!$A$2:$A$71,0)),"")</f>
        <v/>
      </c>
      <c r="P1384" s="21">
        <f>IFERROR(INDEX(Produtos!$D$2:$D$71,MATCH(C1384,Produtos!$A$2:$A$71,0)),0)</f>
        <v/>
      </c>
      <c r="Q1384" s="21">
        <f>IFERROR(INDEX(Produtos!$E$2:$E$71,MATCH(C1384,Produtos!$A$2:$A$71,0)),0)</f>
        <v/>
      </c>
      <c r="R1384" s="23">
        <f>D1384*Q1384</f>
        <v/>
      </c>
      <c r="S1384" s="23">
        <f>R1384*E1384</f>
        <v/>
      </c>
      <c r="T1384" s="23">
        <f>(R1384-S1384)*M1384</f>
        <v/>
      </c>
      <c r="U1384" s="23">
        <f>R1384-S1384-T1384</f>
        <v/>
      </c>
      <c r="V1384" s="23">
        <f>D1384*P1384</f>
        <v/>
      </c>
      <c r="W1384" s="23">
        <f>U1384-V1384</f>
        <v/>
      </c>
      <c r="X1384" s="24">
        <f>IFERROR(W1384/U1384,0)</f>
        <v/>
      </c>
    </row>
    <row r="1385">
      <c r="A1385" s="25">
        <f>ItensPedido!A1385</f>
        <v/>
      </c>
      <c r="B1385" s="25">
        <f>ItensPedido!B1385</f>
        <v/>
      </c>
      <c r="C1385" s="25">
        <f>ItensPedido!C1385</f>
        <v/>
      </c>
      <c r="D1385" s="25">
        <f>ItensPedido!D1385</f>
        <v/>
      </c>
      <c r="E1385" s="26">
        <f>ItensPedido!E1385</f>
        <v/>
      </c>
      <c r="F1385" s="25">
        <f>IFERROR(INDEX(Pedidos!$B$2:$B$1801,MATCH(B1385,Pedidos!$A$2:$A$1801,0)),0)</f>
        <v/>
      </c>
      <c r="G1385" s="25">
        <f>IF(F1385=0,"",YEAR(F1385))</f>
        <v/>
      </c>
      <c r="H1385" s="25">
        <f>IF(F1385=0,"",MONTH(F1385))</f>
        <v/>
      </c>
      <c r="I1385" s="25">
        <f>IFERROR(INDEX(Pedidos!$E$2:$E$1801,MATCH(B1385,Pedidos!$A$2:$A$1801,0)),"")</f>
        <v/>
      </c>
      <c r="J1385" s="25">
        <f>IFERROR(INDEX(Pedidos!$C$2:$C$1801,MATCH(B1385,Pedidos!$A$2:$A$1801,0)),"")</f>
        <v/>
      </c>
      <c r="K1385" s="25">
        <f>IFERROR(INDEX(Pedidos!$D$2:$D$1801,MATCH(B1385,Pedidos!$A$2:$A$1801,0)),"")</f>
        <v/>
      </c>
      <c r="L1385" s="25">
        <f>IFERROR(INDEX(Pedidos!$F$2:$F$1801,MATCH(B1385,Pedidos!$A$2:$A$1801,0)),"")</f>
        <v/>
      </c>
      <c r="M1385" s="26">
        <f>IFERROR(INDEX(Pedidos!$G$2:$G$1801,MATCH(B1385,Pedidos!$A$2:$A$1801,0)),0)</f>
        <v/>
      </c>
      <c r="N1385" s="25">
        <f>IFERROR(INDEX(Produtos!$B$2:$B$71,MATCH(C1385,Produtos!$A$2:$A$71,0)),"")</f>
        <v/>
      </c>
      <c r="O1385" s="25">
        <f>IFERROR(INDEX(Produtos!$C$2:$C$71,MATCH(C1385,Produtos!$A$2:$A$71,0)),"")</f>
        <v/>
      </c>
      <c r="P1385" s="25">
        <f>IFERROR(INDEX(Produtos!$D$2:$D$71,MATCH(C1385,Produtos!$A$2:$A$71,0)),0)</f>
        <v/>
      </c>
      <c r="Q1385" s="25">
        <f>IFERROR(INDEX(Produtos!$E$2:$E$71,MATCH(C1385,Produtos!$A$2:$A$71,0)),0)</f>
        <v/>
      </c>
      <c r="R1385" s="27">
        <f>D1385*Q1385</f>
        <v/>
      </c>
      <c r="S1385" s="27">
        <f>R1385*E1385</f>
        <v/>
      </c>
      <c r="T1385" s="27">
        <f>(R1385-S1385)*M1385</f>
        <v/>
      </c>
      <c r="U1385" s="27">
        <f>R1385-S1385-T1385</f>
        <v/>
      </c>
      <c r="V1385" s="27">
        <f>D1385*P1385</f>
        <v/>
      </c>
      <c r="W1385" s="27">
        <f>U1385-V1385</f>
        <v/>
      </c>
      <c r="X1385" s="28">
        <f>IFERROR(W1385/U1385,0)</f>
        <v/>
      </c>
    </row>
    <row r="1386">
      <c r="A1386" s="21">
        <f>ItensPedido!A1386</f>
        <v/>
      </c>
      <c r="B1386" s="21">
        <f>ItensPedido!B1386</f>
        <v/>
      </c>
      <c r="C1386" s="21">
        <f>ItensPedido!C1386</f>
        <v/>
      </c>
      <c r="D1386" s="21">
        <f>ItensPedido!D1386</f>
        <v/>
      </c>
      <c r="E1386" s="22">
        <f>ItensPedido!E1386</f>
        <v/>
      </c>
      <c r="F1386" s="21">
        <f>IFERROR(INDEX(Pedidos!$B$2:$B$1801,MATCH(B1386,Pedidos!$A$2:$A$1801,0)),0)</f>
        <v/>
      </c>
      <c r="G1386" s="21">
        <f>IF(F1386=0,"",YEAR(F1386))</f>
        <v/>
      </c>
      <c r="H1386" s="21">
        <f>IF(F1386=0,"",MONTH(F1386))</f>
        <v/>
      </c>
      <c r="I1386" s="21">
        <f>IFERROR(INDEX(Pedidos!$E$2:$E$1801,MATCH(B1386,Pedidos!$A$2:$A$1801,0)),"")</f>
        <v/>
      </c>
      <c r="J1386" s="21">
        <f>IFERROR(INDEX(Pedidos!$C$2:$C$1801,MATCH(B1386,Pedidos!$A$2:$A$1801,0)),"")</f>
        <v/>
      </c>
      <c r="K1386" s="21">
        <f>IFERROR(INDEX(Pedidos!$D$2:$D$1801,MATCH(B1386,Pedidos!$A$2:$A$1801,0)),"")</f>
        <v/>
      </c>
      <c r="L1386" s="21">
        <f>IFERROR(INDEX(Pedidos!$F$2:$F$1801,MATCH(B1386,Pedidos!$A$2:$A$1801,0)),"")</f>
        <v/>
      </c>
      <c r="M1386" s="22">
        <f>IFERROR(INDEX(Pedidos!$G$2:$G$1801,MATCH(B1386,Pedidos!$A$2:$A$1801,0)),0)</f>
        <v/>
      </c>
      <c r="N1386" s="21">
        <f>IFERROR(INDEX(Produtos!$B$2:$B$71,MATCH(C1386,Produtos!$A$2:$A$71,0)),"")</f>
        <v/>
      </c>
      <c r="O1386" s="21">
        <f>IFERROR(INDEX(Produtos!$C$2:$C$71,MATCH(C1386,Produtos!$A$2:$A$71,0)),"")</f>
        <v/>
      </c>
      <c r="P1386" s="21">
        <f>IFERROR(INDEX(Produtos!$D$2:$D$71,MATCH(C1386,Produtos!$A$2:$A$71,0)),0)</f>
        <v/>
      </c>
      <c r="Q1386" s="21">
        <f>IFERROR(INDEX(Produtos!$E$2:$E$71,MATCH(C1386,Produtos!$A$2:$A$71,0)),0)</f>
        <v/>
      </c>
      <c r="R1386" s="23">
        <f>D1386*Q1386</f>
        <v/>
      </c>
      <c r="S1386" s="23">
        <f>R1386*E1386</f>
        <v/>
      </c>
      <c r="T1386" s="23">
        <f>(R1386-S1386)*M1386</f>
        <v/>
      </c>
      <c r="U1386" s="23">
        <f>R1386-S1386-T1386</f>
        <v/>
      </c>
      <c r="V1386" s="23">
        <f>D1386*P1386</f>
        <v/>
      </c>
      <c r="W1386" s="23">
        <f>U1386-V1386</f>
        <v/>
      </c>
      <c r="X1386" s="24">
        <f>IFERROR(W1386/U1386,0)</f>
        <v/>
      </c>
    </row>
    <row r="1387">
      <c r="A1387" s="25">
        <f>ItensPedido!A1387</f>
        <v/>
      </c>
      <c r="B1387" s="25">
        <f>ItensPedido!B1387</f>
        <v/>
      </c>
      <c r="C1387" s="25">
        <f>ItensPedido!C1387</f>
        <v/>
      </c>
      <c r="D1387" s="25">
        <f>ItensPedido!D1387</f>
        <v/>
      </c>
      <c r="E1387" s="26">
        <f>ItensPedido!E1387</f>
        <v/>
      </c>
      <c r="F1387" s="25">
        <f>IFERROR(INDEX(Pedidos!$B$2:$B$1801,MATCH(B1387,Pedidos!$A$2:$A$1801,0)),0)</f>
        <v/>
      </c>
      <c r="G1387" s="25">
        <f>IF(F1387=0,"",YEAR(F1387))</f>
        <v/>
      </c>
      <c r="H1387" s="25">
        <f>IF(F1387=0,"",MONTH(F1387))</f>
        <v/>
      </c>
      <c r="I1387" s="25">
        <f>IFERROR(INDEX(Pedidos!$E$2:$E$1801,MATCH(B1387,Pedidos!$A$2:$A$1801,0)),"")</f>
        <v/>
      </c>
      <c r="J1387" s="25">
        <f>IFERROR(INDEX(Pedidos!$C$2:$C$1801,MATCH(B1387,Pedidos!$A$2:$A$1801,0)),"")</f>
        <v/>
      </c>
      <c r="K1387" s="25">
        <f>IFERROR(INDEX(Pedidos!$D$2:$D$1801,MATCH(B1387,Pedidos!$A$2:$A$1801,0)),"")</f>
        <v/>
      </c>
      <c r="L1387" s="25">
        <f>IFERROR(INDEX(Pedidos!$F$2:$F$1801,MATCH(B1387,Pedidos!$A$2:$A$1801,0)),"")</f>
        <v/>
      </c>
      <c r="M1387" s="26">
        <f>IFERROR(INDEX(Pedidos!$G$2:$G$1801,MATCH(B1387,Pedidos!$A$2:$A$1801,0)),0)</f>
        <v/>
      </c>
      <c r="N1387" s="25">
        <f>IFERROR(INDEX(Produtos!$B$2:$B$71,MATCH(C1387,Produtos!$A$2:$A$71,0)),"")</f>
        <v/>
      </c>
      <c r="O1387" s="25">
        <f>IFERROR(INDEX(Produtos!$C$2:$C$71,MATCH(C1387,Produtos!$A$2:$A$71,0)),"")</f>
        <v/>
      </c>
      <c r="P1387" s="25">
        <f>IFERROR(INDEX(Produtos!$D$2:$D$71,MATCH(C1387,Produtos!$A$2:$A$71,0)),0)</f>
        <v/>
      </c>
      <c r="Q1387" s="25">
        <f>IFERROR(INDEX(Produtos!$E$2:$E$71,MATCH(C1387,Produtos!$A$2:$A$71,0)),0)</f>
        <v/>
      </c>
      <c r="R1387" s="27">
        <f>D1387*Q1387</f>
        <v/>
      </c>
      <c r="S1387" s="27">
        <f>R1387*E1387</f>
        <v/>
      </c>
      <c r="T1387" s="27">
        <f>(R1387-S1387)*M1387</f>
        <v/>
      </c>
      <c r="U1387" s="27">
        <f>R1387-S1387-T1387</f>
        <v/>
      </c>
      <c r="V1387" s="27">
        <f>D1387*P1387</f>
        <v/>
      </c>
      <c r="W1387" s="27">
        <f>U1387-V1387</f>
        <v/>
      </c>
      <c r="X1387" s="28">
        <f>IFERROR(W1387/U1387,0)</f>
        <v/>
      </c>
    </row>
    <row r="1388">
      <c r="A1388" s="21">
        <f>ItensPedido!A1388</f>
        <v/>
      </c>
      <c r="B1388" s="21">
        <f>ItensPedido!B1388</f>
        <v/>
      </c>
      <c r="C1388" s="21">
        <f>ItensPedido!C1388</f>
        <v/>
      </c>
      <c r="D1388" s="21">
        <f>ItensPedido!D1388</f>
        <v/>
      </c>
      <c r="E1388" s="22">
        <f>ItensPedido!E1388</f>
        <v/>
      </c>
      <c r="F1388" s="21">
        <f>IFERROR(INDEX(Pedidos!$B$2:$B$1801,MATCH(B1388,Pedidos!$A$2:$A$1801,0)),0)</f>
        <v/>
      </c>
      <c r="G1388" s="21">
        <f>IF(F1388=0,"",YEAR(F1388))</f>
        <v/>
      </c>
      <c r="H1388" s="21">
        <f>IF(F1388=0,"",MONTH(F1388))</f>
        <v/>
      </c>
      <c r="I1388" s="21">
        <f>IFERROR(INDEX(Pedidos!$E$2:$E$1801,MATCH(B1388,Pedidos!$A$2:$A$1801,0)),"")</f>
        <v/>
      </c>
      <c r="J1388" s="21">
        <f>IFERROR(INDEX(Pedidos!$C$2:$C$1801,MATCH(B1388,Pedidos!$A$2:$A$1801,0)),"")</f>
        <v/>
      </c>
      <c r="K1388" s="21">
        <f>IFERROR(INDEX(Pedidos!$D$2:$D$1801,MATCH(B1388,Pedidos!$A$2:$A$1801,0)),"")</f>
        <v/>
      </c>
      <c r="L1388" s="21">
        <f>IFERROR(INDEX(Pedidos!$F$2:$F$1801,MATCH(B1388,Pedidos!$A$2:$A$1801,0)),"")</f>
        <v/>
      </c>
      <c r="M1388" s="22">
        <f>IFERROR(INDEX(Pedidos!$G$2:$G$1801,MATCH(B1388,Pedidos!$A$2:$A$1801,0)),0)</f>
        <v/>
      </c>
      <c r="N1388" s="21">
        <f>IFERROR(INDEX(Produtos!$B$2:$B$71,MATCH(C1388,Produtos!$A$2:$A$71,0)),"")</f>
        <v/>
      </c>
      <c r="O1388" s="21">
        <f>IFERROR(INDEX(Produtos!$C$2:$C$71,MATCH(C1388,Produtos!$A$2:$A$71,0)),"")</f>
        <v/>
      </c>
      <c r="P1388" s="21">
        <f>IFERROR(INDEX(Produtos!$D$2:$D$71,MATCH(C1388,Produtos!$A$2:$A$71,0)),0)</f>
        <v/>
      </c>
      <c r="Q1388" s="21">
        <f>IFERROR(INDEX(Produtos!$E$2:$E$71,MATCH(C1388,Produtos!$A$2:$A$71,0)),0)</f>
        <v/>
      </c>
      <c r="R1388" s="23">
        <f>D1388*Q1388</f>
        <v/>
      </c>
      <c r="S1388" s="23">
        <f>R1388*E1388</f>
        <v/>
      </c>
      <c r="T1388" s="23">
        <f>(R1388-S1388)*M1388</f>
        <v/>
      </c>
      <c r="U1388" s="23">
        <f>R1388-S1388-T1388</f>
        <v/>
      </c>
      <c r="V1388" s="23">
        <f>D1388*P1388</f>
        <v/>
      </c>
      <c r="W1388" s="23">
        <f>U1388-V1388</f>
        <v/>
      </c>
      <c r="X1388" s="24">
        <f>IFERROR(W1388/U1388,0)</f>
        <v/>
      </c>
    </row>
    <row r="1389">
      <c r="A1389" s="25">
        <f>ItensPedido!A1389</f>
        <v/>
      </c>
      <c r="B1389" s="25">
        <f>ItensPedido!B1389</f>
        <v/>
      </c>
      <c r="C1389" s="25">
        <f>ItensPedido!C1389</f>
        <v/>
      </c>
      <c r="D1389" s="25">
        <f>ItensPedido!D1389</f>
        <v/>
      </c>
      <c r="E1389" s="26">
        <f>ItensPedido!E1389</f>
        <v/>
      </c>
      <c r="F1389" s="25">
        <f>IFERROR(INDEX(Pedidos!$B$2:$B$1801,MATCH(B1389,Pedidos!$A$2:$A$1801,0)),0)</f>
        <v/>
      </c>
      <c r="G1389" s="25">
        <f>IF(F1389=0,"",YEAR(F1389))</f>
        <v/>
      </c>
      <c r="H1389" s="25">
        <f>IF(F1389=0,"",MONTH(F1389))</f>
        <v/>
      </c>
      <c r="I1389" s="25">
        <f>IFERROR(INDEX(Pedidos!$E$2:$E$1801,MATCH(B1389,Pedidos!$A$2:$A$1801,0)),"")</f>
        <v/>
      </c>
      <c r="J1389" s="25">
        <f>IFERROR(INDEX(Pedidos!$C$2:$C$1801,MATCH(B1389,Pedidos!$A$2:$A$1801,0)),"")</f>
        <v/>
      </c>
      <c r="K1389" s="25">
        <f>IFERROR(INDEX(Pedidos!$D$2:$D$1801,MATCH(B1389,Pedidos!$A$2:$A$1801,0)),"")</f>
        <v/>
      </c>
      <c r="L1389" s="25">
        <f>IFERROR(INDEX(Pedidos!$F$2:$F$1801,MATCH(B1389,Pedidos!$A$2:$A$1801,0)),"")</f>
        <v/>
      </c>
      <c r="M1389" s="26">
        <f>IFERROR(INDEX(Pedidos!$G$2:$G$1801,MATCH(B1389,Pedidos!$A$2:$A$1801,0)),0)</f>
        <v/>
      </c>
      <c r="N1389" s="25">
        <f>IFERROR(INDEX(Produtos!$B$2:$B$71,MATCH(C1389,Produtos!$A$2:$A$71,0)),"")</f>
        <v/>
      </c>
      <c r="O1389" s="25">
        <f>IFERROR(INDEX(Produtos!$C$2:$C$71,MATCH(C1389,Produtos!$A$2:$A$71,0)),"")</f>
        <v/>
      </c>
      <c r="P1389" s="25">
        <f>IFERROR(INDEX(Produtos!$D$2:$D$71,MATCH(C1389,Produtos!$A$2:$A$71,0)),0)</f>
        <v/>
      </c>
      <c r="Q1389" s="25">
        <f>IFERROR(INDEX(Produtos!$E$2:$E$71,MATCH(C1389,Produtos!$A$2:$A$71,0)),0)</f>
        <v/>
      </c>
      <c r="R1389" s="27">
        <f>D1389*Q1389</f>
        <v/>
      </c>
      <c r="S1389" s="27">
        <f>R1389*E1389</f>
        <v/>
      </c>
      <c r="T1389" s="27">
        <f>(R1389-S1389)*M1389</f>
        <v/>
      </c>
      <c r="U1389" s="27">
        <f>R1389-S1389-T1389</f>
        <v/>
      </c>
      <c r="V1389" s="27">
        <f>D1389*P1389</f>
        <v/>
      </c>
      <c r="W1389" s="27">
        <f>U1389-V1389</f>
        <v/>
      </c>
      <c r="X1389" s="28">
        <f>IFERROR(W1389/U1389,0)</f>
        <v/>
      </c>
    </row>
    <row r="1390">
      <c r="A1390" s="21">
        <f>ItensPedido!A1390</f>
        <v/>
      </c>
      <c r="B1390" s="21">
        <f>ItensPedido!B1390</f>
        <v/>
      </c>
      <c r="C1390" s="21">
        <f>ItensPedido!C1390</f>
        <v/>
      </c>
      <c r="D1390" s="21">
        <f>ItensPedido!D1390</f>
        <v/>
      </c>
      <c r="E1390" s="22">
        <f>ItensPedido!E1390</f>
        <v/>
      </c>
      <c r="F1390" s="21">
        <f>IFERROR(INDEX(Pedidos!$B$2:$B$1801,MATCH(B1390,Pedidos!$A$2:$A$1801,0)),0)</f>
        <v/>
      </c>
      <c r="G1390" s="21">
        <f>IF(F1390=0,"",YEAR(F1390))</f>
        <v/>
      </c>
      <c r="H1390" s="21">
        <f>IF(F1390=0,"",MONTH(F1390))</f>
        <v/>
      </c>
      <c r="I1390" s="21">
        <f>IFERROR(INDEX(Pedidos!$E$2:$E$1801,MATCH(B1390,Pedidos!$A$2:$A$1801,0)),"")</f>
        <v/>
      </c>
      <c r="J1390" s="21">
        <f>IFERROR(INDEX(Pedidos!$C$2:$C$1801,MATCH(B1390,Pedidos!$A$2:$A$1801,0)),"")</f>
        <v/>
      </c>
      <c r="K1390" s="21">
        <f>IFERROR(INDEX(Pedidos!$D$2:$D$1801,MATCH(B1390,Pedidos!$A$2:$A$1801,0)),"")</f>
        <v/>
      </c>
      <c r="L1390" s="21">
        <f>IFERROR(INDEX(Pedidos!$F$2:$F$1801,MATCH(B1390,Pedidos!$A$2:$A$1801,0)),"")</f>
        <v/>
      </c>
      <c r="M1390" s="22">
        <f>IFERROR(INDEX(Pedidos!$G$2:$G$1801,MATCH(B1390,Pedidos!$A$2:$A$1801,0)),0)</f>
        <v/>
      </c>
      <c r="N1390" s="21">
        <f>IFERROR(INDEX(Produtos!$B$2:$B$71,MATCH(C1390,Produtos!$A$2:$A$71,0)),"")</f>
        <v/>
      </c>
      <c r="O1390" s="21">
        <f>IFERROR(INDEX(Produtos!$C$2:$C$71,MATCH(C1390,Produtos!$A$2:$A$71,0)),"")</f>
        <v/>
      </c>
      <c r="P1390" s="21">
        <f>IFERROR(INDEX(Produtos!$D$2:$D$71,MATCH(C1390,Produtos!$A$2:$A$71,0)),0)</f>
        <v/>
      </c>
      <c r="Q1390" s="21">
        <f>IFERROR(INDEX(Produtos!$E$2:$E$71,MATCH(C1390,Produtos!$A$2:$A$71,0)),0)</f>
        <v/>
      </c>
      <c r="R1390" s="23">
        <f>D1390*Q1390</f>
        <v/>
      </c>
      <c r="S1390" s="23">
        <f>R1390*E1390</f>
        <v/>
      </c>
      <c r="T1390" s="23">
        <f>(R1390-S1390)*M1390</f>
        <v/>
      </c>
      <c r="U1390" s="23">
        <f>R1390-S1390-T1390</f>
        <v/>
      </c>
      <c r="V1390" s="23">
        <f>D1390*P1390</f>
        <v/>
      </c>
      <c r="W1390" s="23">
        <f>U1390-V1390</f>
        <v/>
      </c>
      <c r="X1390" s="24">
        <f>IFERROR(W1390/U1390,0)</f>
        <v/>
      </c>
    </row>
    <row r="1391">
      <c r="A1391" s="25">
        <f>ItensPedido!A1391</f>
        <v/>
      </c>
      <c r="B1391" s="25">
        <f>ItensPedido!B1391</f>
        <v/>
      </c>
      <c r="C1391" s="25">
        <f>ItensPedido!C1391</f>
        <v/>
      </c>
      <c r="D1391" s="25">
        <f>ItensPedido!D1391</f>
        <v/>
      </c>
      <c r="E1391" s="26">
        <f>ItensPedido!E1391</f>
        <v/>
      </c>
      <c r="F1391" s="25">
        <f>IFERROR(INDEX(Pedidos!$B$2:$B$1801,MATCH(B1391,Pedidos!$A$2:$A$1801,0)),0)</f>
        <v/>
      </c>
      <c r="G1391" s="25">
        <f>IF(F1391=0,"",YEAR(F1391))</f>
        <v/>
      </c>
      <c r="H1391" s="25">
        <f>IF(F1391=0,"",MONTH(F1391))</f>
        <v/>
      </c>
      <c r="I1391" s="25">
        <f>IFERROR(INDEX(Pedidos!$E$2:$E$1801,MATCH(B1391,Pedidos!$A$2:$A$1801,0)),"")</f>
        <v/>
      </c>
      <c r="J1391" s="25">
        <f>IFERROR(INDEX(Pedidos!$C$2:$C$1801,MATCH(B1391,Pedidos!$A$2:$A$1801,0)),"")</f>
        <v/>
      </c>
      <c r="K1391" s="25">
        <f>IFERROR(INDEX(Pedidos!$D$2:$D$1801,MATCH(B1391,Pedidos!$A$2:$A$1801,0)),"")</f>
        <v/>
      </c>
      <c r="L1391" s="25">
        <f>IFERROR(INDEX(Pedidos!$F$2:$F$1801,MATCH(B1391,Pedidos!$A$2:$A$1801,0)),"")</f>
        <v/>
      </c>
      <c r="M1391" s="26">
        <f>IFERROR(INDEX(Pedidos!$G$2:$G$1801,MATCH(B1391,Pedidos!$A$2:$A$1801,0)),0)</f>
        <v/>
      </c>
      <c r="N1391" s="25">
        <f>IFERROR(INDEX(Produtos!$B$2:$B$71,MATCH(C1391,Produtos!$A$2:$A$71,0)),"")</f>
        <v/>
      </c>
      <c r="O1391" s="25">
        <f>IFERROR(INDEX(Produtos!$C$2:$C$71,MATCH(C1391,Produtos!$A$2:$A$71,0)),"")</f>
        <v/>
      </c>
      <c r="P1391" s="25">
        <f>IFERROR(INDEX(Produtos!$D$2:$D$71,MATCH(C1391,Produtos!$A$2:$A$71,0)),0)</f>
        <v/>
      </c>
      <c r="Q1391" s="25">
        <f>IFERROR(INDEX(Produtos!$E$2:$E$71,MATCH(C1391,Produtos!$A$2:$A$71,0)),0)</f>
        <v/>
      </c>
      <c r="R1391" s="27">
        <f>D1391*Q1391</f>
        <v/>
      </c>
      <c r="S1391" s="27">
        <f>R1391*E1391</f>
        <v/>
      </c>
      <c r="T1391" s="27">
        <f>(R1391-S1391)*M1391</f>
        <v/>
      </c>
      <c r="U1391" s="27">
        <f>R1391-S1391-T1391</f>
        <v/>
      </c>
      <c r="V1391" s="27">
        <f>D1391*P1391</f>
        <v/>
      </c>
      <c r="W1391" s="27">
        <f>U1391-V1391</f>
        <v/>
      </c>
      <c r="X1391" s="28">
        <f>IFERROR(W1391/U1391,0)</f>
        <v/>
      </c>
    </row>
    <row r="1392">
      <c r="A1392" s="21">
        <f>ItensPedido!A1392</f>
        <v/>
      </c>
      <c r="B1392" s="21">
        <f>ItensPedido!B1392</f>
        <v/>
      </c>
      <c r="C1392" s="21">
        <f>ItensPedido!C1392</f>
        <v/>
      </c>
      <c r="D1392" s="21">
        <f>ItensPedido!D1392</f>
        <v/>
      </c>
      <c r="E1392" s="22">
        <f>ItensPedido!E1392</f>
        <v/>
      </c>
      <c r="F1392" s="21">
        <f>IFERROR(INDEX(Pedidos!$B$2:$B$1801,MATCH(B1392,Pedidos!$A$2:$A$1801,0)),0)</f>
        <v/>
      </c>
      <c r="G1392" s="21">
        <f>IF(F1392=0,"",YEAR(F1392))</f>
        <v/>
      </c>
      <c r="H1392" s="21">
        <f>IF(F1392=0,"",MONTH(F1392))</f>
        <v/>
      </c>
      <c r="I1392" s="21">
        <f>IFERROR(INDEX(Pedidos!$E$2:$E$1801,MATCH(B1392,Pedidos!$A$2:$A$1801,0)),"")</f>
        <v/>
      </c>
      <c r="J1392" s="21">
        <f>IFERROR(INDEX(Pedidos!$C$2:$C$1801,MATCH(B1392,Pedidos!$A$2:$A$1801,0)),"")</f>
        <v/>
      </c>
      <c r="K1392" s="21">
        <f>IFERROR(INDEX(Pedidos!$D$2:$D$1801,MATCH(B1392,Pedidos!$A$2:$A$1801,0)),"")</f>
        <v/>
      </c>
      <c r="L1392" s="21">
        <f>IFERROR(INDEX(Pedidos!$F$2:$F$1801,MATCH(B1392,Pedidos!$A$2:$A$1801,0)),"")</f>
        <v/>
      </c>
      <c r="M1392" s="22">
        <f>IFERROR(INDEX(Pedidos!$G$2:$G$1801,MATCH(B1392,Pedidos!$A$2:$A$1801,0)),0)</f>
        <v/>
      </c>
      <c r="N1392" s="21">
        <f>IFERROR(INDEX(Produtos!$B$2:$B$71,MATCH(C1392,Produtos!$A$2:$A$71,0)),"")</f>
        <v/>
      </c>
      <c r="O1392" s="21">
        <f>IFERROR(INDEX(Produtos!$C$2:$C$71,MATCH(C1392,Produtos!$A$2:$A$71,0)),"")</f>
        <v/>
      </c>
      <c r="P1392" s="21">
        <f>IFERROR(INDEX(Produtos!$D$2:$D$71,MATCH(C1392,Produtos!$A$2:$A$71,0)),0)</f>
        <v/>
      </c>
      <c r="Q1392" s="21">
        <f>IFERROR(INDEX(Produtos!$E$2:$E$71,MATCH(C1392,Produtos!$A$2:$A$71,0)),0)</f>
        <v/>
      </c>
      <c r="R1392" s="23">
        <f>D1392*Q1392</f>
        <v/>
      </c>
      <c r="S1392" s="23">
        <f>R1392*E1392</f>
        <v/>
      </c>
      <c r="T1392" s="23">
        <f>(R1392-S1392)*M1392</f>
        <v/>
      </c>
      <c r="U1392" s="23">
        <f>R1392-S1392-T1392</f>
        <v/>
      </c>
      <c r="V1392" s="23">
        <f>D1392*P1392</f>
        <v/>
      </c>
      <c r="W1392" s="23">
        <f>U1392-V1392</f>
        <v/>
      </c>
      <c r="X1392" s="24">
        <f>IFERROR(W1392/U1392,0)</f>
        <v/>
      </c>
    </row>
    <row r="1393">
      <c r="A1393" s="25">
        <f>ItensPedido!A1393</f>
        <v/>
      </c>
      <c r="B1393" s="25">
        <f>ItensPedido!B1393</f>
        <v/>
      </c>
      <c r="C1393" s="25">
        <f>ItensPedido!C1393</f>
        <v/>
      </c>
      <c r="D1393" s="25">
        <f>ItensPedido!D1393</f>
        <v/>
      </c>
      <c r="E1393" s="26">
        <f>ItensPedido!E1393</f>
        <v/>
      </c>
      <c r="F1393" s="25">
        <f>IFERROR(INDEX(Pedidos!$B$2:$B$1801,MATCH(B1393,Pedidos!$A$2:$A$1801,0)),0)</f>
        <v/>
      </c>
      <c r="G1393" s="25">
        <f>IF(F1393=0,"",YEAR(F1393))</f>
        <v/>
      </c>
      <c r="H1393" s="25">
        <f>IF(F1393=0,"",MONTH(F1393))</f>
        <v/>
      </c>
      <c r="I1393" s="25">
        <f>IFERROR(INDEX(Pedidos!$E$2:$E$1801,MATCH(B1393,Pedidos!$A$2:$A$1801,0)),"")</f>
        <v/>
      </c>
      <c r="J1393" s="25">
        <f>IFERROR(INDEX(Pedidos!$C$2:$C$1801,MATCH(B1393,Pedidos!$A$2:$A$1801,0)),"")</f>
        <v/>
      </c>
      <c r="K1393" s="25">
        <f>IFERROR(INDEX(Pedidos!$D$2:$D$1801,MATCH(B1393,Pedidos!$A$2:$A$1801,0)),"")</f>
        <v/>
      </c>
      <c r="L1393" s="25">
        <f>IFERROR(INDEX(Pedidos!$F$2:$F$1801,MATCH(B1393,Pedidos!$A$2:$A$1801,0)),"")</f>
        <v/>
      </c>
      <c r="M1393" s="26">
        <f>IFERROR(INDEX(Pedidos!$G$2:$G$1801,MATCH(B1393,Pedidos!$A$2:$A$1801,0)),0)</f>
        <v/>
      </c>
      <c r="N1393" s="25">
        <f>IFERROR(INDEX(Produtos!$B$2:$B$71,MATCH(C1393,Produtos!$A$2:$A$71,0)),"")</f>
        <v/>
      </c>
      <c r="O1393" s="25">
        <f>IFERROR(INDEX(Produtos!$C$2:$C$71,MATCH(C1393,Produtos!$A$2:$A$71,0)),"")</f>
        <v/>
      </c>
      <c r="P1393" s="25">
        <f>IFERROR(INDEX(Produtos!$D$2:$D$71,MATCH(C1393,Produtos!$A$2:$A$71,0)),0)</f>
        <v/>
      </c>
      <c r="Q1393" s="25">
        <f>IFERROR(INDEX(Produtos!$E$2:$E$71,MATCH(C1393,Produtos!$A$2:$A$71,0)),0)</f>
        <v/>
      </c>
      <c r="R1393" s="27">
        <f>D1393*Q1393</f>
        <v/>
      </c>
      <c r="S1393" s="27">
        <f>R1393*E1393</f>
        <v/>
      </c>
      <c r="T1393" s="27">
        <f>(R1393-S1393)*M1393</f>
        <v/>
      </c>
      <c r="U1393" s="27">
        <f>R1393-S1393-T1393</f>
        <v/>
      </c>
      <c r="V1393" s="27">
        <f>D1393*P1393</f>
        <v/>
      </c>
      <c r="W1393" s="27">
        <f>U1393-V1393</f>
        <v/>
      </c>
      <c r="X1393" s="28">
        <f>IFERROR(W1393/U1393,0)</f>
        <v/>
      </c>
    </row>
    <row r="1394">
      <c r="A1394" s="21">
        <f>ItensPedido!A1394</f>
        <v/>
      </c>
      <c r="B1394" s="21">
        <f>ItensPedido!B1394</f>
        <v/>
      </c>
      <c r="C1394" s="21">
        <f>ItensPedido!C1394</f>
        <v/>
      </c>
      <c r="D1394" s="21">
        <f>ItensPedido!D1394</f>
        <v/>
      </c>
      <c r="E1394" s="22">
        <f>ItensPedido!E1394</f>
        <v/>
      </c>
      <c r="F1394" s="21">
        <f>IFERROR(INDEX(Pedidos!$B$2:$B$1801,MATCH(B1394,Pedidos!$A$2:$A$1801,0)),0)</f>
        <v/>
      </c>
      <c r="G1394" s="21">
        <f>IF(F1394=0,"",YEAR(F1394))</f>
        <v/>
      </c>
      <c r="H1394" s="21">
        <f>IF(F1394=0,"",MONTH(F1394))</f>
        <v/>
      </c>
      <c r="I1394" s="21">
        <f>IFERROR(INDEX(Pedidos!$E$2:$E$1801,MATCH(B1394,Pedidos!$A$2:$A$1801,0)),"")</f>
        <v/>
      </c>
      <c r="J1394" s="21">
        <f>IFERROR(INDEX(Pedidos!$C$2:$C$1801,MATCH(B1394,Pedidos!$A$2:$A$1801,0)),"")</f>
        <v/>
      </c>
      <c r="K1394" s="21">
        <f>IFERROR(INDEX(Pedidos!$D$2:$D$1801,MATCH(B1394,Pedidos!$A$2:$A$1801,0)),"")</f>
        <v/>
      </c>
      <c r="L1394" s="21">
        <f>IFERROR(INDEX(Pedidos!$F$2:$F$1801,MATCH(B1394,Pedidos!$A$2:$A$1801,0)),"")</f>
        <v/>
      </c>
      <c r="M1394" s="22">
        <f>IFERROR(INDEX(Pedidos!$G$2:$G$1801,MATCH(B1394,Pedidos!$A$2:$A$1801,0)),0)</f>
        <v/>
      </c>
      <c r="N1394" s="21">
        <f>IFERROR(INDEX(Produtos!$B$2:$B$71,MATCH(C1394,Produtos!$A$2:$A$71,0)),"")</f>
        <v/>
      </c>
      <c r="O1394" s="21">
        <f>IFERROR(INDEX(Produtos!$C$2:$C$71,MATCH(C1394,Produtos!$A$2:$A$71,0)),"")</f>
        <v/>
      </c>
      <c r="P1394" s="21">
        <f>IFERROR(INDEX(Produtos!$D$2:$D$71,MATCH(C1394,Produtos!$A$2:$A$71,0)),0)</f>
        <v/>
      </c>
      <c r="Q1394" s="21">
        <f>IFERROR(INDEX(Produtos!$E$2:$E$71,MATCH(C1394,Produtos!$A$2:$A$71,0)),0)</f>
        <v/>
      </c>
      <c r="R1394" s="23">
        <f>D1394*Q1394</f>
        <v/>
      </c>
      <c r="S1394" s="23">
        <f>R1394*E1394</f>
        <v/>
      </c>
      <c r="T1394" s="23">
        <f>(R1394-S1394)*M1394</f>
        <v/>
      </c>
      <c r="U1394" s="23">
        <f>R1394-S1394-T1394</f>
        <v/>
      </c>
      <c r="V1394" s="23">
        <f>D1394*P1394</f>
        <v/>
      </c>
      <c r="W1394" s="23">
        <f>U1394-V1394</f>
        <v/>
      </c>
      <c r="X1394" s="24">
        <f>IFERROR(W1394/U1394,0)</f>
        <v/>
      </c>
    </row>
    <row r="1395">
      <c r="A1395" s="25">
        <f>ItensPedido!A1395</f>
        <v/>
      </c>
      <c r="B1395" s="25">
        <f>ItensPedido!B1395</f>
        <v/>
      </c>
      <c r="C1395" s="25">
        <f>ItensPedido!C1395</f>
        <v/>
      </c>
      <c r="D1395" s="25">
        <f>ItensPedido!D1395</f>
        <v/>
      </c>
      <c r="E1395" s="26">
        <f>ItensPedido!E1395</f>
        <v/>
      </c>
      <c r="F1395" s="25">
        <f>IFERROR(INDEX(Pedidos!$B$2:$B$1801,MATCH(B1395,Pedidos!$A$2:$A$1801,0)),0)</f>
        <v/>
      </c>
      <c r="G1395" s="25">
        <f>IF(F1395=0,"",YEAR(F1395))</f>
        <v/>
      </c>
      <c r="H1395" s="25">
        <f>IF(F1395=0,"",MONTH(F1395))</f>
        <v/>
      </c>
      <c r="I1395" s="25">
        <f>IFERROR(INDEX(Pedidos!$E$2:$E$1801,MATCH(B1395,Pedidos!$A$2:$A$1801,0)),"")</f>
        <v/>
      </c>
      <c r="J1395" s="25">
        <f>IFERROR(INDEX(Pedidos!$C$2:$C$1801,MATCH(B1395,Pedidos!$A$2:$A$1801,0)),"")</f>
        <v/>
      </c>
      <c r="K1395" s="25">
        <f>IFERROR(INDEX(Pedidos!$D$2:$D$1801,MATCH(B1395,Pedidos!$A$2:$A$1801,0)),"")</f>
        <v/>
      </c>
      <c r="L1395" s="25">
        <f>IFERROR(INDEX(Pedidos!$F$2:$F$1801,MATCH(B1395,Pedidos!$A$2:$A$1801,0)),"")</f>
        <v/>
      </c>
      <c r="M1395" s="26">
        <f>IFERROR(INDEX(Pedidos!$G$2:$G$1801,MATCH(B1395,Pedidos!$A$2:$A$1801,0)),0)</f>
        <v/>
      </c>
      <c r="N1395" s="25">
        <f>IFERROR(INDEX(Produtos!$B$2:$B$71,MATCH(C1395,Produtos!$A$2:$A$71,0)),"")</f>
        <v/>
      </c>
      <c r="O1395" s="25">
        <f>IFERROR(INDEX(Produtos!$C$2:$C$71,MATCH(C1395,Produtos!$A$2:$A$71,0)),"")</f>
        <v/>
      </c>
      <c r="P1395" s="25">
        <f>IFERROR(INDEX(Produtos!$D$2:$D$71,MATCH(C1395,Produtos!$A$2:$A$71,0)),0)</f>
        <v/>
      </c>
      <c r="Q1395" s="25">
        <f>IFERROR(INDEX(Produtos!$E$2:$E$71,MATCH(C1395,Produtos!$A$2:$A$71,0)),0)</f>
        <v/>
      </c>
      <c r="R1395" s="27">
        <f>D1395*Q1395</f>
        <v/>
      </c>
      <c r="S1395" s="27">
        <f>R1395*E1395</f>
        <v/>
      </c>
      <c r="T1395" s="27">
        <f>(R1395-S1395)*M1395</f>
        <v/>
      </c>
      <c r="U1395" s="27">
        <f>R1395-S1395-T1395</f>
        <v/>
      </c>
      <c r="V1395" s="27">
        <f>D1395*P1395</f>
        <v/>
      </c>
      <c r="W1395" s="27">
        <f>U1395-V1395</f>
        <v/>
      </c>
      <c r="X1395" s="28">
        <f>IFERROR(W1395/U1395,0)</f>
        <v/>
      </c>
    </row>
    <row r="1396">
      <c r="A1396" s="21">
        <f>ItensPedido!A1396</f>
        <v/>
      </c>
      <c r="B1396" s="21">
        <f>ItensPedido!B1396</f>
        <v/>
      </c>
      <c r="C1396" s="21">
        <f>ItensPedido!C1396</f>
        <v/>
      </c>
      <c r="D1396" s="21">
        <f>ItensPedido!D1396</f>
        <v/>
      </c>
      <c r="E1396" s="22">
        <f>ItensPedido!E1396</f>
        <v/>
      </c>
      <c r="F1396" s="21">
        <f>IFERROR(INDEX(Pedidos!$B$2:$B$1801,MATCH(B1396,Pedidos!$A$2:$A$1801,0)),0)</f>
        <v/>
      </c>
      <c r="G1396" s="21">
        <f>IF(F1396=0,"",YEAR(F1396))</f>
        <v/>
      </c>
      <c r="H1396" s="21">
        <f>IF(F1396=0,"",MONTH(F1396))</f>
        <v/>
      </c>
      <c r="I1396" s="21">
        <f>IFERROR(INDEX(Pedidos!$E$2:$E$1801,MATCH(B1396,Pedidos!$A$2:$A$1801,0)),"")</f>
        <v/>
      </c>
      <c r="J1396" s="21">
        <f>IFERROR(INDEX(Pedidos!$C$2:$C$1801,MATCH(B1396,Pedidos!$A$2:$A$1801,0)),"")</f>
        <v/>
      </c>
      <c r="K1396" s="21">
        <f>IFERROR(INDEX(Pedidos!$D$2:$D$1801,MATCH(B1396,Pedidos!$A$2:$A$1801,0)),"")</f>
        <v/>
      </c>
      <c r="L1396" s="21">
        <f>IFERROR(INDEX(Pedidos!$F$2:$F$1801,MATCH(B1396,Pedidos!$A$2:$A$1801,0)),"")</f>
        <v/>
      </c>
      <c r="M1396" s="22">
        <f>IFERROR(INDEX(Pedidos!$G$2:$G$1801,MATCH(B1396,Pedidos!$A$2:$A$1801,0)),0)</f>
        <v/>
      </c>
      <c r="N1396" s="21">
        <f>IFERROR(INDEX(Produtos!$B$2:$B$71,MATCH(C1396,Produtos!$A$2:$A$71,0)),"")</f>
        <v/>
      </c>
      <c r="O1396" s="21">
        <f>IFERROR(INDEX(Produtos!$C$2:$C$71,MATCH(C1396,Produtos!$A$2:$A$71,0)),"")</f>
        <v/>
      </c>
      <c r="P1396" s="21">
        <f>IFERROR(INDEX(Produtos!$D$2:$D$71,MATCH(C1396,Produtos!$A$2:$A$71,0)),0)</f>
        <v/>
      </c>
      <c r="Q1396" s="21">
        <f>IFERROR(INDEX(Produtos!$E$2:$E$71,MATCH(C1396,Produtos!$A$2:$A$71,0)),0)</f>
        <v/>
      </c>
      <c r="R1396" s="23">
        <f>D1396*Q1396</f>
        <v/>
      </c>
      <c r="S1396" s="23">
        <f>R1396*E1396</f>
        <v/>
      </c>
      <c r="T1396" s="23">
        <f>(R1396-S1396)*M1396</f>
        <v/>
      </c>
      <c r="U1396" s="23">
        <f>R1396-S1396-T1396</f>
        <v/>
      </c>
      <c r="V1396" s="23">
        <f>D1396*P1396</f>
        <v/>
      </c>
      <c r="W1396" s="23">
        <f>U1396-V1396</f>
        <v/>
      </c>
      <c r="X1396" s="24">
        <f>IFERROR(W1396/U1396,0)</f>
        <v/>
      </c>
    </row>
    <row r="1397">
      <c r="A1397" s="25">
        <f>ItensPedido!A1397</f>
        <v/>
      </c>
      <c r="B1397" s="25">
        <f>ItensPedido!B1397</f>
        <v/>
      </c>
      <c r="C1397" s="25">
        <f>ItensPedido!C1397</f>
        <v/>
      </c>
      <c r="D1397" s="25">
        <f>ItensPedido!D1397</f>
        <v/>
      </c>
      <c r="E1397" s="26">
        <f>ItensPedido!E1397</f>
        <v/>
      </c>
      <c r="F1397" s="25">
        <f>IFERROR(INDEX(Pedidos!$B$2:$B$1801,MATCH(B1397,Pedidos!$A$2:$A$1801,0)),0)</f>
        <v/>
      </c>
      <c r="G1397" s="25">
        <f>IF(F1397=0,"",YEAR(F1397))</f>
        <v/>
      </c>
      <c r="H1397" s="25">
        <f>IF(F1397=0,"",MONTH(F1397))</f>
        <v/>
      </c>
      <c r="I1397" s="25">
        <f>IFERROR(INDEX(Pedidos!$E$2:$E$1801,MATCH(B1397,Pedidos!$A$2:$A$1801,0)),"")</f>
        <v/>
      </c>
      <c r="J1397" s="25">
        <f>IFERROR(INDEX(Pedidos!$C$2:$C$1801,MATCH(B1397,Pedidos!$A$2:$A$1801,0)),"")</f>
        <v/>
      </c>
      <c r="K1397" s="25">
        <f>IFERROR(INDEX(Pedidos!$D$2:$D$1801,MATCH(B1397,Pedidos!$A$2:$A$1801,0)),"")</f>
        <v/>
      </c>
      <c r="L1397" s="25">
        <f>IFERROR(INDEX(Pedidos!$F$2:$F$1801,MATCH(B1397,Pedidos!$A$2:$A$1801,0)),"")</f>
        <v/>
      </c>
      <c r="M1397" s="26">
        <f>IFERROR(INDEX(Pedidos!$G$2:$G$1801,MATCH(B1397,Pedidos!$A$2:$A$1801,0)),0)</f>
        <v/>
      </c>
      <c r="N1397" s="25">
        <f>IFERROR(INDEX(Produtos!$B$2:$B$71,MATCH(C1397,Produtos!$A$2:$A$71,0)),"")</f>
        <v/>
      </c>
      <c r="O1397" s="25">
        <f>IFERROR(INDEX(Produtos!$C$2:$C$71,MATCH(C1397,Produtos!$A$2:$A$71,0)),"")</f>
        <v/>
      </c>
      <c r="P1397" s="25">
        <f>IFERROR(INDEX(Produtos!$D$2:$D$71,MATCH(C1397,Produtos!$A$2:$A$71,0)),0)</f>
        <v/>
      </c>
      <c r="Q1397" s="25">
        <f>IFERROR(INDEX(Produtos!$E$2:$E$71,MATCH(C1397,Produtos!$A$2:$A$71,0)),0)</f>
        <v/>
      </c>
      <c r="R1397" s="27">
        <f>D1397*Q1397</f>
        <v/>
      </c>
      <c r="S1397" s="27">
        <f>R1397*E1397</f>
        <v/>
      </c>
      <c r="T1397" s="27">
        <f>(R1397-S1397)*M1397</f>
        <v/>
      </c>
      <c r="U1397" s="27">
        <f>R1397-S1397-T1397</f>
        <v/>
      </c>
      <c r="V1397" s="27">
        <f>D1397*P1397</f>
        <v/>
      </c>
      <c r="W1397" s="27">
        <f>U1397-V1397</f>
        <v/>
      </c>
      <c r="X1397" s="28">
        <f>IFERROR(W1397/U1397,0)</f>
        <v/>
      </c>
    </row>
    <row r="1398">
      <c r="A1398" s="21">
        <f>ItensPedido!A1398</f>
        <v/>
      </c>
      <c r="B1398" s="21">
        <f>ItensPedido!B1398</f>
        <v/>
      </c>
      <c r="C1398" s="21">
        <f>ItensPedido!C1398</f>
        <v/>
      </c>
      <c r="D1398" s="21">
        <f>ItensPedido!D1398</f>
        <v/>
      </c>
      <c r="E1398" s="22">
        <f>ItensPedido!E1398</f>
        <v/>
      </c>
      <c r="F1398" s="21">
        <f>IFERROR(INDEX(Pedidos!$B$2:$B$1801,MATCH(B1398,Pedidos!$A$2:$A$1801,0)),0)</f>
        <v/>
      </c>
      <c r="G1398" s="21">
        <f>IF(F1398=0,"",YEAR(F1398))</f>
        <v/>
      </c>
      <c r="H1398" s="21">
        <f>IF(F1398=0,"",MONTH(F1398))</f>
        <v/>
      </c>
      <c r="I1398" s="21">
        <f>IFERROR(INDEX(Pedidos!$E$2:$E$1801,MATCH(B1398,Pedidos!$A$2:$A$1801,0)),"")</f>
        <v/>
      </c>
      <c r="J1398" s="21">
        <f>IFERROR(INDEX(Pedidos!$C$2:$C$1801,MATCH(B1398,Pedidos!$A$2:$A$1801,0)),"")</f>
        <v/>
      </c>
      <c r="K1398" s="21">
        <f>IFERROR(INDEX(Pedidos!$D$2:$D$1801,MATCH(B1398,Pedidos!$A$2:$A$1801,0)),"")</f>
        <v/>
      </c>
      <c r="L1398" s="21">
        <f>IFERROR(INDEX(Pedidos!$F$2:$F$1801,MATCH(B1398,Pedidos!$A$2:$A$1801,0)),"")</f>
        <v/>
      </c>
      <c r="M1398" s="22">
        <f>IFERROR(INDEX(Pedidos!$G$2:$G$1801,MATCH(B1398,Pedidos!$A$2:$A$1801,0)),0)</f>
        <v/>
      </c>
      <c r="N1398" s="21">
        <f>IFERROR(INDEX(Produtos!$B$2:$B$71,MATCH(C1398,Produtos!$A$2:$A$71,0)),"")</f>
        <v/>
      </c>
      <c r="O1398" s="21">
        <f>IFERROR(INDEX(Produtos!$C$2:$C$71,MATCH(C1398,Produtos!$A$2:$A$71,0)),"")</f>
        <v/>
      </c>
      <c r="P1398" s="21">
        <f>IFERROR(INDEX(Produtos!$D$2:$D$71,MATCH(C1398,Produtos!$A$2:$A$71,0)),0)</f>
        <v/>
      </c>
      <c r="Q1398" s="21">
        <f>IFERROR(INDEX(Produtos!$E$2:$E$71,MATCH(C1398,Produtos!$A$2:$A$71,0)),0)</f>
        <v/>
      </c>
      <c r="R1398" s="23">
        <f>D1398*Q1398</f>
        <v/>
      </c>
      <c r="S1398" s="23">
        <f>R1398*E1398</f>
        <v/>
      </c>
      <c r="T1398" s="23">
        <f>(R1398-S1398)*M1398</f>
        <v/>
      </c>
      <c r="U1398" s="23">
        <f>R1398-S1398-T1398</f>
        <v/>
      </c>
      <c r="V1398" s="23">
        <f>D1398*P1398</f>
        <v/>
      </c>
      <c r="W1398" s="23">
        <f>U1398-V1398</f>
        <v/>
      </c>
      <c r="X1398" s="24">
        <f>IFERROR(W1398/U1398,0)</f>
        <v/>
      </c>
    </row>
    <row r="1399">
      <c r="A1399" s="25">
        <f>ItensPedido!A1399</f>
        <v/>
      </c>
      <c r="B1399" s="25">
        <f>ItensPedido!B1399</f>
        <v/>
      </c>
      <c r="C1399" s="25">
        <f>ItensPedido!C1399</f>
        <v/>
      </c>
      <c r="D1399" s="25">
        <f>ItensPedido!D1399</f>
        <v/>
      </c>
      <c r="E1399" s="26">
        <f>ItensPedido!E1399</f>
        <v/>
      </c>
      <c r="F1399" s="25">
        <f>IFERROR(INDEX(Pedidos!$B$2:$B$1801,MATCH(B1399,Pedidos!$A$2:$A$1801,0)),0)</f>
        <v/>
      </c>
      <c r="G1399" s="25">
        <f>IF(F1399=0,"",YEAR(F1399))</f>
        <v/>
      </c>
      <c r="H1399" s="25">
        <f>IF(F1399=0,"",MONTH(F1399))</f>
        <v/>
      </c>
      <c r="I1399" s="25">
        <f>IFERROR(INDEX(Pedidos!$E$2:$E$1801,MATCH(B1399,Pedidos!$A$2:$A$1801,0)),"")</f>
        <v/>
      </c>
      <c r="J1399" s="25">
        <f>IFERROR(INDEX(Pedidos!$C$2:$C$1801,MATCH(B1399,Pedidos!$A$2:$A$1801,0)),"")</f>
        <v/>
      </c>
      <c r="K1399" s="25">
        <f>IFERROR(INDEX(Pedidos!$D$2:$D$1801,MATCH(B1399,Pedidos!$A$2:$A$1801,0)),"")</f>
        <v/>
      </c>
      <c r="L1399" s="25">
        <f>IFERROR(INDEX(Pedidos!$F$2:$F$1801,MATCH(B1399,Pedidos!$A$2:$A$1801,0)),"")</f>
        <v/>
      </c>
      <c r="M1399" s="26">
        <f>IFERROR(INDEX(Pedidos!$G$2:$G$1801,MATCH(B1399,Pedidos!$A$2:$A$1801,0)),0)</f>
        <v/>
      </c>
      <c r="N1399" s="25">
        <f>IFERROR(INDEX(Produtos!$B$2:$B$71,MATCH(C1399,Produtos!$A$2:$A$71,0)),"")</f>
        <v/>
      </c>
      <c r="O1399" s="25">
        <f>IFERROR(INDEX(Produtos!$C$2:$C$71,MATCH(C1399,Produtos!$A$2:$A$71,0)),"")</f>
        <v/>
      </c>
      <c r="P1399" s="25">
        <f>IFERROR(INDEX(Produtos!$D$2:$D$71,MATCH(C1399,Produtos!$A$2:$A$71,0)),0)</f>
        <v/>
      </c>
      <c r="Q1399" s="25">
        <f>IFERROR(INDEX(Produtos!$E$2:$E$71,MATCH(C1399,Produtos!$A$2:$A$71,0)),0)</f>
        <v/>
      </c>
      <c r="R1399" s="27">
        <f>D1399*Q1399</f>
        <v/>
      </c>
      <c r="S1399" s="27">
        <f>R1399*E1399</f>
        <v/>
      </c>
      <c r="T1399" s="27">
        <f>(R1399-S1399)*M1399</f>
        <v/>
      </c>
      <c r="U1399" s="27">
        <f>R1399-S1399-T1399</f>
        <v/>
      </c>
      <c r="V1399" s="27">
        <f>D1399*P1399</f>
        <v/>
      </c>
      <c r="W1399" s="27">
        <f>U1399-V1399</f>
        <v/>
      </c>
      <c r="X1399" s="28">
        <f>IFERROR(W1399/U1399,0)</f>
        <v/>
      </c>
    </row>
    <row r="1400">
      <c r="A1400" s="21">
        <f>ItensPedido!A1400</f>
        <v/>
      </c>
      <c r="B1400" s="21">
        <f>ItensPedido!B1400</f>
        <v/>
      </c>
      <c r="C1400" s="21">
        <f>ItensPedido!C1400</f>
        <v/>
      </c>
      <c r="D1400" s="21">
        <f>ItensPedido!D1400</f>
        <v/>
      </c>
      <c r="E1400" s="22">
        <f>ItensPedido!E1400</f>
        <v/>
      </c>
      <c r="F1400" s="21">
        <f>IFERROR(INDEX(Pedidos!$B$2:$B$1801,MATCH(B1400,Pedidos!$A$2:$A$1801,0)),0)</f>
        <v/>
      </c>
      <c r="G1400" s="21">
        <f>IF(F1400=0,"",YEAR(F1400))</f>
        <v/>
      </c>
      <c r="H1400" s="21">
        <f>IF(F1400=0,"",MONTH(F1400))</f>
        <v/>
      </c>
      <c r="I1400" s="21">
        <f>IFERROR(INDEX(Pedidos!$E$2:$E$1801,MATCH(B1400,Pedidos!$A$2:$A$1801,0)),"")</f>
        <v/>
      </c>
      <c r="J1400" s="21">
        <f>IFERROR(INDEX(Pedidos!$C$2:$C$1801,MATCH(B1400,Pedidos!$A$2:$A$1801,0)),"")</f>
        <v/>
      </c>
      <c r="K1400" s="21">
        <f>IFERROR(INDEX(Pedidos!$D$2:$D$1801,MATCH(B1400,Pedidos!$A$2:$A$1801,0)),"")</f>
        <v/>
      </c>
      <c r="L1400" s="21">
        <f>IFERROR(INDEX(Pedidos!$F$2:$F$1801,MATCH(B1400,Pedidos!$A$2:$A$1801,0)),"")</f>
        <v/>
      </c>
      <c r="M1400" s="22">
        <f>IFERROR(INDEX(Pedidos!$G$2:$G$1801,MATCH(B1400,Pedidos!$A$2:$A$1801,0)),0)</f>
        <v/>
      </c>
      <c r="N1400" s="21">
        <f>IFERROR(INDEX(Produtos!$B$2:$B$71,MATCH(C1400,Produtos!$A$2:$A$71,0)),"")</f>
        <v/>
      </c>
      <c r="O1400" s="21">
        <f>IFERROR(INDEX(Produtos!$C$2:$C$71,MATCH(C1400,Produtos!$A$2:$A$71,0)),"")</f>
        <v/>
      </c>
      <c r="P1400" s="21">
        <f>IFERROR(INDEX(Produtos!$D$2:$D$71,MATCH(C1400,Produtos!$A$2:$A$71,0)),0)</f>
        <v/>
      </c>
      <c r="Q1400" s="21">
        <f>IFERROR(INDEX(Produtos!$E$2:$E$71,MATCH(C1400,Produtos!$A$2:$A$71,0)),0)</f>
        <v/>
      </c>
      <c r="R1400" s="23">
        <f>D1400*Q1400</f>
        <v/>
      </c>
      <c r="S1400" s="23">
        <f>R1400*E1400</f>
        <v/>
      </c>
      <c r="T1400" s="23">
        <f>(R1400-S1400)*M1400</f>
        <v/>
      </c>
      <c r="U1400" s="23">
        <f>R1400-S1400-T1400</f>
        <v/>
      </c>
      <c r="V1400" s="23">
        <f>D1400*P1400</f>
        <v/>
      </c>
      <c r="W1400" s="23">
        <f>U1400-V1400</f>
        <v/>
      </c>
      <c r="X1400" s="24">
        <f>IFERROR(W1400/U1400,0)</f>
        <v/>
      </c>
    </row>
    <row r="1401">
      <c r="A1401" s="25">
        <f>ItensPedido!A1401</f>
        <v/>
      </c>
      <c r="B1401" s="25">
        <f>ItensPedido!B1401</f>
        <v/>
      </c>
      <c r="C1401" s="25">
        <f>ItensPedido!C1401</f>
        <v/>
      </c>
      <c r="D1401" s="25">
        <f>ItensPedido!D1401</f>
        <v/>
      </c>
      <c r="E1401" s="26">
        <f>ItensPedido!E1401</f>
        <v/>
      </c>
      <c r="F1401" s="25">
        <f>IFERROR(INDEX(Pedidos!$B$2:$B$1801,MATCH(B1401,Pedidos!$A$2:$A$1801,0)),0)</f>
        <v/>
      </c>
      <c r="G1401" s="25">
        <f>IF(F1401=0,"",YEAR(F1401))</f>
        <v/>
      </c>
      <c r="H1401" s="25">
        <f>IF(F1401=0,"",MONTH(F1401))</f>
        <v/>
      </c>
      <c r="I1401" s="25">
        <f>IFERROR(INDEX(Pedidos!$E$2:$E$1801,MATCH(B1401,Pedidos!$A$2:$A$1801,0)),"")</f>
        <v/>
      </c>
      <c r="J1401" s="25">
        <f>IFERROR(INDEX(Pedidos!$C$2:$C$1801,MATCH(B1401,Pedidos!$A$2:$A$1801,0)),"")</f>
        <v/>
      </c>
      <c r="K1401" s="25">
        <f>IFERROR(INDEX(Pedidos!$D$2:$D$1801,MATCH(B1401,Pedidos!$A$2:$A$1801,0)),"")</f>
        <v/>
      </c>
      <c r="L1401" s="25">
        <f>IFERROR(INDEX(Pedidos!$F$2:$F$1801,MATCH(B1401,Pedidos!$A$2:$A$1801,0)),"")</f>
        <v/>
      </c>
      <c r="M1401" s="26">
        <f>IFERROR(INDEX(Pedidos!$G$2:$G$1801,MATCH(B1401,Pedidos!$A$2:$A$1801,0)),0)</f>
        <v/>
      </c>
      <c r="N1401" s="25">
        <f>IFERROR(INDEX(Produtos!$B$2:$B$71,MATCH(C1401,Produtos!$A$2:$A$71,0)),"")</f>
        <v/>
      </c>
      <c r="O1401" s="25">
        <f>IFERROR(INDEX(Produtos!$C$2:$C$71,MATCH(C1401,Produtos!$A$2:$A$71,0)),"")</f>
        <v/>
      </c>
      <c r="P1401" s="25">
        <f>IFERROR(INDEX(Produtos!$D$2:$D$71,MATCH(C1401,Produtos!$A$2:$A$71,0)),0)</f>
        <v/>
      </c>
      <c r="Q1401" s="25">
        <f>IFERROR(INDEX(Produtos!$E$2:$E$71,MATCH(C1401,Produtos!$A$2:$A$71,0)),0)</f>
        <v/>
      </c>
      <c r="R1401" s="27">
        <f>D1401*Q1401</f>
        <v/>
      </c>
      <c r="S1401" s="27">
        <f>R1401*E1401</f>
        <v/>
      </c>
      <c r="T1401" s="27">
        <f>(R1401-S1401)*M1401</f>
        <v/>
      </c>
      <c r="U1401" s="27">
        <f>R1401-S1401-T1401</f>
        <v/>
      </c>
      <c r="V1401" s="27">
        <f>D1401*P1401</f>
        <v/>
      </c>
      <c r="W1401" s="27">
        <f>U1401-V1401</f>
        <v/>
      </c>
      <c r="X1401" s="28">
        <f>IFERROR(W1401/U1401,0)</f>
        <v/>
      </c>
    </row>
    <row r="1402">
      <c r="A1402" s="21">
        <f>ItensPedido!A1402</f>
        <v/>
      </c>
      <c r="B1402" s="21">
        <f>ItensPedido!B1402</f>
        <v/>
      </c>
      <c r="C1402" s="21">
        <f>ItensPedido!C1402</f>
        <v/>
      </c>
      <c r="D1402" s="21">
        <f>ItensPedido!D1402</f>
        <v/>
      </c>
      <c r="E1402" s="22">
        <f>ItensPedido!E1402</f>
        <v/>
      </c>
      <c r="F1402" s="21">
        <f>IFERROR(INDEX(Pedidos!$B$2:$B$1801,MATCH(B1402,Pedidos!$A$2:$A$1801,0)),0)</f>
        <v/>
      </c>
      <c r="G1402" s="21">
        <f>IF(F1402=0,"",YEAR(F1402))</f>
        <v/>
      </c>
      <c r="H1402" s="21">
        <f>IF(F1402=0,"",MONTH(F1402))</f>
        <v/>
      </c>
      <c r="I1402" s="21">
        <f>IFERROR(INDEX(Pedidos!$E$2:$E$1801,MATCH(B1402,Pedidos!$A$2:$A$1801,0)),"")</f>
        <v/>
      </c>
      <c r="J1402" s="21">
        <f>IFERROR(INDEX(Pedidos!$C$2:$C$1801,MATCH(B1402,Pedidos!$A$2:$A$1801,0)),"")</f>
        <v/>
      </c>
      <c r="K1402" s="21">
        <f>IFERROR(INDEX(Pedidos!$D$2:$D$1801,MATCH(B1402,Pedidos!$A$2:$A$1801,0)),"")</f>
        <v/>
      </c>
      <c r="L1402" s="21">
        <f>IFERROR(INDEX(Pedidos!$F$2:$F$1801,MATCH(B1402,Pedidos!$A$2:$A$1801,0)),"")</f>
        <v/>
      </c>
      <c r="M1402" s="22">
        <f>IFERROR(INDEX(Pedidos!$G$2:$G$1801,MATCH(B1402,Pedidos!$A$2:$A$1801,0)),0)</f>
        <v/>
      </c>
      <c r="N1402" s="21">
        <f>IFERROR(INDEX(Produtos!$B$2:$B$71,MATCH(C1402,Produtos!$A$2:$A$71,0)),"")</f>
        <v/>
      </c>
      <c r="O1402" s="21">
        <f>IFERROR(INDEX(Produtos!$C$2:$C$71,MATCH(C1402,Produtos!$A$2:$A$71,0)),"")</f>
        <v/>
      </c>
      <c r="P1402" s="21">
        <f>IFERROR(INDEX(Produtos!$D$2:$D$71,MATCH(C1402,Produtos!$A$2:$A$71,0)),0)</f>
        <v/>
      </c>
      <c r="Q1402" s="21">
        <f>IFERROR(INDEX(Produtos!$E$2:$E$71,MATCH(C1402,Produtos!$A$2:$A$71,0)),0)</f>
        <v/>
      </c>
      <c r="R1402" s="23">
        <f>D1402*Q1402</f>
        <v/>
      </c>
      <c r="S1402" s="23">
        <f>R1402*E1402</f>
        <v/>
      </c>
      <c r="T1402" s="23">
        <f>(R1402-S1402)*M1402</f>
        <v/>
      </c>
      <c r="U1402" s="23">
        <f>R1402-S1402-T1402</f>
        <v/>
      </c>
      <c r="V1402" s="23">
        <f>D1402*P1402</f>
        <v/>
      </c>
      <c r="W1402" s="23">
        <f>U1402-V1402</f>
        <v/>
      </c>
      <c r="X1402" s="24">
        <f>IFERROR(W1402/U1402,0)</f>
        <v/>
      </c>
    </row>
    <row r="1403">
      <c r="A1403" s="25">
        <f>ItensPedido!A1403</f>
        <v/>
      </c>
      <c r="B1403" s="25">
        <f>ItensPedido!B1403</f>
        <v/>
      </c>
      <c r="C1403" s="25">
        <f>ItensPedido!C1403</f>
        <v/>
      </c>
      <c r="D1403" s="25">
        <f>ItensPedido!D1403</f>
        <v/>
      </c>
      <c r="E1403" s="26">
        <f>ItensPedido!E1403</f>
        <v/>
      </c>
      <c r="F1403" s="25">
        <f>IFERROR(INDEX(Pedidos!$B$2:$B$1801,MATCH(B1403,Pedidos!$A$2:$A$1801,0)),0)</f>
        <v/>
      </c>
      <c r="G1403" s="25">
        <f>IF(F1403=0,"",YEAR(F1403))</f>
        <v/>
      </c>
      <c r="H1403" s="25">
        <f>IF(F1403=0,"",MONTH(F1403))</f>
        <v/>
      </c>
      <c r="I1403" s="25">
        <f>IFERROR(INDEX(Pedidos!$E$2:$E$1801,MATCH(B1403,Pedidos!$A$2:$A$1801,0)),"")</f>
        <v/>
      </c>
      <c r="J1403" s="25">
        <f>IFERROR(INDEX(Pedidos!$C$2:$C$1801,MATCH(B1403,Pedidos!$A$2:$A$1801,0)),"")</f>
        <v/>
      </c>
      <c r="K1403" s="25">
        <f>IFERROR(INDEX(Pedidos!$D$2:$D$1801,MATCH(B1403,Pedidos!$A$2:$A$1801,0)),"")</f>
        <v/>
      </c>
      <c r="L1403" s="25">
        <f>IFERROR(INDEX(Pedidos!$F$2:$F$1801,MATCH(B1403,Pedidos!$A$2:$A$1801,0)),"")</f>
        <v/>
      </c>
      <c r="M1403" s="26">
        <f>IFERROR(INDEX(Pedidos!$G$2:$G$1801,MATCH(B1403,Pedidos!$A$2:$A$1801,0)),0)</f>
        <v/>
      </c>
      <c r="N1403" s="25">
        <f>IFERROR(INDEX(Produtos!$B$2:$B$71,MATCH(C1403,Produtos!$A$2:$A$71,0)),"")</f>
        <v/>
      </c>
      <c r="O1403" s="25">
        <f>IFERROR(INDEX(Produtos!$C$2:$C$71,MATCH(C1403,Produtos!$A$2:$A$71,0)),"")</f>
        <v/>
      </c>
      <c r="P1403" s="25">
        <f>IFERROR(INDEX(Produtos!$D$2:$D$71,MATCH(C1403,Produtos!$A$2:$A$71,0)),0)</f>
        <v/>
      </c>
      <c r="Q1403" s="25">
        <f>IFERROR(INDEX(Produtos!$E$2:$E$71,MATCH(C1403,Produtos!$A$2:$A$71,0)),0)</f>
        <v/>
      </c>
      <c r="R1403" s="27">
        <f>D1403*Q1403</f>
        <v/>
      </c>
      <c r="S1403" s="27">
        <f>R1403*E1403</f>
        <v/>
      </c>
      <c r="T1403" s="27">
        <f>(R1403-S1403)*M1403</f>
        <v/>
      </c>
      <c r="U1403" s="27">
        <f>R1403-S1403-T1403</f>
        <v/>
      </c>
      <c r="V1403" s="27">
        <f>D1403*P1403</f>
        <v/>
      </c>
      <c r="W1403" s="27">
        <f>U1403-V1403</f>
        <v/>
      </c>
      <c r="X1403" s="28">
        <f>IFERROR(W1403/U1403,0)</f>
        <v/>
      </c>
    </row>
    <row r="1404">
      <c r="A1404" s="21">
        <f>ItensPedido!A1404</f>
        <v/>
      </c>
      <c r="B1404" s="21">
        <f>ItensPedido!B1404</f>
        <v/>
      </c>
      <c r="C1404" s="21">
        <f>ItensPedido!C1404</f>
        <v/>
      </c>
      <c r="D1404" s="21">
        <f>ItensPedido!D1404</f>
        <v/>
      </c>
      <c r="E1404" s="22">
        <f>ItensPedido!E1404</f>
        <v/>
      </c>
      <c r="F1404" s="21">
        <f>IFERROR(INDEX(Pedidos!$B$2:$B$1801,MATCH(B1404,Pedidos!$A$2:$A$1801,0)),0)</f>
        <v/>
      </c>
      <c r="G1404" s="21">
        <f>IF(F1404=0,"",YEAR(F1404))</f>
        <v/>
      </c>
      <c r="H1404" s="21">
        <f>IF(F1404=0,"",MONTH(F1404))</f>
        <v/>
      </c>
      <c r="I1404" s="21">
        <f>IFERROR(INDEX(Pedidos!$E$2:$E$1801,MATCH(B1404,Pedidos!$A$2:$A$1801,0)),"")</f>
        <v/>
      </c>
      <c r="J1404" s="21">
        <f>IFERROR(INDEX(Pedidos!$C$2:$C$1801,MATCH(B1404,Pedidos!$A$2:$A$1801,0)),"")</f>
        <v/>
      </c>
      <c r="K1404" s="21">
        <f>IFERROR(INDEX(Pedidos!$D$2:$D$1801,MATCH(B1404,Pedidos!$A$2:$A$1801,0)),"")</f>
        <v/>
      </c>
      <c r="L1404" s="21">
        <f>IFERROR(INDEX(Pedidos!$F$2:$F$1801,MATCH(B1404,Pedidos!$A$2:$A$1801,0)),"")</f>
        <v/>
      </c>
      <c r="M1404" s="22">
        <f>IFERROR(INDEX(Pedidos!$G$2:$G$1801,MATCH(B1404,Pedidos!$A$2:$A$1801,0)),0)</f>
        <v/>
      </c>
      <c r="N1404" s="21">
        <f>IFERROR(INDEX(Produtos!$B$2:$B$71,MATCH(C1404,Produtos!$A$2:$A$71,0)),"")</f>
        <v/>
      </c>
      <c r="O1404" s="21">
        <f>IFERROR(INDEX(Produtos!$C$2:$C$71,MATCH(C1404,Produtos!$A$2:$A$71,0)),"")</f>
        <v/>
      </c>
      <c r="P1404" s="21">
        <f>IFERROR(INDEX(Produtos!$D$2:$D$71,MATCH(C1404,Produtos!$A$2:$A$71,0)),0)</f>
        <v/>
      </c>
      <c r="Q1404" s="21">
        <f>IFERROR(INDEX(Produtos!$E$2:$E$71,MATCH(C1404,Produtos!$A$2:$A$71,0)),0)</f>
        <v/>
      </c>
      <c r="R1404" s="23">
        <f>D1404*Q1404</f>
        <v/>
      </c>
      <c r="S1404" s="23">
        <f>R1404*E1404</f>
        <v/>
      </c>
      <c r="T1404" s="23">
        <f>(R1404-S1404)*M1404</f>
        <v/>
      </c>
      <c r="U1404" s="23">
        <f>R1404-S1404-T1404</f>
        <v/>
      </c>
      <c r="V1404" s="23">
        <f>D1404*P1404</f>
        <v/>
      </c>
      <c r="W1404" s="23">
        <f>U1404-V1404</f>
        <v/>
      </c>
      <c r="X1404" s="24">
        <f>IFERROR(W1404/U1404,0)</f>
        <v/>
      </c>
    </row>
    <row r="1405">
      <c r="A1405" s="25">
        <f>ItensPedido!A1405</f>
        <v/>
      </c>
      <c r="B1405" s="25">
        <f>ItensPedido!B1405</f>
        <v/>
      </c>
      <c r="C1405" s="25">
        <f>ItensPedido!C1405</f>
        <v/>
      </c>
      <c r="D1405" s="25">
        <f>ItensPedido!D1405</f>
        <v/>
      </c>
      <c r="E1405" s="26">
        <f>ItensPedido!E1405</f>
        <v/>
      </c>
      <c r="F1405" s="25">
        <f>IFERROR(INDEX(Pedidos!$B$2:$B$1801,MATCH(B1405,Pedidos!$A$2:$A$1801,0)),0)</f>
        <v/>
      </c>
      <c r="G1405" s="25">
        <f>IF(F1405=0,"",YEAR(F1405))</f>
        <v/>
      </c>
      <c r="H1405" s="25">
        <f>IF(F1405=0,"",MONTH(F1405))</f>
        <v/>
      </c>
      <c r="I1405" s="25">
        <f>IFERROR(INDEX(Pedidos!$E$2:$E$1801,MATCH(B1405,Pedidos!$A$2:$A$1801,0)),"")</f>
        <v/>
      </c>
      <c r="J1405" s="25">
        <f>IFERROR(INDEX(Pedidos!$C$2:$C$1801,MATCH(B1405,Pedidos!$A$2:$A$1801,0)),"")</f>
        <v/>
      </c>
      <c r="K1405" s="25">
        <f>IFERROR(INDEX(Pedidos!$D$2:$D$1801,MATCH(B1405,Pedidos!$A$2:$A$1801,0)),"")</f>
        <v/>
      </c>
      <c r="L1405" s="25">
        <f>IFERROR(INDEX(Pedidos!$F$2:$F$1801,MATCH(B1405,Pedidos!$A$2:$A$1801,0)),"")</f>
        <v/>
      </c>
      <c r="M1405" s="26">
        <f>IFERROR(INDEX(Pedidos!$G$2:$G$1801,MATCH(B1405,Pedidos!$A$2:$A$1801,0)),0)</f>
        <v/>
      </c>
      <c r="N1405" s="25">
        <f>IFERROR(INDEX(Produtos!$B$2:$B$71,MATCH(C1405,Produtos!$A$2:$A$71,0)),"")</f>
        <v/>
      </c>
      <c r="O1405" s="25">
        <f>IFERROR(INDEX(Produtos!$C$2:$C$71,MATCH(C1405,Produtos!$A$2:$A$71,0)),"")</f>
        <v/>
      </c>
      <c r="P1405" s="25">
        <f>IFERROR(INDEX(Produtos!$D$2:$D$71,MATCH(C1405,Produtos!$A$2:$A$71,0)),0)</f>
        <v/>
      </c>
      <c r="Q1405" s="25">
        <f>IFERROR(INDEX(Produtos!$E$2:$E$71,MATCH(C1405,Produtos!$A$2:$A$71,0)),0)</f>
        <v/>
      </c>
      <c r="R1405" s="27">
        <f>D1405*Q1405</f>
        <v/>
      </c>
      <c r="S1405" s="27">
        <f>R1405*E1405</f>
        <v/>
      </c>
      <c r="T1405" s="27">
        <f>(R1405-S1405)*M1405</f>
        <v/>
      </c>
      <c r="U1405" s="27">
        <f>R1405-S1405-T1405</f>
        <v/>
      </c>
      <c r="V1405" s="27">
        <f>D1405*P1405</f>
        <v/>
      </c>
      <c r="W1405" s="27">
        <f>U1405-V1405</f>
        <v/>
      </c>
      <c r="X1405" s="28">
        <f>IFERROR(W1405/U1405,0)</f>
        <v/>
      </c>
    </row>
    <row r="1406">
      <c r="A1406" s="21">
        <f>ItensPedido!A1406</f>
        <v/>
      </c>
      <c r="B1406" s="21">
        <f>ItensPedido!B1406</f>
        <v/>
      </c>
      <c r="C1406" s="21">
        <f>ItensPedido!C1406</f>
        <v/>
      </c>
      <c r="D1406" s="21">
        <f>ItensPedido!D1406</f>
        <v/>
      </c>
      <c r="E1406" s="22">
        <f>ItensPedido!E1406</f>
        <v/>
      </c>
      <c r="F1406" s="21">
        <f>IFERROR(INDEX(Pedidos!$B$2:$B$1801,MATCH(B1406,Pedidos!$A$2:$A$1801,0)),0)</f>
        <v/>
      </c>
      <c r="G1406" s="21">
        <f>IF(F1406=0,"",YEAR(F1406))</f>
        <v/>
      </c>
      <c r="H1406" s="21">
        <f>IF(F1406=0,"",MONTH(F1406))</f>
        <v/>
      </c>
      <c r="I1406" s="21">
        <f>IFERROR(INDEX(Pedidos!$E$2:$E$1801,MATCH(B1406,Pedidos!$A$2:$A$1801,0)),"")</f>
        <v/>
      </c>
      <c r="J1406" s="21">
        <f>IFERROR(INDEX(Pedidos!$C$2:$C$1801,MATCH(B1406,Pedidos!$A$2:$A$1801,0)),"")</f>
        <v/>
      </c>
      <c r="K1406" s="21">
        <f>IFERROR(INDEX(Pedidos!$D$2:$D$1801,MATCH(B1406,Pedidos!$A$2:$A$1801,0)),"")</f>
        <v/>
      </c>
      <c r="L1406" s="21">
        <f>IFERROR(INDEX(Pedidos!$F$2:$F$1801,MATCH(B1406,Pedidos!$A$2:$A$1801,0)),"")</f>
        <v/>
      </c>
      <c r="M1406" s="22">
        <f>IFERROR(INDEX(Pedidos!$G$2:$G$1801,MATCH(B1406,Pedidos!$A$2:$A$1801,0)),0)</f>
        <v/>
      </c>
      <c r="N1406" s="21">
        <f>IFERROR(INDEX(Produtos!$B$2:$B$71,MATCH(C1406,Produtos!$A$2:$A$71,0)),"")</f>
        <v/>
      </c>
      <c r="O1406" s="21">
        <f>IFERROR(INDEX(Produtos!$C$2:$C$71,MATCH(C1406,Produtos!$A$2:$A$71,0)),"")</f>
        <v/>
      </c>
      <c r="P1406" s="21">
        <f>IFERROR(INDEX(Produtos!$D$2:$D$71,MATCH(C1406,Produtos!$A$2:$A$71,0)),0)</f>
        <v/>
      </c>
      <c r="Q1406" s="21">
        <f>IFERROR(INDEX(Produtos!$E$2:$E$71,MATCH(C1406,Produtos!$A$2:$A$71,0)),0)</f>
        <v/>
      </c>
      <c r="R1406" s="23">
        <f>D1406*Q1406</f>
        <v/>
      </c>
      <c r="S1406" s="23">
        <f>R1406*E1406</f>
        <v/>
      </c>
      <c r="T1406" s="23">
        <f>(R1406-S1406)*M1406</f>
        <v/>
      </c>
      <c r="U1406" s="23">
        <f>R1406-S1406-T1406</f>
        <v/>
      </c>
      <c r="V1406" s="23">
        <f>D1406*P1406</f>
        <v/>
      </c>
      <c r="W1406" s="23">
        <f>U1406-V1406</f>
        <v/>
      </c>
      <c r="X1406" s="24">
        <f>IFERROR(W1406/U1406,0)</f>
        <v/>
      </c>
    </row>
    <row r="1407">
      <c r="A1407" s="25">
        <f>ItensPedido!A1407</f>
        <v/>
      </c>
      <c r="B1407" s="25">
        <f>ItensPedido!B1407</f>
        <v/>
      </c>
      <c r="C1407" s="25">
        <f>ItensPedido!C1407</f>
        <v/>
      </c>
      <c r="D1407" s="25">
        <f>ItensPedido!D1407</f>
        <v/>
      </c>
      <c r="E1407" s="26">
        <f>ItensPedido!E1407</f>
        <v/>
      </c>
      <c r="F1407" s="25">
        <f>IFERROR(INDEX(Pedidos!$B$2:$B$1801,MATCH(B1407,Pedidos!$A$2:$A$1801,0)),0)</f>
        <v/>
      </c>
      <c r="G1407" s="25">
        <f>IF(F1407=0,"",YEAR(F1407))</f>
        <v/>
      </c>
      <c r="H1407" s="25">
        <f>IF(F1407=0,"",MONTH(F1407))</f>
        <v/>
      </c>
      <c r="I1407" s="25">
        <f>IFERROR(INDEX(Pedidos!$E$2:$E$1801,MATCH(B1407,Pedidos!$A$2:$A$1801,0)),"")</f>
        <v/>
      </c>
      <c r="J1407" s="25">
        <f>IFERROR(INDEX(Pedidos!$C$2:$C$1801,MATCH(B1407,Pedidos!$A$2:$A$1801,0)),"")</f>
        <v/>
      </c>
      <c r="K1407" s="25">
        <f>IFERROR(INDEX(Pedidos!$D$2:$D$1801,MATCH(B1407,Pedidos!$A$2:$A$1801,0)),"")</f>
        <v/>
      </c>
      <c r="L1407" s="25">
        <f>IFERROR(INDEX(Pedidos!$F$2:$F$1801,MATCH(B1407,Pedidos!$A$2:$A$1801,0)),"")</f>
        <v/>
      </c>
      <c r="M1407" s="26">
        <f>IFERROR(INDEX(Pedidos!$G$2:$G$1801,MATCH(B1407,Pedidos!$A$2:$A$1801,0)),0)</f>
        <v/>
      </c>
      <c r="N1407" s="25">
        <f>IFERROR(INDEX(Produtos!$B$2:$B$71,MATCH(C1407,Produtos!$A$2:$A$71,0)),"")</f>
        <v/>
      </c>
      <c r="O1407" s="25">
        <f>IFERROR(INDEX(Produtos!$C$2:$C$71,MATCH(C1407,Produtos!$A$2:$A$71,0)),"")</f>
        <v/>
      </c>
      <c r="P1407" s="25">
        <f>IFERROR(INDEX(Produtos!$D$2:$D$71,MATCH(C1407,Produtos!$A$2:$A$71,0)),0)</f>
        <v/>
      </c>
      <c r="Q1407" s="25">
        <f>IFERROR(INDEX(Produtos!$E$2:$E$71,MATCH(C1407,Produtos!$A$2:$A$71,0)),0)</f>
        <v/>
      </c>
      <c r="R1407" s="27">
        <f>D1407*Q1407</f>
        <v/>
      </c>
      <c r="S1407" s="27">
        <f>R1407*E1407</f>
        <v/>
      </c>
      <c r="T1407" s="27">
        <f>(R1407-S1407)*M1407</f>
        <v/>
      </c>
      <c r="U1407" s="27">
        <f>R1407-S1407-T1407</f>
        <v/>
      </c>
      <c r="V1407" s="27">
        <f>D1407*P1407</f>
        <v/>
      </c>
      <c r="W1407" s="27">
        <f>U1407-V1407</f>
        <v/>
      </c>
      <c r="X1407" s="28">
        <f>IFERROR(W1407/U1407,0)</f>
        <v/>
      </c>
    </row>
    <row r="1408">
      <c r="A1408" s="21">
        <f>ItensPedido!A1408</f>
        <v/>
      </c>
      <c r="B1408" s="21">
        <f>ItensPedido!B1408</f>
        <v/>
      </c>
      <c r="C1408" s="21">
        <f>ItensPedido!C1408</f>
        <v/>
      </c>
      <c r="D1408" s="21">
        <f>ItensPedido!D1408</f>
        <v/>
      </c>
      <c r="E1408" s="22">
        <f>ItensPedido!E1408</f>
        <v/>
      </c>
      <c r="F1408" s="21">
        <f>IFERROR(INDEX(Pedidos!$B$2:$B$1801,MATCH(B1408,Pedidos!$A$2:$A$1801,0)),0)</f>
        <v/>
      </c>
      <c r="G1408" s="21">
        <f>IF(F1408=0,"",YEAR(F1408))</f>
        <v/>
      </c>
      <c r="H1408" s="21">
        <f>IF(F1408=0,"",MONTH(F1408))</f>
        <v/>
      </c>
      <c r="I1408" s="21">
        <f>IFERROR(INDEX(Pedidos!$E$2:$E$1801,MATCH(B1408,Pedidos!$A$2:$A$1801,0)),"")</f>
        <v/>
      </c>
      <c r="J1408" s="21">
        <f>IFERROR(INDEX(Pedidos!$C$2:$C$1801,MATCH(B1408,Pedidos!$A$2:$A$1801,0)),"")</f>
        <v/>
      </c>
      <c r="K1408" s="21">
        <f>IFERROR(INDEX(Pedidos!$D$2:$D$1801,MATCH(B1408,Pedidos!$A$2:$A$1801,0)),"")</f>
        <v/>
      </c>
      <c r="L1408" s="21">
        <f>IFERROR(INDEX(Pedidos!$F$2:$F$1801,MATCH(B1408,Pedidos!$A$2:$A$1801,0)),"")</f>
        <v/>
      </c>
      <c r="M1408" s="22">
        <f>IFERROR(INDEX(Pedidos!$G$2:$G$1801,MATCH(B1408,Pedidos!$A$2:$A$1801,0)),0)</f>
        <v/>
      </c>
      <c r="N1408" s="21">
        <f>IFERROR(INDEX(Produtos!$B$2:$B$71,MATCH(C1408,Produtos!$A$2:$A$71,0)),"")</f>
        <v/>
      </c>
      <c r="O1408" s="21">
        <f>IFERROR(INDEX(Produtos!$C$2:$C$71,MATCH(C1408,Produtos!$A$2:$A$71,0)),"")</f>
        <v/>
      </c>
      <c r="P1408" s="21">
        <f>IFERROR(INDEX(Produtos!$D$2:$D$71,MATCH(C1408,Produtos!$A$2:$A$71,0)),0)</f>
        <v/>
      </c>
      <c r="Q1408" s="21">
        <f>IFERROR(INDEX(Produtos!$E$2:$E$71,MATCH(C1408,Produtos!$A$2:$A$71,0)),0)</f>
        <v/>
      </c>
      <c r="R1408" s="23">
        <f>D1408*Q1408</f>
        <v/>
      </c>
      <c r="S1408" s="23">
        <f>R1408*E1408</f>
        <v/>
      </c>
      <c r="T1408" s="23">
        <f>(R1408-S1408)*M1408</f>
        <v/>
      </c>
      <c r="U1408" s="23">
        <f>R1408-S1408-T1408</f>
        <v/>
      </c>
      <c r="V1408" s="23">
        <f>D1408*P1408</f>
        <v/>
      </c>
      <c r="W1408" s="23">
        <f>U1408-V1408</f>
        <v/>
      </c>
      <c r="X1408" s="24">
        <f>IFERROR(W1408/U1408,0)</f>
        <v/>
      </c>
    </row>
    <row r="1409">
      <c r="A1409" s="25">
        <f>ItensPedido!A1409</f>
        <v/>
      </c>
      <c r="B1409" s="25">
        <f>ItensPedido!B1409</f>
        <v/>
      </c>
      <c r="C1409" s="25">
        <f>ItensPedido!C1409</f>
        <v/>
      </c>
      <c r="D1409" s="25">
        <f>ItensPedido!D1409</f>
        <v/>
      </c>
      <c r="E1409" s="26">
        <f>ItensPedido!E1409</f>
        <v/>
      </c>
      <c r="F1409" s="25">
        <f>IFERROR(INDEX(Pedidos!$B$2:$B$1801,MATCH(B1409,Pedidos!$A$2:$A$1801,0)),0)</f>
        <v/>
      </c>
      <c r="G1409" s="25">
        <f>IF(F1409=0,"",YEAR(F1409))</f>
        <v/>
      </c>
      <c r="H1409" s="25">
        <f>IF(F1409=0,"",MONTH(F1409))</f>
        <v/>
      </c>
      <c r="I1409" s="25">
        <f>IFERROR(INDEX(Pedidos!$E$2:$E$1801,MATCH(B1409,Pedidos!$A$2:$A$1801,0)),"")</f>
        <v/>
      </c>
      <c r="J1409" s="25">
        <f>IFERROR(INDEX(Pedidos!$C$2:$C$1801,MATCH(B1409,Pedidos!$A$2:$A$1801,0)),"")</f>
        <v/>
      </c>
      <c r="K1409" s="25">
        <f>IFERROR(INDEX(Pedidos!$D$2:$D$1801,MATCH(B1409,Pedidos!$A$2:$A$1801,0)),"")</f>
        <v/>
      </c>
      <c r="L1409" s="25">
        <f>IFERROR(INDEX(Pedidos!$F$2:$F$1801,MATCH(B1409,Pedidos!$A$2:$A$1801,0)),"")</f>
        <v/>
      </c>
      <c r="M1409" s="26">
        <f>IFERROR(INDEX(Pedidos!$G$2:$G$1801,MATCH(B1409,Pedidos!$A$2:$A$1801,0)),0)</f>
        <v/>
      </c>
      <c r="N1409" s="25">
        <f>IFERROR(INDEX(Produtos!$B$2:$B$71,MATCH(C1409,Produtos!$A$2:$A$71,0)),"")</f>
        <v/>
      </c>
      <c r="O1409" s="25">
        <f>IFERROR(INDEX(Produtos!$C$2:$C$71,MATCH(C1409,Produtos!$A$2:$A$71,0)),"")</f>
        <v/>
      </c>
      <c r="P1409" s="25">
        <f>IFERROR(INDEX(Produtos!$D$2:$D$71,MATCH(C1409,Produtos!$A$2:$A$71,0)),0)</f>
        <v/>
      </c>
      <c r="Q1409" s="25">
        <f>IFERROR(INDEX(Produtos!$E$2:$E$71,MATCH(C1409,Produtos!$A$2:$A$71,0)),0)</f>
        <v/>
      </c>
      <c r="R1409" s="27">
        <f>D1409*Q1409</f>
        <v/>
      </c>
      <c r="S1409" s="27">
        <f>R1409*E1409</f>
        <v/>
      </c>
      <c r="T1409" s="27">
        <f>(R1409-S1409)*M1409</f>
        <v/>
      </c>
      <c r="U1409" s="27">
        <f>R1409-S1409-T1409</f>
        <v/>
      </c>
      <c r="V1409" s="27">
        <f>D1409*P1409</f>
        <v/>
      </c>
      <c r="W1409" s="27">
        <f>U1409-V1409</f>
        <v/>
      </c>
      <c r="X1409" s="28">
        <f>IFERROR(W1409/U1409,0)</f>
        <v/>
      </c>
    </row>
    <row r="1410">
      <c r="A1410" s="21">
        <f>ItensPedido!A1410</f>
        <v/>
      </c>
      <c r="B1410" s="21">
        <f>ItensPedido!B1410</f>
        <v/>
      </c>
      <c r="C1410" s="21">
        <f>ItensPedido!C1410</f>
        <v/>
      </c>
      <c r="D1410" s="21">
        <f>ItensPedido!D1410</f>
        <v/>
      </c>
      <c r="E1410" s="22">
        <f>ItensPedido!E1410</f>
        <v/>
      </c>
      <c r="F1410" s="21">
        <f>IFERROR(INDEX(Pedidos!$B$2:$B$1801,MATCH(B1410,Pedidos!$A$2:$A$1801,0)),0)</f>
        <v/>
      </c>
      <c r="G1410" s="21">
        <f>IF(F1410=0,"",YEAR(F1410))</f>
        <v/>
      </c>
      <c r="H1410" s="21">
        <f>IF(F1410=0,"",MONTH(F1410))</f>
        <v/>
      </c>
      <c r="I1410" s="21">
        <f>IFERROR(INDEX(Pedidos!$E$2:$E$1801,MATCH(B1410,Pedidos!$A$2:$A$1801,0)),"")</f>
        <v/>
      </c>
      <c r="J1410" s="21">
        <f>IFERROR(INDEX(Pedidos!$C$2:$C$1801,MATCH(B1410,Pedidos!$A$2:$A$1801,0)),"")</f>
        <v/>
      </c>
      <c r="K1410" s="21">
        <f>IFERROR(INDEX(Pedidos!$D$2:$D$1801,MATCH(B1410,Pedidos!$A$2:$A$1801,0)),"")</f>
        <v/>
      </c>
      <c r="L1410" s="21">
        <f>IFERROR(INDEX(Pedidos!$F$2:$F$1801,MATCH(B1410,Pedidos!$A$2:$A$1801,0)),"")</f>
        <v/>
      </c>
      <c r="M1410" s="22">
        <f>IFERROR(INDEX(Pedidos!$G$2:$G$1801,MATCH(B1410,Pedidos!$A$2:$A$1801,0)),0)</f>
        <v/>
      </c>
      <c r="N1410" s="21">
        <f>IFERROR(INDEX(Produtos!$B$2:$B$71,MATCH(C1410,Produtos!$A$2:$A$71,0)),"")</f>
        <v/>
      </c>
      <c r="O1410" s="21">
        <f>IFERROR(INDEX(Produtos!$C$2:$C$71,MATCH(C1410,Produtos!$A$2:$A$71,0)),"")</f>
        <v/>
      </c>
      <c r="P1410" s="21">
        <f>IFERROR(INDEX(Produtos!$D$2:$D$71,MATCH(C1410,Produtos!$A$2:$A$71,0)),0)</f>
        <v/>
      </c>
      <c r="Q1410" s="21">
        <f>IFERROR(INDEX(Produtos!$E$2:$E$71,MATCH(C1410,Produtos!$A$2:$A$71,0)),0)</f>
        <v/>
      </c>
      <c r="R1410" s="23">
        <f>D1410*Q1410</f>
        <v/>
      </c>
      <c r="S1410" s="23">
        <f>R1410*E1410</f>
        <v/>
      </c>
      <c r="T1410" s="23">
        <f>(R1410-S1410)*M1410</f>
        <v/>
      </c>
      <c r="U1410" s="23">
        <f>R1410-S1410-T1410</f>
        <v/>
      </c>
      <c r="V1410" s="23">
        <f>D1410*P1410</f>
        <v/>
      </c>
      <c r="W1410" s="23">
        <f>U1410-V1410</f>
        <v/>
      </c>
      <c r="X1410" s="24">
        <f>IFERROR(W1410/U1410,0)</f>
        <v/>
      </c>
    </row>
    <row r="1411">
      <c r="A1411" s="25">
        <f>ItensPedido!A1411</f>
        <v/>
      </c>
      <c r="B1411" s="25">
        <f>ItensPedido!B1411</f>
        <v/>
      </c>
      <c r="C1411" s="25">
        <f>ItensPedido!C1411</f>
        <v/>
      </c>
      <c r="D1411" s="25">
        <f>ItensPedido!D1411</f>
        <v/>
      </c>
      <c r="E1411" s="26">
        <f>ItensPedido!E1411</f>
        <v/>
      </c>
      <c r="F1411" s="25">
        <f>IFERROR(INDEX(Pedidos!$B$2:$B$1801,MATCH(B1411,Pedidos!$A$2:$A$1801,0)),0)</f>
        <v/>
      </c>
      <c r="G1411" s="25">
        <f>IF(F1411=0,"",YEAR(F1411))</f>
        <v/>
      </c>
      <c r="H1411" s="25">
        <f>IF(F1411=0,"",MONTH(F1411))</f>
        <v/>
      </c>
      <c r="I1411" s="25">
        <f>IFERROR(INDEX(Pedidos!$E$2:$E$1801,MATCH(B1411,Pedidos!$A$2:$A$1801,0)),"")</f>
        <v/>
      </c>
      <c r="J1411" s="25">
        <f>IFERROR(INDEX(Pedidos!$C$2:$C$1801,MATCH(B1411,Pedidos!$A$2:$A$1801,0)),"")</f>
        <v/>
      </c>
      <c r="K1411" s="25">
        <f>IFERROR(INDEX(Pedidos!$D$2:$D$1801,MATCH(B1411,Pedidos!$A$2:$A$1801,0)),"")</f>
        <v/>
      </c>
      <c r="L1411" s="25">
        <f>IFERROR(INDEX(Pedidos!$F$2:$F$1801,MATCH(B1411,Pedidos!$A$2:$A$1801,0)),"")</f>
        <v/>
      </c>
      <c r="M1411" s="26">
        <f>IFERROR(INDEX(Pedidos!$G$2:$G$1801,MATCH(B1411,Pedidos!$A$2:$A$1801,0)),0)</f>
        <v/>
      </c>
      <c r="N1411" s="25">
        <f>IFERROR(INDEX(Produtos!$B$2:$B$71,MATCH(C1411,Produtos!$A$2:$A$71,0)),"")</f>
        <v/>
      </c>
      <c r="O1411" s="25">
        <f>IFERROR(INDEX(Produtos!$C$2:$C$71,MATCH(C1411,Produtos!$A$2:$A$71,0)),"")</f>
        <v/>
      </c>
      <c r="P1411" s="25">
        <f>IFERROR(INDEX(Produtos!$D$2:$D$71,MATCH(C1411,Produtos!$A$2:$A$71,0)),0)</f>
        <v/>
      </c>
      <c r="Q1411" s="25">
        <f>IFERROR(INDEX(Produtos!$E$2:$E$71,MATCH(C1411,Produtos!$A$2:$A$71,0)),0)</f>
        <v/>
      </c>
      <c r="R1411" s="27">
        <f>D1411*Q1411</f>
        <v/>
      </c>
      <c r="S1411" s="27">
        <f>R1411*E1411</f>
        <v/>
      </c>
      <c r="T1411" s="27">
        <f>(R1411-S1411)*M1411</f>
        <v/>
      </c>
      <c r="U1411" s="27">
        <f>R1411-S1411-T1411</f>
        <v/>
      </c>
      <c r="V1411" s="27">
        <f>D1411*P1411</f>
        <v/>
      </c>
      <c r="W1411" s="27">
        <f>U1411-V1411</f>
        <v/>
      </c>
      <c r="X1411" s="28">
        <f>IFERROR(W1411/U1411,0)</f>
        <v/>
      </c>
    </row>
    <row r="1412">
      <c r="A1412" s="21">
        <f>ItensPedido!A1412</f>
        <v/>
      </c>
      <c r="B1412" s="21">
        <f>ItensPedido!B1412</f>
        <v/>
      </c>
      <c r="C1412" s="21">
        <f>ItensPedido!C1412</f>
        <v/>
      </c>
      <c r="D1412" s="21">
        <f>ItensPedido!D1412</f>
        <v/>
      </c>
      <c r="E1412" s="22">
        <f>ItensPedido!E1412</f>
        <v/>
      </c>
      <c r="F1412" s="21">
        <f>IFERROR(INDEX(Pedidos!$B$2:$B$1801,MATCH(B1412,Pedidos!$A$2:$A$1801,0)),0)</f>
        <v/>
      </c>
      <c r="G1412" s="21">
        <f>IF(F1412=0,"",YEAR(F1412))</f>
        <v/>
      </c>
      <c r="H1412" s="21">
        <f>IF(F1412=0,"",MONTH(F1412))</f>
        <v/>
      </c>
      <c r="I1412" s="21">
        <f>IFERROR(INDEX(Pedidos!$E$2:$E$1801,MATCH(B1412,Pedidos!$A$2:$A$1801,0)),"")</f>
        <v/>
      </c>
      <c r="J1412" s="21">
        <f>IFERROR(INDEX(Pedidos!$C$2:$C$1801,MATCH(B1412,Pedidos!$A$2:$A$1801,0)),"")</f>
        <v/>
      </c>
      <c r="K1412" s="21">
        <f>IFERROR(INDEX(Pedidos!$D$2:$D$1801,MATCH(B1412,Pedidos!$A$2:$A$1801,0)),"")</f>
        <v/>
      </c>
      <c r="L1412" s="21">
        <f>IFERROR(INDEX(Pedidos!$F$2:$F$1801,MATCH(B1412,Pedidos!$A$2:$A$1801,0)),"")</f>
        <v/>
      </c>
      <c r="M1412" s="22">
        <f>IFERROR(INDEX(Pedidos!$G$2:$G$1801,MATCH(B1412,Pedidos!$A$2:$A$1801,0)),0)</f>
        <v/>
      </c>
      <c r="N1412" s="21">
        <f>IFERROR(INDEX(Produtos!$B$2:$B$71,MATCH(C1412,Produtos!$A$2:$A$71,0)),"")</f>
        <v/>
      </c>
      <c r="O1412" s="21">
        <f>IFERROR(INDEX(Produtos!$C$2:$C$71,MATCH(C1412,Produtos!$A$2:$A$71,0)),"")</f>
        <v/>
      </c>
      <c r="P1412" s="21">
        <f>IFERROR(INDEX(Produtos!$D$2:$D$71,MATCH(C1412,Produtos!$A$2:$A$71,0)),0)</f>
        <v/>
      </c>
      <c r="Q1412" s="21">
        <f>IFERROR(INDEX(Produtos!$E$2:$E$71,MATCH(C1412,Produtos!$A$2:$A$71,0)),0)</f>
        <v/>
      </c>
      <c r="R1412" s="23">
        <f>D1412*Q1412</f>
        <v/>
      </c>
      <c r="S1412" s="23">
        <f>R1412*E1412</f>
        <v/>
      </c>
      <c r="T1412" s="23">
        <f>(R1412-S1412)*M1412</f>
        <v/>
      </c>
      <c r="U1412" s="23">
        <f>R1412-S1412-T1412</f>
        <v/>
      </c>
      <c r="V1412" s="23">
        <f>D1412*P1412</f>
        <v/>
      </c>
      <c r="W1412" s="23">
        <f>U1412-V1412</f>
        <v/>
      </c>
      <c r="X1412" s="24">
        <f>IFERROR(W1412/U1412,0)</f>
        <v/>
      </c>
    </row>
    <row r="1413">
      <c r="A1413" s="25">
        <f>ItensPedido!A1413</f>
        <v/>
      </c>
      <c r="B1413" s="25">
        <f>ItensPedido!B1413</f>
        <v/>
      </c>
      <c r="C1413" s="25">
        <f>ItensPedido!C1413</f>
        <v/>
      </c>
      <c r="D1413" s="25">
        <f>ItensPedido!D1413</f>
        <v/>
      </c>
      <c r="E1413" s="26">
        <f>ItensPedido!E1413</f>
        <v/>
      </c>
      <c r="F1413" s="25">
        <f>IFERROR(INDEX(Pedidos!$B$2:$B$1801,MATCH(B1413,Pedidos!$A$2:$A$1801,0)),0)</f>
        <v/>
      </c>
      <c r="G1413" s="25">
        <f>IF(F1413=0,"",YEAR(F1413))</f>
        <v/>
      </c>
      <c r="H1413" s="25">
        <f>IF(F1413=0,"",MONTH(F1413))</f>
        <v/>
      </c>
      <c r="I1413" s="25">
        <f>IFERROR(INDEX(Pedidos!$E$2:$E$1801,MATCH(B1413,Pedidos!$A$2:$A$1801,0)),"")</f>
        <v/>
      </c>
      <c r="J1413" s="25">
        <f>IFERROR(INDEX(Pedidos!$C$2:$C$1801,MATCH(B1413,Pedidos!$A$2:$A$1801,0)),"")</f>
        <v/>
      </c>
      <c r="K1413" s="25">
        <f>IFERROR(INDEX(Pedidos!$D$2:$D$1801,MATCH(B1413,Pedidos!$A$2:$A$1801,0)),"")</f>
        <v/>
      </c>
      <c r="L1413" s="25">
        <f>IFERROR(INDEX(Pedidos!$F$2:$F$1801,MATCH(B1413,Pedidos!$A$2:$A$1801,0)),"")</f>
        <v/>
      </c>
      <c r="M1413" s="26">
        <f>IFERROR(INDEX(Pedidos!$G$2:$G$1801,MATCH(B1413,Pedidos!$A$2:$A$1801,0)),0)</f>
        <v/>
      </c>
      <c r="N1413" s="25">
        <f>IFERROR(INDEX(Produtos!$B$2:$B$71,MATCH(C1413,Produtos!$A$2:$A$71,0)),"")</f>
        <v/>
      </c>
      <c r="O1413" s="25">
        <f>IFERROR(INDEX(Produtos!$C$2:$C$71,MATCH(C1413,Produtos!$A$2:$A$71,0)),"")</f>
        <v/>
      </c>
      <c r="P1413" s="25">
        <f>IFERROR(INDEX(Produtos!$D$2:$D$71,MATCH(C1413,Produtos!$A$2:$A$71,0)),0)</f>
        <v/>
      </c>
      <c r="Q1413" s="25">
        <f>IFERROR(INDEX(Produtos!$E$2:$E$71,MATCH(C1413,Produtos!$A$2:$A$71,0)),0)</f>
        <v/>
      </c>
      <c r="R1413" s="27">
        <f>D1413*Q1413</f>
        <v/>
      </c>
      <c r="S1413" s="27">
        <f>R1413*E1413</f>
        <v/>
      </c>
      <c r="T1413" s="27">
        <f>(R1413-S1413)*M1413</f>
        <v/>
      </c>
      <c r="U1413" s="27">
        <f>R1413-S1413-T1413</f>
        <v/>
      </c>
      <c r="V1413" s="27">
        <f>D1413*P1413</f>
        <v/>
      </c>
      <c r="W1413" s="27">
        <f>U1413-V1413</f>
        <v/>
      </c>
      <c r="X1413" s="28">
        <f>IFERROR(W1413/U1413,0)</f>
        <v/>
      </c>
    </row>
    <row r="1414">
      <c r="A1414" s="21">
        <f>ItensPedido!A1414</f>
        <v/>
      </c>
      <c r="B1414" s="21">
        <f>ItensPedido!B1414</f>
        <v/>
      </c>
      <c r="C1414" s="21">
        <f>ItensPedido!C1414</f>
        <v/>
      </c>
      <c r="D1414" s="21">
        <f>ItensPedido!D1414</f>
        <v/>
      </c>
      <c r="E1414" s="22">
        <f>ItensPedido!E1414</f>
        <v/>
      </c>
      <c r="F1414" s="21">
        <f>IFERROR(INDEX(Pedidos!$B$2:$B$1801,MATCH(B1414,Pedidos!$A$2:$A$1801,0)),0)</f>
        <v/>
      </c>
      <c r="G1414" s="21">
        <f>IF(F1414=0,"",YEAR(F1414))</f>
        <v/>
      </c>
      <c r="H1414" s="21">
        <f>IF(F1414=0,"",MONTH(F1414))</f>
        <v/>
      </c>
      <c r="I1414" s="21">
        <f>IFERROR(INDEX(Pedidos!$E$2:$E$1801,MATCH(B1414,Pedidos!$A$2:$A$1801,0)),"")</f>
        <v/>
      </c>
      <c r="J1414" s="21">
        <f>IFERROR(INDEX(Pedidos!$C$2:$C$1801,MATCH(B1414,Pedidos!$A$2:$A$1801,0)),"")</f>
        <v/>
      </c>
      <c r="K1414" s="21">
        <f>IFERROR(INDEX(Pedidos!$D$2:$D$1801,MATCH(B1414,Pedidos!$A$2:$A$1801,0)),"")</f>
        <v/>
      </c>
      <c r="L1414" s="21">
        <f>IFERROR(INDEX(Pedidos!$F$2:$F$1801,MATCH(B1414,Pedidos!$A$2:$A$1801,0)),"")</f>
        <v/>
      </c>
      <c r="M1414" s="22">
        <f>IFERROR(INDEX(Pedidos!$G$2:$G$1801,MATCH(B1414,Pedidos!$A$2:$A$1801,0)),0)</f>
        <v/>
      </c>
      <c r="N1414" s="21">
        <f>IFERROR(INDEX(Produtos!$B$2:$B$71,MATCH(C1414,Produtos!$A$2:$A$71,0)),"")</f>
        <v/>
      </c>
      <c r="O1414" s="21">
        <f>IFERROR(INDEX(Produtos!$C$2:$C$71,MATCH(C1414,Produtos!$A$2:$A$71,0)),"")</f>
        <v/>
      </c>
      <c r="P1414" s="21">
        <f>IFERROR(INDEX(Produtos!$D$2:$D$71,MATCH(C1414,Produtos!$A$2:$A$71,0)),0)</f>
        <v/>
      </c>
      <c r="Q1414" s="21">
        <f>IFERROR(INDEX(Produtos!$E$2:$E$71,MATCH(C1414,Produtos!$A$2:$A$71,0)),0)</f>
        <v/>
      </c>
      <c r="R1414" s="23">
        <f>D1414*Q1414</f>
        <v/>
      </c>
      <c r="S1414" s="23">
        <f>R1414*E1414</f>
        <v/>
      </c>
      <c r="T1414" s="23">
        <f>(R1414-S1414)*M1414</f>
        <v/>
      </c>
      <c r="U1414" s="23">
        <f>R1414-S1414-T1414</f>
        <v/>
      </c>
      <c r="V1414" s="23">
        <f>D1414*P1414</f>
        <v/>
      </c>
      <c r="W1414" s="23">
        <f>U1414-V1414</f>
        <v/>
      </c>
      <c r="X1414" s="24">
        <f>IFERROR(W1414/U1414,0)</f>
        <v/>
      </c>
    </row>
    <row r="1415">
      <c r="A1415" s="25">
        <f>ItensPedido!A1415</f>
        <v/>
      </c>
      <c r="B1415" s="25">
        <f>ItensPedido!B1415</f>
        <v/>
      </c>
      <c r="C1415" s="25">
        <f>ItensPedido!C1415</f>
        <v/>
      </c>
      <c r="D1415" s="25">
        <f>ItensPedido!D1415</f>
        <v/>
      </c>
      <c r="E1415" s="26">
        <f>ItensPedido!E1415</f>
        <v/>
      </c>
      <c r="F1415" s="25">
        <f>IFERROR(INDEX(Pedidos!$B$2:$B$1801,MATCH(B1415,Pedidos!$A$2:$A$1801,0)),0)</f>
        <v/>
      </c>
      <c r="G1415" s="25">
        <f>IF(F1415=0,"",YEAR(F1415))</f>
        <v/>
      </c>
      <c r="H1415" s="25">
        <f>IF(F1415=0,"",MONTH(F1415))</f>
        <v/>
      </c>
      <c r="I1415" s="25">
        <f>IFERROR(INDEX(Pedidos!$E$2:$E$1801,MATCH(B1415,Pedidos!$A$2:$A$1801,0)),"")</f>
        <v/>
      </c>
      <c r="J1415" s="25">
        <f>IFERROR(INDEX(Pedidos!$C$2:$C$1801,MATCH(B1415,Pedidos!$A$2:$A$1801,0)),"")</f>
        <v/>
      </c>
      <c r="K1415" s="25">
        <f>IFERROR(INDEX(Pedidos!$D$2:$D$1801,MATCH(B1415,Pedidos!$A$2:$A$1801,0)),"")</f>
        <v/>
      </c>
      <c r="L1415" s="25">
        <f>IFERROR(INDEX(Pedidos!$F$2:$F$1801,MATCH(B1415,Pedidos!$A$2:$A$1801,0)),"")</f>
        <v/>
      </c>
      <c r="M1415" s="26">
        <f>IFERROR(INDEX(Pedidos!$G$2:$G$1801,MATCH(B1415,Pedidos!$A$2:$A$1801,0)),0)</f>
        <v/>
      </c>
      <c r="N1415" s="25">
        <f>IFERROR(INDEX(Produtos!$B$2:$B$71,MATCH(C1415,Produtos!$A$2:$A$71,0)),"")</f>
        <v/>
      </c>
      <c r="O1415" s="25">
        <f>IFERROR(INDEX(Produtos!$C$2:$C$71,MATCH(C1415,Produtos!$A$2:$A$71,0)),"")</f>
        <v/>
      </c>
      <c r="P1415" s="25">
        <f>IFERROR(INDEX(Produtos!$D$2:$D$71,MATCH(C1415,Produtos!$A$2:$A$71,0)),0)</f>
        <v/>
      </c>
      <c r="Q1415" s="25">
        <f>IFERROR(INDEX(Produtos!$E$2:$E$71,MATCH(C1415,Produtos!$A$2:$A$71,0)),0)</f>
        <v/>
      </c>
      <c r="R1415" s="27">
        <f>D1415*Q1415</f>
        <v/>
      </c>
      <c r="S1415" s="27">
        <f>R1415*E1415</f>
        <v/>
      </c>
      <c r="T1415" s="27">
        <f>(R1415-S1415)*M1415</f>
        <v/>
      </c>
      <c r="U1415" s="27">
        <f>R1415-S1415-T1415</f>
        <v/>
      </c>
      <c r="V1415" s="27">
        <f>D1415*P1415</f>
        <v/>
      </c>
      <c r="W1415" s="27">
        <f>U1415-V1415</f>
        <v/>
      </c>
      <c r="X1415" s="28">
        <f>IFERROR(W1415/U1415,0)</f>
        <v/>
      </c>
    </row>
    <row r="1416">
      <c r="A1416" s="21">
        <f>ItensPedido!A1416</f>
        <v/>
      </c>
      <c r="B1416" s="21">
        <f>ItensPedido!B1416</f>
        <v/>
      </c>
      <c r="C1416" s="21">
        <f>ItensPedido!C1416</f>
        <v/>
      </c>
      <c r="D1416" s="21">
        <f>ItensPedido!D1416</f>
        <v/>
      </c>
      <c r="E1416" s="22">
        <f>ItensPedido!E1416</f>
        <v/>
      </c>
      <c r="F1416" s="21">
        <f>IFERROR(INDEX(Pedidos!$B$2:$B$1801,MATCH(B1416,Pedidos!$A$2:$A$1801,0)),0)</f>
        <v/>
      </c>
      <c r="G1416" s="21">
        <f>IF(F1416=0,"",YEAR(F1416))</f>
        <v/>
      </c>
      <c r="H1416" s="21">
        <f>IF(F1416=0,"",MONTH(F1416))</f>
        <v/>
      </c>
      <c r="I1416" s="21">
        <f>IFERROR(INDEX(Pedidos!$E$2:$E$1801,MATCH(B1416,Pedidos!$A$2:$A$1801,0)),"")</f>
        <v/>
      </c>
      <c r="J1416" s="21">
        <f>IFERROR(INDEX(Pedidos!$C$2:$C$1801,MATCH(B1416,Pedidos!$A$2:$A$1801,0)),"")</f>
        <v/>
      </c>
      <c r="K1416" s="21">
        <f>IFERROR(INDEX(Pedidos!$D$2:$D$1801,MATCH(B1416,Pedidos!$A$2:$A$1801,0)),"")</f>
        <v/>
      </c>
      <c r="L1416" s="21">
        <f>IFERROR(INDEX(Pedidos!$F$2:$F$1801,MATCH(B1416,Pedidos!$A$2:$A$1801,0)),"")</f>
        <v/>
      </c>
      <c r="M1416" s="22">
        <f>IFERROR(INDEX(Pedidos!$G$2:$G$1801,MATCH(B1416,Pedidos!$A$2:$A$1801,0)),0)</f>
        <v/>
      </c>
      <c r="N1416" s="21">
        <f>IFERROR(INDEX(Produtos!$B$2:$B$71,MATCH(C1416,Produtos!$A$2:$A$71,0)),"")</f>
        <v/>
      </c>
      <c r="O1416" s="21">
        <f>IFERROR(INDEX(Produtos!$C$2:$C$71,MATCH(C1416,Produtos!$A$2:$A$71,0)),"")</f>
        <v/>
      </c>
      <c r="P1416" s="21">
        <f>IFERROR(INDEX(Produtos!$D$2:$D$71,MATCH(C1416,Produtos!$A$2:$A$71,0)),0)</f>
        <v/>
      </c>
      <c r="Q1416" s="21">
        <f>IFERROR(INDEX(Produtos!$E$2:$E$71,MATCH(C1416,Produtos!$A$2:$A$71,0)),0)</f>
        <v/>
      </c>
      <c r="R1416" s="23">
        <f>D1416*Q1416</f>
        <v/>
      </c>
      <c r="S1416" s="23">
        <f>R1416*E1416</f>
        <v/>
      </c>
      <c r="T1416" s="23">
        <f>(R1416-S1416)*M1416</f>
        <v/>
      </c>
      <c r="U1416" s="23">
        <f>R1416-S1416-T1416</f>
        <v/>
      </c>
      <c r="V1416" s="23">
        <f>D1416*P1416</f>
        <v/>
      </c>
      <c r="W1416" s="23">
        <f>U1416-V1416</f>
        <v/>
      </c>
      <c r="X1416" s="24">
        <f>IFERROR(W1416/U1416,0)</f>
        <v/>
      </c>
    </row>
    <row r="1417">
      <c r="A1417" s="25">
        <f>ItensPedido!A1417</f>
        <v/>
      </c>
      <c r="B1417" s="25">
        <f>ItensPedido!B1417</f>
        <v/>
      </c>
      <c r="C1417" s="25">
        <f>ItensPedido!C1417</f>
        <v/>
      </c>
      <c r="D1417" s="25">
        <f>ItensPedido!D1417</f>
        <v/>
      </c>
      <c r="E1417" s="26">
        <f>ItensPedido!E1417</f>
        <v/>
      </c>
      <c r="F1417" s="25">
        <f>IFERROR(INDEX(Pedidos!$B$2:$B$1801,MATCH(B1417,Pedidos!$A$2:$A$1801,0)),0)</f>
        <v/>
      </c>
      <c r="G1417" s="25">
        <f>IF(F1417=0,"",YEAR(F1417))</f>
        <v/>
      </c>
      <c r="H1417" s="25">
        <f>IF(F1417=0,"",MONTH(F1417))</f>
        <v/>
      </c>
      <c r="I1417" s="25">
        <f>IFERROR(INDEX(Pedidos!$E$2:$E$1801,MATCH(B1417,Pedidos!$A$2:$A$1801,0)),"")</f>
        <v/>
      </c>
      <c r="J1417" s="25">
        <f>IFERROR(INDEX(Pedidos!$C$2:$C$1801,MATCH(B1417,Pedidos!$A$2:$A$1801,0)),"")</f>
        <v/>
      </c>
      <c r="K1417" s="25">
        <f>IFERROR(INDEX(Pedidos!$D$2:$D$1801,MATCH(B1417,Pedidos!$A$2:$A$1801,0)),"")</f>
        <v/>
      </c>
      <c r="L1417" s="25">
        <f>IFERROR(INDEX(Pedidos!$F$2:$F$1801,MATCH(B1417,Pedidos!$A$2:$A$1801,0)),"")</f>
        <v/>
      </c>
      <c r="M1417" s="26">
        <f>IFERROR(INDEX(Pedidos!$G$2:$G$1801,MATCH(B1417,Pedidos!$A$2:$A$1801,0)),0)</f>
        <v/>
      </c>
      <c r="N1417" s="25">
        <f>IFERROR(INDEX(Produtos!$B$2:$B$71,MATCH(C1417,Produtos!$A$2:$A$71,0)),"")</f>
        <v/>
      </c>
      <c r="O1417" s="25">
        <f>IFERROR(INDEX(Produtos!$C$2:$C$71,MATCH(C1417,Produtos!$A$2:$A$71,0)),"")</f>
        <v/>
      </c>
      <c r="P1417" s="25">
        <f>IFERROR(INDEX(Produtos!$D$2:$D$71,MATCH(C1417,Produtos!$A$2:$A$71,0)),0)</f>
        <v/>
      </c>
      <c r="Q1417" s="25">
        <f>IFERROR(INDEX(Produtos!$E$2:$E$71,MATCH(C1417,Produtos!$A$2:$A$71,0)),0)</f>
        <v/>
      </c>
      <c r="R1417" s="27">
        <f>D1417*Q1417</f>
        <v/>
      </c>
      <c r="S1417" s="27">
        <f>R1417*E1417</f>
        <v/>
      </c>
      <c r="T1417" s="27">
        <f>(R1417-S1417)*M1417</f>
        <v/>
      </c>
      <c r="U1417" s="27">
        <f>R1417-S1417-T1417</f>
        <v/>
      </c>
      <c r="V1417" s="27">
        <f>D1417*P1417</f>
        <v/>
      </c>
      <c r="W1417" s="27">
        <f>U1417-V1417</f>
        <v/>
      </c>
      <c r="X1417" s="28">
        <f>IFERROR(W1417/U1417,0)</f>
        <v/>
      </c>
    </row>
    <row r="1418">
      <c r="A1418" s="21">
        <f>ItensPedido!A1418</f>
        <v/>
      </c>
      <c r="B1418" s="21">
        <f>ItensPedido!B1418</f>
        <v/>
      </c>
      <c r="C1418" s="21">
        <f>ItensPedido!C1418</f>
        <v/>
      </c>
      <c r="D1418" s="21">
        <f>ItensPedido!D1418</f>
        <v/>
      </c>
      <c r="E1418" s="22">
        <f>ItensPedido!E1418</f>
        <v/>
      </c>
      <c r="F1418" s="21">
        <f>IFERROR(INDEX(Pedidos!$B$2:$B$1801,MATCH(B1418,Pedidos!$A$2:$A$1801,0)),0)</f>
        <v/>
      </c>
      <c r="G1418" s="21">
        <f>IF(F1418=0,"",YEAR(F1418))</f>
        <v/>
      </c>
      <c r="H1418" s="21">
        <f>IF(F1418=0,"",MONTH(F1418))</f>
        <v/>
      </c>
      <c r="I1418" s="21">
        <f>IFERROR(INDEX(Pedidos!$E$2:$E$1801,MATCH(B1418,Pedidos!$A$2:$A$1801,0)),"")</f>
        <v/>
      </c>
      <c r="J1418" s="21">
        <f>IFERROR(INDEX(Pedidos!$C$2:$C$1801,MATCH(B1418,Pedidos!$A$2:$A$1801,0)),"")</f>
        <v/>
      </c>
      <c r="K1418" s="21">
        <f>IFERROR(INDEX(Pedidos!$D$2:$D$1801,MATCH(B1418,Pedidos!$A$2:$A$1801,0)),"")</f>
        <v/>
      </c>
      <c r="L1418" s="21">
        <f>IFERROR(INDEX(Pedidos!$F$2:$F$1801,MATCH(B1418,Pedidos!$A$2:$A$1801,0)),"")</f>
        <v/>
      </c>
      <c r="M1418" s="22">
        <f>IFERROR(INDEX(Pedidos!$G$2:$G$1801,MATCH(B1418,Pedidos!$A$2:$A$1801,0)),0)</f>
        <v/>
      </c>
      <c r="N1418" s="21">
        <f>IFERROR(INDEX(Produtos!$B$2:$B$71,MATCH(C1418,Produtos!$A$2:$A$71,0)),"")</f>
        <v/>
      </c>
      <c r="O1418" s="21">
        <f>IFERROR(INDEX(Produtos!$C$2:$C$71,MATCH(C1418,Produtos!$A$2:$A$71,0)),"")</f>
        <v/>
      </c>
      <c r="P1418" s="21">
        <f>IFERROR(INDEX(Produtos!$D$2:$D$71,MATCH(C1418,Produtos!$A$2:$A$71,0)),0)</f>
        <v/>
      </c>
      <c r="Q1418" s="21">
        <f>IFERROR(INDEX(Produtos!$E$2:$E$71,MATCH(C1418,Produtos!$A$2:$A$71,0)),0)</f>
        <v/>
      </c>
      <c r="R1418" s="23">
        <f>D1418*Q1418</f>
        <v/>
      </c>
      <c r="S1418" s="23">
        <f>R1418*E1418</f>
        <v/>
      </c>
      <c r="T1418" s="23">
        <f>(R1418-S1418)*M1418</f>
        <v/>
      </c>
      <c r="U1418" s="23">
        <f>R1418-S1418-T1418</f>
        <v/>
      </c>
      <c r="V1418" s="23">
        <f>D1418*P1418</f>
        <v/>
      </c>
      <c r="W1418" s="23">
        <f>U1418-V1418</f>
        <v/>
      </c>
      <c r="X1418" s="24">
        <f>IFERROR(W1418/U1418,0)</f>
        <v/>
      </c>
    </row>
    <row r="1419">
      <c r="A1419" s="25">
        <f>ItensPedido!A1419</f>
        <v/>
      </c>
      <c r="B1419" s="25">
        <f>ItensPedido!B1419</f>
        <v/>
      </c>
      <c r="C1419" s="25">
        <f>ItensPedido!C1419</f>
        <v/>
      </c>
      <c r="D1419" s="25">
        <f>ItensPedido!D1419</f>
        <v/>
      </c>
      <c r="E1419" s="26">
        <f>ItensPedido!E1419</f>
        <v/>
      </c>
      <c r="F1419" s="25">
        <f>IFERROR(INDEX(Pedidos!$B$2:$B$1801,MATCH(B1419,Pedidos!$A$2:$A$1801,0)),0)</f>
        <v/>
      </c>
      <c r="G1419" s="25">
        <f>IF(F1419=0,"",YEAR(F1419))</f>
        <v/>
      </c>
      <c r="H1419" s="25">
        <f>IF(F1419=0,"",MONTH(F1419))</f>
        <v/>
      </c>
      <c r="I1419" s="25">
        <f>IFERROR(INDEX(Pedidos!$E$2:$E$1801,MATCH(B1419,Pedidos!$A$2:$A$1801,0)),"")</f>
        <v/>
      </c>
      <c r="J1419" s="25">
        <f>IFERROR(INDEX(Pedidos!$C$2:$C$1801,MATCH(B1419,Pedidos!$A$2:$A$1801,0)),"")</f>
        <v/>
      </c>
      <c r="K1419" s="25">
        <f>IFERROR(INDEX(Pedidos!$D$2:$D$1801,MATCH(B1419,Pedidos!$A$2:$A$1801,0)),"")</f>
        <v/>
      </c>
      <c r="L1419" s="25">
        <f>IFERROR(INDEX(Pedidos!$F$2:$F$1801,MATCH(B1419,Pedidos!$A$2:$A$1801,0)),"")</f>
        <v/>
      </c>
      <c r="M1419" s="26">
        <f>IFERROR(INDEX(Pedidos!$G$2:$G$1801,MATCH(B1419,Pedidos!$A$2:$A$1801,0)),0)</f>
        <v/>
      </c>
      <c r="N1419" s="25">
        <f>IFERROR(INDEX(Produtos!$B$2:$B$71,MATCH(C1419,Produtos!$A$2:$A$71,0)),"")</f>
        <v/>
      </c>
      <c r="O1419" s="25">
        <f>IFERROR(INDEX(Produtos!$C$2:$C$71,MATCH(C1419,Produtos!$A$2:$A$71,0)),"")</f>
        <v/>
      </c>
      <c r="P1419" s="25">
        <f>IFERROR(INDEX(Produtos!$D$2:$D$71,MATCH(C1419,Produtos!$A$2:$A$71,0)),0)</f>
        <v/>
      </c>
      <c r="Q1419" s="25">
        <f>IFERROR(INDEX(Produtos!$E$2:$E$71,MATCH(C1419,Produtos!$A$2:$A$71,0)),0)</f>
        <v/>
      </c>
      <c r="R1419" s="27">
        <f>D1419*Q1419</f>
        <v/>
      </c>
      <c r="S1419" s="27">
        <f>R1419*E1419</f>
        <v/>
      </c>
      <c r="T1419" s="27">
        <f>(R1419-S1419)*M1419</f>
        <v/>
      </c>
      <c r="U1419" s="27">
        <f>R1419-S1419-T1419</f>
        <v/>
      </c>
      <c r="V1419" s="27">
        <f>D1419*P1419</f>
        <v/>
      </c>
      <c r="W1419" s="27">
        <f>U1419-V1419</f>
        <v/>
      </c>
      <c r="X1419" s="28">
        <f>IFERROR(W1419/U1419,0)</f>
        <v/>
      </c>
    </row>
    <row r="1420">
      <c r="A1420" s="21">
        <f>ItensPedido!A1420</f>
        <v/>
      </c>
      <c r="B1420" s="21">
        <f>ItensPedido!B1420</f>
        <v/>
      </c>
      <c r="C1420" s="21">
        <f>ItensPedido!C1420</f>
        <v/>
      </c>
      <c r="D1420" s="21">
        <f>ItensPedido!D1420</f>
        <v/>
      </c>
      <c r="E1420" s="22">
        <f>ItensPedido!E1420</f>
        <v/>
      </c>
      <c r="F1420" s="21">
        <f>IFERROR(INDEX(Pedidos!$B$2:$B$1801,MATCH(B1420,Pedidos!$A$2:$A$1801,0)),0)</f>
        <v/>
      </c>
      <c r="G1420" s="21">
        <f>IF(F1420=0,"",YEAR(F1420))</f>
        <v/>
      </c>
      <c r="H1420" s="21">
        <f>IF(F1420=0,"",MONTH(F1420))</f>
        <v/>
      </c>
      <c r="I1420" s="21">
        <f>IFERROR(INDEX(Pedidos!$E$2:$E$1801,MATCH(B1420,Pedidos!$A$2:$A$1801,0)),"")</f>
        <v/>
      </c>
      <c r="J1420" s="21">
        <f>IFERROR(INDEX(Pedidos!$C$2:$C$1801,MATCH(B1420,Pedidos!$A$2:$A$1801,0)),"")</f>
        <v/>
      </c>
      <c r="K1420" s="21">
        <f>IFERROR(INDEX(Pedidos!$D$2:$D$1801,MATCH(B1420,Pedidos!$A$2:$A$1801,0)),"")</f>
        <v/>
      </c>
      <c r="L1420" s="21">
        <f>IFERROR(INDEX(Pedidos!$F$2:$F$1801,MATCH(B1420,Pedidos!$A$2:$A$1801,0)),"")</f>
        <v/>
      </c>
      <c r="M1420" s="22">
        <f>IFERROR(INDEX(Pedidos!$G$2:$G$1801,MATCH(B1420,Pedidos!$A$2:$A$1801,0)),0)</f>
        <v/>
      </c>
      <c r="N1420" s="21">
        <f>IFERROR(INDEX(Produtos!$B$2:$B$71,MATCH(C1420,Produtos!$A$2:$A$71,0)),"")</f>
        <v/>
      </c>
      <c r="O1420" s="21">
        <f>IFERROR(INDEX(Produtos!$C$2:$C$71,MATCH(C1420,Produtos!$A$2:$A$71,0)),"")</f>
        <v/>
      </c>
      <c r="P1420" s="21">
        <f>IFERROR(INDEX(Produtos!$D$2:$D$71,MATCH(C1420,Produtos!$A$2:$A$71,0)),0)</f>
        <v/>
      </c>
      <c r="Q1420" s="21">
        <f>IFERROR(INDEX(Produtos!$E$2:$E$71,MATCH(C1420,Produtos!$A$2:$A$71,0)),0)</f>
        <v/>
      </c>
      <c r="R1420" s="23">
        <f>D1420*Q1420</f>
        <v/>
      </c>
      <c r="S1420" s="23">
        <f>R1420*E1420</f>
        <v/>
      </c>
      <c r="T1420" s="23">
        <f>(R1420-S1420)*M1420</f>
        <v/>
      </c>
      <c r="U1420" s="23">
        <f>R1420-S1420-T1420</f>
        <v/>
      </c>
      <c r="V1420" s="23">
        <f>D1420*P1420</f>
        <v/>
      </c>
      <c r="W1420" s="23">
        <f>U1420-V1420</f>
        <v/>
      </c>
      <c r="X1420" s="24">
        <f>IFERROR(W1420/U1420,0)</f>
        <v/>
      </c>
    </row>
    <row r="1421">
      <c r="A1421" s="25">
        <f>ItensPedido!A1421</f>
        <v/>
      </c>
      <c r="B1421" s="25">
        <f>ItensPedido!B1421</f>
        <v/>
      </c>
      <c r="C1421" s="25">
        <f>ItensPedido!C1421</f>
        <v/>
      </c>
      <c r="D1421" s="25">
        <f>ItensPedido!D1421</f>
        <v/>
      </c>
      <c r="E1421" s="26">
        <f>ItensPedido!E1421</f>
        <v/>
      </c>
      <c r="F1421" s="25">
        <f>IFERROR(INDEX(Pedidos!$B$2:$B$1801,MATCH(B1421,Pedidos!$A$2:$A$1801,0)),0)</f>
        <v/>
      </c>
      <c r="G1421" s="25">
        <f>IF(F1421=0,"",YEAR(F1421))</f>
        <v/>
      </c>
      <c r="H1421" s="25">
        <f>IF(F1421=0,"",MONTH(F1421))</f>
        <v/>
      </c>
      <c r="I1421" s="25">
        <f>IFERROR(INDEX(Pedidos!$E$2:$E$1801,MATCH(B1421,Pedidos!$A$2:$A$1801,0)),"")</f>
        <v/>
      </c>
      <c r="J1421" s="25">
        <f>IFERROR(INDEX(Pedidos!$C$2:$C$1801,MATCH(B1421,Pedidos!$A$2:$A$1801,0)),"")</f>
        <v/>
      </c>
      <c r="K1421" s="25">
        <f>IFERROR(INDEX(Pedidos!$D$2:$D$1801,MATCH(B1421,Pedidos!$A$2:$A$1801,0)),"")</f>
        <v/>
      </c>
      <c r="L1421" s="25">
        <f>IFERROR(INDEX(Pedidos!$F$2:$F$1801,MATCH(B1421,Pedidos!$A$2:$A$1801,0)),"")</f>
        <v/>
      </c>
      <c r="M1421" s="26">
        <f>IFERROR(INDEX(Pedidos!$G$2:$G$1801,MATCH(B1421,Pedidos!$A$2:$A$1801,0)),0)</f>
        <v/>
      </c>
      <c r="N1421" s="25">
        <f>IFERROR(INDEX(Produtos!$B$2:$B$71,MATCH(C1421,Produtos!$A$2:$A$71,0)),"")</f>
        <v/>
      </c>
      <c r="O1421" s="25">
        <f>IFERROR(INDEX(Produtos!$C$2:$C$71,MATCH(C1421,Produtos!$A$2:$A$71,0)),"")</f>
        <v/>
      </c>
      <c r="P1421" s="25">
        <f>IFERROR(INDEX(Produtos!$D$2:$D$71,MATCH(C1421,Produtos!$A$2:$A$71,0)),0)</f>
        <v/>
      </c>
      <c r="Q1421" s="25">
        <f>IFERROR(INDEX(Produtos!$E$2:$E$71,MATCH(C1421,Produtos!$A$2:$A$71,0)),0)</f>
        <v/>
      </c>
      <c r="R1421" s="27">
        <f>D1421*Q1421</f>
        <v/>
      </c>
      <c r="S1421" s="27">
        <f>R1421*E1421</f>
        <v/>
      </c>
      <c r="T1421" s="27">
        <f>(R1421-S1421)*M1421</f>
        <v/>
      </c>
      <c r="U1421" s="27">
        <f>R1421-S1421-T1421</f>
        <v/>
      </c>
      <c r="V1421" s="27">
        <f>D1421*P1421</f>
        <v/>
      </c>
      <c r="W1421" s="27">
        <f>U1421-V1421</f>
        <v/>
      </c>
      <c r="X1421" s="28">
        <f>IFERROR(W1421/U1421,0)</f>
        <v/>
      </c>
    </row>
    <row r="1422">
      <c r="A1422" s="21">
        <f>ItensPedido!A1422</f>
        <v/>
      </c>
      <c r="B1422" s="21">
        <f>ItensPedido!B1422</f>
        <v/>
      </c>
      <c r="C1422" s="21">
        <f>ItensPedido!C1422</f>
        <v/>
      </c>
      <c r="D1422" s="21">
        <f>ItensPedido!D1422</f>
        <v/>
      </c>
      <c r="E1422" s="22">
        <f>ItensPedido!E1422</f>
        <v/>
      </c>
      <c r="F1422" s="21">
        <f>IFERROR(INDEX(Pedidos!$B$2:$B$1801,MATCH(B1422,Pedidos!$A$2:$A$1801,0)),0)</f>
        <v/>
      </c>
      <c r="G1422" s="21">
        <f>IF(F1422=0,"",YEAR(F1422))</f>
        <v/>
      </c>
      <c r="H1422" s="21">
        <f>IF(F1422=0,"",MONTH(F1422))</f>
        <v/>
      </c>
      <c r="I1422" s="21">
        <f>IFERROR(INDEX(Pedidos!$E$2:$E$1801,MATCH(B1422,Pedidos!$A$2:$A$1801,0)),"")</f>
        <v/>
      </c>
      <c r="J1422" s="21">
        <f>IFERROR(INDEX(Pedidos!$C$2:$C$1801,MATCH(B1422,Pedidos!$A$2:$A$1801,0)),"")</f>
        <v/>
      </c>
      <c r="K1422" s="21">
        <f>IFERROR(INDEX(Pedidos!$D$2:$D$1801,MATCH(B1422,Pedidos!$A$2:$A$1801,0)),"")</f>
        <v/>
      </c>
      <c r="L1422" s="21">
        <f>IFERROR(INDEX(Pedidos!$F$2:$F$1801,MATCH(B1422,Pedidos!$A$2:$A$1801,0)),"")</f>
        <v/>
      </c>
      <c r="M1422" s="22">
        <f>IFERROR(INDEX(Pedidos!$G$2:$G$1801,MATCH(B1422,Pedidos!$A$2:$A$1801,0)),0)</f>
        <v/>
      </c>
      <c r="N1422" s="21">
        <f>IFERROR(INDEX(Produtos!$B$2:$B$71,MATCH(C1422,Produtos!$A$2:$A$71,0)),"")</f>
        <v/>
      </c>
      <c r="O1422" s="21">
        <f>IFERROR(INDEX(Produtos!$C$2:$C$71,MATCH(C1422,Produtos!$A$2:$A$71,0)),"")</f>
        <v/>
      </c>
      <c r="P1422" s="21">
        <f>IFERROR(INDEX(Produtos!$D$2:$D$71,MATCH(C1422,Produtos!$A$2:$A$71,0)),0)</f>
        <v/>
      </c>
      <c r="Q1422" s="21">
        <f>IFERROR(INDEX(Produtos!$E$2:$E$71,MATCH(C1422,Produtos!$A$2:$A$71,0)),0)</f>
        <v/>
      </c>
      <c r="R1422" s="23">
        <f>D1422*Q1422</f>
        <v/>
      </c>
      <c r="S1422" s="23">
        <f>R1422*E1422</f>
        <v/>
      </c>
      <c r="T1422" s="23">
        <f>(R1422-S1422)*M1422</f>
        <v/>
      </c>
      <c r="U1422" s="23">
        <f>R1422-S1422-T1422</f>
        <v/>
      </c>
      <c r="V1422" s="23">
        <f>D1422*P1422</f>
        <v/>
      </c>
      <c r="W1422" s="23">
        <f>U1422-V1422</f>
        <v/>
      </c>
      <c r="X1422" s="24">
        <f>IFERROR(W1422/U1422,0)</f>
        <v/>
      </c>
    </row>
    <row r="1423">
      <c r="A1423" s="25">
        <f>ItensPedido!A1423</f>
        <v/>
      </c>
      <c r="B1423" s="25">
        <f>ItensPedido!B1423</f>
        <v/>
      </c>
      <c r="C1423" s="25">
        <f>ItensPedido!C1423</f>
        <v/>
      </c>
      <c r="D1423" s="25">
        <f>ItensPedido!D1423</f>
        <v/>
      </c>
      <c r="E1423" s="26">
        <f>ItensPedido!E1423</f>
        <v/>
      </c>
      <c r="F1423" s="25">
        <f>IFERROR(INDEX(Pedidos!$B$2:$B$1801,MATCH(B1423,Pedidos!$A$2:$A$1801,0)),0)</f>
        <v/>
      </c>
      <c r="G1423" s="25">
        <f>IF(F1423=0,"",YEAR(F1423))</f>
        <v/>
      </c>
      <c r="H1423" s="25">
        <f>IF(F1423=0,"",MONTH(F1423))</f>
        <v/>
      </c>
      <c r="I1423" s="25">
        <f>IFERROR(INDEX(Pedidos!$E$2:$E$1801,MATCH(B1423,Pedidos!$A$2:$A$1801,0)),"")</f>
        <v/>
      </c>
      <c r="J1423" s="25">
        <f>IFERROR(INDEX(Pedidos!$C$2:$C$1801,MATCH(B1423,Pedidos!$A$2:$A$1801,0)),"")</f>
        <v/>
      </c>
      <c r="K1423" s="25">
        <f>IFERROR(INDEX(Pedidos!$D$2:$D$1801,MATCH(B1423,Pedidos!$A$2:$A$1801,0)),"")</f>
        <v/>
      </c>
      <c r="L1423" s="25">
        <f>IFERROR(INDEX(Pedidos!$F$2:$F$1801,MATCH(B1423,Pedidos!$A$2:$A$1801,0)),"")</f>
        <v/>
      </c>
      <c r="M1423" s="26">
        <f>IFERROR(INDEX(Pedidos!$G$2:$G$1801,MATCH(B1423,Pedidos!$A$2:$A$1801,0)),0)</f>
        <v/>
      </c>
      <c r="N1423" s="25">
        <f>IFERROR(INDEX(Produtos!$B$2:$B$71,MATCH(C1423,Produtos!$A$2:$A$71,0)),"")</f>
        <v/>
      </c>
      <c r="O1423" s="25">
        <f>IFERROR(INDEX(Produtos!$C$2:$C$71,MATCH(C1423,Produtos!$A$2:$A$71,0)),"")</f>
        <v/>
      </c>
      <c r="P1423" s="25">
        <f>IFERROR(INDEX(Produtos!$D$2:$D$71,MATCH(C1423,Produtos!$A$2:$A$71,0)),0)</f>
        <v/>
      </c>
      <c r="Q1423" s="25">
        <f>IFERROR(INDEX(Produtos!$E$2:$E$71,MATCH(C1423,Produtos!$A$2:$A$71,0)),0)</f>
        <v/>
      </c>
      <c r="R1423" s="27">
        <f>D1423*Q1423</f>
        <v/>
      </c>
      <c r="S1423" s="27">
        <f>R1423*E1423</f>
        <v/>
      </c>
      <c r="T1423" s="27">
        <f>(R1423-S1423)*M1423</f>
        <v/>
      </c>
      <c r="U1423" s="27">
        <f>R1423-S1423-T1423</f>
        <v/>
      </c>
      <c r="V1423" s="27">
        <f>D1423*P1423</f>
        <v/>
      </c>
      <c r="W1423" s="27">
        <f>U1423-V1423</f>
        <v/>
      </c>
      <c r="X1423" s="28">
        <f>IFERROR(W1423/U1423,0)</f>
        <v/>
      </c>
    </row>
    <row r="1424">
      <c r="A1424" s="21">
        <f>ItensPedido!A1424</f>
        <v/>
      </c>
      <c r="B1424" s="21">
        <f>ItensPedido!B1424</f>
        <v/>
      </c>
      <c r="C1424" s="21">
        <f>ItensPedido!C1424</f>
        <v/>
      </c>
      <c r="D1424" s="21">
        <f>ItensPedido!D1424</f>
        <v/>
      </c>
      <c r="E1424" s="22">
        <f>ItensPedido!E1424</f>
        <v/>
      </c>
      <c r="F1424" s="21">
        <f>IFERROR(INDEX(Pedidos!$B$2:$B$1801,MATCH(B1424,Pedidos!$A$2:$A$1801,0)),0)</f>
        <v/>
      </c>
      <c r="G1424" s="21">
        <f>IF(F1424=0,"",YEAR(F1424))</f>
        <v/>
      </c>
      <c r="H1424" s="21">
        <f>IF(F1424=0,"",MONTH(F1424))</f>
        <v/>
      </c>
      <c r="I1424" s="21">
        <f>IFERROR(INDEX(Pedidos!$E$2:$E$1801,MATCH(B1424,Pedidos!$A$2:$A$1801,0)),"")</f>
        <v/>
      </c>
      <c r="J1424" s="21">
        <f>IFERROR(INDEX(Pedidos!$C$2:$C$1801,MATCH(B1424,Pedidos!$A$2:$A$1801,0)),"")</f>
        <v/>
      </c>
      <c r="K1424" s="21">
        <f>IFERROR(INDEX(Pedidos!$D$2:$D$1801,MATCH(B1424,Pedidos!$A$2:$A$1801,0)),"")</f>
        <v/>
      </c>
      <c r="L1424" s="21">
        <f>IFERROR(INDEX(Pedidos!$F$2:$F$1801,MATCH(B1424,Pedidos!$A$2:$A$1801,0)),"")</f>
        <v/>
      </c>
      <c r="M1424" s="22">
        <f>IFERROR(INDEX(Pedidos!$G$2:$G$1801,MATCH(B1424,Pedidos!$A$2:$A$1801,0)),0)</f>
        <v/>
      </c>
      <c r="N1424" s="21">
        <f>IFERROR(INDEX(Produtos!$B$2:$B$71,MATCH(C1424,Produtos!$A$2:$A$71,0)),"")</f>
        <v/>
      </c>
      <c r="O1424" s="21">
        <f>IFERROR(INDEX(Produtos!$C$2:$C$71,MATCH(C1424,Produtos!$A$2:$A$71,0)),"")</f>
        <v/>
      </c>
      <c r="P1424" s="21">
        <f>IFERROR(INDEX(Produtos!$D$2:$D$71,MATCH(C1424,Produtos!$A$2:$A$71,0)),0)</f>
        <v/>
      </c>
      <c r="Q1424" s="21">
        <f>IFERROR(INDEX(Produtos!$E$2:$E$71,MATCH(C1424,Produtos!$A$2:$A$71,0)),0)</f>
        <v/>
      </c>
      <c r="R1424" s="23">
        <f>D1424*Q1424</f>
        <v/>
      </c>
      <c r="S1424" s="23">
        <f>R1424*E1424</f>
        <v/>
      </c>
      <c r="T1424" s="23">
        <f>(R1424-S1424)*M1424</f>
        <v/>
      </c>
      <c r="U1424" s="23">
        <f>R1424-S1424-T1424</f>
        <v/>
      </c>
      <c r="V1424" s="23">
        <f>D1424*P1424</f>
        <v/>
      </c>
      <c r="W1424" s="23">
        <f>U1424-V1424</f>
        <v/>
      </c>
      <c r="X1424" s="24">
        <f>IFERROR(W1424/U1424,0)</f>
        <v/>
      </c>
    </row>
    <row r="1425">
      <c r="A1425" s="25">
        <f>ItensPedido!A1425</f>
        <v/>
      </c>
      <c r="B1425" s="25">
        <f>ItensPedido!B1425</f>
        <v/>
      </c>
      <c r="C1425" s="25">
        <f>ItensPedido!C1425</f>
        <v/>
      </c>
      <c r="D1425" s="25">
        <f>ItensPedido!D1425</f>
        <v/>
      </c>
      <c r="E1425" s="26">
        <f>ItensPedido!E1425</f>
        <v/>
      </c>
      <c r="F1425" s="25">
        <f>IFERROR(INDEX(Pedidos!$B$2:$B$1801,MATCH(B1425,Pedidos!$A$2:$A$1801,0)),0)</f>
        <v/>
      </c>
      <c r="G1425" s="25">
        <f>IF(F1425=0,"",YEAR(F1425))</f>
        <v/>
      </c>
      <c r="H1425" s="25">
        <f>IF(F1425=0,"",MONTH(F1425))</f>
        <v/>
      </c>
      <c r="I1425" s="25">
        <f>IFERROR(INDEX(Pedidos!$E$2:$E$1801,MATCH(B1425,Pedidos!$A$2:$A$1801,0)),"")</f>
        <v/>
      </c>
      <c r="J1425" s="25">
        <f>IFERROR(INDEX(Pedidos!$C$2:$C$1801,MATCH(B1425,Pedidos!$A$2:$A$1801,0)),"")</f>
        <v/>
      </c>
      <c r="K1425" s="25">
        <f>IFERROR(INDEX(Pedidos!$D$2:$D$1801,MATCH(B1425,Pedidos!$A$2:$A$1801,0)),"")</f>
        <v/>
      </c>
      <c r="L1425" s="25">
        <f>IFERROR(INDEX(Pedidos!$F$2:$F$1801,MATCH(B1425,Pedidos!$A$2:$A$1801,0)),"")</f>
        <v/>
      </c>
      <c r="M1425" s="26">
        <f>IFERROR(INDEX(Pedidos!$G$2:$G$1801,MATCH(B1425,Pedidos!$A$2:$A$1801,0)),0)</f>
        <v/>
      </c>
      <c r="N1425" s="25">
        <f>IFERROR(INDEX(Produtos!$B$2:$B$71,MATCH(C1425,Produtos!$A$2:$A$71,0)),"")</f>
        <v/>
      </c>
      <c r="O1425" s="25">
        <f>IFERROR(INDEX(Produtos!$C$2:$C$71,MATCH(C1425,Produtos!$A$2:$A$71,0)),"")</f>
        <v/>
      </c>
      <c r="P1425" s="25">
        <f>IFERROR(INDEX(Produtos!$D$2:$D$71,MATCH(C1425,Produtos!$A$2:$A$71,0)),0)</f>
        <v/>
      </c>
      <c r="Q1425" s="25">
        <f>IFERROR(INDEX(Produtos!$E$2:$E$71,MATCH(C1425,Produtos!$A$2:$A$71,0)),0)</f>
        <v/>
      </c>
      <c r="R1425" s="27">
        <f>D1425*Q1425</f>
        <v/>
      </c>
      <c r="S1425" s="27">
        <f>R1425*E1425</f>
        <v/>
      </c>
      <c r="T1425" s="27">
        <f>(R1425-S1425)*M1425</f>
        <v/>
      </c>
      <c r="U1425" s="27">
        <f>R1425-S1425-T1425</f>
        <v/>
      </c>
      <c r="V1425" s="27">
        <f>D1425*P1425</f>
        <v/>
      </c>
      <c r="W1425" s="27">
        <f>U1425-V1425</f>
        <v/>
      </c>
      <c r="X1425" s="28">
        <f>IFERROR(W1425/U1425,0)</f>
        <v/>
      </c>
    </row>
    <row r="1426">
      <c r="A1426" s="21">
        <f>ItensPedido!A1426</f>
        <v/>
      </c>
      <c r="B1426" s="21">
        <f>ItensPedido!B1426</f>
        <v/>
      </c>
      <c r="C1426" s="21">
        <f>ItensPedido!C1426</f>
        <v/>
      </c>
      <c r="D1426" s="21">
        <f>ItensPedido!D1426</f>
        <v/>
      </c>
      <c r="E1426" s="22">
        <f>ItensPedido!E1426</f>
        <v/>
      </c>
      <c r="F1426" s="21">
        <f>IFERROR(INDEX(Pedidos!$B$2:$B$1801,MATCH(B1426,Pedidos!$A$2:$A$1801,0)),0)</f>
        <v/>
      </c>
      <c r="G1426" s="21">
        <f>IF(F1426=0,"",YEAR(F1426))</f>
        <v/>
      </c>
      <c r="H1426" s="21">
        <f>IF(F1426=0,"",MONTH(F1426))</f>
        <v/>
      </c>
      <c r="I1426" s="21">
        <f>IFERROR(INDEX(Pedidos!$E$2:$E$1801,MATCH(B1426,Pedidos!$A$2:$A$1801,0)),"")</f>
        <v/>
      </c>
      <c r="J1426" s="21">
        <f>IFERROR(INDEX(Pedidos!$C$2:$C$1801,MATCH(B1426,Pedidos!$A$2:$A$1801,0)),"")</f>
        <v/>
      </c>
      <c r="K1426" s="21">
        <f>IFERROR(INDEX(Pedidos!$D$2:$D$1801,MATCH(B1426,Pedidos!$A$2:$A$1801,0)),"")</f>
        <v/>
      </c>
      <c r="L1426" s="21">
        <f>IFERROR(INDEX(Pedidos!$F$2:$F$1801,MATCH(B1426,Pedidos!$A$2:$A$1801,0)),"")</f>
        <v/>
      </c>
      <c r="M1426" s="22">
        <f>IFERROR(INDEX(Pedidos!$G$2:$G$1801,MATCH(B1426,Pedidos!$A$2:$A$1801,0)),0)</f>
        <v/>
      </c>
      <c r="N1426" s="21">
        <f>IFERROR(INDEX(Produtos!$B$2:$B$71,MATCH(C1426,Produtos!$A$2:$A$71,0)),"")</f>
        <v/>
      </c>
      <c r="O1426" s="21">
        <f>IFERROR(INDEX(Produtos!$C$2:$C$71,MATCH(C1426,Produtos!$A$2:$A$71,0)),"")</f>
        <v/>
      </c>
      <c r="P1426" s="21">
        <f>IFERROR(INDEX(Produtos!$D$2:$D$71,MATCH(C1426,Produtos!$A$2:$A$71,0)),0)</f>
        <v/>
      </c>
      <c r="Q1426" s="21">
        <f>IFERROR(INDEX(Produtos!$E$2:$E$71,MATCH(C1426,Produtos!$A$2:$A$71,0)),0)</f>
        <v/>
      </c>
      <c r="R1426" s="23">
        <f>D1426*Q1426</f>
        <v/>
      </c>
      <c r="S1426" s="23">
        <f>R1426*E1426</f>
        <v/>
      </c>
      <c r="T1426" s="23">
        <f>(R1426-S1426)*M1426</f>
        <v/>
      </c>
      <c r="U1426" s="23">
        <f>R1426-S1426-T1426</f>
        <v/>
      </c>
      <c r="V1426" s="23">
        <f>D1426*P1426</f>
        <v/>
      </c>
      <c r="W1426" s="23">
        <f>U1426-V1426</f>
        <v/>
      </c>
      <c r="X1426" s="24">
        <f>IFERROR(W1426/U1426,0)</f>
        <v/>
      </c>
    </row>
    <row r="1427">
      <c r="A1427" s="25">
        <f>ItensPedido!A1427</f>
        <v/>
      </c>
      <c r="B1427" s="25">
        <f>ItensPedido!B1427</f>
        <v/>
      </c>
      <c r="C1427" s="25">
        <f>ItensPedido!C1427</f>
        <v/>
      </c>
      <c r="D1427" s="25">
        <f>ItensPedido!D1427</f>
        <v/>
      </c>
      <c r="E1427" s="26">
        <f>ItensPedido!E1427</f>
        <v/>
      </c>
      <c r="F1427" s="25">
        <f>IFERROR(INDEX(Pedidos!$B$2:$B$1801,MATCH(B1427,Pedidos!$A$2:$A$1801,0)),0)</f>
        <v/>
      </c>
      <c r="G1427" s="25">
        <f>IF(F1427=0,"",YEAR(F1427))</f>
        <v/>
      </c>
      <c r="H1427" s="25">
        <f>IF(F1427=0,"",MONTH(F1427))</f>
        <v/>
      </c>
      <c r="I1427" s="25">
        <f>IFERROR(INDEX(Pedidos!$E$2:$E$1801,MATCH(B1427,Pedidos!$A$2:$A$1801,0)),"")</f>
        <v/>
      </c>
      <c r="J1427" s="25">
        <f>IFERROR(INDEX(Pedidos!$C$2:$C$1801,MATCH(B1427,Pedidos!$A$2:$A$1801,0)),"")</f>
        <v/>
      </c>
      <c r="K1427" s="25">
        <f>IFERROR(INDEX(Pedidos!$D$2:$D$1801,MATCH(B1427,Pedidos!$A$2:$A$1801,0)),"")</f>
        <v/>
      </c>
      <c r="L1427" s="25">
        <f>IFERROR(INDEX(Pedidos!$F$2:$F$1801,MATCH(B1427,Pedidos!$A$2:$A$1801,0)),"")</f>
        <v/>
      </c>
      <c r="M1427" s="26">
        <f>IFERROR(INDEX(Pedidos!$G$2:$G$1801,MATCH(B1427,Pedidos!$A$2:$A$1801,0)),0)</f>
        <v/>
      </c>
      <c r="N1427" s="25">
        <f>IFERROR(INDEX(Produtos!$B$2:$B$71,MATCH(C1427,Produtos!$A$2:$A$71,0)),"")</f>
        <v/>
      </c>
      <c r="O1427" s="25">
        <f>IFERROR(INDEX(Produtos!$C$2:$C$71,MATCH(C1427,Produtos!$A$2:$A$71,0)),"")</f>
        <v/>
      </c>
      <c r="P1427" s="25">
        <f>IFERROR(INDEX(Produtos!$D$2:$D$71,MATCH(C1427,Produtos!$A$2:$A$71,0)),0)</f>
        <v/>
      </c>
      <c r="Q1427" s="25">
        <f>IFERROR(INDEX(Produtos!$E$2:$E$71,MATCH(C1427,Produtos!$A$2:$A$71,0)),0)</f>
        <v/>
      </c>
      <c r="R1427" s="27">
        <f>D1427*Q1427</f>
        <v/>
      </c>
      <c r="S1427" s="27">
        <f>R1427*E1427</f>
        <v/>
      </c>
      <c r="T1427" s="27">
        <f>(R1427-S1427)*M1427</f>
        <v/>
      </c>
      <c r="U1427" s="27">
        <f>R1427-S1427-T1427</f>
        <v/>
      </c>
      <c r="V1427" s="27">
        <f>D1427*P1427</f>
        <v/>
      </c>
      <c r="W1427" s="27">
        <f>U1427-V1427</f>
        <v/>
      </c>
      <c r="X1427" s="28">
        <f>IFERROR(W1427/U1427,0)</f>
        <v/>
      </c>
    </row>
    <row r="1428">
      <c r="A1428" s="21">
        <f>ItensPedido!A1428</f>
        <v/>
      </c>
      <c r="B1428" s="21">
        <f>ItensPedido!B1428</f>
        <v/>
      </c>
      <c r="C1428" s="21">
        <f>ItensPedido!C1428</f>
        <v/>
      </c>
      <c r="D1428" s="21">
        <f>ItensPedido!D1428</f>
        <v/>
      </c>
      <c r="E1428" s="22">
        <f>ItensPedido!E1428</f>
        <v/>
      </c>
      <c r="F1428" s="21">
        <f>IFERROR(INDEX(Pedidos!$B$2:$B$1801,MATCH(B1428,Pedidos!$A$2:$A$1801,0)),0)</f>
        <v/>
      </c>
      <c r="G1428" s="21">
        <f>IF(F1428=0,"",YEAR(F1428))</f>
        <v/>
      </c>
      <c r="H1428" s="21">
        <f>IF(F1428=0,"",MONTH(F1428))</f>
        <v/>
      </c>
      <c r="I1428" s="21">
        <f>IFERROR(INDEX(Pedidos!$E$2:$E$1801,MATCH(B1428,Pedidos!$A$2:$A$1801,0)),"")</f>
        <v/>
      </c>
      <c r="J1428" s="21">
        <f>IFERROR(INDEX(Pedidos!$C$2:$C$1801,MATCH(B1428,Pedidos!$A$2:$A$1801,0)),"")</f>
        <v/>
      </c>
      <c r="K1428" s="21">
        <f>IFERROR(INDEX(Pedidos!$D$2:$D$1801,MATCH(B1428,Pedidos!$A$2:$A$1801,0)),"")</f>
        <v/>
      </c>
      <c r="L1428" s="21">
        <f>IFERROR(INDEX(Pedidos!$F$2:$F$1801,MATCH(B1428,Pedidos!$A$2:$A$1801,0)),"")</f>
        <v/>
      </c>
      <c r="M1428" s="22">
        <f>IFERROR(INDEX(Pedidos!$G$2:$G$1801,MATCH(B1428,Pedidos!$A$2:$A$1801,0)),0)</f>
        <v/>
      </c>
      <c r="N1428" s="21">
        <f>IFERROR(INDEX(Produtos!$B$2:$B$71,MATCH(C1428,Produtos!$A$2:$A$71,0)),"")</f>
        <v/>
      </c>
      <c r="O1428" s="21">
        <f>IFERROR(INDEX(Produtos!$C$2:$C$71,MATCH(C1428,Produtos!$A$2:$A$71,0)),"")</f>
        <v/>
      </c>
      <c r="P1428" s="21">
        <f>IFERROR(INDEX(Produtos!$D$2:$D$71,MATCH(C1428,Produtos!$A$2:$A$71,0)),0)</f>
        <v/>
      </c>
      <c r="Q1428" s="21">
        <f>IFERROR(INDEX(Produtos!$E$2:$E$71,MATCH(C1428,Produtos!$A$2:$A$71,0)),0)</f>
        <v/>
      </c>
      <c r="R1428" s="23">
        <f>D1428*Q1428</f>
        <v/>
      </c>
      <c r="S1428" s="23">
        <f>R1428*E1428</f>
        <v/>
      </c>
      <c r="T1428" s="23">
        <f>(R1428-S1428)*M1428</f>
        <v/>
      </c>
      <c r="U1428" s="23">
        <f>R1428-S1428-T1428</f>
        <v/>
      </c>
      <c r="V1428" s="23">
        <f>D1428*P1428</f>
        <v/>
      </c>
      <c r="W1428" s="23">
        <f>U1428-V1428</f>
        <v/>
      </c>
      <c r="X1428" s="24">
        <f>IFERROR(W1428/U1428,0)</f>
        <v/>
      </c>
    </row>
    <row r="1429">
      <c r="A1429" s="25">
        <f>ItensPedido!A1429</f>
        <v/>
      </c>
      <c r="B1429" s="25">
        <f>ItensPedido!B1429</f>
        <v/>
      </c>
      <c r="C1429" s="25">
        <f>ItensPedido!C1429</f>
        <v/>
      </c>
      <c r="D1429" s="25">
        <f>ItensPedido!D1429</f>
        <v/>
      </c>
      <c r="E1429" s="26">
        <f>ItensPedido!E1429</f>
        <v/>
      </c>
      <c r="F1429" s="25">
        <f>IFERROR(INDEX(Pedidos!$B$2:$B$1801,MATCH(B1429,Pedidos!$A$2:$A$1801,0)),0)</f>
        <v/>
      </c>
      <c r="G1429" s="25">
        <f>IF(F1429=0,"",YEAR(F1429))</f>
        <v/>
      </c>
      <c r="H1429" s="25">
        <f>IF(F1429=0,"",MONTH(F1429))</f>
        <v/>
      </c>
      <c r="I1429" s="25">
        <f>IFERROR(INDEX(Pedidos!$E$2:$E$1801,MATCH(B1429,Pedidos!$A$2:$A$1801,0)),"")</f>
        <v/>
      </c>
      <c r="J1429" s="25">
        <f>IFERROR(INDEX(Pedidos!$C$2:$C$1801,MATCH(B1429,Pedidos!$A$2:$A$1801,0)),"")</f>
        <v/>
      </c>
      <c r="K1429" s="25">
        <f>IFERROR(INDEX(Pedidos!$D$2:$D$1801,MATCH(B1429,Pedidos!$A$2:$A$1801,0)),"")</f>
        <v/>
      </c>
      <c r="L1429" s="25">
        <f>IFERROR(INDEX(Pedidos!$F$2:$F$1801,MATCH(B1429,Pedidos!$A$2:$A$1801,0)),"")</f>
        <v/>
      </c>
      <c r="M1429" s="26">
        <f>IFERROR(INDEX(Pedidos!$G$2:$G$1801,MATCH(B1429,Pedidos!$A$2:$A$1801,0)),0)</f>
        <v/>
      </c>
      <c r="N1429" s="25">
        <f>IFERROR(INDEX(Produtos!$B$2:$B$71,MATCH(C1429,Produtos!$A$2:$A$71,0)),"")</f>
        <v/>
      </c>
      <c r="O1429" s="25">
        <f>IFERROR(INDEX(Produtos!$C$2:$C$71,MATCH(C1429,Produtos!$A$2:$A$71,0)),"")</f>
        <v/>
      </c>
      <c r="P1429" s="25">
        <f>IFERROR(INDEX(Produtos!$D$2:$D$71,MATCH(C1429,Produtos!$A$2:$A$71,0)),0)</f>
        <v/>
      </c>
      <c r="Q1429" s="25">
        <f>IFERROR(INDEX(Produtos!$E$2:$E$71,MATCH(C1429,Produtos!$A$2:$A$71,0)),0)</f>
        <v/>
      </c>
      <c r="R1429" s="27">
        <f>D1429*Q1429</f>
        <v/>
      </c>
      <c r="S1429" s="27">
        <f>R1429*E1429</f>
        <v/>
      </c>
      <c r="T1429" s="27">
        <f>(R1429-S1429)*M1429</f>
        <v/>
      </c>
      <c r="U1429" s="27">
        <f>R1429-S1429-T1429</f>
        <v/>
      </c>
      <c r="V1429" s="27">
        <f>D1429*P1429</f>
        <v/>
      </c>
      <c r="W1429" s="27">
        <f>U1429-V1429</f>
        <v/>
      </c>
      <c r="X1429" s="28">
        <f>IFERROR(W1429/U1429,0)</f>
        <v/>
      </c>
    </row>
    <row r="1430">
      <c r="A1430" s="21">
        <f>ItensPedido!A1430</f>
        <v/>
      </c>
      <c r="B1430" s="21">
        <f>ItensPedido!B1430</f>
        <v/>
      </c>
      <c r="C1430" s="21">
        <f>ItensPedido!C1430</f>
        <v/>
      </c>
      <c r="D1430" s="21">
        <f>ItensPedido!D1430</f>
        <v/>
      </c>
      <c r="E1430" s="22">
        <f>ItensPedido!E1430</f>
        <v/>
      </c>
      <c r="F1430" s="21">
        <f>IFERROR(INDEX(Pedidos!$B$2:$B$1801,MATCH(B1430,Pedidos!$A$2:$A$1801,0)),0)</f>
        <v/>
      </c>
      <c r="G1430" s="21">
        <f>IF(F1430=0,"",YEAR(F1430))</f>
        <v/>
      </c>
      <c r="H1430" s="21">
        <f>IF(F1430=0,"",MONTH(F1430))</f>
        <v/>
      </c>
      <c r="I1430" s="21">
        <f>IFERROR(INDEX(Pedidos!$E$2:$E$1801,MATCH(B1430,Pedidos!$A$2:$A$1801,0)),"")</f>
        <v/>
      </c>
      <c r="J1430" s="21">
        <f>IFERROR(INDEX(Pedidos!$C$2:$C$1801,MATCH(B1430,Pedidos!$A$2:$A$1801,0)),"")</f>
        <v/>
      </c>
      <c r="K1430" s="21">
        <f>IFERROR(INDEX(Pedidos!$D$2:$D$1801,MATCH(B1430,Pedidos!$A$2:$A$1801,0)),"")</f>
        <v/>
      </c>
      <c r="L1430" s="21">
        <f>IFERROR(INDEX(Pedidos!$F$2:$F$1801,MATCH(B1430,Pedidos!$A$2:$A$1801,0)),"")</f>
        <v/>
      </c>
      <c r="M1430" s="22">
        <f>IFERROR(INDEX(Pedidos!$G$2:$G$1801,MATCH(B1430,Pedidos!$A$2:$A$1801,0)),0)</f>
        <v/>
      </c>
      <c r="N1430" s="21">
        <f>IFERROR(INDEX(Produtos!$B$2:$B$71,MATCH(C1430,Produtos!$A$2:$A$71,0)),"")</f>
        <v/>
      </c>
      <c r="O1430" s="21">
        <f>IFERROR(INDEX(Produtos!$C$2:$C$71,MATCH(C1430,Produtos!$A$2:$A$71,0)),"")</f>
        <v/>
      </c>
      <c r="P1430" s="21">
        <f>IFERROR(INDEX(Produtos!$D$2:$D$71,MATCH(C1430,Produtos!$A$2:$A$71,0)),0)</f>
        <v/>
      </c>
      <c r="Q1430" s="21">
        <f>IFERROR(INDEX(Produtos!$E$2:$E$71,MATCH(C1430,Produtos!$A$2:$A$71,0)),0)</f>
        <v/>
      </c>
      <c r="R1430" s="23">
        <f>D1430*Q1430</f>
        <v/>
      </c>
      <c r="S1430" s="23">
        <f>R1430*E1430</f>
        <v/>
      </c>
      <c r="T1430" s="23">
        <f>(R1430-S1430)*M1430</f>
        <v/>
      </c>
      <c r="U1430" s="23">
        <f>R1430-S1430-T1430</f>
        <v/>
      </c>
      <c r="V1430" s="23">
        <f>D1430*P1430</f>
        <v/>
      </c>
      <c r="W1430" s="23">
        <f>U1430-V1430</f>
        <v/>
      </c>
      <c r="X1430" s="24">
        <f>IFERROR(W1430/U1430,0)</f>
        <v/>
      </c>
    </row>
    <row r="1431">
      <c r="A1431" s="25">
        <f>ItensPedido!A1431</f>
        <v/>
      </c>
      <c r="B1431" s="25">
        <f>ItensPedido!B1431</f>
        <v/>
      </c>
      <c r="C1431" s="25">
        <f>ItensPedido!C1431</f>
        <v/>
      </c>
      <c r="D1431" s="25">
        <f>ItensPedido!D1431</f>
        <v/>
      </c>
      <c r="E1431" s="26">
        <f>ItensPedido!E1431</f>
        <v/>
      </c>
      <c r="F1431" s="25">
        <f>IFERROR(INDEX(Pedidos!$B$2:$B$1801,MATCH(B1431,Pedidos!$A$2:$A$1801,0)),0)</f>
        <v/>
      </c>
      <c r="G1431" s="25">
        <f>IF(F1431=0,"",YEAR(F1431))</f>
        <v/>
      </c>
      <c r="H1431" s="25">
        <f>IF(F1431=0,"",MONTH(F1431))</f>
        <v/>
      </c>
      <c r="I1431" s="25">
        <f>IFERROR(INDEX(Pedidos!$E$2:$E$1801,MATCH(B1431,Pedidos!$A$2:$A$1801,0)),"")</f>
        <v/>
      </c>
      <c r="J1431" s="25">
        <f>IFERROR(INDEX(Pedidos!$C$2:$C$1801,MATCH(B1431,Pedidos!$A$2:$A$1801,0)),"")</f>
        <v/>
      </c>
      <c r="K1431" s="25">
        <f>IFERROR(INDEX(Pedidos!$D$2:$D$1801,MATCH(B1431,Pedidos!$A$2:$A$1801,0)),"")</f>
        <v/>
      </c>
      <c r="L1431" s="25">
        <f>IFERROR(INDEX(Pedidos!$F$2:$F$1801,MATCH(B1431,Pedidos!$A$2:$A$1801,0)),"")</f>
        <v/>
      </c>
      <c r="M1431" s="26">
        <f>IFERROR(INDEX(Pedidos!$G$2:$G$1801,MATCH(B1431,Pedidos!$A$2:$A$1801,0)),0)</f>
        <v/>
      </c>
      <c r="N1431" s="25">
        <f>IFERROR(INDEX(Produtos!$B$2:$B$71,MATCH(C1431,Produtos!$A$2:$A$71,0)),"")</f>
        <v/>
      </c>
      <c r="O1431" s="25">
        <f>IFERROR(INDEX(Produtos!$C$2:$C$71,MATCH(C1431,Produtos!$A$2:$A$71,0)),"")</f>
        <v/>
      </c>
      <c r="P1431" s="25">
        <f>IFERROR(INDEX(Produtos!$D$2:$D$71,MATCH(C1431,Produtos!$A$2:$A$71,0)),0)</f>
        <v/>
      </c>
      <c r="Q1431" s="25">
        <f>IFERROR(INDEX(Produtos!$E$2:$E$71,MATCH(C1431,Produtos!$A$2:$A$71,0)),0)</f>
        <v/>
      </c>
      <c r="R1431" s="27">
        <f>D1431*Q1431</f>
        <v/>
      </c>
      <c r="S1431" s="27">
        <f>R1431*E1431</f>
        <v/>
      </c>
      <c r="T1431" s="27">
        <f>(R1431-S1431)*M1431</f>
        <v/>
      </c>
      <c r="U1431" s="27">
        <f>R1431-S1431-T1431</f>
        <v/>
      </c>
      <c r="V1431" s="27">
        <f>D1431*P1431</f>
        <v/>
      </c>
      <c r="W1431" s="27">
        <f>U1431-V1431</f>
        <v/>
      </c>
      <c r="X1431" s="28">
        <f>IFERROR(W1431/U1431,0)</f>
        <v/>
      </c>
    </row>
    <row r="1432">
      <c r="A1432" s="21">
        <f>ItensPedido!A1432</f>
        <v/>
      </c>
      <c r="B1432" s="21">
        <f>ItensPedido!B1432</f>
        <v/>
      </c>
      <c r="C1432" s="21">
        <f>ItensPedido!C1432</f>
        <v/>
      </c>
      <c r="D1432" s="21">
        <f>ItensPedido!D1432</f>
        <v/>
      </c>
      <c r="E1432" s="22">
        <f>ItensPedido!E1432</f>
        <v/>
      </c>
      <c r="F1432" s="21">
        <f>IFERROR(INDEX(Pedidos!$B$2:$B$1801,MATCH(B1432,Pedidos!$A$2:$A$1801,0)),0)</f>
        <v/>
      </c>
      <c r="G1432" s="21">
        <f>IF(F1432=0,"",YEAR(F1432))</f>
        <v/>
      </c>
      <c r="H1432" s="21">
        <f>IF(F1432=0,"",MONTH(F1432))</f>
        <v/>
      </c>
      <c r="I1432" s="21">
        <f>IFERROR(INDEX(Pedidos!$E$2:$E$1801,MATCH(B1432,Pedidos!$A$2:$A$1801,0)),"")</f>
        <v/>
      </c>
      <c r="J1432" s="21">
        <f>IFERROR(INDEX(Pedidos!$C$2:$C$1801,MATCH(B1432,Pedidos!$A$2:$A$1801,0)),"")</f>
        <v/>
      </c>
      <c r="K1432" s="21">
        <f>IFERROR(INDEX(Pedidos!$D$2:$D$1801,MATCH(B1432,Pedidos!$A$2:$A$1801,0)),"")</f>
        <v/>
      </c>
      <c r="L1432" s="21">
        <f>IFERROR(INDEX(Pedidos!$F$2:$F$1801,MATCH(B1432,Pedidos!$A$2:$A$1801,0)),"")</f>
        <v/>
      </c>
      <c r="M1432" s="22">
        <f>IFERROR(INDEX(Pedidos!$G$2:$G$1801,MATCH(B1432,Pedidos!$A$2:$A$1801,0)),0)</f>
        <v/>
      </c>
      <c r="N1432" s="21">
        <f>IFERROR(INDEX(Produtos!$B$2:$B$71,MATCH(C1432,Produtos!$A$2:$A$71,0)),"")</f>
        <v/>
      </c>
      <c r="O1432" s="21">
        <f>IFERROR(INDEX(Produtos!$C$2:$C$71,MATCH(C1432,Produtos!$A$2:$A$71,0)),"")</f>
        <v/>
      </c>
      <c r="P1432" s="21">
        <f>IFERROR(INDEX(Produtos!$D$2:$D$71,MATCH(C1432,Produtos!$A$2:$A$71,0)),0)</f>
        <v/>
      </c>
      <c r="Q1432" s="21">
        <f>IFERROR(INDEX(Produtos!$E$2:$E$71,MATCH(C1432,Produtos!$A$2:$A$71,0)),0)</f>
        <v/>
      </c>
      <c r="R1432" s="23">
        <f>D1432*Q1432</f>
        <v/>
      </c>
      <c r="S1432" s="23">
        <f>R1432*E1432</f>
        <v/>
      </c>
      <c r="T1432" s="23">
        <f>(R1432-S1432)*M1432</f>
        <v/>
      </c>
      <c r="U1432" s="23">
        <f>R1432-S1432-T1432</f>
        <v/>
      </c>
      <c r="V1432" s="23">
        <f>D1432*P1432</f>
        <v/>
      </c>
      <c r="W1432" s="23">
        <f>U1432-V1432</f>
        <v/>
      </c>
      <c r="X1432" s="24">
        <f>IFERROR(W1432/U1432,0)</f>
        <v/>
      </c>
    </row>
    <row r="1433">
      <c r="A1433" s="25">
        <f>ItensPedido!A1433</f>
        <v/>
      </c>
      <c r="B1433" s="25">
        <f>ItensPedido!B1433</f>
        <v/>
      </c>
      <c r="C1433" s="25">
        <f>ItensPedido!C1433</f>
        <v/>
      </c>
      <c r="D1433" s="25">
        <f>ItensPedido!D1433</f>
        <v/>
      </c>
      <c r="E1433" s="26">
        <f>ItensPedido!E1433</f>
        <v/>
      </c>
      <c r="F1433" s="25">
        <f>IFERROR(INDEX(Pedidos!$B$2:$B$1801,MATCH(B1433,Pedidos!$A$2:$A$1801,0)),0)</f>
        <v/>
      </c>
      <c r="G1433" s="25">
        <f>IF(F1433=0,"",YEAR(F1433))</f>
        <v/>
      </c>
      <c r="H1433" s="25">
        <f>IF(F1433=0,"",MONTH(F1433))</f>
        <v/>
      </c>
      <c r="I1433" s="25">
        <f>IFERROR(INDEX(Pedidos!$E$2:$E$1801,MATCH(B1433,Pedidos!$A$2:$A$1801,0)),"")</f>
        <v/>
      </c>
      <c r="J1433" s="25">
        <f>IFERROR(INDEX(Pedidos!$C$2:$C$1801,MATCH(B1433,Pedidos!$A$2:$A$1801,0)),"")</f>
        <v/>
      </c>
      <c r="K1433" s="25">
        <f>IFERROR(INDEX(Pedidos!$D$2:$D$1801,MATCH(B1433,Pedidos!$A$2:$A$1801,0)),"")</f>
        <v/>
      </c>
      <c r="L1433" s="25">
        <f>IFERROR(INDEX(Pedidos!$F$2:$F$1801,MATCH(B1433,Pedidos!$A$2:$A$1801,0)),"")</f>
        <v/>
      </c>
      <c r="M1433" s="26">
        <f>IFERROR(INDEX(Pedidos!$G$2:$G$1801,MATCH(B1433,Pedidos!$A$2:$A$1801,0)),0)</f>
        <v/>
      </c>
      <c r="N1433" s="25">
        <f>IFERROR(INDEX(Produtos!$B$2:$B$71,MATCH(C1433,Produtos!$A$2:$A$71,0)),"")</f>
        <v/>
      </c>
      <c r="O1433" s="25">
        <f>IFERROR(INDEX(Produtos!$C$2:$C$71,MATCH(C1433,Produtos!$A$2:$A$71,0)),"")</f>
        <v/>
      </c>
      <c r="P1433" s="25">
        <f>IFERROR(INDEX(Produtos!$D$2:$D$71,MATCH(C1433,Produtos!$A$2:$A$71,0)),0)</f>
        <v/>
      </c>
      <c r="Q1433" s="25">
        <f>IFERROR(INDEX(Produtos!$E$2:$E$71,MATCH(C1433,Produtos!$A$2:$A$71,0)),0)</f>
        <v/>
      </c>
      <c r="R1433" s="27">
        <f>D1433*Q1433</f>
        <v/>
      </c>
      <c r="S1433" s="27">
        <f>R1433*E1433</f>
        <v/>
      </c>
      <c r="T1433" s="27">
        <f>(R1433-S1433)*M1433</f>
        <v/>
      </c>
      <c r="U1433" s="27">
        <f>R1433-S1433-T1433</f>
        <v/>
      </c>
      <c r="V1433" s="27">
        <f>D1433*P1433</f>
        <v/>
      </c>
      <c r="W1433" s="27">
        <f>U1433-V1433</f>
        <v/>
      </c>
      <c r="X1433" s="28">
        <f>IFERROR(W1433/U1433,0)</f>
        <v/>
      </c>
    </row>
    <row r="1434">
      <c r="A1434" s="21">
        <f>ItensPedido!A1434</f>
        <v/>
      </c>
      <c r="B1434" s="21">
        <f>ItensPedido!B1434</f>
        <v/>
      </c>
      <c r="C1434" s="21">
        <f>ItensPedido!C1434</f>
        <v/>
      </c>
      <c r="D1434" s="21">
        <f>ItensPedido!D1434</f>
        <v/>
      </c>
      <c r="E1434" s="22">
        <f>ItensPedido!E1434</f>
        <v/>
      </c>
      <c r="F1434" s="21">
        <f>IFERROR(INDEX(Pedidos!$B$2:$B$1801,MATCH(B1434,Pedidos!$A$2:$A$1801,0)),0)</f>
        <v/>
      </c>
      <c r="G1434" s="21">
        <f>IF(F1434=0,"",YEAR(F1434))</f>
        <v/>
      </c>
      <c r="H1434" s="21">
        <f>IF(F1434=0,"",MONTH(F1434))</f>
        <v/>
      </c>
      <c r="I1434" s="21">
        <f>IFERROR(INDEX(Pedidos!$E$2:$E$1801,MATCH(B1434,Pedidos!$A$2:$A$1801,0)),"")</f>
        <v/>
      </c>
      <c r="J1434" s="21">
        <f>IFERROR(INDEX(Pedidos!$C$2:$C$1801,MATCH(B1434,Pedidos!$A$2:$A$1801,0)),"")</f>
        <v/>
      </c>
      <c r="K1434" s="21">
        <f>IFERROR(INDEX(Pedidos!$D$2:$D$1801,MATCH(B1434,Pedidos!$A$2:$A$1801,0)),"")</f>
        <v/>
      </c>
      <c r="L1434" s="21">
        <f>IFERROR(INDEX(Pedidos!$F$2:$F$1801,MATCH(B1434,Pedidos!$A$2:$A$1801,0)),"")</f>
        <v/>
      </c>
      <c r="M1434" s="22">
        <f>IFERROR(INDEX(Pedidos!$G$2:$G$1801,MATCH(B1434,Pedidos!$A$2:$A$1801,0)),0)</f>
        <v/>
      </c>
      <c r="N1434" s="21">
        <f>IFERROR(INDEX(Produtos!$B$2:$B$71,MATCH(C1434,Produtos!$A$2:$A$71,0)),"")</f>
        <v/>
      </c>
      <c r="O1434" s="21">
        <f>IFERROR(INDEX(Produtos!$C$2:$C$71,MATCH(C1434,Produtos!$A$2:$A$71,0)),"")</f>
        <v/>
      </c>
      <c r="P1434" s="21">
        <f>IFERROR(INDEX(Produtos!$D$2:$D$71,MATCH(C1434,Produtos!$A$2:$A$71,0)),0)</f>
        <v/>
      </c>
      <c r="Q1434" s="21">
        <f>IFERROR(INDEX(Produtos!$E$2:$E$71,MATCH(C1434,Produtos!$A$2:$A$71,0)),0)</f>
        <v/>
      </c>
      <c r="R1434" s="23">
        <f>D1434*Q1434</f>
        <v/>
      </c>
      <c r="S1434" s="23">
        <f>R1434*E1434</f>
        <v/>
      </c>
      <c r="T1434" s="23">
        <f>(R1434-S1434)*M1434</f>
        <v/>
      </c>
      <c r="U1434" s="23">
        <f>R1434-S1434-T1434</f>
        <v/>
      </c>
      <c r="V1434" s="23">
        <f>D1434*P1434</f>
        <v/>
      </c>
      <c r="W1434" s="23">
        <f>U1434-V1434</f>
        <v/>
      </c>
      <c r="X1434" s="24">
        <f>IFERROR(W1434/U1434,0)</f>
        <v/>
      </c>
    </row>
    <row r="1435">
      <c r="A1435" s="25">
        <f>ItensPedido!A1435</f>
        <v/>
      </c>
      <c r="B1435" s="25">
        <f>ItensPedido!B1435</f>
        <v/>
      </c>
      <c r="C1435" s="25">
        <f>ItensPedido!C1435</f>
        <v/>
      </c>
      <c r="D1435" s="25">
        <f>ItensPedido!D1435</f>
        <v/>
      </c>
      <c r="E1435" s="26">
        <f>ItensPedido!E1435</f>
        <v/>
      </c>
      <c r="F1435" s="25">
        <f>IFERROR(INDEX(Pedidos!$B$2:$B$1801,MATCH(B1435,Pedidos!$A$2:$A$1801,0)),0)</f>
        <v/>
      </c>
      <c r="G1435" s="25">
        <f>IF(F1435=0,"",YEAR(F1435))</f>
        <v/>
      </c>
      <c r="H1435" s="25">
        <f>IF(F1435=0,"",MONTH(F1435))</f>
        <v/>
      </c>
      <c r="I1435" s="25">
        <f>IFERROR(INDEX(Pedidos!$E$2:$E$1801,MATCH(B1435,Pedidos!$A$2:$A$1801,0)),"")</f>
        <v/>
      </c>
      <c r="J1435" s="25">
        <f>IFERROR(INDEX(Pedidos!$C$2:$C$1801,MATCH(B1435,Pedidos!$A$2:$A$1801,0)),"")</f>
        <v/>
      </c>
      <c r="K1435" s="25">
        <f>IFERROR(INDEX(Pedidos!$D$2:$D$1801,MATCH(B1435,Pedidos!$A$2:$A$1801,0)),"")</f>
        <v/>
      </c>
      <c r="L1435" s="25">
        <f>IFERROR(INDEX(Pedidos!$F$2:$F$1801,MATCH(B1435,Pedidos!$A$2:$A$1801,0)),"")</f>
        <v/>
      </c>
      <c r="M1435" s="26">
        <f>IFERROR(INDEX(Pedidos!$G$2:$G$1801,MATCH(B1435,Pedidos!$A$2:$A$1801,0)),0)</f>
        <v/>
      </c>
      <c r="N1435" s="25">
        <f>IFERROR(INDEX(Produtos!$B$2:$B$71,MATCH(C1435,Produtos!$A$2:$A$71,0)),"")</f>
        <v/>
      </c>
      <c r="O1435" s="25">
        <f>IFERROR(INDEX(Produtos!$C$2:$C$71,MATCH(C1435,Produtos!$A$2:$A$71,0)),"")</f>
        <v/>
      </c>
      <c r="P1435" s="25">
        <f>IFERROR(INDEX(Produtos!$D$2:$D$71,MATCH(C1435,Produtos!$A$2:$A$71,0)),0)</f>
        <v/>
      </c>
      <c r="Q1435" s="25">
        <f>IFERROR(INDEX(Produtos!$E$2:$E$71,MATCH(C1435,Produtos!$A$2:$A$71,0)),0)</f>
        <v/>
      </c>
      <c r="R1435" s="27">
        <f>D1435*Q1435</f>
        <v/>
      </c>
      <c r="S1435" s="27">
        <f>R1435*E1435</f>
        <v/>
      </c>
      <c r="T1435" s="27">
        <f>(R1435-S1435)*M1435</f>
        <v/>
      </c>
      <c r="U1435" s="27">
        <f>R1435-S1435-T1435</f>
        <v/>
      </c>
      <c r="V1435" s="27">
        <f>D1435*P1435</f>
        <v/>
      </c>
      <c r="W1435" s="27">
        <f>U1435-V1435</f>
        <v/>
      </c>
      <c r="X1435" s="28">
        <f>IFERROR(W1435/U1435,0)</f>
        <v/>
      </c>
    </row>
    <row r="1436">
      <c r="A1436" s="21">
        <f>ItensPedido!A1436</f>
        <v/>
      </c>
      <c r="B1436" s="21">
        <f>ItensPedido!B1436</f>
        <v/>
      </c>
      <c r="C1436" s="21">
        <f>ItensPedido!C1436</f>
        <v/>
      </c>
      <c r="D1436" s="21">
        <f>ItensPedido!D1436</f>
        <v/>
      </c>
      <c r="E1436" s="22">
        <f>ItensPedido!E1436</f>
        <v/>
      </c>
      <c r="F1436" s="21">
        <f>IFERROR(INDEX(Pedidos!$B$2:$B$1801,MATCH(B1436,Pedidos!$A$2:$A$1801,0)),0)</f>
        <v/>
      </c>
      <c r="G1436" s="21">
        <f>IF(F1436=0,"",YEAR(F1436))</f>
        <v/>
      </c>
      <c r="H1436" s="21">
        <f>IF(F1436=0,"",MONTH(F1436))</f>
        <v/>
      </c>
      <c r="I1436" s="21">
        <f>IFERROR(INDEX(Pedidos!$E$2:$E$1801,MATCH(B1436,Pedidos!$A$2:$A$1801,0)),"")</f>
        <v/>
      </c>
      <c r="J1436" s="21">
        <f>IFERROR(INDEX(Pedidos!$C$2:$C$1801,MATCH(B1436,Pedidos!$A$2:$A$1801,0)),"")</f>
        <v/>
      </c>
      <c r="K1436" s="21">
        <f>IFERROR(INDEX(Pedidos!$D$2:$D$1801,MATCH(B1436,Pedidos!$A$2:$A$1801,0)),"")</f>
        <v/>
      </c>
      <c r="L1436" s="21">
        <f>IFERROR(INDEX(Pedidos!$F$2:$F$1801,MATCH(B1436,Pedidos!$A$2:$A$1801,0)),"")</f>
        <v/>
      </c>
      <c r="M1436" s="22">
        <f>IFERROR(INDEX(Pedidos!$G$2:$G$1801,MATCH(B1436,Pedidos!$A$2:$A$1801,0)),0)</f>
        <v/>
      </c>
      <c r="N1436" s="21">
        <f>IFERROR(INDEX(Produtos!$B$2:$B$71,MATCH(C1436,Produtos!$A$2:$A$71,0)),"")</f>
        <v/>
      </c>
      <c r="O1436" s="21">
        <f>IFERROR(INDEX(Produtos!$C$2:$C$71,MATCH(C1436,Produtos!$A$2:$A$71,0)),"")</f>
        <v/>
      </c>
      <c r="P1436" s="21">
        <f>IFERROR(INDEX(Produtos!$D$2:$D$71,MATCH(C1436,Produtos!$A$2:$A$71,0)),0)</f>
        <v/>
      </c>
      <c r="Q1436" s="21">
        <f>IFERROR(INDEX(Produtos!$E$2:$E$71,MATCH(C1436,Produtos!$A$2:$A$71,0)),0)</f>
        <v/>
      </c>
      <c r="R1436" s="23">
        <f>D1436*Q1436</f>
        <v/>
      </c>
      <c r="S1436" s="23">
        <f>R1436*E1436</f>
        <v/>
      </c>
      <c r="T1436" s="23">
        <f>(R1436-S1436)*M1436</f>
        <v/>
      </c>
      <c r="U1436" s="23">
        <f>R1436-S1436-T1436</f>
        <v/>
      </c>
      <c r="V1436" s="23">
        <f>D1436*P1436</f>
        <v/>
      </c>
      <c r="W1436" s="23">
        <f>U1436-V1436</f>
        <v/>
      </c>
      <c r="X1436" s="24">
        <f>IFERROR(W1436/U1436,0)</f>
        <v/>
      </c>
    </row>
    <row r="1437">
      <c r="A1437" s="25">
        <f>ItensPedido!A1437</f>
        <v/>
      </c>
      <c r="B1437" s="25">
        <f>ItensPedido!B1437</f>
        <v/>
      </c>
      <c r="C1437" s="25">
        <f>ItensPedido!C1437</f>
        <v/>
      </c>
      <c r="D1437" s="25">
        <f>ItensPedido!D1437</f>
        <v/>
      </c>
      <c r="E1437" s="26">
        <f>ItensPedido!E1437</f>
        <v/>
      </c>
      <c r="F1437" s="25">
        <f>IFERROR(INDEX(Pedidos!$B$2:$B$1801,MATCH(B1437,Pedidos!$A$2:$A$1801,0)),0)</f>
        <v/>
      </c>
      <c r="G1437" s="25">
        <f>IF(F1437=0,"",YEAR(F1437))</f>
        <v/>
      </c>
      <c r="H1437" s="25">
        <f>IF(F1437=0,"",MONTH(F1437))</f>
        <v/>
      </c>
      <c r="I1437" s="25">
        <f>IFERROR(INDEX(Pedidos!$E$2:$E$1801,MATCH(B1437,Pedidos!$A$2:$A$1801,0)),"")</f>
        <v/>
      </c>
      <c r="J1437" s="25">
        <f>IFERROR(INDEX(Pedidos!$C$2:$C$1801,MATCH(B1437,Pedidos!$A$2:$A$1801,0)),"")</f>
        <v/>
      </c>
      <c r="K1437" s="25">
        <f>IFERROR(INDEX(Pedidos!$D$2:$D$1801,MATCH(B1437,Pedidos!$A$2:$A$1801,0)),"")</f>
        <v/>
      </c>
      <c r="L1437" s="25">
        <f>IFERROR(INDEX(Pedidos!$F$2:$F$1801,MATCH(B1437,Pedidos!$A$2:$A$1801,0)),"")</f>
        <v/>
      </c>
      <c r="M1437" s="26">
        <f>IFERROR(INDEX(Pedidos!$G$2:$G$1801,MATCH(B1437,Pedidos!$A$2:$A$1801,0)),0)</f>
        <v/>
      </c>
      <c r="N1437" s="25">
        <f>IFERROR(INDEX(Produtos!$B$2:$B$71,MATCH(C1437,Produtos!$A$2:$A$71,0)),"")</f>
        <v/>
      </c>
      <c r="O1437" s="25">
        <f>IFERROR(INDEX(Produtos!$C$2:$C$71,MATCH(C1437,Produtos!$A$2:$A$71,0)),"")</f>
        <v/>
      </c>
      <c r="P1437" s="25">
        <f>IFERROR(INDEX(Produtos!$D$2:$D$71,MATCH(C1437,Produtos!$A$2:$A$71,0)),0)</f>
        <v/>
      </c>
      <c r="Q1437" s="25">
        <f>IFERROR(INDEX(Produtos!$E$2:$E$71,MATCH(C1437,Produtos!$A$2:$A$71,0)),0)</f>
        <v/>
      </c>
      <c r="R1437" s="27">
        <f>D1437*Q1437</f>
        <v/>
      </c>
      <c r="S1437" s="27">
        <f>R1437*E1437</f>
        <v/>
      </c>
      <c r="T1437" s="27">
        <f>(R1437-S1437)*M1437</f>
        <v/>
      </c>
      <c r="U1437" s="27">
        <f>R1437-S1437-T1437</f>
        <v/>
      </c>
      <c r="V1437" s="27">
        <f>D1437*P1437</f>
        <v/>
      </c>
      <c r="W1437" s="27">
        <f>U1437-V1437</f>
        <v/>
      </c>
      <c r="X1437" s="28">
        <f>IFERROR(W1437/U1437,0)</f>
        <v/>
      </c>
    </row>
    <row r="1438">
      <c r="A1438" s="21">
        <f>ItensPedido!A1438</f>
        <v/>
      </c>
      <c r="B1438" s="21">
        <f>ItensPedido!B1438</f>
        <v/>
      </c>
      <c r="C1438" s="21">
        <f>ItensPedido!C1438</f>
        <v/>
      </c>
      <c r="D1438" s="21">
        <f>ItensPedido!D1438</f>
        <v/>
      </c>
      <c r="E1438" s="22">
        <f>ItensPedido!E1438</f>
        <v/>
      </c>
      <c r="F1438" s="21">
        <f>IFERROR(INDEX(Pedidos!$B$2:$B$1801,MATCH(B1438,Pedidos!$A$2:$A$1801,0)),0)</f>
        <v/>
      </c>
      <c r="G1438" s="21">
        <f>IF(F1438=0,"",YEAR(F1438))</f>
        <v/>
      </c>
      <c r="H1438" s="21">
        <f>IF(F1438=0,"",MONTH(F1438))</f>
        <v/>
      </c>
      <c r="I1438" s="21">
        <f>IFERROR(INDEX(Pedidos!$E$2:$E$1801,MATCH(B1438,Pedidos!$A$2:$A$1801,0)),"")</f>
        <v/>
      </c>
      <c r="J1438" s="21">
        <f>IFERROR(INDEX(Pedidos!$C$2:$C$1801,MATCH(B1438,Pedidos!$A$2:$A$1801,0)),"")</f>
        <v/>
      </c>
      <c r="K1438" s="21">
        <f>IFERROR(INDEX(Pedidos!$D$2:$D$1801,MATCH(B1438,Pedidos!$A$2:$A$1801,0)),"")</f>
        <v/>
      </c>
      <c r="L1438" s="21">
        <f>IFERROR(INDEX(Pedidos!$F$2:$F$1801,MATCH(B1438,Pedidos!$A$2:$A$1801,0)),"")</f>
        <v/>
      </c>
      <c r="M1438" s="22">
        <f>IFERROR(INDEX(Pedidos!$G$2:$G$1801,MATCH(B1438,Pedidos!$A$2:$A$1801,0)),0)</f>
        <v/>
      </c>
      <c r="N1438" s="21">
        <f>IFERROR(INDEX(Produtos!$B$2:$B$71,MATCH(C1438,Produtos!$A$2:$A$71,0)),"")</f>
        <v/>
      </c>
      <c r="O1438" s="21">
        <f>IFERROR(INDEX(Produtos!$C$2:$C$71,MATCH(C1438,Produtos!$A$2:$A$71,0)),"")</f>
        <v/>
      </c>
      <c r="P1438" s="21">
        <f>IFERROR(INDEX(Produtos!$D$2:$D$71,MATCH(C1438,Produtos!$A$2:$A$71,0)),0)</f>
        <v/>
      </c>
      <c r="Q1438" s="21">
        <f>IFERROR(INDEX(Produtos!$E$2:$E$71,MATCH(C1438,Produtos!$A$2:$A$71,0)),0)</f>
        <v/>
      </c>
      <c r="R1438" s="23">
        <f>D1438*Q1438</f>
        <v/>
      </c>
      <c r="S1438" s="23">
        <f>R1438*E1438</f>
        <v/>
      </c>
      <c r="T1438" s="23">
        <f>(R1438-S1438)*M1438</f>
        <v/>
      </c>
      <c r="U1438" s="23">
        <f>R1438-S1438-T1438</f>
        <v/>
      </c>
      <c r="V1438" s="23">
        <f>D1438*P1438</f>
        <v/>
      </c>
      <c r="W1438" s="23">
        <f>U1438-V1438</f>
        <v/>
      </c>
      <c r="X1438" s="24">
        <f>IFERROR(W1438/U1438,0)</f>
        <v/>
      </c>
    </row>
    <row r="1439">
      <c r="A1439" s="25">
        <f>ItensPedido!A1439</f>
        <v/>
      </c>
      <c r="B1439" s="25">
        <f>ItensPedido!B1439</f>
        <v/>
      </c>
      <c r="C1439" s="25">
        <f>ItensPedido!C1439</f>
        <v/>
      </c>
      <c r="D1439" s="25">
        <f>ItensPedido!D1439</f>
        <v/>
      </c>
      <c r="E1439" s="26">
        <f>ItensPedido!E1439</f>
        <v/>
      </c>
      <c r="F1439" s="25">
        <f>IFERROR(INDEX(Pedidos!$B$2:$B$1801,MATCH(B1439,Pedidos!$A$2:$A$1801,0)),0)</f>
        <v/>
      </c>
      <c r="G1439" s="25">
        <f>IF(F1439=0,"",YEAR(F1439))</f>
        <v/>
      </c>
      <c r="H1439" s="25">
        <f>IF(F1439=0,"",MONTH(F1439))</f>
        <v/>
      </c>
      <c r="I1439" s="25">
        <f>IFERROR(INDEX(Pedidos!$E$2:$E$1801,MATCH(B1439,Pedidos!$A$2:$A$1801,0)),"")</f>
        <v/>
      </c>
      <c r="J1439" s="25">
        <f>IFERROR(INDEX(Pedidos!$C$2:$C$1801,MATCH(B1439,Pedidos!$A$2:$A$1801,0)),"")</f>
        <v/>
      </c>
      <c r="K1439" s="25">
        <f>IFERROR(INDEX(Pedidos!$D$2:$D$1801,MATCH(B1439,Pedidos!$A$2:$A$1801,0)),"")</f>
        <v/>
      </c>
      <c r="L1439" s="25">
        <f>IFERROR(INDEX(Pedidos!$F$2:$F$1801,MATCH(B1439,Pedidos!$A$2:$A$1801,0)),"")</f>
        <v/>
      </c>
      <c r="M1439" s="26">
        <f>IFERROR(INDEX(Pedidos!$G$2:$G$1801,MATCH(B1439,Pedidos!$A$2:$A$1801,0)),0)</f>
        <v/>
      </c>
      <c r="N1439" s="25">
        <f>IFERROR(INDEX(Produtos!$B$2:$B$71,MATCH(C1439,Produtos!$A$2:$A$71,0)),"")</f>
        <v/>
      </c>
      <c r="O1439" s="25">
        <f>IFERROR(INDEX(Produtos!$C$2:$C$71,MATCH(C1439,Produtos!$A$2:$A$71,0)),"")</f>
        <v/>
      </c>
      <c r="P1439" s="25">
        <f>IFERROR(INDEX(Produtos!$D$2:$D$71,MATCH(C1439,Produtos!$A$2:$A$71,0)),0)</f>
        <v/>
      </c>
      <c r="Q1439" s="25">
        <f>IFERROR(INDEX(Produtos!$E$2:$E$71,MATCH(C1439,Produtos!$A$2:$A$71,0)),0)</f>
        <v/>
      </c>
      <c r="R1439" s="27">
        <f>D1439*Q1439</f>
        <v/>
      </c>
      <c r="S1439" s="27">
        <f>R1439*E1439</f>
        <v/>
      </c>
      <c r="T1439" s="27">
        <f>(R1439-S1439)*M1439</f>
        <v/>
      </c>
      <c r="U1439" s="27">
        <f>R1439-S1439-T1439</f>
        <v/>
      </c>
      <c r="V1439" s="27">
        <f>D1439*P1439</f>
        <v/>
      </c>
      <c r="W1439" s="27">
        <f>U1439-V1439</f>
        <v/>
      </c>
      <c r="X1439" s="28">
        <f>IFERROR(W1439/U1439,0)</f>
        <v/>
      </c>
    </row>
    <row r="1440">
      <c r="A1440" s="21">
        <f>ItensPedido!A1440</f>
        <v/>
      </c>
      <c r="B1440" s="21">
        <f>ItensPedido!B1440</f>
        <v/>
      </c>
      <c r="C1440" s="21">
        <f>ItensPedido!C1440</f>
        <v/>
      </c>
      <c r="D1440" s="21">
        <f>ItensPedido!D1440</f>
        <v/>
      </c>
      <c r="E1440" s="22">
        <f>ItensPedido!E1440</f>
        <v/>
      </c>
      <c r="F1440" s="21">
        <f>IFERROR(INDEX(Pedidos!$B$2:$B$1801,MATCH(B1440,Pedidos!$A$2:$A$1801,0)),0)</f>
        <v/>
      </c>
      <c r="G1440" s="21">
        <f>IF(F1440=0,"",YEAR(F1440))</f>
        <v/>
      </c>
      <c r="H1440" s="21">
        <f>IF(F1440=0,"",MONTH(F1440))</f>
        <v/>
      </c>
      <c r="I1440" s="21">
        <f>IFERROR(INDEX(Pedidos!$E$2:$E$1801,MATCH(B1440,Pedidos!$A$2:$A$1801,0)),"")</f>
        <v/>
      </c>
      <c r="J1440" s="21">
        <f>IFERROR(INDEX(Pedidos!$C$2:$C$1801,MATCH(B1440,Pedidos!$A$2:$A$1801,0)),"")</f>
        <v/>
      </c>
      <c r="K1440" s="21">
        <f>IFERROR(INDEX(Pedidos!$D$2:$D$1801,MATCH(B1440,Pedidos!$A$2:$A$1801,0)),"")</f>
        <v/>
      </c>
      <c r="L1440" s="21">
        <f>IFERROR(INDEX(Pedidos!$F$2:$F$1801,MATCH(B1440,Pedidos!$A$2:$A$1801,0)),"")</f>
        <v/>
      </c>
      <c r="M1440" s="22">
        <f>IFERROR(INDEX(Pedidos!$G$2:$G$1801,MATCH(B1440,Pedidos!$A$2:$A$1801,0)),0)</f>
        <v/>
      </c>
      <c r="N1440" s="21">
        <f>IFERROR(INDEX(Produtos!$B$2:$B$71,MATCH(C1440,Produtos!$A$2:$A$71,0)),"")</f>
        <v/>
      </c>
      <c r="O1440" s="21">
        <f>IFERROR(INDEX(Produtos!$C$2:$C$71,MATCH(C1440,Produtos!$A$2:$A$71,0)),"")</f>
        <v/>
      </c>
      <c r="P1440" s="21">
        <f>IFERROR(INDEX(Produtos!$D$2:$D$71,MATCH(C1440,Produtos!$A$2:$A$71,0)),0)</f>
        <v/>
      </c>
      <c r="Q1440" s="21">
        <f>IFERROR(INDEX(Produtos!$E$2:$E$71,MATCH(C1440,Produtos!$A$2:$A$71,0)),0)</f>
        <v/>
      </c>
      <c r="R1440" s="23">
        <f>D1440*Q1440</f>
        <v/>
      </c>
      <c r="S1440" s="23">
        <f>R1440*E1440</f>
        <v/>
      </c>
      <c r="T1440" s="23">
        <f>(R1440-S1440)*M1440</f>
        <v/>
      </c>
      <c r="U1440" s="23">
        <f>R1440-S1440-T1440</f>
        <v/>
      </c>
      <c r="V1440" s="23">
        <f>D1440*P1440</f>
        <v/>
      </c>
      <c r="W1440" s="23">
        <f>U1440-V1440</f>
        <v/>
      </c>
      <c r="X1440" s="24">
        <f>IFERROR(W1440/U1440,0)</f>
        <v/>
      </c>
    </row>
    <row r="1441">
      <c r="A1441" s="25">
        <f>ItensPedido!A1441</f>
        <v/>
      </c>
      <c r="B1441" s="25">
        <f>ItensPedido!B1441</f>
        <v/>
      </c>
      <c r="C1441" s="25">
        <f>ItensPedido!C1441</f>
        <v/>
      </c>
      <c r="D1441" s="25">
        <f>ItensPedido!D1441</f>
        <v/>
      </c>
      <c r="E1441" s="26">
        <f>ItensPedido!E1441</f>
        <v/>
      </c>
      <c r="F1441" s="25">
        <f>IFERROR(INDEX(Pedidos!$B$2:$B$1801,MATCH(B1441,Pedidos!$A$2:$A$1801,0)),0)</f>
        <v/>
      </c>
      <c r="G1441" s="25">
        <f>IF(F1441=0,"",YEAR(F1441))</f>
        <v/>
      </c>
      <c r="H1441" s="25">
        <f>IF(F1441=0,"",MONTH(F1441))</f>
        <v/>
      </c>
      <c r="I1441" s="25">
        <f>IFERROR(INDEX(Pedidos!$E$2:$E$1801,MATCH(B1441,Pedidos!$A$2:$A$1801,0)),"")</f>
        <v/>
      </c>
      <c r="J1441" s="25">
        <f>IFERROR(INDEX(Pedidos!$C$2:$C$1801,MATCH(B1441,Pedidos!$A$2:$A$1801,0)),"")</f>
        <v/>
      </c>
      <c r="K1441" s="25">
        <f>IFERROR(INDEX(Pedidos!$D$2:$D$1801,MATCH(B1441,Pedidos!$A$2:$A$1801,0)),"")</f>
        <v/>
      </c>
      <c r="L1441" s="25">
        <f>IFERROR(INDEX(Pedidos!$F$2:$F$1801,MATCH(B1441,Pedidos!$A$2:$A$1801,0)),"")</f>
        <v/>
      </c>
      <c r="M1441" s="26">
        <f>IFERROR(INDEX(Pedidos!$G$2:$G$1801,MATCH(B1441,Pedidos!$A$2:$A$1801,0)),0)</f>
        <v/>
      </c>
      <c r="N1441" s="25">
        <f>IFERROR(INDEX(Produtos!$B$2:$B$71,MATCH(C1441,Produtos!$A$2:$A$71,0)),"")</f>
        <v/>
      </c>
      <c r="O1441" s="25">
        <f>IFERROR(INDEX(Produtos!$C$2:$C$71,MATCH(C1441,Produtos!$A$2:$A$71,0)),"")</f>
        <v/>
      </c>
      <c r="P1441" s="25">
        <f>IFERROR(INDEX(Produtos!$D$2:$D$71,MATCH(C1441,Produtos!$A$2:$A$71,0)),0)</f>
        <v/>
      </c>
      <c r="Q1441" s="25">
        <f>IFERROR(INDEX(Produtos!$E$2:$E$71,MATCH(C1441,Produtos!$A$2:$A$71,0)),0)</f>
        <v/>
      </c>
      <c r="R1441" s="27">
        <f>D1441*Q1441</f>
        <v/>
      </c>
      <c r="S1441" s="27">
        <f>R1441*E1441</f>
        <v/>
      </c>
      <c r="T1441" s="27">
        <f>(R1441-S1441)*M1441</f>
        <v/>
      </c>
      <c r="U1441" s="27">
        <f>R1441-S1441-T1441</f>
        <v/>
      </c>
      <c r="V1441" s="27">
        <f>D1441*P1441</f>
        <v/>
      </c>
      <c r="W1441" s="27">
        <f>U1441-V1441</f>
        <v/>
      </c>
      <c r="X1441" s="28">
        <f>IFERROR(W1441/U1441,0)</f>
        <v/>
      </c>
    </row>
    <row r="1442">
      <c r="A1442" s="21">
        <f>ItensPedido!A1442</f>
        <v/>
      </c>
      <c r="B1442" s="21">
        <f>ItensPedido!B1442</f>
        <v/>
      </c>
      <c r="C1442" s="21">
        <f>ItensPedido!C1442</f>
        <v/>
      </c>
      <c r="D1442" s="21">
        <f>ItensPedido!D1442</f>
        <v/>
      </c>
      <c r="E1442" s="22">
        <f>ItensPedido!E1442</f>
        <v/>
      </c>
      <c r="F1442" s="21">
        <f>IFERROR(INDEX(Pedidos!$B$2:$B$1801,MATCH(B1442,Pedidos!$A$2:$A$1801,0)),0)</f>
        <v/>
      </c>
      <c r="G1442" s="21">
        <f>IF(F1442=0,"",YEAR(F1442))</f>
        <v/>
      </c>
      <c r="H1442" s="21">
        <f>IF(F1442=0,"",MONTH(F1442))</f>
        <v/>
      </c>
      <c r="I1442" s="21">
        <f>IFERROR(INDEX(Pedidos!$E$2:$E$1801,MATCH(B1442,Pedidos!$A$2:$A$1801,0)),"")</f>
        <v/>
      </c>
      <c r="J1442" s="21">
        <f>IFERROR(INDEX(Pedidos!$C$2:$C$1801,MATCH(B1442,Pedidos!$A$2:$A$1801,0)),"")</f>
        <v/>
      </c>
      <c r="K1442" s="21">
        <f>IFERROR(INDEX(Pedidos!$D$2:$D$1801,MATCH(B1442,Pedidos!$A$2:$A$1801,0)),"")</f>
        <v/>
      </c>
      <c r="L1442" s="21">
        <f>IFERROR(INDEX(Pedidos!$F$2:$F$1801,MATCH(B1442,Pedidos!$A$2:$A$1801,0)),"")</f>
        <v/>
      </c>
      <c r="M1442" s="22">
        <f>IFERROR(INDEX(Pedidos!$G$2:$G$1801,MATCH(B1442,Pedidos!$A$2:$A$1801,0)),0)</f>
        <v/>
      </c>
      <c r="N1442" s="21">
        <f>IFERROR(INDEX(Produtos!$B$2:$B$71,MATCH(C1442,Produtos!$A$2:$A$71,0)),"")</f>
        <v/>
      </c>
      <c r="O1442" s="21">
        <f>IFERROR(INDEX(Produtos!$C$2:$C$71,MATCH(C1442,Produtos!$A$2:$A$71,0)),"")</f>
        <v/>
      </c>
      <c r="P1442" s="21">
        <f>IFERROR(INDEX(Produtos!$D$2:$D$71,MATCH(C1442,Produtos!$A$2:$A$71,0)),0)</f>
        <v/>
      </c>
      <c r="Q1442" s="21">
        <f>IFERROR(INDEX(Produtos!$E$2:$E$71,MATCH(C1442,Produtos!$A$2:$A$71,0)),0)</f>
        <v/>
      </c>
      <c r="R1442" s="23">
        <f>D1442*Q1442</f>
        <v/>
      </c>
      <c r="S1442" s="23">
        <f>R1442*E1442</f>
        <v/>
      </c>
      <c r="T1442" s="23">
        <f>(R1442-S1442)*M1442</f>
        <v/>
      </c>
      <c r="U1442" s="23">
        <f>R1442-S1442-T1442</f>
        <v/>
      </c>
      <c r="V1442" s="23">
        <f>D1442*P1442</f>
        <v/>
      </c>
      <c r="W1442" s="23">
        <f>U1442-V1442</f>
        <v/>
      </c>
      <c r="X1442" s="24">
        <f>IFERROR(W1442/U1442,0)</f>
        <v/>
      </c>
    </row>
    <row r="1443">
      <c r="A1443" s="25">
        <f>ItensPedido!A1443</f>
        <v/>
      </c>
      <c r="B1443" s="25">
        <f>ItensPedido!B1443</f>
        <v/>
      </c>
      <c r="C1443" s="25">
        <f>ItensPedido!C1443</f>
        <v/>
      </c>
      <c r="D1443" s="25">
        <f>ItensPedido!D1443</f>
        <v/>
      </c>
      <c r="E1443" s="26">
        <f>ItensPedido!E1443</f>
        <v/>
      </c>
      <c r="F1443" s="25">
        <f>IFERROR(INDEX(Pedidos!$B$2:$B$1801,MATCH(B1443,Pedidos!$A$2:$A$1801,0)),0)</f>
        <v/>
      </c>
      <c r="G1443" s="25">
        <f>IF(F1443=0,"",YEAR(F1443))</f>
        <v/>
      </c>
      <c r="H1443" s="25">
        <f>IF(F1443=0,"",MONTH(F1443))</f>
        <v/>
      </c>
      <c r="I1443" s="25">
        <f>IFERROR(INDEX(Pedidos!$E$2:$E$1801,MATCH(B1443,Pedidos!$A$2:$A$1801,0)),"")</f>
        <v/>
      </c>
      <c r="J1443" s="25">
        <f>IFERROR(INDEX(Pedidos!$C$2:$C$1801,MATCH(B1443,Pedidos!$A$2:$A$1801,0)),"")</f>
        <v/>
      </c>
      <c r="K1443" s="25">
        <f>IFERROR(INDEX(Pedidos!$D$2:$D$1801,MATCH(B1443,Pedidos!$A$2:$A$1801,0)),"")</f>
        <v/>
      </c>
      <c r="L1443" s="25">
        <f>IFERROR(INDEX(Pedidos!$F$2:$F$1801,MATCH(B1443,Pedidos!$A$2:$A$1801,0)),"")</f>
        <v/>
      </c>
      <c r="M1443" s="26">
        <f>IFERROR(INDEX(Pedidos!$G$2:$G$1801,MATCH(B1443,Pedidos!$A$2:$A$1801,0)),0)</f>
        <v/>
      </c>
      <c r="N1443" s="25">
        <f>IFERROR(INDEX(Produtos!$B$2:$B$71,MATCH(C1443,Produtos!$A$2:$A$71,0)),"")</f>
        <v/>
      </c>
      <c r="O1443" s="25">
        <f>IFERROR(INDEX(Produtos!$C$2:$C$71,MATCH(C1443,Produtos!$A$2:$A$71,0)),"")</f>
        <v/>
      </c>
      <c r="P1443" s="25">
        <f>IFERROR(INDEX(Produtos!$D$2:$D$71,MATCH(C1443,Produtos!$A$2:$A$71,0)),0)</f>
        <v/>
      </c>
      <c r="Q1443" s="25">
        <f>IFERROR(INDEX(Produtos!$E$2:$E$71,MATCH(C1443,Produtos!$A$2:$A$71,0)),0)</f>
        <v/>
      </c>
      <c r="R1443" s="27">
        <f>D1443*Q1443</f>
        <v/>
      </c>
      <c r="S1443" s="27">
        <f>R1443*E1443</f>
        <v/>
      </c>
      <c r="T1443" s="27">
        <f>(R1443-S1443)*M1443</f>
        <v/>
      </c>
      <c r="U1443" s="27">
        <f>R1443-S1443-T1443</f>
        <v/>
      </c>
      <c r="V1443" s="27">
        <f>D1443*P1443</f>
        <v/>
      </c>
      <c r="W1443" s="27">
        <f>U1443-V1443</f>
        <v/>
      </c>
      <c r="X1443" s="28">
        <f>IFERROR(W1443/U1443,0)</f>
        <v/>
      </c>
    </row>
    <row r="1444">
      <c r="A1444" s="21">
        <f>ItensPedido!A1444</f>
        <v/>
      </c>
      <c r="B1444" s="21">
        <f>ItensPedido!B1444</f>
        <v/>
      </c>
      <c r="C1444" s="21">
        <f>ItensPedido!C1444</f>
        <v/>
      </c>
      <c r="D1444" s="21">
        <f>ItensPedido!D1444</f>
        <v/>
      </c>
      <c r="E1444" s="22">
        <f>ItensPedido!E1444</f>
        <v/>
      </c>
      <c r="F1444" s="21">
        <f>IFERROR(INDEX(Pedidos!$B$2:$B$1801,MATCH(B1444,Pedidos!$A$2:$A$1801,0)),0)</f>
        <v/>
      </c>
      <c r="G1444" s="21">
        <f>IF(F1444=0,"",YEAR(F1444))</f>
        <v/>
      </c>
      <c r="H1444" s="21">
        <f>IF(F1444=0,"",MONTH(F1444))</f>
        <v/>
      </c>
      <c r="I1444" s="21">
        <f>IFERROR(INDEX(Pedidos!$E$2:$E$1801,MATCH(B1444,Pedidos!$A$2:$A$1801,0)),"")</f>
        <v/>
      </c>
      <c r="J1444" s="21">
        <f>IFERROR(INDEX(Pedidos!$C$2:$C$1801,MATCH(B1444,Pedidos!$A$2:$A$1801,0)),"")</f>
        <v/>
      </c>
      <c r="K1444" s="21">
        <f>IFERROR(INDEX(Pedidos!$D$2:$D$1801,MATCH(B1444,Pedidos!$A$2:$A$1801,0)),"")</f>
        <v/>
      </c>
      <c r="L1444" s="21">
        <f>IFERROR(INDEX(Pedidos!$F$2:$F$1801,MATCH(B1444,Pedidos!$A$2:$A$1801,0)),"")</f>
        <v/>
      </c>
      <c r="M1444" s="22">
        <f>IFERROR(INDEX(Pedidos!$G$2:$G$1801,MATCH(B1444,Pedidos!$A$2:$A$1801,0)),0)</f>
        <v/>
      </c>
      <c r="N1444" s="21">
        <f>IFERROR(INDEX(Produtos!$B$2:$B$71,MATCH(C1444,Produtos!$A$2:$A$71,0)),"")</f>
        <v/>
      </c>
      <c r="O1444" s="21">
        <f>IFERROR(INDEX(Produtos!$C$2:$C$71,MATCH(C1444,Produtos!$A$2:$A$71,0)),"")</f>
        <v/>
      </c>
      <c r="P1444" s="21">
        <f>IFERROR(INDEX(Produtos!$D$2:$D$71,MATCH(C1444,Produtos!$A$2:$A$71,0)),0)</f>
        <v/>
      </c>
      <c r="Q1444" s="21">
        <f>IFERROR(INDEX(Produtos!$E$2:$E$71,MATCH(C1444,Produtos!$A$2:$A$71,0)),0)</f>
        <v/>
      </c>
      <c r="R1444" s="23">
        <f>D1444*Q1444</f>
        <v/>
      </c>
      <c r="S1444" s="23">
        <f>R1444*E1444</f>
        <v/>
      </c>
      <c r="T1444" s="23">
        <f>(R1444-S1444)*M1444</f>
        <v/>
      </c>
      <c r="U1444" s="23">
        <f>R1444-S1444-T1444</f>
        <v/>
      </c>
      <c r="V1444" s="23">
        <f>D1444*P1444</f>
        <v/>
      </c>
      <c r="W1444" s="23">
        <f>U1444-V1444</f>
        <v/>
      </c>
      <c r="X1444" s="24">
        <f>IFERROR(W1444/U1444,0)</f>
        <v/>
      </c>
    </row>
    <row r="1445">
      <c r="A1445" s="25">
        <f>ItensPedido!A1445</f>
        <v/>
      </c>
      <c r="B1445" s="25">
        <f>ItensPedido!B1445</f>
        <v/>
      </c>
      <c r="C1445" s="25">
        <f>ItensPedido!C1445</f>
        <v/>
      </c>
      <c r="D1445" s="25">
        <f>ItensPedido!D1445</f>
        <v/>
      </c>
      <c r="E1445" s="26">
        <f>ItensPedido!E1445</f>
        <v/>
      </c>
      <c r="F1445" s="25">
        <f>IFERROR(INDEX(Pedidos!$B$2:$B$1801,MATCH(B1445,Pedidos!$A$2:$A$1801,0)),0)</f>
        <v/>
      </c>
      <c r="G1445" s="25">
        <f>IF(F1445=0,"",YEAR(F1445))</f>
        <v/>
      </c>
      <c r="H1445" s="25">
        <f>IF(F1445=0,"",MONTH(F1445))</f>
        <v/>
      </c>
      <c r="I1445" s="25">
        <f>IFERROR(INDEX(Pedidos!$E$2:$E$1801,MATCH(B1445,Pedidos!$A$2:$A$1801,0)),"")</f>
        <v/>
      </c>
      <c r="J1445" s="25">
        <f>IFERROR(INDEX(Pedidos!$C$2:$C$1801,MATCH(B1445,Pedidos!$A$2:$A$1801,0)),"")</f>
        <v/>
      </c>
      <c r="K1445" s="25">
        <f>IFERROR(INDEX(Pedidos!$D$2:$D$1801,MATCH(B1445,Pedidos!$A$2:$A$1801,0)),"")</f>
        <v/>
      </c>
      <c r="L1445" s="25">
        <f>IFERROR(INDEX(Pedidos!$F$2:$F$1801,MATCH(B1445,Pedidos!$A$2:$A$1801,0)),"")</f>
        <v/>
      </c>
      <c r="M1445" s="26">
        <f>IFERROR(INDEX(Pedidos!$G$2:$G$1801,MATCH(B1445,Pedidos!$A$2:$A$1801,0)),0)</f>
        <v/>
      </c>
      <c r="N1445" s="25">
        <f>IFERROR(INDEX(Produtos!$B$2:$B$71,MATCH(C1445,Produtos!$A$2:$A$71,0)),"")</f>
        <v/>
      </c>
      <c r="O1445" s="25">
        <f>IFERROR(INDEX(Produtos!$C$2:$C$71,MATCH(C1445,Produtos!$A$2:$A$71,0)),"")</f>
        <v/>
      </c>
      <c r="P1445" s="25">
        <f>IFERROR(INDEX(Produtos!$D$2:$D$71,MATCH(C1445,Produtos!$A$2:$A$71,0)),0)</f>
        <v/>
      </c>
      <c r="Q1445" s="25">
        <f>IFERROR(INDEX(Produtos!$E$2:$E$71,MATCH(C1445,Produtos!$A$2:$A$71,0)),0)</f>
        <v/>
      </c>
      <c r="R1445" s="27">
        <f>D1445*Q1445</f>
        <v/>
      </c>
      <c r="S1445" s="27">
        <f>R1445*E1445</f>
        <v/>
      </c>
      <c r="T1445" s="27">
        <f>(R1445-S1445)*M1445</f>
        <v/>
      </c>
      <c r="U1445" s="27">
        <f>R1445-S1445-T1445</f>
        <v/>
      </c>
      <c r="V1445" s="27">
        <f>D1445*P1445</f>
        <v/>
      </c>
      <c r="W1445" s="27">
        <f>U1445-V1445</f>
        <v/>
      </c>
      <c r="X1445" s="28">
        <f>IFERROR(W1445/U1445,0)</f>
        <v/>
      </c>
    </row>
    <row r="1446">
      <c r="A1446" s="21">
        <f>ItensPedido!A1446</f>
        <v/>
      </c>
      <c r="B1446" s="21">
        <f>ItensPedido!B1446</f>
        <v/>
      </c>
      <c r="C1446" s="21">
        <f>ItensPedido!C1446</f>
        <v/>
      </c>
      <c r="D1446" s="21">
        <f>ItensPedido!D1446</f>
        <v/>
      </c>
      <c r="E1446" s="22">
        <f>ItensPedido!E1446</f>
        <v/>
      </c>
      <c r="F1446" s="21">
        <f>IFERROR(INDEX(Pedidos!$B$2:$B$1801,MATCH(B1446,Pedidos!$A$2:$A$1801,0)),0)</f>
        <v/>
      </c>
      <c r="G1446" s="21">
        <f>IF(F1446=0,"",YEAR(F1446))</f>
        <v/>
      </c>
      <c r="H1446" s="21">
        <f>IF(F1446=0,"",MONTH(F1446))</f>
        <v/>
      </c>
      <c r="I1446" s="21">
        <f>IFERROR(INDEX(Pedidos!$E$2:$E$1801,MATCH(B1446,Pedidos!$A$2:$A$1801,0)),"")</f>
        <v/>
      </c>
      <c r="J1446" s="21">
        <f>IFERROR(INDEX(Pedidos!$C$2:$C$1801,MATCH(B1446,Pedidos!$A$2:$A$1801,0)),"")</f>
        <v/>
      </c>
      <c r="K1446" s="21">
        <f>IFERROR(INDEX(Pedidos!$D$2:$D$1801,MATCH(B1446,Pedidos!$A$2:$A$1801,0)),"")</f>
        <v/>
      </c>
      <c r="L1446" s="21">
        <f>IFERROR(INDEX(Pedidos!$F$2:$F$1801,MATCH(B1446,Pedidos!$A$2:$A$1801,0)),"")</f>
        <v/>
      </c>
      <c r="M1446" s="22">
        <f>IFERROR(INDEX(Pedidos!$G$2:$G$1801,MATCH(B1446,Pedidos!$A$2:$A$1801,0)),0)</f>
        <v/>
      </c>
      <c r="N1446" s="21">
        <f>IFERROR(INDEX(Produtos!$B$2:$B$71,MATCH(C1446,Produtos!$A$2:$A$71,0)),"")</f>
        <v/>
      </c>
      <c r="O1446" s="21">
        <f>IFERROR(INDEX(Produtos!$C$2:$C$71,MATCH(C1446,Produtos!$A$2:$A$71,0)),"")</f>
        <v/>
      </c>
      <c r="P1446" s="21">
        <f>IFERROR(INDEX(Produtos!$D$2:$D$71,MATCH(C1446,Produtos!$A$2:$A$71,0)),0)</f>
        <v/>
      </c>
      <c r="Q1446" s="21">
        <f>IFERROR(INDEX(Produtos!$E$2:$E$71,MATCH(C1446,Produtos!$A$2:$A$71,0)),0)</f>
        <v/>
      </c>
      <c r="R1446" s="23">
        <f>D1446*Q1446</f>
        <v/>
      </c>
      <c r="S1446" s="23">
        <f>R1446*E1446</f>
        <v/>
      </c>
      <c r="T1446" s="23">
        <f>(R1446-S1446)*M1446</f>
        <v/>
      </c>
      <c r="U1446" s="23">
        <f>R1446-S1446-T1446</f>
        <v/>
      </c>
      <c r="V1446" s="23">
        <f>D1446*P1446</f>
        <v/>
      </c>
      <c r="W1446" s="23">
        <f>U1446-V1446</f>
        <v/>
      </c>
      <c r="X1446" s="24">
        <f>IFERROR(W1446/U1446,0)</f>
        <v/>
      </c>
    </row>
    <row r="1447">
      <c r="A1447" s="25">
        <f>ItensPedido!A1447</f>
        <v/>
      </c>
      <c r="B1447" s="25">
        <f>ItensPedido!B1447</f>
        <v/>
      </c>
      <c r="C1447" s="25">
        <f>ItensPedido!C1447</f>
        <v/>
      </c>
      <c r="D1447" s="25">
        <f>ItensPedido!D1447</f>
        <v/>
      </c>
      <c r="E1447" s="26">
        <f>ItensPedido!E1447</f>
        <v/>
      </c>
      <c r="F1447" s="25">
        <f>IFERROR(INDEX(Pedidos!$B$2:$B$1801,MATCH(B1447,Pedidos!$A$2:$A$1801,0)),0)</f>
        <v/>
      </c>
      <c r="G1447" s="25">
        <f>IF(F1447=0,"",YEAR(F1447))</f>
        <v/>
      </c>
      <c r="H1447" s="25">
        <f>IF(F1447=0,"",MONTH(F1447))</f>
        <v/>
      </c>
      <c r="I1447" s="25">
        <f>IFERROR(INDEX(Pedidos!$E$2:$E$1801,MATCH(B1447,Pedidos!$A$2:$A$1801,0)),"")</f>
        <v/>
      </c>
      <c r="J1447" s="25">
        <f>IFERROR(INDEX(Pedidos!$C$2:$C$1801,MATCH(B1447,Pedidos!$A$2:$A$1801,0)),"")</f>
        <v/>
      </c>
      <c r="K1447" s="25">
        <f>IFERROR(INDEX(Pedidos!$D$2:$D$1801,MATCH(B1447,Pedidos!$A$2:$A$1801,0)),"")</f>
        <v/>
      </c>
      <c r="L1447" s="25">
        <f>IFERROR(INDEX(Pedidos!$F$2:$F$1801,MATCH(B1447,Pedidos!$A$2:$A$1801,0)),"")</f>
        <v/>
      </c>
      <c r="M1447" s="26">
        <f>IFERROR(INDEX(Pedidos!$G$2:$G$1801,MATCH(B1447,Pedidos!$A$2:$A$1801,0)),0)</f>
        <v/>
      </c>
      <c r="N1447" s="25">
        <f>IFERROR(INDEX(Produtos!$B$2:$B$71,MATCH(C1447,Produtos!$A$2:$A$71,0)),"")</f>
        <v/>
      </c>
      <c r="O1447" s="25">
        <f>IFERROR(INDEX(Produtos!$C$2:$C$71,MATCH(C1447,Produtos!$A$2:$A$71,0)),"")</f>
        <v/>
      </c>
      <c r="P1447" s="25">
        <f>IFERROR(INDEX(Produtos!$D$2:$D$71,MATCH(C1447,Produtos!$A$2:$A$71,0)),0)</f>
        <v/>
      </c>
      <c r="Q1447" s="25">
        <f>IFERROR(INDEX(Produtos!$E$2:$E$71,MATCH(C1447,Produtos!$A$2:$A$71,0)),0)</f>
        <v/>
      </c>
      <c r="R1447" s="27">
        <f>D1447*Q1447</f>
        <v/>
      </c>
      <c r="S1447" s="27">
        <f>R1447*E1447</f>
        <v/>
      </c>
      <c r="T1447" s="27">
        <f>(R1447-S1447)*M1447</f>
        <v/>
      </c>
      <c r="U1447" s="27">
        <f>R1447-S1447-T1447</f>
        <v/>
      </c>
      <c r="V1447" s="27">
        <f>D1447*P1447</f>
        <v/>
      </c>
      <c r="W1447" s="27">
        <f>U1447-V1447</f>
        <v/>
      </c>
      <c r="X1447" s="28">
        <f>IFERROR(W1447/U1447,0)</f>
        <v/>
      </c>
    </row>
    <row r="1448">
      <c r="A1448" s="21">
        <f>ItensPedido!A1448</f>
        <v/>
      </c>
      <c r="B1448" s="21">
        <f>ItensPedido!B1448</f>
        <v/>
      </c>
      <c r="C1448" s="21">
        <f>ItensPedido!C1448</f>
        <v/>
      </c>
      <c r="D1448" s="21">
        <f>ItensPedido!D1448</f>
        <v/>
      </c>
      <c r="E1448" s="22">
        <f>ItensPedido!E1448</f>
        <v/>
      </c>
      <c r="F1448" s="21">
        <f>IFERROR(INDEX(Pedidos!$B$2:$B$1801,MATCH(B1448,Pedidos!$A$2:$A$1801,0)),0)</f>
        <v/>
      </c>
      <c r="G1448" s="21">
        <f>IF(F1448=0,"",YEAR(F1448))</f>
        <v/>
      </c>
      <c r="H1448" s="21">
        <f>IF(F1448=0,"",MONTH(F1448))</f>
        <v/>
      </c>
      <c r="I1448" s="21">
        <f>IFERROR(INDEX(Pedidos!$E$2:$E$1801,MATCH(B1448,Pedidos!$A$2:$A$1801,0)),"")</f>
        <v/>
      </c>
      <c r="J1448" s="21">
        <f>IFERROR(INDEX(Pedidos!$C$2:$C$1801,MATCH(B1448,Pedidos!$A$2:$A$1801,0)),"")</f>
        <v/>
      </c>
      <c r="K1448" s="21">
        <f>IFERROR(INDEX(Pedidos!$D$2:$D$1801,MATCH(B1448,Pedidos!$A$2:$A$1801,0)),"")</f>
        <v/>
      </c>
      <c r="L1448" s="21">
        <f>IFERROR(INDEX(Pedidos!$F$2:$F$1801,MATCH(B1448,Pedidos!$A$2:$A$1801,0)),"")</f>
        <v/>
      </c>
      <c r="M1448" s="22">
        <f>IFERROR(INDEX(Pedidos!$G$2:$G$1801,MATCH(B1448,Pedidos!$A$2:$A$1801,0)),0)</f>
        <v/>
      </c>
      <c r="N1448" s="21">
        <f>IFERROR(INDEX(Produtos!$B$2:$B$71,MATCH(C1448,Produtos!$A$2:$A$71,0)),"")</f>
        <v/>
      </c>
      <c r="O1448" s="21">
        <f>IFERROR(INDEX(Produtos!$C$2:$C$71,MATCH(C1448,Produtos!$A$2:$A$71,0)),"")</f>
        <v/>
      </c>
      <c r="P1448" s="21">
        <f>IFERROR(INDEX(Produtos!$D$2:$D$71,MATCH(C1448,Produtos!$A$2:$A$71,0)),0)</f>
        <v/>
      </c>
      <c r="Q1448" s="21">
        <f>IFERROR(INDEX(Produtos!$E$2:$E$71,MATCH(C1448,Produtos!$A$2:$A$71,0)),0)</f>
        <v/>
      </c>
      <c r="R1448" s="23">
        <f>D1448*Q1448</f>
        <v/>
      </c>
      <c r="S1448" s="23">
        <f>R1448*E1448</f>
        <v/>
      </c>
      <c r="T1448" s="23">
        <f>(R1448-S1448)*M1448</f>
        <v/>
      </c>
      <c r="U1448" s="23">
        <f>R1448-S1448-T1448</f>
        <v/>
      </c>
      <c r="V1448" s="23">
        <f>D1448*P1448</f>
        <v/>
      </c>
      <c r="W1448" s="23">
        <f>U1448-V1448</f>
        <v/>
      </c>
      <c r="X1448" s="24">
        <f>IFERROR(W1448/U1448,0)</f>
        <v/>
      </c>
    </row>
    <row r="1449">
      <c r="A1449" s="25">
        <f>ItensPedido!A1449</f>
        <v/>
      </c>
      <c r="B1449" s="25">
        <f>ItensPedido!B1449</f>
        <v/>
      </c>
      <c r="C1449" s="25">
        <f>ItensPedido!C1449</f>
        <v/>
      </c>
      <c r="D1449" s="25">
        <f>ItensPedido!D1449</f>
        <v/>
      </c>
      <c r="E1449" s="26">
        <f>ItensPedido!E1449</f>
        <v/>
      </c>
      <c r="F1449" s="25">
        <f>IFERROR(INDEX(Pedidos!$B$2:$B$1801,MATCH(B1449,Pedidos!$A$2:$A$1801,0)),0)</f>
        <v/>
      </c>
      <c r="G1449" s="25">
        <f>IF(F1449=0,"",YEAR(F1449))</f>
        <v/>
      </c>
      <c r="H1449" s="25">
        <f>IF(F1449=0,"",MONTH(F1449))</f>
        <v/>
      </c>
      <c r="I1449" s="25">
        <f>IFERROR(INDEX(Pedidos!$E$2:$E$1801,MATCH(B1449,Pedidos!$A$2:$A$1801,0)),"")</f>
        <v/>
      </c>
      <c r="J1449" s="25">
        <f>IFERROR(INDEX(Pedidos!$C$2:$C$1801,MATCH(B1449,Pedidos!$A$2:$A$1801,0)),"")</f>
        <v/>
      </c>
      <c r="K1449" s="25">
        <f>IFERROR(INDEX(Pedidos!$D$2:$D$1801,MATCH(B1449,Pedidos!$A$2:$A$1801,0)),"")</f>
        <v/>
      </c>
      <c r="L1449" s="25">
        <f>IFERROR(INDEX(Pedidos!$F$2:$F$1801,MATCH(B1449,Pedidos!$A$2:$A$1801,0)),"")</f>
        <v/>
      </c>
      <c r="M1449" s="26">
        <f>IFERROR(INDEX(Pedidos!$G$2:$G$1801,MATCH(B1449,Pedidos!$A$2:$A$1801,0)),0)</f>
        <v/>
      </c>
      <c r="N1449" s="25">
        <f>IFERROR(INDEX(Produtos!$B$2:$B$71,MATCH(C1449,Produtos!$A$2:$A$71,0)),"")</f>
        <v/>
      </c>
      <c r="O1449" s="25">
        <f>IFERROR(INDEX(Produtos!$C$2:$C$71,MATCH(C1449,Produtos!$A$2:$A$71,0)),"")</f>
        <v/>
      </c>
      <c r="P1449" s="25">
        <f>IFERROR(INDEX(Produtos!$D$2:$D$71,MATCH(C1449,Produtos!$A$2:$A$71,0)),0)</f>
        <v/>
      </c>
      <c r="Q1449" s="25">
        <f>IFERROR(INDEX(Produtos!$E$2:$E$71,MATCH(C1449,Produtos!$A$2:$A$71,0)),0)</f>
        <v/>
      </c>
      <c r="R1449" s="27">
        <f>D1449*Q1449</f>
        <v/>
      </c>
      <c r="S1449" s="27">
        <f>R1449*E1449</f>
        <v/>
      </c>
      <c r="T1449" s="27">
        <f>(R1449-S1449)*M1449</f>
        <v/>
      </c>
      <c r="U1449" s="27">
        <f>R1449-S1449-T1449</f>
        <v/>
      </c>
      <c r="V1449" s="27">
        <f>D1449*P1449</f>
        <v/>
      </c>
      <c r="W1449" s="27">
        <f>U1449-V1449</f>
        <v/>
      </c>
      <c r="X1449" s="28">
        <f>IFERROR(W1449/U1449,0)</f>
        <v/>
      </c>
    </row>
    <row r="1450">
      <c r="A1450" s="21">
        <f>ItensPedido!A1450</f>
        <v/>
      </c>
      <c r="B1450" s="21">
        <f>ItensPedido!B1450</f>
        <v/>
      </c>
      <c r="C1450" s="21">
        <f>ItensPedido!C1450</f>
        <v/>
      </c>
      <c r="D1450" s="21">
        <f>ItensPedido!D1450</f>
        <v/>
      </c>
      <c r="E1450" s="22">
        <f>ItensPedido!E1450</f>
        <v/>
      </c>
      <c r="F1450" s="21">
        <f>IFERROR(INDEX(Pedidos!$B$2:$B$1801,MATCH(B1450,Pedidos!$A$2:$A$1801,0)),0)</f>
        <v/>
      </c>
      <c r="G1450" s="21">
        <f>IF(F1450=0,"",YEAR(F1450))</f>
        <v/>
      </c>
      <c r="H1450" s="21">
        <f>IF(F1450=0,"",MONTH(F1450))</f>
        <v/>
      </c>
      <c r="I1450" s="21">
        <f>IFERROR(INDEX(Pedidos!$E$2:$E$1801,MATCH(B1450,Pedidos!$A$2:$A$1801,0)),"")</f>
        <v/>
      </c>
      <c r="J1450" s="21">
        <f>IFERROR(INDEX(Pedidos!$C$2:$C$1801,MATCH(B1450,Pedidos!$A$2:$A$1801,0)),"")</f>
        <v/>
      </c>
      <c r="K1450" s="21">
        <f>IFERROR(INDEX(Pedidos!$D$2:$D$1801,MATCH(B1450,Pedidos!$A$2:$A$1801,0)),"")</f>
        <v/>
      </c>
      <c r="L1450" s="21">
        <f>IFERROR(INDEX(Pedidos!$F$2:$F$1801,MATCH(B1450,Pedidos!$A$2:$A$1801,0)),"")</f>
        <v/>
      </c>
      <c r="M1450" s="22">
        <f>IFERROR(INDEX(Pedidos!$G$2:$G$1801,MATCH(B1450,Pedidos!$A$2:$A$1801,0)),0)</f>
        <v/>
      </c>
      <c r="N1450" s="21">
        <f>IFERROR(INDEX(Produtos!$B$2:$B$71,MATCH(C1450,Produtos!$A$2:$A$71,0)),"")</f>
        <v/>
      </c>
      <c r="O1450" s="21">
        <f>IFERROR(INDEX(Produtos!$C$2:$C$71,MATCH(C1450,Produtos!$A$2:$A$71,0)),"")</f>
        <v/>
      </c>
      <c r="P1450" s="21">
        <f>IFERROR(INDEX(Produtos!$D$2:$D$71,MATCH(C1450,Produtos!$A$2:$A$71,0)),0)</f>
        <v/>
      </c>
      <c r="Q1450" s="21">
        <f>IFERROR(INDEX(Produtos!$E$2:$E$71,MATCH(C1450,Produtos!$A$2:$A$71,0)),0)</f>
        <v/>
      </c>
      <c r="R1450" s="23">
        <f>D1450*Q1450</f>
        <v/>
      </c>
      <c r="S1450" s="23">
        <f>R1450*E1450</f>
        <v/>
      </c>
      <c r="T1450" s="23">
        <f>(R1450-S1450)*M1450</f>
        <v/>
      </c>
      <c r="U1450" s="23">
        <f>R1450-S1450-T1450</f>
        <v/>
      </c>
      <c r="V1450" s="23">
        <f>D1450*P1450</f>
        <v/>
      </c>
      <c r="W1450" s="23">
        <f>U1450-V1450</f>
        <v/>
      </c>
      <c r="X1450" s="24">
        <f>IFERROR(W1450/U1450,0)</f>
        <v/>
      </c>
    </row>
    <row r="1451">
      <c r="A1451" s="25">
        <f>ItensPedido!A1451</f>
        <v/>
      </c>
      <c r="B1451" s="25">
        <f>ItensPedido!B1451</f>
        <v/>
      </c>
      <c r="C1451" s="25">
        <f>ItensPedido!C1451</f>
        <v/>
      </c>
      <c r="D1451" s="25">
        <f>ItensPedido!D1451</f>
        <v/>
      </c>
      <c r="E1451" s="26">
        <f>ItensPedido!E1451</f>
        <v/>
      </c>
      <c r="F1451" s="25">
        <f>IFERROR(INDEX(Pedidos!$B$2:$B$1801,MATCH(B1451,Pedidos!$A$2:$A$1801,0)),0)</f>
        <v/>
      </c>
      <c r="G1451" s="25">
        <f>IF(F1451=0,"",YEAR(F1451))</f>
        <v/>
      </c>
      <c r="H1451" s="25">
        <f>IF(F1451=0,"",MONTH(F1451))</f>
        <v/>
      </c>
      <c r="I1451" s="25">
        <f>IFERROR(INDEX(Pedidos!$E$2:$E$1801,MATCH(B1451,Pedidos!$A$2:$A$1801,0)),"")</f>
        <v/>
      </c>
      <c r="J1451" s="25">
        <f>IFERROR(INDEX(Pedidos!$C$2:$C$1801,MATCH(B1451,Pedidos!$A$2:$A$1801,0)),"")</f>
        <v/>
      </c>
      <c r="K1451" s="25">
        <f>IFERROR(INDEX(Pedidos!$D$2:$D$1801,MATCH(B1451,Pedidos!$A$2:$A$1801,0)),"")</f>
        <v/>
      </c>
      <c r="L1451" s="25">
        <f>IFERROR(INDEX(Pedidos!$F$2:$F$1801,MATCH(B1451,Pedidos!$A$2:$A$1801,0)),"")</f>
        <v/>
      </c>
      <c r="M1451" s="26">
        <f>IFERROR(INDEX(Pedidos!$G$2:$G$1801,MATCH(B1451,Pedidos!$A$2:$A$1801,0)),0)</f>
        <v/>
      </c>
      <c r="N1451" s="25">
        <f>IFERROR(INDEX(Produtos!$B$2:$B$71,MATCH(C1451,Produtos!$A$2:$A$71,0)),"")</f>
        <v/>
      </c>
      <c r="O1451" s="25">
        <f>IFERROR(INDEX(Produtos!$C$2:$C$71,MATCH(C1451,Produtos!$A$2:$A$71,0)),"")</f>
        <v/>
      </c>
      <c r="P1451" s="25">
        <f>IFERROR(INDEX(Produtos!$D$2:$D$71,MATCH(C1451,Produtos!$A$2:$A$71,0)),0)</f>
        <v/>
      </c>
      <c r="Q1451" s="25">
        <f>IFERROR(INDEX(Produtos!$E$2:$E$71,MATCH(C1451,Produtos!$A$2:$A$71,0)),0)</f>
        <v/>
      </c>
      <c r="R1451" s="27">
        <f>D1451*Q1451</f>
        <v/>
      </c>
      <c r="S1451" s="27">
        <f>R1451*E1451</f>
        <v/>
      </c>
      <c r="T1451" s="27">
        <f>(R1451-S1451)*M1451</f>
        <v/>
      </c>
      <c r="U1451" s="27">
        <f>R1451-S1451-T1451</f>
        <v/>
      </c>
      <c r="V1451" s="27">
        <f>D1451*P1451</f>
        <v/>
      </c>
      <c r="W1451" s="27">
        <f>U1451-V1451</f>
        <v/>
      </c>
      <c r="X1451" s="28">
        <f>IFERROR(W1451/U1451,0)</f>
        <v/>
      </c>
    </row>
    <row r="1452">
      <c r="A1452" s="21">
        <f>ItensPedido!A1452</f>
        <v/>
      </c>
      <c r="B1452" s="21">
        <f>ItensPedido!B1452</f>
        <v/>
      </c>
      <c r="C1452" s="21">
        <f>ItensPedido!C1452</f>
        <v/>
      </c>
      <c r="D1452" s="21">
        <f>ItensPedido!D1452</f>
        <v/>
      </c>
      <c r="E1452" s="22">
        <f>ItensPedido!E1452</f>
        <v/>
      </c>
      <c r="F1452" s="21">
        <f>IFERROR(INDEX(Pedidos!$B$2:$B$1801,MATCH(B1452,Pedidos!$A$2:$A$1801,0)),0)</f>
        <v/>
      </c>
      <c r="G1452" s="21">
        <f>IF(F1452=0,"",YEAR(F1452))</f>
        <v/>
      </c>
      <c r="H1452" s="21">
        <f>IF(F1452=0,"",MONTH(F1452))</f>
        <v/>
      </c>
      <c r="I1452" s="21">
        <f>IFERROR(INDEX(Pedidos!$E$2:$E$1801,MATCH(B1452,Pedidos!$A$2:$A$1801,0)),"")</f>
        <v/>
      </c>
      <c r="J1452" s="21">
        <f>IFERROR(INDEX(Pedidos!$C$2:$C$1801,MATCH(B1452,Pedidos!$A$2:$A$1801,0)),"")</f>
        <v/>
      </c>
      <c r="K1452" s="21">
        <f>IFERROR(INDEX(Pedidos!$D$2:$D$1801,MATCH(B1452,Pedidos!$A$2:$A$1801,0)),"")</f>
        <v/>
      </c>
      <c r="L1452" s="21">
        <f>IFERROR(INDEX(Pedidos!$F$2:$F$1801,MATCH(B1452,Pedidos!$A$2:$A$1801,0)),"")</f>
        <v/>
      </c>
      <c r="M1452" s="22">
        <f>IFERROR(INDEX(Pedidos!$G$2:$G$1801,MATCH(B1452,Pedidos!$A$2:$A$1801,0)),0)</f>
        <v/>
      </c>
      <c r="N1452" s="21">
        <f>IFERROR(INDEX(Produtos!$B$2:$B$71,MATCH(C1452,Produtos!$A$2:$A$71,0)),"")</f>
        <v/>
      </c>
      <c r="O1452" s="21">
        <f>IFERROR(INDEX(Produtos!$C$2:$C$71,MATCH(C1452,Produtos!$A$2:$A$71,0)),"")</f>
        <v/>
      </c>
      <c r="P1452" s="21">
        <f>IFERROR(INDEX(Produtos!$D$2:$D$71,MATCH(C1452,Produtos!$A$2:$A$71,0)),0)</f>
        <v/>
      </c>
      <c r="Q1452" s="21">
        <f>IFERROR(INDEX(Produtos!$E$2:$E$71,MATCH(C1452,Produtos!$A$2:$A$71,0)),0)</f>
        <v/>
      </c>
      <c r="R1452" s="23">
        <f>D1452*Q1452</f>
        <v/>
      </c>
      <c r="S1452" s="23">
        <f>R1452*E1452</f>
        <v/>
      </c>
      <c r="T1452" s="23">
        <f>(R1452-S1452)*M1452</f>
        <v/>
      </c>
      <c r="U1452" s="23">
        <f>R1452-S1452-T1452</f>
        <v/>
      </c>
      <c r="V1452" s="23">
        <f>D1452*P1452</f>
        <v/>
      </c>
      <c r="W1452" s="23">
        <f>U1452-V1452</f>
        <v/>
      </c>
      <c r="X1452" s="24">
        <f>IFERROR(W1452/U1452,0)</f>
        <v/>
      </c>
    </row>
    <row r="1453">
      <c r="A1453" s="25">
        <f>ItensPedido!A1453</f>
        <v/>
      </c>
      <c r="B1453" s="25">
        <f>ItensPedido!B1453</f>
        <v/>
      </c>
      <c r="C1453" s="25">
        <f>ItensPedido!C1453</f>
        <v/>
      </c>
      <c r="D1453" s="25">
        <f>ItensPedido!D1453</f>
        <v/>
      </c>
      <c r="E1453" s="26">
        <f>ItensPedido!E1453</f>
        <v/>
      </c>
      <c r="F1453" s="25">
        <f>IFERROR(INDEX(Pedidos!$B$2:$B$1801,MATCH(B1453,Pedidos!$A$2:$A$1801,0)),0)</f>
        <v/>
      </c>
      <c r="G1453" s="25">
        <f>IF(F1453=0,"",YEAR(F1453))</f>
        <v/>
      </c>
      <c r="H1453" s="25">
        <f>IF(F1453=0,"",MONTH(F1453))</f>
        <v/>
      </c>
      <c r="I1453" s="25">
        <f>IFERROR(INDEX(Pedidos!$E$2:$E$1801,MATCH(B1453,Pedidos!$A$2:$A$1801,0)),"")</f>
        <v/>
      </c>
      <c r="J1453" s="25">
        <f>IFERROR(INDEX(Pedidos!$C$2:$C$1801,MATCH(B1453,Pedidos!$A$2:$A$1801,0)),"")</f>
        <v/>
      </c>
      <c r="K1453" s="25">
        <f>IFERROR(INDEX(Pedidos!$D$2:$D$1801,MATCH(B1453,Pedidos!$A$2:$A$1801,0)),"")</f>
        <v/>
      </c>
      <c r="L1453" s="25">
        <f>IFERROR(INDEX(Pedidos!$F$2:$F$1801,MATCH(B1453,Pedidos!$A$2:$A$1801,0)),"")</f>
        <v/>
      </c>
      <c r="M1453" s="26">
        <f>IFERROR(INDEX(Pedidos!$G$2:$G$1801,MATCH(B1453,Pedidos!$A$2:$A$1801,0)),0)</f>
        <v/>
      </c>
      <c r="N1453" s="25">
        <f>IFERROR(INDEX(Produtos!$B$2:$B$71,MATCH(C1453,Produtos!$A$2:$A$71,0)),"")</f>
        <v/>
      </c>
      <c r="O1453" s="25">
        <f>IFERROR(INDEX(Produtos!$C$2:$C$71,MATCH(C1453,Produtos!$A$2:$A$71,0)),"")</f>
        <v/>
      </c>
      <c r="P1453" s="25">
        <f>IFERROR(INDEX(Produtos!$D$2:$D$71,MATCH(C1453,Produtos!$A$2:$A$71,0)),0)</f>
        <v/>
      </c>
      <c r="Q1453" s="25">
        <f>IFERROR(INDEX(Produtos!$E$2:$E$71,MATCH(C1453,Produtos!$A$2:$A$71,0)),0)</f>
        <v/>
      </c>
      <c r="R1453" s="27">
        <f>D1453*Q1453</f>
        <v/>
      </c>
      <c r="S1453" s="27">
        <f>R1453*E1453</f>
        <v/>
      </c>
      <c r="T1453" s="27">
        <f>(R1453-S1453)*M1453</f>
        <v/>
      </c>
      <c r="U1453" s="27">
        <f>R1453-S1453-T1453</f>
        <v/>
      </c>
      <c r="V1453" s="27">
        <f>D1453*P1453</f>
        <v/>
      </c>
      <c r="W1453" s="27">
        <f>U1453-V1453</f>
        <v/>
      </c>
      <c r="X1453" s="28">
        <f>IFERROR(W1453/U1453,0)</f>
        <v/>
      </c>
    </row>
    <row r="1454">
      <c r="A1454" s="21">
        <f>ItensPedido!A1454</f>
        <v/>
      </c>
      <c r="B1454" s="21">
        <f>ItensPedido!B1454</f>
        <v/>
      </c>
      <c r="C1454" s="21">
        <f>ItensPedido!C1454</f>
        <v/>
      </c>
      <c r="D1454" s="21">
        <f>ItensPedido!D1454</f>
        <v/>
      </c>
      <c r="E1454" s="22">
        <f>ItensPedido!E1454</f>
        <v/>
      </c>
      <c r="F1454" s="21">
        <f>IFERROR(INDEX(Pedidos!$B$2:$B$1801,MATCH(B1454,Pedidos!$A$2:$A$1801,0)),0)</f>
        <v/>
      </c>
      <c r="G1454" s="21">
        <f>IF(F1454=0,"",YEAR(F1454))</f>
        <v/>
      </c>
      <c r="H1454" s="21">
        <f>IF(F1454=0,"",MONTH(F1454))</f>
        <v/>
      </c>
      <c r="I1454" s="21">
        <f>IFERROR(INDEX(Pedidos!$E$2:$E$1801,MATCH(B1454,Pedidos!$A$2:$A$1801,0)),"")</f>
        <v/>
      </c>
      <c r="J1454" s="21">
        <f>IFERROR(INDEX(Pedidos!$C$2:$C$1801,MATCH(B1454,Pedidos!$A$2:$A$1801,0)),"")</f>
        <v/>
      </c>
      <c r="K1454" s="21">
        <f>IFERROR(INDEX(Pedidos!$D$2:$D$1801,MATCH(B1454,Pedidos!$A$2:$A$1801,0)),"")</f>
        <v/>
      </c>
      <c r="L1454" s="21">
        <f>IFERROR(INDEX(Pedidos!$F$2:$F$1801,MATCH(B1454,Pedidos!$A$2:$A$1801,0)),"")</f>
        <v/>
      </c>
      <c r="M1454" s="22">
        <f>IFERROR(INDEX(Pedidos!$G$2:$G$1801,MATCH(B1454,Pedidos!$A$2:$A$1801,0)),0)</f>
        <v/>
      </c>
      <c r="N1454" s="21">
        <f>IFERROR(INDEX(Produtos!$B$2:$B$71,MATCH(C1454,Produtos!$A$2:$A$71,0)),"")</f>
        <v/>
      </c>
      <c r="O1454" s="21">
        <f>IFERROR(INDEX(Produtos!$C$2:$C$71,MATCH(C1454,Produtos!$A$2:$A$71,0)),"")</f>
        <v/>
      </c>
      <c r="P1454" s="21">
        <f>IFERROR(INDEX(Produtos!$D$2:$D$71,MATCH(C1454,Produtos!$A$2:$A$71,0)),0)</f>
        <v/>
      </c>
      <c r="Q1454" s="21">
        <f>IFERROR(INDEX(Produtos!$E$2:$E$71,MATCH(C1454,Produtos!$A$2:$A$71,0)),0)</f>
        <v/>
      </c>
      <c r="R1454" s="23">
        <f>D1454*Q1454</f>
        <v/>
      </c>
      <c r="S1454" s="23">
        <f>R1454*E1454</f>
        <v/>
      </c>
      <c r="T1454" s="23">
        <f>(R1454-S1454)*M1454</f>
        <v/>
      </c>
      <c r="U1454" s="23">
        <f>R1454-S1454-T1454</f>
        <v/>
      </c>
      <c r="V1454" s="23">
        <f>D1454*P1454</f>
        <v/>
      </c>
      <c r="W1454" s="23">
        <f>U1454-V1454</f>
        <v/>
      </c>
      <c r="X1454" s="24">
        <f>IFERROR(W1454/U1454,0)</f>
        <v/>
      </c>
    </row>
    <row r="1455">
      <c r="A1455" s="25">
        <f>ItensPedido!A1455</f>
        <v/>
      </c>
      <c r="B1455" s="25">
        <f>ItensPedido!B1455</f>
        <v/>
      </c>
      <c r="C1455" s="25">
        <f>ItensPedido!C1455</f>
        <v/>
      </c>
      <c r="D1455" s="25">
        <f>ItensPedido!D1455</f>
        <v/>
      </c>
      <c r="E1455" s="26">
        <f>ItensPedido!E1455</f>
        <v/>
      </c>
      <c r="F1455" s="25">
        <f>IFERROR(INDEX(Pedidos!$B$2:$B$1801,MATCH(B1455,Pedidos!$A$2:$A$1801,0)),0)</f>
        <v/>
      </c>
      <c r="G1455" s="25">
        <f>IF(F1455=0,"",YEAR(F1455))</f>
        <v/>
      </c>
      <c r="H1455" s="25">
        <f>IF(F1455=0,"",MONTH(F1455))</f>
        <v/>
      </c>
      <c r="I1455" s="25">
        <f>IFERROR(INDEX(Pedidos!$E$2:$E$1801,MATCH(B1455,Pedidos!$A$2:$A$1801,0)),"")</f>
        <v/>
      </c>
      <c r="J1455" s="25">
        <f>IFERROR(INDEX(Pedidos!$C$2:$C$1801,MATCH(B1455,Pedidos!$A$2:$A$1801,0)),"")</f>
        <v/>
      </c>
      <c r="K1455" s="25">
        <f>IFERROR(INDEX(Pedidos!$D$2:$D$1801,MATCH(B1455,Pedidos!$A$2:$A$1801,0)),"")</f>
        <v/>
      </c>
      <c r="L1455" s="25">
        <f>IFERROR(INDEX(Pedidos!$F$2:$F$1801,MATCH(B1455,Pedidos!$A$2:$A$1801,0)),"")</f>
        <v/>
      </c>
      <c r="M1455" s="26">
        <f>IFERROR(INDEX(Pedidos!$G$2:$G$1801,MATCH(B1455,Pedidos!$A$2:$A$1801,0)),0)</f>
        <v/>
      </c>
      <c r="N1455" s="25">
        <f>IFERROR(INDEX(Produtos!$B$2:$B$71,MATCH(C1455,Produtos!$A$2:$A$71,0)),"")</f>
        <v/>
      </c>
      <c r="O1455" s="25">
        <f>IFERROR(INDEX(Produtos!$C$2:$C$71,MATCH(C1455,Produtos!$A$2:$A$71,0)),"")</f>
        <v/>
      </c>
      <c r="P1455" s="25">
        <f>IFERROR(INDEX(Produtos!$D$2:$D$71,MATCH(C1455,Produtos!$A$2:$A$71,0)),0)</f>
        <v/>
      </c>
      <c r="Q1455" s="25">
        <f>IFERROR(INDEX(Produtos!$E$2:$E$71,MATCH(C1455,Produtos!$A$2:$A$71,0)),0)</f>
        <v/>
      </c>
      <c r="R1455" s="27">
        <f>D1455*Q1455</f>
        <v/>
      </c>
      <c r="S1455" s="27">
        <f>R1455*E1455</f>
        <v/>
      </c>
      <c r="T1455" s="27">
        <f>(R1455-S1455)*M1455</f>
        <v/>
      </c>
      <c r="U1455" s="27">
        <f>R1455-S1455-T1455</f>
        <v/>
      </c>
      <c r="V1455" s="27">
        <f>D1455*P1455</f>
        <v/>
      </c>
      <c r="W1455" s="27">
        <f>U1455-V1455</f>
        <v/>
      </c>
      <c r="X1455" s="28">
        <f>IFERROR(W1455/U1455,0)</f>
        <v/>
      </c>
    </row>
    <row r="1456">
      <c r="A1456" s="21">
        <f>ItensPedido!A1456</f>
        <v/>
      </c>
      <c r="B1456" s="21">
        <f>ItensPedido!B1456</f>
        <v/>
      </c>
      <c r="C1456" s="21">
        <f>ItensPedido!C1456</f>
        <v/>
      </c>
      <c r="D1456" s="21">
        <f>ItensPedido!D1456</f>
        <v/>
      </c>
      <c r="E1456" s="22">
        <f>ItensPedido!E1456</f>
        <v/>
      </c>
      <c r="F1456" s="21">
        <f>IFERROR(INDEX(Pedidos!$B$2:$B$1801,MATCH(B1456,Pedidos!$A$2:$A$1801,0)),0)</f>
        <v/>
      </c>
      <c r="G1456" s="21">
        <f>IF(F1456=0,"",YEAR(F1456))</f>
        <v/>
      </c>
      <c r="H1456" s="21">
        <f>IF(F1456=0,"",MONTH(F1456))</f>
        <v/>
      </c>
      <c r="I1456" s="21">
        <f>IFERROR(INDEX(Pedidos!$E$2:$E$1801,MATCH(B1456,Pedidos!$A$2:$A$1801,0)),"")</f>
        <v/>
      </c>
      <c r="J1456" s="21">
        <f>IFERROR(INDEX(Pedidos!$C$2:$C$1801,MATCH(B1456,Pedidos!$A$2:$A$1801,0)),"")</f>
        <v/>
      </c>
      <c r="K1456" s="21">
        <f>IFERROR(INDEX(Pedidos!$D$2:$D$1801,MATCH(B1456,Pedidos!$A$2:$A$1801,0)),"")</f>
        <v/>
      </c>
      <c r="L1456" s="21">
        <f>IFERROR(INDEX(Pedidos!$F$2:$F$1801,MATCH(B1456,Pedidos!$A$2:$A$1801,0)),"")</f>
        <v/>
      </c>
      <c r="M1456" s="22">
        <f>IFERROR(INDEX(Pedidos!$G$2:$G$1801,MATCH(B1456,Pedidos!$A$2:$A$1801,0)),0)</f>
        <v/>
      </c>
      <c r="N1456" s="21">
        <f>IFERROR(INDEX(Produtos!$B$2:$B$71,MATCH(C1456,Produtos!$A$2:$A$71,0)),"")</f>
        <v/>
      </c>
      <c r="O1456" s="21">
        <f>IFERROR(INDEX(Produtos!$C$2:$C$71,MATCH(C1456,Produtos!$A$2:$A$71,0)),"")</f>
        <v/>
      </c>
      <c r="P1456" s="21">
        <f>IFERROR(INDEX(Produtos!$D$2:$D$71,MATCH(C1456,Produtos!$A$2:$A$71,0)),0)</f>
        <v/>
      </c>
      <c r="Q1456" s="21">
        <f>IFERROR(INDEX(Produtos!$E$2:$E$71,MATCH(C1456,Produtos!$A$2:$A$71,0)),0)</f>
        <v/>
      </c>
      <c r="R1456" s="23">
        <f>D1456*Q1456</f>
        <v/>
      </c>
      <c r="S1456" s="23">
        <f>R1456*E1456</f>
        <v/>
      </c>
      <c r="T1456" s="23">
        <f>(R1456-S1456)*M1456</f>
        <v/>
      </c>
      <c r="U1456" s="23">
        <f>R1456-S1456-T1456</f>
        <v/>
      </c>
      <c r="V1456" s="23">
        <f>D1456*P1456</f>
        <v/>
      </c>
      <c r="W1456" s="23">
        <f>U1456-V1456</f>
        <v/>
      </c>
      <c r="X1456" s="24">
        <f>IFERROR(W1456/U1456,0)</f>
        <v/>
      </c>
    </row>
    <row r="1457">
      <c r="A1457" s="25">
        <f>ItensPedido!A1457</f>
        <v/>
      </c>
      <c r="B1457" s="25">
        <f>ItensPedido!B1457</f>
        <v/>
      </c>
      <c r="C1457" s="25">
        <f>ItensPedido!C1457</f>
        <v/>
      </c>
      <c r="D1457" s="25">
        <f>ItensPedido!D1457</f>
        <v/>
      </c>
      <c r="E1457" s="26">
        <f>ItensPedido!E1457</f>
        <v/>
      </c>
      <c r="F1457" s="25">
        <f>IFERROR(INDEX(Pedidos!$B$2:$B$1801,MATCH(B1457,Pedidos!$A$2:$A$1801,0)),0)</f>
        <v/>
      </c>
      <c r="G1457" s="25">
        <f>IF(F1457=0,"",YEAR(F1457))</f>
        <v/>
      </c>
      <c r="H1457" s="25">
        <f>IF(F1457=0,"",MONTH(F1457))</f>
        <v/>
      </c>
      <c r="I1457" s="25">
        <f>IFERROR(INDEX(Pedidos!$E$2:$E$1801,MATCH(B1457,Pedidos!$A$2:$A$1801,0)),"")</f>
        <v/>
      </c>
      <c r="J1457" s="25">
        <f>IFERROR(INDEX(Pedidos!$C$2:$C$1801,MATCH(B1457,Pedidos!$A$2:$A$1801,0)),"")</f>
        <v/>
      </c>
      <c r="K1457" s="25">
        <f>IFERROR(INDEX(Pedidos!$D$2:$D$1801,MATCH(B1457,Pedidos!$A$2:$A$1801,0)),"")</f>
        <v/>
      </c>
      <c r="L1457" s="25">
        <f>IFERROR(INDEX(Pedidos!$F$2:$F$1801,MATCH(B1457,Pedidos!$A$2:$A$1801,0)),"")</f>
        <v/>
      </c>
      <c r="M1457" s="26">
        <f>IFERROR(INDEX(Pedidos!$G$2:$G$1801,MATCH(B1457,Pedidos!$A$2:$A$1801,0)),0)</f>
        <v/>
      </c>
      <c r="N1457" s="25">
        <f>IFERROR(INDEX(Produtos!$B$2:$B$71,MATCH(C1457,Produtos!$A$2:$A$71,0)),"")</f>
        <v/>
      </c>
      <c r="O1457" s="25">
        <f>IFERROR(INDEX(Produtos!$C$2:$C$71,MATCH(C1457,Produtos!$A$2:$A$71,0)),"")</f>
        <v/>
      </c>
      <c r="P1457" s="25">
        <f>IFERROR(INDEX(Produtos!$D$2:$D$71,MATCH(C1457,Produtos!$A$2:$A$71,0)),0)</f>
        <v/>
      </c>
      <c r="Q1457" s="25">
        <f>IFERROR(INDEX(Produtos!$E$2:$E$71,MATCH(C1457,Produtos!$A$2:$A$71,0)),0)</f>
        <v/>
      </c>
      <c r="R1457" s="27">
        <f>D1457*Q1457</f>
        <v/>
      </c>
      <c r="S1457" s="27">
        <f>R1457*E1457</f>
        <v/>
      </c>
      <c r="T1457" s="27">
        <f>(R1457-S1457)*M1457</f>
        <v/>
      </c>
      <c r="U1457" s="27">
        <f>R1457-S1457-T1457</f>
        <v/>
      </c>
      <c r="V1457" s="27">
        <f>D1457*P1457</f>
        <v/>
      </c>
      <c r="W1457" s="27">
        <f>U1457-V1457</f>
        <v/>
      </c>
      <c r="X1457" s="28">
        <f>IFERROR(W1457/U1457,0)</f>
        <v/>
      </c>
    </row>
    <row r="1458">
      <c r="A1458" s="21">
        <f>ItensPedido!A1458</f>
        <v/>
      </c>
      <c r="B1458" s="21">
        <f>ItensPedido!B1458</f>
        <v/>
      </c>
      <c r="C1458" s="21">
        <f>ItensPedido!C1458</f>
        <v/>
      </c>
      <c r="D1458" s="21">
        <f>ItensPedido!D1458</f>
        <v/>
      </c>
      <c r="E1458" s="22">
        <f>ItensPedido!E1458</f>
        <v/>
      </c>
      <c r="F1458" s="21">
        <f>IFERROR(INDEX(Pedidos!$B$2:$B$1801,MATCH(B1458,Pedidos!$A$2:$A$1801,0)),0)</f>
        <v/>
      </c>
      <c r="G1458" s="21">
        <f>IF(F1458=0,"",YEAR(F1458))</f>
        <v/>
      </c>
      <c r="H1458" s="21">
        <f>IF(F1458=0,"",MONTH(F1458))</f>
        <v/>
      </c>
      <c r="I1458" s="21">
        <f>IFERROR(INDEX(Pedidos!$E$2:$E$1801,MATCH(B1458,Pedidos!$A$2:$A$1801,0)),"")</f>
        <v/>
      </c>
      <c r="J1458" s="21">
        <f>IFERROR(INDEX(Pedidos!$C$2:$C$1801,MATCH(B1458,Pedidos!$A$2:$A$1801,0)),"")</f>
        <v/>
      </c>
      <c r="K1458" s="21">
        <f>IFERROR(INDEX(Pedidos!$D$2:$D$1801,MATCH(B1458,Pedidos!$A$2:$A$1801,0)),"")</f>
        <v/>
      </c>
      <c r="L1458" s="21">
        <f>IFERROR(INDEX(Pedidos!$F$2:$F$1801,MATCH(B1458,Pedidos!$A$2:$A$1801,0)),"")</f>
        <v/>
      </c>
      <c r="M1458" s="22">
        <f>IFERROR(INDEX(Pedidos!$G$2:$G$1801,MATCH(B1458,Pedidos!$A$2:$A$1801,0)),0)</f>
        <v/>
      </c>
      <c r="N1458" s="21">
        <f>IFERROR(INDEX(Produtos!$B$2:$B$71,MATCH(C1458,Produtos!$A$2:$A$71,0)),"")</f>
        <v/>
      </c>
      <c r="O1458" s="21">
        <f>IFERROR(INDEX(Produtos!$C$2:$C$71,MATCH(C1458,Produtos!$A$2:$A$71,0)),"")</f>
        <v/>
      </c>
      <c r="P1458" s="21">
        <f>IFERROR(INDEX(Produtos!$D$2:$D$71,MATCH(C1458,Produtos!$A$2:$A$71,0)),0)</f>
        <v/>
      </c>
      <c r="Q1458" s="21">
        <f>IFERROR(INDEX(Produtos!$E$2:$E$71,MATCH(C1458,Produtos!$A$2:$A$71,0)),0)</f>
        <v/>
      </c>
      <c r="R1458" s="23">
        <f>D1458*Q1458</f>
        <v/>
      </c>
      <c r="S1458" s="23">
        <f>R1458*E1458</f>
        <v/>
      </c>
      <c r="T1458" s="23">
        <f>(R1458-S1458)*M1458</f>
        <v/>
      </c>
      <c r="U1458" s="23">
        <f>R1458-S1458-T1458</f>
        <v/>
      </c>
      <c r="V1458" s="23">
        <f>D1458*P1458</f>
        <v/>
      </c>
      <c r="W1458" s="23">
        <f>U1458-V1458</f>
        <v/>
      </c>
      <c r="X1458" s="24">
        <f>IFERROR(W1458/U1458,0)</f>
        <v/>
      </c>
    </row>
    <row r="1459">
      <c r="A1459" s="25">
        <f>ItensPedido!A1459</f>
        <v/>
      </c>
      <c r="B1459" s="25">
        <f>ItensPedido!B1459</f>
        <v/>
      </c>
      <c r="C1459" s="25">
        <f>ItensPedido!C1459</f>
        <v/>
      </c>
      <c r="D1459" s="25">
        <f>ItensPedido!D1459</f>
        <v/>
      </c>
      <c r="E1459" s="26">
        <f>ItensPedido!E1459</f>
        <v/>
      </c>
      <c r="F1459" s="25">
        <f>IFERROR(INDEX(Pedidos!$B$2:$B$1801,MATCH(B1459,Pedidos!$A$2:$A$1801,0)),0)</f>
        <v/>
      </c>
      <c r="G1459" s="25">
        <f>IF(F1459=0,"",YEAR(F1459))</f>
        <v/>
      </c>
      <c r="H1459" s="25">
        <f>IF(F1459=0,"",MONTH(F1459))</f>
        <v/>
      </c>
      <c r="I1459" s="25">
        <f>IFERROR(INDEX(Pedidos!$E$2:$E$1801,MATCH(B1459,Pedidos!$A$2:$A$1801,0)),"")</f>
        <v/>
      </c>
      <c r="J1459" s="25">
        <f>IFERROR(INDEX(Pedidos!$C$2:$C$1801,MATCH(B1459,Pedidos!$A$2:$A$1801,0)),"")</f>
        <v/>
      </c>
      <c r="K1459" s="25">
        <f>IFERROR(INDEX(Pedidos!$D$2:$D$1801,MATCH(B1459,Pedidos!$A$2:$A$1801,0)),"")</f>
        <v/>
      </c>
      <c r="L1459" s="25">
        <f>IFERROR(INDEX(Pedidos!$F$2:$F$1801,MATCH(B1459,Pedidos!$A$2:$A$1801,0)),"")</f>
        <v/>
      </c>
      <c r="M1459" s="26">
        <f>IFERROR(INDEX(Pedidos!$G$2:$G$1801,MATCH(B1459,Pedidos!$A$2:$A$1801,0)),0)</f>
        <v/>
      </c>
      <c r="N1459" s="25">
        <f>IFERROR(INDEX(Produtos!$B$2:$B$71,MATCH(C1459,Produtos!$A$2:$A$71,0)),"")</f>
        <v/>
      </c>
      <c r="O1459" s="25">
        <f>IFERROR(INDEX(Produtos!$C$2:$C$71,MATCH(C1459,Produtos!$A$2:$A$71,0)),"")</f>
        <v/>
      </c>
      <c r="P1459" s="25">
        <f>IFERROR(INDEX(Produtos!$D$2:$D$71,MATCH(C1459,Produtos!$A$2:$A$71,0)),0)</f>
        <v/>
      </c>
      <c r="Q1459" s="25">
        <f>IFERROR(INDEX(Produtos!$E$2:$E$71,MATCH(C1459,Produtos!$A$2:$A$71,0)),0)</f>
        <v/>
      </c>
      <c r="R1459" s="27">
        <f>D1459*Q1459</f>
        <v/>
      </c>
      <c r="S1459" s="27">
        <f>R1459*E1459</f>
        <v/>
      </c>
      <c r="T1459" s="27">
        <f>(R1459-S1459)*M1459</f>
        <v/>
      </c>
      <c r="U1459" s="27">
        <f>R1459-S1459-T1459</f>
        <v/>
      </c>
      <c r="V1459" s="27">
        <f>D1459*P1459</f>
        <v/>
      </c>
      <c r="W1459" s="27">
        <f>U1459-V1459</f>
        <v/>
      </c>
      <c r="X1459" s="28">
        <f>IFERROR(W1459/U1459,0)</f>
        <v/>
      </c>
    </row>
    <row r="1460">
      <c r="A1460" s="21">
        <f>ItensPedido!A1460</f>
        <v/>
      </c>
      <c r="B1460" s="21">
        <f>ItensPedido!B1460</f>
        <v/>
      </c>
      <c r="C1460" s="21">
        <f>ItensPedido!C1460</f>
        <v/>
      </c>
      <c r="D1460" s="21">
        <f>ItensPedido!D1460</f>
        <v/>
      </c>
      <c r="E1460" s="22">
        <f>ItensPedido!E1460</f>
        <v/>
      </c>
      <c r="F1460" s="21">
        <f>IFERROR(INDEX(Pedidos!$B$2:$B$1801,MATCH(B1460,Pedidos!$A$2:$A$1801,0)),0)</f>
        <v/>
      </c>
      <c r="G1460" s="21">
        <f>IF(F1460=0,"",YEAR(F1460))</f>
        <v/>
      </c>
      <c r="H1460" s="21">
        <f>IF(F1460=0,"",MONTH(F1460))</f>
        <v/>
      </c>
      <c r="I1460" s="21">
        <f>IFERROR(INDEX(Pedidos!$E$2:$E$1801,MATCH(B1460,Pedidos!$A$2:$A$1801,0)),"")</f>
        <v/>
      </c>
      <c r="J1460" s="21">
        <f>IFERROR(INDEX(Pedidos!$C$2:$C$1801,MATCH(B1460,Pedidos!$A$2:$A$1801,0)),"")</f>
        <v/>
      </c>
      <c r="K1460" s="21">
        <f>IFERROR(INDEX(Pedidos!$D$2:$D$1801,MATCH(B1460,Pedidos!$A$2:$A$1801,0)),"")</f>
        <v/>
      </c>
      <c r="L1460" s="21">
        <f>IFERROR(INDEX(Pedidos!$F$2:$F$1801,MATCH(B1460,Pedidos!$A$2:$A$1801,0)),"")</f>
        <v/>
      </c>
      <c r="M1460" s="22">
        <f>IFERROR(INDEX(Pedidos!$G$2:$G$1801,MATCH(B1460,Pedidos!$A$2:$A$1801,0)),0)</f>
        <v/>
      </c>
      <c r="N1460" s="21">
        <f>IFERROR(INDEX(Produtos!$B$2:$B$71,MATCH(C1460,Produtos!$A$2:$A$71,0)),"")</f>
        <v/>
      </c>
      <c r="O1460" s="21">
        <f>IFERROR(INDEX(Produtos!$C$2:$C$71,MATCH(C1460,Produtos!$A$2:$A$71,0)),"")</f>
        <v/>
      </c>
      <c r="P1460" s="21">
        <f>IFERROR(INDEX(Produtos!$D$2:$D$71,MATCH(C1460,Produtos!$A$2:$A$71,0)),0)</f>
        <v/>
      </c>
      <c r="Q1460" s="21">
        <f>IFERROR(INDEX(Produtos!$E$2:$E$71,MATCH(C1460,Produtos!$A$2:$A$71,0)),0)</f>
        <v/>
      </c>
      <c r="R1460" s="23">
        <f>D1460*Q1460</f>
        <v/>
      </c>
      <c r="S1460" s="23">
        <f>R1460*E1460</f>
        <v/>
      </c>
      <c r="T1460" s="23">
        <f>(R1460-S1460)*M1460</f>
        <v/>
      </c>
      <c r="U1460" s="23">
        <f>R1460-S1460-T1460</f>
        <v/>
      </c>
      <c r="V1460" s="23">
        <f>D1460*P1460</f>
        <v/>
      </c>
      <c r="W1460" s="23">
        <f>U1460-V1460</f>
        <v/>
      </c>
      <c r="X1460" s="24">
        <f>IFERROR(W1460/U1460,0)</f>
        <v/>
      </c>
    </row>
    <row r="1461">
      <c r="A1461" s="25">
        <f>ItensPedido!A1461</f>
        <v/>
      </c>
      <c r="B1461" s="25">
        <f>ItensPedido!B1461</f>
        <v/>
      </c>
      <c r="C1461" s="25">
        <f>ItensPedido!C1461</f>
        <v/>
      </c>
      <c r="D1461" s="25">
        <f>ItensPedido!D1461</f>
        <v/>
      </c>
      <c r="E1461" s="26">
        <f>ItensPedido!E1461</f>
        <v/>
      </c>
      <c r="F1461" s="25">
        <f>IFERROR(INDEX(Pedidos!$B$2:$B$1801,MATCH(B1461,Pedidos!$A$2:$A$1801,0)),0)</f>
        <v/>
      </c>
      <c r="G1461" s="25">
        <f>IF(F1461=0,"",YEAR(F1461))</f>
        <v/>
      </c>
      <c r="H1461" s="25">
        <f>IF(F1461=0,"",MONTH(F1461))</f>
        <v/>
      </c>
      <c r="I1461" s="25">
        <f>IFERROR(INDEX(Pedidos!$E$2:$E$1801,MATCH(B1461,Pedidos!$A$2:$A$1801,0)),"")</f>
        <v/>
      </c>
      <c r="J1461" s="25">
        <f>IFERROR(INDEX(Pedidos!$C$2:$C$1801,MATCH(B1461,Pedidos!$A$2:$A$1801,0)),"")</f>
        <v/>
      </c>
      <c r="K1461" s="25">
        <f>IFERROR(INDEX(Pedidos!$D$2:$D$1801,MATCH(B1461,Pedidos!$A$2:$A$1801,0)),"")</f>
        <v/>
      </c>
      <c r="L1461" s="25">
        <f>IFERROR(INDEX(Pedidos!$F$2:$F$1801,MATCH(B1461,Pedidos!$A$2:$A$1801,0)),"")</f>
        <v/>
      </c>
      <c r="M1461" s="26">
        <f>IFERROR(INDEX(Pedidos!$G$2:$G$1801,MATCH(B1461,Pedidos!$A$2:$A$1801,0)),0)</f>
        <v/>
      </c>
      <c r="N1461" s="25">
        <f>IFERROR(INDEX(Produtos!$B$2:$B$71,MATCH(C1461,Produtos!$A$2:$A$71,0)),"")</f>
        <v/>
      </c>
      <c r="O1461" s="25">
        <f>IFERROR(INDEX(Produtos!$C$2:$C$71,MATCH(C1461,Produtos!$A$2:$A$71,0)),"")</f>
        <v/>
      </c>
      <c r="P1461" s="25">
        <f>IFERROR(INDEX(Produtos!$D$2:$D$71,MATCH(C1461,Produtos!$A$2:$A$71,0)),0)</f>
        <v/>
      </c>
      <c r="Q1461" s="25">
        <f>IFERROR(INDEX(Produtos!$E$2:$E$71,MATCH(C1461,Produtos!$A$2:$A$71,0)),0)</f>
        <v/>
      </c>
      <c r="R1461" s="27">
        <f>D1461*Q1461</f>
        <v/>
      </c>
      <c r="S1461" s="27">
        <f>R1461*E1461</f>
        <v/>
      </c>
      <c r="T1461" s="27">
        <f>(R1461-S1461)*M1461</f>
        <v/>
      </c>
      <c r="U1461" s="27">
        <f>R1461-S1461-T1461</f>
        <v/>
      </c>
      <c r="V1461" s="27">
        <f>D1461*P1461</f>
        <v/>
      </c>
      <c r="W1461" s="27">
        <f>U1461-V1461</f>
        <v/>
      </c>
      <c r="X1461" s="28">
        <f>IFERROR(W1461/U1461,0)</f>
        <v/>
      </c>
    </row>
    <row r="1462">
      <c r="A1462" s="21">
        <f>ItensPedido!A1462</f>
        <v/>
      </c>
      <c r="B1462" s="21">
        <f>ItensPedido!B1462</f>
        <v/>
      </c>
      <c r="C1462" s="21">
        <f>ItensPedido!C1462</f>
        <v/>
      </c>
      <c r="D1462" s="21">
        <f>ItensPedido!D1462</f>
        <v/>
      </c>
      <c r="E1462" s="22">
        <f>ItensPedido!E1462</f>
        <v/>
      </c>
      <c r="F1462" s="21">
        <f>IFERROR(INDEX(Pedidos!$B$2:$B$1801,MATCH(B1462,Pedidos!$A$2:$A$1801,0)),0)</f>
        <v/>
      </c>
      <c r="G1462" s="21">
        <f>IF(F1462=0,"",YEAR(F1462))</f>
        <v/>
      </c>
      <c r="H1462" s="21">
        <f>IF(F1462=0,"",MONTH(F1462))</f>
        <v/>
      </c>
      <c r="I1462" s="21">
        <f>IFERROR(INDEX(Pedidos!$E$2:$E$1801,MATCH(B1462,Pedidos!$A$2:$A$1801,0)),"")</f>
        <v/>
      </c>
      <c r="J1462" s="21">
        <f>IFERROR(INDEX(Pedidos!$C$2:$C$1801,MATCH(B1462,Pedidos!$A$2:$A$1801,0)),"")</f>
        <v/>
      </c>
      <c r="K1462" s="21">
        <f>IFERROR(INDEX(Pedidos!$D$2:$D$1801,MATCH(B1462,Pedidos!$A$2:$A$1801,0)),"")</f>
        <v/>
      </c>
      <c r="L1462" s="21">
        <f>IFERROR(INDEX(Pedidos!$F$2:$F$1801,MATCH(B1462,Pedidos!$A$2:$A$1801,0)),"")</f>
        <v/>
      </c>
      <c r="M1462" s="22">
        <f>IFERROR(INDEX(Pedidos!$G$2:$G$1801,MATCH(B1462,Pedidos!$A$2:$A$1801,0)),0)</f>
        <v/>
      </c>
      <c r="N1462" s="21">
        <f>IFERROR(INDEX(Produtos!$B$2:$B$71,MATCH(C1462,Produtos!$A$2:$A$71,0)),"")</f>
        <v/>
      </c>
      <c r="O1462" s="21">
        <f>IFERROR(INDEX(Produtos!$C$2:$C$71,MATCH(C1462,Produtos!$A$2:$A$71,0)),"")</f>
        <v/>
      </c>
      <c r="P1462" s="21">
        <f>IFERROR(INDEX(Produtos!$D$2:$D$71,MATCH(C1462,Produtos!$A$2:$A$71,0)),0)</f>
        <v/>
      </c>
      <c r="Q1462" s="21">
        <f>IFERROR(INDEX(Produtos!$E$2:$E$71,MATCH(C1462,Produtos!$A$2:$A$71,0)),0)</f>
        <v/>
      </c>
      <c r="R1462" s="23">
        <f>D1462*Q1462</f>
        <v/>
      </c>
      <c r="S1462" s="23">
        <f>R1462*E1462</f>
        <v/>
      </c>
      <c r="T1462" s="23">
        <f>(R1462-S1462)*M1462</f>
        <v/>
      </c>
      <c r="U1462" s="23">
        <f>R1462-S1462-T1462</f>
        <v/>
      </c>
      <c r="V1462" s="23">
        <f>D1462*P1462</f>
        <v/>
      </c>
      <c r="W1462" s="23">
        <f>U1462-V1462</f>
        <v/>
      </c>
      <c r="X1462" s="24">
        <f>IFERROR(W1462/U1462,0)</f>
        <v/>
      </c>
    </row>
    <row r="1463">
      <c r="A1463" s="25">
        <f>ItensPedido!A1463</f>
        <v/>
      </c>
      <c r="B1463" s="25">
        <f>ItensPedido!B1463</f>
        <v/>
      </c>
      <c r="C1463" s="25">
        <f>ItensPedido!C1463</f>
        <v/>
      </c>
      <c r="D1463" s="25">
        <f>ItensPedido!D1463</f>
        <v/>
      </c>
      <c r="E1463" s="26">
        <f>ItensPedido!E1463</f>
        <v/>
      </c>
      <c r="F1463" s="25">
        <f>IFERROR(INDEX(Pedidos!$B$2:$B$1801,MATCH(B1463,Pedidos!$A$2:$A$1801,0)),0)</f>
        <v/>
      </c>
      <c r="G1463" s="25">
        <f>IF(F1463=0,"",YEAR(F1463))</f>
        <v/>
      </c>
      <c r="H1463" s="25">
        <f>IF(F1463=0,"",MONTH(F1463))</f>
        <v/>
      </c>
      <c r="I1463" s="25">
        <f>IFERROR(INDEX(Pedidos!$E$2:$E$1801,MATCH(B1463,Pedidos!$A$2:$A$1801,0)),"")</f>
        <v/>
      </c>
      <c r="J1463" s="25">
        <f>IFERROR(INDEX(Pedidos!$C$2:$C$1801,MATCH(B1463,Pedidos!$A$2:$A$1801,0)),"")</f>
        <v/>
      </c>
      <c r="K1463" s="25">
        <f>IFERROR(INDEX(Pedidos!$D$2:$D$1801,MATCH(B1463,Pedidos!$A$2:$A$1801,0)),"")</f>
        <v/>
      </c>
      <c r="L1463" s="25">
        <f>IFERROR(INDEX(Pedidos!$F$2:$F$1801,MATCH(B1463,Pedidos!$A$2:$A$1801,0)),"")</f>
        <v/>
      </c>
      <c r="M1463" s="26">
        <f>IFERROR(INDEX(Pedidos!$G$2:$G$1801,MATCH(B1463,Pedidos!$A$2:$A$1801,0)),0)</f>
        <v/>
      </c>
      <c r="N1463" s="25">
        <f>IFERROR(INDEX(Produtos!$B$2:$B$71,MATCH(C1463,Produtos!$A$2:$A$71,0)),"")</f>
        <v/>
      </c>
      <c r="O1463" s="25">
        <f>IFERROR(INDEX(Produtos!$C$2:$C$71,MATCH(C1463,Produtos!$A$2:$A$71,0)),"")</f>
        <v/>
      </c>
      <c r="P1463" s="25">
        <f>IFERROR(INDEX(Produtos!$D$2:$D$71,MATCH(C1463,Produtos!$A$2:$A$71,0)),0)</f>
        <v/>
      </c>
      <c r="Q1463" s="25">
        <f>IFERROR(INDEX(Produtos!$E$2:$E$71,MATCH(C1463,Produtos!$A$2:$A$71,0)),0)</f>
        <v/>
      </c>
      <c r="R1463" s="27">
        <f>D1463*Q1463</f>
        <v/>
      </c>
      <c r="S1463" s="27">
        <f>R1463*E1463</f>
        <v/>
      </c>
      <c r="T1463" s="27">
        <f>(R1463-S1463)*M1463</f>
        <v/>
      </c>
      <c r="U1463" s="27">
        <f>R1463-S1463-T1463</f>
        <v/>
      </c>
      <c r="V1463" s="27">
        <f>D1463*P1463</f>
        <v/>
      </c>
      <c r="W1463" s="27">
        <f>U1463-V1463</f>
        <v/>
      </c>
      <c r="X1463" s="28">
        <f>IFERROR(W1463/U1463,0)</f>
        <v/>
      </c>
    </row>
    <row r="1464">
      <c r="A1464" s="21">
        <f>ItensPedido!A1464</f>
        <v/>
      </c>
      <c r="B1464" s="21">
        <f>ItensPedido!B1464</f>
        <v/>
      </c>
      <c r="C1464" s="21">
        <f>ItensPedido!C1464</f>
        <v/>
      </c>
      <c r="D1464" s="21">
        <f>ItensPedido!D1464</f>
        <v/>
      </c>
      <c r="E1464" s="22">
        <f>ItensPedido!E1464</f>
        <v/>
      </c>
      <c r="F1464" s="21">
        <f>IFERROR(INDEX(Pedidos!$B$2:$B$1801,MATCH(B1464,Pedidos!$A$2:$A$1801,0)),0)</f>
        <v/>
      </c>
      <c r="G1464" s="21">
        <f>IF(F1464=0,"",YEAR(F1464))</f>
        <v/>
      </c>
      <c r="H1464" s="21">
        <f>IF(F1464=0,"",MONTH(F1464))</f>
        <v/>
      </c>
      <c r="I1464" s="21">
        <f>IFERROR(INDEX(Pedidos!$E$2:$E$1801,MATCH(B1464,Pedidos!$A$2:$A$1801,0)),"")</f>
        <v/>
      </c>
      <c r="J1464" s="21">
        <f>IFERROR(INDEX(Pedidos!$C$2:$C$1801,MATCH(B1464,Pedidos!$A$2:$A$1801,0)),"")</f>
        <v/>
      </c>
      <c r="K1464" s="21">
        <f>IFERROR(INDEX(Pedidos!$D$2:$D$1801,MATCH(B1464,Pedidos!$A$2:$A$1801,0)),"")</f>
        <v/>
      </c>
      <c r="L1464" s="21">
        <f>IFERROR(INDEX(Pedidos!$F$2:$F$1801,MATCH(B1464,Pedidos!$A$2:$A$1801,0)),"")</f>
        <v/>
      </c>
      <c r="M1464" s="22">
        <f>IFERROR(INDEX(Pedidos!$G$2:$G$1801,MATCH(B1464,Pedidos!$A$2:$A$1801,0)),0)</f>
        <v/>
      </c>
      <c r="N1464" s="21">
        <f>IFERROR(INDEX(Produtos!$B$2:$B$71,MATCH(C1464,Produtos!$A$2:$A$71,0)),"")</f>
        <v/>
      </c>
      <c r="O1464" s="21">
        <f>IFERROR(INDEX(Produtos!$C$2:$C$71,MATCH(C1464,Produtos!$A$2:$A$71,0)),"")</f>
        <v/>
      </c>
      <c r="P1464" s="21">
        <f>IFERROR(INDEX(Produtos!$D$2:$D$71,MATCH(C1464,Produtos!$A$2:$A$71,0)),0)</f>
        <v/>
      </c>
      <c r="Q1464" s="21">
        <f>IFERROR(INDEX(Produtos!$E$2:$E$71,MATCH(C1464,Produtos!$A$2:$A$71,0)),0)</f>
        <v/>
      </c>
      <c r="R1464" s="23">
        <f>D1464*Q1464</f>
        <v/>
      </c>
      <c r="S1464" s="23">
        <f>R1464*E1464</f>
        <v/>
      </c>
      <c r="T1464" s="23">
        <f>(R1464-S1464)*M1464</f>
        <v/>
      </c>
      <c r="U1464" s="23">
        <f>R1464-S1464-T1464</f>
        <v/>
      </c>
      <c r="V1464" s="23">
        <f>D1464*P1464</f>
        <v/>
      </c>
      <c r="W1464" s="23">
        <f>U1464-V1464</f>
        <v/>
      </c>
      <c r="X1464" s="24">
        <f>IFERROR(W1464/U1464,0)</f>
        <v/>
      </c>
    </row>
    <row r="1465">
      <c r="A1465" s="25">
        <f>ItensPedido!A1465</f>
        <v/>
      </c>
      <c r="B1465" s="25">
        <f>ItensPedido!B1465</f>
        <v/>
      </c>
      <c r="C1465" s="25">
        <f>ItensPedido!C1465</f>
        <v/>
      </c>
      <c r="D1465" s="25">
        <f>ItensPedido!D1465</f>
        <v/>
      </c>
      <c r="E1465" s="26">
        <f>ItensPedido!E1465</f>
        <v/>
      </c>
      <c r="F1465" s="25">
        <f>IFERROR(INDEX(Pedidos!$B$2:$B$1801,MATCH(B1465,Pedidos!$A$2:$A$1801,0)),0)</f>
        <v/>
      </c>
      <c r="G1465" s="25">
        <f>IF(F1465=0,"",YEAR(F1465))</f>
        <v/>
      </c>
      <c r="H1465" s="25">
        <f>IF(F1465=0,"",MONTH(F1465))</f>
        <v/>
      </c>
      <c r="I1465" s="25">
        <f>IFERROR(INDEX(Pedidos!$E$2:$E$1801,MATCH(B1465,Pedidos!$A$2:$A$1801,0)),"")</f>
        <v/>
      </c>
      <c r="J1465" s="25">
        <f>IFERROR(INDEX(Pedidos!$C$2:$C$1801,MATCH(B1465,Pedidos!$A$2:$A$1801,0)),"")</f>
        <v/>
      </c>
      <c r="K1465" s="25">
        <f>IFERROR(INDEX(Pedidos!$D$2:$D$1801,MATCH(B1465,Pedidos!$A$2:$A$1801,0)),"")</f>
        <v/>
      </c>
      <c r="L1465" s="25">
        <f>IFERROR(INDEX(Pedidos!$F$2:$F$1801,MATCH(B1465,Pedidos!$A$2:$A$1801,0)),"")</f>
        <v/>
      </c>
      <c r="M1465" s="26">
        <f>IFERROR(INDEX(Pedidos!$G$2:$G$1801,MATCH(B1465,Pedidos!$A$2:$A$1801,0)),0)</f>
        <v/>
      </c>
      <c r="N1465" s="25">
        <f>IFERROR(INDEX(Produtos!$B$2:$B$71,MATCH(C1465,Produtos!$A$2:$A$71,0)),"")</f>
        <v/>
      </c>
      <c r="O1465" s="25">
        <f>IFERROR(INDEX(Produtos!$C$2:$C$71,MATCH(C1465,Produtos!$A$2:$A$71,0)),"")</f>
        <v/>
      </c>
      <c r="P1465" s="25">
        <f>IFERROR(INDEX(Produtos!$D$2:$D$71,MATCH(C1465,Produtos!$A$2:$A$71,0)),0)</f>
        <v/>
      </c>
      <c r="Q1465" s="25">
        <f>IFERROR(INDEX(Produtos!$E$2:$E$71,MATCH(C1465,Produtos!$A$2:$A$71,0)),0)</f>
        <v/>
      </c>
      <c r="R1465" s="27">
        <f>D1465*Q1465</f>
        <v/>
      </c>
      <c r="S1465" s="27">
        <f>R1465*E1465</f>
        <v/>
      </c>
      <c r="T1465" s="27">
        <f>(R1465-S1465)*M1465</f>
        <v/>
      </c>
      <c r="U1465" s="27">
        <f>R1465-S1465-T1465</f>
        <v/>
      </c>
      <c r="V1465" s="27">
        <f>D1465*P1465</f>
        <v/>
      </c>
      <c r="W1465" s="27">
        <f>U1465-V1465</f>
        <v/>
      </c>
      <c r="X1465" s="28">
        <f>IFERROR(W1465/U1465,0)</f>
        <v/>
      </c>
    </row>
    <row r="1466">
      <c r="A1466" s="21">
        <f>ItensPedido!A1466</f>
        <v/>
      </c>
      <c r="B1466" s="21">
        <f>ItensPedido!B1466</f>
        <v/>
      </c>
      <c r="C1466" s="21">
        <f>ItensPedido!C1466</f>
        <v/>
      </c>
      <c r="D1466" s="21">
        <f>ItensPedido!D1466</f>
        <v/>
      </c>
      <c r="E1466" s="22">
        <f>ItensPedido!E1466</f>
        <v/>
      </c>
      <c r="F1466" s="21">
        <f>IFERROR(INDEX(Pedidos!$B$2:$B$1801,MATCH(B1466,Pedidos!$A$2:$A$1801,0)),0)</f>
        <v/>
      </c>
      <c r="G1466" s="21">
        <f>IF(F1466=0,"",YEAR(F1466))</f>
        <v/>
      </c>
      <c r="H1466" s="21">
        <f>IF(F1466=0,"",MONTH(F1466))</f>
        <v/>
      </c>
      <c r="I1466" s="21">
        <f>IFERROR(INDEX(Pedidos!$E$2:$E$1801,MATCH(B1466,Pedidos!$A$2:$A$1801,0)),"")</f>
        <v/>
      </c>
      <c r="J1466" s="21">
        <f>IFERROR(INDEX(Pedidos!$C$2:$C$1801,MATCH(B1466,Pedidos!$A$2:$A$1801,0)),"")</f>
        <v/>
      </c>
      <c r="K1466" s="21">
        <f>IFERROR(INDEX(Pedidos!$D$2:$D$1801,MATCH(B1466,Pedidos!$A$2:$A$1801,0)),"")</f>
        <v/>
      </c>
      <c r="L1466" s="21">
        <f>IFERROR(INDEX(Pedidos!$F$2:$F$1801,MATCH(B1466,Pedidos!$A$2:$A$1801,0)),"")</f>
        <v/>
      </c>
      <c r="M1466" s="22">
        <f>IFERROR(INDEX(Pedidos!$G$2:$G$1801,MATCH(B1466,Pedidos!$A$2:$A$1801,0)),0)</f>
        <v/>
      </c>
      <c r="N1466" s="21">
        <f>IFERROR(INDEX(Produtos!$B$2:$B$71,MATCH(C1466,Produtos!$A$2:$A$71,0)),"")</f>
        <v/>
      </c>
      <c r="O1466" s="21">
        <f>IFERROR(INDEX(Produtos!$C$2:$C$71,MATCH(C1466,Produtos!$A$2:$A$71,0)),"")</f>
        <v/>
      </c>
      <c r="P1466" s="21">
        <f>IFERROR(INDEX(Produtos!$D$2:$D$71,MATCH(C1466,Produtos!$A$2:$A$71,0)),0)</f>
        <v/>
      </c>
      <c r="Q1466" s="21">
        <f>IFERROR(INDEX(Produtos!$E$2:$E$71,MATCH(C1466,Produtos!$A$2:$A$71,0)),0)</f>
        <v/>
      </c>
      <c r="R1466" s="23">
        <f>D1466*Q1466</f>
        <v/>
      </c>
      <c r="S1466" s="23">
        <f>R1466*E1466</f>
        <v/>
      </c>
      <c r="T1466" s="23">
        <f>(R1466-S1466)*M1466</f>
        <v/>
      </c>
      <c r="U1466" s="23">
        <f>R1466-S1466-T1466</f>
        <v/>
      </c>
      <c r="V1466" s="23">
        <f>D1466*P1466</f>
        <v/>
      </c>
      <c r="W1466" s="23">
        <f>U1466-V1466</f>
        <v/>
      </c>
      <c r="X1466" s="24">
        <f>IFERROR(W1466/U1466,0)</f>
        <v/>
      </c>
    </row>
    <row r="1467">
      <c r="A1467" s="25">
        <f>ItensPedido!A1467</f>
        <v/>
      </c>
      <c r="B1467" s="25">
        <f>ItensPedido!B1467</f>
        <v/>
      </c>
      <c r="C1467" s="25">
        <f>ItensPedido!C1467</f>
        <v/>
      </c>
      <c r="D1467" s="25">
        <f>ItensPedido!D1467</f>
        <v/>
      </c>
      <c r="E1467" s="26">
        <f>ItensPedido!E1467</f>
        <v/>
      </c>
      <c r="F1467" s="25">
        <f>IFERROR(INDEX(Pedidos!$B$2:$B$1801,MATCH(B1467,Pedidos!$A$2:$A$1801,0)),0)</f>
        <v/>
      </c>
      <c r="G1467" s="25">
        <f>IF(F1467=0,"",YEAR(F1467))</f>
        <v/>
      </c>
      <c r="H1467" s="25">
        <f>IF(F1467=0,"",MONTH(F1467))</f>
        <v/>
      </c>
      <c r="I1467" s="25">
        <f>IFERROR(INDEX(Pedidos!$E$2:$E$1801,MATCH(B1467,Pedidos!$A$2:$A$1801,0)),"")</f>
        <v/>
      </c>
      <c r="J1467" s="25">
        <f>IFERROR(INDEX(Pedidos!$C$2:$C$1801,MATCH(B1467,Pedidos!$A$2:$A$1801,0)),"")</f>
        <v/>
      </c>
      <c r="K1467" s="25">
        <f>IFERROR(INDEX(Pedidos!$D$2:$D$1801,MATCH(B1467,Pedidos!$A$2:$A$1801,0)),"")</f>
        <v/>
      </c>
      <c r="L1467" s="25">
        <f>IFERROR(INDEX(Pedidos!$F$2:$F$1801,MATCH(B1467,Pedidos!$A$2:$A$1801,0)),"")</f>
        <v/>
      </c>
      <c r="M1467" s="26">
        <f>IFERROR(INDEX(Pedidos!$G$2:$G$1801,MATCH(B1467,Pedidos!$A$2:$A$1801,0)),0)</f>
        <v/>
      </c>
      <c r="N1467" s="25">
        <f>IFERROR(INDEX(Produtos!$B$2:$B$71,MATCH(C1467,Produtos!$A$2:$A$71,0)),"")</f>
        <v/>
      </c>
      <c r="O1467" s="25">
        <f>IFERROR(INDEX(Produtos!$C$2:$C$71,MATCH(C1467,Produtos!$A$2:$A$71,0)),"")</f>
        <v/>
      </c>
      <c r="P1467" s="25">
        <f>IFERROR(INDEX(Produtos!$D$2:$D$71,MATCH(C1467,Produtos!$A$2:$A$71,0)),0)</f>
        <v/>
      </c>
      <c r="Q1467" s="25">
        <f>IFERROR(INDEX(Produtos!$E$2:$E$71,MATCH(C1467,Produtos!$A$2:$A$71,0)),0)</f>
        <v/>
      </c>
      <c r="R1467" s="27">
        <f>D1467*Q1467</f>
        <v/>
      </c>
      <c r="S1467" s="27">
        <f>R1467*E1467</f>
        <v/>
      </c>
      <c r="T1467" s="27">
        <f>(R1467-S1467)*M1467</f>
        <v/>
      </c>
      <c r="U1467" s="27">
        <f>R1467-S1467-T1467</f>
        <v/>
      </c>
      <c r="V1467" s="27">
        <f>D1467*P1467</f>
        <v/>
      </c>
      <c r="W1467" s="27">
        <f>U1467-V1467</f>
        <v/>
      </c>
      <c r="X1467" s="28">
        <f>IFERROR(W1467/U1467,0)</f>
        <v/>
      </c>
    </row>
    <row r="1468">
      <c r="A1468" s="21">
        <f>ItensPedido!A1468</f>
        <v/>
      </c>
      <c r="B1468" s="21">
        <f>ItensPedido!B1468</f>
        <v/>
      </c>
      <c r="C1468" s="21">
        <f>ItensPedido!C1468</f>
        <v/>
      </c>
      <c r="D1468" s="21">
        <f>ItensPedido!D1468</f>
        <v/>
      </c>
      <c r="E1468" s="22">
        <f>ItensPedido!E1468</f>
        <v/>
      </c>
      <c r="F1468" s="21">
        <f>IFERROR(INDEX(Pedidos!$B$2:$B$1801,MATCH(B1468,Pedidos!$A$2:$A$1801,0)),0)</f>
        <v/>
      </c>
      <c r="G1468" s="21">
        <f>IF(F1468=0,"",YEAR(F1468))</f>
        <v/>
      </c>
      <c r="H1468" s="21">
        <f>IF(F1468=0,"",MONTH(F1468))</f>
        <v/>
      </c>
      <c r="I1468" s="21">
        <f>IFERROR(INDEX(Pedidos!$E$2:$E$1801,MATCH(B1468,Pedidos!$A$2:$A$1801,0)),"")</f>
        <v/>
      </c>
      <c r="J1468" s="21">
        <f>IFERROR(INDEX(Pedidos!$C$2:$C$1801,MATCH(B1468,Pedidos!$A$2:$A$1801,0)),"")</f>
        <v/>
      </c>
      <c r="K1468" s="21">
        <f>IFERROR(INDEX(Pedidos!$D$2:$D$1801,MATCH(B1468,Pedidos!$A$2:$A$1801,0)),"")</f>
        <v/>
      </c>
      <c r="L1468" s="21">
        <f>IFERROR(INDEX(Pedidos!$F$2:$F$1801,MATCH(B1468,Pedidos!$A$2:$A$1801,0)),"")</f>
        <v/>
      </c>
      <c r="M1468" s="22">
        <f>IFERROR(INDEX(Pedidos!$G$2:$G$1801,MATCH(B1468,Pedidos!$A$2:$A$1801,0)),0)</f>
        <v/>
      </c>
      <c r="N1468" s="21">
        <f>IFERROR(INDEX(Produtos!$B$2:$B$71,MATCH(C1468,Produtos!$A$2:$A$71,0)),"")</f>
        <v/>
      </c>
      <c r="O1468" s="21">
        <f>IFERROR(INDEX(Produtos!$C$2:$C$71,MATCH(C1468,Produtos!$A$2:$A$71,0)),"")</f>
        <v/>
      </c>
      <c r="P1468" s="21">
        <f>IFERROR(INDEX(Produtos!$D$2:$D$71,MATCH(C1468,Produtos!$A$2:$A$71,0)),0)</f>
        <v/>
      </c>
      <c r="Q1468" s="21">
        <f>IFERROR(INDEX(Produtos!$E$2:$E$71,MATCH(C1468,Produtos!$A$2:$A$71,0)),0)</f>
        <v/>
      </c>
      <c r="R1468" s="23">
        <f>D1468*Q1468</f>
        <v/>
      </c>
      <c r="S1468" s="23">
        <f>R1468*E1468</f>
        <v/>
      </c>
      <c r="T1468" s="23">
        <f>(R1468-S1468)*M1468</f>
        <v/>
      </c>
      <c r="U1468" s="23">
        <f>R1468-S1468-T1468</f>
        <v/>
      </c>
      <c r="V1468" s="23">
        <f>D1468*P1468</f>
        <v/>
      </c>
      <c r="W1468" s="23">
        <f>U1468-V1468</f>
        <v/>
      </c>
      <c r="X1468" s="24">
        <f>IFERROR(W1468/U1468,0)</f>
        <v/>
      </c>
    </row>
    <row r="1469">
      <c r="A1469" s="25">
        <f>ItensPedido!A1469</f>
        <v/>
      </c>
      <c r="B1469" s="25">
        <f>ItensPedido!B1469</f>
        <v/>
      </c>
      <c r="C1469" s="25">
        <f>ItensPedido!C1469</f>
        <v/>
      </c>
      <c r="D1469" s="25">
        <f>ItensPedido!D1469</f>
        <v/>
      </c>
      <c r="E1469" s="26">
        <f>ItensPedido!E1469</f>
        <v/>
      </c>
      <c r="F1469" s="25">
        <f>IFERROR(INDEX(Pedidos!$B$2:$B$1801,MATCH(B1469,Pedidos!$A$2:$A$1801,0)),0)</f>
        <v/>
      </c>
      <c r="G1469" s="25">
        <f>IF(F1469=0,"",YEAR(F1469))</f>
        <v/>
      </c>
      <c r="H1469" s="25">
        <f>IF(F1469=0,"",MONTH(F1469))</f>
        <v/>
      </c>
      <c r="I1469" s="25">
        <f>IFERROR(INDEX(Pedidos!$E$2:$E$1801,MATCH(B1469,Pedidos!$A$2:$A$1801,0)),"")</f>
        <v/>
      </c>
      <c r="J1469" s="25">
        <f>IFERROR(INDEX(Pedidos!$C$2:$C$1801,MATCH(B1469,Pedidos!$A$2:$A$1801,0)),"")</f>
        <v/>
      </c>
      <c r="K1469" s="25">
        <f>IFERROR(INDEX(Pedidos!$D$2:$D$1801,MATCH(B1469,Pedidos!$A$2:$A$1801,0)),"")</f>
        <v/>
      </c>
      <c r="L1469" s="25">
        <f>IFERROR(INDEX(Pedidos!$F$2:$F$1801,MATCH(B1469,Pedidos!$A$2:$A$1801,0)),"")</f>
        <v/>
      </c>
      <c r="M1469" s="26">
        <f>IFERROR(INDEX(Pedidos!$G$2:$G$1801,MATCH(B1469,Pedidos!$A$2:$A$1801,0)),0)</f>
        <v/>
      </c>
      <c r="N1469" s="25">
        <f>IFERROR(INDEX(Produtos!$B$2:$B$71,MATCH(C1469,Produtos!$A$2:$A$71,0)),"")</f>
        <v/>
      </c>
      <c r="O1469" s="25">
        <f>IFERROR(INDEX(Produtos!$C$2:$C$71,MATCH(C1469,Produtos!$A$2:$A$71,0)),"")</f>
        <v/>
      </c>
      <c r="P1469" s="25">
        <f>IFERROR(INDEX(Produtos!$D$2:$D$71,MATCH(C1469,Produtos!$A$2:$A$71,0)),0)</f>
        <v/>
      </c>
      <c r="Q1469" s="25">
        <f>IFERROR(INDEX(Produtos!$E$2:$E$71,MATCH(C1469,Produtos!$A$2:$A$71,0)),0)</f>
        <v/>
      </c>
      <c r="R1469" s="27">
        <f>D1469*Q1469</f>
        <v/>
      </c>
      <c r="S1469" s="27">
        <f>R1469*E1469</f>
        <v/>
      </c>
      <c r="T1469" s="27">
        <f>(R1469-S1469)*M1469</f>
        <v/>
      </c>
      <c r="U1469" s="27">
        <f>R1469-S1469-T1469</f>
        <v/>
      </c>
      <c r="V1469" s="27">
        <f>D1469*P1469</f>
        <v/>
      </c>
      <c r="W1469" s="27">
        <f>U1469-V1469</f>
        <v/>
      </c>
      <c r="X1469" s="28">
        <f>IFERROR(W1469/U1469,0)</f>
        <v/>
      </c>
    </row>
    <row r="1470">
      <c r="A1470" s="21">
        <f>ItensPedido!A1470</f>
        <v/>
      </c>
      <c r="B1470" s="21">
        <f>ItensPedido!B1470</f>
        <v/>
      </c>
      <c r="C1470" s="21">
        <f>ItensPedido!C1470</f>
        <v/>
      </c>
      <c r="D1470" s="21">
        <f>ItensPedido!D1470</f>
        <v/>
      </c>
      <c r="E1470" s="22">
        <f>ItensPedido!E1470</f>
        <v/>
      </c>
      <c r="F1470" s="21">
        <f>IFERROR(INDEX(Pedidos!$B$2:$B$1801,MATCH(B1470,Pedidos!$A$2:$A$1801,0)),0)</f>
        <v/>
      </c>
      <c r="G1470" s="21">
        <f>IF(F1470=0,"",YEAR(F1470))</f>
        <v/>
      </c>
      <c r="H1470" s="21">
        <f>IF(F1470=0,"",MONTH(F1470))</f>
        <v/>
      </c>
      <c r="I1470" s="21">
        <f>IFERROR(INDEX(Pedidos!$E$2:$E$1801,MATCH(B1470,Pedidos!$A$2:$A$1801,0)),"")</f>
        <v/>
      </c>
      <c r="J1470" s="21">
        <f>IFERROR(INDEX(Pedidos!$C$2:$C$1801,MATCH(B1470,Pedidos!$A$2:$A$1801,0)),"")</f>
        <v/>
      </c>
      <c r="K1470" s="21">
        <f>IFERROR(INDEX(Pedidos!$D$2:$D$1801,MATCH(B1470,Pedidos!$A$2:$A$1801,0)),"")</f>
        <v/>
      </c>
      <c r="L1470" s="21">
        <f>IFERROR(INDEX(Pedidos!$F$2:$F$1801,MATCH(B1470,Pedidos!$A$2:$A$1801,0)),"")</f>
        <v/>
      </c>
      <c r="M1470" s="22">
        <f>IFERROR(INDEX(Pedidos!$G$2:$G$1801,MATCH(B1470,Pedidos!$A$2:$A$1801,0)),0)</f>
        <v/>
      </c>
      <c r="N1470" s="21">
        <f>IFERROR(INDEX(Produtos!$B$2:$B$71,MATCH(C1470,Produtos!$A$2:$A$71,0)),"")</f>
        <v/>
      </c>
      <c r="O1470" s="21">
        <f>IFERROR(INDEX(Produtos!$C$2:$C$71,MATCH(C1470,Produtos!$A$2:$A$71,0)),"")</f>
        <v/>
      </c>
      <c r="P1470" s="21">
        <f>IFERROR(INDEX(Produtos!$D$2:$D$71,MATCH(C1470,Produtos!$A$2:$A$71,0)),0)</f>
        <v/>
      </c>
      <c r="Q1470" s="21">
        <f>IFERROR(INDEX(Produtos!$E$2:$E$71,MATCH(C1470,Produtos!$A$2:$A$71,0)),0)</f>
        <v/>
      </c>
      <c r="R1470" s="23">
        <f>D1470*Q1470</f>
        <v/>
      </c>
      <c r="S1470" s="23">
        <f>R1470*E1470</f>
        <v/>
      </c>
      <c r="T1470" s="23">
        <f>(R1470-S1470)*M1470</f>
        <v/>
      </c>
      <c r="U1470" s="23">
        <f>R1470-S1470-T1470</f>
        <v/>
      </c>
      <c r="V1470" s="23">
        <f>D1470*P1470</f>
        <v/>
      </c>
      <c r="W1470" s="23">
        <f>U1470-V1470</f>
        <v/>
      </c>
      <c r="X1470" s="24">
        <f>IFERROR(W1470/U1470,0)</f>
        <v/>
      </c>
    </row>
    <row r="1471">
      <c r="A1471" s="25">
        <f>ItensPedido!A1471</f>
        <v/>
      </c>
      <c r="B1471" s="25">
        <f>ItensPedido!B1471</f>
        <v/>
      </c>
      <c r="C1471" s="25">
        <f>ItensPedido!C1471</f>
        <v/>
      </c>
      <c r="D1471" s="25">
        <f>ItensPedido!D1471</f>
        <v/>
      </c>
      <c r="E1471" s="26">
        <f>ItensPedido!E1471</f>
        <v/>
      </c>
      <c r="F1471" s="25">
        <f>IFERROR(INDEX(Pedidos!$B$2:$B$1801,MATCH(B1471,Pedidos!$A$2:$A$1801,0)),0)</f>
        <v/>
      </c>
      <c r="G1471" s="25">
        <f>IF(F1471=0,"",YEAR(F1471))</f>
        <v/>
      </c>
      <c r="H1471" s="25">
        <f>IF(F1471=0,"",MONTH(F1471))</f>
        <v/>
      </c>
      <c r="I1471" s="25">
        <f>IFERROR(INDEX(Pedidos!$E$2:$E$1801,MATCH(B1471,Pedidos!$A$2:$A$1801,0)),"")</f>
        <v/>
      </c>
      <c r="J1471" s="25">
        <f>IFERROR(INDEX(Pedidos!$C$2:$C$1801,MATCH(B1471,Pedidos!$A$2:$A$1801,0)),"")</f>
        <v/>
      </c>
      <c r="K1471" s="25">
        <f>IFERROR(INDEX(Pedidos!$D$2:$D$1801,MATCH(B1471,Pedidos!$A$2:$A$1801,0)),"")</f>
        <v/>
      </c>
      <c r="L1471" s="25">
        <f>IFERROR(INDEX(Pedidos!$F$2:$F$1801,MATCH(B1471,Pedidos!$A$2:$A$1801,0)),"")</f>
        <v/>
      </c>
      <c r="M1471" s="26">
        <f>IFERROR(INDEX(Pedidos!$G$2:$G$1801,MATCH(B1471,Pedidos!$A$2:$A$1801,0)),0)</f>
        <v/>
      </c>
      <c r="N1471" s="25">
        <f>IFERROR(INDEX(Produtos!$B$2:$B$71,MATCH(C1471,Produtos!$A$2:$A$71,0)),"")</f>
        <v/>
      </c>
      <c r="O1471" s="25">
        <f>IFERROR(INDEX(Produtos!$C$2:$C$71,MATCH(C1471,Produtos!$A$2:$A$71,0)),"")</f>
        <v/>
      </c>
      <c r="P1471" s="25">
        <f>IFERROR(INDEX(Produtos!$D$2:$D$71,MATCH(C1471,Produtos!$A$2:$A$71,0)),0)</f>
        <v/>
      </c>
      <c r="Q1471" s="25">
        <f>IFERROR(INDEX(Produtos!$E$2:$E$71,MATCH(C1471,Produtos!$A$2:$A$71,0)),0)</f>
        <v/>
      </c>
      <c r="R1471" s="27">
        <f>D1471*Q1471</f>
        <v/>
      </c>
      <c r="S1471" s="27">
        <f>R1471*E1471</f>
        <v/>
      </c>
      <c r="T1471" s="27">
        <f>(R1471-S1471)*M1471</f>
        <v/>
      </c>
      <c r="U1471" s="27">
        <f>R1471-S1471-T1471</f>
        <v/>
      </c>
      <c r="V1471" s="27">
        <f>D1471*P1471</f>
        <v/>
      </c>
      <c r="W1471" s="27">
        <f>U1471-V1471</f>
        <v/>
      </c>
      <c r="X1471" s="28">
        <f>IFERROR(W1471/U1471,0)</f>
        <v/>
      </c>
    </row>
    <row r="1472">
      <c r="A1472" s="21">
        <f>ItensPedido!A1472</f>
        <v/>
      </c>
      <c r="B1472" s="21">
        <f>ItensPedido!B1472</f>
        <v/>
      </c>
      <c r="C1472" s="21">
        <f>ItensPedido!C1472</f>
        <v/>
      </c>
      <c r="D1472" s="21">
        <f>ItensPedido!D1472</f>
        <v/>
      </c>
      <c r="E1472" s="22">
        <f>ItensPedido!E1472</f>
        <v/>
      </c>
      <c r="F1472" s="21">
        <f>IFERROR(INDEX(Pedidos!$B$2:$B$1801,MATCH(B1472,Pedidos!$A$2:$A$1801,0)),0)</f>
        <v/>
      </c>
      <c r="G1472" s="21">
        <f>IF(F1472=0,"",YEAR(F1472))</f>
        <v/>
      </c>
      <c r="H1472" s="21">
        <f>IF(F1472=0,"",MONTH(F1472))</f>
        <v/>
      </c>
      <c r="I1472" s="21">
        <f>IFERROR(INDEX(Pedidos!$E$2:$E$1801,MATCH(B1472,Pedidos!$A$2:$A$1801,0)),"")</f>
        <v/>
      </c>
      <c r="J1472" s="21">
        <f>IFERROR(INDEX(Pedidos!$C$2:$C$1801,MATCH(B1472,Pedidos!$A$2:$A$1801,0)),"")</f>
        <v/>
      </c>
      <c r="K1472" s="21">
        <f>IFERROR(INDEX(Pedidos!$D$2:$D$1801,MATCH(B1472,Pedidos!$A$2:$A$1801,0)),"")</f>
        <v/>
      </c>
      <c r="L1472" s="21">
        <f>IFERROR(INDEX(Pedidos!$F$2:$F$1801,MATCH(B1472,Pedidos!$A$2:$A$1801,0)),"")</f>
        <v/>
      </c>
      <c r="M1472" s="22">
        <f>IFERROR(INDEX(Pedidos!$G$2:$G$1801,MATCH(B1472,Pedidos!$A$2:$A$1801,0)),0)</f>
        <v/>
      </c>
      <c r="N1472" s="21">
        <f>IFERROR(INDEX(Produtos!$B$2:$B$71,MATCH(C1472,Produtos!$A$2:$A$71,0)),"")</f>
        <v/>
      </c>
      <c r="O1472" s="21">
        <f>IFERROR(INDEX(Produtos!$C$2:$C$71,MATCH(C1472,Produtos!$A$2:$A$71,0)),"")</f>
        <v/>
      </c>
      <c r="P1472" s="21">
        <f>IFERROR(INDEX(Produtos!$D$2:$D$71,MATCH(C1472,Produtos!$A$2:$A$71,0)),0)</f>
        <v/>
      </c>
      <c r="Q1472" s="21">
        <f>IFERROR(INDEX(Produtos!$E$2:$E$71,MATCH(C1472,Produtos!$A$2:$A$71,0)),0)</f>
        <v/>
      </c>
      <c r="R1472" s="23">
        <f>D1472*Q1472</f>
        <v/>
      </c>
      <c r="S1472" s="23">
        <f>R1472*E1472</f>
        <v/>
      </c>
      <c r="T1472" s="23">
        <f>(R1472-S1472)*M1472</f>
        <v/>
      </c>
      <c r="U1472" s="23">
        <f>R1472-S1472-T1472</f>
        <v/>
      </c>
      <c r="V1472" s="23">
        <f>D1472*P1472</f>
        <v/>
      </c>
      <c r="W1472" s="23">
        <f>U1472-V1472</f>
        <v/>
      </c>
      <c r="X1472" s="24">
        <f>IFERROR(W1472/U1472,0)</f>
        <v/>
      </c>
    </row>
    <row r="1473">
      <c r="A1473" s="25">
        <f>ItensPedido!A1473</f>
        <v/>
      </c>
      <c r="B1473" s="25">
        <f>ItensPedido!B1473</f>
        <v/>
      </c>
      <c r="C1473" s="25">
        <f>ItensPedido!C1473</f>
        <v/>
      </c>
      <c r="D1473" s="25">
        <f>ItensPedido!D1473</f>
        <v/>
      </c>
      <c r="E1473" s="26">
        <f>ItensPedido!E1473</f>
        <v/>
      </c>
      <c r="F1473" s="25">
        <f>IFERROR(INDEX(Pedidos!$B$2:$B$1801,MATCH(B1473,Pedidos!$A$2:$A$1801,0)),0)</f>
        <v/>
      </c>
      <c r="G1473" s="25">
        <f>IF(F1473=0,"",YEAR(F1473))</f>
        <v/>
      </c>
      <c r="H1473" s="25">
        <f>IF(F1473=0,"",MONTH(F1473))</f>
        <v/>
      </c>
      <c r="I1473" s="25">
        <f>IFERROR(INDEX(Pedidos!$E$2:$E$1801,MATCH(B1473,Pedidos!$A$2:$A$1801,0)),"")</f>
        <v/>
      </c>
      <c r="J1473" s="25">
        <f>IFERROR(INDEX(Pedidos!$C$2:$C$1801,MATCH(B1473,Pedidos!$A$2:$A$1801,0)),"")</f>
        <v/>
      </c>
      <c r="K1473" s="25">
        <f>IFERROR(INDEX(Pedidos!$D$2:$D$1801,MATCH(B1473,Pedidos!$A$2:$A$1801,0)),"")</f>
        <v/>
      </c>
      <c r="L1473" s="25">
        <f>IFERROR(INDEX(Pedidos!$F$2:$F$1801,MATCH(B1473,Pedidos!$A$2:$A$1801,0)),"")</f>
        <v/>
      </c>
      <c r="M1473" s="26">
        <f>IFERROR(INDEX(Pedidos!$G$2:$G$1801,MATCH(B1473,Pedidos!$A$2:$A$1801,0)),0)</f>
        <v/>
      </c>
      <c r="N1473" s="25">
        <f>IFERROR(INDEX(Produtos!$B$2:$B$71,MATCH(C1473,Produtos!$A$2:$A$71,0)),"")</f>
        <v/>
      </c>
      <c r="O1473" s="25">
        <f>IFERROR(INDEX(Produtos!$C$2:$C$71,MATCH(C1473,Produtos!$A$2:$A$71,0)),"")</f>
        <v/>
      </c>
      <c r="P1473" s="25">
        <f>IFERROR(INDEX(Produtos!$D$2:$D$71,MATCH(C1473,Produtos!$A$2:$A$71,0)),0)</f>
        <v/>
      </c>
      <c r="Q1473" s="25">
        <f>IFERROR(INDEX(Produtos!$E$2:$E$71,MATCH(C1473,Produtos!$A$2:$A$71,0)),0)</f>
        <v/>
      </c>
      <c r="R1473" s="27">
        <f>D1473*Q1473</f>
        <v/>
      </c>
      <c r="S1473" s="27">
        <f>R1473*E1473</f>
        <v/>
      </c>
      <c r="T1473" s="27">
        <f>(R1473-S1473)*M1473</f>
        <v/>
      </c>
      <c r="U1473" s="27">
        <f>R1473-S1473-T1473</f>
        <v/>
      </c>
      <c r="V1473" s="27">
        <f>D1473*P1473</f>
        <v/>
      </c>
      <c r="W1473" s="27">
        <f>U1473-V1473</f>
        <v/>
      </c>
      <c r="X1473" s="28">
        <f>IFERROR(W1473/U1473,0)</f>
        <v/>
      </c>
    </row>
    <row r="1474">
      <c r="A1474" s="21">
        <f>ItensPedido!A1474</f>
        <v/>
      </c>
      <c r="B1474" s="21">
        <f>ItensPedido!B1474</f>
        <v/>
      </c>
      <c r="C1474" s="21">
        <f>ItensPedido!C1474</f>
        <v/>
      </c>
      <c r="D1474" s="21">
        <f>ItensPedido!D1474</f>
        <v/>
      </c>
      <c r="E1474" s="22">
        <f>ItensPedido!E1474</f>
        <v/>
      </c>
      <c r="F1474" s="21">
        <f>IFERROR(INDEX(Pedidos!$B$2:$B$1801,MATCH(B1474,Pedidos!$A$2:$A$1801,0)),0)</f>
        <v/>
      </c>
      <c r="G1474" s="21">
        <f>IF(F1474=0,"",YEAR(F1474))</f>
        <v/>
      </c>
      <c r="H1474" s="21">
        <f>IF(F1474=0,"",MONTH(F1474))</f>
        <v/>
      </c>
      <c r="I1474" s="21">
        <f>IFERROR(INDEX(Pedidos!$E$2:$E$1801,MATCH(B1474,Pedidos!$A$2:$A$1801,0)),"")</f>
        <v/>
      </c>
      <c r="J1474" s="21">
        <f>IFERROR(INDEX(Pedidos!$C$2:$C$1801,MATCH(B1474,Pedidos!$A$2:$A$1801,0)),"")</f>
        <v/>
      </c>
      <c r="K1474" s="21">
        <f>IFERROR(INDEX(Pedidos!$D$2:$D$1801,MATCH(B1474,Pedidos!$A$2:$A$1801,0)),"")</f>
        <v/>
      </c>
      <c r="L1474" s="21">
        <f>IFERROR(INDEX(Pedidos!$F$2:$F$1801,MATCH(B1474,Pedidos!$A$2:$A$1801,0)),"")</f>
        <v/>
      </c>
      <c r="M1474" s="22">
        <f>IFERROR(INDEX(Pedidos!$G$2:$G$1801,MATCH(B1474,Pedidos!$A$2:$A$1801,0)),0)</f>
        <v/>
      </c>
      <c r="N1474" s="21">
        <f>IFERROR(INDEX(Produtos!$B$2:$B$71,MATCH(C1474,Produtos!$A$2:$A$71,0)),"")</f>
        <v/>
      </c>
      <c r="O1474" s="21">
        <f>IFERROR(INDEX(Produtos!$C$2:$C$71,MATCH(C1474,Produtos!$A$2:$A$71,0)),"")</f>
        <v/>
      </c>
      <c r="P1474" s="21">
        <f>IFERROR(INDEX(Produtos!$D$2:$D$71,MATCH(C1474,Produtos!$A$2:$A$71,0)),0)</f>
        <v/>
      </c>
      <c r="Q1474" s="21">
        <f>IFERROR(INDEX(Produtos!$E$2:$E$71,MATCH(C1474,Produtos!$A$2:$A$71,0)),0)</f>
        <v/>
      </c>
      <c r="R1474" s="23">
        <f>D1474*Q1474</f>
        <v/>
      </c>
      <c r="S1474" s="23">
        <f>R1474*E1474</f>
        <v/>
      </c>
      <c r="T1474" s="23">
        <f>(R1474-S1474)*M1474</f>
        <v/>
      </c>
      <c r="U1474" s="23">
        <f>R1474-S1474-T1474</f>
        <v/>
      </c>
      <c r="V1474" s="23">
        <f>D1474*P1474</f>
        <v/>
      </c>
      <c r="W1474" s="23">
        <f>U1474-V1474</f>
        <v/>
      </c>
      <c r="X1474" s="24">
        <f>IFERROR(W1474/U1474,0)</f>
        <v/>
      </c>
    </row>
    <row r="1475">
      <c r="A1475" s="25">
        <f>ItensPedido!A1475</f>
        <v/>
      </c>
      <c r="B1475" s="25">
        <f>ItensPedido!B1475</f>
        <v/>
      </c>
      <c r="C1475" s="25">
        <f>ItensPedido!C1475</f>
        <v/>
      </c>
      <c r="D1475" s="25">
        <f>ItensPedido!D1475</f>
        <v/>
      </c>
      <c r="E1475" s="26">
        <f>ItensPedido!E1475</f>
        <v/>
      </c>
      <c r="F1475" s="25">
        <f>IFERROR(INDEX(Pedidos!$B$2:$B$1801,MATCH(B1475,Pedidos!$A$2:$A$1801,0)),0)</f>
        <v/>
      </c>
      <c r="G1475" s="25">
        <f>IF(F1475=0,"",YEAR(F1475))</f>
        <v/>
      </c>
      <c r="H1475" s="25">
        <f>IF(F1475=0,"",MONTH(F1475))</f>
        <v/>
      </c>
      <c r="I1475" s="25">
        <f>IFERROR(INDEX(Pedidos!$E$2:$E$1801,MATCH(B1475,Pedidos!$A$2:$A$1801,0)),"")</f>
        <v/>
      </c>
      <c r="J1475" s="25">
        <f>IFERROR(INDEX(Pedidos!$C$2:$C$1801,MATCH(B1475,Pedidos!$A$2:$A$1801,0)),"")</f>
        <v/>
      </c>
      <c r="K1475" s="25">
        <f>IFERROR(INDEX(Pedidos!$D$2:$D$1801,MATCH(B1475,Pedidos!$A$2:$A$1801,0)),"")</f>
        <v/>
      </c>
      <c r="L1475" s="25">
        <f>IFERROR(INDEX(Pedidos!$F$2:$F$1801,MATCH(B1475,Pedidos!$A$2:$A$1801,0)),"")</f>
        <v/>
      </c>
      <c r="M1475" s="26">
        <f>IFERROR(INDEX(Pedidos!$G$2:$G$1801,MATCH(B1475,Pedidos!$A$2:$A$1801,0)),0)</f>
        <v/>
      </c>
      <c r="N1475" s="25">
        <f>IFERROR(INDEX(Produtos!$B$2:$B$71,MATCH(C1475,Produtos!$A$2:$A$71,0)),"")</f>
        <v/>
      </c>
      <c r="O1475" s="25">
        <f>IFERROR(INDEX(Produtos!$C$2:$C$71,MATCH(C1475,Produtos!$A$2:$A$71,0)),"")</f>
        <v/>
      </c>
      <c r="P1475" s="25">
        <f>IFERROR(INDEX(Produtos!$D$2:$D$71,MATCH(C1475,Produtos!$A$2:$A$71,0)),0)</f>
        <v/>
      </c>
      <c r="Q1475" s="25">
        <f>IFERROR(INDEX(Produtos!$E$2:$E$71,MATCH(C1475,Produtos!$A$2:$A$71,0)),0)</f>
        <v/>
      </c>
      <c r="R1475" s="27">
        <f>D1475*Q1475</f>
        <v/>
      </c>
      <c r="S1475" s="27">
        <f>R1475*E1475</f>
        <v/>
      </c>
      <c r="T1475" s="27">
        <f>(R1475-S1475)*M1475</f>
        <v/>
      </c>
      <c r="U1475" s="27">
        <f>R1475-S1475-T1475</f>
        <v/>
      </c>
      <c r="V1475" s="27">
        <f>D1475*P1475</f>
        <v/>
      </c>
      <c r="W1475" s="27">
        <f>U1475-V1475</f>
        <v/>
      </c>
      <c r="X1475" s="28">
        <f>IFERROR(W1475/U1475,0)</f>
        <v/>
      </c>
    </row>
    <row r="1476">
      <c r="A1476" s="21">
        <f>ItensPedido!A1476</f>
        <v/>
      </c>
      <c r="B1476" s="21">
        <f>ItensPedido!B1476</f>
        <v/>
      </c>
      <c r="C1476" s="21">
        <f>ItensPedido!C1476</f>
        <v/>
      </c>
      <c r="D1476" s="21">
        <f>ItensPedido!D1476</f>
        <v/>
      </c>
      <c r="E1476" s="22">
        <f>ItensPedido!E1476</f>
        <v/>
      </c>
      <c r="F1476" s="21">
        <f>IFERROR(INDEX(Pedidos!$B$2:$B$1801,MATCH(B1476,Pedidos!$A$2:$A$1801,0)),0)</f>
        <v/>
      </c>
      <c r="G1476" s="21">
        <f>IF(F1476=0,"",YEAR(F1476))</f>
        <v/>
      </c>
      <c r="H1476" s="21">
        <f>IF(F1476=0,"",MONTH(F1476))</f>
        <v/>
      </c>
      <c r="I1476" s="21">
        <f>IFERROR(INDEX(Pedidos!$E$2:$E$1801,MATCH(B1476,Pedidos!$A$2:$A$1801,0)),"")</f>
        <v/>
      </c>
      <c r="J1476" s="21">
        <f>IFERROR(INDEX(Pedidos!$C$2:$C$1801,MATCH(B1476,Pedidos!$A$2:$A$1801,0)),"")</f>
        <v/>
      </c>
      <c r="K1476" s="21">
        <f>IFERROR(INDEX(Pedidos!$D$2:$D$1801,MATCH(B1476,Pedidos!$A$2:$A$1801,0)),"")</f>
        <v/>
      </c>
      <c r="L1476" s="21">
        <f>IFERROR(INDEX(Pedidos!$F$2:$F$1801,MATCH(B1476,Pedidos!$A$2:$A$1801,0)),"")</f>
        <v/>
      </c>
      <c r="M1476" s="22">
        <f>IFERROR(INDEX(Pedidos!$G$2:$G$1801,MATCH(B1476,Pedidos!$A$2:$A$1801,0)),0)</f>
        <v/>
      </c>
      <c r="N1476" s="21">
        <f>IFERROR(INDEX(Produtos!$B$2:$B$71,MATCH(C1476,Produtos!$A$2:$A$71,0)),"")</f>
        <v/>
      </c>
      <c r="O1476" s="21">
        <f>IFERROR(INDEX(Produtos!$C$2:$C$71,MATCH(C1476,Produtos!$A$2:$A$71,0)),"")</f>
        <v/>
      </c>
      <c r="P1476" s="21">
        <f>IFERROR(INDEX(Produtos!$D$2:$D$71,MATCH(C1476,Produtos!$A$2:$A$71,0)),0)</f>
        <v/>
      </c>
      <c r="Q1476" s="21">
        <f>IFERROR(INDEX(Produtos!$E$2:$E$71,MATCH(C1476,Produtos!$A$2:$A$71,0)),0)</f>
        <v/>
      </c>
      <c r="R1476" s="23">
        <f>D1476*Q1476</f>
        <v/>
      </c>
      <c r="S1476" s="23">
        <f>R1476*E1476</f>
        <v/>
      </c>
      <c r="T1476" s="23">
        <f>(R1476-S1476)*M1476</f>
        <v/>
      </c>
      <c r="U1476" s="23">
        <f>R1476-S1476-T1476</f>
        <v/>
      </c>
      <c r="V1476" s="23">
        <f>D1476*P1476</f>
        <v/>
      </c>
      <c r="W1476" s="23">
        <f>U1476-V1476</f>
        <v/>
      </c>
      <c r="X1476" s="24">
        <f>IFERROR(W1476/U1476,0)</f>
        <v/>
      </c>
    </row>
    <row r="1477">
      <c r="A1477" s="25">
        <f>ItensPedido!A1477</f>
        <v/>
      </c>
      <c r="B1477" s="25">
        <f>ItensPedido!B1477</f>
        <v/>
      </c>
      <c r="C1477" s="25">
        <f>ItensPedido!C1477</f>
        <v/>
      </c>
      <c r="D1477" s="25">
        <f>ItensPedido!D1477</f>
        <v/>
      </c>
      <c r="E1477" s="26">
        <f>ItensPedido!E1477</f>
        <v/>
      </c>
      <c r="F1477" s="25">
        <f>IFERROR(INDEX(Pedidos!$B$2:$B$1801,MATCH(B1477,Pedidos!$A$2:$A$1801,0)),0)</f>
        <v/>
      </c>
      <c r="G1477" s="25">
        <f>IF(F1477=0,"",YEAR(F1477))</f>
        <v/>
      </c>
      <c r="H1477" s="25">
        <f>IF(F1477=0,"",MONTH(F1477))</f>
        <v/>
      </c>
      <c r="I1477" s="25">
        <f>IFERROR(INDEX(Pedidos!$E$2:$E$1801,MATCH(B1477,Pedidos!$A$2:$A$1801,0)),"")</f>
        <v/>
      </c>
      <c r="J1477" s="25">
        <f>IFERROR(INDEX(Pedidos!$C$2:$C$1801,MATCH(B1477,Pedidos!$A$2:$A$1801,0)),"")</f>
        <v/>
      </c>
      <c r="K1477" s="25">
        <f>IFERROR(INDEX(Pedidos!$D$2:$D$1801,MATCH(B1477,Pedidos!$A$2:$A$1801,0)),"")</f>
        <v/>
      </c>
      <c r="L1477" s="25">
        <f>IFERROR(INDEX(Pedidos!$F$2:$F$1801,MATCH(B1477,Pedidos!$A$2:$A$1801,0)),"")</f>
        <v/>
      </c>
      <c r="M1477" s="26">
        <f>IFERROR(INDEX(Pedidos!$G$2:$G$1801,MATCH(B1477,Pedidos!$A$2:$A$1801,0)),0)</f>
        <v/>
      </c>
      <c r="N1477" s="25">
        <f>IFERROR(INDEX(Produtos!$B$2:$B$71,MATCH(C1477,Produtos!$A$2:$A$71,0)),"")</f>
        <v/>
      </c>
      <c r="O1477" s="25">
        <f>IFERROR(INDEX(Produtos!$C$2:$C$71,MATCH(C1477,Produtos!$A$2:$A$71,0)),"")</f>
        <v/>
      </c>
      <c r="P1477" s="25">
        <f>IFERROR(INDEX(Produtos!$D$2:$D$71,MATCH(C1477,Produtos!$A$2:$A$71,0)),0)</f>
        <v/>
      </c>
      <c r="Q1477" s="25">
        <f>IFERROR(INDEX(Produtos!$E$2:$E$71,MATCH(C1477,Produtos!$A$2:$A$71,0)),0)</f>
        <v/>
      </c>
      <c r="R1477" s="27">
        <f>D1477*Q1477</f>
        <v/>
      </c>
      <c r="S1477" s="27">
        <f>R1477*E1477</f>
        <v/>
      </c>
      <c r="T1477" s="27">
        <f>(R1477-S1477)*M1477</f>
        <v/>
      </c>
      <c r="U1477" s="27">
        <f>R1477-S1477-T1477</f>
        <v/>
      </c>
      <c r="V1477" s="27">
        <f>D1477*P1477</f>
        <v/>
      </c>
      <c r="W1477" s="27">
        <f>U1477-V1477</f>
        <v/>
      </c>
      <c r="X1477" s="28">
        <f>IFERROR(W1477/U1477,0)</f>
        <v/>
      </c>
    </row>
    <row r="1478">
      <c r="A1478" s="21">
        <f>ItensPedido!A1478</f>
        <v/>
      </c>
      <c r="B1478" s="21">
        <f>ItensPedido!B1478</f>
        <v/>
      </c>
      <c r="C1478" s="21">
        <f>ItensPedido!C1478</f>
        <v/>
      </c>
      <c r="D1478" s="21">
        <f>ItensPedido!D1478</f>
        <v/>
      </c>
      <c r="E1478" s="22">
        <f>ItensPedido!E1478</f>
        <v/>
      </c>
      <c r="F1478" s="21">
        <f>IFERROR(INDEX(Pedidos!$B$2:$B$1801,MATCH(B1478,Pedidos!$A$2:$A$1801,0)),0)</f>
        <v/>
      </c>
      <c r="G1478" s="21">
        <f>IF(F1478=0,"",YEAR(F1478))</f>
        <v/>
      </c>
      <c r="H1478" s="21">
        <f>IF(F1478=0,"",MONTH(F1478))</f>
        <v/>
      </c>
      <c r="I1478" s="21">
        <f>IFERROR(INDEX(Pedidos!$E$2:$E$1801,MATCH(B1478,Pedidos!$A$2:$A$1801,0)),"")</f>
        <v/>
      </c>
      <c r="J1478" s="21">
        <f>IFERROR(INDEX(Pedidos!$C$2:$C$1801,MATCH(B1478,Pedidos!$A$2:$A$1801,0)),"")</f>
        <v/>
      </c>
      <c r="K1478" s="21">
        <f>IFERROR(INDEX(Pedidos!$D$2:$D$1801,MATCH(B1478,Pedidos!$A$2:$A$1801,0)),"")</f>
        <v/>
      </c>
      <c r="L1478" s="21">
        <f>IFERROR(INDEX(Pedidos!$F$2:$F$1801,MATCH(B1478,Pedidos!$A$2:$A$1801,0)),"")</f>
        <v/>
      </c>
      <c r="M1478" s="22">
        <f>IFERROR(INDEX(Pedidos!$G$2:$G$1801,MATCH(B1478,Pedidos!$A$2:$A$1801,0)),0)</f>
        <v/>
      </c>
      <c r="N1478" s="21">
        <f>IFERROR(INDEX(Produtos!$B$2:$B$71,MATCH(C1478,Produtos!$A$2:$A$71,0)),"")</f>
        <v/>
      </c>
      <c r="O1478" s="21">
        <f>IFERROR(INDEX(Produtos!$C$2:$C$71,MATCH(C1478,Produtos!$A$2:$A$71,0)),"")</f>
        <v/>
      </c>
      <c r="P1478" s="21">
        <f>IFERROR(INDEX(Produtos!$D$2:$D$71,MATCH(C1478,Produtos!$A$2:$A$71,0)),0)</f>
        <v/>
      </c>
      <c r="Q1478" s="21">
        <f>IFERROR(INDEX(Produtos!$E$2:$E$71,MATCH(C1478,Produtos!$A$2:$A$71,0)),0)</f>
        <v/>
      </c>
      <c r="R1478" s="23">
        <f>D1478*Q1478</f>
        <v/>
      </c>
      <c r="S1478" s="23">
        <f>R1478*E1478</f>
        <v/>
      </c>
      <c r="T1478" s="23">
        <f>(R1478-S1478)*M1478</f>
        <v/>
      </c>
      <c r="U1478" s="23">
        <f>R1478-S1478-T1478</f>
        <v/>
      </c>
      <c r="V1478" s="23">
        <f>D1478*P1478</f>
        <v/>
      </c>
      <c r="W1478" s="23">
        <f>U1478-V1478</f>
        <v/>
      </c>
      <c r="X1478" s="24">
        <f>IFERROR(W1478/U1478,0)</f>
        <v/>
      </c>
    </row>
    <row r="1479">
      <c r="A1479" s="25">
        <f>ItensPedido!A1479</f>
        <v/>
      </c>
      <c r="B1479" s="25">
        <f>ItensPedido!B1479</f>
        <v/>
      </c>
      <c r="C1479" s="25">
        <f>ItensPedido!C1479</f>
        <v/>
      </c>
      <c r="D1479" s="25">
        <f>ItensPedido!D1479</f>
        <v/>
      </c>
      <c r="E1479" s="26">
        <f>ItensPedido!E1479</f>
        <v/>
      </c>
      <c r="F1479" s="25">
        <f>IFERROR(INDEX(Pedidos!$B$2:$B$1801,MATCH(B1479,Pedidos!$A$2:$A$1801,0)),0)</f>
        <v/>
      </c>
      <c r="G1479" s="25">
        <f>IF(F1479=0,"",YEAR(F1479))</f>
        <v/>
      </c>
      <c r="H1479" s="25">
        <f>IF(F1479=0,"",MONTH(F1479))</f>
        <v/>
      </c>
      <c r="I1479" s="25">
        <f>IFERROR(INDEX(Pedidos!$E$2:$E$1801,MATCH(B1479,Pedidos!$A$2:$A$1801,0)),"")</f>
        <v/>
      </c>
      <c r="J1479" s="25">
        <f>IFERROR(INDEX(Pedidos!$C$2:$C$1801,MATCH(B1479,Pedidos!$A$2:$A$1801,0)),"")</f>
        <v/>
      </c>
      <c r="K1479" s="25">
        <f>IFERROR(INDEX(Pedidos!$D$2:$D$1801,MATCH(B1479,Pedidos!$A$2:$A$1801,0)),"")</f>
        <v/>
      </c>
      <c r="L1479" s="25">
        <f>IFERROR(INDEX(Pedidos!$F$2:$F$1801,MATCH(B1479,Pedidos!$A$2:$A$1801,0)),"")</f>
        <v/>
      </c>
      <c r="M1479" s="26">
        <f>IFERROR(INDEX(Pedidos!$G$2:$G$1801,MATCH(B1479,Pedidos!$A$2:$A$1801,0)),0)</f>
        <v/>
      </c>
      <c r="N1479" s="25">
        <f>IFERROR(INDEX(Produtos!$B$2:$B$71,MATCH(C1479,Produtos!$A$2:$A$71,0)),"")</f>
        <v/>
      </c>
      <c r="O1479" s="25">
        <f>IFERROR(INDEX(Produtos!$C$2:$C$71,MATCH(C1479,Produtos!$A$2:$A$71,0)),"")</f>
        <v/>
      </c>
      <c r="P1479" s="25">
        <f>IFERROR(INDEX(Produtos!$D$2:$D$71,MATCH(C1479,Produtos!$A$2:$A$71,0)),0)</f>
        <v/>
      </c>
      <c r="Q1479" s="25">
        <f>IFERROR(INDEX(Produtos!$E$2:$E$71,MATCH(C1479,Produtos!$A$2:$A$71,0)),0)</f>
        <v/>
      </c>
      <c r="R1479" s="27">
        <f>D1479*Q1479</f>
        <v/>
      </c>
      <c r="S1479" s="27">
        <f>R1479*E1479</f>
        <v/>
      </c>
      <c r="T1479" s="27">
        <f>(R1479-S1479)*M1479</f>
        <v/>
      </c>
      <c r="U1479" s="27">
        <f>R1479-S1479-T1479</f>
        <v/>
      </c>
      <c r="V1479" s="27">
        <f>D1479*P1479</f>
        <v/>
      </c>
      <c r="W1479" s="27">
        <f>U1479-V1479</f>
        <v/>
      </c>
      <c r="X1479" s="28">
        <f>IFERROR(W1479/U1479,0)</f>
        <v/>
      </c>
    </row>
    <row r="1480">
      <c r="A1480" s="21">
        <f>ItensPedido!A1480</f>
        <v/>
      </c>
      <c r="B1480" s="21">
        <f>ItensPedido!B1480</f>
        <v/>
      </c>
      <c r="C1480" s="21">
        <f>ItensPedido!C1480</f>
        <v/>
      </c>
      <c r="D1480" s="21">
        <f>ItensPedido!D1480</f>
        <v/>
      </c>
      <c r="E1480" s="22">
        <f>ItensPedido!E1480</f>
        <v/>
      </c>
      <c r="F1480" s="21">
        <f>IFERROR(INDEX(Pedidos!$B$2:$B$1801,MATCH(B1480,Pedidos!$A$2:$A$1801,0)),0)</f>
        <v/>
      </c>
      <c r="G1480" s="21">
        <f>IF(F1480=0,"",YEAR(F1480))</f>
        <v/>
      </c>
      <c r="H1480" s="21">
        <f>IF(F1480=0,"",MONTH(F1480))</f>
        <v/>
      </c>
      <c r="I1480" s="21">
        <f>IFERROR(INDEX(Pedidos!$E$2:$E$1801,MATCH(B1480,Pedidos!$A$2:$A$1801,0)),"")</f>
        <v/>
      </c>
      <c r="J1480" s="21">
        <f>IFERROR(INDEX(Pedidos!$C$2:$C$1801,MATCH(B1480,Pedidos!$A$2:$A$1801,0)),"")</f>
        <v/>
      </c>
      <c r="K1480" s="21">
        <f>IFERROR(INDEX(Pedidos!$D$2:$D$1801,MATCH(B1480,Pedidos!$A$2:$A$1801,0)),"")</f>
        <v/>
      </c>
      <c r="L1480" s="21">
        <f>IFERROR(INDEX(Pedidos!$F$2:$F$1801,MATCH(B1480,Pedidos!$A$2:$A$1801,0)),"")</f>
        <v/>
      </c>
      <c r="M1480" s="22">
        <f>IFERROR(INDEX(Pedidos!$G$2:$G$1801,MATCH(B1480,Pedidos!$A$2:$A$1801,0)),0)</f>
        <v/>
      </c>
      <c r="N1480" s="21">
        <f>IFERROR(INDEX(Produtos!$B$2:$B$71,MATCH(C1480,Produtos!$A$2:$A$71,0)),"")</f>
        <v/>
      </c>
      <c r="O1480" s="21">
        <f>IFERROR(INDEX(Produtos!$C$2:$C$71,MATCH(C1480,Produtos!$A$2:$A$71,0)),"")</f>
        <v/>
      </c>
      <c r="P1480" s="21">
        <f>IFERROR(INDEX(Produtos!$D$2:$D$71,MATCH(C1480,Produtos!$A$2:$A$71,0)),0)</f>
        <v/>
      </c>
      <c r="Q1480" s="21">
        <f>IFERROR(INDEX(Produtos!$E$2:$E$71,MATCH(C1480,Produtos!$A$2:$A$71,0)),0)</f>
        <v/>
      </c>
      <c r="R1480" s="23">
        <f>D1480*Q1480</f>
        <v/>
      </c>
      <c r="S1480" s="23">
        <f>R1480*E1480</f>
        <v/>
      </c>
      <c r="T1480" s="23">
        <f>(R1480-S1480)*M1480</f>
        <v/>
      </c>
      <c r="U1480" s="23">
        <f>R1480-S1480-T1480</f>
        <v/>
      </c>
      <c r="V1480" s="23">
        <f>D1480*P1480</f>
        <v/>
      </c>
      <c r="W1480" s="23">
        <f>U1480-V1480</f>
        <v/>
      </c>
      <c r="X1480" s="24">
        <f>IFERROR(W1480/U1480,0)</f>
        <v/>
      </c>
    </row>
    <row r="1481">
      <c r="A1481" s="25">
        <f>ItensPedido!A1481</f>
        <v/>
      </c>
      <c r="B1481" s="25">
        <f>ItensPedido!B1481</f>
        <v/>
      </c>
      <c r="C1481" s="25">
        <f>ItensPedido!C1481</f>
        <v/>
      </c>
      <c r="D1481" s="25">
        <f>ItensPedido!D1481</f>
        <v/>
      </c>
      <c r="E1481" s="26">
        <f>ItensPedido!E1481</f>
        <v/>
      </c>
      <c r="F1481" s="25">
        <f>IFERROR(INDEX(Pedidos!$B$2:$B$1801,MATCH(B1481,Pedidos!$A$2:$A$1801,0)),0)</f>
        <v/>
      </c>
      <c r="G1481" s="25">
        <f>IF(F1481=0,"",YEAR(F1481))</f>
        <v/>
      </c>
      <c r="H1481" s="25">
        <f>IF(F1481=0,"",MONTH(F1481))</f>
        <v/>
      </c>
      <c r="I1481" s="25">
        <f>IFERROR(INDEX(Pedidos!$E$2:$E$1801,MATCH(B1481,Pedidos!$A$2:$A$1801,0)),"")</f>
        <v/>
      </c>
      <c r="J1481" s="25">
        <f>IFERROR(INDEX(Pedidos!$C$2:$C$1801,MATCH(B1481,Pedidos!$A$2:$A$1801,0)),"")</f>
        <v/>
      </c>
      <c r="K1481" s="25">
        <f>IFERROR(INDEX(Pedidos!$D$2:$D$1801,MATCH(B1481,Pedidos!$A$2:$A$1801,0)),"")</f>
        <v/>
      </c>
      <c r="L1481" s="25">
        <f>IFERROR(INDEX(Pedidos!$F$2:$F$1801,MATCH(B1481,Pedidos!$A$2:$A$1801,0)),"")</f>
        <v/>
      </c>
      <c r="M1481" s="26">
        <f>IFERROR(INDEX(Pedidos!$G$2:$G$1801,MATCH(B1481,Pedidos!$A$2:$A$1801,0)),0)</f>
        <v/>
      </c>
      <c r="N1481" s="25">
        <f>IFERROR(INDEX(Produtos!$B$2:$B$71,MATCH(C1481,Produtos!$A$2:$A$71,0)),"")</f>
        <v/>
      </c>
      <c r="O1481" s="25">
        <f>IFERROR(INDEX(Produtos!$C$2:$C$71,MATCH(C1481,Produtos!$A$2:$A$71,0)),"")</f>
        <v/>
      </c>
      <c r="P1481" s="25">
        <f>IFERROR(INDEX(Produtos!$D$2:$D$71,MATCH(C1481,Produtos!$A$2:$A$71,0)),0)</f>
        <v/>
      </c>
      <c r="Q1481" s="25">
        <f>IFERROR(INDEX(Produtos!$E$2:$E$71,MATCH(C1481,Produtos!$A$2:$A$71,0)),0)</f>
        <v/>
      </c>
      <c r="R1481" s="27">
        <f>D1481*Q1481</f>
        <v/>
      </c>
      <c r="S1481" s="27">
        <f>R1481*E1481</f>
        <v/>
      </c>
      <c r="T1481" s="27">
        <f>(R1481-S1481)*M1481</f>
        <v/>
      </c>
      <c r="U1481" s="27">
        <f>R1481-S1481-T1481</f>
        <v/>
      </c>
      <c r="V1481" s="27">
        <f>D1481*P1481</f>
        <v/>
      </c>
      <c r="W1481" s="27">
        <f>U1481-V1481</f>
        <v/>
      </c>
      <c r="X1481" s="28">
        <f>IFERROR(W1481/U1481,0)</f>
        <v/>
      </c>
    </row>
    <row r="1482">
      <c r="A1482" s="21">
        <f>ItensPedido!A1482</f>
        <v/>
      </c>
      <c r="B1482" s="21">
        <f>ItensPedido!B1482</f>
        <v/>
      </c>
      <c r="C1482" s="21">
        <f>ItensPedido!C1482</f>
        <v/>
      </c>
      <c r="D1482" s="21">
        <f>ItensPedido!D1482</f>
        <v/>
      </c>
      <c r="E1482" s="22">
        <f>ItensPedido!E1482</f>
        <v/>
      </c>
      <c r="F1482" s="21">
        <f>IFERROR(INDEX(Pedidos!$B$2:$B$1801,MATCH(B1482,Pedidos!$A$2:$A$1801,0)),0)</f>
        <v/>
      </c>
      <c r="G1482" s="21">
        <f>IF(F1482=0,"",YEAR(F1482))</f>
        <v/>
      </c>
      <c r="H1482" s="21">
        <f>IF(F1482=0,"",MONTH(F1482))</f>
        <v/>
      </c>
      <c r="I1482" s="21">
        <f>IFERROR(INDEX(Pedidos!$E$2:$E$1801,MATCH(B1482,Pedidos!$A$2:$A$1801,0)),"")</f>
        <v/>
      </c>
      <c r="J1482" s="21">
        <f>IFERROR(INDEX(Pedidos!$C$2:$C$1801,MATCH(B1482,Pedidos!$A$2:$A$1801,0)),"")</f>
        <v/>
      </c>
      <c r="K1482" s="21">
        <f>IFERROR(INDEX(Pedidos!$D$2:$D$1801,MATCH(B1482,Pedidos!$A$2:$A$1801,0)),"")</f>
        <v/>
      </c>
      <c r="L1482" s="21">
        <f>IFERROR(INDEX(Pedidos!$F$2:$F$1801,MATCH(B1482,Pedidos!$A$2:$A$1801,0)),"")</f>
        <v/>
      </c>
      <c r="M1482" s="22">
        <f>IFERROR(INDEX(Pedidos!$G$2:$G$1801,MATCH(B1482,Pedidos!$A$2:$A$1801,0)),0)</f>
        <v/>
      </c>
      <c r="N1482" s="21">
        <f>IFERROR(INDEX(Produtos!$B$2:$B$71,MATCH(C1482,Produtos!$A$2:$A$71,0)),"")</f>
        <v/>
      </c>
      <c r="O1482" s="21">
        <f>IFERROR(INDEX(Produtos!$C$2:$C$71,MATCH(C1482,Produtos!$A$2:$A$71,0)),"")</f>
        <v/>
      </c>
      <c r="P1482" s="21">
        <f>IFERROR(INDEX(Produtos!$D$2:$D$71,MATCH(C1482,Produtos!$A$2:$A$71,0)),0)</f>
        <v/>
      </c>
      <c r="Q1482" s="21">
        <f>IFERROR(INDEX(Produtos!$E$2:$E$71,MATCH(C1482,Produtos!$A$2:$A$71,0)),0)</f>
        <v/>
      </c>
      <c r="R1482" s="23">
        <f>D1482*Q1482</f>
        <v/>
      </c>
      <c r="S1482" s="23">
        <f>R1482*E1482</f>
        <v/>
      </c>
      <c r="T1482" s="23">
        <f>(R1482-S1482)*M1482</f>
        <v/>
      </c>
      <c r="U1482" s="23">
        <f>R1482-S1482-T1482</f>
        <v/>
      </c>
      <c r="V1482" s="23">
        <f>D1482*P1482</f>
        <v/>
      </c>
      <c r="W1482" s="23">
        <f>U1482-V1482</f>
        <v/>
      </c>
      <c r="X1482" s="24">
        <f>IFERROR(W1482/U1482,0)</f>
        <v/>
      </c>
    </row>
    <row r="1483">
      <c r="A1483" s="25">
        <f>ItensPedido!A1483</f>
        <v/>
      </c>
      <c r="B1483" s="25">
        <f>ItensPedido!B1483</f>
        <v/>
      </c>
      <c r="C1483" s="25">
        <f>ItensPedido!C1483</f>
        <v/>
      </c>
      <c r="D1483" s="25">
        <f>ItensPedido!D1483</f>
        <v/>
      </c>
      <c r="E1483" s="26">
        <f>ItensPedido!E1483</f>
        <v/>
      </c>
      <c r="F1483" s="25">
        <f>IFERROR(INDEX(Pedidos!$B$2:$B$1801,MATCH(B1483,Pedidos!$A$2:$A$1801,0)),0)</f>
        <v/>
      </c>
      <c r="G1483" s="25">
        <f>IF(F1483=0,"",YEAR(F1483))</f>
        <v/>
      </c>
      <c r="H1483" s="25">
        <f>IF(F1483=0,"",MONTH(F1483))</f>
        <v/>
      </c>
      <c r="I1483" s="25">
        <f>IFERROR(INDEX(Pedidos!$E$2:$E$1801,MATCH(B1483,Pedidos!$A$2:$A$1801,0)),"")</f>
        <v/>
      </c>
      <c r="J1483" s="25">
        <f>IFERROR(INDEX(Pedidos!$C$2:$C$1801,MATCH(B1483,Pedidos!$A$2:$A$1801,0)),"")</f>
        <v/>
      </c>
      <c r="K1483" s="25">
        <f>IFERROR(INDEX(Pedidos!$D$2:$D$1801,MATCH(B1483,Pedidos!$A$2:$A$1801,0)),"")</f>
        <v/>
      </c>
      <c r="L1483" s="25">
        <f>IFERROR(INDEX(Pedidos!$F$2:$F$1801,MATCH(B1483,Pedidos!$A$2:$A$1801,0)),"")</f>
        <v/>
      </c>
      <c r="M1483" s="26">
        <f>IFERROR(INDEX(Pedidos!$G$2:$G$1801,MATCH(B1483,Pedidos!$A$2:$A$1801,0)),0)</f>
        <v/>
      </c>
      <c r="N1483" s="25">
        <f>IFERROR(INDEX(Produtos!$B$2:$B$71,MATCH(C1483,Produtos!$A$2:$A$71,0)),"")</f>
        <v/>
      </c>
      <c r="O1483" s="25">
        <f>IFERROR(INDEX(Produtos!$C$2:$C$71,MATCH(C1483,Produtos!$A$2:$A$71,0)),"")</f>
        <v/>
      </c>
      <c r="P1483" s="25">
        <f>IFERROR(INDEX(Produtos!$D$2:$D$71,MATCH(C1483,Produtos!$A$2:$A$71,0)),0)</f>
        <v/>
      </c>
      <c r="Q1483" s="25">
        <f>IFERROR(INDEX(Produtos!$E$2:$E$71,MATCH(C1483,Produtos!$A$2:$A$71,0)),0)</f>
        <v/>
      </c>
      <c r="R1483" s="27">
        <f>D1483*Q1483</f>
        <v/>
      </c>
      <c r="S1483" s="27">
        <f>R1483*E1483</f>
        <v/>
      </c>
      <c r="T1483" s="27">
        <f>(R1483-S1483)*M1483</f>
        <v/>
      </c>
      <c r="U1483" s="27">
        <f>R1483-S1483-T1483</f>
        <v/>
      </c>
      <c r="V1483" s="27">
        <f>D1483*P1483</f>
        <v/>
      </c>
      <c r="W1483" s="27">
        <f>U1483-V1483</f>
        <v/>
      </c>
      <c r="X1483" s="28">
        <f>IFERROR(W1483/U1483,0)</f>
        <v/>
      </c>
    </row>
    <row r="1484">
      <c r="A1484" s="21">
        <f>ItensPedido!A1484</f>
        <v/>
      </c>
      <c r="B1484" s="21">
        <f>ItensPedido!B1484</f>
        <v/>
      </c>
      <c r="C1484" s="21">
        <f>ItensPedido!C1484</f>
        <v/>
      </c>
      <c r="D1484" s="21">
        <f>ItensPedido!D1484</f>
        <v/>
      </c>
      <c r="E1484" s="22">
        <f>ItensPedido!E1484</f>
        <v/>
      </c>
      <c r="F1484" s="21">
        <f>IFERROR(INDEX(Pedidos!$B$2:$B$1801,MATCH(B1484,Pedidos!$A$2:$A$1801,0)),0)</f>
        <v/>
      </c>
      <c r="G1484" s="21">
        <f>IF(F1484=0,"",YEAR(F1484))</f>
        <v/>
      </c>
      <c r="H1484" s="21">
        <f>IF(F1484=0,"",MONTH(F1484))</f>
        <v/>
      </c>
      <c r="I1484" s="21">
        <f>IFERROR(INDEX(Pedidos!$E$2:$E$1801,MATCH(B1484,Pedidos!$A$2:$A$1801,0)),"")</f>
        <v/>
      </c>
      <c r="J1484" s="21">
        <f>IFERROR(INDEX(Pedidos!$C$2:$C$1801,MATCH(B1484,Pedidos!$A$2:$A$1801,0)),"")</f>
        <v/>
      </c>
      <c r="K1484" s="21">
        <f>IFERROR(INDEX(Pedidos!$D$2:$D$1801,MATCH(B1484,Pedidos!$A$2:$A$1801,0)),"")</f>
        <v/>
      </c>
      <c r="L1484" s="21">
        <f>IFERROR(INDEX(Pedidos!$F$2:$F$1801,MATCH(B1484,Pedidos!$A$2:$A$1801,0)),"")</f>
        <v/>
      </c>
      <c r="M1484" s="22">
        <f>IFERROR(INDEX(Pedidos!$G$2:$G$1801,MATCH(B1484,Pedidos!$A$2:$A$1801,0)),0)</f>
        <v/>
      </c>
      <c r="N1484" s="21">
        <f>IFERROR(INDEX(Produtos!$B$2:$B$71,MATCH(C1484,Produtos!$A$2:$A$71,0)),"")</f>
        <v/>
      </c>
      <c r="O1484" s="21">
        <f>IFERROR(INDEX(Produtos!$C$2:$C$71,MATCH(C1484,Produtos!$A$2:$A$71,0)),"")</f>
        <v/>
      </c>
      <c r="P1484" s="21">
        <f>IFERROR(INDEX(Produtos!$D$2:$D$71,MATCH(C1484,Produtos!$A$2:$A$71,0)),0)</f>
        <v/>
      </c>
      <c r="Q1484" s="21">
        <f>IFERROR(INDEX(Produtos!$E$2:$E$71,MATCH(C1484,Produtos!$A$2:$A$71,0)),0)</f>
        <v/>
      </c>
      <c r="R1484" s="23">
        <f>D1484*Q1484</f>
        <v/>
      </c>
      <c r="S1484" s="23">
        <f>R1484*E1484</f>
        <v/>
      </c>
      <c r="T1484" s="23">
        <f>(R1484-S1484)*M1484</f>
        <v/>
      </c>
      <c r="U1484" s="23">
        <f>R1484-S1484-T1484</f>
        <v/>
      </c>
      <c r="V1484" s="23">
        <f>D1484*P1484</f>
        <v/>
      </c>
      <c r="W1484" s="23">
        <f>U1484-V1484</f>
        <v/>
      </c>
      <c r="X1484" s="24">
        <f>IFERROR(W1484/U1484,0)</f>
        <v/>
      </c>
    </row>
    <row r="1485">
      <c r="A1485" s="25">
        <f>ItensPedido!A1485</f>
        <v/>
      </c>
      <c r="B1485" s="25">
        <f>ItensPedido!B1485</f>
        <v/>
      </c>
      <c r="C1485" s="25">
        <f>ItensPedido!C1485</f>
        <v/>
      </c>
      <c r="D1485" s="25">
        <f>ItensPedido!D1485</f>
        <v/>
      </c>
      <c r="E1485" s="26">
        <f>ItensPedido!E1485</f>
        <v/>
      </c>
      <c r="F1485" s="25">
        <f>IFERROR(INDEX(Pedidos!$B$2:$B$1801,MATCH(B1485,Pedidos!$A$2:$A$1801,0)),0)</f>
        <v/>
      </c>
      <c r="G1485" s="25">
        <f>IF(F1485=0,"",YEAR(F1485))</f>
        <v/>
      </c>
      <c r="H1485" s="25">
        <f>IF(F1485=0,"",MONTH(F1485))</f>
        <v/>
      </c>
      <c r="I1485" s="25">
        <f>IFERROR(INDEX(Pedidos!$E$2:$E$1801,MATCH(B1485,Pedidos!$A$2:$A$1801,0)),"")</f>
        <v/>
      </c>
      <c r="J1485" s="25">
        <f>IFERROR(INDEX(Pedidos!$C$2:$C$1801,MATCH(B1485,Pedidos!$A$2:$A$1801,0)),"")</f>
        <v/>
      </c>
      <c r="K1485" s="25">
        <f>IFERROR(INDEX(Pedidos!$D$2:$D$1801,MATCH(B1485,Pedidos!$A$2:$A$1801,0)),"")</f>
        <v/>
      </c>
      <c r="L1485" s="25">
        <f>IFERROR(INDEX(Pedidos!$F$2:$F$1801,MATCH(B1485,Pedidos!$A$2:$A$1801,0)),"")</f>
        <v/>
      </c>
      <c r="M1485" s="26">
        <f>IFERROR(INDEX(Pedidos!$G$2:$G$1801,MATCH(B1485,Pedidos!$A$2:$A$1801,0)),0)</f>
        <v/>
      </c>
      <c r="N1485" s="25">
        <f>IFERROR(INDEX(Produtos!$B$2:$B$71,MATCH(C1485,Produtos!$A$2:$A$71,0)),"")</f>
        <v/>
      </c>
      <c r="O1485" s="25">
        <f>IFERROR(INDEX(Produtos!$C$2:$C$71,MATCH(C1485,Produtos!$A$2:$A$71,0)),"")</f>
        <v/>
      </c>
      <c r="P1485" s="25">
        <f>IFERROR(INDEX(Produtos!$D$2:$D$71,MATCH(C1485,Produtos!$A$2:$A$71,0)),0)</f>
        <v/>
      </c>
      <c r="Q1485" s="25">
        <f>IFERROR(INDEX(Produtos!$E$2:$E$71,MATCH(C1485,Produtos!$A$2:$A$71,0)),0)</f>
        <v/>
      </c>
      <c r="R1485" s="27">
        <f>D1485*Q1485</f>
        <v/>
      </c>
      <c r="S1485" s="27">
        <f>R1485*E1485</f>
        <v/>
      </c>
      <c r="T1485" s="27">
        <f>(R1485-S1485)*M1485</f>
        <v/>
      </c>
      <c r="U1485" s="27">
        <f>R1485-S1485-T1485</f>
        <v/>
      </c>
      <c r="V1485" s="27">
        <f>D1485*P1485</f>
        <v/>
      </c>
      <c r="W1485" s="27">
        <f>U1485-V1485</f>
        <v/>
      </c>
      <c r="X1485" s="28">
        <f>IFERROR(W1485/U1485,0)</f>
        <v/>
      </c>
    </row>
    <row r="1486">
      <c r="A1486" s="21">
        <f>ItensPedido!A1486</f>
        <v/>
      </c>
      <c r="B1486" s="21">
        <f>ItensPedido!B1486</f>
        <v/>
      </c>
      <c r="C1486" s="21">
        <f>ItensPedido!C1486</f>
        <v/>
      </c>
      <c r="D1486" s="21">
        <f>ItensPedido!D1486</f>
        <v/>
      </c>
      <c r="E1486" s="22">
        <f>ItensPedido!E1486</f>
        <v/>
      </c>
      <c r="F1486" s="21">
        <f>IFERROR(INDEX(Pedidos!$B$2:$B$1801,MATCH(B1486,Pedidos!$A$2:$A$1801,0)),0)</f>
        <v/>
      </c>
      <c r="G1486" s="21">
        <f>IF(F1486=0,"",YEAR(F1486))</f>
        <v/>
      </c>
      <c r="H1486" s="21">
        <f>IF(F1486=0,"",MONTH(F1486))</f>
        <v/>
      </c>
      <c r="I1486" s="21">
        <f>IFERROR(INDEX(Pedidos!$E$2:$E$1801,MATCH(B1486,Pedidos!$A$2:$A$1801,0)),"")</f>
        <v/>
      </c>
      <c r="J1486" s="21">
        <f>IFERROR(INDEX(Pedidos!$C$2:$C$1801,MATCH(B1486,Pedidos!$A$2:$A$1801,0)),"")</f>
        <v/>
      </c>
      <c r="K1486" s="21">
        <f>IFERROR(INDEX(Pedidos!$D$2:$D$1801,MATCH(B1486,Pedidos!$A$2:$A$1801,0)),"")</f>
        <v/>
      </c>
      <c r="L1486" s="21">
        <f>IFERROR(INDEX(Pedidos!$F$2:$F$1801,MATCH(B1486,Pedidos!$A$2:$A$1801,0)),"")</f>
        <v/>
      </c>
      <c r="M1486" s="22">
        <f>IFERROR(INDEX(Pedidos!$G$2:$G$1801,MATCH(B1486,Pedidos!$A$2:$A$1801,0)),0)</f>
        <v/>
      </c>
      <c r="N1486" s="21">
        <f>IFERROR(INDEX(Produtos!$B$2:$B$71,MATCH(C1486,Produtos!$A$2:$A$71,0)),"")</f>
        <v/>
      </c>
      <c r="O1486" s="21">
        <f>IFERROR(INDEX(Produtos!$C$2:$C$71,MATCH(C1486,Produtos!$A$2:$A$71,0)),"")</f>
        <v/>
      </c>
      <c r="P1486" s="21">
        <f>IFERROR(INDEX(Produtos!$D$2:$D$71,MATCH(C1486,Produtos!$A$2:$A$71,0)),0)</f>
        <v/>
      </c>
      <c r="Q1486" s="21">
        <f>IFERROR(INDEX(Produtos!$E$2:$E$71,MATCH(C1486,Produtos!$A$2:$A$71,0)),0)</f>
        <v/>
      </c>
      <c r="R1486" s="23">
        <f>D1486*Q1486</f>
        <v/>
      </c>
      <c r="S1486" s="23">
        <f>R1486*E1486</f>
        <v/>
      </c>
      <c r="T1486" s="23">
        <f>(R1486-S1486)*M1486</f>
        <v/>
      </c>
      <c r="U1486" s="23">
        <f>R1486-S1486-T1486</f>
        <v/>
      </c>
      <c r="V1486" s="23">
        <f>D1486*P1486</f>
        <v/>
      </c>
      <c r="W1486" s="23">
        <f>U1486-V1486</f>
        <v/>
      </c>
      <c r="X1486" s="24">
        <f>IFERROR(W1486/U1486,0)</f>
        <v/>
      </c>
    </row>
    <row r="1487">
      <c r="A1487" s="25">
        <f>ItensPedido!A1487</f>
        <v/>
      </c>
      <c r="B1487" s="25">
        <f>ItensPedido!B1487</f>
        <v/>
      </c>
      <c r="C1487" s="25">
        <f>ItensPedido!C1487</f>
        <v/>
      </c>
      <c r="D1487" s="25">
        <f>ItensPedido!D1487</f>
        <v/>
      </c>
      <c r="E1487" s="26">
        <f>ItensPedido!E1487</f>
        <v/>
      </c>
      <c r="F1487" s="25">
        <f>IFERROR(INDEX(Pedidos!$B$2:$B$1801,MATCH(B1487,Pedidos!$A$2:$A$1801,0)),0)</f>
        <v/>
      </c>
      <c r="G1487" s="25">
        <f>IF(F1487=0,"",YEAR(F1487))</f>
        <v/>
      </c>
      <c r="H1487" s="25">
        <f>IF(F1487=0,"",MONTH(F1487))</f>
        <v/>
      </c>
      <c r="I1487" s="25">
        <f>IFERROR(INDEX(Pedidos!$E$2:$E$1801,MATCH(B1487,Pedidos!$A$2:$A$1801,0)),"")</f>
        <v/>
      </c>
      <c r="J1487" s="25">
        <f>IFERROR(INDEX(Pedidos!$C$2:$C$1801,MATCH(B1487,Pedidos!$A$2:$A$1801,0)),"")</f>
        <v/>
      </c>
      <c r="K1487" s="25">
        <f>IFERROR(INDEX(Pedidos!$D$2:$D$1801,MATCH(B1487,Pedidos!$A$2:$A$1801,0)),"")</f>
        <v/>
      </c>
      <c r="L1487" s="25">
        <f>IFERROR(INDEX(Pedidos!$F$2:$F$1801,MATCH(B1487,Pedidos!$A$2:$A$1801,0)),"")</f>
        <v/>
      </c>
      <c r="M1487" s="26">
        <f>IFERROR(INDEX(Pedidos!$G$2:$G$1801,MATCH(B1487,Pedidos!$A$2:$A$1801,0)),0)</f>
        <v/>
      </c>
      <c r="N1487" s="25">
        <f>IFERROR(INDEX(Produtos!$B$2:$B$71,MATCH(C1487,Produtos!$A$2:$A$71,0)),"")</f>
        <v/>
      </c>
      <c r="O1487" s="25">
        <f>IFERROR(INDEX(Produtos!$C$2:$C$71,MATCH(C1487,Produtos!$A$2:$A$71,0)),"")</f>
        <v/>
      </c>
      <c r="P1487" s="25">
        <f>IFERROR(INDEX(Produtos!$D$2:$D$71,MATCH(C1487,Produtos!$A$2:$A$71,0)),0)</f>
        <v/>
      </c>
      <c r="Q1487" s="25">
        <f>IFERROR(INDEX(Produtos!$E$2:$E$71,MATCH(C1487,Produtos!$A$2:$A$71,0)),0)</f>
        <v/>
      </c>
      <c r="R1487" s="27">
        <f>D1487*Q1487</f>
        <v/>
      </c>
      <c r="S1487" s="27">
        <f>R1487*E1487</f>
        <v/>
      </c>
      <c r="T1487" s="27">
        <f>(R1487-S1487)*M1487</f>
        <v/>
      </c>
      <c r="U1487" s="27">
        <f>R1487-S1487-T1487</f>
        <v/>
      </c>
      <c r="V1487" s="27">
        <f>D1487*P1487</f>
        <v/>
      </c>
      <c r="W1487" s="27">
        <f>U1487-V1487</f>
        <v/>
      </c>
      <c r="X1487" s="28">
        <f>IFERROR(W1487/U1487,0)</f>
        <v/>
      </c>
    </row>
    <row r="1488">
      <c r="A1488" s="21">
        <f>ItensPedido!A1488</f>
        <v/>
      </c>
      <c r="B1488" s="21">
        <f>ItensPedido!B1488</f>
        <v/>
      </c>
      <c r="C1488" s="21">
        <f>ItensPedido!C1488</f>
        <v/>
      </c>
      <c r="D1488" s="21">
        <f>ItensPedido!D1488</f>
        <v/>
      </c>
      <c r="E1488" s="22">
        <f>ItensPedido!E1488</f>
        <v/>
      </c>
      <c r="F1488" s="21">
        <f>IFERROR(INDEX(Pedidos!$B$2:$B$1801,MATCH(B1488,Pedidos!$A$2:$A$1801,0)),0)</f>
        <v/>
      </c>
      <c r="G1488" s="21">
        <f>IF(F1488=0,"",YEAR(F1488))</f>
        <v/>
      </c>
      <c r="H1488" s="21">
        <f>IF(F1488=0,"",MONTH(F1488))</f>
        <v/>
      </c>
      <c r="I1488" s="21">
        <f>IFERROR(INDEX(Pedidos!$E$2:$E$1801,MATCH(B1488,Pedidos!$A$2:$A$1801,0)),"")</f>
        <v/>
      </c>
      <c r="J1488" s="21">
        <f>IFERROR(INDEX(Pedidos!$C$2:$C$1801,MATCH(B1488,Pedidos!$A$2:$A$1801,0)),"")</f>
        <v/>
      </c>
      <c r="K1488" s="21">
        <f>IFERROR(INDEX(Pedidos!$D$2:$D$1801,MATCH(B1488,Pedidos!$A$2:$A$1801,0)),"")</f>
        <v/>
      </c>
      <c r="L1488" s="21">
        <f>IFERROR(INDEX(Pedidos!$F$2:$F$1801,MATCH(B1488,Pedidos!$A$2:$A$1801,0)),"")</f>
        <v/>
      </c>
      <c r="M1488" s="22">
        <f>IFERROR(INDEX(Pedidos!$G$2:$G$1801,MATCH(B1488,Pedidos!$A$2:$A$1801,0)),0)</f>
        <v/>
      </c>
      <c r="N1488" s="21">
        <f>IFERROR(INDEX(Produtos!$B$2:$B$71,MATCH(C1488,Produtos!$A$2:$A$71,0)),"")</f>
        <v/>
      </c>
      <c r="O1488" s="21">
        <f>IFERROR(INDEX(Produtos!$C$2:$C$71,MATCH(C1488,Produtos!$A$2:$A$71,0)),"")</f>
        <v/>
      </c>
      <c r="P1488" s="21">
        <f>IFERROR(INDEX(Produtos!$D$2:$D$71,MATCH(C1488,Produtos!$A$2:$A$71,0)),0)</f>
        <v/>
      </c>
      <c r="Q1488" s="21">
        <f>IFERROR(INDEX(Produtos!$E$2:$E$71,MATCH(C1488,Produtos!$A$2:$A$71,0)),0)</f>
        <v/>
      </c>
      <c r="R1488" s="23">
        <f>D1488*Q1488</f>
        <v/>
      </c>
      <c r="S1488" s="23">
        <f>R1488*E1488</f>
        <v/>
      </c>
      <c r="T1488" s="23">
        <f>(R1488-S1488)*M1488</f>
        <v/>
      </c>
      <c r="U1488" s="23">
        <f>R1488-S1488-T1488</f>
        <v/>
      </c>
      <c r="V1488" s="23">
        <f>D1488*P1488</f>
        <v/>
      </c>
      <c r="W1488" s="23">
        <f>U1488-V1488</f>
        <v/>
      </c>
      <c r="X1488" s="24">
        <f>IFERROR(W1488/U1488,0)</f>
        <v/>
      </c>
    </row>
    <row r="1489">
      <c r="A1489" s="25">
        <f>ItensPedido!A1489</f>
        <v/>
      </c>
      <c r="B1489" s="25">
        <f>ItensPedido!B1489</f>
        <v/>
      </c>
      <c r="C1489" s="25">
        <f>ItensPedido!C1489</f>
        <v/>
      </c>
      <c r="D1489" s="25">
        <f>ItensPedido!D1489</f>
        <v/>
      </c>
      <c r="E1489" s="26">
        <f>ItensPedido!E1489</f>
        <v/>
      </c>
      <c r="F1489" s="25">
        <f>IFERROR(INDEX(Pedidos!$B$2:$B$1801,MATCH(B1489,Pedidos!$A$2:$A$1801,0)),0)</f>
        <v/>
      </c>
      <c r="G1489" s="25">
        <f>IF(F1489=0,"",YEAR(F1489))</f>
        <v/>
      </c>
      <c r="H1489" s="25">
        <f>IF(F1489=0,"",MONTH(F1489))</f>
        <v/>
      </c>
      <c r="I1489" s="25">
        <f>IFERROR(INDEX(Pedidos!$E$2:$E$1801,MATCH(B1489,Pedidos!$A$2:$A$1801,0)),"")</f>
        <v/>
      </c>
      <c r="J1489" s="25">
        <f>IFERROR(INDEX(Pedidos!$C$2:$C$1801,MATCH(B1489,Pedidos!$A$2:$A$1801,0)),"")</f>
        <v/>
      </c>
      <c r="K1489" s="25">
        <f>IFERROR(INDEX(Pedidos!$D$2:$D$1801,MATCH(B1489,Pedidos!$A$2:$A$1801,0)),"")</f>
        <v/>
      </c>
      <c r="L1489" s="25">
        <f>IFERROR(INDEX(Pedidos!$F$2:$F$1801,MATCH(B1489,Pedidos!$A$2:$A$1801,0)),"")</f>
        <v/>
      </c>
      <c r="M1489" s="26">
        <f>IFERROR(INDEX(Pedidos!$G$2:$G$1801,MATCH(B1489,Pedidos!$A$2:$A$1801,0)),0)</f>
        <v/>
      </c>
      <c r="N1489" s="25">
        <f>IFERROR(INDEX(Produtos!$B$2:$B$71,MATCH(C1489,Produtos!$A$2:$A$71,0)),"")</f>
        <v/>
      </c>
      <c r="O1489" s="25">
        <f>IFERROR(INDEX(Produtos!$C$2:$C$71,MATCH(C1489,Produtos!$A$2:$A$71,0)),"")</f>
        <v/>
      </c>
      <c r="P1489" s="25">
        <f>IFERROR(INDEX(Produtos!$D$2:$D$71,MATCH(C1489,Produtos!$A$2:$A$71,0)),0)</f>
        <v/>
      </c>
      <c r="Q1489" s="25">
        <f>IFERROR(INDEX(Produtos!$E$2:$E$71,MATCH(C1489,Produtos!$A$2:$A$71,0)),0)</f>
        <v/>
      </c>
      <c r="R1489" s="27">
        <f>D1489*Q1489</f>
        <v/>
      </c>
      <c r="S1489" s="27">
        <f>R1489*E1489</f>
        <v/>
      </c>
      <c r="T1489" s="27">
        <f>(R1489-S1489)*M1489</f>
        <v/>
      </c>
      <c r="U1489" s="27">
        <f>R1489-S1489-T1489</f>
        <v/>
      </c>
      <c r="V1489" s="27">
        <f>D1489*P1489</f>
        <v/>
      </c>
      <c r="W1489" s="27">
        <f>U1489-V1489</f>
        <v/>
      </c>
      <c r="X1489" s="28">
        <f>IFERROR(W1489/U1489,0)</f>
        <v/>
      </c>
    </row>
    <row r="1490">
      <c r="A1490" s="21">
        <f>ItensPedido!A1490</f>
        <v/>
      </c>
      <c r="B1490" s="21">
        <f>ItensPedido!B1490</f>
        <v/>
      </c>
      <c r="C1490" s="21">
        <f>ItensPedido!C1490</f>
        <v/>
      </c>
      <c r="D1490" s="21">
        <f>ItensPedido!D1490</f>
        <v/>
      </c>
      <c r="E1490" s="22">
        <f>ItensPedido!E1490</f>
        <v/>
      </c>
      <c r="F1490" s="21">
        <f>IFERROR(INDEX(Pedidos!$B$2:$B$1801,MATCH(B1490,Pedidos!$A$2:$A$1801,0)),0)</f>
        <v/>
      </c>
      <c r="G1490" s="21">
        <f>IF(F1490=0,"",YEAR(F1490))</f>
        <v/>
      </c>
      <c r="H1490" s="21">
        <f>IF(F1490=0,"",MONTH(F1490))</f>
        <v/>
      </c>
      <c r="I1490" s="21">
        <f>IFERROR(INDEX(Pedidos!$E$2:$E$1801,MATCH(B1490,Pedidos!$A$2:$A$1801,0)),"")</f>
        <v/>
      </c>
      <c r="J1490" s="21">
        <f>IFERROR(INDEX(Pedidos!$C$2:$C$1801,MATCH(B1490,Pedidos!$A$2:$A$1801,0)),"")</f>
        <v/>
      </c>
      <c r="K1490" s="21">
        <f>IFERROR(INDEX(Pedidos!$D$2:$D$1801,MATCH(B1490,Pedidos!$A$2:$A$1801,0)),"")</f>
        <v/>
      </c>
      <c r="L1490" s="21">
        <f>IFERROR(INDEX(Pedidos!$F$2:$F$1801,MATCH(B1490,Pedidos!$A$2:$A$1801,0)),"")</f>
        <v/>
      </c>
      <c r="M1490" s="22">
        <f>IFERROR(INDEX(Pedidos!$G$2:$G$1801,MATCH(B1490,Pedidos!$A$2:$A$1801,0)),0)</f>
        <v/>
      </c>
      <c r="N1490" s="21">
        <f>IFERROR(INDEX(Produtos!$B$2:$B$71,MATCH(C1490,Produtos!$A$2:$A$71,0)),"")</f>
        <v/>
      </c>
      <c r="O1490" s="21">
        <f>IFERROR(INDEX(Produtos!$C$2:$C$71,MATCH(C1490,Produtos!$A$2:$A$71,0)),"")</f>
        <v/>
      </c>
      <c r="P1490" s="21">
        <f>IFERROR(INDEX(Produtos!$D$2:$D$71,MATCH(C1490,Produtos!$A$2:$A$71,0)),0)</f>
        <v/>
      </c>
      <c r="Q1490" s="21">
        <f>IFERROR(INDEX(Produtos!$E$2:$E$71,MATCH(C1490,Produtos!$A$2:$A$71,0)),0)</f>
        <v/>
      </c>
      <c r="R1490" s="23">
        <f>D1490*Q1490</f>
        <v/>
      </c>
      <c r="S1490" s="23">
        <f>R1490*E1490</f>
        <v/>
      </c>
      <c r="T1490" s="23">
        <f>(R1490-S1490)*M1490</f>
        <v/>
      </c>
      <c r="U1490" s="23">
        <f>R1490-S1490-T1490</f>
        <v/>
      </c>
      <c r="V1490" s="23">
        <f>D1490*P1490</f>
        <v/>
      </c>
      <c r="W1490" s="23">
        <f>U1490-V1490</f>
        <v/>
      </c>
      <c r="X1490" s="24">
        <f>IFERROR(W1490/U1490,0)</f>
        <v/>
      </c>
    </row>
    <row r="1491">
      <c r="A1491" s="25">
        <f>ItensPedido!A1491</f>
        <v/>
      </c>
      <c r="B1491" s="25">
        <f>ItensPedido!B1491</f>
        <v/>
      </c>
      <c r="C1491" s="25">
        <f>ItensPedido!C1491</f>
        <v/>
      </c>
      <c r="D1491" s="25">
        <f>ItensPedido!D1491</f>
        <v/>
      </c>
      <c r="E1491" s="26">
        <f>ItensPedido!E1491</f>
        <v/>
      </c>
      <c r="F1491" s="25">
        <f>IFERROR(INDEX(Pedidos!$B$2:$B$1801,MATCH(B1491,Pedidos!$A$2:$A$1801,0)),0)</f>
        <v/>
      </c>
      <c r="G1491" s="25">
        <f>IF(F1491=0,"",YEAR(F1491))</f>
        <v/>
      </c>
      <c r="H1491" s="25">
        <f>IF(F1491=0,"",MONTH(F1491))</f>
        <v/>
      </c>
      <c r="I1491" s="25">
        <f>IFERROR(INDEX(Pedidos!$E$2:$E$1801,MATCH(B1491,Pedidos!$A$2:$A$1801,0)),"")</f>
        <v/>
      </c>
      <c r="J1491" s="25">
        <f>IFERROR(INDEX(Pedidos!$C$2:$C$1801,MATCH(B1491,Pedidos!$A$2:$A$1801,0)),"")</f>
        <v/>
      </c>
      <c r="K1491" s="25">
        <f>IFERROR(INDEX(Pedidos!$D$2:$D$1801,MATCH(B1491,Pedidos!$A$2:$A$1801,0)),"")</f>
        <v/>
      </c>
      <c r="L1491" s="25">
        <f>IFERROR(INDEX(Pedidos!$F$2:$F$1801,MATCH(B1491,Pedidos!$A$2:$A$1801,0)),"")</f>
        <v/>
      </c>
      <c r="M1491" s="26">
        <f>IFERROR(INDEX(Pedidos!$G$2:$G$1801,MATCH(B1491,Pedidos!$A$2:$A$1801,0)),0)</f>
        <v/>
      </c>
      <c r="N1491" s="25">
        <f>IFERROR(INDEX(Produtos!$B$2:$B$71,MATCH(C1491,Produtos!$A$2:$A$71,0)),"")</f>
        <v/>
      </c>
      <c r="O1491" s="25">
        <f>IFERROR(INDEX(Produtos!$C$2:$C$71,MATCH(C1491,Produtos!$A$2:$A$71,0)),"")</f>
        <v/>
      </c>
      <c r="P1491" s="25">
        <f>IFERROR(INDEX(Produtos!$D$2:$D$71,MATCH(C1491,Produtos!$A$2:$A$71,0)),0)</f>
        <v/>
      </c>
      <c r="Q1491" s="25">
        <f>IFERROR(INDEX(Produtos!$E$2:$E$71,MATCH(C1491,Produtos!$A$2:$A$71,0)),0)</f>
        <v/>
      </c>
      <c r="R1491" s="27">
        <f>D1491*Q1491</f>
        <v/>
      </c>
      <c r="S1491" s="27">
        <f>R1491*E1491</f>
        <v/>
      </c>
      <c r="T1491" s="27">
        <f>(R1491-S1491)*M1491</f>
        <v/>
      </c>
      <c r="U1491" s="27">
        <f>R1491-S1491-T1491</f>
        <v/>
      </c>
      <c r="V1491" s="27">
        <f>D1491*P1491</f>
        <v/>
      </c>
      <c r="W1491" s="27">
        <f>U1491-V1491</f>
        <v/>
      </c>
      <c r="X1491" s="28">
        <f>IFERROR(W1491/U1491,0)</f>
        <v/>
      </c>
    </row>
    <row r="1492">
      <c r="A1492" s="21">
        <f>ItensPedido!A1492</f>
        <v/>
      </c>
      <c r="B1492" s="21">
        <f>ItensPedido!B1492</f>
        <v/>
      </c>
      <c r="C1492" s="21">
        <f>ItensPedido!C1492</f>
        <v/>
      </c>
      <c r="D1492" s="21">
        <f>ItensPedido!D1492</f>
        <v/>
      </c>
      <c r="E1492" s="22">
        <f>ItensPedido!E1492</f>
        <v/>
      </c>
      <c r="F1492" s="21">
        <f>IFERROR(INDEX(Pedidos!$B$2:$B$1801,MATCH(B1492,Pedidos!$A$2:$A$1801,0)),0)</f>
        <v/>
      </c>
      <c r="G1492" s="21">
        <f>IF(F1492=0,"",YEAR(F1492))</f>
        <v/>
      </c>
      <c r="H1492" s="21">
        <f>IF(F1492=0,"",MONTH(F1492))</f>
        <v/>
      </c>
      <c r="I1492" s="21">
        <f>IFERROR(INDEX(Pedidos!$E$2:$E$1801,MATCH(B1492,Pedidos!$A$2:$A$1801,0)),"")</f>
        <v/>
      </c>
      <c r="J1492" s="21">
        <f>IFERROR(INDEX(Pedidos!$C$2:$C$1801,MATCH(B1492,Pedidos!$A$2:$A$1801,0)),"")</f>
        <v/>
      </c>
      <c r="K1492" s="21">
        <f>IFERROR(INDEX(Pedidos!$D$2:$D$1801,MATCH(B1492,Pedidos!$A$2:$A$1801,0)),"")</f>
        <v/>
      </c>
      <c r="L1492" s="21">
        <f>IFERROR(INDEX(Pedidos!$F$2:$F$1801,MATCH(B1492,Pedidos!$A$2:$A$1801,0)),"")</f>
        <v/>
      </c>
      <c r="M1492" s="22">
        <f>IFERROR(INDEX(Pedidos!$G$2:$G$1801,MATCH(B1492,Pedidos!$A$2:$A$1801,0)),0)</f>
        <v/>
      </c>
      <c r="N1492" s="21">
        <f>IFERROR(INDEX(Produtos!$B$2:$B$71,MATCH(C1492,Produtos!$A$2:$A$71,0)),"")</f>
        <v/>
      </c>
      <c r="O1492" s="21">
        <f>IFERROR(INDEX(Produtos!$C$2:$C$71,MATCH(C1492,Produtos!$A$2:$A$71,0)),"")</f>
        <v/>
      </c>
      <c r="P1492" s="21">
        <f>IFERROR(INDEX(Produtos!$D$2:$D$71,MATCH(C1492,Produtos!$A$2:$A$71,0)),0)</f>
        <v/>
      </c>
      <c r="Q1492" s="21">
        <f>IFERROR(INDEX(Produtos!$E$2:$E$71,MATCH(C1492,Produtos!$A$2:$A$71,0)),0)</f>
        <v/>
      </c>
      <c r="R1492" s="23">
        <f>D1492*Q1492</f>
        <v/>
      </c>
      <c r="S1492" s="23">
        <f>R1492*E1492</f>
        <v/>
      </c>
      <c r="T1492" s="23">
        <f>(R1492-S1492)*M1492</f>
        <v/>
      </c>
      <c r="U1492" s="23">
        <f>R1492-S1492-T1492</f>
        <v/>
      </c>
      <c r="V1492" s="23">
        <f>D1492*P1492</f>
        <v/>
      </c>
      <c r="W1492" s="23">
        <f>U1492-V1492</f>
        <v/>
      </c>
      <c r="X1492" s="24">
        <f>IFERROR(W1492/U1492,0)</f>
        <v/>
      </c>
    </row>
    <row r="1493">
      <c r="A1493" s="25">
        <f>ItensPedido!A1493</f>
        <v/>
      </c>
      <c r="B1493" s="25">
        <f>ItensPedido!B1493</f>
        <v/>
      </c>
      <c r="C1493" s="25">
        <f>ItensPedido!C1493</f>
        <v/>
      </c>
      <c r="D1493" s="25">
        <f>ItensPedido!D1493</f>
        <v/>
      </c>
      <c r="E1493" s="26">
        <f>ItensPedido!E1493</f>
        <v/>
      </c>
      <c r="F1493" s="25">
        <f>IFERROR(INDEX(Pedidos!$B$2:$B$1801,MATCH(B1493,Pedidos!$A$2:$A$1801,0)),0)</f>
        <v/>
      </c>
      <c r="G1493" s="25">
        <f>IF(F1493=0,"",YEAR(F1493))</f>
        <v/>
      </c>
      <c r="H1493" s="25">
        <f>IF(F1493=0,"",MONTH(F1493))</f>
        <v/>
      </c>
      <c r="I1493" s="25">
        <f>IFERROR(INDEX(Pedidos!$E$2:$E$1801,MATCH(B1493,Pedidos!$A$2:$A$1801,0)),"")</f>
        <v/>
      </c>
      <c r="J1493" s="25">
        <f>IFERROR(INDEX(Pedidos!$C$2:$C$1801,MATCH(B1493,Pedidos!$A$2:$A$1801,0)),"")</f>
        <v/>
      </c>
      <c r="K1493" s="25">
        <f>IFERROR(INDEX(Pedidos!$D$2:$D$1801,MATCH(B1493,Pedidos!$A$2:$A$1801,0)),"")</f>
        <v/>
      </c>
      <c r="L1493" s="25">
        <f>IFERROR(INDEX(Pedidos!$F$2:$F$1801,MATCH(B1493,Pedidos!$A$2:$A$1801,0)),"")</f>
        <v/>
      </c>
      <c r="M1493" s="26">
        <f>IFERROR(INDEX(Pedidos!$G$2:$G$1801,MATCH(B1493,Pedidos!$A$2:$A$1801,0)),0)</f>
        <v/>
      </c>
      <c r="N1493" s="25">
        <f>IFERROR(INDEX(Produtos!$B$2:$B$71,MATCH(C1493,Produtos!$A$2:$A$71,0)),"")</f>
        <v/>
      </c>
      <c r="O1493" s="25">
        <f>IFERROR(INDEX(Produtos!$C$2:$C$71,MATCH(C1493,Produtos!$A$2:$A$71,0)),"")</f>
        <v/>
      </c>
      <c r="P1493" s="25">
        <f>IFERROR(INDEX(Produtos!$D$2:$D$71,MATCH(C1493,Produtos!$A$2:$A$71,0)),0)</f>
        <v/>
      </c>
      <c r="Q1493" s="25">
        <f>IFERROR(INDEX(Produtos!$E$2:$E$71,MATCH(C1493,Produtos!$A$2:$A$71,0)),0)</f>
        <v/>
      </c>
      <c r="R1493" s="27">
        <f>D1493*Q1493</f>
        <v/>
      </c>
      <c r="S1493" s="27">
        <f>R1493*E1493</f>
        <v/>
      </c>
      <c r="T1493" s="27">
        <f>(R1493-S1493)*M1493</f>
        <v/>
      </c>
      <c r="U1493" s="27">
        <f>R1493-S1493-T1493</f>
        <v/>
      </c>
      <c r="V1493" s="27">
        <f>D1493*P1493</f>
        <v/>
      </c>
      <c r="W1493" s="27">
        <f>U1493-V1493</f>
        <v/>
      </c>
      <c r="X1493" s="28">
        <f>IFERROR(W1493/U1493,0)</f>
        <v/>
      </c>
    </row>
    <row r="1494">
      <c r="A1494" s="21">
        <f>ItensPedido!A1494</f>
        <v/>
      </c>
      <c r="B1494" s="21">
        <f>ItensPedido!B1494</f>
        <v/>
      </c>
      <c r="C1494" s="21">
        <f>ItensPedido!C1494</f>
        <v/>
      </c>
      <c r="D1494" s="21">
        <f>ItensPedido!D1494</f>
        <v/>
      </c>
      <c r="E1494" s="22">
        <f>ItensPedido!E1494</f>
        <v/>
      </c>
      <c r="F1494" s="21">
        <f>IFERROR(INDEX(Pedidos!$B$2:$B$1801,MATCH(B1494,Pedidos!$A$2:$A$1801,0)),0)</f>
        <v/>
      </c>
      <c r="G1494" s="21">
        <f>IF(F1494=0,"",YEAR(F1494))</f>
        <v/>
      </c>
      <c r="H1494" s="21">
        <f>IF(F1494=0,"",MONTH(F1494))</f>
        <v/>
      </c>
      <c r="I1494" s="21">
        <f>IFERROR(INDEX(Pedidos!$E$2:$E$1801,MATCH(B1494,Pedidos!$A$2:$A$1801,0)),"")</f>
        <v/>
      </c>
      <c r="J1494" s="21">
        <f>IFERROR(INDEX(Pedidos!$C$2:$C$1801,MATCH(B1494,Pedidos!$A$2:$A$1801,0)),"")</f>
        <v/>
      </c>
      <c r="K1494" s="21">
        <f>IFERROR(INDEX(Pedidos!$D$2:$D$1801,MATCH(B1494,Pedidos!$A$2:$A$1801,0)),"")</f>
        <v/>
      </c>
      <c r="L1494" s="21">
        <f>IFERROR(INDEX(Pedidos!$F$2:$F$1801,MATCH(B1494,Pedidos!$A$2:$A$1801,0)),"")</f>
        <v/>
      </c>
      <c r="M1494" s="22">
        <f>IFERROR(INDEX(Pedidos!$G$2:$G$1801,MATCH(B1494,Pedidos!$A$2:$A$1801,0)),0)</f>
        <v/>
      </c>
      <c r="N1494" s="21">
        <f>IFERROR(INDEX(Produtos!$B$2:$B$71,MATCH(C1494,Produtos!$A$2:$A$71,0)),"")</f>
        <v/>
      </c>
      <c r="O1494" s="21">
        <f>IFERROR(INDEX(Produtos!$C$2:$C$71,MATCH(C1494,Produtos!$A$2:$A$71,0)),"")</f>
        <v/>
      </c>
      <c r="P1494" s="21">
        <f>IFERROR(INDEX(Produtos!$D$2:$D$71,MATCH(C1494,Produtos!$A$2:$A$71,0)),0)</f>
        <v/>
      </c>
      <c r="Q1494" s="21">
        <f>IFERROR(INDEX(Produtos!$E$2:$E$71,MATCH(C1494,Produtos!$A$2:$A$71,0)),0)</f>
        <v/>
      </c>
      <c r="R1494" s="23">
        <f>D1494*Q1494</f>
        <v/>
      </c>
      <c r="S1494" s="23">
        <f>R1494*E1494</f>
        <v/>
      </c>
      <c r="T1494" s="23">
        <f>(R1494-S1494)*M1494</f>
        <v/>
      </c>
      <c r="U1494" s="23">
        <f>R1494-S1494-T1494</f>
        <v/>
      </c>
      <c r="V1494" s="23">
        <f>D1494*P1494</f>
        <v/>
      </c>
      <c r="W1494" s="23">
        <f>U1494-V1494</f>
        <v/>
      </c>
      <c r="X1494" s="24">
        <f>IFERROR(W1494/U1494,0)</f>
        <v/>
      </c>
    </row>
    <row r="1495">
      <c r="A1495" s="25">
        <f>ItensPedido!A1495</f>
        <v/>
      </c>
      <c r="B1495" s="25">
        <f>ItensPedido!B1495</f>
        <v/>
      </c>
      <c r="C1495" s="25">
        <f>ItensPedido!C1495</f>
        <v/>
      </c>
      <c r="D1495" s="25">
        <f>ItensPedido!D1495</f>
        <v/>
      </c>
      <c r="E1495" s="26">
        <f>ItensPedido!E1495</f>
        <v/>
      </c>
      <c r="F1495" s="25">
        <f>IFERROR(INDEX(Pedidos!$B$2:$B$1801,MATCH(B1495,Pedidos!$A$2:$A$1801,0)),0)</f>
        <v/>
      </c>
      <c r="G1495" s="25">
        <f>IF(F1495=0,"",YEAR(F1495))</f>
        <v/>
      </c>
      <c r="H1495" s="25">
        <f>IF(F1495=0,"",MONTH(F1495))</f>
        <v/>
      </c>
      <c r="I1495" s="25">
        <f>IFERROR(INDEX(Pedidos!$E$2:$E$1801,MATCH(B1495,Pedidos!$A$2:$A$1801,0)),"")</f>
        <v/>
      </c>
      <c r="J1495" s="25">
        <f>IFERROR(INDEX(Pedidos!$C$2:$C$1801,MATCH(B1495,Pedidos!$A$2:$A$1801,0)),"")</f>
        <v/>
      </c>
      <c r="K1495" s="25">
        <f>IFERROR(INDEX(Pedidos!$D$2:$D$1801,MATCH(B1495,Pedidos!$A$2:$A$1801,0)),"")</f>
        <v/>
      </c>
      <c r="L1495" s="25">
        <f>IFERROR(INDEX(Pedidos!$F$2:$F$1801,MATCH(B1495,Pedidos!$A$2:$A$1801,0)),"")</f>
        <v/>
      </c>
      <c r="M1495" s="26">
        <f>IFERROR(INDEX(Pedidos!$G$2:$G$1801,MATCH(B1495,Pedidos!$A$2:$A$1801,0)),0)</f>
        <v/>
      </c>
      <c r="N1495" s="25">
        <f>IFERROR(INDEX(Produtos!$B$2:$B$71,MATCH(C1495,Produtos!$A$2:$A$71,0)),"")</f>
        <v/>
      </c>
      <c r="O1495" s="25">
        <f>IFERROR(INDEX(Produtos!$C$2:$C$71,MATCH(C1495,Produtos!$A$2:$A$71,0)),"")</f>
        <v/>
      </c>
      <c r="P1495" s="25">
        <f>IFERROR(INDEX(Produtos!$D$2:$D$71,MATCH(C1495,Produtos!$A$2:$A$71,0)),0)</f>
        <v/>
      </c>
      <c r="Q1495" s="25">
        <f>IFERROR(INDEX(Produtos!$E$2:$E$71,MATCH(C1495,Produtos!$A$2:$A$71,0)),0)</f>
        <v/>
      </c>
      <c r="R1495" s="27">
        <f>D1495*Q1495</f>
        <v/>
      </c>
      <c r="S1495" s="27">
        <f>R1495*E1495</f>
        <v/>
      </c>
      <c r="T1495" s="27">
        <f>(R1495-S1495)*M1495</f>
        <v/>
      </c>
      <c r="U1495" s="27">
        <f>R1495-S1495-T1495</f>
        <v/>
      </c>
      <c r="V1495" s="27">
        <f>D1495*P1495</f>
        <v/>
      </c>
      <c r="W1495" s="27">
        <f>U1495-V1495</f>
        <v/>
      </c>
      <c r="X1495" s="28">
        <f>IFERROR(W1495/U1495,0)</f>
        <v/>
      </c>
    </row>
    <row r="1496">
      <c r="A1496" s="21">
        <f>ItensPedido!A1496</f>
        <v/>
      </c>
      <c r="B1496" s="21">
        <f>ItensPedido!B1496</f>
        <v/>
      </c>
      <c r="C1496" s="21">
        <f>ItensPedido!C1496</f>
        <v/>
      </c>
      <c r="D1496" s="21">
        <f>ItensPedido!D1496</f>
        <v/>
      </c>
      <c r="E1496" s="22">
        <f>ItensPedido!E1496</f>
        <v/>
      </c>
      <c r="F1496" s="21">
        <f>IFERROR(INDEX(Pedidos!$B$2:$B$1801,MATCH(B1496,Pedidos!$A$2:$A$1801,0)),0)</f>
        <v/>
      </c>
      <c r="G1496" s="21">
        <f>IF(F1496=0,"",YEAR(F1496))</f>
        <v/>
      </c>
      <c r="H1496" s="21">
        <f>IF(F1496=0,"",MONTH(F1496))</f>
        <v/>
      </c>
      <c r="I1496" s="21">
        <f>IFERROR(INDEX(Pedidos!$E$2:$E$1801,MATCH(B1496,Pedidos!$A$2:$A$1801,0)),"")</f>
        <v/>
      </c>
      <c r="J1496" s="21">
        <f>IFERROR(INDEX(Pedidos!$C$2:$C$1801,MATCH(B1496,Pedidos!$A$2:$A$1801,0)),"")</f>
        <v/>
      </c>
      <c r="K1496" s="21">
        <f>IFERROR(INDEX(Pedidos!$D$2:$D$1801,MATCH(B1496,Pedidos!$A$2:$A$1801,0)),"")</f>
        <v/>
      </c>
      <c r="L1496" s="21">
        <f>IFERROR(INDEX(Pedidos!$F$2:$F$1801,MATCH(B1496,Pedidos!$A$2:$A$1801,0)),"")</f>
        <v/>
      </c>
      <c r="M1496" s="22">
        <f>IFERROR(INDEX(Pedidos!$G$2:$G$1801,MATCH(B1496,Pedidos!$A$2:$A$1801,0)),0)</f>
        <v/>
      </c>
      <c r="N1496" s="21">
        <f>IFERROR(INDEX(Produtos!$B$2:$B$71,MATCH(C1496,Produtos!$A$2:$A$71,0)),"")</f>
        <v/>
      </c>
      <c r="O1496" s="21">
        <f>IFERROR(INDEX(Produtos!$C$2:$C$71,MATCH(C1496,Produtos!$A$2:$A$71,0)),"")</f>
        <v/>
      </c>
      <c r="P1496" s="21">
        <f>IFERROR(INDEX(Produtos!$D$2:$D$71,MATCH(C1496,Produtos!$A$2:$A$71,0)),0)</f>
        <v/>
      </c>
      <c r="Q1496" s="21">
        <f>IFERROR(INDEX(Produtos!$E$2:$E$71,MATCH(C1496,Produtos!$A$2:$A$71,0)),0)</f>
        <v/>
      </c>
      <c r="R1496" s="23">
        <f>D1496*Q1496</f>
        <v/>
      </c>
      <c r="S1496" s="23">
        <f>R1496*E1496</f>
        <v/>
      </c>
      <c r="T1496" s="23">
        <f>(R1496-S1496)*M1496</f>
        <v/>
      </c>
      <c r="U1496" s="23">
        <f>R1496-S1496-T1496</f>
        <v/>
      </c>
      <c r="V1496" s="23">
        <f>D1496*P1496</f>
        <v/>
      </c>
      <c r="W1496" s="23">
        <f>U1496-V1496</f>
        <v/>
      </c>
      <c r="X1496" s="24">
        <f>IFERROR(W1496/U1496,0)</f>
        <v/>
      </c>
    </row>
    <row r="1497">
      <c r="A1497" s="25">
        <f>ItensPedido!A1497</f>
        <v/>
      </c>
      <c r="B1497" s="25">
        <f>ItensPedido!B1497</f>
        <v/>
      </c>
      <c r="C1497" s="25">
        <f>ItensPedido!C1497</f>
        <v/>
      </c>
      <c r="D1497" s="25">
        <f>ItensPedido!D1497</f>
        <v/>
      </c>
      <c r="E1497" s="26">
        <f>ItensPedido!E1497</f>
        <v/>
      </c>
      <c r="F1497" s="25">
        <f>IFERROR(INDEX(Pedidos!$B$2:$B$1801,MATCH(B1497,Pedidos!$A$2:$A$1801,0)),0)</f>
        <v/>
      </c>
      <c r="G1497" s="25">
        <f>IF(F1497=0,"",YEAR(F1497))</f>
        <v/>
      </c>
      <c r="H1497" s="25">
        <f>IF(F1497=0,"",MONTH(F1497))</f>
        <v/>
      </c>
      <c r="I1497" s="25">
        <f>IFERROR(INDEX(Pedidos!$E$2:$E$1801,MATCH(B1497,Pedidos!$A$2:$A$1801,0)),"")</f>
        <v/>
      </c>
      <c r="J1497" s="25">
        <f>IFERROR(INDEX(Pedidos!$C$2:$C$1801,MATCH(B1497,Pedidos!$A$2:$A$1801,0)),"")</f>
        <v/>
      </c>
      <c r="K1497" s="25">
        <f>IFERROR(INDEX(Pedidos!$D$2:$D$1801,MATCH(B1497,Pedidos!$A$2:$A$1801,0)),"")</f>
        <v/>
      </c>
      <c r="L1497" s="25">
        <f>IFERROR(INDEX(Pedidos!$F$2:$F$1801,MATCH(B1497,Pedidos!$A$2:$A$1801,0)),"")</f>
        <v/>
      </c>
      <c r="M1497" s="26">
        <f>IFERROR(INDEX(Pedidos!$G$2:$G$1801,MATCH(B1497,Pedidos!$A$2:$A$1801,0)),0)</f>
        <v/>
      </c>
      <c r="N1497" s="25">
        <f>IFERROR(INDEX(Produtos!$B$2:$B$71,MATCH(C1497,Produtos!$A$2:$A$71,0)),"")</f>
        <v/>
      </c>
      <c r="O1497" s="25">
        <f>IFERROR(INDEX(Produtos!$C$2:$C$71,MATCH(C1497,Produtos!$A$2:$A$71,0)),"")</f>
        <v/>
      </c>
      <c r="P1497" s="25">
        <f>IFERROR(INDEX(Produtos!$D$2:$D$71,MATCH(C1497,Produtos!$A$2:$A$71,0)),0)</f>
        <v/>
      </c>
      <c r="Q1497" s="25">
        <f>IFERROR(INDEX(Produtos!$E$2:$E$71,MATCH(C1497,Produtos!$A$2:$A$71,0)),0)</f>
        <v/>
      </c>
      <c r="R1497" s="27">
        <f>D1497*Q1497</f>
        <v/>
      </c>
      <c r="S1497" s="27">
        <f>R1497*E1497</f>
        <v/>
      </c>
      <c r="T1497" s="27">
        <f>(R1497-S1497)*M1497</f>
        <v/>
      </c>
      <c r="U1497" s="27">
        <f>R1497-S1497-T1497</f>
        <v/>
      </c>
      <c r="V1497" s="27">
        <f>D1497*P1497</f>
        <v/>
      </c>
      <c r="W1497" s="27">
        <f>U1497-V1497</f>
        <v/>
      </c>
      <c r="X1497" s="28">
        <f>IFERROR(W1497/U1497,0)</f>
        <v/>
      </c>
    </row>
    <row r="1498">
      <c r="A1498" s="21">
        <f>ItensPedido!A1498</f>
        <v/>
      </c>
      <c r="B1498" s="21">
        <f>ItensPedido!B1498</f>
        <v/>
      </c>
      <c r="C1498" s="21">
        <f>ItensPedido!C1498</f>
        <v/>
      </c>
      <c r="D1498" s="21">
        <f>ItensPedido!D1498</f>
        <v/>
      </c>
      <c r="E1498" s="22">
        <f>ItensPedido!E1498</f>
        <v/>
      </c>
      <c r="F1498" s="21">
        <f>IFERROR(INDEX(Pedidos!$B$2:$B$1801,MATCH(B1498,Pedidos!$A$2:$A$1801,0)),0)</f>
        <v/>
      </c>
      <c r="G1498" s="21">
        <f>IF(F1498=0,"",YEAR(F1498))</f>
        <v/>
      </c>
      <c r="H1498" s="21">
        <f>IF(F1498=0,"",MONTH(F1498))</f>
        <v/>
      </c>
      <c r="I1498" s="21">
        <f>IFERROR(INDEX(Pedidos!$E$2:$E$1801,MATCH(B1498,Pedidos!$A$2:$A$1801,0)),"")</f>
        <v/>
      </c>
      <c r="J1498" s="21">
        <f>IFERROR(INDEX(Pedidos!$C$2:$C$1801,MATCH(B1498,Pedidos!$A$2:$A$1801,0)),"")</f>
        <v/>
      </c>
      <c r="K1498" s="21">
        <f>IFERROR(INDEX(Pedidos!$D$2:$D$1801,MATCH(B1498,Pedidos!$A$2:$A$1801,0)),"")</f>
        <v/>
      </c>
      <c r="L1498" s="21">
        <f>IFERROR(INDEX(Pedidos!$F$2:$F$1801,MATCH(B1498,Pedidos!$A$2:$A$1801,0)),"")</f>
        <v/>
      </c>
      <c r="M1498" s="22">
        <f>IFERROR(INDEX(Pedidos!$G$2:$G$1801,MATCH(B1498,Pedidos!$A$2:$A$1801,0)),0)</f>
        <v/>
      </c>
      <c r="N1498" s="21">
        <f>IFERROR(INDEX(Produtos!$B$2:$B$71,MATCH(C1498,Produtos!$A$2:$A$71,0)),"")</f>
        <v/>
      </c>
      <c r="O1498" s="21">
        <f>IFERROR(INDEX(Produtos!$C$2:$C$71,MATCH(C1498,Produtos!$A$2:$A$71,0)),"")</f>
        <v/>
      </c>
      <c r="P1498" s="21">
        <f>IFERROR(INDEX(Produtos!$D$2:$D$71,MATCH(C1498,Produtos!$A$2:$A$71,0)),0)</f>
        <v/>
      </c>
      <c r="Q1498" s="21">
        <f>IFERROR(INDEX(Produtos!$E$2:$E$71,MATCH(C1498,Produtos!$A$2:$A$71,0)),0)</f>
        <v/>
      </c>
      <c r="R1498" s="23">
        <f>D1498*Q1498</f>
        <v/>
      </c>
      <c r="S1498" s="23">
        <f>R1498*E1498</f>
        <v/>
      </c>
      <c r="T1498" s="23">
        <f>(R1498-S1498)*M1498</f>
        <v/>
      </c>
      <c r="U1498" s="23">
        <f>R1498-S1498-T1498</f>
        <v/>
      </c>
      <c r="V1498" s="23">
        <f>D1498*P1498</f>
        <v/>
      </c>
      <c r="W1498" s="23">
        <f>U1498-V1498</f>
        <v/>
      </c>
      <c r="X1498" s="24">
        <f>IFERROR(W1498/U1498,0)</f>
        <v/>
      </c>
    </row>
    <row r="1499">
      <c r="A1499" s="25">
        <f>ItensPedido!A1499</f>
        <v/>
      </c>
      <c r="B1499" s="25">
        <f>ItensPedido!B1499</f>
        <v/>
      </c>
      <c r="C1499" s="25">
        <f>ItensPedido!C1499</f>
        <v/>
      </c>
      <c r="D1499" s="25">
        <f>ItensPedido!D1499</f>
        <v/>
      </c>
      <c r="E1499" s="26">
        <f>ItensPedido!E1499</f>
        <v/>
      </c>
      <c r="F1499" s="25">
        <f>IFERROR(INDEX(Pedidos!$B$2:$B$1801,MATCH(B1499,Pedidos!$A$2:$A$1801,0)),0)</f>
        <v/>
      </c>
      <c r="G1499" s="25">
        <f>IF(F1499=0,"",YEAR(F1499))</f>
        <v/>
      </c>
      <c r="H1499" s="25">
        <f>IF(F1499=0,"",MONTH(F1499))</f>
        <v/>
      </c>
      <c r="I1499" s="25">
        <f>IFERROR(INDEX(Pedidos!$E$2:$E$1801,MATCH(B1499,Pedidos!$A$2:$A$1801,0)),"")</f>
        <v/>
      </c>
      <c r="J1499" s="25">
        <f>IFERROR(INDEX(Pedidos!$C$2:$C$1801,MATCH(B1499,Pedidos!$A$2:$A$1801,0)),"")</f>
        <v/>
      </c>
      <c r="K1499" s="25">
        <f>IFERROR(INDEX(Pedidos!$D$2:$D$1801,MATCH(B1499,Pedidos!$A$2:$A$1801,0)),"")</f>
        <v/>
      </c>
      <c r="L1499" s="25">
        <f>IFERROR(INDEX(Pedidos!$F$2:$F$1801,MATCH(B1499,Pedidos!$A$2:$A$1801,0)),"")</f>
        <v/>
      </c>
      <c r="M1499" s="26">
        <f>IFERROR(INDEX(Pedidos!$G$2:$G$1801,MATCH(B1499,Pedidos!$A$2:$A$1801,0)),0)</f>
        <v/>
      </c>
      <c r="N1499" s="25">
        <f>IFERROR(INDEX(Produtos!$B$2:$B$71,MATCH(C1499,Produtos!$A$2:$A$71,0)),"")</f>
        <v/>
      </c>
      <c r="O1499" s="25">
        <f>IFERROR(INDEX(Produtos!$C$2:$C$71,MATCH(C1499,Produtos!$A$2:$A$71,0)),"")</f>
        <v/>
      </c>
      <c r="P1499" s="25">
        <f>IFERROR(INDEX(Produtos!$D$2:$D$71,MATCH(C1499,Produtos!$A$2:$A$71,0)),0)</f>
        <v/>
      </c>
      <c r="Q1499" s="25">
        <f>IFERROR(INDEX(Produtos!$E$2:$E$71,MATCH(C1499,Produtos!$A$2:$A$71,0)),0)</f>
        <v/>
      </c>
      <c r="R1499" s="27">
        <f>D1499*Q1499</f>
        <v/>
      </c>
      <c r="S1499" s="27">
        <f>R1499*E1499</f>
        <v/>
      </c>
      <c r="T1499" s="27">
        <f>(R1499-S1499)*M1499</f>
        <v/>
      </c>
      <c r="U1499" s="27">
        <f>R1499-S1499-T1499</f>
        <v/>
      </c>
      <c r="V1499" s="27">
        <f>D1499*P1499</f>
        <v/>
      </c>
      <c r="W1499" s="27">
        <f>U1499-V1499</f>
        <v/>
      </c>
      <c r="X1499" s="28">
        <f>IFERROR(W1499/U1499,0)</f>
        <v/>
      </c>
    </row>
    <row r="1500">
      <c r="A1500" s="21">
        <f>ItensPedido!A1500</f>
        <v/>
      </c>
      <c r="B1500" s="21">
        <f>ItensPedido!B1500</f>
        <v/>
      </c>
      <c r="C1500" s="21">
        <f>ItensPedido!C1500</f>
        <v/>
      </c>
      <c r="D1500" s="21">
        <f>ItensPedido!D1500</f>
        <v/>
      </c>
      <c r="E1500" s="22">
        <f>ItensPedido!E1500</f>
        <v/>
      </c>
      <c r="F1500" s="21">
        <f>IFERROR(INDEX(Pedidos!$B$2:$B$1801,MATCH(B1500,Pedidos!$A$2:$A$1801,0)),0)</f>
        <v/>
      </c>
      <c r="G1500" s="21">
        <f>IF(F1500=0,"",YEAR(F1500))</f>
        <v/>
      </c>
      <c r="H1500" s="21">
        <f>IF(F1500=0,"",MONTH(F1500))</f>
        <v/>
      </c>
      <c r="I1500" s="21">
        <f>IFERROR(INDEX(Pedidos!$E$2:$E$1801,MATCH(B1500,Pedidos!$A$2:$A$1801,0)),"")</f>
        <v/>
      </c>
      <c r="J1500" s="21">
        <f>IFERROR(INDEX(Pedidos!$C$2:$C$1801,MATCH(B1500,Pedidos!$A$2:$A$1801,0)),"")</f>
        <v/>
      </c>
      <c r="K1500" s="21">
        <f>IFERROR(INDEX(Pedidos!$D$2:$D$1801,MATCH(B1500,Pedidos!$A$2:$A$1801,0)),"")</f>
        <v/>
      </c>
      <c r="L1500" s="21">
        <f>IFERROR(INDEX(Pedidos!$F$2:$F$1801,MATCH(B1500,Pedidos!$A$2:$A$1801,0)),"")</f>
        <v/>
      </c>
      <c r="M1500" s="22">
        <f>IFERROR(INDEX(Pedidos!$G$2:$G$1801,MATCH(B1500,Pedidos!$A$2:$A$1801,0)),0)</f>
        <v/>
      </c>
      <c r="N1500" s="21">
        <f>IFERROR(INDEX(Produtos!$B$2:$B$71,MATCH(C1500,Produtos!$A$2:$A$71,0)),"")</f>
        <v/>
      </c>
      <c r="O1500" s="21">
        <f>IFERROR(INDEX(Produtos!$C$2:$C$71,MATCH(C1500,Produtos!$A$2:$A$71,0)),"")</f>
        <v/>
      </c>
      <c r="P1500" s="21">
        <f>IFERROR(INDEX(Produtos!$D$2:$D$71,MATCH(C1500,Produtos!$A$2:$A$71,0)),0)</f>
        <v/>
      </c>
      <c r="Q1500" s="21">
        <f>IFERROR(INDEX(Produtos!$E$2:$E$71,MATCH(C1500,Produtos!$A$2:$A$71,0)),0)</f>
        <v/>
      </c>
      <c r="R1500" s="23">
        <f>D1500*Q1500</f>
        <v/>
      </c>
      <c r="S1500" s="23">
        <f>R1500*E1500</f>
        <v/>
      </c>
      <c r="T1500" s="23">
        <f>(R1500-S1500)*M1500</f>
        <v/>
      </c>
      <c r="U1500" s="23">
        <f>R1500-S1500-T1500</f>
        <v/>
      </c>
      <c r="V1500" s="23">
        <f>D1500*P1500</f>
        <v/>
      </c>
      <c r="W1500" s="23">
        <f>U1500-V1500</f>
        <v/>
      </c>
      <c r="X1500" s="24">
        <f>IFERROR(W1500/U1500,0)</f>
        <v/>
      </c>
    </row>
    <row r="1501">
      <c r="A1501" s="25">
        <f>ItensPedido!A1501</f>
        <v/>
      </c>
      <c r="B1501" s="25">
        <f>ItensPedido!B1501</f>
        <v/>
      </c>
      <c r="C1501" s="25">
        <f>ItensPedido!C1501</f>
        <v/>
      </c>
      <c r="D1501" s="25">
        <f>ItensPedido!D1501</f>
        <v/>
      </c>
      <c r="E1501" s="26">
        <f>ItensPedido!E1501</f>
        <v/>
      </c>
      <c r="F1501" s="25">
        <f>IFERROR(INDEX(Pedidos!$B$2:$B$1801,MATCH(B1501,Pedidos!$A$2:$A$1801,0)),0)</f>
        <v/>
      </c>
      <c r="G1501" s="25">
        <f>IF(F1501=0,"",YEAR(F1501))</f>
        <v/>
      </c>
      <c r="H1501" s="25">
        <f>IF(F1501=0,"",MONTH(F1501))</f>
        <v/>
      </c>
      <c r="I1501" s="25">
        <f>IFERROR(INDEX(Pedidos!$E$2:$E$1801,MATCH(B1501,Pedidos!$A$2:$A$1801,0)),"")</f>
        <v/>
      </c>
      <c r="J1501" s="25">
        <f>IFERROR(INDEX(Pedidos!$C$2:$C$1801,MATCH(B1501,Pedidos!$A$2:$A$1801,0)),"")</f>
        <v/>
      </c>
      <c r="K1501" s="25">
        <f>IFERROR(INDEX(Pedidos!$D$2:$D$1801,MATCH(B1501,Pedidos!$A$2:$A$1801,0)),"")</f>
        <v/>
      </c>
      <c r="L1501" s="25">
        <f>IFERROR(INDEX(Pedidos!$F$2:$F$1801,MATCH(B1501,Pedidos!$A$2:$A$1801,0)),"")</f>
        <v/>
      </c>
      <c r="M1501" s="26">
        <f>IFERROR(INDEX(Pedidos!$G$2:$G$1801,MATCH(B1501,Pedidos!$A$2:$A$1801,0)),0)</f>
        <v/>
      </c>
      <c r="N1501" s="25">
        <f>IFERROR(INDEX(Produtos!$B$2:$B$71,MATCH(C1501,Produtos!$A$2:$A$71,0)),"")</f>
        <v/>
      </c>
      <c r="O1501" s="25">
        <f>IFERROR(INDEX(Produtos!$C$2:$C$71,MATCH(C1501,Produtos!$A$2:$A$71,0)),"")</f>
        <v/>
      </c>
      <c r="P1501" s="25">
        <f>IFERROR(INDEX(Produtos!$D$2:$D$71,MATCH(C1501,Produtos!$A$2:$A$71,0)),0)</f>
        <v/>
      </c>
      <c r="Q1501" s="25">
        <f>IFERROR(INDEX(Produtos!$E$2:$E$71,MATCH(C1501,Produtos!$A$2:$A$71,0)),0)</f>
        <v/>
      </c>
      <c r="R1501" s="27">
        <f>D1501*Q1501</f>
        <v/>
      </c>
      <c r="S1501" s="27">
        <f>R1501*E1501</f>
        <v/>
      </c>
      <c r="T1501" s="27">
        <f>(R1501-S1501)*M1501</f>
        <v/>
      </c>
      <c r="U1501" s="27">
        <f>R1501-S1501-T1501</f>
        <v/>
      </c>
      <c r="V1501" s="27">
        <f>D1501*P1501</f>
        <v/>
      </c>
      <c r="W1501" s="27">
        <f>U1501-V1501</f>
        <v/>
      </c>
      <c r="X1501" s="28">
        <f>IFERROR(W1501/U1501,0)</f>
        <v/>
      </c>
    </row>
    <row r="1502">
      <c r="A1502" s="21">
        <f>ItensPedido!A1502</f>
        <v/>
      </c>
      <c r="B1502" s="21">
        <f>ItensPedido!B1502</f>
        <v/>
      </c>
      <c r="C1502" s="21">
        <f>ItensPedido!C1502</f>
        <v/>
      </c>
      <c r="D1502" s="21">
        <f>ItensPedido!D1502</f>
        <v/>
      </c>
      <c r="E1502" s="22">
        <f>ItensPedido!E1502</f>
        <v/>
      </c>
      <c r="F1502" s="21">
        <f>IFERROR(INDEX(Pedidos!$B$2:$B$1801,MATCH(B1502,Pedidos!$A$2:$A$1801,0)),0)</f>
        <v/>
      </c>
      <c r="G1502" s="21">
        <f>IF(F1502=0,"",YEAR(F1502))</f>
        <v/>
      </c>
      <c r="H1502" s="21">
        <f>IF(F1502=0,"",MONTH(F1502))</f>
        <v/>
      </c>
      <c r="I1502" s="21">
        <f>IFERROR(INDEX(Pedidos!$E$2:$E$1801,MATCH(B1502,Pedidos!$A$2:$A$1801,0)),"")</f>
        <v/>
      </c>
      <c r="J1502" s="21">
        <f>IFERROR(INDEX(Pedidos!$C$2:$C$1801,MATCH(B1502,Pedidos!$A$2:$A$1801,0)),"")</f>
        <v/>
      </c>
      <c r="K1502" s="21">
        <f>IFERROR(INDEX(Pedidos!$D$2:$D$1801,MATCH(B1502,Pedidos!$A$2:$A$1801,0)),"")</f>
        <v/>
      </c>
      <c r="L1502" s="21">
        <f>IFERROR(INDEX(Pedidos!$F$2:$F$1801,MATCH(B1502,Pedidos!$A$2:$A$1801,0)),"")</f>
        <v/>
      </c>
      <c r="M1502" s="22">
        <f>IFERROR(INDEX(Pedidos!$G$2:$G$1801,MATCH(B1502,Pedidos!$A$2:$A$1801,0)),0)</f>
        <v/>
      </c>
      <c r="N1502" s="21">
        <f>IFERROR(INDEX(Produtos!$B$2:$B$71,MATCH(C1502,Produtos!$A$2:$A$71,0)),"")</f>
        <v/>
      </c>
      <c r="O1502" s="21">
        <f>IFERROR(INDEX(Produtos!$C$2:$C$71,MATCH(C1502,Produtos!$A$2:$A$71,0)),"")</f>
        <v/>
      </c>
      <c r="P1502" s="21">
        <f>IFERROR(INDEX(Produtos!$D$2:$D$71,MATCH(C1502,Produtos!$A$2:$A$71,0)),0)</f>
        <v/>
      </c>
      <c r="Q1502" s="21">
        <f>IFERROR(INDEX(Produtos!$E$2:$E$71,MATCH(C1502,Produtos!$A$2:$A$71,0)),0)</f>
        <v/>
      </c>
      <c r="R1502" s="23">
        <f>D1502*Q1502</f>
        <v/>
      </c>
      <c r="S1502" s="23">
        <f>R1502*E1502</f>
        <v/>
      </c>
      <c r="T1502" s="23">
        <f>(R1502-S1502)*M1502</f>
        <v/>
      </c>
      <c r="U1502" s="23">
        <f>R1502-S1502-T1502</f>
        <v/>
      </c>
      <c r="V1502" s="23">
        <f>D1502*P1502</f>
        <v/>
      </c>
      <c r="W1502" s="23">
        <f>U1502-V1502</f>
        <v/>
      </c>
      <c r="X1502" s="24">
        <f>IFERROR(W1502/U1502,0)</f>
        <v/>
      </c>
    </row>
    <row r="1503">
      <c r="A1503" s="25">
        <f>ItensPedido!A1503</f>
        <v/>
      </c>
      <c r="B1503" s="25">
        <f>ItensPedido!B1503</f>
        <v/>
      </c>
      <c r="C1503" s="25">
        <f>ItensPedido!C1503</f>
        <v/>
      </c>
      <c r="D1503" s="25">
        <f>ItensPedido!D1503</f>
        <v/>
      </c>
      <c r="E1503" s="26">
        <f>ItensPedido!E1503</f>
        <v/>
      </c>
      <c r="F1503" s="25">
        <f>IFERROR(INDEX(Pedidos!$B$2:$B$1801,MATCH(B1503,Pedidos!$A$2:$A$1801,0)),0)</f>
        <v/>
      </c>
      <c r="G1503" s="25">
        <f>IF(F1503=0,"",YEAR(F1503))</f>
        <v/>
      </c>
      <c r="H1503" s="25">
        <f>IF(F1503=0,"",MONTH(F1503))</f>
        <v/>
      </c>
      <c r="I1503" s="25">
        <f>IFERROR(INDEX(Pedidos!$E$2:$E$1801,MATCH(B1503,Pedidos!$A$2:$A$1801,0)),"")</f>
        <v/>
      </c>
      <c r="J1503" s="25">
        <f>IFERROR(INDEX(Pedidos!$C$2:$C$1801,MATCH(B1503,Pedidos!$A$2:$A$1801,0)),"")</f>
        <v/>
      </c>
      <c r="K1503" s="25">
        <f>IFERROR(INDEX(Pedidos!$D$2:$D$1801,MATCH(B1503,Pedidos!$A$2:$A$1801,0)),"")</f>
        <v/>
      </c>
      <c r="L1503" s="25">
        <f>IFERROR(INDEX(Pedidos!$F$2:$F$1801,MATCH(B1503,Pedidos!$A$2:$A$1801,0)),"")</f>
        <v/>
      </c>
      <c r="M1503" s="26">
        <f>IFERROR(INDEX(Pedidos!$G$2:$G$1801,MATCH(B1503,Pedidos!$A$2:$A$1801,0)),0)</f>
        <v/>
      </c>
      <c r="N1503" s="25">
        <f>IFERROR(INDEX(Produtos!$B$2:$B$71,MATCH(C1503,Produtos!$A$2:$A$71,0)),"")</f>
        <v/>
      </c>
      <c r="O1503" s="25">
        <f>IFERROR(INDEX(Produtos!$C$2:$C$71,MATCH(C1503,Produtos!$A$2:$A$71,0)),"")</f>
        <v/>
      </c>
      <c r="P1503" s="25">
        <f>IFERROR(INDEX(Produtos!$D$2:$D$71,MATCH(C1503,Produtos!$A$2:$A$71,0)),0)</f>
        <v/>
      </c>
      <c r="Q1503" s="25">
        <f>IFERROR(INDEX(Produtos!$E$2:$E$71,MATCH(C1503,Produtos!$A$2:$A$71,0)),0)</f>
        <v/>
      </c>
      <c r="R1503" s="27">
        <f>D1503*Q1503</f>
        <v/>
      </c>
      <c r="S1503" s="27">
        <f>R1503*E1503</f>
        <v/>
      </c>
      <c r="T1503" s="27">
        <f>(R1503-S1503)*M1503</f>
        <v/>
      </c>
      <c r="U1503" s="27">
        <f>R1503-S1503-T1503</f>
        <v/>
      </c>
      <c r="V1503" s="27">
        <f>D1503*P1503</f>
        <v/>
      </c>
      <c r="W1503" s="27">
        <f>U1503-V1503</f>
        <v/>
      </c>
      <c r="X1503" s="28">
        <f>IFERROR(W1503/U1503,0)</f>
        <v/>
      </c>
    </row>
    <row r="1504">
      <c r="A1504" s="21">
        <f>ItensPedido!A1504</f>
        <v/>
      </c>
      <c r="B1504" s="21">
        <f>ItensPedido!B1504</f>
        <v/>
      </c>
      <c r="C1504" s="21">
        <f>ItensPedido!C1504</f>
        <v/>
      </c>
      <c r="D1504" s="21">
        <f>ItensPedido!D1504</f>
        <v/>
      </c>
      <c r="E1504" s="22">
        <f>ItensPedido!E1504</f>
        <v/>
      </c>
      <c r="F1504" s="21">
        <f>IFERROR(INDEX(Pedidos!$B$2:$B$1801,MATCH(B1504,Pedidos!$A$2:$A$1801,0)),0)</f>
        <v/>
      </c>
      <c r="G1504" s="21">
        <f>IF(F1504=0,"",YEAR(F1504))</f>
        <v/>
      </c>
      <c r="H1504" s="21">
        <f>IF(F1504=0,"",MONTH(F1504))</f>
        <v/>
      </c>
      <c r="I1504" s="21">
        <f>IFERROR(INDEX(Pedidos!$E$2:$E$1801,MATCH(B1504,Pedidos!$A$2:$A$1801,0)),"")</f>
        <v/>
      </c>
      <c r="J1504" s="21">
        <f>IFERROR(INDEX(Pedidos!$C$2:$C$1801,MATCH(B1504,Pedidos!$A$2:$A$1801,0)),"")</f>
        <v/>
      </c>
      <c r="K1504" s="21">
        <f>IFERROR(INDEX(Pedidos!$D$2:$D$1801,MATCH(B1504,Pedidos!$A$2:$A$1801,0)),"")</f>
        <v/>
      </c>
      <c r="L1504" s="21">
        <f>IFERROR(INDEX(Pedidos!$F$2:$F$1801,MATCH(B1504,Pedidos!$A$2:$A$1801,0)),"")</f>
        <v/>
      </c>
      <c r="M1504" s="22">
        <f>IFERROR(INDEX(Pedidos!$G$2:$G$1801,MATCH(B1504,Pedidos!$A$2:$A$1801,0)),0)</f>
        <v/>
      </c>
      <c r="N1504" s="21">
        <f>IFERROR(INDEX(Produtos!$B$2:$B$71,MATCH(C1504,Produtos!$A$2:$A$71,0)),"")</f>
        <v/>
      </c>
      <c r="O1504" s="21">
        <f>IFERROR(INDEX(Produtos!$C$2:$C$71,MATCH(C1504,Produtos!$A$2:$A$71,0)),"")</f>
        <v/>
      </c>
      <c r="P1504" s="21">
        <f>IFERROR(INDEX(Produtos!$D$2:$D$71,MATCH(C1504,Produtos!$A$2:$A$71,0)),0)</f>
        <v/>
      </c>
      <c r="Q1504" s="21">
        <f>IFERROR(INDEX(Produtos!$E$2:$E$71,MATCH(C1504,Produtos!$A$2:$A$71,0)),0)</f>
        <v/>
      </c>
      <c r="R1504" s="23">
        <f>D1504*Q1504</f>
        <v/>
      </c>
      <c r="S1504" s="23">
        <f>R1504*E1504</f>
        <v/>
      </c>
      <c r="T1504" s="23">
        <f>(R1504-S1504)*M1504</f>
        <v/>
      </c>
      <c r="U1504" s="23">
        <f>R1504-S1504-T1504</f>
        <v/>
      </c>
      <c r="V1504" s="23">
        <f>D1504*P1504</f>
        <v/>
      </c>
      <c r="W1504" s="23">
        <f>U1504-V1504</f>
        <v/>
      </c>
      <c r="X1504" s="24">
        <f>IFERROR(W1504/U1504,0)</f>
        <v/>
      </c>
    </row>
    <row r="1505">
      <c r="A1505" s="25">
        <f>ItensPedido!A1505</f>
        <v/>
      </c>
      <c r="B1505" s="25">
        <f>ItensPedido!B1505</f>
        <v/>
      </c>
      <c r="C1505" s="25">
        <f>ItensPedido!C1505</f>
        <v/>
      </c>
      <c r="D1505" s="25">
        <f>ItensPedido!D1505</f>
        <v/>
      </c>
      <c r="E1505" s="26">
        <f>ItensPedido!E1505</f>
        <v/>
      </c>
      <c r="F1505" s="25">
        <f>IFERROR(INDEX(Pedidos!$B$2:$B$1801,MATCH(B1505,Pedidos!$A$2:$A$1801,0)),0)</f>
        <v/>
      </c>
      <c r="G1505" s="25">
        <f>IF(F1505=0,"",YEAR(F1505))</f>
        <v/>
      </c>
      <c r="H1505" s="25">
        <f>IF(F1505=0,"",MONTH(F1505))</f>
        <v/>
      </c>
      <c r="I1505" s="25">
        <f>IFERROR(INDEX(Pedidos!$E$2:$E$1801,MATCH(B1505,Pedidos!$A$2:$A$1801,0)),"")</f>
        <v/>
      </c>
      <c r="J1505" s="25">
        <f>IFERROR(INDEX(Pedidos!$C$2:$C$1801,MATCH(B1505,Pedidos!$A$2:$A$1801,0)),"")</f>
        <v/>
      </c>
      <c r="K1505" s="25">
        <f>IFERROR(INDEX(Pedidos!$D$2:$D$1801,MATCH(B1505,Pedidos!$A$2:$A$1801,0)),"")</f>
        <v/>
      </c>
      <c r="L1505" s="25">
        <f>IFERROR(INDEX(Pedidos!$F$2:$F$1801,MATCH(B1505,Pedidos!$A$2:$A$1801,0)),"")</f>
        <v/>
      </c>
      <c r="M1505" s="26">
        <f>IFERROR(INDEX(Pedidos!$G$2:$G$1801,MATCH(B1505,Pedidos!$A$2:$A$1801,0)),0)</f>
        <v/>
      </c>
      <c r="N1505" s="25">
        <f>IFERROR(INDEX(Produtos!$B$2:$B$71,MATCH(C1505,Produtos!$A$2:$A$71,0)),"")</f>
        <v/>
      </c>
      <c r="O1505" s="25">
        <f>IFERROR(INDEX(Produtos!$C$2:$C$71,MATCH(C1505,Produtos!$A$2:$A$71,0)),"")</f>
        <v/>
      </c>
      <c r="P1505" s="25">
        <f>IFERROR(INDEX(Produtos!$D$2:$D$71,MATCH(C1505,Produtos!$A$2:$A$71,0)),0)</f>
        <v/>
      </c>
      <c r="Q1505" s="25">
        <f>IFERROR(INDEX(Produtos!$E$2:$E$71,MATCH(C1505,Produtos!$A$2:$A$71,0)),0)</f>
        <v/>
      </c>
      <c r="R1505" s="27">
        <f>D1505*Q1505</f>
        <v/>
      </c>
      <c r="S1505" s="27">
        <f>R1505*E1505</f>
        <v/>
      </c>
      <c r="T1505" s="27">
        <f>(R1505-S1505)*M1505</f>
        <v/>
      </c>
      <c r="U1505" s="27">
        <f>R1505-S1505-T1505</f>
        <v/>
      </c>
      <c r="V1505" s="27">
        <f>D1505*P1505</f>
        <v/>
      </c>
      <c r="W1505" s="27">
        <f>U1505-V1505</f>
        <v/>
      </c>
      <c r="X1505" s="28">
        <f>IFERROR(W1505/U1505,0)</f>
        <v/>
      </c>
    </row>
    <row r="1506">
      <c r="A1506" s="21">
        <f>ItensPedido!A1506</f>
        <v/>
      </c>
      <c r="B1506" s="21">
        <f>ItensPedido!B1506</f>
        <v/>
      </c>
      <c r="C1506" s="21">
        <f>ItensPedido!C1506</f>
        <v/>
      </c>
      <c r="D1506" s="21">
        <f>ItensPedido!D1506</f>
        <v/>
      </c>
      <c r="E1506" s="22">
        <f>ItensPedido!E1506</f>
        <v/>
      </c>
      <c r="F1506" s="21">
        <f>IFERROR(INDEX(Pedidos!$B$2:$B$1801,MATCH(B1506,Pedidos!$A$2:$A$1801,0)),0)</f>
        <v/>
      </c>
      <c r="G1506" s="21">
        <f>IF(F1506=0,"",YEAR(F1506))</f>
        <v/>
      </c>
      <c r="H1506" s="21">
        <f>IF(F1506=0,"",MONTH(F1506))</f>
        <v/>
      </c>
      <c r="I1506" s="21">
        <f>IFERROR(INDEX(Pedidos!$E$2:$E$1801,MATCH(B1506,Pedidos!$A$2:$A$1801,0)),"")</f>
        <v/>
      </c>
      <c r="J1506" s="21">
        <f>IFERROR(INDEX(Pedidos!$C$2:$C$1801,MATCH(B1506,Pedidos!$A$2:$A$1801,0)),"")</f>
        <v/>
      </c>
      <c r="K1506" s="21">
        <f>IFERROR(INDEX(Pedidos!$D$2:$D$1801,MATCH(B1506,Pedidos!$A$2:$A$1801,0)),"")</f>
        <v/>
      </c>
      <c r="L1506" s="21">
        <f>IFERROR(INDEX(Pedidos!$F$2:$F$1801,MATCH(B1506,Pedidos!$A$2:$A$1801,0)),"")</f>
        <v/>
      </c>
      <c r="M1506" s="22">
        <f>IFERROR(INDEX(Pedidos!$G$2:$G$1801,MATCH(B1506,Pedidos!$A$2:$A$1801,0)),0)</f>
        <v/>
      </c>
      <c r="N1506" s="21">
        <f>IFERROR(INDEX(Produtos!$B$2:$B$71,MATCH(C1506,Produtos!$A$2:$A$71,0)),"")</f>
        <v/>
      </c>
      <c r="O1506" s="21">
        <f>IFERROR(INDEX(Produtos!$C$2:$C$71,MATCH(C1506,Produtos!$A$2:$A$71,0)),"")</f>
        <v/>
      </c>
      <c r="P1506" s="21">
        <f>IFERROR(INDEX(Produtos!$D$2:$D$71,MATCH(C1506,Produtos!$A$2:$A$71,0)),0)</f>
        <v/>
      </c>
      <c r="Q1506" s="21">
        <f>IFERROR(INDEX(Produtos!$E$2:$E$71,MATCH(C1506,Produtos!$A$2:$A$71,0)),0)</f>
        <v/>
      </c>
      <c r="R1506" s="23">
        <f>D1506*Q1506</f>
        <v/>
      </c>
      <c r="S1506" s="23">
        <f>R1506*E1506</f>
        <v/>
      </c>
      <c r="T1506" s="23">
        <f>(R1506-S1506)*M1506</f>
        <v/>
      </c>
      <c r="U1506" s="23">
        <f>R1506-S1506-T1506</f>
        <v/>
      </c>
      <c r="V1506" s="23">
        <f>D1506*P1506</f>
        <v/>
      </c>
      <c r="W1506" s="23">
        <f>U1506-V1506</f>
        <v/>
      </c>
      <c r="X1506" s="24">
        <f>IFERROR(W1506/U1506,0)</f>
        <v/>
      </c>
    </row>
    <row r="1507">
      <c r="A1507" s="25">
        <f>ItensPedido!A1507</f>
        <v/>
      </c>
      <c r="B1507" s="25">
        <f>ItensPedido!B1507</f>
        <v/>
      </c>
      <c r="C1507" s="25">
        <f>ItensPedido!C1507</f>
        <v/>
      </c>
      <c r="D1507" s="25">
        <f>ItensPedido!D1507</f>
        <v/>
      </c>
      <c r="E1507" s="26">
        <f>ItensPedido!E1507</f>
        <v/>
      </c>
      <c r="F1507" s="25">
        <f>IFERROR(INDEX(Pedidos!$B$2:$B$1801,MATCH(B1507,Pedidos!$A$2:$A$1801,0)),0)</f>
        <v/>
      </c>
      <c r="G1507" s="25">
        <f>IF(F1507=0,"",YEAR(F1507))</f>
        <v/>
      </c>
      <c r="H1507" s="25">
        <f>IF(F1507=0,"",MONTH(F1507))</f>
        <v/>
      </c>
      <c r="I1507" s="25">
        <f>IFERROR(INDEX(Pedidos!$E$2:$E$1801,MATCH(B1507,Pedidos!$A$2:$A$1801,0)),"")</f>
        <v/>
      </c>
      <c r="J1507" s="25">
        <f>IFERROR(INDEX(Pedidos!$C$2:$C$1801,MATCH(B1507,Pedidos!$A$2:$A$1801,0)),"")</f>
        <v/>
      </c>
      <c r="K1507" s="25">
        <f>IFERROR(INDEX(Pedidos!$D$2:$D$1801,MATCH(B1507,Pedidos!$A$2:$A$1801,0)),"")</f>
        <v/>
      </c>
      <c r="L1507" s="25">
        <f>IFERROR(INDEX(Pedidos!$F$2:$F$1801,MATCH(B1507,Pedidos!$A$2:$A$1801,0)),"")</f>
        <v/>
      </c>
      <c r="M1507" s="26">
        <f>IFERROR(INDEX(Pedidos!$G$2:$G$1801,MATCH(B1507,Pedidos!$A$2:$A$1801,0)),0)</f>
        <v/>
      </c>
      <c r="N1507" s="25">
        <f>IFERROR(INDEX(Produtos!$B$2:$B$71,MATCH(C1507,Produtos!$A$2:$A$71,0)),"")</f>
        <v/>
      </c>
      <c r="O1507" s="25">
        <f>IFERROR(INDEX(Produtos!$C$2:$C$71,MATCH(C1507,Produtos!$A$2:$A$71,0)),"")</f>
        <v/>
      </c>
      <c r="P1507" s="25">
        <f>IFERROR(INDEX(Produtos!$D$2:$D$71,MATCH(C1507,Produtos!$A$2:$A$71,0)),0)</f>
        <v/>
      </c>
      <c r="Q1507" s="25">
        <f>IFERROR(INDEX(Produtos!$E$2:$E$71,MATCH(C1507,Produtos!$A$2:$A$71,0)),0)</f>
        <v/>
      </c>
      <c r="R1507" s="27">
        <f>D1507*Q1507</f>
        <v/>
      </c>
      <c r="S1507" s="27">
        <f>R1507*E1507</f>
        <v/>
      </c>
      <c r="T1507" s="27">
        <f>(R1507-S1507)*M1507</f>
        <v/>
      </c>
      <c r="U1507" s="27">
        <f>R1507-S1507-T1507</f>
        <v/>
      </c>
      <c r="V1507" s="27">
        <f>D1507*P1507</f>
        <v/>
      </c>
      <c r="W1507" s="27">
        <f>U1507-V1507</f>
        <v/>
      </c>
      <c r="X1507" s="28">
        <f>IFERROR(W1507/U1507,0)</f>
        <v/>
      </c>
    </row>
    <row r="1508">
      <c r="A1508" s="21">
        <f>ItensPedido!A1508</f>
        <v/>
      </c>
      <c r="B1508" s="21">
        <f>ItensPedido!B1508</f>
        <v/>
      </c>
      <c r="C1508" s="21">
        <f>ItensPedido!C1508</f>
        <v/>
      </c>
      <c r="D1508" s="21">
        <f>ItensPedido!D1508</f>
        <v/>
      </c>
      <c r="E1508" s="22">
        <f>ItensPedido!E1508</f>
        <v/>
      </c>
      <c r="F1508" s="21">
        <f>IFERROR(INDEX(Pedidos!$B$2:$B$1801,MATCH(B1508,Pedidos!$A$2:$A$1801,0)),0)</f>
        <v/>
      </c>
      <c r="G1508" s="21">
        <f>IF(F1508=0,"",YEAR(F1508))</f>
        <v/>
      </c>
      <c r="H1508" s="21">
        <f>IF(F1508=0,"",MONTH(F1508))</f>
        <v/>
      </c>
      <c r="I1508" s="21">
        <f>IFERROR(INDEX(Pedidos!$E$2:$E$1801,MATCH(B1508,Pedidos!$A$2:$A$1801,0)),"")</f>
        <v/>
      </c>
      <c r="J1508" s="21">
        <f>IFERROR(INDEX(Pedidos!$C$2:$C$1801,MATCH(B1508,Pedidos!$A$2:$A$1801,0)),"")</f>
        <v/>
      </c>
      <c r="K1508" s="21">
        <f>IFERROR(INDEX(Pedidos!$D$2:$D$1801,MATCH(B1508,Pedidos!$A$2:$A$1801,0)),"")</f>
        <v/>
      </c>
      <c r="L1508" s="21">
        <f>IFERROR(INDEX(Pedidos!$F$2:$F$1801,MATCH(B1508,Pedidos!$A$2:$A$1801,0)),"")</f>
        <v/>
      </c>
      <c r="M1508" s="22">
        <f>IFERROR(INDEX(Pedidos!$G$2:$G$1801,MATCH(B1508,Pedidos!$A$2:$A$1801,0)),0)</f>
        <v/>
      </c>
      <c r="N1508" s="21">
        <f>IFERROR(INDEX(Produtos!$B$2:$B$71,MATCH(C1508,Produtos!$A$2:$A$71,0)),"")</f>
        <v/>
      </c>
      <c r="O1508" s="21">
        <f>IFERROR(INDEX(Produtos!$C$2:$C$71,MATCH(C1508,Produtos!$A$2:$A$71,0)),"")</f>
        <v/>
      </c>
      <c r="P1508" s="21">
        <f>IFERROR(INDEX(Produtos!$D$2:$D$71,MATCH(C1508,Produtos!$A$2:$A$71,0)),0)</f>
        <v/>
      </c>
      <c r="Q1508" s="21">
        <f>IFERROR(INDEX(Produtos!$E$2:$E$71,MATCH(C1508,Produtos!$A$2:$A$71,0)),0)</f>
        <v/>
      </c>
      <c r="R1508" s="23">
        <f>D1508*Q1508</f>
        <v/>
      </c>
      <c r="S1508" s="23">
        <f>R1508*E1508</f>
        <v/>
      </c>
      <c r="T1508" s="23">
        <f>(R1508-S1508)*M1508</f>
        <v/>
      </c>
      <c r="U1508" s="23">
        <f>R1508-S1508-T1508</f>
        <v/>
      </c>
      <c r="V1508" s="23">
        <f>D1508*P1508</f>
        <v/>
      </c>
      <c r="W1508" s="23">
        <f>U1508-V1508</f>
        <v/>
      </c>
      <c r="X1508" s="24">
        <f>IFERROR(W1508/U1508,0)</f>
        <v/>
      </c>
    </row>
    <row r="1509">
      <c r="A1509" s="25">
        <f>ItensPedido!A1509</f>
        <v/>
      </c>
      <c r="B1509" s="25">
        <f>ItensPedido!B1509</f>
        <v/>
      </c>
      <c r="C1509" s="25">
        <f>ItensPedido!C1509</f>
        <v/>
      </c>
      <c r="D1509" s="25">
        <f>ItensPedido!D1509</f>
        <v/>
      </c>
      <c r="E1509" s="26">
        <f>ItensPedido!E1509</f>
        <v/>
      </c>
      <c r="F1509" s="25">
        <f>IFERROR(INDEX(Pedidos!$B$2:$B$1801,MATCH(B1509,Pedidos!$A$2:$A$1801,0)),0)</f>
        <v/>
      </c>
      <c r="G1509" s="25">
        <f>IF(F1509=0,"",YEAR(F1509))</f>
        <v/>
      </c>
      <c r="H1509" s="25">
        <f>IF(F1509=0,"",MONTH(F1509))</f>
        <v/>
      </c>
      <c r="I1509" s="25">
        <f>IFERROR(INDEX(Pedidos!$E$2:$E$1801,MATCH(B1509,Pedidos!$A$2:$A$1801,0)),"")</f>
        <v/>
      </c>
      <c r="J1509" s="25">
        <f>IFERROR(INDEX(Pedidos!$C$2:$C$1801,MATCH(B1509,Pedidos!$A$2:$A$1801,0)),"")</f>
        <v/>
      </c>
      <c r="K1509" s="25">
        <f>IFERROR(INDEX(Pedidos!$D$2:$D$1801,MATCH(B1509,Pedidos!$A$2:$A$1801,0)),"")</f>
        <v/>
      </c>
      <c r="L1509" s="25">
        <f>IFERROR(INDEX(Pedidos!$F$2:$F$1801,MATCH(B1509,Pedidos!$A$2:$A$1801,0)),"")</f>
        <v/>
      </c>
      <c r="M1509" s="26">
        <f>IFERROR(INDEX(Pedidos!$G$2:$G$1801,MATCH(B1509,Pedidos!$A$2:$A$1801,0)),0)</f>
        <v/>
      </c>
      <c r="N1509" s="25">
        <f>IFERROR(INDEX(Produtos!$B$2:$B$71,MATCH(C1509,Produtos!$A$2:$A$71,0)),"")</f>
        <v/>
      </c>
      <c r="O1509" s="25">
        <f>IFERROR(INDEX(Produtos!$C$2:$C$71,MATCH(C1509,Produtos!$A$2:$A$71,0)),"")</f>
        <v/>
      </c>
      <c r="P1509" s="25">
        <f>IFERROR(INDEX(Produtos!$D$2:$D$71,MATCH(C1509,Produtos!$A$2:$A$71,0)),0)</f>
        <v/>
      </c>
      <c r="Q1509" s="25">
        <f>IFERROR(INDEX(Produtos!$E$2:$E$71,MATCH(C1509,Produtos!$A$2:$A$71,0)),0)</f>
        <v/>
      </c>
      <c r="R1509" s="27">
        <f>D1509*Q1509</f>
        <v/>
      </c>
      <c r="S1509" s="27">
        <f>R1509*E1509</f>
        <v/>
      </c>
      <c r="T1509" s="27">
        <f>(R1509-S1509)*M1509</f>
        <v/>
      </c>
      <c r="U1509" s="27">
        <f>R1509-S1509-T1509</f>
        <v/>
      </c>
      <c r="V1509" s="27">
        <f>D1509*P1509</f>
        <v/>
      </c>
      <c r="W1509" s="27">
        <f>U1509-V1509</f>
        <v/>
      </c>
      <c r="X1509" s="28">
        <f>IFERROR(W1509/U1509,0)</f>
        <v/>
      </c>
    </row>
    <row r="1510">
      <c r="A1510" s="21">
        <f>ItensPedido!A1510</f>
        <v/>
      </c>
      <c r="B1510" s="21">
        <f>ItensPedido!B1510</f>
        <v/>
      </c>
      <c r="C1510" s="21">
        <f>ItensPedido!C1510</f>
        <v/>
      </c>
      <c r="D1510" s="21">
        <f>ItensPedido!D1510</f>
        <v/>
      </c>
      <c r="E1510" s="22">
        <f>ItensPedido!E1510</f>
        <v/>
      </c>
      <c r="F1510" s="21">
        <f>IFERROR(INDEX(Pedidos!$B$2:$B$1801,MATCH(B1510,Pedidos!$A$2:$A$1801,0)),0)</f>
        <v/>
      </c>
      <c r="G1510" s="21">
        <f>IF(F1510=0,"",YEAR(F1510))</f>
        <v/>
      </c>
      <c r="H1510" s="21">
        <f>IF(F1510=0,"",MONTH(F1510))</f>
        <v/>
      </c>
      <c r="I1510" s="21">
        <f>IFERROR(INDEX(Pedidos!$E$2:$E$1801,MATCH(B1510,Pedidos!$A$2:$A$1801,0)),"")</f>
        <v/>
      </c>
      <c r="J1510" s="21">
        <f>IFERROR(INDEX(Pedidos!$C$2:$C$1801,MATCH(B1510,Pedidos!$A$2:$A$1801,0)),"")</f>
        <v/>
      </c>
      <c r="K1510" s="21">
        <f>IFERROR(INDEX(Pedidos!$D$2:$D$1801,MATCH(B1510,Pedidos!$A$2:$A$1801,0)),"")</f>
        <v/>
      </c>
      <c r="L1510" s="21">
        <f>IFERROR(INDEX(Pedidos!$F$2:$F$1801,MATCH(B1510,Pedidos!$A$2:$A$1801,0)),"")</f>
        <v/>
      </c>
      <c r="M1510" s="22">
        <f>IFERROR(INDEX(Pedidos!$G$2:$G$1801,MATCH(B1510,Pedidos!$A$2:$A$1801,0)),0)</f>
        <v/>
      </c>
      <c r="N1510" s="21">
        <f>IFERROR(INDEX(Produtos!$B$2:$B$71,MATCH(C1510,Produtos!$A$2:$A$71,0)),"")</f>
        <v/>
      </c>
      <c r="O1510" s="21">
        <f>IFERROR(INDEX(Produtos!$C$2:$C$71,MATCH(C1510,Produtos!$A$2:$A$71,0)),"")</f>
        <v/>
      </c>
      <c r="P1510" s="21">
        <f>IFERROR(INDEX(Produtos!$D$2:$D$71,MATCH(C1510,Produtos!$A$2:$A$71,0)),0)</f>
        <v/>
      </c>
      <c r="Q1510" s="21">
        <f>IFERROR(INDEX(Produtos!$E$2:$E$71,MATCH(C1510,Produtos!$A$2:$A$71,0)),0)</f>
        <v/>
      </c>
      <c r="R1510" s="23">
        <f>D1510*Q1510</f>
        <v/>
      </c>
      <c r="S1510" s="23">
        <f>R1510*E1510</f>
        <v/>
      </c>
      <c r="T1510" s="23">
        <f>(R1510-S1510)*M1510</f>
        <v/>
      </c>
      <c r="U1510" s="23">
        <f>R1510-S1510-T1510</f>
        <v/>
      </c>
      <c r="V1510" s="23">
        <f>D1510*P1510</f>
        <v/>
      </c>
      <c r="W1510" s="23">
        <f>U1510-V1510</f>
        <v/>
      </c>
      <c r="X1510" s="24">
        <f>IFERROR(W1510/U1510,0)</f>
        <v/>
      </c>
    </row>
    <row r="1511">
      <c r="A1511" s="25">
        <f>ItensPedido!A1511</f>
        <v/>
      </c>
      <c r="B1511" s="25">
        <f>ItensPedido!B1511</f>
        <v/>
      </c>
      <c r="C1511" s="25">
        <f>ItensPedido!C1511</f>
        <v/>
      </c>
      <c r="D1511" s="25">
        <f>ItensPedido!D1511</f>
        <v/>
      </c>
      <c r="E1511" s="26">
        <f>ItensPedido!E1511</f>
        <v/>
      </c>
      <c r="F1511" s="25">
        <f>IFERROR(INDEX(Pedidos!$B$2:$B$1801,MATCH(B1511,Pedidos!$A$2:$A$1801,0)),0)</f>
        <v/>
      </c>
      <c r="G1511" s="25">
        <f>IF(F1511=0,"",YEAR(F1511))</f>
        <v/>
      </c>
      <c r="H1511" s="25">
        <f>IF(F1511=0,"",MONTH(F1511))</f>
        <v/>
      </c>
      <c r="I1511" s="25">
        <f>IFERROR(INDEX(Pedidos!$E$2:$E$1801,MATCH(B1511,Pedidos!$A$2:$A$1801,0)),"")</f>
        <v/>
      </c>
      <c r="J1511" s="25">
        <f>IFERROR(INDEX(Pedidos!$C$2:$C$1801,MATCH(B1511,Pedidos!$A$2:$A$1801,0)),"")</f>
        <v/>
      </c>
      <c r="K1511" s="25">
        <f>IFERROR(INDEX(Pedidos!$D$2:$D$1801,MATCH(B1511,Pedidos!$A$2:$A$1801,0)),"")</f>
        <v/>
      </c>
      <c r="L1511" s="25">
        <f>IFERROR(INDEX(Pedidos!$F$2:$F$1801,MATCH(B1511,Pedidos!$A$2:$A$1801,0)),"")</f>
        <v/>
      </c>
      <c r="M1511" s="26">
        <f>IFERROR(INDEX(Pedidos!$G$2:$G$1801,MATCH(B1511,Pedidos!$A$2:$A$1801,0)),0)</f>
        <v/>
      </c>
      <c r="N1511" s="25">
        <f>IFERROR(INDEX(Produtos!$B$2:$B$71,MATCH(C1511,Produtos!$A$2:$A$71,0)),"")</f>
        <v/>
      </c>
      <c r="O1511" s="25">
        <f>IFERROR(INDEX(Produtos!$C$2:$C$71,MATCH(C1511,Produtos!$A$2:$A$71,0)),"")</f>
        <v/>
      </c>
      <c r="P1511" s="25">
        <f>IFERROR(INDEX(Produtos!$D$2:$D$71,MATCH(C1511,Produtos!$A$2:$A$71,0)),0)</f>
        <v/>
      </c>
      <c r="Q1511" s="25">
        <f>IFERROR(INDEX(Produtos!$E$2:$E$71,MATCH(C1511,Produtos!$A$2:$A$71,0)),0)</f>
        <v/>
      </c>
      <c r="R1511" s="27">
        <f>D1511*Q1511</f>
        <v/>
      </c>
      <c r="S1511" s="27">
        <f>R1511*E1511</f>
        <v/>
      </c>
      <c r="T1511" s="27">
        <f>(R1511-S1511)*M1511</f>
        <v/>
      </c>
      <c r="U1511" s="27">
        <f>R1511-S1511-T1511</f>
        <v/>
      </c>
      <c r="V1511" s="27">
        <f>D1511*P1511</f>
        <v/>
      </c>
      <c r="W1511" s="27">
        <f>U1511-V1511</f>
        <v/>
      </c>
      <c r="X1511" s="28">
        <f>IFERROR(W1511/U1511,0)</f>
        <v/>
      </c>
    </row>
    <row r="1512">
      <c r="A1512" s="21">
        <f>ItensPedido!A1512</f>
        <v/>
      </c>
      <c r="B1512" s="21">
        <f>ItensPedido!B1512</f>
        <v/>
      </c>
      <c r="C1512" s="21">
        <f>ItensPedido!C1512</f>
        <v/>
      </c>
      <c r="D1512" s="21">
        <f>ItensPedido!D1512</f>
        <v/>
      </c>
      <c r="E1512" s="22">
        <f>ItensPedido!E1512</f>
        <v/>
      </c>
      <c r="F1512" s="21">
        <f>IFERROR(INDEX(Pedidos!$B$2:$B$1801,MATCH(B1512,Pedidos!$A$2:$A$1801,0)),0)</f>
        <v/>
      </c>
      <c r="G1512" s="21">
        <f>IF(F1512=0,"",YEAR(F1512))</f>
        <v/>
      </c>
      <c r="H1512" s="21">
        <f>IF(F1512=0,"",MONTH(F1512))</f>
        <v/>
      </c>
      <c r="I1512" s="21">
        <f>IFERROR(INDEX(Pedidos!$E$2:$E$1801,MATCH(B1512,Pedidos!$A$2:$A$1801,0)),"")</f>
        <v/>
      </c>
      <c r="J1512" s="21">
        <f>IFERROR(INDEX(Pedidos!$C$2:$C$1801,MATCH(B1512,Pedidos!$A$2:$A$1801,0)),"")</f>
        <v/>
      </c>
      <c r="K1512" s="21">
        <f>IFERROR(INDEX(Pedidos!$D$2:$D$1801,MATCH(B1512,Pedidos!$A$2:$A$1801,0)),"")</f>
        <v/>
      </c>
      <c r="L1512" s="21">
        <f>IFERROR(INDEX(Pedidos!$F$2:$F$1801,MATCH(B1512,Pedidos!$A$2:$A$1801,0)),"")</f>
        <v/>
      </c>
      <c r="M1512" s="22">
        <f>IFERROR(INDEX(Pedidos!$G$2:$G$1801,MATCH(B1512,Pedidos!$A$2:$A$1801,0)),0)</f>
        <v/>
      </c>
      <c r="N1512" s="21">
        <f>IFERROR(INDEX(Produtos!$B$2:$B$71,MATCH(C1512,Produtos!$A$2:$A$71,0)),"")</f>
        <v/>
      </c>
      <c r="O1512" s="21">
        <f>IFERROR(INDEX(Produtos!$C$2:$C$71,MATCH(C1512,Produtos!$A$2:$A$71,0)),"")</f>
        <v/>
      </c>
      <c r="P1512" s="21">
        <f>IFERROR(INDEX(Produtos!$D$2:$D$71,MATCH(C1512,Produtos!$A$2:$A$71,0)),0)</f>
        <v/>
      </c>
      <c r="Q1512" s="21">
        <f>IFERROR(INDEX(Produtos!$E$2:$E$71,MATCH(C1512,Produtos!$A$2:$A$71,0)),0)</f>
        <v/>
      </c>
      <c r="R1512" s="23">
        <f>D1512*Q1512</f>
        <v/>
      </c>
      <c r="S1512" s="23">
        <f>R1512*E1512</f>
        <v/>
      </c>
      <c r="T1512" s="23">
        <f>(R1512-S1512)*M1512</f>
        <v/>
      </c>
      <c r="U1512" s="23">
        <f>R1512-S1512-T1512</f>
        <v/>
      </c>
      <c r="V1512" s="23">
        <f>D1512*P1512</f>
        <v/>
      </c>
      <c r="W1512" s="23">
        <f>U1512-V1512</f>
        <v/>
      </c>
      <c r="X1512" s="24">
        <f>IFERROR(W1512/U1512,0)</f>
        <v/>
      </c>
    </row>
    <row r="1513">
      <c r="A1513" s="25">
        <f>ItensPedido!A1513</f>
        <v/>
      </c>
      <c r="B1513" s="25">
        <f>ItensPedido!B1513</f>
        <v/>
      </c>
      <c r="C1513" s="25">
        <f>ItensPedido!C1513</f>
        <v/>
      </c>
      <c r="D1513" s="25">
        <f>ItensPedido!D1513</f>
        <v/>
      </c>
      <c r="E1513" s="26">
        <f>ItensPedido!E1513</f>
        <v/>
      </c>
      <c r="F1513" s="25">
        <f>IFERROR(INDEX(Pedidos!$B$2:$B$1801,MATCH(B1513,Pedidos!$A$2:$A$1801,0)),0)</f>
        <v/>
      </c>
      <c r="G1513" s="25">
        <f>IF(F1513=0,"",YEAR(F1513))</f>
        <v/>
      </c>
      <c r="H1513" s="25">
        <f>IF(F1513=0,"",MONTH(F1513))</f>
        <v/>
      </c>
      <c r="I1513" s="25">
        <f>IFERROR(INDEX(Pedidos!$E$2:$E$1801,MATCH(B1513,Pedidos!$A$2:$A$1801,0)),"")</f>
        <v/>
      </c>
      <c r="J1513" s="25">
        <f>IFERROR(INDEX(Pedidos!$C$2:$C$1801,MATCH(B1513,Pedidos!$A$2:$A$1801,0)),"")</f>
        <v/>
      </c>
      <c r="K1513" s="25">
        <f>IFERROR(INDEX(Pedidos!$D$2:$D$1801,MATCH(B1513,Pedidos!$A$2:$A$1801,0)),"")</f>
        <v/>
      </c>
      <c r="L1513" s="25">
        <f>IFERROR(INDEX(Pedidos!$F$2:$F$1801,MATCH(B1513,Pedidos!$A$2:$A$1801,0)),"")</f>
        <v/>
      </c>
      <c r="M1513" s="26">
        <f>IFERROR(INDEX(Pedidos!$G$2:$G$1801,MATCH(B1513,Pedidos!$A$2:$A$1801,0)),0)</f>
        <v/>
      </c>
      <c r="N1513" s="25">
        <f>IFERROR(INDEX(Produtos!$B$2:$B$71,MATCH(C1513,Produtos!$A$2:$A$71,0)),"")</f>
        <v/>
      </c>
      <c r="O1513" s="25">
        <f>IFERROR(INDEX(Produtos!$C$2:$C$71,MATCH(C1513,Produtos!$A$2:$A$71,0)),"")</f>
        <v/>
      </c>
      <c r="P1513" s="25">
        <f>IFERROR(INDEX(Produtos!$D$2:$D$71,MATCH(C1513,Produtos!$A$2:$A$71,0)),0)</f>
        <v/>
      </c>
      <c r="Q1513" s="25">
        <f>IFERROR(INDEX(Produtos!$E$2:$E$71,MATCH(C1513,Produtos!$A$2:$A$71,0)),0)</f>
        <v/>
      </c>
      <c r="R1513" s="27">
        <f>D1513*Q1513</f>
        <v/>
      </c>
      <c r="S1513" s="27">
        <f>R1513*E1513</f>
        <v/>
      </c>
      <c r="T1513" s="27">
        <f>(R1513-S1513)*M1513</f>
        <v/>
      </c>
      <c r="U1513" s="27">
        <f>R1513-S1513-T1513</f>
        <v/>
      </c>
      <c r="V1513" s="27">
        <f>D1513*P1513</f>
        <v/>
      </c>
      <c r="W1513" s="27">
        <f>U1513-V1513</f>
        <v/>
      </c>
      <c r="X1513" s="28">
        <f>IFERROR(W1513/U1513,0)</f>
        <v/>
      </c>
    </row>
    <row r="1514">
      <c r="A1514" s="21">
        <f>ItensPedido!A1514</f>
        <v/>
      </c>
      <c r="B1514" s="21">
        <f>ItensPedido!B1514</f>
        <v/>
      </c>
      <c r="C1514" s="21">
        <f>ItensPedido!C1514</f>
        <v/>
      </c>
      <c r="D1514" s="21">
        <f>ItensPedido!D1514</f>
        <v/>
      </c>
      <c r="E1514" s="22">
        <f>ItensPedido!E1514</f>
        <v/>
      </c>
      <c r="F1514" s="21">
        <f>IFERROR(INDEX(Pedidos!$B$2:$B$1801,MATCH(B1514,Pedidos!$A$2:$A$1801,0)),0)</f>
        <v/>
      </c>
      <c r="G1514" s="21">
        <f>IF(F1514=0,"",YEAR(F1514))</f>
        <v/>
      </c>
      <c r="H1514" s="21">
        <f>IF(F1514=0,"",MONTH(F1514))</f>
        <v/>
      </c>
      <c r="I1514" s="21">
        <f>IFERROR(INDEX(Pedidos!$E$2:$E$1801,MATCH(B1514,Pedidos!$A$2:$A$1801,0)),"")</f>
        <v/>
      </c>
      <c r="J1514" s="21">
        <f>IFERROR(INDEX(Pedidos!$C$2:$C$1801,MATCH(B1514,Pedidos!$A$2:$A$1801,0)),"")</f>
        <v/>
      </c>
      <c r="K1514" s="21">
        <f>IFERROR(INDEX(Pedidos!$D$2:$D$1801,MATCH(B1514,Pedidos!$A$2:$A$1801,0)),"")</f>
        <v/>
      </c>
      <c r="L1514" s="21">
        <f>IFERROR(INDEX(Pedidos!$F$2:$F$1801,MATCH(B1514,Pedidos!$A$2:$A$1801,0)),"")</f>
        <v/>
      </c>
      <c r="M1514" s="22">
        <f>IFERROR(INDEX(Pedidos!$G$2:$G$1801,MATCH(B1514,Pedidos!$A$2:$A$1801,0)),0)</f>
        <v/>
      </c>
      <c r="N1514" s="21">
        <f>IFERROR(INDEX(Produtos!$B$2:$B$71,MATCH(C1514,Produtos!$A$2:$A$71,0)),"")</f>
        <v/>
      </c>
      <c r="O1514" s="21">
        <f>IFERROR(INDEX(Produtos!$C$2:$C$71,MATCH(C1514,Produtos!$A$2:$A$71,0)),"")</f>
        <v/>
      </c>
      <c r="P1514" s="21">
        <f>IFERROR(INDEX(Produtos!$D$2:$D$71,MATCH(C1514,Produtos!$A$2:$A$71,0)),0)</f>
        <v/>
      </c>
      <c r="Q1514" s="21">
        <f>IFERROR(INDEX(Produtos!$E$2:$E$71,MATCH(C1514,Produtos!$A$2:$A$71,0)),0)</f>
        <v/>
      </c>
      <c r="R1514" s="23">
        <f>D1514*Q1514</f>
        <v/>
      </c>
      <c r="S1514" s="23">
        <f>R1514*E1514</f>
        <v/>
      </c>
      <c r="T1514" s="23">
        <f>(R1514-S1514)*M1514</f>
        <v/>
      </c>
      <c r="U1514" s="23">
        <f>R1514-S1514-T1514</f>
        <v/>
      </c>
      <c r="V1514" s="23">
        <f>D1514*P1514</f>
        <v/>
      </c>
      <c r="W1514" s="23">
        <f>U1514-V1514</f>
        <v/>
      </c>
      <c r="X1514" s="24">
        <f>IFERROR(W1514/U1514,0)</f>
        <v/>
      </c>
    </row>
    <row r="1515">
      <c r="A1515" s="25">
        <f>ItensPedido!A1515</f>
        <v/>
      </c>
      <c r="B1515" s="25">
        <f>ItensPedido!B1515</f>
        <v/>
      </c>
      <c r="C1515" s="25">
        <f>ItensPedido!C1515</f>
        <v/>
      </c>
      <c r="D1515" s="25">
        <f>ItensPedido!D1515</f>
        <v/>
      </c>
      <c r="E1515" s="26">
        <f>ItensPedido!E1515</f>
        <v/>
      </c>
      <c r="F1515" s="25">
        <f>IFERROR(INDEX(Pedidos!$B$2:$B$1801,MATCH(B1515,Pedidos!$A$2:$A$1801,0)),0)</f>
        <v/>
      </c>
      <c r="G1515" s="25">
        <f>IF(F1515=0,"",YEAR(F1515))</f>
        <v/>
      </c>
      <c r="H1515" s="25">
        <f>IF(F1515=0,"",MONTH(F1515))</f>
        <v/>
      </c>
      <c r="I1515" s="25">
        <f>IFERROR(INDEX(Pedidos!$E$2:$E$1801,MATCH(B1515,Pedidos!$A$2:$A$1801,0)),"")</f>
        <v/>
      </c>
      <c r="J1515" s="25">
        <f>IFERROR(INDEX(Pedidos!$C$2:$C$1801,MATCH(B1515,Pedidos!$A$2:$A$1801,0)),"")</f>
        <v/>
      </c>
      <c r="K1515" s="25">
        <f>IFERROR(INDEX(Pedidos!$D$2:$D$1801,MATCH(B1515,Pedidos!$A$2:$A$1801,0)),"")</f>
        <v/>
      </c>
      <c r="L1515" s="25">
        <f>IFERROR(INDEX(Pedidos!$F$2:$F$1801,MATCH(B1515,Pedidos!$A$2:$A$1801,0)),"")</f>
        <v/>
      </c>
      <c r="M1515" s="26">
        <f>IFERROR(INDEX(Pedidos!$G$2:$G$1801,MATCH(B1515,Pedidos!$A$2:$A$1801,0)),0)</f>
        <v/>
      </c>
      <c r="N1515" s="25">
        <f>IFERROR(INDEX(Produtos!$B$2:$B$71,MATCH(C1515,Produtos!$A$2:$A$71,0)),"")</f>
        <v/>
      </c>
      <c r="O1515" s="25">
        <f>IFERROR(INDEX(Produtos!$C$2:$C$71,MATCH(C1515,Produtos!$A$2:$A$71,0)),"")</f>
        <v/>
      </c>
      <c r="P1515" s="25">
        <f>IFERROR(INDEX(Produtos!$D$2:$D$71,MATCH(C1515,Produtos!$A$2:$A$71,0)),0)</f>
        <v/>
      </c>
      <c r="Q1515" s="25">
        <f>IFERROR(INDEX(Produtos!$E$2:$E$71,MATCH(C1515,Produtos!$A$2:$A$71,0)),0)</f>
        <v/>
      </c>
      <c r="R1515" s="27">
        <f>D1515*Q1515</f>
        <v/>
      </c>
      <c r="S1515" s="27">
        <f>R1515*E1515</f>
        <v/>
      </c>
      <c r="T1515" s="27">
        <f>(R1515-S1515)*M1515</f>
        <v/>
      </c>
      <c r="U1515" s="27">
        <f>R1515-S1515-T1515</f>
        <v/>
      </c>
      <c r="V1515" s="27">
        <f>D1515*P1515</f>
        <v/>
      </c>
      <c r="W1515" s="27">
        <f>U1515-V1515</f>
        <v/>
      </c>
      <c r="X1515" s="28">
        <f>IFERROR(W1515/U1515,0)</f>
        <v/>
      </c>
    </row>
    <row r="1516">
      <c r="A1516" s="21">
        <f>ItensPedido!A1516</f>
        <v/>
      </c>
      <c r="B1516" s="21">
        <f>ItensPedido!B1516</f>
        <v/>
      </c>
      <c r="C1516" s="21">
        <f>ItensPedido!C1516</f>
        <v/>
      </c>
      <c r="D1516" s="21">
        <f>ItensPedido!D1516</f>
        <v/>
      </c>
      <c r="E1516" s="22">
        <f>ItensPedido!E1516</f>
        <v/>
      </c>
      <c r="F1516" s="21">
        <f>IFERROR(INDEX(Pedidos!$B$2:$B$1801,MATCH(B1516,Pedidos!$A$2:$A$1801,0)),0)</f>
        <v/>
      </c>
      <c r="G1516" s="21">
        <f>IF(F1516=0,"",YEAR(F1516))</f>
        <v/>
      </c>
      <c r="H1516" s="21">
        <f>IF(F1516=0,"",MONTH(F1516))</f>
        <v/>
      </c>
      <c r="I1516" s="21">
        <f>IFERROR(INDEX(Pedidos!$E$2:$E$1801,MATCH(B1516,Pedidos!$A$2:$A$1801,0)),"")</f>
        <v/>
      </c>
      <c r="J1516" s="21">
        <f>IFERROR(INDEX(Pedidos!$C$2:$C$1801,MATCH(B1516,Pedidos!$A$2:$A$1801,0)),"")</f>
        <v/>
      </c>
      <c r="K1516" s="21">
        <f>IFERROR(INDEX(Pedidos!$D$2:$D$1801,MATCH(B1516,Pedidos!$A$2:$A$1801,0)),"")</f>
        <v/>
      </c>
      <c r="L1516" s="21">
        <f>IFERROR(INDEX(Pedidos!$F$2:$F$1801,MATCH(B1516,Pedidos!$A$2:$A$1801,0)),"")</f>
        <v/>
      </c>
      <c r="M1516" s="22">
        <f>IFERROR(INDEX(Pedidos!$G$2:$G$1801,MATCH(B1516,Pedidos!$A$2:$A$1801,0)),0)</f>
        <v/>
      </c>
      <c r="N1516" s="21">
        <f>IFERROR(INDEX(Produtos!$B$2:$B$71,MATCH(C1516,Produtos!$A$2:$A$71,0)),"")</f>
        <v/>
      </c>
      <c r="O1516" s="21">
        <f>IFERROR(INDEX(Produtos!$C$2:$C$71,MATCH(C1516,Produtos!$A$2:$A$71,0)),"")</f>
        <v/>
      </c>
      <c r="P1516" s="21">
        <f>IFERROR(INDEX(Produtos!$D$2:$D$71,MATCH(C1516,Produtos!$A$2:$A$71,0)),0)</f>
        <v/>
      </c>
      <c r="Q1516" s="21">
        <f>IFERROR(INDEX(Produtos!$E$2:$E$71,MATCH(C1516,Produtos!$A$2:$A$71,0)),0)</f>
        <v/>
      </c>
      <c r="R1516" s="23">
        <f>D1516*Q1516</f>
        <v/>
      </c>
      <c r="S1516" s="23">
        <f>R1516*E1516</f>
        <v/>
      </c>
      <c r="T1516" s="23">
        <f>(R1516-S1516)*M1516</f>
        <v/>
      </c>
      <c r="U1516" s="23">
        <f>R1516-S1516-T1516</f>
        <v/>
      </c>
      <c r="V1516" s="23">
        <f>D1516*P1516</f>
        <v/>
      </c>
      <c r="W1516" s="23">
        <f>U1516-V1516</f>
        <v/>
      </c>
      <c r="X1516" s="24">
        <f>IFERROR(W1516/U1516,0)</f>
        <v/>
      </c>
    </row>
    <row r="1517">
      <c r="A1517" s="25">
        <f>ItensPedido!A1517</f>
        <v/>
      </c>
      <c r="B1517" s="25">
        <f>ItensPedido!B1517</f>
        <v/>
      </c>
      <c r="C1517" s="25">
        <f>ItensPedido!C1517</f>
        <v/>
      </c>
      <c r="D1517" s="25">
        <f>ItensPedido!D1517</f>
        <v/>
      </c>
      <c r="E1517" s="26">
        <f>ItensPedido!E1517</f>
        <v/>
      </c>
      <c r="F1517" s="25">
        <f>IFERROR(INDEX(Pedidos!$B$2:$B$1801,MATCH(B1517,Pedidos!$A$2:$A$1801,0)),0)</f>
        <v/>
      </c>
      <c r="G1517" s="25">
        <f>IF(F1517=0,"",YEAR(F1517))</f>
        <v/>
      </c>
      <c r="H1517" s="25">
        <f>IF(F1517=0,"",MONTH(F1517))</f>
        <v/>
      </c>
      <c r="I1517" s="25">
        <f>IFERROR(INDEX(Pedidos!$E$2:$E$1801,MATCH(B1517,Pedidos!$A$2:$A$1801,0)),"")</f>
        <v/>
      </c>
      <c r="J1517" s="25">
        <f>IFERROR(INDEX(Pedidos!$C$2:$C$1801,MATCH(B1517,Pedidos!$A$2:$A$1801,0)),"")</f>
        <v/>
      </c>
      <c r="K1517" s="25">
        <f>IFERROR(INDEX(Pedidos!$D$2:$D$1801,MATCH(B1517,Pedidos!$A$2:$A$1801,0)),"")</f>
        <v/>
      </c>
      <c r="L1517" s="25">
        <f>IFERROR(INDEX(Pedidos!$F$2:$F$1801,MATCH(B1517,Pedidos!$A$2:$A$1801,0)),"")</f>
        <v/>
      </c>
      <c r="M1517" s="26">
        <f>IFERROR(INDEX(Pedidos!$G$2:$G$1801,MATCH(B1517,Pedidos!$A$2:$A$1801,0)),0)</f>
        <v/>
      </c>
      <c r="N1517" s="25">
        <f>IFERROR(INDEX(Produtos!$B$2:$B$71,MATCH(C1517,Produtos!$A$2:$A$71,0)),"")</f>
        <v/>
      </c>
      <c r="O1517" s="25">
        <f>IFERROR(INDEX(Produtos!$C$2:$C$71,MATCH(C1517,Produtos!$A$2:$A$71,0)),"")</f>
        <v/>
      </c>
      <c r="P1517" s="25">
        <f>IFERROR(INDEX(Produtos!$D$2:$D$71,MATCH(C1517,Produtos!$A$2:$A$71,0)),0)</f>
        <v/>
      </c>
      <c r="Q1517" s="25">
        <f>IFERROR(INDEX(Produtos!$E$2:$E$71,MATCH(C1517,Produtos!$A$2:$A$71,0)),0)</f>
        <v/>
      </c>
      <c r="R1517" s="27">
        <f>D1517*Q1517</f>
        <v/>
      </c>
      <c r="S1517" s="27">
        <f>R1517*E1517</f>
        <v/>
      </c>
      <c r="T1517" s="27">
        <f>(R1517-S1517)*M1517</f>
        <v/>
      </c>
      <c r="U1517" s="27">
        <f>R1517-S1517-T1517</f>
        <v/>
      </c>
      <c r="V1517" s="27">
        <f>D1517*P1517</f>
        <v/>
      </c>
      <c r="W1517" s="27">
        <f>U1517-V1517</f>
        <v/>
      </c>
      <c r="X1517" s="28">
        <f>IFERROR(W1517/U1517,0)</f>
        <v/>
      </c>
    </row>
    <row r="1518">
      <c r="A1518" s="21">
        <f>ItensPedido!A1518</f>
        <v/>
      </c>
      <c r="B1518" s="21">
        <f>ItensPedido!B1518</f>
        <v/>
      </c>
      <c r="C1518" s="21">
        <f>ItensPedido!C1518</f>
        <v/>
      </c>
      <c r="D1518" s="21">
        <f>ItensPedido!D1518</f>
        <v/>
      </c>
      <c r="E1518" s="22">
        <f>ItensPedido!E1518</f>
        <v/>
      </c>
      <c r="F1518" s="21">
        <f>IFERROR(INDEX(Pedidos!$B$2:$B$1801,MATCH(B1518,Pedidos!$A$2:$A$1801,0)),0)</f>
        <v/>
      </c>
      <c r="G1518" s="21">
        <f>IF(F1518=0,"",YEAR(F1518))</f>
        <v/>
      </c>
      <c r="H1518" s="21">
        <f>IF(F1518=0,"",MONTH(F1518))</f>
        <v/>
      </c>
      <c r="I1518" s="21">
        <f>IFERROR(INDEX(Pedidos!$E$2:$E$1801,MATCH(B1518,Pedidos!$A$2:$A$1801,0)),"")</f>
        <v/>
      </c>
      <c r="J1518" s="21">
        <f>IFERROR(INDEX(Pedidos!$C$2:$C$1801,MATCH(B1518,Pedidos!$A$2:$A$1801,0)),"")</f>
        <v/>
      </c>
      <c r="K1518" s="21">
        <f>IFERROR(INDEX(Pedidos!$D$2:$D$1801,MATCH(B1518,Pedidos!$A$2:$A$1801,0)),"")</f>
        <v/>
      </c>
      <c r="L1518" s="21">
        <f>IFERROR(INDEX(Pedidos!$F$2:$F$1801,MATCH(B1518,Pedidos!$A$2:$A$1801,0)),"")</f>
        <v/>
      </c>
      <c r="M1518" s="22">
        <f>IFERROR(INDEX(Pedidos!$G$2:$G$1801,MATCH(B1518,Pedidos!$A$2:$A$1801,0)),0)</f>
        <v/>
      </c>
      <c r="N1518" s="21">
        <f>IFERROR(INDEX(Produtos!$B$2:$B$71,MATCH(C1518,Produtos!$A$2:$A$71,0)),"")</f>
        <v/>
      </c>
      <c r="O1518" s="21">
        <f>IFERROR(INDEX(Produtos!$C$2:$C$71,MATCH(C1518,Produtos!$A$2:$A$71,0)),"")</f>
        <v/>
      </c>
      <c r="P1518" s="21">
        <f>IFERROR(INDEX(Produtos!$D$2:$D$71,MATCH(C1518,Produtos!$A$2:$A$71,0)),0)</f>
        <v/>
      </c>
      <c r="Q1518" s="21">
        <f>IFERROR(INDEX(Produtos!$E$2:$E$71,MATCH(C1518,Produtos!$A$2:$A$71,0)),0)</f>
        <v/>
      </c>
      <c r="R1518" s="23">
        <f>D1518*Q1518</f>
        <v/>
      </c>
      <c r="S1518" s="23">
        <f>R1518*E1518</f>
        <v/>
      </c>
      <c r="T1518" s="23">
        <f>(R1518-S1518)*M1518</f>
        <v/>
      </c>
      <c r="U1518" s="23">
        <f>R1518-S1518-T1518</f>
        <v/>
      </c>
      <c r="V1518" s="23">
        <f>D1518*P1518</f>
        <v/>
      </c>
      <c r="W1518" s="23">
        <f>U1518-V1518</f>
        <v/>
      </c>
      <c r="X1518" s="24">
        <f>IFERROR(W1518/U1518,0)</f>
        <v/>
      </c>
    </row>
    <row r="1519">
      <c r="A1519" s="25">
        <f>ItensPedido!A1519</f>
        <v/>
      </c>
      <c r="B1519" s="25">
        <f>ItensPedido!B1519</f>
        <v/>
      </c>
      <c r="C1519" s="25">
        <f>ItensPedido!C1519</f>
        <v/>
      </c>
      <c r="D1519" s="25">
        <f>ItensPedido!D1519</f>
        <v/>
      </c>
      <c r="E1519" s="26">
        <f>ItensPedido!E1519</f>
        <v/>
      </c>
      <c r="F1519" s="25">
        <f>IFERROR(INDEX(Pedidos!$B$2:$B$1801,MATCH(B1519,Pedidos!$A$2:$A$1801,0)),0)</f>
        <v/>
      </c>
      <c r="G1519" s="25">
        <f>IF(F1519=0,"",YEAR(F1519))</f>
        <v/>
      </c>
      <c r="H1519" s="25">
        <f>IF(F1519=0,"",MONTH(F1519))</f>
        <v/>
      </c>
      <c r="I1519" s="25">
        <f>IFERROR(INDEX(Pedidos!$E$2:$E$1801,MATCH(B1519,Pedidos!$A$2:$A$1801,0)),"")</f>
        <v/>
      </c>
      <c r="J1519" s="25">
        <f>IFERROR(INDEX(Pedidos!$C$2:$C$1801,MATCH(B1519,Pedidos!$A$2:$A$1801,0)),"")</f>
        <v/>
      </c>
      <c r="K1519" s="25">
        <f>IFERROR(INDEX(Pedidos!$D$2:$D$1801,MATCH(B1519,Pedidos!$A$2:$A$1801,0)),"")</f>
        <v/>
      </c>
      <c r="L1519" s="25">
        <f>IFERROR(INDEX(Pedidos!$F$2:$F$1801,MATCH(B1519,Pedidos!$A$2:$A$1801,0)),"")</f>
        <v/>
      </c>
      <c r="M1519" s="26">
        <f>IFERROR(INDEX(Pedidos!$G$2:$G$1801,MATCH(B1519,Pedidos!$A$2:$A$1801,0)),0)</f>
        <v/>
      </c>
      <c r="N1519" s="25">
        <f>IFERROR(INDEX(Produtos!$B$2:$B$71,MATCH(C1519,Produtos!$A$2:$A$71,0)),"")</f>
        <v/>
      </c>
      <c r="O1519" s="25">
        <f>IFERROR(INDEX(Produtos!$C$2:$C$71,MATCH(C1519,Produtos!$A$2:$A$71,0)),"")</f>
        <v/>
      </c>
      <c r="P1519" s="25">
        <f>IFERROR(INDEX(Produtos!$D$2:$D$71,MATCH(C1519,Produtos!$A$2:$A$71,0)),0)</f>
        <v/>
      </c>
      <c r="Q1519" s="25">
        <f>IFERROR(INDEX(Produtos!$E$2:$E$71,MATCH(C1519,Produtos!$A$2:$A$71,0)),0)</f>
        <v/>
      </c>
      <c r="R1519" s="27">
        <f>D1519*Q1519</f>
        <v/>
      </c>
      <c r="S1519" s="27">
        <f>R1519*E1519</f>
        <v/>
      </c>
      <c r="T1519" s="27">
        <f>(R1519-S1519)*M1519</f>
        <v/>
      </c>
      <c r="U1519" s="27">
        <f>R1519-S1519-T1519</f>
        <v/>
      </c>
      <c r="V1519" s="27">
        <f>D1519*P1519</f>
        <v/>
      </c>
      <c r="W1519" s="27">
        <f>U1519-V1519</f>
        <v/>
      </c>
      <c r="X1519" s="28">
        <f>IFERROR(W1519/U1519,0)</f>
        <v/>
      </c>
    </row>
    <row r="1520">
      <c r="A1520" s="21">
        <f>ItensPedido!A1520</f>
        <v/>
      </c>
      <c r="B1520" s="21">
        <f>ItensPedido!B1520</f>
        <v/>
      </c>
      <c r="C1520" s="21">
        <f>ItensPedido!C1520</f>
        <v/>
      </c>
      <c r="D1520" s="21">
        <f>ItensPedido!D1520</f>
        <v/>
      </c>
      <c r="E1520" s="22">
        <f>ItensPedido!E1520</f>
        <v/>
      </c>
      <c r="F1520" s="21">
        <f>IFERROR(INDEX(Pedidos!$B$2:$B$1801,MATCH(B1520,Pedidos!$A$2:$A$1801,0)),0)</f>
        <v/>
      </c>
      <c r="G1520" s="21">
        <f>IF(F1520=0,"",YEAR(F1520))</f>
        <v/>
      </c>
      <c r="H1520" s="21">
        <f>IF(F1520=0,"",MONTH(F1520))</f>
        <v/>
      </c>
      <c r="I1520" s="21">
        <f>IFERROR(INDEX(Pedidos!$E$2:$E$1801,MATCH(B1520,Pedidos!$A$2:$A$1801,0)),"")</f>
        <v/>
      </c>
      <c r="J1520" s="21">
        <f>IFERROR(INDEX(Pedidos!$C$2:$C$1801,MATCH(B1520,Pedidos!$A$2:$A$1801,0)),"")</f>
        <v/>
      </c>
      <c r="K1520" s="21">
        <f>IFERROR(INDEX(Pedidos!$D$2:$D$1801,MATCH(B1520,Pedidos!$A$2:$A$1801,0)),"")</f>
        <v/>
      </c>
      <c r="L1520" s="21">
        <f>IFERROR(INDEX(Pedidos!$F$2:$F$1801,MATCH(B1520,Pedidos!$A$2:$A$1801,0)),"")</f>
        <v/>
      </c>
      <c r="M1520" s="22">
        <f>IFERROR(INDEX(Pedidos!$G$2:$G$1801,MATCH(B1520,Pedidos!$A$2:$A$1801,0)),0)</f>
        <v/>
      </c>
      <c r="N1520" s="21">
        <f>IFERROR(INDEX(Produtos!$B$2:$B$71,MATCH(C1520,Produtos!$A$2:$A$71,0)),"")</f>
        <v/>
      </c>
      <c r="O1520" s="21">
        <f>IFERROR(INDEX(Produtos!$C$2:$C$71,MATCH(C1520,Produtos!$A$2:$A$71,0)),"")</f>
        <v/>
      </c>
      <c r="P1520" s="21">
        <f>IFERROR(INDEX(Produtos!$D$2:$D$71,MATCH(C1520,Produtos!$A$2:$A$71,0)),0)</f>
        <v/>
      </c>
      <c r="Q1520" s="21">
        <f>IFERROR(INDEX(Produtos!$E$2:$E$71,MATCH(C1520,Produtos!$A$2:$A$71,0)),0)</f>
        <v/>
      </c>
      <c r="R1520" s="23">
        <f>D1520*Q1520</f>
        <v/>
      </c>
      <c r="S1520" s="23">
        <f>R1520*E1520</f>
        <v/>
      </c>
      <c r="T1520" s="23">
        <f>(R1520-S1520)*M1520</f>
        <v/>
      </c>
      <c r="U1520" s="23">
        <f>R1520-S1520-T1520</f>
        <v/>
      </c>
      <c r="V1520" s="23">
        <f>D1520*P1520</f>
        <v/>
      </c>
      <c r="W1520" s="23">
        <f>U1520-V1520</f>
        <v/>
      </c>
      <c r="X1520" s="24">
        <f>IFERROR(W1520/U1520,0)</f>
        <v/>
      </c>
    </row>
    <row r="1521">
      <c r="A1521" s="25">
        <f>ItensPedido!A1521</f>
        <v/>
      </c>
      <c r="B1521" s="25">
        <f>ItensPedido!B1521</f>
        <v/>
      </c>
      <c r="C1521" s="25">
        <f>ItensPedido!C1521</f>
        <v/>
      </c>
      <c r="D1521" s="25">
        <f>ItensPedido!D1521</f>
        <v/>
      </c>
      <c r="E1521" s="26">
        <f>ItensPedido!E1521</f>
        <v/>
      </c>
      <c r="F1521" s="25">
        <f>IFERROR(INDEX(Pedidos!$B$2:$B$1801,MATCH(B1521,Pedidos!$A$2:$A$1801,0)),0)</f>
        <v/>
      </c>
      <c r="G1521" s="25">
        <f>IF(F1521=0,"",YEAR(F1521))</f>
        <v/>
      </c>
      <c r="H1521" s="25">
        <f>IF(F1521=0,"",MONTH(F1521))</f>
        <v/>
      </c>
      <c r="I1521" s="25">
        <f>IFERROR(INDEX(Pedidos!$E$2:$E$1801,MATCH(B1521,Pedidos!$A$2:$A$1801,0)),"")</f>
        <v/>
      </c>
      <c r="J1521" s="25">
        <f>IFERROR(INDEX(Pedidos!$C$2:$C$1801,MATCH(B1521,Pedidos!$A$2:$A$1801,0)),"")</f>
        <v/>
      </c>
      <c r="K1521" s="25">
        <f>IFERROR(INDEX(Pedidos!$D$2:$D$1801,MATCH(B1521,Pedidos!$A$2:$A$1801,0)),"")</f>
        <v/>
      </c>
      <c r="L1521" s="25">
        <f>IFERROR(INDEX(Pedidos!$F$2:$F$1801,MATCH(B1521,Pedidos!$A$2:$A$1801,0)),"")</f>
        <v/>
      </c>
      <c r="M1521" s="26">
        <f>IFERROR(INDEX(Pedidos!$G$2:$G$1801,MATCH(B1521,Pedidos!$A$2:$A$1801,0)),0)</f>
        <v/>
      </c>
      <c r="N1521" s="25">
        <f>IFERROR(INDEX(Produtos!$B$2:$B$71,MATCH(C1521,Produtos!$A$2:$A$71,0)),"")</f>
        <v/>
      </c>
      <c r="O1521" s="25">
        <f>IFERROR(INDEX(Produtos!$C$2:$C$71,MATCH(C1521,Produtos!$A$2:$A$71,0)),"")</f>
        <v/>
      </c>
      <c r="P1521" s="25">
        <f>IFERROR(INDEX(Produtos!$D$2:$D$71,MATCH(C1521,Produtos!$A$2:$A$71,0)),0)</f>
        <v/>
      </c>
      <c r="Q1521" s="25">
        <f>IFERROR(INDEX(Produtos!$E$2:$E$71,MATCH(C1521,Produtos!$A$2:$A$71,0)),0)</f>
        <v/>
      </c>
      <c r="R1521" s="27">
        <f>D1521*Q1521</f>
        <v/>
      </c>
      <c r="S1521" s="27">
        <f>R1521*E1521</f>
        <v/>
      </c>
      <c r="T1521" s="27">
        <f>(R1521-S1521)*M1521</f>
        <v/>
      </c>
      <c r="U1521" s="27">
        <f>R1521-S1521-T1521</f>
        <v/>
      </c>
      <c r="V1521" s="27">
        <f>D1521*P1521</f>
        <v/>
      </c>
      <c r="W1521" s="27">
        <f>U1521-V1521</f>
        <v/>
      </c>
      <c r="X1521" s="28">
        <f>IFERROR(W1521/U1521,0)</f>
        <v/>
      </c>
    </row>
    <row r="1522">
      <c r="A1522" s="21">
        <f>ItensPedido!A1522</f>
        <v/>
      </c>
      <c r="B1522" s="21">
        <f>ItensPedido!B1522</f>
        <v/>
      </c>
      <c r="C1522" s="21">
        <f>ItensPedido!C1522</f>
        <v/>
      </c>
      <c r="D1522" s="21">
        <f>ItensPedido!D1522</f>
        <v/>
      </c>
      <c r="E1522" s="22">
        <f>ItensPedido!E1522</f>
        <v/>
      </c>
      <c r="F1522" s="21">
        <f>IFERROR(INDEX(Pedidos!$B$2:$B$1801,MATCH(B1522,Pedidos!$A$2:$A$1801,0)),0)</f>
        <v/>
      </c>
      <c r="G1522" s="21">
        <f>IF(F1522=0,"",YEAR(F1522))</f>
        <v/>
      </c>
      <c r="H1522" s="21">
        <f>IF(F1522=0,"",MONTH(F1522))</f>
        <v/>
      </c>
      <c r="I1522" s="21">
        <f>IFERROR(INDEX(Pedidos!$E$2:$E$1801,MATCH(B1522,Pedidos!$A$2:$A$1801,0)),"")</f>
        <v/>
      </c>
      <c r="J1522" s="21">
        <f>IFERROR(INDEX(Pedidos!$C$2:$C$1801,MATCH(B1522,Pedidos!$A$2:$A$1801,0)),"")</f>
        <v/>
      </c>
      <c r="K1522" s="21">
        <f>IFERROR(INDEX(Pedidos!$D$2:$D$1801,MATCH(B1522,Pedidos!$A$2:$A$1801,0)),"")</f>
        <v/>
      </c>
      <c r="L1522" s="21">
        <f>IFERROR(INDEX(Pedidos!$F$2:$F$1801,MATCH(B1522,Pedidos!$A$2:$A$1801,0)),"")</f>
        <v/>
      </c>
      <c r="M1522" s="22">
        <f>IFERROR(INDEX(Pedidos!$G$2:$G$1801,MATCH(B1522,Pedidos!$A$2:$A$1801,0)),0)</f>
        <v/>
      </c>
      <c r="N1522" s="21">
        <f>IFERROR(INDEX(Produtos!$B$2:$B$71,MATCH(C1522,Produtos!$A$2:$A$71,0)),"")</f>
        <v/>
      </c>
      <c r="O1522" s="21">
        <f>IFERROR(INDEX(Produtos!$C$2:$C$71,MATCH(C1522,Produtos!$A$2:$A$71,0)),"")</f>
        <v/>
      </c>
      <c r="P1522" s="21">
        <f>IFERROR(INDEX(Produtos!$D$2:$D$71,MATCH(C1522,Produtos!$A$2:$A$71,0)),0)</f>
        <v/>
      </c>
      <c r="Q1522" s="21">
        <f>IFERROR(INDEX(Produtos!$E$2:$E$71,MATCH(C1522,Produtos!$A$2:$A$71,0)),0)</f>
        <v/>
      </c>
      <c r="R1522" s="23">
        <f>D1522*Q1522</f>
        <v/>
      </c>
      <c r="S1522" s="23">
        <f>R1522*E1522</f>
        <v/>
      </c>
      <c r="T1522" s="23">
        <f>(R1522-S1522)*M1522</f>
        <v/>
      </c>
      <c r="U1522" s="23">
        <f>R1522-S1522-T1522</f>
        <v/>
      </c>
      <c r="V1522" s="23">
        <f>D1522*P1522</f>
        <v/>
      </c>
      <c r="W1522" s="23">
        <f>U1522-V1522</f>
        <v/>
      </c>
      <c r="X1522" s="24">
        <f>IFERROR(W1522/U1522,0)</f>
        <v/>
      </c>
    </row>
    <row r="1523">
      <c r="A1523" s="25">
        <f>ItensPedido!A1523</f>
        <v/>
      </c>
      <c r="B1523" s="25">
        <f>ItensPedido!B1523</f>
        <v/>
      </c>
      <c r="C1523" s="25">
        <f>ItensPedido!C1523</f>
        <v/>
      </c>
      <c r="D1523" s="25">
        <f>ItensPedido!D1523</f>
        <v/>
      </c>
      <c r="E1523" s="26">
        <f>ItensPedido!E1523</f>
        <v/>
      </c>
      <c r="F1523" s="25">
        <f>IFERROR(INDEX(Pedidos!$B$2:$B$1801,MATCH(B1523,Pedidos!$A$2:$A$1801,0)),0)</f>
        <v/>
      </c>
      <c r="G1523" s="25">
        <f>IF(F1523=0,"",YEAR(F1523))</f>
        <v/>
      </c>
      <c r="H1523" s="25">
        <f>IF(F1523=0,"",MONTH(F1523))</f>
        <v/>
      </c>
      <c r="I1523" s="25">
        <f>IFERROR(INDEX(Pedidos!$E$2:$E$1801,MATCH(B1523,Pedidos!$A$2:$A$1801,0)),"")</f>
        <v/>
      </c>
      <c r="J1523" s="25">
        <f>IFERROR(INDEX(Pedidos!$C$2:$C$1801,MATCH(B1523,Pedidos!$A$2:$A$1801,0)),"")</f>
        <v/>
      </c>
      <c r="K1523" s="25">
        <f>IFERROR(INDEX(Pedidos!$D$2:$D$1801,MATCH(B1523,Pedidos!$A$2:$A$1801,0)),"")</f>
        <v/>
      </c>
      <c r="L1523" s="25">
        <f>IFERROR(INDEX(Pedidos!$F$2:$F$1801,MATCH(B1523,Pedidos!$A$2:$A$1801,0)),"")</f>
        <v/>
      </c>
      <c r="M1523" s="26">
        <f>IFERROR(INDEX(Pedidos!$G$2:$G$1801,MATCH(B1523,Pedidos!$A$2:$A$1801,0)),0)</f>
        <v/>
      </c>
      <c r="N1523" s="25">
        <f>IFERROR(INDEX(Produtos!$B$2:$B$71,MATCH(C1523,Produtos!$A$2:$A$71,0)),"")</f>
        <v/>
      </c>
      <c r="O1523" s="25">
        <f>IFERROR(INDEX(Produtos!$C$2:$C$71,MATCH(C1523,Produtos!$A$2:$A$71,0)),"")</f>
        <v/>
      </c>
      <c r="P1523" s="25">
        <f>IFERROR(INDEX(Produtos!$D$2:$D$71,MATCH(C1523,Produtos!$A$2:$A$71,0)),0)</f>
        <v/>
      </c>
      <c r="Q1523" s="25">
        <f>IFERROR(INDEX(Produtos!$E$2:$E$71,MATCH(C1523,Produtos!$A$2:$A$71,0)),0)</f>
        <v/>
      </c>
      <c r="R1523" s="27">
        <f>D1523*Q1523</f>
        <v/>
      </c>
      <c r="S1523" s="27">
        <f>R1523*E1523</f>
        <v/>
      </c>
      <c r="T1523" s="27">
        <f>(R1523-S1523)*M1523</f>
        <v/>
      </c>
      <c r="U1523" s="27">
        <f>R1523-S1523-T1523</f>
        <v/>
      </c>
      <c r="V1523" s="27">
        <f>D1523*P1523</f>
        <v/>
      </c>
      <c r="W1523" s="27">
        <f>U1523-V1523</f>
        <v/>
      </c>
      <c r="X1523" s="28">
        <f>IFERROR(W1523/U1523,0)</f>
        <v/>
      </c>
    </row>
    <row r="1524">
      <c r="A1524" s="21">
        <f>ItensPedido!A1524</f>
        <v/>
      </c>
      <c r="B1524" s="21">
        <f>ItensPedido!B1524</f>
        <v/>
      </c>
      <c r="C1524" s="21">
        <f>ItensPedido!C1524</f>
        <v/>
      </c>
      <c r="D1524" s="21">
        <f>ItensPedido!D1524</f>
        <v/>
      </c>
      <c r="E1524" s="22">
        <f>ItensPedido!E1524</f>
        <v/>
      </c>
      <c r="F1524" s="21">
        <f>IFERROR(INDEX(Pedidos!$B$2:$B$1801,MATCH(B1524,Pedidos!$A$2:$A$1801,0)),0)</f>
        <v/>
      </c>
      <c r="G1524" s="21">
        <f>IF(F1524=0,"",YEAR(F1524))</f>
        <v/>
      </c>
      <c r="H1524" s="21">
        <f>IF(F1524=0,"",MONTH(F1524))</f>
        <v/>
      </c>
      <c r="I1524" s="21">
        <f>IFERROR(INDEX(Pedidos!$E$2:$E$1801,MATCH(B1524,Pedidos!$A$2:$A$1801,0)),"")</f>
        <v/>
      </c>
      <c r="J1524" s="21">
        <f>IFERROR(INDEX(Pedidos!$C$2:$C$1801,MATCH(B1524,Pedidos!$A$2:$A$1801,0)),"")</f>
        <v/>
      </c>
      <c r="K1524" s="21">
        <f>IFERROR(INDEX(Pedidos!$D$2:$D$1801,MATCH(B1524,Pedidos!$A$2:$A$1801,0)),"")</f>
        <v/>
      </c>
      <c r="L1524" s="21">
        <f>IFERROR(INDEX(Pedidos!$F$2:$F$1801,MATCH(B1524,Pedidos!$A$2:$A$1801,0)),"")</f>
        <v/>
      </c>
      <c r="M1524" s="22">
        <f>IFERROR(INDEX(Pedidos!$G$2:$G$1801,MATCH(B1524,Pedidos!$A$2:$A$1801,0)),0)</f>
        <v/>
      </c>
      <c r="N1524" s="21">
        <f>IFERROR(INDEX(Produtos!$B$2:$B$71,MATCH(C1524,Produtos!$A$2:$A$71,0)),"")</f>
        <v/>
      </c>
      <c r="O1524" s="21">
        <f>IFERROR(INDEX(Produtos!$C$2:$C$71,MATCH(C1524,Produtos!$A$2:$A$71,0)),"")</f>
        <v/>
      </c>
      <c r="P1524" s="21">
        <f>IFERROR(INDEX(Produtos!$D$2:$D$71,MATCH(C1524,Produtos!$A$2:$A$71,0)),0)</f>
        <v/>
      </c>
      <c r="Q1524" s="21">
        <f>IFERROR(INDEX(Produtos!$E$2:$E$71,MATCH(C1524,Produtos!$A$2:$A$71,0)),0)</f>
        <v/>
      </c>
      <c r="R1524" s="23">
        <f>D1524*Q1524</f>
        <v/>
      </c>
      <c r="S1524" s="23">
        <f>R1524*E1524</f>
        <v/>
      </c>
      <c r="T1524" s="23">
        <f>(R1524-S1524)*M1524</f>
        <v/>
      </c>
      <c r="U1524" s="23">
        <f>R1524-S1524-T1524</f>
        <v/>
      </c>
      <c r="V1524" s="23">
        <f>D1524*P1524</f>
        <v/>
      </c>
      <c r="W1524" s="23">
        <f>U1524-V1524</f>
        <v/>
      </c>
      <c r="X1524" s="24">
        <f>IFERROR(W1524/U1524,0)</f>
        <v/>
      </c>
    </row>
    <row r="1525">
      <c r="A1525" s="25">
        <f>ItensPedido!A1525</f>
        <v/>
      </c>
      <c r="B1525" s="25">
        <f>ItensPedido!B1525</f>
        <v/>
      </c>
      <c r="C1525" s="25">
        <f>ItensPedido!C1525</f>
        <v/>
      </c>
      <c r="D1525" s="25">
        <f>ItensPedido!D1525</f>
        <v/>
      </c>
      <c r="E1525" s="26">
        <f>ItensPedido!E1525</f>
        <v/>
      </c>
      <c r="F1525" s="25">
        <f>IFERROR(INDEX(Pedidos!$B$2:$B$1801,MATCH(B1525,Pedidos!$A$2:$A$1801,0)),0)</f>
        <v/>
      </c>
      <c r="G1525" s="25">
        <f>IF(F1525=0,"",YEAR(F1525))</f>
        <v/>
      </c>
      <c r="H1525" s="25">
        <f>IF(F1525=0,"",MONTH(F1525))</f>
        <v/>
      </c>
      <c r="I1525" s="25">
        <f>IFERROR(INDEX(Pedidos!$E$2:$E$1801,MATCH(B1525,Pedidos!$A$2:$A$1801,0)),"")</f>
        <v/>
      </c>
      <c r="J1525" s="25">
        <f>IFERROR(INDEX(Pedidos!$C$2:$C$1801,MATCH(B1525,Pedidos!$A$2:$A$1801,0)),"")</f>
        <v/>
      </c>
      <c r="K1525" s="25">
        <f>IFERROR(INDEX(Pedidos!$D$2:$D$1801,MATCH(B1525,Pedidos!$A$2:$A$1801,0)),"")</f>
        <v/>
      </c>
      <c r="L1525" s="25">
        <f>IFERROR(INDEX(Pedidos!$F$2:$F$1801,MATCH(B1525,Pedidos!$A$2:$A$1801,0)),"")</f>
        <v/>
      </c>
      <c r="M1525" s="26">
        <f>IFERROR(INDEX(Pedidos!$G$2:$G$1801,MATCH(B1525,Pedidos!$A$2:$A$1801,0)),0)</f>
        <v/>
      </c>
      <c r="N1525" s="25">
        <f>IFERROR(INDEX(Produtos!$B$2:$B$71,MATCH(C1525,Produtos!$A$2:$A$71,0)),"")</f>
        <v/>
      </c>
      <c r="O1525" s="25">
        <f>IFERROR(INDEX(Produtos!$C$2:$C$71,MATCH(C1525,Produtos!$A$2:$A$71,0)),"")</f>
        <v/>
      </c>
      <c r="P1525" s="25">
        <f>IFERROR(INDEX(Produtos!$D$2:$D$71,MATCH(C1525,Produtos!$A$2:$A$71,0)),0)</f>
        <v/>
      </c>
      <c r="Q1525" s="25">
        <f>IFERROR(INDEX(Produtos!$E$2:$E$71,MATCH(C1525,Produtos!$A$2:$A$71,0)),0)</f>
        <v/>
      </c>
      <c r="R1525" s="27">
        <f>D1525*Q1525</f>
        <v/>
      </c>
      <c r="S1525" s="27">
        <f>R1525*E1525</f>
        <v/>
      </c>
      <c r="T1525" s="27">
        <f>(R1525-S1525)*M1525</f>
        <v/>
      </c>
      <c r="U1525" s="27">
        <f>R1525-S1525-T1525</f>
        <v/>
      </c>
      <c r="V1525" s="27">
        <f>D1525*P1525</f>
        <v/>
      </c>
      <c r="W1525" s="27">
        <f>U1525-V1525</f>
        <v/>
      </c>
      <c r="X1525" s="28">
        <f>IFERROR(W1525/U1525,0)</f>
        <v/>
      </c>
    </row>
    <row r="1526">
      <c r="A1526" s="21">
        <f>ItensPedido!A1526</f>
        <v/>
      </c>
      <c r="B1526" s="21">
        <f>ItensPedido!B1526</f>
        <v/>
      </c>
      <c r="C1526" s="21">
        <f>ItensPedido!C1526</f>
        <v/>
      </c>
      <c r="D1526" s="21">
        <f>ItensPedido!D1526</f>
        <v/>
      </c>
      <c r="E1526" s="22">
        <f>ItensPedido!E1526</f>
        <v/>
      </c>
      <c r="F1526" s="21">
        <f>IFERROR(INDEX(Pedidos!$B$2:$B$1801,MATCH(B1526,Pedidos!$A$2:$A$1801,0)),0)</f>
        <v/>
      </c>
      <c r="G1526" s="21">
        <f>IF(F1526=0,"",YEAR(F1526))</f>
        <v/>
      </c>
      <c r="H1526" s="21">
        <f>IF(F1526=0,"",MONTH(F1526))</f>
        <v/>
      </c>
      <c r="I1526" s="21">
        <f>IFERROR(INDEX(Pedidos!$E$2:$E$1801,MATCH(B1526,Pedidos!$A$2:$A$1801,0)),"")</f>
        <v/>
      </c>
      <c r="J1526" s="21">
        <f>IFERROR(INDEX(Pedidos!$C$2:$C$1801,MATCH(B1526,Pedidos!$A$2:$A$1801,0)),"")</f>
        <v/>
      </c>
      <c r="K1526" s="21">
        <f>IFERROR(INDEX(Pedidos!$D$2:$D$1801,MATCH(B1526,Pedidos!$A$2:$A$1801,0)),"")</f>
        <v/>
      </c>
      <c r="L1526" s="21">
        <f>IFERROR(INDEX(Pedidos!$F$2:$F$1801,MATCH(B1526,Pedidos!$A$2:$A$1801,0)),"")</f>
        <v/>
      </c>
      <c r="M1526" s="22">
        <f>IFERROR(INDEX(Pedidos!$G$2:$G$1801,MATCH(B1526,Pedidos!$A$2:$A$1801,0)),0)</f>
        <v/>
      </c>
      <c r="N1526" s="21">
        <f>IFERROR(INDEX(Produtos!$B$2:$B$71,MATCH(C1526,Produtos!$A$2:$A$71,0)),"")</f>
        <v/>
      </c>
      <c r="O1526" s="21">
        <f>IFERROR(INDEX(Produtos!$C$2:$C$71,MATCH(C1526,Produtos!$A$2:$A$71,0)),"")</f>
        <v/>
      </c>
      <c r="P1526" s="21">
        <f>IFERROR(INDEX(Produtos!$D$2:$D$71,MATCH(C1526,Produtos!$A$2:$A$71,0)),0)</f>
        <v/>
      </c>
      <c r="Q1526" s="21">
        <f>IFERROR(INDEX(Produtos!$E$2:$E$71,MATCH(C1526,Produtos!$A$2:$A$71,0)),0)</f>
        <v/>
      </c>
      <c r="R1526" s="23">
        <f>D1526*Q1526</f>
        <v/>
      </c>
      <c r="S1526" s="23">
        <f>R1526*E1526</f>
        <v/>
      </c>
      <c r="T1526" s="23">
        <f>(R1526-S1526)*M1526</f>
        <v/>
      </c>
      <c r="U1526" s="23">
        <f>R1526-S1526-T1526</f>
        <v/>
      </c>
      <c r="V1526" s="23">
        <f>D1526*P1526</f>
        <v/>
      </c>
      <c r="W1526" s="23">
        <f>U1526-V1526</f>
        <v/>
      </c>
      <c r="X1526" s="24">
        <f>IFERROR(W1526/U1526,0)</f>
        <v/>
      </c>
    </row>
    <row r="1527">
      <c r="A1527" s="25">
        <f>ItensPedido!A1527</f>
        <v/>
      </c>
      <c r="B1527" s="25">
        <f>ItensPedido!B1527</f>
        <v/>
      </c>
      <c r="C1527" s="25">
        <f>ItensPedido!C1527</f>
        <v/>
      </c>
      <c r="D1527" s="25">
        <f>ItensPedido!D1527</f>
        <v/>
      </c>
      <c r="E1527" s="26">
        <f>ItensPedido!E1527</f>
        <v/>
      </c>
      <c r="F1527" s="25">
        <f>IFERROR(INDEX(Pedidos!$B$2:$B$1801,MATCH(B1527,Pedidos!$A$2:$A$1801,0)),0)</f>
        <v/>
      </c>
      <c r="G1527" s="25">
        <f>IF(F1527=0,"",YEAR(F1527))</f>
        <v/>
      </c>
      <c r="H1527" s="25">
        <f>IF(F1527=0,"",MONTH(F1527))</f>
        <v/>
      </c>
      <c r="I1527" s="25">
        <f>IFERROR(INDEX(Pedidos!$E$2:$E$1801,MATCH(B1527,Pedidos!$A$2:$A$1801,0)),"")</f>
        <v/>
      </c>
      <c r="J1527" s="25">
        <f>IFERROR(INDEX(Pedidos!$C$2:$C$1801,MATCH(B1527,Pedidos!$A$2:$A$1801,0)),"")</f>
        <v/>
      </c>
      <c r="K1527" s="25">
        <f>IFERROR(INDEX(Pedidos!$D$2:$D$1801,MATCH(B1527,Pedidos!$A$2:$A$1801,0)),"")</f>
        <v/>
      </c>
      <c r="L1527" s="25">
        <f>IFERROR(INDEX(Pedidos!$F$2:$F$1801,MATCH(B1527,Pedidos!$A$2:$A$1801,0)),"")</f>
        <v/>
      </c>
      <c r="M1527" s="26">
        <f>IFERROR(INDEX(Pedidos!$G$2:$G$1801,MATCH(B1527,Pedidos!$A$2:$A$1801,0)),0)</f>
        <v/>
      </c>
      <c r="N1527" s="25">
        <f>IFERROR(INDEX(Produtos!$B$2:$B$71,MATCH(C1527,Produtos!$A$2:$A$71,0)),"")</f>
        <v/>
      </c>
      <c r="O1527" s="25">
        <f>IFERROR(INDEX(Produtos!$C$2:$C$71,MATCH(C1527,Produtos!$A$2:$A$71,0)),"")</f>
        <v/>
      </c>
      <c r="P1527" s="25">
        <f>IFERROR(INDEX(Produtos!$D$2:$D$71,MATCH(C1527,Produtos!$A$2:$A$71,0)),0)</f>
        <v/>
      </c>
      <c r="Q1527" s="25">
        <f>IFERROR(INDEX(Produtos!$E$2:$E$71,MATCH(C1527,Produtos!$A$2:$A$71,0)),0)</f>
        <v/>
      </c>
      <c r="R1527" s="27">
        <f>D1527*Q1527</f>
        <v/>
      </c>
      <c r="S1527" s="27">
        <f>R1527*E1527</f>
        <v/>
      </c>
      <c r="T1527" s="27">
        <f>(R1527-S1527)*M1527</f>
        <v/>
      </c>
      <c r="U1527" s="27">
        <f>R1527-S1527-T1527</f>
        <v/>
      </c>
      <c r="V1527" s="27">
        <f>D1527*P1527</f>
        <v/>
      </c>
      <c r="W1527" s="27">
        <f>U1527-V1527</f>
        <v/>
      </c>
      <c r="X1527" s="28">
        <f>IFERROR(W1527/U1527,0)</f>
        <v/>
      </c>
    </row>
    <row r="1528">
      <c r="A1528" s="21">
        <f>ItensPedido!A1528</f>
        <v/>
      </c>
      <c r="B1528" s="21">
        <f>ItensPedido!B1528</f>
        <v/>
      </c>
      <c r="C1528" s="21">
        <f>ItensPedido!C1528</f>
        <v/>
      </c>
      <c r="D1528" s="21">
        <f>ItensPedido!D1528</f>
        <v/>
      </c>
      <c r="E1528" s="22">
        <f>ItensPedido!E1528</f>
        <v/>
      </c>
      <c r="F1528" s="21">
        <f>IFERROR(INDEX(Pedidos!$B$2:$B$1801,MATCH(B1528,Pedidos!$A$2:$A$1801,0)),0)</f>
        <v/>
      </c>
      <c r="G1528" s="21">
        <f>IF(F1528=0,"",YEAR(F1528))</f>
        <v/>
      </c>
      <c r="H1528" s="21">
        <f>IF(F1528=0,"",MONTH(F1528))</f>
        <v/>
      </c>
      <c r="I1528" s="21">
        <f>IFERROR(INDEX(Pedidos!$E$2:$E$1801,MATCH(B1528,Pedidos!$A$2:$A$1801,0)),"")</f>
        <v/>
      </c>
      <c r="J1528" s="21">
        <f>IFERROR(INDEX(Pedidos!$C$2:$C$1801,MATCH(B1528,Pedidos!$A$2:$A$1801,0)),"")</f>
        <v/>
      </c>
      <c r="K1528" s="21">
        <f>IFERROR(INDEX(Pedidos!$D$2:$D$1801,MATCH(B1528,Pedidos!$A$2:$A$1801,0)),"")</f>
        <v/>
      </c>
      <c r="L1528" s="21">
        <f>IFERROR(INDEX(Pedidos!$F$2:$F$1801,MATCH(B1528,Pedidos!$A$2:$A$1801,0)),"")</f>
        <v/>
      </c>
      <c r="M1528" s="22">
        <f>IFERROR(INDEX(Pedidos!$G$2:$G$1801,MATCH(B1528,Pedidos!$A$2:$A$1801,0)),0)</f>
        <v/>
      </c>
      <c r="N1528" s="21">
        <f>IFERROR(INDEX(Produtos!$B$2:$B$71,MATCH(C1528,Produtos!$A$2:$A$71,0)),"")</f>
        <v/>
      </c>
      <c r="O1528" s="21">
        <f>IFERROR(INDEX(Produtos!$C$2:$C$71,MATCH(C1528,Produtos!$A$2:$A$71,0)),"")</f>
        <v/>
      </c>
      <c r="P1528" s="21">
        <f>IFERROR(INDEX(Produtos!$D$2:$D$71,MATCH(C1528,Produtos!$A$2:$A$71,0)),0)</f>
        <v/>
      </c>
      <c r="Q1528" s="21">
        <f>IFERROR(INDEX(Produtos!$E$2:$E$71,MATCH(C1528,Produtos!$A$2:$A$71,0)),0)</f>
        <v/>
      </c>
      <c r="R1528" s="23">
        <f>D1528*Q1528</f>
        <v/>
      </c>
      <c r="S1528" s="23">
        <f>R1528*E1528</f>
        <v/>
      </c>
      <c r="T1528" s="23">
        <f>(R1528-S1528)*M1528</f>
        <v/>
      </c>
      <c r="U1528" s="23">
        <f>R1528-S1528-T1528</f>
        <v/>
      </c>
      <c r="V1528" s="23">
        <f>D1528*P1528</f>
        <v/>
      </c>
      <c r="W1528" s="23">
        <f>U1528-V1528</f>
        <v/>
      </c>
      <c r="X1528" s="24">
        <f>IFERROR(W1528/U1528,0)</f>
        <v/>
      </c>
    </row>
    <row r="1529">
      <c r="A1529" s="25">
        <f>ItensPedido!A1529</f>
        <v/>
      </c>
      <c r="B1529" s="25">
        <f>ItensPedido!B1529</f>
        <v/>
      </c>
      <c r="C1529" s="25">
        <f>ItensPedido!C1529</f>
        <v/>
      </c>
      <c r="D1529" s="25">
        <f>ItensPedido!D1529</f>
        <v/>
      </c>
      <c r="E1529" s="26">
        <f>ItensPedido!E1529</f>
        <v/>
      </c>
      <c r="F1529" s="25">
        <f>IFERROR(INDEX(Pedidos!$B$2:$B$1801,MATCH(B1529,Pedidos!$A$2:$A$1801,0)),0)</f>
        <v/>
      </c>
      <c r="G1529" s="25">
        <f>IF(F1529=0,"",YEAR(F1529))</f>
        <v/>
      </c>
      <c r="H1529" s="25">
        <f>IF(F1529=0,"",MONTH(F1529))</f>
        <v/>
      </c>
      <c r="I1529" s="25">
        <f>IFERROR(INDEX(Pedidos!$E$2:$E$1801,MATCH(B1529,Pedidos!$A$2:$A$1801,0)),"")</f>
        <v/>
      </c>
      <c r="J1529" s="25">
        <f>IFERROR(INDEX(Pedidos!$C$2:$C$1801,MATCH(B1529,Pedidos!$A$2:$A$1801,0)),"")</f>
        <v/>
      </c>
      <c r="K1529" s="25">
        <f>IFERROR(INDEX(Pedidos!$D$2:$D$1801,MATCH(B1529,Pedidos!$A$2:$A$1801,0)),"")</f>
        <v/>
      </c>
      <c r="L1529" s="25">
        <f>IFERROR(INDEX(Pedidos!$F$2:$F$1801,MATCH(B1529,Pedidos!$A$2:$A$1801,0)),"")</f>
        <v/>
      </c>
      <c r="M1529" s="26">
        <f>IFERROR(INDEX(Pedidos!$G$2:$G$1801,MATCH(B1529,Pedidos!$A$2:$A$1801,0)),0)</f>
        <v/>
      </c>
      <c r="N1529" s="25">
        <f>IFERROR(INDEX(Produtos!$B$2:$B$71,MATCH(C1529,Produtos!$A$2:$A$71,0)),"")</f>
        <v/>
      </c>
      <c r="O1529" s="25">
        <f>IFERROR(INDEX(Produtos!$C$2:$C$71,MATCH(C1529,Produtos!$A$2:$A$71,0)),"")</f>
        <v/>
      </c>
      <c r="P1529" s="25">
        <f>IFERROR(INDEX(Produtos!$D$2:$D$71,MATCH(C1529,Produtos!$A$2:$A$71,0)),0)</f>
        <v/>
      </c>
      <c r="Q1529" s="25">
        <f>IFERROR(INDEX(Produtos!$E$2:$E$71,MATCH(C1529,Produtos!$A$2:$A$71,0)),0)</f>
        <v/>
      </c>
      <c r="R1529" s="27">
        <f>D1529*Q1529</f>
        <v/>
      </c>
      <c r="S1529" s="27">
        <f>R1529*E1529</f>
        <v/>
      </c>
      <c r="T1529" s="27">
        <f>(R1529-S1529)*M1529</f>
        <v/>
      </c>
      <c r="U1529" s="27">
        <f>R1529-S1529-T1529</f>
        <v/>
      </c>
      <c r="V1529" s="27">
        <f>D1529*P1529</f>
        <v/>
      </c>
      <c r="W1529" s="27">
        <f>U1529-V1529</f>
        <v/>
      </c>
      <c r="X1529" s="28">
        <f>IFERROR(W1529/U1529,0)</f>
        <v/>
      </c>
    </row>
    <row r="1530">
      <c r="A1530" s="21">
        <f>ItensPedido!A1530</f>
        <v/>
      </c>
      <c r="B1530" s="21">
        <f>ItensPedido!B1530</f>
        <v/>
      </c>
      <c r="C1530" s="21">
        <f>ItensPedido!C1530</f>
        <v/>
      </c>
      <c r="D1530" s="21">
        <f>ItensPedido!D1530</f>
        <v/>
      </c>
      <c r="E1530" s="22">
        <f>ItensPedido!E1530</f>
        <v/>
      </c>
      <c r="F1530" s="21">
        <f>IFERROR(INDEX(Pedidos!$B$2:$B$1801,MATCH(B1530,Pedidos!$A$2:$A$1801,0)),0)</f>
        <v/>
      </c>
      <c r="G1530" s="21">
        <f>IF(F1530=0,"",YEAR(F1530))</f>
        <v/>
      </c>
      <c r="H1530" s="21">
        <f>IF(F1530=0,"",MONTH(F1530))</f>
        <v/>
      </c>
      <c r="I1530" s="21">
        <f>IFERROR(INDEX(Pedidos!$E$2:$E$1801,MATCH(B1530,Pedidos!$A$2:$A$1801,0)),"")</f>
        <v/>
      </c>
      <c r="J1530" s="21">
        <f>IFERROR(INDEX(Pedidos!$C$2:$C$1801,MATCH(B1530,Pedidos!$A$2:$A$1801,0)),"")</f>
        <v/>
      </c>
      <c r="K1530" s="21">
        <f>IFERROR(INDEX(Pedidos!$D$2:$D$1801,MATCH(B1530,Pedidos!$A$2:$A$1801,0)),"")</f>
        <v/>
      </c>
      <c r="L1530" s="21">
        <f>IFERROR(INDEX(Pedidos!$F$2:$F$1801,MATCH(B1530,Pedidos!$A$2:$A$1801,0)),"")</f>
        <v/>
      </c>
      <c r="M1530" s="22">
        <f>IFERROR(INDEX(Pedidos!$G$2:$G$1801,MATCH(B1530,Pedidos!$A$2:$A$1801,0)),0)</f>
        <v/>
      </c>
      <c r="N1530" s="21">
        <f>IFERROR(INDEX(Produtos!$B$2:$B$71,MATCH(C1530,Produtos!$A$2:$A$71,0)),"")</f>
        <v/>
      </c>
      <c r="O1530" s="21">
        <f>IFERROR(INDEX(Produtos!$C$2:$C$71,MATCH(C1530,Produtos!$A$2:$A$71,0)),"")</f>
        <v/>
      </c>
      <c r="P1530" s="21">
        <f>IFERROR(INDEX(Produtos!$D$2:$D$71,MATCH(C1530,Produtos!$A$2:$A$71,0)),0)</f>
        <v/>
      </c>
      <c r="Q1530" s="21">
        <f>IFERROR(INDEX(Produtos!$E$2:$E$71,MATCH(C1530,Produtos!$A$2:$A$71,0)),0)</f>
        <v/>
      </c>
      <c r="R1530" s="23">
        <f>D1530*Q1530</f>
        <v/>
      </c>
      <c r="S1530" s="23">
        <f>R1530*E1530</f>
        <v/>
      </c>
      <c r="T1530" s="23">
        <f>(R1530-S1530)*M1530</f>
        <v/>
      </c>
      <c r="U1530" s="23">
        <f>R1530-S1530-T1530</f>
        <v/>
      </c>
      <c r="V1530" s="23">
        <f>D1530*P1530</f>
        <v/>
      </c>
      <c r="W1530" s="23">
        <f>U1530-V1530</f>
        <v/>
      </c>
      <c r="X1530" s="24">
        <f>IFERROR(W1530/U1530,0)</f>
        <v/>
      </c>
    </row>
    <row r="1531">
      <c r="A1531" s="25">
        <f>ItensPedido!A1531</f>
        <v/>
      </c>
      <c r="B1531" s="25">
        <f>ItensPedido!B1531</f>
        <v/>
      </c>
      <c r="C1531" s="25">
        <f>ItensPedido!C1531</f>
        <v/>
      </c>
      <c r="D1531" s="25">
        <f>ItensPedido!D1531</f>
        <v/>
      </c>
      <c r="E1531" s="26">
        <f>ItensPedido!E1531</f>
        <v/>
      </c>
      <c r="F1531" s="25">
        <f>IFERROR(INDEX(Pedidos!$B$2:$B$1801,MATCH(B1531,Pedidos!$A$2:$A$1801,0)),0)</f>
        <v/>
      </c>
      <c r="G1531" s="25">
        <f>IF(F1531=0,"",YEAR(F1531))</f>
        <v/>
      </c>
      <c r="H1531" s="25">
        <f>IF(F1531=0,"",MONTH(F1531))</f>
        <v/>
      </c>
      <c r="I1531" s="25">
        <f>IFERROR(INDEX(Pedidos!$E$2:$E$1801,MATCH(B1531,Pedidos!$A$2:$A$1801,0)),"")</f>
        <v/>
      </c>
      <c r="J1531" s="25">
        <f>IFERROR(INDEX(Pedidos!$C$2:$C$1801,MATCH(B1531,Pedidos!$A$2:$A$1801,0)),"")</f>
        <v/>
      </c>
      <c r="K1531" s="25">
        <f>IFERROR(INDEX(Pedidos!$D$2:$D$1801,MATCH(B1531,Pedidos!$A$2:$A$1801,0)),"")</f>
        <v/>
      </c>
      <c r="L1531" s="25">
        <f>IFERROR(INDEX(Pedidos!$F$2:$F$1801,MATCH(B1531,Pedidos!$A$2:$A$1801,0)),"")</f>
        <v/>
      </c>
      <c r="M1531" s="26">
        <f>IFERROR(INDEX(Pedidos!$G$2:$G$1801,MATCH(B1531,Pedidos!$A$2:$A$1801,0)),0)</f>
        <v/>
      </c>
      <c r="N1531" s="25">
        <f>IFERROR(INDEX(Produtos!$B$2:$B$71,MATCH(C1531,Produtos!$A$2:$A$71,0)),"")</f>
        <v/>
      </c>
      <c r="O1531" s="25">
        <f>IFERROR(INDEX(Produtos!$C$2:$C$71,MATCH(C1531,Produtos!$A$2:$A$71,0)),"")</f>
        <v/>
      </c>
      <c r="P1531" s="25">
        <f>IFERROR(INDEX(Produtos!$D$2:$D$71,MATCH(C1531,Produtos!$A$2:$A$71,0)),0)</f>
        <v/>
      </c>
      <c r="Q1531" s="25">
        <f>IFERROR(INDEX(Produtos!$E$2:$E$71,MATCH(C1531,Produtos!$A$2:$A$71,0)),0)</f>
        <v/>
      </c>
      <c r="R1531" s="27">
        <f>D1531*Q1531</f>
        <v/>
      </c>
      <c r="S1531" s="27">
        <f>R1531*E1531</f>
        <v/>
      </c>
      <c r="T1531" s="27">
        <f>(R1531-S1531)*M1531</f>
        <v/>
      </c>
      <c r="U1531" s="27">
        <f>R1531-S1531-T1531</f>
        <v/>
      </c>
      <c r="V1531" s="27">
        <f>D1531*P1531</f>
        <v/>
      </c>
      <c r="W1531" s="27">
        <f>U1531-V1531</f>
        <v/>
      </c>
      <c r="X1531" s="28">
        <f>IFERROR(W1531/U1531,0)</f>
        <v/>
      </c>
    </row>
    <row r="1532">
      <c r="A1532" s="21">
        <f>ItensPedido!A1532</f>
        <v/>
      </c>
      <c r="B1532" s="21">
        <f>ItensPedido!B1532</f>
        <v/>
      </c>
      <c r="C1532" s="21">
        <f>ItensPedido!C1532</f>
        <v/>
      </c>
      <c r="D1532" s="21">
        <f>ItensPedido!D1532</f>
        <v/>
      </c>
      <c r="E1532" s="22">
        <f>ItensPedido!E1532</f>
        <v/>
      </c>
      <c r="F1532" s="21">
        <f>IFERROR(INDEX(Pedidos!$B$2:$B$1801,MATCH(B1532,Pedidos!$A$2:$A$1801,0)),0)</f>
        <v/>
      </c>
      <c r="G1532" s="21">
        <f>IF(F1532=0,"",YEAR(F1532))</f>
        <v/>
      </c>
      <c r="H1532" s="21">
        <f>IF(F1532=0,"",MONTH(F1532))</f>
        <v/>
      </c>
      <c r="I1532" s="21">
        <f>IFERROR(INDEX(Pedidos!$E$2:$E$1801,MATCH(B1532,Pedidos!$A$2:$A$1801,0)),"")</f>
        <v/>
      </c>
      <c r="J1532" s="21">
        <f>IFERROR(INDEX(Pedidos!$C$2:$C$1801,MATCH(B1532,Pedidos!$A$2:$A$1801,0)),"")</f>
        <v/>
      </c>
      <c r="K1532" s="21">
        <f>IFERROR(INDEX(Pedidos!$D$2:$D$1801,MATCH(B1532,Pedidos!$A$2:$A$1801,0)),"")</f>
        <v/>
      </c>
      <c r="L1532" s="21">
        <f>IFERROR(INDEX(Pedidos!$F$2:$F$1801,MATCH(B1532,Pedidos!$A$2:$A$1801,0)),"")</f>
        <v/>
      </c>
      <c r="M1532" s="22">
        <f>IFERROR(INDEX(Pedidos!$G$2:$G$1801,MATCH(B1532,Pedidos!$A$2:$A$1801,0)),0)</f>
        <v/>
      </c>
      <c r="N1532" s="21">
        <f>IFERROR(INDEX(Produtos!$B$2:$B$71,MATCH(C1532,Produtos!$A$2:$A$71,0)),"")</f>
        <v/>
      </c>
      <c r="O1532" s="21">
        <f>IFERROR(INDEX(Produtos!$C$2:$C$71,MATCH(C1532,Produtos!$A$2:$A$71,0)),"")</f>
        <v/>
      </c>
      <c r="P1532" s="21">
        <f>IFERROR(INDEX(Produtos!$D$2:$D$71,MATCH(C1532,Produtos!$A$2:$A$71,0)),0)</f>
        <v/>
      </c>
      <c r="Q1532" s="21">
        <f>IFERROR(INDEX(Produtos!$E$2:$E$71,MATCH(C1532,Produtos!$A$2:$A$71,0)),0)</f>
        <v/>
      </c>
      <c r="R1532" s="23">
        <f>D1532*Q1532</f>
        <v/>
      </c>
      <c r="S1532" s="23">
        <f>R1532*E1532</f>
        <v/>
      </c>
      <c r="T1532" s="23">
        <f>(R1532-S1532)*M1532</f>
        <v/>
      </c>
      <c r="U1532" s="23">
        <f>R1532-S1532-T1532</f>
        <v/>
      </c>
      <c r="V1532" s="23">
        <f>D1532*P1532</f>
        <v/>
      </c>
      <c r="W1532" s="23">
        <f>U1532-V1532</f>
        <v/>
      </c>
      <c r="X1532" s="24">
        <f>IFERROR(W1532/U1532,0)</f>
        <v/>
      </c>
    </row>
    <row r="1533">
      <c r="A1533" s="25">
        <f>ItensPedido!A1533</f>
        <v/>
      </c>
      <c r="B1533" s="25">
        <f>ItensPedido!B1533</f>
        <v/>
      </c>
      <c r="C1533" s="25">
        <f>ItensPedido!C1533</f>
        <v/>
      </c>
      <c r="D1533" s="25">
        <f>ItensPedido!D1533</f>
        <v/>
      </c>
      <c r="E1533" s="26">
        <f>ItensPedido!E1533</f>
        <v/>
      </c>
      <c r="F1533" s="25">
        <f>IFERROR(INDEX(Pedidos!$B$2:$B$1801,MATCH(B1533,Pedidos!$A$2:$A$1801,0)),0)</f>
        <v/>
      </c>
      <c r="G1533" s="25">
        <f>IF(F1533=0,"",YEAR(F1533))</f>
        <v/>
      </c>
      <c r="H1533" s="25">
        <f>IF(F1533=0,"",MONTH(F1533))</f>
        <v/>
      </c>
      <c r="I1533" s="25">
        <f>IFERROR(INDEX(Pedidos!$E$2:$E$1801,MATCH(B1533,Pedidos!$A$2:$A$1801,0)),"")</f>
        <v/>
      </c>
      <c r="J1533" s="25">
        <f>IFERROR(INDEX(Pedidos!$C$2:$C$1801,MATCH(B1533,Pedidos!$A$2:$A$1801,0)),"")</f>
        <v/>
      </c>
      <c r="K1533" s="25">
        <f>IFERROR(INDEX(Pedidos!$D$2:$D$1801,MATCH(B1533,Pedidos!$A$2:$A$1801,0)),"")</f>
        <v/>
      </c>
      <c r="L1533" s="25">
        <f>IFERROR(INDEX(Pedidos!$F$2:$F$1801,MATCH(B1533,Pedidos!$A$2:$A$1801,0)),"")</f>
        <v/>
      </c>
      <c r="M1533" s="26">
        <f>IFERROR(INDEX(Pedidos!$G$2:$G$1801,MATCH(B1533,Pedidos!$A$2:$A$1801,0)),0)</f>
        <v/>
      </c>
      <c r="N1533" s="25">
        <f>IFERROR(INDEX(Produtos!$B$2:$B$71,MATCH(C1533,Produtos!$A$2:$A$71,0)),"")</f>
        <v/>
      </c>
      <c r="O1533" s="25">
        <f>IFERROR(INDEX(Produtos!$C$2:$C$71,MATCH(C1533,Produtos!$A$2:$A$71,0)),"")</f>
        <v/>
      </c>
      <c r="P1533" s="25">
        <f>IFERROR(INDEX(Produtos!$D$2:$D$71,MATCH(C1533,Produtos!$A$2:$A$71,0)),0)</f>
        <v/>
      </c>
      <c r="Q1533" s="25">
        <f>IFERROR(INDEX(Produtos!$E$2:$E$71,MATCH(C1533,Produtos!$A$2:$A$71,0)),0)</f>
        <v/>
      </c>
      <c r="R1533" s="27">
        <f>D1533*Q1533</f>
        <v/>
      </c>
      <c r="S1533" s="27">
        <f>R1533*E1533</f>
        <v/>
      </c>
      <c r="T1533" s="27">
        <f>(R1533-S1533)*M1533</f>
        <v/>
      </c>
      <c r="U1533" s="27">
        <f>R1533-S1533-T1533</f>
        <v/>
      </c>
      <c r="V1533" s="27">
        <f>D1533*P1533</f>
        <v/>
      </c>
      <c r="W1533" s="27">
        <f>U1533-V1533</f>
        <v/>
      </c>
      <c r="X1533" s="28">
        <f>IFERROR(W1533/U1533,0)</f>
        <v/>
      </c>
    </row>
    <row r="1534">
      <c r="A1534" s="21">
        <f>ItensPedido!A1534</f>
        <v/>
      </c>
      <c r="B1534" s="21">
        <f>ItensPedido!B1534</f>
        <v/>
      </c>
      <c r="C1534" s="21">
        <f>ItensPedido!C1534</f>
        <v/>
      </c>
      <c r="D1534" s="21">
        <f>ItensPedido!D1534</f>
        <v/>
      </c>
      <c r="E1534" s="22">
        <f>ItensPedido!E1534</f>
        <v/>
      </c>
      <c r="F1534" s="21">
        <f>IFERROR(INDEX(Pedidos!$B$2:$B$1801,MATCH(B1534,Pedidos!$A$2:$A$1801,0)),0)</f>
        <v/>
      </c>
      <c r="G1534" s="21">
        <f>IF(F1534=0,"",YEAR(F1534))</f>
        <v/>
      </c>
      <c r="H1534" s="21">
        <f>IF(F1534=0,"",MONTH(F1534))</f>
        <v/>
      </c>
      <c r="I1534" s="21">
        <f>IFERROR(INDEX(Pedidos!$E$2:$E$1801,MATCH(B1534,Pedidos!$A$2:$A$1801,0)),"")</f>
        <v/>
      </c>
      <c r="J1534" s="21">
        <f>IFERROR(INDEX(Pedidos!$C$2:$C$1801,MATCH(B1534,Pedidos!$A$2:$A$1801,0)),"")</f>
        <v/>
      </c>
      <c r="K1534" s="21">
        <f>IFERROR(INDEX(Pedidos!$D$2:$D$1801,MATCH(B1534,Pedidos!$A$2:$A$1801,0)),"")</f>
        <v/>
      </c>
      <c r="L1534" s="21">
        <f>IFERROR(INDEX(Pedidos!$F$2:$F$1801,MATCH(B1534,Pedidos!$A$2:$A$1801,0)),"")</f>
        <v/>
      </c>
      <c r="M1534" s="22">
        <f>IFERROR(INDEX(Pedidos!$G$2:$G$1801,MATCH(B1534,Pedidos!$A$2:$A$1801,0)),0)</f>
        <v/>
      </c>
      <c r="N1534" s="21">
        <f>IFERROR(INDEX(Produtos!$B$2:$B$71,MATCH(C1534,Produtos!$A$2:$A$71,0)),"")</f>
        <v/>
      </c>
      <c r="O1534" s="21">
        <f>IFERROR(INDEX(Produtos!$C$2:$C$71,MATCH(C1534,Produtos!$A$2:$A$71,0)),"")</f>
        <v/>
      </c>
      <c r="P1534" s="21">
        <f>IFERROR(INDEX(Produtos!$D$2:$D$71,MATCH(C1534,Produtos!$A$2:$A$71,0)),0)</f>
        <v/>
      </c>
      <c r="Q1534" s="21">
        <f>IFERROR(INDEX(Produtos!$E$2:$E$71,MATCH(C1534,Produtos!$A$2:$A$71,0)),0)</f>
        <v/>
      </c>
      <c r="R1534" s="23">
        <f>D1534*Q1534</f>
        <v/>
      </c>
      <c r="S1534" s="23">
        <f>R1534*E1534</f>
        <v/>
      </c>
      <c r="T1534" s="23">
        <f>(R1534-S1534)*M1534</f>
        <v/>
      </c>
      <c r="U1534" s="23">
        <f>R1534-S1534-T1534</f>
        <v/>
      </c>
      <c r="V1534" s="23">
        <f>D1534*P1534</f>
        <v/>
      </c>
      <c r="W1534" s="23">
        <f>U1534-V1534</f>
        <v/>
      </c>
      <c r="X1534" s="24">
        <f>IFERROR(W1534/U1534,0)</f>
        <v/>
      </c>
    </row>
    <row r="1535">
      <c r="A1535" s="25">
        <f>ItensPedido!A1535</f>
        <v/>
      </c>
      <c r="B1535" s="25">
        <f>ItensPedido!B1535</f>
        <v/>
      </c>
      <c r="C1535" s="25">
        <f>ItensPedido!C1535</f>
        <v/>
      </c>
      <c r="D1535" s="25">
        <f>ItensPedido!D1535</f>
        <v/>
      </c>
      <c r="E1535" s="26">
        <f>ItensPedido!E1535</f>
        <v/>
      </c>
      <c r="F1535" s="25">
        <f>IFERROR(INDEX(Pedidos!$B$2:$B$1801,MATCH(B1535,Pedidos!$A$2:$A$1801,0)),0)</f>
        <v/>
      </c>
      <c r="G1535" s="25">
        <f>IF(F1535=0,"",YEAR(F1535))</f>
        <v/>
      </c>
      <c r="H1535" s="25">
        <f>IF(F1535=0,"",MONTH(F1535))</f>
        <v/>
      </c>
      <c r="I1535" s="25">
        <f>IFERROR(INDEX(Pedidos!$E$2:$E$1801,MATCH(B1535,Pedidos!$A$2:$A$1801,0)),"")</f>
        <v/>
      </c>
      <c r="J1535" s="25">
        <f>IFERROR(INDEX(Pedidos!$C$2:$C$1801,MATCH(B1535,Pedidos!$A$2:$A$1801,0)),"")</f>
        <v/>
      </c>
      <c r="K1535" s="25">
        <f>IFERROR(INDEX(Pedidos!$D$2:$D$1801,MATCH(B1535,Pedidos!$A$2:$A$1801,0)),"")</f>
        <v/>
      </c>
      <c r="L1535" s="25">
        <f>IFERROR(INDEX(Pedidos!$F$2:$F$1801,MATCH(B1535,Pedidos!$A$2:$A$1801,0)),"")</f>
        <v/>
      </c>
      <c r="M1535" s="26">
        <f>IFERROR(INDEX(Pedidos!$G$2:$G$1801,MATCH(B1535,Pedidos!$A$2:$A$1801,0)),0)</f>
        <v/>
      </c>
      <c r="N1535" s="25">
        <f>IFERROR(INDEX(Produtos!$B$2:$B$71,MATCH(C1535,Produtos!$A$2:$A$71,0)),"")</f>
        <v/>
      </c>
      <c r="O1535" s="25">
        <f>IFERROR(INDEX(Produtos!$C$2:$C$71,MATCH(C1535,Produtos!$A$2:$A$71,0)),"")</f>
        <v/>
      </c>
      <c r="P1535" s="25">
        <f>IFERROR(INDEX(Produtos!$D$2:$D$71,MATCH(C1535,Produtos!$A$2:$A$71,0)),0)</f>
        <v/>
      </c>
      <c r="Q1535" s="25">
        <f>IFERROR(INDEX(Produtos!$E$2:$E$71,MATCH(C1535,Produtos!$A$2:$A$71,0)),0)</f>
        <v/>
      </c>
      <c r="R1535" s="27">
        <f>D1535*Q1535</f>
        <v/>
      </c>
      <c r="S1535" s="27">
        <f>R1535*E1535</f>
        <v/>
      </c>
      <c r="T1535" s="27">
        <f>(R1535-S1535)*M1535</f>
        <v/>
      </c>
      <c r="U1535" s="27">
        <f>R1535-S1535-T1535</f>
        <v/>
      </c>
      <c r="V1535" s="27">
        <f>D1535*P1535</f>
        <v/>
      </c>
      <c r="W1535" s="27">
        <f>U1535-V1535</f>
        <v/>
      </c>
      <c r="X1535" s="28">
        <f>IFERROR(W1535/U1535,0)</f>
        <v/>
      </c>
    </row>
    <row r="1536">
      <c r="A1536" s="21">
        <f>ItensPedido!A1536</f>
        <v/>
      </c>
      <c r="B1536" s="21">
        <f>ItensPedido!B1536</f>
        <v/>
      </c>
      <c r="C1536" s="21">
        <f>ItensPedido!C1536</f>
        <v/>
      </c>
      <c r="D1536" s="21">
        <f>ItensPedido!D1536</f>
        <v/>
      </c>
      <c r="E1536" s="22">
        <f>ItensPedido!E1536</f>
        <v/>
      </c>
      <c r="F1536" s="21">
        <f>IFERROR(INDEX(Pedidos!$B$2:$B$1801,MATCH(B1536,Pedidos!$A$2:$A$1801,0)),0)</f>
        <v/>
      </c>
      <c r="G1536" s="21">
        <f>IF(F1536=0,"",YEAR(F1536))</f>
        <v/>
      </c>
      <c r="H1536" s="21">
        <f>IF(F1536=0,"",MONTH(F1536))</f>
        <v/>
      </c>
      <c r="I1536" s="21">
        <f>IFERROR(INDEX(Pedidos!$E$2:$E$1801,MATCH(B1536,Pedidos!$A$2:$A$1801,0)),"")</f>
        <v/>
      </c>
      <c r="J1536" s="21">
        <f>IFERROR(INDEX(Pedidos!$C$2:$C$1801,MATCH(B1536,Pedidos!$A$2:$A$1801,0)),"")</f>
        <v/>
      </c>
      <c r="K1536" s="21">
        <f>IFERROR(INDEX(Pedidos!$D$2:$D$1801,MATCH(B1536,Pedidos!$A$2:$A$1801,0)),"")</f>
        <v/>
      </c>
      <c r="L1536" s="21">
        <f>IFERROR(INDEX(Pedidos!$F$2:$F$1801,MATCH(B1536,Pedidos!$A$2:$A$1801,0)),"")</f>
        <v/>
      </c>
      <c r="M1536" s="22">
        <f>IFERROR(INDEX(Pedidos!$G$2:$G$1801,MATCH(B1536,Pedidos!$A$2:$A$1801,0)),0)</f>
        <v/>
      </c>
      <c r="N1536" s="21">
        <f>IFERROR(INDEX(Produtos!$B$2:$B$71,MATCH(C1536,Produtos!$A$2:$A$71,0)),"")</f>
        <v/>
      </c>
      <c r="O1536" s="21">
        <f>IFERROR(INDEX(Produtos!$C$2:$C$71,MATCH(C1536,Produtos!$A$2:$A$71,0)),"")</f>
        <v/>
      </c>
      <c r="P1536" s="21">
        <f>IFERROR(INDEX(Produtos!$D$2:$D$71,MATCH(C1536,Produtos!$A$2:$A$71,0)),0)</f>
        <v/>
      </c>
      <c r="Q1536" s="21">
        <f>IFERROR(INDEX(Produtos!$E$2:$E$71,MATCH(C1536,Produtos!$A$2:$A$71,0)),0)</f>
        <v/>
      </c>
      <c r="R1536" s="23">
        <f>D1536*Q1536</f>
        <v/>
      </c>
      <c r="S1536" s="23">
        <f>R1536*E1536</f>
        <v/>
      </c>
      <c r="T1536" s="23">
        <f>(R1536-S1536)*M1536</f>
        <v/>
      </c>
      <c r="U1536" s="23">
        <f>R1536-S1536-T1536</f>
        <v/>
      </c>
      <c r="V1536" s="23">
        <f>D1536*P1536</f>
        <v/>
      </c>
      <c r="W1536" s="23">
        <f>U1536-V1536</f>
        <v/>
      </c>
      <c r="X1536" s="24">
        <f>IFERROR(W1536/U1536,0)</f>
        <v/>
      </c>
    </row>
    <row r="1537">
      <c r="A1537" s="25">
        <f>ItensPedido!A1537</f>
        <v/>
      </c>
      <c r="B1537" s="25">
        <f>ItensPedido!B1537</f>
        <v/>
      </c>
      <c r="C1537" s="25">
        <f>ItensPedido!C1537</f>
        <v/>
      </c>
      <c r="D1537" s="25">
        <f>ItensPedido!D1537</f>
        <v/>
      </c>
      <c r="E1537" s="26">
        <f>ItensPedido!E1537</f>
        <v/>
      </c>
      <c r="F1537" s="25">
        <f>IFERROR(INDEX(Pedidos!$B$2:$B$1801,MATCH(B1537,Pedidos!$A$2:$A$1801,0)),0)</f>
        <v/>
      </c>
      <c r="G1537" s="25">
        <f>IF(F1537=0,"",YEAR(F1537))</f>
        <v/>
      </c>
      <c r="H1537" s="25">
        <f>IF(F1537=0,"",MONTH(F1537))</f>
        <v/>
      </c>
      <c r="I1537" s="25">
        <f>IFERROR(INDEX(Pedidos!$E$2:$E$1801,MATCH(B1537,Pedidos!$A$2:$A$1801,0)),"")</f>
        <v/>
      </c>
      <c r="J1537" s="25">
        <f>IFERROR(INDEX(Pedidos!$C$2:$C$1801,MATCH(B1537,Pedidos!$A$2:$A$1801,0)),"")</f>
        <v/>
      </c>
      <c r="K1537" s="25">
        <f>IFERROR(INDEX(Pedidos!$D$2:$D$1801,MATCH(B1537,Pedidos!$A$2:$A$1801,0)),"")</f>
        <v/>
      </c>
      <c r="L1537" s="25">
        <f>IFERROR(INDEX(Pedidos!$F$2:$F$1801,MATCH(B1537,Pedidos!$A$2:$A$1801,0)),"")</f>
        <v/>
      </c>
      <c r="M1537" s="26">
        <f>IFERROR(INDEX(Pedidos!$G$2:$G$1801,MATCH(B1537,Pedidos!$A$2:$A$1801,0)),0)</f>
        <v/>
      </c>
      <c r="N1537" s="25">
        <f>IFERROR(INDEX(Produtos!$B$2:$B$71,MATCH(C1537,Produtos!$A$2:$A$71,0)),"")</f>
        <v/>
      </c>
      <c r="O1537" s="25">
        <f>IFERROR(INDEX(Produtos!$C$2:$C$71,MATCH(C1537,Produtos!$A$2:$A$71,0)),"")</f>
        <v/>
      </c>
      <c r="P1537" s="25">
        <f>IFERROR(INDEX(Produtos!$D$2:$D$71,MATCH(C1537,Produtos!$A$2:$A$71,0)),0)</f>
        <v/>
      </c>
      <c r="Q1537" s="25">
        <f>IFERROR(INDEX(Produtos!$E$2:$E$71,MATCH(C1537,Produtos!$A$2:$A$71,0)),0)</f>
        <v/>
      </c>
      <c r="R1537" s="27">
        <f>D1537*Q1537</f>
        <v/>
      </c>
      <c r="S1537" s="27">
        <f>R1537*E1537</f>
        <v/>
      </c>
      <c r="T1537" s="27">
        <f>(R1537-S1537)*M1537</f>
        <v/>
      </c>
      <c r="U1537" s="27">
        <f>R1537-S1537-T1537</f>
        <v/>
      </c>
      <c r="V1537" s="27">
        <f>D1537*P1537</f>
        <v/>
      </c>
      <c r="W1537" s="27">
        <f>U1537-V1537</f>
        <v/>
      </c>
      <c r="X1537" s="28">
        <f>IFERROR(W1537/U1537,0)</f>
        <v/>
      </c>
    </row>
    <row r="1538">
      <c r="A1538" s="21">
        <f>ItensPedido!A1538</f>
        <v/>
      </c>
      <c r="B1538" s="21">
        <f>ItensPedido!B1538</f>
        <v/>
      </c>
      <c r="C1538" s="21">
        <f>ItensPedido!C1538</f>
        <v/>
      </c>
      <c r="D1538" s="21">
        <f>ItensPedido!D1538</f>
        <v/>
      </c>
      <c r="E1538" s="22">
        <f>ItensPedido!E1538</f>
        <v/>
      </c>
      <c r="F1538" s="21">
        <f>IFERROR(INDEX(Pedidos!$B$2:$B$1801,MATCH(B1538,Pedidos!$A$2:$A$1801,0)),0)</f>
        <v/>
      </c>
      <c r="G1538" s="21">
        <f>IF(F1538=0,"",YEAR(F1538))</f>
        <v/>
      </c>
      <c r="H1538" s="21">
        <f>IF(F1538=0,"",MONTH(F1538))</f>
        <v/>
      </c>
      <c r="I1538" s="21">
        <f>IFERROR(INDEX(Pedidos!$E$2:$E$1801,MATCH(B1538,Pedidos!$A$2:$A$1801,0)),"")</f>
        <v/>
      </c>
      <c r="J1538" s="21">
        <f>IFERROR(INDEX(Pedidos!$C$2:$C$1801,MATCH(B1538,Pedidos!$A$2:$A$1801,0)),"")</f>
        <v/>
      </c>
      <c r="K1538" s="21">
        <f>IFERROR(INDEX(Pedidos!$D$2:$D$1801,MATCH(B1538,Pedidos!$A$2:$A$1801,0)),"")</f>
        <v/>
      </c>
      <c r="L1538" s="21">
        <f>IFERROR(INDEX(Pedidos!$F$2:$F$1801,MATCH(B1538,Pedidos!$A$2:$A$1801,0)),"")</f>
        <v/>
      </c>
      <c r="M1538" s="22">
        <f>IFERROR(INDEX(Pedidos!$G$2:$G$1801,MATCH(B1538,Pedidos!$A$2:$A$1801,0)),0)</f>
        <v/>
      </c>
      <c r="N1538" s="21">
        <f>IFERROR(INDEX(Produtos!$B$2:$B$71,MATCH(C1538,Produtos!$A$2:$A$71,0)),"")</f>
        <v/>
      </c>
      <c r="O1538" s="21">
        <f>IFERROR(INDEX(Produtos!$C$2:$C$71,MATCH(C1538,Produtos!$A$2:$A$71,0)),"")</f>
        <v/>
      </c>
      <c r="P1538" s="21">
        <f>IFERROR(INDEX(Produtos!$D$2:$D$71,MATCH(C1538,Produtos!$A$2:$A$71,0)),0)</f>
        <v/>
      </c>
      <c r="Q1538" s="21">
        <f>IFERROR(INDEX(Produtos!$E$2:$E$71,MATCH(C1538,Produtos!$A$2:$A$71,0)),0)</f>
        <v/>
      </c>
      <c r="R1538" s="23">
        <f>D1538*Q1538</f>
        <v/>
      </c>
      <c r="S1538" s="23">
        <f>R1538*E1538</f>
        <v/>
      </c>
      <c r="T1538" s="23">
        <f>(R1538-S1538)*M1538</f>
        <v/>
      </c>
      <c r="U1538" s="23">
        <f>R1538-S1538-T1538</f>
        <v/>
      </c>
      <c r="V1538" s="23">
        <f>D1538*P1538</f>
        <v/>
      </c>
      <c r="W1538" s="23">
        <f>U1538-V1538</f>
        <v/>
      </c>
      <c r="X1538" s="24">
        <f>IFERROR(W1538/U1538,0)</f>
        <v/>
      </c>
    </row>
    <row r="1539">
      <c r="A1539" s="25">
        <f>ItensPedido!A1539</f>
        <v/>
      </c>
      <c r="B1539" s="25">
        <f>ItensPedido!B1539</f>
        <v/>
      </c>
      <c r="C1539" s="25">
        <f>ItensPedido!C1539</f>
        <v/>
      </c>
      <c r="D1539" s="25">
        <f>ItensPedido!D1539</f>
        <v/>
      </c>
      <c r="E1539" s="26">
        <f>ItensPedido!E1539</f>
        <v/>
      </c>
      <c r="F1539" s="25">
        <f>IFERROR(INDEX(Pedidos!$B$2:$B$1801,MATCH(B1539,Pedidos!$A$2:$A$1801,0)),0)</f>
        <v/>
      </c>
      <c r="G1539" s="25">
        <f>IF(F1539=0,"",YEAR(F1539))</f>
        <v/>
      </c>
      <c r="H1539" s="25">
        <f>IF(F1539=0,"",MONTH(F1539))</f>
        <v/>
      </c>
      <c r="I1539" s="25">
        <f>IFERROR(INDEX(Pedidos!$E$2:$E$1801,MATCH(B1539,Pedidos!$A$2:$A$1801,0)),"")</f>
        <v/>
      </c>
      <c r="J1539" s="25">
        <f>IFERROR(INDEX(Pedidos!$C$2:$C$1801,MATCH(B1539,Pedidos!$A$2:$A$1801,0)),"")</f>
        <v/>
      </c>
      <c r="K1539" s="25">
        <f>IFERROR(INDEX(Pedidos!$D$2:$D$1801,MATCH(B1539,Pedidos!$A$2:$A$1801,0)),"")</f>
        <v/>
      </c>
      <c r="L1539" s="25">
        <f>IFERROR(INDEX(Pedidos!$F$2:$F$1801,MATCH(B1539,Pedidos!$A$2:$A$1801,0)),"")</f>
        <v/>
      </c>
      <c r="M1539" s="26">
        <f>IFERROR(INDEX(Pedidos!$G$2:$G$1801,MATCH(B1539,Pedidos!$A$2:$A$1801,0)),0)</f>
        <v/>
      </c>
      <c r="N1539" s="25">
        <f>IFERROR(INDEX(Produtos!$B$2:$B$71,MATCH(C1539,Produtos!$A$2:$A$71,0)),"")</f>
        <v/>
      </c>
      <c r="O1539" s="25">
        <f>IFERROR(INDEX(Produtos!$C$2:$C$71,MATCH(C1539,Produtos!$A$2:$A$71,0)),"")</f>
        <v/>
      </c>
      <c r="P1539" s="25">
        <f>IFERROR(INDEX(Produtos!$D$2:$D$71,MATCH(C1539,Produtos!$A$2:$A$71,0)),0)</f>
        <v/>
      </c>
      <c r="Q1539" s="25">
        <f>IFERROR(INDEX(Produtos!$E$2:$E$71,MATCH(C1539,Produtos!$A$2:$A$71,0)),0)</f>
        <v/>
      </c>
      <c r="R1539" s="27">
        <f>D1539*Q1539</f>
        <v/>
      </c>
      <c r="S1539" s="27">
        <f>R1539*E1539</f>
        <v/>
      </c>
      <c r="T1539" s="27">
        <f>(R1539-S1539)*M1539</f>
        <v/>
      </c>
      <c r="U1539" s="27">
        <f>R1539-S1539-T1539</f>
        <v/>
      </c>
      <c r="V1539" s="27">
        <f>D1539*P1539</f>
        <v/>
      </c>
      <c r="W1539" s="27">
        <f>U1539-V1539</f>
        <v/>
      </c>
      <c r="X1539" s="28">
        <f>IFERROR(W1539/U1539,0)</f>
        <v/>
      </c>
    </row>
    <row r="1540">
      <c r="A1540" s="21">
        <f>ItensPedido!A1540</f>
        <v/>
      </c>
      <c r="B1540" s="21">
        <f>ItensPedido!B1540</f>
        <v/>
      </c>
      <c r="C1540" s="21">
        <f>ItensPedido!C1540</f>
        <v/>
      </c>
      <c r="D1540" s="21">
        <f>ItensPedido!D1540</f>
        <v/>
      </c>
      <c r="E1540" s="22">
        <f>ItensPedido!E1540</f>
        <v/>
      </c>
      <c r="F1540" s="21">
        <f>IFERROR(INDEX(Pedidos!$B$2:$B$1801,MATCH(B1540,Pedidos!$A$2:$A$1801,0)),0)</f>
        <v/>
      </c>
      <c r="G1540" s="21">
        <f>IF(F1540=0,"",YEAR(F1540))</f>
        <v/>
      </c>
      <c r="H1540" s="21">
        <f>IF(F1540=0,"",MONTH(F1540))</f>
        <v/>
      </c>
      <c r="I1540" s="21">
        <f>IFERROR(INDEX(Pedidos!$E$2:$E$1801,MATCH(B1540,Pedidos!$A$2:$A$1801,0)),"")</f>
        <v/>
      </c>
      <c r="J1540" s="21">
        <f>IFERROR(INDEX(Pedidos!$C$2:$C$1801,MATCH(B1540,Pedidos!$A$2:$A$1801,0)),"")</f>
        <v/>
      </c>
      <c r="K1540" s="21">
        <f>IFERROR(INDEX(Pedidos!$D$2:$D$1801,MATCH(B1540,Pedidos!$A$2:$A$1801,0)),"")</f>
        <v/>
      </c>
      <c r="L1540" s="21">
        <f>IFERROR(INDEX(Pedidos!$F$2:$F$1801,MATCH(B1540,Pedidos!$A$2:$A$1801,0)),"")</f>
        <v/>
      </c>
      <c r="M1540" s="22">
        <f>IFERROR(INDEX(Pedidos!$G$2:$G$1801,MATCH(B1540,Pedidos!$A$2:$A$1801,0)),0)</f>
        <v/>
      </c>
      <c r="N1540" s="21">
        <f>IFERROR(INDEX(Produtos!$B$2:$B$71,MATCH(C1540,Produtos!$A$2:$A$71,0)),"")</f>
        <v/>
      </c>
      <c r="O1540" s="21">
        <f>IFERROR(INDEX(Produtos!$C$2:$C$71,MATCH(C1540,Produtos!$A$2:$A$71,0)),"")</f>
        <v/>
      </c>
      <c r="P1540" s="21">
        <f>IFERROR(INDEX(Produtos!$D$2:$D$71,MATCH(C1540,Produtos!$A$2:$A$71,0)),0)</f>
        <v/>
      </c>
      <c r="Q1540" s="21">
        <f>IFERROR(INDEX(Produtos!$E$2:$E$71,MATCH(C1540,Produtos!$A$2:$A$71,0)),0)</f>
        <v/>
      </c>
      <c r="R1540" s="23">
        <f>D1540*Q1540</f>
        <v/>
      </c>
      <c r="S1540" s="23">
        <f>R1540*E1540</f>
        <v/>
      </c>
      <c r="T1540" s="23">
        <f>(R1540-S1540)*M1540</f>
        <v/>
      </c>
      <c r="U1540" s="23">
        <f>R1540-S1540-T1540</f>
        <v/>
      </c>
      <c r="V1540" s="23">
        <f>D1540*P1540</f>
        <v/>
      </c>
      <c r="W1540" s="23">
        <f>U1540-V1540</f>
        <v/>
      </c>
      <c r="X1540" s="24">
        <f>IFERROR(W1540/U1540,0)</f>
        <v/>
      </c>
    </row>
    <row r="1541">
      <c r="A1541" s="25">
        <f>ItensPedido!A1541</f>
        <v/>
      </c>
      <c r="B1541" s="25">
        <f>ItensPedido!B1541</f>
        <v/>
      </c>
      <c r="C1541" s="25">
        <f>ItensPedido!C1541</f>
        <v/>
      </c>
      <c r="D1541" s="25">
        <f>ItensPedido!D1541</f>
        <v/>
      </c>
      <c r="E1541" s="26">
        <f>ItensPedido!E1541</f>
        <v/>
      </c>
      <c r="F1541" s="25">
        <f>IFERROR(INDEX(Pedidos!$B$2:$B$1801,MATCH(B1541,Pedidos!$A$2:$A$1801,0)),0)</f>
        <v/>
      </c>
      <c r="G1541" s="25">
        <f>IF(F1541=0,"",YEAR(F1541))</f>
        <v/>
      </c>
      <c r="H1541" s="25">
        <f>IF(F1541=0,"",MONTH(F1541))</f>
        <v/>
      </c>
      <c r="I1541" s="25">
        <f>IFERROR(INDEX(Pedidos!$E$2:$E$1801,MATCH(B1541,Pedidos!$A$2:$A$1801,0)),"")</f>
        <v/>
      </c>
      <c r="J1541" s="25">
        <f>IFERROR(INDEX(Pedidos!$C$2:$C$1801,MATCH(B1541,Pedidos!$A$2:$A$1801,0)),"")</f>
        <v/>
      </c>
      <c r="K1541" s="25">
        <f>IFERROR(INDEX(Pedidos!$D$2:$D$1801,MATCH(B1541,Pedidos!$A$2:$A$1801,0)),"")</f>
        <v/>
      </c>
      <c r="L1541" s="25">
        <f>IFERROR(INDEX(Pedidos!$F$2:$F$1801,MATCH(B1541,Pedidos!$A$2:$A$1801,0)),"")</f>
        <v/>
      </c>
      <c r="M1541" s="26">
        <f>IFERROR(INDEX(Pedidos!$G$2:$G$1801,MATCH(B1541,Pedidos!$A$2:$A$1801,0)),0)</f>
        <v/>
      </c>
      <c r="N1541" s="25">
        <f>IFERROR(INDEX(Produtos!$B$2:$B$71,MATCH(C1541,Produtos!$A$2:$A$71,0)),"")</f>
        <v/>
      </c>
      <c r="O1541" s="25">
        <f>IFERROR(INDEX(Produtos!$C$2:$C$71,MATCH(C1541,Produtos!$A$2:$A$71,0)),"")</f>
        <v/>
      </c>
      <c r="P1541" s="25">
        <f>IFERROR(INDEX(Produtos!$D$2:$D$71,MATCH(C1541,Produtos!$A$2:$A$71,0)),0)</f>
        <v/>
      </c>
      <c r="Q1541" s="25">
        <f>IFERROR(INDEX(Produtos!$E$2:$E$71,MATCH(C1541,Produtos!$A$2:$A$71,0)),0)</f>
        <v/>
      </c>
      <c r="R1541" s="27">
        <f>D1541*Q1541</f>
        <v/>
      </c>
      <c r="S1541" s="27">
        <f>R1541*E1541</f>
        <v/>
      </c>
      <c r="T1541" s="27">
        <f>(R1541-S1541)*M1541</f>
        <v/>
      </c>
      <c r="U1541" s="27">
        <f>R1541-S1541-T1541</f>
        <v/>
      </c>
      <c r="V1541" s="27">
        <f>D1541*P1541</f>
        <v/>
      </c>
      <c r="W1541" s="27">
        <f>U1541-V1541</f>
        <v/>
      </c>
      <c r="X1541" s="28">
        <f>IFERROR(W1541/U1541,0)</f>
        <v/>
      </c>
    </row>
    <row r="1542">
      <c r="A1542" s="21">
        <f>ItensPedido!A1542</f>
        <v/>
      </c>
      <c r="B1542" s="21">
        <f>ItensPedido!B1542</f>
        <v/>
      </c>
      <c r="C1542" s="21">
        <f>ItensPedido!C1542</f>
        <v/>
      </c>
      <c r="D1542" s="21">
        <f>ItensPedido!D1542</f>
        <v/>
      </c>
      <c r="E1542" s="22">
        <f>ItensPedido!E1542</f>
        <v/>
      </c>
      <c r="F1542" s="21">
        <f>IFERROR(INDEX(Pedidos!$B$2:$B$1801,MATCH(B1542,Pedidos!$A$2:$A$1801,0)),0)</f>
        <v/>
      </c>
      <c r="G1542" s="21">
        <f>IF(F1542=0,"",YEAR(F1542))</f>
        <v/>
      </c>
      <c r="H1542" s="21">
        <f>IF(F1542=0,"",MONTH(F1542))</f>
        <v/>
      </c>
      <c r="I1542" s="21">
        <f>IFERROR(INDEX(Pedidos!$E$2:$E$1801,MATCH(B1542,Pedidos!$A$2:$A$1801,0)),"")</f>
        <v/>
      </c>
      <c r="J1542" s="21">
        <f>IFERROR(INDEX(Pedidos!$C$2:$C$1801,MATCH(B1542,Pedidos!$A$2:$A$1801,0)),"")</f>
        <v/>
      </c>
      <c r="K1542" s="21">
        <f>IFERROR(INDEX(Pedidos!$D$2:$D$1801,MATCH(B1542,Pedidos!$A$2:$A$1801,0)),"")</f>
        <v/>
      </c>
      <c r="L1542" s="21">
        <f>IFERROR(INDEX(Pedidos!$F$2:$F$1801,MATCH(B1542,Pedidos!$A$2:$A$1801,0)),"")</f>
        <v/>
      </c>
      <c r="M1542" s="22">
        <f>IFERROR(INDEX(Pedidos!$G$2:$G$1801,MATCH(B1542,Pedidos!$A$2:$A$1801,0)),0)</f>
        <v/>
      </c>
      <c r="N1542" s="21">
        <f>IFERROR(INDEX(Produtos!$B$2:$B$71,MATCH(C1542,Produtos!$A$2:$A$71,0)),"")</f>
        <v/>
      </c>
      <c r="O1542" s="21">
        <f>IFERROR(INDEX(Produtos!$C$2:$C$71,MATCH(C1542,Produtos!$A$2:$A$71,0)),"")</f>
        <v/>
      </c>
      <c r="P1542" s="21">
        <f>IFERROR(INDEX(Produtos!$D$2:$D$71,MATCH(C1542,Produtos!$A$2:$A$71,0)),0)</f>
        <v/>
      </c>
      <c r="Q1542" s="21">
        <f>IFERROR(INDEX(Produtos!$E$2:$E$71,MATCH(C1542,Produtos!$A$2:$A$71,0)),0)</f>
        <v/>
      </c>
      <c r="R1542" s="23">
        <f>D1542*Q1542</f>
        <v/>
      </c>
      <c r="S1542" s="23">
        <f>R1542*E1542</f>
        <v/>
      </c>
      <c r="T1542" s="23">
        <f>(R1542-S1542)*M1542</f>
        <v/>
      </c>
      <c r="U1542" s="23">
        <f>R1542-S1542-T1542</f>
        <v/>
      </c>
      <c r="V1542" s="23">
        <f>D1542*P1542</f>
        <v/>
      </c>
      <c r="W1542" s="23">
        <f>U1542-V1542</f>
        <v/>
      </c>
      <c r="X1542" s="24">
        <f>IFERROR(W1542/U1542,0)</f>
        <v/>
      </c>
    </row>
    <row r="1543">
      <c r="A1543" s="25">
        <f>ItensPedido!A1543</f>
        <v/>
      </c>
      <c r="B1543" s="25">
        <f>ItensPedido!B1543</f>
        <v/>
      </c>
      <c r="C1543" s="25">
        <f>ItensPedido!C1543</f>
        <v/>
      </c>
      <c r="D1543" s="25">
        <f>ItensPedido!D1543</f>
        <v/>
      </c>
      <c r="E1543" s="26">
        <f>ItensPedido!E1543</f>
        <v/>
      </c>
      <c r="F1543" s="25">
        <f>IFERROR(INDEX(Pedidos!$B$2:$B$1801,MATCH(B1543,Pedidos!$A$2:$A$1801,0)),0)</f>
        <v/>
      </c>
      <c r="G1543" s="25">
        <f>IF(F1543=0,"",YEAR(F1543))</f>
        <v/>
      </c>
      <c r="H1543" s="25">
        <f>IF(F1543=0,"",MONTH(F1543))</f>
        <v/>
      </c>
      <c r="I1543" s="25">
        <f>IFERROR(INDEX(Pedidos!$E$2:$E$1801,MATCH(B1543,Pedidos!$A$2:$A$1801,0)),"")</f>
        <v/>
      </c>
      <c r="J1543" s="25">
        <f>IFERROR(INDEX(Pedidos!$C$2:$C$1801,MATCH(B1543,Pedidos!$A$2:$A$1801,0)),"")</f>
        <v/>
      </c>
      <c r="K1543" s="25">
        <f>IFERROR(INDEX(Pedidos!$D$2:$D$1801,MATCH(B1543,Pedidos!$A$2:$A$1801,0)),"")</f>
        <v/>
      </c>
      <c r="L1543" s="25">
        <f>IFERROR(INDEX(Pedidos!$F$2:$F$1801,MATCH(B1543,Pedidos!$A$2:$A$1801,0)),"")</f>
        <v/>
      </c>
      <c r="M1543" s="26">
        <f>IFERROR(INDEX(Pedidos!$G$2:$G$1801,MATCH(B1543,Pedidos!$A$2:$A$1801,0)),0)</f>
        <v/>
      </c>
      <c r="N1543" s="25">
        <f>IFERROR(INDEX(Produtos!$B$2:$B$71,MATCH(C1543,Produtos!$A$2:$A$71,0)),"")</f>
        <v/>
      </c>
      <c r="O1543" s="25">
        <f>IFERROR(INDEX(Produtos!$C$2:$C$71,MATCH(C1543,Produtos!$A$2:$A$71,0)),"")</f>
        <v/>
      </c>
      <c r="P1543" s="25">
        <f>IFERROR(INDEX(Produtos!$D$2:$D$71,MATCH(C1543,Produtos!$A$2:$A$71,0)),0)</f>
        <v/>
      </c>
      <c r="Q1543" s="25">
        <f>IFERROR(INDEX(Produtos!$E$2:$E$71,MATCH(C1543,Produtos!$A$2:$A$71,0)),0)</f>
        <v/>
      </c>
      <c r="R1543" s="27">
        <f>D1543*Q1543</f>
        <v/>
      </c>
      <c r="S1543" s="27">
        <f>R1543*E1543</f>
        <v/>
      </c>
      <c r="T1543" s="27">
        <f>(R1543-S1543)*M1543</f>
        <v/>
      </c>
      <c r="U1543" s="27">
        <f>R1543-S1543-T1543</f>
        <v/>
      </c>
      <c r="V1543" s="27">
        <f>D1543*P1543</f>
        <v/>
      </c>
      <c r="W1543" s="27">
        <f>U1543-V1543</f>
        <v/>
      </c>
      <c r="X1543" s="28">
        <f>IFERROR(W1543/U1543,0)</f>
        <v/>
      </c>
    </row>
    <row r="1544">
      <c r="A1544" s="21">
        <f>ItensPedido!A1544</f>
        <v/>
      </c>
      <c r="B1544" s="21">
        <f>ItensPedido!B1544</f>
        <v/>
      </c>
      <c r="C1544" s="21">
        <f>ItensPedido!C1544</f>
        <v/>
      </c>
      <c r="D1544" s="21">
        <f>ItensPedido!D1544</f>
        <v/>
      </c>
      <c r="E1544" s="22">
        <f>ItensPedido!E1544</f>
        <v/>
      </c>
      <c r="F1544" s="21">
        <f>IFERROR(INDEX(Pedidos!$B$2:$B$1801,MATCH(B1544,Pedidos!$A$2:$A$1801,0)),0)</f>
        <v/>
      </c>
      <c r="G1544" s="21">
        <f>IF(F1544=0,"",YEAR(F1544))</f>
        <v/>
      </c>
      <c r="H1544" s="21">
        <f>IF(F1544=0,"",MONTH(F1544))</f>
        <v/>
      </c>
      <c r="I1544" s="21">
        <f>IFERROR(INDEX(Pedidos!$E$2:$E$1801,MATCH(B1544,Pedidos!$A$2:$A$1801,0)),"")</f>
        <v/>
      </c>
      <c r="J1544" s="21">
        <f>IFERROR(INDEX(Pedidos!$C$2:$C$1801,MATCH(B1544,Pedidos!$A$2:$A$1801,0)),"")</f>
        <v/>
      </c>
      <c r="K1544" s="21">
        <f>IFERROR(INDEX(Pedidos!$D$2:$D$1801,MATCH(B1544,Pedidos!$A$2:$A$1801,0)),"")</f>
        <v/>
      </c>
      <c r="L1544" s="21">
        <f>IFERROR(INDEX(Pedidos!$F$2:$F$1801,MATCH(B1544,Pedidos!$A$2:$A$1801,0)),"")</f>
        <v/>
      </c>
      <c r="M1544" s="22">
        <f>IFERROR(INDEX(Pedidos!$G$2:$G$1801,MATCH(B1544,Pedidos!$A$2:$A$1801,0)),0)</f>
        <v/>
      </c>
      <c r="N1544" s="21">
        <f>IFERROR(INDEX(Produtos!$B$2:$B$71,MATCH(C1544,Produtos!$A$2:$A$71,0)),"")</f>
        <v/>
      </c>
      <c r="O1544" s="21">
        <f>IFERROR(INDEX(Produtos!$C$2:$C$71,MATCH(C1544,Produtos!$A$2:$A$71,0)),"")</f>
        <v/>
      </c>
      <c r="P1544" s="21">
        <f>IFERROR(INDEX(Produtos!$D$2:$D$71,MATCH(C1544,Produtos!$A$2:$A$71,0)),0)</f>
        <v/>
      </c>
      <c r="Q1544" s="21">
        <f>IFERROR(INDEX(Produtos!$E$2:$E$71,MATCH(C1544,Produtos!$A$2:$A$71,0)),0)</f>
        <v/>
      </c>
      <c r="R1544" s="23">
        <f>D1544*Q1544</f>
        <v/>
      </c>
      <c r="S1544" s="23">
        <f>R1544*E1544</f>
        <v/>
      </c>
      <c r="T1544" s="23">
        <f>(R1544-S1544)*M1544</f>
        <v/>
      </c>
      <c r="U1544" s="23">
        <f>R1544-S1544-T1544</f>
        <v/>
      </c>
      <c r="V1544" s="23">
        <f>D1544*P1544</f>
        <v/>
      </c>
      <c r="W1544" s="23">
        <f>U1544-V1544</f>
        <v/>
      </c>
      <c r="X1544" s="24">
        <f>IFERROR(W1544/U1544,0)</f>
        <v/>
      </c>
    </row>
    <row r="1545">
      <c r="A1545" s="25">
        <f>ItensPedido!A1545</f>
        <v/>
      </c>
      <c r="B1545" s="25">
        <f>ItensPedido!B1545</f>
        <v/>
      </c>
      <c r="C1545" s="25">
        <f>ItensPedido!C1545</f>
        <v/>
      </c>
      <c r="D1545" s="25">
        <f>ItensPedido!D1545</f>
        <v/>
      </c>
      <c r="E1545" s="26">
        <f>ItensPedido!E1545</f>
        <v/>
      </c>
      <c r="F1545" s="25">
        <f>IFERROR(INDEX(Pedidos!$B$2:$B$1801,MATCH(B1545,Pedidos!$A$2:$A$1801,0)),0)</f>
        <v/>
      </c>
      <c r="G1545" s="25">
        <f>IF(F1545=0,"",YEAR(F1545))</f>
        <v/>
      </c>
      <c r="H1545" s="25">
        <f>IF(F1545=0,"",MONTH(F1545))</f>
        <v/>
      </c>
      <c r="I1545" s="25">
        <f>IFERROR(INDEX(Pedidos!$E$2:$E$1801,MATCH(B1545,Pedidos!$A$2:$A$1801,0)),"")</f>
        <v/>
      </c>
      <c r="J1545" s="25">
        <f>IFERROR(INDEX(Pedidos!$C$2:$C$1801,MATCH(B1545,Pedidos!$A$2:$A$1801,0)),"")</f>
        <v/>
      </c>
      <c r="K1545" s="25">
        <f>IFERROR(INDEX(Pedidos!$D$2:$D$1801,MATCH(B1545,Pedidos!$A$2:$A$1801,0)),"")</f>
        <v/>
      </c>
      <c r="L1545" s="25">
        <f>IFERROR(INDEX(Pedidos!$F$2:$F$1801,MATCH(B1545,Pedidos!$A$2:$A$1801,0)),"")</f>
        <v/>
      </c>
      <c r="M1545" s="26">
        <f>IFERROR(INDEX(Pedidos!$G$2:$G$1801,MATCH(B1545,Pedidos!$A$2:$A$1801,0)),0)</f>
        <v/>
      </c>
      <c r="N1545" s="25">
        <f>IFERROR(INDEX(Produtos!$B$2:$B$71,MATCH(C1545,Produtos!$A$2:$A$71,0)),"")</f>
        <v/>
      </c>
      <c r="O1545" s="25">
        <f>IFERROR(INDEX(Produtos!$C$2:$C$71,MATCH(C1545,Produtos!$A$2:$A$71,0)),"")</f>
        <v/>
      </c>
      <c r="P1545" s="25">
        <f>IFERROR(INDEX(Produtos!$D$2:$D$71,MATCH(C1545,Produtos!$A$2:$A$71,0)),0)</f>
        <v/>
      </c>
      <c r="Q1545" s="25">
        <f>IFERROR(INDEX(Produtos!$E$2:$E$71,MATCH(C1545,Produtos!$A$2:$A$71,0)),0)</f>
        <v/>
      </c>
      <c r="R1545" s="27">
        <f>D1545*Q1545</f>
        <v/>
      </c>
      <c r="S1545" s="27">
        <f>R1545*E1545</f>
        <v/>
      </c>
      <c r="T1545" s="27">
        <f>(R1545-S1545)*M1545</f>
        <v/>
      </c>
      <c r="U1545" s="27">
        <f>R1545-S1545-T1545</f>
        <v/>
      </c>
      <c r="V1545" s="27">
        <f>D1545*P1545</f>
        <v/>
      </c>
      <c r="W1545" s="27">
        <f>U1545-V1545</f>
        <v/>
      </c>
      <c r="X1545" s="28">
        <f>IFERROR(W1545/U1545,0)</f>
        <v/>
      </c>
    </row>
    <row r="1546">
      <c r="A1546" s="21">
        <f>ItensPedido!A1546</f>
        <v/>
      </c>
      <c r="B1546" s="21">
        <f>ItensPedido!B1546</f>
        <v/>
      </c>
      <c r="C1546" s="21">
        <f>ItensPedido!C1546</f>
        <v/>
      </c>
      <c r="D1546" s="21">
        <f>ItensPedido!D1546</f>
        <v/>
      </c>
      <c r="E1546" s="22">
        <f>ItensPedido!E1546</f>
        <v/>
      </c>
      <c r="F1546" s="21">
        <f>IFERROR(INDEX(Pedidos!$B$2:$B$1801,MATCH(B1546,Pedidos!$A$2:$A$1801,0)),0)</f>
        <v/>
      </c>
      <c r="G1546" s="21">
        <f>IF(F1546=0,"",YEAR(F1546))</f>
        <v/>
      </c>
      <c r="H1546" s="21">
        <f>IF(F1546=0,"",MONTH(F1546))</f>
        <v/>
      </c>
      <c r="I1546" s="21">
        <f>IFERROR(INDEX(Pedidos!$E$2:$E$1801,MATCH(B1546,Pedidos!$A$2:$A$1801,0)),"")</f>
        <v/>
      </c>
      <c r="J1546" s="21">
        <f>IFERROR(INDEX(Pedidos!$C$2:$C$1801,MATCH(B1546,Pedidos!$A$2:$A$1801,0)),"")</f>
        <v/>
      </c>
      <c r="K1546" s="21">
        <f>IFERROR(INDEX(Pedidos!$D$2:$D$1801,MATCH(B1546,Pedidos!$A$2:$A$1801,0)),"")</f>
        <v/>
      </c>
      <c r="L1546" s="21">
        <f>IFERROR(INDEX(Pedidos!$F$2:$F$1801,MATCH(B1546,Pedidos!$A$2:$A$1801,0)),"")</f>
        <v/>
      </c>
      <c r="M1546" s="22">
        <f>IFERROR(INDEX(Pedidos!$G$2:$G$1801,MATCH(B1546,Pedidos!$A$2:$A$1801,0)),0)</f>
        <v/>
      </c>
      <c r="N1546" s="21">
        <f>IFERROR(INDEX(Produtos!$B$2:$B$71,MATCH(C1546,Produtos!$A$2:$A$71,0)),"")</f>
        <v/>
      </c>
      <c r="O1546" s="21">
        <f>IFERROR(INDEX(Produtos!$C$2:$C$71,MATCH(C1546,Produtos!$A$2:$A$71,0)),"")</f>
        <v/>
      </c>
      <c r="P1546" s="21">
        <f>IFERROR(INDEX(Produtos!$D$2:$D$71,MATCH(C1546,Produtos!$A$2:$A$71,0)),0)</f>
        <v/>
      </c>
      <c r="Q1546" s="21">
        <f>IFERROR(INDEX(Produtos!$E$2:$E$71,MATCH(C1546,Produtos!$A$2:$A$71,0)),0)</f>
        <v/>
      </c>
      <c r="R1546" s="23">
        <f>D1546*Q1546</f>
        <v/>
      </c>
      <c r="S1546" s="23">
        <f>R1546*E1546</f>
        <v/>
      </c>
      <c r="T1546" s="23">
        <f>(R1546-S1546)*M1546</f>
        <v/>
      </c>
      <c r="U1546" s="23">
        <f>R1546-S1546-T1546</f>
        <v/>
      </c>
      <c r="V1546" s="23">
        <f>D1546*P1546</f>
        <v/>
      </c>
      <c r="W1546" s="23">
        <f>U1546-V1546</f>
        <v/>
      </c>
      <c r="X1546" s="24">
        <f>IFERROR(W1546/U1546,0)</f>
        <v/>
      </c>
    </row>
    <row r="1547">
      <c r="A1547" s="25">
        <f>ItensPedido!A1547</f>
        <v/>
      </c>
      <c r="B1547" s="25">
        <f>ItensPedido!B1547</f>
        <v/>
      </c>
      <c r="C1547" s="25">
        <f>ItensPedido!C1547</f>
        <v/>
      </c>
      <c r="D1547" s="25">
        <f>ItensPedido!D1547</f>
        <v/>
      </c>
      <c r="E1547" s="26">
        <f>ItensPedido!E1547</f>
        <v/>
      </c>
      <c r="F1547" s="25">
        <f>IFERROR(INDEX(Pedidos!$B$2:$B$1801,MATCH(B1547,Pedidos!$A$2:$A$1801,0)),0)</f>
        <v/>
      </c>
      <c r="G1547" s="25">
        <f>IF(F1547=0,"",YEAR(F1547))</f>
        <v/>
      </c>
      <c r="H1547" s="25">
        <f>IF(F1547=0,"",MONTH(F1547))</f>
        <v/>
      </c>
      <c r="I1547" s="25">
        <f>IFERROR(INDEX(Pedidos!$E$2:$E$1801,MATCH(B1547,Pedidos!$A$2:$A$1801,0)),"")</f>
        <v/>
      </c>
      <c r="J1547" s="25">
        <f>IFERROR(INDEX(Pedidos!$C$2:$C$1801,MATCH(B1547,Pedidos!$A$2:$A$1801,0)),"")</f>
        <v/>
      </c>
      <c r="K1547" s="25">
        <f>IFERROR(INDEX(Pedidos!$D$2:$D$1801,MATCH(B1547,Pedidos!$A$2:$A$1801,0)),"")</f>
        <v/>
      </c>
      <c r="L1547" s="25">
        <f>IFERROR(INDEX(Pedidos!$F$2:$F$1801,MATCH(B1547,Pedidos!$A$2:$A$1801,0)),"")</f>
        <v/>
      </c>
      <c r="M1547" s="26">
        <f>IFERROR(INDEX(Pedidos!$G$2:$G$1801,MATCH(B1547,Pedidos!$A$2:$A$1801,0)),0)</f>
        <v/>
      </c>
      <c r="N1547" s="25">
        <f>IFERROR(INDEX(Produtos!$B$2:$B$71,MATCH(C1547,Produtos!$A$2:$A$71,0)),"")</f>
        <v/>
      </c>
      <c r="O1547" s="25">
        <f>IFERROR(INDEX(Produtos!$C$2:$C$71,MATCH(C1547,Produtos!$A$2:$A$71,0)),"")</f>
        <v/>
      </c>
      <c r="P1547" s="25">
        <f>IFERROR(INDEX(Produtos!$D$2:$D$71,MATCH(C1547,Produtos!$A$2:$A$71,0)),0)</f>
        <v/>
      </c>
      <c r="Q1547" s="25">
        <f>IFERROR(INDEX(Produtos!$E$2:$E$71,MATCH(C1547,Produtos!$A$2:$A$71,0)),0)</f>
        <v/>
      </c>
      <c r="R1547" s="27">
        <f>D1547*Q1547</f>
        <v/>
      </c>
      <c r="S1547" s="27">
        <f>R1547*E1547</f>
        <v/>
      </c>
      <c r="T1547" s="27">
        <f>(R1547-S1547)*M1547</f>
        <v/>
      </c>
      <c r="U1547" s="27">
        <f>R1547-S1547-T1547</f>
        <v/>
      </c>
      <c r="V1547" s="27">
        <f>D1547*P1547</f>
        <v/>
      </c>
      <c r="W1547" s="27">
        <f>U1547-V1547</f>
        <v/>
      </c>
      <c r="X1547" s="28">
        <f>IFERROR(W1547/U1547,0)</f>
        <v/>
      </c>
    </row>
    <row r="1548">
      <c r="A1548" s="21">
        <f>ItensPedido!A1548</f>
        <v/>
      </c>
      <c r="B1548" s="21">
        <f>ItensPedido!B1548</f>
        <v/>
      </c>
      <c r="C1548" s="21">
        <f>ItensPedido!C1548</f>
        <v/>
      </c>
      <c r="D1548" s="21">
        <f>ItensPedido!D1548</f>
        <v/>
      </c>
      <c r="E1548" s="22">
        <f>ItensPedido!E1548</f>
        <v/>
      </c>
      <c r="F1548" s="21">
        <f>IFERROR(INDEX(Pedidos!$B$2:$B$1801,MATCH(B1548,Pedidos!$A$2:$A$1801,0)),0)</f>
        <v/>
      </c>
      <c r="G1548" s="21">
        <f>IF(F1548=0,"",YEAR(F1548))</f>
        <v/>
      </c>
      <c r="H1548" s="21">
        <f>IF(F1548=0,"",MONTH(F1548))</f>
        <v/>
      </c>
      <c r="I1548" s="21">
        <f>IFERROR(INDEX(Pedidos!$E$2:$E$1801,MATCH(B1548,Pedidos!$A$2:$A$1801,0)),"")</f>
        <v/>
      </c>
      <c r="J1548" s="21">
        <f>IFERROR(INDEX(Pedidos!$C$2:$C$1801,MATCH(B1548,Pedidos!$A$2:$A$1801,0)),"")</f>
        <v/>
      </c>
      <c r="K1548" s="21">
        <f>IFERROR(INDEX(Pedidos!$D$2:$D$1801,MATCH(B1548,Pedidos!$A$2:$A$1801,0)),"")</f>
        <v/>
      </c>
      <c r="L1548" s="21">
        <f>IFERROR(INDEX(Pedidos!$F$2:$F$1801,MATCH(B1548,Pedidos!$A$2:$A$1801,0)),"")</f>
        <v/>
      </c>
      <c r="M1548" s="22">
        <f>IFERROR(INDEX(Pedidos!$G$2:$G$1801,MATCH(B1548,Pedidos!$A$2:$A$1801,0)),0)</f>
        <v/>
      </c>
      <c r="N1548" s="21">
        <f>IFERROR(INDEX(Produtos!$B$2:$B$71,MATCH(C1548,Produtos!$A$2:$A$71,0)),"")</f>
        <v/>
      </c>
      <c r="O1548" s="21">
        <f>IFERROR(INDEX(Produtos!$C$2:$C$71,MATCH(C1548,Produtos!$A$2:$A$71,0)),"")</f>
        <v/>
      </c>
      <c r="P1548" s="21">
        <f>IFERROR(INDEX(Produtos!$D$2:$D$71,MATCH(C1548,Produtos!$A$2:$A$71,0)),0)</f>
        <v/>
      </c>
      <c r="Q1548" s="21">
        <f>IFERROR(INDEX(Produtos!$E$2:$E$71,MATCH(C1548,Produtos!$A$2:$A$71,0)),0)</f>
        <v/>
      </c>
      <c r="R1548" s="23">
        <f>D1548*Q1548</f>
        <v/>
      </c>
      <c r="S1548" s="23">
        <f>R1548*E1548</f>
        <v/>
      </c>
      <c r="T1548" s="23">
        <f>(R1548-S1548)*M1548</f>
        <v/>
      </c>
      <c r="U1548" s="23">
        <f>R1548-S1548-T1548</f>
        <v/>
      </c>
      <c r="V1548" s="23">
        <f>D1548*P1548</f>
        <v/>
      </c>
      <c r="W1548" s="23">
        <f>U1548-V1548</f>
        <v/>
      </c>
      <c r="X1548" s="24">
        <f>IFERROR(W1548/U1548,0)</f>
        <v/>
      </c>
    </row>
    <row r="1549">
      <c r="A1549" s="25">
        <f>ItensPedido!A1549</f>
        <v/>
      </c>
      <c r="B1549" s="25">
        <f>ItensPedido!B1549</f>
        <v/>
      </c>
      <c r="C1549" s="25">
        <f>ItensPedido!C1549</f>
        <v/>
      </c>
      <c r="D1549" s="25">
        <f>ItensPedido!D1549</f>
        <v/>
      </c>
      <c r="E1549" s="26">
        <f>ItensPedido!E1549</f>
        <v/>
      </c>
      <c r="F1549" s="25">
        <f>IFERROR(INDEX(Pedidos!$B$2:$B$1801,MATCH(B1549,Pedidos!$A$2:$A$1801,0)),0)</f>
        <v/>
      </c>
      <c r="G1549" s="25">
        <f>IF(F1549=0,"",YEAR(F1549))</f>
        <v/>
      </c>
      <c r="H1549" s="25">
        <f>IF(F1549=0,"",MONTH(F1549))</f>
        <v/>
      </c>
      <c r="I1549" s="25">
        <f>IFERROR(INDEX(Pedidos!$E$2:$E$1801,MATCH(B1549,Pedidos!$A$2:$A$1801,0)),"")</f>
        <v/>
      </c>
      <c r="J1549" s="25">
        <f>IFERROR(INDEX(Pedidos!$C$2:$C$1801,MATCH(B1549,Pedidos!$A$2:$A$1801,0)),"")</f>
        <v/>
      </c>
      <c r="K1549" s="25">
        <f>IFERROR(INDEX(Pedidos!$D$2:$D$1801,MATCH(B1549,Pedidos!$A$2:$A$1801,0)),"")</f>
        <v/>
      </c>
      <c r="L1549" s="25">
        <f>IFERROR(INDEX(Pedidos!$F$2:$F$1801,MATCH(B1549,Pedidos!$A$2:$A$1801,0)),"")</f>
        <v/>
      </c>
      <c r="M1549" s="26">
        <f>IFERROR(INDEX(Pedidos!$G$2:$G$1801,MATCH(B1549,Pedidos!$A$2:$A$1801,0)),0)</f>
        <v/>
      </c>
      <c r="N1549" s="25">
        <f>IFERROR(INDEX(Produtos!$B$2:$B$71,MATCH(C1549,Produtos!$A$2:$A$71,0)),"")</f>
        <v/>
      </c>
      <c r="O1549" s="25">
        <f>IFERROR(INDEX(Produtos!$C$2:$C$71,MATCH(C1549,Produtos!$A$2:$A$71,0)),"")</f>
        <v/>
      </c>
      <c r="P1549" s="25">
        <f>IFERROR(INDEX(Produtos!$D$2:$D$71,MATCH(C1549,Produtos!$A$2:$A$71,0)),0)</f>
        <v/>
      </c>
      <c r="Q1549" s="25">
        <f>IFERROR(INDEX(Produtos!$E$2:$E$71,MATCH(C1549,Produtos!$A$2:$A$71,0)),0)</f>
        <v/>
      </c>
      <c r="R1549" s="27">
        <f>D1549*Q1549</f>
        <v/>
      </c>
      <c r="S1549" s="27">
        <f>R1549*E1549</f>
        <v/>
      </c>
      <c r="T1549" s="27">
        <f>(R1549-S1549)*M1549</f>
        <v/>
      </c>
      <c r="U1549" s="27">
        <f>R1549-S1549-T1549</f>
        <v/>
      </c>
      <c r="V1549" s="27">
        <f>D1549*P1549</f>
        <v/>
      </c>
      <c r="W1549" s="27">
        <f>U1549-V1549</f>
        <v/>
      </c>
      <c r="X1549" s="28">
        <f>IFERROR(W1549/U1549,0)</f>
        <v/>
      </c>
    </row>
    <row r="1550">
      <c r="A1550" s="21">
        <f>ItensPedido!A1550</f>
        <v/>
      </c>
      <c r="B1550" s="21">
        <f>ItensPedido!B1550</f>
        <v/>
      </c>
      <c r="C1550" s="21">
        <f>ItensPedido!C1550</f>
        <v/>
      </c>
      <c r="D1550" s="21">
        <f>ItensPedido!D1550</f>
        <v/>
      </c>
      <c r="E1550" s="22">
        <f>ItensPedido!E1550</f>
        <v/>
      </c>
      <c r="F1550" s="21">
        <f>IFERROR(INDEX(Pedidos!$B$2:$B$1801,MATCH(B1550,Pedidos!$A$2:$A$1801,0)),0)</f>
        <v/>
      </c>
      <c r="G1550" s="21">
        <f>IF(F1550=0,"",YEAR(F1550))</f>
        <v/>
      </c>
      <c r="H1550" s="21">
        <f>IF(F1550=0,"",MONTH(F1550))</f>
        <v/>
      </c>
      <c r="I1550" s="21">
        <f>IFERROR(INDEX(Pedidos!$E$2:$E$1801,MATCH(B1550,Pedidos!$A$2:$A$1801,0)),"")</f>
        <v/>
      </c>
      <c r="J1550" s="21">
        <f>IFERROR(INDEX(Pedidos!$C$2:$C$1801,MATCH(B1550,Pedidos!$A$2:$A$1801,0)),"")</f>
        <v/>
      </c>
      <c r="K1550" s="21">
        <f>IFERROR(INDEX(Pedidos!$D$2:$D$1801,MATCH(B1550,Pedidos!$A$2:$A$1801,0)),"")</f>
        <v/>
      </c>
      <c r="L1550" s="21">
        <f>IFERROR(INDEX(Pedidos!$F$2:$F$1801,MATCH(B1550,Pedidos!$A$2:$A$1801,0)),"")</f>
        <v/>
      </c>
      <c r="M1550" s="22">
        <f>IFERROR(INDEX(Pedidos!$G$2:$G$1801,MATCH(B1550,Pedidos!$A$2:$A$1801,0)),0)</f>
        <v/>
      </c>
      <c r="N1550" s="21">
        <f>IFERROR(INDEX(Produtos!$B$2:$B$71,MATCH(C1550,Produtos!$A$2:$A$71,0)),"")</f>
        <v/>
      </c>
      <c r="O1550" s="21">
        <f>IFERROR(INDEX(Produtos!$C$2:$C$71,MATCH(C1550,Produtos!$A$2:$A$71,0)),"")</f>
        <v/>
      </c>
      <c r="P1550" s="21">
        <f>IFERROR(INDEX(Produtos!$D$2:$D$71,MATCH(C1550,Produtos!$A$2:$A$71,0)),0)</f>
        <v/>
      </c>
      <c r="Q1550" s="21">
        <f>IFERROR(INDEX(Produtos!$E$2:$E$71,MATCH(C1550,Produtos!$A$2:$A$71,0)),0)</f>
        <v/>
      </c>
      <c r="R1550" s="23">
        <f>D1550*Q1550</f>
        <v/>
      </c>
      <c r="S1550" s="23">
        <f>R1550*E1550</f>
        <v/>
      </c>
      <c r="T1550" s="23">
        <f>(R1550-S1550)*M1550</f>
        <v/>
      </c>
      <c r="U1550" s="23">
        <f>R1550-S1550-T1550</f>
        <v/>
      </c>
      <c r="V1550" s="23">
        <f>D1550*P1550</f>
        <v/>
      </c>
      <c r="W1550" s="23">
        <f>U1550-V1550</f>
        <v/>
      </c>
      <c r="X1550" s="24">
        <f>IFERROR(W1550/U1550,0)</f>
        <v/>
      </c>
    </row>
    <row r="1551">
      <c r="A1551" s="25">
        <f>ItensPedido!A1551</f>
        <v/>
      </c>
      <c r="B1551" s="25">
        <f>ItensPedido!B1551</f>
        <v/>
      </c>
      <c r="C1551" s="25">
        <f>ItensPedido!C1551</f>
        <v/>
      </c>
      <c r="D1551" s="25">
        <f>ItensPedido!D1551</f>
        <v/>
      </c>
      <c r="E1551" s="26">
        <f>ItensPedido!E1551</f>
        <v/>
      </c>
      <c r="F1551" s="25">
        <f>IFERROR(INDEX(Pedidos!$B$2:$B$1801,MATCH(B1551,Pedidos!$A$2:$A$1801,0)),0)</f>
        <v/>
      </c>
      <c r="G1551" s="25">
        <f>IF(F1551=0,"",YEAR(F1551))</f>
        <v/>
      </c>
      <c r="H1551" s="25">
        <f>IF(F1551=0,"",MONTH(F1551))</f>
        <v/>
      </c>
      <c r="I1551" s="25">
        <f>IFERROR(INDEX(Pedidos!$E$2:$E$1801,MATCH(B1551,Pedidos!$A$2:$A$1801,0)),"")</f>
        <v/>
      </c>
      <c r="J1551" s="25">
        <f>IFERROR(INDEX(Pedidos!$C$2:$C$1801,MATCH(B1551,Pedidos!$A$2:$A$1801,0)),"")</f>
        <v/>
      </c>
      <c r="K1551" s="25">
        <f>IFERROR(INDEX(Pedidos!$D$2:$D$1801,MATCH(B1551,Pedidos!$A$2:$A$1801,0)),"")</f>
        <v/>
      </c>
      <c r="L1551" s="25">
        <f>IFERROR(INDEX(Pedidos!$F$2:$F$1801,MATCH(B1551,Pedidos!$A$2:$A$1801,0)),"")</f>
        <v/>
      </c>
      <c r="M1551" s="26">
        <f>IFERROR(INDEX(Pedidos!$G$2:$G$1801,MATCH(B1551,Pedidos!$A$2:$A$1801,0)),0)</f>
        <v/>
      </c>
      <c r="N1551" s="25">
        <f>IFERROR(INDEX(Produtos!$B$2:$B$71,MATCH(C1551,Produtos!$A$2:$A$71,0)),"")</f>
        <v/>
      </c>
      <c r="O1551" s="25">
        <f>IFERROR(INDEX(Produtos!$C$2:$C$71,MATCH(C1551,Produtos!$A$2:$A$71,0)),"")</f>
        <v/>
      </c>
      <c r="P1551" s="25">
        <f>IFERROR(INDEX(Produtos!$D$2:$D$71,MATCH(C1551,Produtos!$A$2:$A$71,0)),0)</f>
        <v/>
      </c>
      <c r="Q1551" s="25">
        <f>IFERROR(INDEX(Produtos!$E$2:$E$71,MATCH(C1551,Produtos!$A$2:$A$71,0)),0)</f>
        <v/>
      </c>
      <c r="R1551" s="27">
        <f>D1551*Q1551</f>
        <v/>
      </c>
      <c r="S1551" s="27">
        <f>R1551*E1551</f>
        <v/>
      </c>
      <c r="T1551" s="27">
        <f>(R1551-S1551)*M1551</f>
        <v/>
      </c>
      <c r="U1551" s="27">
        <f>R1551-S1551-T1551</f>
        <v/>
      </c>
      <c r="V1551" s="27">
        <f>D1551*P1551</f>
        <v/>
      </c>
      <c r="W1551" s="27">
        <f>U1551-V1551</f>
        <v/>
      </c>
      <c r="X1551" s="28">
        <f>IFERROR(W1551/U1551,0)</f>
        <v/>
      </c>
    </row>
    <row r="1552">
      <c r="A1552" s="21">
        <f>ItensPedido!A1552</f>
        <v/>
      </c>
      <c r="B1552" s="21">
        <f>ItensPedido!B1552</f>
        <v/>
      </c>
      <c r="C1552" s="21">
        <f>ItensPedido!C1552</f>
        <v/>
      </c>
      <c r="D1552" s="21">
        <f>ItensPedido!D1552</f>
        <v/>
      </c>
      <c r="E1552" s="22">
        <f>ItensPedido!E1552</f>
        <v/>
      </c>
      <c r="F1552" s="21">
        <f>IFERROR(INDEX(Pedidos!$B$2:$B$1801,MATCH(B1552,Pedidos!$A$2:$A$1801,0)),0)</f>
        <v/>
      </c>
      <c r="G1552" s="21">
        <f>IF(F1552=0,"",YEAR(F1552))</f>
        <v/>
      </c>
      <c r="H1552" s="21">
        <f>IF(F1552=0,"",MONTH(F1552))</f>
        <v/>
      </c>
      <c r="I1552" s="21">
        <f>IFERROR(INDEX(Pedidos!$E$2:$E$1801,MATCH(B1552,Pedidos!$A$2:$A$1801,0)),"")</f>
        <v/>
      </c>
      <c r="J1552" s="21">
        <f>IFERROR(INDEX(Pedidos!$C$2:$C$1801,MATCH(B1552,Pedidos!$A$2:$A$1801,0)),"")</f>
        <v/>
      </c>
      <c r="K1552" s="21">
        <f>IFERROR(INDEX(Pedidos!$D$2:$D$1801,MATCH(B1552,Pedidos!$A$2:$A$1801,0)),"")</f>
        <v/>
      </c>
      <c r="L1552" s="21">
        <f>IFERROR(INDEX(Pedidos!$F$2:$F$1801,MATCH(B1552,Pedidos!$A$2:$A$1801,0)),"")</f>
        <v/>
      </c>
      <c r="M1552" s="22">
        <f>IFERROR(INDEX(Pedidos!$G$2:$G$1801,MATCH(B1552,Pedidos!$A$2:$A$1801,0)),0)</f>
        <v/>
      </c>
      <c r="N1552" s="21">
        <f>IFERROR(INDEX(Produtos!$B$2:$B$71,MATCH(C1552,Produtos!$A$2:$A$71,0)),"")</f>
        <v/>
      </c>
      <c r="O1552" s="21">
        <f>IFERROR(INDEX(Produtos!$C$2:$C$71,MATCH(C1552,Produtos!$A$2:$A$71,0)),"")</f>
        <v/>
      </c>
      <c r="P1552" s="21">
        <f>IFERROR(INDEX(Produtos!$D$2:$D$71,MATCH(C1552,Produtos!$A$2:$A$71,0)),0)</f>
        <v/>
      </c>
      <c r="Q1552" s="21">
        <f>IFERROR(INDEX(Produtos!$E$2:$E$71,MATCH(C1552,Produtos!$A$2:$A$71,0)),0)</f>
        <v/>
      </c>
      <c r="R1552" s="23">
        <f>D1552*Q1552</f>
        <v/>
      </c>
      <c r="S1552" s="23">
        <f>R1552*E1552</f>
        <v/>
      </c>
      <c r="T1552" s="23">
        <f>(R1552-S1552)*M1552</f>
        <v/>
      </c>
      <c r="U1552" s="23">
        <f>R1552-S1552-T1552</f>
        <v/>
      </c>
      <c r="V1552" s="23">
        <f>D1552*P1552</f>
        <v/>
      </c>
      <c r="W1552" s="23">
        <f>U1552-V1552</f>
        <v/>
      </c>
      <c r="X1552" s="24">
        <f>IFERROR(W1552/U1552,0)</f>
        <v/>
      </c>
    </row>
    <row r="1553">
      <c r="A1553" s="25">
        <f>ItensPedido!A1553</f>
        <v/>
      </c>
      <c r="B1553" s="25">
        <f>ItensPedido!B1553</f>
        <v/>
      </c>
      <c r="C1553" s="25">
        <f>ItensPedido!C1553</f>
        <v/>
      </c>
      <c r="D1553" s="25">
        <f>ItensPedido!D1553</f>
        <v/>
      </c>
      <c r="E1553" s="26">
        <f>ItensPedido!E1553</f>
        <v/>
      </c>
      <c r="F1553" s="25">
        <f>IFERROR(INDEX(Pedidos!$B$2:$B$1801,MATCH(B1553,Pedidos!$A$2:$A$1801,0)),0)</f>
        <v/>
      </c>
      <c r="G1553" s="25">
        <f>IF(F1553=0,"",YEAR(F1553))</f>
        <v/>
      </c>
      <c r="H1553" s="25">
        <f>IF(F1553=0,"",MONTH(F1553))</f>
        <v/>
      </c>
      <c r="I1553" s="25">
        <f>IFERROR(INDEX(Pedidos!$E$2:$E$1801,MATCH(B1553,Pedidos!$A$2:$A$1801,0)),"")</f>
        <v/>
      </c>
      <c r="J1553" s="25">
        <f>IFERROR(INDEX(Pedidos!$C$2:$C$1801,MATCH(B1553,Pedidos!$A$2:$A$1801,0)),"")</f>
        <v/>
      </c>
      <c r="K1553" s="25">
        <f>IFERROR(INDEX(Pedidos!$D$2:$D$1801,MATCH(B1553,Pedidos!$A$2:$A$1801,0)),"")</f>
        <v/>
      </c>
      <c r="L1553" s="25">
        <f>IFERROR(INDEX(Pedidos!$F$2:$F$1801,MATCH(B1553,Pedidos!$A$2:$A$1801,0)),"")</f>
        <v/>
      </c>
      <c r="M1553" s="26">
        <f>IFERROR(INDEX(Pedidos!$G$2:$G$1801,MATCH(B1553,Pedidos!$A$2:$A$1801,0)),0)</f>
        <v/>
      </c>
      <c r="N1553" s="25">
        <f>IFERROR(INDEX(Produtos!$B$2:$B$71,MATCH(C1553,Produtos!$A$2:$A$71,0)),"")</f>
        <v/>
      </c>
      <c r="O1553" s="25">
        <f>IFERROR(INDEX(Produtos!$C$2:$C$71,MATCH(C1553,Produtos!$A$2:$A$71,0)),"")</f>
        <v/>
      </c>
      <c r="P1553" s="25">
        <f>IFERROR(INDEX(Produtos!$D$2:$D$71,MATCH(C1553,Produtos!$A$2:$A$71,0)),0)</f>
        <v/>
      </c>
      <c r="Q1553" s="25">
        <f>IFERROR(INDEX(Produtos!$E$2:$E$71,MATCH(C1553,Produtos!$A$2:$A$71,0)),0)</f>
        <v/>
      </c>
      <c r="R1553" s="27">
        <f>D1553*Q1553</f>
        <v/>
      </c>
      <c r="S1553" s="27">
        <f>R1553*E1553</f>
        <v/>
      </c>
      <c r="T1553" s="27">
        <f>(R1553-S1553)*M1553</f>
        <v/>
      </c>
      <c r="U1553" s="27">
        <f>R1553-S1553-T1553</f>
        <v/>
      </c>
      <c r="V1553" s="27">
        <f>D1553*P1553</f>
        <v/>
      </c>
      <c r="W1553" s="27">
        <f>U1553-V1553</f>
        <v/>
      </c>
      <c r="X1553" s="28">
        <f>IFERROR(W1553/U1553,0)</f>
        <v/>
      </c>
    </row>
    <row r="1554">
      <c r="A1554" s="21">
        <f>ItensPedido!A1554</f>
        <v/>
      </c>
      <c r="B1554" s="21">
        <f>ItensPedido!B1554</f>
        <v/>
      </c>
      <c r="C1554" s="21">
        <f>ItensPedido!C1554</f>
        <v/>
      </c>
      <c r="D1554" s="21">
        <f>ItensPedido!D1554</f>
        <v/>
      </c>
      <c r="E1554" s="22">
        <f>ItensPedido!E1554</f>
        <v/>
      </c>
      <c r="F1554" s="21">
        <f>IFERROR(INDEX(Pedidos!$B$2:$B$1801,MATCH(B1554,Pedidos!$A$2:$A$1801,0)),0)</f>
        <v/>
      </c>
      <c r="G1554" s="21">
        <f>IF(F1554=0,"",YEAR(F1554))</f>
        <v/>
      </c>
      <c r="H1554" s="21">
        <f>IF(F1554=0,"",MONTH(F1554))</f>
        <v/>
      </c>
      <c r="I1554" s="21">
        <f>IFERROR(INDEX(Pedidos!$E$2:$E$1801,MATCH(B1554,Pedidos!$A$2:$A$1801,0)),"")</f>
        <v/>
      </c>
      <c r="J1554" s="21">
        <f>IFERROR(INDEX(Pedidos!$C$2:$C$1801,MATCH(B1554,Pedidos!$A$2:$A$1801,0)),"")</f>
        <v/>
      </c>
      <c r="K1554" s="21">
        <f>IFERROR(INDEX(Pedidos!$D$2:$D$1801,MATCH(B1554,Pedidos!$A$2:$A$1801,0)),"")</f>
        <v/>
      </c>
      <c r="L1554" s="21">
        <f>IFERROR(INDEX(Pedidos!$F$2:$F$1801,MATCH(B1554,Pedidos!$A$2:$A$1801,0)),"")</f>
        <v/>
      </c>
      <c r="M1554" s="22">
        <f>IFERROR(INDEX(Pedidos!$G$2:$G$1801,MATCH(B1554,Pedidos!$A$2:$A$1801,0)),0)</f>
        <v/>
      </c>
      <c r="N1554" s="21">
        <f>IFERROR(INDEX(Produtos!$B$2:$B$71,MATCH(C1554,Produtos!$A$2:$A$71,0)),"")</f>
        <v/>
      </c>
      <c r="O1554" s="21">
        <f>IFERROR(INDEX(Produtos!$C$2:$C$71,MATCH(C1554,Produtos!$A$2:$A$71,0)),"")</f>
        <v/>
      </c>
      <c r="P1554" s="21">
        <f>IFERROR(INDEX(Produtos!$D$2:$D$71,MATCH(C1554,Produtos!$A$2:$A$71,0)),0)</f>
        <v/>
      </c>
      <c r="Q1554" s="21">
        <f>IFERROR(INDEX(Produtos!$E$2:$E$71,MATCH(C1554,Produtos!$A$2:$A$71,0)),0)</f>
        <v/>
      </c>
      <c r="R1554" s="23">
        <f>D1554*Q1554</f>
        <v/>
      </c>
      <c r="S1554" s="23">
        <f>R1554*E1554</f>
        <v/>
      </c>
      <c r="T1554" s="23">
        <f>(R1554-S1554)*M1554</f>
        <v/>
      </c>
      <c r="U1554" s="23">
        <f>R1554-S1554-T1554</f>
        <v/>
      </c>
      <c r="V1554" s="23">
        <f>D1554*P1554</f>
        <v/>
      </c>
      <c r="W1554" s="23">
        <f>U1554-V1554</f>
        <v/>
      </c>
      <c r="X1554" s="24">
        <f>IFERROR(W1554/U1554,0)</f>
        <v/>
      </c>
    </row>
    <row r="1555">
      <c r="A1555" s="25">
        <f>ItensPedido!A1555</f>
        <v/>
      </c>
      <c r="B1555" s="25">
        <f>ItensPedido!B1555</f>
        <v/>
      </c>
      <c r="C1555" s="25">
        <f>ItensPedido!C1555</f>
        <v/>
      </c>
      <c r="D1555" s="25">
        <f>ItensPedido!D1555</f>
        <v/>
      </c>
      <c r="E1555" s="26">
        <f>ItensPedido!E1555</f>
        <v/>
      </c>
      <c r="F1555" s="25">
        <f>IFERROR(INDEX(Pedidos!$B$2:$B$1801,MATCH(B1555,Pedidos!$A$2:$A$1801,0)),0)</f>
        <v/>
      </c>
      <c r="G1555" s="25">
        <f>IF(F1555=0,"",YEAR(F1555))</f>
        <v/>
      </c>
      <c r="H1555" s="25">
        <f>IF(F1555=0,"",MONTH(F1555))</f>
        <v/>
      </c>
      <c r="I1555" s="25">
        <f>IFERROR(INDEX(Pedidos!$E$2:$E$1801,MATCH(B1555,Pedidos!$A$2:$A$1801,0)),"")</f>
        <v/>
      </c>
      <c r="J1555" s="25">
        <f>IFERROR(INDEX(Pedidos!$C$2:$C$1801,MATCH(B1555,Pedidos!$A$2:$A$1801,0)),"")</f>
        <v/>
      </c>
      <c r="K1555" s="25">
        <f>IFERROR(INDEX(Pedidos!$D$2:$D$1801,MATCH(B1555,Pedidos!$A$2:$A$1801,0)),"")</f>
        <v/>
      </c>
      <c r="L1555" s="25">
        <f>IFERROR(INDEX(Pedidos!$F$2:$F$1801,MATCH(B1555,Pedidos!$A$2:$A$1801,0)),"")</f>
        <v/>
      </c>
      <c r="M1555" s="26">
        <f>IFERROR(INDEX(Pedidos!$G$2:$G$1801,MATCH(B1555,Pedidos!$A$2:$A$1801,0)),0)</f>
        <v/>
      </c>
      <c r="N1555" s="25">
        <f>IFERROR(INDEX(Produtos!$B$2:$B$71,MATCH(C1555,Produtos!$A$2:$A$71,0)),"")</f>
        <v/>
      </c>
      <c r="O1555" s="25">
        <f>IFERROR(INDEX(Produtos!$C$2:$C$71,MATCH(C1555,Produtos!$A$2:$A$71,0)),"")</f>
        <v/>
      </c>
      <c r="P1555" s="25">
        <f>IFERROR(INDEX(Produtos!$D$2:$D$71,MATCH(C1555,Produtos!$A$2:$A$71,0)),0)</f>
        <v/>
      </c>
      <c r="Q1555" s="25">
        <f>IFERROR(INDEX(Produtos!$E$2:$E$71,MATCH(C1555,Produtos!$A$2:$A$71,0)),0)</f>
        <v/>
      </c>
      <c r="R1555" s="27">
        <f>D1555*Q1555</f>
        <v/>
      </c>
      <c r="S1555" s="27">
        <f>R1555*E1555</f>
        <v/>
      </c>
      <c r="T1555" s="27">
        <f>(R1555-S1555)*M1555</f>
        <v/>
      </c>
      <c r="U1555" s="27">
        <f>R1555-S1555-T1555</f>
        <v/>
      </c>
      <c r="V1555" s="27">
        <f>D1555*P1555</f>
        <v/>
      </c>
      <c r="W1555" s="27">
        <f>U1555-V1555</f>
        <v/>
      </c>
      <c r="X1555" s="28">
        <f>IFERROR(W1555/U1555,0)</f>
        <v/>
      </c>
    </row>
    <row r="1556">
      <c r="A1556" s="21">
        <f>ItensPedido!A1556</f>
        <v/>
      </c>
      <c r="B1556" s="21">
        <f>ItensPedido!B1556</f>
        <v/>
      </c>
      <c r="C1556" s="21">
        <f>ItensPedido!C1556</f>
        <v/>
      </c>
      <c r="D1556" s="21">
        <f>ItensPedido!D1556</f>
        <v/>
      </c>
      <c r="E1556" s="22">
        <f>ItensPedido!E1556</f>
        <v/>
      </c>
      <c r="F1556" s="21">
        <f>IFERROR(INDEX(Pedidos!$B$2:$B$1801,MATCH(B1556,Pedidos!$A$2:$A$1801,0)),0)</f>
        <v/>
      </c>
      <c r="G1556" s="21">
        <f>IF(F1556=0,"",YEAR(F1556))</f>
        <v/>
      </c>
      <c r="H1556" s="21">
        <f>IF(F1556=0,"",MONTH(F1556))</f>
        <v/>
      </c>
      <c r="I1556" s="21">
        <f>IFERROR(INDEX(Pedidos!$E$2:$E$1801,MATCH(B1556,Pedidos!$A$2:$A$1801,0)),"")</f>
        <v/>
      </c>
      <c r="J1556" s="21">
        <f>IFERROR(INDEX(Pedidos!$C$2:$C$1801,MATCH(B1556,Pedidos!$A$2:$A$1801,0)),"")</f>
        <v/>
      </c>
      <c r="K1556" s="21">
        <f>IFERROR(INDEX(Pedidos!$D$2:$D$1801,MATCH(B1556,Pedidos!$A$2:$A$1801,0)),"")</f>
        <v/>
      </c>
      <c r="L1556" s="21">
        <f>IFERROR(INDEX(Pedidos!$F$2:$F$1801,MATCH(B1556,Pedidos!$A$2:$A$1801,0)),"")</f>
        <v/>
      </c>
      <c r="M1556" s="22">
        <f>IFERROR(INDEX(Pedidos!$G$2:$G$1801,MATCH(B1556,Pedidos!$A$2:$A$1801,0)),0)</f>
        <v/>
      </c>
      <c r="N1556" s="21">
        <f>IFERROR(INDEX(Produtos!$B$2:$B$71,MATCH(C1556,Produtos!$A$2:$A$71,0)),"")</f>
        <v/>
      </c>
      <c r="O1556" s="21">
        <f>IFERROR(INDEX(Produtos!$C$2:$C$71,MATCH(C1556,Produtos!$A$2:$A$71,0)),"")</f>
        <v/>
      </c>
      <c r="P1556" s="21">
        <f>IFERROR(INDEX(Produtos!$D$2:$D$71,MATCH(C1556,Produtos!$A$2:$A$71,0)),0)</f>
        <v/>
      </c>
      <c r="Q1556" s="21">
        <f>IFERROR(INDEX(Produtos!$E$2:$E$71,MATCH(C1556,Produtos!$A$2:$A$71,0)),0)</f>
        <v/>
      </c>
      <c r="R1556" s="23">
        <f>D1556*Q1556</f>
        <v/>
      </c>
      <c r="S1556" s="23">
        <f>R1556*E1556</f>
        <v/>
      </c>
      <c r="T1556" s="23">
        <f>(R1556-S1556)*M1556</f>
        <v/>
      </c>
      <c r="U1556" s="23">
        <f>R1556-S1556-T1556</f>
        <v/>
      </c>
      <c r="V1556" s="23">
        <f>D1556*P1556</f>
        <v/>
      </c>
      <c r="W1556" s="23">
        <f>U1556-V1556</f>
        <v/>
      </c>
      <c r="X1556" s="24">
        <f>IFERROR(W1556/U1556,0)</f>
        <v/>
      </c>
    </row>
    <row r="1557">
      <c r="A1557" s="25">
        <f>ItensPedido!A1557</f>
        <v/>
      </c>
      <c r="B1557" s="25">
        <f>ItensPedido!B1557</f>
        <v/>
      </c>
      <c r="C1557" s="25">
        <f>ItensPedido!C1557</f>
        <v/>
      </c>
      <c r="D1557" s="25">
        <f>ItensPedido!D1557</f>
        <v/>
      </c>
      <c r="E1557" s="26">
        <f>ItensPedido!E1557</f>
        <v/>
      </c>
      <c r="F1557" s="25">
        <f>IFERROR(INDEX(Pedidos!$B$2:$B$1801,MATCH(B1557,Pedidos!$A$2:$A$1801,0)),0)</f>
        <v/>
      </c>
      <c r="G1557" s="25">
        <f>IF(F1557=0,"",YEAR(F1557))</f>
        <v/>
      </c>
      <c r="H1557" s="25">
        <f>IF(F1557=0,"",MONTH(F1557))</f>
        <v/>
      </c>
      <c r="I1557" s="25">
        <f>IFERROR(INDEX(Pedidos!$E$2:$E$1801,MATCH(B1557,Pedidos!$A$2:$A$1801,0)),"")</f>
        <v/>
      </c>
      <c r="J1557" s="25">
        <f>IFERROR(INDEX(Pedidos!$C$2:$C$1801,MATCH(B1557,Pedidos!$A$2:$A$1801,0)),"")</f>
        <v/>
      </c>
      <c r="K1557" s="25">
        <f>IFERROR(INDEX(Pedidos!$D$2:$D$1801,MATCH(B1557,Pedidos!$A$2:$A$1801,0)),"")</f>
        <v/>
      </c>
      <c r="L1557" s="25">
        <f>IFERROR(INDEX(Pedidos!$F$2:$F$1801,MATCH(B1557,Pedidos!$A$2:$A$1801,0)),"")</f>
        <v/>
      </c>
      <c r="M1557" s="26">
        <f>IFERROR(INDEX(Pedidos!$G$2:$G$1801,MATCH(B1557,Pedidos!$A$2:$A$1801,0)),0)</f>
        <v/>
      </c>
      <c r="N1557" s="25">
        <f>IFERROR(INDEX(Produtos!$B$2:$B$71,MATCH(C1557,Produtos!$A$2:$A$71,0)),"")</f>
        <v/>
      </c>
      <c r="O1557" s="25">
        <f>IFERROR(INDEX(Produtos!$C$2:$C$71,MATCH(C1557,Produtos!$A$2:$A$71,0)),"")</f>
        <v/>
      </c>
      <c r="P1557" s="25">
        <f>IFERROR(INDEX(Produtos!$D$2:$D$71,MATCH(C1557,Produtos!$A$2:$A$71,0)),0)</f>
        <v/>
      </c>
      <c r="Q1557" s="25">
        <f>IFERROR(INDEX(Produtos!$E$2:$E$71,MATCH(C1557,Produtos!$A$2:$A$71,0)),0)</f>
        <v/>
      </c>
      <c r="R1557" s="27">
        <f>D1557*Q1557</f>
        <v/>
      </c>
      <c r="S1557" s="27">
        <f>R1557*E1557</f>
        <v/>
      </c>
      <c r="T1557" s="27">
        <f>(R1557-S1557)*M1557</f>
        <v/>
      </c>
      <c r="U1557" s="27">
        <f>R1557-S1557-T1557</f>
        <v/>
      </c>
      <c r="V1557" s="27">
        <f>D1557*P1557</f>
        <v/>
      </c>
      <c r="W1557" s="27">
        <f>U1557-V1557</f>
        <v/>
      </c>
      <c r="X1557" s="28">
        <f>IFERROR(W1557/U1557,0)</f>
        <v/>
      </c>
    </row>
    <row r="1558">
      <c r="A1558" s="21">
        <f>ItensPedido!A1558</f>
        <v/>
      </c>
      <c r="B1558" s="21">
        <f>ItensPedido!B1558</f>
        <v/>
      </c>
      <c r="C1558" s="21">
        <f>ItensPedido!C1558</f>
        <v/>
      </c>
      <c r="D1558" s="21">
        <f>ItensPedido!D1558</f>
        <v/>
      </c>
      <c r="E1558" s="22">
        <f>ItensPedido!E1558</f>
        <v/>
      </c>
      <c r="F1558" s="21">
        <f>IFERROR(INDEX(Pedidos!$B$2:$B$1801,MATCH(B1558,Pedidos!$A$2:$A$1801,0)),0)</f>
        <v/>
      </c>
      <c r="G1558" s="21">
        <f>IF(F1558=0,"",YEAR(F1558))</f>
        <v/>
      </c>
      <c r="H1558" s="21">
        <f>IF(F1558=0,"",MONTH(F1558))</f>
        <v/>
      </c>
      <c r="I1558" s="21">
        <f>IFERROR(INDEX(Pedidos!$E$2:$E$1801,MATCH(B1558,Pedidos!$A$2:$A$1801,0)),"")</f>
        <v/>
      </c>
      <c r="J1558" s="21">
        <f>IFERROR(INDEX(Pedidos!$C$2:$C$1801,MATCH(B1558,Pedidos!$A$2:$A$1801,0)),"")</f>
        <v/>
      </c>
      <c r="K1558" s="21">
        <f>IFERROR(INDEX(Pedidos!$D$2:$D$1801,MATCH(B1558,Pedidos!$A$2:$A$1801,0)),"")</f>
        <v/>
      </c>
      <c r="L1558" s="21">
        <f>IFERROR(INDEX(Pedidos!$F$2:$F$1801,MATCH(B1558,Pedidos!$A$2:$A$1801,0)),"")</f>
        <v/>
      </c>
      <c r="M1558" s="22">
        <f>IFERROR(INDEX(Pedidos!$G$2:$G$1801,MATCH(B1558,Pedidos!$A$2:$A$1801,0)),0)</f>
        <v/>
      </c>
      <c r="N1558" s="21">
        <f>IFERROR(INDEX(Produtos!$B$2:$B$71,MATCH(C1558,Produtos!$A$2:$A$71,0)),"")</f>
        <v/>
      </c>
      <c r="O1558" s="21">
        <f>IFERROR(INDEX(Produtos!$C$2:$C$71,MATCH(C1558,Produtos!$A$2:$A$71,0)),"")</f>
        <v/>
      </c>
      <c r="P1558" s="21">
        <f>IFERROR(INDEX(Produtos!$D$2:$D$71,MATCH(C1558,Produtos!$A$2:$A$71,0)),0)</f>
        <v/>
      </c>
      <c r="Q1558" s="21">
        <f>IFERROR(INDEX(Produtos!$E$2:$E$71,MATCH(C1558,Produtos!$A$2:$A$71,0)),0)</f>
        <v/>
      </c>
      <c r="R1558" s="23">
        <f>D1558*Q1558</f>
        <v/>
      </c>
      <c r="S1558" s="23">
        <f>R1558*E1558</f>
        <v/>
      </c>
      <c r="T1558" s="23">
        <f>(R1558-S1558)*M1558</f>
        <v/>
      </c>
      <c r="U1558" s="23">
        <f>R1558-S1558-T1558</f>
        <v/>
      </c>
      <c r="V1558" s="23">
        <f>D1558*P1558</f>
        <v/>
      </c>
      <c r="W1558" s="23">
        <f>U1558-V1558</f>
        <v/>
      </c>
      <c r="X1558" s="24">
        <f>IFERROR(W1558/U1558,0)</f>
        <v/>
      </c>
    </row>
    <row r="1559">
      <c r="A1559" s="25">
        <f>ItensPedido!A1559</f>
        <v/>
      </c>
      <c r="B1559" s="25">
        <f>ItensPedido!B1559</f>
        <v/>
      </c>
      <c r="C1559" s="25">
        <f>ItensPedido!C1559</f>
        <v/>
      </c>
      <c r="D1559" s="25">
        <f>ItensPedido!D1559</f>
        <v/>
      </c>
      <c r="E1559" s="26">
        <f>ItensPedido!E1559</f>
        <v/>
      </c>
      <c r="F1559" s="25">
        <f>IFERROR(INDEX(Pedidos!$B$2:$B$1801,MATCH(B1559,Pedidos!$A$2:$A$1801,0)),0)</f>
        <v/>
      </c>
      <c r="G1559" s="25">
        <f>IF(F1559=0,"",YEAR(F1559))</f>
        <v/>
      </c>
      <c r="H1559" s="25">
        <f>IF(F1559=0,"",MONTH(F1559))</f>
        <v/>
      </c>
      <c r="I1559" s="25">
        <f>IFERROR(INDEX(Pedidos!$E$2:$E$1801,MATCH(B1559,Pedidos!$A$2:$A$1801,0)),"")</f>
        <v/>
      </c>
      <c r="J1559" s="25">
        <f>IFERROR(INDEX(Pedidos!$C$2:$C$1801,MATCH(B1559,Pedidos!$A$2:$A$1801,0)),"")</f>
        <v/>
      </c>
      <c r="K1559" s="25">
        <f>IFERROR(INDEX(Pedidos!$D$2:$D$1801,MATCH(B1559,Pedidos!$A$2:$A$1801,0)),"")</f>
        <v/>
      </c>
      <c r="L1559" s="25">
        <f>IFERROR(INDEX(Pedidos!$F$2:$F$1801,MATCH(B1559,Pedidos!$A$2:$A$1801,0)),"")</f>
        <v/>
      </c>
      <c r="M1559" s="26">
        <f>IFERROR(INDEX(Pedidos!$G$2:$G$1801,MATCH(B1559,Pedidos!$A$2:$A$1801,0)),0)</f>
        <v/>
      </c>
      <c r="N1559" s="25">
        <f>IFERROR(INDEX(Produtos!$B$2:$B$71,MATCH(C1559,Produtos!$A$2:$A$71,0)),"")</f>
        <v/>
      </c>
      <c r="O1559" s="25">
        <f>IFERROR(INDEX(Produtos!$C$2:$C$71,MATCH(C1559,Produtos!$A$2:$A$71,0)),"")</f>
        <v/>
      </c>
      <c r="P1559" s="25">
        <f>IFERROR(INDEX(Produtos!$D$2:$D$71,MATCH(C1559,Produtos!$A$2:$A$71,0)),0)</f>
        <v/>
      </c>
      <c r="Q1559" s="25">
        <f>IFERROR(INDEX(Produtos!$E$2:$E$71,MATCH(C1559,Produtos!$A$2:$A$71,0)),0)</f>
        <v/>
      </c>
      <c r="R1559" s="27">
        <f>D1559*Q1559</f>
        <v/>
      </c>
      <c r="S1559" s="27">
        <f>R1559*E1559</f>
        <v/>
      </c>
      <c r="T1559" s="27">
        <f>(R1559-S1559)*M1559</f>
        <v/>
      </c>
      <c r="U1559" s="27">
        <f>R1559-S1559-T1559</f>
        <v/>
      </c>
      <c r="V1559" s="27">
        <f>D1559*P1559</f>
        <v/>
      </c>
      <c r="W1559" s="27">
        <f>U1559-V1559</f>
        <v/>
      </c>
      <c r="X1559" s="28">
        <f>IFERROR(W1559/U1559,0)</f>
        <v/>
      </c>
    </row>
    <row r="1560">
      <c r="A1560" s="21">
        <f>ItensPedido!A1560</f>
        <v/>
      </c>
      <c r="B1560" s="21">
        <f>ItensPedido!B1560</f>
        <v/>
      </c>
      <c r="C1560" s="21">
        <f>ItensPedido!C1560</f>
        <v/>
      </c>
      <c r="D1560" s="21">
        <f>ItensPedido!D1560</f>
        <v/>
      </c>
      <c r="E1560" s="22">
        <f>ItensPedido!E1560</f>
        <v/>
      </c>
      <c r="F1560" s="21">
        <f>IFERROR(INDEX(Pedidos!$B$2:$B$1801,MATCH(B1560,Pedidos!$A$2:$A$1801,0)),0)</f>
        <v/>
      </c>
      <c r="G1560" s="21">
        <f>IF(F1560=0,"",YEAR(F1560))</f>
        <v/>
      </c>
      <c r="H1560" s="21">
        <f>IF(F1560=0,"",MONTH(F1560))</f>
        <v/>
      </c>
      <c r="I1560" s="21">
        <f>IFERROR(INDEX(Pedidos!$E$2:$E$1801,MATCH(B1560,Pedidos!$A$2:$A$1801,0)),"")</f>
        <v/>
      </c>
      <c r="J1560" s="21">
        <f>IFERROR(INDEX(Pedidos!$C$2:$C$1801,MATCH(B1560,Pedidos!$A$2:$A$1801,0)),"")</f>
        <v/>
      </c>
      <c r="K1560" s="21">
        <f>IFERROR(INDEX(Pedidos!$D$2:$D$1801,MATCH(B1560,Pedidos!$A$2:$A$1801,0)),"")</f>
        <v/>
      </c>
      <c r="L1560" s="21">
        <f>IFERROR(INDEX(Pedidos!$F$2:$F$1801,MATCH(B1560,Pedidos!$A$2:$A$1801,0)),"")</f>
        <v/>
      </c>
      <c r="M1560" s="22">
        <f>IFERROR(INDEX(Pedidos!$G$2:$G$1801,MATCH(B1560,Pedidos!$A$2:$A$1801,0)),0)</f>
        <v/>
      </c>
      <c r="N1560" s="21">
        <f>IFERROR(INDEX(Produtos!$B$2:$B$71,MATCH(C1560,Produtos!$A$2:$A$71,0)),"")</f>
        <v/>
      </c>
      <c r="O1560" s="21">
        <f>IFERROR(INDEX(Produtos!$C$2:$C$71,MATCH(C1560,Produtos!$A$2:$A$71,0)),"")</f>
        <v/>
      </c>
      <c r="P1560" s="21">
        <f>IFERROR(INDEX(Produtos!$D$2:$D$71,MATCH(C1560,Produtos!$A$2:$A$71,0)),0)</f>
        <v/>
      </c>
      <c r="Q1560" s="21">
        <f>IFERROR(INDEX(Produtos!$E$2:$E$71,MATCH(C1560,Produtos!$A$2:$A$71,0)),0)</f>
        <v/>
      </c>
      <c r="R1560" s="23">
        <f>D1560*Q1560</f>
        <v/>
      </c>
      <c r="S1560" s="23">
        <f>R1560*E1560</f>
        <v/>
      </c>
      <c r="T1560" s="23">
        <f>(R1560-S1560)*M1560</f>
        <v/>
      </c>
      <c r="U1560" s="23">
        <f>R1560-S1560-T1560</f>
        <v/>
      </c>
      <c r="V1560" s="23">
        <f>D1560*P1560</f>
        <v/>
      </c>
      <c r="W1560" s="23">
        <f>U1560-V1560</f>
        <v/>
      </c>
      <c r="X1560" s="24">
        <f>IFERROR(W1560/U1560,0)</f>
        <v/>
      </c>
    </row>
    <row r="1561">
      <c r="A1561" s="25">
        <f>ItensPedido!A1561</f>
        <v/>
      </c>
      <c r="B1561" s="25">
        <f>ItensPedido!B1561</f>
        <v/>
      </c>
      <c r="C1561" s="25">
        <f>ItensPedido!C1561</f>
        <v/>
      </c>
      <c r="D1561" s="25">
        <f>ItensPedido!D1561</f>
        <v/>
      </c>
      <c r="E1561" s="26">
        <f>ItensPedido!E1561</f>
        <v/>
      </c>
      <c r="F1561" s="25">
        <f>IFERROR(INDEX(Pedidos!$B$2:$B$1801,MATCH(B1561,Pedidos!$A$2:$A$1801,0)),0)</f>
        <v/>
      </c>
      <c r="G1561" s="25">
        <f>IF(F1561=0,"",YEAR(F1561))</f>
        <v/>
      </c>
      <c r="H1561" s="25">
        <f>IF(F1561=0,"",MONTH(F1561))</f>
        <v/>
      </c>
      <c r="I1561" s="25">
        <f>IFERROR(INDEX(Pedidos!$E$2:$E$1801,MATCH(B1561,Pedidos!$A$2:$A$1801,0)),"")</f>
        <v/>
      </c>
      <c r="J1561" s="25">
        <f>IFERROR(INDEX(Pedidos!$C$2:$C$1801,MATCH(B1561,Pedidos!$A$2:$A$1801,0)),"")</f>
        <v/>
      </c>
      <c r="K1561" s="25">
        <f>IFERROR(INDEX(Pedidos!$D$2:$D$1801,MATCH(B1561,Pedidos!$A$2:$A$1801,0)),"")</f>
        <v/>
      </c>
      <c r="L1561" s="25">
        <f>IFERROR(INDEX(Pedidos!$F$2:$F$1801,MATCH(B1561,Pedidos!$A$2:$A$1801,0)),"")</f>
        <v/>
      </c>
      <c r="M1561" s="26">
        <f>IFERROR(INDEX(Pedidos!$G$2:$G$1801,MATCH(B1561,Pedidos!$A$2:$A$1801,0)),0)</f>
        <v/>
      </c>
      <c r="N1561" s="25">
        <f>IFERROR(INDEX(Produtos!$B$2:$B$71,MATCH(C1561,Produtos!$A$2:$A$71,0)),"")</f>
        <v/>
      </c>
      <c r="O1561" s="25">
        <f>IFERROR(INDEX(Produtos!$C$2:$C$71,MATCH(C1561,Produtos!$A$2:$A$71,0)),"")</f>
        <v/>
      </c>
      <c r="P1561" s="25">
        <f>IFERROR(INDEX(Produtos!$D$2:$D$71,MATCH(C1561,Produtos!$A$2:$A$71,0)),0)</f>
        <v/>
      </c>
      <c r="Q1561" s="25">
        <f>IFERROR(INDEX(Produtos!$E$2:$E$71,MATCH(C1561,Produtos!$A$2:$A$71,0)),0)</f>
        <v/>
      </c>
      <c r="R1561" s="27">
        <f>D1561*Q1561</f>
        <v/>
      </c>
      <c r="S1561" s="27">
        <f>R1561*E1561</f>
        <v/>
      </c>
      <c r="T1561" s="27">
        <f>(R1561-S1561)*M1561</f>
        <v/>
      </c>
      <c r="U1561" s="27">
        <f>R1561-S1561-T1561</f>
        <v/>
      </c>
      <c r="V1561" s="27">
        <f>D1561*P1561</f>
        <v/>
      </c>
      <c r="W1561" s="27">
        <f>U1561-V1561</f>
        <v/>
      </c>
      <c r="X1561" s="28">
        <f>IFERROR(W1561/U1561,0)</f>
        <v/>
      </c>
    </row>
    <row r="1562">
      <c r="A1562" s="21">
        <f>ItensPedido!A1562</f>
        <v/>
      </c>
      <c r="B1562" s="21">
        <f>ItensPedido!B1562</f>
        <v/>
      </c>
      <c r="C1562" s="21">
        <f>ItensPedido!C1562</f>
        <v/>
      </c>
      <c r="D1562" s="21">
        <f>ItensPedido!D1562</f>
        <v/>
      </c>
      <c r="E1562" s="22">
        <f>ItensPedido!E1562</f>
        <v/>
      </c>
      <c r="F1562" s="21">
        <f>IFERROR(INDEX(Pedidos!$B$2:$B$1801,MATCH(B1562,Pedidos!$A$2:$A$1801,0)),0)</f>
        <v/>
      </c>
      <c r="G1562" s="21">
        <f>IF(F1562=0,"",YEAR(F1562))</f>
        <v/>
      </c>
      <c r="H1562" s="21">
        <f>IF(F1562=0,"",MONTH(F1562))</f>
        <v/>
      </c>
      <c r="I1562" s="21">
        <f>IFERROR(INDEX(Pedidos!$E$2:$E$1801,MATCH(B1562,Pedidos!$A$2:$A$1801,0)),"")</f>
        <v/>
      </c>
      <c r="J1562" s="21">
        <f>IFERROR(INDEX(Pedidos!$C$2:$C$1801,MATCH(B1562,Pedidos!$A$2:$A$1801,0)),"")</f>
        <v/>
      </c>
      <c r="K1562" s="21">
        <f>IFERROR(INDEX(Pedidos!$D$2:$D$1801,MATCH(B1562,Pedidos!$A$2:$A$1801,0)),"")</f>
        <v/>
      </c>
      <c r="L1562" s="21">
        <f>IFERROR(INDEX(Pedidos!$F$2:$F$1801,MATCH(B1562,Pedidos!$A$2:$A$1801,0)),"")</f>
        <v/>
      </c>
      <c r="M1562" s="22">
        <f>IFERROR(INDEX(Pedidos!$G$2:$G$1801,MATCH(B1562,Pedidos!$A$2:$A$1801,0)),0)</f>
        <v/>
      </c>
      <c r="N1562" s="21">
        <f>IFERROR(INDEX(Produtos!$B$2:$B$71,MATCH(C1562,Produtos!$A$2:$A$71,0)),"")</f>
        <v/>
      </c>
      <c r="O1562" s="21">
        <f>IFERROR(INDEX(Produtos!$C$2:$C$71,MATCH(C1562,Produtos!$A$2:$A$71,0)),"")</f>
        <v/>
      </c>
      <c r="P1562" s="21">
        <f>IFERROR(INDEX(Produtos!$D$2:$D$71,MATCH(C1562,Produtos!$A$2:$A$71,0)),0)</f>
        <v/>
      </c>
      <c r="Q1562" s="21">
        <f>IFERROR(INDEX(Produtos!$E$2:$E$71,MATCH(C1562,Produtos!$A$2:$A$71,0)),0)</f>
        <v/>
      </c>
      <c r="R1562" s="23">
        <f>D1562*Q1562</f>
        <v/>
      </c>
      <c r="S1562" s="23">
        <f>R1562*E1562</f>
        <v/>
      </c>
      <c r="T1562" s="23">
        <f>(R1562-S1562)*M1562</f>
        <v/>
      </c>
      <c r="U1562" s="23">
        <f>R1562-S1562-T1562</f>
        <v/>
      </c>
      <c r="V1562" s="23">
        <f>D1562*P1562</f>
        <v/>
      </c>
      <c r="W1562" s="23">
        <f>U1562-V1562</f>
        <v/>
      </c>
      <c r="X1562" s="24">
        <f>IFERROR(W1562/U1562,0)</f>
        <v/>
      </c>
    </row>
    <row r="1563">
      <c r="A1563" s="25">
        <f>ItensPedido!A1563</f>
        <v/>
      </c>
      <c r="B1563" s="25">
        <f>ItensPedido!B1563</f>
        <v/>
      </c>
      <c r="C1563" s="25">
        <f>ItensPedido!C1563</f>
        <v/>
      </c>
      <c r="D1563" s="25">
        <f>ItensPedido!D1563</f>
        <v/>
      </c>
      <c r="E1563" s="26">
        <f>ItensPedido!E1563</f>
        <v/>
      </c>
      <c r="F1563" s="25">
        <f>IFERROR(INDEX(Pedidos!$B$2:$B$1801,MATCH(B1563,Pedidos!$A$2:$A$1801,0)),0)</f>
        <v/>
      </c>
      <c r="G1563" s="25">
        <f>IF(F1563=0,"",YEAR(F1563))</f>
        <v/>
      </c>
      <c r="H1563" s="25">
        <f>IF(F1563=0,"",MONTH(F1563))</f>
        <v/>
      </c>
      <c r="I1563" s="25">
        <f>IFERROR(INDEX(Pedidos!$E$2:$E$1801,MATCH(B1563,Pedidos!$A$2:$A$1801,0)),"")</f>
        <v/>
      </c>
      <c r="J1563" s="25">
        <f>IFERROR(INDEX(Pedidos!$C$2:$C$1801,MATCH(B1563,Pedidos!$A$2:$A$1801,0)),"")</f>
        <v/>
      </c>
      <c r="K1563" s="25">
        <f>IFERROR(INDEX(Pedidos!$D$2:$D$1801,MATCH(B1563,Pedidos!$A$2:$A$1801,0)),"")</f>
        <v/>
      </c>
      <c r="L1563" s="25">
        <f>IFERROR(INDEX(Pedidos!$F$2:$F$1801,MATCH(B1563,Pedidos!$A$2:$A$1801,0)),"")</f>
        <v/>
      </c>
      <c r="M1563" s="26">
        <f>IFERROR(INDEX(Pedidos!$G$2:$G$1801,MATCH(B1563,Pedidos!$A$2:$A$1801,0)),0)</f>
        <v/>
      </c>
      <c r="N1563" s="25">
        <f>IFERROR(INDEX(Produtos!$B$2:$B$71,MATCH(C1563,Produtos!$A$2:$A$71,0)),"")</f>
        <v/>
      </c>
      <c r="O1563" s="25">
        <f>IFERROR(INDEX(Produtos!$C$2:$C$71,MATCH(C1563,Produtos!$A$2:$A$71,0)),"")</f>
        <v/>
      </c>
      <c r="P1563" s="25">
        <f>IFERROR(INDEX(Produtos!$D$2:$D$71,MATCH(C1563,Produtos!$A$2:$A$71,0)),0)</f>
        <v/>
      </c>
      <c r="Q1563" s="25">
        <f>IFERROR(INDEX(Produtos!$E$2:$E$71,MATCH(C1563,Produtos!$A$2:$A$71,0)),0)</f>
        <v/>
      </c>
      <c r="R1563" s="27">
        <f>D1563*Q1563</f>
        <v/>
      </c>
      <c r="S1563" s="27">
        <f>R1563*E1563</f>
        <v/>
      </c>
      <c r="T1563" s="27">
        <f>(R1563-S1563)*M1563</f>
        <v/>
      </c>
      <c r="U1563" s="27">
        <f>R1563-S1563-T1563</f>
        <v/>
      </c>
      <c r="V1563" s="27">
        <f>D1563*P1563</f>
        <v/>
      </c>
      <c r="W1563" s="27">
        <f>U1563-V1563</f>
        <v/>
      </c>
      <c r="X1563" s="28">
        <f>IFERROR(W1563/U1563,0)</f>
        <v/>
      </c>
    </row>
    <row r="1564">
      <c r="A1564" s="21">
        <f>ItensPedido!A1564</f>
        <v/>
      </c>
      <c r="B1564" s="21">
        <f>ItensPedido!B1564</f>
        <v/>
      </c>
      <c r="C1564" s="21">
        <f>ItensPedido!C1564</f>
        <v/>
      </c>
      <c r="D1564" s="21">
        <f>ItensPedido!D1564</f>
        <v/>
      </c>
      <c r="E1564" s="22">
        <f>ItensPedido!E1564</f>
        <v/>
      </c>
      <c r="F1564" s="21">
        <f>IFERROR(INDEX(Pedidos!$B$2:$B$1801,MATCH(B1564,Pedidos!$A$2:$A$1801,0)),0)</f>
        <v/>
      </c>
      <c r="G1564" s="21">
        <f>IF(F1564=0,"",YEAR(F1564))</f>
        <v/>
      </c>
      <c r="H1564" s="21">
        <f>IF(F1564=0,"",MONTH(F1564))</f>
        <v/>
      </c>
      <c r="I1564" s="21">
        <f>IFERROR(INDEX(Pedidos!$E$2:$E$1801,MATCH(B1564,Pedidos!$A$2:$A$1801,0)),"")</f>
        <v/>
      </c>
      <c r="J1564" s="21">
        <f>IFERROR(INDEX(Pedidos!$C$2:$C$1801,MATCH(B1564,Pedidos!$A$2:$A$1801,0)),"")</f>
        <v/>
      </c>
      <c r="K1564" s="21">
        <f>IFERROR(INDEX(Pedidos!$D$2:$D$1801,MATCH(B1564,Pedidos!$A$2:$A$1801,0)),"")</f>
        <v/>
      </c>
      <c r="L1564" s="21">
        <f>IFERROR(INDEX(Pedidos!$F$2:$F$1801,MATCH(B1564,Pedidos!$A$2:$A$1801,0)),"")</f>
        <v/>
      </c>
      <c r="M1564" s="22">
        <f>IFERROR(INDEX(Pedidos!$G$2:$G$1801,MATCH(B1564,Pedidos!$A$2:$A$1801,0)),0)</f>
        <v/>
      </c>
      <c r="N1564" s="21">
        <f>IFERROR(INDEX(Produtos!$B$2:$B$71,MATCH(C1564,Produtos!$A$2:$A$71,0)),"")</f>
        <v/>
      </c>
      <c r="O1564" s="21">
        <f>IFERROR(INDEX(Produtos!$C$2:$C$71,MATCH(C1564,Produtos!$A$2:$A$71,0)),"")</f>
        <v/>
      </c>
      <c r="P1564" s="21">
        <f>IFERROR(INDEX(Produtos!$D$2:$D$71,MATCH(C1564,Produtos!$A$2:$A$71,0)),0)</f>
        <v/>
      </c>
      <c r="Q1564" s="21">
        <f>IFERROR(INDEX(Produtos!$E$2:$E$71,MATCH(C1564,Produtos!$A$2:$A$71,0)),0)</f>
        <v/>
      </c>
      <c r="R1564" s="23">
        <f>D1564*Q1564</f>
        <v/>
      </c>
      <c r="S1564" s="23">
        <f>R1564*E1564</f>
        <v/>
      </c>
      <c r="T1564" s="23">
        <f>(R1564-S1564)*M1564</f>
        <v/>
      </c>
      <c r="U1564" s="23">
        <f>R1564-S1564-T1564</f>
        <v/>
      </c>
      <c r="V1564" s="23">
        <f>D1564*P1564</f>
        <v/>
      </c>
      <c r="W1564" s="23">
        <f>U1564-V1564</f>
        <v/>
      </c>
      <c r="X1564" s="24">
        <f>IFERROR(W1564/U1564,0)</f>
        <v/>
      </c>
    </row>
    <row r="1565">
      <c r="A1565" s="25">
        <f>ItensPedido!A1565</f>
        <v/>
      </c>
      <c r="B1565" s="25">
        <f>ItensPedido!B1565</f>
        <v/>
      </c>
      <c r="C1565" s="25">
        <f>ItensPedido!C1565</f>
        <v/>
      </c>
      <c r="D1565" s="25">
        <f>ItensPedido!D1565</f>
        <v/>
      </c>
      <c r="E1565" s="26">
        <f>ItensPedido!E1565</f>
        <v/>
      </c>
      <c r="F1565" s="25">
        <f>IFERROR(INDEX(Pedidos!$B$2:$B$1801,MATCH(B1565,Pedidos!$A$2:$A$1801,0)),0)</f>
        <v/>
      </c>
      <c r="G1565" s="25">
        <f>IF(F1565=0,"",YEAR(F1565))</f>
        <v/>
      </c>
      <c r="H1565" s="25">
        <f>IF(F1565=0,"",MONTH(F1565))</f>
        <v/>
      </c>
      <c r="I1565" s="25">
        <f>IFERROR(INDEX(Pedidos!$E$2:$E$1801,MATCH(B1565,Pedidos!$A$2:$A$1801,0)),"")</f>
        <v/>
      </c>
      <c r="J1565" s="25">
        <f>IFERROR(INDEX(Pedidos!$C$2:$C$1801,MATCH(B1565,Pedidos!$A$2:$A$1801,0)),"")</f>
        <v/>
      </c>
      <c r="K1565" s="25">
        <f>IFERROR(INDEX(Pedidos!$D$2:$D$1801,MATCH(B1565,Pedidos!$A$2:$A$1801,0)),"")</f>
        <v/>
      </c>
      <c r="L1565" s="25">
        <f>IFERROR(INDEX(Pedidos!$F$2:$F$1801,MATCH(B1565,Pedidos!$A$2:$A$1801,0)),"")</f>
        <v/>
      </c>
      <c r="M1565" s="26">
        <f>IFERROR(INDEX(Pedidos!$G$2:$G$1801,MATCH(B1565,Pedidos!$A$2:$A$1801,0)),0)</f>
        <v/>
      </c>
      <c r="N1565" s="25">
        <f>IFERROR(INDEX(Produtos!$B$2:$B$71,MATCH(C1565,Produtos!$A$2:$A$71,0)),"")</f>
        <v/>
      </c>
      <c r="O1565" s="25">
        <f>IFERROR(INDEX(Produtos!$C$2:$C$71,MATCH(C1565,Produtos!$A$2:$A$71,0)),"")</f>
        <v/>
      </c>
      <c r="P1565" s="25">
        <f>IFERROR(INDEX(Produtos!$D$2:$D$71,MATCH(C1565,Produtos!$A$2:$A$71,0)),0)</f>
        <v/>
      </c>
      <c r="Q1565" s="25">
        <f>IFERROR(INDEX(Produtos!$E$2:$E$71,MATCH(C1565,Produtos!$A$2:$A$71,0)),0)</f>
        <v/>
      </c>
      <c r="R1565" s="27">
        <f>D1565*Q1565</f>
        <v/>
      </c>
      <c r="S1565" s="27">
        <f>R1565*E1565</f>
        <v/>
      </c>
      <c r="T1565" s="27">
        <f>(R1565-S1565)*M1565</f>
        <v/>
      </c>
      <c r="U1565" s="27">
        <f>R1565-S1565-T1565</f>
        <v/>
      </c>
      <c r="V1565" s="27">
        <f>D1565*P1565</f>
        <v/>
      </c>
      <c r="W1565" s="27">
        <f>U1565-V1565</f>
        <v/>
      </c>
      <c r="X1565" s="28">
        <f>IFERROR(W1565/U1565,0)</f>
        <v/>
      </c>
    </row>
    <row r="1566">
      <c r="A1566" s="21">
        <f>ItensPedido!A1566</f>
        <v/>
      </c>
      <c r="B1566" s="21">
        <f>ItensPedido!B1566</f>
        <v/>
      </c>
      <c r="C1566" s="21">
        <f>ItensPedido!C1566</f>
        <v/>
      </c>
      <c r="D1566" s="21">
        <f>ItensPedido!D1566</f>
        <v/>
      </c>
      <c r="E1566" s="22">
        <f>ItensPedido!E1566</f>
        <v/>
      </c>
      <c r="F1566" s="21">
        <f>IFERROR(INDEX(Pedidos!$B$2:$B$1801,MATCH(B1566,Pedidos!$A$2:$A$1801,0)),0)</f>
        <v/>
      </c>
      <c r="G1566" s="21">
        <f>IF(F1566=0,"",YEAR(F1566))</f>
        <v/>
      </c>
      <c r="H1566" s="21">
        <f>IF(F1566=0,"",MONTH(F1566))</f>
        <v/>
      </c>
      <c r="I1566" s="21">
        <f>IFERROR(INDEX(Pedidos!$E$2:$E$1801,MATCH(B1566,Pedidos!$A$2:$A$1801,0)),"")</f>
        <v/>
      </c>
      <c r="J1566" s="21">
        <f>IFERROR(INDEX(Pedidos!$C$2:$C$1801,MATCH(B1566,Pedidos!$A$2:$A$1801,0)),"")</f>
        <v/>
      </c>
      <c r="K1566" s="21">
        <f>IFERROR(INDEX(Pedidos!$D$2:$D$1801,MATCH(B1566,Pedidos!$A$2:$A$1801,0)),"")</f>
        <v/>
      </c>
      <c r="L1566" s="21">
        <f>IFERROR(INDEX(Pedidos!$F$2:$F$1801,MATCH(B1566,Pedidos!$A$2:$A$1801,0)),"")</f>
        <v/>
      </c>
      <c r="M1566" s="22">
        <f>IFERROR(INDEX(Pedidos!$G$2:$G$1801,MATCH(B1566,Pedidos!$A$2:$A$1801,0)),0)</f>
        <v/>
      </c>
      <c r="N1566" s="21">
        <f>IFERROR(INDEX(Produtos!$B$2:$B$71,MATCH(C1566,Produtos!$A$2:$A$71,0)),"")</f>
        <v/>
      </c>
      <c r="O1566" s="21">
        <f>IFERROR(INDEX(Produtos!$C$2:$C$71,MATCH(C1566,Produtos!$A$2:$A$71,0)),"")</f>
        <v/>
      </c>
      <c r="P1566" s="21">
        <f>IFERROR(INDEX(Produtos!$D$2:$D$71,MATCH(C1566,Produtos!$A$2:$A$71,0)),0)</f>
        <v/>
      </c>
      <c r="Q1566" s="21">
        <f>IFERROR(INDEX(Produtos!$E$2:$E$71,MATCH(C1566,Produtos!$A$2:$A$71,0)),0)</f>
        <v/>
      </c>
      <c r="R1566" s="23">
        <f>D1566*Q1566</f>
        <v/>
      </c>
      <c r="S1566" s="23">
        <f>R1566*E1566</f>
        <v/>
      </c>
      <c r="T1566" s="23">
        <f>(R1566-S1566)*M1566</f>
        <v/>
      </c>
      <c r="U1566" s="23">
        <f>R1566-S1566-T1566</f>
        <v/>
      </c>
      <c r="V1566" s="23">
        <f>D1566*P1566</f>
        <v/>
      </c>
      <c r="W1566" s="23">
        <f>U1566-V1566</f>
        <v/>
      </c>
      <c r="X1566" s="24">
        <f>IFERROR(W1566/U1566,0)</f>
        <v/>
      </c>
    </row>
    <row r="1567">
      <c r="A1567" s="25">
        <f>ItensPedido!A1567</f>
        <v/>
      </c>
      <c r="B1567" s="25">
        <f>ItensPedido!B1567</f>
        <v/>
      </c>
      <c r="C1567" s="25">
        <f>ItensPedido!C1567</f>
        <v/>
      </c>
      <c r="D1567" s="25">
        <f>ItensPedido!D1567</f>
        <v/>
      </c>
      <c r="E1567" s="26">
        <f>ItensPedido!E1567</f>
        <v/>
      </c>
      <c r="F1567" s="25">
        <f>IFERROR(INDEX(Pedidos!$B$2:$B$1801,MATCH(B1567,Pedidos!$A$2:$A$1801,0)),0)</f>
        <v/>
      </c>
      <c r="G1567" s="25">
        <f>IF(F1567=0,"",YEAR(F1567))</f>
        <v/>
      </c>
      <c r="H1567" s="25">
        <f>IF(F1567=0,"",MONTH(F1567))</f>
        <v/>
      </c>
      <c r="I1567" s="25">
        <f>IFERROR(INDEX(Pedidos!$E$2:$E$1801,MATCH(B1567,Pedidos!$A$2:$A$1801,0)),"")</f>
        <v/>
      </c>
      <c r="J1567" s="25">
        <f>IFERROR(INDEX(Pedidos!$C$2:$C$1801,MATCH(B1567,Pedidos!$A$2:$A$1801,0)),"")</f>
        <v/>
      </c>
      <c r="K1567" s="25">
        <f>IFERROR(INDEX(Pedidos!$D$2:$D$1801,MATCH(B1567,Pedidos!$A$2:$A$1801,0)),"")</f>
        <v/>
      </c>
      <c r="L1567" s="25">
        <f>IFERROR(INDEX(Pedidos!$F$2:$F$1801,MATCH(B1567,Pedidos!$A$2:$A$1801,0)),"")</f>
        <v/>
      </c>
      <c r="M1567" s="26">
        <f>IFERROR(INDEX(Pedidos!$G$2:$G$1801,MATCH(B1567,Pedidos!$A$2:$A$1801,0)),0)</f>
        <v/>
      </c>
      <c r="N1567" s="25">
        <f>IFERROR(INDEX(Produtos!$B$2:$B$71,MATCH(C1567,Produtos!$A$2:$A$71,0)),"")</f>
        <v/>
      </c>
      <c r="O1567" s="25">
        <f>IFERROR(INDEX(Produtos!$C$2:$C$71,MATCH(C1567,Produtos!$A$2:$A$71,0)),"")</f>
        <v/>
      </c>
      <c r="P1567" s="25">
        <f>IFERROR(INDEX(Produtos!$D$2:$D$71,MATCH(C1567,Produtos!$A$2:$A$71,0)),0)</f>
        <v/>
      </c>
      <c r="Q1567" s="25">
        <f>IFERROR(INDEX(Produtos!$E$2:$E$71,MATCH(C1567,Produtos!$A$2:$A$71,0)),0)</f>
        <v/>
      </c>
      <c r="R1567" s="27">
        <f>D1567*Q1567</f>
        <v/>
      </c>
      <c r="S1567" s="27">
        <f>R1567*E1567</f>
        <v/>
      </c>
      <c r="T1567" s="27">
        <f>(R1567-S1567)*M1567</f>
        <v/>
      </c>
      <c r="U1567" s="27">
        <f>R1567-S1567-T1567</f>
        <v/>
      </c>
      <c r="V1567" s="27">
        <f>D1567*P1567</f>
        <v/>
      </c>
      <c r="W1567" s="27">
        <f>U1567-V1567</f>
        <v/>
      </c>
      <c r="X1567" s="28">
        <f>IFERROR(W1567/U1567,0)</f>
        <v/>
      </c>
    </row>
    <row r="1568">
      <c r="A1568" s="21">
        <f>ItensPedido!A1568</f>
        <v/>
      </c>
      <c r="B1568" s="21">
        <f>ItensPedido!B1568</f>
        <v/>
      </c>
      <c r="C1568" s="21">
        <f>ItensPedido!C1568</f>
        <v/>
      </c>
      <c r="D1568" s="21">
        <f>ItensPedido!D1568</f>
        <v/>
      </c>
      <c r="E1568" s="22">
        <f>ItensPedido!E1568</f>
        <v/>
      </c>
      <c r="F1568" s="21">
        <f>IFERROR(INDEX(Pedidos!$B$2:$B$1801,MATCH(B1568,Pedidos!$A$2:$A$1801,0)),0)</f>
        <v/>
      </c>
      <c r="G1568" s="21">
        <f>IF(F1568=0,"",YEAR(F1568))</f>
        <v/>
      </c>
      <c r="H1568" s="21">
        <f>IF(F1568=0,"",MONTH(F1568))</f>
        <v/>
      </c>
      <c r="I1568" s="21">
        <f>IFERROR(INDEX(Pedidos!$E$2:$E$1801,MATCH(B1568,Pedidos!$A$2:$A$1801,0)),"")</f>
        <v/>
      </c>
      <c r="J1568" s="21">
        <f>IFERROR(INDEX(Pedidos!$C$2:$C$1801,MATCH(B1568,Pedidos!$A$2:$A$1801,0)),"")</f>
        <v/>
      </c>
      <c r="K1568" s="21">
        <f>IFERROR(INDEX(Pedidos!$D$2:$D$1801,MATCH(B1568,Pedidos!$A$2:$A$1801,0)),"")</f>
        <v/>
      </c>
      <c r="L1568" s="21">
        <f>IFERROR(INDEX(Pedidos!$F$2:$F$1801,MATCH(B1568,Pedidos!$A$2:$A$1801,0)),"")</f>
        <v/>
      </c>
      <c r="M1568" s="22">
        <f>IFERROR(INDEX(Pedidos!$G$2:$G$1801,MATCH(B1568,Pedidos!$A$2:$A$1801,0)),0)</f>
        <v/>
      </c>
      <c r="N1568" s="21">
        <f>IFERROR(INDEX(Produtos!$B$2:$B$71,MATCH(C1568,Produtos!$A$2:$A$71,0)),"")</f>
        <v/>
      </c>
      <c r="O1568" s="21">
        <f>IFERROR(INDEX(Produtos!$C$2:$C$71,MATCH(C1568,Produtos!$A$2:$A$71,0)),"")</f>
        <v/>
      </c>
      <c r="P1568" s="21">
        <f>IFERROR(INDEX(Produtos!$D$2:$D$71,MATCH(C1568,Produtos!$A$2:$A$71,0)),0)</f>
        <v/>
      </c>
      <c r="Q1568" s="21">
        <f>IFERROR(INDEX(Produtos!$E$2:$E$71,MATCH(C1568,Produtos!$A$2:$A$71,0)),0)</f>
        <v/>
      </c>
      <c r="R1568" s="23">
        <f>D1568*Q1568</f>
        <v/>
      </c>
      <c r="S1568" s="23">
        <f>R1568*E1568</f>
        <v/>
      </c>
      <c r="T1568" s="23">
        <f>(R1568-S1568)*M1568</f>
        <v/>
      </c>
      <c r="U1568" s="23">
        <f>R1568-S1568-T1568</f>
        <v/>
      </c>
      <c r="V1568" s="23">
        <f>D1568*P1568</f>
        <v/>
      </c>
      <c r="W1568" s="23">
        <f>U1568-V1568</f>
        <v/>
      </c>
      <c r="X1568" s="24">
        <f>IFERROR(W1568/U1568,0)</f>
        <v/>
      </c>
    </row>
    <row r="1569">
      <c r="A1569" s="25">
        <f>ItensPedido!A1569</f>
        <v/>
      </c>
      <c r="B1569" s="25">
        <f>ItensPedido!B1569</f>
        <v/>
      </c>
      <c r="C1569" s="25">
        <f>ItensPedido!C1569</f>
        <v/>
      </c>
      <c r="D1569" s="25">
        <f>ItensPedido!D1569</f>
        <v/>
      </c>
      <c r="E1569" s="26">
        <f>ItensPedido!E1569</f>
        <v/>
      </c>
      <c r="F1569" s="25">
        <f>IFERROR(INDEX(Pedidos!$B$2:$B$1801,MATCH(B1569,Pedidos!$A$2:$A$1801,0)),0)</f>
        <v/>
      </c>
      <c r="G1569" s="25">
        <f>IF(F1569=0,"",YEAR(F1569))</f>
        <v/>
      </c>
      <c r="H1569" s="25">
        <f>IF(F1569=0,"",MONTH(F1569))</f>
        <v/>
      </c>
      <c r="I1569" s="25">
        <f>IFERROR(INDEX(Pedidos!$E$2:$E$1801,MATCH(B1569,Pedidos!$A$2:$A$1801,0)),"")</f>
        <v/>
      </c>
      <c r="J1569" s="25">
        <f>IFERROR(INDEX(Pedidos!$C$2:$C$1801,MATCH(B1569,Pedidos!$A$2:$A$1801,0)),"")</f>
        <v/>
      </c>
      <c r="K1569" s="25">
        <f>IFERROR(INDEX(Pedidos!$D$2:$D$1801,MATCH(B1569,Pedidos!$A$2:$A$1801,0)),"")</f>
        <v/>
      </c>
      <c r="L1569" s="25">
        <f>IFERROR(INDEX(Pedidos!$F$2:$F$1801,MATCH(B1569,Pedidos!$A$2:$A$1801,0)),"")</f>
        <v/>
      </c>
      <c r="M1569" s="26">
        <f>IFERROR(INDEX(Pedidos!$G$2:$G$1801,MATCH(B1569,Pedidos!$A$2:$A$1801,0)),0)</f>
        <v/>
      </c>
      <c r="N1569" s="25">
        <f>IFERROR(INDEX(Produtos!$B$2:$B$71,MATCH(C1569,Produtos!$A$2:$A$71,0)),"")</f>
        <v/>
      </c>
      <c r="O1569" s="25">
        <f>IFERROR(INDEX(Produtos!$C$2:$C$71,MATCH(C1569,Produtos!$A$2:$A$71,0)),"")</f>
        <v/>
      </c>
      <c r="P1569" s="25">
        <f>IFERROR(INDEX(Produtos!$D$2:$D$71,MATCH(C1569,Produtos!$A$2:$A$71,0)),0)</f>
        <v/>
      </c>
      <c r="Q1569" s="25">
        <f>IFERROR(INDEX(Produtos!$E$2:$E$71,MATCH(C1569,Produtos!$A$2:$A$71,0)),0)</f>
        <v/>
      </c>
      <c r="R1569" s="27">
        <f>D1569*Q1569</f>
        <v/>
      </c>
      <c r="S1569" s="27">
        <f>R1569*E1569</f>
        <v/>
      </c>
      <c r="T1569" s="27">
        <f>(R1569-S1569)*M1569</f>
        <v/>
      </c>
      <c r="U1569" s="27">
        <f>R1569-S1569-T1569</f>
        <v/>
      </c>
      <c r="V1569" s="27">
        <f>D1569*P1569</f>
        <v/>
      </c>
      <c r="W1569" s="27">
        <f>U1569-V1569</f>
        <v/>
      </c>
      <c r="X1569" s="28">
        <f>IFERROR(W1569/U1569,0)</f>
        <v/>
      </c>
    </row>
    <row r="1570">
      <c r="A1570" s="21">
        <f>ItensPedido!A1570</f>
        <v/>
      </c>
      <c r="B1570" s="21">
        <f>ItensPedido!B1570</f>
        <v/>
      </c>
      <c r="C1570" s="21">
        <f>ItensPedido!C1570</f>
        <v/>
      </c>
      <c r="D1570" s="21">
        <f>ItensPedido!D1570</f>
        <v/>
      </c>
      <c r="E1570" s="22">
        <f>ItensPedido!E1570</f>
        <v/>
      </c>
      <c r="F1570" s="21">
        <f>IFERROR(INDEX(Pedidos!$B$2:$B$1801,MATCH(B1570,Pedidos!$A$2:$A$1801,0)),0)</f>
        <v/>
      </c>
      <c r="G1570" s="21">
        <f>IF(F1570=0,"",YEAR(F1570))</f>
        <v/>
      </c>
      <c r="H1570" s="21">
        <f>IF(F1570=0,"",MONTH(F1570))</f>
        <v/>
      </c>
      <c r="I1570" s="21">
        <f>IFERROR(INDEX(Pedidos!$E$2:$E$1801,MATCH(B1570,Pedidos!$A$2:$A$1801,0)),"")</f>
        <v/>
      </c>
      <c r="J1570" s="21">
        <f>IFERROR(INDEX(Pedidos!$C$2:$C$1801,MATCH(B1570,Pedidos!$A$2:$A$1801,0)),"")</f>
        <v/>
      </c>
      <c r="K1570" s="21">
        <f>IFERROR(INDEX(Pedidos!$D$2:$D$1801,MATCH(B1570,Pedidos!$A$2:$A$1801,0)),"")</f>
        <v/>
      </c>
      <c r="L1570" s="21">
        <f>IFERROR(INDEX(Pedidos!$F$2:$F$1801,MATCH(B1570,Pedidos!$A$2:$A$1801,0)),"")</f>
        <v/>
      </c>
      <c r="M1570" s="22">
        <f>IFERROR(INDEX(Pedidos!$G$2:$G$1801,MATCH(B1570,Pedidos!$A$2:$A$1801,0)),0)</f>
        <v/>
      </c>
      <c r="N1570" s="21">
        <f>IFERROR(INDEX(Produtos!$B$2:$B$71,MATCH(C1570,Produtos!$A$2:$A$71,0)),"")</f>
        <v/>
      </c>
      <c r="O1570" s="21">
        <f>IFERROR(INDEX(Produtos!$C$2:$C$71,MATCH(C1570,Produtos!$A$2:$A$71,0)),"")</f>
        <v/>
      </c>
      <c r="P1570" s="21">
        <f>IFERROR(INDEX(Produtos!$D$2:$D$71,MATCH(C1570,Produtos!$A$2:$A$71,0)),0)</f>
        <v/>
      </c>
      <c r="Q1570" s="21">
        <f>IFERROR(INDEX(Produtos!$E$2:$E$71,MATCH(C1570,Produtos!$A$2:$A$71,0)),0)</f>
        <v/>
      </c>
      <c r="R1570" s="23">
        <f>D1570*Q1570</f>
        <v/>
      </c>
      <c r="S1570" s="23">
        <f>R1570*E1570</f>
        <v/>
      </c>
      <c r="T1570" s="23">
        <f>(R1570-S1570)*M1570</f>
        <v/>
      </c>
      <c r="U1570" s="23">
        <f>R1570-S1570-T1570</f>
        <v/>
      </c>
      <c r="V1570" s="23">
        <f>D1570*P1570</f>
        <v/>
      </c>
      <c r="W1570" s="23">
        <f>U1570-V1570</f>
        <v/>
      </c>
      <c r="X1570" s="24">
        <f>IFERROR(W1570/U1570,0)</f>
        <v/>
      </c>
    </row>
    <row r="1571">
      <c r="A1571" s="25">
        <f>ItensPedido!A1571</f>
        <v/>
      </c>
      <c r="B1571" s="25">
        <f>ItensPedido!B1571</f>
        <v/>
      </c>
      <c r="C1571" s="25">
        <f>ItensPedido!C1571</f>
        <v/>
      </c>
      <c r="D1571" s="25">
        <f>ItensPedido!D1571</f>
        <v/>
      </c>
      <c r="E1571" s="26">
        <f>ItensPedido!E1571</f>
        <v/>
      </c>
      <c r="F1571" s="25">
        <f>IFERROR(INDEX(Pedidos!$B$2:$B$1801,MATCH(B1571,Pedidos!$A$2:$A$1801,0)),0)</f>
        <v/>
      </c>
      <c r="G1571" s="25">
        <f>IF(F1571=0,"",YEAR(F1571))</f>
        <v/>
      </c>
      <c r="H1571" s="25">
        <f>IF(F1571=0,"",MONTH(F1571))</f>
        <v/>
      </c>
      <c r="I1571" s="25">
        <f>IFERROR(INDEX(Pedidos!$E$2:$E$1801,MATCH(B1571,Pedidos!$A$2:$A$1801,0)),"")</f>
        <v/>
      </c>
      <c r="J1571" s="25">
        <f>IFERROR(INDEX(Pedidos!$C$2:$C$1801,MATCH(B1571,Pedidos!$A$2:$A$1801,0)),"")</f>
        <v/>
      </c>
      <c r="K1571" s="25">
        <f>IFERROR(INDEX(Pedidos!$D$2:$D$1801,MATCH(B1571,Pedidos!$A$2:$A$1801,0)),"")</f>
        <v/>
      </c>
      <c r="L1571" s="25">
        <f>IFERROR(INDEX(Pedidos!$F$2:$F$1801,MATCH(B1571,Pedidos!$A$2:$A$1801,0)),"")</f>
        <v/>
      </c>
      <c r="M1571" s="26">
        <f>IFERROR(INDEX(Pedidos!$G$2:$G$1801,MATCH(B1571,Pedidos!$A$2:$A$1801,0)),0)</f>
        <v/>
      </c>
      <c r="N1571" s="25">
        <f>IFERROR(INDEX(Produtos!$B$2:$B$71,MATCH(C1571,Produtos!$A$2:$A$71,0)),"")</f>
        <v/>
      </c>
      <c r="O1571" s="25">
        <f>IFERROR(INDEX(Produtos!$C$2:$C$71,MATCH(C1571,Produtos!$A$2:$A$71,0)),"")</f>
        <v/>
      </c>
      <c r="P1571" s="25">
        <f>IFERROR(INDEX(Produtos!$D$2:$D$71,MATCH(C1571,Produtos!$A$2:$A$71,0)),0)</f>
        <v/>
      </c>
      <c r="Q1571" s="25">
        <f>IFERROR(INDEX(Produtos!$E$2:$E$71,MATCH(C1571,Produtos!$A$2:$A$71,0)),0)</f>
        <v/>
      </c>
      <c r="R1571" s="27">
        <f>D1571*Q1571</f>
        <v/>
      </c>
      <c r="S1571" s="27">
        <f>R1571*E1571</f>
        <v/>
      </c>
      <c r="T1571" s="27">
        <f>(R1571-S1571)*M1571</f>
        <v/>
      </c>
      <c r="U1571" s="27">
        <f>R1571-S1571-T1571</f>
        <v/>
      </c>
      <c r="V1571" s="27">
        <f>D1571*P1571</f>
        <v/>
      </c>
      <c r="W1571" s="27">
        <f>U1571-V1571</f>
        <v/>
      </c>
      <c r="X1571" s="28">
        <f>IFERROR(W1571/U1571,0)</f>
        <v/>
      </c>
    </row>
    <row r="1572">
      <c r="A1572" s="21">
        <f>ItensPedido!A1572</f>
        <v/>
      </c>
      <c r="B1572" s="21">
        <f>ItensPedido!B1572</f>
        <v/>
      </c>
      <c r="C1572" s="21">
        <f>ItensPedido!C1572</f>
        <v/>
      </c>
      <c r="D1572" s="21">
        <f>ItensPedido!D1572</f>
        <v/>
      </c>
      <c r="E1572" s="22">
        <f>ItensPedido!E1572</f>
        <v/>
      </c>
      <c r="F1572" s="21">
        <f>IFERROR(INDEX(Pedidos!$B$2:$B$1801,MATCH(B1572,Pedidos!$A$2:$A$1801,0)),0)</f>
        <v/>
      </c>
      <c r="G1572" s="21">
        <f>IF(F1572=0,"",YEAR(F1572))</f>
        <v/>
      </c>
      <c r="H1572" s="21">
        <f>IF(F1572=0,"",MONTH(F1572))</f>
        <v/>
      </c>
      <c r="I1572" s="21">
        <f>IFERROR(INDEX(Pedidos!$E$2:$E$1801,MATCH(B1572,Pedidos!$A$2:$A$1801,0)),"")</f>
        <v/>
      </c>
      <c r="J1572" s="21">
        <f>IFERROR(INDEX(Pedidos!$C$2:$C$1801,MATCH(B1572,Pedidos!$A$2:$A$1801,0)),"")</f>
        <v/>
      </c>
      <c r="K1572" s="21">
        <f>IFERROR(INDEX(Pedidos!$D$2:$D$1801,MATCH(B1572,Pedidos!$A$2:$A$1801,0)),"")</f>
        <v/>
      </c>
      <c r="L1572" s="21">
        <f>IFERROR(INDEX(Pedidos!$F$2:$F$1801,MATCH(B1572,Pedidos!$A$2:$A$1801,0)),"")</f>
        <v/>
      </c>
      <c r="M1572" s="22">
        <f>IFERROR(INDEX(Pedidos!$G$2:$G$1801,MATCH(B1572,Pedidos!$A$2:$A$1801,0)),0)</f>
        <v/>
      </c>
      <c r="N1572" s="21">
        <f>IFERROR(INDEX(Produtos!$B$2:$B$71,MATCH(C1572,Produtos!$A$2:$A$71,0)),"")</f>
        <v/>
      </c>
      <c r="O1572" s="21">
        <f>IFERROR(INDEX(Produtos!$C$2:$C$71,MATCH(C1572,Produtos!$A$2:$A$71,0)),"")</f>
        <v/>
      </c>
      <c r="P1572" s="21">
        <f>IFERROR(INDEX(Produtos!$D$2:$D$71,MATCH(C1572,Produtos!$A$2:$A$71,0)),0)</f>
        <v/>
      </c>
      <c r="Q1572" s="21">
        <f>IFERROR(INDEX(Produtos!$E$2:$E$71,MATCH(C1572,Produtos!$A$2:$A$71,0)),0)</f>
        <v/>
      </c>
      <c r="R1572" s="23">
        <f>D1572*Q1572</f>
        <v/>
      </c>
      <c r="S1572" s="23">
        <f>R1572*E1572</f>
        <v/>
      </c>
      <c r="T1572" s="23">
        <f>(R1572-S1572)*M1572</f>
        <v/>
      </c>
      <c r="U1572" s="23">
        <f>R1572-S1572-T1572</f>
        <v/>
      </c>
      <c r="V1572" s="23">
        <f>D1572*P1572</f>
        <v/>
      </c>
      <c r="W1572" s="23">
        <f>U1572-V1572</f>
        <v/>
      </c>
      <c r="X1572" s="24">
        <f>IFERROR(W1572/U1572,0)</f>
        <v/>
      </c>
    </row>
    <row r="1573">
      <c r="A1573" s="25">
        <f>ItensPedido!A1573</f>
        <v/>
      </c>
      <c r="B1573" s="25">
        <f>ItensPedido!B1573</f>
        <v/>
      </c>
      <c r="C1573" s="25">
        <f>ItensPedido!C1573</f>
        <v/>
      </c>
      <c r="D1573" s="25">
        <f>ItensPedido!D1573</f>
        <v/>
      </c>
      <c r="E1573" s="26">
        <f>ItensPedido!E1573</f>
        <v/>
      </c>
      <c r="F1573" s="25">
        <f>IFERROR(INDEX(Pedidos!$B$2:$B$1801,MATCH(B1573,Pedidos!$A$2:$A$1801,0)),0)</f>
        <v/>
      </c>
      <c r="G1573" s="25">
        <f>IF(F1573=0,"",YEAR(F1573))</f>
        <v/>
      </c>
      <c r="H1573" s="25">
        <f>IF(F1573=0,"",MONTH(F1573))</f>
        <v/>
      </c>
      <c r="I1573" s="25">
        <f>IFERROR(INDEX(Pedidos!$E$2:$E$1801,MATCH(B1573,Pedidos!$A$2:$A$1801,0)),"")</f>
        <v/>
      </c>
      <c r="J1573" s="25">
        <f>IFERROR(INDEX(Pedidos!$C$2:$C$1801,MATCH(B1573,Pedidos!$A$2:$A$1801,0)),"")</f>
        <v/>
      </c>
      <c r="K1573" s="25">
        <f>IFERROR(INDEX(Pedidos!$D$2:$D$1801,MATCH(B1573,Pedidos!$A$2:$A$1801,0)),"")</f>
        <v/>
      </c>
      <c r="L1573" s="25">
        <f>IFERROR(INDEX(Pedidos!$F$2:$F$1801,MATCH(B1573,Pedidos!$A$2:$A$1801,0)),"")</f>
        <v/>
      </c>
      <c r="M1573" s="26">
        <f>IFERROR(INDEX(Pedidos!$G$2:$G$1801,MATCH(B1573,Pedidos!$A$2:$A$1801,0)),0)</f>
        <v/>
      </c>
      <c r="N1573" s="25">
        <f>IFERROR(INDEX(Produtos!$B$2:$B$71,MATCH(C1573,Produtos!$A$2:$A$71,0)),"")</f>
        <v/>
      </c>
      <c r="O1573" s="25">
        <f>IFERROR(INDEX(Produtos!$C$2:$C$71,MATCH(C1573,Produtos!$A$2:$A$71,0)),"")</f>
        <v/>
      </c>
      <c r="P1573" s="25">
        <f>IFERROR(INDEX(Produtos!$D$2:$D$71,MATCH(C1573,Produtos!$A$2:$A$71,0)),0)</f>
        <v/>
      </c>
      <c r="Q1573" s="25">
        <f>IFERROR(INDEX(Produtos!$E$2:$E$71,MATCH(C1573,Produtos!$A$2:$A$71,0)),0)</f>
        <v/>
      </c>
      <c r="R1573" s="27">
        <f>D1573*Q1573</f>
        <v/>
      </c>
      <c r="S1573" s="27">
        <f>R1573*E1573</f>
        <v/>
      </c>
      <c r="T1573" s="27">
        <f>(R1573-S1573)*M1573</f>
        <v/>
      </c>
      <c r="U1573" s="27">
        <f>R1573-S1573-T1573</f>
        <v/>
      </c>
      <c r="V1573" s="27">
        <f>D1573*P1573</f>
        <v/>
      </c>
      <c r="W1573" s="27">
        <f>U1573-V1573</f>
        <v/>
      </c>
      <c r="X1573" s="28">
        <f>IFERROR(W1573/U1573,0)</f>
        <v/>
      </c>
    </row>
    <row r="1574">
      <c r="A1574" s="21">
        <f>ItensPedido!A1574</f>
        <v/>
      </c>
      <c r="B1574" s="21">
        <f>ItensPedido!B1574</f>
        <v/>
      </c>
      <c r="C1574" s="21">
        <f>ItensPedido!C1574</f>
        <v/>
      </c>
      <c r="D1574" s="21">
        <f>ItensPedido!D1574</f>
        <v/>
      </c>
      <c r="E1574" s="22">
        <f>ItensPedido!E1574</f>
        <v/>
      </c>
      <c r="F1574" s="21">
        <f>IFERROR(INDEX(Pedidos!$B$2:$B$1801,MATCH(B1574,Pedidos!$A$2:$A$1801,0)),0)</f>
        <v/>
      </c>
      <c r="G1574" s="21">
        <f>IF(F1574=0,"",YEAR(F1574))</f>
        <v/>
      </c>
      <c r="H1574" s="21">
        <f>IF(F1574=0,"",MONTH(F1574))</f>
        <v/>
      </c>
      <c r="I1574" s="21">
        <f>IFERROR(INDEX(Pedidos!$E$2:$E$1801,MATCH(B1574,Pedidos!$A$2:$A$1801,0)),"")</f>
        <v/>
      </c>
      <c r="J1574" s="21">
        <f>IFERROR(INDEX(Pedidos!$C$2:$C$1801,MATCH(B1574,Pedidos!$A$2:$A$1801,0)),"")</f>
        <v/>
      </c>
      <c r="K1574" s="21">
        <f>IFERROR(INDEX(Pedidos!$D$2:$D$1801,MATCH(B1574,Pedidos!$A$2:$A$1801,0)),"")</f>
        <v/>
      </c>
      <c r="L1574" s="21">
        <f>IFERROR(INDEX(Pedidos!$F$2:$F$1801,MATCH(B1574,Pedidos!$A$2:$A$1801,0)),"")</f>
        <v/>
      </c>
      <c r="M1574" s="22">
        <f>IFERROR(INDEX(Pedidos!$G$2:$G$1801,MATCH(B1574,Pedidos!$A$2:$A$1801,0)),0)</f>
        <v/>
      </c>
      <c r="N1574" s="21">
        <f>IFERROR(INDEX(Produtos!$B$2:$B$71,MATCH(C1574,Produtos!$A$2:$A$71,0)),"")</f>
        <v/>
      </c>
      <c r="O1574" s="21">
        <f>IFERROR(INDEX(Produtos!$C$2:$C$71,MATCH(C1574,Produtos!$A$2:$A$71,0)),"")</f>
        <v/>
      </c>
      <c r="P1574" s="21">
        <f>IFERROR(INDEX(Produtos!$D$2:$D$71,MATCH(C1574,Produtos!$A$2:$A$71,0)),0)</f>
        <v/>
      </c>
      <c r="Q1574" s="21">
        <f>IFERROR(INDEX(Produtos!$E$2:$E$71,MATCH(C1574,Produtos!$A$2:$A$71,0)),0)</f>
        <v/>
      </c>
      <c r="R1574" s="23">
        <f>D1574*Q1574</f>
        <v/>
      </c>
      <c r="S1574" s="23">
        <f>R1574*E1574</f>
        <v/>
      </c>
      <c r="T1574" s="23">
        <f>(R1574-S1574)*M1574</f>
        <v/>
      </c>
      <c r="U1574" s="23">
        <f>R1574-S1574-T1574</f>
        <v/>
      </c>
      <c r="V1574" s="23">
        <f>D1574*P1574</f>
        <v/>
      </c>
      <c r="W1574" s="23">
        <f>U1574-V1574</f>
        <v/>
      </c>
      <c r="X1574" s="24">
        <f>IFERROR(W1574/U1574,0)</f>
        <v/>
      </c>
    </row>
    <row r="1575">
      <c r="A1575" s="25">
        <f>ItensPedido!A1575</f>
        <v/>
      </c>
      <c r="B1575" s="25">
        <f>ItensPedido!B1575</f>
        <v/>
      </c>
      <c r="C1575" s="25">
        <f>ItensPedido!C1575</f>
        <v/>
      </c>
      <c r="D1575" s="25">
        <f>ItensPedido!D1575</f>
        <v/>
      </c>
      <c r="E1575" s="26">
        <f>ItensPedido!E1575</f>
        <v/>
      </c>
      <c r="F1575" s="25">
        <f>IFERROR(INDEX(Pedidos!$B$2:$B$1801,MATCH(B1575,Pedidos!$A$2:$A$1801,0)),0)</f>
        <v/>
      </c>
      <c r="G1575" s="25">
        <f>IF(F1575=0,"",YEAR(F1575))</f>
        <v/>
      </c>
      <c r="H1575" s="25">
        <f>IF(F1575=0,"",MONTH(F1575))</f>
        <v/>
      </c>
      <c r="I1575" s="25">
        <f>IFERROR(INDEX(Pedidos!$E$2:$E$1801,MATCH(B1575,Pedidos!$A$2:$A$1801,0)),"")</f>
        <v/>
      </c>
      <c r="J1575" s="25">
        <f>IFERROR(INDEX(Pedidos!$C$2:$C$1801,MATCH(B1575,Pedidos!$A$2:$A$1801,0)),"")</f>
        <v/>
      </c>
      <c r="K1575" s="25">
        <f>IFERROR(INDEX(Pedidos!$D$2:$D$1801,MATCH(B1575,Pedidos!$A$2:$A$1801,0)),"")</f>
        <v/>
      </c>
      <c r="L1575" s="25">
        <f>IFERROR(INDEX(Pedidos!$F$2:$F$1801,MATCH(B1575,Pedidos!$A$2:$A$1801,0)),"")</f>
        <v/>
      </c>
      <c r="M1575" s="26">
        <f>IFERROR(INDEX(Pedidos!$G$2:$G$1801,MATCH(B1575,Pedidos!$A$2:$A$1801,0)),0)</f>
        <v/>
      </c>
      <c r="N1575" s="25">
        <f>IFERROR(INDEX(Produtos!$B$2:$B$71,MATCH(C1575,Produtos!$A$2:$A$71,0)),"")</f>
        <v/>
      </c>
      <c r="O1575" s="25">
        <f>IFERROR(INDEX(Produtos!$C$2:$C$71,MATCH(C1575,Produtos!$A$2:$A$71,0)),"")</f>
        <v/>
      </c>
      <c r="P1575" s="25">
        <f>IFERROR(INDEX(Produtos!$D$2:$D$71,MATCH(C1575,Produtos!$A$2:$A$71,0)),0)</f>
        <v/>
      </c>
      <c r="Q1575" s="25">
        <f>IFERROR(INDEX(Produtos!$E$2:$E$71,MATCH(C1575,Produtos!$A$2:$A$71,0)),0)</f>
        <v/>
      </c>
      <c r="R1575" s="27">
        <f>D1575*Q1575</f>
        <v/>
      </c>
      <c r="S1575" s="27">
        <f>R1575*E1575</f>
        <v/>
      </c>
      <c r="T1575" s="27">
        <f>(R1575-S1575)*M1575</f>
        <v/>
      </c>
      <c r="U1575" s="27">
        <f>R1575-S1575-T1575</f>
        <v/>
      </c>
      <c r="V1575" s="27">
        <f>D1575*P1575</f>
        <v/>
      </c>
      <c r="W1575" s="27">
        <f>U1575-V1575</f>
        <v/>
      </c>
      <c r="X1575" s="28">
        <f>IFERROR(W1575/U1575,0)</f>
        <v/>
      </c>
    </row>
    <row r="1576">
      <c r="A1576" s="21">
        <f>ItensPedido!A1576</f>
        <v/>
      </c>
      <c r="B1576" s="21">
        <f>ItensPedido!B1576</f>
        <v/>
      </c>
      <c r="C1576" s="21">
        <f>ItensPedido!C1576</f>
        <v/>
      </c>
      <c r="D1576" s="21">
        <f>ItensPedido!D1576</f>
        <v/>
      </c>
      <c r="E1576" s="22">
        <f>ItensPedido!E1576</f>
        <v/>
      </c>
      <c r="F1576" s="21">
        <f>IFERROR(INDEX(Pedidos!$B$2:$B$1801,MATCH(B1576,Pedidos!$A$2:$A$1801,0)),0)</f>
        <v/>
      </c>
      <c r="G1576" s="21">
        <f>IF(F1576=0,"",YEAR(F1576))</f>
        <v/>
      </c>
      <c r="H1576" s="21">
        <f>IF(F1576=0,"",MONTH(F1576))</f>
        <v/>
      </c>
      <c r="I1576" s="21">
        <f>IFERROR(INDEX(Pedidos!$E$2:$E$1801,MATCH(B1576,Pedidos!$A$2:$A$1801,0)),"")</f>
        <v/>
      </c>
      <c r="J1576" s="21">
        <f>IFERROR(INDEX(Pedidos!$C$2:$C$1801,MATCH(B1576,Pedidos!$A$2:$A$1801,0)),"")</f>
        <v/>
      </c>
      <c r="K1576" s="21">
        <f>IFERROR(INDEX(Pedidos!$D$2:$D$1801,MATCH(B1576,Pedidos!$A$2:$A$1801,0)),"")</f>
        <v/>
      </c>
      <c r="L1576" s="21">
        <f>IFERROR(INDEX(Pedidos!$F$2:$F$1801,MATCH(B1576,Pedidos!$A$2:$A$1801,0)),"")</f>
        <v/>
      </c>
      <c r="M1576" s="22">
        <f>IFERROR(INDEX(Pedidos!$G$2:$G$1801,MATCH(B1576,Pedidos!$A$2:$A$1801,0)),0)</f>
        <v/>
      </c>
      <c r="N1576" s="21">
        <f>IFERROR(INDEX(Produtos!$B$2:$B$71,MATCH(C1576,Produtos!$A$2:$A$71,0)),"")</f>
        <v/>
      </c>
      <c r="O1576" s="21">
        <f>IFERROR(INDEX(Produtos!$C$2:$C$71,MATCH(C1576,Produtos!$A$2:$A$71,0)),"")</f>
        <v/>
      </c>
      <c r="P1576" s="21">
        <f>IFERROR(INDEX(Produtos!$D$2:$D$71,MATCH(C1576,Produtos!$A$2:$A$71,0)),0)</f>
        <v/>
      </c>
      <c r="Q1576" s="21">
        <f>IFERROR(INDEX(Produtos!$E$2:$E$71,MATCH(C1576,Produtos!$A$2:$A$71,0)),0)</f>
        <v/>
      </c>
      <c r="R1576" s="23">
        <f>D1576*Q1576</f>
        <v/>
      </c>
      <c r="S1576" s="23">
        <f>R1576*E1576</f>
        <v/>
      </c>
      <c r="T1576" s="23">
        <f>(R1576-S1576)*M1576</f>
        <v/>
      </c>
      <c r="U1576" s="23">
        <f>R1576-S1576-T1576</f>
        <v/>
      </c>
      <c r="V1576" s="23">
        <f>D1576*P1576</f>
        <v/>
      </c>
      <c r="W1576" s="23">
        <f>U1576-V1576</f>
        <v/>
      </c>
      <c r="X1576" s="24">
        <f>IFERROR(W1576/U1576,0)</f>
        <v/>
      </c>
    </row>
    <row r="1577">
      <c r="A1577" s="25">
        <f>ItensPedido!A1577</f>
        <v/>
      </c>
      <c r="B1577" s="25">
        <f>ItensPedido!B1577</f>
        <v/>
      </c>
      <c r="C1577" s="25">
        <f>ItensPedido!C1577</f>
        <v/>
      </c>
      <c r="D1577" s="25">
        <f>ItensPedido!D1577</f>
        <v/>
      </c>
      <c r="E1577" s="26">
        <f>ItensPedido!E1577</f>
        <v/>
      </c>
      <c r="F1577" s="25">
        <f>IFERROR(INDEX(Pedidos!$B$2:$B$1801,MATCH(B1577,Pedidos!$A$2:$A$1801,0)),0)</f>
        <v/>
      </c>
      <c r="G1577" s="25">
        <f>IF(F1577=0,"",YEAR(F1577))</f>
        <v/>
      </c>
      <c r="H1577" s="25">
        <f>IF(F1577=0,"",MONTH(F1577))</f>
        <v/>
      </c>
      <c r="I1577" s="25">
        <f>IFERROR(INDEX(Pedidos!$E$2:$E$1801,MATCH(B1577,Pedidos!$A$2:$A$1801,0)),"")</f>
        <v/>
      </c>
      <c r="J1577" s="25">
        <f>IFERROR(INDEX(Pedidos!$C$2:$C$1801,MATCH(B1577,Pedidos!$A$2:$A$1801,0)),"")</f>
        <v/>
      </c>
      <c r="K1577" s="25">
        <f>IFERROR(INDEX(Pedidos!$D$2:$D$1801,MATCH(B1577,Pedidos!$A$2:$A$1801,0)),"")</f>
        <v/>
      </c>
      <c r="L1577" s="25">
        <f>IFERROR(INDEX(Pedidos!$F$2:$F$1801,MATCH(B1577,Pedidos!$A$2:$A$1801,0)),"")</f>
        <v/>
      </c>
      <c r="M1577" s="26">
        <f>IFERROR(INDEX(Pedidos!$G$2:$G$1801,MATCH(B1577,Pedidos!$A$2:$A$1801,0)),0)</f>
        <v/>
      </c>
      <c r="N1577" s="25">
        <f>IFERROR(INDEX(Produtos!$B$2:$B$71,MATCH(C1577,Produtos!$A$2:$A$71,0)),"")</f>
        <v/>
      </c>
      <c r="O1577" s="25">
        <f>IFERROR(INDEX(Produtos!$C$2:$C$71,MATCH(C1577,Produtos!$A$2:$A$71,0)),"")</f>
        <v/>
      </c>
      <c r="P1577" s="25">
        <f>IFERROR(INDEX(Produtos!$D$2:$D$71,MATCH(C1577,Produtos!$A$2:$A$71,0)),0)</f>
        <v/>
      </c>
      <c r="Q1577" s="25">
        <f>IFERROR(INDEX(Produtos!$E$2:$E$71,MATCH(C1577,Produtos!$A$2:$A$71,0)),0)</f>
        <v/>
      </c>
      <c r="R1577" s="27">
        <f>D1577*Q1577</f>
        <v/>
      </c>
      <c r="S1577" s="27">
        <f>R1577*E1577</f>
        <v/>
      </c>
      <c r="T1577" s="27">
        <f>(R1577-S1577)*M1577</f>
        <v/>
      </c>
      <c r="U1577" s="27">
        <f>R1577-S1577-T1577</f>
        <v/>
      </c>
      <c r="V1577" s="27">
        <f>D1577*P1577</f>
        <v/>
      </c>
      <c r="W1577" s="27">
        <f>U1577-V1577</f>
        <v/>
      </c>
      <c r="X1577" s="28">
        <f>IFERROR(W1577/U1577,0)</f>
        <v/>
      </c>
    </row>
    <row r="1578">
      <c r="A1578" s="21">
        <f>ItensPedido!A1578</f>
        <v/>
      </c>
      <c r="B1578" s="21">
        <f>ItensPedido!B1578</f>
        <v/>
      </c>
      <c r="C1578" s="21">
        <f>ItensPedido!C1578</f>
        <v/>
      </c>
      <c r="D1578" s="21">
        <f>ItensPedido!D1578</f>
        <v/>
      </c>
      <c r="E1578" s="22">
        <f>ItensPedido!E1578</f>
        <v/>
      </c>
      <c r="F1578" s="21">
        <f>IFERROR(INDEX(Pedidos!$B$2:$B$1801,MATCH(B1578,Pedidos!$A$2:$A$1801,0)),0)</f>
        <v/>
      </c>
      <c r="G1578" s="21">
        <f>IF(F1578=0,"",YEAR(F1578))</f>
        <v/>
      </c>
      <c r="H1578" s="21">
        <f>IF(F1578=0,"",MONTH(F1578))</f>
        <v/>
      </c>
      <c r="I1578" s="21">
        <f>IFERROR(INDEX(Pedidos!$E$2:$E$1801,MATCH(B1578,Pedidos!$A$2:$A$1801,0)),"")</f>
        <v/>
      </c>
      <c r="J1578" s="21">
        <f>IFERROR(INDEX(Pedidos!$C$2:$C$1801,MATCH(B1578,Pedidos!$A$2:$A$1801,0)),"")</f>
        <v/>
      </c>
      <c r="K1578" s="21">
        <f>IFERROR(INDEX(Pedidos!$D$2:$D$1801,MATCH(B1578,Pedidos!$A$2:$A$1801,0)),"")</f>
        <v/>
      </c>
      <c r="L1578" s="21">
        <f>IFERROR(INDEX(Pedidos!$F$2:$F$1801,MATCH(B1578,Pedidos!$A$2:$A$1801,0)),"")</f>
        <v/>
      </c>
      <c r="M1578" s="22">
        <f>IFERROR(INDEX(Pedidos!$G$2:$G$1801,MATCH(B1578,Pedidos!$A$2:$A$1801,0)),0)</f>
        <v/>
      </c>
      <c r="N1578" s="21">
        <f>IFERROR(INDEX(Produtos!$B$2:$B$71,MATCH(C1578,Produtos!$A$2:$A$71,0)),"")</f>
        <v/>
      </c>
      <c r="O1578" s="21">
        <f>IFERROR(INDEX(Produtos!$C$2:$C$71,MATCH(C1578,Produtos!$A$2:$A$71,0)),"")</f>
        <v/>
      </c>
      <c r="P1578" s="21">
        <f>IFERROR(INDEX(Produtos!$D$2:$D$71,MATCH(C1578,Produtos!$A$2:$A$71,0)),0)</f>
        <v/>
      </c>
      <c r="Q1578" s="21">
        <f>IFERROR(INDEX(Produtos!$E$2:$E$71,MATCH(C1578,Produtos!$A$2:$A$71,0)),0)</f>
        <v/>
      </c>
      <c r="R1578" s="23">
        <f>D1578*Q1578</f>
        <v/>
      </c>
      <c r="S1578" s="23">
        <f>R1578*E1578</f>
        <v/>
      </c>
      <c r="T1578" s="23">
        <f>(R1578-S1578)*M1578</f>
        <v/>
      </c>
      <c r="U1578" s="23">
        <f>R1578-S1578-T1578</f>
        <v/>
      </c>
      <c r="V1578" s="23">
        <f>D1578*P1578</f>
        <v/>
      </c>
      <c r="W1578" s="23">
        <f>U1578-V1578</f>
        <v/>
      </c>
      <c r="X1578" s="24">
        <f>IFERROR(W1578/U1578,0)</f>
        <v/>
      </c>
    </row>
    <row r="1579">
      <c r="A1579" s="25">
        <f>ItensPedido!A1579</f>
        <v/>
      </c>
      <c r="B1579" s="25">
        <f>ItensPedido!B1579</f>
        <v/>
      </c>
      <c r="C1579" s="25">
        <f>ItensPedido!C1579</f>
        <v/>
      </c>
      <c r="D1579" s="25">
        <f>ItensPedido!D1579</f>
        <v/>
      </c>
      <c r="E1579" s="26">
        <f>ItensPedido!E1579</f>
        <v/>
      </c>
      <c r="F1579" s="25">
        <f>IFERROR(INDEX(Pedidos!$B$2:$B$1801,MATCH(B1579,Pedidos!$A$2:$A$1801,0)),0)</f>
        <v/>
      </c>
      <c r="G1579" s="25">
        <f>IF(F1579=0,"",YEAR(F1579))</f>
        <v/>
      </c>
      <c r="H1579" s="25">
        <f>IF(F1579=0,"",MONTH(F1579))</f>
        <v/>
      </c>
      <c r="I1579" s="25">
        <f>IFERROR(INDEX(Pedidos!$E$2:$E$1801,MATCH(B1579,Pedidos!$A$2:$A$1801,0)),"")</f>
        <v/>
      </c>
      <c r="J1579" s="25">
        <f>IFERROR(INDEX(Pedidos!$C$2:$C$1801,MATCH(B1579,Pedidos!$A$2:$A$1801,0)),"")</f>
        <v/>
      </c>
      <c r="K1579" s="25">
        <f>IFERROR(INDEX(Pedidos!$D$2:$D$1801,MATCH(B1579,Pedidos!$A$2:$A$1801,0)),"")</f>
        <v/>
      </c>
      <c r="L1579" s="25">
        <f>IFERROR(INDEX(Pedidos!$F$2:$F$1801,MATCH(B1579,Pedidos!$A$2:$A$1801,0)),"")</f>
        <v/>
      </c>
      <c r="M1579" s="26">
        <f>IFERROR(INDEX(Pedidos!$G$2:$G$1801,MATCH(B1579,Pedidos!$A$2:$A$1801,0)),0)</f>
        <v/>
      </c>
      <c r="N1579" s="25">
        <f>IFERROR(INDEX(Produtos!$B$2:$B$71,MATCH(C1579,Produtos!$A$2:$A$71,0)),"")</f>
        <v/>
      </c>
      <c r="O1579" s="25">
        <f>IFERROR(INDEX(Produtos!$C$2:$C$71,MATCH(C1579,Produtos!$A$2:$A$71,0)),"")</f>
        <v/>
      </c>
      <c r="P1579" s="25">
        <f>IFERROR(INDEX(Produtos!$D$2:$D$71,MATCH(C1579,Produtos!$A$2:$A$71,0)),0)</f>
        <v/>
      </c>
      <c r="Q1579" s="25">
        <f>IFERROR(INDEX(Produtos!$E$2:$E$71,MATCH(C1579,Produtos!$A$2:$A$71,0)),0)</f>
        <v/>
      </c>
      <c r="R1579" s="27">
        <f>D1579*Q1579</f>
        <v/>
      </c>
      <c r="S1579" s="27">
        <f>R1579*E1579</f>
        <v/>
      </c>
      <c r="T1579" s="27">
        <f>(R1579-S1579)*M1579</f>
        <v/>
      </c>
      <c r="U1579" s="27">
        <f>R1579-S1579-T1579</f>
        <v/>
      </c>
      <c r="V1579" s="27">
        <f>D1579*P1579</f>
        <v/>
      </c>
      <c r="W1579" s="27">
        <f>U1579-V1579</f>
        <v/>
      </c>
      <c r="X1579" s="28">
        <f>IFERROR(W1579/U1579,0)</f>
        <v/>
      </c>
    </row>
    <row r="1580">
      <c r="A1580" s="21">
        <f>ItensPedido!A1580</f>
        <v/>
      </c>
      <c r="B1580" s="21">
        <f>ItensPedido!B1580</f>
        <v/>
      </c>
      <c r="C1580" s="21">
        <f>ItensPedido!C1580</f>
        <v/>
      </c>
      <c r="D1580" s="21">
        <f>ItensPedido!D1580</f>
        <v/>
      </c>
      <c r="E1580" s="22">
        <f>ItensPedido!E1580</f>
        <v/>
      </c>
      <c r="F1580" s="21">
        <f>IFERROR(INDEX(Pedidos!$B$2:$B$1801,MATCH(B1580,Pedidos!$A$2:$A$1801,0)),0)</f>
        <v/>
      </c>
      <c r="G1580" s="21">
        <f>IF(F1580=0,"",YEAR(F1580))</f>
        <v/>
      </c>
      <c r="H1580" s="21">
        <f>IF(F1580=0,"",MONTH(F1580))</f>
        <v/>
      </c>
      <c r="I1580" s="21">
        <f>IFERROR(INDEX(Pedidos!$E$2:$E$1801,MATCH(B1580,Pedidos!$A$2:$A$1801,0)),"")</f>
        <v/>
      </c>
      <c r="J1580" s="21">
        <f>IFERROR(INDEX(Pedidos!$C$2:$C$1801,MATCH(B1580,Pedidos!$A$2:$A$1801,0)),"")</f>
        <v/>
      </c>
      <c r="K1580" s="21">
        <f>IFERROR(INDEX(Pedidos!$D$2:$D$1801,MATCH(B1580,Pedidos!$A$2:$A$1801,0)),"")</f>
        <v/>
      </c>
      <c r="L1580" s="21">
        <f>IFERROR(INDEX(Pedidos!$F$2:$F$1801,MATCH(B1580,Pedidos!$A$2:$A$1801,0)),"")</f>
        <v/>
      </c>
      <c r="M1580" s="22">
        <f>IFERROR(INDEX(Pedidos!$G$2:$G$1801,MATCH(B1580,Pedidos!$A$2:$A$1801,0)),0)</f>
        <v/>
      </c>
      <c r="N1580" s="21">
        <f>IFERROR(INDEX(Produtos!$B$2:$B$71,MATCH(C1580,Produtos!$A$2:$A$71,0)),"")</f>
        <v/>
      </c>
      <c r="O1580" s="21">
        <f>IFERROR(INDEX(Produtos!$C$2:$C$71,MATCH(C1580,Produtos!$A$2:$A$71,0)),"")</f>
        <v/>
      </c>
      <c r="P1580" s="21">
        <f>IFERROR(INDEX(Produtos!$D$2:$D$71,MATCH(C1580,Produtos!$A$2:$A$71,0)),0)</f>
        <v/>
      </c>
      <c r="Q1580" s="21">
        <f>IFERROR(INDEX(Produtos!$E$2:$E$71,MATCH(C1580,Produtos!$A$2:$A$71,0)),0)</f>
        <v/>
      </c>
      <c r="R1580" s="23">
        <f>D1580*Q1580</f>
        <v/>
      </c>
      <c r="S1580" s="23">
        <f>R1580*E1580</f>
        <v/>
      </c>
      <c r="T1580" s="23">
        <f>(R1580-S1580)*M1580</f>
        <v/>
      </c>
      <c r="U1580" s="23">
        <f>R1580-S1580-T1580</f>
        <v/>
      </c>
      <c r="V1580" s="23">
        <f>D1580*P1580</f>
        <v/>
      </c>
      <c r="W1580" s="23">
        <f>U1580-V1580</f>
        <v/>
      </c>
      <c r="X1580" s="24">
        <f>IFERROR(W1580/U1580,0)</f>
        <v/>
      </c>
    </row>
    <row r="1581">
      <c r="A1581" s="25">
        <f>ItensPedido!A1581</f>
        <v/>
      </c>
      <c r="B1581" s="25">
        <f>ItensPedido!B1581</f>
        <v/>
      </c>
      <c r="C1581" s="25">
        <f>ItensPedido!C1581</f>
        <v/>
      </c>
      <c r="D1581" s="25">
        <f>ItensPedido!D1581</f>
        <v/>
      </c>
      <c r="E1581" s="26">
        <f>ItensPedido!E1581</f>
        <v/>
      </c>
      <c r="F1581" s="25">
        <f>IFERROR(INDEX(Pedidos!$B$2:$B$1801,MATCH(B1581,Pedidos!$A$2:$A$1801,0)),0)</f>
        <v/>
      </c>
      <c r="G1581" s="25">
        <f>IF(F1581=0,"",YEAR(F1581))</f>
        <v/>
      </c>
      <c r="H1581" s="25">
        <f>IF(F1581=0,"",MONTH(F1581))</f>
        <v/>
      </c>
      <c r="I1581" s="25">
        <f>IFERROR(INDEX(Pedidos!$E$2:$E$1801,MATCH(B1581,Pedidos!$A$2:$A$1801,0)),"")</f>
        <v/>
      </c>
      <c r="J1581" s="25">
        <f>IFERROR(INDEX(Pedidos!$C$2:$C$1801,MATCH(B1581,Pedidos!$A$2:$A$1801,0)),"")</f>
        <v/>
      </c>
      <c r="K1581" s="25">
        <f>IFERROR(INDEX(Pedidos!$D$2:$D$1801,MATCH(B1581,Pedidos!$A$2:$A$1801,0)),"")</f>
        <v/>
      </c>
      <c r="L1581" s="25">
        <f>IFERROR(INDEX(Pedidos!$F$2:$F$1801,MATCH(B1581,Pedidos!$A$2:$A$1801,0)),"")</f>
        <v/>
      </c>
      <c r="M1581" s="26">
        <f>IFERROR(INDEX(Pedidos!$G$2:$G$1801,MATCH(B1581,Pedidos!$A$2:$A$1801,0)),0)</f>
        <v/>
      </c>
      <c r="N1581" s="25">
        <f>IFERROR(INDEX(Produtos!$B$2:$B$71,MATCH(C1581,Produtos!$A$2:$A$71,0)),"")</f>
        <v/>
      </c>
      <c r="O1581" s="25">
        <f>IFERROR(INDEX(Produtos!$C$2:$C$71,MATCH(C1581,Produtos!$A$2:$A$71,0)),"")</f>
        <v/>
      </c>
      <c r="P1581" s="25">
        <f>IFERROR(INDEX(Produtos!$D$2:$D$71,MATCH(C1581,Produtos!$A$2:$A$71,0)),0)</f>
        <v/>
      </c>
      <c r="Q1581" s="25">
        <f>IFERROR(INDEX(Produtos!$E$2:$E$71,MATCH(C1581,Produtos!$A$2:$A$71,0)),0)</f>
        <v/>
      </c>
      <c r="R1581" s="27">
        <f>D1581*Q1581</f>
        <v/>
      </c>
      <c r="S1581" s="27">
        <f>R1581*E1581</f>
        <v/>
      </c>
      <c r="T1581" s="27">
        <f>(R1581-S1581)*M1581</f>
        <v/>
      </c>
      <c r="U1581" s="27">
        <f>R1581-S1581-T1581</f>
        <v/>
      </c>
      <c r="V1581" s="27">
        <f>D1581*P1581</f>
        <v/>
      </c>
      <c r="W1581" s="27">
        <f>U1581-V1581</f>
        <v/>
      </c>
      <c r="X1581" s="28">
        <f>IFERROR(W1581/U1581,0)</f>
        <v/>
      </c>
    </row>
    <row r="1582">
      <c r="A1582" s="21">
        <f>ItensPedido!A1582</f>
        <v/>
      </c>
      <c r="B1582" s="21">
        <f>ItensPedido!B1582</f>
        <v/>
      </c>
      <c r="C1582" s="21">
        <f>ItensPedido!C1582</f>
        <v/>
      </c>
      <c r="D1582" s="21">
        <f>ItensPedido!D1582</f>
        <v/>
      </c>
      <c r="E1582" s="22">
        <f>ItensPedido!E1582</f>
        <v/>
      </c>
      <c r="F1582" s="21">
        <f>IFERROR(INDEX(Pedidos!$B$2:$B$1801,MATCH(B1582,Pedidos!$A$2:$A$1801,0)),0)</f>
        <v/>
      </c>
      <c r="G1582" s="21">
        <f>IF(F1582=0,"",YEAR(F1582))</f>
        <v/>
      </c>
      <c r="H1582" s="21">
        <f>IF(F1582=0,"",MONTH(F1582))</f>
        <v/>
      </c>
      <c r="I1582" s="21">
        <f>IFERROR(INDEX(Pedidos!$E$2:$E$1801,MATCH(B1582,Pedidos!$A$2:$A$1801,0)),"")</f>
        <v/>
      </c>
      <c r="J1582" s="21">
        <f>IFERROR(INDEX(Pedidos!$C$2:$C$1801,MATCH(B1582,Pedidos!$A$2:$A$1801,0)),"")</f>
        <v/>
      </c>
      <c r="K1582" s="21">
        <f>IFERROR(INDEX(Pedidos!$D$2:$D$1801,MATCH(B1582,Pedidos!$A$2:$A$1801,0)),"")</f>
        <v/>
      </c>
      <c r="L1582" s="21">
        <f>IFERROR(INDEX(Pedidos!$F$2:$F$1801,MATCH(B1582,Pedidos!$A$2:$A$1801,0)),"")</f>
        <v/>
      </c>
      <c r="M1582" s="22">
        <f>IFERROR(INDEX(Pedidos!$G$2:$G$1801,MATCH(B1582,Pedidos!$A$2:$A$1801,0)),0)</f>
        <v/>
      </c>
      <c r="N1582" s="21">
        <f>IFERROR(INDEX(Produtos!$B$2:$B$71,MATCH(C1582,Produtos!$A$2:$A$71,0)),"")</f>
        <v/>
      </c>
      <c r="O1582" s="21">
        <f>IFERROR(INDEX(Produtos!$C$2:$C$71,MATCH(C1582,Produtos!$A$2:$A$71,0)),"")</f>
        <v/>
      </c>
      <c r="P1582" s="21">
        <f>IFERROR(INDEX(Produtos!$D$2:$D$71,MATCH(C1582,Produtos!$A$2:$A$71,0)),0)</f>
        <v/>
      </c>
      <c r="Q1582" s="21">
        <f>IFERROR(INDEX(Produtos!$E$2:$E$71,MATCH(C1582,Produtos!$A$2:$A$71,0)),0)</f>
        <v/>
      </c>
      <c r="R1582" s="23">
        <f>D1582*Q1582</f>
        <v/>
      </c>
      <c r="S1582" s="23">
        <f>R1582*E1582</f>
        <v/>
      </c>
      <c r="T1582" s="23">
        <f>(R1582-S1582)*M1582</f>
        <v/>
      </c>
      <c r="U1582" s="23">
        <f>R1582-S1582-T1582</f>
        <v/>
      </c>
      <c r="V1582" s="23">
        <f>D1582*P1582</f>
        <v/>
      </c>
      <c r="W1582" s="23">
        <f>U1582-V1582</f>
        <v/>
      </c>
      <c r="X1582" s="24">
        <f>IFERROR(W1582/U1582,0)</f>
        <v/>
      </c>
    </row>
    <row r="1583">
      <c r="A1583" s="25">
        <f>ItensPedido!A1583</f>
        <v/>
      </c>
      <c r="B1583" s="25">
        <f>ItensPedido!B1583</f>
        <v/>
      </c>
      <c r="C1583" s="25">
        <f>ItensPedido!C1583</f>
        <v/>
      </c>
      <c r="D1583" s="25">
        <f>ItensPedido!D1583</f>
        <v/>
      </c>
      <c r="E1583" s="26">
        <f>ItensPedido!E1583</f>
        <v/>
      </c>
      <c r="F1583" s="25">
        <f>IFERROR(INDEX(Pedidos!$B$2:$B$1801,MATCH(B1583,Pedidos!$A$2:$A$1801,0)),0)</f>
        <v/>
      </c>
      <c r="G1583" s="25">
        <f>IF(F1583=0,"",YEAR(F1583))</f>
        <v/>
      </c>
      <c r="H1583" s="25">
        <f>IF(F1583=0,"",MONTH(F1583))</f>
        <v/>
      </c>
      <c r="I1583" s="25">
        <f>IFERROR(INDEX(Pedidos!$E$2:$E$1801,MATCH(B1583,Pedidos!$A$2:$A$1801,0)),"")</f>
        <v/>
      </c>
      <c r="J1583" s="25">
        <f>IFERROR(INDEX(Pedidos!$C$2:$C$1801,MATCH(B1583,Pedidos!$A$2:$A$1801,0)),"")</f>
        <v/>
      </c>
      <c r="K1583" s="25">
        <f>IFERROR(INDEX(Pedidos!$D$2:$D$1801,MATCH(B1583,Pedidos!$A$2:$A$1801,0)),"")</f>
        <v/>
      </c>
      <c r="L1583" s="25">
        <f>IFERROR(INDEX(Pedidos!$F$2:$F$1801,MATCH(B1583,Pedidos!$A$2:$A$1801,0)),"")</f>
        <v/>
      </c>
      <c r="M1583" s="26">
        <f>IFERROR(INDEX(Pedidos!$G$2:$G$1801,MATCH(B1583,Pedidos!$A$2:$A$1801,0)),0)</f>
        <v/>
      </c>
      <c r="N1583" s="25">
        <f>IFERROR(INDEX(Produtos!$B$2:$B$71,MATCH(C1583,Produtos!$A$2:$A$71,0)),"")</f>
        <v/>
      </c>
      <c r="O1583" s="25">
        <f>IFERROR(INDEX(Produtos!$C$2:$C$71,MATCH(C1583,Produtos!$A$2:$A$71,0)),"")</f>
        <v/>
      </c>
      <c r="P1583" s="25">
        <f>IFERROR(INDEX(Produtos!$D$2:$D$71,MATCH(C1583,Produtos!$A$2:$A$71,0)),0)</f>
        <v/>
      </c>
      <c r="Q1583" s="25">
        <f>IFERROR(INDEX(Produtos!$E$2:$E$71,MATCH(C1583,Produtos!$A$2:$A$71,0)),0)</f>
        <v/>
      </c>
      <c r="R1583" s="27">
        <f>D1583*Q1583</f>
        <v/>
      </c>
      <c r="S1583" s="27">
        <f>R1583*E1583</f>
        <v/>
      </c>
      <c r="T1583" s="27">
        <f>(R1583-S1583)*M1583</f>
        <v/>
      </c>
      <c r="U1583" s="27">
        <f>R1583-S1583-T1583</f>
        <v/>
      </c>
      <c r="V1583" s="27">
        <f>D1583*P1583</f>
        <v/>
      </c>
      <c r="W1583" s="27">
        <f>U1583-V1583</f>
        <v/>
      </c>
      <c r="X1583" s="28">
        <f>IFERROR(W1583/U1583,0)</f>
        <v/>
      </c>
    </row>
    <row r="1584">
      <c r="A1584" s="21">
        <f>ItensPedido!A1584</f>
        <v/>
      </c>
      <c r="B1584" s="21">
        <f>ItensPedido!B1584</f>
        <v/>
      </c>
      <c r="C1584" s="21">
        <f>ItensPedido!C1584</f>
        <v/>
      </c>
      <c r="D1584" s="21">
        <f>ItensPedido!D1584</f>
        <v/>
      </c>
      <c r="E1584" s="22">
        <f>ItensPedido!E1584</f>
        <v/>
      </c>
      <c r="F1584" s="21">
        <f>IFERROR(INDEX(Pedidos!$B$2:$B$1801,MATCH(B1584,Pedidos!$A$2:$A$1801,0)),0)</f>
        <v/>
      </c>
      <c r="G1584" s="21">
        <f>IF(F1584=0,"",YEAR(F1584))</f>
        <v/>
      </c>
      <c r="H1584" s="21">
        <f>IF(F1584=0,"",MONTH(F1584))</f>
        <v/>
      </c>
      <c r="I1584" s="21">
        <f>IFERROR(INDEX(Pedidos!$E$2:$E$1801,MATCH(B1584,Pedidos!$A$2:$A$1801,0)),"")</f>
        <v/>
      </c>
      <c r="J1584" s="21">
        <f>IFERROR(INDEX(Pedidos!$C$2:$C$1801,MATCH(B1584,Pedidos!$A$2:$A$1801,0)),"")</f>
        <v/>
      </c>
      <c r="K1584" s="21">
        <f>IFERROR(INDEX(Pedidos!$D$2:$D$1801,MATCH(B1584,Pedidos!$A$2:$A$1801,0)),"")</f>
        <v/>
      </c>
      <c r="L1584" s="21">
        <f>IFERROR(INDEX(Pedidos!$F$2:$F$1801,MATCH(B1584,Pedidos!$A$2:$A$1801,0)),"")</f>
        <v/>
      </c>
      <c r="M1584" s="22">
        <f>IFERROR(INDEX(Pedidos!$G$2:$G$1801,MATCH(B1584,Pedidos!$A$2:$A$1801,0)),0)</f>
        <v/>
      </c>
      <c r="N1584" s="21">
        <f>IFERROR(INDEX(Produtos!$B$2:$B$71,MATCH(C1584,Produtos!$A$2:$A$71,0)),"")</f>
        <v/>
      </c>
      <c r="O1584" s="21">
        <f>IFERROR(INDEX(Produtos!$C$2:$C$71,MATCH(C1584,Produtos!$A$2:$A$71,0)),"")</f>
        <v/>
      </c>
      <c r="P1584" s="21">
        <f>IFERROR(INDEX(Produtos!$D$2:$D$71,MATCH(C1584,Produtos!$A$2:$A$71,0)),0)</f>
        <v/>
      </c>
      <c r="Q1584" s="21">
        <f>IFERROR(INDEX(Produtos!$E$2:$E$71,MATCH(C1584,Produtos!$A$2:$A$71,0)),0)</f>
        <v/>
      </c>
      <c r="R1584" s="23">
        <f>D1584*Q1584</f>
        <v/>
      </c>
      <c r="S1584" s="23">
        <f>R1584*E1584</f>
        <v/>
      </c>
      <c r="T1584" s="23">
        <f>(R1584-S1584)*M1584</f>
        <v/>
      </c>
      <c r="U1584" s="23">
        <f>R1584-S1584-T1584</f>
        <v/>
      </c>
      <c r="V1584" s="23">
        <f>D1584*P1584</f>
        <v/>
      </c>
      <c r="W1584" s="23">
        <f>U1584-V1584</f>
        <v/>
      </c>
      <c r="X1584" s="24">
        <f>IFERROR(W1584/U1584,0)</f>
        <v/>
      </c>
    </row>
    <row r="1585">
      <c r="A1585" s="25">
        <f>ItensPedido!A1585</f>
        <v/>
      </c>
      <c r="B1585" s="25">
        <f>ItensPedido!B1585</f>
        <v/>
      </c>
      <c r="C1585" s="25">
        <f>ItensPedido!C1585</f>
        <v/>
      </c>
      <c r="D1585" s="25">
        <f>ItensPedido!D1585</f>
        <v/>
      </c>
      <c r="E1585" s="26">
        <f>ItensPedido!E1585</f>
        <v/>
      </c>
      <c r="F1585" s="25">
        <f>IFERROR(INDEX(Pedidos!$B$2:$B$1801,MATCH(B1585,Pedidos!$A$2:$A$1801,0)),0)</f>
        <v/>
      </c>
      <c r="G1585" s="25">
        <f>IF(F1585=0,"",YEAR(F1585))</f>
        <v/>
      </c>
      <c r="H1585" s="25">
        <f>IF(F1585=0,"",MONTH(F1585))</f>
        <v/>
      </c>
      <c r="I1585" s="25">
        <f>IFERROR(INDEX(Pedidos!$E$2:$E$1801,MATCH(B1585,Pedidos!$A$2:$A$1801,0)),"")</f>
        <v/>
      </c>
      <c r="J1585" s="25">
        <f>IFERROR(INDEX(Pedidos!$C$2:$C$1801,MATCH(B1585,Pedidos!$A$2:$A$1801,0)),"")</f>
        <v/>
      </c>
      <c r="K1585" s="25">
        <f>IFERROR(INDEX(Pedidos!$D$2:$D$1801,MATCH(B1585,Pedidos!$A$2:$A$1801,0)),"")</f>
        <v/>
      </c>
      <c r="L1585" s="25">
        <f>IFERROR(INDEX(Pedidos!$F$2:$F$1801,MATCH(B1585,Pedidos!$A$2:$A$1801,0)),"")</f>
        <v/>
      </c>
      <c r="M1585" s="26">
        <f>IFERROR(INDEX(Pedidos!$G$2:$G$1801,MATCH(B1585,Pedidos!$A$2:$A$1801,0)),0)</f>
        <v/>
      </c>
      <c r="N1585" s="25">
        <f>IFERROR(INDEX(Produtos!$B$2:$B$71,MATCH(C1585,Produtos!$A$2:$A$71,0)),"")</f>
        <v/>
      </c>
      <c r="O1585" s="25">
        <f>IFERROR(INDEX(Produtos!$C$2:$C$71,MATCH(C1585,Produtos!$A$2:$A$71,0)),"")</f>
        <v/>
      </c>
      <c r="P1585" s="25">
        <f>IFERROR(INDEX(Produtos!$D$2:$D$71,MATCH(C1585,Produtos!$A$2:$A$71,0)),0)</f>
        <v/>
      </c>
      <c r="Q1585" s="25">
        <f>IFERROR(INDEX(Produtos!$E$2:$E$71,MATCH(C1585,Produtos!$A$2:$A$71,0)),0)</f>
        <v/>
      </c>
      <c r="R1585" s="27">
        <f>D1585*Q1585</f>
        <v/>
      </c>
      <c r="S1585" s="27">
        <f>R1585*E1585</f>
        <v/>
      </c>
      <c r="T1585" s="27">
        <f>(R1585-S1585)*M1585</f>
        <v/>
      </c>
      <c r="U1585" s="27">
        <f>R1585-S1585-T1585</f>
        <v/>
      </c>
      <c r="V1585" s="27">
        <f>D1585*P1585</f>
        <v/>
      </c>
      <c r="W1585" s="27">
        <f>U1585-V1585</f>
        <v/>
      </c>
      <c r="X1585" s="28">
        <f>IFERROR(W1585/U1585,0)</f>
        <v/>
      </c>
    </row>
    <row r="1586">
      <c r="A1586" s="21">
        <f>ItensPedido!A1586</f>
        <v/>
      </c>
      <c r="B1586" s="21">
        <f>ItensPedido!B1586</f>
        <v/>
      </c>
      <c r="C1586" s="21">
        <f>ItensPedido!C1586</f>
        <v/>
      </c>
      <c r="D1586" s="21">
        <f>ItensPedido!D1586</f>
        <v/>
      </c>
      <c r="E1586" s="22">
        <f>ItensPedido!E1586</f>
        <v/>
      </c>
      <c r="F1586" s="21">
        <f>IFERROR(INDEX(Pedidos!$B$2:$B$1801,MATCH(B1586,Pedidos!$A$2:$A$1801,0)),0)</f>
        <v/>
      </c>
      <c r="G1586" s="21">
        <f>IF(F1586=0,"",YEAR(F1586))</f>
        <v/>
      </c>
      <c r="H1586" s="21">
        <f>IF(F1586=0,"",MONTH(F1586))</f>
        <v/>
      </c>
      <c r="I1586" s="21">
        <f>IFERROR(INDEX(Pedidos!$E$2:$E$1801,MATCH(B1586,Pedidos!$A$2:$A$1801,0)),"")</f>
        <v/>
      </c>
      <c r="J1586" s="21">
        <f>IFERROR(INDEX(Pedidos!$C$2:$C$1801,MATCH(B1586,Pedidos!$A$2:$A$1801,0)),"")</f>
        <v/>
      </c>
      <c r="K1586" s="21">
        <f>IFERROR(INDEX(Pedidos!$D$2:$D$1801,MATCH(B1586,Pedidos!$A$2:$A$1801,0)),"")</f>
        <v/>
      </c>
      <c r="L1586" s="21">
        <f>IFERROR(INDEX(Pedidos!$F$2:$F$1801,MATCH(B1586,Pedidos!$A$2:$A$1801,0)),"")</f>
        <v/>
      </c>
      <c r="M1586" s="22">
        <f>IFERROR(INDEX(Pedidos!$G$2:$G$1801,MATCH(B1586,Pedidos!$A$2:$A$1801,0)),0)</f>
        <v/>
      </c>
      <c r="N1586" s="21">
        <f>IFERROR(INDEX(Produtos!$B$2:$B$71,MATCH(C1586,Produtos!$A$2:$A$71,0)),"")</f>
        <v/>
      </c>
      <c r="O1586" s="21">
        <f>IFERROR(INDEX(Produtos!$C$2:$C$71,MATCH(C1586,Produtos!$A$2:$A$71,0)),"")</f>
        <v/>
      </c>
      <c r="P1586" s="21">
        <f>IFERROR(INDEX(Produtos!$D$2:$D$71,MATCH(C1586,Produtos!$A$2:$A$71,0)),0)</f>
        <v/>
      </c>
      <c r="Q1586" s="21">
        <f>IFERROR(INDEX(Produtos!$E$2:$E$71,MATCH(C1586,Produtos!$A$2:$A$71,0)),0)</f>
        <v/>
      </c>
      <c r="R1586" s="23">
        <f>D1586*Q1586</f>
        <v/>
      </c>
      <c r="S1586" s="23">
        <f>R1586*E1586</f>
        <v/>
      </c>
      <c r="T1586" s="23">
        <f>(R1586-S1586)*M1586</f>
        <v/>
      </c>
      <c r="U1586" s="23">
        <f>R1586-S1586-T1586</f>
        <v/>
      </c>
      <c r="V1586" s="23">
        <f>D1586*P1586</f>
        <v/>
      </c>
      <c r="W1586" s="23">
        <f>U1586-V1586</f>
        <v/>
      </c>
      <c r="X1586" s="24">
        <f>IFERROR(W1586/U1586,0)</f>
        <v/>
      </c>
    </row>
    <row r="1587">
      <c r="A1587" s="25">
        <f>ItensPedido!A1587</f>
        <v/>
      </c>
      <c r="B1587" s="25">
        <f>ItensPedido!B1587</f>
        <v/>
      </c>
      <c r="C1587" s="25">
        <f>ItensPedido!C1587</f>
        <v/>
      </c>
      <c r="D1587" s="25">
        <f>ItensPedido!D1587</f>
        <v/>
      </c>
      <c r="E1587" s="26">
        <f>ItensPedido!E1587</f>
        <v/>
      </c>
      <c r="F1587" s="25">
        <f>IFERROR(INDEX(Pedidos!$B$2:$B$1801,MATCH(B1587,Pedidos!$A$2:$A$1801,0)),0)</f>
        <v/>
      </c>
      <c r="G1587" s="25">
        <f>IF(F1587=0,"",YEAR(F1587))</f>
        <v/>
      </c>
      <c r="H1587" s="25">
        <f>IF(F1587=0,"",MONTH(F1587))</f>
        <v/>
      </c>
      <c r="I1587" s="25">
        <f>IFERROR(INDEX(Pedidos!$E$2:$E$1801,MATCH(B1587,Pedidos!$A$2:$A$1801,0)),"")</f>
        <v/>
      </c>
      <c r="J1587" s="25">
        <f>IFERROR(INDEX(Pedidos!$C$2:$C$1801,MATCH(B1587,Pedidos!$A$2:$A$1801,0)),"")</f>
        <v/>
      </c>
      <c r="K1587" s="25">
        <f>IFERROR(INDEX(Pedidos!$D$2:$D$1801,MATCH(B1587,Pedidos!$A$2:$A$1801,0)),"")</f>
        <v/>
      </c>
      <c r="L1587" s="25">
        <f>IFERROR(INDEX(Pedidos!$F$2:$F$1801,MATCH(B1587,Pedidos!$A$2:$A$1801,0)),"")</f>
        <v/>
      </c>
      <c r="M1587" s="26">
        <f>IFERROR(INDEX(Pedidos!$G$2:$G$1801,MATCH(B1587,Pedidos!$A$2:$A$1801,0)),0)</f>
        <v/>
      </c>
      <c r="N1587" s="25">
        <f>IFERROR(INDEX(Produtos!$B$2:$B$71,MATCH(C1587,Produtos!$A$2:$A$71,0)),"")</f>
        <v/>
      </c>
      <c r="O1587" s="25">
        <f>IFERROR(INDEX(Produtos!$C$2:$C$71,MATCH(C1587,Produtos!$A$2:$A$71,0)),"")</f>
        <v/>
      </c>
      <c r="P1587" s="25">
        <f>IFERROR(INDEX(Produtos!$D$2:$D$71,MATCH(C1587,Produtos!$A$2:$A$71,0)),0)</f>
        <v/>
      </c>
      <c r="Q1587" s="25">
        <f>IFERROR(INDEX(Produtos!$E$2:$E$71,MATCH(C1587,Produtos!$A$2:$A$71,0)),0)</f>
        <v/>
      </c>
      <c r="R1587" s="27">
        <f>D1587*Q1587</f>
        <v/>
      </c>
      <c r="S1587" s="27">
        <f>R1587*E1587</f>
        <v/>
      </c>
      <c r="T1587" s="27">
        <f>(R1587-S1587)*M1587</f>
        <v/>
      </c>
      <c r="U1587" s="27">
        <f>R1587-S1587-T1587</f>
        <v/>
      </c>
      <c r="V1587" s="27">
        <f>D1587*P1587</f>
        <v/>
      </c>
      <c r="W1587" s="27">
        <f>U1587-V1587</f>
        <v/>
      </c>
      <c r="X1587" s="28">
        <f>IFERROR(W1587/U1587,0)</f>
        <v/>
      </c>
    </row>
    <row r="1588">
      <c r="A1588" s="21">
        <f>ItensPedido!A1588</f>
        <v/>
      </c>
      <c r="B1588" s="21">
        <f>ItensPedido!B1588</f>
        <v/>
      </c>
      <c r="C1588" s="21">
        <f>ItensPedido!C1588</f>
        <v/>
      </c>
      <c r="D1588" s="21">
        <f>ItensPedido!D1588</f>
        <v/>
      </c>
      <c r="E1588" s="22">
        <f>ItensPedido!E1588</f>
        <v/>
      </c>
      <c r="F1588" s="21">
        <f>IFERROR(INDEX(Pedidos!$B$2:$B$1801,MATCH(B1588,Pedidos!$A$2:$A$1801,0)),0)</f>
        <v/>
      </c>
      <c r="G1588" s="21">
        <f>IF(F1588=0,"",YEAR(F1588))</f>
        <v/>
      </c>
      <c r="H1588" s="21">
        <f>IF(F1588=0,"",MONTH(F1588))</f>
        <v/>
      </c>
      <c r="I1588" s="21">
        <f>IFERROR(INDEX(Pedidos!$E$2:$E$1801,MATCH(B1588,Pedidos!$A$2:$A$1801,0)),"")</f>
        <v/>
      </c>
      <c r="J1588" s="21">
        <f>IFERROR(INDEX(Pedidos!$C$2:$C$1801,MATCH(B1588,Pedidos!$A$2:$A$1801,0)),"")</f>
        <v/>
      </c>
      <c r="K1588" s="21">
        <f>IFERROR(INDEX(Pedidos!$D$2:$D$1801,MATCH(B1588,Pedidos!$A$2:$A$1801,0)),"")</f>
        <v/>
      </c>
      <c r="L1588" s="21">
        <f>IFERROR(INDEX(Pedidos!$F$2:$F$1801,MATCH(B1588,Pedidos!$A$2:$A$1801,0)),"")</f>
        <v/>
      </c>
      <c r="M1588" s="22">
        <f>IFERROR(INDEX(Pedidos!$G$2:$G$1801,MATCH(B1588,Pedidos!$A$2:$A$1801,0)),0)</f>
        <v/>
      </c>
      <c r="N1588" s="21">
        <f>IFERROR(INDEX(Produtos!$B$2:$B$71,MATCH(C1588,Produtos!$A$2:$A$71,0)),"")</f>
        <v/>
      </c>
      <c r="O1588" s="21">
        <f>IFERROR(INDEX(Produtos!$C$2:$C$71,MATCH(C1588,Produtos!$A$2:$A$71,0)),"")</f>
        <v/>
      </c>
      <c r="P1588" s="21">
        <f>IFERROR(INDEX(Produtos!$D$2:$D$71,MATCH(C1588,Produtos!$A$2:$A$71,0)),0)</f>
        <v/>
      </c>
      <c r="Q1588" s="21">
        <f>IFERROR(INDEX(Produtos!$E$2:$E$71,MATCH(C1588,Produtos!$A$2:$A$71,0)),0)</f>
        <v/>
      </c>
      <c r="R1588" s="23">
        <f>D1588*Q1588</f>
        <v/>
      </c>
      <c r="S1588" s="23">
        <f>R1588*E1588</f>
        <v/>
      </c>
      <c r="T1588" s="23">
        <f>(R1588-S1588)*M1588</f>
        <v/>
      </c>
      <c r="U1588" s="23">
        <f>R1588-S1588-T1588</f>
        <v/>
      </c>
      <c r="V1588" s="23">
        <f>D1588*P1588</f>
        <v/>
      </c>
      <c r="W1588" s="23">
        <f>U1588-V1588</f>
        <v/>
      </c>
      <c r="X1588" s="24">
        <f>IFERROR(W1588/U1588,0)</f>
        <v/>
      </c>
    </row>
    <row r="1589">
      <c r="A1589" s="25">
        <f>ItensPedido!A1589</f>
        <v/>
      </c>
      <c r="B1589" s="25">
        <f>ItensPedido!B1589</f>
        <v/>
      </c>
      <c r="C1589" s="25">
        <f>ItensPedido!C1589</f>
        <v/>
      </c>
      <c r="D1589" s="25">
        <f>ItensPedido!D1589</f>
        <v/>
      </c>
      <c r="E1589" s="26">
        <f>ItensPedido!E1589</f>
        <v/>
      </c>
      <c r="F1589" s="25">
        <f>IFERROR(INDEX(Pedidos!$B$2:$B$1801,MATCH(B1589,Pedidos!$A$2:$A$1801,0)),0)</f>
        <v/>
      </c>
      <c r="G1589" s="25">
        <f>IF(F1589=0,"",YEAR(F1589))</f>
        <v/>
      </c>
      <c r="H1589" s="25">
        <f>IF(F1589=0,"",MONTH(F1589))</f>
        <v/>
      </c>
      <c r="I1589" s="25">
        <f>IFERROR(INDEX(Pedidos!$E$2:$E$1801,MATCH(B1589,Pedidos!$A$2:$A$1801,0)),"")</f>
        <v/>
      </c>
      <c r="J1589" s="25">
        <f>IFERROR(INDEX(Pedidos!$C$2:$C$1801,MATCH(B1589,Pedidos!$A$2:$A$1801,0)),"")</f>
        <v/>
      </c>
      <c r="K1589" s="25">
        <f>IFERROR(INDEX(Pedidos!$D$2:$D$1801,MATCH(B1589,Pedidos!$A$2:$A$1801,0)),"")</f>
        <v/>
      </c>
      <c r="L1589" s="25">
        <f>IFERROR(INDEX(Pedidos!$F$2:$F$1801,MATCH(B1589,Pedidos!$A$2:$A$1801,0)),"")</f>
        <v/>
      </c>
      <c r="M1589" s="26">
        <f>IFERROR(INDEX(Pedidos!$G$2:$G$1801,MATCH(B1589,Pedidos!$A$2:$A$1801,0)),0)</f>
        <v/>
      </c>
      <c r="N1589" s="25">
        <f>IFERROR(INDEX(Produtos!$B$2:$B$71,MATCH(C1589,Produtos!$A$2:$A$71,0)),"")</f>
        <v/>
      </c>
      <c r="O1589" s="25">
        <f>IFERROR(INDEX(Produtos!$C$2:$C$71,MATCH(C1589,Produtos!$A$2:$A$71,0)),"")</f>
        <v/>
      </c>
      <c r="P1589" s="25">
        <f>IFERROR(INDEX(Produtos!$D$2:$D$71,MATCH(C1589,Produtos!$A$2:$A$71,0)),0)</f>
        <v/>
      </c>
      <c r="Q1589" s="25">
        <f>IFERROR(INDEX(Produtos!$E$2:$E$71,MATCH(C1589,Produtos!$A$2:$A$71,0)),0)</f>
        <v/>
      </c>
      <c r="R1589" s="27">
        <f>D1589*Q1589</f>
        <v/>
      </c>
      <c r="S1589" s="27">
        <f>R1589*E1589</f>
        <v/>
      </c>
      <c r="T1589" s="27">
        <f>(R1589-S1589)*M1589</f>
        <v/>
      </c>
      <c r="U1589" s="27">
        <f>R1589-S1589-T1589</f>
        <v/>
      </c>
      <c r="V1589" s="27">
        <f>D1589*P1589</f>
        <v/>
      </c>
      <c r="W1589" s="27">
        <f>U1589-V1589</f>
        <v/>
      </c>
      <c r="X1589" s="28">
        <f>IFERROR(W1589/U1589,0)</f>
        <v/>
      </c>
    </row>
    <row r="1590">
      <c r="A1590" s="21">
        <f>ItensPedido!A1590</f>
        <v/>
      </c>
      <c r="B1590" s="21">
        <f>ItensPedido!B1590</f>
        <v/>
      </c>
      <c r="C1590" s="21">
        <f>ItensPedido!C1590</f>
        <v/>
      </c>
      <c r="D1590" s="21">
        <f>ItensPedido!D1590</f>
        <v/>
      </c>
      <c r="E1590" s="22">
        <f>ItensPedido!E1590</f>
        <v/>
      </c>
      <c r="F1590" s="21">
        <f>IFERROR(INDEX(Pedidos!$B$2:$B$1801,MATCH(B1590,Pedidos!$A$2:$A$1801,0)),0)</f>
        <v/>
      </c>
      <c r="G1590" s="21">
        <f>IF(F1590=0,"",YEAR(F1590))</f>
        <v/>
      </c>
      <c r="H1590" s="21">
        <f>IF(F1590=0,"",MONTH(F1590))</f>
        <v/>
      </c>
      <c r="I1590" s="21">
        <f>IFERROR(INDEX(Pedidos!$E$2:$E$1801,MATCH(B1590,Pedidos!$A$2:$A$1801,0)),"")</f>
        <v/>
      </c>
      <c r="J1590" s="21">
        <f>IFERROR(INDEX(Pedidos!$C$2:$C$1801,MATCH(B1590,Pedidos!$A$2:$A$1801,0)),"")</f>
        <v/>
      </c>
      <c r="K1590" s="21">
        <f>IFERROR(INDEX(Pedidos!$D$2:$D$1801,MATCH(B1590,Pedidos!$A$2:$A$1801,0)),"")</f>
        <v/>
      </c>
      <c r="L1590" s="21">
        <f>IFERROR(INDEX(Pedidos!$F$2:$F$1801,MATCH(B1590,Pedidos!$A$2:$A$1801,0)),"")</f>
        <v/>
      </c>
      <c r="M1590" s="22">
        <f>IFERROR(INDEX(Pedidos!$G$2:$G$1801,MATCH(B1590,Pedidos!$A$2:$A$1801,0)),0)</f>
        <v/>
      </c>
      <c r="N1590" s="21">
        <f>IFERROR(INDEX(Produtos!$B$2:$B$71,MATCH(C1590,Produtos!$A$2:$A$71,0)),"")</f>
        <v/>
      </c>
      <c r="O1590" s="21">
        <f>IFERROR(INDEX(Produtos!$C$2:$C$71,MATCH(C1590,Produtos!$A$2:$A$71,0)),"")</f>
        <v/>
      </c>
      <c r="P1590" s="21">
        <f>IFERROR(INDEX(Produtos!$D$2:$D$71,MATCH(C1590,Produtos!$A$2:$A$71,0)),0)</f>
        <v/>
      </c>
      <c r="Q1590" s="21">
        <f>IFERROR(INDEX(Produtos!$E$2:$E$71,MATCH(C1590,Produtos!$A$2:$A$71,0)),0)</f>
        <v/>
      </c>
      <c r="R1590" s="23">
        <f>D1590*Q1590</f>
        <v/>
      </c>
      <c r="S1590" s="23">
        <f>R1590*E1590</f>
        <v/>
      </c>
      <c r="T1590" s="23">
        <f>(R1590-S1590)*M1590</f>
        <v/>
      </c>
      <c r="U1590" s="23">
        <f>R1590-S1590-T1590</f>
        <v/>
      </c>
      <c r="V1590" s="23">
        <f>D1590*P1590</f>
        <v/>
      </c>
      <c r="W1590" s="23">
        <f>U1590-V1590</f>
        <v/>
      </c>
      <c r="X1590" s="24">
        <f>IFERROR(W1590/U1590,0)</f>
        <v/>
      </c>
    </row>
    <row r="1591">
      <c r="A1591" s="25">
        <f>ItensPedido!A1591</f>
        <v/>
      </c>
      <c r="B1591" s="25">
        <f>ItensPedido!B1591</f>
        <v/>
      </c>
      <c r="C1591" s="25">
        <f>ItensPedido!C1591</f>
        <v/>
      </c>
      <c r="D1591" s="25">
        <f>ItensPedido!D1591</f>
        <v/>
      </c>
      <c r="E1591" s="26">
        <f>ItensPedido!E1591</f>
        <v/>
      </c>
      <c r="F1591" s="25">
        <f>IFERROR(INDEX(Pedidos!$B$2:$B$1801,MATCH(B1591,Pedidos!$A$2:$A$1801,0)),0)</f>
        <v/>
      </c>
      <c r="G1591" s="25">
        <f>IF(F1591=0,"",YEAR(F1591))</f>
        <v/>
      </c>
      <c r="H1591" s="25">
        <f>IF(F1591=0,"",MONTH(F1591))</f>
        <v/>
      </c>
      <c r="I1591" s="25">
        <f>IFERROR(INDEX(Pedidos!$E$2:$E$1801,MATCH(B1591,Pedidos!$A$2:$A$1801,0)),"")</f>
        <v/>
      </c>
      <c r="J1591" s="25">
        <f>IFERROR(INDEX(Pedidos!$C$2:$C$1801,MATCH(B1591,Pedidos!$A$2:$A$1801,0)),"")</f>
        <v/>
      </c>
      <c r="K1591" s="25">
        <f>IFERROR(INDEX(Pedidos!$D$2:$D$1801,MATCH(B1591,Pedidos!$A$2:$A$1801,0)),"")</f>
        <v/>
      </c>
      <c r="L1591" s="25">
        <f>IFERROR(INDEX(Pedidos!$F$2:$F$1801,MATCH(B1591,Pedidos!$A$2:$A$1801,0)),"")</f>
        <v/>
      </c>
      <c r="M1591" s="26">
        <f>IFERROR(INDEX(Pedidos!$G$2:$G$1801,MATCH(B1591,Pedidos!$A$2:$A$1801,0)),0)</f>
        <v/>
      </c>
      <c r="N1591" s="25">
        <f>IFERROR(INDEX(Produtos!$B$2:$B$71,MATCH(C1591,Produtos!$A$2:$A$71,0)),"")</f>
        <v/>
      </c>
      <c r="O1591" s="25">
        <f>IFERROR(INDEX(Produtos!$C$2:$C$71,MATCH(C1591,Produtos!$A$2:$A$71,0)),"")</f>
        <v/>
      </c>
      <c r="P1591" s="25">
        <f>IFERROR(INDEX(Produtos!$D$2:$D$71,MATCH(C1591,Produtos!$A$2:$A$71,0)),0)</f>
        <v/>
      </c>
      <c r="Q1591" s="25">
        <f>IFERROR(INDEX(Produtos!$E$2:$E$71,MATCH(C1591,Produtos!$A$2:$A$71,0)),0)</f>
        <v/>
      </c>
      <c r="R1591" s="27">
        <f>D1591*Q1591</f>
        <v/>
      </c>
      <c r="S1591" s="27">
        <f>R1591*E1591</f>
        <v/>
      </c>
      <c r="T1591" s="27">
        <f>(R1591-S1591)*M1591</f>
        <v/>
      </c>
      <c r="U1591" s="27">
        <f>R1591-S1591-T1591</f>
        <v/>
      </c>
      <c r="V1591" s="27">
        <f>D1591*P1591</f>
        <v/>
      </c>
      <c r="W1591" s="27">
        <f>U1591-V1591</f>
        <v/>
      </c>
      <c r="X1591" s="28">
        <f>IFERROR(W1591/U1591,0)</f>
        <v/>
      </c>
    </row>
    <row r="1592">
      <c r="A1592" s="21">
        <f>ItensPedido!A1592</f>
        <v/>
      </c>
      <c r="B1592" s="21">
        <f>ItensPedido!B1592</f>
        <v/>
      </c>
      <c r="C1592" s="21">
        <f>ItensPedido!C1592</f>
        <v/>
      </c>
      <c r="D1592" s="21">
        <f>ItensPedido!D1592</f>
        <v/>
      </c>
      <c r="E1592" s="22">
        <f>ItensPedido!E1592</f>
        <v/>
      </c>
      <c r="F1592" s="21">
        <f>IFERROR(INDEX(Pedidos!$B$2:$B$1801,MATCH(B1592,Pedidos!$A$2:$A$1801,0)),0)</f>
        <v/>
      </c>
      <c r="G1592" s="21">
        <f>IF(F1592=0,"",YEAR(F1592))</f>
        <v/>
      </c>
      <c r="H1592" s="21">
        <f>IF(F1592=0,"",MONTH(F1592))</f>
        <v/>
      </c>
      <c r="I1592" s="21">
        <f>IFERROR(INDEX(Pedidos!$E$2:$E$1801,MATCH(B1592,Pedidos!$A$2:$A$1801,0)),"")</f>
        <v/>
      </c>
      <c r="J1592" s="21">
        <f>IFERROR(INDEX(Pedidos!$C$2:$C$1801,MATCH(B1592,Pedidos!$A$2:$A$1801,0)),"")</f>
        <v/>
      </c>
      <c r="K1592" s="21">
        <f>IFERROR(INDEX(Pedidos!$D$2:$D$1801,MATCH(B1592,Pedidos!$A$2:$A$1801,0)),"")</f>
        <v/>
      </c>
      <c r="L1592" s="21">
        <f>IFERROR(INDEX(Pedidos!$F$2:$F$1801,MATCH(B1592,Pedidos!$A$2:$A$1801,0)),"")</f>
        <v/>
      </c>
      <c r="M1592" s="22">
        <f>IFERROR(INDEX(Pedidos!$G$2:$G$1801,MATCH(B1592,Pedidos!$A$2:$A$1801,0)),0)</f>
        <v/>
      </c>
      <c r="N1592" s="21">
        <f>IFERROR(INDEX(Produtos!$B$2:$B$71,MATCH(C1592,Produtos!$A$2:$A$71,0)),"")</f>
        <v/>
      </c>
      <c r="O1592" s="21">
        <f>IFERROR(INDEX(Produtos!$C$2:$C$71,MATCH(C1592,Produtos!$A$2:$A$71,0)),"")</f>
        <v/>
      </c>
      <c r="P1592" s="21">
        <f>IFERROR(INDEX(Produtos!$D$2:$D$71,MATCH(C1592,Produtos!$A$2:$A$71,0)),0)</f>
        <v/>
      </c>
      <c r="Q1592" s="21">
        <f>IFERROR(INDEX(Produtos!$E$2:$E$71,MATCH(C1592,Produtos!$A$2:$A$71,0)),0)</f>
        <v/>
      </c>
      <c r="R1592" s="23">
        <f>D1592*Q1592</f>
        <v/>
      </c>
      <c r="S1592" s="23">
        <f>R1592*E1592</f>
        <v/>
      </c>
      <c r="T1592" s="23">
        <f>(R1592-S1592)*M1592</f>
        <v/>
      </c>
      <c r="U1592" s="23">
        <f>R1592-S1592-T1592</f>
        <v/>
      </c>
      <c r="V1592" s="23">
        <f>D1592*P1592</f>
        <v/>
      </c>
      <c r="W1592" s="23">
        <f>U1592-V1592</f>
        <v/>
      </c>
      <c r="X1592" s="24">
        <f>IFERROR(W1592/U1592,0)</f>
        <v/>
      </c>
    </row>
    <row r="1593">
      <c r="A1593" s="25">
        <f>ItensPedido!A1593</f>
        <v/>
      </c>
      <c r="B1593" s="25">
        <f>ItensPedido!B1593</f>
        <v/>
      </c>
      <c r="C1593" s="25">
        <f>ItensPedido!C1593</f>
        <v/>
      </c>
      <c r="D1593" s="25">
        <f>ItensPedido!D1593</f>
        <v/>
      </c>
      <c r="E1593" s="26">
        <f>ItensPedido!E1593</f>
        <v/>
      </c>
      <c r="F1593" s="25">
        <f>IFERROR(INDEX(Pedidos!$B$2:$B$1801,MATCH(B1593,Pedidos!$A$2:$A$1801,0)),0)</f>
        <v/>
      </c>
      <c r="G1593" s="25">
        <f>IF(F1593=0,"",YEAR(F1593))</f>
        <v/>
      </c>
      <c r="H1593" s="25">
        <f>IF(F1593=0,"",MONTH(F1593))</f>
        <v/>
      </c>
      <c r="I1593" s="25">
        <f>IFERROR(INDEX(Pedidos!$E$2:$E$1801,MATCH(B1593,Pedidos!$A$2:$A$1801,0)),"")</f>
        <v/>
      </c>
      <c r="J1593" s="25">
        <f>IFERROR(INDEX(Pedidos!$C$2:$C$1801,MATCH(B1593,Pedidos!$A$2:$A$1801,0)),"")</f>
        <v/>
      </c>
      <c r="K1593" s="25">
        <f>IFERROR(INDEX(Pedidos!$D$2:$D$1801,MATCH(B1593,Pedidos!$A$2:$A$1801,0)),"")</f>
        <v/>
      </c>
      <c r="L1593" s="25">
        <f>IFERROR(INDEX(Pedidos!$F$2:$F$1801,MATCH(B1593,Pedidos!$A$2:$A$1801,0)),"")</f>
        <v/>
      </c>
      <c r="M1593" s="26">
        <f>IFERROR(INDEX(Pedidos!$G$2:$G$1801,MATCH(B1593,Pedidos!$A$2:$A$1801,0)),0)</f>
        <v/>
      </c>
      <c r="N1593" s="25">
        <f>IFERROR(INDEX(Produtos!$B$2:$B$71,MATCH(C1593,Produtos!$A$2:$A$71,0)),"")</f>
        <v/>
      </c>
      <c r="O1593" s="25">
        <f>IFERROR(INDEX(Produtos!$C$2:$C$71,MATCH(C1593,Produtos!$A$2:$A$71,0)),"")</f>
        <v/>
      </c>
      <c r="P1593" s="25">
        <f>IFERROR(INDEX(Produtos!$D$2:$D$71,MATCH(C1593,Produtos!$A$2:$A$71,0)),0)</f>
        <v/>
      </c>
      <c r="Q1593" s="25">
        <f>IFERROR(INDEX(Produtos!$E$2:$E$71,MATCH(C1593,Produtos!$A$2:$A$71,0)),0)</f>
        <v/>
      </c>
      <c r="R1593" s="27">
        <f>D1593*Q1593</f>
        <v/>
      </c>
      <c r="S1593" s="27">
        <f>R1593*E1593</f>
        <v/>
      </c>
      <c r="T1593" s="27">
        <f>(R1593-S1593)*M1593</f>
        <v/>
      </c>
      <c r="U1593" s="27">
        <f>R1593-S1593-T1593</f>
        <v/>
      </c>
      <c r="V1593" s="27">
        <f>D1593*P1593</f>
        <v/>
      </c>
      <c r="W1593" s="27">
        <f>U1593-V1593</f>
        <v/>
      </c>
      <c r="X1593" s="28">
        <f>IFERROR(W1593/U1593,0)</f>
        <v/>
      </c>
    </row>
    <row r="1594">
      <c r="A1594" s="21">
        <f>ItensPedido!A1594</f>
        <v/>
      </c>
      <c r="B1594" s="21">
        <f>ItensPedido!B1594</f>
        <v/>
      </c>
      <c r="C1594" s="21">
        <f>ItensPedido!C1594</f>
        <v/>
      </c>
      <c r="D1594" s="21">
        <f>ItensPedido!D1594</f>
        <v/>
      </c>
      <c r="E1594" s="22">
        <f>ItensPedido!E1594</f>
        <v/>
      </c>
      <c r="F1594" s="21">
        <f>IFERROR(INDEX(Pedidos!$B$2:$B$1801,MATCH(B1594,Pedidos!$A$2:$A$1801,0)),0)</f>
        <v/>
      </c>
      <c r="G1594" s="21">
        <f>IF(F1594=0,"",YEAR(F1594))</f>
        <v/>
      </c>
      <c r="H1594" s="21">
        <f>IF(F1594=0,"",MONTH(F1594))</f>
        <v/>
      </c>
      <c r="I1594" s="21">
        <f>IFERROR(INDEX(Pedidos!$E$2:$E$1801,MATCH(B1594,Pedidos!$A$2:$A$1801,0)),"")</f>
        <v/>
      </c>
      <c r="J1594" s="21">
        <f>IFERROR(INDEX(Pedidos!$C$2:$C$1801,MATCH(B1594,Pedidos!$A$2:$A$1801,0)),"")</f>
        <v/>
      </c>
      <c r="K1594" s="21">
        <f>IFERROR(INDEX(Pedidos!$D$2:$D$1801,MATCH(B1594,Pedidos!$A$2:$A$1801,0)),"")</f>
        <v/>
      </c>
      <c r="L1594" s="21">
        <f>IFERROR(INDEX(Pedidos!$F$2:$F$1801,MATCH(B1594,Pedidos!$A$2:$A$1801,0)),"")</f>
        <v/>
      </c>
      <c r="M1594" s="22">
        <f>IFERROR(INDEX(Pedidos!$G$2:$G$1801,MATCH(B1594,Pedidos!$A$2:$A$1801,0)),0)</f>
        <v/>
      </c>
      <c r="N1594" s="21">
        <f>IFERROR(INDEX(Produtos!$B$2:$B$71,MATCH(C1594,Produtos!$A$2:$A$71,0)),"")</f>
        <v/>
      </c>
      <c r="O1594" s="21">
        <f>IFERROR(INDEX(Produtos!$C$2:$C$71,MATCH(C1594,Produtos!$A$2:$A$71,0)),"")</f>
        <v/>
      </c>
      <c r="P1594" s="21">
        <f>IFERROR(INDEX(Produtos!$D$2:$D$71,MATCH(C1594,Produtos!$A$2:$A$71,0)),0)</f>
        <v/>
      </c>
      <c r="Q1594" s="21">
        <f>IFERROR(INDEX(Produtos!$E$2:$E$71,MATCH(C1594,Produtos!$A$2:$A$71,0)),0)</f>
        <v/>
      </c>
      <c r="R1594" s="23">
        <f>D1594*Q1594</f>
        <v/>
      </c>
      <c r="S1594" s="23">
        <f>R1594*E1594</f>
        <v/>
      </c>
      <c r="T1594" s="23">
        <f>(R1594-S1594)*M1594</f>
        <v/>
      </c>
      <c r="U1594" s="23">
        <f>R1594-S1594-T1594</f>
        <v/>
      </c>
      <c r="V1594" s="23">
        <f>D1594*P1594</f>
        <v/>
      </c>
      <c r="W1594" s="23">
        <f>U1594-V1594</f>
        <v/>
      </c>
      <c r="X1594" s="24">
        <f>IFERROR(W1594/U1594,0)</f>
        <v/>
      </c>
    </row>
    <row r="1595">
      <c r="A1595" s="25">
        <f>ItensPedido!A1595</f>
        <v/>
      </c>
      <c r="B1595" s="25">
        <f>ItensPedido!B1595</f>
        <v/>
      </c>
      <c r="C1595" s="25">
        <f>ItensPedido!C1595</f>
        <v/>
      </c>
      <c r="D1595" s="25">
        <f>ItensPedido!D1595</f>
        <v/>
      </c>
      <c r="E1595" s="26">
        <f>ItensPedido!E1595</f>
        <v/>
      </c>
      <c r="F1595" s="25">
        <f>IFERROR(INDEX(Pedidos!$B$2:$B$1801,MATCH(B1595,Pedidos!$A$2:$A$1801,0)),0)</f>
        <v/>
      </c>
      <c r="G1595" s="25">
        <f>IF(F1595=0,"",YEAR(F1595))</f>
        <v/>
      </c>
      <c r="H1595" s="25">
        <f>IF(F1595=0,"",MONTH(F1595))</f>
        <v/>
      </c>
      <c r="I1595" s="25">
        <f>IFERROR(INDEX(Pedidos!$E$2:$E$1801,MATCH(B1595,Pedidos!$A$2:$A$1801,0)),"")</f>
        <v/>
      </c>
      <c r="J1595" s="25">
        <f>IFERROR(INDEX(Pedidos!$C$2:$C$1801,MATCH(B1595,Pedidos!$A$2:$A$1801,0)),"")</f>
        <v/>
      </c>
      <c r="K1595" s="25">
        <f>IFERROR(INDEX(Pedidos!$D$2:$D$1801,MATCH(B1595,Pedidos!$A$2:$A$1801,0)),"")</f>
        <v/>
      </c>
      <c r="L1595" s="25">
        <f>IFERROR(INDEX(Pedidos!$F$2:$F$1801,MATCH(B1595,Pedidos!$A$2:$A$1801,0)),"")</f>
        <v/>
      </c>
      <c r="M1595" s="26">
        <f>IFERROR(INDEX(Pedidos!$G$2:$G$1801,MATCH(B1595,Pedidos!$A$2:$A$1801,0)),0)</f>
        <v/>
      </c>
      <c r="N1595" s="25">
        <f>IFERROR(INDEX(Produtos!$B$2:$B$71,MATCH(C1595,Produtos!$A$2:$A$71,0)),"")</f>
        <v/>
      </c>
      <c r="O1595" s="25">
        <f>IFERROR(INDEX(Produtos!$C$2:$C$71,MATCH(C1595,Produtos!$A$2:$A$71,0)),"")</f>
        <v/>
      </c>
      <c r="P1595" s="25">
        <f>IFERROR(INDEX(Produtos!$D$2:$D$71,MATCH(C1595,Produtos!$A$2:$A$71,0)),0)</f>
        <v/>
      </c>
      <c r="Q1595" s="25">
        <f>IFERROR(INDEX(Produtos!$E$2:$E$71,MATCH(C1595,Produtos!$A$2:$A$71,0)),0)</f>
        <v/>
      </c>
      <c r="R1595" s="27">
        <f>D1595*Q1595</f>
        <v/>
      </c>
      <c r="S1595" s="27">
        <f>R1595*E1595</f>
        <v/>
      </c>
      <c r="T1595" s="27">
        <f>(R1595-S1595)*M1595</f>
        <v/>
      </c>
      <c r="U1595" s="27">
        <f>R1595-S1595-T1595</f>
        <v/>
      </c>
      <c r="V1595" s="27">
        <f>D1595*P1595</f>
        <v/>
      </c>
      <c r="W1595" s="27">
        <f>U1595-V1595</f>
        <v/>
      </c>
      <c r="X1595" s="28">
        <f>IFERROR(W1595/U1595,0)</f>
        <v/>
      </c>
    </row>
    <row r="1596">
      <c r="A1596" s="21">
        <f>ItensPedido!A1596</f>
        <v/>
      </c>
      <c r="B1596" s="21">
        <f>ItensPedido!B1596</f>
        <v/>
      </c>
      <c r="C1596" s="21">
        <f>ItensPedido!C1596</f>
        <v/>
      </c>
      <c r="D1596" s="21">
        <f>ItensPedido!D1596</f>
        <v/>
      </c>
      <c r="E1596" s="22">
        <f>ItensPedido!E1596</f>
        <v/>
      </c>
      <c r="F1596" s="21">
        <f>IFERROR(INDEX(Pedidos!$B$2:$B$1801,MATCH(B1596,Pedidos!$A$2:$A$1801,0)),0)</f>
        <v/>
      </c>
      <c r="G1596" s="21">
        <f>IF(F1596=0,"",YEAR(F1596))</f>
        <v/>
      </c>
      <c r="H1596" s="21">
        <f>IF(F1596=0,"",MONTH(F1596))</f>
        <v/>
      </c>
      <c r="I1596" s="21">
        <f>IFERROR(INDEX(Pedidos!$E$2:$E$1801,MATCH(B1596,Pedidos!$A$2:$A$1801,0)),"")</f>
        <v/>
      </c>
      <c r="J1596" s="21">
        <f>IFERROR(INDEX(Pedidos!$C$2:$C$1801,MATCH(B1596,Pedidos!$A$2:$A$1801,0)),"")</f>
        <v/>
      </c>
      <c r="K1596" s="21">
        <f>IFERROR(INDEX(Pedidos!$D$2:$D$1801,MATCH(B1596,Pedidos!$A$2:$A$1801,0)),"")</f>
        <v/>
      </c>
      <c r="L1596" s="21">
        <f>IFERROR(INDEX(Pedidos!$F$2:$F$1801,MATCH(B1596,Pedidos!$A$2:$A$1801,0)),"")</f>
        <v/>
      </c>
      <c r="M1596" s="22">
        <f>IFERROR(INDEX(Pedidos!$G$2:$G$1801,MATCH(B1596,Pedidos!$A$2:$A$1801,0)),0)</f>
        <v/>
      </c>
      <c r="N1596" s="21">
        <f>IFERROR(INDEX(Produtos!$B$2:$B$71,MATCH(C1596,Produtos!$A$2:$A$71,0)),"")</f>
        <v/>
      </c>
      <c r="O1596" s="21">
        <f>IFERROR(INDEX(Produtos!$C$2:$C$71,MATCH(C1596,Produtos!$A$2:$A$71,0)),"")</f>
        <v/>
      </c>
      <c r="P1596" s="21">
        <f>IFERROR(INDEX(Produtos!$D$2:$D$71,MATCH(C1596,Produtos!$A$2:$A$71,0)),0)</f>
        <v/>
      </c>
      <c r="Q1596" s="21">
        <f>IFERROR(INDEX(Produtos!$E$2:$E$71,MATCH(C1596,Produtos!$A$2:$A$71,0)),0)</f>
        <v/>
      </c>
      <c r="R1596" s="23">
        <f>D1596*Q1596</f>
        <v/>
      </c>
      <c r="S1596" s="23">
        <f>R1596*E1596</f>
        <v/>
      </c>
      <c r="T1596" s="23">
        <f>(R1596-S1596)*M1596</f>
        <v/>
      </c>
      <c r="U1596" s="23">
        <f>R1596-S1596-T1596</f>
        <v/>
      </c>
      <c r="V1596" s="23">
        <f>D1596*P1596</f>
        <v/>
      </c>
      <c r="W1596" s="23">
        <f>U1596-V1596</f>
        <v/>
      </c>
      <c r="X1596" s="24">
        <f>IFERROR(W1596/U1596,0)</f>
        <v/>
      </c>
    </row>
    <row r="1597">
      <c r="A1597" s="25">
        <f>ItensPedido!A1597</f>
        <v/>
      </c>
      <c r="B1597" s="25">
        <f>ItensPedido!B1597</f>
        <v/>
      </c>
      <c r="C1597" s="25">
        <f>ItensPedido!C1597</f>
        <v/>
      </c>
      <c r="D1597" s="25">
        <f>ItensPedido!D1597</f>
        <v/>
      </c>
      <c r="E1597" s="26">
        <f>ItensPedido!E1597</f>
        <v/>
      </c>
      <c r="F1597" s="25">
        <f>IFERROR(INDEX(Pedidos!$B$2:$B$1801,MATCH(B1597,Pedidos!$A$2:$A$1801,0)),0)</f>
        <v/>
      </c>
      <c r="G1597" s="25">
        <f>IF(F1597=0,"",YEAR(F1597))</f>
        <v/>
      </c>
      <c r="H1597" s="25">
        <f>IF(F1597=0,"",MONTH(F1597))</f>
        <v/>
      </c>
      <c r="I1597" s="25">
        <f>IFERROR(INDEX(Pedidos!$E$2:$E$1801,MATCH(B1597,Pedidos!$A$2:$A$1801,0)),"")</f>
        <v/>
      </c>
      <c r="J1597" s="25">
        <f>IFERROR(INDEX(Pedidos!$C$2:$C$1801,MATCH(B1597,Pedidos!$A$2:$A$1801,0)),"")</f>
        <v/>
      </c>
      <c r="K1597" s="25">
        <f>IFERROR(INDEX(Pedidos!$D$2:$D$1801,MATCH(B1597,Pedidos!$A$2:$A$1801,0)),"")</f>
        <v/>
      </c>
      <c r="L1597" s="25">
        <f>IFERROR(INDEX(Pedidos!$F$2:$F$1801,MATCH(B1597,Pedidos!$A$2:$A$1801,0)),"")</f>
        <v/>
      </c>
      <c r="M1597" s="26">
        <f>IFERROR(INDEX(Pedidos!$G$2:$G$1801,MATCH(B1597,Pedidos!$A$2:$A$1801,0)),0)</f>
        <v/>
      </c>
      <c r="N1597" s="25">
        <f>IFERROR(INDEX(Produtos!$B$2:$B$71,MATCH(C1597,Produtos!$A$2:$A$71,0)),"")</f>
        <v/>
      </c>
      <c r="O1597" s="25">
        <f>IFERROR(INDEX(Produtos!$C$2:$C$71,MATCH(C1597,Produtos!$A$2:$A$71,0)),"")</f>
        <v/>
      </c>
      <c r="P1597" s="25">
        <f>IFERROR(INDEX(Produtos!$D$2:$D$71,MATCH(C1597,Produtos!$A$2:$A$71,0)),0)</f>
        <v/>
      </c>
      <c r="Q1597" s="25">
        <f>IFERROR(INDEX(Produtos!$E$2:$E$71,MATCH(C1597,Produtos!$A$2:$A$71,0)),0)</f>
        <v/>
      </c>
      <c r="R1597" s="27">
        <f>D1597*Q1597</f>
        <v/>
      </c>
      <c r="S1597" s="27">
        <f>R1597*E1597</f>
        <v/>
      </c>
      <c r="T1597" s="27">
        <f>(R1597-S1597)*M1597</f>
        <v/>
      </c>
      <c r="U1597" s="27">
        <f>R1597-S1597-T1597</f>
        <v/>
      </c>
      <c r="V1597" s="27">
        <f>D1597*P1597</f>
        <v/>
      </c>
      <c r="W1597" s="27">
        <f>U1597-V1597</f>
        <v/>
      </c>
      <c r="X1597" s="28">
        <f>IFERROR(W1597/U1597,0)</f>
        <v/>
      </c>
    </row>
    <row r="1598">
      <c r="A1598" s="21">
        <f>ItensPedido!A1598</f>
        <v/>
      </c>
      <c r="B1598" s="21">
        <f>ItensPedido!B1598</f>
        <v/>
      </c>
      <c r="C1598" s="21">
        <f>ItensPedido!C1598</f>
        <v/>
      </c>
      <c r="D1598" s="21">
        <f>ItensPedido!D1598</f>
        <v/>
      </c>
      <c r="E1598" s="22">
        <f>ItensPedido!E1598</f>
        <v/>
      </c>
      <c r="F1598" s="21">
        <f>IFERROR(INDEX(Pedidos!$B$2:$B$1801,MATCH(B1598,Pedidos!$A$2:$A$1801,0)),0)</f>
        <v/>
      </c>
      <c r="G1598" s="21">
        <f>IF(F1598=0,"",YEAR(F1598))</f>
        <v/>
      </c>
      <c r="H1598" s="21">
        <f>IF(F1598=0,"",MONTH(F1598))</f>
        <v/>
      </c>
      <c r="I1598" s="21">
        <f>IFERROR(INDEX(Pedidos!$E$2:$E$1801,MATCH(B1598,Pedidos!$A$2:$A$1801,0)),"")</f>
        <v/>
      </c>
      <c r="J1598" s="21">
        <f>IFERROR(INDEX(Pedidos!$C$2:$C$1801,MATCH(B1598,Pedidos!$A$2:$A$1801,0)),"")</f>
        <v/>
      </c>
      <c r="K1598" s="21">
        <f>IFERROR(INDEX(Pedidos!$D$2:$D$1801,MATCH(B1598,Pedidos!$A$2:$A$1801,0)),"")</f>
        <v/>
      </c>
      <c r="L1598" s="21">
        <f>IFERROR(INDEX(Pedidos!$F$2:$F$1801,MATCH(B1598,Pedidos!$A$2:$A$1801,0)),"")</f>
        <v/>
      </c>
      <c r="M1598" s="22">
        <f>IFERROR(INDEX(Pedidos!$G$2:$G$1801,MATCH(B1598,Pedidos!$A$2:$A$1801,0)),0)</f>
        <v/>
      </c>
      <c r="N1598" s="21">
        <f>IFERROR(INDEX(Produtos!$B$2:$B$71,MATCH(C1598,Produtos!$A$2:$A$71,0)),"")</f>
        <v/>
      </c>
      <c r="O1598" s="21">
        <f>IFERROR(INDEX(Produtos!$C$2:$C$71,MATCH(C1598,Produtos!$A$2:$A$71,0)),"")</f>
        <v/>
      </c>
      <c r="P1598" s="21">
        <f>IFERROR(INDEX(Produtos!$D$2:$D$71,MATCH(C1598,Produtos!$A$2:$A$71,0)),0)</f>
        <v/>
      </c>
      <c r="Q1598" s="21">
        <f>IFERROR(INDEX(Produtos!$E$2:$E$71,MATCH(C1598,Produtos!$A$2:$A$71,0)),0)</f>
        <v/>
      </c>
      <c r="R1598" s="23">
        <f>D1598*Q1598</f>
        <v/>
      </c>
      <c r="S1598" s="23">
        <f>R1598*E1598</f>
        <v/>
      </c>
      <c r="T1598" s="23">
        <f>(R1598-S1598)*M1598</f>
        <v/>
      </c>
      <c r="U1598" s="23">
        <f>R1598-S1598-T1598</f>
        <v/>
      </c>
      <c r="V1598" s="23">
        <f>D1598*P1598</f>
        <v/>
      </c>
      <c r="W1598" s="23">
        <f>U1598-V1598</f>
        <v/>
      </c>
      <c r="X1598" s="24">
        <f>IFERROR(W1598/U1598,0)</f>
        <v/>
      </c>
    </row>
    <row r="1599">
      <c r="A1599" s="25">
        <f>ItensPedido!A1599</f>
        <v/>
      </c>
      <c r="B1599" s="25">
        <f>ItensPedido!B1599</f>
        <v/>
      </c>
      <c r="C1599" s="25">
        <f>ItensPedido!C1599</f>
        <v/>
      </c>
      <c r="D1599" s="25">
        <f>ItensPedido!D1599</f>
        <v/>
      </c>
      <c r="E1599" s="26">
        <f>ItensPedido!E1599</f>
        <v/>
      </c>
      <c r="F1599" s="25">
        <f>IFERROR(INDEX(Pedidos!$B$2:$B$1801,MATCH(B1599,Pedidos!$A$2:$A$1801,0)),0)</f>
        <v/>
      </c>
      <c r="G1599" s="25">
        <f>IF(F1599=0,"",YEAR(F1599))</f>
        <v/>
      </c>
      <c r="H1599" s="25">
        <f>IF(F1599=0,"",MONTH(F1599))</f>
        <v/>
      </c>
      <c r="I1599" s="25">
        <f>IFERROR(INDEX(Pedidos!$E$2:$E$1801,MATCH(B1599,Pedidos!$A$2:$A$1801,0)),"")</f>
        <v/>
      </c>
      <c r="J1599" s="25">
        <f>IFERROR(INDEX(Pedidos!$C$2:$C$1801,MATCH(B1599,Pedidos!$A$2:$A$1801,0)),"")</f>
        <v/>
      </c>
      <c r="K1599" s="25">
        <f>IFERROR(INDEX(Pedidos!$D$2:$D$1801,MATCH(B1599,Pedidos!$A$2:$A$1801,0)),"")</f>
        <v/>
      </c>
      <c r="L1599" s="25">
        <f>IFERROR(INDEX(Pedidos!$F$2:$F$1801,MATCH(B1599,Pedidos!$A$2:$A$1801,0)),"")</f>
        <v/>
      </c>
      <c r="M1599" s="26">
        <f>IFERROR(INDEX(Pedidos!$G$2:$G$1801,MATCH(B1599,Pedidos!$A$2:$A$1801,0)),0)</f>
        <v/>
      </c>
      <c r="N1599" s="25">
        <f>IFERROR(INDEX(Produtos!$B$2:$B$71,MATCH(C1599,Produtos!$A$2:$A$71,0)),"")</f>
        <v/>
      </c>
      <c r="O1599" s="25">
        <f>IFERROR(INDEX(Produtos!$C$2:$C$71,MATCH(C1599,Produtos!$A$2:$A$71,0)),"")</f>
        <v/>
      </c>
      <c r="P1599" s="25">
        <f>IFERROR(INDEX(Produtos!$D$2:$D$71,MATCH(C1599,Produtos!$A$2:$A$71,0)),0)</f>
        <v/>
      </c>
      <c r="Q1599" s="25">
        <f>IFERROR(INDEX(Produtos!$E$2:$E$71,MATCH(C1599,Produtos!$A$2:$A$71,0)),0)</f>
        <v/>
      </c>
      <c r="R1599" s="27">
        <f>D1599*Q1599</f>
        <v/>
      </c>
      <c r="S1599" s="27">
        <f>R1599*E1599</f>
        <v/>
      </c>
      <c r="T1599" s="27">
        <f>(R1599-S1599)*M1599</f>
        <v/>
      </c>
      <c r="U1599" s="27">
        <f>R1599-S1599-T1599</f>
        <v/>
      </c>
      <c r="V1599" s="27">
        <f>D1599*P1599</f>
        <v/>
      </c>
      <c r="W1599" s="27">
        <f>U1599-V1599</f>
        <v/>
      </c>
      <c r="X1599" s="28">
        <f>IFERROR(W1599/U1599,0)</f>
        <v/>
      </c>
    </row>
    <row r="1600">
      <c r="A1600" s="21">
        <f>ItensPedido!A1600</f>
        <v/>
      </c>
      <c r="B1600" s="21">
        <f>ItensPedido!B1600</f>
        <v/>
      </c>
      <c r="C1600" s="21">
        <f>ItensPedido!C1600</f>
        <v/>
      </c>
      <c r="D1600" s="21">
        <f>ItensPedido!D1600</f>
        <v/>
      </c>
      <c r="E1600" s="22">
        <f>ItensPedido!E1600</f>
        <v/>
      </c>
      <c r="F1600" s="21">
        <f>IFERROR(INDEX(Pedidos!$B$2:$B$1801,MATCH(B1600,Pedidos!$A$2:$A$1801,0)),0)</f>
        <v/>
      </c>
      <c r="G1600" s="21">
        <f>IF(F1600=0,"",YEAR(F1600))</f>
        <v/>
      </c>
      <c r="H1600" s="21">
        <f>IF(F1600=0,"",MONTH(F1600))</f>
        <v/>
      </c>
      <c r="I1600" s="21">
        <f>IFERROR(INDEX(Pedidos!$E$2:$E$1801,MATCH(B1600,Pedidos!$A$2:$A$1801,0)),"")</f>
        <v/>
      </c>
      <c r="J1600" s="21">
        <f>IFERROR(INDEX(Pedidos!$C$2:$C$1801,MATCH(B1600,Pedidos!$A$2:$A$1801,0)),"")</f>
        <v/>
      </c>
      <c r="K1600" s="21">
        <f>IFERROR(INDEX(Pedidos!$D$2:$D$1801,MATCH(B1600,Pedidos!$A$2:$A$1801,0)),"")</f>
        <v/>
      </c>
      <c r="L1600" s="21">
        <f>IFERROR(INDEX(Pedidos!$F$2:$F$1801,MATCH(B1600,Pedidos!$A$2:$A$1801,0)),"")</f>
        <v/>
      </c>
      <c r="M1600" s="22">
        <f>IFERROR(INDEX(Pedidos!$G$2:$G$1801,MATCH(B1600,Pedidos!$A$2:$A$1801,0)),0)</f>
        <v/>
      </c>
      <c r="N1600" s="21">
        <f>IFERROR(INDEX(Produtos!$B$2:$B$71,MATCH(C1600,Produtos!$A$2:$A$71,0)),"")</f>
        <v/>
      </c>
      <c r="O1600" s="21">
        <f>IFERROR(INDEX(Produtos!$C$2:$C$71,MATCH(C1600,Produtos!$A$2:$A$71,0)),"")</f>
        <v/>
      </c>
      <c r="P1600" s="21">
        <f>IFERROR(INDEX(Produtos!$D$2:$D$71,MATCH(C1600,Produtos!$A$2:$A$71,0)),0)</f>
        <v/>
      </c>
      <c r="Q1600" s="21">
        <f>IFERROR(INDEX(Produtos!$E$2:$E$71,MATCH(C1600,Produtos!$A$2:$A$71,0)),0)</f>
        <v/>
      </c>
      <c r="R1600" s="23">
        <f>D1600*Q1600</f>
        <v/>
      </c>
      <c r="S1600" s="23">
        <f>R1600*E1600</f>
        <v/>
      </c>
      <c r="T1600" s="23">
        <f>(R1600-S1600)*M1600</f>
        <v/>
      </c>
      <c r="U1600" s="23">
        <f>R1600-S1600-T1600</f>
        <v/>
      </c>
      <c r="V1600" s="23">
        <f>D1600*P1600</f>
        <v/>
      </c>
      <c r="W1600" s="23">
        <f>U1600-V1600</f>
        <v/>
      </c>
      <c r="X1600" s="24">
        <f>IFERROR(W1600/U1600,0)</f>
        <v/>
      </c>
    </row>
    <row r="1601">
      <c r="A1601" s="25">
        <f>ItensPedido!A1601</f>
        <v/>
      </c>
      <c r="B1601" s="25">
        <f>ItensPedido!B1601</f>
        <v/>
      </c>
      <c r="C1601" s="25">
        <f>ItensPedido!C1601</f>
        <v/>
      </c>
      <c r="D1601" s="25">
        <f>ItensPedido!D1601</f>
        <v/>
      </c>
      <c r="E1601" s="26">
        <f>ItensPedido!E1601</f>
        <v/>
      </c>
      <c r="F1601" s="25">
        <f>IFERROR(INDEX(Pedidos!$B$2:$B$1801,MATCH(B1601,Pedidos!$A$2:$A$1801,0)),0)</f>
        <v/>
      </c>
      <c r="G1601" s="25">
        <f>IF(F1601=0,"",YEAR(F1601))</f>
        <v/>
      </c>
      <c r="H1601" s="25">
        <f>IF(F1601=0,"",MONTH(F1601))</f>
        <v/>
      </c>
      <c r="I1601" s="25">
        <f>IFERROR(INDEX(Pedidos!$E$2:$E$1801,MATCH(B1601,Pedidos!$A$2:$A$1801,0)),"")</f>
        <v/>
      </c>
      <c r="J1601" s="25">
        <f>IFERROR(INDEX(Pedidos!$C$2:$C$1801,MATCH(B1601,Pedidos!$A$2:$A$1801,0)),"")</f>
        <v/>
      </c>
      <c r="K1601" s="25">
        <f>IFERROR(INDEX(Pedidos!$D$2:$D$1801,MATCH(B1601,Pedidos!$A$2:$A$1801,0)),"")</f>
        <v/>
      </c>
      <c r="L1601" s="25">
        <f>IFERROR(INDEX(Pedidos!$F$2:$F$1801,MATCH(B1601,Pedidos!$A$2:$A$1801,0)),"")</f>
        <v/>
      </c>
      <c r="M1601" s="26">
        <f>IFERROR(INDEX(Pedidos!$G$2:$G$1801,MATCH(B1601,Pedidos!$A$2:$A$1801,0)),0)</f>
        <v/>
      </c>
      <c r="N1601" s="25">
        <f>IFERROR(INDEX(Produtos!$B$2:$B$71,MATCH(C1601,Produtos!$A$2:$A$71,0)),"")</f>
        <v/>
      </c>
      <c r="O1601" s="25">
        <f>IFERROR(INDEX(Produtos!$C$2:$C$71,MATCH(C1601,Produtos!$A$2:$A$71,0)),"")</f>
        <v/>
      </c>
      <c r="P1601" s="25">
        <f>IFERROR(INDEX(Produtos!$D$2:$D$71,MATCH(C1601,Produtos!$A$2:$A$71,0)),0)</f>
        <v/>
      </c>
      <c r="Q1601" s="25">
        <f>IFERROR(INDEX(Produtos!$E$2:$E$71,MATCH(C1601,Produtos!$A$2:$A$71,0)),0)</f>
        <v/>
      </c>
      <c r="R1601" s="27">
        <f>D1601*Q1601</f>
        <v/>
      </c>
      <c r="S1601" s="27">
        <f>R1601*E1601</f>
        <v/>
      </c>
      <c r="T1601" s="27">
        <f>(R1601-S1601)*M1601</f>
        <v/>
      </c>
      <c r="U1601" s="27">
        <f>R1601-S1601-T1601</f>
        <v/>
      </c>
      <c r="V1601" s="27">
        <f>D1601*P1601</f>
        <v/>
      </c>
      <c r="W1601" s="27">
        <f>U1601-V1601</f>
        <v/>
      </c>
      <c r="X1601" s="28">
        <f>IFERROR(W1601/U1601,0)</f>
        <v/>
      </c>
    </row>
    <row r="1602">
      <c r="A1602" s="21">
        <f>ItensPedido!A1602</f>
        <v/>
      </c>
      <c r="B1602" s="21">
        <f>ItensPedido!B1602</f>
        <v/>
      </c>
      <c r="C1602" s="21">
        <f>ItensPedido!C1602</f>
        <v/>
      </c>
      <c r="D1602" s="21">
        <f>ItensPedido!D1602</f>
        <v/>
      </c>
      <c r="E1602" s="22">
        <f>ItensPedido!E1602</f>
        <v/>
      </c>
      <c r="F1602" s="21">
        <f>IFERROR(INDEX(Pedidos!$B$2:$B$1801,MATCH(B1602,Pedidos!$A$2:$A$1801,0)),0)</f>
        <v/>
      </c>
      <c r="G1602" s="21">
        <f>IF(F1602=0,"",YEAR(F1602))</f>
        <v/>
      </c>
      <c r="H1602" s="21">
        <f>IF(F1602=0,"",MONTH(F1602))</f>
        <v/>
      </c>
      <c r="I1602" s="21">
        <f>IFERROR(INDEX(Pedidos!$E$2:$E$1801,MATCH(B1602,Pedidos!$A$2:$A$1801,0)),"")</f>
        <v/>
      </c>
      <c r="J1602" s="21">
        <f>IFERROR(INDEX(Pedidos!$C$2:$C$1801,MATCH(B1602,Pedidos!$A$2:$A$1801,0)),"")</f>
        <v/>
      </c>
      <c r="K1602" s="21">
        <f>IFERROR(INDEX(Pedidos!$D$2:$D$1801,MATCH(B1602,Pedidos!$A$2:$A$1801,0)),"")</f>
        <v/>
      </c>
      <c r="L1602" s="21">
        <f>IFERROR(INDEX(Pedidos!$F$2:$F$1801,MATCH(B1602,Pedidos!$A$2:$A$1801,0)),"")</f>
        <v/>
      </c>
      <c r="M1602" s="22">
        <f>IFERROR(INDEX(Pedidos!$G$2:$G$1801,MATCH(B1602,Pedidos!$A$2:$A$1801,0)),0)</f>
        <v/>
      </c>
      <c r="N1602" s="21">
        <f>IFERROR(INDEX(Produtos!$B$2:$B$71,MATCH(C1602,Produtos!$A$2:$A$71,0)),"")</f>
        <v/>
      </c>
      <c r="O1602" s="21">
        <f>IFERROR(INDEX(Produtos!$C$2:$C$71,MATCH(C1602,Produtos!$A$2:$A$71,0)),"")</f>
        <v/>
      </c>
      <c r="P1602" s="21">
        <f>IFERROR(INDEX(Produtos!$D$2:$D$71,MATCH(C1602,Produtos!$A$2:$A$71,0)),0)</f>
        <v/>
      </c>
      <c r="Q1602" s="21">
        <f>IFERROR(INDEX(Produtos!$E$2:$E$71,MATCH(C1602,Produtos!$A$2:$A$71,0)),0)</f>
        <v/>
      </c>
      <c r="R1602" s="23">
        <f>D1602*Q1602</f>
        <v/>
      </c>
      <c r="S1602" s="23">
        <f>R1602*E1602</f>
        <v/>
      </c>
      <c r="T1602" s="23">
        <f>(R1602-S1602)*M1602</f>
        <v/>
      </c>
      <c r="U1602" s="23">
        <f>R1602-S1602-T1602</f>
        <v/>
      </c>
      <c r="V1602" s="23">
        <f>D1602*P1602</f>
        <v/>
      </c>
      <c r="W1602" s="23">
        <f>U1602-V1602</f>
        <v/>
      </c>
      <c r="X1602" s="24">
        <f>IFERROR(W1602/U1602,0)</f>
        <v/>
      </c>
    </row>
    <row r="1603">
      <c r="A1603" s="25">
        <f>ItensPedido!A1603</f>
        <v/>
      </c>
      <c r="B1603" s="25">
        <f>ItensPedido!B1603</f>
        <v/>
      </c>
      <c r="C1603" s="25">
        <f>ItensPedido!C1603</f>
        <v/>
      </c>
      <c r="D1603" s="25">
        <f>ItensPedido!D1603</f>
        <v/>
      </c>
      <c r="E1603" s="26">
        <f>ItensPedido!E1603</f>
        <v/>
      </c>
      <c r="F1603" s="25">
        <f>IFERROR(INDEX(Pedidos!$B$2:$B$1801,MATCH(B1603,Pedidos!$A$2:$A$1801,0)),0)</f>
        <v/>
      </c>
      <c r="G1603" s="25">
        <f>IF(F1603=0,"",YEAR(F1603))</f>
        <v/>
      </c>
      <c r="H1603" s="25">
        <f>IF(F1603=0,"",MONTH(F1603))</f>
        <v/>
      </c>
      <c r="I1603" s="25">
        <f>IFERROR(INDEX(Pedidos!$E$2:$E$1801,MATCH(B1603,Pedidos!$A$2:$A$1801,0)),"")</f>
        <v/>
      </c>
      <c r="J1603" s="25">
        <f>IFERROR(INDEX(Pedidos!$C$2:$C$1801,MATCH(B1603,Pedidos!$A$2:$A$1801,0)),"")</f>
        <v/>
      </c>
      <c r="K1603" s="25">
        <f>IFERROR(INDEX(Pedidos!$D$2:$D$1801,MATCH(B1603,Pedidos!$A$2:$A$1801,0)),"")</f>
        <v/>
      </c>
      <c r="L1603" s="25">
        <f>IFERROR(INDEX(Pedidos!$F$2:$F$1801,MATCH(B1603,Pedidos!$A$2:$A$1801,0)),"")</f>
        <v/>
      </c>
      <c r="M1603" s="26">
        <f>IFERROR(INDEX(Pedidos!$G$2:$G$1801,MATCH(B1603,Pedidos!$A$2:$A$1801,0)),0)</f>
        <v/>
      </c>
      <c r="N1603" s="25">
        <f>IFERROR(INDEX(Produtos!$B$2:$B$71,MATCH(C1603,Produtos!$A$2:$A$71,0)),"")</f>
        <v/>
      </c>
      <c r="O1603" s="25">
        <f>IFERROR(INDEX(Produtos!$C$2:$C$71,MATCH(C1603,Produtos!$A$2:$A$71,0)),"")</f>
        <v/>
      </c>
      <c r="P1603" s="25">
        <f>IFERROR(INDEX(Produtos!$D$2:$D$71,MATCH(C1603,Produtos!$A$2:$A$71,0)),0)</f>
        <v/>
      </c>
      <c r="Q1603" s="25">
        <f>IFERROR(INDEX(Produtos!$E$2:$E$71,MATCH(C1603,Produtos!$A$2:$A$71,0)),0)</f>
        <v/>
      </c>
      <c r="R1603" s="27">
        <f>D1603*Q1603</f>
        <v/>
      </c>
      <c r="S1603" s="27">
        <f>R1603*E1603</f>
        <v/>
      </c>
      <c r="T1603" s="27">
        <f>(R1603-S1603)*M1603</f>
        <v/>
      </c>
      <c r="U1603" s="27">
        <f>R1603-S1603-T1603</f>
        <v/>
      </c>
      <c r="V1603" s="27">
        <f>D1603*P1603</f>
        <v/>
      </c>
      <c r="W1603" s="27">
        <f>U1603-V1603</f>
        <v/>
      </c>
      <c r="X1603" s="28">
        <f>IFERROR(W1603/U1603,0)</f>
        <v/>
      </c>
    </row>
    <row r="1604">
      <c r="A1604" s="21">
        <f>ItensPedido!A1604</f>
        <v/>
      </c>
      <c r="B1604" s="21">
        <f>ItensPedido!B1604</f>
        <v/>
      </c>
      <c r="C1604" s="21">
        <f>ItensPedido!C1604</f>
        <v/>
      </c>
      <c r="D1604" s="21">
        <f>ItensPedido!D1604</f>
        <v/>
      </c>
      <c r="E1604" s="22">
        <f>ItensPedido!E1604</f>
        <v/>
      </c>
      <c r="F1604" s="21">
        <f>IFERROR(INDEX(Pedidos!$B$2:$B$1801,MATCH(B1604,Pedidos!$A$2:$A$1801,0)),0)</f>
        <v/>
      </c>
      <c r="G1604" s="21">
        <f>IF(F1604=0,"",YEAR(F1604))</f>
        <v/>
      </c>
      <c r="H1604" s="21">
        <f>IF(F1604=0,"",MONTH(F1604))</f>
        <v/>
      </c>
      <c r="I1604" s="21">
        <f>IFERROR(INDEX(Pedidos!$E$2:$E$1801,MATCH(B1604,Pedidos!$A$2:$A$1801,0)),"")</f>
        <v/>
      </c>
      <c r="J1604" s="21">
        <f>IFERROR(INDEX(Pedidos!$C$2:$C$1801,MATCH(B1604,Pedidos!$A$2:$A$1801,0)),"")</f>
        <v/>
      </c>
      <c r="K1604" s="21">
        <f>IFERROR(INDEX(Pedidos!$D$2:$D$1801,MATCH(B1604,Pedidos!$A$2:$A$1801,0)),"")</f>
        <v/>
      </c>
      <c r="L1604" s="21">
        <f>IFERROR(INDEX(Pedidos!$F$2:$F$1801,MATCH(B1604,Pedidos!$A$2:$A$1801,0)),"")</f>
        <v/>
      </c>
      <c r="M1604" s="22">
        <f>IFERROR(INDEX(Pedidos!$G$2:$G$1801,MATCH(B1604,Pedidos!$A$2:$A$1801,0)),0)</f>
        <v/>
      </c>
      <c r="N1604" s="21">
        <f>IFERROR(INDEX(Produtos!$B$2:$B$71,MATCH(C1604,Produtos!$A$2:$A$71,0)),"")</f>
        <v/>
      </c>
      <c r="O1604" s="21">
        <f>IFERROR(INDEX(Produtos!$C$2:$C$71,MATCH(C1604,Produtos!$A$2:$A$71,0)),"")</f>
        <v/>
      </c>
      <c r="P1604" s="21">
        <f>IFERROR(INDEX(Produtos!$D$2:$D$71,MATCH(C1604,Produtos!$A$2:$A$71,0)),0)</f>
        <v/>
      </c>
      <c r="Q1604" s="21">
        <f>IFERROR(INDEX(Produtos!$E$2:$E$71,MATCH(C1604,Produtos!$A$2:$A$71,0)),0)</f>
        <v/>
      </c>
      <c r="R1604" s="23">
        <f>D1604*Q1604</f>
        <v/>
      </c>
      <c r="S1604" s="23">
        <f>R1604*E1604</f>
        <v/>
      </c>
      <c r="T1604" s="23">
        <f>(R1604-S1604)*M1604</f>
        <v/>
      </c>
      <c r="U1604" s="23">
        <f>R1604-S1604-T1604</f>
        <v/>
      </c>
      <c r="V1604" s="23">
        <f>D1604*P1604</f>
        <v/>
      </c>
      <c r="W1604" s="23">
        <f>U1604-V1604</f>
        <v/>
      </c>
      <c r="X1604" s="24">
        <f>IFERROR(W1604/U1604,0)</f>
        <v/>
      </c>
    </row>
    <row r="1605">
      <c r="A1605" s="25">
        <f>ItensPedido!A1605</f>
        <v/>
      </c>
      <c r="B1605" s="25">
        <f>ItensPedido!B1605</f>
        <v/>
      </c>
      <c r="C1605" s="25">
        <f>ItensPedido!C1605</f>
        <v/>
      </c>
      <c r="D1605" s="25">
        <f>ItensPedido!D1605</f>
        <v/>
      </c>
      <c r="E1605" s="26">
        <f>ItensPedido!E1605</f>
        <v/>
      </c>
      <c r="F1605" s="25">
        <f>IFERROR(INDEX(Pedidos!$B$2:$B$1801,MATCH(B1605,Pedidos!$A$2:$A$1801,0)),0)</f>
        <v/>
      </c>
      <c r="G1605" s="25">
        <f>IF(F1605=0,"",YEAR(F1605))</f>
        <v/>
      </c>
      <c r="H1605" s="25">
        <f>IF(F1605=0,"",MONTH(F1605))</f>
        <v/>
      </c>
      <c r="I1605" s="25">
        <f>IFERROR(INDEX(Pedidos!$E$2:$E$1801,MATCH(B1605,Pedidos!$A$2:$A$1801,0)),"")</f>
        <v/>
      </c>
      <c r="J1605" s="25">
        <f>IFERROR(INDEX(Pedidos!$C$2:$C$1801,MATCH(B1605,Pedidos!$A$2:$A$1801,0)),"")</f>
        <v/>
      </c>
      <c r="K1605" s="25">
        <f>IFERROR(INDEX(Pedidos!$D$2:$D$1801,MATCH(B1605,Pedidos!$A$2:$A$1801,0)),"")</f>
        <v/>
      </c>
      <c r="L1605" s="25">
        <f>IFERROR(INDEX(Pedidos!$F$2:$F$1801,MATCH(B1605,Pedidos!$A$2:$A$1801,0)),"")</f>
        <v/>
      </c>
      <c r="M1605" s="26">
        <f>IFERROR(INDEX(Pedidos!$G$2:$G$1801,MATCH(B1605,Pedidos!$A$2:$A$1801,0)),0)</f>
        <v/>
      </c>
      <c r="N1605" s="25">
        <f>IFERROR(INDEX(Produtos!$B$2:$B$71,MATCH(C1605,Produtos!$A$2:$A$71,0)),"")</f>
        <v/>
      </c>
      <c r="O1605" s="25">
        <f>IFERROR(INDEX(Produtos!$C$2:$C$71,MATCH(C1605,Produtos!$A$2:$A$71,0)),"")</f>
        <v/>
      </c>
      <c r="P1605" s="25">
        <f>IFERROR(INDEX(Produtos!$D$2:$D$71,MATCH(C1605,Produtos!$A$2:$A$71,0)),0)</f>
        <v/>
      </c>
      <c r="Q1605" s="25">
        <f>IFERROR(INDEX(Produtos!$E$2:$E$71,MATCH(C1605,Produtos!$A$2:$A$71,0)),0)</f>
        <v/>
      </c>
      <c r="R1605" s="27">
        <f>D1605*Q1605</f>
        <v/>
      </c>
      <c r="S1605" s="27">
        <f>R1605*E1605</f>
        <v/>
      </c>
      <c r="T1605" s="27">
        <f>(R1605-S1605)*M1605</f>
        <v/>
      </c>
      <c r="U1605" s="27">
        <f>R1605-S1605-T1605</f>
        <v/>
      </c>
      <c r="V1605" s="27">
        <f>D1605*P1605</f>
        <v/>
      </c>
      <c r="W1605" s="27">
        <f>U1605-V1605</f>
        <v/>
      </c>
      <c r="X1605" s="28">
        <f>IFERROR(W1605/U1605,0)</f>
        <v/>
      </c>
    </row>
    <row r="1606">
      <c r="A1606" s="21">
        <f>ItensPedido!A1606</f>
        <v/>
      </c>
      <c r="B1606" s="21">
        <f>ItensPedido!B1606</f>
        <v/>
      </c>
      <c r="C1606" s="21">
        <f>ItensPedido!C1606</f>
        <v/>
      </c>
      <c r="D1606" s="21">
        <f>ItensPedido!D1606</f>
        <v/>
      </c>
      <c r="E1606" s="22">
        <f>ItensPedido!E1606</f>
        <v/>
      </c>
      <c r="F1606" s="21">
        <f>IFERROR(INDEX(Pedidos!$B$2:$B$1801,MATCH(B1606,Pedidos!$A$2:$A$1801,0)),0)</f>
        <v/>
      </c>
      <c r="G1606" s="21">
        <f>IF(F1606=0,"",YEAR(F1606))</f>
        <v/>
      </c>
      <c r="H1606" s="21">
        <f>IF(F1606=0,"",MONTH(F1606))</f>
        <v/>
      </c>
      <c r="I1606" s="21">
        <f>IFERROR(INDEX(Pedidos!$E$2:$E$1801,MATCH(B1606,Pedidos!$A$2:$A$1801,0)),"")</f>
        <v/>
      </c>
      <c r="J1606" s="21">
        <f>IFERROR(INDEX(Pedidos!$C$2:$C$1801,MATCH(B1606,Pedidos!$A$2:$A$1801,0)),"")</f>
        <v/>
      </c>
      <c r="K1606" s="21">
        <f>IFERROR(INDEX(Pedidos!$D$2:$D$1801,MATCH(B1606,Pedidos!$A$2:$A$1801,0)),"")</f>
        <v/>
      </c>
      <c r="L1606" s="21">
        <f>IFERROR(INDEX(Pedidos!$F$2:$F$1801,MATCH(B1606,Pedidos!$A$2:$A$1801,0)),"")</f>
        <v/>
      </c>
      <c r="M1606" s="22">
        <f>IFERROR(INDEX(Pedidos!$G$2:$G$1801,MATCH(B1606,Pedidos!$A$2:$A$1801,0)),0)</f>
        <v/>
      </c>
      <c r="N1606" s="21">
        <f>IFERROR(INDEX(Produtos!$B$2:$B$71,MATCH(C1606,Produtos!$A$2:$A$71,0)),"")</f>
        <v/>
      </c>
      <c r="O1606" s="21">
        <f>IFERROR(INDEX(Produtos!$C$2:$C$71,MATCH(C1606,Produtos!$A$2:$A$71,0)),"")</f>
        <v/>
      </c>
      <c r="P1606" s="21">
        <f>IFERROR(INDEX(Produtos!$D$2:$D$71,MATCH(C1606,Produtos!$A$2:$A$71,0)),0)</f>
        <v/>
      </c>
      <c r="Q1606" s="21">
        <f>IFERROR(INDEX(Produtos!$E$2:$E$71,MATCH(C1606,Produtos!$A$2:$A$71,0)),0)</f>
        <v/>
      </c>
      <c r="R1606" s="23">
        <f>D1606*Q1606</f>
        <v/>
      </c>
      <c r="S1606" s="23">
        <f>R1606*E1606</f>
        <v/>
      </c>
      <c r="T1606" s="23">
        <f>(R1606-S1606)*M1606</f>
        <v/>
      </c>
      <c r="U1606" s="23">
        <f>R1606-S1606-T1606</f>
        <v/>
      </c>
      <c r="V1606" s="23">
        <f>D1606*P1606</f>
        <v/>
      </c>
      <c r="W1606" s="23">
        <f>U1606-V1606</f>
        <v/>
      </c>
      <c r="X1606" s="24">
        <f>IFERROR(W1606/U1606,0)</f>
        <v/>
      </c>
    </row>
    <row r="1607">
      <c r="A1607" s="25">
        <f>ItensPedido!A1607</f>
        <v/>
      </c>
      <c r="B1607" s="25">
        <f>ItensPedido!B1607</f>
        <v/>
      </c>
      <c r="C1607" s="25">
        <f>ItensPedido!C1607</f>
        <v/>
      </c>
      <c r="D1607" s="25">
        <f>ItensPedido!D1607</f>
        <v/>
      </c>
      <c r="E1607" s="26">
        <f>ItensPedido!E1607</f>
        <v/>
      </c>
      <c r="F1607" s="25">
        <f>IFERROR(INDEX(Pedidos!$B$2:$B$1801,MATCH(B1607,Pedidos!$A$2:$A$1801,0)),0)</f>
        <v/>
      </c>
      <c r="G1607" s="25">
        <f>IF(F1607=0,"",YEAR(F1607))</f>
        <v/>
      </c>
      <c r="H1607" s="25">
        <f>IF(F1607=0,"",MONTH(F1607))</f>
        <v/>
      </c>
      <c r="I1607" s="25">
        <f>IFERROR(INDEX(Pedidos!$E$2:$E$1801,MATCH(B1607,Pedidos!$A$2:$A$1801,0)),"")</f>
        <v/>
      </c>
      <c r="J1607" s="25">
        <f>IFERROR(INDEX(Pedidos!$C$2:$C$1801,MATCH(B1607,Pedidos!$A$2:$A$1801,0)),"")</f>
        <v/>
      </c>
      <c r="K1607" s="25">
        <f>IFERROR(INDEX(Pedidos!$D$2:$D$1801,MATCH(B1607,Pedidos!$A$2:$A$1801,0)),"")</f>
        <v/>
      </c>
      <c r="L1607" s="25">
        <f>IFERROR(INDEX(Pedidos!$F$2:$F$1801,MATCH(B1607,Pedidos!$A$2:$A$1801,0)),"")</f>
        <v/>
      </c>
      <c r="M1607" s="26">
        <f>IFERROR(INDEX(Pedidos!$G$2:$G$1801,MATCH(B1607,Pedidos!$A$2:$A$1801,0)),0)</f>
        <v/>
      </c>
      <c r="N1607" s="25">
        <f>IFERROR(INDEX(Produtos!$B$2:$B$71,MATCH(C1607,Produtos!$A$2:$A$71,0)),"")</f>
        <v/>
      </c>
      <c r="O1607" s="25">
        <f>IFERROR(INDEX(Produtos!$C$2:$C$71,MATCH(C1607,Produtos!$A$2:$A$71,0)),"")</f>
        <v/>
      </c>
      <c r="P1607" s="25">
        <f>IFERROR(INDEX(Produtos!$D$2:$D$71,MATCH(C1607,Produtos!$A$2:$A$71,0)),0)</f>
        <v/>
      </c>
      <c r="Q1607" s="25">
        <f>IFERROR(INDEX(Produtos!$E$2:$E$71,MATCH(C1607,Produtos!$A$2:$A$71,0)),0)</f>
        <v/>
      </c>
      <c r="R1607" s="27">
        <f>D1607*Q1607</f>
        <v/>
      </c>
      <c r="S1607" s="27">
        <f>R1607*E1607</f>
        <v/>
      </c>
      <c r="T1607" s="27">
        <f>(R1607-S1607)*M1607</f>
        <v/>
      </c>
      <c r="U1607" s="27">
        <f>R1607-S1607-T1607</f>
        <v/>
      </c>
      <c r="V1607" s="27">
        <f>D1607*P1607</f>
        <v/>
      </c>
      <c r="W1607" s="27">
        <f>U1607-V1607</f>
        <v/>
      </c>
      <c r="X1607" s="28">
        <f>IFERROR(W1607/U1607,0)</f>
        <v/>
      </c>
    </row>
    <row r="1608">
      <c r="A1608" s="21">
        <f>ItensPedido!A1608</f>
        <v/>
      </c>
      <c r="B1608" s="21">
        <f>ItensPedido!B1608</f>
        <v/>
      </c>
      <c r="C1608" s="21">
        <f>ItensPedido!C1608</f>
        <v/>
      </c>
      <c r="D1608" s="21">
        <f>ItensPedido!D1608</f>
        <v/>
      </c>
      <c r="E1608" s="22">
        <f>ItensPedido!E1608</f>
        <v/>
      </c>
      <c r="F1608" s="21">
        <f>IFERROR(INDEX(Pedidos!$B$2:$B$1801,MATCH(B1608,Pedidos!$A$2:$A$1801,0)),0)</f>
        <v/>
      </c>
      <c r="G1608" s="21">
        <f>IF(F1608=0,"",YEAR(F1608))</f>
        <v/>
      </c>
      <c r="H1608" s="21">
        <f>IF(F1608=0,"",MONTH(F1608))</f>
        <v/>
      </c>
      <c r="I1608" s="21">
        <f>IFERROR(INDEX(Pedidos!$E$2:$E$1801,MATCH(B1608,Pedidos!$A$2:$A$1801,0)),"")</f>
        <v/>
      </c>
      <c r="J1608" s="21">
        <f>IFERROR(INDEX(Pedidos!$C$2:$C$1801,MATCH(B1608,Pedidos!$A$2:$A$1801,0)),"")</f>
        <v/>
      </c>
      <c r="K1608" s="21">
        <f>IFERROR(INDEX(Pedidos!$D$2:$D$1801,MATCH(B1608,Pedidos!$A$2:$A$1801,0)),"")</f>
        <v/>
      </c>
      <c r="L1608" s="21">
        <f>IFERROR(INDEX(Pedidos!$F$2:$F$1801,MATCH(B1608,Pedidos!$A$2:$A$1801,0)),"")</f>
        <v/>
      </c>
      <c r="M1608" s="22">
        <f>IFERROR(INDEX(Pedidos!$G$2:$G$1801,MATCH(B1608,Pedidos!$A$2:$A$1801,0)),0)</f>
        <v/>
      </c>
      <c r="N1608" s="21">
        <f>IFERROR(INDEX(Produtos!$B$2:$B$71,MATCH(C1608,Produtos!$A$2:$A$71,0)),"")</f>
        <v/>
      </c>
      <c r="O1608" s="21">
        <f>IFERROR(INDEX(Produtos!$C$2:$C$71,MATCH(C1608,Produtos!$A$2:$A$71,0)),"")</f>
        <v/>
      </c>
      <c r="P1608" s="21">
        <f>IFERROR(INDEX(Produtos!$D$2:$D$71,MATCH(C1608,Produtos!$A$2:$A$71,0)),0)</f>
        <v/>
      </c>
      <c r="Q1608" s="21">
        <f>IFERROR(INDEX(Produtos!$E$2:$E$71,MATCH(C1608,Produtos!$A$2:$A$71,0)),0)</f>
        <v/>
      </c>
      <c r="R1608" s="23">
        <f>D1608*Q1608</f>
        <v/>
      </c>
      <c r="S1608" s="23">
        <f>R1608*E1608</f>
        <v/>
      </c>
      <c r="T1608" s="23">
        <f>(R1608-S1608)*M1608</f>
        <v/>
      </c>
      <c r="U1608" s="23">
        <f>R1608-S1608-T1608</f>
        <v/>
      </c>
      <c r="V1608" s="23">
        <f>D1608*P1608</f>
        <v/>
      </c>
      <c r="W1608" s="23">
        <f>U1608-V1608</f>
        <v/>
      </c>
      <c r="X1608" s="24">
        <f>IFERROR(W1608/U1608,0)</f>
        <v/>
      </c>
    </row>
    <row r="1609">
      <c r="A1609" s="25">
        <f>ItensPedido!A1609</f>
        <v/>
      </c>
      <c r="B1609" s="25">
        <f>ItensPedido!B1609</f>
        <v/>
      </c>
      <c r="C1609" s="25">
        <f>ItensPedido!C1609</f>
        <v/>
      </c>
      <c r="D1609" s="25">
        <f>ItensPedido!D1609</f>
        <v/>
      </c>
      <c r="E1609" s="26">
        <f>ItensPedido!E1609</f>
        <v/>
      </c>
      <c r="F1609" s="25">
        <f>IFERROR(INDEX(Pedidos!$B$2:$B$1801,MATCH(B1609,Pedidos!$A$2:$A$1801,0)),0)</f>
        <v/>
      </c>
      <c r="G1609" s="25">
        <f>IF(F1609=0,"",YEAR(F1609))</f>
        <v/>
      </c>
      <c r="H1609" s="25">
        <f>IF(F1609=0,"",MONTH(F1609))</f>
        <v/>
      </c>
      <c r="I1609" s="25">
        <f>IFERROR(INDEX(Pedidos!$E$2:$E$1801,MATCH(B1609,Pedidos!$A$2:$A$1801,0)),"")</f>
        <v/>
      </c>
      <c r="J1609" s="25">
        <f>IFERROR(INDEX(Pedidos!$C$2:$C$1801,MATCH(B1609,Pedidos!$A$2:$A$1801,0)),"")</f>
        <v/>
      </c>
      <c r="K1609" s="25">
        <f>IFERROR(INDEX(Pedidos!$D$2:$D$1801,MATCH(B1609,Pedidos!$A$2:$A$1801,0)),"")</f>
        <v/>
      </c>
      <c r="L1609" s="25">
        <f>IFERROR(INDEX(Pedidos!$F$2:$F$1801,MATCH(B1609,Pedidos!$A$2:$A$1801,0)),"")</f>
        <v/>
      </c>
      <c r="M1609" s="26">
        <f>IFERROR(INDEX(Pedidos!$G$2:$G$1801,MATCH(B1609,Pedidos!$A$2:$A$1801,0)),0)</f>
        <v/>
      </c>
      <c r="N1609" s="25">
        <f>IFERROR(INDEX(Produtos!$B$2:$B$71,MATCH(C1609,Produtos!$A$2:$A$71,0)),"")</f>
        <v/>
      </c>
      <c r="O1609" s="25">
        <f>IFERROR(INDEX(Produtos!$C$2:$C$71,MATCH(C1609,Produtos!$A$2:$A$71,0)),"")</f>
        <v/>
      </c>
      <c r="P1609" s="25">
        <f>IFERROR(INDEX(Produtos!$D$2:$D$71,MATCH(C1609,Produtos!$A$2:$A$71,0)),0)</f>
        <v/>
      </c>
      <c r="Q1609" s="25">
        <f>IFERROR(INDEX(Produtos!$E$2:$E$71,MATCH(C1609,Produtos!$A$2:$A$71,0)),0)</f>
        <v/>
      </c>
      <c r="R1609" s="27">
        <f>D1609*Q1609</f>
        <v/>
      </c>
      <c r="S1609" s="27">
        <f>R1609*E1609</f>
        <v/>
      </c>
      <c r="T1609" s="27">
        <f>(R1609-S1609)*M1609</f>
        <v/>
      </c>
      <c r="U1609" s="27">
        <f>R1609-S1609-T1609</f>
        <v/>
      </c>
      <c r="V1609" s="27">
        <f>D1609*P1609</f>
        <v/>
      </c>
      <c r="W1609" s="27">
        <f>U1609-V1609</f>
        <v/>
      </c>
      <c r="X1609" s="28">
        <f>IFERROR(W1609/U1609,0)</f>
        <v/>
      </c>
    </row>
    <row r="1610">
      <c r="A1610" s="21">
        <f>ItensPedido!A1610</f>
        <v/>
      </c>
      <c r="B1610" s="21">
        <f>ItensPedido!B1610</f>
        <v/>
      </c>
      <c r="C1610" s="21">
        <f>ItensPedido!C1610</f>
        <v/>
      </c>
      <c r="D1610" s="21">
        <f>ItensPedido!D1610</f>
        <v/>
      </c>
      <c r="E1610" s="22">
        <f>ItensPedido!E1610</f>
        <v/>
      </c>
      <c r="F1610" s="21">
        <f>IFERROR(INDEX(Pedidos!$B$2:$B$1801,MATCH(B1610,Pedidos!$A$2:$A$1801,0)),0)</f>
        <v/>
      </c>
      <c r="G1610" s="21">
        <f>IF(F1610=0,"",YEAR(F1610))</f>
        <v/>
      </c>
      <c r="H1610" s="21">
        <f>IF(F1610=0,"",MONTH(F1610))</f>
        <v/>
      </c>
      <c r="I1610" s="21">
        <f>IFERROR(INDEX(Pedidos!$E$2:$E$1801,MATCH(B1610,Pedidos!$A$2:$A$1801,0)),"")</f>
        <v/>
      </c>
      <c r="J1610" s="21">
        <f>IFERROR(INDEX(Pedidos!$C$2:$C$1801,MATCH(B1610,Pedidos!$A$2:$A$1801,0)),"")</f>
        <v/>
      </c>
      <c r="K1610" s="21">
        <f>IFERROR(INDEX(Pedidos!$D$2:$D$1801,MATCH(B1610,Pedidos!$A$2:$A$1801,0)),"")</f>
        <v/>
      </c>
      <c r="L1610" s="21">
        <f>IFERROR(INDEX(Pedidos!$F$2:$F$1801,MATCH(B1610,Pedidos!$A$2:$A$1801,0)),"")</f>
        <v/>
      </c>
      <c r="M1610" s="22">
        <f>IFERROR(INDEX(Pedidos!$G$2:$G$1801,MATCH(B1610,Pedidos!$A$2:$A$1801,0)),0)</f>
        <v/>
      </c>
      <c r="N1610" s="21">
        <f>IFERROR(INDEX(Produtos!$B$2:$B$71,MATCH(C1610,Produtos!$A$2:$A$71,0)),"")</f>
        <v/>
      </c>
      <c r="O1610" s="21">
        <f>IFERROR(INDEX(Produtos!$C$2:$C$71,MATCH(C1610,Produtos!$A$2:$A$71,0)),"")</f>
        <v/>
      </c>
      <c r="P1610" s="21">
        <f>IFERROR(INDEX(Produtos!$D$2:$D$71,MATCH(C1610,Produtos!$A$2:$A$71,0)),0)</f>
        <v/>
      </c>
      <c r="Q1610" s="21">
        <f>IFERROR(INDEX(Produtos!$E$2:$E$71,MATCH(C1610,Produtos!$A$2:$A$71,0)),0)</f>
        <v/>
      </c>
      <c r="R1610" s="23">
        <f>D1610*Q1610</f>
        <v/>
      </c>
      <c r="S1610" s="23">
        <f>R1610*E1610</f>
        <v/>
      </c>
      <c r="T1610" s="23">
        <f>(R1610-S1610)*M1610</f>
        <v/>
      </c>
      <c r="U1610" s="23">
        <f>R1610-S1610-T1610</f>
        <v/>
      </c>
      <c r="V1610" s="23">
        <f>D1610*P1610</f>
        <v/>
      </c>
      <c r="W1610" s="23">
        <f>U1610-V1610</f>
        <v/>
      </c>
      <c r="X1610" s="24">
        <f>IFERROR(W1610/U1610,0)</f>
        <v/>
      </c>
    </row>
    <row r="1611">
      <c r="A1611" s="25">
        <f>ItensPedido!A1611</f>
        <v/>
      </c>
      <c r="B1611" s="25">
        <f>ItensPedido!B1611</f>
        <v/>
      </c>
      <c r="C1611" s="25">
        <f>ItensPedido!C1611</f>
        <v/>
      </c>
      <c r="D1611" s="25">
        <f>ItensPedido!D1611</f>
        <v/>
      </c>
      <c r="E1611" s="26">
        <f>ItensPedido!E1611</f>
        <v/>
      </c>
      <c r="F1611" s="25">
        <f>IFERROR(INDEX(Pedidos!$B$2:$B$1801,MATCH(B1611,Pedidos!$A$2:$A$1801,0)),0)</f>
        <v/>
      </c>
      <c r="G1611" s="25">
        <f>IF(F1611=0,"",YEAR(F1611))</f>
        <v/>
      </c>
      <c r="H1611" s="25">
        <f>IF(F1611=0,"",MONTH(F1611))</f>
        <v/>
      </c>
      <c r="I1611" s="25">
        <f>IFERROR(INDEX(Pedidos!$E$2:$E$1801,MATCH(B1611,Pedidos!$A$2:$A$1801,0)),"")</f>
        <v/>
      </c>
      <c r="J1611" s="25">
        <f>IFERROR(INDEX(Pedidos!$C$2:$C$1801,MATCH(B1611,Pedidos!$A$2:$A$1801,0)),"")</f>
        <v/>
      </c>
      <c r="K1611" s="25">
        <f>IFERROR(INDEX(Pedidos!$D$2:$D$1801,MATCH(B1611,Pedidos!$A$2:$A$1801,0)),"")</f>
        <v/>
      </c>
      <c r="L1611" s="25">
        <f>IFERROR(INDEX(Pedidos!$F$2:$F$1801,MATCH(B1611,Pedidos!$A$2:$A$1801,0)),"")</f>
        <v/>
      </c>
      <c r="M1611" s="26">
        <f>IFERROR(INDEX(Pedidos!$G$2:$G$1801,MATCH(B1611,Pedidos!$A$2:$A$1801,0)),0)</f>
        <v/>
      </c>
      <c r="N1611" s="25">
        <f>IFERROR(INDEX(Produtos!$B$2:$B$71,MATCH(C1611,Produtos!$A$2:$A$71,0)),"")</f>
        <v/>
      </c>
      <c r="O1611" s="25">
        <f>IFERROR(INDEX(Produtos!$C$2:$C$71,MATCH(C1611,Produtos!$A$2:$A$71,0)),"")</f>
        <v/>
      </c>
      <c r="P1611" s="25">
        <f>IFERROR(INDEX(Produtos!$D$2:$D$71,MATCH(C1611,Produtos!$A$2:$A$71,0)),0)</f>
        <v/>
      </c>
      <c r="Q1611" s="25">
        <f>IFERROR(INDEX(Produtos!$E$2:$E$71,MATCH(C1611,Produtos!$A$2:$A$71,0)),0)</f>
        <v/>
      </c>
      <c r="R1611" s="27">
        <f>D1611*Q1611</f>
        <v/>
      </c>
      <c r="S1611" s="27">
        <f>R1611*E1611</f>
        <v/>
      </c>
      <c r="T1611" s="27">
        <f>(R1611-S1611)*M1611</f>
        <v/>
      </c>
      <c r="U1611" s="27">
        <f>R1611-S1611-T1611</f>
        <v/>
      </c>
      <c r="V1611" s="27">
        <f>D1611*P1611</f>
        <v/>
      </c>
      <c r="W1611" s="27">
        <f>U1611-V1611</f>
        <v/>
      </c>
      <c r="X1611" s="28">
        <f>IFERROR(W1611/U1611,0)</f>
        <v/>
      </c>
    </row>
    <row r="1612">
      <c r="A1612" s="21">
        <f>ItensPedido!A1612</f>
        <v/>
      </c>
      <c r="B1612" s="21">
        <f>ItensPedido!B1612</f>
        <v/>
      </c>
      <c r="C1612" s="21">
        <f>ItensPedido!C1612</f>
        <v/>
      </c>
      <c r="D1612" s="21">
        <f>ItensPedido!D1612</f>
        <v/>
      </c>
      <c r="E1612" s="22">
        <f>ItensPedido!E1612</f>
        <v/>
      </c>
      <c r="F1612" s="21">
        <f>IFERROR(INDEX(Pedidos!$B$2:$B$1801,MATCH(B1612,Pedidos!$A$2:$A$1801,0)),0)</f>
        <v/>
      </c>
      <c r="G1612" s="21">
        <f>IF(F1612=0,"",YEAR(F1612))</f>
        <v/>
      </c>
      <c r="H1612" s="21">
        <f>IF(F1612=0,"",MONTH(F1612))</f>
        <v/>
      </c>
      <c r="I1612" s="21">
        <f>IFERROR(INDEX(Pedidos!$E$2:$E$1801,MATCH(B1612,Pedidos!$A$2:$A$1801,0)),"")</f>
        <v/>
      </c>
      <c r="J1612" s="21">
        <f>IFERROR(INDEX(Pedidos!$C$2:$C$1801,MATCH(B1612,Pedidos!$A$2:$A$1801,0)),"")</f>
        <v/>
      </c>
      <c r="K1612" s="21">
        <f>IFERROR(INDEX(Pedidos!$D$2:$D$1801,MATCH(B1612,Pedidos!$A$2:$A$1801,0)),"")</f>
        <v/>
      </c>
      <c r="L1612" s="21">
        <f>IFERROR(INDEX(Pedidos!$F$2:$F$1801,MATCH(B1612,Pedidos!$A$2:$A$1801,0)),"")</f>
        <v/>
      </c>
      <c r="M1612" s="22">
        <f>IFERROR(INDEX(Pedidos!$G$2:$G$1801,MATCH(B1612,Pedidos!$A$2:$A$1801,0)),0)</f>
        <v/>
      </c>
      <c r="N1612" s="21">
        <f>IFERROR(INDEX(Produtos!$B$2:$B$71,MATCH(C1612,Produtos!$A$2:$A$71,0)),"")</f>
        <v/>
      </c>
      <c r="O1612" s="21">
        <f>IFERROR(INDEX(Produtos!$C$2:$C$71,MATCH(C1612,Produtos!$A$2:$A$71,0)),"")</f>
        <v/>
      </c>
      <c r="P1612" s="21">
        <f>IFERROR(INDEX(Produtos!$D$2:$D$71,MATCH(C1612,Produtos!$A$2:$A$71,0)),0)</f>
        <v/>
      </c>
      <c r="Q1612" s="21">
        <f>IFERROR(INDEX(Produtos!$E$2:$E$71,MATCH(C1612,Produtos!$A$2:$A$71,0)),0)</f>
        <v/>
      </c>
      <c r="R1612" s="23">
        <f>D1612*Q1612</f>
        <v/>
      </c>
      <c r="S1612" s="23">
        <f>R1612*E1612</f>
        <v/>
      </c>
      <c r="T1612" s="23">
        <f>(R1612-S1612)*M1612</f>
        <v/>
      </c>
      <c r="U1612" s="23">
        <f>R1612-S1612-T1612</f>
        <v/>
      </c>
      <c r="V1612" s="23">
        <f>D1612*P1612</f>
        <v/>
      </c>
      <c r="W1612" s="23">
        <f>U1612-V1612</f>
        <v/>
      </c>
      <c r="X1612" s="24">
        <f>IFERROR(W1612/U1612,0)</f>
        <v/>
      </c>
    </row>
    <row r="1613">
      <c r="A1613" s="25">
        <f>ItensPedido!A1613</f>
        <v/>
      </c>
      <c r="B1613" s="25">
        <f>ItensPedido!B1613</f>
        <v/>
      </c>
      <c r="C1613" s="25">
        <f>ItensPedido!C1613</f>
        <v/>
      </c>
      <c r="D1613" s="25">
        <f>ItensPedido!D1613</f>
        <v/>
      </c>
      <c r="E1613" s="26">
        <f>ItensPedido!E1613</f>
        <v/>
      </c>
      <c r="F1613" s="25">
        <f>IFERROR(INDEX(Pedidos!$B$2:$B$1801,MATCH(B1613,Pedidos!$A$2:$A$1801,0)),0)</f>
        <v/>
      </c>
      <c r="G1613" s="25">
        <f>IF(F1613=0,"",YEAR(F1613))</f>
        <v/>
      </c>
      <c r="H1613" s="25">
        <f>IF(F1613=0,"",MONTH(F1613))</f>
        <v/>
      </c>
      <c r="I1613" s="25">
        <f>IFERROR(INDEX(Pedidos!$E$2:$E$1801,MATCH(B1613,Pedidos!$A$2:$A$1801,0)),"")</f>
        <v/>
      </c>
      <c r="J1613" s="25">
        <f>IFERROR(INDEX(Pedidos!$C$2:$C$1801,MATCH(B1613,Pedidos!$A$2:$A$1801,0)),"")</f>
        <v/>
      </c>
      <c r="K1613" s="25">
        <f>IFERROR(INDEX(Pedidos!$D$2:$D$1801,MATCH(B1613,Pedidos!$A$2:$A$1801,0)),"")</f>
        <v/>
      </c>
      <c r="L1613" s="25">
        <f>IFERROR(INDEX(Pedidos!$F$2:$F$1801,MATCH(B1613,Pedidos!$A$2:$A$1801,0)),"")</f>
        <v/>
      </c>
      <c r="M1613" s="26">
        <f>IFERROR(INDEX(Pedidos!$G$2:$G$1801,MATCH(B1613,Pedidos!$A$2:$A$1801,0)),0)</f>
        <v/>
      </c>
      <c r="N1613" s="25">
        <f>IFERROR(INDEX(Produtos!$B$2:$B$71,MATCH(C1613,Produtos!$A$2:$A$71,0)),"")</f>
        <v/>
      </c>
      <c r="O1613" s="25">
        <f>IFERROR(INDEX(Produtos!$C$2:$C$71,MATCH(C1613,Produtos!$A$2:$A$71,0)),"")</f>
        <v/>
      </c>
      <c r="P1613" s="25">
        <f>IFERROR(INDEX(Produtos!$D$2:$D$71,MATCH(C1613,Produtos!$A$2:$A$71,0)),0)</f>
        <v/>
      </c>
      <c r="Q1613" s="25">
        <f>IFERROR(INDEX(Produtos!$E$2:$E$71,MATCH(C1613,Produtos!$A$2:$A$71,0)),0)</f>
        <v/>
      </c>
      <c r="R1613" s="27">
        <f>D1613*Q1613</f>
        <v/>
      </c>
      <c r="S1613" s="27">
        <f>R1613*E1613</f>
        <v/>
      </c>
      <c r="T1613" s="27">
        <f>(R1613-S1613)*M1613</f>
        <v/>
      </c>
      <c r="U1613" s="27">
        <f>R1613-S1613-T1613</f>
        <v/>
      </c>
      <c r="V1613" s="27">
        <f>D1613*P1613</f>
        <v/>
      </c>
      <c r="W1613" s="27">
        <f>U1613-V1613</f>
        <v/>
      </c>
      <c r="X1613" s="28">
        <f>IFERROR(W1613/U1613,0)</f>
        <v/>
      </c>
    </row>
    <row r="1614">
      <c r="A1614" s="21">
        <f>ItensPedido!A1614</f>
        <v/>
      </c>
      <c r="B1614" s="21">
        <f>ItensPedido!B1614</f>
        <v/>
      </c>
      <c r="C1614" s="21">
        <f>ItensPedido!C1614</f>
        <v/>
      </c>
      <c r="D1614" s="21">
        <f>ItensPedido!D1614</f>
        <v/>
      </c>
      <c r="E1614" s="22">
        <f>ItensPedido!E1614</f>
        <v/>
      </c>
      <c r="F1614" s="21">
        <f>IFERROR(INDEX(Pedidos!$B$2:$B$1801,MATCH(B1614,Pedidos!$A$2:$A$1801,0)),0)</f>
        <v/>
      </c>
      <c r="G1614" s="21">
        <f>IF(F1614=0,"",YEAR(F1614))</f>
        <v/>
      </c>
      <c r="H1614" s="21">
        <f>IF(F1614=0,"",MONTH(F1614))</f>
        <v/>
      </c>
      <c r="I1614" s="21">
        <f>IFERROR(INDEX(Pedidos!$E$2:$E$1801,MATCH(B1614,Pedidos!$A$2:$A$1801,0)),"")</f>
        <v/>
      </c>
      <c r="J1614" s="21">
        <f>IFERROR(INDEX(Pedidos!$C$2:$C$1801,MATCH(B1614,Pedidos!$A$2:$A$1801,0)),"")</f>
        <v/>
      </c>
      <c r="K1614" s="21">
        <f>IFERROR(INDEX(Pedidos!$D$2:$D$1801,MATCH(B1614,Pedidos!$A$2:$A$1801,0)),"")</f>
        <v/>
      </c>
      <c r="L1614" s="21">
        <f>IFERROR(INDEX(Pedidos!$F$2:$F$1801,MATCH(B1614,Pedidos!$A$2:$A$1801,0)),"")</f>
        <v/>
      </c>
      <c r="M1614" s="22">
        <f>IFERROR(INDEX(Pedidos!$G$2:$G$1801,MATCH(B1614,Pedidos!$A$2:$A$1801,0)),0)</f>
        <v/>
      </c>
      <c r="N1614" s="21">
        <f>IFERROR(INDEX(Produtos!$B$2:$B$71,MATCH(C1614,Produtos!$A$2:$A$71,0)),"")</f>
        <v/>
      </c>
      <c r="O1614" s="21">
        <f>IFERROR(INDEX(Produtos!$C$2:$C$71,MATCH(C1614,Produtos!$A$2:$A$71,0)),"")</f>
        <v/>
      </c>
      <c r="P1614" s="21">
        <f>IFERROR(INDEX(Produtos!$D$2:$D$71,MATCH(C1614,Produtos!$A$2:$A$71,0)),0)</f>
        <v/>
      </c>
      <c r="Q1614" s="21">
        <f>IFERROR(INDEX(Produtos!$E$2:$E$71,MATCH(C1614,Produtos!$A$2:$A$71,0)),0)</f>
        <v/>
      </c>
      <c r="R1614" s="23">
        <f>D1614*Q1614</f>
        <v/>
      </c>
      <c r="S1614" s="23">
        <f>R1614*E1614</f>
        <v/>
      </c>
      <c r="T1614" s="23">
        <f>(R1614-S1614)*M1614</f>
        <v/>
      </c>
      <c r="U1614" s="23">
        <f>R1614-S1614-T1614</f>
        <v/>
      </c>
      <c r="V1614" s="23">
        <f>D1614*P1614</f>
        <v/>
      </c>
      <c r="W1614" s="23">
        <f>U1614-V1614</f>
        <v/>
      </c>
      <c r="X1614" s="24">
        <f>IFERROR(W1614/U1614,0)</f>
        <v/>
      </c>
    </row>
    <row r="1615">
      <c r="A1615" s="25">
        <f>ItensPedido!A1615</f>
        <v/>
      </c>
      <c r="B1615" s="25">
        <f>ItensPedido!B1615</f>
        <v/>
      </c>
      <c r="C1615" s="25">
        <f>ItensPedido!C1615</f>
        <v/>
      </c>
      <c r="D1615" s="25">
        <f>ItensPedido!D1615</f>
        <v/>
      </c>
      <c r="E1615" s="26">
        <f>ItensPedido!E1615</f>
        <v/>
      </c>
      <c r="F1615" s="25">
        <f>IFERROR(INDEX(Pedidos!$B$2:$B$1801,MATCH(B1615,Pedidos!$A$2:$A$1801,0)),0)</f>
        <v/>
      </c>
      <c r="G1615" s="25">
        <f>IF(F1615=0,"",YEAR(F1615))</f>
        <v/>
      </c>
      <c r="H1615" s="25">
        <f>IF(F1615=0,"",MONTH(F1615))</f>
        <v/>
      </c>
      <c r="I1615" s="25">
        <f>IFERROR(INDEX(Pedidos!$E$2:$E$1801,MATCH(B1615,Pedidos!$A$2:$A$1801,0)),"")</f>
        <v/>
      </c>
      <c r="J1615" s="25">
        <f>IFERROR(INDEX(Pedidos!$C$2:$C$1801,MATCH(B1615,Pedidos!$A$2:$A$1801,0)),"")</f>
        <v/>
      </c>
      <c r="K1615" s="25">
        <f>IFERROR(INDEX(Pedidos!$D$2:$D$1801,MATCH(B1615,Pedidos!$A$2:$A$1801,0)),"")</f>
        <v/>
      </c>
      <c r="L1615" s="25">
        <f>IFERROR(INDEX(Pedidos!$F$2:$F$1801,MATCH(B1615,Pedidos!$A$2:$A$1801,0)),"")</f>
        <v/>
      </c>
      <c r="M1615" s="26">
        <f>IFERROR(INDEX(Pedidos!$G$2:$G$1801,MATCH(B1615,Pedidos!$A$2:$A$1801,0)),0)</f>
        <v/>
      </c>
      <c r="N1615" s="25">
        <f>IFERROR(INDEX(Produtos!$B$2:$B$71,MATCH(C1615,Produtos!$A$2:$A$71,0)),"")</f>
        <v/>
      </c>
      <c r="O1615" s="25">
        <f>IFERROR(INDEX(Produtos!$C$2:$C$71,MATCH(C1615,Produtos!$A$2:$A$71,0)),"")</f>
        <v/>
      </c>
      <c r="P1615" s="25">
        <f>IFERROR(INDEX(Produtos!$D$2:$D$71,MATCH(C1615,Produtos!$A$2:$A$71,0)),0)</f>
        <v/>
      </c>
      <c r="Q1615" s="25">
        <f>IFERROR(INDEX(Produtos!$E$2:$E$71,MATCH(C1615,Produtos!$A$2:$A$71,0)),0)</f>
        <v/>
      </c>
      <c r="R1615" s="27">
        <f>D1615*Q1615</f>
        <v/>
      </c>
      <c r="S1615" s="27">
        <f>R1615*E1615</f>
        <v/>
      </c>
      <c r="T1615" s="27">
        <f>(R1615-S1615)*M1615</f>
        <v/>
      </c>
      <c r="U1615" s="27">
        <f>R1615-S1615-T1615</f>
        <v/>
      </c>
      <c r="V1615" s="27">
        <f>D1615*P1615</f>
        <v/>
      </c>
      <c r="W1615" s="27">
        <f>U1615-V1615</f>
        <v/>
      </c>
      <c r="X1615" s="28">
        <f>IFERROR(W1615/U1615,0)</f>
        <v/>
      </c>
    </row>
    <row r="1616">
      <c r="A1616" s="21">
        <f>ItensPedido!A1616</f>
        <v/>
      </c>
      <c r="B1616" s="21">
        <f>ItensPedido!B1616</f>
        <v/>
      </c>
      <c r="C1616" s="21">
        <f>ItensPedido!C1616</f>
        <v/>
      </c>
      <c r="D1616" s="21">
        <f>ItensPedido!D1616</f>
        <v/>
      </c>
      <c r="E1616" s="22">
        <f>ItensPedido!E1616</f>
        <v/>
      </c>
      <c r="F1616" s="21">
        <f>IFERROR(INDEX(Pedidos!$B$2:$B$1801,MATCH(B1616,Pedidos!$A$2:$A$1801,0)),0)</f>
        <v/>
      </c>
      <c r="G1616" s="21">
        <f>IF(F1616=0,"",YEAR(F1616))</f>
        <v/>
      </c>
      <c r="H1616" s="21">
        <f>IF(F1616=0,"",MONTH(F1616))</f>
        <v/>
      </c>
      <c r="I1616" s="21">
        <f>IFERROR(INDEX(Pedidos!$E$2:$E$1801,MATCH(B1616,Pedidos!$A$2:$A$1801,0)),"")</f>
        <v/>
      </c>
      <c r="J1616" s="21">
        <f>IFERROR(INDEX(Pedidos!$C$2:$C$1801,MATCH(B1616,Pedidos!$A$2:$A$1801,0)),"")</f>
        <v/>
      </c>
      <c r="K1616" s="21">
        <f>IFERROR(INDEX(Pedidos!$D$2:$D$1801,MATCH(B1616,Pedidos!$A$2:$A$1801,0)),"")</f>
        <v/>
      </c>
      <c r="L1616" s="21">
        <f>IFERROR(INDEX(Pedidos!$F$2:$F$1801,MATCH(B1616,Pedidos!$A$2:$A$1801,0)),"")</f>
        <v/>
      </c>
      <c r="M1616" s="22">
        <f>IFERROR(INDEX(Pedidos!$G$2:$G$1801,MATCH(B1616,Pedidos!$A$2:$A$1801,0)),0)</f>
        <v/>
      </c>
      <c r="N1616" s="21">
        <f>IFERROR(INDEX(Produtos!$B$2:$B$71,MATCH(C1616,Produtos!$A$2:$A$71,0)),"")</f>
        <v/>
      </c>
      <c r="O1616" s="21">
        <f>IFERROR(INDEX(Produtos!$C$2:$C$71,MATCH(C1616,Produtos!$A$2:$A$71,0)),"")</f>
        <v/>
      </c>
      <c r="P1616" s="21">
        <f>IFERROR(INDEX(Produtos!$D$2:$D$71,MATCH(C1616,Produtos!$A$2:$A$71,0)),0)</f>
        <v/>
      </c>
      <c r="Q1616" s="21">
        <f>IFERROR(INDEX(Produtos!$E$2:$E$71,MATCH(C1616,Produtos!$A$2:$A$71,0)),0)</f>
        <v/>
      </c>
      <c r="R1616" s="23">
        <f>D1616*Q1616</f>
        <v/>
      </c>
      <c r="S1616" s="23">
        <f>R1616*E1616</f>
        <v/>
      </c>
      <c r="T1616" s="23">
        <f>(R1616-S1616)*M1616</f>
        <v/>
      </c>
      <c r="U1616" s="23">
        <f>R1616-S1616-T1616</f>
        <v/>
      </c>
      <c r="V1616" s="23">
        <f>D1616*P1616</f>
        <v/>
      </c>
      <c r="W1616" s="23">
        <f>U1616-V1616</f>
        <v/>
      </c>
      <c r="X1616" s="24">
        <f>IFERROR(W1616/U1616,0)</f>
        <v/>
      </c>
    </row>
    <row r="1617">
      <c r="A1617" s="25">
        <f>ItensPedido!A1617</f>
        <v/>
      </c>
      <c r="B1617" s="25">
        <f>ItensPedido!B1617</f>
        <v/>
      </c>
      <c r="C1617" s="25">
        <f>ItensPedido!C1617</f>
        <v/>
      </c>
      <c r="D1617" s="25">
        <f>ItensPedido!D1617</f>
        <v/>
      </c>
      <c r="E1617" s="26">
        <f>ItensPedido!E1617</f>
        <v/>
      </c>
      <c r="F1617" s="25">
        <f>IFERROR(INDEX(Pedidos!$B$2:$B$1801,MATCH(B1617,Pedidos!$A$2:$A$1801,0)),0)</f>
        <v/>
      </c>
      <c r="G1617" s="25">
        <f>IF(F1617=0,"",YEAR(F1617))</f>
        <v/>
      </c>
      <c r="H1617" s="25">
        <f>IF(F1617=0,"",MONTH(F1617))</f>
        <v/>
      </c>
      <c r="I1617" s="25">
        <f>IFERROR(INDEX(Pedidos!$E$2:$E$1801,MATCH(B1617,Pedidos!$A$2:$A$1801,0)),"")</f>
        <v/>
      </c>
      <c r="J1617" s="25">
        <f>IFERROR(INDEX(Pedidos!$C$2:$C$1801,MATCH(B1617,Pedidos!$A$2:$A$1801,0)),"")</f>
        <v/>
      </c>
      <c r="K1617" s="25">
        <f>IFERROR(INDEX(Pedidos!$D$2:$D$1801,MATCH(B1617,Pedidos!$A$2:$A$1801,0)),"")</f>
        <v/>
      </c>
      <c r="L1617" s="25">
        <f>IFERROR(INDEX(Pedidos!$F$2:$F$1801,MATCH(B1617,Pedidos!$A$2:$A$1801,0)),"")</f>
        <v/>
      </c>
      <c r="M1617" s="26">
        <f>IFERROR(INDEX(Pedidos!$G$2:$G$1801,MATCH(B1617,Pedidos!$A$2:$A$1801,0)),0)</f>
        <v/>
      </c>
      <c r="N1617" s="25">
        <f>IFERROR(INDEX(Produtos!$B$2:$B$71,MATCH(C1617,Produtos!$A$2:$A$71,0)),"")</f>
        <v/>
      </c>
      <c r="O1617" s="25">
        <f>IFERROR(INDEX(Produtos!$C$2:$C$71,MATCH(C1617,Produtos!$A$2:$A$71,0)),"")</f>
        <v/>
      </c>
      <c r="P1617" s="25">
        <f>IFERROR(INDEX(Produtos!$D$2:$D$71,MATCH(C1617,Produtos!$A$2:$A$71,0)),0)</f>
        <v/>
      </c>
      <c r="Q1617" s="25">
        <f>IFERROR(INDEX(Produtos!$E$2:$E$71,MATCH(C1617,Produtos!$A$2:$A$71,0)),0)</f>
        <v/>
      </c>
      <c r="R1617" s="27">
        <f>D1617*Q1617</f>
        <v/>
      </c>
      <c r="S1617" s="27">
        <f>R1617*E1617</f>
        <v/>
      </c>
      <c r="T1617" s="27">
        <f>(R1617-S1617)*M1617</f>
        <v/>
      </c>
      <c r="U1617" s="27">
        <f>R1617-S1617-T1617</f>
        <v/>
      </c>
      <c r="V1617" s="27">
        <f>D1617*P1617</f>
        <v/>
      </c>
      <c r="W1617" s="27">
        <f>U1617-V1617</f>
        <v/>
      </c>
      <c r="X1617" s="28">
        <f>IFERROR(W1617/U1617,0)</f>
        <v/>
      </c>
    </row>
    <row r="1618">
      <c r="A1618" s="21">
        <f>ItensPedido!A1618</f>
        <v/>
      </c>
      <c r="B1618" s="21">
        <f>ItensPedido!B1618</f>
        <v/>
      </c>
      <c r="C1618" s="21">
        <f>ItensPedido!C1618</f>
        <v/>
      </c>
      <c r="D1618" s="21">
        <f>ItensPedido!D1618</f>
        <v/>
      </c>
      <c r="E1618" s="22">
        <f>ItensPedido!E1618</f>
        <v/>
      </c>
      <c r="F1618" s="21">
        <f>IFERROR(INDEX(Pedidos!$B$2:$B$1801,MATCH(B1618,Pedidos!$A$2:$A$1801,0)),0)</f>
        <v/>
      </c>
      <c r="G1618" s="21">
        <f>IF(F1618=0,"",YEAR(F1618))</f>
        <v/>
      </c>
      <c r="H1618" s="21">
        <f>IF(F1618=0,"",MONTH(F1618))</f>
        <v/>
      </c>
      <c r="I1618" s="21">
        <f>IFERROR(INDEX(Pedidos!$E$2:$E$1801,MATCH(B1618,Pedidos!$A$2:$A$1801,0)),"")</f>
        <v/>
      </c>
      <c r="J1618" s="21">
        <f>IFERROR(INDEX(Pedidos!$C$2:$C$1801,MATCH(B1618,Pedidos!$A$2:$A$1801,0)),"")</f>
        <v/>
      </c>
      <c r="K1618" s="21">
        <f>IFERROR(INDEX(Pedidos!$D$2:$D$1801,MATCH(B1618,Pedidos!$A$2:$A$1801,0)),"")</f>
        <v/>
      </c>
      <c r="L1618" s="21">
        <f>IFERROR(INDEX(Pedidos!$F$2:$F$1801,MATCH(B1618,Pedidos!$A$2:$A$1801,0)),"")</f>
        <v/>
      </c>
      <c r="M1618" s="22">
        <f>IFERROR(INDEX(Pedidos!$G$2:$G$1801,MATCH(B1618,Pedidos!$A$2:$A$1801,0)),0)</f>
        <v/>
      </c>
      <c r="N1618" s="21">
        <f>IFERROR(INDEX(Produtos!$B$2:$B$71,MATCH(C1618,Produtos!$A$2:$A$71,0)),"")</f>
        <v/>
      </c>
      <c r="O1618" s="21">
        <f>IFERROR(INDEX(Produtos!$C$2:$C$71,MATCH(C1618,Produtos!$A$2:$A$71,0)),"")</f>
        <v/>
      </c>
      <c r="P1618" s="21">
        <f>IFERROR(INDEX(Produtos!$D$2:$D$71,MATCH(C1618,Produtos!$A$2:$A$71,0)),0)</f>
        <v/>
      </c>
      <c r="Q1618" s="21">
        <f>IFERROR(INDEX(Produtos!$E$2:$E$71,MATCH(C1618,Produtos!$A$2:$A$71,0)),0)</f>
        <v/>
      </c>
      <c r="R1618" s="23">
        <f>D1618*Q1618</f>
        <v/>
      </c>
      <c r="S1618" s="23">
        <f>R1618*E1618</f>
        <v/>
      </c>
      <c r="T1618" s="23">
        <f>(R1618-S1618)*M1618</f>
        <v/>
      </c>
      <c r="U1618" s="23">
        <f>R1618-S1618-T1618</f>
        <v/>
      </c>
      <c r="V1618" s="23">
        <f>D1618*P1618</f>
        <v/>
      </c>
      <c r="W1618" s="23">
        <f>U1618-V1618</f>
        <v/>
      </c>
      <c r="X1618" s="24">
        <f>IFERROR(W1618/U1618,0)</f>
        <v/>
      </c>
    </row>
    <row r="1619">
      <c r="A1619" s="25">
        <f>ItensPedido!A1619</f>
        <v/>
      </c>
      <c r="B1619" s="25">
        <f>ItensPedido!B1619</f>
        <v/>
      </c>
      <c r="C1619" s="25">
        <f>ItensPedido!C1619</f>
        <v/>
      </c>
      <c r="D1619" s="25">
        <f>ItensPedido!D1619</f>
        <v/>
      </c>
      <c r="E1619" s="26">
        <f>ItensPedido!E1619</f>
        <v/>
      </c>
      <c r="F1619" s="25">
        <f>IFERROR(INDEX(Pedidos!$B$2:$B$1801,MATCH(B1619,Pedidos!$A$2:$A$1801,0)),0)</f>
        <v/>
      </c>
      <c r="G1619" s="25">
        <f>IF(F1619=0,"",YEAR(F1619))</f>
        <v/>
      </c>
      <c r="H1619" s="25">
        <f>IF(F1619=0,"",MONTH(F1619))</f>
        <v/>
      </c>
      <c r="I1619" s="25">
        <f>IFERROR(INDEX(Pedidos!$E$2:$E$1801,MATCH(B1619,Pedidos!$A$2:$A$1801,0)),"")</f>
        <v/>
      </c>
      <c r="J1619" s="25">
        <f>IFERROR(INDEX(Pedidos!$C$2:$C$1801,MATCH(B1619,Pedidos!$A$2:$A$1801,0)),"")</f>
        <v/>
      </c>
      <c r="K1619" s="25">
        <f>IFERROR(INDEX(Pedidos!$D$2:$D$1801,MATCH(B1619,Pedidos!$A$2:$A$1801,0)),"")</f>
        <v/>
      </c>
      <c r="L1619" s="25">
        <f>IFERROR(INDEX(Pedidos!$F$2:$F$1801,MATCH(B1619,Pedidos!$A$2:$A$1801,0)),"")</f>
        <v/>
      </c>
      <c r="M1619" s="26">
        <f>IFERROR(INDEX(Pedidos!$G$2:$G$1801,MATCH(B1619,Pedidos!$A$2:$A$1801,0)),0)</f>
        <v/>
      </c>
      <c r="N1619" s="25">
        <f>IFERROR(INDEX(Produtos!$B$2:$B$71,MATCH(C1619,Produtos!$A$2:$A$71,0)),"")</f>
        <v/>
      </c>
      <c r="O1619" s="25">
        <f>IFERROR(INDEX(Produtos!$C$2:$C$71,MATCH(C1619,Produtos!$A$2:$A$71,0)),"")</f>
        <v/>
      </c>
      <c r="P1619" s="25">
        <f>IFERROR(INDEX(Produtos!$D$2:$D$71,MATCH(C1619,Produtos!$A$2:$A$71,0)),0)</f>
        <v/>
      </c>
      <c r="Q1619" s="25">
        <f>IFERROR(INDEX(Produtos!$E$2:$E$71,MATCH(C1619,Produtos!$A$2:$A$71,0)),0)</f>
        <v/>
      </c>
      <c r="R1619" s="27">
        <f>D1619*Q1619</f>
        <v/>
      </c>
      <c r="S1619" s="27">
        <f>R1619*E1619</f>
        <v/>
      </c>
      <c r="T1619" s="27">
        <f>(R1619-S1619)*M1619</f>
        <v/>
      </c>
      <c r="U1619" s="27">
        <f>R1619-S1619-T1619</f>
        <v/>
      </c>
      <c r="V1619" s="27">
        <f>D1619*P1619</f>
        <v/>
      </c>
      <c r="W1619" s="27">
        <f>U1619-V1619</f>
        <v/>
      </c>
      <c r="X1619" s="28">
        <f>IFERROR(W1619/U1619,0)</f>
        <v/>
      </c>
    </row>
    <row r="1620">
      <c r="A1620" s="21">
        <f>ItensPedido!A1620</f>
        <v/>
      </c>
      <c r="B1620" s="21">
        <f>ItensPedido!B1620</f>
        <v/>
      </c>
      <c r="C1620" s="21">
        <f>ItensPedido!C1620</f>
        <v/>
      </c>
      <c r="D1620" s="21">
        <f>ItensPedido!D1620</f>
        <v/>
      </c>
      <c r="E1620" s="22">
        <f>ItensPedido!E1620</f>
        <v/>
      </c>
      <c r="F1620" s="21">
        <f>IFERROR(INDEX(Pedidos!$B$2:$B$1801,MATCH(B1620,Pedidos!$A$2:$A$1801,0)),0)</f>
        <v/>
      </c>
      <c r="G1620" s="21">
        <f>IF(F1620=0,"",YEAR(F1620))</f>
        <v/>
      </c>
      <c r="H1620" s="21">
        <f>IF(F1620=0,"",MONTH(F1620))</f>
        <v/>
      </c>
      <c r="I1620" s="21">
        <f>IFERROR(INDEX(Pedidos!$E$2:$E$1801,MATCH(B1620,Pedidos!$A$2:$A$1801,0)),"")</f>
        <v/>
      </c>
      <c r="J1620" s="21">
        <f>IFERROR(INDEX(Pedidos!$C$2:$C$1801,MATCH(B1620,Pedidos!$A$2:$A$1801,0)),"")</f>
        <v/>
      </c>
      <c r="K1620" s="21">
        <f>IFERROR(INDEX(Pedidos!$D$2:$D$1801,MATCH(B1620,Pedidos!$A$2:$A$1801,0)),"")</f>
        <v/>
      </c>
      <c r="L1620" s="21">
        <f>IFERROR(INDEX(Pedidos!$F$2:$F$1801,MATCH(B1620,Pedidos!$A$2:$A$1801,0)),"")</f>
        <v/>
      </c>
      <c r="M1620" s="22">
        <f>IFERROR(INDEX(Pedidos!$G$2:$G$1801,MATCH(B1620,Pedidos!$A$2:$A$1801,0)),0)</f>
        <v/>
      </c>
      <c r="N1620" s="21">
        <f>IFERROR(INDEX(Produtos!$B$2:$B$71,MATCH(C1620,Produtos!$A$2:$A$71,0)),"")</f>
        <v/>
      </c>
      <c r="O1620" s="21">
        <f>IFERROR(INDEX(Produtos!$C$2:$C$71,MATCH(C1620,Produtos!$A$2:$A$71,0)),"")</f>
        <v/>
      </c>
      <c r="P1620" s="21">
        <f>IFERROR(INDEX(Produtos!$D$2:$D$71,MATCH(C1620,Produtos!$A$2:$A$71,0)),0)</f>
        <v/>
      </c>
      <c r="Q1620" s="21">
        <f>IFERROR(INDEX(Produtos!$E$2:$E$71,MATCH(C1620,Produtos!$A$2:$A$71,0)),0)</f>
        <v/>
      </c>
      <c r="R1620" s="23">
        <f>D1620*Q1620</f>
        <v/>
      </c>
      <c r="S1620" s="23">
        <f>R1620*E1620</f>
        <v/>
      </c>
      <c r="T1620" s="23">
        <f>(R1620-S1620)*M1620</f>
        <v/>
      </c>
      <c r="U1620" s="23">
        <f>R1620-S1620-T1620</f>
        <v/>
      </c>
      <c r="V1620" s="23">
        <f>D1620*P1620</f>
        <v/>
      </c>
      <c r="W1620" s="23">
        <f>U1620-V1620</f>
        <v/>
      </c>
      <c r="X1620" s="24">
        <f>IFERROR(W1620/U1620,0)</f>
        <v/>
      </c>
    </row>
    <row r="1621">
      <c r="A1621" s="25">
        <f>ItensPedido!A1621</f>
        <v/>
      </c>
      <c r="B1621" s="25">
        <f>ItensPedido!B1621</f>
        <v/>
      </c>
      <c r="C1621" s="25">
        <f>ItensPedido!C1621</f>
        <v/>
      </c>
      <c r="D1621" s="25">
        <f>ItensPedido!D1621</f>
        <v/>
      </c>
      <c r="E1621" s="26">
        <f>ItensPedido!E1621</f>
        <v/>
      </c>
      <c r="F1621" s="25">
        <f>IFERROR(INDEX(Pedidos!$B$2:$B$1801,MATCH(B1621,Pedidos!$A$2:$A$1801,0)),0)</f>
        <v/>
      </c>
      <c r="G1621" s="25">
        <f>IF(F1621=0,"",YEAR(F1621))</f>
        <v/>
      </c>
      <c r="H1621" s="25">
        <f>IF(F1621=0,"",MONTH(F1621))</f>
        <v/>
      </c>
      <c r="I1621" s="25">
        <f>IFERROR(INDEX(Pedidos!$E$2:$E$1801,MATCH(B1621,Pedidos!$A$2:$A$1801,0)),"")</f>
        <v/>
      </c>
      <c r="J1621" s="25">
        <f>IFERROR(INDEX(Pedidos!$C$2:$C$1801,MATCH(B1621,Pedidos!$A$2:$A$1801,0)),"")</f>
        <v/>
      </c>
      <c r="K1621" s="25">
        <f>IFERROR(INDEX(Pedidos!$D$2:$D$1801,MATCH(B1621,Pedidos!$A$2:$A$1801,0)),"")</f>
        <v/>
      </c>
      <c r="L1621" s="25">
        <f>IFERROR(INDEX(Pedidos!$F$2:$F$1801,MATCH(B1621,Pedidos!$A$2:$A$1801,0)),"")</f>
        <v/>
      </c>
      <c r="M1621" s="26">
        <f>IFERROR(INDEX(Pedidos!$G$2:$G$1801,MATCH(B1621,Pedidos!$A$2:$A$1801,0)),0)</f>
        <v/>
      </c>
      <c r="N1621" s="25">
        <f>IFERROR(INDEX(Produtos!$B$2:$B$71,MATCH(C1621,Produtos!$A$2:$A$71,0)),"")</f>
        <v/>
      </c>
      <c r="O1621" s="25">
        <f>IFERROR(INDEX(Produtos!$C$2:$C$71,MATCH(C1621,Produtos!$A$2:$A$71,0)),"")</f>
        <v/>
      </c>
      <c r="P1621" s="25">
        <f>IFERROR(INDEX(Produtos!$D$2:$D$71,MATCH(C1621,Produtos!$A$2:$A$71,0)),0)</f>
        <v/>
      </c>
      <c r="Q1621" s="25">
        <f>IFERROR(INDEX(Produtos!$E$2:$E$71,MATCH(C1621,Produtos!$A$2:$A$71,0)),0)</f>
        <v/>
      </c>
      <c r="R1621" s="27">
        <f>D1621*Q1621</f>
        <v/>
      </c>
      <c r="S1621" s="27">
        <f>R1621*E1621</f>
        <v/>
      </c>
      <c r="T1621" s="27">
        <f>(R1621-S1621)*M1621</f>
        <v/>
      </c>
      <c r="U1621" s="27">
        <f>R1621-S1621-T1621</f>
        <v/>
      </c>
      <c r="V1621" s="27">
        <f>D1621*P1621</f>
        <v/>
      </c>
      <c r="W1621" s="27">
        <f>U1621-V1621</f>
        <v/>
      </c>
      <c r="X1621" s="28">
        <f>IFERROR(W1621/U1621,0)</f>
        <v/>
      </c>
    </row>
    <row r="1622">
      <c r="A1622" s="21">
        <f>ItensPedido!A1622</f>
        <v/>
      </c>
      <c r="B1622" s="21">
        <f>ItensPedido!B1622</f>
        <v/>
      </c>
      <c r="C1622" s="21">
        <f>ItensPedido!C1622</f>
        <v/>
      </c>
      <c r="D1622" s="21">
        <f>ItensPedido!D1622</f>
        <v/>
      </c>
      <c r="E1622" s="22">
        <f>ItensPedido!E1622</f>
        <v/>
      </c>
      <c r="F1622" s="21">
        <f>IFERROR(INDEX(Pedidos!$B$2:$B$1801,MATCH(B1622,Pedidos!$A$2:$A$1801,0)),0)</f>
        <v/>
      </c>
      <c r="G1622" s="21">
        <f>IF(F1622=0,"",YEAR(F1622))</f>
        <v/>
      </c>
      <c r="H1622" s="21">
        <f>IF(F1622=0,"",MONTH(F1622))</f>
        <v/>
      </c>
      <c r="I1622" s="21">
        <f>IFERROR(INDEX(Pedidos!$E$2:$E$1801,MATCH(B1622,Pedidos!$A$2:$A$1801,0)),"")</f>
        <v/>
      </c>
      <c r="J1622" s="21">
        <f>IFERROR(INDEX(Pedidos!$C$2:$C$1801,MATCH(B1622,Pedidos!$A$2:$A$1801,0)),"")</f>
        <v/>
      </c>
      <c r="K1622" s="21">
        <f>IFERROR(INDEX(Pedidos!$D$2:$D$1801,MATCH(B1622,Pedidos!$A$2:$A$1801,0)),"")</f>
        <v/>
      </c>
      <c r="L1622" s="21">
        <f>IFERROR(INDEX(Pedidos!$F$2:$F$1801,MATCH(B1622,Pedidos!$A$2:$A$1801,0)),"")</f>
        <v/>
      </c>
      <c r="M1622" s="22">
        <f>IFERROR(INDEX(Pedidos!$G$2:$G$1801,MATCH(B1622,Pedidos!$A$2:$A$1801,0)),0)</f>
        <v/>
      </c>
      <c r="N1622" s="21">
        <f>IFERROR(INDEX(Produtos!$B$2:$B$71,MATCH(C1622,Produtos!$A$2:$A$71,0)),"")</f>
        <v/>
      </c>
      <c r="O1622" s="21">
        <f>IFERROR(INDEX(Produtos!$C$2:$C$71,MATCH(C1622,Produtos!$A$2:$A$71,0)),"")</f>
        <v/>
      </c>
      <c r="P1622" s="21">
        <f>IFERROR(INDEX(Produtos!$D$2:$D$71,MATCH(C1622,Produtos!$A$2:$A$71,0)),0)</f>
        <v/>
      </c>
      <c r="Q1622" s="21">
        <f>IFERROR(INDEX(Produtos!$E$2:$E$71,MATCH(C1622,Produtos!$A$2:$A$71,0)),0)</f>
        <v/>
      </c>
      <c r="R1622" s="23">
        <f>D1622*Q1622</f>
        <v/>
      </c>
      <c r="S1622" s="23">
        <f>R1622*E1622</f>
        <v/>
      </c>
      <c r="T1622" s="23">
        <f>(R1622-S1622)*M1622</f>
        <v/>
      </c>
      <c r="U1622" s="23">
        <f>R1622-S1622-T1622</f>
        <v/>
      </c>
      <c r="V1622" s="23">
        <f>D1622*P1622</f>
        <v/>
      </c>
      <c r="W1622" s="23">
        <f>U1622-V1622</f>
        <v/>
      </c>
      <c r="X1622" s="24">
        <f>IFERROR(W1622/U1622,0)</f>
        <v/>
      </c>
    </row>
    <row r="1623">
      <c r="A1623" s="25">
        <f>ItensPedido!A1623</f>
        <v/>
      </c>
      <c r="B1623" s="25">
        <f>ItensPedido!B1623</f>
        <v/>
      </c>
      <c r="C1623" s="25">
        <f>ItensPedido!C1623</f>
        <v/>
      </c>
      <c r="D1623" s="25">
        <f>ItensPedido!D1623</f>
        <v/>
      </c>
      <c r="E1623" s="26">
        <f>ItensPedido!E1623</f>
        <v/>
      </c>
      <c r="F1623" s="25">
        <f>IFERROR(INDEX(Pedidos!$B$2:$B$1801,MATCH(B1623,Pedidos!$A$2:$A$1801,0)),0)</f>
        <v/>
      </c>
      <c r="G1623" s="25">
        <f>IF(F1623=0,"",YEAR(F1623))</f>
        <v/>
      </c>
      <c r="H1623" s="25">
        <f>IF(F1623=0,"",MONTH(F1623))</f>
        <v/>
      </c>
      <c r="I1623" s="25">
        <f>IFERROR(INDEX(Pedidos!$E$2:$E$1801,MATCH(B1623,Pedidos!$A$2:$A$1801,0)),"")</f>
        <v/>
      </c>
      <c r="J1623" s="25">
        <f>IFERROR(INDEX(Pedidos!$C$2:$C$1801,MATCH(B1623,Pedidos!$A$2:$A$1801,0)),"")</f>
        <v/>
      </c>
      <c r="K1623" s="25">
        <f>IFERROR(INDEX(Pedidos!$D$2:$D$1801,MATCH(B1623,Pedidos!$A$2:$A$1801,0)),"")</f>
        <v/>
      </c>
      <c r="L1623" s="25">
        <f>IFERROR(INDEX(Pedidos!$F$2:$F$1801,MATCH(B1623,Pedidos!$A$2:$A$1801,0)),"")</f>
        <v/>
      </c>
      <c r="M1623" s="26">
        <f>IFERROR(INDEX(Pedidos!$G$2:$G$1801,MATCH(B1623,Pedidos!$A$2:$A$1801,0)),0)</f>
        <v/>
      </c>
      <c r="N1623" s="25">
        <f>IFERROR(INDEX(Produtos!$B$2:$B$71,MATCH(C1623,Produtos!$A$2:$A$71,0)),"")</f>
        <v/>
      </c>
      <c r="O1623" s="25">
        <f>IFERROR(INDEX(Produtos!$C$2:$C$71,MATCH(C1623,Produtos!$A$2:$A$71,0)),"")</f>
        <v/>
      </c>
      <c r="P1623" s="25">
        <f>IFERROR(INDEX(Produtos!$D$2:$D$71,MATCH(C1623,Produtos!$A$2:$A$71,0)),0)</f>
        <v/>
      </c>
      <c r="Q1623" s="25">
        <f>IFERROR(INDEX(Produtos!$E$2:$E$71,MATCH(C1623,Produtos!$A$2:$A$71,0)),0)</f>
        <v/>
      </c>
      <c r="R1623" s="27">
        <f>D1623*Q1623</f>
        <v/>
      </c>
      <c r="S1623" s="27">
        <f>R1623*E1623</f>
        <v/>
      </c>
      <c r="T1623" s="27">
        <f>(R1623-S1623)*M1623</f>
        <v/>
      </c>
      <c r="U1623" s="27">
        <f>R1623-S1623-T1623</f>
        <v/>
      </c>
      <c r="V1623" s="27">
        <f>D1623*P1623</f>
        <v/>
      </c>
      <c r="W1623" s="27">
        <f>U1623-V1623</f>
        <v/>
      </c>
      <c r="X1623" s="28">
        <f>IFERROR(W1623/U1623,0)</f>
        <v/>
      </c>
    </row>
    <row r="1624">
      <c r="A1624" s="21">
        <f>ItensPedido!A1624</f>
        <v/>
      </c>
      <c r="B1624" s="21">
        <f>ItensPedido!B1624</f>
        <v/>
      </c>
      <c r="C1624" s="21">
        <f>ItensPedido!C1624</f>
        <v/>
      </c>
      <c r="D1624" s="21">
        <f>ItensPedido!D1624</f>
        <v/>
      </c>
      <c r="E1624" s="22">
        <f>ItensPedido!E1624</f>
        <v/>
      </c>
      <c r="F1624" s="21">
        <f>IFERROR(INDEX(Pedidos!$B$2:$B$1801,MATCH(B1624,Pedidos!$A$2:$A$1801,0)),0)</f>
        <v/>
      </c>
      <c r="G1624" s="21">
        <f>IF(F1624=0,"",YEAR(F1624))</f>
        <v/>
      </c>
      <c r="H1624" s="21">
        <f>IF(F1624=0,"",MONTH(F1624))</f>
        <v/>
      </c>
      <c r="I1624" s="21">
        <f>IFERROR(INDEX(Pedidos!$E$2:$E$1801,MATCH(B1624,Pedidos!$A$2:$A$1801,0)),"")</f>
        <v/>
      </c>
      <c r="J1624" s="21">
        <f>IFERROR(INDEX(Pedidos!$C$2:$C$1801,MATCH(B1624,Pedidos!$A$2:$A$1801,0)),"")</f>
        <v/>
      </c>
      <c r="K1624" s="21">
        <f>IFERROR(INDEX(Pedidos!$D$2:$D$1801,MATCH(B1624,Pedidos!$A$2:$A$1801,0)),"")</f>
        <v/>
      </c>
      <c r="L1624" s="21">
        <f>IFERROR(INDEX(Pedidos!$F$2:$F$1801,MATCH(B1624,Pedidos!$A$2:$A$1801,0)),"")</f>
        <v/>
      </c>
      <c r="M1624" s="22">
        <f>IFERROR(INDEX(Pedidos!$G$2:$G$1801,MATCH(B1624,Pedidos!$A$2:$A$1801,0)),0)</f>
        <v/>
      </c>
      <c r="N1624" s="21">
        <f>IFERROR(INDEX(Produtos!$B$2:$B$71,MATCH(C1624,Produtos!$A$2:$A$71,0)),"")</f>
        <v/>
      </c>
      <c r="O1624" s="21">
        <f>IFERROR(INDEX(Produtos!$C$2:$C$71,MATCH(C1624,Produtos!$A$2:$A$71,0)),"")</f>
        <v/>
      </c>
      <c r="P1624" s="21">
        <f>IFERROR(INDEX(Produtos!$D$2:$D$71,MATCH(C1624,Produtos!$A$2:$A$71,0)),0)</f>
        <v/>
      </c>
      <c r="Q1624" s="21">
        <f>IFERROR(INDEX(Produtos!$E$2:$E$71,MATCH(C1624,Produtos!$A$2:$A$71,0)),0)</f>
        <v/>
      </c>
      <c r="R1624" s="23">
        <f>D1624*Q1624</f>
        <v/>
      </c>
      <c r="S1624" s="23">
        <f>R1624*E1624</f>
        <v/>
      </c>
      <c r="T1624" s="23">
        <f>(R1624-S1624)*M1624</f>
        <v/>
      </c>
      <c r="U1624" s="23">
        <f>R1624-S1624-T1624</f>
        <v/>
      </c>
      <c r="V1624" s="23">
        <f>D1624*P1624</f>
        <v/>
      </c>
      <c r="W1624" s="23">
        <f>U1624-V1624</f>
        <v/>
      </c>
      <c r="X1624" s="24">
        <f>IFERROR(W1624/U1624,0)</f>
        <v/>
      </c>
    </row>
    <row r="1625">
      <c r="A1625" s="25">
        <f>ItensPedido!A1625</f>
        <v/>
      </c>
      <c r="B1625" s="25">
        <f>ItensPedido!B1625</f>
        <v/>
      </c>
      <c r="C1625" s="25">
        <f>ItensPedido!C1625</f>
        <v/>
      </c>
      <c r="D1625" s="25">
        <f>ItensPedido!D1625</f>
        <v/>
      </c>
      <c r="E1625" s="26">
        <f>ItensPedido!E1625</f>
        <v/>
      </c>
      <c r="F1625" s="25">
        <f>IFERROR(INDEX(Pedidos!$B$2:$B$1801,MATCH(B1625,Pedidos!$A$2:$A$1801,0)),0)</f>
        <v/>
      </c>
      <c r="G1625" s="25">
        <f>IF(F1625=0,"",YEAR(F1625))</f>
        <v/>
      </c>
      <c r="H1625" s="25">
        <f>IF(F1625=0,"",MONTH(F1625))</f>
        <v/>
      </c>
      <c r="I1625" s="25">
        <f>IFERROR(INDEX(Pedidos!$E$2:$E$1801,MATCH(B1625,Pedidos!$A$2:$A$1801,0)),"")</f>
        <v/>
      </c>
      <c r="J1625" s="25">
        <f>IFERROR(INDEX(Pedidos!$C$2:$C$1801,MATCH(B1625,Pedidos!$A$2:$A$1801,0)),"")</f>
        <v/>
      </c>
      <c r="K1625" s="25">
        <f>IFERROR(INDEX(Pedidos!$D$2:$D$1801,MATCH(B1625,Pedidos!$A$2:$A$1801,0)),"")</f>
        <v/>
      </c>
      <c r="L1625" s="25">
        <f>IFERROR(INDEX(Pedidos!$F$2:$F$1801,MATCH(B1625,Pedidos!$A$2:$A$1801,0)),"")</f>
        <v/>
      </c>
      <c r="M1625" s="26">
        <f>IFERROR(INDEX(Pedidos!$G$2:$G$1801,MATCH(B1625,Pedidos!$A$2:$A$1801,0)),0)</f>
        <v/>
      </c>
      <c r="N1625" s="25">
        <f>IFERROR(INDEX(Produtos!$B$2:$B$71,MATCH(C1625,Produtos!$A$2:$A$71,0)),"")</f>
        <v/>
      </c>
      <c r="O1625" s="25">
        <f>IFERROR(INDEX(Produtos!$C$2:$C$71,MATCH(C1625,Produtos!$A$2:$A$71,0)),"")</f>
        <v/>
      </c>
      <c r="P1625" s="25">
        <f>IFERROR(INDEX(Produtos!$D$2:$D$71,MATCH(C1625,Produtos!$A$2:$A$71,0)),0)</f>
        <v/>
      </c>
      <c r="Q1625" s="25">
        <f>IFERROR(INDEX(Produtos!$E$2:$E$71,MATCH(C1625,Produtos!$A$2:$A$71,0)),0)</f>
        <v/>
      </c>
      <c r="R1625" s="27">
        <f>D1625*Q1625</f>
        <v/>
      </c>
      <c r="S1625" s="27">
        <f>R1625*E1625</f>
        <v/>
      </c>
      <c r="T1625" s="27">
        <f>(R1625-S1625)*M1625</f>
        <v/>
      </c>
      <c r="U1625" s="27">
        <f>R1625-S1625-T1625</f>
        <v/>
      </c>
      <c r="V1625" s="27">
        <f>D1625*P1625</f>
        <v/>
      </c>
      <c r="W1625" s="27">
        <f>U1625-V1625</f>
        <v/>
      </c>
      <c r="X1625" s="28">
        <f>IFERROR(W1625/U1625,0)</f>
        <v/>
      </c>
    </row>
    <row r="1626">
      <c r="A1626" s="21">
        <f>ItensPedido!A1626</f>
        <v/>
      </c>
      <c r="B1626" s="21">
        <f>ItensPedido!B1626</f>
        <v/>
      </c>
      <c r="C1626" s="21">
        <f>ItensPedido!C1626</f>
        <v/>
      </c>
      <c r="D1626" s="21">
        <f>ItensPedido!D1626</f>
        <v/>
      </c>
      <c r="E1626" s="22">
        <f>ItensPedido!E1626</f>
        <v/>
      </c>
      <c r="F1626" s="21">
        <f>IFERROR(INDEX(Pedidos!$B$2:$B$1801,MATCH(B1626,Pedidos!$A$2:$A$1801,0)),0)</f>
        <v/>
      </c>
      <c r="G1626" s="21">
        <f>IF(F1626=0,"",YEAR(F1626))</f>
        <v/>
      </c>
      <c r="H1626" s="21">
        <f>IF(F1626=0,"",MONTH(F1626))</f>
        <v/>
      </c>
      <c r="I1626" s="21">
        <f>IFERROR(INDEX(Pedidos!$E$2:$E$1801,MATCH(B1626,Pedidos!$A$2:$A$1801,0)),"")</f>
        <v/>
      </c>
      <c r="J1626" s="21">
        <f>IFERROR(INDEX(Pedidos!$C$2:$C$1801,MATCH(B1626,Pedidos!$A$2:$A$1801,0)),"")</f>
        <v/>
      </c>
      <c r="K1626" s="21">
        <f>IFERROR(INDEX(Pedidos!$D$2:$D$1801,MATCH(B1626,Pedidos!$A$2:$A$1801,0)),"")</f>
        <v/>
      </c>
      <c r="L1626" s="21">
        <f>IFERROR(INDEX(Pedidos!$F$2:$F$1801,MATCH(B1626,Pedidos!$A$2:$A$1801,0)),"")</f>
        <v/>
      </c>
      <c r="M1626" s="22">
        <f>IFERROR(INDEX(Pedidos!$G$2:$G$1801,MATCH(B1626,Pedidos!$A$2:$A$1801,0)),0)</f>
        <v/>
      </c>
      <c r="N1626" s="21">
        <f>IFERROR(INDEX(Produtos!$B$2:$B$71,MATCH(C1626,Produtos!$A$2:$A$71,0)),"")</f>
        <v/>
      </c>
      <c r="O1626" s="21">
        <f>IFERROR(INDEX(Produtos!$C$2:$C$71,MATCH(C1626,Produtos!$A$2:$A$71,0)),"")</f>
        <v/>
      </c>
      <c r="P1626" s="21">
        <f>IFERROR(INDEX(Produtos!$D$2:$D$71,MATCH(C1626,Produtos!$A$2:$A$71,0)),0)</f>
        <v/>
      </c>
      <c r="Q1626" s="21">
        <f>IFERROR(INDEX(Produtos!$E$2:$E$71,MATCH(C1626,Produtos!$A$2:$A$71,0)),0)</f>
        <v/>
      </c>
      <c r="R1626" s="23">
        <f>D1626*Q1626</f>
        <v/>
      </c>
      <c r="S1626" s="23">
        <f>R1626*E1626</f>
        <v/>
      </c>
      <c r="T1626" s="23">
        <f>(R1626-S1626)*M1626</f>
        <v/>
      </c>
      <c r="U1626" s="23">
        <f>R1626-S1626-T1626</f>
        <v/>
      </c>
      <c r="V1626" s="23">
        <f>D1626*P1626</f>
        <v/>
      </c>
      <c r="W1626" s="23">
        <f>U1626-V1626</f>
        <v/>
      </c>
      <c r="X1626" s="24">
        <f>IFERROR(W1626/U1626,0)</f>
        <v/>
      </c>
    </row>
    <row r="1627">
      <c r="A1627" s="25">
        <f>ItensPedido!A1627</f>
        <v/>
      </c>
      <c r="B1627" s="25">
        <f>ItensPedido!B1627</f>
        <v/>
      </c>
      <c r="C1627" s="25">
        <f>ItensPedido!C1627</f>
        <v/>
      </c>
      <c r="D1627" s="25">
        <f>ItensPedido!D1627</f>
        <v/>
      </c>
      <c r="E1627" s="26">
        <f>ItensPedido!E1627</f>
        <v/>
      </c>
      <c r="F1627" s="25">
        <f>IFERROR(INDEX(Pedidos!$B$2:$B$1801,MATCH(B1627,Pedidos!$A$2:$A$1801,0)),0)</f>
        <v/>
      </c>
      <c r="G1627" s="25">
        <f>IF(F1627=0,"",YEAR(F1627))</f>
        <v/>
      </c>
      <c r="H1627" s="25">
        <f>IF(F1627=0,"",MONTH(F1627))</f>
        <v/>
      </c>
      <c r="I1627" s="25">
        <f>IFERROR(INDEX(Pedidos!$E$2:$E$1801,MATCH(B1627,Pedidos!$A$2:$A$1801,0)),"")</f>
        <v/>
      </c>
      <c r="J1627" s="25">
        <f>IFERROR(INDEX(Pedidos!$C$2:$C$1801,MATCH(B1627,Pedidos!$A$2:$A$1801,0)),"")</f>
        <v/>
      </c>
      <c r="K1627" s="25">
        <f>IFERROR(INDEX(Pedidos!$D$2:$D$1801,MATCH(B1627,Pedidos!$A$2:$A$1801,0)),"")</f>
        <v/>
      </c>
      <c r="L1627" s="25">
        <f>IFERROR(INDEX(Pedidos!$F$2:$F$1801,MATCH(B1627,Pedidos!$A$2:$A$1801,0)),"")</f>
        <v/>
      </c>
      <c r="M1627" s="26">
        <f>IFERROR(INDEX(Pedidos!$G$2:$G$1801,MATCH(B1627,Pedidos!$A$2:$A$1801,0)),0)</f>
        <v/>
      </c>
      <c r="N1627" s="25">
        <f>IFERROR(INDEX(Produtos!$B$2:$B$71,MATCH(C1627,Produtos!$A$2:$A$71,0)),"")</f>
        <v/>
      </c>
      <c r="O1627" s="25">
        <f>IFERROR(INDEX(Produtos!$C$2:$C$71,MATCH(C1627,Produtos!$A$2:$A$71,0)),"")</f>
        <v/>
      </c>
      <c r="P1627" s="25">
        <f>IFERROR(INDEX(Produtos!$D$2:$D$71,MATCH(C1627,Produtos!$A$2:$A$71,0)),0)</f>
        <v/>
      </c>
      <c r="Q1627" s="25">
        <f>IFERROR(INDEX(Produtos!$E$2:$E$71,MATCH(C1627,Produtos!$A$2:$A$71,0)),0)</f>
        <v/>
      </c>
      <c r="R1627" s="27">
        <f>D1627*Q1627</f>
        <v/>
      </c>
      <c r="S1627" s="27">
        <f>R1627*E1627</f>
        <v/>
      </c>
      <c r="T1627" s="27">
        <f>(R1627-S1627)*M1627</f>
        <v/>
      </c>
      <c r="U1627" s="27">
        <f>R1627-S1627-T1627</f>
        <v/>
      </c>
      <c r="V1627" s="27">
        <f>D1627*P1627</f>
        <v/>
      </c>
      <c r="W1627" s="27">
        <f>U1627-V1627</f>
        <v/>
      </c>
      <c r="X1627" s="28">
        <f>IFERROR(W1627/U1627,0)</f>
        <v/>
      </c>
    </row>
    <row r="1628">
      <c r="A1628" s="21">
        <f>ItensPedido!A1628</f>
        <v/>
      </c>
      <c r="B1628" s="21">
        <f>ItensPedido!B1628</f>
        <v/>
      </c>
      <c r="C1628" s="21">
        <f>ItensPedido!C1628</f>
        <v/>
      </c>
      <c r="D1628" s="21">
        <f>ItensPedido!D1628</f>
        <v/>
      </c>
      <c r="E1628" s="22">
        <f>ItensPedido!E1628</f>
        <v/>
      </c>
      <c r="F1628" s="21">
        <f>IFERROR(INDEX(Pedidos!$B$2:$B$1801,MATCH(B1628,Pedidos!$A$2:$A$1801,0)),0)</f>
        <v/>
      </c>
      <c r="G1628" s="21">
        <f>IF(F1628=0,"",YEAR(F1628))</f>
        <v/>
      </c>
      <c r="H1628" s="21">
        <f>IF(F1628=0,"",MONTH(F1628))</f>
        <v/>
      </c>
      <c r="I1628" s="21">
        <f>IFERROR(INDEX(Pedidos!$E$2:$E$1801,MATCH(B1628,Pedidos!$A$2:$A$1801,0)),"")</f>
        <v/>
      </c>
      <c r="J1628" s="21">
        <f>IFERROR(INDEX(Pedidos!$C$2:$C$1801,MATCH(B1628,Pedidos!$A$2:$A$1801,0)),"")</f>
        <v/>
      </c>
      <c r="K1628" s="21">
        <f>IFERROR(INDEX(Pedidos!$D$2:$D$1801,MATCH(B1628,Pedidos!$A$2:$A$1801,0)),"")</f>
        <v/>
      </c>
      <c r="L1628" s="21">
        <f>IFERROR(INDEX(Pedidos!$F$2:$F$1801,MATCH(B1628,Pedidos!$A$2:$A$1801,0)),"")</f>
        <v/>
      </c>
      <c r="M1628" s="22">
        <f>IFERROR(INDEX(Pedidos!$G$2:$G$1801,MATCH(B1628,Pedidos!$A$2:$A$1801,0)),0)</f>
        <v/>
      </c>
      <c r="N1628" s="21">
        <f>IFERROR(INDEX(Produtos!$B$2:$B$71,MATCH(C1628,Produtos!$A$2:$A$71,0)),"")</f>
        <v/>
      </c>
      <c r="O1628" s="21">
        <f>IFERROR(INDEX(Produtos!$C$2:$C$71,MATCH(C1628,Produtos!$A$2:$A$71,0)),"")</f>
        <v/>
      </c>
      <c r="P1628" s="21">
        <f>IFERROR(INDEX(Produtos!$D$2:$D$71,MATCH(C1628,Produtos!$A$2:$A$71,0)),0)</f>
        <v/>
      </c>
      <c r="Q1628" s="21">
        <f>IFERROR(INDEX(Produtos!$E$2:$E$71,MATCH(C1628,Produtos!$A$2:$A$71,0)),0)</f>
        <v/>
      </c>
      <c r="R1628" s="23">
        <f>D1628*Q1628</f>
        <v/>
      </c>
      <c r="S1628" s="23">
        <f>R1628*E1628</f>
        <v/>
      </c>
      <c r="T1628" s="23">
        <f>(R1628-S1628)*M1628</f>
        <v/>
      </c>
      <c r="U1628" s="23">
        <f>R1628-S1628-T1628</f>
        <v/>
      </c>
      <c r="V1628" s="23">
        <f>D1628*P1628</f>
        <v/>
      </c>
      <c r="W1628" s="23">
        <f>U1628-V1628</f>
        <v/>
      </c>
      <c r="X1628" s="24">
        <f>IFERROR(W1628/U1628,0)</f>
        <v/>
      </c>
    </row>
    <row r="1629">
      <c r="A1629" s="25">
        <f>ItensPedido!A1629</f>
        <v/>
      </c>
      <c r="B1629" s="25">
        <f>ItensPedido!B1629</f>
        <v/>
      </c>
      <c r="C1629" s="25">
        <f>ItensPedido!C1629</f>
        <v/>
      </c>
      <c r="D1629" s="25">
        <f>ItensPedido!D1629</f>
        <v/>
      </c>
      <c r="E1629" s="26">
        <f>ItensPedido!E1629</f>
        <v/>
      </c>
      <c r="F1629" s="25">
        <f>IFERROR(INDEX(Pedidos!$B$2:$B$1801,MATCH(B1629,Pedidos!$A$2:$A$1801,0)),0)</f>
        <v/>
      </c>
      <c r="G1629" s="25">
        <f>IF(F1629=0,"",YEAR(F1629))</f>
        <v/>
      </c>
      <c r="H1629" s="25">
        <f>IF(F1629=0,"",MONTH(F1629))</f>
        <v/>
      </c>
      <c r="I1629" s="25">
        <f>IFERROR(INDEX(Pedidos!$E$2:$E$1801,MATCH(B1629,Pedidos!$A$2:$A$1801,0)),"")</f>
        <v/>
      </c>
      <c r="J1629" s="25">
        <f>IFERROR(INDEX(Pedidos!$C$2:$C$1801,MATCH(B1629,Pedidos!$A$2:$A$1801,0)),"")</f>
        <v/>
      </c>
      <c r="K1629" s="25">
        <f>IFERROR(INDEX(Pedidos!$D$2:$D$1801,MATCH(B1629,Pedidos!$A$2:$A$1801,0)),"")</f>
        <v/>
      </c>
      <c r="L1629" s="25">
        <f>IFERROR(INDEX(Pedidos!$F$2:$F$1801,MATCH(B1629,Pedidos!$A$2:$A$1801,0)),"")</f>
        <v/>
      </c>
      <c r="M1629" s="26">
        <f>IFERROR(INDEX(Pedidos!$G$2:$G$1801,MATCH(B1629,Pedidos!$A$2:$A$1801,0)),0)</f>
        <v/>
      </c>
      <c r="N1629" s="25">
        <f>IFERROR(INDEX(Produtos!$B$2:$B$71,MATCH(C1629,Produtos!$A$2:$A$71,0)),"")</f>
        <v/>
      </c>
      <c r="O1629" s="25">
        <f>IFERROR(INDEX(Produtos!$C$2:$C$71,MATCH(C1629,Produtos!$A$2:$A$71,0)),"")</f>
        <v/>
      </c>
      <c r="P1629" s="25">
        <f>IFERROR(INDEX(Produtos!$D$2:$D$71,MATCH(C1629,Produtos!$A$2:$A$71,0)),0)</f>
        <v/>
      </c>
      <c r="Q1629" s="25">
        <f>IFERROR(INDEX(Produtos!$E$2:$E$71,MATCH(C1629,Produtos!$A$2:$A$71,0)),0)</f>
        <v/>
      </c>
      <c r="R1629" s="27">
        <f>D1629*Q1629</f>
        <v/>
      </c>
      <c r="S1629" s="27">
        <f>R1629*E1629</f>
        <v/>
      </c>
      <c r="T1629" s="27">
        <f>(R1629-S1629)*M1629</f>
        <v/>
      </c>
      <c r="U1629" s="27">
        <f>R1629-S1629-T1629</f>
        <v/>
      </c>
      <c r="V1629" s="27">
        <f>D1629*P1629</f>
        <v/>
      </c>
      <c r="W1629" s="27">
        <f>U1629-V1629</f>
        <v/>
      </c>
      <c r="X1629" s="28">
        <f>IFERROR(W1629/U1629,0)</f>
        <v/>
      </c>
    </row>
    <row r="1630">
      <c r="A1630" s="21">
        <f>ItensPedido!A1630</f>
        <v/>
      </c>
      <c r="B1630" s="21">
        <f>ItensPedido!B1630</f>
        <v/>
      </c>
      <c r="C1630" s="21">
        <f>ItensPedido!C1630</f>
        <v/>
      </c>
      <c r="D1630" s="21">
        <f>ItensPedido!D1630</f>
        <v/>
      </c>
      <c r="E1630" s="22">
        <f>ItensPedido!E1630</f>
        <v/>
      </c>
      <c r="F1630" s="21">
        <f>IFERROR(INDEX(Pedidos!$B$2:$B$1801,MATCH(B1630,Pedidos!$A$2:$A$1801,0)),0)</f>
        <v/>
      </c>
      <c r="G1630" s="21">
        <f>IF(F1630=0,"",YEAR(F1630))</f>
        <v/>
      </c>
      <c r="H1630" s="21">
        <f>IF(F1630=0,"",MONTH(F1630))</f>
        <v/>
      </c>
      <c r="I1630" s="21">
        <f>IFERROR(INDEX(Pedidos!$E$2:$E$1801,MATCH(B1630,Pedidos!$A$2:$A$1801,0)),"")</f>
        <v/>
      </c>
      <c r="J1630" s="21">
        <f>IFERROR(INDEX(Pedidos!$C$2:$C$1801,MATCH(B1630,Pedidos!$A$2:$A$1801,0)),"")</f>
        <v/>
      </c>
      <c r="K1630" s="21">
        <f>IFERROR(INDEX(Pedidos!$D$2:$D$1801,MATCH(B1630,Pedidos!$A$2:$A$1801,0)),"")</f>
        <v/>
      </c>
      <c r="L1630" s="21">
        <f>IFERROR(INDEX(Pedidos!$F$2:$F$1801,MATCH(B1630,Pedidos!$A$2:$A$1801,0)),"")</f>
        <v/>
      </c>
      <c r="M1630" s="22">
        <f>IFERROR(INDEX(Pedidos!$G$2:$G$1801,MATCH(B1630,Pedidos!$A$2:$A$1801,0)),0)</f>
        <v/>
      </c>
      <c r="N1630" s="21">
        <f>IFERROR(INDEX(Produtos!$B$2:$B$71,MATCH(C1630,Produtos!$A$2:$A$71,0)),"")</f>
        <v/>
      </c>
      <c r="O1630" s="21">
        <f>IFERROR(INDEX(Produtos!$C$2:$C$71,MATCH(C1630,Produtos!$A$2:$A$71,0)),"")</f>
        <v/>
      </c>
      <c r="P1630" s="21">
        <f>IFERROR(INDEX(Produtos!$D$2:$D$71,MATCH(C1630,Produtos!$A$2:$A$71,0)),0)</f>
        <v/>
      </c>
      <c r="Q1630" s="21">
        <f>IFERROR(INDEX(Produtos!$E$2:$E$71,MATCH(C1630,Produtos!$A$2:$A$71,0)),0)</f>
        <v/>
      </c>
      <c r="R1630" s="23">
        <f>D1630*Q1630</f>
        <v/>
      </c>
      <c r="S1630" s="23">
        <f>R1630*E1630</f>
        <v/>
      </c>
      <c r="T1630" s="23">
        <f>(R1630-S1630)*M1630</f>
        <v/>
      </c>
      <c r="U1630" s="23">
        <f>R1630-S1630-T1630</f>
        <v/>
      </c>
      <c r="V1630" s="23">
        <f>D1630*P1630</f>
        <v/>
      </c>
      <c r="W1630" s="23">
        <f>U1630-V1630</f>
        <v/>
      </c>
      <c r="X1630" s="24">
        <f>IFERROR(W1630/U1630,0)</f>
        <v/>
      </c>
    </row>
    <row r="1631">
      <c r="A1631" s="25">
        <f>ItensPedido!A1631</f>
        <v/>
      </c>
      <c r="B1631" s="25">
        <f>ItensPedido!B1631</f>
        <v/>
      </c>
      <c r="C1631" s="25">
        <f>ItensPedido!C1631</f>
        <v/>
      </c>
      <c r="D1631" s="25">
        <f>ItensPedido!D1631</f>
        <v/>
      </c>
      <c r="E1631" s="26">
        <f>ItensPedido!E1631</f>
        <v/>
      </c>
      <c r="F1631" s="25">
        <f>IFERROR(INDEX(Pedidos!$B$2:$B$1801,MATCH(B1631,Pedidos!$A$2:$A$1801,0)),0)</f>
        <v/>
      </c>
      <c r="G1631" s="25">
        <f>IF(F1631=0,"",YEAR(F1631))</f>
        <v/>
      </c>
      <c r="H1631" s="25">
        <f>IF(F1631=0,"",MONTH(F1631))</f>
        <v/>
      </c>
      <c r="I1631" s="25">
        <f>IFERROR(INDEX(Pedidos!$E$2:$E$1801,MATCH(B1631,Pedidos!$A$2:$A$1801,0)),"")</f>
        <v/>
      </c>
      <c r="J1631" s="25">
        <f>IFERROR(INDEX(Pedidos!$C$2:$C$1801,MATCH(B1631,Pedidos!$A$2:$A$1801,0)),"")</f>
        <v/>
      </c>
      <c r="K1631" s="25">
        <f>IFERROR(INDEX(Pedidos!$D$2:$D$1801,MATCH(B1631,Pedidos!$A$2:$A$1801,0)),"")</f>
        <v/>
      </c>
      <c r="L1631" s="25">
        <f>IFERROR(INDEX(Pedidos!$F$2:$F$1801,MATCH(B1631,Pedidos!$A$2:$A$1801,0)),"")</f>
        <v/>
      </c>
      <c r="M1631" s="26">
        <f>IFERROR(INDEX(Pedidos!$G$2:$G$1801,MATCH(B1631,Pedidos!$A$2:$A$1801,0)),0)</f>
        <v/>
      </c>
      <c r="N1631" s="25">
        <f>IFERROR(INDEX(Produtos!$B$2:$B$71,MATCH(C1631,Produtos!$A$2:$A$71,0)),"")</f>
        <v/>
      </c>
      <c r="O1631" s="25">
        <f>IFERROR(INDEX(Produtos!$C$2:$C$71,MATCH(C1631,Produtos!$A$2:$A$71,0)),"")</f>
        <v/>
      </c>
      <c r="P1631" s="25">
        <f>IFERROR(INDEX(Produtos!$D$2:$D$71,MATCH(C1631,Produtos!$A$2:$A$71,0)),0)</f>
        <v/>
      </c>
      <c r="Q1631" s="25">
        <f>IFERROR(INDEX(Produtos!$E$2:$E$71,MATCH(C1631,Produtos!$A$2:$A$71,0)),0)</f>
        <v/>
      </c>
      <c r="R1631" s="27">
        <f>D1631*Q1631</f>
        <v/>
      </c>
      <c r="S1631" s="27">
        <f>R1631*E1631</f>
        <v/>
      </c>
      <c r="T1631" s="27">
        <f>(R1631-S1631)*M1631</f>
        <v/>
      </c>
      <c r="U1631" s="27">
        <f>R1631-S1631-T1631</f>
        <v/>
      </c>
      <c r="V1631" s="27">
        <f>D1631*P1631</f>
        <v/>
      </c>
      <c r="W1631" s="27">
        <f>U1631-V1631</f>
        <v/>
      </c>
      <c r="X1631" s="28">
        <f>IFERROR(W1631/U1631,0)</f>
        <v/>
      </c>
    </row>
    <row r="1632">
      <c r="A1632" s="21">
        <f>ItensPedido!A1632</f>
        <v/>
      </c>
      <c r="B1632" s="21">
        <f>ItensPedido!B1632</f>
        <v/>
      </c>
      <c r="C1632" s="21">
        <f>ItensPedido!C1632</f>
        <v/>
      </c>
      <c r="D1632" s="21">
        <f>ItensPedido!D1632</f>
        <v/>
      </c>
      <c r="E1632" s="22">
        <f>ItensPedido!E1632</f>
        <v/>
      </c>
      <c r="F1632" s="21">
        <f>IFERROR(INDEX(Pedidos!$B$2:$B$1801,MATCH(B1632,Pedidos!$A$2:$A$1801,0)),0)</f>
        <v/>
      </c>
      <c r="G1632" s="21">
        <f>IF(F1632=0,"",YEAR(F1632))</f>
        <v/>
      </c>
      <c r="H1632" s="21">
        <f>IF(F1632=0,"",MONTH(F1632))</f>
        <v/>
      </c>
      <c r="I1632" s="21">
        <f>IFERROR(INDEX(Pedidos!$E$2:$E$1801,MATCH(B1632,Pedidos!$A$2:$A$1801,0)),"")</f>
        <v/>
      </c>
      <c r="J1632" s="21">
        <f>IFERROR(INDEX(Pedidos!$C$2:$C$1801,MATCH(B1632,Pedidos!$A$2:$A$1801,0)),"")</f>
        <v/>
      </c>
      <c r="K1632" s="21">
        <f>IFERROR(INDEX(Pedidos!$D$2:$D$1801,MATCH(B1632,Pedidos!$A$2:$A$1801,0)),"")</f>
        <v/>
      </c>
      <c r="L1632" s="21">
        <f>IFERROR(INDEX(Pedidos!$F$2:$F$1801,MATCH(B1632,Pedidos!$A$2:$A$1801,0)),"")</f>
        <v/>
      </c>
      <c r="M1632" s="22">
        <f>IFERROR(INDEX(Pedidos!$G$2:$G$1801,MATCH(B1632,Pedidos!$A$2:$A$1801,0)),0)</f>
        <v/>
      </c>
      <c r="N1632" s="21">
        <f>IFERROR(INDEX(Produtos!$B$2:$B$71,MATCH(C1632,Produtos!$A$2:$A$71,0)),"")</f>
        <v/>
      </c>
      <c r="O1632" s="21">
        <f>IFERROR(INDEX(Produtos!$C$2:$C$71,MATCH(C1632,Produtos!$A$2:$A$71,0)),"")</f>
        <v/>
      </c>
      <c r="P1632" s="21">
        <f>IFERROR(INDEX(Produtos!$D$2:$D$71,MATCH(C1632,Produtos!$A$2:$A$71,0)),0)</f>
        <v/>
      </c>
      <c r="Q1632" s="21">
        <f>IFERROR(INDEX(Produtos!$E$2:$E$71,MATCH(C1632,Produtos!$A$2:$A$71,0)),0)</f>
        <v/>
      </c>
      <c r="R1632" s="23">
        <f>D1632*Q1632</f>
        <v/>
      </c>
      <c r="S1632" s="23">
        <f>R1632*E1632</f>
        <v/>
      </c>
      <c r="T1632" s="23">
        <f>(R1632-S1632)*M1632</f>
        <v/>
      </c>
      <c r="U1632" s="23">
        <f>R1632-S1632-T1632</f>
        <v/>
      </c>
      <c r="V1632" s="23">
        <f>D1632*P1632</f>
        <v/>
      </c>
      <c r="W1632" s="23">
        <f>U1632-V1632</f>
        <v/>
      </c>
      <c r="X1632" s="24">
        <f>IFERROR(W1632/U1632,0)</f>
        <v/>
      </c>
    </row>
    <row r="1633">
      <c r="A1633" s="25">
        <f>ItensPedido!A1633</f>
        <v/>
      </c>
      <c r="B1633" s="25">
        <f>ItensPedido!B1633</f>
        <v/>
      </c>
      <c r="C1633" s="25">
        <f>ItensPedido!C1633</f>
        <v/>
      </c>
      <c r="D1633" s="25">
        <f>ItensPedido!D1633</f>
        <v/>
      </c>
      <c r="E1633" s="26">
        <f>ItensPedido!E1633</f>
        <v/>
      </c>
      <c r="F1633" s="25">
        <f>IFERROR(INDEX(Pedidos!$B$2:$B$1801,MATCH(B1633,Pedidos!$A$2:$A$1801,0)),0)</f>
        <v/>
      </c>
      <c r="G1633" s="25">
        <f>IF(F1633=0,"",YEAR(F1633))</f>
        <v/>
      </c>
      <c r="H1633" s="25">
        <f>IF(F1633=0,"",MONTH(F1633))</f>
        <v/>
      </c>
      <c r="I1633" s="25">
        <f>IFERROR(INDEX(Pedidos!$E$2:$E$1801,MATCH(B1633,Pedidos!$A$2:$A$1801,0)),"")</f>
        <v/>
      </c>
      <c r="J1633" s="25">
        <f>IFERROR(INDEX(Pedidos!$C$2:$C$1801,MATCH(B1633,Pedidos!$A$2:$A$1801,0)),"")</f>
        <v/>
      </c>
      <c r="K1633" s="25">
        <f>IFERROR(INDEX(Pedidos!$D$2:$D$1801,MATCH(B1633,Pedidos!$A$2:$A$1801,0)),"")</f>
        <v/>
      </c>
      <c r="L1633" s="25">
        <f>IFERROR(INDEX(Pedidos!$F$2:$F$1801,MATCH(B1633,Pedidos!$A$2:$A$1801,0)),"")</f>
        <v/>
      </c>
      <c r="M1633" s="26">
        <f>IFERROR(INDEX(Pedidos!$G$2:$G$1801,MATCH(B1633,Pedidos!$A$2:$A$1801,0)),0)</f>
        <v/>
      </c>
      <c r="N1633" s="25">
        <f>IFERROR(INDEX(Produtos!$B$2:$B$71,MATCH(C1633,Produtos!$A$2:$A$71,0)),"")</f>
        <v/>
      </c>
      <c r="O1633" s="25">
        <f>IFERROR(INDEX(Produtos!$C$2:$C$71,MATCH(C1633,Produtos!$A$2:$A$71,0)),"")</f>
        <v/>
      </c>
      <c r="P1633" s="25">
        <f>IFERROR(INDEX(Produtos!$D$2:$D$71,MATCH(C1633,Produtos!$A$2:$A$71,0)),0)</f>
        <v/>
      </c>
      <c r="Q1633" s="25">
        <f>IFERROR(INDEX(Produtos!$E$2:$E$71,MATCH(C1633,Produtos!$A$2:$A$71,0)),0)</f>
        <v/>
      </c>
      <c r="R1633" s="27">
        <f>D1633*Q1633</f>
        <v/>
      </c>
      <c r="S1633" s="27">
        <f>R1633*E1633</f>
        <v/>
      </c>
      <c r="T1633" s="27">
        <f>(R1633-S1633)*M1633</f>
        <v/>
      </c>
      <c r="U1633" s="27">
        <f>R1633-S1633-T1633</f>
        <v/>
      </c>
      <c r="V1633" s="27">
        <f>D1633*P1633</f>
        <v/>
      </c>
      <c r="W1633" s="27">
        <f>U1633-V1633</f>
        <v/>
      </c>
      <c r="X1633" s="28">
        <f>IFERROR(W1633/U1633,0)</f>
        <v/>
      </c>
    </row>
    <row r="1634">
      <c r="A1634" s="21">
        <f>ItensPedido!A1634</f>
        <v/>
      </c>
      <c r="B1634" s="21">
        <f>ItensPedido!B1634</f>
        <v/>
      </c>
      <c r="C1634" s="21">
        <f>ItensPedido!C1634</f>
        <v/>
      </c>
      <c r="D1634" s="21">
        <f>ItensPedido!D1634</f>
        <v/>
      </c>
      <c r="E1634" s="22">
        <f>ItensPedido!E1634</f>
        <v/>
      </c>
      <c r="F1634" s="21">
        <f>IFERROR(INDEX(Pedidos!$B$2:$B$1801,MATCH(B1634,Pedidos!$A$2:$A$1801,0)),0)</f>
        <v/>
      </c>
      <c r="G1634" s="21">
        <f>IF(F1634=0,"",YEAR(F1634))</f>
        <v/>
      </c>
      <c r="H1634" s="21">
        <f>IF(F1634=0,"",MONTH(F1634))</f>
        <v/>
      </c>
      <c r="I1634" s="21">
        <f>IFERROR(INDEX(Pedidos!$E$2:$E$1801,MATCH(B1634,Pedidos!$A$2:$A$1801,0)),"")</f>
        <v/>
      </c>
      <c r="J1634" s="21">
        <f>IFERROR(INDEX(Pedidos!$C$2:$C$1801,MATCH(B1634,Pedidos!$A$2:$A$1801,0)),"")</f>
        <v/>
      </c>
      <c r="K1634" s="21">
        <f>IFERROR(INDEX(Pedidos!$D$2:$D$1801,MATCH(B1634,Pedidos!$A$2:$A$1801,0)),"")</f>
        <v/>
      </c>
      <c r="L1634" s="21">
        <f>IFERROR(INDEX(Pedidos!$F$2:$F$1801,MATCH(B1634,Pedidos!$A$2:$A$1801,0)),"")</f>
        <v/>
      </c>
      <c r="M1634" s="22">
        <f>IFERROR(INDEX(Pedidos!$G$2:$G$1801,MATCH(B1634,Pedidos!$A$2:$A$1801,0)),0)</f>
        <v/>
      </c>
      <c r="N1634" s="21">
        <f>IFERROR(INDEX(Produtos!$B$2:$B$71,MATCH(C1634,Produtos!$A$2:$A$71,0)),"")</f>
        <v/>
      </c>
      <c r="O1634" s="21">
        <f>IFERROR(INDEX(Produtos!$C$2:$C$71,MATCH(C1634,Produtos!$A$2:$A$71,0)),"")</f>
        <v/>
      </c>
      <c r="P1634" s="21">
        <f>IFERROR(INDEX(Produtos!$D$2:$D$71,MATCH(C1634,Produtos!$A$2:$A$71,0)),0)</f>
        <v/>
      </c>
      <c r="Q1634" s="21">
        <f>IFERROR(INDEX(Produtos!$E$2:$E$71,MATCH(C1634,Produtos!$A$2:$A$71,0)),0)</f>
        <v/>
      </c>
      <c r="R1634" s="23">
        <f>D1634*Q1634</f>
        <v/>
      </c>
      <c r="S1634" s="23">
        <f>R1634*E1634</f>
        <v/>
      </c>
      <c r="T1634" s="23">
        <f>(R1634-S1634)*M1634</f>
        <v/>
      </c>
      <c r="U1634" s="23">
        <f>R1634-S1634-T1634</f>
        <v/>
      </c>
      <c r="V1634" s="23">
        <f>D1634*P1634</f>
        <v/>
      </c>
      <c r="W1634" s="23">
        <f>U1634-V1634</f>
        <v/>
      </c>
      <c r="X1634" s="24">
        <f>IFERROR(W1634/U1634,0)</f>
        <v/>
      </c>
    </row>
    <row r="1635">
      <c r="A1635" s="25">
        <f>ItensPedido!A1635</f>
        <v/>
      </c>
      <c r="B1635" s="25">
        <f>ItensPedido!B1635</f>
        <v/>
      </c>
      <c r="C1635" s="25">
        <f>ItensPedido!C1635</f>
        <v/>
      </c>
      <c r="D1635" s="25">
        <f>ItensPedido!D1635</f>
        <v/>
      </c>
      <c r="E1635" s="26">
        <f>ItensPedido!E1635</f>
        <v/>
      </c>
      <c r="F1635" s="25">
        <f>IFERROR(INDEX(Pedidos!$B$2:$B$1801,MATCH(B1635,Pedidos!$A$2:$A$1801,0)),0)</f>
        <v/>
      </c>
      <c r="G1635" s="25">
        <f>IF(F1635=0,"",YEAR(F1635))</f>
        <v/>
      </c>
      <c r="H1635" s="25">
        <f>IF(F1635=0,"",MONTH(F1635))</f>
        <v/>
      </c>
      <c r="I1635" s="25">
        <f>IFERROR(INDEX(Pedidos!$E$2:$E$1801,MATCH(B1635,Pedidos!$A$2:$A$1801,0)),"")</f>
        <v/>
      </c>
      <c r="J1635" s="25">
        <f>IFERROR(INDEX(Pedidos!$C$2:$C$1801,MATCH(B1635,Pedidos!$A$2:$A$1801,0)),"")</f>
        <v/>
      </c>
      <c r="K1635" s="25">
        <f>IFERROR(INDEX(Pedidos!$D$2:$D$1801,MATCH(B1635,Pedidos!$A$2:$A$1801,0)),"")</f>
        <v/>
      </c>
      <c r="L1635" s="25">
        <f>IFERROR(INDEX(Pedidos!$F$2:$F$1801,MATCH(B1635,Pedidos!$A$2:$A$1801,0)),"")</f>
        <v/>
      </c>
      <c r="M1635" s="26">
        <f>IFERROR(INDEX(Pedidos!$G$2:$G$1801,MATCH(B1635,Pedidos!$A$2:$A$1801,0)),0)</f>
        <v/>
      </c>
      <c r="N1635" s="25">
        <f>IFERROR(INDEX(Produtos!$B$2:$B$71,MATCH(C1635,Produtos!$A$2:$A$71,0)),"")</f>
        <v/>
      </c>
      <c r="O1635" s="25">
        <f>IFERROR(INDEX(Produtos!$C$2:$C$71,MATCH(C1635,Produtos!$A$2:$A$71,0)),"")</f>
        <v/>
      </c>
      <c r="P1635" s="25">
        <f>IFERROR(INDEX(Produtos!$D$2:$D$71,MATCH(C1635,Produtos!$A$2:$A$71,0)),0)</f>
        <v/>
      </c>
      <c r="Q1635" s="25">
        <f>IFERROR(INDEX(Produtos!$E$2:$E$71,MATCH(C1635,Produtos!$A$2:$A$71,0)),0)</f>
        <v/>
      </c>
      <c r="R1635" s="27">
        <f>D1635*Q1635</f>
        <v/>
      </c>
      <c r="S1635" s="27">
        <f>R1635*E1635</f>
        <v/>
      </c>
      <c r="T1635" s="27">
        <f>(R1635-S1635)*M1635</f>
        <v/>
      </c>
      <c r="U1635" s="27">
        <f>R1635-S1635-T1635</f>
        <v/>
      </c>
      <c r="V1635" s="27">
        <f>D1635*P1635</f>
        <v/>
      </c>
      <c r="W1635" s="27">
        <f>U1635-V1635</f>
        <v/>
      </c>
      <c r="X1635" s="28">
        <f>IFERROR(W1635/U1635,0)</f>
        <v/>
      </c>
    </row>
    <row r="1636">
      <c r="A1636" s="21">
        <f>ItensPedido!A1636</f>
        <v/>
      </c>
      <c r="B1636" s="21">
        <f>ItensPedido!B1636</f>
        <v/>
      </c>
      <c r="C1636" s="21">
        <f>ItensPedido!C1636</f>
        <v/>
      </c>
      <c r="D1636" s="21">
        <f>ItensPedido!D1636</f>
        <v/>
      </c>
      <c r="E1636" s="22">
        <f>ItensPedido!E1636</f>
        <v/>
      </c>
      <c r="F1636" s="21">
        <f>IFERROR(INDEX(Pedidos!$B$2:$B$1801,MATCH(B1636,Pedidos!$A$2:$A$1801,0)),0)</f>
        <v/>
      </c>
      <c r="G1636" s="21">
        <f>IF(F1636=0,"",YEAR(F1636))</f>
        <v/>
      </c>
      <c r="H1636" s="21">
        <f>IF(F1636=0,"",MONTH(F1636))</f>
        <v/>
      </c>
      <c r="I1636" s="21">
        <f>IFERROR(INDEX(Pedidos!$E$2:$E$1801,MATCH(B1636,Pedidos!$A$2:$A$1801,0)),"")</f>
        <v/>
      </c>
      <c r="J1636" s="21">
        <f>IFERROR(INDEX(Pedidos!$C$2:$C$1801,MATCH(B1636,Pedidos!$A$2:$A$1801,0)),"")</f>
        <v/>
      </c>
      <c r="K1636" s="21">
        <f>IFERROR(INDEX(Pedidos!$D$2:$D$1801,MATCH(B1636,Pedidos!$A$2:$A$1801,0)),"")</f>
        <v/>
      </c>
      <c r="L1636" s="21">
        <f>IFERROR(INDEX(Pedidos!$F$2:$F$1801,MATCH(B1636,Pedidos!$A$2:$A$1801,0)),"")</f>
        <v/>
      </c>
      <c r="M1636" s="22">
        <f>IFERROR(INDEX(Pedidos!$G$2:$G$1801,MATCH(B1636,Pedidos!$A$2:$A$1801,0)),0)</f>
        <v/>
      </c>
      <c r="N1636" s="21">
        <f>IFERROR(INDEX(Produtos!$B$2:$B$71,MATCH(C1636,Produtos!$A$2:$A$71,0)),"")</f>
        <v/>
      </c>
      <c r="O1636" s="21">
        <f>IFERROR(INDEX(Produtos!$C$2:$C$71,MATCH(C1636,Produtos!$A$2:$A$71,0)),"")</f>
        <v/>
      </c>
      <c r="P1636" s="21">
        <f>IFERROR(INDEX(Produtos!$D$2:$D$71,MATCH(C1636,Produtos!$A$2:$A$71,0)),0)</f>
        <v/>
      </c>
      <c r="Q1636" s="21">
        <f>IFERROR(INDEX(Produtos!$E$2:$E$71,MATCH(C1636,Produtos!$A$2:$A$71,0)),0)</f>
        <v/>
      </c>
      <c r="R1636" s="23">
        <f>D1636*Q1636</f>
        <v/>
      </c>
      <c r="S1636" s="23">
        <f>R1636*E1636</f>
        <v/>
      </c>
      <c r="T1636" s="23">
        <f>(R1636-S1636)*M1636</f>
        <v/>
      </c>
      <c r="U1636" s="23">
        <f>R1636-S1636-T1636</f>
        <v/>
      </c>
      <c r="V1636" s="23">
        <f>D1636*P1636</f>
        <v/>
      </c>
      <c r="W1636" s="23">
        <f>U1636-V1636</f>
        <v/>
      </c>
      <c r="X1636" s="24">
        <f>IFERROR(W1636/U1636,0)</f>
        <v/>
      </c>
    </row>
    <row r="1637">
      <c r="A1637" s="25">
        <f>ItensPedido!A1637</f>
        <v/>
      </c>
      <c r="B1637" s="25">
        <f>ItensPedido!B1637</f>
        <v/>
      </c>
      <c r="C1637" s="25">
        <f>ItensPedido!C1637</f>
        <v/>
      </c>
      <c r="D1637" s="25">
        <f>ItensPedido!D1637</f>
        <v/>
      </c>
      <c r="E1637" s="26">
        <f>ItensPedido!E1637</f>
        <v/>
      </c>
      <c r="F1637" s="25">
        <f>IFERROR(INDEX(Pedidos!$B$2:$B$1801,MATCH(B1637,Pedidos!$A$2:$A$1801,0)),0)</f>
        <v/>
      </c>
      <c r="G1637" s="25">
        <f>IF(F1637=0,"",YEAR(F1637))</f>
        <v/>
      </c>
      <c r="H1637" s="25">
        <f>IF(F1637=0,"",MONTH(F1637))</f>
        <v/>
      </c>
      <c r="I1637" s="25">
        <f>IFERROR(INDEX(Pedidos!$E$2:$E$1801,MATCH(B1637,Pedidos!$A$2:$A$1801,0)),"")</f>
        <v/>
      </c>
      <c r="J1637" s="25">
        <f>IFERROR(INDEX(Pedidos!$C$2:$C$1801,MATCH(B1637,Pedidos!$A$2:$A$1801,0)),"")</f>
        <v/>
      </c>
      <c r="K1637" s="25">
        <f>IFERROR(INDEX(Pedidos!$D$2:$D$1801,MATCH(B1637,Pedidos!$A$2:$A$1801,0)),"")</f>
        <v/>
      </c>
      <c r="L1637" s="25">
        <f>IFERROR(INDEX(Pedidos!$F$2:$F$1801,MATCH(B1637,Pedidos!$A$2:$A$1801,0)),"")</f>
        <v/>
      </c>
      <c r="M1637" s="26">
        <f>IFERROR(INDEX(Pedidos!$G$2:$G$1801,MATCH(B1637,Pedidos!$A$2:$A$1801,0)),0)</f>
        <v/>
      </c>
      <c r="N1637" s="25">
        <f>IFERROR(INDEX(Produtos!$B$2:$B$71,MATCH(C1637,Produtos!$A$2:$A$71,0)),"")</f>
        <v/>
      </c>
      <c r="O1637" s="25">
        <f>IFERROR(INDEX(Produtos!$C$2:$C$71,MATCH(C1637,Produtos!$A$2:$A$71,0)),"")</f>
        <v/>
      </c>
      <c r="P1637" s="25">
        <f>IFERROR(INDEX(Produtos!$D$2:$D$71,MATCH(C1637,Produtos!$A$2:$A$71,0)),0)</f>
        <v/>
      </c>
      <c r="Q1637" s="25">
        <f>IFERROR(INDEX(Produtos!$E$2:$E$71,MATCH(C1637,Produtos!$A$2:$A$71,0)),0)</f>
        <v/>
      </c>
      <c r="R1637" s="27">
        <f>D1637*Q1637</f>
        <v/>
      </c>
      <c r="S1637" s="27">
        <f>R1637*E1637</f>
        <v/>
      </c>
      <c r="T1637" s="27">
        <f>(R1637-S1637)*M1637</f>
        <v/>
      </c>
      <c r="U1637" s="27">
        <f>R1637-S1637-T1637</f>
        <v/>
      </c>
      <c r="V1637" s="27">
        <f>D1637*P1637</f>
        <v/>
      </c>
      <c r="W1637" s="27">
        <f>U1637-V1637</f>
        <v/>
      </c>
      <c r="X1637" s="28">
        <f>IFERROR(W1637/U1637,0)</f>
        <v/>
      </c>
    </row>
    <row r="1638">
      <c r="A1638" s="21">
        <f>ItensPedido!A1638</f>
        <v/>
      </c>
      <c r="B1638" s="21">
        <f>ItensPedido!B1638</f>
        <v/>
      </c>
      <c r="C1638" s="21">
        <f>ItensPedido!C1638</f>
        <v/>
      </c>
      <c r="D1638" s="21">
        <f>ItensPedido!D1638</f>
        <v/>
      </c>
      <c r="E1638" s="22">
        <f>ItensPedido!E1638</f>
        <v/>
      </c>
      <c r="F1638" s="21">
        <f>IFERROR(INDEX(Pedidos!$B$2:$B$1801,MATCH(B1638,Pedidos!$A$2:$A$1801,0)),0)</f>
        <v/>
      </c>
      <c r="G1638" s="21">
        <f>IF(F1638=0,"",YEAR(F1638))</f>
        <v/>
      </c>
      <c r="H1638" s="21">
        <f>IF(F1638=0,"",MONTH(F1638))</f>
        <v/>
      </c>
      <c r="I1638" s="21">
        <f>IFERROR(INDEX(Pedidos!$E$2:$E$1801,MATCH(B1638,Pedidos!$A$2:$A$1801,0)),"")</f>
        <v/>
      </c>
      <c r="J1638" s="21">
        <f>IFERROR(INDEX(Pedidos!$C$2:$C$1801,MATCH(B1638,Pedidos!$A$2:$A$1801,0)),"")</f>
        <v/>
      </c>
      <c r="K1638" s="21">
        <f>IFERROR(INDEX(Pedidos!$D$2:$D$1801,MATCH(B1638,Pedidos!$A$2:$A$1801,0)),"")</f>
        <v/>
      </c>
      <c r="L1638" s="21">
        <f>IFERROR(INDEX(Pedidos!$F$2:$F$1801,MATCH(B1638,Pedidos!$A$2:$A$1801,0)),"")</f>
        <v/>
      </c>
      <c r="M1638" s="22">
        <f>IFERROR(INDEX(Pedidos!$G$2:$G$1801,MATCH(B1638,Pedidos!$A$2:$A$1801,0)),0)</f>
        <v/>
      </c>
      <c r="N1638" s="21">
        <f>IFERROR(INDEX(Produtos!$B$2:$B$71,MATCH(C1638,Produtos!$A$2:$A$71,0)),"")</f>
        <v/>
      </c>
      <c r="O1638" s="21">
        <f>IFERROR(INDEX(Produtos!$C$2:$C$71,MATCH(C1638,Produtos!$A$2:$A$71,0)),"")</f>
        <v/>
      </c>
      <c r="P1638" s="21">
        <f>IFERROR(INDEX(Produtos!$D$2:$D$71,MATCH(C1638,Produtos!$A$2:$A$71,0)),0)</f>
        <v/>
      </c>
      <c r="Q1638" s="21">
        <f>IFERROR(INDEX(Produtos!$E$2:$E$71,MATCH(C1638,Produtos!$A$2:$A$71,0)),0)</f>
        <v/>
      </c>
      <c r="R1638" s="23">
        <f>D1638*Q1638</f>
        <v/>
      </c>
      <c r="S1638" s="23">
        <f>R1638*E1638</f>
        <v/>
      </c>
      <c r="T1638" s="23">
        <f>(R1638-S1638)*M1638</f>
        <v/>
      </c>
      <c r="U1638" s="23">
        <f>R1638-S1638-T1638</f>
        <v/>
      </c>
      <c r="V1638" s="23">
        <f>D1638*P1638</f>
        <v/>
      </c>
      <c r="W1638" s="23">
        <f>U1638-V1638</f>
        <v/>
      </c>
      <c r="X1638" s="24">
        <f>IFERROR(W1638/U1638,0)</f>
        <v/>
      </c>
    </row>
    <row r="1639">
      <c r="A1639" s="25">
        <f>ItensPedido!A1639</f>
        <v/>
      </c>
      <c r="B1639" s="25">
        <f>ItensPedido!B1639</f>
        <v/>
      </c>
      <c r="C1639" s="25">
        <f>ItensPedido!C1639</f>
        <v/>
      </c>
      <c r="D1639" s="25">
        <f>ItensPedido!D1639</f>
        <v/>
      </c>
      <c r="E1639" s="26">
        <f>ItensPedido!E1639</f>
        <v/>
      </c>
      <c r="F1639" s="25">
        <f>IFERROR(INDEX(Pedidos!$B$2:$B$1801,MATCH(B1639,Pedidos!$A$2:$A$1801,0)),0)</f>
        <v/>
      </c>
      <c r="G1639" s="25">
        <f>IF(F1639=0,"",YEAR(F1639))</f>
        <v/>
      </c>
      <c r="H1639" s="25">
        <f>IF(F1639=0,"",MONTH(F1639))</f>
        <v/>
      </c>
      <c r="I1639" s="25">
        <f>IFERROR(INDEX(Pedidos!$E$2:$E$1801,MATCH(B1639,Pedidos!$A$2:$A$1801,0)),"")</f>
        <v/>
      </c>
      <c r="J1639" s="25">
        <f>IFERROR(INDEX(Pedidos!$C$2:$C$1801,MATCH(B1639,Pedidos!$A$2:$A$1801,0)),"")</f>
        <v/>
      </c>
      <c r="K1639" s="25">
        <f>IFERROR(INDEX(Pedidos!$D$2:$D$1801,MATCH(B1639,Pedidos!$A$2:$A$1801,0)),"")</f>
        <v/>
      </c>
      <c r="L1639" s="25">
        <f>IFERROR(INDEX(Pedidos!$F$2:$F$1801,MATCH(B1639,Pedidos!$A$2:$A$1801,0)),"")</f>
        <v/>
      </c>
      <c r="M1639" s="26">
        <f>IFERROR(INDEX(Pedidos!$G$2:$G$1801,MATCH(B1639,Pedidos!$A$2:$A$1801,0)),0)</f>
        <v/>
      </c>
      <c r="N1639" s="25">
        <f>IFERROR(INDEX(Produtos!$B$2:$B$71,MATCH(C1639,Produtos!$A$2:$A$71,0)),"")</f>
        <v/>
      </c>
      <c r="O1639" s="25">
        <f>IFERROR(INDEX(Produtos!$C$2:$C$71,MATCH(C1639,Produtos!$A$2:$A$71,0)),"")</f>
        <v/>
      </c>
      <c r="P1639" s="25">
        <f>IFERROR(INDEX(Produtos!$D$2:$D$71,MATCH(C1639,Produtos!$A$2:$A$71,0)),0)</f>
        <v/>
      </c>
      <c r="Q1639" s="25">
        <f>IFERROR(INDEX(Produtos!$E$2:$E$71,MATCH(C1639,Produtos!$A$2:$A$71,0)),0)</f>
        <v/>
      </c>
      <c r="R1639" s="27">
        <f>D1639*Q1639</f>
        <v/>
      </c>
      <c r="S1639" s="27">
        <f>R1639*E1639</f>
        <v/>
      </c>
      <c r="T1639" s="27">
        <f>(R1639-S1639)*M1639</f>
        <v/>
      </c>
      <c r="U1639" s="27">
        <f>R1639-S1639-T1639</f>
        <v/>
      </c>
      <c r="V1639" s="27">
        <f>D1639*P1639</f>
        <v/>
      </c>
      <c r="W1639" s="27">
        <f>U1639-V1639</f>
        <v/>
      </c>
      <c r="X1639" s="28">
        <f>IFERROR(W1639/U1639,0)</f>
        <v/>
      </c>
    </row>
    <row r="1640">
      <c r="A1640" s="21">
        <f>ItensPedido!A1640</f>
        <v/>
      </c>
      <c r="B1640" s="21">
        <f>ItensPedido!B1640</f>
        <v/>
      </c>
      <c r="C1640" s="21">
        <f>ItensPedido!C1640</f>
        <v/>
      </c>
      <c r="D1640" s="21">
        <f>ItensPedido!D1640</f>
        <v/>
      </c>
      <c r="E1640" s="22">
        <f>ItensPedido!E1640</f>
        <v/>
      </c>
      <c r="F1640" s="21">
        <f>IFERROR(INDEX(Pedidos!$B$2:$B$1801,MATCH(B1640,Pedidos!$A$2:$A$1801,0)),0)</f>
        <v/>
      </c>
      <c r="G1640" s="21">
        <f>IF(F1640=0,"",YEAR(F1640))</f>
        <v/>
      </c>
      <c r="H1640" s="21">
        <f>IF(F1640=0,"",MONTH(F1640))</f>
        <v/>
      </c>
      <c r="I1640" s="21">
        <f>IFERROR(INDEX(Pedidos!$E$2:$E$1801,MATCH(B1640,Pedidos!$A$2:$A$1801,0)),"")</f>
        <v/>
      </c>
      <c r="J1640" s="21">
        <f>IFERROR(INDEX(Pedidos!$C$2:$C$1801,MATCH(B1640,Pedidos!$A$2:$A$1801,0)),"")</f>
        <v/>
      </c>
      <c r="K1640" s="21">
        <f>IFERROR(INDEX(Pedidos!$D$2:$D$1801,MATCH(B1640,Pedidos!$A$2:$A$1801,0)),"")</f>
        <v/>
      </c>
      <c r="L1640" s="21">
        <f>IFERROR(INDEX(Pedidos!$F$2:$F$1801,MATCH(B1640,Pedidos!$A$2:$A$1801,0)),"")</f>
        <v/>
      </c>
      <c r="M1640" s="22">
        <f>IFERROR(INDEX(Pedidos!$G$2:$G$1801,MATCH(B1640,Pedidos!$A$2:$A$1801,0)),0)</f>
        <v/>
      </c>
      <c r="N1640" s="21">
        <f>IFERROR(INDEX(Produtos!$B$2:$B$71,MATCH(C1640,Produtos!$A$2:$A$71,0)),"")</f>
        <v/>
      </c>
      <c r="O1640" s="21">
        <f>IFERROR(INDEX(Produtos!$C$2:$C$71,MATCH(C1640,Produtos!$A$2:$A$71,0)),"")</f>
        <v/>
      </c>
      <c r="P1640" s="21">
        <f>IFERROR(INDEX(Produtos!$D$2:$D$71,MATCH(C1640,Produtos!$A$2:$A$71,0)),0)</f>
        <v/>
      </c>
      <c r="Q1640" s="21">
        <f>IFERROR(INDEX(Produtos!$E$2:$E$71,MATCH(C1640,Produtos!$A$2:$A$71,0)),0)</f>
        <v/>
      </c>
      <c r="R1640" s="23">
        <f>D1640*Q1640</f>
        <v/>
      </c>
      <c r="S1640" s="23">
        <f>R1640*E1640</f>
        <v/>
      </c>
      <c r="T1640" s="23">
        <f>(R1640-S1640)*M1640</f>
        <v/>
      </c>
      <c r="U1640" s="23">
        <f>R1640-S1640-T1640</f>
        <v/>
      </c>
      <c r="V1640" s="23">
        <f>D1640*P1640</f>
        <v/>
      </c>
      <c r="W1640" s="23">
        <f>U1640-V1640</f>
        <v/>
      </c>
      <c r="X1640" s="24">
        <f>IFERROR(W1640/U1640,0)</f>
        <v/>
      </c>
    </row>
    <row r="1641">
      <c r="A1641" s="25">
        <f>ItensPedido!A1641</f>
        <v/>
      </c>
      <c r="B1641" s="25">
        <f>ItensPedido!B1641</f>
        <v/>
      </c>
      <c r="C1641" s="25">
        <f>ItensPedido!C1641</f>
        <v/>
      </c>
      <c r="D1641" s="25">
        <f>ItensPedido!D1641</f>
        <v/>
      </c>
      <c r="E1641" s="26">
        <f>ItensPedido!E1641</f>
        <v/>
      </c>
      <c r="F1641" s="25">
        <f>IFERROR(INDEX(Pedidos!$B$2:$B$1801,MATCH(B1641,Pedidos!$A$2:$A$1801,0)),0)</f>
        <v/>
      </c>
      <c r="G1641" s="25">
        <f>IF(F1641=0,"",YEAR(F1641))</f>
        <v/>
      </c>
      <c r="H1641" s="25">
        <f>IF(F1641=0,"",MONTH(F1641))</f>
        <v/>
      </c>
      <c r="I1641" s="25">
        <f>IFERROR(INDEX(Pedidos!$E$2:$E$1801,MATCH(B1641,Pedidos!$A$2:$A$1801,0)),"")</f>
        <v/>
      </c>
      <c r="J1641" s="25">
        <f>IFERROR(INDEX(Pedidos!$C$2:$C$1801,MATCH(B1641,Pedidos!$A$2:$A$1801,0)),"")</f>
        <v/>
      </c>
      <c r="K1641" s="25">
        <f>IFERROR(INDEX(Pedidos!$D$2:$D$1801,MATCH(B1641,Pedidos!$A$2:$A$1801,0)),"")</f>
        <v/>
      </c>
      <c r="L1641" s="25">
        <f>IFERROR(INDEX(Pedidos!$F$2:$F$1801,MATCH(B1641,Pedidos!$A$2:$A$1801,0)),"")</f>
        <v/>
      </c>
      <c r="M1641" s="26">
        <f>IFERROR(INDEX(Pedidos!$G$2:$G$1801,MATCH(B1641,Pedidos!$A$2:$A$1801,0)),0)</f>
        <v/>
      </c>
      <c r="N1641" s="25">
        <f>IFERROR(INDEX(Produtos!$B$2:$B$71,MATCH(C1641,Produtos!$A$2:$A$71,0)),"")</f>
        <v/>
      </c>
      <c r="O1641" s="25">
        <f>IFERROR(INDEX(Produtos!$C$2:$C$71,MATCH(C1641,Produtos!$A$2:$A$71,0)),"")</f>
        <v/>
      </c>
      <c r="P1641" s="25">
        <f>IFERROR(INDEX(Produtos!$D$2:$D$71,MATCH(C1641,Produtos!$A$2:$A$71,0)),0)</f>
        <v/>
      </c>
      <c r="Q1641" s="25">
        <f>IFERROR(INDEX(Produtos!$E$2:$E$71,MATCH(C1641,Produtos!$A$2:$A$71,0)),0)</f>
        <v/>
      </c>
      <c r="R1641" s="27">
        <f>D1641*Q1641</f>
        <v/>
      </c>
      <c r="S1641" s="27">
        <f>R1641*E1641</f>
        <v/>
      </c>
      <c r="T1641" s="27">
        <f>(R1641-S1641)*M1641</f>
        <v/>
      </c>
      <c r="U1641" s="27">
        <f>R1641-S1641-T1641</f>
        <v/>
      </c>
      <c r="V1641" s="27">
        <f>D1641*P1641</f>
        <v/>
      </c>
      <c r="W1641" s="27">
        <f>U1641-V1641</f>
        <v/>
      </c>
      <c r="X1641" s="28">
        <f>IFERROR(W1641/U1641,0)</f>
        <v/>
      </c>
    </row>
    <row r="1642">
      <c r="A1642" s="21">
        <f>ItensPedido!A1642</f>
        <v/>
      </c>
      <c r="B1642" s="21">
        <f>ItensPedido!B1642</f>
        <v/>
      </c>
      <c r="C1642" s="21">
        <f>ItensPedido!C1642</f>
        <v/>
      </c>
      <c r="D1642" s="21">
        <f>ItensPedido!D1642</f>
        <v/>
      </c>
      <c r="E1642" s="22">
        <f>ItensPedido!E1642</f>
        <v/>
      </c>
      <c r="F1642" s="21">
        <f>IFERROR(INDEX(Pedidos!$B$2:$B$1801,MATCH(B1642,Pedidos!$A$2:$A$1801,0)),0)</f>
        <v/>
      </c>
      <c r="G1642" s="21">
        <f>IF(F1642=0,"",YEAR(F1642))</f>
        <v/>
      </c>
      <c r="H1642" s="21">
        <f>IF(F1642=0,"",MONTH(F1642))</f>
        <v/>
      </c>
      <c r="I1642" s="21">
        <f>IFERROR(INDEX(Pedidos!$E$2:$E$1801,MATCH(B1642,Pedidos!$A$2:$A$1801,0)),"")</f>
        <v/>
      </c>
      <c r="J1642" s="21">
        <f>IFERROR(INDEX(Pedidos!$C$2:$C$1801,MATCH(B1642,Pedidos!$A$2:$A$1801,0)),"")</f>
        <v/>
      </c>
      <c r="K1642" s="21">
        <f>IFERROR(INDEX(Pedidos!$D$2:$D$1801,MATCH(B1642,Pedidos!$A$2:$A$1801,0)),"")</f>
        <v/>
      </c>
      <c r="L1642" s="21">
        <f>IFERROR(INDEX(Pedidos!$F$2:$F$1801,MATCH(B1642,Pedidos!$A$2:$A$1801,0)),"")</f>
        <v/>
      </c>
      <c r="M1642" s="22">
        <f>IFERROR(INDEX(Pedidos!$G$2:$G$1801,MATCH(B1642,Pedidos!$A$2:$A$1801,0)),0)</f>
        <v/>
      </c>
      <c r="N1642" s="21">
        <f>IFERROR(INDEX(Produtos!$B$2:$B$71,MATCH(C1642,Produtos!$A$2:$A$71,0)),"")</f>
        <v/>
      </c>
      <c r="O1642" s="21">
        <f>IFERROR(INDEX(Produtos!$C$2:$C$71,MATCH(C1642,Produtos!$A$2:$A$71,0)),"")</f>
        <v/>
      </c>
      <c r="P1642" s="21">
        <f>IFERROR(INDEX(Produtos!$D$2:$D$71,MATCH(C1642,Produtos!$A$2:$A$71,0)),0)</f>
        <v/>
      </c>
      <c r="Q1642" s="21">
        <f>IFERROR(INDEX(Produtos!$E$2:$E$71,MATCH(C1642,Produtos!$A$2:$A$71,0)),0)</f>
        <v/>
      </c>
      <c r="R1642" s="23">
        <f>D1642*Q1642</f>
        <v/>
      </c>
      <c r="S1642" s="23">
        <f>R1642*E1642</f>
        <v/>
      </c>
      <c r="T1642" s="23">
        <f>(R1642-S1642)*M1642</f>
        <v/>
      </c>
      <c r="U1642" s="23">
        <f>R1642-S1642-T1642</f>
        <v/>
      </c>
      <c r="V1642" s="23">
        <f>D1642*P1642</f>
        <v/>
      </c>
      <c r="W1642" s="23">
        <f>U1642-V1642</f>
        <v/>
      </c>
      <c r="X1642" s="24">
        <f>IFERROR(W1642/U1642,0)</f>
        <v/>
      </c>
    </row>
    <row r="1643">
      <c r="A1643" s="25">
        <f>ItensPedido!A1643</f>
        <v/>
      </c>
      <c r="B1643" s="25">
        <f>ItensPedido!B1643</f>
        <v/>
      </c>
      <c r="C1643" s="25">
        <f>ItensPedido!C1643</f>
        <v/>
      </c>
      <c r="D1643" s="25">
        <f>ItensPedido!D1643</f>
        <v/>
      </c>
      <c r="E1643" s="26">
        <f>ItensPedido!E1643</f>
        <v/>
      </c>
      <c r="F1643" s="25">
        <f>IFERROR(INDEX(Pedidos!$B$2:$B$1801,MATCH(B1643,Pedidos!$A$2:$A$1801,0)),0)</f>
        <v/>
      </c>
      <c r="G1643" s="25">
        <f>IF(F1643=0,"",YEAR(F1643))</f>
        <v/>
      </c>
      <c r="H1643" s="25">
        <f>IF(F1643=0,"",MONTH(F1643))</f>
        <v/>
      </c>
      <c r="I1643" s="25">
        <f>IFERROR(INDEX(Pedidos!$E$2:$E$1801,MATCH(B1643,Pedidos!$A$2:$A$1801,0)),"")</f>
        <v/>
      </c>
      <c r="J1643" s="25">
        <f>IFERROR(INDEX(Pedidos!$C$2:$C$1801,MATCH(B1643,Pedidos!$A$2:$A$1801,0)),"")</f>
        <v/>
      </c>
      <c r="K1643" s="25">
        <f>IFERROR(INDEX(Pedidos!$D$2:$D$1801,MATCH(B1643,Pedidos!$A$2:$A$1801,0)),"")</f>
        <v/>
      </c>
      <c r="L1643" s="25">
        <f>IFERROR(INDEX(Pedidos!$F$2:$F$1801,MATCH(B1643,Pedidos!$A$2:$A$1801,0)),"")</f>
        <v/>
      </c>
      <c r="M1643" s="26">
        <f>IFERROR(INDEX(Pedidos!$G$2:$G$1801,MATCH(B1643,Pedidos!$A$2:$A$1801,0)),0)</f>
        <v/>
      </c>
      <c r="N1643" s="25">
        <f>IFERROR(INDEX(Produtos!$B$2:$B$71,MATCH(C1643,Produtos!$A$2:$A$71,0)),"")</f>
        <v/>
      </c>
      <c r="O1643" s="25">
        <f>IFERROR(INDEX(Produtos!$C$2:$C$71,MATCH(C1643,Produtos!$A$2:$A$71,0)),"")</f>
        <v/>
      </c>
      <c r="P1643" s="25">
        <f>IFERROR(INDEX(Produtos!$D$2:$D$71,MATCH(C1643,Produtos!$A$2:$A$71,0)),0)</f>
        <v/>
      </c>
      <c r="Q1643" s="25">
        <f>IFERROR(INDEX(Produtos!$E$2:$E$71,MATCH(C1643,Produtos!$A$2:$A$71,0)),0)</f>
        <v/>
      </c>
      <c r="R1643" s="27">
        <f>D1643*Q1643</f>
        <v/>
      </c>
      <c r="S1643" s="27">
        <f>R1643*E1643</f>
        <v/>
      </c>
      <c r="T1643" s="27">
        <f>(R1643-S1643)*M1643</f>
        <v/>
      </c>
      <c r="U1643" s="27">
        <f>R1643-S1643-T1643</f>
        <v/>
      </c>
      <c r="V1643" s="27">
        <f>D1643*P1643</f>
        <v/>
      </c>
      <c r="W1643" s="27">
        <f>U1643-V1643</f>
        <v/>
      </c>
      <c r="X1643" s="28">
        <f>IFERROR(W1643/U1643,0)</f>
        <v/>
      </c>
    </row>
    <row r="1644">
      <c r="A1644" s="21">
        <f>ItensPedido!A1644</f>
        <v/>
      </c>
      <c r="B1644" s="21">
        <f>ItensPedido!B1644</f>
        <v/>
      </c>
      <c r="C1644" s="21">
        <f>ItensPedido!C1644</f>
        <v/>
      </c>
      <c r="D1644" s="21">
        <f>ItensPedido!D1644</f>
        <v/>
      </c>
      <c r="E1644" s="22">
        <f>ItensPedido!E1644</f>
        <v/>
      </c>
      <c r="F1644" s="21">
        <f>IFERROR(INDEX(Pedidos!$B$2:$B$1801,MATCH(B1644,Pedidos!$A$2:$A$1801,0)),0)</f>
        <v/>
      </c>
      <c r="G1644" s="21">
        <f>IF(F1644=0,"",YEAR(F1644))</f>
        <v/>
      </c>
      <c r="H1644" s="21">
        <f>IF(F1644=0,"",MONTH(F1644))</f>
        <v/>
      </c>
      <c r="I1644" s="21">
        <f>IFERROR(INDEX(Pedidos!$E$2:$E$1801,MATCH(B1644,Pedidos!$A$2:$A$1801,0)),"")</f>
        <v/>
      </c>
      <c r="J1644" s="21">
        <f>IFERROR(INDEX(Pedidos!$C$2:$C$1801,MATCH(B1644,Pedidos!$A$2:$A$1801,0)),"")</f>
        <v/>
      </c>
      <c r="K1644" s="21">
        <f>IFERROR(INDEX(Pedidos!$D$2:$D$1801,MATCH(B1644,Pedidos!$A$2:$A$1801,0)),"")</f>
        <v/>
      </c>
      <c r="L1644" s="21">
        <f>IFERROR(INDEX(Pedidos!$F$2:$F$1801,MATCH(B1644,Pedidos!$A$2:$A$1801,0)),"")</f>
        <v/>
      </c>
      <c r="M1644" s="22">
        <f>IFERROR(INDEX(Pedidos!$G$2:$G$1801,MATCH(B1644,Pedidos!$A$2:$A$1801,0)),0)</f>
        <v/>
      </c>
      <c r="N1644" s="21">
        <f>IFERROR(INDEX(Produtos!$B$2:$B$71,MATCH(C1644,Produtos!$A$2:$A$71,0)),"")</f>
        <v/>
      </c>
      <c r="O1644" s="21">
        <f>IFERROR(INDEX(Produtos!$C$2:$C$71,MATCH(C1644,Produtos!$A$2:$A$71,0)),"")</f>
        <v/>
      </c>
      <c r="P1644" s="21">
        <f>IFERROR(INDEX(Produtos!$D$2:$D$71,MATCH(C1644,Produtos!$A$2:$A$71,0)),0)</f>
        <v/>
      </c>
      <c r="Q1644" s="21">
        <f>IFERROR(INDEX(Produtos!$E$2:$E$71,MATCH(C1644,Produtos!$A$2:$A$71,0)),0)</f>
        <v/>
      </c>
      <c r="R1644" s="23">
        <f>D1644*Q1644</f>
        <v/>
      </c>
      <c r="S1644" s="23">
        <f>R1644*E1644</f>
        <v/>
      </c>
      <c r="T1644" s="23">
        <f>(R1644-S1644)*M1644</f>
        <v/>
      </c>
      <c r="U1644" s="23">
        <f>R1644-S1644-T1644</f>
        <v/>
      </c>
      <c r="V1644" s="23">
        <f>D1644*P1644</f>
        <v/>
      </c>
      <c r="W1644" s="23">
        <f>U1644-V1644</f>
        <v/>
      </c>
      <c r="X1644" s="24">
        <f>IFERROR(W1644/U1644,0)</f>
        <v/>
      </c>
    </row>
    <row r="1645">
      <c r="A1645" s="25">
        <f>ItensPedido!A1645</f>
        <v/>
      </c>
      <c r="B1645" s="25">
        <f>ItensPedido!B1645</f>
        <v/>
      </c>
      <c r="C1645" s="25">
        <f>ItensPedido!C1645</f>
        <v/>
      </c>
      <c r="D1645" s="25">
        <f>ItensPedido!D1645</f>
        <v/>
      </c>
      <c r="E1645" s="26">
        <f>ItensPedido!E1645</f>
        <v/>
      </c>
      <c r="F1645" s="25">
        <f>IFERROR(INDEX(Pedidos!$B$2:$B$1801,MATCH(B1645,Pedidos!$A$2:$A$1801,0)),0)</f>
        <v/>
      </c>
      <c r="G1645" s="25">
        <f>IF(F1645=0,"",YEAR(F1645))</f>
        <v/>
      </c>
      <c r="H1645" s="25">
        <f>IF(F1645=0,"",MONTH(F1645))</f>
        <v/>
      </c>
      <c r="I1645" s="25">
        <f>IFERROR(INDEX(Pedidos!$E$2:$E$1801,MATCH(B1645,Pedidos!$A$2:$A$1801,0)),"")</f>
        <v/>
      </c>
      <c r="J1645" s="25">
        <f>IFERROR(INDEX(Pedidos!$C$2:$C$1801,MATCH(B1645,Pedidos!$A$2:$A$1801,0)),"")</f>
        <v/>
      </c>
      <c r="K1645" s="25">
        <f>IFERROR(INDEX(Pedidos!$D$2:$D$1801,MATCH(B1645,Pedidos!$A$2:$A$1801,0)),"")</f>
        <v/>
      </c>
      <c r="L1645" s="25">
        <f>IFERROR(INDEX(Pedidos!$F$2:$F$1801,MATCH(B1645,Pedidos!$A$2:$A$1801,0)),"")</f>
        <v/>
      </c>
      <c r="M1645" s="26">
        <f>IFERROR(INDEX(Pedidos!$G$2:$G$1801,MATCH(B1645,Pedidos!$A$2:$A$1801,0)),0)</f>
        <v/>
      </c>
      <c r="N1645" s="25">
        <f>IFERROR(INDEX(Produtos!$B$2:$B$71,MATCH(C1645,Produtos!$A$2:$A$71,0)),"")</f>
        <v/>
      </c>
      <c r="O1645" s="25">
        <f>IFERROR(INDEX(Produtos!$C$2:$C$71,MATCH(C1645,Produtos!$A$2:$A$71,0)),"")</f>
        <v/>
      </c>
      <c r="P1645" s="25">
        <f>IFERROR(INDEX(Produtos!$D$2:$D$71,MATCH(C1645,Produtos!$A$2:$A$71,0)),0)</f>
        <v/>
      </c>
      <c r="Q1645" s="25">
        <f>IFERROR(INDEX(Produtos!$E$2:$E$71,MATCH(C1645,Produtos!$A$2:$A$71,0)),0)</f>
        <v/>
      </c>
      <c r="R1645" s="27">
        <f>D1645*Q1645</f>
        <v/>
      </c>
      <c r="S1645" s="27">
        <f>R1645*E1645</f>
        <v/>
      </c>
      <c r="T1645" s="27">
        <f>(R1645-S1645)*M1645</f>
        <v/>
      </c>
      <c r="U1645" s="27">
        <f>R1645-S1645-T1645</f>
        <v/>
      </c>
      <c r="V1645" s="27">
        <f>D1645*P1645</f>
        <v/>
      </c>
      <c r="W1645" s="27">
        <f>U1645-V1645</f>
        <v/>
      </c>
      <c r="X1645" s="28">
        <f>IFERROR(W1645/U1645,0)</f>
        <v/>
      </c>
    </row>
    <row r="1646">
      <c r="A1646" s="21">
        <f>ItensPedido!A1646</f>
        <v/>
      </c>
      <c r="B1646" s="21">
        <f>ItensPedido!B1646</f>
        <v/>
      </c>
      <c r="C1646" s="21">
        <f>ItensPedido!C1646</f>
        <v/>
      </c>
      <c r="D1646" s="21">
        <f>ItensPedido!D1646</f>
        <v/>
      </c>
      <c r="E1646" s="22">
        <f>ItensPedido!E1646</f>
        <v/>
      </c>
      <c r="F1646" s="21">
        <f>IFERROR(INDEX(Pedidos!$B$2:$B$1801,MATCH(B1646,Pedidos!$A$2:$A$1801,0)),0)</f>
        <v/>
      </c>
      <c r="G1646" s="21">
        <f>IF(F1646=0,"",YEAR(F1646))</f>
        <v/>
      </c>
      <c r="H1646" s="21">
        <f>IF(F1646=0,"",MONTH(F1646))</f>
        <v/>
      </c>
      <c r="I1646" s="21">
        <f>IFERROR(INDEX(Pedidos!$E$2:$E$1801,MATCH(B1646,Pedidos!$A$2:$A$1801,0)),"")</f>
        <v/>
      </c>
      <c r="J1646" s="21">
        <f>IFERROR(INDEX(Pedidos!$C$2:$C$1801,MATCH(B1646,Pedidos!$A$2:$A$1801,0)),"")</f>
        <v/>
      </c>
      <c r="K1646" s="21">
        <f>IFERROR(INDEX(Pedidos!$D$2:$D$1801,MATCH(B1646,Pedidos!$A$2:$A$1801,0)),"")</f>
        <v/>
      </c>
      <c r="L1646" s="21">
        <f>IFERROR(INDEX(Pedidos!$F$2:$F$1801,MATCH(B1646,Pedidos!$A$2:$A$1801,0)),"")</f>
        <v/>
      </c>
      <c r="M1646" s="22">
        <f>IFERROR(INDEX(Pedidos!$G$2:$G$1801,MATCH(B1646,Pedidos!$A$2:$A$1801,0)),0)</f>
        <v/>
      </c>
      <c r="N1646" s="21">
        <f>IFERROR(INDEX(Produtos!$B$2:$B$71,MATCH(C1646,Produtos!$A$2:$A$71,0)),"")</f>
        <v/>
      </c>
      <c r="O1646" s="21">
        <f>IFERROR(INDEX(Produtos!$C$2:$C$71,MATCH(C1646,Produtos!$A$2:$A$71,0)),"")</f>
        <v/>
      </c>
      <c r="P1646" s="21">
        <f>IFERROR(INDEX(Produtos!$D$2:$D$71,MATCH(C1646,Produtos!$A$2:$A$71,0)),0)</f>
        <v/>
      </c>
      <c r="Q1646" s="21">
        <f>IFERROR(INDEX(Produtos!$E$2:$E$71,MATCH(C1646,Produtos!$A$2:$A$71,0)),0)</f>
        <v/>
      </c>
      <c r="R1646" s="23">
        <f>D1646*Q1646</f>
        <v/>
      </c>
      <c r="S1646" s="23">
        <f>R1646*E1646</f>
        <v/>
      </c>
      <c r="T1646" s="23">
        <f>(R1646-S1646)*M1646</f>
        <v/>
      </c>
      <c r="U1646" s="23">
        <f>R1646-S1646-T1646</f>
        <v/>
      </c>
      <c r="V1646" s="23">
        <f>D1646*P1646</f>
        <v/>
      </c>
      <c r="W1646" s="23">
        <f>U1646-V1646</f>
        <v/>
      </c>
      <c r="X1646" s="24">
        <f>IFERROR(W1646/U1646,0)</f>
        <v/>
      </c>
    </row>
    <row r="1647">
      <c r="A1647" s="25">
        <f>ItensPedido!A1647</f>
        <v/>
      </c>
      <c r="B1647" s="25">
        <f>ItensPedido!B1647</f>
        <v/>
      </c>
      <c r="C1647" s="25">
        <f>ItensPedido!C1647</f>
        <v/>
      </c>
      <c r="D1647" s="25">
        <f>ItensPedido!D1647</f>
        <v/>
      </c>
      <c r="E1647" s="26">
        <f>ItensPedido!E1647</f>
        <v/>
      </c>
      <c r="F1647" s="25">
        <f>IFERROR(INDEX(Pedidos!$B$2:$B$1801,MATCH(B1647,Pedidos!$A$2:$A$1801,0)),0)</f>
        <v/>
      </c>
      <c r="G1647" s="25">
        <f>IF(F1647=0,"",YEAR(F1647))</f>
        <v/>
      </c>
      <c r="H1647" s="25">
        <f>IF(F1647=0,"",MONTH(F1647))</f>
        <v/>
      </c>
      <c r="I1647" s="25">
        <f>IFERROR(INDEX(Pedidos!$E$2:$E$1801,MATCH(B1647,Pedidos!$A$2:$A$1801,0)),"")</f>
        <v/>
      </c>
      <c r="J1647" s="25">
        <f>IFERROR(INDEX(Pedidos!$C$2:$C$1801,MATCH(B1647,Pedidos!$A$2:$A$1801,0)),"")</f>
        <v/>
      </c>
      <c r="K1647" s="25">
        <f>IFERROR(INDEX(Pedidos!$D$2:$D$1801,MATCH(B1647,Pedidos!$A$2:$A$1801,0)),"")</f>
        <v/>
      </c>
      <c r="L1647" s="25">
        <f>IFERROR(INDEX(Pedidos!$F$2:$F$1801,MATCH(B1647,Pedidos!$A$2:$A$1801,0)),"")</f>
        <v/>
      </c>
      <c r="M1647" s="26">
        <f>IFERROR(INDEX(Pedidos!$G$2:$G$1801,MATCH(B1647,Pedidos!$A$2:$A$1801,0)),0)</f>
        <v/>
      </c>
      <c r="N1647" s="25">
        <f>IFERROR(INDEX(Produtos!$B$2:$B$71,MATCH(C1647,Produtos!$A$2:$A$71,0)),"")</f>
        <v/>
      </c>
      <c r="O1647" s="25">
        <f>IFERROR(INDEX(Produtos!$C$2:$C$71,MATCH(C1647,Produtos!$A$2:$A$71,0)),"")</f>
        <v/>
      </c>
      <c r="P1647" s="25">
        <f>IFERROR(INDEX(Produtos!$D$2:$D$71,MATCH(C1647,Produtos!$A$2:$A$71,0)),0)</f>
        <v/>
      </c>
      <c r="Q1647" s="25">
        <f>IFERROR(INDEX(Produtos!$E$2:$E$71,MATCH(C1647,Produtos!$A$2:$A$71,0)),0)</f>
        <v/>
      </c>
      <c r="R1647" s="27">
        <f>D1647*Q1647</f>
        <v/>
      </c>
      <c r="S1647" s="27">
        <f>R1647*E1647</f>
        <v/>
      </c>
      <c r="T1647" s="27">
        <f>(R1647-S1647)*M1647</f>
        <v/>
      </c>
      <c r="U1647" s="27">
        <f>R1647-S1647-T1647</f>
        <v/>
      </c>
      <c r="V1647" s="27">
        <f>D1647*P1647</f>
        <v/>
      </c>
      <c r="W1647" s="27">
        <f>U1647-V1647</f>
        <v/>
      </c>
      <c r="X1647" s="28">
        <f>IFERROR(W1647/U1647,0)</f>
        <v/>
      </c>
    </row>
    <row r="1648">
      <c r="A1648" s="21">
        <f>ItensPedido!A1648</f>
        <v/>
      </c>
      <c r="B1648" s="21">
        <f>ItensPedido!B1648</f>
        <v/>
      </c>
      <c r="C1648" s="21">
        <f>ItensPedido!C1648</f>
        <v/>
      </c>
      <c r="D1648" s="21">
        <f>ItensPedido!D1648</f>
        <v/>
      </c>
      <c r="E1648" s="22">
        <f>ItensPedido!E1648</f>
        <v/>
      </c>
      <c r="F1648" s="21">
        <f>IFERROR(INDEX(Pedidos!$B$2:$B$1801,MATCH(B1648,Pedidos!$A$2:$A$1801,0)),0)</f>
        <v/>
      </c>
      <c r="G1648" s="21">
        <f>IF(F1648=0,"",YEAR(F1648))</f>
        <v/>
      </c>
      <c r="H1648" s="21">
        <f>IF(F1648=0,"",MONTH(F1648))</f>
        <v/>
      </c>
      <c r="I1648" s="21">
        <f>IFERROR(INDEX(Pedidos!$E$2:$E$1801,MATCH(B1648,Pedidos!$A$2:$A$1801,0)),"")</f>
        <v/>
      </c>
      <c r="J1648" s="21">
        <f>IFERROR(INDEX(Pedidos!$C$2:$C$1801,MATCH(B1648,Pedidos!$A$2:$A$1801,0)),"")</f>
        <v/>
      </c>
      <c r="K1648" s="21">
        <f>IFERROR(INDEX(Pedidos!$D$2:$D$1801,MATCH(B1648,Pedidos!$A$2:$A$1801,0)),"")</f>
        <v/>
      </c>
      <c r="L1648" s="21">
        <f>IFERROR(INDEX(Pedidos!$F$2:$F$1801,MATCH(B1648,Pedidos!$A$2:$A$1801,0)),"")</f>
        <v/>
      </c>
      <c r="M1648" s="22">
        <f>IFERROR(INDEX(Pedidos!$G$2:$G$1801,MATCH(B1648,Pedidos!$A$2:$A$1801,0)),0)</f>
        <v/>
      </c>
      <c r="N1648" s="21">
        <f>IFERROR(INDEX(Produtos!$B$2:$B$71,MATCH(C1648,Produtos!$A$2:$A$71,0)),"")</f>
        <v/>
      </c>
      <c r="O1648" s="21">
        <f>IFERROR(INDEX(Produtos!$C$2:$C$71,MATCH(C1648,Produtos!$A$2:$A$71,0)),"")</f>
        <v/>
      </c>
      <c r="P1648" s="21">
        <f>IFERROR(INDEX(Produtos!$D$2:$D$71,MATCH(C1648,Produtos!$A$2:$A$71,0)),0)</f>
        <v/>
      </c>
      <c r="Q1648" s="21">
        <f>IFERROR(INDEX(Produtos!$E$2:$E$71,MATCH(C1648,Produtos!$A$2:$A$71,0)),0)</f>
        <v/>
      </c>
      <c r="R1648" s="23">
        <f>D1648*Q1648</f>
        <v/>
      </c>
      <c r="S1648" s="23">
        <f>R1648*E1648</f>
        <v/>
      </c>
      <c r="T1648" s="23">
        <f>(R1648-S1648)*M1648</f>
        <v/>
      </c>
      <c r="U1648" s="23">
        <f>R1648-S1648-T1648</f>
        <v/>
      </c>
      <c r="V1648" s="23">
        <f>D1648*P1648</f>
        <v/>
      </c>
      <c r="W1648" s="23">
        <f>U1648-V1648</f>
        <v/>
      </c>
      <c r="X1648" s="24">
        <f>IFERROR(W1648/U1648,0)</f>
        <v/>
      </c>
    </row>
    <row r="1649">
      <c r="A1649" s="25">
        <f>ItensPedido!A1649</f>
        <v/>
      </c>
      <c r="B1649" s="25">
        <f>ItensPedido!B1649</f>
        <v/>
      </c>
      <c r="C1649" s="25">
        <f>ItensPedido!C1649</f>
        <v/>
      </c>
      <c r="D1649" s="25">
        <f>ItensPedido!D1649</f>
        <v/>
      </c>
      <c r="E1649" s="26">
        <f>ItensPedido!E1649</f>
        <v/>
      </c>
      <c r="F1649" s="25">
        <f>IFERROR(INDEX(Pedidos!$B$2:$B$1801,MATCH(B1649,Pedidos!$A$2:$A$1801,0)),0)</f>
        <v/>
      </c>
      <c r="G1649" s="25">
        <f>IF(F1649=0,"",YEAR(F1649))</f>
        <v/>
      </c>
      <c r="H1649" s="25">
        <f>IF(F1649=0,"",MONTH(F1649))</f>
        <v/>
      </c>
      <c r="I1649" s="25">
        <f>IFERROR(INDEX(Pedidos!$E$2:$E$1801,MATCH(B1649,Pedidos!$A$2:$A$1801,0)),"")</f>
        <v/>
      </c>
      <c r="J1649" s="25">
        <f>IFERROR(INDEX(Pedidos!$C$2:$C$1801,MATCH(B1649,Pedidos!$A$2:$A$1801,0)),"")</f>
        <v/>
      </c>
      <c r="K1649" s="25">
        <f>IFERROR(INDEX(Pedidos!$D$2:$D$1801,MATCH(B1649,Pedidos!$A$2:$A$1801,0)),"")</f>
        <v/>
      </c>
      <c r="L1649" s="25">
        <f>IFERROR(INDEX(Pedidos!$F$2:$F$1801,MATCH(B1649,Pedidos!$A$2:$A$1801,0)),"")</f>
        <v/>
      </c>
      <c r="M1649" s="26">
        <f>IFERROR(INDEX(Pedidos!$G$2:$G$1801,MATCH(B1649,Pedidos!$A$2:$A$1801,0)),0)</f>
        <v/>
      </c>
      <c r="N1649" s="25">
        <f>IFERROR(INDEX(Produtos!$B$2:$B$71,MATCH(C1649,Produtos!$A$2:$A$71,0)),"")</f>
        <v/>
      </c>
      <c r="O1649" s="25">
        <f>IFERROR(INDEX(Produtos!$C$2:$C$71,MATCH(C1649,Produtos!$A$2:$A$71,0)),"")</f>
        <v/>
      </c>
      <c r="P1649" s="25">
        <f>IFERROR(INDEX(Produtos!$D$2:$D$71,MATCH(C1649,Produtos!$A$2:$A$71,0)),0)</f>
        <v/>
      </c>
      <c r="Q1649" s="25">
        <f>IFERROR(INDEX(Produtos!$E$2:$E$71,MATCH(C1649,Produtos!$A$2:$A$71,0)),0)</f>
        <v/>
      </c>
      <c r="R1649" s="27">
        <f>D1649*Q1649</f>
        <v/>
      </c>
      <c r="S1649" s="27">
        <f>R1649*E1649</f>
        <v/>
      </c>
      <c r="T1649" s="27">
        <f>(R1649-S1649)*M1649</f>
        <v/>
      </c>
      <c r="U1649" s="27">
        <f>R1649-S1649-T1649</f>
        <v/>
      </c>
      <c r="V1649" s="27">
        <f>D1649*P1649</f>
        <v/>
      </c>
      <c r="W1649" s="27">
        <f>U1649-V1649</f>
        <v/>
      </c>
      <c r="X1649" s="28">
        <f>IFERROR(W1649/U1649,0)</f>
        <v/>
      </c>
    </row>
    <row r="1650">
      <c r="A1650" s="21">
        <f>ItensPedido!A1650</f>
        <v/>
      </c>
      <c r="B1650" s="21">
        <f>ItensPedido!B1650</f>
        <v/>
      </c>
      <c r="C1650" s="21">
        <f>ItensPedido!C1650</f>
        <v/>
      </c>
      <c r="D1650" s="21">
        <f>ItensPedido!D1650</f>
        <v/>
      </c>
      <c r="E1650" s="22">
        <f>ItensPedido!E1650</f>
        <v/>
      </c>
      <c r="F1650" s="21">
        <f>IFERROR(INDEX(Pedidos!$B$2:$B$1801,MATCH(B1650,Pedidos!$A$2:$A$1801,0)),0)</f>
        <v/>
      </c>
      <c r="G1650" s="21">
        <f>IF(F1650=0,"",YEAR(F1650))</f>
        <v/>
      </c>
      <c r="H1650" s="21">
        <f>IF(F1650=0,"",MONTH(F1650))</f>
        <v/>
      </c>
      <c r="I1650" s="21">
        <f>IFERROR(INDEX(Pedidos!$E$2:$E$1801,MATCH(B1650,Pedidos!$A$2:$A$1801,0)),"")</f>
        <v/>
      </c>
      <c r="J1650" s="21">
        <f>IFERROR(INDEX(Pedidos!$C$2:$C$1801,MATCH(B1650,Pedidos!$A$2:$A$1801,0)),"")</f>
        <v/>
      </c>
      <c r="K1650" s="21">
        <f>IFERROR(INDEX(Pedidos!$D$2:$D$1801,MATCH(B1650,Pedidos!$A$2:$A$1801,0)),"")</f>
        <v/>
      </c>
      <c r="L1650" s="21">
        <f>IFERROR(INDEX(Pedidos!$F$2:$F$1801,MATCH(B1650,Pedidos!$A$2:$A$1801,0)),"")</f>
        <v/>
      </c>
      <c r="M1650" s="22">
        <f>IFERROR(INDEX(Pedidos!$G$2:$G$1801,MATCH(B1650,Pedidos!$A$2:$A$1801,0)),0)</f>
        <v/>
      </c>
      <c r="N1650" s="21">
        <f>IFERROR(INDEX(Produtos!$B$2:$B$71,MATCH(C1650,Produtos!$A$2:$A$71,0)),"")</f>
        <v/>
      </c>
      <c r="O1650" s="21">
        <f>IFERROR(INDEX(Produtos!$C$2:$C$71,MATCH(C1650,Produtos!$A$2:$A$71,0)),"")</f>
        <v/>
      </c>
      <c r="P1650" s="21">
        <f>IFERROR(INDEX(Produtos!$D$2:$D$71,MATCH(C1650,Produtos!$A$2:$A$71,0)),0)</f>
        <v/>
      </c>
      <c r="Q1650" s="21">
        <f>IFERROR(INDEX(Produtos!$E$2:$E$71,MATCH(C1650,Produtos!$A$2:$A$71,0)),0)</f>
        <v/>
      </c>
      <c r="R1650" s="23">
        <f>D1650*Q1650</f>
        <v/>
      </c>
      <c r="S1650" s="23">
        <f>R1650*E1650</f>
        <v/>
      </c>
      <c r="T1650" s="23">
        <f>(R1650-S1650)*M1650</f>
        <v/>
      </c>
      <c r="U1650" s="23">
        <f>R1650-S1650-T1650</f>
        <v/>
      </c>
      <c r="V1650" s="23">
        <f>D1650*P1650</f>
        <v/>
      </c>
      <c r="W1650" s="23">
        <f>U1650-V1650</f>
        <v/>
      </c>
      <c r="X1650" s="24">
        <f>IFERROR(W1650/U1650,0)</f>
        <v/>
      </c>
    </row>
    <row r="1651">
      <c r="A1651" s="25">
        <f>ItensPedido!A1651</f>
        <v/>
      </c>
      <c r="B1651" s="25">
        <f>ItensPedido!B1651</f>
        <v/>
      </c>
      <c r="C1651" s="25">
        <f>ItensPedido!C1651</f>
        <v/>
      </c>
      <c r="D1651" s="25">
        <f>ItensPedido!D1651</f>
        <v/>
      </c>
      <c r="E1651" s="26">
        <f>ItensPedido!E1651</f>
        <v/>
      </c>
      <c r="F1651" s="25">
        <f>IFERROR(INDEX(Pedidos!$B$2:$B$1801,MATCH(B1651,Pedidos!$A$2:$A$1801,0)),0)</f>
        <v/>
      </c>
      <c r="G1651" s="25">
        <f>IF(F1651=0,"",YEAR(F1651))</f>
        <v/>
      </c>
      <c r="H1651" s="25">
        <f>IF(F1651=0,"",MONTH(F1651))</f>
        <v/>
      </c>
      <c r="I1651" s="25">
        <f>IFERROR(INDEX(Pedidos!$E$2:$E$1801,MATCH(B1651,Pedidos!$A$2:$A$1801,0)),"")</f>
        <v/>
      </c>
      <c r="J1651" s="25">
        <f>IFERROR(INDEX(Pedidos!$C$2:$C$1801,MATCH(B1651,Pedidos!$A$2:$A$1801,0)),"")</f>
        <v/>
      </c>
      <c r="K1651" s="25">
        <f>IFERROR(INDEX(Pedidos!$D$2:$D$1801,MATCH(B1651,Pedidos!$A$2:$A$1801,0)),"")</f>
        <v/>
      </c>
      <c r="L1651" s="25">
        <f>IFERROR(INDEX(Pedidos!$F$2:$F$1801,MATCH(B1651,Pedidos!$A$2:$A$1801,0)),"")</f>
        <v/>
      </c>
      <c r="M1651" s="26">
        <f>IFERROR(INDEX(Pedidos!$G$2:$G$1801,MATCH(B1651,Pedidos!$A$2:$A$1801,0)),0)</f>
        <v/>
      </c>
      <c r="N1651" s="25">
        <f>IFERROR(INDEX(Produtos!$B$2:$B$71,MATCH(C1651,Produtos!$A$2:$A$71,0)),"")</f>
        <v/>
      </c>
      <c r="O1651" s="25">
        <f>IFERROR(INDEX(Produtos!$C$2:$C$71,MATCH(C1651,Produtos!$A$2:$A$71,0)),"")</f>
        <v/>
      </c>
      <c r="P1651" s="25">
        <f>IFERROR(INDEX(Produtos!$D$2:$D$71,MATCH(C1651,Produtos!$A$2:$A$71,0)),0)</f>
        <v/>
      </c>
      <c r="Q1651" s="25">
        <f>IFERROR(INDEX(Produtos!$E$2:$E$71,MATCH(C1651,Produtos!$A$2:$A$71,0)),0)</f>
        <v/>
      </c>
      <c r="R1651" s="27">
        <f>D1651*Q1651</f>
        <v/>
      </c>
      <c r="S1651" s="27">
        <f>R1651*E1651</f>
        <v/>
      </c>
      <c r="T1651" s="27">
        <f>(R1651-S1651)*M1651</f>
        <v/>
      </c>
      <c r="U1651" s="27">
        <f>R1651-S1651-T1651</f>
        <v/>
      </c>
      <c r="V1651" s="27">
        <f>D1651*P1651</f>
        <v/>
      </c>
      <c r="W1651" s="27">
        <f>U1651-V1651</f>
        <v/>
      </c>
      <c r="X1651" s="28">
        <f>IFERROR(W1651/U1651,0)</f>
        <v/>
      </c>
    </row>
    <row r="1652">
      <c r="A1652" s="21">
        <f>ItensPedido!A1652</f>
        <v/>
      </c>
      <c r="B1652" s="21">
        <f>ItensPedido!B1652</f>
        <v/>
      </c>
      <c r="C1652" s="21">
        <f>ItensPedido!C1652</f>
        <v/>
      </c>
      <c r="D1652" s="21">
        <f>ItensPedido!D1652</f>
        <v/>
      </c>
      <c r="E1652" s="22">
        <f>ItensPedido!E1652</f>
        <v/>
      </c>
      <c r="F1652" s="21">
        <f>IFERROR(INDEX(Pedidos!$B$2:$B$1801,MATCH(B1652,Pedidos!$A$2:$A$1801,0)),0)</f>
        <v/>
      </c>
      <c r="G1652" s="21">
        <f>IF(F1652=0,"",YEAR(F1652))</f>
        <v/>
      </c>
      <c r="H1652" s="21">
        <f>IF(F1652=0,"",MONTH(F1652))</f>
        <v/>
      </c>
      <c r="I1652" s="21">
        <f>IFERROR(INDEX(Pedidos!$E$2:$E$1801,MATCH(B1652,Pedidos!$A$2:$A$1801,0)),"")</f>
        <v/>
      </c>
      <c r="J1652" s="21">
        <f>IFERROR(INDEX(Pedidos!$C$2:$C$1801,MATCH(B1652,Pedidos!$A$2:$A$1801,0)),"")</f>
        <v/>
      </c>
      <c r="K1652" s="21">
        <f>IFERROR(INDEX(Pedidos!$D$2:$D$1801,MATCH(B1652,Pedidos!$A$2:$A$1801,0)),"")</f>
        <v/>
      </c>
      <c r="L1652" s="21">
        <f>IFERROR(INDEX(Pedidos!$F$2:$F$1801,MATCH(B1652,Pedidos!$A$2:$A$1801,0)),"")</f>
        <v/>
      </c>
      <c r="M1652" s="22">
        <f>IFERROR(INDEX(Pedidos!$G$2:$G$1801,MATCH(B1652,Pedidos!$A$2:$A$1801,0)),0)</f>
        <v/>
      </c>
      <c r="N1652" s="21">
        <f>IFERROR(INDEX(Produtos!$B$2:$B$71,MATCH(C1652,Produtos!$A$2:$A$71,0)),"")</f>
        <v/>
      </c>
      <c r="O1652" s="21">
        <f>IFERROR(INDEX(Produtos!$C$2:$C$71,MATCH(C1652,Produtos!$A$2:$A$71,0)),"")</f>
        <v/>
      </c>
      <c r="P1652" s="21">
        <f>IFERROR(INDEX(Produtos!$D$2:$D$71,MATCH(C1652,Produtos!$A$2:$A$71,0)),0)</f>
        <v/>
      </c>
      <c r="Q1652" s="21">
        <f>IFERROR(INDEX(Produtos!$E$2:$E$71,MATCH(C1652,Produtos!$A$2:$A$71,0)),0)</f>
        <v/>
      </c>
      <c r="R1652" s="23">
        <f>D1652*Q1652</f>
        <v/>
      </c>
      <c r="S1652" s="23">
        <f>R1652*E1652</f>
        <v/>
      </c>
      <c r="T1652" s="23">
        <f>(R1652-S1652)*M1652</f>
        <v/>
      </c>
      <c r="U1652" s="23">
        <f>R1652-S1652-T1652</f>
        <v/>
      </c>
      <c r="V1652" s="23">
        <f>D1652*P1652</f>
        <v/>
      </c>
      <c r="W1652" s="23">
        <f>U1652-V1652</f>
        <v/>
      </c>
      <c r="X1652" s="24">
        <f>IFERROR(W1652/U1652,0)</f>
        <v/>
      </c>
    </row>
    <row r="1653">
      <c r="A1653" s="25">
        <f>ItensPedido!A1653</f>
        <v/>
      </c>
      <c r="B1653" s="25">
        <f>ItensPedido!B1653</f>
        <v/>
      </c>
      <c r="C1653" s="25">
        <f>ItensPedido!C1653</f>
        <v/>
      </c>
      <c r="D1653" s="25">
        <f>ItensPedido!D1653</f>
        <v/>
      </c>
      <c r="E1653" s="26">
        <f>ItensPedido!E1653</f>
        <v/>
      </c>
      <c r="F1653" s="25">
        <f>IFERROR(INDEX(Pedidos!$B$2:$B$1801,MATCH(B1653,Pedidos!$A$2:$A$1801,0)),0)</f>
        <v/>
      </c>
      <c r="G1653" s="25">
        <f>IF(F1653=0,"",YEAR(F1653))</f>
        <v/>
      </c>
      <c r="H1653" s="25">
        <f>IF(F1653=0,"",MONTH(F1653))</f>
        <v/>
      </c>
      <c r="I1653" s="25">
        <f>IFERROR(INDEX(Pedidos!$E$2:$E$1801,MATCH(B1653,Pedidos!$A$2:$A$1801,0)),"")</f>
        <v/>
      </c>
      <c r="J1653" s="25">
        <f>IFERROR(INDEX(Pedidos!$C$2:$C$1801,MATCH(B1653,Pedidos!$A$2:$A$1801,0)),"")</f>
        <v/>
      </c>
      <c r="K1653" s="25">
        <f>IFERROR(INDEX(Pedidos!$D$2:$D$1801,MATCH(B1653,Pedidos!$A$2:$A$1801,0)),"")</f>
        <v/>
      </c>
      <c r="L1653" s="25">
        <f>IFERROR(INDEX(Pedidos!$F$2:$F$1801,MATCH(B1653,Pedidos!$A$2:$A$1801,0)),"")</f>
        <v/>
      </c>
      <c r="M1653" s="26">
        <f>IFERROR(INDEX(Pedidos!$G$2:$G$1801,MATCH(B1653,Pedidos!$A$2:$A$1801,0)),0)</f>
        <v/>
      </c>
      <c r="N1653" s="25">
        <f>IFERROR(INDEX(Produtos!$B$2:$B$71,MATCH(C1653,Produtos!$A$2:$A$71,0)),"")</f>
        <v/>
      </c>
      <c r="O1653" s="25">
        <f>IFERROR(INDEX(Produtos!$C$2:$C$71,MATCH(C1653,Produtos!$A$2:$A$71,0)),"")</f>
        <v/>
      </c>
      <c r="P1653" s="25">
        <f>IFERROR(INDEX(Produtos!$D$2:$D$71,MATCH(C1653,Produtos!$A$2:$A$71,0)),0)</f>
        <v/>
      </c>
      <c r="Q1653" s="25">
        <f>IFERROR(INDEX(Produtos!$E$2:$E$71,MATCH(C1653,Produtos!$A$2:$A$71,0)),0)</f>
        <v/>
      </c>
      <c r="R1653" s="27">
        <f>D1653*Q1653</f>
        <v/>
      </c>
      <c r="S1653" s="27">
        <f>R1653*E1653</f>
        <v/>
      </c>
      <c r="T1653" s="27">
        <f>(R1653-S1653)*M1653</f>
        <v/>
      </c>
      <c r="U1653" s="27">
        <f>R1653-S1653-T1653</f>
        <v/>
      </c>
      <c r="V1653" s="27">
        <f>D1653*P1653</f>
        <v/>
      </c>
      <c r="W1653" s="27">
        <f>U1653-V1653</f>
        <v/>
      </c>
      <c r="X1653" s="28">
        <f>IFERROR(W1653/U1653,0)</f>
        <v/>
      </c>
    </row>
    <row r="1654">
      <c r="A1654" s="21">
        <f>ItensPedido!A1654</f>
        <v/>
      </c>
      <c r="B1654" s="21">
        <f>ItensPedido!B1654</f>
        <v/>
      </c>
      <c r="C1654" s="21">
        <f>ItensPedido!C1654</f>
        <v/>
      </c>
      <c r="D1654" s="21">
        <f>ItensPedido!D1654</f>
        <v/>
      </c>
      <c r="E1654" s="22">
        <f>ItensPedido!E1654</f>
        <v/>
      </c>
      <c r="F1654" s="21">
        <f>IFERROR(INDEX(Pedidos!$B$2:$B$1801,MATCH(B1654,Pedidos!$A$2:$A$1801,0)),0)</f>
        <v/>
      </c>
      <c r="G1654" s="21">
        <f>IF(F1654=0,"",YEAR(F1654))</f>
        <v/>
      </c>
      <c r="H1654" s="21">
        <f>IF(F1654=0,"",MONTH(F1654))</f>
        <v/>
      </c>
      <c r="I1654" s="21">
        <f>IFERROR(INDEX(Pedidos!$E$2:$E$1801,MATCH(B1654,Pedidos!$A$2:$A$1801,0)),"")</f>
        <v/>
      </c>
      <c r="J1654" s="21">
        <f>IFERROR(INDEX(Pedidos!$C$2:$C$1801,MATCH(B1654,Pedidos!$A$2:$A$1801,0)),"")</f>
        <v/>
      </c>
      <c r="K1654" s="21">
        <f>IFERROR(INDEX(Pedidos!$D$2:$D$1801,MATCH(B1654,Pedidos!$A$2:$A$1801,0)),"")</f>
        <v/>
      </c>
      <c r="L1654" s="21">
        <f>IFERROR(INDEX(Pedidos!$F$2:$F$1801,MATCH(B1654,Pedidos!$A$2:$A$1801,0)),"")</f>
        <v/>
      </c>
      <c r="M1654" s="22">
        <f>IFERROR(INDEX(Pedidos!$G$2:$G$1801,MATCH(B1654,Pedidos!$A$2:$A$1801,0)),0)</f>
        <v/>
      </c>
      <c r="N1654" s="21">
        <f>IFERROR(INDEX(Produtos!$B$2:$B$71,MATCH(C1654,Produtos!$A$2:$A$71,0)),"")</f>
        <v/>
      </c>
      <c r="O1654" s="21">
        <f>IFERROR(INDEX(Produtos!$C$2:$C$71,MATCH(C1654,Produtos!$A$2:$A$71,0)),"")</f>
        <v/>
      </c>
      <c r="P1654" s="21">
        <f>IFERROR(INDEX(Produtos!$D$2:$D$71,MATCH(C1654,Produtos!$A$2:$A$71,0)),0)</f>
        <v/>
      </c>
      <c r="Q1654" s="21">
        <f>IFERROR(INDEX(Produtos!$E$2:$E$71,MATCH(C1654,Produtos!$A$2:$A$71,0)),0)</f>
        <v/>
      </c>
      <c r="R1654" s="23">
        <f>D1654*Q1654</f>
        <v/>
      </c>
      <c r="S1654" s="23">
        <f>R1654*E1654</f>
        <v/>
      </c>
      <c r="T1654" s="23">
        <f>(R1654-S1654)*M1654</f>
        <v/>
      </c>
      <c r="U1654" s="23">
        <f>R1654-S1654-T1654</f>
        <v/>
      </c>
      <c r="V1654" s="23">
        <f>D1654*P1654</f>
        <v/>
      </c>
      <c r="W1654" s="23">
        <f>U1654-V1654</f>
        <v/>
      </c>
      <c r="X1654" s="24">
        <f>IFERROR(W1654/U1654,0)</f>
        <v/>
      </c>
    </row>
    <row r="1655">
      <c r="A1655" s="25">
        <f>ItensPedido!A1655</f>
        <v/>
      </c>
      <c r="B1655" s="25">
        <f>ItensPedido!B1655</f>
        <v/>
      </c>
      <c r="C1655" s="25">
        <f>ItensPedido!C1655</f>
        <v/>
      </c>
      <c r="D1655" s="25">
        <f>ItensPedido!D1655</f>
        <v/>
      </c>
      <c r="E1655" s="26">
        <f>ItensPedido!E1655</f>
        <v/>
      </c>
      <c r="F1655" s="25">
        <f>IFERROR(INDEX(Pedidos!$B$2:$B$1801,MATCH(B1655,Pedidos!$A$2:$A$1801,0)),0)</f>
        <v/>
      </c>
      <c r="G1655" s="25">
        <f>IF(F1655=0,"",YEAR(F1655))</f>
        <v/>
      </c>
      <c r="H1655" s="25">
        <f>IF(F1655=0,"",MONTH(F1655))</f>
        <v/>
      </c>
      <c r="I1655" s="25">
        <f>IFERROR(INDEX(Pedidos!$E$2:$E$1801,MATCH(B1655,Pedidos!$A$2:$A$1801,0)),"")</f>
        <v/>
      </c>
      <c r="J1655" s="25">
        <f>IFERROR(INDEX(Pedidos!$C$2:$C$1801,MATCH(B1655,Pedidos!$A$2:$A$1801,0)),"")</f>
        <v/>
      </c>
      <c r="K1655" s="25">
        <f>IFERROR(INDEX(Pedidos!$D$2:$D$1801,MATCH(B1655,Pedidos!$A$2:$A$1801,0)),"")</f>
        <v/>
      </c>
      <c r="L1655" s="25">
        <f>IFERROR(INDEX(Pedidos!$F$2:$F$1801,MATCH(B1655,Pedidos!$A$2:$A$1801,0)),"")</f>
        <v/>
      </c>
      <c r="M1655" s="26">
        <f>IFERROR(INDEX(Pedidos!$G$2:$G$1801,MATCH(B1655,Pedidos!$A$2:$A$1801,0)),0)</f>
        <v/>
      </c>
      <c r="N1655" s="25">
        <f>IFERROR(INDEX(Produtos!$B$2:$B$71,MATCH(C1655,Produtos!$A$2:$A$71,0)),"")</f>
        <v/>
      </c>
      <c r="O1655" s="25">
        <f>IFERROR(INDEX(Produtos!$C$2:$C$71,MATCH(C1655,Produtos!$A$2:$A$71,0)),"")</f>
        <v/>
      </c>
      <c r="P1655" s="25">
        <f>IFERROR(INDEX(Produtos!$D$2:$D$71,MATCH(C1655,Produtos!$A$2:$A$71,0)),0)</f>
        <v/>
      </c>
      <c r="Q1655" s="25">
        <f>IFERROR(INDEX(Produtos!$E$2:$E$71,MATCH(C1655,Produtos!$A$2:$A$71,0)),0)</f>
        <v/>
      </c>
      <c r="R1655" s="27">
        <f>D1655*Q1655</f>
        <v/>
      </c>
      <c r="S1655" s="27">
        <f>R1655*E1655</f>
        <v/>
      </c>
      <c r="T1655" s="27">
        <f>(R1655-S1655)*M1655</f>
        <v/>
      </c>
      <c r="U1655" s="27">
        <f>R1655-S1655-T1655</f>
        <v/>
      </c>
      <c r="V1655" s="27">
        <f>D1655*P1655</f>
        <v/>
      </c>
      <c r="W1655" s="27">
        <f>U1655-V1655</f>
        <v/>
      </c>
      <c r="X1655" s="28">
        <f>IFERROR(W1655/U1655,0)</f>
        <v/>
      </c>
    </row>
    <row r="1656">
      <c r="A1656" s="21">
        <f>ItensPedido!A1656</f>
        <v/>
      </c>
      <c r="B1656" s="21">
        <f>ItensPedido!B1656</f>
        <v/>
      </c>
      <c r="C1656" s="21">
        <f>ItensPedido!C1656</f>
        <v/>
      </c>
      <c r="D1656" s="21">
        <f>ItensPedido!D1656</f>
        <v/>
      </c>
      <c r="E1656" s="22">
        <f>ItensPedido!E1656</f>
        <v/>
      </c>
      <c r="F1656" s="21">
        <f>IFERROR(INDEX(Pedidos!$B$2:$B$1801,MATCH(B1656,Pedidos!$A$2:$A$1801,0)),0)</f>
        <v/>
      </c>
      <c r="G1656" s="21">
        <f>IF(F1656=0,"",YEAR(F1656))</f>
        <v/>
      </c>
      <c r="H1656" s="21">
        <f>IF(F1656=0,"",MONTH(F1656))</f>
        <v/>
      </c>
      <c r="I1656" s="21">
        <f>IFERROR(INDEX(Pedidos!$E$2:$E$1801,MATCH(B1656,Pedidos!$A$2:$A$1801,0)),"")</f>
        <v/>
      </c>
      <c r="J1656" s="21">
        <f>IFERROR(INDEX(Pedidos!$C$2:$C$1801,MATCH(B1656,Pedidos!$A$2:$A$1801,0)),"")</f>
        <v/>
      </c>
      <c r="K1656" s="21">
        <f>IFERROR(INDEX(Pedidos!$D$2:$D$1801,MATCH(B1656,Pedidos!$A$2:$A$1801,0)),"")</f>
        <v/>
      </c>
      <c r="L1656" s="21">
        <f>IFERROR(INDEX(Pedidos!$F$2:$F$1801,MATCH(B1656,Pedidos!$A$2:$A$1801,0)),"")</f>
        <v/>
      </c>
      <c r="M1656" s="22">
        <f>IFERROR(INDEX(Pedidos!$G$2:$G$1801,MATCH(B1656,Pedidos!$A$2:$A$1801,0)),0)</f>
        <v/>
      </c>
      <c r="N1656" s="21">
        <f>IFERROR(INDEX(Produtos!$B$2:$B$71,MATCH(C1656,Produtos!$A$2:$A$71,0)),"")</f>
        <v/>
      </c>
      <c r="O1656" s="21">
        <f>IFERROR(INDEX(Produtos!$C$2:$C$71,MATCH(C1656,Produtos!$A$2:$A$71,0)),"")</f>
        <v/>
      </c>
      <c r="P1656" s="21">
        <f>IFERROR(INDEX(Produtos!$D$2:$D$71,MATCH(C1656,Produtos!$A$2:$A$71,0)),0)</f>
        <v/>
      </c>
      <c r="Q1656" s="21">
        <f>IFERROR(INDEX(Produtos!$E$2:$E$71,MATCH(C1656,Produtos!$A$2:$A$71,0)),0)</f>
        <v/>
      </c>
      <c r="R1656" s="23">
        <f>D1656*Q1656</f>
        <v/>
      </c>
      <c r="S1656" s="23">
        <f>R1656*E1656</f>
        <v/>
      </c>
      <c r="T1656" s="23">
        <f>(R1656-S1656)*M1656</f>
        <v/>
      </c>
      <c r="U1656" s="23">
        <f>R1656-S1656-T1656</f>
        <v/>
      </c>
      <c r="V1656" s="23">
        <f>D1656*P1656</f>
        <v/>
      </c>
      <c r="W1656" s="23">
        <f>U1656-V1656</f>
        <v/>
      </c>
      <c r="X1656" s="24">
        <f>IFERROR(W1656/U1656,0)</f>
        <v/>
      </c>
    </row>
    <row r="1657">
      <c r="A1657" s="25">
        <f>ItensPedido!A1657</f>
        <v/>
      </c>
      <c r="B1657" s="25">
        <f>ItensPedido!B1657</f>
        <v/>
      </c>
      <c r="C1657" s="25">
        <f>ItensPedido!C1657</f>
        <v/>
      </c>
      <c r="D1657" s="25">
        <f>ItensPedido!D1657</f>
        <v/>
      </c>
      <c r="E1657" s="26">
        <f>ItensPedido!E1657</f>
        <v/>
      </c>
      <c r="F1657" s="25">
        <f>IFERROR(INDEX(Pedidos!$B$2:$B$1801,MATCH(B1657,Pedidos!$A$2:$A$1801,0)),0)</f>
        <v/>
      </c>
      <c r="G1657" s="25">
        <f>IF(F1657=0,"",YEAR(F1657))</f>
        <v/>
      </c>
      <c r="H1657" s="25">
        <f>IF(F1657=0,"",MONTH(F1657))</f>
        <v/>
      </c>
      <c r="I1657" s="25">
        <f>IFERROR(INDEX(Pedidos!$E$2:$E$1801,MATCH(B1657,Pedidos!$A$2:$A$1801,0)),"")</f>
        <v/>
      </c>
      <c r="J1657" s="25">
        <f>IFERROR(INDEX(Pedidos!$C$2:$C$1801,MATCH(B1657,Pedidos!$A$2:$A$1801,0)),"")</f>
        <v/>
      </c>
      <c r="K1657" s="25">
        <f>IFERROR(INDEX(Pedidos!$D$2:$D$1801,MATCH(B1657,Pedidos!$A$2:$A$1801,0)),"")</f>
        <v/>
      </c>
      <c r="L1657" s="25">
        <f>IFERROR(INDEX(Pedidos!$F$2:$F$1801,MATCH(B1657,Pedidos!$A$2:$A$1801,0)),"")</f>
        <v/>
      </c>
      <c r="M1657" s="26">
        <f>IFERROR(INDEX(Pedidos!$G$2:$G$1801,MATCH(B1657,Pedidos!$A$2:$A$1801,0)),0)</f>
        <v/>
      </c>
      <c r="N1657" s="25">
        <f>IFERROR(INDEX(Produtos!$B$2:$B$71,MATCH(C1657,Produtos!$A$2:$A$71,0)),"")</f>
        <v/>
      </c>
      <c r="O1657" s="25">
        <f>IFERROR(INDEX(Produtos!$C$2:$C$71,MATCH(C1657,Produtos!$A$2:$A$71,0)),"")</f>
        <v/>
      </c>
      <c r="P1657" s="25">
        <f>IFERROR(INDEX(Produtos!$D$2:$D$71,MATCH(C1657,Produtos!$A$2:$A$71,0)),0)</f>
        <v/>
      </c>
      <c r="Q1657" s="25">
        <f>IFERROR(INDEX(Produtos!$E$2:$E$71,MATCH(C1657,Produtos!$A$2:$A$71,0)),0)</f>
        <v/>
      </c>
      <c r="R1657" s="27">
        <f>D1657*Q1657</f>
        <v/>
      </c>
      <c r="S1657" s="27">
        <f>R1657*E1657</f>
        <v/>
      </c>
      <c r="T1657" s="27">
        <f>(R1657-S1657)*M1657</f>
        <v/>
      </c>
      <c r="U1657" s="27">
        <f>R1657-S1657-T1657</f>
        <v/>
      </c>
      <c r="V1657" s="27">
        <f>D1657*P1657</f>
        <v/>
      </c>
      <c r="W1657" s="27">
        <f>U1657-V1657</f>
        <v/>
      </c>
      <c r="X1657" s="28">
        <f>IFERROR(W1657/U1657,0)</f>
        <v/>
      </c>
    </row>
    <row r="1658">
      <c r="A1658" s="21">
        <f>ItensPedido!A1658</f>
        <v/>
      </c>
      <c r="B1658" s="21">
        <f>ItensPedido!B1658</f>
        <v/>
      </c>
      <c r="C1658" s="21">
        <f>ItensPedido!C1658</f>
        <v/>
      </c>
      <c r="D1658" s="21">
        <f>ItensPedido!D1658</f>
        <v/>
      </c>
      <c r="E1658" s="22">
        <f>ItensPedido!E1658</f>
        <v/>
      </c>
      <c r="F1658" s="21">
        <f>IFERROR(INDEX(Pedidos!$B$2:$B$1801,MATCH(B1658,Pedidos!$A$2:$A$1801,0)),0)</f>
        <v/>
      </c>
      <c r="G1658" s="21">
        <f>IF(F1658=0,"",YEAR(F1658))</f>
        <v/>
      </c>
      <c r="H1658" s="21">
        <f>IF(F1658=0,"",MONTH(F1658))</f>
        <v/>
      </c>
      <c r="I1658" s="21">
        <f>IFERROR(INDEX(Pedidos!$E$2:$E$1801,MATCH(B1658,Pedidos!$A$2:$A$1801,0)),"")</f>
        <v/>
      </c>
      <c r="J1658" s="21">
        <f>IFERROR(INDEX(Pedidos!$C$2:$C$1801,MATCH(B1658,Pedidos!$A$2:$A$1801,0)),"")</f>
        <v/>
      </c>
      <c r="K1658" s="21">
        <f>IFERROR(INDEX(Pedidos!$D$2:$D$1801,MATCH(B1658,Pedidos!$A$2:$A$1801,0)),"")</f>
        <v/>
      </c>
      <c r="L1658" s="21">
        <f>IFERROR(INDEX(Pedidos!$F$2:$F$1801,MATCH(B1658,Pedidos!$A$2:$A$1801,0)),"")</f>
        <v/>
      </c>
      <c r="M1658" s="22">
        <f>IFERROR(INDEX(Pedidos!$G$2:$G$1801,MATCH(B1658,Pedidos!$A$2:$A$1801,0)),0)</f>
        <v/>
      </c>
      <c r="N1658" s="21">
        <f>IFERROR(INDEX(Produtos!$B$2:$B$71,MATCH(C1658,Produtos!$A$2:$A$71,0)),"")</f>
        <v/>
      </c>
      <c r="O1658" s="21">
        <f>IFERROR(INDEX(Produtos!$C$2:$C$71,MATCH(C1658,Produtos!$A$2:$A$71,0)),"")</f>
        <v/>
      </c>
      <c r="P1658" s="21">
        <f>IFERROR(INDEX(Produtos!$D$2:$D$71,MATCH(C1658,Produtos!$A$2:$A$71,0)),0)</f>
        <v/>
      </c>
      <c r="Q1658" s="21">
        <f>IFERROR(INDEX(Produtos!$E$2:$E$71,MATCH(C1658,Produtos!$A$2:$A$71,0)),0)</f>
        <v/>
      </c>
      <c r="R1658" s="23">
        <f>D1658*Q1658</f>
        <v/>
      </c>
      <c r="S1658" s="23">
        <f>R1658*E1658</f>
        <v/>
      </c>
      <c r="T1658" s="23">
        <f>(R1658-S1658)*M1658</f>
        <v/>
      </c>
      <c r="U1658" s="23">
        <f>R1658-S1658-T1658</f>
        <v/>
      </c>
      <c r="V1658" s="23">
        <f>D1658*P1658</f>
        <v/>
      </c>
      <c r="W1658" s="23">
        <f>U1658-V1658</f>
        <v/>
      </c>
      <c r="X1658" s="24">
        <f>IFERROR(W1658/U1658,0)</f>
        <v/>
      </c>
    </row>
    <row r="1659">
      <c r="A1659" s="25">
        <f>ItensPedido!A1659</f>
        <v/>
      </c>
      <c r="B1659" s="25">
        <f>ItensPedido!B1659</f>
        <v/>
      </c>
      <c r="C1659" s="25">
        <f>ItensPedido!C1659</f>
        <v/>
      </c>
      <c r="D1659" s="25">
        <f>ItensPedido!D1659</f>
        <v/>
      </c>
      <c r="E1659" s="26">
        <f>ItensPedido!E1659</f>
        <v/>
      </c>
      <c r="F1659" s="25">
        <f>IFERROR(INDEX(Pedidos!$B$2:$B$1801,MATCH(B1659,Pedidos!$A$2:$A$1801,0)),0)</f>
        <v/>
      </c>
      <c r="G1659" s="25">
        <f>IF(F1659=0,"",YEAR(F1659))</f>
        <v/>
      </c>
      <c r="H1659" s="25">
        <f>IF(F1659=0,"",MONTH(F1659))</f>
        <v/>
      </c>
      <c r="I1659" s="25">
        <f>IFERROR(INDEX(Pedidos!$E$2:$E$1801,MATCH(B1659,Pedidos!$A$2:$A$1801,0)),"")</f>
        <v/>
      </c>
      <c r="J1659" s="25">
        <f>IFERROR(INDEX(Pedidos!$C$2:$C$1801,MATCH(B1659,Pedidos!$A$2:$A$1801,0)),"")</f>
        <v/>
      </c>
      <c r="K1659" s="25">
        <f>IFERROR(INDEX(Pedidos!$D$2:$D$1801,MATCH(B1659,Pedidos!$A$2:$A$1801,0)),"")</f>
        <v/>
      </c>
      <c r="L1659" s="25">
        <f>IFERROR(INDEX(Pedidos!$F$2:$F$1801,MATCH(B1659,Pedidos!$A$2:$A$1801,0)),"")</f>
        <v/>
      </c>
      <c r="M1659" s="26">
        <f>IFERROR(INDEX(Pedidos!$G$2:$G$1801,MATCH(B1659,Pedidos!$A$2:$A$1801,0)),0)</f>
        <v/>
      </c>
      <c r="N1659" s="25">
        <f>IFERROR(INDEX(Produtos!$B$2:$B$71,MATCH(C1659,Produtos!$A$2:$A$71,0)),"")</f>
        <v/>
      </c>
      <c r="O1659" s="25">
        <f>IFERROR(INDEX(Produtos!$C$2:$C$71,MATCH(C1659,Produtos!$A$2:$A$71,0)),"")</f>
        <v/>
      </c>
      <c r="P1659" s="25">
        <f>IFERROR(INDEX(Produtos!$D$2:$D$71,MATCH(C1659,Produtos!$A$2:$A$71,0)),0)</f>
        <v/>
      </c>
      <c r="Q1659" s="25">
        <f>IFERROR(INDEX(Produtos!$E$2:$E$71,MATCH(C1659,Produtos!$A$2:$A$71,0)),0)</f>
        <v/>
      </c>
      <c r="R1659" s="27">
        <f>D1659*Q1659</f>
        <v/>
      </c>
      <c r="S1659" s="27">
        <f>R1659*E1659</f>
        <v/>
      </c>
      <c r="T1659" s="27">
        <f>(R1659-S1659)*M1659</f>
        <v/>
      </c>
      <c r="U1659" s="27">
        <f>R1659-S1659-T1659</f>
        <v/>
      </c>
      <c r="V1659" s="27">
        <f>D1659*P1659</f>
        <v/>
      </c>
      <c r="W1659" s="27">
        <f>U1659-V1659</f>
        <v/>
      </c>
      <c r="X1659" s="28">
        <f>IFERROR(W1659/U1659,0)</f>
        <v/>
      </c>
    </row>
    <row r="1660">
      <c r="A1660" s="21">
        <f>ItensPedido!A1660</f>
        <v/>
      </c>
      <c r="B1660" s="21">
        <f>ItensPedido!B1660</f>
        <v/>
      </c>
      <c r="C1660" s="21">
        <f>ItensPedido!C1660</f>
        <v/>
      </c>
      <c r="D1660" s="21">
        <f>ItensPedido!D1660</f>
        <v/>
      </c>
      <c r="E1660" s="22">
        <f>ItensPedido!E1660</f>
        <v/>
      </c>
      <c r="F1660" s="21">
        <f>IFERROR(INDEX(Pedidos!$B$2:$B$1801,MATCH(B1660,Pedidos!$A$2:$A$1801,0)),0)</f>
        <v/>
      </c>
      <c r="G1660" s="21">
        <f>IF(F1660=0,"",YEAR(F1660))</f>
        <v/>
      </c>
      <c r="H1660" s="21">
        <f>IF(F1660=0,"",MONTH(F1660))</f>
        <v/>
      </c>
      <c r="I1660" s="21">
        <f>IFERROR(INDEX(Pedidos!$E$2:$E$1801,MATCH(B1660,Pedidos!$A$2:$A$1801,0)),"")</f>
        <v/>
      </c>
      <c r="J1660" s="21">
        <f>IFERROR(INDEX(Pedidos!$C$2:$C$1801,MATCH(B1660,Pedidos!$A$2:$A$1801,0)),"")</f>
        <v/>
      </c>
      <c r="K1660" s="21">
        <f>IFERROR(INDEX(Pedidos!$D$2:$D$1801,MATCH(B1660,Pedidos!$A$2:$A$1801,0)),"")</f>
        <v/>
      </c>
      <c r="L1660" s="21">
        <f>IFERROR(INDEX(Pedidos!$F$2:$F$1801,MATCH(B1660,Pedidos!$A$2:$A$1801,0)),"")</f>
        <v/>
      </c>
      <c r="M1660" s="22">
        <f>IFERROR(INDEX(Pedidos!$G$2:$G$1801,MATCH(B1660,Pedidos!$A$2:$A$1801,0)),0)</f>
        <v/>
      </c>
      <c r="N1660" s="21">
        <f>IFERROR(INDEX(Produtos!$B$2:$B$71,MATCH(C1660,Produtos!$A$2:$A$71,0)),"")</f>
        <v/>
      </c>
      <c r="O1660" s="21">
        <f>IFERROR(INDEX(Produtos!$C$2:$C$71,MATCH(C1660,Produtos!$A$2:$A$71,0)),"")</f>
        <v/>
      </c>
      <c r="P1660" s="21">
        <f>IFERROR(INDEX(Produtos!$D$2:$D$71,MATCH(C1660,Produtos!$A$2:$A$71,0)),0)</f>
        <v/>
      </c>
      <c r="Q1660" s="21">
        <f>IFERROR(INDEX(Produtos!$E$2:$E$71,MATCH(C1660,Produtos!$A$2:$A$71,0)),0)</f>
        <v/>
      </c>
      <c r="R1660" s="23">
        <f>D1660*Q1660</f>
        <v/>
      </c>
      <c r="S1660" s="23">
        <f>R1660*E1660</f>
        <v/>
      </c>
      <c r="T1660" s="23">
        <f>(R1660-S1660)*M1660</f>
        <v/>
      </c>
      <c r="U1660" s="23">
        <f>R1660-S1660-T1660</f>
        <v/>
      </c>
      <c r="V1660" s="23">
        <f>D1660*P1660</f>
        <v/>
      </c>
      <c r="W1660" s="23">
        <f>U1660-V1660</f>
        <v/>
      </c>
      <c r="X1660" s="24">
        <f>IFERROR(W1660/U1660,0)</f>
        <v/>
      </c>
    </row>
    <row r="1661">
      <c r="A1661" s="25">
        <f>ItensPedido!A1661</f>
        <v/>
      </c>
      <c r="B1661" s="25">
        <f>ItensPedido!B1661</f>
        <v/>
      </c>
      <c r="C1661" s="25">
        <f>ItensPedido!C1661</f>
        <v/>
      </c>
      <c r="D1661" s="25">
        <f>ItensPedido!D1661</f>
        <v/>
      </c>
      <c r="E1661" s="26">
        <f>ItensPedido!E1661</f>
        <v/>
      </c>
      <c r="F1661" s="25">
        <f>IFERROR(INDEX(Pedidos!$B$2:$B$1801,MATCH(B1661,Pedidos!$A$2:$A$1801,0)),0)</f>
        <v/>
      </c>
      <c r="G1661" s="25">
        <f>IF(F1661=0,"",YEAR(F1661))</f>
        <v/>
      </c>
      <c r="H1661" s="25">
        <f>IF(F1661=0,"",MONTH(F1661))</f>
        <v/>
      </c>
      <c r="I1661" s="25">
        <f>IFERROR(INDEX(Pedidos!$E$2:$E$1801,MATCH(B1661,Pedidos!$A$2:$A$1801,0)),"")</f>
        <v/>
      </c>
      <c r="J1661" s="25">
        <f>IFERROR(INDEX(Pedidos!$C$2:$C$1801,MATCH(B1661,Pedidos!$A$2:$A$1801,0)),"")</f>
        <v/>
      </c>
      <c r="K1661" s="25">
        <f>IFERROR(INDEX(Pedidos!$D$2:$D$1801,MATCH(B1661,Pedidos!$A$2:$A$1801,0)),"")</f>
        <v/>
      </c>
      <c r="L1661" s="25">
        <f>IFERROR(INDEX(Pedidos!$F$2:$F$1801,MATCH(B1661,Pedidos!$A$2:$A$1801,0)),"")</f>
        <v/>
      </c>
      <c r="M1661" s="26">
        <f>IFERROR(INDEX(Pedidos!$G$2:$G$1801,MATCH(B1661,Pedidos!$A$2:$A$1801,0)),0)</f>
        <v/>
      </c>
      <c r="N1661" s="25">
        <f>IFERROR(INDEX(Produtos!$B$2:$B$71,MATCH(C1661,Produtos!$A$2:$A$71,0)),"")</f>
        <v/>
      </c>
      <c r="O1661" s="25">
        <f>IFERROR(INDEX(Produtos!$C$2:$C$71,MATCH(C1661,Produtos!$A$2:$A$71,0)),"")</f>
        <v/>
      </c>
      <c r="P1661" s="25">
        <f>IFERROR(INDEX(Produtos!$D$2:$D$71,MATCH(C1661,Produtos!$A$2:$A$71,0)),0)</f>
        <v/>
      </c>
      <c r="Q1661" s="25">
        <f>IFERROR(INDEX(Produtos!$E$2:$E$71,MATCH(C1661,Produtos!$A$2:$A$71,0)),0)</f>
        <v/>
      </c>
      <c r="R1661" s="27">
        <f>D1661*Q1661</f>
        <v/>
      </c>
      <c r="S1661" s="27">
        <f>R1661*E1661</f>
        <v/>
      </c>
      <c r="T1661" s="27">
        <f>(R1661-S1661)*M1661</f>
        <v/>
      </c>
      <c r="U1661" s="27">
        <f>R1661-S1661-T1661</f>
        <v/>
      </c>
      <c r="V1661" s="27">
        <f>D1661*P1661</f>
        <v/>
      </c>
      <c r="W1661" s="27">
        <f>U1661-V1661</f>
        <v/>
      </c>
      <c r="X1661" s="28">
        <f>IFERROR(W1661/U1661,0)</f>
        <v/>
      </c>
    </row>
    <row r="1662">
      <c r="A1662" s="21">
        <f>ItensPedido!A1662</f>
        <v/>
      </c>
      <c r="B1662" s="21">
        <f>ItensPedido!B1662</f>
        <v/>
      </c>
      <c r="C1662" s="21">
        <f>ItensPedido!C1662</f>
        <v/>
      </c>
      <c r="D1662" s="21">
        <f>ItensPedido!D1662</f>
        <v/>
      </c>
      <c r="E1662" s="22">
        <f>ItensPedido!E1662</f>
        <v/>
      </c>
      <c r="F1662" s="21">
        <f>IFERROR(INDEX(Pedidos!$B$2:$B$1801,MATCH(B1662,Pedidos!$A$2:$A$1801,0)),0)</f>
        <v/>
      </c>
      <c r="G1662" s="21">
        <f>IF(F1662=0,"",YEAR(F1662))</f>
        <v/>
      </c>
      <c r="H1662" s="21">
        <f>IF(F1662=0,"",MONTH(F1662))</f>
        <v/>
      </c>
      <c r="I1662" s="21">
        <f>IFERROR(INDEX(Pedidos!$E$2:$E$1801,MATCH(B1662,Pedidos!$A$2:$A$1801,0)),"")</f>
        <v/>
      </c>
      <c r="J1662" s="21">
        <f>IFERROR(INDEX(Pedidos!$C$2:$C$1801,MATCH(B1662,Pedidos!$A$2:$A$1801,0)),"")</f>
        <v/>
      </c>
      <c r="K1662" s="21">
        <f>IFERROR(INDEX(Pedidos!$D$2:$D$1801,MATCH(B1662,Pedidos!$A$2:$A$1801,0)),"")</f>
        <v/>
      </c>
      <c r="L1662" s="21">
        <f>IFERROR(INDEX(Pedidos!$F$2:$F$1801,MATCH(B1662,Pedidos!$A$2:$A$1801,0)),"")</f>
        <v/>
      </c>
      <c r="M1662" s="22">
        <f>IFERROR(INDEX(Pedidos!$G$2:$G$1801,MATCH(B1662,Pedidos!$A$2:$A$1801,0)),0)</f>
        <v/>
      </c>
      <c r="N1662" s="21">
        <f>IFERROR(INDEX(Produtos!$B$2:$B$71,MATCH(C1662,Produtos!$A$2:$A$71,0)),"")</f>
        <v/>
      </c>
      <c r="O1662" s="21">
        <f>IFERROR(INDEX(Produtos!$C$2:$C$71,MATCH(C1662,Produtos!$A$2:$A$71,0)),"")</f>
        <v/>
      </c>
      <c r="P1662" s="21">
        <f>IFERROR(INDEX(Produtos!$D$2:$D$71,MATCH(C1662,Produtos!$A$2:$A$71,0)),0)</f>
        <v/>
      </c>
      <c r="Q1662" s="21">
        <f>IFERROR(INDEX(Produtos!$E$2:$E$71,MATCH(C1662,Produtos!$A$2:$A$71,0)),0)</f>
        <v/>
      </c>
      <c r="R1662" s="23">
        <f>D1662*Q1662</f>
        <v/>
      </c>
      <c r="S1662" s="23">
        <f>R1662*E1662</f>
        <v/>
      </c>
      <c r="T1662" s="23">
        <f>(R1662-S1662)*M1662</f>
        <v/>
      </c>
      <c r="U1662" s="23">
        <f>R1662-S1662-T1662</f>
        <v/>
      </c>
      <c r="V1662" s="23">
        <f>D1662*P1662</f>
        <v/>
      </c>
      <c r="W1662" s="23">
        <f>U1662-V1662</f>
        <v/>
      </c>
      <c r="X1662" s="24">
        <f>IFERROR(W1662/U1662,0)</f>
        <v/>
      </c>
    </row>
    <row r="1663">
      <c r="A1663" s="25">
        <f>ItensPedido!A1663</f>
        <v/>
      </c>
      <c r="B1663" s="25">
        <f>ItensPedido!B1663</f>
        <v/>
      </c>
      <c r="C1663" s="25">
        <f>ItensPedido!C1663</f>
        <v/>
      </c>
      <c r="D1663" s="25">
        <f>ItensPedido!D1663</f>
        <v/>
      </c>
      <c r="E1663" s="26">
        <f>ItensPedido!E1663</f>
        <v/>
      </c>
      <c r="F1663" s="25">
        <f>IFERROR(INDEX(Pedidos!$B$2:$B$1801,MATCH(B1663,Pedidos!$A$2:$A$1801,0)),0)</f>
        <v/>
      </c>
      <c r="G1663" s="25">
        <f>IF(F1663=0,"",YEAR(F1663))</f>
        <v/>
      </c>
      <c r="H1663" s="25">
        <f>IF(F1663=0,"",MONTH(F1663))</f>
        <v/>
      </c>
      <c r="I1663" s="25">
        <f>IFERROR(INDEX(Pedidos!$E$2:$E$1801,MATCH(B1663,Pedidos!$A$2:$A$1801,0)),"")</f>
        <v/>
      </c>
      <c r="J1663" s="25">
        <f>IFERROR(INDEX(Pedidos!$C$2:$C$1801,MATCH(B1663,Pedidos!$A$2:$A$1801,0)),"")</f>
        <v/>
      </c>
      <c r="K1663" s="25">
        <f>IFERROR(INDEX(Pedidos!$D$2:$D$1801,MATCH(B1663,Pedidos!$A$2:$A$1801,0)),"")</f>
        <v/>
      </c>
      <c r="L1663" s="25">
        <f>IFERROR(INDEX(Pedidos!$F$2:$F$1801,MATCH(B1663,Pedidos!$A$2:$A$1801,0)),"")</f>
        <v/>
      </c>
      <c r="M1663" s="26">
        <f>IFERROR(INDEX(Pedidos!$G$2:$G$1801,MATCH(B1663,Pedidos!$A$2:$A$1801,0)),0)</f>
        <v/>
      </c>
      <c r="N1663" s="25">
        <f>IFERROR(INDEX(Produtos!$B$2:$B$71,MATCH(C1663,Produtos!$A$2:$A$71,0)),"")</f>
        <v/>
      </c>
      <c r="O1663" s="25">
        <f>IFERROR(INDEX(Produtos!$C$2:$C$71,MATCH(C1663,Produtos!$A$2:$A$71,0)),"")</f>
        <v/>
      </c>
      <c r="P1663" s="25">
        <f>IFERROR(INDEX(Produtos!$D$2:$D$71,MATCH(C1663,Produtos!$A$2:$A$71,0)),0)</f>
        <v/>
      </c>
      <c r="Q1663" s="25">
        <f>IFERROR(INDEX(Produtos!$E$2:$E$71,MATCH(C1663,Produtos!$A$2:$A$71,0)),0)</f>
        <v/>
      </c>
      <c r="R1663" s="27">
        <f>D1663*Q1663</f>
        <v/>
      </c>
      <c r="S1663" s="27">
        <f>R1663*E1663</f>
        <v/>
      </c>
      <c r="T1663" s="27">
        <f>(R1663-S1663)*M1663</f>
        <v/>
      </c>
      <c r="U1663" s="27">
        <f>R1663-S1663-T1663</f>
        <v/>
      </c>
      <c r="V1663" s="27">
        <f>D1663*P1663</f>
        <v/>
      </c>
      <c r="W1663" s="27">
        <f>U1663-V1663</f>
        <v/>
      </c>
      <c r="X1663" s="28">
        <f>IFERROR(W1663/U1663,0)</f>
        <v/>
      </c>
    </row>
    <row r="1664">
      <c r="A1664" s="21">
        <f>ItensPedido!A1664</f>
        <v/>
      </c>
      <c r="B1664" s="21">
        <f>ItensPedido!B1664</f>
        <v/>
      </c>
      <c r="C1664" s="21">
        <f>ItensPedido!C1664</f>
        <v/>
      </c>
      <c r="D1664" s="21">
        <f>ItensPedido!D1664</f>
        <v/>
      </c>
      <c r="E1664" s="22">
        <f>ItensPedido!E1664</f>
        <v/>
      </c>
      <c r="F1664" s="21">
        <f>IFERROR(INDEX(Pedidos!$B$2:$B$1801,MATCH(B1664,Pedidos!$A$2:$A$1801,0)),0)</f>
        <v/>
      </c>
      <c r="G1664" s="21">
        <f>IF(F1664=0,"",YEAR(F1664))</f>
        <v/>
      </c>
      <c r="H1664" s="21">
        <f>IF(F1664=0,"",MONTH(F1664))</f>
        <v/>
      </c>
      <c r="I1664" s="21">
        <f>IFERROR(INDEX(Pedidos!$E$2:$E$1801,MATCH(B1664,Pedidos!$A$2:$A$1801,0)),"")</f>
        <v/>
      </c>
      <c r="J1664" s="21">
        <f>IFERROR(INDEX(Pedidos!$C$2:$C$1801,MATCH(B1664,Pedidos!$A$2:$A$1801,0)),"")</f>
        <v/>
      </c>
      <c r="K1664" s="21">
        <f>IFERROR(INDEX(Pedidos!$D$2:$D$1801,MATCH(B1664,Pedidos!$A$2:$A$1801,0)),"")</f>
        <v/>
      </c>
      <c r="L1664" s="21">
        <f>IFERROR(INDEX(Pedidos!$F$2:$F$1801,MATCH(B1664,Pedidos!$A$2:$A$1801,0)),"")</f>
        <v/>
      </c>
      <c r="M1664" s="22">
        <f>IFERROR(INDEX(Pedidos!$G$2:$G$1801,MATCH(B1664,Pedidos!$A$2:$A$1801,0)),0)</f>
        <v/>
      </c>
      <c r="N1664" s="21">
        <f>IFERROR(INDEX(Produtos!$B$2:$B$71,MATCH(C1664,Produtos!$A$2:$A$71,0)),"")</f>
        <v/>
      </c>
      <c r="O1664" s="21">
        <f>IFERROR(INDEX(Produtos!$C$2:$C$71,MATCH(C1664,Produtos!$A$2:$A$71,0)),"")</f>
        <v/>
      </c>
      <c r="P1664" s="21">
        <f>IFERROR(INDEX(Produtos!$D$2:$D$71,MATCH(C1664,Produtos!$A$2:$A$71,0)),0)</f>
        <v/>
      </c>
      <c r="Q1664" s="21">
        <f>IFERROR(INDEX(Produtos!$E$2:$E$71,MATCH(C1664,Produtos!$A$2:$A$71,0)),0)</f>
        <v/>
      </c>
      <c r="R1664" s="23">
        <f>D1664*Q1664</f>
        <v/>
      </c>
      <c r="S1664" s="23">
        <f>R1664*E1664</f>
        <v/>
      </c>
      <c r="T1664" s="23">
        <f>(R1664-S1664)*M1664</f>
        <v/>
      </c>
      <c r="U1664" s="23">
        <f>R1664-S1664-T1664</f>
        <v/>
      </c>
      <c r="V1664" s="23">
        <f>D1664*P1664</f>
        <v/>
      </c>
      <c r="W1664" s="23">
        <f>U1664-V1664</f>
        <v/>
      </c>
      <c r="X1664" s="24">
        <f>IFERROR(W1664/U1664,0)</f>
        <v/>
      </c>
    </row>
    <row r="1665">
      <c r="A1665" s="25">
        <f>ItensPedido!A1665</f>
        <v/>
      </c>
      <c r="B1665" s="25">
        <f>ItensPedido!B1665</f>
        <v/>
      </c>
      <c r="C1665" s="25">
        <f>ItensPedido!C1665</f>
        <v/>
      </c>
      <c r="D1665" s="25">
        <f>ItensPedido!D1665</f>
        <v/>
      </c>
      <c r="E1665" s="26">
        <f>ItensPedido!E1665</f>
        <v/>
      </c>
      <c r="F1665" s="25">
        <f>IFERROR(INDEX(Pedidos!$B$2:$B$1801,MATCH(B1665,Pedidos!$A$2:$A$1801,0)),0)</f>
        <v/>
      </c>
      <c r="G1665" s="25">
        <f>IF(F1665=0,"",YEAR(F1665))</f>
        <v/>
      </c>
      <c r="H1665" s="25">
        <f>IF(F1665=0,"",MONTH(F1665))</f>
        <v/>
      </c>
      <c r="I1665" s="25">
        <f>IFERROR(INDEX(Pedidos!$E$2:$E$1801,MATCH(B1665,Pedidos!$A$2:$A$1801,0)),"")</f>
        <v/>
      </c>
      <c r="J1665" s="25">
        <f>IFERROR(INDEX(Pedidos!$C$2:$C$1801,MATCH(B1665,Pedidos!$A$2:$A$1801,0)),"")</f>
        <v/>
      </c>
      <c r="K1665" s="25">
        <f>IFERROR(INDEX(Pedidos!$D$2:$D$1801,MATCH(B1665,Pedidos!$A$2:$A$1801,0)),"")</f>
        <v/>
      </c>
      <c r="L1665" s="25">
        <f>IFERROR(INDEX(Pedidos!$F$2:$F$1801,MATCH(B1665,Pedidos!$A$2:$A$1801,0)),"")</f>
        <v/>
      </c>
      <c r="M1665" s="26">
        <f>IFERROR(INDEX(Pedidos!$G$2:$G$1801,MATCH(B1665,Pedidos!$A$2:$A$1801,0)),0)</f>
        <v/>
      </c>
      <c r="N1665" s="25">
        <f>IFERROR(INDEX(Produtos!$B$2:$B$71,MATCH(C1665,Produtos!$A$2:$A$71,0)),"")</f>
        <v/>
      </c>
      <c r="O1665" s="25">
        <f>IFERROR(INDEX(Produtos!$C$2:$C$71,MATCH(C1665,Produtos!$A$2:$A$71,0)),"")</f>
        <v/>
      </c>
      <c r="P1665" s="25">
        <f>IFERROR(INDEX(Produtos!$D$2:$D$71,MATCH(C1665,Produtos!$A$2:$A$71,0)),0)</f>
        <v/>
      </c>
      <c r="Q1665" s="25">
        <f>IFERROR(INDEX(Produtos!$E$2:$E$71,MATCH(C1665,Produtos!$A$2:$A$71,0)),0)</f>
        <v/>
      </c>
      <c r="R1665" s="27">
        <f>D1665*Q1665</f>
        <v/>
      </c>
      <c r="S1665" s="27">
        <f>R1665*E1665</f>
        <v/>
      </c>
      <c r="T1665" s="27">
        <f>(R1665-S1665)*M1665</f>
        <v/>
      </c>
      <c r="U1665" s="27">
        <f>R1665-S1665-T1665</f>
        <v/>
      </c>
      <c r="V1665" s="27">
        <f>D1665*P1665</f>
        <v/>
      </c>
      <c r="W1665" s="27">
        <f>U1665-V1665</f>
        <v/>
      </c>
      <c r="X1665" s="28">
        <f>IFERROR(W1665/U1665,0)</f>
        <v/>
      </c>
    </row>
    <row r="1666">
      <c r="A1666" s="21">
        <f>ItensPedido!A1666</f>
        <v/>
      </c>
      <c r="B1666" s="21">
        <f>ItensPedido!B1666</f>
        <v/>
      </c>
      <c r="C1666" s="21">
        <f>ItensPedido!C1666</f>
        <v/>
      </c>
      <c r="D1666" s="21">
        <f>ItensPedido!D1666</f>
        <v/>
      </c>
      <c r="E1666" s="22">
        <f>ItensPedido!E1666</f>
        <v/>
      </c>
      <c r="F1666" s="21">
        <f>IFERROR(INDEX(Pedidos!$B$2:$B$1801,MATCH(B1666,Pedidos!$A$2:$A$1801,0)),0)</f>
        <v/>
      </c>
      <c r="G1666" s="21">
        <f>IF(F1666=0,"",YEAR(F1666))</f>
        <v/>
      </c>
      <c r="H1666" s="21">
        <f>IF(F1666=0,"",MONTH(F1666))</f>
        <v/>
      </c>
      <c r="I1666" s="21">
        <f>IFERROR(INDEX(Pedidos!$E$2:$E$1801,MATCH(B1666,Pedidos!$A$2:$A$1801,0)),"")</f>
        <v/>
      </c>
      <c r="J1666" s="21">
        <f>IFERROR(INDEX(Pedidos!$C$2:$C$1801,MATCH(B1666,Pedidos!$A$2:$A$1801,0)),"")</f>
        <v/>
      </c>
      <c r="K1666" s="21">
        <f>IFERROR(INDEX(Pedidos!$D$2:$D$1801,MATCH(B1666,Pedidos!$A$2:$A$1801,0)),"")</f>
        <v/>
      </c>
      <c r="L1666" s="21">
        <f>IFERROR(INDEX(Pedidos!$F$2:$F$1801,MATCH(B1666,Pedidos!$A$2:$A$1801,0)),"")</f>
        <v/>
      </c>
      <c r="M1666" s="22">
        <f>IFERROR(INDEX(Pedidos!$G$2:$G$1801,MATCH(B1666,Pedidos!$A$2:$A$1801,0)),0)</f>
        <v/>
      </c>
      <c r="N1666" s="21">
        <f>IFERROR(INDEX(Produtos!$B$2:$B$71,MATCH(C1666,Produtos!$A$2:$A$71,0)),"")</f>
        <v/>
      </c>
      <c r="O1666" s="21">
        <f>IFERROR(INDEX(Produtos!$C$2:$C$71,MATCH(C1666,Produtos!$A$2:$A$71,0)),"")</f>
        <v/>
      </c>
      <c r="P1666" s="21">
        <f>IFERROR(INDEX(Produtos!$D$2:$D$71,MATCH(C1666,Produtos!$A$2:$A$71,0)),0)</f>
        <v/>
      </c>
      <c r="Q1666" s="21">
        <f>IFERROR(INDEX(Produtos!$E$2:$E$71,MATCH(C1666,Produtos!$A$2:$A$71,0)),0)</f>
        <v/>
      </c>
      <c r="R1666" s="23">
        <f>D1666*Q1666</f>
        <v/>
      </c>
      <c r="S1666" s="23">
        <f>R1666*E1666</f>
        <v/>
      </c>
      <c r="T1666" s="23">
        <f>(R1666-S1666)*M1666</f>
        <v/>
      </c>
      <c r="U1666" s="23">
        <f>R1666-S1666-T1666</f>
        <v/>
      </c>
      <c r="V1666" s="23">
        <f>D1666*P1666</f>
        <v/>
      </c>
      <c r="W1666" s="23">
        <f>U1666-V1666</f>
        <v/>
      </c>
      <c r="X1666" s="24">
        <f>IFERROR(W1666/U1666,0)</f>
        <v/>
      </c>
    </row>
    <row r="1667">
      <c r="A1667" s="25">
        <f>ItensPedido!A1667</f>
        <v/>
      </c>
      <c r="B1667" s="25">
        <f>ItensPedido!B1667</f>
        <v/>
      </c>
      <c r="C1667" s="25">
        <f>ItensPedido!C1667</f>
        <v/>
      </c>
      <c r="D1667" s="25">
        <f>ItensPedido!D1667</f>
        <v/>
      </c>
      <c r="E1667" s="26">
        <f>ItensPedido!E1667</f>
        <v/>
      </c>
      <c r="F1667" s="25">
        <f>IFERROR(INDEX(Pedidos!$B$2:$B$1801,MATCH(B1667,Pedidos!$A$2:$A$1801,0)),0)</f>
        <v/>
      </c>
      <c r="G1667" s="25">
        <f>IF(F1667=0,"",YEAR(F1667))</f>
        <v/>
      </c>
      <c r="H1667" s="25">
        <f>IF(F1667=0,"",MONTH(F1667))</f>
        <v/>
      </c>
      <c r="I1667" s="25">
        <f>IFERROR(INDEX(Pedidos!$E$2:$E$1801,MATCH(B1667,Pedidos!$A$2:$A$1801,0)),"")</f>
        <v/>
      </c>
      <c r="J1667" s="25">
        <f>IFERROR(INDEX(Pedidos!$C$2:$C$1801,MATCH(B1667,Pedidos!$A$2:$A$1801,0)),"")</f>
        <v/>
      </c>
      <c r="K1667" s="25">
        <f>IFERROR(INDEX(Pedidos!$D$2:$D$1801,MATCH(B1667,Pedidos!$A$2:$A$1801,0)),"")</f>
        <v/>
      </c>
      <c r="L1667" s="25">
        <f>IFERROR(INDEX(Pedidos!$F$2:$F$1801,MATCH(B1667,Pedidos!$A$2:$A$1801,0)),"")</f>
        <v/>
      </c>
      <c r="M1667" s="26">
        <f>IFERROR(INDEX(Pedidos!$G$2:$G$1801,MATCH(B1667,Pedidos!$A$2:$A$1801,0)),0)</f>
        <v/>
      </c>
      <c r="N1667" s="25">
        <f>IFERROR(INDEX(Produtos!$B$2:$B$71,MATCH(C1667,Produtos!$A$2:$A$71,0)),"")</f>
        <v/>
      </c>
      <c r="O1667" s="25">
        <f>IFERROR(INDEX(Produtos!$C$2:$C$71,MATCH(C1667,Produtos!$A$2:$A$71,0)),"")</f>
        <v/>
      </c>
      <c r="P1667" s="25">
        <f>IFERROR(INDEX(Produtos!$D$2:$D$71,MATCH(C1667,Produtos!$A$2:$A$71,0)),0)</f>
        <v/>
      </c>
      <c r="Q1667" s="25">
        <f>IFERROR(INDEX(Produtos!$E$2:$E$71,MATCH(C1667,Produtos!$A$2:$A$71,0)),0)</f>
        <v/>
      </c>
      <c r="R1667" s="27">
        <f>D1667*Q1667</f>
        <v/>
      </c>
      <c r="S1667" s="27">
        <f>R1667*E1667</f>
        <v/>
      </c>
      <c r="T1667" s="27">
        <f>(R1667-S1667)*M1667</f>
        <v/>
      </c>
      <c r="U1667" s="27">
        <f>R1667-S1667-T1667</f>
        <v/>
      </c>
      <c r="V1667" s="27">
        <f>D1667*P1667</f>
        <v/>
      </c>
      <c r="W1667" s="27">
        <f>U1667-V1667</f>
        <v/>
      </c>
      <c r="X1667" s="28">
        <f>IFERROR(W1667/U1667,0)</f>
        <v/>
      </c>
    </row>
    <row r="1668">
      <c r="A1668" s="21">
        <f>ItensPedido!A1668</f>
        <v/>
      </c>
      <c r="B1668" s="21">
        <f>ItensPedido!B1668</f>
        <v/>
      </c>
      <c r="C1668" s="21">
        <f>ItensPedido!C1668</f>
        <v/>
      </c>
      <c r="D1668" s="21">
        <f>ItensPedido!D1668</f>
        <v/>
      </c>
      <c r="E1668" s="22">
        <f>ItensPedido!E1668</f>
        <v/>
      </c>
      <c r="F1668" s="21">
        <f>IFERROR(INDEX(Pedidos!$B$2:$B$1801,MATCH(B1668,Pedidos!$A$2:$A$1801,0)),0)</f>
        <v/>
      </c>
      <c r="G1668" s="21">
        <f>IF(F1668=0,"",YEAR(F1668))</f>
        <v/>
      </c>
      <c r="H1668" s="21">
        <f>IF(F1668=0,"",MONTH(F1668))</f>
        <v/>
      </c>
      <c r="I1668" s="21">
        <f>IFERROR(INDEX(Pedidos!$E$2:$E$1801,MATCH(B1668,Pedidos!$A$2:$A$1801,0)),"")</f>
        <v/>
      </c>
      <c r="J1668" s="21">
        <f>IFERROR(INDEX(Pedidos!$C$2:$C$1801,MATCH(B1668,Pedidos!$A$2:$A$1801,0)),"")</f>
        <v/>
      </c>
      <c r="K1668" s="21">
        <f>IFERROR(INDEX(Pedidos!$D$2:$D$1801,MATCH(B1668,Pedidos!$A$2:$A$1801,0)),"")</f>
        <v/>
      </c>
      <c r="L1668" s="21">
        <f>IFERROR(INDEX(Pedidos!$F$2:$F$1801,MATCH(B1668,Pedidos!$A$2:$A$1801,0)),"")</f>
        <v/>
      </c>
      <c r="M1668" s="22">
        <f>IFERROR(INDEX(Pedidos!$G$2:$G$1801,MATCH(B1668,Pedidos!$A$2:$A$1801,0)),0)</f>
        <v/>
      </c>
      <c r="N1668" s="21">
        <f>IFERROR(INDEX(Produtos!$B$2:$B$71,MATCH(C1668,Produtos!$A$2:$A$71,0)),"")</f>
        <v/>
      </c>
      <c r="O1668" s="21">
        <f>IFERROR(INDEX(Produtos!$C$2:$C$71,MATCH(C1668,Produtos!$A$2:$A$71,0)),"")</f>
        <v/>
      </c>
      <c r="P1668" s="21">
        <f>IFERROR(INDEX(Produtos!$D$2:$D$71,MATCH(C1668,Produtos!$A$2:$A$71,0)),0)</f>
        <v/>
      </c>
      <c r="Q1668" s="21">
        <f>IFERROR(INDEX(Produtos!$E$2:$E$71,MATCH(C1668,Produtos!$A$2:$A$71,0)),0)</f>
        <v/>
      </c>
      <c r="R1668" s="23">
        <f>D1668*Q1668</f>
        <v/>
      </c>
      <c r="S1668" s="23">
        <f>R1668*E1668</f>
        <v/>
      </c>
      <c r="T1668" s="23">
        <f>(R1668-S1668)*M1668</f>
        <v/>
      </c>
      <c r="U1668" s="23">
        <f>R1668-S1668-T1668</f>
        <v/>
      </c>
      <c r="V1668" s="23">
        <f>D1668*P1668</f>
        <v/>
      </c>
      <c r="W1668" s="23">
        <f>U1668-V1668</f>
        <v/>
      </c>
      <c r="X1668" s="24">
        <f>IFERROR(W1668/U1668,0)</f>
        <v/>
      </c>
    </row>
    <row r="1669">
      <c r="A1669" s="25">
        <f>ItensPedido!A1669</f>
        <v/>
      </c>
      <c r="B1669" s="25">
        <f>ItensPedido!B1669</f>
        <v/>
      </c>
      <c r="C1669" s="25">
        <f>ItensPedido!C1669</f>
        <v/>
      </c>
      <c r="D1669" s="25">
        <f>ItensPedido!D1669</f>
        <v/>
      </c>
      <c r="E1669" s="26">
        <f>ItensPedido!E1669</f>
        <v/>
      </c>
      <c r="F1669" s="25">
        <f>IFERROR(INDEX(Pedidos!$B$2:$B$1801,MATCH(B1669,Pedidos!$A$2:$A$1801,0)),0)</f>
        <v/>
      </c>
      <c r="G1669" s="25">
        <f>IF(F1669=0,"",YEAR(F1669))</f>
        <v/>
      </c>
      <c r="H1669" s="25">
        <f>IF(F1669=0,"",MONTH(F1669))</f>
        <v/>
      </c>
      <c r="I1669" s="25">
        <f>IFERROR(INDEX(Pedidos!$E$2:$E$1801,MATCH(B1669,Pedidos!$A$2:$A$1801,0)),"")</f>
        <v/>
      </c>
      <c r="J1669" s="25">
        <f>IFERROR(INDEX(Pedidos!$C$2:$C$1801,MATCH(B1669,Pedidos!$A$2:$A$1801,0)),"")</f>
        <v/>
      </c>
      <c r="K1669" s="25">
        <f>IFERROR(INDEX(Pedidos!$D$2:$D$1801,MATCH(B1669,Pedidos!$A$2:$A$1801,0)),"")</f>
        <v/>
      </c>
      <c r="L1669" s="25">
        <f>IFERROR(INDEX(Pedidos!$F$2:$F$1801,MATCH(B1669,Pedidos!$A$2:$A$1801,0)),"")</f>
        <v/>
      </c>
      <c r="M1669" s="26">
        <f>IFERROR(INDEX(Pedidos!$G$2:$G$1801,MATCH(B1669,Pedidos!$A$2:$A$1801,0)),0)</f>
        <v/>
      </c>
      <c r="N1669" s="25">
        <f>IFERROR(INDEX(Produtos!$B$2:$B$71,MATCH(C1669,Produtos!$A$2:$A$71,0)),"")</f>
        <v/>
      </c>
      <c r="O1669" s="25">
        <f>IFERROR(INDEX(Produtos!$C$2:$C$71,MATCH(C1669,Produtos!$A$2:$A$71,0)),"")</f>
        <v/>
      </c>
      <c r="P1669" s="25">
        <f>IFERROR(INDEX(Produtos!$D$2:$D$71,MATCH(C1669,Produtos!$A$2:$A$71,0)),0)</f>
        <v/>
      </c>
      <c r="Q1669" s="25">
        <f>IFERROR(INDEX(Produtos!$E$2:$E$71,MATCH(C1669,Produtos!$A$2:$A$71,0)),0)</f>
        <v/>
      </c>
      <c r="R1669" s="27">
        <f>D1669*Q1669</f>
        <v/>
      </c>
      <c r="S1669" s="27">
        <f>R1669*E1669</f>
        <v/>
      </c>
      <c r="T1669" s="27">
        <f>(R1669-S1669)*M1669</f>
        <v/>
      </c>
      <c r="U1669" s="27">
        <f>R1669-S1669-T1669</f>
        <v/>
      </c>
      <c r="V1669" s="27">
        <f>D1669*P1669</f>
        <v/>
      </c>
      <c r="W1669" s="27">
        <f>U1669-V1669</f>
        <v/>
      </c>
      <c r="X1669" s="28">
        <f>IFERROR(W1669/U1669,0)</f>
        <v/>
      </c>
    </row>
    <row r="1670">
      <c r="A1670" s="21">
        <f>ItensPedido!A1670</f>
        <v/>
      </c>
      <c r="B1670" s="21">
        <f>ItensPedido!B1670</f>
        <v/>
      </c>
      <c r="C1670" s="21">
        <f>ItensPedido!C1670</f>
        <v/>
      </c>
      <c r="D1670" s="21">
        <f>ItensPedido!D1670</f>
        <v/>
      </c>
      <c r="E1670" s="22">
        <f>ItensPedido!E1670</f>
        <v/>
      </c>
      <c r="F1670" s="21">
        <f>IFERROR(INDEX(Pedidos!$B$2:$B$1801,MATCH(B1670,Pedidos!$A$2:$A$1801,0)),0)</f>
        <v/>
      </c>
      <c r="G1670" s="21">
        <f>IF(F1670=0,"",YEAR(F1670))</f>
        <v/>
      </c>
      <c r="H1670" s="21">
        <f>IF(F1670=0,"",MONTH(F1670))</f>
        <v/>
      </c>
      <c r="I1670" s="21">
        <f>IFERROR(INDEX(Pedidos!$E$2:$E$1801,MATCH(B1670,Pedidos!$A$2:$A$1801,0)),"")</f>
        <v/>
      </c>
      <c r="J1670" s="21">
        <f>IFERROR(INDEX(Pedidos!$C$2:$C$1801,MATCH(B1670,Pedidos!$A$2:$A$1801,0)),"")</f>
        <v/>
      </c>
      <c r="K1670" s="21">
        <f>IFERROR(INDEX(Pedidos!$D$2:$D$1801,MATCH(B1670,Pedidos!$A$2:$A$1801,0)),"")</f>
        <v/>
      </c>
      <c r="L1670" s="21">
        <f>IFERROR(INDEX(Pedidos!$F$2:$F$1801,MATCH(B1670,Pedidos!$A$2:$A$1801,0)),"")</f>
        <v/>
      </c>
      <c r="M1670" s="22">
        <f>IFERROR(INDEX(Pedidos!$G$2:$G$1801,MATCH(B1670,Pedidos!$A$2:$A$1801,0)),0)</f>
        <v/>
      </c>
      <c r="N1670" s="21">
        <f>IFERROR(INDEX(Produtos!$B$2:$B$71,MATCH(C1670,Produtos!$A$2:$A$71,0)),"")</f>
        <v/>
      </c>
      <c r="O1670" s="21">
        <f>IFERROR(INDEX(Produtos!$C$2:$C$71,MATCH(C1670,Produtos!$A$2:$A$71,0)),"")</f>
        <v/>
      </c>
      <c r="P1670" s="21">
        <f>IFERROR(INDEX(Produtos!$D$2:$D$71,MATCH(C1670,Produtos!$A$2:$A$71,0)),0)</f>
        <v/>
      </c>
      <c r="Q1670" s="21">
        <f>IFERROR(INDEX(Produtos!$E$2:$E$71,MATCH(C1670,Produtos!$A$2:$A$71,0)),0)</f>
        <v/>
      </c>
      <c r="R1670" s="23">
        <f>D1670*Q1670</f>
        <v/>
      </c>
      <c r="S1670" s="23">
        <f>R1670*E1670</f>
        <v/>
      </c>
      <c r="T1670" s="23">
        <f>(R1670-S1670)*M1670</f>
        <v/>
      </c>
      <c r="U1670" s="23">
        <f>R1670-S1670-T1670</f>
        <v/>
      </c>
      <c r="V1670" s="23">
        <f>D1670*P1670</f>
        <v/>
      </c>
      <c r="W1670" s="23">
        <f>U1670-V1670</f>
        <v/>
      </c>
      <c r="X1670" s="24">
        <f>IFERROR(W1670/U1670,0)</f>
        <v/>
      </c>
    </row>
    <row r="1671">
      <c r="A1671" s="25">
        <f>ItensPedido!A1671</f>
        <v/>
      </c>
      <c r="B1671" s="25">
        <f>ItensPedido!B1671</f>
        <v/>
      </c>
      <c r="C1671" s="25">
        <f>ItensPedido!C1671</f>
        <v/>
      </c>
      <c r="D1671" s="25">
        <f>ItensPedido!D1671</f>
        <v/>
      </c>
      <c r="E1671" s="26">
        <f>ItensPedido!E1671</f>
        <v/>
      </c>
      <c r="F1671" s="25">
        <f>IFERROR(INDEX(Pedidos!$B$2:$B$1801,MATCH(B1671,Pedidos!$A$2:$A$1801,0)),0)</f>
        <v/>
      </c>
      <c r="G1671" s="25">
        <f>IF(F1671=0,"",YEAR(F1671))</f>
        <v/>
      </c>
      <c r="H1671" s="25">
        <f>IF(F1671=0,"",MONTH(F1671))</f>
        <v/>
      </c>
      <c r="I1671" s="25">
        <f>IFERROR(INDEX(Pedidos!$E$2:$E$1801,MATCH(B1671,Pedidos!$A$2:$A$1801,0)),"")</f>
        <v/>
      </c>
      <c r="J1671" s="25">
        <f>IFERROR(INDEX(Pedidos!$C$2:$C$1801,MATCH(B1671,Pedidos!$A$2:$A$1801,0)),"")</f>
        <v/>
      </c>
      <c r="K1671" s="25">
        <f>IFERROR(INDEX(Pedidos!$D$2:$D$1801,MATCH(B1671,Pedidos!$A$2:$A$1801,0)),"")</f>
        <v/>
      </c>
      <c r="L1671" s="25">
        <f>IFERROR(INDEX(Pedidos!$F$2:$F$1801,MATCH(B1671,Pedidos!$A$2:$A$1801,0)),"")</f>
        <v/>
      </c>
      <c r="M1671" s="26">
        <f>IFERROR(INDEX(Pedidos!$G$2:$G$1801,MATCH(B1671,Pedidos!$A$2:$A$1801,0)),0)</f>
        <v/>
      </c>
      <c r="N1671" s="25">
        <f>IFERROR(INDEX(Produtos!$B$2:$B$71,MATCH(C1671,Produtos!$A$2:$A$71,0)),"")</f>
        <v/>
      </c>
      <c r="O1671" s="25">
        <f>IFERROR(INDEX(Produtos!$C$2:$C$71,MATCH(C1671,Produtos!$A$2:$A$71,0)),"")</f>
        <v/>
      </c>
      <c r="P1671" s="25">
        <f>IFERROR(INDEX(Produtos!$D$2:$D$71,MATCH(C1671,Produtos!$A$2:$A$71,0)),0)</f>
        <v/>
      </c>
      <c r="Q1671" s="25">
        <f>IFERROR(INDEX(Produtos!$E$2:$E$71,MATCH(C1671,Produtos!$A$2:$A$71,0)),0)</f>
        <v/>
      </c>
      <c r="R1671" s="27">
        <f>D1671*Q1671</f>
        <v/>
      </c>
      <c r="S1671" s="27">
        <f>R1671*E1671</f>
        <v/>
      </c>
      <c r="T1671" s="27">
        <f>(R1671-S1671)*M1671</f>
        <v/>
      </c>
      <c r="U1671" s="27">
        <f>R1671-S1671-T1671</f>
        <v/>
      </c>
      <c r="V1671" s="27">
        <f>D1671*P1671</f>
        <v/>
      </c>
      <c r="W1671" s="27">
        <f>U1671-V1671</f>
        <v/>
      </c>
      <c r="X1671" s="28">
        <f>IFERROR(W1671/U1671,0)</f>
        <v/>
      </c>
    </row>
    <row r="1672">
      <c r="A1672" s="21">
        <f>ItensPedido!A1672</f>
        <v/>
      </c>
      <c r="B1672" s="21">
        <f>ItensPedido!B1672</f>
        <v/>
      </c>
      <c r="C1672" s="21">
        <f>ItensPedido!C1672</f>
        <v/>
      </c>
      <c r="D1672" s="21">
        <f>ItensPedido!D1672</f>
        <v/>
      </c>
      <c r="E1672" s="22">
        <f>ItensPedido!E1672</f>
        <v/>
      </c>
      <c r="F1672" s="21">
        <f>IFERROR(INDEX(Pedidos!$B$2:$B$1801,MATCH(B1672,Pedidos!$A$2:$A$1801,0)),0)</f>
        <v/>
      </c>
      <c r="G1672" s="21">
        <f>IF(F1672=0,"",YEAR(F1672))</f>
        <v/>
      </c>
      <c r="H1672" s="21">
        <f>IF(F1672=0,"",MONTH(F1672))</f>
        <v/>
      </c>
      <c r="I1672" s="21">
        <f>IFERROR(INDEX(Pedidos!$E$2:$E$1801,MATCH(B1672,Pedidos!$A$2:$A$1801,0)),"")</f>
        <v/>
      </c>
      <c r="J1672" s="21">
        <f>IFERROR(INDEX(Pedidos!$C$2:$C$1801,MATCH(B1672,Pedidos!$A$2:$A$1801,0)),"")</f>
        <v/>
      </c>
      <c r="K1672" s="21">
        <f>IFERROR(INDEX(Pedidos!$D$2:$D$1801,MATCH(B1672,Pedidos!$A$2:$A$1801,0)),"")</f>
        <v/>
      </c>
      <c r="L1672" s="21">
        <f>IFERROR(INDEX(Pedidos!$F$2:$F$1801,MATCH(B1672,Pedidos!$A$2:$A$1801,0)),"")</f>
        <v/>
      </c>
      <c r="M1672" s="22">
        <f>IFERROR(INDEX(Pedidos!$G$2:$G$1801,MATCH(B1672,Pedidos!$A$2:$A$1801,0)),0)</f>
        <v/>
      </c>
      <c r="N1672" s="21">
        <f>IFERROR(INDEX(Produtos!$B$2:$B$71,MATCH(C1672,Produtos!$A$2:$A$71,0)),"")</f>
        <v/>
      </c>
      <c r="O1672" s="21">
        <f>IFERROR(INDEX(Produtos!$C$2:$C$71,MATCH(C1672,Produtos!$A$2:$A$71,0)),"")</f>
        <v/>
      </c>
      <c r="P1672" s="21">
        <f>IFERROR(INDEX(Produtos!$D$2:$D$71,MATCH(C1672,Produtos!$A$2:$A$71,0)),0)</f>
        <v/>
      </c>
      <c r="Q1672" s="21">
        <f>IFERROR(INDEX(Produtos!$E$2:$E$71,MATCH(C1672,Produtos!$A$2:$A$71,0)),0)</f>
        <v/>
      </c>
      <c r="R1672" s="23">
        <f>D1672*Q1672</f>
        <v/>
      </c>
      <c r="S1672" s="23">
        <f>R1672*E1672</f>
        <v/>
      </c>
      <c r="T1672" s="23">
        <f>(R1672-S1672)*M1672</f>
        <v/>
      </c>
      <c r="U1672" s="23">
        <f>R1672-S1672-T1672</f>
        <v/>
      </c>
      <c r="V1672" s="23">
        <f>D1672*P1672</f>
        <v/>
      </c>
      <c r="W1672" s="23">
        <f>U1672-V1672</f>
        <v/>
      </c>
      <c r="X1672" s="24">
        <f>IFERROR(W1672/U1672,0)</f>
        <v/>
      </c>
    </row>
    <row r="1673">
      <c r="A1673" s="25">
        <f>ItensPedido!A1673</f>
        <v/>
      </c>
      <c r="B1673" s="25">
        <f>ItensPedido!B1673</f>
        <v/>
      </c>
      <c r="C1673" s="25">
        <f>ItensPedido!C1673</f>
        <v/>
      </c>
      <c r="D1673" s="25">
        <f>ItensPedido!D1673</f>
        <v/>
      </c>
      <c r="E1673" s="26">
        <f>ItensPedido!E1673</f>
        <v/>
      </c>
      <c r="F1673" s="25">
        <f>IFERROR(INDEX(Pedidos!$B$2:$B$1801,MATCH(B1673,Pedidos!$A$2:$A$1801,0)),0)</f>
        <v/>
      </c>
      <c r="G1673" s="25">
        <f>IF(F1673=0,"",YEAR(F1673))</f>
        <v/>
      </c>
      <c r="H1673" s="25">
        <f>IF(F1673=0,"",MONTH(F1673))</f>
        <v/>
      </c>
      <c r="I1673" s="25">
        <f>IFERROR(INDEX(Pedidos!$E$2:$E$1801,MATCH(B1673,Pedidos!$A$2:$A$1801,0)),"")</f>
        <v/>
      </c>
      <c r="J1673" s="25">
        <f>IFERROR(INDEX(Pedidos!$C$2:$C$1801,MATCH(B1673,Pedidos!$A$2:$A$1801,0)),"")</f>
        <v/>
      </c>
      <c r="K1673" s="25">
        <f>IFERROR(INDEX(Pedidos!$D$2:$D$1801,MATCH(B1673,Pedidos!$A$2:$A$1801,0)),"")</f>
        <v/>
      </c>
      <c r="L1673" s="25">
        <f>IFERROR(INDEX(Pedidos!$F$2:$F$1801,MATCH(B1673,Pedidos!$A$2:$A$1801,0)),"")</f>
        <v/>
      </c>
      <c r="M1673" s="26">
        <f>IFERROR(INDEX(Pedidos!$G$2:$G$1801,MATCH(B1673,Pedidos!$A$2:$A$1801,0)),0)</f>
        <v/>
      </c>
      <c r="N1673" s="25">
        <f>IFERROR(INDEX(Produtos!$B$2:$B$71,MATCH(C1673,Produtos!$A$2:$A$71,0)),"")</f>
        <v/>
      </c>
      <c r="O1673" s="25">
        <f>IFERROR(INDEX(Produtos!$C$2:$C$71,MATCH(C1673,Produtos!$A$2:$A$71,0)),"")</f>
        <v/>
      </c>
      <c r="P1673" s="25">
        <f>IFERROR(INDEX(Produtos!$D$2:$D$71,MATCH(C1673,Produtos!$A$2:$A$71,0)),0)</f>
        <v/>
      </c>
      <c r="Q1673" s="25">
        <f>IFERROR(INDEX(Produtos!$E$2:$E$71,MATCH(C1673,Produtos!$A$2:$A$71,0)),0)</f>
        <v/>
      </c>
      <c r="R1673" s="27">
        <f>D1673*Q1673</f>
        <v/>
      </c>
      <c r="S1673" s="27">
        <f>R1673*E1673</f>
        <v/>
      </c>
      <c r="T1673" s="27">
        <f>(R1673-S1673)*M1673</f>
        <v/>
      </c>
      <c r="U1673" s="27">
        <f>R1673-S1673-T1673</f>
        <v/>
      </c>
      <c r="V1673" s="27">
        <f>D1673*P1673</f>
        <v/>
      </c>
      <c r="W1673" s="27">
        <f>U1673-V1673</f>
        <v/>
      </c>
      <c r="X1673" s="28">
        <f>IFERROR(W1673/U1673,0)</f>
        <v/>
      </c>
    </row>
    <row r="1674">
      <c r="A1674" s="21">
        <f>ItensPedido!A1674</f>
        <v/>
      </c>
      <c r="B1674" s="21">
        <f>ItensPedido!B1674</f>
        <v/>
      </c>
      <c r="C1674" s="21">
        <f>ItensPedido!C1674</f>
        <v/>
      </c>
      <c r="D1674" s="21">
        <f>ItensPedido!D1674</f>
        <v/>
      </c>
      <c r="E1674" s="22">
        <f>ItensPedido!E1674</f>
        <v/>
      </c>
      <c r="F1674" s="21">
        <f>IFERROR(INDEX(Pedidos!$B$2:$B$1801,MATCH(B1674,Pedidos!$A$2:$A$1801,0)),0)</f>
        <v/>
      </c>
      <c r="G1674" s="21">
        <f>IF(F1674=0,"",YEAR(F1674))</f>
        <v/>
      </c>
      <c r="H1674" s="21">
        <f>IF(F1674=0,"",MONTH(F1674))</f>
        <v/>
      </c>
      <c r="I1674" s="21">
        <f>IFERROR(INDEX(Pedidos!$E$2:$E$1801,MATCH(B1674,Pedidos!$A$2:$A$1801,0)),"")</f>
        <v/>
      </c>
      <c r="J1674" s="21">
        <f>IFERROR(INDEX(Pedidos!$C$2:$C$1801,MATCH(B1674,Pedidos!$A$2:$A$1801,0)),"")</f>
        <v/>
      </c>
      <c r="K1674" s="21">
        <f>IFERROR(INDEX(Pedidos!$D$2:$D$1801,MATCH(B1674,Pedidos!$A$2:$A$1801,0)),"")</f>
        <v/>
      </c>
      <c r="L1674" s="21">
        <f>IFERROR(INDEX(Pedidos!$F$2:$F$1801,MATCH(B1674,Pedidos!$A$2:$A$1801,0)),"")</f>
        <v/>
      </c>
      <c r="M1674" s="22">
        <f>IFERROR(INDEX(Pedidos!$G$2:$G$1801,MATCH(B1674,Pedidos!$A$2:$A$1801,0)),0)</f>
        <v/>
      </c>
      <c r="N1674" s="21">
        <f>IFERROR(INDEX(Produtos!$B$2:$B$71,MATCH(C1674,Produtos!$A$2:$A$71,0)),"")</f>
        <v/>
      </c>
      <c r="O1674" s="21">
        <f>IFERROR(INDEX(Produtos!$C$2:$C$71,MATCH(C1674,Produtos!$A$2:$A$71,0)),"")</f>
        <v/>
      </c>
      <c r="P1674" s="21">
        <f>IFERROR(INDEX(Produtos!$D$2:$D$71,MATCH(C1674,Produtos!$A$2:$A$71,0)),0)</f>
        <v/>
      </c>
      <c r="Q1674" s="21">
        <f>IFERROR(INDEX(Produtos!$E$2:$E$71,MATCH(C1674,Produtos!$A$2:$A$71,0)),0)</f>
        <v/>
      </c>
      <c r="R1674" s="23">
        <f>D1674*Q1674</f>
        <v/>
      </c>
      <c r="S1674" s="23">
        <f>R1674*E1674</f>
        <v/>
      </c>
      <c r="T1674" s="23">
        <f>(R1674-S1674)*M1674</f>
        <v/>
      </c>
      <c r="U1674" s="23">
        <f>R1674-S1674-T1674</f>
        <v/>
      </c>
      <c r="V1674" s="23">
        <f>D1674*P1674</f>
        <v/>
      </c>
      <c r="W1674" s="23">
        <f>U1674-V1674</f>
        <v/>
      </c>
      <c r="X1674" s="24">
        <f>IFERROR(W1674/U1674,0)</f>
        <v/>
      </c>
    </row>
    <row r="1675">
      <c r="A1675" s="25">
        <f>ItensPedido!A1675</f>
        <v/>
      </c>
      <c r="B1675" s="25">
        <f>ItensPedido!B1675</f>
        <v/>
      </c>
      <c r="C1675" s="25">
        <f>ItensPedido!C1675</f>
        <v/>
      </c>
      <c r="D1675" s="25">
        <f>ItensPedido!D1675</f>
        <v/>
      </c>
      <c r="E1675" s="26">
        <f>ItensPedido!E1675</f>
        <v/>
      </c>
      <c r="F1675" s="25">
        <f>IFERROR(INDEX(Pedidos!$B$2:$B$1801,MATCH(B1675,Pedidos!$A$2:$A$1801,0)),0)</f>
        <v/>
      </c>
      <c r="G1675" s="25">
        <f>IF(F1675=0,"",YEAR(F1675))</f>
        <v/>
      </c>
      <c r="H1675" s="25">
        <f>IF(F1675=0,"",MONTH(F1675))</f>
        <v/>
      </c>
      <c r="I1675" s="25">
        <f>IFERROR(INDEX(Pedidos!$E$2:$E$1801,MATCH(B1675,Pedidos!$A$2:$A$1801,0)),"")</f>
        <v/>
      </c>
      <c r="J1675" s="25">
        <f>IFERROR(INDEX(Pedidos!$C$2:$C$1801,MATCH(B1675,Pedidos!$A$2:$A$1801,0)),"")</f>
        <v/>
      </c>
      <c r="K1675" s="25">
        <f>IFERROR(INDEX(Pedidos!$D$2:$D$1801,MATCH(B1675,Pedidos!$A$2:$A$1801,0)),"")</f>
        <v/>
      </c>
      <c r="L1675" s="25">
        <f>IFERROR(INDEX(Pedidos!$F$2:$F$1801,MATCH(B1675,Pedidos!$A$2:$A$1801,0)),"")</f>
        <v/>
      </c>
      <c r="M1675" s="26">
        <f>IFERROR(INDEX(Pedidos!$G$2:$G$1801,MATCH(B1675,Pedidos!$A$2:$A$1801,0)),0)</f>
        <v/>
      </c>
      <c r="N1675" s="25">
        <f>IFERROR(INDEX(Produtos!$B$2:$B$71,MATCH(C1675,Produtos!$A$2:$A$71,0)),"")</f>
        <v/>
      </c>
      <c r="O1675" s="25">
        <f>IFERROR(INDEX(Produtos!$C$2:$C$71,MATCH(C1675,Produtos!$A$2:$A$71,0)),"")</f>
        <v/>
      </c>
      <c r="P1675" s="25">
        <f>IFERROR(INDEX(Produtos!$D$2:$D$71,MATCH(C1675,Produtos!$A$2:$A$71,0)),0)</f>
        <v/>
      </c>
      <c r="Q1675" s="25">
        <f>IFERROR(INDEX(Produtos!$E$2:$E$71,MATCH(C1675,Produtos!$A$2:$A$71,0)),0)</f>
        <v/>
      </c>
      <c r="R1675" s="27">
        <f>D1675*Q1675</f>
        <v/>
      </c>
      <c r="S1675" s="27">
        <f>R1675*E1675</f>
        <v/>
      </c>
      <c r="T1675" s="27">
        <f>(R1675-S1675)*M1675</f>
        <v/>
      </c>
      <c r="U1675" s="27">
        <f>R1675-S1675-T1675</f>
        <v/>
      </c>
      <c r="V1675" s="27">
        <f>D1675*P1675</f>
        <v/>
      </c>
      <c r="W1675" s="27">
        <f>U1675-V1675</f>
        <v/>
      </c>
      <c r="X1675" s="28">
        <f>IFERROR(W1675/U1675,0)</f>
        <v/>
      </c>
    </row>
    <row r="1676">
      <c r="A1676" s="21">
        <f>ItensPedido!A1676</f>
        <v/>
      </c>
      <c r="B1676" s="21">
        <f>ItensPedido!B1676</f>
        <v/>
      </c>
      <c r="C1676" s="21">
        <f>ItensPedido!C1676</f>
        <v/>
      </c>
      <c r="D1676" s="21">
        <f>ItensPedido!D1676</f>
        <v/>
      </c>
      <c r="E1676" s="22">
        <f>ItensPedido!E1676</f>
        <v/>
      </c>
      <c r="F1676" s="21">
        <f>IFERROR(INDEX(Pedidos!$B$2:$B$1801,MATCH(B1676,Pedidos!$A$2:$A$1801,0)),0)</f>
        <v/>
      </c>
      <c r="G1676" s="21">
        <f>IF(F1676=0,"",YEAR(F1676))</f>
        <v/>
      </c>
      <c r="H1676" s="21">
        <f>IF(F1676=0,"",MONTH(F1676))</f>
        <v/>
      </c>
      <c r="I1676" s="21">
        <f>IFERROR(INDEX(Pedidos!$E$2:$E$1801,MATCH(B1676,Pedidos!$A$2:$A$1801,0)),"")</f>
        <v/>
      </c>
      <c r="J1676" s="21">
        <f>IFERROR(INDEX(Pedidos!$C$2:$C$1801,MATCH(B1676,Pedidos!$A$2:$A$1801,0)),"")</f>
        <v/>
      </c>
      <c r="K1676" s="21">
        <f>IFERROR(INDEX(Pedidos!$D$2:$D$1801,MATCH(B1676,Pedidos!$A$2:$A$1801,0)),"")</f>
        <v/>
      </c>
      <c r="L1676" s="21">
        <f>IFERROR(INDEX(Pedidos!$F$2:$F$1801,MATCH(B1676,Pedidos!$A$2:$A$1801,0)),"")</f>
        <v/>
      </c>
      <c r="M1676" s="22">
        <f>IFERROR(INDEX(Pedidos!$G$2:$G$1801,MATCH(B1676,Pedidos!$A$2:$A$1801,0)),0)</f>
        <v/>
      </c>
      <c r="N1676" s="21">
        <f>IFERROR(INDEX(Produtos!$B$2:$B$71,MATCH(C1676,Produtos!$A$2:$A$71,0)),"")</f>
        <v/>
      </c>
      <c r="O1676" s="21">
        <f>IFERROR(INDEX(Produtos!$C$2:$C$71,MATCH(C1676,Produtos!$A$2:$A$71,0)),"")</f>
        <v/>
      </c>
      <c r="P1676" s="21">
        <f>IFERROR(INDEX(Produtos!$D$2:$D$71,MATCH(C1676,Produtos!$A$2:$A$71,0)),0)</f>
        <v/>
      </c>
      <c r="Q1676" s="21">
        <f>IFERROR(INDEX(Produtos!$E$2:$E$71,MATCH(C1676,Produtos!$A$2:$A$71,0)),0)</f>
        <v/>
      </c>
      <c r="R1676" s="23">
        <f>D1676*Q1676</f>
        <v/>
      </c>
      <c r="S1676" s="23">
        <f>R1676*E1676</f>
        <v/>
      </c>
      <c r="T1676" s="23">
        <f>(R1676-S1676)*M1676</f>
        <v/>
      </c>
      <c r="U1676" s="23">
        <f>R1676-S1676-T1676</f>
        <v/>
      </c>
      <c r="V1676" s="23">
        <f>D1676*P1676</f>
        <v/>
      </c>
      <c r="W1676" s="23">
        <f>U1676-V1676</f>
        <v/>
      </c>
      <c r="X1676" s="24">
        <f>IFERROR(W1676/U1676,0)</f>
        <v/>
      </c>
    </row>
    <row r="1677">
      <c r="A1677" s="25">
        <f>ItensPedido!A1677</f>
        <v/>
      </c>
      <c r="B1677" s="25">
        <f>ItensPedido!B1677</f>
        <v/>
      </c>
      <c r="C1677" s="25">
        <f>ItensPedido!C1677</f>
        <v/>
      </c>
      <c r="D1677" s="25">
        <f>ItensPedido!D1677</f>
        <v/>
      </c>
      <c r="E1677" s="26">
        <f>ItensPedido!E1677</f>
        <v/>
      </c>
      <c r="F1677" s="25">
        <f>IFERROR(INDEX(Pedidos!$B$2:$B$1801,MATCH(B1677,Pedidos!$A$2:$A$1801,0)),0)</f>
        <v/>
      </c>
      <c r="G1677" s="25">
        <f>IF(F1677=0,"",YEAR(F1677))</f>
        <v/>
      </c>
      <c r="H1677" s="25">
        <f>IF(F1677=0,"",MONTH(F1677))</f>
        <v/>
      </c>
      <c r="I1677" s="25">
        <f>IFERROR(INDEX(Pedidos!$E$2:$E$1801,MATCH(B1677,Pedidos!$A$2:$A$1801,0)),"")</f>
        <v/>
      </c>
      <c r="J1677" s="25">
        <f>IFERROR(INDEX(Pedidos!$C$2:$C$1801,MATCH(B1677,Pedidos!$A$2:$A$1801,0)),"")</f>
        <v/>
      </c>
      <c r="K1677" s="25">
        <f>IFERROR(INDEX(Pedidos!$D$2:$D$1801,MATCH(B1677,Pedidos!$A$2:$A$1801,0)),"")</f>
        <v/>
      </c>
      <c r="L1677" s="25">
        <f>IFERROR(INDEX(Pedidos!$F$2:$F$1801,MATCH(B1677,Pedidos!$A$2:$A$1801,0)),"")</f>
        <v/>
      </c>
      <c r="M1677" s="26">
        <f>IFERROR(INDEX(Pedidos!$G$2:$G$1801,MATCH(B1677,Pedidos!$A$2:$A$1801,0)),0)</f>
        <v/>
      </c>
      <c r="N1677" s="25">
        <f>IFERROR(INDEX(Produtos!$B$2:$B$71,MATCH(C1677,Produtos!$A$2:$A$71,0)),"")</f>
        <v/>
      </c>
      <c r="O1677" s="25">
        <f>IFERROR(INDEX(Produtos!$C$2:$C$71,MATCH(C1677,Produtos!$A$2:$A$71,0)),"")</f>
        <v/>
      </c>
      <c r="P1677" s="25">
        <f>IFERROR(INDEX(Produtos!$D$2:$D$71,MATCH(C1677,Produtos!$A$2:$A$71,0)),0)</f>
        <v/>
      </c>
      <c r="Q1677" s="25">
        <f>IFERROR(INDEX(Produtos!$E$2:$E$71,MATCH(C1677,Produtos!$A$2:$A$71,0)),0)</f>
        <v/>
      </c>
      <c r="R1677" s="27">
        <f>D1677*Q1677</f>
        <v/>
      </c>
      <c r="S1677" s="27">
        <f>R1677*E1677</f>
        <v/>
      </c>
      <c r="T1677" s="27">
        <f>(R1677-S1677)*M1677</f>
        <v/>
      </c>
      <c r="U1677" s="27">
        <f>R1677-S1677-T1677</f>
        <v/>
      </c>
      <c r="V1677" s="27">
        <f>D1677*P1677</f>
        <v/>
      </c>
      <c r="W1677" s="27">
        <f>U1677-V1677</f>
        <v/>
      </c>
      <c r="X1677" s="28">
        <f>IFERROR(W1677/U1677,0)</f>
        <v/>
      </c>
    </row>
    <row r="1678">
      <c r="A1678" s="21">
        <f>ItensPedido!A1678</f>
        <v/>
      </c>
      <c r="B1678" s="21">
        <f>ItensPedido!B1678</f>
        <v/>
      </c>
      <c r="C1678" s="21">
        <f>ItensPedido!C1678</f>
        <v/>
      </c>
      <c r="D1678" s="21">
        <f>ItensPedido!D1678</f>
        <v/>
      </c>
      <c r="E1678" s="22">
        <f>ItensPedido!E1678</f>
        <v/>
      </c>
      <c r="F1678" s="21">
        <f>IFERROR(INDEX(Pedidos!$B$2:$B$1801,MATCH(B1678,Pedidos!$A$2:$A$1801,0)),0)</f>
        <v/>
      </c>
      <c r="G1678" s="21">
        <f>IF(F1678=0,"",YEAR(F1678))</f>
        <v/>
      </c>
      <c r="H1678" s="21">
        <f>IF(F1678=0,"",MONTH(F1678))</f>
        <v/>
      </c>
      <c r="I1678" s="21">
        <f>IFERROR(INDEX(Pedidos!$E$2:$E$1801,MATCH(B1678,Pedidos!$A$2:$A$1801,0)),"")</f>
        <v/>
      </c>
      <c r="J1678" s="21">
        <f>IFERROR(INDEX(Pedidos!$C$2:$C$1801,MATCH(B1678,Pedidos!$A$2:$A$1801,0)),"")</f>
        <v/>
      </c>
      <c r="K1678" s="21">
        <f>IFERROR(INDEX(Pedidos!$D$2:$D$1801,MATCH(B1678,Pedidos!$A$2:$A$1801,0)),"")</f>
        <v/>
      </c>
      <c r="L1678" s="21">
        <f>IFERROR(INDEX(Pedidos!$F$2:$F$1801,MATCH(B1678,Pedidos!$A$2:$A$1801,0)),"")</f>
        <v/>
      </c>
      <c r="M1678" s="22">
        <f>IFERROR(INDEX(Pedidos!$G$2:$G$1801,MATCH(B1678,Pedidos!$A$2:$A$1801,0)),0)</f>
        <v/>
      </c>
      <c r="N1678" s="21">
        <f>IFERROR(INDEX(Produtos!$B$2:$B$71,MATCH(C1678,Produtos!$A$2:$A$71,0)),"")</f>
        <v/>
      </c>
      <c r="O1678" s="21">
        <f>IFERROR(INDEX(Produtos!$C$2:$C$71,MATCH(C1678,Produtos!$A$2:$A$71,0)),"")</f>
        <v/>
      </c>
      <c r="P1678" s="21">
        <f>IFERROR(INDEX(Produtos!$D$2:$D$71,MATCH(C1678,Produtos!$A$2:$A$71,0)),0)</f>
        <v/>
      </c>
      <c r="Q1678" s="21">
        <f>IFERROR(INDEX(Produtos!$E$2:$E$71,MATCH(C1678,Produtos!$A$2:$A$71,0)),0)</f>
        <v/>
      </c>
      <c r="R1678" s="23">
        <f>D1678*Q1678</f>
        <v/>
      </c>
      <c r="S1678" s="23">
        <f>R1678*E1678</f>
        <v/>
      </c>
      <c r="T1678" s="23">
        <f>(R1678-S1678)*M1678</f>
        <v/>
      </c>
      <c r="U1678" s="23">
        <f>R1678-S1678-T1678</f>
        <v/>
      </c>
      <c r="V1678" s="23">
        <f>D1678*P1678</f>
        <v/>
      </c>
      <c r="W1678" s="23">
        <f>U1678-V1678</f>
        <v/>
      </c>
      <c r="X1678" s="24">
        <f>IFERROR(W1678/U1678,0)</f>
        <v/>
      </c>
    </row>
    <row r="1679">
      <c r="A1679" s="25">
        <f>ItensPedido!A1679</f>
        <v/>
      </c>
      <c r="B1679" s="25">
        <f>ItensPedido!B1679</f>
        <v/>
      </c>
      <c r="C1679" s="25">
        <f>ItensPedido!C1679</f>
        <v/>
      </c>
      <c r="D1679" s="25">
        <f>ItensPedido!D1679</f>
        <v/>
      </c>
      <c r="E1679" s="26">
        <f>ItensPedido!E1679</f>
        <v/>
      </c>
      <c r="F1679" s="25">
        <f>IFERROR(INDEX(Pedidos!$B$2:$B$1801,MATCH(B1679,Pedidos!$A$2:$A$1801,0)),0)</f>
        <v/>
      </c>
      <c r="G1679" s="25">
        <f>IF(F1679=0,"",YEAR(F1679))</f>
        <v/>
      </c>
      <c r="H1679" s="25">
        <f>IF(F1679=0,"",MONTH(F1679))</f>
        <v/>
      </c>
      <c r="I1679" s="25">
        <f>IFERROR(INDEX(Pedidos!$E$2:$E$1801,MATCH(B1679,Pedidos!$A$2:$A$1801,0)),"")</f>
        <v/>
      </c>
      <c r="J1679" s="25">
        <f>IFERROR(INDEX(Pedidos!$C$2:$C$1801,MATCH(B1679,Pedidos!$A$2:$A$1801,0)),"")</f>
        <v/>
      </c>
      <c r="K1679" s="25">
        <f>IFERROR(INDEX(Pedidos!$D$2:$D$1801,MATCH(B1679,Pedidos!$A$2:$A$1801,0)),"")</f>
        <v/>
      </c>
      <c r="L1679" s="25">
        <f>IFERROR(INDEX(Pedidos!$F$2:$F$1801,MATCH(B1679,Pedidos!$A$2:$A$1801,0)),"")</f>
        <v/>
      </c>
      <c r="M1679" s="26">
        <f>IFERROR(INDEX(Pedidos!$G$2:$G$1801,MATCH(B1679,Pedidos!$A$2:$A$1801,0)),0)</f>
        <v/>
      </c>
      <c r="N1679" s="25">
        <f>IFERROR(INDEX(Produtos!$B$2:$B$71,MATCH(C1679,Produtos!$A$2:$A$71,0)),"")</f>
        <v/>
      </c>
      <c r="O1679" s="25">
        <f>IFERROR(INDEX(Produtos!$C$2:$C$71,MATCH(C1679,Produtos!$A$2:$A$71,0)),"")</f>
        <v/>
      </c>
      <c r="P1679" s="25">
        <f>IFERROR(INDEX(Produtos!$D$2:$D$71,MATCH(C1679,Produtos!$A$2:$A$71,0)),0)</f>
        <v/>
      </c>
      <c r="Q1679" s="25">
        <f>IFERROR(INDEX(Produtos!$E$2:$E$71,MATCH(C1679,Produtos!$A$2:$A$71,0)),0)</f>
        <v/>
      </c>
      <c r="R1679" s="27">
        <f>D1679*Q1679</f>
        <v/>
      </c>
      <c r="S1679" s="27">
        <f>R1679*E1679</f>
        <v/>
      </c>
      <c r="T1679" s="27">
        <f>(R1679-S1679)*M1679</f>
        <v/>
      </c>
      <c r="U1679" s="27">
        <f>R1679-S1679-T1679</f>
        <v/>
      </c>
      <c r="V1679" s="27">
        <f>D1679*P1679</f>
        <v/>
      </c>
      <c r="W1679" s="27">
        <f>U1679-V1679</f>
        <v/>
      </c>
      <c r="X1679" s="28">
        <f>IFERROR(W1679/U1679,0)</f>
        <v/>
      </c>
    </row>
    <row r="1680">
      <c r="A1680" s="21">
        <f>ItensPedido!A1680</f>
        <v/>
      </c>
      <c r="B1680" s="21">
        <f>ItensPedido!B1680</f>
        <v/>
      </c>
      <c r="C1680" s="21">
        <f>ItensPedido!C1680</f>
        <v/>
      </c>
      <c r="D1680" s="21">
        <f>ItensPedido!D1680</f>
        <v/>
      </c>
      <c r="E1680" s="22">
        <f>ItensPedido!E1680</f>
        <v/>
      </c>
      <c r="F1680" s="21">
        <f>IFERROR(INDEX(Pedidos!$B$2:$B$1801,MATCH(B1680,Pedidos!$A$2:$A$1801,0)),0)</f>
        <v/>
      </c>
      <c r="G1680" s="21">
        <f>IF(F1680=0,"",YEAR(F1680))</f>
        <v/>
      </c>
      <c r="H1680" s="21">
        <f>IF(F1680=0,"",MONTH(F1680))</f>
        <v/>
      </c>
      <c r="I1680" s="21">
        <f>IFERROR(INDEX(Pedidos!$E$2:$E$1801,MATCH(B1680,Pedidos!$A$2:$A$1801,0)),"")</f>
        <v/>
      </c>
      <c r="J1680" s="21">
        <f>IFERROR(INDEX(Pedidos!$C$2:$C$1801,MATCH(B1680,Pedidos!$A$2:$A$1801,0)),"")</f>
        <v/>
      </c>
      <c r="K1680" s="21">
        <f>IFERROR(INDEX(Pedidos!$D$2:$D$1801,MATCH(B1680,Pedidos!$A$2:$A$1801,0)),"")</f>
        <v/>
      </c>
      <c r="L1680" s="21">
        <f>IFERROR(INDEX(Pedidos!$F$2:$F$1801,MATCH(B1680,Pedidos!$A$2:$A$1801,0)),"")</f>
        <v/>
      </c>
      <c r="M1680" s="22">
        <f>IFERROR(INDEX(Pedidos!$G$2:$G$1801,MATCH(B1680,Pedidos!$A$2:$A$1801,0)),0)</f>
        <v/>
      </c>
      <c r="N1680" s="21">
        <f>IFERROR(INDEX(Produtos!$B$2:$B$71,MATCH(C1680,Produtos!$A$2:$A$71,0)),"")</f>
        <v/>
      </c>
      <c r="O1680" s="21">
        <f>IFERROR(INDEX(Produtos!$C$2:$C$71,MATCH(C1680,Produtos!$A$2:$A$71,0)),"")</f>
        <v/>
      </c>
      <c r="P1680" s="21">
        <f>IFERROR(INDEX(Produtos!$D$2:$D$71,MATCH(C1680,Produtos!$A$2:$A$71,0)),0)</f>
        <v/>
      </c>
      <c r="Q1680" s="21">
        <f>IFERROR(INDEX(Produtos!$E$2:$E$71,MATCH(C1680,Produtos!$A$2:$A$71,0)),0)</f>
        <v/>
      </c>
      <c r="R1680" s="23">
        <f>D1680*Q1680</f>
        <v/>
      </c>
      <c r="S1680" s="23">
        <f>R1680*E1680</f>
        <v/>
      </c>
      <c r="T1680" s="23">
        <f>(R1680-S1680)*M1680</f>
        <v/>
      </c>
      <c r="U1680" s="23">
        <f>R1680-S1680-T1680</f>
        <v/>
      </c>
      <c r="V1680" s="23">
        <f>D1680*P1680</f>
        <v/>
      </c>
      <c r="W1680" s="23">
        <f>U1680-V1680</f>
        <v/>
      </c>
      <c r="X1680" s="24">
        <f>IFERROR(W1680/U1680,0)</f>
        <v/>
      </c>
    </row>
    <row r="1681">
      <c r="A1681" s="25">
        <f>ItensPedido!A1681</f>
        <v/>
      </c>
      <c r="B1681" s="25">
        <f>ItensPedido!B1681</f>
        <v/>
      </c>
      <c r="C1681" s="25">
        <f>ItensPedido!C1681</f>
        <v/>
      </c>
      <c r="D1681" s="25">
        <f>ItensPedido!D1681</f>
        <v/>
      </c>
      <c r="E1681" s="26">
        <f>ItensPedido!E1681</f>
        <v/>
      </c>
      <c r="F1681" s="25">
        <f>IFERROR(INDEX(Pedidos!$B$2:$B$1801,MATCH(B1681,Pedidos!$A$2:$A$1801,0)),0)</f>
        <v/>
      </c>
      <c r="G1681" s="25">
        <f>IF(F1681=0,"",YEAR(F1681))</f>
        <v/>
      </c>
      <c r="H1681" s="25">
        <f>IF(F1681=0,"",MONTH(F1681))</f>
        <v/>
      </c>
      <c r="I1681" s="25">
        <f>IFERROR(INDEX(Pedidos!$E$2:$E$1801,MATCH(B1681,Pedidos!$A$2:$A$1801,0)),"")</f>
        <v/>
      </c>
      <c r="J1681" s="25">
        <f>IFERROR(INDEX(Pedidos!$C$2:$C$1801,MATCH(B1681,Pedidos!$A$2:$A$1801,0)),"")</f>
        <v/>
      </c>
      <c r="K1681" s="25">
        <f>IFERROR(INDEX(Pedidos!$D$2:$D$1801,MATCH(B1681,Pedidos!$A$2:$A$1801,0)),"")</f>
        <v/>
      </c>
      <c r="L1681" s="25">
        <f>IFERROR(INDEX(Pedidos!$F$2:$F$1801,MATCH(B1681,Pedidos!$A$2:$A$1801,0)),"")</f>
        <v/>
      </c>
      <c r="M1681" s="26">
        <f>IFERROR(INDEX(Pedidos!$G$2:$G$1801,MATCH(B1681,Pedidos!$A$2:$A$1801,0)),0)</f>
        <v/>
      </c>
      <c r="N1681" s="25">
        <f>IFERROR(INDEX(Produtos!$B$2:$B$71,MATCH(C1681,Produtos!$A$2:$A$71,0)),"")</f>
        <v/>
      </c>
      <c r="O1681" s="25">
        <f>IFERROR(INDEX(Produtos!$C$2:$C$71,MATCH(C1681,Produtos!$A$2:$A$71,0)),"")</f>
        <v/>
      </c>
      <c r="P1681" s="25">
        <f>IFERROR(INDEX(Produtos!$D$2:$D$71,MATCH(C1681,Produtos!$A$2:$A$71,0)),0)</f>
        <v/>
      </c>
      <c r="Q1681" s="25">
        <f>IFERROR(INDEX(Produtos!$E$2:$E$71,MATCH(C1681,Produtos!$A$2:$A$71,0)),0)</f>
        <v/>
      </c>
      <c r="R1681" s="27">
        <f>D1681*Q1681</f>
        <v/>
      </c>
      <c r="S1681" s="27">
        <f>R1681*E1681</f>
        <v/>
      </c>
      <c r="T1681" s="27">
        <f>(R1681-S1681)*M1681</f>
        <v/>
      </c>
      <c r="U1681" s="27">
        <f>R1681-S1681-T1681</f>
        <v/>
      </c>
      <c r="V1681" s="27">
        <f>D1681*P1681</f>
        <v/>
      </c>
      <c r="W1681" s="27">
        <f>U1681-V1681</f>
        <v/>
      </c>
      <c r="X1681" s="28">
        <f>IFERROR(W1681/U1681,0)</f>
        <v/>
      </c>
    </row>
    <row r="1682">
      <c r="A1682" s="21">
        <f>ItensPedido!A1682</f>
        <v/>
      </c>
      <c r="B1682" s="21">
        <f>ItensPedido!B1682</f>
        <v/>
      </c>
      <c r="C1682" s="21">
        <f>ItensPedido!C1682</f>
        <v/>
      </c>
      <c r="D1682" s="21">
        <f>ItensPedido!D1682</f>
        <v/>
      </c>
      <c r="E1682" s="22">
        <f>ItensPedido!E1682</f>
        <v/>
      </c>
      <c r="F1682" s="21">
        <f>IFERROR(INDEX(Pedidos!$B$2:$B$1801,MATCH(B1682,Pedidos!$A$2:$A$1801,0)),0)</f>
        <v/>
      </c>
      <c r="G1682" s="21">
        <f>IF(F1682=0,"",YEAR(F1682))</f>
        <v/>
      </c>
      <c r="H1682" s="21">
        <f>IF(F1682=0,"",MONTH(F1682))</f>
        <v/>
      </c>
      <c r="I1682" s="21">
        <f>IFERROR(INDEX(Pedidos!$E$2:$E$1801,MATCH(B1682,Pedidos!$A$2:$A$1801,0)),"")</f>
        <v/>
      </c>
      <c r="J1682" s="21">
        <f>IFERROR(INDEX(Pedidos!$C$2:$C$1801,MATCH(B1682,Pedidos!$A$2:$A$1801,0)),"")</f>
        <v/>
      </c>
      <c r="K1682" s="21">
        <f>IFERROR(INDEX(Pedidos!$D$2:$D$1801,MATCH(B1682,Pedidos!$A$2:$A$1801,0)),"")</f>
        <v/>
      </c>
      <c r="L1682" s="21">
        <f>IFERROR(INDEX(Pedidos!$F$2:$F$1801,MATCH(B1682,Pedidos!$A$2:$A$1801,0)),"")</f>
        <v/>
      </c>
      <c r="M1682" s="22">
        <f>IFERROR(INDEX(Pedidos!$G$2:$G$1801,MATCH(B1682,Pedidos!$A$2:$A$1801,0)),0)</f>
        <v/>
      </c>
      <c r="N1682" s="21">
        <f>IFERROR(INDEX(Produtos!$B$2:$B$71,MATCH(C1682,Produtos!$A$2:$A$71,0)),"")</f>
        <v/>
      </c>
      <c r="O1682" s="21">
        <f>IFERROR(INDEX(Produtos!$C$2:$C$71,MATCH(C1682,Produtos!$A$2:$A$71,0)),"")</f>
        <v/>
      </c>
      <c r="P1682" s="21">
        <f>IFERROR(INDEX(Produtos!$D$2:$D$71,MATCH(C1682,Produtos!$A$2:$A$71,0)),0)</f>
        <v/>
      </c>
      <c r="Q1682" s="21">
        <f>IFERROR(INDEX(Produtos!$E$2:$E$71,MATCH(C1682,Produtos!$A$2:$A$71,0)),0)</f>
        <v/>
      </c>
      <c r="R1682" s="23">
        <f>D1682*Q1682</f>
        <v/>
      </c>
      <c r="S1682" s="23">
        <f>R1682*E1682</f>
        <v/>
      </c>
      <c r="T1682" s="23">
        <f>(R1682-S1682)*M1682</f>
        <v/>
      </c>
      <c r="U1682" s="23">
        <f>R1682-S1682-T1682</f>
        <v/>
      </c>
      <c r="V1682" s="23">
        <f>D1682*P1682</f>
        <v/>
      </c>
      <c r="W1682" s="23">
        <f>U1682-V1682</f>
        <v/>
      </c>
      <c r="X1682" s="24">
        <f>IFERROR(W1682/U1682,0)</f>
        <v/>
      </c>
    </row>
    <row r="1683">
      <c r="A1683" s="25">
        <f>ItensPedido!A1683</f>
        <v/>
      </c>
      <c r="B1683" s="25">
        <f>ItensPedido!B1683</f>
        <v/>
      </c>
      <c r="C1683" s="25">
        <f>ItensPedido!C1683</f>
        <v/>
      </c>
      <c r="D1683" s="25">
        <f>ItensPedido!D1683</f>
        <v/>
      </c>
      <c r="E1683" s="26">
        <f>ItensPedido!E1683</f>
        <v/>
      </c>
      <c r="F1683" s="25">
        <f>IFERROR(INDEX(Pedidos!$B$2:$B$1801,MATCH(B1683,Pedidos!$A$2:$A$1801,0)),0)</f>
        <v/>
      </c>
      <c r="G1683" s="25">
        <f>IF(F1683=0,"",YEAR(F1683))</f>
        <v/>
      </c>
      <c r="H1683" s="25">
        <f>IF(F1683=0,"",MONTH(F1683))</f>
        <v/>
      </c>
      <c r="I1683" s="25">
        <f>IFERROR(INDEX(Pedidos!$E$2:$E$1801,MATCH(B1683,Pedidos!$A$2:$A$1801,0)),"")</f>
        <v/>
      </c>
      <c r="J1683" s="25">
        <f>IFERROR(INDEX(Pedidos!$C$2:$C$1801,MATCH(B1683,Pedidos!$A$2:$A$1801,0)),"")</f>
        <v/>
      </c>
      <c r="K1683" s="25">
        <f>IFERROR(INDEX(Pedidos!$D$2:$D$1801,MATCH(B1683,Pedidos!$A$2:$A$1801,0)),"")</f>
        <v/>
      </c>
      <c r="L1683" s="25">
        <f>IFERROR(INDEX(Pedidos!$F$2:$F$1801,MATCH(B1683,Pedidos!$A$2:$A$1801,0)),"")</f>
        <v/>
      </c>
      <c r="M1683" s="26">
        <f>IFERROR(INDEX(Pedidos!$G$2:$G$1801,MATCH(B1683,Pedidos!$A$2:$A$1801,0)),0)</f>
        <v/>
      </c>
      <c r="N1683" s="25">
        <f>IFERROR(INDEX(Produtos!$B$2:$B$71,MATCH(C1683,Produtos!$A$2:$A$71,0)),"")</f>
        <v/>
      </c>
      <c r="O1683" s="25">
        <f>IFERROR(INDEX(Produtos!$C$2:$C$71,MATCH(C1683,Produtos!$A$2:$A$71,0)),"")</f>
        <v/>
      </c>
      <c r="P1683" s="25">
        <f>IFERROR(INDEX(Produtos!$D$2:$D$71,MATCH(C1683,Produtos!$A$2:$A$71,0)),0)</f>
        <v/>
      </c>
      <c r="Q1683" s="25">
        <f>IFERROR(INDEX(Produtos!$E$2:$E$71,MATCH(C1683,Produtos!$A$2:$A$71,0)),0)</f>
        <v/>
      </c>
      <c r="R1683" s="27">
        <f>D1683*Q1683</f>
        <v/>
      </c>
      <c r="S1683" s="27">
        <f>R1683*E1683</f>
        <v/>
      </c>
      <c r="T1683" s="27">
        <f>(R1683-S1683)*M1683</f>
        <v/>
      </c>
      <c r="U1683" s="27">
        <f>R1683-S1683-T1683</f>
        <v/>
      </c>
      <c r="V1683" s="27">
        <f>D1683*P1683</f>
        <v/>
      </c>
      <c r="W1683" s="27">
        <f>U1683-V1683</f>
        <v/>
      </c>
      <c r="X1683" s="28">
        <f>IFERROR(W1683/U1683,0)</f>
        <v/>
      </c>
    </row>
    <row r="1684">
      <c r="A1684" s="21">
        <f>ItensPedido!A1684</f>
        <v/>
      </c>
      <c r="B1684" s="21">
        <f>ItensPedido!B1684</f>
        <v/>
      </c>
      <c r="C1684" s="21">
        <f>ItensPedido!C1684</f>
        <v/>
      </c>
      <c r="D1684" s="21">
        <f>ItensPedido!D1684</f>
        <v/>
      </c>
      <c r="E1684" s="22">
        <f>ItensPedido!E1684</f>
        <v/>
      </c>
      <c r="F1684" s="21">
        <f>IFERROR(INDEX(Pedidos!$B$2:$B$1801,MATCH(B1684,Pedidos!$A$2:$A$1801,0)),0)</f>
        <v/>
      </c>
      <c r="G1684" s="21">
        <f>IF(F1684=0,"",YEAR(F1684))</f>
        <v/>
      </c>
      <c r="H1684" s="21">
        <f>IF(F1684=0,"",MONTH(F1684))</f>
        <v/>
      </c>
      <c r="I1684" s="21">
        <f>IFERROR(INDEX(Pedidos!$E$2:$E$1801,MATCH(B1684,Pedidos!$A$2:$A$1801,0)),"")</f>
        <v/>
      </c>
      <c r="J1684" s="21">
        <f>IFERROR(INDEX(Pedidos!$C$2:$C$1801,MATCH(B1684,Pedidos!$A$2:$A$1801,0)),"")</f>
        <v/>
      </c>
      <c r="K1684" s="21">
        <f>IFERROR(INDEX(Pedidos!$D$2:$D$1801,MATCH(B1684,Pedidos!$A$2:$A$1801,0)),"")</f>
        <v/>
      </c>
      <c r="L1684" s="21">
        <f>IFERROR(INDEX(Pedidos!$F$2:$F$1801,MATCH(B1684,Pedidos!$A$2:$A$1801,0)),"")</f>
        <v/>
      </c>
      <c r="M1684" s="22">
        <f>IFERROR(INDEX(Pedidos!$G$2:$G$1801,MATCH(B1684,Pedidos!$A$2:$A$1801,0)),0)</f>
        <v/>
      </c>
      <c r="N1684" s="21">
        <f>IFERROR(INDEX(Produtos!$B$2:$B$71,MATCH(C1684,Produtos!$A$2:$A$71,0)),"")</f>
        <v/>
      </c>
      <c r="O1684" s="21">
        <f>IFERROR(INDEX(Produtos!$C$2:$C$71,MATCH(C1684,Produtos!$A$2:$A$71,0)),"")</f>
        <v/>
      </c>
      <c r="P1684" s="21">
        <f>IFERROR(INDEX(Produtos!$D$2:$D$71,MATCH(C1684,Produtos!$A$2:$A$71,0)),0)</f>
        <v/>
      </c>
      <c r="Q1684" s="21">
        <f>IFERROR(INDEX(Produtos!$E$2:$E$71,MATCH(C1684,Produtos!$A$2:$A$71,0)),0)</f>
        <v/>
      </c>
      <c r="R1684" s="23">
        <f>D1684*Q1684</f>
        <v/>
      </c>
      <c r="S1684" s="23">
        <f>R1684*E1684</f>
        <v/>
      </c>
      <c r="T1684" s="23">
        <f>(R1684-S1684)*M1684</f>
        <v/>
      </c>
      <c r="U1684" s="23">
        <f>R1684-S1684-T1684</f>
        <v/>
      </c>
      <c r="V1684" s="23">
        <f>D1684*P1684</f>
        <v/>
      </c>
      <c r="W1684" s="23">
        <f>U1684-V1684</f>
        <v/>
      </c>
      <c r="X1684" s="24">
        <f>IFERROR(W1684/U1684,0)</f>
        <v/>
      </c>
    </row>
    <row r="1685">
      <c r="A1685" s="25">
        <f>ItensPedido!A1685</f>
        <v/>
      </c>
      <c r="B1685" s="25">
        <f>ItensPedido!B1685</f>
        <v/>
      </c>
      <c r="C1685" s="25">
        <f>ItensPedido!C1685</f>
        <v/>
      </c>
      <c r="D1685" s="25">
        <f>ItensPedido!D1685</f>
        <v/>
      </c>
      <c r="E1685" s="26">
        <f>ItensPedido!E1685</f>
        <v/>
      </c>
      <c r="F1685" s="25">
        <f>IFERROR(INDEX(Pedidos!$B$2:$B$1801,MATCH(B1685,Pedidos!$A$2:$A$1801,0)),0)</f>
        <v/>
      </c>
      <c r="G1685" s="25">
        <f>IF(F1685=0,"",YEAR(F1685))</f>
        <v/>
      </c>
      <c r="H1685" s="25">
        <f>IF(F1685=0,"",MONTH(F1685))</f>
        <v/>
      </c>
      <c r="I1685" s="25">
        <f>IFERROR(INDEX(Pedidos!$E$2:$E$1801,MATCH(B1685,Pedidos!$A$2:$A$1801,0)),"")</f>
        <v/>
      </c>
      <c r="J1685" s="25">
        <f>IFERROR(INDEX(Pedidos!$C$2:$C$1801,MATCH(B1685,Pedidos!$A$2:$A$1801,0)),"")</f>
        <v/>
      </c>
      <c r="K1685" s="25">
        <f>IFERROR(INDEX(Pedidos!$D$2:$D$1801,MATCH(B1685,Pedidos!$A$2:$A$1801,0)),"")</f>
        <v/>
      </c>
      <c r="L1685" s="25">
        <f>IFERROR(INDEX(Pedidos!$F$2:$F$1801,MATCH(B1685,Pedidos!$A$2:$A$1801,0)),"")</f>
        <v/>
      </c>
      <c r="M1685" s="26">
        <f>IFERROR(INDEX(Pedidos!$G$2:$G$1801,MATCH(B1685,Pedidos!$A$2:$A$1801,0)),0)</f>
        <v/>
      </c>
      <c r="N1685" s="25">
        <f>IFERROR(INDEX(Produtos!$B$2:$B$71,MATCH(C1685,Produtos!$A$2:$A$71,0)),"")</f>
        <v/>
      </c>
      <c r="O1685" s="25">
        <f>IFERROR(INDEX(Produtos!$C$2:$C$71,MATCH(C1685,Produtos!$A$2:$A$71,0)),"")</f>
        <v/>
      </c>
      <c r="P1685" s="25">
        <f>IFERROR(INDEX(Produtos!$D$2:$D$71,MATCH(C1685,Produtos!$A$2:$A$71,0)),0)</f>
        <v/>
      </c>
      <c r="Q1685" s="25">
        <f>IFERROR(INDEX(Produtos!$E$2:$E$71,MATCH(C1685,Produtos!$A$2:$A$71,0)),0)</f>
        <v/>
      </c>
      <c r="R1685" s="27">
        <f>D1685*Q1685</f>
        <v/>
      </c>
      <c r="S1685" s="27">
        <f>R1685*E1685</f>
        <v/>
      </c>
      <c r="T1685" s="27">
        <f>(R1685-S1685)*M1685</f>
        <v/>
      </c>
      <c r="U1685" s="27">
        <f>R1685-S1685-T1685</f>
        <v/>
      </c>
      <c r="V1685" s="27">
        <f>D1685*P1685</f>
        <v/>
      </c>
      <c r="W1685" s="27">
        <f>U1685-V1685</f>
        <v/>
      </c>
      <c r="X1685" s="28">
        <f>IFERROR(W1685/U1685,0)</f>
        <v/>
      </c>
    </row>
    <row r="1686">
      <c r="A1686" s="21">
        <f>ItensPedido!A1686</f>
        <v/>
      </c>
      <c r="B1686" s="21">
        <f>ItensPedido!B1686</f>
        <v/>
      </c>
      <c r="C1686" s="21">
        <f>ItensPedido!C1686</f>
        <v/>
      </c>
      <c r="D1686" s="21">
        <f>ItensPedido!D1686</f>
        <v/>
      </c>
      <c r="E1686" s="22">
        <f>ItensPedido!E1686</f>
        <v/>
      </c>
      <c r="F1686" s="21">
        <f>IFERROR(INDEX(Pedidos!$B$2:$B$1801,MATCH(B1686,Pedidos!$A$2:$A$1801,0)),0)</f>
        <v/>
      </c>
      <c r="G1686" s="21">
        <f>IF(F1686=0,"",YEAR(F1686))</f>
        <v/>
      </c>
      <c r="H1686" s="21">
        <f>IF(F1686=0,"",MONTH(F1686))</f>
        <v/>
      </c>
      <c r="I1686" s="21">
        <f>IFERROR(INDEX(Pedidos!$E$2:$E$1801,MATCH(B1686,Pedidos!$A$2:$A$1801,0)),"")</f>
        <v/>
      </c>
      <c r="J1686" s="21">
        <f>IFERROR(INDEX(Pedidos!$C$2:$C$1801,MATCH(B1686,Pedidos!$A$2:$A$1801,0)),"")</f>
        <v/>
      </c>
      <c r="K1686" s="21">
        <f>IFERROR(INDEX(Pedidos!$D$2:$D$1801,MATCH(B1686,Pedidos!$A$2:$A$1801,0)),"")</f>
        <v/>
      </c>
      <c r="L1686" s="21">
        <f>IFERROR(INDEX(Pedidos!$F$2:$F$1801,MATCH(B1686,Pedidos!$A$2:$A$1801,0)),"")</f>
        <v/>
      </c>
      <c r="M1686" s="22">
        <f>IFERROR(INDEX(Pedidos!$G$2:$G$1801,MATCH(B1686,Pedidos!$A$2:$A$1801,0)),0)</f>
        <v/>
      </c>
      <c r="N1686" s="21">
        <f>IFERROR(INDEX(Produtos!$B$2:$B$71,MATCH(C1686,Produtos!$A$2:$A$71,0)),"")</f>
        <v/>
      </c>
      <c r="O1686" s="21">
        <f>IFERROR(INDEX(Produtos!$C$2:$C$71,MATCH(C1686,Produtos!$A$2:$A$71,0)),"")</f>
        <v/>
      </c>
      <c r="P1686" s="21">
        <f>IFERROR(INDEX(Produtos!$D$2:$D$71,MATCH(C1686,Produtos!$A$2:$A$71,0)),0)</f>
        <v/>
      </c>
      <c r="Q1686" s="21">
        <f>IFERROR(INDEX(Produtos!$E$2:$E$71,MATCH(C1686,Produtos!$A$2:$A$71,0)),0)</f>
        <v/>
      </c>
      <c r="R1686" s="23">
        <f>D1686*Q1686</f>
        <v/>
      </c>
      <c r="S1686" s="23">
        <f>R1686*E1686</f>
        <v/>
      </c>
      <c r="T1686" s="23">
        <f>(R1686-S1686)*M1686</f>
        <v/>
      </c>
      <c r="U1686" s="23">
        <f>R1686-S1686-T1686</f>
        <v/>
      </c>
      <c r="V1686" s="23">
        <f>D1686*P1686</f>
        <v/>
      </c>
      <c r="W1686" s="23">
        <f>U1686-V1686</f>
        <v/>
      </c>
      <c r="X1686" s="24">
        <f>IFERROR(W1686/U1686,0)</f>
        <v/>
      </c>
    </row>
    <row r="1687">
      <c r="A1687" s="25">
        <f>ItensPedido!A1687</f>
        <v/>
      </c>
      <c r="B1687" s="25">
        <f>ItensPedido!B1687</f>
        <v/>
      </c>
      <c r="C1687" s="25">
        <f>ItensPedido!C1687</f>
        <v/>
      </c>
      <c r="D1687" s="25">
        <f>ItensPedido!D1687</f>
        <v/>
      </c>
      <c r="E1687" s="26">
        <f>ItensPedido!E1687</f>
        <v/>
      </c>
      <c r="F1687" s="25">
        <f>IFERROR(INDEX(Pedidos!$B$2:$B$1801,MATCH(B1687,Pedidos!$A$2:$A$1801,0)),0)</f>
        <v/>
      </c>
      <c r="G1687" s="25">
        <f>IF(F1687=0,"",YEAR(F1687))</f>
        <v/>
      </c>
      <c r="H1687" s="25">
        <f>IF(F1687=0,"",MONTH(F1687))</f>
        <v/>
      </c>
      <c r="I1687" s="25">
        <f>IFERROR(INDEX(Pedidos!$E$2:$E$1801,MATCH(B1687,Pedidos!$A$2:$A$1801,0)),"")</f>
        <v/>
      </c>
      <c r="J1687" s="25">
        <f>IFERROR(INDEX(Pedidos!$C$2:$C$1801,MATCH(B1687,Pedidos!$A$2:$A$1801,0)),"")</f>
        <v/>
      </c>
      <c r="K1687" s="25">
        <f>IFERROR(INDEX(Pedidos!$D$2:$D$1801,MATCH(B1687,Pedidos!$A$2:$A$1801,0)),"")</f>
        <v/>
      </c>
      <c r="L1687" s="25">
        <f>IFERROR(INDEX(Pedidos!$F$2:$F$1801,MATCH(B1687,Pedidos!$A$2:$A$1801,0)),"")</f>
        <v/>
      </c>
      <c r="M1687" s="26">
        <f>IFERROR(INDEX(Pedidos!$G$2:$G$1801,MATCH(B1687,Pedidos!$A$2:$A$1801,0)),0)</f>
        <v/>
      </c>
      <c r="N1687" s="25">
        <f>IFERROR(INDEX(Produtos!$B$2:$B$71,MATCH(C1687,Produtos!$A$2:$A$71,0)),"")</f>
        <v/>
      </c>
      <c r="O1687" s="25">
        <f>IFERROR(INDEX(Produtos!$C$2:$C$71,MATCH(C1687,Produtos!$A$2:$A$71,0)),"")</f>
        <v/>
      </c>
      <c r="P1687" s="25">
        <f>IFERROR(INDEX(Produtos!$D$2:$D$71,MATCH(C1687,Produtos!$A$2:$A$71,0)),0)</f>
        <v/>
      </c>
      <c r="Q1687" s="25">
        <f>IFERROR(INDEX(Produtos!$E$2:$E$71,MATCH(C1687,Produtos!$A$2:$A$71,0)),0)</f>
        <v/>
      </c>
      <c r="R1687" s="27">
        <f>D1687*Q1687</f>
        <v/>
      </c>
      <c r="S1687" s="27">
        <f>R1687*E1687</f>
        <v/>
      </c>
      <c r="T1687" s="27">
        <f>(R1687-S1687)*M1687</f>
        <v/>
      </c>
      <c r="U1687" s="27">
        <f>R1687-S1687-T1687</f>
        <v/>
      </c>
      <c r="V1687" s="27">
        <f>D1687*P1687</f>
        <v/>
      </c>
      <c r="W1687" s="27">
        <f>U1687-V1687</f>
        <v/>
      </c>
      <c r="X1687" s="28">
        <f>IFERROR(W1687/U1687,0)</f>
        <v/>
      </c>
    </row>
    <row r="1688">
      <c r="A1688" s="21">
        <f>ItensPedido!A1688</f>
        <v/>
      </c>
      <c r="B1688" s="21">
        <f>ItensPedido!B1688</f>
        <v/>
      </c>
      <c r="C1688" s="21">
        <f>ItensPedido!C1688</f>
        <v/>
      </c>
      <c r="D1688" s="21">
        <f>ItensPedido!D1688</f>
        <v/>
      </c>
      <c r="E1688" s="22">
        <f>ItensPedido!E1688</f>
        <v/>
      </c>
      <c r="F1688" s="21">
        <f>IFERROR(INDEX(Pedidos!$B$2:$B$1801,MATCH(B1688,Pedidos!$A$2:$A$1801,0)),0)</f>
        <v/>
      </c>
      <c r="G1688" s="21">
        <f>IF(F1688=0,"",YEAR(F1688))</f>
        <v/>
      </c>
      <c r="H1688" s="21">
        <f>IF(F1688=0,"",MONTH(F1688))</f>
        <v/>
      </c>
      <c r="I1688" s="21">
        <f>IFERROR(INDEX(Pedidos!$E$2:$E$1801,MATCH(B1688,Pedidos!$A$2:$A$1801,0)),"")</f>
        <v/>
      </c>
      <c r="J1688" s="21">
        <f>IFERROR(INDEX(Pedidos!$C$2:$C$1801,MATCH(B1688,Pedidos!$A$2:$A$1801,0)),"")</f>
        <v/>
      </c>
      <c r="K1688" s="21">
        <f>IFERROR(INDEX(Pedidos!$D$2:$D$1801,MATCH(B1688,Pedidos!$A$2:$A$1801,0)),"")</f>
        <v/>
      </c>
      <c r="L1688" s="21">
        <f>IFERROR(INDEX(Pedidos!$F$2:$F$1801,MATCH(B1688,Pedidos!$A$2:$A$1801,0)),"")</f>
        <v/>
      </c>
      <c r="M1688" s="22">
        <f>IFERROR(INDEX(Pedidos!$G$2:$G$1801,MATCH(B1688,Pedidos!$A$2:$A$1801,0)),0)</f>
        <v/>
      </c>
      <c r="N1688" s="21">
        <f>IFERROR(INDEX(Produtos!$B$2:$B$71,MATCH(C1688,Produtos!$A$2:$A$71,0)),"")</f>
        <v/>
      </c>
      <c r="O1688" s="21">
        <f>IFERROR(INDEX(Produtos!$C$2:$C$71,MATCH(C1688,Produtos!$A$2:$A$71,0)),"")</f>
        <v/>
      </c>
      <c r="P1688" s="21">
        <f>IFERROR(INDEX(Produtos!$D$2:$D$71,MATCH(C1688,Produtos!$A$2:$A$71,0)),0)</f>
        <v/>
      </c>
      <c r="Q1688" s="21">
        <f>IFERROR(INDEX(Produtos!$E$2:$E$71,MATCH(C1688,Produtos!$A$2:$A$71,0)),0)</f>
        <v/>
      </c>
      <c r="R1688" s="23">
        <f>D1688*Q1688</f>
        <v/>
      </c>
      <c r="S1688" s="23">
        <f>R1688*E1688</f>
        <v/>
      </c>
      <c r="T1688" s="23">
        <f>(R1688-S1688)*M1688</f>
        <v/>
      </c>
      <c r="U1688" s="23">
        <f>R1688-S1688-T1688</f>
        <v/>
      </c>
      <c r="V1688" s="23">
        <f>D1688*P1688</f>
        <v/>
      </c>
      <c r="W1688" s="23">
        <f>U1688-V1688</f>
        <v/>
      </c>
      <c r="X1688" s="24">
        <f>IFERROR(W1688/U1688,0)</f>
        <v/>
      </c>
    </row>
    <row r="1689">
      <c r="A1689" s="25">
        <f>ItensPedido!A1689</f>
        <v/>
      </c>
      <c r="B1689" s="25">
        <f>ItensPedido!B1689</f>
        <v/>
      </c>
      <c r="C1689" s="25">
        <f>ItensPedido!C1689</f>
        <v/>
      </c>
      <c r="D1689" s="25">
        <f>ItensPedido!D1689</f>
        <v/>
      </c>
      <c r="E1689" s="26">
        <f>ItensPedido!E1689</f>
        <v/>
      </c>
      <c r="F1689" s="25">
        <f>IFERROR(INDEX(Pedidos!$B$2:$B$1801,MATCH(B1689,Pedidos!$A$2:$A$1801,0)),0)</f>
        <v/>
      </c>
      <c r="G1689" s="25">
        <f>IF(F1689=0,"",YEAR(F1689))</f>
        <v/>
      </c>
      <c r="H1689" s="25">
        <f>IF(F1689=0,"",MONTH(F1689))</f>
        <v/>
      </c>
      <c r="I1689" s="25">
        <f>IFERROR(INDEX(Pedidos!$E$2:$E$1801,MATCH(B1689,Pedidos!$A$2:$A$1801,0)),"")</f>
        <v/>
      </c>
      <c r="J1689" s="25">
        <f>IFERROR(INDEX(Pedidos!$C$2:$C$1801,MATCH(B1689,Pedidos!$A$2:$A$1801,0)),"")</f>
        <v/>
      </c>
      <c r="K1689" s="25">
        <f>IFERROR(INDEX(Pedidos!$D$2:$D$1801,MATCH(B1689,Pedidos!$A$2:$A$1801,0)),"")</f>
        <v/>
      </c>
      <c r="L1689" s="25">
        <f>IFERROR(INDEX(Pedidos!$F$2:$F$1801,MATCH(B1689,Pedidos!$A$2:$A$1801,0)),"")</f>
        <v/>
      </c>
      <c r="M1689" s="26">
        <f>IFERROR(INDEX(Pedidos!$G$2:$G$1801,MATCH(B1689,Pedidos!$A$2:$A$1801,0)),0)</f>
        <v/>
      </c>
      <c r="N1689" s="25">
        <f>IFERROR(INDEX(Produtos!$B$2:$B$71,MATCH(C1689,Produtos!$A$2:$A$71,0)),"")</f>
        <v/>
      </c>
      <c r="O1689" s="25">
        <f>IFERROR(INDEX(Produtos!$C$2:$C$71,MATCH(C1689,Produtos!$A$2:$A$71,0)),"")</f>
        <v/>
      </c>
      <c r="P1689" s="25">
        <f>IFERROR(INDEX(Produtos!$D$2:$D$71,MATCH(C1689,Produtos!$A$2:$A$71,0)),0)</f>
        <v/>
      </c>
      <c r="Q1689" s="25">
        <f>IFERROR(INDEX(Produtos!$E$2:$E$71,MATCH(C1689,Produtos!$A$2:$A$71,0)),0)</f>
        <v/>
      </c>
      <c r="R1689" s="27">
        <f>D1689*Q1689</f>
        <v/>
      </c>
      <c r="S1689" s="27">
        <f>R1689*E1689</f>
        <v/>
      </c>
      <c r="T1689" s="27">
        <f>(R1689-S1689)*M1689</f>
        <v/>
      </c>
      <c r="U1689" s="27">
        <f>R1689-S1689-T1689</f>
        <v/>
      </c>
      <c r="V1689" s="27">
        <f>D1689*P1689</f>
        <v/>
      </c>
      <c r="W1689" s="27">
        <f>U1689-V1689</f>
        <v/>
      </c>
      <c r="X1689" s="28">
        <f>IFERROR(W1689/U1689,0)</f>
        <v/>
      </c>
    </row>
    <row r="1690">
      <c r="A1690" s="21">
        <f>ItensPedido!A1690</f>
        <v/>
      </c>
      <c r="B1690" s="21">
        <f>ItensPedido!B1690</f>
        <v/>
      </c>
      <c r="C1690" s="21">
        <f>ItensPedido!C1690</f>
        <v/>
      </c>
      <c r="D1690" s="21">
        <f>ItensPedido!D1690</f>
        <v/>
      </c>
      <c r="E1690" s="22">
        <f>ItensPedido!E1690</f>
        <v/>
      </c>
      <c r="F1690" s="21">
        <f>IFERROR(INDEX(Pedidos!$B$2:$B$1801,MATCH(B1690,Pedidos!$A$2:$A$1801,0)),0)</f>
        <v/>
      </c>
      <c r="G1690" s="21">
        <f>IF(F1690=0,"",YEAR(F1690))</f>
        <v/>
      </c>
      <c r="H1690" s="21">
        <f>IF(F1690=0,"",MONTH(F1690))</f>
        <v/>
      </c>
      <c r="I1690" s="21">
        <f>IFERROR(INDEX(Pedidos!$E$2:$E$1801,MATCH(B1690,Pedidos!$A$2:$A$1801,0)),"")</f>
        <v/>
      </c>
      <c r="J1690" s="21">
        <f>IFERROR(INDEX(Pedidos!$C$2:$C$1801,MATCH(B1690,Pedidos!$A$2:$A$1801,0)),"")</f>
        <v/>
      </c>
      <c r="K1690" s="21">
        <f>IFERROR(INDEX(Pedidos!$D$2:$D$1801,MATCH(B1690,Pedidos!$A$2:$A$1801,0)),"")</f>
        <v/>
      </c>
      <c r="L1690" s="21">
        <f>IFERROR(INDEX(Pedidos!$F$2:$F$1801,MATCH(B1690,Pedidos!$A$2:$A$1801,0)),"")</f>
        <v/>
      </c>
      <c r="M1690" s="22">
        <f>IFERROR(INDEX(Pedidos!$G$2:$G$1801,MATCH(B1690,Pedidos!$A$2:$A$1801,0)),0)</f>
        <v/>
      </c>
      <c r="N1690" s="21">
        <f>IFERROR(INDEX(Produtos!$B$2:$B$71,MATCH(C1690,Produtos!$A$2:$A$71,0)),"")</f>
        <v/>
      </c>
      <c r="O1690" s="21">
        <f>IFERROR(INDEX(Produtos!$C$2:$C$71,MATCH(C1690,Produtos!$A$2:$A$71,0)),"")</f>
        <v/>
      </c>
      <c r="P1690" s="21">
        <f>IFERROR(INDEX(Produtos!$D$2:$D$71,MATCH(C1690,Produtos!$A$2:$A$71,0)),0)</f>
        <v/>
      </c>
      <c r="Q1690" s="21">
        <f>IFERROR(INDEX(Produtos!$E$2:$E$71,MATCH(C1690,Produtos!$A$2:$A$71,0)),0)</f>
        <v/>
      </c>
      <c r="R1690" s="23">
        <f>D1690*Q1690</f>
        <v/>
      </c>
      <c r="S1690" s="23">
        <f>R1690*E1690</f>
        <v/>
      </c>
      <c r="T1690" s="23">
        <f>(R1690-S1690)*M1690</f>
        <v/>
      </c>
      <c r="U1690" s="23">
        <f>R1690-S1690-T1690</f>
        <v/>
      </c>
      <c r="V1690" s="23">
        <f>D1690*P1690</f>
        <v/>
      </c>
      <c r="W1690" s="23">
        <f>U1690-V1690</f>
        <v/>
      </c>
      <c r="X1690" s="24">
        <f>IFERROR(W1690/U1690,0)</f>
        <v/>
      </c>
    </row>
    <row r="1691">
      <c r="A1691" s="25">
        <f>ItensPedido!A1691</f>
        <v/>
      </c>
      <c r="B1691" s="25">
        <f>ItensPedido!B1691</f>
        <v/>
      </c>
      <c r="C1691" s="25">
        <f>ItensPedido!C1691</f>
        <v/>
      </c>
      <c r="D1691" s="25">
        <f>ItensPedido!D1691</f>
        <v/>
      </c>
      <c r="E1691" s="26">
        <f>ItensPedido!E1691</f>
        <v/>
      </c>
      <c r="F1691" s="25">
        <f>IFERROR(INDEX(Pedidos!$B$2:$B$1801,MATCH(B1691,Pedidos!$A$2:$A$1801,0)),0)</f>
        <v/>
      </c>
      <c r="G1691" s="25">
        <f>IF(F1691=0,"",YEAR(F1691))</f>
        <v/>
      </c>
      <c r="H1691" s="25">
        <f>IF(F1691=0,"",MONTH(F1691))</f>
        <v/>
      </c>
      <c r="I1691" s="25">
        <f>IFERROR(INDEX(Pedidos!$E$2:$E$1801,MATCH(B1691,Pedidos!$A$2:$A$1801,0)),"")</f>
        <v/>
      </c>
      <c r="J1691" s="25">
        <f>IFERROR(INDEX(Pedidos!$C$2:$C$1801,MATCH(B1691,Pedidos!$A$2:$A$1801,0)),"")</f>
        <v/>
      </c>
      <c r="K1691" s="25">
        <f>IFERROR(INDEX(Pedidos!$D$2:$D$1801,MATCH(B1691,Pedidos!$A$2:$A$1801,0)),"")</f>
        <v/>
      </c>
      <c r="L1691" s="25">
        <f>IFERROR(INDEX(Pedidos!$F$2:$F$1801,MATCH(B1691,Pedidos!$A$2:$A$1801,0)),"")</f>
        <v/>
      </c>
      <c r="M1691" s="26">
        <f>IFERROR(INDEX(Pedidos!$G$2:$G$1801,MATCH(B1691,Pedidos!$A$2:$A$1801,0)),0)</f>
        <v/>
      </c>
      <c r="N1691" s="25">
        <f>IFERROR(INDEX(Produtos!$B$2:$B$71,MATCH(C1691,Produtos!$A$2:$A$71,0)),"")</f>
        <v/>
      </c>
      <c r="O1691" s="25">
        <f>IFERROR(INDEX(Produtos!$C$2:$C$71,MATCH(C1691,Produtos!$A$2:$A$71,0)),"")</f>
        <v/>
      </c>
      <c r="P1691" s="25">
        <f>IFERROR(INDEX(Produtos!$D$2:$D$71,MATCH(C1691,Produtos!$A$2:$A$71,0)),0)</f>
        <v/>
      </c>
      <c r="Q1691" s="25">
        <f>IFERROR(INDEX(Produtos!$E$2:$E$71,MATCH(C1691,Produtos!$A$2:$A$71,0)),0)</f>
        <v/>
      </c>
      <c r="R1691" s="27">
        <f>D1691*Q1691</f>
        <v/>
      </c>
      <c r="S1691" s="27">
        <f>R1691*E1691</f>
        <v/>
      </c>
      <c r="T1691" s="27">
        <f>(R1691-S1691)*M1691</f>
        <v/>
      </c>
      <c r="U1691" s="27">
        <f>R1691-S1691-T1691</f>
        <v/>
      </c>
      <c r="V1691" s="27">
        <f>D1691*P1691</f>
        <v/>
      </c>
      <c r="W1691" s="27">
        <f>U1691-V1691</f>
        <v/>
      </c>
      <c r="X1691" s="28">
        <f>IFERROR(W1691/U1691,0)</f>
        <v/>
      </c>
    </row>
    <row r="1692">
      <c r="A1692" s="21">
        <f>ItensPedido!A1692</f>
        <v/>
      </c>
      <c r="B1692" s="21">
        <f>ItensPedido!B1692</f>
        <v/>
      </c>
      <c r="C1692" s="21">
        <f>ItensPedido!C1692</f>
        <v/>
      </c>
      <c r="D1692" s="21">
        <f>ItensPedido!D1692</f>
        <v/>
      </c>
      <c r="E1692" s="22">
        <f>ItensPedido!E1692</f>
        <v/>
      </c>
      <c r="F1692" s="21">
        <f>IFERROR(INDEX(Pedidos!$B$2:$B$1801,MATCH(B1692,Pedidos!$A$2:$A$1801,0)),0)</f>
        <v/>
      </c>
      <c r="G1692" s="21">
        <f>IF(F1692=0,"",YEAR(F1692))</f>
        <v/>
      </c>
      <c r="H1692" s="21">
        <f>IF(F1692=0,"",MONTH(F1692))</f>
        <v/>
      </c>
      <c r="I1692" s="21">
        <f>IFERROR(INDEX(Pedidos!$E$2:$E$1801,MATCH(B1692,Pedidos!$A$2:$A$1801,0)),"")</f>
        <v/>
      </c>
      <c r="J1692" s="21">
        <f>IFERROR(INDEX(Pedidos!$C$2:$C$1801,MATCH(B1692,Pedidos!$A$2:$A$1801,0)),"")</f>
        <v/>
      </c>
      <c r="K1692" s="21">
        <f>IFERROR(INDEX(Pedidos!$D$2:$D$1801,MATCH(B1692,Pedidos!$A$2:$A$1801,0)),"")</f>
        <v/>
      </c>
      <c r="L1692" s="21">
        <f>IFERROR(INDEX(Pedidos!$F$2:$F$1801,MATCH(B1692,Pedidos!$A$2:$A$1801,0)),"")</f>
        <v/>
      </c>
      <c r="M1692" s="22">
        <f>IFERROR(INDEX(Pedidos!$G$2:$G$1801,MATCH(B1692,Pedidos!$A$2:$A$1801,0)),0)</f>
        <v/>
      </c>
      <c r="N1692" s="21">
        <f>IFERROR(INDEX(Produtos!$B$2:$B$71,MATCH(C1692,Produtos!$A$2:$A$71,0)),"")</f>
        <v/>
      </c>
      <c r="O1692" s="21">
        <f>IFERROR(INDEX(Produtos!$C$2:$C$71,MATCH(C1692,Produtos!$A$2:$A$71,0)),"")</f>
        <v/>
      </c>
      <c r="P1692" s="21">
        <f>IFERROR(INDEX(Produtos!$D$2:$D$71,MATCH(C1692,Produtos!$A$2:$A$71,0)),0)</f>
        <v/>
      </c>
      <c r="Q1692" s="21">
        <f>IFERROR(INDEX(Produtos!$E$2:$E$71,MATCH(C1692,Produtos!$A$2:$A$71,0)),0)</f>
        <v/>
      </c>
      <c r="R1692" s="23">
        <f>D1692*Q1692</f>
        <v/>
      </c>
      <c r="S1692" s="23">
        <f>R1692*E1692</f>
        <v/>
      </c>
      <c r="T1692" s="23">
        <f>(R1692-S1692)*M1692</f>
        <v/>
      </c>
      <c r="U1692" s="23">
        <f>R1692-S1692-T1692</f>
        <v/>
      </c>
      <c r="V1692" s="23">
        <f>D1692*P1692</f>
        <v/>
      </c>
      <c r="W1692" s="23">
        <f>U1692-V1692</f>
        <v/>
      </c>
      <c r="X1692" s="24">
        <f>IFERROR(W1692/U1692,0)</f>
        <v/>
      </c>
    </row>
    <row r="1693">
      <c r="A1693" s="25">
        <f>ItensPedido!A1693</f>
        <v/>
      </c>
      <c r="B1693" s="25">
        <f>ItensPedido!B1693</f>
        <v/>
      </c>
      <c r="C1693" s="25">
        <f>ItensPedido!C1693</f>
        <v/>
      </c>
      <c r="D1693" s="25">
        <f>ItensPedido!D1693</f>
        <v/>
      </c>
      <c r="E1693" s="26">
        <f>ItensPedido!E1693</f>
        <v/>
      </c>
      <c r="F1693" s="25">
        <f>IFERROR(INDEX(Pedidos!$B$2:$B$1801,MATCH(B1693,Pedidos!$A$2:$A$1801,0)),0)</f>
        <v/>
      </c>
      <c r="G1693" s="25">
        <f>IF(F1693=0,"",YEAR(F1693))</f>
        <v/>
      </c>
      <c r="H1693" s="25">
        <f>IF(F1693=0,"",MONTH(F1693))</f>
        <v/>
      </c>
      <c r="I1693" s="25">
        <f>IFERROR(INDEX(Pedidos!$E$2:$E$1801,MATCH(B1693,Pedidos!$A$2:$A$1801,0)),"")</f>
        <v/>
      </c>
      <c r="J1693" s="25">
        <f>IFERROR(INDEX(Pedidos!$C$2:$C$1801,MATCH(B1693,Pedidos!$A$2:$A$1801,0)),"")</f>
        <v/>
      </c>
      <c r="K1693" s="25">
        <f>IFERROR(INDEX(Pedidos!$D$2:$D$1801,MATCH(B1693,Pedidos!$A$2:$A$1801,0)),"")</f>
        <v/>
      </c>
      <c r="L1693" s="25">
        <f>IFERROR(INDEX(Pedidos!$F$2:$F$1801,MATCH(B1693,Pedidos!$A$2:$A$1801,0)),"")</f>
        <v/>
      </c>
      <c r="M1693" s="26">
        <f>IFERROR(INDEX(Pedidos!$G$2:$G$1801,MATCH(B1693,Pedidos!$A$2:$A$1801,0)),0)</f>
        <v/>
      </c>
      <c r="N1693" s="25">
        <f>IFERROR(INDEX(Produtos!$B$2:$B$71,MATCH(C1693,Produtos!$A$2:$A$71,0)),"")</f>
        <v/>
      </c>
      <c r="O1693" s="25">
        <f>IFERROR(INDEX(Produtos!$C$2:$C$71,MATCH(C1693,Produtos!$A$2:$A$71,0)),"")</f>
        <v/>
      </c>
      <c r="P1693" s="25">
        <f>IFERROR(INDEX(Produtos!$D$2:$D$71,MATCH(C1693,Produtos!$A$2:$A$71,0)),0)</f>
        <v/>
      </c>
      <c r="Q1693" s="25">
        <f>IFERROR(INDEX(Produtos!$E$2:$E$71,MATCH(C1693,Produtos!$A$2:$A$71,0)),0)</f>
        <v/>
      </c>
      <c r="R1693" s="27">
        <f>D1693*Q1693</f>
        <v/>
      </c>
      <c r="S1693" s="27">
        <f>R1693*E1693</f>
        <v/>
      </c>
      <c r="T1693" s="27">
        <f>(R1693-S1693)*M1693</f>
        <v/>
      </c>
      <c r="U1693" s="27">
        <f>R1693-S1693-T1693</f>
        <v/>
      </c>
      <c r="V1693" s="27">
        <f>D1693*P1693</f>
        <v/>
      </c>
      <c r="W1693" s="27">
        <f>U1693-V1693</f>
        <v/>
      </c>
      <c r="X1693" s="28">
        <f>IFERROR(W1693/U1693,0)</f>
        <v/>
      </c>
    </row>
    <row r="1694">
      <c r="A1694" s="21">
        <f>ItensPedido!A1694</f>
        <v/>
      </c>
      <c r="B1694" s="21">
        <f>ItensPedido!B1694</f>
        <v/>
      </c>
      <c r="C1694" s="21">
        <f>ItensPedido!C1694</f>
        <v/>
      </c>
      <c r="D1694" s="21">
        <f>ItensPedido!D1694</f>
        <v/>
      </c>
      <c r="E1694" s="22">
        <f>ItensPedido!E1694</f>
        <v/>
      </c>
      <c r="F1694" s="21">
        <f>IFERROR(INDEX(Pedidos!$B$2:$B$1801,MATCH(B1694,Pedidos!$A$2:$A$1801,0)),0)</f>
        <v/>
      </c>
      <c r="G1694" s="21">
        <f>IF(F1694=0,"",YEAR(F1694))</f>
        <v/>
      </c>
      <c r="H1694" s="21">
        <f>IF(F1694=0,"",MONTH(F1694))</f>
        <v/>
      </c>
      <c r="I1694" s="21">
        <f>IFERROR(INDEX(Pedidos!$E$2:$E$1801,MATCH(B1694,Pedidos!$A$2:$A$1801,0)),"")</f>
        <v/>
      </c>
      <c r="J1694" s="21">
        <f>IFERROR(INDEX(Pedidos!$C$2:$C$1801,MATCH(B1694,Pedidos!$A$2:$A$1801,0)),"")</f>
        <v/>
      </c>
      <c r="K1694" s="21">
        <f>IFERROR(INDEX(Pedidos!$D$2:$D$1801,MATCH(B1694,Pedidos!$A$2:$A$1801,0)),"")</f>
        <v/>
      </c>
      <c r="L1694" s="21">
        <f>IFERROR(INDEX(Pedidos!$F$2:$F$1801,MATCH(B1694,Pedidos!$A$2:$A$1801,0)),"")</f>
        <v/>
      </c>
      <c r="M1694" s="22">
        <f>IFERROR(INDEX(Pedidos!$G$2:$G$1801,MATCH(B1694,Pedidos!$A$2:$A$1801,0)),0)</f>
        <v/>
      </c>
      <c r="N1694" s="21">
        <f>IFERROR(INDEX(Produtos!$B$2:$B$71,MATCH(C1694,Produtos!$A$2:$A$71,0)),"")</f>
        <v/>
      </c>
      <c r="O1694" s="21">
        <f>IFERROR(INDEX(Produtos!$C$2:$C$71,MATCH(C1694,Produtos!$A$2:$A$71,0)),"")</f>
        <v/>
      </c>
      <c r="P1694" s="21">
        <f>IFERROR(INDEX(Produtos!$D$2:$D$71,MATCH(C1694,Produtos!$A$2:$A$71,0)),0)</f>
        <v/>
      </c>
      <c r="Q1694" s="21">
        <f>IFERROR(INDEX(Produtos!$E$2:$E$71,MATCH(C1694,Produtos!$A$2:$A$71,0)),0)</f>
        <v/>
      </c>
      <c r="R1694" s="23">
        <f>D1694*Q1694</f>
        <v/>
      </c>
      <c r="S1694" s="23">
        <f>R1694*E1694</f>
        <v/>
      </c>
      <c r="T1694" s="23">
        <f>(R1694-S1694)*M1694</f>
        <v/>
      </c>
      <c r="U1694" s="23">
        <f>R1694-S1694-T1694</f>
        <v/>
      </c>
      <c r="V1694" s="23">
        <f>D1694*P1694</f>
        <v/>
      </c>
      <c r="W1694" s="23">
        <f>U1694-V1694</f>
        <v/>
      </c>
      <c r="X1694" s="24">
        <f>IFERROR(W1694/U1694,0)</f>
        <v/>
      </c>
    </row>
    <row r="1695">
      <c r="A1695" s="25">
        <f>ItensPedido!A1695</f>
        <v/>
      </c>
      <c r="B1695" s="25">
        <f>ItensPedido!B1695</f>
        <v/>
      </c>
      <c r="C1695" s="25">
        <f>ItensPedido!C1695</f>
        <v/>
      </c>
      <c r="D1695" s="25">
        <f>ItensPedido!D1695</f>
        <v/>
      </c>
      <c r="E1695" s="26">
        <f>ItensPedido!E1695</f>
        <v/>
      </c>
      <c r="F1695" s="25">
        <f>IFERROR(INDEX(Pedidos!$B$2:$B$1801,MATCH(B1695,Pedidos!$A$2:$A$1801,0)),0)</f>
        <v/>
      </c>
      <c r="G1695" s="25">
        <f>IF(F1695=0,"",YEAR(F1695))</f>
        <v/>
      </c>
      <c r="H1695" s="25">
        <f>IF(F1695=0,"",MONTH(F1695))</f>
        <v/>
      </c>
      <c r="I1695" s="25">
        <f>IFERROR(INDEX(Pedidos!$E$2:$E$1801,MATCH(B1695,Pedidos!$A$2:$A$1801,0)),"")</f>
        <v/>
      </c>
      <c r="J1695" s="25">
        <f>IFERROR(INDEX(Pedidos!$C$2:$C$1801,MATCH(B1695,Pedidos!$A$2:$A$1801,0)),"")</f>
        <v/>
      </c>
      <c r="K1695" s="25">
        <f>IFERROR(INDEX(Pedidos!$D$2:$D$1801,MATCH(B1695,Pedidos!$A$2:$A$1801,0)),"")</f>
        <v/>
      </c>
      <c r="L1695" s="25">
        <f>IFERROR(INDEX(Pedidos!$F$2:$F$1801,MATCH(B1695,Pedidos!$A$2:$A$1801,0)),"")</f>
        <v/>
      </c>
      <c r="M1695" s="26">
        <f>IFERROR(INDEX(Pedidos!$G$2:$G$1801,MATCH(B1695,Pedidos!$A$2:$A$1801,0)),0)</f>
        <v/>
      </c>
      <c r="N1695" s="25">
        <f>IFERROR(INDEX(Produtos!$B$2:$B$71,MATCH(C1695,Produtos!$A$2:$A$71,0)),"")</f>
        <v/>
      </c>
      <c r="O1695" s="25">
        <f>IFERROR(INDEX(Produtos!$C$2:$C$71,MATCH(C1695,Produtos!$A$2:$A$71,0)),"")</f>
        <v/>
      </c>
      <c r="P1695" s="25">
        <f>IFERROR(INDEX(Produtos!$D$2:$D$71,MATCH(C1695,Produtos!$A$2:$A$71,0)),0)</f>
        <v/>
      </c>
      <c r="Q1695" s="25">
        <f>IFERROR(INDEX(Produtos!$E$2:$E$71,MATCH(C1695,Produtos!$A$2:$A$71,0)),0)</f>
        <v/>
      </c>
      <c r="R1695" s="27">
        <f>D1695*Q1695</f>
        <v/>
      </c>
      <c r="S1695" s="27">
        <f>R1695*E1695</f>
        <v/>
      </c>
      <c r="T1695" s="27">
        <f>(R1695-S1695)*M1695</f>
        <v/>
      </c>
      <c r="U1695" s="27">
        <f>R1695-S1695-T1695</f>
        <v/>
      </c>
      <c r="V1695" s="27">
        <f>D1695*P1695</f>
        <v/>
      </c>
      <c r="W1695" s="27">
        <f>U1695-V1695</f>
        <v/>
      </c>
      <c r="X1695" s="28">
        <f>IFERROR(W1695/U1695,0)</f>
        <v/>
      </c>
    </row>
    <row r="1696">
      <c r="A1696" s="21">
        <f>ItensPedido!A1696</f>
        <v/>
      </c>
      <c r="B1696" s="21">
        <f>ItensPedido!B1696</f>
        <v/>
      </c>
      <c r="C1696" s="21">
        <f>ItensPedido!C1696</f>
        <v/>
      </c>
      <c r="D1696" s="21">
        <f>ItensPedido!D1696</f>
        <v/>
      </c>
      <c r="E1696" s="22">
        <f>ItensPedido!E1696</f>
        <v/>
      </c>
      <c r="F1696" s="21">
        <f>IFERROR(INDEX(Pedidos!$B$2:$B$1801,MATCH(B1696,Pedidos!$A$2:$A$1801,0)),0)</f>
        <v/>
      </c>
      <c r="G1696" s="21">
        <f>IF(F1696=0,"",YEAR(F1696))</f>
        <v/>
      </c>
      <c r="H1696" s="21">
        <f>IF(F1696=0,"",MONTH(F1696))</f>
        <v/>
      </c>
      <c r="I1696" s="21">
        <f>IFERROR(INDEX(Pedidos!$E$2:$E$1801,MATCH(B1696,Pedidos!$A$2:$A$1801,0)),"")</f>
        <v/>
      </c>
      <c r="J1696" s="21">
        <f>IFERROR(INDEX(Pedidos!$C$2:$C$1801,MATCH(B1696,Pedidos!$A$2:$A$1801,0)),"")</f>
        <v/>
      </c>
      <c r="K1696" s="21">
        <f>IFERROR(INDEX(Pedidos!$D$2:$D$1801,MATCH(B1696,Pedidos!$A$2:$A$1801,0)),"")</f>
        <v/>
      </c>
      <c r="L1696" s="21">
        <f>IFERROR(INDEX(Pedidos!$F$2:$F$1801,MATCH(B1696,Pedidos!$A$2:$A$1801,0)),"")</f>
        <v/>
      </c>
      <c r="M1696" s="22">
        <f>IFERROR(INDEX(Pedidos!$G$2:$G$1801,MATCH(B1696,Pedidos!$A$2:$A$1801,0)),0)</f>
        <v/>
      </c>
      <c r="N1696" s="21">
        <f>IFERROR(INDEX(Produtos!$B$2:$B$71,MATCH(C1696,Produtos!$A$2:$A$71,0)),"")</f>
        <v/>
      </c>
      <c r="O1696" s="21">
        <f>IFERROR(INDEX(Produtos!$C$2:$C$71,MATCH(C1696,Produtos!$A$2:$A$71,0)),"")</f>
        <v/>
      </c>
      <c r="P1696" s="21">
        <f>IFERROR(INDEX(Produtos!$D$2:$D$71,MATCH(C1696,Produtos!$A$2:$A$71,0)),0)</f>
        <v/>
      </c>
      <c r="Q1696" s="21">
        <f>IFERROR(INDEX(Produtos!$E$2:$E$71,MATCH(C1696,Produtos!$A$2:$A$71,0)),0)</f>
        <v/>
      </c>
      <c r="R1696" s="23">
        <f>D1696*Q1696</f>
        <v/>
      </c>
      <c r="S1696" s="23">
        <f>R1696*E1696</f>
        <v/>
      </c>
      <c r="T1696" s="23">
        <f>(R1696-S1696)*M1696</f>
        <v/>
      </c>
      <c r="U1696" s="23">
        <f>R1696-S1696-T1696</f>
        <v/>
      </c>
      <c r="V1696" s="23">
        <f>D1696*P1696</f>
        <v/>
      </c>
      <c r="W1696" s="23">
        <f>U1696-V1696</f>
        <v/>
      </c>
      <c r="X1696" s="24">
        <f>IFERROR(W1696/U1696,0)</f>
        <v/>
      </c>
    </row>
    <row r="1697">
      <c r="A1697" s="25">
        <f>ItensPedido!A1697</f>
        <v/>
      </c>
      <c r="B1697" s="25">
        <f>ItensPedido!B1697</f>
        <v/>
      </c>
      <c r="C1697" s="25">
        <f>ItensPedido!C1697</f>
        <v/>
      </c>
      <c r="D1697" s="25">
        <f>ItensPedido!D1697</f>
        <v/>
      </c>
      <c r="E1697" s="26">
        <f>ItensPedido!E1697</f>
        <v/>
      </c>
      <c r="F1697" s="25">
        <f>IFERROR(INDEX(Pedidos!$B$2:$B$1801,MATCH(B1697,Pedidos!$A$2:$A$1801,0)),0)</f>
        <v/>
      </c>
      <c r="G1697" s="25">
        <f>IF(F1697=0,"",YEAR(F1697))</f>
        <v/>
      </c>
      <c r="H1697" s="25">
        <f>IF(F1697=0,"",MONTH(F1697))</f>
        <v/>
      </c>
      <c r="I1697" s="25">
        <f>IFERROR(INDEX(Pedidos!$E$2:$E$1801,MATCH(B1697,Pedidos!$A$2:$A$1801,0)),"")</f>
        <v/>
      </c>
      <c r="J1697" s="25">
        <f>IFERROR(INDEX(Pedidos!$C$2:$C$1801,MATCH(B1697,Pedidos!$A$2:$A$1801,0)),"")</f>
        <v/>
      </c>
      <c r="K1697" s="25">
        <f>IFERROR(INDEX(Pedidos!$D$2:$D$1801,MATCH(B1697,Pedidos!$A$2:$A$1801,0)),"")</f>
        <v/>
      </c>
      <c r="L1697" s="25">
        <f>IFERROR(INDEX(Pedidos!$F$2:$F$1801,MATCH(B1697,Pedidos!$A$2:$A$1801,0)),"")</f>
        <v/>
      </c>
      <c r="M1697" s="26">
        <f>IFERROR(INDEX(Pedidos!$G$2:$G$1801,MATCH(B1697,Pedidos!$A$2:$A$1801,0)),0)</f>
        <v/>
      </c>
      <c r="N1697" s="25">
        <f>IFERROR(INDEX(Produtos!$B$2:$B$71,MATCH(C1697,Produtos!$A$2:$A$71,0)),"")</f>
        <v/>
      </c>
      <c r="O1697" s="25">
        <f>IFERROR(INDEX(Produtos!$C$2:$C$71,MATCH(C1697,Produtos!$A$2:$A$71,0)),"")</f>
        <v/>
      </c>
      <c r="P1697" s="25">
        <f>IFERROR(INDEX(Produtos!$D$2:$D$71,MATCH(C1697,Produtos!$A$2:$A$71,0)),0)</f>
        <v/>
      </c>
      <c r="Q1697" s="25">
        <f>IFERROR(INDEX(Produtos!$E$2:$E$71,MATCH(C1697,Produtos!$A$2:$A$71,0)),0)</f>
        <v/>
      </c>
      <c r="R1697" s="27">
        <f>D1697*Q1697</f>
        <v/>
      </c>
      <c r="S1697" s="27">
        <f>R1697*E1697</f>
        <v/>
      </c>
      <c r="T1697" s="27">
        <f>(R1697-S1697)*M1697</f>
        <v/>
      </c>
      <c r="U1697" s="27">
        <f>R1697-S1697-T1697</f>
        <v/>
      </c>
      <c r="V1697" s="27">
        <f>D1697*P1697</f>
        <v/>
      </c>
      <c r="W1697" s="27">
        <f>U1697-V1697</f>
        <v/>
      </c>
      <c r="X1697" s="28">
        <f>IFERROR(W1697/U1697,0)</f>
        <v/>
      </c>
    </row>
    <row r="1698">
      <c r="A1698" s="21">
        <f>ItensPedido!A1698</f>
        <v/>
      </c>
      <c r="B1698" s="21">
        <f>ItensPedido!B1698</f>
        <v/>
      </c>
      <c r="C1698" s="21">
        <f>ItensPedido!C1698</f>
        <v/>
      </c>
      <c r="D1698" s="21">
        <f>ItensPedido!D1698</f>
        <v/>
      </c>
      <c r="E1698" s="22">
        <f>ItensPedido!E1698</f>
        <v/>
      </c>
      <c r="F1698" s="21">
        <f>IFERROR(INDEX(Pedidos!$B$2:$B$1801,MATCH(B1698,Pedidos!$A$2:$A$1801,0)),0)</f>
        <v/>
      </c>
      <c r="G1698" s="21">
        <f>IF(F1698=0,"",YEAR(F1698))</f>
        <v/>
      </c>
      <c r="H1698" s="21">
        <f>IF(F1698=0,"",MONTH(F1698))</f>
        <v/>
      </c>
      <c r="I1698" s="21">
        <f>IFERROR(INDEX(Pedidos!$E$2:$E$1801,MATCH(B1698,Pedidos!$A$2:$A$1801,0)),"")</f>
        <v/>
      </c>
      <c r="J1698" s="21">
        <f>IFERROR(INDEX(Pedidos!$C$2:$C$1801,MATCH(B1698,Pedidos!$A$2:$A$1801,0)),"")</f>
        <v/>
      </c>
      <c r="K1698" s="21">
        <f>IFERROR(INDEX(Pedidos!$D$2:$D$1801,MATCH(B1698,Pedidos!$A$2:$A$1801,0)),"")</f>
        <v/>
      </c>
      <c r="L1698" s="21">
        <f>IFERROR(INDEX(Pedidos!$F$2:$F$1801,MATCH(B1698,Pedidos!$A$2:$A$1801,0)),"")</f>
        <v/>
      </c>
      <c r="M1698" s="22">
        <f>IFERROR(INDEX(Pedidos!$G$2:$G$1801,MATCH(B1698,Pedidos!$A$2:$A$1801,0)),0)</f>
        <v/>
      </c>
      <c r="N1698" s="21">
        <f>IFERROR(INDEX(Produtos!$B$2:$B$71,MATCH(C1698,Produtos!$A$2:$A$71,0)),"")</f>
        <v/>
      </c>
      <c r="O1698" s="21">
        <f>IFERROR(INDEX(Produtos!$C$2:$C$71,MATCH(C1698,Produtos!$A$2:$A$71,0)),"")</f>
        <v/>
      </c>
      <c r="P1698" s="21">
        <f>IFERROR(INDEX(Produtos!$D$2:$D$71,MATCH(C1698,Produtos!$A$2:$A$71,0)),0)</f>
        <v/>
      </c>
      <c r="Q1698" s="21">
        <f>IFERROR(INDEX(Produtos!$E$2:$E$71,MATCH(C1698,Produtos!$A$2:$A$71,0)),0)</f>
        <v/>
      </c>
      <c r="R1698" s="23">
        <f>D1698*Q1698</f>
        <v/>
      </c>
      <c r="S1698" s="23">
        <f>R1698*E1698</f>
        <v/>
      </c>
      <c r="T1698" s="23">
        <f>(R1698-S1698)*M1698</f>
        <v/>
      </c>
      <c r="U1698" s="23">
        <f>R1698-S1698-T1698</f>
        <v/>
      </c>
      <c r="V1698" s="23">
        <f>D1698*P1698</f>
        <v/>
      </c>
      <c r="W1698" s="23">
        <f>U1698-V1698</f>
        <v/>
      </c>
      <c r="X1698" s="24">
        <f>IFERROR(W1698/U1698,0)</f>
        <v/>
      </c>
    </row>
    <row r="1699">
      <c r="A1699" s="25">
        <f>ItensPedido!A1699</f>
        <v/>
      </c>
      <c r="B1699" s="25">
        <f>ItensPedido!B1699</f>
        <v/>
      </c>
      <c r="C1699" s="25">
        <f>ItensPedido!C1699</f>
        <v/>
      </c>
      <c r="D1699" s="25">
        <f>ItensPedido!D1699</f>
        <v/>
      </c>
      <c r="E1699" s="26">
        <f>ItensPedido!E1699</f>
        <v/>
      </c>
      <c r="F1699" s="25">
        <f>IFERROR(INDEX(Pedidos!$B$2:$B$1801,MATCH(B1699,Pedidos!$A$2:$A$1801,0)),0)</f>
        <v/>
      </c>
      <c r="G1699" s="25">
        <f>IF(F1699=0,"",YEAR(F1699))</f>
        <v/>
      </c>
      <c r="H1699" s="25">
        <f>IF(F1699=0,"",MONTH(F1699))</f>
        <v/>
      </c>
      <c r="I1699" s="25">
        <f>IFERROR(INDEX(Pedidos!$E$2:$E$1801,MATCH(B1699,Pedidos!$A$2:$A$1801,0)),"")</f>
        <v/>
      </c>
      <c r="J1699" s="25">
        <f>IFERROR(INDEX(Pedidos!$C$2:$C$1801,MATCH(B1699,Pedidos!$A$2:$A$1801,0)),"")</f>
        <v/>
      </c>
      <c r="K1699" s="25">
        <f>IFERROR(INDEX(Pedidos!$D$2:$D$1801,MATCH(B1699,Pedidos!$A$2:$A$1801,0)),"")</f>
        <v/>
      </c>
      <c r="L1699" s="25">
        <f>IFERROR(INDEX(Pedidos!$F$2:$F$1801,MATCH(B1699,Pedidos!$A$2:$A$1801,0)),"")</f>
        <v/>
      </c>
      <c r="M1699" s="26">
        <f>IFERROR(INDEX(Pedidos!$G$2:$G$1801,MATCH(B1699,Pedidos!$A$2:$A$1801,0)),0)</f>
        <v/>
      </c>
      <c r="N1699" s="25">
        <f>IFERROR(INDEX(Produtos!$B$2:$B$71,MATCH(C1699,Produtos!$A$2:$A$71,0)),"")</f>
        <v/>
      </c>
      <c r="O1699" s="25">
        <f>IFERROR(INDEX(Produtos!$C$2:$C$71,MATCH(C1699,Produtos!$A$2:$A$71,0)),"")</f>
        <v/>
      </c>
      <c r="P1699" s="25">
        <f>IFERROR(INDEX(Produtos!$D$2:$D$71,MATCH(C1699,Produtos!$A$2:$A$71,0)),0)</f>
        <v/>
      </c>
      <c r="Q1699" s="25">
        <f>IFERROR(INDEX(Produtos!$E$2:$E$71,MATCH(C1699,Produtos!$A$2:$A$71,0)),0)</f>
        <v/>
      </c>
      <c r="R1699" s="27">
        <f>D1699*Q1699</f>
        <v/>
      </c>
      <c r="S1699" s="27">
        <f>R1699*E1699</f>
        <v/>
      </c>
      <c r="T1699" s="27">
        <f>(R1699-S1699)*M1699</f>
        <v/>
      </c>
      <c r="U1699" s="27">
        <f>R1699-S1699-T1699</f>
        <v/>
      </c>
      <c r="V1699" s="27">
        <f>D1699*P1699</f>
        <v/>
      </c>
      <c r="W1699" s="27">
        <f>U1699-V1699</f>
        <v/>
      </c>
      <c r="X1699" s="28">
        <f>IFERROR(W1699/U1699,0)</f>
        <v/>
      </c>
    </row>
    <row r="1700">
      <c r="A1700" s="21">
        <f>ItensPedido!A1700</f>
        <v/>
      </c>
      <c r="B1700" s="21">
        <f>ItensPedido!B1700</f>
        <v/>
      </c>
      <c r="C1700" s="21">
        <f>ItensPedido!C1700</f>
        <v/>
      </c>
      <c r="D1700" s="21">
        <f>ItensPedido!D1700</f>
        <v/>
      </c>
      <c r="E1700" s="22">
        <f>ItensPedido!E1700</f>
        <v/>
      </c>
      <c r="F1700" s="21">
        <f>IFERROR(INDEX(Pedidos!$B$2:$B$1801,MATCH(B1700,Pedidos!$A$2:$A$1801,0)),0)</f>
        <v/>
      </c>
      <c r="G1700" s="21">
        <f>IF(F1700=0,"",YEAR(F1700))</f>
        <v/>
      </c>
      <c r="H1700" s="21">
        <f>IF(F1700=0,"",MONTH(F1700))</f>
        <v/>
      </c>
      <c r="I1700" s="21">
        <f>IFERROR(INDEX(Pedidos!$E$2:$E$1801,MATCH(B1700,Pedidos!$A$2:$A$1801,0)),"")</f>
        <v/>
      </c>
      <c r="J1700" s="21">
        <f>IFERROR(INDEX(Pedidos!$C$2:$C$1801,MATCH(B1700,Pedidos!$A$2:$A$1801,0)),"")</f>
        <v/>
      </c>
      <c r="K1700" s="21">
        <f>IFERROR(INDEX(Pedidos!$D$2:$D$1801,MATCH(B1700,Pedidos!$A$2:$A$1801,0)),"")</f>
        <v/>
      </c>
      <c r="L1700" s="21">
        <f>IFERROR(INDEX(Pedidos!$F$2:$F$1801,MATCH(B1700,Pedidos!$A$2:$A$1801,0)),"")</f>
        <v/>
      </c>
      <c r="M1700" s="22">
        <f>IFERROR(INDEX(Pedidos!$G$2:$G$1801,MATCH(B1700,Pedidos!$A$2:$A$1801,0)),0)</f>
        <v/>
      </c>
      <c r="N1700" s="21">
        <f>IFERROR(INDEX(Produtos!$B$2:$B$71,MATCH(C1700,Produtos!$A$2:$A$71,0)),"")</f>
        <v/>
      </c>
      <c r="O1700" s="21">
        <f>IFERROR(INDEX(Produtos!$C$2:$C$71,MATCH(C1700,Produtos!$A$2:$A$71,0)),"")</f>
        <v/>
      </c>
      <c r="P1700" s="21">
        <f>IFERROR(INDEX(Produtos!$D$2:$D$71,MATCH(C1700,Produtos!$A$2:$A$71,0)),0)</f>
        <v/>
      </c>
      <c r="Q1700" s="21">
        <f>IFERROR(INDEX(Produtos!$E$2:$E$71,MATCH(C1700,Produtos!$A$2:$A$71,0)),0)</f>
        <v/>
      </c>
      <c r="R1700" s="23">
        <f>D1700*Q1700</f>
        <v/>
      </c>
      <c r="S1700" s="23">
        <f>R1700*E1700</f>
        <v/>
      </c>
      <c r="T1700" s="23">
        <f>(R1700-S1700)*M1700</f>
        <v/>
      </c>
      <c r="U1700" s="23">
        <f>R1700-S1700-T1700</f>
        <v/>
      </c>
      <c r="V1700" s="23">
        <f>D1700*P1700</f>
        <v/>
      </c>
      <c r="W1700" s="23">
        <f>U1700-V1700</f>
        <v/>
      </c>
      <c r="X1700" s="24">
        <f>IFERROR(W1700/U1700,0)</f>
        <v/>
      </c>
    </row>
    <row r="1701">
      <c r="A1701" s="25">
        <f>ItensPedido!A1701</f>
        <v/>
      </c>
      <c r="B1701" s="25">
        <f>ItensPedido!B1701</f>
        <v/>
      </c>
      <c r="C1701" s="25">
        <f>ItensPedido!C1701</f>
        <v/>
      </c>
      <c r="D1701" s="25">
        <f>ItensPedido!D1701</f>
        <v/>
      </c>
      <c r="E1701" s="26">
        <f>ItensPedido!E1701</f>
        <v/>
      </c>
      <c r="F1701" s="25">
        <f>IFERROR(INDEX(Pedidos!$B$2:$B$1801,MATCH(B1701,Pedidos!$A$2:$A$1801,0)),0)</f>
        <v/>
      </c>
      <c r="G1701" s="25">
        <f>IF(F1701=0,"",YEAR(F1701))</f>
        <v/>
      </c>
      <c r="H1701" s="25">
        <f>IF(F1701=0,"",MONTH(F1701))</f>
        <v/>
      </c>
      <c r="I1701" s="25">
        <f>IFERROR(INDEX(Pedidos!$E$2:$E$1801,MATCH(B1701,Pedidos!$A$2:$A$1801,0)),"")</f>
        <v/>
      </c>
      <c r="J1701" s="25">
        <f>IFERROR(INDEX(Pedidos!$C$2:$C$1801,MATCH(B1701,Pedidos!$A$2:$A$1801,0)),"")</f>
        <v/>
      </c>
      <c r="K1701" s="25">
        <f>IFERROR(INDEX(Pedidos!$D$2:$D$1801,MATCH(B1701,Pedidos!$A$2:$A$1801,0)),"")</f>
        <v/>
      </c>
      <c r="L1701" s="25">
        <f>IFERROR(INDEX(Pedidos!$F$2:$F$1801,MATCH(B1701,Pedidos!$A$2:$A$1801,0)),"")</f>
        <v/>
      </c>
      <c r="M1701" s="26">
        <f>IFERROR(INDEX(Pedidos!$G$2:$G$1801,MATCH(B1701,Pedidos!$A$2:$A$1801,0)),0)</f>
        <v/>
      </c>
      <c r="N1701" s="25">
        <f>IFERROR(INDEX(Produtos!$B$2:$B$71,MATCH(C1701,Produtos!$A$2:$A$71,0)),"")</f>
        <v/>
      </c>
      <c r="O1701" s="25">
        <f>IFERROR(INDEX(Produtos!$C$2:$C$71,MATCH(C1701,Produtos!$A$2:$A$71,0)),"")</f>
        <v/>
      </c>
      <c r="P1701" s="25">
        <f>IFERROR(INDEX(Produtos!$D$2:$D$71,MATCH(C1701,Produtos!$A$2:$A$71,0)),0)</f>
        <v/>
      </c>
      <c r="Q1701" s="25">
        <f>IFERROR(INDEX(Produtos!$E$2:$E$71,MATCH(C1701,Produtos!$A$2:$A$71,0)),0)</f>
        <v/>
      </c>
      <c r="R1701" s="27">
        <f>D1701*Q1701</f>
        <v/>
      </c>
      <c r="S1701" s="27">
        <f>R1701*E1701</f>
        <v/>
      </c>
      <c r="T1701" s="27">
        <f>(R1701-S1701)*M1701</f>
        <v/>
      </c>
      <c r="U1701" s="27">
        <f>R1701-S1701-T1701</f>
        <v/>
      </c>
      <c r="V1701" s="27">
        <f>D1701*P1701</f>
        <v/>
      </c>
      <c r="W1701" s="27">
        <f>U1701-V1701</f>
        <v/>
      </c>
      <c r="X1701" s="28">
        <f>IFERROR(W1701/U1701,0)</f>
        <v/>
      </c>
    </row>
    <row r="1702">
      <c r="A1702" s="21">
        <f>ItensPedido!A1702</f>
        <v/>
      </c>
      <c r="B1702" s="21">
        <f>ItensPedido!B1702</f>
        <v/>
      </c>
      <c r="C1702" s="21">
        <f>ItensPedido!C1702</f>
        <v/>
      </c>
      <c r="D1702" s="21">
        <f>ItensPedido!D1702</f>
        <v/>
      </c>
      <c r="E1702" s="22">
        <f>ItensPedido!E1702</f>
        <v/>
      </c>
      <c r="F1702" s="21">
        <f>IFERROR(INDEX(Pedidos!$B$2:$B$1801,MATCH(B1702,Pedidos!$A$2:$A$1801,0)),0)</f>
        <v/>
      </c>
      <c r="G1702" s="21">
        <f>IF(F1702=0,"",YEAR(F1702))</f>
        <v/>
      </c>
      <c r="H1702" s="21">
        <f>IF(F1702=0,"",MONTH(F1702))</f>
        <v/>
      </c>
      <c r="I1702" s="21">
        <f>IFERROR(INDEX(Pedidos!$E$2:$E$1801,MATCH(B1702,Pedidos!$A$2:$A$1801,0)),"")</f>
        <v/>
      </c>
      <c r="J1702" s="21">
        <f>IFERROR(INDEX(Pedidos!$C$2:$C$1801,MATCH(B1702,Pedidos!$A$2:$A$1801,0)),"")</f>
        <v/>
      </c>
      <c r="K1702" s="21">
        <f>IFERROR(INDEX(Pedidos!$D$2:$D$1801,MATCH(B1702,Pedidos!$A$2:$A$1801,0)),"")</f>
        <v/>
      </c>
      <c r="L1702" s="21">
        <f>IFERROR(INDEX(Pedidos!$F$2:$F$1801,MATCH(B1702,Pedidos!$A$2:$A$1801,0)),"")</f>
        <v/>
      </c>
      <c r="M1702" s="22">
        <f>IFERROR(INDEX(Pedidos!$G$2:$G$1801,MATCH(B1702,Pedidos!$A$2:$A$1801,0)),0)</f>
        <v/>
      </c>
      <c r="N1702" s="21">
        <f>IFERROR(INDEX(Produtos!$B$2:$B$71,MATCH(C1702,Produtos!$A$2:$A$71,0)),"")</f>
        <v/>
      </c>
      <c r="O1702" s="21">
        <f>IFERROR(INDEX(Produtos!$C$2:$C$71,MATCH(C1702,Produtos!$A$2:$A$71,0)),"")</f>
        <v/>
      </c>
      <c r="P1702" s="21">
        <f>IFERROR(INDEX(Produtos!$D$2:$D$71,MATCH(C1702,Produtos!$A$2:$A$71,0)),0)</f>
        <v/>
      </c>
      <c r="Q1702" s="21">
        <f>IFERROR(INDEX(Produtos!$E$2:$E$71,MATCH(C1702,Produtos!$A$2:$A$71,0)),0)</f>
        <v/>
      </c>
      <c r="R1702" s="23">
        <f>D1702*Q1702</f>
        <v/>
      </c>
      <c r="S1702" s="23">
        <f>R1702*E1702</f>
        <v/>
      </c>
      <c r="T1702" s="23">
        <f>(R1702-S1702)*M1702</f>
        <v/>
      </c>
      <c r="U1702" s="23">
        <f>R1702-S1702-T1702</f>
        <v/>
      </c>
      <c r="V1702" s="23">
        <f>D1702*P1702</f>
        <v/>
      </c>
      <c r="W1702" s="23">
        <f>U1702-V1702</f>
        <v/>
      </c>
      <c r="X1702" s="24">
        <f>IFERROR(W1702/U1702,0)</f>
        <v/>
      </c>
    </row>
    <row r="1703">
      <c r="A1703" s="25">
        <f>ItensPedido!A1703</f>
        <v/>
      </c>
      <c r="B1703" s="25">
        <f>ItensPedido!B1703</f>
        <v/>
      </c>
      <c r="C1703" s="25">
        <f>ItensPedido!C1703</f>
        <v/>
      </c>
      <c r="D1703" s="25">
        <f>ItensPedido!D1703</f>
        <v/>
      </c>
      <c r="E1703" s="26">
        <f>ItensPedido!E1703</f>
        <v/>
      </c>
      <c r="F1703" s="25">
        <f>IFERROR(INDEX(Pedidos!$B$2:$B$1801,MATCH(B1703,Pedidos!$A$2:$A$1801,0)),0)</f>
        <v/>
      </c>
      <c r="G1703" s="25">
        <f>IF(F1703=0,"",YEAR(F1703))</f>
        <v/>
      </c>
      <c r="H1703" s="25">
        <f>IF(F1703=0,"",MONTH(F1703))</f>
        <v/>
      </c>
      <c r="I1703" s="25">
        <f>IFERROR(INDEX(Pedidos!$E$2:$E$1801,MATCH(B1703,Pedidos!$A$2:$A$1801,0)),"")</f>
        <v/>
      </c>
      <c r="J1703" s="25">
        <f>IFERROR(INDEX(Pedidos!$C$2:$C$1801,MATCH(B1703,Pedidos!$A$2:$A$1801,0)),"")</f>
        <v/>
      </c>
      <c r="K1703" s="25">
        <f>IFERROR(INDEX(Pedidos!$D$2:$D$1801,MATCH(B1703,Pedidos!$A$2:$A$1801,0)),"")</f>
        <v/>
      </c>
      <c r="L1703" s="25">
        <f>IFERROR(INDEX(Pedidos!$F$2:$F$1801,MATCH(B1703,Pedidos!$A$2:$A$1801,0)),"")</f>
        <v/>
      </c>
      <c r="M1703" s="26">
        <f>IFERROR(INDEX(Pedidos!$G$2:$G$1801,MATCH(B1703,Pedidos!$A$2:$A$1801,0)),0)</f>
        <v/>
      </c>
      <c r="N1703" s="25">
        <f>IFERROR(INDEX(Produtos!$B$2:$B$71,MATCH(C1703,Produtos!$A$2:$A$71,0)),"")</f>
        <v/>
      </c>
      <c r="O1703" s="25">
        <f>IFERROR(INDEX(Produtos!$C$2:$C$71,MATCH(C1703,Produtos!$A$2:$A$71,0)),"")</f>
        <v/>
      </c>
      <c r="P1703" s="25">
        <f>IFERROR(INDEX(Produtos!$D$2:$D$71,MATCH(C1703,Produtos!$A$2:$A$71,0)),0)</f>
        <v/>
      </c>
      <c r="Q1703" s="25">
        <f>IFERROR(INDEX(Produtos!$E$2:$E$71,MATCH(C1703,Produtos!$A$2:$A$71,0)),0)</f>
        <v/>
      </c>
      <c r="R1703" s="27">
        <f>D1703*Q1703</f>
        <v/>
      </c>
      <c r="S1703" s="27">
        <f>R1703*E1703</f>
        <v/>
      </c>
      <c r="T1703" s="27">
        <f>(R1703-S1703)*M1703</f>
        <v/>
      </c>
      <c r="U1703" s="27">
        <f>R1703-S1703-T1703</f>
        <v/>
      </c>
      <c r="V1703" s="27">
        <f>D1703*P1703</f>
        <v/>
      </c>
      <c r="W1703" s="27">
        <f>U1703-V1703</f>
        <v/>
      </c>
      <c r="X1703" s="28">
        <f>IFERROR(W1703/U1703,0)</f>
        <v/>
      </c>
    </row>
    <row r="1704">
      <c r="A1704" s="21">
        <f>ItensPedido!A1704</f>
        <v/>
      </c>
      <c r="B1704" s="21">
        <f>ItensPedido!B1704</f>
        <v/>
      </c>
      <c r="C1704" s="21">
        <f>ItensPedido!C1704</f>
        <v/>
      </c>
      <c r="D1704" s="21">
        <f>ItensPedido!D1704</f>
        <v/>
      </c>
      <c r="E1704" s="22">
        <f>ItensPedido!E1704</f>
        <v/>
      </c>
      <c r="F1704" s="21">
        <f>IFERROR(INDEX(Pedidos!$B$2:$B$1801,MATCH(B1704,Pedidos!$A$2:$A$1801,0)),0)</f>
        <v/>
      </c>
      <c r="G1704" s="21">
        <f>IF(F1704=0,"",YEAR(F1704))</f>
        <v/>
      </c>
      <c r="H1704" s="21">
        <f>IF(F1704=0,"",MONTH(F1704))</f>
        <v/>
      </c>
      <c r="I1704" s="21">
        <f>IFERROR(INDEX(Pedidos!$E$2:$E$1801,MATCH(B1704,Pedidos!$A$2:$A$1801,0)),"")</f>
        <v/>
      </c>
      <c r="J1704" s="21">
        <f>IFERROR(INDEX(Pedidos!$C$2:$C$1801,MATCH(B1704,Pedidos!$A$2:$A$1801,0)),"")</f>
        <v/>
      </c>
      <c r="K1704" s="21">
        <f>IFERROR(INDEX(Pedidos!$D$2:$D$1801,MATCH(B1704,Pedidos!$A$2:$A$1801,0)),"")</f>
        <v/>
      </c>
      <c r="L1704" s="21">
        <f>IFERROR(INDEX(Pedidos!$F$2:$F$1801,MATCH(B1704,Pedidos!$A$2:$A$1801,0)),"")</f>
        <v/>
      </c>
      <c r="M1704" s="22">
        <f>IFERROR(INDEX(Pedidos!$G$2:$G$1801,MATCH(B1704,Pedidos!$A$2:$A$1801,0)),0)</f>
        <v/>
      </c>
      <c r="N1704" s="21">
        <f>IFERROR(INDEX(Produtos!$B$2:$B$71,MATCH(C1704,Produtos!$A$2:$A$71,0)),"")</f>
        <v/>
      </c>
      <c r="O1704" s="21">
        <f>IFERROR(INDEX(Produtos!$C$2:$C$71,MATCH(C1704,Produtos!$A$2:$A$71,0)),"")</f>
        <v/>
      </c>
      <c r="P1704" s="21">
        <f>IFERROR(INDEX(Produtos!$D$2:$D$71,MATCH(C1704,Produtos!$A$2:$A$71,0)),0)</f>
        <v/>
      </c>
      <c r="Q1704" s="21">
        <f>IFERROR(INDEX(Produtos!$E$2:$E$71,MATCH(C1704,Produtos!$A$2:$A$71,0)),0)</f>
        <v/>
      </c>
      <c r="R1704" s="23">
        <f>D1704*Q1704</f>
        <v/>
      </c>
      <c r="S1704" s="23">
        <f>R1704*E1704</f>
        <v/>
      </c>
      <c r="T1704" s="23">
        <f>(R1704-S1704)*M1704</f>
        <v/>
      </c>
      <c r="U1704" s="23">
        <f>R1704-S1704-T1704</f>
        <v/>
      </c>
      <c r="V1704" s="23">
        <f>D1704*P1704</f>
        <v/>
      </c>
      <c r="W1704" s="23">
        <f>U1704-V1704</f>
        <v/>
      </c>
      <c r="X1704" s="24">
        <f>IFERROR(W1704/U1704,0)</f>
        <v/>
      </c>
    </row>
    <row r="1705">
      <c r="A1705" s="25">
        <f>ItensPedido!A1705</f>
        <v/>
      </c>
      <c r="B1705" s="25">
        <f>ItensPedido!B1705</f>
        <v/>
      </c>
      <c r="C1705" s="25">
        <f>ItensPedido!C1705</f>
        <v/>
      </c>
      <c r="D1705" s="25">
        <f>ItensPedido!D1705</f>
        <v/>
      </c>
      <c r="E1705" s="26">
        <f>ItensPedido!E1705</f>
        <v/>
      </c>
      <c r="F1705" s="25">
        <f>IFERROR(INDEX(Pedidos!$B$2:$B$1801,MATCH(B1705,Pedidos!$A$2:$A$1801,0)),0)</f>
        <v/>
      </c>
      <c r="G1705" s="25">
        <f>IF(F1705=0,"",YEAR(F1705))</f>
        <v/>
      </c>
      <c r="H1705" s="25">
        <f>IF(F1705=0,"",MONTH(F1705))</f>
        <v/>
      </c>
      <c r="I1705" s="25">
        <f>IFERROR(INDEX(Pedidos!$E$2:$E$1801,MATCH(B1705,Pedidos!$A$2:$A$1801,0)),"")</f>
        <v/>
      </c>
      <c r="J1705" s="25">
        <f>IFERROR(INDEX(Pedidos!$C$2:$C$1801,MATCH(B1705,Pedidos!$A$2:$A$1801,0)),"")</f>
        <v/>
      </c>
      <c r="K1705" s="25">
        <f>IFERROR(INDEX(Pedidos!$D$2:$D$1801,MATCH(B1705,Pedidos!$A$2:$A$1801,0)),"")</f>
        <v/>
      </c>
      <c r="L1705" s="25">
        <f>IFERROR(INDEX(Pedidos!$F$2:$F$1801,MATCH(B1705,Pedidos!$A$2:$A$1801,0)),"")</f>
        <v/>
      </c>
      <c r="M1705" s="26">
        <f>IFERROR(INDEX(Pedidos!$G$2:$G$1801,MATCH(B1705,Pedidos!$A$2:$A$1801,0)),0)</f>
        <v/>
      </c>
      <c r="N1705" s="25">
        <f>IFERROR(INDEX(Produtos!$B$2:$B$71,MATCH(C1705,Produtos!$A$2:$A$71,0)),"")</f>
        <v/>
      </c>
      <c r="O1705" s="25">
        <f>IFERROR(INDEX(Produtos!$C$2:$C$71,MATCH(C1705,Produtos!$A$2:$A$71,0)),"")</f>
        <v/>
      </c>
      <c r="P1705" s="25">
        <f>IFERROR(INDEX(Produtos!$D$2:$D$71,MATCH(C1705,Produtos!$A$2:$A$71,0)),0)</f>
        <v/>
      </c>
      <c r="Q1705" s="25">
        <f>IFERROR(INDEX(Produtos!$E$2:$E$71,MATCH(C1705,Produtos!$A$2:$A$71,0)),0)</f>
        <v/>
      </c>
      <c r="R1705" s="27">
        <f>D1705*Q1705</f>
        <v/>
      </c>
      <c r="S1705" s="27">
        <f>R1705*E1705</f>
        <v/>
      </c>
      <c r="T1705" s="27">
        <f>(R1705-S1705)*M1705</f>
        <v/>
      </c>
      <c r="U1705" s="27">
        <f>R1705-S1705-T1705</f>
        <v/>
      </c>
      <c r="V1705" s="27">
        <f>D1705*P1705</f>
        <v/>
      </c>
      <c r="W1705" s="27">
        <f>U1705-V1705</f>
        <v/>
      </c>
      <c r="X1705" s="28">
        <f>IFERROR(W1705/U1705,0)</f>
        <v/>
      </c>
    </row>
    <row r="1706">
      <c r="A1706" s="21">
        <f>ItensPedido!A1706</f>
        <v/>
      </c>
      <c r="B1706" s="21">
        <f>ItensPedido!B1706</f>
        <v/>
      </c>
      <c r="C1706" s="21">
        <f>ItensPedido!C1706</f>
        <v/>
      </c>
      <c r="D1706" s="21">
        <f>ItensPedido!D1706</f>
        <v/>
      </c>
      <c r="E1706" s="22">
        <f>ItensPedido!E1706</f>
        <v/>
      </c>
      <c r="F1706" s="21">
        <f>IFERROR(INDEX(Pedidos!$B$2:$B$1801,MATCH(B1706,Pedidos!$A$2:$A$1801,0)),0)</f>
        <v/>
      </c>
      <c r="G1706" s="21">
        <f>IF(F1706=0,"",YEAR(F1706))</f>
        <v/>
      </c>
      <c r="H1706" s="21">
        <f>IF(F1706=0,"",MONTH(F1706))</f>
        <v/>
      </c>
      <c r="I1706" s="21">
        <f>IFERROR(INDEX(Pedidos!$E$2:$E$1801,MATCH(B1706,Pedidos!$A$2:$A$1801,0)),"")</f>
        <v/>
      </c>
      <c r="J1706" s="21">
        <f>IFERROR(INDEX(Pedidos!$C$2:$C$1801,MATCH(B1706,Pedidos!$A$2:$A$1801,0)),"")</f>
        <v/>
      </c>
      <c r="K1706" s="21">
        <f>IFERROR(INDEX(Pedidos!$D$2:$D$1801,MATCH(B1706,Pedidos!$A$2:$A$1801,0)),"")</f>
        <v/>
      </c>
      <c r="L1706" s="21">
        <f>IFERROR(INDEX(Pedidos!$F$2:$F$1801,MATCH(B1706,Pedidos!$A$2:$A$1801,0)),"")</f>
        <v/>
      </c>
      <c r="M1706" s="22">
        <f>IFERROR(INDEX(Pedidos!$G$2:$G$1801,MATCH(B1706,Pedidos!$A$2:$A$1801,0)),0)</f>
        <v/>
      </c>
      <c r="N1706" s="21">
        <f>IFERROR(INDEX(Produtos!$B$2:$B$71,MATCH(C1706,Produtos!$A$2:$A$71,0)),"")</f>
        <v/>
      </c>
      <c r="O1706" s="21">
        <f>IFERROR(INDEX(Produtos!$C$2:$C$71,MATCH(C1706,Produtos!$A$2:$A$71,0)),"")</f>
        <v/>
      </c>
      <c r="P1706" s="21">
        <f>IFERROR(INDEX(Produtos!$D$2:$D$71,MATCH(C1706,Produtos!$A$2:$A$71,0)),0)</f>
        <v/>
      </c>
      <c r="Q1706" s="21">
        <f>IFERROR(INDEX(Produtos!$E$2:$E$71,MATCH(C1706,Produtos!$A$2:$A$71,0)),0)</f>
        <v/>
      </c>
      <c r="R1706" s="23">
        <f>D1706*Q1706</f>
        <v/>
      </c>
      <c r="S1706" s="23">
        <f>R1706*E1706</f>
        <v/>
      </c>
      <c r="T1706" s="23">
        <f>(R1706-S1706)*M1706</f>
        <v/>
      </c>
      <c r="U1706" s="23">
        <f>R1706-S1706-T1706</f>
        <v/>
      </c>
      <c r="V1706" s="23">
        <f>D1706*P1706</f>
        <v/>
      </c>
      <c r="W1706" s="23">
        <f>U1706-V1706</f>
        <v/>
      </c>
      <c r="X1706" s="24">
        <f>IFERROR(W1706/U1706,0)</f>
        <v/>
      </c>
    </row>
    <row r="1707">
      <c r="A1707" s="25">
        <f>ItensPedido!A1707</f>
        <v/>
      </c>
      <c r="B1707" s="25">
        <f>ItensPedido!B1707</f>
        <v/>
      </c>
      <c r="C1707" s="25">
        <f>ItensPedido!C1707</f>
        <v/>
      </c>
      <c r="D1707" s="25">
        <f>ItensPedido!D1707</f>
        <v/>
      </c>
      <c r="E1707" s="26">
        <f>ItensPedido!E1707</f>
        <v/>
      </c>
      <c r="F1707" s="25">
        <f>IFERROR(INDEX(Pedidos!$B$2:$B$1801,MATCH(B1707,Pedidos!$A$2:$A$1801,0)),0)</f>
        <v/>
      </c>
      <c r="G1707" s="25">
        <f>IF(F1707=0,"",YEAR(F1707))</f>
        <v/>
      </c>
      <c r="H1707" s="25">
        <f>IF(F1707=0,"",MONTH(F1707))</f>
        <v/>
      </c>
      <c r="I1707" s="25">
        <f>IFERROR(INDEX(Pedidos!$E$2:$E$1801,MATCH(B1707,Pedidos!$A$2:$A$1801,0)),"")</f>
        <v/>
      </c>
      <c r="J1707" s="25">
        <f>IFERROR(INDEX(Pedidos!$C$2:$C$1801,MATCH(B1707,Pedidos!$A$2:$A$1801,0)),"")</f>
        <v/>
      </c>
      <c r="K1707" s="25">
        <f>IFERROR(INDEX(Pedidos!$D$2:$D$1801,MATCH(B1707,Pedidos!$A$2:$A$1801,0)),"")</f>
        <v/>
      </c>
      <c r="L1707" s="25">
        <f>IFERROR(INDEX(Pedidos!$F$2:$F$1801,MATCH(B1707,Pedidos!$A$2:$A$1801,0)),"")</f>
        <v/>
      </c>
      <c r="M1707" s="26">
        <f>IFERROR(INDEX(Pedidos!$G$2:$G$1801,MATCH(B1707,Pedidos!$A$2:$A$1801,0)),0)</f>
        <v/>
      </c>
      <c r="N1707" s="25">
        <f>IFERROR(INDEX(Produtos!$B$2:$B$71,MATCH(C1707,Produtos!$A$2:$A$71,0)),"")</f>
        <v/>
      </c>
      <c r="O1707" s="25">
        <f>IFERROR(INDEX(Produtos!$C$2:$C$71,MATCH(C1707,Produtos!$A$2:$A$71,0)),"")</f>
        <v/>
      </c>
      <c r="P1707" s="25">
        <f>IFERROR(INDEX(Produtos!$D$2:$D$71,MATCH(C1707,Produtos!$A$2:$A$71,0)),0)</f>
        <v/>
      </c>
      <c r="Q1707" s="25">
        <f>IFERROR(INDEX(Produtos!$E$2:$E$71,MATCH(C1707,Produtos!$A$2:$A$71,0)),0)</f>
        <v/>
      </c>
      <c r="R1707" s="27">
        <f>D1707*Q1707</f>
        <v/>
      </c>
      <c r="S1707" s="27">
        <f>R1707*E1707</f>
        <v/>
      </c>
      <c r="T1707" s="27">
        <f>(R1707-S1707)*M1707</f>
        <v/>
      </c>
      <c r="U1707" s="27">
        <f>R1707-S1707-T1707</f>
        <v/>
      </c>
      <c r="V1707" s="27">
        <f>D1707*P1707</f>
        <v/>
      </c>
      <c r="W1707" s="27">
        <f>U1707-V1707</f>
        <v/>
      </c>
      <c r="X1707" s="28">
        <f>IFERROR(W1707/U1707,0)</f>
        <v/>
      </c>
    </row>
    <row r="1708">
      <c r="A1708" s="21">
        <f>ItensPedido!A1708</f>
        <v/>
      </c>
      <c r="B1708" s="21">
        <f>ItensPedido!B1708</f>
        <v/>
      </c>
      <c r="C1708" s="21">
        <f>ItensPedido!C1708</f>
        <v/>
      </c>
      <c r="D1708" s="21">
        <f>ItensPedido!D1708</f>
        <v/>
      </c>
      <c r="E1708" s="22">
        <f>ItensPedido!E1708</f>
        <v/>
      </c>
      <c r="F1708" s="21">
        <f>IFERROR(INDEX(Pedidos!$B$2:$B$1801,MATCH(B1708,Pedidos!$A$2:$A$1801,0)),0)</f>
        <v/>
      </c>
      <c r="G1708" s="21">
        <f>IF(F1708=0,"",YEAR(F1708))</f>
        <v/>
      </c>
      <c r="H1708" s="21">
        <f>IF(F1708=0,"",MONTH(F1708))</f>
        <v/>
      </c>
      <c r="I1708" s="21">
        <f>IFERROR(INDEX(Pedidos!$E$2:$E$1801,MATCH(B1708,Pedidos!$A$2:$A$1801,0)),"")</f>
        <v/>
      </c>
      <c r="J1708" s="21">
        <f>IFERROR(INDEX(Pedidos!$C$2:$C$1801,MATCH(B1708,Pedidos!$A$2:$A$1801,0)),"")</f>
        <v/>
      </c>
      <c r="K1708" s="21">
        <f>IFERROR(INDEX(Pedidos!$D$2:$D$1801,MATCH(B1708,Pedidos!$A$2:$A$1801,0)),"")</f>
        <v/>
      </c>
      <c r="L1708" s="21">
        <f>IFERROR(INDEX(Pedidos!$F$2:$F$1801,MATCH(B1708,Pedidos!$A$2:$A$1801,0)),"")</f>
        <v/>
      </c>
      <c r="M1708" s="22">
        <f>IFERROR(INDEX(Pedidos!$G$2:$G$1801,MATCH(B1708,Pedidos!$A$2:$A$1801,0)),0)</f>
        <v/>
      </c>
      <c r="N1708" s="21">
        <f>IFERROR(INDEX(Produtos!$B$2:$B$71,MATCH(C1708,Produtos!$A$2:$A$71,0)),"")</f>
        <v/>
      </c>
      <c r="O1708" s="21">
        <f>IFERROR(INDEX(Produtos!$C$2:$C$71,MATCH(C1708,Produtos!$A$2:$A$71,0)),"")</f>
        <v/>
      </c>
      <c r="P1708" s="21">
        <f>IFERROR(INDEX(Produtos!$D$2:$D$71,MATCH(C1708,Produtos!$A$2:$A$71,0)),0)</f>
        <v/>
      </c>
      <c r="Q1708" s="21">
        <f>IFERROR(INDEX(Produtos!$E$2:$E$71,MATCH(C1708,Produtos!$A$2:$A$71,0)),0)</f>
        <v/>
      </c>
      <c r="R1708" s="23">
        <f>D1708*Q1708</f>
        <v/>
      </c>
      <c r="S1708" s="23">
        <f>R1708*E1708</f>
        <v/>
      </c>
      <c r="T1708" s="23">
        <f>(R1708-S1708)*M1708</f>
        <v/>
      </c>
      <c r="U1708" s="23">
        <f>R1708-S1708-T1708</f>
        <v/>
      </c>
      <c r="V1708" s="23">
        <f>D1708*P1708</f>
        <v/>
      </c>
      <c r="W1708" s="23">
        <f>U1708-V1708</f>
        <v/>
      </c>
      <c r="X1708" s="24">
        <f>IFERROR(W1708/U1708,0)</f>
        <v/>
      </c>
    </row>
    <row r="1709">
      <c r="A1709" s="25">
        <f>ItensPedido!A1709</f>
        <v/>
      </c>
      <c r="B1709" s="25">
        <f>ItensPedido!B1709</f>
        <v/>
      </c>
      <c r="C1709" s="25">
        <f>ItensPedido!C1709</f>
        <v/>
      </c>
      <c r="D1709" s="25">
        <f>ItensPedido!D1709</f>
        <v/>
      </c>
      <c r="E1709" s="26">
        <f>ItensPedido!E1709</f>
        <v/>
      </c>
      <c r="F1709" s="25">
        <f>IFERROR(INDEX(Pedidos!$B$2:$B$1801,MATCH(B1709,Pedidos!$A$2:$A$1801,0)),0)</f>
        <v/>
      </c>
      <c r="G1709" s="25">
        <f>IF(F1709=0,"",YEAR(F1709))</f>
        <v/>
      </c>
      <c r="H1709" s="25">
        <f>IF(F1709=0,"",MONTH(F1709))</f>
        <v/>
      </c>
      <c r="I1709" s="25">
        <f>IFERROR(INDEX(Pedidos!$E$2:$E$1801,MATCH(B1709,Pedidos!$A$2:$A$1801,0)),"")</f>
        <v/>
      </c>
      <c r="J1709" s="25">
        <f>IFERROR(INDEX(Pedidos!$C$2:$C$1801,MATCH(B1709,Pedidos!$A$2:$A$1801,0)),"")</f>
        <v/>
      </c>
      <c r="K1709" s="25">
        <f>IFERROR(INDEX(Pedidos!$D$2:$D$1801,MATCH(B1709,Pedidos!$A$2:$A$1801,0)),"")</f>
        <v/>
      </c>
      <c r="L1709" s="25">
        <f>IFERROR(INDEX(Pedidos!$F$2:$F$1801,MATCH(B1709,Pedidos!$A$2:$A$1801,0)),"")</f>
        <v/>
      </c>
      <c r="M1709" s="26">
        <f>IFERROR(INDEX(Pedidos!$G$2:$G$1801,MATCH(B1709,Pedidos!$A$2:$A$1801,0)),0)</f>
        <v/>
      </c>
      <c r="N1709" s="25">
        <f>IFERROR(INDEX(Produtos!$B$2:$B$71,MATCH(C1709,Produtos!$A$2:$A$71,0)),"")</f>
        <v/>
      </c>
      <c r="O1709" s="25">
        <f>IFERROR(INDEX(Produtos!$C$2:$C$71,MATCH(C1709,Produtos!$A$2:$A$71,0)),"")</f>
        <v/>
      </c>
      <c r="P1709" s="25">
        <f>IFERROR(INDEX(Produtos!$D$2:$D$71,MATCH(C1709,Produtos!$A$2:$A$71,0)),0)</f>
        <v/>
      </c>
      <c r="Q1709" s="25">
        <f>IFERROR(INDEX(Produtos!$E$2:$E$71,MATCH(C1709,Produtos!$A$2:$A$71,0)),0)</f>
        <v/>
      </c>
      <c r="R1709" s="27">
        <f>D1709*Q1709</f>
        <v/>
      </c>
      <c r="S1709" s="27">
        <f>R1709*E1709</f>
        <v/>
      </c>
      <c r="T1709" s="27">
        <f>(R1709-S1709)*M1709</f>
        <v/>
      </c>
      <c r="U1709" s="27">
        <f>R1709-S1709-T1709</f>
        <v/>
      </c>
      <c r="V1709" s="27">
        <f>D1709*P1709</f>
        <v/>
      </c>
      <c r="W1709" s="27">
        <f>U1709-V1709</f>
        <v/>
      </c>
      <c r="X1709" s="28">
        <f>IFERROR(W1709/U1709,0)</f>
        <v/>
      </c>
    </row>
    <row r="1710">
      <c r="A1710" s="21">
        <f>ItensPedido!A1710</f>
        <v/>
      </c>
      <c r="B1710" s="21">
        <f>ItensPedido!B1710</f>
        <v/>
      </c>
      <c r="C1710" s="21">
        <f>ItensPedido!C1710</f>
        <v/>
      </c>
      <c r="D1710" s="21">
        <f>ItensPedido!D1710</f>
        <v/>
      </c>
      <c r="E1710" s="22">
        <f>ItensPedido!E1710</f>
        <v/>
      </c>
      <c r="F1710" s="21">
        <f>IFERROR(INDEX(Pedidos!$B$2:$B$1801,MATCH(B1710,Pedidos!$A$2:$A$1801,0)),0)</f>
        <v/>
      </c>
      <c r="G1710" s="21">
        <f>IF(F1710=0,"",YEAR(F1710))</f>
        <v/>
      </c>
      <c r="H1710" s="21">
        <f>IF(F1710=0,"",MONTH(F1710))</f>
        <v/>
      </c>
      <c r="I1710" s="21">
        <f>IFERROR(INDEX(Pedidos!$E$2:$E$1801,MATCH(B1710,Pedidos!$A$2:$A$1801,0)),"")</f>
        <v/>
      </c>
      <c r="J1710" s="21">
        <f>IFERROR(INDEX(Pedidos!$C$2:$C$1801,MATCH(B1710,Pedidos!$A$2:$A$1801,0)),"")</f>
        <v/>
      </c>
      <c r="K1710" s="21">
        <f>IFERROR(INDEX(Pedidos!$D$2:$D$1801,MATCH(B1710,Pedidos!$A$2:$A$1801,0)),"")</f>
        <v/>
      </c>
      <c r="L1710" s="21">
        <f>IFERROR(INDEX(Pedidos!$F$2:$F$1801,MATCH(B1710,Pedidos!$A$2:$A$1801,0)),"")</f>
        <v/>
      </c>
      <c r="M1710" s="22">
        <f>IFERROR(INDEX(Pedidos!$G$2:$G$1801,MATCH(B1710,Pedidos!$A$2:$A$1801,0)),0)</f>
        <v/>
      </c>
      <c r="N1710" s="21">
        <f>IFERROR(INDEX(Produtos!$B$2:$B$71,MATCH(C1710,Produtos!$A$2:$A$71,0)),"")</f>
        <v/>
      </c>
      <c r="O1710" s="21">
        <f>IFERROR(INDEX(Produtos!$C$2:$C$71,MATCH(C1710,Produtos!$A$2:$A$71,0)),"")</f>
        <v/>
      </c>
      <c r="P1710" s="21">
        <f>IFERROR(INDEX(Produtos!$D$2:$D$71,MATCH(C1710,Produtos!$A$2:$A$71,0)),0)</f>
        <v/>
      </c>
      <c r="Q1710" s="21">
        <f>IFERROR(INDEX(Produtos!$E$2:$E$71,MATCH(C1710,Produtos!$A$2:$A$71,0)),0)</f>
        <v/>
      </c>
      <c r="R1710" s="23">
        <f>D1710*Q1710</f>
        <v/>
      </c>
      <c r="S1710" s="23">
        <f>R1710*E1710</f>
        <v/>
      </c>
      <c r="T1710" s="23">
        <f>(R1710-S1710)*M1710</f>
        <v/>
      </c>
      <c r="U1710" s="23">
        <f>R1710-S1710-T1710</f>
        <v/>
      </c>
      <c r="V1710" s="23">
        <f>D1710*P1710</f>
        <v/>
      </c>
      <c r="W1710" s="23">
        <f>U1710-V1710</f>
        <v/>
      </c>
      <c r="X1710" s="24">
        <f>IFERROR(W1710/U1710,0)</f>
        <v/>
      </c>
    </row>
    <row r="1711">
      <c r="A1711" s="25">
        <f>ItensPedido!A1711</f>
        <v/>
      </c>
      <c r="B1711" s="25">
        <f>ItensPedido!B1711</f>
        <v/>
      </c>
      <c r="C1711" s="25">
        <f>ItensPedido!C1711</f>
        <v/>
      </c>
      <c r="D1711" s="25">
        <f>ItensPedido!D1711</f>
        <v/>
      </c>
      <c r="E1711" s="26">
        <f>ItensPedido!E1711</f>
        <v/>
      </c>
      <c r="F1711" s="25">
        <f>IFERROR(INDEX(Pedidos!$B$2:$B$1801,MATCH(B1711,Pedidos!$A$2:$A$1801,0)),0)</f>
        <v/>
      </c>
      <c r="G1711" s="25">
        <f>IF(F1711=0,"",YEAR(F1711))</f>
        <v/>
      </c>
      <c r="H1711" s="25">
        <f>IF(F1711=0,"",MONTH(F1711))</f>
        <v/>
      </c>
      <c r="I1711" s="25">
        <f>IFERROR(INDEX(Pedidos!$E$2:$E$1801,MATCH(B1711,Pedidos!$A$2:$A$1801,0)),"")</f>
        <v/>
      </c>
      <c r="J1711" s="25">
        <f>IFERROR(INDEX(Pedidos!$C$2:$C$1801,MATCH(B1711,Pedidos!$A$2:$A$1801,0)),"")</f>
        <v/>
      </c>
      <c r="K1711" s="25">
        <f>IFERROR(INDEX(Pedidos!$D$2:$D$1801,MATCH(B1711,Pedidos!$A$2:$A$1801,0)),"")</f>
        <v/>
      </c>
      <c r="L1711" s="25">
        <f>IFERROR(INDEX(Pedidos!$F$2:$F$1801,MATCH(B1711,Pedidos!$A$2:$A$1801,0)),"")</f>
        <v/>
      </c>
      <c r="M1711" s="26">
        <f>IFERROR(INDEX(Pedidos!$G$2:$G$1801,MATCH(B1711,Pedidos!$A$2:$A$1801,0)),0)</f>
        <v/>
      </c>
      <c r="N1711" s="25">
        <f>IFERROR(INDEX(Produtos!$B$2:$B$71,MATCH(C1711,Produtos!$A$2:$A$71,0)),"")</f>
        <v/>
      </c>
      <c r="O1711" s="25">
        <f>IFERROR(INDEX(Produtos!$C$2:$C$71,MATCH(C1711,Produtos!$A$2:$A$71,0)),"")</f>
        <v/>
      </c>
      <c r="P1711" s="25">
        <f>IFERROR(INDEX(Produtos!$D$2:$D$71,MATCH(C1711,Produtos!$A$2:$A$71,0)),0)</f>
        <v/>
      </c>
      <c r="Q1711" s="25">
        <f>IFERROR(INDEX(Produtos!$E$2:$E$71,MATCH(C1711,Produtos!$A$2:$A$71,0)),0)</f>
        <v/>
      </c>
      <c r="R1711" s="27">
        <f>D1711*Q1711</f>
        <v/>
      </c>
      <c r="S1711" s="27">
        <f>R1711*E1711</f>
        <v/>
      </c>
      <c r="T1711" s="27">
        <f>(R1711-S1711)*M1711</f>
        <v/>
      </c>
      <c r="U1711" s="27">
        <f>R1711-S1711-T1711</f>
        <v/>
      </c>
      <c r="V1711" s="27">
        <f>D1711*P1711</f>
        <v/>
      </c>
      <c r="W1711" s="27">
        <f>U1711-V1711</f>
        <v/>
      </c>
      <c r="X1711" s="28">
        <f>IFERROR(W1711/U1711,0)</f>
        <v/>
      </c>
    </row>
    <row r="1712">
      <c r="A1712" s="21">
        <f>ItensPedido!A1712</f>
        <v/>
      </c>
      <c r="B1712" s="21">
        <f>ItensPedido!B1712</f>
        <v/>
      </c>
      <c r="C1712" s="21">
        <f>ItensPedido!C1712</f>
        <v/>
      </c>
      <c r="D1712" s="21">
        <f>ItensPedido!D1712</f>
        <v/>
      </c>
      <c r="E1712" s="22">
        <f>ItensPedido!E1712</f>
        <v/>
      </c>
      <c r="F1712" s="21">
        <f>IFERROR(INDEX(Pedidos!$B$2:$B$1801,MATCH(B1712,Pedidos!$A$2:$A$1801,0)),0)</f>
        <v/>
      </c>
      <c r="G1712" s="21">
        <f>IF(F1712=0,"",YEAR(F1712))</f>
        <v/>
      </c>
      <c r="H1712" s="21">
        <f>IF(F1712=0,"",MONTH(F1712))</f>
        <v/>
      </c>
      <c r="I1712" s="21">
        <f>IFERROR(INDEX(Pedidos!$E$2:$E$1801,MATCH(B1712,Pedidos!$A$2:$A$1801,0)),"")</f>
        <v/>
      </c>
      <c r="J1712" s="21">
        <f>IFERROR(INDEX(Pedidos!$C$2:$C$1801,MATCH(B1712,Pedidos!$A$2:$A$1801,0)),"")</f>
        <v/>
      </c>
      <c r="K1712" s="21">
        <f>IFERROR(INDEX(Pedidos!$D$2:$D$1801,MATCH(B1712,Pedidos!$A$2:$A$1801,0)),"")</f>
        <v/>
      </c>
      <c r="L1712" s="21">
        <f>IFERROR(INDEX(Pedidos!$F$2:$F$1801,MATCH(B1712,Pedidos!$A$2:$A$1801,0)),"")</f>
        <v/>
      </c>
      <c r="M1712" s="22">
        <f>IFERROR(INDEX(Pedidos!$G$2:$G$1801,MATCH(B1712,Pedidos!$A$2:$A$1801,0)),0)</f>
        <v/>
      </c>
      <c r="N1712" s="21">
        <f>IFERROR(INDEX(Produtos!$B$2:$B$71,MATCH(C1712,Produtos!$A$2:$A$71,0)),"")</f>
        <v/>
      </c>
      <c r="O1712" s="21">
        <f>IFERROR(INDEX(Produtos!$C$2:$C$71,MATCH(C1712,Produtos!$A$2:$A$71,0)),"")</f>
        <v/>
      </c>
      <c r="P1712" s="21">
        <f>IFERROR(INDEX(Produtos!$D$2:$D$71,MATCH(C1712,Produtos!$A$2:$A$71,0)),0)</f>
        <v/>
      </c>
      <c r="Q1712" s="21">
        <f>IFERROR(INDEX(Produtos!$E$2:$E$71,MATCH(C1712,Produtos!$A$2:$A$71,0)),0)</f>
        <v/>
      </c>
      <c r="R1712" s="23">
        <f>D1712*Q1712</f>
        <v/>
      </c>
      <c r="S1712" s="23">
        <f>R1712*E1712</f>
        <v/>
      </c>
      <c r="T1712" s="23">
        <f>(R1712-S1712)*M1712</f>
        <v/>
      </c>
      <c r="U1712" s="23">
        <f>R1712-S1712-T1712</f>
        <v/>
      </c>
      <c r="V1712" s="23">
        <f>D1712*P1712</f>
        <v/>
      </c>
      <c r="W1712" s="23">
        <f>U1712-V1712</f>
        <v/>
      </c>
      <c r="X1712" s="24">
        <f>IFERROR(W1712/U1712,0)</f>
        <v/>
      </c>
    </row>
    <row r="1713">
      <c r="A1713" s="25">
        <f>ItensPedido!A1713</f>
        <v/>
      </c>
      <c r="B1713" s="25">
        <f>ItensPedido!B1713</f>
        <v/>
      </c>
      <c r="C1713" s="25">
        <f>ItensPedido!C1713</f>
        <v/>
      </c>
      <c r="D1713" s="25">
        <f>ItensPedido!D1713</f>
        <v/>
      </c>
      <c r="E1713" s="26">
        <f>ItensPedido!E1713</f>
        <v/>
      </c>
      <c r="F1713" s="25">
        <f>IFERROR(INDEX(Pedidos!$B$2:$B$1801,MATCH(B1713,Pedidos!$A$2:$A$1801,0)),0)</f>
        <v/>
      </c>
      <c r="G1713" s="25">
        <f>IF(F1713=0,"",YEAR(F1713))</f>
        <v/>
      </c>
      <c r="H1713" s="25">
        <f>IF(F1713=0,"",MONTH(F1713))</f>
        <v/>
      </c>
      <c r="I1713" s="25">
        <f>IFERROR(INDEX(Pedidos!$E$2:$E$1801,MATCH(B1713,Pedidos!$A$2:$A$1801,0)),"")</f>
        <v/>
      </c>
      <c r="J1713" s="25">
        <f>IFERROR(INDEX(Pedidos!$C$2:$C$1801,MATCH(B1713,Pedidos!$A$2:$A$1801,0)),"")</f>
        <v/>
      </c>
      <c r="K1713" s="25">
        <f>IFERROR(INDEX(Pedidos!$D$2:$D$1801,MATCH(B1713,Pedidos!$A$2:$A$1801,0)),"")</f>
        <v/>
      </c>
      <c r="L1713" s="25">
        <f>IFERROR(INDEX(Pedidos!$F$2:$F$1801,MATCH(B1713,Pedidos!$A$2:$A$1801,0)),"")</f>
        <v/>
      </c>
      <c r="M1713" s="26">
        <f>IFERROR(INDEX(Pedidos!$G$2:$G$1801,MATCH(B1713,Pedidos!$A$2:$A$1801,0)),0)</f>
        <v/>
      </c>
      <c r="N1713" s="25">
        <f>IFERROR(INDEX(Produtos!$B$2:$B$71,MATCH(C1713,Produtos!$A$2:$A$71,0)),"")</f>
        <v/>
      </c>
      <c r="O1713" s="25">
        <f>IFERROR(INDEX(Produtos!$C$2:$C$71,MATCH(C1713,Produtos!$A$2:$A$71,0)),"")</f>
        <v/>
      </c>
      <c r="P1713" s="25">
        <f>IFERROR(INDEX(Produtos!$D$2:$D$71,MATCH(C1713,Produtos!$A$2:$A$71,0)),0)</f>
        <v/>
      </c>
      <c r="Q1713" s="25">
        <f>IFERROR(INDEX(Produtos!$E$2:$E$71,MATCH(C1713,Produtos!$A$2:$A$71,0)),0)</f>
        <v/>
      </c>
      <c r="R1713" s="27">
        <f>D1713*Q1713</f>
        <v/>
      </c>
      <c r="S1713" s="27">
        <f>R1713*E1713</f>
        <v/>
      </c>
      <c r="T1713" s="27">
        <f>(R1713-S1713)*M1713</f>
        <v/>
      </c>
      <c r="U1713" s="27">
        <f>R1713-S1713-T1713</f>
        <v/>
      </c>
      <c r="V1713" s="27">
        <f>D1713*P1713</f>
        <v/>
      </c>
      <c r="W1713" s="27">
        <f>U1713-V1713</f>
        <v/>
      </c>
      <c r="X1713" s="28">
        <f>IFERROR(W1713/U1713,0)</f>
        <v/>
      </c>
    </row>
    <row r="1714">
      <c r="A1714" s="21">
        <f>ItensPedido!A1714</f>
        <v/>
      </c>
      <c r="B1714" s="21">
        <f>ItensPedido!B1714</f>
        <v/>
      </c>
      <c r="C1714" s="21">
        <f>ItensPedido!C1714</f>
        <v/>
      </c>
      <c r="D1714" s="21">
        <f>ItensPedido!D1714</f>
        <v/>
      </c>
      <c r="E1714" s="22">
        <f>ItensPedido!E1714</f>
        <v/>
      </c>
      <c r="F1714" s="21">
        <f>IFERROR(INDEX(Pedidos!$B$2:$B$1801,MATCH(B1714,Pedidos!$A$2:$A$1801,0)),0)</f>
        <v/>
      </c>
      <c r="G1714" s="21">
        <f>IF(F1714=0,"",YEAR(F1714))</f>
        <v/>
      </c>
      <c r="H1714" s="21">
        <f>IF(F1714=0,"",MONTH(F1714))</f>
        <v/>
      </c>
      <c r="I1714" s="21">
        <f>IFERROR(INDEX(Pedidos!$E$2:$E$1801,MATCH(B1714,Pedidos!$A$2:$A$1801,0)),"")</f>
        <v/>
      </c>
      <c r="J1714" s="21">
        <f>IFERROR(INDEX(Pedidos!$C$2:$C$1801,MATCH(B1714,Pedidos!$A$2:$A$1801,0)),"")</f>
        <v/>
      </c>
      <c r="K1714" s="21">
        <f>IFERROR(INDEX(Pedidos!$D$2:$D$1801,MATCH(B1714,Pedidos!$A$2:$A$1801,0)),"")</f>
        <v/>
      </c>
      <c r="L1714" s="21">
        <f>IFERROR(INDEX(Pedidos!$F$2:$F$1801,MATCH(B1714,Pedidos!$A$2:$A$1801,0)),"")</f>
        <v/>
      </c>
      <c r="M1714" s="22">
        <f>IFERROR(INDEX(Pedidos!$G$2:$G$1801,MATCH(B1714,Pedidos!$A$2:$A$1801,0)),0)</f>
        <v/>
      </c>
      <c r="N1714" s="21">
        <f>IFERROR(INDEX(Produtos!$B$2:$B$71,MATCH(C1714,Produtos!$A$2:$A$71,0)),"")</f>
        <v/>
      </c>
      <c r="O1714" s="21">
        <f>IFERROR(INDEX(Produtos!$C$2:$C$71,MATCH(C1714,Produtos!$A$2:$A$71,0)),"")</f>
        <v/>
      </c>
      <c r="P1714" s="21">
        <f>IFERROR(INDEX(Produtos!$D$2:$D$71,MATCH(C1714,Produtos!$A$2:$A$71,0)),0)</f>
        <v/>
      </c>
      <c r="Q1714" s="21">
        <f>IFERROR(INDEX(Produtos!$E$2:$E$71,MATCH(C1714,Produtos!$A$2:$A$71,0)),0)</f>
        <v/>
      </c>
      <c r="R1714" s="23">
        <f>D1714*Q1714</f>
        <v/>
      </c>
      <c r="S1714" s="23">
        <f>R1714*E1714</f>
        <v/>
      </c>
      <c r="T1714" s="23">
        <f>(R1714-S1714)*M1714</f>
        <v/>
      </c>
      <c r="U1714" s="23">
        <f>R1714-S1714-T1714</f>
        <v/>
      </c>
      <c r="V1714" s="23">
        <f>D1714*P1714</f>
        <v/>
      </c>
      <c r="W1714" s="23">
        <f>U1714-V1714</f>
        <v/>
      </c>
      <c r="X1714" s="24">
        <f>IFERROR(W1714/U1714,0)</f>
        <v/>
      </c>
    </row>
    <row r="1715">
      <c r="A1715" s="25">
        <f>ItensPedido!A1715</f>
        <v/>
      </c>
      <c r="B1715" s="25">
        <f>ItensPedido!B1715</f>
        <v/>
      </c>
      <c r="C1715" s="25">
        <f>ItensPedido!C1715</f>
        <v/>
      </c>
      <c r="D1715" s="25">
        <f>ItensPedido!D1715</f>
        <v/>
      </c>
      <c r="E1715" s="26">
        <f>ItensPedido!E1715</f>
        <v/>
      </c>
      <c r="F1715" s="25">
        <f>IFERROR(INDEX(Pedidos!$B$2:$B$1801,MATCH(B1715,Pedidos!$A$2:$A$1801,0)),0)</f>
        <v/>
      </c>
      <c r="G1715" s="25">
        <f>IF(F1715=0,"",YEAR(F1715))</f>
        <v/>
      </c>
      <c r="H1715" s="25">
        <f>IF(F1715=0,"",MONTH(F1715))</f>
        <v/>
      </c>
      <c r="I1715" s="25">
        <f>IFERROR(INDEX(Pedidos!$E$2:$E$1801,MATCH(B1715,Pedidos!$A$2:$A$1801,0)),"")</f>
        <v/>
      </c>
      <c r="J1715" s="25">
        <f>IFERROR(INDEX(Pedidos!$C$2:$C$1801,MATCH(B1715,Pedidos!$A$2:$A$1801,0)),"")</f>
        <v/>
      </c>
      <c r="K1715" s="25">
        <f>IFERROR(INDEX(Pedidos!$D$2:$D$1801,MATCH(B1715,Pedidos!$A$2:$A$1801,0)),"")</f>
        <v/>
      </c>
      <c r="L1715" s="25">
        <f>IFERROR(INDEX(Pedidos!$F$2:$F$1801,MATCH(B1715,Pedidos!$A$2:$A$1801,0)),"")</f>
        <v/>
      </c>
      <c r="M1715" s="26">
        <f>IFERROR(INDEX(Pedidos!$G$2:$G$1801,MATCH(B1715,Pedidos!$A$2:$A$1801,0)),0)</f>
        <v/>
      </c>
      <c r="N1715" s="25">
        <f>IFERROR(INDEX(Produtos!$B$2:$B$71,MATCH(C1715,Produtos!$A$2:$A$71,0)),"")</f>
        <v/>
      </c>
      <c r="O1715" s="25">
        <f>IFERROR(INDEX(Produtos!$C$2:$C$71,MATCH(C1715,Produtos!$A$2:$A$71,0)),"")</f>
        <v/>
      </c>
      <c r="P1715" s="25">
        <f>IFERROR(INDEX(Produtos!$D$2:$D$71,MATCH(C1715,Produtos!$A$2:$A$71,0)),0)</f>
        <v/>
      </c>
      <c r="Q1715" s="25">
        <f>IFERROR(INDEX(Produtos!$E$2:$E$71,MATCH(C1715,Produtos!$A$2:$A$71,0)),0)</f>
        <v/>
      </c>
      <c r="R1715" s="27">
        <f>D1715*Q1715</f>
        <v/>
      </c>
      <c r="S1715" s="27">
        <f>R1715*E1715</f>
        <v/>
      </c>
      <c r="T1715" s="27">
        <f>(R1715-S1715)*M1715</f>
        <v/>
      </c>
      <c r="U1715" s="27">
        <f>R1715-S1715-T1715</f>
        <v/>
      </c>
      <c r="V1715" s="27">
        <f>D1715*P1715</f>
        <v/>
      </c>
      <c r="W1715" s="27">
        <f>U1715-V1715</f>
        <v/>
      </c>
      <c r="X1715" s="28">
        <f>IFERROR(W1715/U1715,0)</f>
        <v/>
      </c>
    </row>
    <row r="1716">
      <c r="A1716" s="21">
        <f>ItensPedido!A1716</f>
        <v/>
      </c>
      <c r="B1716" s="21">
        <f>ItensPedido!B1716</f>
        <v/>
      </c>
      <c r="C1716" s="21">
        <f>ItensPedido!C1716</f>
        <v/>
      </c>
      <c r="D1716" s="21">
        <f>ItensPedido!D1716</f>
        <v/>
      </c>
      <c r="E1716" s="22">
        <f>ItensPedido!E1716</f>
        <v/>
      </c>
      <c r="F1716" s="21">
        <f>IFERROR(INDEX(Pedidos!$B$2:$B$1801,MATCH(B1716,Pedidos!$A$2:$A$1801,0)),0)</f>
        <v/>
      </c>
      <c r="G1716" s="21">
        <f>IF(F1716=0,"",YEAR(F1716))</f>
        <v/>
      </c>
      <c r="H1716" s="21">
        <f>IF(F1716=0,"",MONTH(F1716))</f>
        <v/>
      </c>
      <c r="I1716" s="21">
        <f>IFERROR(INDEX(Pedidos!$E$2:$E$1801,MATCH(B1716,Pedidos!$A$2:$A$1801,0)),"")</f>
        <v/>
      </c>
      <c r="J1716" s="21">
        <f>IFERROR(INDEX(Pedidos!$C$2:$C$1801,MATCH(B1716,Pedidos!$A$2:$A$1801,0)),"")</f>
        <v/>
      </c>
      <c r="K1716" s="21">
        <f>IFERROR(INDEX(Pedidos!$D$2:$D$1801,MATCH(B1716,Pedidos!$A$2:$A$1801,0)),"")</f>
        <v/>
      </c>
      <c r="L1716" s="21">
        <f>IFERROR(INDEX(Pedidos!$F$2:$F$1801,MATCH(B1716,Pedidos!$A$2:$A$1801,0)),"")</f>
        <v/>
      </c>
      <c r="M1716" s="22">
        <f>IFERROR(INDEX(Pedidos!$G$2:$G$1801,MATCH(B1716,Pedidos!$A$2:$A$1801,0)),0)</f>
        <v/>
      </c>
      <c r="N1716" s="21">
        <f>IFERROR(INDEX(Produtos!$B$2:$B$71,MATCH(C1716,Produtos!$A$2:$A$71,0)),"")</f>
        <v/>
      </c>
      <c r="O1716" s="21">
        <f>IFERROR(INDEX(Produtos!$C$2:$C$71,MATCH(C1716,Produtos!$A$2:$A$71,0)),"")</f>
        <v/>
      </c>
      <c r="P1716" s="21">
        <f>IFERROR(INDEX(Produtos!$D$2:$D$71,MATCH(C1716,Produtos!$A$2:$A$71,0)),0)</f>
        <v/>
      </c>
      <c r="Q1716" s="21">
        <f>IFERROR(INDEX(Produtos!$E$2:$E$71,MATCH(C1716,Produtos!$A$2:$A$71,0)),0)</f>
        <v/>
      </c>
      <c r="R1716" s="23">
        <f>D1716*Q1716</f>
        <v/>
      </c>
      <c r="S1716" s="23">
        <f>R1716*E1716</f>
        <v/>
      </c>
      <c r="T1716" s="23">
        <f>(R1716-S1716)*M1716</f>
        <v/>
      </c>
      <c r="U1716" s="23">
        <f>R1716-S1716-T1716</f>
        <v/>
      </c>
      <c r="V1716" s="23">
        <f>D1716*P1716</f>
        <v/>
      </c>
      <c r="W1716" s="23">
        <f>U1716-V1716</f>
        <v/>
      </c>
      <c r="X1716" s="24">
        <f>IFERROR(W1716/U1716,0)</f>
        <v/>
      </c>
    </row>
    <row r="1717">
      <c r="A1717" s="25">
        <f>ItensPedido!A1717</f>
        <v/>
      </c>
      <c r="B1717" s="25">
        <f>ItensPedido!B1717</f>
        <v/>
      </c>
      <c r="C1717" s="25">
        <f>ItensPedido!C1717</f>
        <v/>
      </c>
      <c r="D1717" s="25">
        <f>ItensPedido!D1717</f>
        <v/>
      </c>
      <c r="E1717" s="26">
        <f>ItensPedido!E1717</f>
        <v/>
      </c>
      <c r="F1717" s="25">
        <f>IFERROR(INDEX(Pedidos!$B$2:$B$1801,MATCH(B1717,Pedidos!$A$2:$A$1801,0)),0)</f>
        <v/>
      </c>
      <c r="G1717" s="25">
        <f>IF(F1717=0,"",YEAR(F1717))</f>
        <v/>
      </c>
      <c r="H1717" s="25">
        <f>IF(F1717=0,"",MONTH(F1717))</f>
        <v/>
      </c>
      <c r="I1717" s="25">
        <f>IFERROR(INDEX(Pedidos!$E$2:$E$1801,MATCH(B1717,Pedidos!$A$2:$A$1801,0)),"")</f>
        <v/>
      </c>
      <c r="J1717" s="25">
        <f>IFERROR(INDEX(Pedidos!$C$2:$C$1801,MATCH(B1717,Pedidos!$A$2:$A$1801,0)),"")</f>
        <v/>
      </c>
      <c r="K1717" s="25">
        <f>IFERROR(INDEX(Pedidos!$D$2:$D$1801,MATCH(B1717,Pedidos!$A$2:$A$1801,0)),"")</f>
        <v/>
      </c>
      <c r="L1717" s="25">
        <f>IFERROR(INDEX(Pedidos!$F$2:$F$1801,MATCH(B1717,Pedidos!$A$2:$A$1801,0)),"")</f>
        <v/>
      </c>
      <c r="M1717" s="26">
        <f>IFERROR(INDEX(Pedidos!$G$2:$G$1801,MATCH(B1717,Pedidos!$A$2:$A$1801,0)),0)</f>
        <v/>
      </c>
      <c r="N1717" s="25">
        <f>IFERROR(INDEX(Produtos!$B$2:$B$71,MATCH(C1717,Produtos!$A$2:$A$71,0)),"")</f>
        <v/>
      </c>
      <c r="O1717" s="25">
        <f>IFERROR(INDEX(Produtos!$C$2:$C$71,MATCH(C1717,Produtos!$A$2:$A$71,0)),"")</f>
        <v/>
      </c>
      <c r="P1717" s="25">
        <f>IFERROR(INDEX(Produtos!$D$2:$D$71,MATCH(C1717,Produtos!$A$2:$A$71,0)),0)</f>
        <v/>
      </c>
      <c r="Q1717" s="25">
        <f>IFERROR(INDEX(Produtos!$E$2:$E$71,MATCH(C1717,Produtos!$A$2:$A$71,0)),0)</f>
        <v/>
      </c>
      <c r="R1717" s="27">
        <f>D1717*Q1717</f>
        <v/>
      </c>
      <c r="S1717" s="27">
        <f>R1717*E1717</f>
        <v/>
      </c>
      <c r="T1717" s="27">
        <f>(R1717-S1717)*M1717</f>
        <v/>
      </c>
      <c r="U1717" s="27">
        <f>R1717-S1717-T1717</f>
        <v/>
      </c>
      <c r="V1717" s="27">
        <f>D1717*P1717</f>
        <v/>
      </c>
      <c r="W1717" s="27">
        <f>U1717-V1717</f>
        <v/>
      </c>
      <c r="X1717" s="28">
        <f>IFERROR(W1717/U1717,0)</f>
        <v/>
      </c>
    </row>
    <row r="1718">
      <c r="A1718" s="21">
        <f>ItensPedido!A1718</f>
        <v/>
      </c>
      <c r="B1718" s="21">
        <f>ItensPedido!B1718</f>
        <v/>
      </c>
      <c r="C1718" s="21">
        <f>ItensPedido!C1718</f>
        <v/>
      </c>
      <c r="D1718" s="21">
        <f>ItensPedido!D1718</f>
        <v/>
      </c>
      <c r="E1718" s="22">
        <f>ItensPedido!E1718</f>
        <v/>
      </c>
      <c r="F1718" s="21">
        <f>IFERROR(INDEX(Pedidos!$B$2:$B$1801,MATCH(B1718,Pedidos!$A$2:$A$1801,0)),0)</f>
        <v/>
      </c>
      <c r="G1718" s="21">
        <f>IF(F1718=0,"",YEAR(F1718))</f>
        <v/>
      </c>
      <c r="H1718" s="21">
        <f>IF(F1718=0,"",MONTH(F1718))</f>
        <v/>
      </c>
      <c r="I1718" s="21">
        <f>IFERROR(INDEX(Pedidos!$E$2:$E$1801,MATCH(B1718,Pedidos!$A$2:$A$1801,0)),"")</f>
        <v/>
      </c>
      <c r="J1718" s="21">
        <f>IFERROR(INDEX(Pedidos!$C$2:$C$1801,MATCH(B1718,Pedidos!$A$2:$A$1801,0)),"")</f>
        <v/>
      </c>
      <c r="K1718" s="21">
        <f>IFERROR(INDEX(Pedidos!$D$2:$D$1801,MATCH(B1718,Pedidos!$A$2:$A$1801,0)),"")</f>
        <v/>
      </c>
      <c r="L1718" s="21">
        <f>IFERROR(INDEX(Pedidos!$F$2:$F$1801,MATCH(B1718,Pedidos!$A$2:$A$1801,0)),"")</f>
        <v/>
      </c>
      <c r="M1718" s="22">
        <f>IFERROR(INDEX(Pedidos!$G$2:$G$1801,MATCH(B1718,Pedidos!$A$2:$A$1801,0)),0)</f>
        <v/>
      </c>
      <c r="N1718" s="21">
        <f>IFERROR(INDEX(Produtos!$B$2:$B$71,MATCH(C1718,Produtos!$A$2:$A$71,0)),"")</f>
        <v/>
      </c>
      <c r="O1718" s="21">
        <f>IFERROR(INDEX(Produtos!$C$2:$C$71,MATCH(C1718,Produtos!$A$2:$A$71,0)),"")</f>
        <v/>
      </c>
      <c r="P1718" s="21">
        <f>IFERROR(INDEX(Produtos!$D$2:$D$71,MATCH(C1718,Produtos!$A$2:$A$71,0)),0)</f>
        <v/>
      </c>
      <c r="Q1718" s="21">
        <f>IFERROR(INDEX(Produtos!$E$2:$E$71,MATCH(C1718,Produtos!$A$2:$A$71,0)),0)</f>
        <v/>
      </c>
      <c r="R1718" s="23">
        <f>D1718*Q1718</f>
        <v/>
      </c>
      <c r="S1718" s="23">
        <f>R1718*E1718</f>
        <v/>
      </c>
      <c r="T1718" s="23">
        <f>(R1718-S1718)*M1718</f>
        <v/>
      </c>
      <c r="U1718" s="23">
        <f>R1718-S1718-T1718</f>
        <v/>
      </c>
      <c r="V1718" s="23">
        <f>D1718*P1718</f>
        <v/>
      </c>
      <c r="W1718" s="23">
        <f>U1718-V1718</f>
        <v/>
      </c>
      <c r="X1718" s="24">
        <f>IFERROR(W1718/U1718,0)</f>
        <v/>
      </c>
    </row>
    <row r="1719">
      <c r="A1719" s="25">
        <f>ItensPedido!A1719</f>
        <v/>
      </c>
      <c r="B1719" s="25">
        <f>ItensPedido!B1719</f>
        <v/>
      </c>
      <c r="C1719" s="25">
        <f>ItensPedido!C1719</f>
        <v/>
      </c>
      <c r="D1719" s="25">
        <f>ItensPedido!D1719</f>
        <v/>
      </c>
      <c r="E1719" s="26">
        <f>ItensPedido!E1719</f>
        <v/>
      </c>
      <c r="F1719" s="25">
        <f>IFERROR(INDEX(Pedidos!$B$2:$B$1801,MATCH(B1719,Pedidos!$A$2:$A$1801,0)),0)</f>
        <v/>
      </c>
      <c r="G1719" s="25">
        <f>IF(F1719=0,"",YEAR(F1719))</f>
        <v/>
      </c>
      <c r="H1719" s="25">
        <f>IF(F1719=0,"",MONTH(F1719))</f>
        <v/>
      </c>
      <c r="I1719" s="25">
        <f>IFERROR(INDEX(Pedidos!$E$2:$E$1801,MATCH(B1719,Pedidos!$A$2:$A$1801,0)),"")</f>
        <v/>
      </c>
      <c r="J1719" s="25">
        <f>IFERROR(INDEX(Pedidos!$C$2:$C$1801,MATCH(B1719,Pedidos!$A$2:$A$1801,0)),"")</f>
        <v/>
      </c>
      <c r="K1719" s="25">
        <f>IFERROR(INDEX(Pedidos!$D$2:$D$1801,MATCH(B1719,Pedidos!$A$2:$A$1801,0)),"")</f>
        <v/>
      </c>
      <c r="L1719" s="25">
        <f>IFERROR(INDEX(Pedidos!$F$2:$F$1801,MATCH(B1719,Pedidos!$A$2:$A$1801,0)),"")</f>
        <v/>
      </c>
      <c r="M1719" s="26">
        <f>IFERROR(INDEX(Pedidos!$G$2:$G$1801,MATCH(B1719,Pedidos!$A$2:$A$1801,0)),0)</f>
        <v/>
      </c>
      <c r="N1719" s="25">
        <f>IFERROR(INDEX(Produtos!$B$2:$B$71,MATCH(C1719,Produtos!$A$2:$A$71,0)),"")</f>
        <v/>
      </c>
      <c r="O1719" s="25">
        <f>IFERROR(INDEX(Produtos!$C$2:$C$71,MATCH(C1719,Produtos!$A$2:$A$71,0)),"")</f>
        <v/>
      </c>
      <c r="P1719" s="25">
        <f>IFERROR(INDEX(Produtos!$D$2:$D$71,MATCH(C1719,Produtos!$A$2:$A$71,0)),0)</f>
        <v/>
      </c>
      <c r="Q1719" s="25">
        <f>IFERROR(INDEX(Produtos!$E$2:$E$71,MATCH(C1719,Produtos!$A$2:$A$71,0)),0)</f>
        <v/>
      </c>
      <c r="R1719" s="27">
        <f>D1719*Q1719</f>
        <v/>
      </c>
      <c r="S1719" s="27">
        <f>R1719*E1719</f>
        <v/>
      </c>
      <c r="T1719" s="27">
        <f>(R1719-S1719)*M1719</f>
        <v/>
      </c>
      <c r="U1719" s="27">
        <f>R1719-S1719-T1719</f>
        <v/>
      </c>
      <c r="V1719" s="27">
        <f>D1719*P1719</f>
        <v/>
      </c>
      <c r="W1719" s="27">
        <f>U1719-V1719</f>
        <v/>
      </c>
      <c r="X1719" s="28">
        <f>IFERROR(W1719/U1719,0)</f>
        <v/>
      </c>
    </row>
    <row r="1720">
      <c r="A1720" s="21">
        <f>ItensPedido!A1720</f>
        <v/>
      </c>
      <c r="B1720" s="21">
        <f>ItensPedido!B1720</f>
        <v/>
      </c>
      <c r="C1720" s="21">
        <f>ItensPedido!C1720</f>
        <v/>
      </c>
      <c r="D1720" s="21">
        <f>ItensPedido!D1720</f>
        <v/>
      </c>
      <c r="E1720" s="22">
        <f>ItensPedido!E1720</f>
        <v/>
      </c>
      <c r="F1720" s="21">
        <f>IFERROR(INDEX(Pedidos!$B$2:$B$1801,MATCH(B1720,Pedidos!$A$2:$A$1801,0)),0)</f>
        <v/>
      </c>
      <c r="G1720" s="21">
        <f>IF(F1720=0,"",YEAR(F1720))</f>
        <v/>
      </c>
      <c r="H1720" s="21">
        <f>IF(F1720=0,"",MONTH(F1720))</f>
        <v/>
      </c>
      <c r="I1720" s="21">
        <f>IFERROR(INDEX(Pedidos!$E$2:$E$1801,MATCH(B1720,Pedidos!$A$2:$A$1801,0)),"")</f>
        <v/>
      </c>
      <c r="J1720" s="21">
        <f>IFERROR(INDEX(Pedidos!$C$2:$C$1801,MATCH(B1720,Pedidos!$A$2:$A$1801,0)),"")</f>
        <v/>
      </c>
      <c r="K1720" s="21">
        <f>IFERROR(INDEX(Pedidos!$D$2:$D$1801,MATCH(B1720,Pedidos!$A$2:$A$1801,0)),"")</f>
        <v/>
      </c>
      <c r="L1720" s="21">
        <f>IFERROR(INDEX(Pedidos!$F$2:$F$1801,MATCH(B1720,Pedidos!$A$2:$A$1801,0)),"")</f>
        <v/>
      </c>
      <c r="M1720" s="22">
        <f>IFERROR(INDEX(Pedidos!$G$2:$G$1801,MATCH(B1720,Pedidos!$A$2:$A$1801,0)),0)</f>
        <v/>
      </c>
      <c r="N1720" s="21">
        <f>IFERROR(INDEX(Produtos!$B$2:$B$71,MATCH(C1720,Produtos!$A$2:$A$71,0)),"")</f>
        <v/>
      </c>
      <c r="O1720" s="21">
        <f>IFERROR(INDEX(Produtos!$C$2:$C$71,MATCH(C1720,Produtos!$A$2:$A$71,0)),"")</f>
        <v/>
      </c>
      <c r="P1720" s="21">
        <f>IFERROR(INDEX(Produtos!$D$2:$D$71,MATCH(C1720,Produtos!$A$2:$A$71,0)),0)</f>
        <v/>
      </c>
      <c r="Q1720" s="21">
        <f>IFERROR(INDEX(Produtos!$E$2:$E$71,MATCH(C1720,Produtos!$A$2:$A$71,0)),0)</f>
        <v/>
      </c>
      <c r="R1720" s="23">
        <f>D1720*Q1720</f>
        <v/>
      </c>
      <c r="S1720" s="23">
        <f>R1720*E1720</f>
        <v/>
      </c>
      <c r="T1720" s="23">
        <f>(R1720-S1720)*M1720</f>
        <v/>
      </c>
      <c r="U1720" s="23">
        <f>R1720-S1720-T1720</f>
        <v/>
      </c>
      <c r="V1720" s="23">
        <f>D1720*P1720</f>
        <v/>
      </c>
      <c r="W1720" s="23">
        <f>U1720-V1720</f>
        <v/>
      </c>
      <c r="X1720" s="24">
        <f>IFERROR(W1720/U1720,0)</f>
        <v/>
      </c>
    </row>
    <row r="1721">
      <c r="A1721" s="25">
        <f>ItensPedido!A1721</f>
        <v/>
      </c>
      <c r="B1721" s="25">
        <f>ItensPedido!B1721</f>
        <v/>
      </c>
      <c r="C1721" s="25">
        <f>ItensPedido!C1721</f>
        <v/>
      </c>
      <c r="D1721" s="25">
        <f>ItensPedido!D1721</f>
        <v/>
      </c>
      <c r="E1721" s="26">
        <f>ItensPedido!E1721</f>
        <v/>
      </c>
      <c r="F1721" s="25">
        <f>IFERROR(INDEX(Pedidos!$B$2:$B$1801,MATCH(B1721,Pedidos!$A$2:$A$1801,0)),0)</f>
        <v/>
      </c>
      <c r="G1721" s="25">
        <f>IF(F1721=0,"",YEAR(F1721))</f>
        <v/>
      </c>
      <c r="H1721" s="25">
        <f>IF(F1721=0,"",MONTH(F1721))</f>
        <v/>
      </c>
      <c r="I1721" s="25">
        <f>IFERROR(INDEX(Pedidos!$E$2:$E$1801,MATCH(B1721,Pedidos!$A$2:$A$1801,0)),"")</f>
        <v/>
      </c>
      <c r="J1721" s="25">
        <f>IFERROR(INDEX(Pedidos!$C$2:$C$1801,MATCH(B1721,Pedidos!$A$2:$A$1801,0)),"")</f>
        <v/>
      </c>
      <c r="K1721" s="25">
        <f>IFERROR(INDEX(Pedidos!$D$2:$D$1801,MATCH(B1721,Pedidos!$A$2:$A$1801,0)),"")</f>
        <v/>
      </c>
      <c r="L1721" s="25">
        <f>IFERROR(INDEX(Pedidos!$F$2:$F$1801,MATCH(B1721,Pedidos!$A$2:$A$1801,0)),"")</f>
        <v/>
      </c>
      <c r="M1721" s="26">
        <f>IFERROR(INDEX(Pedidos!$G$2:$G$1801,MATCH(B1721,Pedidos!$A$2:$A$1801,0)),0)</f>
        <v/>
      </c>
      <c r="N1721" s="25">
        <f>IFERROR(INDEX(Produtos!$B$2:$B$71,MATCH(C1721,Produtos!$A$2:$A$71,0)),"")</f>
        <v/>
      </c>
      <c r="O1721" s="25">
        <f>IFERROR(INDEX(Produtos!$C$2:$C$71,MATCH(C1721,Produtos!$A$2:$A$71,0)),"")</f>
        <v/>
      </c>
      <c r="P1721" s="25">
        <f>IFERROR(INDEX(Produtos!$D$2:$D$71,MATCH(C1721,Produtos!$A$2:$A$71,0)),0)</f>
        <v/>
      </c>
      <c r="Q1721" s="25">
        <f>IFERROR(INDEX(Produtos!$E$2:$E$71,MATCH(C1721,Produtos!$A$2:$A$71,0)),0)</f>
        <v/>
      </c>
      <c r="R1721" s="27">
        <f>D1721*Q1721</f>
        <v/>
      </c>
      <c r="S1721" s="27">
        <f>R1721*E1721</f>
        <v/>
      </c>
      <c r="T1721" s="27">
        <f>(R1721-S1721)*M1721</f>
        <v/>
      </c>
      <c r="U1721" s="27">
        <f>R1721-S1721-T1721</f>
        <v/>
      </c>
      <c r="V1721" s="27">
        <f>D1721*P1721</f>
        <v/>
      </c>
      <c r="W1721" s="27">
        <f>U1721-V1721</f>
        <v/>
      </c>
      <c r="X1721" s="28">
        <f>IFERROR(W1721/U1721,0)</f>
        <v/>
      </c>
    </row>
    <row r="1722">
      <c r="A1722" s="21">
        <f>ItensPedido!A1722</f>
        <v/>
      </c>
      <c r="B1722" s="21">
        <f>ItensPedido!B1722</f>
        <v/>
      </c>
      <c r="C1722" s="21">
        <f>ItensPedido!C1722</f>
        <v/>
      </c>
      <c r="D1722" s="21">
        <f>ItensPedido!D1722</f>
        <v/>
      </c>
      <c r="E1722" s="22">
        <f>ItensPedido!E1722</f>
        <v/>
      </c>
      <c r="F1722" s="21">
        <f>IFERROR(INDEX(Pedidos!$B$2:$B$1801,MATCH(B1722,Pedidos!$A$2:$A$1801,0)),0)</f>
        <v/>
      </c>
      <c r="G1722" s="21">
        <f>IF(F1722=0,"",YEAR(F1722))</f>
        <v/>
      </c>
      <c r="H1722" s="21">
        <f>IF(F1722=0,"",MONTH(F1722))</f>
        <v/>
      </c>
      <c r="I1722" s="21">
        <f>IFERROR(INDEX(Pedidos!$E$2:$E$1801,MATCH(B1722,Pedidos!$A$2:$A$1801,0)),"")</f>
        <v/>
      </c>
      <c r="J1722" s="21">
        <f>IFERROR(INDEX(Pedidos!$C$2:$C$1801,MATCH(B1722,Pedidos!$A$2:$A$1801,0)),"")</f>
        <v/>
      </c>
      <c r="K1722" s="21">
        <f>IFERROR(INDEX(Pedidos!$D$2:$D$1801,MATCH(B1722,Pedidos!$A$2:$A$1801,0)),"")</f>
        <v/>
      </c>
      <c r="L1722" s="21">
        <f>IFERROR(INDEX(Pedidos!$F$2:$F$1801,MATCH(B1722,Pedidos!$A$2:$A$1801,0)),"")</f>
        <v/>
      </c>
      <c r="M1722" s="22">
        <f>IFERROR(INDEX(Pedidos!$G$2:$G$1801,MATCH(B1722,Pedidos!$A$2:$A$1801,0)),0)</f>
        <v/>
      </c>
      <c r="N1722" s="21">
        <f>IFERROR(INDEX(Produtos!$B$2:$B$71,MATCH(C1722,Produtos!$A$2:$A$71,0)),"")</f>
        <v/>
      </c>
      <c r="O1722" s="21">
        <f>IFERROR(INDEX(Produtos!$C$2:$C$71,MATCH(C1722,Produtos!$A$2:$A$71,0)),"")</f>
        <v/>
      </c>
      <c r="P1722" s="21">
        <f>IFERROR(INDEX(Produtos!$D$2:$D$71,MATCH(C1722,Produtos!$A$2:$A$71,0)),0)</f>
        <v/>
      </c>
      <c r="Q1722" s="21">
        <f>IFERROR(INDEX(Produtos!$E$2:$E$71,MATCH(C1722,Produtos!$A$2:$A$71,0)),0)</f>
        <v/>
      </c>
      <c r="R1722" s="23">
        <f>D1722*Q1722</f>
        <v/>
      </c>
      <c r="S1722" s="23">
        <f>R1722*E1722</f>
        <v/>
      </c>
      <c r="T1722" s="23">
        <f>(R1722-S1722)*M1722</f>
        <v/>
      </c>
      <c r="U1722" s="23">
        <f>R1722-S1722-T1722</f>
        <v/>
      </c>
      <c r="V1722" s="23">
        <f>D1722*P1722</f>
        <v/>
      </c>
      <c r="W1722" s="23">
        <f>U1722-V1722</f>
        <v/>
      </c>
      <c r="X1722" s="24">
        <f>IFERROR(W1722/U1722,0)</f>
        <v/>
      </c>
    </row>
    <row r="1723">
      <c r="A1723" s="25">
        <f>ItensPedido!A1723</f>
        <v/>
      </c>
      <c r="B1723" s="25">
        <f>ItensPedido!B1723</f>
        <v/>
      </c>
      <c r="C1723" s="25">
        <f>ItensPedido!C1723</f>
        <v/>
      </c>
      <c r="D1723" s="25">
        <f>ItensPedido!D1723</f>
        <v/>
      </c>
      <c r="E1723" s="26">
        <f>ItensPedido!E1723</f>
        <v/>
      </c>
      <c r="F1723" s="25">
        <f>IFERROR(INDEX(Pedidos!$B$2:$B$1801,MATCH(B1723,Pedidos!$A$2:$A$1801,0)),0)</f>
        <v/>
      </c>
      <c r="G1723" s="25">
        <f>IF(F1723=0,"",YEAR(F1723))</f>
        <v/>
      </c>
      <c r="H1723" s="25">
        <f>IF(F1723=0,"",MONTH(F1723))</f>
        <v/>
      </c>
      <c r="I1723" s="25">
        <f>IFERROR(INDEX(Pedidos!$E$2:$E$1801,MATCH(B1723,Pedidos!$A$2:$A$1801,0)),"")</f>
        <v/>
      </c>
      <c r="J1723" s="25">
        <f>IFERROR(INDEX(Pedidos!$C$2:$C$1801,MATCH(B1723,Pedidos!$A$2:$A$1801,0)),"")</f>
        <v/>
      </c>
      <c r="K1723" s="25">
        <f>IFERROR(INDEX(Pedidos!$D$2:$D$1801,MATCH(B1723,Pedidos!$A$2:$A$1801,0)),"")</f>
        <v/>
      </c>
      <c r="L1723" s="25">
        <f>IFERROR(INDEX(Pedidos!$F$2:$F$1801,MATCH(B1723,Pedidos!$A$2:$A$1801,0)),"")</f>
        <v/>
      </c>
      <c r="M1723" s="26">
        <f>IFERROR(INDEX(Pedidos!$G$2:$G$1801,MATCH(B1723,Pedidos!$A$2:$A$1801,0)),0)</f>
        <v/>
      </c>
      <c r="N1723" s="25">
        <f>IFERROR(INDEX(Produtos!$B$2:$B$71,MATCH(C1723,Produtos!$A$2:$A$71,0)),"")</f>
        <v/>
      </c>
      <c r="O1723" s="25">
        <f>IFERROR(INDEX(Produtos!$C$2:$C$71,MATCH(C1723,Produtos!$A$2:$A$71,0)),"")</f>
        <v/>
      </c>
      <c r="P1723" s="25">
        <f>IFERROR(INDEX(Produtos!$D$2:$D$71,MATCH(C1723,Produtos!$A$2:$A$71,0)),0)</f>
        <v/>
      </c>
      <c r="Q1723" s="25">
        <f>IFERROR(INDEX(Produtos!$E$2:$E$71,MATCH(C1723,Produtos!$A$2:$A$71,0)),0)</f>
        <v/>
      </c>
      <c r="R1723" s="27">
        <f>D1723*Q1723</f>
        <v/>
      </c>
      <c r="S1723" s="27">
        <f>R1723*E1723</f>
        <v/>
      </c>
      <c r="T1723" s="27">
        <f>(R1723-S1723)*M1723</f>
        <v/>
      </c>
      <c r="U1723" s="27">
        <f>R1723-S1723-T1723</f>
        <v/>
      </c>
      <c r="V1723" s="27">
        <f>D1723*P1723</f>
        <v/>
      </c>
      <c r="W1723" s="27">
        <f>U1723-V1723</f>
        <v/>
      </c>
      <c r="X1723" s="28">
        <f>IFERROR(W1723/U1723,0)</f>
        <v/>
      </c>
    </row>
    <row r="1724">
      <c r="A1724" s="21">
        <f>ItensPedido!A1724</f>
        <v/>
      </c>
      <c r="B1724" s="21">
        <f>ItensPedido!B1724</f>
        <v/>
      </c>
      <c r="C1724" s="21">
        <f>ItensPedido!C1724</f>
        <v/>
      </c>
      <c r="D1724" s="21">
        <f>ItensPedido!D1724</f>
        <v/>
      </c>
      <c r="E1724" s="22">
        <f>ItensPedido!E1724</f>
        <v/>
      </c>
      <c r="F1724" s="21">
        <f>IFERROR(INDEX(Pedidos!$B$2:$B$1801,MATCH(B1724,Pedidos!$A$2:$A$1801,0)),0)</f>
        <v/>
      </c>
      <c r="G1724" s="21">
        <f>IF(F1724=0,"",YEAR(F1724))</f>
        <v/>
      </c>
      <c r="H1724" s="21">
        <f>IF(F1724=0,"",MONTH(F1724))</f>
        <v/>
      </c>
      <c r="I1724" s="21">
        <f>IFERROR(INDEX(Pedidos!$E$2:$E$1801,MATCH(B1724,Pedidos!$A$2:$A$1801,0)),"")</f>
        <v/>
      </c>
      <c r="J1724" s="21">
        <f>IFERROR(INDEX(Pedidos!$C$2:$C$1801,MATCH(B1724,Pedidos!$A$2:$A$1801,0)),"")</f>
        <v/>
      </c>
      <c r="K1724" s="21">
        <f>IFERROR(INDEX(Pedidos!$D$2:$D$1801,MATCH(B1724,Pedidos!$A$2:$A$1801,0)),"")</f>
        <v/>
      </c>
      <c r="L1724" s="21">
        <f>IFERROR(INDEX(Pedidos!$F$2:$F$1801,MATCH(B1724,Pedidos!$A$2:$A$1801,0)),"")</f>
        <v/>
      </c>
      <c r="M1724" s="22">
        <f>IFERROR(INDEX(Pedidos!$G$2:$G$1801,MATCH(B1724,Pedidos!$A$2:$A$1801,0)),0)</f>
        <v/>
      </c>
      <c r="N1724" s="21">
        <f>IFERROR(INDEX(Produtos!$B$2:$B$71,MATCH(C1724,Produtos!$A$2:$A$71,0)),"")</f>
        <v/>
      </c>
      <c r="O1724" s="21">
        <f>IFERROR(INDEX(Produtos!$C$2:$C$71,MATCH(C1724,Produtos!$A$2:$A$71,0)),"")</f>
        <v/>
      </c>
      <c r="P1724" s="21">
        <f>IFERROR(INDEX(Produtos!$D$2:$D$71,MATCH(C1724,Produtos!$A$2:$A$71,0)),0)</f>
        <v/>
      </c>
      <c r="Q1724" s="21">
        <f>IFERROR(INDEX(Produtos!$E$2:$E$71,MATCH(C1724,Produtos!$A$2:$A$71,0)),0)</f>
        <v/>
      </c>
      <c r="R1724" s="23">
        <f>D1724*Q1724</f>
        <v/>
      </c>
      <c r="S1724" s="23">
        <f>R1724*E1724</f>
        <v/>
      </c>
      <c r="T1724" s="23">
        <f>(R1724-S1724)*M1724</f>
        <v/>
      </c>
      <c r="U1724" s="23">
        <f>R1724-S1724-T1724</f>
        <v/>
      </c>
      <c r="V1724" s="23">
        <f>D1724*P1724</f>
        <v/>
      </c>
      <c r="W1724" s="23">
        <f>U1724-V1724</f>
        <v/>
      </c>
      <c r="X1724" s="24">
        <f>IFERROR(W1724/U1724,0)</f>
        <v/>
      </c>
    </row>
    <row r="1725">
      <c r="A1725" s="25">
        <f>ItensPedido!A1725</f>
        <v/>
      </c>
      <c r="B1725" s="25">
        <f>ItensPedido!B1725</f>
        <v/>
      </c>
      <c r="C1725" s="25">
        <f>ItensPedido!C1725</f>
        <v/>
      </c>
      <c r="D1725" s="25">
        <f>ItensPedido!D1725</f>
        <v/>
      </c>
      <c r="E1725" s="26">
        <f>ItensPedido!E1725</f>
        <v/>
      </c>
      <c r="F1725" s="25">
        <f>IFERROR(INDEX(Pedidos!$B$2:$B$1801,MATCH(B1725,Pedidos!$A$2:$A$1801,0)),0)</f>
        <v/>
      </c>
      <c r="G1725" s="25">
        <f>IF(F1725=0,"",YEAR(F1725))</f>
        <v/>
      </c>
      <c r="H1725" s="25">
        <f>IF(F1725=0,"",MONTH(F1725))</f>
        <v/>
      </c>
      <c r="I1725" s="25">
        <f>IFERROR(INDEX(Pedidos!$E$2:$E$1801,MATCH(B1725,Pedidos!$A$2:$A$1801,0)),"")</f>
        <v/>
      </c>
      <c r="J1725" s="25">
        <f>IFERROR(INDEX(Pedidos!$C$2:$C$1801,MATCH(B1725,Pedidos!$A$2:$A$1801,0)),"")</f>
        <v/>
      </c>
      <c r="K1725" s="25">
        <f>IFERROR(INDEX(Pedidos!$D$2:$D$1801,MATCH(B1725,Pedidos!$A$2:$A$1801,0)),"")</f>
        <v/>
      </c>
      <c r="L1725" s="25">
        <f>IFERROR(INDEX(Pedidos!$F$2:$F$1801,MATCH(B1725,Pedidos!$A$2:$A$1801,0)),"")</f>
        <v/>
      </c>
      <c r="M1725" s="26">
        <f>IFERROR(INDEX(Pedidos!$G$2:$G$1801,MATCH(B1725,Pedidos!$A$2:$A$1801,0)),0)</f>
        <v/>
      </c>
      <c r="N1725" s="25">
        <f>IFERROR(INDEX(Produtos!$B$2:$B$71,MATCH(C1725,Produtos!$A$2:$A$71,0)),"")</f>
        <v/>
      </c>
      <c r="O1725" s="25">
        <f>IFERROR(INDEX(Produtos!$C$2:$C$71,MATCH(C1725,Produtos!$A$2:$A$71,0)),"")</f>
        <v/>
      </c>
      <c r="P1725" s="25">
        <f>IFERROR(INDEX(Produtos!$D$2:$D$71,MATCH(C1725,Produtos!$A$2:$A$71,0)),0)</f>
        <v/>
      </c>
      <c r="Q1725" s="25">
        <f>IFERROR(INDEX(Produtos!$E$2:$E$71,MATCH(C1725,Produtos!$A$2:$A$71,0)),0)</f>
        <v/>
      </c>
      <c r="R1725" s="27">
        <f>D1725*Q1725</f>
        <v/>
      </c>
      <c r="S1725" s="27">
        <f>R1725*E1725</f>
        <v/>
      </c>
      <c r="T1725" s="27">
        <f>(R1725-S1725)*M1725</f>
        <v/>
      </c>
      <c r="U1725" s="27">
        <f>R1725-S1725-T1725</f>
        <v/>
      </c>
      <c r="V1725" s="27">
        <f>D1725*P1725</f>
        <v/>
      </c>
      <c r="W1725" s="27">
        <f>U1725-V1725</f>
        <v/>
      </c>
      <c r="X1725" s="28">
        <f>IFERROR(W1725/U1725,0)</f>
        <v/>
      </c>
    </row>
    <row r="1726">
      <c r="A1726" s="21">
        <f>ItensPedido!A1726</f>
        <v/>
      </c>
      <c r="B1726" s="21">
        <f>ItensPedido!B1726</f>
        <v/>
      </c>
      <c r="C1726" s="21">
        <f>ItensPedido!C1726</f>
        <v/>
      </c>
      <c r="D1726" s="21">
        <f>ItensPedido!D1726</f>
        <v/>
      </c>
      <c r="E1726" s="22">
        <f>ItensPedido!E1726</f>
        <v/>
      </c>
      <c r="F1726" s="21">
        <f>IFERROR(INDEX(Pedidos!$B$2:$B$1801,MATCH(B1726,Pedidos!$A$2:$A$1801,0)),0)</f>
        <v/>
      </c>
      <c r="G1726" s="21">
        <f>IF(F1726=0,"",YEAR(F1726))</f>
        <v/>
      </c>
      <c r="H1726" s="21">
        <f>IF(F1726=0,"",MONTH(F1726))</f>
        <v/>
      </c>
      <c r="I1726" s="21">
        <f>IFERROR(INDEX(Pedidos!$E$2:$E$1801,MATCH(B1726,Pedidos!$A$2:$A$1801,0)),"")</f>
        <v/>
      </c>
      <c r="J1726" s="21">
        <f>IFERROR(INDEX(Pedidos!$C$2:$C$1801,MATCH(B1726,Pedidos!$A$2:$A$1801,0)),"")</f>
        <v/>
      </c>
      <c r="K1726" s="21">
        <f>IFERROR(INDEX(Pedidos!$D$2:$D$1801,MATCH(B1726,Pedidos!$A$2:$A$1801,0)),"")</f>
        <v/>
      </c>
      <c r="L1726" s="21">
        <f>IFERROR(INDEX(Pedidos!$F$2:$F$1801,MATCH(B1726,Pedidos!$A$2:$A$1801,0)),"")</f>
        <v/>
      </c>
      <c r="M1726" s="22">
        <f>IFERROR(INDEX(Pedidos!$G$2:$G$1801,MATCH(B1726,Pedidos!$A$2:$A$1801,0)),0)</f>
        <v/>
      </c>
      <c r="N1726" s="21">
        <f>IFERROR(INDEX(Produtos!$B$2:$B$71,MATCH(C1726,Produtos!$A$2:$A$71,0)),"")</f>
        <v/>
      </c>
      <c r="O1726" s="21">
        <f>IFERROR(INDEX(Produtos!$C$2:$C$71,MATCH(C1726,Produtos!$A$2:$A$71,0)),"")</f>
        <v/>
      </c>
      <c r="P1726" s="21">
        <f>IFERROR(INDEX(Produtos!$D$2:$D$71,MATCH(C1726,Produtos!$A$2:$A$71,0)),0)</f>
        <v/>
      </c>
      <c r="Q1726" s="21">
        <f>IFERROR(INDEX(Produtos!$E$2:$E$71,MATCH(C1726,Produtos!$A$2:$A$71,0)),0)</f>
        <v/>
      </c>
      <c r="R1726" s="23">
        <f>D1726*Q1726</f>
        <v/>
      </c>
      <c r="S1726" s="23">
        <f>R1726*E1726</f>
        <v/>
      </c>
      <c r="T1726" s="23">
        <f>(R1726-S1726)*M1726</f>
        <v/>
      </c>
      <c r="U1726" s="23">
        <f>R1726-S1726-T1726</f>
        <v/>
      </c>
      <c r="V1726" s="23">
        <f>D1726*P1726</f>
        <v/>
      </c>
      <c r="W1726" s="23">
        <f>U1726-V1726</f>
        <v/>
      </c>
      <c r="X1726" s="24">
        <f>IFERROR(W1726/U1726,0)</f>
        <v/>
      </c>
    </row>
    <row r="1727">
      <c r="A1727" s="25">
        <f>ItensPedido!A1727</f>
        <v/>
      </c>
      <c r="B1727" s="25">
        <f>ItensPedido!B1727</f>
        <v/>
      </c>
      <c r="C1727" s="25">
        <f>ItensPedido!C1727</f>
        <v/>
      </c>
      <c r="D1727" s="25">
        <f>ItensPedido!D1727</f>
        <v/>
      </c>
      <c r="E1727" s="26">
        <f>ItensPedido!E1727</f>
        <v/>
      </c>
      <c r="F1727" s="25">
        <f>IFERROR(INDEX(Pedidos!$B$2:$B$1801,MATCH(B1727,Pedidos!$A$2:$A$1801,0)),0)</f>
        <v/>
      </c>
      <c r="G1727" s="25">
        <f>IF(F1727=0,"",YEAR(F1727))</f>
        <v/>
      </c>
      <c r="H1727" s="25">
        <f>IF(F1727=0,"",MONTH(F1727))</f>
        <v/>
      </c>
      <c r="I1727" s="25">
        <f>IFERROR(INDEX(Pedidos!$E$2:$E$1801,MATCH(B1727,Pedidos!$A$2:$A$1801,0)),"")</f>
        <v/>
      </c>
      <c r="J1727" s="25">
        <f>IFERROR(INDEX(Pedidos!$C$2:$C$1801,MATCH(B1727,Pedidos!$A$2:$A$1801,0)),"")</f>
        <v/>
      </c>
      <c r="K1727" s="25">
        <f>IFERROR(INDEX(Pedidos!$D$2:$D$1801,MATCH(B1727,Pedidos!$A$2:$A$1801,0)),"")</f>
        <v/>
      </c>
      <c r="L1727" s="25">
        <f>IFERROR(INDEX(Pedidos!$F$2:$F$1801,MATCH(B1727,Pedidos!$A$2:$A$1801,0)),"")</f>
        <v/>
      </c>
      <c r="M1727" s="26">
        <f>IFERROR(INDEX(Pedidos!$G$2:$G$1801,MATCH(B1727,Pedidos!$A$2:$A$1801,0)),0)</f>
        <v/>
      </c>
      <c r="N1727" s="25">
        <f>IFERROR(INDEX(Produtos!$B$2:$B$71,MATCH(C1727,Produtos!$A$2:$A$71,0)),"")</f>
        <v/>
      </c>
      <c r="O1727" s="25">
        <f>IFERROR(INDEX(Produtos!$C$2:$C$71,MATCH(C1727,Produtos!$A$2:$A$71,0)),"")</f>
        <v/>
      </c>
      <c r="P1727" s="25">
        <f>IFERROR(INDEX(Produtos!$D$2:$D$71,MATCH(C1727,Produtos!$A$2:$A$71,0)),0)</f>
        <v/>
      </c>
      <c r="Q1727" s="25">
        <f>IFERROR(INDEX(Produtos!$E$2:$E$71,MATCH(C1727,Produtos!$A$2:$A$71,0)),0)</f>
        <v/>
      </c>
      <c r="R1727" s="27">
        <f>D1727*Q1727</f>
        <v/>
      </c>
      <c r="S1727" s="27">
        <f>R1727*E1727</f>
        <v/>
      </c>
      <c r="T1727" s="27">
        <f>(R1727-S1727)*M1727</f>
        <v/>
      </c>
      <c r="U1727" s="27">
        <f>R1727-S1727-T1727</f>
        <v/>
      </c>
      <c r="V1727" s="27">
        <f>D1727*P1727</f>
        <v/>
      </c>
      <c r="W1727" s="27">
        <f>U1727-V1727</f>
        <v/>
      </c>
      <c r="X1727" s="28">
        <f>IFERROR(W1727/U1727,0)</f>
        <v/>
      </c>
    </row>
    <row r="1728">
      <c r="A1728" s="21">
        <f>ItensPedido!A1728</f>
        <v/>
      </c>
      <c r="B1728" s="21">
        <f>ItensPedido!B1728</f>
        <v/>
      </c>
      <c r="C1728" s="21">
        <f>ItensPedido!C1728</f>
        <v/>
      </c>
      <c r="D1728" s="21">
        <f>ItensPedido!D1728</f>
        <v/>
      </c>
      <c r="E1728" s="22">
        <f>ItensPedido!E1728</f>
        <v/>
      </c>
      <c r="F1728" s="21">
        <f>IFERROR(INDEX(Pedidos!$B$2:$B$1801,MATCH(B1728,Pedidos!$A$2:$A$1801,0)),0)</f>
        <v/>
      </c>
      <c r="G1728" s="21">
        <f>IF(F1728=0,"",YEAR(F1728))</f>
        <v/>
      </c>
      <c r="H1728" s="21">
        <f>IF(F1728=0,"",MONTH(F1728))</f>
        <v/>
      </c>
      <c r="I1728" s="21">
        <f>IFERROR(INDEX(Pedidos!$E$2:$E$1801,MATCH(B1728,Pedidos!$A$2:$A$1801,0)),"")</f>
        <v/>
      </c>
      <c r="J1728" s="21">
        <f>IFERROR(INDEX(Pedidos!$C$2:$C$1801,MATCH(B1728,Pedidos!$A$2:$A$1801,0)),"")</f>
        <v/>
      </c>
      <c r="K1728" s="21">
        <f>IFERROR(INDEX(Pedidos!$D$2:$D$1801,MATCH(B1728,Pedidos!$A$2:$A$1801,0)),"")</f>
        <v/>
      </c>
      <c r="L1728" s="21">
        <f>IFERROR(INDEX(Pedidos!$F$2:$F$1801,MATCH(B1728,Pedidos!$A$2:$A$1801,0)),"")</f>
        <v/>
      </c>
      <c r="M1728" s="22">
        <f>IFERROR(INDEX(Pedidos!$G$2:$G$1801,MATCH(B1728,Pedidos!$A$2:$A$1801,0)),0)</f>
        <v/>
      </c>
      <c r="N1728" s="21">
        <f>IFERROR(INDEX(Produtos!$B$2:$B$71,MATCH(C1728,Produtos!$A$2:$A$71,0)),"")</f>
        <v/>
      </c>
      <c r="O1728" s="21">
        <f>IFERROR(INDEX(Produtos!$C$2:$C$71,MATCH(C1728,Produtos!$A$2:$A$71,0)),"")</f>
        <v/>
      </c>
      <c r="P1728" s="21">
        <f>IFERROR(INDEX(Produtos!$D$2:$D$71,MATCH(C1728,Produtos!$A$2:$A$71,0)),0)</f>
        <v/>
      </c>
      <c r="Q1728" s="21">
        <f>IFERROR(INDEX(Produtos!$E$2:$E$71,MATCH(C1728,Produtos!$A$2:$A$71,0)),0)</f>
        <v/>
      </c>
      <c r="R1728" s="23">
        <f>D1728*Q1728</f>
        <v/>
      </c>
      <c r="S1728" s="23">
        <f>R1728*E1728</f>
        <v/>
      </c>
      <c r="T1728" s="23">
        <f>(R1728-S1728)*M1728</f>
        <v/>
      </c>
      <c r="U1728" s="23">
        <f>R1728-S1728-T1728</f>
        <v/>
      </c>
      <c r="V1728" s="23">
        <f>D1728*P1728</f>
        <v/>
      </c>
      <c r="W1728" s="23">
        <f>U1728-V1728</f>
        <v/>
      </c>
      <c r="X1728" s="24">
        <f>IFERROR(W1728/U1728,0)</f>
        <v/>
      </c>
    </row>
    <row r="1729">
      <c r="A1729" s="25">
        <f>ItensPedido!A1729</f>
        <v/>
      </c>
      <c r="B1729" s="25">
        <f>ItensPedido!B1729</f>
        <v/>
      </c>
      <c r="C1729" s="25">
        <f>ItensPedido!C1729</f>
        <v/>
      </c>
      <c r="D1729" s="25">
        <f>ItensPedido!D1729</f>
        <v/>
      </c>
      <c r="E1729" s="26">
        <f>ItensPedido!E1729</f>
        <v/>
      </c>
      <c r="F1729" s="25">
        <f>IFERROR(INDEX(Pedidos!$B$2:$B$1801,MATCH(B1729,Pedidos!$A$2:$A$1801,0)),0)</f>
        <v/>
      </c>
      <c r="G1729" s="25">
        <f>IF(F1729=0,"",YEAR(F1729))</f>
        <v/>
      </c>
      <c r="H1729" s="25">
        <f>IF(F1729=0,"",MONTH(F1729))</f>
        <v/>
      </c>
      <c r="I1729" s="25">
        <f>IFERROR(INDEX(Pedidos!$E$2:$E$1801,MATCH(B1729,Pedidos!$A$2:$A$1801,0)),"")</f>
        <v/>
      </c>
      <c r="J1729" s="25">
        <f>IFERROR(INDEX(Pedidos!$C$2:$C$1801,MATCH(B1729,Pedidos!$A$2:$A$1801,0)),"")</f>
        <v/>
      </c>
      <c r="K1729" s="25">
        <f>IFERROR(INDEX(Pedidos!$D$2:$D$1801,MATCH(B1729,Pedidos!$A$2:$A$1801,0)),"")</f>
        <v/>
      </c>
      <c r="L1729" s="25">
        <f>IFERROR(INDEX(Pedidos!$F$2:$F$1801,MATCH(B1729,Pedidos!$A$2:$A$1801,0)),"")</f>
        <v/>
      </c>
      <c r="M1729" s="26">
        <f>IFERROR(INDEX(Pedidos!$G$2:$G$1801,MATCH(B1729,Pedidos!$A$2:$A$1801,0)),0)</f>
        <v/>
      </c>
      <c r="N1729" s="25">
        <f>IFERROR(INDEX(Produtos!$B$2:$B$71,MATCH(C1729,Produtos!$A$2:$A$71,0)),"")</f>
        <v/>
      </c>
      <c r="O1729" s="25">
        <f>IFERROR(INDEX(Produtos!$C$2:$C$71,MATCH(C1729,Produtos!$A$2:$A$71,0)),"")</f>
        <v/>
      </c>
      <c r="P1729" s="25">
        <f>IFERROR(INDEX(Produtos!$D$2:$D$71,MATCH(C1729,Produtos!$A$2:$A$71,0)),0)</f>
        <v/>
      </c>
      <c r="Q1729" s="25">
        <f>IFERROR(INDEX(Produtos!$E$2:$E$71,MATCH(C1729,Produtos!$A$2:$A$71,0)),0)</f>
        <v/>
      </c>
      <c r="R1729" s="27">
        <f>D1729*Q1729</f>
        <v/>
      </c>
      <c r="S1729" s="27">
        <f>R1729*E1729</f>
        <v/>
      </c>
      <c r="T1729" s="27">
        <f>(R1729-S1729)*M1729</f>
        <v/>
      </c>
      <c r="U1729" s="27">
        <f>R1729-S1729-T1729</f>
        <v/>
      </c>
      <c r="V1729" s="27">
        <f>D1729*P1729</f>
        <v/>
      </c>
      <c r="W1729" s="27">
        <f>U1729-V1729</f>
        <v/>
      </c>
      <c r="X1729" s="28">
        <f>IFERROR(W1729/U1729,0)</f>
        <v/>
      </c>
    </row>
    <row r="1730">
      <c r="A1730" s="21">
        <f>ItensPedido!A1730</f>
        <v/>
      </c>
      <c r="B1730" s="21">
        <f>ItensPedido!B1730</f>
        <v/>
      </c>
      <c r="C1730" s="21">
        <f>ItensPedido!C1730</f>
        <v/>
      </c>
      <c r="D1730" s="21">
        <f>ItensPedido!D1730</f>
        <v/>
      </c>
      <c r="E1730" s="22">
        <f>ItensPedido!E1730</f>
        <v/>
      </c>
      <c r="F1730" s="21">
        <f>IFERROR(INDEX(Pedidos!$B$2:$B$1801,MATCH(B1730,Pedidos!$A$2:$A$1801,0)),0)</f>
        <v/>
      </c>
      <c r="G1730" s="21">
        <f>IF(F1730=0,"",YEAR(F1730))</f>
        <v/>
      </c>
      <c r="H1730" s="21">
        <f>IF(F1730=0,"",MONTH(F1730))</f>
        <v/>
      </c>
      <c r="I1730" s="21">
        <f>IFERROR(INDEX(Pedidos!$E$2:$E$1801,MATCH(B1730,Pedidos!$A$2:$A$1801,0)),"")</f>
        <v/>
      </c>
      <c r="J1730" s="21">
        <f>IFERROR(INDEX(Pedidos!$C$2:$C$1801,MATCH(B1730,Pedidos!$A$2:$A$1801,0)),"")</f>
        <v/>
      </c>
      <c r="K1730" s="21">
        <f>IFERROR(INDEX(Pedidos!$D$2:$D$1801,MATCH(B1730,Pedidos!$A$2:$A$1801,0)),"")</f>
        <v/>
      </c>
      <c r="L1730" s="21">
        <f>IFERROR(INDEX(Pedidos!$F$2:$F$1801,MATCH(B1730,Pedidos!$A$2:$A$1801,0)),"")</f>
        <v/>
      </c>
      <c r="M1730" s="22">
        <f>IFERROR(INDEX(Pedidos!$G$2:$G$1801,MATCH(B1730,Pedidos!$A$2:$A$1801,0)),0)</f>
        <v/>
      </c>
      <c r="N1730" s="21">
        <f>IFERROR(INDEX(Produtos!$B$2:$B$71,MATCH(C1730,Produtos!$A$2:$A$71,0)),"")</f>
        <v/>
      </c>
      <c r="O1730" s="21">
        <f>IFERROR(INDEX(Produtos!$C$2:$C$71,MATCH(C1730,Produtos!$A$2:$A$71,0)),"")</f>
        <v/>
      </c>
      <c r="P1730" s="21">
        <f>IFERROR(INDEX(Produtos!$D$2:$D$71,MATCH(C1730,Produtos!$A$2:$A$71,0)),0)</f>
        <v/>
      </c>
      <c r="Q1730" s="21">
        <f>IFERROR(INDEX(Produtos!$E$2:$E$71,MATCH(C1730,Produtos!$A$2:$A$71,0)),0)</f>
        <v/>
      </c>
      <c r="R1730" s="23">
        <f>D1730*Q1730</f>
        <v/>
      </c>
      <c r="S1730" s="23">
        <f>R1730*E1730</f>
        <v/>
      </c>
      <c r="T1730" s="23">
        <f>(R1730-S1730)*M1730</f>
        <v/>
      </c>
      <c r="U1730" s="23">
        <f>R1730-S1730-T1730</f>
        <v/>
      </c>
      <c r="V1730" s="23">
        <f>D1730*P1730</f>
        <v/>
      </c>
      <c r="W1730" s="23">
        <f>U1730-V1730</f>
        <v/>
      </c>
      <c r="X1730" s="24">
        <f>IFERROR(W1730/U1730,0)</f>
        <v/>
      </c>
    </row>
    <row r="1731">
      <c r="A1731" s="25">
        <f>ItensPedido!A1731</f>
        <v/>
      </c>
      <c r="B1731" s="25">
        <f>ItensPedido!B1731</f>
        <v/>
      </c>
      <c r="C1731" s="25">
        <f>ItensPedido!C1731</f>
        <v/>
      </c>
      <c r="D1731" s="25">
        <f>ItensPedido!D1731</f>
        <v/>
      </c>
      <c r="E1731" s="26">
        <f>ItensPedido!E1731</f>
        <v/>
      </c>
      <c r="F1731" s="25">
        <f>IFERROR(INDEX(Pedidos!$B$2:$B$1801,MATCH(B1731,Pedidos!$A$2:$A$1801,0)),0)</f>
        <v/>
      </c>
      <c r="G1731" s="25">
        <f>IF(F1731=0,"",YEAR(F1731))</f>
        <v/>
      </c>
      <c r="H1731" s="25">
        <f>IF(F1731=0,"",MONTH(F1731))</f>
        <v/>
      </c>
      <c r="I1731" s="25">
        <f>IFERROR(INDEX(Pedidos!$E$2:$E$1801,MATCH(B1731,Pedidos!$A$2:$A$1801,0)),"")</f>
        <v/>
      </c>
      <c r="J1731" s="25">
        <f>IFERROR(INDEX(Pedidos!$C$2:$C$1801,MATCH(B1731,Pedidos!$A$2:$A$1801,0)),"")</f>
        <v/>
      </c>
      <c r="K1731" s="25">
        <f>IFERROR(INDEX(Pedidos!$D$2:$D$1801,MATCH(B1731,Pedidos!$A$2:$A$1801,0)),"")</f>
        <v/>
      </c>
      <c r="L1731" s="25">
        <f>IFERROR(INDEX(Pedidos!$F$2:$F$1801,MATCH(B1731,Pedidos!$A$2:$A$1801,0)),"")</f>
        <v/>
      </c>
      <c r="M1731" s="26">
        <f>IFERROR(INDEX(Pedidos!$G$2:$G$1801,MATCH(B1731,Pedidos!$A$2:$A$1801,0)),0)</f>
        <v/>
      </c>
      <c r="N1731" s="25">
        <f>IFERROR(INDEX(Produtos!$B$2:$B$71,MATCH(C1731,Produtos!$A$2:$A$71,0)),"")</f>
        <v/>
      </c>
      <c r="O1731" s="25">
        <f>IFERROR(INDEX(Produtos!$C$2:$C$71,MATCH(C1731,Produtos!$A$2:$A$71,0)),"")</f>
        <v/>
      </c>
      <c r="P1731" s="25">
        <f>IFERROR(INDEX(Produtos!$D$2:$D$71,MATCH(C1731,Produtos!$A$2:$A$71,0)),0)</f>
        <v/>
      </c>
      <c r="Q1731" s="25">
        <f>IFERROR(INDEX(Produtos!$E$2:$E$71,MATCH(C1731,Produtos!$A$2:$A$71,0)),0)</f>
        <v/>
      </c>
      <c r="R1731" s="27">
        <f>D1731*Q1731</f>
        <v/>
      </c>
      <c r="S1731" s="27">
        <f>R1731*E1731</f>
        <v/>
      </c>
      <c r="T1731" s="27">
        <f>(R1731-S1731)*M1731</f>
        <v/>
      </c>
      <c r="U1731" s="27">
        <f>R1731-S1731-T1731</f>
        <v/>
      </c>
      <c r="V1731" s="27">
        <f>D1731*P1731</f>
        <v/>
      </c>
      <c r="W1731" s="27">
        <f>U1731-V1731</f>
        <v/>
      </c>
      <c r="X1731" s="28">
        <f>IFERROR(W1731/U1731,0)</f>
        <v/>
      </c>
    </row>
    <row r="1732">
      <c r="A1732" s="21">
        <f>ItensPedido!A1732</f>
        <v/>
      </c>
      <c r="B1732" s="21">
        <f>ItensPedido!B1732</f>
        <v/>
      </c>
      <c r="C1732" s="21">
        <f>ItensPedido!C1732</f>
        <v/>
      </c>
      <c r="D1732" s="21">
        <f>ItensPedido!D1732</f>
        <v/>
      </c>
      <c r="E1732" s="22">
        <f>ItensPedido!E1732</f>
        <v/>
      </c>
      <c r="F1732" s="21">
        <f>IFERROR(INDEX(Pedidos!$B$2:$B$1801,MATCH(B1732,Pedidos!$A$2:$A$1801,0)),0)</f>
        <v/>
      </c>
      <c r="G1732" s="21">
        <f>IF(F1732=0,"",YEAR(F1732))</f>
        <v/>
      </c>
      <c r="H1732" s="21">
        <f>IF(F1732=0,"",MONTH(F1732))</f>
        <v/>
      </c>
      <c r="I1732" s="21">
        <f>IFERROR(INDEX(Pedidos!$E$2:$E$1801,MATCH(B1732,Pedidos!$A$2:$A$1801,0)),"")</f>
        <v/>
      </c>
      <c r="J1732" s="21">
        <f>IFERROR(INDEX(Pedidos!$C$2:$C$1801,MATCH(B1732,Pedidos!$A$2:$A$1801,0)),"")</f>
        <v/>
      </c>
      <c r="K1732" s="21">
        <f>IFERROR(INDEX(Pedidos!$D$2:$D$1801,MATCH(B1732,Pedidos!$A$2:$A$1801,0)),"")</f>
        <v/>
      </c>
      <c r="L1732" s="21">
        <f>IFERROR(INDEX(Pedidos!$F$2:$F$1801,MATCH(B1732,Pedidos!$A$2:$A$1801,0)),"")</f>
        <v/>
      </c>
      <c r="M1732" s="22">
        <f>IFERROR(INDEX(Pedidos!$G$2:$G$1801,MATCH(B1732,Pedidos!$A$2:$A$1801,0)),0)</f>
        <v/>
      </c>
      <c r="N1732" s="21">
        <f>IFERROR(INDEX(Produtos!$B$2:$B$71,MATCH(C1732,Produtos!$A$2:$A$71,0)),"")</f>
        <v/>
      </c>
      <c r="O1732" s="21">
        <f>IFERROR(INDEX(Produtos!$C$2:$C$71,MATCH(C1732,Produtos!$A$2:$A$71,0)),"")</f>
        <v/>
      </c>
      <c r="P1732" s="21">
        <f>IFERROR(INDEX(Produtos!$D$2:$D$71,MATCH(C1732,Produtos!$A$2:$A$71,0)),0)</f>
        <v/>
      </c>
      <c r="Q1732" s="21">
        <f>IFERROR(INDEX(Produtos!$E$2:$E$71,MATCH(C1732,Produtos!$A$2:$A$71,0)),0)</f>
        <v/>
      </c>
      <c r="R1732" s="23">
        <f>D1732*Q1732</f>
        <v/>
      </c>
      <c r="S1732" s="23">
        <f>R1732*E1732</f>
        <v/>
      </c>
      <c r="T1732" s="23">
        <f>(R1732-S1732)*M1732</f>
        <v/>
      </c>
      <c r="U1732" s="23">
        <f>R1732-S1732-T1732</f>
        <v/>
      </c>
      <c r="V1732" s="23">
        <f>D1732*P1732</f>
        <v/>
      </c>
      <c r="W1732" s="23">
        <f>U1732-V1732</f>
        <v/>
      </c>
      <c r="X1732" s="24">
        <f>IFERROR(W1732/U1732,0)</f>
        <v/>
      </c>
    </row>
    <row r="1733">
      <c r="A1733" s="25">
        <f>ItensPedido!A1733</f>
        <v/>
      </c>
      <c r="B1733" s="25">
        <f>ItensPedido!B1733</f>
        <v/>
      </c>
      <c r="C1733" s="25">
        <f>ItensPedido!C1733</f>
        <v/>
      </c>
      <c r="D1733" s="25">
        <f>ItensPedido!D1733</f>
        <v/>
      </c>
      <c r="E1733" s="26">
        <f>ItensPedido!E1733</f>
        <v/>
      </c>
      <c r="F1733" s="25">
        <f>IFERROR(INDEX(Pedidos!$B$2:$B$1801,MATCH(B1733,Pedidos!$A$2:$A$1801,0)),0)</f>
        <v/>
      </c>
      <c r="G1733" s="25">
        <f>IF(F1733=0,"",YEAR(F1733))</f>
        <v/>
      </c>
      <c r="H1733" s="25">
        <f>IF(F1733=0,"",MONTH(F1733))</f>
        <v/>
      </c>
      <c r="I1733" s="25">
        <f>IFERROR(INDEX(Pedidos!$E$2:$E$1801,MATCH(B1733,Pedidos!$A$2:$A$1801,0)),"")</f>
        <v/>
      </c>
      <c r="J1733" s="25">
        <f>IFERROR(INDEX(Pedidos!$C$2:$C$1801,MATCH(B1733,Pedidos!$A$2:$A$1801,0)),"")</f>
        <v/>
      </c>
      <c r="K1733" s="25">
        <f>IFERROR(INDEX(Pedidos!$D$2:$D$1801,MATCH(B1733,Pedidos!$A$2:$A$1801,0)),"")</f>
        <v/>
      </c>
      <c r="L1733" s="25">
        <f>IFERROR(INDEX(Pedidos!$F$2:$F$1801,MATCH(B1733,Pedidos!$A$2:$A$1801,0)),"")</f>
        <v/>
      </c>
      <c r="M1733" s="26">
        <f>IFERROR(INDEX(Pedidos!$G$2:$G$1801,MATCH(B1733,Pedidos!$A$2:$A$1801,0)),0)</f>
        <v/>
      </c>
      <c r="N1733" s="25">
        <f>IFERROR(INDEX(Produtos!$B$2:$B$71,MATCH(C1733,Produtos!$A$2:$A$71,0)),"")</f>
        <v/>
      </c>
      <c r="O1733" s="25">
        <f>IFERROR(INDEX(Produtos!$C$2:$C$71,MATCH(C1733,Produtos!$A$2:$A$71,0)),"")</f>
        <v/>
      </c>
      <c r="P1733" s="25">
        <f>IFERROR(INDEX(Produtos!$D$2:$D$71,MATCH(C1733,Produtos!$A$2:$A$71,0)),0)</f>
        <v/>
      </c>
      <c r="Q1733" s="25">
        <f>IFERROR(INDEX(Produtos!$E$2:$E$71,MATCH(C1733,Produtos!$A$2:$A$71,0)),0)</f>
        <v/>
      </c>
      <c r="R1733" s="27">
        <f>D1733*Q1733</f>
        <v/>
      </c>
      <c r="S1733" s="27">
        <f>R1733*E1733</f>
        <v/>
      </c>
      <c r="T1733" s="27">
        <f>(R1733-S1733)*M1733</f>
        <v/>
      </c>
      <c r="U1733" s="27">
        <f>R1733-S1733-T1733</f>
        <v/>
      </c>
      <c r="V1733" s="27">
        <f>D1733*P1733</f>
        <v/>
      </c>
      <c r="W1733" s="27">
        <f>U1733-V1733</f>
        <v/>
      </c>
      <c r="X1733" s="28">
        <f>IFERROR(W1733/U1733,0)</f>
        <v/>
      </c>
    </row>
    <row r="1734">
      <c r="A1734" s="21">
        <f>ItensPedido!A1734</f>
        <v/>
      </c>
      <c r="B1734" s="21">
        <f>ItensPedido!B1734</f>
        <v/>
      </c>
      <c r="C1734" s="21">
        <f>ItensPedido!C1734</f>
        <v/>
      </c>
      <c r="D1734" s="21">
        <f>ItensPedido!D1734</f>
        <v/>
      </c>
      <c r="E1734" s="22">
        <f>ItensPedido!E1734</f>
        <v/>
      </c>
      <c r="F1734" s="21">
        <f>IFERROR(INDEX(Pedidos!$B$2:$B$1801,MATCH(B1734,Pedidos!$A$2:$A$1801,0)),0)</f>
        <v/>
      </c>
      <c r="G1734" s="21">
        <f>IF(F1734=0,"",YEAR(F1734))</f>
        <v/>
      </c>
      <c r="H1734" s="21">
        <f>IF(F1734=0,"",MONTH(F1734))</f>
        <v/>
      </c>
      <c r="I1734" s="21">
        <f>IFERROR(INDEX(Pedidos!$E$2:$E$1801,MATCH(B1734,Pedidos!$A$2:$A$1801,0)),"")</f>
        <v/>
      </c>
      <c r="J1734" s="21">
        <f>IFERROR(INDEX(Pedidos!$C$2:$C$1801,MATCH(B1734,Pedidos!$A$2:$A$1801,0)),"")</f>
        <v/>
      </c>
      <c r="K1734" s="21">
        <f>IFERROR(INDEX(Pedidos!$D$2:$D$1801,MATCH(B1734,Pedidos!$A$2:$A$1801,0)),"")</f>
        <v/>
      </c>
      <c r="L1734" s="21">
        <f>IFERROR(INDEX(Pedidos!$F$2:$F$1801,MATCH(B1734,Pedidos!$A$2:$A$1801,0)),"")</f>
        <v/>
      </c>
      <c r="M1734" s="22">
        <f>IFERROR(INDEX(Pedidos!$G$2:$G$1801,MATCH(B1734,Pedidos!$A$2:$A$1801,0)),0)</f>
        <v/>
      </c>
      <c r="N1734" s="21">
        <f>IFERROR(INDEX(Produtos!$B$2:$B$71,MATCH(C1734,Produtos!$A$2:$A$71,0)),"")</f>
        <v/>
      </c>
      <c r="O1734" s="21">
        <f>IFERROR(INDEX(Produtos!$C$2:$C$71,MATCH(C1734,Produtos!$A$2:$A$71,0)),"")</f>
        <v/>
      </c>
      <c r="P1734" s="21">
        <f>IFERROR(INDEX(Produtos!$D$2:$D$71,MATCH(C1734,Produtos!$A$2:$A$71,0)),0)</f>
        <v/>
      </c>
      <c r="Q1734" s="21">
        <f>IFERROR(INDEX(Produtos!$E$2:$E$71,MATCH(C1734,Produtos!$A$2:$A$71,0)),0)</f>
        <v/>
      </c>
      <c r="R1734" s="23">
        <f>D1734*Q1734</f>
        <v/>
      </c>
      <c r="S1734" s="23">
        <f>R1734*E1734</f>
        <v/>
      </c>
      <c r="T1734" s="23">
        <f>(R1734-S1734)*M1734</f>
        <v/>
      </c>
      <c r="U1734" s="23">
        <f>R1734-S1734-T1734</f>
        <v/>
      </c>
      <c r="V1734" s="23">
        <f>D1734*P1734</f>
        <v/>
      </c>
      <c r="W1734" s="23">
        <f>U1734-V1734</f>
        <v/>
      </c>
      <c r="X1734" s="24">
        <f>IFERROR(W1734/U1734,0)</f>
        <v/>
      </c>
    </row>
    <row r="1735">
      <c r="A1735" s="25">
        <f>ItensPedido!A1735</f>
        <v/>
      </c>
      <c r="B1735" s="25">
        <f>ItensPedido!B1735</f>
        <v/>
      </c>
      <c r="C1735" s="25">
        <f>ItensPedido!C1735</f>
        <v/>
      </c>
      <c r="D1735" s="25">
        <f>ItensPedido!D1735</f>
        <v/>
      </c>
      <c r="E1735" s="26">
        <f>ItensPedido!E1735</f>
        <v/>
      </c>
      <c r="F1735" s="25">
        <f>IFERROR(INDEX(Pedidos!$B$2:$B$1801,MATCH(B1735,Pedidos!$A$2:$A$1801,0)),0)</f>
        <v/>
      </c>
      <c r="G1735" s="25">
        <f>IF(F1735=0,"",YEAR(F1735))</f>
        <v/>
      </c>
      <c r="H1735" s="25">
        <f>IF(F1735=0,"",MONTH(F1735))</f>
        <v/>
      </c>
      <c r="I1735" s="25">
        <f>IFERROR(INDEX(Pedidos!$E$2:$E$1801,MATCH(B1735,Pedidos!$A$2:$A$1801,0)),"")</f>
        <v/>
      </c>
      <c r="J1735" s="25">
        <f>IFERROR(INDEX(Pedidos!$C$2:$C$1801,MATCH(B1735,Pedidos!$A$2:$A$1801,0)),"")</f>
        <v/>
      </c>
      <c r="K1735" s="25">
        <f>IFERROR(INDEX(Pedidos!$D$2:$D$1801,MATCH(B1735,Pedidos!$A$2:$A$1801,0)),"")</f>
        <v/>
      </c>
      <c r="L1735" s="25">
        <f>IFERROR(INDEX(Pedidos!$F$2:$F$1801,MATCH(B1735,Pedidos!$A$2:$A$1801,0)),"")</f>
        <v/>
      </c>
      <c r="M1735" s="26">
        <f>IFERROR(INDEX(Pedidos!$G$2:$G$1801,MATCH(B1735,Pedidos!$A$2:$A$1801,0)),0)</f>
        <v/>
      </c>
      <c r="N1735" s="25">
        <f>IFERROR(INDEX(Produtos!$B$2:$B$71,MATCH(C1735,Produtos!$A$2:$A$71,0)),"")</f>
        <v/>
      </c>
      <c r="O1735" s="25">
        <f>IFERROR(INDEX(Produtos!$C$2:$C$71,MATCH(C1735,Produtos!$A$2:$A$71,0)),"")</f>
        <v/>
      </c>
      <c r="P1735" s="25">
        <f>IFERROR(INDEX(Produtos!$D$2:$D$71,MATCH(C1735,Produtos!$A$2:$A$71,0)),0)</f>
        <v/>
      </c>
      <c r="Q1735" s="25">
        <f>IFERROR(INDEX(Produtos!$E$2:$E$71,MATCH(C1735,Produtos!$A$2:$A$71,0)),0)</f>
        <v/>
      </c>
      <c r="R1735" s="27">
        <f>D1735*Q1735</f>
        <v/>
      </c>
      <c r="S1735" s="27">
        <f>R1735*E1735</f>
        <v/>
      </c>
      <c r="T1735" s="27">
        <f>(R1735-S1735)*M1735</f>
        <v/>
      </c>
      <c r="U1735" s="27">
        <f>R1735-S1735-T1735</f>
        <v/>
      </c>
      <c r="V1735" s="27">
        <f>D1735*P1735</f>
        <v/>
      </c>
      <c r="W1735" s="27">
        <f>U1735-V1735</f>
        <v/>
      </c>
      <c r="X1735" s="28">
        <f>IFERROR(W1735/U1735,0)</f>
        <v/>
      </c>
    </row>
    <row r="1736">
      <c r="A1736" s="21">
        <f>ItensPedido!A1736</f>
        <v/>
      </c>
      <c r="B1736" s="21">
        <f>ItensPedido!B1736</f>
        <v/>
      </c>
      <c r="C1736" s="21">
        <f>ItensPedido!C1736</f>
        <v/>
      </c>
      <c r="D1736" s="21">
        <f>ItensPedido!D1736</f>
        <v/>
      </c>
      <c r="E1736" s="22">
        <f>ItensPedido!E1736</f>
        <v/>
      </c>
      <c r="F1736" s="21">
        <f>IFERROR(INDEX(Pedidos!$B$2:$B$1801,MATCH(B1736,Pedidos!$A$2:$A$1801,0)),0)</f>
        <v/>
      </c>
      <c r="G1736" s="21">
        <f>IF(F1736=0,"",YEAR(F1736))</f>
        <v/>
      </c>
      <c r="H1736" s="21">
        <f>IF(F1736=0,"",MONTH(F1736))</f>
        <v/>
      </c>
      <c r="I1736" s="21">
        <f>IFERROR(INDEX(Pedidos!$E$2:$E$1801,MATCH(B1736,Pedidos!$A$2:$A$1801,0)),"")</f>
        <v/>
      </c>
      <c r="J1736" s="21">
        <f>IFERROR(INDEX(Pedidos!$C$2:$C$1801,MATCH(B1736,Pedidos!$A$2:$A$1801,0)),"")</f>
        <v/>
      </c>
      <c r="K1736" s="21">
        <f>IFERROR(INDEX(Pedidos!$D$2:$D$1801,MATCH(B1736,Pedidos!$A$2:$A$1801,0)),"")</f>
        <v/>
      </c>
      <c r="L1736" s="21">
        <f>IFERROR(INDEX(Pedidos!$F$2:$F$1801,MATCH(B1736,Pedidos!$A$2:$A$1801,0)),"")</f>
        <v/>
      </c>
      <c r="M1736" s="22">
        <f>IFERROR(INDEX(Pedidos!$G$2:$G$1801,MATCH(B1736,Pedidos!$A$2:$A$1801,0)),0)</f>
        <v/>
      </c>
      <c r="N1736" s="21">
        <f>IFERROR(INDEX(Produtos!$B$2:$B$71,MATCH(C1736,Produtos!$A$2:$A$71,0)),"")</f>
        <v/>
      </c>
      <c r="O1736" s="21">
        <f>IFERROR(INDEX(Produtos!$C$2:$C$71,MATCH(C1736,Produtos!$A$2:$A$71,0)),"")</f>
        <v/>
      </c>
      <c r="P1736" s="21">
        <f>IFERROR(INDEX(Produtos!$D$2:$D$71,MATCH(C1736,Produtos!$A$2:$A$71,0)),0)</f>
        <v/>
      </c>
      <c r="Q1736" s="21">
        <f>IFERROR(INDEX(Produtos!$E$2:$E$71,MATCH(C1736,Produtos!$A$2:$A$71,0)),0)</f>
        <v/>
      </c>
      <c r="R1736" s="23">
        <f>D1736*Q1736</f>
        <v/>
      </c>
      <c r="S1736" s="23">
        <f>R1736*E1736</f>
        <v/>
      </c>
      <c r="T1736" s="23">
        <f>(R1736-S1736)*M1736</f>
        <v/>
      </c>
      <c r="U1736" s="23">
        <f>R1736-S1736-T1736</f>
        <v/>
      </c>
      <c r="V1736" s="23">
        <f>D1736*P1736</f>
        <v/>
      </c>
      <c r="W1736" s="23">
        <f>U1736-V1736</f>
        <v/>
      </c>
      <c r="X1736" s="24">
        <f>IFERROR(W1736/U1736,0)</f>
        <v/>
      </c>
    </row>
    <row r="1737">
      <c r="A1737" s="25">
        <f>ItensPedido!A1737</f>
        <v/>
      </c>
      <c r="B1737" s="25">
        <f>ItensPedido!B1737</f>
        <v/>
      </c>
      <c r="C1737" s="25">
        <f>ItensPedido!C1737</f>
        <v/>
      </c>
      <c r="D1737" s="25">
        <f>ItensPedido!D1737</f>
        <v/>
      </c>
      <c r="E1737" s="26">
        <f>ItensPedido!E1737</f>
        <v/>
      </c>
      <c r="F1737" s="25">
        <f>IFERROR(INDEX(Pedidos!$B$2:$B$1801,MATCH(B1737,Pedidos!$A$2:$A$1801,0)),0)</f>
        <v/>
      </c>
      <c r="G1737" s="25">
        <f>IF(F1737=0,"",YEAR(F1737))</f>
        <v/>
      </c>
      <c r="H1737" s="25">
        <f>IF(F1737=0,"",MONTH(F1737))</f>
        <v/>
      </c>
      <c r="I1737" s="25">
        <f>IFERROR(INDEX(Pedidos!$E$2:$E$1801,MATCH(B1737,Pedidos!$A$2:$A$1801,0)),"")</f>
        <v/>
      </c>
      <c r="J1737" s="25">
        <f>IFERROR(INDEX(Pedidos!$C$2:$C$1801,MATCH(B1737,Pedidos!$A$2:$A$1801,0)),"")</f>
        <v/>
      </c>
      <c r="K1737" s="25">
        <f>IFERROR(INDEX(Pedidos!$D$2:$D$1801,MATCH(B1737,Pedidos!$A$2:$A$1801,0)),"")</f>
        <v/>
      </c>
      <c r="L1737" s="25">
        <f>IFERROR(INDEX(Pedidos!$F$2:$F$1801,MATCH(B1737,Pedidos!$A$2:$A$1801,0)),"")</f>
        <v/>
      </c>
      <c r="M1737" s="26">
        <f>IFERROR(INDEX(Pedidos!$G$2:$G$1801,MATCH(B1737,Pedidos!$A$2:$A$1801,0)),0)</f>
        <v/>
      </c>
      <c r="N1737" s="25">
        <f>IFERROR(INDEX(Produtos!$B$2:$B$71,MATCH(C1737,Produtos!$A$2:$A$71,0)),"")</f>
        <v/>
      </c>
      <c r="O1737" s="25">
        <f>IFERROR(INDEX(Produtos!$C$2:$C$71,MATCH(C1737,Produtos!$A$2:$A$71,0)),"")</f>
        <v/>
      </c>
      <c r="P1737" s="25">
        <f>IFERROR(INDEX(Produtos!$D$2:$D$71,MATCH(C1737,Produtos!$A$2:$A$71,0)),0)</f>
        <v/>
      </c>
      <c r="Q1737" s="25">
        <f>IFERROR(INDEX(Produtos!$E$2:$E$71,MATCH(C1737,Produtos!$A$2:$A$71,0)),0)</f>
        <v/>
      </c>
      <c r="R1737" s="27">
        <f>D1737*Q1737</f>
        <v/>
      </c>
      <c r="S1737" s="27">
        <f>R1737*E1737</f>
        <v/>
      </c>
      <c r="T1737" s="27">
        <f>(R1737-S1737)*M1737</f>
        <v/>
      </c>
      <c r="U1737" s="27">
        <f>R1737-S1737-T1737</f>
        <v/>
      </c>
      <c r="V1737" s="27">
        <f>D1737*P1737</f>
        <v/>
      </c>
      <c r="W1737" s="27">
        <f>U1737-V1737</f>
        <v/>
      </c>
      <c r="X1737" s="28">
        <f>IFERROR(W1737/U1737,0)</f>
        <v/>
      </c>
    </row>
    <row r="1738">
      <c r="A1738" s="21">
        <f>ItensPedido!A1738</f>
        <v/>
      </c>
      <c r="B1738" s="21">
        <f>ItensPedido!B1738</f>
        <v/>
      </c>
      <c r="C1738" s="21">
        <f>ItensPedido!C1738</f>
        <v/>
      </c>
      <c r="D1738" s="21">
        <f>ItensPedido!D1738</f>
        <v/>
      </c>
      <c r="E1738" s="22">
        <f>ItensPedido!E1738</f>
        <v/>
      </c>
      <c r="F1738" s="21">
        <f>IFERROR(INDEX(Pedidos!$B$2:$B$1801,MATCH(B1738,Pedidos!$A$2:$A$1801,0)),0)</f>
        <v/>
      </c>
      <c r="G1738" s="21">
        <f>IF(F1738=0,"",YEAR(F1738))</f>
        <v/>
      </c>
      <c r="H1738" s="21">
        <f>IF(F1738=0,"",MONTH(F1738))</f>
        <v/>
      </c>
      <c r="I1738" s="21">
        <f>IFERROR(INDEX(Pedidos!$E$2:$E$1801,MATCH(B1738,Pedidos!$A$2:$A$1801,0)),"")</f>
        <v/>
      </c>
      <c r="J1738" s="21">
        <f>IFERROR(INDEX(Pedidos!$C$2:$C$1801,MATCH(B1738,Pedidos!$A$2:$A$1801,0)),"")</f>
        <v/>
      </c>
      <c r="K1738" s="21">
        <f>IFERROR(INDEX(Pedidos!$D$2:$D$1801,MATCH(B1738,Pedidos!$A$2:$A$1801,0)),"")</f>
        <v/>
      </c>
      <c r="L1738" s="21">
        <f>IFERROR(INDEX(Pedidos!$F$2:$F$1801,MATCH(B1738,Pedidos!$A$2:$A$1801,0)),"")</f>
        <v/>
      </c>
      <c r="M1738" s="22">
        <f>IFERROR(INDEX(Pedidos!$G$2:$G$1801,MATCH(B1738,Pedidos!$A$2:$A$1801,0)),0)</f>
        <v/>
      </c>
      <c r="N1738" s="21">
        <f>IFERROR(INDEX(Produtos!$B$2:$B$71,MATCH(C1738,Produtos!$A$2:$A$71,0)),"")</f>
        <v/>
      </c>
      <c r="O1738" s="21">
        <f>IFERROR(INDEX(Produtos!$C$2:$C$71,MATCH(C1738,Produtos!$A$2:$A$71,0)),"")</f>
        <v/>
      </c>
      <c r="P1738" s="21">
        <f>IFERROR(INDEX(Produtos!$D$2:$D$71,MATCH(C1738,Produtos!$A$2:$A$71,0)),0)</f>
        <v/>
      </c>
      <c r="Q1738" s="21">
        <f>IFERROR(INDEX(Produtos!$E$2:$E$71,MATCH(C1738,Produtos!$A$2:$A$71,0)),0)</f>
        <v/>
      </c>
      <c r="R1738" s="23">
        <f>D1738*Q1738</f>
        <v/>
      </c>
      <c r="S1738" s="23">
        <f>R1738*E1738</f>
        <v/>
      </c>
      <c r="T1738" s="23">
        <f>(R1738-S1738)*M1738</f>
        <v/>
      </c>
      <c r="U1738" s="23">
        <f>R1738-S1738-T1738</f>
        <v/>
      </c>
      <c r="V1738" s="23">
        <f>D1738*P1738</f>
        <v/>
      </c>
      <c r="W1738" s="23">
        <f>U1738-V1738</f>
        <v/>
      </c>
      <c r="X1738" s="24">
        <f>IFERROR(W1738/U1738,0)</f>
        <v/>
      </c>
    </row>
    <row r="1739">
      <c r="A1739" s="25">
        <f>ItensPedido!A1739</f>
        <v/>
      </c>
      <c r="B1739" s="25">
        <f>ItensPedido!B1739</f>
        <v/>
      </c>
      <c r="C1739" s="25">
        <f>ItensPedido!C1739</f>
        <v/>
      </c>
      <c r="D1739" s="25">
        <f>ItensPedido!D1739</f>
        <v/>
      </c>
      <c r="E1739" s="26">
        <f>ItensPedido!E1739</f>
        <v/>
      </c>
      <c r="F1739" s="25">
        <f>IFERROR(INDEX(Pedidos!$B$2:$B$1801,MATCH(B1739,Pedidos!$A$2:$A$1801,0)),0)</f>
        <v/>
      </c>
      <c r="G1739" s="25">
        <f>IF(F1739=0,"",YEAR(F1739))</f>
        <v/>
      </c>
      <c r="H1739" s="25">
        <f>IF(F1739=0,"",MONTH(F1739))</f>
        <v/>
      </c>
      <c r="I1739" s="25">
        <f>IFERROR(INDEX(Pedidos!$E$2:$E$1801,MATCH(B1739,Pedidos!$A$2:$A$1801,0)),"")</f>
        <v/>
      </c>
      <c r="J1739" s="25">
        <f>IFERROR(INDEX(Pedidos!$C$2:$C$1801,MATCH(B1739,Pedidos!$A$2:$A$1801,0)),"")</f>
        <v/>
      </c>
      <c r="K1739" s="25">
        <f>IFERROR(INDEX(Pedidos!$D$2:$D$1801,MATCH(B1739,Pedidos!$A$2:$A$1801,0)),"")</f>
        <v/>
      </c>
      <c r="L1739" s="25">
        <f>IFERROR(INDEX(Pedidos!$F$2:$F$1801,MATCH(B1739,Pedidos!$A$2:$A$1801,0)),"")</f>
        <v/>
      </c>
      <c r="M1739" s="26">
        <f>IFERROR(INDEX(Pedidos!$G$2:$G$1801,MATCH(B1739,Pedidos!$A$2:$A$1801,0)),0)</f>
        <v/>
      </c>
      <c r="N1739" s="25">
        <f>IFERROR(INDEX(Produtos!$B$2:$B$71,MATCH(C1739,Produtos!$A$2:$A$71,0)),"")</f>
        <v/>
      </c>
      <c r="O1739" s="25">
        <f>IFERROR(INDEX(Produtos!$C$2:$C$71,MATCH(C1739,Produtos!$A$2:$A$71,0)),"")</f>
        <v/>
      </c>
      <c r="P1739" s="25">
        <f>IFERROR(INDEX(Produtos!$D$2:$D$71,MATCH(C1739,Produtos!$A$2:$A$71,0)),0)</f>
        <v/>
      </c>
      <c r="Q1739" s="25">
        <f>IFERROR(INDEX(Produtos!$E$2:$E$71,MATCH(C1739,Produtos!$A$2:$A$71,0)),0)</f>
        <v/>
      </c>
      <c r="R1739" s="27">
        <f>D1739*Q1739</f>
        <v/>
      </c>
      <c r="S1739" s="27">
        <f>R1739*E1739</f>
        <v/>
      </c>
      <c r="T1739" s="27">
        <f>(R1739-S1739)*M1739</f>
        <v/>
      </c>
      <c r="U1739" s="27">
        <f>R1739-S1739-T1739</f>
        <v/>
      </c>
      <c r="V1739" s="27">
        <f>D1739*P1739</f>
        <v/>
      </c>
      <c r="W1739" s="27">
        <f>U1739-V1739</f>
        <v/>
      </c>
      <c r="X1739" s="28">
        <f>IFERROR(W1739/U1739,0)</f>
        <v/>
      </c>
    </row>
    <row r="1740">
      <c r="A1740" s="21">
        <f>ItensPedido!A1740</f>
        <v/>
      </c>
      <c r="B1740" s="21">
        <f>ItensPedido!B1740</f>
        <v/>
      </c>
      <c r="C1740" s="21">
        <f>ItensPedido!C1740</f>
        <v/>
      </c>
      <c r="D1740" s="21">
        <f>ItensPedido!D1740</f>
        <v/>
      </c>
      <c r="E1740" s="22">
        <f>ItensPedido!E1740</f>
        <v/>
      </c>
      <c r="F1740" s="21">
        <f>IFERROR(INDEX(Pedidos!$B$2:$B$1801,MATCH(B1740,Pedidos!$A$2:$A$1801,0)),0)</f>
        <v/>
      </c>
      <c r="G1740" s="21">
        <f>IF(F1740=0,"",YEAR(F1740))</f>
        <v/>
      </c>
      <c r="H1740" s="21">
        <f>IF(F1740=0,"",MONTH(F1740))</f>
        <v/>
      </c>
      <c r="I1740" s="21">
        <f>IFERROR(INDEX(Pedidos!$E$2:$E$1801,MATCH(B1740,Pedidos!$A$2:$A$1801,0)),"")</f>
        <v/>
      </c>
      <c r="J1740" s="21">
        <f>IFERROR(INDEX(Pedidos!$C$2:$C$1801,MATCH(B1740,Pedidos!$A$2:$A$1801,0)),"")</f>
        <v/>
      </c>
      <c r="K1740" s="21">
        <f>IFERROR(INDEX(Pedidos!$D$2:$D$1801,MATCH(B1740,Pedidos!$A$2:$A$1801,0)),"")</f>
        <v/>
      </c>
      <c r="L1740" s="21">
        <f>IFERROR(INDEX(Pedidos!$F$2:$F$1801,MATCH(B1740,Pedidos!$A$2:$A$1801,0)),"")</f>
        <v/>
      </c>
      <c r="M1740" s="22">
        <f>IFERROR(INDEX(Pedidos!$G$2:$G$1801,MATCH(B1740,Pedidos!$A$2:$A$1801,0)),0)</f>
        <v/>
      </c>
      <c r="N1740" s="21">
        <f>IFERROR(INDEX(Produtos!$B$2:$B$71,MATCH(C1740,Produtos!$A$2:$A$71,0)),"")</f>
        <v/>
      </c>
      <c r="O1740" s="21">
        <f>IFERROR(INDEX(Produtos!$C$2:$C$71,MATCH(C1740,Produtos!$A$2:$A$71,0)),"")</f>
        <v/>
      </c>
      <c r="P1740" s="21">
        <f>IFERROR(INDEX(Produtos!$D$2:$D$71,MATCH(C1740,Produtos!$A$2:$A$71,0)),0)</f>
        <v/>
      </c>
      <c r="Q1740" s="21">
        <f>IFERROR(INDEX(Produtos!$E$2:$E$71,MATCH(C1740,Produtos!$A$2:$A$71,0)),0)</f>
        <v/>
      </c>
      <c r="R1740" s="23">
        <f>D1740*Q1740</f>
        <v/>
      </c>
      <c r="S1740" s="23">
        <f>R1740*E1740</f>
        <v/>
      </c>
      <c r="T1740" s="23">
        <f>(R1740-S1740)*M1740</f>
        <v/>
      </c>
      <c r="U1740" s="23">
        <f>R1740-S1740-T1740</f>
        <v/>
      </c>
      <c r="V1740" s="23">
        <f>D1740*P1740</f>
        <v/>
      </c>
      <c r="W1740" s="23">
        <f>U1740-V1740</f>
        <v/>
      </c>
      <c r="X1740" s="24">
        <f>IFERROR(W1740/U1740,0)</f>
        <v/>
      </c>
    </row>
    <row r="1741">
      <c r="A1741" s="25">
        <f>ItensPedido!A1741</f>
        <v/>
      </c>
      <c r="B1741" s="25">
        <f>ItensPedido!B1741</f>
        <v/>
      </c>
      <c r="C1741" s="25">
        <f>ItensPedido!C1741</f>
        <v/>
      </c>
      <c r="D1741" s="25">
        <f>ItensPedido!D1741</f>
        <v/>
      </c>
      <c r="E1741" s="26">
        <f>ItensPedido!E1741</f>
        <v/>
      </c>
      <c r="F1741" s="25">
        <f>IFERROR(INDEX(Pedidos!$B$2:$B$1801,MATCH(B1741,Pedidos!$A$2:$A$1801,0)),0)</f>
        <v/>
      </c>
      <c r="G1741" s="25">
        <f>IF(F1741=0,"",YEAR(F1741))</f>
        <v/>
      </c>
      <c r="H1741" s="25">
        <f>IF(F1741=0,"",MONTH(F1741))</f>
        <v/>
      </c>
      <c r="I1741" s="25">
        <f>IFERROR(INDEX(Pedidos!$E$2:$E$1801,MATCH(B1741,Pedidos!$A$2:$A$1801,0)),"")</f>
        <v/>
      </c>
      <c r="J1741" s="25">
        <f>IFERROR(INDEX(Pedidos!$C$2:$C$1801,MATCH(B1741,Pedidos!$A$2:$A$1801,0)),"")</f>
        <v/>
      </c>
      <c r="K1741" s="25">
        <f>IFERROR(INDEX(Pedidos!$D$2:$D$1801,MATCH(B1741,Pedidos!$A$2:$A$1801,0)),"")</f>
        <v/>
      </c>
      <c r="L1741" s="25">
        <f>IFERROR(INDEX(Pedidos!$F$2:$F$1801,MATCH(B1741,Pedidos!$A$2:$A$1801,0)),"")</f>
        <v/>
      </c>
      <c r="M1741" s="26">
        <f>IFERROR(INDEX(Pedidos!$G$2:$G$1801,MATCH(B1741,Pedidos!$A$2:$A$1801,0)),0)</f>
        <v/>
      </c>
      <c r="N1741" s="25">
        <f>IFERROR(INDEX(Produtos!$B$2:$B$71,MATCH(C1741,Produtos!$A$2:$A$71,0)),"")</f>
        <v/>
      </c>
      <c r="O1741" s="25">
        <f>IFERROR(INDEX(Produtos!$C$2:$C$71,MATCH(C1741,Produtos!$A$2:$A$71,0)),"")</f>
        <v/>
      </c>
      <c r="P1741" s="25">
        <f>IFERROR(INDEX(Produtos!$D$2:$D$71,MATCH(C1741,Produtos!$A$2:$A$71,0)),0)</f>
        <v/>
      </c>
      <c r="Q1741" s="25">
        <f>IFERROR(INDEX(Produtos!$E$2:$E$71,MATCH(C1741,Produtos!$A$2:$A$71,0)),0)</f>
        <v/>
      </c>
      <c r="R1741" s="27">
        <f>D1741*Q1741</f>
        <v/>
      </c>
      <c r="S1741" s="27">
        <f>R1741*E1741</f>
        <v/>
      </c>
      <c r="T1741" s="27">
        <f>(R1741-S1741)*M1741</f>
        <v/>
      </c>
      <c r="U1741" s="27">
        <f>R1741-S1741-T1741</f>
        <v/>
      </c>
      <c r="V1741" s="27">
        <f>D1741*P1741</f>
        <v/>
      </c>
      <c r="W1741" s="27">
        <f>U1741-V1741</f>
        <v/>
      </c>
      <c r="X1741" s="28">
        <f>IFERROR(W1741/U1741,0)</f>
        <v/>
      </c>
    </row>
    <row r="1742">
      <c r="A1742" s="21">
        <f>ItensPedido!A1742</f>
        <v/>
      </c>
      <c r="B1742" s="21">
        <f>ItensPedido!B1742</f>
        <v/>
      </c>
      <c r="C1742" s="21">
        <f>ItensPedido!C1742</f>
        <v/>
      </c>
      <c r="D1742" s="21">
        <f>ItensPedido!D1742</f>
        <v/>
      </c>
      <c r="E1742" s="22">
        <f>ItensPedido!E1742</f>
        <v/>
      </c>
      <c r="F1742" s="21">
        <f>IFERROR(INDEX(Pedidos!$B$2:$B$1801,MATCH(B1742,Pedidos!$A$2:$A$1801,0)),0)</f>
        <v/>
      </c>
      <c r="G1742" s="21">
        <f>IF(F1742=0,"",YEAR(F1742))</f>
        <v/>
      </c>
      <c r="H1742" s="21">
        <f>IF(F1742=0,"",MONTH(F1742))</f>
        <v/>
      </c>
      <c r="I1742" s="21">
        <f>IFERROR(INDEX(Pedidos!$E$2:$E$1801,MATCH(B1742,Pedidos!$A$2:$A$1801,0)),"")</f>
        <v/>
      </c>
      <c r="J1742" s="21">
        <f>IFERROR(INDEX(Pedidos!$C$2:$C$1801,MATCH(B1742,Pedidos!$A$2:$A$1801,0)),"")</f>
        <v/>
      </c>
      <c r="K1742" s="21">
        <f>IFERROR(INDEX(Pedidos!$D$2:$D$1801,MATCH(B1742,Pedidos!$A$2:$A$1801,0)),"")</f>
        <v/>
      </c>
      <c r="L1742" s="21">
        <f>IFERROR(INDEX(Pedidos!$F$2:$F$1801,MATCH(B1742,Pedidos!$A$2:$A$1801,0)),"")</f>
        <v/>
      </c>
      <c r="M1742" s="22">
        <f>IFERROR(INDEX(Pedidos!$G$2:$G$1801,MATCH(B1742,Pedidos!$A$2:$A$1801,0)),0)</f>
        <v/>
      </c>
      <c r="N1742" s="21">
        <f>IFERROR(INDEX(Produtos!$B$2:$B$71,MATCH(C1742,Produtos!$A$2:$A$71,0)),"")</f>
        <v/>
      </c>
      <c r="O1742" s="21">
        <f>IFERROR(INDEX(Produtos!$C$2:$C$71,MATCH(C1742,Produtos!$A$2:$A$71,0)),"")</f>
        <v/>
      </c>
      <c r="P1742" s="21">
        <f>IFERROR(INDEX(Produtos!$D$2:$D$71,MATCH(C1742,Produtos!$A$2:$A$71,0)),0)</f>
        <v/>
      </c>
      <c r="Q1742" s="21">
        <f>IFERROR(INDEX(Produtos!$E$2:$E$71,MATCH(C1742,Produtos!$A$2:$A$71,0)),0)</f>
        <v/>
      </c>
      <c r="R1742" s="23">
        <f>D1742*Q1742</f>
        <v/>
      </c>
      <c r="S1742" s="23">
        <f>R1742*E1742</f>
        <v/>
      </c>
      <c r="T1742" s="23">
        <f>(R1742-S1742)*M1742</f>
        <v/>
      </c>
      <c r="U1742" s="23">
        <f>R1742-S1742-T1742</f>
        <v/>
      </c>
      <c r="V1742" s="23">
        <f>D1742*P1742</f>
        <v/>
      </c>
      <c r="W1742" s="23">
        <f>U1742-V1742</f>
        <v/>
      </c>
      <c r="X1742" s="24">
        <f>IFERROR(W1742/U1742,0)</f>
        <v/>
      </c>
    </row>
    <row r="1743">
      <c r="A1743" s="25">
        <f>ItensPedido!A1743</f>
        <v/>
      </c>
      <c r="B1743" s="25">
        <f>ItensPedido!B1743</f>
        <v/>
      </c>
      <c r="C1743" s="25">
        <f>ItensPedido!C1743</f>
        <v/>
      </c>
      <c r="D1743" s="25">
        <f>ItensPedido!D1743</f>
        <v/>
      </c>
      <c r="E1743" s="26">
        <f>ItensPedido!E1743</f>
        <v/>
      </c>
      <c r="F1743" s="25">
        <f>IFERROR(INDEX(Pedidos!$B$2:$B$1801,MATCH(B1743,Pedidos!$A$2:$A$1801,0)),0)</f>
        <v/>
      </c>
      <c r="G1743" s="25">
        <f>IF(F1743=0,"",YEAR(F1743))</f>
        <v/>
      </c>
      <c r="H1743" s="25">
        <f>IF(F1743=0,"",MONTH(F1743))</f>
        <v/>
      </c>
      <c r="I1743" s="25">
        <f>IFERROR(INDEX(Pedidos!$E$2:$E$1801,MATCH(B1743,Pedidos!$A$2:$A$1801,0)),"")</f>
        <v/>
      </c>
      <c r="J1743" s="25">
        <f>IFERROR(INDEX(Pedidos!$C$2:$C$1801,MATCH(B1743,Pedidos!$A$2:$A$1801,0)),"")</f>
        <v/>
      </c>
      <c r="K1743" s="25">
        <f>IFERROR(INDEX(Pedidos!$D$2:$D$1801,MATCH(B1743,Pedidos!$A$2:$A$1801,0)),"")</f>
        <v/>
      </c>
      <c r="L1743" s="25">
        <f>IFERROR(INDEX(Pedidos!$F$2:$F$1801,MATCH(B1743,Pedidos!$A$2:$A$1801,0)),"")</f>
        <v/>
      </c>
      <c r="M1743" s="26">
        <f>IFERROR(INDEX(Pedidos!$G$2:$G$1801,MATCH(B1743,Pedidos!$A$2:$A$1801,0)),0)</f>
        <v/>
      </c>
      <c r="N1743" s="25">
        <f>IFERROR(INDEX(Produtos!$B$2:$B$71,MATCH(C1743,Produtos!$A$2:$A$71,0)),"")</f>
        <v/>
      </c>
      <c r="O1743" s="25">
        <f>IFERROR(INDEX(Produtos!$C$2:$C$71,MATCH(C1743,Produtos!$A$2:$A$71,0)),"")</f>
        <v/>
      </c>
      <c r="P1743" s="25">
        <f>IFERROR(INDEX(Produtos!$D$2:$D$71,MATCH(C1743,Produtos!$A$2:$A$71,0)),0)</f>
        <v/>
      </c>
      <c r="Q1743" s="25">
        <f>IFERROR(INDEX(Produtos!$E$2:$E$71,MATCH(C1743,Produtos!$A$2:$A$71,0)),0)</f>
        <v/>
      </c>
      <c r="R1743" s="27">
        <f>D1743*Q1743</f>
        <v/>
      </c>
      <c r="S1743" s="27">
        <f>R1743*E1743</f>
        <v/>
      </c>
      <c r="T1743" s="27">
        <f>(R1743-S1743)*M1743</f>
        <v/>
      </c>
      <c r="U1743" s="27">
        <f>R1743-S1743-T1743</f>
        <v/>
      </c>
      <c r="V1743" s="27">
        <f>D1743*P1743</f>
        <v/>
      </c>
      <c r="W1743" s="27">
        <f>U1743-V1743</f>
        <v/>
      </c>
      <c r="X1743" s="28">
        <f>IFERROR(W1743/U1743,0)</f>
        <v/>
      </c>
    </row>
    <row r="1744">
      <c r="A1744" s="21">
        <f>ItensPedido!A1744</f>
        <v/>
      </c>
      <c r="B1744" s="21">
        <f>ItensPedido!B1744</f>
        <v/>
      </c>
      <c r="C1744" s="21">
        <f>ItensPedido!C1744</f>
        <v/>
      </c>
      <c r="D1744" s="21">
        <f>ItensPedido!D1744</f>
        <v/>
      </c>
      <c r="E1744" s="22">
        <f>ItensPedido!E1744</f>
        <v/>
      </c>
      <c r="F1744" s="21">
        <f>IFERROR(INDEX(Pedidos!$B$2:$B$1801,MATCH(B1744,Pedidos!$A$2:$A$1801,0)),0)</f>
        <v/>
      </c>
      <c r="G1744" s="21">
        <f>IF(F1744=0,"",YEAR(F1744))</f>
        <v/>
      </c>
      <c r="H1744" s="21">
        <f>IF(F1744=0,"",MONTH(F1744))</f>
        <v/>
      </c>
      <c r="I1744" s="21">
        <f>IFERROR(INDEX(Pedidos!$E$2:$E$1801,MATCH(B1744,Pedidos!$A$2:$A$1801,0)),"")</f>
        <v/>
      </c>
      <c r="J1744" s="21">
        <f>IFERROR(INDEX(Pedidos!$C$2:$C$1801,MATCH(B1744,Pedidos!$A$2:$A$1801,0)),"")</f>
        <v/>
      </c>
      <c r="K1744" s="21">
        <f>IFERROR(INDEX(Pedidos!$D$2:$D$1801,MATCH(B1744,Pedidos!$A$2:$A$1801,0)),"")</f>
        <v/>
      </c>
      <c r="L1744" s="21">
        <f>IFERROR(INDEX(Pedidos!$F$2:$F$1801,MATCH(B1744,Pedidos!$A$2:$A$1801,0)),"")</f>
        <v/>
      </c>
      <c r="M1744" s="22">
        <f>IFERROR(INDEX(Pedidos!$G$2:$G$1801,MATCH(B1744,Pedidos!$A$2:$A$1801,0)),0)</f>
        <v/>
      </c>
      <c r="N1744" s="21">
        <f>IFERROR(INDEX(Produtos!$B$2:$B$71,MATCH(C1744,Produtos!$A$2:$A$71,0)),"")</f>
        <v/>
      </c>
      <c r="O1744" s="21">
        <f>IFERROR(INDEX(Produtos!$C$2:$C$71,MATCH(C1744,Produtos!$A$2:$A$71,0)),"")</f>
        <v/>
      </c>
      <c r="P1744" s="21">
        <f>IFERROR(INDEX(Produtos!$D$2:$D$71,MATCH(C1744,Produtos!$A$2:$A$71,0)),0)</f>
        <v/>
      </c>
      <c r="Q1744" s="21">
        <f>IFERROR(INDEX(Produtos!$E$2:$E$71,MATCH(C1744,Produtos!$A$2:$A$71,0)),0)</f>
        <v/>
      </c>
      <c r="R1744" s="23">
        <f>D1744*Q1744</f>
        <v/>
      </c>
      <c r="S1744" s="23">
        <f>R1744*E1744</f>
        <v/>
      </c>
      <c r="T1744" s="23">
        <f>(R1744-S1744)*M1744</f>
        <v/>
      </c>
      <c r="U1744" s="23">
        <f>R1744-S1744-T1744</f>
        <v/>
      </c>
      <c r="V1744" s="23">
        <f>D1744*P1744</f>
        <v/>
      </c>
      <c r="W1744" s="23">
        <f>U1744-V1744</f>
        <v/>
      </c>
      <c r="X1744" s="24">
        <f>IFERROR(W1744/U1744,0)</f>
        <v/>
      </c>
    </row>
    <row r="1745">
      <c r="A1745" s="25">
        <f>ItensPedido!A1745</f>
        <v/>
      </c>
      <c r="B1745" s="25">
        <f>ItensPedido!B1745</f>
        <v/>
      </c>
      <c r="C1745" s="25">
        <f>ItensPedido!C1745</f>
        <v/>
      </c>
      <c r="D1745" s="25">
        <f>ItensPedido!D1745</f>
        <v/>
      </c>
      <c r="E1745" s="26">
        <f>ItensPedido!E1745</f>
        <v/>
      </c>
      <c r="F1745" s="25">
        <f>IFERROR(INDEX(Pedidos!$B$2:$B$1801,MATCH(B1745,Pedidos!$A$2:$A$1801,0)),0)</f>
        <v/>
      </c>
      <c r="G1745" s="25">
        <f>IF(F1745=0,"",YEAR(F1745))</f>
        <v/>
      </c>
      <c r="H1745" s="25">
        <f>IF(F1745=0,"",MONTH(F1745))</f>
        <v/>
      </c>
      <c r="I1745" s="25">
        <f>IFERROR(INDEX(Pedidos!$E$2:$E$1801,MATCH(B1745,Pedidos!$A$2:$A$1801,0)),"")</f>
        <v/>
      </c>
      <c r="J1745" s="25">
        <f>IFERROR(INDEX(Pedidos!$C$2:$C$1801,MATCH(B1745,Pedidos!$A$2:$A$1801,0)),"")</f>
        <v/>
      </c>
      <c r="K1745" s="25">
        <f>IFERROR(INDEX(Pedidos!$D$2:$D$1801,MATCH(B1745,Pedidos!$A$2:$A$1801,0)),"")</f>
        <v/>
      </c>
      <c r="L1745" s="25">
        <f>IFERROR(INDEX(Pedidos!$F$2:$F$1801,MATCH(B1745,Pedidos!$A$2:$A$1801,0)),"")</f>
        <v/>
      </c>
      <c r="M1745" s="26">
        <f>IFERROR(INDEX(Pedidos!$G$2:$G$1801,MATCH(B1745,Pedidos!$A$2:$A$1801,0)),0)</f>
        <v/>
      </c>
      <c r="N1745" s="25">
        <f>IFERROR(INDEX(Produtos!$B$2:$B$71,MATCH(C1745,Produtos!$A$2:$A$71,0)),"")</f>
        <v/>
      </c>
      <c r="O1745" s="25">
        <f>IFERROR(INDEX(Produtos!$C$2:$C$71,MATCH(C1745,Produtos!$A$2:$A$71,0)),"")</f>
        <v/>
      </c>
      <c r="P1745" s="25">
        <f>IFERROR(INDEX(Produtos!$D$2:$D$71,MATCH(C1745,Produtos!$A$2:$A$71,0)),0)</f>
        <v/>
      </c>
      <c r="Q1745" s="25">
        <f>IFERROR(INDEX(Produtos!$E$2:$E$71,MATCH(C1745,Produtos!$A$2:$A$71,0)),0)</f>
        <v/>
      </c>
      <c r="R1745" s="27">
        <f>D1745*Q1745</f>
        <v/>
      </c>
      <c r="S1745" s="27">
        <f>R1745*E1745</f>
        <v/>
      </c>
      <c r="T1745" s="27">
        <f>(R1745-S1745)*M1745</f>
        <v/>
      </c>
      <c r="U1745" s="27">
        <f>R1745-S1745-T1745</f>
        <v/>
      </c>
      <c r="V1745" s="27">
        <f>D1745*P1745</f>
        <v/>
      </c>
      <c r="W1745" s="27">
        <f>U1745-V1745</f>
        <v/>
      </c>
      <c r="X1745" s="28">
        <f>IFERROR(W1745/U1745,0)</f>
        <v/>
      </c>
    </row>
    <row r="1746">
      <c r="A1746" s="21">
        <f>ItensPedido!A1746</f>
        <v/>
      </c>
      <c r="B1746" s="21">
        <f>ItensPedido!B1746</f>
        <v/>
      </c>
      <c r="C1746" s="21">
        <f>ItensPedido!C1746</f>
        <v/>
      </c>
      <c r="D1746" s="21">
        <f>ItensPedido!D1746</f>
        <v/>
      </c>
      <c r="E1746" s="22">
        <f>ItensPedido!E1746</f>
        <v/>
      </c>
      <c r="F1746" s="21">
        <f>IFERROR(INDEX(Pedidos!$B$2:$B$1801,MATCH(B1746,Pedidos!$A$2:$A$1801,0)),0)</f>
        <v/>
      </c>
      <c r="G1746" s="21">
        <f>IF(F1746=0,"",YEAR(F1746))</f>
        <v/>
      </c>
      <c r="H1746" s="21">
        <f>IF(F1746=0,"",MONTH(F1746))</f>
        <v/>
      </c>
      <c r="I1746" s="21">
        <f>IFERROR(INDEX(Pedidos!$E$2:$E$1801,MATCH(B1746,Pedidos!$A$2:$A$1801,0)),"")</f>
        <v/>
      </c>
      <c r="J1746" s="21">
        <f>IFERROR(INDEX(Pedidos!$C$2:$C$1801,MATCH(B1746,Pedidos!$A$2:$A$1801,0)),"")</f>
        <v/>
      </c>
      <c r="K1746" s="21">
        <f>IFERROR(INDEX(Pedidos!$D$2:$D$1801,MATCH(B1746,Pedidos!$A$2:$A$1801,0)),"")</f>
        <v/>
      </c>
      <c r="L1746" s="21">
        <f>IFERROR(INDEX(Pedidos!$F$2:$F$1801,MATCH(B1746,Pedidos!$A$2:$A$1801,0)),"")</f>
        <v/>
      </c>
      <c r="M1746" s="22">
        <f>IFERROR(INDEX(Pedidos!$G$2:$G$1801,MATCH(B1746,Pedidos!$A$2:$A$1801,0)),0)</f>
        <v/>
      </c>
      <c r="N1746" s="21">
        <f>IFERROR(INDEX(Produtos!$B$2:$B$71,MATCH(C1746,Produtos!$A$2:$A$71,0)),"")</f>
        <v/>
      </c>
      <c r="O1746" s="21">
        <f>IFERROR(INDEX(Produtos!$C$2:$C$71,MATCH(C1746,Produtos!$A$2:$A$71,0)),"")</f>
        <v/>
      </c>
      <c r="P1746" s="21">
        <f>IFERROR(INDEX(Produtos!$D$2:$D$71,MATCH(C1746,Produtos!$A$2:$A$71,0)),0)</f>
        <v/>
      </c>
      <c r="Q1746" s="21">
        <f>IFERROR(INDEX(Produtos!$E$2:$E$71,MATCH(C1746,Produtos!$A$2:$A$71,0)),0)</f>
        <v/>
      </c>
      <c r="R1746" s="23">
        <f>D1746*Q1746</f>
        <v/>
      </c>
      <c r="S1746" s="23">
        <f>R1746*E1746</f>
        <v/>
      </c>
      <c r="T1746" s="23">
        <f>(R1746-S1746)*M1746</f>
        <v/>
      </c>
      <c r="U1746" s="23">
        <f>R1746-S1746-T1746</f>
        <v/>
      </c>
      <c r="V1746" s="23">
        <f>D1746*P1746</f>
        <v/>
      </c>
      <c r="W1746" s="23">
        <f>U1746-V1746</f>
        <v/>
      </c>
      <c r="X1746" s="24">
        <f>IFERROR(W1746/U1746,0)</f>
        <v/>
      </c>
    </row>
    <row r="1747">
      <c r="A1747" s="25">
        <f>ItensPedido!A1747</f>
        <v/>
      </c>
      <c r="B1747" s="25">
        <f>ItensPedido!B1747</f>
        <v/>
      </c>
      <c r="C1747" s="25">
        <f>ItensPedido!C1747</f>
        <v/>
      </c>
      <c r="D1747" s="25">
        <f>ItensPedido!D1747</f>
        <v/>
      </c>
      <c r="E1747" s="26">
        <f>ItensPedido!E1747</f>
        <v/>
      </c>
      <c r="F1747" s="25">
        <f>IFERROR(INDEX(Pedidos!$B$2:$B$1801,MATCH(B1747,Pedidos!$A$2:$A$1801,0)),0)</f>
        <v/>
      </c>
      <c r="G1747" s="25">
        <f>IF(F1747=0,"",YEAR(F1747))</f>
        <v/>
      </c>
      <c r="H1747" s="25">
        <f>IF(F1747=0,"",MONTH(F1747))</f>
        <v/>
      </c>
      <c r="I1747" s="25">
        <f>IFERROR(INDEX(Pedidos!$E$2:$E$1801,MATCH(B1747,Pedidos!$A$2:$A$1801,0)),"")</f>
        <v/>
      </c>
      <c r="J1747" s="25">
        <f>IFERROR(INDEX(Pedidos!$C$2:$C$1801,MATCH(B1747,Pedidos!$A$2:$A$1801,0)),"")</f>
        <v/>
      </c>
      <c r="K1747" s="25">
        <f>IFERROR(INDEX(Pedidos!$D$2:$D$1801,MATCH(B1747,Pedidos!$A$2:$A$1801,0)),"")</f>
        <v/>
      </c>
      <c r="L1747" s="25">
        <f>IFERROR(INDEX(Pedidos!$F$2:$F$1801,MATCH(B1747,Pedidos!$A$2:$A$1801,0)),"")</f>
        <v/>
      </c>
      <c r="M1747" s="26">
        <f>IFERROR(INDEX(Pedidos!$G$2:$G$1801,MATCH(B1747,Pedidos!$A$2:$A$1801,0)),0)</f>
        <v/>
      </c>
      <c r="N1747" s="25">
        <f>IFERROR(INDEX(Produtos!$B$2:$B$71,MATCH(C1747,Produtos!$A$2:$A$71,0)),"")</f>
        <v/>
      </c>
      <c r="O1747" s="25">
        <f>IFERROR(INDEX(Produtos!$C$2:$C$71,MATCH(C1747,Produtos!$A$2:$A$71,0)),"")</f>
        <v/>
      </c>
      <c r="P1747" s="25">
        <f>IFERROR(INDEX(Produtos!$D$2:$D$71,MATCH(C1747,Produtos!$A$2:$A$71,0)),0)</f>
        <v/>
      </c>
      <c r="Q1747" s="25">
        <f>IFERROR(INDEX(Produtos!$E$2:$E$71,MATCH(C1747,Produtos!$A$2:$A$71,0)),0)</f>
        <v/>
      </c>
      <c r="R1747" s="27">
        <f>D1747*Q1747</f>
        <v/>
      </c>
      <c r="S1747" s="27">
        <f>R1747*E1747</f>
        <v/>
      </c>
      <c r="T1747" s="27">
        <f>(R1747-S1747)*M1747</f>
        <v/>
      </c>
      <c r="U1747" s="27">
        <f>R1747-S1747-T1747</f>
        <v/>
      </c>
      <c r="V1747" s="27">
        <f>D1747*P1747</f>
        <v/>
      </c>
      <c r="W1747" s="27">
        <f>U1747-V1747</f>
        <v/>
      </c>
      <c r="X1747" s="28">
        <f>IFERROR(W1747/U1747,0)</f>
        <v/>
      </c>
    </row>
    <row r="1748">
      <c r="A1748" s="21">
        <f>ItensPedido!A1748</f>
        <v/>
      </c>
      <c r="B1748" s="21">
        <f>ItensPedido!B1748</f>
        <v/>
      </c>
      <c r="C1748" s="21">
        <f>ItensPedido!C1748</f>
        <v/>
      </c>
      <c r="D1748" s="21">
        <f>ItensPedido!D1748</f>
        <v/>
      </c>
      <c r="E1748" s="22">
        <f>ItensPedido!E1748</f>
        <v/>
      </c>
      <c r="F1748" s="21">
        <f>IFERROR(INDEX(Pedidos!$B$2:$B$1801,MATCH(B1748,Pedidos!$A$2:$A$1801,0)),0)</f>
        <v/>
      </c>
      <c r="G1748" s="21">
        <f>IF(F1748=0,"",YEAR(F1748))</f>
        <v/>
      </c>
      <c r="H1748" s="21">
        <f>IF(F1748=0,"",MONTH(F1748))</f>
        <v/>
      </c>
      <c r="I1748" s="21">
        <f>IFERROR(INDEX(Pedidos!$E$2:$E$1801,MATCH(B1748,Pedidos!$A$2:$A$1801,0)),"")</f>
        <v/>
      </c>
      <c r="J1748" s="21">
        <f>IFERROR(INDEX(Pedidos!$C$2:$C$1801,MATCH(B1748,Pedidos!$A$2:$A$1801,0)),"")</f>
        <v/>
      </c>
      <c r="K1748" s="21">
        <f>IFERROR(INDEX(Pedidos!$D$2:$D$1801,MATCH(B1748,Pedidos!$A$2:$A$1801,0)),"")</f>
        <v/>
      </c>
      <c r="L1748" s="21">
        <f>IFERROR(INDEX(Pedidos!$F$2:$F$1801,MATCH(B1748,Pedidos!$A$2:$A$1801,0)),"")</f>
        <v/>
      </c>
      <c r="M1748" s="22">
        <f>IFERROR(INDEX(Pedidos!$G$2:$G$1801,MATCH(B1748,Pedidos!$A$2:$A$1801,0)),0)</f>
        <v/>
      </c>
      <c r="N1748" s="21">
        <f>IFERROR(INDEX(Produtos!$B$2:$B$71,MATCH(C1748,Produtos!$A$2:$A$71,0)),"")</f>
        <v/>
      </c>
      <c r="O1748" s="21">
        <f>IFERROR(INDEX(Produtos!$C$2:$C$71,MATCH(C1748,Produtos!$A$2:$A$71,0)),"")</f>
        <v/>
      </c>
      <c r="P1748" s="21">
        <f>IFERROR(INDEX(Produtos!$D$2:$D$71,MATCH(C1748,Produtos!$A$2:$A$71,0)),0)</f>
        <v/>
      </c>
      <c r="Q1748" s="21">
        <f>IFERROR(INDEX(Produtos!$E$2:$E$71,MATCH(C1748,Produtos!$A$2:$A$71,0)),0)</f>
        <v/>
      </c>
      <c r="R1748" s="23">
        <f>D1748*Q1748</f>
        <v/>
      </c>
      <c r="S1748" s="23">
        <f>R1748*E1748</f>
        <v/>
      </c>
      <c r="T1748" s="23">
        <f>(R1748-S1748)*M1748</f>
        <v/>
      </c>
      <c r="U1748" s="23">
        <f>R1748-S1748-T1748</f>
        <v/>
      </c>
      <c r="V1748" s="23">
        <f>D1748*P1748</f>
        <v/>
      </c>
      <c r="W1748" s="23">
        <f>U1748-V1748</f>
        <v/>
      </c>
      <c r="X1748" s="24">
        <f>IFERROR(W1748/U1748,0)</f>
        <v/>
      </c>
    </row>
    <row r="1749">
      <c r="A1749" s="25">
        <f>ItensPedido!A1749</f>
        <v/>
      </c>
      <c r="B1749" s="25">
        <f>ItensPedido!B1749</f>
        <v/>
      </c>
      <c r="C1749" s="25">
        <f>ItensPedido!C1749</f>
        <v/>
      </c>
      <c r="D1749" s="25">
        <f>ItensPedido!D1749</f>
        <v/>
      </c>
      <c r="E1749" s="26">
        <f>ItensPedido!E1749</f>
        <v/>
      </c>
      <c r="F1749" s="25">
        <f>IFERROR(INDEX(Pedidos!$B$2:$B$1801,MATCH(B1749,Pedidos!$A$2:$A$1801,0)),0)</f>
        <v/>
      </c>
      <c r="G1749" s="25">
        <f>IF(F1749=0,"",YEAR(F1749))</f>
        <v/>
      </c>
      <c r="H1749" s="25">
        <f>IF(F1749=0,"",MONTH(F1749))</f>
        <v/>
      </c>
      <c r="I1749" s="25">
        <f>IFERROR(INDEX(Pedidos!$E$2:$E$1801,MATCH(B1749,Pedidos!$A$2:$A$1801,0)),"")</f>
        <v/>
      </c>
      <c r="J1749" s="25">
        <f>IFERROR(INDEX(Pedidos!$C$2:$C$1801,MATCH(B1749,Pedidos!$A$2:$A$1801,0)),"")</f>
        <v/>
      </c>
      <c r="K1749" s="25">
        <f>IFERROR(INDEX(Pedidos!$D$2:$D$1801,MATCH(B1749,Pedidos!$A$2:$A$1801,0)),"")</f>
        <v/>
      </c>
      <c r="L1749" s="25">
        <f>IFERROR(INDEX(Pedidos!$F$2:$F$1801,MATCH(B1749,Pedidos!$A$2:$A$1801,0)),"")</f>
        <v/>
      </c>
      <c r="M1749" s="26">
        <f>IFERROR(INDEX(Pedidos!$G$2:$G$1801,MATCH(B1749,Pedidos!$A$2:$A$1801,0)),0)</f>
        <v/>
      </c>
      <c r="N1749" s="25">
        <f>IFERROR(INDEX(Produtos!$B$2:$B$71,MATCH(C1749,Produtos!$A$2:$A$71,0)),"")</f>
        <v/>
      </c>
      <c r="O1749" s="25">
        <f>IFERROR(INDEX(Produtos!$C$2:$C$71,MATCH(C1749,Produtos!$A$2:$A$71,0)),"")</f>
        <v/>
      </c>
      <c r="P1749" s="25">
        <f>IFERROR(INDEX(Produtos!$D$2:$D$71,MATCH(C1749,Produtos!$A$2:$A$71,0)),0)</f>
        <v/>
      </c>
      <c r="Q1749" s="25">
        <f>IFERROR(INDEX(Produtos!$E$2:$E$71,MATCH(C1749,Produtos!$A$2:$A$71,0)),0)</f>
        <v/>
      </c>
      <c r="R1749" s="27">
        <f>D1749*Q1749</f>
        <v/>
      </c>
      <c r="S1749" s="27">
        <f>R1749*E1749</f>
        <v/>
      </c>
      <c r="T1749" s="27">
        <f>(R1749-S1749)*M1749</f>
        <v/>
      </c>
      <c r="U1749" s="27">
        <f>R1749-S1749-T1749</f>
        <v/>
      </c>
      <c r="V1749" s="27">
        <f>D1749*P1749</f>
        <v/>
      </c>
      <c r="W1749" s="27">
        <f>U1749-V1749</f>
        <v/>
      </c>
      <c r="X1749" s="28">
        <f>IFERROR(W1749/U1749,0)</f>
        <v/>
      </c>
    </row>
    <row r="1750">
      <c r="A1750" s="21">
        <f>ItensPedido!A1750</f>
        <v/>
      </c>
      <c r="B1750" s="21">
        <f>ItensPedido!B1750</f>
        <v/>
      </c>
      <c r="C1750" s="21">
        <f>ItensPedido!C1750</f>
        <v/>
      </c>
      <c r="D1750" s="21">
        <f>ItensPedido!D1750</f>
        <v/>
      </c>
      <c r="E1750" s="22">
        <f>ItensPedido!E1750</f>
        <v/>
      </c>
      <c r="F1750" s="21">
        <f>IFERROR(INDEX(Pedidos!$B$2:$B$1801,MATCH(B1750,Pedidos!$A$2:$A$1801,0)),0)</f>
        <v/>
      </c>
      <c r="G1750" s="21">
        <f>IF(F1750=0,"",YEAR(F1750))</f>
        <v/>
      </c>
      <c r="H1750" s="21">
        <f>IF(F1750=0,"",MONTH(F1750))</f>
        <v/>
      </c>
      <c r="I1750" s="21">
        <f>IFERROR(INDEX(Pedidos!$E$2:$E$1801,MATCH(B1750,Pedidos!$A$2:$A$1801,0)),"")</f>
        <v/>
      </c>
      <c r="J1750" s="21">
        <f>IFERROR(INDEX(Pedidos!$C$2:$C$1801,MATCH(B1750,Pedidos!$A$2:$A$1801,0)),"")</f>
        <v/>
      </c>
      <c r="K1750" s="21">
        <f>IFERROR(INDEX(Pedidos!$D$2:$D$1801,MATCH(B1750,Pedidos!$A$2:$A$1801,0)),"")</f>
        <v/>
      </c>
      <c r="L1750" s="21">
        <f>IFERROR(INDEX(Pedidos!$F$2:$F$1801,MATCH(B1750,Pedidos!$A$2:$A$1801,0)),"")</f>
        <v/>
      </c>
      <c r="M1750" s="22">
        <f>IFERROR(INDEX(Pedidos!$G$2:$G$1801,MATCH(B1750,Pedidos!$A$2:$A$1801,0)),0)</f>
        <v/>
      </c>
      <c r="N1750" s="21">
        <f>IFERROR(INDEX(Produtos!$B$2:$B$71,MATCH(C1750,Produtos!$A$2:$A$71,0)),"")</f>
        <v/>
      </c>
      <c r="O1750" s="21">
        <f>IFERROR(INDEX(Produtos!$C$2:$C$71,MATCH(C1750,Produtos!$A$2:$A$71,0)),"")</f>
        <v/>
      </c>
      <c r="P1750" s="21">
        <f>IFERROR(INDEX(Produtos!$D$2:$D$71,MATCH(C1750,Produtos!$A$2:$A$71,0)),0)</f>
        <v/>
      </c>
      <c r="Q1750" s="21">
        <f>IFERROR(INDEX(Produtos!$E$2:$E$71,MATCH(C1750,Produtos!$A$2:$A$71,0)),0)</f>
        <v/>
      </c>
      <c r="R1750" s="23">
        <f>D1750*Q1750</f>
        <v/>
      </c>
      <c r="S1750" s="23">
        <f>R1750*E1750</f>
        <v/>
      </c>
      <c r="T1750" s="23">
        <f>(R1750-S1750)*M1750</f>
        <v/>
      </c>
      <c r="U1750" s="23">
        <f>R1750-S1750-T1750</f>
        <v/>
      </c>
      <c r="V1750" s="23">
        <f>D1750*P1750</f>
        <v/>
      </c>
      <c r="W1750" s="23">
        <f>U1750-V1750</f>
        <v/>
      </c>
      <c r="X1750" s="24">
        <f>IFERROR(W1750/U1750,0)</f>
        <v/>
      </c>
    </row>
    <row r="1751">
      <c r="A1751" s="25">
        <f>ItensPedido!A1751</f>
        <v/>
      </c>
      <c r="B1751" s="25">
        <f>ItensPedido!B1751</f>
        <v/>
      </c>
      <c r="C1751" s="25">
        <f>ItensPedido!C1751</f>
        <v/>
      </c>
      <c r="D1751" s="25">
        <f>ItensPedido!D1751</f>
        <v/>
      </c>
      <c r="E1751" s="26">
        <f>ItensPedido!E1751</f>
        <v/>
      </c>
      <c r="F1751" s="25">
        <f>IFERROR(INDEX(Pedidos!$B$2:$B$1801,MATCH(B1751,Pedidos!$A$2:$A$1801,0)),0)</f>
        <v/>
      </c>
      <c r="G1751" s="25">
        <f>IF(F1751=0,"",YEAR(F1751))</f>
        <v/>
      </c>
      <c r="H1751" s="25">
        <f>IF(F1751=0,"",MONTH(F1751))</f>
        <v/>
      </c>
      <c r="I1751" s="25">
        <f>IFERROR(INDEX(Pedidos!$E$2:$E$1801,MATCH(B1751,Pedidos!$A$2:$A$1801,0)),"")</f>
        <v/>
      </c>
      <c r="J1751" s="25">
        <f>IFERROR(INDEX(Pedidos!$C$2:$C$1801,MATCH(B1751,Pedidos!$A$2:$A$1801,0)),"")</f>
        <v/>
      </c>
      <c r="K1751" s="25">
        <f>IFERROR(INDEX(Pedidos!$D$2:$D$1801,MATCH(B1751,Pedidos!$A$2:$A$1801,0)),"")</f>
        <v/>
      </c>
      <c r="L1751" s="25">
        <f>IFERROR(INDEX(Pedidos!$F$2:$F$1801,MATCH(B1751,Pedidos!$A$2:$A$1801,0)),"")</f>
        <v/>
      </c>
      <c r="M1751" s="26">
        <f>IFERROR(INDEX(Pedidos!$G$2:$G$1801,MATCH(B1751,Pedidos!$A$2:$A$1801,0)),0)</f>
        <v/>
      </c>
      <c r="N1751" s="25">
        <f>IFERROR(INDEX(Produtos!$B$2:$B$71,MATCH(C1751,Produtos!$A$2:$A$71,0)),"")</f>
        <v/>
      </c>
      <c r="O1751" s="25">
        <f>IFERROR(INDEX(Produtos!$C$2:$C$71,MATCH(C1751,Produtos!$A$2:$A$71,0)),"")</f>
        <v/>
      </c>
      <c r="P1751" s="25">
        <f>IFERROR(INDEX(Produtos!$D$2:$D$71,MATCH(C1751,Produtos!$A$2:$A$71,0)),0)</f>
        <v/>
      </c>
      <c r="Q1751" s="25">
        <f>IFERROR(INDEX(Produtos!$E$2:$E$71,MATCH(C1751,Produtos!$A$2:$A$71,0)),0)</f>
        <v/>
      </c>
      <c r="R1751" s="27">
        <f>D1751*Q1751</f>
        <v/>
      </c>
      <c r="S1751" s="27">
        <f>R1751*E1751</f>
        <v/>
      </c>
      <c r="T1751" s="27">
        <f>(R1751-S1751)*M1751</f>
        <v/>
      </c>
      <c r="U1751" s="27">
        <f>R1751-S1751-T1751</f>
        <v/>
      </c>
      <c r="V1751" s="27">
        <f>D1751*P1751</f>
        <v/>
      </c>
      <c r="W1751" s="27">
        <f>U1751-V1751</f>
        <v/>
      </c>
      <c r="X1751" s="28">
        <f>IFERROR(W1751/U1751,0)</f>
        <v/>
      </c>
    </row>
    <row r="1752">
      <c r="A1752" s="21">
        <f>ItensPedido!A1752</f>
        <v/>
      </c>
      <c r="B1752" s="21">
        <f>ItensPedido!B1752</f>
        <v/>
      </c>
      <c r="C1752" s="21">
        <f>ItensPedido!C1752</f>
        <v/>
      </c>
      <c r="D1752" s="21">
        <f>ItensPedido!D1752</f>
        <v/>
      </c>
      <c r="E1752" s="22">
        <f>ItensPedido!E1752</f>
        <v/>
      </c>
      <c r="F1752" s="21">
        <f>IFERROR(INDEX(Pedidos!$B$2:$B$1801,MATCH(B1752,Pedidos!$A$2:$A$1801,0)),0)</f>
        <v/>
      </c>
      <c r="G1752" s="21">
        <f>IF(F1752=0,"",YEAR(F1752))</f>
        <v/>
      </c>
      <c r="H1752" s="21">
        <f>IF(F1752=0,"",MONTH(F1752))</f>
        <v/>
      </c>
      <c r="I1752" s="21">
        <f>IFERROR(INDEX(Pedidos!$E$2:$E$1801,MATCH(B1752,Pedidos!$A$2:$A$1801,0)),"")</f>
        <v/>
      </c>
      <c r="J1752" s="21">
        <f>IFERROR(INDEX(Pedidos!$C$2:$C$1801,MATCH(B1752,Pedidos!$A$2:$A$1801,0)),"")</f>
        <v/>
      </c>
      <c r="K1752" s="21">
        <f>IFERROR(INDEX(Pedidos!$D$2:$D$1801,MATCH(B1752,Pedidos!$A$2:$A$1801,0)),"")</f>
        <v/>
      </c>
      <c r="L1752" s="21">
        <f>IFERROR(INDEX(Pedidos!$F$2:$F$1801,MATCH(B1752,Pedidos!$A$2:$A$1801,0)),"")</f>
        <v/>
      </c>
      <c r="M1752" s="22">
        <f>IFERROR(INDEX(Pedidos!$G$2:$G$1801,MATCH(B1752,Pedidos!$A$2:$A$1801,0)),0)</f>
        <v/>
      </c>
      <c r="N1752" s="21">
        <f>IFERROR(INDEX(Produtos!$B$2:$B$71,MATCH(C1752,Produtos!$A$2:$A$71,0)),"")</f>
        <v/>
      </c>
      <c r="O1752" s="21">
        <f>IFERROR(INDEX(Produtos!$C$2:$C$71,MATCH(C1752,Produtos!$A$2:$A$71,0)),"")</f>
        <v/>
      </c>
      <c r="P1752" s="21">
        <f>IFERROR(INDEX(Produtos!$D$2:$D$71,MATCH(C1752,Produtos!$A$2:$A$71,0)),0)</f>
        <v/>
      </c>
      <c r="Q1752" s="21">
        <f>IFERROR(INDEX(Produtos!$E$2:$E$71,MATCH(C1752,Produtos!$A$2:$A$71,0)),0)</f>
        <v/>
      </c>
      <c r="R1752" s="23">
        <f>D1752*Q1752</f>
        <v/>
      </c>
      <c r="S1752" s="23">
        <f>R1752*E1752</f>
        <v/>
      </c>
      <c r="T1752" s="23">
        <f>(R1752-S1752)*M1752</f>
        <v/>
      </c>
      <c r="U1752" s="23">
        <f>R1752-S1752-T1752</f>
        <v/>
      </c>
      <c r="V1752" s="23">
        <f>D1752*P1752</f>
        <v/>
      </c>
      <c r="W1752" s="23">
        <f>U1752-V1752</f>
        <v/>
      </c>
      <c r="X1752" s="24">
        <f>IFERROR(W1752/U1752,0)</f>
        <v/>
      </c>
    </row>
    <row r="1753">
      <c r="A1753" s="25">
        <f>ItensPedido!A1753</f>
        <v/>
      </c>
      <c r="B1753" s="25">
        <f>ItensPedido!B1753</f>
        <v/>
      </c>
      <c r="C1753" s="25">
        <f>ItensPedido!C1753</f>
        <v/>
      </c>
      <c r="D1753" s="25">
        <f>ItensPedido!D1753</f>
        <v/>
      </c>
      <c r="E1753" s="26">
        <f>ItensPedido!E1753</f>
        <v/>
      </c>
      <c r="F1753" s="25">
        <f>IFERROR(INDEX(Pedidos!$B$2:$B$1801,MATCH(B1753,Pedidos!$A$2:$A$1801,0)),0)</f>
        <v/>
      </c>
      <c r="G1753" s="25">
        <f>IF(F1753=0,"",YEAR(F1753))</f>
        <v/>
      </c>
      <c r="H1753" s="25">
        <f>IF(F1753=0,"",MONTH(F1753))</f>
        <v/>
      </c>
      <c r="I1753" s="25">
        <f>IFERROR(INDEX(Pedidos!$E$2:$E$1801,MATCH(B1753,Pedidos!$A$2:$A$1801,0)),"")</f>
        <v/>
      </c>
      <c r="J1753" s="25">
        <f>IFERROR(INDEX(Pedidos!$C$2:$C$1801,MATCH(B1753,Pedidos!$A$2:$A$1801,0)),"")</f>
        <v/>
      </c>
      <c r="K1753" s="25">
        <f>IFERROR(INDEX(Pedidos!$D$2:$D$1801,MATCH(B1753,Pedidos!$A$2:$A$1801,0)),"")</f>
        <v/>
      </c>
      <c r="L1753" s="25">
        <f>IFERROR(INDEX(Pedidos!$F$2:$F$1801,MATCH(B1753,Pedidos!$A$2:$A$1801,0)),"")</f>
        <v/>
      </c>
      <c r="M1753" s="26">
        <f>IFERROR(INDEX(Pedidos!$G$2:$G$1801,MATCH(B1753,Pedidos!$A$2:$A$1801,0)),0)</f>
        <v/>
      </c>
      <c r="N1753" s="25">
        <f>IFERROR(INDEX(Produtos!$B$2:$B$71,MATCH(C1753,Produtos!$A$2:$A$71,0)),"")</f>
        <v/>
      </c>
      <c r="O1753" s="25">
        <f>IFERROR(INDEX(Produtos!$C$2:$C$71,MATCH(C1753,Produtos!$A$2:$A$71,0)),"")</f>
        <v/>
      </c>
      <c r="P1753" s="25">
        <f>IFERROR(INDEX(Produtos!$D$2:$D$71,MATCH(C1753,Produtos!$A$2:$A$71,0)),0)</f>
        <v/>
      </c>
      <c r="Q1753" s="25">
        <f>IFERROR(INDEX(Produtos!$E$2:$E$71,MATCH(C1753,Produtos!$A$2:$A$71,0)),0)</f>
        <v/>
      </c>
      <c r="R1753" s="27">
        <f>D1753*Q1753</f>
        <v/>
      </c>
      <c r="S1753" s="27">
        <f>R1753*E1753</f>
        <v/>
      </c>
      <c r="T1753" s="27">
        <f>(R1753-S1753)*M1753</f>
        <v/>
      </c>
      <c r="U1753" s="27">
        <f>R1753-S1753-T1753</f>
        <v/>
      </c>
      <c r="V1753" s="27">
        <f>D1753*P1753</f>
        <v/>
      </c>
      <c r="W1753" s="27">
        <f>U1753-V1753</f>
        <v/>
      </c>
      <c r="X1753" s="28">
        <f>IFERROR(W1753/U1753,0)</f>
        <v/>
      </c>
    </row>
    <row r="1754">
      <c r="A1754" s="21">
        <f>ItensPedido!A1754</f>
        <v/>
      </c>
      <c r="B1754" s="21">
        <f>ItensPedido!B1754</f>
        <v/>
      </c>
      <c r="C1754" s="21">
        <f>ItensPedido!C1754</f>
        <v/>
      </c>
      <c r="D1754" s="21">
        <f>ItensPedido!D1754</f>
        <v/>
      </c>
      <c r="E1754" s="22">
        <f>ItensPedido!E1754</f>
        <v/>
      </c>
      <c r="F1754" s="21">
        <f>IFERROR(INDEX(Pedidos!$B$2:$B$1801,MATCH(B1754,Pedidos!$A$2:$A$1801,0)),0)</f>
        <v/>
      </c>
      <c r="G1754" s="21">
        <f>IF(F1754=0,"",YEAR(F1754))</f>
        <v/>
      </c>
      <c r="H1754" s="21">
        <f>IF(F1754=0,"",MONTH(F1754))</f>
        <v/>
      </c>
      <c r="I1754" s="21">
        <f>IFERROR(INDEX(Pedidos!$E$2:$E$1801,MATCH(B1754,Pedidos!$A$2:$A$1801,0)),"")</f>
        <v/>
      </c>
      <c r="J1754" s="21">
        <f>IFERROR(INDEX(Pedidos!$C$2:$C$1801,MATCH(B1754,Pedidos!$A$2:$A$1801,0)),"")</f>
        <v/>
      </c>
      <c r="K1754" s="21">
        <f>IFERROR(INDEX(Pedidos!$D$2:$D$1801,MATCH(B1754,Pedidos!$A$2:$A$1801,0)),"")</f>
        <v/>
      </c>
      <c r="L1754" s="21">
        <f>IFERROR(INDEX(Pedidos!$F$2:$F$1801,MATCH(B1754,Pedidos!$A$2:$A$1801,0)),"")</f>
        <v/>
      </c>
      <c r="M1754" s="22">
        <f>IFERROR(INDEX(Pedidos!$G$2:$G$1801,MATCH(B1754,Pedidos!$A$2:$A$1801,0)),0)</f>
        <v/>
      </c>
      <c r="N1754" s="21">
        <f>IFERROR(INDEX(Produtos!$B$2:$B$71,MATCH(C1754,Produtos!$A$2:$A$71,0)),"")</f>
        <v/>
      </c>
      <c r="O1754" s="21">
        <f>IFERROR(INDEX(Produtos!$C$2:$C$71,MATCH(C1754,Produtos!$A$2:$A$71,0)),"")</f>
        <v/>
      </c>
      <c r="P1754" s="21">
        <f>IFERROR(INDEX(Produtos!$D$2:$D$71,MATCH(C1754,Produtos!$A$2:$A$71,0)),0)</f>
        <v/>
      </c>
      <c r="Q1754" s="21">
        <f>IFERROR(INDEX(Produtos!$E$2:$E$71,MATCH(C1754,Produtos!$A$2:$A$71,0)),0)</f>
        <v/>
      </c>
      <c r="R1754" s="23">
        <f>D1754*Q1754</f>
        <v/>
      </c>
      <c r="S1754" s="23">
        <f>R1754*E1754</f>
        <v/>
      </c>
      <c r="T1754" s="23">
        <f>(R1754-S1754)*M1754</f>
        <v/>
      </c>
      <c r="U1754" s="23">
        <f>R1754-S1754-T1754</f>
        <v/>
      </c>
      <c r="V1754" s="23">
        <f>D1754*P1754</f>
        <v/>
      </c>
      <c r="W1754" s="23">
        <f>U1754-V1754</f>
        <v/>
      </c>
      <c r="X1754" s="24">
        <f>IFERROR(W1754/U1754,0)</f>
        <v/>
      </c>
    </row>
    <row r="1755">
      <c r="A1755" s="25">
        <f>ItensPedido!A1755</f>
        <v/>
      </c>
      <c r="B1755" s="25">
        <f>ItensPedido!B1755</f>
        <v/>
      </c>
      <c r="C1755" s="25">
        <f>ItensPedido!C1755</f>
        <v/>
      </c>
      <c r="D1755" s="25">
        <f>ItensPedido!D1755</f>
        <v/>
      </c>
      <c r="E1755" s="26">
        <f>ItensPedido!E1755</f>
        <v/>
      </c>
      <c r="F1755" s="25">
        <f>IFERROR(INDEX(Pedidos!$B$2:$B$1801,MATCH(B1755,Pedidos!$A$2:$A$1801,0)),0)</f>
        <v/>
      </c>
      <c r="G1755" s="25">
        <f>IF(F1755=0,"",YEAR(F1755))</f>
        <v/>
      </c>
      <c r="H1755" s="25">
        <f>IF(F1755=0,"",MONTH(F1755))</f>
        <v/>
      </c>
      <c r="I1755" s="25">
        <f>IFERROR(INDEX(Pedidos!$E$2:$E$1801,MATCH(B1755,Pedidos!$A$2:$A$1801,0)),"")</f>
        <v/>
      </c>
      <c r="J1755" s="25">
        <f>IFERROR(INDEX(Pedidos!$C$2:$C$1801,MATCH(B1755,Pedidos!$A$2:$A$1801,0)),"")</f>
        <v/>
      </c>
      <c r="K1755" s="25">
        <f>IFERROR(INDEX(Pedidos!$D$2:$D$1801,MATCH(B1755,Pedidos!$A$2:$A$1801,0)),"")</f>
        <v/>
      </c>
      <c r="L1755" s="25">
        <f>IFERROR(INDEX(Pedidos!$F$2:$F$1801,MATCH(B1755,Pedidos!$A$2:$A$1801,0)),"")</f>
        <v/>
      </c>
      <c r="M1755" s="26">
        <f>IFERROR(INDEX(Pedidos!$G$2:$G$1801,MATCH(B1755,Pedidos!$A$2:$A$1801,0)),0)</f>
        <v/>
      </c>
      <c r="N1755" s="25">
        <f>IFERROR(INDEX(Produtos!$B$2:$B$71,MATCH(C1755,Produtos!$A$2:$A$71,0)),"")</f>
        <v/>
      </c>
      <c r="O1755" s="25">
        <f>IFERROR(INDEX(Produtos!$C$2:$C$71,MATCH(C1755,Produtos!$A$2:$A$71,0)),"")</f>
        <v/>
      </c>
      <c r="P1755" s="25">
        <f>IFERROR(INDEX(Produtos!$D$2:$D$71,MATCH(C1755,Produtos!$A$2:$A$71,0)),0)</f>
        <v/>
      </c>
      <c r="Q1755" s="25">
        <f>IFERROR(INDEX(Produtos!$E$2:$E$71,MATCH(C1755,Produtos!$A$2:$A$71,0)),0)</f>
        <v/>
      </c>
      <c r="R1755" s="27">
        <f>D1755*Q1755</f>
        <v/>
      </c>
      <c r="S1755" s="27">
        <f>R1755*E1755</f>
        <v/>
      </c>
      <c r="T1755" s="27">
        <f>(R1755-S1755)*M1755</f>
        <v/>
      </c>
      <c r="U1755" s="27">
        <f>R1755-S1755-T1755</f>
        <v/>
      </c>
      <c r="V1755" s="27">
        <f>D1755*P1755</f>
        <v/>
      </c>
      <c r="W1755" s="27">
        <f>U1755-V1755</f>
        <v/>
      </c>
      <c r="X1755" s="28">
        <f>IFERROR(W1755/U1755,0)</f>
        <v/>
      </c>
    </row>
    <row r="1756">
      <c r="A1756" s="21">
        <f>ItensPedido!A1756</f>
        <v/>
      </c>
      <c r="B1756" s="21">
        <f>ItensPedido!B1756</f>
        <v/>
      </c>
      <c r="C1756" s="21">
        <f>ItensPedido!C1756</f>
        <v/>
      </c>
      <c r="D1756" s="21">
        <f>ItensPedido!D1756</f>
        <v/>
      </c>
      <c r="E1756" s="22">
        <f>ItensPedido!E1756</f>
        <v/>
      </c>
      <c r="F1756" s="21">
        <f>IFERROR(INDEX(Pedidos!$B$2:$B$1801,MATCH(B1756,Pedidos!$A$2:$A$1801,0)),0)</f>
        <v/>
      </c>
      <c r="G1756" s="21">
        <f>IF(F1756=0,"",YEAR(F1756))</f>
        <v/>
      </c>
      <c r="H1756" s="21">
        <f>IF(F1756=0,"",MONTH(F1756))</f>
        <v/>
      </c>
      <c r="I1756" s="21">
        <f>IFERROR(INDEX(Pedidos!$E$2:$E$1801,MATCH(B1756,Pedidos!$A$2:$A$1801,0)),"")</f>
        <v/>
      </c>
      <c r="J1756" s="21">
        <f>IFERROR(INDEX(Pedidos!$C$2:$C$1801,MATCH(B1756,Pedidos!$A$2:$A$1801,0)),"")</f>
        <v/>
      </c>
      <c r="K1756" s="21">
        <f>IFERROR(INDEX(Pedidos!$D$2:$D$1801,MATCH(B1756,Pedidos!$A$2:$A$1801,0)),"")</f>
        <v/>
      </c>
      <c r="L1756" s="21">
        <f>IFERROR(INDEX(Pedidos!$F$2:$F$1801,MATCH(B1756,Pedidos!$A$2:$A$1801,0)),"")</f>
        <v/>
      </c>
      <c r="M1756" s="22">
        <f>IFERROR(INDEX(Pedidos!$G$2:$G$1801,MATCH(B1756,Pedidos!$A$2:$A$1801,0)),0)</f>
        <v/>
      </c>
      <c r="N1756" s="21">
        <f>IFERROR(INDEX(Produtos!$B$2:$B$71,MATCH(C1756,Produtos!$A$2:$A$71,0)),"")</f>
        <v/>
      </c>
      <c r="O1756" s="21">
        <f>IFERROR(INDEX(Produtos!$C$2:$C$71,MATCH(C1756,Produtos!$A$2:$A$71,0)),"")</f>
        <v/>
      </c>
      <c r="P1756" s="21">
        <f>IFERROR(INDEX(Produtos!$D$2:$D$71,MATCH(C1756,Produtos!$A$2:$A$71,0)),0)</f>
        <v/>
      </c>
      <c r="Q1756" s="21">
        <f>IFERROR(INDEX(Produtos!$E$2:$E$71,MATCH(C1756,Produtos!$A$2:$A$71,0)),0)</f>
        <v/>
      </c>
      <c r="R1756" s="23">
        <f>D1756*Q1756</f>
        <v/>
      </c>
      <c r="S1756" s="23">
        <f>R1756*E1756</f>
        <v/>
      </c>
      <c r="T1756" s="23">
        <f>(R1756-S1756)*M1756</f>
        <v/>
      </c>
      <c r="U1756" s="23">
        <f>R1756-S1756-T1756</f>
        <v/>
      </c>
      <c r="V1756" s="23">
        <f>D1756*P1756</f>
        <v/>
      </c>
      <c r="W1756" s="23">
        <f>U1756-V1756</f>
        <v/>
      </c>
      <c r="X1756" s="24">
        <f>IFERROR(W1756/U1756,0)</f>
        <v/>
      </c>
    </row>
    <row r="1757">
      <c r="A1757" s="25">
        <f>ItensPedido!A1757</f>
        <v/>
      </c>
      <c r="B1757" s="25">
        <f>ItensPedido!B1757</f>
        <v/>
      </c>
      <c r="C1757" s="25">
        <f>ItensPedido!C1757</f>
        <v/>
      </c>
      <c r="D1757" s="25">
        <f>ItensPedido!D1757</f>
        <v/>
      </c>
      <c r="E1757" s="26">
        <f>ItensPedido!E1757</f>
        <v/>
      </c>
      <c r="F1757" s="25">
        <f>IFERROR(INDEX(Pedidos!$B$2:$B$1801,MATCH(B1757,Pedidos!$A$2:$A$1801,0)),0)</f>
        <v/>
      </c>
      <c r="G1757" s="25">
        <f>IF(F1757=0,"",YEAR(F1757))</f>
        <v/>
      </c>
      <c r="H1757" s="25">
        <f>IF(F1757=0,"",MONTH(F1757))</f>
        <v/>
      </c>
      <c r="I1757" s="25">
        <f>IFERROR(INDEX(Pedidos!$E$2:$E$1801,MATCH(B1757,Pedidos!$A$2:$A$1801,0)),"")</f>
        <v/>
      </c>
      <c r="J1757" s="25">
        <f>IFERROR(INDEX(Pedidos!$C$2:$C$1801,MATCH(B1757,Pedidos!$A$2:$A$1801,0)),"")</f>
        <v/>
      </c>
      <c r="K1757" s="25">
        <f>IFERROR(INDEX(Pedidos!$D$2:$D$1801,MATCH(B1757,Pedidos!$A$2:$A$1801,0)),"")</f>
        <v/>
      </c>
      <c r="L1757" s="25">
        <f>IFERROR(INDEX(Pedidos!$F$2:$F$1801,MATCH(B1757,Pedidos!$A$2:$A$1801,0)),"")</f>
        <v/>
      </c>
      <c r="M1757" s="26">
        <f>IFERROR(INDEX(Pedidos!$G$2:$G$1801,MATCH(B1757,Pedidos!$A$2:$A$1801,0)),0)</f>
        <v/>
      </c>
      <c r="N1757" s="25">
        <f>IFERROR(INDEX(Produtos!$B$2:$B$71,MATCH(C1757,Produtos!$A$2:$A$71,0)),"")</f>
        <v/>
      </c>
      <c r="O1757" s="25">
        <f>IFERROR(INDEX(Produtos!$C$2:$C$71,MATCH(C1757,Produtos!$A$2:$A$71,0)),"")</f>
        <v/>
      </c>
      <c r="P1757" s="25">
        <f>IFERROR(INDEX(Produtos!$D$2:$D$71,MATCH(C1757,Produtos!$A$2:$A$71,0)),0)</f>
        <v/>
      </c>
      <c r="Q1757" s="25">
        <f>IFERROR(INDEX(Produtos!$E$2:$E$71,MATCH(C1757,Produtos!$A$2:$A$71,0)),0)</f>
        <v/>
      </c>
      <c r="R1757" s="27">
        <f>D1757*Q1757</f>
        <v/>
      </c>
      <c r="S1757" s="27">
        <f>R1757*E1757</f>
        <v/>
      </c>
      <c r="T1757" s="27">
        <f>(R1757-S1757)*M1757</f>
        <v/>
      </c>
      <c r="U1757" s="27">
        <f>R1757-S1757-T1757</f>
        <v/>
      </c>
      <c r="V1757" s="27">
        <f>D1757*P1757</f>
        <v/>
      </c>
      <c r="W1757" s="27">
        <f>U1757-V1757</f>
        <v/>
      </c>
      <c r="X1757" s="28">
        <f>IFERROR(W1757/U1757,0)</f>
        <v/>
      </c>
    </row>
    <row r="1758">
      <c r="A1758" s="21">
        <f>ItensPedido!A1758</f>
        <v/>
      </c>
      <c r="B1758" s="21">
        <f>ItensPedido!B1758</f>
        <v/>
      </c>
      <c r="C1758" s="21">
        <f>ItensPedido!C1758</f>
        <v/>
      </c>
      <c r="D1758" s="21">
        <f>ItensPedido!D1758</f>
        <v/>
      </c>
      <c r="E1758" s="22">
        <f>ItensPedido!E1758</f>
        <v/>
      </c>
      <c r="F1758" s="21">
        <f>IFERROR(INDEX(Pedidos!$B$2:$B$1801,MATCH(B1758,Pedidos!$A$2:$A$1801,0)),0)</f>
        <v/>
      </c>
      <c r="G1758" s="21">
        <f>IF(F1758=0,"",YEAR(F1758))</f>
        <v/>
      </c>
      <c r="H1758" s="21">
        <f>IF(F1758=0,"",MONTH(F1758))</f>
        <v/>
      </c>
      <c r="I1758" s="21">
        <f>IFERROR(INDEX(Pedidos!$E$2:$E$1801,MATCH(B1758,Pedidos!$A$2:$A$1801,0)),"")</f>
        <v/>
      </c>
      <c r="J1758" s="21">
        <f>IFERROR(INDEX(Pedidos!$C$2:$C$1801,MATCH(B1758,Pedidos!$A$2:$A$1801,0)),"")</f>
        <v/>
      </c>
      <c r="K1758" s="21">
        <f>IFERROR(INDEX(Pedidos!$D$2:$D$1801,MATCH(B1758,Pedidos!$A$2:$A$1801,0)),"")</f>
        <v/>
      </c>
      <c r="L1758" s="21">
        <f>IFERROR(INDEX(Pedidos!$F$2:$F$1801,MATCH(B1758,Pedidos!$A$2:$A$1801,0)),"")</f>
        <v/>
      </c>
      <c r="M1758" s="22">
        <f>IFERROR(INDEX(Pedidos!$G$2:$G$1801,MATCH(B1758,Pedidos!$A$2:$A$1801,0)),0)</f>
        <v/>
      </c>
      <c r="N1758" s="21">
        <f>IFERROR(INDEX(Produtos!$B$2:$B$71,MATCH(C1758,Produtos!$A$2:$A$71,0)),"")</f>
        <v/>
      </c>
      <c r="O1758" s="21">
        <f>IFERROR(INDEX(Produtos!$C$2:$C$71,MATCH(C1758,Produtos!$A$2:$A$71,0)),"")</f>
        <v/>
      </c>
      <c r="P1758" s="21">
        <f>IFERROR(INDEX(Produtos!$D$2:$D$71,MATCH(C1758,Produtos!$A$2:$A$71,0)),0)</f>
        <v/>
      </c>
      <c r="Q1758" s="21">
        <f>IFERROR(INDEX(Produtos!$E$2:$E$71,MATCH(C1758,Produtos!$A$2:$A$71,0)),0)</f>
        <v/>
      </c>
      <c r="R1758" s="23">
        <f>D1758*Q1758</f>
        <v/>
      </c>
      <c r="S1758" s="23">
        <f>R1758*E1758</f>
        <v/>
      </c>
      <c r="T1758" s="23">
        <f>(R1758-S1758)*M1758</f>
        <v/>
      </c>
      <c r="U1758" s="23">
        <f>R1758-S1758-T1758</f>
        <v/>
      </c>
      <c r="V1758" s="23">
        <f>D1758*P1758</f>
        <v/>
      </c>
      <c r="W1758" s="23">
        <f>U1758-V1758</f>
        <v/>
      </c>
      <c r="X1758" s="24">
        <f>IFERROR(W1758/U1758,0)</f>
        <v/>
      </c>
    </row>
    <row r="1759">
      <c r="A1759" s="25">
        <f>ItensPedido!A1759</f>
        <v/>
      </c>
      <c r="B1759" s="25">
        <f>ItensPedido!B1759</f>
        <v/>
      </c>
      <c r="C1759" s="25">
        <f>ItensPedido!C1759</f>
        <v/>
      </c>
      <c r="D1759" s="25">
        <f>ItensPedido!D1759</f>
        <v/>
      </c>
      <c r="E1759" s="26">
        <f>ItensPedido!E1759</f>
        <v/>
      </c>
      <c r="F1759" s="25">
        <f>IFERROR(INDEX(Pedidos!$B$2:$B$1801,MATCH(B1759,Pedidos!$A$2:$A$1801,0)),0)</f>
        <v/>
      </c>
      <c r="G1759" s="25">
        <f>IF(F1759=0,"",YEAR(F1759))</f>
        <v/>
      </c>
      <c r="H1759" s="25">
        <f>IF(F1759=0,"",MONTH(F1759))</f>
        <v/>
      </c>
      <c r="I1759" s="25">
        <f>IFERROR(INDEX(Pedidos!$E$2:$E$1801,MATCH(B1759,Pedidos!$A$2:$A$1801,0)),"")</f>
        <v/>
      </c>
      <c r="J1759" s="25">
        <f>IFERROR(INDEX(Pedidos!$C$2:$C$1801,MATCH(B1759,Pedidos!$A$2:$A$1801,0)),"")</f>
        <v/>
      </c>
      <c r="K1759" s="25">
        <f>IFERROR(INDEX(Pedidos!$D$2:$D$1801,MATCH(B1759,Pedidos!$A$2:$A$1801,0)),"")</f>
        <v/>
      </c>
      <c r="L1759" s="25">
        <f>IFERROR(INDEX(Pedidos!$F$2:$F$1801,MATCH(B1759,Pedidos!$A$2:$A$1801,0)),"")</f>
        <v/>
      </c>
      <c r="M1759" s="26">
        <f>IFERROR(INDEX(Pedidos!$G$2:$G$1801,MATCH(B1759,Pedidos!$A$2:$A$1801,0)),0)</f>
        <v/>
      </c>
      <c r="N1759" s="25">
        <f>IFERROR(INDEX(Produtos!$B$2:$B$71,MATCH(C1759,Produtos!$A$2:$A$71,0)),"")</f>
        <v/>
      </c>
      <c r="O1759" s="25">
        <f>IFERROR(INDEX(Produtos!$C$2:$C$71,MATCH(C1759,Produtos!$A$2:$A$71,0)),"")</f>
        <v/>
      </c>
      <c r="P1759" s="25">
        <f>IFERROR(INDEX(Produtos!$D$2:$D$71,MATCH(C1759,Produtos!$A$2:$A$71,0)),0)</f>
        <v/>
      </c>
      <c r="Q1759" s="25">
        <f>IFERROR(INDEX(Produtos!$E$2:$E$71,MATCH(C1759,Produtos!$A$2:$A$71,0)),0)</f>
        <v/>
      </c>
      <c r="R1759" s="27">
        <f>D1759*Q1759</f>
        <v/>
      </c>
      <c r="S1759" s="27">
        <f>R1759*E1759</f>
        <v/>
      </c>
      <c r="T1759" s="27">
        <f>(R1759-S1759)*M1759</f>
        <v/>
      </c>
      <c r="U1759" s="27">
        <f>R1759-S1759-T1759</f>
        <v/>
      </c>
      <c r="V1759" s="27">
        <f>D1759*P1759</f>
        <v/>
      </c>
      <c r="W1759" s="27">
        <f>U1759-V1759</f>
        <v/>
      </c>
      <c r="X1759" s="28">
        <f>IFERROR(W1759/U1759,0)</f>
        <v/>
      </c>
    </row>
    <row r="1760">
      <c r="A1760" s="21">
        <f>ItensPedido!A1760</f>
        <v/>
      </c>
      <c r="B1760" s="21">
        <f>ItensPedido!B1760</f>
        <v/>
      </c>
      <c r="C1760" s="21">
        <f>ItensPedido!C1760</f>
        <v/>
      </c>
      <c r="D1760" s="21">
        <f>ItensPedido!D1760</f>
        <v/>
      </c>
      <c r="E1760" s="22">
        <f>ItensPedido!E1760</f>
        <v/>
      </c>
      <c r="F1760" s="21">
        <f>IFERROR(INDEX(Pedidos!$B$2:$B$1801,MATCH(B1760,Pedidos!$A$2:$A$1801,0)),0)</f>
        <v/>
      </c>
      <c r="G1760" s="21">
        <f>IF(F1760=0,"",YEAR(F1760))</f>
        <v/>
      </c>
      <c r="H1760" s="21">
        <f>IF(F1760=0,"",MONTH(F1760))</f>
        <v/>
      </c>
      <c r="I1760" s="21">
        <f>IFERROR(INDEX(Pedidos!$E$2:$E$1801,MATCH(B1760,Pedidos!$A$2:$A$1801,0)),"")</f>
        <v/>
      </c>
      <c r="J1760" s="21">
        <f>IFERROR(INDEX(Pedidos!$C$2:$C$1801,MATCH(B1760,Pedidos!$A$2:$A$1801,0)),"")</f>
        <v/>
      </c>
      <c r="K1760" s="21">
        <f>IFERROR(INDEX(Pedidos!$D$2:$D$1801,MATCH(B1760,Pedidos!$A$2:$A$1801,0)),"")</f>
        <v/>
      </c>
      <c r="L1760" s="21">
        <f>IFERROR(INDEX(Pedidos!$F$2:$F$1801,MATCH(B1760,Pedidos!$A$2:$A$1801,0)),"")</f>
        <v/>
      </c>
      <c r="M1760" s="22">
        <f>IFERROR(INDEX(Pedidos!$G$2:$G$1801,MATCH(B1760,Pedidos!$A$2:$A$1801,0)),0)</f>
        <v/>
      </c>
      <c r="N1760" s="21">
        <f>IFERROR(INDEX(Produtos!$B$2:$B$71,MATCH(C1760,Produtos!$A$2:$A$71,0)),"")</f>
        <v/>
      </c>
      <c r="O1760" s="21">
        <f>IFERROR(INDEX(Produtos!$C$2:$C$71,MATCH(C1760,Produtos!$A$2:$A$71,0)),"")</f>
        <v/>
      </c>
      <c r="P1760" s="21">
        <f>IFERROR(INDEX(Produtos!$D$2:$D$71,MATCH(C1760,Produtos!$A$2:$A$71,0)),0)</f>
        <v/>
      </c>
      <c r="Q1760" s="21">
        <f>IFERROR(INDEX(Produtos!$E$2:$E$71,MATCH(C1760,Produtos!$A$2:$A$71,0)),0)</f>
        <v/>
      </c>
      <c r="R1760" s="23">
        <f>D1760*Q1760</f>
        <v/>
      </c>
      <c r="S1760" s="23">
        <f>R1760*E1760</f>
        <v/>
      </c>
      <c r="T1760" s="23">
        <f>(R1760-S1760)*M1760</f>
        <v/>
      </c>
      <c r="U1760" s="23">
        <f>R1760-S1760-T1760</f>
        <v/>
      </c>
      <c r="V1760" s="23">
        <f>D1760*P1760</f>
        <v/>
      </c>
      <c r="W1760" s="23">
        <f>U1760-V1760</f>
        <v/>
      </c>
      <c r="X1760" s="24">
        <f>IFERROR(W1760/U1760,0)</f>
        <v/>
      </c>
    </row>
    <row r="1761">
      <c r="A1761" s="25">
        <f>ItensPedido!A1761</f>
        <v/>
      </c>
      <c r="B1761" s="25">
        <f>ItensPedido!B1761</f>
        <v/>
      </c>
      <c r="C1761" s="25">
        <f>ItensPedido!C1761</f>
        <v/>
      </c>
      <c r="D1761" s="25">
        <f>ItensPedido!D1761</f>
        <v/>
      </c>
      <c r="E1761" s="26">
        <f>ItensPedido!E1761</f>
        <v/>
      </c>
      <c r="F1761" s="25">
        <f>IFERROR(INDEX(Pedidos!$B$2:$B$1801,MATCH(B1761,Pedidos!$A$2:$A$1801,0)),0)</f>
        <v/>
      </c>
      <c r="G1761" s="25">
        <f>IF(F1761=0,"",YEAR(F1761))</f>
        <v/>
      </c>
      <c r="H1761" s="25">
        <f>IF(F1761=0,"",MONTH(F1761))</f>
        <v/>
      </c>
      <c r="I1761" s="25">
        <f>IFERROR(INDEX(Pedidos!$E$2:$E$1801,MATCH(B1761,Pedidos!$A$2:$A$1801,0)),"")</f>
        <v/>
      </c>
      <c r="J1761" s="25">
        <f>IFERROR(INDEX(Pedidos!$C$2:$C$1801,MATCH(B1761,Pedidos!$A$2:$A$1801,0)),"")</f>
        <v/>
      </c>
      <c r="K1761" s="25">
        <f>IFERROR(INDEX(Pedidos!$D$2:$D$1801,MATCH(B1761,Pedidos!$A$2:$A$1801,0)),"")</f>
        <v/>
      </c>
      <c r="L1761" s="25">
        <f>IFERROR(INDEX(Pedidos!$F$2:$F$1801,MATCH(B1761,Pedidos!$A$2:$A$1801,0)),"")</f>
        <v/>
      </c>
      <c r="M1761" s="26">
        <f>IFERROR(INDEX(Pedidos!$G$2:$G$1801,MATCH(B1761,Pedidos!$A$2:$A$1801,0)),0)</f>
        <v/>
      </c>
      <c r="N1761" s="25">
        <f>IFERROR(INDEX(Produtos!$B$2:$B$71,MATCH(C1761,Produtos!$A$2:$A$71,0)),"")</f>
        <v/>
      </c>
      <c r="O1761" s="25">
        <f>IFERROR(INDEX(Produtos!$C$2:$C$71,MATCH(C1761,Produtos!$A$2:$A$71,0)),"")</f>
        <v/>
      </c>
      <c r="P1761" s="25">
        <f>IFERROR(INDEX(Produtos!$D$2:$D$71,MATCH(C1761,Produtos!$A$2:$A$71,0)),0)</f>
        <v/>
      </c>
      <c r="Q1761" s="25">
        <f>IFERROR(INDEX(Produtos!$E$2:$E$71,MATCH(C1761,Produtos!$A$2:$A$71,0)),0)</f>
        <v/>
      </c>
      <c r="R1761" s="27">
        <f>D1761*Q1761</f>
        <v/>
      </c>
      <c r="S1761" s="27">
        <f>R1761*E1761</f>
        <v/>
      </c>
      <c r="T1761" s="27">
        <f>(R1761-S1761)*M1761</f>
        <v/>
      </c>
      <c r="U1761" s="27">
        <f>R1761-S1761-T1761</f>
        <v/>
      </c>
      <c r="V1761" s="27">
        <f>D1761*P1761</f>
        <v/>
      </c>
      <c r="W1761" s="27">
        <f>U1761-V1761</f>
        <v/>
      </c>
      <c r="X1761" s="28">
        <f>IFERROR(W1761/U1761,0)</f>
        <v/>
      </c>
    </row>
    <row r="1762">
      <c r="A1762" s="21">
        <f>ItensPedido!A1762</f>
        <v/>
      </c>
      <c r="B1762" s="21">
        <f>ItensPedido!B1762</f>
        <v/>
      </c>
      <c r="C1762" s="21">
        <f>ItensPedido!C1762</f>
        <v/>
      </c>
      <c r="D1762" s="21">
        <f>ItensPedido!D1762</f>
        <v/>
      </c>
      <c r="E1762" s="22">
        <f>ItensPedido!E1762</f>
        <v/>
      </c>
      <c r="F1762" s="21">
        <f>IFERROR(INDEX(Pedidos!$B$2:$B$1801,MATCH(B1762,Pedidos!$A$2:$A$1801,0)),0)</f>
        <v/>
      </c>
      <c r="G1762" s="21">
        <f>IF(F1762=0,"",YEAR(F1762))</f>
        <v/>
      </c>
      <c r="H1762" s="21">
        <f>IF(F1762=0,"",MONTH(F1762))</f>
        <v/>
      </c>
      <c r="I1762" s="21">
        <f>IFERROR(INDEX(Pedidos!$E$2:$E$1801,MATCH(B1762,Pedidos!$A$2:$A$1801,0)),"")</f>
        <v/>
      </c>
      <c r="J1762" s="21">
        <f>IFERROR(INDEX(Pedidos!$C$2:$C$1801,MATCH(B1762,Pedidos!$A$2:$A$1801,0)),"")</f>
        <v/>
      </c>
      <c r="K1762" s="21">
        <f>IFERROR(INDEX(Pedidos!$D$2:$D$1801,MATCH(B1762,Pedidos!$A$2:$A$1801,0)),"")</f>
        <v/>
      </c>
      <c r="L1762" s="21">
        <f>IFERROR(INDEX(Pedidos!$F$2:$F$1801,MATCH(B1762,Pedidos!$A$2:$A$1801,0)),"")</f>
        <v/>
      </c>
      <c r="M1762" s="22">
        <f>IFERROR(INDEX(Pedidos!$G$2:$G$1801,MATCH(B1762,Pedidos!$A$2:$A$1801,0)),0)</f>
        <v/>
      </c>
      <c r="N1762" s="21">
        <f>IFERROR(INDEX(Produtos!$B$2:$B$71,MATCH(C1762,Produtos!$A$2:$A$71,0)),"")</f>
        <v/>
      </c>
      <c r="O1762" s="21">
        <f>IFERROR(INDEX(Produtos!$C$2:$C$71,MATCH(C1762,Produtos!$A$2:$A$71,0)),"")</f>
        <v/>
      </c>
      <c r="P1762" s="21">
        <f>IFERROR(INDEX(Produtos!$D$2:$D$71,MATCH(C1762,Produtos!$A$2:$A$71,0)),0)</f>
        <v/>
      </c>
      <c r="Q1762" s="21">
        <f>IFERROR(INDEX(Produtos!$E$2:$E$71,MATCH(C1762,Produtos!$A$2:$A$71,0)),0)</f>
        <v/>
      </c>
      <c r="R1762" s="23">
        <f>D1762*Q1762</f>
        <v/>
      </c>
      <c r="S1762" s="23">
        <f>R1762*E1762</f>
        <v/>
      </c>
      <c r="T1762" s="23">
        <f>(R1762-S1762)*M1762</f>
        <v/>
      </c>
      <c r="U1762" s="23">
        <f>R1762-S1762-T1762</f>
        <v/>
      </c>
      <c r="V1762" s="23">
        <f>D1762*P1762</f>
        <v/>
      </c>
      <c r="W1762" s="23">
        <f>U1762-V1762</f>
        <v/>
      </c>
      <c r="X1762" s="24">
        <f>IFERROR(W1762/U1762,0)</f>
        <v/>
      </c>
    </row>
    <row r="1763">
      <c r="A1763" s="25">
        <f>ItensPedido!A1763</f>
        <v/>
      </c>
      <c r="B1763" s="25">
        <f>ItensPedido!B1763</f>
        <v/>
      </c>
      <c r="C1763" s="25">
        <f>ItensPedido!C1763</f>
        <v/>
      </c>
      <c r="D1763" s="25">
        <f>ItensPedido!D1763</f>
        <v/>
      </c>
      <c r="E1763" s="26">
        <f>ItensPedido!E1763</f>
        <v/>
      </c>
      <c r="F1763" s="25">
        <f>IFERROR(INDEX(Pedidos!$B$2:$B$1801,MATCH(B1763,Pedidos!$A$2:$A$1801,0)),0)</f>
        <v/>
      </c>
      <c r="G1763" s="25">
        <f>IF(F1763=0,"",YEAR(F1763))</f>
        <v/>
      </c>
      <c r="H1763" s="25">
        <f>IF(F1763=0,"",MONTH(F1763))</f>
        <v/>
      </c>
      <c r="I1763" s="25">
        <f>IFERROR(INDEX(Pedidos!$E$2:$E$1801,MATCH(B1763,Pedidos!$A$2:$A$1801,0)),"")</f>
        <v/>
      </c>
      <c r="J1763" s="25">
        <f>IFERROR(INDEX(Pedidos!$C$2:$C$1801,MATCH(B1763,Pedidos!$A$2:$A$1801,0)),"")</f>
        <v/>
      </c>
      <c r="K1763" s="25">
        <f>IFERROR(INDEX(Pedidos!$D$2:$D$1801,MATCH(B1763,Pedidos!$A$2:$A$1801,0)),"")</f>
        <v/>
      </c>
      <c r="L1763" s="25">
        <f>IFERROR(INDEX(Pedidos!$F$2:$F$1801,MATCH(B1763,Pedidos!$A$2:$A$1801,0)),"")</f>
        <v/>
      </c>
      <c r="M1763" s="26">
        <f>IFERROR(INDEX(Pedidos!$G$2:$G$1801,MATCH(B1763,Pedidos!$A$2:$A$1801,0)),0)</f>
        <v/>
      </c>
      <c r="N1763" s="25">
        <f>IFERROR(INDEX(Produtos!$B$2:$B$71,MATCH(C1763,Produtos!$A$2:$A$71,0)),"")</f>
        <v/>
      </c>
      <c r="O1763" s="25">
        <f>IFERROR(INDEX(Produtos!$C$2:$C$71,MATCH(C1763,Produtos!$A$2:$A$71,0)),"")</f>
        <v/>
      </c>
      <c r="P1763" s="25">
        <f>IFERROR(INDEX(Produtos!$D$2:$D$71,MATCH(C1763,Produtos!$A$2:$A$71,0)),0)</f>
        <v/>
      </c>
      <c r="Q1763" s="25">
        <f>IFERROR(INDEX(Produtos!$E$2:$E$71,MATCH(C1763,Produtos!$A$2:$A$71,0)),0)</f>
        <v/>
      </c>
      <c r="R1763" s="27">
        <f>D1763*Q1763</f>
        <v/>
      </c>
      <c r="S1763" s="27">
        <f>R1763*E1763</f>
        <v/>
      </c>
      <c r="T1763" s="27">
        <f>(R1763-S1763)*M1763</f>
        <v/>
      </c>
      <c r="U1763" s="27">
        <f>R1763-S1763-T1763</f>
        <v/>
      </c>
      <c r="V1763" s="27">
        <f>D1763*P1763</f>
        <v/>
      </c>
      <c r="W1763" s="27">
        <f>U1763-V1763</f>
        <v/>
      </c>
      <c r="X1763" s="28">
        <f>IFERROR(W1763/U1763,0)</f>
        <v/>
      </c>
    </row>
    <row r="1764">
      <c r="A1764" s="21">
        <f>ItensPedido!A1764</f>
        <v/>
      </c>
      <c r="B1764" s="21">
        <f>ItensPedido!B1764</f>
        <v/>
      </c>
      <c r="C1764" s="21">
        <f>ItensPedido!C1764</f>
        <v/>
      </c>
      <c r="D1764" s="21">
        <f>ItensPedido!D1764</f>
        <v/>
      </c>
      <c r="E1764" s="22">
        <f>ItensPedido!E1764</f>
        <v/>
      </c>
      <c r="F1764" s="21">
        <f>IFERROR(INDEX(Pedidos!$B$2:$B$1801,MATCH(B1764,Pedidos!$A$2:$A$1801,0)),0)</f>
        <v/>
      </c>
      <c r="G1764" s="21">
        <f>IF(F1764=0,"",YEAR(F1764))</f>
        <v/>
      </c>
      <c r="H1764" s="21">
        <f>IF(F1764=0,"",MONTH(F1764))</f>
        <v/>
      </c>
      <c r="I1764" s="21">
        <f>IFERROR(INDEX(Pedidos!$E$2:$E$1801,MATCH(B1764,Pedidos!$A$2:$A$1801,0)),"")</f>
        <v/>
      </c>
      <c r="J1764" s="21">
        <f>IFERROR(INDEX(Pedidos!$C$2:$C$1801,MATCH(B1764,Pedidos!$A$2:$A$1801,0)),"")</f>
        <v/>
      </c>
      <c r="K1764" s="21">
        <f>IFERROR(INDEX(Pedidos!$D$2:$D$1801,MATCH(B1764,Pedidos!$A$2:$A$1801,0)),"")</f>
        <v/>
      </c>
      <c r="L1764" s="21">
        <f>IFERROR(INDEX(Pedidos!$F$2:$F$1801,MATCH(B1764,Pedidos!$A$2:$A$1801,0)),"")</f>
        <v/>
      </c>
      <c r="M1764" s="22">
        <f>IFERROR(INDEX(Pedidos!$G$2:$G$1801,MATCH(B1764,Pedidos!$A$2:$A$1801,0)),0)</f>
        <v/>
      </c>
      <c r="N1764" s="21">
        <f>IFERROR(INDEX(Produtos!$B$2:$B$71,MATCH(C1764,Produtos!$A$2:$A$71,0)),"")</f>
        <v/>
      </c>
      <c r="O1764" s="21">
        <f>IFERROR(INDEX(Produtos!$C$2:$C$71,MATCH(C1764,Produtos!$A$2:$A$71,0)),"")</f>
        <v/>
      </c>
      <c r="P1764" s="21">
        <f>IFERROR(INDEX(Produtos!$D$2:$D$71,MATCH(C1764,Produtos!$A$2:$A$71,0)),0)</f>
        <v/>
      </c>
      <c r="Q1764" s="21">
        <f>IFERROR(INDEX(Produtos!$E$2:$E$71,MATCH(C1764,Produtos!$A$2:$A$71,0)),0)</f>
        <v/>
      </c>
      <c r="R1764" s="23">
        <f>D1764*Q1764</f>
        <v/>
      </c>
      <c r="S1764" s="23">
        <f>R1764*E1764</f>
        <v/>
      </c>
      <c r="T1764" s="23">
        <f>(R1764-S1764)*M1764</f>
        <v/>
      </c>
      <c r="U1764" s="23">
        <f>R1764-S1764-T1764</f>
        <v/>
      </c>
      <c r="V1764" s="23">
        <f>D1764*P1764</f>
        <v/>
      </c>
      <c r="W1764" s="23">
        <f>U1764-V1764</f>
        <v/>
      </c>
      <c r="X1764" s="24">
        <f>IFERROR(W1764/U1764,0)</f>
        <v/>
      </c>
    </row>
    <row r="1765">
      <c r="A1765" s="25">
        <f>ItensPedido!A1765</f>
        <v/>
      </c>
      <c r="B1765" s="25">
        <f>ItensPedido!B1765</f>
        <v/>
      </c>
      <c r="C1765" s="25">
        <f>ItensPedido!C1765</f>
        <v/>
      </c>
      <c r="D1765" s="25">
        <f>ItensPedido!D1765</f>
        <v/>
      </c>
      <c r="E1765" s="26">
        <f>ItensPedido!E1765</f>
        <v/>
      </c>
      <c r="F1765" s="25">
        <f>IFERROR(INDEX(Pedidos!$B$2:$B$1801,MATCH(B1765,Pedidos!$A$2:$A$1801,0)),0)</f>
        <v/>
      </c>
      <c r="G1765" s="25">
        <f>IF(F1765=0,"",YEAR(F1765))</f>
        <v/>
      </c>
      <c r="H1765" s="25">
        <f>IF(F1765=0,"",MONTH(F1765))</f>
        <v/>
      </c>
      <c r="I1765" s="25">
        <f>IFERROR(INDEX(Pedidos!$E$2:$E$1801,MATCH(B1765,Pedidos!$A$2:$A$1801,0)),"")</f>
        <v/>
      </c>
      <c r="J1765" s="25">
        <f>IFERROR(INDEX(Pedidos!$C$2:$C$1801,MATCH(B1765,Pedidos!$A$2:$A$1801,0)),"")</f>
        <v/>
      </c>
      <c r="K1765" s="25">
        <f>IFERROR(INDEX(Pedidos!$D$2:$D$1801,MATCH(B1765,Pedidos!$A$2:$A$1801,0)),"")</f>
        <v/>
      </c>
      <c r="L1765" s="25">
        <f>IFERROR(INDEX(Pedidos!$F$2:$F$1801,MATCH(B1765,Pedidos!$A$2:$A$1801,0)),"")</f>
        <v/>
      </c>
      <c r="M1765" s="26">
        <f>IFERROR(INDEX(Pedidos!$G$2:$G$1801,MATCH(B1765,Pedidos!$A$2:$A$1801,0)),0)</f>
        <v/>
      </c>
      <c r="N1765" s="25">
        <f>IFERROR(INDEX(Produtos!$B$2:$B$71,MATCH(C1765,Produtos!$A$2:$A$71,0)),"")</f>
        <v/>
      </c>
      <c r="O1765" s="25">
        <f>IFERROR(INDEX(Produtos!$C$2:$C$71,MATCH(C1765,Produtos!$A$2:$A$71,0)),"")</f>
        <v/>
      </c>
      <c r="P1765" s="25">
        <f>IFERROR(INDEX(Produtos!$D$2:$D$71,MATCH(C1765,Produtos!$A$2:$A$71,0)),0)</f>
        <v/>
      </c>
      <c r="Q1765" s="25">
        <f>IFERROR(INDEX(Produtos!$E$2:$E$71,MATCH(C1765,Produtos!$A$2:$A$71,0)),0)</f>
        <v/>
      </c>
      <c r="R1765" s="27">
        <f>D1765*Q1765</f>
        <v/>
      </c>
      <c r="S1765" s="27">
        <f>R1765*E1765</f>
        <v/>
      </c>
      <c r="T1765" s="27">
        <f>(R1765-S1765)*M1765</f>
        <v/>
      </c>
      <c r="U1765" s="27">
        <f>R1765-S1765-T1765</f>
        <v/>
      </c>
      <c r="V1765" s="27">
        <f>D1765*P1765</f>
        <v/>
      </c>
      <c r="W1765" s="27">
        <f>U1765-V1765</f>
        <v/>
      </c>
      <c r="X1765" s="28">
        <f>IFERROR(W1765/U1765,0)</f>
        <v/>
      </c>
    </row>
    <row r="1766">
      <c r="A1766" s="21">
        <f>ItensPedido!A1766</f>
        <v/>
      </c>
      <c r="B1766" s="21">
        <f>ItensPedido!B1766</f>
        <v/>
      </c>
      <c r="C1766" s="21">
        <f>ItensPedido!C1766</f>
        <v/>
      </c>
      <c r="D1766" s="21">
        <f>ItensPedido!D1766</f>
        <v/>
      </c>
      <c r="E1766" s="22">
        <f>ItensPedido!E1766</f>
        <v/>
      </c>
      <c r="F1766" s="21">
        <f>IFERROR(INDEX(Pedidos!$B$2:$B$1801,MATCH(B1766,Pedidos!$A$2:$A$1801,0)),0)</f>
        <v/>
      </c>
      <c r="G1766" s="21">
        <f>IF(F1766=0,"",YEAR(F1766))</f>
        <v/>
      </c>
      <c r="H1766" s="21">
        <f>IF(F1766=0,"",MONTH(F1766))</f>
        <v/>
      </c>
      <c r="I1766" s="21">
        <f>IFERROR(INDEX(Pedidos!$E$2:$E$1801,MATCH(B1766,Pedidos!$A$2:$A$1801,0)),"")</f>
        <v/>
      </c>
      <c r="J1766" s="21">
        <f>IFERROR(INDEX(Pedidos!$C$2:$C$1801,MATCH(B1766,Pedidos!$A$2:$A$1801,0)),"")</f>
        <v/>
      </c>
      <c r="K1766" s="21">
        <f>IFERROR(INDEX(Pedidos!$D$2:$D$1801,MATCH(B1766,Pedidos!$A$2:$A$1801,0)),"")</f>
        <v/>
      </c>
      <c r="L1766" s="21">
        <f>IFERROR(INDEX(Pedidos!$F$2:$F$1801,MATCH(B1766,Pedidos!$A$2:$A$1801,0)),"")</f>
        <v/>
      </c>
      <c r="M1766" s="22">
        <f>IFERROR(INDEX(Pedidos!$G$2:$G$1801,MATCH(B1766,Pedidos!$A$2:$A$1801,0)),0)</f>
        <v/>
      </c>
      <c r="N1766" s="21">
        <f>IFERROR(INDEX(Produtos!$B$2:$B$71,MATCH(C1766,Produtos!$A$2:$A$71,0)),"")</f>
        <v/>
      </c>
      <c r="O1766" s="21">
        <f>IFERROR(INDEX(Produtos!$C$2:$C$71,MATCH(C1766,Produtos!$A$2:$A$71,0)),"")</f>
        <v/>
      </c>
      <c r="P1766" s="21">
        <f>IFERROR(INDEX(Produtos!$D$2:$D$71,MATCH(C1766,Produtos!$A$2:$A$71,0)),0)</f>
        <v/>
      </c>
      <c r="Q1766" s="21">
        <f>IFERROR(INDEX(Produtos!$E$2:$E$71,MATCH(C1766,Produtos!$A$2:$A$71,0)),0)</f>
        <v/>
      </c>
      <c r="R1766" s="23">
        <f>D1766*Q1766</f>
        <v/>
      </c>
      <c r="S1766" s="23">
        <f>R1766*E1766</f>
        <v/>
      </c>
      <c r="T1766" s="23">
        <f>(R1766-S1766)*M1766</f>
        <v/>
      </c>
      <c r="U1766" s="23">
        <f>R1766-S1766-T1766</f>
        <v/>
      </c>
      <c r="V1766" s="23">
        <f>D1766*P1766</f>
        <v/>
      </c>
      <c r="W1766" s="23">
        <f>U1766-V1766</f>
        <v/>
      </c>
      <c r="X1766" s="24">
        <f>IFERROR(W1766/U1766,0)</f>
        <v/>
      </c>
    </row>
    <row r="1767">
      <c r="A1767" s="25">
        <f>ItensPedido!A1767</f>
        <v/>
      </c>
      <c r="B1767" s="25">
        <f>ItensPedido!B1767</f>
        <v/>
      </c>
      <c r="C1767" s="25">
        <f>ItensPedido!C1767</f>
        <v/>
      </c>
      <c r="D1767" s="25">
        <f>ItensPedido!D1767</f>
        <v/>
      </c>
      <c r="E1767" s="26">
        <f>ItensPedido!E1767</f>
        <v/>
      </c>
      <c r="F1767" s="25">
        <f>IFERROR(INDEX(Pedidos!$B$2:$B$1801,MATCH(B1767,Pedidos!$A$2:$A$1801,0)),0)</f>
        <v/>
      </c>
      <c r="G1767" s="25">
        <f>IF(F1767=0,"",YEAR(F1767))</f>
        <v/>
      </c>
      <c r="H1767" s="25">
        <f>IF(F1767=0,"",MONTH(F1767))</f>
        <v/>
      </c>
      <c r="I1767" s="25">
        <f>IFERROR(INDEX(Pedidos!$E$2:$E$1801,MATCH(B1767,Pedidos!$A$2:$A$1801,0)),"")</f>
        <v/>
      </c>
      <c r="J1767" s="25">
        <f>IFERROR(INDEX(Pedidos!$C$2:$C$1801,MATCH(B1767,Pedidos!$A$2:$A$1801,0)),"")</f>
        <v/>
      </c>
      <c r="K1767" s="25">
        <f>IFERROR(INDEX(Pedidos!$D$2:$D$1801,MATCH(B1767,Pedidos!$A$2:$A$1801,0)),"")</f>
        <v/>
      </c>
      <c r="L1767" s="25">
        <f>IFERROR(INDEX(Pedidos!$F$2:$F$1801,MATCH(B1767,Pedidos!$A$2:$A$1801,0)),"")</f>
        <v/>
      </c>
      <c r="M1767" s="26">
        <f>IFERROR(INDEX(Pedidos!$G$2:$G$1801,MATCH(B1767,Pedidos!$A$2:$A$1801,0)),0)</f>
        <v/>
      </c>
      <c r="N1767" s="25">
        <f>IFERROR(INDEX(Produtos!$B$2:$B$71,MATCH(C1767,Produtos!$A$2:$A$71,0)),"")</f>
        <v/>
      </c>
      <c r="O1767" s="25">
        <f>IFERROR(INDEX(Produtos!$C$2:$C$71,MATCH(C1767,Produtos!$A$2:$A$71,0)),"")</f>
        <v/>
      </c>
      <c r="P1767" s="25">
        <f>IFERROR(INDEX(Produtos!$D$2:$D$71,MATCH(C1767,Produtos!$A$2:$A$71,0)),0)</f>
        <v/>
      </c>
      <c r="Q1767" s="25">
        <f>IFERROR(INDEX(Produtos!$E$2:$E$71,MATCH(C1767,Produtos!$A$2:$A$71,0)),0)</f>
        <v/>
      </c>
      <c r="R1767" s="27">
        <f>D1767*Q1767</f>
        <v/>
      </c>
      <c r="S1767" s="27">
        <f>R1767*E1767</f>
        <v/>
      </c>
      <c r="T1767" s="27">
        <f>(R1767-S1767)*M1767</f>
        <v/>
      </c>
      <c r="U1767" s="27">
        <f>R1767-S1767-T1767</f>
        <v/>
      </c>
      <c r="V1767" s="27">
        <f>D1767*P1767</f>
        <v/>
      </c>
      <c r="W1767" s="27">
        <f>U1767-V1767</f>
        <v/>
      </c>
      <c r="X1767" s="28">
        <f>IFERROR(W1767/U1767,0)</f>
        <v/>
      </c>
    </row>
    <row r="1768">
      <c r="A1768" s="21">
        <f>ItensPedido!A1768</f>
        <v/>
      </c>
      <c r="B1768" s="21">
        <f>ItensPedido!B1768</f>
        <v/>
      </c>
      <c r="C1768" s="21">
        <f>ItensPedido!C1768</f>
        <v/>
      </c>
      <c r="D1768" s="21">
        <f>ItensPedido!D1768</f>
        <v/>
      </c>
      <c r="E1768" s="22">
        <f>ItensPedido!E1768</f>
        <v/>
      </c>
      <c r="F1768" s="21">
        <f>IFERROR(INDEX(Pedidos!$B$2:$B$1801,MATCH(B1768,Pedidos!$A$2:$A$1801,0)),0)</f>
        <v/>
      </c>
      <c r="G1768" s="21">
        <f>IF(F1768=0,"",YEAR(F1768))</f>
        <v/>
      </c>
      <c r="H1768" s="21">
        <f>IF(F1768=0,"",MONTH(F1768))</f>
        <v/>
      </c>
      <c r="I1768" s="21">
        <f>IFERROR(INDEX(Pedidos!$E$2:$E$1801,MATCH(B1768,Pedidos!$A$2:$A$1801,0)),"")</f>
        <v/>
      </c>
      <c r="J1768" s="21">
        <f>IFERROR(INDEX(Pedidos!$C$2:$C$1801,MATCH(B1768,Pedidos!$A$2:$A$1801,0)),"")</f>
        <v/>
      </c>
      <c r="K1768" s="21">
        <f>IFERROR(INDEX(Pedidos!$D$2:$D$1801,MATCH(B1768,Pedidos!$A$2:$A$1801,0)),"")</f>
        <v/>
      </c>
      <c r="L1768" s="21">
        <f>IFERROR(INDEX(Pedidos!$F$2:$F$1801,MATCH(B1768,Pedidos!$A$2:$A$1801,0)),"")</f>
        <v/>
      </c>
      <c r="M1768" s="22">
        <f>IFERROR(INDEX(Pedidos!$G$2:$G$1801,MATCH(B1768,Pedidos!$A$2:$A$1801,0)),0)</f>
        <v/>
      </c>
      <c r="N1768" s="21">
        <f>IFERROR(INDEX(Produtos!$B$2:$B$71,MATCH(C1768,Produtos!$A$2:$A$71,0)),"")</f>
        <v/>
      </c>
      <c r="O1768" s="21">
        <f>IFERROR(INDEX(Produtos!$C$2:$C$71,MATCH(C1768,Produtos!$A$2:$A$71,0)),"")</f>
        <v/>
      </c>
      <c r="P1768" s="21">
        <f>IFERROR(INDEX(Produtos!$D$2:$D$71,MATCH(C1768,Produtos!$A$2:$A$71,0)),0)</f>
        <v/>
      </c>
      <c r="Q1768" s="21">
        <f>IFERROR(INDEX(Produtos!$E$2:$E$71,MATCH(C1768,Produtos!$A$2:$A$71,0)),0)</f>
        <v/>
      </c>
      <c r="R1768" s="23">
        <f>D1768*Q1768</f>
        <v/>
      </c>
      <c r="S1768" s="23">
        <f>R1768*E1768</f>
        <v/>
      </c>
      <c r="T1768" s="23">
        <f>(R1768-S1768)*M1768</f>
        <v/>
      </c>
      <c r="U1768" s="23">
        <f>R1768-S1768-T1768</f>
        <v/>
      </c>
      <c r="V1768" s="23">
        <f>D1768*P1768</f>
        <v/>
      </c>
      <c r="W1768" s="23">
        <f>U1768-V1768</f>
        <v/>
      </c>
      <c r="X1768" s="24">
        <f>IFERROR(W1768/U1768,0)</f>
        <v/>
      </c>
    </row>
    <row r="1769">
      <c r="A1769" s="25">
        <f>ItensPedido!A1769</f>
        <v/>
      </c>
      <c r="B1769" s="25">
        <f>ItensPedido!B1769</f>
        <v/>
      </c>
      <c r="C1769" s="25">
        <f>ItensPedido!C1769</f>
        <v/>
      </c>
      <c r="D1769" s="25">
        <f>ItensPedido!D1769</f>
        <v/>
      </c>
      <c r="E1769" s="26">
        <f>ItensPedido!E1769</f>
        <v/>
      </c>
      <c r="F1769" s="25">
        <f>IFERROR(INDEX(Pedidos!$B$2:$B$1801,MATCH(B1769,Pedidos!$A$2:$A$1801,0)),0)</f>
        <v/>
      </c>
      <c r="G1769" s="25">
        <f>IF(F1769=0,"",YEAR(F1769))</f>
        <v/>
      </c>
      <c r="H1769" s="25">
        <f>IF(F1769=0,"",MONTH(F1769))</f>
        <v/>
      </c>
      <c r="I1769" s="25">
        <f>IFERROR(INDEX(Pedidos!$E$2:$E$1801,MATCH(B1769,Pedidos!$A$2:$A$1801,0)),"")</f>
        <v/>
      </c>
      <c r="J1769" s="25">
        <f>IFERROR(INDEX(Pedidos!$C$2:$C$1801,MATCH(B1769,Pedidos!$A$2:$A$1801,0)),"")</f>
        <v/>
      </c>
      <c r="K1769" s="25">
        <f>IFERROR(INDEX(Pedidos!$D$2:$D$1801,MATCH(B1769,Pedidos!$A$2:$A$1801,0)),"")</f>
        <v/>
      </c>
      <c r="L1769" s="25">
        <f>IFERROR(INDEX(Pedidos!$F$2:$F$1801,MATCH(B1769,Pedidos!$A$2:$A$1801,0)),"")</f>
        <v/>
      </c>
      <c r="M1769" s="26">
        <f>IFERROR(INDEX(Pedidos!$G$2:$G$1801,MATCH(B1769,Pedidos!$A$2:$A$1801,0)),0)</f>
        <v/>
      </c>
      <c r="N1769" s="25">
        <f>IFERROR(INDEX(Produtos!$B$2:$B$71,MATCH(C1769,Produtos!$A$2:$A$71,0)),"")</f>
        <v/>
      </c>
      <c r="O1769" s="25">
        <f>IFERROR(INDEX(Produtos!$C$2:$C$71,MATCH(C1769,Produtos!$A$2:$A$71,0)),"")</f>
        <v/>
      </c>
      <c r="P1769" s="25">
        <f>IFERROR(INDEX(Produtos!$D$2:$D$71,MATCH(C1769,Produtos!$A$2:$A$71,0)),0)</f>
        <v/>
      </c>
      <c r="Q1769" s="25">
        <f>IFERROR(INDEX(Produtos!$E$2:$E$71,MATCH(C1769,Produtos!$A$2:$A$71,0)),0)</f>
        <v/>
      </c>
      <c r="R1769" s="27">
        <f>D1769*Q1769</f>
        <v/>
      </c>
      <c r="S1769" s="27">
        <f>R1769*E1769</f>
        <v/>
      </c>
      <c r="T1769" s="27">
        <f>(R1769-S1769)*M1769</f>
        <v/>
      </c>
      <c r="U1769" s="27">
        <f>R1769-S1769-T1769</f>
        <v/>
      </c>
      <c r="V1769" s="27">
        <f>D1769*P1769</f>
        <v/>
      </c>
      <c r="W1769" s="27">
        <f>U1769-V1769</f>
        <v/>
      </c>
      <c r="X1769" s="28">
        <f>IFERROR(W1769/U1769,0)</f>
        <v/>
      </c>
    </row>
    <row r="1770">
      <c r="A1770" s="21">
        <f>ItensPedido!A1770</f>
        <v/>
      </c>
      <c r="B1770" s="21">
        <f>ItensPedido!B1770</f>
        <v/>
      </c>
      <c r="C1770" s="21">
        <f>ItensPedido!C1770</f>
        <v/>
      </c>
      <c r="D1770" s="21">
        <f>ItensPedido!D1770</f>
        <v/>
      </c>
      <c r="E1770" s="22">
        <f>ItensPedido!E1770</f>
        <v/>
      </c>
      <c r="F1770" s="21">
        <f>IFERROR(INDEX(Pedidos!$B$2:$B$1801,MATCH(B1770,Pedidos!$A$2:$A$1801,0)),0)</f>
        <v/>
      </c>
      <c r="G1770" s="21">
        <f>IF(F1770=0,"",YEAR(F1770))</f>
        <v/>
      </c>
      <c r="H1770" s="21">
        <f>IF(F1770=0,"",MONTH(F1770))</f>
        <v/>
      </c>
      <c r="I1770" s="21">
        <f>IFERROR(INDEX(Pedidos!$E$2:$E$1801,MATCH(B1770,Pedidos!$A$2:$A$1801,0)),"")</f>
        <v/>
      </c>
      <c r="J1770" s="21">
        <f>IFERROR(INDEX(Pedidos!$C$2:$C$1801,MATCH(B1770,Pedidos!$A$2:$A$1801,0)),"")</f>
        <v/>
      </c>
      <c r="K1770" s="21">
        <f>IFERROR(INDEX(Pedidos!$D$2:$D$1801,MATCH(B1770,Pedidos!$A$2:$A$1801,0)),"")</f>
        <v/>
      </c>
      <c r="L1770" s="21">
        <f>IFERROR(INDEX(Pedidos!$F$2:$F$1801,MATCH(B1770,Pedidos!$A$2:$A$1801,0)),"")</f>
        <v/>
      </c>
      <c r="M1770" s="22">
        <f>IFERROR(INDEX(Pedidos!$G$2:$G$1801,MATCH(B1770,Pedidos!$A$2:$A$1801,0)),0)</f>
        <v/>
      </c>
      <c r="N1770" s="21">
        <f>IFERROR(INDEX(Produtos!$B$2:$B$71,MATCH(C1770,Produtos!$A$2:$A$71,0)),"")</f>
        <v/>
      </c>
      <c r="O1770" s="21">
        <f>IFERROR(INDEX(Produtos!$C$2:$C$71,MATCH(C1770,Produtos!$A$2:$A$71,0)),"")</f>
        <v/>
      </c>
      <c r="P1770" s="21">
        <f>IFERROR(INDEX(Produtos!$D$2:$D$71,MATCH(C1770,Produtos!$A$2:$A$71,0)),0)</f>
        <v/>
      </c>
      <c r="Q1770" s="21">
        <f>IFERROR(INDEX(Produtos!$E$2:$E$71,MATCH(C1770,Produtos!$A$2:$A$71,0)),0)</f>
        <v/>
      </c>
      <c r="R1770" s="23">
        <f>D1770*Q1770</f>
        <v/>
      </c>
      <c r="S1770" s="23">
        <f>R1770*E1770</f>
        <v/>
      </c>
      <c r="T1770" s="23">
        <f>(R1770-S1770)*M1770</f>
        <v/>
      </c>
      <c r="U1770" s="23">
        <f>R1770-S1770-T1770</f>
        <v/>
      </c>
      <c r="V1770" s="23">
        <f>D1770*P1770</f>
        <v/>
      </c>
      <c r="W1770" s="23">
        <f>U1770-V1770</f>
        <v/>
      </c>
      <c r="X1770" s="24">
        <f>IFERROR(W1770/U1770,0)</f>
        <v/>
      </c>
    </row>
    <row r="1771">
      <c r="A1771" s="25">
        <f>ItensPedido!A1771</f>
        <v/>
      </c>
      <c r="B1771" s="25">
        <f>ItensPedido!B1771</f>
        <v/>
      </c>
      <c r="C1771" s="25">
        <f>ItensPedido!C1771</f>
        <v/>
      </c>
      <c r="D1771" s="25">
        <f>ItensPedido!D1771</f>
        <v/>
      </c>
      <c r="E1771" s="26">
        <f>ItensPedido!E1771</f>
        <v/>
      </c>
      <c r="F1771" s="25">
        <f>IFERROR(INDEX(Pedidos!$B$2:$B$1801,MATCH(B1771,Pedidos!$A$2:$A$1801,0)),0)</f>
        <v/>
      </c>
      <c r="G1771" s="25">
        <f>IF(F1771=0,"",YEAR(F1771))</f>
        <v/>
      </c>
      <c r="H1771" s="25">
        <f>IF(F1771=0,"",MONTH(F1771))</f>
        <v/>
      </c>
      <c r="I1771" s="25">
        <f>IFERROR(INDEX(Pedidos!$E$2:$E$1801,MATCH(B1771,Pedidos!$A$2:$A$1801,0)),"")</f>
        <v/>
      </c>
      <c r="J1771" s="25">
        <f>IFERROR(INDEX(Pedidos!$C$2:$C$1801,MATCH(B1771,Pedidos!$A$2:$A$1801,0)),"")</f>
        <v/>
      </c>
      <c r="K1771" s="25">
        <f>IFERROR(INDEX(Pedidos!$D$2:$D$1801,MATCH(B1771,Pedidos!$A$2:$A$1801,0)),"")</f>
        <v/>
      </c>
      <c r="L1771" s="25">
        <f>IFERROR(INDEX(Pedidos!$F$2:$F$1801,MATCH(B1771,Pedidos!$A$2:$A$1801,0)),"")</f>
        <v/>
      </c>
      <c r="M1771" s="26">
        <f>IFERROR(INDEX(Pedidos!$G$2:$G$1801,MATCH(B1771,Pedidos!$A$2:$A$1801,0)),0)</f>
        <v/>
      </c>
      <c r="N1771" s="25">
        <f>IFERROR(INDEX(Produtos!$B$2:$B$71,MATCH(C1771,Produtos!$A$2:$A$71,0)),"")</f>
        <v/>
      </c>
      <c r="O1771" s="25">
        <f>IFERROR(INDEX(Produtos!$C$2:$C$71,MATCH(C1771,Produtos!$A$2:$A$71,0)),"")</f>
        <v/>
      </c>
      <c r="P1771" s="25">
        <f>IFERROR(INDEX(Produtos!$D$2:$D$71,MATCH(C1771,Produtos!$A$2:$A$71,0)),0)</f>
        <v/>
      </c>
      <c r="Q1771" s="25">
        <f>IFERROR(INDEX(Produtos!$E$2:$E$71,MATCH(C1771,Produtos!$A$2:$A$71,0)),0)</f>
        <v/>
      </c>
      <c r="R1771" s="27">
        <f>D1771*Q1771</f>
        <v/>
      </c>
      <c r="S1771" s="27">
        <f>R1771*E1771</f>
        <v/>
      </c>
      <c r="T1771" s="27">
        <f>(R1771-S1771)*M1771</f>
        <v/>
      </c>
      <c r="U1771" s="27">
        <f>R1771-S1771-T1771</f>
        <v/>
      </c>
      <c r="V1771" s="27">
        <f>D1771*P1771</f>
        <v/>
      </c>
      <c r="W1771" s="27">
        <f>U1771-V1771</f>
        <v/>
      </c>
      <c r="X1771" s="28">
        <f>IFERROR(W1771/U1771,0)</f>
        <v/>
      </c>
    </row>
    <row r="1772">
      <c r="A1772" s="21">
        <f>ItensPedido!A1772</f>
        <v/>
      </c>
      <c r="B1772" s="21">
        <f>ItensPedido!B1772</f>
        <v/>
      </c>
      <c r="C1772" s="21">
        <f>ItensPedido!C1772</f>
        <v/>
      </c>
      <c r="D1772" s="21">
        <f>ItensPedido!D1772</f>
        <v/>
      </c>
      <c r="E1772" s="22">
        <f>ItensPedido!E1772</f>
        <v/>
      </c>
      <c r="F1772" s="21">
        <f>IFERROR(INDEX(Pedidos!$B$2:$B$1801,MATCH(B1772,Pedidos!$A$2:$A$1801,0)),0)</f>
        <v/>
      </c>
      <c r="G1772" s="21">
        <f>IF(F1772=0,"",YEAR(F1772))</f>
        <v/>
      </c>
      <c r="H1772" s="21">
        <f>IF(F1772=0,"",MONTH(F1772))</f>
        <v/>
      </c>
      <c r="I1772" s="21">
        <f>IFERROR(INDEX(Pedidos!$E$2:$E$1801,MATCH(B1772,Pedidos!$A$2:$A$1801,0)),"")</f>
        <v/>
      </c>
      <c r="J1772" s="21">
        <f>IFERROR(INDEX(Pedidos!$C$2:$C$1801,MATCH(B1772,Pedidos!$A$2:$A$1801,0)),"")</f>
        <v/>
      </c>
      <c r="K1772" s="21">
        <f>IFERROR(INDEX(Pedidos!$D$2:$D$1801,MATCH(B1772,Pedidos!$A$2:$A$1801,0)),"")</f>
        <v/>
      </c>
      <c r="L1772" s="21">
        <f>IFERROR(INDEX(Pedidos!$F$2:$F$1801,MATCH(B1772,Pedidos!$A$2:$A$1801,0)),"")</f>
        <v/>
      </c>
      <c r="M1772" s="22">
        <f>IFERROR(INDEX(Pedidos!$G$2:$G$1801,MATCH(B1772,Pedidos!$A$2:$A$1801,0)),0)</f>
        <v/>
      </c>
      <c r="N1772" s="21">
        <f>IFERROR(INDEX(Produtos!$B$2:$B$71,MATCH(C1772,Produtos!$A$2:$A$71,0)),"")</f>
        <v/>
      </c>
      <c r="O1772" s="21">
        <f>IFERROR(INDEX(Produtos!$C$2:$C$71,MATCH(C1772,Produtos!$A$2:$A$71,0)),"")</f>
        <v/>
      </c>
      <c r="P1772" s="21">
        <f>IFERROR(INDEX(Produtos!$D$2:$D$71,MATCH(C1772,Produtos!$A$2:$A$71,0)),0)</f>
        <v/>
      </c>
      <c r="Q1772" s="21">
        <f>IFERROR(INDEX(Produtos!$E$2:$E$71,MATCH(C1772,Produtos!$A$2:$A$71,0)),0)</f>
        <v/>
      </c>
      <c r="R1772" s="23">
        <f>D1772*Q1772</f>
        <v/>
      </c>
      <c r="S1772" s="23">
        <f>R1772*E1772</f>
        <v/>
      </c>
      <c r="T1772" s="23">
        <f>(R1772-S1772)*M1772</f>
        <v/>
      </c>
      <c r="U1772" s="23">
        <f>R1772-S1772-T1772</f>
        <v/>
      </c>
      <c r="V1772" s="23">
        <f>D1772*P1772</f>
        <v/>
      </c>
      <c r="W1772" s="23">
        <f>U1772-V1772</f>
        <v/>
      </c>
      <c r="X1772" s="24">
        <f>IFERROR(W1772/U1772,0)</f>
        <v/>
      </c>
    </row>
    <row r="1773">
      <c r="A1773" s="25">
        <f>ItensPedido!A1773</f>
        <v/>
      </c>
      <c r="B1773" s="25">
        <f>ItensPedido!B1773</f>
        <v/>
      </c>
      <c r="C1773" s="25">
        <f>ItensPedido!C1773</f>
        <v/>
      </c>
      <c r="D1773" s="25">
        <f>ItensPedido!D1773</f>
        <v/>
      </c>
      <c r="E1773" s="26">
        <f>ItensPedido!E1773</f>
        <v/>
      </c>
      <c r="F1773" s="25">
        <f>IFERROR(INDEX(Pedidos!$B$2:$B$1801,MATCH(B1773,Pedidos!$A$2:$A$1801,0)),0)</f>
        <v/>
      </c>
      <c r="G1773" s="25">
        <f>IF(F1773=0,"",YEAR(F1773))</f>
        <v/>
      </c>
      <c r="H1773" s="25">
        <f>IF(F1773=0,"",MONTH(F1773))</f>
        <v/>
      </c>
      <c r="I1773" s="25">
        <f>IFERROR(INDEX(Pedidos!$E$2:$E$1801,MATCH(B1773,Pedidos!$A$2:$A$1801,0)),"")</f>
        <v/>
      </c>
      <c r="J1773" s="25">
        <f>IFERROR(INDEX(Pedidos!$C$2:$C$1801,MATCH(B1773,Pedidos!$A$2:$A$1801,0)),"")</f>
        <v/>
      </c>
      <c r="K1773" s="25">
        <f>IFERROR(INDEX(Pedidos!$D$2:$D$1801,MATCH(B1773,Pedidos!$A$2:$A$1801,0)),"")</f>
        <v/>
      </c>
      <c r="L1773" s="25">
        <f>IFERROR(INDEX(Pedidos!$F$2:$F$1801,MATCH(B1773,Pedidos!$A$2:$A$1801,0)),"")</f>
        <v/>
      </c>
      <c r="M1773" s="26">
        <f>IFERROR(INDEX(Pedidos!$G$2:$G$1801,MATCH(B1773,Pedidos!$A$2:$A$1801,0)),0)</f>
        <v/>
      </c>
      <c r="N1773" s="25">
        <f>IFERROR(INDEX(Produtos!$B$2:$B$71,MATCH(C1773,Produtos!$A$2:$A$71,0)),"")</f>
        <v/>
      </c>
      <c r="O1773" s="25">
        <f>IFERROR(INDEX(Produtos!$C$2:$C$71,MATCH(C1773,Produtos!$A$2:$A$71,0)),"")</f>
        <v/>
      </c>
      <c r="P1773" s="25">
        <f>IFERROR(INDEX(Produtos!$D$2:$D$71,MATCH(C1773,Produtos!$A$2:$A$71,0)),0)</f>
        <v/>
      </c>
      <c r="Q1773" s="25">
        <f>IFERROR(INDEX(Produtos!$E$2:$E$71,MATCH(C1773,Produtos!$A$2:$A$71,0)),0)</f>
        <v/>
      </c>
      <c r="R1773" s="27">
        <f>D1773*Q1773</f>
        <v/>
      </c>
      <c r="S1773" s="27">
        <f>R1773*E1773</f>
        <v/>
      </c>
      <c r="T1773" s="27">
        <f>(R1773-S1773)*M1773</f>
        <v/>
      </c>
      <c r="U1773" s="27">
        <f>R1773-S1773-T1773</f>
        <v/>
      </c>
      <c r="V1773" s="27">
        <f>D1773*P1773</f>
        <v/>
      </c>
      <c r="W1773" s="27">
        <f>U1773-V1773</f>
        <v/>
      </c>
      <c r="X1773" s="28">
        <f>IFERROR(W1773/U1773,0)</f>
        <v/>
      </c>
    </row>
    <row r="1774">
      <c r="A1774" s="21">
        <f>ItensPedido!A1774</f>
        <v/>
      </c>
      <c r="B1774" s="21">
        <f>ItensPedido!B1774</f>
        <v/>
      </c>
      <c r="C1774" s="21">
        <f>ItensPedido!C1774</f>
        <v/>
      </c>
      <c r="D1774" s="21">
        <f>ItensPedido!D1774</f>
        <v/>
      </c>
      <c r="E1774" s="22">
        <f>ItensPedido!E1774</f>
        <v/>
      </c>
      <c r="F1774" s="21">
        <f>IFERROR(INDEX(Pedidos!$B$2:$B$1801,MATCH(B1774,Pedidos!$A$2:$A$1801,0)),0)</f>
        <v/>
      </c>
      <c r="G1774" s="21">
        <f>IF(F1774=0,"",YEAR(F1774))</f>
        <v/>
      </c>
      <c r="H1774" s="21">
        <f>IF(F1774=0,"",MONTH(F1774))</f>
        <v/>
      </c>
      <c r="I1774" s="21">
        <f>IFERROR(INDEX(Pedidos!$E$2:$E$1801,MATCH(B1774,Pedidos!$A$2:$A$1801,0)),"")</f>
        <v/>
      </c>
      <c r="J1774" s="21">
        <f>IFERROR(INDEX(Pedidos!$C$2:$C$1801,MATCH(B1774,Pedidos!$A$2:$A$1801,0)),"")</f>
        <v/>
      </c>
      <c r="K1774" s="21">
        <f>IFERROR(INDEX(Pedidos!$D$2:$D$1801,MATCH(B1774,Pedidos!$A$2:$A$1801,0)),"")</f>
        <v/>
      </c>
      <c r="L1774" s="21">
        <f>IFERROR(INDEX(Pedidos!$F$2:$F$1801,MATCH(B1774,Pedidos!$A$2:$A$1801,0)),"")</f>
        <v/>
      </c>
      <c r="M1774" s="22">
        <f>IFERROR(INDEX(Pedidos!$G$2:$G$1801,MATCH(B1774,Pedidos!$A$2:$A$1801,0)),0)</f>
        <v/>
      </c>
      <c r="N1774" s="21">
        <f>IFERROR(INDEX(Produtos!$B$2:$B$71,MATCH(C1774,Produtos!$A$2:$A$71,0)),"")</f>
        <v/>
      </c>
      <c r="O1774" s="21">
        <f>IFERROR(INDEX(Produtos!$C$2:$C$71,MATCH(C1774,Produtos!$A$2:$A$71,0)),"")</f>
        <v/>
      </c>
      <c r="P1774" s="21">
        <f>IFERROR(INDEX(Produtos!$D$2:$D$71,MATCH(C1774,Produtos!$A$2:$A$71,0)),0)</f>
        <v/>
      </c>
      <c r="Q1774" s="21">
        <f>IFERROR(INDEX(Produtos!$E$2:$E$71,MATCH(C1774,Produtos!$A$2:$A$71,0)),0)</f>
        <v/>
      </c>
      <c r="R1774" s="23">
        <f>D1774*Q1774</f>
        <v/>
      </c>
      <c r="S1774" s="23">
        <f>R1774*E1774</f>
        <v/>
      </c>
      <c r="T1774" s="23">
        <f>(R1774-S1774)*M1774</f>
        <v/>
      </c>
      <c r="U1774" s="23">
        <f>R1774-S1774-T1774</f>
        <v/>
      </c>
      <c r="V1774" s="23">
        <f>D1774*P1774</f>
        <v/>
      </c>
      <c r="W1774" s="23">
        <f>U1774-V1774</f>
        <v/>
      </c>
      <c r="X1774" s="24">
        <f>IFERROR(W1774/U1774,0)</f>
        <v/>
      </c>
    </row>
    <row r="1775">
      <c r="A1775" s="25">
        <f>ItensPedido!A1775</f>
        <v/>
      </c>
      <c r="B1775" s="25">
        <f>ItensPedido!B1775</f>
        <v/>
      </c>
      <c r="C1775" s="25">
        <f>ItensPedido!C1775</f>
        <v/>
      </c>
      <c r="D1775" s="25">
        <f>ItensPedido!D1775</f>
        <v/>
      </c>
      <c r="E1775" s="26">
        <f>ItensPedido!E1775</f>
        <v/>
      </c>
      <c r="F1775" s="25">
        <f>IFERROR(INDEX(Pedidos!$B$2:$B$1801,MATCH(B1775,Pedidos!$A$2:$A$1801,0)),0)</f>
        <v/>
      </c>
      <c r="G1775" s="25">
        <f>IF(F1775=0,"",YEAR(F1775))</f>
        <v/>
      </c>
      <c r="H1775" s="25">
        <f>IF(F1775=0,"",MONTH(F1775))</f>
        <v/>
      </c>
      <c r="I1775" s="25">
        <f>IFERROR(INDEX(Pedidos!$E$2:$E$1801,MATCH(B1775,Pedidos!$A$2:$A$1801,0)),"")</f>
        <v/>
      </c>
      <c r="J1775" s="25">
        <f>IFERROR(INDEX(Pedidos!$C$2:$C$1801,MATCH(B1775,Pedidos!$A$2:$A$1801,0)),"")</f>
        <v/>
      </c>
      <c r="K1775" s="25">
        <f>IFERROR(INDEX(Pedidos!$D$2:$D$1801,MATCH(B1775,Pedidos!$A$2:$A$1801,0)),"")</f>
        <v/>
      </c>
      <c r="L1775" s="25">
        <f>IFERROR(INDEX(Pedidos!$F$2:$F$1801,MATCH(B1775,Pedidos!$A$2:$A$1801,0)),"")</f>
        <v/>
      </c>
      <c r="M1775" s="26">
        <f>IFERROR(INDEX(Pedidos!$G$2:$G$1801,MATCH(B1775,Pedidos!$A$2:$A$1801,0)),0)</f>
        <v/>
      </c>
      <c r="N1775" s="25">
        <f>IFERROR(INDEX(Produtos!$B$2:$B$71,MATCH(C1775,Produtos!$A$2:$A$71,0)),"")</f>
        <v/>
      </c>
      <c r="O1775" s="25">
        <f>IFERROR(INDEX(Produtos!$C$2:$C$71,MATCH(C1775,Produtos!$A$2:$A$71,0)),"")</f>
        <v/>
      </c>
      <c r="P1775" s="25">
        <f>IFERROR(INDEX(Produtos!$D$2:$D$71,MATCH(C1775,Produtos!$A$2:$A$71,0)),0)</f>
        <v/>
      </c>
      <c r="Q1775" s="25">
        <f>IFERROR(INDEX(Produtos!$E$2:$E$71,MATCH(C1775,Produtos!$A$2:$A$71,0)),0)</f>
        <v/>
      </c>
      <c r="R1775" s="27">
        <f>D1775*Q1775</f>
        <v/>
      </c>
      <c r="S1775" s="27">
        <f>R1775*E1775</f>
        <v/>
      </c>
      <c r="T1775" s="27">
        <f>(R1775-S1775)*M1775</f>
        <v/>
      </c>
      <c r="U1775" s="27">
        <f>R1775-S1775-T1775</f>
        <v/>
      </c>
      <c r="V1775" s="27">
        <f>D1775*P1775</f>
        <v/>
      </c>
      <c r="W1775" s="27">
        <f>U1775-V1775</f>
        <v/>
      </c>
      <c r="X1775" s="28">
        <f>IFERROR(W1775/U1775,0)</f>
        <v/>
      </c>
    </row>
    <row r="1776">
      <c r="A1776" s="21">
        <f>ItensPedido!A1776</f>
        <v/>
      </c>
      <c r="B1776" s="21">
        <f>ItensPedido!B1776</f>
        <v/>
      </c>
      <c r="C1776" s="21">
        <f>ItensPedido!C1776</f>
        <v/>
      </c>
      <c r="D1776" s="21">
        <f>ItensPedido!D1776</f>
        <v/>
      </c>
      <c r="E1776" s="22">
        <f>ItensPedido!E1776</f>
        <v/>
      </c>
      <c r="F1776" s="21">
        <f>IFERROR(INDEX(Pedidos!$B$2:$B$1801,MATCH(B1776,Pedidos!$A$2:$A$1801,0)),0)</f>
        <v/>
      </c>
      <c r="G1776" s="21">
        <f>IF(F1776=0,"",YEAR(F1776))</f>
        <v/>
      </c>
      <c r="H1776" s="21">
        <f>IF(F1776=0,"",MONTH(F1776))</f>
        <v/>
      </c>
      <c r="I1776" s="21">
        <f>IFERROR(INDEX(Pedidos!$E$2:$E$1801,MATCH(B1776,Pedidos!$A$2:$A$1801,0)),"")</f>
        <v/>
      </c>
      <c r="J1776" s="21">
        <f>IFERROR(INDEX(Pedidos!$C$2:$C$1801,MATCH(B1776,Pedidos!$A$2:$A$1801,0)),"")</f>
        <v/>
      </c>
      <c r="K1776" s="21">
        <f>IFERROR(INDEX(Pedidos!$D$2:$D$1801,MATCH(B1776,Pedidos!$A$2:$A$1801,0)),"")</f>
        <v/>
      </c>
      <c r="L1776" s="21">
        <f>IFERROR(INDEX(Pedidos!$F$2:$F$1801,MATCH(B1776,Pedidos!$A$2:$A$1801,0)),"")</f>
        <v/>
      </c>
      <c r="M1776" s="22">
        <f>IFERROR(INDEX(Pedidos!$G$2:$G$1801,MATCH(B1776,Pedidos!$A$2:$A$1801,0)),0)</f>
        <v/>
      </c>
      <c r="N1776" s="21">
        <f>IFERROR(INDEX(Produtos!$B$2:$B$71,MATCH(C1776,Produtos!$A$2:$A$71,0)),"")</f>
        <v/>
      </c>
      <c r="O1776" s="21">
        <f>IFERROR(INDEX(Produtos!$C$2:$C$71,MATCH(C1776,Produtos!$A$2:$A$71,0)),"")</f>
        <v/>
      </c>
      <c r="P1776" s="21">
        <f>IFERROR(INDEX(Produtos!$D$2:$D$71,MATCH(C1776,Produtos!$A$2:$A$71,0)),0)</f>
        <v/>
      </c>
      <c r="Q1776" s="21">
        <f>IFERROR(INDEX(Produtos!$E$2:$E$71,MATCH(C1776,Produtos!$A$2:$A$71,0)),0)</f>
        <v/>
      </c>
      <c r="R1776" s="23">
        <f>D1776*Q1776</f>
        <v/>
      </c>
      <c r="S1776" s="23">
        <f>R1776*E1776</f>
        <v/>
      </c>
      <c r="T1776" s="23">
        <f>(R1776-S1776)*M1776</f>
        <v/>
      </c>
      <c r="U1776" s="23">
        <f>R1776-S1776-T1776</f>
        <v/>
      </c>
      <c r="V1776" s="23">
        <f>D1776*P1776</f>
        <v/>
      </c>
      <c r="W1776" s="23">
        <f>U1776-V1776</f>
        <v/>
      </c>
      <c r="X1776" s="24">
        <f>IFERROR(W1776/U1776,0)</f>
        <v/>
      </c>
    </row>
    <row r="1777">
      <c r="A1777" s="25">
        <f>ItensPedido!A1777</f>
        <v/>
      </c>
      <c r="B1777" s="25">
        <f>ItensPedido!B1777</f>
        <v/>
      </c>
      <c r="C1777" s="25">
        <f>ItensPedido!C1777</f>
        <v/>
      </c>
      <c r="D1777" s="25">
        <f>ItensPedido!D1777</f>
        <v/>
      </c>
      <c r="E1777" s="26">
        <f>ItensPedido!E1777</f>
        <v/>
      </c>
      <c r="F1777" s="25">
        <f>IFERROR(INDEX(Pedidos!$B$2:$B$1801,MATCH(B1777,Pedidos!$A$2:$A$1801,0)),0)</f>
        <v/>
      </c>
      <c r="G1777" s="25">
        <f>IF(F1777=0,"",YEAR(F1777))</f>
        <v/>
      </c>
      <c r="H1777" s="25">
        <f>IF(F1777=0,"",MONTH(F1777))</f>
        <v/>
      </c>
      <c r="I1777" s="25">
        <f>IFERROR(INDEX(Pedidos!$E$2:$E$1801,MATCH(B1777,Pedidos!$A$2:$A$1801,0)),"")</f>
        <v/>
      </c>
      <c r="J1777" s="25">
        <f>IFERROR(INDEX(Pedidos!$C$2:$C$1801,MATCH(B1777,Pedidos!$A$2:$A$1801,0)),"")</f>
        <v/>
      </c>
      <c r="K1777" s="25">
        <f>IFERROR(INDEX(Pedidos!$D$2:$D$1801,MATCH(B1777,Pedidos!$A$2:$A$1801,0)),"")</f>
        <v/>
      </c>
      <c r="L1777" s="25">
        <f>IFERROR(INDEX(Pedidos!$F$2:$F$1801,MATCH(B1777,Pedidos!$A$2:$A$1801,0)),"")</f>
        <v/>
      </c>
      <c r="M1777" s="26">
        <f>IFERROR(INDEX(Pedidos!$G$2:$G$1801,MATCH(B1777,Pedidos!$A$2:$A$1801,0)),0)</f>
        <v/>
      </c>
      <c r="N1777" s="25">
        <f>IFERROR(INDEX(Produtos!$B$2:$B$71,MATCH(C1777,Produtos!$A$2:$A$71,0)),"")</f>
        <v/>
      </c>
      <c r="O1777" s="25">
        <f>IFERROR(INDEX(Produtos!$C$2:$C$71,MATCH(C1777,Produtos!$A$2:$A$71,0)),"")</f>
        <v/>
      </c>
      <c r="P1777" s="25">
        <f>IFERROR(INDEX(Produtos!$D$2:$D$71,MATCH(C1777,Produtos!$A$2:$A$71,0)),0)</f>
        <v/>
      </c>
      <c r="Q1777" s="25">
        <f>IFERROR(INDEX(Produtos!$E$2:$E$71,MATCH(C1777,Produtos!$A$2:$A$71,0)),0)</f>
        <v/>
      </c>
      <c r="R1777" s="27">
        <f>D1777*Q1777</f>
        <v/>
      </c>
      <c r="S1777" s="27">
        <f>R1777*E1777</f>
        <v/>
      </c>
      <c r="T1777" s="27">
        <f>(R1777-S1777)*M1777</f>
        <v/>
      </c>
      <c r="U1777" s="27">
        <f>R1777-S1777-T1777</f>
        <v/>
      </c>
      <c r="V1777" s="27">
        <f>D1777*P1777</f>
        <v/>
      </c>
      <c r="W1777" s="27">
        <f>U1777-V1777</f>
        <v/>
      </c>
      <c r="X1777" s="28">
        <f>IFERROR(W1777/U1777,0)</f>
        <v/>
      </c>
    </row>
    <row r="1778">
      <c r="A1778" s="21">
        <f>ItensPedido!A1778</f>
        <v/>
      </c>
      <c r="B1778" s="21">
        <f>ItensPedido!B1778</f>
        <v/>
      </c>
      <c r="C1778" s="21">
        <f>ItensPedido!C1778</f>
        <v/>
      </c>
      <c r="D1778" s="21">
        <f>ItensPedido!D1778</f>
        <v/>
      </c>
      <c r="E1778" s="22">
        <f>ItensPedido!E1778</f>
        <v/>
      </c>
      <c r="F1778" s="21">
        <f>IFERROR(INDEX(Pedidos!$B$2:$B$1801,MATCH(B1778,Pedidos!$A$2:$A$1801,0)),0)</f>
        <v/>
      </c>
      <c r="G1778" s="21">
        <f>IF(F1778=0,"",YEAR(F1778))</f>
        <v/>
      </c>
      <c r="H1778" s="21">
        <f>IF(F1778=0,"",MONTH(F1778))</f>
        <v/>
      </c>
      <c r="I1778" s="21">
        <f>IFERROR(INDEX(Pedidos!$E$2:$E$1801,MATCH(B1778,Pedidos!$A$2:$A$1801,0)),"")</f>
        <v/>
      </c>
      <c r="J1778" s="21">
        <f>IFERROR(INDEX(Pedidos!$C$2:$C$1801,MATCH(B1778,Pedidos!$A$2:$A$1801,0)),"")</f>
        <v/>
      </c>
      <c r="K1778" s="21">
        <f>IFERROR(INDEX(Pedidos!$D$2:$D$1801,MATCH(B1778,Pedidos!$A$2:$A$1801,0)),"")</f>
        <v/>
      </c>
      <c r="L1778" s="21">
        <f>IFERROR(INDEX(Pedidos!$F$2:$F$1801,MATCH(B1778,Pedidos!$A$2:$A$1801,0)),"")</f>
        <v/>
      </c>
      <c r="M1778" s="22">
        <f>IFERROR(INDEX(Pedidos!$G$2:$G$1801,MATCH(B1778,Pedidos!$A$2:$A$1801,0)),0)</f>
        <v/>
      </c>
      <c r="N1778" s="21">
        <f>IFERROR(INDEX(Produtos!$B$2:$B$71,MATCH(C1778,Produtos!$A$2:$A$71,0)),"")</f>
        <v/>
      </c>
      <c r="O1778" s="21">
        <f>IFERROR(INDEX(Produtos!$C$2:$C$71,MATCH(C1778,Produtos!$A$2:$A$71,0)),"")</f>
        <v/>
      </c>
      <c r="P1778" s="21">
        <f>IFERROR(INDEX(Produtos!$D$2:$D$71,MATCH(C1778,Produtos!$A$2:$A$71,0)),0)</f>
        <v/>
      </c>
      <c r="Q1778" s="21">
        <f>IFERROR(INDEX(Produtos!$E$2:$E$71,MATCH(C1778,Produtos!$A$2:$A$71,0)),0)</f>
        <v/>
      </c>
      <c r="R1778" s="23">
        <f>D1778*Q1778</f>
        <v/>
      </c>
      <c r="S1778" s="23">
        <f>R1778*E1778</f>
        <v/>
      </c>
      <c r="T1778" s="23">
        <f>(R1778-S1778)*M1778</f>
        <v/>
      </c>
      <c r="U1778" s="23">
        <f>R1778-S1778-T1778</f>
        <v/>
      </c>
      <c r="V1778" s="23">
        <f>D1778*P1778</f>
        <v/>
      </c>
      <c r="W1778" s="23">
        <f>U1778-V1778</f>
        <v/>
      </c>
      <c r="X1778" s="24">
        <f>IFERROR(W1778/U1778,0)</f>
        <v/>
      </c>
    </row>
    <row r="1779">
      <c r="A1779" s="25">
        <f>ItensPedido!A1779</f>
        <v/>
      </c>
      <c r="B1779" s="25">
        <f>ItensPedido!B1779</f>
        <v/>
      </c>
      <c r="C1779" s="25">
        <f>ItensPedido!C1779</f>
        <v/>
      </c>
      <c r="D1779" s="25">
        <f>ItensPedido!D1779</f>
        <v/>
      </c>
      <c r="E1779" s="26">
        <f>ItensPedido!E1779</f>
        <v/>
      </c>
      <c r="F1779" s="25">
        <f>IFERROR(INDEX(Pedidos!$B$2:$B$1801,MATCH(B1779,Pedidos!$A$2:$A$1801,0)),0)</f>
        <v/>
      </c>
      <c r="G1779" s="25">
        <f>IF(F1779=0,"",YEAR(F1779))</f>
        <v/>
      </c>
      <c r="H1779" s="25">
        <f>IF(F1779=0,"",MONTH(F1779))</f>
        <v/>
      </c>
      <c r="I1779" s="25">
        <f>IFERROR(INDEX(Pedidos!$E$2:$E$1801,MATCH(B1779,Pedidos!$A$2:$A$1801,0)),"")</f>
        <v/>
      </c>
      <c r="J1779" s="25">
        <f>IFERROR(INDEX(Pedidos!$C$2:$C$1801,MATCH(B1779,Pedidos!$A$2:$A$1801,0)),"")</f>
        <v/>
      </c>
      <c r="K1779" s="25">
        <f>IFERROR(INDEX(Pedidos!$D$2:$D$1801,MATCH(B1779,Pedidos!$A$2:$A$1801,0)),"")</f>
        <v/>
      </c>
      <c r="L1779" s="25">
        <f>IFERROR(INDEX(Pedidos!$F$2:$F$1801,MATCH(B1779,Pedidos!$A$2:$A$1801,0)),"")</f>
        <v/>
      </c>
      <c r="M1779" s="26">
        <f>IFERROR(INDEX(Pedidos!$G$2:$G$1801,MATCH(B1779,Pedidos!$A$2:$A$1801,0)),0)</f>
        <v/>
      </c>
      <c r="N1779" s="25">
        <f>IFERROR(INDEX(Produtos!$B$2:$B$71,MATCH(C1779,Produtos!$A$2:$A$71,0)),"")</f>
        <v/>
      </c>
      <c r="O1779" s="25">
        <f>IFERROR(INDEX(Produtos!$C$2:$C$71,MATCH(C1779,Produtos!$A$2:$A$71,0)),"")</f>
        <v/>
      </c>
      <c r="P1779" s="25">
        <f>IFERROR(INDEX(Produtos!$D$2:$D$71,MATCH(C1779,Produtos!$A$2:$A$71,0)),0)</f>
        <v/>
      </c>
      <c r="Q1779" s="25">
        <f>IFERROR(INDEX(Produtos!$E$2:$E$71,MATCH(C1779,Produtos!$A$2:$A$71,0)),0)</f>
        <v/>
      </c>
      <c r="R1779" s="27">
        <f>D1779*Q1779</f>
        <v/>
      </c>
      <c r="S1779" s="27">
        <f>R1779*E1779</f>
        <v/>
      </c>
      <c r="T1779" s="27">
        <f>(R1779-S1779)*M1779</f>
        <v/>
      </c>
      <c r="U1779" s="27">
        <f>R1779-S1779-T1779</f>
        <v/>
      </c>
      <c r="V1779" s="27">
        <f>D1779*P1779</f>
        <v/>
      </c>
      <c r="W1779" s="27">
        <f>U1779-V1779</f>
        <v/>
      </c>
      <c r="X1779" s="28">
        <f>IFERROR(W1779/U1779,0)</f>
        <v/>
      </c>
    </row>
    <row r="1780">
      <c r="A1780" s="21">
        <f>ItensPedido!A1780</f>
        <v/>
      </c>
      <c r="B1780" s="21">
        <f>ItensPedido!B1780</f>
        <v/>
      </c>
      <c r="C1780" s="21">
        <f>ItensPedido!C1780</f>
        <v/>
      </c>
      <c r="D1780" s="21">
        <f>ItensPedido!D1780</f>
        <v/>
      </c>
      <c r="E1780" s="22">
        <f>ItensPedido!E1780</f>
        <v/>
      </c>
      <c r="F1780" s="21">
        <f>IFERROR(INDEX(Pedidos!$B$2:$B$1801,MATCH(B1780,Pedidos!$A$2:$A$1801,0)),0)</f>
        <v/>
      </c>
      <c r="G1780" s="21">
        <f>IF(F1780=0,"",YEAR(F1780))</f>
        <v/>
      </c>
      <c r="H1780" s="21">
        <f>IF(F1780=0,"",MONTH(F1780))</f>
        <v/>
      </c>
      <c r="I1780" s="21">
        <f>IFERROR(INDEX(Pedidos!$E$2:$E$1801,MATCH(B1780,Pedidos!$A$2:$A$1801,0)),"")</f>
        <v/>
      </c>
      <c r="J1780" s="21">
        <f>IFERROR(INDEX(Pedidos!$C$2:$C$1801,MATCH(B1780,Pedidos!$A$2:$A$1801,0)),"")</f>
        <v/>
      </c>
      <c r="K1780" s="21">
        <f>IFERROR(INDEX(Pedidos!$D$2:$D$1801,MATCH(B1780,Pedidos!$A$2:$A$1801,0)),"")</f>
        <v/>
      </c>
      <c r="L1780" s="21">
        <f>IFERROR(INDEX(Pedidos!$F$2:$F$1801,MATCH(B1780,Pedidos!$A$2:$A$1801,0)),"")</f>
        <v/>
      </c>
      <c r="M1780" s="22">
        <f>IFERROR(INDEX(Pedidos!$G$2:$G$1801,MATCH(B1780,Pedidos!$A$2:$A$1801,0)),0)</f>
        <v/>
      </c>
      <c r="N1780" s="21">
        <f>IFERROR(INDEX(Produtos!$B$2:$B$71,MATCH(C1780,Produtos!$A$2:$A$71,0)),"")</f>
        <v/>
      </c>
      <c r="O1780" s="21">
        <f>IFERROR(INDEX(Produtos!$C$2:$C$71,MATCH(C1780,Produtos!$A$2:$A$71,0)),"")</f>
        <v/>
      </c>
      <c r="P1780" s="21">
        <f>IFERROR(INDEX(Produtos!$D$2:$D$71,MATCH(C1780,Produtos!$A$2:$A$71,0)),0)</f>
        <v/>
      </c>
      <c r="Q1780" s="21">
        <f>IFERROR(INDEX(Produtos!$E$2:$E$71,MATCH(C1780,Produtos!$A$2:$A$71,0)),0)</f>
        <v/>
      </c>
      <c r="R1780" s="23">
        <f>D1780*Q1780</f>
        <v/>
      </c>
      <c r="S1780" s="23">
        <f>R1780*E1780</f>
        <v/>
      </c>
      <c r="T1780" s="23">
        <f>(R1780-S1780)*M1780</f>
        <v/>
      </c>
      <c r="U1780" s="23">
        <f>R1780-S1780-T1780</f>
        <v/>
      </c>
      <c r="V1780" s="23">
        <f>D1780*P1780</f>
        <v/>
      </c>
      <c r="W1780" s="23">
        <f>U1780-V1780</f>
        <v/>
      </c>
      <c r="X1780" s="24">
        <f>IFERROR(W1780/U1780,0)</f>
        <v/>
      </c>
    </row>
    <row r="1781">
      <c r="A1781" s="25">
        <f>ItensPedido!A1781</f>
        <v/>
      </c>
      <c r="B1781" s="25">
        <f>ItensPedido!B1781</f>
        <v/>
      </c>
      <c r="C1781" s="25">
        <f>ItensPedido!C1781</f>
        <v/>
      </c>
      <c r="D1781" s="25">
        <f>ItensPedido!D1781</f>
        <v/>
      </c>
      <c r="E1781" s="26">
        <f>ItensPedido!E1781</f>
        <v/>
      </c>
      <c r="F1781" s="25">
        <f>IFERROR(INDEX(Pedidos!$B$2:$B$1801,MATCH(B1781,Pedidos!$A$2:$A$1801,0)),0)</f>
        <v/>
      </c>
      <c r="G1781" s="25">
        <f>IF(F1781=0,"",YEAR(F1781))</f>
        <v/>
      </c>
      <c r="H1781" s="25">
        <f>IF(F1781=0,"",MONTH(F1781))</f>
        <v/>
      </c>
      <c r="I1781" s="25">
        <f>IFERROR(INDEX(Pedidos!$E$2:$E$1801,MATCH(B1781,Pedidos!$A$2:$A$1801,0)),"")</f>
        <v/>
      </c>
      <c r="J1781" s="25">
        <f>IFERROR(INDEX(Pedidos!$C$2:$C$1801,MATCH(B1781,Pedidos!$A$2:$A$1801,0)),"")</f>
        <v/>
      </c>
      <c r="K1781" s="25">
        <f>IFERROR(INDEX(Pedidos!$D$2:$D$1801,MATCH(B1781,Pedidos!$A$2:$A$1801,0)),"")</f>
        <v/>
      </c>
      <c r="L1781" s="25">
        <f>IFERROR(INDEX(Pedidos!$F$2:$F$1801,MATCH(B1781,Pedidos!$A$2:$A$1801,0)),"")</f>
        <v/>
      </c>
      <c r="M1781" s="26">
        <f>IFERROR(INDEX(Pedidos!$G$2:$G$1801,MATCH(B1781,Pedidos!$A$2:$A$1801,0)),0)</f>
        <v/>
      </c>
      <c r="N1781" s="25">
        <f>IFERROR(INDEX(Produtos!$B$2:$B$71,MATCH(C1781,Produtos!$A$2:$A$71,0)),"")</f>
        <v/>
      </c>
      <c r="O1781" s="25">
        <f>IFERROR(INDEX(Produtos!$C$2:$C$71,MATCH(C1781,Produtos!$A$2:$A$71,0)),"")</f>
        <v/>
      </c>
      <c r="P1781" s="25">
        <f>IFERROR(INDEX(Produtos!$D$2:$D$71,MATCH(C1781,Produtos!$A$2:$A$71,0)),0)</f>
        <v/>
      </c>
      <c r="Q1781" s="25">
        <f>IFERROR(INDEX(Produtos!$E$2:$E$71,MATCH(C1781,Produtos!$A$2:$A$71,0)),0)</f>
        <v/>
      </c>
      <c r="R1781" s="27">
        <f>D1781*Q1781</f>
        <v/>
      </c>
      <c r="S1781" s="27">
        <f>R1781*E1781</f>
        <v/>
      </c>
      <c r="T1781" s="27">
        <f>(R1781-S1781)*M1781</f>
        <v/>
      </c>
      <c r="U1781" s="27">
        <f>R1781-S1781-T1781</f>
        <v/>
      </c>
      <c r="V1781" s="27">
        <f>D1781*P1781</f>
        <v/>
      </c>
      <c r="W1781" s="27">
        <f>U1781-V1781</f>
        <v/>
      </c>
      <c r="X1781" s="28">
        <f>IFERROR(W1781/U1781,0)</f>
        <v/>
      </c>
    </row>
    <row r="1782">
      <c r="A1782" s="21">
        <f>ItensPedido!A1782</f>
        <v/>
      </c>
      <c r="B1782" s="21">
        <f>ItensPedido!B1782</f>
        <v/>
      </c>
      <c r="C1782" s="21">
        <f>ItensPedido!C1782</f>
        <v/>
      </c>
      <c r="D1782" s="21">
        <f>ItensPedido!D1782</f>
        <v/>
      </c>
      <c r="E1782" s="22">
        <f>ItensPedido!E1782</f>
        <v/>
      </c>
      <c r="F1782" s="21">
        <f>IFERROR(INDEX(Pedidos!$B$2:$B$1801,MATCH(B1782,Pedidos!$A$2:$A$1801,0)),0)</f>
        <v/>
      </c>
      <c r="G1782" s="21">
        <f>IF(F1782=0,"",YEAR(F1782))</f>
        <v/>
      </c>
      <c r="H1782" s="21">
        <f>IF(F1782=0,"",MONTH(F1782))</f>
        <v/>
      </c>
      <c r="I1782" s="21">
        <f>IFERROR(INDEX(Pedidos!$E$2:$E$1801,MATCH(B1782,Pedidos!$A$2:$A$1801,0)),"")</f>
        <v/>
      </c>
      <c r="J1782" s="21">
        <f>IFERROR(INDEX(Pedidos!$C$2:$C$1801,MATCH(B1782,Pedidos!$A$2:$A$1801,0)),"")</f>
        <v/>
      </c>
      <c r="K1782" s="21">
        <f>IFERROR(INDEX(Pedidos!$D$2:$D$1801,MATCH(B1782,Pedidos!$A$2:$A$1801,0)),"")</f>
        <v/>
      </c>
      <c r="L1782" s="21">
        <f>IFERROR(INDEX(Pedidos!$F$2:$F$1801,MATCH(B1782,Pedidos!$A$2:$A$1801,0)),"")</f>
        <v/>
      </c>
      <c r="M1782" s="22">
        <f>IFERROR(INDEX(Pedidos!$G$2:$G$1801,MATCH(B1782,Pedidos!$A$2:$A$1801,0)),0)</f>
        <v/>
      </c>
      <c r="N1782" s="21">
        <f>IFERROR(INDEX(Produtos!$B$2:$B$71,MATCH(C1782,Produtos!$A$2:$A$71,0)),"")</f>
        <v/>
      </c>
      <c r="O1782" s="21">
        <f>IFERROR(INDEX(Produtos!$C$2:$C$71,MATCH(C1782,Produtos!$A$2:$A$71,0)),"")</f>
        <v/>
      </c>
      <c r="P1782" s="21">
        <f>IFERROR(INDEX(Produtos!$D$2:$D$71,MATCH(C1782,Produtos!$A$2:$A$71,0)),0)</f>
        <v/>
      </c>
      <c r="Q1782" s="21">
        <f>IFERROR(INDEX(Produtos!$E$2:$E$71,MATCH(C1782,Produtos!$A$2:$A$71,0)),0)</f>
        <v/>
      </c>
      <c r="R1782" s="23">
        <f>D1782*Q1782</f>
        <v/>
      </c>
      <c r="S1782" s="23">
        <f>R1782*E1782</f>
        <v/>
      </c>
      <c r="T1782" s="23">
        <f>(R1782-S1782)*M1782</f>
        <v/>
      </c>
      <c r="U1782" s="23">
        <f>R1782-S1782-T1782</f>
        <v/>
      </c>
      <c r="V1782" s="23">
        <f>D1782*P1782</f>
        <v/>
      </c>
      <c r="W1782" s="23">
        <f>U1782-V1782</f>
        <v/>
      </c>
      <c r="X1782" s="24">
        <f>IFERROR(W1782/U1782,0)</f>
        <v/>
      </c>
    </row>
    <row r="1783">
      <c r="A1783" s="25">
        <f>ItensPedido!A1783</f>
        <v/>
      </c>
      <c r="B1783" s="25">
        <f>ItensPedido!B1783</f>
        <v/>
      </c>
      <c r="C1783" s="25">
        <f>ItensPedido!C1783</f>
        <v/>
      </c>
      <c r="D1783" s="25">
        <f>ItensPedido!D1783</f>
        <v/>
      </c>
      <c r="E1783" s="26">
        <f>ItensPedido!E1783</f>
        <v/>
      </c>
      <c r="F1783" s="25">
        <f>IFERROR(INDEX(Pedidos!$B$2:$B$1801,MATCH(B1783,Pedidos!$A$2:$A$1801,0)),0)</f>
        <v/>
      </c>
      <c r="G1783" s="25">
        <f>IF(F1783=0,"",YEAR(F1783))</f>
        <v/>
      </c>
      <c r="H1783" s="25">
        <f>IF(F1783=0,"",MONTH(F1783))</f>
        <v/>
      </c>
      <c r="I1783" s="25">
        <f>IFERROR(INDEX(Pedidos!$E$2:$E$1801,MATCH(B1783,Pedidos!$A$2:$A$1801,0)),"")</f>
        <v/>
      </c>
      <c r="J1783" s="25">
        <f>IFERROR(INDEX(Pedidos!$C$2:$C$1801,MATCH(B1783,Pedidos!$A$2:$A$1801,0)),"")</f>
        <v/>
      </c>
      <c r="K1783" s="25">
        <f>IFERROR(INDEX(Pedidos!$D$2:$D$1801,MATCH(B1783,Pedidos!$A$2:$A$1801,0)),"")</f>
        <v/>
      </c>
      <c r="L1783" s="25">
        <f>IFERROR(INDEX(Pedidos!$F$2:$F$1801,MATCH(B1783,Pedidos!$A$2:$A$1801,0)),"")</f>
        <v/>
      </c>
      <c r="M1783" s="26">
        <f>IFERROR(INDEX(Pedidos!$G$2:$G$1801,MATCH(B1783,Pedidos!$A$2:$A$1801,0)),0)</f>
        <v/>
      </c>
      <c r="N1783" s="25">
        <f>IFERROR(INDEX(Produtos!$B$2:$B$71,MATCH(C1783,Produtos!$A$2:$A$71,0)),"")</f>
        <v/>
      </c>
      <c r="O1783" s="25">
        <f>IFERROR(INDEX(Produtos!$C$2:$C$71,MATCH(C1783,Produtos!$A$2:$A$71,0)),"")</f>
        <v/>
      </c>
      <c r="P1783" s="25">
        <f>IFERROR(INDEX(Produtos!$D$2:$D$71,MATCH(C1783,Produtos!$A$2:$A$71,0)),0)</f>
        <v/>
      </c>
      <c r="Q1783" s="25">
        <f>IFERROR(INDEX(Produtos!$E$2:$E$71,MATCH(C1783,Produtos!$A$2:$A$71,0)),0)</f>
        <v/>
      </c>
      <c r="R1783" s="27">
        <f>D1783*Q1783</f>
        <v/>
      </c>
      <c r="S1783" s="27">
        <f>R1783*E1783</f>
        <v/>
      </c>
      <c r="T1783" s="27">
        <f>(R1783-S1783)*M1783</f>
        <v/>
      </c>
      <c r="U1783" s="27">
        <f>R1783-S1783-T1783</f>
        <v/>
      </c>
      <c r="V1783" s="27">
        <f>D1783*P1783</f>
        <v/>
      </c>
      <c r="W1783" s="27">
        <f>U1783-V1783</f>
        <v/>
      </c>
      <c r="X1783" s="28">
        <f>IFERROR(W1783/U1783,0)</f>
        <v/>
      </c>
    </row>
    <row r="1784">
      <c r="A1784" s="21">
        <f>ItensPedido!A1784</f>
        <v/>
      </c>
      <c r="B1784" s="21">
        <f>ItensPedido!B1784</f>
        <v/>
      </c>
      <c r="C1784" s="21">
        <f>ItensPedido!C1784</f>
        <v/>
      </c>
      <c r="D1784" s="21">
        <f>ItensPedido!D1784</f>
        <v/>
      </c>
      <c r="E1784" s="22">
        <f>ItensPedido!E1784</f>
        <v/>
      </c>
      <c r="F1784" s="21">
        <f>IFERROR(INDEX(Pedidos!$B$2:$B$1801,MATCH(B1784,Pedidos!$A$2:$A$1801,0)),0)</f>
        <v/>
      </c>
      <c r="G1784" s="21">
        <f>IF(F1784=0,"",YEAR(F1784))</f>
        <v/>
      </c>
      <c r="H1784" s="21">
        <f>IF(F1784=0,"",MONTH(F1784))</f>
        <v/>
      </c>
      <c r="I1784" s="21">
        <f>IFERROR(INDEX(Pedidos!$E$2:$E$1801,MATCH(B1784,Pedidos!$A$2:$A$1801,0)),"")</f>
        <v/>
      </c>
      <c r="J1784" s="21">
        <f>IFERROR(INDEX(Pedidos!$C$2:$C$1801,MATCH(B1784,Pedidos!$A$2:$A$1801,0)),"")</f>
        <v/>
      </c>
      <c r="K1784" s="21">
        <f>IFERROR(INDEX(Pedidos!$D$2:$D$1801,MATCH(B1784,Pedidos!$A$2:$A$1801,0)),"")</f>
        <v/>
      </c>
      <c r="L1784" s="21">
        <f>IFERROR(INDEX(Pedidos!$F$2:$F$1801,MATCH(B1784,Pedidos!$A$2:$A$1801,0)),"")</f>
        <v/>
      </c>
      <c r="M1784" s="22">
        <f>IFERROR(INDEX(Pedidos!$G$2:$G$1801,MATCH(B1784,Pedidos!$A$2:$A$1801,0)),0)</f>
        <v/>
      </c>
      <c r="N1784" s="21">
        <f>IFERROR(INDEX(Produtos!$B$2:$B$71,MATCH(C1784,Produtos!$A$2:$A$71,0)),"")</f>
        <v/>
      </c>
      <c r="O1784" s="21">
        <f>IFERROR(INDEX(Produtos!$C$2:$C$71,MATCH(C1784,Produtos!$A$2:$A$71,0)),"")</f>
        <v/>
      </c>
      <c r="P1784" s="21">
        <f>IFERROR(INDEX(Produtos!$D$2:$D$71,MATCH(C1784,Produtos!$A$2:$A$71,0)),0)</f>
        <v/>
      </c>
      <c r="Q1784" s="21">
        <f>IFERROR(INDEX(Produtos!$E$2:$E$71,MATCH(C1784,Produtos!$A$2:$A$71,0)),0)</f>
        <v/>
      </c>
      <c r="R1784" s="23">
        <f>D1784*Q1784</f>
        <v/>
      </c>
      <c r="S1784" s="23">
        <f>R1784*E1784</f>
        <v/>
      </c>
      <c r="T1784" s="23">
        <f>(R1784-S1784)*M1784</f>
        <v/>
      </c>
      <c r="U1784" s="23">
        <f>R1784-S1784-T1784</f>
        <v/>
      </c>
      <c r="V1784" s="23">
        <f>D1784*P1784</f>
        <v/>
      </c>
      <c r="W1784" s="23">
        <f>U1784-V1784</f>
        <v/>
      </c>
      <c r="X1784" s="24">
        <f>IFERROR(W1784/U1784,0)</f>
        <v/>
      </c>
    </row>
    <row r="1785">
      <c r="A1785" s="25">
        <f>ItensPedido!A1785</f>
        <v/>
      </c>
      <c r="B1785" s="25">
        <f>ItensPedido!B1785</f>
        <v/>
      </c>
      <c r="C1785" s="25">
        <f>ItensPedido!C1785</f>
        <v/>
      </c>
      <c r="D1785" s="25">
        <f>ItensPedido!D1785</f>
        <v/>
      </c>
      <c r="E1785" s="26">
        <f>ItensPedido!E1785</f>
        <v/>
      </c>
      <c r="F1785" s="25">
        <f>IFERROR(INDEX(Pedidos!$B$2:$B$1801,MATCH(B1785,Pedidos!$A$2:$A$1801,0)),0)</f>
        <v/>
      </c>
      <c r="G1785" s="25">
        <f>IF(F1785=0,"",YEAR(F1785))</f>
        <v/>
      </c>
      <c r="H1785" s="25">
        <f>IF(F1785=0,"",MONTH(F1785))</f>
        <v/>
      </c>
      <c r="I1785" s="25">
        <f>IFERROR(INDEX(Pedidos!$E$2:$E$1801,MATCH(B1785,Pedidos!$A$2:$A$1801,0)),"")</f>
        <v/>
      </c>
      <c r="J1785" s="25">
        <f>IFERROR(INDEX(Pedidos!$C$2:$C$1801,MATCH(B1785,Pedidos!$A$2:$A$1801,0)),"")</f>
        <v/>
      </c>
      <c r="K1785" s="25">
        <f>IFERROR(INDEX(Pedidos!$D$2:$D$1801,MATCH(B1785,Pedidos!$A$2:$A$1801,0)),"")</f>
        <v/>
      </c>
      <c r="L1785" s="25">
        <f>IFERROR(INDEX(Pedidos!$F$2:$F$1801,MATCH(B1785,Pedidos!$A$2:$A$1801,0)),"")</f>
        <v/>
      </c>
      <c r="M1785" s="26">
        <f>IFERROR(INDEX(Pedidos!$G$2:$G$1801,MATCH(B1785,Pedidos!$A$2:$A$1801,0)),0)</f>
        <v/>
      </c>
      <c r="N1785" s="25">
        <f>IFERROR(INDEX(Produtos!$B$2:$B$71,MATCH(C1785,Produtos!$A$2:$A$71,0)),"")</f>
        <v/>
      </c>
      <c r="O1785" s="25">
        <f>IFERROR(INDEX(Produtos!$C$2:$C$71,MATCH(C1785,Produtos!$A$2:$A$71,0)),"")</f>
        <v/>
      </c>
      <c r="P1785" s="25">
        <f>IFERROR(INDEX(Produtos!$D$2:$D$71,MATCH(C1785,Produtos!$A$2:$A$71,0)),0)</f>
        <v/>
      </c>
      <c r="Q1785" s="25">
        <f>IFERROR(INDEX(Produtos!$E$2:$E$71,MATCH(C1785,Produtos!$A$2:$A$71,0)),0)</f>
        <v/>
      </c>
      <c r="R1785" s="27">
        <f>D1785*Q1785</f>
        <v/>
      </c>
      <c r="S1785" s="27">
        <f>R1785*E1785</f>
        <v/>
      </c>
      <c r="T1785" s="27">
        <f>(R1785-S1785)*M1785</f>
        <v/>
      </c>
      <c r="U1785" s="27">
        <f>R1785-S1785-T1785</f>
        <v/>
      </c>
      <c r="V1785" s="27">
        <f>D1785*P1785</f>
        <v/>
      </c>
      <c r="W1785" s="27">
        <f>U1785-V1785</f>
        <v/>
      </c>
      <c r="X1785" s="28">
        <f>IFERROR(W1785/U1785,0)</f>
        <v/>
      </c>
    </row>
    <row r="1786">
      <c r="A1786" s="21">
        <f>ItensPedido!A1786</f>
        <v/>
      </c>
      <c r="B1786" s="21">
        <f>ItensPedido!B1786</f>
        <v/>
      </c>
      <c r="C1786" s="21">
        <f>ItensPedido!C1786</f>
        <v/>
      </c>
      <c r="D1786" s="21">
        <f>ItensPedido!D1786</f>
        <v/>
      </c>
      <c r="E1786" s="22">
        <f>ItensPedido!E1786</f>
        <v/>
      </c>
      <c r="F1786" s="21">
        <f>IFERROR(INDEX(Pedidos!$B$2:$B$1801,MATCH(B1786,Pedidos!$A$2:$A$1801,0)),0)</f>
        <v/>
      </c>
      <c r="G1786" s="21">
        <f>IF(F1786=0,"",YEAR(F1786))</f>
        <v/>
      </c>
      <c r="H1786" s="21">
        <f>IF(F1786=0,"",MONTH(F1786))</f>
        <v/>
      </c>
      <c r="I1786" s="21">
        <f>IFERROR(INDEX(Pedidos!$E$2:$E$1801,MATCH(B1786,Pedidos!$A$2:$A$1801,0)),"")</f>
        <v/>
      </c>
      <c r="J1786" s="21">
        <f>IFERROR(INDEX(Pedidos!$C$2:$C$1801,MATCH(B1786,Pedidos!$A$2:$A$1801,0)),"")</f>
        <v/>
      </c>
      <c r="K1786" s="21">
        <f>IFERROR(INDEX(Pedidos!$D$2:$D$1801,MATCH(B1786,Pedidos!$A$2:$A$1801,0)),"")</f>
        <v/>
      </c>
      <c r="L1786" s="21">
        <f>IFERROR(INDEX(Pedidos!$F$2:$F$1801,MATCH(B1786,Pedidos!$A$2:$A$1801,0)),"")</f>
        <v/>
      </c>
      <c r="M1786" s="22">
        <f>IFERROR(INDEX(Pedidos!$G$2:$G$1801,MATCH(B1786,Pedidos!$A$2:$A$1801,0)),0)</f>
        <v/>
      </c>
      <c r="N1786" s="21">
        <f>IFERROR(INDEX(Produtos!$B$2:$B$71,MATCH(C1786,Produtos!$A$2:$A$71,0)),"")</f>
        <v/>
      </c>
      <c r="O1786" s="21">
        <f>IFERROR(INDEX(Produtos!$C$2:$C$71,MATCH(C1786,Produtos!$A$2:$A$71,0)),"")</f>
        <v/>
      </c>
      <c r="P1786" s="21">
        <f>IFERROR(INDEX(Produtos!$D$2:$D$71,MATCH(C1786,Produtos!$A$2:$A$71,0)),0)</f>
        <v/>
      </c>
      <c r="Q1786" s="21">
        <f>IFERROR(INDEX(Produtos!$E$2:$E$71,MATCH(C1786,Produtos!$A$2:$A$71,0)),0)</f>
        <v/>
      </c>
      <c r="R1786" s="23">
        <f>D1786*Q1786</f>
        <v/>
      </c>
      <c r="S1786" s="23">
        <f>R1786*E1786</f>
        <v/>
      </c>
      <c r="T1786" s="23">
        <f>(R1786-S1786)*M1786</f>
        <v/>
      </c>
      <c r="U1786" s="23">
        <f>R1786-S1786-T1786</f>
        <v/>
      </c>
      <c r="V1786" s="23">
        <f>D1786*P1786</f>
        <v/>
      </c>
      <c r="W1786" s="23">
        <f>U1786-V1786</f>
        <v/>
      </c>
      <c r="X1786" s="24">
        <f>IFERROR(W1786/U1786,0)</f>
        <v/>
      </c>
    </row>
    <row r="1787">
      <c r="A1787" s="25">
        <f>ItensPedido!A1787</f>
        <v/>
      </c>
      <c r="B1787" s="25">
        <f>ItensPedido!B1787</f>
        <v/>
      </c>
      <c r="C1787" s="25">
        <f>ItensPedido!C1787</f>
        <v/>
      </c>
      <c r="D1787" s="25">
        <f>ItensPedido!D1787</f>
        <v/>
      </c>
      <c r="E1787" s="26">
        <f>ItensPedido!E1787</f>
        <v/>
      </c>
      <c r="F1787" s="25">
        <f>IFERROR(INDEX(Pedidos!$B$2:$B$1801,MATCH(B1787,Pedidos!$A$2:$A$1801,0)),0)</f>
        <v/>
      </c>
      <c r="G1787" s="25">
        <f>IF(F1787=0,"",YEAR(F1787))</f>
        <v/>
      </c>
      <c r="H1787" s="25">
        <f>IF(F1787=0,"",MONTH(F1787))</f>
        <v/>
      </c>
      <c r="I1787" s="25">
        <f>IFERROR(INDEX(Pedidos!$E$2:$E$1801,MATCH(B1787,Pedidos!$A$2:$A$1801,0)),"")</f>
        <v/>
      </c>
      <c r="J1787" s="25">
        <f>IFERROR(INDEX(Pedidos!$C$2:$C$1801,MATCH(B1787,Pedidos!$A$2:$A$1801,0)),"")</f>
        <v/>
      </c>
      <c r="K1787" s="25">
        <f>IFERROR(INDEX(Pedidos!$D$2:$D$1801,MATCH(B1787,Pedidos!$A$2:$A$1801,0)),"")</f>
        <v/>
      </c>
      <c r="L1787" s="25">
        <f>IFERROR(INDEX(Pedidos!$F$2:$F$1801,MATCH(B1787,Pedidos!$A$2:$A$1801,0)),"")</f>
        <v/>
      </c>
      <c r="M1787" s="26">
        <f>IFERROR(INDEX(Pedidos!$G$2:$G$1801,MATCH(B1787,Pedidos!$A$2:$A$1801,0)),0)</f>
        <v/>
      </c>
      <c r="N1787" s="25">
        <f>IFERROR(INDEX(Produtos!$B$2:$B$71,MATCH(C1787,Produtos!$A$2:$A$71,0)),"")</f>
        <v/>
      </c>
      <c r="O1787" s="25">
        <f>IFERROR(INDEX(Produtos!$C$2:$C$71,MATCH(C1787,Produtos!$A$2:$A$71,0)),"")</f>
        <v/>
      </c>
      <c r="P1787" s="25">
        <f>IFERROR(INDEX(Produtos!$D$2:$D$71,MATCH(C1787,Produtos!$A$2:$A$71,0)),0)</f>
        <v/>
      </c>
      <c r="Q1787" s="25">
        <f>IFERROR(INDEX(Produtos!$E$2:$E$71,MATCH(C1787,Produtos!$A$2:$A$71,0)),0)</f>
        <v/>
      </c>
      <c r="R1787" s="27">
        <f>D1787*Q1787</f>
        <v/>
      </c>
      <c r="S1787" s="27">
        <f>R1787*E1787</f>
        <v/>
      </c>
      <c r="T1787" s="27">
        <f>(R1787-S1787)*M1787</f>
        <v/>
      </c>
      <c r="U1787" s="27">
        <f>R1787-S1787-T1787</f>
        <v/>
      </c>
      <c r="V1787" s="27">
        <f>D1787*P1787</f>
        <v/>
      </c>
      <c r="W1787" s="27">
        <f>U1787-V1787</f>
        <v/>
      </c>
      <c r="X1787" s="28">
        <f>IFERROR(W1787/U1787,0)</f>
        <v/>
      </c>
    </row>
    <row r="1788">
      <c r="A1788" s="21">
        <f>ItensPedido!A1788</f>
        <v/>
      </c>
      <c r="B1788" s="21">
        <f>ItensPedido!B1788</f>
        <v/>
      </c>
      <c r="C1788" s="21">
        <f>ItensPedido!C1788</f>
        <v/>
      </c>
      <c r="D1788" s="21">
        <f>ItensPedido!D1788</f>
        <v/>
      </c>
      <c r="E1788" s="22">
        <f>ItensPedido!E1788</f>
        <v/>
      </c>
      <c r="F1788" s="21">
        <f>IFERROR(INDEX(Pedidos!$B$2:$B$1801,MATCH(B1788,Pedidos!$A$2:$A$1801,0)),0)</f>
        <v/>
      </c>
      <c r="G1788" s="21">
        <f>IF(F1788=0,"",YEAR(F1788))</f>
        <v/>
      </c>
      <c r="H1788" s="21">
        <f>IF(F1788=0,"",MONTH(F1788))</f>
        <v/>
      </c>
      <c r="I1788" s="21">
        <f>IFERROR(INDEX(Pedidos!$E$2:$E$1801,MATCH(B1788,Pedidos!$A$2:$A$1801,0)),"")</f>
        <v/>
      </c>
      <c r="J1788" s="21">
        <f>IFERROR(INDEX(Pedidos!$C$2:$C$1801,MATCH(B1788,Pedidos!$A$2:$A$1801,0)),"")</f>
        <v/>
      </c>
      <c r="K1788" s="21">
        <f>IFERROR(INDEX(Pedidos!$D$2:$D$1801,MATCH(B1788,Pedidos!$A$2:$A$1801,0)),"")</f>
        <v/>
      </c>
      <c r="L1788" s="21">
        <f>IFERROR(INDEX(Pedidos!$F$2:$F$1801,MATCH(B1788,Pedidos!$A$2:$A$1801,0)),"")</f>
        <v/>
      </c>
      <c r="M1788" s="22">
        <f>IFERROR(INDEX(Pedidos!$G$2:$G$1801,MATCH(B1788,Pedidos!$A$2:$A$1801,0)),0)</f>
        <v/>
      </c>
      <c r="N1788" s="21">
        <f>IFERROR(INDEX(Produtos!$B$2:$B$71,MATCH(C1788,Produtos!$A$2:$A$71,0)),"")</f>
        <v/>
      </c>
      <c r="O1788" s="21">
        <f>IFERROR(INDEX(Produtos!$C$2:$C$71,MATCH(C1788,Produtos!$A$2:$A$71,0)),"")</f>
        <v/>
      </c>
      <c r="P1788" s="21">
        <f>IFERROR(INDEX(Produtos!$D$2:$D$71,MATCH(C1788,Produtos!$A$2:$A$71,0)),0)</f>
        <v/>
      </c>
      <c r="Q1788" s="21">
        <f>IFERROR(INDEX(Produtos!$E$2:$E$71,MATCH(C1788,Produtos!$A$2:$A$71,0)),0)</f>
        <v/>
      </c>
      <c r="R1788" s="23">
        <f>D1788*Q1788</f>
        <v/>
      </c>
      <c r="S1788" s="23">
        <f>R1788*E1788</f>
        <v/>
      </c>
      <c r="T1788" s="23">
        <f>(R1788-S1788)*M1788</f>
        <v/>
      </c>
      <c r="U1788" s="23">
        <f>R1788-S1788-T1788</f>
        <v/>
      </c>
      <c r="V1788" s="23">
        <f>D1788*P1788</f>
        <v/>
      </c>
      <c r="W1788" s="23">
        <f>U1788-V1788</f>
        <v/>
      </c>
      <c r="X1788" s="24">
        <f>IFERROR(W1788/U1788,0)</f>
        <v/>
      </c>
    </row>
    <row r="1789">
      <c r="A1789" s="25">
        <f>ItensPedido!A1789</f>
        <v/>
      </c>
      <c r="B1789" s="25">
        <f>ItensPedido!B1789</f>
        <v/>
      </c>
      <c r="C1789" s="25">
        <f>ItensPedido!C1789</f>
        <v/>
      </c>
      <c r="D1789" s="25">
        <f>ItensPedido!D1789</f>
        <v/>
      </c>
      <c r="E1789" s="26">
        <f>ItensPedido!E1789</f>
        <v/>
      </c>
      <c r="F1789" s="25">
        <f>IFERROR(INDEX(Pedidos!$B$2:$B$1801,MATCH(B1789,Pedidos!$A$2:$A$1801,0)),0)</f>
        <v/>
      </c>
      <c r="G1789" s="25">
        <f>IF(F1789=0,"",YEAR(F1789))</f>
        <v/>
      </c>
      <c r="H1789" s="25">
        <f>IF(F1789=0,"",MONTH(F1789))</f>
        <v/>
      </c>
      <c r="I1789" s="25">
        <f>IFERROR(INDEX(Pedidos!$E$2:$E$1801,MATCH(B1789,Pedidos!$A$2:$A$1801,0)),"")</f>
        <v/>
      </c>
      <c r="J1789" s="25">
        <f>IFERROR(INDEX(Pedidos!$C$2:$C$1801,MATCH(B1789,Pedidos!$A$2:$A$1801,0)),"")</f>
        <v/>
      </c>
      <c r="K1789" s="25">
        <f>IFERROR(INDEX(Pedidos!$D$2:$D$1801,MATCH(B1789,Pedidos!$A$2:$A$1801,0)),"")</f>
        <v/>
      </c>
      <c r="L1789" s="25">
        <f>IFERROR(INDEX(Pedidos!$F$2:$F$1801,MATCH(B1789,Pedidos!$A$2:$A$1801,0)),"")</f>
        <v/>
      </c>
      <c r="M1789" s="26">
        <f>IFERROR(INDEX(Pedidos!$G$2:$G$1801,MATCH(B1789,Pedidos!$A$2:$A$1801,0)),0)</f>
        <v/>
      </c>
      <c r="N1789" s="25">
        <f>IFERROR(INDEX(Produtos!$B$2:$B$71,MATCH(C1789,Produtos!$A$2:$A$71,0)),"")</f>
        <v/>
      </c>
      <c r="O1789" s="25">
        <f>IFERROR(INDEX(Produtos!$C$2:$C$71,MATCH(C1789,Produtos!$A$2:$A$71,0)),"")</f>
        <v/>
      </c>
      <c r="P1789" s="25">
        <f>IFERROR(INDEX(Produtos!$D$2:$D$71,MATCH(C1789,Produtos!$A$2:$A$71,0)),0)</f>
        <v/>
      </c>
      <c r="Q1789" s="25">
        <f>IFERROR(INDEX(Produtos!$E$2:$E$71,MATCH(C1789,Produtos!$A$2:$A$71,0)),0)</f>
        <v/>
      </c>
      <c r="R1789" s="27">
        <f>D1789*Q1789</f>
        <v/>
      </c>
      <c r="S1789" s="27">
        <f>R1789*E1789</f>
        <v/>
      </c>
      <c r="T1789" s="27">
        <f>(R1789-S1789)*M1789</f>
        <v/>
      </c>
      <c r="U1789" s="27">
        <f>R1789-S1789-T1789</f>
        <v/>
      </c>
      <c r="V1789" s="27">
        <f>D1789*P1789</f>
        <v/>
      </c>
      <c r="W1789" s="27">
        <f>U1789-V1789</f>
        <v/>
      </c>
      <c r="X1789" s="28">
        <f>IFERROR(W1789/U1789,0)</f>
        <v/>
      </c>
    </row>
    <row r="1790">
      <c r="A1790" s="21">
        <f>ItensPedido!A1790</f>
        <v/>
      </c>
      <c r="B1790" s="21">
        <f>ItensPedido!B1790</f>
        <v/>
      </c>
      <c r="C1790" s="21">
        <f>ItensPedido!C1790</f>
        <v/>
      </c>
      <c r="D1790" s="21">
        <f>ItensPedido!D1790</f>
        <v/>
      </c>
      <c r="E1790" s="22">
        <f>ItensPedido!E1790</f>
        <v/>
      </c>
      <c r="F1790" s="21">
        <f>IFERROR(INDEX(Pedidos!$B$2:$B$1801,MATCH(B1790,Pedidos!$A$2:$A$1801,0)),0)</f>
        <v/>
      </c>
      <c r="G1790" s="21">
        <f>IF(F1790=0,"",YEAR(F1790))</f>
        <v/>
      </c>
      <c r="H1790" s="21">
        <f>IF(F1790=0,"",MONTH(F1790))</f>
        <v/>
      </c>
      <c r="I1790" s="21">
        <f>IFERROR(INDEX(Pedidos!$E$2:$E$1801,MATCH(B1790,Pedidos!$A$2:$A$1801,0)),"")</f>
        <v/>
      </c>
      <c r="J1790" s="21">
        <f>IFERROR(INDEX(Pedidos!$C$2:$C$1801,MATCH(B1790,Pedidos!$A$2:$A$1801,0)),"")</f>
        <v/>
      </c>
      <c r="K1790" s="21">
        <f>IFERROR(INDEX(Pedidos!$D$2:$D$1801,MATCH(B1790,Pedidos!$A$2:$A$1801,0)),"")</f>
        <v/>
      </c>
      <c r="L1790" s="21">
        <f>IFERROR(INDEX(Pedidos!$F$2:$F$1801,MATCH(B1790,Pedidos!$A$2:$A$1801,0)),"")</f>
        <v/>
      </c>
      <c r="M1790" s="22">
        <f>IFERROR(INDEX(Pedidos!$G$2:$G$1801,MATCH(B1790,Pedidos!$A$2:$A$1801,0)),0)</f>
        <v/>
      </c>
      <c r="N1790" s="21">
        <f>IFERROR(INDEX(Produtos!$B$2:$B$71,MATCH(C1790,Produtos!$A$2:$A$71,0)),"")</f>
        <v/>
      </c>
      <c r="O1790" s="21">
        <f>IFERROR(INDEX(Produtos!$C$2:$C$71,MATCH(C1790,Produtos!$A$2:$A$71,0)),"")</f>
        <v/>
      </c>
      <c r="P1790" s="21">
        <f>IFERROR(INDEX(Produtos!$D$2:$D$71,MATCH(C1790,Produtos!$A$2:$A$71,0)),0)</f>
        <v/>
      </c>
      <c r="Q1790" s="21">
        <f>IFERROR(INDEX(Produtos!$E$2:$E$71,MATCH(C1790,Produtos!$A$2:$A$71,0)),0)</f>
        <v/>
      </c>
      <c r="R1790" s="23">
        <f>D1790*Q1790</f>
        <v/>
      </c>
      <c r="S1790" s="23">
        <f>R1790*E1790</f>
        <v/>
      </c>
      <c r="T1790" s="23">
        <f>(R1790-S1790)*M1790</f>
        <v/>
      </c>
      <c r="U1790" s="23">
        <f>R1790-S1790-T1790</f>
        <v/>
      </c>
      <c r="V1790" s="23">
        <f>D1790*P1790</f>
        <v/>
      </c>
      <c r="W1790" s="23">
        <f>U1790-V1790</f>
        <v/>
      </c>
      <c r="X1790" s="24">
        <f>IFERROR(W1790/U1790,0)</f>
        <v/>
      </c>
    </row>
    <row r="1791">
      <c r="A1791" s="25">
        <f>ItensPedido!A1791</f>
        <v/>
      </c>
      <c r="B1791" s="25">
        <f>ItensPedido!B1791</f>
        <v/>
      </c>
      <c r="C1791" s="25">
        <f>ItensPedido!C1791</f>
        <v/>
      </c>
      <c r="D1791" s="25">
        <f>ItensPedido!D1791</f>
        <v/>
      </c>
      <c r="E1791" s="26">
        <f>ItensPedido!E1791</f>
        <v/>
      </c>
      <c r="F1791" s="25">
        <f>IFERROR(INDEX(Pedidos!$B$2:$B$1801,MATCH(B1791,Pedidos!$A$2:$A$1801,0)),0)</f>
        <v/>
      </c>
      <c r="G1791" s="25">
        <f>IF(F1791=0,"",YEAR(F1791))</f>
        <v/>
      </c>
      <c r="H1791" s="25">
        <f>IF(F1791=0,"",MONTH(F1791))</f>
        <v/>
      </c>
      <c r="I1791" s="25">
        <f>IFERROR(INDEX(Pedidos!$E$2:$E$1801,MATCH(B1791,Pedidos!$A$2:$A$1801,0)),"")</f>
        <v/>
      </c>
      <c r="J1791" s="25">
        <f>IFERROR(INDEX(Pedidos!$C$2:$C$1801,MATCH(B1791,Pedidos!$A$2:$A$1801,0)),"")</f>
        <v/>
      </c>
      <c r="K1791" s="25">
        <f>IFERROR(INDEX(Pedidos!$D$2:$D$1801,MATCH(B1791,Pedidos!$A$2:$A$1801,0)),"")</f>
        <v/>
      </c>
      <c r="L1791" s="25">
        <f>IFERROR(INDEX(Pedidos!$F$2:$F$1801,MATCH(B1791,Pedidos!$A$2:$A$1801,0)),"")</f>
        <v/>
      </c>
      <c r="M1791" s="26">
        <f>IFERROR(INDEX(Pedidos!$G$2:$G$1801,MATCH(B1791,Pedidos!$A$2:$A$1801,0)),0)</f>
        <v/>
      </c>
      <c r="N1791" s="25">
        <f>IFERROR(INDEX(Produtos!$B$2:$B$71,MATCH(C1791,Produtos!$A$2:$A$71,0)),"")</f>
        <v/>
      </c>
      <c r="O1791" s="25">
        <f>IFERROR(INDEX(Produtos!$C$2:$C$71,MATCH(C1791,Produtos!$A$2:$A$71,0)),"")</f>
        <v/>
      </c>
      <c r="P1791" s="25">
        <f>IFERROR(INDEX(Produtos!$D$2:$D$71,MATCH(C1791,Produtos!$A$2:$A$71,0)),0)</f>
        <v/>
      </c>
      <c r="Q1791" s="25">
        <f>IFERROR(INDEX(Produtos!$E$2:$E$71,MATCH(C1791,Produtos!$A$2:$A$71,0)),0)</f>
        <v/>
      </c>
      <c r="R1791" s="27">
        <f>D1791*Q1791</f>
        <v/>
      </c>
      <c r="S1791" s="27">
        <f>R1791*E1791</f>
        <v/>
      </c>
      <c r="T1791" s="27">
        <f>(R1791-S1791)*M1791</f>
        <v/>
      </c>
      <c r="U1791" s="27">
        <f>R1791-S1791-T1791</f>
        <v/>
      </c>
      <c r="V1791" s="27">
        <f>D1791*P1791</f>
        <v/>
      </c>
      <c r="W1791" s="27">
        <f>U1791-V1791</f>
        <v/>
      </c>
      <c r="X1791" s="28">
        <f>IFERROR(W1791/U1791,0)</f>
        <v/>
      </c>
    </row>
    <row r="1792">
      <c r="A1792" s="21">
        <f>ItensPedido!A1792</f>
        <v/>
      </c>
      <c r="B1792" s="21">
        <f>ItensPedido!B1792</f>
        <v/>
      </c>
      <c r="C1792" s="21">
        <f>ItensPedido!C1792</f>
        <v/>
      </c>
      <c r="D1792" s="21">
        <f>ItensPedido!D1792</f>
        <v/>
      </c>
      <c r="E1792" s="22">
        <f>ItensPedido!E1792</f>
        <v/>
      </c>
      <c r="F1792" s="21">
        <f>IFERROR(INDEX(Pedidos!$B$2:$B$1801,MATCH(B1792,Pedidos!$A$2:$A$1801,0)),0)</f>
        <v/>
      </c>
      <c r="G1792" s="21">
        <f>IF(F1792=0,"",YEAR(F1792))</f>
        <v/>
      </c>
      <c r="H1792" s="21">
        <f>IF(F1792=0,"",MONTH(F1792))</f>
        <v/>
      </c>
      <c r="I1792" s="21">
        <f>IFERROR(INDEX(Pedidos!$E$2:$E$1801,MATCH(B1792,Pedidos!$A$2:$A$1801,0)),"")</f>
        <v/>
      </c>
      <c r="J1792" s="21">
        <f>IFERROR(INDEX(Pedidos!$C$2:$C$1801,MATCH(B1792,Pedidos!$A$2:$A$1801,0)),"")</f>
        <v/>
      </c>
      <c r="K1792" s="21">
        <f>IFERROR(INDEX(Pedidos!$D$2:$D$1801,MATCH(B1792,Pedidos!$A$2:$A$1801,0)),"")</f>
        <v/>
      </c>
      <c r="L1792" s="21">
        <f>IFERROR(INDEX(Pedidos!$F$2:$F$1801,MATCH(B1792,Pedidos!$A$2:$A$1801,0)),"")</f>
        <v/>
      </c>
      <c r="M1792" s="22">
        <f>IFERROR(INDEX(Pedidos!$G$2:$G$1801,MATCH(B1792,Pedidos!$A$2:$A$1801,0)),0)</f>
        <v/>
      </c>
      <c r="N1792" s="21">
        <f>IFERROR(INDEX(Produtos!$B$2:$B$71,MATCH(C1792,Produtos!$A$2:$A$71,0)),"")</f>
        <v/>
      </c>
      <c r="O1792" s="21">
        <f>IFERROR(INDEX(Produtos!$C$2:$C$71,MATCH(C1792,Produtos!$A$2:$A$71,0)),"")</f>
        <v/>
      </c>
      <c r="P1792" s="21">
        <f>IFERROR(INDEX(Produtos!$D$2:$D$71,MATCH(C1792,Produtos!$A$2:$A$71,0)),0)</f>
        <v/>
      </c>
      <c r="Q1792" s="21">
        <f>IFERROR(INDEX(Produtos!$E$2:$E$71,MATCH(C1792,Produtos!$A$2:$A$71,0)),0)</f>
        <v/>
      </c>
      <c r="R1792" s="23">
        <f>D1792*Q1792</f>
        <v/>
      </c>
      <c r="S1792" s="23">
        <f>R1792*E1792</f>
        <v/>
      </c>
      <c r="T1792" s="23">
        <f>(R1792-S1792)*M1792</f>
        <v/>
      </c>
      <c r="U1792" s="23">
        <f>R1792-S1792-T1792</f>
        <v/>
      </c>
      <c r="V1792" s="23">
        <f>D1792*P1792</f>
        <v/>
      </c>
      <c r="W1792" s="23">
        <f>U1792-V1792</f>
        <v/>
      </c>
      <c r="X1792" s="24">
        <f>IFERROR(W1792/U1792,0)</f>
        <v/>
      </c>
    </row>
    <row r="1793">
      <c r="A1793" s="25">
        <f>ItensPedido!A1793</f>
        <v/>
      </c>
      <c r="B1793" s="25">
        <f>ItensPedido!B1793</f>
        <v/>
      </c>
      <c r="C1793" s="25">
        <f>ItensPedido!C1793</f>
        <v/>
      </c>
      <c r="D1793" s="25">
        <f>ItensPedido!D1793</f>
        <v/>
      </c>
      <c r="E1793" s="26">
        <f>ItensPedido!E1793</f>
        <v/>
      </c>
      <c r="F1793" s="25">
        <f>IFERROR(INDEX(Pedidos!$B$2:$B$1801,MATCH(B1793,Pedidos!$A$2:$A$1801,0)),0)</f>
        <v/>
      </c>
      <c r="G1793" s="25">
        <f>IF(F1793=0,"",YEAR(F1793))</f>
        <v/>
      </c>
      <c r="H1793" s="25">
        <f>IF(F1793=0,"",MONTH(F1793))</f>
        <v/>
      </c>
      <c r="I1793" s="25">
        <f>IFERROR(INDEX(Pedidos!$E$2:$E$1801,MATCH(B1793,Pedidos!$A$2:$A$1801,0)),"")</f>
        <v/>
      </c>
      <c r="J1793" s="25">
        <f>IFERROR(INDEX(Pedidos!$C$2:$C$1801,MATCH(B1793,Pedidos!$A$2:$A$1801,0)),"")</f>
        <v/>
      </c>
      <c r="K1793" s="25">
        <f>IFERROR(INDEX(Pedidos!$D$2:$D$1801,MATCH(B1793,Pedidos!$A$2:$A$1801,0)),"")</f>
        <v/>
      </c>
      <c r="L1793" s="25">
        <f>IFERROR(INDEX(Pedidos!$F$2:$F$1801,MATCH(B1793,Pedidos!$A$2:$A$1801,0)),"")</f>
        <v/>
      </c>
      <c r="M1793" s="26">
        <f>IFERROR(INDEX(Pedidos!$G$2:$G$1801,MATCH(B1793,Pedidos!$A$2:$A$1801,0)),0)</f>
        <v/>
      </c>
      <c r="N1793" s="25">
        <f>IFERROR(INDEX(Produtos!$B$2:$B$71,MATCH(C1793,Produtos!$A$2:$A$71,0)),"")</f>
        <v/>
      </c>
      <c r="O1793" s="25">
        <f>IFERROR(INDEX(Produtos!$C$2:$C$71,MATCH(C1793,Produtos!$A$2:$A$71,0)),"")</f>
        <v/>
      </c>
      <c r="P1793" s="25">
        <f>IFERROR(INDEX(Produtos!$D$2:$D$71,MATCH(C1793,Produtos!$A$2:$A$71,0)),0)</f>
        <v/>
      </c>
      <c r="Q1793" s="25">
        <f>IFERROR(INDEX(Produtos!$E$2:$E$71,MATCH(C1793,Produtos!$A$2:$A$71,0)),0)</f>
        <v/>
      </c>
      <c r="R1793" s="27">
        <f>D1793*Q1793</f>
        <v/>
      </c>
      <c r="S1793" s="27">
        <f>R1793*E1793</f>
        <v/>
      </c>
      <c r="T1793" s="27">
        <f>(R1793-S1793)*M1793</f>
        <v/>
      </c>
      <c r="U1793" s="27">
        <f>R1793-S1793-T1793</f>
        <v/>
      </c>
      <c r="V1793" s="27">
        <f>D1793*P1793</f>
        <v/>
      </c>
      <c r="W1793" s="27">
        <f>U1793-V1793</f>
        <v/>
      </c>
      <c r="X1793" s="28">
        <f>IFERROR(W1793/U1793,0)</f>
        <v/>
      </c>
    </row>
    <row r="1794">
      <c r="A1794" s="21">
        <f>ItensPedido!A1794</f>
        <v/>
      </c>
      <c r="B1794" s="21">
        <f>ItensPedido!B1794</f>
        <v/>
      </c>
      <c r="C1794" s="21">
        <f>ItensPedido!C1794</f>
        <v/>
      </c>
      <c r="D1794" s="21">
        <f>ItensPedido!D1794</f>
        <v/>
      </c>
      <c r="E1794" s="22">
        <f>ItensPedido!E1794</f>
        <v/>
      </c>
      <c r="F1794" s="21">
        <f>IFERROR(INDEX(Pedidos!$B$2:$B$1801,MATCH(B1794,Pedidos!$A$2:$A$1801,0)),0)</f>
        <v/>
      </c>
      <c r="G1794" s="21">
        <f>IF(F1794=0,"",YEAR(F1794))</f>
        <v/>
      </c>
      <c r="H1794" s="21">
        <f>IF(F1794=0,"",MONTH(F1794))</f>
        <v/>
      </c>
      <c r="I1794" s="21">
        <f>IFERROR(INDEX(Pedidos!$E$2:$E$1801,MATCH(B1794,Pedidos!$A$2:$A$1801,0)),"")</f>
        <v/>
      </c>
      <c r="J1794" s="21">
        <f>IFERROR(INDEX(Pedidos!$C$2:$C$1801,MATCH(B1794,Pedidos!$A$2:$A$1801,0)),"")</f>
        <v/>
      </c>
      <c r="K1794" s="21">
        <f>IFERROR(INDEX(Pedidos!$D$2:$D$1801,MATCH(B1794,Pedidos!$A$2:$A$1801,0)),"")</f>
        <v/>
      </c>
      <c r="L1794" s="21">
        <f>IFERROR(INDEX(Pedidos!$F$2:$F$1801,MATCH(B1794,Pedidos!$A$2:$A$1801,0)),"")</f>
        <v/>
      </c>
      <c r="M1794" s="22">
        <f>IFERROR(INDEX(Pedidos!$G$2:$G$1801,MATCH(B1794,Pedidos!$A$2:$A$1801,0)),0)</f>
        <v/>
      </c>
      <c r="N1794" s="21">
        <f>IFERROR(INDEX(Produtos!$B$2:$B$71,MATCH(C1794,Produtos!$A$2:$A$71,0)),"")</f>
        <v/>
      </c>
      <c r="O1794" s="21">
        <f>IFERROR(INDEX(Produtos!$C$2:$C$71,MATCH(C1794,Produtos!$A$2:$A$71,0)),"")</f>
        <v/>
      </c>
      <c r="P1794" s="21">
        <f>IFERROR(INDEX(Produtos!$D$2:$D$71,MATCH(C1794,Produtos!$A$2:$A$71,0)),0)</f>
        <v/>
      </c>
      <c r="Q1794" s="21">
        <f>IFERROR(INDEX(Produtos!$E$2:$E$71,MATCH(C1794,Produtos!$A$2:$A$71,0)),0)</f>
        <v/>
      </c>
      <c r="R1794" s="23">
        <f>D1794*Q1794</f>
        <v/>
      </c>
      <c r="S1794" s="23">
        <f>R1794*E1794</f>
        <v/>
      </c>
      <c r="T1794" s="23">
        <f>(R1794-S1794)*M1794</f>
        <v/>
      </c>
      <c r="U1794" s="23">
        <f>R1794-S1794-T1794</f>
        <v/>
      </c>
      <c r="V1794" s="23">
        <f>D1794*P1794</f>
        <v/>
      </c>
      <c r="W1794" s="23">
        <f>U1794-V1794</f>
        <v/>
      </c>
      <c r="X1794" s="24">
        <f>IFERROR(W1794/U1794,0)</f>
        <v/>
      </c>
    </row>
    <row r="1795">
      <c r="A1795" s="25">
        <f>ItensPedido!A1795</f>
        <v/>
      </c>
      <c r="B1795" s="25">
        <f>ItensPedido!B1795</f>
        <v/>
      </c>
      <c r="C1795" s="25">
        <f>ItensPedido!C1795</f>
        <v/>
      </c>
      <c r="D1795" s="25">
        <f>ItensPedido!D1795</f>
        <v/>
      </c>
      <c r="E1795" s="26">
        <f>ItensPedido!E1795</f>
        <v/>
      </c>
      <c r="F1795" s="25">
        <f>IFERROR(INDEX(Pedidos!$B$2:$B$1801,MATCH(B1795,Pedidos!$A$2:$A$1801,0)),0)</f>
        <v/>
      </c>
      <c r="G1795" s="25">
        <f>IF(F1795=0,"",YEAR(F1795))</f>
        <v/>
      </c>
      <c r="H1795" s="25">
        <f>IF(F1795=0,"",MONTH(F1795))</f>
        <v/>
      </c>
      <c r="I1795" s="25">
        <f>IFERROR(INDEX(Pedidos!$E$2:$E$1801,MATCH(B1795,Pedidos!$A$2:$A$1801,0)),"")</f>
        <v/>
      </c>
      <c r="J1795" s="25">
        <f>IFERROR(INDEX(Pedidos!$C$2:$C$1801,MATCH(B1795,Pedidos!$A$2:$A$1801,0)),"")</f>
        <v/>
      </c>
      <c r="K1795" s="25">
        <f>IFERROR(INDEX(Pedidos!$D$2:$D$1801,MATCH(B1795,Pedidos!$A$2:$A$1801,0)),"")</f>
        <v/>
      </c>
      <c r="L1795" s="25">
        <f>IFERROR(INDEX(Pedidos!$F$2:$F$1801,MATCH(B1795,Pedidos!$A$2:$A$1801,0)),"")</f>
        <v/>
      </c>
      <c r="M1795" s="26">
        <f>IFERROR(INDEX(Pedidos!$G$2:$G$1801,MATCH(B1795,Pedidos!$A$2:$A$1801,0)),0)</f>
        <v/>
      </c>
      <c r="N1795" s="25">
        <f>IFERROR(INDEX(Produtos!$B$2:$B$71,MATCH(C1795,Produtos!$A$2:$A$71,0)),"")</f>
        <v/>
      </c>
      <c r="O1795" s="25">
        <f>IFERROR(INDEX(Produtos!$C$2:$C$71,MATCH(C1795,Produtos!$A$2:$A$71,0)),"")</f>
        <v/>
      </c>
      <c r="P1795" s="25">
        <f>IFERROR(INDEX(Produtos!$D$2:$D$71,MATCH(C1795,Produtos!$A$2:$A$71,0)),0)</f>
        <v/>
      </c>
      <c r="Q1795" s="25">
        <f>IFERROR(INDEX(Produtos!$E$2:$E$71,MATCH(C1795,Produtos!$A$2:$A$71,0)),0)</f>
        <v/>
      </c>
      <c r="R1795" s="27">
        <f>D1795*Q1795</f>
        <v/>
      </c>
      <c r="S1795" s="27">
        <f>R1795*E1795</f>
        <v/>
      </c>
      <c r="T1795" s="27">
        <f>(R1795-S1795)*M1795</f>
        <v/>
      </c>
      <c r="U1795" s="27">
        <f>R1795-S1795-T1795</f>
        <v/>
      </c>
      <c r="V1795" s="27">
        <f>D1795*P1795</f>
        <v/>
      </c>
      <c r="W1795" s="27">
        <f>U1795-V1795</f>
        <v/>
      </c>
      <c r="X1795" s="28">
        <f>IFERROR(W1795/U1795,0)</f>
        <v/>
      </c>
    </row>
    <row r="1796">
      <c r="A1796" s="21">
        <f>ItensPedido!A1796</f>
        <v/>
      </c>
      <c r="B1796" s="21">
        <f>ItensPedido!B1796</f>
        <v/>
      </c>
      <c r="C1796" s="21">
        <f>ItensPedido!C1796</f>
        <v/>
      </c>
      <c r="D1796" s="21">
        <f>ItensPedido!D1796</f>
        <v/>
      </c>
      <c r="E1796" s="22">
        <f>ItensPedido!E1796</f>
        <v/>
      </c>
      <c r="F1796" s="21">
        <f>IFERROR(INDEX(Pedidos!$B$2:$B$1801,MATCH(B1796,Pedidos!$A$2:$A$1801,0)),0)</f>
        <v/>
      </c>
      <c r="G1796" s="21">
        <f>IF(F1796=0,"",YEAR(F1796))</f>
        <v/>
      </c>
      <c r="H1796" s="21">
        <f>IF(F1796=0,"",MONTH(F1796))</f>
        <v/>
      </c>
      <c r="I1796" s="21">
        <f>IFERROR(INDEX(Pedidos!$E$2:$E$1801,MATCH(B1796,Pedidos!$A$2:$A$1801,0)),"")</f>
        <v/>
      </c>
      <c r="J1796" s="21">
        <f>IFERROR(INDEX(Pedidos!$C$2:$C$1801,MATCH(B1796,Pedidos!$A$2:$A$1801,0)),"")</f>
        <v/>
      </c>
      <c r="K1796" s="21">
        <f>IFERROR(INDEX(Pedidos!$D$2:$D$1801,MATCH(B1796,Pedidos!$A$2:$A$1801,0)),"")</f>
        <v/>
      </c>
      <c r="L1796" s="21">
        <f>IFERROR(INDEX(Pedidos!$F$2:$F$1801,MATCH(B1796,Pedidos!$A$2:$A$1801,0)),"")</f>
        <v/>
      </c>
      <c r="M1796" s="22">
        <f>IFERROR(INDEX(Pedidos!$G$2:$G$1801,MATCH(B1796,Pedidos!$A$2:$A$1801,0)),0)</f>
        <v/>
      </c>
      <c r="N1796" s="21">
        <f>IFERROR(INDEX(Produtos!$B$2:$B$71,MATCH(C1796,Produtos!$A$2:$A$71,0)),"")</f>
        <v/>
      </c>
      <c r="O1796" s="21">
        <f>IFERROR(INDEX(Produtos!$C$2:$C$71,MATCH(C1796,Produtos!$A$2:$A$71,0)),"")</f>
        <v/>
      </c>
      <c r="P1796" s="21">
        <f>IFERROR(INDEX(Produtos!$D$2:$D$71,MATCH(C1796,Produtos!$A$2:$A$71,0)),0)</f>
        <v/>
      </c>
      <c r="Q1796" s="21">
        <f>IFERROR(INDEX(Produtos!$E$2:$E$71,MATCH(C1796,Produtos!$A$2:$A$71,0)),0)</f>
        <v/>
      </c>
      <c r="R1796" s="23">
        <f>D1796*Q1796</f>
        <v/>
      </c>
      <c r="S1796" s="23">
        <f>R1796*E1796</f>
        <v/>
      </c>
      <c r="T1796" s="23">
        <f>(R1796-S1796)*M1796</f>
        <v/>
      </c>
      <c r="U1796" s="23">
        <f>R1796-S1796-T1796</f>
        <v/>
      </c>
      <c r="V1796" s="23">
        <f>D1796*P1796</f>
        <v/>
      </c>
      <c r="W1796" s="23">
        <f>U1796-V1796</f>
        <v/>
      </c>
      <c r="X1796" s="24">
        <f>IFERROR(W1796/U1796,0)</f>
        <v/>
      </c>
    </row>
    <row r="1797">
      <c r="A1797" s="25">
        <f>ItensPedido!A1797</f>
        <v/>
      </c>
      <c r="B1797" s="25">
        <f>ItensPedido!B1797</f>
        <v/>
      </c>
      <c r="C1797" s="25">
        <f>ItensPedido!C1797</f>
        <v/>
      </c>
      <c r="D1797" s="25">
        <f>ItensPedido!D1797</f>
        <v/>
      </c>
      <c r="E1797" s="26">
        <f>ItensPedido!E1797</f>
        <v/>
      </c>
      <c r="F1797" s="25">
        <f>IFERROR(INDEX(Pedidos!$B$2:$B$1801,MATCH(B1797,Pedidos!$A$2:$A$1801,0)),0)</f>
        <v/>
      </c>
      <c r="G1797" s="25">
        <f>IF(F1797=0,"",YEAR(F1797))</f>
        <v/>
      </c>
      <c r="H1797" s="25">
        <f>IF(F1797=0,"",MONTH(F1797))</f>
        <v/>
      </c>
      <c r="I1797" s="25">
        <f>IFERROR(INDEX(Pedidos!$E$2:$E$1801,MATCH(B1797,Pedidos!$A$2:$A$1801,0)),"")</f>
        <v/>
      </c>
      <c r="J1797" s="25">
        <f>IFERROR(INDEX(Pedidos!$C$2:$C$1801,MATCH(B1797,Pedidos!$A$2:$A$1801,0)),"")</f>
        <v/>
      </c>
      <c r="K1797" s="25">
        <f>IFERROR(INDEX(Pedidos!$D$2:$D$1801,MATCH(B1797,Pedidos!$A$2:$A$1801,0)),"")</f>
        <v/>
      </c>
      <c r="L1797" s="25">
        <f>IFERROR(INDEX(Pedidos!$F$2:$F$1801,MATCH(B1797,Pedidos!$A$2:$A$1801,0)),"")</f>
        <v/>
      </c>
      <c r="M1797" s="26">
        <f>IFERROR(INDEX(Pedidos!$G$2:$G$1801,MATCH(B1797,Pedidos!$A$2:$A$1801,0)),0)</f>
        <v/>
      </c>
      <c r="N1797" s="25">
        <f>IFERROR(INDEX(Produtos!$B$2:$B$71,MATCH(C1797,Produtos!$A$2:$A$71,0)),"")</f>
        <v/>
      </c>
      <c r="O1797" s="25">
        <f>IFERROR(INDEX(Produtos!$C$2:$C$71,MATCH(C1797,Produtos!$A$2:$A$71,0)),"")</f>
        <v/>
      </c>
      <c r="P1797" s="25">
        <f>IFERROR(INDEX(Produtos!$D$2:$D$71,MATCH(C1797,Produtos!$A$2:$A$71,0)),0)</f>
        <v/>
      </c>
      <c r="Q1797" s="25">
        <f>IFERROR(INDEX(Produtos!$E$2:$E$71,MATCH(C1797,Produtos!$A$2:$A$71,0)),0)</f>
        <v/>
      </c>
      <c r="R1797" s="27">
        <f>D1797*Q1797</f>
        <v/>
      </c>
      <c r="S1797" s="27">
        <f>R1797*E1797</f>
        <v/>
      </c>
      <c r="T1797" s="27">
        <f>(R1797-S1797)*M1797</f>
        <v/>
      </c>
      <c r="U1797" s="27">
        <f>R1797-S1797-T1797</f>
        <v/>
      </c>
      <c r="V1797" s="27">
        <f>D1797*P1797</f>
        <v/>
      </c>
      <c r="W1797" s="27">
        <f>U1797-V1797</f>
        <v/>
      </c>
      <c r="X1797" s="28">
        <f>IFERROR(W1797/U1797,0)</f>
        <v/>
      </c>
    </row>
    <row r="1798">
      <c r="A1798" s="21">
        <f>ItensPedido!A1798</f>
        <v/>
      </c>
      <c r="B1798" s="21">
        <f>ItensPedido!B1798</f>
        <v/>
      </c>
      <c r="C1798" s="21">
        <f>ItensPedido!C1798</f>
        <v/>
      </c>
      <c r="D1798" s="21">
        <f>ItensPedido!D1798</f>
        <v/>
      </c>
      <c r="E1798" s="22">
        <f>ItensPedido!E1798</f>
        <v/>
      </c>
      <c r="F1798" s="21">
        <f>IFERROR(INDEX(Pedidos!$B$2:$B$1801,MATCH(B1798,Pedidos!$A$2:$A$1801,0)),0)</f>
        <v/>
      </c>
      <c r="G1798" s="21">
        <f>IF(F1798=0,"",YEAR(F1798))</f>
        <v/>
      </c>
      <c r="H1798" s="21">
        <f>IF(F1798=0,"",MONTH(F1798))</f>
        <v/>
      </c>
      <c r="I1798" s="21">
        <f>IFERROR(INDEX(Pedidos!$E$2:$E$1801,MATCH(B1798,Pedidos!$A$2:$A$1801,0)),"")</f>
        <v/>
      </c>
      <c r="J1798" s="21">
        <f>IFERROR(INDEX(Pedidos!$C$2:$C$1801,MATCH(B1798,Pedidos!$A$2:$A$1801,0)),"")</f>
        <v/>
      </c>
      <c r="K1798" s="21">
        <f>IFERROR(INDEX(Pedidos!$D$2:$D$1801,MATCH(B1798,Pedidos!$A$2:$A$1801,0)),"")</f>
        <v/>
      </c>
      <c r="L1798" s="21">
        <f>IFERROR(INDEX(Pedidos!$F$2:$F$1801,MATCH(B1798,Pedidos!$A$2:$A$1801,0)),"")</f>
        <v/>
      </c>
      <c r="M1798" s="22">
        <f>IFERROR(INDEX(Pedidos!$G$2:$G$1801,MATCH(B1798,Pedidos!$A$2:$A$1801,0)),0)</f>
        <v/>
      </c>
      <c r="N1798" s="21">
        <f>IFERROR(INDEX(Produtos!$B$2:$B$71,MATCH(C1798,Produtos!$A$2:$A$71,0)),"")</f>
        <v/>
      </c>
      <c r="O1798" s="21">
        <f>IFERROR(INDEX(Produtos!$C$2:$C$71,MATCH(C1798,Produtos!$A$2:$A$71,0)),"")</f>
        <v/>
      </c>
      <c r="P1798" s="21">
        <f>IFERROR(INDEX(Produtos!$D$2:$D$71,MATCH(C1798,Produtos!$A$2:$A$71,0)),0)</f>
        <v/>
      </c>
      <c r="Q1798" s="21">
        <f>IFERROR(INDEX(Produtos!$E$2:$E$71,MATCH(C1798,Produtos!$A$2:$A$71,0)),0)</f>
        <v/>
      </c>
      <c r="R1798" s="23">
        <f>D1798*Q1798</f>
        <v/>
      </c>
      <c r="S1798" s="23">
        <f>R1798*E1798</f>
        <v/>
      </c>
      <c r="T1798" s="23">
        <f>(R1798-S1798)*M1798</f>
        <v/>
      </c>
      <c r="U1798" s="23">
        <f>R1798-S1798-T1798</f>
        <v/>
      </c>
      <c r="V1798" s="23">
        <f>D1798*P1798</f>
        <v/>
      </c>
      <c r="W1798" s="23">
        <f>U1798-V1798</f>
        <v/>
      </c>
      <c r="X1798" s="24">
        <f>IFERROR(W1798/U1798,0)</f>
        <v/>
      </c>
    </row>
    <row r="1799">
      <c r="A1799" s="25">
        <f>ItensPedido!A1799</f>
        <v/>
      </c>
      <c r="B1799" s="25">
        <f>ItensPedido!B1799</f>
        <v/>
      </c>
      <c r="C1799" s="25">
        <f>ItensPedido!C1799</f>
        <v/>
      </c>
      <c r="D1799" s="25">
        <f>ItensPedido!D1799</f>
        <v/>
      </c>
      <c r="E1799" s="26">
        <f>ItensPedido!E1799</f>
        <v/>
      </c>
      <c r="F1799" s="25">
        <f>IFERROR(INDEX(Pedidos!$B$2:$B$1801,MATCH(B1799,Pedidos!$A$2:$A$1801,0)),0)</f>
        <v/>
      </c>
      <c r="G1799" s="25">
        <f>IF(F1799=0,"",YEAR(F1799))</f>
        <v/>
      </c>
      <c r="H1799" s="25">
        <f>IF(F1799=0,"",MONTH(F1799))</f>
        <v/>
      </c>
      <c r="I1799" s="25">
        <f>IFERROR(INDEX(Pedidos!$E$2:$E$1801,MATCH(B1799,Pedidos!$A$2:$A$1801,0)),"")</f>
        <v/>
      </c>
      <c r="J1799" s="25">
        <f>IFERROR(INDEX(Pedidos!$C$2:$C$1801,MATCH(B1799,Pedidos!$A$2:$A$1801,0)),"")</f>
        <v/>
      </c>
      <c r="K1799" s="25">
        <f>IFERROR(INDEX(Pedidos!$D$2:$D$1801,MATCH(B1799,Pedidos!$A$2:$A$1801,0)),"")</f>
        <v/>
      </c>
      <c r="L1799" s="25">
        <f>IFERROR(INDEX(Pedidos!$F$2:$F$1801,MATCH(B1799,Pedidos!$A$2:$A$1801,0)),"")</f>
        <v/>
      </c>
      <c r="M1799" s="26">
        <f>IFERROR(INDEX(Pedidos!$G$2:$G$1801,MATCH(B1799,Pedidos!$A$2:$A$1801,0)),0)</f>
        <v/>
      </c>
      <c r="N1799" s="25">
        <f>IFERROR(INDEX(Produtos!$B$2:$B$71,MATCH(C1799,Produtos!$A$2:$A$71,0)),"")</f>
        <v/>
      </c>
      <c r="O1799" s="25">
        <f>IFERROR(INDEX(Produtos!$C$2:$C$71,MATCH(C1799,Produtos!$A$2:$A$71,0)),"")</f>
        <v/>
      </c>
      <c r="P1799" s="25">
        <f>IFERROR(INDEX(Produtos!$D$2:$D$71,MATCH(C1799,Produtos!$A$2:$A$71,0)),0)</f>
        <v/>
      </c>
      <c r="Q1799" s="25">
        <f>IFERROR(INDEX(Produtos!$E$2:$E$71,MATCH(C1799,Produtos!$A$2:$A$71,0)),0)</f>
        <v/>
      </c>
      <c r="R1799" s="27">
        <f>D1799*Q1799</f>
        <v/>
      </c>
      <c r="S1799" s="27">
        <f>R1799*E1799</f>
        <v/>
      </c>
      <c r="T1799" s="27">
        <f>(R1799-S1799)*M1799</f>
        <v/>
      </c>
      <c r="U1799" s="27">
        <f>R1799-S1799-T1799</f>
        <v/>
      </c>
      <c r="V1799" s="27">
        <f>D1799*P1799</f>
        <v/>
      </c>
      <c r="W1799" s="27">
        <f>U1799-V1799</f>
        <v/>
      </c>
      <c r="X1799" s="28">
        <f>IFERROR(W1799/U1799,0)</f>
        <v/>
      </c>
    </row>
    <row r="1800">
      <c r="A1800" s="21">
        <f>ItensPedido!A1800</f>
        <v/>
      </c>
      <c r="B1800" s="21">
        <f>ItensPedido!B1800</f>
        <v/>
      </c>
      <c r="C1800" s="21">
        <f>ItensPedido!C1800</f>
        <v/>
      </c>
      <c r="D1800" s="21">
        <f>ItensPedido!D1800</f>
        <v/>
      </c>
      <c r="E1800" s="22">
        <f>ItensPedido!E1800</f>
        <v/>
      </c>
      <c r="F1800" s="21">
        <f>IFERROR(INDEX(Pedidos!$B$2:$B$1801,MATCH(B1800,Pedidos!$A$2:$A$1801,0)),0)</f>
        <v/>
      </c>
      <c r="G1800" s="21">
        <f>IF(F1800=0,"",YEAR(F1800))</f>
        <v/>
      </c>
      <c r="H1800" s="21">
        <f>IF(F1800=0,"",MONTH(F1800))</f>
        <v/>
      </c>
      <c r="I1800" s="21">
        <f>IFERROR(INDEX(Pedidos!$E$2:$E$1801,MATCH(B1800,Pedidos!$A$2:$A$1801,0)),"")</f>
        <v/>
      </c>
      <c r="J1800" s="21">
        <f>IFERROR(INDEX(Pedidos!$C$2:$C$1801,MATCH(B1800,Pedidos!$A$2:$A$1801,0)),"")</f>
        <v/>
      </c>
      <c r="K1800" s="21">
        <f>IFERROR(INDEX(Pedidos!$D$2:$D$1801,MATCH(B1800,Pedidos!$A$2:$A$1801,0)),"")</f>
        <v/>
      </c>
      <c r="L1800" s="21">
        <f>IFERROR(INDEX(Pedidos!$F$2:$F$1801,MATCH(B1800,Pedidos!$A$2:$A$1801,0)),"")</f>
        <v/>
      </c>
      <c r="M1800" s="22">
        <f>IFERROR(INDEX(Pedidos!$G$2:$G$1801,MATCH(B1800,Pedidos!$A$2:$A$1801,0)),0)</f>
        <v/>
      </c>
      <c r="N1800" s="21">
        <f>IFERROR(INDEX(Produtos!$B$2:$B$71,MATCH(C1800,Produtos!$A$2:$A$71,0)),"")</f>
        <v/>
      </c>
      <c r="O1800" s="21">
        <f>IFERROR(INDEX(Produtos!$C$2:$C$71,MATCH(C1800,Produtos!$A$2:$A$71,0)),"")</f>
        <v/>
      </c>
      <c r="P1800" s="21">
        <f>IFERROR(INDEX(Produtos!$D$2:$D$71,MATCH(C1800,Produtos!$A$2:$A$71,0)),0)</f>
        <v/>
      </c>
      <c r="Q1800" s="21">
        <f>IFERROR(INDEX(Produtos!$E$2:$E$71,MATCH(C1800,Produtos!$A$2:$A$71,0)),0)</f>
        <v/>
      </c>
      <c r="R1800" s="23">
        <f>D1800*Q1800</f>
        <v/>
      </c>
      <c r="S1800" s="23">
        <f>R1800*E1800</f>
        <v/>
      </c>
      <c r="T1800" s="23">
        <f>(R1800-S1800)*M1800</f>
        <v/>
      </c>
      <c r="U1800" s="23">
        <f>R1800-S1800-T1800</f>
        <v/>
      </c>
      <c r="V1800" s="23">
        <f>D1800*P1800</f>
        <v/>
      </c>
      <c r="W1800" s="23">
        <f>U1800-V1800</f>
        <v/>
      </c>
      <c r="X1800" s="24">
        <f>IFERROR(W1800/U1800,0)</f>
        <v/>
      </c>
    </row>
    <row r="1801">
      <c r="A1801" s="25">
        <f>ItensPedido!A1801</f>
        <v/>
      </c>
      <c r="B1801" s="25">
        <f>ItensPedido!B1801</f>
        <v/>
      </c>
      <c r="C1801" s="25">
        <f>ItensPedido!C1801</f>
        <v/>
      </c>
      <c r="D1801" s="25">
        <f>ItensPedido!D1801</f>
        <v/>
      </c>
      <c r="E1801" s="26">
        <f>ItensPedido!E1801</f>
        <v/>
      </c>
      <c r="F1801" s="25">
        <f>IFERROR(INDEX(Pedidos!$B$2:$B$1801,MATCH(B1801,Pedidos!$A$2:$A$1801,0)),0)</f>
        <v/>
      </c>
      <c r="G1801" s="25">
        <f>IF(F1801=0,"",YEAR(F1801))</f>
        <v/>
      </c>
      <c r="H1801" s="25">
        <f>IF(F1801=0,"",MONTH(F1801))</f>
        <v/>
      </c>
      <c r="I1801" s="25">
        <f>IFERROR(INDEX(Pedidos!$E$2:$E$1801,MATCH(B1801,Pedidos!$A$2:$A$1801,0)),"")</f>
        <v/>
      </c>
      <c r="J1801" s="25">
        <f>IFERROR(INDEX(Pedidos!$C$2:$C$1801,MATCH(B1801,Pedidos!$A$2:$A$1801,0)),"")</f>
        <v/>
      </c>
      <c r="K1801" s="25">
        <f>IFERROR(INDEX(Pedidos!$D$2:$D$1801,MATCH(B1801,Pedidos!$A$2:$A$1801,0)),"")</f>
        <v/>
      </c>
      <c r="L1801" s="25">
        <f>IFERROR(INDEX(Pedidos!$F$2:$F$1801,MATCH(B1801,Pedidos!$A$2:$A$1801,0)),"")</f>
        <v/>
      </c>
      <c r="M1801" s="26">
        <f>IFERROR(INDEX(Pedidos!$G$2:$G$1801,MATCH(B1801,Pedidos!$A$2:$A$1801,0)),0)</f>
        <v/>
      </c>
      <c r="N1801" s="25">
        <f>IFERROR(INDEX(Produtos!$B$2:$B$71,MATCH(C1801,Produtos!$A$2:$A$71,0)),"")</f>
        <v/>
      </c>
      <c r="O1801" s="25">
        <f>IFERROR(INDEX(Produtos!$C$2:$C$71,MATCH(C1801,Produtos!$A$2:$A$71,0)),"")</f>
        <v/>
      </c>
      <c r="P1801" s="25">
        <f>IFERROR(INDEX(Produtos!$D$2:$D$71,MATCH(C1801,Produtos!$A$2:$A$71,0)),0)</f>
        <v/>
      </c>
      <c r="Q1801" s="25">
        <f>IFERROR(INDEX(Produtos!$E$2:$E$71,MATCH(C1801,Produtos!$A$2:$A$71,0)),0)</f>
        <v/>
      </c>
      <c r="R1801" s="27">
        <f>D1801*Q1801</f>
        <v/>
      </c>
      <c r="S1801" s="27">
        <f>R1801*E1801</f>
        <v/>
      </c>
      <c r="T1801" s="27">
        <f>(R1801-S1801)*M1801</f>
        <v/>
      </c>
      <c r="U1801" s="27">
        <f>R1801-S1801-T1801</f>
        <v/>
      </c>
      <c r="V1801" s="27">
        <f>D1801*P1801</f>
        <v/>
      </c>
      <c r="W1801" s="27">
        <f>U1801-V1801</f>
        <v/>
      </c>
      <c r="X1801" s="28">
        <f>IFERROR(W1801/U1801,0)</f>
        <v/>
      </c>
    </row>
    <row r="1802">
      <c r="A1802" s="21">
        <f>ItensPedido!A1802</f>
        <v/>
      </c>
      <c r="B1802" s="21">
        <f>ItensPedido!B1802</f>
        <v/>
      </c>
      <c r="C1802" s="21">
        <f>ItensPedido!C1802</f>
        <v/>
      </c>
      <c r="D1802" s="21">
        <f>ItensPedido!D1802</f>
        <v/>
      </c>
      <c r="E1802" s="22">
        <f>ItensPedido!E1802</f>
        <v/>
      </c>
      <c r="F1802" s="21">
        <f>IFERROR(INDEX(Pedidos!$B$2:$B$1801,MATCH(B1802,Pedidos!$A$2:$A$1801,0)),0)</f>
        <v/>
      </c>
      <c r="G1802" s="21">
        <f>IF(F1802=0,"",YEAR(F1802))</f>
        <v/>
      </c>
      <c r="H1802" s="21">
        <f>IF(F1802=0,"",MONTH(F1802))</f>
        <v/>
      </c>
      <c r="I1802" s="21">
        <f>IFERROR(INDEX(Pedidos!$E$2:$E$1801,MATCH(B1802,Pedidos!$A$2:$A$1801,0)),"")</f>
        <v/>
      </c>
      <c r="J1802" s="21">
        <f>IFERROR(INDEX(Pedidos!$C$2:$C$1801,MATCH(B1802,Pedidos!$A$2:$A$1801,0)),"")</f>
        <v/>
      </c>
      <c r="K1802" s="21">
        <f>IFERROR(INDEX(Pedidos!$D$2:$D$1801,MATCH(B1802,Pedidos!$A$2:$A$1801,0)),"")</f>
        <v/>
      </c>
      <c r="L1802" s="21">
        <f>IFERROR(INDEX(Pedidos!$F$2:$F$1801,MATCH(B1802,Pedidos!$A$2:$A$1801,0)),"")</f>
        <v/>
      </c>
      <c r="M1802" s="22">
        <f>IFERROR(INDEX(Pedidos!$G$2:$G$1801,MATCH(B1802,Pedidos!$A$2:$A$1801,0)),0)</f>
        <v/>
      </c>
      <c r="N1802" s="21">
        <f>IFERROR(INDEX(Produtos!$B$2:$B$71,MATCH(C1802,Produtos!$A$2:$A$71,0)),"")</f>
        <v/>
      </c>
      <c r="O1802" s="21">
        <f>IFERROR(INDEX(Produtos!$C$2:$C$71,MATCH(C1802,Produtos!$A$2:$A$71,0)),"")</f>
        <v/>
      </c>
      <c r="P1802" s="21">
        <f>IFERROR(INDEX(Produtos!$D$2:$D$71,MATCH(C1802,Produtos!$A$2:$A$71,0)),0)</f>
        <v/>
      </c>
      <c r="Q1802" s="21">
        <f>IFERROR(INDEX(Produtos!$E$2:$E$71,MATCH(C1802,Produtos!$A$2:$A$71,0)),0)</f>
        <v/>
      </c>
      <c r="R1802" s="23">
        <f>D1802*Q1802</f>
        <v/>
      </c>
      <c r="S1802" s="23">
        <f>R1802*E1802</f>
        <v/>
      </c>
      <c r="T1802" s="23">
        <f>(R1802-S1802)*M1802</f>
        <v/>
      </c>
      <c r="U1802" s="23">
        <f>R1802-S1802-T1802</f>
        <v/>
      </c>
      <c r="V1802" s="23">
        <f>D1802*P1802</f>
        <v/>
      </c>
      <c r="W1802" s="23">
        <f>U1802-V1802</f>
        <v/>
      </c>
      <c r="X1802" s="24">
        <f>IFERROR(W1802/U1802,0)</f>
        <v/>
      </c>
    </row>
    <row r="1803">
      <c r="A1803" s="25">
        <f>ItensPedido!A1803</f>
        <v/>
      </c>
      <c r="B1803" s="25">
        <f>ItensPedido!B1803</f>
        <v/>
      </c>
      <c r="C1803" s="25">
        <f>ItensPedido!C1803</f>
        <v/>
      </c>
      <c r="D1803" s="25">
        <f>ItensPedido!D1803</f>
        <v/>
      </c>
      <c r="E1803" s="26">
        <f>ItensPedido!E1803</f>
        <v/>
      </c>
      <c r="F1803" s="25">
        <f>IFERROR(INDEX(Pedidos!$B$2:$B$1801,MATCH(B1803,Pedidos!$A$2:$A$1801,0)),0)</f>
        <v/>
      </c>
      <c r="G1803" s="25">
        <f>IF(F1803=0,"",YEAR(F1803))</f>
        <v/>
      </c>
      <c r="H1803" s="25">
        <f>IF(F1803=0,"",MONTH(F1803))</f>
        <v/>
      </c>
      <c r="I1803" s="25">
        <f>IFERROR(INDEX(Pedidos!$E$2:$E$1801,MATCH(B1803,Pedidos!$A$2:$A$1801,0)),"")</f>
        <v/>
      </c>
      <c r="J1803" s="25">
        <f>IFERROR(INDEX(Pedidos!$C$2:$C$1801,MATCH(B1803,Pedidos!$A$2:$A$1801,0)),"")</f>
        <v/>
      </c>
      <c r="K1803" s="25">
        <f>IFERROR(INDEX(Pedidos!$D$2:$D$1801,MATCH(B1803,Pedidos!$A$2:$A$1801,0)),"")</f>
        <v/>
      </c>
      <c r="L1803" s="25">
        <f>IFERROR(INDEX(Pedidos!$F$2:$F$1801,MATCH(B1803,Pedidos!$A$2:$A$1801,0)),"")</f>
        <v/>
      </c>
      <c r="M1803" s="26">
        <f>IFERROR(INDEX(Pedidos!$G$2:$G$1801,MATCH(B1803,Pedidos!$A$2:$A$1801,0)),0)</f>
        <v/>
      </c>
      <c r="N1803" s="25">
        <f>IFERROR(INDEX(Produtos!$B$2:$B$71,MATCH(C1803,Produtos!$A$2:$A$71,0)),"")</f>
        <v/>
      </c>
      <c r="O1803" s="25">
        <f>IFERROR(INDEX(Produtos!$C$2:$C$71,MATCH(C1803,Produtos!$A$2:$A$71,0)),"")</f>
        <v/>
      </c>
      <c r="P1803" s="25">
        <f>IFERROR(INDEX(Produtos!$D$2:$D$71,MATCH(C1803,Produtos!$A$2:$A$71,0)),0)</f>
        <v/>
      </c>
      <c r="Q1803" s="25">
        <f>IFERROR(INDEX(Produtos!$E$2:$E$71,MATCH(C1803,Produtos!$A$2:$A$71,0)),0)</f>
        <v/>
      </c>
      <c r="R1803" s="27">
        <f>D1803*Q1803</f>
        <v/>
      </c>
      <c r="S1803" s="27">
        <f>R1803*E1803</f>
        <v/>
      </c>
      <c r="T1803" s="27">
        <f>(R1803-S1803)*M1803</f>
        <v/>
      </c>
      <c r="U1803" s="27">
        <f>R1803-S1803-T1803</f>
        <v/>
      </c>
      <c r="V1803" s="27">
        <f>D1803*P1803</f>
        <v/>
      </c>
      <c r="W1803" s="27">
        <f>U1803-V1803</f>
        <v/>
      </c>
      <c r="X1803" s="28">
        <f>IFERROR(W1803/U1803,0)</f>
        <v/>
      </c>
    </row>
    <row r="1804">
      <c r="A1804" s="21">
        <f>ItensPedido!A1804</f>
        <v/>
      </c>
      <c r="B1804" s="21">
        <f>ItensPedido!B1804</f>
        <v/>
      </c>
      <c r="C1804" s="21">
        <f>ItensPedido!C1804</f>
        <v/>
      </c>
      <c r="D1804" s="21">
        <f>ItensPedido!D1804</f>
        <v/>
      </c>
      <c r="E1804" s="22">
        <f>ItensPedido!E1804</f>
        <v/>
      </c>
      <c r="F1804" s="21">
        <f>IFERROR(INDEX(Pedidos!$B$2:$B$1801,MATCH(B1804,Pedidos!$A$2:$A$1801,0)),0)</f>
        <v/>
      </c>
      <c r="G1804" s="21">
        <f>IF(F1804=0,"",YEAR(F1804))</f>
        <v/>
      </c>
      <c r="H1804" s="21">
        <f>IF(F1804=0,"",MONTH(F1804))</f>
        <v/>
      </c>
      <c r="I1804" s="21">
        <f>IFERROR(INDEX(Pedidos!$E$2:$E$1801,MATCH(B1804,Pedidos!$A$2:$A$1801,0)),"")</f>
        <v/>
      </c>
      <c r="J1804" s="21">
        <f>IFERROR(INDEX(Pedidos!$C$2:$C$1801,MATCH(B1804,Pedidos!$A$2:$A$1801,0)),"")</f>
        <v/>
      </c>
      <c r="K1804" s="21">
        <f>IFERROR(INDEX(Pedidos!$D$2:$D$1801,MATCH(B1804,Pedidos!$A$2:$A$1801,0)),"")</f>
        <v/>
      </c>
      <c r="L1804" s="21">
        <f>IFERROR(INDEX(Pedidos!$F$2:$F$1801,MATCH(B1804,Pedidos!$A$2:$A$1801,0)),"")</f>
        <v/>
      </c>
      <c r="M1804" s="22">
        <f>IFERROR(INDEX(Pedidos!$G$2:$G$1801,MATCH(B1804,Pedidos!$A$2:$A$1801,0)),0)</f>
        <v/>
      </c>
      <c r="N1804" s="21">
        <f>IFERROR(INDEX(Produtos!$B$2:$B$71,MATCH(C1804,Produtos!$A$2:$A$71,0)),"")</f>
        <v/>
      </c>
      <c r="O1804" s="21">
        <f>IFERROR(INDEX(Produtos!$C$2:$C$71,MATCH(C1804,Produtos!$A$2:$A$71,0)),"")</f>
        <v/>
      </c>
      <c r="P1804" s="21">
        <f>IFERROR(INDEX(Produtos!$D$2:$D$71,MATCH(C1804,Produtos!$A$2:$A$71,0)),0)</f>
        <v/>
      </c>
      <c r="Q1804" s="21">
        <f>IFERROR(INDEX(Produtos!$E$2:$E$71,MATCH(C1804,Produtos!$A$2:$A$71,0)),0)</f>
        <v/>
      </c>
      <c r="R1804" s="23">
        <f>D1804*Q1804</f>
        <v/>
      </c>
      <c r="S1804" s="23">
        <f>R1804*E1804</f>
        <v/>
      </c>
      <c r="T1804" s="23">
        <f>(R1804-S1804)*M1804</f>
        <v/>
      </c>
      <c r="U1804" s="23">
        <f>R1804-S1804-T1804</f>
        <v/>
      </c>
      <c r="V1804" s="23">
        <f>D1804*P1804</f>
        <v/>
      </c>
      <c r="W1804" s="23">
        <f>U1804-V1804</f>
        <v/>
      </c>
      <c r="X1804" s="24">
        <f>IFERROR(W1804/U1804,0)</f>
        <v/>
      </c>
    </row>
    <row r="1805">
      <c r="A1805" s="25">
        <f>ItensPedido!A1805</f>
        <v/>
      </c>
      <c r="B1805" s="25">
        <f>ItensPedido!B1805</f>
        <v/>
      </c>
      <c r="C1805" s="25">
        <f>ItensPedido!C1805</f>
        <v/>
      </c>
      <c r="D1805" s="25">
        <f>ItensPedido!D1805</f>
        <v/>
      </c>
      <c r="E1805" s="26">
        <f>ItensPedido!E1805</f>
        <v/>
      </c>
      <c r="F1805" s="25">
        <f>IFERROR(INDEX(Pedidos!$B$2:$B$1801,MATCH(B1805,Pedidos!$A$2:$A$1801,0)),0)</f>
        <v/>
      </c>
      <c r="G1805" s="25">
        <f>IF(F1805=0,"",YEAR(F1805))</f>
        <v/>
      </c>
      <c r="H1805" s="25">
        <f>IF(F1805=0,"",MONTH(F1805))</f>
        <v/>
      </c>
      <c r="I1805" s="25">
        <f>IFERROR(INDEX(Pedidos!$E$2:$E$1801,MATCH(B1805,Pedidos!$A$2:$A$1801,0)),"")</f>
        <v/>
      </c>
      <c r="J1805" s="25">
        <f>IFERROR(INDEX(Pedidos!$C$2:$C$1801,MATCH(B1805,Pedidos!$A$2:$A$1801,0)),"")</f>
        <v/>
      </c>
      <c r="K1805" s="25">
        <f>IFERROR(INDEX(Pedidos!$D$2:$D$1801,MATCH(B1805,Pedidos!$A$2:$A$1801,0)),"")</f>
        <v/>
      </c>
      <c r="L1805" s="25">
        <f>IFERROR(INDEX(Pedidos!$F$2:$F$1801,MATCH(B1805,Pedidos!$A$2:$A$1801,0)),"")</f>
        <v/>
      </c>
      <c r="M1805" s="26">
        <f>IFERROR(INDEX(Pedidos!$G$2:$G$1801,MATCH(B1805,Pedidos!$A$2:$A$1801,0)),0)</f>
        <v/>
      </c>
      <c r="N1805" s="25">
        <f>IFERROR(INDEX(Produtos!$B$2:$B$71,MATCH(C1805,Produtos!$A$2:$A$71,0)),"")</f>
        <v/>
      </c>
      <c r="O1805" s="25">
        <f>IFERROR(INDEX(Produtos!$C$2:$C$71,MATCH(C1805,Produtos!$A$2:$A$71,0)),"")</f>
        <v/>
      </c>
      <c r="P1805" s="25">
        <f>IFERROR(INDEX(Produtos!$D$2:$D$71,MATCH(C1805,Produtos!$A$2:$A$71,0)),0)</f>
        <v/>
      </c>
      <c r="Q1805" s="25">
        <f>IFERROR(INDEX(Produtos!$E$2:$E$71,MATCH(C1805,Produtos!$A$2:$A$71,0)),0)</f>
        <v/>
      </c>
      <c r="R1805" s="27">
        <f>D1805*Q1805</f>
        <v/>
      </c>
      <c r="S1805" s="27">
        <f>R1805*E1805</f>
        <v/>
      </c>
      <c r="T1805" s="27">
        <f>(R1805-S1805)*M1805</f>
        <v/>
      </c>
      <c r="U1805" s="27">
        <f>R1805-S1805-T1805</f>
        <v/>
      </c>
      <c r="V1805" s="27">
        <f>D1805*P1805</f>
        <v/>
      </c>
      <c r="W1805" s="27">
        <f>U1805-V1805</f>
        <v/>
      </c>
      <c r="X1805" s="28">
        <f>IFERROR(W1805/U1805,0)</f>
        <v/>
      </c>
    </row>
    <row r="1806">
      <c r="A1806" s="21">
        <f>ItensPedido!A1806</f>
        <v/>
      </c>
      <c r="B1806" s="21">
        <f>ItensPedido!B1806</f>
        <v/>
      </c>
      <c r="C1806" s="21">
        <f>ItensPedido!C1806</f>
        <v/>
      </c>
      <c r="D1806" s="21">
        <f>ItensPedido!D1806</f>
        <v/>
      </c>
      <c r="E1806" s="22">
        <f>ItensPedido!E1806</f>
        <v/>
      </c>
      <c r="F1806" s="21">
        <f>IFERROR(INDEX(Pedidos!$B$2:$B$1801,MATCH(B1806,Pedidos!$A$2:$A$1801,0)),0)</f>
        <v/>
      </c>
      <c r="G1806" s="21">
        <f>IF(F1806=0,"",YEAR(F1806))</f>
        <v/>
      </c>
      <c r="H1806" s="21">
        <f>IF(F1806=0,"",MONTH(F1806))</f>
        <v/>
      </c>
      <c r="I1806" s="21">
        <f>IFERROR(INDEX(Pedidos!$E$2:$E$1801,MATCH(B1806,Pedidos!$A$2:$A$1801,0)),"")</f>
        <v/>
      </c>
      <c r="J1806" s="21">
        <f>IFERROR(INDEX(Pedidos!$C$2:$C$1801,MATCH(B1806,Pedidos!$A$2:$A$1801,0)),"")</f>
        <v/>
      </c>
      <c r="K1806" s="21">
        <f>IFERROR(INDEX(Pedidos!$D$2:$D$1801,MATCH(B1806,Pedidos!$A$2:$A$1801,0)),"")</f>
        <v/>
      </c>
      <c r="L1806" s="21">
        <f>IFERROR(INDEX(Pedidos!$F$2:$F$1801,MATCH(B1806,Pedidos!$A$2:$A$1801,0)),"")</f>
        <v/>
      </c>
      <c r="M1806" s="22">
        <f>IFERROR(INDEX(Pedidos!$G$2:$G$1801,MATCH(B1806,Pedidos!$A$2:$A$1801,0)),0)</f>
        <v/>
      </c>
      <c r="N1806" s="21">
        <f>IFERROR(INDEX(Produtos!$B$2:$B$71,MATCH(C1806,Produtos!$A$2:$A$71,0)),"")</f>
        <v/>
      </c>
      <c r="O1806" s="21">
        <f>IFERROR(INDEX(Produtos!$C$2:$C$71,MATCH(C1806,Produtos!$A$2:$A$71,0)),"")</f>
        <v/>
      </c>
      <c r="P1806" s="21">
        <f>IFERROR(INDEX(Produtos!$D$2:$D$71,MATCH(C1806,Produtos!$A$2:$A$71,0)),0)</f>
        <v/>
      </c>
      <c r="Q1806" s="21">
        <f>IFERROR(INDEX(Produtos!$E$2:$E$71,MATCH(C1806,Produtos!$A$2:$A$71,0)),0)</f>
        <v/>
      </c>
      <c r="R1806" s="23">
        <f>D1806*Q1806</f>
        <v/>
      </c>
      <c r="S1806" s="23">
        <f>R1806*E1806</f>
        <v/>
      </c>
      <c r="T1806" s="23">
        <f>(R1806-S1806)*M1806</f>
        <v/>
      </c>
      <c r="U1806" s="23">
        <f>R1806-S1806-T1806</f>
        <v/>
      </c>
      <c r="V1806" s="23">
        <f>D1806*P1806</f>
        <v/>
      </c>
      <c r="W1806" s="23">
        <f>U1806-V1806</f>
        <v/>
      </c>
      <c r="X1806" s="24">
        <f>IFERROR(W1806/U1806,0)</f>
        <v/>
      </c>
    </row>
    <row r="1807">
      <c r="A1807" s="25">
        <f>ItensPedido!A1807</f>
        <v/>
      </c>
      <c r="B1807" s="25">
        <f>ItensPedido!B1807</f>
        <v/>
      </c>
      <c r="C1807" s="25">
        <f>ItensPedido!C1807</f>
        <v/>
      </c>
      <c r="D1807" s="25">
        <f>ItensPedido!D1807</f>
        <v/>
      </c>
      <c r="E1807" s="26">
        <f>ItensPedido!E1807</f>
        <v/>
      </c>
      <c r="F1807" s="25">
        <f>IFERROR(INDEX(Pedidos!$B$2:$B$1801,MATCH(B1807,Pedidos!$A$2:$A$1801,0)),0)</f>
        <v/>
      </c>
      <c r="G1807" s="25">
        <f>IF(F1807=0,"",YEAR(F1807))</f>
        <v/>
      </c>
      <c r="H1807" s="25">
        <f>IF(F1807=0,"",MONTH(F1807))</f>
        <v/>
      </c>
      <c r="I1807" s="25">
        <f>IFERROR(INDEX(Pedidos!$E$2:$E$1801,MATCH(B1807,Pedidos!$A$2:$A$1801,0)),"")</f>
        <v/>
      </c>
      <c r="J1807" s="25">
        <f>IFERROR(INDEX(Pedidos!$C$2:$C$1801,MATCH(B1807,Pedidos!$A$2:$A$1801,0)),"")</f>
        <v/>
      </c>
      <c r="K1807" s="25">
        <f>IFERROR(INDEX(Pedidos!$D$2:$D$1801,MATCH(B1807,Pedidos!$A$2:$A$1801,0)),"")</f>
        <v/>
      </c>
      <c r="L1807" s="25">
        <f>IFERROR(INDEX(Pedidos!$F$2:$F$1801,MATCH(B1807,Pedidos!$A$2:$A$1801,0)),"")</f>
        <v/>
      </c>
      <c r="M1807" s="26">
        <f>IFERROR(INDEX(Pedidos!$G$2:$G$1801,MATCH(B1807,Pedidos!$A$2:$A$1801,0)),0)</f>
        <v/>
      </c>
      <c r="N1807" s="25">
        <f>IFERROR(INDEX(Produtos!$B$2:$B$71,MATCH(C1807,Produtos!$A$2:$A$71,0)),"")</f>
        <v/>
      </c>
      <c r="O1807" s="25">
        <f>IFERROR(INDEX(Produtos!$C$2:$C$71,MATCH(C1807,Produtos!$A$2:$A$71,0)),"")</f>
        <v/>
      </c>
      <c r="P1807" s="25">
        <f>IFERROR(INDEX(Produtos!$D$2:$D$71,MATCH(C1807,Produtos!$A$2:$A$71,0)),0)</f>
        <v/>
      </c>
      <c r="Q1807" s="25">
        <f>IFERROR(INDEX(Produtos!$E$2:$E$71,MATCH(C1807,Produtos!$A$2:$A$71,0)),0)</f>
        <v/>
      </c>
      <c r="R1807" s="27">
        <f>D1807*Q1807</f>
        <v/>
      </c>
      <c r="S1807" s="27">
        <f>R1807*E1807</f>
        <v/>
      </c>
      <c r="T1807" s="27">
        <f>(R1807-S1807)*M1807</f>
        <v/>
      </c>
      <c r="U1807" s="27">
        <f>R1807-S1807-T1807</f>
        <v/>
      </c>
      <c r="V1807" s="27">
        <f>D1807*P1807</f>
        <v/>
      </c>
      <c r="W1807" s="27">
        <f>U1807-V1807</f>
        <v/>
      </c>
      <c r="X1807" s="28">
        <f>IFERROR(W1807/U1807,0)</f>
        <v/>
      </c>
    </row>
    <row r="1808">
      <c r="A1808" s="21">
        <f>ItensPedido!A1808</f>
        <v/>
      </c>
      <c r="B1808" s="21">
        <f>ItensPedido!B1808</f>
        <v/>
      </c>
      <c r="C1808" s="21">
        <f>ItensPedido!C1808</f>
        <v/>
      </c>
      <c r="D1808" s="21">
        <f>ItensPedido!D1808</f>
        <v/>
      </c>
      <c r="E1808" s="22">
        <f>ItensPedido!E1808</f>
        <v/>
      </c>
      <c r="F1808" s="21">
        <f>IFERROR(INDEX(Pedidos!$B$2:$B$1801,MATCH(B1808,Pedidos!$A$2:$A$1801,0)),0)</f>
        <v/>
      </c>
      <c r="G1808" s="21">
        <f>IF(F1808=0,"",YEAR(F1808))</f>
        <v/>
      </c>
      <c r="H1808" s="21">
        <f>IF(F1808=0,"",MONTH(F1808))</f>
        <v/>
      </c>
      <c r="I1808" s="21">
        <f>IFERROR(INDEX(Pedidos!$E$2:$E$1801,MATCH(B1808,Pedidos!$A$2:$A$1801,0)),"")</f>
        <v/>
      </c>
      <c r="J1808" s="21">
        <f>IFERROR(INDEX(Pedidos!$C$2:$C$1801,MATCH(B1808,Pedidos!$A$2:$A$1801,0)),"")</f>
        <v/>
      </c>
      <c r="K1808" s="21">
        <f>IFERROR(INDEX(Pedidos!$D$2:$D$1801,MATCH(B1808,Pedidos!$A$2:$A$1801,0)),"")</f>
        <v/>
      </c>
      <c r="L1808" s="21">
        <f>IFERROR(INDEX(Pedidos!$F$2:$F$1801,MATCH(B1808,Pedidos!$A$2:$A$1801,0)),"")</f>
        <v/>
      </c>
      <c r="M1808" s="22">
        <f>IFERROR(INDEX(Pedidos!$G$2:$G$1801,MATCH(B1808,Pedidos!$A$2:$A$1801,0)),0)</f>
        <v/>
      </c>
      <c r="N1808" s="21">
        <f>IFERROR(INDEX(Produtos!$B$2:$B$71,MATCH(C1808,Produtos!$A$2:$A$71,0)),"")</f>
        <v/>
      </c>
      <c r="O1808" s="21">
        <f>IFERROR(INDEX(Produtos!$C$2:$C$71,MATCH(C1808,Produtos!$A$2:$A$71,0)),"")</f>
        <v/>
      </c>
      <c r="P1808" s="21">
        <f>IFERROR(INDEX(Produtos!$D$2:$D$71,MATCH(C1808,Produtos!$A$2:$A$71,0)),0)</f>
        <v/>
      </c>
      <c r="Q1808" s="21">
        <f>IFERROR(INDEX(Produtos!$E$2:$E$71,MATCH(C1808,Produtos!$A$2:$A$71,0)),0)</f>
        <v/>
      </c>
      <c r="R1808" s="23">
        <f>D1808*Q1808</f>
        <v/>
      </c>
      <c r="S1808" s="23">
        <f>R1808*E1808</f>
        <v/>
      </c>
      <c r="T1808" s="23">
        <f>(R1808-S1808)*M1808</f>
        <v/>
      </c>
      <c r="U1808" s="23">
        <f>R1808-S1808-T1808</f>
        <v/>
      </c>
      <c r="V1808" s="23">
        <f>D1808*P1808</f>
        <v/>
      </c>
      <c r="W1808" s="23">
        <f>U1808-V1808</f>
        <v/>
      </c>
      <c r="X1808" s="24">
        <f>IFERROR(W1808/U1808,0)</f>
        <v/>
      </c>
    </row>
    <row r="1809">
      <c r="A1809" s="25">
        <f>ItensPedido!A1809</f>
        <v/>
      </c>
      <c r="B1809" s="25">
        <f>ItensPedido!B1809</f>
        <v/>
      </c>
      <c r="C1809" s="25">
        <f>ItensPedido!C1809</f>
        <v/>
      </c>
      <c r="D1809" s="25">
        <f>ItensPedido!D1809</f>
        <v/>
      </c>
      <c r="E1809" s="26">
        <f>ItensPedido!E1809</f>
        <v/>
      </c>
      <c r="F1809" s="25">
        <f>IFERROR(INDEX(Pedidos!$B$2:$B$1801,MATCH(B1809,Pedidos!$A$2:$A$1801,0)),0)</f>
        <v/>
      </c>
      <c r="G1809" s="25">
        <f>IF(F1809=0,"",YEAR(F1809))</f>
        <v/>
      </c>
      <c r="H1809" s="25">
        <f>IF(F1809=0,"",MONTH(F1809))</f>
        <v/>
      </c>
      <c r="I1809" s="25">
        <f>IFERROR(INDEX(Pedidos!$E$2:$E$1801,MATCH(B1809,Pedidos!$A$2:$A$1801,0)),"")</f>
        <v/>
      </c>
      <c r="J1809" s="25">
        <f>IFERROR(INDEX(Pedidos!$C$2:$C$1801,MATCH(B1809,Pedidos!$A$2:$A$1801,0)),"")</f>
        <v/>
      </c>
      <c r="K1809" s="25">
        <f>IFERROR(INDEX(Pedidos!$D$2:$D$1801,MATCH(B1809,Pedidos!$A$2:$A$1801,0)),"")</f>
        <v/>
      </c>
      <c r="L1809" s="25">
        <f>IFERROR(INDEX(Pedidos!$F$2:$F$1801,MATCH(B1809,Pedidos!$A$2:$A$1801,0)),"")</f>
        <v/>
      </c>
      <c r="M1809" s="26">
        <f>IFERROR(INDEX(Pedidos!$G$2:$G$1801,MATCH(B1809,Pedidos!$A$2:$A$1801,0)),0)</f>
        <v/>
      </c>
      <c r="N1809" s="25">
        <f>IFERROR(INDEX(Produtos!$B$2:$B$71,MATCH(C1809,Produtos!$A$2:$A$71,0)),"")</f>
        <v/>
      </c>
      <c r="O1809" s="25">
        <f>IFERROR(INDEX(Produtos!$C$2:$C$71,MATCH(C1809,Produtos!$A$2:$A$71,0)),"")</f>
        <v/>
      </c>
      <c r="P1809" s="25">
        <f>IFERROR(INDEX(Produtos!$D$2:$D$71,MATCH(C1809,Produtos!$A$2:$A$71,0)),0)</f>
        <v/>
      </c>
      <c r="Q1809" s="25">
        <f>IFERROR(INDEX(Produtos!$E$2:$E$71,MATCH(C1809,Produtos!$A$2:$A$71,0)),0)</f>
        <v/>
      </c>
      <c r="R1809" s="27">
        <f>D1809*Q1809</f>
        <v/>
      </c>
      <c r="S1809" s="27">
        <f>R1809*E1809</f>
        <v/>
      </c>
      <c r="T1809" s="27">
        <f>(R1809-S1809)*M1809</f>
        <v/>
      </c>
      <c r="U1809" s="27">
        <f>R1809-S1809-T1809</f>
        <v/>
      </c>
      <c r="V1809" s="27">
        <f>D1809*P1809</f>
        <v/>
      </c>
      <c r="W1809" s="27">
        <f>U1809-V1809</f>
        <v/>
      </c>
      <c r="X1809" s="28">
        <f>IFERROR(W1809/U1809,0)</f>
        <v/>
      </c>
    </row>
    <row r="1810">
      <c r="A1810" s="21">
        <f>ItensPedido!A1810</f>
        <v/>
      </c>
      <c r="B1810" s="21">
        <f>ItensPedido!B1810</f>
        <v/>
      </c>
      <c r="C1810" s="21">
        <f>ItensPedido!C1810</f>
        <v/>
      </c>
      <c r="D1810" s="21">
        <f>ItensPedido!D1810</f>
        <v/>
      </c>
      <c r="E1810" s="22">
        <f>ItensPedido!E1810</f>
        <v/>
      </c>
      <c r="F1810" s="21">
        <f>IFERROR(INDEX(Pedidos!$B$2:$B$1801,MATCH(B1810,Pedidos!$A$2:$A$1801,0)),0)</f>
        <v/>
      </c>
      <c r="G1810" s="21">
        <f>IF(F1810=0,"",YEAR(F1810))</f>
        <v/>
      </c>
      <c r="H1810" s="21">
        <f>IF(F1810=0,"",MONTH(F1810))</f>
        <v/>
      </c>
      <c r="I1810" s="21">
        <f>IFERROR(INDEX(Pedidos!$E$2:$E$1801,MATCH(B1810,Pedidos!$A$2:$A$1801,0)),"")</f>
        <v/>
      </c>
      <c r="J1810" s="21">
        <f>IFERROR(INDEX(Pedidos!$C$2:$C$1801,MATCH(B1810,Pedidos!$A$2:$A$1801,0)),"")</f>
        <v/>
      </c>
      <c r="K1810" s="21">
        <f>IFERROR(INDEX(Pedidos!$D$2:$D$1801,MATCH(B1810,Pedidos!$A$2:$A$1801,0)),"")</f>
        <v/>
      </c>
      <c r="L1810" s="21">
        <f>IFERROR(INDEX(Pedidos!$F$2:$F$1801,MATCH(B1810,Pedidos!$A$2:$A$1801,0)),"")</f>
        <v/>
      </c>
      <c r="M1810" s="22">
        <f>IFERROR(INDEX(Pedidos!$G$2:$G$1801,MATCH(B1810,Pedidos!$A$2:$A$1801,0)),0)</f>
        <v/>
      </c>
      <c r="N1810" s="21">
        <f>IFERROR(INDEX(Produtos!$B$2:$B$71,MATCH(C1810,Produtos!$A$2:$A$71,0)),"")</f>
        <v/>
      </c>
      <c r="O1810" s="21">
        <f>IFERROR(INDEX(Produtos!$C$2:$C$71,MATCH(C1810,Produtos!$A$2:$A$71,0)),"")</f>
        <v/>
      </c>
      <c r="P1810" s="21">
        <f>IFERROR(INDEX(Produtos!$D$2:$D$71,MATCH(C1810,Produtos!$A$2:$A$71,0)),0)</f>
        <v/>
      </c>
      <c r="Q1810" s="21">
        <f>IFERROR(INDEX(Produtos!$E$2:$E$71,MATCH(C1810,Produtos!$A$2:$A$71,0)),0)</f>
        <v/>
      </c>
      <c r="R1810" s="23">
        <f>D1810*Q1810</f>
        <v/>
      </c>
      <c r="S1810" s="23">
        <f>R1810*E1810</f>
        <v/>
      </c>
      <c r="T1810" s="23">
        <f>(R1810-S1810)*M1810</f>
        <v/>
      </c>
      <c r="U1810" s="23">
        <f>R1810-S1810-T1810</f>
        <v/>
      </c>
      <c r="V1810" s="23">
        <f>D1810*P1810</f>
        <v/>
      </c>
      <c r="W1810" s="23">
        <f>U1810-V1810</f>
        <v/>
      </c>
      <c r="X1810" s="24">
        <f>IFERROR(W1810/U1810,0)</f>
        <v/>
      </c>
    </row>
    <row r="1811">
      <c r="A1811" s="25">
        <f>ItensPedido!A1811</f>
        <v/>
      </c>
      <c r="B1811" s="25">
        <f>ItensPedido!B1811</f>
        <v/>
      </c>
      <c r="C1811" s="25">
        <f>ItensPedido!C1811</f>
        <v/>
      </c>
      <c r="D1811" s="25">
        <f>ItensPedido!D1811</f>
        <v/>
      </c>
      <c r="E1811" s="26">
        <f>ItensPedido!E1811</f>
        <v/>
      </c>
      <c r="F1811" s="25">
        <f>IFERROR(INDEX(Pedidos!$B$2:$B$1801,MATCH(B1811,Pedidos!$A$2:$A$1801,0)),0)</f>
        <v/>
      </c>
      <c r="G1811" s="25">
        <f>IF(F1811=0,"",YEAR(F1811))</f>
        <v/>
      </c>
      <c r="H1811" s="25">
        <f>IF(F1811=0,"",MONTH(F1811))</f>
        <v/>
      </c>
      <c r="I1811" s="25">
        <f>IFERROR(INDEX(Pedidos!$E$2:$E$1801,MATCH(B1811,Pedidos!$A$2:$A$1801,0)),"")</f>
        <v/>
      </c>
      <c r="J1811" s="25">
        <f>IFERROR(INDEX(Pedidos!$C$2:$C$1801,MATCH(B1811,Pedidos!$A$2:$A$1801,0)),"")</f>
        <v/>
      </c>
      <c r="K1811" s="25">
        <f>IFERROR(INDEX(Pedidos!$D$2:$D$1801,MATCH(B1811,Pedidos!$A$2:$A$1801,0)),"")</f>
        <v/>
      </c>
      <c r="L1811" s="25">
        <f>IFERROR(INDEX(Pedidos!$F$2:$F$1801,MATCH(B1811,Pedidos!$A$2:$A$1801,0)),"")</f>
        <v/>
      </c>
      <c r="M1811" s="26">
        <f>IFERROR(INDEX(Pedidos!$G$2:$G$1801,MATCH(B1811,Pedidos!$A$2:$A$1801,0)),0)</f>
        <v/>
      </c>
      <c r="N1811" s="25">
        <f>IFERROR(INDEX(Produtos!$B$2:$B$71,MATCH(C1811,Produtos!$A$2:$A$71,0)),"")</f>
        <v/>
      </c>
      <c r="O1811" s="25">
        <f>IFERROR(INDEX(Produtos!$C$2:$C$71,MATCH(C1811,Produtos!$A$2:$A$71,0)),"")</f>
        <v/>
      </c>
      <c r="P1811" s="25">
        <f>IFERROR(INDEX(Produtos!$D$2:$D$71,MATCH(C1811,Produtos!$A$2:$A$71,0)),0)</f>
        <v/>
      </c>
      <c r="Q1811" s="25">
        <f>IFERROR(INDEX(Produtos!$E$2:$E$71,MATCH(C1811,Produtos!$A$2:$A$71,0)),0)</f>
        <v/>
      </c>
      <c r="R1811" s="27">
        <f>D1811*Q1811</f>
        <v/>
      </c>
      <c r="S1811" s="27">
        <f>R1811*E1811</f>
        <v/>
      </c>
      <c r="T1811" s="27">
        <f>(R1811-S1811)*M1811</f>
        <v/>
      </c>
      <c r="U1811" s="27">
        <f>R1811-S1811-T1811</f>
        <v/>
      </c>
      <c r="V1811" s="27">
        <f>D1811*P1811</f>
        <v/>
      </c>
      <c r="W1811" s="27">
        <f>U1811-V1811</f>
        <v/>
      </c>
      <c r="X1811" s="28">
        <f>IFERROR(W1811/U1811,0)</f>
        <v/>
      </c>
    </row>
    <row r="1812">
      <c r="A1812" s="21">
        <f>ItensPedido!A1812</f>
        <v/>
      </c>
      <c r="B1812" s="21">
        <f>ItensPedido!B1812</f>
        <v/>
      </c>
      <c r="C1812" s="21">
        <f>ItensPedido!C1812</f>
        <v/>
      </c>
      <c r="D1812" s="21">
        <f>ItensPedido!D1812</f>
        <v/>
      </c>
      <c r="E1812" s="22">
        <f>ItensPedido!E1812</f>
        <v/>
      </c>
      <c r="F1812" s="21">
        <f>IFERROR(INDEX(Pedidos!$B$2:$B$1801,MATCH(B1812,Pedidos!$A$2:$A$1801,0)),0)</f>
        <v/>
      </c>
      <c r="G1812" s="21">
        <f>IF(F1812=0,"",YEAR(F1812))</f>
        <v/>
      </c>
      <c r="H1812" s="21">
        <f>IF(F1812=0,"",MONTH(F1812))</f>
        <v/>
      </c>
      <c r="I1812" s="21">
        <f>IFERROR(INDEX(Pedidos!$E$2:$E$1801,MATCH(B1812,Pedidos!$A$2:$A$1801,0)),"")</f>
        <v/>
      </c>
      <c r="J1812" s="21">
        <f>IFERROR(INDEX(Pedidos!$C$2:$C$1801,MATCH(B1812,Pedidos!$A$2:$A$1801,0)),"")</f>
        <v/>
      </c>
      <c r="K1812" s="21">
        <f>IFERROR(INDEX(Pedidos!$D$2:$D$1801,MATCH(B1812,Pedidos!$A$2:$A$1801,0)),"")</f>
        <v/>
      </c>
      <c r="L1812" s="21">
        <f>IFERROR(INDEX(Pedidos!$F$2:$F$1801,MATCH(B1812,Pedidos!$A$2:$A$1801,0)),"")</f>
        <v/>
      </c>
      <c r="M1812" s="22">
        <f>IFERROR(INDEX(Pedidos!$G$2:$G$1801,MATCH(B1812,Pedidos!$A$2:$A$1801,0)),0)</f>
        <v/>
      </c>
      <c r="N1812" s="21">
        <f>IFERROR(INDEX(Produtos!$B$2:$B$71,MATCH(C1812,Produtos!$A$2:$A$71,0)),"")</f>
        <v/>
      </c>
      <c r="O1812" s="21">
        <f>IFERROR(INDEX(Produtos!$C$2:$C$71,MATCH(C1812,Produtos!$A$2:$A$71,0)),"")</f>
        <v/>
      </c>
      <c r="P1812" s="21">
        <f>IFERROR(INDEX(Produtos!$D$2:$D$71,MATCH(C1812,Produtos!$A$2:$A$71,0)),0)</f>
        <v/>
      </c>
      <c r="Q1812" s="21">
        <f>IFERROR(INDEX(Produtos!$E$2:$E$71,MATCH(C1812,Produtos!$A$2:$A$71,0)),0)</f>
        <v/>
      </c>
      <c r="R1812" s="23">
        <f>D1812*Q1812</f>
        <v/>
      </c>
      <c r="S1812" s="23">
        <f>R1812*E1812</f>
        <v/>
      </c>
      <c r="T1812" s="23">
        <f>(R1812-S1812)*M1812</f>
        <v/>
      </c>
      <c r="U1812" s="23">
        <f>R1812-S1812-T1812</f>
        <v/>
      </c>
      <c r="V1812" s="23">
        <f>D1812*P1812</f>
        <v/>
      </c>
      <c r="W1812" s="23">
        <f>U1812-V1812</f>
        <v/>
      </c>
      <c r="X1812" s="24">
        <f>IFERROR(W1812/U1812,0)</f>
        <v/>
      </c>
    </row>
    <row r="1813">
      <c r="A1813" s="25">
        <f>ItensPedido!A1813</f>
        <v/>
      </c>
      <c r="B1813" s="25">
        <f>ItensPedido!B1813</f>
        <v/>
      </c>
      <c r="C1813" s="25">
        <f>ItensPedido!C1813</f>
        <v/>
      </c>
      <c r="D1813" s="25">
        <f>ItensPedido!D1813</f>
        <v/>
      </c>
      <c r="E1813" s="26">
        <f>ItensPedido!E1813</f>
        <v/>
      </c>
      <c r="F1813" s="25">
        <f>IFERROR(INDEX(Pedidos!$B$2:$B$1801,MATCH(B1813,Pedidos!$A$2:$A$1801,0)),0)</f>
        <v/>
      </c>
      <c r="G1813" s="25">
        <f>IF(F1813=0,"",YEAR(F1813))</f>
        <v/>
      </c>
      <c r="H1813" s="25">
        <f>IF(F1813=0,"",MONTH(F1813))</f>
        <v/>
      </c>
      <c r="I1813" s="25">
        <f>IFERROR(INDEX(Pedidos!$E$2:$E$1801,MATCH(B1813,Pedidos!$A$2:$A$1801,0)),"")</f>
        <v/>
      </c>
      <c r="J1813" s="25">
        <f>IFERROR(INDEX(Pedidos!$C$2:$C$1801,MATCH(B1813,Pedidos!$A$2:$A$1801,0)),"")</f>
        <v/>
      </c>
      <c r="K1813" s="25">
        <f>IFERROR(INDEX(Pedidos!$D$2:$D$1801,MATCH(B1813,Pedidos!$A$2:$A$1801,0)),"")</f>
        <v/>
      </c>
      <c r="L1813" s="25">
        <f>IFERROR(INDEX(Pedidos!$F$2:$F$1801,MATCH(B1813,Pedidos!$A$2:$A$1801,0)),"")</f>
        <v/>
      </c>
      <c r="M1813" s="26">
        <f>IFERROR(INDEX(Pedidos!$G$2:$G$1801,MATCH(B1813,Pedidos!$A$2:$A$1801,0)),0)</f>
        <v/>
      </c>
      <c r="N1813" s="25">
        <f>IFERROR(INDEX(Produtos!$B$2:$B$71,MATCH(C1813,Produtos!$A$2:$A$71,0)),"")</f>
        <v/>
      </c>
      <c r="O1813" s="25">
        <f>IFERROR(INDEX(Produtos!$C$2:$C$71,MATCH(C1813,Produtos!$A$2:$A$71,0)),"")</f>
        <v/>
      </c>
      <c r="P1813" s="25">
        <f>IFERROR(INDEX(Produtos!$D$2:$D$71,MATCH(C1813,Produtos!$A$2:$A$71,0)),0)</f>
        <v/>
      </c>
      <c r="Q1813" s="25">
        <f>IFERROR(INDEX(Produtos!$E$2:$E$71,MATCH(C1813,Produtos!$A$2:$A$71,0)),0)</f>
        <v/>
      </c>
      <c r="R1813" s="27">
        <f>D1813*Q1813</f>
        <v/>
      </c>
      <c r="S1813" s="27">
        <f>R1813*E1813</f>
        <v/>
      </c>
      <c r="T1813" s="27">
        <f>(R1813-S1813)*M1813</f>
        <v/>
      </c>
      <c r="U1813" s="27">
        <f>R1813-S1813-T1813</f>
        <v/>
      </c>
      <c r="V1813" s="27">
        <f>D1813*P1813</f>
        <v/>
      </c>
      <c r="W1813" s="27">
        <f>U1813-V1813</f>
        <v/>
      </c>
      <c r="X1813" s="28">
        <f>IFERROR(W1813/U1813,0)</f>
        <v/>
      </c>
    </row>
    <row r="1814">
      <c r="A1814" s="21">
        <f>ItensPedido!A1814</f>
        <v/>
      </c>
      <c r="B1814" s="21">
        <f>ItensPedido!B1814</f>
        <v/>
      </c>
      <c r="C1814" s="21">
        <f>ItensPedido!C1814</f>
        <v/>
      </c>
      <c r="D1814" s="21">
        <f>ItensPedido!D1814</f>
        <v/>
      </c>
      <c r="E1814" s="22">
        <f>ItensPedido!E1814</f>
        <v/>
      </c>
      <c r="F1814" s="21">
        <f>IFERROR(INDEX(Pedidos!$B$2:$B$1801,MATCH(B1814,Pedidos!$A$2:$A$1801,0)),0)</f>
        <v/>
      </c>
      <c r="G1814" s="21">
        <f>IF(F1814=0,"",YEAR(F1814))</f>
        <v/>
      </c>
      <c r="H1814" s="21">
        <f>IF(F1814=0,"",MONTH(F1814))</f>
        <v/>
      </c>
      <c r="I1814" s="21">
        <f>IFERROR(INDEX(Pedidos!$E$2:$E$1801,MATCH(B1814,Pedidos!$A$2:$A$1801,0)),"")</f>
        <v/>
      </c>
      <c r="J1814" s="21">
        <f>IFERROR(INDEX(Pedidos!$C$2:$C$1801,MATCH(B1814,Pedidos!$A$2:$A$1801,0)),"")</f>
        <v/>
      </c>
      <c r="K1814" s="21">
        <f>IFERROR(INDEX(Pedidos!$D$2:$D$1801,MATCH(B1814,Pedidos!$A$2:$A$1801,0)),"")</f>
        <v/>
      </c>
      <c r="L1814" s="21">
        <f>IFERROR(INDEX(Pedidos!$F$2:$F$1801,MATCH(B1814,Pedidos!$A$2:$A$1801,0)),"")</f>
        <v/>
      </c>
      <c r="M1814" s="22">
        <f>IFERROR(INDEX(Pedidos!$G$2:$G$1801,MATCH(B1814,Pedidos!$A$2:$A$1801,0)),0)</f>
        <v/>
      </c>
      <c r="N1814" s="21">
        <f>IFERROR(INDEX(Produtos!$B$2:$B$71,MATCH(C1814,Produtos!$A$2:$A$71,0)),"")</f>
        <v/>
      </c>
      <c r="O1814" s="21">
        <f>IFERROR(INDEX(Produtos!$C$2:$C$71,MATCH(C1814,Produtos!$A$2:$A$71,0)),"")</f>
        <v/>
      </c>
      <c r="P1814" s="21">
        <f>IFERROR(INDEX(Produtos!$D$2:$D$71,MATCH(C1814,Produtos!$A$2:$A$71,0)),0)</f>
        <v/>
      </c>
      <c r="Q1814" s="21">
        <f>IFERROR(INDEX(Produtos!$E$2:$E$71,MATCH(C1814,Produtos!$A$2:$A$71,0)),0)</f>
        <v/>
      </c>
      <c r="R1814" s="23">
        <f>D1814*Q1814</f>
        <v/>
      </c>
      <c r="S1814" s="23">
        <f>R1814*E1814</f>
        <v/>
      </c>
      <c r="T1814" s="23">
        <f>(R1814-S1814)*M1814</f>
        <v/>
      </c>
      <c r="U1814" s="23">
        <f>R1814-S1814-T1814</f>
        <v/>
      </c>
      <c r="V1814" s="23">
        <f>D1814*P1814</f>
        <v/>
      </c>
      <c r="W1814" s="23">
        <f>U1814-V1814</f>
        <v/>
      </c>
      <c r="X1814" s="24">
        <f>IFERROR(W1814/U1814,0)</f>
        <v/>
      </c>
    </row>
    <row r="1815">
      <c r="A1815" s="25">
        <f>ItensPedido!A1815</f>
        <v/>
      </c>
      <c r="B1815" s="25">
        <f>ItensPedido!B1815</f>
        <v/>
      </c>
      <c r="C1815" s="25">
        <f>ItensPedido!C1815</f>
        <v/>
      </c>
      <c r="D1815" s="25">
        <f>ItensPedido!D1815</f>
        <v/>
      </c>
      <c r="E1815" s="26">
        <f>ItensPedido!E1815</f>
        <v/>
      </c>
      <c r="F1815" s="25">
        <f>IFERROR(INDEX(Pedidos!$B$2:$B$1801,MATCH(B1815,Pedidos!$A$2:$A$1801,0)),0)</f>
        <v/>
      </c>
      <c r="G1815" s="25">
        <f>IF(F1815=0,"",YEAR(F1815))</f>
        <v/>
      </c>
      <c r="H1815" s="25">
        <f>IF(F1815=0,"",MONTH(F1815))</f>
        <v/>
      </c>
      <c r="I1815" s="25">
        <f>IFERROR(INDEX(Pedidos!$E$2:$E$1801,MATCH(B1815,Pedidos!$A$2:$A$1801,0)),"")</f>
        <v/>
      </c>
      <c r="J1815" s="25">
        <f>IFERROR(INDEX(Pedidos!$C$2:$C$1801,MATCH(B1815,Pedidos!$A$2:$A$1801,0)),"")</f>
        <v/>
      </c>
      <c r="K1815" s="25">
        <f>IFERROR(INDEX(Pedidos!$D$2:$D$1801,MATCH(B1815,Pedidos!$A$2:$A$1801,0)),"")</f>
        <v/>
      </c>
      <c r="L1815" s="25">
        <f>IFERROR(INDEX(Pedidos!$F$2:$F$1801,MATCH(B1815,Pedidos!$A$2:$A$1801,0)),"")</f>
        <v/>
      </c>
      <c r="M1815" s="26">
        <f>IFERROR(INDEX(Pedidos!$G$2:$G$1801,MATCH(B1815,Pedidos!$A$2:$A$1801,0)),0)</f>
        <v/>
      </c>
      <c r="N1815" s="25">
        <f>IFERROR(INDEX(Produtos!$B$2:$B$71,MATCH(C1815,Produtos!$A$2:$A$71,0)),"")</f>
        <v/>
      </c>
      <c r="O1815" s="25">
        <f>IFERROR(INDEX(Produtos!$C$2:$C$71,MATCH(C1815,Produtos!$A$2:$A$71,0)),"")</f>
        <v/>
      </c>
      <c r="P1815" s="25">
        <f>IFERROR(INDEX(Produtos!$D$2:$D$71,MATCH(C1815,Produtos!$A$2:$A$71,0)),0)</f>
        <v/>
      </c>
      <c r="Q1815" s="25">
        <f>IFERROR(INDEX(Produtos!$E$2:$E$71,MATCH(C1815,Produtos!$A$2:$A$71,0)),0)</f>
        <v/>
      </c>
      <c r="R1815" s="27">
        <f>D1815*Q1815</f>
        <v/>
      </c>
      <c r="S1815" s="27">
        <f>R1815*E1815</f>
        <v/>
      </c>
      <c r="T1815" s="27">
        <f>(R1815-S1815)*M1815</f>
        <v/>
      </c>
      <c r="U1815" s="27">
        <f>R1815-S1815-T1815</f>
        <v/>
      </c>
      <c r="V1815" s="27">
        <f>D1815*P1815</f>
        <v/>
      </c>
      <c r="W1815" s="27">
        <f>U1815-V1815</f>
        <v/>
      </c>
      <c r="X1815" s="28">
        <f>IFERROR(W1815/U1815,0)</f>
        <v/>
      </c>
    </row>
    <row r="1816">
      <c r="A1816" s="21">
        <f>ItensPedido!A1816</f>
        <v/>
      </c>
      <c r="B1816" s="21">
        <f>ItensPedido!B1816</f>
        <v/>
      </c>
      <c r="C1816" s="21">
        <f>ItensPedido!C1816</f>
        <v/>
      </c>
      <c r="D1816" s="21">
        <f>ItensPedido!D1816</f>
        <v/>
      </c>
      <c r="E1816" s="22">
        <f>ItensPedido!E1816</f>
        <v/>
      </c>
      <c r="F1816" s="21">
        <f>IFERROR(INDEX(Pedidos!$B$2:$B$1801,MATCH(B1816,Pedidos!$A$2:$A$1801,0)),0)</f>
        <v/>
      </c>
      <c r="G1816" s="21">
        <f>IF(F1816=0,"",YEAR(F1816))</f>
        <v/>
      </c>
      <c r="H1816" s="21">
        <f>IF(F1816=0,"",MONTH(F1816))</f>
        <v/>
      </c>
      <c r="I1816" s="21">
        <f>IFERROR(INDEX(Pedidos!$E$2:$E$1801,MATCH(B1816,Pedidos!$A$2:$A$1801,0)),"")</f>
        <v/>
      </c>
      <c r="J1816" s="21">
        <f>IFERROR(INDEX(Pedidos!$C$2:$C$1801,MATCH(B1816,Pedidos!$A$2:$A$1801,0)),"")</f>
        <v/>
      </c>
      <c r="K1816" s="21">
        <f>IFERROR(INDEX(Pedidos!$D$2:$D$1801,MATCH(B1816,Pedidos!$A$2:$A$1801,0)),"")</f>
        <v/>
      </c>
      <c r="L1816" s="21">
        <f>IFERROR(INDEX(Pedidos!$F$2:$F$1801,MATCH(B1816,Pedidos!$A$2:$A$1801,0)),"")</f>
        <v/>
      </c>
      <c r="M1816" s="22">
        <f>IFERROR(INDEX(Pedidos!$G$2:$G$1801,MATCH(B1816,Pedidos!$A$2:$A$1801,0)),0)</f>
        <v/>
      </c>
      <c r="N1816" s="21">
        <f>IFERROR(INDEX(Produtos!$B$2:$B$71,MATCH(C1816,Produtos!$A$2:$A$71,0)),"")</f>
        <v/>
      </c>
      <c r="O1816" s="21">
        <f>IFERROR(INDEX(Produtos!$C$2:$C$71,MATCH(C1816,Produtos!$A$2:$A$71,0)),"")</f>
        <v/>
      </c>
      <c r="P1816" s="21">
        <f>IFERROR(INDEX(Produtos!$D$2:$D$71,MATCH(C1816,Produtos!$A$2:$A$71,0)),0)</f>
        <v/>
      </c>
      <c r="Q1816" s="21">
        <f>IFERROR(INDEX(Produtos!$E$2:$E$71,MATCH(C1816,Produtos!$A$2:$A$71,0)),0)</f>
        <v/>
      </c>
      <c r="R1816" s="23">
        <f>D1816*Q1816</f>
        <v/>
      </c>
      <c r="S1816" s="23">
        <f>R1816*E1816</f>
        <v/>
      </c>
      <c r="T1816" s="23">
        <f>(R1816-S1816)*M1816</f>
        <v/>
      </c>
      <c r="U1816" s="23">
        <f>R1816-S1816-T1816</f>
        <v/>
      </c>
      <c r="V1816" s="23">
        <f>D1816*P1816</f>
        <v/>
      </c>
      <c r="W1816" s="23">
        <f>U1816-V1816</f>
        <v/>
      </c>
      <c r="X1816" s="24">
        <f>IFERROR(W1816/U1816,0)</f>
        <v/>
      </c>
    </row>
    <row r="1817">
      <c r="A1817" s="25">
        <f>ItensPedido!A1817</f>
        <v/>
      </c>
      <c r="B1817" s="25">
        <f>ItensPedido!B1817</f>
        <v/>
      </c>
      <c r="C1817" s="25">
        <f>ItensPedido!C1817</f>
        <v/>
      </c>
      <c r="D1817" s="25">
        <f>ItensPedido!D1817</f>
        <v/>
      </c>
      <c r="E1817" s="26">
        <f>ItensPedido!E1817</f>
        <v/>
      </c>
      <c r="F1817" s="25">
        <f>IFERROR(INDEX(Pedidos!$B$2:$B$1801,MATCH(B1817,Pedidos!$A$2:$A$1801,0)),0)</f>
        <v/>
      </c>
      <c r="G1817" s="25">
        <f>IF(F1817=0,"",YEAR(F1817))</f>
        <v/>
      </c>
      <c r="H1817" s="25">
        <f>IF(F1817=0,"",MONTH(F1817))</f>
        <v/>
      </c>
      <c r="I1817" s="25">
        <f>IFERROR(INDEX(Pedidos!$E$2:$E$1801,MATCH(B1817,Pedidos!$A$2:$A$1801,0)),"")</f>
        <v/>
      </c>
      <c r="J1817" s="25">
        <f>IFERROR(INDEX(Pedidos!$C$2:$C$1801,MATCH(B1817,Pedidos!$A$2:$A$1801,0)),"")</f>
        <v/>
      </c>
      <c r="K1817" s="25">
        <f>IFERROR(INDEX(Pedidos!$D$2:$D$1801,MATCH(B1817,Pedidos!$A$2:$A$1801,0)),"")</f>
        <v/>
      </c>
      <c r="L1817" s="25">
        <f>IFERROR(INDEX(Pedidos!$F$2:$F$1801,MATCH(B1817,Pedidos!$A$2:$A$1801,0)),"")</f>
        <v/>
      </c>
      <c r="M1817" s="26">
        <f>IFERROR(INDEX(Pedidos!$G$2:$G$1801,MATCH(B1817,Pedidos!$A$2:$A$1801,0)),0)</f>
        <v/>
      </c>
      <c r="N1817" s="25">
        <f>IFERROR(INDEX(Produtos!$B$2:$B$71,MATCH(C1817,Produtos!$A$2:$A$71,0)),"")</f>
        <v/>
      </c>
      <c r="O1817" s="25">
        <f>IFERROR(INDEX(Produtos!$C$2:$C$71,MATCH(C1817,Produtos!$A$2:$A$71,0)),"")</f>
        <v/>
      </c>
      <c r="P1817" s="25">
        <f>IFERROR(INDEX(Produtos!$D$2:$D$71,MATCH(C1817,Produtos!$A$2:$A$71,0)),0)</f>
        <v/>
      </c>
      <c r="Q1817" s="25">
        <f>IFERROR(INDEX(Produtos!$E$2:$E$71,MATCH(C1817,Produtos!$A$2:$A$71,0)),0)</f>
        <v/>
      </c>
      <c r="R1817" s="27">
        <f>D1817*Q1817</f>
        <v/>
      </c>
      <c r="S1817" s="27">
        <f>R1817*E1817</f>
        <v/>
      </c>
      <c r="T1817" s="27">
        <f>(R1817-S1817)*M1817</f>
        <v/>
      </c>
      <c r="U1817" s="27">
        <f>R1817-S1817-T1817</f>
        <v/>
      </c>
      <c r="V1817" s="27">
        <f>D1817*P1817</f>
        <v/>
      </c>
      <c r="W1817" s="27">
        <f>U1817-V1817</f>
        <v/>
      </c>
      <c r="X1817" s="28">
        <f>IFERROR(W1817/U1817,0)</f>
        <v/>
      </c>
    </row>
    <row r="1818">
      <c r="A1818" s="21">
        <f>ItensPedido!A1818</f>
        <v/>
      </c>
      <c r="B1818" s="21">
        <f>ItensPedido!B1818</f>
        <v/>
      </c>
      <c r="C1818" s="21">
        <f>ItensPedido!C1818</f>
        <v/>
      </c>
      <c r="D1818" s="21">
        <f>ItensPedido!D1818</f>
        <v/>
      </c>
      <c r="E1818" s="22">
        <f>ItensPedido!E1818</f>
        <v/>
      </c>
      <c r="F1818" s="21">
        <f>IFERROR(INDEX(Pedidos!$B$2:$B$1801,MATCH(B1818,Pedidos!$A$2:$A$1801,0)),0)</f>
        <v/>
      </c>
      <c r="G1818" s="21">
        <f>IF(F1818=0,"",YEAR(F1818))</f>
        <v/>
      </c>
      <c r="H1818" s="21">
        <f>IF(F1818=0,"",MONTH(F1818))</f>
        <v/>
      </c>
      <c r="I1818" s="21">
        <f>IFERROR(INDEX(Pedidos!$E$2:$E$1801,MATCH(B1818,Pedidos!$A$2:$A$1801,0)),"")</f>
        <v/>
      </c>
      <c r="J1818" s="21">
        <f>IFERROR(INDEX(Pedidos!$C$2:$C$1801,MATCH(B1818,Pedidos!$A$2:$A$1801,0)),"")</f>
        <v/>
      </c>
      <c r="K1818" s="21">
        <f>IFERROR(INDEX(Pedidos!$D$2:$D$1801,MATCH(B1818,Pedidos!$A$2:$A$1801,0)),"")</f>
        <v/>
      </c>
      <c r="L1818" s="21">
        <f>IFERROR(INDEX(Pedidos!$F$2:$F$1801,MATCH(B1818,Pedidos!$A$2:$A$1801,0)),"")</f>
        <v/>
      </c>
      <c r="M1818" s="22">
        <f>IFERROR(INDEX(Pedidos!$G$2:$G$1801,MATCH(B1818,Pedidos!$A$2:$A$1801,0)),0)</f>
        <v/>
      </c>
      <c r="N1818" s="21">
        <f>IFERROR(INDEX(Produtos!$B$2:$B$71,MATCH(C1818,Produtos!$A$2:$A$71,0)),"")</f>
        <v/>
      </c>
      <c r="O1818" s="21">
        <f>IFERROR(INDEX(Produtos!$C$2:$C$71,MATCH(C1818,Produtos!$A$2:$A$71,0)),"")</f>
        <v/>
      </c>
      <c r="P1818" s="21">
        <f>IFERROR(INDEX(Produtos!$D$2:$D$71,MATCH(C1818,Produtos!$A$2:$A$71,0)),0)</f>
        <v/>
      </c>
      <c r="Q1818" s="21">
        <f>IFERROR(INDEX(Produtos!$E$2:$E$71,MATCH(C1818,Produtos!$A$2:$A$71,0)),0)</f>
        <v/>
      </c>
      <c r="R1818" s="23">
        <f>D1818*Q1818</f>
        <v/>
      </c>
      <c r="S1818" s="23">
        <f>R1818*E1818</f>
        <v/>
      </c>
      <c r="T1818" s="23">
        <f>(R1818-S1818)*M1818</f>
        <v/>
      </c>
      <c r="U1818" s="23">
        <f>R1818-S1818-T1818</f>
        <v/>
      </c>
      <c r="V1818" s="23">
        <f>D1818*P1818</f>
        <v/>
      </c>
      <c r="W1818" s="23">
        <f>U1818-V1818</f>
        <v/>
      </c>
      <c r="X1818" s="24">
        <f>IFERROR(W1818/U1818,0)</f>
        <v/>
      </c>
    </row>
    <row r="1819">
      <c r="A1819" s="25">
        <f>ItensPedido!A1819</f>
        <v/>
      </c>
      <c r="B1819" s="25">
        <f>ItensPedido!B1819</f>
        <v/>
      </c>
      <c r="C1819" s="25">
        <f>ItensPedido!C1819</f>
        <v/>
      </c>
      <c r="D1819" s="25">
        <f>ItensPedido!D1819</f>
        <v/>
      </c>
      <c r="E1819" s="26">
        <f>ItensPedido!E1819</f>
        <v/>
      </c>
      <c r="F1819" s="25">
        <f>IFERROR(INDEX(Pedidos!$B$2:$B$1801,MATCH(B1819,Pedidos!$A$2:$A$1801,0)),0)</f>
        <v/>
      </c>
      <c r="G1819" s="25">
        <f>IF(F1819=0,"",YEAR(F1819))</f>
        <v/>
      </c>
      <c r="H1819" s="25">
        <f>IF(F1819=0,"",MONTH(F1819))</f>
        <v/>
      </c>
      <c r="I1819" s="25">
        <f>IFERROR(INDEX(Pedidos!$E$2:$E$1801,MATCH(B1819,Pedidos!$A$2:$A$1801,0)),"")</f>
        <v/>
      </c>
      <c r="J1819" s="25">
        <f>IFERROR(INDEX(Pedidos!$C$2:$C$1801,MATCH(B1819,Pedidos!$A$2:$A$1801,0)),"")</f>
        <v/>
      </c>
      <c r="K1819" s="25">
        <f>IFERROR(INDEX(Pedidos!$D$2:$D$1801,MATCH(B1819,Pedidos!$A$2:$A$1801,0)),"")</f>
        <v/>
      </c>
      <c r="L1819" s="25">
        <f>IFERROR(INDEX(Pedidos!$F$2:$F$1801,MATCH(B1819,Pedidos!$A$2:$A$1801,0)),"")</f>
        <v/>
      </c>
      <c r="M1819" s="26">
        <f>IFERROR(INDEX(Pedidos!$G$2:$G$1801,MATCH(B1819,Pedidos!$A$2:$A$1801,0)),0)</f>
        <v/>
      </c>
      <c r="N1819" s="25">
        <f>IFERROR(INDEX(Produtos!$B$2:$B$71,MATCH(C1819,Produtos!$A$2:$A$71,0)),"")</f>
        <v/>
      </c>
      <c r="O1819" s="25">
        <f>IFERROR(INDEX(Produtos!$C$2:$C$71,MATCH(C1819,Produtos!$A$2:$A$71,0)),"")</f>
        <v/>
      </c>
      <c r="P1819" s="25">
        <f>IFERROR(INDEX(Produtos!$D$2:$D$71,MATCH(C1819,Produtos!$A$2:$A$71,0)),0)</f>
        <v/>
      </c>
      <c r="Q1819" s="25">
        <f>IFERROR(INDEX(Produtos!$E$2:$E$71,MATCH(C1819,Produtos!$A$2:$A$71,0)),0)</f>
        <v/>
      </c>
      <c r="R1819" s="27">
        <f>D1819*Q1819</f>
        <v/>
      </c>
      <c r="S1819" s="27">
        <f>R1819*E1819</f>
        <v/>
      </c>
      <c r="T1819" s="27">
        <f>(R1819-S1819)*M1819</f>
        <v/>
      </c>
      <c r="U1819" s="27">
        <f>R1819-S1819-T1819</f>
        <v/>
      </c>
      <c r="V1819" s="27">
        <f>D1819*P1819</f>
        <v/>
      </c>
      <c r="W1819" s="27">
        <f>U1819-V1819</f>
        <v/>
      </c>
      <c r="X1819" s="28">
        <f>IFERROR(W1819/U1819,0)</f>
        <v/>
      </c>
    </row>
    <row r="1820">
      <c r="A1820" s="21">
        <f>ItensPedido!A1820</f>
        <v/>
      </c>
      <c r="B1820" s="21">
        <f>ItensPedido!B1820</f>
        <v/>
      </c>
      <c r="C1820" s="21">
        <f>ItensPedido!C1820</f>
        <v/>
      </c>
      <c r="D1820" s="21">
        <f>ItensPedido!D1820</f>
        <v/>
      </c>
      <c r="E1820" s="22">
        <f>ItensPedido!E1820</f>
        <v/>
      </c>
      <c r="F1820" s="21">
        <f>IFERROR(INDEX(Pedidos!$B$2:$B$1801,MATCH(B1820,Pedidos!$A$2:$A$1801,0)),0)</f>
        <v/>
      </c>
      <c r="G1820" s="21">
        <f>IF(F1820=0,"",YEAR(F1820))</f>
        <v/>
      </c>
      <c r="H1820" s="21">
        <f>IF(F1820=0,"",MONTH(F1820))</f>
        <v/>
      </c>
      <c r="I1820" s="21">
        <f>IFERROR(INDEX(Pedidos!$E$2:$E$1801,MATCH(B1820,Pedidos!$A$2:$A$1801,0)),"")</f>
        <v/>
      </c>
      <c r="J1820" s="21">
        <f>IFERROR(INDEX(Pedidos!$C$2:$C$1801,MATCH(B1820,Pedidos!$A$2:$A$1801,0)),"")</f>
        <v/>
      </c>
      <c r="K1820" s="21">
        <f>IFERROR(INDEX(Pedidos!$D$2:$D$1801,MATCH(B1820,Pedidos!$A$2:$A$1801,0)),"")</f>
        <v/>
      </c>
      <c r="L1820" s="21">
        <f>IFERROR(INDEX(Pedidos!$F$2:$F$1801,MATCH(B1820,Pedidos!$A$2:$A$1801,0)),"")</f>
        <v/>
      </c>
      <c r="M1820" s="22">
        <f>IFERROR(INDEX(Pedidos!$G$2:$G$1801,MATCH(B1820,Pedidos!$A$2:$A$1801,0)),0)</f>
        <v/>
      </c>
      <c r="N1820" s="21">
        <f>IFERROR(INDEX(Produtos!$B$2:$B$71,MATCH(C1820,Produtos!$A$2:$A$71,0)),"")</f>
        <v/>
      </c>
      <c r="O1820" s="21">
        <f>IFERROR(INDEX(Produtos!$C$2:$C$71,MATCH(C1820,Produtos!$A$2:$A$71,0)),"")</f>
        <v/>
      </c>
      <c r="P1820" s="21">
        <f>IFERROR(INDEX(Produtos!$D$2:$D$71,MATCH(C1820,Produtos!$A$2:$A$71,0)),0)</f>
        <v/>
      </c>
      <c r="Q1820" s="21">
        <f>IFERROR(INDEX(Produtos!$E$2:$E$71,MATCH(C1820,Produtos!$A$2:$A$71,0)),0)</f>
        <v/>
      </c>
      <c r="R1820" s="23">
        <f>D1820*Q1820</f>
        <v/>
      </c>
      <c r="S1820" s="23">
        <f>R1820*E1820</f>
        <v/>
      </c>
      <c r="T1820" s="23">
        <f>(R1820-S1820)*M1820</f>
        <v/>
      </c>
      <c r="U1820" s="23">
        <f>R1820-S1820-T1820</f>
        <v/>
      </c>
      <c r="V1820" s="23">
        <f>D1820*P1820</f>
        <v/>
      </c>
      <c r="W1820" s="23">
        <f>U1820-V1820</f>
        <v/>
      </c>
      <c r="X1820" s="24">
        <f>IFERROR(W1820/U1820,0)</f>
        <v/>
      </c>
    </row>
    <row r="1821">
      <c r="A1821" s="25">
        <f>ItensPedido!A1821</f>
        <v/>
      </c>
      <c r="B1821" s="25">
        <f>ItensPedido!B1821</f>
        <v/>
      </c>
      <c r="C1821" s="25">
        <f>ItensPedido!C1821</f>
        <v/>
      </c>
      <c r="D1821" s="25">
        <f>ItensPedido!D1821</f>
        <v/>
      </c>
      <c r="E1821" s="26">
        <f>ItensPedido!E1821</f>
        <v/>
      </c>
      <c r="F1821" s="25">
        <f>IFERROR(INDEX(Pedidos!$B$2:$B$1801,MATCH(B1821,Pedidos!$A$2:$A$1801,0)),0)</f>
        <v/>
      </c>
      <c r="G1821" s="25">
        <f>IF(F1821=0,"",YEAR(F1821))</f>
        <v/>
      </c>
      <c r="H1821" s="25">
        <f>IF(F1821=0,"",MONTH(F1821))</f>
        <v/>
      </c>
      <c r="I1821" s="25">
        <f>IFERROR(INDEX(Pedidos!$E$2:$E$1801,MATCH(B1821,Pedidos!$A$2:$A$1801,0)),"")</f>
        <v/>
      </c>
      <c r="J1821" s="25">
        <f>IFERROR(INDEX(Pedidos!$C$2:$C$1801,MATCH(B1821,Pedidos!$A$2:$A$1801,0)),"")</f>
        <v/>
      </c>
      <c r="K1821" s="25">
        <f>IFERROR(INDEX(Pedidos!$D$2:$D$1801,MATCH(B1821,Pedidos!$A$2:$A$1801,0)),"")</f>
        <v/>
      </c>
      <c r="L1821" s="25">
        <f>IFERROR(INDEX(Pedidos!$F$2:$F$1801,MATCH(B1821,Pedidos!$A$2:$A$1801,0)),"")</f>
        <v/>
      </c>
      <c r="M1821" s="26">
        <f>IFERROR(INDEX(Pedidos!$G$2:$G$1801,MATCH(B1821,Pedidos!$A$2:$A$1801,0)),0)</f>
        <v/>
      </c>
      <c r="N1821" s="25">
        <f>IFERROR(INDEX(Produtos!$B$2:$B$71,MATCH(C1821,Produtos!$A$2:$A$71,0)),"")</f>
        <v/>
      </c>
      <c r="O1821" s="25">
        <f>IFERROR(INDEX(Produtos!$C$2:$C$71,MATCH(C1821,Produtos!$A$2:$A$71,0)),"")</f>
        <v/>
      </c>
      <c r="P1821" s="25">
        <f>IFERROR(INDEX(Produtos!$D$2:$D$71,MATCH(C1821,Produtos!$A$2:$A$71,0)),0)</f>
        <v/>
      </c>
      <c r="Q1821" s="25">
        <f>IFERROR(INDEX(Produtos!$E$2:$E$71,MATCH(C1821,Produtos!$A$2:$A$71,0)),0)</f>
        <v/>
      </c>
      <c r="R1821" s="27">
        <f>D1821*Q1821</f>
        <v/>
      </c>
      <c r="S1821" s="27">
        <f>R1821*E1821</f>
        <v/>
      </c>
      <c r="T1821" s="27">
        <f>(R1821-S1821)*M1821</f>
        <v/>
      </c>
      <c r="U1821" s="27">
        <f>R1821-S1821-T1821</f>
        <v/>
      </c>
      <c r="V1821" s="27">
        <f>D1821*P1821</f>
        <v/>
      </c>
      <c r="W1821" s="27">
        <f>U1821-V1821</f>
        <v/>
      </c>
      <c r="X1821" s="28">
        <f>IFERROR(W1821/U1821,0)</f>
        <v/>
      </c>
    </row>
    <row r="1822">
      <c r="A1822" s="21">
        <f>ItensPedido!A1822</f>
        <v/>
      </c>
      <c r="B1822" s="21">
        <f>ItensPedido!B1822</f>
        <v/>
      </c>
      <c r="C1822" s="21">
        <f>ItensPedido!C1822</f>
        <v/>
      </c>
      <c r="D1822" s="21">
        <f>ItensPedido!D1822</f>
        <v/>
      </c>
      <c r="E1822" s="22">
        <f>ItensPedido!E1822</f>
        <v/>
      </c>
      <c r="F1822" s="21">
        <f>IFERROR(INDEX(Pedidos!$B$2:$B$1801,MATCH(B1822,Pedidos!$A$2:$A$1801,0)),0)</f>
        <v/>
      </c>
      <c r="G1822" s="21">
        <f>IF(F1822=0,"",YEAR(F1822))</f>
        <v/>
      </c>
      <c r="H1822" s="21">
        <f>IF(F1822=0,"",MONTH(F1822))</f>
        <v/>
      </c>
      <c r="I1822" s="21">
        <f>IFERROR(INDEX(Pedidos!$E$2:$E$1801,MATCH(B1822,Pedidos!$A$2:$A$1801,0)),"")</f>
        <v/>
      </c>
      <c r="J1822" s="21">
        <f>IFERROR(INDEX(Pedidos!$C$2:$C$1801,MATCH(B1822,Pedidos!$A$2:$A$1801,0)),"")</f>
        <v/>
      </c>
      <c r="K1822" s="21">
        <f>IFERROR(INDEX(Pedidos!$D$2:$D$1801,MATCH(B1822,Pedidos!$A$2:$A$1801,0)),"")</f>
        <v/>
      </c>
      <c r="L1822" s="21">
        <f>IFERROR(INDEX(Pedidos!$F$2:$F$1801,MATCH(B1822,Pedidos!$A$2:$A$1801,0)),"")</f>
        <v/>
      </c>
      <c r="M1822" s="22">
        <f>IFERROR(INDEX(Pedidos!$G$2:$G$1801,MATCH(B1822,Pedidos!$A$2:$A$1801,0)),0)</f>
        <v/>
      </c>
      <c r="N1822" s="21">
        <f>IFERROR(INDEX(Produtos!$B$2:$B$71,MATCH(C1822,Produtos!$A$2:$A$71,0)),"")</f>
        <v/>
      </c>
      <c r="O1822" s="21">
        <f>IFERROR(INDEX(Produtos!$C$2:$C$71,MATCH(C1822,Produtos!$A$2:$A$71,0)),"")</f>
        <v/>
      </c>
      <c r="P1822" s="21">
        <f>IFERROR(INDEX(Produtos!$D$2:$D$71,MATCH(C1822,Produtos!$A$2:$A$71,0)),0)</f>
        <v/>
      </c>
      <c r="Q1822" s="21">
        <f>IFERROR(INDEX(Produtos!$E$2:$E$71,MATCH(C1822,Produtos!$A$2:$A$71,0)),0)</f>
        <v/>
      </c>
      <c r="R1822" s="23">
        <f>D1822*Q1822</f>
        <v/>
      </c>
      <c r="S1822" s="23">
        <f>R1822*E1822</f>
        <v/>
      </c>
      <c r="T1822" s="23">
        <f>(R1822-S1822)*M1822</f>
        <v/>
      </c>
      <c r="U1822" s="23">
        <f>R1822-S1822-T1822</f>
        <v/>
      </c>
      <c r="V1822" s="23">
        <f>D1822*P1822</f>
        <v/>
      </c>
      <c r="W1822" s="23">
        <f>U1822-V1822</f>
        <v/>
      </c>
      <c r="X1822" s="24">
        <f>IFERROR(W1822/U1822,0)</f>
        <v/>
      </c>
    </row>
    <row r="1823">
      <c r="A1823" s="25">
        <f>ItensPedido!A1823</f>
        <v/>
      </c>
      <c r="B1823" s="25">
        <f>ItensPedido!B1823</f>
        <v/>
      </c>
      <c r="C1823" s="25">
        <f>ItensPedido!C1823</f>
        <v/>
      </c>
      <c r="D1823" s="25">
        <f>ItensPedido!D1823</f>
        <v/>
      </c>
      <c r="E1823" s="26">
        <f>ItensPedido!E1823</f>
        <v/>
      </c>
      <c r="F1823" s="25">
        <f>IFERROR(INDEX(Pedidos!$B$2:$B$1801,MATCH(B1823,Pedidos!$A$2:$A$1801,0)),0)</f>
        <v/>
      </c>
      <c r="G1823" s="25">
        <f>IF(F1823=0,"",YEAR(F1823))</f>
        <v/>
      </c>
      <c r="H1823" s="25">
        <f>IF(F1823=0,"",MONTH(F1823))</f>
        <v/>
      </c>
      <c r="I1823" s="25">
        <f>IFERROR(INDEX(Pedidos!$E$2:$E$1801,MATCH(B1823,Pedidos!$A$2:$A$1801,0)),"")</f>
        <v/>
      </c>
      <c r="J1823" s="25">
        <f>IFERROR(INDEX(Pedidos!$C$2:$C$1801,MATCH(B1823,Pedidos!$A$2:$A$1801,0)),"")</f>
        <v/>
      </c>
      <c r="K1823" s="25">
        <f>IFERROR(INDEX(Pedidos!$D$2:$D$1801,MATCH(B1823,Pedidos!$A$2:$A$1801,0)),"")</f>
        <v/>
      </c>
      <c r="L1823" s="25">
        <f>IFERROR(INDEX(Pedidos!$F$2:$F$1801,MATCH(B1823,Pedidos!$A$2:$A$1801,0)),"")</f>
        <v/>
      </c>
      <c r="M1823" s="26">
        <f>IFERROR(INDEX(Pedidos!$G$2:$G$1801,MATCH(B1823,Pedidos!$A$2:$A$1801,0)),0)</f>
        <v/>
      </c>
      <c r="N1823" s="25">
        <f>IFERROR(INDEX(Produtos!$B$2:$B$71,MATCH(C1823,Produtos!$A$2:$A$71,0)),"")</f>
        <v/>
      </c>
      <c r="O1823" s="25">
        <f>IFERROR(INDEX(Produtos!$C$2:$C$71,MATCH(C1823,Produtos!$A$2:$A$71,0)),"")</f>
        <v/>
      </c>
      <c r="P1823" s="25">
        <f>IFERROR(INDEX(Produtos!$D$2:$D$71,MATCH(C1823,Produtos!$A$2:$A$71,0)),0)</f>
        <v/>
      </c>
      <c r="Q1823" s="25">
        <f>IFERROR(INDEX(Produtos!$E$2:$E$71,MATCH(C1823,Produtos!$A$2:$A$71,0)),0)</f>
        <v/>
      </c>
      <c r="R1823" s="27">
        <f>D1823*Q1823</f>
        <v/>
      </c>
      <c r="S1823" s="27">
        <f>R1823*E1823</f>
        <v/>
      </c>
      <c r="T1823" s="27">
        <f>(R1823-S1823)*M1823</f>
        <v/>
      </c>
      <c r="U1823" s="27">
        <f>R1823-S1823-T1823</f>
        <v/>
      </c>
      <c r="V1823" s="27">
        <f>D1823*P1823</f>
        <v/>
      </c>
      <c r="W1823" s="27">
        <f>U1823-V1823</f>
        <v/>
      </c>
      <c r="X1823" s="28">
        <f>IFERROR(W1823/U1823,0)</f>
        <v/>
      </c>
    </row>
    <row r="1824">
      <c r="A1824" s="21">
        <f>ItensPedido!A1824</f>
        <v/>
      </c>
      <c r="B1824" s="21">
        <f>ItensPedido!B1824</f>
        <v/>
      </c>
      <c r="C1824" s="21">
        <f>ItensPedido!C1824</f>
        <v/>
      </c>
      <c r="D1824" s="21">
        <f>ItensPedido!D1824</f>
        <v/>
      </c>
      <c r="E1824" s="22">
        <f>ItensPedido!E1824</f>
        <v/>
      </c>
      <c r="F1824" s="21">
        <f>IFERROR(INDEX(Pedidos!$B$2:$B$1801,MATCH(B1824,Pedidos!$A$2:$A$1801,0)),0)</f>
        <v/>
      </c>
      <c r="G1824" s="21">
        <f>IF(F1824=0,"",YEAR(F1824))</f>
        <v/>
      </c>
      <c r="H1824" s="21">
        <f>IF(F1824=0,"",MONTH(F1824))</f>
        <v/>
      </c>
      <c r="I1824" s="21">
        <f>IFERROR(INDEX(Pedidos!$E$2:$E$1801,MATCH(B1824,Pedidos!$A$2:$A$1801,0)),"")</f>
        <v/>
      </c>
      <c r="J1824" s="21">
        <f>IFERROR(INDEX(Pedidos!$C$2:$C$1801,MATCH(B1824,Pedidos!$A$2:$A$1801,0)),"")</f>
        <v/>
      </c>
      <c r="K1824" s="21">
        <f>IFERROR(INDEX(Pedidos!$D$2:$D$1801,MATCH(B1824,Pedidos!$A$2:$A$1801,0)),"")</f>
        <v/>
      </c>
      <c r="L1824" s="21">
        <f>IFERROR(INDEX(Pedidos!$F$2:$F$1801,MATCH(B1824,Pedidos!$A$2:$A$1801,0)),"")</f>
        <v/>
      </c>
      <c r="M1824" s="22">
        <f>IFERROR(INDEX(Pedidos!$G$2:$G$1801,MATCH(B1824,Pedidos!$A$2:$A$1801,0)),0)</f>
        <v/>
      </c>
      <c r="N1824" s="21">
        <f>IFERROR(INDEX(Produtos!$B$2:$B$71,MATCH(C1824,Produtos!$A$2:$A$71,0)),"")</f>
        <v/>
      </c>
      <c r="O1824" s="21">
        <f>IFERROR(INDEX(Produtos!$C$2:$C$71,MATCH(C1824,Produtos!$A$2:$A$71,0)),"")</f>
        <v/>
      </c>
      <c r="P1824" s="21">
        <f>IFERROR(INDEX(Produtos!$D$2:$D$71,MATCH(C1824,Produtos!$A$2:$A$71,0)),0)</f>
        <v/>
      </c>
      <c r="Q1824" s="21">
        <f>IFERROR(INDEX(Produtos!$E$2:$E$71,MATCH(C1824,Produtos!$A$2:$A$71,0)),0)</f>
        <v/>
      </c>
      <c r="R1824" s="23">
        <f>D1824*Q1824</f>
        <v/>
      </c>
      <c r="S1824" s="23">
        <f>R1824*E1824</f>
        <v/>
      </c>
      <c r="T1824" s="23">
        <f>(R1824-S1824)*M1824</f>
        <v/>
      </c>
      <c r="U1824" s="23">
        <f>R1824-S1824-T1824</f>
        <v/>
      </c>
      <c r="V1824" s="23">
        <f>D1824*P1824</f>
        <v/>
      </c>
      <c r="W1824" s="23">
        <f>U1824-V1824</f>
        <v/>
      </c>
      <c r="X1824" s="24">
        <f>IFERROR(W1824/U1824,0)</f>
        <v/>
      </c>
    </row>
    <row r="1825">
      <c r="A1825" s="25">
        <f>ItensPedido!A1825</f>
        <v/>
      </c>
      <c r="B1825" s="25">
        <f>ItensPedido!B1825</f>
        <v/>
      </c>
      <c r="C1825" s="25">
        <f>ItensPedido!C1825</f>
        <v/>
      </c>
      <c r="D1825" s="25">
        <f>ItensPedido!D1825</f>
        <v/>
      </c>
      <c r="E1825" s="26">
        <f>ItensPedido!E1825</f>
        <v/>
      </c>
      <c r="F1825" s="25">
        <f>IFERROR(INDEX(Pedidos!$B$2:$B$1801,MATCH(B1825,Pedidos!$A$2:$A$1801,0)),0)</f>
        <v/>
      </c>
      <c r="G1825" s="25">
        <f>IF(F1825=0,"",YEAR(F1825))</f>
        <v/>
      </c>
      <c r="H1825" s="25">
        <f>IF(F1825=0,"",MONTH(F1825))</f>
        <v/>
      </c>
      <c r="I1825" s="25">
        <f>IFERROR(INDEX(Pedidos!$E$2:$E$1801,MATCH(B1825,Pedidos!$A$2:$A$1801,0)),"")</f>
        <v/>
      </c>
      <c r="J1825" s="25">
        <f>IFERROR(INDEX(Pedidos!$C$2:$C$1801,MATCH(B1825,Pedidos!$A$2:$A$1801,0)),"")</f>
        <v/>
      </c>
      <c r="K1825" s="25">
        <f>IFERROR(INDEX(Pedidos!$D$2:$D$1801,MATCH(B1825,Pedidos!$A$2:$A$1801,0)),"")</f>
        <v/>
      </c>
      <c r="L1825" s="25">
        <f>IFERROR(INDEX(Pedidos!$F$2:$F$1801,MATCH(B1825,Pedidos!$A$2:$A$1801,0)),"")</f>
        <v/>
      </c>
      <c r="M1825" s="26">
        <f>IFERROR(INDEX(Pedidos!$G$2:$G$1801,MATCH(B1825,Pedidos!$A$2:$A$1801,0)),0)</f>
        <v/>
      </c>
      <c r="N1825" s="25">
        <f>IFERROR(INDEX(Produtos!$B$2:$B$71,MATCH(C1825,Produtos!$A$2:$A$71,0)),"")</f>
        <v/>
      </c>
      <c r="O1825" s="25">
        <f>IFERROR(INDEX(Produtos!$C$2:$C$71,MATCH(C1825,Produtos!$A$2:$A$71,0)),"")</f>
        <v/>
      </c>
      <c r="P1825" s="25">
        <f>IFERROR(INDEX(Produtos!$D$2:$D$71,MATCH(C1825,Produtos!$A$2:$A$71,0)),0)</f>
        <v/>
      </c>
      <c r="Q1825" s="25">
        <f>IFERROR(INDEX(Produtos!$E$2:$E$71,MATCH(C1825,Produtos!$A$2:$A$71,0)),0)</f>
        <v/>
      </c>
      <c r="R1825" s="27">
        <f>D1825*Q1825</f>
        <v/>
      </c>
      <c r="S1825" s="27">
        <f>R1825*E1825</f>
        <v/>
      </c>
      <c r="T1825" s="27">
        <f>(R1825-S1825)*M1825</f>
        <v/>
      </c>
      <c r="U1825" s="27">
        <f>R1825-S1825-T1825</f>
        <v/>
      </c>
      <c r="V1825" s="27">
        <f>D1825*P1825</f>
        <v/>
      </c>
      <c r="W1825" s="27">
        <f>U1825-V1825</f>
        <v/>
      </c>
      <c r="X1825" s="28">
        <f>IFERROR(W1825/U1825,0)</f>
        <v/>
      </c>
    </row>
    <row r="1826">
      <c r="A1826" s="21">
        <f>ItensPedido!A1826</f>
        <v/>
      </c>
      <c r="B1826" s="21">
        <f>ItensPedido!B1826</f>
        <v/>
      </c>
      <c r="C1826" s="21">
        <f>ItensPedido!C1826</f>
        <v/>
      </c>
      <c r="D1826" s="21">
        <f>ItensPedido!D1826</f>
        <v/>
      </c>
      <c r="E1826" s="22">
        <f>ItensPedido!E1826</f>
        <v/>
      </c>
      <c r="F1826" s="21">
        <f>IFERROR(INDEX(Pedidos!$B$2:$B$1801,MATCH(B1826,Pedidos!$A$2:$A$1801,0)),0)</f>
        <v/>
      </c>
      <c r="G1826" s="21">
        <f>IF(F1826=0,"",YEAR(F1826))</f>
        <v/>
      </c>
      <c r="H1826" s="21">
        <f>IF(F1826=0,"",MONTH(F1826))</f>
        <v/>
      </c>
      <c r="I1826" s="21">
        <f>IFERROR(INDEX(Pedidos!$E$2:$E$1801,MATCH(B1826,Pedidos!$A$2:$A$1801,0)),"")</f>
        <v/>
      </c>
      <c r="J1826" s="21">
        <f>IFERROR(INDEX(Pedidos!$C$2:$C$1801,MATCH(B1826,Pedidos!$A$2:$A$1801,0)),"")</f>
        <v/>
      </c>
      <c r="K1826" s="21">
        <f>IFERROR(INDEX(Pedidos!$D$2:$D$1801,MATCH(B1826,Pedidos!$A$2:$A$1801,0)),"")</f>
        <v/>
      </c>
      <c r="L1826" s="21">
        <f>IFERROR(INDEX(Pedidos!$F$2:$F$1801,MATCH(B1826,Pedidos!$A$2:$A$1801,0)),"")</f>
        <v/>
      </c>
      <c r="M1826" s="22">
        <f>IFERROR(INDEX(Pedidos!$G$2:$G$1801,MATCH(B1826,Pedidos!$A$2:$A$1801,0)),0)</f>
        <v/>
      </c>
      <c r="N1826" s="21">
        <f>IFERROR(INDEX(Produtos!$B$2:$B$71,MATCH(C1826,Produtos!$A$2:$A$71,0)),"")</f>
        <v/>
      </c>
      <c r="O1826" s="21">
        <f>IFERROR(INDEX(Produtos!$C$2:$C$71,MATCH(C1826,Produtos!$A$2:$A$71,0)),"")</f>
        <v/>
      </c>
      <c r="P1826" s="21">
        <f>IFERROR(INDEX(Produtos!$D$2:$D$71,MATCH(C1826,Produtos!$A$2:$A$71,0)),0)</f>
        <v/>
      </c>
      <c r="Q1826" s="21">
        <f>IFERROR(INDEX(Produtos!$E$2:$E$71,MATCH(C1826,Produtos!$A$2:$A$71,0)),0)</f>
        <v/>
      </c>
      <c r="R1826" s="23">
        <f>D1826*Q1826</f>
        <v/>
      </c>
      <c r="S1826" s="23">
        <f>R1826*E1826</f>
        <v/>
      </c>
      <c r="T1826" s="23">
        <f>(R1826-S1826)*M1826</f>
        <v/>
      </c>
      <c r="U1826" s="23">
        <f>R1826-S1826-T1826</f>
        <v/>
      </c>
      <c r="V1826" s="23">
        <f>D1826*P1826</f>
        <v/>
      </c>
      <c r="W1826" s="23">
        <f>U1826-V1826</f>
        <v/>
      </c>
      <c r="X1826" s="24">
        <f>IFERROR(W1826/U1826,0)</f>
        <v/>
      </c>
    </row>
    <row r="1827">
      <c r="A1827" s="25">
        <f>ItensPedido!A1827</f>
        <v/>
      </c>
      <c r="B1827" s="25">
        <f>ItensPedido!B1827</f>
        <v/>
      </c>
      <c r="C1827" s="25">
        <f>ItensPedido!C1827</f>
        <v/>
      </c>
      <c r="D1827" s="25">
        <f>ItensPedido!D1827</f>
        <v/>
      </c>
      <c r="E1827" s="26">
        <f>ItensPedido!E1827</f>
        <v/>
      </c>
      <c r="F1827" s="25">
        <f>IFERROR(INDEX(Pedidos!$B$2:$B$1801,MATCH(B1827,Pedidos!$A$2:$A$1801,0)),0)</f>
        <v/>
      </c>
      <c r="G1827" s="25">
        <f>IF(F1827=0,"",YEAR(F1827))</f>
        <v/>
      </c>
      <c r="H1827" s="25">
        <f>IF(F1827=0,"",MONTH(F1827))</f>
        <v/>
      </c>
      <c r="I1827" s="25">
        <f>IFERROR(INDEX(Pedidos!$E$2:$E$1801,MATCH(B1827,Pedidos!$A$2:$A$1801,0)),"")</f>
        <v/>
      </c>
      <c r="J1827" s="25">
        <f>IFERROR(INDEX(Pedidos!$C$2:$C$1801,MATCH(B1827,Pedidos!$A$2:$A$1801,0)),"")</f>
        <v/>
      </c>
      <c r="K1827" s="25">
        <f>IFERROR(INDEX(Pedidos!$D$2:$D$1801,MATCH(B1827,Pedidos!$A$2:$A$1801,0)),"")</f>
        <v/>
      </c>
      <c r="L1827" s="25">
        <f>IFERROR(INDEX(Pedidos!$F$2:$F$1801,MATCH(B1827,Pedidos!$A$2:$A$1801,0)),"")</f>
        <v/>
      </c>
      <c r="M1827" s="26">
        <f>IFERROR(INDEX(Pedidos!$G$2:$G$1801,MATCH(B1827,Pedidos!$A$2:$A$1801,0)),0)</f>
        <v/>
      </c>
      <c r="N1827" s="25">
        <f>IFERROR(INDEX(Produtos!$B$2:$B$71,MATCH(C1827,Produtos!$A$2:$A$71,0)),"")</f>
        <v/>
      </c>
      <c r="O1827" s="25">
        <f>IFERROR(INDEX(Produtos!$C$2:$C$71,MATCH(C1827,Produtos!$A$2:$A$71,0)),"")</f>
        <v/>
      </c>
      <c r="P1827" s="25">
        <f>IFERROR(INDEX(Produtos!$D$2:$D$71,MATCH(C1827,Produtos!$A$2:$A$71,0)),0)</f>
        <v/>
      </c>
      <c r="Q1827" s="25">
        <f>IFERROR(INDEX(Produtos!$E$2:$E$71,MATCH(C1827,Produtos!$A$2:$A$71,0)),0)</f>
        <v/>
      </c>
      <c r="R1827" s="27">
        <f>D1827*Q1827</f>
        <v/>
      </c>
      <c r="S1827" s="27">
        <f>R1827*E1827</f>
        <v/>
      </c>
      <c r="T1827" s="27">
        <f>(R1827-S1827)*M1827</f>
        <v/>
      </c>
      <c r="U1827" s="27">
        <f>R1827-S1827-T1827</f>
        <v/>
      </c>
      <c r="V1827" s="27">
        <f>D1827*P1827</f>
        <v/>
      </c>
      <c r="W1827" s="27">
        <f>U1827-V1827</f>
        <v/>
      </c>
      <c r="X1827" s="28">
        <f>IFERROR(W1827/U1827,0)</f>
        <v/>
      </c>
    </row>
    <row r="1828">
      <c r="A1828" s="21">
        <f>ItensPedido!A1828</f>
        <v/>
      </c>
      <c r="B1828" s="21">
        <f>ItensPedido!B1828</f>
        <v/>
      </c>
      <c r="C1828" s="21">
        <f>ItensPedido!C1828</f>
        <v/>
      </c>
      <c r="D1828" s="21">
        <f>ItensPedido!D1828</f>
        <v/>
      </c>
      <c r="E1828" s="22">
        <f>ItensPedido!E1828</f>
        <v/>
      </c>
      <c r="F1828" s="21">
        <f>IFERROR(INDEX(Pedidos!$B$2:$B$1801,MATCH(B1828,Pedidos!$A$2:$A$1801,0)),0)</f>
        <v/>
      </c>
      <c r="G1828" s="21">
        <f>IF(F1828=0,"",YEAR(F1828))</f>
        <v/>
      </c>
      <c r="H1828" s="21">
        <f>IF(F1828=0,"",MONTH(F1828))</f>
        <v/>
      </c>
      <c r="I1828" s="21">
        <f>IFERROR(INDEX(Pedidos!$E$2:$E$1801,MATCH(B1828,Pedidos!$A$2:$A$1801,0)),"")</f>
        <v/>
      </c>
      <c r="J1828" s="21">
        <f>IFERROR(INDEX(Pedidos!$C$2:$C$1801,MATCH(B1828,Pedidos!$A$2:$A$1801,0)),"")</f>
        <v/>
      </c>
      <c r="K1828" s="21">
        <f>IFERROR(INDEX(Pedidos!$D$2:$D$1801,MATCH(B1828,Pedidos!$A$2:$A$1801,0)),"")</f>
        <v/>
      </c>
      <c r="L1828" s="21">
        <f>IFERROR(INDEX(Pedidos!$F$2:$F$1801,MATCH(B1828,Pedidos!$A$2:$A$1801,0)),"")</f>
        <v/>
      </c>
      <c r="M1828" s="22">
        <f>IFERROR(INDEX(Pedidos!$G$2:$G$1801,MATCH(B1828,Pedidos!$A$2:$A$1801,0)),0)</f>
        <v/>
      </c>
      <c r="N1828" s="21">
        <f>IFERROR(INDEX(Produtos!$B$2:$B$71,MATCH(C1828,Produtos!$A$2:$A$71,0)),"")</f>
        <v/>
      </c>
      <c r="O1828" s="21">
        <f>IFERROR(INDEX(Produtos!$C$2:$C$71,MATCH(C1828,Produtos!$A$2:$A$71,0)),"")</f>
        <v/>
      </c>
      <c r="P1828" s="21">
        <f>IFERROR(INDEX(Produtos!$D$2:$D$71,MATCH(C1828,Produtos!$A$2:$A$71,0)),0)</f>
        <v/>
      </c>
      <c r="Q1828" s="21">
        <f>IFERROR(INDEX(Produtos!$E$2:$E$71,MATCH(C1828,Produtos!$A$2:$A$71,0)),0)</f>
        <v/>
      </c>
      <c r="R1828" s="23">
        <f>D1828*Q1828</f>
        <v/>
      </c>
      <c r="S1828" s="23">
        <f>R1828*E1828</f>
        <v/>
      </c>
      <c r="T1828" s="23">
        <f>(R1828-S1828)*M1828</f>
        <v/>
      </c>
      <c r="U1828" s="23">
        <f>R1828-S1828-T1828</f>
        <v/>
      </c>
      <c r="V1828" s="23">
        <f>D1828*P1828</f>
        <v/>
      </c>
      <c r="W1828" s="23">
        <f>U1828-V1828</f>
        <v/>
      </c>
      <c r="X1828" s="24">
        <f>IFERROR(W1828/U1828,0)</f>
        <v/>
      </c>
    </row>
    <row r="1829">
      <c r="A1829" s="25">
        <f>ItensPedido!A1829</f>
        <v/>
      </c>
      <c r="B1829" s="25">
        <f>ItensPedido!B1829</f>
        <v/>
      </c>
      <c r="C1829" s="25">
        <f>ItensPedido!C1829</f>
        <v/>
      </c>
      <c r="D1829" s="25">
        <f>ItensPedido!D1829</f>
        <v/>
      </c>
      <c r="E1829" s="26">
        <f>ItensPedido!E1829</f>
        <v/>
      </c>
      <c r="F1829" s="25">
        <f>IFERROR(INDEX(Pedidos!$B$2:$B$1801,MATCH(B1829,Pedidos!$A$2:$A$1801,0)),0)</f>
        <v/>
      </c>
      <c r="G1829" s="25">
        <f>IF(F1829=0,"",YEAR(F1829))</f>
        <v/>
      </c>
      <c r="H1829" s="25">
        <f>IF(F1829=0,"",MONTH(F1829))</f>
        <v/>
      </c>
      <c r="I1829" s="25">
        <f>IFERROR(INDEX(Pedidos!$E$2:$E$1801,MATCH(B1829,Pedidos!$A$2:$A$1801,0)),"")</f>
        <v/>
      </c>
      <c r="J1829" s="25">
        <f>IFERROR(INDEX(Pedidos!$C$2:$C$1801,MATCH(B1829,Pedidos!$A$2:$A$1801,0)),"")</f>
        <v/>
      </c>
      <c r="K1829" s="25">
        <f>IFERROR(INDEX(Pedidos!$D$2:$D$1801,MATCH(B1829,Pedidos!$A$2:$A$1801,0)),"")</f>
        <v/>
      </c>
      <c r="L1829" s="25">
        <f>IFERROR(INDEX(Pedidos!$F$2:$F$1801,MATCH(B1829,Pedidos!$A$2:$A$1801,0)),"")</f>
        <v/>
      </c>
      <c r="M1829" s="26">
        <f>IFERROR(INDEX(Pedidos!$G$2:$G$1801,MATCH(B1829,Pedidos!$A$2:$A$1801,0)),0)</f>
        <v/>
      </c>
      <c r="N1829" s="25">
        <f>IFERROR(INDEX(Produtos!$B$2:$B$71,MATCH(C1829,Produtos!$A$2:$A$71,0)),"")</f>
        <v/>
      </c>
      <c r="O1829" s="25">
        <f>IFERROR(INDEX(Produtos!$C$2:$C$71,MATCH(C1829,Produtos!$A$2:$A$71,0)),"")</f>
        <v/>
      </c>
      <c r="P1829" s="25">
        <f>IFERROR(INDEX(Produtos!$D$2:$D$71,MATCH(C1829,Produtos!$A$2:$A$71,0)),0)</f>
        <v/>
      </c>
      <c r="Q1829" s="25">
        <f>IFERROR(INDEX(Produtos!$E$2:$E$71,MATCH(C1829,Produtos!$A$2:$A$71,0)),0)</f>
        <v/>
      </c>
      <c r="R1829" s="27">
        <f>D1829*Q1829</f>
        <v/>
      </c>
      <c r="S1829" s="27">
        <f>R1829*E1829</f>
        <v/>
      </c>
      <c r="T1829" s="27">
        <f>(R1829-S1829)*M1829</f>
        <v/>
      </c>
      <c r="U1829" s="27">
        <f>R1829-S1829-T1829</f>
        <v/>
      </c>
      <c r="V1829" s="27">
        <f>D1829*P1829</f>
        <v/>
      </c>
      <c r="W1829" s="27">
        <f>U1829-V1829</f>
        <v/>
      </c>
      <c r="X1829" s="28">
        <f>IFERROR(W1829/U1829,0)</f>
        <v/>
      </c>
    </row>
    <row r="1830">
      <c r="A1830" s="21">
        <f>ItensPedido!A1830</f>
        <v/>
      </c>
      <c r="B1830" s="21">
        <f>ItensPedido!B1830</f>
        <v/>
      </c>
      <c r="C1830" s="21">
        <f>ItensPedido!C1830</f>
        <v/>
      </c>
      <c r="D1830" s="21">
        <f>ItensPedido!D1830</f>
        <v/>
      </c>
      <c r="E1830" s="22">
        <f>ItensPedido!E1830</f>
        <v/>
      </c>
      <c r="F1830" s="21">
        <f>IFERROR(INDEX(Pedidos!$B$2:$B$1801,MATCH(B1830,Pedidos!$A$2:$A$1801,0)),0)</f>
        <v/>
      </c>
      <c r="G1830" s="21">
        <f>IF(F1830=0,"",YEAR(F1830))</f>
        <v/>
      </c>
      <c r="H1830" s="21">
        <f>IF(F1830=0,"",MONTH(F1830))</f>
        <v/>
      </c>
      <c r="I1830" s="21">
        <f>IFERROR(INDEX(Pedidos!$E$2:$E$1801,MATCH(B1830,Pedidos!$A$2:$A$1801,0)),"")</f>
        <v/>
      </c>
      <c r="J1830" s="21">
        <f>IFERROR(INDEX(Pedidos!$C$2:$C$1801,MATCH(B1830,Pedidos!$A$2:$A$1801,0)),"")</f>
        <v/>
      </c>
      <c r="K1830" s="21">
        <f>IFERROR(INDEX(Pedidos!$D$2:$D$1801,MATCH(B1830,Pedidos!$A$2:$A$1801,0)),"")</f>
        <v/>
      </c>
      <c r="L1830" s="21">
        <f>IFERROR(INDEX(Pedidos!$F$2:$F$1801,MATCH(B1830,Pedidos!$A$2:$A$1801,0)),"")</f>
        <v/>
      </c>
      <c r="M1830" s="22">
        <f>IFERROR(INDEX(Pedidos!$G$2:$G$1801,MATCH(B1830,Pedidos!$A$2:$A$1801,0)),0)</f>
        <v/>
      </c>
      <c r="N1830" s="21">
        <f>IFERROR(INDEX(Produtos!$B$2:$B$71,MATCH(C1830,Produtos!$A$2:$A$71,0)),"")</f>
        <v/>
      </c>
      <c r="O1830" s="21">
        <f>IFERROR(INDEX(Produtos!$C$2:$C$71,MATCH(C1830,Produtos!$A$2:$A$71,0)),"")</f>
        <v/>
      </c>
      <c r="P1830" s="21">
        <f>IFERROR(INDEX(Produtos!$D$2:$D$71,MATCH(C1830,Produtos!$A$2:$A$71,0)),0)</f>
        <v/>
      </c>
      <c r="Q1830" s="21">
        <f>IFERROR(INDEX(Produtos!$E$2:$E$71,MATCH(C1830,Produtos!$A$2:$A$71,0)),0)</f>
        <v/>
      </c>
      <c r="R1830" s="23">
        <f>D1830*Q1830</f>
        <v/>
      </c>
      <c r="S1830" s="23">
        <f>R1830*E1830</f>
        <v/>
      </c>
      <c r="T1830" s="23">
        <f>(R1830-S1830)*M1830</f>
        <v/>
      </c>
      <c r="U1830" s="23">
        <f>R1830-S1830-T1830</f>
        <v/>
      </c>
      <c r="V1830" s="23">
        <f>D1830*P1830</f>
        <v/>
      </c>
      <c r="W1830" s="23">
        <f>U1830-V1830</f>
        <v/>
      </c>
      <c r="X1830" s="24">
        <f>IFERROR(W1830/U1830,0)</f>
        <v/>
      </c>
    </row>
    <row r="1831">
      <c r="A1831" s="25">
        <f>ItensPedido!A1831</f>
        <v/>
      </c>
      <c r="B1831" s="25">
        <f>ItensPedido!B1831</f>
        <v/>
      </c>
      <c r="C1831" s="25">
        <f>ItensPedido!C1831</f>
        <v/>
      </c>
      <c r="D1831" s="25">
        <f>ItensPedido!D1831</f>
        <v/>
      </c>
      <c r="E1831" s="26">
        <f>ItensPedido!E1831</f>
        <v/>
      </c>
      <c r="F1831" s="25">
        <f>IFERROR(INDEX(Pedidos!$B$2:$B$1801,MATCH(B1831,Pedidos!$A$2:$A$1801,0)),0)</f>
        <v/>
      </c>
      <c r="G1831" s="25">
        <f>IF(F1831=0,"",YEAR(F1831))</f>
        <v/>
      </c>
      <c r="H1831" s="25">
        <f>IF(F1831=0,"",MONTH(F1831))</f>
        <v/>
      </c>
      <c r="I1831" s="25">
        <f>IFERROR(INDEX(Pedidos!$E$2:$E$1801,MATCH(B1831,Pedidos!$A$2:$A$1801,0)),"")</f>
        <v/>
      </c>
      <c r="J1831" s="25">
        <f>IFERROR(INDEX(Pedidos!$C$2:$C$1801,MATCH(B1831,Pedidos!$A$2:$A$1801,0)),"")</f>
        <v/>
      </c>
      <c r="K1831" s="25">
        <f>IFERROR(INDEX(Pedidos!$D$2:$D$1801,MATCH(B1831,Pedidos!$A$2:$A$1801,0)),"")</f>
        <v/>
      </c>
      <c r="L1831" s="25">
        <f>IFERROR(INDEX(Pedidos!$F$2:$F$1801,MATCH(B1831,Pedidos!$A$2:$A$1801,0)),"")</f>
        <v/>
      </c>
      <c r="M1831" s="26">
        <f>IFERROR(INDEX(Pedidos!$G$2:$G$1801,MATCH(B1831,Pedidos!$A$2:$A$1801,0)),0)</f>
        <v/>
      </c>
      <c r="N1831" s="25">
        <f>IFERROR(INDEX(Produtos!$B$2:$B$71,MATCH(C1831,Produtos!$A$2:$A$71,0)),"")</f>
        <v/>
      </c>
      <c r="O1831" s="25">
        <f>IFERROR(INDEX(Produtos!$C$2:$C$71,MATCH(C1831,Produtos!$A$2:$A$71,0)),"")</f>
        <v/>
      </c>
      <c r="P1831" s="25">
        <f>IFERROR(INDEX(Produtos!$D$2:$D$71,MATCH(C1831,Produtos!$A$2:$A$71,0)),0)</f>
        <v/>
      </c>
      <c r="Q1831" s="25">
        <f>IFERROR(INDEX(Produtos!$E$2:$E$71,MATCH(C1831,Produtos!$A$2:$A$71,0)),0)</f>
        <v/>
      </c>
      <c r="R1831" s="27">
        <f>D1831*Q1831</f>
        <v/>
      </c>
      <c r="S1831" s="27">
        <f>R1831*E1831</f>
        <v/>
      </c>
      <c r="T1831" s="27">
        <f>(R1831-S1831)*M1831</f>
        <v/>
      </c>
      <c r="U1831" s="27">
        <f>R1831-S1831-T1831</f>
        <v/>
      </c>
      <c r="V1831" s="27">
        <f>D1831*P1831</f>
        <v/>
      </c>
      <c r="W1831" s="27">
        <f>U1831-V1831</f>
        <v/>
      </c>
      <c r="X1831" s="28">
        <f>IFERROR(W1831/U1831,0)</f>
        <v/>
      </c>
    </row>
    <row r="1832">
      <c r="A1832" s="21">
        <f>ItensPedido!A1832</f>
        <v/>
      </c>
      <c r="B1832" s="21">
        <f>ItensPedido!B1832</f>
        <v/>
      </c>
      <c r="C1832" s="21">
        <f>ItensPedido!C1832</f>
        <v/>
      </c>
      <c r="D1832" s="21">
        <f>ItensPedido!D1832</f>
        <v/>
      </c>
      <c r="E1832" s="22">
        <f>ItensPedido!E1832</f>
        <v/>
      </c>
      <c r="F1832" s="21">
        <f>IFERROR(INDEX(Pedidos!$B$2:$B$1801,MATCH(B1832,Pedidos!$A$2:$A$1801,0)),0)</f>
        <v/>
      </c>
      <c r="G1832" s="21">
        <f>IF(F1832=0,"",YEAR(F1832))</f>
        <v/>
      </c>
      <c r="H1832" s="21">
        <f>IF(F1832=0,"",MONTH(F1832))</f>
        <v/>
      </c>
      <c r="I1832" s="21">
        <f>IFERROR(INDEX(Pedidos!$E$2:$E$1801,MATCH(B1832,Pedidos!$A$2:$A$1801,0)),"")</f>
        <v/>
      </c>
      <c r="J1832" s="21">
        <f>IFERROR(INDEX(Pedidos!$C$2:$C$1801,MATCH(B1832,Pedidos!$A$2:$A$1801,0)),"")</f>
        <v/>
      </c>
      <c r="K1832" s="21">
        <f>IFERROR(INDEX(Pedidos!$D$2:$D$1801,MATCH(B1832,Pedidos!$A$2:$A$1801,0)),"")</f>
        <v/>
      </c>
      <c r="L1832" s="21">
        <f>IFERROR(INDEX(Pedidos!$F$2:$F$1801,MATCH(B1832,Pedidos!$A$2:$A$1801,0)),"")</f>
        <v/>
      </c>
      <c r="M1832" s="22">
        <f>IFERROR(INDEX(Pedidos!$G$2:$G$1801,MATCH(B1832,Pedidos!$A$2:$A$1801,0)),0)</f>
        <v/>
      </c>
      <c r="N1832" s="21">
        <f>IFERROR(INDEX(Produtos!$B$2:$B$71,MATCH(C1832,Produtos!$A$2:$A$71,0)),"")</f>
        <v/>
      </c>
      <c r="O1832" s="21">
        <f>IFERROR(INDEX(Produtos!$C$2:$C$71,MATCH(C1832,Produtos!$A$2:$A$71,0)),"")</f>
        <v/>
      </c>
      <c r="P1832" s="21">
        <f>IFERROR(INDEX(Produtos!$D$2:$D$71,MATCH(C1832,Produtos!$A$2:$A$71,0)),0)</f>
        <v/>
      </c>
      <c r="Q1832" s="21">
        <f>IFERROR(INDEX(Produtos!$E$2:$E$71,MATCH(C1832,Produtos!$A$2:$A$71,0)),0)</f>
        <v/>
      </c>
      <c r="R1832" s="23">
        <f>D1832*Q1832</f>
        <v/>
      </c>
      <c r="S1832" s="23">
        <f>R1832*E1832</f>
        <v/>
      </c>
      <c r="T1832" s="23">
        <f>(R1832-S1832)*M1832</f>
        <v/>
      </c>
      <c r="U1832" s="23">
        <f>R1832-S1832-T1832</f>
        <v/>
      </c>
      <c r="V1832" s="23">
        <f>D1832*P1832</f>
        <v/>
      </c>
      <c r="W1832" s="23">
        <f>U1832-V1832</f>
        <v/>
      </c>
      <c r="X1832" s="24">
        <f>IFERROR(W1832/U1832,0)</f>
        <v/>
      </c>
    </row>
    <row r="1833">
      <c r="A1833" s="25">
        <f>ItensPedido!A1833</f>
        <v/>
      </c>
      <c r="B1833" s="25">
        <f>ItensPedido!B1833</f>
        <v/>
      </c>
      <c r="C1833" s="25">
        <f>ItensPedido!C1833</f>
        <v/>
      </c>
      <c r="D1833" s="25">
        <f>ItensPedido!D1833</f>
        <v/>
      </c>
      <c r="E1833" s="26">
        <f>ItensPedido!E1833</f>
        <v/>
      </c>
      <c r="F1833" s="25">
        <f>IFERROR(INDEX(Pedidos!$B$2:$B$1801,MATCH(B1833,Pedidos!$A$2:$A$1801,0)),0)</f>
        <v/>
      </c>
      <c r="G1833" s="25">
        <f>IF(F1833=0,"",YEAR(F1833))</f>
        <v/>
      </c>
      <c r="H1833" s="25">
        <f>IF(F1833=0,"",MONTH(F1833))</f>
        <v/>
      </c>
      <c r="I1833" s="25">
        <f>IFERROR(INDEX(Pedidos!$E$2:$E$1801,MATCH(B1833,Pedidos!$A$2:$A$1801,0)),"")</f>
        <v/>
      </c>
      <c r="J1833" s="25">
        <f>IFERROR(INDEX(Pedidos!$C$2:$C$1801,MATCH(B1833,Pedidos!$A$2:$A$1801,0)),"")</f>
        <v/>
      </c>
      <c r="K1833" s="25">
        <f>IFERROR(INDEX(Pedidos!$D$2:$D$1801,MATCH(B1833,Pedidos!$A$2:$A$1801,0)),"")</f>
        <v/>
      </c>
      <c r="L1833" s="25">
        <f>IFERROR(INDEX(Pedidos!$F$2:$F$1801,MATCH(B1833,Pedidos!$A$2:$A$1801,0)),"")</f>
        <v/>
      </c>
      <c r="M1833" s="26">
        <f>IFERROR(INDEX(Pedidos!$G$2:$G$1801,MATCH(B1833,Pedidos!$A$2:$A$1801,0)),0)</f>
        <v/>
      </c>
      <c r="N1833" s="25">
        <f>IFERROR(INDEX(Produtos!$B$2:$B$71,MATCH(C1833,Produtos!$A$2:$A$71,0)),"")</f>
        <v/>
      </c>
      <c r="O1833" s="25">
        <f>IFERROR(INDEX(Produtos!$C$2:$C$71,MATCH(C1833,Produtos!$A$2:$A$71,0)),"")</f>
        <v/>
      </c>
      <c r="P1833" s="25">
        <f>IFERROR(INDEX(Produtos!$D$2:$D$71,MATCH(C1833,Produtos!$A$2:$A$71,0)),0)</f>
        <v/>
      </c>
      <c r="Q1833" s="25">
        <f>IFERROR(INDEX(Produtos!$E$2:$E$71,MATCH(C1833,Produtos!$A$2:$A$71,0)),0)</f>
        <v/>
      </c>
      <c r="R1833" s="27">
        <f>D1833*Q1833</f>
        <v/>
      </c>
      <c r="S1833" s="27">
        <f>R1833*E1833</f>
        <v/>
      </c>
      <c r="T1833" s="27">
        <f>(R1833-S1833)*M1833</f>
        <v/>
      </c>
      <c r="U1833" s="27">
        <f>R1833-S1833-T1833</f>
        <v/>
      </c>
      <c r="V1833" s="27">
        <f>D1833*P1833</f>
        <v/>
      </c>
      <c r="W1833" s="27">
        <f>U1833-V1833</f>
        <v/>
      </c>
      <c r="X1833" s="28">
        <f>IFERROR(W1833/U1833,0)</f>
        <v/>
      </c>
    </row>
    <row r="1834">
      <c r="A1834" s="21">
        <f>ItensPedido!A1834</f>
        <v/>
      </c>
      <c r="B1834" s="21">
        <f>ItensPedido!B1834</f>
        <v/>
      </c>
      <c r="C1834" s="21">
        <f>ItensPedido!C1834</f>
        <v/>
      </c>
      <c r="D1834" s="21">
        <f>ItensPedido!D1834</f>
        <v/>
      </c>
      <c r="E1834" s="22">
        <f>ItensPedido!E1834</f>
        <v/>
      </c>
      <c r="F1834" s="21">
        <f>IFERROR(INDEX(Pedidos!$B$2:$B$1801,MATCH(B1834,Pedidos!$A$2:$A$1801,0)),0)</f>
        <v/>
      </c>
      <c r="G1834" s="21">
        <f>IF(F1834=0,"",YEAR(F1834))</f>
        <v/>
      </c>
      <c r="H1834" s="21">
        <f>IF(F1834=0,"",MONTH(F1834))</f>
        <v/>
      </c>
      <c r="I1834" s="21">
        <f>IFERROR(INDEX(Pedidos!$E$2:$E$1801,MATCH(B1834,Pedidos!$A$2:$A$1801,0)),"")</f>
        <v/>
      </c>
      <c r="J1834" s="21">
        <f>IFERROR(INDEX(Pedidos!$C$2:$C$1801,MATCH(B1834,Pedidos!$A$2:$A$1801,0)),"")</f>
        <v/>
      </c>
      <c r="K1834" s="21">
        <f>IFERROR(INDEX(Pedidos!$D$2:$D$1801,MATCH(B1834,Pedidos!$A$2:$A$1801,0)),"")</f>
        <v/>
      </c>
      <c r="L1834" s="21">
        <f>IFERROR(INDEX(Pedidos!$F$2:$F$1801,MATCH(B1834,Pedidos!$A$2:$A$1801,0)),"")</f>
        <v/>
      </c>
      <c r="M1834" s="22">
        <f>IFERROR(INDEX(Pedidos!$G$2:$G$1801,MATCH(B1834,Pedidos!$A$2:$A$1801,0)),0)</f>
        <v/>
      </c>
      <c r="N1834" s="21">
        <f>IFERROR(INDEX(Produtos!$B$2:$B$71,MATCH(C1834,Produtos!$A$2:$A$71,0)),"")</f>
        <v/>
      </c>
      <c r="O1834" s="21">
        <f>IFERROR(INDEX(Produtos!$C$2:$C$71,MATCH(C1834,Produtos!$A$2:$A$71,0)),"")</f>
        <v/>
      </c>
      <c r="P1834" s="21">
        <f>IFERROR(INDEX(Produtos!$D$2:$D$71,MATCH(C1834,Produtos!$A$2:$A$71,0)),0)</f>
        <v/>
      </c>
      <c r="Q1834" s="21">
        <f>IFERROR(INDEX(Produtos!$E$2:$E$71,MATCH(C1834,Produtos!$A$2:$A$71,0)),0)</f>
        <v/>
      </c>
      <c r="R1834" s="23">
        <f>D1834*Q1834</f>
        <v/>
      </c>
      <c r="S1834" s="23">
        <f>R1834*E1834</f>
        <v/>
      </c>
      <c r="T1834" s="23">
        <f>(R1834-S1834)*M1834</f>
        <v/>
      </c>
      <c r="U1834" s="23">
        <f>R1834-S1834-T1834</f>
        <v/>
      </c>
      <c r="V1834" s="23">
        <f>D1834*P1834</f>
        <v/>
      </c>
      <c r="W1834" s="23">
        <f>U1834-V1834</f>
        <v/>
      </c>
      <c r="X1834" s="24">
        <f>IFERROR(W1834/U1834,0)</f>
        <v/>
      </c>
    </row>
    <row r="1835">
      <c r="A1835" s="25">
        <f>ItensPedido!A1835</f>
        <v/>
      </c>
      <c r="B1835" s="25">
        <f>ItensPedido!B1835</f>
        <v/>
      </c>
      <c r="C1835" s="25">
        <f>ItensPedido!C1835</f>
        <v/>
      </c>
      <c r="D1835" s="25">
        <f>ItensPedido!D1835</f>
        <v/>
      </c>
      <c r="E1835" s="26">
        <f>ItensPedido!E1835</f>
        <v/>
      </c>
      <c r="F1835" s="25">
        <f>IFERROR(INDEX(Pedidos!$B$2:$B$1801,MATCH(B1835,Pedidos!$A$2:$A$1801,0)),0)</f>
        <v/>
      </c>
      <c r="G1835" s="25">
        <f>IF(F1835=0,"",YEAR(F1835))</f>
        <v/>
      </c>
      <c r="H1835" s="25">
        <f>IF(F1835=0,"",MONTH(F1835))</f>
        <v/>
      </c>
      <c r="I1835" s="25">
        <f>IFERROR(INDEX(Pedidos!$E$2:$E$1801,MATCH(B1835,Pedidos!$A$2:$A$1801,0)),"")</f>
        <v/>
      </c>
      <c r="J1835" s="25">
        <f>IFERROR(INDEX(Pedidos!$C$2:$C$1801,MATCH(B1835,Pedidos!$A$2:$A$1801,0)),"")</f>
        <v/>
      </c>
      <c r="K1835" s="25">
        <f>IFERROR(INDEX(Pedidos!$D$2:$D$1801,MATCH(B1835,Pedidos!$A$2:$A$1801,0)),"")</f>
        <v/>
      </c>
      <c r="L1835" s="25">
        <f>IFERROR(INDEX(Pedidos!$F$2:$F$1801,MATCH(B1835,Pedidos!$A$2:$A$1801,0)),"")</f>
        <v/>
      </c>
      <c r="M1835" s="26">
        <f>IFERROR(INDEX(Pedidos!$G$2:$G$1801,MATCH(B1835,Pedidos!$A$2:$A$1801,0)),0)</f>
        <v/>
      </c>
      <c r="N1835" s="25">
        <f>IFERROR(INDEX(Produtos!$B$2:$B$71,MATCH(C1835,Produtos!$A$2:$A$71,0)),"")</f>
        <v/>
      </c>
      <c r="O1835" s="25">
        <f>IFERROR(INDEX(Produtos!$C$2:$C$71,MATCH(C1835,Produtos!$A$2:$A$71,0)),"")</f>
        <v/>
      </c>
      <c r="P1835" s="25">
        <f>IFERROR(INDEX(Produtos!$D$2:$D$71,MATCH(C1835,Produtos!$A$2:$A$71,0)),0)</f>
        <v/>
      </c>
      <c r="Q1835" s="25">
        <f>IFERROR(INDEX(Produtos!$E$2:$E$71,MATCH(C1835,Produtos!$A$2:$A$71,0)),0)</f>
        <v/>
      </c>
      <c r="R1835" s="27">
        <f>D1835*Q1835</f>
        <v/>
      </c>
      <c r="S1835" s="27">
        <f>R1835*E1835</f>
        <v/>
      </c>
      <c r="T1835" s="27">
        <f>(R1835-S1835)*M1835</f>
        <v/>
      </c>
      <c r="U1835" s="27">
        <f>R1835-S1835-T1835</f>
        <v/>
      </c>
      <c r="V1835" s="27">
        <f>D1835*P1835</f>
        <v/>
      </c>
      <c r="W1835" s="27">
        <f>U1835-V1835</f>
        <v/>
      </c>
      <c r="X1835" s="28">
        <f>IFERROR(W1835/U1835,0)</f>
        <v/>
      </c>
    </row>
    <row r="1836">
      <c r="A1836" s="21">
        <f>ItensPedido!A1836</f>
        <v/>
      </c>
      <c r="B1836" s="21">
        <f>ItensPedido!B1836</f>
        <v/>
      </c>
      <c r="C1836" s="21">
        <f>ItensPedido!C1836</f>
        <v/>
      </c>
      <c r="D1836" s="21">
        <f>ItensPedido!D1836</f>
        <v/>
      </c>
      <c r="E1836" s="22">
        <f>ItensPedido!E1836</f>
        <v/>
      </c>
      <c r="F1836" s="21">
        <f>IFERROR(INDEX(Pedidos!$B$2:$B$1801,MATCH(B1836,Pedidos!$A$2:$A$1801,0)),0)</f>
        <v/>
      </c>
      <c r="G1836" s="21">
        <f>IF(F1836=0,"",YEAR(F1836))</f>
        <v/>
      </c>
      <c r="H1836" s="21">
        <f>IF(F1836=0,"",MONTH(F1836))</f>
        <v/>
      </c>
      <c r="I1836" s="21">
        <f>IFERROR(INDEX(Pedidos!$E$2:$E$1801,MATCH(B1836,Pedidos!$A$2:$A$1801,0)),"")</f>
        <v/>
      </c>
      <c r="J1836" s="21">
        <f>IFERROR(INDEX(Pedidos!$C$2:$C$1801,MATCH(B1836,Pedidos!$A$2:$A$1801,0)),"")</f>
        <v/>
      </c>
      <c r="K1836" s="21">
        <f>IFERROR(INDEX(Pedidos!$D$2:$D$1801,MATCH(B1836,Pedidos!$A$2:$A$1801,0)),"")</f>
        <v/>
      </c>
      <c r="L1836" s="21">
        <f>IFERROR(INDEX(Pedidos!$F$2:$F$1801,MATCH(B1836,Pedidos!$A$2:$A$1801,0)),"")</f>
        <v/>
      </c>
      <c r="M1836" s="22">
        <f>IFERROR(INDEX(Pedidos!$G$2:$G$1801,MATCH(B1836,Pedidos!$A$2:$A$1801,0)),0)</f>
        <v/>
      </c>
      <c r="N1836" s="21">
        <f>IFERROR(INDEX(Produtos!$B$2:$B$71,MATCH(C1836,Produtos!$A$2:$A$71,0)),"")</f>
        <v/>
      </c>
      <c r="O1836" s="21">
        <f>IFERROR(INDEX(Produtos!$C$2:$C$71,MATCH(C1836,Produtos!$A$2:$A$71,0)),"")</f>
        <v/>
      </c>
      <c r="P1836" s="21">
        <f>IFERROR(INDEX(Produtos!$D$2:$D$71,MATCH(C1836,Produtos!$A$2:$A$71,0)),0)</f>
        <v/>
      </c>
      <c r="Q1836" s="21">
        <f>IFERROR(INDEX(Produtos!$E$2:$E$71,MATCH(C1836,Produtos!$A$2:$A$71,0)),0)</f>
        <v/>
      </c>
      <c r="R1836" s="23">
        <f>D1836*Q1836</f>
        <v/>
      </c>
      <c r="S1836" s="23">
        <f>R1836*E1836</f>
        <v/>
      </c>
      <c r="T1836" s="23">
        <f>(R1836-S1836)*M1836</f>
        <v/>
      </c>
      <c r="U1836" s="23">
        <f>R1836-S1836-T1836</f>
        <v/>
      </c>
      <c r="V1836" s="23">
        <f>D1836*P1836</f>
        <v/>
      </c>
      <c r="W1836" s="23">
        <f>U1836-V1836</f>
        <v/>
      </c>
      <c r="X1836" s="24">
        <f>IFERROR(W1836/U1836,0)</f>
        <v/>
      </c>
    </row>
    <row r="1837">
      <c r="A1837" s="25">
        <f>ItensPedido!A1837</f>
        <v/>
      </c>
      <c r="B1837" s="25">
        <f>ItensPedido!B1837</f>
        <v/>
      </c>
      <c r="C1837" s="25">
        <f>ItensPedido!C1837</f>
        <v/>
      </c>
      <c r="D1837" s="25">
        <f>ItensPedido!D1837</f>
        <v/>
      </c>
      <c r="E1837" s="26">
        <f>ItensPedido!E1837</f>
        <v/>
      </c>
      <c r="F1837" s="25">
        <f>IFERROR(INDEX(Pedidos!$B$2:$B$1801,MATCH(B1837,Pedidos!$A$2:$A$1801,0)),0)</f>
        <v/>
      </c>
      <c r="G1837" s="25">
        <f>IF(F1837=0,"",YEAR(F1837))</f>
        <v/>
      </c>
      <c r="H1837" s="25">
        <f>IF(F1837=0,"",MONTH(F1837))</f>
        <v/>
      </c>
      <c r="I1837" s="25">
        <f>IFERROR(INDEX(Pedidos!$E$2:$E$1801,MATCH(B1837,Pedidos!$A$2:$A$1801,0)),"")</f>
        <v/>
      </c>
      <c r="J1837" s="25">
        <f>IFERROR(INDEX(Pedidos!$C$2:$C$1801,MATCH(B1837,Pedidos!$A$2:$A$1801,0)),"")</f>
        <v/>
      </c>
      <c r="K1837" s="25">
        <f>IFERROR(INDEX(Pedidos!$D$2:$D$1801,MATCH(B1837,Pedidos!$A$2:$A$1801,0)),"")</f>
        <v/>
      </c>
      <c r="L1837" s="25">
        <f>IFERROR(INDEX(Pedidos!$F$2:$F$1801,MATCH(B1837,Pedidos!$A$2:$A$1801,0)),"")</f>
        <v/>
      </c>
      <c r="M1837" s="26">
        <f>IFERROR(INDEX(Pedidos!$G$2:$G$1801,MATCH(B1837,Pedidos!$A$2:$A$1801,0)),0)</f>
        <v/>
      </c>
      <c r="N1837" s="25">
        <f>IFERROR(INDEX(Produtos!$B$2:$B$71,MATCH(C1837,Produtos!$A$2:$A$71,0)),"")</f>
        <v/>
      </c>
      <c r="O1837" s="25">
        <f>IFERROR(INDEX(Produtos!$C$2:$C$71,MATCH(C1837,Produtos!$A$2:$A$71,0)),"")</f>
        <v/>
      </c>
      <c r="P1837" s="25">
        <f>IFERROR(INDEX(Produtos!$D$2:$D$71,MATCH(C1837,Produtos!$A$2:$A$71,0)),0)</f>
        <v/>
      </c>
      <c r="Q1837" s="25">
        <f>IFERROR(INDEX(Produtos!$E$2:$E$71,MATCH(C1837,Produtos!$A$2:$A$71,0)),0)</f>
        <v/>
      </c>
      <c r="R1837" s="27">
        <f>D1837*Q1837</f>
        <v/>
      </c>
      <c r="S1837" s="27">
        <f>R1837*E1837</f>
        <v/>
      </c>
      <c r="T1837" s="27">
        <f>(R1837-S1837)*M1837</f>
        <v/>
      </c>
      <c r="U1837" s="27">
        <f>R1837-S1837-T1837</f>
        <v/>
      </c>
      <c r="V1837" s="27">
        <f>D1837*P1837</f>
        <v/>
      </c>
      <c r="W1837" s="27">
        <f>U1837-V1837</f>
        <v/>
      </c>
      <c r="X1837" s="28">
        <f>IFERROR(W1837/U1837,0)</f>
        <v/>
      </c>
    </row>
    <row r="1838">
      <c r="A1838" s="21">
        <f>ItensPedido!A1838</f>
        <v/>
      </c>
      <c r="B1838" s="21">
        <f>ItensPedido!B1838</f>
        <v/>
      </c>
      <c r="C1838" s="21">
        <f>ItensPedido!C1838</f>
        <v/>
      </c>
      <c r="D1838" s="21">
        <f>ItensPedido!D1838</f>
        <v/>
      </c>
      <c r="E1838" s="22">
        <f>ItensPedido!E1838</f>
        <v/>
      </c>
      <c r="F1838" s="21">
        <f>IFERROR(INDEX(Pedidos!$B$2:$B$1801,MATCH(B1838,Pedidos!$A$2:$A$1801,0)),0)</f>
        <v/>
      </c>
      <c r="G1838" s="21">
        <f>IF(F1838=0,"",YEAR(F1838))</f>
        <v/>
      </c>
      <c r="H1838" s="21">
        <f>IF(F1838=0,"",MONTH(F1838))</f>
        <v/>
      </c>
      <c r="I1838" s="21">
        <f>IFERROR(INDEX(Pedidos!$E$2:$E$1801,MATCH(B1838,Pedidos!$A$2:$A$1801,0)),"")</f>
        <v/>
      </c>
      <c r="J1838" s="21">
        <f>IFERROR(INDEX(Pedidos!$C$2:$C$1801,MATCH(B1838,Pedidos!$A$2:$A$1801,0)),"")</f>
        <v/>
      </c>
      <c r="K1838" s="21">
        <f>IFERROR(INDEX(Pedidos!$D$2:$D$1801,MATCH(B1838,Pedidos!$A$2:$A$1801,0)),"")</f>
        <v/>
      </c>
      <c r="L1838" s="21">
        <f>IFERROR(INDEX(Pedidos!$F$2:$F$1801,MATCH(B1838,Pedidos!$A$2:$A$1801,0)),"")</f>
        <v/>
      </c>
      <c r="M1838" s="22">
        <f>IFERROR(INDEX(Pedidos!$G$2:$G$1801,MATCH(B1838,Pedidos!$A$2:$A$1801,0)),0)</f>
        <v/>
      </c>
      <c r="N1838" s="21">
        <f>IFERROR(INDEX(Produtos!$B$2:$B$71,MATCH(C1838,Produtos!$A$2:$A$71,0)),"")</f>
        <v/>
      </c>
      <c r="O1838" s="21">
        <f>IFERROR(INDEX(Produtos!$C$2:$C$71,MATCH(C1838,Produtos!$A$2:$A$71,0)),"")</f>
        <v/>
      </c>
      <c r="P1838" s="21">
        <f>IFERROR(INDEX(Produtos!$D$2:$D$71,MATCH(C1838,Produtos!$A$2:$A$71,0)),0)</f>
        <v/>
      </c>
      <c r="Q1838" s="21">
        <f>IFERROR(INDEX(Produtos!$E$2:$E$71,MATCH(C1838,Produtos!$A$2:$A$71,0)),0)</f>
        <v/>
      </c>
      <c r="R1838" s="23">
        <f>D1838*Q1838</f>
        <v/>
      </c>
      <c r="S1838" s="23">
        <f>R1838*E1838</f>
        <v/>
      </c>
      <c r="T1838" s="23">
        <f>(R1838-S1838)*M1838</f>
        <v/>
      </c>
      <c r="U1838" s="23">
        <f>R1838-S1838-T1838</f>
        <v/>
      </c>
      <c r="V1838" s="23">
        <f>D1838*P1838</f>
        <v/>
      </c>
      <c r="W1838" s="23">
        <f>U1838-V1838</f>
        <v/>
      </c>
      <c r="X1838" s="24">
        <f>IFERROR(W1838/U1838,0)</f>
        <v/>
      </c>
    </row>
    <row r="1839">
      <c r="A1839" s="25">
        <f>ItensPedido!A1839</f>
        <v/>
      </c>
      <c r="B1839" s="25">
        <f>ItensPedido!B1839</f>
        <v/>
      </c>
      <c r="C1839" s="25">
        <f>ItensPedido!C1839</f>
        <v/>
      </c>
      <c r="D1839" s="25">
        <f>ItensPedido!D1839</f>
        <v/>
      </c>
      <c r="E1839" s="26">
        <f>ItensPedido!E1839</f>
        <v/>
      </c>
      <c r="F1839" s="25">
        <f>IFERROR(INDEX(Pedidos!$B$2:$B$1801,MATCH(B1839,Pedidos!$A$2:$A$1801,0)),0)</f>
        <v/>
      </c>
      <c r="G1839" s="25">
        <f>IF(F1839=0,"",YEAR(F1839))</f>
        <v/>
      </c>
      <c r="H1839" s="25">
        <f>IF(F1839=0,"",MONTH(F1839))</f>
        <v/>
      </c>
      <c r="I1839" s="25">
        <f>IFERROR(INDEX(Pedidos!$E$2:$E$1801,MATCH(B1839,Pedidos!$A$2:$A$1801,0)),"")</f>
        <v/>
      </c>
      <c r="J1839" s="25">
        <f>IFERROR(INDEX(Pedidos!$C$2:$C$1801,MATCH(B1839,Pedidos!$A$2:$A$1801,0)),"")</f>
        <v/>
      </c>
      <c r="K1839" s="25">
        <f>IFERROR(INDEX(Pedidos!$D$2:$D$1801,MATCH(B1839,Pedidos!$A$2:$A$1801,0)),"")</f>
        <v/>
      </c>
      <c r="L1839" s="25">
        <f>IFERROR(INDEX(Pedidos!$F$2:$F$1801,MATCH(B1839,Pedidos!$A$2:$A$1801,0)),"")</f>
        <v/>
      </c>
      <c r="M1839" s="26">
        <f>IFERROR(INDEX(Pedidos!$G$2:$G$1801,MATCH(B1839,Pedidos!$A$2:$A$1801,0)),0)</f>
        <v/>
      </c>
      <c r="N1839" s="25">
        <f>IFERROR(INDEX(Produtos!$B$2:$B$71,MATCH(C1839,Produtos!$A$2:$A$71,0)),"")</f>
        <v/>
      </c>
      <c r="O1839" s="25">
        <f>IFERROR(INDEX(Produtos!$C$2:$C$71,MATCH(C1839,Produtos!$A$2:$A$71,0)),"")</f>
        <v/>
      </c>
      <c r="P1839" s="25">
        <f>IFERROR(INDEX(Produtos!$D$2:$D$71,MATCH(C1839,Produtos!$A$2:$A$71,0)),0)</f>
        <v/>
      </c>
      <c r="Q1839" s="25">
        <f>IFERROR(INDEX(Produtos!$E$2:$E$71,MATCH(C1839,Produtos!$A$2:$A$71,0)),0)</f>
        <v/>
      </c>
      <c r="R1839" s="27">
        <f>D1839*Q1839</f>
        <v/>
      </c>
      <c r="S1839" s="27">
        <f>R1839*E1839</f>
        <v/>
      </c>
      <c r="T1839" s="27">
        <f>(R1839-S1839)*M1839</f>
        <v/>
      </c>
      <c r="U1839" s="27">
        <f>R1839-S1839-T1839</f>
        <v/>
      </c>
      <c r="V1839" s="27">
        <f>D1839*P1839</f>
        <v/>
      </c>
      <c r="W1839" s="27">
        <f>U1839-V1839</f>
        <v/>
      </c>
      <c r="X1839" s="28">
        <f>IFERROR(W1839/U1839,0)</f>
        <v/>
      </c>
    </row>
    <row r="1840">
      <c r="A1840" s="21">
        <f>ItensPedido!A1840</f>
        <v/>
      </c>
      <c r="B1840" s="21">
        <f>ItensPedido!B1840</f>
        <v/>
      </c>
      <c r="C1840" s="21">
        <f>ItensPedido!C1840</f>
        <v/>
      </c>
      <c r="D1840" s="21">
        <f>ItensPedido!D1840</f>
        <v/>
      </c>
      <c r="E1840" s="22">
        <f>ItensPedido!E1840</f>
        <v/>
      </c>
      <c r="F1840" s="21">
        <f>IFERROR(INDEX(Pedidos!$B$2:$B$1801,MATCH(B1840,Pedidos!$A$2:$A$1801,0)),0)</f>
        <v/>
      </c>
      <c r="G1840" s="21">
        <f>IF(F1840=0,"",YEAR(F1840))</f>
        <v/>
      </c>
      <c r="H1840" s="21">
        <f>IF(F1840=0,"",MONTH(F1840))</f>
        <v/>
      </c>
      <c r="I1840" s="21">
        <f>IFERROR(INDEX(Pedidos!$E$2:$E$1801,MATCH(B1840,Pedidos!$A$2:$A$1801,0)),"")</f>
        <v/>
      </c>
      <c r="J1840" s="21">
        <f>IFERROR(INDEX(Pedidos!$C$2:$C$1801,MATCH(B1840,Pedidos!$A$2:$A$1801,0)),"")</f>
        <v/>
      </c>
      <c r="K1840" s="21">
        <f>IFERROR(INDEX(Pedidos!$D$2:$D$1801,MATCH(B1840,Pedidos!$A$2:$A$1801,0)),"")</f>
        <v/>
      </c>
      <c r="L1840" s="21">
        <f>IFERROR(INDEX(Pedidos!$F$2:$F$1801,MATCH(B1840,Pedidos!$A$2:$A$1801,0)),"")</f>
        <v/>
      </c>
      <c r="M1840" s="22">
        <f>IFERROR(INDEX(Pedidos!$G$2:$G$1801,MATCH(B1840,Pedidos!$A$2:$A$1801,0)),0)</f>
        <v/>
      </c>
      <c r="N1840" s="21">
        <f>IFERROR(INDEX(Produtos!$B$2:$B$71,MATCH(C1840,Produtos!$A$2:$A$71,0)),"")</f>
        <v/>
      </c>
      <c r="O1840" s="21">
        <f>IFERROR(INDEX(Produtos!$C$2:$C$71,MATCH(C1840,Produtos!$A$2:$A$71,0)),"")</f>
        <v/>
      </c>
      <c r="P1840" s="21">
        <f>IFERROR(INDEX(Produtos!$D$2:$D$71,MATCH(C1840,Produtos!$A$2:$A$71,0)),0)</f>
        <v/>
      </c>
      <c r="Q1840" s="21">
        <f>IFERROR(INDEX(Produtos!$E$2:$E$71,MATCH(C1840,Produtos!$A$2:$A$71,0)),0)</f>
        <v/>
      </c>
      <c r="R1840" s="23">
        <f>D1840*Q1840</f>
        <v/>
      </c>
      <c r="S1840" s="23">
        <f>R1840*E1840</f>
        <v/>
      </c>
      <c r="T1840" s="23">
        <f>(R1840-S1840)*M1840</f>
        <v/>
      </c>
      <c r="U1840" s="23">
        <f>R1840-S1840-T1840</f>
        <v/>
      </c>
      <c r="V1840" s="23">
        <f>D1840*P1840</f>
        <v/>
      </c>
      <c r="W1840" s="23">
        <f>U1840-V1840</f>
        <v/>
      </c>
      <c r="X1840" s="24">
        <f>IFERROR(W1840/U1840,0)</f>
        <v/>
      </c>
    </row>
    <row r="1841">
      <c r="A1841" s="25">
        <f>ItensPedido!A1841</f>
        <v/>
      </c>
      <c r="B1841" s="25">
        <f>ItensPedido!B1841</f>
        <v/>
      </c>
      <c r="C1841" s="25">
        <f>ItensPedido!C1841</f>
        <v/>
      </c>
      <c r="D1841" s="25">
        <f>ItensPedido!D1841</f>
        <v/>
      </c>
      <c r="E1841" s="26">
        <f>ItensPedido!E1841</f>
        <v/>
      </c>
      <c r="F1841" s="25">
        <f>IFERROR(INDEX(Pedidos!$B$2:$B$1801,MATCH(B1841,Pedidos!$A$2:$A$1801,0)),0)</f>
        <v/>
      </c>
      <c r="G1841" s="25">
        <f>IF(F1841=0,"",YEAR(F1841))</f>
        <v/>
      </c>
      <c r="H1841" s="25">
        <f>IF(F1841=0,"",MONTH(F1841))</f>
        <v/>
      </c>
      <c r="I1841" s="25">
        <f>IFERROR(INDEX(Pedidos!$E$2:$E$1801,MATCH(B1841,Pedidos!$A$2:$A$1801,0)),"")</f>
        <v/>
      </c>
      <c r="J1841" s="25">
        <f>IFERROR(INDEX(Pedidos!$C$2:$C$1801,MATCH(B1841,Pedidos!$A$2:$A$1801,0)),"")</f>
        <v/>
      </c>
      <c r="K1841" s="25">
        <f>IFERROR(INDEX(Pedidos!$D$2:$D$1801,MATCH(B1841,Pedidos!$A$2:$A$1801,0)),"")</f>
        <v/>
      </c>
      <c r="L1841" s="25">
        <f>IFERROR(INDEX(Pedidos!$F$2:$F$1801,MATCH(B1841,Pedidos!$A$2:$A$1801,0)),"")</f>
        <v/>
      </c>
      <c r="M1841" s="26">
        <f>IFERROR(INDEX(Pedidos!$G$2:$G$1801,MATCH(B1841,Pedidos!$A$2:$A$1801,0)),0)</f>
        <v/>
      </c>
      <c r="N1841" s="25">
        <f>IFERROR(INDEX(Produtos!$B$2:$B$71,MATCH(C1841,Produtos!$A$2:$A$71,0)),"")</f>
        <v/>
      </c>
      <c r="O1841" s="25">
        <f>IFERROR(INDEX(Produtos!$C$2:$C$71,MATCH(C1841,Produtos!$A$2:$A$71,0)),"")</f>
        <v/>
      </c>
      <c r="P1841" s="25">
        <f>IFERROR(INDEX(Produtos!$D$2:$D$71,MATCH(C1841,Produtos!$A$2:$A$71,0)),0)</f>
        <v/>
      </c>
      <c r="Q1841" s="25">
        <f>IFERROR(INDEX(Produtos!$E$2:$E$71,MATCH(C1841,Produtos!$A$2:$A$71,0)),0)</f>
        <v/>
      </c>
      <c r="R1841" s="27">
        <f>D1841*Q1841</f>
        <v/>
      </c>
      <c r="S1841" s="27">
        <f>R1841*E1841</f>
        <v/>
      </c>
      <c r="T1841" s="27">
        <f>(R1841-S1841)*M1841</f>
        <v/>
      </c>
      <c r="U1841" s="27">
        <f>R1841-S1841-T1841</f>
        <v/>
      </c>
      <c r="V1841" s="27">
        <f>D1841*P1841</f>
        <v/>
      </c>
      <c r="W1841" s="27">
        <f>U1841-V1841</f>
        <v/>
      </c>
      <c r="X1841" s="28">
        <f>IFERROR(W1841/U1841,0)</f>
        <v/>
      </c>
    </row>
    <row r="1842">
      <c r="A1842" s="21">
        <f>ItensPedido!A1842</f>
        <v/>
      </c>
      <c r="B1842" s="21">
        <f>ItensPedido!B1842</f>
        <v/>
      </c>
      <c r="C1842" s="21">
        <f>ItensPedido!C1842</f>
        <v/>
      </c>
      <c r="D1842" s="21">
        <f>ItensPedido!D1842</f>
        <v/>
      </c>
      <c r="E1842" s="22">
        <f>ItensPedido!E1842</f>
        <v/>
      </c>
      <c r="F1842" s="21">
        <f>IFERROR(INDEX(Pedidos!$B$2:$B$1801,MATCH(B1842,Pedidos!$A$2:$A$1801,0)),0)</f>
        <v/>
      </c>
      <c r="G1842" s="21">
        <f>IF(F1842=0,"",YEAR(F1842))</f>
        <v/>
      </c>
      <c r="H1842" s="21">
        <f>IF(F1842=0,"",MONTH(F1842))</f>
        <v/>
      </c>
      <c r="I1842" s="21">
        <f>IFERROR(INDEX(Pedidos!$E$2:$E$1801,MATCH(B1842,Pedidos!$A$2:$A$1801,0)),"")</f>
        <v/>
      </c>
      <c r="J1842" s="21">
        <f>IFERROR(INDEX(Pedidos!$C$2:$C$1801,MATCH(B1842,Pedidos!$A$2:$A$1801,0)),"")</f>
        <v/>
      </c>
      <c r="K1842" s="21">
        <f>IFERROR(INDEX(Pedidos!$D$2:$D$1801,MATCH(B1842,Pedidos!$A$2:$A$1801,0)),"")</f>
        <v/>
      </c>
      <c r="L1842" s="21">
        <f>IFERROR(INDEX(Pedidos!$F$2:$F$1801,MATCH(B1842,Pedidos!$A$2:$A$1801,0)),"")</f>
        <v/>
      </c>
      <c r="M1842" s="22">
        <f>IFERROR(INDEX(Pedidos!$G$2:$G$1801,MATCH(B1842,Pedidos!$A$2:$A$1801,0)),0)</f>
        <v/>
      </c>
      <c r="N1842" s="21">
        <f>IFERROR(INDEX(Produtos!$B$2:$B$71,MATCH(C1842,Produtos!$A$2:$A$71,0)),"")</f>
        <v/>
      </c>
      <c r="O1842" s="21">
        <f>IFERROR(INDEX(Produtos!$C$2:$C$71,MATCH(C1842,Produtos!$A$2:$A$71,0)),"")</f>
        <v/>
      </c>
      <c r="P1842" s="21">
        <f>IFERROR(INDEX(Produtos!$D$2:$D$71,MATCH(C1842,Produtos!$A$2:$A$71,0)),0)</f>
        <v/>
      </c>
      <c r="Q1842" s="21">
        <f>IFERROR(INDEX(Produtos!$E$2:$E$71,MATCH(C1842,Produtos!$A$2:$A$71,0)),0)</f>
        <v/>
      </c>
      <c r="R1842" s="23">
        <f>D1842*Q1842</f>
        <v/>
      </c>
      <c r="S1842" s="23">
        <f>R1842*E1842</f>
        <v/>
      </c>
      <c r="T1842" s="23">
        <f>(R1842-S1842)*M1842</f>
        <v/>
      </c>
      <c r="U1842" s="23">
        <f>R1842-S1842-T1842</f>
        <v/>
      </c>
      <c r="V1842" s="23">
        <f>D1842*P1842</f>
        <v/>
      </c>
      <c r="W1842" s="23">
        <f>U1842-V1842</f>
        <v/>
      </c>
      <c r="X1842" s="24">
        <f>IFERROR(W1842/U1842,0)</f>
        <v/>
      </c>
    </row>
    <row r="1843">
      <c r="A1843" s="25">
        <f>ItensPedido!A1843</f>
        <v/>
      </c>
      <c r="B1843" s="25">
        <f>ItensPedido!B1843</f>
        <v/>
      </c>
      <c r="C1843" s="25">
        <f>ItensPedido!C1843</f>
        <v/>
      </c>
      <c r="D1843" s="25">
        <f>ItensPedido!D1843</f>
        <v/>
      </c>
      <c r="E1843" s="26">
        <f>ItensPedido!E1843</f>
        <v/>
      </c>
      <c r="F1843" s="25">
        <f>IFERROR(INDEX(Pedidos!$B$2:$B$1801,MATCH(B1843,Pedidos!$A$2:$A$1801,0)),0)</f>
        <v/>
      </c>
      <c r="G1843" s="25">
        <f>IF(F1843=0,"",YEAR(F1843))</f>
        <v/>
      </c>
      <c r="H1843" s="25">
        <f>IF(F1843=0,"",MONTH(F1843))</f>
        <v/>
      </c>
      <c r="I1843" s="25">
        <f>IFERROR(INDEX(Pedidos!$E$2:$E$1801,MATCH(B1843,Pedidos!$A$2:$A$1801,0)),"")</f>
        <v/>
      </c>
      <c r="J1843" s="25">
        <f>IFERROR(INDEX(Pedidos!$C$2:$C$1801,MATCH(B1843,Pedidos!$A$2:$A$1801,0)),"")</f>
        <v/>
      </c>
      <c r="K1843" s="25">
        <f>IFERROR(INDEX(Pedidos!$D$2:$D$1801,MATCH(B1843,Pedidos!$A$2:$A$1801,0)),"")</f>
        <v/>
      </c>
      <c r="L1843" s="25">
        <f>IFERROR(INDEX(Pedidos!$F$2:$F$1801,MATCH(B1843,Pedidos!$A$2:$A$1801,0)),"")</f>
        <v/>
      </c>
      <c r="M1843" s="26">
        <f>IFERROR(INDEX(Pedidos!$G$2:$G$1801,MATCH(B1843,Pedidos!$A$2:$A$1801,0)),0)</f>
        <v/>
      </c>
      <c r="N1843" s="25">
        <f>IFERROR(INDEX(Produtos!$B$2:$B$71,MATCH(C1843,Produtos!$A$2:$A$71,0)),"")</f>
        <v/>
      </c>
      <c r="O1843" s="25">
        <f>IFERROR(INDEX(Produtos!$C$2:$C$71,MATCH(C1843,Produtos!$A$2:$A$71,0)),"")</f>
        <v/>
      </c>
      <c r="P1843" s="25">
        <f>IFERROR(INDEX(Produtos!$D$2:$D$71,MATCH(C1843,Produtos!$A$2:$A$71,0)),0)</f>
        <v/>
      </c>
      <c r="Q1843" s="25">
        <f>IFERROR(INDEX(Produtos!$E$2:$E$71,MATCH(C1843,Produtos!$A$2:$A$71,0)),0)</f>
        <v/>
      </c>
      <c r="R1843" s="27">
        <f>D1843*Q1843</f>
        <v/>
      </c>
      <c r="S1843" s="27">
        <f>R1843*E1843</f>
        <v/>
      </c>
      <c r="T1843" s="27">
        <f>(R1843-S1843)*M1843</f>
        <v/>
      </c>
      <c r="U1843" s="27">
        <f>R1843-S1843-T1843</f>
        <v/>
      </c>
      <c r="V1843" s="27">
        <f>D1843*P1843</f>
        <v/>
      </c>
      <c r="W1843" s="27">
        <f>U1843-V1843</f>
        <v/>
      </c>
      <c r="X1843" s="28">
        <f>IFERROR(W1843/U1843,0)</f>
        <v/>
      </c>
    </row>
    <row r="1844">
      <c r="A1844" s="21">
        <f>ItensPedido!A1844</f>
        <v/>
      </c>
      <c r="B1844" s="21">
        <f>ItensPedido!B1844</f>
        <v/>
      </c>
      <c r="C1844" s="21">
        <f>ItensPedido!C1844</f>
        <v/>
      </c>
      <c r="D1844" s="21">
        <f>ItensPedido!D1844</f>
        <v/>
      </c>
      <c r="E1844" s="22">
        <f>ItensPedido!E1844</f>
        <v/>
      </c>
      <c r="F1844" s="21">
        <f>IFERROR(INDEX(Pedidos!$B$2:$B$1801,MATCH(B1844,Pedidos!$A$2:$A$1801,0)),0)</f>
        <v/>
      </c>
      <c r="G1844" s="21">
        <f>IF(F1844=0,"",YEAR(F1844))</f>
        <v/>
      </c>
      <c r="H1844" s="21">
        <f>IF(F1844=0,"",MONTH(F1844))</f>
        <v/>
      </c>
      <c r="I1844" s="21">
        <f>IFERROR(INDEX(Pedidos!$E$2:$E$1801,MATCH(B1844,Pedidos!$A$2:$A$1801,0)),"")</f>
        <v/>
      </c>
      <c r="J1844" s="21">
        <f>IFERROR(INDEX(Pedidos!$C$2:$C$1801,MATCH(B1844,Pedidos!$A$2:$A$1801,0)),"")</f>
        <v/>
      </c>
      <c r="K1844" s="21">
        <f>IFERROR(INDEX(Pedidos!$D$2:$D$1801,MATCH(B1844,Pedidos!$A$2:$A$1801,0)),"")</f>
        <v/>
      </c>
      <c r="L1844" s="21">
        <f>IFERROR(INDEX(Pedidos!$F$2:$F$1801,MATCH(B1844,Pedidos!$A$2:$A$1801,0)),"")</f>
        <v/>
      </c>
      <c r="M1844" s="22">
        <f>IFERROR(INDEX(Pedidos!$G$2:$G$1801,MATCH(B1844,Pedidos!$A$2:$A$1801,0)),0)</f>
        <v/>
      </c>
      <c r="N1844" s="21">
        <f>IFERROR(INDEX(Produtos!$B$2:$B$71,MATCH(C1844,Produtos!$A$2:$A$71,0)),"")</f>
        <v/>
      </c>
      <c r="O1844" s="21">
        <f>IFERROR(INDEX(Produtos!$C$2:$C$71,MATCH(C1844,Produtos!$A$2:$A$71,0)),"")</f>
        <v/>
      </c>
      <c r="P1844" s="21">
        <f>IFERROR(INDEX(Produtos!$D$2:$D$71,MATCH(C1844,Produtos!$A$2:$A$71,0)),0)</f>
        <v/>
      </c>
      <c r="Q1844" s="21">
        <f>IFERROR(INDEX(Produtos!$E$2:$E$71,MATCH(C1844,Produtos!$A$2:$A$71,0)),0)</f>
        <v/>
      </c>
      <c r="R1844" s="23">
        <f>D1844*Q1844</f>
        <v/>
      </c>
      <c r="S1844" s="23">
        <f>R1844*E1844</f>
        <v/>
      </c>
      <c r="T1844" s="23">
        <f>(R1844-S1844)*M1844</f>
        <v/>
      </c>
      <c r="U1844" s="23">
        <f>R1844-S1844-T1844</f>
        <v/>
      </c>
      <c r="V1844" s="23">
        <f>D1844*P1844</f>
        <v/>
      </c>
      <c r="W1844" s="23">
        <f>U1844-V1844</f>
        <v/>
      </c>
      <c r="X1844" s="24">
        <f>IFERROR(W1844/U1844,0)</f>
        <v/>
      </c>
    </row>
    <row r="1845">
      <c r="A1845" s="25">
        <f>ItensPedido!A1845</f>
        <v/>
      </c>
      <c r="B1845" s="25">
        <f>ItensPedido!B1845</f>
        <v/>
      </c>
      <c r="C1845" s="25">
        <f>ItensPedido!C1845</f>
        <v/>
      </c>
      <c r="D1845" s="25">
        <f>ItensPedido!D1845</f>
        <v/>
      </c>
      <c r="E1845" s="26">
        <f>ItensPedido!E1845</f>
        <v/>
      </c>
      <c r="F1845" s="25">
        <f>IFERROR(INDEX(Pedidos!$B$2:$B$1801,MATCH(B1845,Pedidos!$A$2:$A$1801,0)),0)</f>
        <v/>
      </c>
      <c r="G1845" s="25">
        <f>IF(F1845=0,"",YEAR(F1845))</f>
        <v/>
      </c>
      <c r="H1845" s="25">
        <f>IF(F1845=0,"",MONTH(F1845))</f>
        <v/>
      </c>
      <c r="I1845" s="25">
        <f>IFERROR(INDEX(Pedidos!$E$2:$E$1801,MATCH(B1845,Pedidos!$A$2:$A$1801,0)),"")</f>
        <v/>
      </c>
      <c r="J1845" s="25">
        <f>IFERROR(INDEX(Pedidos!$C$2:$C$1801,MATCH(B1845,Pedidos!$A$2:$A$1801,0)),"")</f>
        <v/>
      </c>
      <c r="K1845" s="25">
        <f>IFERROR(INDEX(Pedidos!$D$2:$D$1801,MATCH(B1845,Pedidos!$A$2:$A$1801,0)),"")</f>
        <v/>
      </c>
      <c r="L1845" s="25">
        <f>IFERROR(INDEX(Pedidos!$F$2:$F$1801,MATCH(B1845,Pedidos!$A$2:$A$1801,0)),"")</f>
        <v/>
      </c>
      <c r="M1845" s="26">
        <f>IFERROR(INDEX(Pedidos!$G$2:$G$1801,MATCH(B1845,Pedidos!$A$2:$A$1801,0)),0)</f>
        <v/>
      </c>
      <c r="N1845" s="25">
        <f>IFERROR(INDEX(Produtos!$B$2:$B$71,MATCH(C1845,Produtos!$A$2:$A$71,0)),"")</f>
        <v/>
      </c>
      <c r="O1845" s="25">
        <f>IFERROR(INDEX(Produtos!$C$2:$C$71,MATCH(C1845,Produtos!$A$2:$A$71,0)),"")</f>
        <v/>
      </c>
      <c r="P1845" s="25">
        <f>IFERROR(INDEX(Produtos!$D$2:$D$71,MATCH(C1845,Produtos!$A$2:$A$71,0)),0)</f>
        <v/>
      </c>
      <c r="Q1845" s="25">
        <f>IFERROR(INDEX(Produtos!$E$2:$E$71,MATCH(C1845,Produtos!$A$2:$A$71,0)),0)</f>
        <v/>
      </c>
      <c r="R1845" s="27">
        <f>D1845*Q1845</f>
        <v/>
      </c>
      <c r="S1845" s="27">
        <f>R1845*E1845</f>
        <v/>
      </c>
      <c r="T1845" s="27">
        <f>(R1845-S1845)*M1845</f>
        <v/>
      </c>
      <c r="U1845" s="27">
        <f>R1845-S1845-T1845</f>
        <v/>
      </c>
      <c r="V1845" s="27">
        <f>D1845*P1845</f>
        <v/>
      </c>
      <c r="W1845" s="27">
        <f>U1845-V1845</f>
        <v/>
      </c>
      <c r="X1845" s="28">
        <f>IFERROR(W1845/U1845,0)</f>
        <v/>
      </c>
    </row>
    <row r="1846">
      <c r="A1846" s="21">
        <f>ItensPedido!A1846</f>
        <v/>
      </c>
      <c r="B1846" s="21">
        <f>ItensPedido!B1846</f>
        <v/>
      </c>
      <c r="C1846" s="21">
        <f>ItensPedido!C1846</f>
        <v/>
      </c>
      <c r="D1846" s="21">
        <f>ItensPedido!D1846</f>
        <v/>
      </c>
      <c r="E1846" s="22">
        <f>ItensPedido!E1846</f>
        <v/>
      </c>
      <c r="F1846" s="21">
        <f>IFERROR(INDEX(Pedidos!$B$2:$B$1801,MATCH(B1846,Pedidos!$A$2:$A$1801,0)),0)</f>
        <v/>
      </c>
      <c r="G1846" s="21">
        <f>IF(F1846=0,"",YEAR(F1846))</f>
        <v/>
      </c>
      <c r="H1846" s="21">
        <f>IF(F1846=0,"",MONTH(F1846))</f>
        <v/>
      </c>
      <c r="I1846" s="21">
        <f>IFERROR(INDEX(Pedidos!$E$2:$E$1801,MATCH(B1846,Pedidos!$A$2:$A$1801,0)),"")</f>
        <v/>
      </c>
      <c r="J1846" s="21">
        <f>IFERROR(INDEX(Pedidos!$C$2:$C$1801,MATCH(B1846,Pedidos!$A$2:$A$1801,0)),"")</f>
        <v/>
      </c>
      <c r="K1846" s="21">
        <f>IFERROR(INDEX(Pedidos!$D$2:$D$1801,MATCH(B1846,Pedidos!$A$2:$A$1801,0)),"")</f>
        <v/>
      </c>
      <c r="L1846" s="21">
        <f>IFERROR(INDEX(Pedidos!$F$2:$F$1801,MATCH(B1846,Pedidos!$A$2:$A$1801,0)),"")</f>
        <v/>
      </c>
      <c r="M1846" s="22">
        <f>IFERROR(INDEX(Pedidos!$G$2:$G$1801,MATCH(B1846,Pedidos!$A$2:$A$1801,0)),0)</f>
        <v/>
      </c>
      <c r="N1846" s="21">
        <f>IFERROR(INDEX(Produtos!$B$2:$B$71,MATCH(C1846,Produtos!$A$2:$A$71,0)),"")</f>
        <v/>
      </c>
      <c r="O1846" s="21">
        <f>IFERROR(INDEX(Produtos!$C$2:$C$71,MATCH(C1846,Produtos!$A$2:$A$71,0)),"")</f>
        <v/>
      </c>
      <c r="P1846" s="21">
        <f>IFERROR(INDEX(Produtos!$D$2:$D$71,MATCH(C1846,Produtos!$A$2:$A$71,0)),0)</f>
        <v/>
      </c>
      <c r="Q1846" s="21">
        <f>IFERROR(INDEX(Produtos!$E$2:$E$71,MATCH(C1846,Produtos!$A$2:$A$71,0)),0)</f>
        <v/>
      </c>
      <c r="R1846" s="23">
        <f>D1846*Q1846</f>
        <v/>
      </c>
      <c r="S1846" s="23">
        <f>R1846*E1846</f>
        <v/>
      </c>
      <c r="T1846" s="23">
        <f>(R1846-S1846)*M1846</f>
        <v/>
      </c>
      <c r="U1846" s="23">
        <f>R1846-S1846-T1846</f>
        <v/>
      </c>
      <c r="V1846" s="23">
        <f>D1846*P1846</f>
        <v/>
      </c>
      <c r="W1846" s="23">
        <f>U1846-V1846</f>
        <v/>
      </c>
      <c r="X1846" s="24">
        <f>IFERROR(W1846/U1846,0)</f>
        <v/>
      </c>
    </row>
    <row r="1847">
      <c r="A1847" s="25">
        <f>ItensPedido!A1847</f>
        <v/>
      </c>
      <c r="B1847" s="25">
        <f>ItensPedido!B1847</f>
        <v/>
      </c>
      <c r="C1847" s="25">
        <f>ItensPedido!C1847</f>
        <v/>
      </c>
      <c r="D1847" s="25">
        <f>ItensPedido!D1847</f>
        <v/>
      </c>
      <c r="E1847" s="26">
        <f>ItensPedido!E1847</f>
        <v/>
      </c>
      <c r="F1847" s="25">
        <f>IFERROR(INDEX(Pedidos!$B$2:$B$1801,MATCH(B1847,Pedidos!$A$2:$A$1801,0)),0)</f>
        <v/>
      </c>
      <c r="G1847" s="25">
        <f>IF(F1847=0,"",YEAR(F1847))</f>
        <v/>
      </c>
      <c r="H1847" s="25">
        <f>IF(F1847=0,"",MONTH(F1847))</f>
        <v/>
      </c>
      <c r="I1847" s="25">
        <f>IFERROR(INDEX(Pedidos!$E$2:$E$1801,MATCH(B1847,Pedidos!$A$2:$A$1801,0)),"")</f>
        <v/>
      </c>
      <c r="J1847" s="25">
        <f>IFERROR(INDEX(Pedidos!$C$2:$C$1801,MATCH(B1847,Pedidos!$A$2:$A$1801,0)),"")</f>
        <v/>
      </c>
      <c r="K1847" s="25">
        <f>IFERROR(INDEX(Pedidos!$D$2:$D$1801,MATCH(B1847,Pedidos!$A$2:$A$1801,0)),"")</f>
        <v/>
      </c>
      <c r="L1847" s="25">
        <f>IFERROR(INDEX(Pedidos!$F$2:$F$1801,MATCH(B1847,Pedidos!$A$2:$A$1801,0)),"")</f>
        <v/>
      </c>
      <c r="M1847" s="26">
        <f>IFERROR(INDEX(Pedidos!$G$2:$G$1801,MATCH(B1847,Pedidos!$A$2:$A$1801,0)),0)</f>
        <v/>
      </c>
      <c r="N1847" s="25">
        <f>IFERROR(INDEX(Produtos!$B$2:$B$71,MATCH(C1847,Produtos!$A$2:$A$71,0)),"")</f>
        <v/>
      </c>
      <c r="O1847" s="25">
        <f>IFERROR(INDEX(Produtos!$C$2:$C$71,MATCH(C1847,Produtos!$A$2:$A$71,0)),"")</f>
        <v/>
      </c>
      <c r="P1847" s="25">
        <f>IFERROR(INDEX(Produtos!$D$2:$D$71,MATCH(C1847,Produtos!$A$2:$A$71,0)),0)</f>
        <v/>
      </c>
      <c r="Q1847" s="25">
        <f>IFERROR(INDEX(Produtos!$E$2:$E$71,MATCH(C1847,Produtos!$A$2:$A$71,0)),0)</f>
        <v/>
      </c>
      <c r="R1847" s="27">
        <f>D1847*Q1847</f>
        <v/>
      </c>
      <c r="S1847" s="27">
        <f>R1847*E1847</f>
        <v/>
      </c>
      <c r="T1847" s="27">
        <f>(R1847-S1847)*M1847</f>
        <v/>
      </c>
      <c r="U1847" s="27">
        <f>R1847-S1847-T1847</f>
        <v/>
      </c>
      <c r="V1847" s="27">
        <f>D1847*P1847</f>
        <v/>
      </c>
      <c r="W1847" s="27">
        <f>U1847-V1847</f>
        <v/>
      </c>
      <c r="X1847" s="28">
        <f>IFERROR(W1847/U1847,0)</f>
        <v/>
      </c>
    </row>
    <row r="1848">
      <c r="A1848" s="21">
        <f>ItensPedido!A1848</f>
        <v/>
      </c>
      <c r="B1848" s="21">
        <f>ItensPedido!B1848</f>
        <v/>
      </c>
      <c r="C1848" s="21">
        <f>ItensPedido!C1848</f>
        <v/>
      </c>
      <c r="D1848" s="21">
        <f>ItensPedido!D1848</f>
        <v/>
      </c>
      <c r="E1848" s="22">
        <f>ItensPedido!E1848</f>
        <v/>
      </c>
      <c r="F1848" s="21">
        <f>IFERROR(INDEX(Pedidos!$B$2:$B$1801,MATCH(B1848,Pedidos!$A$2:$A$1801,0)),0)</f>
        <v/>
      </c>
      <c r="G1848" s="21">
        <f>IF(F1848=0,"",YEAR(F1848))</f>
        <v/>
      </c>
      <c r="H1848" s="21">
        <f>IF(F1848=0,"",MONTH(F1848))</f>
        <v/>
      </c>
      <c r="I1848" s="21">
        <f>IFERROR(INDEX(Pedidos!$E$2:$E$1801,MATCH(B1848,Pedidos!$A$2:$A$1801,0)),"")</f>
        <v/>
      </c>
      <c r="J1848" s="21">
        <f>IFERROR(INDEX(Pedidos!$C$2:$C$1801,MATCH(B1848,Pedidos!$A$2:$A$1801,0)),"")</f>
        <v/>
      </c>
      <c r="K1848" s="21">
        <f>IFERROR(INDEX(Pedidos!$D$2:$D$1801,MATCH(B1848,Pedidos!$A$2:$A$1801,0)),"")</f>
        <v/>
      </c>
      <c r="L1848" s="21">
        <f>IFERROR(INDEX(Pedidos!$F$2:$F$1801,MATCH(B1848,Pedidos!$A$2:$A$1801,0)),"")</f>
        <v/>
      </c>
      <c r="M1848" s="22">
        <f>IFERROR(INDEX(Pedidos!$G$2:$G$1801,MATCH(B1848,Pedidos!$A$2:$A$1801,0)),0)</f>
        <v/>
      </c>
      <c r="N1848" s="21">
        <f>IFERROR(INDEX(Produtos!$B$2:$B$71,MATCH(C1848,Produtos!$A$2:$A$71,0)),"")</f>
        <v/>
      </c>
      <c r="O1848" s="21">
        <f>IFERROR(INDEX(Produtos!$C$2:$C$71,MATCH(C1848,Produtos!$A$2:$A$71,0)),"")</f>
        <v/>
      </c>
      <c r="P1848" s="21">
        <f>IFERROR(INDEX(Produtos!$D$2:$D$71,MATCH(C1848,Produtos!$A$2:$A$71,0)),0)</f>
        <v/>
      </c>
      <c r="Q1848" s="21">
        <f>IFERROR(INDEX(Produtos!$E$2:$E$71,MATCH(C1848,Produtos!$A$2:$A$71,0)),0)</f>
        <v/>
      </c>
      <c r="R1848" s="23">
        <f>D1848*Q1848</f>
        <v/>
      </c>
      <c r="S1848" s="23">
        <f>R1848*E1848</f>
        <v/>
      </c>
      <c r="T1848" s="23">
        <f>(R1848-S1848)*M1848</f>
        <v/>
      </c>
      <c r="U1848" s="23">
        <f>R1848-S1848-T1848</f>
        <v/>
      </c>
      <c r="V1848" s="23">
        <f>D1848*P1848</f>
        <v/>
      </c>
      <c r="W1848" s="23">
        <f>U1848-V1848</f>
        <v/>
      </c>
      <c r="X1848" s="24">
        <f>IFERROR(W1848/U1848,0)</f>
        <v/>
      </c>
    </row>
    <row r="1849">
      <c r="A1849" s="25">
        <f>ItensPedido!A1849</f>
        <v/>
      </c>
      <c r="B1849" s="25">
        <f>ItensPedido!B1849</f>
        <v/>
      </c>
      <c r="C1849" s="25">
        <f>ItensPedido!C1849</f>
        <v/>
      </c>
      <c r="D1849" s="25">
        <f>ItensPedido!D1849</f>
        <v/>
      </c>
      <c r="E1849" s="26">
        <f>ItensPedido!E1849</f>
        <v/>
      </c>
      <c r="F1849" s="25">
        <f>IFERROR(INDEX(Pedidos!$B$2:$B$1801,MATCH(B1849,Pedidos!$A$2:$A$1801,0)),0)</f>
        <v/>
      </c>
      <c r="G1849" s="25">
        <f>IF(F1849=0,"",YEAR(F1849))</f>
        <v/>
      </c>
      <c r="H1849" s="25">
        <f>IF(F1849=0,"",MONTH(F1849))</f>
        <v/>
      </c>
      <c r="I1849" s="25">
        <f>IFERROR(INDEX(Pedidos!$E$2:$E$1801,MATCH(B1849,Pedidos!$A$2:$A$1801,0)),"")</f>
        <v/>
      </c>
      <c r="J1849" s="25">
        <f>IFERROR(INDEX(Pedidos!$C$2:$C$1801,MATCH(B1849,Pedidos!$A$2:$A$1801,0)),"")</f>
        <v/>
      </c>
      <c r="K1849" s="25">
        <f>IFERROR(INDEX(Pedidos!$D$2:$D$1801,MATCH(B1849,Pedidos!$A$2:$A$1801,0)),"")</f>
        <v/>
      </c>
      <c r="L1849" s="25">
        <f>IFERROR(INDEX(Pedidos!$F$2:$F$1801,MATCH(B1849,Pedidos!$A$2:$A$1801,0)),"")</f>
        <v/>
      </c>
      <c r="M1849" s="26">
        <f>IFERROR(INDEX(Pedidos!$G$2:$G$1801,MATCH(B1849,Pedidos!$A$2:$A$1801,0)),0)</f>
        <v/>
      </c>
      <c r="N1849" s="25">
        <f>IFERROR(INDEX(Produtos!$B$2:$B$71,MATCH(C1849,Produtos!$A$2:$A$71,0)),"")</f>
        <v/>
      </c>
      <c r="O1849" s="25">
        <f>IFERROR(INDEX(Produtos!$C$2:$C$71,MATCH(C1849,Produtos!$A$2:$A$71,0)),"")</f>
        <v/>
      </c>
      <c r="P1849" s="25">
        <f>IFERROR(INDEX(Produtos!$D$2:$D$71,MATCH(C1849,Produtos!$A$2:$A$71,0)),0)</f>
        <v/>
      </c>
      <c r="Q1849" s="25">
        <f>IFERROR(INDEX(Produtos!$E$2:$E$71,MATCH(C1849,Produtos!$A$2:$A$71,0)),0)</f>
        <v/>
      </c>
      <c r="R1849" s="27">
        <f>D1849*Q1849</f>
        <v/>
      </c>
      <c r="S1849" s="27">
        <f>R1849*E1849</f>
        <v/>
      </c>
      <c r="T1849" s="27">
        <f>(R1849-S1849)*M1849</f>
        <v/>
      </c>
      <c r="U1849" s="27">
        <f>R1849-S1849-T1849</f>
        <v/>
      </c>
      <c r="V1849" s="27">
        <f>D1849*P1849</f>
        <v/>
      </c>
      <c r="W1849" s="27">
        <f>U1849-V1849</f>
        <v/>
      </c>
      <c r="X1849" s="28">
        <f>IFERROR(W1849/U1849,0)</f>
        <v/>
      </c>
    </row>
    <row r="1850">
      <c r="A1850" s="21">
        <f>ItensPedido!A1850</f>
        <v/>
      </c>
      <c r="B1850" s="21">
        <f>ItensPedido!B1850</f>
        <v/>
      </c>
      <c r="C1850" s="21">
        <f>ItensPedido!C1850</f>
        <v/>
      </c>
      <c r="D1850" s="21">
        <f>ItensPedido!D1850</f>
        <v/>
      </c>
      <c r="E1850" s="22">
        <f>ItensPedido!E1850</f>
        <v/>
      </c>
      <c r="F1850" s="21">
        <f>IFERROR(INDEX(Pedidos!$B$2:$B$1801,MATCH(B1850,Pedidos!$A$2:$A$1801,0)),0)</f>
        <v/>
      </c>
      <c r="G1850" s="21">
        <f>IF(F1850=0,"",YEAR(F1850))</f>
        <v/>
      </c>
      <c r="H1850" s="21">
        <f>IF(F1850=0,"",MONTH(F1850))</f>
        <v/>
      </c>
      <c r="I1850" s="21">
        <f>IFERROR(INDEX(Pedidos!$E$2:$E$1801,MATCH(B1850,Pedidos!$A$2:$A$1801,0)),"")</f>
        <v/>
      </c>
      <c r="J1850" s="21">
        <f>IFERROR(INDEX(Pedidos!$C$2:$C$1801,MATCH(B1850,Pedidos!$A$2:$A$1801,0)),"")</f>
        <v/>
      </c>
      <c r="K1850" s="21">
        <f>IFERROR(INDEX(Pedidos!$D$2:$D$1801,MATCH(B1850,Pedidos!$A$2:$A$1801,0)),"")</f>
        <v/>
      </c>
      <c r="L1850" s="21">
        <f>IFERROR(INDEX(Pedidos!$F$2:$F$1801,MATCH(B1850,Pedidos!$A$2:$A$1801,0)),"")</f>
        <v/>
      </c>
      <c r="M1850" s="22">
        <f>IFERROR(INDEX(Pedidos!$G$2:$G$1801,MATCH(B1850,Pedidos!$A$2:$A$1801,0)),0)</f>
        <v/>
      </c>
      <c r="N1850" s="21">
        <f>IFERROR(INDEX(Produtos!$B$2:$B$71,MATCH(C1850,Produtos!$A$2:$A$71,0)),"")</f>
        <v/>
      </c>
      <c r="O1850" s="21">
        <f>IFERROR(INDEX(Produtos!$C$2:$C$71,MATCH(C1850,Produtos!$A$2:$A$71,0)),"")</f>
        <v/>
      </c>
      <c r="P1850" s="21">
        <f>IFERROR(INDEX(Produtos!$D$2:$D$71,MATCH(C1850,Produtos!$A$2:$A$71,0)),0)</f>
        <v/>
      </c>
      <c r="Q1850" s="21">
        <f>IFERROR(INDEX(Produtos!$E$2:$E$71,MATCH(C1850,Produtos!$A$2:$A$71,0)),0)</f>
        <v/>
      </c>
      <c r="R1850" s="23">
        <f>D1850*Q1850</f>
        <v/>
      </c>
      <c r="S1850" s="23">
        <f>R1850*E1850</f>
        <v/>
      </c>
      <c r="T1850" s="23">
        <f>(R1850-S1850)*M1850</f>
        <v/>
      </c>
      <c r="U1850" s="23">
        <f>R1850-S1850-T1850</f>
        <v/>
      </c>
      <c r="V1850" s="23">
        <f>D1850*P1850</f>
        <v/>
      </c>
      <c r="W1850" s="23">
        <f>U1850-V1850</f>
        <v/>
      </c>
      <c r="X1850" s="24">
        <f>IFERROR(W1850/U1850,0)</f>
        <v/>
      </c>
    </row>
    <row r="1851">
      <c r="A1851" s="25">
        <f>ItensPedido!A1851</f>
        <v/>
      </c>
      <c r="B1851" s="25">
        <f>ItensPedido!B1851</f>
        <v/>
      </c>
      <c r="C1851" s="25">
        <f>ItensPedido!C1851</f>
        <v/>
      </c>
      <c r="D1851" s="25">
        <f>ItensPedido!D1851</f>
        <v/>
      </c>
      <c r="E1851" s="26">
        <f>ItensPedido!E1851</f>
        <v/>
      </c>
      <c r="F1851" s="25">
        <f>IFERROR(INDEX(Pedidos!$B$2:$B$1801,MATCH(B1851,Pedidos!$A$2:$A$1801,0)),0)</f>
        <v/>
      </c>
      <c r="G1851" s="25">
        <f>IF(F1851=0,"",YEAR(F1851))</f>
        <v/>
      </c>
      <c r="H1851" s="25">
        <f>IF(F1851=0,"",MONTH(F1851))</f>
        <v/>
      </c>
      <c r="I1851" s="25">
        <f>IFERROR(INDEX(Pedidos!$E$2:$E$1801,MATCH(B1851,Pedidos!$A$2:$A$1801,0)),"")</f>
        <v/>
      </c>
      <c r="J1851" s="25">
        <f>IFERROR(INDEX(Pedidos!$C$2:$C$1801,MATCH(B1851,Pedidos!$A$2:$A$1801,0)),"")</f>
        <v/>
      </c>
      <c r="K1851" s="25">
        <f>IFERROR(INDEX(Pedidos!$D$2:$D$1801,MATCH(B1851,Pedidos!$A$2:$A$1801,0)),"")</f>
        <v/>
      </c>
      <c r="L1851" s="25">
        <f>IFERROR(INDEX(Pedidos!$F$2:$F$1801,MATCH(B1851,Pedidos!$A$2:$A$1801,0)),"")</f>
        <v/>
      </c>
      <c r="M1851" s="26">
        <f>IFERROR(INDEX(Pedidos!$G$2:$G$1801,MATCH(B1851,Pedidos!$A$2:$A$1801,0)),0)</f>
        <v/>
      </c>
      <c r="N1851" s="25">
        <f>IFERROR(INDEX(Produtos!$B$2:$B$71,MATCH(C1851,Produtos!$A$2:$A$71,0)),"")</f>
        <v/>
      </c>
      <c r="O1851" s="25">
        <f>IFERROR(INDEX(Produtos!$C$2:$C$71,MATCH(C1851,Produtos!$A$2:$A$71,0)),"")</f>
        <v/>
      </c>
      <c r="P1851" s="25">
        <f>IFERROR(INDEX(Produtos!$D$2:$D$71,MATCH(C1851,Produtos!$A$2:$A$71,0)),0)</f>
        <v/>
      </c>
      <c r="Q1851" s="25">
        <f>IFERROR(INDEX(Produtos!$E$2:$E$71,MATCH(C1851,Produtos!$A$2:$A$71,0)),0)</f>
        <v/>
      </c>
      <c r="R1851" s="27">
        <f>D1851*Q1851</f>
        <v/>
      </c>
      <c r="S1851" s="27">
        <f>R1851*E1851</f>
        <v/>
      </c>
      <c r="T1851" s="27">
        <f>(R1851-S1851)*M1851</f>
        <v/>
      </c>
      <c r="U1851" s="27">
        <f>R1851-S1851-T1851</f>
        <v/>
      </c>
      <c r="V1851" s="27">
        <f>D1851*P1851</f>
        <v/>
      </c>
      <c r="W1851" s="27">
        <f>U1851-V1851</f>
        <v/>
      </c>
      <c r="X1851" s="28">
        <f>IFERROR(W1851/U1851,0)</f>
        <v/>
      </c>
    </row>
    <row r="1852">
      <c r="A1852" s="21">
        <f>ItensPedido!A1852</f>
        <v/>
      </c>
      <c r="B1852" s="21">
        <f>ItensPedido!B1852</f>
        <v/>
      </c>
      <c r="C1852" s="21">
        <f>ItensPedido!C1852</f>
        <v/>
      </c>
      <c r="D1852" s="21">
        <f>ItensPedido!D1852</f>
        <v/>
      </c>
      <c r="E1852" s="22">
        <f>ItensPedido!E1852</f>
        <v/>
      </c>
      <c r="F1852" s="21">
        <f>IFERROR(INDEX(Pedidos!$B$2:$B$1801,MATCH(B1852,Pedidos!$A$2:$A$1801,0)),0)</f>
        <v/>
      </c>
      <c r="G1852" s="21">
        <f>IF(F1852=0,"",YEAR(F1852))</f>
        <v/>
      </c>
      <c r="H1852" s="21">
        <f>IF(F1852=0,"",MONTH(F1852))</f>
        <v/>
      </c>
      <c r="I1852" s="21">
        <f>IFERROR(INDEX(Pedidos!$E$2:$E$1801,MATCH(B1852,Pedidos!$A$2:$A$1801,0)),"")</f>
        <v/>
      </c>
      <c r="J1852" s="21">
        <f>IFERROR(INDEX(Pedidos!$C$2:$C$1801,MATCH(B1852,Pedidos!$A$2:$A$1801,0)),"")</f>
        <v/>
      </c>
      <c r="K1852" s="21">
        <f>IFERROR(INDEX(Pedidos!$D$2:$D$1801,MATCH(B1852,Pedidos!$A$2:$A$1801,0)),"")</f>
        <v/>
      </c>
      <c r="L1852" s="21">
        <f>IFERROR(INDEX(Pedidos!$F$2:$F$1801,MATCH(B1852,Pedidos!$A$2:$A$1801,0)),"")</f>
        <v/>
      </c>
      <c r="M1852" s="22">
        <f>IFERROR(INDEX(Pedidos!$G$2:$G$1801,MATCH(B1852,Pedidos!$A$2:$A$1801,0)),0)</f>
        <v/>
      </c>
      <c r="N1852" s="21">
        <f>IFERROR(INDEX(Produtos!$B$2:$B$71,MATCH(C1852,Produtos!$A$2:$A$71,0)),"")</f>
        <v/>
      </c>
      <c r="O1852" s="21">
        <f>IFERROR(INDEX(Produtos!$C$2:$C$71,MATCH(C1852,Produtos!$A$2:$A$71,0)),"")</f>
        <v/>
      </c>
      <c r="P1852" s="21">
        <f>IFERROR(INDEX(Produtos!$D$2:$D$71,MATCH(C1852,Produtos!$A$2:$A$71,0)),0)</f>
        <v/>
      </c>
      <c r="Q1852" s="21">
        <f>IFERROR(INDEX(Produtos!$E$2:$E$71,MATCH(C1852,Produtos!$A$2:$A$71,0)),0)</f>
        <v/>
      </c>
      <c r="R1852" s="23">
        <f>D1852*Q1852</f>
        <v/>
      </c>
      <c r="S1852" s="23">
        <f>R1852*E1852</f>
        <v/>
      </c>
      <c r="T1852" s="23">
        <f>(R1852-S1852)*M1852</f>
        <v/>
      </c>
      <c r="U1852" s="23">
        <f>R1852-S1852-T1852</f>
        <v/>
      </c>
      <c r="V1852" s="23">
        <f>D1852*P1852</f>
        <v/>
      </c>
      <c r="W1852" s="23">
        <f>U1852-V1852</f>
        <v/>
      </c>
      <c r="X1852" s="24">
        <f>IFERROR(W1852/U1852,0)</f>
        <v/>
      </c>
    </row>
    <row r="1853">
      <c r="A1853" s="25">
        <f>ItensPedido!A1853</f>
        <v/>
      </c>
      <c r="B1853" s="25">
        <f>ItensPedido!B1853</f>
        <v/>
      </c>
      <c r="C1853" s="25">
        <f>ItensPedido!C1853</f>
        <v/>
      </c>
      <c r="D1853" s="25">
        <f>ItensPedido!D1853</f>
        <v/>
      </c>
      <c r="E1853" s="26">
        <f>ItensPedido!E1853</f>
        <v/>
      </c>
      <c r="F1853" s="25">
        <f>IFERROR(INDEX(Pedidos!$B$2:$B$1801,MATCH(B1853,Pedidos!$A$2:$A$1801,0)),0)</f>
        <v/>
      </c>
      <c r="G1853" s="25">
        <f>IF(F1853=0,"",YEAR(F1853))</f>
        <v/>
      </c>
      <c r="H1853" s="25">
        <f>IF(F1853=0,"",MONTH(F1853))</f>
        <v/>
      </c>
      <c r="I1853" s="25">
        <f>IFERROR(INDEX(Pedidos!$E$2:$E$1801,MATCH(B1853,Pedidos!$A$2:$A$1801,0)),"")</f>
        <v/>
      </c>
      <c r="J1853" s="25">
        <f>IFERROR(INDEX(Pedidos!$C$2:$C$1801,MATCH(B1853,Pedidos!$A$2:$A$1801,0)),"")</f>
        <v/>
      </c>
      <c r="K1853" s="25">
        <f>IFERROR(INDEX(Pedidos!$D$2:$D$1801,MATCH(B1853,Pedidos!$A$2:$A$1801,0)),"")</f>
        <v/>
      </c>
      <c r="L1853" s="25">
        <f>IFERROR(INDEX(Pedidos!$F$2:$F$1801,MATCH(B1853,Pedidos!$A$2:$A$1801,0)),"")</f>
        <v/>
      </c>
      <c r="M1853" s="26">
        <f>IFERROR(INDEX(Pedidos!$G$2:$G$1801,MATCH(B1853,Pedidos!$A$2:$A$1801,0)),0)</f>
        <v/>
      </c>
      <c r="N1853" s="25">
        <f>IFERROR(INDEX(Produtos!$B$2:$B$71,MATCH(C1853,Produtos!$A$2:$A$71,0)),"")</f>
        <v/>
      </c>
      <c r="O1853" s="25">
        <f>IFERROR(INDEX(Produtos!$C$2:$C$71,MATCH(C1853,Produtos!$A$2:$A$71,0)),"")</f>
        <v/>
      </c>
      <c r="P1853" s="25">
        <f>IFERROR(INDEX(Produtos!$D$2:$D$71,MATCH(C1853,Produtos!$A$2:$A$71,0)),0)</f>
        <v/>
      </c>
      <c r="Q1853" s="25">
        <f>IFERROR(INDEX(Produtos!$E$2:$E$71,MATCH(C1853,Produtos!$A$2:$A$71,0)),0)</f>
        <v/>
      </c>
      <c r="R1853" s="27">
        <f>D1853*Q1853</f>
        <v/>
      </c>
      <c r="S1853" s="27">
        <f>R1853*E1853</f>
        <v/>
      </c>
      <c r="T1853" s="27">
        <f>(R1853-S1853)*M1853</f>
        <v/>
      </c>
      <c r="U1853" s="27">
        <f>R1853-S1853-T1853</f>
        <v/>
      </c>
      <c r="V1853" s="27">
        <f>D1853*P1853</f>
        <v/>
      </c>
      <c r="W1853" s="27">
        <f>U1853-V1853</f>
        <v/>
      </c>
      <c r="X1853" s="28">
        <f>IFERROR(W1853/U1853,0)</f>
        <v/>
      </c>
    </row>
    <row r="1854">
      <c r="A1854" s="21">
        <f>ItensPedido!A1854</f>
        <v/>
      </c>
      <c r="B1854" s="21">
        <f>ItensPedido!B1854</f>
        <v/>
      </c>
      <c r="C1854" s="21">
        <f>ItensPedido!C1854</f>
        <v/>
      </c>
      <c r="D1854" s="21">
        <f>ItensPedido!D1854</f>
        <v/>
      </c>
      <c r="E1854" s="22">
        <f>ItensPedido!E1854</f>
        <v/>
      </c>
      <c r="F1854" s="21">
        <f>IFERROR(INDEX(Pedidos!$B$2:$B$1801,MATCH(B1854,Pedidos!$A$2:$A$1801,0)),0)</f>
        <v/>
      </c>
      <c r="G1854" s="21">
        <f>IF(F1854=0,"",YEAR(F1854))</f>
        <v/>
      </c>
      <c r="H1854" s="21">
        <f>IF(F1854=0,"",MONTH(F1854))</f>
        <v/>
      </c>
      <c r="I1854" s="21">
        <f>IFERROR(INDEX(Pedidos!$E$2:$E$1801,MATCH(B1854,Pedidos!$A$2:$A$1801,0)),"")</f>
        <v/>
      </c>
      <c r="J1854" s="21">
        <f>IFERROR(INDEX(Pedidos!$C$2:$C$1801,MATCH(B1854,Pedidos!$A$2:$A$1801,0)),"")</f>
        <v/>
      </c>
      <c r="K1854" s="21">
        <f>IFERROR(INDEX(Pedidos!$D$2:$D$1801,MATCH(B1854,Pedidos!$A$2:$A$1801,0)),"")</f>
        <v/>
      </c>
      <c r="L1854" s="21">
        <f>IFERROR(INDEX(Pedidos!$F$2:$F$1801,MATCH(B1854,Pedidos!$A$2:$A$1801,0)),"")</f>
        <v/>
      </c>
      <c r="M1854" s="22">
        <f>IFERROR(INDEX(Pedidos!$G$2:$G$1801,MATCH(B1854,Pedidos!$A$2:$A$1801,0)),0)</f>
        <v/>
      </c>
      <c r="N1854" s="21">
        <f>IFERROR(INDEX(Produtos!$B$2:$B$71,MATCH(C1854,Produtos!$A$2:$A$71,0)),"")</f>
        <v/>
      </c>
      <c r="O1854" s="21">
        <f>IFERROR(INDEX(Produtos!$C$2:$C$71,MATCH(C1854,Produtos!$A$2:$A$71,0)),"")</f>
        <v/>
      </c>
      <c r="P1854" s="21">
        <f>IFERROR(INDEX(Produtos!$D$2:$D$71,MATCH(C1854,Produtos!$A$2:$A$71,0)),0)</f>
        <v/>
      </c>
      <c r="Q1854" s="21">
        <f>IFERROR(INDEX(Produtos!$E$2:$E$71,MATCH(C1854,Produtos!$A$2:$A$71,0)),0)</f>
        <v/>
      </c>
      <c r="R1854" s="23">
        <f>D1854*Q1854</f>
        <v/>
      </c>
      <c r="S1854" s="23">
        <f>R1854*E1854</f>
        <v/>
      </c>
      <c r="T1854" s="23">
        <f>(R1854-S1854)*M1854</f>
        <v/>
      </c>
      <c r="U1854" s="23">
        <f>R1854-S1854-T1854</f>
        <v/>
      </c>
      <c r="V1854" s="23">
        <f>D1854*P1854</f>
        <v/>
      </c>
      <c r="W1854" s="23">
        <f>U1854-V1854</f>
        <v/>
      </c>
      <c r="X1854" s="24">
        <f>IFERROR(W1854/U1854,0)</f>
        <v/>
      </c>
    </row>
    <row r="1855">
      <c r="A1855" s="25">
        <f>ItensPedido!A1855</f>
        <v/>
      </c>
      <c r="B1855" s="25">
        <f>ItensPedido!B1855</f>
        <v/>
      </c>
      <c r="C1855" s="25">
        <f>ItensPedido!C1855</f>
        <v/>
      </c>
      <c r="D1855" s="25">
        <f>ItensPedido!D1855</f>
        <v/>
      </c>
      <c r="E1855" s="26">
        <f>ItensPedido!E1855</f>
        <v/>
      </c>
      <c r="F1855" s="25">
        <f>IFERROR(INDEX(Pedidos!$B$2:$B$1801,MATCH(B1855,Pedidos!$A$2:$A$1801,0)),0)</f>
        <v/>
      </c>
      <c r="G1855" s="25">
        <f>IF(F1855=0,"",YEAR(F1855))</f>
        <v/>
      </c>
      <c r="H1855" s="25">
        <f>IF(F1855=0,"",MONTH(F1855))</f>
        <v/>
      </c>
      <c r="I1855" s="25">
        <f>IFERROR(INDEX(Pedidos!$E$2:$E$1801,MATCH(B1855,Pedidos!$A$2:$A$1801,0)),"")</f>
        <v/>
      </c>
      <c r="J1855" s="25">
        <f>IFERROR(INDEX(Pedidos!$C$2:$C$1801,MATCH(B1855,Pedidos!$A$2:$A$1801,0)),"")</f>
        <v/>
      </c>
      <c r="K1855" s="25">
        <f>IFERROR(INDEX(Pedidos!$D$2:$D$1801,MATCH(B1855,Pedidos!$A$2:$A$1801,0)),"")</f>
        <v/>
      </c>
      <c r="L1855" s="25">
        <f>IFERROR(INDEX(Pedidos!$F$2:$F$1801,MATCH(B1855,Pedidos!$A$2:$A$1801,0)),"")</f>
        <v/>
      </c>
      <c r="M1855" s="26">
        <f>IFERROR(INDEX(Pedidos!$G$2:$G$1801,MATCH(B1855,Pedidos!$A$2:$A$1801,0)),0)</f>
        <v/>
      </c>
      <c r="N1855" s="25">
        <f>IFERROR(INDEX(Produtos!$B$2:$B$71,MATCH(C1855,Produtos!$A$2:$A$71,0)),"")</f>
        <v/>
      </c>
      <c r="O1855" s="25">
        <f>IFERROR(INDEX(Produtos!$C$2:$C$71,MATCH(C1855,Produtos!$A$2:$A$71,0)),"")</f>
        <v/>
      </c>
      <c r="P1855" s="25">
        <f>IFERROR(INDEX(Produtos!$D$2:$D$71,MATCH(C1855,Produtos!$A$2:$A$71,0)),0)</f>
        <v/>
      </c>
      <c r="Q1855" s="25">
        <f>IFERROR(INDEX(Produtos!$E$2:$E$71,MATCH(C1855,Produtos!$A$2:$A$71,0)),0)</f>
        <v/>
      </c>
      <c r="R1855" s="27">
        <f>D1855*Q1855</f>
        <v/>
      </c>
      <c r="S1855" s="27">
        <f>R1855*E1855</f>
        <v/>
      </c>
      <c r="T1855" s="27">
        <f>(R1855-S1855)*M1855</f>
        <v/>
      </c>
      <c r="U1855" s="27">
        <f>R1855-S1855-T1855</f>
        <v/>
      </c>
      <c r="V1855" s="27">
        <f>D1855*P1855</f>
        <v/>
      </c>
      <c r="W1855" s="27">
        <f>U1855-V1855</f>
        <v/>
      </c>
      <c r="X1855" s="28">
        <f>IFERROR(W1855/U1855,0)</f>
        <v/>
      </c>
    </row>
    <row r="1856">
      <c r="A1856" s="21">
        <f>ItensPedido!A1856</f>
        <v/>
      </c>
      <c r="B1856" s="21">
        <f>ItensPedido!B1856</f>
        <v/>
      </c>
      <c r="C1856" s="21">
        <f>ItensPedido!C1856</f>
        <v/>
      </c>
      <c r="D1856" s="21">
        <f>ItensPedido!D1856</f>
        <v/>
      </c>
      <c r="E1856" s="22">
        <f>ItensPedido!E1856</f>
        <v/>
      </c>
      <c r="F1856" s="21">
        <f>IFERROR(INDEX(Pedidos!$B$2:$B$1801,MATCH(B1856,Pedidos!$A$2:$A$1801,0)),0)</f>
        <v/>
      </c>
      <c r="G1856" s="21">
        <f>IF(F1856=0,"",YEAR(F1856))</f>
        <v/>
      </c>
      <c r="H1856" s="21">
        <f>IF(F1856=0,"",MONTH(F1856))</f>
        <v/>
      </c>
      <c r="I1856" s="21">
        <f>IFERROR(INDEX(Pedidos!$E$2:$E$1801,MATCH(B1856,Pedidos!$A$2:$A$1801,0)),"")</f>
        <v/>
      </c>
      <c r="J1856" s="21">
        <f>IFERROR(INDEX(Pedidos!$C$2:$C$1801,MATCH(B1856,Pedidos!$A$2:$A$1801,0)),"")</f>
        <v/>
      </c>
      <c r="K1856" s="21">
        <f>IFERROR(INDEX(Pedidos!$D$2:$D$1801,MATCH(B1856,Pedidos!$A$2:$A$1801,0)),"")</f>
        <v/>
      </c>
      <c r="L1856" s="21">
        <f>IFERROR(INDEX(Pedidos!$F$2:$F$1801,MATCH(B1856,Pedidos!$A$2:$A$1801,0)),"")</f>
        <v/>
      </c>
      <c r="M1856" s="22">
        <f>IFERROR(INDEX(Pedidos!$G$2:$G$1801,MATCH(B1856,Pedidos!$A$2:$A$1801,0)),0)</f>
        <v/>
      </c>
      <c r="N1856" s="21">
        <f>IFERROR(INDEX(Produtos!$B$2:$B$71,MATCH(C1856,Produtos!$A$2:$A$71,0)),"")</f>
        <v/>
      </c>
      <c r="O1856" s="21">
        <f>IFERROR(INDEX(Produtos!$C$2:$C$71,MATCH(C1856,Produtos!$A$2:$A$71,0)),"")</f>
        <v/>
      </c>
      <c r="P1856" s="21">
        <f>IFERROR(INDEX(Produtos!$D$2:$D$71,MATCH(C1856,Produtos!$A$2:$A$71,0)),0)</f>
        <v/>
      </c>
      <c r="Q1856" s="21">
        <f>IFERROR(INDEX(Produtos!$E$2:$E$71,MATCH(C1856,Produtos!$A$2:$A$71,0)),0)</f>
        <v/>
      </c>
      <c r="R1856" s="23">
        <f>D1856*Q1856</f>
        <v/>
      </c>
      <c r="S1856" s="23">
        <f>R1856*E1856</f>
        <v/>
      </c>
      <c r="T1856" s="23">
        <f>(R1856-S1856)*M1856</f>
        <v/>
      </c>
      <c r="U1856" s="23">
        <f>R1856-S1856-T1856</f>
        <v/>
      </c>
      <c r="V1856" s="23">
        <f>D1856*P1856</f>
        <v/>
      </c>
      <c r="W1856" s="23">
        <f>U1856-V1856</f>
        <v/>
      </c>
      <c r="X1856" s="24">
        <f>IFERROR(W1856/U1856,0)</f>
        <v/>
      </c>
    </row>
    <row r="1857">
      <c r="A1857" s="25">
        <f>ItensPedido!A1857</f>
        <v/>
      </c>
      <c r="B1857" s="25">
        <f>ItensPedido!B1857</f>
        <v/>
      </c>
      <c r="C1857" s="25">
        <f>ItensPedido!C1857</f>
        <v/>
      </c>
      <c r="D1857" s="25">
        <f>ItensPedido!D1857</f>
        <v/>
      </c>
      <c r="E1857" s="26">
        <f>ItensPedido!E1857</f>
        <v/>
      </c>
      <c r="F1857" s="25">
        <f>IFERROR(INDEX(Pedidos!$B$2:$B$1801,MATCH(B1857,Pedidos!$A$2:$A$1801,0)),0)</f>
        <v/>
      </c>
      <c r="G1857" s="25">
        <f>IF(F1857=0,"",YEAR(F1857))</f>
        <v/>
      </c>
      <c r="H1857" s="25">
        <f>IF(F1857=0,"",MONTH(F1857))</f>
        <v/>
      </c>
      <c r="I1857" s="25">
        <f>IFERROR(INDEX(Pedidos!$E$2:$E$1801,MATCH(B1857,Pedidos!$A$2:$A$1801,0)),"")</f>
        <v/>
      </c>
      <c r="J1857" s="25">
        <f>IFERROR(INDEX(Pedidos!$C$2:$C$1801,MATCH(B1857,Pedidos!$A$2:$A$1801,0)),"")</f>
        <v/>
      </c>
      <c r="K1857" s="25">
        <f>IFERROR(INDEX(Pedidos!$D$2:$D$1801,MATCH(B1857,Pedidos!$A$2:$A$1801,0)),"")</f>
        <v/>
      </c>
      <c r="L1857" s="25">
        <f>IFERROR(INDEX(Pedidos!$F$2:$F$1801,MATCH(B1857,Pedidos!$A$2:$A$1801,0)),"")</f>
        <v/>
      </c>
      <c r="M1857" s="26">
        <f>IFERROR(INDEX(Pedidos!$G$2:$G$1801,MATCH(B1857,Pedidos!$A$2:$A$1801,0)),0)</f>
        <v/>
      </c>
      <c r="N1857" s="25">
        <f>IFERROR(INDEX(Produtos!$B$2:$B$71,MATCH(C1857,Produtos!$A$2:$A$71,0)),"")</f>
        <v/>
      </c>
      <c r="O1857" s="25">
        <f>IFERROR(INDEX(Produtos!$C$2:$C$71,MATCH(C1857,Produtos!$A$2:$A$71,0)),"")</f>
        <v/>
      </c>
      <c r="P1857" s="25">
        <f>IFERROR(INDEX(Produtos!$D$2:$D$71,MATCH(C1857,Produtos!$A$2:$A$71,0)),0)</f>
        <v/>
      </c>
      <c r="Q1857" s="25">
        <f>IFERROR(INDEX(Produtos!$E$2:$E$71,MATCH(C1857,Produtos!$A$2:$A$71,0)),0)</f>
        <v/>
      </c>
      <c r="R1857" s="27">
        <f>D1857*Q1857</f>
        <v/>
      </c>
      <c r="S1857" s="27">
        <f>R1857*E1857</f>
        <v/>
      </c>
      <c r="T1857" s="27">
        <f>(R1857-S1857)*M1857</f>
        <v/>
      </c>
      <c r="U1857" s="27">
        <f>R1857-S1857-T1857</f>
        <v/>
      </c>
      <c r="V1857" s="27">
        <f>D1857*P1857</f>
        <v/>
      </c>
      <c r="W1857" s="27">
        <f>U1857-V1857</f>
        <v/>
      </c>
      <c r="X1857" s="28">
        <f>IFERROR(W1857/U1857,0)</f>
        <v/>
      </c>
    </row>
    <row r="1858">
      <c r="A1858" s="21">
        <f>ItensPedido!A1858</f>
        <v/>
      </c>
      <c r="B1858" s="21">
        <f>ItensPedido!B1858</f>
        <v/>
      </c>
      <c r="C1858" s="21">
        <f>ItensPedido!C1858</f>
        <v/>
      </c>
      <c r="D1858" s="21">
        <f>ItensPedido!D1858</f>
        <v/>
      </c>
      <c r="E1858" s="22">
        <f>ItensPedido!E1858</f>
        <v/>
      </c>
      <c r="F1858" s="21">
        <f>IFERROR(INDEX(Pedidos!$B$2:$B$1801,MATCH(B1858,Pedidos!$A$2:$A$1801,0)),0)</f>
        <v/>
      </c>
      <c r="G1858" s="21">
        <f>IF(F1858=0,"",YEAR(F1858))</f>
        <v/>
      </c>
      <c r="H1858" s="21">
        <f>IF(F1858=0,"",MONTH(F1858))</f>
        <v/>
      </c>
      <c r="I1858" s="21">
        <f>IFERROR(INDEX(Pedidos!$E$2:$E$1801,MATCH(B1858,Pedidos!$A$2:$A$1801,0)),"")</f>
        <v/>
      </c>
      <c r="J1858" s="21">
        <f>IFERROR(INDEX(Pedidos!$C$2:$C$1801,MATCH(B1858,Pedidos!$A$2:$A$1801,0)),"")</f>
        <v/>
      </c>
      <c r="K1858" s="21">
        <f>IFERROR(INDEX(Pedidos!$D$2:$D$1801,MATCH(B1858,Pedidos!$A$2:$A$1801,0)),"")</f>
        <v/>
      </c>
      <c r="L1858" s="21">
        <f>IFERROR(INDEX(Pedidos!$F$2:$F$1801,MATCH(B1858,Pedidos!$A$2:$A$1801,0)),"")</f>
        <v/>
      </c>
      <c r="M1858" s="22">
        <f>IFERROR(INDEX(Pedidos!$G$2:$G$1801,MATCH(B1858,Pedidos!$A$2:$A$1801,0)),0)</f>
        <v/>
      </c>
      <c r="N1858" s="21">
        <f>IFERROR(INDEX(Produtos!$B$2:$B$71,MATCH(C1858,Produtos!$A$2:$A$71,0)),"")</f>
        <v/>
      </c>
      <c r="O1858" s="21">
        <f>IFERROR(INDEX(Produtos!$C$2:$C$71,MATCH(C1858,Produtos!$A$2:$A$71,0)),"")</f>
        <v/>
      </c>
      <c r="P1858" s="21">
        <f>IFERROR(INDEX(Produtos!$D$2:$D$71,MATCH(C1858,Produtos!$A$2:$A$71,0)),0)</f>
        <v/>
      </c>
      <c r="Q1858" s="21">
        <f>IFERROR(INDEX(Produtos!$E$2:$E$71,MATCH(C1858,Produtos!$A$2:$A$71,0)),0)</f>
        <v/>
      </c>
      <c r="R1858" s="23">
        <f>D1858*Q1858</f>
        <v/>
      </c>
      <c r="S1858" s="23">
        <f>R1858*E1858</f>
        <v/>
      </c>
      <c r="T1858" s="23">
        <f>(R1858-S1858)*M1858</f>
        <v/>
      </c>
      <c r="U1858" s="23">
        <f>R1858-S1858-T1858</f>
        <v/>
      </c>
      <c r="V1858" s="23">
        <f>D1858*P1858</f>
        <v/>
      </c>
      <c r="W1858" s="23">
        <f>U1858-V1858</f>
        <v/>
      </c>
      <c r="X1858" s="24">
        <f>IFERROR(W1858/U1858,0)</f>
        <v/>
      </c>
    </row>
    <row r="1859">
      <c r="A1859" s="25">
        <f>ItensPedido!A1859</f>
        <v/>
      </c>
      <c r="B1859" s="25">
        <f>ItensPedido!B1859</f>
        <v/>
      </c>
      <c r="C1859" s="25">
        <f>ItensPedido!C1859</f>
        <v/>
      </c>
      <c r="D1859" s="25">
        <f>ItensPedido!D1859</f>
        <v/>
      </c>
      <c r="E1859" s="26">
        <f>ItensPedido!E1859</f>
        <v/>
      </c>
      <c r="F1859" s="25">
        <f>IFERROR(INDEX(Pedidos!$B$2:$B$1801,MATCH(B1859,Pedidos!$A$2:$A$1801,0)),0)</f>
        <v/>
      </c>
      <c r="G1859" s="25">
        <f>IF(F1859=0,"",YEAR(F1859))</f>
        <v/>
      </c>
      <c r="H1859" s="25">
        <f>IF(F1859=0,"",MONTH(F1859))</f>
        <v/>
      </c>
      <c r="I1859" s="25">
        <f>IFERROR(INDEX(Pedidos!$E$2:$E$1801,MATCH(B1859,Pedidos!$A$2:$A$1801,0)),"")</f>
        <v/>
      </c>
      <c r="J1859" s="25">
        <f>IFERROR(INDEX(Pedidos!$C$2:$C$1801,MATCH(B1859,Pedidos!$A$2:$A$1801,0)),"")</f>
        <v/>
      </c>
      <c r="K1859" s="25">
        <f>IFERROR(INDEX(Pedidos!$D$2:$D$1801,MATCH(B1859,Pedidos!$A$2:$A$1801,0)),"")</f>
        <v/>
      </c>
      <c r="L1859" s="25">
        <f>IFERROR(INDEX(Pedidos!$F$2:$F$1801,MATCH(B1859,Pedidos!$A$2:$A$1801,0)),"")</f>
        <v/>
      </c>
      <c r="M1859" s="26">
        <f>IFERROR(INDEX(Pedidos!$G$2:$G$1801,MATCH(B1859,Pedidos!$A$2:$A$1801,0)),0)</f>
        <v/>
      </c>
      <c r="N1859" s="25">
        <f>IFERROR(INDEX(Produtos!$B$2:$B$71,MATCH(C1859,Produtos!$A$2:$A$71,0)),"")</f>
        <v/>
      </c>
      <c r="O1859" s="25">
        <f>IFERROR(INDEX(Produtos!$C$2:$C$71,MATCH(C1859,Produtos!$A$2:$A$71,0)),"")</f>
        <v/>
      </c>
      <c r="P1859" s="25">
        <f>IFERROR(INDEX(Produtos!$D$2:$D$71,MATCH(C1859,Produtos!$A$2:$A$71,0)),0)</f>
        <v/>
      </c>
      <c r="Q1859" s="25">
        <f>IFERROR(INDEX(Produtos!$E$2:$E$71,MATCH(C1859,Produtos!$A$2:$A$71,0)),0)</f>
        <v/>
      </c>
      <c r="R1859" s="27">
        <f>D1859*Q1859</f>
        <v/>
      </c>
      <c r="S1859" s="27">
        <f>R1859*E1859</f>
        <v/>
      </c>
      <c r="T1859" s="27">
        <f>(R1859-S1859)*M1859</f>
        <v/>
      </c>
      <c r="U1859" s="27">
        <f>R1859-S1859-T1859</f>
        <v/>
      </c>
      <c r="V1859" s="27">
        <f>D1859*P1859</f>
        <v/>
      </c>
      <c r="W1859" s="27">
        <f>U1859-V1859</f>
        <v/>
      </c>
      <c r="X1859" s="28">
        <f>IFERROR(W1859/U1859,0)</f>
        <v/>
      </c>
    </row>
    <row r="1860">
      <c r="A1860" s="21">
        <f>ItensPedido!A1860</f>
        <v/>
      </c>
      <c r="B1860" s="21">
        <f>ItensPedido!B1860</f>
        <v/>
      </c>
      <c r="C1860" s="21">
        <f>ItensPedido!C1860</f>
        <v/>
      </c>
      <c r="D1860" s="21">
        <f>ItensPedido!D1860</f>
        <v/>
      </c>
      <c r="E1860" s="22">
        <f>ItensPedido!E1860</f>
        <v/>
      </c>
      <c r="F1860" s="21">
        <f>IFERROR(INDEX(Pedidos!$B$2:$B$1801,MATCH(B1860,Pedidos!$A$2:$A$1801,0)),0)</f>
        <v/>
      </c>
      <c r="G1860" s="21">
        <f>IF(F1860=0,"",YEAR(F1860))</f>
        <v/>
      </c>
      <c r="H1860" s="21">
        <f>IF(F1860=0,"",MONTH(F1860))</f>
        <v/>
      </c>
      <c r="I1860" s="21">
        <f>IFERROR(INDEX(Pedidos!$E$2:$E$1801,MATCH(B1860,Pedidos!$A$2:$A$1801,0)),"")</f>
        <v/>
      </c>
      <c r="J1860" s="21">
        <f>IFERROR(INDEX(Pedidos!$C$2:$C$1801,MATCH(B1860,Pedidos!$A$2:$A$1801,0)),"")</f>
        <v/>
      </c>
      <c r="K1860" s="21">
        <f>IFERROR(INDEX(Pedidos!$D$2:$D$1801,MATCH(B1860,Pedidos!$A$2:$A$1801,0)),"")</f>
        <v/>
      </c>
      <c r="L1860" s="21">
        <f>IFERROR(INDEX(Pedidos!$F$2:$F$1801,MATCH(B1860,Pedidos!$A$2:$A$1801,0)),"")</f>
        <v/>
      </c>
      <c r="M1860" s="22">
        <f>IFERROR(INDEX(Pedidos!$G$2:$G$1801,MATCH(B1860,Pedidos!$A$2:$A$1801,0)),0)</f>
        <v/>
      </c>
      <c r="N1860" s="21">
        <f>IFERROR(INDEX(Produtos!$B$2:$B$71,MATCH(C1860,Produtos!$A$2:$A$71,0)),"")</f>
        <v/>
      </c>
      <c r="O1860" s="21">
        <f>IFERROR(INDEX(Produtos!$C$2:$C$71,MATCH(C1860,Produtos!$A$2:$A$71,0)),"")</f>
        <v/>
      </c>
      <c r="P1860" s="21">
        <f>IFERROR(INDEX(Produtos!$D$2:$D$71,MATCH(C1860,Produtos!$A$2:$A$71,0)),0)</f>
        <v/>
      </c>
      <c r="Q1860" s="21">
        <f>IFERROR(INDEX(Produtos!$E$2:$E$71,MATCH(C1860,Produtos!$A$2:$A$71,0)),0)</f>
        <v/>
      </c>
      <c r="R1860" s="23">
        <f>D1860*Q1860</f>
        <v/>
      </c>
      <c r="S1860" s="23">
        <f>R1860*E1860</f>
        <v/>
      </c>
      <c r="T1860" s="23">
        <f>(R1860-S1860)*M1860</f>
        <v/>
      </c>
      <c r="U1860" s="23">
        <f>R1860-S1860-T1860</f>
        <v/>
      </c>
      <c r="V1860" s="23">
        <f>D1860*P1860</f>
        <v/>
      </c>
      <c r="W1860" s="23">
        <f>U1860-V1860</f>
        <v/>
      </c>
      <c r="X1860" s="24">
        <f>IFERROR(W1860/U1860,0)</f>
        <v/>
      </c>
    </row>
    <row r="1861">
      <c r="A1861" s="25">
        <f>ItensPedido!A1861</f>
        <v/>
      </c>
      <c r="B1861" s="25">
        <f>ItensPedido!B1861</f>
        <v/>
      </c>
      <c r="C1861" s="25">
        <f>ItensPedido!C1861</f>
        <v/>
      </c>
      <c r="D1861" s="25">
        <f>ItensPedido!D1861</f>
        <v/>
      </c>
      <c r="E1861" s="26">
        <f>ItensPedido!E1861</f>
        <v/>
      </c>
      <c r="F1861" s="25">
        <f>IFERROR(INDEX(Pedidos!$B$2:$B$1801,MATCH(B1861,Pedidos!$A$2:$A$1801,0)),0)</f>
        <v/>
      </c>
      <c r="G1861" s="25">
        <f>IF(F1861=0,"",YEAR(F1861))</f>
        <v/>
      </c>
      <c r="H1861" s="25">
        <f>IF(F1861=0,"",MONTH(F1861))</f>
        <v/>
      </c>
      <c r="I1861" s="25">
        <f>IFERROR(INDEX(Pedidos!$E$2:$E$1801,MATCH(B1861,Pedidos!$A$2:$A$1801,0)),"")</f>
        <v/>
      </c>
      <c r="J1861" s="25">
        <f>IFERROR(INDEX(Pedidos!$C$2:$C$1801,MATCH(B1861,Pedidos!$A$2:$A$1801,0)),"")</f>
        <v/>
      </c>
      <c r="K1861" s="25">
        <f>IFERROR(INDEX(Pedidos!$D$2:$D$1801,MATCH(B1861,Pedidos!$A$2:$A$1801,0)),"")</f>
        <v/>
      </c>
      <c r="L1861" s="25">
        <f>IFERROR(INDEX(Pedidos!$F$2:$F$1801,MATCH(B1861,Pedidos!$A$2:$A$1801,0)),"")</f>
        <v/>
      </c>
      <c r="M1861" s="26">
        <f>IFERROR(INDEX(Pedidos!$G$2:$G$1801,MATCH(B1861,Pedidos!$A$2:$A$1801,0)),0)</f>
        <v/>
      </c>
      <c r="N1861" s="25">
        <f>IFERROR(INDEX(Produtos!$B$2:$B$71,MATCH(C1861,Produtos!$A$2:$A$71,0)),"")</f>
        <v/>
      </c>
      <c r="O1861" s="25">
        <f>IFERROR(INDEX(Produtos!$C$2:$C$71,MATCH(C1861,Produtos!$A$2:$A$71,0)),"")</f>
        <v/>
      </c>
      <c r="P1861" s="25">
        <f>IFERROR(INDEX(Produtos!$D$2:$D$71,MATCH(C1861,Produtos!$A$2:$A$71,0)),0)</f>
        <v/>
      </c>
      <c r="Q1861" s="25">
        <f>IFERROR(INDEX(Produtos!$E$2:$E$71,MATCH(C1861,Produtos!$A$2:$A$71,0)),0)</f>
        <v/>
      </c>
      <c r="R1861" s="27">
        <f>D1861*Q1861</f>
        <v/>
      </c>
      <c r="S1861" s="27">
        <f>R1861*E1861</f>
        <v/>
      </c>
      <c r="T1861" s="27">
        <f>(R1861-S1861)*M1861</f>
        <v/>
      </c>
      <c r="U1861" s="27">
        <f>R1861-S1861-T1861</f>
        <v/>
      </c>
      <c r="V1861" s="27">
        <f>D1861*P1861</f>
        <v/>
      </c>
      <c r="W1861" s="27">
        <f>U1861-V1861</f>
        <v/>
      </c>
      <c r="X1861" s="28">
        <f>IFERROR(W1861/U1861,0)</f>
        <v/>
      </c>
    </row>
    <row r="1862">
      <c r="A1862" s="21">
        <f>ItensPedido!A1862</f>
        <v/>
      </c>
      <c r="B1862" s="21">
        <f>ItensPedido!B1862</f>
        <v/>
      </c>
      <c r="C1862" s="21">
        <f>ItensPedido!C1862</f>
        <v/>
      </c>
      <c r="D1862" s="21">
        <f>ItensPedido!D1862</f>
        <v/>
      </c>
      <c r="E1862" s="22">
        <f>ItensPedido!E1862</f>
        <v/>
      </c>
      <c r="F1862" s="21">
        <f>IFERROR(INDEX(Pedidos!$B$2:$B$1801,MATCH(B1862,Pedidos!$A$2:$A$1801,0)),0)</f>
        <v/>
      </c>
      <c r="G1862" s="21">
        <f>IF(F1862=0,"",YEAR(F1862))</f>
        <v/>
      </c>
      <c r="H1862" s="21">
        <f>IF(F1862=0,"",MONTH(F1862))</f>
        <v/>
      </c>
      <c r="I1862" s="21">
        <f>IFERROR(INDEX(Pedidos!$E$2:$E$1801,MATCH(B1862,Pedidos!$A$2:$A$1801,0)),"")</f>
        <v/>
      </c>
      <c r="J1862" s="21">
        <f>IFERROR(INDEX(Pedidos!$C$2:$C$1801,MATCH(B1862,Pedidos!$A$2:$A$1801,0)),"")</f>
        <v/>
      </c>
      <c r="K1862" s="21">
        <f>IFERROR(INDEX(Pedidos!$D$2:$D$1801,MATCH(B1862,Pedidos!$A$2:$A$1801,0)),"")</f>
        <v/>
      </c>
      <c r="L1862" s="21">
        <f>IFERROR(INDEX(Pedidos!$F$2:$F$1801,MATCH(B1862,Pedidos!$A$2:$A$1801,0)),"")</f>
        <v/>
      </c>
      <c r="M1862" s="22">
        <f>IFERROR(INDEX(Pedidos!$G$2:$G$1801,MATCH(B1862,Pedidos!$A$2:$A$1801,0)),0)</f>
        <v/>
      </c>
      <c r="N1862" s="21">
        <f>IFERROR(INDEX(Produtos!$B$2:$B$71,MATCH(C1862,Produtos!$A$2:$A$71,0)),"")</f>
        <v/>
      </c>
      <c r="O1862" s="21">
        <f>IFERROR(INDEX(Produtos!$C$2:$C$71,MATCH(C1862,Produtos!$A$2:$A$71,0)),"")</f>
        <v/>
      </c>
      <c r="P1862" s="21">
        <f>IFERROR(INDEX(Produtos!$D$2:$D$71,MATCH(C1862,Produtos!$A$2:$A$71,0)),0)</f>
        <v/>
      </c>
      <c r="Q1862" s="21">
        <f>IFERROR(INDEX(Produtos!$E$2:$E$71,MATCH(C1862,Produtos!$A$2:$A$71,0)),0)</f>
        <v/>
      </c>
      <c r="R1862" s="23">
        <f>D1862*Q1862</f>
        <v/>
      </c>
      <c r="S1862" s="23">
        <f>R1862*E1862</f>
        <v/>
      </c>
      <c r="T1862" s="23">
        <f>(R1862-S1862)*M1862</f>
        <v/>
      </c>
      <c r="U1862" s="23">
        <f>R1862-S1862-T1862</f>
        <v/>
      </c>
      <c r="V1862" s="23">
        <f>D1862*P1862</f>
        <v/>
      </c>
      <c r="W1862" s="23">
        <f>U1862-V1862</f>
        <v/>
      </c>
      <c r="X1862" s="24">
        <f>IFERROR(W1862/U1862,0)</f>
        <v/>
      </c>
    </row>
    <row r="1863">
      <c r="A1863" s="25">
        <f>ItensPedido!A1863</f>
        <v/>
      </c>
      <c r="B1863" s="25">
        <f>ItensPedido!B1863</f>
        <v/>
      </c>
      <c r="C1863" s="25">
        <f>ItensPedido!C1863</f>
        <v/>
      </c>
      <c r="D1863" s="25">
        <f>ItensPedido!D1863</f>
        <v/>
      </c>
      <c r="E1863" s="26">
        <f>ItensPedido!E1863</f>
        <v/>
      </c>
      <c r="F1863" s="25">
        <f>IFERROR(INDEX(Pedidos!$B$2:$B$1801,MATCH(B1863,Pedidos!$A$2:$A$1801,0)),0)</f>
        <v/>
      </c>
      <c r="G1863" s="25">
        <f>IF(F1863=0,"",YEAR(F1863))</f>
        <v/>
      </c>
      <c r="H1863" s="25">
        <f>IF(F1863=0,"",MONTH(F1863))</f>
        <v/>
      </c>
      <c r="I1863" s="25">
        <f>IFERROR(INDEX(Pedidos!$E$2:$E$1801,MATCH(B1863,Pedidos!$A$2:$A$1801,0)),"")</f>
        <v/>
      </c>
      <c r="J1863" s="25">
        <f>IFERROR(INDEX(Pedidos!$C$2:$C$1801,MATCH(B1863,Pedidos!$A$2:$A$1801,0)),"")</f>
        <v/>
      </c>
      <c r="K1863" s="25">
        <f>IFERROR(INDEX(Pedidos!$D$2:$D$1801,MATCH(B1863,Pedidos!$A$2:$A$1801,0)),"")</f>
        <v/>
      </c>
      <c r="L1863" s="25">
        <f>IFERROR(INDEX(Pedidos!$F$2:$F$1801,MATCH(B1863,Pedidos!$A$2:$A$1801,0)),"")</f>
        <v/>
      </c>
      <c r="M1863" s="26">
        <f>IFERROR(INDEX(Pedidos!$G$2:$G$1801,MATCH(B1863,Pedidos!$A$2:$A$1801,0)),0)</f>
        <v/>
      </c>
      <c r="N1863" s="25">
        <f>IFERROR(INDEX(Produtos!$B$2:$B$71,MATCH(C1863,Produtos!$A$2:$A$71,0)),"")</f>
        <v/>
      </c>
      <c r="O1863" s="25">
        <f>IFERROR(INDEX(Produtos!$C$2:$C$71,MATCH(C1863,Produtos!$A$2:$A$71,0)),"")</f>
        <v/>
      </c>
      <c r="P1863" s="25">
        <f>IFERROR(INDEX(Produtos!$D$2:$D$71,MATCH(C1863,Produtos!$A$2:$A$71,0)),0)</f>
        <v/>
      </c>
      <c r="Q1863" s="25">
        <f>IFERROR(INDEX(Produtos!$E$2:$E$71,MATCH(C1863,Produtos!$A$2:$A$71,0)),0)</f>
        <v/>
      </c>
      <c r="R1863" s="27">
        <f>D1863*Q1863</f>
        <v/>
      </c>
      <c r="S1863" s="27">
        <f>R1863*E1863</f>
        <v/>
      </c>
      <c r="T1863" s="27">
        <f>(R1863-S1863)*M1863</f>
        <v/>
      </c>
      <c r="U1863" s="27">
        <f>R1863-S1863-T1863</f>
        <v/>
      </c>
      <c r="V1863" s="27">
        <f>D1863*P1863</f>
        <v/>
      </c>
      <c r="W1863" s="27">
        <f>U1863-V1863</f>
        <v/>
      </c>
      <c r="X1863" s="28">
        <f>IFERROR(W1863/U1863,0)</f>
        <v/>
      </c>
    </row>
    <row r="1864">
      <c r="A1864" s="21">
        <f>ItensPedido!A1864</f>
        <v/>
      </c>
      <c r="B1864" s="21">
        <f>ItensPedido!B1864</f>
        <v/>
      </c>
      <c r="C1864" s="21">
        <f>ItensPedido!C1864</f>
        <v/>
      </c>
      <c r="D1864" s="21">
        <f>ItensPedido!D1864</f>
        <v/>
      </c>
      <c r="E1864" s="22">
        <f>ItensPedido!E1864</f>
        <v/>
      </c>
      <c r="F1864" s="21">
        <f>IFERROR(INDEX(Pedidos!$B$2:$B$1801,MATCH(B1864,Pedidos!$A$2:$A$1801,0)),0)</f>
        <v/>
      </c>
      <c r="G1864" s="21">
        <f>IF(F1864=0,"",YEAR(F1864))</f>
        <v/>
      </c>
      <c r="H1864" s="21">
        <f>IF(F1864=0,"",MONTH(F1864))</f>
        <v/>
      </c>
      <c r="I1864" s="21">
        <f>IFERROR(INDEX(Pedidos!$E$2:$E$1801,MATCH(B1864,Pedidos!$A$2:$A$1801,0)),"")</f>
        <v/>
      </c>
      <c r="J1864" s="21">
        <f>IFERROR(INDEX(Pedidos!$C$2:$C$1801,MATCH(B1864,Pedidos!$A$2:$A$1801,0)),"")</f>
        <v/>
      </c>
      <c r="K1864" s="21">
        <f>IFERROR(INDEX(Pedidos!$D$2:$D$1801,MATCH(B1864,Pedidos!$A$2:$A$1801,0)),"")</f>
        <v/>
      </c>
      <c r="L1864" s="21">
        <f>IFERROR(INDEX(Pedidos!$F$2:$F$1801,MATCH(B1864,Pedidos!$A$2:$A$1801,0)),"")</f>
        <v/>
      </c>
      <c r="M1864" s="22">
        <f>IFERROR(INDEX(Pedidos!$G$2:$G$1801,MATCH(B1864,Pedidos!$A$2:$A$1801,0)),0)</f>
        <v/>
      </c>
      <c r="N1864" s="21">
        <f>IFERROR(INDEX(Produtos!$B$2:$B$71,MATCH(C1864,Produtos!$A$2:$A$71,0)),"")</f>
        <v/>
      </c>
      <c r="O1864" s="21">
        <f>IFERROR(INDEX(Produtos!$C$2:$C$71,MATCH(C1864,Produtos!$A$2:$A$71,0)),"")</f>
        <v/>
      </c>
      <c r="P1864" s="21">
        <f>IFERROR(INDEX(Produtos!$D$2:$D$71,MATCH(C1864,Produtos!$A$2:$A$71,0)),0)</f>
        <v/>
      </c>
      <c r="Q1864" s="21">
        <f>IFERROR(INDEX(Produtos!$E$2:$E$71,MATCH(C1864,Produtos!$A$2:$A$71,0)),0)</f>
        <v/>
      </c>
      <c r="R1864" s="23">
        <f>D1864*Q1864</f>
        <v/>
      </c>
      <c r="S1864" s="23">
        <f>R1864*E1864</f>
        <v/>
      </c>
      <c r="T1864" s="23">
        <f>(R1864-S1864)*M1864</f>
        <v/>
      </c>
      <c r="U1864" s="23">
        <f>R1864-S1864-T1864</f>
        <v/>
      </c>
      <c r="V1864" s="23">
        <f>D1864*P1864</f>
        <v/>
      </c>
      <c r="W1864" s="23">
        <f>U1864-V1864</f>
        <v/>
      </c>
      <c r="X1864" s="24">
        <f>IFERROR(W1864/U1864,0)</f>
        <v/>
      </c>
    </row>
    <row r="1865">
      <c r="A1865" s="25">
        <f>ItensPedido!A1865</f>
        <v/>
      </c>
      <c r="B1865" s="25">
        <f>ItensPedido!B1865</f>
        <v/>
      </c>
      <c r="C1865" s="25">
        <f>ItensPedido!C1865</f>
        <v/>
      </c>
      <c r="D1865" s="25">
        <f>ItensPedido!D1865</f>
        <v/>
      </c>
      <c r="E1865" s="26">
        <f>ItensPedido!E1865</f>
        <v/>
      </c>
      <c r="F1865" s="25">
        <f>IFERROR(INDEX(Pedidos!$B$2:$B$1801,MATCH(B1865,Pedidos!$A$2:$A$1801,0)),0)</f>
        <v/>
      </c>
      <c r="G1865" s="25">
        <f>IF(F1865=0,"",YEAR(F1865))</f>
        <v/>
      </c>
      <c r="H1865" s="25">
        <f>IF(F1865=0,"",MONTH(F1865))</f>
        <v/>
      </c>
      <c r="I1865" s="25">
        <f>IFERROR(INDEX(Pedidos!$E$2:$E$1801,MATCH(B1865,Pedidos!$A$2:$A$1801,0)),"")</f>
        <v/>
      </c>
      <c r="J1865" s="25">
        <f>IFERROR(INDEX(Pedidos!$C$2:$C$1801,MATCH(B1865,Pedidos!$A$2:$A$1801,0)),"")</f>
        <v/>
      </c>
      <c r="K1865" s="25">
        <f>IFERROR(INDEX(Pedidos!$D$2:$D$1801,MATCH(B1865,Pedidos!$A$2:$A$1801,0)),"")</f>
        <v/>
      </c>
      <c r="L1865" s="25">
        <f>IFERROR(INDEX(Pedidos!$F$2:$F$1801,MATCH(B1865,Pedidos!$A$2:$A$1801,0)),"")</f>
        <v/>
      </c>
      <c r="M1865" s="26">
        <f>IFERROR(INDEX(Pedidos!$G$2:$G$1801,MATCH(B1865,Pedidos!$A$2:$A$1801,0)),0)</f>
        <v/>
      </c>
      <c r="N1865" s="25">
        <f>IFERROR(INDEX(Produtos!$B$2:$B$71,MATCH(C1865,Produtos!$A$2:$A$71,0)),"")</f>
        <v/>
      </c>
      <c r="O1865" s="25">
        <f>IFERROR(INDEX(Produtos!$C$2:$C$71,MATCH(C1865,Produtos!$A$2:$A$71,0)),"")</f>
        <v/>
      </c>
      <c r="P1865" s="25">
        <f>IFERROR(INDEX(Produtos!$D$2:$D$71,MATCH(C1865,Produtos!$A$2:$A$71,0)),0)</f>
        <v/>
      </c>
      <c r="Q1865" s="25">
        <f>IFERROR(INDEX(Produtos!$E$2:$E$71,MATCH(C1865,Produtos!$A$2:$A$71,0)),0)</f>
        <v/>
      </c>
      <c r="R1865" s="27">
        <f>D1865*Q1865</f>
        <v/>
      </c>
      <c r="S1865" s="27">
        <f>R1865*E1865</f>
        <v/>
      </c>
      <c r="T1865" s="27">
        <f>(R1865-S1865)*M1865</f>
        <v/>
      </c>
      <c r="U1865" s="27">
        <f>R1865-S1865-T1865</f>
        <v/>
      </c>
      <c r="V1865" s="27">
        <f>D1865*P1865</f>
        <v/>
      </c>
      <c r="W1865" s="27">
        <f>U1865-V1865</f>
        <v/>
      </c>
      <c r="X1865" s="28">
        <f>IFERROR(W1865/U1865,0)</f>
        <v/>
      </c>
    </row>
    <row r="1866">
      <c r="A1866" s="21">
        <f>ItensPedido!A1866</f>
        <v/>
      </c>
      <c r="B1866" s="21">
        <f>ItensPedido!B1866</f>
        <v/>
      </c>
      <c r="C1866" s="21">
        <f>ItensPedido!C1866</f>
        <v/>
      </c>
      <c r="D1866" s="21">
        <f>ItensPedido!D1866</f>
        <v/>
      </c>
      <c r="E1866" s="22">
        <f>ItensPedido!E1866</f>
        <v/>
      </c>
      <c r="F1866" s="21">
        <f>IFERROR(INDEX(Pedidos!$B$2:$B$1801,MATCH(B1866,Pedidos!$A$2:$A$1801,0)),0)</f>
        <v/>
      </c>
      <c r="G1866" s="21">
        <f>IF(F1866=0,"",YEAR(F1866))</f>
        <v/>
      </c>
      <c r="H1866" s="21">
        <f>IF(F1866=0,"",MONTH(F1866))</f>
        <v/>
      </c>
      <c r="I1866" s="21">
        <f>IFERROR(INDEX(Pedidos!$E$2:$E$1801,MATCH(B1866,Pedidos!$A$2:$A$1801,0)),"")</f>
        <v/>
      </c>
      <c r="J1866" s="21">
        <f>IFERROR(INDEX(Pedidos!$C$2:$C$1801,MATCH(B1866,Pedidos!$A$2:$A$1801,0)),"")</f>
        <v/>
      </c>
      <c r="K1866" s="21">
        <f>IFERROR(INDEX(Pedidos!$D$2:$D$1801,MATCH(B1866,Pedidos!$A$2:$A$1801,0)),"")</f>
        <v/>
      </c>
      <c r="L1866" s="21">
        <f>IFERROR(INDEX(Pedidos!$F$2:$F$1801,MATCH(B1866,Pedidos!$A$2:$A$1801,0)),"")</f>
        <v/>
      </c>
      <c r="M1866" s="22">
        <f>IFERROR(INDEX(Pedidos!$G$2:$G$1801,MATCH(B1866,Pedidos!$A$2:$A$1801,0)),0)</f>
        <v/>
      </c>
      <c r="N1866" s="21">
        <f>IFERROR(INDEX(Produtos!$B$2:$B$71,MATCH(C1866,Produtos!$A$2:$A$71,0)),"")</f>
        <v/>
      </c>
      <c r="O1866" s="21">
        <f>IFERROR(INDEX(Produtos!$C$2:$C$71,MATCH(C1866,Produtos!$A$2:$A$71,0)),"")</f>
        <v/>
      </c>
      <c r="P1866" s="21">
        <f>IFERROR(INDEX(Produtos!$D$2:$D$71,MATCH(C1866,Produtos!$A$2:$A$71,0)),0)</f>
        <v/>
      </c>
      <c r="Q1866" s="21">
        <f>IFERROR(INDEX(Produtos!$E$2:$E$71,MATCH(C1866,Produtos!$A$2:$A$71,0)),0)</f>
        <v/>
      </c>
      <c r="R1866" s="23">
        <f>D1866*Q1866</f>
        <v/>
      </c>
      <c r="S1866" s="23">
        <f>R1866*E1866</f>
        <v/>
      </c>
      <c r="T1866" s="23">
        <f>(R1866-S1866)*M1866</f>
        <v/>
      </c>
      <c r="U1866" s="23">
        <f>R1866-S1866-T1866</f>
        <v/>
      </c>
      <c r="V1866" s="23">
        <f>D1866*P1866</f>
        <v/>
      </c>
      <c r="W1866" s="23">
        <f>U1866-V1866</f>
        <v/>
      </c>
      <c r="X1866" s="24">
        <f>IFERROR(W1866/U1866,0)</f>
        <v/>
      </c>
    </row>
    <row r="1867">
      <c r="A1867" s="25">
        <f>ItensPedido!A1867</f>
        <v/>
      </c>
      <c r="B1867" s="25">
        <f>ItensPedido!B1867</f>
        <v/>
      </c>
      <c r="C1867" s="25">
        <f>ItensPedido!C1867</f>
        <v/>
      </c>
      <c r="D1867" s="25">
        <f>ItensPedido!D1867</f>
        <v/>
      </c>
      <c r="E1867" s="26">
        <f>ItensPedido!E1867</f>
        <v/>
      </c>
      <c r="F1867" s="25">
        <f>IFERROR(INDEX(Pedidos!$B$2:$B$1801,MATCH(B1867,Pedidos!$A$2:$A$1801,0)),0)</f>
        <v/>
      </c>
      <c r="G1867" s="25">
        <f>IF(F1867=0,"",YEAR(F1867))</f>
        <v/>
      </c>
      <c r="H1867" s="25">
        <f>IF(F1867=0,"",MONTH(F1867))</f>
        <v/>
      </c>
      <c r="I1867" s="25">
        <f>IFERROR(INDEX(Pedidos!$E$2:$E$1801,MATCH(B1867,Pedidos!$A$2:$A$1801,0)),"")</f>
        <v/>
      </c>
      <c r="J1867" s="25">
        <f>IFERROR(INDEX(Pedidos!$C$2:$C$1801,MATCH(B1867,Pedidos!$A$2:$A$1801,0)),"")</f>
        <v/>
      </c>
      <c r="K1867" s="25">
        <f>IFERROR(INDEX(Pedidos!$D$2:$D$1801,MATCH(B1867,Pedidos!$A$2:$A$1801,0)),"")</f>
        <v/>
      </c>
      <c r="L1867" s="25">
        <f>IFERROR(INDEX(Pedidos!$F$2:$F$1801,MATCH(B1867,Pedidos!$A$2:$A$1801,0)),"")</f>
        <v/>
      </c>
      <c r="M1867" s="26">
        <f>IFERROR(INDEX(Pedidos!$G$2:$G$1801,MATCH(B1867,Pedidos!$A$2:$A$1801,0)),0)</f>
        <v/>
      </c>
      <c r="N1867" s="25">
        <f>IFERROR(INDEX(Produtos!$B$2:$B$71,MATCH(C1867,Produtos!$A$2:$A$71,0)),"")</f>
        <v/>
      </c>
      <c r="O1867" s="25">
        <f>IFERROR(INDEX(Produtos!$C$2:$C$71,MATCH(C1867,Produtos!$A$2:$A$71,0)),"")</f>
        <v/>
      </c>
      <c r="P1867" s="25">
        <f>IFERROR(INDEX(Produtos!$D$2:$D$71,MATCH(C1867,Produtos!$A$2:$A$71,0)),0)</f>
        <v/>
      </c>
      <c r="Q1867" s="25">
        <f>IFERROR(INDEX(Produtos!$E$2:$E$71,MATCH(C1867,Produtos!$A$2:$A$71,0)),0)</f>
        <v/>
      </c>
      <c r="R1867" s="27">
        <f>D1867*Q1867</f>
        <v/>
      </c>
      <c r="S1867" s="27">
        <f>R1867*E1867</f>
        <v/>
      </c>
      <c r="T1867" s="27">
        <f>(R1867-S1867)*M1867</f>
        <v/>
      </c>
      <c r="U1867" s="27">
        <f>R1867-S1867-T1867</f>
        <v/>
      </c>
      <c r="V1867" s="27">
        <f>D1867*P1867</f>
        <v/>
      </c>
      <c r="W1867" s="27">
        <f>U1867-V1867</f>
        <v/>
      </c>
      <c r="X1867" s="28">
        <f>IFERROR(W1867/U1867,0)</f>
        <v/>
      </c>
    </row>
    <row r="1868">
      <c r="A1868" s="21">
        <f>ItensPedido!A1868</f>
        <v/>
      </c>
      <c r="B1868" s="21">
        <f>ItensPedido!B1868</f>
        <v/>
      </c>
      <c r="C1868" s="21">
        <f>ItensPedido!C1868</f>
        <v/>
      </c>
      <c r="D1868" s="21">
        <f>ItensPedido!D1868</f>
        <v/>
      </c>
      <c r="E1868" s="22">
        <f>ItensPedido!E1868</f>
        <v/>
      </c>
      <c r="F1868" s="21">
        <f>IFERROR(INDEX(Pedidos!$B$2:$B$1801,MATCH(B1868,Pedidos!$A$2:$A$1801,0)),0)</f>
        <v/>
      </c>
      <c r="G1868" s="21">
        <f>IF(F1868=0,"",YEAR(F1868))</f>
        <v/>
      </c>
      <c r="H1868" s="21">
        <f>IF(F1868=0,"",MONTH(F1868))</f>
        <v/>
      </c>
      <c r="I1868" s="21">
        <f>IFERROR(INDEX(Pedidos!$E$2:$E$1801,MATCH(B1868,Pedidos!$A$2:$A$1801,0)),"")</f>
        <v/>
      </c>
      <c r="J1868" s="21">
        <f>IFERROR(INDEX(Pedidos!$C$2:$C$1801,MATCH(B1868,Pedidos!$A$2:$A$1801,0)),"")</f>
        <v/>
      </c>
      <c r="K1868" s="21">
        <f>IFERROR(INDEX(Pedidos!$D$2:$D$1801,MATCH(B1868,Pedidos!$A$2:$A$1801,0)),"")</f>
        <v/>
      </c>
      <c r="L1868" s="21">
        <f>IFERROR(INDEX(Pedidos!$F$2:$F$1801,MATCH(B1868,Pedidos!$A$2:$A$1801,0)),"")</f>
        <v/>
      </c>
      <c r="M1868" s="22">
        <f>IFERROR(INDEX(Pedidos!$G$2:$G$1801,MATCH(B1868,Pedidos!$A$2:$A$1801,0)),0)</f>
        <v/>
      </c>
      <c r="N1868" s="21">
        <f>IFERROR(INDEX(Produtos!$B$2:$B$71,MATCH(C1868,Produtos!$A$2:$A$71,0)),"")</f>
        <v/>
      </c>
      <c r="O1868" s="21">
        <f>IFERROR(INDEX(Produtos!$C$2:$C$71,MATCH(C1868,Produtos!$A$2:$A$71,0)),"")</f>
        <v/>
      </c>
      <c r="P1868" s="21">
        <f>IFERROR(INDEX(Produtos!$D$2:$D$71,MATCH(C1868,Produtos!$A$2:$A$71,0)),0)</f>
        <v/>
      </c>
      <c r="Q1868" s="21">
        <f>IFERROR(INDEX(Produtos!$E$2:$E$71,MATCH(C1868,Produtos!$A$2:$A$71,0)),0)</f>
        <v/>
      </c>
      <c r="R1868" s="23">
        <f>D1868*Q1868</f>
        <v/>
      </c>
      <c r="S1868" s="23">
        <f>R1868*E1868</f>
        <v/>
      </c>
      <c r="T1868" s="23">
        <f>(R1868-S1868)*M1868</f>
        <v/>
      </c>
      <c r="U1868" s="23">
        <f>R1868-S1868-T1868</f>
        <v/>
      </c>
      <c r="V1868" s="23">
        <f>D1868*P1868</f>
        <v/>
      </c>
      <c r="W1868" s="23">
        <f>U1868-V1868</f>
        <v/>
      </c>
      <c r="X1868" s="24">
        <f>IFERROR(W1868/U1868,0)</f>
        <v/>
      </c>
    </row>
    <row r="1869">
      <c r="A1869" s="25">
        <f>ItensPedido!A1869</f>
        <v/>
      </c>
      <c r="B1869" s="25">
        <f>ItensPedido!B1869</f>
        <v/>
      </c>
      <c r="C1869" s="25">
        <f>ItensPedido!C1869</f>
        <v/>
      </c>
      <c r="D1869" s="25">
        <f>ItensPedido!D1869</f>
        <v/>
      </c>
      <c r="E1869" s="26">
        <f>ItensPedido!E1869</f>
        <v/>
      </c>
      <c r="F1869" s="25">
        <f>IFERROR(INDEX(Pedidos!$B$2:$B$1801,MATCH(B1869,Pedidos!$A$2:$A$1801,0)),0)</f>
        <v/>
      </c>
      <c r="G1869" s="25">
        <f>IF(F1869=0,"",YEAR(F1869))</f>
        <v/>
      </c>
      <c r="H1869" s="25">
        <f>IF(F1869=0,"",MONTH(F1869))</f>
        <v/>
      </c>
      <c r="I1869" s="25">
        <f>IFERROR(INDEX(Pedidos!$E$2:$E$1801,MATCH(B1869,Pedidos!$A$2:$A$1801,0)),"")</f>
        <v/>
      </c>
      <c r="J1869" s="25">
        <f>IFERROR(INDEX(Pedidos!$C$2:$C$1801,MATCH(B1869,Pedidos!$A$2:$A$1801,0)),"")</f>
        <v/>
      </c>
      <c r="K1869" s="25">
        <f>IFERROR(INDEX(Pedidos!$D$2:$D$1801,MATCH(B1869,Pedidos!$A$2:$A$1801,0)),"")</f>
        <v/>
      </c>
      <c r="L1869" s="25">
        <f>IFERROR(INDEX(Pedidos!$F$2:$F$1801,MATCH(B1869,Pedidos!$A$2:$A$1801,0)),"")</f>
        <v/>
      </c>
      <c r="M1869" s="26">
        <f>IFERROR(INDEX(Pedidos!$G$2:$G$1801,MATCH(B1869,Pedidos!$A$2:$A$1801,0)),0)</f>
        <v/>
      </c>
      <c r="N1869" s="25">
        <f>IFERROR(INDEX(Produtos!$B$2:$B$71,MATCH(C1869,Produtos!$A$2:$A$71,0)),"")</f>
        <v/>
      </c>
      <c r="O1869" s="25">
        <f>IFERROR(INDEX(Produtos!$C$2:$C$71,MATCH(C1869,Produtos!$A$2:$A$71,0)),"")</f>
        <v/>
      </c>
      <c r="P1869" s="25">
        <f>IFERROR(INDEX(Produtos!$D$2:$D$71,MATCH(C1869,Produtos!$A$2:$A$71,0)),0)</f>
        <v/>
      </c>
      <c r="Q1869" s="25">
        <f>IFERROR(INDEX(Produtos!$E$2:$E$71,MATCH(C1869,Produtos!$A$2:$A$71,0)),0)</f>
        <v/>
      </c>
      <c r="R1869" s="27">
        <f>D1869*Q1869</f>
        <v/>
      </c>
      <c r="S1869" s="27">
        <f>R1869*E1869</f>
        <v/>
      </c>
      <c r="T1869" s="27">
        <f>(R1869-S1869)*M1869</f>
        <v/>
      </c>
      <c r="U1869" s="27">
        <f>R1869-S1869-T1869</f>
        <v/>
      </c>
      <c r="V1869" s="27">
        <f>D1869*P1869</f>
        <v/>
      </c>
      <c r="W1869" s="27">
        <f>U1869-V1869</f>
        <v/>
      </c>
      <c r="X1869" s="28">
        <f>IFERROR(W1869/U1869,0)</f>
        <v/>
      </c>
    </row>
    <row r="1870">
      <c r="A1870" s="21">
        <f>ItensPedido!A1870</f>
        <v/>
      </c>
      <c r="B1870" s="21">
        <f>ItensPedido!B1870</f>
        <v/>
      </c>
      <c r="C1870" s="21">
        <f>ItensPedido!C1870</f>
        <v/>
      </c>
      <c r="D1870" s="21">
        <f>ItensPedido!D1870</f>
        <v/>
      </c>
      <c r="E1870" s="22">
        <f>ItensPedido!E1870</f>
        <v/>
      </c>
      <c r="F1870" s="21">
        <f>IFERROR(INDEX(Pedidos!$B$2:$B$1801,MATCH(B1870,Pedidos!$A$2:$A$1801,0)),0)</f>
        <v/>
      </c>
      <c r="G1870" s="21">
        <f>IF(F1870=0,"",YEAR(F1870))</f>
        <v/>
      </c>
      <c r="H1870" s="21">
        <f>IF(F1870=0,"",MONTH(F1870))</f>
        <v/>
      </c>
      <c r="I1870" s="21">
        <f>IFERROR(INDEX(Pedidos!$E$2:$E$1801,MATCH(B1870,Pedidos!$A$2:$A$1801,0)),"")</f>
        <v/>
      </c>
      <c r="J1870" s="21">
        <f>IFERROR(INDEX(Pedidos!$C$2:$C$1801,MATCH(B1870,Pedidos!$A$2:$A$1801,0)),"")</f>
        <v/>
      </c>
      <c r="K1870" s="21">
        <f>IFERROR(INDEX(Pedidos!$D$2:$D$1801,MATCH(B1870,Pedidos!$A$2:$A$1801,0)),"")</f>
        <v/>
      </c>
      <c r="L1870" s="21">
        <f>IFERROR(INDEX(Pedidos!$F$2:$F$1801,MATCH(B1870,Pedidos!$A$2:$A$1801,0)),"")</f>
        <v/>
      </c>
      <c r="M1870" s="22">
        <f>IFERROR(INDEX(Pedidos!$G$2:$G$1801,MATCH(B1870,Pedidos!$A$2:$A$1801,0)),0)</f>
        <v/>
      </c>
      <c r="N1870" s="21">
        <f>IFERROR(INDEX(Produtos!$B$2:$B$71,MATCH(C1870,Produtos!$A$2:$A$71,0)),"")</f>
        <v/>
      </c>
      <c r="O1870" s="21">
        <f>IFERROR(INDEX(Produtos!$C$2:$C$71,MATCH(C1870,Produtos!$A$2:$A$71,0)),"")</f>
        <v/>
      </c>
      <c r="P1870" s="21">
        <f>IFERROR(INDEX(Produtos!$D$2:$D$71,MATCH(C1870,Produtos!$A$2:$A$71,0)),0)</f>
        <v/>
      </c>
      <c r="Q1870" s="21">
        <f>IFERROR(INDEX(Produtos!$E$2:$E$71,MATCH(C1870,Produtos!$A$2:$A$71,0)),0)</f>
        <v/>
      </c>
      <c r="R1870" s="23">
        <f>D1870*Q1870</f>
        <v/>
      </c>
      <c r="S1870" s="23">
        <f>R1870*E1870</f>
        <v/>
      </c>
      <c r="T1870" s="23">
        <f>(R1870-S1870)*M1870</f>
        <v/>
      </c>
      <c r="U1870" s="23">
        <f>R1870-S1870-T1870</f>
        <v/>
      </c>
      <c r="V1870" s="23">
        <f>D1870*P1870</f>
        <v/>
      </c>
      <c r="W1870" s="23">
        <f>U1870-V1870</f>
        <v/>
      </c>
      <c r="X1870" s="24">
        <f>IFERROR(W1870/U1870,0)</f>
        <v/>
      </c>
    </row>
    <row r="1871">
      <c r="A1871" s="25">
        <f>ItensPedido!A1871</f>
        <v/>
      </c>
      <c r="B1871" s="25">
        <f>ItensPedido!B1871</f>
        <v/>
      </c>
      <c r="C1871" s="25">
        <f>ItensPedido!C1871</f>
        <v/>
      </c>
      <c r="D1871" s="25">
        <f>ItensPedido!D1871</f>
        <v/>
      </c>
      <c r="E1871" s="26">
        <f>ItensPedido!E1871</f>
        <v/>
      </c>
      <c r="F1871" s="25">
        <f>IFERROR(INDEX(Pedidos!$B$2:$B$1801,MATCH(B1871,Pedidos!$A$2:$A$1801,0)),0)</f>
        <v/>
      </c>
      <c r="G1871" s="25">
        <f>IF(F1871=0,"",YEAR(F1871))</f>
        <v/>
      </c>
      <c r="H1871" s="25">
        <f>IF(F1871=0,"",MONTH(F1871))</f>
        <v/>
      </c>
      <c r="I1871" s="25">
        <f>IFERROR(INDEX(Pedidos!$E$2:$E$1801,MATCH(B1871,Pedidos!$A$2:$A$1801,0)),"")</f>
        <v/>
      </c>
      <c r="J1871" s="25">
        <f>IFERROR(INDEX(Pedidos!$C$2:$C$1801,MATCH(B1871,Pedidos!$A$2:$A$1801,0)),"")</f>
        <v/>
      </c>
      <c r="K1871" s="25">
        <f>IFERROR(INDEX(Pedidos!$D$2:$D$1801,MATCH(B1871,Pedidos!$A$2:$A$1801,0)),"")</f>
        <v/>
      </c>
      <c r="L1871" s="25">
        <f>IFERROR(INDEX(Pedidos!$F$2:$F$1801,MATCH(B1871,Pedidos!$A$2:$A$1801,0)),"")</f>
        <v/>
      </c>
      <c r="M1871" s="26">
        <f>IFERROR(INDEX(Pedidos!$G$2:$G$1801,MATCH(B1871,Pedidos!$A$2:$A$1801,0)),0)</f>
        <v/>
      </c>
      <c r="N1871" s="25">
        <f>IFERROR(INDEX(Produtos!$B$2:$B$71,MATCH(C1871,Produtos!$A$2:$A$71,0)),"")</f>
        <v/>
      </c>
      <c r="O1871" s="25">
        <f>IFERROR(INDEX(Produtos!$C$2:$C$71,MATCH(C1871,Produtos!$A$2:$A$71,0)),"")</f>
        <v/>
      </c>
      <c r="P1871" s="25">
        <f>IFERROR(INDEX(Produtos!$D$2:$D$71,MATCH(C1871,Produtos!$A$2:$A$71,0)),0)</f>
        <v/>
      </c>
      <c r="Q1871" s="25">
        <f>IFERROR(INDEX(Produtos!$E$2:$E$71,MATCH(C1871,Produtos!$A$2:$A$71,0)),0)</f>
        <v/>
      </c>
      <c r="R1871" s="27">
        <f>D1871*Q1871</f>
        <v/>
      </c>
      <c r="S1871" s="27">
        <f>R1871*E1871</f>
        <v/>
      </c>
      <c r="T1871" s="27">
        <f>(R1871-S1871)*M1871</f>
        <v/>
      </c>
      <c r="U1871" s="27">
        <f>R1871-S1871-T1871</f>
        <v/>
      </c>
      <c r="V1871" s="27">
        <f>D1871*P1871</f>
        <v/>
      </c>
      <c r="W1871" s="27">
        <f>U1871-V1871</f>
        <v/>
      </c>
      <c r="X1871" s="28">
        <f>IFERROR(W1871/U1871,0)</f>
        <v/>
      </c>
    </row>
    <row r="1872">
      <c r="A1872" s="21">
        <f>ItensPedido!A1872</f>
        <v/>
      </c>
      <c r="B1872" s="21">
        <f>ItensPedido!B1872</f>
        <v/>
      </c>
      <c r="C1872" s="21">
        <f>ItensPedido!C1872</f>
        <v/>
      </c>
      <c r="D1872" s="21">
        <f>ItensPedido!D1872</f>
        <v/>
      </c>
      <c r="E1872" s="22">
        <f>ItensPedido!E1872</f>
        <v/>
      </c>
      <c r="F1872" s="21">
        <f>IFERROR(INDEX(Pedidos!$B$2:$B$1801,MATCH(B1872,Pedidos!$A$2:$A$1801,0)),0)</f>
        <v/>
      </c>
      <c r="G1872" s="21">
        <f>IF(F1872=0,"",YEAR(F1872))</f>
        <v/>
      </c>
      <c r="H1872" s="21">
        <f>IF(F1872=0,"",MONTH(F1872))</f>
        <v/>
      </c>
      <c r="I1872" s="21">
        <f>IFERROR(INDEX(Pedidos!$E$2:$E$1801,MATCH(B1872,Pedidos!$A$2:$A$1801,0)),"")</f>
        <v/>
      </c>
      <c r="J1872" s="21">
        <f>IFERROR(INDEX(Pedidos!$C$2:$C$1801,MATCH(B1872,Pedidos!$A$2:$A$1801,0)),"")</f>
        <v/>
      </c>
      <c r="K1872" s="21">
        <f>IFERROR(INDEX(Pedidos!$D$2:$D$1801,MATCH(B1872,Pedidos!$A$2:$A$1801,0)),"")</f>
        <v/>
      </c>
      <c r="L1872" s="21">
        <f>IFERROR(INDEX(Pedidos!$F$2:$F$1801,MATCH(B1872,Pedidos!$A$2:$A$1801,0)),"")</f>
        <v/>
      </c>
      <c r="M1872" s="22">
        <f>IFERROR(INDEX(Pedidos!$G$2:$G$1801,MATCH(B1872,Pedidos!$A$2:$A$1801,0)),0)</f>
        <v/>
      </c>
      <c r="N1872" s="21">
        <f>IFERROR(INDEX(Produtos!$B$2:$B$71,MATCH(C1872,Produtos!$A$2:$A$71,0)),"")</f>
        <v/>
      </c>
      <c r="O1872" s="21">
        <f>IFERROR(INDEX(Produtos!$C$2:$C$71,MATCH(C1872,Produtos!$A$2:$A$71,0)),"")</f>
        <v/>
      </c>
      <c r="P1872" s="21">
        <f>IFERROR(INDEX(Produtos!$D$2:$D$71,MATCH(C1872,Produtos!$A$2:$A$71,0)),0)</f>
        <v/>
      </c>
      <c r="Q1872" s="21">
        <f>IFERROR(INDEX(Produtos!$E$2:$E$71,MATCH(C1872,Produtos!$A$2:$A$71,0)),0)</f>
        <v/>
      </c>
      <c r="R1872" s="23">
        <f>D1872*Q1872</f>
        <v/>
      </c>
      <c r="S1872" s="23">
        <f>R1872*E1872</f>
        <v/>
      </c>
      <c r="T1872" s="23">
        <f>(R1872-S1872)*M1872</f>
        <v/>
      </c>
      <c r="U1872" s="23">
        <f>R1872-S1872-T1872</f>
        <v/>
      </c>
      <c r="V1872" s="23">
        <f>D1872*P1872</f>
        <v/>
      </c>
      <c r="W1872" s="23">
        <f>U1872-V1872</f>
        <v/>
      </c>
      <c r="X1872" s="24">
        <f>IFERROR(W1872/U1872,0)</f>
        <v/>
      </c>
    </row>
    <row r="1873">
      <c r="A1873" s="25">
        <f>ItensPedido!A1873</f>
        <v/>
      </c>
      <c r="B1873" s="25">
        <f>ItensPedido!B1873</f>
        <v/>
      </c>
      <c r="C1873" s="25">
        <f>ItensPedido!C1873</f>
        <v/>
      </c>
      <c r="D1873" s="25">
        <f>ItensPedido!D1873</f>
        <v/>
      </c>
      <c r="E1873" s="26">
        <f>ItensPedido!E1873</f>
        <v/>
      </c>
      <c r="F1873" s="25">
        <f>IFERROR(INDEX(Pedidos!$B$2:$B$1801,MATCH(B1873,Pedidos!$A$2:$A$1801,0)),0)</f>
        <v/>
      </c>
      <c r="G1873" s="25">
        <f>IF(F1873=0,"",YEAR(F1873))</f>
        <v/>
      </c>
      <c r="H1873" s="25">
        <f>IF(F1873=0,"",MONTH(F1873))</f>
        <v/>
      </c>
      <c r="I1873" s="25">
        <f>IFERROR(INDEX(Pedidos!$E$2:$E$1801,MATCH(B1873,Pedidos!$A$2:$A$1801,0)),"")</f>
        <v/>
      </c>
      <c r="J1873" s="25">
        <f>IFERROR(INDEX(Pedidos!$C$2:$C$1801,MATCH(B1873,Pedidos!$A$2:$A$1801,0)),"")</f>
        <v/>
      </c>
      <c r="K1873" s="25">
        <f>IFERROR(INDEX(Pedidos!$D$2:$D$1801,MATCH(B1873,Pedidos!$A$2:$A$1801,0)),"")</f>
        <v/>
      </c>
      <c r="L1873" s="25">
        <f>IFERROR(INDEX(Pedidos!$F$2:$F$1801,MATCH(B1873,Pedidos!$A$2:$A$1801,0)),"")</f>
        <v/>
      </c>
      <c r="M1873" s="26">
        <f>IFERROR(INDEX(Pedidos!$G$2:$G$1801,MATCH(B1873,Pedidos!$A$2:$A$1801,0)),0)</f>
        <v/>
      </c>
      <c r="N1873" s="25">
        <f>IFERROR(INDEX(Produtos!$B$2:$B$71,MATCH(C1873,Produtos!$A$2:$A$71,0)),"")</f>
        <v/>
      </c>
      <c r="O1873" s="25">
        <f>IFERROR(INDEX(Produtos!$C$2:$C$71,MATCH(C1873,Produtos!$A$2:$A$71,0)),"")</f>
        <v/>
      </c>
      <c r="P1873" s="25">
        <f>IFERROR(INDEX(Produtos!$D$2:$D$71,MATCH(C1873,Produtos!$A$2:$A$71,0)),0)</f>
        <v/>
      </c>
      <c r="Q1873" s="25">
        <f>IFERROR(INDEX(Produtos!$E$2:$E$71,MATCH(C1873,Produtos!$A$2:$A$71,0)),0)</f>
        <v/>
      </c>
      <c r="R1873" s="27">
        <f>D1873*Q1873</f>
        <v/>
      </c>
      <c r="S1873" s="27">
        <f>R1873*E1873</f>
        <v/>
      </c>
      <c r="T1873" s="27">
        <f>(R1873-S1873)*M1873</f>
        <v/>
      </c>
      <c r="U1873" s="27">
        <f>R1873-S1873-T1873</f>
        <v/>
      </c>
      <c r="V1873" s="27">
        <f>D1873*P1873</f>
        <v/>
      </c>
      <c r="W1873" s="27">
        <f>U1873-V1873</f>
        <v/>
      </c>
      <c r="X1873" s="28">
        <f>IFERROR(W1873/U1873,0)</f>
        <v/>
      </c>
    </row>
    <row r="1874">
      <c r="A1874" s="21">
        <f>ItensPedido!A1874</f>
        <v/>
      </c>
      <c r="B1874" s="21">
        <f>ItensPedido!B1874</f>
        <v/>
      </c>
      <c r="C1874" s="21">
        <f>ItensPedido!C1874</f>
        <v/>
      </c>
      <c r="D1874" s="21">
        <f>ItensPedido!D1874</f>
        <v/>
      </c>
      <c r="E1874" s="22">
        <f>ItensPedido!E1874</f>
        <v/>
      </c>
      <c r="F1874" s="21">
        <f>IFERROR(INDEX(Pedidos!$B$2:$B$1801,MATCH(B1874,Pedidos!$A$2:$A$1801,0)),0)</f>
        <v/>
      </c>
      <c r="G1874" s="21">
        <f>IF(F1874=0,"",YEAR(F1874))</f>
        <v/>
      </c>
      <c r="H1874" s="21">
        <f>IF(F1874=0,"",MONTH(F1874))</f>
        <v/>
      </c>
      <c r="I1874" s="21">
        <f>IFERROR(INDEX(Pedidos!$E$2:$E$1801,MATCH(B1874,Pedidos!$A$2:$A$1801,0)),"")</f>
        <v/>
      </c>
      <c r="J1874" s="21">
        <f>IFERROR(INDEX(Pedidos!$C$2:$C$1801,MATCH(B1874,Pedidos!$A$2:$A$1801,0)),"")</f>
        <v/>
      </c>
      <c r="K1874" s="21">
        <f>IFERROR(INDEX(Pedidos!$D$2:$D$1801,MATCH(B1874,Pedidos!$A$2:$A$1801,0)),"")</f>
        <v/>
      </c>
      <c r="L1874" s="21">
        <f>IFERROR(INDEX(Pedidos!$F$2:$F$1801,MATCH(B1874,Pedidos!$A$2:$A$1801,0)),"")</f>
        <v/>
      </c>
      <c r="M1874" s="22">
        <f>IFERROR(INDEX(Pedidos!$G$2:$G$1801,MATCH(B1874,Pedidos!$A$2:$A$1801,0)),0)</f>
        <v/>
      </c>
      <c r="N1874" s="21">
        <f>IFERROR(INDEX(Produtos!$B$2:$B$71,MATCH(C1874,Produtos!$A$2:$A$71,0)),"")</f>
        <v/>
      </c>
      <c r="O1874" s="21">
        <f>IFERROR(INDEX(Produtos!$C$2:$C$71,MATCH(C1874,Produtos!$A$2:$A$71,0)),"")</f>
        <v/>
      </c>
      <c r="P1874" s="21">
        <f>IFERROR(INDEX(Produtos!$D$2:$D$71,MATCH(C1874,Produtos!$A$2:$A$71,0)),0)</f>
        <v/>
      </c>
      <c r="Q1874" s="21">
        <f>IFERROR(INDEX(Produtos!$E$2:$E$71,MATCH(C1874,Produtos!$A$2:$A$71,0)),0)</f>
        <v/>
      </c>
      <c r="R1874" s="23">
        <f>D1874*Q1874</f>
        <v/>
      </c>
      <c r="S1874" s="23">
        <f>R1874*E1874</f>
        <v/>
      </c>
      <c r="T1874" s="23">
        <f>(R1874-S1874)*M1874</f>
        <v/>
      </c>
      <c r="U1874" s="23">
        <f>R1874-S1874-T1874</f>
        <v/>
      </c>
      <c r="V1874" s="23">
        <f>D1874*P1874</f>
        <v/>
      </c>
      <c r="W1874" s="23">
        <f>U1874-V1874</f>
        <v/>
      </c>
      <c r="X1874" s="24">
        <f>IFERROR(W1874/U1874,0)</f>
        <v/>
      </c>
    </row>
    <row r="1875">
      <c r="A1875" s="25">
        <f>ItensPedido!A1875</f>
        <v/>
      </c>
      <c r="B1875" s="25">
        <f>ItensPedido!B1875</f>
        <v/>
      </c>
      <c r="C1875" s="25">
        <f>ItensPedido!C1875</f>
        <v/>
      </c>
      <c r="D1875" s="25">
        <f>ItensPedido!D1875</f>
        <v/>
      </c>
      <c r="E1875" s="26">
        <f>ItensPedido!E1875</f>
        <v/>
      </c>
      <c r="F1875" s="25">
        <f>IFERROR(INDEX(Pedidos!$B$2:$B$1801,MATCH(B1875,Pedidos!$A$2:$A$1801,0)),0)</f>
        <v/>
      </c>
      <c r="G1875" s="25">
        <f>IF(F1875=0,"",YEAR(F1875))</f>
        <v/>
      </c>
      <c r="H1875" s="25">
        <f>IF(F1875=0,"",MONTH(F1875))</f>
        <v/>
      </c>
      <c r="I1875" s="25">
        <f>IFERROR(INDEX(Pedidos!$E$2:$E$1801,MATCH(B1875,Pedidos!$A$2:$A$1801,0)),"")</f>
        <v/>
      </c>
      <c r="J1875" s="25">
        <f>IFERROR(INDEX(Pedidos!$C$2:$C$1801,MATCH(B1875,Pedidos!$A$2:$A$1801,0)),"")</f>
        <v/>
      </c>
      <c r="K1875" s="25">
        <f>IFERROR(INDEX(Pedidos!$D$2:$D$1801,MATCH(B1875,Pedidos!$A$2:$A$1801,0)),"")</f>
        <v/>
      </c>
      <c r="L1875" s="25">
        <f>IFERROR(INDEX(Pedidos!$F$2:$F$1801,MATCH(B1875,Pedidos!$A$2:$A$1801,0)),"")</f>
        <v/>
      </c>
      <c r="M1875" s="26">
        <f>IFERROR(INDEX(Pedidos!$G$2:$G$1801,MATCH(B1875,Pedidos!$A$2:$A$1801,0)),0)</f>
        <v/>
      </c>
      <c r="N1875" s="25">
        <f>IFERROR(INDEX(Produtos!$B$2:$B$71,MATCH(C1875,Produtos!$A$2:$A$71,0)),"")</f>
        <v/>
      </c>
      <c r="O1875" s="25">
        <f>IFERROR(INDEX(Produtos!$C$2:$C$71,MATCH(C1875,Produtos!$A$2:$A$71,0)),"")</f>
        <v/>
      </c>
      <c r="P1875" s="25">
        <f>IFERROR(INDEX(Produtos!$D$2:$D$71,MATCH(C1875,Produtos!$A$2:$A$71,0)),0)</f>
        <v/>
      </c>
      <c r="Q1875" s="25">
        <f>IFERROR(INDEX(Produtos!$E$2:$E$71,MATCH(C1875,Produtos!$A$2:$A$71,0)),0)</f>
        <v/>
      </c>
      <c r="R1875" s="27">
        <f>D1875*Q1875</f>
        <v/>
      </c>
      <c r="S1875" s="27">
        <f>R1875*E1875</f>
        <v/>
      </c>
      <c r="T1875" s="27">
        <f>(R1875-S1875)*M1875</f>
        <v/>
      </c>
      <c r="U1875" s="27">
        <f>R1875-S1875-T1875</f>
        <v/>
      </c>
      <c r="V1875" s="27">
        <f>D1875*P1875</f>
        <v/>
      </c>
      <c r="W1875" s="27">
        <f>U1875-V1875</f>
        <v/>
      </c>
      <c r="X1875" s="28">
        <f>IFERROR(W1875/U1875,0)</f>
        <v/>
      </c>
    </row>
    <row r="1876">
      <c r="A1876" s="21">
        <f>ItensPedido!A1876</f>
        <v/>
      </c>
      <c r="B1876" s="21">
        <f>ItensPedido!B1876</f>
        <v/>
      </c>
      <c r="C1876" s="21">
        <f>ItensPedido!C1876</f>
        <v/>
      </c>
      <c r="D1876" s="21">
        <f>ItensPedido!D1876</f>
        <v/>
      </c>
      <c r="E1876" s="22">
        <f>ItensPedido!E1876</f>
        <v/>
      </c>
      <c r="F1876" s="21">
        <f>IFERROR(INDEX(Pedidos!$B$2:$B$1801,MATCH(B1876,Pedidos!$A$2:$A$1801,0)),0)</f>
        <v/>
      </c>
      <c r="G1876" s="21">
        <f>IF(F1876=0,"",YEAR(F1876))</f>
        <v/>
      </c>
      <c r="H1876" s="21">
        <f>IF(F1876=0,"",MONTH(F1876))</f>
        <v/>
      </c>
      <c r="I1876" s="21">
        <f>IFERROR(INDEX(Pedidos!$E$2:$E$1801,MATCH(B1876,Pedidos!$A$2:$A$1801,0)),"")</f>
        <v/>
      </c>
      <c r="J1876" s="21">
        <f>IFERROR(INDEX(Pedidos!$C$2:$C$1801,MATCH(B1876,Pedidos!$A$2:$A$1801,0)),"")</f>
        <v/>
      </c>
      <c r="K1876" s="21">
        <f>IFERROR(INDEX(Pedidos!$D$2:$D$1801,MATCH(B1876,Pedidos!$A$2:$A$1801,0)),"")</f>
        <v/>
      </c>
      <c r="L1876" s="21">
        <f>IFERROR(INDEX(Pedidos!$F$2:$F$1801,MATCH(B1876,Pedidos!$A$2:$A$1801,0)),"")</f>
        <v/>
      </c>
      <c r="M1876" s="22">
        <f>IFERROR(INDEX(Pedidos!$G$2:$G$1801,MATCH(B1876,Pedidos!$A$2:$A$1801,0)),0)</f>
        <v/>
      </c>
      <c r="N1876" s="21">
        <f>IFERROR(INDEX(Produtos!$B$2:$B$71,MATCH(C1876,Produtos!$A$2:$A$71,0)),"")</f>
        <v/>
      </c>
      <c r="O1876" s="21">
        <f>IFERROR(INDEX(Produtos!$C$2:$C$71,MATCH(C1876,Produtos!$A$2:$A$71,0)),"")</f>
        <v/>
      </c>
      <c r="P1876" s="21">
        <f>IFERROR(INDEX(Produtos!$D$2:$D$71,MATCH(C1876,Produtos!$A$2:$A$71,0)),0)</f>
        <v/>
      </c>
      <c r="Q1876" s="21">
        <f>IFERROR(INDEX(Produtos!$E$2:$E$71,MATCH(C1876,Produtos!$A$2:$A$71,0)),0)</f>
        <v/>
      </c>
      <c r="R1876" s="23">
        <f>D1876*Q1876</f>
        <v/>
      </c>
      <c r="S1876" s="23">
        <f>R1876*E1876</f>
        <v/>
      </c>
      <c r="T1876" s="23">
        <f>(R1876-S1876)*M1876</f>
        <v/>
      </c>
      <c r="U1876" s="23">
        <f>R1876-S1876-T1876</f>
        <v/>
      </c>
      <c r="V1876" s="23">
        <f>D1876*P1876</f>
        <v/>
      </c>
      <c r="W1876" s="23">
        <f>U1876-V1876</f>
        <v/>
      </c>
      <c r="X1876" s="24">
        <f>IFERROR(W1876/U1876,0)</f>
        <v/>
      </c>
    </row>
    <row r="1877">
      <c r="A1877" s="25">
        <f>ItensPedido!A1877</f>
        <v/>
      </c>
      <c r="B1877" s="25">
        <f>ItensPedido!B1877</f>
        <v/>
      </c>
      <c r="C1877" s="25">
        <f>ItensPedido!C1877</f>
        <v/>
      </c>
      <c r="D1877" s="25">
        <f>ItensPedido!D1877</f>
        <v/>
      </c>
      <c r="E1877" s="26">
        <f>ItensPedido!E1877</f>
        <v/>
      </c>
      <c r="F1877" s="25">
        <f>IFERROR(INDEX(Pedidos!$B$2:$B$1801,MATCH(B1877,Pedidos!$A$2:$A$1801,0)),0)</f>
        <v/>
      </c>
      <c r="G1877" s="25">
        <f>IF(F1877=0,"",YEAR(F1877))</f>
        <v/>
      </c>
      <c r="H1877" s="25">
        <f>IF(F1877=0,"",MONTH(F1877))</f>
        <v/>
      </c>
      <c r="I1877" s="25">
        <f>IFERROR(INDEX(Pedidos!$E$2:$E$1801,MATCH(B1877,Pedidos!$A$2:$A$1801,0)),"")</f>
        <v/>
      </c>
      <c r="J1877" s="25">
        <f>IFERROR(INDEX(Pedidos!$C$2:$C$1801,MATCH(B1877,Pedidos!$A$2:$A$1801,0)),"")</f>
        <v/>
      </c>
      <c r="K1877" s="25">
        <f>IFERROR(INDEX(Pedidos!$D$2:$D$1801,MATCH(B1877,Pedidos!$A$2:$A$1801,0)),"")</f>
        <v/>
      </c>
      <c r="L1877" s="25">
        <f>IFERROR(INDEX(Pedidos!$F$2:$F$1801,MATCH(B1877,Pedidos!$A$2:$A$1801,0)),"")</f>
        <v/>
      </c>
      <c r="M1877" s="26">
        <f>IFERROR(INDEX(Pedidos!$G$2:$G$1801,MATCH(B1877,Pedidos!$A$2:$A$1801,0)),0)</f>
        <v/>
      </c>
      <c r="N1877" s="25">
        <f>IFERROR(INDEX(Produtos!$B$2:$B$71,MATCH(C1877,Produtos!$A$2:$A$71,0)),"")</f>
        <v/>
      </c>
      <c r="O1877" s="25">
        <f>IFERROR(INDEX(Produtos!$C$2:$C$71,MATCH(C1877,Produtos!$A$2:$A$71,0)),"")</f>
        <v/>
      </c>
      <c r="P1877" s="25">
        <f>IFERROR(INDEX(Produtos!$D$2:$D$71,MATCH(C1877,Produtos!$A$2:$A$71,0)),0)</f>
        <v/>
      </c>
      <c r="Q1877" s="25">
        <f>IFERROR(INDEX(Produtos!$E$2:$E$71,MATCH(C1877,Produtos!$A$2:$A$71,0)),0)</f>
        <v/>
      </c>
      <c r="R1877" s="27">
        <f>D1877*Q1877</f>
        <v/>
      </c>
      <c r="S1877" s="27">
        <f>R1877*E1877</f>
        <v/>
      </c>
      <c r="T1877" s="27">
        <f>(R1877-S1877)*M1877</f>
        <v/>
      </c>
      <c r="U1877" s="27">
        <f>R1877-S1877-T1877</f>
        <v/>
      </c>
      <c r="V1877" s="27">
        <f>D1877*P1877</f>
        <v/>
      </c>
      <c r="W1877" s="27">
        <f>U1877-V1877</f>
        <v/>
      </c>
      <c r="X1877" s="28">
        <f>IFERROR(W1877/U1877,0)</f>
        <v/>
      </c>
    </row>
    <row r="1878">
      <c r="A1878" s="21">
        <f>ItensPedido!A1878</f>
        <v/>
      </c>
      <c r="B1878" s="21">
        <f>ItensPedido!B1878</f>
        <v/>
      </c>
      <c r="C1878" s="21">
        <f>ItensPedido!C1878</f>
        <v/>
      </c>
      <c r="D1878" s="21">
        <f>ItensPedido!D1878</f>
        <v/>
      </c>
      <c r="E1878" s="22">
        <f>ItensPedido!E1878</f>
        <v/>
      </c>
      <c r="F1878" s="21">
        <f>IFERROR(INDEX(Pedidos!$B$2:$B$1801,MATCH(B1878,Pedidos!$A$2:$A$1801,0)),0)</f>
        <v/>
      </c>
      <c r="G1878" s="21">
        <f>IF(F1878=0,"",YEAR(F1878))</f>
        <v/>
      </c>
      <c r="H1878" s="21">
        <f>IF(F1878=0,"",MONTH(F1878))</f>
        <v/>
      </c>
      <c r="I1878" s="21">
        <f>IFERROR(INDEX(Pedidos!$E$2:$E$1801,MATCH(B1878,Pedidos!$A$2:$A$1801,0)),"")</f>
        <v/>
      </c>
      <c r="J1878" s="21">
        <f>IFERROR(INDEX(Pedidos!$C$2:$C$1801,MATCH(B1878,Pedidos!$A$2:$A$1801,0)),"")</f>
        <v/>
      </c>
      <c r="K1878" s="21">
        <f>IFERROR(INDEX(Pedidos!$D$2:$D$1801,MATCH(B1878,Pedidos!$A$2:$A$1801,0)),"")</f>
        <v/>
      </c>
      <c r="L1878" s="21">
        <f>IFERROR(INDEX(Pedidos!$F$2:$F$1801,MATCH(B1878,Pedidos!$A$2:$A$1801,0)),"")</f>
        <v/>
      </c>
      <c r="M1878" s="22">
        <f>IFERROR(INDEX(Pedidos!$G$2:$G$1801,MATCH(B1878,Pedidos!$A$2:$A$1801,0)),0)</f>
        <v/>
      </c>
      <c r="N1878" s="21">
        <f>IFERROR(INDEX(Produtos!$B$2:$B$71,MATCH(C1878,Produtos!$A$2:$A$71,0)),"")</f>
        <v/>
      </c>
      <c r="O1878" s="21">
        <f>IFERROR(INDEX(Produtos!$C$2:$C$71,MATCH(C1878,Produtos!$A$2:$A$71,0)),"")</f>
        <v/>
      </c>
      <c r="P1878" s="21">
        <f>IFERROR(INDEX(Produtos!$D$2:$D$71,MATCH(C1878,Produtos!$A$2:$A$71,0)),0)</f>
        <v/>
      </c>
      <c r="Q1878" s="21">
        <f>IFERROR(INDEX(Produtos!$E$2:$E$71,MATCH(C1878,Produtos!$A$2:$A$71,0)),0)</f>
        <v/>
      </c>
      <c r="R1878" s="23">
        <f>D1878*Q1878</f>
        <v/>
      </c>
      <c r="S1878" s="23">
        <f>R1878*E1878</f>
        <v/>
      </c>
      <c r="T1878" s="23">
        <f>(R1878-S1878)*M1878</f>
        <v/>
      </c>
      <c r="U1878" s="23">
        <f>R1878-S1878-T1878</f>
        <v/>
      </c>
      <c r="V1878" s="23">
        <f>D1878*P1878</f>
        <v/>
      </c>
      <c r="W1878" s="23">
        <f>U1878-V1878</f>
        <v/>
      </c>
      <c r="X1878" s="24">
        <f>IFERROR(W1878/U1878,0)</f>
        <v/>
      </c>
    </row>
    <row r="1879">
      <c r="A1879" s="25">
        <f>ItensPedido!A1879</f>
        <v/>
      </c>
      <c r="B1879" s="25">
        <f>ItensPedido!B1879</f>
        <v/>
      </c>
      <c r="C1879" s="25">
        <f>ItensPedido!C1879</f>
        <v/>
      </c>
      <c r="D1879" s="25">
        <f>ItensPedido!D1879</f>
        <v/>
      </c>
      <c r="E1879" s="26">
        <f>ItensPedido!E1879</f>
        <v/>
      </c>
      <c r="F1879" s="25">
        <f>IFERROR(INDEX(Pedidos!$B$2:$B$1801,MATCH(B1879,Pedidos!$A$2:$A$1801,0)),0)</f>
        <v/>
      </c>
      <c r="G1879" s="25">
        <f>IF(F1879=0,"",YEAR(F1879))</f>
        <v/>
      </c>
      <c r="H1879" s="25">
        <f>IF(F1879=0,"",MONTH(F1879))</f>
        <v/>
      </c>
      <c r="I1879" s="25">
        <f>IFERROR(INDEX(Pedidos!$E$2:$E$1801,MATCH(B1879,Pedidos!$A$2:$A$1801,0)),"")</f>
        <v/>
      </c>
      <c r="J1879" s="25">
        <f>IFERROR(INDEX(Pedidos!$C$2:$C$1801,MATCH(B1879,Pedidos!$A$2:$A$1801,0)),"")</f>
        <v/>
      </c>
      <c r="K1879" s="25">
        <f>IFERROR(INDEX(Pedidos!$D$2:$D$1801,MATCH(B1879,Pedidos!$A$2:$A$1801,0)),"")</f>
        <v/>
      </c>
      <c r="L1879" s="25">
        <f>IFERROR(INDEX(Pedidos!$F$2:$F$1801,MATCH(B1879,Pedidos!$A$2:$A$1801,0)),"")</f>
        <v/>
      </c>
      <c r="M1879" s="26">
        <f>IFERROR(INDEX(Pedidos!$G$2:$G$1801,MATCH(B1879,Pedidos!$A$2:$A$1801,0)),0)</f>
        <v/>
      </c>
      <c r="N1879" s="25">
        <f>IFERROR(INDEX(Produtos!$B$2:$B$71,MATCH(C1879,Produtos!$A$2:$A$71,0)),"")</f>
        <v/>
      </c>
      <c r="O1879" s="25">
        <f>IFERROR(INDEX(Produtos!$C$2:$C$71,MATCH(C1879,Produtos!$A$2:$A$71,0)),"")</f>
        <v/>
      </c>
      <c r="P1879" s="25">
        <f>IFERROR(INDEX(Produtos!$D$2:$D$71,MATCH(C1879,Produtos!$A$2:$A$71,0)),0)</f>
        <v/>
      </c>
      <c r="Q1879" s="25">
        <f>IFERROR(INDEX(Produtos!$E$2:$E$71,MATCH(C1879,Produtos!$A$2:$A$71,0)),0)</f>
        <v/>
      </c>
      <c r="R1879" s="27">
        <f>D1879*Q1879</f>
        <v/>
      </c>
      <c r="S1879" s="27">
        <f>R1879*E1879</f>
        <v/>
      </c>
      <c r="T1879" s="27">
        <f>(R1879-S1879)*M1879</f>
        <v/>
      </c>
      <c r="U1879" s="27">
        <f>R1879-S1879-T1879</f>
        <v/>
      </c>
      <c r="V1879" s="27">
        <f>D1879*P1879</f>
        <v/>
      </c>
      <c r="W1879" s="27">
        <f>U1879-V1879</f>
        <v/>
      </c>
      <c r="X1879" s="28">
        <f>IFERROR(W1879/U1879,0)</f>
        <v/>
      </c>
    </row>
    <row r="1880">
      <c r="A1880" s="21">
        <f>ItensPedido!A1880</f>
        <v/>
      </c>
      <c r="B1880" s="21">
        <f>ItensPedido!B1880</f>
        <v/>
      </c>
      <c r="C1880" s="21">
        <f>ItensPedido!C1880</f>
        <v/>
      </c>
      <c r="D1880" s="21">
        <f>ItensPedido!D1880</f>
        <v/>
      </c>
      <c r="E1880" s="22">
        <f>ItensPedido!E1880</f>
        <v/>
      </c>
      <c r="F1880" s="21">
        <f>IFERROR(INDEX(Pedidos!$B$2:$B$1801,MATCH(B1880,Pedidos!$A$2:$A$1801,0)),0)</f>
        <v/>
      </c>
      <c r="G1880" s="21">
        <f>IF(F1880=0,"",YEAR(F1880))</f>
        <v/>
      </c>
      <c r="H1880" s="21">
        <f>IF(F1880=0,"",MONTH(F1880))</f>
        <v/>
      </c>
      <c r="I1880" s="21">
        <f>IFERROR(INDEX(Pedidos!$E$2:$E$1801,MATCH(B1880,Pedidos!$A$2:$A$1801,0)),"")</f>
        <v/>
      </c>
      <c r="J1880" s="21">
        <f>IFERROR(INDEX(Pedidos!$C$2:$C$1801,MATCH(B1880,Pedidos!$A$2:$A$1801,0)),"")</f>
        <v/>
      </c>
      <c r="K1880" s="21">
        <f>IFERROR(INDEX(Pedidos!$D$2:$D$1801,MATCH(B1880,Pedidos!$A$2:$A$1801,0)),"")</f>
        <v/>
      </c>
      <c r="L1880" s="21">
        <f>IFERROR(INDEX(Pedidos!$F$2:$F$1801,MATCH(B1880,Pedidos!$A$2:$A$1801,0)),"")</f>
        <v/>
      </c>
      <c r="M1880" s="22">
        <f>IFERROR(INDEX(Pedidos!$G$2:$G$1801,MATCH(B1880,Pedidos!$A$2:$A$1801,0)),0)</f>
        <v/>
      </c>
      <c r="N1880" s="21">
        <f>IFERROR(INDEX(Produtos!$B$2:$B$71,MATCH(C1880,Produtos!$A$2:$A$71,0)),"")</f>
        <v/>
      </c>
      <c r="O1880" s="21">
        <f>IFERROR(INDEX(Produtos!$C$2:$C$71,MATCH(C1880,Produtos!$A$2:$A$71,0)),"")</f>
        <v/>
      </c>
      <c r="P1880" s="21">
        <f>IFERROR(INDEX(Produtos!$D$2:$D$71,MATCH(C1880,Produtos!$A$2:$A$71,0)),0)</f>
        <v/>
      </c>
      <c r="Q1880" s="21">
        <f>IFERROR(INDEX(Produtos!$E$2:$E$71,MATCH(C1880,Produtos!$A$2:$A$71,0)),0)</f>
        <v/>
      </c>
      <c r="R1880" s="23">
        <f>D1880*Q1880</f>
        <v/>
      </c>
      <c r="S1880" s="23">
        <f>R1880*E1880</f>
        <v/>
      </c>
      <c r="T1880" s="23">
        <f>(R1880-S1880)*M1880</f>
        <v/>
      </c>
      <c r="U1880" s="23">
        <f>R1880-S1880-T1880</f>
        <v/>
      </c>
      <c r="V1880" s="23">
        <f>D1880*P1880</f>
        <v/>
      </c>
      <c r="W1880" s="23">
        <f>U1880-V1880</f>
        <v/>
      </c>
      <c r="X1880" s="24">
        <f>IFERROR(W1880/U1880,0)</f>
        <v/>
      </c>
    </row>
    <row r="1881">
      <c r="A1881" s="25">
        <f>ItensPedido!A1881</f>
        <v/>
      </c>
      <c r="B1881" s="25">
        <f>ItensPedido!B1881</f>
        <v/>
      </c>
      <c r="C1881" s="25">
        <f>ItensPedido!C1881</f>
        <v/>
      </c>
      <c r="D1881" s="25">
        <f>ItensPedido!D1881</f>
        <v/>
      </c>
      <c r="E1881" s="26">
        <f>ItensPedido!E1881</f>
        <v/>
      </c>
      <c r="F1881" s="25">
        <f>IFERROR(INDEX(Pedidos!$B$2:$B$1801,MATCH(B1881,Pedidos!$A$2:$A$1801,0)),0)</f>
        <v/>
      </c>
      <c r="G1881" s="25">
        <f>IF(F1881=0,"",YEAR(F1881))</f>
        <v/>
      </c>
      <c r="H1881" s="25">
        <f>IF(F1881=0,"",MONTH(F1881))</f>
        <v/>
      </c>
      <c r="I1881" s="25">
        <f>IFERROR(INDEX(Pedidos!$E$2:$E$1801,MATCH(B1881,Pedidos!$A$2:$A$1801,0)),"")</f>
        <v/>
      </c>
      <c r="J1881" s="25">
        <f>IFERROR(INDEX(Pedidos!$C$2:$C$1801,MATCH(B1881,Pedidos!$A$2:$A$1801,0)),"")</f>
        <v/>
      </c>
      <c r="K1881" s="25">
        <f>IFERROR(INDEX(Pedidos!$D$2:$D$1801,MATCH(B1881,Pedidos!$A$2:$A$1801,0)),"")</f>
        <v/>
      </c>
      <c r="L1881" s="25">
        <f>IFERROR(INDEX(Pedidos!$F$2:$F$1801,MATCH(B1881,Pedidos!$A$2:$A$1801,0)),"")</f>
        <v/>
      </c>
      <c r="M1881" s="26">
        <f>IFERROR(INDEX(Pedidos!$G$2:$G$1801,MATCH(B1881,Pedidos!$A$2:$A$1801,0)),0)</f>
        <v/>
      </c>
      <c r="N1881" s="25">
        <f>IFERROR(INDEX(Produtos!$B$2:$B$71,MATCH(C1881,Produtos!$A$2:$A$71,0)),"")</f>
        <v/>
      </c>
      <c r="O1881" s="25">
        <f>IFERROR(INDEX(Produtos!$C$2:$C$71,MATCH(C1881,Produtos!$A$2:$A$71,0)),"")</f>
        <v/>
      </c>
      <c r="P1881" s="25">
        <f>IFERROR(INDEX(Produtos!$D$2:$D$71,MATCH(C1881,Produtos!$A$2:$A$71,0)),0)</f>
        <v/>
      </c>
      <c r="Q1881" s="25">
        <f>IFERROR(INDEX(Produtos!$E$2:$E$71,MATCH(C1881,Produtos!$A$2:$A$71,0)),0)</f>
        <v/>
      </c>
      <c r="R1881" s="27">
        <f>D1881*Q1881</f>
        <v/>
      </c>
      <c r="S1881" s="27">
        <f>R1881*E1881</f>
        <v/>
      </c>
      <c r="T1881" s="27">
        <f>(R1881-S1881)*M1881</f>
        <v/>
      </c>
      <c r="U1881" s="27">
        <f>R1881-S1881-T1881</f>
        <v/>
      </c>
      <c r="V1881" s="27">
        <f>D1881*P1881</f>
        <v/>
      </c>
      <c r="W1881" s="27">
        <f>U1881-V1881</f>
        <v/>
      </c>
      <c r="X1881" s="28">
        <f>IFERROR(W1881/U1881,0)</f>
        <v/>
      </c>
    </row>
    <row r="1882">
      <c r="A1882" s="21">
        <f>ItensPedido!A1882</f>
        <v/>
      </c>
      <c r="B1882" s="21">
        <f>ItensPedido!B1882</f>
        <v/>
      </c>
      <c r="C1882" s="21">
        <f>ItensPedido!C1882</f>
        <v/>
      </c>
      <c r="D1882" s="21">
        <f>ItensPedido!D1882</f>
        <v/>
      </c>
      <c r="E1882" s="22">
        <f>ItensPedido!E1882</f>
        <v/>
      </c>
      <c r="F1882" s="21">
        <f>IFERROR(INDEX(Pedidos!$B$2:$B$1801,MATCH(B1882,Pedidos!$A$2:$A$1801,0)),0)</f>
        <v/>
      </c>
      <c r="G1882" s="21">
        <f>IF(F1882=0,"",YEAR(F1882))</f>
        <v/>
      </c>
      <c r="H1882" s="21">
        <f>IF(F1882=0,"",MONTH(F1882))</f>
        <v/>
      </c>
      <c r="I1882" s="21">
        <f>IFERROR(INDEX(Pedidos!$E$2:$E$1801,MATCH(B1882,Pedidos!$A$2:$A$1801,0)),"")</f>
        <v/>
      </c>
      <c r="J1882" s="21">
        <f>IFERROR(INDEX(Pedidos!$C$2:$C$1801,MATCH(B1882,Pedidos!$A$2:$A$1801,0)),"")</f>
        <v/>
      </c>
      <c r="K1882" s="21">
        <f>IFERROR(INDEX(Pedidos!$D$2:$D$1801,MATCH(B1882,Pedidos!$A$2:$A$1801,0)),"")</f>
        <v/>
      </c>
      <c r="L1882" s="21">
        <f>IFERROR(INDEX(Pedidos!$F$2:$F$1801,MATCH(B1882,Pedidos!$A$2:$A$1801,0)),"")</f>
        <v/>
      </c>
      <c r="M1882" s="22">
        <f>IFERROR(INDEX(Pedidos!$G$2:$G$1801,MATCH(B1882,Pedidos!$A$2:$A$1801,0)),0)</f>
        <v/>
      </c>
      <c r="N1882" s="21">
        <f>IFERROR(INDEX(Produtos!$B$2:$B$71,MATCH(C1882,Produtos!$A$2:$A$71,0)),"")</f>
        <v/>
      </c>
      <c r="O1882" s="21">
        <f>IFERROR(INDEX(Produtos!$C$2:$C$71,MATCH(C1882,Produtos!$A$2:$A$71,0)),"")</f>
        <v/>
      </c>
      <c r="P1882" s="21">
        <f>IFERROR(INDEX(Produtos!$D$2:$D$71,MATCH(C1882,Produtos!$A$2:$A$71,0)),0)</f>
        <v/>
      </c>
      <c r="Q1882" s="21">
        <f>IFERROR(INDEX(Produtos!$E$2:$E$71,MATCH(C1882,Produtos!$A$2:$A$71,0)),0)</f>
        <v/>
      </c>
      <c r="R1882" s="23">
        <f>D1882*Q1882</f>
        <v/>
      </c>
      <c r="S1882" s="23">
        <f>R1882*E1882</f>
        <v/>
      </c>
      <c r="T1882" s="23">
        <f>(R1882-S1882)*M1882</f>
        <v/>
      </c>
      <c r="U1882" s="23">
        <f>R1882-S1882-T1882</f>
        <v/>
      </c>
      <c r="V1882" s="23">
        <f>D1882*P1882</f>
        <v/>
      </c>
      <c r="W1882" s="23">
        <f>U1882-V1882</f>
        <v/>
      </c>
      <c r="X1882" s="24">
        <f>IFERROR(W1882/U1882,0)</f>
        <v/>
      </c>
    </row>
    <row r="1883">
      <c r="A1883" s="25">
        <f>ItensPedido!A1883</f>
        <v/>
      </c>
      <c r="B1883" s="25">
        <f>ItensPedido!B1883</f>
        <v/>
      </c>
      <c r="C1883" s="25">
        <f>ItensPedido!C1883</f>
        <v/>
      </c>
      <c r="D1883" s="25">
        <f>ItensPedido!D1883</f>
        <v/>
      </c>
      <c r="E1883" s="26">
        <f>ItensPedido!E1883</f>
        <v/>
      </c>
      <c r="F1883" s="25">
        <f>IFERROR(INDEX(Pedidos!$B$2:$B$1801,MATCH(B1883,Pedidos!$A$2:$A$1801,0)),0)</f>
        <v/>
      </c>
      <c r="G1883" s="25">
        <f>IF(F1883=0,"",YEAR(F1883))</f>
        <v/>
      </c>
      <c r="H1883" s="25">
        <f>IF(F1883=0,"",MONTH(F1883))</f>
        <v/>
      </c>
      <c r="I1883" s="25">
        <f>IFERROR(INDEX(Pedidos!$E$2:$E$1801,MATCH(B1883,Pedidos!$A$2:$A$1801,0)),"")</f>
        <v/>
      </c>
      <c r="J1883" s="25">
        <f>IFERROR(INDEX(Pedidos!$C$2:$C$1801,MATCH(B1883,Pedidos!$A$2:$A$1801,0)),"")</f>
        <v/>
      </c>
      <c r="K1883" s="25">
        <f>IFERROR(INDEX(Pedidos!$D$2:$D$1801,MATCH(B1883,Pedidos!$A$2:$A$1801,0)),"")</f>
        <v/>
      </c>
      <c r="L1883" s="25">
        <f>IFERROR(INDEX(Pedidos!$F$2:$F$1801,MATCH(B1883,Pedidos!$A$2:$A$1801,0)),"")</f>
        <v/>
      </c>
      <c r="M1883" s="26">
        <f>IFERROR(INDEX(Pedidos!$G$2:$G$1801,MATCH(B1883,Pedidos!$A$2:$A$1801,0)),0)</f>
        <v/>
      </c>
      <c r="N1883" s="25">
        <f>IFERROR(INDEX(Produtos!$B$2:$B$71,MATCH(C1883,Produtos!$A$2:$A$71,0)),"")</f>
        <v/>
      </c>
      <c r="O1883" s="25">
        <f>IFERROR(INDEX(Produtos!$C$2:$C$71,MATCH(C1883,Produtos!$A$2:$A$71,0)),"")</f>
        <v/>
      </c>
      <c r="P1883" s="25">
        <f>IFERROR(INDEX(Produtos!$D$2:$D$71,MATCH(C1883,Produtos!$A$2:$A$71,0)),0)</f>
        <v/>
      </c>
      <c r="Q1883" s="25">
        <f>IFERROR(INDEX(Produtos!$E$2:$E$71,MATCH(C1883,Produtos!$A$2:$A$71,0)),0)</f>
        <v/>
      </c>
      <c r="R1883" s="27">
        <f>D1883*Q1883</f>
        <v/>
      </c>
      <c r="S1883" s="27">
        <f>R1883*E1883</f>
        <v/>
      </c>
      <c r="T1883" s="27">
        <f>(R1883-S1883)*M1883</f>
        <v/>
      </c>
      <c r="U1883" s="27">
        <f>R1883-S1883-T1883</f>
        <v/>
      </c>
      <c r="V1883" s="27">
        <f>D1883*P1883</f>
        <v/>
      </c>
      <c r="W1883" s="27">
        <f>U1883-V1883</f>
        <v/>
      </c>
      <c r="X1883" s="28">
        <f>IFERROR(W1883/U1883,0)</f>
        <v/>
      </c>
    </row>
    <row r="1884">
      <c r="A1884" s="21">
        <f>ItensPedido!A1884</f>
        <v/>
      </c>
      <c r="B1884" s="21">
        <f>ItensPedido!B1884</f>
        <v/>
      </c>
      <c r="C1884" s="21">
        <f>ItensPedido!C1884</f>
        <v/>
      </c>
      <c r="D1884" s="21">
        <f>ItensPedido!D1884</f>
        <v/>
      </c>
      <c r="E1884" s="22">
        <f>ItensPedido!E1884</f>
        <v/>
      </c>
      <c r="F1884" s="21">
        <f>IFERROR(INDEX(Pedidos!$B$2:$B$1801,MATCH(B1884,Pedidos!$A$2:$A$1801,0)),0)</f>
        <v/>
      </c>
      <c r="G1884" s="21">
        <f>IF(F1884=0,"",YEAR(F1884))</f>
        <v/>
      </c>
      <c r="H1884" s="21">
        <f>IF(F1884=0,"",MONTH(F1884))</f>
        <v/>
      </c>
      <c r="I1884" s="21">
        <f>IFERROR(INDEX(Pedidos!$E$2:$E$1801,MATCH(B1884,Pedidos!$A$2:$A$1801,0)),"")</f>
        <v/>
      </c>
      <c r="J1884" s="21">
        <f>IFERROR(INDEX(Pedidos!$C$2:$C$1801,MATCH(B1884,Pedidos!$A$2:$A$1801,0)),"")</f>
        <v/>
      </c>
      <c r="K1884" s="21">
        <f>IFERROR(INDEX(Pedidos!$D$2:$D$1801,MATCH(B1884,Pedidos!$A$2:$A$1801,0)),"")</f>
        <v/>
      </c>
      <c r="L1884" s="21">
        <f>IFERROR(INDEX(Pedidos!$F$2:$F$1801,MATCH(B1884,Pedidos!$A$2:$A$1801,0)),"")</f>
        <v/>
      </c>
      <c r="M1884" s="22">
        <f>IFERROR(INDEX(Pedidos!$G$2:$G$1801,MATCH(B1884,Pedidos!$A$2:$A$1801,0)),0)</f>
        <v/>
      </c>
      <c r="N1884" s="21">
        <f>IFERROR(INDEX(Produtos!$B$2:$B$71,MATCH(C1884,Produtos!$A$2:$A$71,0)),"")</f>
        <v/>
      </c>
      <c r="O1884" s="21">
        <f>IFERROR(INDEX(Produtos!$C$2:$C$71,MATCH(C1884,Produtos!$A$2:$A$71,0)),"")</f>
        <v/>
      </c>
      <c r="P1884" s="21">
        <f>IFERROR(INDEX(Produtos!$D$2:$D$71,MATCH(C1884,Produtos!$A$2:$A$71,0)),0)</f>
        <v/>
      </c>
      <c r="Q1884" s="21">
        <f>IFERROR(INDEX(Produtos!$E$2:$E$71,MATCH(C1884,Produtos!$A$2:$A$71,0)),0)</f>
        <v/>
      </c>
      <c r="R1884" s="23">
        <f>D1884*Q1884</f>
        <v/>
      </c>
      <c r="S1884" s="23">
        <f>R1884*E1884</f>
        <v/>
      </c>
      <c r="T1884" s="23">
        <f>(R1884-S1884)*M1884</f>
        <v/>
      </c>
      <c r="U1884" s="23">
        <f>R1884-S1884-T1884</f>
        <v/>
      </c>
      <c r="V1884" s="23">
        <f>D1884*P1884</f>
        <v/>
      </c>
      <c r="W1884" s="23">
        <f>U1884-V1884</f>
        <v/>
      </c>
      <c r="X1884" s="24">
        <f>IFERROR(W1884/U1884,0)</f>
        <v/>
      </c>
    </row>
    <row r="1885">
      <c r="A1885" s="25">
        <f>ItensPedido!A1885</f>
        <v/>
      </c>
      <c r="B1885" s="25">
        <f>ItensPedido!B1885</f>
        <v/>
      </c>
      <c r="C1885" s="25">
        <f>ItensPedido!C1885</f>
        <v/>
      </c>
      <c r="D1885" s="25">
        <f>ItensPedido!D1885</f>
        <v/>
      </c>
      <c r="E1885" s="26">
        <f>ItensPedido!E1885</f>
        <v/>
      </c>
      <c r="F1885" s="25">
        <f>IFERROR(INDEX(Pedidos!$B$2:$B$1801,MATCH(B1885,Pedidos!$A$2:$A$1801,0)),0)</f>
        <v/>
      </c>
      <c r="G1885" s="25">
        <f>IF(F1885=0,"",YEAR(F1885))</f>
        <v/>
      </c>
      <c r="H1885" s="25">
        <f>IF(F1885=0,"",MONTH(F1885))</f>
        <v/>
      </c>
      <c r="I1885" s="25">
        <f>IFERROR(INDEX(Pedidos!$E$2:$E$1801,MATCH(B1885,Pedidos!$A$2:$A$1801,0)),"")</f>
        <v/>
      </c>
      <c r="J1885" s="25">
        <f>IFERROR(INDEX(Pedidos!$C$2:$C$1801,MATCH(B1885,Pedidos!$A$2:$A$1801,0)),"")</f>
        <v/>
      </c>
      <c r="K1885" s="25">
        <f>IFERROR(INDEX(Pedidos!$D$2:$D$1801,MATCH(B1885,Pedidos!$A$2:$A$1801,0)),"")</f>
        <v/>
      </c>
      <c r="L1885" s="25">
        <f>IFERROR(INDEX(Pedidos!$F$2:$F$1801,MATCH(B1885,Pedidos!$A$2:$A$1801,0)),"")</f>
        <v/>
      </c>
      <c r="M1885" s="26">
        <f>IFERROR(INDEX(Pedidos!$G$2:$G$1801,MATCH(B1885,Pedidos!$A$2:$A$1801,0)),0)</f>
        <v/>
      </c>
      <c r="N1885" s="25">
        <f>IFERROR(INDEX(Produtos!$B$2:$B$71,MATCH(C1885,Produtos!$A$2:$A$71,0)),"")</f>
        <v/>
      </c>
      <c r="O1885" s="25">
        <f>IFERROR(INDEX(Produtos!$C$2:$C$71,MATCH(C1885,Produtos!$A$2:$A$71,0)),"")</f>
        <v/>
      </c>
      <c r="P1885" s="25">
        <f>IFERROR(INDEX(Produtos!$D$2:$D$71,MATCH(C1885,Produtos!$A$2:$A$71,0)),0)</f>
        <v/>
      </c>
      <c r="Q1885" s="25">
        <f>IFERROR(INDEX(Produtos!$E$2:$E$71,MATCH(C1885,Produtos!$A$2:$A$71,0)),0)</f>
        <v/>
      </c>
      <c r="R1885" s="27">
        <f>D1885*Q1885</f>
        <v/>
      </c>
      <c r="S1885" s="27">
        <f>R1885*E1885</f>
        <v/>
      </c>
      <c r="T1885" s="27">
        <f>(R1885-S1885)*M1885</f>
        <v/>
      </c>
      <c r="U1885" s="27">
        <f>R1885-S1885-T1885</f>
        <v/>
      </c>
      <c r="V1885" s="27">
        <f>D1885*P1885</f>
        <v/>
      </c>
      <c r="W1885" s="27">
        <f>U1885-V1885</f>
        <v/>
      </c>
      <c r="X1885" s="28">
        <f>IFERROR(W1885/U1885,0)</f>
        <v/>
      </c>
    </row>
    <row r="1886">
      <c r="A1886" s="21">
        <f>ItensPedido!A1886</f>
        <v/>
      </c>
      <c r="B1886" s="21">
        <f>ItensPedido!B1886</f>
        <v/>
      </c>
      <c r="C1886" s="21">
        <f>ItensPedido!C1886</f>
        <v/>
      </c>
      <c r="D1886" s="21">
        <f>ItensPedido!D1886</f>
        <v/>
      </c>
      <c r="E1886" s="22">
        <f>ItensPedido!E1886</f>
        <v/>
      </c>
      <c r="F1886" s="21">
        <f>IFERROR(INDEX(Pedidos!$B$2:$B$1801,MATCH(B1886,Pedidos!$A$2:$A$1801,0)),0)</f>
        <v/>
      </c>
      <c r="G1886" s="21">
        <f>IF(F1886=0,"",YEAR(F1886))</f>
        <v/>
      </c>
      <c r="H1886" s="21">
        <f>IF(F1886=0,"",MONTH(F1886))</f>
        <v/>
      </c>
      <c r="I1886" s="21">
        <f>IFERROR(INDEX(Pedidos!$E$2:$E$1801,MATCH(B1886,Pedidos!$A$2:$A$1801,0)),"")</f>
        <v/>
      </c>
      <c r="J1886" s="21">
        <f>IFERROR(INDEX(Pedidos!$C$2:$C$1801,MATCH(B1886,Pedidos!$A$2:$A$1801,0)),"")</f>
        <v/>
      </c>
      <c r="K1886" s="21">
        <f>IFERROR(INDEX(Pedidos!$D$2:$D$1801,MATCH(B1886,Pedidos!$A$2:$A$1801,0)),"")</f>
        <v/>
      </c>
      <c r="L1886" s="21">
        <f>IFERROR(INDEX(Pedidos!$F$2:$F$1801,MATCH(B1886,Pedidos!$A$2:$A$1801,0)),"")</f>
        <v/>
      </c>
      <c r="M1886" s="22">
        <f>IFERROR(INDEX(Pedidos!$G$2:$G$1801,MATCH(B1886,Pedidos!$A$2:$A$1801,0)),0)</f>
        <v/>
      </c>
      <c r="N1886" s="21">
        <f>IFERROR(INDEX(Produtos!$B$2:$B$71,MATCH(C1886,Produtos!$A$2:$A$71,0)),"")</f>
        <v/>
      </c>
      <c r="O1886" s="21">
        <f>IFERROR(INDEX(Produtos!$C$2:$C$71,MATCH(C1886,Produtos!$A$2:$A$71,0)),"")</f>
        <v/>
      </c>
      <c r="P1886" s="21">
        <f>IFERROR(INDEX(Produtos!$D$2:$D$71,MATCH(C1886,Produtos!$A$2:$A$71,0)),0)</f>
        <v/>
      </c>
      <c r="Q1886" s="21">
        <f>IFERROR(INDEX(Produtos!$E$2:$E$71,MATCH(C1886,Produtos!$A$2:$A$71,0)),0)</f>
        <v/>
      </c>
      <c r="R1886" s="23">
        <f>D1886*Q1886</f>
        <v/>
      </c>
      <c r="S1886" s="23">
        <f>R1886*E1886</f>
        <v/>
      </c>
      <c r="T1886" s="23">
        <f>(R1886-S1886)*M1886</f>
        <v/>
      </c>
      <c r="U1886" s="23">
        <f>R1886-S1886-T1886</f>
        <v/>
      </c>
      <c r="V1886" s="23">
        <f>D1886*P1886</f>
        <v/>
      </c>
      <c r="W1886" s="23">
        <f>U1886-V1886</f>
        <v/>
      </c>
      <c r="X1886" s="24">
        <f>IFERROR(W1886/U1886,0)</f>
        <v/>
      </c>
    </row>
    <row r="1887">
      <c r="A1887" s="25">
        <f>ItensPedido!A1887</f>
        <v/>
      </c>
      <c r="B1887" s="25">
        <f>ItensPedido!B1887</f>
        <v/>
      </c>
      <c r="C1887" s="25">
        <f>ItensPedido!C1887</f>
        <v/>
      </c>
      <c r="D1887" s="25">
        <f>ItensPedido!D1887</f>
        <v/>
      </c>
      <c r="E1887" s="26">
        <f>ItensPedido!E1887</f>
        <v/>
      </c>
      <c r="F1887" s="25">
        <f>IFERROR(INDEX(Pedidos!$B$2:$B$1801,MATCH(B1887,Pedidos!$A$2:$A$1801,0)),0)</f>
        <v/>
      </c>
      <c r="G1887" s="25">
        <f>IF(F1887=0,"",YEAR(F1887))</f>
        <v/>
      </c>
      <c r="H1887" s="25">
        <f>IF(F1887=0,"",MONTH(F1887))</f>
        <v/>
      </c>
      <c r="I1887" s="25">
        <f>IFERROR(INDEX(Pedidos!$E$2:$E$1801,MATCH(B1887,Pedidos!$A$2:$A$1801,0)),"")</f>
        <v/>
      </c>
      <c r="J1887" s="25">
        <f>IFERROR(INDEX(Pedidos!$C$2:$C$1801,MATCH(B1887,Pedidos!$A$2:$A$1801,0)),"")</f>
        <v/>
      </c>
      <c r="K1887" s="25">
        <f>IFERROR(INDEX(Pedidos!$D$2:$D$1801,MATCH(B1887,Pedidos!$A$2:$A$1801,0)),"")</f>
        <v/>
      </c>
      <c r="L1887" s="25">
        <f>IFERROR(INDEX(Pedidos!$F$2:$F$1801,MATCH(B1887,Pedidos!$A$2:$A$1801,0)),"")</f>
        <v/>
      </c>
      <c r="M1887" s="26">
        <f>IFERROR(INDEX(Pedidos!$G$2:$G$1801,MATCH(B1887,Pedidos!$A$2:$A$1801,0)),0)</f>
        <v/>
      </c>
      <c r="N1887" s="25">
        <f>IFERROR(INDEX(Produtos!$B$2:$B$71,MATCH(C1887,Produtos!$A$2:$A$71,0)),"")</f>
        <v/>
      </c>
      <c r="O1887" s="25">
        <f>IFERROR(INDEX(Produtos!$C$2:$C$71,MATCH(C1887,Produtos!$A$2:$A$71,0)),"")</f>
        <v/>
      </c>
      <c r="P1887" s="25">
        <f>IFERROR(INDEX(Produtos!$D$2:$D$71,MATCH(C1887,Produtos!$A$2:$A$71,0)),0)</f>
        <v/>
      </c>
      <c r="Q1887" s="25">
        <f>IFERROR(INDEX(Produtos!$E$2:$E$71,MATCH(C1887,Produtos!$A$2:$A$71,0)),0)</f>
        <v/>
      </c>
      <c r="R1887" s="27">
        <f>D1887*Q1887</f>
        <v/>
      </c>
      <c r="S1887" s="27">
        <f>R1887*E1887</f>
        <v/>
      </c>
      <c r="T1887" s="27">
        <f>(R1887-S1887)*M1887</f>
        <v/>
      </c>
      <c r="U1887" s="27">
        <f>R1887-S1887-T1887</f>
        <v/>
      </c>
      <c r="V1887" s="27">
        <f>D1887*P1887</f>
        <v/>
      </c>
      <c r="W1887" s="27">
        <f>U1887-V1887</f>
        <v/>
      </c>
      <c r="X1887" s="28">
        <f>IFERROR(W1887/U1887,0)</f>
        <v/>
      </c>
    </row>
    <row r="1888">
      <c r="A1888" s="21">
        <f>ItensPedido!A1888</f>
        <v/>
      </c>
      <c r="B1888" s="21">
        <f>ItensPedido!B1888</f>
        <v/>
      </c>
      <c r="C1888" s="21">
        <f>ItensPedido!C1888</f>
        <v/>
      </c>
      <c r="D1888" s="21">
        <f>ItensPedido!D1888</f>
        <v/>
      </c>
      <c r="E1888" s="22">
        <f>ItensPedido!E1888</f>
        <v/>
      </c>
      <c r="F1888" s="21">
        <f>IFERROR(INDEX(Pedidos!$B$2:$B$1801,MATCH(B1888,Pedidos!$A$2:$A$1801,0)),0)</f>
        <v/>
      </c>
      <c r="G1888" s="21">
        <f>IF(F1888=0,"",YEAR(F1888))</f>
        <v/>
      </c>
      <c r="H1888" s="21">
        <f>IF(F1888=0,"",MONTH(F1888))</f>
        <v/>
      </c>
      <c r="I1888" s="21">
        <f>IFERROR(INDEX(Pedidos!$E$2:$E$1801,MATCH(B1888,Pedidos!$A$2:$A$1801,0)),"")</f>
        <v/>
      </c>
      <c r="J1888" s="21">
        <f>IFERROR(INDEX(Pedidos!$C$2:$C$1801,MATCH(B1888,Pedidos!$A$2:$A$1801,0)),"")</f>
        <v/>
      </c>
      <c r="K1888" s="21">
        <f>IFERROR(INDEX(Pedidos!$D$2:$D$1801,MATCH(B1888,Pedidos!$A$2:$A$1801,0)),"")</f>
        <v/>
      </c>
      <c r="L1888" s="21">
        <f>IFERROR(INDEX(Pedidos!$F$2:$F$1801,MATCH(B1888,Pedidos!$A$2:$A$1801,0)),"")</f>
        <v/>
      </c>
      <c r="M1888" s="22">
        <f>IFERROR(INDEX(Pedidos!$G$2:$G$1801,MATCH(B1888,Pedidos!$A$2:$A$1801,0)),0)</f>
        <v/>
      </c>
      <c r="N1888" s="21">
        <f>IFERROR(INDEX(Produtos!$B$2:$B$71,MATCH(C1888,Produtos!$A$2:$A$71,0)),"")</f>
        <v/>
      </c>
      <c r="O1888" s="21">
        <f>IFERROR(INDEX(Produtos!$C$2:$C$71,MATCH(C1888,Produtos!$A$2:$A$71,0)),"")</f>
        <v/>
      </c>
      <c r="P1888" s="21">
        <f>IFERROR(INDEX(Produtos!$D$2:$D$71,MATCH(C1888,Produtos!$A$2:$A$71,0)),0)</f>
        <v/>
      </c>
      <c r="Q1888" s="21">
        <f>IFERROR(INDEX(Produtos!$E$2:$E$71,MATCH(C1888,Produtos!$A$2:$A$71,0)),0)</f>
        <v/>
      </c>
      <c r="R1888" s="23">
        <f>D1888*Q1888</f>
        <v/>
      </c>
      <c r="S1888" s="23">
        <f>R1888*E1888</f>
        <v/>
      </c>
      <c r="T1888" s="23">
        <f>(R1888-S1888)*M1888</f>
        <v/>
      </c>
      <c r="U1888" s="23">
        <f>R1888-S1888-T1888</f>
        <v/>
      </c>
      <c r="V1888" s="23">
        <f>D1888*P1888</f>
        <v/>
      </c>
      <c r="W1888" s="23">
        <f>U1888-V1888</f>
        <v/>
      </c>
      <c r="X1888" s="24">
        <f>IFERROR(W1888/U1888,0)</f>
        <v/>
      </c>
    </row>
    <row r="1889">
      <c r="A1889" s="25">
        <f>ItensPedido!A1889</f>
        <v/>
      </c>
      <c r="B1889" s="25">
        <f>ItensPedido!B1889</f>
        <v/>
      </c>
      <c r="C1889" s="25">
        <f>ItensPedido!C1889</f>
        <v/>
      </c>
      <c r="D1889" s="25">
        <f>ItensPedido!D1889</f>
        <v/>
      </c>
      <c r="E1889" s="26">
        <f>ItensPedido!E1889</f>
        <v/>
      </c>
      <c r="F1889" s="25">
        <f>IFERROR(INDEX(Pedidos!$B$2:$B$1801,MATCH(B1889,Pedidos!$A$2:$A$1801,0)),0)</f>
        <v/>
      </c>
      <c r="G1889" s="25">
        <f>IF(F1889=0,"",YEAR(F1889))</f>
        <v/>
      </c>
      <c r="H1889" s="25">
        <f>IF(F1889=0,"",MONTH(F1889))</f>
        <v/>
      </c>
      <c r="I1889" s="25">
        <f>IFERROR(INDEX(Pedidos!$E$2:$E$1801,MATCH(B1889,Pedidos!$A$2:$A$1801,0)),"")</f>
        <v/>
      </c>
      <c r="J1889" s="25">
        <f>IFERROR(INDEX(Pedidos!$C$2:$C$1801,MATCH(B1889,Pedidos!$A$2:$A$1801,0)),"")</f>
        <v/>
      </c>
      <c r="K1889" s="25">
        <f>IFERROR(INDEX(Pedidos!$D$2:$D$1801,MATCH(B1889,Pedidos!$A$2:$A$1801,0)),"")</f>
        <v/>
      </c>
      <c r="L1889" s="25">
        <f>IFERROR(INDEX(Pedidos!$F$2:$F$1801,MATCH(B1889,Pedidos!$A$2:$A$1801,0)),"")</f>
        <v/>
      </c>
      <c r="M1889" s="26">
        <f>IFERROR(INDEX(Pedidos!$G$2:$G$1801,MATCH(B1889,Pedidos!$A$2:$A$1801,0)),0)</f>
        <v/>
      </c>
      <c r="N1889" s="25">
        <f>IFERROR(INDEX(Produtos!$B$2:$B$71,MATCH(C1889,Produtos!$A$2:$A$71,0)),"")</f>
        <v/>
      </c>
      <c r="O1889" s="25">
        <f>IFERROR(INDEX(Produtos!$C$2:$C$71,MATCH(C1889,Produtos!$A$2:$A$71,0)),"")</f>
        <v/>
      </c>
      <c r="P1889" s="25">
        <f>IFERROR(INDEX(Produtos!$D$2:$D$71,MATCH(C1889,Produtos!$A$2:$A$71,0)),0)</f>
        <v/>
      </c>
      <c r="Q1889" s="25">
        <f>IFERROR(INDEX(Produtos!$E$2:$E$71,MATCH(C1889,Produtos!$A$2:$A$71,0)),0)</f>
        <v/>
      </c>
      <c r="R1889" s="27">
        <f>D1889*Q1889</f>
        <v/>
      </c>
      <c r="S1889" s="27">
        <f>R1889*E1889</f>
        <v/>
      </c>
      <c r="T1889" s="27">
        <f>(R1889-S1889)*M1889</f>
        <v/>
      </c>
      <c r="U1889" s="27">
        <f>R1889-S1889-T1889</f>
        <v/>
      </c>
      <c r="V1889" s="27">
        <f>D1889*P1889</f>
        <v/>
      </c>
      <c r="W1889" s="27">
        <f>U1889-V1889</f>
        <v/>
      </c>
      <c r="X1889" s="28">
        <f>IFERROR(W1889/U1889,0)</f>
        <v/>
      </c>
    </row>
    <row r="1890">
      <c r="A1890" s="21">
        <f>ItensPedido!A1890</f>
        <v/>
      </c>
      <c r="B1890" s="21">
        <f>ItensPedido!B1890</f>
        <v/>
      </c>
      <c r="C1890" s="21">
        <f>ItensPedido!C1890</f>
        <v/>
      </c>
      <c r="D1890" s="21">
        <f>ItensPedido!D1890</f>
        <v/>
      </c>
      <c r="E1890" s="22">
        <f>ItensPedido!E1890</f>
        <v/>
      </c>
      <c r="F1890" s="21">
        <f>IFERROR(INDEX(Pedidos!$B$2:$B$1801,MATCH(B1890,Pedidos!$A$2:$A$1801,0)),0)</f>
        <v/>
      </c>
      <c r="G1890" s="21">
        <f>IF(F1890=0,"",YEAR(F1890))</f>
        <v/>
      </c>
      <c r="H1890" s="21">
        <f>IF(F1890=0,"",MONTH(F1890))</f>
        <v/>
      </c>
      <c r="I1890" s="21">
        <f>IFERROR(INDEX(Pedidos!$E$2:$E$1801,MATCH(B1890,Pedidos!$A$2:$A$1801,0)),"")</f>
        <v/>
      </c>
      <c r="J1890" s="21">
        <f>IFERROR(INDEX(Pedidos!$C$2:$C$1801,MATCH(B1890,Pedidos!$A$2:$A$1801,0)),"")</f>
        <v/>
      </c>
      <c r="K1890" s="21">
        <f>IFERROR(INDEX(Pedidos!$D$2:$D$1801,MATCH(B1890,Pedidos!$A$2:$A$1801,0)),"")</f>
        <v/>
      </c>
      <c r="L1890" s="21">
        <f>IFERROR(INDEX(Pedidos!$F$2:$F$1801,MATCH(B1890,Pedidos!$A$2:$A$1801,0)),"")</f>
        <v/>
      </c>
      <c r="M1890" s="22">
        <f>IFERROR(INDEX(Pedidos!$G$2:$G$1801,MATCH(B1890,Pedidos!$A$2:$A$1801,0)),0)</f>
        <v/>
      </c>
      <c r="N1890" s="21">
        <f>IFERROR(INDEX(Produtos!$B$2:$B$71,MATCH(C1890,Produtos!$A$2:$A$71,0)),"")</f>
        <v/>
      </c>
      <c r="O1890" s="21">
        <f>IFERROR(INDEX(Produtos!$C$2:$C$71,MATCH(C1890,Produtos!$A$2:$A$71,0)),"")</f>
        <v/>
      </c>
      <c r="P1890" s="21">
        <f>IFERROR(INDEX(Produtos!$D$2:$D$71,MATCH(C1890,Produtos!$A$2:$A$71,0)),0)</f>
        <v/>
      </c>
      <c r="Q1890" s="21">
        <f>IFERROR(INDEX(Produtos!$E$2:$E$71,MATCH(C1890,Produtos!$A$2:$A$71,0)),0)</f>
        <v/>
      </c>
      <c r="R1890" s="23">
        <f>D1890*Q1890</f>
        <v/>
      </c>
      <c r="S1890" s="23">
        <f>R1890*E1890</f>
        <v/>
      </c>
      <c r="T1890" s="23">
        <f>(R1890-S1890)*M1890</f>
        <v/>
      </c>
      <c r="U1890" s="23">
        <f>R1890-S1890-T1890</f>
        <v/>
      </c>
      <c r="V1890" s="23">
        <f>D1890*P1890</f>
        <v/>
      </c>
      <c r="W1890" s="23">
        <f>U1890-V1890</f>
        <v/>
      </c>
      <c r="X1890" s="24">
        <f>IFERROR(W1890/U1890,0)</f>
        <v/>
      </c>
    </row>
    <row r="1891">
      <c r="A1891" s="25">
        <f>ItensPedido!A1891</f>
        <v/>
      </c>
      <c r="B1891" s="25">
        <f>ItensPedido!B1891</f>
        <v/>
      </c>
      <c r="C1891" s="25">
        <f>ItensPedido!C1891</f>
        <v/>
      </c>
      <c r="D1891" s="25">
        <f>ItensPedido!D1891</f>
        <v/>
      </c>
      <c r="E1891" s="26">
        <f>ItensPedido!E1891</f>
        <v/>
      </c>
      <c r="F1891" s="25">
        <f>IFERROR(INDEX(Pedidos!$B$2:$B$1801,MATCH(B1891,Pedidos!$A$2:$A$1801,0)),0)</f>
        <v/>
      </c>
      <c r="G1891" s="25">
        <f>IF(F1891=0,"",YEAR(F1891))</f>
        <v/>
      </c>
      <c r="H1891" s="25">
        <f>IF(F1891=0,"",MONTH(F1891))</f>
        <v/>
      </c>
      <c r="I1891" s="25">
        <f>IFERROR(INDEX(Pedidos!$E$2:$E$1801,MATCH(B1891,Pedidos!$A$2:$A$1801,0)),"")</f>
        <v/>
      </c>
      <c r="J1891" s="25">
        <f>IFERROR(INDEX(Pedidos!$C$2:$C$1801,MATCH(B1891,Pedidos!$A$2:$A$1801,0)),"")</f>
        <v/>
      </c>
      <c r="K1891" s="25">
        <f>IFERROR(INDEX(Pedidos!$D$2:$D$1801,MATCH(B1891,Pedidos!$A$2:$A$1801,0)),"")</f>
        <v/>
      </c>
      <c r="L1891" s="25">
        <f>IFERROR(INDEX(Pedidos!$F$2:$F$1801,MATCH(B1891,Pedidos!$A$2:$A$1801,0)),"")</f>
        <v/>
      </c>
      <c r="M1891" s="26">
        <f>IFERROR(INDEX(Pedidos!$G$2:$G$1801,MATCH(B1891,Pedidos!$A$2:$A$1801,0)),0)</f>
        <v/>
      </c>
      <c r="N1891" s="25">
        <f>IFERROR(INDEX(Produtos!$B$2:$B$71,MATCH(C1891,Produtos!$A$2:$A$71,0)),"")</f>
        <v/>
      </c>
      <c r="O1891" s="25">
        <f>IFERROR(INDEX(Produtos!$C$2:$C$71,MATCH(C1891,Produtos!$A$2:$A$71,0)),"")</f>
        <v/>
      </c>
      <c r="P1891" s="25">
        <f>IFERROR(INDEX(Produtos!$D$2:$D$71,MATCH(C1891,Produtos!$A$2:$A$71,0)),0)</f>
        <v/>
      </c>
      <c r="Q1891" s="25">
        <f>IFERROR(INDEX(Produtos!$E$2:$E$71,MATCH(C1891,Produtos!$A$2:$A$71,0)),0)</f>
        <v/>
      </c>
      <c r="R1891" s="27">
        <f>D1891*Q1891</f>
        <v/>
      </c>
      <c r="S1891" s="27">
        <f>R1891*E1891</f>
        <v/>
      </c>
      <c r="T1891" s="27">
        <f>(R1891-S1891)*M1891</f>
        <v/>
      </c>
      <c r="U1891" s="27">
        <f>R1891-S1891-T1891</f>
        <v/>
      </c>
      <c r="V1891" s="27">
        <f>D1891*P1891</f>
        <v/>
      </c>
      <c r="W1891" s="27">
        <f>U1891-V1891</f>
        <v/>
      </c>
      <c r="X1891" s="28">
        <f>IFERROR(W1891/U1891,0)</f>
        <v/>
      </c>
    </row>
    <row r="1892">
      <c r="A1892" s="21">
        <f>ItensPedido!A1892</f>
        <v/>
      </c>
      <c r="B1892" s="21">
        <f>ItensPedido!B1892</f>
        <v/>
      </c>
      <c r="C1892" s="21">
        <f>ItensPedido!C1892</f>
        <v/>
      </c>
      <c r="D1892" s="21">
        <f>ItensPedido!D1892</f>
        <v/>
      </c>
      <c r="E1892" s="22">
        <f>ItensPedido!E1892</f>
        <v/>
      </c>
      <c r="F1892" s="21">
        <f>IFERROR(INDEX(Pedidos!$B$2:$B$1801,MATCH(B1892,Pedidos!$A$2:$A$1801,0)),0)</f>
        <v/>
      </c>
      <c r="G1892" s="21">
        <f>IF(F1892=0,"",YEAR(F1892))</f>
        <v/>
      </c>
      <c r="H1892" s="21">
        <f>IF(F1892=0,"",MONTH(F1892))</f>
        <v/>
      </c>
      <c r="I1892" s="21">
        <f>IFERROR(INDEX(Pedidos!$E$2:$E$1801,MATCH(B1892,Pedidos!$A$2:$A$1801,0)),"")</f>
        <v/>
      </c>
      <c r="J1892" s="21">
        <f>IFERROR(INDEX(Pedidos!$C$2:$C$1801,MATCH(B1892,Pedidos!$A$2:$A$1801,0)),"")</f>
        <v/>
      </c>
      <c r="K1892" s="21">
        <f>IFERROR(INDEX(Pedidos!$D$2:$D$1801,MATCH(B1892,Pedidos!$A$2:$A$1801,0)),"")</f>
        <v/>
      </c>
      <c r="L1892" s="21">
        <f>IFERROR(INDEX(Pedidos!$F$2:$F$1801,MATCH(B1892,Pedidos!$A$2:$A$1801,0)),"")</f>
        <v/>
      </c>
      <c r="M1892" s="22">
        <f>IFERROR(INDEX(Pedidos!$G$2:$G$1801,MATCH(B1892,Pedidos!$A$2:$A$1801,0)),0)</f>
        <v/>
      </c>
      <c r="N1892" s="21">
        <f>IFERROR(INDEX(Produtos!$B$2:$B$71,MATCH(C1892,Produtos!$A$2:$A$71,0)),"")</f>
        <v/>
      </c>
      <c r="O1892" s="21">
        <f>IFERROR(INDEX(Produtos!$C$2:$C$71,MATCH(C1892,Produtos!$A$2:$A$71,0)),"")</f>
        <v/>
      </c>
      <c r="P1892" s="21">
        <f>IFERROR(INDEX(Produtos!$D$2:$D$71,MATCH(C1892,Produtos!$A$2:$A$71,0)),0)</f>
        <v/>
      </c>
      <c r="Q1892" s="21">
        <f>IFERROR(INDEX(Produtos!$E$2:$E$71,MATCH(C1892,Produtos!$A$2:$A$71,0)),0)</f>
        <v/>
      </c>
      <c r="R1892" s="23">
        <f>D1892*Q1892</f>
        <v/>
      </c>
      <c r="S1892" s="23">
        <f>R1892*E1892</f>
        <v/>
      </c>
      <c r="T1892" s="23">
        <f>(R1892-S1892)*M1892</f>
        <v/>
      </c>
      <c r="U1892" s="23">
        <f>R1892-S1892-T1892</f>
        <v/>
      </c>
      <c r="V1892" s="23">
        <f>D1892*P1892</f>
        <v/>
      </c>
      <c r="W1892" s="23">
        <f>U1892-V1892</f>
        <v/>
      </c>
      <c r="X1892" s="24">
        <f>IFERROR(W1892/U1892,0)</f>
        <v/>
      </c>
    </row>
    <row r="1893">
      <c r="A1893" s="25">
        <f>ItensPedido!A1893</f>
        <v/>
      </c>
      <c r="B1893" s="25">
        <f>ItensPedido!B1893</f>
        <v/>
      </c>
      <c r="C1893" s="25">
        <f>ItensPedido!C1893</f>
        <v/>
      </c>
      <c r="D1893" s="25">
        <f>ItensPedido!D1893</f>
        <v/>
      </c>
      <c r="E1893" s="26">
        <f>ItensPedido!E1893</f>
        <v/>
      </c>
      <c r="F1893" s="25">
        <f>IFERROR(INDEX(Pedidos!$B$2:$B$1801,MATCH(B1893,Pedidos!$A$2:$A$1801,0)),0)</f>
        <v/>
      </c>
      <c r="G1893" s="25">
        <f>IF(F1893=0,"",YEAR(F1893))</f>
        <v/>
      </c>
      <c r="H1893" s="25">
        <f>IF(F1893=0,"",MONTH(F1893))</f>
        <v/>
      </c>
      <c r="I1893" s="25">
        <f>IFERROR(INDEX(Pedidos!$E$2:$E$1801,MATCH(B1893,Pedidos!$A$2:$A$1801,0)),"")</f>
        <v/>
      </c>
      <c r="J1893" s="25">
        <f>IFERROR(INDEX(Pedidos!$C$2:$C$1801,MATCH(B1893,Pedidos!$A$2:$A$1801,0)),"")</f>
        <v/>
      </c>
      <c r="K1893" s="25">
        <f>IFERROR(INDEX(Pedidos!$D$2:$D$1801,MATCH(B1893,Pedidos!$A$2:$A$1801,0)),"")</f>
        <v/>
      </c>
      <c r="L1893" s="25">
        <f>IFERROR(INDEX(Pedidos!$F$2:$F$1801,MATCH(B1893,Pedidos!$A$2:$A$1801,0)),"")</f>
        <v/>
      </c>
      <c r="M1893" s="26">
        <f>IFERROR(INDEX(Pedidos!$G$2:$G$1801,MATCH(B1893,Pedidos!$A$2:$A$1801,0)),0)</f>
        <v/>
      </c>
      <c r="N1893" s="25">
        <f>IFERROR(INDEX(Produtos!$B$2:$B$71,MATCH(C1893,Produtos!$A$2:$A$71,0)),"")</f>
        <v/>
      </c>
      <c r="O1893" s="25">
        <f>IFERROR(INDEX(Produtos!$C$2:$C$71,MATCH(C1893,Produtos!$A$2:$A$71,0)),"")</f>
        <v/>
      </c>
      <c r="P1893" s="25">
        <f>IFERROR(INDEX(Produtos!$D$2:$D$71,MATCH(C1893,Produtos!$A$2:$A$71,0)),0)</f>
        <v/>
      </c>
      <c r="Q1893" s="25">
        <f>IFERROR(INDEX(Produtos!$E$2:$E$71,MATCH(C1893,Produtos!$A$2:$A$71,0)),0)</f>
        <v/>
      </c>
      <c r="R1893" s="27">
        <f>D1893*Q1893</f>
        <v/>
      </c>
      <c r="S1893" s="27">
        <f>R1893*E1893</f>
        <v/>
      </c>
      <c r="T1893" s="27">
        <f>(R1893-S1893)*M1893</f>
        <v/>
      </c>
      <c r="U1893" s="27">
        <f>R1893-S1893-T1893</f>
        <v/>
      </c>
      <c r="V1893" s="27">
        <f>D1893*P1893</f>
        <v/>
      </c>
      <c r="W1893" s="27">
        <f>U1893-V1893</f>
        <v/>
      </c>
      <c r="X1893" s="28">
        <f>IFERROR(W1893/U1893,0)</f>
        <v/>
      </c>
    </row>
    <row r="1894">
      <c r="A1894" s="21">
        <f>ItensPedido!A1894</f>
        <v/>
      </c>
      <c r="B1894" s="21">
        <f>ItensPedido!B1894</f>
        <v/>
      </c>
      <c r="C1894" s="21">
        <f>ItensPedido!C1894</f>
        <v/>
      </c>
      <c r="D1894" s="21">
        <f>ItensPedido!D1894</f>
        <v/>
      </c>
      <c r="E1894" s="22">
        <f>ItensPedido!E1894</f>
        <v/>
      </c>
      <c r="F1894" s="21">
        <f>IFERROR(INDEX(Pedidos!$B$2:$B$1801,MATCH(B1894,Pedidos!$A$2:$A$1801,0)),0)</f>
        <v/>
      </c>
      <c r="G1894" s="21">
        <f>IF(F1894=0,"",YEAR(F1894))</f>
        <v/>
      </c>
      <c r="H1894" s="21">
        <f>IF(F1894=0,"",MONTH(F1894))</f>
        <v/>
      </c>
      <c r="I1894" s="21">
        <f>IFERROR(INDEX(Pedidos!$E$2:$E$1801,MATCH(B1894,Pedidos!$A$2:$A$1801,0)),"")</f>
        <v/>
      </c>
      <c r="J1894" s="21">
        <f>IFERROR(INDEX(Pedidos!$C$2:$C$1801,MATCH(B1894,Pedidos!$A$2:$A$1801,0)),"")</f>
        <v/>
      </c>
      <c r="K1894" s="21">
        <f>IFERROR(INDEX(Pedidos!$D$2:$D$1801,MATCH(B1894,Pedidos!$A$2:$A$1801,0)),"")</f>
        <v/>
      </c>
      <c r="L1894" s="21">
        <f>IFERROR(INDEX(Pedidos!$F$2:$F$1801,MATCH(B1894,Pedidos!$A$2:$A$1801,0)),"")</f>
        <v/>
      </c>
      <c r="M1894" s="22">
        <f>IFERROR(INDEX(Pedidos!$G$2:$G$1801,MATCH(B1894,Pedidos!$A$2:$A$1801,0)),0)</f>
        <v/>
      </c>
      <c r="N1894" s="21">
        <f>IFERROR(INDEX(Produtos!$B$2:$B$71,MATCH(C1894,Produtos!$A$2:$A$71,0)),"")</f>
        <v/>
      </c>
      <c r="O1894" s="21">
        <f>IFERROR(INDEX(Produtos!$C$2:$C$71,MATCH(C1894,Produtos!$A$2:$A$71,0)),"")</f>
        <v/>
      </c>
      <c r="P1894" s="21">
        <f>IFERROR(INDEX(Produtos!$D$2:$D$71,MATCH(C1894,Produtos!$A$2:$A$71,0)),0)</f>
        <v/>
      </c>
      <c r="Q1894" s="21">
        <f>IFERROR(INDEX(Produtos!$E$2:$E$71,MATCH(C1894,Produtos!$A$2:$A$71,0)),0)</f>
        <v/>
      </c>
      <c r="R1894" s="23">
        <f>D1894*Q1894</f>
        <v/>
      </c>
      <c r="S1894" s="23">
        <f>R1894*E1894</f>
        <v/>
      </c>
      <c r="T1894" s="23">
        <f>(R1894-S1894)*M1894</f>
        <v/>
      </c>
      <c r="U1894" s="23">
        <f>R1894-S1894-T1894</f>
        <v/>
      </c>
      <c r="V1894" s="23">
        <f>D1894*P1894</f>
        <v/>
      </c>
      <c r="W1894" s="23">
        <f>U1894-V1894</f>
        <v/>
      </c>
      <c r="X1894" s="24">
        <f>IFERROR(W1894/U1894,0)</f>
        <v/>
      </c>
    </row>
    <row r="1895">
      <c r="A1895" s="25">
        <f>ItensPedido!A1895</f>
        <v/>
      </c>
      <c r="B1895" s="25">
        <f>ItensPedido!B1895</f>
        <v/>
      </c>
      <c r="C1895" s="25">
        <f>ItensPedido!C1895</f>
        <v/>
      </c>
      <c r="D1895" s="25">
        <f>ItensPedido!D1895</f>
        <v/>
      </c>
      <c r="E1895" s="26">
        <f>ItensPedido!E1895</f>
        <v/>
      </c>
      <c r="F1895" s="25">
        <f>IFERROR(INDEX(Pedidos!$B$2:$B$1801,MATCH(B1895,Pedidos!$A$2:$A$1801,0)),0)</f>
        <v/>
      </c>
      <c r="G1895" s="25">
        <f>IF(F1895=0,"",YEAR(F1895))</f>
        <v/>
      </c>
      <c r="H1895" s="25">
        <f>IF(F1895=0,"",MONTH(F1895))</f>
        <v/>
      </c>
      <c r="I1895" s="25">
        <f>IFERROR(INDEX(Pedidos!$E$2:$E$1801,MATCH(B1895,Pedidos!$A$2:$A$1801,0)),"")</f>
        <v/>
      </c>
      <c r="J1895" s="25">
        <f>IFERROR(INDEX(Pedidos!$C$2:$C$1801,MATCH(B1895,Pedidos!$A$2:$A$1801,0)),"")</f>
        <v/>
      </c>
      <c r="K1895" s="25">
        <f>IFERROR(INDEX(Pedidos!$D$2:$D$1801,MATCH(B1895,Pedidos!$A$2:$A$1801,0)),"")</f>
        <v/>
      </c>
      <c r="L1895" s="25">
        <f>IFERROR(INDEX(Pedidos!$F$2:$F$1801,MATCH(B1895,Pedidos!$A$2:$A$1801,0)),"")</f>
        <v/>
      </c>
      <c r="M1895" s="26">
        <f>IFERROR(INDEX(Pedidos!$G$2:$G$1801,MATCH(B1895,Pedidos!$A$2:$A$1801,0)),0)</f>
        <v/>
      </c>
      <c r="N1895" s="25">
        <f>IFERROR(INDEX(Produtos!$B$2:$B$71,MATCH(C1895,Produtos!$A$2:$A$71,0)),"")</f>
        <v/>
      </c>
      <c r="O1895" s="25">
        <f>IFERROR(INDEX(Produtos!$C$2:$C$71,MATCH(C1895,Produtos!$A$2:$A$71,0)),"")</f>
        <v/>
      </c>
      <c r="P1895" s="25">
        <f>IFERROR(INDEX(Produtos!$D$2:$D$71,MATCH(C1895,Produtos!$A$2:$A$71,0)),0)</f>
        <v/>
      </c>
      <c r="Q1895" s="25">
        <f>IFERROR(INDEX(Produtos!$E$2:$E$71,MATCH(C1895,Produtos!$A$2:$A$71,0)),0)</f>
        <v/>
      </c>
      <c r="R1895" s="27">
        <f>D1895*Q1895</f>
        <v/>
      </c>
      <c r="S1895" s="27">
        <f>R1895*E1895</f>
        <v/>
      </c>
      <c r="T1895" s="27">
        <f>(R1895-S1895)*M1895</f>
        <v/>
      </c>
      <c r="U1895" s="27">
        <f>R1895-S1895-T1895</f>
        <v/>
      </c>
      <c r="V1895" s="27">
        <f>D1895*P1895</f>
        <v/>
      </c>
      <c r="W1895" s="27">
        <f>U1895-V1895</f>
        <v/>
      </c>
      <c r="X1895" s="28">
        <f>IFERROR(W1895/U1895,0)</f>
        <v/>
      </c>
    </row>
    <row r="1896">
      <c r="A1896" s="21">
        <f>ItensPedido!A1896</f>
        <v/>
      </c>
      <c r="B1896" s="21">
        <f>ItensPedido!B1896</f>
        <v/>
      </c>
      <c r="C1896" s="21">
        <f>ItensPedido!C1896</f>
        <v/>
      </c>
      <c r="D1896" s="21">
        <f>ItensPedido!D1896</f>
        <v/>
      </c>
      <c r="E1896" s="22">
        <f>ItensPedido!E1896</f>
        <v/>
      </c>
      <c r="F1896" s="21">
        <f>IFERROR(INDEX(Pedidos!$B$2:$B$1801,MATCH(B1896,Pedidos!$A$2:$A$1801,0)),0)</f>
        <v/>
      </c>
      <c r="G1896" s="21">
        <f>IF(F1896=0,"",YEAR(F1896))</f>
        <v/>
      </c>
      <c r="H1896" s="21">
        <f>IF(F1896=0,"",MONTH(F1896))</f>
        <v/>
      </c>
      <c r="I1896" s="21">
        <f>IFERROR(INDEX(Pedidos!$E$2:$E$1801,MATCH(B1896,Pedidos!$A$2:$A$1801,0)),"")</f>
        <v/>
      </c>
      <c r="J1896" s="21">
        <f>IFERROR(INDEX(Pedidos!$C$2:$C$1801,MATCH(B1896,Pedidos!$A$2:$A$1801,0)),"")</f>
        <v/>
      </c>
      <c r="K1896" s="21">
        <f>IFERROR(INDEX(Pedidos!$D$2:$D$1801,MATCH(B1896,Pedidos!$A$2:$A$1801,0)),"")</f>
        <v/>
      </c>
      <c r="L1896" s="21">
        <f>IFERROR(INDEX(Pedidos!$F$2:$F$1801,MATCH(B1896,Pedidos!$A$2:$A$1801,0)),"")</f>
        <v/>
      </c>
      <c r="M1896" s="22">
        <f>IFERROR(INDEX(Pedidos!$G$2:$G$1801,MATCH(B1896,Pedidos!$A$2:$A$1801,0)),0)</f>
        <v/>
      </c>
      <c r="N1896" s="21">
        <f>IFERROR(INDEX(Produtos!$B$2:$B$71,MATCH(C1896,Produtos!$A$2:$A$71,0)),"")</f>
        <v/>
      </c>
      <c r="O1896" s="21">
        <f>IFERROR(INDEX(Produtos!$C$2:$C$71,MATCH(C1896,Produtos!$A$2:$A$71,0)),"")</f>
        <v/>
      </c>
      <c r="P1896" s="21">
        <f>IFERROR(INDEX(Produtos!$D$2:$D$71,MATCH(C1896,Produtos!$A$2:$A$71,0)),0)</f>
        <v/>
      </c>
      <c r="Q1896" s="21">
        <f>IFERROR(INDEX(Produtos!$E$2:$E$71,MATCH(C1896,Produtos!$A$2:$A$71,0)),0)</f>
        <v/>
      </c>
      <c r="R1896" s="23">
        <f>D1896*Q1896</f>
        <v/>
      </c>
      <c r="S1896" s="23">
        <f>R1896*E1896</f>
        <v/>
      </c>
      <c r="T1896" s="23">
        <f>(R1896-S1896)*M1896</f>
        <v/>
      </c>
      <c r="U1896" s="23">
        <f>R1896-S1896-T1896</f>
        <v/>
      </c>
      <c r="V1896" s="23">
        <f>D1896*P1896</f>
        <v/>
      </c>
      <c r="W1896" s="23">
        <f>U1896-V1896</f>
        <v/>
      </c>
      <c r="X1896" s="24">
        <f>IFERROR(W1896/U1896,0)</f>
        <v/>
      </c>
    </row>
    <row r="1897">
      <c r="A1897" s="25">
        <f>ItensPedido!A1897</f>
        <v/>
      </c>
      <c r="B1897" s="25">
        <f>ItensPedido!B1897</f>
        <v/>
      </c>
      <c r="C1897" s="25">
        <f>ItensPedido!C1897</f>
        <v/>
      </c>
      <c r="D1897" s="25">
        <f>ItensPedido!D1897</f>
        <v/>
      </c>
      <c r="E1897" s="26">
        <f>ItensPedido!E1897</f>
        <v/>
      </c>
      <c r="F1897" s="25">
        <f>IFERROR(INDEX(Pedidos!$B$2:$B$1801,MATCH(B1897,Pedidos!$A$2:$A$1801,0)),0)</f>
        <v/>
      </c>
      <c r="G1897" s="25">
        <f>IF(F1897=0,"",YEAR(F1897))</f>
        <v/>
      </c>
      <c r="H1897" s="25">
        <f>IF(F1897=0,"",MONTH(F1897))</f>
        <v/>
      </c>
      <c r="I1897" s="25">
        <f>IFERROR(INDEX(Pedidos!$E$2:$E$1801,MATCH(B1897,Pedidos!$A$2:$A$1801,0)),"")</f>
        <v/>
      </c>
      <c r="J1897" s="25">
        <f>IFERROR(INDEX(Pedidos!$C$2:$C$1801,MATCH(B1897,Pedidos!$A$2:$A$1801,0)),"")</f>
        <v/>
      </c>
      <c r="K1897" s="25">
        <f>IFERROR(INDEX(Pedidos!$D$2:$D$1801,MATCH(B1897,Pedidos!$A$2:$A$1801,0)),"")</f>
        <v/>
      </c>
      <c r="L1897" s="25">
        <f>IFERROR(INDEX(Pedidos!$F$2:$F$1801,MATCH(B1897,Pedidos!$A$2:$A$1801,0)),"")</f>
        <v/>
      </c>
      <c r="M1897" s="26">
        <f>IFERROR(INDEX(Pedidos!$G$2:$G$1801,MATCH(B1897,Pedidos!$A$2:$A$1801,0)),0)</f>
        <v/>
      </c>
      <c r="N1897" s="25">
        <f>IFERROR(INDEX(Produtos!$B$2:$B$71,MATCH(C1897,Produtos!$A$2:$A$71,0)),"")</f>
        <v/>
      </c>
      <c r="O1897" s="25">
        <f>IFERROR(INDEX(Produtos!$C$2:$C$71,MATCH(C1897,Produtos!$A$2:$A$71,0)),"")</f>
        <v/>
      </c>
      <c r="P1897" s="25">
        <f>IFERROR(INDEX(Produtos!$D$2:$D$71,MATCH(C1897,Produtos!$A$2:$A$71,0)),0)</f>
        <v/>
      </c>
      <c r="Q1897" s="25">
        <f>IFERROR(INDEX(Produtos!$E$2:$E$71,MATCH(C1897,Produtos!$A$2:$A$71,0)),0)</f>
        <v/>
      </c>
      <c r="R1897" s="27">
        <f>D1897*Q1897</f>
        <v/>
      </c>
      <c r="S1897" s="27">
        <f>R1897*E1897</f>
        <v/>
      </c>
      <c r="T1897" s="27">
        <f>(R1897-S1897)*M1897</f>
        <v/>
      </c>
      <c r="U1897" s="27">
        <f>R1897-S1897-T1897</f>
        <v/>
      </c>
      <c r="V1897" s="27">
        <f>D1897*P1897</f>
        <v/>
      </c>
      <c r="W1897" s="27">
        <f>U1897-V1897</f>
        <v/>
      </c>
      <c r="X1897" s="28">
        <f>IFERROR(W1897/U1897,0)</f>
        <v/>
      </c>
    </row>
    <row r="1898">
      <c r="A1898" s="21">
        <f>ItensPedido!A1898</f>
        <v/>
      </c>
      <c r="B1898" s="21">
        <f>ItensPedido!B1898</f>
        <v/>
      </c>
      <c r="C1898" s="21">
        <f>ItensPedido!C1898</f>
        <v/>
      </c>
      <c r="D1898" s="21">
        <f>ItensPedido!D1898</f>
        <v/>
      </c>
      <c r="E1898" s="22">
        <f>ItensPedido!E1898</f>
        <v/>
      </c>
      <c r="F1898" s="21">
        <f>IFERROR(INDEX(Pedidos!$B$2:$B$1801,MATCH(B1898,Pedidos!$A$2:$A$1801,0)),0)</f>
        <v/>
      </c>
      <c r="G1898" s="21">
        <f>IF(F1898=0,"",YEAR(F1898))</f>
        <v/>
      </c>
      <c r="H1898" s="21">
        <f>IF(F1898=0,"",MONTH(F1898))</f>
        <v/>
      </c>
      <c r="I1898" s="21">
        <f>IFERROR(INDEX(Pedidos!$E$2:$E$1801,MATCH(B1898,Pedidos!$A$2:$A$1801,0)),"")</f>
        <v/>
      </c>
      <c r="J1898" s="21">
        <f>IFERROR(INDEX(Pedidos!$C$2:$C$1801,MATCH(B1898,Pedidos!$A$2:$A$1801,0)),"")</f>
        <v/>
      </c>
      <c r="K1898" s="21">
        <f>IFERROR(INDEX(Pedidos!$D$2:$D$1801,MATCH(B1898,Pedidos!$A$2:$A$1801,0)),"")</f>
        <v/>
      </c>
      <c r="L1898" s="21">
        <f>IFERROR(INDEX(Pedidos!$F$2:$F$1801,MATCH(B1898,Pedidos!$A$2:$A$1801,0)),"")</f>
        <v/>
      </c>
      <c r="M1898" s="22">
        <f>IFERROR(INDEX(Pedidos!$G$2:$G$1801,MATCH(B1898,Pedidos!$A$2:$A$1801,0)),0)</f>
        <v/>
      </c>
      <c r="N1898" s="21">
        <f>IFERROR(INDEX(Produtos!$B$2:$B$71,MATCH(C1898,Produtos!$A$2:$A$71,0)),"")</f>
        <v/>
      </c>
      <c r="O1898" s="21">
        <f>IFERROR(INDEX(Produtos!$C$2:$C$71,MATCH(C1898,Produtos!$A$2:$A$71,0)),"")</f>
        <v/>
      </c>
      <c r="P1898" s="21">
        <f>IFERROR(INDEX(Produtos!$D$2:$D$71,MATCH(C1898,Produtos!$A$2:$A$71,0)),0)</f>
        <v/>
      </c>
      <c r="Q1898" s="21">
        <f>IFERROR(INDEX(Produtos!$E$2:$E$71,MATCH(C1898,Produtos!$A$2:$A$71,0)),0)</f>
        <v/>
      </c>
      <c r="R1898" s="23">
        <f>D1898*Q1898</f>
        <v/>
      </c>
      <c r="S1898" s="23">
        <f>R1898*E1898</f>
        <v/>
      </c>
      <c r="T1898" s="23">
        <f>(R1898-S1898)*M1898</f>
        <v/>
      </c>
      <c r="U1898" s="23">
        <f>R1898-S1898-T1898</f>
        <v/>
      </c>
      <c r="V1898" s="23">
        <f>D1898*P1898</f>
        <v/>
      </c>
      <c r="W1898" s="23">
        <f>U1898-V1898</f>
        <v/>
      </c>
      <c r="X1898" s="24">
        <f>IFERROR(W1898/U1898,0)</f>
        <v/>
      </c>
    </row>
    <row r="1899">
      <c r="A1899" s="25">
        <f>ItensPedido!A1899</f>
        <v/>
      </c>
      <c r="B1899" s="25">
        <f>ItensPedido!B1899</f>
        <v/>
      </c>
      <c r="C1899" s="25">
        <f>ItensPedido!C1899</f>
        <v/>
      </c>
      <c r="D1899" s="25">
        <f>ItensPedido!D1899</f>
        <v/>
      </c>
      <c r="E1899" s="26">
        <f>ItensPedido!E1899</f>
        <v/>
      </c>
      <c r="F1899" s="25">
        <f>IFERROR(INDEX(Pedidos!$B$2:$B$1801,MATCH(B1899,Pedidos!$A$2:$A$1801,0)),0)</f>
        <v/>
      </c>
      <c r="G1899" s="25">
        <f>IF(F1899=0,"",YEAR(F1899))</f>
        <v/>
      </c>
      <c r="H1899" s="25">
        <f>IF(F1899=0,"",MONTH(F1899))</f>
        <v/>
      </c>
      <c r="I1899" s="25">
        <f>IFERROR(INDEX(Pedidos!$E$2:$E$1801,MATCH(B1899,Pedidos!$A$2:$A$1801,0)),"")</f>
        <v/>
      </c>
      <c r="J1899" s="25">
        <f>IFERROR(INDEX(Pedidos!$C$2:$C$1801,MATCH(B1899,Pedidos!$A$2:$A$1801,0)),"")</f>
        <v/>
      </c>
      <c r="K1899" s="25">
        <f>IFERROR(INDEX(Pedidos!$D$2:$D$1801,MATCH(B1899,Pedidos!$A$2:$A$1801,0)),"")</f>
        <v/>
      </c>
      <c r="L1899" s="25">
        <f>IFERROR(INDEX(Pedidos!$F$2:$F$1801,MATCH(B1899,Pedidos!$A$2:$A$1801,0)),"")</f>
        <v/>
      </c>
      <c r="M1899" s="26">
        <f>IFERROR(INDEX(Pedidos!$G$2:$G$1801,MATCH(B1899,Pedidos!$A$2:$A$1801,0)),0)</f>
        <v/>
      </c>
      <c r="N1899" s="25">
        <f>IFERROR(INDEX(Produtos!$B$2:$B$71,MATCH(C1899,Produtos!$A$2:$A$71,0)),"")</f>
        <v/>
      </c>
      <c r="O1899" s="25">
        <f>IFERROR(INDEX(Produtos!$C$2:$C$71,MATCH(C1899,Produtos!$A$2:$A$71,0)),"")</f>
        <v/>
      </c>
      <c r="P1899" s="25">
        <f>IFERROR(INDEX(Produtos!$D$2:$D$71,MATCH(C1899,Produtos!$A$2:$A$71,0)),0)</f>
        <v/>
      </c>
      <c r="Q1899" s="25">
        <f>IFERROR(INDEX(Produtos!$E$2:$E$71,MATCH(C1899,Produtos!$A$2:$A$71,0)),0)</f>
        <v/>
      </c>
      <c r="R1899" s="27">
        <f>D1899*Q1899</f>
        <v/>
      </c>
      <c r="S1899" s="27">
        <f>R1899*E1899</f>
        <v/>
      </c>
      <c r="T1899" s="27">
        <f>(R1899-S1899)*M1899</f>
        <v/>
      </c>
      <c r="U1899" s="27">
        <f>R1899-S1899-T1899</f>
        <v/>
      </c>
      <c r="V1899" s="27">
        <f>D1899*P1899</f>
        <v/>
      </c>
      <c r="W1899" s="27">
        <f>U1899-V1899</f>
        <v/>
      </c>
      <c r="X1899" s="28">
        <f>IFERROR(W1899/U1899,0)</f>
        <v/>
      </c>
    </row>
    <row r="1900">
      <c r="A1900" s="21">
        <f>ItensPedido!A1900</f>
        <v/>
      </c>
      <c r="B1900" s="21">
        <f>ItensPedido!B1900</f>
        <v/>
      </c>
      <c r="C1900" s="21">
        <f>ItensPedido!C1900</f>
        <v/>
      </c>
      <c r="D1900" s="21">
        <f>ItensPedido!D1900</f>
        <v/>
      </c>
      <c r="E1900" s="22">
        <f>ItensPedido!E1900</f>
        <v/>
      </c>
      <c r="F1900" s="21">
        <f>IFERROR(INDEX(Pedidos!$B$2:$B$1801,MATCH(B1900,Pedidos!$A$2:$A$1801,0)),0)</f>
        <v/>
      </c>
      <c r="G1900" s="21">
        <f>IF(F1900=0,"",YEAR(F1900))</f>
        <v/>
      </c>
      <c r="H1900" s="21">
        <f>IF(F1900=0,"",MONTH(F1900))</f>
        <v/>
      </c>
      <c r="I1900" s="21">
        <f>IFERROR(INDEX(Pedidos!$E$2:$E$1801,MATCH(B1900,Pedidos!$A$2:$A$1801,0)),"")</f>
        <v/>
      </c>
      <c r="J1900" s="21">
        <f>IFERROR(INDEX(Pedidos!$C$2:$C$1801,MATCH(B1900,Pedidos!$A$2:$A$1801,0)),"")</f>
        <v/>
      </c>
      <c r="K1900" s="21">
        <f>IFERROR(INDEX(Pedidos!$D$2:$D$1801,MATCH(B1900,Pedidos!$A$2:$A$1801,0)),"")</f>
        <v/>
      </c>
      <c r="L1900" s="21">
        <f>IFERROR(INDEX(Pedidos!$F$2:$F$1801,MATCH(B1900,Pedidos!$A$2:$A$1801,0)),"")</f>
        <v/>
      </c>
      <c r="M1900" s="22">
        <f>IFERROR(INDEX(Pedidos!$G$2:$G$1801,MATCH(B1900,Pedidos!$A$2:$A$1801,0)),0)</f>
        <v/>
      </c>
      <c r="N1900" s="21">
        <f>IFERROR(INDEX(Produtos!$B$2:$B$71,MATCH(C1900,Produtos!$A$2:$A$71,0)),"")</f>
        <v/>
      </c>
      <c r="O1900" s="21">
        <f>IFERROR(INDEX(Produtos!$C$2:$C$71,MATCH(C1900,Produtos!$A$2:$A$71,0)),"")</f>
        <v/>
      </c>
      <c r="P1900" s="21">
        <f>IFERROR(INDEX(Produtos!$D$2:$D$71,MATCH(C1900,Produtos!$A$2:$A$71,0)),0)</f>
        <v/>
      </c>
      <c r="Q1900" s="21">
        <f>IFERROR(INDEX(Produtos!$E$2:$E$71,MATCH(C1900,Produtos!$A$2:$A$71,0)),0)</f>
        <v/>
      </c>
      <c r="R1900" s="23">
        <f>D1900*Q1900</f>
        <v/>
      </c>
      <c r="S1900" s="23">
        <f>R1900*E1900</f>
        <v/>
      </c>
      <c r="T1900" s="23">
        <f>(R1900-S1900)*M1900</f>
        <v/>
      </c>
      <c r="U1900" s="23">
        <f>R1900-S1900-T1900</f>
        <v/>
      </c>
      <c r="V1900" s="23">
        <f>D1900*P1900</f>
        <v/>
      </c>
      <c r="W1900" s="23">
        <f>U1900-V1900</f>
        <v/>
      </c>
      <c r="X1900" s="24">
        <f>IFERROR(W1900/U1900,0)</f>
        <v/>
      </c>
    </row>
    <row r="1901">
      <c r="A1901" s="25">
        <f>ItensPedido!A1901</f>
        <v/>
      </c>
      <c r="B1901" s="25">
        <f>ItensPedido!B1901</f>
        <v/>
      </c>
      <c r="C1901" s="25">
        <f>ItensPedido!C1901</f>
        <v/>
      </c>
      <c r="D1901" s="25">
        <f>ItensPedido!D1901</f>
        <v/>
      </c>
      <c r="E1901" s="26">
        <f>ItensPedido!E1901</f>
        <v/>
      </c>
      <c r="F1901" s="25">
        <f>IFERROR(INDEX(Pedidos!$B$2:$B$1801,MATCH(B1901,Pedidos!$A$2:$A$1801,0)),0)</f>
        <v/>
      </c>
      <c r="G1901" s="25">
        <f>IF(F1901=0,"",YEAR(F1901))</f>
        <v/>
      </c>
      <c r="H1901" s="25">
        <f>IF(F1901=0,"",MONTH(F1901))</f>
        <v/>
      </c>
      <c r="I1901" s="25">
        <f>IFERROR(INDEX(Pedidos!$E$2:$E$1801,MATCH(B1901,Pedidos!$A$2:$A$1801,0)),"")</f>
        <v/>
      </c>
      <c r="J1901" s="25">
        <f>IFERROR(INDEX(Pedidos!$C$2:$C$1801,MATCH(B1901,Pedidos!$A$2:$A$1801,0)),"")</f>
        <v/>
      </c>
      <c r="K1901" s="25">
        <f>IFERROR(INDEX(Pedidos!$D$2:$D$1801,MATCH(B1901,Pedidos!$A$2:$A$1801,0)),"")</f>
        <v/>
      </c>
      <c r="L1901" s="25">
        <f>IFERROR(INDEX(Pedidos!$F$2:$F$1801,MATCH(B1901,Pedidos!$A$2:$A$1801,0)),"")</f>
        <v/>
      </c>
      <c r="M1901" s="26">
        <f>IFERROR(INDEX(Pedidos!$G$2:$G$1801,MATCH(B1901,Pedidos!$A$2:$A$1801,0)),0)</f>
        <v/>
      </c>
      <c r="N1901" s="25">
        <f>IFERROR(INDEX(Produtos!$B$2:$B$71,MATCH(C1901,Produtos!$A$2:$A$71,0)),"")</f>
        <v/>
      </c>
      <c r="O1901" s="25">
        <f>IFERROR(INDEX(Produtos!$C$2:$C$71,MATCH(C1901,Produtos!$A$2:$A$71,0)),"")</f>
        <v/>
      </c>
      <c r="P1901" s="25">
        <f>IFERROR(INDEX(Produtos!$D$2:$D$71,MATCH(C1901,Produtos!$A$2:$A$71,0)),0)</f>
        <v/>
      </c>
      <c r="Q1901" s="25">
        <f>IFERROR(INDEX(Produtos!$E$2:$E$71,MATCH(C1901,Produtos!$A$2:$A$71,0)),0)</f>
        <v/>
      </c>
      <c r="R1901" s="27">
        <f>D1901*Q1901</f>
        <v/>
      </c>
      <c r="S1901" s="27">
        <f>R1901*E1901</f>
        <v/>
      </c>
      <c r="T1901" s="27">
        <f>(R1901-S1901)*M1901</f>
        <v/>
      </c>
      <c r="U1901" s="27">
        <f>R1901-S1901-T1901</f>
        <v/>
      </c>
      <c r="V1901" s="27">
        <f>D1901*P1901</f>
        <v/>
      </c>
      <c r="W1901" s="27">
        <f>U1901-V1901</f>
        <v/>
      </c>
      <c r="X1901" s="28">
        <f>IFERROR(W1901/U1901,0)</f>
        <v/>
      </c>
    </row>
    <row r="1902">
      <c r="A1902" s="21">
        <f>ItensPedido!A1902</f>
        <v/>
      </c>
      <c r="B1902" s="21">
        <f>ItensPedido!B1902</f>
        <v/>
      </c>
      <c r="C1902" s="21">
        <f>ItensPedido!C1902</f>
        <v/>
      </c>
      <c r="D1902" s="21">
        <f>ItensPedido!D1902</f>
        <v/>
      </c>
      <c r="E1902" s="22">
        <f>ItensPedido!E1902</f>
        <v/>
      </c>
      <c r="F1902" s="21">
        <f>IFERROR(INDEX(Pedidos!$B$2:$B$1801,MATCH(B1902,Pedidos!$A$2:$A$1801,0)),0)</f>
        <v/>
      </c>
      <c r="G1902" s="21">
        <f>IF(F1902=0,"",YEAR(F1902))</f>
        <v/>
      </c>
      <c r="H1902" s="21">
        <f>IF(F1902=0,"",MONTH(F1902))</f>
        <v/>
      </c>
      <c r="I1902" s="21">
        <f>IFERROR(INDEX(Pedidos!$E$2:$E$1801,MATCH(B1902,Pedidos!$A$2:$A$1801,0)),"")</f>
        <v/>
      </c>
      <c r="J1902" s="21">
        <f>IFERROR(INDEX(Pedidos!$C$2:$C$1801,MATCH(B1902,Pedidos!$A$2:$A$1801,0)),"")</f>
        <v/>
      </c>
      <c r="K1902" s="21">
        <f>IFERROR(INDEX(Pedidos!$D$2:$D$1801,MATCH(B1902,Pedidos!$A$2:$A$1801,0)),"")</f>
        <v/>
      </c>
      <c r="L1902" s="21">
        <f>IFERROR(INDEX(Pedidos!$F$2:$F$1801,MATCH(B1902,Pedidos!$A$2:$A$1801,0)),"")</f>
        <v/>
      </c>
      <c r="M1902" s="22">
        <f>IFERROR(INDEX(Pedidos!$G$2:$G$1801,MATCH(B1902,Pedidos!$A$2:$A$1801,0)),0)</f>
        <v/>
      </c>
      <c r="N1902" s="21">
        <f>IFERROR(INDEX(Produtos!$B$2:$B$71,MATCH(C1902,Produtos!$A$2:$A$71,0)),"")</f>
        <v/>
      </c>
      <c r="O1902" s="21">
        <f>IFERROR(INDEX(Produtos!$C$2:$C$71,MATCH(C1902,Produtos!$A$2:$A$71,0)),"")</f>
        <v/>
      </c>
      <c r="P1902" s="21">
        <f>IFERROR(INDEX(Produtos!$D$2:$D$71,MATCH(C1902,Produtos!$A$2:$A$71,0)),0)</f>
        <v/>
      </c>
      <c r="Q1902" s="21">
        <f>IFERROR(INDEX(Produtos!$E$2:$E$71,MATCH(C1902,Produtos!$A$2:$A$71,0)),0)</f>
        <v/>
      </c>
      <c r="R1902" s="23">
        <f>D1902*Q1902</f>
        <v/>
      </c>
      <c r="S1902" s="23">
        <f>R1902*E1902</f>
        <v/>
      </c>
      <c r="T1902" s="23">
        <f>(R1902-S1902)*M1902</f>
        <v/>
      </c>
      <c r="U1902" s="23">
        <f>R1902-S1902-T1902</f>
        <v/>
      </c>
      <c r="V1902" s="23">
        <f>D1902*P1902</f>
        <v/>
      </c>
      <c r="W1902" s="23">
        <f>U1902-V1902</f>
        <v/>
      </c>
      <c r="X1902" s="24">
        <f>IFERROR(W1902/U1902,0)</f>
        <v/>
      </c>
    </row>
    <row r="1903">
      <c r="A1903" s="25">
        <f>ItensPedido!A1903</f>
        <v/>
      </c>
      <c r="B1903" s="25">
        <f>ItensPedido!B1903</f>
        <v/>
      </c>
      <c r="C1903" s="25">
        <f>ItensPedido!C1903</f>
        <v/>
      </c>
      <c r="D1903" s="25">
        <f>ItensPedido!D1903</f>
        <v/>
      </c>
      <c r="E1903" s="26">
        <f>ItensPedido!E1903</f>
        <v/>
      </c>
      <c r="F1903" s="25">
        <f>IFERROR(INDEX(Pedidos!$B$2:$B$1801,MATCH(B1903,Pedidos!$A$2:$A$1801,0)),0)</f>
        <v/>
      </c>
      <c r="G1903" s="25">
        <f>IF(F1903=0,"",YEAR(F1903))</f>
        <v/>
      </c>
      <c r="H1903" s="25">
        <f>IF(F1903=0,"",MONTH(F1903))</f>
        <v/>
      </c>
      <c r="I1903" s="25">
        <f>IFERROR(INDEX(Pedidos!$E$2:$E$1801,MATCH(B1903,Pedidos!$A$2:$A$1801,0)),"")</f>
        <v/>
      </c>
      <c r="J1903" s="25">
        <f>IFERROR(INDEX(Pedidos!$C$2:$C$1801,MATCH(B1903,Pedidos!$A$2:$A$1801,0)),"")</f>
        <v/>
      </c>
      <c r="K1903" s="25">
        <f>IFERROR(INDEX(Pedidos!$D$2:$D$1801,MATCH(B1903,Pedidos!$A$2:$A$1801,0)),"")</f>
        <v/>
      </c>
      <c r="L1903" s="25">
        <f>IFERROR(INDEX(Pedidos!$F$2:$F$1801,MATCH(B1903,Pedidos!$A$2:$A$1801,0)),"")</f>
        <v/>
      </c>
      <c r="M1903" s="26">
        <f>IFERROR(INDEX(Pedidos!$G$2:$G$1801,MATCH(B1903,Pedidos!$A$2:$A$1801,0)),0)</f>
        <v/>
      </c>
      <c r="N1903" s="25">
        <f>IFERROR(INDEX(Produtos!$B$2:$B$71,MATCH(C1903,Produtos!$A$2:$A$71,0)),"")</f>
        <v/>
      </c>
      <c r="O1903" s="25">
        <f>IFERROR(INDEX(Produtos!$C$2:$C$71,MATCH(C1903,Produtos!$A$2:$A$71,0)),"")</f>
        <v/>
      </c>
      <c r="P1903" s="25">
        <f>IFERROR(INDEX(Produtos!$D$2:$D$71,MATCH(C1903,Produtos!$A$2:$A$71,0)),0)</f>
        <v/>
      </c>
      <c r="Q1903" s="25">
        <f>IFERROR(INDEX(Produtos!$E$2:$E$71,MATCH(C1903,Produtos!$A$2:$A$71,0)),0)</f>
        <v/>
      </c>
      <c r="R1903" s="27">
        <f>D1903*Q1903</f>
        <v/>
      </c>
      <c r="S1903" s="27">
        <f>R1903*E1903</f>
        <v/>
      </c>
      <c r="T1903" s="27">
        <f>(R1903-S1903)*M1903</f>
        <v/>
      </c>
      <c r="U1903" s="27">
        <f>R1903-S1903-T1903</f>
        <v/>
      </c>
      <c r="V1903" s="27">
        <f>D1903*P1903</f>
        <v/>
      </c>
      <c r="W1903" s="27">
        <f>U1903-V1903</f>
        <v/>
      </c>
      <c r="X1903" s="28">
        <f>IFERROR(W1903/U1903,0)</f>
        <v/>
      </c>
    </row>
    <row r="1904">
      <c r="A1904" s="21">
        <f>ItensPedido!A1904</f>
        <v/>
      </c>
      <c r="B1904" s="21">
        <f>ItensPedido!B1904</f>
        <v/>
      </c>
      <c r="C1904" s="21">
        <f>ItensPedido!C1904</f>
        <v/>
      </c>
      <c r="D1904" s="21">
        <f>ItensPedido!D1904</f>
        <v/>
      </c>
      <c r="E1904" s="22">
        <f>ItensPedido!E1904</f>
        <v/>
      </c>
      <c r="F1904" s="21">
        <f>IFERROR(INDEX(Pedidos!$B$2:$B$1801,MATCH(B1904,Pedidos!$A$2:$A$1801,0)),0)</f>
        <v/>
      </c>
      <c r="G1904" s="21">
        <f>IF(F1904=0,"",YEAR(F1904))</f>
        <v/>
      </c>
      <c r="H1904" s="21">
        <f>IF(F1904=0,"",MONTH(F1904))</f>
        <v/>
      </c>
      <c r="I1904" s="21">
        <f>IFERROR(INDEX(Pedidos!$E$2:$E$1801,MATCH(B1904,Pedidos!$A$2:$A$1801,0)),"")</f>
        <v/>
      </c>
      <c r="J1904" s="21">
        <f>IFERROR(INDEX(Pedidos!$C$2:$C$1801,MATCH(B1904,Pedidos!$A$2:$A$1801,0)),"")</f>
        <v/>
      </c>
      <c r="K1904" s="21">
        <f>IFERROR(INDEX(Pedidos!$D$2:$D$1801,MATCH(B1904,Pedidos!$A$2:$A$1801,0)),"")</f>
        <v/>
      </c>
      <c r="L1904" s="21">
        <f>IFERROR(INDEX(Pedidos!$F$2:$F$1801,MATCH(B1904,Pedidos!$A$2:$A$1801,0)),"")</f>
        <v/>
      </c>
      <c r="M1904" s="22">
        <f>IFERROR(INDEX(Pedidos!$G$2:$G$1801,MATCH(B1904,Pedidos!$A$2:$A$1801,0)),0)</f>
        <v/>
      </c>
      <c r="N1904" s="21">
        <f>IFERROR(INDEX(Produtos!$B$2:$B$71,MATCH(C1904,Produtos!$A$2:$A$71,0)),"")</f>
        <v/>
      </c>
      <c r="O1904" s="21">
        <f>IFERROR(INDEX(Produtos!$C$2:$C$71,MATCH(C1904,Produtos!$A$2:$A$71,0)),"")</f>
        <v/>
      </c>
      <c r="P1904" s="21">
        <f>IFERROR(INDEX(Produtos!$D$2:$D$71,MATCH(C1904,Produtos!$A$2:$A$71,0)),0)</f>
        <v/>
      </c>
      <c r="Q1904" s="21">
        <f>IFERROR(INDEX(Produtos!$E$2:$E$71,MATCH(C1904,Produtos!$A$2:$A$71,0)),0)</f>
        <v/>
      </c>
      <c r="R1904" s="23">
        <f>D1904*Q1904</f>
        <v/>
      </c>
      <c r="S1904" s="23">
        <f>R1904*E1904</f>
        <v/>
      </c>
      <c r="T1904" s="23">
        <f>(R1904-S1904)*M1904</f>
        <v/>
      </c>
      <c r="U1904" s="23">
        <f>R1904-S1904-T1904</f>
        <v/>
      </c>
      <c r="V1904" s="23">
        <f>D1904*P1904</f>
        <v/>
      </c>
      <c r="W1904" s="23">
        <f>U1904-V1904</f>
        <v/>
      </c>
      <c r="X1904" s="24">
        <f>IFERROR(W1904/U1904,0)</f>
        <v/>
      </c>
    </row>
    <row r="1905">
      <c r="A1905" s="25">
        <f>ItensPedido!A1905</f>
        <v/>
      </c>
      <c r="B1905" s="25">
        <f>ItensPedido!B1905</f>
        <v/>
      </c>
      <c r="C1905" s="25">
        <f>ItensPedido!C1905</f>
        <v/>
      </c>
      <c r="D1905" s="25">
        <f>ItensPedido!D1905</f>
        <v/>
      </c>
      <c r="E1905" s="26">
        <f>ItensPedido!E1905</f>
        <v/>
      </c>
      <c r="F1905" s="25">
        <f>IFERROR(INDEX(Pedidos!$B$2:$B$1801,MATCH(B1905,Pedidos!$A$2:$A$1801,0)),0)</f>
        <v/>
      </c>
      <c r="G1905" s="25">
        <f>IF(F1905=0,"",YEAR(F1905))</f>
        <v/>
      </c>
      <c r="H1905" s="25">
        <f>IF(F1905=0,"",MONTH(F1905))</f>
        <v/>
      </c>
      <c r="I1905" s="25">
        <f>IFERROR(INDEX(Pedidos!$E$2:$E$1801,MATCH(B1905,Pedidos!$A$2:$A$1801,0)),"")</f>
        <v/>
      </c>
      <c r="J1905" s="25">
        <f>IFERROR(INDEX(Pedidos!$C$2:$C$1801,MATCH(B1905,Pedidos!$A$2:$A$1801,0)),"")</f>
        <v/>
      </c>
      <c r="K1905" s="25">
        <f>IFERROR(INDEX(Pedidos!$D$2:$D$1801,MATCH(B1905,Pedidos!$A$2:$A$1801,0)),"")</f>
        <v/>
      </c>
      <c r="L1905" s="25">
        <f>IFERROR(INDEX(Pedidos!$F$2:$F$1801,MATCH(B1905,Pedidos!$A$2:$A$1801,0)),"")</f>
        <v/>
      </c>
      <c r="M1905" s="26">
        <f>IFERROR(INDEX(Pedidos!$G$2:$G$1801,MATCH(B1905,Pedidos!$A$2:$A$1801,0)),0)</f>
        <v/>
      </c>
      <c r="N1905" s="25">
        <f>IFERROR(INDEX(Produtos!$B$2:$B$71,MATCH(C1905,Produtos!$A$2:$A$71,0)),"")</f>
        <v/>
      </c>
      <c r="O1905" s="25">
        <f>IFERROR(INDEX(Produtos!$C$2:$C$71,MATCH(C1905,Produtos!$A$2:$A$71,0)),"")</f>
        <v/>
      </c>
      <c r="P1905" s="25">
        <f>IFERROR(INDEX(Produtos!$D$2:$D$71,MATCH(C1905,Produtos!$A$2:$A$71,0)),0)</f>
        <v/>
      </c>
      <c r="Q1905" s="25">
        <f>IFERROR(INDEX(Produtos!$E$2:$E$71,MATCH(C1905,Produtos!$A$2:$A$71,0)),0)</f>
        <v/>
      </c>
      <c r="R1905" s="27">
        <f>D1905*Q1905</f>
        <v/>
      </c>
      <c r="S1905" s="27">
        <f>R1905*E1905</f>
        <v/>
      </c>
      <c r="T1905" s="27">
        <f>(R1905-S1905)*M1905</f>
        <v/>
      </c>
      <c r="U1905" s="27">
        <f>R1905-S1905-T1905</f>
        <v/>
      </c>
      <c r="V1905" s="27">
        <f>D1905*P1905</f>
        <v/>
      </c>
      <c r="W1905" s="27">
        <f>U1905-V1905</f>
        <v/>
      </c>
      <c r="X1905" s="28">
        <f>IFERROR(W1905/U1905,0)</f>
        <v/>
      </c>
    </row>
    <row r="1906">
      <c r="A1906" s="21">
        <f>ItensPedido!A1906</f>
        <v/>
      </c>
      <c r="B1906" s="21">
        <f>ItensPedido!B1906</f>
        <v/>
      </c>
      <c r="C1906" s="21">
        <f>ItensPedido!C1906</f>
        <v/>
      </c>
      <c r="D1906" s="21">
        <f>ItensPedido!D1906</f>
        <v/>
      </c>
      <c r="E1906" s="22">
        <f>ItensPedido!E1906</f>
        <v/>
      </c>
      <c r="F1906" s="21">
        <f>IFERROR(INDEX(Pedidos!$B$2:$B$1801,MATCH(B1906,Pedidos!$A$2:$A$1801,0)),0)</f>
        <v/>
      </c>
      <c r="G1906" s="21">
        <f>IF(F1906=0,"",YEAR(F1906))</f>
        <v/>
      </c>
      <c r="H1906" s="21">
        <f>IF(F1906=0,"",MONTH(F1906))</f>
        <v/>
      </c>
      <c r="I1906" s="21">
        <f>IFERROR(INDEX(Pedidos!$E$2:$E$1801,MATCH(B1906,Pedidos!$A$2:$A$1801,0)),"")</f>
        <v/>
      </c>
      <c r="J1906" s="21">
        <f>IFERROR(INDEX(Pedidos!$C$2:$C$1801,MATCH(B1906,Pedidos!$A$2:$A$1801,0)),"")</f>
        <v/>
      </c>
      <c r="K1906" s="21">
        <f>IFERROR(INDEX(Pedidos!$D$2:$D$1801,MATCH(B1906,Pedidos!$A$2:$A$1801,0)),"")</f>
        <v/>
      </c>
      <c r="L1906" s="21">
        <f>IFERROR(INDEX(Pedidos!$F$2:$F$1801,MATCH(B1906,Pedidos!$A$2:$A$1801,0)),"")</f>
        <v/>
      </c>
      <c r="M1906" s="22">
        <f>IFERROR(INDEX(Pedidos!$G$2:$G$1801,MATCH(B1906,Pedidos!$A$2:$A$1801,0)),0)</f>
        <v/>
      </c>
      <c r="N1906" s="21">
        <f>IFERROR(INDEX(Produtos!$B$2:$B$71,MATCH(C1906,Produtos!$A$2:$A$71,0)),"")</f>
        <v/>
      </c>
      <c r="O1906" s="21">
        <f>IFERROR(INDEX(Produtos!$C$2:$C$71,MATCH(C1906,Produtos!$A$2:$A$71,0)),"")</f>
        <v/>
      </c>
      <c r="P1906" s="21">
        <f>IFERROR(INDEX(Produtos!$D$2:$D$71,MATCH(C1906,Produtos!$A$2:$A$71,0)),0)</f>
        <v/>
      </c>
      <c r="Q1906" s="21">
        <f>IFERROR(INDEX(Produtos!$E$2:$E$71,MATCH(C1906,Produtos!$A$2:$A$71,0)),0)</f>
        <v/>
      </c>
      <c r="R1906" s="23">
        <f>D1906*Q1906</f>
        <v/>
      </c>
      <c r="S1906" s="23">
        <f>R1906*E1906</f>
        <v/>
      </c>
      <c r="T1906" s="23">
        <f>(R1906-S1906)*M1906</f>
        <v/>
      </c>
      <c r="U1906" s="23">
        <f>R1906-S1906-T1906</f>
        <v/>
      </c>
      <c r="V1906" s="23">
        <f>D1906*P1906</f>
        <v/>
      </c>
      <c r="W1906" s="23">
        <f>U1906-V1906</f>
        <v/>
      </c>
      <c r="X1906" s="24">
        <f>IFERROR(W1906/U1906,0)</f>
        <v/>
      </c>
    </row>
    <row r="1907">
      <c r="A1907" s="25">
        <f>ItensPedido!A1907</f>
        <v/>
      </c>
      <c r="B1907" s="25">
        <f>ItensPedido!B1907</f>
        <v/>
      </c>
      <c r="C1907" s="25">
        <f>ItensPedido!C1907</f>
        <v/>
      </c>
      <c r="D1907" s="25">
        <f>ItensPedido!D1907</f>
        <v/>
      </c>
      <c r="E1907" s="26">
        <f>ItensPedido!E1907</f>
        <v/>
      </c>
      <c r="F1907" s="25">
        <f>IFERROR(INDEX(Pedidos!$B$2:$B$1801,MATCH(B1907,Pedidos!$A$2:$A$1801,0)),0)</f>
        <v/>
      </c>
      <c r="G1907" s="25">
        <f>IF(F1907=0,"",YEAR(F1907))</f>
        <v/>
      </c>
      <c r="H1907" s="25">
        <f>IF(F1907=0,"",MONTH(F1907))</f>
        <v/>
      </c>
      <c r="I1907" s="25">
        <f>IFERROR(INDEX(Pedidos!$E$2:$E$1801,MATCH(B1907,Pedidos!$A$2:$A$1801,0)),"")</f>
        <v/>
      </c>
      <c r="J1907" s="25">
        <f>IFERROR(INDEX(Pedidos!$C$2:$C$1801,MATCH(B1907,Pedidos!$A$2:$A$1801,0)),"")</f>
        <v/>
      </c>
      <c r="K1907" s="25">
        <f>IFERROR(INDEX(Pedidos!$D$2:$D$1801,MATCH(B1907,Pedidos!$A$2:$A$1801,0)),"")</f>
        <v/>
      </c>
      <c r="L1907" s="25">
        <f>IFERROR(INDEX(Pedidos!$F$2:$F$1801,MATCH(B1907,Pedidos!$A$2:$A$1801,0)),"")</f>
        <v/>
      </c>
      <c r="M1907" s="26">
        <f>IFERROR(INDEX(Pedidos!$G$2:$G$1801,MATCH(B1907,Pedidos!$A$2:$A$1801,0)),0)</f>
        <v/>
      </c>
      <c r="N1907" s="25">
        <f>IFERROR(INDEX(Produtos!$B$2:$B$71,MATCH(C1907,Produtos!$A$2:$A$71,0)),"")</f>
        <v/>
      </c>
      <c r="O1907" s="25">
        <f>IFERROR(INDEX(Produtos!$C$2:$C$71,MATCH(C1907,Produtos!$A$2:$A$71,0)),"")</f>
        <v/>
      </c>
      <c r="P1907" s="25">
        <f>IFERROR(INDEX(Produtos!$D$2:$D$71,MATCH(C1907,Produtos!$A$2:$A$71,0)),0)</f>
        <v/>
      </c>
      <c r="Q1907" s="25">
        <f>IFERROR(INDEX(Produtos!$E$2:$E$71,MATCH(C1907,Produtos!$A$2:$A$71,0)),0)</f>
        <v/>
      </c>
      <c r="R1907" s="27">
        <f>D1907*Q1907</f>
        <v/>
      </c>
      <c r="S1907" s="27">
        <f>R1907*E1907</f>
        <v/>
      </c>
      <c r="T1907" s="27">
        <f>(R1907-S1907)*M1907</f>
        <v/>
      </c>
      <c r="U1907" s="27">
        <f>R1907-S1907-T1907</f>
        <v/>
      </c>
      <c r="V1907" s="27">
        <f>D1907*P1907</f>
        <v/>
      </c>
      <c r="W1907" s="27">
        <f>U1907-V1907</f>
        <v/>
      </c>
      <c r="X1907" s="28">
        <f>IFERROR(W1907/U1907,0)</f>
        <v/>
      </c>
    </row>
    <row r="1908">
      <c r="A1908" s="21">
        <f>ItensPedido!A1908</f>
        <v/>
      </c>
      <c r="B1908" s="21">
        <f>ItensPedido!B1908</f>
        <v/>
      </c>
      <c r="C1908" s="21">
        <f>ItensPedido!C1908</f>
        <v/>
      </c>
      <c r="D1908" s="21">
        <f>ItensPedido!D1908</f>
        <v/>
      </c>
      <c r="E1908" s="22">
        <f>ItensPedido!E1908</f>
        <v/>
      </c>
      <c r="F1908" s="21">
        <f>IFERROR(INDEX(Pedidos!$B$2:$B$1801,MATCH(B1908,Pedidos!$A$2:$A$1801,0)),0)</f>
        <v/>
      </c>
      <c r="G1908" s="21">
        <f>IF(F1908=0,"",YEAR(F1908))</f>
        <v/>
      </c>
      <c r="H1908" s="21">
        <f>IF(F1908=0,"",MONTH(F1908))</f>
        <v/>
      </c>
      <c r="I1908" s="21">
        <f>IFERROR(INDEX(Pedidos!$E$2:$E$1801,MATCH(B1908,Pedidos!$A$2:$A$1801,0)),"")</f>
        <v/>
      </c>
      <c r="J1908" s="21">
        <f>IFERROR(INDEX(Pedidos!$C$2:$C$1801,MATCH(B1908,Pedidos!$A$2:$A$1801,0)),"")</f>
        <v/>
      </c>
      <c r="K1908" s="21">
        <f>IFERROR(INDEX(Pedidos!$D$2:$D$1801,MATCH(B1908,Pedidos!$A$2:$A$1801,0)),"")</f>
        <v/>
      </c>
      <c r="L1908" s="21">
        <f>IFERROR(INDEX(Pedidos!$F$2:$F$1801,MATCH(B1908,Pedidos!$A$2:$A$1801,0)),"")</f>
        <v/>
      </c>
      <c r="M1908" s="22">
        <f>IFERROR(INDEX(Pedidos!$G$2:$G$1801,MATCH(B1908,Pedidos!$A$2:$A$1801,0)),0)</f>
        <v/>
      </c>
      <c r="N1908" s="21">
        <f>IFERROR(INDEX(Produtos!$B$2:$B$71,MATCH(C1908,Produtos!$A$2:$A$71,0)),"")</f>
        <v/>
      </c>
      <c r="O1908" s="21">
        <f>IFERROR(INDEX(Produtos!$C$2:$C$71,MATCH(C1908,Produtos!$A$2:$A$71,0)),"")</f>
        <v/>
      </c>
      <c r="P1908" s="21">
        <f>IFERROR(INDEX(Produtos!$D$2:$D$71,MATCH(C1908,Produtos!$A$2:$A$71,0)),0)</f>
        <v/>
      </c>
      <c r="Q1908" s="21">
        <f>IFERROR(INDEX(Produtos!$E$2:$E$71,MATCH(C1908,Produtos!$A$2:$A$71,0)),0)</f>
        <v/>
      </c>
      <c r="R1908" s="23">
        <f>D1908*Q1908</f>
        <v/>
      </c>
      <c r="S1908" s="23">
        <f>R1908*E1908</f>
        <v/>
      </c>
      <c r="T1908" s="23">
        <f>(R1908-S1908)*M1908</f>
        <v/>
      </c>
      <c r="U1908" s="23">
        <f>R1908-S1908-T1908</f>
        <v/>
      </c>
      <c r="V1908" s="23">
        <f>D1908*P1908</f>
        <v/>
      </c>
      <c r="W1908" s="23">
        <f>U1908-V1908</f>
        <v/>
      </c>
      <c r="X1908" s="24">
        <f>IFERROR(W1908/U1908,0)</f>
        <v/>
      </c>
    </row>
    <row r="1909">
      <c r="A1909" s="25">
        <f>ItensPedido!A1909</f>
        <v/>
      </c>
      <c r="B1909" s="25">
        <f>ItensPedido!B1909</f>
        <v/>
      </c>
      <c r="C1909" s="25">
        <f>ItensPedido!C1909</f>
        <v/>
      </c>
      <c r="D1909" s="25">
        <f>ItensPedido!D1909</f>
        <v/>
      </c>
      <c r="E1909" s="26">
        <f>ItensPedido!E1909</f>
        <v/>
      </c>
      <c r="F1909" s="25">
        <f>IFERROR(INDEX(Pedidos!$B$2:$B$1801,MATCH(B1909,Pedidos!$A$2:$A$1801,0)),0)</f>
        <v/>
      </c>
      <c r="G1909" s="25">
        <f>IF(F1909=0,"",YEAR(F1909))</f>
        <v/>
      </c>
      <c r="H1909" s="25">
        <f>IF(F1909=0,"",MONTH(F1909))</f>
        <v/>
      </c>
      <c r="I1909" s="25">
        <f>IFERROR(INDEX(Pedidos!$E$2:$E$1801,MATCH(B1909,Pedidos!$A$2:$A$1801,0)),"")</f>
        <v/>
      </c>
      <c r="J1909" s="25">
        <f>IFERROR(INDEX(Pedidos!$C$2:$C$1801,MATCH(B1909,Pedidos!$A$2:$A$1801,0)),"")</f>
        <v/>
      </c>
      <c r="K1909" s="25">
        <f>IFERROR(INDEX(Pedidos!$D$2:$D$1801,MATCH(B1909,Pedidos!$A$2:$A$1801,0)),"")</f>
        <v/>
      </c>
      <c r="L1909" s="25">
        <f>IFERROR(INDEX(Pedidos!$F$2:$F$1801,MATCH(B1909,Pedidos!$A$2:$A$1801,0)),"")</f>
        <v/>
      </c>
      <c r="M1909" s="26">
        <f>IFERROR(INDEX(Pedidos!$G$2:$G$1801,MATCH(B1909,Pedidos!$A$2:$A$1801,0)),0)</f>
        <v/>
      </c>
      <c r="N1909" s="25">
        <f>IFERROR(INDEX(Produtos!$B$2:$B$71,MATCH(C1909,Produtos!$A$2:$A$71,0)),"")</f>
        <v/>
      </c>
      <c r="O1909" s="25">
        <f>IFERROR(INDEX(Produtos!$C$2:$C$71,MATCH(C1909,Produtos!$A$2:$A$71,0)),"")</f>
        <v/>
      </c>
      <c r="P1909" s="25">
        <f>IFERROR(INDEX(Produtos!$D$2:$D$71,MATCH(C1909,Produtos!$A$2:$A$71,0)),0)</f>
        <v/>
      </c>
      <c r="Q1909" s="25">
        <f>IFERROR(INDEX(Produtos!$E$2:$E$71,MATCH(C1909,Produtos!$A$2:$A$71,0)),0)</f>
        <v/>
      </c>
      <c r="R1909" s="27">
        <f>D1909*Q1909</f>
        <v/>
      </c>
      <c r="S1909" s="27">
        <f>R1909*E1909</f>
        <v/>
      </c>
      <c r="T1909" s="27">
        <f>(R1909-S1909)*M1909</f>
        <v/>
      </c>
      <c r="U1909" s="27">
        <f>R1909-S1909-T1909</f>
        <v/>
      </c>
      <c r="V1909" s="27">
        <f>D1909*P1909</f>
        <v/>
      </c>
      <c r="W1909" s="27">
        <f>U1909-V1909</f>
        <v/>
      </c>
      <c r="X1909" s="28">
        <f>IFERROR(W1909/U1909,0)</f>
        <v/>
      </c>
    </row>
    <row r="1910">
      <c r="A1910" s="21">
        <f>ItensPedido!A1910</f>
        <v/>
      </c>
      <c r="B1910" s="21">
        <f>ItensPedido!B1910</f>
        <v/>
      </c>
      <c r="C1910" s="21">
        <f>ItensPedido!C1910</f>
        <v/>
      </c>
      <c r="D1910" s="21">
        <f>ItensPedido!D1910</f>
        <v/>
      </c>
      <c r="E1910" s="22">
        <f>ItensPedido!E1910</f>
        <v/>
      </c>
      <c r="F1910" s="21">
        <f>IFERROR(INDEX(Pedidos!$B$2:$B$1801,MATCH(B1910,Pedidos!$A$2:$A$1801,0)),0)</f>
        <v/>
      </c>
      <c r="G1910" s="21">
        <f>IF(F1910=0,"",YEAR(F1910))</f>
        <v/>
      </c>
      <c r="H1910" s="21">
        <f>IF(F1910=0,"",MONTH(F1910))</f>
        <v/>
      </c>
      <c r="I1910" s="21">
        <f>IFERROR(INDEX(Pedidos!$E$2:$E$1801,MATCH(B1910,Pedidos!$A$2:$A$1801,0)),"")</f>
        <v/>
      </c>
      <c r="J1910" s="21">
        <f>IFERROR(INDEX(Pedidos!$C$2:$C$1801,MATCH(B1910,Pedidos!$A$2:$A$1801,0)),"")</f>
        <v/>
      </c>
      <c r="K1910" s="21">
        <f>IFERROR(INDEX(Pedidos!$D$2:$D$1801,MATCH(B1910,Pedidos!$A$2:$A$1801,0)),"")</f>
        <v/>
      </c>
      <c r="L1910" s="21">
        <f>IFERROR(INDEX(Pedidos!$F$2:$F$1801,MATCH(B1910,Pedidos!$A$2:$A$1801,0)),"")</f>
        <v/>
      </c>
      <c r="M1910" s="22">
        <f>IFERROR(INDEX(Pedidos!$G$2:$G$1801,MATCH(B1910,Pedidos!$A$2:$A$1801,0)),0)</f>
        <v/>
      </c>
      <c r="N1910" s="21">
        <f>IFERROR(INDEX(Produtos!$B$2:$B$71,MATCH(C1910,Produtos!$A$2:$A$71,0)),"")</f>
        <v/>
      </c>
      <c r="O1910" s="21">
        <f>IFERROR(INDEX(Produtos!$C$2:$C$71,MATCH(C1910,Produtos!$A$2:$A$71,0)),"")</f>
        <v/>
      </c>
      <c r="P1910" s="21">
        <f>IFERROR(INDEX(Produtos!$D$2:$D$71,MATCH(C1910,Produtos!$A$2:$A$71,0)),0)</f>
        <v/>
      </c>
      <c r="Q1910" s="21">
        <f>IFERROR(INDEX(Produtos!$E$2:$E$71,MATCH(C1910,Produtos!$A$2:$A$71,0)),0)</f>
        <v/>
      </c>
      <c r="R1910" s="23">
        <f>D1910*Q1910</f>
        <v/>
      </c>
      <c r="S1910" s="23">
        <f>R1910*E1910</f>
        <v/>
      </c>
      <c r="T1910" s="23">
        <f>(R1910-S1910)*M1910</f>
        <v/>
      </c>
      <c r="U1910" s="23">
        <f>R1910-S1910-T1910</f>
        <v/>
      </c>
      <c r="V1910" s="23">
        <f>D1910*P1910</f>
        <v/>
      </c>
      <c r="W1910" s="23">
        <f>U1910-V1910</f>
        <v/>
      </c>
      <c r="X1910" s="24">
        <f>IFERROR(W1910/U1910,0)</f>
        <v/>
      </c>
    </row>
    <row r="1911">
      <c r="A1911" s="25">
        <f>ItensPedido!A1911</f>
        <v/>
      </c>
      <c r="B1911" s="25">
        <f>ItensPedido!B1911</f>
        <v/>
      </c>
      <c r="C1911" s="25">
        <f>ItensPedido!C1911</f>
        <v/>
      </c>
      <c r="D1911" s="25">
        <f>ItensPedido!D1911</f>
        <v/>
      </c>
      <c r="E1911" s="26">
        <f>ItensPedido!E1911</f>
        <v/>
      </c>
      <c r="F1911" s="25">
        <f>IFERROR(INDEX(Pedidos!$B$2:$B$1801,MATCH(B1911,Pedidos!$A$2:$A$1801,0)),0)</f>
        <v/>
      </c>
      <c r="G1911" s="25">
        <f>IF(F1911=0,"",YEAR(F1911))</f>
        <v/>
      </c>
      <c r="H1911" s="25">
        <f>IF(F1911=0,"",MONTH(F1911))</f>
        <v/>
      </c>
      <c r="I1911" s="25">
        <f>IFERROR(INDEX(Pedidos!$E$2:$E$1801,MATCH(B1911,Pedidos!$A$2:$A$1801,0)),"")</f>
        <v/>
      </c>
      <c r="J1911" s="25">
        <f>IFERROR(INDEX(Pedidos!$C$2:$C$1801,MATCH(B1911,Pedidos!$A$2:$A$1801,0)),"")</f>
        <v/>
      </c>
      <c r="K1911" s="25">
        <f>IFERROR(INDEX(Pedidos!$D$2:$D$1801,MATCH(B1911,Pedidos!$A$2:$A$1801,0)),"")</f>
        <v/>
      </c>
      <c r="L1911" s="25">
        <f>IFERROR(INDEX(Pedidos!$F$2:$F$1801,MATCH(B1911,Pedidos!$A$2:$A$1801,0)),"")</f>
        <v/>
      </c>
      <c r="M1911" s="26">
        <f>IFERROR(INDEX(Pedidos!$G$2:$G$1801,MATCH(B1911,Pedidos!$A$2:$A$1801,0)),0)</f>
        <v/>
      </c>
      <c r="N1911" s="25">
        <f>IFERROR(INDEX(Produtos!$B$2:$B$71,MATCH(C1911,Produtos!$A$2:$A$71,0)),"")</f>
        <v/>
      </c>
      <c r="O1911" s="25">
        <f>IFERROR(INDEX(Produtos!$C$2:$C$71,MATCH(C1911,Produtos!$A$2:$A$71,0)),"")</f>
        <v/>
      </c>
      <c r="P1911" s="25">
        <f>IFERROR(INDEX(Produtos!$D$2:$D$71,MATCH(C1911,Produtos!$A$2:$A$71,0)),0)</f>
        <v/>
      </c>
      <c r="Q1911" s="25">
        <f>IFERROR(INDEX(Produtos!$E$2:$E$71,MATCH(C1911,Produtos!$A$2:$A$71,0)),0)</f>
        <v/>
      </c>
      <c r="R1911" s="27">
        <f>D1911*Q1911</f>
        <v/>
      </c>
      <c r="S1911" s="27">
        <f>R1911*E1911</f>
        <v/>
      </c>
      <c r="T1911" s="27">
        <f>(R1911-S1911)*M1911</f>
        <v/>
      </c>
      <c r="U1911" s="27">
        <f>R1911-S1911-T1911</f>
        <v/>
      </c>
      <c r="V1911" s="27">
        <f>D1911*P1911</f>
        <v/>
      </c>
      <c r="W1911" s="27">
        <f>U1911-V1911</f>
        <v/>
      </c>
      <c r="X1911" s="28">
        <f>IFERROR(W1911/U1911,0)</f>
        <v/>
      </c>
    </row>
    <row r="1912">
      <c r="A1912" s="21">
        <f>ItensPedido!A1912</f>
        <v/>
      </c>
      <c r="B1912" s="21">
        <f>ItensPedido!B1912</f>
        <v/>
      </c>
      <c r="C1912" s="21">
        <f>ItensPedido!C1912</f>
        <v/>
      </c>
      <c r="D1912" s="21">
        <f>ItensPedido!D1912</f>
        <v/>
      </c>
      <c r="E1912" s="22">
        <f>ItensPedido!E1912</f>
        <v/>
      </c>
      <c r="F1912" s="21">
        <f>IFERROR(INDEX(Pedidos!$B$2:$B$1801,MATCH(B1912,Pedidos!$A$2:$A$1801,0)),0)</f>
        <v/>
      </c>
      <c r="G1912" s="21">
        <f>IF(F1912=0,"",YEAR(F1912))</f>
        <v/>
      </c>
      <c r="H1912" s="21">
        <f>IF(F1912=0,"",MONTH(F1912))</f>
        <v/>
      </c>
      <c r="I1912" s="21">
        <f>IFERROR(INDEX(Pedidos!$E$2:$E$1801,MATCH(B1912,Pedidos!$A$2:$A$1801,0)),"")</f>
        <v/>
      </c>
      <c r="J1912" s="21">
        <f>IFERROR(INDEX(Pedidos!$C$2:$C$1801,MATCH(B1912,Pedidos!$A$2:$A$1801,0)),"")</f>
        <v/>
      </c>
      <c r="K1912" s="21">
        <f>IFERROR(INDEX(Pedidos!$D$2:$D$1801,MATCH(B1912,Pedidos!$A$2:$A$1801,0)),"")</f>
        <v/>
      </c>
      <c r="L1912" s="21">
        <f>IFERROR(INDEX(Pedidos!$F$2:$F$1801,MATCH(B1912,Pedidos!$A$2:$A$1801,0)),"")</f>
        <v/>
      </c>
      <c r="M1912" s="22">
        <f>IFERROR(INDEX(Pedidos!$G$2:$G$1801,MATCH(B1912,Pedidos!$A$2:$A$1801,0)),0)</f>
        <v/>
      </c>
      <c r="N1912" s="21">
        <f>IFERROR(INDEX(Produtos!$B$2:$B$71,MATCH(C1912,Produtos!$A$2:$A$71,0)),"")</f>
        <v/>
      </c>
      <c r="O1912" s="21">
        <f>IFERROR(INDEX(Produtos!$C$2:$C$71,MATCH(C1912,Produtos!$A$2:$A$71,0)),"")</f>
        <v/>
      </c>
      <c r="P1912" s="21">
        <f>IFERROR(INDEX(Produtos!$D$2:$D$71,MATCH(C1912,Produtos!$A$2:$A$71,0)),0)</f>
        <v/>
      </c>
      <c r="Q1912" s="21">
        <f>IFERROR(INDEX(Produtos!$E$2:$E$71,MATCH(C1912,Produtos!$A$2:$A$71,0)),0)</f>
        <v/>
      </c>
      <c r="R1912" s="23">
        <f>D1912*Q1912</f>
        <v/>
      </c>
      <c r="S1912" s="23">
        <f>R1912*E1912</f>
        <v/>
      </c>
      <c r="T1912" s="23">
        <f>(R1912-S1912)*M1912</f>
        <v/>
      </c>
      <c r="U1912" s="23">
        <f>R1912-S1912-T1912</f>
        <v/>
      </c>
      <c r="V1912" s="23">
        <f>D1912*P1912</f>
        <v/>
      </c>
      <c r="W1912" s="23">
        <f>U1912-V1912</f>
        <v/>
      </c>
      <c r="X1912" s="24">
        <f>IFERROR(W1912/U1912,0)</f>
        <v/>
      </c>
    </row>
    <row r="1913">
      <c r="A1913" s="25">
        <f>ItensPedido!A1913</f>
        <v/>
      </c>
      <c r="B1913" s="25">
        <f>ItensPedido!B1913</f>
        <v/>
      </c>
      <c r="C1913" s="25">
        <f>ItensPedido!C1913</f>
        <v/>
      </c>
      <c r="D1913" s="25">
        <f>ItensPedido!D1913</f>
        <v/>
      </c>
      <c r="E1913" s="26">
        <f>ItensPedido!E1913</f>
        <v/>
      </c>
      <c r="F1913" s="25">
        <f>IFERROR(INDEX(Pedidos!$B$2:$B$1801,MATCH(B1913,Pedidos!$A$2:$A$1801,0)),0)</f>
        <v/>
      </c>
      <c r="G1913" s="25">
        <f>IF(F1913=0,"",YEAR(F1913))</f>
        <v/>
      </c>
      <c r="H1913" s="25">
        <f>IF(F1913=0,"",MONTH(F1913))</f>
        <v/>
      </c>
      <c r="I1913" s="25">
        <f>IFERROR(INDEX(Pedidos!$E$2:$E$1801,MATCH(B1913,Pedidos!$A$2:$A$1801,0)),"")</f>
        <v/>
      </c>
      <c r="J1913" s="25">
        <f>IFERROR(INDEX(Pedidos!$C$2:$C$1801,MATCH(B1913,Pedidos!$A$2:$A$1801,0)),"")</f>
        <v/>
      </c>
      <c r="K1913" s="25">
        <f>IFERROR(INDEX(Pedidos!$D$2:$D$1801,MATCH(B1913,Pedidos!$A$2:$A$1801,0)),"")</f>
        <v/>
      </c>
      <c r="L1913" s="25">
        <f>IFERROR(INDEX(Pedidos!$F$2:$F$1801,MATCH(B1913,Pedidos!$A$2:$A$1801,0)),"")</f>
        <v/>
      </c>
      <c r="M1913" s="26">
        <f>IFERROR(INDEX(Pedidos!$G$2:$G$1801,MATCH(B1913,Pedidos!$A$2:$A$1801,0)),0)</f>
        <v/>
      </c>
      <c r="N1913" s="25">
        <f>IFERROR(INDEX(Produtos!$B$2:$B$71,MATCH(C1913,Produtos!$A$2:$A$71,0)),"")</f>
        <v/>
      </c>
      <c r="O1913" s="25">
        <f>IFERROR(INDEX(Produtos!$C$2:$C$71,MATCH(C1913,Produtos!$A$2:$A$71,0)),"")</f>
        <v/>
      </c>
      <c r="P1913" s="25">
        <f>IFERROR(INDEX(Produtos!$D$2:$D$71,MATCH(C1913,Produtos!$A$2:$A$71,0)),0)</f>
        <v/>
      </c>
      <c r="Q1913" s="25">
        <f>IFERROR(INDEX(Produtos!$E$2:$E$71,MATCH(C1913,Produtos!$A$2:$A$71,0)),0)</f>
        <v/>
      </c>
      <c r="R1913" s="27">
        <f>D1913*Q1913</f>
        <v/>
      </c>
      <c r="S1913" s="27">
        <f>R1913*E1913</f>
        <v/>
      </c>
      <c r="T1913" s="27">
        <f>(R1913-S1913)*M1913</f>
        <v/>
      </c>
      <c r="U1913" s="27">
        <f>R1913-S1913-T1913</f>
        <v/>
      </c>
      <c r="V1913" s="27">
        <f>D1913*P1913</f>
        <v/>
      </c>
      <c r="W1913" s="27">
        <f>U1913-V1913</f>
        <v/>
      </c>
      <c r="X1913" s="28">
        <f>IFERROR(W1913/U1913,0)</f>
        <v/>
      </c>
    </row>
    <row r="1914">
      <c r="A1914" s="21">
        <f>ItensPedido!A1914</f>
        <v/>
      </c>
      <c r="B1914" s="21">
        <f>ItensPedido!B1914</f>
        <v/>
      </c>
      <c r="C1914" s="21">
        <f>ItensPedido!C1914</f>
        <v/>
      </c>
      <c r="D1914" s="21">
        <f>ItensPedido!D1914</f>
        <v/>
      </c>
      <c r="E1914" s="22">
        <f>ItensPedido!E1914</f>
        <v/>
      </c>
      <c r="F1914" s="21">
        <f>IFERROR(INDEX(Pedidos!$B$2:$B$1801,MATCH(B1914,Pedidos!$A$2:$A$1801,0)),0)</f>
        <v/>
      </c>
      <c r="G1914" s="21">
        <f>IF(F1914=0,"",YEAR(F1914))</f>
        <v/>
      </c>
      <c r="H1914" s="21">
        <f>IF(F1914=0,"",MONTH(F1914))</f>
        <v/>
      </c>
      <c r="I1914" s="21">
        <f>IFERROR(INDEX(Pedidos!$E$2:$E$1801,MATCH(B1914,Pedidos!$A$2:$A$1801,0)),"")</f>
        <v/>
      </c>
      <c r="J1914" s="21">
        <f>IFERROR(INDEX(Pedidos!$C$2:$C$1801,MATCH(B1914,Pedidos!$A$2:$A$1801,0)),"")</f>
        <v/>
      </c>
      <c r="K1914" s="21">
        <f>IFERROR(INDEX(Pedidos!$D$2:$D$1801,MATCH(B1914,Pedidos!$A$2:$A$1801,0)),"")</f>
        <v/>
      </c>
      <c r="L1914" s="21">
        <f>IFERROR(INDEX(Pedidos!$F$2:$F$1801,MATCH(B1914,Pedidos!$A$2:$A$1801,0)),"")</f>
        <v/>
      </c>
      <c r="M1914" s="22">
        <f>IFERROR(INDEX(Pedidos!$G$2:$G$1801,MATCH(B1914,Pedidos!$A$2:$A$1801,0)),0)</f>
        <v/>
      </c>
      <c r="N1914" s="21">
        <f>IFERROR(INDEX(Produtos!$B$2:$B$71,MATCH(C1914,Produtos!$A$2:$A$71,0)),"")</f>
        <v/>
      </c>
      <c r="O1914" s="21">
        <f>IFERROR(INDEX(Produtos!$C$2:$C$71,MATCH(C1914,Produtos!$A$2:$A$71,0)),"")</f>
        <v/>
      </c>
      <c r="P1914" s="21">
        <f>IFERROR(INDEX(Produtos!$D$2:$D$71,MATCH(C1914,Produtos!$A$2:$A$71,0)),0)</f>
        <v/>
      </c>
      <c r="Q1914" s="21">
        <f>IFERROR(INDEX(Produtos!$E$2:$E$71,MATCH(C1914,Produtos!$A$2:$A$71,0)),0)</f>
        <v/>
      </c>
      <c r="R1914" s="23">
        <f>D1914*Q1914</f>
        <v/>
      </c>
      <c r="S1914" s="23">
        <f>R1914*E1914</f>
        <v/>
      </c>
      <c r="T1914" s="23">
        <f>(R1914-S1914)*M1914</f>
        <v/>
      </c>
      <c r="U1914" s="23">
        <f>R1914-S1914-T1914</f>
        <v/>
      </c>
      <c r="V1914" s="23">
        <f>D1914*P1914</f>
        <v/>
      </c>
      <c r="W1914" s="23">
        <f>U1914-V1914</f>
        <v/>
      </c>
      <c r="X1914" s="24">
        <f>IFERROR(W1914/U1914,0)</f>
        <v/>
      </c>
    </row>
    <row r="1915">
      <c r="A1915" s="25">
        <f>ItensPedido!A1915</f>
        <v/>
      </c>
      <c r="B1915" s="25">
        <f>ItensPedido!B1915</f>
        <v/>
      </c>
      <c r="C1915" s="25">
        <f>ItensPedido!C1915</f>
        <v/>
      </c>
      <c r="D1915" s="25">
        <f>ItensPedido!D1915</f>
        <v/>
      </c>
      <c r="E1915" s="26">
        <f>ItensPedido!E1915</f>
        <v/>
      </c>
      <c r="F1915" s="25">
        <f>IFERROR(INDEX(Pedidos!$B$2:$B$1801,MATCH(B1915,Pedidos!$A$2:$A$1801,0)),0)</f>
        <v/>
      </c>
      <c r="G1915" s="25">
        <f>IF(F1915=0,"",YEAR(F1915))</f>
        <v/>
      </c>
      <c r="H1915" s="25">
        <f>IF(F1915=0,"",MONTH(F1915))</f>
        <v/>
      </c>
      <c r="I1915" s="25">
        <f>IFERROR(INDEX(Pedidos!$E$2:$E$1801,MATCH(B1915,Pedidos!$A$2:$A$1801,0)),"")</f>
        <v/>
      </c>
      <c r="J1915" s="25">
        <f>IFERROR(INDEX(Pedidos!$C$2:$C$1801,MATCH(B1915,Pedidos!$A$2:$A$1801,0)),"")</f>
        <v/>
      </c>
      <c r="K1915" s="25">
        <f>IFERROR(INDEX(Pedidos!$D$2:$D$1801,MATCH(B1915,Pedidos!$A$2:$A$1801,0)),"")</f>
        <v/>
      </c>
      <c r="L1915" s="25">
        <f>IFERROR(INDEX(Pedidos!$F$2:$F$1801,MATCH(B1915,Pedidos!$A$2:$A$1801,0)),"")</f>
        <v/>
      </c>
      <c r="M1915" s="26">
        <f>IFERROR(INDEX(Pedidos!$G$2:$G$1801,MATCH(B1915,Pedidos!$A$2:$A$1801,0)),0)</f>
        <v/>
      </c>
      <c r="N1915" s="25">
        <f>IFERROR(INDEX(Produtos!$B$2:$B$71,MATCH(C1915,Produtos!$A$2:$A$71,0)),"")</f>
        <v/>
      </c>
      <c r="O1915" s="25">
        <f>IFERROR(INDEX(Produtos!$C$2:$C$71,MATCH(C1915,Produtos!$A$2:$A$71,0)),"")</f>
        <v/>
      </c>
      <c r="P1915" s="25">
        <f>IFERROR(INDEX(Produtos!$D$2:$D$71,MATCH(C1915,Produtos!$A$2:$A$71,0)),0)</f>
        <v/>
      </c>
      <c r="Q1915" s="25">
        <f>IFERROR(INDEX(Produtos!$E$2:$E$71,MATCH(C1915,Produtos!$A$2:$A$71,0)),0)</f>
        <v/>
      </c>
      <c r="R1915" s="27">
        <f>D1915*Q1915</f>
        <v/>
      </c>
      <c r="S1915" s="27">
        <f>R1915*E1915</f>
        <v/>
      </c>
      <c r="T1915" s="27">
        <f>(R1915-S1915)*M1915</f>
        <v/>
      </c>
      <c r="U1915" s="27">
        <f>R1915-S1915-T1915</f>
        <v/>
      </c>
      <c r="V1915" s="27">
        <f>D1915*P1915</f>
        <v/>
      </c>
      <c r="W1915" s="27">
        <f>U1915-V1915</f>
        <v/>
      </c>
      <c r="X1915" s="28">
        <f>IFERROR(W1915/U1915,0)</f>
        <v/>
      </c>
    </row>
    <row r="1916">
      <c r="A1916" s="21">
        <f>ItensPedido!A1916</f>
        <v/>
      </c>
      <c r="B1916" s="21">
        <f>ItensPedido!B1916</f>
        <v/>
      </c>
      <c r="C1916" s="21">
        <f>ItensPedido!C1916</f>
        <v/>
      </c>
      <c r="D1916" s="21">
        <f>ItensPedido!D1916</f>
        <v/>
      </c>
      <c r="E1916" s="22">
        <f>ItensPedido!E1916</f>
        <v/>
      </c>
      <c r="F1916" s="21">
        <f>IFERROR(INDEX(Pedidos!$B$2:$B$1801,MATCH(B1916,Pedidos!$A$2:$A$1801,0)),0)</f>
        <v/>
      </c>
      <c r="G1916" s="21">
        <f>IF(F1916=0,"",YEAR(F1916))</f>
        <v/>
      </c>
      <c r="H1916" s="21">
        <f>IF(F1916=0,"",MONTH(F1916))</f>
        <v/>
      </c>
      <c r="I1916" s="21">
        <f>IFERROR(INDEX(Pedidos!$E$2:$E$1801,MATCH(B1916,Pedidos!$A$2:$A$1801,0)),"")</f>
        <v/>
      </c>
      <c r="J1916" s="21">
        <f>IFERROR(INDEX(Pedidos!$C$2:$C$1801,MATCH(B1916,Pedidos!$A$2:$A$1801,0)),"")</f>
        <v/>
      </c>
      <c r="K1916" s="21">
        <f>IFERROR(INDEX(Pedidos!$D$2:$D$1801,MATCH(B1916,Pedidos!$A$2:$A$1801,0)),"")</f>
        <v/>
      </c>
      <c r="L1916" s="21">
        <f>IFERROR(INDEX(Pedidos!$F$2:$F$1801,MATCH(B1916,Pedidos!$A$2:$A$1801,0)),"")</f>
        <v/>
      </c>
      <c r="M1916" s="22">
        <f>IFERROR(INDEX(Pedidos!$G$2:$G$1801,MATCH(B1916,Pedidos!$A$2:$A$1801,0)),0)</f>
        <v/>
      </c>
      <c r="N1916" s="21">
        <f>IFERROR(INDEX(Produtos!$B$2:$B$71,MATCH(C1916,Produtos!$A$2:$A$71,0)),"")</f>
        <v/>
      </c>
      <c r="O1916" s="21">
        <f>IFERROR(INDEX(Produtos!$C$2:$C$71,MATCH(C1916,Produtos!$A$2:$A$71,0)),"")</f>
        <v/>
      </c>
      <c r="P1916" s="21">
        <f>IFERROR(INDEX(Produtos!$D$2:$D$71,MATCH(C1916,Produtos!$A$2:$A$71,0)),0)</f>
        <v/>
      </c>
      <c r="Q1916" s="21">
        <f>IFERROR(INDEX(Produtos!$E$2:$E$71,MATCH(C1916,Produtos!$A$2:$A$71,0)),0)</f>
        <v/>
      </c>
      <c r="R1916" s="23">
        <f>D1916*Q1916</f>
        <v/>
      </c>
      <c r="S1916" s="23">
        <f>R1916*E1916</f>
        <v/>
      </c>
      <c r="T1916" s="23">
        <f>(R1916-S1916)*M1916</f>
        <v/>
      </c>
      <c r="U1916" s="23">
        <f>R1916-S1916-T1916</f>
        <v/>
      </c>
      <c r="V1916" s="23">
        <f>D1916*P1916</f>
        <v/>
      </c>
      <c r="W1916" s="23">
        <f>U1916-V1916</f>
        <v/>
      </c>
      <c r="X1916" s="24">
        <f>IFERROR(W1916/U1916,0)</f>
        <v/>
      </c>
    </row>
    <row r="1917">
      <c r="A1917" s="25">
        <f>ItensPedido!A1917</f>
        <v/>
      </c>
      <c r="B1917" s="25">
        <f>ItensPedido!B1917</f>
        <v/>
      </c>
      <c r="C1917" s="25">
        <f>ItensPedido!C1917</f>
        <v/>
      </c>
      <c r="D1917" s="25">
        <f>ItensPedido!D1917</f>
        <v/>
      </c>
      <c r="E1917" s="26">
        <f>ItensPedido!E1917</f>
        <v/>
      </c>
      <c r="F1917" s="25">
        <f>IFERROR(INDEX(Pedidos!$B$2:$B$1801,MATCH(B1917,Pedidos!$A$2:$A$1801,0)),0)</f>
        <v/>
      </c>
      <c r="G1917" s="25">
        <f>IF(F1917=0,"",YEAR(F1917))</f>
        <v/>
      </c>
      <c r="H1917" s="25">
        <f>IF(F1917=0,"",MONTH(F1917))</f>
        <v/>
      </c>
      <c r="I1917" s="25">
        <f>IFERROR(INDEX(Pedidos!$E$2:$E$1801,MATCH(B1917,Pedidos!$A$2:$A$1801,0)),"")</f>
        <v/>
      </c>
      <c r="J1917" s="25">
        <f>IFERROR(INDEX(Pedidos!$C$2:$C$1801,MATCH(B1917,Pedidos!$A$2:$A$1801,0)),"")</f>
        <v/>
      </c>
      <c r="K1917" s="25">
        <f>IFERROR(INDEX(Pedidos!$D$2:$D$1801,MATCH(B1917,Pedidos!$A$2:$A$1801,0)),"")</f>
        <v/>
      </c>
      <c r="L1917" s="25">
        <f>IFERROR(INDEX(Pedidos!$F$2:$F$1801,MATCH(B1917,Pedidos!$A$2:$A$1801,0)),"")</f>
        <v/>
      </c>
      <c r="M1917" s="26">
        <f>IFERROR(INDEX(Pedidos!$G$2:$G$1801,MATCH(B1917,Pedidos!$A$2:$A$1801,0)),0)</f>
        <v/>
      </c>
      <c r="N1917" s="25">
        <f>IFERROR(INDEX(Produtos!$B$2:$B$71,MATCH(C1917,Produtos!$A$2:$A$71,0)),"")</f>
        <v/>
      </c>
      <c r="O1917" s="25">
        <f>IFERROR(INDEX(Produtos!$C$2:$C$71,MATCH(C1917,Produtos!$A$2:$A$71,0)),"")</f>
        <v/>
      </c>
      <c r="P1917" s="25">
        <f>IFERROR(INDEX(Produtos!$D$2:$D$71,MATCH(C1917,Produtos!$A$2:$A$71,0)),0)</f>
        <v/>
      </c>
      <c r="Q1917" s="25">
        <f>IFERROR(INDEX(Produtos!$E$2:$E$71,MATCH(C1917,Produtos!$A$2:$A$71,0)),0)</f>
        <v/>
      </c>
      <c r="R1917" s="27">
        <f>D1917*Q1917</f>
        <v/>
      </c>
      <c r="S1917" s="27">
        <f>R1917*E1917</f>
        <v/>
      </c>
      <c r="T1917" s="27">
        <f>(R1917-S1917)*M1917</f>
        <v/>
      </c>
      <c r="U1917" s="27">
        <f>R1917-S1917-T1917</f>
        <v/>
      </c>
      <c r="V1917" s="27">
        <f>D1917*P1917</f>
        <v/>
      </c>
      <c r="W1917" s="27">
        <f>U1917-V1917</f>
        <v/>
      </c>
      <c r="X1917" s="28">
        <f>IFERROR(W1917/U1917,0)</f>
        <v/>
      </c>
    </row>
    <row r="1918">
      <c r="A1918" s="21">
        <f>ItensPedido!A1918</f>
        <v/>
      </c>
      <c r="B1918" s="21">
        <f>ItensPedido!B1918</f>
        <v/>
      </c>
      <c r="C1918" s="21">
        <f>ItensPedido!C1918</f>
        <v/>
      </c>
      <c r="D1918" s="21">
        <f>ItensPedido!D1918</f>
        <v/>
      </c>
      <c r="E1918" s="22">
        <f>ItensPedido!E1918</f>
        <v/>
      </c>
      <c r="F1918" s="21">
        <f>IFERROR(INDEX(Pedidos!$B$2:$B$1801,MATCH(B1918,Pedidos!$A$2:$A$1801,0)),0)</f>
        <v/>
      </c>
      <c r="G1918" s="21">
        <f>IF(F1918=0,"",YEAR(F1918))</f>
        <v/>
      </c>
      <c r="H1918" s="21">
        <f>IF(F1918=0,"",MONTH(F1918))</f>
        <v/>
      </c>
      <c r="I1918" s="21">
        <f>IFERROR(INDEX(Pedidos!$E$2:$E$1801,MATCH(B1918,Pedidos!$A$2:$A$1801,0)),"")</f>
        <v/>
      </c>
      <c r="J1918" s="21">
        <f>IFERROR(INDEX(Pedidos!$C$2:$C$1801,MATCH(B1918,Pedidos!$A$2:$A$1801,0)),"")</f>
        <v/>
      </c>
      <c r="K1918" s="21">
        <f>IFERROR(INDEX(Pedidos!$D$2:$D$1801,MATCH(B1918,Pedidos!$A$2:$A$1801,0)),"")</f>
        <v/>
      </c>
      <c r="L1918" s="21">
        <f>IFERROR(INDEX(Pedidos!$F$2:$F$1801,MATCH(B1918,Pedidos!$A$2:$A$1801,0)),"")</f>
        <v/>
      </c>
      <c r="M1918" s="22">
        <f>IFERROR(INDEX(Pedidos!$G$2:$G$1801,MATCH(B1918,Pedidos!$A$2:$A$1801,0)),0)</f>
        <v/>
      </c>
      <c r="N1918" s="21">
        <f>IFERROR(INDEX(Produtos!$B$2:$B$71,MATCH(C1918,Produtos!$A$2:$A$71,0)),"")</f>
        <v/>
      </c>
      <c r="O1918" s="21">
        <f>IFERROR(INDEX(Produtos!$C$2:$C$71,MATCH(C1918,Produtos!$A$2:$A$71,0)),"")</f>
        <v/>
      </c>
      <c r="P1918" s="21">
        <f>IFERROR(INDEX(Produtos!$D$2:$D$71,MATCH(C1918,Produtos!$A$2:$A$71,0)),0)</f>
        <v/>
      </c>
      <c r="Q1918" s="21">
        <f>IFERROR(INDEX(Produtos!$E$2:$E$71,MATCH(C1918,Produtos!$A$2:$A$71,0)),0)</f>
        <v/>
      </c>
      <c r="R1918" s="23">
        <f>D1918*Q1918</f>
        <v/>
      </c>
      <c r="S1918" s="23">
        <f>R1918*E1918</f>
        <v/>
      </c>
      <c r="T1918" s="23">
        <f>(R1918-S1918)*M1918</f>
        <v/>
      </c>
      <c r="U1918" s="23">
        <f>R1918-S1918-T1918</f>
        <v/>
      </c>
      <c r="V1918" s="23">
        <f>D1918*P1918</f>
        <v/>
      </c>
      <c r="W1918" s="23">
        <f>U1918-V1918</f>
        <v/>
      </c>
      <c r="X1918" s="24">
        <f>IFERROR(W1918/U1918,0)</f>
        <v/>
      </c>
    </row>
    <row r="1919">
      <c r="A1919" s="25">
        <f>ItensPedido!A1919</f>
        <v/>
      </c>
      <c r="B1919" s="25">
        <f>ItensPedido!B1919</f>
        <v/>
      </c>
      <c r="C1919" s="25">
        <f>ItensPedido!C1919</f>
        <v/>
      </c>
      <c r="D1919" s="25">
        <f>ItensPedido!D1919</f>
        <v/>
      </c>
      <c r="E1919" s="26">
        <f>ItensPedido!E1919</f>
        <v/>
      </c>
      <c r="F1919" s="25">
        <f>IFERROR(INDEX(Pedidos!$B$2:$B$1801,MATCH(B1919,Pedidos!$A$2:$A$1801,0)),0)</f>
        <v/>
      </c>
      <c r="G1919" s="25">
        <f>IF(F1919=0,"",YEAR(F1919))</f>
        <v/>
      </c>
      <c r="H1919" s="25">
        <f>IF(F1919=0,"",MONTH(F1919))</f>
        <v/>
      </c>
      <c r="I1919" s="25">
        <f>IFERROR(INDEX(Pedidos!$E$2:$E$1801,MATCH(B1919,Pedidos!$A$2:$A$1801,0)),"")</f>
        <v/>
      </c>
      <c r="J1919" s="25">
        <f>IFERROR(INDEX(Pedidos!$C$2:$C$1801,MATCH(B1919,Pedidos!$A$2:$A$1801,0)),"")</f>
        <v/>
      </c>
      <c r="K1919" s="25">
        <f>IFERROR(INDEX(Pedidos!$D$2:$D$1801,MATCH(B1919,Pedidos!$A$2:$A$1801,0)),"")</f>
        <v/>
      </c>
      <c r="L1919" s="25">
        <f>IFERROR(INDEX(Pedidos!$F$2:$F$1801,MATCH(B1919,Pedidos!$A$2:$A$1801,0)),"")</f>
        <v/>
      </c>
      <c r="M1919" s="26">
        <f>IFERROR(INDEX(Pedidos!$G$2:$G$1801,MATCH(B1919,Pedidos!$A$2:$A$1801,0)),0)</f>
        <v/>
      </c>
      <c r="N1919" s="25">
        <f>IFERROR(INDEX(Produtos!$B$2:$B$71,MATCH(C1919,Produtos!$A$2:$A$71,0)),"")</f>
        <v/>
      </c>
      <c r="O1919" s="25">
        <f>IFERROR(INDEX(Produtos!$C$2:$C$71,MATCH(C1919,Produtos!$A$2:$A$71,0)),"")</f>
        <v/>
      </c>
      <c r="P1919" s="25">
        <f>IFERROR(INDEX(Produtos!$D$2:$D$71,MATCH(C1919,Produtos!$A$2:$A$71,0)),0)</f>
        <v/>
      </c>
      <c r="Q1919" s="25">
        <f>IFERROR(INDEX(Produtos!$E$2:$E$71,MATCH(C1919,Produtos!$A$2:$A$71,0)),0)</f>
        <v/>
      </c>
      <c r="R1919" s="27">
        <f>D1919*Q1919</f>
        <v/>
      </c>
      <c r="S1919" s="27">
        <f>R1919*E1919</f>
        <v/>
      </c>
      <c r="T1919" s="27">
        <f>(R1919-S1919)*M1919</f>
        <v/>
      </c>
      <c r="U1919" s="27">
        <f>R1919-S1919-T1919</f>
        <v/>
      </c>
      <c r="V1919" s="27">
        <f>D1919*P1919</f>
        <v/>
      </c>
      <c r="W1919" s="27">
        <f>U1919-V1919</f>
        <v/>
      </c>
      <c r="X1919" s="28">
        <f>IFERROR(W1919/U1919,0)</f>
        <v/>
      </c>
    </row>
    <row r="1920">
      <c r="A1920" s="21">
        <f>ItensPedido!A1920</f>
        <v/>
      </c>
      <c r="B1920" s="21">
        <f>ItensPedido!B1920</f>
        <v/>
      </c>
      <c r="C1920" s="21">
        <f>ItensPedido!C1920</f>
        <v/>
      </c>
      <c r="D1920" s="21">
        <f>ItensPedido!D1920</f>
        <v/>
      </c>
      <c r="E1920" s="22">
        <f>ItensPedido!E1920</f>
        <v/>
      </c>
      <c r="F1920" s="21">
        <f>IFERROR(INDEX(Pedidos!$B$2:$B$1801,MATCH(B1920,Pedidos!$A$2:$A$1801,0)),0)</f>
        <v/>
      </c>
      <c r="G1920" s="21">
        <f>IF(F1920=0,"",YEAR(F1920))</f>
        <v/>
      </c>
      <c r="H1920" s="21">
        <f>IF(F1920=0,"",MONTH(F1920))</f>
        <v/>
      </c>
      <c r="I1920" s="21">
        <f>IFERROR(INDEX(Pedidos!$E$2:$E$1801,MATCH(B1920,Pedidos!$A$2:$A$1801,0)),"")</f>
        <v/>
      </c>
      <c r="J1920" s="21">
        <f>IFERROR(INDEX(Pedidos!$C$2:$C$1801,MATCH(B1920,Pedidos!$A$2:$A$1801,0)),"")</f>
        <v/>
      </c>
      <c r="K1920" s="21">
        <f>IFERROR(INDEX(Pedidos!$D$2:$D$1801,MATCH(B1920,Pedidos!$A$2:$A$1801,0)),"")</f>
        <v/>
      </c>
      <c r="L1920" s="21">
        <f>IFERROR(INDEX(Pedidos!$F$2:$F$1801,MATCH(B1920,Pedidos!$A$2:$A$1801,0)),"")</f>
        <v/>
      </c>
      <c r="M1920" s="22">
        <f>IFERROR(INDEX(Pedidos!$G$2:$G$1801,MATCH(B1920,Pedidos!$A$2:$A$1801,0)),0)</f>
        <v/>
      </c>
      <c r="N1920" s="21">
        <f>IFERROR(INDEX(Produtos!$B$2:$B$71,MATCH(C1920,Produtos!$A$2:$A$71,0)),"")</f>
        <v/>
      </c>
      <c r="O1920" s="21">
        <f>IFERROR(INDEX(Produtos!$C$2:$C$71,MATCH(C1920,Produtos!$A$2:$A$71,0)),"")</f>
        <v/>
      </c>
      <c r="P1920" s="21">
        <f>IFERROR(INDEX(Produtos!$D$2:$D$71,MATCH(C1920,Produtos!$A$2:$A$71,0)),0)</f>
        <v/>
      </c>
      <c r="Q1920" s="21">
        <f>IFERROR(INDEX(Produtos!$E$2:$E$71,MATCH(C1920,Produtos!$A$2:$A$71,0)),0)</f>
        <v/>
      </c>
      <c r="R1920" s="23">
        <f>D1920*Q1920</f>
        <v/>
      </c>
      <c r="S1920" s="23">
        <f>R1920*E1920</f>
        <v/>
      </c>
      <c r="T1920" s="23">
        <f>(R1920-S1920)*M1920</f>
        <v/>
      </c>
      <c r="U1920" s="23">
        <f>R1920-S1920-T1920</f>
        <v/>
      </c>
      <c r="V1920" s="23">
        <f>D1920*P1920</f>
        <v/>
      </c>
      <c r="W1920" s="23">
        <f>U1920-V1920</f>
        <v/>
      </c>
      <c r="X1920" s="24">
        <f>IFERROR(W1920/U1920,0)</f>
        <v/>
      </c>
    </row>
    <row r="1921">
      <c r="A1921" s="25">
        <f>ItensPedido!A1921</f>
        <v/>
      </c>
      <c r="B1921" s="25">
        <f>ItensPedido!B1921</f>
        <v/>
      </c>
      <c r="C1921" s="25">
        <f>ItensPedido!C1921</f>
        <v/>
      </c>
      <c r="D1921" s="25">
        <f>ItensPedido!D1921</f>
        <v/>
      </c>
      <c r="E1921" s="26">
        <f>ItensPedido!E1921</f>
        <v/>
      </c>
      <c r="F1921" s="25">
        <f>IFERROR(INDEX(Pedidos!$B$2:$B$1801,MATCH(B1921,Pedidos!$A$2:$A$1801,0)),0)</f>
        <v/>
      </c>
      <c r="G1921" s="25">
        <f>IF(F1921=0,"",YEAR(F1921))</f>
        <v/>
      </c>
      <c r="H1921" s="25">
        <f>IF(F1921=0,"",MONTH(F1921))</f>
        <v/>
      </c>
      <c r="I1921" s="25">
        <f>IFERROR(INDEX(Pedidos!$E$2:$E$1801,MATCH(B1921,Pedidos!$A$2:$A$1801,0)),"")</f>
        <v/>
      </c>
      <c r="J1921" s="25">
        <f>IFERROR(INDEX(Pedidos!$C$2:$C$1801,MATCH(B1921,Pedidos!$A$2:$A$1801,0)),"")</f>
        <v/>
      </c>
      <c r="K1921" s="25">
        <f>IFERROR(INDEX(Pedidos!$D$2:$D$1801,MATCH(B1921,Pedidos!$A$2:$A$1801,0)),"")</f>
        <v/>
      </c>
      <c r="L1921" s="25">
        <f>IFERROR(INDEX(Pedidos!$F$2:$F$1801,MATCH(B1921,Pedidos!$A$2:$A$1801,0)),"")</f>
        <v/>
      </c>
      <c r="M1921" s="26">
        <f>IFERROR(INDEX(Pedidos!$G$2:$G$1801,MATCH(B1921,Pedidos!$A$2:$A$1801,0)),0)</f>
        <v/>
      </c>
      <c r="N1921" s="25">
        <f>IFERROR(INDEX(Produtos!$B$2:$B$71,MATCH(C1921,Produtos!$A$2:$A$71,0)),"")</f>
        <v/>
      </c>
      <c r="O1921" s="25">
        <f>IFERROR(INDEX(Produtos!$C$2:$C$71,MATCH(C1921,Produtos!$A$2:$A$71,0)),"")</f>
        <v/>
      </c>
      <c r="P1921" s="25">
        <f>IFERROR(INDEX(Produtos!$D$2:$D$71,MATCH(C1921,Produtos!$A$2:$A$71,0)),0)</f>
        <v/>
      </c>
      <c r="Q1921" s="25">
        <f>IFERROR(INDEX(Produtos!$E$2:$E$71,MATCH(C1921,Produtos!$A$2:$A$71,0)),0)</f>
        <v/>
      </c>
      <c r="R1921" s="27">
        <f>D1921*Q1921</f>
        <v/>
      </c>
      <c r="S1921" s="27">
        <f>R1921*E1921</f>
        <v/>
      </c>
      <c r="T1921" s="27">
        <f>(R1921-S1921)*M1921</f>
        <v/>
      </c>
      <c r="U1921" s="27">
        <f>R1921-S1921-T1921</f>
        <v/>
      </c>
      <c r="V1921" s="27">
        <f>D1921*P1921</f>
        <v/>
      </c>
      <c r="W1921" s="27">
        <f>U1921-V1921</f>
        <v/>
      </c>
      <c r="X1921" s="28">
        <f>IFERROR(W1921/U1921,0)</f>
        <v/>
      </c>
    </row>
    <row r="1922">
      <c r="A1922" s="21">
        <f>ItensPedido!A1922</f>
        <v/>
      </c>
      <c r="B1922" s="21">
        <f>ItensPedido!B1922</f>
        <v/>
      </c>
      <c r="C1922" s="21">
        <f>ItensPedido!C1922</f>
        <v/>
      </c>
      <c r="D1922" s="21">
        <f>ItensPedido!D1922</f>
        <v/>
      </c>
      <c r="E1922" s="22">
        <f>ItensPedido!E1922</f>
        <v/>
      </c>
      <c r="F1922" s="21">
        <f>IFERROR(INDEX(Pedidos!$B$2:$B$1801,MATCH(B1922,Pedidos!$A$2:$A$1801,0)),0)</f>
        <v/>
      </c>
      <c r="G1922" s="21">
        <f>IF(F1922=0,"",YEAR(F1922))</f>
        <v/>
      </c>
      <c r="H1922" s="21">
        <f>IF(F1922=0,"",MONTH(F1922))</f>
        <v/>
      </c>
      <c r="I1922" s="21">
        <f>IFERROR(INDEX(Pedidos!$E$2:$E$1801,MATCH(B1922,Pedidos!$A$2:$A$1801,0)),"")</f>
        <v/>
      </c>
      <c r="J1922" s="21">
        <f>IFERROR(INDEX(Pedidos!$C$2:$C$1801,MATCH(B1922,Pedidos!$A$2:$A$1801,0)),"")</f>
        <v/>
      </c>
      <c r="K1922" s="21">
        <f>IFERROR(INDEX(Pedidos!$D$2:$D$1801,MATCH(B1922,Pedidos!$A$2:$A$1801,0)),"")</f>
        <v/>
      </c>
      <c r="L1922" s="21">
        <f>IFERROR(INDEX(Pedidos!$F$2:$F$1801,MATCH(B1922,Pedidos!$A$2:$A$1801,0)),"")</f>
        <v/>
      </c>
      <c r="M1922" s="22">
        <f>IFERROR(INDEX(Pedidos!$G$2:$G$1801,MATCH(B1922,Pedidos!$A$2:$A$1801,0)),0)</f>
        <v/>
      </c>
      <c r="N1922" s="21">
        <f>IFERROR(INDEX(Produtos!$B$2:$B$71,MATCH(C1922,Produtos!$A$2:$A$71,0)),"")</f>
        <v/>
      </c>
      <c r="O1922" s="21">
        <f>IFERROR(INDEX(Produtos!$C$2:$C$71,MATCH(C1922,Produtos!$A$2:$A$71,0)),"")</f>
        <v/>
      </c>
      <c r="P1922" s="21">
        <f>IFERROR(INDEX(Produtos!$D$2:$D$71,MATCH(C1922,Produtos!$A$2:$A$71,0)),0)</f>
        <v/>
      </c>
      <c r="Q1922" s="21">
        <f>IFERROR(INDEX(Produtos!$E$2:$E$71,MATCH(C1922,Produtos!$A$2:$A$71,0)),0)</f>
        <v/>
      </c>
      <c r="R1922" s="23">
        <f>D1922*Q1922</f>
        <v/>
      </c>
      <c r="S1922" s="23">
        <f>R1922*E1922</f>
        <v/>
      </c>
      <c r="T1922" s="23">
        <f>(R1922-S1922)*M1922</f>
        <v/>
      </c>
      <c r="U1922" s="23">
        <f>R1922-S1922-T1922</f>
        <v/>
      </c>
      <c r="V1922" s="23">
        <f>D1922*P1922</f>
        <v/>
      </c>
      <c r="W1922" s="23">
        <f>U1922-V1922</f>
        <v/>
      </c>
      <c r="X1922" s="24">
        <f>IFERROR(W1922/U1922,0)</f>
        <v/>
      </c>
    </row>
    <row r="1923">
      <c r="A1923" s="25">
        <f>ItensPedido!A1923</f>
        <v/>
      </c>
      <c r="B1923" s="25">
        <f>ItensPedido!B1923</f>
        <v/>
      </c>
      <c r="C1923" s="25">
        <f>ItensPedido!C1923</f>
        <v/>
      </c>
      <c r="D1923" s="25">
        <f>ItensPedido!D1923</f>
        <v/>
      </c>
      <c r="E1923" s="26">
        <f>ItensPedido!E1923</f>
        <v/>
      </c>
      <c r="F1923" s="25">
        <f>IFERROR(INDEX(Pedidos!$B$2:$B$1801,MATCH(B1923,Pedidos!$A$2:$A$1801,0)),0)</f>
        <v/>
      </c>
      <c r="G1923" s="25">
        <f>IF(F1923=0,"",YEAR(F1923))</f>
        <v/>
      </c>
      <c r="H1923" s="25">
        <f>IF(F1923=0,"",MONTH(F1923))</f>
        <v/>
      </c>
      <c r="I1923" s="25">
        <f>IFERROR(INDEX(Pedidos!$E$2:$E$1801,MATCH(B1923,Pedidos!$A$2:$A$1801,0)),"")</f>
        <v/>
      </c>
      <c r="J1923" s="25">
        <f>IFERROR(INDEX(Pedidos!$C$2:$C$1801,MATCH(B1923,Pedidos!$A$2:$A$1801,0)),"")</f>
        <v/>
      </c>
      <c r="K1923" s="25">
        <f>IFERROR(INDEX(Pedidos!$D$2:$D$1801,MATCH(B1923,Pedidos!$A$2:$A$1801,0)),"")</f>
        <v/>
      </c>
      <c r="L1923" s="25">
        <f>IFERROR(INDEX(Pedidos!$F$2:$F$1801,MATCH(B1923,Pedidos!$A$2:$A$1801,0)),"")</f>
        <v/>
      </c>
      <c r="M1923" s="26">
        <f>IFERROR(INDEX(Pedidos!$G$2:$G$1801,MATCH(B1923,Pedidos!$A$2:$A$1801,0)),0)</f>
        <v/>
      </c>
      <c r="N1923" s="25">
        <f>IFERROR(INDEX(Produtos!$B$2:$B$71,MATCH(C1923,Produtos!$A$2:$A$71,0)),"")</f>
        <v/>
      </c>
      <c r="O1923" s="25">
        <f>IFERROR(INDEX(Produtos!$C$2:$C$71,MATCH(C1923,Produtos!$A$2:$A$71,0)),"")</f>
        <v/>
      </c>
      <c r="P1923" s="25">
        <f>IFERROR(INDEX(Produtos!$D$2:$D$71,MATCH(C1923,Produtos!$A$2:$A$71,0)),0)</f>
        <v/>
      </c>
      <c r="Q1923" s="25">
        <f>IFERROR(INDEX(Produtos!$E$2:$E$71,MATCH(C1923,Produtos!$A$2:$A$71,0)),0)</f>
        <v/>
      </c>
      <c r="R1923" s="27">
        <f>D1923*Q1923</f>
        <v/>
      </c>
      <c r="S1923" s="27">
        <f>R1923*E1923</f>
        <v/>
      </c>
      <c r="T1923" s="27">
        <f>(R1923-S1923)*M1923</f>
        <v/>
      </c>
      <c r="U1923" s="27">
        <f>R1923-S1923-T1923</f>
        <v/>
      </c>
      <c r="V1923" s="27">
        <f>D1923*P1923</f>
        <v/>
      </c>
      <c r="W1923" s="27">
        <f>U1923-V1923</f>
        <v/>
      </c>
      <c r="X1923" s="28">
        <f>IFERROR(W1923/U1923,0)</f>
        <v/>
      </c>
    </row>
    <row r="1924">
      <c r="A1924" s="21">
        <f>ItensPedido!A1924</f>
        <v/>
      </c>
      <c r="B1924" s="21">
        <f>ItensPedido!B1924</f>
        <v/>
      </c>
      <c r="C1924" s="21">
        <f>ItensPedido!C1924</f>
        <v/>
      </c>
      <c r="D1924" s="21">
        <f>ItensPedido!D1924</f>
        <v/>
      </c>
      <c r="E1924" s="22">
        <f>ItensPedido!E1924</f>
        <v/>
      </c>
      <c r="F1924" s="21">
        <f>IFERROR(INDEX(Pedidos!$B$2:$B$1801,MATCH(B1924,Pedidos!$A$2:$A$1801,0)),0)</f>
        <v/>
      </c>
      <c r="G1924" s="21">
        <f>IF(F1924=0,"",YEAR(F1924))</f>
        <v/>
      </c>
      <c r="H1924" s="21">
        <f>IF(F1924=0,"",MONTH(F1924))</f>
        <v/>
      </c>
      <c r="I1924" s="21">
        <f>IFERROR(INDEX(Pedidos!$E$2:$E$1801,MATCH(B1924,Pedidos!$A$2:$A$1801,0)),"")</f>
        <v/>
      </c>
      <c r="J1924" s="21">
        <f>IFERROR(INDEX(Pedidos!$C$2:$C$1801,MATCH(B1924,Pedidos!$A$2:$A$1801,0)),"")</f>
        <v/>
      </c>
      <c r="K1924" s="21">
        <f>IFERROR(INDEX(Pedidos!$D$2:$D$1801,MATCH(B1924,Pedidos!$A$2:$A$1801,0)),"")</f>
        <v/>
      </c>
      <c r="L1924" s="21">
        <f>IFERROR(INDEX(Pedidos!$F$2:$F$1801,MATCH(B1924,Pedidos!$A$2:$A$1801,0)),"")</f>
        <v/>
      </c>
      <c r="M1924" s="22">
        <f>IFERROR(INDEX(Pedidos!$G$2:$G$1801,MATCH(B1924,Pedidos!$A$2:$A$1801,0)),0)</f>
        <v/>
      </c>
      <c r="N1924" s="21">
        <f>IFERROR(INDEX(Produtos!$B$2:$B$71,MATCH(C1924,Produtos!$A$2:$A$71,0)),"")</f>
        <v/>
      </c>
      <c r="O1924" s="21">
        <f>IFERROR(INDEX(Produtos!$C$2:$C$71,MATCH(C1924,Produtos!$A$2:$A$71,0)),"")</f>
        <v/>
      </c>
      <c r="P1924" s="21">
        <f>IFERROR(INDEX(Produtos!$D$2:$D$71,MATCH(C1924,Produtos!$A$2:$A$71,0)),0)</f>
        <v/>
      </c>
      <c r="Q1924" s="21">
        <f>IFERROR(INDEX(Produtos!$E$2:$E$71,MATCH(C1924,Produtos!$A$2:$A$71,0)),0)</f>
        <v/>
      </c>
      <c r="R1924" s="23">
        <f>D1924*Q1924</f>
        <v/>
      </c>
      <c r="S1924" s="23">
        <f>R1924*E1924</f>
        <v/>
      </c>
      <c r="T1924" s="23">
        <f>(R1924-S1924)*M1924</f>
        <v/>
      </c>
      <c r="U1924" s="23">
        <f>R1924-S1924-T1924</f>
        <v/>
      </c>
      <c r="V1924" s="23">
        <f>D1924*P1924</f>
        <v/>
      </c>
      <c r="W1924" s="23">
        <f>U1924-V1924</f>
        <v/>
      </c>
      <c r="X1924" s="24">
        <f>IFERROR(W1924/U1924,0)</f>
        <v/>
      </c>
    </row>
    <row r="1925">
      <c r="A1925" s="25">
        <f>ItensPedido!A1925</f>
        <v/>
      </c>
      <c r="B1925" s="25">
        <f>ItensPedido!B1925</f>
        <v/>
      </c>
      <c r="C1925" s="25">
        <f>ItensPedido!C1925</f>
        <v/>
      </c>
      <c r="D1925" s="25">
        <f>ItensPedido!D1925</f>
        <v/>
      </c>
      <c r="E1925" s="26">
        <f>ItensPedido!E1925</f>
        <v/>
      </c>
      <c r="F1925" s="25">
        <f>IFERROR(INDEX(Pedidos!$B$2:$B$1801,MATCH(B1925,Pedidos!$A$2:$A$1801,0)),0)</f>
        <v/>
      </c>
      <c r="G1925" s="25">
        <f>IF(F1925=0,"",YEAR(F1925))</f>
        <v/>
      </c>
      <c r="H1925" s="25">
        <f>IF(F1925=0,"",MONTH(F1925))</f>
        <v/>
      </c>
      <c r="I1925" s="25">
        <f>IFERROR(INDEX(Pedidos!$E$2:$E$1801,MATCH(B1925,Pedidos!$A$2:$A$1801,0)),"")</f>
        <v/>
      </c>
      <c r="J1925" s="25">
        <f>IFERROR(INDEX(Pedidos!$C$2:$C$1801,MATCH(B1925,Pedidos!$A$2:$A$1801,0)),"")</f>
        <v/>
      </c>
      <c r="K1925" s="25">
        <f>IFERROR(INDEX(Pedidos!$D$2:$D$1801,MATCH(B1925,Pedidos!$A$2:$A$1801,0)),"")</f>
        <v/>
      </c>
      <c r="L1925" s="25">
        <f>IFERROR(INDEX(Pedidos!$F$2:$F$1801,MATCH(B1925,Pedidos!$A$2:$A$1801,0)),"")</f>
        <v/>
      </c>
      <c r="M1925" s="26">
        <f>IFERROR(INDEX(Pedidos!$G$2:$G$1801,MATCH(B1925,Pedidos!$A$2:$A$1801,0)),0)</f>
        <v/>
      </c>
      <c r="N1925" s="25">
        <f>IFERROR(INDEX(Produtos!$B$2:$B$71,MATCH(C1925,Produtos!$A$2:$A$71,0)),"")</f>
        <v/>
      </c>
      <c r="O1925" s="25">
        <f>IFERROR(INDEX(Produtos!$C$2:$C$71,MATCH(C1925,Produtos!$A$2:$A$71,0)),"")</f>
        <v/>
      </c>
      <c r="P1925" s="25">
        <f>IFERROR(INDEX(Produtos!$D$2:$D$71,MATCH(C1925,Produtos!$A$2:$A$71,0)),0)</f>
        <v/>
      </c>
      <c r="Q1925" s="25">
        <f>IFERROR(INDEX(Produtos!$E$2:$E$71,MATCH(C1925,Produtos!$A$2:$A$71,0)),0)</f>
        <v/>
      </c>
      <c r="R1925" s="27">
        <f>D1925*Q1925</f>
        <v/>
      </c>
      <c r="S1925" s="27">
        <f>R1925*E1925</f>
        <v/>
      </c>
      <c r="T1925" s="27">
        <f>(R1925-S1925)*M1925</f>
        <v/>
      </c>
      <c r="U1925" s="27">
        <f>R1925-S1925-T1925</f>
        <v/>
      </c>
      <c r="V1925" s="27">
        <f>D1925*P1925</f>
        <v/>
      </c>
      <c r="W1925" s="27">
        <f>U1925-V1925</f>
        <v/>
      </c>
      <c r="X1925" s="28">
        <f>IFERROR(W1925/U1925,0)</f>
        <v/>
      </c>
    </row>
    <row r="1926">
      <c r="A1926" s="21">
        <f>ItensPedido!A1926</f>
        <v/>
      </c>
      <c r="B1926" s="21">
        <f>ItensPedido!B1926</f>
        <v/>
      </c>
      <c r="C1926" s="21">
        <f>ItensPedido!C1926</f>
        <v/>
      </c>
      <c r="D1926" s="21">
        <f>ItensPedido!D1926</f>
        <v/>
      </c>
      <c r="E1926" s="22">
        <f>ItensPedido!E1926</f>
        <v/>
      </c>
      <c r="F1926" s="21">
        <f>IFERROR(INDEX(Pedidos!$B$2:$B$1801,MATCH(B1926,Pedidos!$A$2:$A$1801,0)),0)</f>
        <v/>
      </c>
      <c r="G1926" s="21">
        <f>IF(F1926=0,"",YEAR(F1926))</f>
        <v/>
      </c>
      <c r="H1926" s="21">
        <f>IF(F1926=0,"",MONTH(F1926))</f>
        <v/>
      </c>
      <c r="I1926" s="21">
        <f>IFERROR(INDEX(Pedidos!$E$2:$E$1801,MATCH(B1926,Pedidos!$A$2:$A$1801,0)),"")</f>
        <v/>
      </c>
      <c r="J1926" s="21">
        <f>IFERROR(INDEX(Pedidos!$C$2:$C$1801,MATCH(B1926,Pedidos!$A$2:$A$1801,0)),"")</f>
        <v/>
      </c>
      <c r="K1926" s="21">
        <f>IFERROR(INDEX(Pedidos!$D$2:$D$1801,MATCH(B1926,Pedidos!$A$2:$A$1801,0)),"")</f>
        <v/>
      </c>
      <c r="L1926" s="21">
        <f>IFERROR(INDEX(Pedidos!$F$2:$F$1801,MATCH(B1926,Pedidos!$A$2:$A$1801,0)),"")</f>
        <v/>
      </c>
      <c r="M1926" s="22">
        <f>IFERROR(INDEX(Pedidos!$G$2:$G$1801,MATCH(B1926,Pedidos!$A$2:$A$1801,0)),0)</f>
        <v/>
      </c>
      <c r="N1926" s="21">
        <f>IFERROR(INDEX(Produtos!$B$2:$B$71,MATCH(C1926,Produtos!$A$2:$A$71,0)),"")</f>
        <v/>
      </c>
      <c r="O1926" s="21">
        <f>IFERROR(INDEX(Produtos!$C$2:$C$71,MATCH(C1926,Produtos!$A$2:$A$71,0)),"")</f>
        <v/>
      </c>
      <c r="P1926" s="21">
        <f>IFERROR(INDEX(Produtos!$D$2:$D$71,MATCH(C1926,Produtos!$A$2:$A$71,0)),0)</f>
        <v/>
      </c>
      <c r="Q1926" s="21">
        <f>IFERROR(INDEX(Produtos!$E$2:$E$71,MATCH(C1926,Produtos!$A$2:$A$71,0)),0)</f>
        <v/>
      </c>
      <c r="R1926" s="23">
        <f>D1926*Q1926</f>
        <v/>
      </c>
      <c r="S1926" s="23">
        <f>R1926*E1926</f>
        <v/>
      </c>
      <c r="T1926" s="23">
        <f>(R1926-S1926)*M1926</f>
        <v/>
      </c>
      <c r="U1926" s="23">
        <f>R1926-S1926-T1926</f>
        <v/>
      </c>
      <c r="V1926" s="23">
        <f>D1926*P1926</f>
        <v/>
      </c>
      <c r="W1926" s="23">
        <f>U1926-V1926</f>
        <v/>
      </c>
      <c r="X1926" s="24">
        <f>IFERROR(W1926/U1926,0)</f>
        <v/>
      </c>
    </row>
    <row r="1927">
      <c r="A1927" s="25">
        <f>ItensPedido!A1927</f>
        <v/>
      </c>
      <c r="B1927" s="25">
        <f>ItensPedido!B1927</f>
        <v/>
      </c>
      <c r="C1927" s="25">
        <f>ItensPedido!C1927</f>
        <v/>
      </c>
      <c r="D1927" s="25">
        <f>ItensPedido!D1927</f>
        <v/>
      </c>
      <c r="E1927" s="26">
        <f>ItensPedido!E1927</f>
        <v/>
      </c>
      <c r="F1927" s="25">
        <f>IFERROR(INDEX(Pedidos!$B$2:$B$1801,MATCH(B1927,Pedidos!$A$2:$A$1801,0)),0)</f>
        <v/>
      </c>
      <c r="G1927" s="25">
        <f>IF(F1927=0,"",YEAR(F1927))</f>
        <v/>
      </c>
      <c r="H1927" s="25">
        <f>IF(F1927=0,"",MONTH(F1927))</f>
        <v/>
      </c>
      <c r="I1927" s="25">
        <f>IFERROR(INDEX(Pedidos!$E$2:$E$1801,MATCH(B1927,Pedidos!$A$2:$A$1801,0)),"")</f>
        <v/>
      </c>
      <c r="J1927" s="25">
        <f>IFERROR(INDEX(Pedidos!$C$2:$C$1801,MATCH(B1927,Pedidos!$A$2:$A$1801,0)),"")</f>
        <v/>
      </c>
      <c r="K1927" s="25">
        <f>IFERROR(INDEX(Pedidos!$D$2:$D$1801,MATCH(B1927,Pedidos!$A$2:$A$1801,0)),"")</f>
        <v/>
      </c>
      <c r="L1927" s="25">
        <f>IFERROR(INDEX(Pedidos!$F$2:$F$1801,MATCH(B1927,Pedidos!$A$2:$A$1801,0)),"")</f>
        <v/>
      </c>
      <c r="M1927" s="26">
        <f>IFERROR(INDEX(Pedidos!$G$2:$G$1801,MATCH(B1927,Pedidos!$A$2:$A$1801,0)),0)</f>
        <v/>
      </c>
      <c r="N1927" s="25">
        <f>IFERROR(INDEX(Produtos!$B$2:$B$71,MATCH(C1927,Produtos!$A$2:$A$71,0)),"")</f>
        <v/>
      </c>
      <c r="O1927" s="25">
        <f>IFERROR(INDEX(Produtos!$C$2:$C$71,MATCH(C1927,Produtos!$A$2:$A$71,0)),"")</f>
        <v/>
      </c>
      <c r="P1927" s="25">
        <f>IFERROR(INDEX(Produtos!$D$2:$D$71,MATCH(C1927,Produtos!$A$2:$A$71,0)),0)</f>
        <v/>
      </c>
      <c r="Q1927" s="25">
        <f>IFERROR(INDEX(Produtos!$E$2:$E$71,MATCH(C1927,Produtos!$A$2:$A$71,0)),0)</f>
        <v/>
      </c>
      <c r="R1927" s="27">
        <f>D1927*Q1927</f>
        <v/>
      </c>
      <c r="S1927" s="27">
        <f>R1927*E1927</f>
        <v/>
      </c>
      <c r="T1927" s="27">
        <f>(R1927-S1927)*M1927</f>
        <v/>
      </c>
      <c r="U1927" s="27">
        <f>R1927-S1927-T1927</f>
        <v/>
      </c>
      <c r="V1927" s="27">
        <f>D1927*P1927</f>
        <v/>
      </c>
      <c r="W1927" s="27">
        <f>U1927-V1927</f>
        <v/>
      </c>
      <c r="X1927" s="28">
        <f>IFERROR(W1927/U1927,0)</f>
        <v/>
      </c>
    </row>
    <row r="1928">
      <c r="A1928" s="21">
        <f>ItensPedido!A1928</f>
        <v/>
      </c>
      <c r="B1928" s="21">
        <f>ItensPedido!B1928</f>
        <v/>
      </c>
      <c r="C1928" s="21">
        <f>ItensPedido!C1928</f>
        <v/>
      </c>
      <c r="D1928" s="21">
        <f>ItensPedido!D1928</f>
        <v/>
      </c>
      <c r="E1928" s="22">
        <f>ItensPedido!E1928</f>
        <v/>
      </c>
      <c r="F1928" s="21">
        <f>IFERROR(INDEX(Pedidos!$B$2:$B$1801,MATCH(B1928,Pedidos!$A$2:$A$1801,0)),0)</f>
        <v/>
      </c>
      <c r="G1928" s="21">
        <f>IF(F1928=0,"",YEAR(F1928))</f>
        <v/>
      </c>
      <c r="H1928" s="21">
        <f>IF(F1928=0,"",MONTH(F1928))</f>
        <v/>
      </c>
      <c r="I1928" s="21">
        <f>IFERROR(INDEX(Pedidos!$E$2:$E$1801,MATCH(B1928,Pedidos!$A$2:$A$1801,0)),"")</f>
        <v/>
      </c>
      <c r="J1928" s="21">
        <f>IFERROR(INDEX(Pedidos!$C$2:$C$1801,MATCH(B1928,Pedidos!$A$2:$A$1801,0)),"")</f>
        <v/>
      </c>
      <c r="K1928" s="21">
        <f>IFERROR(INDEX(Pedidos!$D$2:$D$1801,MATCH(B1928,Pedidos!$A$2:$A$1801,0)),"")</f>
        <v/>
      </c>
      <c r="L1928" s="21">
        <f>IFERROR(INDEX(Pedidos!$F$2:$F$1801,MATCH(B1928,Pedidos!$A$2:$A$1801,0)),"")</f>
        <v/>
      </c>
      <c r="M1928" s="22">
        <f>IFERROR(INDEX(Pedidos!$G$2:$G$1801,MATCH(B1928,Pedidos!$A$2:$A$1801,0)),0)</f>
        <v/>
      </c>
      <c r="N1928" s="21">
        <f>IFERROR(INDEX(Produtos!$B$2:$B$71,MATCH(C1928,Produtos!$A$2:$A$71,0)),"")</f>
        <v/>
      </c>
      <c r="O1928" s="21">
        <f>IFERROR(INDEX(Produtos!$C$2:$C$71,MATCH(C1928,Produtos!$A$2:$A$71,0)),"")</f>
        <v/>
      </c>
      <c r="P1928" s="21">
        <f>IFERROR(INDEX(Produtos!$D$2:$D$71,MATCH(C1928,Produtos!$A$2:$A$71,0)),0)</f>
        <v/>
      </c>
      <c r="Q1928" s="21">
        <f>IFERROR(INDEX(Produtos!$E$2:$E$71,MATCH(C1928,Produtos!$A$2:$A$71,0)),0)</f>
        <v/>
      </c>
      <c r="R1928" s="23">
        <f>D1928*Q1928</f>
        <v/>
      </c>
      <c r="S1928" s="23">
        <f>R1928*E1928</f>
        <v/>
      </c>
      <c r="T1928" s="23">
        <f>(R1928-S1928)*M1928</f>
        <v/>
      </c>
      <c r="U1928" s="23">
        <f>R1928-S1928-T1928</f>
        <v/>
      </c>
      <c r="V1928" s="23">
        <f>D1928*P1928</f>
        <v/>
      </c>
      <c r="W1928" s="23">
        <f>U1928-V1928</f>
        <v/>
      </c>
      <c r="X1928" s="24">
        <f>IFERROR(W1928/U1928,0)</f>
        <v/>
      </c>
    </row>
    <row r="1929">
      <c r="A1929" s="25">
        <f>ItensPedido!A1929</f>
        <v/>
      </c>
      <c r="B1929" s="25">
        <f>ItensPedido!B1929</f>
        <v/>
      </c>
      <c r="C1929" s="25">
        <f>ItensPedido!C1929</f>
        <v/>
      </c>
      <c r="D1929" s="25">
        <f>ItensPedido!D1929</f>
        <v/>
      </c>
      <c r="E1929" s="26">
        <f>ItensPedido!E1929</f>
        <v/>
      </c>
      <c r="F1929" s="25">
        <f>IFERROR(INDEX(Pedidos!$B$2:$B$1801,MATCH(B1929,Pedidos!$A$2:$A$1801,0)),0)</f>
        <v/>
      </c>
      <c r="G1929" s="25">
        <f>IF(F1929=0,"",YEAR(F1929))</f>
        <v/>
      </c>
      <c r="H1929" s="25">
        <f>IF(F1929=0,"",MONTH(F1929))</f>
        <v/>
      </c>
      <c r="I1929" s="25">
        <f>IFERROR(INDEX(Pedidos!$E$2:$E$1801,MATCH(B1929,Pedidos!$A$2:$A$1801,0)),"")</f>
        <v/>
      </c>
      <c r="J1929" s="25">
        <f>IFERROR(INDEX(Pedidos!$C$2:$C$1801,MATCH(B1929,Pedidos!$A$2:$A$1801,0)),"")</f>
        <v/>
      </c>
      <c r="K1929" s="25">
        <f>IFERROR(INDEX(Pedidos!$D$2:$D$1801,MATCH(B1929,Pedidos!$A$2:$A$1801,0)),"")</f>
        <v/>
      </c>
      <c r="L1929" s="25">
        <f>IFERROR(INDEX(Pedidos!$F$2:$F$1801,MATCH(B1929,Pedidos!$A$2:$A$1801,0)),"")</f>
        <v/>
      </c>
      <c r="M1929" s="26">
        <f>IFERROR(INDEX(Pedidos!$G$2:$G$1801,MATCH(B1929,Pedidos!$A$2:$A$1801,0)),0)</f>
        <v/>
      </c>
      <c r="N1929" s="25">
        <f>IFERROR(INDEX(Produtos!$B$2:$B$71,MATCH(C1929,Produtos!$A$2:$A$71,0)),"")</f>
        <v/>
      </c>
      <c r="O1929" s="25">
        <f>IFERROR(INDEX(Produtos!$C$2:$C$71,MATCH(C1929,Produtos!$A$2:$A$71,0)),"")</f>
        <v/>
      </c>
      <c r="P1929" s="25">
        <f>IFERROR(INDEX(Produtos!$D$2:$D$71,MATCH(C1929,Produtos!$A$2:$A$71,0)),0)</f>
        <v/>
      </c>
      <c r="Q1929" s="25">
        <f>IFERROR(INDEX(Produtos!$E$2:$E$71,MATCH(C1929,Produtos!$A$2:$A$71,0)),0)</f>
        <v/>
      </c>
      <c r="R1929" s="27">
        <f>D1929*Q1929</f>
        <v/>
      </c>
      <c r="S1929" s="27">
        <f>R1929*E1929</f>
        <v/>
      </c>
      <c r="T1929" s="27">
        <f>(R1929-S1929)*M1929</f>
        <v/>
      </c>
      <c r="U1929" s="27">
        <f>R1929-S1929-T1929</f>
        <v/>
      </c>
      <c r="V1929" s="27">
        <f>D1929*P1929</f>
        <v/>
      </c>
      <c r="W1929" s="27">
        <f>U1929-V1929</f>
        <v/>
      </c>
      <c r="X1929" s="28">
        <f>IFERROR(W1929/U1929,0)</f>
        <v/>
      </c>
    </row>
    <row r="1930">
      <c r="A1930" s="21">
        <f>ItensPedido!A1930</f>
        <v/>
      </c>
      <c r="B1930" s="21">
        <f>ItensPedido!B1930</f>
        <v/>
      </c>
      <c r="C1930" s="21">
        <f>ItensPedido!C1930</f>
        <v/>
      </c>
      <c r="D1930" s="21">
        <f>ItensPedido!D1930</f>
        <v/>
      </c>
      <c r="E1930" s="22">
        <f>ItensPedido!E1930</f>
        <v/>
      </c>
      <c r="F1930" s="21">
        <f>IFERROR(INDEX(Pedidos!$B$2:$B$1801,MATCH(B1930,Pedidos!$A$2:$A$1801,0)),0)</f>
        <v/>
      </c>
      <c r="G1930" s="21">
        <f>IF(F1930=0,"",YEAR(F1930))</f>
        <v/>
      </c>
      <c r="H1930" s="21">
        <f>IF(F1930=0,"",MONTH(F1930))</f>
        <v/>
      </c>
      <c r="I1930" s="21">
        <f>IFERROR(INDEX(Pedidos!$E$2:$E$1801,MATCH(B1930,Pedidos!$A$2:$A$1801,0)),"")</f>
        <v/>
      </c>
      <c r="J1930" s="21">
        <f>IFERROR(INDEX(Pedidos!$C$2:$C$1801,MATCH(B1930,Pedidos!$A$2:$A$1801,0)),"")</f>
        <v/>
      </c>
      <c r="K1930" s="21">
        <f>IFERROR(INDEX(Pedidos!$D$2:$D$1801,MATCH(B1930,Pedidos!$A$2:$A$1801,0)),"")</f>
        <v/>
      </c>
      <c r="L1930" s="21">
        <f>IFERROR(INDEX(Pedidos!$F$2:$F$1801,MATCH(B1930,Pedidos!$A$2:$A$1801,0)),"")</f>
        <v/>
      </c>
      <c r="M1930" s="22">
        <f>IFERROR(INDEX(Pedidos!$G$2:$G$1801,MATCH(B1930,Pedidos!$A$2:$A$1801,0)),0)</f>
        <v/>
      </c>
      <c r="N1930" s="21">
        <f>IFERROR(INDEX(Produtos!$B$2:$B$71,MATCH(C1930,Produtos!$A$2:$A$71,0)),"")</f>
        <v/>
      </c>
      <c r="O1930" s="21">
        <f>IFERROR(INDEX(Produtos!$C$2:$C$71,MATCH(C1930,Produtos!$A$2:$A$71,0)),"")</f>
        <v/>
      </c>
      <c r="P1930" s="21">
        <f>IFERROR(INDEX(Produtos!$D$2:$D$71,MATCH(C1930,Produtos!$A$2:$A$71,0)),0)</f>
        <v/>
      </c>
      <c r="Q1930" s="21">
        <f>IFERROR(INDEX(Produtos!$E$2:$E$71,MATCH(C1930,Produtos!$A$2:$A$71,0)),0)</f>
        <v/>
      </c>
      <c r="R1930" s="23">
        <f>D1930*Q1930</f>
        <v/>
      </c>
      <c r="S1930" s="23">
        <f>R1930*E1930</f>
        <v/>
      </c>
      <c r="T1930" s="23">
        <f>(R1930-S1930)*M1930</f>
        <v/>
      </c>
      <c r="U1930" s="23">
        <f>R1930-S1930-T1930</f>
        <v/>
      </c>
      <c r="V1930" s="23">
        <f>D1930*P1930</f>
        <v/>
      </c>
      <c r="W1930" s="23">
        <f>U1930-V1930</f>
        <v/>
      </c>
      <c r="X1930" s="24">
        <f>IFERROR(W1930/U1930,0)</f>
        <v/>
      </c>
    </row>
    <row r="1931">
      <c r="A1931" s="25">
        <f>ItensPedido!A1931</f>
        <v/>
      </c>
      <c r="B1931" s="25">
        <f>ItensPedido!B1931</f>
        <v/>
      </c>
      <c r="C1931" s="25">
        <f>ItensPedido!C1931</f>
        <v/>
      </c>
      <c r="D1931" s="25">
        <f>ItensPedido!D1931</f>
        <v/>
      </c>
      <c r="E1931" s="26">
        <f>ItensPedido!E1931</f>
        <v/>
      </c>
      <c r="F1931" s="25">
        <f>IFERROR(INDEX(Pedidos!$B$2:$B$1801,MATCH(B1931,Pedidos!$A$2:$A$1801,0)),0)</f>
        <v/>
      </c>
      <c r="G1931" s="25">
        <f>IF(F1931=0,"",YEAR(F1931))</f>
        <v/>
      </c>
      <c r="H1931" s="25">
        <f>IF(F1931=0,"",MONTH(F1931))</f>
        <v/>
      </c>
      <c r="I1931" s="25">
        <f>IFERROR(INDEX(Pedidos!$E$2:$E$1801,MATCH(B1931,Pedidos!$A$2:$A$1801,0)),"")</f>
        <v/>
      </c>
      <c r="J1931" s="25">
        <f>IFERROR(INDEX(Pedidos!$C$2:$C$1801,MATCH(B1931,Pedidos!$A$2:$A$1801,0)),"")</f>
        <v/>
      </c>
      <c r="K1931" s="25">
        <f>IFERROR(INDEX(Pedidos!$D$2:$D$1801,MATCH(B1931,Pedidos!$A$2:$A$1801,0)),"")</f>
        <v/>
      </c>
      <c r="L1931" s="25">
        <f>IFERROR(INDEX(Pedidos!$F$2:$F$1801,MATCH(B1931,Pedidos!$A$2:$A$1801,0)),"")</f>
        <v/>
      </c>
      <c r="M1931" s="26">
        <f>IFERROR(INDEX(Pedidos!$G$2:$G$1801,MATCH(B1931,Pedidos!$A$2:$A$1801,0)),0)</f>
        <v/>
      </c>
      <c r="N1931" s="25">
        <f>IFERROR(INDEX(Produtos!$B$2:$B$71,MATCH(C1931,Produtos!$A$2:$A$71,0)),"")</f>
        <v/>
      </c>
      <c r="O1931" s="25">
        <f>IFERROR(INDEX(Produtos!$C$2:$C$71,MATCH(C1931,Produtos!$A$2:$A$71,0)),"")</f>
        <v/>
      </c>
      <c r="P1931" s="25">
        <f>IFERROR(INDEX(Produtos!$D$2:$D$71,MATCH(C1931,Produtos!$A$2:$A$71,0)),0)</f>
        <v/>
      </c>
      <c r="Q1931" s="25">
        <f>IFERROR(INDEX(Produtos!$E$2:$E$71,MATCH(C1931,Produtos!$A$2:$A$71,0)),0)</f>
        <v/>
      </c>
      <c r="R1931" s="27">
        <f>D1931*Q1931</f>
        <v/>
      </c>
      <c r="S1931" s="27">
        <f>R1931*E1931</f>
        <v/>
      </c>
      <c r="T1931" s="27">
        <f>(R1931-S1931)*M1931</f>
        <v/>
      </c>
      <c r="U1931" s="27">
        <f>R1931-S1931-T1931</f>
        <v/>
      </c>
      <c r="V1931" s="27">
        <f>D1931*P1931</f>
        <v/>
      </c>
      <c r="W1931" s="27">
        <f>U1931-V1931</f>
        <v/>
      </c>
      <c r="X1931" s="28">
        <f>IFERROR(W1931/U1931,0)</f>
        <v/>
      </c>
    </row>
    <row r="1932">
      <c r="A1932" s="21">
        <f>ItensPedido!A1932</f>
        <v/>
      </c>
      <c r="B1932" s="21">
        <f>ItensPedido!B1932</f>
        <v/>
      </c>
      <c r="C1932" s="21">
        <f>ItensPedido!C1932</f>
        <v/>
      </c>
      <c r="D1932" s="21">
        <f>ItensPedido!D1932</f>
        <v/>
      </c>
      <c r="E1932" s="22">
        <f>ItensPedido!E1932</f>
        <v/>
      </c>
      <c r="F1932" s="21">
        <f>IFERROR(INDEX(Pedidos!$B$2:$B$1801,MATCH(B1932,Pedidos!$A$2:$A$1801,0)),0)</f>
        <v/>
      </c>
      <c r="G1932" s="21">
        <f>IF(F1932=0,"",YEAR(F1932))</f>
        <v/>
      </c>
      <c r="H1932" s="21">
        <f>IF(F1932=0,"",MONTH(F1932))</f>
        <v/>
      </c>
      <c r="I1932" s="21">
        <f>IFERROR(INDEX(Pedidos!$E$2:$E$1801,MATCH(B1932,Pedidos!$A$2:$A$1801,0)),"")</f>
        <v/>
      </c>
      <c r="J1932" s="21">
        <f>IFERROR(INDEX(Pedidos!$C$2:$C$1801,MATCH(B1932,Pedidos!$A$2:$A$1801,0)),"")</f>
        <v/>
      </c>
      <c r="K1932" s="21">
        <f>IFERROR(INDEX(Pedidos!$D$2:$D$1801,MATCH(B1932,Pedidos!$A$2:$A$1801,0)),"")</f>
        <v/>
      </c>
      <c r="L1932" s="21">
        <f>IFERROR(INDEX(Pedidos!$F$2:$F$1801,MATCH(B1932,Pedidos!$A$2:$A$1801,0)),"")</f>
        <v/>
      </c>
      <c r="M1932" s="22">
        <f>IFERROR(INDEX(Pedidos!$G$2:$G$1801,MATCH(B1932,Pedidos!$A$2:$A$1801,0)),0)</f>
        <v/>
      </c>
      <c r="N1932" s="21">
        <f>IFERROR(INDEX(Produtos!$B$2:$B$71,MATCH(C1932,Produtos!$A$2:$A$71,0)),"")</f>
        <v/>
      </c>
      <c r="O1932" s="21">
        <f>IFERROR(INDEX(Produtos!$C$2:$C$71,MATCH(C1932,Produtos!$A$2:$A$71,0)),"")</f>
        <v/>
      </c>
      <c r="P1932" s="21">
        <f>IFERROR(INDEX(Produtos!$D$2:$D$71,MATCH(C1932,Produtos!$A$2:$A$71,0)),0)</f>
        <v/>
      </c>
      <c r="Q1932" s="21">
        <f>IFERROR(INDEX(Produtos!$E$2:$E$71,MATCH(C1932,Produtos!$A$2:$A$71,0)),0)</f>
        <v/>
      </c>
      <c r="R1932" s="23">
        <f>D1932*Q1932</f>
        <v/>
      </c>
      <c r="S1932" s="23">
        <f>R1932*E1932</f>
        <v/>
      </c>
      <c r="T1932" s="23">
        <f>(R1932-S1932)*M1932</f>
        <v/>
      </c>
      <c r="U1932" s="23">
        <f>R1932-S1932-T1932</f>
        <v/>
      </c>
      <c r="V1932" s="23">
        <f>D1932*P1932</f>
        <v/>
      </c>
      <c r="W1932" s="23">
        <f>U1932-V1932</f>
        <v/>
      </c>
      <c r="X1932" s="24">
        <f>IFERROR(W1932/U1932,0)</f>
        <v/>
      </c>
    </row>
    <row r="1933">
      <c r="A1933" s="25">
        <f>ItensPedido!A1933</f>
        <v/>
      </c>
      <c r="B1933" s="25">
        <f>ItensPedido!B1933</f>
        <v/>
      </c>
      <c r="C1933" s="25">
        <f>ItensPedido!C1933</f>
        <v/>
      </c>
      <c r="D1933" s="25">
        <f>ItensPedido!D1933</f>
        <v/>
      </c>
      <c r="E1933" s="26">
        <f>ItensPedido!E1933</f>
        <v/>
      </c>
      <c r="F1933" s="25">
        <f>IFERROR(INDEX(Pedidos!$B$2:$B$1801,MATCH(B1933,Pedidos!$A$2:$A$1801,0)),0)</f>
        <v/>
      </c>
      <c r="G1933" s="25">
        <f>IF(F1933=0,"",YEAR(F1933))</f>
        <v/>
      </c>
      <c r="H1933" s="25">
        <f>IF(F1933=0,"",MONTH(F1933))</f>
        <v/>
      </c>
      <c r="I1933" s="25">
        <f>IFERROR(INDEX(Pedidos!$E$2:$E$1801,MATCH(B1933,Pedidos!$A$2:$A$1801,0)),"")</f>
        <v/>
      </c>
      <c r="J1933" s="25">
        <f>IFERROR(INDEX(Pedidos!$C$2:$C$1801,MATCH(B1933,Pedidos!$A$2:$A$1801,0)),"")</f>
        <v/>
      </c>
      <c r="K1933" s="25">
        <f>IFERROR(INDEX(Pedidos!$D$2:$D$1801,MATCH(B1933,Pedidos!$A$2:$A$1801,0)),"")</f>
        <v/>
      </c>
      <c r="L1933" s="25">
        <f>IFERROR(INDEX(Pedidos!$F$2:$F$1801,MATCH(B1933,Pedidos!$A$2:$A$1801,0)),"")</f>
        <v/>
      </c>
      <c r="M1933" s="26">
        <f>IFERROR(INDEX(Pedidos!$G$2:$G$1801,MATCH(B1933,Pedidos!$A$2:$A$1801,0)),0)</f>
        <v/>
      </c>
      <c r="N1933" s="25">
        <f>IFERROR(INDEX(Produtos!$B$2:$B$71,MATCH(C1933,Produtos!$A$2:$A$71,0)),"")</f>
        <v/>
      </c>
      <c r="O1933" s="25">
        <f>IFERROR(INDEX(Produtos!$C$2:$C$71,MATCH(C1933,Produtos!$A$2:$A$71,0)),"")</f>
        <v/>
      </c>
      <c r="P1933" s="25">
        <f>IFERROR(INDEX(Produtos!$D$2:$D$71,MATCH(C1933,Produtos!$A$2:$A$71,0)),0)</f>
        <v/>
      </c>
      <c r="Q1933" s="25">
        <f>IFERROR(INDEX(Produtos!$E$2:$E$71,MATCH(C1933,Produtos!$A$2:$A$71,0)),0)</f>
        <v/>
      </c>
      <c r="R1933" s="27">
        <f>D1933*Q1933</f>
        <v/>
      </c>
      <c r="S1933" s="27">
        <f>R1933*E1933</f>
        <v/>
      </c>
      <c r="T1933" s="27">
        <f>(R1933-S1933)*M1933</f>
        <v/>
      </c>
      <c r="U1933" s="27">
        <f>R1933-S1933-T1933</f>
        <v/>
      </c>
      <c r="V1933" s="27">
        <f>D1933*P1933</f>
        <v/>
      </c>
      <c r="W1933" s="27">
        <f>U1933-V1933</f>
        <v/>
      </c>
      <c r="X1933" s="28">
        <f>IFERROR(W1933/U1933,0)</f>
        <v/>
      </c>
    </row>
    <row r="1934">
      <c r="A1934" s="21">
        <f>ItensPedido!A1934</f>
        <v/>
      </c>
      <c r="B1934" s="21">
        <f>ItensPedido!B1934</f>
        <v/>
      </c>
      <c r="C1934" s="21">
        <f>ItensPedido!C1934</f>
        <v/>
      </c>
      <c r="D1934" s="21">
        <f>ItensPedido!D1934</f>
        <v/>
      </c>
      <c r="E1934" s="22">
        <f>ItensPedido!E1934</f>
        <v/>
      </c>
      <c r="F1934" s="21">
        <f>IFERROR(INDEX(Pedidos!$B$2:$B$1801,MATCH(B1934,Pedidos!$A$2:$A$1801,0)),0)</f>
        <v/>
      </c>
      <c r="G1934" s="21">
        <f>IF(F1934=0,"",YEAR(F1934))</f>
        <v/>
      </c>
      <c r="H1934" s="21">
        <f>IF(F1934=0,"",MONTH(F1934))</f>
        <v/>
      </c>
      <c r="I1934" s="21">
        <f>IFERROR(INDEX(Pedidos!$E$2:$E$1801,MATCH(B1934,Pedidos!$A$2:$A$1801,0)),"")</f>
        <v/>
      </c>
      <c r="J1934" s="21">
        <f>IFERROR(INDEX(Pedidos!$C$2:$C$1801,MATCH(B1934,Pedidos!$A$2:$A$1801,0)),"")</f>
        <v/>
      </c>
      <c r="K1934" s="21">
        <f>IFERROR(INDEX(Pedidos!$D$2:$D$1801,MATCH(B1934,Pedidos!$A$2:$A$1801,0)),"")</f>
        <v/>
      </c>
      <c r="L1934" s="21">
        <f>IFERROR(INDEX(Pedidos!$F$2:$F$1801,MATCH(B1934,Pedidos!$A$2:$A$1801,0)),"")</f>
        <v/>
      </c>
      <c r="M1934" s="22">
        <f>IFERROR(INDEX(Pedidos!$G$2:$G$1801,MATCH(B1934,Pedidos!$A$2:$A$1801,0)),0)</f>
        <v/>
      </c>
      <c r="N1934" s="21">
        <f>IFERROR(INDEX(Produtos!$B$2:$B$71,MATCH(C1934,Produtos!$A$2:$A$71,0)),"")</f>
        <v/>
      </c>
      <c r="O1934" s="21">
        <f>IFERROR(INDEX(Produtos!$C$2:$C$71,MATCH(C1934,Produtos!$A$2:$A$71,0)),"")</f>
        <v/>
      </c>
      <c r="P1934" s="21">
        <f>IFERROR(INDEX(Produtos!$D$2:$D$71,MATCH(C1934,Produtos!$A$2:$A$71,0)),0)</f>
        <v/>
      </c>
      <c r="Q1934" s="21">
        <f>IFERROR(INDEX(Produtos!$E$2:$E$71,MATCH(C1934,Produtos!$A$2:$A$71,0)),0)</f>
        <v/>
      </c>
      <c r="R1934" s="23">
        <f>D1934*Q1934</f>
        <v/>
      </c>
      <c r="S1934" s="23">
        <f>R1934*E1934</f>
        <v/>
      </c>
      <c r="T1934" s="23">
        <f>(R1934-S1934)*M1934</f>
        <v/>
      </c>
      <c r="U1934" s="23">
        <f>R1934-S1934-T1934</f>
        <v/>
      </c>
      <c r="V1934" s="23">
        <f>D1934*P1934</f>
        <v/>
      </c>
      <c r="W1934" s="23">
        <f>U1934-V1934</f>
        <v/>
      </c>
      <c r="X1934" s="24">
        <f>IFERROR(W1934/U1934,0)</f>
        <v/>
      </c>
    </row>
    <row r="1935">
      <c r="A1935" s="25">
        <f>ItensPedido!A1935</f>
        <v/>
      </c>
      <c r="B1935" s="25">
        <f>ItensPedido!B1935</f>
        <v/>
      </c>
      <c r="C1935" s="25">
        <f>ItensPedido!C1935</f>
        <v/>
      </c>
      <c r="D1935" s="25">
        <f>ItensPedido!D1935</f>
        <v/>
      </c>
      <c r="E1935" s="26">
        <f>ItensPedido!E1935</f>
        <v/>
      </c>
      <c r="F1935" s="25">
        <f>IFERROR(INDEX(Pedidos!$B$2:$B$1801,MATCH(B1935,Pedidos!$A$2:$A$1801,0)),0)</f>
        <v/>
      </c>
      <c r="G1935" s="25">
        <f>IF(F1935=0,"",YEAR(F1935))</f>
        <v/>
      </c>
      <c r="H1935" s="25">
        <f>IF(F1935=0,"",MONTH(F1935))</f>
        <v/>
      </c>
      <c r="I1935" s="25">
        <f>IFERROR(INDEX(Pedidos!$E$2:$E$1801,MATCH(B1935,Pedidos!$A$2:$A$1801,0)),"")</f>
        <v/>
      </c>
      <c r="J1935" s="25">
        <f>IFERROR(INDEX(Pedidos!$C$2:$C$1801,MATCH(B1935,Pedidos!$A$2:$A$1801,0)),"")</f>
        <v/>
      </c>
      <c r="K1935" s="25">
        <f>IFERROR(INDEX(Pedidos!$D$2:$D$1801,MATCH(B1935,Pedidos!$A$2:$A$1801,0)),"")</f>
        <v/>
      </c>
      <c r="L1935" s="25">
        <f>IFERROR(INDEX(Pedidos!$F$2:$F$1801,MATCH(B1935,Pedidos!$A$2:$A$1801,0)),"")</f>
        <v/>
      </c>
      <c r="M1935" s="26">
        <f>IFERROR(INDEX(Pedidos!$G$2:$G$1801,MATCH(B1935,Pedidos!$A$2:$A$1801,0)),0)</f>
        <v/>
      </c>
      <c r="N1935" s="25">
        <f>IFERROR(INDEX(Produtos!$B$2:$B$71,MATCH(C1935,Produtos!$A$2:$A$71,0)),"")</f>
        <v/>
      </c>
      <c r="O1935" s="25">
        <f>IFERROR(INDEX(Produtos!$C$2:$C$71,MATCH(C1935,Produtos!$A$2:$A$71,0)),"")</f>
        <v/>
      </c>
      <c r="P1935" s="25">
        <f>IFERROR(INDEX(Produtos!$D$2:$D$71,MATCH(C1935,Produtos!$A$2:$A$71,0)),0)</f>
        <v/>
      </c>
      <c r="Q1935" s="25">
        <f>IFERROR(INDEX(Produtos!$E$2:$E$71,MATCH(C1935,Produtos!$A$2:$A$71,0)),0)</f>
        <v/>
      </c>
      <c r="R1935" s="27">
        <f>D1935*Q1935</f>
        <v/>
      </c>
      <c r="S1935" s="27">
        <f>R1935*E1935</f>
        <v/>
      </c>
      <c r="T1935" s="27">
        <f>(R1935-S1935)*M1935</f>
        <v/>
      </c>
      <c r="U1935" s="27">
        <f>R1935-S1935-T1935</f>
        <v/>
      </c>
      <c r="V1935" s="27">
        <f>D1935*P1935</f>
        <v/>
      </c>
      <c r="W1935" s="27">
        <f>U1935-V1935</f>
        <v/>
      </c>
      <c r="X1935" s="28">
        <f>IFERROR(W1935/U1935,0)</f>
        <v/>
      </c>
    </row>
    <row r="1936">
      <c r="A1936" s="21">
        <f>ItensPedido!A1936</f>
        <v/>
      </c>
      <c r="B1936" s="21">
        <f>ItensPedido!B1936</f>
        <v/>
      </c>
      <c r="C1936" s="21">
        <f>ItensPedido!C1936</f>
        <v/>
      </c>
      <c r="D1936" s="21">
        <f>ItensPedido!D1936</f>
        <v/>
      </c>
      <c r="E1936" s="22">
        <f>ItensPedido!E1936</f>
        <v/>
      </c>
      <c r="F1936" s="21">
        <f>IFERROR(INDEX(Pedidos!$B$2:$B$1801,MATCH(B1936,Pedidos!$A$2:$A$1801,0)),0)</f>
        <v/>
      </c>
      <c r="G1936" s="21">
        <f>IF(F1936=0,"",YEAR(F1936))</f>
        <v/>
      </c>
      <c r="H1936" s="21">
        <f>IF(F1936=0,"",MONTH(F1936))</f>
        <v/>
      </c>
      <c r="I1936" s="21">
        <f>IFERROR(INDEX(Pedidos!$E$2:$E$1801,MATCH(B1936,Pedidos!$A$2:$A$1801,0)),"")</f>
        <v/>
      </c>
      <c r="J1936" s="21">
        <f>IFERROR(INDEX(Pedidos!$C$2:$C$1801,MATCH(B1936,Pedidos!$A$2:$A$1801,0)),"")</f>
        <v/>
      </c>
      <c r="K1936" s="21">
        <f>IFERROR(INDEX(Pedidos!$D$2:$D$1801,MATCH(B1936,Pedidos!$A$2:$A$1801,0)),"")</f>
        <v/>
      </c>
      <c r="L1936" s="21">
        <f>IFERROR(INDEX(Pedidos!$F$2:$F$1801,MATCH(B1936,Pedidos!$A$2:$A$1801,0)),"")</f>
        <v/>
      </c>
      <c r="M1936" s="22">
        <f>IFERROR(INDEX(Pedidos!$G$2:$G$1801,MATCH(B1936,Pedidos!$A$2:$A$1801,0)),0)</f>
        <v/>
      </c>
      <c r="N1936" s="21">
        <f>IFERROR(INDEX(Produtos!$B$2:$B$71,MATCH(C1936,Produtos!$A$2:$A$71,0)),"")</f>
        <v/>
      </c>
      <c r="O1936" s="21">
        <f>IFERROR(INDEX(Produtos!$C$2:$C$71,MATCH(C1936,Produtos!$A$2:$A$71,0)),"")</f>
        <v/>
      </c>
      <c r="P1936" s="21">
        <f>IFERROR(INDEX(Produtos!$D$2:$D$71,MATCH(C1936,Produtos!$A$2:$A$71,0)),0)</f>
        <v/>
      </c>
      <c r="Q1936" s="21">
        <f>IFERROR(INDEX(Produtos!$E$2:$E$71,MATCH(C1936,Produtos!$A$2:$A$71,0)),0)</f>
        <v/>
      </c>
      <c r="R1936" s="23">
        <f>D1936*Q1936</f>
        <v/>
      </c>
      <c r="S1936" s="23">
        <f>R1936*E1936</f>
        <v/>
      </c>
      <c r="T1936" s="23">
        <f>(R1936-S1936)*M1936</f>
        <v/>
      </c>
      <c r="U1936" s="23">
        <f>R1936-S1936-T1936</f>
        <v/>
      </c>
      <c r="V1936" s="23">
        <f>D1936*P1936</f>
        <v/>
      </c>
      <c r="W1936" s="23">
        <f>U1936-V1936</f>
        <v/>
      </c>
      <c r="X1936" s="24">
        <f>IFERROR(W1936/U1936,0)</f>
        <v/>
      </c>
    </row>
    <row r="1937">
      <c r="A1937" s="25">
        <f>ItensPedido!A1937</f>
        <v/>
      </c>
      <c r="B1937" s="25">
        <f>ItensPedido!B1937</f>
        <v/>
      </c>
      <c r="C1937" s="25">
        <f>ItensPedido!C1937</f>
        <v/>
      </c>
      <c r="D1937" s="25">
        <f>ItensPedido!D1937</f>
        <v/>
      </c>
      <c r="E1937" s="26">
        <f>ItensPedido!E1937</f>
        <v/>
      </c>
      <c r="F1937" s="25">
        <f>IFERROR(INDEX(Pedidos!$B$2:$B$1801,MATCH(B1937,Pedidos!$A$2:$A$1801,0)),0)</f>
        <v/>
      </c>
      <c r="G1937" s="25">
        <f>IF(F1937=0,"",YEAR(F1937))</f>
        <v/>
      </c>
      <c r="H1937" s="25">
        <f>IF(F1937=0,"",MONTH(F1937))</f>
        <v/>
      </c>
      <c r="I1937" s="25">
        <f>IFERROR(INDEX(Pedidos!$E$2:$E$1801,MATCH(B1937,Pedidos!$A$2:$A$1801,0)),"")</f>
        <v/>
      </c>
      <c r="J1937" s="25">
        <f>IFERROR(INDEX(Pedidos!$C$2:$C$1801,MATCH(B1937,Pedidos!$A$2:$A$1801,0)),"")</f>
        <v/>
      </c>
      <c r="K1937" s="25">
        <f>IFERROR(INDEX(Pedidos!$D$2:$D$1801,MATCH(B1937,Pedidos!$A$2:$A$1801,0)),"")</f>
        <v/>
      </c>
      <c r="L1937" s="25">
        <f>IFERROR(INDEX(Pedidos!$F$2:$F$1801,MATCH(B1937,Pedidos!$A$2:$A$1801,0)),"")</f>
        <v/>
      </c>
      <c r="M1937" s="26">
        <f>IFERROR(INDEX(Pedidos!$G$2:$G$1801,MATCH(B1937,Pedidos!$A$2:$A$1801,0)),0)</f>
        <v/>
      </c>
      <c r="N1937" s="25">
        <f>IFERROR(INDEX(Produtos!$B$2:$B$71,MATCH(C1937,Produtos!$A$2:$A$71,0)),"")</f>
        <v/>
      </c>
      <c r="O1937" s="25">
        <f>IFERROR(INDEX(Produtos!$C$2:$C$71,MATCH(C1937,Produtos!$A$2:$A$71,0)),"")</f>
        <v/>
      </c>
      <c r="P1937" s="25">
        <f>IFERROR(INDEX(Produtos!$D$2:$D$71,MATCH(C1937,Produtos!$A$2:$A$71,0)),0)</f>
        <v/>
      </c>
      <c r="Q1937" s="25">
        <f>IFERROR(INDEX(Produtos!$E$2:$E$71,MATCH(C1937,Produtos!$A$2:$A$71,0)),0)</f>
        <v/>
      </c>
      <c r="R1937" s="27">
        <f>D1937*Q1937</f>
        <v/>
      </c>
      <c r="S1937" s="27">
        <f>R1937*E1937</f>
        <v/>
      </c>
      <c r="T1937" s="27">
        <f>(R1937-S1937)*M1937</f>
        <v/>
      </c>
      <c r="U1937" s="27">
        <f>R1937-S1937-T1937</f>
        <v/>
      </c>
      <c r="V1937" s="27">
        <f>D1937*P1937</f>
        <v/>
      </c>
      <c r="W1937" s="27">
        <f>U1937-V1937</f>
        <v/>
      </c>
      <c r="X1937" s="28">
        <f>IFERROR(W1937/U1937,0)</f>
        <v/>
      </c>
    </row>
    <row r="1938">
      <c r="A1938" s="21">
        <f>ItensPedido!A1938</f>
        <v/>
      </c>
      <c r="B1938" s="21">
        <f>ItensPedido!B1938</f>
        <v/>
      </c>
      <c r="C1938" s="21">
        <f>ItensPedido!C1938</f>
        <v/>
      </c>
      <c r="D1938" s="21">
        <f>ItensPedido!D1938</f>
        <v/>
      </c>
      <c r="E1938" s="22">
        <f>ItensPedido!E1938</f>
        <v/>
      </c>
      <c r="F1938" s="21">
        <f>IFERROR(INDEX(Pedidos!$B$2:$B$1801,MATCH(B1938,Pedidos!$A$2:$A$1801,0)),0)</f>
        <v/>
      </c>
      <c r="G1938" s="21">
        <f>IF(F1938=0,"",YEAR(F1938))</f>
        <v/>
      </c>
      <c r="H1938" s="21">
        <f>IF(F1938=0,"",MONTH(F1938))</f>
        <v/>
      </c>
      <c r="I1938" s="21">
        <f>IFERROR(INDEX(Pedidos!$E$2:$E$1801,MATCH(B1938,Pedidos!$A$2:$A$1801,0)),"")</f>
        <v/>
      </c>
      <c r="J1938" s="21">
        <f>IFERROR(INDEX(Pedidos!$C$2:$C$1801,MATCH(B1938,Pedidos!$A$2:$A$1801,0)),"")</f>
        <v/>
      </c>
      <c r="K1938" s="21">
        <f>IFERROR(INDEX(Pedidos!$D$2:$D$1801,MATCH(B1938,Pedidos!$A$2:$A$1801,0)),"")</f>
        <v/>
      </c>
      <c r="L1938" s="21">
        <f>IFERROR(INDEX(Pedidos!$F$2:$F$1801,MATCH(B1938,Pedidos!$A$2:$A$1801,0)),"")</f>
        <v/>
      </c>
      <c r="M1938" s="22">
        <f>IFERROR(INDEX(Pedidos!$G$2:$G$1801,MATCH(B1938,Pedidos!$A$2:$A$1801,0)),0)</f>
        <v/>
      </c>
      <c r="N1938" s="21">
        <f>IFERROR(INDEX(Produtos!$B$2:$B$71,MATCH(C1938,Produtos!$A$2:$A$71,0)),"")</f>
        <v/>
      </c>
      <c r="O1938" s="21">
        <f>IFERROR(INDEX(Produtos!$C$2:$C$71,MATCH(C1938,Produtos!$A$2:$A$71,0)),"")</f>
        <v/>
      </c>
      <c r="P1938" s="21">
        <f>IFERROR(INDEX(Produtos!$D$2:$D$71,MATCH(C1938,Produtos!$A$2:$A$71,0)),0)</f>
        <v/>
      </c>
      <c r="Q1938" s="21">
        <f>IFERROR(INDEX(Produtos!$E$2:$E$71,MATCH(C1938,Produtos!$A$2:$A$71,0)),0)</f>
        <v/>
      </c>
      <c r="R1938" s="23">
        <f>D1938*Q1938</f>
        <v/>
      </c>
      <c r="S1938" s="23">
        <f>R1938*E1938</f>
        <v/>
      </c>
      <c r="T1938" s="23">
        <f>(R1938-S1938)*M1938</f>
        <v/>
      </c>
      <c r="U1938" s="23">
        <f>R1938-S1938-T1938</f>
        <v/>
      </c>
      <c r="V1938" s="23">
        <f>D1938*P1938</f>
        <v/>
      </c>
      <c r="W1938" s="23">
        <f>U1938-V1938</f>
        <v/>
      </c>
      <c r="X1938" s="24">
        <f>IFERROR(W1938/U1938,0)</f>
        <v/>
      </c>
    </row>
    <row r="1939">
      <c r="A1939" s="25">
        <f>ItensPedido!A1939</f>
        <v/>
      </c>
      <c r="B1939" s="25">
        <f>ItensPedido!B1939</f>
        <v/>
      </c>
      <c r="C1939" s="25">
        <f>ItensPedido!C1939</f>
        <v/>
      </c>
      <c r="D1939" s="25">
        <f>ItensPedido!D1939</f>
        <v/>
      </c>
      <c r="E1939" s="26">
        <f>ItensPedido!E1939</f>
        <v/>
      </c>
      <c r="F1939" s="25">
        <f>IFERROR(INDEX(Pedidos!$B$2:$B$1801,MATCH(B1939,Pedidos!$A$2:$A$1801,0)),0)</f>
        <v/>
      </c>
      <c r="G1939" s="25">
        <f>IF(F1939=0,"",YEAR(F1939))</f>
        <v/>
      </c>
      <c r="H1939" s="25">
        <f>IF(F1939=0,"",MONTH(F1939))</f>
        <v/>
      </c>
      <c r="I1939" s="25">
        <f>IFERROR(INDEX(Pedidos!$E$2:$E$1801,MATCH(B1939,Pedidos!$A$2:$A$1801,0)),"")</f>
        <v/>
      </c>
      <c r="J1939" s="25">
        <f>IFERROR(INDEX(Pedidos!$C$2:$C$1801,MATCH(B1939,Pedidos!$A$2:$A$1801,0)),"")</f>
        <v/>
      </c>
      <c r="K1939" s="25">
        <f>IFERROR(INDEX(Pedidos!$D$2:$D$1801,MATCH(B1939,Pedidos!$A$2:$A$1801,0)),"")</f>
        <v/>
      </c>
      <c r="L1939" s="25">
        <f>IFERROR(INDEX(Pedidos!$F$2:$F$1801,MATCH(B1939,Pedidos!$A$2:$A$1801,0)),"")</f>
        <v/>
      </c>
      <c r="M1939" s="26">
        <f>IFERROR(INDEX(Pedidos!$G$2:$G$1801,MATCH(B1939,Pedidos!$A$2:$A$1801,0)),0)</f>
        <v/>
      </c>
      <c r="N1939" s="25">
        <f>IFERROR(INDEX(Produtos!$B$2:$B$71,MATCH(C1939,Produtos!$A$2:$A$71,0)),"")</f>
        <v/>
      </c>
      <c r="O1939" s="25">
        <f>IFERROR(INDEX(Produtos!$C$2:$C$71,MATCH(C1939,Produtos!$A$2:$A$71,0)),"")</f>
        <v/>
      </c>
      <c r="P1939" s="25">
        <f>IFERROR(INDEX(Produtos!$D$2:$D$71,MATCH(C1939,Produtos!$A$2:$A$71,0)),0)</f>
        <v/>
      </c>
      <c r="Q1939" s="25">
        <f>IFERROR(INDEX(Produtos!$E$2:$E$71,MATCH(C1939,Produtos!$A$2:$A$71,0)),0)</f>
        <v/>
      </c>
      <c r="R1939" s="27">
        <f>D1939*Q1939</f>
        <v/>
      </c>
      <c r="S1939" s="27">
        <f>R1939*E1939</f>
        <v/>
      </c>
      <c r="T1939" s="27">
        <f>(R1939-S1939)*M1939</f>
        <v/>
      </c>
      <c r="U1939" s="27">
        <f>R1939-S1939-T1939</f>
        <v/>
      </c>
      <c r="V1939" s="27">
        <f>D1939*P1939</f>
        <v/>
      </c>
      <c r="W1939" s="27">
        <f>U1939-V1939</f>
        <v/>
      </c>
      <c r="X1939" s="28">
        <f>IFERROR(W1939/U1939,0)</f>
        <v/>
      </c>
    </row>
    <row r="1940">
      <c r="A1940" s="21">
        <f>ItensPedido!A1940</f>
        <v/>
      </c>
      <c r="B1940" s="21">
        <f>ItensPedido!B1940</f>
        <v/>
      </c>
      <c r="C1940" s="21">
        <f>ItensPedido!C1940</f>
        <v/>
      </c>
      <c r="D1940" s="21">
        <f>ItensPedido!D1940</f>
        <v/>
      </c>
      <c r="E1940" s="22">
        <f>ItensPedido!E1940</f>
        <v/>
      </c>
      <c r="F1940" s="21">
        <f>IFERROR(INDEX(Pedidos!$B$2:$B$1801,MATCH(B1940,Pedidos!$A$2:$A$1801,0)),0)</f>
        <v/>
      </c>
      <c r="G1940" s="21">
        <f>IF(F1940=0,"",YEAR(F1940))</f>
        <v/>
      </c>
      <c r="H1940" s="21">
        <f>IF(F1940=0,"",MONTH(F1940))</f>
        <v/>
      </c>
      <c r="I1940" s="21">
        <f>IFERROR(INDEX(Pedidos!$E$2:$E$1801,MATCH(B1940,Pedidos!$A$2:$A$1801,0)),"")</f>
        <v/>
      </c>
      <c r="J1940" s="21">
        <f>IFERROR(INDEX(Pedidos!$C$2:$C$1801,MATCH(B1940,Pedidos!$A$2:$A$1801,0)),"")</f>
        <v/>
      </c>
      <c r="K1940" s="21">
        <f>IFERROR(INDEX(Pedidos!$D$2:$D$1801,MATCH(B1940,Pedidos!$A$2:$A$1801,0)),"")</f>
        <v/>
      </c>
      <c r="L1940" s="21">
        <f>IFERROR(INDEX(Pedidos!$F$2:$F$1801,MATCH(B1940,Pedidos!$A$2:$A$1801,0)),"")</f>
        <v/>
      </c>
      <c r="M1940" s="22">
        <f>IFERROR(INDEX(Pedidos!$G$2:$G$1801,MATCH(B1940,Pedidos!$A$2:$A$1801,0)),0)</f>
        <v/>
      </c>
      <c r="N1940" s="21">
        <f>IFERROR(INDEX(Produtos!$B$2:$B$71,MATCH(C1940,Produtos!$A$2:$A$71,0)),"")</f>
        <v/>
      </c>
      <c r="O1940" s="21">
        <f>IFERROR(INDEX(Produtos!$C$2:$C$71,MATCH(C1940,Produtos!$A$2:$A$71,0)),"")</f>
        <v/>
      </c>
      <c r="P1940" s="21">
        <f>IFERROR(INDEX(Produtos!$D$2:$D$71,MATCH(C1940,Produtos!$A$2:$A$71,0)),0)</f>
        <v/>
      </c>
      <c r="Q1940" s="21">
        <f>IFERROR(INDEX(Produtos!$E$2:$E$71,MATCH(C1940,Produtos!$A$2:$A$71,0)),0)</f>
        <v/>
      </c>
      <c r="R1940" s="23">
        <f>D1940*Q1940</f>
        <v/>
      </c>
      <c r="S1940" s="23">
        <f>R1940*E1940</f>
        <v/>
      </c>
      <c r="T1940" s="23">
        <f>(R1940-S1940)*M1940</f>
        <v/>
      </c>
      <c r="U1940" s="23">
        <f>R1940-S1940-T1940</f>
        <v/>
      </c>
      <c r="V1940" s="23">
        <f>D1940*P1940</f>
        <v/>
      </c>
      <c r="W1940" s="23">
        <f>U1940-V1940</f>
        <v/>
      </c>
      <c r="X1940" s="24">
        <f>IFERROR(W1940/U1940,0)</f>
        <v/>
      </c>
    </row>
    <row r="1941">
      <c r="A1941" s="25">
        <f>ItensPedido!A1941</f>
        <v/>
      </c>
      <c r="B1941" s="25">
        <f>ItensPedido!B1941</f>
        <v/>
      </c>
      <c r="C1941" s="25">
        <f>ItensPedido!C1941</f>
        <v/>
      </c>
      <c r="D1941" s="25">
        <f>ItensPedido!D1941</f>
        <v/>
      </c>
      <c r="E1941" s="26">
        <f>ItensPedido!E1941</f>
        <v/>
      </c>
      <c r="F1941" s="25">
        <f>IFERROR(INDEX(Pedidos!$B$2:$B$1801,MATCH(B1941,Pedidos!$A$2:$A$1801,0)),0)</f>
        <v/>
      </c>
      <c r="G1941" s="25">
        <f>IF(F1941=0,"",YEAR(F1941))</f>
        <v/>
      </c>
      <c r="H1941" s="25">
        <f>IF(F1941=0,"",MONTH(F1941))</f>
        <v/>
      </c>
      <c r="I1941" s="25">
        <f>IFERROR(INDEX(Pedidos!$E$2:$E$1801,MATCH(B1941,Pedidos!$A$2:$A$1801,0)),"")</f>
        <v/>
      </c>
      <c r="J1941" s="25">
        <f>IFERROR(INDEX(Pedidos!$C$2:$C$1801,MATCH(B1941,Pedidos!$A$2:$A$1801,0)),"")</f>
        <v/>
      </c>
      <c r="K1941" s="25">
        <f>IFERROR(INDEX(Pedidos!$D$2:$D$1801,MATCH(B1941,Pedidos!$A$2:$A$1801,0)),"")</f>
        <v/>
      </c>
      <c r="L1941" s="25">
        <f>IFERROR(INDEX(Pedidos!$F$2:$F$1801,MATCH(B1941,Pedidos!$A$2:$A$1801,0)),"")</f>
        <v/>
      </c>
      <c r="M1941" s="26">
        <f>IFERROR(INDEX(Pedidos!$G$2:$G$1801,MATCH(B1941,Pedidos!$A$2:$A$1801,0)),0)</f>
        <v/>
      </c>
      <c r="N1941" s="25">
        <f>IFERROR(INDEX(Produtos!$B$2:$B$71,MATCH(C1941,Produtos!$A$2:$A$71,0)),"")</f>
        <v/>
      </c>
      <c r="O1941" s="25">
        <f>IFERROR(INDEX(Produtos!$C$2:$C$71,MATCH(C1941,Produtos!$A$2:$A$71,0)),"")</f>
        <v/>
      </c>
      <c r="P1941" s="25">
        <f>IFERROR(INDEX(Produtos!$D$2:$D$71,MATCH(C1941,Produtos!$A$2:$A$71,0)),0)</f>
        <v/>
      </c>
      <c r="Q1941" s="25">
        <f>IFERROR(INDEX(Produtos!$E$2:$E$71,MATCH(C1941,Produtos!$A$2:$A$71,0)),0)</f>
        <v/>
      </c>
      <c r="R1941" s="27">
        <f>D1941*Q1941</f>
        <v/>
      </c>
      <c r="S1941" s="27">
        <f>R1941*E1941</f>
        <v/>
      </c>
      <c r="T1941" s="27">
        <f>(R1941-S1941)*M1941</f>
        <v/>
      </c>
      <c r="U1941" s="27">
        <f>R1941-S1941-T1941</f>
        <v/>
      </c>
      <c r="V1941" s="27">
        <f>D1941*P1941</f>
        <v/>
      </c>
      <c r="W1941" s="27">
        <f>U1941-V1941</f>
        <v/>
      </c>
      <c r="X1941" s="28">
        <f>IFERROR(W1941/U1941,0)</f>
        <v/>
      </c>
    </row>
    <row r="1942">
      <c r="A1942" s="21">
        <f>ItensPedido!A1942</f>
        <v/>
      </c>
      <c r="B1942" s="21">
        <f>ItensPedido!B1942</f>
        <v/>
      </c>
      <c r="C1942" s="21">
        <f>ItensPedido!C1942</f>
        <v/>
      </c>
      <c r="D1942" s="21">
        <f>ItensPedido!D1942</f>
        <v/>
      </c>
      <c r="E1942" s="22">
        <f>ItensPedido!E1942</f>
        <v/>
      </c>
      <c r="F1942" s="21">
        <f>IFERROR(INDEX(Pedidos!$B$2:$B$1801,MATCH(B1942,Pedidos!$A$2:$A$1801,0)),0)</f>
        <v/>
      </c>
      <c r="G1942" s="21">
        <f>IF(F1942=0,"",YEAR(F1942))</f>
        <v/>
      </c>
      <c r="H1942" s="21">
        <f>IF(F1942=0,"",MONTH(F1942))</f>
        <v/>
      </c>
      <c r="I1942" s="21">
        <f>IFERROR(INDEX(Pedidos!$E$2:$E$1801,MATCH(B1942,Pedidos!$A$2:$A$1801,0)),"")</f>
        <v/>
      </c>
      <c r="J1942" s="21">
        <f>IFERROR(INDEX(Pedidos!$C$2:$C$1801,MATCH(B1942,Pedidos!$A$2:$A$1801,0)),"")</f>
        <v/>
      </c>
      <c r="K1942" s="21">
        <f>IFERROR(INDEX(Pedidos!$D$2:$D$1801,MATCH(B1942,Pedidos!$A$2:$A$1801,0)),"")</f>
        <v/>
      </c>
      <c r="L1942" s="21">
        <f>IFERROR(INDEX(Pedidos!$F$2:$F$1801,MATCH(B1942,Pedidos!$A$2:$A$1801,0)),"")</f>
        <v/>
      </c>
      <c r="M1942" s="22">
        <f>IFERROR(INDEX(Pedidos!$G$2:$G$1801,MATCH(B1942,Pedidos!$A$2:$A$1801,0)),0)</f>
        <v/>
      </c>
      <c r="N1942" s="21">
        <f>IFERROR(INDEX(Produtos!$B$2:$B$71,MATCH(C1942,Produtos!$A$2:$A$71,0)),"")</f>
        <v/>
      </c>
      <c r="O1942" s="21">
        <f>IFERROR(INDEX(Produtos!$C$2:$C$71,MATCH(C1942,Produtos!$A$2:$A$71,0)),"")</f>
        <v/>
      </c>
      <c r="P1942" s="21">
        <f>IFERROR(INDEX(Produtos!$D$2:$D$71,MATCH(C1942,Produtos!$A$2:$A$71,0)),0)</f>
        <v/>
      </c>
      <c r="Q1942" s="21">
        <f>IFERROR(INDEX(Produtos!$E$2:$E$71,MATCH(C1942,Produtos!$A$2:$A$71,0)),0)</f>
        <v/>
      </c>
      <c r="R1942" s="23">
        <f>D1942*Q1942</f>
        <v/>
      </c>
      <c r="S1942" s="23">
        <f>R1942*E1942</f>
        <v/>
      </c>
      <c r="T1942" s="23">
        <f>(R1942-S1942)*M1942</f>
        <v/>
      </c>
      <c r="U1942" s="23">
        <f>R1942-S1942-T1942</f>
        <v/>
      </c>
      <c r="V1942" s="23">
        <f>D1942*P1942</f>
        <v/>
      </c>
      <c r="W1942" s="23">
        <f>U1942-V1942</f>
        <v/>
      </c>
      <c r="X1942" s="24">
        <f>IFERROR(W1942/U1942,0)</f>
        <v/>
      </c>
    </row>
    <row r="1943">
      <c r="A1943" s="25">
        <f>ItensPedido!A1943</f>
        <v/>
      </c>
      <c r="B1943" s="25">
        <f>ItensPedido!B1943</f>
        <v/>
      </c>
      <c r="C1943" s="25">
        <f>ItensPedido!C1943</f>
        <v/>
      </c>
      <c r="D1943" s="25">
        <f>ItensPedido!D1943</f>
        <v/>
      </c>
      <c r="E1943" s="26">
        <f>ItensPedido!E1943</f>
        <v/>
      </c>
      <c r="F1943" s="25">
        <f>IFERROR(INDEX(Pedidos!$B$2:$B$1801,MATCH(B1943,Pedidos!$A$2:$A$1801,0)),0)</f>
        <v/>
      </c>
      <c r="G1943" s="25">
        <f>IF(F1943=0,"",YEAR(F1943))</f>
        <v/>
      </c>
      <c r="H1943" s="25">
        <f>IF(F1943=0,"",MONTH(F1943))</f>
        <v/>
      </c>
      <c r="I1943" s="25">
        <f>IFERROR(INDEX(Pedidos!$E$2:$E$1801,MATCH(B1943,Pedidos!$A$2:$A$1801,0)),"")</f>
        <v/>
      </c>
      <c r="J1943" s="25">
        <f>IFERROR(INDEX(Pedidos!$C$2:$C$1801,MATCH(B1943,Pedidos!$A$2:$A$1801,0)),"")</f>
        <v/>
      </c>
      <c r="K1943" s="25">
        <f>IFERROR(INDEX(Pedidos!$D$2:$D$1801,MATCH(B1943,Pedidos!$A$2:$A$1801,0)),"")</f>
        <v/>
      </c>
      <c r="L1943" s="25">
        <f>IFERROR(INDEX(Pedidos!$F$2:$F$1801,MATCH(B1943,Pedidos!$A$2:$A$1801,0)),"")</f>
        <v/>
      </c>
      <c r="M1943" s="26">
        <f>IFERROR(INDEX(Pedidos!$G$2:$G$1801,MATCH(B1943,Pedidos!$A$2:$A$1801,0)),0)</f>
        <v/>
      </c>
      <c r="N1943" s="25">
        <f>IFERROR(INDEX(Produtos!$B$2:$B$71,MATCH(C1943,Produtos!$A$2:$A$71,0)),"")</f>
        <v/>
      </c>
      <c r="O1943" s="25">
        <f>IFERROR(INDEX(Produtos!$C$2:$C$71,MATCH(C1943,Produtos!$A$2:$A$71,0)),"")</f>
        <v/>
      </c>
      <c r="P1943" s="25">
        <f>IFERROR(INDEX(Produtos!$D$2:$D$71,MATCH(C1943,Produtos!$A$2:$A$71,0)),0)</f>
        <v/>
      </c>
      <c r="Q1943" s="25">
        <f>IFERROR(INDEX(Produtos!$E$2:$E$71,MATCH(C1943,Produtos!$A$2:$A$71,0)),0)</f>
        <v/>
      </c>
      <c r="R1943" s="27">
        <f>D1943*Q1943</f>
        <v/>
      </c>
      <c r="S1943" s="27">
        <f>R1943*E1943</f>
        <v/>
      </c>
      <c r="T1943" s="27">
        <f>(R1943-S1943)*M1943</f>
        <v/>
      </c>
      <c r="U1943" s="27">
        <f>R1943-S1943-T1943</f>
        <v/>
      </c>
      <c r="V1943" s="27">
        <f>D1943*P1943</f>
        <v/>
      </c>
      <c r="W1943" s="27">
        <f>U1943-V1943</f>
        <v/>
      </c>
      <c r="X1943" s="28">
        <f>IFERROR(W1943/U1943,0)</f>
        <v/>
      </c>
    </row>
    <row r="1944">
      <c r="A1944" s="21">
        <f>ItensPedido!A1944</f>
        <v/>
      </c>
      <c r="B1944" s="21">
        <f>ItensPedido!B1944</f>
        <v/>
      </c>
      <c r="C1944" s="21">
        <f>ItensPedido!C1944</f>
        <v/>
      </c>
      <c r="D1944" s="21">
        <f>ItensPedido!D1944</f>
        <v/>
      </c>
      <c r="E1944" s="22">
        <f>ItensPedido!E1944</f>
        <v/>
      </c>
      <c r="F1944" s="21">
        <f>IFERROR(INDEX(Pedidos!$B$2:$B$1801,MATCH(B1944,Pedidos!$A$2:$A$1801,0)),0)</f>
        <v/>
      </c>
      <c r="G1944" s="21">
        <f>IF(F1944=0,"",YEAR(F1944))</f>
        <v/>
      </c>
      <c r="H1944" s="21">
        <f>IF(F1944=0,"",MONTH(F1944))</f>
        <v/>
      </c>
      <c r="I1944" s="21">
        <f>IFERROR(INDEX(Pedidos!$E$2:$E$1801,MATCH(B1944,Pedidos!$A$2:$A$1801,0)),"")</f>
        <v/>
      </c>
      <c r="J1944" s="21">
        <f>IFERROR(INDEX(Pedidos!$C$2:$C$1801,MATCH(B1944,Pedidos!$A$2:$A$1801,0)),"")</f>
        <v/>
      </c>
      <c r="K1944" s="21">
        <f>IFERROR(INDEX(Pedidos!$D$2:$D$1801,MATCH(B1944,Pedidos!$A$2:$A$1801,0)),"")</f>
        <v/>
      </c>
      <c r="L1944" s="21">
        <f>IFERROR(INDEX(Pedidos!$F$2:$F$1801,MATCH(B1944,Pedidos!$A$2:$A$1801,0)),"")</f>
        <v/>
      </c>
      <c r="M1944" s="22">
        <f>IFERROR(INDEX(Pedidos!$G$2:$G$1801,MATCH(B1944,Pedidos!$A$2:$A$1801,0)),0)</f>
        <v/>
      </c>
      <c r="N1944" s="21">
        <f>IFERROR(INDEX(Produtos!$B$2:$B$71,MATCH(C1944,Produtos!$A$2:$A$71,0)),"")</f>
        <v/>
      </c>
      <c r="O1944" s="21">
        <f>IFERROR(INDEX(Produtos!$C$2:$C$71,MATCH(C1944,Produtos!$A$2:$A$71,0)),"")</f>
        <v/>
      </c>
      <c r="P1944" s="21">
        <f>IFERROR(INDEX(Produtos!$D$2:$D$71,MATCH(C1944,Produtos!$A$2:$A$71,0)),0)</f>
        <v/>
      </c>
      <c r="Q1944" s="21">
        <f>IFERROR(INDEX(Produtos!$E$2:$E$71,MATCH(C1944,Produtos!$A$2:$A$71,0)),0)</f>
        <v/>
      </c>
      <c r="R1944" s="23">
        <f>D1944*Q1944</f>
        <v/>
      </c>
      <c r="S1944" s="23">
        <f>R1944*E1944</f>
        <v/>
      </c>
      <c r="T1944" s="23">
        <f>(R1944-S1944)*M1944</f>
        <v/>
      </c>
      <c r="U1944" s="23">
        <f>R1944-S1944-T1944</f>
        <v/>
      </c>
      <c r="V1944" s="23">
        <f>D1944*P1944</f>
        <v/>
      </c>
      <c r="W1944" s="23">
        <f>U1944-V1944</f>
        <v/>
      </c>
      <c r="X1944" s="24">
        <f>IFERROR(W1944/U1944,0)</f>
        <v/>
      </c>
    </row>
    <row r="1945">
      <c r="A1945" s="25">
        <f>ItensPedido!A1945</f>
        <v/>
      </c>
      <c r="B1945" s="25">
        <f>ItensPedido!B1945</f>
        <v/>
      </c>
      <c r="C1945" s="25">
        <f>ItensPedido!C1945</f>
        <v/>
      </c>
      <c r="D1945" s="25">
        <f>ItensPedido!D1945</f>
        <v/>
      </c>
      <c r="E1945" s="26">
        <f>ItensPedido!E1945</f>
        <v/>
      </c>
      <c r="F1945" s="25">
        <f>IFERROR(INDEX(Pedidos!$B$2:$B$1801,MATCH(B1945,Pedidos!$A$2:$A$1801,0)),0)</f>
        <v/>
      </c>
      <c r="G1945" s="25">
        <f>IF(F1945=0,"",YEAR(F1945))</f>
        <v/>
      </c>
      <c r="H1945" s="25">
        <f>IF(F1945=0,"",MONTH(F1945))</f>
        <v/>
      </c>
      <c r="I1945" s="25">
        <f>IFERROR(INDEX(Pedidos!$E$2:$E$1801,MATCH(B1945,Pedidos!$A$2:$A$1801,0)),"")</f>
        <v/>
      </c>
      <c r="J1945" s="25">
        <f>IFERROR(INDEX(Pedidos!$C$2:$C$1801,MATCH(B1945,Pedidos!$A$2:$A$1801,0)),"")</f>
        <v/>
      </c>
      <c r="K1945" s="25">
        <f>IFERROR(INDEX(Pedidos!$D$2:$D$1801,MATCH(B1945,Pedidos!$A$2:$A$1801,0)),"")</f>
        <v/>
      </c>
      <c r="L1945" s="25">
        <f>IFERROR(INDEX(Pedidos!$F$2:$F$1801,MATCH(B1945,Pedidos!$A$2:$A$1801,0)),"")</f>
        <v/>
      </c>
      <c r="M1945" s="26">
        <f>IFERROR(INDEX(Pedidos!$G$2:$G$1801,MATCH(B1945,Pedidos!$A$2:$A$1801,0)),0)</f>
        <v/>
      </c>
      <c r="N1945" s="25">
        <f>IFERROR(INDEX(Produtos!$B$2:$B$71,MATCH(C1945,Produtos!$A$2:$A$71,0)),"")</f>
        <v/>
      </c>
      <c r="O1945" s="25">
        <f>IFERROR(INDEX(Produtos!$C$2:$C$71,MATCH(C1945,Produtos!$A$2:$A$71,0)),"")</f>
        <v/>
      </c>
      <c r="P1945" s="25">
        <f>IFERROR(INDEX(Produtos!$D$2:$D$71,MATCH(C1945,Produtos!$A$2:$A$71,0)),0)</f>
        <v/>
      </c>
      <c r="Q1945" s="25">
        <f>IFERROR(INDEX(Produtos!$E$2:$E$71,MATCH(C1945,Produtos!$A$2:$A$71,0)),0)</f>
        <v/>
      </c>
      <c r="R1945" s="27">
        <f>D1945*Q1945</f>
        <v/>
      </c>
      <c r="S1945" s="27">
        <f>R1945*E1945</f>
        <v/>
      </c>
      <c r="T1945" s="27">
        <f>(R1945-S1945)*M1945</f>
        <v/>
      </c>
      <c r="U1945" s="27">
        <f>R1945-S1945-T1945</f>
        <v/>
      </c>
      <c r="V1945" s="27">
        <f>D1945*P1945</f>
        <v/>
      </c>
      <c r="W1945" s="27">
        <f>U1945-V1945</f>
        <v/>
      </c>
      <c r="X1945" s="28">
        <f>IFERROR(W1945/U1945,0)</f>
        <v/>
      </c>
    </row>
    <row r="1946">
      <c r="A1946" s="21">
        <f>ItensPedido!A1946</f>
        <v/>
      </c>
      <c r="B1946" s="21">
        <f>ItensPedido!B1946</f>
        <v/>
      </c>
      <c r="C1946" s="21">
        <f>ItensPedido!C1946</f>
        <v/>
      </c>
      <c r="D1946" s="21">
        <f>ItensPedido!D1946</f>
        <v/>
      </c>
      <c r="E1946" s="22">
        <f>ItensPedido!E1946</f>
        <v/>
      </c>
      <c r="F1946" s="21">
        <f>IFERROR(INDEX(Pedidos!$B$2:$B$1801,MATCH(B1946,Pedidos!$A$2:$A$1801,0)),0)</f>
        <v/>
      </c>
      <c r="G1946" s="21">
        <f>IF(F1946=0,"",YEAR(F1946))</f>
        <v/>
      </c>
      <c r="H1946" s="21">
        <f>IF(F1946=0,"",MONTH(F1946))</f>
        <v/>
      </c>
      <c r="I1946" s="21">
        <f>IFERROR(INDEX(Pedidos!$E$2:$E$1801,MATCH(B1946,Pedidos!$A$2:$A$1801,0)),"")</f>
        <v/>
      </c>
      <c r="J1946" s="21">
        <f>IFERROR(INDEX(Pedidos!$C$2:$C$1801,MATCH(B1946,Pedidos!$A$2:$A$1801,0)),"")</f>
        <v/>
      </c>
      <c r="K1946" s="21">
        <f>IFERROR(INDEX(Pedidos!$D$2:$D$1801,MATCH(B1946,Pedidos!$A$2:$A$1801,0)),"")</f>
        <v/>
      </c>
      <c r="L1946" s="21">
        <f>IFERROR(INDEX(Pedidos!$F$2:$F$1801,MATCH(B1946,Pedidos!$A$2:$A$1801,0)),"")</f>
        <v/>
      </c>
      <c r="M1946" s="22">
        <f>IFERROR(INDEX(Pedidos!$G$2:$G$1801,MATCH(B1946,Pedidos!$A$2:$A$1801,0)),0)</f>
        <v/>
      </c>
      <c r="N1946" s="21">
        <f>IFERROR(INDEX(Produtos!$B$2:$B$71,MATCH(C1946,Produtos!$A$2:$A$71,0)),"")</f>
        <v/>
      </c>
      <c r="O1946" s="21">
        <f>IFERROR(INDEX(Produtos!$C$2:$C$71,MATCH(C1946,Produtos!$A$2:$A$71,0)),"")</f>
        <v/>
      </c>
      <c r="P1946" s="21">
        <f>IFERROR(INDEX(Produtos!$D$2:$D$71,MATCH(C1946,Produtos!$A$2:$A$71,0)),0)</f>
        <v/>
      </c>
      <c r="Q1946" s="21">
        <f>IFERROR(INDEX(Produtos!$E$2:$E$71,MATCH(C1946,Produtos!$A$2:$A$71,0)),0)</f>
        <v/>
      </c>
      <c r="R1946" s="23">
        <f>D1946*Q1946</f>
        <v/>
      </c>
      <c r="S1946" s="23">
        <f>R1946*E1946</f>
        <v/>
      </c>
      <c r="T1946" s="23">
        <f>(R1946-S1946)*M1946</f>
        <v/>
      </c>
      <c r="U1946" s="23">
        <f>R1946-S1946-T1946</f>
        <v/>
      </c>
      <c r="V1946" s="23">
        <f>D1946*P1946</f>
        <v/>
      </c>
      <c r="W1946" s="23">
        <f>U1946-V1946</f>
        <v/>
      </c>
      <c r="X1946" s="24">
        <f>IFERROR(W1946/U1946,0)</f>
        <v/>
      </c>
    </row>
    <row r="1947">
      <c r="A1947" s="25">
        <f>ItensPedido!A1947</f>
        <v/>
      </c>
      <c r="B1947" s="25">
        <f>ItensPedido!B1947</f>
        <v/>
      </c>
      <c r="C1947" s="25">
        <f>ItensPedido!C1947</f>
        <v/>
      </c>
      <c r="D1947" s="25">
        <f>ItensPedido!D1947</f>
        <v/>
      </c>
      <c r="E1947" s="26">
        <f>ItensPedido!E1947</f>
        <v/>
      </c>
      <c r="F1947" s="25">
        <f>IFERROR(INDEX(Pedidos!$B$2:$B$1801,MATCH(B1947,Pedidos!$A$2:$A$1801,0)),0)</f>
        <v/>
      </c>
      <c r="G1947" s="25">
        <f>IF(F1947=0,"",YEAR(F1947))</f>
        <v/>
      </c>
      <c r="H1947" s="25">
        <f>IF(F1947=0,"",MONTH(F1947))</f>
        <v/>
      </c>
      <c r="I1947" s="25">
        <f>IFERROR(INDEX(Pedidos!$E$2:$E$1801,MATCH(B1947,Pedidos!$A$2:$A$1801,0)),"")</f>
        <v/>
      </c>
      <c r="J1947" s="25">
        <f>IFERROR(INDEX(Pedidos!$C$2:$C$1801,MATCH(B1947,Pedidos!$A$2:$A$1801,0)),"")</f>
        <v/>
      </c>
      <c r="K1947" s="25">
        <f>IFERROR(INDEX(Pedidos!$D$2:$D$1801,MATCH(B1947,Pedidos!$A$2:$A$1801,0)),"")</f>
        <v/>
      </c>
      <c r="L1947" s="25">
        <f>IFERROR(INDEX(Pedidos!$F$2:$F$1801,MATCH(B1947,Pedidos!$A$2:$A$1801,0)),"")</f>
        <v/>
      </c>
      <c r="M1947" s="26">
        <f>IFERROR(INDEX(Pedidos!$G$2:$G$1801,MATCH(B1947,Pedidos!$A$2:$A$1801,0)),0)</f>
        <v/>
      </c>
      <c r="N1947" s="25">
        <f>IFERROR(INDEX(Produtos!$B$2:$B$71,MATCH(C1947,Produtos!$A$2:$A$71,0)),"")</f>
        <v/>
      </c>
      <c r="O1947" s="25">
        <f>IFERROR(INDEX(Produtos!$C$2:$C$71,MATCH(C1947,Produtos!$A$2:$A$71,0)),"")</f>
        <v/>
      </c>
      <c r="P1947" s="25">
        <f>IFERROR(INDEX(Produtos!$D$2:$D$71,MATCH(C1947,Produtos!$A$2:$A$71,0)),0)</f>
        <v/>
      </c>
      <c r="Q1947" s="25">
        <f>IFERROR(INDEX(Produtos!$E$2:$E$71,MATCH(C1947,Produtos!$A$2:$A$71,0)),0)</f>
        <v/>
      </c>
      <c r="R1947" s="27">
        <f>D1947*Q1947</f>
        <v/>
      </c>
      <c r="S1947" s="27">
        <f>R1947*E1947</f>
        <v/>
      </c>
      <c r="T1947" s="27">
        <f>(R1947-S1947)*M1947</f>
        <v/>
      </c>
      <c r="U1947" s="27">
        <f>R1947-S1947-T1947</f>
        <v/>
      </c>
      <c r="V1947" s="27">
        <f>D1947*P1947</f>
        <v/>
      </c>
      <c r="W1947" s="27">
        <f>U1947-V1947</f>
        <v/>
      </c>
      <c r="X1947" s="28">
        <f>IFERROR(W1947/U1947,0)</f>
        <v/>
      </c>
    </row>
    <row r="1948">
      <c r="A1948" s="21">
        <f>ItensPedido!A1948</f>
        <v/>
      </c>
      <c r="B1948" s="21">
        <f>ItensPedido!B1948</f>
        <v/>
      </c>
      <c r="C1948" s="21">
        <f>ItensPedido!C1948</f>
        <v/>
      </c>
      <c r="D1948" s="21">
        <f>ItensPedido!D1948</f>
        <v/>
      </c>
      <c r="E1948" s="22">
        <f>ItensPedido!E1948</f>
        <v/>
      </c>
      <c r="F1948" s="21">
        <f>IFERROR(INDEX(Pedidos!$B$2:$B$1801,MATCH(B1948,Pedidos!$A$2:$A$1801,0)),0)</f>
        <v/>
      </c>
      <c r="G1948" s="21">
        <f>IF(F1948=0,"",YEAR(F1948))</f>
        <v/>
      </c>
      <c r="H1948" s="21">
        <f>IF(F1948=0,"",MONTH(F1948))</f>
        <v/>
      </c>
      <c r="I1948" s="21">
        <f>IFERROR(INDEX(Pedidos!$E$2:$E$1801,MATCH(B1948,Pedidos!$A$2:$A$1801,0)),"")</f>
        <v/>
      </c>
      <c r="J1948" s="21">
        <f>IFERROR(INDEX(Pedidos!$C$2:$C$1801,MATCH(B1948,Pedidos!$A$2:$A$1801,0)),"")</f>
        <v/>
      </c>
      <c r="K1948" s="21">
        <f>IFERROR(INDEX(Pedidos!$D$2:$D$1801,MATCH(B1948,Pedidos!$A$2:$A$1801,0)),"")</f>
        <v/>
      </c>
      <c r="L1948" s="21">
        <f>IFERROR(INDEX(Pedidos!$F$2:$F$1801,MATCH(B1948,Pedidos!$A$2:$A$1801,0)),"")</f>
        <v/>
      </c>
      <c r="M1948" s="22">
        <f>IFERROR(INDEX(Pedidos!$G$2:$G$1801,MATCH(B1948,Pedidos!$A$2:$A$1801,0)),0)</f>
        <v/>
      </c>
      <c r="N1948" s="21">
        <f>IFERROR(INDEX(Produtos!$B$2:$B$71,MATCH(C1948,Produtos!$A$2:$A$71,0)),"")</f>
        <v/>
      </c>
      <c r="O1948" s="21">
        <f>IFERROR(INDEX(Produtos!$C$2:$C$71,MATCH(C1948,Produtos!$A$2:$A$71,0)),"")</f>
        <v/>
      </c>
      <c r="P1948" s="21">
        <f>IFERROR(INDEX(Produtos!$D$2:$D$71,MATCH(C1948,Produtos!$A$2:$A$71,0)),0)</f>
        <v/>
      </c>
      <c r="Q1948" s="21">
        <f>IFERROR(INDEX(Produtos!$E$2:$E$71,MATCH(C1948,Produtos!$A$2:$A$71,0)),0)</f>
        <v/>
      </c>
      <c r="R1948" s="23">
        <f>D1948*Q1948</f>
        <v/>
      </c>
      <c r="S1948" s="23">
        <f>R1948*E1948</f>
        <v/>
      </c>
      <c r="T1948" s="23">
        <f>(R1948-S1948)*M1948</f>
        <v/>
      </c>
      <c r="U1948" s="23">
        <f>R1948-S1948-T1948</f>
        <v/>
      </c>
      <c r="V1948" s="23">
        <f>D1948*P1948</f>
        <v/>
      </c>
      <c r="W1948" s="23">
        <f>U1948-V1948</f>
        <v/>
      </c>
      <c r="X1948" s="24">
        <f>IFERROR(W1948/U1948,0)</f>
        <v/>
      </c>
    </row>
    <row r="1949">
      <c r="A1949" s="25">
        <f>ItensPedido!A1949</f>
        <v/>
      </c>
      <c r="B1949" s="25">
        <f>ItensPedido!B1949</f>
        <v/>
      </c>
      <c r="C1949" s="25">
        <f>ItensPedido!C1949</f>
        <v/>
      </c>
      <c r="D1949" s="25">
        <f>ItensPedido!D1949</f>
        <v/>
      </c>
      <c r="E1949" s="26">
        <f>ItensPedido!E1949</f>
        <v/>
      </c>
      <c r="F1949" s="25">
        <f>IFERROR(INDEX(Pedidos!$B$2:$B$1801,MATCH(B1949,Pedidos!$A$2:$A$1801,0)),0)</f>
        <v/>
      </c>
      <c r="G1949" s="25">
        <f>IF(F1949=0,"",YEAR(F1949))</f>
        <v/>
      </c>
      <c r="H1949" s="25">
        <f>IF(F1949=0,"",MONTH(F1949))</f>
        <v/>
      </c>
      <c r="I1949" s="25">
        <f>IFERROR(INDEX(Pedidos!$E$2:$E$1801,MATCH(B1949,Pedidos!$A$2:$A$1801,0)),"")</f>
        <v/>
      </c>
      <c r="J1949" s="25">
        <f>IFERROR(INDEX(Pedidos!$C$2:$C$1801,MATCH(B1949,Pedidos!$A$2:$A$1801,0)),"")</f>
        <v/>
      </c>
      <c r="K1949" s="25">
        <f>IFERROR(INDEX(Pedidos!$D$2:$D$1801,MATCH(B1949,Pedidos!$A$2:$A$1801,0)),"")</f>
        <v/>
      </c>
      <c r="L1949" s="25">
        <f>IFERROR(INDEX(Pedidos!$F$2:$F$1801,MATCH(B1949,Pedidos!$A$2:$A$1801,0)),"")</f>
        <v/>
      </c>
      <c r="M1949" s="26">
        <f>IFERROR(INDEX(Pedidos!$G$2:$G$1801,MATCH(B1949,Pedidos!$A$2:$A$1801,0)),0)</f>
        <v/>
      </c>
      <c r="N1949" s="25">
        <f>IFERROR(INDEX(Produtos!$B$2:$B$71,MATCH(C1949,Produtos!$A$2:$A$71,0)),"")</f>
        <v/>
      </c>
      <c r="O1949" s="25">
        <f>IFERROR(INDEX(Produtos!$C$2:$C$71,MATCH(C1949,Produtos!$A$2:$A$71,0)),"")</f>
        <v/>
      </c>
      <c r="P1949" s="25">
        <f>IFERROR(INDEX(Produtos!$D$2:$D$71,MATCH(C1949,Produtos!$A$2:$A$71,0)),0)</f>
        <v/>
      </c>
      <c r="Q1949" s="25">
        <f>IFERROR(INDEX(Produtos!$E$2:$E$71,MATCH(C1949,Produtos!$A$2:$A$71,0)),0)</f>
        <v/>
      </c>
      <c r="R1949" s="27">
        <f>D1949*Q1949</f>
        <v/>
      </c>
      <c r="S1949" s="27">
        <f>R1949*E1949</f>
        <v/>
      </c>
      <c r="T1949" s="27">
        <f>(R1949-S1949)*M1949</f>
        <v/>
      </c>
      <c r="U1949" s="27">
        <f>R1949-S1949-T1949</f>
        <v/>
      </c>
      <c r="V1949" s="27">
        <f>D1949*P1949</f>
        <v/>
      </c>
      <c r="W1949" s="27">
        <f>U1949-V1949</f>
        <v/>
      </c>
      <c r="X1949" s="28">
        <f>IFERROR(W1949/U1949,0)</f>
        <v/>
      </c>
    </row>
    <row r="1950">
      <c r="A1950" s="21">
        <f>ItensPedido!A1950</f>
        <v/>
      </c>
      <c r="B1950" s="21">
        <f>ItensPedido!B1950</f>
        <v/>
      </c>
      <c r="C1950" s="21">
        <f>ItensPedido!C1950</f>
        <v/>
      </c>
      <c r="D1950" s="21">
        <f>ItensPedido!D1950</f>
        <v/>
      </c>
      <c r="E1950" s="22">
        <f>ItensPedido!E1950</f>
        <v/>
      </c>
      <c r="F1950" s="21">
        <f>IFERROR(INDEX(Pedidos!$B$2:$B$1801,MATCH(B1950,Pedidos!$A$2:$A$1801,0)),0)</f>
        <v/>
      </c>
      <c r="G1950" s="21">
        <f>IF(F1950=0,"",YEAR(F1950))</f>
        <v/>
      </c>
      <c r="H1950" s="21">
        <f>IF(F1950=0,"",MONTH(F1950))</f>
        <v/>
      </c>
      <c r="I1950" s="21">
        <f>IFERROR(INDEX(Pedidos!$E$2:$E$1801,MATCH(B1950,Pedidos!$A$2:$A$1801,0)),"")</f>
        <v/>
      </c>
      <c r="J1950" s="21">
        <f>IFERROR(INDEX(Pedidos!$C$2:$C$1801,MATCH(B1950,Pedidos!$A$2:$A$1801,0)),"")</f>
        <v/>
      </c>
      <c r="K1950" s="21">
        <f>IFERROR(INDEX(Pedidos!$D$2:$D$1801,MATCH(B1950,Pedidos!$A$2:$A$1801,0)),"")</f>
        <v/>
      </c>
      <c r="L1950" s="21">
        <f>IFERROR(INDEX(Pedidos!$F$2:$F$1801,MATCH(B1950,Pedidos!$A$2:$A$1801,0)),"")</f>
        <v/>
      </c>
      <c r="M1950" s="22">
        <f>IFERROR(INDEX(Pedidos!$G$2:$G$1801,MATCH(B1950,Pedidos!$A$2:$A$1801,0)),0)</f>
        <v/>
      </c>
      <c r="N1950" s="21">
        <f>IFERROR(INDEX(Produtos!$B$2:$B$71,MATCH(C1950,Produtos!$A$2:$A$71,0)),"")</f>
        <v/>
      </c>
      <c r="O1950" s="21">
        <f>IFERROR(INDEX(Produtos!$C$2:$C$71,MATCH(C1950,Produtos!$A$2:$A$71,0)),"")</f>
        <v/>
      </c>
      <c r="P1950" s="21">
        <f>IFERROR(INDEX(Produtos!$D$2:$D$71,MATCH(C1950,Produtos!$A$2:$A$71,0)),0)</f>
        <v/>
      </c>
      <c r="Q1950" s="21">
        <f>IFERROR(INDEX(Produtos!$E$2:$E$71,MATCH(C1950,Produtos!$A$2:$A$71,0)),0)</f>
        <v/>
      </c>
      <c r="R1950" s="23">
        <f>D1950*Q1950</f>
        <v/>
      </c>
      <c r="S1950" s="23">
        <f>R1950*E1950</f>
        <v/>
      </c>
      <c r="T1950" s="23">
        <f>(R1950-S1950)*M1950</f>
        <v/>
      </c>
      <c r="U1950" s="23">
        <f>R1950-S1950-T1950</f>
        <v/>
      </c>
      <c r="V1950" s="23">
        <f>D1950*P1950</f>
        <v/>
      </c>
      <c r="W1950" s="23">
        <f>U1950-V1950</f>
        <v/>
      </c>
      <c r="X1950" s="24">
        <f>IFERROR(W1950/U1950,0)</f>
        <v/>
      </c>
    </row>
    <row r="1951">
      <c r="A1951" s="25">
        <f>ItensPedido!A1951</f>
        <v/>
      </c>
      <c r="B1951" s="25">
        <f>ItensPedido!B1951</f>
        <v/>
      </c>
      <c r="C1951" s="25">
        <f>ItensPedido!C1951</f>
        <v/>
      </c>
      <c r="D1951" s="25">
        <f>ItensPedido!D1951</f>
        <v/>
      </c>
      <c r="E1951" s="26">
        <f>ItensPedido!E1951</f>
        <v/>
      </c>
      <c r="F1951" s="25">
        <f>IFERROR(INDEX(Pedidos!$B$2:$B$1801,MATCH(B1951,Pedidos!$A$2:$A$1801,0)),0)</f>
        <v/>
      </c>
      <c r="G1951" s="25">
        <f>IF(F1951=0,"",YEAR(F1951))</f>
        <v/>
      </c>
      <c r="H1951" s="25">
        <f>IF(F1951=0,"",MONTH(F1951))</f>
        <v/>
      </c>
      <c r="I1951" s="25">
        <f>IFERROR(INDEX(Pedidos!$E$2:$E$1801,MATCH(B1951,Pedidos!$A$2:$A$1801,0)),"")</f>
        <v/>
      </c>
      <c r="J1951" s="25">
        <f>IFERROR(INDEX(Pedidos!$C$2:$C$1801,MATCH(B1951,Pedidos!$A$2:$A$1801,0)),"")</f>
        <v/>
      </c>
      <c r="K1951" s="25">
        <f>IFERROR(INDEX(Pedidos!$D$2:$D$1801,MATCH(B1951,Pedidos!$A$2:$A$1801,0)),"")</f>
        <v/>
      </c>
      <c r="L1951" s="25">
        <f>IFERROR(INDEX(Pedidos!$F$2:$F$1801,MATCH(B1951,Pedidos!$A$2:$A$1801,0)),"")</f>
        <v/>
      </c>
      <c r="M1951" s="26">
        <f>IFERROR(INDEX(Pedidos!$G$2:$G$1801,MATCH(B1951,Pedidos!$A$2:$A$1801,0)),0)</f>
        <v/>
      </c>
      <c r="N1951" s="25">
        <f>IFERROR(INDEX(Produtos!$B$2:$B$71,MATCH(C1951,Produtos!$A$2:$A$71,0)),"")</f>
        <v/>
      </c>
      <c r="O1951" s="25">
        <f>IFERROR(INDEX(Produtos!$C$2:$C$71,MATCH(C1951,Produtos!$A$2:$A$71,0)),"")</f>
        <v/>
      </c>
      <c r="P1951" s="25">
        <f>IFERROR(INDEX(Produtos!$D$2:$D$71,MATCH(C1951,Produtos!$A$2:$A$71,0)),0)</f>
        <v/>
      </c>
      <c r="Q1951" s="25">
        <f>IFERROR(INDEX(Produtos!$E$2:$E$71,MATCH(C1951,Produtos!$A$2:$A$71,0)),0)</f>
        <v/>
      </c>
      <c r="R1951" s="27">
        <f>D1951*Q1951</f>
        <v/>
      </c>
      <c r="S1951" s="27">
        <f>R1951*E1951</f>
        <v/>
      </c>
      <c r="T1951" s="27">
        <f>(R1951-S1951)*M1951</f>
        <v/>
      </c>
      <c r="U1951" s="27">
        <f>R1951-S1951-T1951</f>
        <v/>
      </c>
      <c r="V1951" s="27">
        <f>D1951*P1951</f>
        <v/>
      </c>
      <c r="W1951" s="27">
        <f>U1951-V1951</f>
        <v/>
      </c>
      <c r="X1951" s="28">
        <f>IFERROR(W1951/U1951,0)</f>
        <v/>
      </c>
    </row>
    <row r="1952">
      <c r="A1952" s="21">
        <f>ItensPedido!A1952</f>
        <v/>
      </c>
      <c r="B1952" s="21">
        <f>ItensPedido!B1952</f>
        <v/>
      </c>
      <c r="C1952" s="21">
        <f>ItensPedido!C1952</f>
        <v/>
      </c>
      <c r="D1952" s="21">
        <f>ItensPedido!D1952</f>
        <v/>
      </c>
      <c r="E1952" s="22">
        <f>ItensPedido!E1952</f>
        <v/>
      </c>
      <c r="F1952" s="21">
        <f>IFERROR(INDEX(Pedidos!$B$2:$B$1801,MATCH(B1952,Pedidos!$A$2:$A$1801,0)),0)</f>
        <v/>
      </c>
      <c r="G1952" s="21">
        <f>IF(F1952=0,"",YEAR(F1952))</f>
        <v/>
      </c>
      <c r="H1952" s="21">
        <f>IF(F1952=0,"",MONTH(F1952))</f>
        <v/>
      </c>
      <c r="I1952" s="21">
        <f>IFERROR(INDEX(Pedidos!$E$2:$E$1801,MATCH(B1952,Pedidos!$A$2:$A$1801,0)),"")</f>
        <v/>
      </c>
      <c r="J1952" s="21">
        <f>IFERROR(INDEX(Pedidos!$C$2:$C$1801,MATCH(B1952,Pedidos!$A$2:$A$1801,0)),"")</f>
        <v/>
      </c>
      <c r="K1952" s="21">
        <f>IFERROR(INDEX(Pedidos!$D$2:$D$1801,MATCH(B1952,Pedidos!$A$2:$A$1801,0)),"")</f>
        <v/>
      </c>
      <c r="L1952" s="21">
        <f>IFERROR(INDEX(Pedidos!$F$2:$F$1801,MATCH(B1952,Pedidos!$A$2:$A$1801,0)),"")</f>
        <v/>
      </c>
      <c r="M1952" s="22">
        <f>IFERROR(INDEX(Pedidos!$G$2:$G$1801,MATCH(B1952,Pedidos!$A$2:$A$1801,0)),0)</f>
        <v/>
      </c>
      <c r="N1952" s="21">
        <f>IFERROR(INDEX(Produtos!$B$2:$B$71,MATCH(C1952,Produtos!$A$2:$A$71,0)),"")</f>
        <v/>
      </c>
      <c r="O1952" s="21">
        <f>IFERROR(INDEX(Produtos!$C$2:$C$71,MATCH(C1952,Produtos!$A$2:$A$71,0)),"")</f>
        <v/>
      </c>
      <c r="P1952" s="21">
        <f>IFERROR(INDEX(Produtos!$D$2:$D$71,MATCH(C1952,Produtos!$A$2:$A$71,0)),0)</f>
        <v/>
      </c>
      <c r="Q1952" s="21">
        <f>IFERROR(INDEX(Produtos!$E$2:$E$71,MATCH(C1952,Produtos!$A$2:$A$71,0)),0)</f>
        <v/>
      </c>
      <c r="R1952" s="23">
        <f>D1952*Q1952</f>
        <v/>
      </c>
      <c r="S1952" s="23">
        <f>R1952*E1952</f>
        <v/>
      </c>
      <c r="T1952" s="23">
        <f>(R1952-S1952)*M1952</f>
        <v/>
      </c>
      <c r="U1952" s="23">
        <f>R1952-S1952-T1952</f>
        <v/>
      </c>
      <c r="V1952" s="23">
        <f>D1952*P1952</f>
        <v/>
      </c>
      <c r="W1952" s="23">
        <f>U1952-V1952</f>
        <v/>
      </c>
      <c r="X1952" s="24">
        <f>IFERROR(W1952/U1952,0)</f>
        <v/>
      </c>
    </row>
    <row r="1953">
      <c r="A1953" s="25">
        <f>ItensPedido!A1953</f>
        <v/>
      </c>
      <c r="B1953" s="25">
        <f>ItensPedido!B1953</f>
        <v/>
      </c>
      <c r="C1953" s="25">
        <f>ItensPedido!C1953</f>
        <v/>
      </c>
      <c r="D1953" s="25">
        <f>ItensPedido!D1953</f>
        <v/>
      </c>
      <c r="E1953" s="26">
        <f>ItensPedido!E1953</f>
        <v/>
      </c>
      <c r="F1953" s="25">
        <f>IFERROR(INDEX(Pedidos!$B$2:$B$1801,MATCH(B1953,Pedidos!$A$2:$A$1801,0)),0)</f>
        <v/>
      </c>
      <c r="G1953" s="25">
        <f>IF(F1953=0,"",YEAR(F1953))</f>
        <v/>
      </c>
      <c r="H1953" s="25">
        <f>IF(F1953=0,"",MONTH(F1953))</f>
        <v/>
      </c>
      <c r="I1953" s="25">
        <f>IFERROR(INDEX(Pedidos!$E$2:$E$1801,MATCH(B1953,Pedidos!$A$2:$A$1801,0)),"")</f>
        <v/>
      </c>
      <c r="J1953" s="25">
        <f>IFERROR(INDEX(Pedidos!$C$2:$C$1801,MATCH(B1953,Pedidos!$A$2:$A$1801,0)),"")</f>
        <v/>
      </c>
      <c r="K1953" s="25">
        <f>IFERROR(INDEX(Pedidos!$D$2:$D$1801,MATCH(B1953,Pedidos!$A$2:$A$1801,0)),"")</f>
        <v/>
      </c>
      <c r="L1953" s="25">
        <f>IFERROR(INDEX(Pedidos!$F$2:$F$1801,MATCH(B1953,Pedidos!$A$2:$A$1801,0)),"")</f>
        <v/>
      </c>
      <c r="M1953" s="26">
        <f>IFERROR(INDEX(Pedidos!$G$2:$G$1801,MATCH(B1953,Pedidos!$A$2:$A$1801,0)),0)</f>
        <v/>
      </c>
      <c r="N1953" s="25">
        <f>IFERROR(INDEX(Produtos!$B$2:$B$71,MATCH(C1953,Produtos!$A$2:$A$71,0)),"")</f>
        <v/>
      </c>
      <c r="O1953" s="25">
        <f>IFERROR(INDEX(Produtos!$C$2:$C$71,MATCH(C1953,Produtos!$A$2:$A$71,0)),"")</f>
        <v/>
      </c>
      <c r="P1953" s="25">
        <f>IFERROR(INDEX(Produtos!$D$2:$D$71,MATCH(C1953,Produtos!$A$2:$A$71,0)),0)</f>
        <v/>
      </c>
      <c r="Q1953" s="25">
        <f>IFERROR(INDEX(Produtos!$E$2:$E$71,MATCH(C1953,Produtos!$A$2:$A$71,0)),0)</f>
        <v/>
      </c>
      <c r="R1953" s="27">
        <f>D1953*Q1953</f>
        <v/>
      </c>
      <c r="S1953" s="27">
        <f>R1953*E1953</f>
        <v/>
      </c>
      <c r="T1953" s="27">
        <f>(R1953-S1953)*M1953</f>
        <v/>
      </c>
      <c r="U1953" s="27">
        <f>R1953-S1953-T1953</f>
        <v/>
      </c>
      <c r="V1953" s="27">
        <f>D1953*P1953</f>
        <v/>
      </c>
      <c r="W1953" s="27">
        <f>U1953-V1953</f>
        <v/>
      </c>
      <c r="X1953" s="28">
        <f>IFERROR(W1953/U1953,0)</f>
        <v/>
      </c>
    </row>
    <row r="1954">
      <c r="A1954" s="21">
        <f>ItensPedido!A1954</f>
        <v/>
      </c>
      <c r="B1954" s="21">
        <f>ItensPedido!B1954</f>
        <v/>
      </c>
      <c r="C1954" s="21">
        <f>ItensPedido!C1954</f>
        <v/>
      </c>
      <c r="D1954" s="21">
        <f>ItensPedido!D1954</f>
        <v/>
      </c>
      <c r="E1954" s="22">
        <f>ItensPedido!E1954</f>
        <v/>
      </c>
      <c r="F1954" s="21">
        <f>IFERROR(INDEX(Pedidos!$B$2:$B$1801,MATCH(B1954,Pedidos!$A$2:$A$1801,0)),0)</f>
        <v/>
      </c>
      <c r="G1954" s="21">
        <f>IF(F1954=0,"",YEAR(F1954))</f>
        <v/>
      </c>
      <c r="H1954" s="21">
        <f>IF(F1954=0,"",MONTH(F1954))</f>
        <v/>
      </c>
      <c r="I1954" s="21">
        <f>IFERROR(INDEX(Pedidos!$E$2:$E$1801,MATCH(B1954,Pedidos!$A$2:$A$1801,0)),"")</f>
        <v/>
      </c>
      <c r="J1954" s="21">
        <f>IFERROR(INDEX(Pedidos!$C$2:$C$1801,MATCH(B1954,Pedidos!$A$2:$A$1801,0)),"")</f>
        <v/>
      </c>
      <c r="K1954" s="21">
        <f>IFERROR(INDEX(Pedidos!$D$2:$D$1801,MATCH(B1954,Pedidos!$A$2:$A$1801,0)),"")</f>
        <v/>
      </c>
      <c r="L1954" s="21">
        <f>IFERROR(INDEX(Pedidos!$F$2:$F$1801,MATCH(B1954,Pedidos!$A$2:$A$1801,0)),"")</f>
        <v/>
      </c>
      <c r="M1954" s="22">
        <f>IFERROR(INDEX(Pedidos!$G$2:$G$1801,MATCH(B1954,Pedidos!$A$2:$A$1801,0)),0)</f>
        <v/>
      </c>
      <c r="N1954" s="21">
        <f>IFERROR(INDEX(Produtos!$B$2:$B$71,MATCH(C1954,Produtos!$A$2:$A$71,0)),"")</f>
        <v/>
      </c>
      <c r="O1954" s="21">
        <f>IFERROR(INDEX(Produtos!$C$2:$C$71,MATCH(C1954,Produtos!$A$2:$A$71,0)),"")</f>
        <v/>
      </c>
      <c r="P1954" s="21">
        <f>IFERROR(INDEX(Produtos!$D$2:$D$71,MATCH(C1954,Produtos!$A$2:$A$71,0)),0)</f>
        <v/>
      </c>
      <c r="Q1954" s="21">
        <f>IFERROR(INDEX(Produtos!$E$2:$E$71,MATCH(C1954,Produtos!$A$2:$A$71,0)),0)</f>
        <v/>
      </c>
      <c r="R1954" s="23">
        <f>D1954*Q1954</f>
        <v/>
      </c>
      <c r="S1954" s="23">
        <f>R1954*E1954</f>
        <v/>
      </c>
      <c r="T1954" s="23">
        <f>(R1954-S1954)*M1954</f>
        <v/>
      </c>
      <c r="U1954" s="23">
        <f>R1954-S1954-T1954</f>
        <v/>
      </c>
      <c r="V1954" s="23">
        <f>D1954*P1954</f>
        <v/>
      </c>
      <c r="W1954" s="23">
        <f>U1954-V1954</f>
        <v/>
      </c>
      <c r="X1954" s="24">
        <f>IFERROR(W1954/U1954,0)</f>
        <v/>
      </c>
    </row>
    <row r="1955">
      <c r="A1955" s="25">
        <f>ItensPedido!A1955</f>
        <v/>
      </c>
      <c r="B1955" s="25">
        <f>ItensPedido!B1955</f>
        <v/>
      </c>
      <c r="C1955" s="25">
        <f>ItensPedido!C1955</f>
        <v/>
      </c>
      <c r="D1955" s="25">
        <f>ItensPedido!D1955</f>
        <v/>
      </c>
      <c r="E1955" s="26">
        <f>ItensPedido!E1955</f>
        <v/>
      </c>
      <c r="F1955" s="25">
        <f>IFERROR(INDEX(Pedidos!$B$2:$B$1801,MATCH(B1955,Pedidos!$A$2:$A$1801,0)),0)</f>
        <v/>
      </c>
      <c r="G1955" s="25">
        <f>IF(F1955=0,"",YEAR(F1955))</f>
        <v/>
      </c>
      <c r="H1955" s="25">
        <f>IF(F1955=0,"",MONTH(F1955))</f>
        <v/>
      </c>
      <c r="I1955" s="25">
        <f>IFERROR(INDEX(Pedidos!$E$2:$E$1801,MATCH(B1955,Pedidos!$A$2:$A$1801,0)),"")</f>
        <v/>
      </c>
      <c r="J1955" s="25">
        <f>IFERROR(INDEX(Pedidos!$C$2:$C$1801,MATCH(B1955,Pedidos!$A$2:$A$1801,0)),"")</f>
        <v/>
      </c>
      <c r="K1955" s="25">
        <f>IFERROR(INDEX(Pedidos!$D$2:$D$1801,MATCH(B1955,Pedidos!$A$2:$A$1801,0)),"")</f>
        <v/>
      </c>
      <c r="L1955" s="25">
        <f>IFERROR(INDEX(Pedidos!$F$2:$F$1801,MATCH(B1955,Pedidos!$A$2:$A$1801,0)),"")</f>
        <v/>
      </c>
      <c r="M1955" s="26">
        <f>IFERROR(INDEX(Pedidos!$G$2:$G$1801,MATCH(B1955,Pedidos!$A$2:$A$1801,0)),0)</f>
        <v/>
      </c>
      <c r="N1955" s="25">
        <f>IFERROR(INDEX(Produtos!$B$2:$B$71,MATCH(C1955,Produtos!$A$2:$A$71,0)),"")</f>
        <v/>
      </c>
      <c r="O1955" s="25">
        <f>IFERROR(INDEX(Produtos!$C$2:$C$71,MATCH(C1955,Produtos!$A$2:$A$71,0)),"")</f>
        <v/>
      </c>
      <c r="P1955" s="25">
        <f>IFERROR(INDEX(Produtos!$D$2:$D$71,MATCH(C1955,Produtos!$A$2:$A$71,0)),0)</f>
        <v/>
      </c>
      <c r="Q1955" s="25">
        <f>IFERROR(INDEX(Produtos!$E$2:$E$71,MATCH(C1955,Produtos!$A$2:$A$71,0)),0)</f>
        <v/>
      </c>
      <c r="R1955" s="27">
        <f>D1955*Q1955</f>
        <v/>
      </c>
      <c r="S1955" s="27">
        <f>R1955*E1955</f>
        <v/>
      </c>
      <c r="T1955" s="27">
        <f>(R1955-S1955)*M1955</f>
        <v/>
      </c>
      <c r="U1955" s="27">
        <f>R1955-S1955-T1955</f>
        <v/>
      </c>
      <c r="V1955" s="27">
        <f>D1955*P1955</f>
        <v/>
      </c>
      <c r="W1955" s="27">
        <f>U1955-V1955</f>
        <v/>
      </c>
      <c r="X1955" s="28">
        <f>IFERROR(W1955/U1955,0)</f>
        <v/>
      </c>
    </row>
    <row r="1956">
      <c r="A1956" s="21">
        <f>ItensPedido!A1956</f>
        <v/>
      </c>
      <c r="B1956" s="21">
        <f>ItensPedido!B1956</f>
        <v/>
      </c>
      <c r="C1956" s="21">
        <f>ItensPedido!C1956</f>
        <v/>
      </c>
      <c r="D1956" s="21">
        <f>ItensPedido!D1956</f>
        <v/>
      </c>
      <c r="E1956" s="22">
        <f>ItensPedido!E1956</f>
        <v/>
      </c>
      <c r="F1956" s="21">
        <f>IFERROR(INDEX(Pedidos!$B$2:$B$1801,MATCH(B1956,Pedidos!$A$2:$A$1801,0)),0)</f>
        <v/>
      </c>
      <c r="G1956" s="21">
        <f>IF(F1956=0,"",YEAR(F1956))</f>
        <v/>
      </c>
      <c r="H1956" s="21">
        <f>IF(F1956=0,"",MONTH(F1956))</f>
        <v/>
      </c>
      <c r="I1956" s="21">
        <f>IFERROR(INDEX(Pedidos!$E$2:$E$1801,MATCH(B1956,Pedidos!$A$2:$A$1801,0)),"")</f>
        <v/>
      </c>
      <c r="J1956" s="21">
        <f>IFERROR(INDEX(Pedidos!$C$2:$C$1801,MATCH(B1956,Pedidos!$A$2:$A$1801,0)),"")</f>
        <v/>
      </c>
      <c r="K1956" s="21">
        <f>IFERROR(INDEX(Pedidos!$D$2:$D$1801,MATCH(B1956,Pedidos!$A$2:$A$1801,0)),"")</f>
        <v/>
      </c>
      <c r="L1956" s="21">
        <f>IFERROR(INDEX(Pedidos!$F$2:$F$1801,MATCH(B1956,Pedidos!$A$2:$A$1801,0)),"")</f>
        <v/>
      </c>
      <c r="M1956" s="22">
        <f>IFERROR(INDEX(Pedidos!$G$2:$G$1801,MATCH(B1956,Pedidos!$A$2:$A$1801,0)),0)</f>
        <v/>
      </c>
      <c r="N1956" s="21">
        <f>IFERROR(INDEX(Produtos!$B$2:$B$71,MATCH(C1956,Produtos!$A$2:$A$71,0)),"")</f>
        <v/>
      </c>
      <c r="O1956" s="21">
        <f>IFERROR(INDEX(Produtos!$C$2:$C$71,MATCH(C1956,Produtos!$A$2:$A$71,0)),"")</f>
        <v/>
      </c>
      <c r="P1956" s="21">
        <f>IFERROR(INDEX(Produtos!$D$2:$D$71,MATCH(C1956,Produtos!$A$2:$A$71,0)),0)</f>
        <v/>
      </c>
      <c r="Q1956" s="21">
        <f>IFERROR(INDEX(Produtos!$E$2:$E$71,MATCH(C1956,Produtos!$A$2:$A$71,0)),0)</f>
        <v/>
      </c>
      <c r="R1956" s="23">
        <f>D1956*Q1956</f>
        <v/>
      </c>
      <c r="S1956" s="23">
        <f>R1956*E1956</f>
        <v/>
      </c>
      <c r="T1956" s="23">
        <f>(R1956-S1956)*M1956</f>
        <v/>
      </c>
      <c r="U1956" s="23">
        <f>R1956-S1956-T1956</f>
        <v/>
      </c>
      <c r="V1956" s="23">
        <f>D1956*P1956</f>
        <v/>
      </c>
      <c r="W1956" s="23">
        <f>U1956-V1956</f>
        <v/>
      </c>
      <c r="X1956" s="24">
        <f>IFERROR(W1956/U1956,0)</f>
        <v/>
      </c>
    </row>
    <row r="1957">
      <c r="A1957" s="25">
        <f>ItensPedido!A1957</f>
        <v/>
      </c>
      <c r="B1957" s="25">
        <f>ItensPedido!B1957</f>
        <v/>
      </c>
      <c r="C1957" s="25">
        <f>ItensPedido!C1957</f>
        <v/>
      </c>
      <c r="D1957" s="25">
        <f>ItensPedido!D1957</f>
        <v/>
      </c>
      <c r="E1957" s="26">
        <f>ItensPedido!E1957</f>
        <v/>
      </c>
      <c r="F1957" s="25">
        <f>IFERROR(INDEX(Pedidos!$B$2:$B$1801,MATCH(B1957,Pedidos!$A$2:$A$1801,0)),0)</f>
        <v/>
      </c>
      <c r="G1957" s="25">
        <f>IF(F1957=0,"",YEAR(F1957))</f>
        <v/>
      </c>
      <c r="H1957" s="25">
        <f>IF(F1957=0,"",MONTH(F1957))</f>
        <v/>
      </c>
      <c r="I1957" s="25">
        <f>IFERROR(INDEX(Pedidos!$E$2:$E$1801,MATCH(B1957,Pedidos!$A$2:$A$1801,0)),"")</f>
        <v/>
      </c>
      <c r="J1957" s="25">
        <f>IFERROR(INDEX(Pedidos!$C$2:$C$1801,MATCH(B1957,Pedidos!$A$2:$A$1801,0)),"")</f>
        <v/>
      </c>
      <c r="K1957" s="25">
        <f>IFERROR(INDEX(Pedidos!$D$2:$D$1801,MATCH(B1957,Pedidos!$A$2:$A$1801,0)),"")</f>
        <v/>
      </c>
      <c r="L1957" s="25">
        <f>IFERROR(INDEX(Pedidos!$F$2:$F$1801,MATCH(B1957,Pedidos!$A$2:$A$1801,0)),"")</f>
        <v/>
      </c>
      <c r="M1957" s="26">
        <f>IFERROR(INDEX(Pedidos!$G$2:$G$1801,MATCH(B1957,Pedidos!$A$2:$A$1801,0)),0)</f>
        <v/>
      </c>
      <c r="N1957" s="25">
        <f>IFERROR(INDEX(Produtos!$B$2:$B$71,MATCH(C1957,Produtos!$A$2:$A$71,0)),"")</f>
        <v/>
      </c>
      <c r="O1957" s="25">
        <f>IFERROR(INDEX(Produtos!$C$2:$C$71,MATCH(C1957,Produtos!$A$2:$A$71,0)),"")</f>
        <v/>
      </c>
      <c r="P1957" s="25">
        <f>IFERROR(INDEX(Produtos!$D$2:$D$71,MATCH(C1957,Produtos!$A$2:$A$71,0)),0)</f>
        <v/>
      </c>
      <c r="Q1957" s="25">
        <f>IFERROR(INDEX(Produtos!$E$2:$E$71,MATCH(C1957,Produtos!$A$2:$A$71,0)),0)</f>
        <v/>
      </c>
      <c r="R1957" s="27">
        <f>D1957*Q1957</f>
        <v/>
      </c>
      <c r="S1957" s="27">
        <f>R1957*E1957</f>
        <v/>
      </c>
      <c r="T1957" s="27">
        <f>(R1957-S1957)*M1957</f>
        <v/>
      </c>
      <c r="U1957" s="27">
        <f>R1957-S1957-T1957</f>
        <v/>
      </c>
      <c r="V1957" s="27">
        <f>D1957*P1957</f>
        <v/>
      </c>
      <c r="W1957" s="27">
        <f>U1957-V1957</f>
        <v/>
      </c>
      <c r="X1957" s="28">
        <f>IFERROR(W1957/U1957,0)</f>
        <v/>
      </c>
    </row>
    <row r="1958">
      <c r="A1958" s="21">
        <f>ItensPedido!A1958</f>
        <v/>
      </c>
      <c r="B1958" s="21">
        <f>ItensPedido!B1958</f>
        <v/>
      </c>
      <c r="C1958" s="21">
        <f>ItensPedido!C1958</f>
        <v/>
      </c>
      <c r="D1958" s="21">
        <f>ItensPedido!D1958</f>
        <v/>
      </c>
      <c r="E1958" s="22">
        <f>ItensPedido!E1958</f>
        <v/>
      </c>
      <c r="F1958" s="21">
        <f>IFERROR(INDEX(Pedidos!$B$2:$B$1801,MATCH(B1958,Pedidos!$A$2:$A$1801,0)),0)</f>
        <v/>
      </c>
      <c r="G1958" s="21">
        <f>IF(F1958=0,"",YEAR(F1958))</f>
        <v/>
      </c>
      <c r="H1958" s="21">
        <f>IF(F1958=0,"",MONTH(F1958))</f>
        <v/>
      </c>
      <c r="I1958" s="21">
        <f>IFERROR(INDEX(Pedidos!$E$2:$E$1801,MATCH(B1958,Pedidos!$A$2:$A$1801,0)),"")</f>
        <v/>
      </c>
      <c r="J1958" s="21">
        <f>IFERROR(INDEX(Pedidos!$C$2:$C$1801,MATCH(B1958,Pedidos!$A$2:$A$1801,0)),"")</f>
        <v/>
      </c>
      <c r="K1958" s="21">
        <f>IFERROR(INDEX(Pedidos!$D$2:$D$1801,MATCH(B1958,Pedidos!$A$2:$A$1801,0)),"")</f>
        <v/>
      </c>
      <c r="L1958" s="21">
        <f>IFERROR(INDEX(Pedidos!$F$2:$F$1801,MATCH(B1958,Pedidos!$A$2:$A$1801,0)),"")</f>
        <v/>
      </c>
      <c r="M1958" s="22">
        <f>IFERROR(INDEX(Pedidos!$G$2:$G$1801,MATCH(B1958,Pedidos!$A$2:$A$1801,0)),0)</f>
        <v/>
      </c>
      <c r="N1958" s="21">
        <f>IFERROR(INDEX(Produtos!$B$2:$B$71,MATCH(C1958,Produtos!$A$2:$A$71,0)),"")</f>
        <v/>
      </c>
      <c r="O1958" s="21">
        <f>IFERROR(INDEX(Produtos!$C$2:$C$71,MATCH(C1958,Produtos!$A$2:$A$71,0)),"")</f>
        <v/>
      </c>
      <c r="P1958" s="21">
        <f>IFERROR(INDEX(Produtos!$D$2:$D$71,MATCH(C1958,Produtos!$A$2:$A$71,0)),0)</f>
        <v/>
      </c>
      <c r="Q1958" s="21">
        <f>IFERROR(INDEX(Produtos!$E$2:$E$71,MATCH(C1958,Produtos!$A$2:$A$71,0)),0)</f>
        <v/>
      </c>
      <c r="R1958" s="23">
        <f>D1958*Q1958</f>
        <v/>
      </c>
      <c r="S1958" s="23">
        <f>R1958*E1958</f>
        <v/>
      </c>
      <c r="T1958" s="23">
        <f>(R1958-S1958)*M1958</f>
        <v/>
      </c>
      <c r="U1958" s="23">
        <f>R1958-S1958-T1958</f>
        <v/>
      </c>
      <c r="V1958" s="23">
        <f>D1958*P1958</f>
        <v/>
      </c>
      <c r="W1958" s="23">
        <f>U1958-V1958</f>
        <v/>
      </c>
      <c r="X1958" s="24">
        <f>IFERROR(W1958/U1958,0)</f>
        <v/>
      </c>
    </row>
    <row r="1959">
      <c r="A1959" s="25">
        <f>ItensPedido!A1959</f>
        <v/>
      </c>
      <c r="B1959" s="25">
        <f>ItensPedido!B1959</f>
        <v/>
      </c>
      <c r="C1959" s="25">
        <f>ItensPedido!C1959</f>
        <v/>
      </c>
      <c r="D1959" s="25">
        <f>ItensPedido!D1959</f>
        <v/>
      </c>
      <c r="E1959" s="26">
        <f>ItensPedido!E1959</f>
        <v/>
      </c>
      <c r="F1959" s="25">
        <f>IFERROR(INDEX(Pedidos!$B$2:$B$1801,MATCH(B1959,Pedidos!$A$2:$A$1801,0)),0)</f>
        <v/>
      </c>
      <c r="G1959" s="25">
        <f>IF(F1959=0,"",YEAR(F1959))</f>
        <v/>
      </c>
      <c r="H1959" s="25">
        <f>IF(F1959=0,"",MONTH(F1959))</f>
        <v/>
      </c>
      <c r="I1959" s="25">
        <f>IFERROR(INDEX(Pedidos!$E$2:$E$1801,MATCH(B1959,Pedidos!$A$2:$A$1801,0)),"")</f>
        <v/>
      </c>
      <c r="J1959" s="25">
        <f>IFERROR(INDEX(Pedidos!$C$2:$C$1801,MATCH(B1959,Pedidos!$A$2:$A$1801,0)),"")</f>
        <v/>
      </c>
      <c r="K1959" s="25">
        <f>IFERROR(INDEX(Pedidos!$D$2:$D$1801,MATCH(B1959,Pedidos!$A$2:$A$1801,0)),"")</f>
        <v/>
      </c>
      <c r="L1959" s="25">
        <f>IFERROR(INDEX(Pedidos!$F$2:$F$1801,MATCH(B1959,Pedidos!$A$2:$A$1801,0)),"")</f>
        <v/>
      </c>
      <c r="M1959" s="26">
        <f>IFERROR(INDEX(Pedidos!$G$2:$G$1801,MATCH(B1959,Pedidos!$A$2:$A$1801,0)),0)</f>
        <v/>
      </c>
      <c r="N1959" s="25">
        <f>IFERROR(INDEX(Produtos!$B$2:$B$71,MATCH(C1959,Produtos!$A$2:$A$71,0)),"")</f>
        <v/>
      </c>
      <c r="O1959" s="25">
        <f>IFERROR(INDEX(Produtos!$C$2:$C$71,MATCH(C1959,Produtos!$A$2:$A$71,0)),"")</f>
        <v/>
      </c>
      <c r="P1959" s="25">
        <f>IFERROR(INDEX(Produtos!$D$2:$D$71,MATCH(C1959,Produtos!$A$2:$A$71,0)),0)</f>
        <v/>
      </c>
      <c r="Q1959" s="25">
        <f>IFERROR(INDEX(Produtos!$E$2:$E$71,MATCH(C1959,Produtos!$A$2:$A$71,0)),0)</f>
        <v/>
      </c>
      <c r="R1959" s="27">
        <f>D1959*Q1959</f>
        <v/>
      </c>
      <c r="S1959" s="27">
        <f>R1959*E1959</f>
        <v/>
      </c>
      <c r="T1959" s="27">
        <f>(R1959-S1959)*M1959</f>
        <v/>
      </c>
      <c r="U1959" s="27">
        <f>R1959-S1959-T1959</f>
        <v/>
      </c>
      <c r="V1959" s="27">
        <f>D1959*P1959</f>
        <v/>
      </c>
      <c r="W1959" s="27">
        <f>U1959-V1959</f>
        <v/>
      </c>
      <c r="X1959" s="28">
        <f>IFERROR(W1959/U1959,0)</f>
        <v/>
      </c>
    </row>
    <row r="1960">
      <c r="A1960" s="21">
        <f>ItensPedido!A1960</f>
        <v/>
      </c>
      <c r="B1960" s="21">
        <f>ItensPedido!B1960</f>
        <v/>
      </c>
      <c r="C1960" s="21">
        <f>ItensPedido!C1960</f>
        <v/>
      </c>
      <c r="D1960" s="21">
        <f>ItensPedido!D1960</f>
        <v/>
      </c>
      <c r="E1960" s="22">
        <f>ItensPedido!E1960</f>
        <v/>
      </c>
      <c r="F1960" s="21">
        <f>IFERROR(INDEX(Pedidos!$B$2:$B$1801,MATCH(B1960,Pedidos!$A$2:$A$1801,0)),0)</f>
        <v/>
      </c>
      <c r="G1960" s="21">
        <f>IF(F1960=0,"",YEAR(F1960))</f>
        <v/>
      </c>
      <c r="H1960" s="21">
        <f>IF(F1960=0,"",MONTH(F1960))</f>
        <v/>
      </c>
      <c r="I1960" s="21">
        <f>IFERROR(INDEX(Pedidos!$E$2:$E$1801,MATCH(B1960,Pedidos!$A$2:$A$1801,0)),"")</f>
        <v/>
      </c>
      <c r="J1960" s="21">
        <f>IFERROR(INDEX(Pedidos!$C$2:$C$1801,MATCH(B1960,Pedidos!$A$2:$A$1801,0)),"")</f>
        <v/>
      </c>
      <c r="K1960" s="21">
        <f>IFERROR(INDEX(Pedidos!$D$2:$D$1801,MATCH(B1960,Pedidos!$A$2:$A$1801,0)),"")</f>
        <v/>
      </c>
      <c r="L1960" s="21">
        <f>IFERROR(INDEX(Pedidos!$F$2:$F$1801,MATCH(B1960,Pedidos!$A$2:$A$1801,0)),"")</f>
        <v/>
      </c>
      <c r="M1960" s="22">
        <f>IFERROR(INDEX(Pedidos!$G$2:$G$1801,MATCH(B1960,Pedidos!$A$2:$A$1801,0)),0)</f>
        <v/>
      </c>
      <c r="N1960" s="21">
        <f>IFERROR(INDEX(Produtos!$B$2:$B$71,MATCH(C1960,Produtos!$A$2:$A$71,0)),"")</f>
        <v/>
      </c>
      <c r="O1960" s="21">
        <f>IFERROR(INDEX(Produtos!$C$2:$C$71,MATCH(C1960,Produtos!$A$2:$A$71,0)),"")</f>
        <v/>
      </c>
      <c r="P1960" s="21">
        <f>IFERROR(INDEX(Produtos!$D$2:$D$71,MATCH(C1960,Produtos!$A$2:$A$71,0)),0)</f>
        <v/>
      </c>
      <c r="Q1960" s="21">
        <f>IFERROR(INDEX(Produtos!$E$2:$E$71,MATCH(C1960,Produtos!$A$2:$A$71,0)),0)</f>
        <v/>
      </c>
      <c r="R1960" s="23">
        <f>D1960*Q1960</f>
        <v/>
      </c>
      <c r="S1960" s="23">
        <f>R1960*E1960</f>
        <v/>
      </c>
      <c r="T1960" s="23">
        <f>(R1960-S1960)*M1960</f>
        <v/>
      </c>
      <c r="U1960" s="23">
        <f>R1960-S1960-T1960</f>
        <v/>
      </c>
      <c r="V1960" s="23">
        <f>D1960*P1960</f>
        <v/>
      </c>
      <c r="W1960" s="23">
        <f>U1960-V1960</f>
        <v/>
      </c>
      <c r="X1960" s="24">
        <f>IFERROR(W1960/U1960,0)</f>
        <v/>
      </c>
    </row>
    <row r="1961">
      <c r="A1961" s="25">
        <f>ItensPedido!A1961</f>
        <v/>
      </c>
      <c r="B1961" s="25">
        <f>ItensPedido!B1961</f>
        <v/>
      </c>
      <c r="C1961" s="25">
        <f>ItensPedido!C1961</f>
        <v/>
      </c>
      <c r="D1961" s="25">
        <f>ItensPedido!D1961</f>
        <v/>
      </c>
      <c r="E1961" s="26">
        <f>ItensPedido!E1961</f>
        <v/>
      </c>
      <c r="F1961" s="25">
        <f>IFERROR(INDEX(Pedidos!$B$2:$B$1801,MATCH(B1961,Pedidos!$A$2:$A$1801,0)),0)</f>
        <v/>
      </c>
      <c r="G1961" s="25">
        <f>IF(F1961=0,"",YEAR(F1961))</f>
        <v/>
      </c>
      <c r="H1961" s="25">
        <f>IF(F1961=0,"",MONTH(F1961))</f>
        <v/>
      </c>
      <c r="I1961" s="25">
        <f>IFERROR(INDEX(Pedidos!$E$2:$E$1801,MATCH(B1961,Pedidos!$A$2:$A$1801,0)),"")</f>
        <v/>
      </c>
      <c r="J1961" s="25">
        <f>IFERROR(INDEX(Pedidos!$C$2:$C$1801,MATCH(B1961,Pedidos!$A$2:$A$1801,0)),"")</f>
        <v/>
      </c>
      <c r="K1961" s="25">
        <f>IFERROR(INDEX(Pedidos!$D$2:$D$1801,MATCH(B1961,Pedidos!$A$2:$A$1801,0)),"")</f>
        <v/>
      </c>
      <c r="L1961" s="25">
        <f>IFERROR(INDEX(Pedidos!$F$2:$F$1801,MATCH(B1961,Pedidos!$A$2:$A$1801,0)),"")</f>
        <v/>
      </c>
      <c r="M1961" s="26">
        <f>IFERROR(INDEX(Pedidos!$G$2:$G$1801,MATCH(B1961,Pedidos!$A$2:$A$1801,0)),0)</f>
        <v/>
      </c>
      <c r="N1961" s="25">
        <f>IFERROR(INDEX(Produtos!$B$2:$B$71,MATCH(C1961,Produtos!$A$2:$A$71,0)),"")</f>
        <v/>
      </c>
      <c r="O1961" s="25">
        <f>IFERROR(INDEX(Produtos!$C$2:$C$71,MATCH(C1961,Produtos!$A$2:$A$71,0)),"")</f>
        <v/>
      </c>
      <c r="P1961" s="25">
        <f>IFERROR(INDEX(Produtos!$D$2:$D$71,MATCH(C1961,Produtos!$A$2:$A$71,0)),0)</f>
        <v/>
      </c>
      <c r="Q1961" s="25">
        <f>IFERROR(INDEX(Produtos!$E$2:$E$71,MATCH(C1961,Produtos!$A$2:$A$71,0)),0)</f>
        <v/>
      </c>
      <c r="R1961" s="27">
        <f>D1961*Q1961</f>
        <v/>
      </c>
      <c r="S1961" s="27">
        <f>R1961*E1961</f>
        <v/>
      </c>
      <c r="T1961" s="27">
        <f>(R1961-S1961)*M1961</f>
        <v/>
      </c>
      <c r="U1961" s="27">
        <f>R1961-S1961-T1961</f>
        <v/>
      </c>
      <c r="V1961" s="27">
        <f>D1961*P1961</f>
        <v/>
      </c>
      <c r="W1961" s="27">
        <f>U1961-V1961</f>
        <v/>
      </c>
      <c r="X1961" s="28">
        <f>IFERROR(W1961/U1961,0)</f>
        <v/>
      </c>
    </row>
    <row r="1962">
      <c r="A1962" s="21">
        <f>ItensPedido!A1962</f>
        <v/>
      </c>
      <c r="B1962" s="21">
        <f>ItensPedido!B1962</f>
        <v/>
      </c>
      <c r="C1962" s="21">
        <f>ItensPedido!C1962</f>
        <v/>
      </c>
      <c r="D1962" s="21">
        <f>ItensPedido!D1962</f>
        <v/>
      </c>
      <c r="E1962" s="22">
        <f>ItensPedido!E1962</f>
        <v/>
      </c>
      <c r="F1962" s="21">
        <f>IFERROR(INDEX(Pedidos!$B$2:$B$1801,MATCH(B1962,Pedidos!$A$2:$A$1801,0)),0)</f>
        <v/>
      </c>
      <c r="G1962" s="21">
        <f>IF(F1962=0,"",YEAR(F1962))</f>
        <v/>
      </c>
      <c r="H1962" s="21">
        <f>IF(F1962=0,"",MONTH(F1962))</f>
        <v/>
      </c>
      <c r="I1962" s="21">
        <f>IFERROR(INDEX(Pedidos!$E$2:$E$1801,MATCH(B1962,Pedidos!$A$2:$A$1801,0)),"")</f>
        <v/>
      </c>
      <c r="J1962" s="21">
        <f>IFERROR(INDEX(Pedidos!$C$2:$C$1801,MATCH(B1962,Pedidos!$A$2:$A$1801,0)),"")</f>
        <v/>
      </c>
      <c r="K1962" s="21">
        <f>IFERROR(INDEX(Pedidos!$D$2:$D$1801,MATCH(B1962,Pedidos!$A$2:$A$1801,0)),"")</f>
        <v/>
      </c>
      <c r="L1962" s="21">
        <f>IFERROR(INDEX(Pedidos!$F$2:$F$1801,MATCH(B1962,Pedidos!$A$2:$A$1801,0)),"")</f>
        <v/>
      </c>
      <c r="M1962" s="22">
        <f>IFERROR(INDEX(Pedidos!$G$2:$G$1801,MATCH(B1962,Pedidos!$A$2:$A$1801,0)),0)</f>
        <v/>
      </c>
      <c r="N1962" s="21">
        <f>IFERROR(INDEX(Produtos!$B$2:$B$71,MATCH(C1962,Produtos!$A$2:$A$71,0)),"")</f>
        <v/>
      </c>
      <c r="O1962" s="21">
        <f>IFERROR(INDEX(Produtos!$C$2:$C$71,MATCH(C1962,Produtos!$A$2:$A$71,0)),"")</f>
        <v/>
      </c>
      <c r="P1962" s="21">
        <f>IFERROR(INDEX(Produtos!$D$2:$D$71,MATCH(C1962,Produtos!$A$2:$A$71,0)),0)</f>
        <v/>
      </c>
      <c r="Q1962" s="21">
        <f>IFERROR(INDEX(Produtos!$E$2:$E$71,MATCH(C1962,Produtos!$A$2:$A$71,0)),0)</f>
        <v/>
      </c>
      <c r="R1962" s="23">
        <f>D1962*Q1962</f>
        <v/>
      </c>
      <c r="S1962" s="23">
        <f>R1962*E1962</f>
        <v/>
      </c>
      <c r="T1962" s="23">
        <f>(R1962-S1962)*M1962</f>
        <v/>
      </c>
      <c r="U1962" s="23">
        <f>R1962-S1962-T1962</f>
        <v/>
      </c>
      <c r="V1962" s="23">
        <f>D1962*P1962</f>
        <v/>
      </c>
      <c r="W1962" s="23">
        <f>U1962-V1962</f>
        <v/>
      </c>
      <c r="X1962" s="24">
        <f>IFERROR(W1962/U1962,0)</f>
        <v/>
      </c>
    </row>
    <row r="1963">
      <c r="A1963" s="25">
        <f>ItensPedido!A1963</f>
        <v/>
      </c>
      <c r="B1963" s="25">
        <f>ItensPedido!B1963</f>
        <v/>
      </c>
      <c r="C1963" s="25">
        <f>ItensPedido!C1963</f>
        <v/>
      </c>
      <c r="D1963" s="25">
        <f>ItensPedido!D1963</f>
        <v/>
      </c>
      <c r="E1963" s="26">
        <f>ItensPedido!E1963</f>
        <v/>
      </c>
      <c r="F1963" s="25">
        <f>IFERROR(INDEX(Pedidos!$B$2:$B$1801,MATCH(B1963,Pedidos!$A$2:$A$1801,0)),0)</f>
        <v/>
      </c>
      <c r="G1963" s="25">
        <f>IF(F1963=0,"",YEAR(F1963))</f>
        <v/>
      </c>
      <c r="H1963" s="25">
        <f>IF(F1963=0,"",MONTH(F1963))</f>
        <v/>
      </c>
      <c r="I1963" s="25">
        <f>IFERROR(INDEX(Pedidos!$E$2:$E$1801,MATCH(B1963,Pedidos!$A$2:$A$1801,0)),"")</f>
        <v/>
      </c>
      <c r="J1963" s="25">
        <f>IFERROR(INDEX(Pedidos!$C$2:$C$1801,MATCH(B1963,Pedidos!$A$2:$A$1801,0)),"")</f>
        <v/>
      </c>
      <c r="K1963" s="25">
        <f>IFERROR(INDEX(Pedidos!$D$2:$D$1801,MATCH(B1963,Pedidos!$A$2:$A$1801,0)),"")</f>
        <v/>
      </c>
      <c r="L1963" s="25">
        <f>IFERROR(INDEX(Pedidos!$F$2:$F$1801,MATCH(B1963,Pedidos!$A$2:$A$1801,0)),"")</f>
        <v/>
      </c>
      <c r="M1963" s="26">
        <f>IFERROR(INDEX(Pedidos!$G$2:$G$1801,MATCH(B1963,Pedidos!$A$2:$A$1801,0)),0)</f>
        <v/>
      </c>
      <c r="N1963" s="25">
        <f>IFERROR(INDEX(Produtos!$B$2:$B$71,MATCH(C1963,Produtos!$A$2:$A$71,0)),"")</f>
        <v/>
      </c>
      <c r="O1963" s="25">
        <f>IFERROR(INDEX(Produtos!$C$2:$C$71,MATCH(C1963,Produtos!$A$2:$A$71,0)),"")</f>
        <v/>
      </c>
      <c r="P1963" s="25">
        <f>IFERROR(INDEX(Produtos!$D$2:$D$71,MATCH(C1963,Produtos!$A$2:$A$71,0)),0)</f>
        <v/>
      </c>
      <c r="Q1963" s="25">
        <f>IFERROR(INDEX(Produtos!$E$2:$E$71,MATCH(C1963,Produtos!$A$2:$A$71,0)),0)</f>
        <v/>
      </c>
      <c r="R1963" s="27">
        <f>D1963*Q1963</f>
        <v/>
      </c>
      <c r="S1963" s="27">
        <f>R1963*E1963</f>
        <v/>
      </c>
      <c r="T1963" s="27">
        <f>(R1963-S1963)*M1963</f>
        <v/>
      </c>
      <c r="U1963" s="27">
        <f>R1963-S1963-T1963</f>
        <v/>
      </c>
      <c r="V1963" s="27">
        <f>D1963*P1963</f>
        <v/>
      </c>
      <c r="W1963" s="27">
        <f>U1963-V1963</f>
        <v/>
      </c>
      <c r="X1963" s="28">
        <f>IFERROR(W1963/U1963,0)</f>
        <v/>
      </c>
    </row>
    <row r="1964">
      <c r="A1964" s="21">
        <f>ItensPedido!A1964</f>
        <v/>
      </c>
      <c r="B1964" s="21">
        <f>ItensPedido!B1964</f>
        <v/>
      </c>
      <c r="C1964" s="21">
        <f>ItensPedido!C1964</f>
        <v/>
      </c>
      <c r="D1964" s="21">
        <f>ItensPedido!D1964</f>
        <v/>
      </c>
      <c r="E1964" s="22">
        <f>ItensPedido!E1964</f>
        <v/>
      </c>
      <c r="F1964" s="21">
        <f>IFERROR(INDEX(Pedidos!$B$2:$B$1801,MATCH(B1964,Pedidos!$A$2:$A$1801,0)),0)</f>
        <v/>
      </c>
      <c r="G1964" s="21">
        <f>IF(F1964=0,"",YEAR(F1964))</f>
        <v/>
      </c>
      <c r="H1964" s="21">
        <f>IF(F1964=0,"",MONTH(F1964))</f>
        <v/>
      </c>
      <c r="I1964" s="21">
        <f>IFERROR(INDEX(Pedidos!$E$2:$E$1801,MATCH(B1964,Pedidos!$A$2:$A$1801,0)),"")</f>
        <v/>
      </c>
      <c r="J1964" s="21">
        <f>IFERROR(INDEX(Pedidos!$C$2:$C$1801,MATCH(B1964,Pedidos!$A$2:$A$1801,0)),"")</f>
        <v/>
      </c>
      <c r="K1964" s="21">
        <f>IFERROR(INDEX(Pedidos!$D$2:$D$1801,MATCH(B1964,Pedidos!$A$2:$A$1801,0)),"")</f>
        <v/>
      </c>
      <c r="L1964" s="21">
        <f>IFERROR(INDEX(Pedidos!$F$2:$F$1801,MATCH(B1964,Pedidos!$A$2:$A$1801,0)),"")</f>
        <v/>
      </c>
      <c r="M1964" s="22">
        <f>IFERROR(INDEX(Pedidos!$G$2:$G$1801,MATCH(B1964,Pedidos!$A$2:$A$1801,0)),0)</f>
        <v/>
      </c>
      <c r="N1964" s="21">
        <f>IFERROR(INDEX(Produtos!$B$2:$B$71,MATCH(C1964,Produtos!$A$2:$A$71,0)),"")</f>
        <v/>
      </c>
      <c r="O1964" s="21">
        <f>IFERROR(INDEX(Produtos!$C$2:$C$71,MATCH(C1964,Produtos!$A$2:$A$71,0)),"")</f>
        <v/>
      </c>
      <c r="P1964" s="21">
        <f>IFERROR(INDEX(Produtos!$D$2:$D$71,MATCH(C1964,Produtos!$A$2:$A$71,0)),0)</f>
        <v/>
      </c>
      <c r="Q1964" s="21">
        <f>IFERROR(INDEX(Produtos!$E$2:$E$71,MATCH(C1964,Produtos!$A$2:$A$71,0)),0)</f>
        <v/>
      </c>
      <c r="R1964" s="23">
        <f>D1964*Q1964</f>
        <v/>
      </c>
      <c r="S1964" s="23">
        <f>R1964*E1964</f>
        <v/>
      </c>
      <c r="T1964" s="23">
        <f>(R1964-S1964)*M1964</f>
        <v/>
      </c>
      <c r="U1964" s="23">
        <f>R1964-S1964-T1964</f>
        <v/>
      </c>
      <c r="V1964" s="23">
        <f>D1964*P1964</f>
        <v/>
      </c>
      <c r="W1964" s="23">
        <f>U1964-V1964</f>
        <v/>
      </c>
      <c r="X1964" s="24">
        <f>IFERROR(W1964/U1964,0)</f>
        <v/>
      </c>
    </row>
    <row r="1965">
      <c r="A1965" s="25">
        <f>ItensPedido!A1965</f>
        <v/>
      </c>
      <c r="B1965" s="25">
        <f>ItensPedido!B1965</f>
        <v/>
      </c>
      <c r="C1965" s="25">
        <f>ItensPedido!C1965</f>
        <v/>
      </c>
      <c r="D1965" s="25">
        <f>ItensPedido!D1965</f>
        <v/>
      </c>
      <c r="E1965" s="26">
        <f>ItensPedido!E1965</f>
        <v/>
      </c>
      <c r="F1965" s="25">
        <f>IFERROR(INDEX(Pedidos!$B$2:$B$1801,MATCH(B1965,Pedidos!$A$2:$A$1801,0)),0)</f>
        <v/>
      </c>
      <c r="G1965" s="25">
        <f>IF(F1965=0,"",YEAR(F1965))</f>
        <v/>
      </c>
      <c r="H1965" s="25">
        <f>IF(F1965=0,"",MONTH(F1965))</f>
        <v/>
      </c>
      <c r="I1965" s="25">
        <f>IFERROR(INDEX(Pedidos!$E$2:$E$1801,MATCH(B1965,Pedidos!$A$2:$A$1801,0)),"")</f>
        <v/>
      </c>
      <c r="J1965" s="25">
        <f>IFERROR(INDEX(Pedidos!$C$2:$C$1801,MATCH(B1965,Pedidos!$A$2:$A$1801,0)),"")</f>
        <v/>
      </c>
      <c r="K1965" s="25">
        <f>IFERROR(INDEX(Pedidos!$D$2:$D$1801,MATCH(B1965,Pedidos!$A$2:$A$1801,0)),"")</f>
        <v/>
      </c>
      <c r="L1965" s="25">
        <f>IFERROR(INDEX(Pedidos!$F$2:$F$1801,MATCH(B1965,Pedidos!$A$2:$A$1801,0)),"")</f>
        <v/>
      </c>
      <c r="M1965" s="26">
        <f>IFERROR(INDEX(Pedidos!$G$2:$G$1801,MATCH(B1965,Pedidos!$A$2:$A$1801,0)),0)</f>
        <v/>
      </c>
      <c r="N1965" s="25">
        <f>IFERROR(INDEX(Produtos!$B$2:$B$71,MATCH(C1965,Produtos!$A$2:$A$71,0)),"")</f>
        <v/>
      </c>
      <c r="O1965" s="25">
        <f>IFERROR(INDEX(Produtos!$C$2:$C$71,MATCH(C1965,Produtos!$A$2:$A$71,0)),"")</f>
        <v/>
      </c>
      <c r="P1965" s="25">
        <f>IFERROR(INDEX(Produtos!$D$2:$D$71,MATCH(C1965,Produtos!$A$2:$A$71,0)),0)</f>
        <v/>
      </c>
      <c r="Q1965" s="25">
        <f>IFERROR(INDEX(Produtos!$E$2:$E$71,MATCH(C1965,Produtos!$A$2:$A$71,0)),0)</f>
        <v/>
      </c>
      <c r="R1965" s="27">
        <f>D1965*Q1965</f>
        <v/>
      </c>
      <c r="S1965" s="27">
        <f>R1965*E1965</f>
        <v/>
      </c>
      <c r="T1965" s="27">
        <f>(R1965-S1965)*M1965</f>
        <v/>
      </c>
      <c r="U1965" s="27">
        <f>R1965-S1965-T1965</f>
        <v/>
      </c>
      <c r="V1965" s="27">
        <f>D1965*P1965</f>
        <v/>
      </c>
      <c r="W1965" s="27">
        <f>U1965-V1965</f>
        <v/>
      </c>
      <c r="X1965" s="28">
        <f>IFERROR(W1965/U1965,0)</f>
        <v/>
      </c>
    </row>
    <row r="1966">
      <c r="A1966" s="21">
        <f>ItensPedido!A1966</f>
        <v/>
      </c>
      <c r="B1966" s="21">
        <f>ItensPedido!B1966</f>
        <v/>
      </c>
      <c r="C1966" s="21">
        <f>ItensPedido!C1966</f>
        <v/>
      </c>
      <c r="D1966" s="21">
        <f>ItensPedido!D1966</f>
        <v/>
      </c>
      <c r="E1966" s="22">
        <f>ItensPedido!E1966</f>
        <v/>
      </c>
      <c r="F1966" s="21">
        <f>IFERROR(INDEX(Pedidos!$B$2:$B$1801,MATCH(B1966,Pedidos!$A$2:$A$1801,0)),0)</f>
        <v/>
      </c>
      <c r="G1966" s="21">
        <f>IF(F1966=0,"",YEAR(F1966))</f>
        <v/>
      </c>
      <c r="H1966" s="21">
        <f>IF(F1966=0,"",MONTH(F1966))</f>
        <v/>
      </c>
      <c r="I1966" s="21">
        <f>IFERROR(INDEX(Pedidos!$E$2:$E$1801,MATCH(B1966,Pedidos!$A$2:$A$1801,0)),"")</f>
        <v/>
      </c>
      <c r="J1966" s="21">
        <f>IFERROR(INDEX(Pedidos!$C$2:$C$1801,MATCH(B1966,Pedidos!$A$2:$A$1801,0)),"")</f>
        <v/>
      </c>
      <c r="K1966" s="21">
        <f>IFERROR(INDEX(Pedidos!$D$2:$D$1801,MATCH(B1966,Pedidos!$A$2:$A$1801,0)),"")</f>
        <v/>
      </c>
      <c r="L1966" s="21">
        <f>IFERROR(INDEX(Pedidos!$F$2:$F$1801,MATCH(B1966,Pedidos!$A$2:$A$1801,0)),"")</f>
        <v/>
      </c>
      <c r="M1966" s="22">
        <f>IFERROR(INDEX(Pedidos!$G$2:$G$1801,MATCH(B1966,Pedidos!$A$2:$A$1801,0)),0)</f>
        <v/>
      </c>
      <c r="N1966" s="21">
        <f>IFERROR(INDEX(Produtos!$B$2:$B$71,MATCH(C1966,Produtos!$A$2:$A$71,0)),"")</f>
        <v/>
      </c>
      <c r="O1966" s="21">
        <f>IFERROR(INDEX(Produtos!$C$2:$C$71,MATCH(C1966,Produtos!$A$2:$A$71,0)),"")</f>
        <v/>
      </c>
      <c r="P1966" s="21">
        <f>IFERROR(INDEX(Produtos!$D$2:$D$71,MATCH(C1966,Produtos!$A$2:$A$71,0)),0)</f>
        <v/>
      </c>
      <c r="Q1966" s="21">
        <f>IFERROR(INDEX(Produtos!$E$2:$E$71,MATCH(C1966,Produtos!$A$2:$A$71,0)),0)</f>
        <v/>
      </c>
      <c r="R1966" s="23">
        <f>D1966*Q1966</f>
        <v/>
      </c>
      <c r="S1966" s="23">
        <f>R1966*E1966</f>
        <v/>
      </c>
      <c r="T1966" s="23">
        <f>(R1966-S1966)*M1966</f>
        <v/>
      </c>
      <c r="U1966" s="23">
        <f>R1966-S1966-T1966</f>
        <v/>
      </c>
      <c r="V1966" s="23">
        <f>D1966*P1966</f>
        <v/>
      </c>
      <c r="W1966" s="23">
        <f>U1966-V1966</f>
        <v/>
      </c>
      <c r="X1966" s="24">
        <f>IFERROR(W1966/U1966,0)</f>
        <v/>
      </c>
    </row>
    <row r="1967">
      <c r="A1967" s="25">
        <f>ItensPedido!A1967</f>
        <v/>
      </c>
      <c r="B1967" s="25">
        <f>ItensPedido!B1967</f>
        <v/>
      </c>
      <c r="C1967" s="25">
        <f>ItensPedido!C1967</f>
        <v/>
      </c>
      <c r="D1967" s="25">
        <f>ItensPedido!D1967</f>
        <v/>
      </c>
      <c r="E1967" s="26">
        <f>ItensPedido!E1967</f>
        <v/>
      </c>
      <c r="F1967" s="25">
        <f>IFERROR(INDEX(Pedidos!$B$2:$B$1801,MATCH(B1967,Pedidos!$A$2:$A$1801,0)),0)</f>
        <v/>
      </c>
      <c r="G1967" s="25">
        <f>IF(F1967=0,"",YEAR(F1967))</f>
        <v/>
      </c>
      <c r="H1967" s="25">
        <f>IF(F1967=0,"",MONTH(F1967))</f>
        <v/>
      </c>
      <c r="I1967" s="25">
        <f>IFERROR(INDEX(Pedidos!$E$2:$E$1801,MATCH(B1967,Pedidos!$A$2:$A$1801,0)),"")</f>
        <v/>
      </c>
      <c r="J1967" s="25">
        <f>IFERROR(INDEX(Pedidos!$C$2:$C$1801,MATCH(B1967,Pedidos!$A$2:$A$1801,0)),"")</f>
        <v/>
      </c>
      <c r="K1967" s="25">
        <f>IFERROR(INDEX(Pedidos!$D$2:$D$1801,MATCH(B1967,Pedidos!$A$2:$A$1801,0)),"")</f>
        <v/>
      </c>
      <c r="L1967" s="25">
        <f>IFERROR(INDEX(Pedidos!$F$2:$F$1801,MATCH(B1967,Pedidos!$A$2:$A$1801,0)),"")</f>
        <v/>
      </c>
      <c r="M1967" s="26">
        <f>IFERROR(INDEX(Pedidos!$G$2:$G$1801,MATCH(B1967,Pedidos!$A$2:$A$1801,0)),0)</f>
        <v/>
      </c>
      <c r="N1967" s="25">
        <f>IFERROR(INDEX(Produtos!$B$2:$B$71,MATCH(C1967,Produtos!$A$2:$A$71,0)),"")</f>
        <v/>
      </c>
      <c r="O1967" s="25">
        <f>IFERROR(INDEX(Produtos!$C$2:$C$71,MATCH(C1967,Produtos!$A$2:$A$71,0)),"")</f>
        <v/>
      </c>
      <c r="P1967" s="25">
        <f>IFERROR(INDEX(Produtos!$D$2:$D$71,MATCH(C1967,Produtos!$A$2:$A$71,0)),0)</f>
        <v/>
      </c>
      <c r="Q1967" s="25">
        <f>IFERROR(INDEX(Produtos!$E$2:$E$71,MATCH(C1967,Produtos!$A$2:$A$71,0)),0)</f>
        <v/>
      </c>
      <c r="R1967" s="27">
        <f>D1967*Q1967</f>
        <v/>
      </c>
      <c r="S1967" s="27">
        <f>R1967*E1967</f>
        <v/>
      </c>
      <c r="T1967" s="27">
        <f>(R1967-S1967)*M1967</f>
        <v/>
      </c>
      <c r="U1967" s="27">
        <f>R1967-S1967-T1967</f>
        <v/>
      </c>
      <c r="V1967" s="27">
        <f>D1967*P1967</f>
        <v/>
      </c>
      <c r="W1967" s="27">
        <f>U1967-V1967</f>
        <v/>
      </c>
      <c r="X1967" s="28">
        <f>IFERROR(W1967/U1967,0)</f>
        <v/>
      </c>
    </row>
    <row r="1968">
      <c r="A1968" s="21">
        <f>ItensPedido!A1968</f>
        <v/>
      </c>
      <c r="B1968" s="21">
        <f>ItensPedido!B1968</f>
        <v/>
      </c>
      <c r="C1968" s="21">
        <f>ItensPedido!C1968</f>
        <v/>
      </c>
      <c r="D1968" s="21">
        <f>ItensPedido!D1968</f>
        <v/>
      </c>
      <c r="E1968" s="22">
        <f>ItensPedido!E1968</f>
        <v/>
      </c>
      <c r="F1968" s="21">
        <f>IFERROR(INDEX(Pedidos!$B$2:$B$1801,MATCH(B1968,Pedidos!$A$2:$A$1801,0)),0)</f>
        <v/>
      </c>
      <c r="G1968" s="21">
        <f>IF(F1968=0,"",YEAR(F1968))</f>
        <v/>
      </c>
      <c r="H1968" s="21">
        <f>IF(F1968=0,"",MONTH(F1968))</f>
        <v/>
      </c>
      <c r="I1968" s="21">
        <f>IFERROR(INDEX(Pedidos!$E$2:$E$1801,MATCH(B1968,Pedidos!$A$2:$A$1801,0)),"")</f>
        <v/>
      </c>
      <c r="J1968" s="21">
        <f>IFERROR(INDEX(Pedidos!$C$2:$C$1801,MATCH(B1968,Pedidos!$A$2:$A$1801,0)),"")</f>
        <v/>
      </c>
      <c r="K1968" s="21">
        <f>IFERROR(INDEX(Pedidos!$D$2:$D$1801,MATCH(B1968,Pedidos!$A$2:$A$1801,0)),"")</f>
        <v/>
      </c>
      <c r="L1968" s="21">
        <f>IFERROR(INDEX(Pedidos!$F$2:$F$1801,MATCH(B1968,Pedidos!$A$2:$A$1801,0)),"")</f>
        <v/>
      </c>
      <c r="M1968" s="22">
        <f>IFERROR(INDEX(Pedidos!$G$2:$G$1801,MATCH(B1968,Pedidos!$A$2:$A$1801,0)),0)</f>
        <v/>
      </c>
      <c r="N1968" s="21">
        <f>IFERROR(INDEX(Produtos!$B$2:$B$71,MATCH(C1968,Produtos!$A$2:$A$71,0)),"")</f>
        <v/>
      </c>
      <c r="O1968" s="21">
        <f>IFERROR(INDEX(Produtos!$C$2:$C$71,MATCH(C1968,Produtos!$A$2:$A$71,0)),"")</f>
        <v/>
      </c>
      <c r="P1968" s="21">
        <f>IFERROR(INDEX(Produtos!$D$2:$D$71,MATCH(C1968,Produtos!$A$2:$A$71,0)),0)</f>
        <v/>
      </c>
      <c r="Q1968" s="21">
        <f>IFERROR(INDEX(Produtos!$E$2:$E$71,MATCH(C1968,Produtos!$A$2:$A$71,0)),0)</f>
        <v/>
      </c>
      <c r="R1968" s="23">
        <f>D1968*Q1968</f>
        <v/>
      </c>
      <c r="S1968" s="23">
        <f>R1968*E1968</f>
        <v/>
      </c>
      <c r="T1968" s="23">
        <f>(R1968-S1968)*M1968</f>
        <v/>
      </c>
      <c r="U1968" s="23">
        <f>R1968-S1968-T1968</f>
        <v/>
      </c>
      <c r="V1968" s="23">
        <f>D1968*P1968</f>
        <v/>
      </c>
      <c r="W1968" s="23">
        <f>U1968-V1968</f>
        <v/>
      </c>
      <c r="X1968" s="24">
        <f>IFERROR(W1968/U1968,0)</f>
        <v/>
      </c>
    </row>
    <row r="1969">
      <c r="A1969" s="25">
        <f>ItensPedido!A1969</f>
        <v/>
      </c>
      <c r="B1969" s="25">
        <f>ItensPedido!B1969</f>
        <v/>
      </c>
      <c r="C1969" s="25">
        <f>ItensPedido!C1969</f>
        <v/>
      </c>
      <c r="D1969" s="25">
        <f>ItensPedido!D1969</f>
        <v/>
      </c>
      <c r="E1969" s="26">
        <f>ItensPedido!E1969</f>
        <v/>
      </c>
      <c r="F1969" s="25">
        <f>IFERROR(INDEX(Pedidos!$B$2:$B$1801,MATCH(B1969,Pedidos!$A$2:$A$1801,0)),0)</f>
        <v/>
      </c>
      <c r="G1969" s="25">
        <f>IF(F1969=0,"",YEAR(F1969))</f>
        <v/>
      </c>
      <c r="H1969" s="25">
        <f>IF(F1969=0,"",MONTH(F1969))</f>
        <v/>
      </c>
      <c r="I1969" s="25">
        <f>IFERROR(INDEX(Pedidos!$E$2:$E$1801,MATCH(B1969,Pedidos!$A$2:$A$1801,0)),"")</f>
        <v/>
      </c>
      <c r="J1969" s="25">
        <f>IFERROR(INDEX(Pedidos!$C$2:$C$1801,MATCH(B1969,Pedidos!$A$2:$A$1801,0)),"")</f>
        <v/>
      </c>
      <c r="K1969" s="25">
        <f>IFERROR(INDEX(Pedidos!$D$2:$D$1801,MATCH(B1969,Pedidos!$A$2:$A$1801,0)),"")</f>
        <v/>
      </c>
      <c r="L1969" s="25">
        <f>IFERROR(INDEX(Pedidos!$F$2:$F$1801,MATCH(B1969,Pedidos!$A$2:$A$1801,0)),"")</f>
        <v/>
      </c>
      <c r="M1969" s="26">
        <f>IFERROR(INDEX(Pedidos!$G$2:$G$1801,MATCH(B1969,Pedidos!$A$2:$A$1801,0)),0)</f>
        <v/>
      </c>
      <c r="N1969" s="25">
        <f>IFERROR(INDEX(Produtos!$B$2:$B$71,MATCH(C1969,Produtos!$A$2:$A$71,0)),"")</f>
        <v/>
      </c>
      <c r="O1969" s="25">
        <f>IFERROR(INDEX(Produtos!$C$2:$C$71,MATCH(C1969,Produtos!$A$2:$A$71,0)),"")</f>
        <v/>
      </c>
      <c r="P1969" s="25">
        <f>IFERROR(INDEX(Produtos!$D$2:$D$71,MATCH(C1969,Produtos!$A$2:$A$71,0)),0)</f>
        <v/>
      </c>
      <c r="Q1969" s="25">
        <f>IFERROR(INDEX(Produtos!$E$2:$E$71,MATCH(C1969,Produtos!$A$2:$A$71,0)),0)</f>
        <v/>
      </c>
      <c r="R1969" s="27">
        <f>D1969*Q1969</f>
        <v/>
      </c>
      <c r="S1969" s="27">
        <f>R1969*E1969</f>
        <v/>
      </c>
      <c r="T1969" s="27">
        <f>(R1969-S1969)*M1969</f>
        <v/>
      </c>
      <c r="U1969" s="27">
        <f>R1969-S1969-T1969</f>
        <v/>
      </c>
      <c r="V1969" s="27">
        <f>D1969*P1969</f>
        <v/>
      </c>
      <c r="W1969" s="27">
        <f>U1969-V1969</f>
        <v/>
      </c>
      <c r="X1969" s="28">
        <f>IFERROR(W1969/U1969,0)</f>
        <v/>
      </c>
    </row>
    <row r="1970">
      <c r="A1970" s="21">
        <f>ItensPedido!A1970</f>
        <v/>
      </c>
      <c r="B1970" s="21">
        <f>ItensPedido!B1970</f>
        <v/>
      </c>
      <c r="C1970" s="21">
        <f>ItensPedido!C1970</f>
        <v/>
      </c>
      <c r="D1970" s="21">
        <f>ItensPedido!D1970</f>
        <v/>
      </c>
      <c r="E1970" s="22">
        <f>ItensPedido!E1970</f>
        <v/>
      </c>
      <c r="F1970" s="21">
        <f>IFERROR(INDEX(Pedidos!$B$2:$B$1801,MATCH(B1970,Pedidos!$A$2:$A$1801,0)),0)</f>
        <v/>
      </c>
      <c r="G1970" s="21">
        <f>IF(F1970=0,"",YEAR(F1970))</f>
        <v/>
      </c>
      <c r="H1970" s="21">
        <f>IF(F1970=0,"",MONTH(F1970))</f>
        <v/>
      </c>
      <c r="I1970" s="21">
        <f>IFERROR(INDEX(Pedidos!$E$2:$E$1801,MATCH(B1970,Pedidos!$A$2:$A$1801,0)),"")</f>
        <v/>
      </c>
      <c r="J1970" s="21">
        <f>IFERROR(INDEX(Pedidos!$C$2:$C$1801,MATCH(B1970,Pedidos!$A$2:$A$1801,0)),"")</f>
        <v/>
      </c>
      <c r="K1970" s="21">
        <f>IFERROR(INDEX(Pedidos!$D$2:$D$1801,MATCH(B1970,Pedidos!$A$2:$A$1801,0)),"")</f>
        <v/>
      </c>
      <c r="L1970" s="21">
        <f>IFERROR(INDEX(Pedidos!$F$2:$F$1801,MATCH(B1970,Pedidos!$A$2:$A$1801,0)),"")</f>
        <v/>
      </c>
      <c r="M1970" s="22">
        <f>IFERROR(INDEX(Pedidos!$G$2:$G$1801,MATCH(B1970,Pedidos!$A$2:$A$1801,0)),0)</f>
        <v/>
      </c>
      <c r="N1970" s="21">
        <f>IFERROR(INDEX(Produtos!$B$2:$B$71,MATCH(C1970,Produtos!$A$2:$A$71,0)),"")</f>
        <v/>
      </c>
      <c r="O1970" s="21">
        <f>IFERROR(INDEX(Produtos!$C$2:$C$71,MATCH(C1970,Produtos!$A$2:$A$71,0)),"")</f>
        <v/>
      </c>
      <c r="P1970" s="21">
        <f>IFERROR(INDEX(Produtos!$D$2:$D$71,MATCH(C1970,Produtos!$A$2:$A$71,0)),0)</f>
        <v/>
      </c>
      <c r="Q1970" s="21">
        <f>IFERROR(INDEX(Produtos!$E$2:$E$71,MATCH(C1970,Produtos!$A$2:$A$71,0)),0)</f>
        <v/>
      </c>
      <c r="R1970" s="23">
        <f>D1970*Q1970</f>
        <v/>
      </c>
      <c r="S1970" s="23">
        <f>R1970*E1970</f>
        <v/>
      </c>
      <c r="T1970" s="23">
        <f>(R1970-S1970)*M1970</f>
        <v/>
      </c>
      <c r="U1970" s="23">
        <f>R1970-S1970-T1970</f>
        <v/>
      </c>
      <c r="V1970" s="23">
        <f>D1970*P1970</f>
        <v/>
      </c>
      <c r="W1970" s="23">
        <f>U1970-V1970</f>
        <v/>
      </c>
      <c r="X1970" s="24">
        <f>IFERROR(W1970/U1970,0)</f>
        <v/>
      </c>
    </row>
    <row r="1971">
      <c r="A1971" s="25">
        <f>ItensPedido!A1971</f>
        <v/>
      </c>
      <c r="B1971" s="25">
        <f>ItensPedido!B1971</f>
        <v/>
      </c>
      <c r="C1971" s="25">
        <f>ItensPedido!C1971</f>
        <v/>
      </c>
      <c r="D1971" s="25">
        <f>ItensPedido!D1971</f>
        <v/>
      </c>
      <c r="E1971" s="26">
        <f>ItensPedido!E1971</f>
        <v/>
      </c>
      <c r="F1971" s="25">
        <f>IFERROR(INDEX(Pedidos!$B$2:$B$1801,MATCH(B1971,Pedidos!$A$2:$A$1801,0)),0)</f>
        <v/>
      </c>
      <c r="G1971" s="25">
        <f>IF(F1971=0,"",YEAR(F1971))</f>
        <v/>
      </c>
      <c r="H1971" s="25">
        <f>IF(F1971=0,"",MONTH(F1971))</f>
        <v/>
      </c>
      <c r="I1971" s="25">
        <f>IFERROR(INDEX(Pedidos!$E$2:$E$1801,MATCH(B1971,Pedidos!$A$2:$A$1801,0)),"")</f>
        <v/>
      </c>
      <c r="J1971" s="25">
        <f>IFERROR(INDEX(Pedidos!$C$2:$C$1801,MATCH(B1971,Pedidos!$A$2:$A$1801,0)),"")</f>
        <v/>
      </c>
      <c r="K1971" s="25">
        <f>IFERROR(INDEX(Pedidos!$D$2:$D$1801,MATCH(B1971,Pedidos!$A$2:$A$1801,0)),"")</f>
        <v/>
      </c>
      <c r="L1971" s="25">
        <f>IFERROR(INDEX(Pedidos!$F$2:$F$1801,MATCH(B1971,Pedidos!$A$2:$A$1801,0)),"")</f>
        <v/>
      </c>
      <c r="M1971" s="26">
        <f>IFERROR(INDEX(Pedidos!$G$2:$G$1801,MATCH(B1971,Pedidos!$A$2:$A$1801,0)),0)</f>
        <v/>
      </c>
      <c r="N1971" s="25">
        <f>IFERROR(INDEX(Produtos!$B$2:$B$71,MATCH(C1971,Produtos!$A$2:$A$71,0)),"")</f>
        <v/>
      </c>
      <c r="O1971" s="25">
        <f>IFERROR(INDEX(Produtos!$C$2:$C$71,MATCH(C1971,Produtos!$A$2:$A$71,0)),"")</f>
        <v/>
      </c>
      <c r="P1971" s="25">
        <f>IFERROR(INDEX(Produtos!$D$2:$D$71,MATCH(C1971,Produtos!$A$2:$A$71,0)),0)</f>
        <v/>
      </c>
      <c r="Q1971" s="25">
        <f>IFERROR(INDEX(Produtos!$E$2:$E$71,MATCH(C1971,Produtos!$A$2:$A$71,0)),0)</f>
        <v/>
      </c>
      <c r="R1971" s="27">
        <f>D1971*Q1971</f>
        <v/>
      </c>
      <c r="S1971" s="27">
        <f>R1971*E1971</f>
        <v/>
      </c>
      <c r="T1971" s="27">
        <f>(R1971-S1971)*M1971</f>
        <v/>
      </c>
      <c r="U1971" s="27">
        <f>R1971-S1971-T1971</f>
        <v/>
      </c>
      <c r="V1971" s="27">
        <f>D1971*P1971</f>
        <v/>
      </c>
      <c r="W1971" s="27">
        <f>U1971-V1971</f>
        <v/>
      </c>
      <c r="X1971" s="28">
        <f>IFERROR(W1971/U1971,0)</f>
        <v/>
      </c>
    </row>
    <row r="1972">
      <c r="A1972" s="21">
        <f>ItensPedido!A1972</f>
        <v/>
      </c>
      <c r="B1972" s="21">
        <f>ItensPedido!B1972</f>
        <v/>
      </c>
      <c r="C1972" s="21">
        <f>ItensPedido!C1972</f>
        <v/>
      </c>
      <c r="D1972" s="21">
        <f>ItensPedido!D1972</f>
        <v/>
      </c>
      <c r="E1972" s="22">
        <f>ItensPedido!E1972</f>
        <v/>
      </c>
      <c r="F1972" s="21">
        <f>IFERROR(INDEX(Pedidos!$B$2:$B$1801,MATCH(B1972,Pedidos!$A$2:$A$1801,0)),0)</f>
        <v/>
      </c>
      <c r="G1972" s="21">
        <f>IF(F1972=0,"",YEAR(F1972))</f>
        <v/>
      </c>
      <c r="H1972" s="21">
        <f>IF(F1972=0,"",MONTH(F1972))</f>
        <v/>
      </c>
      <c r="I1972" s="21">
        <f>IFERROR(INDEX(Pedidos!$E$2:$E$1801,MATCH(B1972,Pedidos!$A$2:$A$1801,0)),"")</f>
        <v/>
      </c>
      <c r="J1972" s="21">
        <f>IFERROR(INDEX(Pedidos!$C$2:$C$1801,MATCH(B1972,Pedidos!$A$2:$A$1801,0)),"")</f>
        <v/>
      </c>
      <c r="K1972" s="21">
        <f>IFERROR(INDEX(Pedidos!$D$2:$D$1801,MATCH(B1972,Pedidos!$A$2:$A$1801,0)),"")</f>
        <v/>
      </c>
      <c r="L1972" s="21">
        <f>IFERROR(INDEX(Pedidos!$F$2:$F$1801,MATCH(B1972,Pedidos!$A$2:$A$1801,0)),"")</f>
        <v/>
      </c>
      <c r="M1972" s="22">
        <f>IFERROR(INDEX(Pedidos!$G$2:$G$1801,MATCH(B1972,Pedidos!$A$2:$A$1801,0)),0)</f>
        <v/>
      </c>
      <c r="N1972" s="21">
        <f>IFERROR(INDEX(Produtos!$B$2:$B$71,MATCH(C1972,Produtos!$A$2:$A$71,0)),"")</f>
        <v/>
      </c>
      <c r="O1972" s="21">
        <f>IFERROR(INDEX(Produtos!$C$2:$C$71,MATCH(C1972,Produtos!$A$2:$A$71,0)),"")</f>
        <v/>
      </c>
      <c r="P1972" s="21">
        <f>IFERROR(INDEX(Produtos!$D$2:$D$71,MATCH(C1972,Produtos!$A$2:$A$71,0)),0)</f>
        <v/>
      </c>
      <c r="Q1972" s="21">
        <f>IFERROR(INDEX(Produtos!$E$2:$E$71,MATCH(C1972,Produtos!$A$2:$A$71,0)),0)</f>
        <v/>
      </c>
      <c r="R1972" s="23">
        <f>D1972*Q1972</f>
        <v/>
      </c>
      <c r="S1972" s="23">
        <f>R1972*E1972</f>
        <v/>
      </c>
      <c r="T1972" s="23">
        <f>(R1972-S1972)*M1972</f>
        <v/>
      </c>
      <c r="U1972" s="23">
        <f>R1972-S1972-T1972</f>
        <v/>
      </c>
      <c r="V1972" s="23">
        <f>D1972*P1972</f>
        <v/>
      </c>
      <c r="W1972" s="23">
        <f>U1972-V1972</f>
        <v/>
      </c>
      <c r="X1972" s="24">
        <f>IFERROR(W1972/U1972,0)</f>
        <v/>
      </c>
    </row>
    <row r="1973">
      <c r="A1973" s="25">
        <f>ItensPedido!A1973</f>
        <v/>
      </c>
      <c r="B1973" s="25">
        <f>ItensPedido!B1973</f>
        <v/>
      </c>
      <c r="C1973" s="25">
        <f>ItensPedido!C1973</f>
        <v/>
      </c>
      <c r="D1973" s="25">
        <f>ItensPedido!D1973</f>
        <v/>
      </c>
      <c r="E1973" s="26">
        <f>ItensPedido!E1973</f>
        <v/>
      </c>
      <c r="F1973" s="25">
        <f>IFERROR(INDEX(Pedidos!$B$2:$B$1801,MATCH(B1973,Pedidos!$A$2:$A$1801,0)),0)</f>
        <v/>
      </c>
      <c r="G1973" s="25">
        <f>IF(F1973=0,"",YEAR(F1973))</f>
        <v/>
      </c>
      <c r="H1973" s="25">
        <f>IF(F1973=0,"",MONTH(F1973))</f>
        <v/>
      </c>
      <c r="I1973" s="25">
        <f>IFERROR(INDEX(Pedidos!$E$2:$E$1801,MATCH(B1973,Pedidos!$A$2:$A$1801,0)),"")</f>
        <v/>
      </c>
      <c r="J1973" s="25">
        <f>IFERROR(INDEX(Pedidos!$C$2:$C$1801,MATCH(B1973,Pedidos!$A$2:$A$1801,0)),"")</f>
        <v/>
      </c>
      <c r="K1973" s="25">
        <f>IFERROR(INDEX(Pedidos!$D$2:$D$1801,MATCH(B1973,Pedidos!$A$2:$A$1801,0)),"")</f>
        <v/>
      </c>
      <c r="L1973" s="25">
        <f>IFERROR(INDEX(Pedidos!$F$2:$F$1801,MATCH(B1973,Pedidos!$A$2:$A$1801,0)),"")</f>
        <v/>
      </c>
      <c r="M1973" s="26">
        <f>IFERROR(INDEX(Pedidos!$G$2:$G$1801,MATCH(B1973,Pedidos!$A$2:$A$1801,0)),0)</f>
        <v/>
      </c>
      <c r="N1973" s="25">
        <f>IFERROR(INDEX(Produtos!$B$2:$B$71,MATCH(C1973,Produtos!$A$2:$A$71,0)),"")</f>
        <v/>
      </c>
      <c r="O1973" s="25">
        <f>IFERROR(INDEX(Produtos!$C$2:$C$71,MATCH(C1973,Produtos!$A$2:$A$71,0)),"")</f>
        <v/>
      </c>
      <c r="P1973" s="25">
        <f>IFERROR(INDEX(Produtos!$D$2:$D$71,MATCH(C1973,Produtos!$A$2:$A$71,0)),0)</f>
        <v/>
      </c>
      <c r="Q1973" s="25">
        <f>IFERROR(INDEX(Produtos!$E$2:$E$71,MATCH(C1973,Produtos!$A$2:$A$71,0)),0)</f>
        <v/>
      </c>
      <c r="R1973" s="27">
        <f>D1973*Q1973</f>
        <v/>
      </c>
      <c r="S1973" s="27">
        <f>R1973*E1973</f>
        <v/>
      </c>
      <c r="T1973" s="27">
        <f>(R1973-S1973)*M1973</f>
        <v/>
      </c>
      <c r="U1973" s="27">
        <f>R1973-S1973-T1973</f>
        <v/>
      </c>
      <c r="V1973" s="27">
        <f>D1973*P1973</f>
        <v/>
      </c>
      <c r="W1973" s="27">
        <f>U1973-V1973</f>
        <v/>
      </c>
      <c r="X1973" s="28">
        <f>IFERROR(W1973/U1973,0)</f>
        <v/>
      </c>
    </row>
    <row r="1974">
      <c r="A1974" s="21">
        <f>ItensPedido!A1974</f>
        <v/>
      </c>
      <c r="B1974" s="21">
        <f>ItensPedido!B1974</f>
        <v/>
      </c>
      <c r="C1974" s="21">
        <f>ItensPedido!C1974</f>
        <v/>
      </c>
      <c r="D1974" s="21">
        <f>ItensPedido!D1974</f>
        <v/>
      </c>
      <c r="E1974" s="22">
        <f>ItensPedido!E1974</f>
        <v/>
      </c>
      <c r="F1974" s="21">
        <f>IFERROR(INDEX(Pedidos!$B$2:$B$1801,MATCH(B1974,Pedidos!$A$2:$A$1801,0)),0)</f>
        <v/>
      </c>
      <c r="G1974" s="21">
        <f>IF(F1974=0,"",YEAR(F1974))</f>
        <v/>
      </c>
      <c r="H1974" s="21">
        <f>IF(F1974=0,"",MONTH(F1974))</f>
        <v/>
      </c>
      <c r="I1974" s="21">
        <f>IFERROR(INDEX(Pedidos!$E$2:$E$1801,MATCH(B1974,Pedidos!$A$2:$A$1801,0)),"")</f>
        <v/>
      </c>
      <c r="J1974" s="21">
        <f>IFERROR(INDEX(Pedidos!$C$2:$C$1801,MATCH(B1974,Pedidos!$A$2:$A$1801,0)),"")</f>
        <v/>
      </c>
      <c r="K1974" s="21">
        <f>IFERROR(INDEX(Pedidos!$D$2:$D$1801,MATCH(B1974,Pedidos!$A$2:$A$1801,0)),"")</f>
        <v/>
      </c>
      <c r="L1974" s="21">
        <f>IFERROR(INDEX(Pedidos!$F$2:$F$1801,MATCH(B1974,Pedidos!$A$2:$A$1801,0)),"")</f>
        <v/>
      </c>
      <c r="M1974" s="22">
        <f>IFERROR(INDEX(Pedidos!$G$2:$G$1801,MATCH(B1974,Pedidos!$A$2:$A$1801,0)),0)</f>
        <v/>
      </c>
      <c r="N1974" s="21">
        <f>IFERROR(INDEX(Produtos!$B$2:$B$71,MATCH(C1974,Produtos!$A$2:$A$71,0)),"")</f>
        <v/>
      </c>
      <c r="O1974" s="21">
        <f>IFERROR(INDEX(Produtos!$C$2:$C$71,MATCH(C1974,Produtos!$A$2:$A$71,0)),"")</f>
        <v/>
      </c>
      <c r="P1974" s="21">
        <f>IFERROR(INDEX(Produtos!$D$2:$D$71,MATCH(C1974,Produtos!$A$2:$A$71,0)),0)</f>
        <v/>
      </c>
      <c r="Q1974" s="21">
        <f>IFERROR(INDEX(Produtos!$E$2:$E$71,MATCH(C1974,Produtos!$A$2:$A$71,0)),0)</f>
        <v/>
      </c>
      <c r="R1974" s="23">
        <f>D1974*Q1974</f>
        <v/>
      </c>
      <c r="S1974" s="23">
        <f>R1974*E1974</f>
        <v/>
      </c>
      <c r="T1974" s="23">
        <f>(R1974-S1974)*M1974</f>
        <v/>
      </c>
      <c r="U1974" s="23">
        <f>R1974-S1974-T1974</f>
        <v/>
      </c>
      <c r="V1974" s="23">
        <f>D1974*P1974</f>
        <v/>
      </c>
      <c r="W1974" s="23">
        <f>U1974-V1974</f>
        <v/>
      </c>
      <c r="X1974" s="24">
        <f>IFERROR(W1974/U1974,0)</f>
        <v/>
      </c>
    </row>
    <row r="1975">
      <c r="A1975" s="25">
        <f>ItensPedido!A1975</f>
        <v/>
      </c>
      <c r="B1975" s="25">
        <f>ItensPedido!B1975</f>
        <v/>
      </c>
      <c r="C1975" s="25">
        <f>ItensPedido!C1975</f>
        <v/>
      </c>
      <c r="D1975" s="25">
        <f>ItensPedido!D1975</f>
        <v/>
      </c>
      <c r="E1975" s="26">
        <f>ItensPedido!E1975</f>
        <v/>
      </c>
      <c r="F1975" s="25">
        <f>IFERROR(INDEX(Pedidos!$B$2:$B$1801,MATCH(B1975,Pedidos!$A$2:$A$1801,0)),0)</f>
        <v/>
      </c>
      <c r="G1975" s="25">
        <f>IF(F1975=0,"",YEAR(F1975))</f>
        <v/>
      </c>
      <c r="H1975" s="25">
        <f>IF(F1975=0,"",MONTH(F1975))</f>
        <v/>
      </c>
      <c r="I1975" s="25">
        <f>IFERROR(INDEX(Pedidos!$E$2:$E$1801,MATCH(B1975,Pedidos!$A$2:$A$1801,0)),"")</f>
        <v/>
      </c>
      <c r="J1975" s="25">
        <f>IFERROR(INDEX(Pedidos!$C$2:$C$1801,MATCH(B1975,Pedidos!$A$2:$A$1801,0)),"")</f>
        <v/>
      </c>
      <c r="K1975" s="25">
        <f>IFERROR(INDEX(Pedidos!$D$2:$D$1801,MATCH(B1975,Pedidos!$A$2:$A$1801,0)),"")</f>
        <v/>
      </c>
      <c r="L1975" s="25">
        <f>IFERROR(INDEX(Pedidos!$F$2:$F$1801,MATCH(B1975,Pedidos!$A$2:$A$1801,0)),"")</f>
        <v/>
      </c>
      <c r="M1975" s="26">
        <f>IFERROR(INDEX(Pedidos!$G$2:$G$1801,MATCH(B1975,Pedidos!$A$2:$A$1801,0)),0)</f>
        <v/>
      </c>
      <c r="N1975" s="25">
        <f>IFERROR(INDEX(Produtos!$B$2:$B$71,MATCH(C1975,Produtos!$A$2:$A$71,0)),"")</f>
        <v/>
      </c>
      <c r="O1975" s="25">
        <f>IFERROR(INDEX(Produtos!$C$2:$C$71,MATCH(C1975,Produtos!$A$2:$A$71,0)),"")</f>
        <v/>
      </c>
      <c r="P1975" s="25">
        <f>IFERROR(INDEX(Produtos!$D$2:$D$71,MATCH(C1975,Produtos!$A$2:$A$71,0)),0)</f>
        <v/>
      </c>
      <c r="Q1975" s="25">
        <f>IFERROR(INDEX(Produtos!$E$2:$E$71,MATCH(C1975,Produtos!$A$2:$A$71,0)),0)</f>
        <v/>
      </c>
      <c r="R1975" s="27">
        <f>D1975*Q1975</f>
        <v/>
      </c>
      <c r="S1975" s="27">
        <f>R1975*E1975</f>
        <v/>
      </c>
      <c r="T1975" s="27">
        <f>(R1975-S1975)*M1975</f>
        <v/>
      </c>
      <c r="U1975" s="27">
        <f>R1975-S1975-T1975</f>
        <v/>
      </c>
      <c r="V1975" s="27">
        <f>D1975*P1975</f>
        <v/>
      </c>
      <c r="W1975" s="27">
        <f>U1975-V1975</f>
        <v/>
      </c>
      <c r="X1975" s="28">
        <f>IFERROR(W1975/U1975,0)</f>
        <v/>
      </c>
    </row>
    <row r="1976">
      <c r="A1976" s="21">
        <f>ItensPedido!A1976</f>
        <v/>
      </c>
      <c r="B1976" s="21">
        <f>ItensPedido!B1976</f>
        <v/>
      </c>
      <c r="C1976" s="21">
        <f>ItensPedido!C1976</f>
        <v/>
      </c>
      <c r="D1976" s="21">
        <f>ItensPedido!D1976</f>
        <v/>
      </c>
      <c r="E1976" s="22">
        <f>ItensPedido!E1976</f>
        <v/>
      </c>
      <c r="F1976" s="21">
        <f>IFERROR(INDEX(Pedidos!$B$2:$B$1801,MATCH(B1976,Pedidos!$A$2:$A$1801,0)),0)</f>
        <v/>
      </c>
      <c r="G1976" s="21">
        <f>IF(F1976=0,"",YEAR(F1976))</f>
        <v/>
      </c>
      <c r="H1976" s="21">
        <f>IF(F1976=0,"",MONTH(F1976))</f>
        <v/>
      </c>
      <c r="I1976" s="21">
        <f>IFERROR(INDEX(Pedidos!$E$2:$E$1801,MATCH(B1976,Pedidos!$A$2:$A$1801,0)),"")</f>
        <v/>
      </c>
      <c r="J1976" s="21">
        <f>IFERROR(INDEX(Pedidos!$C$2:$C$1801,MATCH(B1976,Pedidos!$A$2:$A$1801,0)),"")</f>
        <v/>
      </c>
      <c r="K1976" s="21">
        <f>IFERROR(INDEX(Pedidos!$D$2:$D$1801,MATCH(B1976,Pedidos!$A$2:$A$1801,0)),"")</f>
        <v/>
      </c>
      <c r="L1976" s="21">
        <f>IFERROR(INDEX(Pedidos!$F$2:$F$1801,MATCH(B1976,Pedidos!$A$2:$A$1801,0)),"")</f>
        <v/>
      </c>
      <c r="M1976" s="22">
        <f>IFERROR(INDEX(Pedidos!$G$2:$G$1801,MATCH(B1976,Pedidos!$A$2:$A$1801,0)),0)</f>
        <v/>
      </c>
      <c r="N1976" s="21">
        <f>IFERROR(INDEX(Produtos!$B$2:$B$71,MATCH(C1976,Produtos!$A$2:$A$71,0)),"")</f>
        <v/>
      </c>
      <c r="O1976" s="21">
        <f>IFERROR(INDEX(Produtos!$C$2:$C$71,MATCH(C1976,Produtos!$A$2:$A$71,0)),"")</f>
        <v/>
      </c>
      <c r="P1976" s="21">
        <f>IFERROR(INDEX(Produtos!$D$2:$D$71,MATCH(C1976,Produtos!$A$2:$A$71,0)),0)</f>
        <v/>
      </c>
      <c r="Q1976" s="21">
        <f>IFERROR(INDEX(Produtos!$E$2:$E$71,MATCH(C1976,Produtos!$A$2:$A$71,0)),0)</f>
        <v/>
      </c>
      <c r="R1976" s="23">
        <f>D1976*Q1976</f>
        <v/>
      </c>
      <c r="S1976" s="23">
        <f>R1976*E1976</f>
        <v/>
      </c>
      <c r="T1976" s="23">
        <f>(R1976-S1976)*M1976</f>
        <v/>
      </c>
      <c r="U1976" s="23">
        <f>R1976-S1976-T1976</f>
        <v/>
      </c>
      <c r="V1976" s="23">
        <f>D1976*P1976</f>
        <v/>
      </c>
      <c r="W1976" s="23">
        <f>U1976-V1976</f>
        <v/>
      </c>
      <c r="X1976" s="24">
        <f>IFERROR(W1976/U1976,0)</f>
        <v/>
      </c>
    </row>
    <row r="1977">
      <c r="A1977" s="25">
        <f>ItensPedido!A1977</f>
        <v/>
      </c>
      <c r="B1977" s="25">
        <f>ItensPedido!B1977</f>
        <v/>
      </c>
      <c r="C1977" s="25">
        <f>ItensPedido!C1977</f>
        <v/>
      </c>
      <c r="D1977" s="25">
        <f>ItensPedido!D1977</f>
        <v/>
      </c>
      <c r="E1977" s="26">
        <f>ItensPedido!E1977</f>
        <v/>
      </c>
      <c r="F1977" s="25">
        <f>IFERROR(INDEX(Pedidos!$B$2:$B$1801,MATCH(B1977,Pedidos!$A$2:$A$1801,0)),0)</f>
        <v/>
      </c>
      <c r="G1977" s="25">
        <f>IF(F1977=0,"",YEAR(F1977))</f>
        <v/>
      </c>
      <c r="H1977" s="25">
        <f>IF(F1977=0,"",MONTH(F1977))</f>
        <v/>
      </c>
      <c r="I1977" s="25">
        <f>IFERROR(INDEX(Pedidos!$E$2:$E$1801,MATCH(B1977,Pedidos!$A$2:$A$1801,0)),"")</f>
        <v/>
      </c>
      <c r="J1977" s="25">
        <f>IFERROR(INDEX(Pedidos!$C$2:$C$1801,MATCH(B1977,Pedidos!$A$2:$A$1801,0)),"")</f>
        <v/>
      </c>
      <c r="K1977" s="25">
        <f>IFERROR(INDEX(Pedidos!$D$2:$D$1801,MATCH(B1977,Pedidos!$A$2:$A$1801,0)),"")</f>
        <v/>
      </c>
      <c r="L1977" s="25">
        <f>IFERROR(INDEX(Pedidos!$F$2:$F$1801,MATCH(B1977,Pedidos!$A$2:$A$1801,0)),"")</f>
        <v/>
      </c>
      <c r="M1977" s="26">
        <f>IFERROR(INDEX(Pedidos!$G$2:$G$1801,MATCH(B1977,Pedidos!$A$2:$A$1801,0)),0)</f>
        <v/>
      </c>
      <c r="N1977" s="25">
        <f>IFERROR(INDEX(Produtos!$B$2:$B$71,MATCH(C1977,Produtos!$A$2:$A$71,0)),"")</f>
        <v/>
      </c>
      <c r="O1977" s="25">
        <f>IFERROR(INDEX(Produtos!$C$2:$C$71,MATCH(C1977,Produtos!$A$2:$A$71,0)),"")</f>
        <v/>
      </c>
      <c r="P1977" s="25">
        <f>IFERROR(INDEX(Produtos!$D$2:$D$71,MATCH(C1977,Produtos!$A$2:$A$71,0)),0)</f>
        <v/>
      </c>
      <c r="Q1977" s="25">
        <f>IFERROR(INDEX(Produtos!$E$2:$E$71,MATCH(C1977,Produtos!$A$2:$A$71,0)),0)</f>
        <v/>
      </c>
      <c r="R1977" s="27">
        <f>D1977*Q1977</f>
        <v/>
      </c>
      <c r="S1977" s="27">
        <f>R1977*E1977</f>
        <v/>
      </c>
      <c r="T1977" s="27">
        <f>(R1977-S1977)*M1977</f>
        <v/>
      </c>
      <c r="U1977" s="27">
        <f>R1977-S1977-T1977</f>
        <v/>
      </c>
      <c r="V1977" s="27">
        <f>D1977*P1977</f>
        <v/>
      </c>
      <c r="W1977" s="27">
        <f>U1977-V1977</f>
        <v/>
      </c>
      <c r="X1977" s="28">
        <f>IFERROR(W1977/U1977,0)</f>
        <v/>
      </c>
    </row>
    <row r="1978">
      <c r="A1978" s="21">
        <f>ItensPedido!A1978</f>
        <v/>
      </c>
      <c r="B1978" s="21">
        <f>ItensPedido!B1978</f>
        <v/>
      </c>
      <c r="C1978" s="21">
        <f>ItensPedido!C1978</f>
        <v/>
      </c>
      <c r="D1978" s="21">
        <f>ItensPedido!D1978</f>
        <v/>
      </c>
      <c r="E1978" s="22">
        <f>ItensPedido!E1978</f>
        <v/>
      </c>
      <c r="F1978" s="21">
        <f>IFERROR(INDEX(Pedidos!$B$2:$B$1801,MATCH(B1978,Pedidos!$A$2:$A$1801,0)),0)</f>
        <v/>
      </c>
      <c r="G1978" s="21">
        <f>IF(F1978=0,"",YEAR(F1978))</f>
        <v/>
      </c>
      <c r="H1978" s="21">
        <f>IF(F1978=0,"",MONTH(F1978))</f>
        <v/>
      </c>
      <c r="I1978" s="21">
        <f>IFERROR(INDEX(Pedidos!$E$2:$E$1801,MATCH(B1978,Pedidos!$A$2:$A$1801,0)),"")</f>
        <v/>
      </c>
      <c r="J1978" s="21">
        <f>IFERROR(INDEX(Pedidos!$C$2:$C$1801,MATCH(B1978,Pedidos!$A$2:$A$1801,0)),"")</f>
        <v/>
      </c>
      <c r="K1978" s="21">
        <f>IFERROR(INDEX(Pedidos!$D$2:$D$1801,MATCH(B1978,Pedidos!$A$2:$A$1801,0)),"")</f>
        <v/>
      </c>
      <c r="L1978" s="21">
        <f>IFERROR(INDEX(Pedidos!$F$2:$F$1801,MATCH(B1978,Pedidos!$A$2:$A$1801,0)),"")</f>
        <v/>
      </c>
      <c r="M1978" s="22">
        <f>IFERROR(INDEX(Pedidos!$G$2:$G$1801,MATCH(B1978,Pedidos!$A$2:$A$1801,0)),0)</f>
        <v/>
      </c>
      <c r="N1978" s="21">
        <f>IFERROR(INDEX(Produtos!$B$2:$B$71,MATCH(C1978,Produtos!$A$2:$A$71,0)),"")</f>
        <v/>
      </c>
      <c r="O1978" s="21">
        <f>IFERROR(INDEX(Produtos!$C$2:$C$71,MATCH(C1978,Produtos!$A$2:$A$71,0)),"")</f>
        <v/>
      </c>
      <c r="P1978" s="21">
        <f>IFERROR(INDEX(Produtos!$D$2:$D$71,MATCH(C1978,Produtos!$A$2:$A$71,0)),0)</f>
        <v/>
      </c>
      <c r="Q1978" s="21">
        <f>IFERROR(INDEX(Produtos!$E$2:$E$71,MATCH(C1978,Produtos!$A$2:$A$71,0)),0)</f>
        <v/>
      </c>
      <c r="R1978" s="23">
        <f>D1978*Q1978</f>
        <v/>
      </c>
      <c r="S1978" s="23">
        <f>R1978*E1978</f>
        <v/>
      </c>
      <c r="T1978" s="23">
        <f>(R1978-S1978)*M1978</f>
        <v/>
      </c>
      <c r="U1978" s="23">
        <f>R1978-S1978-T1978</f>
        <v/>
      </c>
      <c r="V1978" s="23">
        <f>D1978*P1978</f>
        <v/>
      </c>
      <c r="W1978" s="23">
        <f>U1978-V1978</f>
        <v/>
      </c>
      <c r="X1978" s="24">
        <f>IFERROR(W1978/U1978,0)</f>
        <v/>
      </c>
    </row>
    <row r="1979">
      <c r="A1979" s="25">
        <f>ItensPedido!A1979</f>
        <v/>
      </c>
      <c r="B1979" s="25">
        <f>ItensPedido!B1979</f>
        <v/>
      </c>
      <c r="C1979" s="25">
        <f>ItensPedido!C1979</f>
        <v/>
      </c>
      <c r="D1979" s="25">
        <f>ItensPedido!D1979</f>
        <v/>
      </c>
      <c r="E1979" s="26">
        <f>ItensPedido!E1979</f>
        <v/>
      </c>
      <c r="F1979" s="25">
        <f>IFERROR(INDEX(Pedidos!$B$2:$B$1801,MATCH(B1979,Pedidos!$A$2:$A$1801,0)),0)</f>
        <v/>
      </c>
      <c r="G1979" s="25">
        <f>IF(F1979=0,"",YEAR(F1979))</f>
        <v/>
      </c>
      <c r="H1979" s="25">
        <f>IF(F1979=0,"",MONTH(F1979))</f>
        <v/>
      </c>
      <c r="I1979" s="25">
        <f>IFERROR(INDEX(Pedidos!$E$2:$E$1801,MATCH(B1979,Pedidos!$A$2:$A$1801,0)),"")</f>
        <v/>
      </c>
      <c r="J1979" s="25">
        <f>IFERROR(INDEX(Pedidos!$C$2:$C$1801,MATCH(B1979,Pedidos!$A$2:$A$1801,0)),"")</f>
        <v/>
      </c>
      <c r="K1979" s="25">
        <f>IFERROR(INDEX(Pedidos!$D$2:$D$1801,MATCH(B1979,Pedidos!$A$2:$A$1801,0)),"")</f>
        <v/>
      </c>
      <c r="L1979" s="25">
        <f>IFERROR(INDEX(Pedidos!$F$2:$F$1801,MATCH(B1979,Pedidos!$A$2:$A$1801,0)),"")</f>
        <v/>
      </c>
      <c r="M1979" s="26">
        <f>IFERROR(INDEX(Pedidos!$G$2:$G$1801,MATCH(B1979,Pedidos!$A$2:$A$1801,0)),0)</f>
        <v/>
      </c>
      <c r="N1979" s="25">
        <f>IFERROR(INDEX(Produtos!$B$2:$B$71,MATCH(C1979,Produtos!$A$2:$A$71,0)),"")</f>
        <v/>
      </c>
      <c r="O1979" s="25">
        <f>IFERROR(INDEX(Produtos!$C$2:$C$71,MATCH(C1979,Produtos!$A$2:$A$71,0)),"")</f>
        <v/>
      </c>
      <c r="P1979" s="25">
        <f>IFERROR(INDEX(Produtos!$D$2:$D$71,MATCH(C1979,Produtos!$A$2:$A$71,0)),0)</f>
        <v/>
      </c>
      <c r="Q1979" s="25">
        <f>IFERROR(INDEX(Produtos!$E$2:$E$71,MATCH(C1979,Produtos!$A$2:$A$71,0)),0)</f>
        <v/>
      </c>
      <c r="R1979" s="27">
        <f>D1979*Q1979</f>
        <v/>
      </c>
      <c r="S1979" s="27">
        <f>R1979*E1979</f>
        <v/>
      </c>
      <c r="T1979" s="27">
        <f>(R1979-S1979)*M1979</f>
        <v/>
      </c>
      <c r="U1979" s="27">
        <f>R1979-S1979-T1979</f>
        <v/>
      </c>
      <c r="V1979" s="27">
        <f>D1979*P1979</f>
        <v/>
      </c>
      <c r="W1979" s="27">
        <f>U1979-V1979</f>
        <v/>
      </c>
      <c r="X1979" s="28">
        <f>IFERROR(W1979/U1979,0)</f>
        <v/>
      </c>
    </row>
    <row r="1980">
      <c r="A1980" s="21">
        <f>ItensPedido!A1980</f>
        <v/>
      </c>
      <c r="B1980" s="21">
        <f>ItensPedido!B1980</f>
        <v/>
      </c>
      <c r="C1980" s="21">
        <f>ItensPedido!C1980</f>
        <v/>
      </c>
      <c r="D1980" s="21">
        <f>ItensPedido!D1980</f>
        <v/>
      </c>
      <c r="E1980" s="22">
        <f>ItensPedido!E1980</f>
        <v/>
      </c>
      <c r="F1980" s="21">
        <f>IFERROR(INDEX(Pedidos!$B$2:$B$1801,MATCH(B1980,Pedidos!$A$2:$A$1801,0)),0)</f>
        <v/>
      </c>
      <c r="G1980" s="21">
        <f>IF(F1980=0,"",YEAR(F1980))</f>
        <v/>
      </c>
      <c r="H1980" s="21">
        <f>IF(F1980=0,"",MONTH(F1980))</f>
        <v/>
      </c>
      <c r="I1980" s="21">
        <f>IFERROR(INDEX(Pedidos!$E$2:$E$1801,MATCH(B1980,Pedidos!$A$2:$A$1801,0)),"")</f>
        <v/>
      </c>
      <c r="J1980" s="21">
        <f>IFERROR(INDEX(Pedidos!$C$2:$C$1801,MATCH(B1980,Pedidos!$A$2:$A$1801,0)),"")</f>
        <v/>
      </c>
      <c r="K1980" s="21">
        <f>IFERROR(INDEX(Pedidos!$D$2:$D$1801,MATCH(B1980,Pedidos!$A$2:$A$1801,0)),"")</f>
        <v/>
      </c>
      <c r="L1980" s="21">
        <f>IFERROR(INDEX(Pedidos!$F$2:$F$1801,MATCH(B1980,Pedidos!$A$2:$A$1801,0)),"")</f>
        <v/>
      </c>
      <c r="M1980" s="22">
        <f>IFERROR(INDEX(Pedidos!$G$2:$G$1801,MATCH(B1980,Pedidos!$A$2:$A$1801,0)),0)</f>
        <v/>
      </c>
      <c r="N1980" s="21">
        <f>IFERROR(INDEX(Produtos!$B$2:$B$71,MATCH(C1980,Produtos!$A$2:$A$71,0)),"")</f>
        <v/>
      </c>
      <c r="O1980" s="21">
        <f>IFERROR(INDEX(Produtos!$C$2:$C$71,MATCH(C1980,Produtos!$A$2:$A$71,0)),"")</f>
        <v/>
      </c>
      <c r="P1980" s="21">
        <f>IFERROR(INDEX(Produtos!$D$2:$D$71,MATCH(C1980,Produtos!$A$2:$A$71,0)),0)</f>
        <v/>
      </c>
      <c r="Q1980" s="21">
        <f>IFERROR(INDEX(Produtos!$E$2:$E$71,MATCH(C1980,Produtos!$A$2:$A$71,0)),0)</f>
        <v/>
      </c>
      <c r="R1980" s="23">
        <f>D1980*Q1980</f>
        <v/>
      </c>
      <c r="S1980" s="23">
        <f>R1980*E1980</f>
        <v/>
      </c>
      <c r="T1980" s="23">
        <f>(R1980-S1980)*M1980</f>
        <v/>
      </c>
      <c r="U1980" s="23">
        <f>R1980-S1980-T1980</f>
        <v/>
      </c>
      <c r="V1980" s="23">
        <f>D1980*P1980</f>
        <v/>
      </c>
      <c r="W1980" s="23">
        <f>U1980-V1980</f>
        <v/>
      </c>
      <c r="X1980" s="24">
        <f>IFERROR(W1980/U1980,0)</f>
        <v/>
      </c>
    </row>
    <row r="1981">
      <c r="A1981" s="25">
        <f>ItensPedido!A1981</f>
        <v/>
      </c>
      <c r="B1981" s="25">
        <f>ItensPedido!B1981</f>
        <v/>
      </c>
      <c r="C1981" s="25">
        <f>ItensPedido!C1981</f>
        <v/>
      </c>
      <c r="D1981" s="25">
        <f>ItensPedido!D1981</f>
        <v/>
      </c>
      <c r="E1981" s="26">
        <f>ItensPedido!E1981</f>
        <v/>
      </c>
      <c r="F1981" s="25">
        <f>IFERROR(INDEX(Pedidos!$B$2:$B$1801,MATCH(B1981,Pedidos!$A$2:$A$1801,0)),0)</f>
        <v/>
      </c>
      <c r="G1981" s="25">
        <f>IF(F1981=0,"",YEAR(F1981))</f>
        <v/>
      </c>
      <c r="H1981" s="25">
        <f>IF(F1981=0,"",MONTH(F1981))</f>
        <v/>
      </c>
      <c r="I1981" s="25">
        <f>IFERROR(INDEX(Pedidos!$E$2:$E$1801,MATCH(B1981,Pedidos!$A$2:$A$1801,0)),"")</f>
        <v/>
      </c>
      <c r="J1981" s="25">
        <f>IFERROR(INDEX(Pedidos!$C$2:$C$1801,MATCH(B1981,Pedidos!$A$2:$A$1801,0)),"")</f>
        <v/>
      </c>
      <c r="K1981" s="25">
        <f>IFERROR(INDEX(Pedidos!$D$2:$D$1801,MATCH(B1981,Pedidos!$A$2:$A$1801,0)),"")</f>
        <v/>
      </c>
      <c r="L1981" s="25">
        <f>IFERROR(INDEX(Pedidos!$F$2:$F$1801,MATCH(B1981,Pedidos!$A$2:$A$1801,0)),"")</f>
        <v/>
      </c>
      <c r="M1981" s="26">
        <f>IFERROR(INDEX(Pedidos!$G$2:$G$1801,MATCH(B1981,Pedidos!$A$2:$A$1801,0)),0)</f>
        <v/>
      </c>
      <c r="N1981" s="25">
        <f>IFERROR(INDEX(Produtos!$B$2:$B$71,MATCH(C1981,Produtos!$A$2:$A$71,0)),"")</f>
        <v/>
      </c>
      <c r="O1981" s="25">
        <f>IFERROR(INDEX(Produtos!$C$2:$C$71,MATCH(C1981,Produtos!$A$2:$A$71,0)),"")</f>
        <v/>
      </c>
      <c r="P1981" s="25">
        <f>IFERROR(INDEX(Produtos!$D$2:$D$71,MATCH(C1981,Produtos!$A$2:$A$71,0)),0)</f>
        <v/>
      </c>
      <c r="Q1981" s="25">
        <f>IFERROR(INDEX(Produtos!$E$2:$E$71,MATCH(C1981,Produtos!$A$2:$A$71,0)),0)</f>
        <v/>
      </c>
      <c r="R1981" s="27">
        <f>D1981*Q1981</f>
        <v/>
      </c>
      <c r="S1981" s="27">
        <f>R1981*E1981</f>
        <v/>
      </c>
      <c r="T1981" s="27">
        <f>(R1981-S1981)*M1981</f>
        <v/>
      </c>
      <c r="U1981" s="27">
        <f>R1981-S1981-T1981</f>
        <v/>
      </c>
      <c r="V1981" s="27">
        <f>D1981*P1981</f>
        <v/>
      </c>
      <c r="W1981" s="27">
        <f>U1981-V1981</f>
        <v/>
      </c>
      <c r="X1981" s="28">
        <f>IFERROR(W1981/U1981,0)</f>
        <v/>
      </c>
    </row>
    <row r="1982">
      <c r="A1982" s="21">
        <f>ItensPedido!A1982</f>
        <v/>
      </c>
      <c r="B1982" s="21">
        <f>ItensPedido!B1982</f>
        <v/>
      </c>
      <c r="C1982" s="21">
        <f>ItensPedido!C1982</f>
        <v/>
      </c>
      <c r="D1982" s="21">
        <f>ItensPedido!D1982</f>
        <v/>
      </c>
      <c r="E1982" s="22">
        <f>ItensPedido!E1982</f>
        <v/>
      </c>
      <c r="F1982" s="21">
        <f>IFERROR(INDEX(Pedidos!$B$2:$B$1801,MATCH(B1982,Pedidos!$A$2:$A$1801,0)),0)</f>
        <v/>
      </c>
      <c r="G1982" s="21">
        <f>IF(F1982=0,"",YEAR(F1982))</f>
        <v/>
      </c>
      <c r="H1982" s="21">
        <f>IF(F1982=0,"",MONTH(F1982))</f>
        <v/>
      </c>
      <c r="I1982" s="21">
        <f>IFERROR(INDEX(Pedidos!$E$2:$E$1801,MATCH(B1982,Pedidos!$A$2:$A$1801,0)),"")</f>
        <v/>
      </c>
      <c r="J1982" s="21">
        <f>IFERROR(INDEX(Pedidos!$C$2:$C$1801,MATCH(B1982,Pedidos!$A$2:$A$1801,0)),"")</f>
        <v/>
      </c>
      <c r="K1982" s="21">
        <f>IFERROR(INDEX(Pedidos!$D$2:$D$1801,MATCH(B1982,Pedidos!$A$2:$A$1801,0)),"")</f>
        <v/>
      </c>
      <c r="L1982" s="21">
        <f>IFERROR(INDEX(Pedidos!$F$2:$F$1801,MATCH(B1982,Pedidos!$A$2:$A$1801,0)),"")</f>
        <v/>
      </c>
      <c r="M1982" s="22">
        <f>IFERROR(INDEX(Pedidos!$G$2:$G$1801,MATCH(B1982,Pedidos!$A$2:$A$1801,0)),0)</f>
        <v/>
      </c>
      <c r="N1982" s="21">
        <f>IFERROR(INDEX(Produtos!$B$2:$B$71,MATCH(C1982,Produtos!$A$2:$A$71,0)),"")</f>
        <v/>
      </c>
      <c r="O1982" s="21">
        <f>IFERROR(INDEX(Produtos!$C$2:$C$71,MATCH(C1982,Produtos!$A$2:$A$71,0)),"")</f>
        <v/>
      </c>
      <c r="P1982" s="21">
        <f>IFERROR(INDEX(Produtos!$D$2:$D$71,MATCH(C1982,Produtos!$A$2:$A$71,0)),0)</f>
        <v/>
      </c>
      <c r="Q1982" s="21">
        <f>IFERROR(INDEX(Produtos!$E$2:$E$71,MATCH(C1982,Produtos!$A$2:$A$71,0)),0)</f>
        <v/>
      </c>
      <c r="R1982" s="23">
        <f>D1982*Q1982</f>
        <v/>
      </c>
      <c r="S1982" s="23">
        <f>R1982*E1982</f>
        <v/>
      </c>
      <c r="T1982" s="23">
        <f>(R1982-S1982)*M1982</f>
        <v/>
      </c>
      <c r="U1982" s="23">
        <f>R1982-S1982-T1982</f>
        <v/>
      </c>
      <c r="V1982" s="23">
        <f>D1982*P1982</f>
        <v/>
      </c>
      <c r="W1982" s="23">
        <f>U1982-V1982</f>
        <v/>
      </c>
      <c r="X1982" s="24">
        <f>IFERROR(W1982/U1982,0)</f>
        <v/>
      </c>
    </row>
    <row r="1983">
      <c r="A1983" s="25">
        <f>ItensPedido!A1983</f>
        <v/>
      </c>
      <c r="B1983" s="25">
        <f>ItensPedido!B1983</f>
        <v/>
      </c>
      <c r="C1983" s="25">
        <f>ItensPedido!C1983</f>
        <v/>
      </c>
      <c r="D1983" s="25">
        <f>ItensPedido!D1983</f>
        <v/>
      </c>
      <c r="E1983" s="26">
        <f>ItensPedido!E1983</f>
        <v/>
      </c>
      <c r="F1983" s="25">
        <f>IFERROR(INDEX(Pedidos!$B$2:$B$1801,MATCH(B1983,Pedidos!$A$2:$A$1801,0)),0)</f>
        <v/>
      </c>
      <c r="G1983" s="25">
        <f>IF(F1983=0,"",YEAR(F1983))</f>
        <v/>
      </c>
      <c r="H1983" s="25">
        <f>IF(F1983=0,"",MONTH(F1983))</f>
        <v/>
      </c>
      <c r="I1983" s="25">
        <f>IFERROR(INDEX(Pedidos!$E$2:$E$1801,MATCH(B1983,Pedidos!$A$2:$A$1801,0)),"")</f>
        <v/>
      </c>
      <c r="J1983" s="25">
        <f>IFERROR(INDEX(Pedidos!$C$2:$C$1801,MATCH(B1983,Pedidos!$A$2:$A$1801,0)),"")</f>
        <v/>
      </c>
      <c r="K1983" s="25">
        <f>IFERROR(INDEX(Pedidos!$D$2:$D$1801,MATCH(B1983,Pedidos!$A$2:$A$1801,0)),"")</f>
        <v/>
      </c>
      <c r="L1983" s="25">
        <f>IFERROR(INDEX(Pedidos!$F$2:$F$1801,MATCH(B1983,Pedidos!$A$2:$A$1801,0)),"")</f>
        <v/>
      </c>
      <c r="M1983" s="26">
        <f>IFERROR(INDEX(Pedidos!$G$2:$G$1801,MATCH(B1983,Pedidos!$A$2:$A$1801,0)),0)</f>
        <v/>
      </c>
      <c r="N1983" s="25">
        <f>IFERROR(INDEX(Produtos!$B$2:$B$71,MATCH(C1983,Produtos!$A$2:$A$71,0)),"")</f>
        <v/>
      </c>
      <c r="O1983" s="25">
        <f>IFERROR(INDEX(Produtos!$C$2:$C$71,MATCH(C1983,Produtos!$A$2:$A$71,0)),"")</f>
        <v/>
      </c>
      <c r="P1983" s="25">
        <f>IFERROR(INDEX(Produtos!$D$2:$D$71,MATCH(C1983,Produtos!$A$2:$A$71,0)),0)</f>
        <v/>
      </c>
      <c r="Q1983" s="25">
        <f>IFERROR(INDEX(Produtos!$E$2:$E$71,MATCH(C1983,Produtos!$A$2:$A$71,0)),0)</f>
        <v/>
      </c>
      <c r="R1983" s="27">
        <f>D1983*Q1983</f>
        <v/>
      </c>
      <c r="S1983" s="27">
        <f>R1983*E1983</f>
        <v/>
      </c>
      <c r="T1983" s="27">
        <f>(R1983-S1983)*M1983</f>
        <v/>
      </c>
      <c r="U1983" s="27">
        <f>R1983-S1983-T1983</f>
        <v/>
      </c>
      <c r="V1983" s="27">
        <f>D1983*P1983</f>
        <v/>
      </c>
      <c r="W1983" s="27">
        <f>U1983-V1983</f>
        <v/>
      </c>
      <c r="X1983" s="28">
        <f>IFERROR(W1983/U1983,0)</f>
        <v/>
      </c>
    </row>
    <row r="1984">
      <c r="A1984" s="21">
        <f>ItensPedido!A1984</f>
        <v/>
      </c>
      <c r="B1984" s="21">
        <f>ItensPedido!B1984</f>
        <v/>
      </c>
      <c r="C1984" s="21">
        <f>ItensPedido!C1984</f>
        <v/>
      </c>
      <c r="D1984" s="21">
        <f>ItensPedido!D1984</f>
        <v/>
      </c>
      <c r="E1984" s="22">
        <f>ItensPedido!E1984</f>
        <v/>
      </c>
      <c r="F1984" s="21">
        <f>IFERROR(INDEX(Pedidos!$B$2:$B$1801,MATCH(B1984,Pedidos!$A$2:$A$1801,0)),0)</f>
        <v/>
      </c>
      <c r="G1984" s="21">
        <f>IF(F1984=0,"",YEAR(F1984))</f>
        <v/>
      </c>
      <c r="H1984" s="21">
        <f>IF(F1984=0,"",MONTH(F1984))</f>
        <v/>
      </c>
      <c r="I1984" s="21">
        <f>IFERROR(INDEX(Pedidos!$E$2:$E$1801,MATCH(B1984,Pedidos!$A$2:$A$1801,0)),"")</f>
        <v/>
      </c>
      <c r="J1984" s="21">
        <f>IFERROR(INDEX(Pedidos!$C$2:$C$1801,MATCH(B1984,Pedidos!$A$2:$A$1801,0)),"")</f>
        <v/>
      </c>
      <c r="K1984" s="21">
        <f>IFERROR(INDEX(Pedidos!$D$2:$D$1801,MATCH(B1984,Pedidos!$A$2:$A$1801,0)),"")</f>
        <v/>
      </c>
      <c r="L1984" s="21">
        <f>IFERROR(INDEX(Pedidos!$F$2:$F$1801,MATCH(B1984,Pedidos!$A$2:$A$1801,0)),"")</f>
        <v/>
      </c>
      <c r="M1984" s="22">
        <f>IFERROR(INDEX(Pedidos!$G$2:$G$1801,MATCH(B1984,Pedidos!$A$2:$A$1801,0)),0)</f>
        <v/>
      </c>
      <c r="N1984" s="21">
        <f>IFERROR(INDEX(Produtos!$B$2:$B$71,MATCH(C1984,Produtos!$A$2:$A$71,0)),"")</f>
        <v/>
      </c>
      <c r="O1984" s="21">
        <f>IFERROR(INDEX(Produtos!$C$2:$C$71,MATCH(C1984,Produtos!$A$2:$A$71,0)),"")</f>
        <v/>
      </c>
      <c r="P1984" s="21">
        <f>IFERROR(INDEX(Produtos!$D$2:$D$71,MATCH(C1984,Produtos!$A$2:$A$71,0)),0)</f>
        <v/>
      </c>
      <c r="Q1984" s="21">
        <f>IFERROR(INDEX(Produtos!$E$2:$E$71,MATCH(C1984,Produtos!$A$2:$A$71,0)),0)</f>
        <v/>
      </c>
      <c r="R1984" s="23">
        <f>D1984*Q1984</f>
        <v/>
      </c>
      <c r="S1984" s="23">
        <f>R1984*E1984</f>
        <v/>
      </c>
      <c r="T1984" s="23">
        <f>(R1984-S1984)*M1984</f>
        <v/>
      </c>
      <c r="U1984" s="23">
        <f>R1984-S1984-T1984</f>
        <v/>
      </c>
      <c r="V1984" s="23">
        <f>D1984*P1984</f>
        <v/>
      </c>
      <c r="W1984" s="23">
        <f>U1984-V1984</f>
        <v/>
      </c>
      <c r="X1984" s="24">
        <f>IFERROR(W1984/U1984,0)</f>
        <v/>
      </c>
    </row>
    <row r="1985">
      <c r="A1985" s="25">
        <f>ItensPedido!A1985</f>
        <v/>
      </c>
      <c r="B1985" s="25">
        <f>ItensPedido!B1985</f>
        <v/>
      </c>
      <c r="C1985" s="25">
        <f>ItensPedido!C1985</f>
        <v/>
      </c>
      <c r="D1985" s="25">
        <f>ItensPedido!D1985</f>
        <v/>
      </c>
      <c r="E1985" s="26">
        <f>ItensPedido!E1985</f>
        <v/>
      </c>
      <c r="F1985" s="25">
        <f>IFERROR(INDEX(Pedidos!$B$2:$B$1801,MATCH(B1985,Pedidos!$A$2:$A$1801,0)),0)</f>
        <v/>
      </c>
      <c r="G1985" s="25">
        <f>IF(F1985=0,"",YEAR(F1985))</f>
        <v/>
      </c>
      <c r="H1985" s="25">
        <f>IF(F1985=0,"",MONTH(F1985))</f>
        <v/>
      </c>
      <c r="I1985" s="25">
        <f>IFERROR(INDEX(Pedidos!$E$2:$E$1801,MATCH(B1985,Pedidos!$A$2:$A$1801,0)),"")</f>
        <v/>
      </c>
      <c r="J1985" s="25">
        <f>IFERROR(INDEX(Pedidos!$C$2:$C$1801,MATCH(B1985,Pedidos!$A$2:$A$1801,0)),"")</f>
        <v/>
      </c>
      <c r="K1985" s="25">
        <f>IFERROR(INDEX(Pedidos!$D$2:$D$1801,MATCH(B1985,Pedidos!$A$2:$A$1801,0)),"")</f>
        <v/>
      </c>
      <c r="L1985" s="25">
        <f>IFERROR(INDEX(Pedidos!$F$2:$F$1801,MATCH(B1985,Pedidos!$A$2:$A$1801,0)),"")</f>
        <v/>
      </c>
      <c r="M1985" s="26">
        <f>IFERROR(INDEX(Pedidos!$G$2:$G$1801,MATCH(B1985,Pedidos!$A$2:$A$1801,0)),0)</f>
        <v/>
      </c>
      <c r="N1985" s="25">
        <f>IFERROR(INDEX(Produtos!$B$2:$B$71,MATCH(C1985,Produtos!$A$2:$A$71,0)),"")</f>
        <v/>
      </c>
      <c r="O1985" s="25">
        <f>IFERROR(INDEX(Produtos!$C$2:$C$71,MATCH(C1985,Produtos!$A$2:$A$71,0)),"")</f>
        <v/>
      </c>
      <c r="P1985" s="25">
        <f>IFERROR(INDEX(Produtos!$D$2:$D$71,MATCH(C1985,Produtos!$A$2:$A$71,0)),0)</f>
        <v/>
      </c>
      <c r="Q1985" s="25">
        <f>IFERROR(INDEX(Produtos!$E$2:$E$71,MATCH(C1985,Produtos!$A$2:$A$71,0)),0)</f>
        <v/>
      </c>
      <c r="R1985" s="27">
        <f>D1985*Q1985</f>
        <v/>
      </c>
      <c r="S1985" s="27">
        <f>R1985*E1985</f>
        <v/>
      </c>
      <c r="T1985" s="27">
        <f>(R1985-S1985)*M1985</f>
        <v/>
      </c>
      <c r="U1985" s="27">
        <f>R1985-S1985-T1985</f>
        <v/>
      </c>
      <c r="V1985" s="27">
        <f>D1985*P1985</f>
        <v/>
      </c>
      <c r="W1985" s="27">
        <f>U1985-V1985</f>
        <v/>
      </c>
      <c r="X1985" s="28">
        <f>IFERROR(W1985/U1985,0)</f>
        <v/>
      </c>
    </row>
    <row r="1986">
      <c r="A1986" s="21">
        <f>ItensPedido!A1986</f>
        <v/>
      </c>
      <c r="B1986" s="21">
        <f>ItensPedido!B1986</f>
        <v/>
      </c>
      <c r="C1986" s="21">
        <f>ItensPedido!C1986</f>
        <v/>
      </c>
      <c r="D1986" s="21">
        <f>ItensPedido!D1986</f>
        <v/>
      </c>
      <c r="E1986" s="22">
        <f>ItensPedido!E1986</f>
        <v/>
      </c>
      <c r="F1986" s="21">
        <f>IFERROR(INDEX(Pedidos!$B$2:$B$1801,MATCH(B1986,Pedidos!$A$2:$A$1801,0)),0)</f>
        <v/>
      </c>
      <c r="G1986" s="21">
        <f>IF(F1986=0,"",YEAR(F1986))</f>
        <v/>
      </c>
      <c r="H1986" s="21">
        <f>IF(F1986=0,"",MONTH(F1986))</f>
        <v/>
      </c>
      <c r="I1986" s="21">
        <f>IFERROR(INDEX(Pedidos!$E$2:$E$1801,MATCH(B1986,Pedidos!$A$2:$A$1801,0)),"")</f>
        <v/>
      </c>
      <c r="J1986" s="21">
        <f>IFERROR(INDEX(Pedidos!$C$2:$C$1801,MATCH(B1986,Pedidos!$A$2:$A$1801,0)),"")</f>
        <v/>
      </c>
      <c r="K1986" s="21">
        <f>IFERROR(INDEX(Pedidos!$D$2:$D$1801,MATCH(B1986,Pedidos!$A$2:$A$1801,0)),"")</f>
        <v/>
      </c>
      <c r="L1986" s="21">
        <f>IFERROR(INDEX(Pedidos!$F$2:$F$1801,MATCH(B1986,Pedidos!$A$2:$A$1801,0)),"")</f>
        <v/>
      </c>
      <c r="M1986" s="22">
        <f>IFERROR(INDEX(Pedidos!$G$2:$G$1801,MATCH(B1986,Pedidos!$A$2:$A$1801,0)),0)</f>
        <v/>
      </c>
      <c r="N1986" s="21">
        <f>IFERROR(INDEX(Produtos!$B$2:$B$71,MATCH(C1986,Produtos!$A$2:$A$71,0)),"")</f>
        <v/>
      </c>
      <c r="O1986" s="21">
        <f>IFERROR(INDEX(Produtos!$C$2:$C$71,MATCH(C1986,Produtos!$A$2:$A$71,0)),"")</f>
        <v/>
      </c>
      <c r="P1986" s="21">
        <f>IFERROR(INDEX(Produtos!$D$2:$D$71,MATCH(C1986,Produtos!$A$2:$A$71,0)),0)</f>
        <v/>
      </c>
      <c r="Q1986" s="21">
        <f>IFERROR(INDEX(Produtos!$E$2:$E$71,MATCH(C1986,Produtos!$A$2:$A$71,0)),0)</f>
        <v/>
      </c>
      <c r="R1986" s="23">
        <f>D1986*Q1986</f>
        <v/>
      </c>
      <c r="S1986" s="23">
        <f>R1986*E1986</f>
        <v/>
      </c>
      <c r="T1986" s="23">
        <f>(R1986-S1986)*M1986</f>
        <v/>
      </c>
      <c r="U1986" s="23">
        <f>R1986-S1986-T1986</f>
        <v/>
      </c>
      <c r="V1986" s="23">
        <f>D1986*P1986</f>
        <v/>
      </c>
      <c r="W1986" s="23">
        <f>U1986-V1986</f>
        <v/>
      </c>
      <c r="X1986" s="24">
        <f>IFERROR(W1986/U1986,0)</f>
        <v/>
      </c>
    </row>
    <row r="1987">
      <c r="A1987" s="25">
        <f>ItensPedido!A1987</f>
        <v/>
      </c>
      <c r="B1987" s="25">
        <f>ItensPedido!B1987</f>
        <v/>
      </c>
      <c r="C1987" s="25">
        <f>ItensPedido!C1987</f>
        <v/>
      </c>
      <c r="D1987" s="25">
        <f>ItensPedido!D1987</f>
        <v/>
      </c>
      <c r="E1987" s="26">
        <f>ItensPedido!E1987</f>
        <v/>
      </c>
      <c r="F1987" s="25">
        <f>IFERROR(INDEX(Pedidos!$B$2:$B$1801,MATCH(B1987,Pedidos!$A$2:$A$1801,0)),0)</f>
        <v/>
      </c>
      <c r="G1987" s="25">
        <f>IF(F1987=0,"",YEAR(F1987))</f>
        <v/>
      </c>
      <c r="H1987" s="25">
        <f>IF(F1987=0,"",MONTH(F1987))</f>
        <v/>
      </c>
      <c r="I1987" s="25">
        <f>IFERROR(INDEX(Pedidos!$E$2:$E$1801,MATCH(B1987,Pedidos!$A$2:$A$1801,0)),"")</f>
        <v/>
      </c>
      <c r="J1987" s="25">
        <f>IFERROR(INDEX(Pedidos!$C$2:$C$1801,MATCH(B1987,Pedidos!$A$2:$A$1801,0)),"")</f>
        <v/>
      </c>
      <c r="K1987" s="25">
        <f>IFERROR(INDEX(Pedidos!$D$2:$D$1801,MATCH(B1987,Pedidos!$A$2:$A$1801,0)),"")</f>
        <v/>
      </c>
      <c r="L1987" s="25">
        <f>IFERROR(INDEX(Pedidos!$F$2:$F$1801,MATCH(B1987,Pedidos!$A$2:$A$1801,0)),"")</f>
        <v/>
      </c>
      <c r="M1987" s="26">
        <f>IFERROR(INDEX(Pedidos!$G$2:$G$1801,MATCH(B1987,Pedidos!$A$2:$A$1801,0)),0)</f>
        <v/>
      </c>
      <c r="N1987" s="25">
        <f>IFERROR(INDEX(Produtos!$B$2:$B$71,MATCH(C1987,Produtos!$A$2:$A$71,0)),"")</f>
        <v/>
      </c>
      <c r="O1987" s="25">
        <f>IFERROR(INDEX(Produtos!$C$2:$C$71,MATCH(C1987,Produtos!$A$2:$A$71,0)),"")</f>
        <v/>
      </c>
      <c r="P1987" s="25">
        <f>IFERROR(INDEX(Produtos!$D$2:$D$71,MATCH(C1987,Produtos!$A$2:$A$71,0)),0)</f>
        <v/>
      </c>
      <c r="Q1987" s="25">
        <f>IFERROR(INDEX(Produtos!$E$2:$E$71,MATCH(C1987,Produtos!$A$2:$A$71,0)),0)</f>
        <v/>
      </c>
      <c r="R1987" s="27">
        <f>D1987*Q1987</f>
        <v/>
      </c>
      <c r="S1987" s="27">
        <f>R1987*E1987</f>
        <v/>
      </c>
      <c r="T1987" s="27">
        <f>(R1987-S1987)*M1987</f>
        <v/>
      </c>
      <c r="U1987" s="27">
        <f>R1987-S1987-T1987</f>
        <v/>
      </c>
      <c r="V1987" s="27">
        <f>D1987*P1987</f>
        <v/>
      </c>
      <c r="W1987" s="27">
        <f>U1987-V1987</f>
        <v/>
      </c>
      <c r="X1987" s="28">
        <f>IFERROR(W1987/U1987,0)</f>
        <v/>
      </c>
    </row>
    <row r="1988">
      <c r="A1988" s="21">
        <f>ItensPedido!A1988</f>
        <v/>
      </c>
      <c r="B1988" s="21">
        <f>ItensPedido!B1988</f>
        <v/>
      </c>
      <c r="C1988" s="21">
        <f>ItensPedido!C1988</f>
        <v/>
      </c>
      <c r="D1988" s="21">
        <f>ItensPedido!D1988</f>
        <v/>
      </c>
      <c r="E1988" s="22">
        <f>ItensPedido!E1988</f>
        <v/>
      </c>
      <c r="F1988" s="21">
        <f>IFERROR(INDEX(Pedidos!$B$2:$B$1801,MATCH(B1988,Pedidos!$A$2:$A$1801,0)),0)</f>
        <v/>
      </c>
      <c r="G1988" s="21">
        <f>IF(F1988=0,"",YEAR(F1988))</f>
        <v/>
      </c>
      <c r="H1988" s="21">
        <f>IF(F1988=0,"",MONTH(F1988))</f>
        <v/>
      </c>
      <c r="I1988" s="21">
        <f>IFERROR(INDEX(Pedidos!$E$2:$E$1801,MATCH(B1988,Pedidos!$A$2:$A$1801,0)),"")</f>
        <v/>
      </c>
      <c r="J1988" s="21">
        <f>IFERROR(INDEX(Pedidos!$C$2:$C$1801,MATCH(B1988,Pedidos!$A$2:$A$1801,0)),"")</f>
        <v/>
      </c>
      <c r="K1988" s="21">
        <f>IFERROR(INDEX(Pedidos!$D$2:$D$1801,MATCH(B1988,Pedidos!$A$2:$A$1801,0)),"")</f>
        <v/>
      </c>
      <c r="L1988" s="21">
        <f>IFERROR(INDEX(Pedidos!$F$2:$F$1801,MATCH(B1988,Pedidos!$A$2:$A$1801,0)),"")</f>
        <v/>
      </c>
      <c r="M1988" s="22">
        <f>IFERROR(INDEX(Pedidos!$G$2:$G$1801,MATCH(B1988,Pedidos!$A$2:$A$1801,0)),0)</f>
        <v/>
      </c>
      <c r="N1988" s="21">
        <f>IFERROR(INDEX(Produtos!$B$2:$B$71,MATCH(C1988,Produtos!$A$2:$A$71,0)),"")</f>
        <v/>
      </c>
      <c r="O1988" s="21">
        <f>IFERROR(INDEX(Produtos!$C$2:$C$71,MATCH(C1988,Produtos!$A$2:$A$71,0)),"")</f>
        <v/>
      </c>
      <c r="P1988" s="21">
        <f>IFERROR(INDEX(Produtos!$D$2:$D$71,MATCH(C1988,Produtos!$A$2:$A$71,0)),0)</f>
        <v/>
      </c>
      <c r="Q1988" s="21">
        <f>IFERROR(INDEX(Produtos!$E$2:$E$71,MATCH(C1988,Produtos!$A$2:$A$71,0)),0)</f>
        <v/>
      </c>
      <c r="R1988" s="23">
        <f>D1988*Q1988</f>
        <v/>
      </c>
      <c r="S1988" s="23">
        <f>R1988*E1988</f>
        <v/>
      </c>
      <c r="T1988" s="23">
        <f>(R1988-S1988)*M1988</f>
        <v/>
      </c>
      <c r="U1988" s="23">
        <f>R1988-S1988-T1988</f>
        <v/>
      </c>
      <c r="V1988" s="23">
        <f>D1988*P1988</f>
        <v/>
      </c>
      <c r="W1988" s="23">
        <f>U1988-V1988</f>
        <v/>
      </c>
      <c r="X1988" s="24">
        <f>IFERROR(W1988/U1988,0)</f>
        <v/>
      </c>
    </row>
    <row r="1989">
      <c r="A1989" s="25">
        <f>ItensPedido!A1989</f>
        <v/>
      </c>
      <c r="B1989" s="25">
        <f>ItensPedido!B1989</f>
        <v/>
      </c>
      <c r="C1989" s="25">
        <f>ItensPedido!C1989</f>
        <v/>
      </c>
      <c r="D1989" s="25">
        <f>ItensPedido!D1989</f>
        <v/>
      </c>
      <c r="E1989" s="26">
        <f>ItensPedido!E1989</f>
        <v/>
      </c>
      <c r="F1989" s="25">
        <f>IFERROR(INDEX(Pedidos!$B$2:$B$1801,MATCH(B1989,Pedidos!$A$2:$A$1801,0)),0)</f>
        <v/>
      </c>
      <c r="G1989" s="25">
        <f>IF(F1989=0,"",YEAR(F1989))</f>
        <v/>
      </c>
      <c r="H1989" s="25">
        <f>IF(F1989=0,"",MONTH(F1989))</f>
        <v/>
      </c>
      <c r="I1989" s="25">
        <f>IFERROR(INDEX(Pedidos!$E$2:$E$1801,MATCH(B1989,Pedidos!$A$2:$A$1801,0)),"")</f>
        <v/>
      </c>
      <c r="J1989" s="25">
        <f>IFERROR(INDEX(Pedidos!$C$2:$C$1801,MATCH(B1989,Pedidos!$A$2:$A$1801,0)),"")</f>
        <v/>
      </c>
      <c r="K1989" s="25">
        <f>IFERROR(INDEX(Pedidos!$D$2:$D$1801,MATCH(B1989,Pedidos!$A$2:$A$1801,0)),"")</f>
        <v/>
      </c>
      <c r="L1989" s="25">
        <f>IFERROR(INDEX(Pedidos!$F$2:$F$1801,MATCH(B1989,Pedidos!$A$2:$A$1801,0)),"")</f>
        <v/>
      </c>
      <c r="M1989" s="26">
        <f>IFERROR(INDEX(Pedidos!$G$2:$G$1801,MATCH(B1989,Pedidos!$A$2:$A$1801,0)),0)</f>
        <v/>
      </c>
      <c r="N1989" s="25">
        <f>IFERROR(INDEX(Produtos!$B$2:$B$71,MATCH(C1989,Produtos!$A$2:$A$71,0)),"")</f>
        <v/>
      </c>
      <c r="O1989" s="25">
        <f>IFERROR(INDEX(Produtos!$C$2:$C$71,MATCH(C1989,Produtos!$A$2:$A$71,0)),"")</f>
        <v/>
      </c>
      <c r="P1989" s="25">
        <f>IFERROR(INDEX(Produtos!$D$2:$D$71,MATCH(C1989,Produtos!$A$2:$A$71,0)),0)</f>
        <v/>
      </c>
      <c r="Q1989" s="25">
        <f>IFERROR(INDEX(Produtos!$E$2:$E$71,MATCH(C1989,Produtos!$A$2:$A$71,0)),0)</f>
        <v/>
      </c>
      <c r="R1989" s="27">
        <f>D1989*Q1989</f>
        <v/>
      </c>
      <c r="S1989" s="27">
        <f>R1989*E1989</f>
        <v/>
      </c>
      <c r="T1989" s="27">
        <f>(R1989-S1989)*M1989</f>
        <v/>
      </c>
      <c r="U1989" s="27">
        <f>R1989-S1989-T1989</f>
        <v/>
      </c>
      <c r="V1989" s="27">
        <f>D1989*P1989</f>
        <v/>
      </c>
      <c r="W1989" s="27">
        <f>U1989-V1989</f>
        <v/>
      </c>
      <c r="X1989" s="28">
        <f>IFERROR(W1989/U1989,0)</f>
        <v/>
      </c>
    </row>
    <row r="1990">
      <c r="A1990" s="21">
        <f>ItensPedido!A1990</f>
        <v/>
      </c>
      <c r="B1990" s="21">
        <f>ItensPedido!B1990</f>
        <v/>
      </c>
      <c r="C1990" s="21">
        <f>ItensPedido!C1990</f>
        <v/>
      </c>
      <c r="D1990" s="21">
        <f>ItensPedido!D1990</f>
        <v/>
      </c>
      <c r="E1990" s="22">
        <f>ItensPedido!E1990</f>
        <v/>
      </c>
      <c r="F1990" s="21">
        <f>IFERROR(INDEX(Pedidos!$B$2:$B$1801,MATCH(B1990,Pedidos!$A$2:$A$1801,0)),0)</f>
        <v/>
      </c>
      <c r="G1990" s="21">
        <f>IF(F1990=0,"",YEAR(F1990))</f>
        <v/>
      </c>
      <c r="H1990" s="21">
        <f>IF(F1990=0,"",MONTH(F1990))</f>
        <v/>
      </c>
      <c r="I1990" s="21">
        <f>IFERROR(INDEX(Pedidos!$E$2:$E$1801,MATCH(B1990,Pedidos!$A$2:$A$1801,0)),"")</f>
        <v/>
      </c>
      <c r="J1990" s="21">
        <f>IFERROR(INDEX(Pedidos!$C$2:$C$1801,MATCH(B1990,Pedidos!$A$2:$A$1801,0)),"")</f>
        <v/>
      </c>
      <c r="K1990" s="21">
        <f>IFERROR(INDEX(Pedidos!$D$2:$D$1801,MATCH(B1990,Pedidos!$A$2:$A$1801,0)),"")</f>
        <v/>
      </c>
      <c r="L1990" s="21">
        <f>IFERROR(INDEX(Pedidos!$F$2:$F$1801,MATCH(B1990,Pedidos!$A$2:$A$1801,0)),"")</f>
        <v/>
      </c>
      <c r="M1990" s="22">
        <f>IFERROR(INDEX(Pedidos!$G$2:$G$1801,MATCH(B1990,Pedidos!$A$2:$A$1801,0)),0)</f>
        <v/>
      </c>
      <c r="N1990" s="21">
        <f>IFERROR(INDEX(Produtos!$B$2:$B$71,MATCH(C1990,Produtos!$A$2:$A$71,0)),"")</f>
        <v/>
      </c>
      <c r="O1990" s="21">
        <f>IFERROR(INDEX(Produtos!$C$2:$C$71,MATCH(C1990,Produtos!$A$2:$A$71,0)),"")</f>
        <v/>
      </c>
      <c r="P1990" s="21">
        <f>IFERROR(INDEX(Produtos!$D$2:$D$71,MATCH(C1990,Produtos!$A$2:$A$71,0)),0)</f>
        <v/>
      </c>
      <c r="Q1990" s="21">
        <f>IFERROR(INDEX(Produtos!$E$2:$E$71,MATCH(C1990,Produtos!$A$2:$A$71,0)),0)</f>
        <v/>
      </c>
      <c r="R1990" s="23">
        <f>D1990*Q1990</f>
        <v/>
      </c>
      <c r="S1990" s="23">
        <f>R1990*E1990</f>
        <v/>
      </c>
      <c r="T1990" s="23">
        <f>(R1990-S1990)*M1990</f>
        <v/>
      </c>
      <c r="U1990" s="23">
        <f>R1990-S1990-T1990</f>
        <v/>
      </c>
      <c r="V1990" s="23">
        <f>D1990*P1990</f>
        <v/>
      </c>
      <c r="W1990" s="23">
        <f>U1990-V1990</f>
        <v/>
      </c>
      <c r="X1990" s="24">
        <f>IFERROR(W1990/U1990,0)</f>
        <v/>
      </c>
    </row>
    <row r="1991">
      <c r="A1991" s="25">
        <f>ItensPedido!A1991</f>
        <v/>
      </c>
      <c r="B1991" s="25">
        <f>ItensPedido!B1991</f>
        <v/>
      </c>
      <c r="C1991" s="25">
        <f>ItensPedido!C1991</f>
        <v/>
      </c>
      <c r="D1991" s="25">
        <f>ItensPedido!D1991</f>
        <v/>
      </c>
      <c r="E1991" s="26">
        <f>ItensPedido!E1991</f>
        <v/>
      </c>
      <c r="F1991" s="25">
        <f>IFERROR(INDEX(Pedidos!$B$2:$B$1801,MATCH(B1991,Pedidos!$A$2:$A$1801,0)),0)</f>
        <v/>
      </c>
      <c r="G1991" s="25">
        <f>IF(F1991=0,"",YEAR(F1991))</f>
        <v/>
      </c>
      <c r="H1991" s="25">
        <f>IF(F1991=0,"",MONTH(F1991))</f>
        <v/>
      </c>
      <c r="I1991" s="25">
        <f>IFERROR(INDEX(Pedidos!$E$2:$E$1801,MATCH(B1991,Pedidos!$A$2:$A$1801,0)),"")</f>
        <v/>
      </c>
      <c r="J1991" s="25">
        <f>IFERROR(INDEX(Pedidos!$C$2:$C$1801,MATCH(B1991,Pedidos!$A$2:$A$1801,0)),"")</f>
        <v/>
      </c>
      <c r="K1991" s="25">
        <f>IFERROR(INDEX(Pedidos!$D$2:$D$1801,MATCH(B1991,Pedidos!$A$2:$A$1801,0)),"")</f>
        <v/>
      </c>
      <c r="L1991" s="25">
        <f>IFERROR(INDEX(Pedidos!$F$2:$F$1801,MATCH(B1991,Pedidos!$A$2:$A$1801,0)),"")</f>
        <v/>
      </c>
      <c r="M1991" s="26">
        <f>IFERROR(INDEX(Pedidos!$G$2:$G$1801,MATCH(B1991,Pedidos!$A$2:$A$1801,0)),0)</f>
        <v/>
      </c>
      <c r="N1991" s="25">
        <f>IFERROR(INDEX(Produtos!$B$2:$B$71,MATCH(C1991,Produtos!$A$2:$A$71,0)),"")</f>
        <v/>
      </c>
      <c r="O1991" s="25">
        <f>IFERROR(INDEX(Produtos!$C$2:$C$71,MATCH(C1991,Produtos!$A$2:$A$71,0)),"")</f>
        <v/>
      </c>
      <c r="P1991" s="25">
        <f>IFERROR(INDEX(Produtos!$D$2:$D$71,MATCH(C1991,Produtos!$A$2:$A$71,0)),0)</f>
        <v/>
      </c>
      <c r="Q1991" s="25">
        <f>IFERROR(INDEX(Produtos!$E$2:$E$71,MATCH(C1991,Produtos!$A$2:$A$71,0)),0)</f>
        <v/>
      </c>
      <c r="R1991" s="27">
        <f>D1991*Q1991</f>
        <v/>
      </c>
      <c r="S1991" s="27">
        <f>R1991*E1991</f>
        <v/>
      </c>
      <c r="T1991" s="27">
        <f>(R1991-S1991)*M1991</f>
        <v/>
      </c>
      <c r="U1991" s="27">
        <f>R1991-S1991-T1991</f>
        <v/>
      </c>
      <c r="V1991" s="27">
        <f>D1991*P1991</f>
        <v/>
      </c>
      <c r="W1991" s="27">
        <f>U1991-V1991</f>
        <v/>
      </c>
      <c r="X1991" s="28">
        <f>IFERROR(W1991/U1991,0)</f>
        <v/>
      </c>
    </row>
    <row r="1992">
      <c r="A1992" s="21">
        <f>ItensPedido!A1992</f>
        <v/>
      </c>
      <c r="B1992" s="21">
        <f>ItensPedido!B1992</f>
        <v/>
      </c>
      <c r="C1992" s="21">
        <f>ItensPedido!C1992</f>
        <v/>
      </c>
      <c r="D1992" s="21">
        <f>ItensPedido!D1992</f>
        <v/>
      </c>
      <c r="E1992" s="22">
        <f>ItensPedido!E1992</f>
        <v/>
      </c>
      <c r="F1992" s="21">
        <f>IFERROR(INDEX(Pedidos!$B$2:$B$1801,MATCH(B1992,Pedidos!$A$2:$A$1801,0)),0)</f>
        <v/>
      </c>
      <c r="G1992" s="21">
        <f>IF(F1992=0,"",YEAR(F1992))</f>
        <v/>
      </c>
      <c r="H1992" s="21">
        <f>IF(F1992=0,"",MONTH(F1992))</f>
        <v/>
      </c>
      <c r="I1992" s="21">
        <f>IFERROR(INDEX(Pedidos!$E$2:$E$1801,MATCH(B1992,Pedidos!$A$2:$A$1801,0)),"")</f>
        <v/>
      </c>
      <c r="J1992" s="21">
        <f>IFERROR(INDEX(Pedidos!$C$2:$C$1801,MATCH(B1992,Pedidos!$A$2:$A$1801,0)),"")</f>
        <v/>
      </c>
      <c r="K1992" s="21">
        <f>IFERROR(INDEX(Pedidos!$D$2:$D$1801,MATCH(B1992,Pedidos!$A$2:$A$1801,0)),"")</f>
        <v/>
      </c>
      <c r="L1992" s="21">
        <f>IFERROR(INDEX(Pedidos!$F$2:$F$1801,MATCH(B1992,Pedidos!$A$2:$A$1801,0)),"")</f>
        <v/>
      </c>
      <c r="M1992" s="22">
        <f>IFERROR(INDEX(Pedidos!$G$2:$G$1801,MATCH(B1992,Pedidos!$A$2:$A$1801,0)),0)</f>
        <v/>
      </c>
      <c r="N1992" s="21">
        <f>IFERROR(INDEX(Produtos!$B$2:$B$71,MATCH(C1992,Produtos!$A$2:$A$71,0)),"")</f>
        <v/>
      </c>
      <c r="O1992" s="21">
        <f>IFERROR(INDEX(Produtos!$C$2:$C$71,MATCH(C1992,Produtos!$A$2:$A$71,0)),"")</f>
        <v/>
      </c>
      <c r="P1992" s="21">
        <f>IFERROR(INDEX(Produtos!$D$2:$D$71,MATCH(C1992,Produtos!$A$2:$A$71,0)),0)</f>
        <v/>
      </c>
      <c r="Q1992" s="21">
        <f>IFERROR(INDEX(Produtos!$E$2:$E$71,MATCH(C1992,Produtos!$A$2:$A$71,0)),0)</f>
        <v/>
      </c>
      <c r="R1992" s="23">
        <f>D1992*Q1992</f>
        <v/>
      </c>
      <c r="S1992" s="23">
        <f>R1992*E1992</f>
        <v/>
      </c>
      <c r="T1992" s="23">
        <f>(R1992-S1992)*M1992</f>
        <v/>
      </c>
      <c r="U1992" s="23">
        <f>R1992-S1992-T1992</f>
        <v/>
      </c>
      <c r="V1992" s="23">
        <f>D1992*P1992</f>
        <v/>
      </c>
      <c r="W1992" s="23">
        <f>U1992-V1992</f>
        <v/>
      </c>
      <c r="X1992" s="24">
        <f>IFERROR(W1992/U1992,0)</f>
        <v/>
      </c>
    </row>
    <row r="1993">
      <c r="A1993" s="25">
        <f>ItensPedido!A1993</f>
        <v/>
      </c>
      <c r="B1993" s="25">
        <f>ItensPedido!B1993</f>
        <v/>
      </c>
      <c r="C1993" s="25">
        <f>ItensPedido!C1993</f>
        <v/>
      </c>
      <c r="D1993" s="25">
        <f>ItensPedido!D1993</f>
        <v/>
      </c>
      <c r="E1993" s="26">
        <f>ItensPedido!E1993</f>
        <v/>
      </c>
      <c r="F1993" s="25">
        <f>IFERROR(INDEX(Pedidos!$B$2:$B$1801,MATCH(B1993,Pedidos!$A$2:$A$1801,0)),0)</f>
        <v/>
      </c>
      <c r="G1993" s="25">
        <f>IF(F1993=0,"",YEAR(F1993))</f>
        <v/>
      </c>
      <c r="H1993" s="25">
        <f>IF(F1993=0,"",MONTH(F1993))</f>
        <v/>
      </c>
      <c r="I1993" s="25">
        <f>IFERROR(INDEX(Pedidos!$E$2:$E$1801,MATCH(B1993,Pedidos!$A$2:$A$1801,0)),"")</f>
        <v/>
      </c>
      <c r="J1993" s="25">
        <f>IFERROR(INDEX(Pedidos!$C$2:$C$1801,MATCH(B1993,Pedidos!$A$2:$A$1801,0)),"")</f>
        <v/>
      </c>
      <c r="K1993" s="25">
        <f>IFERROR(INDEX(Pedidos!$D$2:$D$1801,MATCH(B1993,Pedidos!$A$2:$A$1801,0)),"")</f>
        <v/>
      </c>
      <c r="L1993" s="25">
        <f>IFERROR(INDEX(Pedidos!$F$2:$F$1801,MATCH(B1993,Pedidos!$A$2:$A$1801,0)),"")</f>
        <v/>
      </c>
      <c r="M1993" s="26">
        <f>IFERROR(INDEX(Pedidos!$G$2:$G$1801,MATCH(B1993,Pedidos!$A$2:$A$1801,0)),0)</f>
        <v/>
      </c>
      <c r="N1993" s="25">
        <f>IFERROR(INDEX(Produtos!$B$2:$B$71,MATCH(C1993,Produtos!$A$2:$A$71,0)),"")</f>
        <v/>
      </c>
      <c r="O1993" s="25">
        <f>IFERROR(INDEX(Produtos!$C$2:$C$71,MATCH(C1993,Produtos!$A$2:$A$71,0)),"")</f>
        <v/>
      </c>
      <c r="P1993" s="25">
        <f>IFERROR(INDEX(Produtos!$D$2:$D$71,MATCH(C1993,Produtos!$A$2:$A$71,0)),0)</f>
        <v/>
      </c>
      <c r="Q1993" s="25">
        <f>IFERROR(INDEX(Produtos!$E$2:$E$71,MATCH(C1993,Produtos!$A$2:$A$71,0)),0)</f>
        <v/>
      </c>
      <c r="R1993" s="27">
        <f>D1993*Q1993</f>
        <v/>
      </c>
      <c r="S1993" s="27">
        <f>R1993*E1993</f>
        <v/>
      </c>
      <c r="T1993" s="27">
        <f>(R1993-S1993)*M1993</f>
        <v/>
      </c>
      <c r="U1993" s="27">
        <f>R1993-S1993-T1993</f>
        <v/>
      </c>
      <c r="V1993" s="27">
        <f>D1993*P1993</f>
        <v/>
      </c>
      <c r="W1993" s="27">
        <f>U1993-V1993</f>
        <v/>
      </c>
      <c r="X1993" s="28">
        <f>IFERROR(W1993/U1993,0)</f>
        <v/>
      </c>
    </row>
    <row r="1994">
      <c r="A1994" s="21">
        <f>ItensPedido!A1994</f>
        <v/>
      </c>
      <c r="B1994" s="21">
        <f>ItensPedido!B1994</f>
        <v/>
      </c>
      <c r="C1994" s="21">
        <f>ItensPedido!C1994</f>
        <v/>
      </c>
      <c r="D1994" s="21">
        <f>ItensPedido!D1994</f>
        <v/>
      </c>
      <c r="E1994" s="22">
        <f>ItensPedido!E1994</f>
        <v/>
      </c>
      <c r="F1994" s="21">
        <f>IFERROR(INDEX(Pedidos!$B$2:$B$1801,MATCH(B1994,Pedidos!$A$2:$A$1801,0)),0)</f>
        <v/>
      </c>
      <c r="G1994" s="21">
        <f>IF(F1994=0,"",YEAR(F1994))</f>
        <v/>
      </c>
      <c r="H1994" s="21">
        <f>IF(F1994=0,"",MONTH(F1994))</f>
        <v/>
      </c>
      <c r="I1994" s="21">
        <f>IFERROR(INDEX(Pedidos!$E$2:$E$1801,MATCH(B1994,Pedidos!$A$2:$A$1801,0)),"")</f>
        <v/>
      </c>
      <c r="J1994" s="21">
        <f>IFERROR(INDEX(Pedidos!$C$2:$C$1801,MATCH(B1994,Pedidos!$A$2:$A$1801,0)),"")</f>
        <v/>
      </c>
      <c r="K1994" s="21">
        <f>IFERROR(INDEX(Pedidos!$D$2:$D$1801,MATCH(B1994,Pedidos!$A$2:$A$1801,0)),"")</f>
        <v/>
      </c>
      <c r="L1994" s="21">
        <f>IFERROR(INDEX(Pedidos!$F$2:$F$1801,MATCH(B1994,Pedidos!$A$2:$A$1801,0)),"")</f>
        <v/>
      </c>
      <c r="M1994" s="22">
        <f>IFERROR(INDEX(Pedidos!$G$2:$G$1801,MATCH(B1994,Pedidos!$A$2:$A$1801,0)),0)</f>
        <v/>
      </c>
      <c r="N1994" s="21">
        <f>IFERROR(INDEX(Produtos!$B$2:$B$71,MATCH(C1994,Produtos!$A$2:$A$71,0)),"")</f>
        <v/>
      </c>
      <c r="O1994" s="21">
        <f>IFERROR(INDEX(Produtos!$C$2:$C$71,MATCH(C1994,Produtos!$A$2:$A$71,0)),"")</f>
        <v/>
      </c>
      <c r="P1994" s="21">
        <f>IFERROR(INDEX(Produtos!$D$2:$D$71,MATCH(C1994,Produtos!$A$2:$A$71,0)),0)</f>
        <v/>
      </c>
      <c r="Q1994" s="21">
        <f>IFERROR(INDEX(Produtos!$E$2:$E$71,MATCH(C1994,Produtos!$A$2:$A$71,0)),0)</f>
        <v/>
      </c>
      <c r="R1994" s="23">
        <f>D1994*Q1994</f>
        <v/>
      </c>
      <c r="S1994" s="23">
        <f>R1994*E1994</f>
        <v/>
      </c>
      <c r="T1994" s="23">
        <f>(R1994-S1994)*M1994</f>
        <v/>
      </c>
      <c r="U1994" s="23">
        <f>R1994-S1994-T1994</f>
        <v/>
      </c>
      <c r="V1994" s="23">
        <f>D1994*P1994</f>
        <v/>
      </c>
      <c r="W1994" s="23">
        <f>U1994-V1994</f>
        <v/>
      </c>
      <c r="X1994" s="24">
        <f>IFERROR(W1994/U1994,0)</f>
        <v/>
      </c>
    </row>
    <row r="1995">
      <c r="A1995" s="25">
        <f>ItensPedido!A1995</f>
        <v/>
      </c>
      <c r="B1995" s="25">
        <f>ItensPedido!B1995</f>
        <v/>
      </c>
      <c r="C1995" s="25">
        <f>ItensPedido!C1995</f>
        <v/>
      </c>
      <c r="D1995" s="25">
        <f>ItensPedido!D1995</f>
        <v/>
      </c>
      <c r="E1995" s="26">
        <f>ItensPedido!E1995</f>
        <v/>
      </c>
      <c r="F1995" s="25">
        <f>IFERROR(INDEX(Pedidos!$B$2:$B$1801,MATCH(B1995,Pedidos!$A$2:$A$1801,0)),0)</f>
        <v/>
      </c>
      <c r="G1995" s="25">
        <f>IF(F1995=0,"",YEAR(F1995))</f>
        <v/>
      </c>
      <c r="H1995" s="25">
        <f>IF(F1995=0,"",MONTH(F1995))</f>
        <v/>
      </c>
      <c r="I1995" s="25">
        <f>IFERROR(INDEX(Pedidos!$E$2:$E$1801,MATCH(B1995,Pedidos!$A$2:$A$1801,0)),"")</f>
        <v/>
      </c>
      <c r="J1995" s="25">
        <f>IFERROR(INDEX(Pedidos!$C$2:$C$1801,MATCH(B1995,Pedidos!$A$2:$A$1801,0)),"")</f>
        <v/>
      </c>
      <c r="K1995" s="25">
        <f>IFERROR(INDEX(Pedidos!$D$2:$D$1801,MATCH(B1995,Pedidos!$A$2:$A$1801,0)),"")</f>
        <v/>
      </c>
      <c r="L1995" s="25">
        <f>IFERROR(INDEX(Pedidos!$F$2:$F$1801,MATCH(B1995,Pedidos!$A$2:$A$1801,0)),"")</f>
        <v/>
      </c>
      <c r="M1995" s="26">
        <f>IFERROR(INDEX(Pedidos!$G$2:$G$1801,MATCH(B1995,Pedidos!$A$2:$A$1801,0)),0)</f>
        <v/>
      </c>
      <c r="N1995" s="25">
        <f>IFERROR(INDEX(Produtos!$B$2:$B$71,MATCH(C1995,Produtos!$A$2:$A$71,0)),"")</f>
        <v/>
      </c>
      <c r="O1995" s="25">
        <f>IFERROR(INDEX(Produtos!$C$2:$C$71,MATCH(C1995,Produtos!$A$2:$A$71,0)),"")</f>
        <v/>
      </c>
      <c r="P1995" s="25">
        <f>IFERROR(INDEX(Produtos!$D$2:$D$71,MATCH(C1995,Produtos!$A$2:$A$71,0)),0)</f>
        <v/>
      </c>
      <c r="Q1995" s="25">
        <f>IFERROR(INDEX(Produtos!$E$2:$E$71,MATCH(C1995,Produtos!$A$2:$A$71,0)),0)</f>
        <v/>
      </c>
      <c r="R1995" s="27">
        <f>D1995*Q1995</f>
        <v/>
      </c>
      <c r="S1995" s="27">
        <f>R1995*E1995</f>
        <v/>
      </c>
      <c r="T1995" s="27">
        <f>(R1995-S1995)*M1995</f>
        <v/>
      </c>
      <c r="U1995" s="27">
        <f>R1995-S1995-T1995</f>
        <v/>
      </c>
      <c r="V1995" s="27">
        <f>D1995*P1995</f>
        <v/>
      </c>
      <c r="W1995" s="27">
        <f>U1995-V1995</f>
        <v/>
      </c>
      <c r="X1995" s="28">
        <f>IFERROR(W1995/U1995,0)</f>
        <v/>
      </c>
    </row>
    <row r="1996">
      <c r="A1996" s="21">
        <f>ItensPedido!A1996</f>
        <v/>
      </c>
      <c r="B1996" s="21">
        <f>ItensPedido!B1996</f>
        <v/>
      </c>
      <c r="C1996" s="21">
        <f>ItensPedido!C1996</f>
        <v/>
      </c>
      <c r="D1996" s="21">
        <f>ItensPedido!D1996</f>
        <v/>
      </c>
      <c r="E1996" s="22">
        <f>ItensPedido!E1996</f>
        <v/>
      </c>
      <c r="F1996" s="21">
        <f>IFERROR(INDEX(Pedidos!$B$2:$B$1801,MATCH(B1996,Pedidos!$A$2:$A$1801,0)),0)</f>
        <v/>
      </c>
      <c r="G1996" s="21">
        <f>IF(F1996=0,"",YEAR(F1996))</f>
        <v/>
      </c>
      <c r="H1996" s="21">
        <f>IF(F1996=0,"",MONTH(F1996))</f>
        <v/>
      </c>
      <c r="I1996" s="21">
        <f>IFERROR(INDEX(Pedidos!$E$2:$E$1801,MATCH(B1996,Pedidos!$A$2:$A$1801,0)),"")</f>
        <v/>
      </c>
      <c r="J1996" s="21">
        <f>IFERROR(INDEX(Pedidos!$C$2:$C$1801,MATCH(B1996,Pedidos!$A$2:$A$1801,0)),"")</f>
        <v/>
      </c>
      <c r="K1996" s="21">
        <f>IFERROR(INDEX(Pedidos!$D$2:$D$1801,MATCH(B1996,Pedidos!$A$2:$A$1801,0)),"")</f>
        <v/>
      </c>
      <c r="L1996" s="21">
        <f>IFERROR(INDEX(Pedidos!$F$2:$F$1801,MATCH(B1996,Pedidos!$A$2:$A$1801,0)),"")</f>
        <v/>
      </c>
      <c r="M1996" s="22">
        <f>IFERROR(INDEX(Pedidos!$G$2:$G$1801,MATCH(B1996,Pedidos!$A$2:$A$1801,0)),0)</f>
        <v/>
      </c>
      <c r="N1996" s="21">
        <f>IFERROR(INDEX(Produtos!$B$2:$B$71,MATCH(C1996,Produtos!$A$2:$A$71,0)),"")</f>
        <v/>
      </c>
      <c r="O1996" s="21">
        <f>IFERROR(INDEX(Produtos!$C$2:$C$71,MATCH(C1996,Produtos!$A$2:$A$71,0)),"")</f>
        <v/>
      </c>
      <c r="P1996" s="21">
        <f>IFERROR(INDEX(Produtos!$D$2:$D$71,MATCH(C1996,Produtos!$A$2:$A$71,0)),0)</f>
        <v/>
      </c>
      <c r="Q1996" s="21">
        <f>IFERROR(INDEX(Produtos!$E$2:$E$71,MATCH(C1996,Produtos!$A$2:$A$71,0)),0)</f>
        <v/>
      </c>
      <c r="R1996" s="23">
        <f>D1996*Q1996</f>
        <v/>
      </c>
      <c r="S1996" s="23">
        <f>R1996*E1996</f>
        <v/>
      </c>
      <c r="T1996" s="23">
        <f>(R1996-S1996)*M1996</f>
        <v/>
      </c>
      <c r="U1996" s="23">
        <f>R1996-S1996-T1996</f>
        <v/>
      </c>
      <c r="V1996" s="23">
        <f>D1996*P1996</f>
        <v/>
      </c>
      <c r="W1996" s="23">
        <f>U1996-V1996</f>
        <v/>
      </c>
      <c r="X1996" s="24">
        <f>IFERROR(W1996/U1996,0)</f>
        <v/>
      </c>
    </row>
    <row r="1997">
      <c r="A1997" s="25">
        <f>ItensPedido!A1997</f>
        <v/>
      </c>
      <c r="B1997" s="25">
        <f>ItensPedido!B1997</f>
        <v/>
      </c>
      <c r="C1997" s="25">
        <f>ItensPedido!C1997</f>
        <v/>
      </c>
      <c r="D1997" s="25">
        <f>ItensPedido!D1997</f>
        <v/>
      </c>
      <c r="E1997" s="26">
        <f>ItensPedido!E1997</f>
        <v/>
      </c>
      <c r="F1997" s="25">
        <f>IFERROR(INDEX(Pedidos!$B$2:$B$1801,MATCH(B1997,Pedidos!$A$2:$A$1801,0)),0)</f>
        <v/>
      </c>
      <c r="G1997" s="25">
        <f>IF(F1997=0,"",YEAR(F1997))</f>
        <v/>
      </c>
      <c r="H1997" s="25">
        <f>IF(F1997=0,"",MONTH(F1997))</f>
        <v/>
      </c>
      <c r="I1997" s="25">
        <f>IFERROR(INDEX(Pedidos!$E$2:$E$1801,MATCH(B1997,Pedidos!$A$2:$A$1801,0)),"")</f>
        <v/>
      </c>
      <c r="J1997" s="25">
        <f>IFERROR(INDEX(Pedidos!$C$2:$C$1801,MATCH(B1997,Pedidos!$A$2:$A$1801,0)),"")</f>
        <v/>
      </c>
      <c r="K1997" s="25">
        <f>IFERROR(INDEX(Pedidos!$D$2:$D$1801,MATCH(B1997,Pedidos!$A$2:$A$1801,0)),"")</f>
        <v/>
      </c>
      <c r="L1997" s="25">
        <f>IFERROR(INDEX(Pedidos!$F$2:$F$1801,MATCH(B1997,Pedidos!$A$2:$A$1801,0)),"")</f>
        <v/>
      </c>
      <c r="M1997" s="26">
        <f>IFERROR(INDEX(Pedidos!$G$2:$G$1801,MATCH(B1997,Pedidos!$A$2:$A$1801,0)),0)</f>
        <v/>
      </c>
      <c r="N1997" s="25">
        <f>IFERROR(INDEX(Produtos!$B$2:$B$71,MATCH(C1997,Produtos!$A$2:$A$71,0)),"")</f>
        <v/>
      </c>
      <c r="O1997" s="25">
        <f>IFERROR(INDEX(Produtos!$C$2:$C$71,MATCH(C1997,Produtos!$A$2:$A$71,0)),"")</f>
        <v/>
      </c>
      <c r="P1997" s="25">
        <f>IFERROR(INDEX(Produtos!$D$2:$D$71,MATCH(C1997,Produtos!$A$2:$A$71,0)),0)</f>
        <v/>
      </c>
      <c r="Q1997" s="25">
        <f>IFERROR(INDEX(Produtos!$E$2:$E$71,MATCH(C1997,Produtos!$A$2:$A$71,0)),0)</f>
        <v/>
      </c>
      <c r="R1997" s="27">
        <f>D1997*Q1997</f>
        <v/>
      </c>
      <c r="S1997" s="27">
        <f>R1997*E1997</f>
        <v/>
      </c>
      <c r="T1997" s="27">
        <f>(R1997-S1997)*M1997</f>
        <v/>
      </c>
      <c r="U1997" s="27">
        <f>R1997-S1997-T1997</f>
        <v/>
      </c>
      <c r="V1997" s="27">
        <f>D1997*P1997</f>
        <v/>
      </c>
      <c r="W1997" s="27">
        <f>U1997-V1997</f>
        <v/>
      </c>
      <c r="X1997" s="28">
        <f>IFERROR(W1997/U1997,0)</f>
        <v/>
      </c>
    </row>
    <row r="1998">
      <c r="A1998" s="21">
        <f>ItensPedido!A1998</f>
        <v/>
      </c>
      <c r="B1998" s="21">
        <f>ItensPedido!B1998</f>
        <v/>
      </c>
      <c r="C1998" s="21">
        <f>ItensPedido!C1998</f>
        <v/>
      </c>
      <c r="D1998" s="21">
        <f>ItensPedido!D1998</f>
        <v/>
      </c>
      <c r="E1998" s="22">
        <f>ItensPedido!E1998</f>
        <v/>
      </c>
      <c r="F1998" s="21">
        <f>IFERROR(INDEX(Pedidos!$B$2:$B$1801,MATCH(B1998,Pedidos!$A$2:$A$1801,0)),0)</f>
        <v/>
      </c>
      <c r="G1998" s="21">
        <f>IF(F1998=0,"",YEAR(F1998))</f>
        <v/>
      </c>
      <c r="H1998" s="21">
        <f>IF(F1998=0,"",MONTH(F1998))</f>
        <v/>
      </c>
      <c r="I1998" s="21">
        <f>IFERROR(INDEX(Pedidos!$E$2:$E$1801,MATCH(B1998,Pedidos!$A$2:$A$1801,0)),"")</f>
        <v/>
      </c>
      <c r="J1998" s="21">
        <f>IFERROR(INDEX(Pedidos!$C$2:$C$1801,MATCH(B1998,Pedidos!$A$2:$A$1801,0)),"")</f>
        <v/>
      </c>
      <c r="K1998" s="21">
        <f>IFERROR(INDEX(Pedidos!$D$2:$D$1801,MATCH(B1998,Pedidos!$A$2:$A$1801,0)),"")</f>
        <v/>
      </c>
      <c r="L1998" s="21">
        <f>IFERROR(INDEX(Pedidos!$F$2:$F$1801,MATCH(B1998,Pedidos!$A$2:$A$1801,0)),"")</f>
        <v/>
      </c>
      <c r="M1998" s="22">
        <f>IFERROR(INDEX(Pedidos!$G$2:$G$1801,MATCH(B1998,Pedidos!$A$2:$A$1801,0)),0)</f>
        <v/>
      </c>
      <c r="N1998" s="21">
        <f>IFERROR(INDEX(Produtos!$B$2:$B$71,MATCH(C1998,Produtos!$A$2:$A$71,0)),"")</f>
        <v/>
      </c>
      <c r="O1998" s="21">
        <f>IFERROR(INDEX(Produtos!$C$2:$C$71,MATCH(C1998,Produtos!$A$2:$A$71,0)),"")</f>
        <v/>
      </c>
      <c r="P1998" s="21">
        <f>IFERROR(INDEX(Produtos!$D$2:$D$71,MATCH(C1998,Produtos!$A$2:$A$71,0)),0)</f>
        <v/>
      </c>
      <c r="Q1998" s="21">
        <f>IFERROR(INDEX(Produtos!$E$2:$E$71,MATCH(C1998,Produtos!$A$2:$A$71,0)),0)</f>
        <v/>
      </c>
      <c r="R1998" s="23">
        <f>D1998*Q1998</f>
        <v/>
      </c>
      <c r="S1998" s="23">
        <f>R1998*E1998</f>
        <v/>
      </c>
      <c r="T1998" s="23">
        <f>(R1998-S1998)*M1998</f>
        <v/>
      </c>
      <c r="U1998" s="23">
        <f>R1998-S1998-T1998</f>
        <v/>
      </c>
      <c r="V1998" s="23">
        <f>D1998*P1998</f>
        <v/>
      </c>
      <c r="W1998" s="23">
        <f>U1998-V1998</f>
        <v/>
      </c>
      <c r="X1998" s="24">
        <f>IFERROR(W1998/U1998,0)</f>
        <v/>
      </c>
    </row>
    <row r="1999">
      <c r="A1999" s="25">
        <f>ItensPedido!A1999</f>
        <v/>
      </c>
      <c r="B1999" s="25">
        <f>ItensPedido!B1999</f>
        <v/>
      </c>
      <c r="C1999" s="25">
        <f>ItensPedido!C1999</f>
        <v/>
      </c>
      <c r="D1999" s="25">
        <f>ItensPedido!D1999</f>
        <v/>
      </c>
      <c r="E1999" s="26">
        <f>ItensPedido!E1999</f>
        <v/>
      </c>
      <c r="F1999" s="25">
        <f>IFERROR(INDEX(Pedidos!$B$2:$B$1801,MATCH(B1999,Pedidos!$A$2:$A$1801,0)),0)</f>
        <v/>
      </c>
      <c r="G1999" s="25">
        <f>IF(F1999=0,"",YEAR(F1999))</f>
        <v/>
      </c>
      <c r="H1999" s="25">
        <f>IF(F1999=0,"",MONTH(F1999))</f>
        <v/>
      </c>
      <c r="I1999" s="25">
        <f>IFERROR(INDEX(Pedidos!$E$2:$E$1801,MATCH(B1999,Pedidos!$A$2:$A$1801,0)),"")</f>
        <v/>
      </c>
      <c r="J1999" s="25">
        <f>IFERROR(INDEX(Pedidos!$C$2:$C$1801,MATCH(B1999,Pedidos!$A$2:$A$1801,0)),"")</f>
        <v/>
      </c>
      <c r="K1999" s="25">
        <f>IFERROR(INDEX(Pedidos!$D$2:$D$1801,MATCH(B1999,Pedidos!$A$2:$A$1801,0)),"")</f>
        <v/>
      </c>
      <c r="L1999" s="25">
        <f>IFERROR(INDEX(Pedidos!$F$2:$F$1801,MATCH(B1999,Pedidos!$A$2:$A$1801,0)),"")</f>
        <v/>
      </c>
      <c r="M1999" s="26">
        <f>IFERROR(INDEX(Pedidos!$G$2:$G$1801,MATCH(B1999,Pedidos!$A$2:$A$1801,0)),0)</f>
        <v/>
      </c>
      <c r="N1999" s="25">
        <f>IFERROR(INDEX(Produtos!$B$2:$B$71,MATCH(C1999,Produtos!$A$2:$A$71,0)),"")</f>
        <v/>
      </c>
      <c r="O1999" s="25">
        <f>IFERROR(INDEX(Produtos!$C$2:$C$71,MATCH(C1999,Produtos!$A$2:$A$71,0)),"")</f>
        <v/>
      </c>
      <c r="P1999" s="25">
        <f>IFERROR(INDEX(Produtos!$D$2:$D$71,MATCH(C1999,Produtos!$A$2:$A$71,0)),0)</f>
        <v/>
      </c>
      <c r="Q1999" s="25">
        <f>IFERROR(INDEX(Produtos!$E$2:$E$71,MATCH(C1999,Produtos!$A$2:$A$71,0)),0)</f>
        <v/>
      </c>
      <c r="R1999" s="27">
        <f>D1999*Q1999</f>
        <v/>
      </c>
      <c r="S1999" s="27">
        <f>R1999*E1999</f>
        <v/>
      </c>
      <c r="T1999" s="27">
        <f>(R1999-S1999)*M1999</f>
        <v/>
      </c>
      <c r="U1999" s="27">
        <f>R1999-S1999-T1999</f>
        <v/>
      </c>
      <c r="V1999" s="27">
        <f>D1999*P1999</f>
        <v/>
      </c>
      <c r="W1999" s="27">
        <f>U1999-V1999</f>
        <v/>
      </c>
      <c r="X1999" s="28">
        <f>IFERROR(W1999/U1999,0)</f>
        <v/>
      </c>
    </row>
    <row r="2000">
      <c r="A2000" s="21">
        <f>ItensPedido!A2000</f>
        <v/>
      </c>
      <c r="B2000" s="21">
        <f>ItensPedido!B2000</f>
        <v/>
      </c>
      <c r="C2000" s="21">
        <f>ItensPedido!C2000</f>
        <v/>
      </c>
      <c r="D2000" s="21">
        <f>ItensPedido!D2000</f>
        <v/>
      </c>
      <c r="E2000" s="22">
        <f>ItensPedido!E2000</f>
        <v/>
      </c>
      <c r="F2000" s="21">
        <f>IFERROR(INDEX(Pedidos!$B$2:$B$1801,MATCH(B2000,Pedidos!$A$2:$A$1801,0)),0)</f>
        <v/>
      </c>
      <c r="G2000" s="21">
        <f>IF(F2000=0,"",YEAR(F2000))</f>
        <v/>
      </c>
      <c r="H2000" s="21">
        <f>IF(F2000=0,"",MONTH(F2000))</f>
        <v/>
      </c>
      <c r="I2000" s="21">
        <f>IFERROR(INDEX(Pedidos!$E$2:$E$1801,MATCH(B2000,Pedidos!$A$2:$A$1801,0)),"")</f>
        <v/>
      </c>
      <c r="J2000" s="21">
        <f>IFERROR(INDEX(Pedidos!$C$2:$C$1801,MATCH(B2000,Pedidos!$A$2:$A$1801,0)),"")</f>
        <v/>
      </c>
      <c r="K2000" s="21">
        <f>IFERROR(INDEX(Pedidos!$D$2:$D$1801,MATCH(B2000,Pedidos!$A$2:$A$1801,0)),"")</f>
        <v/>
      </c>
      <c r="L2000" s="21">
        <f>IFERROR(INDEX(Pedidos!$F$2:$F$1801,MATCH(B2000,Pedidos!$A$2:$A$1801,0)),"")</f>
        <v/>
      </c>
      <c r="M2000" s="22">
        <f>IFERROR(INDEX(Pedidos!$G$2:$G$1801,MATCH(B2000,Pedidos!$A$2:$A$1801,0)),0)</f>
        <v/>
      </c>
      <c r="N2000" s="21">
        <f>IFERROR(INDEX(Produtos!$B$2:$B$71,MATCH(C2000,Produtos!$A$2:$A$71,0)),"")</f>
        <v/>
      </c>
      <c r="O2000" s="21">
        <f>IFERROR(INDEX(Produtos!$C$2:$C$71,MATCH(C2000,Produtos!$A$2:$A$71,0)),"")</f>
        <v/>
      </c>
      <c r="P2000" s="21">
        <f>IFERROR(INDEX(Produtos!$D$2:$D$71,MATCH(C2000,Produtos!$A$2:$A$71,0)),0)</f>
        <v/>
      </c>
      <c r="Q2000" s="21">
        <f>IFERROR(INDEX(Produtos!$E$2:$E$71,MATCH(C2000,Produtos!$A$2:$A$71,0)),0)</f>
        <v/>
      </c>
      <c r="R2000" s="23">
        <f>D2000*Q2000</f>
        <v/>
      </c>
      <c r="S2000" s="23">
        <f>R2000*E2000</f>
        <v/>
      </c>
      <c r="T2000" s="23">
        <f>(R2000-S2000)*M2000</f>
        <v/>
      </c>
      <c r="U2000" s="23">
        <f>R2000-S2000-T2000</f>
        <v/>
      </c>
      <c r="V2000" s="23">
        <f>D2000*P2000</f>
        <v/>
      </c>
      <c r="W2000" s="23">
        <f>U2000-V2000</f>
        <v/>
      </c>
      <c r="X2000" s="24">
        <f>IFERROR(W2000/U2000,0)</f>
        <v/>
      </c>
    </row>
    <row r="2001">
      <c r="A2001" s="25">
        <f>ItensPedido!A2001</f>
        <v/>
      </c>
      <c r="B2001" s="25">
        <f>ItensPedido!B2001</f>
        <v/>
      </c>
      <c r="C2001" s="25">
        <f>ItensPedido!C2001</f>
        <v/>
      </c>
      <c r="D2001" s="25">
        <f>ItensPedido!D2001</f>
        <v/>
      </c>
      <c r="E2001" s="26">
        <f>ItensPedido!E2001</f>
        <v/>
      </c>
      <c r="F2001" s="25">
        <f>IFERROR(INDEX(Pedidos!$B$2:$B$1801,MATCH(B2001,Pedidos!$A$2:$A$1801,0)),0)</f>
        <v/>
      </c>
      <c r="G2001" s="25">
        <f>IF(F2001=0,"",YEAR(F2001))</f>
        <v/>
      </c>
      <c r="H2001" s="25">
        <f>IF(F2001=0,"",MONTH(F2001))</f>
        <v/>
      </c>
      <c r="I2001" s="25">
        <f>IFERROR(INDEX(Pedidos!$E$2:$E$1801,MATCH(B2001,Pedidos!$A$2:$A$1801,0)),"")</f>
        <v/>
      </c>
      <c r="J2001" s="25">
        <f>IFERROR(INDEX(Pedidos!$C$2:$C$1801,MATCH(B2001,Pedidos!$A$2:$A$1801,0)),"")</f>
        <v/>
      </c>
      <c r="K2001" s="25">
        <f>IFERROR(INDEX(Pedidos!$D$2:$D$1801,MATCH(B2001,Pedidos!$A$2:$A$1801,0)),"")</f>
        <v/>
      </c>
      <c r="L2001" s="25">
        <f>IFERROR(INDEX(Pedidos!$F$2:$F$1801,MATCH(B2001,Pedidos!$A$2:$A$1801,0)),"")</f>
        <v/>
      </c>
      <c r="M2001" s="26">
        <f>IFERROR(INDEX(Pedidos!$G$2:$G$1801,MATCH(B2001,Pedidos!$A$2:$A$1801,0)),0)</f>
        <v/>
      </c>
      <c r="N2001" s="25">
        <f>IFERROR(INDEX(Produtos!$B$2:$B$71,MATCH(C2001,Produtos!$A$2:$A$71,0)),"")</f>
        <v/>
      </c>
      <c r="O2001" s="25">
        <f>IFERROR(INDEX(Produtos!$C$2:$C$71,MATCH(C2001,Produtos!$A$2:$A$71,0)),"")</f>
        <v/>
      </c>
      <c r="P2001" s="25">
        <f>IFERROR(INDEX(Produtos!$D$2:$D$71,MATCH(C2001,Produtos!$A$2:$A$71,0)),0)</f>
        <v/>
      </c>
      <c r="Q2001" s="25">
        <f>IFERROR(INDEX(Produtos!$E$2:$E$71,MATCH(C2001,Produtos!$A$2:$A$71,0)),0)</f>
        <v/>
      </c>
      <c r="R2001" s="27">
        <f>D2001*Q2001</f>
        <v/>
      </c>
      <c r="S2001" s="27">
        <f>R2001*E2001</f>
        <v/>
      </c>
      <c r="T2001" s="27">
        <f>(R2001-S2001)*M2001</f>
        <v/>
      </c>
      <c r="U2001" s="27">
        <f>R2001-S2001-T2001</f>
        <v/>
      </c>
      <c r="V2001" s="27">
        <f>D2001*P2001</f>
        <v/>
      </c>
      <c r="W2001" s="27">
        <f>U2001-V2001</f>
        <v/>
      </c>
      <c r="X2001" s="28">
        <f>IFERROR(W2001/U2001,0)</f>
        <v/>
      </c>
    </row>
    <row r="2002">
      <c r="A2002" s="21">
        <f>ItensPedido!A2002</f>
        <v/>
      </c>
      <c r="B2002" s="21">
        <f>ItensPedido!B2002</f>
        <v/>
      </c>
      <c r="C2002" s="21">
        <f>ItensPedido!C2002</f>
        <v/>
      </c>
      <c r="D2002" s="21">
        <f>ItensPedido!D2002</f>
        <v/>
      </c>
      <c r="E2002" s="22">
        <f>ItensPedido!E2002</f>
        <v/>
      </c>
      <c r="F2002" s="21">
        <f>IFERROR(INDEX(Pedidos!$B$2:$B$1801,MATCH(B2002,Pedidos!$A$2:$A$1801,0)),0)</f>
        <v/>
      </c>
      <c r="G2002" s="21">
        <f>IF(F2002=0,"",YEAR(F2002))</f>
        <v/>
      </c>
      <c r="H2002" s="21">
        <f>IF(F2002=0,"",MONTH(F2002))</f>
        <v/>
      </c>
      <c r="I2002" s="21">
        <f>IFERROR(INDEX(Pedidos!$E$2:$E$1801,MATCH(B2002,Pedidos!$A$2:$A$1801,0)),"")</f>
        <v/>
      </c>
      <c r="J2002" s="21">
        <f>IFERROR(INDEX(Pedidos!$C$2:$C$1801,MATCH(B2002,Pedidos!$A$2:$A$1801,0)),"")</f>
        <v/>
      </c>
      <c r="K2002" s="21">
        <f>IFERROR(INDEX(Pedidos!$D$2:$D$1801,MATCH(B2002,Pedidos!$A$2:$A$1801,0)),"")</f>
        <v/>
      </c>
      <c r="L2002" s="21">
        <f>IFERROR(INDEX(Pedidos!$F$2:$F$1801,MATCH(B2002,Pedidos!$A$2:$A$1801,0)),"")</f>
        <v/>
      </c>
      <c r="M2002" s="22">
        <f>IFERROR(INDEX(Pedidos!$G$2:$G$1801,MATCH(B2002,Pedidos!$A$2:$A$1801,0)),0)</f>
        <v/>
      </c>
      <c r="N2002" s="21">
        <f>IFERROR(INDEX(Produtos!$B$2:$B$71,MATCH(C2002,Produtos!$A$2:$A$71,0)),"")</f>
        <v/>
      </c>
      <c r="O2002" s="21">
        <f>IFERROR(INDEX(Produtos!$C$2:$C$71,MATCH(C2002,Produtos!$A$2:$A$71,0)),"")</f>
        <v/>
      </c>
      <c r="P2002" s="21">
        <f>IFERROR(INDEX(Produtos!$D$2:$D$71,MATCH(C2002,Produtos!$A$2:$A$71,0)),0)</f>
        <v/>
      </c>
      <c r="Q2002" s="21">
        <f>IFERROR(INDEX(Produtos!$E$2:$E$71,MATCH(C2002,Produtos!$A$2:$A$71,0)),0)</f>
        <v/>
      </c>
      <c r="R2002" s="23">
        <f>D2002*Q2002</f>
        <v/>
      </c>
      <c r="S2002" s="23">
        <f>R2002*E2002</f>
        <v/>
      </c>
      <c r="T2002" s="23">
        <f>(R2002-S2002)*M2002</f>
        <v/>
      </c>
      <c r="U2002" s="23">
        <f>R2002-S2002-T2002</f>
        <v/>
      </c>
      <c r="V2002" s="23">
        <f>D2002*P2002</f>
        <v/>
      </c>
      <c r="W2002" s="23">
        <f>U2002-V2002</f>
        <v/>
      </c>
      <c r="X2002" s="24">
        <f>IFERROR(W2002/U2002,0)</f>
        <v/>
      </c>
    </row>
    <row r="2003">
      <c r="A2003" s="25">
        <f>ItensPedido!A2003</f>
        <v/>
      </c>
      <c r="B2003" s="25">
        <f>ItensPedido!B2003</f>
        <v/>
      </c>
      <c r="C2003" s="25">
        <f>ItensPedido!C2003</f>
        <v/>
      </c>
      <c r="D2003" s="25">
        <f>ItensPedido!D2003</f>
        <v/>
      </c>
      <c r="E2003" s="26">
        <f>ItensPedido!E2003</f>
        <v/>
      </c>
      <c r="F2003" s="25">
        <f>IFERROR(INDEX(Pedidos!$B$2:$B$1801,MATCH(B2003,Pedidos!$A$2:$A$1801,0)),0)</f>
        <v/>
      </c>
      <c r="G2003" s="25">
        <f>IF(F2003=0,"",YEAR(F2003))</f>
        <v/>
      </c>
      <c r="H2003" s="25">
        <f>IF(F2003=0,"",MONTH(F2003))</f>
        <v/>
      </c>
      <c r="I2003" s="25">
        <f>IFERROR(INDEX(Pedidos!$E$2:$E$1801,MATCH(B2003,Pedidos!$A$2:$A$1801,0)),"")</f>
        <v/>
      </c>
      <c r="J2003" s="25">
        <f>IFERROR(INDEX(Pedidos!$C$2:$C$1801,MATCH(B2003,Pedidos!$A$2:$A$1801,0)),"")</f>
        <v/>
      </c>
      <c r="K2003" s="25">
        <f>IFERROR(INDEX(Pedidos!$D$2:$D$1801,MATCH(B2003,Pedidos!$A$2:$A$1801,0)),"")</f>
        <v/>
      </c>
      <c r="L2003" s="25">
        <f>IFERROR(INDEX(Pedidos!$F$2:$F$1801,MATCH(B2003,Pedidos!$A$2:$A$1801,0)),"")</f>
        <v/>
      </c>
      <c r="M2003" s="26">
        <f>IFERROR(INDEX(Pedidos!$G$2:$G$1801,MATCH(B2003,Pedidos!$A$2:$A$1801,0)),0)</f>
        <v/>
      </c>
      <c r="N2003" s="25">
        <f>IFERROR(INDEX(Produtos!$B$2:$B$71,MATCH(C2003,Produtos!$A$2:$A$71,0)),"")</f>
        <v/>
      </c>
      <c r="O2003" s="25">
        <f>IFERROR(INDEX(Produtos!$C$2:$C$71,MATCH(C2003,Produtos!$A$2:$A$71,0)),"")</f>
        <v/>
      </c>
      <c r="P2003" s="25">
        <f>IFERROR(INDEX(Produtos!$D$2:$D$71,MATCH(C2003,Produtos!$A$2:$A$71,0)),0)</f>
        <v/>
      </c>
      <c r="Q2003" s="25">
        <f>IFERROR(INDEX(Produtos!$E$2:$E$71,MATCH(C2003,Produtos!$A$2:$A$71,0)),0)</f>
        <v/>
      </c>
      <c r="R2003" s="27">
        <f>D2003*Q2003</f>
        <v/>
      </c>
      <c r="S2003" s="27">
        <f>R2003*E2003</f>
        <v/>
      </c>
      <c r="T2003" s="27">
        <f>(R2003-S2003)*M2003</f>
        <v/>
      </c>
      <c r="U2003" s="27">
        <f>R2003-S2003-T2003</f>
        <v/>
      </c>
      <c r="V2003" s="27">
        <f>D2003*P2003</f>
        <v/>
      </c>
      <c r="W2003" s="27">
        <f>U2003-V2003</f>
        <v/>
      </c>
      <c r="X2003" s="28">
        <f>IFERROR(W2003/U2003,0)</f>
        <v/>
      </c>
    </row>
    <row r="2004">
      <c r="A2004" s="21">
        <f>ItensPedido!A2004</f>
        <v/>
      </c>
      <c r="B2004" s="21">
        <f>ItensPedido!B2004</f>
        <v/>
      </c>
      <c r="C2004" s="21">
        <f>ItensPedido!C2004</f>
        <v/>
      </c>
      <c r="D2004" s="21">
        <f>ItensPedido!D2004</f>
        <v/>
      </c>
      <c r="E2004" s="22">
        <f>ItensPedido!E2004</f>
        <v/>
      </c>
      <c r="F2004" s="21">
        <f>IFERROR(INDEX(Pedidos!$B$2:$B$1801,MATCH(B2004,Pedidos!$A$2:$A$1801,0)),0)</f>
        <v/>
      </c>
      <c r="G2004" s="21">
        <f>IF(F2004=0,"",YEAR(F2004))</f>
        <v/>
      </c>
      <c r="H2004" s="21">
        <f>IF(F2004=0,"",MONTH(F2004))</f>
        <v/>
      </c>
      <c r="I2004" s="21">
        <f>IFERROR(INDEX(Pedidos!$E$2:$E$1801,MATCH(B2004,Pedidos!$A$2:$A$1801,0)),"")</f>
        <v/>
      </c>
      <c r="J2004" s="21">
        <f>IFERROR(INDEX(Pedidos!$C$2:$C$1801,MATCH(B2004,Pedidos!$A$2:$A$1801,0)),"")</f>
        <v/>
      </c>
      <c r="K2004" s="21">
        <f>IFERROR(INDEX(Pedidos!$D$2:$D$1801,MATCH(B2004,Pedidos!$A$2:$A$1801,0)),"")</f>
        <v/>
      </c>
      <c r="L2004" s="21">
        <f>IFERROR(INDEX(Pedidos!$F$2:$F$1801,MATCH(B2004,Pedidos!$A$2:$A$1801,0)),"")</f>
        <v/>
      </c>
      <c r="M2004" s="22">
        <f>IFERROR(INDEX(Pedidos!$G$2:$G$1801,MATCH(B2004,Pedidos!$A$2:$A$1801,0)),0)</f>
        <v/>
      </c>
      <c r="N2004" s="21">
        <f>IFERROR(INDEX(Produtos!$B$2:$B$71,MATCH(C2004,Produtos!$A$2:$A$71,0)),"")</f>
        <v/>
      </c>
      <c r="O2004" s="21">
        <f>IFERROR(INDEX(Produtos!$C$2:$C$71,MATCH(C2004,Produtos!$A$2:$A$71,0)),"")</f>
        <v/>
      </c>
      <c r="P2004" s="21">
        <f>IFERROR(INDEX(Produtos!$D$2:$D$71,MATCH(C2004,Produtos!$A$2:$A$71,0)),0)</f>
        <v/>
      </c>
      <c r="Q2004" s="21">
        <f>IFERROR(INDEX(Produtos!$E$2:$E$71,MATCH(C2004,Produtos!$A$2:$A$71,0)),0)</f>
        <v/>
      </c>
      <c r="R2004" s="23">
        <f>D2004*Q2004</f>
        <v/>
      </c>
      <c r="S2004" s="23">
        <f>R2004*E2004</f>
        <v/>
      </c>
      <c r="T2004" s="23">
        <f>(R2004-S2004)*M2004</f>
        <v/>
      </c>
      <c r="U2004" s="23">
        <f>R2004-S2004-T2004</f>
        <v/>
      </c>
      <c r="V2004" s="23">
        <f>D2004*P2004</f>
        <v/>
      </c>
      <c r="W2004" s="23">
        <f>U2004-V2004</f>
        <v/>
      </c>
      <c r="X2004" s="24">
        <f>IFERROR(W2004/U2004,0)</f>
        <v/>
      </c>
    </row>
    <row r="2005">
      <c r="A2005" s="25">
        <f>ItensPedido!A2005</f>
        <v/>
      </c>
      <c r="B2005" s="25">
        <f>ItensPedido!B2005</f>
        <v/>
      </c>
      <c r="C2005" s="25">
        <f>ItensPedido!C2005</f>
        <v/>
      </c>
      <c r="D2005" s="25">
        <f>ItensPedido!D2005</f>
        <v/>
      </c>
      <c r="E2005" s="26">
        <f>ItensPedido!E2005</f>
        <v/>
      </c>
      <c r="F2005" s="25">
        <f>IFERROR(INDEX(Pedidos!$B$2:$B$1801,MATCH(B2005,Pedidos!$A$2:$A$1801,0)),0)</f>
        <v/>
      </c>
      <c r="G2005" s="25">
        <f>IF(F2005=0,"",YEAR(F2005))</f>
        <v/>
      </c>
      <c r="H2005" s="25">
        <f>IF(F2005=0,"",MONTH(F2005))</f>
        <v/>
      </c>
      <c r="I2005" s="25">
        <f>IFERROR(INDEX(Pedidos!$E$2:$E$1801,MATCH(B2005,Pedidos!$A$2:$A$1801,0)),"")</f>
        <v/>
      </c>
      <c r="J2005" s="25">
        <f>IFERROR(INDEX(Pedidos!$C$2:$C$1801,MATCH(B2005,Pedidos!$A$2:$A$1801,0)),"")</f>
        <v/>
      </c>
      <c r="K2005" s="25">
        <f>IFERROR(INDEX(Pedidos!$D$2:$D$1801,MATCH(B2005,Pedidos!$A$2:$A$1801,0)),"")</f>
        <v/>
      </c>
      <c r="L2005" s="25">
        <f>IFERROR(INDEX(Pedidos!$F$2:$F$1801,MATCH(B2005,Pedidos!$A$2:$A$1801,0)),"")</f>
        <v/>
      </c>
      <c r="M2005" s="26">
        <f>IFERROR(INDEX(Pedidos!$G$2:$G$1801,MATCH(B2005,Pedidos!$A$2:$A$1801,0)),0)</f>
        <v/>
      </c>
      <c r="N2005" s="25">
        <f>IFERROR(INDEX(Produtos!$B$2:$B$71,MATCH(C2005,Produtos!$A$2:$A$71,0)),"")</f>
        <v/>
      </c>
      <c r="O2005" s="25">
        <f>IFERROR(INDEX(Produtos!$C$2:$C$71,MATCH(C2005,Produtos!$A$2:$A$71,0)),"")</f>
        <v/>
      </c>
      <c r="P2005" s="25">
        <f>IFERROR(INDEX(Produtos!$D$2:$D$71,MATCH(C2005,Produtos!$A$2:$A$71,0)),0)</f>
        <v/>
      </c>
      <c r="Q2005" s="25">
        <f>IFERROR(INDEX(Produtos!$E$2:$E$71,MATCH(C2005,Produtos!$A$2:$A$71,0)),0)</f>
        <v/>
      </c>
      <c r="R2005" s="27">
        <f>D2005*Q2005</f>
        <v/>
      </c>
      <c r="S2005" s="27">
        <f>R2005*E2005</f>
        <v/>
      </c>
      <c r="T2005" s="27">
        <f>(R2005-S2005)*M2005</f>
        <v/>
      </c>
      <c r="U2005" s="27">
        <f>R2005-S2005-T2005</f>
        <v/>
      </c>
      <c r="V2005" s="27">
        <f>D2005*P2005</f>
        <v/>
      </c>
      <c r="W2005" s="27">
        <f>U2005-V2005</f>
        <v/>
      </c>
      <c r="X2005" s="28">
        <f>IFERROR(W2005/U2005,0)</f>
        <v/>
      </c>
    </row>
    <row r="2006">
      <c r="A2006" s="21">
        <f>ItensPedido!A2006</f>
        <v/>
      </c>
      <c r="B2006" s="21">
        <f>ItensPedido!B2006</f>
        <v/>
      </c>
      <c r="C2006" s="21">
        <f>ItensPedido!C2006</f>
        <v/>
      </c>
      <c r="D2006" s="21">
        <f>ItensPedido!D2006</f>
        <v/>
      </c>
      <c r="E2006" s="22">
        <f>ItensPedido!E2006</f>
        <v/>
      </c>
      <c r="F2006" s="21">
        <f>IFERROR(INDEX(Pedidos!$B$2:$B$1801,MATCH(B2006,Pedidos!$A$2:$A$1801,0)),0)</f>
        <v/>
      </c>
      <c r="G2006" s="21">
        <f>IF(F2006=0,"",YEAR(F2006))</f>
        <v/>
      </c>
      <c r="H2006" s="21">
        <f>IF(F2006=0,"",MONTH(F2006))</f>
        <v/>
      </c>
      <c r="I2006" s="21">
        <f>IFERROR(INDEX(Pedidos!$E$2:$E$1801,MATCH(B2006,Pedidos!$A$2:$A$1801,0)),"")</f>
        <v/>
      </c>
      <c r="J2006" s="21">
        <f>IFERROR(INDEX(Pedidos!$C$2:$C$1801,MATCH(B2006,Pedidos!$A$2:$A$1801,0)),"")</f>
        <v/>
      </c>
      <c r="K2006" s="21">
        <f>IFERROR(INDEX(Pedidos!$D$2:$D$1801,MATCH(B2006,Pedidos!$A$2:$A$1801,0)),"")</f>
        <v/>
      </c>
      <c r="L2006" s="21">
        <f>IFERROR(INDEX(Pedidos!$F$2:$F$1801,MATCH(B2006,Pedidos!$A$2:$A$1801,0)),"")</f>
        <v/>
      </c>
      <c r="M2006" s="22">
        <f>IFERROR(INDEX(Pedidos!$G$2:$G$1801,MATCH(B2006,Pedidos!$A$2:$A$1801,0)),0)</f>
        <v/>
      </c>
      <c r="N2006" s="21">
        <f>IFERROR(INDEX(Produtos!$B$2:$B$71,MATCH(C2006,Produtos!$A$2:$A$71,0)),"")</f>
        <v/>
      </c>
      <c r="O2006" s="21">
        <f>IFERROR(INDEX(Produtos!$C$2:$C$71,MATCH(C2006,Produtos!$A$2:$A$71,0)),"")</f>
        <v/>
      </c>
      <c r="P2006" s="21">
        <f>IFERROR(INDEX(Produtos!$D$2:$D$71,MATCH(C2006,Produtos!$A$2:$A$71,0)),0)</f>
        <v/>
      </c>
      <c r="Q2006" s="21">
        <f>IFERROR(INDEX(Produtos!$E$2:$E$71,MATCH(C2006,Produtos!$A$2:$A$71,0)),0)</f>
        <v/>
      </c>
      <c r="R2006" s="23">
        <f>D2006*Q2006</f>
        <v/>
      </c>
      <c r="S2006" s="23">
        <f>R2006*E2006</f>
        <v/>
      </c>
      <c r="T2006" s="23">
        <f>(R2006-S2006)*M2006</f>
        <v/>
      </c>
      <c r="U2006" s="23">
        <f>R2006-S2006-T2006</f>
        <v/>
      </c>
      <c r="V2006" s="23">
        <f>D2006*P2006</f>
        <v/>
      </c>
      <c r="W2006" s="23">
        <f>U2006-V2006</f>
        <v/>
      </c>
      <c r="X2006" s="24">
        <f>IFERROR(W2006/U2006,0)</f>
        <v/>
      </c>
    </row>
    <row r="2007">
      <c r="A2007" s="25">
        <f>ItensPedido!A2007</f>
        <v/>
      </c>
      <c r="B2007" s="25">
        <f>ItensPedido!B2007</f>
        <v/>
      </c>
      <c r="C2007" s="25">
        <f>ItensPedido!C2007</f>
        <v/>
      </c>
      <c r="D2007" s="25">
        <f>ItensPedido!D2007</f>
        <v/>
      </c>
      <c r="E2007" s="26">
        <f>ItensPedido!E2007</f>
        <v/>
      </c>
      <c r="F2007" s="25">
        <f>IFERROR(INDEX(Pedidos!$B$2:$B$1801,MATCH(B2007,Pedidos!$A$2:$A$1801,0)),0)</f>
        <v/>
      </c>
      <c r="G2007" s="25">
        <f>IF(F2007=0,"",YEAR(F2007))</f>
        <v/>
      </c>
      <c r="H2007" s="25">
        <f>IF(F2007=0,"",MONTH(F2007))</f>
        <v/>
      </c>
      <c r="I2007" s="25">
        <f>IFERROR(INDEX(Pedidos!$E$2:$E$1801,MATCH(B2007,Pedidos!$A$2:$A$1801,0)),"")</f>
        <v/>
      </c>
      <c r="J2007" s="25">
        <f>IFERROR(INDEX(Pedidos!$C$2:$C$1801,MATCH(B2007,Pedidos!$A$2:$A$1801,0)),"")</f>
        <v/>
      </c>
      <c r="K2007" s="25">
        <f>IFERROR(INDEX(Pedidos!$D$2:$D$1801,MATCH(B2007,Pedidos!$A$2:$A$1801,0)),"")</f>
        <v/>
      </c>
      <c r="L2007" s="25">
        <f>IFERROR(INDEX(Pedidos!$F$2:$F$1801,MATCH(B2007,Pedidos!$A$2:$A$1801,0)),"")</f>
        <v/>
      </c>
      <c r="M2007" s="26">
        <f>IFERROR(INDEX(Pedidos!$G$2:$G$1801,MATCH(B2007,Pedidos!$A$2:$A$1801,0)),0)</f>
        <v/>
      </c>
      <c r="N2007" s="25">
        <f>IFERROR(INDEX(Produtos!$B$2:$B$71,MATCH(C2007,Produtos!$A$2:$A$71,0)),"")</f>
        <v/>
      </c>
      <c r="O2007" s="25">
        <f>IFERROR(INDEX(Produtos!$C$2:$C$71,MATCH(C2007,Produtos!$A$2:$A$71,0)),"")</f>
        <v/>
      </c>
      <c r="P2007" s="25">
        <f>IFERROR(INDEX(Produtos!$D$2:$D$71,MATCH(C2007,Produtos!$A$2:$A$71,0)),0)</f>
        <v/>
      </c>
      <c r="Q2007" s="25">
        <f>IFERROR(INDEX(Produtos!$E$2:$E$71,MATCH(C2007,Produtos!$A$2:$A$71,0)),0)</f>
        <v/>
      </c>
      <c r="R2007" s="27">
        <f>D2007*Q2007</f>
        <v/>
      </c>
      <c r="S2007" s="27">
        <f>R2007*E2007</f>
        <v/>
      </c>
      <c r="T2007" s="27">
        <f>(R2007-S2007)*M2007</f>
        <v/>
      </c>
      <c r="U2007" s="27">
        <f>R2007-S2007-T2007</f>
        <v/>
      </c>
      <c r="V2007" s="27">
        <f>D2007*P2007</f>
        <v/>
      </c>
      <c r="W2007" s="27">
        <f>U2007-V2007</f>
        <v/>
      </c>
      <c r="X2007" s="28">
        <f>IFERROR(W2007/U2007,0)</f>
        <v/>
      </c>
    </row>
    <row r="2008">
      <c r="A2008" s="21">
        <f>ItensPedido!A2008</f>
        <v/>
      </c>
      <c r="B2008" s="21">
        <f>ItensPedido!B2008</f>
        <v/>
      </c>
      <c r="C2008" s="21">
        <f>ItensPedido!C2008</f>
        <v/>
      </c>
      <c r="D2008" s="21">
        <f>ItensPedido!D2008</f>
        <v/>
      </c>
      <c r="E2008" s="22">
        <f>ItensPedido!E2008</f>
        <v/>
      </c>
      <c r="F2008" s="21">
        <f>IFERROR(INDEX(Pedidos!$B$2:$B$1801,MATCH(B2008,Pedidos!$A$2:$A$1801,0)),0)</f>
        <v/>
      </c>
      <c r="G2008" s="21">
        <f>IF(F2008=0,"",YEAR(F2008))</f>
        <v/>
      </c>
      <c r="H2008" s="21">
        <f>IF(F2008=0,"",MONTH(F2008))</f>
        <v/>
      </c>
      <c r="I2008" s="21">
        <f>IFERROR(INDEX(Pedidos!$E$2:$E$1801,MATCH(B2008,Pedidos!$A$2:$A$1801,0)),"")</f>
        <v/>
      </c>
      <c r="J2008" s="21">
        <f>IFERROR(INDEX(Pedidos!$C$2:$C$1801,MATCH(B2008,Pedidos!$A$2:$A$1801,0)),"")</f>
        <v/>
      </c>
      <c r="K2008" s="21">
        <f>IFERROR(INDEX(Pedidos!$D$2:$D$1801,MATCH(B2008,Pedidos!$A$2:$A$1801,0)),"")</f>
        <v/>
      </c>
      <c r="L2008" s="21">
        <f>IFERROR(INDEX(Pedidos!$F$2:$F$1801,MATCH(B2008,Pedidos!$A$2:$A$1801,0)),"")</f>
        <v/>
      </c>
      <c r="M2008" s="22">
        <f>IFERROR(INDEX(Pedidos!$G$2:$G$1801,MATCH(B2008,Pedidos!$A$2:$A$1801,0)),0)</f>
        <v/>
      </c>
      <c r="N2008" s="21">
        <f>IFERROR(INDEX(Produtos!$B$2:$B$71,MATCH(C2008,Produtos!$A$2:$A$71,0)),"")</f>
        <v/>
      </c>
      <c r="O2008" s="21">
        <f>IFERROR(INDEX(Produtos!$C$2:$C$71,MATCH(C2008,Produtos!$A$2:$A$71,0)),"")</f>
        <v/>
      </c>
      <c r="P2008" s="21">
        <f>IFERROR(INDEX(Produtos!$D$2:$D$71,MATCH(C2008,Produtos!$A$2:$A$71,0)),0)</f>
        <v/>
      </c>
      <c r="Q2008" s="21">
        <f>IFERROR(INDEX(Produtos!$E$2:$E$71,MATCH(C2008,Produtos!$A$2:$A$71,0)),0)</f>
        <v/>
      </c>
      <c r="R2008" s="23">
        <f>D2008*Q2008</f>
        <v/>
      </c>
      <c r="S2008" s="23">
        <f>R2008*E2008</f>
        <v/>
      </c>
      <c r="T2008" s="23">
        <f>(R2008-S2008)*M2008</f>
        <v/>
      </c>
      <c r="U2008" s="23">
        <f>R2008-S2008-T2008</f>
        <v/>
      </c>
      <c r="V2008" s="23">
        <f>D2008*P2008</f>
        <v/>
      </c>
      <c r="W2008" s="23">
        <f>U2008-V2008</f>
        <v/>
      </c>
      <c r="X2008" s="24">
        <f>IFERROR(W2008/U2008,0)</f>
        <v/>
      </c>
    </row>
    <row r="2009">
      <c r="A2009" s="25">
        <f>ItensPedido!A2009</f>
        <v/>
      </c>
      <c r="B2009" s="25">
        <f>ItensPedido!B2009</f>
        <v/>
      </c>
      <c r="C2009" s="25">
        <f>ItensPedido!C2009</f>
        <v/>
      </c>
      <c r="D2009" s="25">
        <f>ItensPedido!D2009</f>
        <v/>
      </c>
      <c r="E2009" s="26">
        <f>ItensPedido!E2009</f>
        <v/>
      </c>
      <c r="F2009" s="25">
        <f>IFERROR(INDEX(Pedidos!$B$2:$B$1801,MATCH(B2009,Pedidos!$A$2:$A$1801,0)),0)</f>
        <v/>
      </c>
      <c r="G2009" s="25">
        <f>IF(F2009=0,"",YEAR(F2009))</f>
        <v/>
      </c>
      <c r="H2009" s="25">
        <f>IF(F2009=0,"",MONTH(F2009))</f>
        <v/>
      </c>
      <c r="I2009" s="25">
        <f>IFERROR(INDEX(Pedidos!$E$2:$E$1801,MATCH(B2009,Pedidos!$A$2:$A$1801,0)),"")</f>
        <v/>
      </c>
      <c r="J2009" s="25">
        <f>IFERROR(INDEX(Pedidos!$C$2:$C$1801,MATCH(B2009,Pedidos!$A$2:$A$1801,0)),"")</f>
        <v/>
      </c>
      <c r="K2009" s="25">
        <f>IFERROR(INDEX(Pedidos!$D$2:$D$1801,MATCH(B2009,Pedidos!$A$2:$A$1801,0)),"")</f>
        <v/>
      </c>
      <c r="L2009" s="25">
        <f>IFERROR(INDEX(Pedidos!$F$2:$F$1801,MATCH(B2009,Pedidos!$A$2:$A$1801,0)),"")</f>
        <v/>
      </c>
      <c r="M2009" s="26">
        <f>IFERROR(INDEX(Pedidos!$G$2:$G$1801,MATCH(B2009,Pedidos!$A$2:$A$1801,0)),0)</f>
        <v/>
      </c>
      <c r="N2009" s="25">
        <f>IFERROR(INDEX(Produtos!$B$2:$B$71,MATCH(C2009,Produtos!$A$2:$A$71,0)),"")</f>
        <v/>
      </c>
      <c r="O2009" s="25">
        <f>IFERROR(INDEX(Produtos!$C$2:$C$71,MATCH(C2009,Produtos!$A$2:$A$71,0)),"")</f>
        <v/>
      </c>
      <c r="P2009" s="25">
        <f>IFERROR(INDEX(Produtos!$D$2:$D$71,MATCH(C2009,Produtos!$A$2:$A$71,0)),0)</f>
        <v/>
      </c>
      <c r="Q2009" s="25">
        <f>IFERROR(INDEX(Produtos!$E$2:$E$71,MATCH(C2009,Produtos!$A$2:$A$71,0)),0)</f>
        <v/>
      </c>
      <c r="R2009" s="27">
        <f>D2009*Q2009</f>
        <v/>
      </c>
      <c r="S2009" s="27">
        <f>R2009*E2009</f>
        <v/>
      </c>
      <c r="T2009" s="27">
        <f>(R2009-S2009)*M2009</f>
        <v/>
      </c>
      <c r="U2009" s="27">
        <f>R2009-S2009-T2009</f>
        <v/>
      </c>
      <c r="V2009" s="27">
        <f>D2009*P2009</f>
        <v/>
      </c>
      <c r="W2009" s="27">
        <f>U2009-V2009</f>
        <v/>
      </c>
      <c r="X2009" s="28">
        <f>IFERROR(W2009/U2009,0)</f>
        <v/>
      </c>
    </row>
    <row r="2010">
      <c r="A2010" s="21">
        <f>ItensPedido!A2010</f>
        <v/>
      </c>
      <c r="B2010" s="21">
        <f>ItensPedido!B2010</f>
        <v/>
      </c>
      <c r="C2010" s="21">
        <f>ItensPedido!C2010</f>
        <v/>
      </c>
      <c r="D2010" s="21">
        <f>ItensPedido!D2010</f>
        <v/>
      </c>
      <c r="E2010" s="22">
        <f>ItensPedido!E2010</f>
        <v/>
      </c>
      <c r="F2010" s="21">
        <f>IFERROR(INDEX(Pedidos!$B$2:$B$1801,MATCH(B2010,Pedidos!$A$2:$A$1801,0)),0)</f>
        <v/>
      </c>
      <c r="G2010" s="21">
        <f>IF(F2010=0,"",YEAR(F2010))</f>
        <v/>
      </c>
      <c r="H2010" s="21">
        <f>IF(F2010=0,"",MONTH(F2010))</f>
        <v/>
      </c>
      <c r="I2010" s="21">
        <f>IFERROR(INDEX(Pedidos!$E$2:$E$1801,MATCH(B2010,Pedidos!$A$2:$A$1801,0)),"")</f>
        <v/>
      </c>
      <c r="J2010" s="21">
        <f>IFERROR(INDEX(Pedidos!$C$2:$C$1801,MATCH(B2010,Pedidos!$A$2:$A$1801,0)),"")</f>
        <v/>
      </c>
      <c r="K2010" s="21">
        <f>IFERROR(INDEX(Pedidos!$D$2:$D$1801,MATCH(B2010,Pedidos!$A$2:$A$1801,0)),"")</f>
        <v/>
      </c>
      <c r="L2010" s="21">
        <f>IFERROR(INDEX(Pedidos!$F$2:$F$1801,MATCH(B2010,Pedidos!$A$2:$A$1801,0)),"")</f>
        <v/>
      </c>
      <c r="M2010" s="22">
        <f>IFERROR(INDEX(Pedidos!$G$2:$G$1801,MATCH(B2010,Pedidos!$A$2:$A$1801,0)),0)</f>
        <v/>
      </c>
      <c r="N2010" s="21">
        <f>IFERROR(INDEX(Produtos!$B$2:$B$71,MATCH(C2010,Produtos!$A$2:$A$71,0)),"")</f>
        <v/>
      </c>
      <c r="O2010" s="21">
        <f>IFERROR(INDEX(Produtos!$C$2:$C$71,MATCH(C2010,Produtos!$A$2:$A$71,0)),"")</f>
        <v/>
      </c>
      <c r="P2010" s="21">
        <f>IFERROR(INDEX(Produtos!$D$2:$D$71,MATCH(C2010,Produtos!$A$2:$A$71,0)),0)</f>
        <v/>
      </c>
      <c r="Q2010" s="21">
        <f>IFERROR(INDEX(Produtos!$E$2:$E$71,MATCH(C2010,Produtos!$A$2:$A$71,0)),0)</f>
        <v/>
      </c>
      <c r="R2010" s="23">
        <f>D2010*Q2010</f>
        <v/>
      </c>
      <c r="S2010" s="23">
        <f>R2010*E2010</f>
        <v/>
      </c>
      <c r="T2010" s="23">
        <f>(R2010-S2010)*M2010</f>
        <v/>
      </c>
      <c r="U2010" s="23">
        <f>R2010-S2010-T2010</f>
        <v/>
      </c>
      <c r="V2010" s="23">
        <f>D2010*P2010</f>
        <v/>
      </c>
      <c r="W2010" s="23">
        <f>U2010-V2010</f>
        <v/>
      </c>
      <c r="X2010" s="24">
        <f>IFERROR(W2010/U2010,0)</f>
        <v/>
      </c>
    </row>
    <row r="2011">
      <c r="A2011" s="25">
        <f>ItensPedido!A2011</f>
        <v/>
      </c>
      <c r="B2011" s="25">
        <f>ItensPedido!B2011</f>
        <v/>
      </c>
      <c r="C2011" s="25">
        <f>ItensPedido!C2011</f>
        <v/>
      </c>
      <c r="D2011" s="25">
        <f>ItensPedido!D2011</f>
        <v/>
      </c>
      <c r="E2011" s="26">
        <f>ItensPedido!E2011</f>
        <v/>
      </c>
      <c r="F2011" s="25">
        <f>IFERROR(INDEX(Pedidos!$B$2:$B$1801,MATCH(B2011,Pedidos!$A$2:$A$1801,0)),0)</f>
        <v/>
      </c>
      <c r="G2011" s="25">
        <f>IF(F2011=0,"",YEAR(F2011))</f>
        <v/>
      </c>
      <c r="H2011" s="25">
        <f>IF(F2011=0,"",MONTH(F2011))</f>
        <v/>
      </c>
      <c r="I2011" s="25">
        <f>IFERROR(INDEX(Pedidos!$E$2:$E$1801,MATCH(B2011,Pedidos!$A$2:$A$1801,0)),"")</f>
        <v/>
      </c>
      <c r="J2011" s="25">
        <f>IFERROR(INDEX(Pedidos!$C$2:$C$1801,MATCH(B2011,Pedidos!$A$2:$A$1801,0)),"")</f>
        <v/>
      </c>
      <c r="K2011" s="25">
        <f>IFERROR(INDEX(Pedidos!$D$2:$D$1801,MATCH(B2011,Pedidos!$A$2:$A$1801,0)),"")</f>
        <v/>
      </c>
      <c r="L2011" s="25">
        <f>IFERROR(INDEX(Pedidos!$F$2:$F$1801,MATCH(B2011,Pedidos!$A$2:$A$1801,0)),"")</f>
        <v/>
      </c>
      <c r="M2011" s="26">
        <f>IFERROR(INDEX(Pedidos!$G$2:$G$1801,MATCH(B2011,Pedidos!$A$2:$A$1801,0)),0)</f>
        <v/>
      </c>
      <c r="N2011" s="25">
        <f>IFERROR(INDEX(Produtos!$B$2:$B$71,MATCH(C2011,Produtos!$A$2:$A$71,0)),"")</f>
        <v/>
      </c>
      <c r="O2011" s="25">
        <f>IFERROR(INDEX(Produtos!$C$2:$C$71,MATCH(C2011,Produtos!$A$2:$A$71,0)),"")</f>
        <v/>
      </c>
      <c r="P2011" s="25">
        <f>IFERROR(INDEX(Produtos!$D$2:$D$71,MATCH(C2011,Produtos!$A$2:$A$71,0)),0)</f>
        <v/>
      </c>
      <c r="Q2011" s="25">
        <f>IFERROR(INDEX(Produtos!$E$2:$E$71,MATCH(C2011,Produtos!$A$2:$A$71,0)),0)</f>
        <v/>
      </c>
      <c r="R2011" s="27">
        <f>D2011*Q2011</f>
        <v/>
      </c>
      <c r="S2011" s="27">
        <f>R2011*E2011</f>
        <v/>
      </c>
      <c r="T2011" s="27">
        <f>(R2011-S2011)*M2011</f>
        <v/>
      </c>
      <c r="U2011" s="27">
        <f>R2011-S2011-T2011</f>
        <v/>
      </c>
      <c r="V2011" s="27">
        <f>D2011*P2011</f>
        <v/>
      </c>
      <c r="W2011" s="27">
        <f>U2011-V2011</f>
        <v/>
      </c>
      <c r="X2011" s="28">
        <f>IFERROR(W2011/U2011,0)</f>
        <v/>
      </c>
    </row>
    <row r="2012">
      <c r="A2012" s="21">
        <f>ItensPedido!A2012</f>
        <v/>
      </c>
      <c r="B2012" s="21">
        <f>ItensPedido!B2012</f>
        <v/>
      </c>
      <c r="C2012" s="21">
        <f>ItensPedido!C2012</f>
        <v/>
      </c>
      <c r="D2012" s="21">
        <f>ItensPedido!D2012</f>
        <v/>
      </c>
      <c r="E2012" s="22">
        <f>ItensPedido!E2012</f>
        <v/>
      </c>
      <c r="F2012" s="21">
        <f>IFERROR(INDEX(Pedidos!$B$2:$B$1801,MATCH(B2012,Pedidos!$A$2:$A$1801,0)),0)</f>
        <v/>
      </c>
      <c r="G2012" s="21">
        <f>IF(F2012=0,"",YEAR(F2012))</f>
        <v/>
      </c>
      <c r="H2012" s="21">
        <f>IF(F2012=0,"",MONTH(F2012))</f>
        <v/>
      </c>
      <c r="I2012" s="21">
        <f>IFERROR(INDEX(Pedidos!$E$2:$E$1801,MATCH(B2012,Pedidos!$A$2:$A$1801,0)),"")</f>
        <v/>
      </c>
      <c r="J2012" s="21">
        <f>IFERROR(INDEX(Pedidos!$C$2:$C$1801,MATCH(B2012,Pedidos!$A$2:$A$1801,0)),"")</f>
        <v/>
      </c>
      <c r="K2012" s="21">
        <f>IFERROR(INDEX(Pedidos!$D$2:$D$1801,MATCH(B2012,Pedidos!$A$2:$A$1801,0)),"")</f>
        <v/>
      </c>
      <c r="L2012" s="21">
        <f>IFERROR(INDEX(Pedidos!$F$2:$F$1801,MATCH(B2012,Pedidos!$A$2:$A$1801,0)),"")</f>
        <v/>
      </c>
      <c r="M2012" s="22">
        <f>IFERROR(INDEX(Pedidos!$G$2:$G$1801,MATCH(B2012,Pedidos!$A$2:$A$1801,0)),0)</f>
        <v/>
      </c>
      <c r="N2012" s="21">
        <f>IFERROR(INDEX(Produtos!$B$2:$B$71,MATCH(C2012,Produtos!$A$2:$A$71,0)),"")</f>
        <v/>
      </c>
      <c r="O2012" s="21">
        <f>IFERROR(INDEX(Produtos!$C$2:$C$71,MATCH(C2012,Produtos!$A$2:$A$71,0)),"")</f>
        <v/>
      </c>
      <c r="P2012" s="21">
        <f>IFERROR(INDEX(Produtos!$D$2:$D$71,MATCH(C2012,Produtos!$A$2:$A$71,0)),0)</f>
        <v/>
      </c>
      <c r="Q2012" s="21">
        <f>IFERROR(INDEX(Produtos!$E$2:$E$71,MATCH(C2012,Produtos!$A$2:$A$71,0)),0)</f>
        <v/>
      </c>
      <c r="R2012" s="23">
        <f>D2012*Q2012</f>
        <v/>
      </c>
      <c r="S2012" s="23">
        <f>R2012*E2012</f>
        <v/>
      </c>
      <c r="T2012" s="23">
        <f>(R2012-S2012)*M2012</f>
        <v/>
      </c>
      <c r="U2012" s="23">
        <f>R2012-S2012-T2012</f>
        <v/>
      </c>
      <c r="V2012" s="23">
        <f>D2012*P2012</f>
        <v/>
      </c>
      <c r="W2012" s="23">
        <f>U2012-V2012</f>
        <v/>
      </c>
      <c r="X2012" s="24">
        <f>IFERROR(W2012/U2012,0)</f>
        <v/>
      </c>
    </row>
    <row r="2013">
      <c r="A2013" s="25">
        <f>ItensPedido!A2013</f>
        <v/>
      </c>
      <c r="B2013" s="25">
        <f>ItensPedido!B2013</f>
        <v/>
      </c>
      <c r="C2013" s="25">
        <f>ItensPedido!C2013</f>
        <v/>
      </c>
      <c r="D2013" s="25">
        <f>ItensPedido!D2013</f>
        <v/>
      </c>
      <c r="E2013" s="26">
        <f>ItensPedido!E2013</f>
        <v/>
      </c>
      <c r="F2013" s="25">
        <f>IFERROR(INDEX(Pedidos!$B$2:$B$1801,MATCH(B2013,Pedidos!$A$2:$A$1801,0)),0)</f>
        <v/>
      </c>
      <c r="G2013" s="25">
        <f>IF(F2013=0,"",YEAR(F2013))</f>
        <v/>
      </c>
      <c r="H2013" s="25">
        <f>IF(F2013=0,"",MONTH(F2013))</f>
        <v/>
      </c>
      <c r="I2013" s="25">
        <f>IFERROR(INDEX(Pedidos!$E$2:$E$1801,MATCH(B2013,Pedidos!$A$2:$A$1801,0)),"")</f>
        <v/>
      </c>
      <c r="J2013" s="25">
        <f>IFERROR(INDEX(Pedidos!$C$2:$C$1801,MATCH(B2013,Pedidos!$A$2:$A$1801,0)),"")</f>
        <v/>
      </c>
      <c r="K2013" s="25">
        <f>IFERROR(INDEX(Pedidos!$D$2:$D$1801,MATCH(B2013,Pedidos!$A$2:$A$1801,0)),"")</f>
        <v/>
      </c>
      <c r="L2013" s="25">
        <f>IFERROR(INDEX(Pedidos!$F$2:$F$1801,MATCH(B2013,Pedidos!$A$2:$A$1801,0)),"")</f>
        <v/>
      </c>
      <c r="M2013" s="26">
        <f>IFERROR(INDEX(Pedidos!$G$2:$G$1801,MATCH(B2013,Pedidos!$A$2:$A$1801,0)),0)</f>
        <v/>
      </c>
      <c r="N2013" s="25">
        <f>IFERROR(INDEX(Produtos!$B$2:$B$71,MATCH(C2013,Produtos!$A$2:$A$71,0)),"")</f>
        <v/>
      </c>
      <c r="O2013" s="25">
        <f>IFERROR(INDEX(Produtos!$C$2:$C$71,MATCH(C2013,Produtos!$A$2:$A$71,0)),"")</f>
        <v/>
      </c>
      <c r="P2013" s="25">
        <f>IFERROR(INDEX(Produtos!$D$2:$D$71,MATCH(C2013,Produtos!$A$2:$A$71,0)),0)</f>
        <v/>
      </c>
      <c r="Q2013" s="25">
        <f>IFERROR(INDEX(Produtos!$E$2:$E$71,MATCH(C2013,Produtos!$A$2:$A$71,0)),0)</f>
        <v/>
      </c>
      <c r="R2013" s="27">
        <f>D2013*Q2013</f>
        <v/>
      </c>
      <c r="S2013" s="27">
        <f>R2013*E2013</f>
        <v/>
      </c>
      <c r="T2013" s="27">
        <f>(R2013-S2013)*M2013</f>
        <v/>
      </c>
      <c r="U2013" s="27">
        <f>R2013-S2013-T2013</f>
        <v/>
      </c>
      <c r="V2013" s="27">
        <f>D2013*P2013</f>
        <v/>
      </c>
      <c r="W2013" s="27">
        <f>U2013-V2013</f>
        <v/>
      </c>
      <c r="X2013" s="28">
        <f>IFERROR(W2013/U2013,0)</f>
        <v/>
      </c>
    </row>
    <row r="2014">
      <c r="A2014" s="21">
        <f>ItensPedido!A2014</f>
        <v/>
      </c>
      <c r="B2014" s="21">
        <f>ItensPedido!B2014</f>
        <v/>
      </c>
      <c r="C2014" s="21">
        <f>ItensPedido!C2014</f>
        <v/>
      </c>
      <c r="D2014" s="21">
        <f>ItensPedido!D2014</f>
        <v/>
      </c>
      <c r="E2014" s="22">
        <f>ItensPedido!E2014</f>
        <v/>
      </c>
      <c r="F2014" s="21">
        <f>IFERROR(INDEX(Pedidos!$B$2:$B$1801,MATCH(B2014,Pedidos!$A$2:$A$1801,0)),0)</f>
        <v/>
      </c>
      <c r="G2014" s="21">
        <f>IF(F2014=0,"",YEAR(F2014))</f>
        <v/>
      </c>
      <c r="H2014" s="21">
        <f>IF(F2014=0,"",MONTH(F2014))</f>
        <v/>
      </c>
      <c r="I2014" s="21">
        <f>IFERROR(INDEX(Pedidos!$E$2:$E$1801,MATCH(B2014,Pedidos!$A$2:$A$1801,0)),"")</f>
        <v/>
      </c>
      <c r="J2014" s="21">
        <f>IFERROR(INDEX(Pedidos!$C$2:$C$1801,MATCH(B2014,Pedidos!$A$2:$A$1801,0)),"")</f>
        <v/>
      </c>
      <c r="K2014" s="21">
        <f>IFERROR(INDEX(Pedidos!$D$2:$D$1801,MATCH(B2014,Pedidos!$A$2:$A$1801,0)),"")</f>
        <v/>
      </c>
      <c r="L2014" s="21">
        <f>IFERROR(INDEX(Pedidos!$F$2:$F$1801,MATCH(B2014,Pedidos!$A$2:$A$1801,0)),"")</f>
        <v/>
      </c>
      <c r="M2014" s="22">
        <f>IFERROR(INDEX(Pedidos!$G$2:$G$1801,MATCH(B2014,Pedidos!$A$2:$A$1801,0)),0)</f>
        <v/>
      </c>
      <c r="N2014" s="21">
        <f>IFERROR(INDEX(Produtos!$B$2:$B$71,MATCH(C2014,Produtos!$A$2:$A$71,0)),"")</f>
        <v/>
      </c>
      <c r="O2014" s="21">
        <f>IFERROR(INDEX(Produtos!$C$2:$C$71,MATCH(C2014,Produtos!$A$2:$A$71,0)),"")</f>
        <v/>
      </c>
      <c r="P2014" s="21">
        <f>IFERROR(INDEX(Produtos!$D$2:$D$71,MATCH(C2014,Produtos!$A$2:$A$71,0)),0)</f>
        <v/>
      </c>
      <c r="Q2014" s="21">
        <f>IFERROR(INDEX(Produtos!$E$2:$E$71,MATCH(C2014,Produtos!$A$2:$A$71,0)),0)</f>
        <v/>
      </c>
      <c r="R2014" s="23">
        <f>D2014*Q2014</f>
        <v/>
      </c>
      <c r="S2014" s="23">
        <f>R2014*E2014</f>
        <v/>
      </c>
      <c r="T2014" s="23">
        <f>(R2014-S2014)*M2014</f>
        <v/>
      </c>
      <c r="U2014" s="23">
        <f>R2014-S2014-T2014</f>
        <v/>
      </c>
      <c r="V2014" s="23">
        <f>D2014*P2014</f>
        <v/>
      </c>
      <c r="W2014" s="23">
        <f>U2014-V2014</f>
        <v/>
      </c>
      <c r="X2014" s="24">
        <f>IFERROR(W2014/U2014,0)</f>
        <v/>
      </c>
    </row>
    <row r="2015">
      <c r="A2015" s="25">
        <f>ItensPedido!A2015</f>
        <v/>
      </c>
      <c r="B2015" s="25">
        <f>ItensPedido!B2015</f>
        <v/>
      </c>
      <c r="C2015" s="25">
        <f>ItensPedido!C2015</f>
        <v/>
      </c>
      <c r="D2015" s="25">
        <f>ItensPedido!D2015</f>
        <v/>
      </c>
      <c r="E2015" s="26">
        <f>ItensPedido!E2015</f>
        <v/>
      </c>
      <c r="F2015" s="25">
        <f>IFERROR(INDEX(Pedidos!$B$2:$B$1801,MATCH(B2015,Pedidos!$A$2:$A$1801,0)),0)</f>
        <v/>
      </c>
      <c r="G2015" s="25">
        <f>IF(F2015=0,"",YEAR(F2015))</f>
        <v/>
      </c>
      <c r="H2015" s="25">
        <f>IF(F2015=0,"",MONTH(F2015))</f>
        <v/>
      </c>
      <c r="I2015" s="25">
        <f>IFERROR(INDEX(Pedidos!$E$2:$E$1801,MATCH(B2015,Pedidos!$A$2:$A$1801,0)),"")</f>
        <v/>
      </c>
      <c r="J2015" s="25">
        <f>IFERROR(INDEX(Pedidos!$C$2:$C$1801,MATCH(B2015,Pedidos!$A$2:$A$1801,0)),"")</f>
        <v/>
      </c>
      <c r="K2015" s="25">
        <f>IFERROR(INDEX(Pedidos!$D$2:$D$1801,MATCH(B2015,Pedidos!$A$2:$A$1801,0)),"")</f>
        <v/>
      </c>
      <c r="L2015" s="25">
        <f>IFERROR(INDEX(Pedidos!$F$2:$F$1801,MATCH(B2015,Pedidos!$A$2:$A$1801,0)),"")</f>
        <v/>
      </c>
      <c r="M2015" s="26">
        <f>IFERROR(INDEX(Pedidos!$G$2:$G$1801,MATCH(B2015,Pedidos!$A$2:$A$1801,0)),0)</f>
        <v/>
      </c>
      <c r="N2015" s="25">
        <f>IFERROR(INDEX(Produtos!$B$2:$B$71,MATCH(C2015,Produtos!$A$2:$A$71,0)),"")</f>
        <v/>
      </c>
      <c r="O2015" s="25">
        <f>IFERROR(INDEX(Produtos!$C$2:$C$71,MATCH(C2015,Produtos!$A$2:$A$71,0)),"")</f>
        <v/>
      </c>
      <c r="P2015" s="25">
        <f>IFERROR(INDEX(Produtos!$D$2:$D$71,MATCH(C2015,Produtos!$A$2:$A$71,0)),0)</f>
        <v/>
      </c>
      <c r="Q2015" s="25">
        <f>IFERROR(INDEX(Produtos!$E$2:$E$71,MATCH(C2015,Produtos!$A$2:$A$71,0)),0)</f>
        <v/>
      </c>
      <c r="R2015" s="27">
        <f>D2015*Q2015</f>
        <v/>
      </c>
      <c r="S2015" s="27">
        <f>R2015*E2015</f>
        <v/>
      </c>
      <c r="T2015" s="27">
        <f>(R2015-S2015)*M2015</f>
        <v/>
      </c>
      <c r="U2015" s="27">
        <f>R2015-S2015-T2015</f>
        <v/>
      </c>
      <c r="V2015" s="27">
        <f>D2015*P2015</f>
        <v/>
      </c>
      <c r="W2015" s="27">
        <f>U2015-V2015</f>
        <v/>
      </c>
      <c r="X2015" s="28">
        <f>IFERROR(W2015/U2015,0)</f>
        <v/>
      </c>
    </row>
    <row r="2016">
      <c r="A2016" s="21">
        <f>ItensPedido!A2016</f>
        <v/>
      </c>
      <c r="B2016" s="21">
        <f>ItensPedido!B2016</f>
        <v/>
      </c>
      <c r="C2016" s="21">
        <f>ItensPedido!C2016</f>
        <v/>
      </c>
      <c r="D2016" s="21">
        <f>ItensPedido!D2016</f>
        <v/>
      </c>
      <c r="E2016" s="22">
        <f>ItensPedido!E2016</f>
        <v/>
      </c>
      <c r="F2016" s="21">
        <f>IFERROR(INDEX(Pedidos!$B$2:$B$1801,MATCH(B2016,Pedidos!$A$2:$A$1801,0)),0)</f>
        <v/>
      </c>
      <c r="G2016" s="21">
        <f>IF(F2016=0,"",YEAR(F2016))</f>
        <v/>
      </c>
      <c r="H2016" s="21">
        <f>IF(F2016=0,"",MONTH(F2016))</f>
        <v/>
      </c>
      <c r="I2016" s="21">
        <f>IFERROR(INDEX(Pedidos!$E$2:$E$1801,MATCH(B2016,Pedidos!$A$2:$A$1801,0)),"")</f>
        <v/>
      </c>
      <c r="J2016" s="21">
        <f>IFERROR(INDEX(Pedidos!$C$2:$C$1801,MATCH(B2016,Pedidos!$A$2:$A$1801,0)),"")</f>
        <v/>
      </c>
      <c r="K2016" s="21">
        <f>IFERROR(INDEX(Pedidos!$D$2:$D$1801,MATCH(B2016,Pedidos!$A$2:$A$1801,0)),"")</f>
        <v/>
      </c>
      <c r="L2016" s="21">
        <f>IFERROR(INDEX(Pedidos!$F$2:$F$1801,MATCH(B2016,Pedidos!$A$2:$A$1801,0)),"")</f>
        <v/>
      </c>
      <c r="M2016" s="22">
        <f>IFERROR(INDEX(Pedidos!$G$2:$G$1801,MATCH(B2016,Pedidos!$A$2:$A$1801,0)),0)</f>
        <v/>
      </c>
      <c r="N2016" s="21">
        <f>IFERROR(INDEX(Produtos!$B$2:$B$71,MATCH(C2016,Produtos!$A$2:$A$71,0)),"")</f>
        <v/>
      </c>
      <c r="O2016" s="21">
        <f>IFERROR(INDEX(Produtos!$C$2:$C$71,MATCH(C2016,Produtos!$A$2:$A$71,0)),"")</f>
        <v/>
      </c>
      <c r="P2016" s="21">
        <f>IFERROR(INDEX(Produtos!$D$2:$D$71,MATCH(C2016,Produtos!$A$2:$A$71,0)),0)</f>
        <v/>
      </c>
      <c r="Q2016" s="21">
        <f>IFERROR(INDEX(Produtos!$E$2:$E$71,MATCH(C2016,Produtos!$A$2:$A$71,0)),0)</f>
        <v/>
      </c>
      <c r="R2016" s="23">
        <f>D2016*Q2016</f>
        <v/>
      </c>
      <c r="S2016" s="23">
        <f>R2016*E2016</f>
        <v/>
      </c>
      <c r="T2016" s="23">
        <f>(R2016-S2016)*M2016</f>
        <v/>
      </c>
      <c r="U2016" s="23">
        <f>R2016-S2016-T2016</f>
        <v/>
      </c>
      <c r="V2016" s="23">
        <f>D2016*P2016</f>
        <v/>
      </c>
      <c r="W2016" s="23">
        <f>U2016-V2016</f>
        <v/>
      </c>
      <c r="X2016" s="24">
        <f>IFERROR(W2016/U2016,0)</f>
        <v/>
      </c>
    </row>
    <row r="2017">
      <c r="A2017" s="25">
        <f>ItensPedido!A2017</f>
        <v/>
      </c>
      <c r="B2017" s="25">
        <f>ItensPedido!B2017</f>
        <v/>
      </c>
      <c r="C2017" s="25">
        <f>ItensPedido!C2017</f>
        <v/>
      </c>
      <c r="D2017" s="25">
        <f>ItensPedido!D2017</f>
        <v/>
      </c>
      <c r="E2017" s="26">
        <f>ItensPedido!E2017</f>
        <v/>
      </c>
      <c r="F2017" s="25">
        <f>IFERROR(INDEX(Pedidos!$B$2:$B$1801,MATCH(B2017,Pedidos!$A$2:$A$1801,0)),0)</f>
        <v/>
      </c>
      <c r="G2017" s="25">
        <f>IF(F2017=0,"",YEAR(F2017))</f>
        <v/>
      </c>
      <c r="H2017" s="25">
        <f>IF(F2017=0,"",MONTH(F2017))</f>
        <v/>
      </c>
      <c r="I2017" s="25">
        <f>IFERROR(INDEX(Pedidos!$E$2:$E$1801,MATCH(B2017,Pedidos!$A$2:$A$1801,0)),"")</f>
        <v/>
      </c>
      <c r="J2017" s="25">
        <f>IFERROR(INDEX(Pedidos!$C$2:$C$1801,MATCH(B2017,Pedidos!$A$2:$A$1801,0)),"")</f>
        <v/>
      </c>
      <c r="K2017" s="25">
        <f>IFERROR(INDEX(Pedidos!$D$2:$D$1801,MATCH(B2017,Pedidos!$A$2:$A$1801,0)),"")</f>
        <v/>
      </c>
      <c r="L2017" s="25">
        <f>IFERROR(INDEX(Pedidos!$F$2:$F$1801,MATCH(B2017,Pedidos!$A$2:$A$1801,0)),"")</f>
        <v/>
      </c>
      <c r="M2017" s="26">
        <f>IFERROR(INDEX(Pedidos!$G$2:$G$1801,MATCH(B2017,Pedidos!$A$2:$A$1801,0)),0)</f>
        <v/>
      </c>
      <c r="N2017" s="25">
        <f>IFERROR(INDEX(Produtos!$B$2:$B$71,MATCH(C2017,Produtos!$A$2:$A$71,0)),"")</f>
        <v/>
      </c>
      <c r="O2017" s="25">
        <f>IFERROR(INDEX(Produtos!$C$2:$C$71,MATCH(C2017,Produtos!$A$2:$A$71,0)),"")</f>
        <v/>
      </c>
      <c r="P2017" s="25">
        <f>IFERROR(INDEX(Produtos!$D$2:$D$71,MATCH(C2017,Produtos!$A$2:$A$71,0)),0)</f>
        <v/>
      </c>
      <c r="Q2017" s="25">
        <f>IFERROR(INDEX(Produtos!$E$2:$E$71,MATCH(C2017,Produtos!$A$2:$A$71,0)),0)</f>
        <v/>
      </c>
      <c r="R2017" s="27">
        <f>D2017*Q2017</f>
        <v/>
      </c>
      <c r="S2017" s="27">
        <f>R2017*E2017</f>
        <v/>
      </c>
      <c r="T2017" s="27">
        <f>(R2017-S2017)*M2017</f>
        <v/>
      </c>
      <c r="U2017" s="27">
        <f>R2017-S2017-T2017</f>
        <v/>
      </c>
      <c r="V2017" s="27">
        <f>D2017*P2017</f>
        <v/>
      </c>
      <c r="W2017" s="27">
        <f>U2017-V2017</f>
        <v/>
      </c>
      <c r="X2017" s="28">
        <f>IFERROR(W2017/U2017,0)</f>
        <v/>
      </c>
    </row>
    <row r="2018">
      <c r="A2018" s="21">
        <f>ItensPedido!A2018</f>
        <v/>
      </c>
      <c r="B2018" s="21">
        <f>ItensPedido!B2018</f>
        <v/>
      </c>
      <c r="C2018" s="21">
        <f>ItensPedido!C2018</f>
        <v/>
      </c>
      <c r="D2018" s="21">
        <f>ItensPedido!D2018</f>
        <v/>
      </c>
      <c r="E2018" s="22">
        <f>ItensPedido!E2018</f>
        <v/>
      </c>
      <c r="F2018" s="21">
        <f>IFERROR(INDEX(Pedidos!$B$2:$B$1801,MATCH(B2018,Pedidos!$A$2:$A$1801,0)),0)</f>
        <v/>
      </c>
      <c r="G2018" s="21">
        <f>IF(F2018=0,"",YEAR(F2018))</f>
        <v/>
      </c>
      <c r="H2018" s="21">
        <f>IF(F2018=0,"",MONTH(F2018))</f>
        <v/>
      </c>
      <c r="I2018" s="21">
        <f>IFERROR(INDEX(Pedidos!$E$2:$E$1801,MATCH(B2018,Pedidos!$A$2:$A$1801,0)),"")</f>
        <v/>
      </c>
      <c r="J2018" s="21">
        <f>IFERROR(INDEX(Pedidos!$C$2:$C$1801,MATCH(B2018,Pedidos!$A$2:$A$1801,0)),"")</f>
        <v/>
      </c>
      <c r="K2018" s="21">
        <f>IFERROR(INDEX(Pedidos!$D$2:$D$1801,MATCH(B2018,Pedidos!$A$2:$A$1801,0)),"")</f>
        <v/>
      </c>
      <c r="L2018" s="21">
        <f>IFERROR(INDEX(Pedidos!$F$2:$F$1801,MATCH(B2018,Pedidos!$A$2:$A$1801,0)),"")</f>
        <v/>
      </c>
      <c r="M2018" s="22">
        <f>IFERROR(INDEX(Pedidos!$G$2:$G$1801,MATCH(B2018,Pedidos!$A$2:$A$1801,0)),0)</f>
        <v/>
      </c>
      <c r="N2018" s="21">
        <f>IFERROR(INDEX(Produtos!$B$2:$B$71,MATCH(C2018,Produtos!$A$2:$A$71,0)),"")</f>
        <v/>
      </c>
      <c r="O2018" s="21">
        <f>IFERROR(INDEX(Produtos!$C$2:$C$71,MATCH(C2018,Produtos!$A$2:$A$71,0)),"")</f>
        <v/>
      </c>
      <c r="P2018" s="21">
        <f>IFERROR(INDEX(Produtos!$D$2:$D$71,MATCH(C2018,Produtos!$A$2:$A$71,0)),0)</f>
        <v/>
      </c>
      <c r="Q2018" s="21">
        <f>IFERROR(INDEX(Produtos!$E$2:$E$71,MATCH(C2018,Produtos!$A$2:$A$71,0)),0)</f>
        <v/>
      </c>
      <c r="R2018" s="23">
        <f>D2018*Q2018</f>
        <v/>
      </c>
      <c r="S2018" s="23">
        <f>R2018*E2018</f>
        <v/>
      </c>
      <c r="T2018" s="23">
        <f>(R2018-S2018)*M2018</f>
        <v/>
      </c>
      <c r="U2018" s="23">
        <f>R2018-S2018-T2018</f>
        <v/>
      </c>
      <c r="V2018" s="23">
        <f>D2018*P2018</f>
        <v/>
      </c>
      <c r="W2018" s="23">
        <f>U2018-V2018</f>
        <v/>
      </c>
      <c r="X2018" s="24">
        <f>IFERROR(W2018/U2018,0)</f>
        <v/>
      </c>
    </row>
    <row r="2019">
      <c r="A2019" s="25">
        <f>ItensPedido!A2019</f>
        <v/>
      </c>
      <c r="B2019" s="25">
        <f>ItensPedido!B2019</f>
        <v/>
      </c>
      <c r="C2019" s="25">
        <f>ItensPedido!C2019</f>
        <v/>
      </c>
      <c r="D2019" s="25">
        <f>ItensPedido!D2019</f>
        <v/>
      </c>
      <c r="E2019" s="26">
        <f>ItensPedido!E2019</f>
        <v/>
      </c>
      <c r="F2019" s="25">
        <f>IFERROR(INDEX(Pedidos!$B$2:$B$1801,MATCH(B2019,Pedidos!$A$2:$A$1801,0)),0)</f>
        <v/>
      </c>
      <c r="G2019" s="25">
        <f>IF(F2019=0,"",YEAR(F2019))</f>
        <v/>
      </c>
      <c r="H2019" s="25">
        <f>IF(F2019=0,"",MONTH(F2019))</f>
        <v/>
      </c>
      <c r="I2019" s="25">
        <f>IFERROR(INDEX(Pedidos!$E$2:$E$1801,MATCH(B2019,Pedidos!$A$2:$A$1801,0)),"")</f>
        <v/>
      </c>
      <c r="J2019" s="25">
        <f>IFERROR(INDEX(Pedidos!$C$2:$C$1801,MATCH(B2019,Pedidos!$A$2:$A$1801,0)),"")</f>
        <v/>
      </c>
      <c r="K2019" s="25">
        <f>IFERROR(INDEX(Pedidos!$D$2:$D$1801,MATCH(B2019,Pedidos!$A$2:$A$1801,0)),"")</f>
        <v/>
      </c>
      <c r="L2019" s="25">
        <f>IFERROR(INDEX(Pedidos!$F$2:$F$1801,MATCH(B2019,Pedidos!$A$2:$A$1801,0)),"")</f>
        <v/>
      </c>
      <c r="M2019" s="26">
        <f>IFERROR(INDEX(Pedidos!$G$2:$G$1801,MATCH(B2019,Pedidos!$A$2:$A$1801,0)),0)</f>
        <v/>
      </c>
      <c r="N2019" s="25">
        <f>IFERROR(INDEX(Produtos!$B$2:$B$71,MATCH(C2019,Produtos!$A$2:$A$71,0)),"")</f>
        <v/>
      </c>
      <c r="O2019" s="25">
        <f>IFERROR(INDEX(Produtos!$C$2:$C$71,MATCH(C2019,Produtos!$A$2:$A$71,0)),"")</f>
        <v/>
      </c>
      <c r="P2019" s="25">
        <f>IFERROR(INDEX(Produtos!$D$2:$D$71,MATCH(C2019,Produtos!$A$2:$A$71,0)),0)</f>
        <v/>
      </c>
      <c r="Q2019" s="25">
        <f>IFERROR(INDEX(Produtos!$E$2:$E$71,MATCH(C2019,Produtos!$A$2:$A$71,0)),0)</f>
        <v/>
      </c>
      <c r="R2019" s="27">
        <f>D2019*Q2019</f>
        <v/>
      </c>
      <c r="S2019" s="27">
        <f>R2019*E2019</f>
        <v/>
      </c>
      <c r="T2019" s="27">
        <f>(R2019-S2019)*M2019</f>
        <v/>
      </c>
      <c r="U2019" s="27">
        <f>R2019-S2019-T2019</f>
        <v/>
      </c>
      <c r="V2019" s="27">
        <f>D2019*P2019</f>
        <v/>
      </c>
      <c r="W2019" s="27">
        <f>U2019-V2019</f>
        <v/>
      </c>
      <c r="X2019" s="28">
        <f>IFERROR(W2019/U2019,0)</f>
        <v/>
      </c>
    </row>
    <row r="2020">
      <c r="A2020" s="21">
        <f>ItensPedido!A2020</f>
        <v/>
      </c>
      <c r="B2020" s="21">
        <f>ItensPedido!B2020</f>
        <v/>
      </c>
      <c r="C2020" s="21">
        <f>ItensPedido!C2020</f>
        <v/>
      </c>
      <c r="D2020" s="21">
        <f>ItensPedido!D2020</f>
        <v/>
      </c>
      <c r="E2020" s="22">
        <f>ItensPedido!E2020</f>
        <v/>
      </c>
      <c r="F2020" s="21">
        <f>IFERROR(INDEX(Pedidos!$B$2:$B$1801,MATCH(B2020,Pedidos!$A$2:$A$1801,0)),0)</f>
        <v/>
      </c>
      <c r="G2020" s="21">
        <f>IF(F2020=0,"",YEAR(F2020))</f>
        <v/>
      </c>
      <c r="H2020" s="21">
        <f>IF(F2020=0,"",MONTH(F2020))</f>
        <v/>
      </c>
      <c r="I2020" s="21">
        <f>IFERROR(INDEX(Pedidos!$E$2:$E$1801,MATCH(B2020,Pedidos!$A$2:$A$1801,0)),"")</f>
        <v/>
      </c>
      <c r="J2020" s="21">
        <f>IFERROR(INDEX(Pedidos!$C$2:$C$1801,MATCH(B2020,Pedidos!$A$2:$A$1801,0)),"")</f>
        <v/>
      </c>
      <c r="K2020" s="21">
        <f>IFERROR(INDEX(Pedidos!$D$2:$D$1801,MATCH(B2020,Pedidos!$A$2:$A$1801,0)),"")</f>
        <v/>
      </c>
      <c r="L2020" s="21">
        <f>IFERROR(INDEX(Pedidos!$F$2:$F$1801,MATCH(B2020,Pedidos!$A$2:$A$1801,0)),"")</f>
        <v/>
      </c>
      <c r="M2020" s="22">
        <f>IFERROR(INDEX(Pedidos!$G$2:$G$1801,MATCH(B2020,Pedidos!$A$2:$A$1801,0)),0)</f>
        <v/>
      </c>
      <c r="N2020" s="21">
        <f>IFERROR(INDEX(Produtos!$B$2:$B$71,MATCH(C2020,Produtos!$A$2:$A$71,0)),"")</f>
        <v/>
      </c>
      <c r="O2020" s="21">
        <f>IFERROR(INDEX(Produtos!$C$2:$C$71,MATCH(C2020,Produtos!$A$2:$A$71,0)),"")</f>
        <v/>
      </c>
      <c r="P2020" s="21">
        <f>IFERROR(INDEX(Produtos!$D$2:$D$71,MATCH(C2020,Produtos!$A$2:$A$71,0)),0)</f>
        <v/>
      </c>
      <c r="Q2020" s="21">
        <f>IFERROR(INDEX(Produtos!$E$2:$E$71,MATCH(C2020,Produtos!$A$2:$A$71,0)),0)</f>
        <v/>
      </c>
      <c r="R2020" s="23">
        <f>D2020*Q2020</f>
        <v/>
      </c>
      <c r="S2020" s="23">
        <f>R2020*E2020</f>
        <v/>
      </c>
      <c r="T2020" s="23">
        <f>(R2020-S2020)*M2020</f>
        <v/>
      </c>
      <c r="U2020" s="23">
        <f>R2020-S2020-T2020</f>
        <v/>
      </c>
      <c r="V2020" s="23">
        <f>D2020*P2020</f>
        <v/>
      </c>
      <c r="W2020" s="23">
        <f>U2020-V2020</f>
        <v/>
      </c>
      <c r="X2020" s="24">
        <f>IFERROR(W2020/U2020,0)</f>
        <v/>
      </c>
    </row>
    <row r="2021">
      <c r="A2021" s="25">
        <f>ItensPedido!A2021</f>
        <v/>
      </c>
      <c r="B2021" s="25">
        <f>ItensPedido!B2021</f>
        <v/>
      </c>
      <c r="C2021" s="25">
        <f>ItensPedido!C2021</f>
        <v/>
      </c>
      <c r="D2021" s="25">
        <f>ItensPedido!D2021</f>
        <v/>
      </c>
      <c r="E2021" s="26">
        <f>ItensPedido!E2021</f>
        <v/>
      </c>
      <c r="F2021" s="25">
        <f>IFERROR(INDEX(Pedidos!$B$2:$B$1801,MATCH(B2021,Pedidos!$A$2:$A$1801,0)),0)</f>
        <v/>
      </c>
      <c r="G2021" s="25">
        <f>IF(F2021=0,"",YEAR(F2021))</f>
        <v/>
      </c>
      <c r="H2021" s="25">
        <f>IF(F2021=0,"",MONTH(F2021))</f>
        <v/>
      </c>
      <c r="I2021" s="25">
        <f>IFERROR(INDEX(Pedidos!$E$2:$E$1801,MATCH(B2021,Pedidos!$A$2:$A$1801,0)),"")</f>
        <v/>
      </c>
      <c r="J2021" s="25">
        <f>IFERROR(INDEX(Pedidos!$C$2:$C$1801,MATCH(B2021,Pedidos!$A$2:$A$1801,0)),"")</f>
        <v/>
      </c>
      <c r="K2021" s="25">
        <f>IFERROR(INDEX(Pedidos!$D$2:$D$1801,MATCH(B2021,Pedidos!$A$2:$A$1801,0)),"")</f>
        <v/>
      </c>
      <c r="L2021" s="25">
        <f>IFERROR(INDEX(Pedidos!$F$2:$F$1801,MATCH(B2021,Pedidos!$A$2:$A$1801,0)),"")</f>
        <v/>
      </c>
      <c r="M2021" s="26">
        <f>IFERROR(INDEX(Pedidos!$G$2:$G$1801,MATCH(B2021,Pedidos!$A$2:$A$1801,0)),0)</f>
        <v/>
      </c>
      <c r="N2021" s="25">
        <f>IFERROR(INDEX(Produtos!$B$2:$B$71,MATCH(C2021,Produtos!$A$2:$A$71,0)),"")</f>
        <v/>
      </c>
      <c r="O2021" s="25">
        <f>IFERROR(INDEX(Produtos!$C$2:$C$71,MATCH(C2021,Produtos!$A$2:$A$71,0)),"")</f>
        <v/>
      </c>
      <c r="P2021" s="25">
        <f>IFERROR(INDEX(Produtos!$D$2:$D$71,MATCH(C2021,Produtos!$A$2:$A$71,0)),0)</f>
        <v/>
      </c>
      <c r="Q2021" s="25">
        <f>IFERROR(INDEX(Produtos!$E$2:$E$71,MATCH(C2021,Produtos!$A$2:$A$71,0)),0)</f>
        <v/>
      </c>
      <c r="R2021" s="27">
        <f>D2021*Q2021</f>
        <v/>
      </c>
      <c r="S2021" s="27">
        <f>R2021*E2021</f>
        <v/>
      </c>
      <c r="T2021" s="27">
        <f>(R2021-S2021)*M2021</f>
        <v/>
      </c>
      <c r="U2021" s="27">
        <f>R2021-S2021-T2021</f>
        <v/>
      </c>
      <c r="V2021" s="27">
        <f>D2021*P2021</f>
        <v/>
      </c>
      <c r="W2021" s="27">
        <f>U2021-V2021</f>
        <v/>
      </c>
      <c r="X2021" s="28">
        <f>IFERROR(W2021/U2021,0)</f>
        <v/>
      </c>
    </row>
    <row r="2022">
      <c r="A2022" s="21">
        <f>ItensPedido!A2022</f>
        <v/>
      </c>
      <c r="B2022" s="21">
        <f>ItensPedido!B2022</f>
        <v/>
      </c>
      <c r="C2022" s="21">
        <f>ItensPedido!C2022</f>
        <v/>
      </c>
      <c r="D2022" s="21">
        <f>ItensPedido!D2022</f>
        <v/>
      </c>
      <c r="E2022" s="22">
        <f>ItensPedido!E2022</f>
        <v/>
      </c>
      <c r="F2022" s="21">
        <f>IFERROR(INDEX(Pedidos!$B$2:$B$1801,MATCH(B2022,Pedidos!$A$2:$A$1801,0)),0)</f>
        <v/>
      </c>
      <c r="G2022" s="21">
        <f>IF(F2022=0,"",YEAR(F2022))</f>
        <v/>
      </c>
      <c r="H2022" s="21">
        <f>IF(F2022=0,"",MONTH(F2022))</f>
        <v/>
      </c>
      <c r="I2022" s="21">
        <f>IFERROR(INDEX(Pedidos!$E$2:$E$1801,MATCH(B2022,Pedidos!$A$2:$A$1801,0)),"")</f>
        <v/>
      </c>
      <c r="J2022" s="21">
        <f>IFERROR(INDEX(Pedidos!$C$2:$C$1801,MATCH(B2022,Pedidos!$A$2:$A$1801,0)),"")</f>
        <v/>
      </c>
      <c r="K2022" s="21">
        <f>IFERROR(INDEX(Pedidos!$D$2:$D$1801,MATCH(B2022,Pedidos!$A$2:$A$1801,0)),"")</f>
        <v/>
      </c>
      <c r="L2022" s="21">
        <f>IFERROR(INDEX(Pedidos!$F$2:$F$1801,MATCH(B2022,Pedidos!$A$2:$A$1801,0)),"")</f>
        <v/>
      </c>
      <c r="M2022" s="22">
        <f>IFERROR(INDEX(Pedidos!$G$2:$G$1801,MATCH(B2022,Pedidos!$A$2:$A$1801,0)),0)</f>
        <v/>
      </c>
      <c r="N2022" s="21">
        <f>IFERROR(INDEX(Produtos!$B$2:$B$71,MATCH(C2022,Produtos!$A$2:$A$71,0)),"")</f>
        <v/>
      </c>
      <c r="O2022" s="21">
        <f>IFERROR(INDEX(Produtos!$C$2:$C$71,MATCH(C2022,Produtos!$A$2:$A$71,0)),"")</f>
        <v/>
      </c>
      <c r="P2022" s="21">
        <f>IFERROR(INDEX(Produtos!$D$2:$D$71,MATCH(C2022,Produtos!$A$2:$A$71,0)),0)</f>
        <v/>
      </c>
      <c r="Q2022" s="21">
        <f>IFERROR(INDEX(Produtos!$E$2:$E$71,MATCH(C2022,Produtos!$A$2:$A$71,0)),0)</f>
        <v/>
      </c>
      <c r="R2022" s="23">
        <f>D2022*Q2022</f>
        <v/>
      </c>
      <c r="S2022" s="23">
        <f>R2022*E2022</f>
        <v/>
      </c>
      <c r="T2022" s="23">
        <f>(R2022-S2022)*M2022</f>
        <v/>
      </c>
      <c r="U2022" s="23">
        <f>R2022-S2022-T2022</f>
        <v/>
      </c>
      <c r="V2022" s="23">
        <f>D2022*P2022</f>
        <v/>
      </c>
      <c r="W2022" s="23">
        <f>U2022-V2022</f>
        <v/>
      </c>
      <c r="X2022" s="24">
        <f>IFERROR(W2022/U2022,0)</f>
        <v/>
      </c>
    </row>
    <row r="2023">
      <c r="A2023" s="25">
        <f>ItensPedido!A2023</f>
        <v/>
      </c>
      <c r="B2023" s="25">
        <f>ItensPedido!B2023</f>
        <v/>
      </c>
      <c r="C2023" s="25">
        <f>ItensPedido!C2023</f>
        <v/>
      </c>
      <c r="D2023" s="25">
        <f>ItensPedido!D2023</f>
        <v/>
      </c>
      <c r="E2023" s="26">
        <f>ItensPedido!E2023</f>
        <v/>
      </c>
      <c r="F2023" s="25">
        <f>IFERROR(INDEX(Pedidos!$B$2:$B$1801,MATCH(B2023,Pedidos!$A$2:$A$1801,0)),0)</f>
        <v/>
      </c>
      <c r="G2023" s="25">
        <f>IF(F2023=0,"",YEAR(F2023))</f>
        <v/>
      </c>
      <c r="H2023" s="25">
        <f>IF(F2023=0,"",MONTH(F2023))</f>
        <v/>
      </c>
      <c r="I2023" s="25">
        <f>IFERROR(INDEX(Pedidos!$E$2:$E$1801,MATCH(B2023,Pedidos!$A$2:$A$1801,0)),"")</f>
        <v/>
      </c>
      <c r="J2023" s="25">
        <f>IFERROR(INDEX(Pedidos!$C$2:$C$1801,MATCH(B2023,Pedidos!$A$2:$A$1801,0)),"")</f>
        <v/>
      </c>
      <c r="K2023" s="25">
        <f>IFERROR(INDEX(Pedidos!$D$2:$D$1801,MATCH(B2023,Pedidos!$A$2:$A$1801,0)),"")</f>
        <v/>
      </c>
      <c r="L2023" s="25">
        <f>IFERROR(INDEX(Pedidos!$F$2:$F$1801,MATCH(B2023,Pedidos!$A$2:$A$1801,0)),"")</f>
        <v/>
      </c>
      <c r="M2023" s="26">
        <f>IFERROR(INDEX(Pedidos!$G$2:$G$1801,MATCH(B2023,Pedidos!$A$2:$A$1801,0)),0)</f>
        <v/>
      </c>
      <c r="N2023" s="25">
        <f>IFERROR(INDEX(Produtos!$B$2:$B$71,MATCH(C2023,Produtos!$A$2:$A$71,0)),"")</f>
        <v/>
      </c>
      <c r="O2023" s="25">
        <f>IFERROR(INDEX(Produtos!$C$2:$C$71,MATCH(C2023,Produtos!$A$2:$A$71,0)),"")</f>
        <v/>
      </c>
      <c r="P2023" s="25">
        <f>IFERROR(INDEX(Produtos!$D$2:$D$71,MATCH(C2023,Produtos!$A$2:$A$71,0)),0)</f>
        <v/>
      </c>
      <c r="Q2023" s="25">
        <f>IFERROR(INDEX(Produtos!$E$2:$E$71,MATCH(C2023,Produtos!$A$2:$A$71,0)),0)</f>
        <v/>
      </c>
      <c r="R2023" s="27">
        <f>D2023*Q2023</f>
        <v/>
      </c>
      <c r="S2023" s="27">
        <f>R2023*E2023</f>
        <v/>
      </c>
      <c r="T2023" s="27">
        <f>(R2023-S2023)*M2023</f>
        <v/>
      </c>
      <c r="U2023" s="27">
        <f>R2023-S2023-T2023</f>
        <v/>
      </c>
      <c r="V2023" s="27">
        <f>D2023*P2023</f>
        <v/>
      </c>
      <c r="W2023" s="27">
        <f>U2023-V2023</f>
        <v/>
      </c>
      <c r="X2023" s="28">
        <f>IFERROR(W2023/U2023,0)</f>
        <v/>
      </c>
    </row>
    <row r="2024">
      <c r="A2024" s="21">
        <f>ItensPedido!A2024</f>
        <v/>
      </c>
      <c r="B2024" s="21">
        <f>ItensPedido!B2024</f>
        <v/>
      </c>
      <c r="C2024" s="21">
        <f>ItensPedido!C2024</f>
        <v/>
      </c>
      <c r="D2024" s="21">
        <f>ItensPedido!D2024</f>
        <v/>
      </c>
      <c r="E2024" s="22">
        <f>ItensPedido!E2024</f>
        <v/>
      </c>
      <c r="F2024" s="21">
        <f>IFERROR(INDEX(Pedidos!$B$2:$B$1801,MATCH(B2024,Pedidos!$A$2:$A$1801,0)),0)</f>
        <v/>
      </c>
      <c r="G2024" s="21">
        <f>IF(F2024=0,"",YEAR(F2024))</f>
        <v/>
      </c>
      <c r="H2024" s="21">
        <f>IF(F2024=0,"",MONTH(F2024))</f>
        <v/>
      </c>
      <c r="I2024" s="21">
        <f>IFERROR(INDEX(Pedidos!$E$2:$E$1801,MATCH(B2024,Pedidos!$A$2:$A$1801,0)),"")</f>
        <v/>
      </c>
      <c r="J2024" s="21">
        <f>IFERROR(INDEX(Pedidos!$C$2:$C$1801,MATCH(B2024,Pedidos!$A$2:$A$1801,0)),"")</f>
        <v/>
      </c>
      <c r="K2024" s="21">
        <f>IFERROR(INDEX(Pedidos!$D$2:$D$1801,MATCH(B2024,Pedidos!$A$2:$A$1801,0)),"")</f>
        <v/>
      </c>
      <c r="L2024" s="21">
        <f>IFERROR(INDEX(Pedidos!$F$2:$F$1801,MATCH(B2024,Pedidos!$A$2:$A$1801,0)),"")</f>
        <v/>
      </c>
      <c r="M2024" s="22">
        <f>IFERROR(INDEX(Pedidos!$G$2:$G$1801,MATCH(B2024,Pedidos!$A$2:$A$1801,0)),0)</f>
        <v/>
      </c>
      <c r="N2024" s="21">
        <f>IFERROR(INDEX(Produtos!$B$2:$B$71,MATCH(C2024,Produtos!$A$2:$A$71,0)),"")</f>
        <v/>
      </c>
      <c r="O2024" s="21">
        <f>IFERROR(INDEX(Produtos!$C$2:$C$71,MATCH(C2024,Produtos!$A$2:$A$71,0)),"")</f>
        <v/>
      </c>
      <c r="P2024" s="21">
        <f>IFERROR(INDEX(Produtos!$D$2:$D$71,MATCH(C2024,Produtos!$A$2:$A$71,0)),0)</f>
        <v/>
      </c>
      <c r="Q2024" s="21">
        <f>IFERROR(INDEX(Produtos!$E$2:$E$71,MATCH(C2024,Produtos!$A$2:$A$71,0)),0)</f>
        <v/>
      </c>
      <c r="R2024" s="23">
        <f>D2024*Q2024</f>
        <v/>
      </c>
      <c r="S2024" s="23">
        <f>R2024*E2024</f>
        <v/>
      </c>
      <c r="T2024" s="23">
        <f>(R2024-S2024)*M2024</f>
        <v/>
      </c>
      <c r="U2024" s="23">
        <f>R2024-S2024-T2024</f>
        <v/>
      </c>
      <c r="V2024" s="23">
        <f>D2024*P2024</f>
        <v/>
      </c>
      <c r="W2024" s="23">
        <f>U2024-V2024</f>
        <v/>
      </c>
      <c r="X2024" s="24">
        <f>IFERROR(W2024/U2024,0)</f>
        <v/>
      </c>
    </row>
    <row r="2025">
      <c r="A2025" s="25">
        <f>ItensPedido!A2025</f>
        <v/>
      </c>
      <c r="B2025" s="25">
        <f>ItensPedido!B2025</f>
        <v/>
      </c>
      <c r="C2025" s="25">
        <f>ItensPedido!C2025</f>
        <v/>
      </c>
      <c r="D2025" s="25">
        <f>ItensPedido!D2025</f>
        <v/>
      </c>
      <c r="E2025" s="26">
        <f>ItensPedido!E2025</f>
        <v/>
      </c>
      <c r="F2025" s="25">
        <f>IFERROR(INDEX(Pedidos!$B$2:$B$1801,MATCH(B2025,Pedidos!$A$2:$A$1801,0)),0)</f>
        <v/>
      </c>
      <c r="G2025" s="25">
        <f>IF(F2025=0,"",YEAR(F2025))</f>
        <v/>
      </c>
      <c r="H2025" s="25">
        <f>IF(F2025=0,"",MONTH(F2025))</f>
        <v/>
      </c>
      <c r="I2025" s="25">
        <f>IFERROR(INDEX(Pedidos!$E$2:$E$1801,MATCH(B2025,Pedidos!$A$2:$A$1801,0)),"")</f>
        <v/>
      </c>
      <c r="J2025" s="25">
        <f>IFERROR(INDEX(Pedidos!$C$2:$C$1801,MATCH(B2025,Pedidos!$A$2:$A$1801,0)),"")</f>
        <v/>
      </c>
      <c r="K2025" s="25">
        <f>IFERROR(INDEX(Pedidos!$D$2:$D$1801,MATCH(B2025,Pedidos!$A$2:$A$1801,0)),"")</f>
        <v/>
      </c>
      <c r="L2025" s="25">
        <f>IFERROR(INDEX(Pedidos!$F$2:$F$1801,MATCH(B2025,Pedidos!$A$2:$A$1801,0)),"")</f>
        <v/>
      </c>
      <c r="M2025" s="26">
        <f>IFERROR(INDEX(Pedidos!$G$2:$G$1801,MATCH(B2025,Pedidos!$A$2:$A$1801,0)),0)</f>
        <v/>
      </c>
      <c r="N2025" s="25">
        <f>IFERROR(INDEX(Produtos!$B$2:$B$71,MATCH(C2025,Produtos!$A$2:$A$71,0)),"")</f>
        <v/>
      </c>
      <c r="O2025" s="25">
        <f>IFERROR(INDEX(Produtos!$C$2:$C$71,MATCH(C2025,Produtos!$A$2:$A$71,0)),"")</f>
        <v/>
      </c>
      <c r="P2025" s="25">
        <f>IFERROR(INDEX(Produtos!$D$2:$D$71,MATCH(C2025,Produtos!$A$2:$A$71,0)),0)</f>
        <v/>
      </c>
      <c r="Q2025" s="25">
        <f>IFERROR(INDEX(Produtos!$E$2:$E$71,MATCH(C2025,Produtos!$A$2:$A$71,0)),0)</f>
        <v/>
      </c>
      <c r="R2025" s="27">
        <f>D2025*Q2025</f>
        <v/>
      </c>
      <c r="S2025" s="27">
        <f>R2025*E2025</f>
        <v/>
      </c>
      <c r="T2025" s="27">
        <f>(R2025-S2025)*M2025</f>
        <v/>
      </c>
      <c r="U2025" s="27">
        <f>R2025-S2025-T2025</f>
        <v/>
      </c>
      <c r="V2025" s="27">
        <f>D2025*P2025</f>
        <v/>
      </c>
      <c r="W2025" s="27">
        <f>U2025-V2025</f>
        <v/>
      </c>
      <c r="X2025" s="28">
        <f>IFERROR(W2025/U2025,0)</f>
        <v/>
      </c>
    </row>
    <row r="2026">
      <c r="A2026" s="21">
        <f>ItensPedido!A2026</f>
        <v/>
      </c>
      <c r="B2026" s="21">
        <f>ItensPedido!B2026</f>
        <v/>
      </c>
      <c r="C2026" s="21">
        <f>ItensPedido!C2026</f>
        <v/>
      </c>
      <c r="D2026" s="21">
        <f>ItensPedido!D2026</f>
        <v/>
      </c>
      <c r="E2026" s="22">
        <f>ItensPedido!E2026</f>
        <v/>
      </c>
      <c r="F2026" s="21">
        <f>IFERROR(INDEX(Pedidos!$B$2:$B$1801,MATCH(B2026,Pedidos!$A$2:$A$1801,0)),0)</f>
        <v/>
      </c>
      <c r="G2026" s="21">
        <f>IF(F2026=0,"",YEAR(F2026))</f>
        <v/>
      </c>
      <c r="H2026" s="21">
        <f>IF(F2026=0,"",MONTH(F2026))</f>
        <v/>
      </c>
      <c r="I2026" s="21">
        <f>IFERROR(INDEX(Pedidos!$E$2:$E$1801,MATCH(B2026,Pedidos!$A$2:$A$1801,0)),"")</f>
        <v/>
      </c>
      <c r="J2026" s="21">
        <f>IFERROR(INDEX(Pedidos!$C$2:$C$1801,MATCH(B2026,Pedidos!$A$2:$A$1801,0)),"")</f>
        <v/>
      </c>
      <c r="K2026" s="21">
        <f>IFERROR(INDEX(Pedidos!$D$2:$D$1801,MATCH(B2026,Pedidos!$A$2:$A$1801,0)),"")</f>
        <v/>
      </c>
      <c r="L2026" s="21">
        <f>IFERROR(INDEX(Pedidos!$F$2:$F$1801,MATCH(B2026,Pedidos!$A$2:$A$1801,0)),"")</f>
        <v/>
      </c>
      <c r="M2026" s="22">
        <f>IFERROR(INDEX(Pedidos!$G$2:$G$1801,MATCH(B2026,Pedidos!$A$2:$A$1801,0)),0)</f>
        <v/>
      </c>
      <c r="N2026" s="21">
        <f>IFERROR(INDEX(Produtos!$B$2:$B$71,MATCH(C2026,Produtos!$A$2:$A$71,0)),"")</f>
        <v/>
      </c>
      <c r="O2026" s="21">
        <f>IFERROR(INDEX(Produtos!$C$2:$C$71,MATCH(C2026,Produtos!$A$2:$A$71,0)),"")</f>
        <v/>
      </c>
      <c r="P2026" s="21">
        <f>IFERROR(INDEX(Produtos!$D$2:$D$71,MATCH(C2026,Produtos!$A$2:$A$71,0)),0)</f>
        <v/>
      </c>
      <c r="Q2026" s="21">
        <f>IFERROR(INDEX(Produtos!$E$2:$E$71,MATCH(C2026,Produtos!$A$2:$A$71,0)),0)</f>
        <v/>
      </c>
      <c r="R2026" s="23">
        <f>D2026*Q2026</f>
        <v/>
      </c>
      <c r="S2026" s="23">
        <f>R2026*E2026</f>
        <v/>
      </c>
      <c r="T2026" s="23">
        <f>(R2026-S2026)*M2026</f>
        <v/>
      </c>
      <c r="U2026" s="23">
        <f>R2026-S2026-T2026</f>
        <v/>
      </c>
      <c r="V2026" s="23">
        <f>D2026*P2026</f>
        <v/>
      </c>
      <c r="W2026" s="23">
        <f>U2026-V2026</f>
        <v/>
      </c>
      <c r="X2026" s="24">
        <f>IFERROR(W2026/U2026,0)</f>
        <v/>
      </c>
    </row>
    <row r="2027">
      <c r="A2027" s="25">
        <f>ItensPedido!A2027</f>
        <v/>
      </c>
      <c r="B2027" s="25">
        <f>ItensPedido!B2027</f>
        <v/>
      </c>
      <c r="C2027" s="25">
        <f>ItensPedido!C2027</f>
        <v/>
      </c>
      <c r="D2027" s="25">
        <f>ItensPedido!D2027</f>
        <v/>
      </c>
      <c r="E2027" s="26">
        <f>ItensPedido!E2027</f>
        <v/>
      </c>
      <c r="F2027" s="25">
        <f>IFERROR(INDEX(Pedidos!$B$2:$B$1801,MATCH(B2027,Pedidos!$A$2:$A$1801,0)),0)</f>
        <v/>
      </c>
      <c r="G2027" s="25">
        <f>IF(F2027=0,"",YEAR(F2027))</f>
        <v/>
      </c>
      <c r="H2027" s="25">
        <f>IF(F2027=0,"",MONTH(F2027))</f>
        <v/>
      </c>
      <c r="I2027" s="25">
        <f>IFERROR(INDEX(Pedidos!$E$2:$E$1801,MATCH(B2027,Pedidos!$A$2:$A$1801,0)),"")</f>
        <v/>
      </c>
      <c r="J2027" s="25">
        <f>IFERROR(INDEX(Pedidos!$C$2:$C$1801,MATCH(B2027,Pedidos!$A$2:$A$1801,0)),"")</f>
        <v/>
      </c>
      <c r="K2027" s="25">
        <f>IFERROR(INDEX(Pedidos!$D$2:$D$1801,MATCH(B2027,Pedidos!$A$2:$A$1801,0)),"")</f>
        <v/>
      </c>
      <c r="L2027" s="25">
        <f>IFERROR(INDEX(Pedidos!$F$2:$F$1801,MATCH(B2027,Pedidos!$A$2:$A$1801,0)),"")</f>
        <v/>
      </c>
      <c r="M2027" s="26">
        <f>IFERROR(INDEX(Pedidos!$G$2:$G$1801,MATCH(B2027,Pedidos!$A$2:$A$1801,0)),0)</f>
        <v/>
      </c>
      <c r="N2027" s="25">
        <f>IFERROR(INDEX(Produtos!$B$2:$B$71,MATCH(C2027,Produtos!$A$2:$A$71,0)),"")</f>
        <v/>
      </c>
      <c r="O2027" s="25">
        <f>IFERROR(INDEX(Produtos!$C$2:$C$71,MATCH(C2027,Produtos!$A$2:$A$71,0)),"")</f>
        <v/>
      </c>
      <c r="P2027" s="25">
        <f>IFERROR(INDEX(Produtos!$D$2:$D$71,MATCH(C2027,Produtos!$A$2:$A$71,0)),0)</f>
        <v/>
      </c>
      <c r="Q2027" s="25">
        <f>IFERROR(INDEX(Produtos!$E$2:$E$71,MATCH(C2027,Produtos!$A$2:$A$71,0)),0)</f>
        <v/>
      </c>
      <c r="R2027" s="27">
        <f>D2027*Q2027</f>
        <v/>
      </c>
      <c r="S2027" s="27">
        <f>R2027*E2027</f>
        <v/>
      </c>
      <c r="T2027" s="27">
        <f>(R2027-S2027)*M2027</f>
        <v/>
      </c>
      <c r="U2027" s="27">
        <f>R2027-S2027-T2027</f>
        <v/>
      </c>
      <c r="V2027" s="27">
        <f>D2027*P2027</f>
        <v/>
      </c>
      <c r="W2027" s="27">
        <f>U2027-V2027</f>
        <v/>
      </c>
      <c r="X2027" s="28">
        <f>IFERROR(W2027/U2027,0)</f>
        <v/>
      </c>
    </row>
    <row r="2028">
      <c r="A2028" s="21">
        <f>ItensPedido!A2028</f>
        <v/>
      </c>
      <c r="B2028" s="21">
        <f>ItensPedido!B2028</f>
        <v/>
      </c>
      <c r="C2028" s="21">
        <f>ItensPedido!C2028</f>
        <v/>
      </c>
      <c r="D2028" s="21">
        <f>ItensPedido!D2028</f>
        <v/>
      </c>
      <c r="E2028" s="22">
        <f>ItensPedido!E2028</f>
        <v/>
      </c>
      <c r="F2028" s="21">
        <f>IFERROR(INDEX(Pedidos!$B$2:$B$1801,MATCH(B2028,Pedidos!$A$2:$A$1801,0)),0)</f>
        <v/>
      </c>
      <c r="G2028" s="21">
        <f>IF(F2028=0,"",YEAR(F2028))</f>
        <v/>
      </c>
      <c r="H2028" s="21">
        <f>IF(F2028=0,"",MONTH(F2028))</f>
        <v/>
      </c>
      <c r="I2028" s="21">
        <f>IFERROR(INDEX(Pedidos!$E$2:$E$1801,MATCH(B2028,Pedidos!$A$2:$A$1801,0)),"")</f>
        <v/>
      </c>
      <c r="J2028" s="21">
        <f>IFERROR(INDEX(Pedidos!$C$2:$C$1801,MATCH(B2028,Pedidos!$A$2:$A$1801,0)),"")</f>
        <v/>
      </c>
      <c r="K2028" s="21">
        <f>IFERROR(INDEX(Pedidos!$D$2:$D$1801,MATCH(B2028,Pedidos!$A$2:$A$1801,0)),"")</f>
        <v/>
      </c>
      <c r="L2028" s="21">
        <f>IFERROR(INDEX(Pedidos!$F$2:$F$1801,MATCH(B2028,Pedidos!$A$2:$A$1801,0)),"")</f>
        <v/>
      </c>
      <c r="M2028" s="22">
        <f>IFERROR(INDEX(Pedidos!$G$2:$G$1801,MATCH(B2028,Pedidos!$A$2:$A$1801,0)),0)</f>
        <v/>
      </c>
      <c r="N2028" s="21">
        <f>IFERROR(INDEX(Produtos!$B$2:$B$71,MATCH(C2028,Produtos!$A$2:$A$71,0)),"")</f>
        <v/>
      </c>
      <c r="O2028" s="21">
        <f>IFERROR(INDEX(Produtos!$C$2:$C$71,MATCH(C2028,Produtos!$A$2:$A$71,0)),"")</f>
        <v/>
      </c>
      <c r="P2028" s="21">
        <f>IFERROR(INDEX(Produtos!$D$2:$D$71,MATCH(C2028,Produtos!$A$2:$A$71,0)),0)</f>
        <v/>
      </c>
      <c r="Q2028" s="21">
        <f>IFERROR(INDEX(Produtos!$E$2:$E$71,MATCH(C2028,Produtos!$A$2:$A$71,0)),0)</f>
        <v/>
      </c>
      <c r="R2028" s="23">
        <f>D2028*Q2028</f>
        <v/>
      </c>
      <c r="S2028" s="23">
        <f>R2028*E2028</f>
        <v/>
      </c>
      <c r="T2028" s="23">
        <f>(R2028-S2028)*M2028</f>
        <v/>
      </c>
      <c r="U2028" s="23">
        <f>R2028-S2028-T2028</f>
        <v/>
      </c>
      <c r="V2028" s="23">
        <f>D2028*P2028</f>
        <v/>
      </c>
      <c r="W2028" s="23">
        <f>U2028-V2028</f>
        <v/>
      </c>
      <c r="X2028" s="24">
        <f>IFERROR(W2028/U2028,0)</f>
        <v/>
      </c>
    </row>
    <row r="2029">
      <c r="A2029" s="25">
        <f>ItensPedido!A2029</f>
        <v/>
      </c>
      <c r="B2029" s="25">
        <f>ItensPedido!B2029</f>
        <v/>
      </c>
      <c r="C2029" s="25">
        <f>ItensPedido!C2029</f>
        <v/>
      </c>
      <c r="D2029" s="25">
        <f>ItensPedido!D2029</f>
        <v/>
      </c>
      <c r="E2029" s="26">
        <f>ItensPedido!E2029</f>
        <v/>
      </c>
      <c r="F2029" s="25">
        <f>IFERROR(INDEX(Pedidos!$B$2:$B$1801,MATCH(B2029,Pedidos!$A$2:$A$1801,0)),0)</f>
        <v/>
      </c>
      <c r="G2029" s="25">
        <f>IF(F2029=0,"",YEAR(F2029))</f>
        <v/>
      </c>
      <c r="H2029" s="25">
        <f>IF(F2029=0,"",MONTH(F2029))</f>
        <v/>
      </c>
      <c r="I2029" s="25">
        <f>IFERROR(INDEX(Pedidos!$E$2:$E$1801,MATCH(B2029,Pedidos!$A$2:$A$1801,0)),"")</f>
        <v/>
      </c>
      <c r="J2029" s="25">
        <f>IFERROR(INDEX(Pedidos!$C$2:$C$1801,MATCH(B2029,Pedidos!$A$2:$A$1801,0)),"")</f>
        <v/>
      </c>
      <c r="K2029" s="25">
        <f>IFERROR(INDEX(Pedidos!$D$2:$D$1801,MATCH(B2029,Pedidos!$A$2:$A$1801,0)),"")</f>
        <v/>
      </c>
      <c r="L2029" s="25">
        <f>IFERROR(INDEX(Pedidos!$F$2:$F$1801,MATCH(B2029,Pedidos!$A$2:$A$1801,0)),"")</f>
        <v/>
      </c>
      <c r="M2029" s="26">
        <f>IFERROR(INDEX(Pedidos!$G$2:$G$1801,MATCH(B2029,Pedidos!$A$2:$A$1801,0)),0)</f>
        <v/>
      </c>
      <c r="N2029" s="25">
        <f>IFERROR(INDEX(Produtos!$B$2:$B$71,MATCH(C2029,Produtos!$A$2:$A$71,0)),"")</f>
        <v/>
      </c>
      <c r="O2029" s="25">
        <f>IFERROR(INDEX(Produtos!$C$2:$C$71,MATCH(C2029,Produtos!$A$2:$A$71,0)),"")</f>
        <v/>
      </c>
      <c r="P2029" s="25">
        <f>IFERROR(INDEX(Produtos!$D$2:$D$71,MATCH(C2029,Produtos!$A$2:$A$71,0)),0)</f>
        <v/>
      </c>
      <c r="Q2029" s="25">
        <f>IFERROR(INDEX(Produtos!$E$2:$E$71,MATCH(C2029,Produtos!$A$2:$A$71,0)),0)</f>
        <v/>
      </c>
      <c r="R2029" s="27">
        <f>D2029*Q2029</f>
        <v/>
      </c>
      <c r="S2029" s="27">
        <f>R2029*E2029</f>
        <v/>
      </c>
      <c r="T2029" s="27">
        <f>(R2029-S2029)*M2029</f>
        <v/>
      </c>
      <c r="U2029" s="27">
        <f>R2029-S2029-T2029</f>
        <v/>
      </c>
      <c r="V2029" s="27">
        <f>D2029*P2029</f>
        <v/>
      </c>
      <c r="W2029" s="27">
        <f>U2029-V2029</f>
        <v/>
      </c>
      <c r="X2029" s="28">
        <f>IFERROR(W2029/U2029,0)</f>
        <v/>
      </c>
    </row>
    <row r="2030">
      <c r="A2030" s="21">
        <f>ItensPedido!A2030</f>
        <v/>
      </c>
      <c r="B2030" s="21">
        <f>ItensPedido!B2030</f>
        <v/>
      </c>
      <c r="C2030" s="21">
        <f>ItensPedido!C2030</f>
        <v/>
      </c>
      <c r="D2030" s="21">
        <f>ItensPedido!D2030</f>
        <v/>
      </c>
      <c r="E2030" s="22">
        <f>ItensPedido!E2030</f>
        <v/>
      </c>
      <c r="F2030" s="21">
        <f>IFERROR(INDEX(Pedidos!$B$2:$B$1801,MATCH(B2030,Pedidos!$A$2:$A$1801,0)),0)</f>
        <v/>
      </c>
      <c r="G2030" s="21">
        <f>IF(F2030=0,"",YEAR(F2030))</f>
        <v/>
      </c>
      <c r="H2030" s="21">
        <f>IF(F2030=0,"",MONTH(F2030))</f>
        <v/>
      </c>
      <c r="I2030" s="21">
        <f>IFERROR(INDEX(Pedidos!$E$2:$E$1801,MATCH(B2030,Pedidos!$A$2:$A$1801,0)),"")</f>
        <v/>
      </c>
      <c r="J2030" s="21">
        <f>IFERROR(INDEX(Pedidos!$C$2:$C$1801,MATCH(B2030,Pedidos!$A$2:$A$1801,0)),"")</f>
        <v/>
      </c>
      <c r="K2030" s="21">
        <f>IFERROR(INDEX(Pedidos!$D$2:$D$1801,MATCH(B2030,Pedidos!$A$2:$A$1801,0)),"")</f>
        <v/>
      </c>
      <c r="L2030" s="21">
        <f>IFERROR(INDEX(Pedidos!$F$2:$F$1801,MATCH(B2030,Pedidos!$A$2:$A$1801,0)),"")</f>
        <v/>
      </c>
      <c r="M2030" s="22">
        <f>IFERROR(INDEX(Pedidos!$G$2:$G$1801,MATCH(B2030,Pedidos!$A$2:$A$1801,0)),0)</f>
        <v/>
      </c>
      <c r="N2030" s="21">
        <f>IFERROR(INDEX(Produtos!$B$2:$B$71,MATCH(C2030,Produtos!$A$2:$A$71,0)),"")</f>
        <v/>
      </c>
      <c r="O2030" s="21">
        <f>IFERROR(INDEX(Produtos!$C$2:$C$71,MATCH(C2030,Produtos!$A$2:$A$71,0)),"")</f>
        <v/>
      </c>
      <c r="P2030" s="21">
        <f>IFERROR(INDEX(Produtos!$D$2:$D$71,MATCH(C2030,Produtos!$A$2:$A$71,0)),0)</f>
        <v/>
      </c>
      <c r="Q2030" s="21">
        <f>IFERROR(INDEX(Produtos!$E$2:$E$71,MATCH(C2030,Produtos!$A$2:$A$71,0)),0)</f>
        <v/>
      </c>
      <c r="R2030" s="23">
        <f>D2030*Q2030</f>
        <v/>
      </c>
      <c r="S2030" s="23">
        <f>R2030*E2030</f>
        <v/>
      </c>
      <c r="T2030" s="23">
        <f>(R2030-S2030)*M2030</f>
        <v/>
      </c>
      <c r="U2030" s="23">
        <f>R2030-S2030-T2030</f>
        <v/>
      </c>
      <c r="V2030" s="23">
        <f>D2030*P2030</f>
        <v/>
      </c>
      <c r="W2030" s="23">
        <f>U2030-V2030</f>
        <v/>
      </c>
      <c r="X2030" s="24">
        <f>IFERROR(W2030/U2030,0)</f>
        <v/>
      </c>
    </row>
    <row r="2031">
      <c r="A2031" s="25">
        <f>ItensPedido!A2031</f>
        <v/>
      </c>
      <c r="B2031" s="25">
        <f>ItensPedido!B2031</f>
        <v/>
      </c>
      <c r="C2031" s="25">
        <f>ItensPedido!C2031</f>
        <v/>
      </c>
      <c r="D2031" s="25">
        <f>ItensPedido!D2031</f>
        <v/>
      </c>
      <c r="E2031" s="26">
        <f>ItensPedido!E2031</f>
        <v/>
      </c>
      <c r="F2031" s="25">
        <f>IFERROR(INDEX(Pedidos!$B$2:$B$1801,MATCH(B2031,Pedidos!$A$2:$A$1801,0)),0)</f>
        <v/>
      </c>
      <c r="G2031" s="25">
        <f>IF(F2031=0,"",YEAR(F2031))</f>
        <v/>
      </c>
      <c r="H2031" s="25">
        <f>IF(F2031=0,"",MONTH(F2031))</f>
        <v/>
      </c>
      <c r="I2031" s="25">
        <f>IFERROR(INDEX(Pedidos!$E$2:$E$1801,MATCH(B2031,Pedidos!$A$2:$A$1801,0)),"")</f>
        <v/>
      </c>
      <c r="J2031" s="25">
        <f>IFERROR(INDEX(Pedidos!$C$2:$C$1801,MATCH(B2031,Pedidos!$A$2:$A$1801,0)),"")</f>
        <v/>
      </c>
      <c r="K2031" s="25">
        <f>IFERROR(INDEX(Pedidos!$D$2:$D$1801,MATCH(B2031,Pedidos!$A$2:$A$1801,0)),"")</f>
        <v/>
      </c>
      <c r="L2031" s="25">
        <f>IFERROR(INDEX(Pedidos!$F$2:$F$1801,MATCH(B2031,Pedidos!$A$2:$A$1801,0)),"")</f>
        <v/>
      </c>
      <c r="M2031" s="26">
        <f>IFERROR(INDEX(Pedidos!$G$2:$G$1801,MATCH(B2031,Pedidos!$A$2:$A$1801,0)),0)</f>
        <v/>
      </c>
      <c r="N2031" s="25">
        <f>IFERROR(INDEX(Produtos!$B$2:$B$71,MATCH(C2031,Produtos!$A$2:$A$71,0)),"")</f>
        <v/>
      </c>
      <c r="O2031" s="25">
        <f>IFERROR(INDEX(Produtos!$C$2:$C$71,MATCH(C2031,Produtos!$A$2:$A$71,0)),"")</f>
        <v/>
      </c>
      <c r="P2031" s="25">
        <f>IFERROR(INDEX(Produtos!$D$2:$D$71,MATCH(C2031,Produtos!$A$2:$A$71,0)),0)</f>
        <v/>
      </c>
      <c r="Q2031" s="25">
        <f>IFERROR(INDEX(Produtos!$E$2:$E$71,MATCH(C2031,Produtos!$A$2:$A$71,0)),0)</f>
        <v/>
      </c>
      <c r="R2031" s="27">
        <f>D2031*Q2031</f>
        <v/>
      </c>
      <c r="S2031" s="27">
        <f>R2031*E2031</f>
        <v/>
      </c>
      <c r="T2031" s="27">
        <f>(R2031-S2031)*M2031</f>
        <v/>
      </c>
      <c r="U2031" s="27">
        <f>R2031-S2031-T2031</f>
        <v/>
      </c>
      <c r="V2031" s="27">
        <f>D2031*P2031</f>
        <v/>
      </c>
      <c r="W2031" s="27">
        <f>U2031-V2031</f>
        <v/>
      </c>
      <c r="X2031" s="28">
        <f>IFERROR(W2031/U2031,0)</f>
        <v/>
      </c>
    </row>
    <row r="2032">
      <c r="A2032" s="21">
        <f>ItensPedido!A2032</f>
        <v/>
      </c>
      <c r="B2032" s="21">
        <f>ItensPedido!B2032</f>
        <v/>
      </c>
      <c r="C2032" s="21">
        <f>ItensPedido!C2032</f>
        <v/>
      </c>
      <c r="D2032" s="21">
        <f>ItensPedido!D2032</f>
        <v/>
      </c>
      <c r="E2032" s="22">
        <f>ItensPedido!E2032</f>
        <v/>
      </c>
      <c r="F2032" s="21">
        <f>IFERROR(INDEX(Pedidos!$B$2:$B$1801,MATCH(B2032,Pedidos!$A$2:$A$1801,0)),0)</f>
        <v/>
      </c>
      <c r="G2032" s="21">
        <f>IF(F2032=0,"",YEAR(F2032))</f>
        <v/>
      </c>
      <c r="H2032" s="21">
        <f>IF(F2032=0,"",MONTH(F2032))</f>
        <v/>
      </c>
      <c r="I2032" s="21">
        <f>IFERROR(INDEX(Pedidos!$E$2:$E$1801,MATCH(B2032,Pedidos!$A$2:$A$1801,0)),"")</f>
        <v/>
      </c>
      <c r="J2032" s="21">
        <f>IFERROR(INDEX(Pedidos!$C$2:$C$1801,MATCH(B2032,Pedidos!$A$2:$A$1801,0)),"")</f>
        <v/>
      </c>
      <c r="K2032" s="21">
        <f>IFERROR(INDEX(Pedidos!$D$2:$D$1801,MATCH(B2032,Pedidos!$A$2:$A$1801,0)),"")</f>
        <v/>
      </c>
      <c r="L2032" s="21">
        <f>IFERROR(INDEX(Pedidos!$F$2:$F$1801,MATCH(B2032,Pedidos!$A$2:$A$1801,0)),"")</f>
        <v/>
      </c>
      <c r="M2032" s="22">
        <f>IFERROR(INDEX(Pedidos!$G$2:$G$1801,MATCH(B2032,Pedidos!$A$2:$A$1801,0)),0)</f>
        <v/>
      </c>
      <c r="N2032" s="21">
        <f>IFERROR(INDEX(Produtos!$B$2:$B$71,MATCH(C2032,Produtos!$A$2:$A$71,0)),"")</f>
        <v/>
      </c>
      <c r="O2032" s="21">
        <f>IFERROR(INDEX(Produtos!$C$2:$C$71,MATCH(C2032,Produtos!$A$2:$A$71,0)),"")</f>
        <v/>
      </c>
      <c r="P2032" s="21">
        <f>IFERROR(INDEX(Produtos!$D$2:$D$71,MATCH(C2032,Produtos!$A$2:$A$71,0)),0)</f>
        <v/>
      </c>
      <c r="Q2032" s="21">
        <f>IFERROR(INDEX(Produtos!$E$2:$E$71,MATCH(C2032,Produtos!$A$2:$A$71,0)),0)</f>
        <v/>
      </c>
      <c r="R2032" s="23">
        <f>D2032*Q2032</f>
        <v/>
      </c>
      <c r="S2032" s="23">
        <f>R2032*E2032</f>
        <v/>
      </c>
      <c r="T2032" s="23">
        <f>(R2032-S2032)*M2032</f>
        <v/>
      </c>
      <c r="U2032" s="23">
        <f>R2032-S2032-T2032</f>
        <v/>
      </c>
      <c r="V2032" s="23">
        <f>D2032*P2032</f>
        <v/>
      </c>
      <c r="W2032" s="23">
        <f>U2032-V2032</f>
        <v/>
      </c>
      <c r="X2032" s="24">
        <f>IFERROR(W2032/U2032,0)</f>
        <v/>
      </c>
    </row>
    <row r="2033">
      <c r="A2033" s="25">
        <f>ItensPedido!A2033</f>
        <v/>
      </c>
      <c r="B2033" s="25">
        <f>ItensPedido!B2033</f>
        <v/>
      </c>
      <c r="C2033" s="25">
        <f>ItensPedido!C2033</f>
        <v/>
      </c>
      <c r="D2033" s="25">
        <f>ItensPedido!D2033</f>
        <v/>
      </c>
      <c r="E2033" s="26">
        <f>ItensPedido!E2033</f>
        <v/>
      </c>
      <c r="F2033" s="25">
        <f>IFERROR(INDEX(Pedidos!$B$2:$B$1801,MATCH(B2033,Pedidos!$A$2:$A$1801,0)),0)</f>
        <v/>
      </c>
      <c r="G2033" s="25">
        <f>IF(F2033=0,"",YEAR(F2033))</f>
        <v/>
      </c>
      <c r="H2033" s="25">
        <f>IF(F2033=0,"",MONTH(F2033))</f>
        <v/>
      </c>
      <c r="I2033" s="25">
        <f>IFERROR(INDEX(Pedidos!$E$2:$E$1801,MATCH(B2033,Pedidos!$A$2:$A$1801,0)),"")</f>
        <v/>
      </c>
      <c r="J2033" s="25">
        <f>IFERROR(INDEX(Pedidos!$C$2:$C$1801,MATCH(B2033,Pedidos!$A$2:$A$1801,0)),"")</f>
        <v/>
      </c>
      <c r="K2033" s="25">
        <f>IFERROR(INDEX(Pedidos!$D$2:$D$1801,MATCH(B2033,Pedidos!$A$2:$A$1801,0)),"")</f>
        <v/>
      </c>
      <c r="L2033" s="25">
        <f>IFERROR(INDEX(Pedidos!$F$2:$F$1801,MATCH(B2033,Pedidos!$A$2:$A$1801,0)),"")</f>
        <v/>
      </c>
      <c r="M2033" s="26">
        <f>IFERROR(INDEX(Pedidos!$G$2:$G$1801,MATCH(B2033,Pedidos!$A$2:$A$1801,0)),0)</f>
        <v/>
      </c>
      <c r="N2033" s="25">
        <f>IFERROR(INDEX(Produtos!$B$2:$B$71,MATCH(C2033,Produtos!$A$2:$A$71,0)),"")</f>
        <v/>
      </c>
      <c r="O2033" s="25">
        <f>IFERROR(INDEX(Produtos!$C$2:$C$71,MATCH(C2033,Produtos!$A$2:$A$71,0)),"")</f>
        <v/>
      </c>
      <c r="P2033" s="25">
        <f>IFERROR(INDEX(Produtos!$D$2:$D$71,MATCH(C2033,Produtos!$A$2:$A$71,0)),0)</f>
        <v/>
      </c>
      <c r="Q2033" s="25">
        <f>IFERROR(INDEX(Produtos!$E$2:$E$71,MATCH(C2033,Produtos!$A$2:$A$71,0)),0)</f>
        <v/>
      </c>
      <c r="R2033" s="27">
        <f>D2033*Q2033</f>
        <v/>
      </c>
      <c r="S2033" s="27">
        <f>R2033*E2033</f>
        <v/>
      </c>
      <c r="T2033" s="27">
        <f>(R2033-S2033)*M2033</f>
        <v/>
      </c>
      <c r="U2033" s="27">
        <f>R2033-S2033-T2033</f>
        <v/>
      </c>
      <c r="V2033" s="27">
        <f>D2033*P2033</f>
        <v/>
      </c>
      <c r="W2033" s="27">
        <f>U2033-V2033</f>
        <v/>
      </c>
      <c r="X2033" s="28">
        <f>IFERROR(W2033/U2033,0)</f>
        <v/>
      </c>
    </row>
    <row r="2034">
      <c r="A2034" s="21">
        <f>ItensPedido!A2034</f>
        <v/>
      </c>
      <c r="B2034" s="21">
        <f>ItensPedido!B2034</f>
        <v/>
      </c>
      <c r="C2034" s="21">
        <f>ItensPedido!C2034</f>
        <v/>
      </c>
      <c r="D2034" s="21">
        <f>ItensPedido!D2034</f>
        <v/>
      </c>
      <c r="E2034" s="22">
        <f>ItensPedido!E2034</f>
        <v/>
      </c>
      <c r="F2034" s="21">
        <f>IFERROR(INDEX(Pedidos!$B$2:$B$1801,MATCH(B2034,Pedidos!$A$2:$A$1801,0)),0)</f>
        <v/>
      </c>
      <c r="G2034" s="21">
        <f>IF(F2034=0,"",YEAR(F2034))</f>
        <v/>
      </c>
      <c r="H2034" s="21">
        <f>IF(F2034=0,"",MONTH(F2034))</f>
        <v/>
      </c>
      <c r="I2034" s="21">
        <f>IFERROR(INDEX(Pedidos!$E$2:$E$1801,MATCH(B2034,Pedidos!$A$2:$A$1801,0)),"")</f>
        <v/>
      </c>
      <c r="J2034" s="21">
        <f>IFERROR(INDEX(Pedidos!$C$2:$C$1801,MATCH(B2034,Pedidos!$A$2:$A$1801,0)),"")</f>
        <v/>
      </c>
      <c r="K2034" s="21">
        <f>IFERROR(INDEX(Pedidos!$D$2:$D$1801,MATCH(B2034,Pedidos!$A$2:$A$1801,0)),"")</f>
        <v/>
      </c>
      <c r="L2034" s="21">
        <f>IFERROR(INDEX(Pedidos!$F$2:$F$1801,MATCH(B2034,Pedidos!$A$2:$A$1801,0)),"")</f>
        <v/>
      </c>
      <c r="M2034" s="22">
        <f>IFERROR(INDEX(Pedidos!$G$2:$G$1801,MATCH(B2034,Pedidos!$A$2:$A$1801,0)),0)</f>
        <v/>
      </c>
      <c r="N2034" s="21">
        <f>IFERROR(INDEX(Produtos!$B$2:$B$71,MATCH(C2034,Produtos!$A$2:$A$71,0)),"")</f>
        <v/>
      </c>
      <c r="O2034" s="21">
        <f>IFERROR(INDEX(Produtos!$C$2:$C$71,MATCH(C2034,Produtos!$A$2:$A$71,0)),"")</f>
        <v/>
      </c>
      <c r="P2034" s="21">
        <f>IFERROR(INDEX(Produtos!$D$2:$D$71,MATCH(C2034,Produtos!$A$2:$A$71,0)),0)</f>
        <v/>
      </c>
      <c r="Q2034" s="21">
        <f>IFERROR(INDEX(Produtos!$E$2:$E$71,MATCH(C2034,Produtos!$A$2:$A$71,0)),0)</f>
        <v/>
      </c>
      <c r="R2034" s="23">
        <f>D2034*Q2034</f>
        <v/>
      </c>
      <c r="S2034" s="23">
        <f>R2034*E2034</f>
        <v/>
      </c>
      <c r="T2034" s="23">
        <f>(R2034-S2034)*M2034</f>
        <v/>
      </c>
      <c r="U2034" s="23">
        <f>R2034-S2034-T2034</f>
        <v/>
      </c>
      <c r="V2034" s="23">
        <f>D2034*P2034</f>
        <v/>
      </c>
      <c r="W2034" s="23">
        <f>U2034-V2034</f>
        <v/>
      </c>
      <c r="X2034" s="24">
        <f>IFERROR(W2034/U2034,0)</f>
        <v/>
      </c>
    </row>
    <row r="2035">
      <c r="A2035" s="25">
        <f>ItensPedido!A2035</f>
        <v/>
      </c>
      <c r="B2035" s="25">
        <f>ItensPedido!B2035</f>
        <v/>
      </c>
      <c r="C2035" s="25">
        <f>ItensPedido!C2035</f>
        <v/>
      </c>
      <c r="D2035" s="25">
        <f>ItensPedido!D2035</f>
        <v/>
      </c>
      <c r="E2035" s="26">
        <f>ItensPedido!E2035</f>
        <v/>
      </c>
      <c r="F2035" s="25">
        <f>IFERROR(INDEX(Pedidos!$B$2:$B$1801,MATCH(B2035,Pedidos!$A$2:$A$1801,0)),0)</f>
        <v/>
      </c>
      <c r="G2035" s="25">
        <f>IF(F2035=0,"",YEAR(F2035))</f>
        <v/>
      </c>
      <c r="H2035" s="25">
        <f>IF(F2035=0,"",MONTH(F2035))</f>
        <v/>
      </c>
      <c r="I2035" s="25">
        <f>IFERROR(INDEX(Pedidos!$E$2:$E$1801,MATCH(B2035,Pedidos!$A$2:$A$1801,0)),"")</f>
        <v/>
      </c>
      <c r="J2035" s="25">
        <f>IFERROR(INDEX(Pedidos!$C$2:$C$1801,MATCH(B2035,Pedidos!$A$2:$A$1801,0)),"")</f>
        <v/>
      </c>
      <c r="K2035" s="25">
        <f>IFERROR(INDEX(Pedidos!$D$2:$D$1801,MATCH(B2035,Pedidos!$A$2:$A$1801,0)),"")</f>
        <v/>
      </c>
      <c r="L2035" s="25">
        <f>IFERROR(INDEX(Pedidos!$F$2:$F$1801,MATCH(B2035,Pedidos!$A$2:$A$1801,0)),"")</f>
        <v/>
      </c>
      <c r="M2035" s="26">
        <f>IFERROR(INDEX(Pedidos!$G$2:$G$1801,MATCH(B2035,Pedidos!$A$2:$A$1801,0)),0)</f>
        <v/>
      </c>
      <c r="N2035" s="25">
        <f>IFERROR(INDEX(Produtos!$B$2:$B$71,MATCH(C2035,Produtos!$A$2:$A$71,0)),"")</f>
        <v/>
      </c>
      <c r="O2035" s="25">
        <f>IFERROR(INDEX(Produtos!$C$2:$C$71,MATCH(C2035,Produtos!$A$2:$A$71,0)),"")</f>
        <v/>
      </c>
      <c r="P2035" s="25">
        <f>IFERROR(INDEX(Produtos!$D$2:$D$71,MATCH(C2035,Produtos!$A$2:$A$71,0)),0)</f>
        <v/>
      </c>
      <c r="Q2035" s="25">
        <f>IFERROR(INDEX(Produtos!$E$2:$E$71,MATCH(C2035,Produtos!$A$2:$A$71,0)),0)</f>
        <v/>
      </c>
      <c r="R2035" s="27">
        <f>D2035*Q2035</f>
        <v/>
      </c>
      <c r="S2035" s="27">
        <f>R2035*E2035</f>
        <v/>
      </c>
      <c r="T2035" s="27">
        <f>(R2035-S2035)*M2035</f>
        <v/>
      </c>
      <c r="U2035" s="27">
        <f>R2035-S2035-T2035</f>
        <v/>
      </c>
      <c r="V2035" s="27">
        <f>D2035*P2035</f>
        <v/>
      </c>
      <c r="W2035" s="27">
        <f>U2035-V2035</f>
        <v/>
      </c>
      <c r="X2035" s="28">
        <f>IFERROR(W2035/U2035,0)</f>
        <v/>
      </c>
    </row>
    <row r="2036">
      <c r="A2036" s="21">
        <f>ItensPedido!A2036</f>
        <v/>
      </c>
      <c r="B2036" s="21">
        <f>ItensPedido!B2036</f>
        <v/>
      </c>
      <c r="C2036" s="21">
        <f>ItensPedido!C2036</f>
        <v/>
      </c>
      <c r="D2036" s="21">
        <f>ItensPedido!D2036</f>
        <v/>
      </c>
      <c r="E2036" s="22">
        <f>ItensPedido!E2036</f>
        <v/>
      </c>
      <c r="F2036" s="21">
        <f>IFERROR(INDEX(Pedidos!$B$2:$B$1801,MATCH(B2036,Pedidos!$A$2:$A$1801,0)),0)</f>
        <v/>
      </c>
      <c r="G2036" s="21">
        <f>IF(F2036=0,"",YEAR(F2036))</f>
        <v/>
      </c>
      <c r="H2036" s="21">
        <f>IF(F2036=0,"",MONTH(F2036))</f>
        <v/>
      </c>
      <c r="I2036" s="21">
        <f>IFERROR(INDEX(Pedidos!$E$2:$E$1801,MATCH(B2036,Pedidos!$A$2:$A$1801,0)),"")</f>
        <v/>
      </c>
      <c r="J2036" s="21">
        <f>IFERROR(INDEX(Pedidos!$C$2:$C$1801,MATCH(B2036,Pedidos!$A$2:$A$1801,0)),"")</f>
        <v/>
      </c>
      <c r="K2036" s="21">
        <f>IFERROR(INDEX(Pedidos!$D$2:$D$1801,MATCH(B2036,Pedidos!$A$2:$A$1801,0)),"")</f>
        <v/>
      </c>
      <c r="L2036" s="21">
        <f>IFERROR(INDEX(Pedidos!$F$2:$F$1801,MATCH(B2036,Pedidos!$A$2:$A$1801,0)),"")</f>
        <v/>
      </c>
      <c r="M2036" s="22">
        <f>IFERROR(INDEX(Pedidos!$G$2:$G$1801,MATCH(B2036,Pedidos!$A$2:$A$1801,0)),0)</f>
        <v/>
      </c>
      <c r="N2036" s="21">
        <f>IFERROR(INDEX(Produtos!$B$2:$B$71,MATCH(C2036,Produtos!$A$2:$A$71,0)),"")</f>
        <v/>
      </c>
      <c r="O2036" s="21">
        <f>IFERROR(INDEX(Produtos!$C$2:$C$71,MATCH(C2036,Produtos!$A$2:$A$71,0)),"")</f>
        <v/>
      </c>
      <c r="P2036" s="21">
        <f>IFERROR(INDEX(Produtos!$D$2:$D$71,MATCH(C2036,Produtos!$A$2:$A$71,0)),0)</f>
        <v/>
      </c>
      <c r="Q2036" s="21">
        <f>IFERROR(INDEX(Produtos!$E$2:$E$71,MATCH(C2036,Produtos!$A$2:$A$71,0)),0)</f>
        <v/>
      </c>
      <c r="R2036" s="23">
        <f>D2036*Q2036</f>
        <v/>
      </c>
      <c r="S2036" s="23">
        <f>R2036*E2036</f>
        <v/>
      </c>
      <c r="T2036" s="23">
        <f>(R2036-S2036)*M2036</f>
        <v/>
      </c>
      <c r="U2036" s="23">
        <f>R2036-S2036-T2036</f>
        <v/>
      </c>
      <c r="V2036" s="23">
        <f>D2036*P2036</f>
        <v/>
      </c>
      <c r="W2036" s="23">
        <f>U2036-V2036</f>
        <v/>
      </c>
      <c r="X2036" s="24">
        <f>IFERROR(W2036/U2036,0)</f>
        <v/>
      </c>
    </row>
    <row r="2037">
      <c r="A2037" s="25">
        <f>ItensPedido!A2037</f>
        <v/>
      </c>
      <c r="B2037" s="25">
        <f>ItensPedido!B2037</f>
        <v/>
      </c>
      <c r="C2037" s="25">
        <f>ItensPedido!C2037</f>
        <v/>
      </c>
      <c r="D2037" s="25">
        <f>ItensPedido!D2037</f>
        <v/>
      </c>
      <c r="E2037" s="26">
        <f>ItensPedido!E2037</f>
        <v/>
      </c>
      <c r="F2037" s="25">
        <f>IFERROR(INDEX(Pedidos!$B$2:$B$1801,MATCH(B2037,Pedidos!$A$2:$A$1801,0)),0)</f>
        <v/>
      </c>
      <c r="G2037" s="25">
        <f>IF(F2037=0,"",YEAR(F2037))</f>
        <v/>
      </c>
      <c r="H2037" s="25">
        <f>IF(F2037=0,"",MONTH(F2037))</f>
        <v/>
      </c>
      <c r="I2037" s="25">
        <f>IFERROR(INDEX(Pedidos!$E$2:$E$1801,MATCH(B2037,Pedidos!$A$2:$A$1801,0)),"")</f>
        <v/>
      </c>
      <c r="J2037" s="25">
        <f>IFERROR(INDEX(Pedidos!$C$2:$C$1801,MATCH(B2037,Pedidos!$A$2:$A$1801,0)),"")</f>
        <v/>
      </c>
      <c r="K2037" s="25">
        <f>IFERROR(INDEX(Pedidos!$D$2:$D$1801,MATCH(B2037,Pedidos!$A$2:$A$1801,0)),"")</f>
        <v/>
      </c>
      <c r="L2037" s="25">
        <f>IFERROR(INDEX(Pedidos!$F$2:$F$1801,MATCH(B2037,Pedidos!$A$2:$A$1801,0)),"")</f>
        <v/>
      </c>
      <c r="M2037" s="26">
        <f>IFERROR(INDEX(Pedidos!$G$2:$G$1801,MATCH(B2037,Pedidos!$A$2:$A$1801,0)),0)</f>
        <v/>
      </c>
      <c r="N2037" s="25">
        <f>IFERROR(INDEX(Produtos!$B$2:$B$71,MATCH(C2037,Produtos!$A$2:$A$71,0)),"")</f>
        <v/>
      </c>
      <c r="O2037" s="25">
        <f>IFERROR(INDEX(Produtos!$C$2:$C$71,MATCH(C2037,Produtos!$A$2:$A$71,0)),"")</f>
        <v/>
      </c>
      <c r="P2037" s="25">
        <f>IFERROR(INDEX(Produtos!$D$2:$D$71,MATCH(C2037,Produtos!$A$2:$A$71,0)),0)</f>
        <v/>
      </c>
      <c r="Q2037" s="25">
        <f>IFERROR(INDEX(Produtos!$E$2:$E$71,MATCH(C2037,Produtos!$A$2:$A$71,0)),0)</f>
        <v/>
      </c>
      <c r="R2037" s="27">
        <f>D2037*Q2037</f>
        <v/>
      </c>
      <c r="S2037" s="27">
        <f>R2037*E2037</f>
        <v/>
      </c>
      <c r="T2037" s="27">
        <f>(R2037-S2037)*M2037</f>
        <v/>
      </c>
      <c r="U2037" s="27">
        <f>R2037-S2037-T2037</f>
        <v/>
      </c>
      <c r="V2037" s="27">
        <f>D2037*P2037</f>
        <v/>
      </c>
      <c r="W2037" s="27">
        <f>U2037-V2037</f>
        <v/>
      </c>
      <c r="X2037" s="28">
        <f>IFERROR(W2037/U2037,0)</f>
        <v/>
      </c>
    </row>
    <row r="2038">
      <c r="A2038" s="21">
        <f>ItensPedido!A2038</f>
        <v/>
      </c>
      <c r="B2038" s="21">
        <f>ItensPedido!B2038</f>
        <v/>
      </c>
      <c r="C2038" s="21">
        <f>ItensPedido!C2038</f>
        <v/>
      </c>
      <c r="D2038" s="21">
        <f>ItensPedido!D2038</f>
        <v/>
      </c>
      <c r="E2038" s="22">
        <f>ItensPedido!E2038</f>
        <v/>
      </c>
      <c r="F2038" s="21">
        <f>IFERROR(INDEX(Pedidos!$B$2:$B$1801,MATCH(B2038,Pedidos!$A$2:$A$1801,0)),0)</f>
        <v/>
      </c>
      <c r="G2038" s="21">
        <f>IF(F2038=0,"",YEAR(F2038))</f>
        <v/>
      </c>
      <c r="H2038" s="21">
        <f>IF(F2038=0,"",MONTH(F2038))</f>
        <v/>
      </c>
      <c r="I2038" s="21">
        <f>IFERROR(INDEX(Pedidos!$E$2:$E$1801,MATCH(B2038,Pedidos!$A$2:$A$1801,0)),"")</f>
        <v/>
      </c>
      <c r="J2038" s="21">
        <f>IFERROR(INDEX(Pedidos!$C$2:$C$1801,MATCH(B2038,Pedidos!$A$2:$A$1801,0)),"")</f>
        <v/>
      </c>
      <c r="K2038" s="21">
        <f>IFERROR(INDEX(Pedidos!$D$2:$D$1801,MATCH(B2038,Pedidos!$A$2:$A$1801,0)),"")</f>
        <v/>
      </c>
      <c r="L2038" s="21">
        <f>IFERROR(INDEX(Pedidos!$F$2:$F$1801,MATCH(B2038,Pedidos!$A$2:$A$1801,0)),"")</f>
        <v/>
      </c>
      <c r="M2038" s="22">
        <f>IFERROR(INDEX(Pedidos!$G$2:$G$1801,MATCH(B2038,Pedidos!$A$2:$A$1801,0)),0)</f>
        <v/>
      </c>
      <c r="N2038" s="21">
        <f>IFERROR(INDEX(Produtos!$B$2:$B$71,MATCH(C2038,Produtos!$A$2:$A$71,0)),"")</f>
        <v/>
      </c>
      <c r="O2038" s="21">
        <f>IFERROR(INDEX(Produtos!$C$2:$C$71,MATCH(C2038,Produtos!$A$2:$A$71,0)),"")</f>
        <v/>
      </c>
      <c r="P2038" s="21">
        <f>IFERROR(INDEX(Produtos!$D$2:$D$71,MATCH(C2038,Produtos!$A$2:$A$71,0)),0)</f>
        <v/>
      </c>
      <c r="Q2038" s="21">
        <f>IFERROR(INDEX(Produtos!$E$2:$E$71,MATCH(C2038,Produtos!$A$2:$A$71,0)),0)</f>
        <v/>
      </c>
      <c r="R2038" s="23">
        <f>D2038*Q2038</f>
        <v/>
      </c>
      <c r="S2038" s="23">
        <f>R2038*E2038</f>
        <v/>
      </c>
      <c r="T2038" s="23">
        <f>(R2038-S2038)*M2038</f>
        <v/>
      </c>
      <c r="U2038" s="23">
        <f>R2038-S2038-T2038</f>
        <v/>
      </c>
      <c r="V2038" s="23">
        <f>D2038*P2038</f>
        <v/>
      </c>
      <c r="W2038" s="23">
        <f>U2038-V2038</f>
        <v/>
      </c>
      <c r="X2038" s="24">
        <f>IFERROR(W2038/U2038,0)</f>
        <v/>
      </c>
    </row>
    <row r="2039">
      <c r="A2039" s="25">
        <f>ItensPedido!A2039</f>
        <v/>
      </c>
      <c r="B2039" s="25">
        <f>ItensPedido!B2039</f>
        <v/>
      </c>
      <c r="C2039" s="25">
        <f>ItensPedido!C2039</f>
        <v/>
      </c>
      <c r="D2039" s="25">
        <f>ItensPedido!D2039</f>
        <v/>
      </c>
      <c r="E2039" s="26">
        <f>ItensPedido!E2039</f>
        <v/>
      </c>
      <c r="F2039" s="25">
        <f>IFERROR(INDEX(Pedidos!$B$2:$B$1801,MATCH(B2039,Pedidos!$A$2:$A$1801,0)),0)</f>
        <v/>
      </c>
      <c r="G2039" s="25">
        <f>IF(F2039=0,"",YEAR(F2039))</f>
        <v/>
      </c>
      <c r="H2039" s="25">
        <f>IF(F2039=0,"",MONTH(F2039))</f>
        <v/>
      </c>
      <c r="I2039" s="25">
        <f>IFERROR(INDEX(Pedidos!$E$2:$E$1801,MATCH(B2039,Pedidos!$A$2:$A$1801,0)),"")</f>
        <v/>
      </c>
      <c r="J2039" s="25">
        <f>IFERROR(INDEX(Pedidos!$C$2:$C$1801,MATCH(B2039,Pedidos!$A$2:$A$1801,0)),"")</f>
        <v/>
      </c>
      <c r="K2039" s="25">
        <f>IFERROR(INDEX(Pedidos!$D$2:$D$1801,MATCH(B2039,Pedidos!$A$2:$A$1801,0)),"")</f>
        <v/>
      </c>
      <c r="L2039" s="25">
        <f>IFERROR(INDEX(Pedidos!$F$2:$F$1801,MATCH(B2039,Pedidos!$A$2:$A$1801,0)),"")</f>
        <v/>
      </c>
      <c r="M2039" s="26">
        <f>IFERROR(INDEX(Pedidos!$G$2:$G$1801,MATCH(B2039,Pedidos!$A$2:$A$1801,0)),0)</f>
        <v/>
      </c>
      <c r="N2039" s="25">
        <f>IFERROR(INDEX(Produtos!$B$2:$B$71,MATCH(C2039,Produtos!$A$2:$A$71,0)),"")</f>
        <v/>
      </c>
      <c r="O2039" s="25">
        <f>IFERROR(INDEX(Produtos!$C$2:$C$71,MATCH(C2039,Produtos!$A$2:$A$71,0)),"")</f>
        <v/>
      </c>
      <c r="P2039" s="25">
        <f>IFERROR(INDEX(Produtos!$D$2:$D$71,MATCH(C2039,Produtos!$A$2:$A$71,0)),0)</f>
        <v/>
      </c>
      <c r="Q2039" s="25">
        <f>IFERROR(INDEX(Produtos!$E$2:$E$71,MATCH(C2039,Produtos!$A$2:$A$71,0)),0)</f>
        <v/>
      </c>
      <c r="R2039" s="27">
        <f>D2039*Q2039</f>
        <v/>
      </c>
      <c r="S2039" s="27">
        <f>R2039*E2039</f>
        <v/>
      </c>
      <c r="T2039" s="27">
        <f>(R2039-S2039)*M2039</f>
        <v/>
      </c>
      <c r="U2039" s="27">
        <f>R2039-S2039-T2039</f>
        <v/>
      </c>
      <c r="V2039" s="27">
        <f>D2039*P2039</f>
        <v/>
      </c>
      <c r="W2039" s="27">
        <f>U2039-V2039</f>
        <v/>
      </c>
      <c r="X2039" s="28">
        <f>IFERROR(W2039/U2039,0)</f>
        <v/>
      </c>
    </row>
    <row r="2040">
      <c r="A2040" s="21">
        <f>ItensPedido!A2040</f>
        <v/>
      </c>
      <c r="B2040" s="21">
        <f>ItensPedido!B2040</f>
        <v/>
      </c>
      <c r="C2040" s="21">
        <f>ItensPedido!C2040</f>
        <v/>
      </c>
      <c r="D2040" s="21">
        <f>ItensPedido!D2040</f>
        <v/>
      </c>
      <c r="E2040" s="22">
        <f>ItensPedido!E2040</f>
        <v/>
      </c>
      <c r="F2040" s="21">
        <f>IFERROR(INDEX(Pedidos!$B$2:$B$1801,MATCH(B2040,Pedidos!$A$2:$A$1801,0)),0)</f>
        <v/>
      </c>
      <c r="G2040" s="21">
        <f>IF(F2040=0,"",YEAR(F2040))</f>
        <v/>
      </c>
      <c r="H2040" s="21">
        <f>IF(F2040=0,"",MONTH(F2040))</f>
        <v/>
      </c>
      <c r="I2040" s="21">
        <f>IFERROR(INDEX(Pedidos!$E$2:$E$1801,MATCH(B2040,Pedidos!$A$2:$A$1801,0)),"")</f>
        <v/>
      </c>
      <c r="J2040" s="21">
        <f>IFERROR(INDEX(Pedidos!$C$2:$C$1801,MATCH(B2040,Pedidos!$A$2:$A$1801,0)),"")</f>
        <v/>
      </c>
      <c r="K2040" s="21">
        <f>IFERROR(INDEX(Pedidos!$D$2:$D$1801,MATCH(B2040,Pedidos!$A$2:$A$1801,0)),"")</f>
        <v/>
      </c>
      <c r="L2040" s="21">
        <f>IFERROR(INDEX(Pedidos!$F$2:$F$1801,MATCH(B2040,Pedidos!$A$2:$A$1801,0)),"")</f>
        <v/>
      </c>
      <c r="M2040" s="22">
        <f>IFERROR(INDEX(Pedidos!$G$2:$G$1801,MATCH(B2040,Pedidos!$A$2:$A$1801,0)),0)</f>
        <v/>
      </c>
      <c r="N2040" s="21">
        <f>IFERROR(INDEX(Produtos!$B$2:$B$71,MATCH(C2040,Produtos!$A$2:$A$71,0)),"")</f>
        <v/>
      </c>
      <c r="O2040" s="21">
        <f>IFERROR(INDEX(Produtos!$C$2:$C$71,MATCH(C2040,Produtos!$A$2:$A$71,0)),"")</f>
        <v/>
      </c>
      <c r="P2040" s="21">
        <f>IFERROR(INDEX(Produtos!$D$2:$D$71,MATCH(C2040,Produtos!$A$2:$A$71,0)),0)</f>
        <v/>
      </c>
      <c r="Q2040" s="21">
        <f>IFERROR(INDEX(Produtos!$E$2:$E$71,MATCH(C2040,Produtos!$A$2:$A$71,0)),0)</f>
        <v/>
      </c>
      <c r="R2040" s="23">
        <f>D2040*Q2040</f>
        <v/>
      </c>
      <c r="S2040" s="23">
        <f>R2040*E2040</f>
        <v/>
      </c>
      <c r="T2040" s="23">
        <f>(R2040-S2040)*M2040</f>
        <v/>
      </c>
      <c r="U2040" s="23">
        <f>R2040-S2040-T2040</f>
        <v/>
      </c>
      <c r="V2040" s="23">
        <f>D2040*P2040</f>
        <v/>
      </c>
      <c r="W2040" s="23">
        <f>U2040-V2040</f>
        <v/>
      </c>
      <c r="X2040" s="24">
        <f>IFERROR(W2040/U2040,0)</f>
        <v/>
      </c>
    </row>
    <row r="2041">
      <c r="A2041" s="25">
        <f>ItensPedido!A2041</f>
        <v/>
      </c>
      <c r="B2041" s="25">
        <f>ItensPedido!B2041</f>
        <v/>
      </c>
      <c r="C2041" s="25">
        <f>ItensPedido!C2041</f>
        <v/>
      </c>
      <c r="D2041" s="25">
        <f>ItensPedido!D2041</f>
        <v/>
      </c>
      <c r="E2041" s="26">
        <f>ItensPedido!E2041</f>
        <v/>
      </c>
      <c r="F2041" s="25">
        <f>IFERROR(INDEX(Pedidos!$B$2:$B$1801,MATCH(B2041,Pedidos!$A$2:$A$1801,0)),0)</f>
        <v/>
      </c>
      <c r="G2041" s="25">
        <f>IF(F2041=0,"",YEAR(F2041))</f>
        <v/>
      </c>
      <c r="H2041" s="25">
        <f>IF(F2041=0,"",MONTH(F2041))</f>
        <v/>
      </c>
      <c r="I2041" s="25">
        <f>IFERROR(INDEX(Pedidos!$E$2:$E$1801,MATCH(B2041,Pedidos!$A$2:$A$1801,0)),"")</f>
        <v/>
      </c>
      <c r="J2041" s="25">
        <f>IFERROR(INDEX(Pedidos!$C$2:$C$1801,MATCH(B2041,Pedidos!$A$2:$A$1801,0)),"")</f>
        <v/>
      </c>
      <c r="K2041" s="25">
        <f>IFERROR(INDEX(Pedidos!$D$2:$D$1801,MATCH(B2041,Pedidos!$A$2:$A$1801,0)),"")</f>
        <v/>
      </c>
      <c r="L2041" s="25">
        <f>IFERROR(INDEX(Pedidos!$F$2:$F$1801,MATCH(B2041,Pedidos!$A$2:$A$1801,0)),"")</f>
        <v/>
      </c>
      <c r="M2041" s="26">
        <f>IFERROR(INDEX(Pedidos!$G$2:$G$1801,MATCH(B2041,Pedidos!$A$2:$A$1801,0)),0)</f>
        <v/>
      </c>
      <c r="N2041" s="25">
        <f>IFERROR(INDEX(Produtos!$B$2:$B$71,MATCH(C2041,Produtos!$A$2:$A$71,0)),"")</f>
        <v/>
      </c>
      <c r="O2041" s="25">
        <f>IFERROR(INDEX(Produtos!$C$2:$C$71,MATCH(C2041,Produtos!$A$2:$A$71,0)),"")</f>
        <v/>
      </c>
      <c r="P2041" s="25">
        <f>IFERROR(INDEX(Produtos!$D$2:$D$71,MATCH(C2041,Produtos!$A$2:$A$71,0)),0)</f>
        <v/>
      </c>
      <c r="Q2041" s="25">
        <f>IFERROR(INDEX(Produtos!$E$2:$E$71,MATCH(C2041,Produtos!$A$2:$A$71,0)),0)</f>
        <v/>
      </c>
      <c r="R2041" s="27">
        <f>D2041*Q2041</f>
        <v/>
      </c>
      <c r="S2041" s="27">
        <f>R2041*E2041</f>
        <v/>
      </c>
      <c r="T2041" s="27">
        <f>(R2041-S2041)*M2041</f>
        <v/>
      </c>
      <c r="U2041" s="27">
        <f>R2041-S2041-T2041</f>
        <v/>
      </c>
      <c r="V2041" s="27">
        <f>D2041*P2041</f>
        <v/>
      </c>
      <c r="W2041" s="27">
        <f>U2041-V2041</f>
        <v/>
      </c>
      <c r="X2041" s="28">
        <f>IFERROR(W2041/U2041,0)</f>
        <v/>
      </c>
    </row>
    <row r="2042">
      <c r="A2042" s="21">
        <f>ItensPedido!A2042</f>
        <v/>
      </c>
      <c r="B2042" s="21">
        <f>ItensPedido!B2042</f>
        <v/>
      </c>
      <c r="C2042" s="21">
        <f>ItensPedido!C2042</f>
        <v/>
      </c>
      <c r="D2042" s="21">
        <f>ItensPedido!D2042</f>
        <v/>
      </c>
      <c r="E2042" s="22">
        <f>ItensPedido!E2042</f>
        <v/>
      </c>
      <c r="F2042" s="21">
        <f>IFERROR(INDEX(Pedidos!$B$2:$B$1801,MATCH(B2042,Pedidos!$A$2:$A$1801,0)),0)</f>
        <v/>
      </c>
      <c r="G2042" s="21">
        <f>IF(F2042=0,"",YEAR(F2042))</f>
        <v/>
      </c>
      <c r="H2042" s="21">
        <f>IF(F2042=0,"",MONTH(F2042))</f>
        <v/>
      </c>
      <c r="I2042" s="21">
        <f>IFERROR(INDEX(Pedidos!$E$2:$E$1801,MATCH(B2042,Pedidos!$A$2:$A$1801,0)),"")</f>
        <v/>
      </c>
      <c r="J2042" s="21">
        <f>IFERROR(INDEX(Pedidos!$C$2:$C$1801,MATCH(B2042,Pedidos!$A$2:$A$1801,0)),"")</f>
        <v/>
      </c>
      <c r="K2042" s="21">
        <f>IFERROR(INDEX(Pedidos!$D$2:$D$1801,MATCH(B2042,Pedidos!$A$2:$A$1801,0)),"")</f>
        <v/>
      </c>
      <c r="L2042" s="21">
        <f>IFERROR(INDEX(Pedidos!$F$2:$F$1801,MATCH(B2042,Pedidos!$A$2:$A$1801,0)),"")</f>
        <v/>
      </c>
      <c r="M2042" s="22">
        <f>IFERROR(INDEX(Pedidos!$G$2:$G$1801,MATCH(B2042,Pedidos!$A$2:$A$1801,0)),0)</f>
        <v/>
      </c>
      <c r="N2042" s="21">
        <f>IFERROR(INDEX(Produtos!$B$2:$B$71,MATCH(C2042,Produtos!$A$2:$A$71,0)),"")</f>
        <v/>
      </c>
      <c r="O2042" s="21">
        <f>IFERROR(INDEX(Produtos!$C$2:$C$71,MATCH(C2042,Produtos!$A$2:$A$71,0)),"")</f>
        <v/>
      </c>
      <c r="P2042" s="21">
        <f>IFERROR(INDEX(Produtos!$D$2:$D$71,MATCH(C2042,Produtos!$A$2:$A$71,0)),0)</f>
        <v/>
      </c>
      <c r="Q2042" s="21">
        <f>IFERROR(INDEX(Produtos!$E$2:$E$71,MATCH(C2042,Produtos!$A$2:$A$71,0)),0)</f>
        <v/>
      </c>
      <c r="R2042" s="23">
        <f>D2042*Q2042</f>
        <v/>
      </c>
      <c r="S2042" s="23">
        <f>R2042*E2042</f>
        <v/>
      </c>
      <c r="T2042" s="23">
        <f>(R2042-S2042)*M2042</f>
        <v/>
      </c>
      <c r="U2042" s="23">
        <f>R2042-S2042-T2042</f>
        <v/>
      </c>
      <c r="V2042" s="23">
        <f>D2042*P2042</f>
        <v/>
      </c>
      <c r="W2042" s="23">
        <f>U2042-V2042</f>
        <v/>
      </c>
      <c r="X2042" s="24">
        <f>IFERROR(W2042/U2042,0)</f>
        <v/>
      </c>
    </row>
    <row r="2043">
      <c r="A2043" s="25">
        <f>ItensPedido!A2043</f>
        <v/>
      </c>
      <c r="B2043" s="25">
        <f>ItensPedido!B2043</f>
        <v/>
      </c>
      <c r="C2043" s="25">
        <f>ItensPedido!C2043</f>
        <v/>
      </c>
      <c r="D2043" s="25">
        <f>ItensPedido!D2043</f>
        <v/>
      </c>
      <c r="E2043" s="26">
        <f>ItensPedido!E2043</f>
        <v/>
      </c>
      <c r="F2043" s="25">
        <f>IFERROR(INDEX(Pedidos!$B$2:$B$1801,MATCH(B2043,Pedidos!$A$2:$A$1801,0)),0)</f>
        <v/>
      </c>
      <c r="G2043" s="25">
        <f>IF(F2043=0,"",YEAR(F2043))</f>
        <v/>
      </c>
      <c r="H2043" s="25">
        <f>IF(F2043=0,"",MONTH(F2043))</f>
        <v/>
      </c>
      <c r="I2043" s="25">
        <f>IFERROR(INDEX(Pedidos!$E$2:$E$1801,MATCH(B2043,Pedidos!$A$2:$A$1801,0)),"")</f>
        <v/>
      </c>
      <c r="J2043" s="25">
        <f>IFERROR(INDEX(Pedidos!$C$2:$C$1801,MATCH(B2043,Pedidos!$A$2:$A$1801,0)),"")</f>
        <v/>
      </c>
      <c r="K2043" s="25">
        <f>IFERROR(INDEX(Pedidos!$D$2:$D$1801,MATCH(B2043,Pedidos!$A$2:$A$1801,0)),"")</f>
        <v/>
      </c>
      <c r="L2043" s="25">
        <f>IFERROR(INDEX(Pedidos!$F$2:$F$1801,MATCH(B2043,Pedidos!$A$2:$A$1801,0)),"")</f>
        <v/>
      </c>
      <c r="M2043" s="26">
        <f>IFERROR(INDEX(Pedidos!$G$2:$G$1801,MATCH(B2043,Pedidos!$A$2:$A$1801,0)),0)</f>
        <v/>
      </c>
      <c r="N2043" s="25">
        <f>IFERROR(INDEX(Produtos!$B$2:$B$71,MATCH(C2043,Produtos!$A$2:$A$71,0)),"")</f>
        <v/>
      </c>
      <c r="O2043" s="25">
        <f>IFERROR(INDEX(Produtos!$C$2:$C$71,MATCH(C2043,Produtos!$A$2:$A$71,0)),"")</f>
        <v/>
      </c>
      <c r="P2043" s="25">
        <f>IFERROR(INDEX(Produtos!$D$2:$D$71,MATCH(C2043,Produtos!$A$2:$A$71,0)),0)</f>
        <v/>
      </c>
      <c r="Q2043" s="25">
        <f>IFERROR(INDEX(Produtos!$E$2:$E$71,MATCH(C2043,Produtos!$A$2:$A$71,0)),0)</f>
        <v/>
      </c>
      <c r="R2043" s="27">
        <f>D2043*Q2043</f>
        <v/>
      </c>
      <c r="S2043" s="27">
        <f>R2043*E2043</f>
        <v/>
      </c>
      <c r="T2043" s="27">
        <f>(R2043-S2043)*M2043</f>
        <v/>
      </c>
      <c r="U2043" s="27">
        <f>R2043-S2043-T2043</f>
        <v/>
      </c>
      <c r="V2043" s="27">
        <f>D2043*P2043</f>
        <v/>
      </c>
      <c r="W2043" s="27">
        <f>U2043-V2043</f>
        <v/>
      </c>
      <c r="X2043" s="28">
        <f>IFERROR(W2043/U2043,0)</f>
        <v/>
      </c>
    </row>
    <row r="2044">
      <c r="A2044" s="21">
        <f>ItensPedido!A2044</f>
        <v/>
      </c>
      <c r="B2044" s="21">
        <f>ItensPedido!B2044</f>
        <v/>
      </c>
      <c r="C2044" s="21">
        <f>ItensPedido!C2044</f>
        <v/>
      </c>
      <c r="D2044" s="21">
        <f>ItensPedido!D2044</f>
        <v/>
      </c>
      <c r="E2044" s="22">
        <f>ItensPedido!E2044</f>
        <v/>
      </c>
      <c r="F2044" s="21">
        <f>IFERROR(INDEX(Pedidos!$B$2:$B$1801,MATCH(B2044,Pedidos!$A$2:$A$1801,0)),0)</f>
        <v/>
      </c>
      <c r="G2044" s="21">
        <f>IF(F2044=0,"",YEAR(F2044))</f>
        <v/>
      </c>
      <c r="H2044" s="21">
        <f>IF(F2044=0,"",MONTH(F2044))</f>
        <v/>
      </c>
      <c r="I2044" s="21">
        <f>IFERROR(INDEX(Pedidos!$E$2:$E$1801,MATCH(B2044,Pedidos!$A$2:$A$1801,0)),"")</f>
        <v/>
      </c>
      <c r="J2044" s="21">
        <f>IFERROR(INDEX(Pedidos!$C$2:$C$1801,MATCH(B2044,Pedidos!$A$2:$A$1801,0)),"")</f>
        <v/>
      </c>
      <c r="K2044" s="21">
        <f>IFERROR(INDEX(Pedidos!$D$2:$D$1801,MATCH(B2044,Pedidos!$A$2:$A$1801,0)),"")</f>
        <v/>
      </c>
      <c r="L2044" s="21">
        <f>IFERROR(INDEX(Pedidos!$F$2:$F$1801,MATCH(B2044,Pedidos!$A$2:$A$1801,0)),"")</f>
        <v/>
      </c>
      <c r="M2044" s="22">
        <f>IFERROR(INDEX(Pedidos!$G$2:$G$1801,MATCH(B2044,Pedidos!$A$2:$A$1801,0)),0)</f>
        <v/>
      </c>
      <c r="N2044" s="21">
        <f>IFERROR(INDEX(Produtos!$B$2:$B$71,MATCH(C2044,Produtos!$A$2:$A$71,0)),"")</f>
        <v/>
      </c>
      <c r="O2044" s="21">
        <f>IFERROR(INDEX(Produtos!$C$2:$C$71,MATCH(C2044,Produtos!$A$2:$A$71,0)),"")</f>
        <v/>
      </c>
      <c r="P2044" s="21">
        <f>IFERROR(INDEX(Produtos!$D$2:$D$71,MATCH(C2044,Produtos!$A$2:$A$71,0)),0)</f>
        <v/>
      </c>
      <c r="Q2044" s="21">
        <f>IFERROR(INDEX(Produtos!$E$2:$E$71,MATCH(C2044,Produtos!$A$2:$A$71,0)),0)</f>
        <v/>
      </c>
      <c r="R2044" s="23">
        <f>D2044*Q2044</f>
        <v/>
      </c>
      <c r="S2044" s="23">
        <f>R2044*E2044</f>
        <v/>
      </c>
      <c r="T2044" s="23">
        <f>(R2044-S2044)*M2044</f>
        <v/>
      </c>
      <c r="U2044" s="23">
        <f>R2044-S2044-T2044</f>
        <v/>
      </c>
      <c r="V2044" s="23">
        <f>D2044*P2044</f>
        <v/>
      </c>
      <c r="W2044" s="23">
        <f>U2044-V2044</f>
        <v/>
      </c>
      <c r="X2044" s="24">
        <f>IFERROR(W2044/U2044,0)</f>
        <v/>
      </c>
    </row>
    <row r="2045">
      <c r="A2045" s="25">
        <f>ItensPedido!A2045</f>
        <v/>
      </c>
      <c r="B2045" s="25">
        <f>ItensPedido!B2045</f>
        <v/>
      </c>
      <c r="C2045" s="25">
        <f>ItensPedido!C2045</f>
        <v/>
      </c>
      <c r="D2045" s="25">
        <f>ItensPedido!D2045</f>
        <v/>
      </c>
      <c r="E2045" s="26">
        <f>ItensPedido!E2045</f>
        <v/>
      </c>
      <c r="F2045" s="25">
        <f>IFERROR(INDEX(Pedidos!$B$2:$B$1801,MATCH(B2045,Pedidos!$A$2:$A$1801,0)),0)</f>
        <v/>
      </c>
      <c r="G2045" s="25">
        <f>IF(F2045=0,"",YEAR(F2045))</f>
        <v/>
      </c>
      <c r="H2045" s="25">
        <f>IF(F2045=0,"",MONTH(F2045))</f>
        <v/>
      </c>
      <c r="I2045" s="25">
        <f>IFERROR(INDEX(Pedidos!$E$2:$E$1801,MATCH(B2045,Pedidos!$A$2:$A$1801,0)),"")</f>
        <v/>
      </c>
      <c r="J2045" s="25">
        <f>IFERROR(INDEX(Pedidos!$C$2:$C$1801,MATCH(B2045,Pedidos!$A$2:$A$1801,0)),"")</f>
        <v/>
      </c>
      <c r="K2045" s="25">
        <f>IFERROR(INDEX(Pedidos!$D$2:$D$1801,MATCH(B2045,Pedidos!$A$2:$A$1801,0)),"")</f>
        <v/>
      </c>
      <c r="L2045" s="25">
        <f>IFERROR(INDEX(Pedidos!$F$2:$F$1801,MATCH(B2045,Pedidos!$A$2:$A$1801,0)),"")</f>
        <v/>
      </c>
      <c r="M2045" s="26">
        <f>IFERROR(INDEX(Pedidos!$G$2:$G$1801,MATCH(B2045,Pedidos!$A$2:$A$1801,0)),0)</f>
        <v/>
      </c>
      <c r="N2045" s="25">
        <f>IFERROR(INDEX(Produtos!$B$2:$B$71,MATCH(C2045,Produtos!$A$2:$A$71,0)),"")</f>
        <v/>
      </c>
      <c r="O2045" s="25">
        <f>IFERROR(INDEX(Produtos!$C$2:$C$71,MATCH(C2045,Produtos!$A$2:$A$71,0)),"")</f>
        <v/>
      </c>
      <c r="P2045" s="25">
        <f>IFERROR(INDEX(Produtos!$D$2:$D$71,MATCH(C2045,Produtos!$A$2:$A$71,0)),0)</f>
        <v/>
      </c>
      <c r="Q2045" s="25">
        <f>IFERROR(INDEX(Produtos!$E$2:$E$71,MATCH(C2045,Produtos!$A$2:$A$71,0)),0)</f>
        <v/>
      </c>
      <c r="R2045" s="27">
        <f>D2045*Q2045</f>
        <v/>
      </c>
      <c r="S2045" s="27">
        <f>R2045*E2045</f>
        <v/>
      </c>
      <c r="T2045" s="27">
        <f>(R2045-S2045)*M2045</f>
        <v/>
      </c>
      <c r="U2045" s="27">
        <f>R2045-S2045-T2045</f>
        <v/>
      </c>
      <c r="V2045" s="27">
        <f>D2045*P2045</f>
        <v/>
      </c>
      <c r="W2045" s="27">
        <f>U2045-V2045</f>
        <v/>
      </c>
      <c r="X2045" s="28">
        <f>IFERROR(W2045/U2045,0)</f>
        <v/>
      </c>
    </row>
    <row r="2046">
      <c r="A2046" s="21">
        <f>ItensPedido!A2046</f>
        <v/>
      </c>
      <c r="B2046" s="21">
        <f>ItensPedido!B2046</f>
        <v/>
      </c>
      <c r="C2046" s="21">
        <f>ItensPedido!C2046</f>
        <v/>
      </c>
      <c r="D2046" s="21">
        <f>ItensPedido!D2046</f>
        <v/>
      </c>
      <c r="E2046" s="22">
        <f>ItensPedido!E2046</f>
        <v/>
      </c>
      <c r="F2046" s="21">
        <f>IFERROR(INDEX(Pedidos!$B$2:$B$1801,MATCH(B2046,Pedidos!$A$2:$A$1801,0)),0)</f>
        <v/>
      </c>
      <c r="G2046" s="21">
        <f>IF(F2046=0,"",YEAR(F2046))</f>
        <v/>
      </c>
      <c r="H2046" s="21">
        <f>IF(F2046=0,"",MONTH(F2046))</f>
        <v/>
      </c>
      <c r="I2046" s="21">
        <f>IFERROR(INDEX(Pedidos!$E$2:$E$1801,MATCH(B2046,Pedidos!$A$2:$A$1801,0)),"")</f>
        <v/>
      </c>
      <c r="J2046" s="21">
        <f>IFERROR(INDEX(Pedidos!$C$2:$C$1801,MATCH(B2046,Pedidos!$A$2:$A$1801,0)),"")</f>
        <v/>
      </c>
      <c r="K2046" s="21">
        <f>IFERROR(INDEX(Pedidos!$D$2:$D$1801,MATCH(B2046,Pedidos!$A$2:$A$1801,0)),"")</f>
        <v/>
      </c>
      <c r="L2046" s="21">
        <f>IFERROR(INDEX(Pedidos!$F$2:$F$1801,MATCH(B2046,Pedidos!$A$2:$A$1801,0)),"")</f>
        <v/>
      </c>
      <c r="M2046" s="22">
        <f>IFERROR(INDEX(Pedidos!$G$2:$G$1801,MATCH(B2046,Pedidos!$A$2:$A$1801,0)),0)</f>
        <v/>
      </c>
      <c r="N2046" s="21">
        <f>IFERROR(INDEX(Produtos!$B$2:$B$71,MATCH(C2046,Produtos!$A$2:$A$71,0)),"")</f>
        <v/>
      </c>
      <c r="O2046" s="21">
        <f>IFERROR(INDEX(Produtos!$C$2:$C$71,MATCH(C2046,Produtos!$A$2:$A$71,0)),"")</f>
        <v/>
      </c>
      <c r="P2046" s="21">
        <f>IFERROR(INDEX(Produtos!$D$2:$D$71,MATCH(C2046,Produtos!$A$2:$A$71,0)),0)</f>
        <v/>
      </c>
      <c r="Q2046" s="21">
        <f>IFERROR(INDEX(Produtos!$E$2:$E$71,MATCH(C2046,Produtos!$A$2:$A$71,0)),0)</f>
        <v/>
      </c>
      <c r="R2046" s="23">
        <f>D2046*Q2046</f>
        <v/>
      </c>
      <c r="S2046" s="23">
        <f>R2046*E2046</f>
        <v/>
      </c>
      <c r="T2046" s="23">
        <f>(R2046-S2046)*M2046</f>
        <v/>
      </c>
      <c r="U2046" s="23">
        <f>R2046-S2046-T2046</f>
        <v/>
      </c>
      <c r="V2046" s="23">
        <f>D2046*P2046</f>
        <v/>
      </c>
      <c r="W2046" s="23">
        <f>U2046-V2046</f>
        <v/>
      </c>
      <c r="X2046" s="24">
        <f>IFERROR(W2046/U2046,0)</f>
        <v/>
      </c>
    </row>
    <row r="2047">
      <c r="A2047" s="25">
        <f>ItensPedido!A2047</f>
        <v/>
      </c>
      <c r="B2047" s="25">
        <f>ItensPedido!B2047</f>
        <v/>
      </c>
      <c r="C2047" s="25">
        <f>ItensPedido!C2047</f>
        <v/>
      </c>
      <c r="D2047" s="25">
        <f>ItensPedido!D2047</f>
        <v/>
      </c>
      <c r="E2047" s="26">
        <f>ItensPedido!E2047</f>
        <v/>
      </c>
      <c r="F2047" s="25">
        <f>IFERROR(INDEX(Pedidos!$B$2:$B$1801,MATCH(B2047,Pedidos!$A$2:$A$1801,0)),0)</f>
        <v/>
      </c>
      <c r="G2047" s="25">
        <f>IF(F2047=0,"",YEAR(F2047))</f>
        <v/>
      </c>
      <c r="H2047" s="25">
        <f>IF(F2047=0,"",MONTH(F2047))</f>
        <v/>
      </c>
      <c r="I2047" s="25">
        <f>IFERROR(INDEX(Pedidos!$E$2:$E$1801,MATCH(B2047,Pedidos!$A$2:$A$1801,0)),"")</f>
        <v/>
      </c>
      <c r="J2047" s="25">
        <f>IFERROR(INDEX(Pedidos!$C$2:$C$1801,MATCH(B2047,Pedidos!$A$2:$A$1801,0)),"")</f>
        <v/>
      </c>
      <c r="K2047" s="25">
        <f>IFERROR(INDEX(Pedidos!$D$2:$D$1801,MATCH(B2047,Pedidos!$A$2:$A$1801,0)),"")</f>
        <v/>
      </c>
      <c r="L2047" s="25">
        <f>IFERROR(INDEX(Pedidos!$F$2:$F$1801,MATCH(B2047,Pedidos!$A$2:$A$1801,0)),"")</f>
        <v/>
      </c>
      <c r="M2047" s="26">
        <f>IFERROR(INDEX(Pedidos!$G$2:$G$1801,MATCH(B2047,Pedidos!$A$2:$A$1801,0)),0)</f>
        <v/>
      </c>
      <c r="N2047" s="25">
        <f>IFERROR(INDEX(Produtos!$B$2:$B$71,MATCH(C2047,Produtos!$A$2:$A$71,0)),"")</f>
        <v/>
      </c>
      <c r="O2047" s="25">
        <f>IFERROR(INDEX(Produtos!$C$2:$C$71,MATCH(C2047,Produtos!$A$2:$A$71,0)),"")</f>
        <v/>
      </c>
      <c r="P2047" s="25">
        <f>IFERROR(INDEX(Produtos!$D$2:$D$71,MATCH(C2047,Produtos!$A$2:$A$71,0)),0)</f>
        <v/>
      </c>
      <c r="Q2047" s="25">
        <f>IFERROR(INDEX(Produtos!$E$2:$E$71,MATCH(C2047,Produtos!$A$2:$A$71,0)),0)</f>
        <v/>
      </c>
      <c r="R2047" s="27">
        <f>D2047*Q2047</f>
        <v/>
      </c>
      <c r="S2047" s="27">
        <f>R2047*E2047</f>
        <v/>
      </c>
      <c r="T2047" s="27">
        <f>(R2047-S2047)*M2047</f>
        <v/>
      </c>
      <c r="U2047" s="27">
        <f>R2047-S2047-T2047</f>
        <v/>
      </c>
      <c r="V2047" s="27">
        <f>D2047*P2047</f>
        <v/>
      </c>
      <c r="W2047" s="27">
        <f>U2047-V2047</f>
        <v/>
      </c>
      <c r="X2047" s="28">
        <f>IFERROR(W2047/U2047,0)</f>
        <v/>
      </c>
    </row>
    <row r="2048">
      <c r="A2048" s="21">
        <f>ItensPedido!A2048</f>
        <v/>
      </c>
      <c r="B2048" s="21">
        <f>ItensPedido!B2048</f>
        <v/>
      </c>
      <c r="C2048" s="21">
        <f>ItensPedido!C2048</f>
        <v/>
      </c>
      <c r="D2048" s="21">
        <f>ItensPedido!D2048</f>
        <v/>
      </c>
      <c r="E2048" s="22">
        <f>ItensPedido!E2048</f>
        <v/>
      </c>
      <c r="F2048" s="21">
        <f>IFERROR(INDEX(Pedidos!$B$2:$B$1801,MATCH(B2048,Pedidos!$A$2:$A$1801,0)),0)</f>
        <v/>
      </c>
      <c r="G2048" s="21">
        <f>IF(F2048=0,"",YEAR(F2048))</f>
        <v/>
      </c>
      <c r="H2048" s="21">
        <f>IF(F2048=0,"",MONTH(F2048))</f>
        <v/>
      </c>
      <c r="I2048" s="21">
        <f>IFERROR(INDEX(Pedidos!$E$2:$E$1801,MATCH(B2048,Pedidos!$A$2:$A$1801,0)),"")</f>
        <v/>
      </c>
      <c r="J2048" s="21">
        <f>IFERROR(INDEX(Pedidos!$C$2:$C$1801,MATCH(B2048,Pedidos!$A$2:$A$1801,0)),"")</f>
        <v/>
      </c>
      <c r="K2048" s="21">
        <f>IFERROR(INDEX(Pedidos!$D$2:$D$1801,MATCH(B2048,Pedidos!$A$2:$A$1801,0)),"")</f>
        <v/>
      </c>
      <c r="L2048" s="21">
        <f>IFERROR(INDEX(Pedidos!$F$2:$F$1801,MATCH(B2048,Pedidos!$A$2:$A$1801,0)),"")</f>
        <v/>
      </c>
      <c r="M2048" s="22">
        <f>IFERROR(INDEX(Pedidos!$G$2:$G$1801,MATCH(B2048,Pedidos!$A$2:$A$1801,0)),0)</f>
        <v/>
      </c>
      <c r="N2048" s="21">
        <f>IFERROR(INDEX(Produtos!$B$2:$B$71,MATCH(C2048,Produtos!$A$2:$A$71,0)),"")</f>
        <v/>
      </c>
      <c r="O2048" s="21">
        <f>IFERROR(INDEX(Produtos!$C$2:$C$71,MATCH(C2048,Produtos!$A$2:$A$71,0)),"")</f>
        <v/>
      </c>
      <c r="P2048" s="21">
        <f>IFERROR(INDEX(Produtos!$D$2:$D$71,MATCH(C2048,Produtos!$A$2:$A$71,0)),0)</f>
        <v/>
      </c>
      <c r="Q2048" s="21">
        <f>IFERROR(INDEX(Produtos!$E$2:$E$71,MATCH(C2048,Produtos!$A$2:$A$71,0)),0)</f>
        <v/>
      </c>
      <c r="R2048" s="23">
        <f>D2048*Q2048</f>
        <v/>
      </c>
      <c r="S2048" s="23">
        <f>R2048*E2048</f>
        <v/>
      </c>
      <c r="T2048" s="23">
        <f>(R2048-S2048)*M2048</f>
        <v/>
      </c>
      <c r="U2048" s="23">
        <f>R2048-S2048-T2048</f>
        <v/>
      </c>
      <c r="V2048" s="23">
        <f>D2048*P2048</f>
        <v/>
      </c>
      <c r="W2048" s="23">
        <f>U2048-V2048</f>
        <v/>
      </c>
      <c r="X2048" s="24">
        <f>IFERROR(W2048/U2048,0)</f>
        <v/>
      </c>
    </row>
    <row r="2049">
      <c r="A2049" s="25">
        <f>ItensPedido!A2049</f>
        <v/>
      </c>
      <c r="B2049" s="25">
        <f>ItensPedido!B2049</f>
        <v/>
      </c>
      <c r="C2049" s="25">
        <f>ItensPedido!C2049</f>
        <v/>
      </c>
      <c r="D2049" s="25">
        <f>ItensPedido!D2049</f>
        <v/>
      </c>
      <c r="E2049" s="26">
        <f>ItensPedido!E2049</f>
        <v/>
      </c>
      <c r="F2049" s="25">
        <f>IFERROR(INDEX(Pedidos!$B$2:$B$1801,MATCH(B2049,Pedidos!$A$2:$A$1801,0)),0)</f>
        <v/>
      </c>
      <c r="G2049" s="25">
        <f>IF(F2049=0,"",YEAR(F2049))</f>
        <v/>
      </c>
      <c r="H2049" s="25">
        <f>IF(F2049=0,"",MONTH(F2049))</f>
        <v/>
      </c>
      <c r="I2049" s="25">
        <f>IFERROR(INDEX(Pedidos!$E$2:$E$1801,MATCH(B2049,Pedidos!$A$2:$A$1801,0)),"")</f>
        <v/>
      </c>
      <c r="J2049" s="25">
        <f>IFERROR(INDEX(Pedidos!$C$2:$C$1801,MATCH(B2049,Pedidos!$A$2:$A$1801,0)),"")</f>
        <v/>
      </c>
      <c r="K2049" s="25">
        <f>IFERROR(INDEX(Pedidos!$D$2:$D$1801,MATCH(B2049,Pedidos!$A$2:$A$1801,0)),"")</f>
        <v/>
      </c>
      <c r="L2049" s="25">
        <f>IFERROR(INDEX(Pedidos!$F$2:$F$1801,MATCH(B2049,Pedidos!$A$2:$A$1801,0)),"")</f>
        <v/>
      </c>
      <c r="M2049" s="26">
        <f>IFERROR(INDEX(Pedidos!$G$2:$G$1801,MATCH(B2049,Pedidos!$A$2:$A$1801,0)),0)</f>
        <v/>
      </c>
      <c r="N2049" s="25">
        <f>IFERROR(INDEX(Produtos!$B$2:$B$71,MATCH(C2049,Produtos!$A$2:$A$71,0)),"")</f>
        <v/>
      </c>
      <c r="O2049" s="25">
        <f>IFERROR(INDEX(Produtos!$C$2:$C$71,MATCH(C2049,Produtos!$A$2:$A$71,0)),"")</f>
        <v/>
      </c>
      <c r="P2049" s="25">
        <f>IFERROR(INDEX(Produtos!$D$2:$D$71,MATCH(C2049,Produtos!$A$2:$A$71,0)),0)</f>
        <v/>
      </c>
      <c r="Q2049" s="25">
        <f>IFERROR(INDEX(Produtos!$E$2:$E$71,MATCH(C2049,Produtos!$A$2:$A$71,0)),0)</f>
        <v/>
      </c>
      <c r="R2049" s="27">
        <f>D2049*Q2049</f>
        <v/>
      </c>
      <c r="S2049" s="27">
        <f>R2049*E2049</f>
        <v/>
      </c>
      <c r="T2049" s="27">
        <f>(R2049-S2049)*M2049</f>
        <v/>
      </c>
      <c r="U2049" s="27">
        <f>R2049-S2049-T2049</f>
        <v/>
      </c>
      <c r="V2049" s="27">
        <f>D2049*P2049</f>
        <v/>
      </c>
      <c r="W2049" s="27">
        <f>U2049-V2049</f>
        <v/>
      </c>
      <c r="X2049" s="28">
        <f>IFERROR(W2049/U2049,0)</f>
        <v/>
      </c>
    </row>
    <row r="2050">
      <c r="A2050" s="21">
        <f>ItensPedido!A2050</f>
        <v/>
      </c>
      <c r="B2050" s="21">
        <f>ItensPedido!B2050</f>
        <v/>
      </c>
      <c r="C2050" s="21">
        <f>ItensPedido!C2050</f>
        <v/>
      </c>
      <c r="D2050" s="21">
        <f>ItensPedido!D2050</f>
        <v/>
      </c>
      <c r="E2050" s="22">
        <f>ItensPedido!E2050</f>
        <v/>
      </c>
      <c r="F2050" s="21">
        <f>IFERROR(INDEX(Pedidos!$B$2:$B$1801,MATCH(B2050,Pedidos!$A$2:$A$1801,0)),0)</f>
        <v/>
      </c>
      <c r="G2050" s="21">
        <f>IF(F2050=0,"",YEAR(F2050))</f>
        <v/>
      </c>
      <c r="H2050" s="21">
        <f>IF(F2050=0,"",MONTH(F2050))</f>
        <v/>
      </c>
      <c r="I2050" s="21">
        <f>IFERROR(INDEX(Pedidos!$E$2:$E$1801,MATCH(B2050,Pedidos!$A$2:$A$1801,0)),"")</f>
        <v/>
      </c>
      <c r="J2050" s="21">
        <f>IFERROR(INDEX(Pedidos!$C$2:$C$1801,MATCH(B2050,Pedidos!$A$2:$A$1801,0)),"")</f>
        <v/>
      </c>
      <c r="K2050" s="21">
        <f>IFERROR(INDEX(Pedidos!$D$2:$D$1801,MATCH(B2050,Pedidos!$A$2:$A$1801,0)),"")</f>
        <v/>
      </c>
      <c r="L2050" s="21">
        <f>IFERROR(INDEX(Pedidos!$F$2:$F$1801,MATCH(B2050,Pedidos!$A$2:$A$1801,0)),"")</f>
        <v/>
      </c>
      <c r="M2050" s="22">
        <f>IFERROR(INDEX(Pedidos!$G$2:$G$1801,MATCH(B2050,Pedidos!$A$2:$A$1801,0)),0)</f>
        <v/>
      </c>
      <c r="N2050" s="21">
        <f>IFERROR(INDEX(Produtos!$B$2:$B$71,MATCH(C2050,Produtos!$A$2:$A$71,0)),"")</f>
        <v/>
      </c>
      <c r="O2050" s="21">
        <f>IFERROR(INDEX(Produtos!$C$2:$C$71,MATCH(C2050,Produtos!$A$2:$A$71,0)),"")</f>
        <v/>
      </c>
      <c r="P2050" s="21">
        <f>IFERROR(INDEX(Produtos!$D$2:$D$71,MATCH(C2050,Produtos!$A$2:$A$71,0)),0)</f>
        <v/>
      </c>
      <c r="Q2050" s="21">
        <f>IFERROR(INDEX(Produtos!$E$2:$E$71,MATCH(C2050,Produtos!$A$2:$A$71,0)),0)</f>
        <v/>
      </c>
      <c r="R2050" s="23">
        <f>D2050*Q2050</f>
        <v/>
      </c>
      <c r="S2050" s="23">
        <f>R2050*E2050</f>
        <v/>
      </c>
      <c r="T2050" s="23">
        <f>(R2050-S2050)*M2050</f>
        <v/>
      </c>
      <c r="U2050" s="23">
        <f>R2050-S2050-T2050</f>
        <v/>
      </c>
      <c r="V2050" s="23">
        <f>D2050*P2050</f>
        <v/>
      </c>
      <c r="W2050" s="23">
        <f>U2050-V2050</f>
        <v/>
      </c>
      <c r="X2050" s="24">
        <f>IFERROR(W2050/U2050,0)</f>
        <v/>
      </c>
    </row>
    <row r="2051">
      <c r="A2051" s="25">
        <f>ItensPedido!A2051</f>
        <v/>
      </c>
      <c r="B2051" s="25">
        <f>ItensPedido!B2051</f>
        <v/>
      </c>
      <c r="C2051" s="25">
        <f>ItensPedido!C2051</f>
        <v/>
      </c>
      <c r="D2051" s="25">
        <f>ItensPedido!D2051</f>
        <v/>
      </c>
      <c r="E2051" s="26">
        <f>ItensPedido!E2051</f>
        <v/>
      </c>
      <c r="F2051" s="25">
        <f>IFERROR(INDEX(Pedidos!$B$2:$B$1801,MATCH(B2051,Pedidos!$A$2:$A$1801,0)),0)</f>
        <v/>
      </c>
      <c r="G2051" s="25">
        <f>IF(F2051=0,"",YEAR(F2051))</f>
        <v/>
      </c>
      <c r="H2051" s="25">
        <f>IF(F2051=0,"",MONTH(F2051))</f>
        <v/>
      </c>
      <c r="I2051" s="25">
        <f>IFERROR(INDEX(Pedidos!$E$2:$E$1801,MATCH(B2051,Pedidos!$A$2:$A$1801,0)),"")</f>
        <v/>
      </c>
      <c r="J2051" s="25">
        <f>IFERROR(INDEX(Pedidos!$C$2:$C$1801,MATCH(B2051,Pedidos!$A$2:$A$1801,0)),"")</f>
        <v/>
      </c>
      <c r="K2051" s="25">
        <f>IFERROR(INDEX(Pedidos!$D$2:$D$1801,MATCH(B2051,Pedidos!$A$2:$A$1801,0)),"")</f>
        <v/>
      </c>
      <c r="L2051" s="25">
        <f>IFERROR(INDEX(Pedidos!$F$2:$F$1801,MATCH(B2051,Pedidos!$A$2:$A$1801,0)),"")</f>
        <v/>
      </c>
      <c r="M2051" s="26">
        <f>IFERROR(INDEX(Pedidos!$G$2:$G$1801,MATCH(B2051,Pedidos!$A$2:$A$1801,0)),0)</f>
        <v/>
      </c>
      <c r="N2051" s="25">
        <f>IFERROR(INDEX(Produtos!$B$2:$B$71,MATCH(C2051,Produtos!$A$2:$A$71,0)),"")</f>
        <v/>
      </c>
      <c r="O2051" s="25">
        <f>IFERROR(INDEX(Produtos!$C$2:$C$71,MATCH(C2051,Produtos!$A$2:$A$71,0)),"")</f>
        <v/>
      </c>
      <c r="P2051" s="25">
        <f>IFERROR(INDEX(Produtos!$D$2:$D$71,MATCH(C2051,Produtos!$A$2:$A$71,0)),0)</f>
        <v/>
      </c>
      <c r="Q2051" s="25">
        <f>IFERROR(INDEX(Produtos!$E$2:$E$71,MATCH(C2051,Produtos!$A$2:$A$71,0)),0)</f>
        <v/>
      </c>
      <c r="R2051" s="27">
        <f>D2051*Q2051</f>
        <v/>
      </c>
      <c r="S2051" s="27">
        <f>R2051*E2051</f>
        <v/>
      </c>
      <c r="T2051" s="27">
        <f>(R2051-S2051)*M2051</f>
        <v/>
      </c>
      <c r="U2051" s="27">
        <f>R2051-S2051-T2051</f>
        <v/>
      </c>
      <c r="V2051" s="27">
        <f>D2051*P2051</f>
        <v/>
      </c>
      <c r="W2051" s="27">
        <f>U2051-V2051</f>
        <v/>
      </c>
      <c r="X2051" s="28">
        <f>IFERROR(W2051/U2051,0)</f>
        <v/>
      </c>
    </row>
    <row r="2052">
      <c r="A2052" s="21">
        <f>ItensPedido!A2052</f>
        <v/>
      </c>
      <c r="B2052" s="21">
        <f>ItensPedido!B2052</f>
        <v/>
      </c>
      <c r="C2052" s="21">
        <f>ItensPedido!C2052</f>
        <v/>
      </c>
      <c r="D2052" s="21">
        <f>ItensPedido!D2052</f>
        <v/>
      </c>
      <c r="E2052" s="22">
        <f>ItensPedido!E2052</f>
        <v/>
      </c>
      <c r="F2052" s="21">
        <f>IFERROR(INDEX(Pedidos!$B$2:$B$1801,MATCH(B2052,Pedidos!$A$2:$A$1801,0)),0)</f>
        <v/>
      </c>
      <c r="G2052" s="21">
        <f>IF(F2052=0,"",YEAR(F2052))</f>
        <v/>
      </c>
      <c r="H2052" s="21">
        <f>IF(F2052=0,"",MONTH(F2052))</f>
        <v/>
      </c>
      <c r="I2052" s="21">
        <f>IFERROR(INDEX(Pedidos!$E$2:$E$1801,MATCH(B2052,Pedidos!$A$2:$A$1801,0)),"")</f>
        <v/>
      </c>
      <c r="J2052" s="21">
        <f>IFERROR(INDEX(Pedidos!$C$2:$C$1801,MATCH(B2052,Pedidos!$A$2:$A$1801,0)),"")</f>
        <v/>
      </c>
      <c r="K2052" s="21">
        <f>IFERROR(INDEX(Pedidos!$D$2:$D$1801,MATCH(B2052,Pedidos!$A$2:$A$1801,0)),"")</f>
        <v/>
      </c>
      <c r="L2052" s="21">
        <f>IFERROR(INDEX(Pedidos!$F$2:$F$1801,MATCH(B2052,Pedidos!$A$2:$A$1801,0)),"")</f>
        <v/>
      </c>
      <c r="M2052" s="22">
        <f>IFERROR(INDEX(Pedidos!$G$2:$G$1801,MATCH(B2052,Pedidos!$A$2:$A$1801,0)),0)</f>
        <v/>
      </c>
      <c r="N2052" s="21">
        <f>IFERROR(INDEX(Produtos!$B$2:$B$71,MATCH(C2052,Produtos!$A$2:$A$71,0)),"")</f>
        <v/>
      </c>
      <c r="O2052" s="21">
        <f>IFERROR(INDEX(Produtos!$C$2:$C$71,MATCH(C2052,Produtos!$A$2:$A$71,0)),"")</f>
        <v/>
      </c>
      <c r="P2052" s="21">
        <f>IFERROR(INDEX(Produtos!$D$2:$D$71,MATCH(C2052,Produtos!$A$2:$A$71,0)),0)</f>
        <v/>
      </c>
      <c r="Q2052" s="21">
        <f>IFERROR(INDEX(Produtos!$E$2:$E$71,MATCH(C2052,Produtos!$A$2:$A$71,0)),0)</f>
        <v/>
      </c>
      <c r="R2052" s="23">
        <f>D2052*Q2052</f>
        <v/>
      </c>
      <c r="S2052" s="23">
        <f>R2052*E2052</f>
        <v/>
      </c>
      <c r="T2052" s="23">
        <f>(R2052-S2052)*M2052</f>
        <v/>
      </c>
      <c r="U2052" s="23">
        <f>R2052-S2052-T2052</f>
        <v/>
      </c>
      <c r="V2052" s="23">
        <f>D2052*P2052</f>
        <v/>
      </c>
      <c r="W2052" s="23">
        <f>U2052-V2052</f>
        <v/>
      </c>
      <c r="X2052" s="24">
        <f>IFERROR(W2052/U2052,0)</f>
        <v/>
      </c>
    </row>
    <row r="2053">
      <c r="A2053" s="25">
        <f>ItensPedido!A2053</f>
        <v/>
      </c>
      <c r="B2053" s="25">
        <f>ItensPedido!B2053</f>
        <v/>
      </c>
      <c r="C2053" s="25">
        <f>ItensPedido!C2053</f>
        <v/>
      </c>
      <c r="D2053" s="25">
        <f>ItensPedido!D2053</f>
        <v/>
      </c>
      <c r="E2053" s="26">
        <f>ItensPedido!E2053</f>
        <v/>
      </c>
      <c r="F2053" s="25">
        <f>IFERROR(INDEX(Pedidos!$B$2:$B$1801,MATCH(B2053,Pedidos!$A$2:$A$1801,0)),0)</f>
        <v/>
      </c>
      <c r="G2053" s="25">
        <f>IF(F2053=0,"",YEAR(F2053))</f>
        <v/>
      </c>
      <c r="H2053" s="25">
        <f>IF(F2053=0,"",MONTH(F2053))</f>
        <v/>
      </c>
      <c r="I2053" s="25">
        <f>IFERROR(INDEX(Pedidos!$E$2:$E$1801,MATCH(B2053,Pedidos!$A$2:$A$1801,0)),"")</f>
        <v/>
      </c>
      <c r="J2053" s="25">
        <f>IFERROR(INDEX(Pedidos!$C$2:$C$1801,MATCH(B2053,Pedidos!$A$2:$A$1801,0)),"")</f>
        <v/>
      </c>
      <c r="K2053" s="25">
        <f>IFERROR(INDEX(Pedidos!$D$2:$D$1801,MATCH(B2053,Pedidos!$A$2:$A$1801,0)),"")</f>
        <v/>
      </c>
      <c r="L2053" s="25">
        <f>IFERROR(INDEX(Pedidos!$F$2:$F$1801,MATCH(B2053,Pedidos!$A$2:$A$1801,0)),"")</f>
        <v/>
      </c>
      <c r="M2053" s="26">
        <f>IFERROR(INDEX(Pedidos!$G$2:$G$1801,MATCH(B2053,Pedidos!$A$2:$A$1801,0)),0)</f>
        <v/>
      </c>
      <c r="N2053" s="25">
        <f>IFERROR(INDEX(Produtos!$B$2:$B$71,MATCH(C2053,Produtos!$A$2:$A$71,0)),"")</f>
        <v/>
      </c>
      <c r="O2053" s="25">
        <f>IFERROR(INDEX(Produtos!$C$2:$C$71,MATCH(C2053,Produtos!$A$2:$A$71,0)),"")</f>
        <v/>
      </c>
      <c r="P2053" s="25">
        <f>IFERROR(INDEX(Produtos!$D$2:$D$71,MATCH(C2053,Produtos!$A$2:$A$71,0)),0)</f>
        <v/>
      </c>
      <c r="Q2053" s="25">
        <f>IFERROR(INDEX(Produtos!$E$2:$E$71,MATCH(C2053,Produtos!$A$2:$A$71,0)),0)</f>
        <v/>
      </c>
      <c r="R2053" s="27">
        <f>D2053*Q2053</f>
        <v/>
      </c>
      <c r="S2053" s="27">
        <f>R2053*E2053</f>
        <v/>
      </c>
      <c r="T2053" s="27">
        <f>(R2053-S2053)*M2053</f>
        <v/>
      </c>
      <c r="U2053" s="27">
        <f>R2053-S2053-T2053</f>
        <v/>
      </c>
      <c r="V2053" s="27">
        <f>D2053*P2053</f>
        <v/>
      </c>
      <c r="W2053" s="27">
        <f>U2053-V2053</f>
        <v/>
      </c>
      <c r="X2053" s="28">
        <f>IFERROR(W2053/U2053,0)</f>
        <v/>
      </c>
    </row>
    <row r="2054">
      <c r="A2054" s="21">
        <f>ItensPedido!A2054</f>
        <v/>
      </c>
      <c r="B2054" s="21">
        <f>ItensPedido!B2054</f>
        <v/>
      </c>
      <c r="C2054" s="21">
        <f>ItensPedido!C2054</f>
        <v/>
      </c>
      <c r="D2054" s="21">
        <f>ItensPedido!D2054</f>
        <v/>
      </c>
      <c r="E2054" s="22">
        <f>ItensPedido!E2054</f>
        <v/>
      </c>
      <c r="F2054" s="21">
        <f>IFERROR(INDEX(Pedidos!$B$2:$B$1801,MATCH(B2054,Pedidos!$A$2:$A$1801,0)),0)</f>
        <v/>
      </c>
      <c r="G2054" s="21">
        <f>IF(F2054=0,"",YEAR(F2054))</f>
        <v/>
      </c>
      <c r="H2054" s="21">
        <f>IF(F2054=0,"",MONTH(F2054))</f>
        <v/>
      </c>
      <c r="I2054" s="21">
        <f>IFERROR(INDEX(Pedidos!$E$2:$E$1801,MATCH(B2054,Pedidos!$A$2:$A$1801,0)),"")</f>
        <v/>
      </c>
      <c r="J2054" s="21">
        <f>IFERROR(INDEX(Pedidos!$C$2:$C$1801,MATCH(B2054,Pedidos!$A$2:$A$1801,0)),"")</f>
        <v/>
      </c>
      <c r="K2054" s="21">
        <f>IFERROR(INDEX(Pedidos!$D$2:$D$1801,MATCH(B2054,Pedidos!$A$2:$A$1801,0)),"")</f>
        <v/>
      </c>
      <c r="L2054" s="21">
        <f>IFERROR(INDEX(Pedidos!$F$2:$F$1801,MATCH(B2054,Pedidos!$A$2:$A$1801,0)),"")</f>
        <v/>
      </c>
      <c r="M2054" s="22">
        <f>IFERROR(INDEX(Pedidos!$G$2:$G$1801,MATCH(B2054,Pedidos!$A$2:$A$1801,0)),0)</f>
        <v/>
      </c>
      <c r="N2054" s="21">
        <f>IFERROR(INDEX(Produtos!$B$2:$B$71,MATCH(C2054,Produtos!$A$2:$A$71,0)),"")</f>
        <v/>
      </c>
      <c r="O2054" s="21">
        <f>IFERROR(INDEX(Produtos!$C$2:$C$71,MATCH(C2054,Produtos!$A$2:$A$71,0)),"")</f>
        <v/>
      </c>
      <c r="P2054" s="21">
        <f>IFERROR(INDEX(Produtos!$D$2:$D$71,MATCH(C2054,Produtos!$A$2:$A$71,0)),0)</f>
        <v/>
      </c>
      <c r="Q2054" s="21">
        <f>IFERROR(INDEX(Produtos!$E$2:$E$71,MATCH(C2054,Produtos!$A$2:$A$71,0)),0)</f>
        <v/>
      </c>
      <c r="R2054" s="23">
        <f>D2054*Q2054</f>
        <v/>
      </c>
      <c r="S2054" s="23">
        <f>R2054*E2054</f>
        <v/>
      </c>
      <c r="T2054" s="23">
        <f>(R2054-S2054)*M2054</f>
        <v/>
      </c>
      <c r="U2054" s="23">
        <f>R2054-S2054-T2054</f>
        <v/>
      </c>
      <c r="V2054" s="23">
        <f>D2054*P2054</f>
        <v/>
      </c>
      <c r="W2054" s="23">
        <f>U2054-V2054</f>
        <v/>
      </c>
      <c r="X2054" s="24">
        <f>IFERROR(W2054/U2054,0)</f>
        <v/>
      </c>
    </row>
    <row r="2055">
      <c r="A2055" s="25">
        <f>ItensPedido!A2055</f>
        <v/>
      </c>
      <c r="B2055" s="25">
        <f>ItensPedido!B2055</f>
        <v/>
      </c>
      <c r="C2055" s="25">
        <f>ItensPedido!C2055</f>
        <v/>
      </c>
      <c r="D2055" s="25">
        <f>ItensPedido!D2055</f>
        <v/>
      </c>
      <c r="E2055" s="26">
        <f>ItensPedido!E2055</f>
        <v/>
      </c>
      <c r="F2055" s="25">
        <f>IFERROR(INDEX(Pedidos!$B$2:$B$1801,MATCH(B2055,Pedidos!$A$2:$A$1801,0)),0)</f>
        <v/>
      </c>
      <c r="G2055" s="25">
        <f>IF(F2055=0,"",YEAR(F2055))</f>
        <v/>
      </c>
      <c r="H2055" s="25">
        <f>IF(F2055=0,"",MONTH(F2055))</f>
        <v/>
      </c>
      <c r="I2055" s="25">
        <f>IFERROR(INDEX(Pedidos!$E$2:$E$1801,MATCH(B2055,Pedidos!$A$2:$A$1801,0)),"")</f>
        <v/>
      </c>
      <c r="J2055" s="25">
        <f>IFERROR(INDEX(Pedidos!$C$2:$C$1801,MATCH(B2055,Pedidos!$A$2:$A$1801,0)),"")</f>
        <v/>
      </c>
      <c r="K2055" s="25">
        <f>IFERROR(INDEX(Pedidos!$D$2:$D$1801,MATCH(B2055,Pedidos!$A$2:$A$1801,0)),"")</f>
        <v/>
      </c>
      <c r="L2055" s="25">
        <f>IFERROR(INDEX(Pedidos!$F$2:$F$1801,MATCH(B2055,Pedidos!$A$2:$A$1801,0)),"")</f>
        <v/>
      </c>
      <c r="M2055" s="26">
        <f>IFERROR(INDEX(Pedidos!$G$2:$G$1801,MATCH(B2055,Pedidos!$A$2:$A$1801,0)),0)</f>
        <v/>
      </c>
      <c r="N2055" s="25">
        <f>IFERROR(INDEX(Produtos!$B$2:$B$71,MATCH(C2055,Produtos!$A$2:$A$71,0)),"")</f>
        <v/>
      </c>
      <c r="O2055" s="25">
        <f>IFERROR(INDEX(Produtos!$C$2:$C$71,MATCH(C2055,Produtos!$A$2:$A$71,0)),"")</f>
        <v/>
      </c>
      <c r="P2055" s="25">
        <f>IFERROR(INDEX(Produtos!$D$2:$D$71,MATCH(C2055,Produtos!$A$2:$A$71,0)),0)</f>
        <v/>
      </c>
      <c r="Q2055" s="25">
        <f>IFERROR(INDEX(Produtos!$E$2:$E$71,MATCH(C2055,Produtos!$A$2:$A$71,0)),0)</f>
        <v/>
      </c>
      <c r="R2055" s="27">
        <f>D2055*Q2055</f>
        <v/>
      </c>
      <c r="S2055" s="27">
        <f>R2055*E2055</f>
        <v/>
      </c>
      <c r="T2055" s="27">
        <f>(R2055-S2055)*M2055</f>
        <v/>
      </c>
      <c r="U2055" s="27">
        <f>R2055-S2055-T2055</f>
        <v/>
      </c>
      <c r="V2055" s="27">
        <f>D2055*P2055</f>
        <v/>
      </c>
      <c r="W2055" s="27">
        <f>U2055-V2055</f>
        <v/>
      </c>
      <c r="X2055" s="28">
        <f>IFERROR(W2055/U2055,0)</f>
        <v/>
      </c>
    </row>
    <row r="2056">
      <c r="A2056" s="21">
        <f>ItensPedido!A2056</f>
        <v/>
      </c>
      <c r="B2056" s="21">
        <f>ItensPedido!B2056</f>
        <v/>
      </c>
      <c r="C2056" s="21">
        <f>ItensPedido!C2056</f>
        <v/>
      </c>
      <c r="D2056" s="21">
        <f>ItensPedido!D2056</f>
        <v/>
      </c>
      <c r="E2056" s="22">
        <f>ItensPedido!E2056</f>
        <v/>
      </c>
      <c r="F2056" s="21">
        <f>IFERROR(INDEX(Pedidos!$B$2:$B$1801,MATCH(B2056,Pedidos!$A$2:$A$1801,0)),0)</f>
        <v/>
      </c>
      <c r="G2056" s="21">
        <f>IF(F2056=0,"",YEAR(F2056))</f>
        <v/>
      </c>
      <c r="H2056" s="21">
        <f>IF(F2056=0,"",MONTH(F2056))</f>
        <v/>
      </c>
      <c r="I2056" s="21">
        <f>IFERROR(INDEX(Pedidos!$E$2:$E$1801,MATCH(B2056,Pedidos!$A$2:$A$1801,0)),"")</f>
        <v/>
      </c>
      <c r="J2056" s="21">
        <f>IFERROR(INDEX(Pedidos!$C$2:$C$1801,MATCH(B2056,Pedidos!$A$2:$A$1801,0)),"")</f>
        <v/>
      </c>
      <c r="K2056" s="21">
        <f>IFERROR(INDEX(Pedidos!$D$2:$D$1801,MATCH(B2056,Pedidos!$A$2:$A$1801,0)),"")</f>
        <v/>
      </c>
      <c r="L2056" s="21">
        <f>IFERROR(INDEX(Pedidos!$F$2:$F$1801,MATCH(B2056,Pedidos!$A$2:$A$1801,0)),"")</f>
        <v/>
      </c>
      <c r="M2056" s="22">
        <f>IFERROR(INDEX(Pedidos!$G$2:$G$1801,MATCH(B2056,Pedidos!$A$2:$A$1801,0)),0)</f>
        <v/>
      </c>
      <c r="N2056" s="21">
        <f>IFERROR(INDEX(Produtos!$B$2:$B$71,MATCH(C2056,Produtos!$A$2:$A$71,0)),"")</f>
        <v/>
      </c>
      <c r="O2056" s="21">
        <f>IFERROR(INDEX(Produtos!$C$2:$C$71,MATCH(C2056,Produtos!$A$2:$A$71,0)),"")</f>
        <v/>
      </c>
      <c r="P2056" s="21">
        <f>IFERROR(INDEX(Produtos!$D$2:$D$71,MATCH(C2056,Produtos!$A$2:$A$71,0)),0)</f>
        <v/>
      </c>
      <c r="Q2056" s="21">
        <f>IFERROR(INDEX(Produtos!$E$2:$E$71,MATCH(C2056,Produtos!$A$2:$A$71,0)),0)</f>
        <v/>
      </c>
      <c r="R2056" s="23">
        <f>D2056*Q2056</f>
        <v/>
      </c>
      <c r="S2056" s="23">
        <f>R2056*E2056</f>
        <v/>
      </c>
      <c r="T2056" s="23">
        <f>(R2056-S2056)*M2056</f>
        <v/>
      </c>
      <c r="U2056" s="23">
        <f>R2056-S2056-T2056</f>
        <v/>
      </c>
      <c r="V2056" s="23">
        <f>D2056*P2056</f>
        <v/>
      </c>
      <c r="W2056" s="23">
        <f>U2056-V2056</f>
        <v/>
      </c>
      <c r="X2056" s="24">
        <f>IFERROR(W2056/U2056,0)</f>
        <v/>
      </c>
    </row>
    <row r="2057">
      <c r="A2057" s="25">
        <f>ItensPedido!A2057</f>
        <v/>
      </c>
      <c r="B2057" s="25">
        <f>ItensPedido!B2057</f>
        <v/>
      </c>
      <c r="C2057" s="25">
        <f>ItensPedido!C2057</f>
        <v/>
      </c>
      <c r="D2057" s="25">
        <f>ItensPedido!D2057</f>
        <v/>
      </c>
      <c r="E2057" s="26">
        <f>ItensPedido!E2057</f>
        <v/>
      </c>
      <c r="F2057" s="25">
        <f>IFERROR(INDEX(Pedidos!$B$2:$B$1801,MATCH(B2057,Pedidos!$A$2:$A$1801,0)),0)</f>
        <v/>
      </c>
      <c r="G2057" s="25">
        <f>IF(F2057=0,"",YEAR(F2057))</f>
        <v/>
      </c>
      <c r="H2057" s="25">
        <f>IF(F2057=0,"",MONTH(F2057))</f>
        <v/>
      </c>
      <c r="I2057" s="25">
        <f>IFERROR(INDEX(Pedidos!$E$2:$E$1801,MATCH(B2057,Pedidos!$A$2:$A$1801,0)),"")</f>
        <v/>
      </c>
      <c r="J2057" s="25">
        <f>IFERROR(INDEX(Pedidos!$C$2:$C$1801,MATCH(B2057,Pedidos!$A$2:$A$1801,0)),"")</f>
        <v/>
      </c>
      <c r="K2057" s="25">
        <f>IFERROR(INDEX(Pedidos!$D$2:$D$1801,MATCH(B2057,Pedidos!$A$2:$A$1801,0)),"")</f>
        <v/>
      </c>
      <c r="L2057" s="25">
        <f>IFERROR(INDEX(Pedidos!$F$2:$F$1801,MATCH(B2057,Pedidos!$A$2:$A$1801,0)),"")</f>
        <v/>
      </c>
      <c r="M2057" s="26">
        <f>IFERROR(INDEX(Pedidos!$G$2:$G$1801,MATCH(B2057,Pedidos!$A$2:$A$1801,0)),0)</f>
        <v/>
      </c>
      <c r="N2057" s="25">
        <f>IFERROR(INDEX(Produtos!$B$2:$B$71,MATCH(C2057,Produtos!$A$2:$A$71,0)),"")</f>
        <v/>
      </c>
      <c r="O2057" s="25">
        <f>IFERROR(INDEX(Produtos!$C$2:$C$71,MATCH(C2057,Produtos!$A$2:$A$71,0)),"")</f>
        <v/>
      </c>
      <c r="P2057" s="25">
        <f>IFERROR(INDEX(Produtos!$D$2:$D$71,MATCH(C2057,Produtos!$A$2:$A$71,0)),0)</f>
        <v/>
      </c>
      <c r="Q2057" s="25">
        <f>IFERROR(INDEX(Produtos!$E$2:$E$71,MATCH(C2057,Produtos!$A$2:$A$71,0)),0)</f>
        <v/>
      </c>
      <c r="R2057" s="27">
        <f>D2057*Q2057</f>
        <v/>
      </c>
      <c r="S2057" s="27">
        <f>R2057*E2057</f>
        <v/>
      </c>
      <c r="T2057" s="27">
        <f>(R2057-S2057)*M2057</f>
        <v/>
      </c>
      <c r="U2057" s="27">
        <f>R2057-S2057-T2057</f>
        <v/>
      </c>
      <c r="V2057" s="27">
        <f>D2057*P2057</f>
        <v/>
      </c>
      <c r="W2057" s="27">
        <f>U2057-V2057</f>
        <v/>
      </c>
      <c r="X2057" s="28">
        <f>IFERROR(W2057/U2057,0)</f>
        <v/>
      </c>
    </row>
    <row r="2058">
      <c r="A2058" s="21">
        <f>ItensPedido!A2058</f>
        <v/>
      </c>
      <c r="B2058" s="21">
        <f>ItensPedido!B2058</f>
        <v/>
      </c>
      <c r="C2058" s="21">
        <f>ItensPedido!C2058</f>
        <v/>
      </c>
      <c r="D2058" s="21">
        <f>ItensPedido!D2058</f>
        <v/>
      </c>
      <c r="E2058" s="22">
        <f>ItensPedido!E2058</f>
        <v/>
      </c>
      <c r="F2058" s="21">
        <f>IFERROR(INDEX(Pedidos!$B$2:$B$1801,MATCH(B2058,Pedidos!$A$2:$A$1801,0)),0)</f>
        <v/>
      </c>
      <c r="G2058" s="21">
        <f>IF(F2058=0,"",YEAR(F2058))</f>
        <v/>
      </c>
      <c r="H2058" s="21">
        <f>IF(F2058=0,"",MONTH(F2058))</f>
        <v/>
      </c>
      <c r="I2058" s="21">
        <f>IFERROR(INDEX(Pedidos!$E$2:$E$1801,MATCH(B2058,Pedidos!$A$2:$A$1801,0)),"")</f>
        <v/>
      </c>
      <c r="J2058" s="21">
        <f>IFERROR(INDEX(Pedidos!$C$2:$C$1801,MATCH(B2058,Pedidos!$A$2:$A$1801,0)),"")</f>
        <v/>
      </c>
      <c r="K2058" s="21">
        <f>IFERROR(INDEX(Pedidos!$D$2:$D$1801,MATCH(B2058,Pedidos!$A$2:$A$1801,0)),"")</f>
        <v/>
      </c>
      <c r="L2058" s="21">
        <f>IFERROR(INDEX(Pedidos!$F$2:$F$1801,MATCH(B2058,Pedidos!$A$2:$A$1801,0)),"")</f>
        <v/>
      </c>
      <c r="M2058" s="22">
        <f>IFERROR(INDEX(Pedidos!$G$2:$G$1801,MATCH(B2058,Pedidos!$A$2:$A$1801,0)),0)</f>
        <v/>
      </c>
      <c r="N2058" s="21">
        <f>IFERROR(INDEX(Produtos!$B$2:$B$71,MATCH(C2058,Produtos!$A$2:$A$71,0)),"")</f>
        <v/>
      </c>
      <c r="O2058" s="21">
        <f>IFERROR(INDEX(Produtos!$C$2:$C$71,MATCH(C2058,Produtos!$A$2:$A$71,0)),"")</f>
        <v/>
      </c>
      <c r="P2058" s="21">
        <f>IFERROR(INDEX(Produtos!$D$2:$D$71,MATCH(C2058,Produtos!$A$2:$A$71,0)),0)</f>
        <v/>
      </c>
      <c r="Q2058" s="21">
        <f>IFERROR(INDEX(Produtos!$E$2:$E$71,MATCH(C2058,Produtos!$A$2:$A$71,0)),0)</f>
        <v/>
      </c>
      <c r="R2058" s="23">
        <f>D2058*Q2058</f>
        <v/>
      </c>
      <c r="S2058" s="23">
        <f>R2058*E2058</f>
        <v/>
      </c>
      <c r="T2058" s="23">
        <f>(R2058-S2058)*M2058</f>
        <v/>
      </c>
      <c r="U2058" s="23">
        <f>R2058-S2058-T2058</f>
        <v/>
      </c>
      <c r="V2058" s="23">
        <f>D2058*P2058</f>
        <v/>
      </c>
      <c r="W2058" s="23">
        <f>U2058-V2058</f>
        <v/>
      </c>
      <c r="X2058" s="24">
        <f>IFERROR(W2058/U2058,0)</f>
        <v/>
      </c>
    </row>
    <row r="2059">
      <c r="A2059" s="25">
        <f>ItensPedido!A2059</f>
        <v/>
      </c>
      <c r="B2059" s="25">
        <f>ItensPedido!B2059</f>
        <v/>
      </c>
      <c r="C2059" s="25">
        <f>ItensPedido!C2059</f>
        <v/>
      </c>
      <c r="D2059" s="25">
        <f>ItensPedido!D2059</f>
        <v/>
      </c>
      <c r="E2059" s="26">
        <f>ItensPedido!E2059</f>
        <v/>
      </c>
      <c r="F2059" s="25">
        <f>IFERROR(INDEX(Pedidos!$B$2:$B$1801,MATCH(B2059,Pedidos!$A$2:$A$1801,0)),0)</f>
        <v/>
      </c>
      <c r="G2059" s="25">
        <f>IF(F2059=0,"",YEAR(F2059))</f>
        <v/>
      </c>
      <c r="H2059" s="25">
        <f>IF(F2059=0,"",MONTH(F2059))</f>
        <v/>
      </c>
      <c r="I2059" s="25">
        <f>IFERROR(INDEX(Pedidos!$E$2:$E$1801,MATCH(B2059,Pedidos!$A$2:$A$1801,0)),"")</f>
        <v/>
      </c>
      <c r="J2059" s="25">
        <f>IFERROR(INDEX(Pedidos!$C$2:$C$1801,MATCH(B2059,Pedidos!$A$2:$A$1801,0)),"")</f>
        <v/>
      </c>
      <c r="K2059" s="25">
        <f>IFERROR(INDEX(Pedidos!$D$2:$D$1801,MATCH(B2059,Pedidos!$A$2:$A$1801,0)),"")</f>
        <v/>
      </c>
      <c r="L2059" s="25">
        <f>IFERROR(INDEX(Pedidos!$F$2:$F$1801,MATCH(B2059,Pedidos!$A$2:$A$1801,0)),"")</f>
        <v/>
      </c>
      <c r="M2059" s="26">
        <f>IFERROR(INDEX(Pedidos!$G$2:$G$1801,MATCH(B2059,Pedidos!$A$2:$A$1801,0)),0)</f>
        <v/>
      </c>
      <c r="N2059" s="25">
        <f>IFERROR(INDEX(Produtos!$B$2:$B$71,MATCH(C2059,Produtos!$A$2:$A$71,0)),"")</f>
        <v/>
      </c>
      <c r="O2059" s="25">
        <f>IFERROR(INDEX(Produtos!$C$2:$C$71,MATCH(C2059,Produtos!$A$2:$A$71,0)),"")</f>
        <v/>
      </c>
      <c r="P2059" s="25">
        <f>IFERROR(INDEX(Produtos!$D$2:$D$71,MATCH(C2059,Produtos!$A$2:$A$71,0)),0)</f>
        <v/>
      </c>
      <c r="Q2059" s="25">
        <f>IFERROR(INDEX(Produtos!$E$2:$E$71,MATCH(C2059,Produtos!$A$2:$A$71,0)),0)</f>
        <v/>
      </c>
      <c r="R2059" s="27">
        <f>D2059*Q2059</f>
        <v/>
      </c>
      <c r="S2059" s="27">
        <f>R2059*E2059</f>
        <v/>
      </c>
      <c r="T2059" s="27">
        <f>(R2059-S2059)*M2059</f>
        <v/>
      </c>
      <c r="U2059" s="27">
        <f>R2059-S2059-T2059</f>
        <v/>
      </c>
      <c r="V2059" s="27">
        <f>D2059*P2059</f>
        <v/>
      </c>
      <c r="W2059" s="27">
        <f>U2059-V2059</f>
        <v/>
      </c>
      <c r="X2059" s="28">
        <f>IFERROR(W2059/U2059,0)</f>
        <v/>
      </c>
    </row>
    <row r="2060">
      <c r="A2060" s="21">
        <f>ItensPedido!A2060</f>
        <v/>
      </c>
      <c r="B2060" s="21">
        <f>ItensPedido!B2060</f>
        <v/>
      </c>
      <c r="C2060" s="21">
        <f>ItensPedido!C2060</f>
        <v/>
      </c>
      <c r="D2060" s="21">
        <f>ItensPedido!D2060</f>
        <v/>
      </c>
      <c r="E2060" s="22">
        <f>ItensPedido!E2060</f>
        <v/>
      </c>
      <c r="F2060" s="21">
        <f>IFERROR(INDEX(Pedidos!$B$2:$B$1801,MATCH(B2060,Pedidos!$A$2:$A$1801,0)),0)</f>
        <v/>
      </c>
      <c r="G2060" s="21">
        <f>IF(F2060=0,"",YEAR(F2060))</f>
        <v/>
      </c>
      <c r="H2060" s="21">
        <f>IF(F2060=0,"",MONTH(F2060))</f>
        <v/>
      </c>
      <c r="I2060" s="21">
        <f>IFERROR(INDEX(Pedidos!$E$2:$E$1801,MATCH(B2060,Pedidos!$A$2:$A$1801,0)),"")</f>
        <v/>
      </c>
      <c r="J2060" s="21">
        <f>IFERROR(INDEX(Pedidos!$C$2:$C$1801,MATCH(B2060,Pedidos!$A$2:$A$1801,0)),"")</f>
        <v/>
      </c>
      <c r="K2060" s="21">
        <f>IFERROR(INDEX(Pedidos!$D$2:$D$1801,MATCH(B2060,Pedidos!$A$2:$A$1801,0)),"")</f>
        <v/>
      </c>
      <c r="L2060" s="21">
        <f>IFERROR(INDEX(Pedidos!$F$2:$F$1801,MATCH(B2060,Pedidos!$A$2:$A$1801,0)),"")</f>
        <v/>
      </c>
      <c r="M2060" s="22">
        <f>IFERROR(INDEX(Pedidos!$G$2:$G$1801,MATCH(B2060,Pedidos!$A$2:$A$1801,0)),0)</f>
        <v/>
      </c>
      <c r="N2060" s="21">
        <f>IFERROR(INDEX(Produtos!$B$2:$B$71,MATCH(C2060,Produtos!$A$2:$A$71,0)),"")</f>
        <v/>
      </c>
      <c r="O2060" s="21">
        <f>IFERROR(INDEX(Produtos!$C$2:$C$71,MATCH(C2060,Produtos!$A$2:$A$71,0)),"")</f>
        <v/>
      </c>
      <c r="P2060" s="21">
        <f>IFERROR(INDEX(Produtos!$D$2:$D$71,MATCH(C2060,Produtos!$A$2:$A$71,0)),0)</f>
        <v/>
      </c>
      <c r="Q2060" s="21">
        <f>IFERROR(INDEX(Produtos!$E$2:$E$71,MATCH(C2060,Produtos!$A$2:$A$71,0)),0)</f>
        <v/>
      </c>
      <c r="R2060" s="23">
        <f>D2060*Q2060</f>
        <v/>
      </c>
      <c r="S2060" s="23">
        <f>R2060*E2060</f>
        <v/>
      </c>
      <c r="T2060" s="23">
        <f>(R2060-S2060)*M2060</f>
        <v/>
      </c>
      <c r="U2060" s="23">
        <f>R2060-S2060-T2060</f>
        <v/>
      </c>
      <c r="V2060" s="23">
        <f>D2060*P2060</f>
        <v/>
      </c>
      <c r="W2060" s="23">
        <f>U2060-V2060</f>
        <v/>
      </c>
      <c r="X2060" s="24">
        <f>IFERROR(W2060/U2060,0)</f>
        <v/>
      </c>
    </row>
    <row r="2061">
      <c r="A2061" s="25">
        <f>ItensPedido!A2061</f>
        <v/>
      </c>
      <c r="B2061" s="25">
        <f>ItensPedido!B2061</f>
        <v/>
      </c>
      <c r="C2061" s="25">
        <f>ItensPedido!C2061</f>
        <v/>
      </c>
      <c r="D2061" s="25">
        <f>ItensPedido!D2061</f>
        <v/>
      </c>
      <c r="E2061" s="26">
        <f>ItensPedido!E2061</f>
        <v/>
      </c>
      <c r="F2061" s="25">
        <f>IFERROR(INDEX(Pedidos!$B$2:$B$1801,MATCH(B2061,Pedidos!$A$2:$A$1801,0)),0)</f>
        <v/>
      </c>
      <c r="G2061" s="25">
        <f>IF(F2061=0,"",YEAR(F2061))</f>
        <v/>
      </c>
      <c r="H2061" s="25">
        <f>IF(F2061=0,"",MONTH(F2061))</f>
        <v/>
      </c>
      <c r="I2061" s="25">
        <f>IFERROR(INDEX(Pedidos!$E$2:$E$1801,MATCH(B2061,Pedidos!$A$2:$A$1801,0)),"")</f>
        <v/>
      </c>
      <c r="J2061" s="25">
        <f>IFERROR(INDEX(Pedidos!$C$2:$C$1801,MATCH(B2061,Pedidos!$A$2:$A$1801,0)),"")</f>
        <v/>
      </c>
      <c r="K2061" s="25">
        <f>IFERROR(INDEX(Pedidos!$D$2:$D$1801,MATCH(B2061,Pedidos!$A$2:$A$1801,0)),"")</f>
        <v/>
      </c>
      <c r="L2061" s="25">
        <f>IFERROR(INDEX(Pedidos!$F$2:$F$1801,MATCH(B2061,Pedidos!$A$2:$A$1801,0)),"")</f>
        <v/>
      </c>
      <c r="M2061" s="26">
        <f>IFERROR(INDEX(Pedidos!$G$2:$G$1801,MATCH(B2061,Pedidos!$A$2:$A$1801,0)),0)</f>
        <v/>
      </c>
      <c r="N2061" s="25">
        <f>IFERROR(INDEX(Produtos!$B$2:$B$71,MATCH(C2061,Produtos!$A$2:$A$71,0)),"")</f>
        <v/>
      </c>
      <c r="O2061" s="25">
        <f>IFERROR(INDEX(Produtos!$C$2:$C$71,MATCH(C2061,Produtos!$A$2:$A$71,0)),"")</f>
        <v/>
      </c>
      <c r="P2061" s="25">
        <f>IFERROR(INDEX(Produtos!$D$2:$D$71,MATCH(C2061,Produtos!$A$2:$A$71,0)),0)</f>
        <v/>
      </c>
      <c r="Q2061" s="25">
        <f>IFERROR(INDEX(Produtos!$E$2:$E$71,MATCH(C2061,Produtos!$A$2:$A$71,0)),0)</f>
        <v/>
      </c>
      <c r="R2061" s="27">
        <f>D2061*Q2061</f>
        <v/>
      </c>
      <c r="S2061" s="27">
        <f>R2061*E2061</f>
        <v/>
      </c>
      <c r="T2061" s="27">
        <f>(R2061-S2061)*M2061</f>
        <v/>
      </c>
      <c r="U2061" s="27">
        <f>R2061-S2061-T2061</f>
        <v/>
      </c>
      <c r="V2061" s="27">
        <f>D2061*P2061</f>
        <v/>
      </c>
      <c r="W2061" s="27">
        <f>U2061-V2061</f>
        <v/>
      </c>
      <c r="X2061" s="28">
        <f>IFERROR(W2061/U2061,0)</f>
        <v/>
      </c>
    </row>
    <row r="2062">
      <c r="A2062" s="21">
        <f>ItensPedido!A2062</f>
        <v/>
      </c>
      <c r="B2062" s="21">
        <f>ItensPedido!B2062</f>
        <v/>
      </c>
      <c r="C2062" s="21">
        <f>ItensPedido!C2062</f>
        <v/>
      </c>
      <c r="D2062" s="21">
        <f>ItensPedido!D2062</f>
        <v/>
      </c>
      <c r="E2062" s="22">
        <f>ItensPedido!E2062</f>
        <v/>
      </c>
      <c r="F2062" s="21">
        <f>IFERROR(INDEX(Pedidos!$B$2:$B$1801,MATCH(B2062,Pedidos!$A$2:$A$1801,0)),0)</f>
        <v/>
      </c>
      <c r="G2062" s="21">
        <f>IF(F2062=0,"",YEAR(F2062))</f>
        <v/>
      </c>
      <c r="H2062" s="21">
        <f>IF(F2062=0,"",MONTH(F2062))</f>
        <v/>
      </c>
      <c r="I2062" s="21">
        <f>IFERROR(INDEX(Pedidos!$E$2:$E$1801,MATCH(B2062,Pedidos!$A$2:$A$1801,0)),"")</f>
        <v/>
      </c>
      <c r="J2062" s="21">
        <f>IFERROR(INDEX(Pedidos!$C$2:$C$1801,MATCH(B2062,Pedidos!$A$2:$A$1801,0)),"")</f>
        <v/>
      </c>
      <c r="K2062" s="21">
        <f>IFERROR(INDEX(Pedidos!$D$2:$D$1801,MATCH(B2062,Pedidos!$A$2:$A$1801,0)),"")</f>
        <v/>
      </c>
      <c r="L2062" s="21">
        <f>IFERROR(INDEX(Pedidos!$F$2:$F$1801,MATCH(B2062,Pedidos!$A$2:$A$1801,0)),"")</f>
        <v/>
      </c>
      <c r="M2062" s="22">
        <f>IFERROR(INDEX(Pedidos!$G$2:$G$1801,MATCH(B2062,Pedidos!$A$2:$A$1801,0)),0)</f>
        <v/>
      </c>
      <c r="N2062" s="21">
        <f>IFERROR(INDEX(Produtos!$B$2:$B$71,MATCH(C2062,Produtos!$A$2:$A$71,0)),"")</f>
        <v/>
      </c>
      <c r="O2062" s="21">
        <f>IFERROR(INDEX(Produtos!$C$2:$C$71,MATCH(C2062,Produtos!$A$2:$A$71,0)),"")</f>
        <v/>
      </c>
      <c r="P2062" s="21">
        <f>IFERROR(INDEX(Produtos!$D$2:$D$71,MATCH(C2062,Produtos!$A$2:$A$71,0)),0)</f>
        <v/>
      </c>
      <c r="Q2062" s="21">
        <f>IFERROR(INDEX(Produtos!$E$2:$E$71,MATCH(C2062,Produtos!$A$2:$A$71,0)),0)</f>
        <v/>
      </c>
      <c r="R2062" s="23">
        <f>D2062*Q2062</f>
        <v/>
      </c>
      <c r="S2062" s="23">
        <f>R2062*E2062</f>
        <v/>
      </c>
      <c r="T2062" s="23">
        <f>(R2062-S2062)*M2062</f>
        <v/>
      </c>
      <c r="U2062" s="23">
        <f>R2062-S2062-T2062</f>
        <v/>
      </c>
      <c r="V2062" s="23">
        <f>D2062*P2062</f>
        <v/>
      </c>
      <c r="W2062" s="23">
        <f>U2062-V2062</f>
        <v/>
      </c>
      <c r="X2062" s="24">
        <f>IFERROR(W2062/U2062,0)</f>
        <v/>
      </c>
    </row>
    <row r="2063">
      <c r="A2063" s="25">
        <f>ItensPedido!A2063</f>
        <v/>
      </c>
      <c r="B2063" s="25">
        <f>ItensPedido!B2063</f>
        <v/>
      </c>
      <c r="C2063" s="25">
        <f>ItensPedido!C2063</f>
        <v/>
      </c>
      <c r="D2063" s="25">
        <f>ItensPedido!D2063</f>
        <v/>
      </c>
      <c r="E2063" s="26">
        <f>ItensPedido!E2063</f>
        <v/>
      </c>
      <c r="F2063" s="25">
        <f>IFERROR(INDEX(Pedidos!$B$2:$B$1801,MATCH(B2063,Pedidos!$A$2:$A$1801,0)),0)</f>
        <v/>
      </c>
      <c r="G2063" s="25">
        <f>IF(F2063=0,"",YEAR(F2063))</f>
        <v/>
      </c>
      <c r="H2063" s="25">
        <f>IF(F2063=0,"",MONTH(F2063))</f>
        <v/>
      </c>
      <c r="I2063" s="25">
        <f>IFERROR(INDEX(Pedidos!$E$2:$E$1801,MATCH(B2063,Pedidos!$A$2:$A$1801,0)),"")</f>
        <v/>
      </c>
      <c r="J2063" s="25">
        <f>IFERROR(INDEX(Pedidos!$C$2:$C$1801,MATCH(B2063,Pedidos!$A$2:$A$1801,0)),"")</f>
        <v/>
      </c>
      <c r="K2063" s="25">
        <f>IFERROR(INDEX(Pedidos!$D$2:$D$1801,MATCH(B2063,Pedidos!$A$2:$A$1801,0)),"")</f>
        <v/>
      </c>
      <c r="L2063" s="25">
        <f>IFERROR(INDEX(Pedidos!$F$2:$F$1801,MATCH(B2063,Pedidos!$A$2:$A$1801,0)),"")</f>
        <v/>
      </c>
      <c r="M2063" s="26">
        <f>IFERROR(INDEX(Pedidos!$G$2:$G$1801,MATCH(B2063,Pedidos!$A$2:$A$1801,0)),0)</f>
        <v/>
      </c>
      <c r="N2063" s="25">
        <f>IFERROR(INDEX(Produtos!$B$2:$B$71,MATCH(C2063,Produtos!$A$2:$A$71,0)),"")</f>
        <v/>
      </c>
      <c r="O2063" s="25">
        <f>IFERROR(INDEX(Produtos!$C$2:$C$71,MATCH(C2063,Produtos!$A$2:$A$71,0)),"")</f>
        <v/>
      </c>
      <c r="P2063" s="25">
        <f>IFERROR(INDEX(Produtos!$D$2:$D$71,MATCH(C2063,Produtos!$A$2:$A$71,0)),0)</f>
        <v/>
      </c>
      <c r="Q2063" s="25">
        <f>IFERROR(INDEX(Produtos!$E$2:$E$71,MATCH(C2063,Produtos!$A$2:$A$71,0)),0)</f>
        <v/>
      </c>
      <c r="R2063" s="27">
        <f>D2063*Q2063</f>
        <v/>
      </c>
      <c r="S2063" s="27">
        <f>R2063*E2063</f>
        <v/>
      </c>
      <c r="T2063" s="27">
        <f>(R2063-S2063)*M2063</f>
        <v/>
      </c>
      <c r="U2063" s="27">
        <f>R2063-S2063-T2063</f>
        <v/>
      </c>
      <c r="V2063" s="27">
        <f>D2063*P2063</f>
        <v/>
      </c>
      <c r="W2063" s="27">
        <f>U2063-V2063</f>
        <v/>
      </c>
      <c r="X2063" s="28">
        <f>IFERROR(W2063/U2063,0)</f>
        <v/>
      </c>
    </row>
    <row r="2064">
      <c r="A2064" s="21">
        <f>ItensPedido!A2064</f>
        <v/>
      </c>
      <c r="B2064" s="21">
        <f>ItensPedido!B2064</f>
        <v/>
      </c>
      <c r="C2064" s="21">
        <f>ItensPedido!C2064</f>
        <v/>
      </c>
      <c r="D2064" s="21">
        <f>ItensPedido!D2064</f>
        <v/>
      </c>
      <c r="E2064" s="22">
        <f>ItensPedido!E2064</f>
        <v/>
      </c>
      <c r="F2064" s="21">
        <f>IFERROR(INDEX(Pedidos!$B$2:$B$1801,MATCH(B2064,Pedidos!$A$2:$A$1801,0)),0)</f>
        <v/>
      </c>
      <c r="G2064" s="21">
        <f>IF(F2064=0,"",YEAR(F2064))</f>
        <v/>
      </c>
      <c r="H2064" s="21">
        <f>IF(F2064=0,"",MONTH(F2064))</f>
        <v/>
      </c>
      <c r="I2064" s="21">
        <f>IFERROR(INDEX(Pedidos!$E$2:$E$1801,MATCH(B2064,Pedidos!$A$2:$A$1801,0)),"")</f>
        <v/>
      </c>
      <c r="J2064" s="21">
        <f>IFERROR(INDEX(Pedidos!$C$2:$C$1801,MATCH(B2064,Pedidos!$A$2:$A$1801,0)),"")</f>
        <v/>
      </c>
      <c r="K2064" s="21">
        <f>IFERROR(INDEX(Pedidos!$D$2:$D$1801,MATCH(B2064,Pedidos!$A$2:$A$1801,0)),"")</f>
        <v/>
      </c>
      <c r="L2064" s="21">
        <f>IFERROR(INDEX(Pedidos!$F$2:$F$1801,MATCH(B2064,Pedidos!$A$2:$A$1801,0)),"")</f>
        <v/>
      </c>
      <c r="M2064" s="22">
        <f>IFERROR(INDEX(Pedidos!$G$2:$G$1801,MATCH(B2064,Pedidos!$A$2:$A$1801,0)),0)</f>
        <v/>
      </c>
      <c r="N2064" s="21">
        <f>IFERROR(INDEX(Produtos!$B$2:$B$71,MATCH(C2064,Produtos!$A$2:$A$71,0)),"")</f>
        <v/>
      </c>
      <c r="O2064" s="21">
        <f>IFERROR(INDEX(Produtos!$C$2:$C$71,MATCH(C2064,Produtos!$A$2:$A$71,0)),"")</f>
        <v/>
      </c>
      <c r="P2064" s="21">
        <f>IFERROR(INDEX(Produtos!$D$2:$D$71,MATCH(C2064,Produtos!$A$2:$A$71,0)),0)</f>
        <v/>
      </c>
      <c r="Q2064" s="21">
        <f>IFERROR(INDEX(Produtos!$E$2:$E$71,MATCH(C2064,Produtos!$A$2:$A$71,0)),0)</f>
        <v/>
      </c>
      <c r="R2064" s="23">
        <f>D2064*Q2064</f>
        <v/>
      </c>
      <c r="S2064" s="23">
        <f>R2064*E2064</f>
        <v/>
      </c>
      <c r="T2064" s="23">
        <f>(R2064-S2064)*M2064</f>
        <v/>
      </c>
      <c r="U2064" s="23">
        <f>R2064-S2064-T2064</f>
        <v/>
      </c>
      <c r="V2064" s="23">
        <f>D2064*P2064</f>
        <v/>
      </c>
      <c r="W2064" s="23">
        <f>U2064-V2064</f>
        <v/>
      </c>
      <c r="X2064" s="24">
        <f>IFERROR(W2064/U2064,0)</f>
        <v/>
      </c>
    </row>
    <row r="2065">
      <c r="A2065" s="25">
        <f>ItensPedido!A2065</f>
        <v/>
      </c>
      <c r="B2065" s="25">
        <f>ItensPedido!B2065</f>
        <v/>
      </c>
      <c r="C2065" s="25">
        <f>ItensPedido!C2065</f>
        <v/>
      </c>
      <c r="D2065" s="25">
        <f>ItensPedido!D2065</f>
        <v/>
      </c>
      <c r="E2065" s="26">
        <f>ItensPedido!E2065</f>
        <v/>
      </c>
      <c r="F2065" s="25">
        <f>IFERROR(INDEX(Pedidos!$B$2:$B$1801,MATCH(B2065,Pedidos!$A$2:$A$1801,0)),0)</f>
        <v/>
      </c>
      <c r="G2065" s="25">
        <f>IF(F2065=0,"",YEAR(F2065))</f>
        <v/>
      </c>
      <c r="H2065" s="25">
        <f>IF(F2065=0,"",MONTH(F2065))</f>
        <v/>
      </c>
      <c r="I2065" s="25">
        <f>IFERROR(INDEX(Pedidos!$E$2:$E$1801,MATCH(B2065,Pedidos!$A$2:$A$1801,0)),"")</f>
        <v/>
      </c>
      <c r="J2065" s="25">
        <f>IFERROR(INDEX(Pedidos!$C$2:$C$1801,MATCH(B2065,Pedidos!$A$2:$A$1801,0)),"")</f>
        <v/>
      </c>
      <c r="K2065" s="25">
        <f>IFERROR(INDEX(Pedidos!$D$2:$D$1801,MATCH(B2065,Pedidos!$A$2:$A$1801,0)),"")</f>
        <v/>
      </c>
      <c r="L2065" s="25">
        <f>IFERROR(INDEX(Pedidos!$F$2:$F$1801,MATCH(B2065,Pedidos!$A$2:$A$1801,0)),"")</f>
        <v/>
      </c>
      <c r="M2065" s="26">
        <f>IFERROR(INDEX(Pedidos!$G$2:$G$1801,MATCH(B2065,Pedidos!$A$2:$A$1801,0)),0)</f>
        <v/>
      </c>
      <c r="N2065" s="25">
        <f>IFERROR(INDEX(Produtos!$B$2:$B$71,MATCH(C2065,Produtos!$A$2:$A$71,0)),"")</f>
        <v/>
      </c>
      <c r="O2065" s="25">
        <f>IFERROR(INDEX(Produtos!$C$2:$C$71,MATCH(C2065,Produtos!$A$2:$A$71,0)),"")</f>
        <v/>
      </c>
      <c r="P2065" s="25">
        <f>IFERROR(INDEX(Produtos!$D$2:$D$71,MATCH(C2065,Produtos!$A$2:$A$71,0)),0)</f>
        <v/>
      </c>
      <c r="Q2065" s="25">
        <f>IFERROR(INDEX(Produtos!$E$2:$E$71,MATCH(C2065,Produtos!$A$2:$A$71,0)),0)</f>
        <v/>
      </c>
      <c r="R2065" s="27">
        <f>D2065*Q2065</f>
        <v/>
      </c>
      <c r="S2065" s="27">
        <f>R2065*E2065</f>
        <v/>
      </c>
      <c r="T2065" s="27">
        <f>(R2065-S2065)*M2065</f>
        <v/>
      </c>
      <c r="U2065" s="27">
        <f>R2065-S2065-T2065</f>
        <v/>
      </c>
      <c r="V2065" s="27">
        <f>D2065*P2065</f>
        <v/>
      </c>
      <c r="W2065" s="27">
        <f>U2065-V2065</f>
        <v/>
      </c>
      <c r="X2065" s="28">
        <f>IFERROR(W2065/U2065,0)</f>
        <v/>
      </c>
    </row>
    <row r="2066">
      <c r="A2066" s="21">
        <f>ItensPedido!A2066</f>
        <v/>
      </c>
      <c r="B2066" s="21">
        <f>ItensPedido!B2066</f>
        <v/>
      </c>
      <c r="C2066" s="21">
        <f>ItensPedido!C2066</f>
        <v/>
      </c>
      <c r="D2066" s="21">
        <f>ItensPedido!D2066</f>
        <v/>
      </c>
      <c r="E2066" s="22">
        <f>ItensPedido!E2066</f>
        <v/>
      </c>
      <c r="F2066" s="21">
        <f>IFERROR(INDEX(Pedidos!$B$2:$B$1801,MATCH(B2066,Pedidos!$A$2:$A$1801,0)),0)</f>
        <v/>
      </c>
      <c r="G2066" s="21">
        <f>IF(F2066=0,"",YEAR(F2066))</f>
        <v/>
      </c>
      <c r="H2066" s="21">
        <f>IF(F2066=0,"",MONTH(F2066))</f>
        <v/>
      </c>
      <c r="I2066" s="21">
        <f>IFERROR(INDEX(Pedidos!$E$2:$E$1801,MATCH(B2066,Pedidos!$A$2:$A$1801,0)),"")</f>
        <v/>
      </c>
      <c r="J2066" s="21">
        <f>IFERROR(INDEX(Pedidos!$C$2:$C$1801,MATCH(B2066,Pedidos!$A$2:$A$1801,0)),"")</f>
        <v/>
      </c>
      <c r="K2066" s="21">
        <f>IFERROR(INDEX(Pedidos!$D$2:$D$1801,MATCH(B2066,Pedidos!$A$2:$A$1801,0)),"")</f>
        <v/>
      </c>
      <c r="L2066" s="21">
        <f>IFERROR(INDEX(Pedidos!$F$2:$F$1801,MATCH(B2066,Pedidos!$A$2:$A$1801,0)),"")</f>
        <v/>
      </c>
      <c r="M2066" s="22">
        <f>IFERROR(INDEX(Pedidos!$G$2:$G$1801,MATCH(B2066,Pedidos!$A$2:$A$1801,0)),0)</f>
        <v/>
      </c>
      <c r="N2066" s="21">
        <f>IFERROR(INDEX(Produtos!$B$2:$B$71,MATCH(C2066,Produtos!$A$2:$A$71,0)),"")</f>
        <v/>
      </c>
      <c r="O2066" s="21">
        <f>IFERROR(INDEX(Produtos!$C$2:$C$71,MATCH(C2066,Produtos!$A$2:$A$71,0)),"")</f>
        <v/>
      </c>
      <c r="P2066" s="21">
        <f>IFERROR(INDEX(Produtos!$D$2:$D$71,MATCH(C2066,Produtos!$A$2:$A$71,0)),0)</f>
        <v/>
      </c>
      <c r="Q2066" s="21">
        <f>IFERROR(INDEX(Produtos!$E$2:$E$71,MATCH(C2066,Produtos!$A$2:$A$71,0)),0)</f>
        <v/>
      </c>
      <c r="R2066" s="23">
        <f>D2066*Q2066</f>
        <v/>
      </c>
      <c r="S2066" s="23">
        <f>R2066*E2066</f>
        <v/>
      </c>
      <c r="T2066" s="23">
        <f>(R2066-S2066)*M2066</f>
        <v/>
      </c>
      <c r="U2066" s="23">
        <f>R2066-S2066-T2066</f>
        <v/>
      </c>
      <c r="V2066" s="23">
        <f>D2066*P2066</f>
        <v/>
      </c>
      <c r="W2066" s="23">
        <f>U2066-V2066</f>
        <v/>
      </c>
      <c r="X2066" s="24">
        <f>IFERROR(W2066/U2066,0)</f>
        <v/>
      </c>
    </row>
    <row r="2067">
      <c r="A2067" s="25">
        <f>ItensPedido!A2067</f>
        <v/>
      </c>
      <c r="B2067" s="25">
        <f>ItensPedido!B2067</f>
        <v/>
      </c>
      <c r="C2067" s="25">
        <f>ItensPedido!C2067</f>
        <v/>
      </c>
      <c r="D2067" s="25">
        <f>ItensPedido!D2067</f>
        <v/>
      </c>
      <c r="E2067" s="26">
        <f>ItensPedido!E2067</f>
        <v/>
      </c>
      <c r="F2067" s="25">
        <f>IFERROR(INDEX(Pedidos!$B$2:$B$1801,MATCH(B2067,Pedidos!$A$2:$A$1801,0)),0)</f>
        <v/>
      </c>
      <c r="G2067" s="25">
        <f>IF(F2067=0,"",YEAR(F2067))</f>
        <v/>
      </c>
      <c r="H2067" s="25">
        <f>IF(F2067=0,"",MONTH(F2067))</f>
        <v/>
      </c>
      <c r="I2067" s="25">
        <f>IFERROR(INDEX(Pedidos!$E$2:$E$1801,MATCH(B2067,Pedidos!$A$2:$A$1801,0)),"")</f>
        <v/>
      </c>
      <c r="J2067" s="25">
        <f>IFERROR(INDEX(Pedidos!$C$2:$C$1801,MATCH(B2067,Pedidos!$A$2:$A$1801,0)),"")</f>
        <v/>
      </c>
      <c r="K2067" s="25">
        <f>IFERROR(INDEX(Pedidos!$D$2:$D$1801,MATCH(B2067,Pedidos!$A$2:$A$1801,0)),"")</f>
        <v/>
      </c>
      <c r="L2067" s="25">
        <f>IFERROR(INDEX(Pedidos!$F$2:$F$1801,MATCH(B2067,Pedidos!$A$2:$A$1801,0)),"")</f>
        <v/>
      </c>
      <c r="M2067" s="26">
        <f>IFERROR(INDEX(Pedidos!$G$2:$G$1801,MATCH(B2067,Pedidos!$A$2:$A$1801,0)),0)</f>
        <v/>
      </c>
      <c r="N2067" s="25">
        <f>IFERROR(INDEX(Produtos!$B$2:$B$71,MATCH(C2067,Produtos!$A$2:$A$71,0)),"")</f>
        <v/>
      </c>
      <c r="O2067" s="25">
        <f>IFERROR(INDEX(Produtos!$C$2:$C$71,MATCH(C2067,Produtos!$A$2:$A$71,0)),"")</f>
        <v/>
      </c>
      <c r="P2067" s="25">
        <f>IFERROR(INDEX(Produtos!$D$2:$D$71,MATCH(C2067,Produtos!$A$2:$A$71,0)),0)</f>
        <v/>
      </c>
      <c r="Q2067" s="25">
        <f>IFERROR(INDEX(Produtos!$E$2:$E$71,MATCH(C2067,Produtos!$A$2:$A$71,0)),0)</f>
        <v/>
      </c>
      <c r="R2067" s="27">
        <f>D2067*Q2067</f>
        <v/>
      </c>
      <c r="S2067" s="27">
        <f>R2067*E2067</f>
        <v/>
      </c>
      <c r="T2067" s="27">
        <f>(R2067-S2067)*M2067</f>
        <v/>
      </c>
      <c r="U2067" s="27">
        <f>R2067-S2067-T2067</f>
        <v/>
      </c>
      <c r="V2067" s="27">
        <f>D2067*P2067</f>
        <v/>
      </c>
      <c r="W2067" s="27">
        <f>U2067-V2067</f>
        <v/>
      </c>
      <c r="X2067" s="28">
        <f>IFERROR(W2067/U2067,0)</f>
        <v/>
      </c>
    </row>
    <row r="2068">
      <c r="A2068" s="21">
        <f>ItensPedido!A2068</f>
        <v/>
      </c>
      <c r="B2068" s="21">
        <f>ItensPedido!B2068</f>
        <v/>
      </c>
      <c r="C2068" s="21">
        <f>ItensPedido!C2068</f>
        <v/>
      </c>
      <c r="D2068" s="21">
        <f>ItensPedido!D2068</f>
        <v/>
      </c>
      <c r="E2068" s="22">
        <f>ItensPedido!E2068</f>
        <v/>
      </c>
      <c r="F2068" s="21">
        <f>IFERROR(INDEX(Pedidos!$B$2:$B$1801,MATCH(B2068,Pedidos!$A$2:$A$1801,0)),0)</f>
        <v/>
      </c>
      <c r="G2068" s="21">
        <f>IF(F2068=0,"",YEAR(F2068))</f>
        <v/>
      </c>
      <c r="H2068" s="21">
        <f>IF(F2068=0,"",MONTH(F2068))</f>
        <v/>
      </c>
      <c r="I2068" s="21">
        <f>IFERROR(INDEX(Pedidos!$E$2:$E$1801,MATCH(B2068,Pedidos!$A$2:$A$1801,0)),"")</f>
        <v/>
      </c>
      <c r="J2068" s="21">
        <f>IFERROR(INDEX(Pedidos!$C$2:$C$1801,MATCH(B2068,Pedidos!$A$2:$A$1801,0)),"")</f>
        <v/>
      </c>
      <c r="K2068" s="21">
        <f>IFERROR(INDEX(Pedidos!$D$2:$D$1801,MATCH(B2068,Pedidos!$A$2:$A$1801,0)),"")</f>
        <v/>
      </c>
      <c r="L2068" s="21">
        <f>IFERROR(INDEX(Pedidos!$F$2:$F$1801,MATCH(B2068,Pedidos!$A$2:$A$1801,0)),"")</f>
        <v/>
      </c>
      <c r="M2068" s="22">
        <f>IFERROR(INDEX(Pedidos!$G$2:$G$1801,MATCH(B2068,Pedidos!$A$2:$A$1801,0)),0)</f>
        <v/>
      </c>
      <c r="N2068" s="21">
        <f>IFERROR(INDEX(Produtos!$B$2:$B$71,MATCH(C2068,Produtos!$A$2:$A$71,0)),"")</f>
        <v/>
      </c>
      <c r="O2068" s="21">
        <f>IFERROR(INDEX(Produtos!$C$2:$C$71,MATCH(C2068,Produtos!$A$2:$A$71,0)),"")</f>
        <v/>
      </c>
      <c r="P2068" s="21">
        <f>IFERROR(INDEX(Produtos!$D$2:$D$71,MATCH(C2068,Produtos!$A$2:$A$71,0)),0)</f>
        <v/>
      </c>
      <c r="Q2068" s="21">
        <f>IFERROR(INDEX(Produtos!$E$2:$E$71,MATCH(C2068,Produtos!$A$2:$A$71,0)),0)</f>
        <v/>
      </c>
      <c r="R2068" s="23">
        <f>D2068*Q2068</f>
        <v/>
      </c>
      <c r="S2068" s="23">
        <f>R2068*E2068</f>
        <v/>
      </c>
      <c r="T2068" s="23">
        <f>(R2068-S2068)*M2068</f>
        <v/>
      </c>
      <c r="U2068" s="23">
        <f>R2068-S2068-T2068</f>
        <v/>
      </c>
      <c r="V2068" s="23">
        <f>D2068*P2068</f>
        <v/>
      </c>
      <c r="W2068" s="23">
        <f>U2068-V2068</f>
        <v/>
      </c>
      <c r="X2068" s="24">
        <f>IFERROR(W2068/U2068,0)</f>
        <v/>
      </c>
    </row>
    <row r="2069">
      <c r="A2069" s="25">
        <f>ItensPedido!A2069</f>
        <v/>
      </c>
      <c r="B2069" s="25">
        <f>ItensPedido!B2069</f>
        <v/>
      </c>
      <c r="C2069" s="25">
        <f>ItensPedido!C2069</f>
        <v/>
      </c>
      <c r="D2069" s="25">
        <f>ItensPedido!D2069</f>
        <v/>
      </c>
      <c r="E2069" s="26">
        <f>ItensPedido!E2069</f>
        <v/>
      </c>
      <c r="F2069" s="25">
        <f>IFERROR(INDEX(Pedidos!$B$2:$B$1801,MATCH(B2069,Pedidos!$A$2:$A$1801,0)),0)</f>
        <v/>
      </c>
      <c r="G2069" s="25">
        <f>IF(F2069=0,"",YEAR(F2069))</f>
        <v/>
      </c>
      <c r="H2069" s="25">
        <f>IF(F2069=0,"",MONTH(F2069))</f>
        <v/>
      </c>
      <c r="I2069" s="25">
        <f>IFERROR(INDEX(Pedidos!$E$2:$E$1801,MATCH(B2069,Pedidos!$A$2:$A$1801,0)),"")</f>
        <v/>
      </c>
      <c r="J2069" s="25">
        <f>IFERROR(INDEX(Pedidos!$C$2:$C$1801,MATCH(B2069,Pedidos!$A$2:$A$1801,0)),"")</f>
        <v/>
      </c>
      <c r="K2069" s="25">
        <f>IFERROR(INDEX(Pedidos!$D$2:$D$1801,MATCH(B2069,Pedidos!$A$2:$A$1801,0)),"")</f>
        <v/>
      </c>
      <c r="L2069" s="25">
        <f>IFERROR(INDEX(Pedidos!$F$2:$F$1801,MATCH(B2069,Pedidos!$A$2:$A$1801,0)),"")</f>
        <v/>
      </c>
      <c r="M2069" s="26">
        <f>IFERROR(INDEX(Pedidos!$G$2:$G$1801,MATCH(B2069,Pedidos!$A$2:$A$1801,0)),0)</f>
        <v/>
      </c>
      <c r="N2069" s="25">
        <f>IFERROR(INDEX(Produtos!$B$2:$B$71,MATCH(C2069,Produtos!$A$2:$A$71,0)),"")</f>
        <v/>
      </c>
      <c r="O2069" s="25">
        <f>IFERROR(INDEX(Produtos!$C$2:$C$71,MATCH(C2069,Produtos!$A$2:$A$71,0)),"")</f>
        <v/>
      </c>
      <c r="P2069" s="25">
        <f>IFERROR(INDEX(Produtos!$D$2:$D$71,MATCH(C2069,Produtos!$A$2:$A$71,0)),0)</f>
        <v/>
      </c>
      <c r="Q2069" s="25">
        <f>IFERROR(INDEX(Produtos!$E$2:$E$71,MATCH(C2069,Produtos!$A$2:$A$71,0)),0)</f>
        <v/>
      </c>
      <c r="R2069" s="27">
        <f>D2069*Q2069</f>
        <v/>
      </c>
      <c r="S2069" s="27">
        <f>R2069*E2069</f>
        <v/>
      </c>
      <c r="T2069" s="27">
        <f>(R2069-S2069)*M2069</f>
        <v/>
      </c>
      <c r="U2069" s="27">
        <f>R2069-S2069-T2069</f>
        <v/>
      </c>
      <c r="V2069" s="27">
        <f>D2069*P2069</f>
        <v/>
      </c>
      <c r="W2069" s="27">
        <f>U2069-V2069</f>
        <v/>
      </c>
      <c r="X2069" s="28">
        <f>IFERROR(W2069/U2069,0)</f>
        <v/>
      </c>
    </row>
    <row r="2070">
      <c r="A2070" s="21">
        <f>ItensPedido!A2070</f>
        <v/>
      </c>
      <c r="B2070" s="21">
        <f>ItensPedido!B2070</f>
        <v/>
      </c>
      <c r="C2070" s="21">
        <f>ItensPedido!C2070</f>
        <v/>
      </c>
      <c r="D2070" s="21">
        <f>ItensPedido!D2070</f>
        <v/>
      </c>
      <c r="E2070" s="22">
        <f>ItensPedido!E2070</f>
        <v/>
      </c>
      <c r="F2070" s="21">
        <f>IFERROR(INDEX(Pedidos!$B$2:$B$1801,MATCH(B2070,Pedidos!$A$2:$A$1801,0)),0)</f>
        <v/>
      </c>
      <c r="G2070" s="21">
        <f>IF(F2070=0,"",YEAR(F2070))</f>
        <v/>
      </c>
      <c r="H2070" s="21">
        <f>IF(F2070=0,"",MONTH(F2070))</f>
        <v/>
      </c>
      <c r="I2070" s="21">
        <f>IFERROR(INDEX(Pedidos!$E$2:$E$1801,MATCH(B2070,Pedidos!$A$2:$A$1801,0)),"")</f>
        <v/>
      </c>
      <c r="J2070" s="21">
        <f>IFERROR(INDEX(Pedidos!$C$2:$C$1801,MATCH(B2070,Pedidos!$A$2:$A$1801,0)),"")</f>
        <v/>
      </c>
      <c r="K2070" s="21">
        <f>IFERROR(INDEX(Pedidos!$D$2:$D$1801,MATCH(B2070,Pedidos!$A$2:$A$1801,0)),"")</f>
        <v/>
      </c>
      <c r="L2070" s="21">
        <f>IFERROR(INDEX(Pedidos!$F$2:$F$1801,MATCH(B2070,Pedidos!$A$2:$A$1801,0)),"")</f>
        <v/>
      </c>
      <c r="M2070" s="22">
        <f>IFERROR(INDEX(Pedidos!$G$2:$G$1801,MATCH(B2070,Pedidos!$A$2:$A$1801,0)),0)</f>
        <v/>
      </c>
      <c r="N2070" s="21">
        <f>IFERROR(INDEX(Produtos!$B$2:$B$71,MATCH(C2070,Produtos!$A$2:$A$71,0)),"")</f>
        <v/>
      </c>
      <c r="O2070" s="21">
        <f>IFERROR(INDEX(Produtos!$C$2:$C$71,MATCH(C2070,Produtos!$A$2:$A$71,0)),"")</f>
        <v/>
      </c>
      <c r="P2070" s="21">
        <f>IFERROR(INDEX(Produtos!$D$2:$D$71,MATCH(C2070,Produtos!$A$2:$A$71,0)),0)</f>
        <v/>
      </c>
      <c r="Q2070" s="21">
        <f>IFERROR(INDEX(Produtos!$E$2:$E$71,MATCH(C2070,Produtos!$A$2:$A$71,0)),0)</f>
        <v/>
      </c>
      <c r="R2070" s="23">
        <f>D2070*Q2070</f>
        <v/>
      </c>
      <c r="S2070" s="23">
        <f>R2070*E2070</f>
        <v/>
      </c>
      <c r="T2070" s="23">
        <f>(R2070-S2070)*M2070</f>
        <v/>
      </c>
      <c r="U2070" s="23">
        <f>R2070-S2070-T2070</f>
        <v/>
      </c>
      <c r="V2070" s="23">
        <f>D2070*P2070</f>
        <v/>
      </c>
      <c r="W2070" s="23">
        <f>U2070-V2070</f>
        <v/>
      </c>
      <c r="X2070" s="24">
        <f>IFERROR(W2070/U2070,0)</f>
        <v/>
      </c>
    </row>
    <row r="2071">
      <c r="A2071" s="25">
        <f>ItensPedido!A2071</f>
        <v/>
      </c>
      <c r="B2071" s="25">
        <f>ItensPedido!B2071</f>
        <v/>
      </c>
      <c r="C2071" s="25">
        <f>ItensPedido!C2071</f>
        <v/>
      </c>
      <c r="D2071" s="25">
        <f>ItensPedido!D2071</f>
        <v/>
      </c>
      <c r="E2071" s="26">
        <f>ItensPedido!E2071</f>
        <v/>
      </c>
      <c r="F2071" s="25">
        <f>IFERROR(INDEX(Pedidos!$B$2:$B$1801,MATCH(B2071,Pedidos!$A$2:$A$1801,0)),0)</f>
        <v/>
      </c>
      <c r="G2071" s="25">
        <f>IF(F2071=0,"",YEAR(F2071))</f>
        <v/>
      </c>
      <c r="H2071" s="25">
        <f>IF(F2071=0,"",MONTH(F2071))</f>
        <v/>
      </c>
      <c r="I2071" s="25">
        <f>IFERROR(INDEX(Pedidos!$E$2:$E$1801,MATCH(B2071,Pedidos!$A$2:$A$1801,0)),"")</f>
        <v/>
      </c>
      <c r="J2071" s="25">
        <f>IFERROR(INDEX(Pedidos!$C$2:$C$1801,MATCH(B2071,Pedidos!$A$2:$A$1801,0)),"")</f>
        <v/>
      </c>
      <c r="K2071" s="25">
        <f>IFERROR(INDEX(Pedidos!$D$2:$D$1801,MATCH(B2071,Pedidos!$A$2:$A$1801,0)),"")</f>
        <v/>
      </c>
      <c r="L2071" s="25">
        <f>IFERROR(INDEX(Pedidos!$F$2:$F$1801,MATCH(B2071,Pedidos!$A$2:$A$1801,0)),"")</f>
        <v/>
      </c>
      <c r="M2071" s="26">
        <f>IFERROR(INDEX(Pedidos!$G$2:$G$1801,MATCH(B2071,Pedidos!$A$2:$A$1801,0)),0)</f>
        <v/>
      </c>
      <c r="N2071" s="25">
        <f>IFERROR(INDEX(Produtos!$B$2:$B$71,MATCH(C2071,Produtos!$A$2:$A$71,0)),"")</f>
        <v/>
      </c>
      <c r="O2071" s="25">
        <f>IFERROR(INDEX(Produtos!$C$2:$C$71,MATCH(C2071,Produtos!$A$2:$A$71,0)),"")</f>
        <v/>
      </c>
      <c r="P2071" s="25">
        <f>IFERROR(INDEX(Produtos!$D$2:$D$71,MATCH(C2071,Produtos!$A$2:$A$71,0)),0)</f>
        <v/>
      </c>
      <c r="Q2071" s="25">
        <f>IFERROR(INDEX(Produtos!$E$2:$E$71,MATCH(C2071,Produtos!$A$2:$A$71,0)),0)</f>
        <v/>
      </c>
      <c r="R2071" s="27">
        <f>D2071*Q2071</f>
        <v/>
      </c>
      <c r="S2071" s="27">
        <f>R2071*E2071</f>
        <v/>
      </c>
      <c r="T2071" s="27">
        <f>(R2071-S2071)*M2071</f>
        <v/>
      </c>
      <c r="U2071" s="27">
        <f>R2071-S2071-T2071</f>
        <v/>
      </c>
      <c r="V2071" s="27">
        <f>D2071*P2071</f>
        <v/>
      </c>
      <c r="W2071" s="27">
        <f>U2071-V2071</f>
        <v/>
      </c>
      <c r="X2071" s="28">
        <f>IFERROR(W2071/U2071,0)</f>
        <v/>
      </c>
    </row>
    <row r="2072">
      <c r="A2072" s="21">
        <f>ItensPedido!A2072</f>
        <v/>
      </c>
      <c r="B2072" s="21">
        <f>ItensPedido!B2072</f>
        <v/>
      </c>
      <c r="C2072" s="21">
        <f>ItensPedido!C2072</f>
        <v/>
      </c>
      <c r="D2072" s="21">
        <f>ItensPedido!D2072</f>
        <v/>
      </c>
      <c r="E2072" s="22">
        <f>ItensPedido!E2072</f>
        <v/>
      </c>
      <c r="F2072" s="21">
        <f>IFERROR(INDEX(Pedidos!$B$2:$B$1801,MATCH(B2072,Pedidos!$A$2:$A$1801,0)),0)</f>
        <v/>
      </c>
      <c r="G2072" s="21">
        <f>IF(F2072=0,"",YEAR(F2072))</f>
        <v/>
      </c>
      <c r="H2072" s="21">
        <f>IF(F2072=0,"",MONTH(F2072))</f>
        <v/>
      </c>
      <c r="I2072" s="21">
        <f>IFERROR(INDEX(Pedidos!$E$2:$E$1801,MATCH(B2072,Pedidos!$A$2:$A$1801,0)),"")</f>
        <v/>
      </c>
      <c r="J2072" s="21">
        <f>IFERROR(INDEX(Pedidos!$C$2:$C$1801,MATCH(B2072,Pedidos!$A$2:$A$1801,0)),"")</f>
        <v/>
      </c>
      <c r="K2072" s="21">
        <f>IFERROR(INDEX(Pedidos!$D$2:$D$1801,MATCH(B2072,Pedidos!$A$2:$A$1801,0)),"")</f>
        <v/>
      </c>
      <c r="L2072" s="21">
        <f>IFERROR(INDEX(Pedidos!$F$2:$F$1801,MATCH(B2072,Pedidos!$A$2:$A$1801,0)),"")</f>
        <v/>
      </c>
      <c r="M2072" s="22">
        <f>IFERROR(INDEX(Pedidos!$G$2:$G$1801,MATCH(B2072,Pedidos!$A$2:$A$1801,0)),0)</f>
        <v/>
      </c>
      <c r="N2072" s="21">
        <f>IFERROR(INDEX(Produtos!$B$2:$B$71,MATCH(C2072,Produtos!$A$2:$A$71,0)),"")</f>
        <v/>
      </c>
      <c r="O2072" s="21">
        <f>IFERROR(INDEX(Produtos!$C$2:$C$71,MATCH(C2072,Produtos!$A$2:$A$71,0)),"")</f>
        <v/>
      </c>
      <c r="P2072" s="21">
        <f>IFERROR(INDEX(Produtos!$D$2:$D$71,MATCH(C2072,Produtos!$A$2:$A$71,0)),0)</f>
        <v/>
      </c>
      <c r="Q2072" s="21">
        <f>IFERROR(INDEX(Produtos!$E$2:$E$71,MATCH(C2072,Produtos!$A$2:$A$71,0)),0)</f>
        <v/>
      </c>
      <c r="R2072" s="23">
        <f>D2072*Q2072</f>
        <v/>
      </c>
      <c r="S2072" s="23">
        <f>R2072*E2072</f>
        <v/>
      </c>
      <c r="T2072" s="23">
        <f>(R2072-S2072)*M2072</f>
        <v/>
      </c>
      <c r="U2072" s="23">
        <f>R2072-S2072-T2072</f>
        <v/>
      </c>
      <c r="V2072" s="23">
        <f>D2072*P2072</f>
        <v/>
      </c>
      <c r="W2072" s="23">
        <f>U2072-V2072</f>
        <v/>
      </c>
      <c r="X2072" s="24">
        <f>IFERROR(W2072/U2072,0)</f>
        <v/>
      </c>
    </row>
    <row r="2073">
      <c r="A2073" s="25">
        <f>ItensPedido!A2073</f>
        <v/>
      </c>
      <c r="B2073" s="25">
        <f>ItensPedido!B2073</f>
        <v/>
      </c>
      <c r="C2073" s="25">
        <f>ItensPedido!C2073</f>
        <v/>
      </c>
      <c r="D2073" s="25">
        <f>ItensPedido!D2073</f>
        <v/>
      </c>
      <c r="E2073" s="26">
        <f>ItensPedido!E2073</f>
        <v/>
      </c>
      <c r="F2073" s="25">
        <f>IFERROR(INDEX(Pedidos!$B$2:$B$1801,MATCH(B2073,Pedidos!$A$2:$A$1801,0)),0)</f>
        <v/>
      </c>
      <c r="G2073" s="25">
        <f>IF(F2073=0,"",YEAR(F2073))</f>
        <v/>
      </c>
      <c r="H2073" s="25">
        <f>IF(F2073=0,"",MONTH(F2073))</f>
        <v/>
      </c>
      <c r="I2073" s="25">
        <f>IFERROR(INDEX(Pedidos!$E$2:$E$1801,MATCH(B2073,Pedidos!$A$2:$A$1801,0)),"")</f>
        <v/>
      </c>
      <c r="J2073" s="25">
        <f>IFERROR(INDEX(Pedidos!$C$2:$C$1801,MATCH(B2073,Pedidos!$A$2:$A$1801,0)),"")</f>
        <v/>
      </c>
      <c r="K2073" s="25">
        <f>IFERROR(INDEX(Pedidos!$D$2:$D$1801,MATCH(B2073,Pedidos!$A$2:$A$1801,0)),"")</f>
        <v/>
      </c>
      <c r="L2073" s="25">
        <f>IFERROR(INDEX(Pedidos!$F$2:$F$1801,MATCH(B2073,Pedidos!$A$2:$A$1801,0)),"")</f>
        <v/>
      </c>
      <c r="M2073" s="26">
        <f>IFERROR(INDEX(Pedidos!$G$2:$G$1801,MATCH(B2073,Pedidos!$A$2:$A$1801,0)),0)</f>
        <v/>
      </c>
      <c r="N2073" s="25">
        <f>IFERROR(INDEX(Produtos!$B$2:$B$71,MATCH(C2073,Produtos!$A$2:$A$71,0)),"")</f>
        <v/>
      </c>
      <c r="O2073" s="25">
        <f>IFERROR(INDEX(Produtos!$C$2:$C$71,MATCH(C2073,Produtos!$A$2:$A$71,0)),"")</f>
        <v/>
      </c>
      <c r="P2073" s="25">
        <f>IFERROR(INDEX(Produtos!$D$2:$D$71,MATCH(C2073,Produtos!$A$2:$A$71,0)),0)</f>
        <v/>
      </c>
      <c r="Q2073" s="25">
        <f>IFERROR(INDEX(Produtos!$E$2:$E$71,MATCH(C2073,Produtos!$A$2:$A$71,0)),0)</f>
        <v/>
      </c>
      <c r="R2073" s="27">
        <f>D2073*Q2073</f>
        <v/>
      </c>
      <c r="S2073" s="27">
        <f>R2073*E2073</f>
        <v/>
      </c>
      <c r="T2073" s="27">
        <f>(R2073-S2073)*M2073</f>
        <v/>
      </c>
      <c r="U2073" s="27">
        <f>R2073-S2073-T2073</f>
        <v/>
      </c>
      <c r="V2073" s="27">
        <f>D2073*P2073</f>
        <v/>
      </c>
      <c r="W2073" s="27">
        <f>U2073-V2073</f>
        <v/>
      </c>
      <c r="X2073" s="28">
        <f>IFERROR(W2073/U2073,0)</f>
        <v/>
      </c>
    </row>
    <row r="2074">
      <c r="A2074" s="21">
        <f>ItensPedido!A2074</f>
        <v/>
      </c>
      <c r="B2074" s="21">
        <f>ItensPedido!B2074</f>
        <v/>
      </c>
      <c r="C2074" s="21">
        <f>ItensPedido!C2074</f>
        <v/>
      </c>
      <c r="D2074" s="21">
        <f>ItensPedido!D2074</f>
        <v/>
      </c>
      <c r="E2074" s="22">
        <f>ItensPedido!E2074</f>
        <v/>
      </c>
      <c r="F2074" s="21">
        <f>IFERROR(INDEX(Pedidos!$B$2:$B$1801,MATCH(B2074,Pedidos!$A$2:$A$1801,0)),0)</f>
        <v/>
      </c>
      <c r="G2074" s="21">
        <f>IF(F2074=0,"",YEAR(F2074))</f>
        <v/>
      </c>
      <c r="H2074" s="21">
        <f>IF(F2074=0,"",MONTH(F2074))</f>
        <v/>
      </c>
      <c r="I2074" s="21">
        <f>IFERROR(INDEX(Pedidos!$E$2:$E$1801,MATCH(B2074,Pedidos!$A$2:$A$1801,0)),"")</f>
        <v/>
      </c>
      <c r="J2074" s="21">
        <f>IFERROR(INDEX(Pedidos!$C$2:$C$1801,MATCH(B2074,Pedidos!$A$2:$A$1801,0)),"")</f>
        <v/>
      </c>
      <c r="K2074" s="21">
        <f>IFERROR(INDEX(Pedidos!$D$2:$D$1801,MATCH(B2074,Pedidos!$A$2:$A$1801,0)),"")</f>
        <v/>
      </c>
      <c r="L2074" s="21">
        <f>IFERROR(INDEX(Pedidos!$F$2:$F$1801,MATCH(B2074,Pedidos!$A$2:$A$1801,0)),"")</f>
        <v/>
      </c>
      <c r="M2074" s="22">
        <f>IFERROR(INDEX(Pedidos!$G$2:$G$1801,MATCH(B2074,Pedidos!$A$2:$A$1801,0)),0)</f>
        <v/>
      </c>
      <c r="N2074" s="21">
        <f>IFERROR(INDEX(Produtos!$B$2:$B$71,MATCH(C2074,Produtos!$A$2:$A$71,0)),"")</f>
        <v/>
      </c>
      <c r="O2074" s="21">
        <f>IFERROR(INDEX(Produtos!$C$2:$C$71,MATCH(C2074,Produtos!$A$2:$A$71,0)),"")</f>
        <v/>
      </c>
      <c r="P2074" s="21">
        <f>IFERROR(INDEX(Produtos!$D$2:$D$71,MATCH(C2074,Produtos!$A$2:$A$71,0)),0)</f>
        <v/>
      </c>
      <c r="Q2074" s="21">
        <f>IFERROR(INDEX(Produtos!$E$2:$E$71,MATCH(C2074,Produtos!$A$2:$A$71,0)),0)</f>
        <v/>
      </c>
      <c r="R2074" s="23">
        <f>D2074*Q2074</f>
        <v/>
      </c>
      <c r="S2074" s="23">
        <f>R2074*E2074</f>
        <v/>
      </c>
      <c r="T2074" s="23">
        <f>(R2074-S2074)*M2074</f>
        <v/>
      </c>
      <c r="U2074" s="23">
        <f>R2074-S2074-T2074</f>
        <v/>
      </c>
      <c r="V2074" s="23">
        <f>D2074*P2074</f>
        <v/>
      </c>
      <c r="W2074" s="23">
        <f>U2074-V2074</f>
        <v/>
      </c>
      <c r="X2074" s="24">
        <f>IFERROR(W2074/U2074,0)</f>
        <v/>
      </c>
    </row>
    <row r="2075">
      <c r="A2075" s="25">
        <f>ItensPedido!A2075</f>
        <v/>
      </c>
      <c r="B2075" s="25">
        <f>ItensPedido!B2075</f>
        <v/>
      </c>
      <c r="C2075" s="25">
        <f>ItensPedido!C2075</f>
        <v/>
      </c>
      <c r="D2075" s="25">
        <f>ItensPedido!D2075</f>
        <v/>
      </c>
      <c r="E2075" s="26">
        <f>ItensPedido!E2075</f>
        <v/>
      </c>
      <c r="F2075" s="25">
        <f>IFERROR(INDEX(Pedidos!$B$2:$B$1801,MATCH(B2075,Pedidos!$A$2:$A$1801,0)),0)</f>
        <v/>
      </c>
      <c r="G2075" s="25">
        <f>IF(F2075=0,"",YEAR(F2075))</f>
        <v/>
      </c>
      <c r="H2075" s="25">
        <f>IF(F2075=0,"",MONTH(F2075))</f>
        <v/>
      </c>
      <c r="I2075" s="25">
        <f>IFERROR(INDEX(Pedidos!$E$2:$E$1801,MATCH(B2075,Pedidos!$A$2:$A$1801,0)),"")</f>
        <v/>
      </c>
      <c r="J2075" s="25">
        <f>IFERROR(INDEX(Pedidos!$C$2:$C$1801,MATCH(B2075,Pedidos!$A$2:$A$1801,0)),"")</f>
        <v/>
      </c>
      <c r="K2075" s="25">
        <f>IFERROR(INDEX(Pedidos!$D$2:$D$1801,MATCH(B2075,Pedidos!$A$2:$A$1801,0)),"")</f>
        <v/>
      </c>
      <c r="L2075" s="25">
        <f>IFERROR(INDEX(Pedidos!$F$2:$F$1801,MATCH(B2075,Pedidos!$A$2:$A$1801,0)),"")</f>
        <v/>
      </c>
      <c r="M2075" s="26">
        <f>IFERROR(INDEX(Pedidos!$G$2:$G$1801,MATCH(B2075,Pedidos!$A$2:$A$1801,0)),0)</f>
        <v/>
      </c>
      <c r="N2075" s="25">
        <f>IFERROR(INDEX(Produtos!$B$2:$B$71,MATCH(C2075,Produtos!$A$2:$A$71,0)),"")</f>
        <v/>
      </c>
      <c r="O2075" s="25">
        <f>IFERROR(INDEX(Produtos!$C$2:$C$71,MATCH(C2075,Produtos!$A$2:$A$71,0)),"")</f>
        <v/>
      </c>
      <c r="P2075" s="25">
        <f>IFERROR(INDEX(Produtos!$D$2:$D$71,MATCH(C2075,Produtos!$A$2:$A$71,0)),0)</f>
        <v/>
      </c>
      <c r="Q2075" s="25">
        <f>IFERROR(INDEX(Produtos!$E$2:$E$71,MATCH(C2075,Produtos!$A$2:$A$71,0)),0)</f>
        <v/>
      </c>
      <c r="R2075" s="27">
        <f>D2075*Q2075</f>
        <v/>
      </c>
      <c r="S2075" s="27">
        <f>R2075*E2075</f>
        <v/>
      </c>
      <c r="T2075" s="27">
        <f>(R2075-S2075)*M2075</f>
        <v/>
      </c>
      <c r="U2075" s="27">
        <f>R2075-S2075-T2075</f>
        <v/>
      </c>
      <c r="V2075" s="27">
        <f>D2075*P2075</f>
        <v/>
      </c>
      <c r="W2075" s="27">
        <f>U2075-V2075</f>
        <v/>
      </c>
      <c r="X2075" s="28">
        <f>IFERROR(W2075/U2075,0)</f>
        <v/>
      </c>
    </row>
    <row r="2076">
      <c r="A2076" s="21">
        <f>ItensPedido!A2076</f>
        <v/>
      </c>
      <c r="B2076" s="21">
        <f>ItensPedido!B2076</f>
        <v/>
      </c>
      <c r="C2076" s="21">
        <f>ItensPedido!C2076</f>
        <v/>
      </c>
      <c r="D2076" s="21">
        <f>ItensPedido!D2076</f>
        <v/>
      </c>
      <c r="E2076" s="22">
        <f>ItensPedido!E2076</f>
        <v/>
      </c>
      <c r="F2076" s="21">
        <f>IFERROR(INDEX(Pedidos!$B$2:$B$1801,MATCH(B2076,Pedidos!$A$2:$A$1801,0)),0)</f>
        <v/>
      </c>
      <c r="G2076" s="21">
        <f>IF(F2076=0,"",YEAR(F2076))</f>
        <v/>
      </c>
      <c r="H2076" s="21">
        <f>IF(F2076=0,"",MONTH(F2076))</f>
        <v/>
      </c>
      <c r="I2076" s="21">
        <f>IFERROR(INDEX(Pedidos!$E$2:$E$1801,MATCH(B2076,Pedidos!$A$2:$A$1801,0)),"")</f>
        <v/>
      </c>
      <c r="J2076" s="21">
        <f>IFERROR(INDEX(Pedidos!$C$2:$C$1801,MATCH(B2076,Pedidos!$A$2:$A$1801,0)),"")</f>
        <v/>
      </c>
      <c r="K2076" s="21">
        <f>IFERROR(INDEX(Pedidos!$D$2:$D$1801,MATCH(B2076,Pedidos!$A$2:$A$1801,0)),"")</f>
        <v/>
      </c>
      <c r="L2076" s="21">
        <f>IFERROR(INDEX(Pedidos!$F$2:$F$1801,MATCH(B2076,Pedidos!$A$2:$A$1801,0)),"")</f>
        <v/>
      </c>
      <c r="M2076" s="22">
        <f>IFERROR(INDEX(Pedidos!$G$2:$G$1801,MATCH(B2076,Pedidos!$A$2:$A$1801,0)),0)</f>
        <v/>
      </c>
      <c r="N2076" s="21">
        <f>IFERROR(INDEX(Produtos!$B$2:$B$71,MATCH(C2076,Produtos!$A$2:$A$71,0)),"")</f>
        <v/>
      </c>
      <c r="O2076" s="21">
        <f>IFERROR(INDEX(Produtos!$C$2:$C$71,MATCH(C2076,Produtos!$A$2:$A$71,0)),"")</f>
        <v/>
      </c>
      <c r="P2076" s="21">
        <f>IFERROR(INDEX(Produtos!$D$2:$D$71,MATCH(C2076,Produtos!$A$2:$A$71,0)),0)</f>
        <v/>
      </c>
      <c r="Q2076" s="21">
        <f>IFERROR(INDEX(Produtos!$E$2:$E$71,MATCH(C2076,Produtos!$A$2:$A$71,0)),0)</f>
        <v/>
      </c>
      <c r="R2076" s="23">
        <f>D2076*Q2076</f>
        <v/>
      </c>
      <c r="S2076" s="23">
        <f>R2076*E2076</f>
        <v/>
      </c>
      <c r="T2076" s="23">
        <f>(R2076-S2076)*M2076</f>
        <v/>
      </c>
      <c r="U2076" s="23">
        <f>R2076-S2076-T2076</f>
        <v/>
      </c>
      <c r="V2076" s="23">
        <f>D2076*P2076</f>
        <v/>
      </c>
      <c r="W2076" s="23">
        <f>U2076-V2076</f>
        <v/>
      </c>
      <c r="X2076" s="24">
        <f>IFERROR(W2076/U2076,0)</f>
        <v/>
      </c>
    </row>
    <row r="2077">
      <c r="A2077" s="25">
        <f>ItensPedido!A2077</f>
        <v/>
      </c>
      <c r="B2077" s="25">
        <f>ItensPedido!B2077</f>
        <v/>
      </c>
      <c r="C2077" s="25">
        <f>ItensPedido!C2077</f>
        <v/>
      </c>
      <c r="D2077" s="25">
        <f>ItensPedido!D2077</f>
        <v/>
      </c>
      <c r="E2077" s="26">
        <f>ItensPedido!E2077</f>
        <v/>
      </c>
      <c r="F2077" s="25">
        <f>IFERROR(INDEX(Pedidos!$B$2:$B$1801,MATCH(B2077,Pedidos!$A$2:$A$1801,0)),0)</f>
        <v/>
      </c>
      <c r="G2077" s="25">
        <f>IF(F2077=0,"",YEAR(F2077))</f>
        <v/>
      </c>
      <c r="H2077" s="25">
        <f>IF(F2077=0,"",MONTH(F2077))</f>
        <v/>
      </c>
      <c r="I2077" s="25">
        <f>IFERROR(INDEX(Pedidos!$E$2:$E$1801,MATCH(B2077,Pedidos!$A$2:$A$1801,0)),"")</f>
        <v/>
      </c>
      <c r="J2077" s="25">
        <f>IFERROR(INDEX(Pedidos!$C$2:$C$1801,MATCH(B2077,Pedidos!$A$2:$A$1801,0)),"")</f>
        <v/>
      </c>
      <c r="K2077" s="25">
        <f>IFERROR(INDEX(Pedidos!$D$2:$D$1801,MATCH(B2077,Pedidos!$A$2:$A$1801,0)),"")</f>
        <v/>
      </c>
      <c r="L2077" s="25">
        <f>IFERROR(INDEX(Pedidos!$F$2:$F$1801,MATCH(B2077,Pedidos!$A$2:$A$1801,0)),"")</f>
        <v/>
      </c>
      <c r="M2077" s="26">
        <f>IFERROR(INDEX(Pedidos!$G$2:$G$1801,MATCH(B2077,Pedidos!$A$2:$A$1801,0)),0)</f>
        <v/>
      </c>
      <c r="N2077" s="25">
        <f>IFERROR(INDEX(Produtos!$B$2:$B$71,MATCH(C2077,Produtos!$A$2:$A$71,0)),"")</f>
        <v/>
      </c>
      <c r="O2077" s="25">
        <f>IFERROR(INDEX(Produtos!$C$2:$C$71,MATCH(C2077,Produtos!$A$2:$A$71,0)),"")</f>
        <v/>
      </c>
      <c r="P2077" s="25">
        <f>IFERROR(INDEX(Produtos!$D$2:$D$71,MATCH(C2077,Produtos!$A$2:$A$71,0)),0)</f>
        <v/>
      </c>
      <c r="Q2077" s="25">
        <f>IFERROR(INDEX(Produtos!$E$2:$E$71,MATCH(C2077,Produtos!$A$2:$A$71,0)),0)</f>
        <v/>
      </c>
      <c r="R2077" s="27">
        <f>D2077*Q2077</f>
        <v/>
      </c>
      <c r="S2077" s="27">
        <f>R2077*E2077</f>
        <v/>
      </c>
      <c r="T2077" s="27">
        <f>(R2077-S2077)*M2077</f>
        <v/>
      </c>
      <c r="U2077" s="27">
        <f>R2077-S2077-T2077</f>
        <v/>
      </c>
      <c r="V2077" s="27">
        <f>D2077*P2077</f>
        <v/>
      </c>
      <c r="W2077" s="27">
        <f>U2077-V2077</f>
        <v/>
      </c>
      <c r="X2077" s="28">
        <f>IFERROR(W2077/U2077,0)</f>
        <v/>
      </c>
    </row>
    <row r="2078">
      <c r="A2078" s="21">
        <f>ItensPedido!A2078</f>
        <v/>
      </c>
      <c r="B2078" s="21">
        <f>ItensPedido!B2078</f>
        <v/>
      </c>
      <c r="C2078" s="21">
        <f>ItensPedido!C2078</f>
        <v/>
      </c>
      <c r="D2078" s="21">
        <f>ItensPedido!D2078</f>
        <v/>
      </c>
      <c r="E2078" s="22">
        <f>ItensPedido!E2078</f>
        <v/>
      </c>
      <c r="F2078" s="21">
        <f>IFERROR(INDEX(Pedidos!$B$2:$B$1801,MATCH(B2078,Pedidos!$A$2:$A$1801,0)),0)</f>
        <v/>
      </c>
      <c r="G2078" s="21">
        <f>IF(F2078=0,"",YEAR(F2078))</f>
        <v/>
      </c>
      <c r="H2078" s="21">
        <f>IF(F2078=0,"",MONTH(F2078))</f>
        <v/>
      </c>
      <c r="I2078" s="21">
        <f>IFERROR(INDEX(Pedidos!$E$2:$E$1801,MATCH(B2078,Pedidos!$A$2:$A$1801,0)),"")</f>
        <v/>
      </c>
      <c r="J2078" s="21">
        <f>IFERROR(INDEX(Pedidos!$C$2:$C$1801,MATCH(B2078,Pedidos!$A$2:$A$1801,0)),"")</f>
        <v/>
      </c>
      <c r="K2078" s="21">
        <f>IFERROR(INDEX(Pedidos!$D$2:$D$1801,MATCH(B2078,Pedidos!$A$2:$A$1801,0)),"")</f>
        <v/>
      </c>
      <c r="L2078" s="21">
        <f>IFERROR(INDEX(Pedidos!$F$2:$F$1801,MATCH(B2078,Pedidos!$A$2:$A$1801,0)),"")</f>
        <v/>
      </c>
      <c r="M2078" s="22">
        <f>IFERROR(INDEX(Pedidos!$G$2:$G$1801,MATCH(B2078,Pedidos!$A$2:$A$1801,0)),0)</f>
        <v/>
      </c>
      <c r="N2078" s="21">
        <f>IFERROR(INDEX(Produtos!$B$2:$B$71,MATCH(C2078,Produtos!$A$2:$A$71,0)),"")</f>
        <v/>
      </c>
      <c r="O2078" s="21">
        <f>IFERROR(INDEX(Produtos!$C$2:$C$71,MATCH(C2078,Produtos!$A$2:$A$71,0)),"")</f>
        <v/>
      </c>
      <c r="P2078" s="21">
        <f>IFERROR(INDEX(Produtos!$D$2:$D$71,MATCH(C2078,Produtos!$A$2:$A$71,0)),0)</f>
        <v/>
      </c>
      <c r="Q2078" s="21">
        <f>IFERROR(INDEX(Produtos!$E$2:$E$71,MATCH(C2078,Produtos!$A$2:$A$71,0)),0)</f>
        <v/>
      </c>
      <c r="R2078" s="23">
        <f>D2078*Q2078</f>
        <v/>
      </c>
      <c r="S2078" s="23">
        <f>R2078*E2078</f>
        <v/>
      </c>
      <c r="T2078" s="23">
        <f>(R2078-S2078)*M2078</f>
        <v/>
      </c>
      <c r="U2078" s="23">
        <f>R2078-S2078-T2078</f>
        <v/>
      </c>
      <c r="V2078" s="23">
        <f>D2078*P2078</f>
        <v/>
      </c>
      <c r="W2078" s="23">
        <f>U2078-V2078</f>
        <v/>
      </c>
      <c r="X2078" s="24">
        <f>IFERROR(W2078/U2078,0)</f>
        <v/>
      </c>
    </row>
    <row r="2079">
      <c r="A2079" s="25">
        <f>ItensPedido!A2079</f>
        <v/>
      </c>
      <c r="B2079" s="25">
        <f>ItensPedido!B2079</f>
        <v/>
      </c>
      <c r="C2079" s="25">
        <f>ItensPedido!C2079</f>
        <v/>
      </c>
      <c r="D2079" s="25">
        <f>ItensPedido!D2079</f>
        <v/>
      </c>
      <c r="E2079" s="26">
        <f>ItensPedido!E2079</f>
        <v/>
      </c>
      <c r="F2079" s="25">
        <f>IFERROR(INDEX(Pedidos!$B$2:$B$1801,MATCH(B2079,Pedidos!$A$2:$A$1801,0)),0)</f>
        <v/>
      </c>
      <c r="G2079" s="25">
        <f>IF(F2079=0,"",YEAR(F2079))</f>
        <v/>
      </c>
      <c r="H2079" s="25">
        <f>IF(F2079=0,"",MONTH(F2079))</f>
        <v/>
      </c>
      <c r="I2079" s="25">
        <f>IFERROR(INDEX(Pedidos!$E$2:$E$1801,MATCH(B2079,Pedidos!$A$2:$A$1801,0)),"")</f>
        <v/>
      </c>
      <c r="J2079" s="25">
        <f>IFERROR(INDEX(Pedidos!$C$2:$C$1801,MATCH(B2079,Pedidos!$A$2:$A$1801,0)),"")</f>
        <v/>
      </c>
      <c r="K2079" s="25">
        <f>IFERROR(INDEX(Pedidos!$D$2:$D$1801,MATCH(B2079,Pedidos!$A$2:$A$1801,0)),"")</f>
        <v/>
      </c>
      <c r="L2079" s="25">
        <f>IFERROR(INDEX(Pedidos!$F$2:$F$1801,MATCH(B2079,Pedidos!$A$2:$A$1801,0)),"")</f>
        <v/>
      </c>
      <c r="M2079" s="26">
        <f>IFERROR(INDEX(Pedidos!$G$2:$G$1801,MATCH(B2079,Pedidos!$A$2:$A$1801,0)),0)</f>
        <v/>
      </c>
      <c r="N2079" s="25">
        <f>IFERROR(INDEX(Produtos!$B$2:$B$71,MATCH(C2079,Produtos!$A$2:$A$71,0)),"")</f>
        <v/>
      </c>
      <c r="O2079" s="25">
        <f>IFERROR(INDEX(Produtos!$C$2:$C$71,MATCH(C2079,Produtos!$A$2:$A$71,0)),"")</f>
        <v/>
      </c>
      <c r="P2079" s="25">
        <f>IFERROR(INDEX(Produtos!$D$2:$D$71,MATCH(C2079,Produtos!$A$2:$A$71,0)),0)</f>
        <v/>
      </c>
      <c r="Q2079" s="25">
        <f>IFERROR(INDEX(Produtos!$E$2:$E$71,MATCH(C2079,Produtos!$A$2:$A$71,0)),0)</f>
        <v/>
      </c>
      <c r="R2079" s="27">
        <f>D2079*Q2079</f>
        <v/>
      </c>
      <c r="S2079" s="27">
        <f>R2079*E2079</f>
        <v/>
      </c>
      <c r="T2079" s="27">
        <f>(R2079-S2079)*M2079</f>
        <v/>
      </c>
      <c r="U2079" s="27">
        <f>R2079-S2079-T2079</f>
        <v/>
      </c>
      <c r="V2079" s="27">
        <f>D2079*P2079</f>
        <v/>
      </c>
      <c r="W2079" s="27">
        <f>U2079-V2079</f>
        <v/>
      </c>
      <c r="X2079" s="28">
        <f>IFERROR(W2079/U2079,0)</f>
        <v/>
      </c>
    </row>
    <row r="2080">
      <c r="A2080" s="21">
        <f>ItensPedido!A2080</f>
        <v/>
      </c>
      <c r="B2080" s="21">
        <f>ItensPedido!B2080</f>
        <v/>
      </c>
      <c r="C2080" s="21">
        <f>ItensPedido!C2080</f>
        <v/>
      </c>
      <c r="D2080" s="21">
        <f>ItensPedido!D2080</f>
        <v/>
      </c>
      <c r="E2080" s="22">
        <f>ItensPedido!E2080</f>
        <v/>
      </c>
      <c r="F2080" s="21">
        <f>IFERROR(INDEX(Pedidos!$B$2:$B$1801,MATCH(B2080,Pedidos!$A$2:$A$1801,0)),0)</f>
        <v/>
      </c>
      <c r="G2080" s="21">
        <f>IF(F2080=0,"",YEAR(F2080))</f>
        <v/>
      </c>
      <c r="H2080" s="21">
        <f>IF(F2080=0,"",MONTH(F2080))</f>
        <v/>
      </c>
      <c r="I2080" s="21">
        <f>IFERROR(INDEX(Pedidos!$E$2:$E$1801,MATCH(B2080,Pedidos!$A$2:$A$1801,0)),"")</f>
        <v/>
      </c>
      <c r="J2080" s="21">
        <f>IFERROR(INDEX(Pedidos!$C$2:$C$1801,MATCH(B2080,Pedidos!$A$2:$A$1801,0)),"")</f>
        <v/>
      </c>
      <c r="K2080" s="21">
        <f>IFERROR(INDEX(Pedidos!$D$2:$D$1801,MATCH(B2080,Pedidos!$A$2:$A$1801,0)),"")</f>
        <v/>
      </c>
      <c r="L2080" s="21">
        <f>IFERROR(INDEX(Pedidos!$F$2:$F$1801,MATCH(B2080,Pedidos!$A$2:$A$1801,0)),"")</f>
        <v/>
      </c>
      <c r="M2080" s="22">
        <f>IFERROR(INDEX(Pedidos!$G$2:$G$1801,MATCH(B2080,Pedidos!$A$2:$A$1801,0)),0)</f>
        <v/>
      </c>
      <c r="N2080" s="21">
        <f>IFERROR(INDEX(Produtos!$B$2:$B$71,MATCH(C2080,Produtos!$A$2:$A$71,0)),"")</f>
        <v/>
      </c>
      <c r="O2080" s="21">
        <f>IFERROR(INDEX(Produtos!$C$2:$C$71,MATCH(C2080,Produtos!$A$2:$A$71,0)),"")</f>
        <v/>
      </c>
      <c r="P2080" s="21">
        <f>IFERROR(INDEX(Produtos!$D$2:$D$71,MATCH(C2080,Produtos!$A$2:$A$71,0)),0)</f>
        <v/>
      </c>
      <c r="Q2080" s="21">
        <f>IFERROR(INDEX(Produtos!$E$2:$E$71,MATCH(C2080,Produtos!$A$2:$A$71,0)),0)</f>
        <v/>
      </c>
      <c r="R2080" s="23">
        <f>D2080*Q2080</f>
        <v/>
      </c>
      <c r="S2080" s="23">
        <f>R2080*E2080</f>
        <v/>
      </c>
      <c r="T2080" s="23">
        <f>(R2080-S2080)*M2080</f>
        <v/>
      </c>
      <c r="U2080" s="23">
        <f>R2080-S2080-T2080</f>
        <v/>
      </c>
      <c r="V2080" s="23">
        <f>D2080*P2080</f>
        <v/>
      </c>
      <c r="W2080" s="23">
        <f>U2080-V2080</f>
        <v/>
      </c>
      <c r="X2080" s="24">
        <f>IFERROR(W2080/U2080,0)</f>
        <v/>
      </c>
    </row>
    <row r="2081">
      <c r="A2081" s="25">
        <f>ItensPedido!A2081</f>
        <v/>
      </c>
      <c r="B2081" s="25">
        <f>ItensPedido!B2081</f>
        <v/>
      </c>
      <c r="C2081" s="25">
        <f>ItensPedido!C2081</f>
        <v/>
      </c>
      <c r="D2081" s="25">
        <f>ItensPedido!D2081</f>
        <v/>
      </c>
      <c r="E2081" s="26">
        <f>ItensPedido!E2081</f>
        <v/>
      </c>
      <c r="F2081" s="25">
        <f>IFERROR(INDEX(Pedidos!$B$2:$B$1801,MATCH(B2081,Pedidos!$A$2:$A$1801,0)),0)</f>
        <v/>
      </c>
      <c r="G2081" s="25">
        <f>IF(F2081=0,"",YEAR(F2081))</f>
        <v/>
      </c>
      <c r="H2081" s="25">
        <f>IF(F2081=0,"",MONTH(F2081))</f>
        <v/>
      </c>
      <c r="I2081" s="25">
        <f>IFERROR(INDEX(Pedidos!$E$2:$E$1801,MATCH(B2081,Pedidos!$A$2:$A$1801,0)),"")</f>
        <v/>
      </c>
      <c r="J2081" s="25">
        <f>IFERROR(INDEX(Pedidos!$C$2:$C$1801,MATCH(B2081,Pedidos!$A$2:$A$1801,0)),"")</f>
        <v/>
      </c>
      <c r="K2081" s="25">
        <f>IFERROR(INDEX(Pedidos!$D$2:$D$1801,MATCH(B2081,Pedidos!$A$2:$A$1801,0)),"")</f>
        <v/>
      </c>
      <c r="L2081" s="25">
        <f>IFERROR(INDEX(Pedidos!$F$2:$F$1801,MATCH(B2081,Pedidos!$A$2:$A$1801,0)),"")</f>
        <v/>
      </c>
      <c r="M2081" s="26">
        <f>IFERROR(INDEX(Pedidos!$G$2:$G$1801,MATCH(B2081,Pedidos!$A$2:$A$1801,0)),0)</f>
        <v/>
      </c>
      <c r="N2081" s="25">
        <f>IFERROR(INDEX(Produtos!$B$2:$B$71,MATCH(C2081,Produtos!$A$2:$A$71,0)),"")</f>
        <v/>
      </c>
      <c r="O2081" s="25">
        <f>IFERROR(INDEX(Produtos!$C$2:$C$71,MATCH(C2081,Produtos!$A$2:$A$71,0)),"")</f>
        <v/>
      </c>
      <c r="P2081" s="25">
        <f>IFERROR(INDEX(Produtos!$D$2:$D$71,MATCH(C2081,Produtos!$A$2:$A$71,0)),0)</f>
        <v/>
      </c>
      <c r="Q2081" s="25">
        <f>IFERROR(INDEX(Produtos!$E$2:$E$71,MATCH(C2081,Produtos!$A$2:$A$71,0)),0)</f>
        <v/>
      </c>
      <c r="R2081" s="27">
        <f>D2081*Q2081</f>
        <v/>
      </c>
      <c r="S2081" s="27">
        <f>R2081*E2081</f>
        <v/>
      </c>
      <c r="T2081" s="27">
        <f>(R2081-S2081)*M2081</f>
        <v/>
      </c>
      <c r="U2081" s="27">
        <f>R2081-S2081-T2081</f>
        <v/>
      </c>
      <c r="V2081" s="27">
        <f>D2081*P2081</f>
        <v/>
      </c>
      <c r="W2081" s="27">
        <f>U2081-V2081</f>
        <v/>
      </c>
      <c r="X2081" s="28">
        <f>IFERROR(W2081/U2081,0)</f>
        <v/>
      </c>
    </row>
    <row r="2082">
      <c r="A2082" s="21">
        <f>ItensPedido!A2082</f>
        <v/>
      </c>
      <c r="B2082" s="21">
        <f>ItensPedido!B2082</f>
        <v/>
      </c>
      <c r="C2082" s="21">
        <f>ItensPedido!C2082</f>
        <v/>
      </c>
      <c r="D2082" s="21">
        <f>ItensPedido!D2082</f>
        <v/>
      </c>
      <c r="E2082" s="22">
        <f>ItensPedido!E2082</f>
        <v/>
      </c>
      <c r="F2082" s="21">
        <f>IFERROR(INDEX(Pedidos!$B$2:$B$1801,MATCH(B2082,Pedidos!$A$2:$A$1801,0)),0)</f>
        <v/>
      </c>
      <c r="G2082" s="21">
        <f>IF(F2082=0,"",YEAR(F2082))</f>
        <v/>
      </c>
      <c r="H2082" s="21">
        <f>IF(F2082=0,"",MONTH(F2082))</f>
        <v/>
      </c>
      <c r="I2082" s="21">
        <f>IFERROR(INDEX(Pedidos!$E$2:$E$1801,MATCH(B2082,Pedidos!$A$2:$A$1801,0)),"")</f>
        <v/>
      </c>
      <c r="J2082" s="21">
        <f>IFERROR(INDEX(Pedidos!$C$2:$C$1801,MATCH(B2082,Pedidos!$A$2:$A$1801,0)),"")</f>
        <v/>
      </c>
      <c r="K2082" s="21">
        <f>IFERROR(INDEX(Pedidos!$D$2:$D$1801,MATCH(B2082,Pedidos!$A$2:$A$1801,0)),"")</f>
        <v/>
      </c>
      <c r="L2082" s="21">
        <f>IFERROR(INDEX(Pedidos!$F$2:$F$1801,MATCH(B2082,Pedidos!$A$2:$A$1801,0)),"")</f>
        <v/>
      </c>
      <c r="M2082" s="22">
        <f>IFERROR(INDEX(Pedidos!$G$2:$G$1801,MATCH(B2082,Pedidos!$A$2:$A$1801,0)),0)</f>
        <v/>
      </c>
      <c r="N2082" s="21">
        <f>IFERROR(INDEX(Produtos!$B$2:$B$71,MATCH(C2082,Produtos!$A$2:$A$71,0)),"")</f>
        <v/>
      </c>
      <c r="O2082" s="21">
        <f>IFERROR(INDEX(Produtos!$C$2:$C$71,MATCH(C2082,Produtos!$A$2:$A$71,0)),"")</f>
        <v/>
      </c>
      <c r="P2082" s="21">
        <f>IFERROR(INDEX(Produtos!$D$2:$D$71,MATCH(C2082,Produtos!$A$2:$A$71,0)),0)</f>
        <v/>
      </c>
      <c r="Q2082" s="21">
        <f>IFERROR(INDEX(Produtos!$E$2:$E$71,MATCH(C2082,Produtos!$A$2:$A$71,0)),0)</f>
        <v/>
      </c>
      <c r="R2082" s="23">
        <f>D2082*Q2082</f>
        <v/>
      </c>
      <c r="S2082" s="23">
        <f>R2082*E2082</f>
        <v/>
      </c>
      <c r="T2082" s="23">
        <f>(R2082-S2082)*M2082</f>
        <v/>
      </c>
      <c r="U2082" s="23">
        <f>R2082-S2082-T2082</f>
        <v/>
      </c>
      <c r="V2082" s="23">
        <f>D2082*P2082</f>
        <v/>
      </c>
      <c r="W2082" s="23">
        <f>U2082-V2082</f>
        <v/>
      </c>
      <c r="X2082" s="24">
        <f>IFERROR(W2082/U2082,0)</f>
        <v/>
      </c>
    </row>
    <row r="2083">
      <c r="A2083" s="25">
        <f>ItensPedido!A2083</f>
        <v/>
      </c>
      <c r="B2083" s="25">
        <f>ItensPedido!B2083</f>
        <v/>
      </c>
      <c r="C2083" s="25">
        <f>ItensPedido!C2083</f>
        <v/>
      </c>
      <c r="D2083" s="25">
        <f>ItensPedido!D2083</f>
        <v/>
      </c>
      <c r="E2083" s="26">
        <f>ItensPedido!E2083</f>
        <v/>
      </c>
      <c r="F2083" s="25">
        <f>IFERROR(INDEX(Pedidos!$B$2:$B$1801,MATCH(B2083,Pedidos!$A$2:$A$1801,0)),0)</f>
        <v/>
      </c>
      <c r="G2083" s="25">
        <f>IF(F2083=0,"",YEAR(F2083))</f>
        <v/>
      </c>
      <c r="H2083" s="25">
        <f>IF(F2083=0,"",MONTH(F2083))</f>
        <v/>
      </c>
      <c r="I2083" s="25">
        <f>IFERROR(INDEX(Pedidos!$E$2:$E$1801,MATCH(B2083,Pedidos!$A$2:$A$1801,0)),"")</f>
        <v/>
      </c>
      <c r="J2083" s="25">
        <f>IFERROR(INDEX(Pedidos!$C$2:$C$1801,MATCH(B2083,Pedidos!$A$2:$A$1801,0)),"")</f>
        <v/>
      </c>
      <c r="K2083" s="25">
        <f>IFERROR(INDEX(Pedidos!$D$2:$D$1801,MATCH(B2083,Pedidos!$A$2:$A$1801,0)),"")</f>
        <v/>
      </c>
      <c r="L2083" s="25">
        <f>IFERROR(INDEX(Pedidos!$F$2:$F$1801,MATCH(B2083,Pedidos!$A$2:$A$1801,0)),"")</f>
        <v/>
      </c>
      <c r="M2083" s="26">
        <f>IFERROR(INDEX(Pedidos!$G$2:$G$1801,MATCH(B2083,Pedidos!$A$2:$A$1801,0)),0)</f>
        <v/>
      </c>
      <c r="N2083" s="25">
        <f>IFERROR(INDEX(Produtos!$B$2:$B$71,MATCH(C2083,Produtos!$A$2:$A$71,0)),"")</f>
        <v/>
      </c>
      <c r="O2083" s="25">
        <f>IFERROR(INDEX(Produtos!$C$2:$C$71,MATCH(C2083,Produtos!$A$2:$A$71,0)),"")</f>
        <v/>
      </c>
      <c r="P2083" s="25">
        <f>IFERROR(INDEX(Produtos!$D$2:$D$71,MATCH(C2083,Produtos!$A$2:$A$71,0)),0)</f>
        <v/>
      </c>
      <c r="Q2083" s="25">
        <f>IFERROR(INDEX(Produtos!$E$2:$E$71,MATCH(C2083,Produtos!$A$2:$A$71,0)),0)</f>
        <v/>
      </c>
      <c r="R2083" s="27">
        <f>D2083*Q2083</f>
        <v/>
      </c>
      <c r="S2083" s="27">
        <f>R2083*E2083</f>
        <v/>
      </c>
      <c r="T2083" s="27">
        <f>(R2083-S2083)*M2083</f>
        <v/>
      </c>
      <c r="U2083" s="27">
        <f>R2083-S2083-T2083</f>
        <v/>
      </c>
      <c r="V2083" s="27">
        <f>D2083*P2083</f>
        <v/>
      </c>
      <c r="W2083" s="27">
        <f>U2083-V2083</f>
        <v/>
      </c>
      <c r="X2083" s="28">
        <f>IFERROR(W2083/U2083,0)</f>
        <v/>
      </c>
    </row>
    <row r="2084">
      <c r="A2084" s="21">
        <f>ItensPedido!A2084</f>
        <v/>
      </c>
      <c r="B2084" s="21">
        <f>ItensPedido!B2084</f>
        <v/>
      </c>
      <c r="C2084" s="21">
        <f>ItensPedido!C2084</f>
        <v/>
      </c>
      <c r="D2084" s="21">
        <f>ItensPedido!D2084</f>
        <v/>
      </c>
      <c r="E2084" s="22">
        <f>ItensPedido!E2084</f>
        <v/>
      </c>
      <c r="F2084" s="21">
        <f>IFERROR(INDEX(Pedidos!$B$2:$B$1801,MATCH(B2084,Pedidos!$A$2:$A$1801,0)),0)</f>
        <v/>
      </c>
      <c r="G2084" s="21">
        <f>IF(F2084=0,"",YEAR(F2084))</f>
        <v/>
      </c>
      <c r="H2084" s="21">
        <f>IF(F2084=0,"",MONTH(F2084))</f>
        <v/>
      </c>
      <c r="I2084" s="21">
        <f>IFERROR(INDEX(Pedidos!$E$2:$E$1801,MATCH(B2084,Pedidos!$A$2:$A$1801,0)),"")</f>
        <v/>
      </c>
      <c r="J2084" s="21">
        <f>IFERROR(INDEX(Pedidos!$C$2:$C$1801,MATCH(B2084,Pedidos!$A$2:$A$1801,0)),"")</f>
        <v/>
      </c>
      <c r="K2084" s="21">
        <f>IFERROR(INDEX(Pedidos!$D$2:$D$1801,MATCH(B2084,Pedidos!$A$2:$A$1801,0)),"")</f>
        <v/>
      </c>
      <c r="L2084" s="21">
        <f>IFERROR(INDEX(Pedidos!$F$2:$F$1801,MATCH(B2084,Pedidos!$A$2:$A$1801,0)),"")</f>
        <v/>
      </c>
      <c r="M2084" s="22">
        <f>IFERROR(INDEX(Pedidos!$G$2:$G$1801,MATCH(B2084,Pedidos!$A$2:$A$1801,0)),0)</f>
        <v/>
      </c>
      <c r="N2084" s="21">
        <f>IFERROR(INDEX(Produtos!$B$2:$B$71,MATCH(C2084,Produtos!$A$2:$A$71,0)),"")</f>
        <v/>
      </c>
      <c r="O2084" s="21">
        <f>IFERROR(INDEX(Produtos!$C$2:$C$71,MATCH(C2084,Produtos!$A$2:$A$71,0)),"")</f>
        <v/>
      </c>
      <c r="P2084" s="21">
        <f>IFERROR(INDEX(Produtos!$D$2:$D$71,MATCH(C2084,Produtos!$A$2:$A$71,0)),0)</f>
        <v/>
      </c>
      <c r="Q2084" s="21">
        <f>IFERROR(INDEX(Produtos!$E$2:$E$71,MATCH(C2084,Produtos!$A$2:$A$71,0)),0)</f>
        <v/>
      </c>
      <c r="R2084" s="23">
        <f>D2084*Q2084</f>
        <v/>
      </c>
      <c r="S2084" s="23">
        <f>R2084*E2084</f>
        <v/>
      </c>
      <c r="T2084" s="23">
        <f>(R2084-S2084)*M2084</f>
        <v/>
      </c>
      <c r="U2084" s="23">
        <f>R2084-S2084-T2084</f>
        <v/>
      </c>
      <c r="V2084" s="23">
        <f>D2084*P2084</f>
        <v/>
      </c>
      <c r="W2084" s="23">
        <f>U2084-V2084</f>
        <v/>
      </c>
      <c r="X2084" s="24">
        <f>IFERROR(W2084/U2084,0)</f>
        <v/>
      </c>
    </row>
    <row r="2085">
      <c r="A2085" s="25">
        <f>ItensPedido!A2085</f>
        <v/>
      </c>
      <c r="B2085" s="25">
        <f>ItensPedido!B2085</f>
        <v/>
      </c>
      <c r="C2085" s="25">
        <f>ItensPedido!C2085</f>
        <v/>
      </c>
      <c r="D2085" s="25">
        <f>ItensPedido!D2085</f>
        <v/>
      </c>
      <c r="E2085" s="26">
        <f>ItensPedido!E2085</f>
        <v/>
      </c>
      <c r="F2085" s="25">
        <f>IFERROR(INDEX(Pedidos!$B$2:$B$1801,MATCH(B2085,Pedidos!$A$2:$A$1801,0)),0)</f>
        <v/>
      </c>
      <c r="G2085" s="25">
        <f>IF(F2085=0,"",YEAR(F2085))</f>
        <v/>
      </c>
      <c r="H2085" s="25">
        <f>IF(F2085=0,"",MONTH(F2085))</f>
        <v/>
      </c>
      <c r="I2085" s="25">
        <f>IFERROR(INDEX(Pedidos!$E$2:$E$1801,MATCH(B2085,Pedidos!$A$2:$A$1801,0)),"")</f>
        <v/>
      </c>
      <c r="J2085" s="25">
        <f>IFERROR(INDEX(Pedidos!$C$2:$C$1801,MATCH(B2085,Pedidos!$A$2:$A$1801,0)),"")</f>
        <v/>
      </c>
      <c r="K2085" s="25">
        <f>IFERROR(INDEX(Pedidos!$D$2:$D$1801,MATCH(B2085,Pedidos!$A$2:$A$1801,0)),"")</f>
        <v/>
      </c>
      <c r="L2085" s="25">
        <f>IFERROR(INDEX(Pedidos!$F$2:$F$1801,MATCH(B2085,Pedidos!$A$2:$A$1801,0)),"")</f>
        <v/>
      </c>
      <c r="M2085" s="26">
        <f>IFERROR(INDEX(Pedidos!$G$2:$G$1801,MATCH(B2085,Pedidos!$A$2:$A$1801,0)),0)</f>
        <v/>
      </c>
      <c r="N2085" s="25">
        <f>IFERROR(INDEX(Produtos!$B$2:$B$71,MATCH(C2085,Produtos!$A$2:$A$71,0)),"")</f>
        <v/>
      </c>
      <c r="O2085" s="25">
        <f>IFERROR(INDEX(Produtos!$C$2:$C$71,MATCH(C2085,Produtos!$A$2:$A$71,0)),"")</f>
        <v/>
      </c>
      <c r="P2085" s="25">
        <f>IFERROR(INDEX(Produtos!$D$2:$D$71,MATCH(C2085,Produtos!$A$2:$A$71,0)),0)</f>
        <v/>
      </c>
      <c r="Q2085" s="25">
        <f>IFERROR(INDEX(Produtos!$E$2:$E$71,MATCH(C2085,Produtos!$A$2:$A$71,0)),0)</f>
        <v/>
      </c>
      <c r="R2085" s="27">
        <f>D2085*Q2085</f>
        <v/>
      </c>
      <c r="S2085" s="27">
        <f>R2085*E2085</f>
        <v/>
      </c>
      <c r="T2085" s="27">
        <f>(R2085-S2085)*M2085</f>
        <v/>
      </c>
      <c r="U2085" s="27">
        <f>R2085-S2085-T2085</f>
        <v/>
      </c>
      <c r="V2085" s="27">
        <f>D2085*P2085</f>
        <v/>
      </c>
      <c r="W2085" s="27">
        <f>U2085-V2085</f>
        <v/>
      </c>
      <c r="X2085" s="28">
        <f>IFERROR(W2085/U2085,0)</f>
        <v/>
      </c>
    </row>
    <row r="2086">
      <c r="A2086" s="21">
        <f>ItensPedido!A2086</f>
        <v/>
      </c>
      <c r="B2086" s="21">
        <f>ItensPedido!B2086</f>
        <v/>
      </c>
      <c r="C2086" s="21">
        <f>ItensPedido!C2086</f>
        <v/>
      </c>
      <c r="D2086" s="21">
        <f>ItensPedido!D2086</f>
        <v/>
      </c>
      <c r="E2086" s="22">
        <f>ItensPedido!E2086</f>
        <v/>
      </c>
      <c r="F2086" s="21">
        <f>IFERROR(INDEX(Pedidos!$B$2:$B$1801,MATCH(B2086,Pedidos!$A$2:$A$1801,0)),0)</f>
        <v/>
      </c>
      <c r="G2086" s="21">
        <f>IF(F2086=0,"",YEAR(F2086))</f>
        <v/>
      </c>
      <c r="H2086" s="21">
        <f>IF(F2086=0,"",MONTH(F2086))</f>
        <v/>
      </c>
      <c r="I2086" s="21">
        <f>IFERROR(INDEX(Pedidos!$E$2:$E$1801,MATCH(B2086,Pedidos!$A$2:$A$1801,0)),"")</f>
        <v/>
      </c>
      <c r="J2086" s="21">
        <f>IFERROR(INDEX(Pedidos!$C$2:$C$1801,MATCH(B2086,Pedidos!$A$2:$A$1801,0)),"")</f>
        <v/>
      </c>
      <c r="K2086" s="21">
        <f>IFERROR(INDEX(Pedidos!$D$2:$D$1801,MATCH(B2086,Pedidos!$A$2:$A$1801,0)),"")</f>
        <v/>
      </c>
      <c r="L2086" s="21">
        <f>IFERROR(INDEX(Pedidos!$F$2:$F$1801,MATCH(B2086,Pedidos!$A$2:$A$1801,0)),"")</f>
        <v/>
      </c>
      <c r="M2086" s="22">
        <f>IFERROR(INDEX(Pedidos!$G$2:$G$1801,MATCH(B2086,Pedidos!$A$2:$A$1801,0)),0)</f>
        <v/>
      </c>
      <c r="N2086" s="21">
        <f>IFERROR(INDEX(Produtos!$B$2:$B$71,MATCH(C2086,Produtos!$A$2:$A$71,0)),"")</f>
        <v/>
      </c>
      <c r="O2086" s="21">
        <f>IFERROR(INDEX(Produtos!$C$2:$C$71,MATCH(C2086,Produtos!$A$2:$A$71,0)),"")</f>
        <v/>
      </c>
      <c r="P2086" s="21">
        <f>IFERROR(INDEX(Produtos!$D$2:$D$71,MATCH(C2086,Produtos!$A$2:$A$71,0)),0)</f>
        <v/>
      </c>
      <c r="Q2086" s="21">
        <f>IFERROR(INDEX(Produtos!$E$2:$E$71,MATCH(C2086,Produtos!$A$2:$A$71,0)),0)</f>
        <v/>
      </c>
      <c r="R2086" s="23">
        <f>D2086*Q2086</f>
        <v/>
      </c>
      <c r="S2086" s="23">
        <f>R2086*E2086</f>
        <v/>
      </c>
      <c r="T2086" s="23">
        <f>(R2086-S2086)*M2086</f>
        <v/>
      </c>
      <c r="U2086" s="23">
        <f>R2086-S2086-T2086</f>
        <v/>
      </c>
      <c r="V2086" s="23">
        <f>D2086*P2086</f>
        <v/>
      </c>
      <c r="W2086" s="23">
        <f>U2086-V2086</f>
        <v/>
      </c>
      <c r="X2086" s="24">
        <f>IFERROR(W2086/U2086,0)</f>
        <v/>
      </c>
    </row>
    <row r="2087">
      <c r="A2087" s="25">
        <f>ItensPedido!A2087</f>
        <v/>
      </c>
      <c r="B2087" s="25">
        <f>ItensPedido!B2087</f>
        <v/>
      </c>
      <c r="C2087" s="25">
        <f>ItensPedido!C2087</f>
        <v/>
      </c>
      <c r="D2087" s="25">
        <f>ItensPedido!D2087</f>
        <v/>
      </c>
      <c r="E2087" s="26">
        <f>ItensPedido!E2087</f>
        <v/>
      </c>
      <c r="F2087" s="25">
        <f>IFERROR(INDEX(Pedidos!$B$2:$B$1801,MATCH(B2087,Pedidos!$A$2:$A$1801,0)),0)</f>
        <v/>
      </c>
      <c r="G2087" s="25">
        <f>IF(F2087=0,"",YEAR(F2087))</f>
        <v/>
      </c>
      <c r="H2087" s="25">
        <f>IF(F2087=0,"",MONTH(F2087))</f>
        <v/>
      </c>
      <c r="I2087" s="25">
        <f>IFERROR(INDEX(Pedidos!$E$2:$E$1801,MATCH(B2087,Pedidos!$A$2:$A$1801,0)),"")</f>
        <v/>
      </c>
      <c r="J2087" s="25">
        <f>IFERROR(INDEX(Pedidos!$C$2:$C$1801,MATCH(B2087,Pedidos!$A$2:$A$1801,0)),"")</f>
        <v/>
      </c>
      <c r="K2087" s="25">
        <f>IFERROR(INDEX(Pedidos!$D$2:$D$1801,MATCH(B2087,Pedidos!$A$2:$A$1801,0)),"")</f>
        <v/>
      </c>
      <c r="L2087" s="25">
        <f>IFERROR(INDEX(Pedidos!$F$2:$F$1801,MATCH(B2087,Pedidos!$A$2:$A$1801,0)),"")</f>
        <v/>
      </c>
      <c r="M2087" s="26">
        <f>IFERROR(INDEX(Pedidos!$G$2:$G$1801,MATCH(B2087,Pedidos!$A$2:$A$1801,0)),0)</f>
        <v/>
      </c>
      <c r="N2087" s="25">
        <f>IFERROR(INDEX(Produtos!$B$2:$B$71,MATCH(C2087,Produtos!$A$2:$A$71,0)),"")</f>
        <v/>
      </c>
      <c r="O2087" s="25">
        <f>IFERROR(INDEX(Produtos!$C$2:$C$71,MATCH(C2087,Produtos!$A$2:$A$71,0)),"")</f>
        <v/>
      </c>
      <c r="P2087" s="25">
        <f>IFERROR(INDEX(Produtos!$D$2:$D$71,MATCH(C2087,Produtos!$A$2:$A$71,0)),0)</f>
        <v/>
      </c>
      <c r="Q2087" s="25">
        <f>IFERROR(INDEX(Produtos!$E$2:$E$71,MATCH(C2087,Produtos!$A$2:$A$71,0)),0)</f>
        <v/>
      </c>
      <c r="R2087" s="27">
        <f>D2087*Q2087</f>
        <v/>
      </c>
      <c r="S2087" s="27">
        <f>R2087*E2087</f>
        <v/>
      </c>
      <c r="T2087" s="27">
        <f>(R2087-S2087)*M2087</f>
        <v/>
      </c>
      <c r="U2087" s="27">
        <f>R2087-S2087-T2087</f>
        <v/>
      </c>
      <c r="V2087" s="27">
        <f>D2087*P2087</f>
        <v/>
      </c>
      <c r="W2087" s="27">
        <f>U2087-V2087</f>
        <v/>
      </c>
      <c r="X2087" s="28">
        <f>IFERROR(W2087/U2087,0)</f>
        <v/>
      </c>
    </row>
    <row r="2088">
      <c r="A2088" s="21">
        <f>ItensPedido!A2088</f>
        <v/>
      </c>
      <c r="B2088" s="21">
        <f>ItensPedido!B2088</f>
        <v/>
      </c>
      <c r="C2088" s="21">
        <f>ItensPedido!C2088</f>
        <v/>
      </c>
      <c r="D2088" s="21">
        <f>ItensPedido!D2088</f>
        <v/>
      </c>
      <c r="E2088" s="22">
        <f>ItensPedido!E2088</f>
        <v/>
      </c>
      <c r="F2088" s="21">
        <f>IFERROR(INDEX(Pedidos!$B$2:$B$1801,MATCH(B2088,Pedidos!$A$2:$A$1801,0)),0)</f>
        <v/>
      </c>
      <c r="G2088" s="21">
        <f>IF(F2088=0,"",YEAR(F2088))</f>
        <v/>
      </c>
      <c r="H2088" s="21">
        <f>IF(F2088=0,"",MONTH(F2088))</f>
        <v/>
      </c>
      <c r="I2088" s="21">
        <f>IFERROR(INDEX(Pedidos!$E$2:$E$1801,MATCH(B2088,Pedidos!$A$2:$A$1801,0)),"")</f>
        <v/>
      </c>
      <c r="J2088" s="21">
        <f>IFERROR(INDEX(Pedidos!$C$2:$C$1801,MATCH(B2088,Pedidos!$A$2:$A$1801,0)),"")</f>
        <v/>
      </c>
      <c r="K2088" s="21">
        <f>IFERROR(INDEX(Pedidos!$D$2:$D$1801,MATCH(B2088,Pedidos!$A$2:$A$1801,0)),"")</f>
        <v/>
      </c>
      <c r="L2088" s="21">
        <f>IFERROR(INDEX(Pedidos!$F$2:$F$1801,MATCH(B2088,Pedidos!$A$2:$A$1801,0)),"")</f>
        <v/>
      </c>
      <c r="M2088" s="22">
        <f>IFERROR(INDEX(Pedidos!$G$2:$G$1801,MATCH(B2088,Pedidos!$A$2:$A$1801,0)),0)</f>
        <v/>
      </c>
      <c r="N2088" s="21">
        <f>IFERROR(INDEX(Produtos!$B$2:$B$71,MATCH(C2088,Produtos!$A$2:$A$71,0)),"")</f>
        <v/>
      </c>
      <c r="O2088" s="21">
        <f>IFERROR(INDEX(Produtos!$C$2:$C$71,MATCH(C2088,Produtos!$A$2:$A$71,0)),"")</f>
        <v/>
      </c>
      <c r="P2088" s="21">
        <f>IFERROR(INDEX(Produtos!$D$2:$D$71,MATCH(C2088,Produtos!$A$2:$A$71,0)),0)</f>
        <v/>
      </c>
      <c r="Q2088" s="21">
        <f>IFERROR(INDEX(Produtos!$E$2:$E$71,MATCH(C2088,Produtos!$A$2:$A$71,0)),0)</f>
        <v/>
      </c>
      <c r="R2088" s="23">
        <f>D2088*Q2088</f>
        <v/>
      </c>
      <c r="S2088" s="23">
        <f>R2088*E2088</f>
        <v/>
      </c>
      <c r="T2088" s="23">
        <f>(R2088-S2088)*M2088</f>
        <v/>
      </c>
      <c r="U2088" s="23">
        <f>R2088-S2088-T2088</f>
        <v/>
      </c>
      <c r="V2088" s="23">
        <f>D2088*P2088</f>
        <v/>
      </c>
      <c r="W2088" s="23">
        <f>U2088-V2088</f>
        <v/>
      </c>
      <c r="X2088" s="24">
        <f>IFERROR(W2088/U2088,0)</f>
        <v/>
      </c>
    </row>
    <row r="2089">
      <c r="A2089" s="25">
        <f>ItensPedido!A2089</f>
        <v/>
      </c>
      <c r="B2089" s="25">
        <f>ItensPedido!B2089</f>
        <v/>
      </c>
      <c r="C2089" s="25">
        <f>ItensPedido!C2089</f>
        <v/>
      </c>
      <c r="D2089" s="25">
        <f>ItensPedido!D2089</f>
        <v/>
      </c>
      <c r="E2089" s="26">
        <f>ItensPedido!E2089</f>
        <v/>
      </c>
      <c r="F2089" s="25">
        <f>IFERROR(INDEX(Pedidos!$B$2:$B$1801,MATCH(B2089,Pedidos!$A$2:$A$1801,0)),0)</f>
        <v/>
      </c>
      <c r="G2089" s="25">
        <f>IF(F2089=0,"",YEAR(F2089))</f>
        <v/>
      </c>
      <c r="H2089" s="25">
        <f>IF(F2089=0,"",MONTH(F2089))</f>
        <v/>
      </c>
      <c r="I2089" s="25">
        <f>IFERROR(INDEX(Pedidos!$E$2:$E$1801,MATCH(B2089,Pedidos!$A$2:$A$1801,0)),"")</f>
        <v/>
      </c>
      <c r="J2089" s="25">
        <f>IFERROR(INDEX(Pedidos!$C$2:$C$1801,MATCH(B2089,Pedidos!$A$2:$A$1801,0)),"")</f>
        <v/>
      </c>
      <c r="K2089" s="25">
        <f>IFERROR(INDEX(Pedidos!$D$2:$D$1801,MATCH(B2089,Pedidos!$A$2:$A$1801,0)),"")</f>
        <v/>
      </c>
      <c r="L2089" s="25">
        <f>IFERROR(INDEX(Pedidos!$F$2:$F$1801,MATCH(B2089,Pedidos!$A$2:$A$1801,0)),"")</f>
        <v/>
      </c>
      <c r="M2089" s="26">
        <f>IFERROR(INDEX(Pedidos!$G$2:$G$1801,MATCH(B2089,Pedidos!$A$2:$A$1801,0)),0)</f>
        <v/>
      </c>
      <c r="N2089" s="25">
        <f>IFERROR(INDEX(Produtos!$B$2:$B$71,MATCH(C2089,Produtos!$A$2:$A$71,0)),"")</f>
        <v/>
      </c>
      <c r="O2089" s="25">
        <f>IFERROR(INDEX(Produtos!$C$2:$C$71,MATCH(C2089,Produtos!$A$2:$A$71,0)),"")</f>
        <v/>
      </c>
      <c r="P2089" s="25">
        <f>IFERROR(INDEX(Produtos!$D$2:$D$71,MATCH(C2089,Produtos!$A$2:$A$71,0)),0)</f>
        <v/>
      </c>
      <c r="Q2089" s="25">
        <f>IFERROR(INDEX(Produtos!$E$2:$E$71,MATCH(C2089,Produtos!$A$2:$A$71,0)),0)</f>
        <v/>
      </c>
      <c r="R2089" s="27">
        <f>D2089*Q2089</f>
        <v/>
      </c>
      <c r="S2089" s="27">
        <f>R2089*E2089</f>
        <v/>
      </c>
      <c r="T2089" s="27">
        <f>(R2089-S2089)*M2089</f>
        <v/>
      </c>
      <c r="U2089" s="27">
        <f>R2089-S2089-T2089</f>
        <v/>
      </c>
      <c r="V2089" s="27">
        <f>D2089*P2089</f>
        <v/>
      </c>
      <c r="W2089" s="27">
        <f>U2089-V2089</f>
        <v/>
      </c>
      <c r="X2089" s="28">
        <f>IFERROR(W2089/U2089,0)</f>
        <v/>
      </c>
    </row>
    <row r="2090">
      <c r="A2090" s="21">
        <f>ItensPedido!A2090</f>
        <v/>
      </c>
      <c r="B2090" s="21">
        <f>ItensPedido!B2090</f>
        <v/>
      </c>
      <c r="C2090" s="21">
        <f>ItensPedido!C2090</f>
        <v/>
      </c>
      <c r="D2090" s="21">
        <f>ItensPedido!D2090</f>
        <v/>
      </c>
      <c r="E2090" s="22">
        <f>ItensPedido!E2090</f>
        <v/>
      </c>
      <c r="F2090" s="21">
        <f>IFERROR(INDEX(Pedidos!$B$2:$B$1801,MATCH(B2090,Pedidos!$A$2:$A$1801,0)),0)</f>
        <v/>
      </c>
      <c r="G2090" s="21">
        <f>IF(F2090=0,"",YEAR(F2090))</f>
        <v/>
      </c>
      <c r="H2090" s="21">
        <f>IF(F2090=0,"",MONTH(F2090))</f>
        <v/>
      </c>
      <c r="I2090" s="21">
        <f>IFERROR(INDEX(Pedidos!$E$2:$E$1801,MATCH(B2090,Pedidos!$A$2:$A$1801,0)),"")</f>
        <v/>
      </c>
      <c r="J2090" s="21">
        <f>IFERROR(INDEX(Pedidos!$C$2:$C$1801,MATCH(B2090,Pedidos!$A$2:$A$1801,0)),"")</f>
        <v/>
      </c>
      <c r="K2090" s="21">
        <f>IFERROR(INDEX(Pedidos!$D$2:$D$1801,MATCH(B2090,Pedidos!$A$2:$A$1801,0)),"")</f>
        <v/>
      </c>
      <c r="L2090" s="21">
        <f>IFERROR(INDEX(Pedidos!$F$2:$F$1801,MATCH(B2090,Pedidos!$A$2:$A$1801,0)),"")</f>
        <v/>
      </c>
      <c r="M2090" s="22">
        <f>IFERROR(INDEX(Pedidos!$G$2:$G$1801,MATCH(B2090,Pedidos!$A$2:$A$1801,0)),0)</f>
        <v/>
      </c>
      <c r="N2090" s="21">
        <f>IFERROR(INDEX(Produtos!$B$2:$B$71,MATCH(C2090,Produtos!$A$2:$A$71,0)),"")</f>
        <v/>
      </c>
      <c r="O2090" s="21">
        <f>IFERROR(INDEX(Produtos!$C$2:$C$71,MATCH(C2090,Produtos!$A$2:$A$71,0)),"")</f>
        <v/>
      </c>
      <c r="P2090" s="21">
        <f>IFERROR(INDEX(Produtos!$D$2:$D$71,MATCH(C2090,Produtos!$A$2:$A$71,0)),0)</f>
        <v/>
      </c>
      <c r="Q2090" s="21">
        <f>IFERROR(INDEX(Produtos!$E$2:$E$71,MATCH(C2090,Produtos!$A$2:$A$71,0)),0)</f>
        <v/>
      </c>
      <c r="R2090" s="23">
        <f>D2090*Q2090</f>
        <v/>
      </c>
      <c r="S2090" s="23">
        <f>R2090*E2090</f>
        <v/>
      </c>
      <c r="T2090" s="23">
        <f>(R2090-S2090)*M2090</f>
        <v/>
      </c>
      <c r="U2090" s="23">
        <f>R2090-S2090-T2090</f>
        <v/>
      </c>
      <c r="V2090" s="23">
        <f>D2090*P2090</f>
        <v/>
      </c>
      <c r="W2090" s="23">
        <f>U2090-V2090</f>
        <v/>
      </c>
      <c r="X2090" s="24">
        <f>IFERROR(W2090/U2090,0)</f>
        <v/>
      </c>
    </row>
    <row r="2091">
      <c r="A2091" s="25">
        <f>ItensPedido!A2091</f>
        <v/>
      </c>
      <c r="B2091" s="25">
        <f>ItensPedido!B2091</f>
        <v/>
      </c>
      <c r="C2091" s="25">
        <f>ItensPedido!C2091</f>
        <v/>
      </c>
      <c r="D2091" s="25">
        <f>ItensPedido!D2091</f>
        <v/>
      </c>
      <c r="E2091" s="26">
        <f>ItensPedido!E2091</f>
        <v/>
      </c>
      <c r="F2091" s="25">
        <f>IFERROR(INDEX(Pedidos!$B$2:$B$1801,MATCH(B2091,Pedidos!$A$2:$A$1801,0)),0)</f>
        <v/>
      </c>
      <c r="G2091" s="25">
        <f>IF(F2091=0,"",YEAR(F2091))</f>
        <v/>
      </c>
      <c r="H2091" s="25">
        <f>IF(F2091=0,"",MONTH(F2091))</f>
        <v/>
      </c>
      <c r="I2091" s="25">
        <f>IFERROR(INDEX(Pedidos!$E$2:$E$1801,MATCH(B2091,Pedidos!$A$2:$A$1801,0)),"")</f>
        <v/>
      </c>
      <c r="J2091" s="25">
        <f>IFERROR(INDEX(Pedidos!$C$2:$C$1801,MATCH(B2091,Pedidos!$A$2:$A$1801,0)),"")</f>
        <v/>
      </c>
      <c r="K2091" s="25">
        <f>IFERROR(INDEX(Pedidos!$D$2:$D$1801,MATCH(B2091,Pedidos!$A$2:$A$1801,0)),"")</f>
        <v/>
      </c>
      <c r="L2091" s="25">
        <f>IFERROR(INDEX(Pedidos!$F$2:$F$1801,MATCH(B2091,Pedidos!$A$2:$A$1801,0)),"")</f>
        <v/>
      </c>
      <c r="M2091" s="26">
        <f>IFERROR(INDEX(Pedidos!$G$2:$G$1801,MATCH(B2091,Pedidos!$A$2:$A$1801,0)),0)</f>
        <v/>
      </c>
      <c r="N2091" s="25">
        <f>IFERROR(INDEX(Produtos!$B$2:$B$71,MATCH(C2091,Produtos!$A$2:$A$71,0)),"")</f>
        <v/>
      </c>
      <c r="O2091" s="25">
        <f>IFERROR(INDEX(Produtos!$C$2:$C$71,MATCH(C2091,Produtos!$A$2:$A$71,0)),"")</f>
        <v/>
      </c>
      <c r="P2091" s="25">
        <f>IFERROR(INDEX(Produtos!$D$2:$D$71,MATCH(C2091,Produtos!$A$2:$A$71,0)),0)</f>
        <v/>
      </c>
      <c r="Q2091" s="25">
        <f>IFERROR(INDEX(Produtos!$E$2:$E$71,MATCH(C2091,Produtos!$A$2:$A$71,0)),0)</f>
        <v/>
      </c>
      <c r="R2091" s="27">
        <f>D2091*Q2091</f>
        <v/>
      </c>
      <c r="S2091" s="27">
        <f>R2091*E2091</f>
        <v/>
      </c>
      <c r="T2091" s="27">
        <f>(R2091-S2091)*M2091</f>
        <v/>
      </c>
      <c r="U2091" s="27">
        <f>R2091-S2091-T2091</f>
        <v/>
      </c>
      <c r="V2091" s="27">
        <f>D2091*P2091</f>
        <v/>
      </c>
      <c r="W2091" s="27">
        <f>U2091-V2091</f>
        <v/>
      </c>
      <c r="X2091" s="28">
        <f>IFERROR(W2091/U2091,0)</f>
        <v/>
      </c>
    </row>
    <row r="2092">
      <c r="A2092" s="21">
        <f>ItensPedido!A2092</f>
        <v/>
      </c>
      <c r="B2092" s="21">
        <f>ItensPedido!B2092</f>
        <v/>
      </c>
      <c r="C2092" s="21">
        <f>ItensPedido!C2092</f>
        <v/>
      </c>
      <c r="D2092" s="21">
        <f>ItensPedido!D2092</f>
        <v/>
      </c>
      <c r="E2092" s="22">
        <f>ItensPedido!E2092</f>
        <v/>
      </c>
      <c r="F2092" s="21">
        <f>IFERROR(INDEX(Pedidos!$B$2:$B$1801,MATCH(B2092,Pedidos!$A$2:$A$1801,0)),0)</f>
        <v/>
      </c>
      <c r="G2092" s="21">
        <f>IF(F2092=0,"",YEAR(F2092))</f>
        <v/>
      </c>
      <c r="H2092" s="21">
        <f>IF(F2092=0,"",MONTH(F2092))</f>
        <v/>
      </c>
      <c r="I2092" s="21">
        <f>IFERROR(INDEX(Pedidos!$E$2:$E$1801,MATCH(B2092,Pedidos!$A$2:$A$1801,0)),"")</f>
        <v/>
      </c>
      <c r="J2092" s="21">
        <f>IFERROR(INDEX(Pedidos!$C$2:$C$1801,MATCH(B2092,Pedidos!$A$2:$A$1801,0)),"")</f>
        <v/>
      </c>
      <c r="K2092" s="21">
        <f>IFERROR(INDEX(Pedidos!$D$2:$D$1801,MATCH(B2092,Pedidos!$A$2:$A$1801,0)),"")</f>
        <v/>
      </c>
      <c r="L2092" s="21">
        <f>IFERROR(INDEX(Pedidos!$F$2:$F$1801,MATCH(B2092,Pedidos!$A$2:$A$1801,0)),"")</f>
        <v/>
      </c>
      <c r="M2092" s="22">
        <f>IFERROR(INDEX(Pedidos!$G$2:$G$1801,MATCH(B2092,Pedidos!$A$2:$A$1801,0)),0)</f>
        <v/>
      </c>
      <c r="N2092" s="21">
        <f>IFERROR(INDEX(Produtos!$B$2:$B$71,MATCH(C2092,Produtos!$A$2:$A$71,0)),"")</f>
        <v/>
      </c>
      <c r="O2092" s="21">
        <f>IFERROR(INDEX(Produtos!$C$2:$C$71,MATCH(C2092,Produtos!$A$2:$A$71,0)),"")</f>
        <v/>
      </c>
      <c r="P2092" s="21">
        <f>IFERROR(INDEX(Produtos!$D$2:$D$71,MATCH(C2092,Produtos!$A$2:$A$71,0)),0)</f>
        <v/>
      </c>
      <c r="Q2092" s="21">
        <f>IFERROR(INDEX(Produtos!$E$2:$E$71,MATCH(C2092,Produtos!$A$2:$A$71,0)),0)</f>
        <v/>
      </c>
      <c r="R2092" s="23">
        <f>D2092*Q2092</f>
        <v/>
      </c>
      <c r="S2092" s="23">
        <f>R2092*E2092</f>
        <v/>
      </c>
      <c r="T2092" s="23">
        <f>(R2092-S2092)*M2092</f>
        <v/>
      </c>
      <c r="U2092" s="23">
        <f>R2092-S2092-T2092</f>
        <v/>
      </c>
      <c r="V2092" s="23">
        <f>D2092*P2092</f>
        <v/>
      </c>
      <c r="W2092" s="23">
        <f>U2092-V2092</f>
        <v/>
      </c>
      <c r="X2092" s="24">
        <f>IFERROR(W2092/U2092,0)</f>
        <v/>
      </c>
    </row>
    <row r="2093">
      <c r="A2093" s="25">
        <f>ItensPedido!A2093</f>
        <v/>
      </c>
      <c r="B2093" s="25">
        <f>ItensPedido!B2093</f>
        <v/>
      </c>
      <c r="C2093" s="25">
        <f>ItensPedido!C2093</f>
        <v/>
      </c>
      <c r="D2093" s="25">
        <f>ItensPedido!D2093</f>
        <v/>
      </c>
      <c r="E2093" s="26">
        <f>ItensPedido!E2093</f>
        <v/>
      </c>
      <c r="F2093" s="25">
        <f>IFERROR(INDEX(Pedidos!$B$2:$B$1801,MATCH(B2093,Pedidos!$A$2:$A$1801,0)),0)</f>
        <v/>
      </c>
      <c r="G2093" s="25">
        <f>IF(F2093=0,"",YEAR(F2093))</f>
        <v/>
      </c>
      <c r="H2093" s="25">
        <f>IF(F2093=0,"",MONTH(F2093))</f>
        <v/>
      </c>
      <c r="I2093" s="25">
        <f>IFERROR(INDEX(Pedidos!$E$2:$E$1801,MATCH(B2093,Pedidos!$A$2:$A$1801,0)),"")</f>
        <v/>
      </c>
      <c r="J2093" s="25">
        <f>IFERROR(INDEX(Pedidos!$C$2:$C$1801,MATCH(B2093,Pedidos!$A$2:$A$1801,0)),"")</f>
        <v/>
      </c>
      <c r="K2093" s="25">
        <f>IFERROR(INDEX(Pedidos!$D$2:$D$1801,MATCH(B2093,Pedidos!$A$2:$A$1801,0)),"")</f>
        <v/>
      </c>
      <c r="L2093" s="25">
        <f>IFERROR(INDEX(Pedidos!$F$2:$F$1801,MATCH(B2093,Pedidos!$A$2:$A$1801,0)),"")</f>
        <v/>
      </c>
      <c r="M2093" s="26">
        <f>IFERROR(INDEX(Pedidos!$G$2:$G$1801,MATCH(B2093,Pedidos!$A$2:$A$1801,0)),0)</f>
        <v/>
      </c>
      <c r="N2093" s="25">
        <f>IFERROR(INDEX(Produtos!$B$2:$B$71,MATCH(C2093,Produtos!$A$2:$A$71,0)),"")</f>
        <v/>
      </c>
      <c r="O2093" s="25">
        <f>IFERROR(INDEX(Produtos!$C$2:$C$71,MATCH(C2093,Produtos!$A$2:$A$71,0)),"")</f>
        <v/>
      </c>
      <c r="P2093" s="25">
        <f>IFERROR(INDEX(Produtos!$D$2:$D$71,MATCH(C2093,Produtos!$A$2:$A$71,0)),0)</f>
        <v/>
      </c>
      <c r="Q2093" s="25">
        <f>IFERROR(INDEX(Produtos!$E$2:$E$71,MATCH(C2093,Produtos!$A$2:$A$71,0)),0)</f>
        <v/>
      </c>
      <c r="R2093" s="27">
        <f>D2093*Q2093</f>
        <v/>
      </c>
      <c r="S2093" s="27">
        <f>R2093*E2093</f>
        <v/>
      </c>
      <c r="T2093" s="27">
        <f>(R2093-S2093)*M2093</f>
        <v/>
      </c>
      <c r="U2093" s="27">
        <f>R2093-S2093-T2093</f>
        <v/>
      </c>
      <c r="V2093" s="27">
        <f>D2093*P2093</f>
        <v/>
      </c>
      <c r="W2093" s="27">
        <f>U2093-V2093</f>
        <v/>
      </c>
      <c r="X2093" s="28">
        <f>IFERROR(W2093/U2093,0)</f>
        <v/>
      </c>
    </row>
    <row r="2094">
      <c r="A2094" s="21">
        <f>ItensPedido!A2094</f>
        <v/>
      </c>
      <c r="B2094" s="21">
        <f>ItensPedido!B2094</f>
        <v/>
      </c>
      <c r="C2094" s="21">
        <f>ItensPedido!C2094</f>
        <v/>
      </c>
      <c r="D2094" s="21">
        <f>ItensPedido!D2094</f>
        <v/>
      </c>
      <c r="E2094" s="22">
        <f>ItensPedido!E2094</f>
        <v/>
      </c>
      <c r="F2094" s="21">
        <f>IFERROR(INDEX(Pedidos!$B$2:$B$1801,MATCH(B2094,Pedidos!$A$2:$A$1801,0)),0)</f>
        <v/>
      </c>
      <c r="G2094" s="21">
        <f>IF(F2094=0,"",YEAR(F2094))</f>
        <v/>
      </c>
      <c r="H2094" s="21">
        <f>IF(F2094=0,"",MONTH(F2094))</f>
        <v/>
      </c>
      <c r="I2094" s="21">
        <f>IFERROR(INDEX(Pedidos!$E$2:$E$1801,MATCH(B2094,Pedidos!$A$2:$A$1801,0)),"")</f>
        <v/>
      </c>
      <c r="J2094" s="21">
        <f>IFERROR(INDEX(Pedidos!$C$2:$C$1801,MATCH(B2094,Pedidos!$A$2:$A$1801,0)),"")</f>
        <v/>
      </c>
      <c r="K2094" s="21">
        <f>IFERROR(INDEX(Pedidos!$D$2:$D$1801,MATCH(B2094,Pedidos!$A$2:$A$1801,0)),"")</f>
        <v/>
      </c>
      <c r="L2094" s="21">
        <f>IFERROR(INDEX(Pedidos!$F$2:$F$1801,MATCH(B2094,Pedidos!$A$2:$A$1801,0)),"")</f>
        <v/>
      </c>
      <c r="M2094" s="22">
        <f>IFERROR(INDEX(Pedidos!$G$2:$G$1801,MATCH(B2094,Pedidos!$A$2:$A$1801,0)),0)</f>
        <v/>
      </c>
      <c r="N2094" s="21">
        <f>IFERROR(INDEX(Produtos!$B$2:$B$71,MATCH(C2094,Produtos!$A$2:$A$71,0)),"")</f>
        <v/>
      </c>
      <c r="O2094" s="21">
        <f>IFERROR(INDEX(Produtos!$C$2:$C$71,MATCH(C2094,Produtos!$A$2:$A$71,0)),"")</f>
        <v/>
      </c>
      <c r="P2094" s="21">
        <f>IFERROR(INDEX(Produtos!$D$2:$D$71,MATCH(C2094,Produtos!$A$2:$A$71,0)),0)</f>
        <v/>
      </c>
      <c r="Q2094" s="21">
        <f>IFERROR(INDEX(Produtos!$E$2:$E$71,MATCH(C2094,Produtos!$A$2:$A$71,0)),0)</f>
        <v/>
      </c>
      <c r="R2094" s="23">
        <f>D2094*Q2094</f>
        <v/>
      </c>
      <c r="S2094" s="23">
        <f>R2094*E2094</f>
        <v/>
      </c>
      <c r="T2094" s="23">
        <f>(R2094-S2094)*M2094</f>
        <v/>
      </c>
      <c r="U2094" s="23">
        <f>R2094-S2094-T2094</f>
        <v/>
      </c>
      <c r="V2094" s="23">
        <f>D2094*P2094</f>
        <v/>
      </c>
      <c r="W2094" s="23">
        <f>U2094-V2094</f>
        <v/>
      </c>
      <c r="X2094" s="24">
        <f>IFERROR(W2094/U2094,0)</f>
        <v/>
      </c>
    </row>
    <row r="2095">
      <c r="A2095" s="25">
        <f>ItensPedido!A2095</f>
        <v/>
      </c>
      <c r="B2095" s="25">
        <f>ItensPedido!B2095</f>
        <v/>
      </c>
      <c r="C2095" s="25">
        <f>ItensPedido!C2095</f>
        <v/>
      </c>
      <c r="D2095" s="25">
        <f>ItensPedido!D2095</f>
        <v/>
      </c>
      <c r="E2095" s="26">
        <f>ItensPedido!E2095</f>
        <v/>
      </c>
      <c r="F2095" s="25">
        <f>IFERROR(INDEX(Pedidos!$B$2:$B$1801,MATCH(B2095,Pedidos!$A$2:$A$1801,0)),0)</f>
        <v/>
      </c>
      <c r="G2095" s="25">
        <f>IF(F2095=0,"",YEAR(F2095))</f>
        <v/>
      </c>
      <c r="H2095" s="25">
        <f>IF(F2095=0,"",MONTH(F2095))</f>
        <v/>
      </c>
      <c r="I2095" s="25">
        <f>IFERROR(INDEX(Pedidos!$E$2:$E$1801,MATCH(B2095,Pedidos!$A$2:$A$1801,0)),"")</f>
        <v/>
      </c>
      <c r="J2095" s="25">
        <f>IFERROR(INDEX(Pedidos!$C$2:$C$1801,MATCH(B2095,Pedidos!$A$2:$A$1801,0)),"")</f>
        <v/>
      </c>
      <c r="K2095" s="25">
        <f>IFERROR(INDEX(Pedidos!$D$2:$D$1801,MATCH(B2095,Pedidos!$A$2:$A$1801,0)),"")</f>
        <v/>
      </c>
      <c r="L2095" s="25">
        <f>IFERROR(INDEX(Pedidos!$F$2:$F$1801,MATCH(B2095,Pedidos!$A$2:$A$1801,0)),"")</f>
        <v/>
      </c>
      <c r="M2095" s="26">
        <f>IFERROR(INDEX(Pedidos!$G$2:$G$1801,MATCH(B2095,Pedidos!$A$2:$A$1801,0)),0)</f>
        <v/>
      </c>
      <c r="N2095" s="25">
        <f>IFERROR(INDEX(Produtos!$B$2:$B$71,MATCH(C2095,Produtos!$A$2:$A$71,0)),"")</f>
        <v/>
      </c>
      <c r="O2095" s="25">
        <f>IFERROR(INDEX(Produtos!$C$2:$C$71,MATCH(C2095,Produtos!$A$2:$A$71,0)),"")</f>
        <v/>
      </c>
      <c r="P2095" s="25">
        <f>IFERROR(INDEX(Produtos!$D$2:$D$71,MATCH(C2095,Produtos!$A$2:$A$71,0)),0)</f>
        <v/>
      </c>
      <c r="Q2095" s="25">
        <f>IFERROR(INDEX(Produtos!$E$2:$E$71,MATCH(C2095,Produtos!$A$2:$A$71,0)),0)</f>
        <v/>
      </c>
      <c r="R2095" s="27">
        <f>D2095*Q2095</f>
        <v/>
      </c>
      <c r="S2095" s="27">
        <f>R2095*E2095</f>
        <v/>
      </c>
      <c r="T2095" s="27">
        <f>(R2095-S2095)*M2095</f>
        <v/>
      </c>
      <c r="U2095" s="27">
        <f>R2095-S2095-T2095</f>
        <v/>
      </c>
      <c r="V2095" s="27">
        <f>D2095*P2095</f>
        <v/>
      </c>
      <c r="W2095" s="27">
        <f>U2095-V2095</f>
        <v/>
      </c>
      <c r="X2095" s="28">
        <f>IFERROR(W2095/U2095,0)</f>
        <v/>
      </c>
    </row>
    <row r="2096">
      <c r="A2096" s="21">
        <f>ItensPedido!A2096</f>
        <v/>
      </c>
      <c r="B2096" s="21">
        <f>ItensPedido!B2096</f>
        <v/>
      </c>
      <c r="C2096" s="21">
        <f>ItensPedido!C2096</f>
        <v/>
      </c>
      <c r="D2096" s="21">
        <f>ItensPedido!D2096</f>
        <v/>
      </c>
      <c r="E2096" s="22">
        <f>ItensPedido!E2096</f>
        <v/>
      </c>
      <c r="F2096" s="21">
        <f>IFERROR(INDEX(Pedidos!$B$2:$B$1801,MATCH(B2096,Pedidos!$A$2:$A$1801,0)),0)</f>
        <v/>
      </c>
      <c r="G2096" s="21">
        <f>IF(F2096=0,"",YEAR(F2096))</f>
        <v/>
      </c>
      <c r="H2096" s="21">
        <f>IF(F2096=0,"",MONTH(F2096))</f>
        <v/>
      </c>
      <c r="I2096" s="21">
        <f>IFERROR(INDEX(Pedidos!$E$2:$E$1801,MATCH(B2096,Pedidos!$A$2:$A$1801,0)),"")</f>
        <v/>
      </c>
      <c r="J2096" s="21">
        <f>IFERROR(INDEX(Pedidos!$C$2:$C$1801,MATCH(B2096,Pedidos!$A$2:$A$1801,0)),"")</f>
        <v/>
      </c>
      <c r="K2096" s="21">
        <f>IFERROR(INDEX(Pedidos!$D$2:$D$1801,MATCH(B2096,Pedidos!$A$2:$A$1801,0)),"")</f>
        <v/>
      </c>
      <c r="L2096" s="21">
        <f>IFERROR(INDEX(Pedidos!$F$2:$F$1801,MATCH(B2096,Pedidos!$A$2:$A$1801,0)),"")</f>
        <v/>
      </c>
      <c r="M2096" s="22">
        <f>IFERROR(INDEX(Pedidos!$G$2:$G$1801,MATCH(B2096,Pedidos!$A$2:$A$1801,0)),0)</f>
        <v/>
      </c>
      <c r="N2096" s="21">
        <f>IFERROR(INDEX(Produtos!$B$2:$B$71,MATCH(C2096,Produtos!$A$2:$A$71,0)),"")</f>
        <v/>
      </c>
      <c r="O2096" s="21">
        <f>IFERROR(INDEX(Produtos!$C$2:$C$71,MATCH(C2096,Produtos!$A$2:$A$71,0)),"")</f>
        <v/>
      </c>
      <c r="P2096" s="21">
        <f>IFERROR(INDEX(Produtos!$D$2:$D$71,MATCH(C2096,Produtos!$A$2:$A$71,0)),0)</f>
        <v/>
      </c>
      <c r="Q2096" s="21">
        <f>IFERROR(INDEX(Produtos!$E$2:$E$71,MATCH(C2096,Produtos!$A$2:$A$71,0)),0)</f>
        <v/>
      </c>
      <c r="R2096" s="23">
        <f>D2096*Q2096</f>
        <v/>
      </c>
      <c r="S2096" s="23">
        <f>R2096*E2096</f>
        <v/>
      </c>
      <c r="T2096" s="23">
        <f>(R2096-S2096)*M2096</f>
        <v/>
      </c>
      <c r="U2096" s="23">
        <f>R2096-S2096-T2096</f>
        <v/>
      </c>
      <c r="V2096" s="23">
        <f>D2096*P2096</f>
        <v/>
      </c>
      <c r="W2096" s="23">
        <f>U2096-V2096</f>
        <v/>
      </c>
      <c r="X2096" s="24">
        <f>IFERROR(W2096/U2096,0)</f>
        <v/>
      </c>
    </row>
    <row r="2097">
      <c r="A2097" s="25">
        <f>ItensPedido!A2097</f>
        <v/>
      </c>
      <c r="B2097" s="25">
        <f>ItensPedido!B2097</f>
        <v/>
      </c>
      <c r="C2097" s="25">
        <f>ItensPedido!C2097</f>
        <v/>
      </c>
      <c r="D2097" s="25">
        <f>ItensPedido!D2097</f>
        <v/>
      </c>
      <c r="E2097" s="26">
        <f>ItensPedido!E2097</f>
        <v/>
      </c>
      <c r="F2097" s="25">
        <f>IFERROR(INDEX(Pedidos!$B$2:$B$1801,MATCH(B2097,Pedidos!$A$2:$A$1801,0)),0)</f>
        <v/>
      </c>
      <c r="G2097" s="25">
        <f>IF(F2097=0,"",YEAR(F2097))</f>
        <v/>
      </c>
      <c r="H2097" s="25">
        <f>IF(F2097=0,"",MONTH(F2097))</f>
        <v/>
      </c>
      <c r="I2097" s="25">
        <f>IFERROR(INDEX(Pedidos!$E$2:$E$1801,MATCH(B2097,Pedidos!$A$2:$A$1801,0)),"")</f>
        <v/>
      </c>
      <c r="J2097" s="25">
        <f>IFERROR(INDEX(Pedidos!$C$2:$C$1801,MATCH(B2097,Pedidos!$A$2:$A$1801,0)),"")</f>
        <v/>
      </c>
      <c r="K2097" s="25">
        <f>IFERROR(INDEX(Pedidos!$D$2:$D$1801,MATCH(B2097,Pedidos!$A$2:$A$1801,0)),"")</f>
        <v/>
      </c>
      <c r="L2097" s="25">
        <f>IFERROR(INDEX(Pedidos!$F$2:$F$1801,MATCH(B2097,Pedidos!$A$2:$A$1801,0)),"")</f>
        <v/>
      </c>
      <c r="M2097" s="26">
        <f>IFERROR(INDEX(Pedidos!$G$2:$G$1801,MATCH(B2097,Pedidos!$A$2:$A$1801,0)),0)</f>
        <v/>
      </c>
      <c r="N2097" s="25">
        <f>IFERROR(INDEX(Produtos!$B$2:$B$71,MATCH(C2097,Produtos!$A$2:$A$71,0)),"")</f>
        <v/>
      </c>
      <c r="O2097" s="25">
        <f>IFERROR(INDEX(Produtos!$C$2:$C$71,MATCH(C2097,Produtos!$A$2:$A$71,0)),"")</f>
        <v/>
      </c>
      <c r="P2097" s="25">
        <f>IFERROR(INDEX(Produtos!$D$2:$D$71,MATCH(C2097,Produtos!$A$2:$A$71,0)),0)</f>
        <v/>
      </c>
      <c r="Q2097" s="25">
        <f>IFERROR(INDEX(Produtos!$E$2:$E$71,MATCH(C2097,Produtos!$A$2:$A$71,0)),0)</f>
        <v/>
      </c>
      <c r="R2097" s="27">
        <f>D2097*Q2097</f>
        <v/>
      </c>
      <c r="S2097" s="27">
        <f>R2097*E2097</f>
        <v/>
      </c>
      <c r="T2097" s="27">
        <f>(R2097-S2097)*M2097</f>
        <v/>
      </c>
      <c r="U2097" s="27">
        <f>R2097-S2097-T2097</f>
        <v/>
      </c>
      <c r="V2097" s="27">
        <f>D2097*P2097</f>
        <v/>
      </c>
      <c r="W2097" s="27">
        <f>U2097-V2097</f>
        <v/>
      </c>
      <c r="X2097" s="28">
        <f>IFERROR(W2097/U2097,0)</f>
        <v/>
      </c>
    </row>
    <row r="2098">
      <c r="A2098" s="21">
        <f>ItensPedido!A2098</f>
        <v/>
      </c>
      <c r="B2098" s="21">
        <f>ItensPedido!B2098</f>
        <v/>
      </c>
      <c r="C2098" s="21">
        <f>ItensPedido!C2098</f>
        <v/>
      </c>
      <c r="D2098" s="21">
        <f>ItensPedido!D2098</f>
        <v/>
      </c>
      <c r="E2098" s="22">
        <f>ItensPedido!E2098</f>
        <v/>
      </c>
      <c r="F2098" s="21">
        <f>IFERROR(INDEX(Pedidos!$B$2:$B$1801,MATCH(B2098,Pedidos!$A$2:$A$1801,0)),0)</f>
        <v/>
      </c>
      <c r="G2098" s="21">
        <f>IF(F2098=0,"",YEAR(F2098))</f>
        <v/>
      </c>
      <c r="H2098" s="21">
        <f>IF(F2098=0,"",MONTH(F2098))</f>
        <v/>
      </c>
      <c r="I2098" s="21">
        <f>IFERROR(INDEX(Pedidos!$E$2:$E$1801,MATCH(B2098,Pedidos!$A$2:$A$1801,0)),"")</f>
        <v/>
      </c>
      <c r="J2098" s="21">
        <f>IFERROR(INDEX(Pedidos!$C$2:$C$1801,MATCH(B2098,Pedidos!$A$2:$A$1801,0)),"")</f>
        <v/>
      </c>
      <c r="K2098" s="21">
        <f>IFERROR(INDEX(Pedidos!$D$2:$D$1801,MATCH(B2098,Pedidos!$A$2:$A$1801,0)),"")</f>
        <v/>
      </c>
      <c r="L2098" s="21">
        <f>IFERROR(INDEX(Pedidos!$F$2:$F$1801,MATCH(B2098,Pedidos!$A$2:$A$1801,0)),"")</f>
        <v/>
      </c>
      <c r="M2098" s="22">
        <f>IFERROR(INDEX(Pedidos!$G$2:$G$1801,MATCH(B2098,Pedidos!$A$2:$A$1801,0)),0)</f>
        <v/>
      </c>
      <c r="N2098" s="21">
        <f>IFERROR(INDEX(Produtos!$B$2:$B$71,MATCH(C2098,Produtos!$A$2:$A$71,0)),"")</f>
        <v/>
      </c>
      <c r="O2098" s="21">
        <f>IFERROR(INDEX(Produtos!$C$2:$C$71,MATCH(C2098,Produtos!$A$2:$A$71,0)),"")</f>
        <v/>
      </c>
      <c r="P2098" s="21">
        <f>IFERROR(INDEX(Produtos!$D$2:$D$71,MATCH(C2098,Produtos!$A$2:$A$71,0)),0)</f>
        <v/>
      </c>
      <c r="Q2098" s="21">
        <f>IFERROR(INDEX(Produtos!$E$2:$E$71,MATCH(C2098,Produtos!$A$2:$A$71,0)),0)</f>
        <v/>
      </c>
      <c r="R2098" s="23">
        <f>D2098*Q2098</f>
        <v/>
      </c>
      <c r="S2098" s="23">
        <f>R2098*E2098</f>
        <v/>
      </c>
      <c r="T2098" s="23">
        <f>(R2098-S2098)*M2098</f>
        <v/>
      </c>
      <c r="U2098" s="23">
        <f>R2098-S2098-T2098</f>
        <v/>
      </c>
      <c r="V2098" s="23">
        <f>D2098*P2098</f>
        <v/>
      </c>
      <c r="W2098" s="23">
        <f>U2098-V2098</f>
        <v/>
      </c>
      <c r="X2098" s="24">
        <f>IFERROR(W2098/U2098,0)</f>
        <v/>
      </c>
    </row>
    <row r="2099">
      <c r="A2099" s="25">
        <f>ItensPedido!A2099</f>
        <v/>
      </c>
      <c r="B2099" s="25">
        <f>ItensPedido!B2099</f>
        <v/>
      </c>
      <c r="C2099" s="25">
        <f>ItensPedido!C2099</f>
        <v/>
      </c>
      <c r="D2099" s="25">
        <f>ItensPedido!D2099</f>
        <v/>
      </c>
      <c r="E2099" s="26">
        <f>ItensPedido!E2099</f>
        <v/>
      </c>
      <c r="F2099" s="25">
        <f>IFERROR(INDEX(Pedidos!$B$2:$B$1801,MATCH(B2099,Pedidos!$A$2:$A$1801,0)),0)</f>
        <v/>
      </c>
      <c r="G2099" s="25">
        <f>IF(F2099=0,"",YEAR(F2099))</f>
        <v/>
      </c>
      <c r="H2099" s="25">
        <f>IF(F2099=0,"",MONTH(F2099))</f>
        <v/>
      </c>
      <c r="I2099" s="25">
        <f>IFERROR(INDEX(Pedidos!$E$2:$E$1801,MATCH(B2099,Pedidos!$A$2:$A$1801,0)),"")</f>
        <v/>
      </c>
      <c r="J2099" s="25">
        <f>IFERROR(INDEX(Pedidos!$C$2:$C$1801,MATCH(B2099,Pedidos!$A$2:$A$1801,0)),"")</f>
        <v/>
      </c>
      <c r="K2099" s="25">
        <f>IFERROR(INDEX(Pedidos!$D$2:$D$1801,MATCH(B2099,Pedidos!$A$2:$A$1801,0)),"")</f>
        <v/>
      </c>
      <c r="L2099" s="25">
        <f>IFERROR(INDEX(Pedidos!$F$2:$F$1801,MATCH(B2099,Pedidos!$A$2:$A$1801,0)),"")</f>
        <v/>
      </c>
      <c r="M2099" s="26">
        <f>IFERROR(INDEX(Pedidos!$G$2:$G$1801,MATCH(B2099,Pedidos!$A$2:$A$1801,0)),0)</f>
        <v/>
      </c>
      <c r="N2099" s="25">
        <f>IFERROR(INDEX(Produtos!$B$2:$B$71,MATCH(C2099,Produtos!$A$2:$A$71,0)),"")</f>
        <v/>
      </c>
      <c r="O2099" s="25">
        <f>IFERROR(INDEX(Produtos!$C$2:$C$71,MATCH(C2099,Produtos!$A$2:$A$71,0)),"")</f>
        <v/>
      </c>
      <c r="P2099" s="25">
        <f>IFERROR(INDEX(Produtos!$D$2:$D$71,MATCH(C2099,Produtos!$A$2:$A$71,0)),0)</f>
        <v/>
      </c>
      <c r="Q2099" s="25">
        <f>IFERROR(INDEX(Produtos!$E$2:$E$71,MATCH(C2099,Produtos!$A$2:$A$71,0)),0)</f>
        <v/>
      </c>
      <c r="R2099" s="27">
        <f>D2099*Q2099</f>
        <v/>
      </c>
      <c r="S2099" s="27">
        <f>R2099*E2099</f>
        <v/>
      </c>
      <c r="T2099" s="27">
        <f>(R2099-S2099)*M2099</f>
        <v/>
      </c>
      <c r="U2099" s="27">
        <f>R2099-S2099-T2099</f>
        <v/>
      </c>
      <c r="V2099" s="27">
        <f>D2099*P2099</f>
        <v/>
      </c>
      <c r="W2099" s="27">
        <f>U2099-V2099</f>
        <v/>
      </c>
      <c r="X2099" s="28">
        <f>IFERROR(W2099/U2099,0)</f>
        <v/>
      </c>
    </row>
    <row r="2100">
      <c r="A2100" s="21">
        <f>ItensPedido!A2100</f>
        <v/>
      </c>
      <c r="B2100" s="21">
        <f>ItensPedido!B2100</f>
        <v/>
      </c>
      <c r="C2100" s="21">
        <f>ItensPedido!C2100</f>
        <v/>
      </c>
      <c r="D2100" s="21">
        <f>ItensPedido!D2100</f>
        <v/>
      </c>
      <c r="E2100" s="22">
        <f>ItensPedido!E2100</f>
        <v/>
      </c>
      <c r="F2100" s="21">
        <f>IFERROR(INDEX(Pedidos!$B$2:$B$1801,MATCH(B2100,Pedidos!$A$2:$A$1801,0)),0)</f>
        <v/>
      </c>
      <c r="G2100" s="21">
        <f>IF(F2100=0,"",YEAR(F2100))</f>
        <v/>
      </c>
      <c r="H2100" s="21">
        <f>IF(F2100=0,"",MONTH(F2100))</f>
        <v/>
      </c>
      <c r="I2100" s="21">
        <f>IFERROR(INDEX(Pedidos!$E$2:$E$1801,MATCH(B2100,Pedidos!$A$2:$A$1801,0)),"")</f>
        <v/>
      </c>
      <c r="J2100" s="21">
        <f>IFERROR(INDEX(Pedidos!$C$2:$C$1801,MATCH(B2100,Pedidos!$A$2:$A$1801,0)),"")</f>
        <v/>
      </c>
      <c r="K2100" s="21">
        <f>IFERROR(INDEX(Pedidos!$D$2:$D$1801,MATCH(B2100,Pedidos!$A$2:$A$1801,0)),"")</f>
        <v/>
      </c>
      <c r="L2100" s="21">
        <f>IFERROR(INDEX(Pedidos!$F$2:$F$1801,MATCH(B2100,Pedidos!$A$2:$A$1801,0)),"")</f>
        <v/>
      </c>
      <c r="M2100" s="22">
        <f>IFERROR(INDEX(Pedidos!$G$2:$G$1801,MATCH(B2100,Pedidos!$A$2:$A$1801,0)),0)</f>
        <v/>
      </c>
      <c r="N2100" s="21">
        <f>IFERROR(INDEX(Produtos!$B$2:$B$71,MATCH(C2100,Produtos!$A$2:$A$71,0)),"")</f>
        <v/>
      </c>
      <c r="O2100" s="21">
        <f>IFERROR(INDEX(Produtos!$C$2:$C$71,MATCH(C2100,Produtos!$A$2:$A$71,0)),"")</f>
        <v/>
      </c>
      <c r="P2100" s="21">
        <f>IFERROR(INDEX(Produtos!$D$2:$D$71,MATCH(C2100,Produtos!$A$2:$A$71,0)),0)</f>
        <v/>
      </c>
      <c r="Q2100" s="21">
        <f>IFERROR(INDEX(Produtos!$E$2:$E$71,MATCH(C2100,Produtos!$A$2:$A$71,0)),0)</f>
        <v/>
      </c>
      <c r="R2100" s="23">
        <f>D2100*Q2100</f>
        <v/>
      </c>
      <c r="S2100" s="23">
        <f>R2100*E2100</f>
        <v/>
      </c>
      <c r="T2100" s="23">
        <f>(R2100-S2100)*M2100</f>
        <v/>
      </c>
      <c r="U2100" s="23">
        <f>R2100-S2100-T2100</f>
        <v/>
      </c>
      <c r="V2100" s="23">
        <f>D2100*P2100</f>
        <v/>
      </c>
      <c r="W2100" s="23">
        <f>U2100-V2100</f>
        <v/>
      </c>
      <c r="X2100" s="24">
        <f>IFERROR(W2100/U2100,0)</f>
        <v/>
      </c>
    </row>
    <row r="2101">
      <c r="A2101" s="25">
        <f>ItensPedido!A2101</f>
        <v/>
      </c>
      <c r="B2101" s="25">
        <f>ItensPedido!B2101</f>
        <v/>
      </c>
      <c r="C2101" s="25">
        <f>ItensPedido!C2101</f>
        <v/>
      </c>
      <c r="D2101" s="25">
        <f>ItensPedido!D2101</f>
        <v/>
      </c>
      <c r="E2101" s="26">
        <f>ItensPedido!E2101</f>
        <v/>
      </c>
      <c r="F2101" s="25">
        <f>IFERROR(INDEX(Pedidos!$B$2:$B$1801,MATCH(B2101,Pedidos!$A$2:$A$1801,0)),0)</f>
        <v/>
      </c>
      <c r="G2101" s="25">
        <f>IF(F2101=0,"",YEAR(F2101))</f>
        <v/>
      </c>
      <c r="H2101" s="25">
        <f>IF(F2101=0,"",MONTH(F2101))</f>
        <v/>
      </c>
      <c r="I2101" s="25">
        <f>IFERROR(INDEX(Pedidos!$E$2:$E$1801,MATCH(B2101,Pedidos!$A$2:$A$1801,0)),"")</f>
        <v/>
      </c>
      <c r="J2101" s="25">
        <f>IFERROR(INDEX(Pedidos!$C$2:$C$1801,MATCH(B2101,Pedidos!$A$2:$A$1801,0)),"")</f>
        <v/>
      </c>
      <c r="K2101" s="25">
        <f>IFERROR(INDEX(Pedidos!$D$2:$D$1801,MATCH(B2101,Pedidos!$A$2:$A$1801,0)),"")</f>
        <v/>
      </c>
      <c r="L2101" s="25">
        <f>IFERROR(INDEX(Pedidos!$F$2:$F$1801,MATCH(B2101,Pedidos!$A$2:$A$1801,0)),"")</f>
        <v/>
      </c>
      <c r="M2101" s="26">
        <f>IFERROR(INDEX(Pedidos!$G$2:$G$1801,MATCH(B2101,Pedidos!$A$2:$A$1801,0)),0)</f>
        <v/>
      </c>
      <c r="N2101" s="25">
        <f>IFERROR(INDEX(Produtos!$B$2:$B$71,MATCH(C2101,Produtos!$A$2:$A$71,0)),"")</f>
        <v/>
      </c>
      <c r="O2101" s="25">
        <f>IFERROR(INDEX(Produtos!$C$2:$C$71,MATCH(C2101,Produtos!$A$2:$A$71,0)),"")</f>
        <v/>
      </c>
      <c r="P2101" s="25">
        <f>IFERROR(INDEX(Produtos!$D$2:$D$71,MATCH(C2101,Produtos!$A$2:$A$71,0)),0)</f>
        <v/>
      </c>
      <c r="Q2101" s="25">
        <f>IFERROR(INDEX(Produtos!$E$2:$E$71,MATCH(C2101,Produtos!$A$2:$A$71,0)),0)</f>
        <v/>
      </c>
      <c r="R2101" s="27">
        <f>D2101*Q2101</f>
        <v/>
      </c>
      <c r="S2101" s="27">
        <f>R2101*E2101</f>
        <v/>
      </c>
      <c r="T2101" s="27">
        <f>(R2101-S2101)*M2101</f>
        <v/>
      </c>
      <c r="U2101" s="27">
        <f>R2101-S2101-T2101</f>
        <v/>
      </c>
      <c r="V2101" s="27">
        <f>D2101*P2101</f>
        <v/>
      </c>
      <c r="W2101" s="27">
        <f>U2101-V2101</f>
        <v/>
      </c>
      <c r="X2101" s="28">
        <f>IFERROR(W2101/U2101,0)</f>
        <v/>
      </c>
    </row>
    <row r="2102">
      <c r="A2102" s="21">
        <f>ItensPedido!A2102</f>
        <v/>
      </c>
      <c r="B2102" s="21">
        <f>ItensPedido!B2102</f>
        <v/>
      </c>
      <c r="C2102" s="21">
        <f>ItensPedido!C2102</f>
        <v/>
      </c>
      <c r="D2102" s="21">
        <f>ItensPedido!D2102</f>
        <v/>
      </c>
      <c r="E2102" s="22">
        <f>ItensPedido!E2102</f>
        <v/>
      </c>
      <c r="F2102" s="21">
        <f>IFERROR(INDEX(Pedidos!$B$2:$B$1801,MATCH(B2102,Pedidos!$A$2:$A$1801,0)),0)</f>
        <v/>
      </c>
      <c r="G2102" s="21">
        <f>IF(F2102=0,"",YEAR(F2102))</f>
        <v/>
      </c>
      <c r="H2102" s="21">
        <f>IF(F2102=0,"",MONTH(F2102))</f>
        <v/>
      </c>
      <c r="I2102" s="21">
        <f>IFERROR(INDEX(Pedidos!$E$2:$E$1801,MATCH(B2102,Pedidos!$A$2:$A$1801,0)),"")</f>
        <v/>
      </c>
      <c r="J2102" s="21">
        <f>IFERROR(INDEX(Pedidos!$C$2:$C$1801,MATCH(B2102,Pedidos!$A$2:$A$1801,0)),"")</f>
        <v/>
      </c>
      <c r="K2102" s="21">
        <f>IFERROR(INDEX(Pedidos!$D$2:$D$1801,MATCH(B2102,Pedidos!$A$2:$A$1801,0)),"")</f>
        <v/>
      </c>
      <c r="L2102" s="21">
        <f>IFERROR(INDEX(Pedidos!$F$2:$F$1801,MATCH(B2102,Pedidos!$A$2:$A$1801,0)),"")</f>
        <v/>
      </c>
      <c r="M2102" s="22">
        <f>IFERROR(INDEX(Pedidos!$G$2:$G$1801,MATCH(B2102,Pedidos!$A$2:$A$1801,0)),0)</f>
        <v/>
      </c>
      <c r="N2102" s="21">
        <f>IFERROR(INDEX(Produtos!$B$2:$B$71,MATCH(C2102,Produtos!$A$2:$A$71,0)),"")</f>
        <v/>
      </c>
      <c r="O2102" s="21">
        <f>IFERROR(INDEX(Produtos!$C$2:$C$71,MATCH(C2102,Produtos!$A$2:$A$71,0)),"")</f>
        <v/>
      </c>
      <c r="P2102" s="21">
        <f>IFERROR(INDEX(Produtos!$D$2:$D$71,MATCH(C2102,Produtos!$A$2:$A$71,0)),0)</f>
        <v/>
      </c>
      <c r="Q2102" s="21">
        <f>IFERROR(INDEX(Produtos!$E$2:$E$71,MATCH(C2102,Produtos!$A$2:$A$71,0)),0)</f>
        <v/>
      </c>
      <c r="R2102" s="23">
        <f>D2102*Q2102</f>
        <v/>
      </c>
      <c r="S2102" s="23">
        <f>R2102*E2102</f>
        <v/>
      </c>
      <c r="T2102" s="23">
        <f>(R2102-S2102)*M2102</f>
        <v/>
      </c>
      <c r="U2102" s="23">
        <f>R2102-S2102-T2102</f>
        <v/>
      </c>
      <c r="V2102" s="23">
        <f>D2102*P2102</f>
        <v/>
      </c>
      <c r="W2102" s="23">
        <f>U2102-V2102</f>
        <v/>
      </c>
      <c r="X2102" s="24">
        <f>IFERROR(W2102/U2102,0)</f>
        <v/>
      </c>
    </row>
    <row r="2103">
      <c r="A2103" s="25">
        <f>ItensPedido!A2103</f>
        <v/>
      </c>
      <c r="B2103" s="25">
        <f>ItensPedido!B2103</f>
        <v/>
      </c>
      <c r="C2103" s="25">
        <f>ItensPedido!C2103</f>
        <v/>
      </c>
      <c r="D2103" s="25">
        <f>ItensPedido!D2103</f>
        <v/>
      </c>
      <c r="E2103" s="26">
        <f>ItensPedido!E2103</f>
        <v/>
      </c>
      <c r="F2103" s="25">
        <f>IFERROR(INDEX(Pedidos!$B$2:$B$1801,MATCH(B2103,Pedidos!$A$2:$A$1801,0)),0)</f>
        <v/>
      </c>
      <c r="G2103" s="25">
        <f>IF(F2103=0,"",YEAR(F2103))</f>
        <v/>
      </c>
      <c r="H2103" s="25">
        <f>IF(F2103=0,"",MONTH(F2103))</f>
        <v/>
      </c>
      <c r="I2103" s="25">
        <f>IFERROR(INDEX(Pedidos!$E$2:$E$1801,MATCH(B2103,Pedidos!$A$2:$A$1801,0)),"")</f>
        <v/>
      </c>
      <c r="J2103" s="25">
        <f>IFERROR(INDEX(Pedidos!$C$2:$C$1801,MATCH(B2103,Pedidos!$A$2:$A$1801,0)),"")</f>
        <v/>
      </c>
      <c r="K2103" s="25">
        <f>IFERROR(INDEX(Pedidos!$D$2:$D$1801,MATCH(B2103,Pedidos!$A$2:$A$1801,0)),"")</f>
        <v/>
      </c>
      <c r="L2103" s="25">
        <f>IFERROR(INDEX(Pedidos!$F$2:$F$1801,MATCH(B2103,Pedidos!$A$2:$A$1801,0)),"")</f>
        <v/>
      </c>
      <c r="M2103" s="26">
        <f>IFERROR(INDEX(Pedidos!$G$2:$G$1801,MATCH(B2103,Pedidos!$A$2:$A$1801,0)),0)</f>
        <v/>
      </c>
      <c r="N2103" s="25">
        <f>IFERROR(INDEX(Produtos!$B$2:$B$71,MATCH(C2103,Produtos!$A$2:$A$71,0)),"")</f>
        <v/>
      </c>
      <c r="O2103" s="25">
        <f>IFERROR(INDEX(Produtos!$C$2:$C$71,MATCH(C2103,Produtos!$A$2:$A$71,0)),"")</f>
        <v/>
      </c>
      <c r="P2103" s="25">
        <f>IFERROR(INDEX(Produtos!$D$2:$D$71,MATCH(C2103,Produtos!$A$2:$A$71,0)),0)</f>
        <v/>
      </c>
      <c r="Q2103" s="25">
        <f>IFERROR(INDEX(Produtos!$E$2:$E$71,MATCH(C2103,Produtos!$A$2:$A$71,0)),0)</f>
        <v/>
      </c>
      <c r="R2103" s="27">
        <f>D2103*Q2103</f>
        <v/>
      </c>
      <c r="S2103" s="27">
        <f>R2103*E2103</f>
        <v/>
      </c>
      <c r="T2103" s="27">
        <f>(R2103-S2103)*M2103</f>
        <v/>
      </c>
      <c r="U2103" s="27">
        <f>R2103-S2103-T2103</f>
        <v/>
      </c>
      <c r="V2103" s="27">
        <f>D2103*P2103</f>
        <v/>
      </c>
      <c r="W2103" s="27">
        <f>U2103-V2103</f>
        <v/>
      </c>
      <c r="X2103" s="28">
        <f>IFERROR(W2103/U2103,0)</f>
        <v/>
      </c>
    </row>
    <row r="2104">
      <c r="A2104" s="21">
        <f>ItensPedido!A2104</f>
        <v/>
      </c>
      <c r="B2104" s="21">
        <f>ItensPedido!B2104</f>
        <v/>
      </c>
      <c r="C2104" s="21">
        <f>ItensPedido!C2104</f>
        <v/>
      </c>
      <c r="D2104" s="21">
        <f>ItensPedido!D2104</f>
        <v/>
      </c>
      <c r="E2104" s="22">
        <f>ItensPedido!E2104</f>
        <v/>
      </c>
      <c r="F2104" s="21">
        <f>IFERROR(INDEX(Pedidos!$B$2:$B$1801,MATCH(B2104,Pedidos!$A$2:$A$1801,0)),0)</f>
        <v/>
      </c>
      <c r="G2104" s="21">
        <f>IF(F2104=0,"",YEAR(F2104))</f>
        <v/>
      </c>
      <c r="H2104" s="21">
        <f>IF(F2104=0,"",MONTH(F2104))</f>
        <v/>
      </c>
      <c r="I2104" s="21">
        <f>IFERROR(INDEX(Pedidos!$E$2:$E$1801,MATCH(B2104,Pedidos!$A$2:$A$1801,0)),"")</f>
        <v/>
      </c>
      <c r="J2104" s="21">
        <f>IFERROR(INDEX(Pedidos!$C$2:$C$1801,MATCH(B2104,Pedidos!$A$2:$A$1801,0)),"")</f>
        <v/>
      </c>
      <c r="K2104" s="21">
        <f>IFERROR(INDEX(Pedidos!$D$2:$D$1801,MATCH(B2104,Pedidos!$A$2:$A$1801,0)),"")</f>
        <v/>
      </c>
      <c r="L2104" s="21">
        <f>IFERROR(INDEX(Pedidos!$F$2:$F$1801,MATCH(B2104,Pedidos!$A$2:$A$1801,0)),"")</f>
        <v/>
      </c>
      <c r="M2104" s="22">
        <f>IFERROR(INDEX(Pedidos!$G$2:$G$1801,MATCH(B2104,Pedidos!$A$2:$A$1801,0)),0)</f>
        <v/>
      </c>
      <c r="N2104" s="21">
        <f>IFERROR(INDEX(Produtos!$B$2:$B$71,MATCH(C2104,Produtos!$A$2:$A$71,0)),"")</f>
        <v/>
      </c>
      <c r="O2104" s="21">
        <f>IFERROR(INDEX(Produtos!$C$2:$C$71,MATCH(C2104,Produtos!$A$2:$A$71,0)),"")</f>
        <v/>
      </c>
      <c r="P2104" s="21">
        <f>IFERROR(INDEX(Produtos!$D$2:$D$71,MATCH(C2104,Produtos!$A$2:$A$71,0)),0)</f>
        <v/>
      </c>
      <c r="Q2104" s="21">
        <f>IFERROR(INDEX(Produtos!$E$2:$E$71,MATCH(C2104,Produtos!$A$2:$A$71,0)),0)</f>
        <v/>
      </c>
      <c r="R2104" s="23">
        <f>D2104*Q2104</f>
        <v/>
      </c>
      <c r="S2104" s="23">
        <f>R2104*E2104</f>
        <v/>
      </c>
      <c r="T2104" s="23">
        <f>(R2104-S2104)*M2104</f>
        <v/>
      </c>
      <c r="U2104" s="23">
        <f>R2104-S2104-T2104</f>
        <v/>
      </c>
      <c r="V2104" s="23">
        <f>D2104*P2104</f>
        <v/>
      </c>
      <c r="W2104" s="23">
        <f>U2104-V2104</f>
        <v/>
      </c>
      <c r="X2104" s="24">
        <f>IFERROR(W2104/U2104,0)</f>
        <v/>
      </c>
    </row>
    <row r="2105">
      <c r="A2105" s="25">
        <f>ItensPedido!A2105</f>
        <v/>
      </c>
      <c r="B2105" s="25">
        <f>ItensPedido!B2105</f>
        <v/>
      </c>
      <c r="C2105" s="25">
        <f>ItensPedido!C2105</f>
        <v/>
      </c>
      <c r="D2105" s="25">
        <f>ItensPedido!D2105</f>
        <v/>
      </c>
      <c r="E2105" s="26">
        <f>ItensPedido!E2105</f>
        <v/>
      </c>
      <c r="F2105" s="25">
        <f>IFERROR(INDEX(Pedidos!$B$2:$B$1801,MATCH(B2105,Pedidos!$A$2:$A$1801,0)),0)</f>
        <v/>
      </c>
      <c r="G2105" s="25">
        <f>IF(F2105=0,"",YEAR(F2105))</f>
        <v/>
      </c>
      <c r="H2105" s="25">
        <f>IF(F2105=0,"",MONTH(F2105))</f>
        <v/>
      </c>
      <c r="I2105" s="25">
        <f>IFERROR(INDEX(Pedidos!$E$2:$E$1801,MATCH(B2105,Pedidos!$A$2:$A$1801,0)),"")</f>
        <v/>
      </c>
      <c r="J2105" s="25">
        <f>IFERROR(INDEX(Pedidos!$C$2:$C$1801,MATCH(B2105,Pedidos!$A$2:$A$1801,0)),"")</f>
        <v/>
      </c>
      <c r="K2105" s="25">
        <f>IFERROR(INDEX(Pedidos!$D$2:$D$1801,MATCH(B2105,Pedidos!$A$2:$A$1801,0)),"")</f>
        <v/>
      </c>
      <c r="L2105" s="25">
        <f>IFERROR(INDEX(Pedidos!$F$2:$F$1801,MATCH(B2105,Pedidos!$A$2:$A$1801,0)),"")</f>
        <v/>
      </c>
      <c r="M2105" s="26">
        <f>IFERROR(INDEX(Pedidos!$G$2:$G$1801,MATCH(B2105,Pedidos!$A$2:$A$1801,0)),0)</f>
        <v/>
      </c>
      <c r="N2105" s="25">
        <f>IFERROR(INDEX(Produtos!$B$2:$B$71,MATCH(C2105,Produtos!$A$2:$A$71,0)),"")</f>
        <v/>
      </c>
      <c r="O2105" s="25">
        <f>IFERROR(INDEX(Produtos!$C$2:$C$71,MATCH(C2105,Produtos!$A$2:$A$71,0)),"")</f>
        <v/>
      </c>
      <c r="P2105" s="25">
        <f>IFERROR(INDEX(Produtos!$D$2:$D$71,MATCH(C2105,Produtos!$A$2:$A$71,0)),0)</f>
        <v/>
      </c>
      <c r="Q2105" s="25">
        <f>IFERROR(INDEX(Produtos!$E$2:$E$71,MATCH(C2105,Produtos!$A$2:$A$71,0)),0)</f>
        <v/>
      </c>
      <c r="R2105" s="27">
        <f>D2105*Q2105</f>
        <v/>
      </c>
      <c r="S2105" s="27">
        <f>R2105*E2105</f>
        <v/>
      </c>
      <c r="T2105" s="27">
        <f>(R2105-S2105)*M2105</f>
        <v/>
      </c>
      <c r="U2105" s="27">
        <f>R2105-S2105-T2105</f>
        <v/>
      </c>
      <c r="V2105" s="27">
        <f>D2105*P2105</f>
        <v/>
      </c>
      <c r="W2105" s="27">
        <f>U2105-V2105</f>
        <v/>
      </c>
      <c r="X2105" s="28">
        <f>IFERROR(W2105/U2105,0)</f>
        <v/>
      </c>
    </row>
    <row r="2106">
      <c r="A2106" s="21">
        <f>ItensPedido!A2106</f>
        <v/>
      </c>
      <c r="B2106" s="21">
        <f>ItensPedido!B2106</f>
        <v/>
      </c>
      <c r="C2106" s="21">
        <f>ItensPedido!C2106</f>
        <v/>
      </c>
      <c r="D2106" s="21">
        <f>ItensPedido!D2106</f>
        <v/>
      </c>
      <c r="E2106" s="22">
        <f>ItensPedido!E2106</f>
        <v/>
      </c>
      <c r="F2106" s="21">
        <f>IFERROR(INDEX(Pedidos!$B$2:$B$1801,MATCH(B2106,Pedidos!$A$2:$A$1801,0)),0)</f>
        <v/>
      </c>
      <c r="G2106" s="21">
        <f>IF(F2106=0,"",YEAR(F2106))</f>
        <v/>
      </c>
      <c r="H2106" s="21">
        <f>IF(F2106=0,"",MONTH(F2106))</f>
        <v/>
      </c>
      <c r="I2106" s="21">
        <f>IFERROR(INDEX(Pedidos!$E$2:$E$1801,MATCH(B2106,Pedidos!$A$2:$A$1801,0)),"")</f>
        <v/>
      </c>
      <c r="J2106" s="21">
        <f>IFERROR(INDEX(Pedidos!$C$2:$C$1801,MATCH(B2106,Pedidos!$A$2:$A$1801,0)),"")</f>
        <v/>
      </c>
      <c r="K2106" s="21">
        <f>IFERROR(INDEX(Pedidos!$D$2:$D$1801,MATCH(B2106,Pedidos!$A$2:$A$1801,0)),"")</f>
        <v/>
      </c>
      <c r="L2106" s="21">
        <f>IFERROR(INDEX(Pedidos!$F$2:$F$1801,MATCH(B2106,Pedidos!$A$2:$A$1801,0)),"")</f>
        <v/>
      </c>
      <c r="M2106" s="22">
        <f>IFERROR(INDEX(Pedidos!$G$2:$G$1801,MATCH(B2106,Pedidos!$A$2:$A$1801,0)),0)</f>
        <v/>
      </c>
      <c r="N2106" s="21">
        <f>IFERROR(INDEX(Produtos!$B$2:$B$71,MATCH(C2106,Produtos!$A$2:$A$71,0)),"")</f>
        <v/>
      </c>
      <c r="O2106" s="21">
        <f>IFERROR(INDEX(Produtos!$C$2:$C$71,MATCH(C2106,Produtos!$A$2:$A$71,0)),"")</f>
        <v/>
      </c>
      <c r="P2106" s="21">
        <f>IFERROR(INDEX(Produtos!$D$2:$D$71,MATCH(C2106,Produtos!$A$2:$A$71,0)),0)</f>
        <v/>
      </c>
      <c r="Q2106" s="21">
        <f>IFERROR(INDEX(Produtos!$E$2:$E$71,MATCH(C2106,Produtos!$A$2:$A$71,0)),0)</f>
        <v/>
      </c>
      <c r="R2106" s="23">
        <f>D2106*Q2106</f>
        <v/>
      </c>
      <c r="S2106" s="23">
        <f>R2106*E2106</f>
        <v/>
      </c>
      <c r="T2106" s="23">
        <f>(R2106-S2106)*M2106</f>
        <v/>
      </c>
      <c r="U2106" s="23">
        <f>R2106-S2106-T2106</f>
        <v/>
      </c>
      <c r="V2106" s="23">
        <f>D2106*P2106</f>
        <v/>
      </c>
      <c r="W2106" s="23">
        <f>U2106-V2106</f>
        <v/>
      </c>
      <c r="X2106" s="24">
        <f>IFERROR(W2106/U2106,0)</f>
        <v/>
      </c>
    </row>
    <row r="2107">
      <c r="A2107" s="25">
        <f>ItensPedido!A2107</f>
        <v/>
      </c>
      <c r="B2107" s="25">
        <f>ItensPedido!B2107</f>
        <v/>
      </c>
      <c r="C2107" s="25">
        <f>ItensPedido!C2107</f>
        <v/>
      </c>
      <c r="D2107" s="25">
        <f>ItensPedido!D2107</f>
        <v/>
      </c>
      <c r="E2107" s="26">
        <f>ItensPedido!E2107</f>
        <v/>
      </c>
      <c r="F2107" s="25">
        <f>IFERROR(INDEX(Pedidos!$B$2:$B$1801,MATCH(B2107,Pedidos!$A$2:$A$1801,0)),0)</f>
        <v/>
      </c>
      <c r="G2107" s="25">
        <f>IF(F2107=0,"",YEAR(F2107))</f>
        <v/>
      </c>
      <c r="H2107" s="25">
        <f>IF(F2107=0,"",MONTH(F2107))</f>
        <v/>
      </c>
      <c r="I2107" s="25">
        <f>IFERROR(INDEX(Pedidos!$E$2:$E$1801,MATCH(B2107,Pedidos!$A$2:$A$1801,0)),"")</f>
        <v/>
      </c>
      <c r="J2107" s="25">
        <f>IFERROR(INDEX(Pedidos!$C$2:$C$1801,MATCH(B2107,Pedidos!$A$2:$A$1801,0)),"")</f>
        <v/>
      </c>
      <c r="K2107" s="25">
        <f>IFERROR(INDEX(Pedidos!$D$2:$D$1801,MATCH(B2107,Pedidos!$A$2:$A$1801,0)),"")</f>
        <v/>
      </c>
      <c r="L2107" s="25">
        <f>IFERROR(INDEX(Pedidos!$F$2:$F$1801,MATCH(B2107,Pedidos!$A$2:$A$1801,0)),"")</f>
        <v/>
      </c>
      <c r="M2107" s="26">
        <f>IFERROR(INDEX(Pedidos!$G$2:$G$1801,MATCH(B2107,Pedidos!$A$2:$A$1801,0)),0)</f>
        <v/>
      </c>
      <c r="N2107" s="25">
        <f>IFERROR(INDEX(Produtos!$B$2:$B$71,MATCH(C2107,Produtos!$A$2:$A$71,0)),"")</f>
        <v/>
      </c>
      <c r="O2107" s="25">
        <f>IFERROR(INDEX(Produtos!$C$2:$C$71,MATCH(C2107,Produtos!$A$2:$A$71,0)),"")</f>
        <v/>
      </c>
      <c r="P2107" s="25">
        <f>IFERROR(INDEX(Produtos!$D$2:$D$71,MATCH(C2107,Produtos!$A$2:$A$71,0)),0)</f>
        <v/>
      </c>
      <c r="Q2107" s="25">
        <f>IFERROR(INDEX(Produtos!$E$2:$E$71,MATCH(C2107,Produtos!$A$2:$A$71,0)),0)</f>
        <v/>
      </c>
      <c r="R2107" s="27">
        <f>D2107*Q2107</f>
        <v/>
      </c>
      <c r="S2107" s="27">
        <f>R2107*E2107</f>
        <v/>
      </c>
      <c r="T2107" s="27">
        <f>(R2107-S2107)*M2107</f>
        <v/>
      </c>
      <c r="U2107" s="27">
        <f>R2107-S2107-T2107</f>
        <v/>
      </c>
      <c r="V2107" s="27">
        <f>D2107*P2107</f>
        <v/>
      </c>
      <c r="W2107" s="27">
        <f>U2107-V2107</f>
        <v/>
      </c>
      <c r="X2107" s="28">
        <f>IFERROR(W2107/U2107,0)</f>
        <v/>
      </c>
    </row>
    <row r="2108">
      <c r="A2108" s="21">
        <f>ItensPedido!A2108</f>
        <v/>
      </c>
      <c r="B2108" s="21">
        <f>ItensPedido!B2108</f>
        <v/>
      </c>
      <c r="C2108" s="21">
        <f>ItensPedido!C2108</f>
        <v/>
      </c>
      <c r="D2108" s="21">
        <f>ItensPedido!D2108</f>
        <v/>
      </c>
      <c r="E2108" s="22">
        <f>ItensPedido!E2108</f>
        <v/>
      </c>
      <c r="F2108" s="21">
        <f>IFERROR(INDEX(Pedidos!$B$2:$B$1801,MATCH(B2108,Pedidos!$A$2:$A$1801,0)),0)</f>
        <v/>
      </c>
      <c r="G2108" s="21">
        <f>IF(F2108=0,"",YEAR(F2108))</f>
        <v/>
      </c>
      <c r="H2108" s="21">
        <f>IF(F2108=0,"",MONTH(F2108))</f>
        <v/>
      </c>
      <c r="I2108" s="21">
        <f>IFERROR(INDEX(Pedidos!$E$2:$E$1801,MATCH(B2108,Pedidos!$A$2:$A$1801,0)),"")</f>
        <v/>
      </c>
      <c r="J2108" s="21">
        <f>IFERROR(INDEX(Pedidos!$C$2:$C$1801,MATCH(B2108,Pedidos!$A$2:$A$1801,0)),"")</f>
        <v/>
      </c>
      <c r="K2108" s="21">
        <f>IFERROR(INDEX(Pedidos!$D$2:$D$1801,MATCH(B2108,Pedidos!$A$2:$A$1801,0)),"")</f>
        <v/>
      </c>
      <c r="L2108" s="21">
        <f>IFERROR(INDEX(Pedidos!$F$2:$F$1801,MATCH(B2108,Pedidos!$A$2:$A$1801,0)),"")</f>
        <v/>
      </c>
      <c r="M2108" s="22">
        <f>IFERROR(INDEX(Pedidos!$G$2:$G$1801,MATCH(B2108,Pedidos!$A$2:$A$1801,0)),0)</f>
        <v/>
      </c>
      <c r="N2108" s="21">
        <f>IFERROR(INDEX(Produtos!$B$2:$B$71,MATCH(C2108,Produtos!$A$2:$A$71,0)),"")</f>
        <v/>
      </c>
      <c r="O2108" s="21">
        <f>IFERROR(INDEX(Produtos!$C$2:$C$71,MATCH(C2108,Produtos!$A$2:$A$71,0)),"")</f>
        <v/>
      </c>
      <c r="P2108" s="21">
        <f>IFERROR(INDEX(Produtos!$D$2:$D$71,MATCH(C2108,Produtos!$A$2:$A$71,0)),0)</f>
        <v/>
      </c>
      <c r="Q2108" s="21">
        <f>IFERROR(INDEX(Produtos!$E$2:$E$71,MATCH(C2108,Produtos!$A$2:$A$71,0)),0)</f>
        <v/>
      </c>
      <c r="R2108" s="23">
        <f>D2108*Q2108</f>
        <v/>
      </c>
      <c r="S2108" s="23">
        <f>R2108*E2108</f>
        <v/>
      </c>
      <c r="T2108" s="23">
        <f>(R2108-S2108)*M2108</f>
        <v/>
      </c>
      <c r="U2108" s="23">
        <f>R2108-S2108-T2108</f>
        <v/>
      </c>
      <c r="V2108" s="23">
        <f>D2108*P2108</f>
        <v/>
      </c>
      <c r="W2108" s="23">
        <f>U2108-V2108</f>
        <v/>
      </c>
      <c r="X2108" s="24">
        <f>IFERROR(W2108/U2108,0)</f>
        <v/>
      </c>
    </row>
    <row r="2109">
      <c r="A2109" s="25">
        <f>ItensPedido!A2109</f>
        <v/>
      </c>
      <c r="B2109" s="25">
        <f>ItensPedido!B2109</f>
        <v/>
      </c>
      <c r="C2109" s="25">
        <f>ItensPedido!C2109</f>
        <v/>
      </c>
      <c r="D2109" s="25">
        <f>ItensPedido!D2109</f>
        <v/>
      </c>
      <c r="E2109" s="26">
        <f>ItensPedido!E2109</f>
        <v/>
      </c>
      <c r="F2109" s="25">
        <f>IFERROR(INDEX(Pedidos!$B$2:$B$1801,MATCH(B2109,Pedidos!$A$2:$A$1801,0)),0)</f>
        <v/>
      </c>
      <c r="G2109" s="25">
        <f>IF(F2109=0,"",YEAR(F2109))</f>
        <v/>
      </c>
      <c r="H2109" s="25">
        <f>IF(F2109=0,"",MONTH(F2109))</f>
        <v/>
      </c>
      <c r="I2109" s="25">
        <f>IFERROR(INDEX(Pedidos!$E$2:$E$1801,MATCH(B2109,Pedidos!$A$2:$A$1801,0)),"")</f>
        <v/>
      </c>
      <c r="J2109" s="25">
        <f>IFERROR(INDEX(Pedidos!$C$2:$C$1801,MATCH(B2109,Pedidos!$A$2:$A$1801,0)),"")</f>
        <v/>
      </c>
      <c r="K2109" s="25">
        <f>IFERROR(INDEX(Pedidos!$D$2:$D$1801,MATCH(B2109,Pedidos!$A$2:$A$1801,0)),"")</f>
        <v/>
      </c>
      <c r="L2109" s="25">
        <f>IFERROR(INDEX(Pedidos!$F$2:$F$1801,MATCH(B2109,Pedidos!$A$2:$A$1801,0)),"")</f>
        <v/>
      </c>
      <c r="M2109" s="26">
        <f>IFERROR(INDEX(Pedidos!$G$2:$G$1801,MATCH(B2109,Pedidos!$A$2:$A$1801,0)),0)</f>
        <v/>
      </c>
      <c r="N2109" s="25">
        <f>IFERROR(INDEX(Produtos!$B$2:$B$71,MATCH(C2109,Produtos!$A$2:$A$71,0)),"")</f>
        <v/>
      </c>
      <c r="O2109" s="25">
        <f>IFERROR(INDEX(Produtos!$C$2:$C$71,MATCH(C2109,Produtos!$A$2:$A$71,0)),"")</f>
        <v/>
      </c>
      <c r="P2109" s="25">
        <f>IFERROR(INDEX(Produtos!$D$2:$D$71,MATCH(C2109,Produtos!$A$2:$A$71,0)),0)</f>
        <v/>
      </c>
      <c r="Q2109" s="25">
        <f>IFERROR(INDEX(Produtos!$E$2:$E$71,MATCH(C2109,Produtos!$A$2:$A$71,0)),0)</f>
        <v/>
      </c>
      <c r="R2109" s="27">
        <f>D2109*Q2109</f>
        <v/>
      </c>
      <c r="S2109" s="27">
        <f>R2109*E2109</f>
        <v/>
      </c>
      <c r="T2109" s="27">
        <f>(R2109-S2109)*M2109</f>
        <v/>
      </c>
      <c r="U2109" s="27">
        <f>R2109-S2109-T2109</f>
        <v/>
      </c>
      <c r="V2109" s="27">
        <f>D2109*P2109</f>
        <v/>
      </c>
      <c r="W2109" s="27">
        <f>U2109-V2109</f>
        <v/>
      </c>
      <c r="X2109" s="28">
        <f>IFERROR(W2109/U2109,0)</f>
        <v/>
      </c>
    </row>
    <row r="2110">
      <c r="A2110" s="21">
        <f>ItensPedido!A2110</f>
        <v/>
      </c>
      <c r="B2110" s="21">
        <f>ItensPedido!B2110</f>
        <v/>
      </c>
      <c r="C2110" s="21">
        <f>ItensPedido!C2110</f>
        <v/>
      </c>
      <c r="D2110" s="21">
        <f>ItensPedido!D2110</f>
        <v/>
      </c>
      <c r="E2110" s="22">
        <f>ItensPedido!E2110</f>
        <v/>
      </c>
      <c r="F2110" s="21">
        <f>IFERROR(INDEX(Pedidos!$B$2:$B$1801,MATCH(B2110,Pedidos!$A$2:$A$1801,0)),0)</f>
        <v/>
      </c>
      <c r="G2110" s="21">
        <f>IF(F2110=0,"",YEAR(F2110))</f>
        <v/>
      </c>
      <c r="H2110" s="21">
        <f>IF(F2110=0,"",MONTH(F2110))</f>
        <v/>
      </c>
      <c r="I2110" s="21">
        <f>IFERROR(INDEX(Pedidos!$E$2:$E$1801,MATCH(B2110,Pedidos!$A$2:$A$1801,0)),"")</f>
        <v/>
      </c>
      <c r="J2110" s="21">
        <f>IFERROR(INDEX(Pedidos!$C$2:$C$1801,MATCH(B2110,Pedidos!$A$2:$A$1801,0)),"")</f>
        <v/>
      </c>
      <c r="K2110" s="21">
        <f>IFERROR(INDEX(Pedidos!$D$2:$D$1801,MATCH(B2110,Pedidos!$A$2:$A$1801,0)),"")</f>
        <v/>
      </c>
      <c r="L2110" s="21">
        <f>IFERROR(INDEX(Pedidos!$F$2:$F$1801,MATCH(B2110,Pedidos!$A$2:$A$1801,0)),"")</f>
        <v/>
      </c>
      <c r="M2110" s="22">
        <f>IFERROR(INDEX(Pedidos!$G$2:$G$1801,MATCH(B2110,Pedidos!$A$2:$A$1801,0)),0)</f>
        <v/>
      </c>
      <c r="N2110" s="21">
        <f>IFERROR(INDEX(Produtos!$B$2:$B$71,MATCH(C2110,Produtos!$A$2:$A$71,0)),"")</f>
        <v/>
      </c>
      <c r="O2110" s="21">
        <f>IFERROR(INDEX(Produtos!$C$2:$C$71,MATCH(C2110,Produtos!$A$2:$A$71,0)),"")</f>
        <v/>
      </c>
      <c r="P2110" s="21">
        <f>IFERROR(INDEX(Produtos!$D$2:$D$71,MATCH(C2110,Produtos!$A$2:$A$71,0)),0)</f>
        <v/>
      </c>
      <c r="Q2110" s="21">
        <f>IFERROR(INDEX(Produtos!$E$2:$E$71,MATCH(C2110,Produtos!$A$2:$A$71,0)),0)</f>
        <v/>
      </c>
      <c r="R2110" s="23">
        <f>D2110*Q2110</f>
        <v/>
      </c>
      <c r="S2110" s="23">
        <f>R2110*E2110</f>
        <v/>
      </c>
      <c r="T2110" s="23">
        <f>(R2110-S2110)*M2110</f>
        <v/>
      </c>
      <c r="U2110" s="23">
        <f>R2110-S2110-T2110</f>
        <v/>
      </c>
      <c r="V2110" s="23">
        <f>D2110*P2110</f>
        <v/>
      </c>
      <c r="W2110" s="23">
        <f>U2110-V2110</f>
        <v/>
      </c>
      <c r="X2110" s="24">
        <f>IFERROR(W2110/U2110,0)</f>
        <v/>
      </c>
    </row>
    <row r="2111">
      <c r="A2111" s="25">
        <f>ItensPedido!A2111</f>
        <v/>
      </c>
      <c r="B2111" s="25">
        <f>ItensPedido!B2111</f>
        <v/>
      </c>
      <c r="C2111" s="25">
        <f>ItensPedido!C2111</f>
        <v/>
      </c>
      <c r="D2111" s="25">
        <f>ItensPedido!D2111</f>
        <v/>
      </c>
      <c r="E2111" s="26">
        <f>ItensPedido!E2111</f>
        <v/>
      </c>
      <c r="F2111" s="25">
        <f>IFERROR(INDEX(Pedidos!$B$2:$B$1801,MATCH(B2111,Pedidos!$A$2:$A$1801,0)),0)</f>
        <v/>
      </c>
      <c r="G2111" s="25">
        <f>IF(F2111=0,"",YEAR(F2111))</f>
        <v/>
      </c>
      <c r="H2111" s="25">
        <f>IF(F2111=0,"",MONTH(F2111))</f>
        <v/>
      </c>
      <c r="I2111" s="25">
        <f>IFERROR(INDEX(Pedidos!$E$2:$E$1801,MATCH(B2111,Pedidos!$A$2:$A$1801,0)),"")</f>
        <v/>
      </c>
      <c r="J2111" s="25">
        <f>IFERROR(INDEX(Pedidos!$C$2:$C$1801,MATCH(B2111,Pedidos!$A$2:$A$1801,0)),"")</f>
        <v/>
      </c>
      <c r="K2111" s="25">
        <f>IFERROR(INDEX(Pedidos!$D$2:$D$1801,MATCH(B2111,Pedidos!$A$2:$A$1801,0)),"")</f>
        <v/>
      </c>
      <c r="L2111" s="25">
        <f>IFERROR(INDEX(Pedidos!$F$2:$F$1801,MATCH(B2111,Pedidos!$A$2:$A$1801,0)),"")</f>
        <v/>
      </c>
      <c r="M2111" s="26">
        <f>IFERROR(INDEX(Pedidos!$G$2:$G$1801,MATCH(B2111,Pedidos!$A$2:$A$1801,0)),0)</f>
        <v/>
      </c>
      <c r="N2111" s="25">
        <f>IFERROR(INDEX(Produtos!$B$2:$B$71,MATCH(C2111,Produtos!$A$2:$A$71,0)),"")</f>
        <v/>
      </c>
      <c r="O2111" s="25">
        <f>IFERROR(INDEX(Produtos!$C$2:$C$71,MATCH(C2111,Produtos!$A$2:$A$71,0)),"")</f>
        <v/>
      </c>
      <c r="P2111" s="25">
        <f>IFERROR(INDEX(Produtos!$D$2:$D$71,MATCH(C2111,Produtos!$A$2:$A$71,0)),0)</f>
        <v/>
      </c>
      <c r="Q2111" s="25">
        <f>IFERROR(INDEX(Produtos!$E$2:$E$71,MATCH(C2111,Produtos!$A$2:$A$71,0)),0)</f>
        <v/>
      </c>
      <c r="R2111" s="27">
        <f>D2111*Q2111</f>
        <v/>
      </c>
      <c r="S2111" s="27">
        <f>R2111*E2111</f>
        <v/>
      </c>
      <c r="T2111" s="27">
        <f>(R2111-S2111)*M2111</f>
        <v/>
      </c>
      <c r="U2111" s="27">
        <f>R2111-S2111-T2111</f>
        <v/>
      </c>
      <c r="V2111" s="27">
        <f>D2111*P2111</f>
        <v/>
      </c>
      <c r="W2111" s="27">
        <f>U2111-V2111</f>
        <v/>
      </c>
      <c r="X2111" s="28">
        <f>IFERROR(W2111/U2111,0)</f>
        <v/>
      </c>
    </row>
    <row r="2112">
      <c r="A2112" s="21">
        <f>ItensPedido!A2112</f>
        <v/>
      </c>
      <c r="B2112" s="21">
        <f>ItensPedido!B2112</f>
        <v/>
      </c>
      <c r="C2112" s="21">
        <f>ItensPedido!C2112</f>
        <v/>
      </c>
      <c r="D2112" s="21">
        <f>ItensPedido!D2112</f>
        <v/>
      </c>
      <c r="E2112" s="22">
        <f>ItensPedido!E2112</f>
        <v/>
      </c>
      <c r="F2112" s="21">
        <f>IFERROR(INDEX(Pedidos!$B$2:$B$1801,MATCH(B2112,Pedidos!$A$2:$A$1801,0)),0)</f>
        <v/>
      </c>
      <c r="G2112" s="21">
        <f>IF(F2112=0,"",YEAR(F2112))</f>
        <v/>
      </c>
      <c r="H2112" s="21">
        <f>IF(F2112=0,"",MONTH(F2112))</f>
        <v/>
      </c>
      <c r="I2112" s="21">
        <f>IFERROR(INDEX(Pedidos!$E$2:$E$1801,MATCH(B2112,Pedidos!$A$2:$A$1801,0)),"")</f>
        <v/>
      </c>
      <c r="J2112" s="21">
        <f>IFERROR(INDEX(Pedidos!$C$2:$C$1801,MATCH(B2112,Pedidos!$A$2:$A$1801,0)),"")</f>
        <v/>
      </c>
      <c r="K2112" s="21">
        <f>IFERROR(INDEX(Pedidos!$D$2:$D$1801,MATCH(B2112,Pedidos!$A$2:$A$1801,0)),"")</f>
        <v/>
      </c>
      <c r="L2112" s="21">
        <f>IFERROR(INDEX(Pedidos!$F$2:$F$1801,MATCH(B2112,Pedidos!$A$2:$A$1801,0)),"")</f>
        <v/>
      </c>
      <c r="M2112" s="22">
        <f>IFERROR(INDEX(Pedidos!$G$2:$G$1801,MATCH(B2112,Pedidos!$A$2:$A$1801,0)),0)</f>
        <v/>
      </c>
      <c r="N2112" s="21">
        <f>IFERROR(INDEX(Produtos!$B$2:$B$71,MATCH(C2112,Produtos!$A$2:$A$71,0)),"")</f>
        <v/>
      </c>
      <c r="O2112" s="21">
        <f>IFERROR(INDEX(Produtos!$C$2:$C$71,MATCH(C2112,Produtos!$A$2:$A$71,0)),"")</f>
        <v/>
      </c>
      <c r="P2112" s="21">
        <f>IFERROR(INDEX(Produtos!$D$2:$D$71,MATCH(C2112,Produtos!$A$2:$A$71,0)),0)</f>
        <v/>
      </c>
      <c r="Q2112" s="21">
        <f>IFERROR(INDEX(Produtos!$E$2:$E$71,MATCH(C2112,Produtos!$A$2:$A$71,0)),0)</f>
        <v/>
      </c>
      <c r="R2112" s="23">
        <f>D2112*Q2112</f>
        <v/>
      </c>
      <c r="S2112" s="23">
        <f>R2112*E2112</f>
        <v/>
      </c>
      <c r="T2112" s="23">
        <f>(R2112-S2112)*M2112</f>
        <v/>
      </c>
      <c r="U2112" s="23">
        <f>R2112-S2112-T2112</f>
        <v/>
      </c>
      <c r="V2112" s="23">
        <f>D2112*P2112</f>
        <v/>
      </c>
      <c r="W2112" s="23">
        <f>U2112-V2112</f>
        <v/>
      </c>
      <c r="X2112" s="24">
        <f>IFERROR(W2112/U2112,0)</f>
        <v/>
      </c>
    </row>
    <row r="2113">
      <c r="A2113" s="25">
        <f>ItensPedido!A2113</f>
        <v/>
      </c>
      <c r="B2113" s="25">
        <f>ItensPedido!B2113</f>
        <v/>
      </c>
      <c r="C2113" s="25">
        <f>ItensPedido!C2113</f>
        <v/>
      </c>
      <c r="D2113" s="25">
        <f>ItensPedido!D2113</f>
        <v/>
      </c>
      <c r="E2113" s="26">
        <f>ItensPedido!E2113</f>
        <v/>
      </c>
      <c r="F2113" s="25">
        <f>IFERROR(INDEX(Pedidos!$B$2:$B$1801,MATCH(B2113,Pedidos!$A$2:$A$1801,0)),0)</f>
        <v/>
      </c>
      <c r="G2113" s="25">
        <f>IF(F2113=0,"",YEAR(F2113))</f>
        <v/>
      </c>
      <c r="H2113" s="25">
        <f>IF(F2113=0,"",MONTH(F2113))</f>
        <v/>
      </c>
      <c r="I2113" s="25">
        <f>IFERROR(INDEX(Pedidos!$E$2:$E$1801,MATCH(B2113,Pedidos!$A$2:$A$1801,0)),"")</f>
        <v/>
      </c>
      <c r="J2113" s="25">
        <f>IFERROR(INDEX(Pedidos!$C$2:$C$1801,MATCH(B2113,Pedidos!$A$2:$A$1801,0)),"")</f>
        <v/>
      </c>
      <c r="K2113" s="25">
        <f>IFERROR(INDEX(Pedidos!$D$2:$D$1801,MATCH(B2113,Pedidos!$A$2:$A$1801,0)),"")</f>
        <v/>
      </c>
      <c r="L2113" s="25">
        <f>IFERROR(INDEX(Pedidos!$F$2:$F$1801,MATCH(B2113,Pedidos!$A$2:$A$1801,0)),"")</f>
        <v/>
      </c>
      <c r="M2113" s="26">
        <f>IFERROR(INDEX(Pedidos!$G$2:$G$1801,MATCH(B2113,Pedidos!$A$2:$A$1801,0)),0)</f>
        <v/>
      </c>
      <c r="N2113" s="25">
        <f>IFERROR(INDEX(Produtos!$B$2:$B$71,MATCH(C2113,Produtos!$A$2:$A$71,0)),"")</f>
        <v/>
      </c>
      <c r="O2113" s="25">
        <f>IFERROR(INDEX(Produtos!$C$2:$C$71,MATCH(C2113,Produtos!$A$2:$A$71,0)),"")</f>
        <v/>
      </c>
      <c r="P2113" s="25">
        <f>IFERROR(INDEX(Produtos!$D$2:$D$71,MATCH(C2113,Produtos!$A$2:$A$71,0)),0)</f>
        <v/>
      </c>
      <c r="Q2113" s="25">
        <f>IFERROR(INDEX(Produtos!$E$2:$E$71,MATCH(C2113,Produtos!$A$2:$A$71,0)),0)</f>
        <v/>
      </c>
      <c r="R2113" s="27">
        <f>D2113*Q2113</f>
        <v/>
      </c>
      <c r="S2113" s="27">
        <f>R2113*E2113</f>
        <v/>
      </c>
      <c r="T2113" s="27">
        <f>(R2113-S2113)*M2113</f>
        <v/>
      </c>
      <c r="U2113" s="27">
        <f>R2113-S2113-T2113</f>
        <v/>
      </c>
      <c r="V2113" s="27">
        <f>D2113*P2113</f>
        <v/>
      </c>
      <c r="W2113" s="27">
        <f>U2113-V2113</f>
        <v/>
      </c>
      <c r="X2113" s="28">
        <f>IFERROR(W2113/U2113,0)</f>
        <v/>
      </c>
    </row>
    <row r="2114">
      <c r="A2114" s="21">
        <f>ItensPedido!A2114</f>
        <v/>
      </c>
      <c r="B2114" s="21">
        <f>ItensPedido!B2114</f>
        <v/>
      </c>
      <c r="C2114" s="21">
        <f>ItensPedido!C2114</f>
        <v/>
      </c>
      <c r="D2114" s="21">
        <f>ItensPedido!D2114</f>
        <v/>
      </c>
      <c r="E2114" s="22">
        <f>ItensPedido!E2114</f>
        <v/>
      </c>
      <c r="F2114" s="21">
        <f>IFERROR(INDEX(Pedidos!$B$2:$B$1801,MATCH(B2114,Pedidos!$A$2:$A$1801,0)),0)</f>
        <v/>
      </c>
      <c r="G2114" s="21">
        <f>IF(F2114=0,"",YEAR(F2114))</f>
        <v/>
      </c>
      <c r="H2114" s="21">
        <f>IF(F2114=0,"",MONTH(F2114))</f>
        <v/>
      </c>
      <c r="I2114" s="21">
        <f>IFERROR(INDEX(Pedidos!$E$2:$E$1801,MATCH(B2114,Pedidos!$A$2:$A$1801,0)),"")</f>
        <v/>
      </c>
      <c r="J2114" s="21">
        <f>IFERROR(INDEX(Pedidos!$C$2:$C$1801,MATCH(B2114,Pedidos!$A$2:$A$1801,0)),"")</f>
        <v/>
      </c>
      <c r="K2114" s="21">
        <f>IFERROR(INDEX(Pedidos!$D$2:$D$1801,MATCH(B2114,Pedidos!$A$2:$A$1801,0)),"")</f>
        <v/>
      </c>
      <c r="L2114" s="21">
        <f>IFERROR(INDEX(Pedidos!$F$2:$F$1801,MATCH(B2114,Pedidos!$A$2:$A$1801,0)),"")</f>
        <v/>
      </c>
      <c r="M2114" s="22">
        <f>IFERROR(INDEX(Pedidos!$G$2:$G$1801,MATCH(B2114,Pedidos!$A$2:$A$1801,0)),0)</f>
        <v/>
      </c>
      <c r="N2114" s="21">
        <f>IFERROR(INDEX(Produtos!$B$2:$B$71,MATCH(C2114,Produtos!$A$2:$A$71,0)),"")</f>
        <v/>
      </c>
      <c r="O2114" s="21">
        <f>IFERROR(INDEX(Produtos!$C$2:$C$71,MATCH(C2114,Produtos!$A$2:$A$71,0)),"")</f>
        <v/>
      </c>
      <c r="P2114" s="21">
        <f>IFERROR(INDEX(Produtos!$D$2:$D$71,MATCH(C2114,Produtos!$A$2:$A$71,0)),0)</f>
        <v/>
      </c>
      <c r="Q2114" s="21">
        <f>IFERROR(INDEX(Produtos!$E$2:$E$71,MATCH(C2114,Produtos!$A$2:$A$71,0)),0)</f>
        <v/>
      </c>
      <c r="R2114" s="23">
        <f>D2114*Q2114</f>
        <v/>
      </c>
      <c r="S2114" s="23">
        <f>R2114*E2114</f>
        <v/>
      </c>
      <c r="T2114" s="23">
        <f>(R2114-S2114)*M2114</f>
        <v/>
      </c>
      <c r="U2114" s="23">
        <f>R2114-S2114-T2114</f>
        <v/>
      </c>
      <c r="V2114" s="23">
        <f>D2114*P2114</f>
        <v/>
      </c>
      <c r="W2114" s="23">
        <f>U2114-V2114</f>
        <v/>
      </c>
      <c r="X2114" s="24">
        <f>IFERROR(W2114/U2114,0)</f>
        <v/>
      </c>
    </row>
    <row r="2115">
      <c r="A2115" s="25">
        <f>ItensPedido!A2115</f>
        <v/>
      </c>
      <c r="B2115" s="25">
        <f>ItensPedido!B2115</f>
        <v/>
      </c>
      <c r="C2115" s="25">
        <f>ItensPedido!C2115</f>
        <v/>
      </c>
      <c r="D2115" s="25">
        <f>ItensPedido!D2115</f>
        <v/>
      </c>
      <c r="E2115" s="26">
        <f>ItensPedido!E2115</f>
        <v/>
      </c>
      <c r="F2115" s="25">
        <f>IFERROR(INDEX(Pedidos!$B$2:$B$1801,MATCH(B2115,Pedidos!$A$2:$A$1801,0)),0)</f>
        <v/>
      </c>
      <c r="G2115" s="25">
        <f>IF(F2115=0,"",YEAR(F2115))</f>
        <v/>
      </c>
      <c r="H2115" s="25">
        <f>IF(F2115=0,"",MONTH(F2115))</f>
        <v/>
      </c>
      <c r="I2115" s="25">
        <f>IFERROR(INDEX(Pedidos!$E$2:$E$1801,MATCH(B2115,Pedidos!$A$2:$A$1801,0)),"")</f>
        <v/>
      </c>
      <c r="J2115" s="25">
        <f>IFERROR(INDEX(Pedidos!$C$2:$C$1801,MATCH(B2115,Pedidos!$A$2:$A$1801,0)),"")</f>
        <v/>
      </c>
      <c r="K2115" s="25">
        <f>IFERROR(INDEX(Pedidos!$D$2:$D$1801,MATCH(B2115,Pedidos!$A$2:$A$1801,0)),"")</f>
        <v/>
      </c>
      <c r="L2115" s="25">
        <f>IFERROR(INDEX(Pedidos!$F$2:$F$1801,MATCH(B2115,Pedidos!$A$2:$A$1801,0)),"")</f>
        <v/>
      </c>
      <c r="M2115" s="26">
        <f>IFERROR(INDEX(Pedidos!$G$2:$G$1801,MATCH(B2115,Pedidos!$A$2:$A$1801,0)),0)</f>
        <v/>
      </c>
      <c r="N2115" s="25">
        <f>IFERROR(INDEX(Produtos!$B$2:$B$71,MATCH(C2115,Produtos!$A$2:$A$71,0)),"")</f>
        <v/>
      </c>
      <c r="O2115" s="25">
        <f>IFERROR(INDEX(Produtos!$C$2:$C$71,MATCH(C2115,Produtos!$A$2:$A$71,0)),"")</f>
        <v/>
      </c>
      <c r="P2115" s="25">
        <f>IFERROR(INDEX(Produtos!$D$2:$D$71,MATCH(C2115,Produtos!$A$2:$A$71,0)),0)</f>
        <v/>
      </c>
      <c r="Q2115" s="25">
        <f>IFERROR(INDEX(Produtos!$E$2:$E$71,MATCH(C2115,Produtos!$A$2:$A$71,0)),0)</f>
        <v/>
      </c>
      <c r="R2115" s="27">
        <f>D2115*Q2115</f>
        <v/>
      </c>
      <c r="S2115" s="27">
        <f>R2115*E2115</f>
        <v/>
      </c>
      <c r="T2115" s="27">
        <f>(R2115-S2115)*M2115</f>
        <v/>
      </c>
      <c r="U2115" s="27">
        <f>R2115-S2115-T2115</f>
        <v/>
      </c>
      <c r="V2115" s="27">
        <f>D2115*P2115</f>
        <v/>
      </c>
      <c r="W2115" s="27">
        <f>U2115-V2115</f>
        <v/>
      </c>
      <c r="X2115" s="28">
        <f>IFERROR(W2115/U2115,0)</f>
        <v/>
      </c>
    </row>
    <row r="2116">
      <c r="A2116" s="21">
        <f>ItensPedido!A2116</f>
        <v/>
      </c>
      <c r="B2116" s="21">
        <f>ItensPedido!B2116</f>
        <v/>
      </c>
      <c r="C2116" s="21">
        <f>ItensPedido!C2116</f>
        <v/>
      </c>
      <c r="D2116" s="21">
        <f>ItensPedido!D2116</f>
        <v/>
      </c>
      <c r="E2116" s="22">
        <f>ItensPedido!E2116</f>
        <v/>
      </c>
      <c r="F2116" s="21">
        <f>IFERROR(INDEX(Pedidos!$B$2:$B$1801,MATCH(B2116,Pedidos!$A$2:$A$1801,0)),0)</f>
        <v/>
      </c>
      <c r="G2116" s="21">
        <f>IF(F2116=0,"",YEAR(F2116))</f>
        <v/>
      </c>
      <c r="H2116" s="21">
        <f>IF(F2116=0,"",MONTH(F2116))</f>
        <v/>
      </c>
      <c r="I2116" s="21">
        <f>IFERROR(INDEX(Pedidos!$E$2:$E$1801,MATCH(B2116,Pedidos!$A$2:$A$1801,0)),"")</f>
        <v/>
      </c>
      <c r="J2116" s="21">
        <f>IFERROR(INDEX(Pedidos!$C$2:$C$1801,MATCH(B2116,Pedidos!$A$2:$A$1801,0)),"")</f>
        <v/>
      </c>
      <c r="K2116" s="21">
        <f>IFERROR(INDEX(Pedidos!$D$2:$D$1801,MATCH(B2116,Pedidos!$A$2:$A$1801,0)),"")</f>
        <v/>
      </c>
      <c r="L2116" s="21">
        <f>IFERROR(INDEX(Pedidos!$F$2:$F$1801,MATCH(B2116,Pedidos!$A$2:$A$1801,0)),"")</f>
        <v/>
      </c>
      <c r="M2116" s="22">
        <f>IFERROR(INDEX(Pedidos!$G$2:$G$1801,MATCH(B2116,Pedidos!$A$2:$A$1801,0)),0)</f>
        <v/>
      </c>
      <c r="N2116" s="21">
        <f>IFERROR(INDEX(Produtos!$B$2:$B$71,MATCH(C2116,Produtos!$A$2:$A$71,0)),"")</f>
        <v/>
      </c>
      <c r="O2116" s="21">
        <f>IFERROR(INDEX(Produtos!$C$2:$C$71,MATCH(C2116,Produtos!$A$2:$A$71,0)),"")</f>
        <v/>
      </c>
      <c r="P2116" s="21">
        <f>IFERROR(INDEX(Produtos!$D$2:$D$71,MATCH(C2116,Produtos!$A$2:$A$71,0)),0)</f>
        <v/>
      </c>
      <c r="Q2116" s="21">
        <f>IFERROR(INDEX(Produtos!$E$2:$E$71,MATCH(C2116,Produtos!$A$2:$A$71,0)),0)</f>
        <v/>
      </c>
      <c r="R2116" s="23">
        <f>D2116*Q2116</f>
        <v/>
      </c>
      <c r="S2116" s="23">
        <f>R2116*E2116</f>
        <v/>
      </c>
      <c r="T2116" s="23">
        <f>(R2116-S2116)*M2116</f>
        <v/>
      </c>
      <c r="U2116" s="23">
        <f>R2116-S2116-T2116</f>
        <v/>
      </c>
      <c r="V2116" s="23">
        <f>D2116*P2116</f>
        <v/>
      </c>
      <c r="W2116" s="23">
        <f>U2116-V2116</f>
        <v/>
      </c>
      <c r="X2116" s="24">
        <f>IFERROR(W2116/U2116,0)</f>
        <v/>
      </c>
    </row>
    <row r="2117">
      <c r="A2117" s="25">
        <f>ItensPedido!A2117</f>
        <v/>
      </c>
      <c r="B2117" s="25">
        <f>ItensPedido!B2117</f>
        <v/>
      </c>
      <c r="C2117" s="25">
        <f>ItensPedido!C2117</f>
        <v/>
      </c>
      <c r="D2117" s="25">
        <f>ItensPedido!D2117</f>
        <v/>
      </c>
      <c r="E2117" s="26">
        <f>ItensPedido!E2117</f>
        <v/>
      </c>
      <c r="F2117" s="25">
        <f>IFERROR(INDEX(Pedidos!$B$2:$B$1801,MATCH(B2117,Pedidos!$A$2:$A$1801,0)),0)</f>
        <v/>
      </c>
      <c r="G2117" s="25">
        <f>IF(F2117=0,"",YEAR(F2117))</f>
        <v/>
      </c>
      <c r="H2117" s="25">
        <f>IF(F2117=0,"",MONTH(F2117))</f>
        <v/>
      </c>
      <c r="I2117" s="25">
        <f>IFERROR(INDEX(Pedidos!$E$2:$E$1801,MATCH(B2117,Pedidos!$A$2:$A$1801,0)),"")</f>
        <v/>
      </c>
      <c r="J2117" s="25">
        <f>IFERROR(INDEX(Pedidos!$C$2:$C$1801,MATCH(B2117,Pedidos!$A$2:$A$1801,0)),"")</f>
        <v/>
      </c>
      <c r="K2117" s="25">
        <f>IFERROR(INDEX(Pedidos!$D$2:$D$1801,MATCH(B2117,Pedidos!$A$2:$A$1801,0)),"")</f>
        <v/>
      </c>
      <c r="L2117" s="25">
        <f>IFERROR(INDEX(Pedidos!$F$2:$F$1801,MATCH(B2117,Pedidos!$A$2:$A$1801,0)),"")</f>
        <v/>
      </c>
      <c r="M2117" s="26">
        <f>IFERROR(INDEX(Pedidos!$G$2:$G$1801,MATCH(B2117,Pedidos!$A$2:$A$1801,0)),0)</f>
        <v/>
      </c>
      <c r="N2117" s="25">
        <f>IFERROR(INDEX(Produtos!$B$2:$B$71,MATCH(C2117,Produtos!$A$2:$A$71,0)),"")</f>
        <v/>
      </c>
      <c r="O2117" s="25">
        <f>IFERROR(INDEX(Produtos!$C$2:$C$71,MATCH(C2117,Produtos!$A$2:$A$71,0)),"")</f>
        <v/>
      </c>
      <c r="P2117" s="25">
        <f>IFERROR(INDEX(Produtos!$D$2:$D$71,MATCH(C2117,Produtos!$A$2:$A$71,0)),0)</f>
        <v/>
      </c>
      <c r="Q2117" s="25">
        <f>IFERROR(INDEX(Produtos!$E$2:$E$71,MATCH(C2117,Produtos!$A$2:$A$71,0)),0)</f>
        <v/>
      </c>
      <c r="R2117" s="27">
        <f>D2117*Q2117</f>
        <v/>
      </c>
      <c r="S2117" s="27">
        <f>R2117*E2117</f>
        <v/>
      </c>
      <c r="T2117" s="27">
        <f>(R2117-S2117)*M2117</f>
        <v/>
      </c>
      <c r="U2117" s="27">
        <f>R2117-S2117-T2117</f>
        <v/>
      </c>
      <c r="V2117" s="27">
        <f>D2117*P2117</f>
        <v/>
      </c>
      <c r="W2117" s="27">
        <f>U2117-V2117</f>
        <v/>
      </c>
      <c r="X2117" s="28">
        <f>IFERROR(W2117/U2117,0)</f>
        <v/>
      </c>
    </row>
    <row r="2118">
      <c r="A2118" s="21">
        <f>ItensPedido!A2118</f>
        <v/>
      </c>
      <c r="B2118" s="21">
        <f>ItensPedido!B2118</f>
        <v/>
      </c>
      <c r="C2118" s="21">
        <f>ItensPedido!C2118</f>
        <v/>
      </c>
      <c r="D2118" s="21">
        <f>ItensPedido!D2118</f>
        <v/>
      </c>
      <c r="E2118" s="22">
        <f>ItensPedido!E2118</f>
        <v/>
      </c>
      <c r="F2118" s="21">
        <f>IFERROR(INDEX(Pedidos!$B$2:$B$1801,MATCH(B2118,Pedidos!$A$2:$A$1801,0)),0)</f>
        <v/>
      </c>
      <c r="G2118" s="21">
        <f>IF(F2118=0,"",YEAR(F2118))</f>
        <v/>
      </c>
      <c r="H2118" s="21">
        <f>IF(F2118=0,"",MONTH(F2118))</f>
        <v/>
      </c>
      <c r="I2118" s="21">
        <f>IFERROR(INDEX(Pedidos!$E$2:$E$1801,MATCH(B2118,Pedidos!$A$2:$A$1801,0)),"")</f>
        <v/>
      </c>
      <c r="J2118" s="21">
        <f>IFERROR(INDEX(Pedidos!$C$2:$C$1801,MATCH(B2118,Pedidos!$A$2:$A$1801,0)),"")</f>
        <v/>
      </c>
      <c r="K2118" s="21">
        <f>IFERROR(INDEX(Pedidos!$D$2:$D$1801,MATCH(B2118,Pedidos!$A$2:$A$1801,0)),"")</f>
        <v/>
      </c>
      <c r="L2118" s="21">
        <f>IFERROR(INDEX(Pedidos!$F$2:$F$1801,MATCH(B2118,Pedidos!$A$2:$A$1801,0)),"")</f>
        <v/>
      </c>
      <c r="M2118" s="22">
        <f>IFERROR(INDEX(Pedidos!$G$2:$G$1801,MATCH(B2118,Pedidos!$A$2:$A$1801,0)),0)</f>
        <v/>
      </c>
      <c r="N2118" s="21">
        <f>IFERROR(INDEX(Produtos!$B$2:$B$71,MATCH(C2118,Produtos!$A$2:$A$71,0)),"")</f>
        <v/>
      </c>
      <c r="O2118" s="21">
        <f>IFERROR(INDEX(Produtos!$C$2:$C$71,MATCH(C2118,Produtos!$A$2:$A$71,0)),"")</f>
        <v/>
      </c>
      <c r="P2118" s="21">
        <f>IFERROR(INDEX(Produtos!$D$2:$D$71,MATCH(C2118,Produtos!$A$2:$A$71,0)),0)</f>
        <v/>
      </c>
      <c r="Q2118" s="21">
        <f>IFERROR(INDEX(Produtos!$E$2:$E$71,MATCH(C2118,Produtos!$A$2:$A$71,0)),0)</f>
        <v/>
      </c>
      <c r="R2118" s="23">
        <f>D2118*Q2118</f>
        <v/>
      </c>
      <c r="S2118" s="23">
        <f>R2118*E2118</f>
        <v/>
      </c>
      <c r="T2118" s="23">
        <f>(R2118-S2118)*M2118</f>
        <v/>
      </c>
      <c r="U2118" s="23">
        <f>R2118-S2118-T2118</f>
        <v/>
      </c>
      <c r="V2118" s="23">
        <f>D2118*P2118</f>
        <v/>
      </c>
      <c r="W2118" s="23">
        <f>U2118-V2118</f>
        <v/>
      </c>
      <c r="X2118" s="24">
        <f>IFERROR(W2118/U2118,0)</f>
        <v/>
      </c>
    </row>
    <row r="2119">
      <c r="A2119" s="25">
        <f>ItensPedido!A2119</f>
        <v/>
      </c>
      <c r="B2119" s="25">
        <f>ItensPedido!B2119</f>
        <v/>
      </c>
      <c r="C2119" s="25">
        <f>ItensPedido!C2119</f>
        <v/>
      </c>
      <c r="D2119" s="25">
        <f>ItensPedido!D2119</f>
        <v/>
      </c>
      <c r="E2119" s="26">
        <f>ItensPedido!E2119</f>
        <v/>
      </c>
      <c r="F2119" s="25">
        <f>IFERROR(INDEX(Pedidos!$B$2:$B$1801,MATCH(B2119,Pedidos!$A$2:$A$1801,0)),0)</f>
        <v/>
      </c>
      <c r="G2119" s="25">
        <f>IF(F2119=0,"",YEAR(F2119))</f>
        <v/>
      </c>
      <c r="H2119" s="25">
        <f>IF(F2119=0,"",MONTH(F2119))</f>
        <v/>
      </c>
      <c r="I2119" s="25">
        <f>IFERROR(INDEX(Pedidos!$E$2:$E$1801,MATCH(B2119,Pedidos!$A$2:$A$1801,0)),"")</f>
        <v/>
      </c>
      <c r="J2119" s="25">
        <f>IFERROR(INDEX(Pedidos!$C$2:$C$1801,MATCH(B2119,Pedidos!$A$2:$A$1801,0)),"")</f>
        <v/>
      </c>
      <c r="K2119" s="25">
        <f>IFERROR(INDEX(Pedidos!$D$2:$D$1801,MATCH(B2119,Pedidos!$A$2:$A$1801,0)),"")</f>
        <v/>
      </c>
      <c r="L2119" s="25">
        <f>IFERROR(INDEX(Pedidos!$F$2:$F$1801,MATCH(B2119,Pedidos!$A$2:$A$1801,0)),"")</f>
        <v/>
      </c>
      <c r="M2119" s="26">
        <f>IFERROR(INDEX(Pedidos!$G$2:$G$1801,MATCH(B2119,Pedidos!$A$2:$A$1801,0)),0)</f>
        <v/>
      </c>
      <c r="N2119" s="25">
        <f>IFERROR(INDEX(Produtos!$B$2:$B$71,MATCH(C2119,Produtos!$A$2:$A$71,0)),"")</f>
        <v/>
      </c>
      <c r="O2119" s="25">
        <f>IFERROR(INDEX(Produtos!$C$2:$C$71,MATCH(C2119,Produtos!$A$2:$A$71,0)),"")</f>
        <v/>
      </c>
      <c r="P2119" s="25">
        <f>IFERROR(INDEX(Produtos!$D$2:$D$71,MATCH(C2119,Produtos!$A$2:$A$71,0)),0)</f>
        <v/>
      </c>
      <c r="Q2119" s="25">
        <f>IFERROR(INDEX(Produtos!$E$2:$E$71,MATCH(C2119,Produtos!$A$2:$A$71,0)),0)</f>
        <v/>
      </c>
      <c r="R2119" s="27">
        <f>D2119*Q2119</f>
        <v/>
      </c>
      <c r="S2119" s="27">
        <f>R2119*E2119</f>
        <v/>
      </c>
      <c r="T2119" s="27">
        <f>(R2119-S2119)*M2119</f>
        <v/>
      </c>
      <c r="U2119" s="27">
        <f>R2119-S2119-T2119</f>
        <v/>
      </c>
      <c r="V2119" s="27">
        <f>D2119*P2119</f>
        <v/>
      </c>
      <c r="W2119" s="27">
        <f>U2119-V2119</f>
        <v/>
      </c>
      <c r="X2119" s="28">
        <f>IFERROR(W2119/U2119,0)</f>
        <v/>
      </c>
    </row>
    <row r="2120">
      <c r="A2120" s="21">
        <f>ItensPedido!A2120</f>
        <v/>
      </c>
      <c r="B2120" s="21">
        <f>ItensPedido!B2120</f>
        <v/>
      </c>
      <c r="C2120" s="21">
        <f>ItensPedido!C2120</f>
        <v/>
      </c>
      <c r="D2120" s="21">
        <f>ItensPedido!D2120</f>
        <v/>
      </c>
      <c r="E2120" s="22">
        <f>ItensPedido!E2120</f>
        <v/>
      </c>
      <c r="F2120" s="21">
        <f>IFERROR(INDEX(Pedidos!$B$2:$B$1801,MATCH(B2120,Pedidos!$A$2:$A$1801,0)),0)</f>
        <v/>
      </c>
      <c r="G2120" s="21">
        <f>IF(F2120=0,"",YEAR(F2120))</f>
        <v/>
      </c>
      <c r="H2120" s="21">
        <f>IF(F2120=0,"",MONTH(F2120))</f>
        <v/>
      </c>
      <c r="I2120" s="21">
        <f>IFERROR(INDEX(Pedidos!$E$2:$E$1801,MATCH(B2120,Pedidos!$A$2:$A$1801,0)),"")</f>
        <v/>
      </c>
      <c r="J2120" s="21">
        <f>IFERROR(INDEX(Pedidos!$C$2:$C$1801,MATCH(B2120,Pedidos!$A$2:$A$1801,0)),"")</f>
        <v/>
      </c>
      <c r="K2120" s="21">
        <f>IFERROR(INDEX(Pedidos!$D$2:$D$1801,MATCH(B2120,Pedidos!$A$2:$A$1801,0)),"")</f>
        <v/>
      </c>
      <c r="L2120" s="21">
        <f>IFERROR(INDEX(Pedidos!$F$2:$F$1801,MATCH(B2120,Pedidos!$A$2:$A$1801,0)),"")</f>
        <v/>
      </c>
      <c r="M2120" s="22">
        <f>IFERROR(INDEX(Pedidos!$G$2:$G$1801,MATCH(B2120,Pedidos!$A$2:$A$1801,0)),0)</f>
        <v/>
      </c>
      <c r="N2120" s="21">
        <f>IFERROR(INDEX(Produtos!$B$2:$B$71,MATCH(C2120,Produtos!$A$2:$A$71,0)),"")</f>
        <v/>
      </c>
      <c r="O2120" s="21">
        <f>IFERROR(INDEX(Produtos!$C$2:$C$71,MATCH(C2120,Produtos!$A$2:$A$71,0)),"")</f>
        <v/>
      </c>
      <c r="P2120" s="21">
        <f>IFERROR(INDEX(Produtos!$D$2:$D$71,MATCH(C2120,Produtos!$A$2:$A$71,0)),0)</f>
        <v/>
      </c>
      <c r="Q2120" s="21">
        <f>IFERROR(INDEX(Produtos!$E$2:$E$71,MATCH(C2120,Produtos!$A$2:$A$71,0)),0)</f>
        <v/>
      </c>
      <c r="R2120" s="23">
        <f>D2120*Q2120</f>
        <v/>
      </c>
      <c r="S2120" s="23">
        <f>R2120*E2120</f>
        <v/>
      </c>
      <c r="T2120" s="23">
        <f>(R2120-S2120)*M2120</f>
        <v/>
      </c>
      <c r="U2120" s="23">
        <f>R2120-S2120-T2120</f>
        <v/>
      </c>
      <c r="V2120" s="23">
        <f>D2120*P2120</f>
        <v/>
      </c>
      <c r="W2120" s="23">
        <f>U2120-V2120</f>
        <v/>
      </c>
      <c r="X2120" s="24">
        <f>IFERROR(W2120/U2120,0)</f>
        <v/>
      </c>
    </row>
    <row r="2121">
      <c r="A2121" s="25">
        <f>ItensPedido!A2121</f>
        <v/>
      </c>
      <c r="B2121" s="25">
        <f>ItensPedido!B2121</f>
        <v/>
      </c>
      <c r="C2121" s="25">
        <f>ItensPedido!C2121</f>
        <v/>
      </c>
      <c r="D2121" s="25">
        <f>ItensPedido!D2121</f>
        <v/>
      </c>
      <c r="E2121" s="26">
        <f>ItensPedido!E2121</f>
        <v/>
      </c>
      <c r="F2121" s="25">
        <f>IFERROR(INDEX(Pedidos!$B$2:$B$1801,MATCH(B2121,Pedidos!$A$2:$A$1801,0)),0)</f>
        <v/>
      </c>
      <c r="G2121" s="25">
        <f>IF(F2121=0,"",YEAR(F2121))</f>
        <v/>
      </c>
      <c r="H2121" s="25">
        <f>IF(F2121=0,"",MONTH(F2121))</f>
        <v/>
      </c>
      <c r="I2121" s="25">
        <f>IFERROR(INDEX(Pedidos!$E$2:$E$1801,MATCH(B2121,Pedidos!$A$2:$A$1801,0)),"")</f>
        <v/>
      </c>
      <c r="J2121" s="25">
        <f>IFERROR(INDEX(Pedidos!$C$2:$C$1801,MATCH(B2121,Pedidos!$A$2:$A$1801,0)),"")</f>
        <v/>
      </c>
      <c r="K2121" s="25">
        <f>IFERROR(INDEX(Pedidos!$D$2:$D$1801,MATCH(B2121,Pedidos!$A$2:$A$1801,0)),"")</f>
        <v/>
      </c>
      <c r="L2121" s="25">
        <f>IFERROR(INDEX(Pedidos!$F$2:$F$1801,MATCH(B2121,Pedidos!$A$2:$A$1801,0)),"")</f>
        <v/>
      </c>
      <c r="M2121" s="26">
        <f>IFERROR(INDEX(Pedidos!$G$2:$G$1801,MATCH(B2121,Pedidos!$A$2:$A$1801,0)),0)</f>
        <v/>
      </c>
      <c r="N2121" s="25">
        <f>IFERROR(INDEX(Produtos!$B$2:$B$71,MATCH(C2121,Produtos!$A$2:$A$71,0)),"")</f>
        <v/>
      </c>
      <c r="O2121" s="25">
        <f>IFERROR(INDEX(Produtos!$C$2:$C$71,MATCH(C2121,Produtos!$A$2:$A$71,0)),"")</f>
        <v/>
      </c>
      <c r="P2121" s="25">
        <f>IFERROR(INDEX(Produtos!$D$2:$D$71,MATCH(C2121,Produtos!$A$2:$A$71,0)),0)</f>
        <v/>
      </c>
      <c r="Q2121" s="25">
        <f>IFERROR(INDEX(Produtos!$E$2:$E$71,MATCH(C2121,Produtos!$A$2:$A$71,0)),0)</f>
        <v/>
      </c>
      <c r="R2121" s="27">
        <f>D2121*Q2121</f>
        <v/>
      </c>
      <c r="S2121" s="27">
        <f>R2121*E2121</f>
        <v/>
      </c>
      <c r="T2121" s="27">
        <f>(R2121-S2121)*M2121</f>
        <v/>
      </c>
      <c r="U2121" s="27">
        <f>R2121-S2121-T2121</f>
        <v/>
      </c>
      <c r="V2121" s="27">
        <f>D2121*P2121</f>
        <v/>
      </c>
      <c r="W2121" s="27">
        <f>U2121-V2121</f>
        <v/>
      </c>
      <c r="X2121" s="28">
        <f>IFERROR(W2121/U2121,0)</f>
        <v/>
      </c>
    </row>
    <row r="2122">
      <c r="A2122" s="21">
        <f>ItensPedido!A2122</f>
        <v/>
      </c>
      <c r="B2122" s="21">
        <f>ItensPedido!B2122</f>
        <v/>
      </c>
      <c r="C2122" s="21">
        <f>ItensPedido!C2122</f>
        <v/>
      </c>
      <c r="D2122" s="21">
        <f>ItensPedido!D2122</f>
        <v/>
      </c>
      <c r="E2122" s="22">
        <f>ItensPedido!E2122</f>
        <v/>
      </c>
      <c r="F2122" s="21">
        <f>IFERROR(INDEX(Pedidos!$B$2:$B$1801,MATCH(B2122,Pedidos!$A$2:$A$1801,0)),0)</f>
        <v/>
      </c>
      <c r="G2122" s="21">
        <f>IF(F2122=0,"",YEAR(F2122))</f>
        <v/>
      </c>
      <c r="H2122" s="21">
        <f>IF(F2122=0,"",MONTH(F2122))</f>
        <v/>
      </c>
      <c r="I2122" s="21">
        <f>IFERROR(INDEX(Pedidos!$E$2:$E$1801,MATCH(B2122,Pedidos!$A$2:$A$1801,0)),"")</f>
        <v/>
      </c>
      <c r="J2122" s="21">
        <f>IFERROR(INDEX(Pedidos!$C$2:$C$1801,MATCH(B2122,Pedidos!$A$2:$A$1801,0)),"")</f>
        <v/>
      </c>
      <c r="K2122" s="21">
        <f>IFERROR(INDEX(Pedidos!$D$2:$D$1801,MATCH(B2122,Pedidos!$A$2:$A$1801,0)),"")</f>
        <v/>
      </c>
      <c r="L2122" s="21">
        <f>IFERROR(INDEX(Pedidos!$F$2:$F$1801,MATCH(B2122,Pedidos!$A$2:$A$1801,0)),"")</f>
        <v/>
      </c>
      <c r="M2122" s="22">
        <f>IFERROR(INDEX(Pedidos!$G$2:$G$1801,MATCH(B2122,Pedidos!$A$2:$A$1801,0)),0)</f>
        <v/>
      </c>
      <c r="N2122" s="21">
        <f>IFERROR(INDEX(Produtos!$B$2:$B$71,MATCH(C2122,Produtos!$A$2:$A$71,0)),"")</f>
        <v/>
      </c>
      <c r="O2122" s="21">
        <f>IFERROR(INDEX(Produtos!$C$2:$C$71,MATCH(C2122,Produtos!$A$2:$A$71,0)),"")</f>
        <v/>
      </c>
      <c r="P2122" s="21">
        <f>IFERROR(INDEX(Produtos!$D$2:$D$71,MATCH(C2122,Produtos!$A$2:$A$71,0)),0)</f>
        <v/>
      </c>
      <c r="Q2122" s="21">
        <f>IFERROR(INDEX(Produtos!$E$2:$E$71,MATCH(C2122,Produtos!$A$2:$A$71,0)),0)</f>
        <v/>
      </c>
      <c r="R2122" s="23">
        <f>D2122*Q2122</f>
        <v/>
      </c>
      <c r="S2122" s="23">
        <f>R2122*E2122</f>
        <v/>
      </c>
      <c r="T2122" s="23">
        <f>(R2122-S2122)*M2122</f>
        <v/>
      </c>
      <c r="U2122" s="23">
        <f>R2122-S2122-T2122</f>
        <v/>
      </c>
      <c r="V2122" s="23">
        <f>D2122*P2122</f>
        <v/>
      </c>
      <c r="W2122" s="23">
        <f>U2122-V2122</f>
        <v/>
      </c>
      <c r="X2122" s="24">
        <f>IFERROR(W2122/U2122,0)</f>
        <v/>
      </c>
    </row>
    <row r="2123">
      <c r="A2123" s="25">
        <f>ItensPedido!A2123</f>
        <v/>
      </c>
      <c r="B2123" s="25">
        <f>ItensPedido!B2123</f>
        <v/>
      </c>
      <c r="C2123" s="25">
        <f>ItensPedido!C2123</f>
        <v/>
      </c>
      <c r="D2123" s="25">
        <f>ItensPedido!D2123</f>
        <v/>
      </c>
      <c r="E2123" s="26">
        <f>ItensPedido!E2123</f>
        <v/>
      </c>
      <c r="F2123" s="25">
        <f>IFERROR(INDEX(Pedidos!$B$2:$B$1801,MATCH(B2123,Pedidos!$A$2:$A$1801,0)),0)</f>
        <v/>
      </c>
      <c r="G2123" s="25">
        <f>IF(F2123=0,"",YEAR(F2123))</f>
        <v/>
      </c>
      <c r="H2123" s="25">
        <f>IF(F2123=0,"",MONTH(F2123))</f>
        <v/>
      </c>
      <c r="I2123" s="25">
        <f>IFERROR(INDEX(Pedidos!$E$2:$E$1801,MATCH(B2123,Pedidos!$A$2:$A$1801,0)),"")</f>
        <v/>
      </c>
      <c r="J2123" s="25">
        <f>IFERROR(INDEX(Pedidos!$C$2:$C$1801,MATCH(B2123,Pedidos!$A$2:$A$1801,0)),"")</f>
        <v/>
      </c>
      <c r="K2123" s="25">
        <f>IFERROR(INDEX(Pedidos!$D$2:$D$1801,MATCH(B2123,Pedidos!$A$2:$A$1801,0)),"")</f>
        <v/>
      </c>
      <c r="L2123" s="25">
        <f>IFERROR(INDEX(Pedidos!$F$2:$F$1801,MATCH(B2123,Pedidos!$A$2:$A$1801,0)),"")</f>
        <v/>
      </c>
      <c r="M2123" s="26">
        <f>IFERROR(INDEX(Pedidos!$G$2:$G$1801,MATCH(B2123,Pedidos!$A$2:$A$1801,0)),0)</f>
        <v/>
      </c>
      <c r="N2123" s="25">
        <f>IFERROR(INDEX(Produtos!$B$2:$B$71,MATCH(C2123,Produtos!$A$2:$A$71,0)),"")</f>
        <v/>
      </c>
      <c r="O2123" s="25">
        <f>IFERROR(INDEX(Produtos!$C$2:$C$71,MATCH(C2123,Produtos!$A$2:$A$71,0)),"")</f>
        <v/>
      </c>
      <c r="P2123" s="25">
        <f>IFERROR(INDEX(Produtos!$D$2:$D$71,MATCH(C2123,Produtos!$A$2:$A$71,0)),0)</f>
        <v/>
      </c>
      <c r="Q2123" s="25">
        <f>IFERROR(INDEX(Produtos!$E$2:$E$71,MATCH(C2123,Produtos!$A$2:$A$71,0)),0)</f>
        <v/>
      </c>
      <c r="R2123" s="27">
        <f>D2123*Q2123</f>
        <v/>
      </c>
      <c r="S2123" s="27">
        <f>R2123*E2123</f>
        <v/>
      </c>
      <c r="T2123" s="27">
        <f>(R2123-S2123)*M2123</f>
        <v/>
      </c>
      <c r="U2123" s="27">
        <f>R2123-S2123-T2123</f>
        <v/>
      </c>
      <c r="V2123" s="27">
        <f>D2123*P2123</f>
        <v/>
      </c>
      <c r="W2123" s="27">
        <f>U2123-V2123</f>
        <v/>
      </c>
      <c r="X2123" s="28">
        <f>IFERROR(W2123/U2123,0)</f>
        <v/>
      </c>
    </row>
    <row r="2124">
      <c r="A2124" s="21">
        <f>ItensPedido!A2124</f>
        <v/>
      </c>
      <c r="B2124" s="21">
        <f>ItensPedido!B2124</f>
        <v/>
      </c>
      <c r="C2124" s="21">
        <f>ItensPedido!C2124</f>
        <v/>
      </c>
      <c r="D2124" s="21">
        <f>ItensPedido!D2124</f>
        <v/>
      </c>
      <c r="E2124" s="22">
        <f>ItensPedido!E2124</f>
        <v/>
      </c>
      <c r="F2124" s="21">
        <f>IFERROR(INDEX(Pedidos!$B$2:$B$1801,MATCH(B2124,Pedidos!$A$2:$A$1801,0)),0)</f>
        <v/>
      </c>
      <c r="G2124" s="21">
        <f>IF(F2124=0,"",YEAR(F2124))</f>
        <v/>
      </c>
      <c r="H2124" s="21">
        <f>IF(F2124=0,"",MONTH(F2124))</f>
        <v/>
      </c>
      <c r="I2124" s="21">
        <f>IFERROR(INDEX(Pedidos!$E$2:$E$1801,MATCH(B2124,Pedidos!$A$2:$A$1801,0)),"")</f>
        <v/>
      </c>
      <c r="J2124" s="21">
        <f>IFERROR(INDEX(Pedidos!$C$2:$C$1801,MATCH(B2124,Pedidos!$A$2:$A$1801,0)),"")</f>
        <v/>
      </c>
      <c r="K2124" s="21">
        <f>IFERROR(INDEX(Pedidos!$D$2:$D$1801,MATCH(B2124,Pedidos!$A$2:$A$1801,0)),"")</f>
        <v/>
      </c>
      <c r="L2124" s="21">
        <f>IFERROR(INDEX(Pedidos!$F$2:$F$1801,MATCH(B2124,Pedidos!$A$2:$A$1801,0)),"")</f>
        <v/>
      </c>
      <c r="M2124" s="22">
        <f>IFERROR(INDEX(Pedidos!$G$2:$G$1801,MATCH(B2124,Pedidos!$A$2:$A$1801,0)),0)</f>
        <v/>
      </c>
      <c r="N2124" s="21">
        <f>IFERROR(INDEX(Produtos!$B$2:$B$71,MATCH(C2124,Produtos!$A$2:$A$71,0)),"")</f>
        <v/>
      </c>
      <c r="O2124" s="21">
        <f>IFERROR(INDEX(Produtos!$C$2:$C$71,MATCH(C2124,Produtos!$A$2:$A$71,0)),"")</f>
        <v/>
      </c>
      <c r="P2124" s="21">
        <f>IFERROR(INDEX(Produtos!$D$2:$D$71,MATCH(C2124,Produtos!$A$2:$A$71,0)),0)</f>
        <v/>
      </c>
      <c r="Q2124" s="21">
        <f>IFERROR(INDEX(Produtos!$E$2:$E$71,MATCH(C2124,Produtos!$A$2:$A$71,0)),0)</f>
        <v/>
      </c>
      <c r="R2124" s="23">
        <f>D2124*Q2124</f>
        <v/>
      </c>
      <c r="S2124" s="23">
        <f>R2124*E2124</f>
        <v/>
      </c>
      <c r="T2124" s="23">
        <f>(R2124-S2124)*M2124</f>
        <v/>
      </c>
      <c r="U2124" s="23">
        <f>R2124-S2124-T2124</f>
        <v/>
      </c>
      <c r="V2124" s="23">
        <f>D2124*P2124</f>
        <v/>
      </c>
      <c r="W2124" s="23">
        <f>U2124-V2124</f>
        <v/>
      </c>
      <c r="X2124" s="24">
        <f>IFERROR(W2124/U2124,0)</f>
        <v/>
      </c>
    </row>
    <row r="2125">
      <c r="A2125" s="25">
        <f>ItensPedido!A2125</f>
        <v/>
      </c>
      <c r="B2125" s="25">
        <f>ItensPedido!B2125</f>
        <v/>
      </c>
      <c r="C2125" s="25">
        <f>ItensPedido!C2125</f>
        <v/>
      </c>
      <c r="D2125" s="25">
        <f>ItensPedido!D2125</f>
        <v/>
      </c>
      <c r="E2125" s="26">
        <f>ItensPedido!E2125</f>
        <v/>
      </c>
      <c r="F2125" s="25">
        <f>IFERROR(INDEX(Pedidos!$B$2:$B$1801,MATCH(B2125,Pedidos!$A$2:$A$1801,0)),0)</f>
        <v/>
      </c>
      <c r="G2125" s="25">
        <f>IF(F2125=0,"",YEAR(F2125))</f>
        <v/>
      </c>
      <c r="H2125" s="25">
        <f>IF(F2125=0,"",MONTH(F2125))</f>
        <v/>
      </c>
      <c r="I2125" s="25">
        <f>IFERROR(INDEX(Pedidos!$E$2:$E$1801,MATCH(B2125,Pedidos!$A$2:$A$1801,0)),"")</f>
        <v/>
      </c>
      <c r="J2125" s="25">
        <f>IFERROR(INDEX(Pedidos!$C$2:$C$1801,MATCH(B2125,Pedidos!$A$2:$A$1801,0)),"")</f>
        <v/>
      </c>
      <c r="K2125" s="25">
        <f>IFERROR(INDEX(Pedidos!$D$2:$D$1801,MATCH(B2125,Pedidos!$A$2:$A$1801,0)),"")</f>
        <v/>
      </c>
      <c r="L2125" s="25">
        <f>IFERROR(INDEX(Pedidos!$F$2:$F$1801,MATCH(B2125,Pedidos!$A$2:$A$1801,0)),"")</f>
        <v/>
      </c>
      <c r="M2125" s="26">
        <f>IFERROR(INDEX(Pedidos!$G$2:$G$1801,MATCH(B2125,Pedidos!$A$2:$A$1801,0)),0)</f>
        <v/>
      </c>
      <c r="N2125" s="25">
        <f>IFERROR(INDEX(Produtos!$B$2:$B$71,MATCH(C2125,Produtos!$A$2:$A$71,0)),"")</f>
        <v/>
      </c>
      <c r="O2125" s="25">
        <f>IFERROR(INDEX(Produtos!$C$2:$C$71,MATCH(C2125,Produtos!$A$2:$A$71,0)),"")</f>
        <v/>
      </c>
      <c r="P2125" s="25">
        <f>IFERROR(INDEX(Produtos!$D$2:$D$71,MATCH(C2125,Produtos!$A$2:$A$71,0)),0)</f>
        <v/>
      </c>
      <c r="Q2125" s="25">
        <f>IFERROR(INDEX(Produtos!$E$2:$E$71,MATCH(C2125,Produtos!$A$2:$A$71,0)),0)</f>
        <v/>
      </c>
      <c r="R2125" s="27">
        <f>D2125*Q2125</f>
        <v/>
      </c>
      <c r="S2125" s="27">
        <f>R2125*E2125</f>
        <v/>
      </c>
      <c r="T2125" s="27">
        <f>(R2125-S2125)*M2125</f>
        <v/>
      </c>
      <c r="U2125" s="27">
        <f>R2125-S2125-T2125</f>
        <v/>
      </c>
      <c r="V2125" s="27">
        <f>D2125*P2125</f>
        <v/>
      </c>
      <c r="W2125" s="27">
        <f>U2125-V2125</f>
        <v/>
      </c>
      <c r="X2125" s="28">
        <f>IFERROR(W2125/U2125,0)</f>
        <v/>
      </c>
    </row>
    <row r="2126">
      <c r="A2126" s="21">
        <f>ItensPedido!A2126</f>
        <v/>
      </c>
      <c r="B2126" s="21">
        <f>ItensPedido!B2126</f>
        <v/>
      </c>
      <c r="C2126" s="21">
        <f>ItensPedido!C2126</f>
        <v/>
      </c>
      <c r="D2126" s="21">
        <f>ItensPedido!D2126</f>
        <v/>
      </c>
      <c r="E2126" s="22">
        <f>ItensPedido!E2126</f>
        <v/>
      </c>
      <c r="F2126" s="21">
        <f>IFERROR(INDEX(Pedidos!$B$2:$B$1801,MATCH(B2126,Pedidos!$A$2:$A$1801,0)),0)</f>
        <v/>
      </c>
      <c r="G2126" s="21">
        <f>IF(F2126=0,"",YEAR(F2126))</f>
        <v/>
      </c>
      <c r="H2126" s="21">
        <f>IF(F2126=0,"",MONTH(F2126))</f>
        <v/>
      </c>
      <c r="I2126" s="21">
        <f>IFERROR(INDEX(Pedidos!$E$2:$E$1801,MATCH(B2126,Pedidos!$A$2:$A$1801,0)),"")</f>
        <v/>
      </c>
      <c r="J2126" s="21">
        <f>IFERROR(INDEX(Pedidos!$C$2:$C$1801,MATCH(B2126,Pedidos!$A$2:$A$1801,0)),"")</f>
        <v/>
      </c>
      <c r="K2126" s="21">
        <f>IFERROR(INDEX(Pedidos!$D$2:$D$1801,MATCH(B2126,Pedidos!$A$2:$A$1801,0)),"")</f>
        <v/>
      </c>
      <c r="L2126" s="21">
        <f>IFERROR(INDEX(Pedidos!$F$2:$F$1801,MATCH(B2126,Pedidos!$A$2:$A$1801,0)),"")</f>
        <v/>
      </c>
      <c r="M2126" s="22">
        <f>IFERROR(INDEX(Pedidos!$G$2:$G$1801,MATCH(B2126,Pedidos!$A$2:$A$1801,0)),0)</f>
        <v/>
      </c>
      <c r="N2126" s="21">
        <f>IFERROR(INDEX(Produtos!$B$2:$B$71,MATCH(C2126,Produtos!$A$2:$A$71,0)),"")</f>
        <v/>
      </c>
      <c r="O2126" s="21">
        <f>IFERROR(INDEX(Produtos!$C$2:$C$71,MATCH(C2126,Produtos!$A$2:$A$71,0)),"")</f>
        <v/>
      </c>
      <c r="P2126" s="21">
        <f>IFERROR(INDEX(Produtos!$D$2:$D$71,MATCH(C2126,Produtos!$A$2:$A$71,0)),0)</f>
        <v/>
      </c>
      <c r="Q2126" s="21">
        <f>IFERROR(INDEX(Produtos!$E$2:$E$71,MATCH(C2126,Produtos!$A$2:$A$71,0)),0)</f>
        <v/>
      </c>
      <c r="R2126" s="23">
        <f>D2126*Q2126</f>
        <v/>
      </c>
      <c r="S2126" s="23">
        <f>R2126*E2126</f>
        <v/>
      </c>
      <c r="T2126" s="23">
        <f>(R2126-S2126)*M2126</f>
        <v/>
      </c>
      <c r="U2126" s="23">
        <f>R2126-S2126-T2126</f>
        <v/>
      </c>
      <c r="V2126" s="23">
        <f>D2126*P2126</f>
        <v/>
      </c>
      <c r="W2126" s="23">
        <f>U2126-V2126</f>
        <v/>
      </c>
      <c r="X2126" s="24">
        <f>IFERROR(W2126/U2126,0)</f>
        <v/>
      </c>
    </row>
    <row r="2127">
      <c r="A2127" s="25">
        <f>ItensPedido!A2127</f>
        <v/>
      </c>
      <c r="B2127" s="25">
        <f>ItensPedido!B2127</f>
        <v/>
      </c>
      <c r="C2127" s="25">
        <f>ItensPedido!C2127</f>
        <v/>
      </c>
      <c r="D2127" s="25">
        <f>ItensPedido!D2127</f>
        <v/>
      </c>
      <c r="E2127" s="26">
        <f>ItensPedido!E2127</f>
        <v/>
      </c>
      <c r="F2127" s="25">
        <f>IFERROR(INDEX(Pedidos!$B$2:$B$1801,MATCH(B2127,Pedidos!$A$2:$A$1801,0)),0)</f>
        <v/>
      </c>
      <c r="G2127" s="25">
        <f>IF(F2127=0,"",YEAR(F2127))</f>
        <v/>
      </c>
      <c r="H2127" s="25">
        <f>IF(F2127=0,"",MONTH(F2127))</f>
        <v/>
      </c>
      <c r="I2127" s="25">
        <f>IFERROR(INDEX(Pedidos!$E$2:$E$1801,MATCH(B2127,Pedidos!$A$2:$A$1801,0)),"")</f>
        <v/>
      </c>
      <c r="J2127" s="25">
        <f>IFERROR(INDEX(Pedidos!$C$2:$C$1801,MATCH(B2127,Pedidos!$A$2:$A$1801,0)),"")</f>
        <v/>
      </c>
      <c r="K2127" s="25">
        <f>IFERROR(INDEX(Pedidos!$D$2:$D$1801,MATCH(B2127,Pedidos!$A$2:$A$1801,0)),"")</f>
        <v/>
      </c>
      <c r="L2127" s="25">
        <f>IFERROR(INDEX(Pedidos!$F$2:$F$1801,MATCH(B2127,Pedidos!$A$2:$A$1801,0)),"")</f>
        <v/>
      </c>
      <c r="M2127" s="26">
        <f>IFERROR(INDEX(Pedidos!$G$2:$G$1801,MATCH(B2127,Pedidos!$A$2:$A$1801,0)),0)</f>
        <v/>
      </c>
      <c r="N2127" s="25">
        <f>IFERROR(INDEX(Produtos!$B$2:$B$71,MATCH(C2127,Produtos!$A$2:$A$71,0)),"")</f>
        <v/>
      </c>
      <c r="O2127" s="25">
        <f>IFERROR(INDEX(Produtos!$C$2:$C$71,MATCH(C2127,Produtos!$A$2:$A$71,0)),"")</f>
        <v/>
      </c>
      <c r="P2127" s="25">
        <f>IFERROR(INDEX(Produtos!$D$2:$D$71,MATCH(C2127,Produtos!$A$2:$A$71,0)),0)</f>
        <v/>
      </c>
      <c r="Q2127" s="25">
        <f>IFERROR(INDEX(Produtos!$E$2:$E$71,MATCH(C2127,Produtos!$A$2:$A$71,0)),0)</f>
        <v/>
      </c>
      <c r="R2127" s="27">
        <f>D2127*Q2127</f>
        <v/>
      </c>
      <c r="S2127" s="27">
        <f>R2127*E2127</f>
        <v/>
      </c>
      <c r="T2127" s="27">
        <f>(R2127-S2127)*M2127</f>
        <v/>
      </c>
      <c r="U2127" s="27">
        <f>R2127-S2127-T2127</f>
        <v/>
      </c>
      <c r="V2127" s="27">
        <f>D2127*P2127</f>
        <v/>
      </c>
      <c r="W2127" s="27">
        <f>U2127-V2127</f>
        <v/>
      </c>
      <c r="X2127" s="28">
        <f>IFERROR(W2127/U2127,0)</f>
        <v/>
      </c>
    </row>
    <row r="2128">
      <c r="A2128" s="21">
        <f>ItensPedido!A2128</f>
        <v/>
      </c>
      <c r="B2128" s="21">
        <f>ItensPedido!B2128</f>
        <v/>
      </c>
      <c r="C2128" s="21">
        <f>ItensPedido!C2128</f>
        <v/>
      </c>
      <c r="D2128" s="21">
        <f>ItensPedido!D2128</f>
        <v/>
      </c>
      <c r="E2128" s="22">
        <f>ItensPedido!E2128</f>
        <v/>
      </c>
      <c r="F2128" s="21">
        <f>IFERROR(INDEX(Pedidos!$B$2:$B$1801,MATCH(B2128,Pedidos!$A$2:$A$1801,0)),0)</f>
        <v/>
      </c>
      <c r="G2128" s="21">
        <f>IF(F2128=0,"",YEAR(F2128))</f>
        <v/>
      </c>
      <c r="H2128" s="21">
        <f>IF(F2128=0,"",MONTH(F2128))</f>
        <v/>
      </c>
      <c r="I2128" s="21">
        <f>IFERROR(INDEX(Pedidos!$E$2:$E$1801,MATCH(B2128,Pedidos!$A$2:$A$1801,0)),"")</f>
        <v/>
      </c>
      <c r="J2128" s="21">
        <f>IFERROR(INDEX(Pedidos!$C$2:$C$1801,MATCH(B2128,Pedidos!$A$2:$A$1801,0)),"")</f>
        <v/>
      </c>
      <c r="K2128" s="21">
        <f>IFERROR(INDEX(Pedidos!$D$2:$D$1801,MATCH(B2128,Pedidos!$A$2:$A$1801,0)),"")</f>
        <v/>
      </c>
      <c r="L2128" s="21">
        <f>IFERROR(INDEX(Pedidos!$F$2:$F$1801,MATCH(B2128,Pedidos!$A$2:$A$1801,0)),"")</f>
        <v/>
      </c>
      <c r="M2128" s="22">
        <f>IFERROR(INDEX(Pedidos!$G$2:$G$1801,MATCH(B2128,Pedidos!$A$2:$A$1801,0)),0)</f>
        <v/>
      </c>
      <c r="N2128" s="21">
        <f>IFERROR(INDEX(Produtos!$B$2:$B$71,MATCH(C2128,Produtos!$A$2:$A$71,0)),"")</f>
        <v/>
      </c>
      <c r="O2128" s="21">
        <f>IFERROR(INDEX(Produtos!$C$2:$C$71,MATCH(C2128,Produtos!$A$2:$A$71,0)),"")</f>
        <v/>
      </c>
      <c r="P2128" s="21">
        <f>IFERROR(INDEX(Produtos!$D$2:$D$71,MATCH(C2128,Produtos!$A$2:$A$71,0)),0)</f>
        <v/>
      </c>
      <c r="Q2128" s="21">
        <f>IFERROR(INDEX(Produtos!$E$2:$E$71,MATCH(C2128,Produtos!$A$2:$A$71,0)),0)</f>
        <v/>
      </c>
      <c r="R2128" s="23">
        <f>D2128*Q2128</f>
        <v/>
      </c>
      <c r="S2128" s="23">
        <f>R2128*E2128</f>
        <v/>
      </c>
      <c r="T2128" s="23">
        <f>(R2128-S2128)*M2128</f>
        <v/>
      </c>
      <c r="U2128" s="23">
        <f>R2128-S2128-T2128</f>
        <v/>
      </c>
      <c r="V2128" s="23">
        <f>D2128*P2128</f>
        <v/>
      </c>
      <c r="W2128" s="23">
        <f>U2128-V2128</f>
        <v/>
      </c>
      <c r="X2128" s="24">
        <f>IFERROR(W2128/U2128,0)</f>
        <v/>
      </c>
    </row>
    <row r="2129">
      <c r="A2129" s="25">
        <f>ItensPedido!A2129</f>
        <v/>
      </c>
      <c r="B2129" s="25">
        <f>ItensPedido!B2129</f>
        <v/>
      </c>
      <c r="C2129" s="25">
        <f>ItensPedido!C2129</f>
        <v/>
      </c>
      <c r="D2129" s="25">
        <f>ItensPedido!D2129</f>
        <v/>
      </c>
      <c r="E2129" s="26">
        <f>ItensPedido!E2129</f>
        <v/>
      </c>
      <c r="F2129" s="25">
        <f>IFERROR(INDEX(Pedidos!$B$2:$B$1801,MATCH(B2129,Pedidos!$A$2:$A$1801,0)),0)</f>
        <v/>
      </c>
      <c r="G2129" s="25">
        <f>IF(F2129=0,"",YEAR(F2129))</f>
        <v/>
      </c>
      <c r="H2129" s="25">
        <f>IF(F2129=0,"",MONTH(F2129))</f>
        <v/>
      </c>
      <c r="I2129" s="25">
        <f>IFERROR(INDEX(Pedidos!$E$2:$E$1801,MATCH(B2129,Pedidos!$A$2:$A$1801,0)),"")</f>
        <v/>
      </c>
      <c r="J2129" s="25">
        <f>IFERROR(INDEX(Pedidos!$C$2:$C$1801,MATCH(B2129,Pedidos!$A$2:$A$1801,0)),"")</f>
        <v/>
      </c>
      <c r="K2129" s="25">
        <f>IFERROR(INDEX(Pedidos!$D$2:$D$1801,MATCH(B2129,Pedidos!$A$2:$A$1801,0)),"")</f>
        <v/>
      </c>
      <c r="L2129" s="25">
        <f>IFERROR(INDEX(Pedidos!$F$2:$F$1801,MATCH(B2129,Pedidos!$A$2:$A$1801,0)),"")</f>
        <v/>
      </c>
      <c r="M2129" s="26">
        <f>IFERROR(INDEX(Pedidos!$G$2:$G$1801,MATCH(B2129,Pedidos!$A$2:$A$1801,0)),0)</f>
        <v/>
      </c>
      <c r="N2129" s="25">
        <f>IFERROR(INDEX(Produtos!$B$2:$B$71,MATCH(C2129,Produtos!$A$2:$A$71,0)),"")</f>
        <v/>
      </c>
      <c r="O2129" s="25">
        <f>IFERROR(INDEX(Produtos!$C$2:$C$71,MATCH(C2129,Produtos!$A$2:$A$71,0)),"")</f>
        <v/>
      </c>
      <c r="P2129" s="25">
        <f>IFERROR(INDEX(Produtos!$D$2:$D$71,MATCH(C2129,Produtos!$A$2:$A$71,0)),0)</f>
        <v/>
      </c>
      <c r="Q2129" s="25">
        <f>IFERROR(INDEX(Produtos!$E$2:$E$71,MATCH(C2129,Produtos!$A$2:$A$71,0)),0)</f>
        <v/>
      </c>
      <c r="R2129" s="27">
        <f>D2129*Q2129</f>
        <v/>
      </c>
      <c r="S2129" s="27">
        <f>R2129*E2129</f>
        <v/>
      </c>
      <c r="T2129" s="27">
        <f>(R2129-S2129)*M2129</f>
        <v/>
      </c>
      <c r="U2129" s="27">
        <f>R2129-S2129-T2129</f>
        <v/>
      </c>
      <c r="V2129" s="27">
        <f>D2129*P2129</f>
        <v/>
      </c>
      <c r="W2129" s="27">
        <f>U2129-V2129</f>
        <v/>
      </c>
      <c r="X2129" s="28">
        <f>IFERROR(W2129/U2129,0)</f>
        <v/>
      </c>
    </row>
    <row r="2130">
      <c r="A2130" s="21">
        <f>ItensPedido!A2130</f>
        <v/>
      </c>
      <c r="B2130" s="21">
        <f>ItensPedido!B2130</f>
        <v/>
      </c>
      <c r="C2130" s="21">
        <f>ItensPedido!C2130</f>
        <v/>
      </c>
      <c r="D2130" s="21">
        <f>ItensPedido!D2130</f>
        <v/>
      </c>
      <c r="E2130" s="22">
        <f>ItensPedido!E2130</f>
        <v/>
      </c>
      <c r="F2130" s="21">
        <f>IFERROR(INDEX(Pedidos!$B$2:$B$1801,MATCH(B2130,Pedidos!$A$2:$A$1801,0)),0)</f>
        <v/>
      </c>
      <c r="G2130" s="21">
        <f>IF(F2130=0,"",YEAR(F2130))</f>
        <v/>
      </c>
      <c r="H2130" s="21">
        <f>IF(F2130=0,"",MONTH(F2130))</f>
        <v/>
      </c>
      <c r="I2130" s="21">
        <f>IFERROR(INDEX(Pedidos!$E$2:$E$1801,MATCH(B2130,Pedidos!$A$2:$A$1801,0)),"")</f>
        <v/>
      </c>
      <c r="J2130" s="21">
        <f>IFERROR(INDEX(Pedidos!$C$2:$C$1801,MATCH(B2130,Pedidos!$A$2:$A$1801,0)),"")</f>
        <v/>
      </c>
      <c r="K2130" s="21">
        <f>IFERROR(INDEX(Pedidos!$D$2:$D$1801,MATCH(B2130,Pedidos!$A$2:$A$1801,0)),"")</f>
        <v/>
      </c>
      <c r="L2130" s="21">
        <f>IFERROR(INDEX(Pedidos!$F$2:$F$1801,MATCH(B2130,Pedidos!$A$2:$A$1801,0)),"")</f>
        <v/>
      </c>
      <c r="M2130" s="22">
        <f>IFERROR(INDEX(Pedidos!$G$2:$G$1801,MATCH(B2130,Pedidos!$A$2:$A$1801,0)),0)</f>
        <v/>
      </c>
      <c r="N2130" s="21">
        <f>IFERROR(INDEX(Produtos!$B$2:$B$71,MATCH(C2130,Produtos!$A$2:$A$71,0)),"")</f>
        <v/>
      </c>
      <c r="O2130" s="21">
        <f>IFERROR(INDEX(Produtos!$C$2:$C$71,MATCH(C2130,Produtos!$A$2:$A$71,0)),"")</f>
        <v/>
      </c>
      <c r="P2130" s="21">
        <f>IFERROR(INDEX(Produtos!$D$2:$D$71,MATCH(C2130,Produtos!$A$2:$A$71,0)),0)</f>
        <v/>
      </c>
      <c r="Q2130" s="21">
        <f>IFERROR(INDEX(Produtos!$E$2:$E$71,MATCH(C2130,Produtos!$A$2:$A$71,0)),0)</f>
        <v/>
      </c>
      <c r="R2130" s="23">
        <f>D2130*Q2130</f>
        <v/>
      </c>
      <c r="S2130" s="23">
        <f>R2130*E2130</f>
        <v/>
      </c>
      <c r="T2130" s="23">
        <f>(R2130-S2130)*M2130</f>
        <v/>
      </c>
      <c r="U2130" s="23">
        <f>R2130-S2130-T2130</f>
        <v/>
      </c>
      <c r="V2130" s="23">
        <f>D2130*P2130</f>
        <v/>
      </c>
      <c r="W2130" s="23">
        <f>U2130-V2130</f>
        <v/>
      </c>
      <c r="X2130" s="24">
        <f>IFERROR(W2130/U2130,0)</f>
        <v/>
      </c>
    </row>
    <row r="2131">
      <c r="A2131" s="25">
        <f>ItensPedido!A2131</f>
        <v/>
      </c>
      <c r="B2131" s="25">
        <f>ItensPedido!B2131</f>
        <v/>
      </c>
      <c r="C2131" s="25">
        <f>ItensPedido!C2131</f>
        <v/>
      </c>
      <c r="D2131" s="25">
        <f>ItensPedido!D2131</f>
        <v/>
      </c>
      <c r="E2131" s="26">
        <f>ItensPedido!E2131</f>
        <v/>
      </c>
      <c r="F2131" s="25">
        <f>IFERROR(INDEX(Pedidos!$B$2:$B$1801,MATCH(B2131,Pedidos!$A$2:$A$1801,0)),0)</f>
        <v/>
      </c>
      <c r="G2131" s="25">
        <f>IF(F2131=0,"",YEAR(F2131))</f>
        <v/>
      </c>
      <c r="H2131" s="25">
        <f>IF(F2131=0,"",MONTH(F2131))</f>
        <v/>
      </c>
      <c r="I2131" s="25">
        <f>IFERROR(INDEX(Pedidos!$E$2:$E$1801,MATCH(B2131,Pedidos!$A$2:$A$1801,0)),"")</f>
        <v/>
      </c>
      <c r="J2131" s="25">
        <f>IFERROR(INDEX(Pedidos!$C$2:$C$1801,MATCH(B2131,Pedidos!$A$2:$A$1801,0)),"")</f>
        <v/>
      </c>
      <c r="K2131" s="25">
        <f>IFERROR(INDEX(Pedidos!$D$2:$D$1801,MATCH(B2131,Pedidos!$A$2:$A$1801,0)),"")</f>
        <v/>
      </c>
      <c r="L2131" s="25">
        <f>IFERROR(INDEX(Pedidos!$F$2:$F$1801,MATCH(B2131,Pedidos!$A$2:$A$1801,0)),"")</f>
        <v/>
      </c>
      <c r="M2131" s="26">
        <f>IFERROR(INDEX(Pedidos!$G$2:$G$1801,MATCH(B2131,Pedidos!$A$2:$A$1801,0)),0)</f>
        <v/>
      </c>
      <c r="N2131" s="25">
        <f>IFERROR(INDEX(Produtos!$B$2:$B$71,MATCH(C2131,Produtos!$A$2:$A$71,0)),"")</f>
        <v/>
      </c>
      <c r="O2131" s="25">
        <f>IFERROR(INDEX(Produtos!$C$2:$C$71,MATCH(C2131,Produtos!$A$2:$A$71,0)),"")</f>
        <v/>
      </c>
      <c r="P2131" s="25">
        <f>IFERROR(INDEX(Produtos!$D$2:$D$71,MATCH(C2131,Produtos!$A$2:$A$71,0)),0)</f>
        <v/>
      </c>
      <c r="Q2131" s="25">
        <f>IFERROR(INDEX(Produtos!$E$2:$E$71,MATCH(C2131,Produtos!$A$2:$A$71,0)),0)</f>
        <v/>
      </c>
      <c r="R2131" s="27">
        <f>D2131*Q2131</f>
        <v/>
      </c>
      <c r="S2131" s="27">
        <f>R2131*E2131</f>
        <v/>
      </c>
      <c r="T2131" s="27">
        <f>(R2131-S2131)*M2131</f>
        <v/>
      </c>
      <c r="U2131" s="27">
        <f>R2131-S2131-T2131</f>
        <v/>
      </c>
      <c r="V2131" s="27">
        <f>D2131*P2131</f>
        <v/>
      </c>
      <c r="W2131" s="27">
        <f>U2131-V2131</f>
        <v/>
      </c>
      <c r="X2131" s="28">
        <f>IFERROR(W2131/U2131,0)</f>
        <v/>
      </c>
    </row>
    <row r="2132">
      <c r="A2132" s="21">
        <f>ItensPedido!A2132</f>
        <v/>
      </c>
      <c r="B2132" s="21">
        <f>ItensPedido!B2132</f>
        <v/>
      </c>
      <c r="C2132" s="21">
        <f>ItensPedido!C2132</f>
        <v/>
      </c>
      <c r="D2132" s="21">
        <f>ItensPedido!D2132</f>
        <v/>
      </c>
      <c r="E2132" s="22">
        <f>ItensPedido!E2132</f>
        <v/>
      </c>
      <c r="F2132" s="21">
        <f>IFERROR(INDEX(Pedidos!$B$2:$B$1801,MATCH(B2132,Pedidos!$A$2:$A$1801,0)),0)</f>
        <v/>
      </c>
      <c r="G2132" s="21">
        <f>IF(F2132=0,"",YEAR(F2132))</f>
        <v/>
      </c>
      <c r="H2132" s="21">
        <f>IF(F2132=0,"",MONTH(F2132))</f>
        <v/>
      </c>
      <c r="I2132" s="21">
        <f>IFERROR(INDEX(Pedidos!$E$2:$E$1801,MATCH(B2132,Pedidos!$A$2:$A$1801,0)),"")</f>
        <v/>
      </c>
      <c r="J2132" s="21">
        <f>IFERROR(INDEX(Pedidos!$C$2:$C$1801,MATCH(B2132,Pedidos!$A$2:$A$1801,0)),"")</f>
        <v/>
      </c>
      <c r="K2132" s="21">
        <f>IFERROR(INDEX(Pedidos!$D$2:$D$1801,MATCH(B2132,Pedidos!$A$2:$A$1801,0)),"")</f>
        <v/>
      </c>
      <c r="L2132" s="21">
        <f>IFERROR(INDEX(Pedidos!$F$2:$F$1801,MATCH(B2132,Pedidos!$A$2:$A$1801,0)),"")</f>
        <v/>
      </c>
      <c r="M2132" s="22">
        <f>IFERROR(INDEX(Pedidos!$G$2:$G$1801,MATCH(B2132,Pedidos!$A$2:$A$1801,0)),0)</f>
        <v/>
      </c>
      <c r="N2132" s="21">
        <f>IFERROR(INDEX(Produtos!$B$2:$B$71,MATCH(C2132,Produtos!$A$2:$A$71,0)),"")</f>
        <v/>
      </c>
      <c r="O2132" s="21">
        <f>IFERROR(INDEX(Produtos!$C$2:$C$71,MATCH(C2132,Produtos!$A$2:$A$71,0)),"")</f>
        <v/>
      </c>
      <c r="P2132" s="21">
        <f>IFERROR(INDEX(Produtos!$D$2:$D$71,MATCH(C2132,Produtos!$A$2:$A$71,0)),0)</f>
        <v/>
      </c>
      <c r="Q2132" s="21">
        <f>IFERROR(INDEX(Produtos!$E$2:$E$71,MATCH(C2132,Produtos!$A$2:$A$71,0)),0)</f>
        <v/>
      </c>
      <c r="R2132" s="23">
        <f>D2132*Q2132</f>
        <v/>
      </c>
      <c r="S2132" s="23">
        <f>R2132*E2132</f>
        <v/>
      </c>
      <c r="T2132" s="23">
        <f>(R2132-S2132)*M2132</f>
        <v/>
      </c>
      <c r="U2132" s="23">
        <f>R2132-S2132-T2132</f>
        <v/>
      </c>
      <c r="V2132" s="23">
        <f>D2132*P2132</f>
        <v/>
      </c>
      <c r="W2132" s="23">
        <f>U2132-V2132</f>
        <v/>
      </c>
      <c r="X2132" s="24">
        <f>IFERROR(W2132/U2132,0)</f>
        <v/>
      </c>
    </row>
    <row r="2133">
      <c r="A2133" s="25">
        <f>ItensPedido!A2133</f>
        <v/>
      </c>
      <c r="B2133" s="25">
        <f>ItensPedido!B2133</f>
        <v/>
      </c>
      <c r="C2133" s="25">
        <f>ItensPedido!C2133</f>
        <v/>
      </c>
      <c r="D2133" s="25">
        <f>ItensPedido!D2133</f>
        <v/>
      </c>
      <c r="E2133" s="26">
        <f>ItensPedido!E2133</f>
        <v/>
      </c>
      <c r="F2133" s="25">
        <f>IFERROR(INDEX(Pedidos!$B$2:$B$1801,MATCH(B2133,Pedidos!$A$2:$A$1801,0)),0)</f>
        <v/>
      </c>
      <c r="G2133" s="25">
        <f>IF(F2133=0,"",YEAR(F2133))</f>
        <v/>
      </c>
      <c r="H2133" s="25">
        <f>IF(F2133=0,"",MONTH(F2133))</f>
        <v/>
      </c>
      <c r="I2133" s="25">
        <f>IFERROR(INDEX(Pedidos!$E$2:$E$1801,MATCH(B2133,Pedidos!$A$2:$A$1801,0)),"")</f>
        <v/>
      </c>
      <c r="J2133" s="25">
        <f>IFERROR(INDEX(Pedidos!$C$2:$C$1801,MATCH(B2133,Pedidos!$A$2:$A$1801,0)),"")</f>
        <v/>
      </c>
      <c r="K2133" s="25">
        <f>IFERROR(INDEX(Pedidos!$D$2:$D$1801,MATCH(B2133,Pedidos!$A$2:$A$1801,0)),"")</f>
        <v/>
      </c>
      <c r="L2133" s="25">
        <f>IFERROR(INDEX(Pedidos!$F$2:$F$1801,MATCH(B2133,Pedidos!$A$2:$A$1801,0)),"")</f>
        <v/>
      </c>
      <c r="M2133" s="26">
        <f>IFERROR(INDEX(Pedidos!$G$2:$G$1801,MATCH(B2133,Pedidos!$A$2:$A$1801,0)),0)</f>
        <v/>
      </c>
      <c r="N2133" s="25">
        <f>IFERROR(INDEX(Produtos!$B$2:$B$71,MATCH(C2133,Produtos!$A$2:$A$71,0)),"")</f>
        <v/>
      </c>
      <c r="O2133" s="25">
        <f>IFERROR(INDEX(Produtos!$C$2:$C$71,MATCH(C2133,Produtos!$A$2:$A$71,0)),"")</f>
        <v/>
      </c>
      <c r="P2133" s="25">
        <f>IFERROR(INDEX(Produtos!$D$2:$D$71,MATCH(C2133,Produtos!$A$2:$A$71,0)),0)</f>
        <v/>
      </c>
      <c r="Q2133" s="25">
        <f>IFERROR(INDEX(Produtos!$E$2:$E$71,MATCH(C2133,Produtos!$A$2:$A$71,0)),0)</f>
        <v/>
      </c>
      <c r="R2133" s="27">
        <f>D2133*Q2133</f>
        <v/>
      </c>
      <c r="S2133" s="27">
        <f>R2133*E2133</f>
        <v/>
      </c>
      <c r="T2133" s="27">
        <f>(R2133-S2133)*M2133</f>
        <v/>
      </c>
      <c r="U2133" s="27">
        <f>R2133-S2133-T2133</f>
        <v/>
      </c>
      <c r="V2133" s="27">
        <f>D2133*P2133</f>
        <v/>
      </c>
      <c r="W2133" s="27">
        <f>U2133-V2133</f>
        <v/>
      </c>
      <c r="X2133" s="28">
        <f>IFERROR(W2133/U2133,0)</f>
        <v/>
      </c>
    </row>
    <row r="2134">
      <c r="A2134" s="21">
        <f>ItensPedido!A2134</f>
        <v/>
      </c>
      <c r="B2134" s="21">
        <f>ItensPedido!B2134</f>
        <v/>
      </c>
      <c r="C2134" s="21">
        <f>ItensPedido!C2134</f>
        <v/>
      </c>
      <c r="D2134" s="21">
        <f>ItensPedido!D2134</f>
        <v/>
      </c>
      <c r="E2134" s="22">
        <f>ItensPedido!E2134</f>
        <v/>
      </c>
      <c r="F2134" s="21">
        <f>IFERROR(INDEX(Pedidos!$B$2:$B$1801,MATCH(B2134,Pedidos!$A$2:$A$1801,0)),0)</f>
        <v/>
      </c>
      <c r="G2134" s="21">
        <f>IF(F2134=0,"",YEAR(F2134))</f>
        <v/>
      </c>
      <c r="H2134" s="21">
        <f>IF(F2134=0,"",MONTH(F2134))</f>
        <v/>
      </c>
      <c r="I2134" s="21">
        <f>IFERROR(INDEX(Pedidos!$E$2:$E$1801,MATCH(B2134,Pedidos!$A$2:$A$1801,0)),"")</f>
        <v/>
      </c>
      <c r="J2134" s="21">
        <f>IFERROR(INDEX(Pedidos!$C$2:$C$1801,MATCH(B2134,Pedidos!$A$2:$A$1801,0)),"")</f>
        <v/>
      </c>
      <c r="K2134" s="21">
        <f>IFERROR(INDEX(Pedidos!$D$2:$D$1801,MATCH(B2134,Pedidos!$A$2:$A$1801,0)),"")</f>
        <v/>
      </c>
      <c r="L2134" s="21">
        <f>IFERROR(INDEX(Pedidos!$F$2:$F$1801,MATCH(B2134,Pedidos!$A$2:$A$1801,0)),"")</f>
        <v/>
      </c>
      <c r="M2134" s="22">
        <f>IFERROR(INDEX(Pedidos!$G$2:$G$1801,MATCH(B2134,Pedidos!$A$2:$A$1801,0)),0)</f>
        <v/>
      </c>
      <c r="N2134" s="21">
        <f>IFERROR(INDEX(Produtos!$B$2:$B$71,MATCH(C2134,Produtos!$A$2:$A$71,0)),"")</f>
        <v/>
      </c>
      <c r="O2134" s="21">
        <f>IFERROR(INDEX(Produtos!$C$2:$C$71,MATCH(C2134,Produtos!$A$2:$A$71,0)),"")</f>
        <v/>
      </c>
      <c r="P2134" s="21">
        <f>IFERROR(INDEX(Produtos!$D$2:$D$71,MATCH(C2134,Produtos!$A$2:$A$71,0)),0)</f>
        <v/>
      </c>
      <c r="Q2134" s="21">
        <f>IFERROR(INDEX(Produtos!$E$2:$E$71,MATCH(C2134,Produtos!$A$2:$A$71,0)),0)</f>
        <v/>
      </c>
      <c r="R2134" s="23">
        <f>D2134*Q2134</f>
        <v/>
      </c>
      <c r="S2134" s="23">
        <f>R2134*E2134</f>
        <v/>
      </c>
      <c r="T2134" s="23">
        <f>(R2134-S2134)*M2134</f>
        <v/>
      </c>
      <c r="U2134" s="23">
        <f>R2134-S2134-T2134</f>
        <v/>
      </c>
      <c r="V2134" s="23">
        <f>D2134*P2134</f>
        <v/>
      </c>
      <c r="W2134" s="23">
        <f>U2134-V2134</f>
        <v/>
      </c>
      <c r="X2134" s="24">
        <f>IFERROR(W2134/U2134,0)</f>
        <v/>
      </c>
    </row>
    <row r="2135">
      <c r="A2135" s="25">
        <f>ItensPedido!A2135</f>
        <v/>
      </c>
      <c r="B2135" s="25">
        <f>ItensPedido!B2135</f>
        <v/>
      </c>
      <c r="C2135" s="25">
        <f>ItensPedido!C2135</f>
        <v/>
      </c>
      <c r="D2135" s="25">
        <f>ItensPedido!D2135</f>
        <v/>
      </c>
      <c r="E2135" s="26">
        <f>ItensPedido!E2135</f>
        <v/>
      </c>
      <c r="F2135" s="25">
        <f>IFERROR(INDEX(Pedidos!$B$2:$B$1801,MATCH(B2135,Pedidos!$A$2:$A$1801,0)),0)</f>
        <v/>
      </c>
      <c r="G2135" s="25">
        <f>IF(F2135=0,"",YEAR(F2135))</f>
        <v/>
      </c>
      <c r="H2135" s="25">
        <f>IF(F2135=0,"",MONTH(F2135))</f>
        <v/>
      </c>
      <c r="I2135" s="25">
        <f>IFERROR(INDEX(Pedidos!$E$2:$E$1801,MATCH(B2135,Pedidos!$A$2:$A$1801,0)),"")</f>
        <v/>
      </c>
      <c r="J2135" s="25">
        <f>IFERROR(INDEX(Pedidos!$C$2:$C$1801,MATCH(B2135,Pedidos!$A$2:$A$1801,0)),"")</f>
        <v/>
      </c>
      <c r="K2135" s="25">
        <f>IFERROR(INDEX(Pedidos!$D$2:$D$1801,MATCH(B2135,Pedidos!$A$2:$A$1801,0)),"")</f>
        <v/>
      </c>
      <c r="L2135" s="25">
        <f>IFERROR(INDEX(Pedidos!$F$2:$F$1801,MATCH(B2135,Pedidos!$A$2:$A$1801,0)),"")</f>
        <v/>
      </c>
      <c r="M2135" s="26">
        <f>IFERROR(INDEX(Pedidos!$G$2:$G$1801,MATCH(B2135,Pedidos!$A$2:$A$1801,0)),0)</f>
        <v/>
      </c>
      <c r="N2135" s="25">
        <f>IFERROR(INDEX(Produtos!$B$2:$B$71,MATCH(C2135,Produtos!$A$2:$A$71,0)),"")</f>
        <v/>
      </c>
      <c r="O2135" s="25">
        <f>IFERROR(INDEX(Produtos!$C$2:$C$71,MATCH(C2135,Produtos!$A$2:$A$71,0)),"")</f>
        <v/>
      </c>
      <c r="P2135" s="25">
        <f>IFERROR(INDEX(Produtos!$D$2:$D$71,MATCH(C2135,Produtos!$A$2:$A$71,0)),0)</f>
        <v/>
      </c>
      <c r="Q2135" s="25">
        <f>IFERROR(INDEX(Produtos!$E$2:$E$71,MATCH(C2135,Produtos!$A$2:$A$71,0)),0)</f>
        <v/>
      </c>
      <c r="R2135" s="27">
        <f>D2135*Q2135</f>
        <v/>
      </c>
      <c r="S2135" s="27">
        <f>R2135*E2135</f>
        <v/>
      </c>
      <c r="T2135" s="27">
        <f>(R2135-S2135)*M2135</f>
        <v/>
      </c>
      <c r="U2135" s="27">
        <f>R2135-S2135-T2135</f>
        <v/>
      </c>
      <c r="V2135" s="27">
        <f>D2135*P2135</f>
        <v/>
      </c>
      <c r="W2135" s="27">
        <f>U2135-V2135</f>
        <v/>
      </c>
      <c r="X2135" s="28">
        <f>IFERROR(W2135/U2135,0)</f>
        <v/>
      </c>
    </row>
    <row r="2136">
      <c r="A2136" s="21">
        <f>ItensPedido!A2136</f>
        <v/>
      </c>
      <c r="B2136" s="21">
        <f>ItensPedido!B2136</f>
        <v/>
      </c>
      <c r="C2136" s="21">
        <f>ItensPedido!C2136</f>
        <v/>
      </c>
      <c r="D2136" s="21">
        <f>ItensPedido!D2136</f>
        <v/>
      </c>
      <c r="E2136" s="22">
        <f>ItensPedido!E2136</f>
        <v/>
      </c>
      <c r="F2136" s="21">
        <f>IFERROR(INDEX(Pedidos!$B$2:$B$1801,MATCH(B2136,Pedidos!$A$2:$A$1801,0)),0)</f>
        <v/>
      </c>
      <c r="G2136" s="21">
        <f>IF(F2136=0,"",YEAR(F2136))</f>
        <v/>
      </c>
      <c r="H2136" s="21">
        <f>IF(F2136=0,"",MONTH(F2136))</f>
        <v/>
      </c>
      <c r="I2136" s="21">
        <f>IFERROR(INDEX(Pedidos!$E$2:$E$1801,MATCH(B2136,Pedidos!$A$2:$A$1801,0)),"")</f>
        <v/>
      </c>
      <c r="J2136" s="21">
        <f>IFERROR(INDEX(Pedidos!$C$2:$C$1801,MATCH(B2136,Pedidos!$A$2:$A$1801,0)),"")</f>
        <v/>
      </c>
      <c r="K2136" s="21">
        <f>IFERROR(INDEX(Pedidos!$D$2:$D$1801,MATCH(B2136,Pedidos!$A$2:$A$1801,0)),"")</f>
        <v/>
      </c>
      <c r="L2136" s="21">
        <f>IFERROR(INDEX(Pedidos!$F$2:$F$1801,MATCH(B2136,Pedidos!$A$2:$A$1801,0)),"")</f>
        <v/>
      </c>
      <c r="M2136" s="22">
        <f>IFERROR(INDEX(Pedidos!$G$2:$G$1801,MATCH(B2136,Pedidos!$A$2:$A$1801,0)),0)</f>
        <v/>
      </c>
      <c r="N2136" s="21">
        <f>IFERROR(INDEX(Produtos!$B$2:$B$71,MATCH(C2136,Produtos!$A$2:$A$71,0)),"")</f>
        <v/>
      </c>
      <c r="O2136" s="21">
        <f>IFERROR(INDEX(Produtos!$C$2:$C$71,MATCH(C2136,Produtos!$A$2:$A$71,0)),"")</f>
        <v/>
      </c>
      <c r="P2136" s="21">
        <f>IFERROR(INDEX(Produtos!$D$2:$D$71,MATCH(C2136,Produtos!$A$2:$A$71,0)),0)</f>
        <v/>
      </c>
      <c r="Q2136" s="21">
        <f>IFERROR(INDEX(Produtos!$E$2:$E$71,MATCH(C2136,Produtos!$A$2:$A$71,0)),0)</f>
        <v/>
      </c>
      <c r="R2136" s="23">
        <f>D2136*Q2136</f>
        <v/>
      </c>
      <c r="S2136" s="23">
        <f>R2136*E2136</f>
        <v/>
      </c>
      <c r="T2136" s="23">
        <f>(R2136-S2136)*M2136</f>
        <v/>
      </c>
      <c r="U2136" s="23">
        <f>R2136-S2136-T2136</f>
        <v/>
      </c>
      <c r="V2136" s="23">
        <f>D2136*P2136</f>
        <v/>
      </c>
      <c r="W2136" s="23">
        <f>U2136-V2136</f>
        <v/>
      </c>
      <c r="X2136" s="24">
        <f>IFERROR(W2136/U2136,0)</f>
        <v/>
      </c>
    </row>
    <row r="2137">
      <c r="A2137" s="25">
        <f>ItensPedido!A2137</f>
        <v/>
      </c>
      <c r="B2137" s="25">
        <f>ItensPedido!B2137</f>
        <v/>
      </c>
      <c r="C2137" s="25">
        <f>ItensPedido!C2137</f>
        <v/>
      </c>
      <c r="D2137" s="25">
        <f>ItensPedido!D2137</f>
        <v/>
      </c>
      <c r="E2137" s="26">
        <f>ItensPedido!E2137</f>
        <v/>
      </c>
      <c r="F2137" s="25">
        <f>IFERROR(INDEX(Pedidos!$B$2:$B$1801,MATCH(B2137,Pedidos!$A$2:$A$1801,0)),0)</f>
        <v/>
      </c>
      <c r="G2137" s="25">
        <f>IF(F2137=0,"",YEAR(F2137))</f>
        <v/>
      </c>
      <c r="H2137" s="25">
        <f>IF(F2137=0,"",MONTH(F2137))</f>
        <v/>
      </c>
      <c r="I2137" s="25">
        <f>IFERROR(INDEX(Pedidos!$E$2:$E$1801,MATCH(B2137,Pedidos!$A$2:$A$1801,0)),"")</f>
        <v/>
      </c>
      <c r="J2137" s="25">
        <f>IFERROR(INDEX(Pedidos!$C$2:$C$1801,MATCH(B2137,Pedidos!$A$2:$A$1801,0)),"")</f>
        <v/>
      </c>
      <c r="K2137" s="25">
        <f>IFERROR(INDEX(Pedidos!$D$2:$D$1801,MATCH(B2137,Pedidos!$A$2:$A$1801,0)),"")</f>
        <v/>
      </c>
      <c r="L2137" s="25">
        <f>IFERROR(INDEX(Pedidos!$F$2:$F$1801,MATCH(B2137,Pedidos!$A$2:$A$1801,0)),"")</f>
        <v/>
      </c>
      <c r="M2137" s="26">
        <f>IFERROR(INDEX(Pedidos!$G$2:$G$1801,MATCH(B2137,Pedidos!$A$2:$A$1801,0)),0)</f>
        <v/>
      </c>
      <c r="N2137" s="25">
        <f>IFERROR(INDEX(Produtos!$B$2:$B$71,MATCH(C2137,Produtos!$A$2:$A$71,0)),"")</f>
        <v/>
      </c>
      <c r="O2137" s="25">
        <f>IFERROR(INDEX(Produtos!$C$2:$C$71,MATCH(C2137,Produtos!$A$2:$A$71,0)),"")</f>
        <v/>
      </c>
      <c r="P2137" s="25">
        <f>IFERROR(INDEX(Produtos!$D$2:$D$71,MATCH(C2137,Produtos!$A$2:$A$71,0)),0)</f>
        <v/>
      </c>
      <c r="Q2137" s="25">
        <f>IFERROR(INDEX(Produtos!$E$2:$E$71,MATCH(C2137,Produtos!$A$2:$A$71,0)),0)</f>
        <v/>
      </c>
      <c r="R2137" s="27">
        <f>D2137*Q2137</f>
        <v/>
      </c>
      <c r="S2137" s="27">
        <f>R2137*E2137</f>
        <v/>
      </c>
      <c r="T2137" s="27">
        <f>(R2137-S2137)*M2137</f>
        <v/>
      </c>
      <c r="U2137" s="27">
        <f>R2137-S2137-T2137</f>
        <v/>
      </c>
      <c r="V2137" s="27">
        <f>D2137*P2137</f>
        <v/>
      </c>
      <c r="W2137" s="27">
        <f>U2137-V2137</f>
        <v/>
      </c>
      <c r="X2137" s="28">
        <f>IFERROR(W2137/U2137,0)</f>
        <v/>
      </c>
    </row>
    <row r="2138">
      <c r="A2138" s="21">
        <f>ItensPedido!A2138</f>
        <v/>
      </c>
      <c r="B2138" s="21">
        <f>ItensPedido!B2138</f>
        <v/>
      </c>
      <c r="C2138" s="21">
        <f>ItensPedido!C2138</f>
        <v/>
      </c>
      <c r="D2138" s="21">
        <f>ItensPedido!D2138</f>
        <v/>
      </c>
      <c r="E2138" s="22">
        <f>ItensPedido!E2138</f>
        <v/>
      </c>
      <c r="F2138" s="21">
        <f>IFERROR(INDEX(Pedidos!$B$2:$B$1801,MATCH(B2138,Pedidos!$A$2:$A$1801,0)),0)</f>
        <v/>
      </c>
      <c r="G2138" s="21">
        <f>IF(F2138=0,"",YEAR(F2138))</f>
        <v/>
      </c>
      <c r="H2138" s="21">
        <f>IF(F2138=0,"",MONTH(F2138))</f>
        <v/>
      </c>
      <c r="I2138" s="21">
        <f>IFERROR(INDEX(Pedidos!$E$2:$E$1801,MATCH(B2138,Pedidos!$A$2:$A$1801,0)),"")</f>
        <v/>
      </c>
      <c r="J2138" s="21">
        <f>IFERROR(INDEX(Pedidos!$C$2:$C$1801,MATCH(B2138,Pedidos!$A$2:$A$1801,0)),"")</f>
        <v/>
      </c>
      <c r="K2138" s="21">
        <f>IFERROR(INDEX(Pedidos!$D$2:$D$1801,MATCH(B2138,Pedidos!$A$2:$A$1801,0)),"")</f>
        <v/>
      </c>
      <c r="L2138" s="21">
        <f>IFERROR(INDEX(Pedidos!$F$2:$F$1801,MATCH(B2138,Pedidos!$A$2:$A$1801,0)),"")</f>
        <v/>
      </c>
      <c r="M2138" s="22">
        <f>IFERROR(INDEX(Pedidos!$G$2:$G$1801,MATCH(B2138,Pedidos!$A$2:$A$1801,0)),0)</f>
        <v/>
      </c>
      <c r="N2138" s="21">
        <f>IFERROR(INDEX(Produtos!$B$2:$B$71,MATCH(C2138,Produtos!$A$2:$A$71,0)),"")</f>
        <v/>
      </c>
      <c r="O2138" s="21">
        <f>IFERROR(INDEX(Produtos!$C$2:$C$71,MATCH(C2138,Produtos!$A$2:$A$71,0)),"")</f>
        <v/>
      </c>
      <c r="P2138" s="21">
        <f>IFERROR(INDEX(Produtos!$D$2:$D$71,MATCH(C2138,Produtos!$A$2:$A$71,0)),0)</f>
        <v/>
      </c>
      <c r="Q2138" s="21">
        <f>IFERROR(INDEX(Produtos!$E$2:$E$71,MATCH(C2138,Produtos!$A$2:$A$71,0)),0)</f>
        <v/>
      </c>
      <c r="R2138" s="23">
        <f>D2138*Q2138</f>
        <v/>
      </c>
      <c r="S2138" s="23">
        <f>R2138*E2138</f>
        <v/>
      </c>
      <c r="T2138" s="23">
        <f>(R2138-S2138)*M2138</f>
        <v/>
      </c>
      <c r="U2138" s="23">
        <f>R2138-S2138-T2138</f>
        <v/>
      </c>
      <c r="V2138" s="23">
        <f>D2138*P2138</f>
        <v/>
      </c>
      <c r="W2138" s="23">
        <f>U2138-V2138</f>
        <v/>
      </c>
      <c r="X2138" s="24">
        <f>IFERROR(W2138/U2138,0)</f>
        <v/>
      </c>
    </row>
    <row r="2139">
      <c r="A2139" s="25">
        <f>ItensPedido!A2139</f>
        <v/>
      </c>
      <c r="B2139" s="25">
        <f>ItensPedido!B2139</f>
        <v/>
      </c>
      <c r="C2139" s="25">
        <f>ItensPedido!C2139</f>
        <v/>
      </c>
      <c r="D2139" s="25">
        <f>ItensPedido!D2139</f>
        <v/>
      </c>
      <c r="E2139" s="26">
        <f>ItensPedido!E2139</f>
        <v/>
      </c>
      <c r="F2139" s="25">
        <f>IFERROR(INDEX(Pedidos!$B$2:$B$1801,MATCH(B2139,Pedidos!$A$2:$A$1801,0)),0)</f>
        <v/>
      </c>
      <c r="G2139" s="25">
        <f>IF(F2139=0,"",YEAR(F2139))</f>
        <v/>
      </c>
      <c r="H2139" s="25">
        <f>IF(F2139=0,"",MONTH(F2139))</f>
        <v/>
      </c>
      <c r="I2139" s="25">
        <f>IFERROR(INDEX(Pedidos!$E$2:$E$1801,MATCH(B2139,Pedidos!$A$2:$A$1801,0)),"")</f>
        <v/>
      </c>
      <c r="J2139" s="25">
        <f>IFERROR(INDEX(Pedidos!$C$2:$C$1801,MATCH(B2139,Pedidos!$A$2:$A$1801,0)),"")</f>
        <v/>
      </c>
      <c r="K2139" s="25">
        <f>IFERROR(INDEX(Pedidos!$D$2:$D$1801,MATCH(B2139,Pedidos!$A$2:$A$1801,0)),"")</f>
        <v/>
      </c>
      <c r="L2139" s="25">
        <f>IFERROR(INDEX(Pedidos!$F$2:$F$1801,MATCH(B2139,Pedidos!$A$2:$A$1801,0)),"")</f>
        <v/>
      </c>
      <c r="M2139" s="26">
        <f>IFERROR(INDEX(Pedidos!$G$2:$G$1801,MATCH(B2139,Pedidos!$A$2:$A$1801,0)),0)</f>
        <v/>
      </c>
      <c r="N2139" s="25">
        <f>IFERROR(INDEX(Produtos!$B$2:$B$71,MATCH(C2139,Produtos!$A$2:$A$71,0)),"")</f>
        <v/>
      </c>
      <c r="O2139" s="25">
        <f>IFERROR(INDEX(Produtos!$C$2:$C$71,MATCH(C2139,Produtos!$A$2:$A$71,0)),"")</f>
        <v/>
      </c>
      <c r="P2139" s="25">
        <f>IFERROR(INDEX(Produtos!$D$2:$D$71,MATCH(C2139,Produtos!$A$2:$A$71,0)),0)</f>
        <v/>
      </c>
      <c r="Q2139" s="25">
        <f>IFERROR(INDEX(Produtos!$E$2:$E$71,MATCH(C2139,Produtos!$A$2:$A$71,0)),0)</f>
        <v/>
      </c>
      <c r="R2139" s="27">
        <f>D2139*Q2139</f>
        <v/>
      </c>
      <c r="S2139" s="27">
        <f>R2139*E2139</f>
        <v/>
      </c>
      <c r="T2139" s="27">
        <f>(R2139-S2139)*M2139</f>
        <v/>
      </c>
      <c r="U2139" s="27">
        <f>R2139-S2139-T2139</f>
        <v/>
      </c>
      <c r="V2139" s="27">
        <f>D2139*P2139</f>
        <v/>
      </c>
      <c r="W2139" s="27">
        <f>U2139-V2139</f>
        <v/>
      </c>
      <c r="X2139" s="28">
        <f>IFERROR(W2139/U2139,0)</f>
        <v/>
      </c>
    </row>
    <row r="2140">
      <c r="A2140" s="21">
        <f>ItensPedido!A2140</f>
        <v/>
      </c>
      <c r="B2140" s="21">
        <f>ItensPedido!B2140</f>
        <v/>
      </c>
      <c r="C2140" s="21">
        <f>ItensPedido!C2140</f>
        <v/>
      </c>
      <c r="D2140" s="21">
        <f>ItensPedido!D2140</f>
        <v/>
      </c>
      <c r="E2140" s="22">
        <f>ItensPedido!E2140</f>
        <v/>
      </c>
      <c r="F2140" s="21">
        <f>IFERROR(INDEX(Pedidos!$B$2:$B$1801,MATCH(B2140,Pedidos!$A$2:$A$1801,0)),0)</f>
        <v/>
      </c>
      <c r="G2140" s="21">
        <f>IF(F2140=0,"",YEAR(F2140))</f>
        <v/>
      </c>
      <c r="H2140" s="21">
        <f>IF(F2140=0,"",MONTH(F2140))</f>
        <v/>
      </c>
      <c r="I2140" s="21">
        <f>IFERROR(INDEX(Pedidos!$E$2:$E$1801,MATCH(B2140,Pedidos!$A$2:$A$1801,0)),"")</f>
        <v/>
      </c>
      <c r="J2140" s="21">
        <f>IFERROR(INDEX(Pedidos!$C$2:$C$1801,MATCH(B2140,Pedidos!$A$2:$A$1801,0)),"")</f>
        <v/>
      </c>
      <c r="K2140" s="21">
        <f>IFERROR(INDEX(Pedidos!$D$2:$D$1801,MATCH(B2140,Pedidos!$A$2:$A$1801,0)),"")</f>
        <v/>
      </c>
      <c r="L2140" s="21">
        <f>IFERROR(INDEX(Pedidos!$F$2:$F$1801,MATCH(B2140,Pedidos!$A$2:$A$1801,0)),"")</f>
        <v/>
      </c>
      <c r="M2140" s="22">
        <f>IFERROR(INDEX(Pedidos!$G$2:$G$1801,MATCH(B2140,Pedidos!$A$2:$A$1801,0)),0)</f>
        <v/>
      </c>
      <c r="N2140" s="21">
        <f>IFERROR(INDEX(Produtos!$B$2:$B$71,MATCH(C2140,Produtos!$A$2:$A$71,0)),"")</f>
        <v/>
      </c>
      <c r="O2140" s="21">
        <f>IFERROR(INDEX(Produtos!$C$2:$C$71,MATCH(C2140,Produtos!$A$2:$A$71,0)),"")</f>
        <v/>
      </c>
      <c r="P2140" s="21">
        <f>IFERROR(INDEX(Produtos!$D$2:$D$71,MATCH(C2140,Produtos!$A$2:$A$71,0)),0)</f>
        <v/>
      </c>
      <c r="Q2140" s="21">
        <f>IFERROR(INDEX(Produtos!$E$2:$E$71,MATCH(C2140,Produtos!$A$2:$A$71,0)),0)</f>
        <v/>
      </c>
      <c r="R2140" s="23">
        <f>D2140*Q2140</f>
        <v/>
      </c>
      <c r="S2140" s="23">
        <f>R2140*E2140</f>
        <v/>
      </c>
      <c r="T2140" s="23">
        <f>(R2140-S2140)*M2140</f>
        <v/>
      </c>
      <c r="U2140" s="23">
        <f>R2140-S2140-T2140</f>
        <v/>
      </c>
      <c r="V2140" s="23">
        <f>D2140*P2140</f>
        <v/>
      </c>
      <c r="W2140" s="23">
        <f>U2140-V2140</f>
        <v/>
      </c>
      <c r="X2140" s="24">
        <f>IFERROR(W2140/U2140,0)</f>
        <v/>
      </c>
    </row>
    <row r="2141">
      <c r="A2141" s="25">
        <f>ItensPedido!A2141</f>
        <v/>
      </c>
      <c r="B2141" s="25">
        <f>ItensPedido!B2141</f>
        <v/>
      </c>
      <c r="C2141" s="25">
        <f>ItensPedido!C2141</f>
        <v/>
      </c>
      <c r="D2141" s="25">
        <f>ItensPedido!D2141</f>
        <v/>
      </c>
      <c r="E2141" s="26">
        <f>ItensPedido!E2141</f>
        <v/>
      </c>
      <c r="F2141" s="25">
        <f>IFERROR(INDEX(Pedidos!$B$2:$B$1801,MATCH(B2141,Pedidos!$A$2:$A$1801,0)),0)</f>
        <v/>
      </c>
      <c r="G2141" s="25">
        <f>IF(F2141=0,"",YEAR(F2141))</f>
        <v/>
      </c>
      <c r="H2141" s="25">
        <f>IF(F2141=0,"",MONTH(F2141))</f>
        <v/>
      </c>
      <c r="I2141" s="25">
        <f>IFERROR(INDEX(Pedidos!$E$2:$E$1801,MATCH(B2141,Pedidos!$A$2:$A$1801,0)),"")</f>
        <v/>
      </c>
      <c r="J2141" s="25">
        <f>IFERROR(INDEX(Pedidos!$C$2:$C$1801,MATCH(B2141,Pedidos!$A$2:$A$1801,0)),"")</f>
        <v/>
      </c>
      <c r="K2141" s="25">
        <f>IFERROR(INDEX(Pedidos!$D$2:$D$1801,MATCH(B2141,Pedidos!$A$2:$A$1801,0)),"")</f>
        <v/>
      </c>
      <c r="L2141" s="25">
        <f>IFERROR(INDEX(Pedidos!$F$2:$F$1801,MATCH(B2141,Pedidos!$A$2:$A$1801,0)),"")</f>
        <v/>
      </c>
      <c r="M2141" s="26">
        <f>IFERROR(INDEX(Pedidos!$G$2:$G$1801,MATCH(B2141,Pedidos!$A$2:$A$1801,0)),0)</f>
        <v/>
      </c>
      <c r="N2141" s="25">
        <f>IFERROR(INDEX(Produtos!$B$2:$B$71,MATCH(C2141,Produtos!$A$2:$A$71,0)),"")</f>
        <v/>
      </c>
      <c r="O2141" s="25">
        <f>IFERROR(INDEX(Produtos!$C$2:$C$71,MATCH(C2141,Produtos!$A$2:$A$71,0)),"")</f>
        <v/>
      </c>
      <c r="P2141" s="25">
        <f>IFERROR(INDEX(Produtos!$D$2:$D$71,MATCH(C2141,Produtos!$A$2:$A$71,0)),0)</f>
        <v/>
      </c>
      <c r="Q2141" s="25">
        <f>IFERROR(INDEX(Produtos!$E$2:$E$71,MATCH(C2141,Produtos!$A$2:$A$71,0)),0)</f>
        <v/>
      </c>
      <c r="R2141" s="27">
        <f>D2141*Q2141</f>
        <v/>
      </c>
      <c r="S2141" s="27">
        <f>R2141*E2141</f>
        <v/>
      </c>
      <c r="T2141" s="27">
        <f>(R2141-S2141)*M2141</f>
        <v/>
      </c>
      <c r="U2141" s="27">
        <f>R2141-S2141-T2141</f>
        <v/>
      </c>
      <c r="V2141" s="27">
        <f>D2141*P2141</f>
        <v/>
      </c>
      <c r="W2141" s="27">
        <f>U2141-V2141</f>
        <v/>
      </c>
      <c r="X2141" s="28">
        <f>IFERROR(W2141/U2141,0)</f>
        <v/>
      </c>
    </row>
    <row r="2142">
      <c r="A2142" s="21">
        <f>ItensPedido!A2142</f>
        <v/>
      </c>
      <c r="B2142" s="21">
        <f>ItensPedido!B2142</f>
        <v/>
      </c>
      <c r="C2142" s="21">
        <f>ItensPedido!C2142</f>
        <v/>
      </c>
      <c r="D2142" s="21">
        <f>ItensPedido!D2142</f>
        <v/>
      </c>
      <c r="E2142" s="22">
        <f>ItensPedido!E2142</f>
        <v/>
      </c>
      <c r="F2142" s="21">
        <f>IFERROR(INDEX(Pedidos!$B$2:$B$1801,MATCH(B2142,Pedidos!$A$2:$A$1801,0)),0)</f>
        <v/>
      </c>
      <c r="G2142" s="21">
        <f>IF(F2142=0,"",YEAR(F2142))</f>
        <v/>
      </c>
      <c r="H2142" s="21">
        <f>IF(F2142=0,"",MONTH(F2142))</f>
        <v/>
      </c>
      <c r="I2142" s="21">
        <f>IFERROR(INDEX(Pedidos!$E$2:$E$1801,MATCH(B2142,Pedidos!$A$2:$A$1801,0)),"")</f>
        <v/>
      </c>
      <c r="J2142" s="21">
        <f>IFERROR(INDEX(Pedidos!$C$2:$C$1801,MATCH(B2142,Pedidos!$A$2:$A$1801,0)),"")</f>
        <v/>
      </c>
      <c r="K2142" s="21">
        <f>IFERROR(INDEX(Pedidos!$D$2:$D$1801,MATCH(B2142,Pedidos!$A$2:$A$1801,0)),"")</f>
        <v/>
      </c>
      <c r="L2142" s="21">
        <f>IFERROR(INDEX(Pedidos!$F$2:$F$1801,MATCH(B2142,Pedidos!$A$2:$A$1801,0)),"")</f>
        <v/>
      </c>
      <c r="M2142" s="22">
        <f>IFERROR(INDEX(Pedidos!$G$2:$G$1801,MATCH(B2142,Pedidos!$A$2:$A$1801,0)),0)</f>
        <v/>
      </c>
      <c r="N2142" s="21">
        <f>IFERROR(INDEX(Produtos!$B$2:$B$71,MATCH(C2142,Produtos!$A$2:$A$71,0)),"")</f>
        <v/>
      </c>
      <c r="O2142" s="21">
        <f>IFERROR(INDEX(Produtos!$C$2:$C$71,MATCH(C2142,Produtos!$A$2:$A$71,0)),"")</f>
        <v/>
      </c>
      <c r="P2142" s="21">
        <f>IFERROR(INDEX(Produtos!$D$2:$D$71,MATCH(C2142,Produtos!$A$2:$A$71,0)),0)</f>
        <v/>
      </c>
      <c r="Q2142" s="21">
        <f>IFERROR(INDEX(Produtos!$E$2:$E$71,MATCH(C2142,Produtos!$A$2:$A$71,0)),0)</f>
        <v/>
      </c>
      <c r="R2142" s="23">
        <f>D2142*Q2142</f>
        <v/>
      </c>
      <c r="S2142" s="23">
        <f>R2142*E2142</f>
        <v/>
      </c>
      <c r="T2142" s="23">
        <f>(R2142-S2142)*M2142</f>
        <v/>
      </c>
      <c r="U2142" s="23">
        <f>R2142-S2142-T2142</f>
        <v/>
      </c>
      <c r="V2142" s="23">
        <f>D2142*P2142</f>
        <v/>
      </c>
      <c r="W2142" s="23">
        <f>U2142-V2142</f>
        <v/>
      </c>
      <c r="X2142" s="24">
        <f>IFERROR(W2142/U2142,0)</f>
        <v/>
      </c>
    </row>
    <row r="2143">
      <c r="A2143" s="25">
        <f>ItensPedido!A2143</f>
        <v/>
      </c>
      <c r="B2143" s="25">
        <f>ItensPedido!B2143</f>
        <v/>
      </c>
      <c r="C2143" s="25">
        <f>ItensPedido!C2143</f>
        <v/>
      </c>
      <c r="D2143" s="25">
        <f>ItensPedido!D2143</f>
        <v/>
      </c>
      <c r="E2143" s="26">
        <f>ItensPedido!E2143</f>
        <v/>
      </c>
      <c r="F2143" s="25">
        <f>IFERROR(INDEX(Pedidos!$B$2:$B$1801,MATCH(B2143,Pedidos!$A$2:$A$1801,0)),0)</f>
        <v/>
      </c>
      <c r="G2143" s="25">
        <f>IF(F2143=0,"",YEAR(F2143))</f>
        <v/>
      </c>
      <c r="H2143" s="25">
        <f>IF(F2143=0,"",MONTH(F2143))</f>
        <v/>
      </c>
      <c r="I2143" s="25">
        <f>IFERROR(INDEX(Pedidos!$E$2:$E$1801,MATCH(B2143,Pedidos!$A$2:$A$1801,0)),"")</f>
        <v/>
      </c>
      <c r="J2143" s="25">
        <f>IFERROR(INDEX(Pedidos!$C$2:$C$1801,MATCH(B2143,Pedidos!$A$2:$A$1801,0)),"")</f>
        <v/>
      </c>
      <c r="K2143" s="25">
        <f>IFERROR(INDEX(Pedidos!$D$2:$D$1801,MATCH(B2143,Pedidos!$A$2:$A$1801,0)),"")</f>
        <v/>
      </c>
      <c r="L2143" s="25">
        <f>IFERROR(INDEX(Pedidos!$F$2:$F$1801,MATCH(B2143,Pedidos!$A$2:$A$1801,0)),"")</f>
        <v/>
      </c>
      <c r="M2143" s="26">
        <f>IFERROR(INDEX(Pedidos!$G$2:$G$1801,MATCH(B2143,Pedidos!$A$2:$A$1801,0)),0)</f>
        <v/>
      </c>
      <c r="N2143" s="25">
        <f>IFERROR(INDEX(Produtos!$B$2:$B$71,MATCH(C2143,Produtos!$A$2:$A$71,0)),"")</f>
        <v/>
      </c>
      <c r="O2143" s="25">
        <f>IFERROR(INDEX(Produtos!$C$2:$C$71,MATCH(C2143,Produtos!$A$2:$A$71,0)),"")</f>
        <v/>
      </c>
      <c r="P2143" s="25">
        <f>IFERROR(INDEX(Produtos!$D$2:$D$71,MATCH(C2143,Produtos!$A$2:$A$71,0)),0)</f>
        <v/>
      </c>
      <c r="Q2143" s="25">
        <f>IFERROR(INDEX(Produtos!$E$2:$E$71,MATCH(C2143,Produtos!$A$2:$A$71,0)),0)</f>
        <v/>
      </c>
      <c r="R2143" s="27">
        <f>D2143*Q2143</f>
        <v/>
      </c>
      <c r="S2143" s="27">
        <f>R2143*E2143</f>
        <v/>
      </c>
      <c r="T2143" s="27">
        <f>(R2143-S2143)*M2143</f>
        <v/>
      </c>
      <c r="U2143" s="27">
        <f>R2143-S2143-T2143</f>
        <v/>
      </c>
      <c r="V2143" s="27">
        <f>D2143*P2143</f>
        <v/>
      </c>
      <c r="W2143" s="27">
        <f>U2143-V2143</f>
        <v/>
      </c>
      <c r="X2143" s="28">
        <f>IFERROR(W2143/U2143,0)</f>
        <v/>
      </c>
    </row>
    <row r="2144">
      <c r="A2144" s="21">
        <f>ItensPedido!A2144</f>
        <v/>
      </c>
      <c r="B2144" s="21">
        <f>ItensPedido!B2144</f>
        <v/>
      </c>
      <c r="C2144" s="21">
        <f>ItensPedido!C2144</f>
        <v/>
      </c>
      <c r="D2144" s="21">
        <f>ItensPedido!D2144</f>
        <v/>
      </c>
      <c r="E2144" s="22">
        <f>ItensPedido!E2144</f>
        <v/>
      </c>
      <c r="F2144" s="21">
        <f>IFERROR(INDEX(Pedidos!$B$2:$B$1801,MATCH(B2144,Pedidos!$A$2:$A$1801,0)),0)</f>
        <v/>
      </c>
      <c r="G2144" s="21">
        <f>IF(F2144=0,"",YEAR(F2144))</f>
        <v/>
      </c>
      <c r="H2144" s="21">
        <f>IF(F2144=0,"",MONTH(F2144))</f>
        <v/>
      </c>
      <c r="I2144" s="21">
        <f>IFERROR(INDEX(Pedidos!$E$2:$E$1801,MATCH(B2144,Pedidos!$A$2:$A$1801,0)),"")</f>
        <v/>
      </c>
      <c r="J2144" s="21">
        <f>IFERROR(INDEX(Pedidos!$C$2:$C$1801,MATCH(B2144,Pedidos!$A$2:$A$1801,0)),"")</f>
        <v/>
      </c>
      <c r="K2144" s="21">
        <f>IFERROR(INDEX(Pedidos!$D$2:$D$1801,MATCH(B2144,Pedidos!$A$2:$A$1801,0)),"")</f>
        <v/>
      </c>
      <c r="L2144" s="21">
        <f>IFERROR(INDEX(Pedidos!$F$2:$F$1801,MATCH(B2144,Pedidos!$A$2:$A$1801,0)),"")</f>
        <v/>
      </c>
      <c r="M2144" s="22">
        <f>IFERROR(INDEX(Pedidos!$G$2:$G$1801,MATCH(B2144,Pedidos!$A$2:$A$1801,0)),0)</f>
        <v/>
      </c>
      <c r="N2144" s="21">
        <f>IFERROR(INDEX(Produtos!$B$2:$B$71,MATCH(C2144,Produtos!$A$2:$A$71,0)),"")</f>
        <v/>
      </c>
      <c r="O2144" s="21">
        <f>IFERROR(INDEX(Produtos!$C$2:$C$71,MATCH(C2144,Produtos!$A$2:$A$71,0)),"")</f>
        <v/>
      </c>
      <c r="P2144" s="21">
        <f>IFERROR(INDEX(Produtos!$D$2:$D$71,MATCH(C2144,Produtos!$A$2:$A$71,0)),0)</f>
        <v/>
      </c>
      <c r="Q2144" s="21">
        <f>IFERROR(INDEX(Produtos!$E$2:$E$71,MATCH(C2144,Produtos!$A$2:$A$71,0)),0)</f>
        <v/>
      </c>
      <c r="R2144" s="23">
        <f>D2144*Q2144</f>
        <v/>
      </c>
      <c r="S2144" s="23">
        <f>R2144*E2144</f>
        <v/>
      </c>
      <c r="T2144" s="23">
        <f>(R2144-S2144)*M2144</f>
        <v/>
      </c>
      <c r="U2144" s="23">
        <f>R2144-S2144-T2144</f>
        <v/>
      </c>
      <c r="V2144" s="23">
        <f>D2144*P2144</f>
        <v/>
      </c>
      <c r="W2144" s="23">
        <f>U2144-V2144</f>
        <v/>
      </c>
      <c r="X2144" s="24">
        <f>IFERROR(W2144/U2144,0)</f>
        <v/>
      </c>
    </row>
    <row r="2145">
      <c r="A2145" s="25">
        <f>ItensPedido!A2145</f>
        <v/>
      </c>
      <c r="B2145" s="25">
        <f>ItensPedido!B2145</f>
        <v/>
      </c>
      <c r="C2145" s="25">
        <f>ItensPedido!C2145</f>
        <v/>
      </c>
      <c r="D2145" s="25">
        <f>ItensPedido!D2145</f>
        <v/>
      </c>
      <c r="E2145" s="26">
        <f>ItensPedido!E2145</f>
        <v/>
      </c>
      <c r="F2145" s="25">
        <f>IFERROR(INDEX(Pedidos!$B$2:$B$1801,MATCH(B2145,Pedidos!$A$2:$A$1801,0)),0)</f>
        <v/>
      </c>
      <c r="G2145" s="25">
        <f>IF(F2145=0,"",YEAR(F2145))</f>
        <v/>
      </c>
      <c r="H2145" s="25">
        <f>IF(F2145=0,"",MONTH(F2145))</f>
        <v/>
      </c>
      <c r="I2145" s="25">
        <f>IFERROR(INDEX(Pedidos!$E$2:$E$1801,MATCH(B2145,Pedidos!$A$2:$A$1801,0)),"")</f>
        <v/>
      </c>
      <c r="J2145" s="25">
        <f>IFERROR(INDEX(Pedidos!$C$2:$C$1801,MATCH(B2145,Pedidos!$A$2:$A$1801,0)),"")</f>
        <v/>
      </c>
      <c r="K2145" s="25">
        <f>IFERROR(INDEX(Pedidos!$D$2:$D$1801,MATCH(B2145,Pedidos!$A$2:$A$1801,0)),"")</f>
        <v/>
      </c>
      <c r="L2145" s="25">
        <f>IFERROR(INDEX(Pedidos!$F$2:$F$1801,MATCH(B2145,Pedidos!$A$2:$A$1801,0)),"")</f>
        <v/>
      </c>
      <c r="M2145" s="26">
        <f>IFERROR(INDEX(Pedidos!$G$2:$G$1801,MATCH(B2145,Pedidos!$A$2:$A$1801,0)),0)</f>
        <v/>
      </c>
      <c r="N2145" s="25">
        <f>IFERROR(INDEX(Produtos!$B$2:$B$71,MATCH(C2145,Produtos!$A$2:$A$71,0)),"")</f>
        <v/>
      </c>
      <c r="O2145" s="25">
        <f>IFERROR(INDEX(Produtos!$C$2:$C$71,MATCH(C2145,Produtos!$A$2:$A$71,0)),"")</f>
        <v/>
      </c>
      <c r="P2145" s="25">
        <f>IFERROR(INDEX(Produtos!$D$2:$D$71,MATCH(C2145,Produtos!$A$2:$A$71,0)),0)</f>
        <v/>
      </c>
      <c r="Q2145" s="25">
        <f>IFERROR(INDEX(Produtos!$E$2:$E$71,MATCH(C2145,Produtos!$A$2:$A$71,0)),0)</f>
        <v/>
      </c>
      <c r="R2145" s="27">
        <f>D2145*Q2145</f>
        <v/>
      </c>
      <c r="S2145" s="27">
        <f>R2145*E2145</f>
        <v/>
      </c>
      <c r="T2145" s="27">
        <f>(R2145-S2145)*M2145</f>
        <v/>
      </c>
      <c r="U2145" s="27">
        <f>R2145-S2145-T2145</f>
        <v/>
      </c>
      <c r="V2145" s="27">
        <f>D2145*P2145</f>
        <v/>
      </c>
      <c r="W2145" s="27">
        <f>U2145-V2145</f>
        <v/>
      </c>
      <c r="X2145" s="28">
        <f>IFERROR(W2145/U2145,0)</f>
        <v/>
      </c>
    </row>
    <row r="2146">
      <c r="A2146" s="21">
        <f>ItensPedido!A2146</f>
        <v/>
      </c>
      <c r="B2146" s="21">
        <f>ItensPedido!B2146</f>
        <v/>
      </c>
      <c r="C2146" s="21">
        <f>ItensPedido!C2146</f>
        <v/>
      </c>
      <c r="D2146" s="21">
        <f>ItensPedido!D2146</f>
        <v/>
      </c>
      <c r="E2146" s="22">
        <f>ItensPedido!E2146</f>
        <v/>
      </c>
      <c r="F2146" s="21">
        <f>IFERROR(INDEX(Pedidos!$B$2:$B$1801,MATCH(B2146,Pedidos!$A$2:$A$1801,0)),0)</f>
        <v/>
      </c>
      <c r="G2146" s="21">
        <f>IF(F2146=0,"",YEAR(F2146))</f>
        <v/>
      </c>
      <c r="H2146" s="21">
        <f>IF(F2146=0,"",MONTH(F2146))</f>
        <v/>
      </c>
      <c r="I2146" s="21">
        <f>IFERROR(INDEX(Pedidos!$E$2:$E$1801,MATCH(B2146,Pedidos!$A$2:$A$1801,0)),"")</f>
        <v/>
      </c>
      <c r="J2146" s="21">
        <f>IFERROR(INDEX(Pedidos!$C$2:$C$1801,MATCH(B2146,Pedidos!$A$2:$A$1801,0)),"")</f>
        <v/>
      </c>
      <c r="K2146" s="21">
        <f>IFERROR(INDEX(Pedidos!$D$2:$D$1801,MATCH(B2146,Pedidos!$A$2:$A$1801,0)),"")</f>
        <v/>
      </c>
      <c r="L2146" s="21">
        <f>IFERROR(INDEX(Pedidos!$F$2:$F$1801,MATCH(B2146,Pedidos!$A$2:$A$1801,0)),"")</f>
        <v/>
      </c>
      <c r="M2146" s="22">
        <f>IFERROR(INDEX(Pedidos!$G$2:$G$1801,MATCH(B2146,Pedidos!$A$2:$A$1801,0)),0)</f>
        <v/>
      </c>
      <c r="N2146" s="21">
        <f>IFERROR(INDEX(Produtos!$B$2:$B$71,MATCH(C2146,Produtos!$A$2:$A$71,0)),"")</f>
        <v/>
      </c>
      <c r="O2146" s="21">
        <f>IFERROR(INDEX(Produtos!$C$2:$C$71,MATCH(C2146,Produtos!$A$2:$A$71,0)),"")</f>
        <v/>
      </c>
      <c r="P2146" s="21">
        <f>IFERROR(INDEX(Produtos!$D$2:$D$71,MATCH(C2146,Produtos!$A$2:$A$71,0)),0)</f>
        <v/>
      </c>
      <c r="Q2146" s="21">
        <f>IFERROR(INDEX(Produtos!$E$2:$E$71,MATCH(C2146,Produtos!$A$2:$A$71,0)),0)</f>
        <v/>
      </c>
      <c r="R2146" s="23">
        <f>D2146*Q2146</f>
        <v/>
      </c>
      <c r="S2146" s="23">
        <f>R2146*E2146</f>
        <v/>
      </c>
      <c r="T2146" s="23">
        <f>(R2146-S2146)*M2146</f>
        <v/>
      </c>
      <c r="U2146" s="23">
        <f>R2146-S2146-T2146</f>
        <v/>
      </c>
      <c r="V2146" s="23">
        <f>D2146*P2146</f>
        <v/>
      </c>
      <c r="W2146" s="23">
        <f>U2146-V2146</f>
        <v/>
      </c>
      <c r="X2146" s="24">
        <f>IFERROR(W2146/U2146,0)</f>
        <v/>
      </c>
    </row>
    <row r="2147">
      <c r="A2147" s="25">
        <f>ItensPedido!A2147</f>
        <v/>
      </c>
      <c r="B2147" s="25">
        <f>ItensPedido!B2147</f>
        <v/>
      </c>
      <c r="C2147" s="25">
        <f>ItensPedido!C2147</f>
        <v/>
      </c>
      <c r="D2147" s="25">
        <f>ItensPedido!D2147</f>
        <v/>
      </c>
      <c r="E2147" s="26">
        <f>ItensPedido!E2147</f>
        <v/>
      </c>
      <c r="F2147" s="25">
        <f>IFERROR(INDEX(Pedidos!$B$2:$B$1801,MATCH(B2147,Pedidos!$A$2:$A$1801,0)),0)</f>
        <v/>
      </c>
      <c r="G2147" s="25">
        <f>IF(F2147=0,"",YEAR(F2147))</f>
        <v/>
      </c>
      <c r="H2147" s="25">
        <f>IF(F2147=0,"",MONTH(F2147))</f>
        <v/>
      </c>
      <c r="I2147" s="25">
        <f>IFERROR(INDEX(Pedidos!$E$2:$E$1801,MATCH(B2147,Pedidos!$A$2:$A$1801,0)),"")</f>
        <v/>
      </c>
      <c r="J2147" s="25">
        <f>IFERROR(INDEX(Pedidos!$C$2:$C$1801,MATCH(B2147,Pedidos!$A$2:$A$1801,0)),"")</f>
        <v/>
      </c>
      <c r="K2147" s="25">
        <f>IFERROR(INDEX(Pedidos!$D$2:$D$1801,MATCH(B2147,Pedidos!$A$2:$A$1801,0)),"")</f>
        <v/>
      </c>
      <c r="L2147" s="25">
        <f>IFERROR(INDEX(Pedidos!$F$2:$F$1801,MATCH(B2147,Pedidos!$A$2:$A$1801,0)),"")</f>
        <v/>
      </c>
      <c r="M2147" s="26">
        <f>IFERROR(INDEX(Pedidos!$G$2:$G$1801,MATCH(B2147,Pedidos!$A$2:$A$1801,0)),0)</f>
        <v/>
      </c>
      <c r="N2147" s="25">
        <f>IFERROR(INDEX(Produtos!$B$2:$B$71,MATCH(C2147,Produtos!$A$2:$A$71,0)),"")</f>
        <v/>
      </c>
      <c r="O2147" s="25">
        <f>IFERROR(INDEX(Produtos!$C$2:$C$71,MATCH(C2147,Produtos!$A$2:$A$71,0)),"")</f>
        <v/>
      </c>
      <c r="P2147" s="25">
        <f>IFERROR(INDEX(Produtos!$D$2:$D$71,MATCH(C2147,Produtos!$A$2:$A$71,0)),0)</f>
        <v/>
      </c>
      <c r="Q2147" s="25">
        <f>IFERROR(INDEX(Produtos!$E$2:$E$71,MATCH(C2147,Produtos!$A$2:$A$71,0)),0)</f>
        <v/>
      </c>
      <c r="R2147" s="27">
        <f>D2147*Q2147</f>
        <v/>
      </c>
      <c r="S2147" s="27">
        <f>R2147*E2147</f>
        <v/>
      </c>
      <c r="T2147" s="27">
        <f>(R2147-S2147)*M2147</f>
        <v/>
      </c>
      <c r="U2147" s="27">
        <f>R2147-S2147-T2147</f>
        <v/>
      </c>
      <c r="V2147" s="27">
        <f>D2147*P2147</f>
        <v/>
      </c>
      <c r="W2147" s="27">
        <f>U2147-V2147</f>
        <v/>
      </c>
      <c r="X2147" s="28">
        <f>IFERROR(W2147/U2147,0)</f>
        <v/>
      </c>
    </row>
    <row r="2148">
      <c r="A2148" s="21">
        <f>ItensPedido!A2148</f>
        <v/>
      </c>
      <c r="B2148" s="21">
        <f>ItensPedido!B2148</f>
        <v/>
      </c>
      <c r="C2148" s="21">
        <f>ItensPedido!C2148</f>
        <v/>
      </c>
      <c r="D2148" s="21">
        <f>ItensPedido!D2148</f>
        <v/>
      </c>
      <c r="E2148" s="22">
        <f>ItensPedido!E2148</f>
        <v/>
      </c>
      <c r="F2148" s="21">
        <f>IFERROR(INDEX(Pedidos!$B$2:$B$1801,MATCH(B2148,Pedidos!$A$2:$A$1801,0)),0)</f>
        <v/>
      </c>
      <c r="G2148" s="21">
        <f>IF(F2148=0,"",YEAR(F2148))</f>
        <v/>
      </c>
      <c r="H2148" s="21">
        <f>IF(F2148=0,"",MONTH(F2148))</f>
        <v/>
      </c>
      <c r="I2148" s="21">
        <f>IFERROR(INDEX(Pedidos!$E$2:$E$1801,MATCH(B2148,Pedidos!$A$2:$A$1801,0)),"")</f>
        <v/>
      </c>
      <c r="J2148" s="21">
        <f>IFERROR(INDEX(Pedidos!$C$2:$C$1801,MATCH(B2148,Pedidos!$A$2:$A$1801,0)),"")</f>
        <v/>
      </c>
      <c r="K2148" s="21">
        <f>IFERROR(INDEX(Pedidos!$D$2:$D$1801,MATCH(B2148,Pedidos!$A$2:$A$1801,0)),"")</f>
        <v/>
      </c>
      <c r="L2148" s="21">
        <f>IFERROR(INDEX(Pedidos!$F$2:$F$1801,MATCH(B2148,Pedidos!$A$2:$A$1801,0)),"")</f>
        <v/>
      </c>
      <c r="M2148" s="22">
        <f>IFERROR(INDEX(Pedidos!$G$2:$G$1801,MATCH(B2148,Pedidos!$A$2:$A$1801,0)),0)</f>
        <v/>
      </c>
      <c r="N2148" s="21">
        <f>IFERROR(INDEX(Produtos!$B$2:$B$71,MATCH(C2148,Produtos!$A$2:$A$71,0)),"")</f>
        <v/>
      </c>
      <c r="O2148" s="21">
        <f>IFERROR(INDEX(Produtos!$C$2:$C$71,MATCH(C2148,Produtos!$A$2:$A$71,0)),"")</f>
        <v/>
      </c>
      <c r="P2148" s="21">
        <f>IFERROR(INDEX(Produtos!$D$2:$D$71,MATCH(C2148,Produtos!$A$2:$A$71,0)),0)</f>
        <v/>
      </c>
      <c r="Q2148" s="21">
        <f>IFERROR(INDEX(Produtos!$E$2:$E$71,MATCH(C2148,Produtos!$A$2:$A$71,0)),0)</f>
        <v/>
      </c>
      <c r="R2148" s="23">
        <f>D2148*Q2148</f>
        <v/>
      </c>
      <c r="S2148" s="23">
        <f>R2148*E2148</f>
        <v/>
      </c>
      <c r="T2148" s="23">
        <f>(R2148-S2148)*M2148</f>
        <v/>
      </c>
      <c r="U2148" s="23">
        <f>R2148-S2148-T2148</f>
        <v/>
      </c>
      <c r="V2148" s="23">
        <f>D2148*P2148</f>
        <v/>
      </c>
      <c r="W2148" s="23">
        <f>U2148-V2148</f>
        <v/>
      </c>
      <c r="X2148" s="24">
        <f>IFERROR(W2148/U2148,0)</f>
        <v/>
      </c>
    </row>
    <row r="2149">
      <c r="A2149" s="25">
        <f>ItensPedido!A2149</f>
        <v/>
      </c>
      <c r="B2149" s="25">
        <f>ItensPedido!B2149</f>
        <v/>
      </c>
      <c r="C2149" s="25">
        <f>ItensPedido!C2149</f>
        <v/>
      </c>
      <c r="D2149" s="25">
        <f>ItensPedido!D2149</f>
        <v/>
      </c>
      <c r="E2149" s="26">
        <f>ItensPedido!E2149</f>
        <v/>
      </c>
      <c r="F2149" s="25">
        <f>IFERROR(INDEX(Pedidos!$B$2:$B$1801,MATCH(B2149,Pedidos!$A$2:$A$1801,0)),0)</f>
        <v/>
      </c>
      <c r="G2149" s="25">
        <f>IF(F2149=0,"",YEAR(F2149))</f>
        <v/>
      </c>
      <c r="H2149" s="25">
        <f>IF(F2149=0,"",MONTH(F2149))</f>
        <v/>
      </c>
      <c r="I2149" s="25">
        <f>IFERROR(INDEX(Pedidos!$E$2:$E$1801,MATCH(B2149,Pedidos!$A$2:$A$1801,0)),"")</f>
        <v/>
      </c>
      <c r="J2149" s="25">
        <f>IFERROR(INDEX(Pedidos!$C$2:$C$1801,MATCH(B2149,Pedidos!$A$2:$A$1801,0)),"")</f>
        <v/>
      </c>
      <c r="K2149" s="25">
        <f>IFERROR(INDEX(Pedidos!$D$2:$D$1801,MATCH(B2149,Pedidos!$A$2:$A$1801,0)),"")</f>
        <v/>
      </c>
      <c r="L2149" s="25">
        <f>IFERROR(INDEX(Pedidos!$F$2:$F$1801,MATCH(B2149,Pedidos!$A$2:$A$1801,0)),"")</f>
        <v/>
      </c>
      <c r="M2149" s="26">
        <f>IFERROR(INDEX(Pedidos!$G$2:$G$1801,MATCH(B2149,Pedidos!$A$2:$A$1801,0)),0)</f>
        <v/>
      </c>
      <c r="N2149" s="25">
        <f>IFERROR(INDEX(Produtos!$B$2:$B$71,MATCH(C2149,Produtos!$A$2:$A$71,0)),"")</f>
        <v/>
      </c>
      <c r="O2149" s="25">
        <f>IFERROR(INDEX(Produtos!$C$2:$C$71,MATCH(C2149,Produtos!$A$2:$A$71,0)),"")</f>
        <v/>
      </c>
      <c r="P2149" s="25">
        <f>IFERROR(INDEX(Produtos!$D$2:$D$71,MATCH(C2149,Produtos!$A$2:$A$71,0)),0)</f>
        <v/>
      </c>
      <c r="Q2149" s="25">
        <f>IFERROR(INDEX(Produtos!$E$2:$E$71,MATCH(C2149,Produtos!$A$2:$A$71,0)),0)</f>
        <v/>
      </c>
      <c r="R2149" s="27">
        <f>D2149*Q2149</f>
        <v/>
      </c>
      <c r="S2149" s="27">
        <f>R2149*E2149</f>
        <v/>
      </c>
      <c r="T2149" s="27">
        <f>(R2149-S2149)*M2149</f>
        <v/>
      </c>
      <c r="U2149" s="27">
        <f>R2149-S2149-T2149</f>
        <v/>
      </c>
      <c r="V2149" s="27">
        <f>D2149*P2149</f>
        <v/>
      </c>
      <c r="W2149" s="27">
        <f>U2149-V2149</f>
        <v/>
      </c>
      <c r="X2149" s="28">
        <f>IFERROR(W2149/U2149,0)</f>
        <v/>
      </c>
    </row>
    <row r="2150">
      <c r="A2150" s="21">
        <f>ItensPedido!A2150</f>
        <v/>
      </c>
      <c r="B2150" s="21">
        <f>ItensPedido!B2150</f>
        <v/>
      </c>
      <c r="C2150" s="21">
        <f>ItensPedido!C2150</f>
        <v/>
      </c>
      <c r="D2150" s="21">
        <f>ItensPedido!D2150</f>
        <v/>
      </c>
      <c r="E2150" s="22">
        <f>ItensPedido!E2150</f>
        <v/>
      </c>
      <c r="F2150" s="21">
        <f>IFERROR(INDEX(Pedidos!$B$2:$B$1801,MATCH(B2150,Pedidos!$A$2:$A$1801,0)),0)</f>
        <v/>
      </c>
      <c r="G2150" s="21">
        <f>IF(F2150=0,"",YEAR(F2150))</f>
        <v/>
      </c>
      <c r="H2150" s="21">
        <f>IF(F2150=0,"",MONTH(F2150))</f>
        <v/>
      </c>
      <c r="I2150" s="21">
        <f>IFERROR(INDEX(Pedidos!$E$2:$E$1801,MATCH(B2150,Pedidos!$A$2:$A$1801,0)),"")</f>
        <v/>
      </c>
      <c r="J2150" s="21">
        <f>IFERROR(INDEX(Pedidos!$C$2:$C$1801,MATCH(B2150,Pedidos!$A$2:$A$1801,0)),"")</f>
        <v/>
      </c>
      <c r="K2150" s="21">
        <f>IFERROR(INDEX(Pedidos!$D$2:$D$1801,MATCH(B2150,Pedidos!$A$2:$A$1801,0)),"")</f>
        <v/>
      </c>
      <c r="L2150" s="21">
        <f>IFERROR(INDEX(Pedidos!$F$2:$F$1801,MATCH(B2150,Pedidos!$A$2:$A$1801,0)),"")</f>
        <v/>
      </c>
      <c r="M2150" s="22">
        <f>IFERROR(INDEX(Pedidos!$G$2:$G$1801,MATCH(B2150,Pedidos!$A$2:$A$1801,0)),0)</f>
        <v/>
      </c>
      <c r="N2150" s="21">
        <f>IFERROR(INDEX(Produtos!$B$2:$B$71,MATCH(C2150,Produtos!$A$2:$A$71,0)),"")</f>
        <v/>
      </c>
      <c r="O2150" s="21">
        <f>IFERROR(INDEX(Produtos!$C$2:$C$71,MATCH(C2150,Produtos!$A$2:$A$71,0)),"")</f>
        <v/>
      </c>
      <c r="P2150" s="21">
        <f>IFERROR(INDEX(Produtos!$D$2:$D$71,MATCH(C2150,Produtos!$A$2:$A$71,0)),0)</f>
        <v/>
      </c>
      <c r="Q2150" s="21">
        <f>IFERROR(INDEX(Produtos!$E$2:$E$71,MATCH(C2150,Produtos!$A$2:$A$71,0)),0)</f>
        <v/>
      </c>
      <c r="R2150" s="23">
        <f>D2150*Q2150</f>
        <v/>
      </c>
      <c r="S2150" s="23">
        <f>R2150*E2150</f>
        <v/>
      </c>
      <c r="T2150" s="23">
        <f>(R2150-S2150)*M2150</f>
        <v/>
      </c>
      <c r="U2150" s="23">
        <f>R2150-S2150-T2150</f>
        <v/>
      </c>
      <c r="V2150" s="23">
        <f>D2150*P2150</f>
        <v/>
      </c>
      <c r="W2150" s="23">
        <f>U2150-V2150</f>
        <v/>
      </c>
      <c r="X2150" s="24">
        <f>IFERROR(W2150/U2150,0)</f>
        <v/>
      </c>
    </row>
    <row r="2151">
      <c r="A2151" s="25">
        <f>ItensPedido!A2151</f>
        <v/>
      </c>
      <c r="B2151" s="25">
        <f>ItensPedido!B2151</f>
        <v/>
      </c>
      <c r="C2151" s="25">
        <f>ItensPedido!C2151</f>
        <v/>
      </c>
      <c r="D2151" s="25">
        <f>ItensPedido!D2151</f>
        <v/>
      </c>
      <c r="E2151" s="26">
        <f>ItensPedido!E2151</f>
        <v/>
      </c>
      <c r="F2151" s="25">
        <f>IFERROR(INDEX(Pedidos!$B$2:$B$1801,MATCH(B2151,Pedidos!$A$2:$A$1801,0)),0)</f>
        <v/>
      </c>
      <c r="G2151" s="25">
        <f>IF(F2151=0,"",YEAR(F2151))</f>
        <v/>
      </c>
      <c r="H2151" s="25">
        <f>IF(F2151=0,"",MONTH(F2151))</f>
        <v/>
      </c>
      <c r="I2151" s="25">
        <f>IFERROR(INDEX(Pedidos!$E$2:$E$1801,MATCH(B2151,Pedidos!$A$2:$A$1801,0)),"")</f>
        <v/>
      </c>
      <c r="J2151" s="25">
        <f>IFERROR(INDEX(Pedidos!$C$2:$C$1801,MATCH(B2151,Pedidos!$A$2:$A$1801,0)),"")</f>
        <v/>
      </c>
      <c r="K2151" s="25">
        <f>IFERROR(INDEX(Pedidos!$D$2:$D$1801,MATCH(B2151,Pedidos!$A$2:$A$1801,0)),"")</f>
        <v/>
      </c>
      <c r="L2151" s="25">
        <f>IFERROR(INDEX(Pedidos!$F$2:$F$1801,MATCH(B2151,Pedidos!$A$2:$A$1801,0)),"")</f>
        <v/>
      </c>
      <c r="M2151" s="26">
        <f>IFERROR(INDEX(Pedidos!$G$2:$G$1801,MATCH(B2151,Pedidos!$A$2:$A$1801,0)),0)</f>
        <v/>
      </c>
      <c r="N2151" s="25">
        <f>IFERROR(INDEX(Produtos!$B$2:$B$71,MATCH(C2151,Produtos!$A$2:$A$71,0)),"")</f>
        <v/>
      </c>
      <c r="O2151" s="25">
        <f>IFERROR(INDEX(Produtos!$C$2:$C$71,MATCH(C2151,Produtos!$A$2:$A$71,0)),"")</f>
        <v/>
      </c>
      <c r="P2151" s="25">
        <f>IFERROR(INDEX(Produtos!$D$2:$D$71,MATCH(C2151,Produtos!$A$2:$A$71,0)),0)</f>
        <v/>
      </c>
      <c r="Q2151" s="25">
        <f>IFERROR(INDEX(Produtos!$E$2:$E$71,MATCH(C2151,Produtos!$A$2:$A$71,0)),0)</f>
        <v/>
      </c>
      <c r="R2151" s="27">
        <f>D2151*Q2151</f>
        <v/>
      </c>
      <c r="S2151" s="27">
        <f>R2151*E2151</f>
        <v/>
      </c>
      <c r="T2151" s="27">
        <f>(R2151-S2151)*M2151</f>
        <v/>
      </c>
      <c r="U2151" s="27">
        <f>R2151-S2151-T2151</f>
        <v/>
      </c>
      <c r="V2151" s="27">
        <f>D2151*P2151</f>
        <v/>
      </c>
      <c r="W2151" s="27">
        <f>U2151-V2151</f>
        <v/>
      </c>
      <c r="X2151" s="28">
        <f>IFERROR(W2151/U2151,0)</f>
        <v/>
      </c>
    </row>
    <row r="2152">
      <c r="A2152" s="21">
        <f>ItensPedido!A2152</f>
        <v/>
      </c>
      <c r="B2152" s="21">
        <f>ItensPedido!B2152</f>
        <v/>
      </c>
      <c r="C2152" s="21">
        <f>ItensPedido!C2152</f>
        <v/>
      </c>
      <c r="D2152" s="21">
        <f>ItensPedido!D2152</f>
        <v/>
      </c>
      <c r="E2152" s="22">
        <f>ItensPedido!E2152</f>
        <v/>
      </c>
      <c r="F2152" s="21">
        <f>IFERROR(INDEX(Pedidos!$B$2:$B$1801,MATCH(B2152,Pedidos!$A$2:$A$1801,0)),0)</f>
        <v/>
      </c>
      <c r="G2152" s="21">
        <f>IF(F2152=0,"",YEAR(F2152))</f>
        <v/>
      </c>
      <c r="H2152" s="21">
        <f>IF(F2152=0,"",MONTH(F2152))</f>
        <v/>
      </c>
      <c r="I2152" s="21">
        <f>IFERROR(INDEX(Pedidos!$E$2:$E$1801,MATCH(B2152,Pedidos!$A$2:$A$1801,0)),"")</f>
        <v/>
      </c>
      <c r="J2152" s="21">
        <f>IFERROR(INDEX(Pedidos!$C$2:$C$1801,MATCH(B2152,Pedidos!$A$2:$A$1801,0)),"")</f>
        <v/>
      </c>
      <c r="K2152" s="21">
        <f>IFERROR(INDEX(Pedidos!$D$2:$D$1801,MATCH(B2152,Pedidos!$A$2:$A$1801,0)),"")</f>
        <v/>
      </c>
      <c r="L2152" s="21">
        <f>IFERROR(INDEX(Pedidos!$F$2:$F$1801,MATCH(B2152,Pedidos!$A$2:$A$1801,0)),"")</f>
        <v/>
      </c>
      <c r="M2152" s="22">
        <f>IFERROR(INDEX(Pedidos!$G$2:$G$1801,MATCH(B2152,Pedidos!$A$2:$A$1801,0)),0)</f>
        <v/>
      </c>
      <c r="N2152" s="21">
        <f>IFERROR(INDEX(Produtos!$B$2:$B$71,MATCH(C2152,Produtos!$A$2:$A$71,0)),"")</f>
        <v/>
      </c>
      <c r="O2152" s="21">
        <f>IFERROR(INDEX(Produtos!$C$2:$C$71,MATCH(C2152,Produtos!$A$2:$A$71,0)),"")</f>
        <v/>
      </c>
      <c r="P2152" s="21">
        <f>IFERROR(INDEX(Produtos!$D$2:$D$71,MATCH(C2152,Produtos!$A$2:$A$71,0)),0)</f>
        <v/>
      </c>
      <c r="Q2152" s="21">
        <f>IFERROR(INDEX(Produtos!$E$2:$E$71,MATCH(C2152,Produtos!$A$2:$A$71,0)),0)</f>
        <v/>
      </c>
      <c r="R2152" s="23">
        <f>D2152*Q2152</f>
        <v/>
      </c>
      <c r="S2152" s="23">
        <f>R2152*E2152</f>
        <v/>
      </c>
      <c r="T2152" s="23">
        <f>(R2152-S2152)*M2152</f>
        <v/>
      </c>
      <c r="U2152" s="23">
        <f>R2152-S2152-T2152</f>
        <v/>
      </c>
      <c r="V2152" s="23">
        <f>D2152*P2152</f>
        <v/>
      </c>
      <c r="W2152" s="23">
        <f>U2152-V2152</f>
        <v/>
      </c>
      <c r="X2152" s="24">
        <f>IFERROR(W2152/U2152,0)</f>
        <v/>
      </c>
    </row>
    <row r="2153">
      <c r="A2153" s="25">
        <f>ItensPedido!A2153</f>
        <v/>
      </c>
      <c r="B2153" s="25">
        <f>ItensPedido!B2153</f>
        <v/>
      </c>
      <c r="C2153" s="25">
        <f>ItensPedido!C2153</f>
        <v/>
      </c>
      <c r="D2153" s="25">
        <f>ItensPedido!D2153</f>
        <v/>
      </c>
      <c r="E2153" s="26">
        <f>ItensPedido!E2153</f>
        <v/>
      </c>
      <c r="F2153" s="25">
        <f>IFERROR(INDEX(Pedidos!$B$2:$B$1801,MATCH(B2153,Pedidos!$A$2:$A$1801,0)),0)</f>
        <v/>
      </c>
      <c r="G2153" s="25">
        <f>IF(F2153=0,"",YEAR(F2153))</f>
        <v/>
      </c>
      <c r="H2153" s="25">
        <f>IF(F2153=0,"",MONTH(F2153))</f>
        <v/>
      </c>
      <c r="I2153" s="25">
        <f>IFERROR(INDEX(Pedidos!$E$2:$E$1801,MATCH(B2153,Pedidos!$A$2:$A$1801,0)),"")</f>
        <v/>
      </c>
      <c r="J2153" s="25">
        <f>IFERROR(INDEX(Pedidos!$C$2:$C$1801,MATCH(B2153,Pedidos!$A$2:$A$1801,0)),"")</f>
        <v/>
      </c>
      <c r="K2153" s="25">
        <f>IFERROR(INDEX(Pedidos!$D$2:$D$1801,MATCH(B2153,Pedidos!$A$2:$A$1801,0)),"")</f>
        <v/>
      </c>
      <c r="L2153" s="25">
        <f>IFERROR(INDEX(Pedidos!$F$2:$F$1801,MATCH(B2153,Pedidos!$A$2:$A$1801,0)),"")</f>
        <v/>
      </c>
      <c r="M2153" s="26">
        <f>IFERROR(INDEX(Pedidos!$G$2:$G$1801,MATCH(B2153,Pedidos!$A$2:$A$1801,0)),0)</f>
        <v/>
      </c>
      <c r="N2153" s="25">
        <f>IFERROR(INDEX(Produtos!$B$2:$B$71,MATCH(C2153,Produtos!$A$2:$A$71,0)),"")</f>
        <v/>
      </c>
      <c r="O2153" s="25">
        <f>IFERROR(INDEX(Produtos!$C$2:$C$71,MATCH(C2153,Produtos!$A$2:$A$71,0)),"")</f>
        <v/>
      </c>
      <c r="P2153" s="25">
        <f>IFERROR(INDEX(Produtos!$D$2:$D$71,MATCH(C2153,Produtos!$A$2:$A$71,0)),0)</f>
        <v/>
      </c>
      <c r="Q2153" s="25">
        <f>IFERROR(INDEX(Produtos!$E$2:$E$71,MATCH(C2153,Produtos!$A$2:$A$71,0)),0)</f>
        <v/>
      </c>
      <c r="R2153" s="27">
        <f>D2153*Q2153</f>
        <v/>
      </c>
      <c r="S2153" s="27">
        <f>R2153*E2153</f>
        <v/>
      </c>
      <c r="T2153" s="27">
        <f>(R2153-S2153)*M2153</f>
        <v/>
      </c>
      <c r="U2153" s="27">
        <f>R2153-S2153-T2153</f>
        <v/>
      </c>
      <c r="V2153" s="27">
        <f>D2153*P2153</f>
        <v/>
      </c>
      <c r="W2153" s="27">
        <f>U2153-V2153</f>
        <v/>
      </c>
      <c r="X2153" s="28">
        <f>IFERROR(W2153/U2153,0)</f>
        <v/>
      </c>
    </row>
    <row r="2154">
      <c r="A2154" s="21">
        <f>ItensPedido!A2154</f>
        <v/>
      </c>
      <c r="B2154" s="21">
        <f>ItensPedido!B2154</f>
        <v/>
      </c>
      <c r="C2154" s="21">
        <f>ItensPedido!C2154</f>
        <v/>
      </c>
      <c r="D2154" s="21">
        <f>ItensPedido!D2154</f>
        <v/>
      </c>
      <c r="E2154" s="22">
        <f>ItensPedido!E2154</f>
        <v/>
      </c>
      <c r="F2154" s="21">
        <f>IFERROR(INDEX(Pedidos!$B$2:$B$1801,MATCH(B2154,Pedidos!$A$2:$A$1801,0)),0)</f>
        <v/>
      </c>
      <c r="G2154" s="21">
        <f>IF(F2154=0,"",YEAR(F2154))</f>
        <v/>
      </c>
      <c r="H2154" s="21">
        <f>IF(F2154=0,"",MONTH(F2154))</f>
        <v/>
      </c>
      <c r="I2154" s="21">
        <f>IFERROR(INDEX(Pedidos!$E$2:$E$1801,MATCH(B2154,Pedidos!$A$2:$A$1801,0)),"")</f>
        <v/>
      </c>
      <c r="J2154" s="21">
        <f>IFERROR(INDEX(Pedidos!$C$2:$C$1801,MATCH(B2154,Pedidos!$A$2:$A$1801,0)),"")</f>
        <v/>
      </c>
      <c r="K2154" s="21">
        <f>IFERROR(INDEX(Pedidos!$D$2:$D$1801,MATCH(B2154,Pedidos!$A$2:$A$1801,0)),"")</f>
        <v/>
      </c>
      <c r="L2154" s="21">
        <f>IFERROR(INDEX(Pedidos!$F$2:$F$1801,MATCH(B2154,Pedidos!$A$2:$A$1801,0)),"")</f>
        <v/>
      </c>
      <c r="M2154" s="22">
        <f>IFERROR(INDEX(Pedidos!$G$2:$G$1801,MATCH(B2154,Pedidos!$A$2:$A$1801,0)),0)</f>
        <v/>
      </c>
      <c r="N2154" s="21">
        <f>IFERROR(INDEX(Produtos!$B$2:$B$71,MATCH(C2154,Produtos!$A$2:$A$71,0)),"")</f>
        <v/>
      </c>
      <c r="O2154" s="21">
        <f>IFERROR(INDEX(Produtos!$C$2:$C$71,MATCH(C2154,Produtos!$A$2:$A$71,0)),"")</f>
        <v/>
      </c>
      <c r="P2154" s="21">
        <f>IFERROR(INDEX(Produtos!$D$2:$D$71,MATCH(C2154,Produtos!$A$2:$A$71,0)),0)</f>
        <v/>
      </c>
      <c r="Q2154" s="21">
        <f>IFERROR(INDEX(Produtos!$E$2:$E$71,MATCH(C2154,Produtos!$A$2:$A$71,0)),0)</f>
        <v/>
      </c>
      <c r="R2154" s="23">
        <f>D2154*Q2154</f>
        <v/>
      </c>
      <c r="S2154" s="23">
        <f>R2154*E2154</f>
        <v/>
      </c>
      <c r="T2154" s="23">
        <f>(R2154-S2154)*M2154</f>
        <v/>
      </c>
      <c r="U2154" s="23">
        <f>R2154-S2154-T2154</f>
        <v/>
      </c>
      <c r="V2154" s="23">
        <f>D2154*P2154</f>
        <v/>
      </c>
      <c r="W2154" s="23">
        <f>U2154-V2154</f>
        <v/>
      </c>
      <c r="X2154" s="24">
        <f>IFERROR(W2154/U2154,0)</f>
        <v/>
      </c>
    </row>
    <row r="2155">
      <c r="A2155" s="25">
        <f>ItensPedido!A2155</f>
        <v/>
      </c>
      <c r="B2155" s="25">
        <f>ItensPedido!B2155</f>
        <v/>
      </c>
      <c r="C2155" s="25">
        <f>ItensPedido!C2155</f>
        <v/>
      </c>
      <c r="D2155" s="25">
        <f>ItensPedido!D2155</f>
        <v/>
      </c>
      <c r="E2155" s="26">
        <f>ItensPedido!E2155</f>
        <v/>
      </c>
      <c r="F2155" s="25">
        <f>IFERROR(INDEX(Pedidos!$B$2:$B$1801,MATCH(B2155,Pedidos!$A$2:$A$1801,0)),0)</f>
        <v/>
      </c>
      <c r="G2155" s="25">
        <f>IF(F2155=0,"",YEAR(F2155))</f>
        <v/>
      </c>
      <c r="H2155" s="25">
        <f>IF(F2155=0,"",MONTH(F2155))</f>
        <v/>
      </c>
      <c r="I2155" s="25">
        <f>IFERROR(INDEX(Pedidos!$E$2:$E$1801,MATCH(B2155,Pedidos!$A$2:$A$1801,0)),"")</f>
        <v/>
      </c>
      <c r="J2155" s="25">
        <f>IFERROR(INDEX(Pedidos!$C$2:$C$1801,MATCH(B2155,Pedidos!$A$2:$A$1801,0)),"")</f>
        <v/>
      </c>
      <c r="K2155" s="25">
        <f>IFERROR(INDEX(Pedidos!$D$2:$D$1801,MATCH(B2155,Pedidos!$A$2:$A$1801,0)),"")</f>
        <v/>
      </c>
      <c r="L2155" s="25">
        <f>IFERROR(INDEX(Pedidos!$F$2:$F$1801,MATCH(B2155,Pedidos!$A$2:$A$1801,0)),"")</f>
        <v/>
      </c>
      <c r="M2155" s="26">
        <f>IFERROR(INDEX(Pedidos!$G$2:$G$1801,MATCH(B2155,Pedidos!$A$2:$A$1801,0)),0)</f>
        <v/>
      </c>
      <c r="N2155" s="25">
        <f>IFERROR(INDEX(Produtos!$B$2:$B$71,MATCH(C2155,Produtos!$A$2:$A$71,0)),"")</f>
        <v/>
      </c>
      <c r="O2155" s="25">
        <f>IFERROR(INDEX(Produtos!$C$2:$C$71,MATCH(C2155,Produtos!$A$2:$A$71,0)),"")</f>
        <v/>
      </c>
      <c r="P2155" s="25">
        <f>IFERROR(INDEX(Produtos!$D$2:$D$71,MATCH(C2155,Produtos!$A$2:$A$71,0)),0)</f>
        <v/>
      </c>
      <c r="Q2155" s="25">
        <f>IFERROR(INDEX(Produtos!$E$2:$E$71,MATCH(C2155,Produtos!$A$2:$A$71,0)),0)</f>
        <v/>
      </c>
      <c r="R2155" s="27">
        <f>D2155*Q2155</f>
        <v/>
      </c>
      <c r="S2155" s="27">
        <f>R2155*E2155</f>
        <v/>
      </c>
      <c r="T2155" s="27">
        <f>(R2155-S2155)*M2155</f>
        <v/>
      </c>
      <c r="U2155" s="27">
        <f>R2155-S2155-T2155</f>
        <v/>
      </c>
      <c r="V2155" s="27">
        <f>D2155*P2155</f>
        <v/>
      </c>
      <c r="W2155" s="27">
        <f>U2155-V2155</f>
        <v/>
      </c>
      <c r="X2155" s="28">
        <f>IFERROR(W2155/U2155,0)</f>
        <v/>
      </c>
    </row>
    <row r="2156">
      <c r="A2156" s="21">
        <f>ItensPedido!A2156</f>
        <v/>
      </c>
      <c r="B2156" s="21">
        <f>ItensPedido!B2156</f>
        <v/>
      </c>
      <c r="C2156" s="21">
        <f>ItensPedido!C2156</f>
        <v/>
      </c>
      <c r="D2156" s="21">
        <f>ItensPedido!D2156</f>
        <v/>
      </c>
      <c r="E2156" s="22">
        <f>ItensPedido!E2156</f>
        <v/>
      </c>
      <c r="F2156" s="21">
        <f>IFERROR(INDEX(Pedidos!$B$2:$B$1801,MATCH(B2156,Pedidos!$A$2:$A$1801,0)),0)</f>
        <v/>
      </c>
      <c r="G2156" s="21">
        <f>IF(F2156=0,"",YEAR(F2156))</f>
        <v/>
      </c>
      <c r="H2156" s="21">
        <f>IF(F2156=0,"",MONTH(F2156))</f>
        <v/>
      </c>
      <c r="I2156" s="21">
        <f>IFERROR(INDEX(Pedidos!$E$2:$E$1801,MATCH(B2156,Pedidos!$A$2:$A$1801,0)),"")</f>
        <v/>
      </c>
      <c r="J2156" s="21">
        <f>IFERROR(INDEX(Pedidos!$C$2:$C$1801,MATCH(B2156,Pedidos!$A$2:$A$1801,0)),"")</f>
        <v/>
      </c>
      <c r="K2156" s="21">
        <f>IFERROR(INDEX(Pedidos!$D$2:$D$1801,MATCH(B2156,Pedidos!$A$2:$A$1801,0)),"")</f>
        <v/>
      </c>
      <c r="L2156" s="21">
        <f>IFERROR(INDEX(Pedidos!$F$2:$F$1801,MATCH(B2156,Pedidos!$A$2:$A$1801,0)),"")</f>
        <v/>
      </c>
      <c r="M2156" s="22">
        <f>IFERROR(INDEX(Pedidos!$G$2:$G$1801,MATCH(B2156,Pedidos!$A$2:$A$1801,0)),0)</f>
        <v/>
      </c>
      <c r="N2156" s="21">
        <f>IFERROR(INDEX(Produtos!$B$2:$B$71,MATCH(C2156,Produtos!$A$2:$A$71,0)),"")</f>
        <v/>
      </c>
      <c r="O2156" s="21">
        <f>IFERROR(INDEX(Produtos!$C$2:$C$71,MATCH(C2156,Produtos!$A$2:$A$71,0)),"")</f>
        <v/>
      </c>
      <c r="P2156" s="21">
        <f>IFERROR(INDEX(Produtos!$D$2:$D$71,MATCH(C2156,Produtos!$A$2:$A$71,0)),0)</f>
        <v/>
      </c>
      <c r="Q2156" s="21">
        <f>IFERROR(INDEX(Produtos!$E$2:$E$71,MATCH(C2156,Produtos!$A$2:$A$71,0)),0)</f>
        <v/>
      </c>
      <c r="R2156" s="23">
        <f>D2156*Q2156</f>
        <v/>
      </c>
      <c r="S2156" s="23">
        <f>R2156*E2156</f>
        <v/>
      </c>
      <c r="T2156" s="23">
        <f>(R2156-S2156)*M2156</f>
        <v/>
      </c>
      <c r="U2156" s="23">
        <f>R2156-S2156-T2156</f>
        <v/>
      </c>
      <c r="V2156" s="23">
        <f>D2156*P2156</f>
        <v/>
      </c>
      <c r="W2156" s="23">
        <f>U2156-V2156</f>
        <v/>
      </c>
      <c r="X2156" s="24">
        <f>IFERROR(W2156/U2156,0)</f>
        <v/>
      </c>
    </row>
    <row r="2157">
      <c r="A2157" s="25">
        <f>ItensPedido!A2157</f>
        <v/>
      </c>
      <c r="B2157" s="25">
        <f>ItensPedido!B2157</f>
        <v/>
      </c>
      <c r="C2157" s="25">
        <f>ItensPedido!C2157</f>
        <v/>
      </c>
      <c r="D2157" s="25">
        <f>ItensPedido!D2157</f>
        <v/>
      </c>
      <c r="E2157" s="26">
        <f>ItensPedido!E2157</f>
        <v/>
      </c>
      <c r="F2157" s="25">
        <f>IFERROR(INDEX(Pedidos!$B$2:$B$1801,MATCH(B2157,Pedidos!$A$2:$A$1801,0)),0)</f>
        <v/>
      </c>
      <c r="G2157" s="25">
        <f>IF(F2157=0,"",YEAR(F2157))</f>
        <v/>
      </c>
      <c r="H2157" s="25">
        <f>IF(F2157=0,"",MONTH(F2157))</f>
        <v/>
      </c>
      <c r="I2157" s="25">
        <f>IFERROR(INDEX(Pedidos!$E$2:$E$1801,MATCH(B2157,Pedidos!$A$2:$A$1801,0)),"")</f>
        <v/>
      </c>
      <c r="J2157" s="25">
        <f>IFERROR(INDEX(Pedidos!$C$2:$C$1801,MATCH(B2157,Pedidos!$A$2:$A$1801,0)),"")</f>
        <v/>
      </c>
      <c r="K2157" s="25">
        <f>IFERROR(INDEX(Pedidos!$D$2:$D$1801,MATCH(B2157,Pedidos!$A$2:$A$1801,0)),"")</f>
        <v/>
      </c>
      <c r="L2157" s="25">
        <f>IFERROR(INDEX(Pedidos!$F$2:$F$1801,MATCH(B2157,Pedidos!$A$2:$A$1801,0)),"")</f>
        <v/>
      </c>
      <c r="M2157" s="26">
        <f>IFERROR(INDEX(Pedidos!$G$2:$G$1801,MATCH(B2157,Pedidos!$A$2:$A$1801,0)),0)</f>
        <v/>
      </c>
      <c r="N2157" s="25">
        <f>IFERROR(INDEX(Produtos!$B$2:$B$71,MATCH(C2157,Produtos!$A$2:$A$71,0)),"")</f>
        <v/>
      </c>
      <c r="O2157" s="25">
        <f>IFERROR(INDEX(Produtos!$C$2:$C$71,MATCH(C2157,Produtos!$A$2:$A$71,0)),"")</f>
        <v/>
      </c>
      <c r="P2157" s="25">
        <f>IFERROR(INDEX(Produtos!$D$2:$D$71,MATCH(C2157,Produtos!$A$2:$A$71,0)),0)</f>
        <v/>
      </c>
      <c r="Q2157" s="25">
        <f>IFERROR(INDEX(Produtos!$E$2:$E$71,MATCH(C2157,Produtos!$A$2:$A$71,0)),0)</f>
        <v/>
      </c>
      <c r="R2157" s="27">
        <f>D2157*Q2157</f>
        <v/>
      </c>
      <c r="S2157" s="27">
        <f>R2157*E2157</f>
        <v/>
      </c>
      <c r="T2157" s="27">
        <f>(R2157-S2157)*M2157</f>
        <v/>
      </c>
      <c r="U2157" s="27">
        <f>R2157-S2157-T2157</f>
        <v/>
      </c>
      <c r="V2157" s="27">
        <f>D2157*P2157</f>
        <v/>
      </c>
      <c r="W2157" s="27">
        <f>U2157-V2157</f>
        <v/>
      </c>
      <c r="X2157" s="28">
        <f>IFERROR(W2157/U2157,0)</f>
        <v/>
      </c>
    </row>
    <row r="2158">
      <c r="A2158" s="21">
        <f>ItensPedido!A2158</f>
        <v/>
      </c>
      <c r="B2158" s="21">
        <f>ItensPedido!B2158</f>
        <v/>
      </c>
      <c r="C2158" s="21">
        <f>ItensPedido!C2158</f>
        <v/>
      </c>
      <c r="D2158" s="21">
        <f>ItensPedido!D2158</f>
        <v/>
      </c>
      <c r="E2158" s="22">
        <f>ItensPedido!E2158</f>
        <v/>
      </c>
      <c r="F2158" s="21">
        <f>IFERROR(INDEX(Pedidos!$B$2:$B$1801,MATCH(B2158,Pedidos!$A$2:$A$1801,0)),0)</f>
        <v/>
      </c>
      <c r="G2158" s="21">
        <f>IF(F2158=0,"",YEAR(F2158))</f>
        <v/>
      </c>
      <c r="H2158" s="21">
        <f>IF(F2158=0,"",MONTH(F2158))</f>
        <v/>
      </c>
      <c r="I2158" s="21">
        <f>IFERROR(INDEX(Pedidos!$E$2:$E$1801,MATCH(B2158,Pedidos!$A$2:$A$1801,0)),"")</f>
        <v/>
      </c>
      <c r="J2158" s="21">
        <f>IFERROR(INDEX(Pedidos!$C$2:$C$1801,MATCH(B2158,Pedidos!$A$2:$A$1801,0)),"")</f>
        <v/>
      </c>
      <c r="K2158" s="21">
        <f>IFERROR(INDEX(Pedidos!$D$2:$D$1801,MATCH(B2158,Pedidos!$A$2:$A$1801,0)),"")</f>
        <v/>
      </c>
      <c r="L2158" s="21">
        <f>IFERROR(INDEX(Pedidos!$F$2:$F$1801,MATCH(B2158,Pedidos!$A$2:$A$1801,0)),"")</f>
        <v/>
      </c>
      <c r="M2158" s="22">
        <f>IFERROR(INDEX(Pedidos!$G$2:$G$1801,MATCH(B2158,Pedidos!$A$2:$A$1801,0)),0)</f>
        <v/>
      </c>
      <c r="N2158" s="21">
        <f>IFERROR(INDEX(Produtos!$B$2:$B$71,MATCH(C2158,Produtos!$A$2:$A$71,0)),"")</f>
        <v/>
      </c>
      <c r="O2158" s="21">
        <f>IFERROR(INDEX(Produtos!$C$2:$C$71,MATCH(C2158,Produtos!$A$2:$A$71,0)),"")</f>
        <v/>
      </c>
      <c r="P2158" s="21">
        <f>IFERROR(INDEX(Produtos!$D$2:$D$71,MATCH(C2158,Produtos!$A$2:$A$71,0)),0)</f>
        <v/>
      </c>
      <c r="Q2158" s="21">
        <f>IFERROR(INDEX(Produtos!$E$2:$E$71,MATCH(C2158,Produtos!$A$2:$A$71,0)),0)</f>
        <v/>
      </c>
      <c r="R2158" s="23">
        <f>D2158*Q2158</f>
        <v/>
      </c>
      <c r="S2158" s="23">
        <f>R2158*E2158</f>
        <v/>
      </c>
      <c r="T2158" s="23">
        <f>(R2158-S2158)*M2158</f>
        <v/>
      </c>
      <c r="U2158" s="23">
        <f>R2158-S2158-T2158</f>
        <v/>
      </c>
      <c r="V2158" s="23">
        <f>D2158*P2158</f>
        <v/>
      </c>
      <c r="W2158" s="23">
        <f>U2158-V2158</f>
        <v/>
      </c>
      <c r="X2158" s="24">
        <f>IFERROR(W2158/U2158,0)</f>
        <v/>
      </c>
    </row>
    <row r="2159">
      <c r="A2159" s="25">
        <f>ItensPedido!A2159</f>
        <v/>
      </c>
      <c r="B2159" s="25">
        <f>ItensPedido!B2159</f>
        <v/>
      </c>
      <c r="C2159" s="25">
        <f>ItensPedido!C2159</f>
        <v/>
      </c>
      <c r="D2159" s="25">
        <f>ItensPedido!D2159</f>
        <v/>
      </c>
      <c r="E2159" s="26">
        <f>ItensPedido!E2159</f>
        <v/>
      </c>
      <c r="F2159" s="25">
        <f>IFERROR(INDEX(Pedidos!$B$2:$B$1801,MATCH(B2159,Pedidos!$A$2:$A$1801,0)),0)</f>
        <v/>
      </c>
      <c r="G2159" s="25">
        <f>IF(F2159=0,"",YEAR(F2159))</f>
        <v/>
      </c>
      <c r="H2159" s="25">
        <f>IF(F2159=0,"",MONTH(F2159))</f>
        <v/>
      </c>
      <c r="I2159" s="25">
        <f>IFERROR(INDEX(Pedidos!$E$2:$E$1801,MATCH(B2159,Pedidos!$A$2:$A$1801,0)),"")</f>
        <v/>
      </c>
      <c r="J2159" s="25">
        <f>IFERROR(INDEX(Pedidos!$C$2:$C$1801,MATCH(B2159,Pedidos!$A$2:$A$1801,0)),"")</f>
        <v/>
      </c>
      <c r="K2159" s="25">
        <f>IFERROR(INDEX(Pedidos!$D$2:$D$1801,MATCH(B2159,Pedidos!$A$2:$A$1801,0)),"")</f>
        <v/>
      </c>
      <c r="L2159" s="25">
        <f>IFERROR(INDEX(Pedidos!$F$2:$F$1801,MATCH(B2159,Pedidos!$A$2:$A$1801,0)),"")</f>
        <v/>
      </c>
      <c r="M2159" s="26">
        <f>IFERROR(INDEX(Pedidos!$G$2:$G$1801,MATCH(B2159,Pedidos!$A$2:$A$1801,0)),0)</f>
        <v/>
      </c>
      <c r="N2159" s="25">
        <f>IFERROR(INDEX(Produtos!$B$2:$B$71,MATCH(C2159,Produtos!$A$2:$A$71,0)),"")</f>
        <v/>
      </c>
      <c r="O2159" s="25">
        <f>IFERROR(INDEX(Produtos!$C$2:$C$71,MATCH(C2159,Produtos!$A$2:$A$71,0)),"")</f>
        <v/>
      </c>
      <c r="P2159" s="25">
        <f>IFERROR(INDEX(Produtos!$D$2:$D$71,MATCH(C2159,Produtos!$A$2:$A$71,0)),0)</f>
        <v/>
      </c>
      <c r="Q2159" s="25">
        <f>IFERROR(INDEX(Produtos!$E$2:$E$71,MATCH(C2159,Produtos!$A$2:$A$71,0)),0)</f>
        <v/>
      </c>
      <c r="R2159" s="27">
        <f>D2159*Q2159</f>
        <v/>
      </c>
      <c r="S2159" s="27">
        <f>R2159*E2159</f>
        <v/>
      </c>
      <c r="T2159" s="27">
        <f>(R2159-S2159)*M2159</f>
        <v/>
      </c>
      <c r="U2159" s="27">
        <f>R2159-S2159-T2159</f>
        <v/>
      </c>
      <c r="V2159" s="27">
        <f>D2159*P2159</f>
        <v/>
      </c>
      <c r="W2159" s="27">
        <f>U2159-V2159</f>
        <v/>
      </c>
      <c r="X2159" s="28">
        <f>IFERROR(W2159/U2159,0)</f>
        <v/>
      </c>
    </row>
    <row r="2160">
      <c r="A2160" s="21">
        <f>ItensPedido!A2160</f>
        <v/>
      </c>
      <c r="B2160" s="21">
        <f>ItensPedido!B2160</f>
        <v/>
      </c>
      <c r="C2160" s="21">
        <f>ItensPedido!C2160</f>
        <v/>
      </c>
      <c r="D2160" s="21">
        <f>ItensPedido!D2160</f>
        <v/>
      </c>
      <c r="E2160" s="22">
        <f>ItensPedido!E2160</f>
        <v/>
      </c>
      <c r="F2160" s="21">
        <f>IFERROR(INDEX(Pedidos!$B$2:$B$1801,MATCH(B2160,Pedidos!$A$2:$A$1801,0)),0)</f>
        <v/>
      </c>
      <c r="G2160" s="21">
        <f>IF(F2160=0,"",YEAR(F2160))</f>
        <v/>
      </c>
      <c r="H2160" s="21">
        <f>IF(F2160=0,"",MONTH(F2160))</f>
        <v/>
      </c>
      <c r="I2160" s="21">
        <f>IFERROR(INDEX(Pedidos!$E$2:$E$1801,MATCH(B2160,Pedidos!$A$2:$A$1801,0)),"")</f>
        <v/>
      </c>
      <c r="J2160" s="21">
        <f>IFERROR(INDEX(Pedidos!$C$2:$C$1801,MATCH(B2160,Pedidos!$A$2:$A$1801,0)),"")</f>
        <v/>
      </c>
      <c r="K2160" s="21">
        <f>IFERROR(INDEX(Pedidos!$D$2:$D$1801,MATCH(B2160,Pedidos!$A$2:$A$1801,0)),"")</f>
        <v/>
      </c>
      <c r="L2160" s="21">
        <f>IFERROR(INDEX(Pedidos!$F$2:$F$1801,MATCH(B2160,Pedidos!$A$2:$A$1801,0)),"")</f>
        <v/>
      </c>
      <c r="M2160" s="22">
        <f>IFERROR(INDEX(Pedidos!$G$2:$G$1801,MATCH(B2160,Pedidos!$A$2:$A$1801,0)),0)</f>
        <v/>
      </c>
      <c r="N2160" s="21">
        <f>IFERROR(INDEX(Produtos!$B$2:$B$71,MATCH(C2160,Produtos!$A$2:$A$71,0)),"")</f>
        <v/>
      </c>
      <c r="O2160" s="21">
        <f>IFERROR(INDEX(Produtos!$C$2:$C$71,MATCH(C2160,Produtos!$A$2:$A$71,0)),"")</f>
        <v/>
      </c>
      <c r="P2160" s="21">
        <f>IFERROR(INDEX(Produtos!$D$2:$D$71,MATCH(C2160,Produtos!$A$2:$A$71,0)),0)</f>
        <v/>
      </c>
      <c r="Q2160" s="21">
        <f>IFERROR(INDEX(Produtos!$E$2:$E$71,MATCH(C2160,Produtos!$A$2:$A$71,0)),0)</f>
        <v/>
      </c>
      <c r="R2160" s="23">
        <f>D2160*Q2160</f>
        <v/>
      </c>
      <c r="S2160" s="23">
        <f>R2160*E2160</f>
        <v/>
      </c>
      <c r="T2160" s="23">
        <f>(R2160-S2160)*M2160</f>
        <v/>
      </c>
      <c r="U2160" s="23">
        <f>R2160-S2160-T2160</f>
        <v/>
      </c>
      <c r="V2160" s="23">
        <f>D2160*P2160</f>
        <v/>
      </c>
      <c r="W2160" s="23">
        <f>U2160-V2160</f>
        <v/>
      </c>
      <c r="X2160" s="24">
        <f>IFERROR(W2160/U2160,0)</f>
        <v/>
      </c>
    </row>
    <row r="2161">
      <c r="A2161" s="25">
        <f>ItensPedido!A2161</f>
        <v/>
      </c>
      <c r="B2161" s="25">
        <f>ItensPedido!B2161</f>
        <v/>
      </c>
      <c r="C2161" s="25">
        <f>ItensPedido!C2161</f>
        <v/>
      </c>
      <c r="D2161" s="25">
        <f>ItensPedido!D2161</f>
        <v/>
      </c>
      <c r="E2161" s="26">
        <f>ItensPedido!E2161</f>
        <v/>
      </c>
      <c r="F2161" s="25">
        <f>IFERROR(INDEX(Pedidos!$B$2:$B$1801,MATCH(B2161,Pedidos!$A$2:$A$1801,0)),0)</f>
        <v/>
      </c>
      <c r="G2161" s="25">
        <f>IF(F2161=0,"",YEAR(F2161))</f>
        <v/>
      </c>
      <c r="H2161" s="25">
        <f>IF(F2161=0,"",MONTH(F2161))</f>
        <v/>
      </c>
      <c r="I2161" s="25">
        <f>IFERROR(INDEX(Pedidos!$E$2:$E$1801,MATCH(B2161,Pedidos!$A$2:$A$1801,0)),"")</f>
        <v/>
      </c>
      <c r="J2161" s="25">
        <f>IFERROR(INDEX(Pedidos!$C$2:$C$1801,MATCH(B2161,Pedidos!$A$2:$A$1801,0)),"")</f>
        <v/>
      </c>
      <c r="K2161" s="25">
        <f>IFERROR(INDEX(Pedidos!$D$2:$D$1801,MATCH(B2161,Pedidos!$A$2:$A$1801,0)),"")</f>
        <v/>
      </c>
      <c r="L2161" s="25">
        <f>IFERROR(INDEX(Pedidos!$F$2:$F$1801,MATCH(B2161,Pedidos!$A$2:$A$1801,0)),"")</f>
        <v/>
      </c>
      <c r="M2161" s="26">
        <f>IFERROR(INDEX(Pedidos!$G$2:$G$1801,MATCH(B2161,Pedidos!$A$2:$A$1801,0)),0)</f>
        <v/>
      </c>
      <c r="N2161" s="25">
        <f>IFERROR(INDEX(Produtos!$B$2:$B$71,MATCH(C2161,Produtos!$A$2:$A$71,0)),"")</f>
        <v/>
      </c>
      <c r="O2161" s="25">
        <f>IFERROR(INDEX(Produtos!$C$2:$C$71,MATCH(C2161,Produtos!$A$2:$A$71,0)),"")</f>
        <v/>
      </c>
      <c r="P2161" s="25">
        <f>IFERROR(INDEX(Produtos!$D$2:$D$71,MATCH(C2161,Produtos!$A$2:$A$71,0)),0)</f>
        <v/>
      </c>
      <c r="Q2161" s="25">
        <f>IFERROR(INDEX(Produtos!$E$2:$E$71,MATCH(C2161,Produtos!$A$2:$A$71,0)),0)</f>
        <v/>
      </c>
      <c r="R2161" s="27">
        <f>D2161*Q2161</f>
        <v/>
      </c>
      <c r="S2161" s="27">
        <f>R2161*E2161</f>
        <v/>
      </c>
      <c r="T2161" s="27">
        <f>(R2161-S2161)*M2161</f>
        <v/>
      </c>
      <c r="U2161" s="27">
        <f>R2161-S2161-T2161</f>
        <v/>
      </c>
      <c r="V2161" s="27">
        <f>D2161*P2161</f>
        <v/>
      </c>
      <c r="W2161" s="27">
        <f>U2161-V2161</f>
        <v/>
      </c>
      <c r="X2161" s="28">
        <f>IFERROR(W2161/U2161,0)</f>
        <v/>
      </c>
    </row>
    <row r="2162">
      <c r="A2162" s="21">
        <f>ItensPedido!A2162</f>
        <v/>
      </c>
      <c r="B2162" s="21">
        <f>ItensPedido!B2162</f>
        <v/>
      </c>
      <c r="C2162" s="21">
        <f>ItensPedido!C2162</f>
        <v/>
      </c>
      <c r="D2162" s="21">
        <f>ItensPedido!D2162</f>
        <v/>
      </c>
      <c r="E2162" s="22">
        <f>ItensPedido!E2162</f>
        <v/>
      </c>
      <c r="F2162" s="21">
        <f>IFERROR(INDEX(Pedidos!$B$2:$B$1801,MATCH(B2162,Pedidos!$A$2:$A$1801,0)),0)</f>
        <v/>
      </c>
      <c r="G2162" s="21">
        <f>IF(F2162=0,"",YEAR(F2162))</f>
        <v/>
      </c>
      <c r="H2162" s="21">
        <f>IF(F2162=0,"",MONTH(F2162))</f>
        <v/>
      </c>
      <c r="I2162" s="21">
        <f>IFERROR(INDEX(Pedidos!$E$2:$E$1801,MATCH(B2162,Pedidos!$A$2:$A$1801,0)),"")</f>
        <v/>
      </c>
      <c r="J2162" s="21">
        <f>IFERROR(INDEX(Pedidos!$C$2:$C$1801,MATCH(B2162,Pedidos!$A$2:$A$1801,0)),"")</f>
        <v/>
      </c>
      <c r="K2162" s="21">
        <f>IFERROR(INDEX(Pedidos!$D$2:$D$1801,MATCH(B2162,Pedidos!$A$2:$A$1801,0)),"")</f>
        <v/>
      </c>
      <c r="L2162" s="21">
        <f>IFERROR(INDEX(Pedidos!$F$2:$F$1801,MATCH(B2162,Pedidos!$A$2:$A$1801,0)),"")</f>
        <v/>
      </c>
      <c r="M2162" s="22">
        <f>IFERROR(INDEX(Pedidos!$G$2:$G$1801,MATCH(B2162,Pedidos!$A$2:$A$1801,0)),0)</f>
        <v/>
      </c>
      <c r="N2162" s="21">
        <f>IFERROR(INDEX(Produtos!$B$2:$B$71,MATCH(C2162,Produtos!$A$2:$A$71,0)),"")</f>
        <v/>
      </c>
      <c r="O2162" s="21">
        <f>IFERROR(INDEX(Produtos!$C$2:$C$71,MATCH(C2162,Produtos!$A$2:$A$71,0)),"")</f>
        <v/>
      </c>
      <c r="P2162" s="21">
        <f>IFERROR(INDEX(Produtos!$D$2:$D$71,MATCH(C2162,Produtos!$A$2:$A$71,0)),0)</f>
        <v/>
      </c>
      <c r="Q2162" s="21">
        <f>IFERROR(INDEX(Produtos!$E$2:$E$71,MATCH(C2162,Produtos!$A$2:$A$71,0)),0)</f>
        <v/>
      </c>
      <c r="R2162" s="23">
        <f>D2162*Q2162</f>
        <v/>
      </c>
      <c r="S2162" s="23">
        <f>R2162*E2162</f>
        <v/>
      </c>
      <c r="T2162" s="23">
        <f>(R2162-S2162)*M2162</f>
        <v/>
      </c>
      <c r="U2162" s="23">
        <f>R2162-S2162-T2162</f>
        <v/>
      </c>
      <c r="V2162" s="23">
        <f>D2162*P2162</f>
        <v/>
      </c>
      <c r="W2162" s="23">
        <f>U2162-V2162</f>
        <v/>
      </c>
      <c r="X2162" s="24">
        <f>IFERROR(W2162/U2162,0)</f>
        <v/>
      </c>
    </row>
    <row r="2163">
      <c r="A2163" s="25">
        <f>ItensPedido!A2163</f>
        <v/>
      </c>
      <c r="B2163" s="25">
        <f>ItensPedido!B2163</f>
        <v/>
      </c>
      <c r="C2163" s="25">
        <f>ItensPedido!C2163</f>
        <v/>
      </c>
      <c r="D2163" s="25">
        <f>ItensPedido!D2163</f>
        <v/>
      </c>
      <c r="E2163" s="26">
        <f>ItensPedido!E2163</f>
        <v/>
      </c>
      <c r="F2163" s="25">
        <f>IFERROR(INDEX(Pedidos!$B$2:$B$1801,MATCH(B2163,Pedidos!$A$2:$A$1801,0)),0)</f>
        <v/>
      </c>
      <c r="G2163" s="25">
        <f>IF(F2163=0,"",YEAR(F2163))</f>
        <v/>
      </c>
      <c r="H2163" s="25">
        <f>IF(F2163=0,"",MONTH(F2163))</f>
        <v/>
      </c>
      <c r="I2163" s="25">
        <f>IFERROR(INDEX(Pedidos!$E$2:$E$1801,MATCH(B2163,Pedidos!$A$2:$A$1801,0)),"")</f>
        <v/>
      </c>
      <c r="J2163" s="25">
        <f>IFERROR(INDEX(Pedidos!$C$2:$C$1801,MATCH(B2163,Pedidos!$A$2:$A$1801,0)),"")</f>
        <v/>
      </c>
      <c r="K2163" s="25">
        <f>IFERROR(INDEX(Pedidos!$D$2:$D$1801,MATCH(B2163,Pedidos!$A$2:$A$1801,0)),"")</f>
        <v/>
      </c>
      <c r="L2163" s="25">
        <f>IFERROR(INDEX(Pedidos!$F$2:$F$1801,MATCH(B2163,Pedidos!$A$2:$A$1801,0)),"")</f>
        <v/>
      </c>
      <c r="M2163" s="26">
        <f>IFERROR(INDEX(Pedidos!$G$2:$G$1801,MATCH(B2163,Pedidos!$A$2:$A$1801,0)),0)</f>
        <v/>
      </c>
      <c r="N2163" s="25">
        <f>IFERROR(INDEX(Produtos!$B$2:$B$71,MATCH(C2163,Produtos!$A$2:$A$71,0)),"")</f>
        <v/>
      </c>
      <c r="O2163" s="25">
        <f>IFERROR(INDEX(Produtos!$C$2:$C$71,MATCH(C2163,Produtos!$A$2:$A$71,0)),"")</f>
        <v/>
      </c>
      <c r="P2163" s="25">
        <f>IFERROR(INDEX(Produtos!$D$2:$D$71,MATCH(C2163,Produtos!$A$2:$A$71,0)),0)</f>
        <v/>
      </c>
      <c r="Q2163" s="25">
        <f>IFERROR(INDEX(Produtos!$E$2:$E$71,MATCH(C2163,Produtos!$A$2:$A$71,0)),0)</f>
        <v/>
      </c>
      <c r="R2163" s="27">
        <f>D2163*Q2163</f>
        <v/>
      </c>
      <c r="S2163" s="27">
        <f>R2163*E2163</f>
        <v/>
      </c>
      <c r="T2163" s="27">
        <f>(R2163-S2163)*M2163</f>
        <v/>
      </c>
      <c r="U2163" s="27">
        <f>R2163-S2163-T2163</f>
        <v/>
      </c>
      <c r="V2163" s="27">
        <f>D2163*P2163</f>
        <v/>
      </c>
      <c r="W2163" s="27">
        <f>U2163-V2163</f>
        <v/>
      </c>
      <c r="X2163" s="28">
        <f>IFERROR(W2163/U2163,0)</f>
        <v/>
      </c>
    </row>
    <row r="2164">
      <c r="A2164" s="21">
        <f>ItensPedido!A2164</f>
        <v/>
      </c>
      <c r="B2164" s="21">
        <f>ItensPedido!B2164</f>
        <v/>
      </c>
      <c r="C2164" s="21">
        <f>ItensPedido!C2164</f>
        <v/>
      </c>
      <c r="D2164" s="21">
        <f>ItensPedido!D2164</f>
        <v/>
      </c>
      <c r="E2164" s="22">
        <f>ItensPedido!E2164</f>
        <v/>
      </c>
      <c r="F2164" s="21">
        <f>IFERROR(INDEX(Pedidos!$B$2:$B$1801,MATCH(B2164,Pedidos!$A$2:$A$1801,0)),0)</f>
        <v/>
      </c>
      <c r="G2164" s="21">
        <f>IF(F2164=0,"",YEAR(F2164))</f>
        <v/>
      </c>
      <c r="H2164" s="21">
        <f>IF(F2164=0,"",MONTH(F2164))</f>
        <v/>
      </c>
      <c r="I2164" s="21">
        <f>IFERROR(INDEX(Pedidos!$E$2:$E$1801,MATCH(B2164,Pedidos!$A$2:$A$1801,0)),"")</f>
        <v/>
      </c>
      <c r="J2164" s="21">
        <f>IFERROR(INDEX(Pedidos!$C$2:$C$1801,MATCH(B2164,Pedidos!$A$2:$A$1801,0)),"")</f>
        <v/>
      </c>
      <c r="K2164" s="21">
        <f>IFERROR(INDEX(Pedidos!$D$2:$D$1801,MATCH(B2164,Pedidos!$A$2:$A$1801,0)),"")</f>
        <v/>
      </c>
      <c r="L2164" s="21">
        <f>IFERROR(INDEX(Pedidos!$F$2:$F$1801,MATCH(B2164,Pedidos!$A$2:$A$1801,0)),"")</f>
        <v/>
      </c>
      <c r="M2164" s="22">
        <f>IFERROR(INDEX(Pedidos!$G$2:$G$1801,MATCH(B2164,Pedidos!$A$2:$A$1801,0)),0)</f>
        <v/>
      </c>
      <c r="N2164" s="21">
        <f>IFERROR(INDEX(Produtos!$B$2:$B$71,MATCH(C2164,Produtos!$A$2:$A$71,0)),"")</f>
        <v/>
      </c>
      <c r="O2164" s="21">
        <f>IFERROR(INDEX(Produtos!$C$2:$C$71,MATCH(C2164,Produtos!$A$2:$A$71,0)),"")</f>
        <v/>
      </c>
      <c r="P2164" s="21">
        <f>IFERROR(INDEX(Produtos!$D$2:$D$71,MATCH(C2164,Produtos!$A$2:$A$71,0)),0)</f>
        <v/>
      </c>
      <c r="Q2164" s="21">
        <f>IFERROR(INDEX(Produtos!$E$2:$E$71,MATCH(C2164,Produtos!$A$2:$A$71,0)),0)</f>
        <v/>
      </c>
      <c r="R2164" s="23">
        <f>D2164*Q2164</f>
        <v/>
      </c>
      <c r="S2164" s="23">
        <f>R2164*E2164</f>
        <v/>
      </c>
      <c r="T2164" s="23">
        <f>(R2164-S2164)*M2164</f>
        <v/>
      </c>
      <c r="U2164" s="23">
        <f>R2164-S2164-T2164</f>
        <v/>
      </c>
      <c r="V2164" s="23">
        <f>D2164*P2164</f>
        <v/>
      </c>
      <c r="W2164" s="23">
        <f>U2164-V2164</f>
        <v/>
      </c>
      <c r="X2164" s="24">
        <f>IFERROR(W2164/U2164,0)</f>
        <v/>
      </c>
    </row>
    <row r="2165">
      <c r="A2165" s="25">
        <f>ItensPedido!A2165</f>
        <v/>
      </c>
      <c r="B2165" s="25">
        <f>ItensPedido!B2165</f>
        <v/>
      </c>
      <c r="C2165" s="25">
        <f>ItensPedido!C2165</f>
        <v/>
      </c>
      <c r="D2165" s="25">
        <f>ItensPedido!D2165</f>
        <v/>
      </c>
      <c r="E2165" s="26">
        <f>ItensPedido!E2165</f>
        <v/>
      </c>
      <c r="F2165" s="25">
        <f>IFERROR(INDEX(Pedidos!$B$2:$B$1801,MATCH(B2165,Pedidos!$A$2:$A$1801,0)),0)</f>
        <v/>
      </c>
      <c r="G2165" s="25">
        <f>IF(F2165=0,"",YEAR(F2165))</f>
        <v/>
      </c>
      <c r="H2165" s="25">
        <f>IF(F2165=0,"",MONTH(F2165))</f>
        <v/>
      </c>
      <c r="I2165" s="25">
        <f>IFERROR(INDEX(Pedidos!$E$2:$E$1801,MATCH(B2165,Pedidos!$A$2:$A$1801,0)),"")</f>
        <v/>
      </c>
      <c r="J2165" s="25">
        <f>IFERROR(INDEX(Pedidos!$C$2:$C$1801,MATCH(B2165,Pedidos!$A$2:$A$1801,0)),"")</f>
        <v/>
      </c>
      <c r="K2165" s="25">
        <f>IFERROR(INDEX(Pedidos!$D$2:$D$1801,MATCH(B2165,Pedidos!$A$2:$A$1801,0)),"")</f>
        <v/>
      </c>
      <c r="L2165" s="25">
        <f>IFERROR(INDEX(Pedidos!$F$2:$F$1801,MATCH(B2165,Pedidos!$A$2:$A$1801,0)),"")</f>
        <v/>
      </c>
      <c r="M2165" s="26">
        <f>IFERROR(INDEX(Pedidos!$G$2:$G$1801,MATCH(B2165,Pedidos!$A$2:$A$1801,0)),0)</f>
        <v/>
      </c>
      <c r="N2165" s="25">
        <f>IFERROR(INDEX(Produtos!$B$2:$B$71,MATCH(C2165,Produtos!$A$2:$A$71,0)),"")</f>
        <v/>
      </c>
      <c r="O2165" s="25">
        <f>IFERROR(INDEX(Produtos!$C$2:$C$71,MATCH(C2165,Produtos!$A$2:$A$71,0)),"")</f>
        <v/>
      </c>
      <c r="P2165" s="25">
        <f>IFERROR(INDEX(Produtos!$D$2:$D$71,MATCH(C2165,Produtos!$A$2:$A$71,0)),0)</f>
        <v/>
      </c>
      <c r="Q2165" s="25">
        <f>IFERROR(INDEX(Produtos!$E$2:$E$71,MATCH(C2165,Produtos!$A$2:$A$71,0)),0)</f>
        <v/>
      </c>
      <c r="R2165" s="27">
        <f>D2165*Q2165</f>
        <v/>
      </c>
      <c r="S2165" s="27">
        <f>R2165*E2165</f>
        <v/>
      </c>
      <c r="T2165" s="27">
        <f>(R2165-S2165)*M2165</f>
        <v/>
      </c>
      <c r="U2165" s="27">
        <f>R2165-S2165-T2165</f>
        <v/>
      </c>
      <c r="V2165" s="27">
        <f>D2165*P2165</f>
        <v/>
      </c>
      <c r="W2165" s="27">
        <f>U2165-V2165</f>
        <v/>
      </c>
      <c r="X2165" s="28">
        <f>IFERROR(W2165/U2165,0)</f>
        <v/>
      </c>
    </row>
    <row r="2166">
      <c r="A2166" s="21">
        <f>ItensPedido!A2166</f>
        <v/>
      </c>
      <c r="B2166" s="21">
        <f>ItensPedido!B2166</f>
        <v/>
      </c>
      <c r="C2166" s="21">
        <f>ItensPedido!C2166</f>
        <v/>
      </c>
      <c r="D2166" s="21">
        <f>ItensPedido!D2166</f>
        <v/>
      </c>
      <c r="E2166" s="22">
        <f>ItensPedido!E2166</f>
        <v/>
      </c>
      <c r="F2166" s="21">
        <f>IFERROR(INDEX(Pedidos!$B$2:$B$1801,MATCH(B2166,Pedidos!$A$2:$A$1801,0)),0)</f>
        <v/>
      </c>
      <c r="G2166" s="21">
        <f>IF(F2166=0,"",YEAR(F2166))</f>
        <v/>
      </c>
      <c r="H2166" s="21">
        <f>IF(F2166=0,"",MONTH(F2166))</f>
        <v/>
      </c>
      <c r="I2166" s="21">
        <f>IFERROR(INDEX(Pedidos!$E$2:$E$1801,MATCH(B2166,Pedidos!$A$2:$A$1801,0)),"")</f>
        <v/>
      </c>
      <c r="J2166" s="21">
        <f>IFERROR(INDEX(Pedidos!$C$2:$C$1801,MATCH(B2166,Pedidos!$A$2:$A$1801,0)),"")</f>
        <v/>
      </c>
      <c r="K2166" s="21">
        <f>IFERROR(INDEX(Pedidos!$D$2:$D$1801,MATCH(B2166,Pedidos!$A$2:$A$1801,0)),"")</f>
        <v/>
      </c>
      <c r="L2166" s="21">
        <f>IFERROR(INDEX(Pedidos!$F$2:$F$1801,MATCH(B2166,Pedidos!$A$2:$A$1801,0)),"")</f>
        <v/>
      </c>
      <c r="M2166" s="22">
        <f>IFERROR(INDEX(Pedidos!$G$2:$G$1801,MATCH(B2166,Pedidos!$A$2:$A$1801,0)),0)</f>
        <v/>
      </c>
      <c r="N2166" s="21">
        <f>IFERROR(INDEX(Produtos!$B$2:$B$71,MATCH(C2166,Produtos!$A$2:$A$71,0)),"")</f>
        <v/>
      </c>
      <c r="O2166" s="21">
        <f>IFERROR(INDEX(Produtos!$C$2:$C$71,MATCH(C2166,Produtos!$A$2:$A$71,0)),"")</f>
        <v/>
      </c>
      <c r="P2166" s="21">
        <f>IFERROR(INDEX(Produtos!$D$2:$D$71,MATCH(C2166,Produtos!$A$2:$A$71,0)),0)</f>
        <v/>
      </c>
      <c r="Q2166" s="21">
        <f>IFERROR(INDEX(Produtos!$E$2:$E$71,MATCH(C2166,Produtos!$A$2:$A$71,0)),0)</f>
        <v/>
      </c>
      <c r="R2166" s="23">
        <f>D2166*Q2166</f>
        <v/>
      </c>
      <c r="S2166" s="23">
        <f>R2166*E2166</f>
        <v/>
      </c>
      <c r="T2166" s="23">
        <f>(R2166-S2166)*M2166</f>
        <v/>
      </c>
      <c r="U2166" s="23">
        <f>R2166-S2166-T2166</f>
        <v/>
      </c>
      <c r="V2166" s="23">
        <f>D2166*P2166</f>
        <v/>
      </c>
      <c r="W2166" s="23">
        <f>U2166-V2166</f>
        <v/>
      </c>
      <c r="X2166" s="24">
        <f>IFERROR(W2166/U2166,0)</f>
        <v/>
      </c>
    </row>
    <row r="2167">
      <c r="A2167" s="25">
        <f>ItensPedido!A2167</f>
        <v/>
      </c>
      <c r="B2167" s="25">
        <f>ItensPedido!B2167</f>
        <v/>
      </c>
      <c r="C2167" s="25">
        <f>ItensPedido!C2167</f>
        <v/>
      </c>
      <c r="D2167" s="25">
        <f>ItensPedido!D2167</f>
        <v/>
      </c>
      <c r="E2167" s="26">
        <f>ItensPedido!E2167</f>
        <v/>
      </c>
      <c r="F2167" s="25">
        <f>IFERROR(INDEX(Pedidos!$B$2:$B$1801,MATCH(B2167,Pedidos!$A$2:$A$1801,0)),0)</f>
        <v/>
      </c>
      <c r="G2167" s="25">
        <f>IF(F2167=0,"",YEAR(F2167))</f>
        <v/>
      </c>
      <c r="H2167" s="25">
        <f>IF(F2167=0,"",MONTH(F2167))</f>
        <v/>
      </c>
      <c r="I2167" s="25">
        <f>IFERROR(INDEX(Pedidos!$E$2:$E$1801,MATCH(B2167,Pedidos!$A$2:$A$1801,0)),"")</f>
        <v/>
      </c>
      <c r="J2167" s="25">
        <f>IFERROR(INDEX(Pedidos!$C$2:$C$1801,MATCH(B2167,Pedidos!$A$2:$A$1801,0)),"")</f>
        <v/>
      </c>
      <c r="K2167" s="25">
        <f>IFERROR(INDEX(Pedidos!$D$2:$D$1801,MATCH(B2167,Pedidos!$A$2:$A$1801,0)),"")</f>
        <v/>
      </c>
      <c r="L2167" s="25">
        <f>IFERROR(INDEX(Pedidos!$F$2:$F$1801,MATCH(B2167,Pedidos!$A$2:$A$1801,0)),"")</f>
        <v/>
      </c>
      <c r="M2167" s="26">
        <f>IFERROR(INDEX(Pedidos!$G$2:$G$1801,MATCH(B2167,Pedidos!$A$2:$A$1801,0)),0)</f>
        <v/>
      </c>
      <c r="N2167" s="25">
        <f>IFERROR(INDEX(Produtos!$B$2:$B$71,MATCH(C2167,Produtos!$A$2:$A$71,0)),"")</f>
        <v/>
      </c>
      <c r="O2167" s="25">
        <f>IFERROR(INDEX(Produtos!$C$2:$C$71,MATCH(C2167,Produtos!$A$2:$A$71,0)),"")</f>
        <v/>
      </c>
      <c r="P2167" s="25">
        <f>IFERROR(INDEX(Produtos!$D$2:$D$71,MATCH(C2167,Produtos!$A$2:$A$71,0)),0)</f>
        <v/>
      </c>
      <c r="Q2167" s="25">
        <f>IFERROR(INDEX(Produtos!$E$2:$E$71,MATCH(C2167,Produtos!$A$2:$A$71,0)),0)</f>
        <v/>
      </c>
      <c r="R2167" s="27">
        <f>D2167*Q2167</f>
        <v/>
      </c>
      <c r="S2167" s="27">
        <f>R2167*E2167</f>
        <v/>
      </c>
      <c r="T2167" s="27">
        <f>(R2167-S2167)*M2167</f>
        <v/>
      </c>
      <c r="U2167" s="27">
        <f>R2167-S2167-T2167</f>
        <v/>
      </c>
      <c r="V2167" s="27">
        <f>D2167*P2167</f>
        <v/>
      </c>
      <c r="W2167" s="27">
        <f>U2167-V2167</f>
        <v/>
      </c>
      <c r="X2167" s="28">
        <f>IFERROR(W2167/U2167,0)</f>
        <v/>
      </c>
    </row>
    <row r="2168">
      <c r="A2168" s="21">
        <f>ItensPedido!A2168</f>
        <v/>
      </c>
      <c r="B2168" s="21">
        <f>ItensPedido!B2168</f>
        <v/>
      </c>
      <c r="C2168" s="21">
        <f>ItensPedido!C2168</f>
        <v/>
      </c>
      <c r="D2168" s="21">
        <f>ItensPedido!D2168</f>
        <v/>
      </c>
      <c r="E2168" s="22">
        <f>ItensPedido!E2168</f>
        <v/>
      </c>
      <c r="F2168" s="21">
        <f>IFERROR(INDEX(Pedidos!$B$2:$B$1801,MATCH(B2168,Pedidos!$A$2:$A$1801,0)),0)</f>
        <v/>
      </c>
      <c r="G2168" s="21">
        <f>IF(F2168=0,"",YEAR(F2168))</f>
        <v/>
      </c>
      <c r="H2168" s="21">
        <f>IF(F2168=0,"",MONTH(F2168))</f>
        <v/>
      </c>
      <c r="I2168" s="21">
        <f>IFERROR(INDEX(Pedidos!$E$2:$E$1801,MATCH(B2168,Pedidos!$A$2:$A$1801,0)),"")</f>
        <v/>
      </c>
      <c r="J2168" s="21">
        <f>IFERROR(INDEX(Pedidos!$C$2:$C$1801,MATCH(B2168,Pedidos!$A$2:$A$1801,0)),"")</f>
        <v/>
      </c>
      <c r="K2168" s="21">
        <f>IFERROR(INDEX(Pedidos!$D$2:$D$1801,MATCH(B2168,Pedidos!$A$2:$A$1801,0)),"")</f>
        <v/>
      </c>
      <c r="L2168" s="21">
        <f>IFERROR(INDEX(Pedidos!$F$2:$F$1801,MATCH(B2168,Pedidos!$A$2:$A$1801,0)),"")</f>
        <v/>
      </c>
      <c r="M2168" s="22">
        <f>IFERROR(INDEX(Pedidos!$G$2:$G$1801,MATCH(B2168,Pedidos!$A$2:$A$1801,0)),0)</f>
        <v/>
      </c>
      <c r="N2168" s="21">
        <f>IFERROR(INDEX(Produtos!$B$2:$B$71,MATCH(C2168,Produtos!$A$2:$A$71,0)),"")</f>
        <v/>
      </c>
      <c r="O2168" s="21">
        <f>IFERROR(INDEX(Produtos!$C$2:$C$71,MATCH(C2168,Produtos!$A$2:$A$71,0)),"")</f>
        <v/>
      </c>
      <c r="P2168" s="21">
        <f>IFERROR(INDEX(Produtos!$D$2:$D$71,MATCH(C2168,Produtos!$A$2:$A$71,0)),0)</f>
        <v/>
      </c>
      <c r="Q2168" s="21">
        <f>IFERROR(INDEX(Produtos!$E$2:$E$71,MATCH(C2168,Produtos!$A$2:$A$71,0)),0)</f>
        <v/>
      </c>
      <c r="R2168" s="23">
        <f>D2168*Q2168</f>
        <v/>
      </c>
      <c r="S2168" s="23">
        <f>R2168*E2168</f>
        <v/>
      </c>
      <c r="T2168" s="23">
        <f>(R2168-S2168)*M2168</f>
        <v/>
      </c>
      <c r="U2168" s="23">
        <f>R2168-S2168-T2168</f>
        <v/>
      </c>
      <c r="V2168" s="23">
        <f>D2168*P2168</f>
        <v/>
      </c>
      <c r="W2168" s="23">
        <f>U2168-V2168</f>
        <v/>
      </c>
      <c r="X2168" s="24">
        <f>IFERROR(W2168/U2168,0)</f>
        <v/>
      </c>
    </row>
    <row r="2169">
      <c r="A2169" s="25">
        <f>ItensPedido!A2169</f>
        <v/>
      </c>
      <c r="B2169" s="25">
        <f>ItensPedido!B2169</f>
        <v/>
      </c>
      <c r="C2169" s="25">
        <f>ItensPedido!C2169</f>
        <v/>
      </c>
      <c r="D2169" s="25">
        <f>ItensPedido!D2169</f>
        <v/>
      </c>
      <c r="E2169" s="26">
        <f>ItensPedido!E2169</f>
        <v/>
      </c>
      <c r="F2169" s="25">
        <f>IFERROR(INDEX(Pedidos!$B$2:$B$1801,MATCH(B2169,Pedidos!$A$2:$A$1801,0)),0)</f>
        <v/>
      </c>
      <c r="G2169" s="25">
        <f>IF(F2169=0,"",YEAR(F2169))</f>
        <v/>
      </c>
      <c r="H2169" s="25">
        <f>IF(F2169=0,"",MONTH(F2169))</f>
        <v/>
      </c>
      <c r="I2169" s="25">
        <f>IFERROR(INDEX(Pedidos!$E$2:$E$1801,MATCH(B2169,Pedidos!$A$2:$A$1801,0)),"")</f>
        <v/>
      </c>
      <c r="J2169" s="25">
        <f>IFERROR(INDEX(Pedidos!$C$2:$C$1801,MATCH(B2169,Pedidos!$A$2:$A$1801,0)),"")</f>
        <v/>
      </c>
      <c r="K2169" s="25">
        <f>IFERROR(INDEX(Pedidos!$D$2:$D$1801,MATCH(B2169,Pedidos!$A$2:$A$1801,0)),"")</f>
        <v/>
      </c>
      <c r="L2169" s="25">
        <f>IFERROR(INDEX(Pedidos!$F$2:$F$1801,MATCH(B2169,Pedidos!$A$2:$A$1801,0)),"")</f>
        <v/>
      </c>
      <c r="M2169" s="26">
        <f>IFERROR(INDEX(Pedidos!$G$2:$G$1801,MATCH(B2169,Pedidos!$A$2:$A$1801,0)),0)</f>
        <v/>
      </c>
      <c r="N2169" s="25">
        <f>IFERROR(INDEX(Produtos!$B$2:$B$71,MATCH(C2169,Produtos!$A$2:$A$71,0)),"")</f>
        <v/>
      </c>
      <c r="O2169" s="25">
        <f>IFERROR(INDEX(Produtos!$C$2:$C$71,MATCH(C2169,Produtos!$A$2:$A$71,0)),"")</f>
        <v/>
      </c>
      <c r="P2169" s="25">
        <f>IFERROR(INDEX(Produtos!$D$2:$D$71,MATCH(C2169,Produtos!$A$2:$A$71,0)),0)</f>
        <v/>
      </c>
      <c r="Q2169" s="25">
        <f>IFERROR(INDEX(Produtos!$E$2:$E$71,MATCH(C2169,Produtos!$A$2:$A$71,0)),0)</f>
        <v/>
      </c>
      <c r="R2169" s="27">
        <f>D2169*Q2169</f>
        <v/>
      </c>
      <c r="S2169" s="27">
        <f>R2169*E2169</f>
        <v/>
      </c>
      <c r="T2169" s="27">
        <f>(R2169-S2169)*M2169</f>
        <v/>
      </c>
      <c r="U2169" s="27">
        <f>R2169-S2169-T2169</f>
        <v/>
      </c>
      <c r="V2169" s="27">
        <f>D2169*P2169</f>
        <v/>
      </c>
      <c r="W2169" s="27">
        <f>U2169-V2169</f>
        <v/>
      </c>
      <c r="X2169" s="28">
        <f>IFERROR(W2169/U2169,0)</f>
        <v/>
      </c>
    </row>
    <row r="2170">
      <c r="A2170" s="21">
        <f>ItensPedido!A2170</f>
        <v/>
      </c>
      <c r="B2170" s="21">
        <f>ItensPedido!B2170</f>
        <v/>
      </c>
      <c r="C2170" s="21">
        <f>ItensPedido!C2170</f>
        <v/>
      </c>
      <c r="D2170" s="21">
        <f>ItensPedido!D2170</f>
        <v/>
      </c>
      <c r="E2170" s="22">
        <f>ItensPedido!E2170</f>
        <v/>
      </c>
      <c r="F2170" s="21">
        <f>IFERROR(INDEX(Pedidos!$B$2:$B$1801,MATCH(B2170,Pedidos!$A$2:$A$1801,0)),0)</f>
        <v/>
      </c>
      <c r="G2170" s="21">
        <f>IF(F2170=0,"",YEAR(F2170))</f>
        <v/>
      </c>
      <c r="H2170" s="21">
        <f>IF(F2170=0,"",MONTH(F2170))</f>
        <v/>
      </c>
      <c r="I2170" s="21">
        <f>IFERROR(INDEX(Pedidos!$E$2:$E$1801,MATCH(B2170,Pedidos!$A$2:$A$1801,0)),"")</f>
        <v/>
      </c>
      <c r="J2170" s="21">
        <f>IFERROR(INDEX(Pedidos!$C$2:$C$1801,MATCH(B2170,Pedidos!$A$2:$A$1801,0)),"")</f>
        <v/>
      </c>
      <c r="K2170" s="21">
        <f>IFERROR(INDEX(Pedidos!$D$2:$D$1801,MATCH(B2170,Pedidos!$A$2:$A$1801,0)),"")</f>
        <v/>
      </c>
      <c r="L2170" s="21">
        <f>IFERROR(INDEX(Pedidos!$F$2:$F$1801,MATCH(B2170,Pedidos!$A$2:$A$1801,0)),"")</f>
        <v/>
      </c>
      <c r="M2170" s="22">
        <f>IFERROR(INDEX(Pedidos!$G$2:$G$1801,MATCH(B2170,Pedidos!$A$2:$A$1801,0)),0)</f>
        <v/>
      </c>
      <c r="N2170" s="21">
        <f>IFERROR(INDEX(Produtos!$B$2:$B$71,MATCH(C2170,Produtos!$A$2:$A$71,0)),"")</f>
        <v/>
      </c>
      <c r="O2170" s="21">
        <f>IFERROR(INDEX(Produtos!$C$2:$C$71,MATCH(C2170,Produtos!$A$2:$A$71,0)),"")</f>
        <v/>
      </c>
      <c r="P2170" s="21">
        <f>IFERROR(INDEX(Produtos!$D$2:$D$71,MATCH(C2170,Produtos!$A$2:$A$71,0)),0)</f>
        <v/>
      </c>
      <c r="Q2170" s="21">
        <f>IFERROR(INDEX(Produtos!$E$2:$E$71,MATCH(C2170,Produtos!$A$2:$A$71,0)),0)</f>
        <v/>
      </c>
      <c r="R2170" s="23">
        <f>D2170*Q2170</f>
        <v/>
      </c>
      <c r="S2170" s="23">
        <f>R2170*E2170</f>
        <v/>
      </c>
      <c r="T2170" s="23">
        <f>(R2170-S2170)*M2170</f>
        <v/>
      </c>
      <c r="U2170" s="23">
        <f>R2170-S2170-T2170</f>
        <v/>
      </c>
      <c r="V2170" s="23">
        <f>D2170*P2170</f>
        <v/>
      </c>
      <c r="W2170" s="23">
        <f>U2170-V2170</f>
        <v/>
      </c>
      <c r="X2170" s="24">
        <f>IFERROR(W2170/U2170,0)</f>
        <v/>
      </c>
    </row>
    <row r="2171">
      <c r="A2171" s="25">
        <f>ItensPedido!A2171</f>
        <v/>
      </c>
      <c r="B2171" s="25">
        <f>ItensPedido!B2171</f>
        <v/>
      </c>
      <c r="C2171" s="25">
        <f>ItensPedido!C2171</f>
        <v/>
      </c>
      <c r="D2171" s="25">
        <f>ItensPedido!D2171</f>
        <v/>
      </c>
      <c r="E2171" s="26">
        <f>ItensPedido!E2171</f>
        <v/>
      </c>
      <c r="F2171" s="25">
        <f>IFERROR(INDEX(Pedidos!$B$2:$B$1801,MATCH(B2171,Pedidos!$A$2:$A$1801,0)),0)</f>
        <v/>
      </c>
      <c r="G2171" s="25">
        <f>IF(F2171=0,"",YEAR(F2171))</f>
        <v/>
      </c>
      <c r="H2171" s="25">
        <f>IF(F2171=0,"",MONTH(F2171))</f>
        <v/>
      </c>
      <c r="I2171" s="25">
        <f>IFERROR(INDEX(Pedidos!$E$2:$E$1801,MATCH(B2171,Pedidos!$A$2:$A$1801,0)),"")</f>
        <v/>
      </c>
      <c r="J2171" s="25">
        <f>IFERROR(INDEX(Pedidos!$C$2:$C$1801,MATCH(B2171,Pedidos!$A$2:$A$1801,0)),"")</f>
        <v/>
      </c>
      <c r="K2171" s="25">
        <f>IFERROR(INDEX(Pedidos!$D$2:$D$1801,MATCH(B2171,Pedidos!$A$2:$A$1801,0)),"")</f>
        <v/>
      </c>
      <c r="L2171" s="25">
        <f>IFERROR(INDEX(Pedidos!$F$2:$F$1801,MATCH(B2171,Pedidos!$A$2:$A$1801,0)),"")</f>
        <v/>
      </c>
      <c r="M2171" s="26">
        <f>IFERROR(INDEX(Pedidos!$G$2:$G$1801,MATCH(B2171,Pedidos!$A$2:$A$1801,0)),0)</f>
        <v/>
      </c>
      <c r="N2171" s="25">
        <f>IFERROR(INDEX(Produtos!$B$2:$B$71,MATCH(C2171,Produtos!$A$2:$A$71,0)),"")</f>
        <v/>
      </c>
      <c r="O2171" s="25">
        <f>IFERROR(INDEX(Produtos!$C$2:$C$71,MATCH(C2171,Produtos!$A$2:$A$71,0)),"")</f>
        <v/>
      </c>
      <c r="P2171" s="25">
        <f>IFERROR(INDEX(Produtos!$D$2:$D$71,MATCH(C2171,Produtos!$A$2:$A$71,0)),0)</f>
        <v/>
      </c>
      <c r="Q2171" s="25">
        <f>IFERROR(INDEX(Produtos!$E$2:$E$71,MATCH(C2171,Produtos!$A$2:$A$71,0)),0)</f>
        <v/>
      </c>
      <c r="R2171" s="27">
        <f>D2171*Q2171</f>
        <v/>
      </c>
      <c r="S2171" s="27">
        <f>R2171*E2171</f>
        <v/>
      </c>
      <c r="T2171" s="27">
        <f>(R2171-S2171)*M2171</f>
        <v/>
      </c>
      <c r="U2171" s="27">
        <f>R2171-S2171-T2171</f>
        <v/>
      </c>
      <c r="V2171" s="27">
        <f>D2171*P2171</f>
        <v/>
      </c>
      <c r="W2171" s="27">
        <f>U2171-V2171</f>
        <v/>
      </c>
      <c r="X2171" s="28">
        <f>IFERROR(W2171/U2171,0)</f>
        <v/>
      </c>
    </row>
    <row r="2172">
      <c r="A2172" s="21">
        <f>ItensPedido!A2172</f>
        <v/>
      </c>
      <c r="B2172" s="21">
        <f>ItensPedido!B2172</f>
        <v/>
      </c>
      <c r="C2172" s="21">
        <f>ItensPedido!C2172</f>
        <v/>
      </c>
      <c r="D2172" s="21">
        <f>ItensPedido!D2172</f>
        <v/>
      </c>
      <c r="E2172" s="22">
        <f>ItensPedido!E2172</f>
        <v/>
      </c>
      <c r="F2172" s="21">
        <f>IFERROR(INDEX(Pedidos!$B$2:$B$1801,MATCH(B2172,Pedidos!$A$2:$A$1801,0)),0)</f>
        <v/>
      </c>
      <c r="G2172" s="21">
        <f>IF(F2172=0,"",YEAR(F2172))</f>
        <v/>
      </c>
      <c r="H2172" s="21">
        <f>IF(F2172=0,"",MONTH(F2172))</f>
        <v/>
      </c>
      <c r="I2172" s="21">
        <f>IFERROR(INDEX(Pedidos!$E$2:$E$1801,MATCH(B2172,Pedidos!$A$2:$A$1801,0)),"")</f>
        <v/>
      </c>
      <c r="J2172" s="21">
        <f>IFERROR(INDEX(Pedidos!$C$2:$C$1801,MATCH(B2172,Pedidos!$A$2:$A$1801,0)),"")</f>
        <v/>
      </c>
      <c r="K2172" s="21">
        <f>IFERROR(INDEX(Pedidos!$D$2:$D$1801,MATCH(B2172,Pedidos!$A$2:$A$1801,0)),"")</f>
        <v/>
      </c>
      <c r="L2172" s="21">
        <f>IFERROR(INDEX(Pedidos!$F$2:$F$1801,MATCH(B2172,Pedidos!$A$2:$A$1801,0)),"")</f>
        <v/>
      </c>
      <c r="M2172" s="22">
        <f>IFERROR(INDEX(Pedidos!$G$2:$G$1801,MATCH(B2172,Pedidos!$A$2:$A$1801,0)),0)</f>
        <v/>
      </c>
      <c r="N2172" s="21">
        <f>IFERROR(INDEX(Produtos!$B$2:$B$71,MATCH(C2172,Produtos!$A$2:$A$71,0)),"")</f>
        <v/>
      </c>
      <c r="O2172" s="21">
        <f>IFERROR(INDEX(Produtos!$C$2:$C$71,MATCH(C2172,Produtos!$A$2:$A$71,0)),"")</f>
        <v/>
      </c>
      <c r="P2172" s="21">
        <f>IFERROR(INDEX(Produtos!$D$2:$D$71,MATCH(C2172,Produtos!$A$2:$A$71,0)),0)</f>
        <v/>
      </c>
      <c r="Q2172" s="21">
        <f>IFERROR(INDEX(Produtos!$E$2:$E$71,MATCH(C2172,Produtos!$A$2:$A$71,0)),0)</f>
        <v/>
      </c>
      <c r="R2172" s="23">
        <f>D2172*Q2172</f>
        <v/>
      </c>
      <c r="S2172" s="23">
        <f>R2172*E2172</f>
        <v/>
      </c>
      <c r="T2172" s="23">
        <f>(R2172-S2172)*M2172</f>
        <v/>
      </c>
      <c r="U2172" s="23">
        <f>R2172-S2172-T2172</f>
        <v/>
      </c>
      <c r="V2172" s="23">
        <f>D2172*P2172</f>
        <v/>
      </c>
      <c r="W2172" s="23">
        <f>U2172-V2172</f>
        <v/>
      </c>
      <c r="X2172" s="24">
        <f>IFERROR(W2172/U2172,0)</f>
        <v/>
      </c>
    </row>
    <row r="2173">
      <c r="A2173" s="25">
        <f>ItensPedido!A2173</f>
        <v/>
      </c>
      <c r="B2173" s="25">
        <f>ItensPedido!B2173</f>
        <v/>
      </c>
      <c r="C2173" s="25">
        <f>ItensPedido!C2173</f>
        <v/>
      </c>
      <c r="D2173" s="25">
        <f>ItensPedido!D2173</f>
        <v/>
      </c>
      <c r="E2173" s="26">
        <f>ItensPedido!E2173</f>
        <v/>
      </c>
      <c r="F2173" s="25">
        <f>IFERROR(INDEX(Pedidos!$B$2:$B$1801,MATCH(B2173,Pedidos!$A$2:$A$1801,0)),0)</f>
        <v/>
      </c>
      <c r="G2173" s="25">
        <f>IF(F2173=0,"",YEAR(F2173))</f>
        <v/>
      </c>
      <c r="H2173" s="25">
        <f>IF(F2173=0,"",MONTH(F2173))</f>
        <v/>
      </c>
      <c r="I2173" s="25">
        <f>IFERROR(INDEX(Pedidos!$E$2:$E$1801,MATCH(B2173,Pedidos!$A$2:$A$1801,0)),"")</f>
        <v/>
      </c>
      <c r="J2173" s="25">
        <f>IFERROR(INDEX(Pedidos!$C$2:$C$1801,MATCH(B2173,Pedidos!$A$2:$A$1801,0)),"")</f>
        <v/>
      </c>
      <c r="K2173" s="25">
        <f>IFERROR(INDEX(Pedidos!$D$2:$D$1801,MATCH(B2173,Pedidos!$A$2:$A$1801,0)),"")</f>
        <v/>
      </c>
      <c r="L2173" s="25">
        <f>IFERROR(INDEX(Pedidos!$F$2:$F$1801,MATCH(B2173,Pedidos!$A$2:$A$1801,0)),"")</f>
        <v/>
      </c>
      <c r="M2173" s="26">
        <f>IFERROR(INDEX(Pedidos!$G$2:$G$1801,MATCH(B2173,Pedidos!$A$2:$A$1801,0)),0)</f>
        <v/>
      </c>
      <c r="N2173" s="25">
        <f>IFERROR(INDEX(Produtos!$B$2:$B$71,MATCH(C2173,Produtos!$A$2:$A$71,0)),"")</f>
        <v/>
      </c>
      <c r="O2173" s="25">
        <f>IFERROR(INDEX(Produtos!$C$2:$C$71,MATCH(C2173,Produtos!$A$2:$A$71,0)),"")</f>
        <v/>
      </c>
      <c r="P2173" s="25">
        <f>IFERROR(INDEX(Produtos!$D$2:$D$71,MATCH(C2173,Produtos!$A$2:$A$71,0)),0)</f>
        <v/>
      </c>
      <c r="Q2173" s="25">
        <f>IFERROR(INDEX(Produtos!$E$2:$E$71,MATCH(C2173,Produtos!$A$2:$A$71,0)),0)</f>
        <v/>
      </c>
      <c r="R2173" s="27">
        <f>D2173*Q2173</f>
        <v/>
      </c>
      <c r="S2173" s="27">
        <f>R2173*E2173</f>
        <v/>
      </c>
      <c r="T2173" s="27">
        <f>(R2173-S2173)*M2173</f>
        <v/>
      </c>
      <c r="U2173" s="27">
        <f>R2173-S2173-T2173</f>
        <v/>
      </c>
      <c r="V2173" s="27">
        <f>D2173*P2173</f>
        <v/>
      </c>
      <c r="W2173" s="27">
        <f>U2173-V2173</f>
        <v/>
      </c>
      <c r="X2173" s="28">
        <f>IFERROR(W2173/U2173,0)</f>
        <v/>
      </c>
    </row>
    <row r="2174">
      <c r="A2174" s="21">
        <f>ItensPedido!A2174</f>
        <v/>
      </c>
      <c r="B2174" s="21">
        <f>ItensPedido!B2174</f>
        <v/>
      </c>
      <c r="C2174" s="21">
        <f>ItensPedido!C2174</f>
        <v/>
      </c>
      <c r="D2174" s="21">
        <f>ItensPedido!D2174</f>
        <v/>
      </c>
      <c r="E2174" s="22">
        <f>ItensPedido!E2174</f>
        <v/>
      </c>
      <c r="F2174" s="21">
        <f>IFERROR(INDEX(Pedidos!$B$2:$B$1801,MATCH(B2174,Pedidos!$A$2:$A$1801,0)),0)</f>
        <v/>
      </c>
      <c r="G2174" s="21">
        <f>IF(F2174=0,"",YEAR(F2174))</f>
        <v/>
      </c>
      <c r="H2174" s="21">
        <f>IF(F2174=0,"",MONTH(F2174))</f>
        <v/>
      </c>
      <c r="I2174" s="21">
        <f>IFERROR(INDEX(Pedidos!$E$2:$E$1801,MATCH(B2174,Pedidos!$A$2:$A$1801,0)),"")</f>
        <v/>
      </c>
      <c r="J2174" s="21">
        <f>IFERROR(INDEX(Pedidos!$C$2:$C$1801,MATCH(B2174,Pedidos!$A$2:$A$1801,0)),"")</f>
        <v/>
      </c>
      <c r="K2174" s="21">
        <f>IFERROR(INDEX(Pedidos!$D$2:$D$1801,MATCH(B2174,Pedidos!$A$2:$A$1801,0)),"")</f>
        <v/>
      </c>
      <c r="L2174" s="21">
        <f>IFERROR(INDEX(Pedidos!$F$2:$F$1801,MATCH(B2174,Pedidos!$A$2:$A$1801,0)),"")</f>
        <v/>
      </c>
      <c r="M2174" s="22">
        <f>IFERROR(INDEX(Pedidos!$G$2:$G$1801,MATCH(B2174,Pedidos!$A$2:$A$1801,0)),0)</f>
        <v/>
      </c>
      <c r="N2174" s="21">
        <f>IFERROR(INDEX(Produtos!$B$2:$B$71,MATCH(C2174,Produtos!$A$2:$A$71,0)),"")</f>
        <v/>
      </c>
      <c r="O2174" s="21">
        <f>IFERROR(INDEX(Produtos!$C$2:$C$71,MATCH(C2174,Produtos!$A$2:$A$71,0)),"")</f>
        <v/>
      </c>
      <c r="P2174" s="21">
        <f>IFERROR(INDEX(Produtos!$D$2:$D$71,MATCH(C2174,Produtos!$A$2:$A$71,0)),0)</f>
        <v/>
      </c>
      <c r="Q2174" s="21">
        <f>IFERROR(INDEX(Produtos!$E$2:$E$71,MATCH(C2174,Produtos!$A$2:$A$71,0)),0)</f>
        <v/>
      </c>
      <c r="R2174" s="23">
        <f>D2174*Q2174</f>
        <v/>
      </c>
      <c r="S2174" s="23">
        <f>R2174*E2174</f>
        <v/>
      </c>
      <c r="T2174" s="23">
        <f>(R2174-S2174)*M2174</f>
        <v/>
      </c>
      <c r="U2174" s="23">
        <f>R2174-S2174-T2174</f>
        <v/>
      </c>
      <c r="V2174" s="23">
        <f>D2174*P2174</f>
        <v/>
      </c>
      <c r="W2174" s="23">
        <f>U2174-V2174</f>
        <v/>
      </c>
      <c r="X2174" s="24">
        <f>IFERROR(W2174/U2174,0)</f>
        <v/>
      </c>
    </row>
    <row r="2175">
      <c r="A2175" s="25">
        <f>ItensPedido!A2175</f>
        <v/>
      </c>
      <c r="B2175" s="25">
        <f>ItensPedido!B2175</f>
        <v/>
      </c>
      <c r="C2175" s="25">
        <f>ItensPedido!C2175</f>
        <v/>
      </c>
      <c r="D2175" s="25">
        <f>ItensPedido!D2175</f>
        <v/>
      </c>
      <c r="E2175" s="26">
        <f>ItensPedido!E2175</f>
        <v/>
      </c>
      <c r="F2175" s="25">
        <f>IFERROR(INDEX(Pedidos!$B$2:$B$1801,MATCH(B2175,Pedidos!$A$2:$A$1801,0)),0)</f>
        <v/>
      </c>
      <c r="G2175" s="25">
        <f>IF(F2175=0,"",YEAR(F2175))</f>
        <v/>
      </c>
      <c r="H2175" s="25">
        <f>IF(F2175=0,"",MONTH(F2175))</f>
        <v/>
      </c>
      <c r="I2175" s="25">
        <f>IFERROR(INDEX(Pedidos!$E$2:$E$1801,MATCH(B2175,Pedidos!$A$2:$A$1801,0)),"")</f>
        <v/>
      </c>
      <c r="J2175" s="25">
        <f>IFERROR(INDEX(Pedidos!$C$2:$C$1801,MATCH(B2175,Pedidos!$A$2:$A$1801,0)),"")</f>
        <v/>
      </c>
      <c r="K2175" s="25">
        <f>IFERROR(INDEX(Pedidos!$D$2:$D$1801,MATCH(B2175,Pedidos!$A$2:$A$1801,0)),"")</f>
        <v/>
      </c>
      <c r="L2175" s="25">
        <f>IFERROR(INDEX(Pedidos!$F$2:$F$1801,MATCH(B2175,Pedidos!$A$2:$A$1801,0)),"")</f>
        <v/>
      </c>
      <c r="M2175" s="26">
        <f>IFERROR(INDEX(Pedidos!$G$2:$G$1801,MATCH(B2175,Pedidos!$A$2:$A$1801,0)),0)</f>
        <v/>
      </c>
      <c r="N2175" s="25">
        <f>IFERROR(INDEX(Produtos!$B$2:$B$71,MATCH(C2175,Produtos!$A$2:$A$71,0)),"")</f>
        <v/>
      </c>
      <c r="O2175" s="25">
        <f>IFERROR(INDEX(Produtos!$C$2:$C$71,MATCH(C2175,Produtos!$A$2:$A$71,0)),"")</f>
        <v/>
      </c>
      <c r="P2175" s="25">
        <f>IFERROR(INDEX(Produtos!$D$2:$D$71,MATCH(C2175,Produtos!$A$2:$A$71,0)),0)</f>
        <v/>
      </c>
      <c r="Q2175" s="25">
        <f>IFERROR(INDEX(Produtos!$E$2:$E$71,MATCH(C2175,Produtos!$A$2:$A$71,0)),0)</f>
        <v/>
      </c>
      <c r="R2175" s="27">
        <f>D2175*Q2175</f>
        <v/>
      </c>
      <c r="S2175" s="27">
        <f>R2175*E2175</f>
        <v/>
      </c>
      <c r="T2175" s="27">
        <f>(R2175-S2175)*M2175</f>
        <v/>
      </c>
      <c r="U2175" s="27">
        <f>R2175-S2175-T2175</f>
        <v/>
      </c>
      <c r="V2175" s="27">
        <f>D2175*P2175</f>
        <v/>
      </c>
      <c r="W2175" s="27">
        <f>U2175-V2175</f>
        <v/>
      </c>
      <c r="X2175" s="28">
        <f>IFERROR(W2175/U2175,0)</f>
        <v/>
      </c>
    </row>
    <row r="2176">
      <c r="A2176" s="21">
        <f>ItensPedido!A2176</f>
        <v/>
      </c>
      <c r="B2176" s="21">
        <f>ItensPedido!B2176</f>
        <v/>
      </c>
      <c r="C2176" s="21">
        <f>ItensPedido!C2176</f>
        <v/>
      </c>
      <c r="D2176" s="21">
        <f>ItensPedido!D2176</f>
        <v/>
      </c>
      <c r="E2176" s="22">
        <f>ItensPedido!E2176</f>
        <v/>
      </c>
      <c r="F2176" s="21">
        <f>IFERROR(INDEX(Pedidos!$B$2:$B$1801,MATCH(B2176,Pedidos!$A$2:$A$1801,0)),0)</f>
        <v/>
      </c>
      <c r="G2176" s="21">
        <f>IF(F2176=0,"",YEAR(F2176))</f>
        <v/>
      </c>
      <c r="H2176" s="21">
        <f>IF(F2176=0,"",MONTH(F2176))</f>
        <v/>
      </c>
      <c r="I2176" s="21">
        <f>IFERROR(INDEX(Pedidos!$E$2:$E$1801,MATCH(B2176,Pedidos!$A$2:$A$1801,0)),"")</f>
        <v/>
      </c>
      <c r="J2176" s="21">
        <f>IFERROR(INDEX(Pedidos!$C$2:$C$1801,MATCH(B2176,Pedidos!$A$2:$A$1801,0)),"")</f>
        <v/>
      </c>
      <c r="K2176" s="21">
        <f>IFERROR(INDEX(Pedidos!$D$2:$D$1801,MATCH(B2176,Pedidos!$A$2:$A$1801,0)),"")</f>
        <v/>
      </c>
      <c r="L2176" s="21">
        <f>IFERROR(INDEX(Pedidos!$F$2:$F$1801,MATCH(B2176,Pedidos!$A$2:$A$1801,0)),"")</f>
        <v/>
      </c>
      <c r="M2176" s="22">
        <f>IFERROR(INDEX(Pedidos!$G$2:$G$1801,MATCH(B2176,Pedidos!$A$2:$A$1801,0)),0)</f>
        <v/>
      </c>
      <c r="N2176" s="21">
        <f>IFERROR(INDEX(Produtos!$B$2:$B$71,MATCH(C2176,Produtos!$A$2:$A$71,0)),"")</f>
        <v/>
      </c>
      <c r="O2176" s="21">
        <f>IFERROR(INDEX(Produtos!$C$2:$C$71,MATCH(C2176,Produtos!$A$2:$A$71,0)),"")</f>
        <v/>
      </c>
      <c r="P2176" s="21">
        <f>IFERROR(INDEX(Produtos!$D$2:$D$71,MATCH(C2176,Produtos!$A$2:$A$71,0)),0)</f>
        <v/>
      </c>
      <c r="Q2176" s="21">
        <f>IFERROR(INDEX(Produtos!$E$2:$E$71,MATCH(C2176,Produtos!$A$2:$A$71,0)),0)</f>
        <v/>
      </c>
      <c r="R2176" s="23">
        <f>D2176*Q2176</f>
        <v/>
      </c>
      <c r="S2176" s="23">
        <f>R2176*E2176</f>
        <v/>
      </c>
      <c r="T2176" s="23">
        <f>(R2176-S2176)*M2176</f>
        <v/>
      </c>
      <c r="U2176" s="23">
        <f>R2176-S2176-T2176</f>
        <v/>
      </c>
      <c r="V2176" s="23">
        <f>D2176*P2176</f>
        <v/>
      </c>
      <c r="W2176" s="23">
        <f>U2176-V2176</f>
        <v/>
      </c>
      <c r="X2176" s="24">
        <f>IFERROR(W2176/U2176,0)</f>
        <v/>
      </c>
    </row>
    <row r="2177">
      <c r="A2177" s="25">
        <f>ItensPedido!A2177</f>
        <v/>
      </c>
      <c r="B2177" s="25">
        <f>ItensPedido!B2177</f>
        <v/>
      </c>
      <c r="C2177" s="25">
        <f>ItensPedido!C2177</f>
        <v/>
      </c>
      <c r="D2177" s="25">
        <f>ItensPedido!D2177</f>
        <v/>
      </c>
      <c r="E2177" s="26">
        <f>ItensPedido!E2177</f>
        <v/>
      </c>
      <c r="F2177" s="25">
        <f>IFERROR(INDEX(Pedidos!$B$2:$B$1801,MATCH(B2177,Pedidos!$A$2:$A$1801,0)),0)</f>
        <v/>
      </c>
      <c r="G2177" s="25">
        <f>IF(F2177=0,"",YEAR(F2177))</f>
        <v/>
      </c>
      <c r="H2177" s="25">
        <f>IF(F2177=0,"",MONTH(F2177))</f>
        <v/>
      </c>
      <c r="I2177" s="25">
        <f>IFERROR(INDEX(Pedidos!$E$2:$E$1801,MATCH(B2177,Pedidos!$A$2:$A$1801,0)),"")</f>
        <v/>
      </c>
      <c r="J2177" s="25">
        <f>IFERROR(INDEX(Pedidos!$C$2:$C$1801,MATCH(B2177,Pedidos!$A$2:$A$1801,0)),"")</f>
        <v/>
      </c>
      <c r="K2177" s="25">
        <f>IFERROR(INDEX(Pedidos!$D$2:$D$1801,MATCH(B2177,Pedidos!$A$2:$A$1801,0)),"")</f>
        <v/>
      </c>
      <c r="L2177" s="25">
        <f>IFERROR(INDEX(Pedidos!$F$2:$F$1801,MATCH(B2177,Pedidos!$A$2:$A$1801,0)),"")</f>
        <v/>
      </c>
      <c r="M2177" s="26">
        <f>IFERROR(INDEX(Pedidos!$G$2:$G$1801,MATCH(B2177,Pedidos!$A$2:$A$1801,0)),0)</f>
        <v/>
      </c>
      <c r="N2177" s="25">
        <f>IFERROR(INDEX(Produtos!$B$2:$B$71,MATCH(C2177,Produtos!$A$2:$A$71,0)),"")</f>
        <v/>
      </c>
      <c r="O2177" s="25">
        <f>IFERROR(INDEX(Produtos!$C$2:$C$71,MATCH(C2177,Produtos!$A$2:$A$71,0)),"")</f>
        <v/>
      </c>
      <c r="P2177" s="25">
        <f>IFERROR(INDEX(Produtos!$D$2:$D$71,MATCH(C2177,Produtos!$A$2:$A$71,0)),0)</f>
        <v/>
      </c>
      <c r="Q2177" s="25">
        <f>IFERROR(INDEX(Produtos!$E$2:$E$71,MATCH(C2177,Produtos!$A$2:$A$71,0)),0)</f>
        <v/>
      </c>
      <c r="R2177" s="27">
        <f>D2177*Q2177</f>
        <v/>
      </c>
      <c r="S2177" s="27">
        <f>R2177*E2177</f>
        <v/>
      </c>
      <c r="T2177" s="27">
        <f>(R2177-S2177)*M2177</f>
        <v/>
      </c>
      <c r="U2177" s="27">
        <f>R2177-S2177-T2177</f>
        <v/>
      </c>
      <c r="V2177" s="27">
        <f>D2177*P2177</f>
        <v/>
      </c>
      <c r="W2177" s="27">
        <f>U2177-V2177</f>
        <v/>
      </c>
      <c r="X2177" s="28">
        <f>IFERROR(W2177/U2177,0)</f>
        <v/>
      </c>
    </row>
    <row r="2178">
      <c r="A2178" s="21">
        <f>ItensPedido!A2178</f>
        <v/>
      </c>
      <c r="B2178" s="21">
        <f>ItensPedido!B2178</f>
        <v/>
      </c>
      <c r="C2178" s="21">
        <f>ItensPedido!C2178</f>
        <v/>
      </c>
      <c r="D2178" s="21">
        <f>ItensPedido!D2178</f>
        <v/>
      </c>
      <c r="E2178" s="22">
        <f>ItensPedido!E2178</f>
        <v/>
      </c>
      <c r="F2178" s="21">
        <f>IFERROR(INDEX(Pedidos!$B$2:$B$1801,MATCH(B2178,Pedidos!$A$2:$A$1801,0)),0)</f>
        <v/>
      </c>
      <c r="G2178" s="21">
        <f>IF(F2178=0,"",YEAR(F2178))</f>
        <v/>
      </c>
      <c r="H2178" s="21">
        <f>IF(F2178=0,"",MONTH(F2178))</f>
        <v/>
      </c>
      <c r="I2178" s="21">
        <f>IFERROR(INDEX(Pedidos!$E$2:$E$1801,MATCH(B2178,Pedidos!$A$2:$A$1801,0)),"")</f>
        <v/>
      </c>
      <c r="J2178" s="21">
        <f>IFERROR(INDEX(Pedidos!$C$2:$C$1801,MATCH(B2178,Pedidos!$A$2:$A$1801,0)),"")</f>
        <v/>
      </c>
      <c r="K2178" s="21">
        <f>IFERROR(INDEX(Pedidos!$D$2:$D$1801,MATCH(B2178,Pedidos!$A$2:$A$1801,0)),"")</f>
        <v/>
      </c>
      <c r="L2178" s="21">
        <f>IFERROR(INDEX(Pedidos!$F$2:$F$1801,MATCH(B2178,Pedidos!$A$2:$A$1801,0)),"")</f>
        <v/>
      </c>
      <c r="M2178" s="22">
        <f>IFERROR(INDEX(Pedidos!$G$2:$G$1801,MATCH(B2178,Pedidos!$A$2:$A$1801,0)),0)</f>
        <v/>
      </c>
      <c r="N2178" s="21">
        <f>IFERROR(INDEX(Produtos!$B$2:$B$71,MATCH(C2178,Produtos!$A$2:$A$71,0)),"")</f>
        <v/>
      </c>
      <c r="O2178" s="21">
        <f>IFERROR(INDEX(Produtos!$C$2:$C$71,MATCH(C2178,Produtos!$A$2:$A$71,0)),"")</f>
        <v/>
      </c>
      <c r="P2178" s="21">
        <f>IFERROR(INDEX(Produtos!$D$2:$D$71,MATCH(C2178,Produtos!$A$2:$A$71,0)),0)</f>
        <v/>
      </c>
      <c r="Q2178" s="21">
        <f>IFERROR(INDEX(Produtos!$E$2:$E$71,MATCH(C2178,Produtos!$A$2:$A$71,0)),0)</f>
        <v/>
      </c>
      <c r="R2178" s="23">
        <f>D2178*Q2178</f>
        <v/>
      </c>
      <c r="S2178" s="23">
        <f>R2178*E2178</f>
        <v/>
      </c>
      <c r="T2178" s="23">
        <f>(R2178-S2178)*M2178</f>
        <v/>
      </c>
      <c r="U2178" s="23">
        <f>R2178-S2178-T2178</f>
        <v/>
      </c>
      <c r="V2178" s="23">
        <f>D2178*P2178</f>
        <v/>
      </c>
      <c r="W2178" s="23">
        <f>U2178-V2178</f>
        <v/>
      </c>
      <c r="X2178" s="24">
        <f>IFERROR(W2178/U2178,0)</f>
        <v/>
      </c>
    </row>
    <row r="2179">
      <c r="A2179" s="25">
        <f>ItensPedido!A2179</f>
        <v/>
      </c>
      <c r="B2179" s="25">
        <f>ItensPedido!B2179</f>
        <v/>
      </c>
      <c r="C2179" s="25">
        <f>ItensPedido!C2179</f>
        <v/>
      </c>
      <c r="D2179" s="25">
        <f>ItensPedido!D2179</f>
        <v/>
      </c>
      <c r="E2179" s="26">
        <f>ItensPedido!E2179</f>
        <v/>
      </c>
      <c r="F2179" s="25">
        <f>IFERROR(INDEX(Pedidos!$B$2:$B$1801,MATCH(B2179,Pedidos!$A$2:$A$1801,0)),0)</f>
        <v/>
      </c>
      <c r="G2179" s="25">
        <f>IF(F2179=0,"",YEAR(F2179))</f>
        <v/>
      </c>
      <c r="H2179" s="25">
        <f>IF(F2179=0,"",MONTH(F2179))</f>
        <v/>
      </c>
      <c r="I2179" s="25">
        <f>IFERROR(INDEX(Pedidos!$E$2:$E$1801,MATCH(B2179,Pedidos!$A$2:$A$1801,0)),"")</f>
        <v/>
      </c>
      <c r="J2179" s="25">
        <f>IFERROR(INDEX(Pedidos!$C$2:$C$1801,MATCH(B2179,Pedidos!$A$2:$A$1801,0)),"")</f>
        <v/>
      </c>
      <c r="K2179" s="25">
        <f>IFERROR(INDEX(Pedidos!$D$2:$D$1801,MATCH(B2179,Pedidos!$A$2:$A$1801,0)),"")</f>
        <v/>
      </c>
      <c r="L2179" s="25">
        <f>IFERROR(INDEX(Pedidos!$F$2:$F$1801,MATCH(B2179,Pedidos!$A$2:$A$1801,0)),"")</f>
        <v/>
      </c>
      <c r="M2179" s="26">
        <f>IFERROR(INDEX(Pedidos!$G$2:$G$1801,MATCH(B2179,Pedidos!$A$2:$A$1801,0)),0)</f>
        <v/>
      </c>
      <c r="N2179" s="25">
        <f>IFERROR(INDEX(Produtos!$B$2:$B$71,MATCH(C2179,Produtos!$A$2:$A$71,0)),"")</f>
        <v/>
      </c>
      <c r="O2179" s="25">
        <f>IFERROR(INDEX(Produtos!$C$2:$C$71,MATCH(C2179,Produtos!$A$2:$A$71,0)),"")</f>
        <v/>
      </c>
      <c r="P2179" s="25">
        <f>IFERROR(INDEX(Produtos!$D$2:$D$71,MATCH(C2179,Produtos!$A$2:$A$71,0)),0)</f>
        <v/>
      </c>
      <c r="Q2179" s="25">
        <f>IFERROR(INDEX(Produtos!$E$2:$E$71,MATCH(C2179,Produtos!$A$2:$A$71,0)),0)</f>
        <v/>
      </c>
      <c r="R2179" s="27">
        <f>D2179*Q2179</f>
        <v/>
      </c>
      <c r="S2179" s="27">
        <f>R2179*E2179</f>
        <v/>
      </c>
      <c r="T2179" s="27">
        <f>(R2179-S2179)*M2179</f>
        <v/>
      </c>
      <c r="U2179" s="27">
        <f>R2179-S2179-T2179</f>
        <v/>
      </c>
      <c r="V2179" s="27">
        <f>D2179*P2179</f>
        <v/>
      </c>
      <c r="W2179" s="27">
        <f>U2179-V2179</f>
        <v/>
      </c>
      <c r="X2179" s="28">
        <f>IFERROR(W2179/U2179,0)</f>
        <v/>
      </c>
    </row>
    <row r="2180">
      <c r="A2180" s="21">
        <f>ItensPedido!A2180</f>
        <v/>
      </c>
      <c r="B2180" s="21">
        <f>ItensPedido!B2180</f>
        <v/>
      </c>
      <c r="C2180" s="21">
        <f>ItensPedido!C2180</f>
        <v/>
      </c>
      <c r="D2180" s="21">
        <f>ItensPedido!D2180</f>
        <v/>
      </c>
      <c r="E2180" s="22">
        <f>ItensPedido!E2180</f>
        <v/>
      </c>
      <c r="F2180" s="21">
        <f>IFERROR(INDEX(Pedidos!$B$2:$B$1801,MATCH(B2180,Pedidos!$A$2:$A$1801,0)),0)</f>
        <v/>
      </c>
      <c r="G2180" s="21">
        <f>IF(F2180=0,"",YEAR(F2180))</f>
        <v/>
      </c>
      <c r="H2180" s="21">
        <f>IF(F2180=0,"",MONTH(F2180))</f>
        <v/>
      </c>
      <c r="I2180" s="21">
        <f>IFERROR(INDEX(Pedidos!$E$2:$E$1801,MATCH(B2180,Pedidos!$A$2:$A$1801,0)),"")</f>
        <v/>
      </c>
      <c r="J2180" s="21">
        <f>IFERROR(INDEX(Pedidos!$C$2:$C$1801,MATCH(B2180,Pedidos!$A$2:$A$1801,0)),"")</f>
        <v/>
      </c>
      <c r="K2180" s="21">
        <f>IFERROR(INDEX(Pedidos!$D$2:$D$1801,MATCH(B2180,Pedidos!$A$2:$A$1801,0)),"")</f>
        <v/>
      </c>
      <c r="L2180" s="21">
        <f>IFERROR(INDEX(Pedidos!$F$2:$F$1801,MATCH(B2180,Pedidos!$A$2:$A$1801,0)),"")</f>
        <v/>
      </c>
      <c r="M2180" s="22">
        <f>IFERROR(INDEX(Pedidos!$G$2:$G$1801,MATCH(B2180,Pedidos!$A$2:$A$1801,0)),0)</f>
        <v/>
      </c>
      <c r="N2180" s="21">
        <f>IFERROR(INDEX(Produtos!$B$2:$B$71,MATCH(C2180,Produtos!$A$2:$A$71,0)),"")</f>
        <v/>
      </c>
      <c r="O2180" s="21">
        <f>IFERROR(INDEX(Produtos!$C$2:$C$71,MATCH(C2180,Produtos!$A$2:$A$71,0)),"")</f>
        <v/>
      </c>
      <c r="P2180" s="21">
        <f>IFERROR(INDEX(Produtos!$D$2:$D$71,MATCH(C2180,Produtos!$A$2:$A$71,0)),0)</f>
        <v/>
      </c>
      <c r="Q2180" s="21">
        <f>IFERROR(INDEX(Produtos!$E$2:$E$71,MATCH(C2180,Produtos!$A$2:$A$71,0)),0)</f>
        <v/>
      </c>
      <c r="R2180" s="23">
        <f>D2180*Q2180</f>
        <v/>
      </c>
      <c r="S2180" s="23">
        <f>R2180*E2180</f>
        <v/>
      </c>
      <c r="T2180" s="23">
        <f>(R2180-S2180)*M2180</f>
        <v/>
      </c>
      <c r="U2180" s="23">
        <f>R2180-S2180-T2180</f>
        <v/>
      </c>
      <c r="V2180" s="23">
        <f>D2180*P2180</f>
        <v/>
      </c>
      <c r="W2180" s="23">
        <f>U2180-V2180</f>
        <v/>
      </c>
      <c r="X2180" s="24">
        <f>IFERROR(W2180/U2180,0)</f>
        <v/>
      </c>
    </row>
    <row r="2181">
      <c r="A2181" s="25">
        <f>ItensPedido!A2181</f>
        <v/>
      </c>
      <c r="B2181" s="25">
        <f>ItensPedido!B2181</f>
        <v/>
      </c>
      <c r="C2181" s="25">
        <f>ItensPedido!C2181</f>
        <v/>
      </c>
      <c r="D2181" s="25">
        <f>ItensPedido!D2181</f>
        <v/>
      </c>
      <c r="E2181" s="26">
        <f>ItensPedido!E2181</f>
        <v/>
      </c>
      <c r="F2181" s="25">
        <f>IFERROR(INDEX(Pedidos!$B$2:$B$1801,MATCH(B2181,Pedidos!$A$2:$A$1801,0)),0)</f>
        <v/>
      </c>
      <c r="G2181" s="25">
        <f>IF(F2181=0,"",YEAR(F2181))</f>
        <v/>
      </c>
      <c r="H2181" s="25">
        <f>IF(F2181=0,"",MONTH(F2181))</f>
        <v/>
      </c>
      <c r="I2181" s="25">
        <f>IFERROR(INDEX(Pedidos!$E$2:$E$1801,MATCH(B2181,Pedidos!$A$2:$A$1801,0)),"")</f>
        <v/>
      </c>
      <c r="J2181" s="25">
        <f>IFERROR(INDEX(Pedidos!$C$2:$C$1801,MATCH(B2181,Pedidos!$A$2:$A$1801,0)),"")</f>
        <v/>
      </c>
      <c r="K2181" s="25">
        <f>IFERROR(INDEX(Pedidos!$D$2:$D$1801,MATCH(B2181,Pedidos!$A$2:$A$1801,0)),"")</f>
        <v/>
      </c>
      <c r="L2181" s="25">
        <f>IFERROR(INDEX(Pedidos!$F$2:$F$1801,MATCH(B2181,Pedidos!$A$2:$A$1801,0)),"")</f>
        <v/>
      </c>
      <c r="M2181" s="26">
        <f>IFERROR(INDEX(Pedidos!$G$2:$G$1801,MATCH(B2181,Pedidos!$A$2:$A$1801,0)),0)</f>
        <v/>
      </c>
      <c r="N2181" s="25">
        <f>IFERROR(INDEX(Produtos!$B$2:$B$71,MATCH(C2181,Produtos!$A$2:$A$71,0)),"")</f>
        <v/>
      </c>
      <c r="O2181" s="25">
        <f>IFERROR(INDEX(Produtos!$C$2:$C$71,MATCH(C2181,Produtos!$A$2:$A$71,0)),"")</f>
        <v/>
      </c>
      <c r="P2181" s="25">
        <f>IFERROR(INDEX(Produtos!$D$2:$D$71,MATCH(C2181,Produtos!$A$2:$A$71,0)),0)</f>
        <v/>
      </c>
      <c r="Q2181" s="25">
        <f>IFERROR(INDEX(Produtos!$E$2:$E$71,MATCH(C2181,Produtos!$A$2:$A$71,0)),0)</f>
        <v/>
      </c>
      <c r="R2181" s="27">
        <f>D2181*Q2181</f>
        <v/>
      </c>
      <c r="S2181" s="27">
        <f>R2181*E2181</f>
        <v/>
      </c>
      <c r="T2181" s="27">
        <f>(R2181-S2181)*M2181</f>
        <v/>
      </c>
      <c r="U2181" s="27">
        <f>R2181-S2181-T2181</f>
        <v/>
      </c>
      <c r="V2181" s="27">
        <f>D2181*P2181</f>
        <v/>
      </c>
      <c r="W2181" s="27">
        <f>U2181-V2181</f>
        <v/>
      </c>
      <c r="X2181" s="28">
        <f>IFERROR(W2181/U2181,0)</f>
        <v/>
      </c>
    </row>
    <row r="2182">
      <c r="A2182" s="21">
        <f>ItensPedido!A2182</f>
        <v/>
      </c>
      <c r="B2182" s="21">
        <f>ItensPedido!B2182</f>
        <v/>
      </c>
      <c r="C2182" s="21">
        <f>ItensPedido!C2182</f>
        <v/>
      </c>
      <c r="D2182" s="21">
        <f>ItensPedido!D2182</f>
        <v/>
      </c>
      <c r="E2182" s="22">
        <f>ItensPedido!E2182</f>
        <v/>
      </c>
      <c r="F2182" s="21">
        <f>IFERROR(INDEX(Pedidos!$B$2:$B$1801,MATCH(B2182,Pedidos!$A$2:$A$1801,0)),0)</f>
        <v/>
      </c>
      <c r="G2182" s="21">
        <f>IF(F2182=0,"",YEAR(F2182))</f>
        <v/>
      </c>
      <c r="H2182" s="21">
        <f>IF(F2182=0,"",MONTH(F2182))</f>
        <v/>
      </c>
      <c r="I2182" s="21">
        <f>IFERROR(INDEX(Pedidos!$E$2:$E$1801,MATCH(B2182,Pedidos!$A$2:$A$1801,0)),"")</f>
        <v/>
      </c>
      <c r="J2182" s="21">
        <f>IFERROR(INDEX(Pedidos!$C$2:$C$1801,MATCH(B2182,Pedidos!$A$2:$A$1801,0)),"")</f>
        <v/>
      </c>
      <c r="K2182" s="21">
        <f>IFERROR(INDEX(Pedidos!$D$2:$D$1801,MATCH(B2182,Pedidos!$A$2:$A$1801,0)),"")</f>
        <v/>
      </c>
      <c r="L2182" s="21">
        <f>IFERROR(INDEX(Pedidos!$F$2:$F$1801,MATCH(B2182,Pedidos!$A$2:$A$1801,0)),"")</f>
        <v/>
      </c>
      <c r="M2182" s="22">
        <f>IFERROR(INDEX(Pedidos!$G$2:$G$1801,MATCH(B2182,Pedidos!$A$2:$A$1801,0)),0)</f>
        <v/>
      </c>
      <c r="N2182" s="21">
        <f>IFERROR(INDEX(Produtos!$B$2:$B$71,MATCH(C2182,Produtos!$A$2:$A$71,0)),"")</f>
        <v/>
      </c>
      <c r="O2182" s="21">
        <f>IFERROR(INDEX(Produtos!$C$2:$C$71,MATCH(C2182,Produtos!$A$2:$A$71,0)),"")</f>
        <v/>
      </c>
      <c r="P2182" s="21">
        <f>IFERROR(INDEX(Produtos!$D$2:$D$71,MATCH(C2182,Produtos!$A$2:$A$71,0)),0)</f>
        <v/>
      </c>
      <c r="Q2182" s="21">
        <f>IFERROR(INDEX(Produtos!$E$2:$E$71,MATCH(C2182,Produtos!$A$2:$A$71,0)),0)</f>
        <v/>
      </c>
      <c r="R2182" s="23">
        <f>D2182*Q2182</f>
        <v/>
      </c>
      <c r="S2182" s="23">
        <f>R2182*E2182</f>
        <v/>
      </c>
      <c r="T2182" s="23">
        <f>(R2182-S2182)*M2182</f>
        <v/>
      </c>
      <c r="U2182" s="23">
        <f>R2182-S2182-T2182</f>
        <v/>
      </c>
      <c r="V2182" s="23">
        <f>D2182*P2182</f>
        <v/>
      </c>
      <c r="W2182" s="23">
        <f>U2182-V2182</f>
        <v/>
      </c>
      <c r="X2182" s="24">
        <f>IFERROR(W2182/U2182,0)</f>
        <v/>
      </c>
    </row>
    <row r="2183">
      <c r="A2183" s="25">
        <f>ItensPedido!A2183</f>
        <v/>
      </c>
      <c r="B2183" s="25">
        <f>ItensPedido!B2183</f>
        <v/>
      </c>
      <c r="C2183" s="25">
        <f>ItensPedido!C2183</f>
        <v/>
      </c>
      <c r="D2183" s="25">
        <f>ItensPedido!D2183</f>
        <v/>
      </c>
      <c r="E2183" s="26">
        <f>ItensPedido!E2183</f>
        <v/>
      </c>
      <c r="F2183" s="25">
        <f>IFERROR(INDEX(Pedidos!$B$2:$B$1801,MATCH(B2183,Pedidos!$A$2:$A$1801,0)),0)</f>
        <v/>
      </c>
      <c r="G2183" s="25">
        <f>IF(F2183=0,"",YEAR(F2183))</f>
        <v/>
      </c>
      <c r="H2183" s="25">
        <f>IF(F2183=0,"",MONTH(F2183))</f>
        <v/>
      </c>
      <c r="I2183" s="25">
        <f>IFERROR(INDEX(Pedidos!$E$2:$E$1801,MATCH(B2183,Pedidos!$A$2:$A$1801,0)),"")</f>
        <v/>
      </c>
      <c r="J2183" s="25">
        <f>IFERROR(INDEX(Pedidos!$C$2:$C$1801,MATCH(B2183,Pedidos!$A$2:$A$1801,0)),"")</f>
        <v/>
      </c>
      <c r="K2183" s="25">
        <f>IFERROR(INDEX(Pedidos!$D$2:$D$1801,MATCH(B2183,Pedidos!$A$2:$A$1801,0)),"")</f>
        <v/>
      </c>
      <c r="L2183" s="25">
        <f>IFERROR(INDEX(Pedidos!$F$2:$F$1801,MATCH(B2183,Pedidos!$A$2:$A$1801,0)),"")</f>
        <v/>
      </c>
      <c r="M2183" s="26">
        <f>IFERROR(INDEX(Pedidos!$G$2:$G$1801,MATCH(B2183,Pedidos!$A$2:$A$1801,0)),0)</f>
        <v/>
      </c>
      <c r="N2183" s="25">
        <f>IFERROR(INDEX(Produtos!$B$2:$B$71,MATCH(C2183,Produtos!$A$2:$A$71,0)),"")</f>
        <v/>
      </c>
      <c r="O2183" s="25">
        <f>IFERROR(INDEX(Produtos!$C$2:$C$71,MATCH(C2183,Produtos!$A$2:$A$71,0)),"")</f>
        <v/>
      </c>
      <c r="P2183" s="25">
        <f>IFERROR(INDEX(Produtos!$D$2:$D$71,MATCH(C2183,Produtos!$A$2:$A$71,0)),0)</f>
        <v/>
      </c>
      <c r="Q2183" s="25">
        <f>IFERROR(INDEX(Produtos!$E$2:$E$71,MATCH(C2183,Produtos!$A$2:$A$71,0)),0)</f>
        <v/>
      </c>
      <c r="R2183" s="27">
        <f>D2183*Q2183</f>
        <v/>
      </c>
      <c r="S2183" s="27">
        <f>R2183*E2183</f>
        <v/>
      </c>
      <c r="T2183" s="27">
        <f>(R2183-S2183)*M2183</f>
        <v/>
      </c>
      <c r="U2183" s="27">
        <f>R2183-S2183-T2183</f>
        <v/>
      </c>
      <c r="V2183" s="27">
        <f>D2183*P2183</f>
        <v/>
      </c>
      <c r="W2183" s="27">
        <f>U2183-V2183</f>
        <v/>
      </c>
      <c r="X2183" s="28">
        <f>IFERROR(W2183/U2183,0)</f>
        <v/>
      </c>
    </row>
    <row r="2184">
      <c r="A2184" s="21">
        <f>ItensPedido!A2184</f>
        <v/>
      </c>
      <c r="B2184" s="21">
        <f>ItensPedido!B2184</f>
        <v/>
      </c>
      <c r="C2184" s="21">
        <f>ItensPedido!C2184</f>
        <v/>
      </c>
      <c r="D2184" s="21">
        <f>ItensPedido!D2184</f>
        <v/>
      </c>
      <c r="E2184" s="22">
        <f>ItensPedido!E2184</f>
        <v/>
      </c>
      <c r="F2184" s="21">
        <f>IFERROR(INDEX(Pedidos!$B$2:$B$1801,MATCH(B2184,Pedidos!$A$2:$A$1801,0)),0)</f>
        <v/>
      </c>
      <c r="G2184" s="21">
        <f>IF(F2184=0,"",YEAR(F2184))</f>
        <v/>
      </c>
      <c r="H2184" s="21">
        <f>IF(F2184=0,"",MONTH(F2184))</f>
        <v/>
      </c>
      <c r="I2184" s="21">
        <f>IFERROR(INDEX(Pedidos!$E$2:$E$1801,MATCH(B2184,Pedidos!$A$2:$A$1801,0)),"")</f>
        <v/>
      </c>
      <c r="J2184" s="21">
        <f>IFERROR(INDEX(Pedidos!$C$2:$C$1801,MATCH(B2184,Pedidos!$A$2:$A$1801,0)),"")</f>
        <v/>
      </c>
      <c r="K2184" s="21">
        <f>IFERROR(INDEX(Pedidos!$D$2:$D$1801,MATCH(B2184,Pedidos!$A$2:$A$1801,0)),"")</f>
        <v/>
      </c>
      <c r="L2184" s="21">
        <f>IFERROR(INDEX(Pedidos!$F$2:$F$1801,MATCH(B2184,Pedidos!$A$2:$A$1801,0)),"")</f>
        <v/>
      </c>
      <c r="M2184" s="22">
        <f>IFERROR(INDEX(Pedidos!$G$2:$G$1801,MATCH(B2184,Pedidos!$A$2:$A$1801,0)),0)</f>
        <v/>
      </c>
      <c r="N2184" s="21">
        <f>IFERROR(INDEX(Produtos!$B$2:$B$71,MATCH(C2184,Produtos!$A$2:$A$71,0)),"")</f>
        <v/>
      </c>
      <c r="O2184" s="21">
        <f>IFERROR(INDEX(Produtos!$C$2:$C$71,MATCH(C2184,Produtos!$A$2:$A$71,0)),"")</f>
        <v/>
      </c>
      <c r="P2184" s="21">
        <f>IFERROR(INDEX(Produtos!$D$2:$D$71,MATCH(C2184,Produtos!$A$2:$A$71,0)),0)</f>
        <v/>
      </c>
      <c r="Q2184" s="21">
        <f>IFERROR(INDEX(Produtos!$E$2:$E$71,MATCH(C2184,Produtos!$A$2:$A$71,0)),0)</f>
        <v/>
      </c>
      <c r="R2184" s="23">
        <f>D2184*Q2184</f>
        <v/>
      </c>
      <c r="S2184" s="23">
        <f>R2184*E2184</f>
        <v/>
      </c>
      <c r="T2184" s="23">
        <f>(R2184-S2184)*M2184</f>
        <v/>
      </c>
      <c r="U2184" s="23">
        <f>R2184-S2184-T2184</f>
        <v/>
      </c>
      <c r="V2184" s="23">
        <f>D2184*P2184</f>
        <v/>
      </c>
      <c r="W2184" s="23">
        <f>U2184-V2184</f>
        <v/>
      </c>
      <c r="X2184" s="24">
        <f>IFERROR(W2184/U2184,0)</f>
        <v/>
      </c>
    </row>
    <row r="2185">
      <c r="A2185" s="25">
        <f>ItensPedido!A2185</f>
        <v/>
      </c>
      <c r="B2185" s="25">
        <f>ItensPedido!B2185</f>
        <v/>
      </c>
      <c r="C2185" s="25">
        <f>ItensPedido!C2185</f>
        <v/>
      </c>
      <c r="D2185" s="25">
        <f>ItensPedido!D2185</f>
        <v/>
      </c>
      <c r="E2185" s="26">
        <f>ItensPedido!E2185</f>
        <v/>
      </c>
      <c r="F2185" s="25">
        <f>IFERROR(INDEX(Pedidos!$B$2:$B$1801,MATCH(B2185,Pedidos!$A$2:$A$1801,0)),0)</f>
        <v/>
      </c>
      <c r="G2185" s="25">
        <f>IF(F2185=0,"",YEAR(F2185))</f>
        <v/>
      </c>
      <c r="H2185" s="25">
        <f>IF(F2185=0,"",MONTH(F2185))</f>
        <v/>
      </c>
      <c r="I2185" s="25">
        <f>IFERROR(INDEX(Pedidos!$E$2:$E$1801,MATCH(B2185,Pedidos!$A$2:$A$1801,0)),"")</f>
        <v/>
      </c>
      <c r="J2185" s="25">
        <f>IFERROR(INDEX(Pedidos!$C$2:$C$1801,MATCH(B2185,Pedidos!$A$2:$A$1801,0)),"")</f>
        <v/>
      </c>
      <c r="K2185" s="25">
        <f>IFERROR(INDEX(Pedidos!$D$2:$D$1801,MATCH(B2185,Pedidos!$A$2:$A$1801,0)),"")</f>
        <v/>
      </c>
      <c r="L2185" s="25">
        <f>IFERROR(INDEX(Pedidos!$F$2:$F$1801,MATCH(B2185,Pedidos!$A$2:$A$1801,0)),"")</f>
        <v/>
      </c>
      <c r="M2185" s="26">
        <f>IFERROR(INDEX(Pedidos!$G$2:$G$1801,MATCH(B2185,Pedidos!$A$2:$A$1801,0)),0)</f>
        <v/>
      </c>
      <c r="N2185" s="25">
        <f>IFERROR(INDEX(Produtos!$B$2:$B$71,MATCH(C2185,Produtos!$A$2:$A$71,0)),"")</f>
        <v/>
      </c>
      <c r="O2185" s="25">
        <f>IFERROR(INDEX(Produtos!$C$2:$C$71,MATCH(C2185,Produtos!$A$2:$A$71,0)),"")</f>
        <v/>
      </c>
      <c r="P2185" s="25">
        <f>IFERROR(INDEX(Produtos!$D$2:$D$71,MATCH(C2185,Produtos!$A$2:$A$71,0)),0)</f>
        <v/>
      </c>
      <c r="Q2185" s="25">
        <f>IFERROR(INDEX(Produtos!$E$2:$E$71,MATCH(C2185,Produtos!$A$2:$A$71,0)),0)</f>
        <v/>
      </c>
      <c r="R2185" s="27">
        <f>D2185*Q2185</f>
        <v/>
      </c>
      <c r="S2185" s="27">
        <f>R2185*E2185</f>
        <v/>
      </c>
      <c r="T2185" s="27">
        <f>(R2185-S2185)*M2185</f>
        <v/>
      </c>
      <c r="U2185" s="27">
        <f>R2185-S2185-T2185</f>
        <v/>
      </c>
      <c r="V2185" s="27">
        <f>D2185*P2185</f>
        <v/>
      </c>
      <c r="W2185" s="27">
        <f>U2185-V2185</f>
        <v/>
      </c>
      <c r="X2185" s="28">
        <f>IFERROR(W2185/U2185,0)</f>
        <v/>
      </c>
    </row>
    <row r="2186">
      <c r="A2186" s="21">
        <f>ItensPedido!A2186</f>
        <v/>
      </c>
      <c r="B2186" s="21">
        <f>ItensPedido!B2186</f>
        <v/>
      </c>
      <c r="C2186" s="21">
        <f>ItensPedido!C2186</f>
        <v/>
      </c>
      <c r="D2186" s="21">
        <f>ItensPedido!D2186</f>
        <v/>
      </c>
      <c r="E2186" s="22">
        <f>ItensPedido!E2186</f>
        <v/>
      </c>
      <c r="F2186" s="21">
        <f>IFERROR(INDEX(Pedidos!$B$2:$B$1801,MATCH(B2186,Pedidos!$A$2:$A$1801,0)),0)</f>
        <v/>
      </c>
      <c r="G2186" s="21">
        <f>IF(F2186=0,"",YEAR(F2186))</f>
        <v/>
      </c>
      <c r="H2186" s="21">
        <f>IF(F2186=0,"",MONTH(F2186))</f>
        <v/>
      </c>
      <c r="I2186" s="21">
        <f>IFERROR(INDEX(Pedidos!$E$2:$E$1801,MATCH(B2186,Pedidos!$A$2:$A$1801,0)),"")</f>
        <v/>
      </c>
      <c r="J2186" s="21">
        <f>IFERROR(INDEX(Pedidos!$C$2:$C$1801,MATCH(B2186,Pedidos!$A$2:$A$1801,0)),"")</f>
        <v/>
      </c>
      <c r="K2186" s="21">
        <f>IFERROR(INDEX(Pedidos!$D$2:$D$1801,MATCH(B2186,Pedidos!$A$2:$A$1801,0)),"")</f>
        <v/>
      </c>
      <c r="L2186" s="21">
        <f>IFERROR(INDEX(Pedidos!$F$2:$F$1801,MATCH(B2186,Pedidos!$A$2:$A$1801,0)),"")</f>
        <v/>
      </c>
      <c r="M2186" s="22">
        <f>IFERROR(INDEX(Pedidos!$G$2:$G$1801,MATCH(B2186,Pedidos!$A$2:$A$1801,0)),0)</f>
        <v/>
      </c>
      <c r="N2186" s="21">
        <f>IFERROR(INDEX(Produtos!$B$2:$B$71,MATCH(C2186,Produtos!$A$2:$A$71,0)),"")</f>
        <v/>
      </c>
      <c r="O2186" s="21">
        <f>IFERROR(INDEX(Produtos!$C$2:$C$71,MATCH(C2186,Produtos!$A$2:$A$71,0)),"")</f>
        <v/>
      </c>
      <c r="P2186" s="21">
        <f>IFERROR(INDEX(Produtos!$D$2:$D$71,MATCH(C2186,Produtos!$A$2:$A$71,0)),0)</f>
        <v/>
      </c>
      <c r="Q2186" s="21">
        <f>IFERROR(INDEX(Produtos!$E$2:$E$71,MATCH(C2186,Produtos!$A$2:$A$71,0)),0)</f>
        <v/>
      </c>
      <c r="R2186" s="23">
        <f>D2186*Q2186</f>
        <v/>
      </c>
      <c r="S2186" s="23">
        <f>R2186*E2186</f>
        <v/>
      </c>
      <c r="T2186" s="23">
        <f>(R2186-S2186)*M2186</f>
        <v/>
      </c>
      <c r="U2186" s="23">
        <f>R2186-S2186-T2186</f>
        <v/>
      </c>
      <c r="V2186" s="23">
        <f>D2186*P2186</f>
        <v/>
      </c>
      <c r="W2186" s="23">
        <f>U2186-V2186</f>
        <v/>
      </c>
      <c r="X2186" s="24">
        <f>IFERROR(W2186/U2186,0)</f>
        <v/>
      </c>
    </row>
    <row r="2187">
      <c r="A2187" s="25">
        <f>ItensPedido!A2187</f>
        <v/>
      </c>
      <c r="B2187" s="25">
        <f>ItensPedido!B2187</f>
        <v/>
      </c>
      <c r="C2187" s="25">
        <f>ItensPedido!C2187</f>
        <v/>
      </c>
      <c r="D2187" s="25">
        <f>ItensPedido!D2187</f>
        <v/>
      </c>
      <c r="E2187" s="26">
        <f>ItensPedido!E2187</f>
        <v/>
      </c>
      <c r="F2187" s="25">
        <f>IFERROR(INDEX(Pedidos!$B$2:$B$1801,MATCH(B2187,Pedidos!$A$2:$A$1801,0)),0)</f>
        <v/>
      </c>
      <c r="G2187" s="25">
        <f>IF(F2187=0,"",YEAR(F2187))</f>
        <v/>
      </c>
      <c r="H2187" s="25">
        <f>IF(F2187=0,"",MONTH(F2187))</f>
        <v/>
      </c>
      <c r="I2187" s="25">
        <f>IFERROR(INDEX(Pedidos!$E$2:$E$1801,MATCH(B2187,Pedidos!$A$2:$A$1801,0)),"")</f>
        <v/>
      </c>
      <c r="J2187" s="25">
        <f>IFERROR(INDEX(Pedidos!$C$2:$C$1801,MATCH(B2187,Pedidos!$A$2:$A$1801,0)),"")</f>
        <v/>
      </c>
      <c r="K2187" s="25">
        <f>IFERROR(INDEX(Pedidos!$D$2:$D$1801,MATCH(B2187,Pedidos!$A$2:$A$1801,0)),"")</f>
        <v/>
      </c>
      <c r="L2187" s="25">
        <f>IFERROR(INDEX(Pedidos!$F$2:$F$1801,MATCH(B2187,Pedidos!$A$2:$A$1801,0)),"")</f>
        <v/>
      </c>
      <c r="M2187" s="26">
        <f>IFERROR(INDEX(Pedidos!$G$2:$G$1801,MATCH(B2187,Pedidos!$A$2:$A$1801,0)),0)</f>
        <v/>
      </c>
      <c r="N2187" s="25">
        <f>IFERROR(INDEX(Produtos!$B$2:$B$71,MATCH(C2187,Produtos!$A$2:$A$71,0)),"")</f>
        <v/>
      </c>
      <c r="O2187" s="25">
        <f>IFERROR(INDEX(Produtos!$C$2:$C$71,MATCH(C2187,Produtos!$A$2:$A$71,0)),"")</f>
        <v/>
      </c>
      <c r="P2187" s="25">
        <f>IFERROR(INDEX(Produtos!$D$2:$D$71,MATCH(C2187,Produtos!$A$2:$A$71,0)),0)</f>
        <v/>
      </c>
      <c r="Q2187" s="25">
        <f>IFERROR(INDEX(Produtos!$E$2:$E$71,MATCH(C2187,Produtos!$A$2:$A$71,0)),0)</f>
        <v/>
      </c>
      <c r="R2187" s="27">
        <f>D2187*Q2187</f>
        <v/>
      </c>
      <c r="S2187" s="27">
        <f>R2187*E2187</f>
        <v/>
      </c>
      <c r="T2187" s="27">
        <f>(R2187-S2187)*M2187</f>
        <v/>
      </c>
      <c r="U2187" s="27">
        <f>R2187-S2187-T2187</f>
        <v/>
      </c>
      <c r="V2187" s="27">
        <f>D2187*P2187</f>
        <v/>
      </c>
      <c r="W2187" s="27">
        <f>U2187-V2187</f>
        <v/>
      </c>
      <c r="X2187" s="28">
        <f>IFERROR(W2187/U2187,0)</f>
        <v/>
      </c>
    </row>
    <row r="2188">
      <c r="A2188" s="21">
        <f>ItensPedido!A2188</f>
        <v/>
      </c>
      <c r="B2188" s="21">
        <f>ItensPedido!B2188</f>
        <v/>
      </c>
      <c r="C2188" s="21">
        <f>ItensPedido!C2188</f>
        <v/>
      </c>
      <c r="D2188" s="21">
        <f>ItensPedido!D2188</f>
        <v/>
      </c>
      <c r="E2188" s="22">
        <f>ItensPedido!E2188</f>
        <v/>
      </c>
      <c r="F2188" s="21">
        <f>IFERROR(INDEX(Pedidos!$B$2:$B$1801,MATCH(B2188,Pedidos!$A$2:$A$1801,0)),0)</f>
        <v/>
      </c>
      <c r="G2188" s="21">
        <f>IF(F2188=0,"",YEAR(F2188))</f>
        <v/>
      </c>
      <c r="H2188" s="21">
        <f>IF(F2188=0,"",MONTH(F2188))</f>
        <v/>
      </c>
      <c r="I2188" s="21">
        <f>IFERROR(INDEX(Pedidos!$E$2:$E$1801,MATCH(B2188,Pedidos!$A$2:$A$1801,0)),"")</f>
        <v/>
      </c>
      <c r="J2188" s="21">
        <f>IFERROR(INDEX(Pedidos!$C$2:$C$1801,MATCH(B2188,Pedidos!$A$2:$A$1801,0)),"")</f>
        <v/>
      </c>
      <c r="K2188" s="21">
        <f>IFERROR(INDEX(Pedidos!$D$2:$D$1801,MATCH(B2188,Pedidos!$A$2:$A$1801,0)),"")</f>
        <v/>
      </c>
      <c r="L2188" s="21">
        <f>IFERROR(INDEX(Pedidos!$F$2:$F$1801,MATCH(B2188,Pedidos!$A$2:$A$1801,0)),"")</f>
        <v/>
      </c>
      <c r="M2188" s="22">
        <f>IFERROR(INDEX(Pedidos!$G$2:$G$1801,MATCH(B2188,Pedidos!$A$2:$A$1801,0)),0)</f>
        <v/>
      </c>
      <c r="N2188" s="21">
        <f>IFERROR(INDEX(Produtos!$B$2:$B$71,MATCH(C2188,Produtos!$A$2:$A$71,0)),"")</f>
        <v/>
      </c>
      <c r="O2188" s="21">
        <f>IFERROR(INDEX(Produtos!$C$2:$C$71,MATCH(C2188,Produtos!$A$2:$A$71,0)),"")</f>
        <v/>
      </c>
      <c r="P2188" s="21">
        <f>IFERROR(INDEX(Produtos!$D$2:$D$71,MATCH(C2188,Produtos!$A$2:$A$71,0)),0)</f>
        <v/>
      </c>
      <c r="Q2188" s="21">
        <f>IFERROR(INDEX(Produtos!$E$2:$E$71,MATCH(C2188,Produtos!$A$2:$A$71,0)),0)</f>
        <v/>
      </c>
      <c r="R2188" s="23">
        <f>D2188*Q2188</f>
        <v/>
      </c>
      <c r="S2188" s="23">
        <f>R2188*E2188</f>
        <v/>
      </c>
      <c r="T2188" s="23">
        <f>(R2188-S2188)*M2188</f>
        <v/>
      </c>
      <c r="U2188" s="23">
        <f>R2188-S2188-T2188</f>
        <v/>
      </c>
      <c r="V2188" s="23">
        <f>D2188*P2188</f>
        <v/>
      </c>
      <c r="W2188" s="23">
        <f>U2188-V2188</f>
        <v/>
      </c>
      <c r="X2188" s="24">
        <f>IFERROR(W2188/U2188,0)</f>
        <v/>
      </c>
    </row>
    <row r="2189">
      <c r="A2189" s="25">
        <f>ItensPedido!A2189</f>
        <v/>
      </c>
      <c r="B2189" s="25">
        <f>ItensPedido!B2189</f>
        <v/>
      </c>
      <c r="C2189" s="25">
        <f>ItensPedido!C2189</f>
        <v/>
      </c>
      <c r="D2189" s="25">
        <f>ItensPedido!D2189</f>
        <v/>
      </c>
      <c r="E2189" s="26">
        <f>ItensPedido!E2189</f>
        <v/>
      </c>
      <c r="F2189" s="25">
        <f>IFERROR(INDEX(Pedidos!$B$2:$B$1801,MATCH(B2189,Pedidos!$A$2:$A$1801,0)),0)</f>
        <v/>
      </c>
      <c r="G2189" s="25">
        <f>IF(F2189=0,"",YEAR(F2189))</f>
        <v/>
      </c>
      <c r="H2189" s="25">
        <f>IF(F2189=0,"",MONTH(F2189))</f>
        <v/>
      </c>
      <c r="I2189" s="25">
        <f>IFERROR(INDEX(Pedidos!$E$2:$E$1801,MATCH(B2189,Pedidos!$A$2:$A$1801,0)),"")</f>
        <v/>
      </c>
      <c r="J2189" s="25">
        <f>IFERROR(INDEX(Pedidos!$C$2:$C$1801,MATCH(B2189,Pedidos!$A$2:$A$1801,0)),"")</f>
        <v/>
      </c>
      <c r="K2189" s="25">
        <f>IFERROR(INDEX(Pedidos!$D$2:$D$1801,MATCH(B2189,Pedidos!$A$2:$A$1801,0)),"")</f>
        <v/>
      </c>
      <c r="L2189" s="25">
        <f>IFERROR(INDEX(Pedidos!$F$2:$F$1801,MATCH(B2189,Pedidos!$A$2:$A$1801,0)),"")</f>
        <v/>
      </c>
      <c r="M2189" s="26">
        <f>IFERROR(INDEX(Pedidos!$G$2:$G$1801,MATCH(B2189,Pedidos!$A$2:$A$1801,0)),0)</f>
        <v/>
      </c>
      <c r="N2189" s="25">
        <f>IFERROR(INDEX(Produtos!$B$2:$B$71,MATCH(C2189,Produtos!$A$2:$A$71,0)),"")</f>
        <v/>
      </c>
      <c r="O2189" s="25">
        <f>IFERROR(INDEX(Produtos!$C$2:$C$71,MATCH(C2189,Produtos!$A$2:$A$71,0)),"")</f>
        <v/>
      </c>
      <c r="P2189" s="25">
        <f>IFERROR(INDEX(Produtos!$D$2:$D$71,MATCH(C2189,Produtos!$A$2:$A$71,0)),0)</f>
        <v/>
      </c>
      <c r="Q2189" s="25">
        <f>IFERROR(INDEX(Produtos!$E$2:$E$71,MATCH(C2189,Produtos!$A$2:$A$71,0)),0)</f>
        <v/>
      </c>
      <c r="R2189" s="27">
        <f>D2189*Q2189</f>
        <v/>
      </c>
      <c r="S2189" s="27">
        <f>R2189*E2189</f>
        <v/>
      </c>
      <c r="T2189" s="27">
        <f>(R2189-S2189)*M2189</f>
        <v/>
      </c>
      <c r="U2189" s="27">
        <f>R2189-S2189-T2189</f>
        <v/>
      </c>
      <c r="V2189" s="27">
        <f>D2189*P2189</f>
        <v/>
      </c>
      <c r="W2189" s="27">
        <f>U2189-V2189</f>
        <v/>
      </c>
      <c r="X2189" s="28">
        <f>IFERROR(W2189/U2189,0)</f>
        <v/>
      </c>
    </row>
    <row r="2190">
      <c r="A2190" s="21">
        <f>ItensPedido!A2190</f>
        <v/>
      </c>
      <c r="B2190" s="21">
        <f>ItensPedido!B2190</f>
        <v/>
      </c>
      <c r="C2190" s="21">
        <f>ItensPedido!C2190</f>
        <v/>
      </c>
      <c r="D2190" s="21">
        <f>ItensPedido!D2190</f>
        <v/>
      </c>
      <c r="E2190" s="22">
        <f>ItensPedido!E2190</f>
        <v/>
      </c>
      <c r="F2190" s="21">
        <f>IFERROR(INDEX(Pedidos!$B$2:$B$1801,MATCH(B2190,Pedidos!$A$2:$A$1801,0)),0)</f>
        <v/>
      </c>
      <c r="G2190" s="21">
        <f>IF(F2190=0,"",YEAR(F2190))</f>
        <v/>
      </c>
      <c r="H2190" s="21">
        <f>IF(F2190=0,"",MONTH(F2190))</f>
        <v/>
      </c>
      <c r="I2190" s="21">
        <f>IFERROR(INDEX(Pedidos!$E$2:$E$1801,MATCH(B2190,Pedidos!$A$2:$A$1801,0)),"")</f>
        <v/>
      </c>
      <c r="J2190" s="21">
        <f>IFERROR(INDEX(Pedidos!$C$2:$C$1801,MATCH(B2190,Pedidos!$A$2:$A$1801,0)),"")</f>
        <v/>
      </c>
      <c r="K2190" s="21">
        <f>IFERROR(INDEX(Pedidos!$D$2:$D$1801,MATCH(B2190,Pedidos!$A$2:$A$1801,0)),"")</f>
        <v/>
      </c>
      <c r="L2190" s="21">
        <f>IFERROR(INDEX(Pedidos!$F$2:$F$1801,MATCH(B2190,Pedidos!$A$2:$A$1801,0)),"")</f>
        <v/>
      </c>
      <c r="M2190" s="22">
        <f>IFERROR(INDEX(Pedidos!$G$2:$G$1801,MATCH(B2190,Pedidos!$A$2:$A$1801,0)),0)</f>
        <v/>
      </c>
      <c r="N2190" s="21">
        <f>IFERROR(INDEX(Produtos!$B$2:$B$71,MATCH(C2190,Produtos!$A$2:$A$71,0)),"")</f>
        <v/>
      </c>
      <c r="O2190" s="21">
        <f>IFERROR(INDEX(Produtos!$C$2:$C$71,MATCH(C2190,Produtos!$A$2:$A$71,0)),"")</f>
        <v/>
      </c>
      <c r="P2190" s="21">
        <f>IFERROR(INDEX(Produtos!$D$2:$D$71,MATCH(C2190,Produtos!$A$2:$A$71,0)),0)</f>
        <v/>
      </c>
      <c r="Q2190" s="21">
        <f>IFERROR(INDEX(Produtos!$E$2:$E$71,MATCH(C2190,Produtos!$A$2:$A$71,0)),0)</f>
        <v/>
      </c>
      <c r="R2190" s="23">
        <f>D2190*Q2190</f>
        <v/>
      </c>
      <c r="S2190" s="23">
        <f>R2190*E2190</f>
        <v/>
      </c>
      <c r="T2190" s="23">
        <f>(R2190-S2190)*M2190</f>
        <v/>
      </c>
      <c r="U2190" s="23">
        <f>R2190-S2190-T2190</f>
        <v/>
      </c>
      <c r="V2190" s="23">
        <f>D2190*P2190</f>
        <v/>
      </c>
      <c r="W2190" s="23">
        <f>U2190-V2190</f>
        <v/>
      </c>
      <c r="X2190" s="24">
        <f>IFERROR(W2190/U2190,0)</f>
        <v/>
      </c>
    </row>
    <row r="2191">
      <c r="A2191" s="25">
        <f>ItensPedido!A2191</f>
        <v/>
      </c>
      <c r="B2191" s="25">
        <f>ItensPedido!B2191</f>
        <v/>
      </c>
      <c r="C2191" s="25">
        <f>ItensPedido!C2191</f>
        <v/>
      </c>
      <c r="D2191" s="25">
        <f>ItensPedido!D2191</f>
        <v/>
      </c>
      <c r="E2191" s="26">
        <f>ItensPedido!E2191</f>
        <v/>
      </c>
      <c r="F2191" s="25">
        <f>IFERROR(INDEX(Pedidos!$B$2:$B$1801,MATCH(B2191,Pedidos!$A$2:$A$1801,0)),0)</f>
        <v/>
      </c>
      <c r="G2191" s="25">
        <f>IF(F2191=0,"",YEAR(F2191))</f>
        <v/>
      </c>
      <c r="H2191" s="25">
        <f>IF(F2191=0,"",MONTH(F2191))</f>
        <v/>
      </c>
      <c r="I2191" s="25">
        <f>IFERROR(INDEX(Pedidos!$E$2:$E$1801,MATCH(B2191,Pedidos!$A$2:$A$1801,0)),"")</f>
        <v/>
      </c>
      <c r="J2191" s="25">
        <f>IFERROR(INDEX(Pedidos!$C$2:$C$1801,MATCH(B2191,Pedidos!$A$2:$A$1801,0)),"")</f>
        <v/>
      </c>
      <c r="K2191" s="25">
        <f>IFERROR(INDEX(Pedidos!$D$2:$D$1801,MATCH(B2191,Pedidos!$A$2:$A$1801,0)),"")</f>
        <v/>
      </c>
      <c r="L2191" s="25">
        <f>IFERROR(INDEX(Pedidos!$F$2:$F$1801,MATCH(B2191,Pedidos!$A$2:$A$1801,0)),"")</f>
        <v/>
      </c>
      <c r="M2191" s="26">
        <f>IFERROR(INDEX(Pedidos!$G$2:$G$1801,MATCH(B2191,Pedidos!$A$2:$A$1801,0)),0)</f>
        <v/>
      </c>
      <c r="N2191" s="25">
        <f>IFERROR(INDEX(Produtos!$B$2:$B$71,MATCH(C2191,Produtos!$A$2:$A$71,0)),"")</f>
        <v/>
      </c>
      <c r="O2191" s="25">
        <f>IFERROR(INDEX(Produtos!$C$2:$C$71,MATCH(C2191,Produtos!$A$2:$A$71,0)),"")</f>
        <v/>
      </c>
      <c r="P2191" s="25">
        <f>IFERROR(INDEX(Produtos!$D$2:$D$71,MATCH(C2191,Produtos!$A$2:$A$71,0)),0)</f>
        <v/>
      </c>
      <c r="Q2191" s="25">
        <f>IFERROR(INDEX(Produtos!$E$2:$E$71,MATCH(C2191,Produtos!$A$2:$A$71,0)),0)</f>
        <v/>
      </c>
      <c r="R2191" s="27">
        <f>D2191*Q2191</f>
        <v/>
      </c>
      <c r="S2191" s="27">
        <f>R2191*E2191</f>
        <v/>
      </c>
      <c r="T2191" s="27">
        <f>(R2191-S2191)*M2191</f>
        <v/>
      </c>
      <c r="U2191" s="27">
        <f>R2191-S2191-T2191</f>
        <v/>
      </c>
      <c r="V2191" s="27">
        <f>D2191*P2191</f>
        <v/>
      </c>
      <c r="W2191" s="27">
        <f>U2191-V2191</f>
        <v/>
      </c>
      <c r="X2191" s="28">
        <f>IFERROR(W2191/U2191,0)</f>
        <v/>
      </c>
    </row>
    <row r="2192">
      <c r="A2192" s="21">
        <f>ItensPedido!A2192</f>
        <v/>
      </c>
      <c r="B2192" s="21">
        <f>ItensPedido!B2192</f>
        <v/>
      </c>
      <c r="C2192" s="21">
        <f>ItensPedido!C2192</f>
        <v/>
      </c>
      <c r="D2192" s="21">
        <f>ItensPedido!D2192</f>
        <v/>
      </c>
      <c r="E2192" s="22">
        <f>ItensPedido!E2192</f>
        <v/>
      </c>
      <c r="F2192" s="21">
        <f>IFERROR(INDEX(Pedidos!$B$2:$B$1801,MATCH(B2192,Pedidos!$A$2:$A$1801,0)),0)</f>
        <v/>
      </c>
      <c r="G2192" s="21">
        <f>IF(F2192=0,"",YEAR(F2192))</f>
        <v/>
      </c>
      <c r="H2192" s="21">
        <f>IF(F2192=0,"",MONTH(F2192))</f>
        <v/>
      </c>
      <c r="I2192" s="21">
        <f>IFERROR(INDEX(Pedidos!$E$2:$E$1801,MATCH(B2192,Pedidos!$A$2:$A$1801,0)),"")</f>
        <v/>
      </c>
      <c r="J2192" s="21">
        <f>IFERROR(INDEX(Pedidos!$C$2:$C$1801,MATCH(B2192,Pedidos!$A$2:$A$1801,0)),"")</f>
        <v/>
      </c>
      <c r="K2192" s="21">
        <f>IFERROR(INDEX(Pedidos!$D$2:$D$1801,MATCH(B2192,Pedidos!$A$2:$A$1801,0)),"")</f>
        <v/>
      </c>
      <c r="L2192" s="21">
        <f>IFERROR(INDEX(Pedidos!$F$2:$F$1801,MATCH(B2192,Pedidos!$A$2:$A$1801,0)),"")</f>
        <v/>
      </c>
      <c r="M2192" s="22">
        <f>IFERROR(INDEX(Pedidos!$G$2:$G$1801,MATCH(B2192,Pedidos!$A$2:$A$1801,0)),0)</f>
        <v/>
      </c>
      <c r="N2192" s="21">
        <f>IFERROR(INDEX(Produtos!$B$2:$B$71,MATCH(C2192,Produtos!$A$2:$A$71,0)),"")</f>
        <v/>
      </c>
      <c r="O2192" s="21">
        <f>IFERROR(INDEX(Produtos!$C$2:$C$71,MATCH(C2192,Produtos!$A$2:$A$71,0)),"")</f>
        <v/>
      </c>
      <c r="P2192" s="21">
        <f>IFERROR(INDEX(Produtos!$D$2:$D$71,MATCH(C2192,Produtos!$A$2:$A$71,0)),0)</f>
        <v/>
      </c>
      <c r="Q2192" s="21">
        <f>IFERROR(INDEX(Produtos!$E$2:$E$71,MATCH(C2192,Produtos!$A$2:$A$71,0)),0)</f>
        <v/>
      </c>
      <c r="R2192" s="23">
        <f>D2192*Q2192</f>
        <v/>
      </c>
      <c r="S2192" s="23">
        <f>R2192*E2192</f>
        <v/>
      </c>
      <c r="T2192" s="23">
        <f>(R2192-S2192)*M2192</f>
        <v/>
      </c>
      <c r="U2192" s="23">
        <f>R2192-S2192-T2192</f>
        <v/>
      </c>
      <c r="V2192" s="23">
        <f>D2192*P2192</f>
        <v/>
      </c>
      <c r="W2192" s="23">
        <f>U2192-V2192</f>
        <v/>
      </c>
      <c r="X2192" s="24">
        <f>IFERROR(W2192/U2192,0)</f>
        <v/>
      </c>
    </row>
    <row r="2193">
      <c r="A2193" s="25">
        <f>ItensPedido!A2193</f>
        <v/>
      </c>
      <c r="B2193" s="25">
        <f>ItensPedido!B2193</f>
        <v/>
      </c>
      <c r="C2193" s="25">
        <f>ItensPedido!C2193</f>
        <v/>
      </c>
      <c r="D2193" s="25">
        <f>ItensPedido!D2193</f>
        <v/>
      </c>
      <c r="E2193" s="26">
        <f>ItensPedido!E2193</f>
        <v/>
      </c>
      <c r="F2193" s="25">
        <f>IFERROR(INDEX(Pedidos!$B$2:$B$1801,MATCH(B2193,Pedidos!$A$2:$A$1801,0)),0)</f>
        <v/>
      </c>
      <c r="G2193" s="25">
        <f>IF(F2193=0,"",YEAR(F2193))</f>
        <v/>
      </c>
      <c r="H2193" s="25">
        <f>IF(F2193=0,"",MONTH(F2193))</f>
        <v/>
      </c>
      <c r="I2193" s="25">
        <f>IFERROR(INDEX(Pedidos!$E$2:$E$1801,MATCH(B2193,Pedidos!$A$2:$A$1801,0)),"")</f>
        <v/>
      </c>
      <c r="J2193" s="25">
        <f>IFERROR(INDEX(Pedidos!$C$2:$C$1801,MATCH(B2193,Pedidos!$A$2:$A$1801,0)),"")</f>
        <v/>
      </c>
      <c r="K2193" s="25">
        <f>IFERROR(INDEX(Pedidos!$D$2:$D$1801,MATCH(B2193,Pedidos!$A$2:$A$1801,0)),"")</f>
        <v/>
      </c>
      <c r="L2193" s="25">
        <f>IFERROR(INDEX(Pedidos!$F$2:$F$1801,MATCH(B2193,Pedidos!$A$2:$A$1801,0)),"")</f>
        <v/>
      </c>
      <c r="M2193" s="26">
        <f>IFERROR(INDEX(Pedidos!$G$2:$G$1801,MATCH(B2193,Pedidos!$A$2:$A$1801,0)),0)</f>
        <v/>
      </c>
      <c r="N2193" s="25">
        <f>IFERROR(INDEX(Produtos!$B$2:$B$71,MATCH(C2193,Produtos!$A$2:$A$71,0)),"")</f>
        <v/>
      </c>
      <c r="O2193" s="25">
        <f>IFERROR(INDEX(Produtos!$C$2:$C$71,MATCH(C2193,Produtos!$A$2:$A$71,0)),"")</f>
        <v/>
      </c>
      <c r="P2193" s="25">
        <f>IFERROR(INDEX(Produtos!$D$2:$D$71,MATCH(C2193,Produtos!$A$2:$A$71,0)),0)</f>
        <v/>
      </c>
      <c r="Q2193" s="25">
        <f>IFERROR(INDEX(Produtos!$E$2:$E$71,MATCH(C2193,Produtos!$A$2:$A$71,0)),0)</f>
        <v/>
      </c>
      <c r="R2193" s="27">
        <f>D2193*Q2193</f>
        <v/>
      </c>
      <c r="S2193" s="27">
        <f>R2193*E2193</f>
        <v/>
      </c>
      <c r="T2193" s="27">
        <f>(R2193-S2193)*M2193</f>
        <v/>
      </c>
      <c r="U2193" s="27">
        <f>R2193-S2193-T2193</f>
        <v/>
      </c>
      <c r="V2193" s="27">
        <f>D2193*P2193</f>
        <v/>
      </c>
      <c r="W2193" s="27">
        <f>U2193-V2193</f>
        <v/>
      </c>
      <c r="X2193" s="28">
        <f>IFERROR(W2193/U2193,0)</f>
        <v/>
      </c>
    </row>
    <row r="2194">
      <c r="A2194" s="21">
        <f>ItensPedido!A2194</f>
        <v/>
      </c>
      <c r="B2194" s="21">
        <f>ItensPedido!B2194</f>
        <v/>
      </c>
      <c r="C2194" s="21">
        <f>ItensPedido!C2194</f>
        <v/>
      </c>
      <c r="D2194" s="21">
        <f>ItensPedido!D2194</f>
        <v/>
      </c>
      <c r="E2194" s="22">
        <f>ItensPedido!E2194</f>
        <v/>
      </c>
      <c r="F2194" s="21">
        <f>IFERROR(INDEX(Pedidos!$B$2:$B$1801,MATCH(B2194,Pedidos!$A$2:$A$1801,0)),0)</f>
        <v/>
      </c>
      <c r="G2194" s="21">
        <f>IF(F2194=0,"",YEAR(F2194))</f>
        <v/>
      </c>
      <c r="H2194" s="21">
        <f>IF(F2194=0,"",MONTH(F2194))</f>
        <v/>
      </c>
      <c r="I2194" s="21">
        <f>IFERROR(INDEX(Pedidos!$E$2:$E$1801,MATCH(B2194,Pedidos!$A$2:$A$1801,0)),"")</f>
        <v/>
      </c>
      <c r="J2194" s="21">
        <f>IFERROR(INDEX(Pedidos!$C$2:$C$1801,MATCH(B2194,Pedidos!$A$2:$A$1801,0)),"")</f>
        <v/>
      </c>
      <c r="K2194" s="21">
        <f>IFERROR(INDEX(Pedidos!$D$2:$D$1801,MATCH(B2194,Pedidos!$A$2:$A$1801,0)),"")</f>
        <v/>
      </c>
      <c r="L2194" s="21">
        <f>IFERROR(INDEX(Pedidos!$F$2:$F$1801,MATCH(B2194,Pedidos!$A$2:$A$1801,0)),"")</f>
        <v/>
      </c>
      <c r="M2194" s="22">
        <f>IFERROR(INDEX(Pedidos!$G$2:$G$1801,MATCH(B2194,Pedidos!$A$2:$A$1801,0)),0)</f>
        <v/>
      </c>
      <c r="N2194" s="21">
        <f>IFERROR(INDEX(Produtos!$B$2:$B$71,MATCH(C2194,Produtos!$A$2:$A$71,0)),"")</f>
        <v/>
      </c>
      <c r="O2194" s="21">
        <f>IFERROR(INDEX(Produtos!$C$2:$C$71,MATCH(C2194,Produtos!$A$2:$A$71,0)),"")</f>
        <v/>
      </c>
      <c r="P2194" s="21">
        <f>IFERROR(INDEX(Produtos!$D$2:$D$71,MATCH(C2194,Produtos!$A$2:$A$71,0)),0)</f>
        <v/>
      </c>
      <c r="Q2194" s="21">
        <f>IFERROR(INDEX(Produtos!$E$2:$E$71,MATCH(C2194,Produtos!$A$2:$A$71,0)),0)</f>
        <v/>
      </c>
      <c r="R2194" s="23">
        <f>D2194*Q2194</f>
        <v/>
      </c>
      <c r="S2194" s="23">
        <f>R2194*E2194</f>
        <v/>
      </c>
      <c r="T2194" s="23">
        <f>(R2194-S2194)*M2194</f>
        <v/>
      </c>
      <c r="U2194" s="23">
        <f>R2194-S2194-T2194</f>
        <v/>
      </c>
      <c r="V2194" s="23">
        <f>D2194*P2194</f>
        <v/>
      </c>
      <c r="W2194" s="23">
        <f>U2194-V2194</f>
        <v/>
      </c>
      <c r="X2194" s="24">
        <f>IFERROR(W2194/U2194,0)</f>
        <v/>
      </c>
    </row>
    <row r="2195">
      <c r="A2195" s="25">
        <f>ItensPedido!A2195</f>
        <v/>
      </c>
      <c r="B2195" s="25">
        <f>ItensPedido!B2195</f>
        <v/>
      </c>
      <c r="C2195" s="25">
        <f>ItensPedido!C2195</f>
        <v/>
      </c>
      <c r="D2195" s="25">
        <f>ItensPedido!D2195</f>
        <v/>
      </c>
      <c r="E2195" s="26">
        <f>ItensPedido!E2195</f>
        <v/>
      </c>
      <c r="F2195" s="25">
        <f>IFERROR(INDEX(Pedidos!$B$2:$B$1801,MATCH(B2195,Pedidos!$A$2:$A$1801,0)),0)</f>
        <v/>
      </c>
      <c r="G2195" s="25">
        <f>IF(F2195=0,"",YEAR(F2195))</f>
        <v/>
      </c>
      <c r="H2195" s="25">
        <f>IF(F2195=0,"",MONTH(F2195))</f>
        <v/>
      </c>
      <c r="I2195" s="25">
        <f>IFERROR(INDEX(Pedidos!$E$2:$E$1801,MATCH(B2195,Pedidos!$A$2:$A$1801,0)),"")</f>
        <v/>
      </c>
      <c r="J2195" s="25">
        <f>IFERROR(INDEX(Pedidos!$C$2:$C$1801,MATCH(B2195,Pedidos!$A$2:$A$1801,0)),"")</f>
        <v/>
      </c>
      <c r="K2195" s="25">
        <f>IFERROR(INDEX(Pedidos!$D$2:$D$1801,MATCH(B2195,Pedidos!$A$2:$A$1801,0)),"")</f>
        <v/>
      </c>
      <c r="L2195" s="25">
        <f>IFERROR(INDEX(Pedidos!$F$2:$F$1801,MATCH(B2195,Pedidos!$A$2:$A$1801,0)),"")</f>
        <v/>
      </c>
      <c r="M2195" s="26">
        <f>IFERROR(INDEX(Pedidos!$G$2:$G$1801,MATCH(B2195,Pedidos!$A$2:$A$1801,0)),0)</f>
        <v/>
      </c>
      <c r="N2195" s="25">
        <f>IFERROR(INDEX(Produtos!$B$2:$B$71,MATCH(C2195,Produtos!$A$2:$A$71,0)),"")</f>
        <v/>
      </c>
      <c r="O2195" s="25">
        <f>IFERROR(INDEX(Produtos!$C$2:$C$71,MATCH(C2195,Produtos!$A$2:$A$71,0)),"")</f>
        <v/>
      </c>
      <c r="P2195" s="25">
        <f>IFERROR(INDEX(Produtos!$D$2:$D$71,MATCH(C2195,Produtos!$A$2:$A$71,0)),0)</f>
        <v/>
      </c>
      <c r="Q2195" s="25">
        <f>IFERROR(INDEX(Produtos!$E$2:$E$71,MATCH(C2195,Produtos!$A$2:$A$71,0)),0)</f>
        <v/>
      </c>
      <c r="R2195" s="27">
        <f>D2195*Q2195</f>
        <v/>
      </c>
      <c r="S2195" s="27">
        <f>R2195*E2195</f>
        <v/>
      </c>
      <c r="T2195" s="27">
        <f>(R2195-S2195)*M2195</f>
        <v/>
      </c>
      <c r="U2195" s="27">
        <f>R2195-S2195-T2195</f>
        <v/>
      </c>
      <c r="V2195" s="27">
        <f>D2195*P2195</f>
        <v/>
      </c>
      <c r="W2195" s="27">
        <f>U2195-V2195</f>
        <v/>
      </c>
      <c r="X2195" s="28">
        <f>IFERROR(W2195/U2195,0)</f>
        <v/>
      </c>
    </row>
    <row r="2196">
      <c r="A2196" s="21">
        <f>ItensPedido!A2196</f>
        <v/>
      </c>
      <c r="B2196" s="21">
        <f>ItensPedido!B2196</f>
        <v/>
      </c>
      <c r="C2196" s="21">
        <f>ItensPedido!C2196</f>
        <v/>
      </c>
      <c r="D2196" s="21">
        <f>ItensPedido!D2196</f>
        <v/>
      </c>
      <c r="E2196" s="22">
        <f>ItensPedido!E2196</f>
        <v/>
      </c>
      <c r="F2196" s="21">
        <f>IFERROR(INDEX(Pedidos!$B$2:$B$1801,MATCH(B2196,Pedidos!$A$2:$A$1801,0)),0)</f>
        <v/>
      </c>
      <c r="G2196" s="21">
        <f>IF(F2196=0,"",YEAR(F2196))</f>
        <v/>
      </c>
      <c r="H2196" s="21">
        <f>IF(F2196=0,"",MONTH(F2196))</f>
        <v/>
      </c>
      <c r="I2196" s="21">
        <f>IFERROR(INDEX(Pedidos!$E$2:$E$1801,MATCH(B2196,Pedidos!$A$2:$A$1801,0)),"")</f>
        <v/>
      </c>
      <c r="J2196" s="21">
        <f>IFERROR(INDEX(Pedidos!$C$2:$C$1801,MATCH(B2196,Pedidos!$A$2:$A$1801,0)),"")</f>
        <v/>
      </c>
      <c r="K2196" s="21">
        <f>IFERROR(INDEX(Pedidos!$D$2:$D$1801,MATCH(B2196,Pedidos!$A$2:$A$1801,0)),"")</f>
        <v/>
      </c>
      <c r="L2196" s="21">
        <f>IFERROR(INDEX(Pedidos!$F$2:$F$1801,MATCH(B2196,Pedidos!$A$2:$A$1801,0)),"")</f>
        <v/>
      </c>
      <c r="M2196" s="22">
        <f>IFERROR(INDEX(Pedidos!$G$2:$G$1801,MATCH(B2196,Pedidos!$A$2:$A$1801,0)),0)</f>
        <v/>
      </c>
      <c r="N2196" s="21">
        <f>IFERROR(INDEX(Produtos!$B$2:$B$71,MATCH(C2196,Produtos!$A$2:$A$71,0)),"")</f>
        <v/>
      </c>
      <c r="O2196" s="21">
        <f>IFERROR(INDEX(Produtos!$C$2:$C$71,MATCH(C2196,Produtos!$A$2:$A$71,0)),"")</f>
        <v/>
      </c>
      <c r="P2196" s="21">
        <f>IFERROR(INDEX(Produtos!$D$2:$D$71,MATCH(C2196,Produtos!$A$2:$A$71,0)),0)</f>
        <v/>
      </c>
      <c r="Q2196" s="21">
        <f>IFERROR(INDEX(Produtos!$E$2:$E$71,MATCH(C2196,Produtos!$A$2:$A$71,0)),0)</f>
        <v/>
      </c>
      <c r="R2196" s="23">
        <f>D2196*Q2196</f>
        <v/>
      </c>
      <c r="S2196" s="23">
        <f>R2196*E2196</f>
        <v/>
      </c>
      <c r="T2196" s="23">
        <f>(R2196-S2196)*M2196</f>
        <v/>
      </c>
      <c r="U2196" s="23">
        <f>R2196-S2196-T2196</f>
        <v/>
      </c>
      <c r="V2196" s="23">
        <f>D2196*P2196</f>
        <v/>
      </c>
      <c r="W2196" s="23">
        <f>U2196-V2196</f>
        <v/>
      </c>
      <c r="X2196" s="24">
        <f>IFERROR(W2196/U2196,0)</f>
        <v/>
      </c>
    </row>
    <row r="2197">
      <c r="A2197" s="25">
        <f>ItensPedido!A2197</f>
        <v/>
      </c>
      <c r="B2197" s="25">
        <f>ItensPedido!B2197</f>
        <v/>
      </c>
      <c r="C2197" s="25">
        <f>ItensPedido!C2197</f>
        <v/>
      </c>
      <c r="D2197" s="25">
        <f>ItensPedido!D2197</f>
        <v/>
      </c>
      <c r="E2197" s="26">
        <f>ItensPedido!E2197</f>
        <v/>
      </c>
      <c r="F2197" s="25">
        <f>IFERROR(INDEX(Pedidos!$B$2:$B$1801,MATCH(B2197,Pedidos!$A$2:$A$1801,0)),0)</f>
        <v/>
      </c>
      <c r="G2197" s="25">
        <f>IF(F2197=0,"",YEAR(F2197))</f>
        <v/>
      </c>
      <c r="H2197" s="25">
        <f>IF(F2197=0,"",MONTH(F2197))</f>
        <v/>
      </c>
      <c r="I2197" s="25">
        <f>IFERROR(INDEX(Pedidos!$E$2:$E$1801,MATCH(B2197,Pedidos!$A$2:$A$1801,0)),"")</f>
        <v/>
      </c>
      <c r="J2197" s="25">
        <f>IFERROR(INDEX(Pedidos!$C$2:$C$1801,MATCH(B2197,Pedidos!$A$2:$A$1801,0)),"")</f>
        <v/>
      </c>
      <c r="K2197" s="25">
        <f>IFERROR(INDEX(Pedidos!$D$2:$D$1801,MATCH(B2197,Pedidos!$A$2:$A$1801,0)),"")</f>
        <v/>
      </c>
      <c r="L2197" s="25">
        <f>IFERROR(INDEX(Pedidos!$F$2:$F$1801,MATCH(B2197,Pedidos!$A$2:$A$1801,0)),"")</f>
        <v/>
      </c>
      <c r="M2197" s="26">
        <f>IFERROR(INDEX(Pedidos!$G$2:$G$1801,MATCH(B2197,Pedidos!$A$2:$A$1801,0)),0)</f>
        <v/>
      </c>
      <c r="N2197" s="25">
        <f>IFERROR(INDEX(Produtos!$B$2:$B$71,MATCH(C2197,Produtos!$A$2:$A$71,0)),"")</f>
        <v/>
      </c>
      <c r="O2197" s="25">
        <f>IFERROR(INDEX(Produtos!$C$2:$C$71,MATCH(C2197,Produtos!$A$2:$A$71,0)),"")</f>
        <v/>
      </c>
      <c r="P2197" s="25">
        <f>IFERROR(INDEX(Produtos!$D$2:$D$71,MATCH(C2197,Produtos!$A$2:$A$71,0)),0)</f>
        <v/>
      </c>
      <c r="Q2197" s="25">
        <f>IFERROR(INDEX(Produtos!$E$2:$E$71,MATCH(C2197,Produtos!$A$2:$A$71,0)),0)</f>
        <v/>
      </c>
      <c r="R2197" s="27">
        <f>D2197*Q2197</f>
        <v/>
      </c>
      <c r="S2197" s="27">
        <f>R2197*E2197</f>
        <v/>
      </c>
      <c r="T2197" s="27">
        <f>(R2197-S2197)*M2197</f>
        <v/>
      </c>
      <c r="U2197" s="27">
        <f>R2197-S2197-T2197</f>
        <v/>
      </c>
      <c r="V2197" s="27">
        <f>D2197*P2197</f>
        <v/>
      </c>
      <c r="W2197" s="27">
        <f>U2197-V2197</f>
        <v/>
      </c>
      <c r="X2197" s="28">
        <f>IFERROR(W2197/U2197,0)</f>
        <v/>
      </c>
    </row>
    <row r="2198">
      <c r="A2198" s="21">
        <f>ItensPedido!A2198</f>
        <v/>
      </c>
      <c r="B2198" s="21">
        <f>ItensPedido!B2198</f>
        <v/>
      </c>
      <c r="C2198" s="21">
        <f>ItensPedido!C2198</f>
        <v/>
      </c>
      <c r="D2198" s="21">
        <f>ItensPedido!D2198</f>
        <v/>
      </c>
      <c r="E2198" s="22">
        <f>ItensPedido!E2198</f>
        <v/>
      </c>
      <c r="F2198" s="21">
        <f>IFERROR(INDEX(Pedidos!$B$2:$B$1801,MATCH(B2198,Pedidos!$A$2:$A$1801,0)),0)</f>
        <v/>
      </c>
      <c r="G2198" s="21">
        <f>IF(F2198=0,"",YEAR(F2198))</f>
        <v/>
      </c>
      <c r="H2198" s="21">
        <f>IF(F2198=0,"",MONTH(F2198))</f>
        <v/>
      </c>
      <c r="I2198" s="21">
        <f>IFERROR(INDEX(Pedidos!$E$2:$E$1801,MATCH(B2198,Pedidos!$A$2:$A$1801,0)),"")</f>
        <v/>
      </c>
      <c r="J2198" s="21">
        <f>IFERROR(INDEX(Pedidos!$C$2:$C$1801,MATCH(B2198,Pedidos!$A$2:$A$1801,0)),"")</f>
        <v/>
      </c>
      <c r="K2198" s="21">
        <f>IFERROR(INDEX(Pedidos!$D$2:$D$1801,MATCH(B2198,Pedidos!$A$2:$A$1801,0)),"")</f>
        <v/>
      </c>
      <c r="L2198" s="21">
        <f>IFERROR(INDEX(Pedidos!$F$2:$F$1801,MATCH(B2198,Pedidos!$A$2:$A$1801,0)),"")</f>
        <v/>
      </c>
      <c r="M2198" s="22">
        <f>IFERROR(INDEX(Pedidos!$G$2:$G$1801,MATCH(B2198,Pedidos!$A$2:$A$1801,0)),0)</f>
        <v/>
      </c>
      <c r="N2198" s="21">
        <f>IFERROR(INDEX(Produtos!$B$2:$B$71,MATCH(C2198,Produtos!$A$2:$A$71,0)),"")</f>
        <v/>
      </c>
      <c r="O2198" s="21">
        <f>IFERROR(INDEX(Produtos!$C$2:$C$71,MATCH(C2198,Produtos!$A$2:$A$71,0)),"")</f>
        <v/>
      </c>
      <c r="P2198" s="21">
        <f>IFERROR(INDEX(Produtos!$D$2:$D$71,MATCH(C2198,Produtos!$A$2:$A$71,0)),0)</f>
        <v/>
      </c>
      <c r="Q2198" s="21">
        <f>IFERROR(INDEX(Produtos!$E$2:$E$71,MATCH(C2198,Produtos!$A$2:$A$71,0)),0)</f>
        <v/>
      </c>
      <c r="R2198" s="23">
        <f>D2198*Q2198</f>
        <v/>
      </c>
      <c r="S2198" s="23">
        <f>R2198*E2198</f>
        <v/>
      </c>
      <c r="T2198" s="23">
        <f>(R2198-S2198)*M2198</f>
        <v/>
      </c>
      <c r="U2198" s="23">
        <f>R2198-S2198-T2198</f>
        <v/>
      </c>
      <c r="V2198" s="23">
        <f>D2198*P2198</f>
        <v/>
      </c>
      <c r="W2198" s="23">
        <f>U2198-V2198</f>
        <v/>
      </c>
      <c r="X2198" s="24">
        <f>IFERROR(W2198/U2198,0)</f>
        <v/>
      </c>
    </row>
    <row r="2199">
      <c r="A2199" s="25">
        <f>ItensPedido!A2199</f>
        <v/>
      </c>
      <c r="B2199" s="25">
        <f>ItensPedido!B2199</f>
        <v/>
      </c>
      <c r="C2199" s="25">
        <f>ItensPedido!C2199</f>
        <v/>
      </c>
      <c r="D2199" s="25">
        <f>ItensPedido!D2199</f>
        <v/>
      </c>
      <c r="E2199" s="26">
        <f>ItensPedido!E2199</f>
        <v/>
      </c>
      <c r="F2199" s="25">
        <f>IFERROR(INDEX(Pedidos!$B$2:$B$1801,MATCH(B2199,Pedidos!$A$2:$A$1801,0)),0)</f>
        <v/>
      </c>
      <c r="G2199" s="25">
        <f>IF(F2199=0,"",YEAR(F2199))</f>
        <v/>
      </c>
      <c r="H2199" s="25">
        <f>IF(F2199=0,"",MONTH(F2199))</f>
        <v/>
      </c>
      <c r="I2199" s="25">
        <f>IFERROR(INDEX(Pedidos!$E$2:$E$1801,MATCH(B2199,Pedidos!$A$2:$A$1801,0)),"")</f>
        <v/>
      </c>
      <c r="J2199" s="25">
        <f>IFERROR(INDEX(Pedidos!$C$2:$C$1801,MATCH(B2199,Pedidos!$A$2:$A$1801,0)),"")</f>
        <v/>
      </c>
      <c r="K2199" s="25">
        <f>IFERROR(INDEX(Pedidos!$D$2:$D$1801,MATCH(B2199,Pedidos!$A$2:$A$1801,0)),"")</f>
        <v/>
      </c>
      <c r="L2199" s="25">
        <f>IFERROR(INDEX(Pedidos!$F$2:$F$1801,MATCH(B2199,Pedidos!$A$2:$A$1801,0)),"")</f>
        <v/>
      </c>
      <c r="M2199" s="26">
        <f>IFERROR(INDEX(Pedidos!$G$2:$G$1801,MATCH(B2199,Pedidos!$A$2:$A$1801,0)),0)</f>
        <v/>
      </c>
      <c r="N2199" s="25">
        <f>IFERROR(INDEX(Produtos!$B$2:$B$71,MATCH(C2199,Produtos!$A$2:$A$71,0)),"")</f>
        <v/>
      </c>
      <c r="O2199" s="25">
        <f>IFERROR(INDEX(Produtos!$C$2:$C$71,MATCH(C2199,Produtos!$A$2:$A$71,0)),"")</f>
        <v/>
      </c>
      <c r="P2199" s="25">
        <f>IFERROR(INDEX(Produtos!$D$2:$D$71,MATCH(C2199,Produtos!$A$2:$A$71,0)),0)</f>
        <v/>
      </c>
      <c r="Q2199" s="25">
        <f>IFERROR(INDEX(Produtos!$E$2:$E$71,MATCH(C2199,Produtos!$A$2:$A$71,0)),0)</f>
        <v/>
      </c>
      <c r="R2199" s="27">
        <f>D2199*Q2199</f>
        <v/>
      </c>
      <c r="S2199" s="27">
        <f>R2199*E2199</f>
        <v/>
      </c>
      <c r="T2199" s="27">
        <f>(R2199-S2199)*M2199</f>
        <v/>
      </c>
      <c r="U2199" s="27">
        <f>R2199-S2199-T2199</f>
        <v/>
      </c>
      <c r="V2199" s="27">
        <f>D2199*P2199</f>
        <v/>
      </c>
      <c r="W2199" s="27">
        <f>U2199-V2199</f>
        <v/>
      </c>
      <c r="X2199" s="28">
        <f>IFERROR(W2199/U2199,0)</f>
        <v/>
      </c>
    </row>
    <row r="2200">
      <c r="A2200" s="21">
        <f>ItensPedido!A2200</f>
        <v/>
      </c>
      <c r="B2200" s="21">
        <f>ItensPedido!B2200</f>
        <v/>
      </c>
      <c r="C2200" s="21">
        <f>ItensPedido!C2200</f>
        <v/>
      </c>
      <c r="D2200" s="21">
        <f>ItensPedido!D2200</f>
        <v/>
      </c>
      <c r="E2200" s="22">
        <f>ItensPedido!E2200</f>
        <v/>
      </c>
      <c r="F2200" s="21">
        <f>IFERROR(INDEX(Pedidos!$B$2:$B$1801,MATCH(B2200,Pedidos!$A$2:$A$1801,0)),0)</f>
        <v/>
      </c>
      <c r="G2200" s="21">
        <f>IF(F2200=0,"",YEAR(F2200))</f>
        <v/>
      </c>
      <c r="H2200" s="21">
        <f>IF(F2200=0,"",MONTH(F2200))</f>
        <v/>
      </c>
      <c r="I2200" s="21">
        <f>IFERROR(INDEX(Pedidos!$E$2:$E$1801,MATCH(B2200,Pedidos!$A$2:$A$1801,0)),"")</f>
        <v/>
      </c>
      <c r="J2200" s="21">
        <f>IFERROR(INDEX(Pedidos!$C$2:$C$1801,MATCH(B2200,Pedidos!$A$2:$A$1801,0)),"")</f>
        <v/>
      </c>
      <c r="K2200" s="21">
        <f>IFERROR(INDEX(Pedidos!$D$2:$D$1801,MATCH(B2200,Pedidos!$A$2:$A$1801,0)),"")</f>
        <v/>
      </c>
      <c r="L2200" s="21">
        <f>IFERROR(INDEX(Pedidos!$F$2:$F$1801,MATCH(B2200,Pedidos!$A$2:$A$1801,0)),"")</f>
        <v/>
      </c>
      <c r="M2200" s="22">
        <f>IFERROR(INDEX(Pedidos!$G$2:$G$1801,MATCH(B2200,Pedidos!$A$2:$A$1801,0)),0)</f>
        <v/>
      </c>
      <c r="N2200" s="21">
        <f>IFERROR(INDEX(Produtos!$B$2:$B$71,MATCH(C2200,Produtos!$A$2:$A$71,0)),"")</f>
        <v/>
      </c>
      <c r="O2200" s="21">
        <f>IFERROR(INDEX(Produtos!$C$2:$C$71,MATCH(C2200,Produtos!$A$2:$A$71,0)),"")</f>
        <v/>
      </c>
      <c r="P2200" s="21">
        <f>IFERROR(INDEX(Produtos!$D$2:$D$71,MATCH(C2200,Produtos!$A$2:$A$71,0)),0)</f>
        <v/>
      </c>
      <c r="Q2200" s="21">
        <f>IFERROR(INDEX(Produtos!$E$2:$E$71,MATCH(C2200,Produtos!$A$2:$A$71,0)),0)</f>
        <v/>
      </c>
      <c r="R2200" s="23">
        <f>D2200*Q2200</f>
        <v/>
      </c>
      <c r="S2200" s="23">
        <f>R2200*E2200</f>
        <v/>
      </c>
      <c r="T2200" s="23">
        <f>(R2200-S2200)*M2200</f>
        <v/>
      </c>
      <c r="U2200" s="23">
        <f>R2200-S2200-T2200</f>
        <v/>
      </c>
      <c r="V2200" s="23">
        <f>D2200*P2200</f>
        <v/>
      </c>
      <c r="W2200" s="23">
        <f>U2200-V2200</f>
        <v/>
      </c>
      <c r="X2200" s="24">
        <f>IFERROR(W2200/U2200,0)</f>
        <v/>
      </c>
    </row>
    <row r="2201">
      <c r="A2201" s="25">
        <f>ItensPedido!A2201</f>
        <v/>
      </c>
      <c r="B2201" s="25">
        <f>ItensPedido!B2201</f>
        <v/>
      </c>
      <c r="C2201" s="25">
        <f>ItensPedido!C2201</f>
        <v/>
      </c>
      <c r="D2201" s="25">
        <f>ItensPedido!D2201</f>
        <v/>
      </c>
      <c r="E2201" s="26">
        <f>ItensPedido!E2201</f>
        <v/>
      </c>
      <c r="F2201" s="25">
        <f>IFERROR(INDEX(Pedidos!$B$2:$B$1801,MATCH(B2201,Pedidos!$A$2:$A$1801,0)),0)</f>
        <v/>
      </c>
      <c r="G2201" s="25">
        <f>IF(F2201=0,"",YEAR(F2201))</f>
        <v/>
      </c>
      <c r="H2201" s="25">
        <f>IF(F2201=0,"",MONTH(F2201))</f>
        <v/>
      </c>
      <c r="I2201" s="25">
        <f>IFERROR(INDEX(Pedidos!$E$2:$E$1801,MATCH(B2201,Pedidos!$A$2:$A$1801,0)),"")</f>
        <v/>
      </c>
      <c r="J2201" s="25">
        <f>IFERROR(INDEX(Pedidos!$C$2:$C$1801,MATCH(B2201,Pedidos!$A$2:$A$1801,0)),"")</f>
        <v/>
      </c>
      <c r="K2201" s="25">
        <f>IFERROR(INDEX(Pedidos!$D$2:$D$1801,MATCH(B2201,Pedidos!$A$2:$A$1801,0)),"")</f>
        <v/>
      </c>
      <c r="L2201" s="25">
        <f>IFERROR(INDEX(Pedidos!$F$2:$F$1801,MATCH(B2201,Pedidos!$A$2:$A$1801,0)),"")</f>
        <v/>
      </c>
      <c r="M2201" s="26">
        <f>IFERROR(INDEX(Pedidos!$G$2:$G$1801,MATCH(B2201,Pedidos!$A$2:$A$1801,0)),0)</f>
        <v/>
      </c>
      <c r="N2201" s="25">
        <f>IFERROR(INDEX(Produtos!$B$2:$B$71,MATCH(C2201,Produtos!$A$2:$A$71,0)),"")</f>
        <v/>
      </c>
      <c r="O2201" s="25">
        <f>IFERROR(INDEX(Produtos!$C$2:$C$71,MATCH(C2201,Produtos!$A$2:$A$71,0)),"")</f>
        <v/>
      </c>
      <c r="P2201" s="25">
        <f>IFERROR(INDEX(Produtos!$D$2:$D$71,MATCH(C2201,Produtos!$A$2:$A$71,0)),0)</f>
        <v/>
      </c>
      <c r="Q2201" s="25">
        <f>IFERROR(INDEX(Produtos!$E$2:$E$71,MATCH(C2201,Produtos!$A$2:$A$71,0)),0)</f>
        <v/>
      </c>
      <c r="R2201" s="27">
        <f>D2201*Q2201</f>
        <v/>
      </c>
      <c r="S2201" s="27">
        <f>R2201*E2201</f>
        <v/>
      </c>
      <c r="T2201" s="27">
        <f>(R2201-S2201)*M2201</f>
        <v/>
      </c>
      <c r="U2201" s="27">
        <f>R2201-S2201-T2201</f>
        <v/>
      </c>
      <c r="V2201" s="27">
        <f>D2201*P2201</f>
        <v/>
      </c>
      <c r="W2201" s="27">
        <f>U2201-V2201</f>
        <v/>
      </c>
      <c r="X2201" s="28">
        <f>IFERROR(W2201/U2201,0)</f>
        <v/>
      </c>
    </row>
    <row r="2202">
      <c r="A2202" s="21">
        <f>ItensPedido!A2202</f>
        <v/>
      </c>
      <c r="B2202" s="21">
        <f>ItensPedido!B2202</f>
        <v/>
      </c>
      <c r="C2202" s="21">
        <f>ItensPedido!C2202</f>
        <v/>
      </c>
      <c r="D2202" s="21">
        <f>ItensPedido!D2202</f>
        <v/>
      </c>
      <c r="E2202" s="22">
        <f>ItensPedido!E2202</f>
        <v/>
      </c>
      <c r="F2202" s="21">
        <f>IFERROR(INDEX(Pedidos!$B$2:$B$1801,MATCH(B2202,Pedidos!$A$2:$A$1801,0)),0)</f>
        <v/>
      </c>
      <c r="G2202" s="21">
        <f>IF(F2202=0,"",YEAR(F2202))</f>
        <v/>
      </c>
      <c r="H2202" s="21">
        <f>IF(F2202=0,"",MONTH(F2202))</f>
        <v/>
      </c>
      <c r="I2202" s="21">
        <f>IFERROR(INDEX(Pedidos!$E$2:$E$1801,MATCH(B2202,Pedidos!$A$2:$A$1801,0)),"")</f>
        <v/>
      </c>
      <c r="J2202" s="21">
        <f>IFERROR(INDEX(Pedidos!$C$2:$C$1801,MATCH(B2202,Pedidos!$A$2:$A$1801,0)),"")</f>
        <v/>
      </c>
      <c r="K2202" s="21">
        <f>IFERROR(INDEX(Pedidos!$D$2:$D$1801,MATCH(B2202,Pedidos!$A$2:$A$1801,0)),"")</f>
        <v/>
      </c>
      <c r="L2202" s="21">
        <f>IFERROR(INDEX(Pedidos!$F$2:$F$1801,MATCH(B2202,Pedidos!$A$2:$A$1801,0)),"")</f>
        <v/>
      </c>
      <c r="M2202" s="22">
        <f>IFERROR(INDEX(Pedidos!$G$2:$G$1801,MATCH(B2202,Pedidos!$A$2:$A$1801,0)),0)</f>
        <v/>
      </c>
      <c r="N2202" s="21">
        <f>IFERROR(INDEX(Produtos!$B$2:$B$71,MATCH(C2202,Produtos!$A$2:$A$71,0)),"")</f>
        <v/>
      </c>
      <c r="O2202" s="21">
        <f>IFERROR(INDEX(Produtos!$C$2:$C$71,MATCH(C2202,Produtos!$A$2:$A$71,0)),"")</f>
        <v/>
      </c>
      <c r="P2202" s="21">
        <f>IFERROR(INDEX(Produtos!$D$2:$D$71,MATCH(C2202,Produtos!$A$2:$A$71,0)),0)</f>
        <v/>
      </c>
      <c r="Q2202" s="21">
        <f>IFERROR(INDEX(Produtos!$E$2:$E$71,MATCH(C2202,Produtos!$A$2:$A$71,0)),0)</f>
        <v/>
      </c>
      <c r="R2202" s="23">
        <f>D2202*Q2202</f>
        <v/>
      </c>
      <c r="S2202" s="23">
        <f>R2202*E2202</f>
        <v/>
      </c>
      <c r="T2202" s="23">
        <f>(R2202-S2202)*M2202</f>
        <v/>
      </c>
      <c r="U2202" s="23">
        <f>R2202-S2202-T2202</f>
        <v/>
      </c>
      <c r="V2202" s="23">
        <f>D2202*P2202</f>
        <v/>
      </c>
      <c r="W2202" s="23">
        <f>U2202-V2202</f>
        <v/>
      </c>
      <c r="X2202" s="24">
        <f>IFERROR(W2202/U2202,0)</f>
        <v/>
      </c>
    </row>
    <row r="2203">
      <c r="A2203" s="25">
        <f>ItensPedido!A2203</f>
        <v/>
      </c>
      <c r="B2203" s="25">
        <f>ItensPedido!B2203</f>
        <v/>
      </c>
      <c r="C2203" s="25">
        <f>ItensPedido!C2203</f>
        <v/>
      </c>
      <c r="D2203" s="25">
        <f>ItensPedido!D2203</f>
        <v/>
      </c>
      <c r="E2203" s="26">
        <f>ItensPedido!E2203</f>
        <v/>
      </c>
      <c r="F2203" s="25">
        <f>IFERROR(INDEX(Pedidos!$B$2:$B$1801,MATCH(B2203,Pedidos!$A$2:$A$1801,0)),0)</f>
        <v/>
      </c>
      <c r="G2203" s="25">
        <f>IF(F2203=0,"",YEAR(F2203))</f>
        <v/>
      </c>
      <c r="H2203" s="25">
        <f>IF(F2203=0,"",MONTH(F2203))</f>
        <v/>
      </c>
      <c r="I2203" s="25">
        <f>IFERROR(INDEX(Pedidos!$E$2:$E$1801,MATCH(B2203,Pedidos!$A$2:$A$1801,0)),"")</f>
        <v/>
      </c>
      <c r="J2203" s="25">
        <f>IFERROR(INDEX(Pedidos!$C$2:$C$1801,MATCH(B2203,Pedidos!$A$2:$A$1801,0)),"")</f>
        <v/>
      </c>
      <c r="K2203" s="25">
        <f>IFERROR(INDEX(Pedidos!$D$2:$D$1801,MATCH(B2203,Pedidos!$A$2:$A$1801,0)),"")</f>
        <v/>
      </c>
      <c r="L2203" s="25">
        <f>IFERROR(INDEX(Pedidos!$F$2:$F$1801,MATCH(B2203,Pedidos!$A$2:$A$1801,0)),"")</f>
        <v/>
      </c>
      <c r="M2203" s="26">
        <f>IFERROR(INDEX(Pedidos!$G$2:$G$1801,MATCH(B2203,Pedidos!$A$2:$A$1801,0)),0)</f>
        <v/>
      </c>
      <c r="N2203" s="25">
        <f>IFERROR(INDEX(Produtos!$B$2:$B$71,MATCH(C2203,Produtos!$A$2:$A$71,0)),"")</f>
        <v/>
      </c>
      <c r="O2203" s="25">
        <f>IFERROR(INDEX(Produtos!$C$2:$C$71,MATCH(C2203,Produtos!$A$2:$A$71,0)),"")</f>
        <v/>
      </c>
      <c r="P2203" s="25">
        <f>IFERROR(INDEX(Produtos!$D$2:$D$71,MATCH(C2203,Produtos!$A$2:$A$71,0)),0)</f>
        <v/>
      </c>
      <c r="Q2203" s="25">
        <f>IFERROR(INDEX(Produtos!$E$2:$E$71,MATCH(C2203,Produtos!$A$2:$A$71,0)),0)</f>
        <v/>
      </c>
      <c r="R2203" s="27">
        <f>D2203*Q2203</f>
        <v/>
      </c>
      <c r="S2203" s="27">
        <f>R2203*E2203</f>
        <v/>
      </c>
      <c r="T2203" s="27">
        <f>(R2203-S2203)*M2203</f>
        <v/>
      </c>
      <c r="U2203" s="27">
        <f>R2203-S2203-T2203</f>
        <v/>
      </c>
      <c r="V2203" s="27">
        <f>D2203*P2203</f>
        <v/>
      </c>
      <c r="W2203" s="27">
        <f>U2203-V2203</f>
        <v/>
      </c>
      <c r="X2203" s="28">
        <f>IFERROR(W2203/U2203,0)</f>
        <v/>
      </c>
    </row>
    <row r="2204">
      <c r="A2204" s="21">
        <f>ItensPedido!A2204</f>
        <v/>
      </c>
      <c r="B2204" s="21">
        <f>ItensPedido!B2204</f>
        <v/>
      </c>
      <c r="C2204" s="21">
        <f>ItensPedido!C2204</f>
        <v/>
      </c>
      <c r="D2204" s="21">
        <f>ItensPedido!D2204</f>
        <v/>
      </c>
      <c r="E2204" s="22">
        <f>ItensPedido!E2204</f>
        <v/>
      </c>
      <c r="F2204" s="21">
        <f>IFERROR(INDEX(Pedidos!$B$2:$B$1801,MATCH(B2204,Pedidos!$A$2:$A$1801,0)),0)</f>
        <v/>
      </c>
      <c r="G2204" s="21">
        <f>IF(F2204=0,"",YEAR(F2204))</f>
        <v/>
      </c>
      <c r="H2204" s="21">
        <f>IF(F2204=0,"",MONTH(F2204))</f>
        <v/>
      </c>
      <c r="I2204" s="21">
        <f>IFERROR(INDEX(Pedidos!$E$2:$E$1801,MATCH(B2204,Pedidos!$A$2:$A$1801,0)),"")</f>
        <v/>
      </c>
      <c r="J2204" s="21">
        <f>IFERROR(INDEX(Pedidos!$C$2:$C$1801,MATCH(B2204,Pedidos!$A$2:$A$1801,0)),"")</f>
        <v/>
      </c>
      <c r="K2204" s="21">
        <f>IFERROR(INDEX(Pedidos!$D$2:$D$1801,MATCH(B2204,Pedidos!$A$2:$A$1801,0)),"")</f>
        <v/>
      </c>
      <c r="L2204" s="21">
        <f>IFERROR(INDEX(Pedidos!$F$2:$F$1801,MATCH(B2204,Pedidos!$A$2:$A$1801,0)),"")</f>
        <v/>
      </c>
      <c r="M2204" s="22">
        <f>IFERROR(INDEX(Pedidos!$G$2:$G$1801,MATCH(B2204,Pedidos!$A$2:$A$1801,0)),0)</f>
        <v/>
      </c>
      <c r="N2204" s="21">
        <f>IFERROR(INDEX(Produtos!$B$2:$B$71,MATCH(C2204,Produtos!$A$2:$A$71,0)),"")</f>
        <v/>
      </c>
      <c r="O2204" s="21">
        <f>IFERROR(INDEX(Produtos!$C$2:$C$71,MATCH(C2204,Produtos!$A$2:$A$71,0)),"")</f>
        <v/>
      </c>
      <c r="P2204" s="21">
        <f>IFERROR(INDEX(Produtos!$D$2:$D$71,MATCH(C2204,Produtos!$A$2:$A$71,0)),0)</f>
        <v/>
      </c>
      <c r="Q2204" s="21">
        <f>IFERROR(INDEX(Produtos!$E$2:$E$71,MATCH(C2204,Produtos!$A$2:$A$71,0)),0)</f>
        <v/>
      </c>
      <c r="R2204" s="23">
        <f>D2204*Q2204</f>
        <v/>
      </c>
      <c r="S2204" s="23">
        <f>R2204*E2204</f>
        <v/>
      </c>
      <c r="T2204" s="23">
        <f>(R2204-S2204)*M2204</f>
        <v/>
      </c>
      <c r="U2204" s="23">
        <f>R2204-S2204-T2204</f>
        <v/>
      </c>
      <c r="V2204" s="23">
        <f>D2204*P2204</f>
        <v/>
      </c>
      <c r="W2204" s="23">
        <f>U2204-V2204</f>
        <v/>
      </c>
      <c r="X2204" s="24">
        <f>IFERROR(W2204/U2204,0)</f>
        <v/>
      </c>
    </row>
    <row r="2205">
      <c r="A2205" s="25">
        <f>ItensPedido!A2205</f>
        <v/>
      </c>
      <c r="B2205" s="25">
        <f>ItensPedido!B2205</f>
        <v/>
      </c>
      <c r="C2205" s="25">
        <f>ItensPedido!C2205</f>
        <v/>
      </c>
      <c r="D2205" s="25">
        <f>ItensPedido!D2205</f>
        <v/>
      </c>
      <c r="E2205" s="26">
        <f>ItensPedido!E2205</f>
        <v/>
      </c>
      <c r="F2205" s="25">
        <f>IFERROR(INDEX(Pedidos!$B$2:$B$1801,MATCH(B2205,Pedidos!$A$2:$A$1801,0)),0)</f>
        <v/>
      </c>
      <c r="G2205" s="25">
        <f>IF(F2205=0,"",YEAR(F2205))</f>
        <v/>
      </c>
      <c r="H2205" s="25">
        <f>IF(F2205=0,"",MONTH(F2205))</f>
        <v/>
      </c>
      <c r="I2205" s="25">
        <f>IFERROR(INDEX(Pedidos!$E$2:$E$1801,MATCH(B2205,Pedidos!$A$2:$A$1801,0)),"")</f>
        <v/>
      </c>
      <c r="J2205" s="25">
        <f>IFERROR(INDEX(Pedidos!$C$2:$C$1801,MATCH(B2205,Pedidos!$A$2:$A$1801,0)),"")</f>
        <v/>
      </c>
      <c r="K2205" s="25">
        <f>IFERROR(INDEX(Pedidos!$D$2:$D$1801,MATCH(B2205,Pedidos!$A$2:$A$1801,0)),"")</f>
        <v/>
      </c>
      <c r="L2205" s="25">
        <f>IFERROR(INDEX(Pedidos!$F$2:$F$1801,MATCH(B2205,Pedidos!$A$2:$A$1801,0)),"")</f>
        <v/>
      </c>
      <c r="M2205" s="26">
        <f>IFERROR(INDEX(Pedidos!$G$2:$G$1801,MATCH(B2205,Pedidos!$A$2:$A$1801,0)),0)</f>
        <v/>
      </c>
      <c r="N2205" s="25">
        <f>IFERROR(INDEX(Produtos!$B$2:$B$71,MATCH(C2205,Produtos!$A$2:$A$71,0)),"")</f>
        <v/>
      </c>
      <c r="O2205" s="25">
        <f>IFERROR(INDEX(Produtos!$C$2:$C$71,MATCH(C2205,Produtos!$A$2:$A$71,0)),"")</f>
        <v/>
      </c>
      <c r="P2205" s="25">
        <f>IFERROR(INDEX(Produtos!$D$2:$D$71,MATCH(C2205,Produtos!$A$2:$A$71,0)),0)</f>
        <v/>
      </c>
      <c r="Q2205" s="25">
        <f>IFERROR(INDEX(Produtos!$E$2:$E$71,MATCH(C2205,Produtos!$A$2:$A$71,0)),0)</f>
        <v/>
      </c>
      <c r="R2205" s="27">
        <f>D2205*Q2205</f>
        <v/>
      </c>
      <c r="S2205" s="27">
        <f>R2205*E2205</f>
        <v/>
      </c>
      <c r="T2205" s="27">
        <f>(R2205-S2205)*M2205</f>
        <v/>
      </c>
      <c r="U2205" s="27">
        <f>R2205-S2205-T2205</f>
        <v/>
      </c>
      <c r="V2205" s="27">
        <f>D2205*P2205</f>
        <v/>
      </c>
      <c r="W2205" s="27">
        <f>U2205-V2205</f>
        <v/>
      </c>
      <c r="X2205" s="28">
        <f>IFERROR(W2205/U2205,0)</f>
        <v/>
      </c>
    </row>
    <row r="2206">
      <c r="A2206" s="21">
        <f>ItensPedido!A2206</f>
        <v/>
      </c>
      <c r="B2206" s="21">
        <f>ItensPedido!B2206</f>
        <v/>
      </c>
      <c r="C2206" s="21">
        <f>ItensPedido!C2206</f>
        <v/>
      </c>
      <c r="D2206" s="21">
        <f>ItensPedido!D2206</f>
        <v/>
      </c>
      <c r="E2206" s="22">
        <f>ItensPedido!E2206</f>
        <v/>
      </c>
      <c r="F2206" s="21">
        <f>IFERROR(INDEX(Pedidos!$B$2:$B$1801,MATCH(B2206,Pedidos!$A$2:$A$1801,0)),0)</f>
        <v/>
      </c>
      <c r="G2206" s="21">
        <f>IF(F2206=0,"",YEAR(F2206))</f>
        <v/>
      </c>
      <c r="H2206" s="21">
        <f>IF(F2206=0,"",MONTH(F2206))</f>
        <v/>
      </c>
      <c r="I2206" s="21">
        <f>IFERROR(INDEX(Pedidos!$E$2:$E$1801,MATCH(B2206,Pedidos!$A$2:$A$1801,0)),"")</f>
        <v/>
      </c>
      <c r="J2206" s="21">
        <f>IFERROR(INDEX(Pedidos!$C$2:$C$1801,MATCH(B2206,Pedidos!$A$2:$A$1801,0)),"")</f>
        <v/>
      </c>
      <c r="K2206" s="21">
        <f>IFERROR(INDEX(Pedidos!$D$2:$D$1801,MATCH(B2206,Pedidos!$A$2:$A$1801,0)),"")</f>
        <v/>
      </c>
      <c r="L2206" s="21">
        <f>IFERROR(INDEX(Pedidos!$F$2:$F$1801,MATCH(B2206,Pedidos!$A$2:$A$1801,0)),"")</f>
        <v/>
      </c>
      <c r="M2206" s="22">
        <f>IFERROR(INDEX(Pedidos!$G$2:$G$1801,MATCH(B2206,Pedidos!$A$2:$A$1801,0)),0)</f>
        <v/>
      </c>
      <c r="N2206" s="21">
        <f>IFERROR(INDEX(Produtos!$B$2:$B$71,MATCH(C2206,Produtos!$A$2:$A$71,0)),"")</f>
        <v/>
      </c>
      <c r="O2206" s="21">
        <f>IFERROR(INDEX(Produtos!$C$2:$C$71,MATCH(C2206,Produtos!$A$2:$A$71,0)),"")</f>
        <v/>
      </c>
      <c r="P2206" s="21">
        <f>IFERROR(INDEX(Produtos!$D$2:$D$71,MATCH(C2206,Produtos!$A$2:$A$71,0)),0)</f>
        <v/>
      </c>
      <c r="Q2206" s="21">
        <f>IFERROR(INDEX(Produtos!$E$2:$E$71,MATCH(C2206,Produtos!$A$2:$A$71,0)),0)</f>
        <v/>
      </c>
      <c r="R2206" s="23">
        <f>D2206*Q2206</f>
        <v/>
      </c>
      <c r="S2206" s="23">
        <f>R2206*E2206</f>
        <v/>
      </c>
      <c r="T2206" s="23">
        <f>(R2206-S2206)*M2206</f>
        <v/>
      </c>
      <c r="U2206" s="23">
        <f>R2206-S2206-T2206</f>
        <v/>
      </c>
      <c r="V2206" s="23">
        <f>D2206*P2206</f>
        <v/>
      </c>
      <c r="W2206" s="23">
        <f>U2206-V2206</f>
        <v/>
      </c>
      <c r="X2206" s="24">
        <f>IFERROR(W2206/U2206,0)</f>
        <v/>
      </c>
    </row>
    <row r="2207">
      <c r="A2207" s="25">
        <f>ItensPedido!A2207</f>
        <v/>
      </c>
      <c r="B2207" s="25">
        <f>ItensPedido!B2207</f>
        <v/>
      </c>
      <c r="C2207" s="25">
        <f>ItensPedido!C2207</f>
        <v/>
      </c>
      <c r="D2207" s="25">
        <f>ItensPedido!D2207</f>
        <v/>
      </c>
      <c r="E2207" s="26">
        <f>ItensPedido!E2207</f>
        <v/>
      </c>
      <c r="F2207" s="25">
        <f>IFERROR(INDEX(Pedidos!$B$2:$B$1801,MATCH(B2207,Pedidos!$A$2:$A$1801,0)),0)</f>
        <v/>
      </c>
      <c r="G2207" s="25">
        <f>IF(F2207=0,"",YEAR(F2207))</f>
        <v/>
      </c>
      <c r="H2207" s="25">
        <f>IF(F2207=0,"",MONTH(F2207))</f>
        <v/>
      </c>
      <c r="I2207" s="25">
        <f>IFERROR(INDEX(Pedidos!$E$2:$E$1801,MATCH(B2207,Pedidos!$A$2:$A$1801,0)),"")</f>
        <v/>
      </c>
      <c r="J2207" s="25">
        <f>IFERROR(INDEX(Pedidos!$C$2:$C$1801,MATCH(B2207,Pedidos!$A$2:$A$1801,0)),"")</f>
        <v/>
      </c>
      <c r="K2207" s="25">
        <f>IFERROR(INDEX(Pedidos!$D$2:$D$1801,MATCH(B2207,Pedidos!$A$2:$A$1801,0)),"")</f>
        <v/>
      </c>
      <c r="L2207" s="25">
        <f>IFERROR(INDEX(Pedidos!$F$2:$F$1801,MATCH(B2207,Pedidos!$A$2:$A$1801,0)),"")</f>
        <v/>
      </c>
      <c r="M2207" s="26">
        <f>IFERROR(INDEX(Pedidos!$G$2:$G$1801,MATCH(B2207,Pedidos!$A$2:$A$1801,0)),0)</f>
        <v/>
      </c>
      <c r="N2207" s="25">
        <f>IFERROR(INDEX(Produtos!$B$2:$B$71,MATCH(C2207,Produtos!$A$2:$A$71,0)),"")</f>
        <v/>
      </c>
      <c r="O2207" s="25">
        <f>IFERROR(INDEX(Produtos!$C$2:$C$71,MATCH(C2207,Produtos!$A$2:$A$71,0)),"")</f>
        <v/>
      </c>
      <c r="P2207" s="25">
        <f>IFERROR(INDEX(Produtos!$D$2:$D$71,MATCH(C2207,Produtos!$A$2:$A$71,0)),0)</f>
        <v/>
      </c>
      <c r="Q2207" s="25">
        <f>IFERROR(INDEX(Produtos!$E$2:$E$71,MATCH(C2207,Produtos!$A$2:$A$71,0)),0)</f>
        <v/>
      </c>
      <c r="R2207" s="27">
        <f>D2207*Q2207</f>
        <v/>
      </c>
      <c r="S2207" s="27">
        <f>R2207*E2207</f>
        <v/>
      </c>
      <c r="T2207" s="27">
        <f>(R2207-S2207)*M2207</f>
        <v/>
      </c>
      <c r="U2207" s="27">
        <f>R2207-S2207-T2207</f>
        <v/>
      </c>
      <c r="V2207" s="27">
        <f>D2207*P2207</f>
        <v/>
      </c>
      <c r="W2207" s="27">
        <f>U2207-V2207</f>
        <v/>
      </c>
      <c r="X2207" s="28">
        <f>IFERROR(W2207/U2207,0)</f>
        <v/>
      </c>
    </row>
    <row r="2208">
      <c r="A2208" s="21">
        <f>ItensPedido!A2208</f>
        <v/>
      </c>
      <c r="B2208" s="21">
        <f>ItensPedido!B2208</f>
        <v/>
      </c>
      <c r="C2208" s="21">
        <f>ItensPedido!C2208</f>
        <v/>
      </c>
      <c r="D2208" s="21">
        <f>ItensPedido!D2208</f>
        <v/>
      </c>
      <c r="E2208" s="22">
        <f>ItensPedido!E2208</f>
        <v/>
      </c>
      <c r="F2208" s="21">
        <f>IFERROR(INDEX(Pedidos!$B$2:$B$1801,MATCH(B2208,Pedidos!$A$2:$A$1801,0)),0)</f>
        <v/>
      </c>
      <c r="G2208" s="21">
        <f>IF(F2208=0,"",YEAR(F2208))</f>
        <v/>
      </c>
      <c r="H2208" s="21">
        <f>IF(F2208=0,"",MONTH(F2208))</f>
        <v/>
      </c>
      <c r="I2208" s="21">
        <f>IFERROR(INDEX(Pedidos!$E$2:$E$1801,MATCH(B2208,Pedidos!$A$2:$A$1801,0)),"")</f>
        <v/>
      </c>
      <c r="J2208" s="21">
        <f>IFERROR(INDEX(Pedidos!$C$2:$C$1801,MATCH(B2208,Pedidos!$A$2:$A$1801,0)),"")</f>
        <v/>
      </c>
      <c r="K2208" s="21">
        <f>IFERROR(INDEX(Pedidos!$D$2:$D$1801,MATCH(B2208,Pedidos!$A$2:$A$1801,0)),"")</f>
        <v/>
      </c>
      <c r="L2208" s="21">
        <f>IFERROR(INDEX(Pedidos!$F$2:$F$1801,MATCH(B2208,Pedidos!$A$2:$A$1801,0)),"")</f>
        <v/>
      </c>
      <c r="M2208" s="22">
        <f>IFERROR(INDEX(Pedidos!$G$2:$G$1801,MATCH(B2208,Pedidos!$A$2:$A$1801,0)),0)</f>
        <v/>
      </c>
      <c r="N2208" s="21">
        <f>IFERROR(INDEX(Produtos!$B$2:$B$71,MATCH(C2208,Produtos!$A$2:$A$71,0)),"")</f>
        <v/>
      </c>
      <c r="O2208" s="21">
        <f>IFERROR(INDEX(Produtos!$C$2:$C$71,MATCH(C2208,Produtos!$A$2:$A$71,0)),"")</f>
        <v/>
      </c>
      <c r="P2208" s="21">
        <f>IFERROR(INDEX(Produtos!$D$2:$D$71,MATCH(C2208,Produtos!$A$2:$A$71,0)),0)</f>
        <v/>
      </c>
      <c r="Q2208" s="21">
        <f>IFERROR(INDEX(Produtos!$E$2:$E$71,MATCH(C2208,Produtos!$A$2:$A$71,0)),0)</f>
        <v/>
      </c>
      <c r="R2208" s="23">
        <f>D2208*Q2208</f>
        <v/>
      </c>
      <c r="S2208" s="23">
        <f>R2208*E2208</f>
        <v/>
      </c>
      <c r="T2208" s="23">
        <f>(R2208-S2208)*M2208</f>
        <v/>
      </c>
      <c r="U2208" s="23">
        <f>R2208-S2208-T2208</f>
        <v/>
      </c>
      <c r="V2208" s="23">
        <f>D2208*P2208</f>
        <v/>
      </c>
      <c r="W2208" s="23">
        <f>U2208-V2208</f>
        <v/>
      </c>
      <c r="X2208" s="24">
        <f>IFERROR(W2208/U2208,0)</f>
        <v/>
      </c>
    </row>
    <row r="2209">
      <c r="A2209" s="25">
        <f>ItensPedido!A2209</f>
        <v/>
      </c>
      <c r="B2209" s="25">
        <f>ItensPedido!B2209</f>
        <v/>
      </c>
      <c r="C2209" s="25">
        <f>ItensPedido!C2209</f>
        <v/>
      </c>
      <c r="D2209" s="25">
        <f>ItensPedido!D2209</f>
        <v/>
      </c>
      <c r="E2209" s="26">
        <f>ItensPedido!E2209</f>
        <v/>
      </c>
      <c r="F2209" s="25">
        <f>IFERROR(INDEX(Pedidos!$B$2:$B$1801,MATCH(B2209,Pedidos!$A$2:$A$1801,0)),0)</f>
        <v/>
      </c>
      <c r="G2209" s="25">
        <f>IF(F2209=0,"",YEAR(F2209))</f>
        <v/>
      </c>
      <c r="H2209" s="25">
        <f>IF(F2209=0,"",MONTH(F2209))</f>
        <v/>
      </c>
      <c r="I2209" s="25">
        <f>IFERROR(INDEX(Pedidos!$E$2:$E$1801,MATCH(B2209,Pedidos!$A$2:$A$1801,0)),"")</f>
        <v/>
      </c>
      <c r="J2209" s="25">
        <f>IFERROR(INDEX(Pedidos!$C$2:$C$1801,MATCH(B2209,Pedidos!$A$2:$A$1801,0)),"")</f>
        <v/>
      </c>
      <c r="K2209" s="25">
        <f>IFERROR(INDEX(Pedidos!$D$2:$D$1801,MATCH(B2209,Pedidos!$A$2:$A$1801,0)),"")</f>
        <v/>
      </c>
      <c r="L2209" s="25">
        <f>IFERROR(INDEX(Pedidos!$F$2:$F$1801,MATCH(B2209,Pedidos!$A$2:$A$1801,0)),"")</f>
        <v/>
      </c>
      <c r="M2209" s="26">
        <f>IFERROR(INDEX(Pedidos!$G$2:$G$1801,MATCH(B2209,Pedidos!$A$2:$A$1801,0)),0)</f>
        <v/>
      </c>
      <c r="N2209" s="25">
        <f>IFERROR(INDEX(Produtos!$B$2:$B$71,MATCH(C2209,Produtos!$A$2:$A$71,0)),"")</f>
        <v/>
      </c>
      <c r="O2209" s="25">
        <f>IFERROR(INDEX(Produtos!$C$2:$C$71,MATCH(C2209,Produtos!$A$2:$A$71,0)),"")</f>
        <v/>
      </c>
      <c r="P2209" s="25">
        <f>IFERROR(INDEX(Produtos!$D$2:$D$71,MATCH(C2209,Produtos!$A$2:$A$71,0)),0)</f>
        <v/>
      </c>
      <c r="Q2209" s="25">
        <f>IFERROR(INDEX(Produtos!$E$2:$E$71,MATCH(C2209,Produtos!$A$2:$A$71,0)),0)</f>
        <v/>
      </c>
      <c r="R2209" s="27">
        <f>D2209*Q2209</f>
        <v/>
      </c>
      <c r="S2209" s="27">
        <f>R2209*E2209</f>
        <v/>
      </c>
      <c r="T2209" s="27">
        <f>(R2209-S2209)*M2209</f>
        <v/>
      </c>
      <c r="U2209" s="27">
        <f>R2209-S2209-T2209</f>
        <v/>
      </c>
      <c r="V2209" s="27">
        <f>D2209*P2209</f>
        <v/>
      </c>
      <c r="W2209" s="27">
        <f>U2209-V2209</f>
        <v/>
      </c>
      <c r="X2209" s="28">
        <f>IFERROR(W2209/U2209,0)</f>
        <v/>
      </c>
    </row>
    <row r="2210">
      <c r="A2210" s="21">
        <f>ItensPedido!A2210</f>
        <v/>
      </c>
      <c r="B2210" s="21">
        <f>ItensPedido!B2210</f>
        <v/>
      </c>
      <c r="C2210" s="21">
        <f>ItensPedido!C2210</f>
        <v/>
      </c>
      <c r="D2210" s="21">
        <f>ItensPedido!D2210</f>
        <v/>
      </c>
      <c r="E2210" s="22">
        <f>ItensPedido!E2210</f>
        <v/>
      </c>
      <c r="F2210" s="21">
        <f>IFERROR(INDEX(Pedidos!$B$2:$B$1801,MATCH(B2210,Pedidos!$A$2:$A$1801,0)),0)</f>
        <v/>
      </c>
      <c r="G2210" s="21">
        <f>IF(F2210=0,"",YEAR(F2210))</f>
        <v/>
      </c>
      <c r="H2210" s="21">
        <f>IF(F2210=0,"",MONTH(F2210))</f>
        <v/>
      </c>
      <c r="I2210" s="21">
        <f>IFERROR(INDEX(Pedidos!$E$2:$E$1801,MATCH(B2210,Pedidos!$A$2:$A$1801,0)),"")</f>
        <v/>
      </c>
      <c r="J2210" s="21">
        <f>IFERROR(INDEX(Pedidos!$C$2:$C$1801,MATCH(B2210,Pedidos!$A$2:$A$1801,0)),"")</f>
        <v/>
      </c>
      <c r="K2210" s="21">
        <f>IFERROR(INDEX(Pedidos!$D$2:$D$1801,MATCH(B2210,Pedidos!$A$2:$A$1801,0)),"")</f>
        <v/>
      </c>
      <c r="L2210" s="21">
        <f>IFERROR(INDEX(Pedidos!$F$2:$F$1801,MATCH(B2210,Pedidos!$A$2:$A$1801,0)),"")</f>
        <v/>
      </c>
      <c r="M2210" s="22">
        <f>IFERROR(INDEX(Pedidos!$G$2:$G$1801,MATCH(B2210,Pedidos!$A$2:$A$1801,0)),0)</f>
        <v/>
      </c>
      <c r="N2210" s="21">
        <f>IFERROR(INDEX(Produtos!$B$2:$B$71,MATCH(C2210,Produtos!$A$2:$A$71,0)),"")</f>
        <v/>
      </c>
      <c r="O2210" s="21">
        <f>IFERROR(INDEX(Produtos!$C$2:$C$71,MATCH(C2210,Produtos!$A$2:$A$71,0)),"")</f>
        <v/>
      </c>
      <c r="P2210" s="21">
        <f>IFERROR(INDEX(Produtos!$D$2:$D$71,MATCH(C2210,Produtos!$A$2:$A$71,0)),0)</f>
        <v/>
      </c>
      <c r="Q2210" s="21">
        <f>IFERROR(INDEX(Produtos!$E$2:$E$71,MATCH(C2210,Produtos!$A$2:$A$71,0)),0)</f>
        <v/>
      </c>
      <c r="R2210" s="23">
        <f>D2210*Q2210</f>
        <v/>
      </c>
      <c r="S2210" s="23">
        <f>R2210*E2210</f>
        <v/>
      </c>
      <c r="T2210" s="23">
        <f>(R2210-S2210)*M2210</f>
        <v/>
      </c>
      <c r="U2210" s="23">
        <f>R2210-S2210-T2210</f>
        <v/>
      </c>
      <c r="V2210" s="23">
        <f>D2210*P2210</f>
        <v/>
      </c>
      <c r="W2210" s="23">
        <f>U2210-V2210</f>
        <v/>
      </c>
      <c r="X2210" s="24">
        <f>IFERROR(W2210/U2210,0)</f>
        <v/>
      </c>
    </row>
    <row r="2211">
      <c r="A2211" s="25">
        <f>ItensPedido!A2211</f>
        <v/>
      </c>
      <c r="B2211" s="25">
        <f>ItensPedido!B2211</f>
        <v/>
      </c>
      <c r="C2211" s="25">
        <f>ItensPedido!C2211</f>
        <v/>
      </c>
      <c r="D2211" s="25">
        <f>ItensPedido!D2211</f>
        <v/>
      </c>
      <c r="E2211" s="26">
        <f>ItensPedido!E2211</f>
        <v/>
      </c>
      <c r="F2211" s="25">
        <f>IFERROR(INDEX(Pedidos!$B$2:$B$1801,MATCH(B2211,Pedidos!$A$2:$A$1801,0)),0)</f>
        <v/>
      </c>
      <c r="G2211" s="25">
        <f>IF(F2211=0,"",YEAR(F2211))</f>
        <v/>
      </c>
      <c r="H2211" s="25">
        <f>IF(F2211=0,"",MONTH(F2211))</f>
        <v/>
      </c>
      <c r="I2211" s="25">
        <f>IFERROR(INDEX(Pedidos!$E$2:$E$1801,MATCH(B2211,Pedidos!$A$2:$A$1801,0)),"")</f>
        <v/>
      </c>
      <c r="J2211" s="25">
        <f>IFERROR(INDEX(Pedidos!$C$2:$C$1801,MATCH(B2211,Pedidos!$A$2:$A$1801,0)),"")</f>
        <v/>
      </c>
      <c r="K2211" s="25">
        <f>IFERROR(INDEX(Pedidos!$D$2:$D$1801,MATCH(B2211,Pedidos!$A$2:$A$1801,0)),"")</f>
        <v/>
      </c>
      <c r="L2211" s="25">
        <f>IFERROR(INDEX(Pedidos!$F$2:$F$1801,MATCH(B2211,Pedidos!$A$2:$A$1801,0)),"")</f>
        <v/>
      </c>
      <c r="M2211" s="26">
        <f>IFERROR(INDEX(Pedidos!$G$2:$G$1801,MATCH(B2211,Pedidos!$A$2:$A$1801,0)),0)</f>
        <v/>
      </c>
      <c r="N2211" s="25">
        <f>IFERROR(INDEX(Produtos!$B$2:$B$71,MATCH(C2211,Produtos!$A$2:$A$71,0)),"")</f>
        <v/>
      </c>
      <c r="O2211" s="25">
        <f>IFERROR(INDEX(Produtos!$C$2:$C$71,MATCH(C2211,Produtos!$A$2:$A$71,0)),"")</f>
        <v/>
      </c>
      <c r="P2211" s="25">
        <f>IFERROR(INDEX(Produtos!$D$2:$D$71,MATCH(C2211,Produtos!$A$2:$A$71,0)),0)</f>
        <v/>
      </c>
      <c r="Q2211" s="25">
        <f>IFERROR(INDEX(Produtos!$E$2:$E$71,MATCH(C2211,Produtos!$A$2:$A$71,0)),0)</f>
        <v/>
      </c>
      <c r="R2211" s="27">
        <f>D2211*Q2211</f>
        <v/>
      </c>
      <c r="S2211" s="27">
        <f>R2211*E2211</f>
        <v/>
      </c>
      <c r="T2211" s="27">
        <f>(R2211-S2211)*M2211</f>
        <v/>
      </c>
      <c r="U2211" s="27">
        <f>R2211-S2211-T2211</f>
        <v/>
      </c>
      <c r="V2211" s="27">
        <f>D2211*P2211</f>
        <v/>
      </c>
      <c r="W2211" s="27">
        <f>U2211-V2211</f>
        <v/>
      </c>
      <c r="X2211" s="28">
        <f>IFERROR(W2211/U2211,0)</f>
        <v/>
      </c>
    </row>
    <row r="2212">
      <c r="A2212" s="21">
        <f>ItensPedido!A2212</f>
        <v/>
      </c>
      <c r="B2212" s="21">
        <f>ItensPedido!B2212</f>
        <v/>
      </c>
      <c r="C2212" s="21">
        <f>ItensPedido!C2212</f>
        <v/>
      </c>
      <c r="D2212" s="21">
        <f>ItensPedido!D2212</f>
        <v/>
      </c>
      <c r="E2212" s="22">
        <f>ItensPedido!E2212</f>
        <v/>
      </c>
      <c r="F2212" s="21">
        <f>IFERROR(INDEX(Pedidos!$B$2:$B$1801,MATCH(B2212,Pedidos!$A$2:$A$1801,0)),0)</f>
        <v/>
      </c>
      <c r="G2212" s="21">
        <f>IF(F2212=0,"",YEAR(F2212))</f>
        <v/>
      </c>
      <c r="H2212" s="21">
        <f>IF(F2212=0,"",MONTH(F2212))</f>
        <v/>
      </c>
      <c r="I2212" s="21">
        <f>IFERROR(INDEX(Pedidos!$E$2:$E$1801,MATCH(B2212,Pedidos!$A$2:$A$1801,0)),"")</f>
        <v/>
      </c>
      <c r="J2212" s="21">
        <f>IFERROR(INDEX(Pedidos!$C$2:$C$1801,MATCH(B2212,Pedidos!$A$2:$A$1801,0)),"")</f>
        <v/>
      </c>
      <c r="K2212" s="21">
        <f>IFERROR(INDEX(Pedidos!$D$2:$D$1801,MATCH(B2212,Pedidos!$A$2:$A$1801,0)),"")</f>
        <v/>
      </c>
      <c r="L2212" s="21">
        <f>IFERROR(INDEX(Pedidos!$F$2:$F$1801,MATCH(B2212,Pedidos!$A$2:$A$1801,0)),"")</f>
        <v/>
      </c>
      <c r="M2212" s="22">
        <f>IFERROR(INDEX(Pedidos!$G$2:$G$1801,MATCH(B2212,Pedidos!$A$2:$A$1801,0)),0)</f>
        <v/>
      </c>
      <c r="N2212" s="21">
        <f>IFERROR(INDEX(Produtos!$B$2:$B$71,MATCH(C2212,Produtos!$A$2:$A$71,0)),"")</f>
        <v/>
      </c>
      <c r="O2212" s="21">
        <f>IFERROR(INDEX(Produtos!$C$2:$C$71,MATCH(C2212,Produtos!$A$2:$A$71,0)),"")</f>
        <v/>
      </c>
      <c r="P2212" s="21">
        <f>IFERROR(INDEX(Produtos!$D$2:$D$71,MATCH(C2212,Produtos!$A$2:$A$71,0)),0)</f>
        <v/>
      </c>
      <c r="Q2212" s="21">
        <f>IFERROR(INDEX(Produtos!$E$2:$E$71,MATCH(C2212,Produtos!$A$2:$A$71,0)),0)</f>
        <v/>
      </c>
      <c r="R2212" s="23">
        <f>D2212*Q2212</f>
        <v/>
      </c>
      <c r="S2212" s="23">
        <f>R2212*E2212</f>
        <v/>
      </c>
      <c r="T2212" s="23">
        <f>(R2212-S2212)*M2212</f>
        <v/>
      </c>
      <c r="U2212" s="23">
        <f>R2212-S2212-T2212</f>
        <v/>
      </c>
      <c r="V2212" s="23">
        <f>D2212*P2212</f>
        <v/>
      </c>
      <c r="W2212" s="23">
        <f>U2212-V2212</f>
        <v/>
      </c>
      <c r="X2212" s="24">
        <f>IFERROR(W2212/U2212,0)</f>
        <v/>
      </c>
    </row>
    <row r="2213">
      <c r="A2213" s="25">
        <f>ItensPedido!A2213</f>
        <v/>
      </c>
      <c r="B2213" s="25">
        <f>ItensPedido!B2213</f>
        <v/>
      </c>
      <c r="C2213" s="25">
        <f>ItensPedido!C2213</f>
        <v/>
      </c>
      <c r="D2213" s="25">
        <f>ItensPedido!D2213</f>
        <v/>
      </c>
      <c r="E2213" s="26">
        <f>ItensPedido!E2213</f>
        <v/>
      </c>
      <c r="F2213" s="25">
        <f>IFERROR(INDEX(Pedidos!$B$2:$B$1801,MATCH(B2213,Pedidos!$A$2:$A$1801,0)),0)</f>
        <v/>
      </c>
      <c r="G2213" s="25">
        <f>IF(F2213=0,"",YEAR(F2213))</f>
        <v/>
      </c>
      <c r="H2213" s="25">
        <f>IF(F2213=0,"",MONTH(F2213))</f>
        <v/>
      </c>
      <c r="I2213" s="25">
        <f>IFERROR(INDEX(Pedidos!$E$2:$E$1801,MATCH(B2213,Pedidos!$A$2:$A$1801,0)),"")</f>
        <v/>
      </c>
      <c r="J2213" s="25">
        <f>IFERROR(INDEX(Pedidos!$C$2:$C$1801,MATCH(B2213,Pedidos!$A$2:$A$1801,0)),"")</f>
        <v/>
      </c>
      <c r="K2213" s="25">
        <f>IFERROR(INDEX(Pedidos!$D$2:$D$1801,MATCH(B2213,Pedidos!$A$2:$A$1801,0)),"")</f>
        <v/>
      </c>
      <c r="L2213" s="25">
        <f>IFERROR(INDEX(Pedidos!$F$2:$F$1801,MATCH(B2213,Pedidos!$A$2:$A$1801,0)),"")</f>
        <v/>
      </c>
      <c r="M2213" s="26">
        <f>IFERROR(INDEX(Pedidos!$G$2:$G$1801,MATCH(B2213,Pedidos!$A$2:$A$1801,0)),0)</f>
        <v/>
      </c>
      <c r="N2213" s="25">
        <f>IFERROR(INDEX(Produtos!$B$2:$B$71,MATCH(C2213,Produtos!$A$2:$A$71,0)),"")</f>
        <v/>
      </c>
      <c r="O2213" s="25">
        <f>IFERROR(INDEX(Produtos!$C$2:$C$71,MATCH(C2213,Produtos!$A$2:$A$71,0)),"")</f>
        <v/>
      </c>
      <c r="P2213" s="25">
        <f>IFERROR(INDEX(Produtos!$D$2:$D$71,MATCH(C2213,Produtos!$A$2:$A$71,0)),0)</f>
        <v/>
      </c>
      <c r="Q2213" s="25">
        <f>IFERROR(INDEX(Produtos!$E$2:$E$71,MATCH(C2213,Produtos!$A$2:$A$71,0)),0)</f>
        <v/>
      </c>
      <c r="R2213" s="27">
        <f>D2213*Q2213</f>
        <v/>
      </c>
      <c r="S2213" s="27">
        <f>R2213*E2213</f>
        <v/>
      </c>
      <c r="T2213" s="27">
        <f>(R2213-S2213)*M2213</f>
        <v/>
      </c>
      <c r="U2213" s="27">
        <f>R2213-S2213-T2213</f>
        <v/>
      </c>
      <c r="V2213" s="27">
        <f>D2213*P2213</f>
        <v/>
      </c>
      <c r="W2213" s="27">
        <f>U2213-V2213</f>
        <v/>
      </c>
      <c r="X2213" s="28">
        <f>IFERROR(W2213/U2213,0)</f>
        <v/>
      </c>
    </row>
    <row r="2214">
      <c r="A2214" s="21">
        <f>ItensPedido!A2214</f>
        <v/>
      </c>
      <c r="B2214" s="21">
        <f>ItensPedido!B2214</f>
        <v/>
      </c>
      <c r="C2214" s="21">
        <f>ItensPedido!C2214</f>
        <v/>
      </c>
      <c r="D2214" s="21">
        <f>ItensPedido!D2214</f>
        <v/>
      </c>
      <c r="E2214" s="22">
        <f>ItensPedido!E2214</f>
        <v/>
      </c>
      <c r="F2214" s="21">
        <f>IFERROR(INDEX(Pedidos!$B$2:$B$1801,MATCH(B2214,Pedidos!$A$2:$A$1801,0)),0)</f>
        <v/>
      </c>
      <c r="G2214" s="21">
        <f>IF(F2214=0,"",YEAR(F2214))</f>
        <v/>
      </c>
      <c r="H2214" s="21">
        <f>IF(F2214=0,"",MONTH(F2214))</f>
        <v/>
      </c>
      <c r="I2214" s="21">
        <f>IFERROR(INDEX(Pedidos!$E$2:$E$1801,MATCH(B2214,Pedidos!$A$2:$A$1801,0)),"")</f>
        <v/>
      </c>
      <c r="J2214" s="21">
        <f>IFERROR(INDEX(Pedidos!$C$2:$C$1801,MATCH(B2214,Pedidos!$A$2:$A$1801,0)),"")</f>
        <v/>
      </c>
      <c r="K2214" s="21">
        <f>IFERROR(INDEX(Pedidos!$D$2:$D$1801,MATCH(B2214,Pedidos!$A$2:$A$1801,0)),"")</f>
        <v/>
      </c>
      <c r="L2214" s="21">
        <f>IFERROR(INDEX(Pedidos!$F$2:$F$1801,MATCH(B2214,Pedidos!$A$2:$A$1801,0)),"")</f>
        <v/>
      </c>
      <c r="M2214" s="22">
        <f>IFERROR(INDEX(Pedidos!$G$2:$G$1801,MATCH(B2214,Pedidos!$A$2:$A$1801,0)),0)</f>
        <v/>
      </c>
      <c r="N2214" s="21">
        <f>IFERROR(INDEX(Produtos!$B$2:$B$71,MATCH(C2214,Produtos!$A$2:$A$71,0)),"")</f>
        <v/>
      </c>
      <c r="O2214" s="21">
        <f>IFERROR(INDEX(Produtos!$C$2:$C$71,MATCH(C2214,Produtos!$A$2:$A$71,0)),"")</f>
        <v/>
      </c>
      <c r="P2214" s="21">
        <f>IFERROR(INDEX(Produtos!$D$2:$D$71,MATCH(C2214,Produtos!$A$2:$A$71,0)),0)</f>
        <v/>
      </c>
      <c r="Q2214" s="21">
        <f>IFERROR(INDEX(Produtos!$E$2:$E$71,MATCH(C2214,Produtos!$A$2:$A$71,0)),0)</f>
        <v/>
      </c>
      <c r="R2214" s="23">
        <f>D2214*Q2214</f>
        <v/>
      </c>
      <c r="S2214" s="23">
        <f>R2214*E2214</f>
        <v/>
      </c>
      <c r="T2214" s="23">
        <f>(R2214-S2214)*M2214</f>
        <v/>
      </c>
      <c r="U2214" s="23">
        <f>R2214-S2214-T2214</f>
        <v/>
      </c>
      <c r="V2214" s="23">
        <f>D2214*P2214</f>
        <v/>
      </c>
      <c r="W2214" s="23">
        <f>U2214-V2214</f>
        <v/>
      </c>
      <c r="X2214" s="24">
        <f>IFERROR(W2214/U2214,0)</f>
        <v/>
      </c>
    </row>
    <row r="2215">
      <c r="A2215" s="25">
        <f>ItensPedido!A2215</f>
        <v/>
      </c>
      <c r="B2215" s="25">
        <f>ItensPedido!B2215</f>
        <v/>
      </c>
      <c r="C2215" s="25">
        <f>ItensPedido!C2215</f>
        <v/>
      </c>
      <c r="D2215" s="25">
        <f>ItensPedido!D2215</f>
        <v/>
      </c>
      <c r="E2215" s="26">
        <f>ItensPedido!E2215</f>
        <v/>
      </c>
      <c r="F2215" s="25">
        <f>IFERROR(INDEX(Pedidos!$B$2:$B$1801,MATCH(B2215,Pedidos!$A$2:$A$1801,0)),0)</f>
        <v/>
      </c>
      <c r="G2215" s="25">
        <f>IF(F2215=0,"",YEAR(F2215))</f>
        <v/>
      </c>
      <c r="H2215" s="25">
        <f>IF(F2215=0,"",MONTH(F2215))</f>
        <v/>
      </c>
      <c r="I2215" s="25">
        <f>IFERROR(INDEX(Pedidos!$E$2:$E$1801,MATCH(B2215,Pedidos!$A$2:$A$1801,0)),"")</f>
        <v/>
      </c>
      <c r="J2215" s="25">
        <f>IFERROR(INDEX(Pedidos!$C$2:$C$1801,MATCH(B2215,Pedidos!$A$2:$A$1801,0)),"")</f>
        <v/>
      </c>
      <c r="K2215" s="25">
        <f>IFERROR(INDEX(Pedidos!$D$2:$D$1801,MATCH(B2215,Pedidos!$A$2:$A$1801,0)),"")</f>
        <v/>
      </c>
      <c r="L2215" s="25">
        <f>IFERROR(INDEX(Pedidos!$F$2:$F$1801,MATCH(B2215,Pedidos!$A$2:$A$1801,0)),"")</f>
        <v/>
      </c>
      <c r="M2215" s="26">
        <f>IFERROR(INDEX(Pedidos!$G$2:$G$1801,MATCH(B2215,Pedidos!$A$2:$A$1801,0)),0)</f>
        <v/>
      </c>
      <c r="N2215" s="25">
        <f>IFERROR(INDEX(Produtos!$B$2:$B$71,MATCH(C2215,Produtos!$A$2:$A$71,0)),"")</f>
        <v/>
      </c>
      <c r="O2215" s="25">
        <f>IFERROR(INDEX(Produtos!$C$2:$C$71,MATCH(C2215,Produtos!$A$2:$A$71,0)),"")</f>
        <v/>
      </c>
      <c r="P2215" s="25">
        <f>IFERROR(INDEX(Produtos!$D$2:$D$71,MATCH(C2215,Produtos!$A$2:$A$71,0)),0)</f>
        <v/>
      </c>
      <c r="Q2215" s="25">
        <f>IFERROR(INDEX(Produtos!$E$2:$E$71,MATCH(C2215,Produtos!$A$2:$A$71,0)),0)</f>
        <v/>
      </c>
      <c r="R2215" s="27">
        <f>D2215*Q2215</f>
        <v/>
      </c>
      <c r="S2215" s="27">
        <f>R2215*E2215</f>
        <v/>
      </c>
      <c r="T2215" s="27">
        <f>(R2215-S2215)*M2215</f>
        <v/>
      </c>
      <c r="U2215" s="27">
        <f>R2215-S2215-T2215</f>
        <v/>
      </c>
      <c r="V2215" s="27">
        <f>D2215*P2215</f>
        <v/>
      </c>
      <c r="W2215" s="27">
        <f>U2215-V2215</f>
        <v/>
      </c>
      <c r="X2215" s="28">
        <f>IFERROR(W2215/U2215,0)</f>
        <v/>
      </c>
    </row>
    <row r="2216">
      <c r="A2216" s="21">
        <f>ItensPedido!A2216</f>
        <v/>
      </c>
      <c r="B2216" s="21">
        <f>ItensPedido!B2216</f>
        <v/>
      </c>
      <c r="C2216" s="21">
        <f>ItensPedido!C2216</f>
        <v/>
      </c>
      <c r="D2216" s="21">
        <f>ItensPedido!D2216</f>
        <v/>
      </c>
      <c r="E2216" s="22">
        <f>ItensPedido!E2216</f>
        <v/>
      </c>
      <c r="F2216" s="21">
        <f>IFERROR(INDEX(Pedidos!$B$2:$B$1801,MATCH(B2216,Pedidos!$A$2:$A$1801,0)),0)</f>
        <v/>
      </c>
      <c r="G2216" s="21">
        <f>IF(F2216=0,"",YEAR(F2216))</f>
        <v/>
      </c>
      <c r="H2216" s="21">
        <f>IF(F2216=0,"",MONTH(F2216))</f>
        <v/>
      </c>
      <c r="I2216" s="21">
        <f>IFERROR(INDEX(Pedidos!$E$2:$E$1801,MATCH(B2216,Pedidos!$A$2:$A$1801,0)),"")</f>
        <v/>
      </c>
      <c r="J2216" s="21">
        <f>IFERROR(INDEX(Pedidos!$C$2:$C$1801,MATCH(B2216,Pedidos!$A$2:$A$1801,0)),"")</f>
        <v/>
      </c>
      <c r="K2216" s="21">
        <f>IFERROR(INDEX(Pedidos!$D$2:$D$1801,MATCH(B2216,Pedidos!$A$2:$A$1801,0)),"")</f>
        <v/>
      </c>
      <c r="L2216" s="21">
        <f>IFERROR(INDEX(Pedidos!$F$2:$F$1801,MATCH(B2216,Pedidos!$A$2:$A$1801,0)),"")</f>
        <v/>
      </c>
      <c r="M2216" s="22">
        <f>IFERROR(INDEX(Pedidos!$G$2:$G$1801,MATCH(B2216,Pedidos!$A$2:$A$1801,0)),0)</f>
        <v/>
      </c>
      <c r="N2216" s="21">
        <f>IFERROR(INDEX(Produtos!$B$2:$B$71,MATCH(C2216,Produtos!$A$2:$A$71,0)),"")</f>
        <v/>
      </c>
      <c r="O2216" s="21">
        <f>IFERROR(INDEX(Produtos!$C$2:$C$71,MATCH(C2216,Produtos!$A$2:$A$71,0)),"")</f>
        <v/>
      </c>
      <c r="P2216" s="21">
        <f>IFERROR(INDEX(Produtos!$D$2:$D$71,MATCH(C2216,Produtos!$A$2:$A$71,0)),0)</f>
        <v/>
      </c>
      <c r="Q2216" s="21">
        <f>IFERROR(INDEX(Produtos!$E$2:$E$71,MATCH(C2216,Produtos!$A$2:$A$71,0)),0)</f>
        <v/>
      </c>
      <c r="R2216" s="23">
        <f>D2216*Q2216</f>
        <v/>
      </c>
      <c r="S2216" s="23">
        <f>R2216*E2216</f>
        <v/>
      </c>
      <c r="T2216" s="23">
        <f>(R2216-S2216)*M2216</f>
        <v/>
      </c>
      <c r="U2216" s="23">
        <f>R2216-S2216-T2216</f>
        <v/>
      </c>
      <c r="V2216" s="23">
        <f>D2216*P2216</f>
        <v/>
      </c>
      <c r="W2216" s="23">
        <f>U2216-V2216</f>
        <v/>
      </c>
      <c r="X2216" s="24">
        <f>IFERROR(W2216/U2216,0)</f>
        <v/>
      </c>
    </row>
    <row r="2217">
      <c r="A2217" s="25">
        <f>ItensPedido!A2217</f>
        <v/>
      </c>
      <c r="B2217" s="25">
        <f>ItensPedido!B2217</f>
        <v/>
      </c>
      <c r="C2217" s="25">
        <f>ItensPedido!C2217</f>
        <v/>
      </c>
      <c r="D2217" s="25">
        <f>ItensPedido!D2217</f>
        <v/>
      </c>
      <c r="E2217" s="26">
        <f>ItensPedido!E2217</f>
        <v/>
      </c>
      <c r="F2217" s="25">
        <f>IFERROR(INDEX(Pedidos!$B$2:$B$1801,MATCH(B2217,Pedidos!$A$2:$A$1801,0)),0)</f>
        <v/>
      </c>
      <c r="G2217" s="25">
        <f>IF(F2217=0,"",YEAR(F2217))</f>
        <v/>
      </c>
      <c r="H2217" s="25">
        <f>IF(F2217=0,"",MONTH(F2217))</f>
        <v/>
      </c>
      <c r="I2217" s="25">
        <f>IFERROR(INDEX(Pedidos!$E$2:$E$1801,MATCH(B2217,Pedidos!$A$2:$A$1801,0)),"")</f>
        <v/>
      </c>
      <c r="J2217" s="25">
        <f>IFERROR(INDEX(Pedidos!$C$2:$C$1801,MATCH(B2217,Pedidos!$A$2:$A$1801,0)),"")</f>
        <v/>
      </c>
      <c r="K2217" s="25">
        <f>IFERROR(INDEX(Pedidos!$D$2:$D$1801,MATCH(B2217,Pedidos!$A$2:$A$1801,0)),"")</f>
        <v/>
      </c>
      <c r="L2217" s="25">
        <f>IFERROR(INDEX(Pedidos!$F$2:$F$1801,MATCH(B2217,Pedidos!$A$2:$A$1801,0)),"")</f>
        <v/>
      </c>
      <c r="M2217" s="26">
        <f>IFERROR(INDEX(Pedidos!$G$2:$G$1801,MATCH(B2217,Pedidos!$A$2:$A$1801,0)),0)</f>
        <v/>
      </c>
      <c r="N2217" s="25">
        <f>IFERROR(INDEX(Produtos!$B$2:$B$71,MATCH(C2217,Produtos!$A$2:$A$71,0)),"")</f>
        <v/>
      </c>
      <c r="O2217" s="25">
        <f>IFERROR(INDEX(Produtos!$C$2:$C$71,MATCH(C2217,Produtos!$A$2:$A$71,0)),"")</f>
        <v/>
      </c>
      <c r="P2217" s="25">
        <f>IFERROR(INDEX(Produtos!$D$2:$D$71,MATCH(C2217,Produtos!$A$2:$A$71,0)),0)</f>
        <v/>
      </c>
      <c r="Q2217" s="25">
        <f>IFERROR(INDEX(Produtos!$E$2:$E$71,MATCH(C2217,Produtos!$A$2:$A$71,0)),0)</f>
        <v/>
      </c>
      <c r="R2217" s="27">
        <f>D2217*Q2217</f>
        <v/>
      </c>
      <c r="S2217" s="27">
        <f>R2217*E2217</f>
        <v/>
      </c>
      <c r="T2217" s="27">
        <f>(R2217-S2217)*M2217</f>
        <v/>
      </c>
      <c r="U2217" s="27">
        <f>R2217-S2217-T2217</f>
        <v/>
      </c>
      <c r="V2217" s="27">
        <f>D2217*P2217</f>
        <v/>
      </c>
      <c r="W2217" s="27">
        <f>U2217-V2217</f>
        <v/>
      </c>
      <c r="X2217" s="28">
        <f>IFERROR(W2217/U2217,0)</f>
        <v/>
      </c>
    </row>
    <row r="2218">
      <c r="A2218" s="21">
        <f>ItensPedido!A2218</f>
        <v/>
      </c>
      <c r="B2218" s="21">
        <f>ItensPedido!B2218</f>
        <v/>
      </c>
      <c r="C2218" s="21">
        <f>ItensPedido!C2218</f>
        <v/>
      </c>
      <c r="D2218" s="21">
        <f>ItensPedido!D2218</f>
        <v/>
      </c>
      <c r="E2218" s="22">
        <f>ItensPedido!E2218</f>
        <v/>
      </c>
      <c r="F2218" s="21">
        <f>IFERROR(INDEX(Pedidos!$B$2:$B$1801,MATCH(B2218,Pedidos!$A$2:$A$1801,0)),0)</f>
        <v/>
      </c>
      <c r="G2218" s="21">
        <f>IF(F2218=0,"",YEAR(F2218))</f>
        <v/>
      </c>
      <c r="H2218" s="21">
        <f>IF(F2218=0,"",MONTH(F2218))</f>
        <v/>
      </c>
      <c r="I2218" s="21">
        <f>IFERROR(INDEX(Pedidos!$E$2:$E$1801,MATCH(B2218,Pedidos!$A$2:$A$1801,0)),"")</f>
        <v/>
      </c>
      <c r="J2218" s="21">
        <f>IFERROR(INDEX(Pedidos!$C$2:$C$1801,MATCH(B2218,Pedidos!$A$2:$A$1801,0)),"")</f>
        <v/>
      </c>
      <c r="K2218" s="21">
        <f>IFERROR(INDEX(Pedidos!$D$2:$D$1801,MATCH(B2218,Pedidos!$A$2:$A$1801,0)),"")</f>
        <v/>
      </c>
      <c r="L2218" s="21">
        <f>IFERROR(INDEX(Pedidos!$F$2:$F$1801,MATCH(B2218,Pedidos!$A$2:$A$1801,0)),"")</f>
        <v/>
      </c>
      <c r="M2218" s="22">
        <f>IFERROR(INDEX(Pedidos!$G$2:$G$1801,MATCH(B2218,Pedidos!$A$2:$A$1801,0)),0)</f>
        <v/>
      </c>
      <c r="N2218" s="21">
        <f>IFERROR(INDEX(Produtos!$B$2:$B$71,MATCH(C2218,Produtos!$A$2:$A$71,0)),"")</f>
        <v/>
      </c>
      <c r="O2218" s="21">
        <f>IFERROR(INDEX(Produtos!$C$2:$C$71,MATCH(C2218,Produtos!$A$2:$A$71,0)),"")</f>
        <v/>
      </c>
      <c r="P2218" s="21">
        <f>IFERROR(INDEX(Produtos!$D$2:$D$71,MATCH(C2218,Produtos!$A$2:$A$71,0)),0)</f>
        <v/>
      </c>
      <c r="Q2218" s="21">
        <f>IFERROR(INDEX(Produtos!$E$2:$E$71,MATCH(C2218,Produtos!$A$2:$A$71,0)),0)</f>
        <v/>
      </c>
      <c r="R2218" s="23">
        <f>D2218*Q2218</f>
        <v/>
      </c>
      <c r="S2218" s="23">
        <f>R2218*E2218</f>
        <v/>
      </c>
      <c r="T2218" s="23">
        <f>(R2218-S2218)*M2218</f>
        <v/>
      </c>
      <c r="U2218" s="23">
        <f>R2218-S2218-T2218</f>
        <v/>
      </c>
      <c r="V2218" s="23">
        <f>D2218*P2218</f>
        <v/>
      </c>
      <c r="W2218" s="23">
        <f>U2218-V2218</f>
        <v/>
      </c>
      <c r="X2218" s="24">
        <f>IFERROR(W2218/U2218,0)</f>
        <v/>
      </c>
    </row>
    <row r="2219">
      <c r="A2219" s="25">
        <f>ItensPedido!A2219</f>
        <v/>
      </c>
      <c r="B2219" s="25">
        <f>ItensPedido!B2219</f>
        <v/>
      </c>
      <c r="C2219" s="25">
        <f>ItensPedido!C2219</f>
        <v/>
      </c>
      <c r="D2219" s="25">
        <f>ItensPedido!D2219</f>
        <v/>
      </c>
      <c r="E2219" s="26">
        <f>ItensPedido!E2219</f>
        <v/>
      </c>
      <c r="F2219" s="25">
        <f>IFERROR(INDEX(Pedidos!$B$2:$B$1801,MATCH(B2219,Pedidos!$A$2:$A$1801,0)),0)</f>
        <v/>
      </c>
      <c r="G2219" s="25">
        <f>IF(F2219=0,"",YEAR(F2219))</f>
        <v/>
      </c>
      <c r="H2219" s="25">
        <f>IF(F2219=0,"",MONTH(F2219))</f>
        <v/>
      </c>
      <c r="I2219" s="25">
        <f>IFERROR(INDEX(Pedidos!$E$2:$E$1801,MATCH(B2219,Pedidos!$A$2:$A$1801,0)),"")</f>
        <v/>
      </c>
      <c r="J2219" s="25">
        <f>IFERROR(INDEX(Pedidos!$C$2:$C$1801,MATCH(B2219,Pedidos!$A$2:$A$1801,0)),"")</f>
        <v/>
      </c>
      <c r="K2219" s="25">
        <f>IFERROR(INDEX(Pedidos!$D$2:$D$1801,MATCH(B2219,Pedidos!$A$2:$A$1801,0)),"")</f>
        <v/>
      </c>
      <c r="L2219" s="25">
        <f>IFERROR(INDEX(Pedidos!$F$2:$F$1801,MATCH(B2219,Pedidos!$A$2:$A$1801,0)),"")</f>
        <v/>
      </c>
      <c r="M2219" s="26">
        <f>IFERROR(INDEX(Pedidos!$G$2:$G$1801,MATCH(B2219,Pedidos!$A$2:$A$1801,0)),0)</f>
        <v/>
      </c>
      <c r="N2219" s="25">
        <f>IFERROR(INDEX(Produtos!$B$2:$B$71,MATCH(C2219,Produtos!$A$2:$A$71,0)),"")</f>
        <v/>
      </c>
      <c r="O2219" s="25">
        <f>IFERROR(INDEX(Produtos!$C$2:$C$71,MATCH(C2219,Produtos!$A$2:$A$71,0)),"")</f>
        <v/>
      </c>
      <c r="P2219" s="25">
        <f>IFERROR(INDEX(Produtos!$D$2:$D$71,MATCH(C2219,Produtos!$A$2:$A$71,0)),0)</f>
        <v/>
      </c>
      <c r="Q2219" s="25">
        <f>IFERROR(INDEX(Produtos!$E$2:$E$71,MATCH(C2219,Produtos!$A$2:$A$71,0)),0)</f>
        <v/>
      </c>
      <c r="R2219" s="27">
        <f>D2219*Q2219</f>
        <v/>
      </c>
      <c r="S2219" s="27">
        <f>R2219*E2219</f>
        <v/>
      </c>
      <c r="T2219" s="27">
        <f>(R2219-S2219)*M2219</f>
        <v/>
      </c>
      <c r="U2219" s="27">
        <f>R2219-S2219-T2219</f>
        <v/>
      </c>
      <c r="V2219" s="27">
        <f>D2219*P2219</f>
        <v/>
      </c>
      <c r="W2219" s="27">
        <f>U2219-V2219</f>
        <v/>
      </c>
      <c r="X2219" s="28">
        <f>IFERROR(W2219/U2219,0)</f>
        <v/>
      </c>
    </row>
    <row r="2220">
      <c r="A2220" s="21">
        <f>ItensPedido!A2220</f>
        <v/>
      </c>
      <c r="B2220" s="21">
        <f>ItensPedido!B2220</f>
        <v/>
      </c>
      <c r="C2220" s="21">
        <f>ItensPedido!C2220</f>
        <v/>
      </c>
      <c r="D2220" s="21">
        <f>ItensPedido!D2220</f>
        <v/>
      </c>
      <c r="E2220" s="22">
        <f>ItensPedido!E2220</f>
        <v/>
      </c>
      <c r="F2220" s="21">
        <f>IFERROR(INDEX(Pedidos!$B$2:$B$1801,MATCH(B2220,Pedidos!$A$2:$A$1801,0)),0)</f>
        <v/>
      </c>
      <c r="G2220" s="21">
        <f>IF(F2220=0,"",YEAR(F2220))</f>
        <v/>
      </c>
      <c r="H2220" s="21">
        <f>IF(F2220=0,"",MONTH(F2220))</f>
        <v/>
      </c>
      <c r="I2220" s="21">
        <f>IFERROR(INDEX(Pedidos!$E$2:$E$1801,MATCH(B2220,Pedidos!$A$2:$A$1801,0)),"")</f>
        <v/>
      </c>
      <c r="J2220" s="21">
        <f>IFERROR(INDEX(Pedidos!$C$2:$C$1801,MATCH(B2220,Pedidos!$A$2:$A$1801,0)),"")</f>
        <v/>
      </c>
      <c r="K2220" s="21">
        <f>IFERROR(INDEX(Pedidos!$D$2:$D$1801,MATCH(B2220,Pedidos!$A$2:$A$1801,0)),"")</f>
        <v/>
      </c>
      <c r="L2220" s="21">
        <f>IFERROR(INDEX(Pedidos!$F$2:$F$1801,MATCH(B2220,Pedidos!$A$2:$A$1801,0)),"")</f>
        <v/>
      </c>
      <c r="M2220" s="22">
        <f>IFERROR(INDEX(Pedidos!$G$2:$G$1801,MATCH(B2220,Pedidos!$A$2:$A$1801,0)),0)</f>
        <v/>
      </c>
      <c r="N2220" s="21">
        <f>IFERROR(INDEX(Produtos!$B$2:$B$71,MATCH(C2220,Produtos!$A$2:$A$71,0)),"")</f>
        <v/>
      </c>
      <c r="O2220" s="21">
        <f>IFERROR(INDEX(Produtos!$C$2:$C$71,MATCH(C2220,Produtos!$A$2:$A$71,0)),"")</f>
        <v/>
      </c>
      <c r="P2220" s="21">
        <f>IFERROR(INDEX(Produtos!$D$2:$D$71,MATCH(C2220,Produtos!$A$2:$A$71,0)),0)</f>
        <v/>
      </c>
      <c r="Q2220" s="21">
        <f>IFERROR(INDEX(Produtos!$E$2:$E$71,MATCH(C2220,Produtos!$A$2:$A$71,0)),0)</f>
        <v/>
      </c>
      <c r="R2220" s="23">
        <f>D2220*Q2220</f>
        <v/>
      </c>
      <c r="S2220" s="23">
        <f>R2220*E2220</f>
        <v/>
      </c>
      <c r="T2220" s="23">
        <f>(R2220-S2220)*M2220</f>
        <v/>
      </c>
      <c r="U2220" s="23">
        <f>R2220-S2220-T2220</f>
        <v/>
      </c>
      <c r="V2220" s="23">
        <f>D2220*P2220</f>
        <v/>
      </c>
      <c r="W2220" s="23">
        <f>U2220-V2220</f>
        <v/>
      </c>
      <c r="X2220" s="24">
        <f>IFERROR(W2220/U2220,0)</f>
        <v/>
      </c>
    </row>
    <row r="2221">
      <c r="A2221" s="25">
        <f>ItensPedido!A2221</f>
        <v/>
      </c>
      <c r="B2221" s="25">
        <f>ItensPedido!B2221</f>
        <v/>
      </c>
      <c r="C2221" s="25">
        <f>ItensPedido!C2221</f>
        <v/>
      </c>
      <c r="D2221" s="25">
        <f>ItensPedido!D2221</f>
        <v/>
      </c>
      <c r="E2221" s="26">
        <f>ItensPedido!E2221</f>
        <v/>
      </c>
      <c r="F2221" s="25">
        <f>IFERROR(INDEX(Pedidos!$B$2:$B$1801,MATCH(B2221,Pedidos!$A$2:$A$1801,0)),0)</f>
        <v/>
      </c>
      <c r="G2221" s="25">
        <f>IF(F2221=0,"",YEAR(F2221))</f>
        <v/>
      </c>
      <c r="H2221" s="25">
        <f>IF(F2221=0,"",MONTH(F2221))</f>
        <v/>
      </c>
      <c r="I2221" s="25">
        <f>IFERROR(INDEX(Pedidos!$E$2:$E$1801,MATCH(B2221,Pedidos!$A$2:$A$1801,0)),"")</f>
        <v/>
      </c>
      <c r="J2221" s="25">
        <f>IFERROR(INDEX(Pedidos!$C$2:$C$1801,MATCH(B2221,Pedidos!$A$2:$A$1801,0)),"")</f>
        <v/>
      </c>
      <c r="K2221" s="25">
        <f>IFERROR(INDEX(Pedidos!$D$2:$D$1801,MATCH(B2221,Pedidos!$A$2:$A$1801,0)),"")</f>
        <v/>
      </c>
      <c r="L2221" s="25">
        <f>IFERROR(INDEX(Pedidos!$F$2:$F$1801,MATCH(B2221,Pedidos!$A$2:$A$1801,0)),"")</f>
        <v/>
      </c>
      <c r="M2221" s="26">
        <f>IFERROR(INDEX(Pedidos!$G$2:$G$1801,MATCH(B2221,Pedidos!$A$2:$A$1801,0)),0)</f>
        <v/>
      </c>
      <c r="N2221" s="25">
        <f>IFERROR(INDEX(Produtos!$B$2:$B$71,MATCH(C2221,Produtos!$A$2:$A$71,0)),"")</f>
        <v/>
      </c>
      <c r="O2221" s="25">
        <f>IFERROR(INDEX(Produtos!$C$2:$C$71,MATCH(C2221,Produtos!$A$2:$A$71,0)),"")</f>
        <v/>
      </c>
      <c r="P2221" s="25">
        <f>IFERROR(INDEX(Produtos!$D$2:$D$71,MATCH(C2221,Produtos!$A$2:$A$71,0)),0)</f>
        <v/>
      </c>
      <c r="Q2221" s="25">
        <f>IFERROR(INDEX(Produtos!$E$2:$E$71,MATCH(C2221,Produtos!$A$2:$A$71,0)),0)</f>
        <v/>
      </c>
      <c r="R2221" s="27">
        <f>D2221*Q2221</f>
        <v/>
      </c>
      <c r="S2221" s="27">
        <f>R2221*E2221</f>
        <v/>
      </c>
      <c r="T2221" s="27">
        <f>(R2221-S2221)*M2221</f>
        <v/>
      </c>
      <c r="U2221" s="27">
        <f>R2221-S2221-T2221</f>
        <v/>
      </c>
      <c r="V2221" s="27">
        <f>D2221*P2221</f>
        <v/>
      </c>
      <c r="W2221" s="27">
        <f>U2221-V2221</f>
        <v/>
      </c>
      <c r="X2221" s="28">
        <f>IFERROR(W2221/U2221,0)</f>
        <v/>
      </c>
    </row>
    <row r="2222">
      <c r="A2222" s="21">
        <f>ItensPedido!A2222</f>
        <v/>
      </c>
      <c r="B2222" s="21">
        <f>ItensPedido!B2222</f>
        <v/>
      </c>
      <c r="C2222" s="21">
        <f>ItensPedido!C2222</f>
        <v/>
      </c>
      <c r="D2222" s="21">
        <f>ItensPedido!D2222</f>
        <v/>
      </c>
      <c r="E2222" s="22">
        <f>ItensPedido!E2222</f>
        <v/>
      </c>
      <c r="F2222" s="21">
        <f>IFERROR(INDEX(Pedidos!$B$2:$B$1801,MATCH(B2222,Pedidos!$A$2:$A$1801,0)),0)</f>
        <v/>
      </c>
      <c r="G2222" s="21">
        <f>IF(F2222=0,"",YEAR(F2222))</f>
        <v/>
      </c>
      <c r="H2222" s="21">
        <f>IF(F2222=0,"",MONTH(F2222))</f>
        <v/>
      </c>
      <c r="I2222" s="21">
        <f>IFERROR(INDEX(Pedidos!$E$2:$E$1801,MATCH(B2222,Pedidos!$A$2:$A$1801,0)),"")</f>
        <v/>
      </c>
      <c r="J2222" s="21">
        <f>IFERROR(INDEX(Pedidos!$C$2:$C$1801,MATCH(B2222,Pedidos!$A$2:$A$1801,0)),"")</f>
        <v/>
      </c>
      <c r="K2222" s="21">
        <f>IFERROR(INDEX(Pedidos!$D$2:$D$1801,MATCH(B2222,Pedidos!$A$2:$A$1801,0)),"")</f>
        <v/>
      </c>
      <c r="L2222" s="21">
        <f>IFERROR(INDEX(Pedidos!$F$2:$F$1801,MATCH(B2222,Pedidos!$A$2:$A$1801,0)),"")</f>
        <v/>
      </c>
      <c r="M2222" s="22">
        <f>IFERROR(INDEX(Pedidos!$G$2:$G$1801,MATCH(B2222,Pedidos!$A$2:$A$1801,0)),0)</f>
        <v/>
      </c>
      <c r="N2222" s="21">
        <f>IFERROR(INDEX(Produtos!$B$2:$B$71,MATCH(C2222,Produtos!$A$2:$A$71,0)),"")</f>
        <v/>
      </c>
      <c r="O2222" s="21">
        <f>IFERROR(INDEX(Produtos!$C$2:$C$71,MATCH(C2222,Produtos!$A$2:$A$71,0)),"")</f>
        <v/>
      </c>
      <c r="P2222" s="21">
        <f>IFERROR(INDEX(Produtos!$D$2:$D$71,MATCH(C2222,Produtos!$A$2:$A$71,0)),0)</f>
        <v/>
      </c>
      <c r="Q2222" s="21">
        <f>IFERROR(INDEX(Produtos!$E$2:$E$71,MATCH(C2222,Produtos!$A$2:$A$71,0)),0)</f>
        <v/>
      </c>
      <c r="R2222" s="23">
        <f>D2222*Q2222</f>
        <v/>
      </c>
      <c r="S2222" s="23">
        <f>R2222*E2222</f>
        <v/>
      </c>
      <c r="T2222" s="23">
        <f>(R2222-S2222)*M2222</f>
        <v/>
      </c>
      <c r="U2222" s="23">
        <f>R2222-S2222-T2222</f>
        <v/>
      </c>
      <c r="V2222" s="23">
        <f>D2222*P2222</f>
        <v/>
      </c>
      <c r="W2222" s="23">
        <f>U2222-V2222</f>
        <v/>
      </c>
      <c r="X2222" s="24">
        <f>IFERROR(W2222/U2222,0)</f>
        <v/>
      </c>
    </row>
    <row r="2223">
      <c r="A2223" s="25">
        <f>ItensPedido!A2223</f>
        <v/>
      </c>
      <c r="B2223" s="25">
        <f>ItensPedido!B2223</f>
        <v/>
      </c>
      <c r="C2223" s="25">
        <f>ItensPedido!C2223</f>
        <v/>
      </c>
      <c r="D2223" s="25">
        <f>ItensPedido!D2223</f>
        <v/>
      </c>
      <c r="E2223" s="26">
        <f>ItensPedido!E2223</f>
        <v/>
      </c>
      <c r="F2223" s="25">
        <f>IFERROR(INDEX(Pedidos!$B$2:$B$1801,MATCH(B2223,Pedidos!$A$2:$A$1801,0)),0)</f>
        <v/>
      </c>
      <c r="G2223" s="25">
        <f>IF(F2223=0,"",YEAR(F2223))</f>
        <v/>
      </c>
      <c r="H2223" s="25">
        <f>IF(F2223=0,"",MONTH(F2223))</f>
        <v/>
      </c>
      <c r="I2223" s="25">
        <f>IFERROR(INDEX(Pedidos!$E$2:$E$1801,MATCH(B2223,Pedidos!$A$2:$A$1801,0)),"")</f>
        <v/>
      </c>
      <c r="J2223" s="25">
        <f>IFERROR(INDEX(Pedidos!$C$2:$C$1801,MATCH(B2223,Pedidos!$A$2:$A$1801,0)),"")</f>
        <v/>
      </c>
      <c r="K2223" s="25">
        <f>IFERROR(INDEX(Pedidos!$D$2:$D$1801,MATCH(B2223,Pedidos!$A$2:$A$1801,0)),"")</f>
        <v/>
      </c>
      <c r="L2223" s="25">
        <f>IFERROR(INDEX(Pedidos!$F$2:$F$1801,MATCH(B2223,Pedidos!$A$2:$A$1801,0)),"")</f>
        <v/>
      </c>
      <c r="M2223" s="26">
        <f>IFERROR(INDEX(Pedidos!$G$2:$G$1801,MATCH(B2223,Pedidos!$A$2:$A$1801,0)),0)</f>
        <v/>
      </c>
      <c r="N2223" s="25">
        <f>IFERROR(INDEX(Produtos!$B$2:$B$71,MATCH(C2223,Produtos!$A$2:$A$71,0)),"")</f>
        <v/>
      </c>
      <c r="O2223" s="25">
        <f>IFERROR(INDEX(Produtos!$C$2:$C$71,MATCH(C2223,Produtos!$A$2:$A$71,0)),"")</f>
        <v/>
      </c>
      <c r="P2223" s="25">
        <f>IFERROR(INDEX(Produtos!$D$2:$D$71,MATCH(C2223,Produtos!$A$2:$A$71,0)),0)</f>
        <v/>
      </c>
      <c r="Q2223" s="25">
        <f>IFERROR(INDEX(Produtos!$E$2:$E$71,MATCH(C2223,Produtos!$A$2:$A$71,0)),0)</f>
        <v/>
      </c>
      <c r="R2223" s="27">
        <f>D2223*Q2223</f>
        <v/>
      </c>
      <c r="S2223" s="27">
        <f>R2223*E2223</f>
        <v/>
      </c>
      <c r="T2223" s="27">
        <f>(R2223-S2223)*M2223</f>
        <v/>
      </c>
      <c r="U2223" s="27">
        <f>R2223-S2223-T2223</f>
        <v/>
      </c>
      <c r="V2223" s="27">
        <f>D2223*P2223</f>
        <v/>
      </c>
      <c r="W2223" s="27">
        <f>U2223-V2223</f>
        <v/>
      </c>
      <c r="X2223" s="28">
        <f>IFERROR(W2223/U2223,0)</f>
        <v/>
      </c>
    </row>
    <row r="2224">
      <c r="A2224" s="21">
        <f>ItensPedido!A2224</f>
        <v/>
      </c>
      <c r="B2224" s="21">
        <f>ItensPedido!B2224</f>
        <v/>
      </c>
      <c r="C2224" s="21">
        <f>ItensPedido!C2224</f>
        <v/>
      </c>
      <c r="D2224" s="21">
        <f>ItensPedido!D2224</f>
        <v/>
      </c>
      <c r="E2224" s="22">
        <f>ItensPedido!E2224</f>
        <v/>
      </c>
      <c r="F2224" s="21">
        <f>IFERROR(INDEX(Pedidos!$B$2:$B$1801,MATCH(B2224,Pedidos!$A$2:$A$1801,0)),0)</f>
        <v/>
      </c>
      <c r="G2224" s="21">
        <f>IF(F2224=0,"",YEAR(F2224))</f>
        <v/>
      </c>
      <c r="H2224" s="21">
        <f>IF(F2224=0,"",MONTH(F2224))</f>
        <v/>
      </c>
      <c r="I2224" s="21">
        <f>IFERROR(INDEX(Pedidos!$E$2:$E$1801,MATCH(B2224,Pedidos!$A$2:$A$1801,0)),"")</f>
        <v/>
      </c>
      <c r="J2224" s="21">
        <f>IFERROR(INDEX(Pedidos!$C$2:$C$1801,MATCH(B2224,Pedidos!$A$2:$A$1801,0)),"")</f>
        <v/>
      </c>
      <c r="K2224" s="21">
        <f>IFERROR(INDEX(Pedidos!$D$2:$D$1801,MATCH(B2224,Pedidos!$A$2:$A$1801,0)),"")</f>
        <v/>
      </c>
      <c r="L2224" s="21">
        <f>IFERROR(INDEX(Pedidos!$F$2:$F$1801,MATCH(B2224,Pedidos!$A$2:$A$1801,0)),"")</f>
        <v/>
      </c>
      <c r="M2224" s="22">
        <f>IFERROR(INDEX(Pedidos!$G$2:$G$1801,MATCH(B2224,Pedidos!$A$2:$A$1801,0)),0)</f>
        <v/>
      </c>
      <c r="N2224" s="21">
        <f>IFERROR(INDEX(Produtos!$B$2:$B$71,MATCH(C2224,Produtos!$A$2:$A$71,0)),"")</f>
        <v/>
      </c>
      <c r="O2224" s="21">
        <f>IFERROR(INDEX(Produtos!$C$2:$C$71,MATCH(C2224,Produtos!$A$2:$A$71,0)),"")</f>
        <v/>
      </c>
      <c r="P2224" s="21">
        <f>IFERROR(INDEX(Produtos!$D$2:$D$71,MATCH(C2224,Produtos!$A$2:$A$71,0)),0)</f>
        <v/>
      </c>
      <c r="Q2224" s="21">
        <f>IFERROR(INDEX(Produtos!$E$2:$E$71,MATCH(C2224,Produtos!$A$2:$A$71,0)),0)</f>
        <v/>
      </c>
      <c r="R2224" s="23">
        <f>D2224*Q2224</f>
        <v/>
      </c>
      <c r="S2224" s="23">
        <f>R2224*E2224</f>
        <v/>
      </c>
      <c r="T2224" s="23">
        <f>(R2224-S2224)*M2224</f>
        <v/>
      </c>
      <c r="U2224" s="23">
        <f>R2224-S2224-T2224</f>
        <v/>
      </c>
      <c r="V2224" s="23">
        <f>D2224*P2224</f>
        <v/>
      </c>
      <c r="W2224" s="23">
        <f>U2224-V2224</f>
        <v/>
      </c>
      <c r="X2224" s="24">
        <f>IFERROR(W2224/U2224,0)</f>
        <v/>
      </c>
    </row>
    <row r="2225">
      <c r="A2225" s="25">
        <f>ItensPedido!A2225</f>
        <v/>
      </c>
      <c r="B2225" s="25">
        <f>ItensPedido!B2225</f>
        <v/>
      </c>
      <c r="C2225" s="25">
        <f>ItensPedido!C2225</f>
        <v/>
      </c>
      <c r="D2225" s="25">
        <f>ItensPedido!D2225</f>
        <v/>
      </c>
      <c r="E2225" s="26">
        <f>ItensPedido!E2225</f>
        <v/>
      </c>
      <c r="F2225" s="25">
        <f>IFERROR(INDEX(Pedidos!$B$2:$B$1801,MATCH(B2225,Pedidos!$A$2:$A$1801,0)),0)</f>
        <v/>
      </c>
      <c r="G2225" s="25">
        <f>IF(F2225=0,"",YEAR(F2225))</f>
        <v/>
      </c>
      <c r="H2225" s="25">
        <f>IF(F2225=0,"",MONTH(F2225))</f>
        <v/>
      </c>
      <c r="I2225" s="25">
        <f>IFERROR(INDEX(Pedidos!$E$2:$E$1801,MATCH(B2225,Pedidos!$A$2:$A$1801,0)),"")</f>
        <v/>
      </c>
      <c r="J2225" s="25">
        <f>IFERROR(INDEX(Pedidos!$C$2:$C$1801,MATCH(B2225,Pedidos!$A$2:$A$1801,0)),"")</f>
        <v/>
      </c>
      <c r="K2225" s="25">
        <f>IFERROR(INDEX(Pedidos!$D$2:$D$1801,MATCH(B2225,Pedidos!$A$2:$A$1801,0)),"")</f>
        <v/>
      </c>
      <c r="L2225" s="25">
        <f>IFERROR(INDEX(Pedidos!$F$2:$F$1801,MATCH(B2225,Pedidos!$A$2:$A$1801,0)),"")</f>
        <v/>
      </c>
      <c r="M2225" s="26">
        <f>IFERROR(INDEX(Pedidos!$G$2:$G$1801,MATCH(B2225,Pedidos!$A$2:$A$1801,0)),0)</f>
        <v/>
      </c>
      <c r="N2225" s="25">
        <f>IFERROR(INDEX(Produtos!$B$2:$B$71,MATCH(C2225,Produtos!$A$2:$A$71,0)),"")</f>
        <v/>
      </c>
      <c r="O2225" s="25">
        <f>IFERROR(INDEX(Produtos!$C$2:$C$71,MATCH(C2225,Produtos!$A$2:$A$71,0)),"")</f>
        <v/>
      </c>
      <c r="P2225" s="25">
        <f>IFERROR(INDEX(Produtos!$D$2:$D$71,MATCH(C2225,Produtos!$A$2:$A$71,0)),0)</f>
        <v/>
      </c>
      <c r="Q2225" s="25">
        <f>IFERROR(INDEX(Produtos!$E$2:$E$71,MATCH(C2225,Produtos!$A$2:$A$71,0)),0)</f>
        <v/>
      </c>
      <c r="R2225" s="27">
        <f>D2225*Q2225</f>
        <v/>
      </c>
      <c r="S2225" s="27">
        <f>R2225*E2225</f>
        <v/>
      </c>
      <c r="T2225" s="27">
        <f>(R2225-S2225)*M2225</f>
        <v/>
      </c>
      <c r="U2225" s="27">
        <f>R2225-S2225-T2225</f>
        <v/>
      </c>
      <c r="V2225" s="27">
        <f>D2225*P2225</f>
        <v/>
      </c>
      <c r="W2225" s="27">
        <f>U2225-V2225</f>
        <v/>
      </c>
      <c r="X2225" s="28">
        <f>IFERROR(W2225/U2225,0)</f>
        <v/>
      </c>
    </row>
    <row r="2226">
      <c r="A2226" s="21">
        <f>ItensPedido!A2226</f>
        <v/>
      </c>
      <c r="B2226" s="21">
        <f>ItensPedido!B2226</f>
        <v/>
      </c>
      <c r="C2226" s="21">
        <f>ItensPedido!C2226</f>
        <v/>
      </c>
      <c r="D2226" s="21">
        <f>ItensPedido!D2226</f>
        <v/>
      </c>
      <c r="E2226" s="22">
        <f>ItensPedido!E2226</f>
        <v/>
      </c>
      <c r="F2226" s="21">
        <f>IFERROR(INDEX(Pedidos!$B$2:$B$1801,MATCH(B2226,Pedidos!$A$2:$A$1801,0)),0)</f>
        <v/>
      </c>
      <c r="G2226" s="21">
        <f>IF(F2226=0,"",YEAR(F2226))</f>
        <v/>
      </c>
      <c r="H2226" s="21">
        <f>IF(F2226=0,"",MONTH(F2226))</f>
        <v/>
      </c>
      <c r="I2226" s="21">
        <f>IFERROR(INDEX(Pedidos!$E$2:$E$1801,MATCH(B2226,Pedidos!$A$2:$A$1801,0)),"")</f>
        <v/>
      </c>
      <c r="J2226" s="21">
        <f>IFERROR(INDEX(Pedidos!$C$2:$C$1801,MATCH(B2226,Pedidos!$A$2:$A$1801,0)),"")</f>
        <v/>
      </c>
      <c r="K2226" s="21">
        <f>IFERROR(INDEX(Pedidos!$D$2:$D$1801,MATCH(B2226,Pedidos!$A$2:$A$1801,0)),"")</f>
        <v/>
      </c>
      <c r="L2226" s="21">
        <f>IFERROR(INDEX(Pedidos!$F$2:$F$1801,MATCH(B2226,Pedidos!$A$2:$A$1801,0)),"")</f>
        <v/>
      </c>
      <c r="M2226" s="22">
        <f>IFERROR(INDEX(Pedidos!$G$2:$G$1801,MATCH(B2226,Pedidos!$A$2:$A$1801,0)),0)</f>
        <v/>
      </c>
      <c r="N2226" s="21">
        <f>IFERROR(INDEX(Produtos!$B$2:$B$71,MATCH(C2226,Produtos!$A$2:$A$71,0)),"")</f>
        <v/>
      </c>
      <c r="O2226" s="21">
        <f>IFERROR(INDEX(Produtos!$C$2:$C$71,MATCH(C2226,Produtos!$A$2:$A$71,0)),"")</f>
        <v/>
      </c>
      <c r="P2226" s="21">
        <f>IFERROR(INDEX(Produtos!$D$2:$D$71,MATCH(C2226,Produtos!$A$2:$A$71,0)),0)</f>
        <v/>
      </c>
      <c r="Q2226" s="21">
        <f>IFERROR(INDEX(Produtos!$E$2:$E$71,MATCH(C2226,Produtos!$A$2:$A$71,0)),0)</f>
        <v/>
      </c>
      <c r="R2226" s="23">
        <f>D2226*Q2226</f>
        <v/>
      </c>
      <c r="S2226" s="23">
        <f>R2226*E2226</f>
        <v/>
      </c>
      <c r="T2226" s="23">
        <f>(R2226-S2226)*M2226</f>
        <v/>
      </c>
      <c r="U2226" s="23">
        <f>R2226-S2226-T2226</f>
        <v/>
      </c>
      <c r="V2226" s="23">
        <f>D2226*P2226</f>
        <v/>
      </c>
      <c r="W2226" s="23">
        <f>U2226-V2226</f>
        <v/>
      </c>
      <c r="X2226" s="24">
        <f>IFERROR(W2226/U2226,0)</f>
        <v/>
      </c>
    </row>
    <row r="2227">
      <c r="A2227" s="25">
        <f>ItensPedido!A2227</f>
        <v/>
      </c>
      <c r="B2227" s="25">
        <f>ItensPedido!B2227</f>
        <v/>
      </c>
      <c r="C2227" s="25">
        <f>ItensPedido!C2227</f>
        <v/>
      </c>
      <c r="D2227" s="25">
        <f>ItensPedido!D2227</f>
        <v/>
      </c>
      <c r="E2227" s="26">
        <f>ItensPedido!E2227</f>
        <v/>
      </c>
      <c r="F2227" s="25">
        <f>IFERROR(INDEX(Pedidos!$B$2:$B$1801,MATCH(B2227,Pedidos!$A$2:$A$1801,0)),0)</f>
        <v/>
      </c>
      <c r="G2227" s="25">
        <f>IF(F2227=0,"",YEAR(F2227))</f>
        <v/>
      </c>
      <c r="H2227" s="25">
        <f>IF(F2227=0,"",MONTH(F2227))</f>
        <v/>
      </c>
      <c r="I2227" s="25">
        <f>IFERROR(INDEX(Pedidos!$E$2:$E$1801,MATCH(B2227,Pedidos!$A$2:$A$1801,0)),"")</f>
        <v/>
      </c>
      <c r="J2227" s="25">
        <f>IFERROR(INDEX(Pedidos!$C$2:$C$1801,MATCH(B2227,Pedidos!$A$2:$A$1801,0)),"")</f>
        <v/>
      </c>
      <c r="K2227" s="25">
        <f>IFERROR(INDEX(Pedidos!$D$2:$D$1801,MATCH(B2227,Pedidos!$A$2:$A$1801,0)),"")</f>
        <v/>
      </c>
      <c r="L2227" s="25">
        <f>IFERROR(INDEX(Pedidos!$F$2:$F$1801,MATCH(B2227,Pedidos!$A$2:$A$1801,0)),"")</f>
        <v/>
      </c>
      <c r="M2227" s="26">
        <f>IFERROR(INDEX(Pedidos!$G$2:$G$1801,MATCH(B2227,Pedidos!$A$2:$A$1801,0)),0)</f>
        <v/>
      </c>
      <c r="N2227" s="25">
        <f>IFERROR(INDEX(Produtos!$B$2:$B$71,MATCH(C2227,Produtos!$A$2:$A$71,0)),"")</f>
        <v/>
      </c>
      <c r="O2227" s="25">
        <f>IFERROR(INDEX(Produtos!$C$2:$C$71,MATCH(C2227,Produtos!$A$2:$A$71,0)),"")</f>
        <v/>
      </c>
      <c r="P2227" s="25">
        <f>IFERROR(INDEX(Produtos!$D$2:$D$71,MATCH(C2227,Produtos!$A$2:$A$71,0)),0)</f>
        <v/>
      </c>
      <c r="Q2227" s="25">
        <f>IFERROR(INDEX(Produtos!$E$2:$E$71,MATCH(C2227,Produtos!$A$2:$A$71,0)),0)</f>
        <v/>
      </c>
      <c r="R2227" s="27">
        <f>D2227*Q2227</f>
        <v/>
      </c>
      <c r="S2227" s="27">
        <f>R2227*E2227</f>
        <v/>
      </c>
      <c r="T2227" s="27">
        <f>(R2227-S2227)*M2227</f>
        <v/>
      </c>
      <c r="U2227" s="27">
        <f>R2227-S2227-T2227</f>
        <v/>
      </c>
      <c r="V2227" s="27">
        <f>D2227*P2227</f>
        <v/>
      </c>
      <c r="W2227" s="27">
        <f>U2227-V2227</f>
        <v/>
      </c>
      <c r="X2227" s="28">
        <f>IFERROR(W2227/U2227,0)</f>
        <v/>
      </c>
    </row>
    <row r="2228">
      <c r="A2228" s="21">
        <f>ItensPedido!A2228</f>
        <v/>
      </c>
      <c r="B2228" s="21">
        <f>ItensPedido!B2228</f>
        <v/>
      </c>
      <c r="C2228" s="21">
        <f>ItensPedido!C2228</f>
        <v/>
      </c>
      <c r="D2228" s="21">
        <f>ItensPedido!D2228</f>
        <v/>
      </c>
      <c r="E2228" s="22">
        <f>ItensPedido!E2228</f>
        <v/>
      </c>
      <c r="F2228" s="21">
        <f>IFERROR(INDEX(Pedidos!$B$2:$B$1801,MATCH(B2228,Pedidos!$A$2:$A$1801,0)),0)</f>
        <v/>
      </c>
      <c r="G2228" s="21">
        <f>IF(F2228=0,"",YEAR(F2228))</f>
        <v/>
      </c>
      <c r="H2228" s="21">
        <f>IF(F2228=0,"",MONTH(F2228))</f>
        <v/>
      </c>
      <c r="I2228" s="21">
        <f>IFERROR(INDEX(Pedidos!$E$2:$E$1801,MATCH(B2228,Pedidos!$A$2:$A$1801,0)),"")</f>
        <v/>
      </c>
      <c r="J2228" s="21">
        <f>IFERROR(INDEX(Pedidos!$C$2:$C$1801,MATCH(B2228,Pedidos!$A$2:$A$1801,0)),"")</f>
        <v/>
      </c>
      <c r="K2228" s="21">
        <f>IFERROR(INDEX(Pedidos!$D$2:$D$1801,MATCH(B2228,Pedidos!$A$2:$A$1801,0)),"")</f>
        <v/>
      </c>
      <c r="L2228" s="21">
        <f>IFERROR(INDEX(Pedidos!$F$2:$F$1801,MATCH(B2228,Pedidos!$A$2:$A$1801,0)),"")</f>
        <v/>
      </c>
      <c r="M2228" s="22">
        <f>IFERROR(INDEX(Pedidos!$G$2:$G$1801,MATCH(B2228,Pedidos!$A$2:$A$1801,0)),0)</f>
        <v/>
      </c>
      <c r="N2228" s="21">
        <f>IFERROR(INDEX(Produtos!$B$2:$B$71,MATCH(C2228,Produtos!$A$2:$A$71,0)),"")</f>
        <v/>
      </c>
      <c r="O2228" s="21">
        <f>IFERROR(INDEX(Produtos!$C$2:$C$71,MATCH(C2228,Produtos!$A$2:$A$71,0)),"")</f>
        <v/>
      </c>
      <c r="P2228" s="21">
        <f>IFERROR(INDEX(Produtos!$D$2:$D$71,MATCH(C2228,Produtos!$A$2:$A$71,0)),0)</f>
        <v/>
      </c>
      <c r="Q2228" s="21">
        <f>IFERROR(INDEX(Produtos!$E$2:$E$71,MATCH(C2228,Produtos!$A$2:$A$71,0)),0)</f>
        <v/>
      </c>
      <c r="R2228" s="23">
        <f>D2228*Q2228</f>
        <v/>
      </c>
      <c r="S2228" s="23">
        <f>R2228*E2228</f>
        <v/>
      </c>
      <c r="T2228" s="23">
        <f>(R2228-S2228)*M2228</f>
        <v/>
      </c>
      <c r="U2228" s="23">
        <f>R2228-S2228-T2228</f>
        <v/>
      </c>
      <c r="V2228" s="23">
        <f>D2228*P2228</f>
        <v/>
      </c>
      <c r="W2228" s="23">
        <f>U2228-V2228</f>
        <v/>
      </c>
      <c r="X2228" s="24">
        <f>IFERROR(W2228/U2228,0)</f>
        <v/>
      </c>
    </row>
    <row r="2229">
      <c r="A2229" s="25">
        <f>ItensPedido!A2229</f>
        <v/>
      </c>
      <c r="B2229" s="25">
        <f>ItensPedido!B2229</f>
        <v/>
      </c>
      <c r="C2229" s="25">
        <f>ItensPedido!C2229</f>
        <v/>
      </c>
      <c r="D2229" s="25">
        <f>ItensPedido!D2229</f>
        <v/>
      </c>
      <c r="E2229" s="26">
        <f>ItensPedido!E2229</f>
        <v/>
      </c>
      <c r="F2229" s="25">
        <f>IFERROR(INDEX(Pedidos!$B$2:$B$1801,MATCH(B2229,Pedidos!$A$2:$A$1801,0)),0)</f>
        <v/>
      </c>
      <c r="G2229" s="25">
        <f>IF(F2229=0,"",YEAR(F2229))</f>
        <v/>
      </c>
      <c r="H2229" s="25">
        <f>IF(F2229=0,"",MONTH(F2229))</f>
        <v/>
      </c>
      <c r="I2229" s="25">
        <f>IFERROR(INDEX(Pedidos!$E$2:$E$1801,MATCH(B2229,Pedidos!$A$2:$A$1801,0)),"")</f>
        <v/>
      </c>
      <c r="J2229" s="25">
        <f>IFERROR(INDEX(Pedidos!$C$2:$C$1801,MATCH(B2229,Pedidos!$A$2:$A$1801,0)),"")</f>
        <v/>
      </c>
      <c r="K2229" s="25">
        <f>IFERROR(INDEX(Pedidos!$D$2:$D$1801,MATCH(B2229,Pedidos!$A$2:$A$1801,0)),"")</f>
        <v/>
      </c>
      <c r="L2229" s="25">
        <f>IFERROR(INDEX(Pedidos!$F$2:$F$1801,MATCH(B2229,Pedidos!$A$2:$A$1801,0)),"")</f>
        <v/>
      </c>
      <c r="M2229" s="26">
        <f>IFERROR(INDEX(Pedidos!$G$2:$G$1801,MATCH(B2229,Pedidos!$A$2:$A$1801,0)),0)</f>
        <v/>
      </c>
      <c r="N2229" s="25">
        <f>IFERROR(INDEX(Produtos!$B$2:$B$71,MATCH(C2229,Produtos!$A$2:$A$71,0)),"")</f>
        <v/>
      </c>
      <c r="O2229" s="25">
        <f>IFERROR(INDEX(Produtos!$C$2:$C$71,MATCH(C2229,Produtos!$A$2:$A$71,0)),"")</f>
        <v/>
      </c>
      <c r="P2229" s="25">
        <f>IFERROR(INDEX(Produtos!$D$2:$D$71,MATCH(C2229,Produtos!$A$2:$A$71,0)),0)</f>
        <v/>
      </c>
      <c r="Q2229" s="25">
        <f>IFERROR(INDEX(Produtos!$E$2:$E$71,MATCH(C2229,Produtos!$A$2:$A$71,0)),0)</f>
        <v/>
      </c>
      <c r="R2229" s="27">
        <f>D2229*Q2229</f>
        <v/>
      </c>
      <c r="S2229" s="27">
        <f>R2229*E2229</f>
        <v/>
      </c>
      <c r="T2229" s="27">
        <f>(R2229-S2229)*M2229</f>
        <v/>
      </c>
      <c r="U2229" s="27">
        <f>R2229-S2229-T2229</f>
        <v/>
      </c>
      <c r="V2229" s="27">
        <f>D2229*P2229</f>
        <v/>
      </c>
      <c r="W2229" s="27">
        <f>U2229-V2229</f>
        <v/>
      </c>
      <c r="X2229" s="28">
        <f>IFERROR(W2229/U2229,0)</f>
        <v/>
      </c>
    </row>
    <row r="2230">
      <c r="A2230" s="21">
        <f>ItensPedido!A2230</f>
        <v/>
      </c>
      <c r="B2230" s="21">
        <f>ItensPedido!B2230</f>
        <v/>
      </c>
      <c r="C2230" s="21">
        <f>ItensPedido!C2230</f>
        <v/>
      </c>
      <c r="D2230" s="21">
        <f>ItensPedido!D2230</f>
        <v/>
      </c>
      <c r="E2230" s="22">
        <f>ItensPedido!E2230</f>
        <v/>
      </c>
      <c r="F2230" s="21">
        <f>IFERROR(INDEX(Pedidos!$B$2:$B$1801,MATCH(B2230,Pedidos!$A$2:$A$1801,0)),0)</f>
        <v/>
      </c>
      <c r="G2230" s="21">
        <f>IF(F2230=0,"",YEAR(F2230))</f>
        <v/>
      </c>
      <c r="H2230" s="21">
        <f>IF(F2230=0,"",MONTH(F2230))</f>
        <v/>
      </c>
      <c r="I2230" s="21">
        <f>IFERROR(INDEX(Pedidos!$E$2:$E$1801,MATCH(B2230,Pedidos!$A$2:$A$1801,0)),"")</f>
        <v/>
      </c>
      <c r="J2230" s="21">
        <f>IFERROR(INDEX(Pedidos!$C$2:$C$1801,MATCH(B2230,Pedidos!$A$2:$A$1801,0)),"")</f>
        <v/>
      </c>
      <c r="K2230" s="21">
        <f>IFERROR(INDEX(Pedidos!$D$2:$D$1801,MATCH(B2230,Pedidos!$A$2:$A$1801,0)),"")</f>
        <v/>
      </c>
      <c r="L2230" s="21">
        <f>IFERROR(INDEX(Pedidos!$F$2:$F$1801,MATCH(B2230,Pedidos!$A$2:$A$1801,0)),"")</f>
        <v/>
      </c>
      <c r="M2230" s="22">
        <f>IFERROR(INDEX(Pedidos!$G$2:$G$1801,MATCH(B2230,Pedidos!$A$2:$A$1801,0)),0)</f>
        <v/>
      </c>
      <c r="N2230" s="21">
        <f>IFERROR(INDEX(Produtos!$B$2:$B$71,MATCH(C2230,Produtos!$A$2:$A$71,0)),"")</f>
        <v/>
      </c>
      <c r="O2230" s="21">
        <f>IFERROR(INDEX(Produtos!$C$2:$C$71,MATCH(C2230,Produtos!$A$2:$A$71,0)),"")</f>
        <v/>
      </c>
      <c r="P2230" s="21">
        <f>IFERROR(INDEX(Produtos!$D$2:$D$71,MATCH(C2230,Produtos!$A$2:$A$71,0)),0)</f>
        <v/>
      </c>
      <c r="Q2230" s="21">
        <f>IFERROR(INDEX(Produtos!$E$2:$E$71,MATCH(C2230,Produtos!$A$2:$A$71,0)),0)</f>
        <v/>
      </c>
      <c r="R2230" s="23">
        <f>D2230*Q2230</f>
        <v/>
      </c>
      <c r="S2230" s="23">
        <f>R2230*E2230</f>
        <v/>
      </c>
      <c r="T2230" s="23">
        <f>(R2230-S2230)*M2230</f>
        <v/>
      </c>
      <c r="U2230" s="23">
        <f>R2230-S2230-T2230</f>
        <v/>
      </c>
      <c r="V2230" s="23">
        <f>D2230*P2230</f>
        <v/>
      </c>
      <c r="W2230" s="23">
        <f>U2230-V2230</f>
        <v/>
      </c>
      <c r="X2230" s="24">
        <f>IFERROR(W2230/U2230,0)</f>
        <v/>
      </c>
    </row>
    <row r="2231">
      <c r="A2231" s="25">
        <f>ItensPedido!A2231</f>
        <v/>
      </c>
      <c r="B2231" s="25">
        <f>ItensPedido!B2231</f>
        <v/>
      </c>
      <c r="C2231" s="25">
        <f>ItensPedido!C2231</f>
        <v/>
      </c>
      <c r="D2231" s="25">
        <f>ItensPedido!D2231</f>
        <v/>
      </c>
      <c r="E2231" s="26">
        <f>ItensPedido!E2231</f>
        <v/>
      </c>
      <c r="F2231" s="25">
        <f>IFERROR(INDEX(Pedidos!$B$2:$B$1801,MATCH(B2231,Pedidos!$A$2:$A$1801,0)),0)</f>
        <v/>
      </c>
      <c r="G2231" s="25">
        <f>IF(F2231=0,"",YEAR(F2231))</f>
        <v/>
      </c>
      <c r="H2231" s="25">
        <f>IF(F2231=0,"",MONTH(F2231))</f>
        <v/>
      </c>
      <c r="I2231" s="25">
        <f>IFERROR(INDEX(Pedidos!$E$2:$E$1801,MATCH(B2231,Pedidos!$A$2:$A$1801,0)),"")</f>
        <v/>
      </c>
      <c r="J2231" s="25">
        <f>IFERROR(INDEX(Pedidos!$C$2:$C$1801,MATCH(B2231,Pedidos!$A$2:$A$1801,0)),"")</f>
        <v/>
      </c>
      <c r="K2231" s="25">
        <f>IFERROR(INDEX(Pedidos!$D$2:$D$1801,MATCH(B2231,Pedidos!$A$2:$A$1801,0)),"")</f>
        <v/>
      </c>
      <c r="L2231" s="25">
        <f>IFERROR(INDEX(Pedidos!$F$2:$F$1801,MATCH(B2231,Pedidos!$A$2:$A$1801,0)),"")</f>
        <v/>
      </c>
      <c r="M2231" s="26">
        <f>IFERROR(INDEX(Pedidos!$G$2:$G$1801,MATCH(B2231,Pedidos!$A$2:$A$1801,0)),0)</f>
        <v/>
      </c>
      <c r="N2231" s="25">
        <f>IFERROR(INDEX(Produtos!$B$2:$B$71,MATCH(C2231,Produtos!$A$2:$A$71,0)),"")</f>
        <v/>
      </c>
      <c r="O2231" s="25">
        <f>IFERROR(INDEX(Produtos!$C$2:$C$71,MATCH(C2231,Produtos!$A$2:$A$71,0)),"")</f>
        <v/>
      </c>
      <c r="P2231" s="25">
        <f>IFERROR(INDEX(Produtos!$D$2:$D$71,MATCH(C2231,Produtos!$A$2:$A$71,0)),0)</f>
        <v/>
      </c>
      <c r="Q2231" s="25">
        <f>IFERROR(INDEX(Produtos!$E$2:$E$71,MATCH(C2231,Produtos!$A$2:$A$71,0)),0)</f>
        <v/>
      </c>
      <c r="R2231" s="27">
        <f>D2231*Q2231</f>
        <v/>
      </c>
      <c r="S2231" s="27">
        <f>R2231*E2231</f>
        <v/>
      </c>
      <c r="T2231" s="27">
        <f>(R2231-S2231)*M2231</f>
        <v/>
      </c>
      <c r="U2231" s="27">
        <f>R2231-S2231-T2231</f>
        <v/>
      </c>
      <c r="V2231" s="27">
        <f>D2231*P2231</f>
        <v/>
      </c>
      <c r="W2231" s="27">
        <f>U2231-V2231</f>
        <v/>
      </c>
      <c r="X2231" s="28">
        <f>IFERROR(W2231/U2231,0)</f>
        <v/>
      </c>
    </row>
    <row r="2232">
      <c r="A2232" s="21">
        <f>ItensPedido!A2232</f>
        <v/>
      </c>
      <c r="B2232" s="21">
        <f>ItensPedido!B2232</f>
        <v/>
      </c>
      <c r="C2232" s="21">
        <f>ItensPedido!C2232</f>
        <v/>
      </c>
      <c r="D2232" s="21">
        <f>ItensPedido!D2232</f>
        <v/>
      </c>
      <c r="E2232" s="22">
        <f>ItensPedido!E2232</f>
        <v/>
      </c>
      <c r="F2232" s="21">
        <f>IFERROR(INDEX(Pedidos!$B$2:$B$1801,MATCH(B2232,Pedidos!$A$2:$A$1801,0)),0)</f>
        <v/>
      </c>
      <c r="G2232" s="21">
        <f>IF(F2232=0,"",YEAR(F2232))</f>
        <v/>
      </c>
      <c r="H2232" s="21">
        <f>IF(F2232=0,"",MONTH(F2232))</f>
        <v/>
      </c>
      <c r="I2232" s="21">
        <f>IFERROR(INDEX(Pedidos!$E$2:$E$1801,MATCH(B2232,Pedidos!$A$2:$A$1801,0)),"")</f>
        <v/>
      </c>
      <c r="J2232" s="21">
        <f>IFERROR(INDEX(Pedidos!$C$2:$C$1801,MATCH(B2232,Pedidos!$A$2:$A$1801,0)),"")</f>
        <v/>
      </c>
      <c r="K2232" s="21">
        <f>IFERROR(INDEX(Pedidos!$D$2:$D$1801,MATCH(B2232,Pedidos!$A$2:$A$1801,0)),"")</f>
        <v/>
      </c>
      <c r="L2232" s="21">
        <f>IFERROR(INDEX(Pedidos!$F$2:$F$1801,MATCH(B2232,Pedidos!$A$2:$A$1801,0)),"")</f>
        <v/>
      </c>
      <c r="M2232" s="22">
        <f>IFERROR(INDEX(Pedidos!$G$2:$G$1801,MATCH(B2232,Pedidos!$A$2:$A$1801,0)),0)</f>
        <v/>
      </c>
      <c r="N2232" s="21">
        <f>IFERROR(INDEX(Produtos!$B$2:$B$71,MATCH(C2232,Produtos!$A$2:$A$71,0)),"")</f>
        <v/>
      </c>
      <c r="O2232" s="21">
        <f>IFERROR(INDEX(Produtos!$C$2:$C$71,MATCH(C2232,Produtos!$A$2:$A$71,0)),"")</f>
        <v/>
      </c>
      <c r="P2232" s="21">
        <f>IFERROR(INDEX(Produtos!$D$2:$D$71,MATCH(C2232,Produtos!$A$2:$A$71,0)),0)</f>
        <v/>
      </c>
      <c r="Q2232" s="21">
        <f>IFERROR(INDEX(Produtos!$E$2:$E$71,MATCH(C2232,Produtos!$A$2:$A$71,0)),0)</f>
        <v/>
      </c>
      <c r="R2232" s="23">
        <f>D2232*Q2232</f>
        <v/>
      </c>
      <c r="S2232" s="23">
        <f>R2232*E2232</f>
        <v/>
      </c>
      <c r="T2232" s="23">
        <f>(R2232-S2232)*M2232</f>
        <v/>
      </c>
      <c r="U2232" s="23">
        <f>R2232-S2232-T2232</f>
        <v/>
      </c>
      <c r="V2232" s="23">
        <f>D2232*P2232</f>
        <v/>
      </c>
      <c r="W2232" s="23">
        <f>U2232-V2232</f>
        <v/>
      </c>
      <c r="X2232" s="24">
        <f>IFERROR(W2232/U2232,0)</f>
        <v/>
      </c>
    </row>
    <row r="2233">
      <c r="A2233" s="25">
        <f>ItensPedido!A2233</f>
        <v/>
      </c>
      <c r="B2233" s="25">
        <f>ItensPedido!B2233</f>
        <v/>
      </c>
      <c r="C2233" s="25">
        <f>ItensPedido!C2233</f>
        <v/>
      </c>
      <c r="D2233" s="25">
        <f>ItensPedido!D2233</f>
        <v/>
      </c>
      <c r="E2233" s="26">
        <f>ItensPedido!E2233</f>
        <v/>
      </c>
      <c r="F2233" s="25">
        <f>IFERROR(INDEX(Pedidos!$B$2:$B$1801,MATCH(B2233,Pedidos!$A$2:$A$1801,0)),0)</f>
        <v/>
      </c>
      <c r="G2233" s="25">
        <f>IF(F2233=0,"",YEAR(F2233))</f>
        <v/>
      </c>
      <c r="H2233" s="25">
        <f>IF(F2233=0,"",MONTH(F2233))</f>
        <v/>
      </c>
      <c r="I2233" s="25">
        <f>IFERROR(INDEX(Pedidos!$E$2:$E$1801,MATCH(B2233,Pedidos!$A$2:$A$1801,0)),"")</f>
        <v/>
      </c>
      <c r="J2233" s="25">
        <f>IFERROR(INDEX(Pedidos!$C$2:$C$1801,MATCH(B2233,Pedidos!$A$2:$A$1801,0)),"")</f>
        <v/>
      </c>
      <c r="K2233" s="25">
        <f>IFERROR(INDEX(Pedidos!$D$2:$D$1801,MATCH(B2233,Pedidos!$A$2:$A$1801,0)),"")</f>
        <v/>
      </c>
      <c r="L2233" s="25">
        <f>IFERROR(INDEX(Pedidos!$F$2:$F$1801,MATCH(B2233,Pedidos!$A$2:$A$1801,0)),"")</f>
        <v/>
      </c>
      <c r="M2233" s="26">
        <f>IFERROR(INDEX(Pedidos!$G$2:$G$1801,MATCH(B2233,Pedidos!$A$2:$A$1801,0)),0)</f>
        <v/>
      </c>
      <c r="N2233" s="25">
        <f>IFERROR(INDEX(Produtos!$B$2:$B$71,MATCH(C2233,Produtos!$A$2:$A$71,0)),"")</f>
        <v/>
      </c>
      <c r="O2233" s="25">
        <f>IFERROR(INDEX(Produtos!$C$2:$C$71,MATCH(C2233,Produtos!$A$2:$A$71,0)),"")</f>
        <v/>
      </c>
      <c r="P2233" s="25">
        <f>IFERROR(INDEX(Produtos!$D$2:$D$71,MATCH(C2233,Produtos!$A$2:$A$71,0)),0)</f>
        <v/>
      </c>
      <c r="Q2233" s="25">
        <f>IFERROR(INDEX(Produtos!$E$2:$E$71,MATCH(C2233,Produtos!$A$2:$A$71,0)),0)</f>
        <v/>
      </c>
      <c r="R2233" s="27">
        <f>D2233*Q2233</f>
        <v/>
      </c>
      <c r="S2233" s="27">
        <f>R2233*E2233</f>
        <v/>
      </c>
      <c r="T2233" s="27">
        <f>(R2233-S2233)*M2233</f>
        <v/>
      </c>
      <c r="U2233" s="27">
        <f>R2233-S2233-T2233</f>
        <v/>
      </c>
      <c r="V2233" s="27">
        <f>D2233*P2233</f>
        <v/>
      </c>
      <c r="W2233" s="27">
        <f>U2233-V2233</f>
        <v/>
      </c>
      <c r="X2233" s="28">
        <f>IFERROR(W2233/U2233,0)</f>
        <v/>
      </c>
    </row>
    <row r="2234">
      <c r="A2234" s="21">
        <f>ItensPedido!A2234</f>
        <v/>
      </c>
      <c r="B2234" s="21">
        <f>ItensPedido!B2234</f>
        <v/>
      </c>
      <c r="C2234" s="21">
        <f>ItensPedido!C2234</f>
        <v/>
      </c>
      <c r="D2234" s="21">
        <f>ItensPedido!D2234</f>
        <v/>
      </c>
      <c r="E2234" s="22">
        <f>ItensPedido!E2234</f>
        <v/>
      </c>
      <c r="F2234" s="21">
        <f>IFERROR(INDEX(Pedidos!$B$2:$B$1801,MATCH(B2234,Pedidos!$A$2:$A$1801,0)),0)</f>
        <v/>
      </c>
      <c r="G2234" s="21">
        <f>IF(F2234=0,"",YEAR(F2234))</f>
        <v/>
      </c>
      <c r="H2234" s="21">
        <f>IF(F2234=0,"",MONTH(F2234))</f>
        <v/>
      </c>
      <c r="I2234" s="21">
        <f>IFERROR(INDEX(Pedidos!$E$2:$E$1801,MATCH(B2234,Pedidos!$A$2:$A$1801,0)),"")</f>
        <v/>
      </c>
      <c r="J2234" s="21">
        <f>IFERROR(INDEX(Pedidos!$C$2:$C$1801,MATCH(B2234,Pedidos!$A$2:$A$1801,0)),"")</f>
        <v/>
      </c>
      <c r="K2234" s="21">
        <f>IFERROR(INDEX(Pedidos!$D$2:$D$1801,MATCH(B2234,Pedidos!$A$2:$A$1801,0)),"")</f>
        <v/>
      </c>
      <c r="L2234" s="21">
        <f>IFERROR(INDEX(Pedidos!$F$2:$F$1801,MATCH(B2234,Pedidos!$A$2:$A$1801,0)),"")</f>
        <v/>
      </c>
      <c r="M2234" s="22">
        <f>IFERROR(INDEX(Pedidos!$G$2:$G$1801,MATCH(B2234,Pedidos!$A$2:$A$1801,0)),0)</f>
        <v/>
      </c>
      <c r="N2234" s="21">
        <f>IFERROR(INDEX(Produtos!$B$2:$B$71,MATCH(C2234,Produtos!$A$2:$A$71,0)),"")</f>
        <v/>
      </c>
      <c r="O2234" s="21">
        <f>IFERROR(INDEX(Produtos!$C$2:$C$71,MATCH(C2234,Produtos!$A$2:$A$71,0)),"")</f>
        <v/>
      </c>
      <c r="P2234" s="21">
        <f>IFERROR(INDEX(Produtos!$D$2:$D$71,MATCH(C2234,Produtos!$A$2:$A$71,0)),0)</f>
        <v/>
      </c>
      <c r="Q2234" s="21">
        <f>IFERROR(INDEX(Produtos!$E$2:$E$71,MATCH(C2234,Produtos!$A$2:$A$71,0)),0)</f>
        <v/>
      </c>
      <c r="R2234" s="23">
        <f>D2234*Q2234</f>
        <v/>
      </c>
      <c r="S2234" s="23">
        <f>R2234*E2234</f>
        <v/>
      </c>
      <c r="T2234" s="23">
        <f>(R2234-S2234)*M2234</f>
        <v/>
      </c>
      <c r="U2234" s="23">
        <f>R2234-S2234-T2234</f>
        <v/>
      </c>
      <c r="V2234" s="23">
        <f>D2234*P2234</f>
        <v/>
      </c>
      <c r="W2234" s="23">
        <f>U2234-V2234</f>
        <v/>
      </c>
      <c r="X2234" s="24">
        <f>IFERROR(W2234/U2234,0)</f>
        <v/>
      </c>
    </row>
    <row r="2235">
      <c r="A2235" s="25">
        <f>ItensPedido!A2235</f>
        <v/>
      </c>
      <c r="B2235" s="25">
        <f>ItensPedido!B2235</f>
        <v/>
      </c>
      <c r="C2235" s="25">
        <f>ItensPedido!C2235</f>
        <v/>
      </c>
      <c r="D2235" s="25">
        <f>ItensPedido!D2235</f>
        <v/>
      </c>
      <c r="E2235" s="26">
        <f>ItensPedido!E2235</f>
        <v/>
      </c>
      <c r="F2235" s="25">
        <f>IFERROR(INDEX(Pedidos!$B$2:$B$1801,MATCH(B2235,Pedidos!$A$2:$A$1801,0)),0)</f>
        <v/>
      </c>
      <c r="G2235" s="25">
        <f>IF(F2235=0,"",YEAR(F2235))</f>
        <v/>
      </c>
      <c r="H2235" s="25">
        <f>IF(F2235=0,"",MONTH(F2235))</f>
        <v/>
      </c>
      <c r="I2235" s="25">
        <f>IFERROR(INDEX(Pedidos!$E$2:$E$1801,MATCH(B2235,Pedidos!$A$2:$A$1801,0)),"")</f>
        <v/>
      </c>
      <c r="J2235" s="25">
        <f>IFERROR(INDEX(Pedidos!$C$2:$C$1801,MATCH(B2235,Pedidos!$A$2:$A$1801,0)),"")</f>
        <v/>
      </c>
      <c r="K2235" s="25">
        <f>IFERROR(INDEX(Pedidos!$D$2:$D$1801,MATCH(B2235,Pedidos!$A$2:$A$1801,0)),"")</f>
        <v/>
      </c>
      <c r="L2235" s="25">
        <f>IFERROR(INDEX(Pedidos!$F$2:$F$1801,MATCH(B2235,Pedidos!$A$2:$A$1801,0)),"")</f>
        <v/>
      </c>
      <c r="M2235" s="26">
        <f>IFERROR(INDEX(Pedidos!$G$2:$G$1801,MATCH(B2235,Pedidos!$A$2:$A$1801,0)),0)</f>
        <v/>
      </c>
      <c r="N2235" s="25">
        <f>IFERROR(INDEX(Produtos!$B$2:$B$71,MATCH(C2235,Produtos!$A$2:$A$71,0)),"")</f>
        <v/>
      </c>
      <c r="O2235" s="25">
        <f>IFERROR(INDEX(Produtos!$C$2:$C$71,MATCH(C2235,Produtos!$A$2:$A$71,0)),"")</f>
        <v/>
      </c>
      <c r="P2235" s="25">
        <f>IFERROR(INDEX(Produtos!$D$2:$D$71,MATCH(C2235,Produtos!$A$2:$A$71,0)),0)</f>
        <v/>
      </c>
      <c r="Q2235" s="25">
        <f>IFERROR(INDEX(Produtos!$E$2:$E$71,MATCH(C2235,Produtos!$A$2:$A$71,0)),0)</f>
        <v/>
      </c>
      <c r="R2235" s="27">
        <f>D2235*Q2235</f>
        <v/>
      </c>
      <c r="S2235" s="27">
        <f>R2235*E2235</f>
        <v/>
      </c>
      <c r="T2235" s="27">
        <f>(R2235-S2235)*M2235</f>
        <v/>
      </c>
      <c r="U2235" s="27">
        <f>R2235-S2235-T2235</f>
        <v/>
      </c>
      <c r="V2235" s="27">
        <f>D2235*P2235</f>
        <v/>
      </c>
      <c r="W2235" s="27">
        <f>U2235-V2235</f>
        <v/>
      </c>
      <c r="X2235" s="28">
        <f>IFERROR(W2235/U2235,0)</f>
        <v/>
      </c>
    </row>
    <row r="2236">
      <c r="A2236" s="21">
        <f>ItensPedido!A2236</f>
        <v/>
      </c>
      <c r="B2236" s="21">
        <f>ItensPedido!B2236</f>
        <v/>
      </c>
      <c r="C2236" s="21">
        <f>ItensPedido!C2236</f>
        <v/>
      </c>
      <c r="D2236" s="21">
        <f>ItensPedido!D2236</f>
        <v/>
      </c>
      <c r="E2236" s="22">
        <f>ItensPedido!E2236</f>
        <v/>
      </c>
      <c r="F2236" s="21">
        <f>IFERROR(INDEX(Pedidos!$B$2:$B$1801,MATCH(B2236,Pedidos!$A$2:$A$1801,0)),0)</f>
        <v/>
      </c>
      <c r="G2236" s="21">
        <f>IF(F2236=0,"",YEAR(F2236))</f>
        <v/>
      </c>
      <c r="H2236" s="21">
        <f>IF(F2236=0,"",MONTH(F2236))</f>
        <v/>
      </c>
      <c r="I2236" s="21">
        <f>IFERROR(INDEX(Pedidos!$E$2:$E$1801,MATCH(B2236,Pedidos!$A$2:$A$1801,0)),"")</f>
        <v/>
      </c>
      <c r="J2236" s="21">
        <f>IFERROR(INDEX(Pedidos!$C$2:$C$1801,MATCH(B2236,Pedidos!$A$2:$A$1801,0)),"")</f>
        <v/>
      </c>
      <c r="K2236" s="21">
        <f>IFERROR(INDEX(Pedidos!$D$2:$D$1801,MATCH(B2236,Pedidos!$A$2:$A$1801,0)),"")</f>
        <v/>
      </c>
      <c r="L2236" s="21">
        <f>IFERROR(INDEX(Pedidos!$F$2:$F$1801,MATCH(B2236,Pedidos!$A$2:$A$1801,0)),"")</f>
        <v/>
      </c>
      <c r="M2236" s="22">
        <f>IFERROR(INDEX(Pedidos!$G$2:$G$1801,MATCH(B2236,Pedidos!$A$2:$A$1801,0)),0)</f>
        <v/>
      </c>
      <c r="N2236" s="21">
        <f>IFERROR(INDEX(Produtos!$B$2:$B$71,MATCH(C2236,Produtos!$A$2:$A$71,0)),"")</f>
        <v/>
      </c>
      <c r="O2236" s="21">
        <f>IFERROR(INDEX(Produtos!$C$2:$C$71,MATCH(C2236,Produtos!$A$2:$A$71,0)),"")</f>
        <v/>
      </c>
      <c r="P2236" s="21">
        <f>IFERROR(INDEX(Produtos!$D$2:$D$71,MATCH(C2236,Produtos!$A$2:$A$71,0)),0)</f>
        <v/>
      </c>
      <c r="Q2236" s="21">
        <f>IFERROR(INDEX(Produtos!$E$2:$E$71,MATCH(C2236,Produtos!$A$2:$A$71,0)),0)</f>
        <v/>
      </c>
      <c r="R2236" s="23">
        <f>D2236*Q2236</f>
        <v/>
      </c>
      <c r="S2236" s="23">
        <f>R2236*E2236</f>
        <v/>
      </c>
      <c r="T2236" s="23">
        <f>(R2236-S2236)*M2236</f>
        <v/>
      </c>
      <c r="U2236" s="23">
        <f>R2236-S2236-T2236</f>
        <v/>
      </c>
      <c r="V2236" s="23">
        <f>D2236*P2236</f>
        <v/>
      </c>
      <c r="W2236" s="23">
        <f>U2236-V2236</f>
        <v/>
      </c>
      <c r="X2236" s="24">
        <f>IFERROR(W2236/U2236,0)</f>
        <v/>
      </c>
    </row>
    <row r="2237">
      <c r="A2237" s="25">
        <f>ItensPedido!A2237</f>
        <v/>
      </c>
      <c r="B2237" s="25">
        <f>ItensPedido!B2237</f>
        <v/>
      </c>
      <c r="C2237" s="25">
        <f>ItensPedido!C2237</f>
        <v/>
      </c>
      <c r="D2237" s="25">
        <f>ItensPedido!D2237</f>
        <v/>
      </c>
      <c r="E2237" s="26">
        <f>ItensPedido!E2237</f>
        <v/>
      </c>
      <c r="F2237" s="25">
        <f>IFERROR(INDEX(Pedidos!$B$2:$B$1801,MATCH(B2237,Pedidos!$A$2:$A$1801,0)),0)</f>
        <v/>
      </c>
      <c r="G2237" s="25">
        <f>IF(F2237=0,"",YEAR(F2237))</f>
        <v/>
      </c>
      <c r="H2237" s="25">
        <f>IF(F2237=0,"",MONTH(F2237))</f>
        <v/>
      </c>
      <c r="I2237" s="25">
        <f>IFERROR(INDEX(Pedidos!$E$2:$E$1801,MATCH(B2237,Pedidos!$A$2:$A$1801,0)),"")</f>
        <v/>
      </c>
      <c r="J2237" s="25">
        <f>IFERROR(INDEX(Pedidos!$C$2:$C$1801,MATCH(B2237,Pedidos!$A$2:$A$1801,0)),"")</f>
        <v/>
      </c>
      <c r="K2237" s="25">
        <f>IFERROR(INDEX(Pedidos!$D$2:$D$1801,MATCH(B2237,Pedidos!$A$2:$A$1801,0)),"")</f>
        <v/>
      </c>
      <c r="L2237" s="25">
        <f>IFERROR(INDEX(Pedidos!$F$2:$F$1801,MATCH(B2237,Pedidos!$A$2:$A$1801,0)),"")</f>
        <v/>
      </c>
      <c r="M2237" s="26">
        <f>IFERROR(INDEX(Pedidos!$G$2:$G$1801,MATCH(B2237,Pedidos!$A$2:$A$1801,0)),0)</f>
        <v/>
      </c>
      <c r="N2237" s="25">
        <f>IFERROR(INDEX(Produtos!$B$2:$B$71,MATCH(C2237,Produtos!$A$2:$A$71,0)),"")</f>
        <v/>
      </c>
      <c r="O2237" s="25">
        <f>IFERROR(INDEX(Produtos!$C$2:$C$71,MATCH(C2237,Produtos!$A$2:$A$71,0)),"")</f>
        <v/>
      </c>
      <c r="P2237" s="25">
        <f>IFERROR(INDEX(Produtos!$D$2:$D$71,MATCH(C2237,Produtos!$A$2:$A$71,0)),0)</f>
        <v/>
      </c>
      <c r="Q2237" s="25">
        <f>IFERROR(INDEX(Produtos!$E$2:$E$71,MATCH(C2237,Produtos!$A$2:$A$71,0)),0)</f>
        <v/>
      </c>
      <c r="R2237" s="27">
        <f>D2237*Q2237</f>
        <v/>
      </c>
      <c r="S2237" s="27">
        <f>R2237*E2237</f>
        <v/>
      </c>
      <c r="T2237" s="27">
        <f>(R2237-S2237)*M2237</f>
        <v/>
      </c>
      <c r="U2237" s="27">
        <f>R2237-S2237-T2237</f>
        <v/>
      </c>
      <c r="V2237" s="27">
        <f>D2237*P2237</f>
        <v/>
      </c>
      <c r="W2237" s="27">
        <f>U2237-V2237</f>
        <v/>
      </c>
      <c r="X2237" s="28">
        <f>IFERROR(W2237/U2237,0)</f>
        <v/>
      </c>
    </row>
    <row r="2238">
      <c r="A2238" s="21">
        <f>ItensPedido!A2238</f>
        <v/>
      </c>
      <c r="B2238" s="21">
        <f>ItensPedido!B2238</f>
        <v/>
      </c>
      <c r="C2238" s="21">
        <f>ItensPedido!C2238</f>
        <v/>
      </c>
      <c r="D2238" s="21">
        <f>ItensPedido!D2238</f>
        <v/>
      </c>
      <c r="E2238" s="22">
        <f>ItensPedido!E2238</f>
        <v/>
      </c>
      <c r="F2238" s="21">
        <f>IFERROR(INDEX(Pedidos!$B$2:$B$1801,MATCH(B2238,Pedidos!$A$2:$A$1801,0)),0)</f>
        <v/>
      </c>
      <c r="G2238" s="21">
        <f>IF(F2238=0,"",YEAR(F2238))</f>
        <v/>
      </c>
      <c r="H2238" s="21">
        <f>IF(F2238=0,"",MONTH(F2238))</f>
        <v/>
      </c>
      <c r="I2238" s="21">
        <f>IFERROR(INDEX(Pedidos!$E$2:$E$1801,MATCH(B2238,Pedidos!$A$2:$A$1801,0)),"")</f>
        <v/>
      </c>
      <c r="J2238" s="21">
        <f>IFERROR(INDEX(Pedidos!$C$2:$C$1801,MATCH(B2238,Pedidos!$A$2:$A$1801,0)),"")</f>
        <v/>
      </c>
      <c r="K2238" s="21">
        <f>IFERROR(INDEX(Pedidos!$D$2:$D$1801,MATCH(B2238,Pedidos!$A$2:$A$1801,0)),"")</f>
        <v/>
      </c>
      <c r="L2238" s="21">
        <f>IFERROR(INDEX(Pedidos!$F$2:$F$1801,MATCH(B2238,Pedidos!$A$2:$A$1801,0)),"")</f>
        <v/>
      </c>
      <c r="M2238" s="22">
        <f>IFERROR(INDEX(Pedidos!$G$2:$G$1801,MATCH(B2238,Pedidos!$A$2:$A$1801,0)),0)</f>
        <v/>
      </c>
      <c r="N2238" s="21">
        <f>IFERROR(INDEX(Produtos!$B$2:$B$71,MATCH(C2238,Produtos!$A$2:$A$71,0)),"")</f>
        <v/>
      </c>
      <c r="O2238" s="21">
        <f>IFERROR(INDEX(Produtos!$C$2:$C$71,MATCH(C2238,Produtos!$A$2:$A$71,0)),"")</f>
        <v/>
      </c>
      <c r="P2238" s="21">
        <f>IFERROR(INDEX(Produtos!$D$2:$D$71,MATCH(C2238,Produtos!$A$2:$A$71,0)),0)</f>
        <v/>
      </c>
      <c r="Q2238" s="21">
        <f>IFERROR(INDEX(Produtos!$E$2:$E$71,MATCH(C2238,Produtos!$A$2:$A$71,0)),0)</f>
        <v/>
      </c>
      <c r="R2238" s="23">
        <f>D2238*Q2238</f>
        <v/>
      </c>
      <c r="S2238" s="23">
        <f>R2238*E2238</f>
        <v/>
      </c>
      <c r="T2238" s="23">
        <f>(R2238-S2238)*M2238</f>
        <v/>
      </c>
      <c r="U2238" s="23">
        <f>R2238-S2238-T2238</f>
        <v/>
      </c>
      <c r="V2238" s="23">
        <f>D2238*P2238</f>
        <v/>
      </c>
      <c r="W2238" s="23">
        <f>U2238-V2238</f>
        <v/>
      </c>
      <c r="X2238" s="24">
        <f>IFERROR(W2238/U2238,0)</f>
        <v/>
      </c>
    </row>
    <row r="2239">
      <c r="A2239" s="25">
        <f>ItensPedido!A2239</f>
        <v/>
      </c>
      <c r="B2239" s="25">
        <f>ItensPedido!B2239</f>
        <v/>
      </c>
      <c r="C2239" s="25">
        <f>ItensPedido!C2239</f>
        <v/>
      </c>
      <c r="D2239" s="25">
        <f>ItensPedido!D2239</f>
        <v/>
      </c>
      <c r="E2239" s="26">
        <f>ItensPedido!E2239</f>
        <v/>
      </c>
      <c r="F2239" s="25">
        <f>IFERROR(INDEX(Pedidos!$B$2:$B$1801,MATCH(B2239,Pedidos!$A$2:$A$1801,0)),0)</f>
        <v/>
      </c>
      <c r="G2239" s="25">
        <f>IF(F2239=0,"",YEAR(F2239))</f>
        <v/>
      </c>
      <c r="H2239" s="25">
        <f>IF(F2239=0,"",MONTH(F2239))</f>
        <v/>
      </c>
      <c r="I2239" s="25">
        <f>IFERROR(INDEX(Pedidos!$E$2:$E$1801,MATCH(B2239,Pedidos!$A$2:$A$1801,0)),"")</f>
        <v/>
      </c>
      <c r="J2239" s="25">
        <f>IFERROR(INDEX(Pedidos!$C$2:$C$1801,MATCH(B2239,Pedidos!$A$2:$A$1801,0)),"")</f>
        <v/>
      </c>
      <c r="K2239" s="25">
        <f>IFERROR(INDEX(Pedidos!$D$2:$D$1801,MATCH(B2239,Pedidos!$A$2:$A$1801,0)),"")</f>
        <v/>
      </c>
      <c r="L2239" s="25">
        <f>IFERROR(INDEX(Pedidos!$F$2:$F$1801,MATCH(B2239,Pedidos!$A$2:$A$1801,0)),"")</f>
        <v/>
      </c>
      <c r="M2239" s="26">
        <f>IFERROR(INDEX(Pedidos!$G$2:$G$1801,MATCH(B2239,Pedidos!$A$2:$A$1801,0)),0)</f>
        <v/>
      </c>
      <c r="N2239" s="25">
        <f>IFERROR(INDEX(Produtos!$B$2:$B$71,MATCH(C2239,Produtos!$A$2:$A$71,0)),"")</f>
        <v/>
      </c>
      <c r="O2239" s="25">
        <f>IFERROR(INDEX(Produtos!$C$2:$C$71,MATCH(C2239,Produtos!$A$2:$A$71,0)),"")</f>
        <v/>
      </c>
      <c r="P2239" s="25">
        <f>IFERROR(INDEX(Produtos!$D$2:$D$71,MATCH(C2239,Produtos!$A$2:$A$71,0)),0)</f>
        <v/>
      </c>
      <c r="Q2239" s="25">
        <f>IFERROR(INDEX(Produtos!$E$2:$E$71,MATCH(C2239,Produtos!$A$2:$A$71,0)),0)</f>
        <v/>
      </c>
      <c r="R2239" s="27">
        <f>D2239*Q2239</f>
        <v/>
      </c>
      <c r="S2239" s="27">
        <f>R2239*E2239</f>
        <v/>
      </c>
      <c r="T2239" s="27">
        <f>(R2239-S2239)*M2239</f>
        <v/>
      </c>
      <c r="U2239" s="27">
        <f>R2239-S2239-T2239</f>
        <v/>
      </c>
      <c r="V2239" s="27">
        <f>D2239*P2239</f>
        <v/>
      </c>
      <c r="W2239" s="27">
        <f>U2239-V2239</f>
        <v/>
      </c>
      <c r="X2239" s="28">
        <f>IFERROR(W2239/U2239,0)</f>
        <v/>
      </c>
    </row>
    <row r="2240">
      <c r="A2240" s="21">
        <f>ItensPedido!A2240</f>
        <v/>
      </c>
      <c r="B2240" s="21">
        <f>ItensPedido!B2240</f>
        <v/>
      </c>
      <c r="C2240" s="21">
        <f>ItensPedido!C2240</f>
        <v/>
      </c>
      <c r="D2240" s="21">
        <f>ItensPedido!D2240</f>
        <v/>
      </c>
      <c r="E2240" s="22">
        <f>ItensPedido!E2240</f>
        <v/>
      </c>
      <c r="F2240" s="21">
        <f>IFERROR(INDEX(Pedidos!$B$2:$B$1801,MATCH(B2240,Pedidos!$A$2:$A$1801,0)),0)</f>
        <v/>
      </c>
      <c r="G2240" s="21">
        <f>IF(F2240=0,"",YEAR(F2240))</f>
        <v/>
      </c>
      <c r="H2240" s="21">
        <f>IF(F2240=0,"",MONTH(F2240))</f>
        <v/>
      </c>
      <c r="I2240" s="21">
        <f>IFERROR(INDEX(Pedidos!$E$2:$E$1801,MATCH(B2240,Pedidos!$A$2:$A$1801,0)),"")</f>
        <v/>
      </c>
      <c r="J2240" s="21">
        <f>IFERROR(INDEX(Pedidos!$C$2:$C$1801,MATCH(B2240,Pedidos!$A$2:$A$1801,0)),"")</f>
        <v/>
      </c>
      <c r="K2240" s="21">
        <f>IFERROR(INDEX(Pedidos!$D$2:$D$1801,MATCH(B2240,Pedidos!$A$2:$A$1801,0)),"")</f>
        <v/>
      </c>
      <c r="L2240" s="21">
        <f>IFERROR(INDEX(Pedidos!$F$2:$F$1801,MATCH(B2240,Pedidos!$A$2:$A$1801,0)),"")</f>
        <v/>
      </c>
      <c r="M2240" s="22">
        <f>IFERROR(INDEX(Pedidos!$G$2:$G$1801,MATCH(B2240,Pedidos!$A$2:$A$1801,0)),0)</f>
        <v/>
      </c>
      <c r="N2240" s="21">
        <f>IFERROR(INDEX(Produtos!$B$2:$B$71,MATCH(C2240,Produtos!$A$2:$A$71,0)),"")</f>
        <v/>
      </c>
      <c r="O2240" s="21">
        <f>IFERROR(INDEX(Produtos!$C$2:$C$71,MATCH(C2240,Produtos!$A$2:$A$71,0)),"")</f>
        <v/>
      </c>
      <c r="P2240" s="21">
        <f>IFERROR(INDEX(Produtos!$D$2:$D$71,MATCH(C2240,Produtos!$A$2:$A$71,0)),0)</f>
        <v/>
      </c>
      <c r="Q2240" s="21">
        <f>IFERROR(INDEX(Produtos!$E$2:$E$71,MATCH(C2240,Produtos!$A$2:$A$71,0)),0)</f>
        <v/>
      </c>
      <c r="R2240" s="23">
        <f>D2240*Q2240</f>
        <v/>
      </c>
      <c r="S2240" s="23">
        <f>R2240*E2240</f>
        <v/>
      </c>
      <c r="T2240" s="23">
        <f>(R2240-S2240)*M2240</f>
        <v/>
      </c>
      <c r="U2240" s="23">
        <f>R2240-S2240-T2240</f>
        <v/>
      </c>
      <c r="V2240" s="23">
        <f>D2240*P2240</f>
        <v/>
      </c>
      <c r="W2240" s="23">
        <f>U2240-V2240</f>
        <v/>
      </c>
      <c r="X2240" s="24">
        <f>IFERROR(W2240/U2240,0)</f>
        <v/>
      </c>
    </row>
    <row r="2241">
      <c r="A2241" s="25">
        <f>ItensPedido!A2241</f>
        <v/>
      </c>
      <c r="B2241" s="25">
        <f>ItensPedido!B2241</f>
        <v/>
      </c>
      <c r="C2241" s="25">
        <f>ItensPedido!C2241</f>
        <v/>
      </c>
      <c r="D2241" s="25">
        <f>ItensPedido!D2241</f>
        <v/>
      </c>
      <c r="E2241" s="26">
        <f>ItensPedido!E2241</f>
        <v/>
      </c>
      <c r="F2241" s="25">
        <f>IFERROR(INDEX(Pedidos!$B$2:$B$1801,MATCH(B2241,Pedidos!$A$2:$A$1801,0)),0)</f>
        <v/>
      </c>
      <c r="G2241" s="25">
        <f>IF(F2241=0,"",YEAR(F2241))</f>
        <v/>
      </c>
      <c r="H2241" s="25">
        <f>IF(F2241=0,"",MONTH(F2241))</f>
        <v/>
      </c>
      <c r="I2241" s="25">
        <f>IFERROR(INDEX(Pedidos!$E$2:$E$1801,MATCH(B2241,Pedidos!$A$2:$A$1801,0)),"")</f>
        <v/>
      </c>
      <c r="J2241" s="25">
        <f>IFERROR(INDEX(Pedidos!$C$2:$C$1801,MATCH(B2241,Pedidos!$A$2:$A$1801,0)),"")</f>
        <v/>
      </c>
      <c r="K2241" s="25">
        <f>IFERROR(INDEX(Pedidos!$D$2:$D$1801,MATCH(B2241,Pedidos!$A$2:$A$1801,0)),"")</f>
        <v/>
      </c>
      <c r="L2241" s="25">
        <f>IFERROR(INDEX(Pedidos!$F$2:$F$1801,MATCH(B2241,Pedidos!$A$2:$A$1801,0)),"")</f>
        <v/>
      </c>
      <c r="M2241" s="26">
        <f>IFERROR(INDEX(Pedidos!$G$2:$G$1801,MATCH(B2241,Pedidos!$A$2:$A$1801,0)),0)</f>
        <v/>
      </c>
      <c r="N2241" s="25">
        <f>IFERROR(INDEX(Produtos!$B$2:$B$71,MATCH(C2241,Produtos!$A$2:$A$71,0)),"")</f>
        <v/>
      </c>
      <c r="O2241" s="25">
        <f>IFERROR(INDEX(Produtos!$C$2:$C$71,MATCH(C2241,Produtos!$A$2:$A$71,0)),"")</f>
        <v/>
      </c>
      <c r="P2241" s="25">
        <f>IFERROR(INDEX(Produtos!$D$2:$D$71,MATCH(C2241,Produtos!$A$2:$A$71,0)),0)</f>
        <v/>
      </c>
      <c r="Q2241" s="25">
        <f>IFERROR(INDEX(Produtos!$E$2:$E$71,MATCH(C2241,Produtos!$A$2:$A$71,0)),0)</f>
        <v/>
      </c>
      <c r="R2241" s="27">
        <f>D2241*Q2241</f>
        <v/>
      </c>
      <c r="S2241" s="27">
        <f>R2241*E2241</f>
        <v/>
      </c>
      <c r="T2241" s="27">
        <f>(R2241-S2241)*M2241</f>
        <v/>
      </c>
      <c r="U2241" s="27">
        <f>R2241-S2241-T2241</f>
        <v/>
      </c>
      <c r="V2241" s="27">
        <f>D2241*P2241</f>
        <v/>
      </c>
      <c r="W2241" s="27">
        <f>U2241-V2241</f>
        <v/>
      </c>
      <c r="X2241" s="28">
        <f>IFERROR(W2241/U2241,0)</f>
        <v/>
      </c>
    </row>
    <row r="2242">
      <c r="A2242" s="21">
        <f>ItensPedido!A2242</f>
        <v/>
      </c>
      <c r="B2242" s="21">
        <f>ItensPedido!B2242</f>
        <v/>
      </c>
      <c r="C2242" s="21">
        <f>ItensPedido!C2242</f>
        <v/>
      </c>
      <c r="D2242" s="21">
        <f>ItensPedido!D2242</f>
        <v/>
      </c>
      <c r="E2242" s="22">
        <f>ItensPedido!E2242</f>
        <v/>
      </c>
      <c r="F2242" s="21">
        <f>IFERROR(INDEX(Pedidos!$B$2:$B$1801,MATCH(B2242,Pedidos!$A$2:$A$1801,0)),0)</f>
        <v/>
      </c>
      <c r="G2242" s="21">
        <f>IF(F2242=0,"",YEAR(F2242))</f>
        <v/>
      </c>
      <c r="H2242" s="21">
        <f>IF(F2242=0,"",MONTH(F2242))</f>
        <v/>
      </c>
      <c r="I2242" s="21">
        <f>IFERROR(INDEX(Pedidos!$E$2:$E$1801,MATCH(B2242,Pedidos!$A$2:$A$1801,0)),"")</f>
        <v/>
      </c>
      <c r="J2242" s="21">
        <f>IFERROR(INDEX(Pedidos!$C$2:$C$1801,MATCH(B2242,Pedidos!$A$2:$A$1801,0)),"")</f>
        <v/>
      </c>
      <c r="K2242" s="21">
        <f>IFERROR(INDEX(Pedidos!$D$2:$D$1801,MATCH(B2242,Pedidos!$A$2:$A$1801,0)),"")</f>
        <v/>
      </c>
      <c r="L2242" s="21">
        <f>IFERROR(INDEX(Pedidos!$F$2:$F$1801,MATCH(B2242,Pedidos!$A$2:$A$1801,0)),"")</f>
        <v/>
      </c>
      <c r="M2242" s="22">
        <f>IFERROR(INDEX(Pedidos!$G$2:$G$1801,MATCH(B2242,Pedidos!$A$2:$A$1801,0)),0)</f>
        <v/>
      </c>
      <c r="N2242" s="21">
        <f>IFERROR(INDEX(Produtos!$B$2:$B$71,MATCH(C2242,Produtos!$A$2:$A$71,0)),"")</f>
        <v/>
      </c>
      <c r="O2242" s="21">
        <f>IFERROR(INDEX(Produtos!$C$2:$C$71,MATCH(C2242,Produtos!$A$2:$A$71,0)),"")</f>
        <v/>
      </c>
      <c r="P2242" s="21">
        <f>IFERROR(INDEX(Produtos!$D$2:$D$71,MATCH(C2242,Produtos!$A$2:$A$71,0)),0)</f>
        <v/>
      </c>
      <c r="Q2242" s="21">
        <f>IFERROR(INDEX(Produtos!$E$2:$E$71,MATCH(C2242,Produtos!$A$2:$A$71,0)),0)</f>
        <v/>
      </c>
      <c r="R2242" s="23">
        <f>D2242*Q2242</f>
        <v/>
      </c>
      <c r="S2242" s="23">
        <f>R2242*E2242</f>
        <v/>
      </c>
      <c r="T2242" s="23">
        <f>(R2242-S2242)*M2242</f>
        <v/>
      </c>
      <c r="U2242" s="23">
        <f>R2242-S2242-T2242</f>
        <v/>
      </c>
      <c r="V2242" s="23">
        <f>D2242*P2242</f>
        <v/>
      </c>
      <c r="W2242" s="23">
        <f>U2242-V2242</f>
        <v/>
      </c>
      <c r="X2242" s="24">
        <f>IFERROR(W2242/U2242,0)</f>
        <v/>
      </c>
    </row>
    <row r="2243">
      <c r="A2243" s="25">
        <f>ItensPedido!A2243</f>
        <v/>
      </c>
      <c r="B2243" s="25">
        <f>ItensPedido!B2243</f>
        <v/>
      </c>
      <c r="C2243" s="25">
        <f>ItensPedido!C2243</f>
        <v/>
      </c>
      <c r="D2243" s="25">
        <f>ItensPedido!D2243</f>
        <v/>
      </c>
      <c r="E2243" s="26">
        <f>ItensPedido!E2243</f>
        <v/>
      </c>
      <c r="F2243" s="25">
        <f>IFERROR(INDEX(Pedidos!$B$2:$B$1801,MATCH(B2243,Pedidos!$A$2:$A$1801,0)),0)</f>
        <v/>
      </c>
      <c r="G2243" s="25">
        <f>IF(F2243=0,"",YEAR(F2243))</f>
        <v/>
      </c>
      <c r="H2243" s="25">
        <f>IF(F2243=0,"",MONTH(F2243))</f>
        <v/>
      </c>
      <c r="I2243" s="25">
        <f>IFERROR(INDEX(Pedidos!$E$2:$E$1801,MATCH(B2243,Pedidos!$A$2:$A$1801,0)),"")</f>
        <v/>
      </c>
      <c r="J2243" s="25">
        <f>IFERROR(INDEX(Pedidos!$C$2:$C$1801,MATCH(B2243,Pedidos!$A$2:$A$1801,0)),"")</f>
        <v/>
      </c>
      <c r="K2243" s="25">
        <f>IFERROR(INDEX(Pedidos!$D$2:$D$1801,MATCH(B2243,Pedidos!$A$2:$A$1801,0)),"")</f>
        <v/>
      </c>
      <c r="L2243" s="25">
        <f>IFERROR(INDEX(Pedidos!$F$2:$F$1801,MATCH(B2243,Pedidos!$A$2:$A$1801,0)),"")</f>
        <v/>
      </c>
      <c r="M2243" s="26">
        <f>IFERROR(INDEX(Pedidos!$G$2:$G$1801,MATCH(B2243,Pedidos!$A$2:$A$1801,0)),0)</f>
        <v/>
      </c>
      <c r="N2243" s="25">
        <f>IFERROR(INDEX(Produtos!$B$2:$B$71,MATCH(C2243,Produtos!$A$2:$A$71,0)),"")</f>
        <v/>
      </c>
      <c r="O2243" s="25">
        <f>IFERROR(INDEX(Produtos!$C$2:$C$71,MATCH(C2243,Produtos!$A$2:$A$71,0)),"")</f>
        <v/>
      </c>
      <c r="P2243" s="25">
        <f>IFERROR(INDEX(Produtos!$D$2:$D$71,MATCH(C2243,Produtos!$A$2:$A$71,0)),0)</f>
        <v/>
      </c>
      <c r="Q2243" s="25">
        <f>IFERROR(INDEX(Produtos!$E$2:$E$71,MATCH(C2243,Produtos!$A$2:$A$71,0)),0)</f>
        <v/>
      </c>
      <c r="R2243" s="27">
        <f>D2243*Q2243</f>
        <v/>
      </c>
      <c r="S2243" s="27">
        <f>R2243*E2243</f>
        <v/>
      </c>
      <c r="T2243" s="27">
        <f>(R2243-S2243)*M2243</f>
        <v/>
      </c>
      <c r="U2243" s="27">
        <f>R2243-S2243-T2243</f>
        <v/>
      </c>
      <c r="V2243" s="27">
        <f>D2243*P2243</f>
        <v/>
      </c>
      <c r="W2243" s="27">
        <f>U2243-V2243</f>
        <v/>
      </c>
      <c r="X2243" s="28">
        <f>IFERROR(W2243/U2243,0)</f>
        <v/>
      </c>
    </row>
    <row r="2244">
      <c r="A2244" s="21">
        <f>ItensPedido!A2244</f>
        <v/>
      </c>
      <c r="B2244" s="21">
        <f>ItensPedido!B2244</f>
        <v/>
      </c>
      <c r="C2244" s="21">
        <f>ItensPedido!C2244</f>
        <v/>
      </c>
      <c r="D2244" s="21">
        <f>ItensPedido!D2244</f>
        <v/>
      </c>
      <c r="E2244" s="22">
        <f>ItensPedido!E2244</f>
        <v/>
      </c>
      <c r="F2244" s="21">
        <f>IFERROR(INDEX(Pedidos!$B$2:$B$1801,MATCH(B2244,Pedidos!$A$2:$A$1801,0)),0)</f>
        <v/>
      </c>
      <c r="G2244" s="21">
        <f>IF(F2244=0,"",YEAR(F2244))</f>
        <v/>
      </c>
      <c r="H2244" s="21">
        <f>IF(F2244=0,"",MONTH(F2244))</f>
        <v/>
      </c>
      <c r="I2244" s="21">
        <f>IFERROR(INDEX(Pedidos!$E$2:$E$1801,MATCH(B2244,Pedidos!$A$2:$A$1801,0)),"")</f>
        <v/>
      </c>
      <c r="J2244" s="21">
        <f>IFERROR(INDEX(Pedidos!$C$2:$C$1801,MATCH(B2244,Pedidos!$A$2:$A$1801,0)),"")</f>
        <v/>
      </c>
      <c r="K2244" s="21">
        <f>IFERROR(INDEX(Pedidos!$D$2:$D$1801,MATCH(B2244,Pedidos!$A$2:$A$1801,0)),"")</f>
        <v/>
      </c>
      <c r="L2244" s="21">
        <f>IFERROR(INDEX(Pedidos!$F$2:$F$1801,MATCH(B2244,Pedidos!$A$2:$A$1801,0)),"")</f>
        <v/>
      </c>
      <c r="M2244" s="22">
        <f>IFERROR(INDEX(Pedidos!$G$2:$G$1801,MATCH(B2244,Pedidos!$A$2:$A$1801,0)),0)</f>
        <v/>
      </c>
      <c r="N2244" s="21">
        <f>IFERROR(INDEX(Produtos!$B$2:$B$71,MATCH(C2244,Produtos!$A$2:$A$71,0)),"")</f>
        <v/>
      </c>
      <c r="O2244" s="21">
        <f>IFERROR(INDEX(Produtos!$C$2:$C$71,MATCH(C2244,Produtos!$A$2:$A$71,0)),"")</f>
        <v/>
      </c>
      <c r="P2244" s="21">
        <f>IFERROR(INDEX(Produtos!$D$2:$D$71,MATCH(C2244,Produtos!$A$2:$A$71,0)),0)</f>
        <v/>
      </c>
      <c r="Q2244" s="21">
        <f>IFERROR(INDEX(Produtos!$E$2:$E$71,MATCH(C2244,Produtos!$A$2:$A$71,0)),0)</f>
        <v/>
      </c>
      <c r="R2244" s="23">
        <f>D2244*Q2244</f>
        <v/>
      </c>
      <c r="S2244" s="23">
        <f>R2244*E2244</f>
        <v/>
      </c>
      <c r="T2244" s="23">
        <f>(R2244-S2244)*M2244</f>
        <v/>
      </c>
      <c r="U2244" s="23">
        <f>R2244-S2244-T2244</f>
        <v/>
      </c>
      <c r="V2244" s="23">
        <f>D2244*P2244</f>
        <v/>
      </c>
      <c r="W2244" s="23">
        <f>U2244-V2244</f>
        <v/>
      </c>
      <c r="X2244" s="24">
        <f>IFERROR(W2244/U2244,0)</f>
        <v/>
      </c>
    </row>
    <row r="2245">
      <c r="A2245" s="25">
        <f>ItensPedido!A2245</f>
        <v/>
      </c>
      <c r="B2245" s="25">
        <f>ItensPedido!B2245</f>
        <v/>
      </c>
      <c r="C2245" s="25">
        <f>ItensPedido!C2245</f>
        <v/>
      </c>
      <c r="D2245" s="25">
        <f>ItensPedido!D2245</f>
        <v/>
      </c>
      <c r="E2245" s="26">
        <f>ItensPedido!E2245</f>
        <v/>
      </c>
      <c r="F2245" s="25">
        <f>IFERROR(INDEX(Pedidos!$B$2:$B$1801,MATCH(B2245,Pedidos!$A$2:$A$1801,0)),0)</f>
        <v/>
      </c>
      <c r="G2245" s="25">
        <f>IF(F2245=0,"",YEAR(F2245))</f>
        <v/>
      </c>
      <c r="H2245" s="25">
        <f>IF(F2245=0,"",MONTH(F2245))</f>
        <v/>
      </c>
      <c r="I2245" s="25">
        <f>IFERROR(INDEX(Pedidos!$E$2:$E$1801,MATCH(B2245,Pedidos!$A$2:$A$1801,0)),"")</f>
        <v/>
      </c>
      <c r="J2245" s="25">
        <f>IFERROR(INDEX(Pedidos!$C$2:$C$1801,MATCH(B2245,Pedidos!$A$2:$A$1801,0)),"")</f>
        <v/>
      </c>
      <c r="K2245" s="25">
        <f>IFERROR(INDEX(Pedidos!$D$2:$D$1801,MATCH(B2245,Pedidos!$A$2:$A$1801,0)),"")</f>
        <v/>
      </c>
      <c r="L2245" s="25">
        <f>IFERROR(INDEX(Pedidos!$F$2:$F$1801,MATCH(B2245,Pedidos!$A$2:$A$1801,0)),"")</f>
        <v/>
      </c>
      <c r="M2245" s="26">
        <f>IFERROR(INDEX(Pedidos!$G$2:$G$1801,MATCH(B2245,Pedidos!$A$2:$A$1801,0)),0)</f>
        <v/>
      </c>
      <c r="N2245" s="25">
        <f>IFERROR(INDEX(Produtos!$B$2:$B$71,MATCH(C2245,Produtos!$A$2:$A$71,0)),"")</f>
        <v/>
      </c>
      <c r="O2245" s="25">
        <f>IFERROR(INDEX(Produtos!$C$2:$C$71,MATCH(C2245,Produtos!$A$2:$A$71,0)),"")</f>
        <v/>
      </c>
      <c r="P2245" s="25">
        <f>IFERROR(INDEX(Produtos!$D$2:$D$71,MATCH(C2245,Produtos!$A$2:$A$71,0)),0)</f>
        <v/>
      </c>
      <c r="Q2245" s="25">
        <f>IFERROR(INDEX(Produtos!$E$2:$E$71,MATCH(C2245,Produtos!$A$2:$A$71,0)),0)</f>
        <v/>
      </c>
      <c r="R2245" s="27">
        <f>D2245*Q2245</f>
        <v/>
      </c>
      <c r="S2245" s="27">
        <f>R2245*E2245</f>
        <v/>
      </c>
      <c r="T2245" s="27">
        <f>(R2245-S2245)*M2245</f>
        <v/>
      </c>
      <c r="U2245" s="27">
        <f>R2245-S2245-T2245</f>
        <v/>
      </c>
      <c r="V2245" s="27">
        <f>D2245*P2245</f>
        <v/>
      </c>
      <c r="W2245" s="27">
        <f>U2245-V2245</f>
        <v/>
      </c>
      <c r="X2245" s="28">
        <f>IFERROR(W2245/U2245,0)</f>
        <v/>
      </c>
    </row>
    <row r="2246">
      <c r="A2246" s="21">
        <f>ItensPedido!A2246</f>
        <v/>
      </c>
      <c r="B2246" s="21">
        <f>ItensPedido!B2246</f>
        <v/>
      </c>
      <c r="C2246" s="21">
        <f>ItensPedido!C2246</f>
        <v/>
      </c>
      <c r="D2246" s="21">
        <f>ItensPedido!D2246</f>
        <v/>
      </c>
      <c r="E2246" s="22">
        <f>ItensPedido!E2246</f>
        <v/>
      </c>
      <c r="F2246" s="21">
        <f>IFERROR(INDEX(Pedidos!$B$2:$B$1801,MATCH(B2246,Pedidos!$A$2:$A$1801,0)),0)</f>
        <v/>
      </c>
      <c r="G2246" s="21">
        <f>IF(F2246=0,"",YEAR(F2246))</f>
        <v/>
      </c>
      <c r="H2246" s="21">
        <f>IF(F2246=0,"",MONTH(F2246))</f>
        <v/>
      </c>
      <c r="I2246" s="21">
        <f>IFERROR(INDEX(Pedidos!$E$2:$E$1801,MATCH(B2246,Pedidos!$A$2:$A$1801,0)),"")</f>
        <v/>
      </c>
      <c r="J2246" s="21">
        <f>IFERROR(INDEX(Pedidos!$C$2:$C$1801,MATCH(B2246,Pedidos!$A$2:$A$1801,0)),"")</f>
        <v/>
      </c>
      <c r="K2246" s="21">
        <f>IFERROR(INDEX(Pedidos!$D$2:$D$1801,MATCH(B2246,Pedidos!$A$2:$A$1801,0)),"")</f>
        <v/>
      </c>
      <c r="L2246" s="21">
        <f>IFERROR(INDEX(Pedidos!$F$2:$F$1801,MATCH(B2246,Pedidos!$A$2:$A$1801,0)),"")</f>
        <v/>
      </c>
      <c r="M2246" s="22">
        <f>IFERROR(INDEX(Pedidos!$G$2:$G$1801,MATCH(B2246,Pedidos!$A$2:$A$1801,0)),0)</f>
        <v/>
      </c>
      <c r="N2246" s="21">
        <f>IFERROR(INDEX(Produtos!$B$2:$B$71,MATCH(C2246,Produtos!$A$2:$A$71,0)),"")</f>
        <v/>
      </c>
      <c r="O2246" s="21">
        <f>IFERROR(INDEX(Produtos!$C$2:$C$71,MATCH(C2246,Produtos!$A$2:$A$71,0)),"")</f>
        <v/>
      </c>
      <c r="P2246" s="21">
        <f>IFERROR(INDEX(Produtos!$D$2:$D$71,MATCH(C2246,Produtos!$A$2:$A$71,0)),0)</f>
        <v/>
      </c>
      <c r="Q2246" s="21">
        <f>IFERROR(INDEX(Produtos!$E$2:$E$71,MATCH(C2246,Produtos!$A$2:$A$71,0)),0)</f>
        <v/>
      </c>
      <c r="R2246" s="23">
        <f>D2246*Q2246</f>
        <v/>
      </c>
      <c r="S2246" s="23">
        <f>R2246*E2246</f>
        <v/>
      </c>
      <c r="T2246" s="23">
        <f>(R2246-S2246)*M2246</f>
        <v/>
      </c>
      <c r="U2246" s="23">
        <f>R2246-S2246-T2246</f>
        <v/>
      </c>
      <c r="V2246" s="23">
        <f>D2246*P2246</f>
        <v/>
      </c>
      <c r="W2246" s="23">
        <f>U2246-V2246</f>
        <v/>
      </c>
      <c r="X2246" s="24">
        <f>IFERROR(W2246/U2246,0)</f>
        <v/>
      </c>
    </row>
    <row r="2247">
      <c r="A2247" s="25">
        <f>ItensPedido!A2247</f>
        <v/>
      </c>
      <c r="B2247" s="25">
        <f>ItensPedido!B2247</f>
        <v/>
      </c>
      <c r="C2247" s="25">
        <f>ItensPedido!C2247</f>
        <v/>
      </c>
      <c r="D2247" s="25">
        <f>ItensPedido!D2247</f>
        <v/>
      </c>
      <c r="E2247" s="26">
        <f>ItensPedido!E2247</f>
        <v/>
      </c>
      <c r="F2247" s="25">
        <f>IFERROR(INDEX(Pedidos!$B$2:$B$1801,MATCH(B2247,Pedidos!$A$2:$A$1801,0)),0)</f>
        <v/>
      </c>
      <c r="G2247" s="25">
        <f>IF(F2247=0,"",YEAR(F2247))</f>
        <v/>
      </c>
      <c r="H2247" s="25">
        <f>IF(F2247=0,"",MONTH(F2247))</f>
        <v/>
      </c>
      <c r="I2247" s="25">
        <f>IFERROR(INDEX(Pedidos!$E$2:$E$1801,MATCH(B2247,Pedidos!$A$2:$A$1801,0)),"")</f>
        <v/>
      </c>
      <c r="J2247" s="25">
        <f>IFERROR(INDEX(Pedidos!$C$2:$C$1801,MATCH(B2247,Pedidos!$A$2:$A$1801,0)),"")</f>
        <v/>
      </c>
      <c r="K2247" s="25">
        <f>IFERROR(INDEX(Pedidos!$D$2:$D$1801,MATCH(B2247,Pedidos!$A$2:$A$1801,0)),"")</f>
        <v/>
      </c>
      <c r="L2247" s="25">
        <f>IFERROR(INDEX(Pedidos!$F$2:$F$1801,MATCH(B2247,Pedidos!$A$2:$A$1801,0)),"")</f>
        <v/>
      </c>
      <c r="M2247" s="26">
        <f>IFERROR(INDEX(Pedidos!$G$2:$G$1801,MATCH(B2247,Pedidos!$A$2:$A$1801,0)),0)</f>
        <v/>
      </c>
      <c r="N2247" s="25">
        <f>IFERROR(INDEX(Produtos!$B$2:$B$71,MATCH(C2247,Produtos!$A$2:$A$71,0)),"")</f>
        <v/>
      </c>
      <c r="O2247" s="25">
        <f>IFERROR(INDEX(Produtos!$C$2:$C$71,MATCH(C2247,Produtos!$A$2:$A$71,0)),"")</f>
        <v/>
      </c>
      <c r="P2247" s="25">
        <f>IFERROR(INDEX(Produtos!$D$2:$D$71,MATCH(C2247,Produtos!$A$2:$A$71,0)),0)</f>
        <v/>
      </c>
      <c r="Q2247" s="25">
        <f>IFERROR(INDEX(Produtos!$E$2:$E$71,MATCH(C2247,Produtos!$A$2:$A$71,0)),0)</f>
        <v/>
      </c>
      <c r="R2247" s="27">
        <f>D2247*Q2247</f>
        <v/>
      </c>
      <c r="S2247" s="27">
        <f>R2247*E2247</f>
        <v/>
      </c>
      <c r="T2247" s="27">
        <f>(R2247-S2247)*M2247</f>
        <v/>
      </c>
      <c r="U2247" s="27">
        <f>R2247-S2247-T2247</f>
        <v/>
      </c>
      <c r="V2247" s="27">
        <f>D2247*P2247</f>
        <v/>
      </c>
      <c r="W2247" s="27">
        <f>U2247-V2247</f>
        <v/>
      </c>
      <c r="X2247" s="28">
        <f>IFERROR(W2247/U2247,0)</f>
        <v/>
      </c>
    </row>
    <row r="2248">
      <c r="A2248" s="21">
        <f>ItensPedido!A2248</f>
        <v/>
      </c>
      <c r="B2248" s="21">
        <f>ItensPedido!B2248</f>
        <v/>
      </c>
      <c r="C2248" s="21">
        <f>ItensPedido!C2248</f>
        <v/>
      </c>
      <c r="D2248" s="21">
        <f>ItensPedido!D2248</f>
        <v/>
      </c>
      <c r="E2248" s="22">
        <f>ItensPedido!E2248</f>
        <v/>
      </c>
      <c r="F2248" s="21">
        <f>IFERROR(INDEX(Pedidos!$B$2:$B$1801,MATCH(B2248,Pedidos!$A$2:$A$1801,0)),0)</f>
        <v/>
      </c>
      <c r="G2248" s="21">
        <f>IF(F2248=0,"",YEAR(F2248))</f>
        <v/>
      </c>
      <c r="H2248" s="21">
        <f>IF(F2248=0,"",MONTH(F2248))</f>
        <v/>
      </c>
      <c r="I2248" s="21">
        <f>IFERROR(INDEX(Pedidos!$E$2:$E$1801,MATCH(B2248,Pedidos!$A$2:$A$1801,0)),"")</f>
        <v/>
      </c>
      <c r="J2248" s="21">
        <f>IFERROR(INDEX(Pedidos!$C$2:$C$1801,MATCH(B2248,Pedidos!$A$2:$A$1801,0)),"")</f>
        <v/>
      </c>
      <c r="K2248" s="21">
        <f>IFERROR(INDEX(Pedidos!$D$2:$D$1801,MATCH(B2248,Pedidos!$A$2:$A$1801,0)),"")</f>
        <v/>
      </c>
      <c r="L2248" s="21">
        <f>IFERROR(INDEX(Pedidos!$F$2:$F$1801,MATCH(B2248,Pedidos!$A$2:$A$1801,0)),"")</f>
        <v/>
      </c>
      <c r="M2248" s="22">
        <f>IFERROR(INDEX(Pedidos!$G$2:$G$1801,MATCH(B2248,Pedidos!$A$2:$A$1801,0)),0)</f>
        <v/>
      </c>
      <c r="N2248" s="21">
        <f>IFERROR(INDEX(Produtos!$B$2:$B$71,MATCH(C2248,Produtos!$A$2:$A$71,0)),"")</f>
        <v/>
      </c>
      <c r="O2248" s="21">
        <f>IFERROR(INDEX(Produtos!$C$2:$C$71,MATCH(C2248,Produtos!$A$2:$A$71,0)),"")</f>
        <v/>
      </c>
      <c r="P2248" s="21">
        <f>IFERROR(INDEX(Produtos!$D$2:$D$71,MATCH(C2248,Produtos!$A$2:$A$71,0)),0)</f>
        <v/>
      </c>
      <c r="Q2248" s="21">
        <f>IFERROR(INDEX(Produtos!$E$2:$E$71,MATCH(C2248,Produtos!$A$2:$A$71,0)),0)</f>
        <v/>
      </c>
      <c r="R2248" s="23">
        <f>D2248*Q2248</f>
        <v/>
      </c>
      <c r="S2248" s="23">
        <f>R2248*E2248</f>
        <v/>
      </c>
      <c r="T2248" s="23">
        <f>(R2248-S2248)*M2248</f>
        <v/>
      </c>
      <c r="U2248" s="23">
        <f>R2248-S2248-T2248</f>
        <v/>
      </c>
      <c r="V2248" s="23">
        <f>D2248*P2248</f>
        <v/>
      </c>
      <c r="W2248" s="23">
        <f>U2248-V2248</f>
        <v/>
      </c>
      <c r="X2248" s="24">
        <f>IFERROR(W2248/U2248,0)</f>
        <v/>
      </c>
    </row>
    <row r="2249">
      <c r="A2249" s="25">
        <f>ItensPedido!A2249</f>
        <v/>
      </c>
      <c r="B2249" s="25">
        <f>ItensPedido!B2249</f>
        <v/>
      </c>
      <c r="C2249" s="25">
        <f>ItensPedido!C2249</f>
        <v/>
      </c>
      <c r="D2249" s="25">
        <f>ItensPedido!D2249</f>
        <v/>
      </c>
      <c r="E2249" s="26">
        <f>ItensPedido!E2249</f>
        <v/>
      </c>
      <c r="F2249" s="25">
        <f>IFERROR(INDEX(Pedidos!$B$2:$B$1801,MATCH(B2249,Pedidos!$A$2:$A$1801,0)),0)</f>
        <v/>
      </c>
      <c r="G2249" s="25">
        <f>IF(F2249=0,"",YEAR(F2249))</f>
        <v/>
      </c>
      <c r="H2249" s="25">
        <f>IF(F2249=0,"",MONTH(F2249))</f>
        <v/>
      </c>
      <c r="I2249" s="25">
        <f>IFERROR(INDEX(Pedidos!$E$2:$E$1801,MATCH(B2249,Pedidos!$A$2:$A$1801,0)),"")</f>
        <v/>
      </c>
      <c r="J2249" s="25">
        <f>IFERROR(INDEX(Pedidos!$C$2:$C$1801,MATCH(B2249,Pedidos!$A$2:$A$1801,0)),"")</f>
        <v/>
      </c>
      <c r="K2249" s="25">
        <f>IFERROR(INDEX(Pedidos!$D$2:$D$1801,MATCH(B2249,Pedidos!$A$2:$A$1801,0)),"")</f>
        <v/>
      </c>
      <c r="L2249" s="25">
        <f>IFERROR(INDEX(Pedidos!$F$2:$F$1801,MATCH(B2249,Pedidos!$A$2:$A$1801,0)),"")</f>
        <v/>
      </c>
      <c r="M2249" s="26">
        <f>IFERROR(INDEX(Pedidos!$G$2:$G$1801,MATCH(B2249,Pedidos!$A$2:$A$1801,0)),0)</f>
        <v/>
      </c>
      <c r="N2249" s="25">
        <f>IFERROR(INDEX(Produtos!$B$2:$B$71,MATCH(C2249,Produtos!$A$2:$A$71,0)),"")</f>
        <v/>
      </c>
      <c r="O2249" s="25">
        <f>IFERROR(INDEX(Produtos!$C$2:$C$71,MATCH(C2249,Produtos!$A$2:$A$71,0)),"")</f>
        <v/>
      </c>
      <c r="P2249" s="25">
        <f>IFERROR(INDEX(Produtos!$D$2:$D$71,MATCH(C2249,Produtos!$A$2:$A$71,0)),0)</f>
        <v/>
      </c>
      <c r="Q2249" s="25">
        <f>IFERROR(INDEX(Produtos!$E$2:$E$71,MATCH(C2249,Produtos!$A$2:$A$71,0)),0)</f>
        <v/>
      </c>
      <c r="R2249" s="27">
        <f>D2249*Q2249</f>
        <v/>
      </c>
      <c r="S2249" s="27">
        <f>R2249*E2249</f>
        <v/>
      </c>
      <c r="T2249" s="27">
        <f>(R2249-S2249)*M2249</f>
        <v/>
      </c>
      <c r="U2249" s="27">
        <f>R2249-S2249-T2249</f>
        <v/>
      </c>
      <c r="V2249" s="27">
        <f>D2249*P2249</f>
        <v/>
      </c>
      <c r="W2249" s="27">
        <f>U2249-V2249</f>
        <v/>
      </c>
      <c r="X2249" s="28">
        <f>IFERROR(W2249/U2249,0)</f>
        <v/>
      </c>
    </row>
    <row r="2250">
      <c r="A2250" s="21">
        <f>ItensPedido!A2250</f>
        <v/>
      </c>
      <c r="B2250" s="21">
        <f>ItensPedido!B2250</f>
        <v/>
      </c>
      <c r="C2250" s="21">
        <f>ItensPedido!C2250</f>
        <v/>
      </c>
      <c r="D2250" s="21">
        <f>ItensPedido!D2250</f>
        <v/>
      </c>
      <c r="E2250" s="22">
        <f>ItensPedido!E2250</f>
        <v/>
      </c>
      <c r="F2250" s="21">
        <f>IFERROR(INDEX(Pedidos!$B$2:$B$1801,MATCH(B2250,Pedidos!$A$2:$A$1801,0)),0)</f>
        <v/>
      </c>
      <c r="G2250" s="21">
        <f>IF(F2250=0,"",YEAR(F2250))</f>
        <v/>
      </c>
      <c r="H2250" s="21">
        <f>IF(F2250=0,"",MONTH(F2250))</f>
        <v/>
      </c>
      <c r="I2250" s="21">
        <f>IFERROR(INDEX(Pedidos!$E$2:$E$1801,MATCH(B2250,Pedidos!$A$2:$A$1801,0)),"")</f>
        <v/>
      </c>
      <c r="J2250" s="21">
        <f>IFERROR(INDEX(Pedidos!$C$2:$C$1801,MATCH(B2250,Pedidos!$A$2:$A$1801,0)),"")</f>
        <v/>
      </c>
      <c r="K2250" s="21">
        <f>IFERROR(INDEX(Pedidos!$D$2:$D$1801,MATCH(B2250,Pedidos!$A$2:$A$1801,0)),"")</f>
        <v/>
      </c>
      <c r="L2250" s="21">
        <f>IFERROR(INDEX(Pedidos!$F$2:$F$1801,MATCH(B2250,Pedidos!$A$2:$A$1801,0)),"")</f>
        <v/>
      </c>
      <c r="M2250" s="22">
        <f>IFERROR(INDEX(Pedidos!$G$2:$G$1801,MATCH(B2250,Pedidos!$A$2:$A$1801,0)),0)</f>
        <v/>
      </c>
      <c r="N2250" s="21">
        <f>IFERROR(INDEX(Produtos!$B$2:$B$71,MATCH(C2250,Produtos!$A$2:$A$71,0)),"")</f>
        <v/>
      </c>
      <c r="O2250" s="21">
        <f>IFERROR(INDEX(Produtos!$C$2:$C$71,MATCH(C2250,Produtos!$A$2:$A$71,0)),"")</f>
        <v/>
      </c>
      <c r="P2250" s="21">
        <f>IFERROR(INDEX(Produtos!$D$2:$D$71,MATCH(C2250,Produtos!$A$2:$A$71,0)),0)</f>
        <v/>
      </c>
      <c r="Q2250" s="21">
        <f>IFERROR(INDEX(Produtos!$E$2:$E$71,MATCH(C2250,Produtos!$A$2:$A$71,0)),0)</f>
        <v/>
      </c>
      <c r="R2250" s="23">
        <f>D2250*Q2250</f>
        <v/>
      </c>
      <c r="S2250" s="23">
        <f>R2250*E2250</f>
        <v/>
      </c>
      <c r="T2250" s="23">
        <f>(R2250-S2250)*M2250</f>
        <v/>
      </c>
      <c r="U2250" s="23">
        <f>R2250-S2250-T2250</f>
        <v/>
      </c>
      <c r="V2250" s="23">
        <f>D2250*P2250</f>
        <v/>
      </c>
      <c r="W2250" s="23">
        <f>U2250-V2250</f>
        <v/>
      </c>
      <c r="X2250" s="24">
        <f>IFERROR(W2250/U2250,0)</f>
        <v/>
      </c>
    </row>
    <row r="2251">
      <c r="A2251" s="25">
        <f>ItensPedido!A2251</f>
        <v/>
      </c>
      <c r="B2251" s="25">
        <f>ItensPedido!B2251</f>
        <v/>
      </c>
      <c r="C2251" s="25">
        <f>ItensPedido!C2251</f>
        <v/>
      </c>
      <c r="D2251" s="25">
        <f>ItensPedido!D2251</f>
        <v/>
      </c>
      <c r="E2251" s="26">
        <f>ItensPedido!E2251</f>
        <v/>
      </c>
      <c r="F2251" s="25">
        <f>IFERROR(INDEX(Pedidos!$B$2:$B$1801,MATCH(B2251,Pedidos!$A$2:$A$1801,0)),0)</f>
        <v/>
      </c>
      <c r="G2251" s="25">
        <f>IF(F2251=0,"",YEAR(F2251))</f>
        <v/>
      </c>
      <c r="H2251" s="25">
        <f>IF(F2251=0,"",MONTH(F2251))</f>
        <v/>
      </c>
      <c r="I2251" s="25">
        <f>IFERROR(INDEX(Pedidos!$E$2:$E$1801,MATCH(B2251,Pedidos!$A$2:$A$1801,0)),"")</f>
        <v/>
      </c>
      <c r="J2251" s="25">
        <f>IFERROR(INDEX(Pedidos!$C$2:$C$1801,MATCH(B2251,Pedidos!$A$2:$A$1801,0)),"")</f>
        <v/>
      </c>
      <c r="K2251" s="25">
        <f>IFERROR(INDEX(Pedidos!$D$2:$D$1801,MATCH(B2251,Pedidos!$A$2:$A$1801,0)),"")</f>
        <v/>
      </c>
      <c r="L2251" s="25">
        <f>IFERROR(INDEX(Pedidos!$F$2:$F$1801,MATCH(B2251,Pedidos!$A$2:$A$1801,0)),"")</f>
        <v/>
      </c>
      <c r="M2251" s="26">
        <f>IFERROR(INDEX(Pedidos!$G$2:$G$1801,MATCH(B2251,Pedidos!$A$2:$A$1801,0)),0)</f>
        <v/>
      </c>
      <c r="N2251" s="25">
        <f>IFERROR(INDEX(Produtos!$B$2:$B$71,MATCH(C2251,Produtos!$A$2:$A$71,0)),"")</f>
        <v/>
      </c>
      <c r="O2251" s="25">
        <f>IFERROR(INDEX(Produtos!$C$2:$C$71,MATCH(C2251,Produtos!$A$2:$A$71,0)),"")</f>
        <v/>
      </c>
      <c r="P2251" s="25">
        <f>IFERROR(INDEX(Produtos!$D$2:$D$71,MATCH(C2251,Produtos!$A$2:$A$71,0)),0)</f>
        <v/>
      </c>
      <c r="Q2251" s="25">
        <f>IFERROR(INDEX(Produtos!$E$2:$E$71,MATCH(C2251,Produtos!$A$2:$A$71,0)),0)</f>
        <v/>
      </c>
      <c r="R2251" s="27">
        <f>D2251*Q2251</f>
        <v/>
      </c>
      <c r="S2251" s="27">
        <f>R2251*E2251</f>
        <v/>
      </c>
      <c r="T2251" s="27">
        <f>(R2251-S2251)*M2251</f>
        <v/>
      </c>
      <c r="U2251" s="27">
        <f>R2251-S2251-T2251</f>
        <v/>
      </c>
      <c r="V2251" s="27">
        <f>D2251*P2251</f>
        <v/>
      </c>
      <c r="W2251" s="27">
        <f>U2251-V2251</f>
        <v/>
      </c>
      <c r="X2251" s="28">
        <f>IFERROR(W2251/U2251,0)</f>
        <v/>
      </c>
    </row>
    <row r="2252">
      <c r="A2252" s="21">
        <f>ItensPedido!A2252</f>
        <v/>
      </c>
      <c r="B2252" s="21">
        <f>ItensPedido!B2252</f>
        <v/>
      </c>
      <c r="C2252" s="21">
        <f>ItensPedido!C2252</f>
        <v/>
      </c>
      <c r="D2252" s="21">
        <f>ItensPedido!D2252</f>
        <v/>
      </c>
      <c r="E2252" s="22">
        <f>ItensPedido!E2252</f>
        <v/>
      </c>
      <c r="F2252" s="21">
        <f>IFERROR(INDEX(Pedidos!$B$2:$B$1801,MATCH(B2252,Pedidos!$A$2:$A$1801,0)),0)</f>
        <v/>
      </c>
      <c r="G2252" s="21">
        <f>IF(F2252=0,"",YEAR(F2252))</f>
        <v/>
      </c>
      <c r="H2252" s="21">
        <f>IF(F2252=0,"",MONTH(F2252))</f>
        <v/>
      </c>
      <c r="I2252" s="21">
        <f>IFERROR(INDEX(Pedidos!$E$2:$E$1801,MATCH(B2252,Pedidos!$A$2:$A$1801,0)),"")</f>
        <v/>
      </c>
      <c r="J2252" s="21">
        <f>IFERROR(INDEX(Pedidos!$C$2:$C$1801,MATCH(B2252,Pedidos!$A$2:$A$1801,0)),"")</f>
        <v/>
      </c>
      <c r="K2252" s="21">
        <f>IFERROR(INDEX(Pedidos!$D$2:$D$1801,MATCH(B2252,Pedidos!$A$2:$A$1801,0)),"")</f>
        <v/>
      </c>
      <c r="L2252" s="21">
        <f>IFERROR(INDEX(Pedidos!$F$2:$F$1801,MATCH(B2252,Pedidos!$A$2:$A$1801,0)),"")</f>
        <v/>
      </c>
      <c r="M2252" s="22">
        <f>IFERROR(INDEX(Pedidos!$G$2:$G$1801,MATCH(B2252,Pedidos!$A$2:$A$1801,0)),0)</f>
        <v/>
      </c>
      <c r="N2252" s="21">
        <f>IFERROR(INDEX(Produtos!$B$2:$B$71,MATCH(C2252,Produtos!$A$2:$A$71,0)),"")</f>
        <v/>
      </c>
      <c r="O2252" s="21">
        <f>IFERROR(INDEX(Produtos!$C$2:$C$71,MATCH(C2252,Produtos!$A$2:$A$71,0)),"")</f>
        <v/>
      </c>
      <c r="P2252" s="21">
        <f>IFERROR(INDEX(Produtos!$D$2:$D$71,MATCH(C2252,Produtos!$A$2:$A$71,0)),0)</f>
        <v/>
      </c>
      <c r="Q2252" s="21">
        <f>IFERROR(INDEX(Produtos!$E$2:$E$71,MATCH(C2252,Produtos!$A$2:$A$71,0)),0)</f>
        <v/>
      </c>
      <c r="R2252" s="23">
        <f>D2252*Q2252</f>
        <v/>
      </c>
      <c r="S2252" s="23">
        <f>R2252*E2252</f>
        <v/>
      </c>
      <c r="T2252" s="23">
        <f>(R2252-S2252)*M2252</f>
        <v/>
      </c>
      <c r="U2252" s="23">
        <f>R2252-S2252-T2252</f>
        <v/>
      </c>
      <c r="V2252" s="23">
        <f>D2252*P2252</f>
        <v/>
      </c>
      <c r="W2252" s="23">
        <f>U2252-V2252</f>
        <v/>
      </c>
      <c r="X2252" s="24">
        <f>IFERROR(W2252/U2252,0)</f>
        <v/>
      </c>
    </row>
    <row r="2253">
      <c r="A2253" s="25">
        <f>ItensPedido!A2253</f>
        <v/>
      </c>
      <c r="B2253" s="25">
        <f>ItensPedido!B2253</f>
        <v/>
      </c>
      <c r="C2253" s="25">
        <f>ItensPedido!C2253</f>
        <v/>
      </c>
      <c r="D2253" s="25">
        <f>ItensPedido!D2253</f>
        <v/>
      </c>
      <c r="E2253" s="26">
        <f>ItensPedido!E2253</f>
        <v/>
      </c>
      <c r="F2253" s="25">
        <f>IFERROR(INDEX(Pedidos!$B$2:$B$1801,MATCH(B2253,Pedidos!$A$2:$A$1801,0)),0)</f>
        <v/>
      </c>
      <c r="G2253" s="25">
        <f>IF(F2253=0,"",YEAR(F2253))</f>
        <v/>
      </c>
      <c r="H2253" s="25">
        <f>IF(F2253=0,"",MONTH(F2253))</f>
        <v/>
      </c>
      <c r="I2253" s="25">
        <f>IFERROR(INDEX(Pedidos!$E$2:$E$1801,MATCH(B2253,Pedidos!$A$2:$A$1801,0)),"")</f>
        <v/>
      </c>
      <c r="J2253" s="25">
        <f>IFERROR(INDEX(Pedidos!$C$2:$C$1801,MATCH(B2253,Pedidos!$A$2:$A$1801,0)),"")</f>
        <v/>
      </c>
      <c r="K2253" s="25">
        <f>IFERROR(INDEX(Pedidos!$D$2:$D$1801,MATCH(B2253,Pedidos!$A$2:$A$1801,0)),"")</f>
        <v/>
      </c>
      <c r="L2253" s="25">
        <f>IFERROR(INDEX(Pedidos!$F$2:$F$1801,MATCH(B2253,Pedidos!$A$2:$A$1801,0)),"")</f>
        <v/>
      </c>
      <c r="M2253" s="26">
        <f>IFERROR(INDEX(Pedidos!$G$2:$G$1801,MATCH(B2253,Pedidos!$A$2:$A$1801,0)),0)</f>
        <v/>
      </c>
      <c r="N2253" s="25">
        <f>IFERROR(INDEX(Produtos!$B$2:$B$71,MATCH(C2253,Produtos!$A$2:$A$71,0)),"")</f>
        <v/>
      </c>
      <c r="O2253" s="25">
        <f>IFERROR(INDEX(Produtos!$C$2:$C$71,MATCH(C2253,Produtos!$A$2:$A$71,0)),"")</f>
        <v/>
      </c>
      <c r="P2253" s="25">
        <f>IFERROR(INDEX(Produtos!$D$2:$D$71,MATCH(C2253,Produtos!$A$2:$A$71,0)),0)</f>
        <v/>
      </c>
      <c r="Q2253" s="25">
        <f>IFERROR(INDEX(Produtos!$E$2:$E$71,MATCH(C2253,Produtos!$A$2:$A$71,0)),0)</f>
        <v/>
      </c>
      <c r="R2253" s="27">
        <f>D2253*Q2253</f>
        <v/>
      </c>
      <c r="S2253" s="27">
        <f>R2253*E2253</f>
        <v/>
      </c>
      <c r="T2253" s="27">
        <f>(R2253-S2253)*M2253</f>
        <v/>
      </c>
      <c r="U2253" s="27">
        <f>R2253-S2253-T2253</f>
        <v/>
      </c>
      <c r="V2253" s="27">
        <f>D2253*P2253</f>
        <v/>
      </c>
      <c r="W2253" s="27">
        <f>U2253-V2253</f>
        <v/>
      </c>
      <c r="X2253" s="28">
        <f>IFERROR(W2253/U2253,0)</f>
        <v/>
      </c>
    </row>
    <row r="2254">
      <c r="A2254" s="21">
        <f>ItensPedido!A2254</f>
        <v/>
      </c>
      <c r="B2254" s="21">
        <f>ItensPedido!B2254</f>
        <v/>
      </c>
      <c r="C2254" s="21">
        <f>ItensPedido!C2254</f>
        <v/>
      </c>
      <c r="D2254" s="21">
        <f>ItensPedido!D2254</f>
        <v/>
      </c>
      <c r="E2254" s="22">
        <f>ItensPedido!E2254</f>
        <v/>
      </c>
      <c r="F2254" s="21">
        <f>IFERROR(INDEX(Pedidos!$B$2:$B$1801,MATCH(B2254,Pedidos!$A$2:$A$1801,0)),0)</f>
        <v/>
      </c>
      <c r="G2254" s="21">
        <f>IF(F2254=0,"",YEAR(F2254))</f>
        <v/>
      </c>
      <c r="H2254" s="21">
        <f>IF(F2254=0,"",MONTH(F2254))</f>
        <v/>
      </c>
      <c r="I2254" s="21">
        <f>IFERROR(INDEX(Pedidos!$E$2:$E$1801,MATCH(B2254,Pedidos!$A$2:$A$1801,0)),"")</f>
        <v/>
      </c>
      <c r="J2254" s="21">
        <f>IFERROR(INDEX(Pedidos!$C$2:$C$1801,MATCH(B2254,Pedidos!$A$2:$A$1801,0)),"")</f>
        <v/>
      </c>
      <c r="K2254" s="21">
        <f>IFERROR(INDEX(Pedidos!$D$2:$D$1801,MATCH(B2254,Pedidos!$A$2:$A$1801,0)),"")</f>
        <v/>
      </c>
      <c r="L2254" s="21">
        <f>IFERROR(INDEX(Pedidos!$F$2:$F$1801,MATCH(B2254,Pedidos!$A$2:$A$1801,0)),"")</f>
        <v/>
      </c>
      <c r="M2254" s="22">
        <f>IFERROR(INDEX(Pedidos!$G$2:$G$1801,MATCH(B2254,Pedidos!$A$2:$A$1801,0)),0)</f>
        <v/>
      </c>
      <c r="N2254" s="21">
        <f>IFERROR(INDEX(Produtos!$B$2:$B$71,MATCH(C2254,Produtos!$A$2:$A$71,0)),"")</f>
        <v/>
      </c>
      <c r="O2254" s="21">
        <f>IFERROR(INDEX(Produtos!$C$2:$C$71,MATCH(C2254,Produtos!$A$2:$A$71,0)),"")</f>
        <v/>
      </c>
      <c r="P2254" s="21">
        <f>IFERROR(INDEX(Produtos!$D$2:$D$71,MATCH(C2254,Produtos!$A$2:$A$71,0)),0)</f>
        <v/>
      </c>
      <c r="Q2254" s="21">
        <f>IFERROR(INDEX(Produtos!$E$2:$E$71,MATCH(C2254,Produtos!$A$2:$A$71,0)),0)</f>
        <v/>
      </c>
      <c r="R2254" s="23">
        <f>D2254*Q2254</f>
        <v/>
      </c>
      <c r="S2254" s="23">
        <f>R2254*E2254</f>
        <v/>
      </c>
      <c r="T2254" s="23">
        <f>(R2254-S2254)*M2254</f>
        <v/>
      </c>
      <c r="U2254" s="23">
        <f>R2254-S2254-T2254</f>
        <v/>
      </c>
      <c r="V2254" s="23">
        <f>D2254*P2254</f>
        <v/>
      </c>
      <c r="W2254" s="23">
        <f>U2254-V2254</f>
        <v/>
      </c>
      <c r="X2254" s="24">
        <f>IFERROR(W2254/U2254,0)</f>
        <v/>
      </c>
    </row>
    <row r="2255">
      <c r="A2255" s="25">
        <f>ItensPedido!A2255</f>
        <v/>
      </c>
      <c r="B2255" s="25">
        <f>ItensPedido!B2255</f>
        <v/>
      </c>
      <c r="C2255" s="25">
        <f>ItensPedido!C2255</f>
        <v/>
      </c>
      <c r="D2255" s="25">
        <f>ItensPedido!D2255</f>
        <v/>
      </c>
      <c r="E2255" s="26">
        <f>ItensPedido!E2255</f>
        <v/>
      </c>
      <c r="F2255" s="25">
        <f>IFERROR(INDEX(Pedidos!$B$2:$B$1801,MATCH(B2255,Pedidos!$A$2:$A$1801,0)),0)</f>
        <v/>
      </c>
      <c r="G2255" s="25">
        <f>IF(F2255=0,"",YEAR(F2255))</f>
        <v/>
      </c>
      <c r="H2255" s="25">
        <f>IF(F2255=0,"",MONTH(F2255))</f>
        <v/>
      </c>
      <c r="I2255" s="25">
        <f>IFERROR(INDEX(Pedidos!$E$2:$E$1801,MATCH(B2255,Pedidos!$A$2:$A$1801,0)),"")</f>
        <v/>
      </c>
      <c r="J2255" s="25">
        <f>IFERROR(INDEX(Pedidos!$C$2:$C$1801,MATCH(B2255,Pedidos!$A$2:$A$1801,0)),"")</f>
        <v/>
      </c>
      <c r="K2255" s="25">
        <f>IFERROR(INDEX(Pedidos!$D$2:$D$1801,MATCH(B2255,Pedidos!$A$2:$A$1801,0)),"")</f>
        <v/>
      </c>
      <c r="L2255" s="25">
        <f>IFERROR(INDEX(Pedidos!$F$2:$F$1801,MATCH(B2255,Pedidos!$A$2:$A$1801,0)),"")</f>
        <v/>
      </c>
      <c r="M2255" s="26">
        <f>IFERROR(INDEX(Pedidos!$G$2:$G$1801,MATCH(B2255,Pedidos!$A$2:$A$1801,0)),0)</f>
        <v/>
      </c>
      <c r="N2255" s="25">
        <f>IFERROR(INDEX(Produtos!$B$2:$B$71,MATCH(C2255,Produtos!$A$2:$A$71,0)),"")</f>
        <v/>
      </c>
      <c r="O2255" s="25">
        <f>IFERROR(INDEX(Produtos!$C$2:$C$71,MATCH(C2255,Produtos!$A$2:$A$71,0)),"")</f>
        <v/>
      </c>
      <c r="P2255" s="25">
        <f>IFERROR(INDEX(Produtos!$D$2:$D$71,MATCH(C2255,Produtos!$A$2:$A$71,0)),0)</f>
        <v/>
      </c>
      <c r="Q2255" s="25">
        <f>IFERROR(INDEX(Produtos!$E$2:$E$71,MATCH(C2255,Produtos!$A$2:$A$71,0)),0)</f>
        <v/>
      </c>
      <c r="R2255" s="27">
        <f>D2255*Q2255</f>
        <v/>
      </c>
      <c r="S2255" s="27">
        <f>R2255*E2255</f>
        <v/>
      </c>
      <c r="T2255" s="27">
        <f>(R2255-S2255)*M2255</f>
        <v/>
      </c>
      <c r="U2255" s="27">
        <f>R2255-S2255-T2255</f>
        <v/>
      </c>
      <c r="V2255" s="27">
        <f>D2255*P2255</f>
        <v/>
      </c>
      <c r="W2255" s="27">
        <f>U2255-V2255</f>
        <v/>
      </c>
      <c r="X2255" s="28">
        <f>IFERROR(W2255/U2255,0)</f>
        <v/>
      </c>
    </row>
    <row r="2256">
      <c r="A2256" s="21">
        <f>ItensPedido!A2256</f>
        <v/>
      </c>
      <c r="B2256" s="21">
        <f>ItensPedido!B2256</f>
        <v/>
      </c>
      <c r="C2256" s="21">
        <f>ItensPedido!C2256</f>
        <v/>
      </c>
      <c r="D2256" s="21">
        <f>ItensPedido!D2256</f>
        <v/>
      </c>
      <c r="E2256" s="22">
        <f>ItensPedido!E2256</f>
        <v/>
      </c>
      <c r="F2256" s="21">
        <f>IFERROR(INDEX(Pedidos!$B$2:$B$1801,MATCH(B2256,Pedidos!$A$2:$A$1801,0)),0)</f>
        <v/>
      </c>
      <c r="G2256" s="21">
        <f>IF(F2256=0,"",YEAR(F2256))</f>
        <v/>
      </c>
      <c r="H2256" s="21">
        <f>IF(F2256=0,"",MONTH(F2256))</f>
        <v/>
      </c>
      <c r="I2256" s="21">
        <f>IFERROR(INDEX(Pedidos!$E$2:$E$1801,MATCH(B2256,Pedidos!$A$2:$A$1801,0)),"")</f>
        <v/>
      </c>
      <c r="J2256" s="21">
        <f>IFERROR(INDEX(Pedidos!$C$2:$C$1801,MATCH(B2256,Pedidos!$A$2:$A$1801,0)),"")</f>
        <v/>
      </c>
      <c r="K2256" s="21">
        <f>IFERROR(INDEX(Pedidos!$D$2:$D$1801,MATCH(B2256,Pedidos!$A$2:$A$1801,0)),"")</f>
        <v/>
      </c>
      <c r="L2256" s="21">
        <f>IFERROR(INDEX(Pedidos!$F$2:$F$1801,MATCH(B2256,Pedidos!$A$2:$A$1801,0)),"")</f>
        <v/>
      </c>
      <c r="M2256" s="22">
        <f>IFERROR(INDEX(Pedidos!$G$2:$G$1801,MATCH(B2256,Pedidos!$A$2:$A$1801,0)),0)</f>
        <v/>
      </c>
      <c r="N2256" s="21">
        <f>IFERROR(INDEX(Produtos!$B$2:$B$71,MATCH(C2256,Produtos!$A$2:$A$71,0)),"")</f>
        <v/>
      </c>
      <c r="O2256" s="21">
        <f>IFERROR(INDEX(Produtos!$C$2:$C$71,MATCH(C2256,Produtos!$A$2:$A$71,0)),"")</f>
        <v/>
      </c>
      <c r="P2256" s="21">
        <f>IFERROR(INDEX(Produtos!$D$2:$D$71,MATCH(C2256,Produtos!$A$2:$A$71,0)),0)</f>
        <v/>
      </c>
      <c r="Q2256" s="21">
        <f>IFERROR(INDEX(Produtos!$E$2:$E$71,MATCH(C2256,Produtos!$A$2:$A$71,0)),0)</f>
        <v/>
      </c>
      <c r="R2256" s="23">
        <f>D2256*Q2256</f>
        <v/>
      </c>
      <c r="S2256" s="23">
        <f>R2256*E2256</f>
        <v/>
      </c>
      <c r="T2256" s="23">
        <f>(R2256-S2256)*M2256</f>
        <v/>
      </c>
      <c r="U2256" s="23">
        <f>R2256-S2256-T2256</f>
        <v/>
      </c>
      <c r="V2256" s="23">
        <f>D2256*P2256</f>
        <v/>
      </c>
      <c r="W2256" s="23">
        <f>U2256-V2256</f>
        <v/>
      </c>
      <c r="X2256" s="24">
        <f>IFERROR(W2256/U2256,0)</f>
        <v/>
      </c>
    </row>
    <row r="2257">
      <c r="A2257" s="25">
        <f>ItensPedido!A2257</f>
        <v/>
      </c>
      <c r="B2257" s="25">
        <f>ItensPedido!B2257</f>
        <v/>
      </c>
      <c r="C2257" s="25">
        <f>ItensPedido!C2257</f>
        <v/>
      </c>
      <c r="D2257" s="25">
        <f>ItensPedido!D2257</f>
        <v/>
      </c>
      <c r="E2257" s="26">
        <f>ItensPedido!E2257</f>
        <v/>
      </c>
      <c r="F2257" s="25">
        <f>IFERROR(INDEX(Pedidos!$B$2:$B$1801,MATCH(B2257,Pedidos!$A$2:$A$1801,0)),0)</f>
        <v/>
      </c>
      <c r="G2257" s="25">
        <f>IF(F2257=0,"",YEAR(F2257))</f>
        <v/>
      </c>
      <c r="H2257" s="25">
        <f>IF(F2257=0,"",MONTH(F2257))</f>
        <v/>
      </c>
      <c r="I2257" s="25">
        <f>IFERROR(INDEX(Pedidos!$E$2:$E$1801,MATCH(B2257,Pedidos!$A$2:$A$1801,0)),"")</f>
        <v/>
      </c>
      <c r="J2257" s="25">
        <f>IFERROR(INDEX(Pedidos!$C$2:$C$1801,MATCH(B2257,Pedidos!$A$2:$A$1801,0)),"")</f>
        <v/>
      </c>
      <c r="K2257" s="25">
        <f>IFERROR(INDEX(Pedidos!$D$2:$D$1801,MATCH(B2257,Pedidos!$A$2:$A$1801,0)),"")</f>
        <v/>
      </c>
      <c r="L2257" s="25">
        <f>IFERROR(INDEX(Pedidos!$F$2:$F$1801,MATCH(B2257,Pedidos!$A$2:$A$1801,0)),"")</f>
        <v/>
      </c>
      <c r="M2257" s="26">
        <f>IFERROR(INDEX(Pedidos!$G$2:$G$1801,MATCH(B2257,Pedidos!$A$2:$A$1801,0)),0)</f>
        <v/>
      </c>
      <c r="N2257" s="25">
        <f>IFERROR(INDEX(Produtos!$B$2:$B$71,MATCH(C2257,Produtos!$A$2:$A$71,0)),"")</f>
        <v/>
      </c>
      <c r="O2257" s="25">
        <f>IFERROR(INDEX(Produtos!$C$2:$C$71,MATCH(C2257,Produtos!$A$2:$A$71,0)),"")</f>
        <v/>
      </c>
      <c r="P2257" s="25">
        <f>IFERROR(INDEX(Produtos!$D$2:$D$71,MATCH(C2257,Produtos!$A$2:$A$71,0)),0)</f>
        <v/>
      </c>
      <c r="Q2257" s="25">
        <f>IFERROR(INDEX(Produtos!$E$2:$E$71,MATCH(C2257,Produtos!$A$2:$A$71,0)),0)</f>
        <v/>
      </c>
      <c r="R2257" s="27">
        <f>D2257*Q2257</f>
        <v/>
      </c>
      <c r="S2257" s="27">
        <f>R2257*E2257</f>
        <v/>
      </c>
      <c r="T2257" s="27">
        <f>(R2257-S2257)*M2257</f>
        <v/>
      </c>
      <c r="U2257" s="27">
        <f>R2257-S2257-T2257</f>
        <v/>
      </c>
      <c r="V2257" s="27">
        <f>D2257*P2257</f>
        <v/>
      </c>
      <c r="W2257" s="27">
        <f>U2257-V2257</f>
        <v/>
      </c>
      <c r="X2257" s="28">
        <f>IFERROR(W2257/U2257,0)</f>
        <v/>
      </c>
    </row>
    <row r="2258">
      <c r="A2258" s="21">
        <f>ItensPedido!A2258</f>
        <v/>
      </c>
      <c r="B2258" s="21">
        <f>ItensPedido!B2258</f>
        <v/>
      </c>
      <c r="C2258" s="21">
        <f>ItensPedido!C2258</f>
        <v/>
      </c>
      <c r="D2258" s="21">
        <f>ItensPedido!D2258</f>
        <v/>
      </c>
      <c r="E2258" s="22">
        <f>ItensPedido!E2258</f>
        <v/>
      </c>
      <c r="F2258" s="21">
        <f>IFERROR(INDEX(Pedidos!$B$2:$B$1801,MATCH(B2258,Pedidos!$A$2:$A$1801,0)),0)</f>
        <v/>
      </c>
      <c r="G2258" s="21">
        <f>IF(F2258=0,"",YEAR(F2258))</f>
        <v/>
      </c>
      <c r="H2258" s="21">
        <f>IF(F2258=0,"",MONTH(F2258))</f>
        <v/>
      </c>
      <c r="I2258" s="21">
        <f>IFERROR(INDEX(Pedidos!$E$2:$E$1801,MATCH(B2258,Pedidos!$A$2:$A$1801,0)),"")</f>
        <v/>
      </c>
      <c r="J2258" s="21">
        <f>IFERROR(INDEX(Pedidos!$C$2:$C$1801,MATCH(B2258,Pedidos!$A$2:$A$1801,0)),"")</f>
        <v/>
      </c>
      <c r="K2258" s="21">
        <f>IFERROR(INDEX(Pedidos!$D$2:$D$1801,MATCH(B2258,Pedidos!$A$2:$A$1801,0)),"")</f>
        <v/>
      </c>
      <c r="L2258" s="21">
        <f>IFERROR(INDEX(Pedidos!$F$2:$F$1801,MATCH(B2258,Pedidos!$A$2:$A$1801,0)),"")</f>
        <v/>
      </c>
      <c r="M2258" s="22">
        <f>IFERROR(INDEX(Pedidos!$G$2:$G$1801,MATCH(B2258,Pedidos!$A$2:$A$1801,0)),0)</f>
        <v/>
      </c>
      <c r="N2258" s="21">
        <f>IFERROR(INDEX(Produtos!$B$2:$B$71,MATCH(C2258,Produtos!$A$2:$A$71,0)),"")</f>
        <v/>
      </c>
      <c r="O2258" s="21">
        <f>IFERROR(INDEX(Produtos!$C$2:$C$71,MATCH(C2258,Produtos!$A$2:$A$71,0)),"")</f>
        <v/>
      </c>
      <c r="P2258" s="21">
        <f>IFERROR(INDEX(Produtos!$D$2:$D$71,MATCH(C2258,Produtos!$A$2:$A$71,0)),0)</f>
        <v/>
      </c>
      <c r="Q2258" s="21">
        <f>IFERROR(INDEX(Produtos!$E$2:$E$71,MATCH(C2258,Produtos!$A$2:$A$71,0)),0)</f>
        <v/>
      </c>
      <c r="R2258" s="23">
        <f>D2258*Q2258</f>
        <v/>
      </c>
      <c r="S2258" s="23">
        <f>R2258*E2258</f>
        <v/>
      </c>
      <c r="T2258" s="23">
        <f>(R2258-S2258)*M2258</f>
        <v/>
      </c>
      <c r="U2258" s="23">
        <f>R2258-S2258-T2258</f>
        <v/>
      </c>
      <c r="V2258" s="23">
        <f>D2258*P2258</f>
        <v/>
      </c>
      <c r="W2258" s="23">
        <f>U2258-V2258</f>
        <v/>
      </c>
      <c r="X2258" s="24">
        <f>IFERROR(W2258/U2258,0)</f>
        <v/>
      </c>
    </row>
    <row r="2259">
      <c r="A2259" s="25">
        <f>ItensPedido!A2259</f>
        <v/>
      </c>
      <c r="B2259" s="25">
        <f>ItensPedido!B2259</f>
        <v/>
      </c>
      <c r="C2259" s="25">
        <f>ItensPedido!C2259</f>
        <v/>
      </c>
      <c r="D2259" s="25">
        <f>ItensPedido!D2259</f>
        <v/>
      </c>
      <c r="E2259" s="26">
        <f>ItensPedido!E2259</f>
        <v/>
      </c>
      <c r="F2259" s="25">
        <f>IFERROR(INDEX(Pedidos!$B$2:$B$1801,MATCH(B2259,Pedidos!$A$2:$A$1801,0)),0)</f>
        <v/>
      </c>
      <c r="G2259" s="25">
        <f>IF(F2259=0,"",YEAR(F2259))</f>
        <v/>
      </c>
      <c r="H2259" s="25">
        <f>IF(F2259=0,"",MONTH(F2259))</f>
        <v/>
      </c>
      <c r="I2259" s="25">
        <f>IFERROR(INDEX(Pedidos!$E$2:$E$1801,MATCH(B2259,Pedidos!$A$2:$A$1801,0)),"")</f>
        <v/>
      </c>
      <c r="J2259" s="25">
        <f>IFERROR(INDEX(Pedidos!$C$2:$C$1801,MATCH(B2259,Pedidos!$A$2:$A$1801,0)),"")</f>
        <v/>
      </c>
      <c r="K2259" s="25">
        <f>IFERROR(INDEX(Pedidos!$D$2:$D$1801,MATCH(B2259,Pedidos!$A$2:$A$1801,0)),"")</f>
        <v/>
      </c>
      <c r="L2259" s="25">
        <f>IFERROR(INDEX(Pedidos!$F$2:$F$1801,MATCH(B2259,Pedidos!$A$2:$A$1801,0)),"")</f>
        <v/>
      </c>
      <c r="M2259" s="26">
        <f>IFERROR(INDEX(Pedidos!$G$2:$G$1801,MATCH(B2259,Pedidos!$A$2:$A$1801,0)),0)</f>
        <v/>
      </c>
      <c r="N2259" s="25">
        <f>IFERROR(INDEX(Produtos!$B$2:$B$71,MATCH(C2259,Produtos!$A$2:$A$71,0)),"")</f>
        <v/>
      </c>
      <c r="O2259" s="25">
        <f>IFERROR(INDEX(Produtos!$C$2:$C$71,MATCH(C2259,Produtos!$A$2:$A$71,0)),"")</f>
        <v/>
      </c>
      <c r="P2259" s="25">
        <f>IFERROR(INDEX(Produtos!$D$2:$D$71,MATCH(C2259,Produtos!$A$2:$A$71,0)),0)</f>
        <v/>
      </c>
      <c r="Q2259" s="25">
        <f>IFERROR(INDEX(Produtos!$E$2:$E$71,MATCH(C2259,Produtos!$A$2:$A$71,0)),0)</f>
        <v/>
      </c>
      <c r="R2259" s="27">
        <f>D2259*Q2259</f>
        <v/>
      </c>
      <c r="S2259" s="27">
        <f>R2259*E2259</f>
        <v/>
      </c>
      <c r="T2259" s="27">
        <f>(R2259-S2259)*M2259</f>
        <v/>
      </c>
      <c r="U2259" s="27">
        <f>R2259-S2259-T2259</f>
        <v/>
      </c>
      <c r="V2259" s="27">
        <f>D2259*P2259</f>
        <v/>
      </c>
      <c r="W2259" s="27">
        <f>U2259-V2259</f>
        <v/>
      </c>
      <c r="X2259" s="28">
        <f>IFERROR(W2259/U2259,0)</f>
        <v/>
      </c>
    </row>
    <row r="2260">
      <c r="A2260" s="21">
        <f>ItensPedido!A2260</f>
        <v/>
      </c>
      <c r="B2260" s="21">
        <f>ItensPedido!B2260</f>
        <v/>
      </c>
      <c r="C2260" s="21">
        <f>ItensPedido!C2260</f>
        <v/>
      </c>
      <c r="D2260" s="21">
        <f>ItensPedido!D2260</f>
        <v/>
      </c>
      <c r="E2260" s="22">
        <f>ItensPedido!E2260</f>
        <v/>
      </c>
      <c r="F2260" s="21">
        <f>IFERROR(INDEX(Pedidos!$B$2:$B$1801,MATCH(B2260,Pedidos!$A$2:$A$1801,0)),0)</f>
        <v/>
      </c>
      <c r="G2260" s="21">
        <f>IF(F2260=0,"",YEAR(F2260))</f>
        <v/>
      </c>
      <c r="H2260" s="21">
        <f>IF(F2260=0,"",MONTH(F2260))</f>
        <v/>
      </c>
      <c r="I2260" s="21">
        <f>IFERROR(INDEX(Pedidos!$E$2:$E$1801,MATCH(B2260,Pedidos!$A$2:$A$1801,0)),"")</f>
        <v/>
      </c>
      <c r="J2260" s="21">
        <f>IFERROR(INDEX(Pedidos!$C$2:$C$1801,MATCH(B2260,Pedidos!$A$2:$A$1801,0)),"")</f>
        <v/>
      </c>
      <c r="K2260" s="21">
        <f>IFERROR(INDEX(Pedidos!$D$2:$D$1801,MATCH(B2260,Pedidos!$A$2:$A$1801,0)),"")</f>
        <v/>
      </c>
      <c r="L2260" s="21">
        <f>IFERROR(INDEX(Pedidos!$F$2:$F$1801,MATCH(B2260,Pedidos!$A$2:$A$1801,0)),"")</f>
        <v/>
      </c>
      <c r="M2260" s="22">
        <f>IFERROR(INDEX(Pedidos!$G$2:$G$1801,MATCH(B2260,Pedidos!$A$2:$A$1801,0)),0)</f>
        <v/>
      </c>
      <c r="N2260" s="21">
        <f>IFERROR(INDEX(Produtos!$B$2:$B$71,MATCH(C2260,Produtos!$A$2:$A$71,0)),"")</f>
        <v/>
      </c>
      <c r="O2260" s="21">
        <f>IFERROR(INDEX(Produtos!$C$2:$C$71,MATCH(C2260,Produtos!$A$2:$A$71,0)),"")</f>
        <v/>
      </c>
      <c r="P2260" s="21">
        <f>IFERROR(INDEX(Produtos!$D$2:$D$71,MATCH(C2260,Produtos!$A$2:$A$71,0)),0)</f>
        <v/>
      </c>
      <c r="Q2260" s="21">
        <f>IFERROR(INDEX(Produtos!$E$2:$E$71,MATCH(C2260,Produtos!$A$2:$A$71,0)),0)</f>
        <v/>
      </c>
      <c r="R2260" s="23">
        <f>D2260*Q2260</f>
        <v/>
      </c>
      <c r="S2260" s="23">
        <f>R2260*E2260</f>
        <v/>
      </c>
      <c r="T2260" s="23">
        <f>(R2260-S2260)*M2260</f>
        <v/>
      </c>
      <c r="U2260" s="23">
        <f>R2260-S2260-T2260</f>
        <v/>
      </c>
      <c r="V2260" s="23">
        <f>D2260*P2260</f>
        <v/>
      </c>
      <c r="W2260" s="23">
        <f>U2260-V2260</f>
        <v/>
      </c>
      <c r="X2260" s="24">
        <f>IFERROR(W2260/U2260,0)</f>
        <v/>
      </c>
    </row>
    <row r="2261">
      <c r="A2261" s="25">
        <f>ItensPedido!A2261</f>
        <v/>
      </c>
      <c r="B2261" s="25">
        <f>ItensPedido!B2261</f>
        <v/>
      </c>
      <c r="C2261" s="25">
        <f>ItensPedido!C2261</f>
        <v/>
      </c>
      <c r="D2261" s="25">
        <f>ItensPedido!D2261</f>
        <v/>
      </c>
      <c r="E2261" s="26">
        <f>ItensPedido!E2261</f>
        <v/>
      </c>
      <c r="F2261" s="25">
        <f>IFERROR(INDEX(Pedidos!$B$2:$B$1801,MATCH(B2261,Pedidos!$A$2:$A$1801,0)),0)</f>
        <v/>
      </c>
      <c r="G2261" s="25">
        <f>IF(F2261=0,"",YEAR(F2261))</f>
        <v/>
      </c>
      <c r="H2261" s="25">
        <f>IF(F2261=0,"",MONTH(F2261))</f>
        <v/>
      </c>
      <c r="I2261" s="25">
        <f>IFERROR(INDEX(Pedidos!$E$2:$E$1801,MATCH(B2261,Pedidos!$A$2:$A$1801,0)),"")</f>
        <v/>
      </c>
      <c r="J2261" s="25">
        <f>IFERROR(INDEX(Pedidos!$C$2:$C$1801,MATCH(B2261,Pedidos!$A$2:$A$1801,0)),"")</f>
        <v/>
      </c>
      <c r="K2261" s="25">
        <f>IFERROR(INDEX(Pedidos!$D$2:$D$1801,MATCH(B2261,Pedidos!$A$2:$A$1801,0)),"")</f>
        <v/>
      </c>
      <c r="L2261" s="25">
        <f>IFERROR(INDEX(Pedidos!$F$2:$F$1801,MATCH(B2261,Pedidos!$A$2:$A$1801,0)),"")</f>
        <v/>
      </c>
      <c r="M2261" s="26">
        <f>IFERROR(INDEX(Pedidos!$G$2:$G$1801,MATCH(B2261,Pedidos!$A$2:$A$1801,0)),0)</f>
        <v/>
      </c>
      <c r="N2261" s="25">
        <f>IFERROR(INDEX(Produtos!$B$2:$B$71,MATCH(C2261,Produtos!$A$2:$A$71,0)),"")</f>
        <v/>
      </c>
      <c r="O2261" s="25">
        <f>IFERROR(INDEX(Produtos!$C$2:$C$71,MATCH(C2261,Produtos!$A$2:$A$71,0)),"")</f>
        <v/>
      </c>
      <c r="P2261" s="25">
        <f>IFERROR(INDEX(Produtos!$D$2:$D$71,MATCH(C2261,Produtos!$A$2:$A$71,0)),0)</f>
        <v/>
      </c>
      <c r="Q2261" s="25">
        <f>IFERROR(INDEX(Produtos!$E$2:$E$71,MATCH(C2261,Produtos!$A$2:$A$71,0)),0)</f>
        <v/>
      </c>
      <c r="R2261" s="27">
        <f>D2261*Q2261</f>
        <v/>
      </c>
      <c r="S2261" s="27">
        <f>R2261*E2261</f>
        <v/>
      </c>
      <c r="T2261" s="27">
        <f>(R2261-S2261)*M2261</f>
        <v/>
      </c>
      <c r="U2261" s="27">
        <f>R2261-S2261-T2261</f>
        <v/>
      </c>
      <c r="V2261" s="27">
        <f>D2261*P2261</f>
        <v/>
      </c>
      <c r="W2261" s="27">
        <f>U2261-V2261</f>
        <v/>
      </c>
      <c r="X2261" s="28">
        <f>IFERROR(W2261/U2261,0)</f>
        <v/>
      </c>
    </row>
    <row r="2262">
      <c r="A2262" s="21">
        <f>ItensPedido!A2262</f>
        <v/>
      </c>
      <c r="B2262" s="21">
        <f>ItensPedido!B2262</f>
        <v/>
      </c>
      <c r="C2262" s="21">
        <f>ItensPedido!C2262</f>
        <v/>
      </c>
      <c r="D2262" s="21">
        <f>ItensPedido!D2262</f>
        <v/>
      </c>
      <c r="E2262" s="22">
        <f>ItensPedido!E2262</f>
        <v/>
      </c>
      <c r="F2262" s="21">
        <f>IFERROR(INDEX(Pedidos!$B$2:$B$1801,MATCH(B2262,Pedidos!$A$2:$A$1801,0)),0)</f>
        <v/>
      </c>
      <c r="G2262" s="21">
        <f>IF(F2262=0,"",YEAR(F2262))</f>
        <v/>
      </c>
      <c r="H2262" s="21">
        <f>IF(F2262=0,"",MONTH(F2262))</f>
        <v/>
      </c>
      <c r="I2262" s="21">
        <f>IFERROR(INDEX(Pedidos!$E$2:$E$1801,MATCH(B2262,Pedidos!$A$2:$A$1801,0)),"")</f>
        <v/>
      </c>
      <c r="J2262" s="21">
        <f>IFERROR(INDEX(Pedidos!$C$2:$C$1801,MATCH(B2262,Pedidos!$A$2:$A$1801,0)),"")</f>
        <v/>
      </c>
      <c r="K2262" s="21">
        <f>IFERROR(INDEX(Pedidos!$D$2:$D$1801,MATCH(B2262,Pedidos!$A$2:$A$1801,0)),"")</f>
        <v/>
      </c>
      <c r="L2262" s="21">
        <f>IFERROR(INDEX(Pedidos!$F$2:$F$1801,MATCH(B2262,Pedidos!$A$2:$A$1801,0)),"")</f>
        <v/>
      </c>
      <c r="M2262" s="22">
        <f>IFERROR(INDEX(Pedidos!$G$2:$G$1801,MATCH(B2262,Pedidos!$A$2:$A$1801,0)),0)</f>
        <v/>
      </c>
      <c r="N2262" s="21">
        <f>IFERROR(INDEX(Produtos!$B$2:$B$71,MATCH(C2262,Produtos!$A$2:$A$71,0)),"")</f>
        <v/>
      </c>
      <c r="O2262" s="21">
        <f>IFERROR(INDEX(Produtos!$C$2:$C$71,MATCH(C2262,Produtos!$A$2:$A$71,0)),"")</f>
        <v/>
      </c>
      <c r="P2262" s="21">
        <f>IFERROR(INDEX(Produtos!$D$2:$D$71,MATCH(C2262,Produtos!$A$2:$A$71,0)),0)</f>
        <v/>
      </c>
      <c r="Q2262" s="21">
        <f>IFERROR(INDEX(Produtos!$E$2:$E$71,MATCH(C2262,Produtos!$A$2:$A$71,0)),0)</f>
        <v/>
      </c>
      <c r="R2262" s="23">
        <f>D2262*Q2262</f>
        <v/>
      </c>
      <c r="S2262" s="23">
        <f>R2262*E2262</f>
        <v/>
      </c>
      <c r="T2262" s="23">
        <f>(R2262-S2262)*M2262</f>
        <v/>
      </c>
      <c r="U2262" s="23">
        <f>R2262-S2262-T2262</f>
        <v/>
      </c>
      <c r="V2262" s="23">
        <f>D2262*P2262</f>
        <v/>
      </c>
      <c r="W2262" s="23">
        <f>U2262-V2262</f>
        <v/>
      </c>
      <c r="X2262" s="24">
        <f>IFERROR(W2262/U2262,0)</f>
        <v/>
      </c>
    </row>
    <row r="2263">
      <c r="A2263" s="25">
        <f>ItensPedido!A2263</f>
        <v/>
      </c>
      <c r="B2263" s="25">
        <f>ItensPedido!B2263</f>
        <v/>
      </c>
      <c r="C2263" s="25">
        <f>ItensPedido!C2263</f>
        <v/>
      </c>
      <c r="D2263" s="25">
        <f>ItensPedido!D2263</f>
        <v/>
      </c>
      <c r="E2263" s="26">
        <f>ItensPedido!E2263</f>
        <v/>
      </c>
      <c r="F2263" s="25">
        <f>IFERROR(INDEX(Pedidos!$B$2:$B$1801,MATCH(B2263,Pedidos!$A$2:$A$1801,0)),0)</f>
        <v/>
      </c>
      <c r="G2263" s="25">
        <f>IF(F2263=0,"",YEAR(F2263))</f>
        <v/>
      </c>
      <c r="H2263" s="25">
        <f>IF(F2263=0,"",MONTH(F2263))</f>
        <v/>
      </c>
      <c r="I2263" s="25">
        <f>IFERROR(INDEX(Pedidos!$E$2:$E$1801,MATCH(B2263,Pedidos!$A$2:$A$1801,0)),"")</f>
        <v/>
      </c>
      <c r="J2263" s="25">
        <f>IFERROR(INDEX(Pedidos!$C$2:$C$1801,MATCH(B2263,Pedidos!$A$2:$A$1801,0)),"")</f>
        <v/>
      </c>
      <c r="K2263" s="25">
        <f>IFERROR(INDEX(Pedidos!$D$2:$D$1801,MATCH(B2263,Pedidos!$A$2:$A$1801,0)),"")</f>
        <v/>
      </c>
      <c r="L2263" s="25">
        <f>IFERROR(INDEX(Pedidos!$F$2:$F$1801,MATCH(B2263,Pedidos!$A$2:$A$1801,0)),"")</f>
        <v/>
      </c>
      <c r="M2263" s="26">
        <f>IFERROR(INDEX(Pedidos!$G$2:$G$1801,MATCH(B2263,Pedidos!$A$2:$A$1801,0)),0)</f>
        <v/>
      </c>
      <c r="N2263" s="25">
        <f>IFERROR(INDEX(Produtos!$B$2:$B$71,MATCH(C2263,Produtos!$A$2:$A$71,0)),"")</f>
        <v/>
      </c>
      <c r="O2263" s="25">
        <f>IFERROR(INDEX(Produtos!$C$2:$C$71,MATCH(C2263,Produtos!$A$2:$A$71,0)),"")</f>
        <v/>
      </c>
      <c r="P2263" s="25">
        <f>IFERROR(INDEX(Produtos!$D$2:$D$71,MATCH(C2263,Produtos!$A$2:$A$71,0)),0)</f>
        <v/>
      </c>
      <c r="Q2263" s="25">
        <f>IFERROR(INDEX(Produtos!$E$2:$E$71,MATCH(C2263,Produtos!$A$2:$A$71,0)),0)</f>
        <v/>
      </c>
      <c r="R2263" s="27">
        <f>D2263*Q2263</f>
        <v/>
      </c>
      <c r="S2263" s="27">
        <f>R2263*E2263</f>
        <v/>
      </c>
      <c r="T2263" s="27">
        <f>(R2263-S2263)*M2263</f>
        <v/>
      </c>
      <c r="U2263" s="27">
        <f>R2263-S2263-T2263</f>
        <v/>
      </c>
      <c r="V2263" s="27">
        <f>D2263*P2263</f>
        <v/>
      </c>
      <c r="W2263" s="27">
        <f>U2263-V2263</f>
        <v/>
      </c>
      <c r="X2263" s="28">
        <f>IFERROR(W2263/U2263,0)</f>
        <v/>
      </c>
    </row>
    <row r="2264">
      <c r="A2264" s="21">
        <f>ItensPedido!A2264</f>
        <v/>
      </c>
      <c r="B2264" s="21">
        <f>ItensPedido!B2264</f>
        <v/>
      </c>
      <c r="C2264" s="21">
        <f>ItensPedido!C2264</f>
        <v/>
      </c>
      <c r="D2264" s="21">
        <f>ItensPedido!D2264</f>
        <v/>
      </c>
      <c r="E2264" s="22">
        <f>ItensPedido!E2264</f>
        <v/>
      </c>
      <c r="F2264" s="21">
        <f>IFERROR(INDEX(Pedidos!$B$2:$B$1801,MATCH(B2264,Pedidos!$A$2:$A$1801,0)),0)</f>
        <v/>
      </c>
      <c r="G2264" s="21">
        <f>IF(F2264=0,"",YEAR(F2264))</f>
        <v/>
      </c>
      <c r="H2264" s="21">
        <f>IF(F2264=0,"",MONTH(F2264))</f>
        <v/>
      </c>
      <c r="I2264" s="21">
        <f>IFERROR(INDEX(Pedidos!$E$2:$E$1801,MATCH(B2264,Pedidos!$A$2:$A$1801,0)),"")</f>
        <v/>
      </c>
      <c r="J2264" s="21">
        <f>IFERROR(INDEX(Pedidos!$C$2:$C$1801,MATCH(B2264,Pedidos!$A$2:$A$1801,0)),"")</f>
        <v/>
      </c>
      <c r="K2264" s="21">
        <f>IFERROR(INDEX(Pedidos!$D$2:$D$1801,MATCH(B2264,Pedidos!$A$2:$A$1801,0)),"")</f>
        <v/>
      </c>
      <c r="L2264" s="21">
        <f>IFERROR(INDEX(Pedidos!$F$2:$F$1801,MATCH(B2264,Pedidos!$A$2:$A$1801,0)),"")</f>
        <v/>
      </c>
      <c r="M2264" s="22">
        <f>IFERROR(INDEX(Pedidos!$G$2:$G$1801,MATCH(B2264,Pedidos!$A$2:$A$1801,0)),0)</f>
        <v/>
      </c>
      <c r="N2264" s="21">
        <f>IFERROR(INDEX(Produtos!$B$2:$B$71,MATCH(C2264,Produtos!$A$2:$A$71,0)),"")</f>
        <v/>
      </c>
      <c r="O2264" s="21">
        <f>IFERROR(INDEX(Produtos!$C$2:$C$71,MATCH(C2264,Produtos!$A$2:$A$71,0)),"")</f>
        <v/>
      </c>
      <c r="P2264" s="21">
        <f>IFERROR(INDEX(Produtos!$D$2:$D$71,MATCH(C2264,Produtos!$A$2:$A$71,0)),0)</f>
        <v/>
      </c>
      <c r="Q2264" s="21">
        <f>IFERROR(INDEX(Produtos!$E$2:$E$71,MATCH(C2264,Produtos!$A$2:$A$71,0)),0)</f>
        <v/>
      </c>
      <c r="R2264" s="23">
        <f>D2264*Q2264</f>
        <v/>
      </c>
      <c r="S2264" s="23">
        <f>R2264*E2264</f>
        <v/>
      </c>
      <c r="T2264" s="23">
        <f>(R2264-S2264)*M2264</f>
        <v/>
      </c>
      <c r="U2264" s="23">
        <f>R2264-S2264-T2264</f>
        <v/>
      </c>
      <c r="V2264" s="23">
        <f>D2264*P2264</f>
        <v/>
      </c>
      <c r="W2264" s="23">
        <f>U2264-V2264</f>
        <v/>
      </c>
      <c r="X2264" s="24">
        <f>IFERROR(W2264/U2264,0)</f>
        <v/>
      </c>
    </row>
    <row r="2265">
      <c r="A2265" s="25">
        <f>ItensPedido!A2265</f>
        <v/>
      </c>
      <c r="B2265" s="25">
        <f>ItensPedido!B2265</f>
        <v/>
      </c>
      <c r="C2265" s="25">
        <f>ItensPedido!C2265</f>
        <v/>
      </c>
      <c r="D2265" s="25">
        <f>ItensPedido!D2265</f>
        <v/>
      </c>
      <c r="E2265" s="26">
        <f>ItensPedido!E2265</f>
        <v/>
      </c>
      <c r="F2265" s="25">
        <f>IFERROR(INDEX(Pedidos!$B$2:$B$1801,MATCH(B2265,Pedidos!$A$2:$A$1801,0)),0)</f>
        <v/>
      </c>
      <c r="G2265" s="25">
        <f>IF(F2265=0,"",YEAR(F2265))</f>
        <v/>
      </c>
      <c r="H2265" s="25">
        <f>IF(F2265=0,"",MONTH(F2265))</f>
        <v/>
      </c>
      <c r="I2265" s="25">
        <f>IFERROR(INDEX(Pedidos!$E$2:$E$1801,MATCH(B2265,Pedidos!$A$2:$A$1801,0)),"")</f>
        <v/>
      </c>
      <c r="J2265" s="25">
        <f>IFERROR(INDEX(Pedidos!$C$2:$C$1801,MATCH(B2265,Pedidos!$A$2:$A$1801,0)),"")</f>
        <v/>
      </c>
      <c r="K2265" s="25">
        <f>IFERROR(INDEX(Pedidos!$D$2:$D$1801,MATCH(B2265,Pedidos!$A$2:$A$1801,0)),"")</f>
        <v/>
      </c>
      <c r="L2265" s="25">
        <f>IFERROR(INDEX(Pedidos!$F$2:$F$1801,MATCH(B2265,Pedidos!$A$2:$A$1801,0)),"")</f>
        <v/>
      </c>
      <c r="M2265" s="26">
        <f>IFERROR(INDEX(Pedidos!$G$2:$G$1801,MATCH(B2265,Pedidos!$A$2:$A$1801,0)),0)</f>
        <v/>
      </c>
      <c r="N2265" s="25">
        <f>IFERROR(INDEX(Produtos!$B$2:$B$71,MATCH(C2265,Produtos!$A$2:$A$71,0)),"")</f>
        <v/>
      </c>
      <c r="O2265" s="25">
        <f>IFERROR(INDEX(Produtos!$C$2:$C$71,MATCH(C2265,Produtos!$A$2:$A$71,0)),"")</f>
        <v/>
      </c>
      <c r="P2265" s="25">
        <f>IFERROR(INDEX(Produtos!$D$2:$D$71,MATCH(C2265,Produtos!$A$2:$A$71,0)),0)</f>
        <v/>
      </c>
      <c r="Q2265" s="25">
        <f>IFERROR(INDEX(Produtos!$E$2:$E$71,MATCH(C2265,Produtos!$A$2:$A$71,0)),0)</f>
        <v/>
      </c>
      <c r="R2265" s="27">
        <f>D2265*Q2265</f>
        <v/>
      </c>
      <c r="S2265" s="27">
        <f>R2265*E2265</f>
        <v/>
      </c>
      <c r="T2265" s="27">
        <f>(R2265-S2265)*M2265</f>
        <v/>
      </c>
      <c r="U2265" s="27">
        <f>R2265-S2265-T2265</f>
        <v/>
      </c>
      <c r="V2265" s="27">
        <f>D2265*P2265</f>
        <v/>
      </c>
      <c r="W2265" s="27">
        <f>U2265-V2265</f>
        <v/>
      </c>
      <c r="X2265" s="28">
        <f>IFERROR(W2265/U2265,0)</f>
        <v/>
      </c>
    </row>
    <row r="2266">
      <c r="A2266" s="21">
        <f>ItensPedido!A2266</f>
        <v/>
      </c>
      <c r="B2266" s="21">
        <f>ItensPedido!B2266</f>
        <v/>
      </c>
      <c r="C2266" s="21">
        <f>ItensPedido!C2266</f>
        <v/>
      </c>
      <c r="D2266" s="21">
        <f>ItensPedido!D2266</f>
        <v/>
      </c>
      <c r="E2266" s="22">
        <f>ItensPedido!E2266</f>
        <v/>
      </c>
      <c r="F2266" s="21">
        <f>IFERROR(INDEX(Pedidos!$B$2:$B$1801,MATCH(B2266,Pedidos!$A$2:$A$1801,0)),0)</f>
        <v/>
      </c>
      <c r="G2266" s="21">
        <f>IF(F2266=0,"",YEAR(F2266))</f>
        <v/>
      </c>
      <c r="H2266" s="21">
        <f>IF(F2266=0,"",MONTH(F2266))</f>
        <v/>
      </c>
      <c r="I2266" s="21">
        <f>IFERROR(INDEX(Pedidos!$E$2:$E$1801,MATCH(B2266,Pedidos!$A$2:$A$1801,0)),"")</f>
        <v/>
      </c>
      <c r="J2266" s="21">
        <f>IFERROR(INDEX(Pedidos!$C$2:$C$1801,MATCH(B2266,Pedidos!$A$2:$A$1801,0)),"")</f>
        <v/>
      </c>
      <c r="K2266" s="21">
        <f>IFERROR(INDEX(Pedidos!$D$2:$D$1801,MATCH(B2266,Pedidos!$A$2:$A$1801,0)),"")</f>
        <v/>
      </c>
      <c r="L2266" s="21">
        <f>IFERROR(INDEX(Pedidos!$F$2:$F$1801,MATCH(B2266,Pedidos!$A$2:$A$1801,0)),"")</f>
        <v/>
      </c>
      <c r="M2266" s="22">
        <f>IFERROR(INDEX(Pedidos!$G$2:$G$1801,MATCH(B2266,Pedidos!$A$2:$A$1801,0)),0)</f>
        <v/>
      </c>
      <c r="N2266" s="21">
        <f>IFERROR(INDEX(Produtos!$B$2:$B$71,MATCH(C2266,Produtos!$A$2:$A$71,0)),"")</f>
        <v/>
      </c>
      <c r="O2266" s="21">
        <f>IFERROR(INDEX(Produtos!$C$2:$C$71,MATCH(C2266,Produtos!$A$2:$A$71,0)),"")</f>
        <v/>
      </c>
      <c r="P2266" s="21">
        <f>IFERROR(INDEX(Produtos!$D$2:$D$71,MATCH(C2266,Produtos!$A$2:$A$71,0)),0)</f>
        <v/>
      </c>
      <c r="Q2266" s="21">
        <f>IFERROR(INDEX(Produtos!$E$2:$E$71,MATCH(C2266,Produtos!$A$2:$A$71,0)),0)</f>
        <v/>
      </c>
      <c r="R2266" s="23">
        <f>D2266*Q2266</f>
        <v/>
      </c>
      <c r="S2266" s="23">
        <f>R2266*E2266</f>
        <v/>
      </c>
      <c r="T2266" s="23">
        <f>(R2266-S2266)*M2266</f>
        <v/>
      </c>
      <c r="U2266" s="23">
        <f>R2266-S2266-T2266</f>
        <v/>
      </c>
      <c r="V2266" s="23">
        <f>D2266*P2266</f>
        <v/>
      </c>
      <c r="W2266" s="23">
        <f>U2266-V2266</f>
        <v/>
      </c>
      <c r="X2266" s="24">
        <f>IFERROR(W2266/U2266,0)</f>
        <v/>
      </c>
    </row>
    <row r="2267">
      <c r="A2267" s="25">
        <f>ItensPedido!A2267</f>
        <v/>
      </c>
      <c r="B2267" s="25">
        <f>ItensPedido!B2267</f>
        <v/>
      </c>
      <c r="C2267" s="25">
        <f>ItensPedido!C2267</f>
        <v/>
      </c>
      <c r="D2267" s="25">
        <f>ItensPedido!D2267</f>
        <v/>
      </c>
      <c r="E2267" s="26">
        <f>ItensPedido!E2267</f>
        <v/>
      </c>
      <c r="F2267" s="25">
        <f>IFERROR(INDEX(Pedidos!$B$2:$B$1801,MATCH(B2267,Pedidos!$A$2:$A$1801,0)),0)</f>
        <v/>
      </c>
      <c r="G2267" s="25">
        <f>IF(F2267=0,"",YEAR(F2267))</f>
        <v/>
      </c>
      <c r="H2267" s="25">
        <f>IF(F2267=0,"",MONTH(F2267))</f>
        <v/>
      </c>
      <c r="I2267" s="25">
        <f>IFERROR(INDEX(Pedidos!$E$2:$E$1801,MATCH(B2267,Pedidos!$A$2:$A$1801,0)),"")</f>
        <v/>
      </c>
      <c r="J2267" s="25">
        <f>IFERROR(INDEX(Pedidos!$C$2:$C$1801,MATCH(B2267,Pedidos!$A$2:$A$1801,0)),"")</f>
        <v/>
      </c>
      <c r="K2267" s="25">
        <f>IFERROR(INDEX(Pedidos!$D$2:$D$1801,MATCH(B2267,Pedidos!$A$2:$A$1801,0)),"")</f>
        <v/>
      </c>
      <c r="L2267" s="25">
        <f>IFERROR(INDEX(Pedidos!$F$2:$F$1801,MATCH(B2267,Pedidos!$A$2:$A$1801,0)),"")</f>
        <v/>
      </c>
      <c r="M2267" s="26">
        <f>IFERROR(INDEX(Pedidos!$G$2:$G$1801,MATCH(B2267,Pedidos!$A$2:$A$1801,0)),0)</f>
        <v/>
      </c>
      <c r="N2267" s="25">
        <f>IFERROR(INDEX(Produtos!$B$2:$B$71,MATCH(C2267,Produtos!$A$2:$A$71,0)),"")</f>
        <v/>
      </c>
      <c r="O2267" s="25">
        <f>IFERROR(INDEX(Produtos!$C$2:$C$71,MATCH(C2267,Produtos!$A$2:$A$71,0)),"")</f>
        <v/>
      </c>
      <c r="P2267" s="25">
        <f>IFERROR(INDEX(Produtos!$D$2:$D$71,MATCH(C2267,Produtos!$A$2:$A$71,0)),0)</f>
        <v/>
      </c>
      <c r="Q2267" s="25">
        <f>IFERROR(INDEX(Produtos!$E$2:$E$71,MATCH(C2267,Produtos!$A$2:$A$71,0)),0)</f>
        <v/>
      </c>
      <c r="R2267" s="27">
        <f>D2267*Q2267</f>
        <v/>
      </c>
      <c r="S2267" s="27">
        <f>R2267*E2267</f>
        <v/>
      </c>
      <c r="T2267" s="27">
        <f>(R2267-S2267)*M2267</f>
        <v/>
      </c>
      <c r="U2267" s="27">
        <f>R2267-S2267-T2267</f>
        <v/>
      </c>
      <c r="V2267" s="27">
        <f>D2267*P2267</f>
        <v/>
      </c>
      <c r="W2267" s="27">
        <f>U2267-V2267</f>
        <v/>
      </c>
      <c r="X2267" s="28">
        <f>IFERROR(W2267/U2267,0)</f>
        <v/>
      </c>
    </row>
    <row r="2268">
      <c r="A2268" s="21">
        <f>ItensPedido!A2268</f>
        <v/>
      </c>
      <c r="B2268" s="21">
        <f>ItensPedido!B2268</f>
        <v/>
      </c>
      <c r="C2268" s="21">
        <f>ItensPedido!C2268</f>
        <v/>
      </c>
      <c r="D2268" s="21">
        <f>ItensPedido!D2268</f>
        <v/>
      </c>
      <c r="E2268" s="22">
        <f>ItensPedido!E2268</f>
        <v/>
      </c>
      <c r="F2268" s="21">
        <f>IFERROR(INDEX(Pedidos!$B$2:$B$1801,MATCH(B2268,Pedidos!$A$2:$A$1801,0)),0)</f>
        <v/>
      </c>
      <c r="G2268" s="21">
        <f>IF(F2268=0,"",YEAR(F2268))</f>
        <v/>
      </c>
      <c r="H2268" s="21">
        <f>IF(F2268=0,"",MONTH(F2268))</f>
        <v/>
      </c>
      <c r="I2268" s="21">
        <f>IFERROR(INDEX(Pedidos!$E$2:$E$1801,MATCH(B2268,Pedidos!$A$2:$A$1801,0)),"")</f>
        <v/>
      </c>
      <c r="J2268" s="21">
        <f>IFERROR(INDEX(Pedidos!$C$2:$C$1801,MATCH(B2268,Pedidos!$A$2:$A$1801,0)),"")</f>
        <v/>
      </c>
      <c r="K2268" s="21">
        <f>IFERROR(INDEX(Pedidos!$D$2:$D$1801,MATCH(B2268,Pedidos!$A$2:$A$1801,0)),"")</f>
        <v/>
      </c>
      <c r="L2268" s="21">
        <f>IFERROR(INDEX(Pedidos!$F$2:$F$1801,MATCH(B2268,Pedidos!$A$2:$A$1801,0)),"")</f>
        <v/>
      </c>
      <c r="M2268" s="22">
        <f>IFERROR(INDEX(Pedidos!$G$2:$G$1801,MATCH(B2268,Pedidos!$A$2:$A$1801,0)),0)</f>
        <v/>
      </c>
      <c r="N2268" s="21">
        <f>IFERROR(INDEX(Produtos!$B$2:$B$71,MATCH(C2268,Produtos!$A$2:$A$71,0)),"")</f>
        <v/>
      </c>
      <c r="O2268" s="21">
        <f>IFERROR(INDEX(Produtos!$C$2:$C$71,MATCH(C2268,Produtos!$A$2:$A$71,0)),"")</f>
        <v/>
      </c>
      <c r="P2268" s="21">
        <f>IFERROR(INDEX(Produtos!$D$2:$D$71,MATCH(C2268,Produtos!$A$2:$A$71,0)),0)</f>
        <v/>
      </c>
      <c r="Q2268" s="21">
        <f>IFERROR(INDEX(Produtos!$E$2:$E$71,MATCH(C2268,Produtos!$A$2:$A$71,0)),0)</f>
        <v/>
      </c>
      <c r="R2268" s="23">
        <f>D2268*Q2268</f>
        <v/>
      </c>
      <c r="S2268" s="23">
        <f>R2268*E2268</f>
        <v/>
      </c>
      <c r="T2268" s="23">
        <f>(R2268-S2268)*M2268</f>
        <v/>
      </c>
      <c r="U2268" s="23">
        <f>R2268-S2268-T2268</f>
        <v/>
      </c>
      <c r="V2268" s="23">
        <f>D2268*P2268</f>
        <v/>
      </c>
      <c r="W2268" s="23">
        <f>U2268-V2268</f>
        <v/>
      </c>
      <c r="X2268" s="24">
        <f>IFERROR(W2268/U2268,0)</f>
        <v/>
      </c>
    </row>
    <row r="2269">
      <c r="A2269" s="25">
        <f>ItensPedido!A2269</f>
        <v/>
      </c>
      <c r="B2269" s="25">
        <f>ItensPedido!B2269</f>
        <v/>
      </c>
      <c r="C2269" s="25">
        <f>ItensPedido!C2269</f>
        <v/>
      </c>
      <c r="D2269" s="25">
        <f>ItensPedido!D2269</f>
        <v/>
      </c>
      <c r="E2269" s="26">
        <f>ItensPedido!E2269</f>
        <v/>
      </c>
      <c r="F2269" s="25">
        <f>IFERROR(INDEX(Pedidos!$B$2:$B$1801,MATCH(B2269,Pedidos!$A$2:$A$1801,0)),0)</f>
        <v/>
      </c>
      <c r="G2269" s="25">
        <f>IF(F2269=0,"",YEAR(F2269))</f>
        <v/>
      </c>
      <c r="H2269" s="25">
        <f>IF(F2269=0,"",MONTH(F2269))</f>
        <v/>
      </c>
      <c r="I2269" s="25">
        <f>IFERROR(INDEX(Pedidos!$E$2:$E$1801,MATCH(B2269,Pedidos!$A$2:$A$1801,0)),"")</f>
        <v/>
      </c>
      <c r="J2269" s="25">
        <f>IFERROR(INDEX(Pedidos!$C$2:$C$1801,MATCH(B2269,Pedidos!$A$2:$A$1801,0)),"")</f>
        <v/>
      </c>
      <c r="K2269" s="25">
        <f>IFERROR(INDEX(Pedidos!$D$2:$D$1801,MATCH(B2269,Pedidos!$A$2:$A$1801,0)),"")</f>
        <v/>
      </c>
      <c r="L2269" s="25">
        <f>IFERROR(INDEX(Pedidos!$F$2:$F$1801,MATCH(B2269,Pedidos!$A$2:$A$1801,0)),"")</f>
        <v/>
      </c>
      <c r="M2269" s="26">
        <f>IFERROR(INDEX(Pedidos!$G$2:$G$1801,MATCH(B2269,Pedidos!$A$2:$A$1801,0)),0)</f>
        <v/>
      </c>
      <c r="N2269" s="25">
        <f>IFERROR(INDEX(Produtos!$B$2:$B$71,MATCH(C2269,Produtos!$A$2:$A$71,0)),"")</f>
        <v/>
      </c>
      <c r="O2269" s="25">
        <f>IFERROR(INDEX(Produtos!$C$2:$C$71,MATCH(C2269,Produtos!$A$2:$A$71,0)),"")</f>
        <v/>
      </c>
      <c r="P2269" s="25">
        <f>IFERROR(INDEX(Produtos!$D$2:$D$71,MATCH(C2269,Produtos!$A$2:$A$71,0)),0)</f>
        <v/>
      </c>
      <c r="Q2269" s="25">
        <f>IFERROR(INDEX(Produtos!$E$2:$E$71,MATCH(C2269,Produtos!$A$2:$A$71,0)),0)</f>
        <v/>
      </c>
      <c r="R2269" s="27">
        <f>D2269*Q2269</f>
        <v/>
      </c>
      <c r="S2269" s="27">
        <f>R2269*E2269</f>
        <v/>
      </c>
      <c r="T2269" s="27">
        <f>(R2269-S2269)*M2269</f>
        <v/>
      </c>
      <c r="U2269" s="27">
        <f>R2269-S2269-T2269</f>
        <v/>
      </c>
      <c r="V2269" s="27">
        <f>D2269*P2269</f>
        <v/>
      </c>
      <c r="W2269" s="27">
        <f>U2269-V2269</f>
        <v/>
      </c>
      <c r="X2269" s="28">
        <f>IFERROR(W2269/U2269,0)</f>
        <v/>
      </c>
    </row>
    <row r="2270">
      <c r="A2270" s="21">
        <f>ItensPedido!A2270</f>
        <v/>
      </c>
      <c r="B2270" s="21">
        <f>ItensPedido!B2270</f>
        <v/>
      </c>
      <c r="C2270" s="21">
        <f>ItensPedido!C2270</f>
        <v/>
      </c>
      <c r="D2270" s="21">
        <f>ItensPedido!D2270</f>
        <v/>
      </c>
      <c r="E2270" s="22">
        <f>ItensPedido!E2270</f>
        <v/>
      </c>
      <c r="F2270" s="21">
        <f>IFERROR(INDEX(Pedidos!$B$2:$B$1801,MATCH(B2270,Pedidos!$A$2:$A$1801,0)),0)</f>
        <v/>
      </c>
      <c r="G2270" s="21">
        <f>IF(F2270=0,"",YEAR(F2270))</f>
        <v/>
      </c>
      <c r="H2270" s="21">
        <f>IF(F2270=0,"",MONTH(F2270))</f>
        <v/>
      </c>
      <c r="I2270" s="21">
        <f>IFERROR(INDEX(Pedidos!$E$2:$E$1801,MATCH(B2270,Pedidos!$A$2:$A$1801,0)),"")</f>
        <v/>
      </c>
      <c r="J2270" s="21">
        <f>IFERROR(INDEX(Pedidos!$C$2:$C$1801,MATCH(B2270,Pedidos!$A$2:$A$1801,0)),"")</f>
        <v/>
      </c>
      <c r="K2270" s="21">
        <f>IFERROR(INDEX(Pedidos!$D$2:$D$1801,MATCH(B2270,Pedidos!$A$2:$A$1801,0)),"")</f>
        <v/>
      </c>
      <c r="L2270" s="21">
        <f>IFERROR(INDEX(Pedidos!$F$2:$F$1801,MATCH(B2270,Pedidos!$A$2:$A$1801,0)),"")</f>
        <v/>
      </c>
      <c r="M2270" s="22">
        <f>IFERROR(INDEX(Pedidos!$G$2:$G$1801,MATCH(B2270,Pedidos!$A$2:$A$1801,0)),0)</f>
        <v/>
      </c>
      <c r="N2270" s="21">
        <f>IFERROR(INDEX(Produtos!$B$2:$B$71,MATCH(C2270,Produtos!$A$2:$A$71,0)),"")</f>
        <v/>
      </c>
      <c r="O2270" s="21">
        <f>IFERROR(INDEX(Produtos!$C$2:$C$71,MATCH(C2270,Produtos!$A$2:$A$71,0)),"")</f>
        <v/>
      </c>
      <c r="P2270" s="21">
        <f>IFERROR(INDEX(Produtos!$D$2:$D$71,MATCH(C2270,Produtos!$A$2:$A$71,0)),0)</f>
        <v/>
      </c>
      <c r="Q2270" s="21">
        <f>IFERROR(INDEX(Produtos!$E$2:$E$71,MATCH(C2270,Produtos!$A$2:$A$71,0)),0)</f>
        <v/>
      </c>
      <c r="R2270" s="23">
        <f>D2270*Q2270</f>
        <v/>
      </c>
      <c r="S2270" s="23">
        <f>R2270*E2270</f>
        <v/>
      </c>
      <c r="T2270" s="23">
        <f>(R2270-S2270)*M2270</f>
        <v/>
      </c>
      <c r="U2270" s="23">
        <f>R2270-S2270-T2270</f>
        <v/>
      </c>
      <c r="V2270" s="23">
        <f>D2270*P2270</f>
        <v/>
      </c>
      <c r="W2270" s="23">
        <f>U2270-V2270</f>
        <v/>
      </c>
      <c r="X2270" s="24">
        <f>IFERROR(W2270/U2270,0)</f>
        <v/>
      </c>
    </row>
    <row r="2271">
      <c r="A2271" s="25">
        <f>ItensPedido!A2271</f>
        <v/>
      </c>
      <c r="B2271" s="25">
        <f>ItensPedido!B2271</f>
        <v/>
      </c>
      <c r="C2271" s="25">
        <f>ItensPedido!C2271</f>
        <v/>
      </c>
      <c r="D2271" s="25">
        <f>ItensPedido!D2271</f>
        <v/>
      </c>
      <c r="E2271" s="26">
        <f>ItensPedido!E2271</f>
        <v/>
      </c>
      <c r="F2271" s="25">
        <f>IFERROR(INDEX(Pedidos!$B$2:$B$1801,MATCH(B2271,Pedidos!$A$2:$A$1801,0)),0)</f>
        <v/>
      </c>
      <c r="G2271" s="25">
        <f>IF(F2271=0,"",YEAR(F2271))</f>
        <v/>
      </c>
      <c r="H2271" s="25">
        <f>IF(F2271=0,"",MONTH(F2271))</f>
        <v/>
      </c>
      <c r="I2271" s="25">
        <f>IFERROR(INDEX(Pedidos!$E$2:$E$1801,MATCH(B2271,Pedidos!$A$2:$A$1801,0)),"")</f>
        <v/>
      </c>
      <c r="J2271" s="25">
        <f>IFERROR(INDEX(Pedidos!$C$2:$C$1801,MATCH(B2271,Pedidos!$A$2:$A$1801,0)),"")</f>
        <v/>
      </c>
      <c r="K2271" s="25">
        <f>IFERROR(INDEX(Pedidos!$D$2:$D$1801,MATCH(B2271,Pedidos!$A$2:$A$1801,0)),"")</f>
        <v/>
      </c>
      <c r="L2271" s="25">
        <f>IFERROR(INDEX(Pedidos!$F$2:$F$1801,MATCH(B2271,Pedidos!$A$2:$A$1801,0)),"")</f>
        <v/>
      </c>
      <c r="M2271" s="26">
        <f>IFERROR(INDEX(Pedidos!$G$2:$G$1801,MATCH(B2271,Pedidos!$A$2:$A$1801,0)),0)</f>
        <v/>
      </c>
      <c r="N2271" s="25">
        <f>IFERROR(INDEX(Produtos!$B$2:$B$71,MATCH(C2271,Produtos!$A$2:$A$71,0)),"")</f>
        <v/>
      </c>
      <c r="O2271" s="25">
        <f>IFERROR(INDEX(Produtos!$C$2:$C$71,MATCH(C2271,Produtos!$A$2:$A$71,0)),"")</f>
        <v/>
      </c>
      <c r="P2271" s="25">
        <f>IFERROR(INDEX(Produtos!$D$2:$D$71,MATCH(C2271,Produtos!$A$2:$A$71,0)),0)</f>
        <v/>
      </c>
      <c r="Q2271" s="25">
        <f>IFERROR(INDEX(Produtos!$E$2:$E$71,MATCH(C2271,Produtos!$A$2:$A$71,0)),0)</f>
        <v/>
      </c>
      <c r="R2271" s="27">
        <f>D2271*Q2271</f>
        <v/>
      </c>
      <c r="S2271" s="27">
        <f>R2271*E2271</f>
        <v/>
      </c>
      <c r="T2271" s="27">
        <f>(R2271-S2271)*M2271</f>
        <v/>
      </c>
      <c r="U2271" s="27">
        <f>R2271-S2271-T2271</f>
        <v/>
      </c>
      <c r="V2271" s="27">
        <f>D2271*P2271</f>
        <v/>
      </c>
      <c r="W2271" s="27">
        <f>U2271-V2271</f>
        <v/>
      </c>
      <c r="X2271" s="28">
        <f>IFERROR(W2271/U2271,0)</f>
        <v/>
      </c>
    </row>
    <row r="2272">
      <c r="A2272" s="21">
        <f>ItensPedido!A2272</f>
        <v/>
      </c>
      <c r="B2272" s="21">
        <f>ItensPedido!B2272</f>
        <v/>
      </c>
      <c r="C2272" s="21">
        <f>ItensPedido!C2272</f>
        <v/>
      </c>
      <c r="D2272" s="21">
        <f>ItensPedido!D2272</f>
        <v/>
      </c>
      <c r="E2272" s="22">
        <f>ItensPedido!E2272</f>
        <v/>
      </c>
      <c r="F2272" s="21">
        <f>IFERROR(INDEX(Pedidos!$B$2:$B$1801,MATCH(B2272,Pedidos!$A$2:$A$1801,0)),0)</f>
        <v/>
      </c>
      <c r="G2272" s="21">
        <f>IF(F2272=0,"",YEAR(F2272))</f>
        <v/>
      </c>
      <c r="H2272" s="21">
        <f>IF(F2272=0,"",MONTH(F2272))</f>
        <v/>
      </c>
      <c r="I2272" s="21">
        <f>IFERROR(INDEX(Pedidos!$E$2:$E$1801,MATCH(B2272,Pedidos!$A$2:$A$1801,0)),"")</f>
        <v/>
      </c>
      <c r="J2272" s="21">
        <f>IFERROR(INDEX(Pedidos!$C$2:$C$1801,MATCH(B2272,Pedidos!$A$2:$A$1801,0)),"")</f>
        <v/>
      </c>
      <c r="K2272" s="21">
        <f>IFERROR(INDEX(Pedidos!$D$2:$D$1801,MATCH(B2272,Pedidos!$A$2:$A$1801,0)),"")</f>
        <v/>
      </c>
      <c r="L2272" s="21">
        <f>IFERROR(INDEX(Pedidos!$F$2:$F$1801,MATCH(B2272,Pedidos!$A$2:$A$1801,0)),"")</f>
        <v/>
      </c>
      <c r="M2272" s="22">
        <f>IFERROR(INDEX(Pedidos!$G$2:$G$1801,MATCH(B2272,Pedidos!$A$2:$A$1801,0)),0)</f>
        <v/>
      </c>
      <c r="N2272" s="21">
        <f>IFERROR(INDEX(Produtos!$B$2:$B$71,MATCH(C2272,Produtos!$A$2:$A$71,0)),"")</f>
        <v/>
      </c>
      <c r="O2272" s="21">
        <f>IFERROR(INDEX(Produtos!$C$2:$C$71,MATCH(C2272,Produtos!$A$2:$A$71,0)),"")</f>
        <v/>
      </c>
      <c r="P2272" s="21">
        <f>IFERROR(INDEX(Produtos!$D$2:$D$71,MATCH(C2272,Produtos!$A$2:$A$71,0)),0)</f>
        <v/>
      </c>
      <c r="Q2272" s="21">
        <f>IFERROR(INDEX(Produtos!$E$2:$E$71,MATCH(C2272,Produtos!$A$2:$A$71,0)),0)</f>
        <v/>
      </c>
      <c r="R2272" s="23">
        <f>D2272*Q2272</f>
        <v/>
      </c>
      <c r="S2272" s="23">
        <f>R2272*E2272</f>
        <v/>
      </c>
      <c r="T2272" s="23">
        <f>(R2272-S2272)*M2272</f>
        <v/>
      </c>
      <c r="U2272" s="23">
        <f>R2272-S2272-T2272</f>
        <v/>
      </c>
      <c r="V2272" s="23">
        <f>D2272*P2272</f>
        <v/>
      </c>
      <c r="W2272" s="23">
        <f>U2272-V2272</f>
        <v/>
      </c>
      <c r="X2272" s="24">
        <f>IFERROR(W2272/U2272,0)</f>
        <v/>
      </c>
    </row>
    <row r="2273">
      <c r="A2273" s="25">
        <f>ItensPedido!A2273</f>
        <v/>
      </c>
      <c r="B2273" s="25">
        <f>ItensPedido!B2273</f>
        <v/>
      </c>
      <c r="C2273" s="25">
        <f>ItensPedido!C2273</f>
        <v/>
      </c>
      <c r="D2273" s="25">
        <f>ItensPedido!D2273</f>
        <v/>
      </c>
      <c r="E2273" s="26">
        <f>ItensPedido!E2273</f>
        <v/>
      </c>
      <c r="F2273" s="25">
        <f>IFERROR(INDEX(Pedidos!$B$2:$B$1801,MATCH(B2273,Pedidos!$A$2:$A$1801,0)),0)</f>
        <v/>
      </c>
      <c r="G2273" s="25">
        <f>IF(F2273=0,"",YEAR(F2273))</f>
        <v/>
      </c>
      <c r="H2273" s="25">
        <f>IF(F2273=0,"",MONTH(F2273))</f>
        <v/>
      </c>
      <c r="I2273" s="25">
        <f>IFERROR(INDEX(Pedidos!$E$2:$E$1801,MATCH(B2273,Pedidos!$A$2:$A$1801,0)),"")</f>
        <v/>
      </c>
      <c r="J2273" s="25">
        <f>IFERROR(INDEX(Pedidos!$C$2:$C$1801,MATCH(B2273,Pedidos!$A$2:$A$1801,0)),"")</f>
        <v/>
      </c>
      <c r="K2273" s="25">
        <f>IFERROR(INDEX(Pedidos!$D$2:$D$1801,MATCH(B2273,Pedidos!$A$2:$A$1801,0)),"")</f>
        <v/>
      </c>
      <c r="L2273" s="25">
        <f>IFERROR(INDEX(Pedidos!$F$2:$F$1801,MATCH(B2273,Pedidos!$A$2:$A$1801,0)),"")</f>
        <v/>
      </c>
      <c r="M2273" s="26">
        <f>IFERROR(INDEX(Pedidos!$G$2:$G$1801,MATCH(B2273,Pedidos!$A$2:$A$1801,0)),0)</f>
        <v/>
      </c>
      <c r="N2273" s="25">
        <f>IFERROR(INDEX(Produtos!$B$2:$B$71,MATCH(C2273,Produtos!$A$2:$A$71,0)),"")</f>
        <v/>
      </c>
      <c r="O2273" s="25">
        <f>IFERROR(INDEX(Produtos!$C$2:$C$71,MATCH(C2273,Produtos!$A$2:$A$71,0)),"")</f>
        <v/>
      </c>
      <c r="P2273" s="25">
        <f>IFERROR(INDEX(Produtos!$D$2:$D$71,MATCH(C2273,Produtos!$A$2:$A$71,0)),0)</f>
        <v/>
      </c>
      <c r="Q2273" s="25">
        <f>IFERROR(INDEX(Produtos!$E$2:$E$71,MATCH(C2273,Produtos!$A$2:$A$71,0)),0)</f>
        <v/>
      </c>
      <c r="R2273" s="27">
        <f>D2273*Q2273</f>
        <v/>
      </c>
      <c r="S2273" s="27">
        <f>R2273*E2273</f>
        <v/>
      </c>
      <c r="T2273" s="27">
        <f>(R2273-S2273)*M2273</f>
        <v/>
      </c>
      <c r="U2273" s="27">
        <f>R2273-S2273-T2273</f>
        <v/>
      </c>
      <c r="V2273" s="27">
        <f>D2273*P2273</f>
        <v/>
      </c>
      <c r="W2273" s="27">
        <f>U2273-V2273</f>
        <v/>
      </c>
      <c r="X2273" s="28">
        <f>IFERROR(W2273/U2273,0)</f>
        <v/>
      </c>
    </row>
    <row r="2274">
      <c r="A2274" s="21">
        <f>ItensPedido!A2274</f>
        <v/>
      </c>
      <c r="B2274" s="21">
        <f>ItensPedido!B2274</f>
        <v/>
      </c>
      <c r="C2274" s="21">
        <f>ItensPedido!C2274</f>
        <v/>
      </c>
      <c r="D2274" s="21">
        <f>ItensPedido!D2274</f>
        <v/>
      </c>
      <c r="E2274" s="22">
        <f>ItensPedido!E2274</f>
        <v/>
      </c>
      <c r="F2274" s="21">
        <f>IFERROR(INDEX(Pedidos!$B$2:$B$1801,MATCH(B2274,Pedidos!$A$2:$A$1801,0)),0)</f>
        <v/>
      </c>
      <c r="G2274" s="21">
        <f>IF(F2274=0,"",YEAR(F2274))</f>
        <v/>
      </c>
      <c r="H2274" s="21">
        <f>IF(F2274=0,"",MONTH(F2274))</f>
        <v/>
      </c>
      <c r="I2274" s="21">
        <f>IFERROR(INDEX(Pedidos!$E$2:$E$1801,MATCH(B2274,Pedidos!$A$2:$A$1801,0)),"")</f>
        <v/>
      </c>
      <c r="J2274" s="21">
        <f>IFERROR(INDEX(Pedidos!$C$2:$C$1801,MATCH(B2274,Pedidos!$A$2:$A$1801,0)),"")</f>
        <v/>
      </c>
      <c r="K2274" s="21">
        <f>IFERROR(INDEX(Pedidos!$D$2:$D$1801,MATCH(B2274,Pedidos!$A$2:$A$1801,0)),"")</f>
        <v/>
      </c>
      <c r="L2274" s="21">
        <f>IFERROR(INDEX(Pedidos!$F$2:$F$1801,MATCH(B2274,Pedidos!$A$2:$A$1801,0)),"")</f>
        <v/>
      </c>
      <c r="M2274" s="22">
        <f>IFERROR(INDEX(Pedidos!$G$2:$G$1801,MATCH(B2274,Pedidos!$A$2:$A$1801,0)),0)</f>
        <v/>
      </c>
      <c r="N2274" s="21">
        <f>IFERROR(INDEX(Produtos!$B$2:$B$71,MATCH(C2274,Produtos!$A$2:$A$71,0)),"")</f>
        <v/>
      </c>
      <c r="O2274" s="21">
        <f>IFERROR(INDEX(Produtos!$C$2:$C$71,MATCH(C2274,Produtos!$A$2:$A$71,0)),"")</f>
        <v/>
      </c>
      <c r="P2274" s="21">
        <f>IFERROR(INDEX(Produtos!$D$2:$D$71,MATCH(C2274,Produtos!$A$2:$A$71,0)),0)</f>
        <v/>
      </c>
      <c r="Q2274" s="21">
        <f>IFERROR(INDEX(Produtos!$E$2:$E$71,MATCH(C2274,Produtos!$A$2:$A$71,0)),0)</f>
        <v/>
      </c>
      <c r="R2274" s="23">
        <f>D2274*Q2274</f>
        <v/>
      </c>
      <c r="S2274" s="23">
        <f>R2274*E2274</f>
        <v/>
      </c>
      <c r="T2274" s="23">
        <f>(R2274-S2274)*M2274</f>
        <v/>
      </c>
      <c r="U2274" s="23">
        <f>R2274-S2274-T2274</f>
        <v/>
      </c>
      <c r="V2274" s="23">
        <f>D2274*P2274</f>
        <v/>
      </c>
      <c r="W2274" s="23">
        <f>U2274-V2274</f>
        <v/>
      </c>
      <c r="X2274" s="24">
        <f>IFERROR(W2274/U2274,0)</f>
        <v/>
      </c>
    </row>
    <row r="2275">
      <c r="A2275" s="25">
        <f>ItensPedido!A2275</f>
        <v/>
      </c>
      <c r="B2275" s="25">
        <f>ItensPedido!B2275</f>
        <v/>
      </c>
      <c r="C2275" s="25">
        <f>ItensPedido!C2275</f>
        <v/>
      </c>
      <c r="D2275" s="25">
        <f>ItensPedido!D2275</f>
        <v/>
      </c>
      <c r="E2275" s="26">
        <f>ItensPedido!E2275</f>
        <v/>
      </c>
      <c r="F2275" s="25">
        <f>IFERROR(INDEX(Pedidos!$B$2:$B$1801,MATCH(B2275,Pedidos!$A$2:$A$1801,0)),0)</f>
        <v/>
      </c>
      <c r="G2275" s="25">
        <f>IF(F2275=0,"",YEAR(F2275))</f>
        <v/>
      </c>
      <c r="H2275" s="25">
        <f>IF(F2275=0,"",MONTH(F2275))</f>
        <v/>
      </c>
      <c r="I2275" s="25">
        <f>IFERROR(INDEX(Pedidos!$E$2:$E$1801,MATCH(B2275,Pedidos!$A$2:$A$1801,0)),"")</f>
        <v/>
      </c>
      <c r="J2275" s="25">
        <f>IFERROR(INDEX(Pedidos!$C$2:$C$1801,MATCH(B2275,Pedidos!$A$2:$A$1801,0)),"")</f>
        <v/>
      </c>
      <c r="K2275" s="25">
        <f>IFERROR(INDEX(Pedidos!$D$2:$D$1801,MATCH(B2275,Pedidos!$A$2:$A$1801,0)),"")</f>
        <v/>
      </c>
      <c r="L2275" s="25">
        <f>IFERROR(INDEX(Pedidos!$F$2:$F$1801,MATCH(B2275,Pedidos!$A$2:$A$1801,0)),"")</f>
        <v/>
      </c>
      <c r="M2275" s="26">
        <f>IFERROR(INDEX(Pedidos!$G$2:$G$1801,MATCH(B2275,Pedidos!$A$2:$A$1801,0)),0)</f>
        <v/>
      </c>
      <c r="N2275" s="25">
        <f>IFERROR(INDEX(Produtos!$B$2:$B$71,MATCH(C2275,Produtos!$A$2:$A$71,0)),"")</f>
        <v/>
      </c>
      <c r="O2275" s="25">
        <f>IFERROR(INDEX(Produtos!$C$2:$C$71,MATCH(C2275,Produtos!$A$2:$A$71,0)),"")</f>
        <v/>
      </c>
      <c r="P2275" s="25">
        <f>IFERROR(INDEX(Produtos!$D$2:$D$71,MATCH(C2275,Produtos!$A$2:$A$71,0)),0)</f>
        <v/>
      </c>
      <c r="Q2275" s="25">
        <f>IFERROR(INDEX(Produtos!$E$2:$E$71,MATCH(C2275,Produtos!$A$2:$A$71,0)),0)</f>
        <v/>
      </c>
      <c r="R2275" s="27">
        <f>D2275*Q2275</f>
        <v/>
      </c>
      <c r="S2275" s="27">
        <f>R2275*E2275</f>
        <v/>
      </c>
      <c r="T2275" s="27">
        <f>(R2275-S2275)*M2275</f>
        <v/>
      </c>
      <c r="U2275" s="27">
        <f>R2275-S2275-T2275</f>
        <v/>
      </c>
      <c r="V2275" s="27">
        <f>D2275*P2275</f>
        <v/>
      </c>
      <c r="W2275" s="27">
        <f>U2275-V2275</f>
        <v/>
      </c>
      <c r="X2275" s="28">
        <f>IFERROR(W2275/U2275,0)</f>
        <v/>
      </c>
    </row>
    <row r="2276">
      <c r="A2276" s="21">
        <f>ItensPedido!A2276</f>
        <v/>
      </c>
      <c r="B2276" s="21">
        <f>ItensPedido!B2276</f>
        <v/>
      </c>
      <c r="C2276" s="21">
        <f>ItensPedido!C2276</f>
        <v/>
      </c>
      <c r="D2276" s="21">
        <f>ItensPedido!D2276</f>
        <v/>
      </c>
      <c r="E2276" s="22">
        <f>ItensPedido!E2276</f>
        <v/>
      </c>
      <c r="F2276" s="21">
        <f>IFERROR(INDEX(Pedidos!$B$2:$B$1801,MATCH(B2276,Pedidos!$A$2:$A$1801,0)),0)</f>
        <v/>
      </c>
      <c r="G2276" s="21">
        <f>IF(F2276=0,"",YEAR(F2276))</f>
        <v/>
      </c>
      <c r="H2276" s="21">
        <f>IF(F2276=0,"",MONTH(F2276))</f>
        <v/>
      </c>
      <c r="I2276" s="21">
        <f>IFERROR(INDEX(Pedidos!$E$2:$E$1801,MATCH(B2276,Pedidos!$A$2:$A$1801,0)),"")</f>
        <v/>
      </c>
      <c r="J2276" s="21">
        <f>IFERROR(INDEX(Pedidos!$C$2:$C$1801,MATCH(B2276,Pedidos!$A$2:$A$1801,0)),"")</f>
        <v/>
      </c>
      <c r="K2276" s="21">
        <f>IFERROR(INDEX(Pedidos!$D$2:$D$1801,MATCH(B2276,Pedidos!$A$2:$A$1801,0)),"")</f>
        <v/>
      </c>
      <c r="L2276" s="21">
        <f>IFERROR(INDEX(Pedidos!$F$2:$F$1801,MATCH(B2276,Pedidos!$A$2:$A$1801,0)),"")</f>
        <v/>
      </c>
      <c r="M2276" s="22">
        <f>IFERROR(INDEX(Pedidos!$G$2:$G$1801,MATCH(B2276,Pedidos!$A$2:$A$1801,0)),0)</f>
        <v/>
      </c>
      <c r="N2276" s="21">
        <f>IFERROR(INDEX(Produtos!$B$2:$B$71,MATCH(C2276,Produtos!$A$2:$A$71,0)),"")</f>
        <v/>
      </c>
      <c r="O2276" s="21">
        <f>IFERROR(INDEX(Produtos!$C$2:$C$71,MATCH(C2276,Produtos!$A$2:$A$71,0)),"")</f>
        <v/>
      </c>
      <c r="P2276" s="21">
        <f>IFERROR(INDEX(Produtos!$D$2:$D$71,MATCH(C2276,Produtos!$A$2:$A$71,0)),0)</f>
        <v/>
      </c>
      <c r="Q2276" s="21">
        <f>IFERROR(INDEX(Produtos!$E$2:$E$71,MATCH(C2276,Produtos!$A$2:$A$71,0)),0)</f>
        <v/>
      </c>
      <c r="R2276" s="23">
        <f>D2276*Q2276</f>
        <v/>
      </c>
      <c r="S2276" s="23">
        <f>R2276*E2276</f>
        <v/>
      </c>
      <c r="T2276" s="23">
        <f>(R2276-S2276)*M2276</f>
        <v/>
      </c>
      <c r="U2276" s="23">
        <f>R2276-S2276-T2276</f>
        <v/>
      </c>
      <c r="V2276" s="23">
        <f>D2276*P2276</f>
        <v/>
      </c>
      <c r="W2276" s="23">
        <f>U2276-V2276</f>
        <v/>
      </c>
      <c r="X2276" s="24">
        <f>IFERROR(W2276/U2276,0)</f>
        <v/>
      </c>
    </row>
    <row r="2277">
      <c r="A2277" s="25">
        <f>ItensPedido!A2277</f>
        <v/>
      </c>
      <c r="B2277" s="25">
        <f>ItensPedido!B2277</f>
        <v/>
      </c>
      <c r="C2277" s="25">
        <f>ItensPedido!C2277</f>
        <v/>
      </c>
      <c r="D2277" s="25">
        <f>ItensPedido!D2277</f>
        <v/>
      </c>
      <c r="E2277" s="26">
        <f>ItensPedido!E2277</f>
        <v/>
      </c>
      <c r="F2277" s="25">
        <f>IFERROR(INDEX(Pedidos!$B$2:$B$1801,MATCH(B2277,Pedidos!$A$2:$A$1801,0)),0)</f>
        <v/>
      </c>
      <c r="G2277" s="25">
        <f>IF(F2277=0,"",YEAR(F2277))</f>
        <v/>
      </c>
      <c r="H2277" s="25">
        <f>IF(F2277=0,"",MONTH(F2277))</f>
        <v/>
      </c>
      <c r="I2277" s="25">
        <f>IFERROR(INDEX(Pedidos!$E$2:$E$1801,MATCH(B2277,Pedidos!$A$2:$A$1801,0)),"")</f>
        <v/>
      </c>
      <c r="J2277" s="25">
        <f>IFERROR(INDEX(Pedidos!$C$2:$C$1801,MATCH(B2277,Pedidos!$A$2:$A$1801,0)),"")</f>
        <v/>
      </c>
      <c r="K2277" s="25">
        <f>IFERROR(INDEX(Pedidos!$D$2:$D$1801,MATCH(B2277,Pedidos!$A$2:$A$1801,0)),"")</f>
        <v/>
      </c>
      <c r="L2277" s="25">
        <f>IFERROR(INDEX(Pedidos!$F$2:$F$1801,MATCH(B2277,Pedidos!$A$2:$A$1801,0)),"")</f>
        <v/>
      </c>
      <c r="M2277" s="26">
        <f>IFERROR(INDEX(Pedidos!$G$2:$G$1801,MATCH(B2277,Pedidos!$A$2:$A$1801,0)),0)</f>
        <v/>
      </c>
      <c r="N2277" s="25">
        <f>IFERROR(INDEX(Produtos!$B$2:$B$71,MATCH(C2277,Produtos!$A$2:$A$71,0)),"")</f>
        <v/>
      </c>
      <c r="O2277" s="25">
        <f>IFERROR(INDEX(Produtos!$C$2:$C$71,MATCH(C2277,Produtos!$A$2:$A$71,0)),"")</f>
        <v/>
      </c>
      <c r="P2277" s="25">
        <f>IFERROR(INDEX(Produtos!$D$2:$D$71,MATCH(C2277,Produtos!$A$2:$A$71,0)),0)</f>
        <v/>
      </c>
      <c r="Q2277" s="25">
        <f>IFERROR(INDEX(Produtos!$E$2:$E$71,MATCH(C2277,Produtos!$A$2:$A$71,0)),0)</f>
        <v/>
      </c>
      <c r="R2277" s="27">
        <f>D2277*Q2277</f>
        <v/>
      </c>
      <c r="S2277" s="27">
        <f>R2277*E2277</f>
        <v/>
      </c>
      <c r="T2277" s="27">
        <f>(R2277-S2277)*M2277</f>
        <v/>
      </c>
      <c r="U2277" s="27">
        <f>R2277-S2277-T2277</f>
        <v/>
      </c>
      <c r="V2277" s="27">
        <f>D2277*P2277</f>
        <v/>
      </c>
      <c r="W2277" s="27">
        <f>U2277-V2277</f>
        <v/>
      </c>
      <c r="X2277" s="28">
        <f>IFERROR(W2277/U2277,0)</f>
        <v/>
      </c>
    </row>
    <row r="2278">
      <c r="A2278" s="21">
        <f>ItensPedido!A2278</f>
        <v/>
      </c>
      <c r="B2278" s="21">
        <f>ItensPedido!B2278</f>
        <v/>
      </c>
      <c r="C2278" s="21">
        <f>ItensPedido!C2278</f>
        <v/>
      </c>
      <c r="D2278" s="21">
        <f>ItensPedido!D2278</f>
        <v/>
      </c>
      <c r="E2278" s="22">
        <f>ItensPedido!E2278</f>
        <v/>
      </c>
      <c r="F2278" s="21">
        <f>IFERROR(INDEX(Pedidos!$B$2:$B$1801,MATCH(B2278,Pedidos!$A$2:$A$1801,0)),0)</f>
        <v/>
      </c>
      <c r="G2278" s="21">
        <f>IF(F2278=0,"",YEAR(F2278))</f>
        <v/>
      </c>
      <c r="H2278" s="21">
        <f>IF(F2278=0,"",MONTH(F2278))</f>
        <v/>
      </c>
      <c r="I2278" s="21">
        <f>IFERROR(INDEX(Pedidos!$E$2:$E$1801,MATCH(B2278,Pedidos!$A$2:$A$1801,0)),"")</f>
        <v/>
      </c>
      <c r="J2278" s="21">
        <f>IFERROR(INDEX(Pedidos!$C$2:$C$1801,MATCH(B2278,Pedidos!$A$2:$A$1801,0)),"")</f>
        <v/>
      </c>
      <c r="K2278" s="21">
        <f>IFERROR(INDEX(Pedidos!$D$2:$D$1801,MATCH(B2278,Pedidos!$A$2:$A$1801,0)),"")</f>
        <v/>
      </c>
      <c r="L2278" s="21">
        <f>IFERROR(INDEX(Pedidos!$F$2:$F$1801,MATCH(B2278,Pedidos!$A$2:$A$1801,0)),"")</f>
        <v/>
      </c>
      <c r="M2278" s="22">
        <f>IFERROR(INDEX(Pedidos!$G$2:$G$1801,MATCH(B2278,Pedidos!$A$2:$A$1801,0)),0)</f>
        <v/>
      </c>
      <c r="N2278" s="21">
        <f>IFERROR(INDEX(Produtos!$B$2:$B$71,MATCH(C2278,Produtos!$A$2:$A$71,0)),"")</f>
        <v/>
      </c>
      <c r="O2278" s="21">
        <f>IFERROR(INDEX(Produtos!$C$2:$C$71,MATCH(C2278,Produtos!$A$2:$A$71,0)),"")</f>
        <v/>
      </c>
      <c r="P2278" s="21">
        <f>IFERROR(INDEX(Produtos!$D$2:$D$71,MATCH(C2278,Produtos!$A$2:$A$71,0)),0)</f>
        <v/>
      </c>
      <c r="Q2278" s="21">
        <f>IFERROR(INDEX(Produtos!$E$2:$E$71,MATCH(C2278,Produtos!$A$2:$A$71,0)),0)</f>
        <v/>
      </c>
      <c r="R2278" s="23">
        <f>D2278*Q2278</f>
        <v/>
      </c>
      <c r="S2278" s="23">
        <f>R2278*E2278</f>
        <v/>
      </c>
      <c r="T2278" s="23">
        <f>(R2278-S2278)*M2278</f>
        <v/>
      </c>
      <c r="U2278" s="23">
        <f>R2278-S2278-T2278</f>
        <v/>
      </c>
      <c r="V2278" s="23">
        <f>D2278*P2278</f>
        <v/>
      </c>
      <c r="W2278" s="23">
        <f>U2278-V2278</f>
        <v/>
      </c>
      <c r="X2278" s="24">
        <f>IFERROR(W2278/U2278,0)</f>
        <v/>
      </c>
    </row>
    <row r="2279">
      <c r="A2279" s="25">
        <f>ItensPedido!A2279</f>
        <v/>
      </c>
      <c r="B2279" s="25">
        <f>ItensPedido!B2279</f>
        <v/>
      </c>
      <c r="C2279" s="25">
        <f>ItensPedido!C2279</f>
        <v/>
      </c>
      <c r="D2279" s="25">
        <f>ItensPedido!D2279</f>
        <v/>
      </c>
      <c r="E2279" s="26">
        <f>ItensPedido!E2279</f>
        <v/>
      </c>
      <c r="F2279" s="25">
        <f>IFERROR(INDEX(Pedidos!$B$2:$B$1801,MATCH(B2279,Pedidos!$A$2:$A$1801,0)),0)</f>
        <v/>
      </c>
      <c r="G2279" s="25">
        <f>IF(F2279=0,"",YEAR(F2279))</f>
        <v/>
      </c>
      <c r="H2279" s="25">
        <f>IF(F2279=0,"",MONTH(F2279))</f>
        <v/>
      </c>
      <c r="I2279" s="25">
        <f>IFERROR(INDEX(Pedidos!$E$2:$E$1801,MATCH(B2279,Pedidos!$A$2:$A$1801,0)),"")</f>
        <v/>
      </c>
      <c r="J2279" s="25">
        <f>IFERROR(INDEX(Pedidos!$C$2:$C$1801,MATCH(B2279,Pedidos!$A$2:$A$1801,0)),"")</f>
        <v/>
      </c>
      <c r="K2279" s="25">
        <f>IFERROR(INDEX(Pedidos!$D$2:$D$1801,MATCH(B2279,Pedidos!$A$2:$A$1801,0)),"")</f>
        <v/>
      </c>
      <c r="L2279" s="25">
        <f>IFERROR(INDEX(Pedidos!$F$2:$F$1801,MATCH(B2279,Pedidos!$A$2:$A$1801,0)),"")</f>
        <v/>
      </c>
      <c r="M2279" s="26">
        <f>IFERROR(INDEX(Pedidos!$G$2:$G$1801,MATCH(B2279,Pedidos!$A$2:$A$1801,0)),0)</f>
        <v/>
      </c>
      <c r="N2279" s="25">
        <f>IFERROR(INDEX(Produtos!$B$2:$B$71,MATCH(C2279,Produtos!$A$2:$A$71,0)),"")</f>
        <v/>
      </c>
      <c r="O2279" s="25">
        <f>IFERROR(INDEX(Produtos!$C$2:$C$71,MATCH(C2279,Produtos!$A$2:$A$71,0)),"")</f>
        <v/>
      </c>
      <c r="P2279" s="25">
        <f>IFERROR(INDEX(Produtos!$D$2:$D$71,MATCH(C2279,Produtos!$A$2:$A$71,0)),0)</f>
        <v/>
      </c>
      <c r="Q2279" s="25">
        <f>IFERROR(INDEX(Produtos!$E$2:$E$71,MATCH(C2279,Produtos!$A$2:$A$71,0)),0)</f>
        <v/>
      </c>
      <c r="R2279" s="27">
        <f>D2279*Q2279</f>
        <v/>
      </c>
      <c r="S2279" s="27">
        <f>R2279*E2279</f>
        <v/>
      </c>
      <c r="T2279" s="27">
        <f>(R2279-S2279)*M2279</f>
        <v/>
      </c>
      <c r="U2279" s="27">
        <f>R2279-S2279-T2279</f>
        <v/>
      </c>
      <c r="V2279" s="27">
        <f>D2279*P2279</f>
        <v/>
      </c>
      <c r="W2279" s="27">
        <f>U2279-V2279</f>
        <v/>
      </c>
      <c r="X2279" s="28">
        <f>IFERROR(W2279/U2279,0)</f>
        <v/>
      </c>
    </row>
    <row r="2280">
      <c r="A2280" s="21">
        <f>ItensPedido!A2280</f>
        <v/>
      </c>
      <c r="B2280" s="21">
        <f>ItensPedido!B2280</f>
        <v/>
      </c>
      <c r="C2280" s="21">
        <f>ItensPedido!C2280</f>
        <v/>
      </c>
      <c r="D2280" s="21">
        <f>ItensPedido!D2280</f>
        <v/>
      </c>
      <c r="E2280" s="22">
        <f>ItensPedido!E2280</f>
        <v/>
      </c>
      <c r="F2280" s="21">
        <f>IFERROR(INDEX(Pedidos!$B$2:$B$1801,MATCH(B2280,Pedidos!$A$2:$A$1801,0)),0)</f>
        <v/>
      </c>
      <c r="G2280" s="21">
        <f>IF(F2280=0,"",YEAR(F2280))</f>
        <v/>
      </c>
      <c r="H2280" s="21">
        <f>IF(F2280=0,"",MONTH(F2280))</f>
        <v/>
      </c>
      <c r="I2280" s="21">
        <f>IFERROR(INDEX(Pedidos!$E$2:$E$1801,MATCH(B2280,Pedidos!$A$2:$A$1801,0)),"")</f>
        <v/>
      </c>
      <c r="J2280" s="21">
        <f>IFERROR(INDEX(Pedidos!$C$2:$C$1801,MATCH(B2280,Pedidos!$A$2:$A$1801,0)),"")</f>
        <v/>
      </c>
      <c r="K2280" s="21">
        <f>IFERROR(INDEX(Pedidos!$D$2:$D$1801,MATCH(B2280,Pedidos!$A$2:$A$1801,0)),"")</f>
        <v/>
      </c>
      <c r="L2280" s="21">
        <f>IFERROR(INDEX(Pedidos!$F$2:$F$1801,MATCH(B2280,Pedidos!$A$2:$A$1801,0)),"")</f>
        <v/>
      </c>
      <c r="M2280" s="22">
        <f>IFERROR(INDEX(Pedidos!$G$2:$G$1801,MATCH(B2280,Pedidos!$A$2:$A$1801,0)),0)</f>
        <v/>
      </c>
      <c r="N2280" s="21">
        <f>IFERROR(INDEX(Produtos!$B$2:$B$71,MATCH(C2280,Produtos!$A$2:$A$71,0)),"")</f>
        <v/>
      </c>
      <c r="O2280" s="21">
        <f>IFERROR(INDEX(Produtos!$C$2:$C$71,MATCH(C2280,Produtos!$A$2:$A$71,0)),"")</f>
        <v/>
      </c>
      <c r="P2280" s="21">
        <f>IFERROR(INDEX(Produtos!$D$2:$D$71,MATCH(C2280,Produtos!$A$2:$A$71,0)),0)</f>
        <v/>
      </c>
      <c r="Q2280" s="21">
        <f>IFERROR(INDEX(Produtos!$E$2:$E$71,MATCH(C2280,Produtos!$A$2:$A$71,0)),0)</f>
        <v/>
      </c>
      <c r="R2280" s="23">
        <f>D2280*Q2280</f>
        <v/>
      </c>
      <c r="S2280" s="23">
        <f>R2280*E2280</f>
        <v/>
      </c>
      <c r="T2280" s="23">
        <f>(R2280-S2280)*M2280</f>
        <v/>
      </c>
      <c r="U2280" s="23">
        <f>R2280-S2280-T2280</f>
        <v/>
      </c>
      <c r="V2280" s="23">
        <f>D2280*P2280</f>
        <v/>
      </c>
      <c r="W2280" s="23">
        <f>U2280-V2280</f>
        <v/>
      </c>
      <c r="X2280" s="24">
        <f>IFERROR(W2280/U2280,0)</f>
        <v/>
      </c>
    </row>
    <row r="2281">
      <c r="A2281" s="25">
        <f>ItensPedido!A2281</f>
        <v/>
      </c>
      <c r="B2281" s="25">
        <f>ItensPedido!B2281</f>
        <v/>
      </c>
      <c r="C2281" s="25">
        <f>ItensPedido!C2281</f>
        <v/>
      </c>
      <c r="D2281" s="25">
        <f>ItensPedido!D2281</f>
        <v/>
      </c>
      <c r="E2281" s="26">
        <f>ItensPedido!E2281</f>
        <v/>
      </c>
      <c r="F2281" s="25">
        <f>IFERROR(INDEX(Pedidos!$B$2:$B$1801,MATCH(B2281,Pedidos!$A$2:$A$1801,0)),0)</f>
        <v/>
      </c>
      <c r="G2281" s="25">
        <f>IF(F2281=0,"",YEAR(F2281))</f>
        <v/>
      </c>
      <c r="H2281" s="25">
        <f>IF(F2281=0,"",MONTH(F2281))</f>
        <v/>
      </c>
      <c r="I2281" s="25">
        <f>IFERROR(INDEX(Pedidos!$E$2:$E$1801,MATCH(B2281,Pedidos!$A$2:$A$1801,0)),"")</f>
        <v/>
      </c>
      <c r="J2281" s="25">
        <f>IFERROR(INDEX(Pedidos!$C$2:$C$1801,MATCH(B2281,Pedidos!$A$2:$A$1801,0)),"")</f>
        <v/>
      </c>
      <c r="K2281" s="25">
        <f>IFERROR(INDEX(Pedidos!$D$2:$D$1801,MATCH(B2281,Pedidos!$A$2:$A$1801,0)),"")</f>
        <v/>
      </c>
      <c r="L2281" s="25">
        <f>IFERROR(INDEX(Pedidos!$F$2:$F$1801,MATCH(B2281,Pedidos!$A$2:$A$1801,0)),"")</f>
        <v/>
      </c>
      <c r="M2281" s="26">
        <f>IFERROR(INDEX(Pedidos!$G$2:$G$1801,MATCH(B2281,Pedidos!$A$2:$A$1801,0)),0)</f>
        <v/>
      </c>
      <c r="N2281" s="25">
        <f>IFERROR(INDEX(Produtos!$B$2:$B$71,MATCH(C2281,Produtos!$A$2:$A$71,0)),"")</f>
        <v/>
      </c>
      <c r="O2281" s="25">
        <f>IFERROR(INDEX(Produtos!$C$2:$C$71,MATCH(C2281,Produtos!$A$2:$A$71,0)),"")</f>
        <v/>
      </c>
      <c r="P2281" s="25">
        <f>IFERROR(INDEX(Produtos!$D$2:$D$71,MATCH(C2281,Produtos!$A$2:$A$71,0)),0)</f>
        <v/>
      </c>
      <c r="Q2281" s="25">
        <f>IFERROR(INDEX(Produtos!$E$2:$E$71,MATCH(C2281,Produtos!$A$2:$A$71,0)),0)</f>
        <v/>
      </c>
      <c r="R2281" s="27">
        <f>D2281*Q2281</f>
        <v/>
      </c>
      <c r="S2281" s="27">
        <f>R2281*E2281</f>
        <v/>
      </c>
      <c r="T2281" s="27">
        <f>(R2281-S2281)*M2281</f>
        <v/>
      </c>
      <c r="U2281" s="27">
        <f>R2281-S2281-T2281</f>
        <v/>
      </c>
      <c r="V2281" s="27">
        <f>D2281*P2281</f>
        <v/>
      </c>
      <c r="W2281" s="27">
        <f>U2281-V2281</f>
        <v/>
      </c>
      <c r="X2281" s="28">
        <f>IFERROR(W2281/U2281,0)</f>
        <v/>
      </c>
    </row>
    <row r="2282">
      <c r="A2282" s="21">
        <f>ItensPedido!A2282</f>
        <v/>
      </c>
      <c r="B2282" s="21">
        <f>ItensPedido!B2282</f>
        <v/>
      </c>
      <c r="C2282" s="21">
        <f>ItensPedido!C2282</f>
        <v/>
      </c>
      <c r="D2282" s="21">
        <f>ItensPedido!D2282</f>
        <v/>
      </c>
      <c r="E2282" s="22">
        <f>ItensPedido!E2282</f>
        <v/>
      </c>
      <c r="F2282" s="21">
        <f>IFERROR(INDEX(Pedidos!$B$2:$B$1801,MATCH(B2282,Pedidos!$A$2:$A$1801,0)),0)</f>
        <v/>
      </c>
      <c r="G2282" s="21">
        <f>IF(F2282=0,"",YEAR(F2282))</f>
        <v/>
      </c>
      <c r="H2282" s="21">
        <f>IF(F2282=0,"",MONTH(F2282))</f>
        <v/>
      </c>
      <c r="I2282" s="21">
        <f>IFERROR(INDEX(Pedidos!$E$2:$E$1801,MATCH(B2282,Pedidos!$A$2:$A$1801,0)),"")</f>
        <v/>
      </c>
      <c r="J2282" s="21">
        <f>IFERROR(INDEX(Pedidos!$C$2:$C$1801,MATCH(B2282,Pedidos!$A$2:$A$1801,0)),"")</f>
        <v/>
      </c>
      <c r="K2282" s="21">
        <f>IFERROR(INDEX(Pedidos!$D$2:$D$1801,MATCH(B2282,Pedidos!$A$2:$A$1801,0)),"")</f>
        <v/>
      </c>
      <c r="L2282" s="21">
        <f>IFERROR(INDEX(Pedidos!$F$2:$F$1801,MATCH(B2282,Pedidos!$A$2:$A$1801,0)),"")</f>
        <v/>
      </c>
      <c r="M2282" s="22">
        <f>IFERROR(INDEX(Pedidos!$G$2:$G$1801,MATCH(B2282,Pedidos!$A$2:$A$1801,0)),0)</f>
        <v/>
      </c>
      <c r="N2282" s="21">
        <f>IFERROR(INDEX(Produtos!$B$2:$B$71,MATCH(C2282,Produtos!$A$2:$A$71,0)),"")</f>
        <v/>
      </c>
      <c r="O2282" s="21">
        <f>IFERROR(INDEX(Produtos!$C$2:$C$71,MATCH(C2282,Produtos!$A$2:$A$71,0)),"")</f>
        <v/>
      </c>
      <c r="P2282" s="21">
        <f>IFERROR(INDEX(Produtos!$D$2:$D$71,MATCH(C2282,Produtos!$A$2:$A$71,0)),0)</f>
        <v/>
      </c>
      <c r="Q2282" s="21">
        <f>IFERROR(INDEX(Produtos!$E$2:$E$71,MATCH(C2282,Produtos!$A$2:$A$71,0)),0)</f>
        <v/>
      </c>
      <c r="R2282" s="23">
        <f>D2282*Q2282</f>
        <v/>
      </c>
      <c r="S2282" s="23">
        <f>R2282*E2282</f>
        <v/>
      </c>
      <c r="T2282" s="23">
        <f>(R2282-S2282)*M2282</f>
        <v/>
      </c>
      <c r="U2282" s="23">
        <f>R2282-S2282-T2282</f>
        <v/>
      </c>
      <c r="V2282" s="23">
        <f>D2282*P2282</f>
        <v/>
      </c>
      <c r="W2282" s="23">
        <f>U2282-V2282</f>
        <v/>
      </c>
      <c r="X2282" s="24">
        <f>IFERROR(W2282/U2282,0)</f>
        <v/>
      </c>
    </row>
    <row r="2283">
      <c r="A2283" s="25">
        <f>ItensPedido!A2283</f>
        <v/>
      </c>
      <c r="B2283" s="25">
        <f>ItensPedido!B2283</f>
        <v/>
      </c>
      <c r="C2283" s="25">
        <f>ItensPedido!C2283</f>
        <v/>
      </c>
      <c r="D2283" s="25">
        <f>ItensPedido!D2283</f>
        <v/>
      </c>
      <c r="E2283" s="26">
        <f>ItensPedido!E2283</f>
        <v/>
      </c>
      <c r="F2283" s="25">
        <f>IFERROR(INDEX(Pedidos!$B$2:$B$1801,MATCH(B2283,Pedidos!$A$2:$A$1801,0)),0)</f>
        <v/>
      </c>
      <c r="G2283" s="25">
        <f>IF(F2283=0,"",YEAR(F2283))</f>
        <v/>
      </c>
      <c r="H2283" s="25">
        <f>IF(F2283=0,"",MONTH(F2283))</f>
        <v/>
      </c>
      <c r="I2283" s="25">
        <f>IFERROR(INDEX(Pedidos!$E$2:$E$1801,MATCH(B2283,Pedidos!$A$2:$A$1801,0)),"")</f>
        <v/>
      </c>
      <c r="J2283" s="25">
        <f>IFERROR(INDEX(Pedidos!$C$2:$C$1801,MATCH(B2283,Pedidos!$A$2:$A$1801,0)),"")</f>
        <v/>
      </c>
      <c r="K2283" s="25">
        <f>IFERROR(INDEX(Pedidos!$D$2:$D$1801,MATCH(B2283,Pedidos!$A$2:$A$1801,0)),"")</f>
        <v/>
      </c>
      <c r="L2283" s="25">
        <f>IFERROR(INDEX(Pedidos!$F$2:$F$1801,MATCH(B2283,Pedidos!$A$2:$A$1801,0)),"")</f>
        <v/>
      </c>
      <c r="M2283" s="26">
        <f>IFERROR(INDEX(Pedidos!$G$2:$G$1801,MATCH(B2283,Pedidos!$A$2:$A$1801,0)),0)</f>
        <v/>
      </c>
      <c r="N2283" s="25">
        <f>IFERROR(INDEX(Produtos!$B$2:$B$71,MATCH(C2283,Produtos!$A$2:$A$71,0)),"")</f>
        <v/>
      </c>
      <c r="O2283" s="25">
        <f>IFERROR(INDEX(Produtos!$C$2:$C$71,MATCH(C2283,Produtos!$A$2:$A$71,0)),"")</f>
        <v/>
      </c>
      <c r="P2283" s="25">
        <f>IFERROR(INDEX(Produtos!$D$2:$D$71,MATCH(C2283,Produtos!$A$2:$A$71,0)),0)</f>
        <v/>
      </c>
      <c r="Q2283" s="25">
        <f>IFERROR(INDEX(Produtos!$E$2:$E$71,MATCH(C2283,Produtos!$A$2:$A$71,0)),0)</f>
        <v/>
      </c>
      <c r="R2283" s="27">
        <f>D2283*Q2283</f>
        <v/>
      </c>
      <c r="S2283" s="27">
        <f>R2283*E2283</f>
        <v/>
      </c>
      <c r="T2283" s="27">
        <f>(R2283-S2283)*M2283</f>
        <v/>
      </c>
      <c r="U2283" s="27">
        <f>R2283-S2283-T2283</f>
        <v/>
      </c>
      <c r="V2283" s="27">
        <f>D2283*P2283</f>
        <v/>
      </c>
      <c r="W2283" s="27">
        <f>U2283-V2283</f>
        <v/>
      </c>
      <c r="X2283" s="28">
        <f>IFERROR(W2283/U2283,0)</f>
        <v/>
      </c>
    </row>
    <row r="2284">
      <c r="A2284" s="21">
        <f>ItensPedido!A2284</f>
        <v/>
      </c>
      <c r="B2284" s="21">
        <f>ItensPedido!B2284</f>
        <v/>
      </c>
      <c r="C2284" s="21">
        <f>ItensPedido!C2284</f>
        <v/>
      </c>
      <c r="D2284" s="21">
        <f>ItensPedido!D2284</f>
        <v/>
      </c>
      <c r="E2284" s="22">
        <f>ItensPedido!E2284</f>
        <v/>
      </c>
      <c r="F2284" s="21">
        <f>IFERROR(INDEX(Pedidos!$B$2:$B$1801,MATCH(B2284,Pedidos!$A$2:$A$1801,0)),0)</f>
        <v/>
      </c>
      <c r="G2284" s="21">
        <f>IF(F2284=0,"",YEAR(F2284))</f>
        <v/>
      </c>
      <c r="H2284" s="21">
        <f>IF(F2284=0,"",MONTH(F2284))</f>
        <v/>
      </c>
      <c r="I2284" s="21">
        <f>IFERROR(INDEX(Pedidos!$E$2:$E$1801,MATCH(B2284,Pedidos!$A$2:$A$1801,0)),"")</f>
        <v/>
      </c>
      <c r="J2284" s="21">
        <f>IFERROR(INDEX(Pedidos!$C$2:$C$1801,MATCH(B2284,Pedidos!$A$2:$A$1801,0)),"")</f>
        <v/>
      </c>
      <c r="K2284" s="21">
        <f>IFERROR(INDEX(Pedidos!$D$2:$D$1801,MATCH(B2284,Pedidos!$A$2:$A$1801,0)),"")</f>
        <v/>
      </c>
      <c r="L2284" s="21">
        <f>IFERROR(INDEX(Pedidos!$F$2:$F$1801,MATCH(B2284,Pedidos!$A$2:$A$1801,0)),"")</f>
        <v/>
      </c>
      <c r="M2284" s="22">
        <f>IFERROR(INDEX(Pedidos!$G$2:$G$1801,MATCH(B2284,Pedidos!$A$2:$A$1801,0)),0)</f>
        <v/>
      </c>
      <c r="N2284" s="21">
        <f>IFERROR(INDEX(Produtos!$B$2:$B$71,MATCH(C2284,Produtos!$A$2:$A$71,0)),"")</f>
        <v/>
      </c>
      <c r="O2284" s="21">
        <f>IFERROR(INDEX(Produtos!$C$2:$C$71,MATCH(C2284,Produtos!$A$2:$A$71,0)),"")</f>
        <v/>
      </c>
      <c r="P2284" s="21">
        <f>IFERROR(INDEX(Produtos!$D$2:$D$71,MATCH(C2284,Produtos!$A$2:$A$71,0)),0)</f>
        <v/>
      </c>
      <c r="Q2284" s="21">
        <f>IFERROR(INDEX(Produtos!$E$2:$E$71,MATCH(C2284,Produtos!$A$2:$A$71,0)),0)</f>
        <v/>
      </c>
      <c r="R2284" s="23">
        <f>D2284*Q2284</f>
        <v/>
      </c>
      <c r="S2284" s="23">
        <f>R2284*E2284</f>
        <v/>
      </c>
      <c r="T2284" s="23">
        <f>(R2284-S2284)*M2284</f>
        <v/>
      </c>
      <c r="U2284" s="23">
        <f>R2284-S2284-T2284</f>
        <v/>
      </c>
      <c r="V2284" s="23">
        <f>D2284*P2284</f>
        <v/>
      </c>
      <c r="W2284" s="23">
        <f>U2284-V2284</f>
        <v/>
      </c>
      <c r="X2284" s="24">
        <f>IFERROR(W2284/U2284,0)</f>
        <v/>
      </c>
    </row>
    <row r="2285">
      <c r="A2285" s="25">
        <f>ItensPedido!A2285</f>
        <v/>
      </c>
      <c r="B2285" s="25">
        <f>ItensPedido!B2285</f>
        <v/>
      </c>
      <c r="C2285" s="25">
        <f>ItensPedido!C2285</f>
        <v/>
      </c>
      <c r="D2285" s="25">
        <f>ItensPedido!D2285</f>
        <v/>
      </c>
      <c r="E2285" s="26">
        <f>ItensPedido!E2285</f>
        <v/>
      </c>
      <c r="F2285" s="25">
        <f>IFERROR(INDEX(Pedidos!$B$2:$B$1801,MATCH(B2285,Pedidos!$A$2:$A$1801,0)),0)</f>
        <v/>
      </c>
      <c r="G2285" s="25">
        <f>IF(F2285=0,"",YEAR(F2285))</f>
        <v/>
      </c>
      <c r="H2285" s="25">
        <f>IF(F2285=0,"",MONTH(F2285))</f>
        <v/>
      </c>
      <c r="I2285" s="25">
        <f>IFERROR(INDEX(Pedidos!$E$2:$E$1801,MATCH(B2285,Pedidos!$A$2:$A$1801,0)),"")</f>
        <v/>
      </c>
      <c r="J2285" s="25">
        <f>IFERROR(INDEX(Pedidos!$C$2:$C$1801,MATCH(B2285,Pedidos!$A$2:$A$1801,0)),"")</f>
        <v/>
      </c>
      <c r="K2285" s="25">
        <f>IFERROR(INDEX(Pedidos!$D$2:$D$1801,MATCH(B2285,Pedidos!$A$2:$A$1801,0)),"")</f>
        <v/>
      </c>
      <c r="L2285" s="25">
        <f>IFERROR(INDEX(Pedidos!$F$2:$F$1801,MATCH(B2285,Pedidos!$A$2:$A$1801,0)),"")</f>
        <v/>
      </c>
      <c r="M2285" s="26">
        <f>IFERROR(INDEX(Pedidos!$G$2:$G$1801,MATCH(B2285,Pedidos!$A$2:$A$1801,0)),0)</f>
        <v/>
      </c>
      <c r="N2285" s="25">
        <f>IFERROR(INDEX(Produtos!$B$2:$B$71,MATCH(C2285,Produtos!$A$2:$A$71,0)),"")</f>
        <v/>
      </c>
      <c r="O2285" s="25">
        <f>IFERROR(INDEX(Produtos!$C$2:$C$71,MATCH(C2285,Produtos!$A$2:$A$71,0)),"")</f>
        <v/>
      </c>
      <c r="P2285" s="25">
        <f>IFERROR(INDEX(Produtos!$D$2:$D$71,MATCH(C2285,Produtos!$A$2:$A$71,0)),0)</f>
        <v/>
      </c>
      <c r="Q2285" s="25">
        <f>IFERROR(INDEX(Produtos!$E$2:$E$71,MATCH(C2285,Produtos!$A$2:$A$71,0)),0)</f>
        <v/>
      </c>
      <c r="R2285" s="27">
        <f>D2285*Q2285</f>
        <v/>
      </c>
      <c r="S2285" s="27">
        <f>R2285*E2285</f>
        <v/>
      </c>
      <c r="T2285" s="27">
        <f>(R2285-S2285)*M2285</f>
        <v/>
      </c>
      <c r="U2285" s="27">
        <f>R2285-S2285-T2285</f>
        <v/>
      </c>
      <c r="V2285" s="27">
        <f>D2285*P2285</f>
        <v/>
      </c>
      <c r="W2285" s="27">
        <f>U2285-V2285</f>
        <v/>
      </c>
      <c r="X2285" s="28">
        <f>IFERROR(W2285/U2285,0)</f>
        <v/>
      </c>
    </row>
    <row r="2286">
      <c r="A2286" s="21">
        <f>ItensPedido!A2286</f>
        <v/>
      </c>
      <c r="B2286" s="21">
        <f>ItensPedido!B2286</f>
        <v/>
      </c>
      <c r="C2286" s="21">
        <f>ItensPedido!C2286</f>
        <v/>
      </c>
      <c r="D2286" s="21">
        <f>ItensPedido!D2286</f>
        <v/>
      </c>
      <c r="E2286" s="22">
        <f>ItensPedido!E2286</f>
        <v/>
      </c>
      <c r="F2286" s="21">
        <f>IFERROR(INDEX(Pedidos!$B$2:$B$1801,MATCH(B2286,Pedidos!$A$2:$A$1801,0)),0)</f>
        <v/>
      </c>
      <c r="G2286" s="21">
        <f>IF(F2286=0,"",YEAR(F2286))</f>
        <v/>
      </c>
      <c r="H2286" s="21">
        <f>IF(F2286=0,"",MONTH(F2286))</f>
        <v/>
      </c>
      <c r="I2286" s="21">
        <f>IFERROR(INDEX(Pedidos!$E$2:$E$1801,MATCH(B2286,Pedidos!$A$2:$A$1801,0)),"")</f>
        <v/>
      </c>
      <c r="J2286" s="21">
        <f>IFERROR(INDEX(Pedidos!$C$2:$C$1801,MATCH(B2286,Pedidos!$A$2:$A$1801,0)),"")</f>
        <v/>
      </c>
      <c r="K2286" s="21">
        <f>IFERROR(INDEX(Pedidos!$D$2:$D$1801,MATCH(B2286,Pedidos!$A$2:$A$1801,0)),"")</f>
        <v/>
      </c>
      <c r="L2286" s="21">
        <f>IFERROR(INDEX(Pedidos!$F$2:$F$1801,MATCH(B2286,Pedidos!$A$2:$A$1801,0)),"")</f>
        <v/>
      </c>
      <c r="M2286" s="22">
        <f>IFERROR(INDEX(Pedidos!$G$2:$G$1801,MATCH(B2286,Pedidos!$A$2:$A$1801,0)),0)</f>
        <v/>
      </c>
      <c r="N2286" s="21">
        <f>IFERROR(INDEX(Produtos!$B$2:$B$71,MATCH(C2286,Produtos!$A$2:$A$71,0)),"")</f>
        <v/>
      </c>
      <c r="O2286" s="21">
        <f>IFERROR(INDEX(Produtos!$C$2:$C$71,MATCH(C2286,Produtos!$A$2:$A$71,0)),"")</f>
        <v/>
      </c>
      <c r="P2286" s="21">
        <f>IFERROR(INDEX(Produtos!$D$2:$D$71,MATCH(C2286,Produtos!$A$2:$A$71,0)),0)</f>
        <v/>
      </c>
      <c r="Q2286" s="21">
        <f>IFERROR(INDEX(Produtos!$E$2:$E$71,MATCH(C2286,Produtos!$A$2:$A$71,0)),0)</f>
        <v/>
      </c>
      <c r="R2286" s="23">
        <f>D2286*Q2286</f>
        <v/>
      </c>
      <c r="S2286" s="23">
        <f>R2286*E2286</f>
        <v/>
      </c>
      <c r="T2286" s="23">
        <f>(R2286-S2286)*M2286</f>
        <v/>
      </c>
      <c r="U2286" s="23">
        <f>R2286-S2286-T2286</f>
        <v/>
      </c>
      <c r="V2286" s="23">
        <f>D2286*P2286</f>
        <v/>
      </c>
      <c r="W2286" s="23">
        <f>U2286-V2286</f>
        <v/>
      </c>
      <c r="X2286" s="24">
        <f>IFERROR(W2286/U2286,0)</f>
        <v/>
      </c>
    </row>
    <row r="2287">
      <c r="A2287" s="25">
        <f>ItensPedido!A2287</f>
        <v/>
      </c>
      <c r="B2287" s="25">
        <f>ItensPedido!B2287</f>
        <v/>
      </c>
      <c r="C2287" s="25">
        <f>ItensPedido!C2287</f>
        <v/>
      </c>
      <c r="D2287" s="25">
        <f>ItensPedido!D2287</f>
        <v/>
      </c>
      <c r="E2287" s="26">
        <f>ItensPedido!E2287</f>
        <v/>
      </c>
      <c r="F2287" s="25">
        <f>IFERROR(INDEX(Pedidos!$B$2:$B$1801,MATCH(B2287,Pedidos!$A$2:$A$1801,0)),0)</f>
        <v/>
      </c>
      <c r="G2287" s="25">
        <f>IF(F2287=0,"",YEAR(F2287))</f>
        <v/>
      </c>
      <c r="H2287" s="25">
        <f>IF(F2287=0,"",MONTH(F2287))</f>
        <v/>
      </c>
      <c r="I2287" s="25">
        <f>IFERROR(INDEX(Pedidos!$E$2:$E$1801,MATCH(B2287,Pedidos!$A$2:$A$1801,0)),"")</f>
        <v/>
      </c>
      <c r="J2287" s="25">
        <f>IFERROR(INDEX(Pedidos!$C$2:$C$1801,MATCH(B2287,Pedidos!$A$2:$A$1801,0)),"")</f>
        <v/>
      </c>
      <c r="K2287" s="25">
        <f>IFERROR(INDEX(Pedidos!$D$2:$D$1801,MATCH(B2287,Pedidos!$A$2:$A$1801,0)),"")</f>
        <v/>
      </c>
      <c r="L2287" s="25">
        <f>IFERROR(INDEX(Pedidos!$F$2:$F$1801,MATCH(B2287,Pedidos!$A$2:$A$1801,0)),"")</f>
        <v/>
      </c>
      <c r="M2287" s="26">
        <f>IFERROR(INDEX(Pedidos!$G$2:$G$1801,MATCH(B2287,Pedidos!$A$2:$A$1801,0)),0)</f>
        <v/>
      </c>
      <c r="N2287" s="25">
        <f>IFERROR(INDEX(Produtos!$B$2:$B$71,MATCH(C2287,Produtos!$A$2:$A$71,0)),"")</f>
        <v/>
      </c>
      <c r="O2287" s="25">
        <f>IFERROR(INDEX(Produtos!$C$2:$C$71,MATCH(C2287,Produtos!$A$2:$A$71,0)),"")</f>
        <v/>
      </c>
      <c r="P2287" s="25">
        <f>IFERROR(INDEX(Produtos!$D$2:$D$71,MATCH(C2287,Produtos!$A$2:$A$71,0)),0)</f>
        <v/>
      </c>
      <c r="Q2287" s="25">
        <f>IFERROR(INDEX(Produtos!$E$2:$E$71,MATCH(C2287,Produtos!$A$2:$A$71,0)),0)</f>
        <v/>
      </c>
      <c r="R2287" s="27">
        <f>D2287*Q2287</f>
        <v/>
      </c>
      <c r="S2287" s="27">
        <f>R2287*E2287</f>
        <v/>
      </c>
      <c r="T2287" s="27">
        <f>(R2287-S2287)*M2287</f>
        <v/>
      </c>
      <c r="U2287" s="27">
        <f>R2287-S2287-T2287</f>
        <v/>
      </c>
      <c r="V2287" s="27">
        <f>D2287*P2287</f>
        <v/>
      </c>
      <c r="W2287" s="27">
        <f>U2287-V2287</f>
        <v/>
      </c>
      <c r="X2287" s="28">
        <f>IFERROR(W2287/U2287,0)</f>
        <v/>
      </c>
    </row>
    <row r="2288">
      <c r="A2288" s="21">
        <f>ItensPedido!A2288</f>
        <v/>
      </c>
      <c r="B2288" s="21">
        <f>ItensPedido!B2288</f>
        <v/>
      </c>
      <c r="C2288" s="21">
        <f>ItensPedido!C2288</f>
        <v/>
      </c>
      <c r="D2288" s="21">
        <f>ItensPedido!D2288</f>
        <v/>
      </c>
      <c r="E2288" s="22">
        <f>ItensPedido!E2288</f>
        <v/>
      </c>
      <c r="F2288" s="21">
        <f>IFERROR(INDEX(Pedidos!$B$2:$B$1801,MATCH(B2288,Pedidos!$A$2:$A$1801,0)),0)</f>
        <v/>
      </c>
      <c r="G2288" s="21">
        <f>IF(F2288=0,"",YEAR(F2288))</f>
        <v/>
      </c>
      <c r="H2288" s="21">
        <f>IF(F2288=0,"",MONTH(F2288))</f>
        <v/>
      </c>
      <c r="I2288" s="21">
        <f>IFERROR(INDEX(Pedidos!$E$2:$E$1801,MATCH(B2288,Pedidos!$A$2:$A$1801,0)),"")</f>
        <v/>
      </c>
      <c r="J2288" s="21">
        <f>IFERROR(INDEX(Pedidos!$C$2:$C$1801,MATCH(B2288,Pedidos!$A$2:$A$1801,0)),"")</f>
        <v/>
      </c>
      <c r="K2288" s="21">
        <f>IFERROR(INDEX(Pedidos!$D$2:$D$1801,MATCH(B2288,Pedidos!$A$2:$A$1801,0)),"")</f>
        <v/>
      </c>
      <c r="L2288" s="21">
        <f>IFERROR(INDEX(Pedidos!$F$2:$F$1801,MATCH(B2288,Pedidos!$A$2:$A$1801,0)),"")</f>
        <v/>
      </c>
      <c r="M2288" s="22">
        <f>IFERROR(INDEX(Pedidos!$G$2:$G$1801,MATCH(B2288,Pedidos!$A$2:$A$1801,0)),0)</f>
        <v/>
      </c>
      <c r="N2288" s="21">
        <f>IFERROR(INDEX(Produtos!$B$2:$B$71,MATCH(C2288,Produtos!$A$2:$A$71,0)),"")</f>
        <v/>
      </c>
      <c r="O2288" s="21">
        <f>IFERROR(INDEX(Produtos!$C$2:$C$71,MATCH(C2288,Produtos!$A$2:$A$71,0)),"")</f>
        <v/>
      </c>
      <c r="P2288" s="21">
        <f>IFERROR(INDEX(Produtos!$D$2:$D$71,MATCH(C2288,Produtos!$A$2:$A$71,0)),0)</f>
        <v/>
      </c>
      <c r="Q2288" s="21">
        <f>IFERROR(INDEX(Produtos!$E$2:$E$71,MATCH(C2288,Produtos!$A$2:$A$71,0)),0)</f>
        <v/>
      </c>
      <c r="R2288" s="23">
        <f>D2288*Q2288</f>
        <v/>
      </c>
      <c r="S2288" s="23">
        <f>R2288*E2288</f>
        <v/>
      </c>
      <c r="T2288" s="23">
        <f>(R2288-S2288)*M2288</f>
        <v/>
      </c>
      <c r="U2288" s="23">
        <f>R2288-S2288-T2288</f>
        <v/>
      </c>
      <c r="V2288" s="23">
        <f>D2288*P2288</f>
        <v/>
      </c>
      <c r="W2288" s="23">
        <f>U2288-V2288</f>
        <v/>
      </c>
      <c r="X2288" s="24">
        <f>IFERROR(W2288/U2288,0)</f>
        <v/>
      </c>
    </row>
    <row r="2289">
      <c r="A2289" s="25">
        <f>ItensPedido!A2289</f>
        <v/>
      </c>
      <c r="B2289" s="25">
        <f>ItensPedido!B2289</f>
        <v/>
      </c>
      <c r="C2289" s="25">
        <f>ItensPedido!C2289</f>
        <v/>
      </c>
      <c r="D2289" s="25">
        <f>ItensPedido!D2289</f>
        <v/>
      </c>
      <c r="E2289" s="26">
        <f>ItensPedido!E2289</f>
        <v/>
      </c>
      <c r="F2289" s="25">
        <f>IFERROR(INDEX(Pedidos!$B$2:$B$1801,MATCH(B2289,Pedidos!$A$2:$A$1801,0)),0)</f>
        <v/>
      </c>
      <c r="G2289" s="25">
        <f>IF(F2289=0,"",YEAR(F2289))</f>
        <v/>
      </c>
      <c r="H2289" s="25">
        <f>IF(F2289=0,"",MONTH(F2289))</f>
        <v/>
      </c>
      <c r="I2289" s="25">
        <f>IFERROR(INDEX(Pedidos!$E$2:$E$1801,MATCH(B2289,Pedidos!$A$2:$A$1801,0)),"")</f>
        <v/>
      </c>
      <c r="J2289" s="25">
        <f>IFERROR(INDEX(Pedidos!$C$2:$C$1801,MATCH(B2289,Pedidos!$A$2:$A$1801,0)),"")</f>
        <v/>
      </c>
      <c r="K2289" s="25">
        <f>IFERROR(INDEX(Pedidos!$D$2:$D$1801,MATCH(B2289,Pedidos!$A$2:$A$1801,0)),"")</f>
        <v/>
      </c>
      <c r="L2289" s="25">
        <f>IFERROR(INDEX(Pedidos!$F$2:$F$1801,MATCH(B2289,Pedidos!$A$2:$A$1801,0)),"")</f>
        <v/>
      </c>
      <c r="M2289" s="26">
        <f>IFERROR(INDEX(Pedidos!$G$2:$G$1801,MATCH(B2289,Pedidos!$A$2:$A$1801,0)),0)</f>
        <v/>
      </c>
      <c r="N2289" s="25">
        <f>IFERROR(INDEX(Produtos!$B$2:$B$71,MATCH(C2289,Produtos!$A$2:$A$71,0)),"")</f>
        <v/>
      </c>
      <c r="O2289" s="25">
        <f>IFERROR(INDEX(Produtos!$C$2:$C$71,MATCH(C2289,Produtos!$A$2:$A$71,0)),"")</f>
        <v/>
      </c>
      <c r="P2289" s="25">
        <f>IFERROR(INDEX(Produtos!$D$2:$D$71,MATCH(C2289,Produtos!$A$2:$A$71,0)),0)</f>
        <v/>
      </c>
      <c r="Q2289" s="25">
        <f>IFERROR(INDEX(Produtos!$E$2:$E$71,MATCH(C2289,Produtos!$A$2:$A$71,0)),0)</f>
        <v/>
      </c>
      <c r="R2289" s="27">
        <f>D2289*Q2289</f>
        <v/>
      </c>
      <c r="S2289" s="27">
        <f>R2289*E2289</f>
        <v/>
      </c>
      <c r="T2289" s="27">
        <f>(R2289-S2289)*M2289</f>
        <v/>
      </c>
      <c r="U2289" s="27">
        <f>R2289-S2289-T2289</f>
        <v/>
      </c>
      <c r="V2289" s="27">
        <f>D2289*P2289</f>
        <v/>
      </c>
      <c r="W2289" s="27">
        <f>U2289-V2289</f>
        <v/>
      </c>
      <c r="X2289" s="28">
        <f>IFERROR(W2289/U2289,0)</f>
        <v/>
      </c>
    </row>
    <row r="2290">
      <c r="A2290" s="21">
        <f>ItensPedido!A2290</f>
        <v/>
      </c>
      <c r="B2290" s="21">
        <f>ItensPedido!B2290</f>
        <v/>
      </c>
      <c r="C2290" s="21">
        <f>ItensPedido!C2290</f>
        <v/>
      </c>
      <c r="D2290" s="21">
        <f>ItensPedido!D2290</f>
        <v/>
      </c>
      <c r="E2290" s="22">
        <f>ItensPedido!E2290</f>
        <v/>
      </c>
      <c r="F2290" s="21">
        <f>IFERROR(INDEX(Pedidos!$B$2:$B$1801,MATCH(B2290,Pedidos!$A$2:$A$1801,0)),0)</f>
        <v/>
      </c>
      <c r="G2290" s="21">
        <f>IF(F2290=0,"",YEAR(F2290))</f>
        <v/>
      </c>
      <c r="H2290" s="21">
        <f>IF(F2290=0,"",MONTH(F2290))</f>
        <v/>
      </c>
      <c r="I2290" s="21">
        <f>IFERROR(INDEX(Pedidos!$E$2:$E$1801,MATCH(B2290,Pedidos!$A$2:$A$1801,0)),"")</f>
        <v/>
      </c>
      <c r="J2290" s="21">
        <f>IFERROR(INDEX(Pedidos!$C$2:$C$1801,MATCH(B2290,Pedidos!$A$2:$A$1801,0)),"")</f>
        <v/>
      </c>
      <c r="K2290" s="21">
        <f>IFERROR(INDEX(Pedidos!$D$2:$D$1801,MATCH(B2290,Pedidos!$A$2:$A$1801,0)),"")</f>
        <v/>
      </c>
      <c r="L2290" s="21">
        <f>IFERROR(INDEX(Pedidos!$F$2:$F$1801,MATCH(B2290,Pedidos!$A$2:$A$1801,0)),"")</f>
        <v/>
      </c>
      <c r="M2290" s="22">
        <f>IFERROR(INDEX(Pedidos!$G$2:$G$1801,MATCH(B2290,Pedidos!$A$2:$A$1801,0)),0)</f>
        <v/>
      </c>
      <c r="N2290" s="21">
        <f>IFERROR(INDEX(Produtos!$B$2:$B$71,MATCH(C2290,Produtos!$A$2:$A$71,0)),"")</f>
        <v/>
      </c>
      <c r="O2290" s="21">
        <f>IFERROR(INDEX(Produtos!$C$2:$C$71,MATCH(C2290,Produtos!$A$2:$A$71,0)),"")</f>
        <v/>
      </c>
      <c r="P2290" s="21">
        <f>IFERROR(INDEX(Produtos!$D$2:$D$71,MATCH(C2290,Produtos!$A$2:$A$71,0)),0)</f>
        <v/>
      </c>
      <c r="Q2290" s="21">
        <f>IFERROR(INDEX(Produtos!$E$2:$E$71,MATCH(C2290,Produtos!$A$2:$A$71,0)),0)</f>
        <v/>
      </c>
      <c r="R2290" s="23">
        <f>D2290*Q2290</f>
        <v/>
      </c>
      <c r="S2290" s="23">
        <f>R2290*E2290</f>
        <v/>
      </c>
      <c r="T2290" s="23">
        <f>(R2290-S2290)*M2290</f>
        <v/>
      </c>
      <c r="U2290" s="23">
        <f>R2290-S2290-T2290</f>
        <v/>
      </c>
      <c r="V2290" s="23">
        <f>D2290*P2290</f>
        <v/>
      </c>
      <c r="W2290" s="23">
        <f>U2290-V2290</f>
        <v/>
      </c>
      <c r="X2290" s="24">
        <f>IFERROR(W2290/U2290,0)</f>
        <v/>
      </c>
    </row>
    <row r="2291">
      <c r="A2291" s="25">
        <f>ItensPedido!A2291</f>
        <v/>
      </c>
      <c r="B2291" s="25">
        <f>ItensPedido!B2291</f>
        <v/>
      </c>
      <c r="C2291" s="25">
        <f>ItensPedido!C2291</f>
        <v/>
      </c>
      <c r="D2291" s="25">
        <f>ItensPedido!D2291</f>
        <v/>
      </c>
      <c r="E2291" s="26">
        <f>ItensPedido!E2291</f>
        <v/>
      </c>
      <c r="F2291" s="25">
        <f>IFERROR(INDEX(Pedidos!$B$2:$B$1801,MATCH(B2291,Pedidos!$A$2:$A$1801,0)),0)</f>
        <v/>
      </c>
      <c r="G2291" s="25">
        <f>IF(F2291=0,"",YEAR(F2291))</f>
        <v/>
      </c>
      <c r="H2291" s="25">
        <f>IF(F2291=0,"",MONTH(F2291))</f>
        <v/>
      </c>
      <c r="I2291" s="25">
        <f>IFERROR(INDEX(Pedidos!$E$2:$E$1801,MATCH(B2291,Pedidos!$A$2:$A$1801,0)),"")</f>
        <v/>
      </c>
      <c r="J2291" s="25">
        <f>IFERROR(INDEX(Pedidos!$C$2:$C$1801,MATCH(B2291,Pedidos!$A$2:$A$1801,0)),"")</f>
        <v/>
      </c>
      <c r="K2291" s="25">
        <f>IFERROR(INDEX(Pedidos!$D$2:$D$1801,MATCH(B2291,Pedidos!$A$2:$A$1801,0)),"")</f>
        <v/>
      </c>
      <c r="L2291" s="25">
        <f>IFERROR(INDEX(Pedidos!$F$2:$F$1801,MATCH(B2291,Pedidos!$A$2:$A$1801,0)),"")</f>
        <v/>
      </c>
      <c r="M2291" s="26">
        <f>IFERROR(INDEX(Pedidos!$G$2:$G$1801,MATCH(B2291,Pedidos!$A$2:$A$1801,0)),0)</f>
        <v/>
      </c>
      <c r="N2291" s="25">
        <f>IFERROR(INDEX(Produtos!$B$2:$B$71,MATCH(C2291,Produtos!$A$2:$A$71,0)),"")</f>
        <v/>
      </c>
      <c r="O2291" s="25">
        <f>IFERROR(INDEX(Produtos!$C$2:$C$71,MATCH(C2291,Produtos!$A$2:$A$71,0)),"")</f>
        <v/>
      </c>
      <c r="P2291" s="25">
        <f>IFERROR(INDEX(Produtos!$D$2:$D$71,MATCH(C2291,Produtos!$A$2:$A$71,0)),0)</f>
        <v/>
      </c>
      <c r="Q2291" s="25">
        <f>IFERROR(INDEX(Produtos!$E$2:$E$71,MATCH(C2291,Produtos!$A$2:$A$71,0)),0)</f>
        <v/>
      </c>
      <c r="R2291" s="27">
        <f>D2291*Q2291</f>
        <v/>
      </c>
      <c r="S2291" s="27">
        <f>R2291*E2291</f>
        <v/>
      </c>
      <c r="T2291" s="27">
        <f>(R2291-S2291)*M2291</f>
        <v/>
      </c>
      <c r="U2291" s="27">
        <f>R2291-S2291-T2291</f>
        <v/>
      </c>
      <c r="V2291" s="27">
        <f>D2291*P2291</f>
        <v/>
      </c>
      <c r="W2291" s="27">
        <f>U2291-V2291</f>
        <v/>
      </c>
      <c r="X2291" s="28">
        <f>IFERROR(W2291/U2291,0)</f>
        <v/>
      </c>
    </row>
    <row r="2292">
      <c r="A2292" s="21">
        <f>ItensPedido!A2292</f>
        <v/>
      </c>
      <c r="B2292" s="21">
        <f>ItensPedido!B2292</f>
        <v/>
      </c>
      <c r="C2292" s="21">
        <f>ItensPedido!C2292</f>
        <v/>
      </c>
      <c r="D2292" s="21">
        <f>ItensPedido!D2292</f>
        <v/>
      </c>
      <c r="E2292" s="22">
        <f>ItensPedido!E2292</f>
        <v/>
      </c>
      <c r="F2292" s="21">
        <f>IFERROR(INDEX(Pedidos!$B$2:$B$1801,MATCH(B2292,Pedidos!$A$2:$A$1801,0)),0)</f>
        <v/>
      </c>
      <c r="G2292" s="21">
        <f>IF(F2292=0,"",YEAR(F2292))</f>
        <v/>
      </c>
      <c r="H2292" s="21">
        <f>IF(F2292=0,"",MONTH(F2292))</f>
        <v/>
      </c>
      <c r="I2292" s="21">
        <f>IFERROR(INDEX(Pedidos!$E$2:$E$1801,MATCH(B2292,Pedidos!$A$2:$A$1801,0)),"")</f>
        <v/>
      </c>
      <c r="J2292" s="21">
        <f>IFERROR(INDEX(Pedidos!$C$2:$C$1801,MATCH(B2292,Pedidos!$A$2:$A$1801,0)),"")</f>
        <v/>
      </c>
      <c r="K2292" s="21">
        <f>IFERROR(INDEX(Pedidos!$D$2:$D$1801,MATCH(B2292,Pedidos!$A$2:$A$1801,0)),"")</f>
        <v/>
      </c>
      <c r="L2292" s="21">
        <f>IFERROR(INDEX(Pedidos!$F$2:$F$1801,MATCH(B2292,Pedidos!$A$2:$A$1801,0)),"")</f>
        <v/>
      </c>
      <c r="M2292" s="22">
        <f>IFERROR(INDEX(Pedidos!$G$2:$G$1801,MATCH(B2292,Pedidos!$A$2:$A$1801,0)),0)</f>
        <v/>
      </c>
      <c r="N2292" s="21">
        <f>IFERROR(INDEX(Produtos!$B$2:$B$71,MATCH(C2292,Produtos!$A$2:$A$71,0)),"")</f>
        <v/>
      </c>
      <c r="O2292" s="21">
        <f>IFERROR(INDEX(Produtos!$C$2:$C$71,MATCH(C2292,Produtos!$A$2:$A$71,0)),"")</f>
        <v/>
      </c>
      <c r="P2292" s="21">
        <f>IFERROR(INDEX(Produtos!$D$2:$D$71,MATCH(C2292,Produtos!$A$2:$A$71,0)),0)</f>
        <v/>
      </c>
      <c r="Q2292" s="21">
        <f>IFERROR(INDEX(Produtos!$E$2:$E$71,MATCH(C2292,Produtos!$A$2:$A$71,0)),0)</f>
        <v/>
      </c>
      <c r="R2292" s="23">
        <f>D2292*Q2292</f>
        <v/>
      </c>
      <c r="S2292" s="23">
        <f>R2292*E2292</f>
        <v/>
      </c>
      <c r="T2292" s="23">
        <f>(R2292-S2292)*M2292</f>
        <v/>
      </c>
      <c r="U2292" s="23">
        <f>R2292-S2292-T2292</f>
        <v/>
      </c>
      <c r="V2292" s="23">
        <f>D2292*P2292</f>
        <v/>
      </c>
      <c r="W2292" s="23">
        <f>U2292-V2292</f>
        <v/>
      </c>
      <c r="X2292" s="24">
        <f>IFERROR(W2292/U2292,0)</f>
        <v/>
      </c>
    </row>
    <row r="2293">
      <c r="A2293" s="25">
        <f>ItensPedido!A2293</f>
        <v/>
      </c>
      <c r="B2293" s="25">
        <f>ItensPedido!B2293</f>
        <v/>
      </c>
      <c r="C2293" s="25">
        <f>ItensPedido!C2293</f>
        <v/>
      </c>
      <c r="D2293" s="25">
        <f>ItensPedido!D2293</f>
        <v/>
      </c>
      <c r="E2293" s="26">
        <f>ItensPedido!E2293</f>
        <v/>
      </c>
      <c r="F2293" s="25">
        <f>IFERROR(INDEX(Pedidos!$B$2:$B$1801,MATCH(B2293,Pedidos!$A$2:$A$1801,0)),0)</f>
        <v/>
      </c>
      <c r="G2293" s="25">
        <f>IF(F2293=0,"",YEAR(F2293))</f>
        <v/>
      </c>
      <c r="H2293" s="25">
        <f>IF(F2293=0,"",MONTH(F2293))</f>
        <v/>
      </c>
      <c r="I2293" s="25">
        <f>IFERROR(INDEX(Pedidos!$E$2:$E$1801,MATCH(B2293,Pedidos!$A$2:$A$1801,0)),"")</f>
        <v/>
      </c>
      <c r="J2293" s="25">
        <f>IFERROR(INDEX(Pedidos!$C$2:$C$1801,MATCH(B2293,Pedidos!$A$2:$A$1801,0)),"")</f>
        <v/>
      </c>
      <c r="K2293" s="25">
        <f>IFERROR(INDEX(Pedidos!$D$2:$D$1801,MATCH(B2293,Pedidos!$A$2:$A$1801,0)),"")</f>
        <v/>
      </c>
      <c r="L2293" s="25">
        <f>IFERROR(INDEX(Pedidos!$F$2:$F$1801,MATCH(B2293,Pedidos!$A$2:$A$1801,0)),"")</f>
        <v/>
      </c>
      <c r="M2293" s="26">
        <f>IFERROR(INDEX(Pedidos!$G$2:$G$1801,MATCH(B2293,Pedidos!$A$2:$A$1801,0)),0)</f>
        <v/>
      </c>
      <c r="N2293" s="25">
        <f>IFERROR(INDEX(Produtos!$B$2:$B$71,MATCH(C2293,Produtos!$A$2:$A$71,0)),"")</f>
        <v/>
      </c>
      <c r="O2293" s="25">
        <f>IFERROR(INDEX(Produtos!$C$2:$C$71,MATCH(C2293,Produtos!$A$2:$A$71,0)),"")</f>
        <v/>
      </c>
      <c r="P2293" s="25">
        <f>IFERROR(INDEX(Produtos!$D$2:$D$71,MATCH(C2293,Produtos!$A$2:$A$71,0)),0)</f>
        <v/>
      </c>
      <c r="Q2293" s="25">
        <f>IFERROR(INDEX(Produtos!$E$2:$E$71,MATCH(C2293,Produtos!$A$2:$A$71,0)),0)</f>
        <v/>
      </c>
      <c r="R2293" s="27">
        <f>D2293*Q2293</f>
        <v/>
      </c>
      <c r="S2293" s="27">
        <f>R2293*E2293</f>
        <v/>
      </c>
      <c r="T2293" s="27">
        <f>(R2293-S2293)*M2293</f>
        <v/>
      </c>
      <c r="U2293" s="27">
        <f>R2293-S2293-T2293</f>
        <v/>
      </c>
      <c r="V2293" s="27">
        <f>D2293*P2293</f>
        <v/>
      </c>
      <c r="W2293" s="27">
        <f>U2293-V2293</f>
        <v/>
      </c>
      <c r="X2293" s="28">
        <f>IFERROR(W2293/U2293,0)</f>
        <v/>
      </c>
    </row>
    <row r="2294">
      <c r="A2294" s="21">
        <f>ItensPedido!A2294</f>
        <v/>
      </c>
      <c r="B2294" s="21">
        <f>ItensPedido!B2294</f>
        <v/>
      </c>
      <c r="C2294" s="21">
        <f>ItensPedido!C2294</f>
        <v/>
      </c>
      <c r="D2294" s="21">
        <f>ItensPedido!D2294</f>
        <v/>
      </c>
      <c r="E2294" s="22">
        <f>ItensPedido!E2294</f>
        <v/>
      </c>
      <c r="F2294" s="21">
        <f>IFERROR(INDEX(Pedidos!$B$2:$B$1801,MATCH(B2294,Pedidos!$A$2:$A$1801,0)),0)</f>
        <v/>
      </c>
      <c r="G2294" s="21">
        <f>IF(F2294=0,"",YEAR(F2294))</f>
        <v/>
      </c>
      <c r="H2294" s="21">
        <f>IF(F2294=0,"",MONTH(F2294))</f>
        <v/>
      </c>
      <c r="I2294" s="21">
        <f>IFERROR(INDEX(Pedidos!$E$2:$E$1801,MATCH(B2294,Pedidos!$A$2:$A$1801,0)),"")</f>
        <v/>
      </c>
      <c r="J2294" s="21">
        <f>IFERROR(INDEX(Pedidos!$C$2:$C$1801,MATCH(B2294,Pedidos!$A$2:$A$1801,0)),"")</f>
        <v/>
      </c>
      <c r="K2294" s="21">
        <f>IFERROR(INDEX(Pedidos!$D$2:$D$1801,MATCH(B2294,Pedidos!$A$2:$A$1801,0)),"")</f>
        <v/>
      </c>
      <c r="L2294" s="21">
        <f>IFERROR(INDEX(Pedidos!$F$2:$F$1801,MATCH(B2294,Pedidos!$A$2:$A$1801,0)),"")</f>
        <v/>
      </c>
      <c r="M2294" s="22">
        <f>IFERROR(INDEX(Pedidos!$G$2:$G$1801,MATCH(B2294,Pedidos!$A$2:$A$1801,0)),0)</f>
        <v/>
      </c>
      <c r="N2294" s="21">
        <f>IFERROR(INDEX(Produtos!$B$2:$B$71,MATCH(C2294,Produtos!$A$2:$A$71,0)),"")</f>
        <v/>
      </c>
      <c r="O2294" s="21">
        <f>IFERROR(INDEX(Produtos!$C$2:$C$71,MATCH(C2294,Produtos!$A$2:$A$71,0)),"")</f>
        <v/>
      </c>
      <c r="P2294" s="21">
        <f>IFERROR(INDEX(Produtos!$D$2:$D$71,MATCH(C2294,Produtos!$A$2:$A$71,0)),0)</f>
        <v/>
      </c>
      <c r="Q2294" s="21">
        <f>IFERROR(INDEX(Produtos!$E$2:$E$71,MATCH(C2294,Produtos!$A$2:$A$71,0)),0)</f>
        <v/>
      </c>
      <c r="R2294" s="23">
        <f>D2294*Q2294</f>
        <v/>
      </c>
      <c r="S2294" s="23">
        <f>R2294*E2294</f>
        <v/>
      </c>
      <c r="T2294" s="23">
        <f>(R2294-S2294)*M2294</f>
        <v/>
      </c>
      <c r="U2294" s="23">
        <f>R2294-S2294-T2294</f>
        <v/>
      </c>
      <c r="V2294" s="23">
        <f>D2294*P2294</f>
        <v/>
      </c>
      <c r="W2294" s="23">
        <f>U2294-V2294</f>
        <v/>
      </c>
      <c r="X2294" s="24">
        <f>IFERROR(W2294/U2294,0)</f>
        <v/>
      </c>
    </row>
    <row r="2295">
      <c r="A2295" s="25">
        <f>ItensPedido!A2295</f>
        <v/>
      </c>
      <c r="B2295" s="25">
        <f>ItensPedido!B2295</f>
        <v/>
      </c>
      <c r="C2295" s="25">
        <f>ItensPedido!C2295</f>
        <v/>
      </c>
      <c r="D2295" s="25">
        <f>ItensPedido!D2295</f>
        <v/>
      </c>
      <c r="E2295" s="26">
        <f>ItensPedido!E2295</f>
        <v/>
      </c>
      <c r="F2295" s="25">
        <f>IFERROR(INDEX(Pedidos!$B$2:$B$1801,MATCH(B2295,Pedidos!$A$2:$A$1801,0)),0)</f>
        <v/>
      </c>
      <c r="G2295" s="25">
        <f>IF(F2295=0,"",YEAR(F2295))</f>
        <v/>
      </c>
      <c r="H2295" s="25">
        <f>IF(F2295=0,"",MONTH(F2295))</f>
        <v/>
      </c>
      <c r="I2295" s="25">
        <f>IFERROR(INDEX(Pedidos!$E$2:$E$1801,MATCH(B2295,Pedidos!$A$2:$A$1801,0)),"")</f>
        <v/>
      </c>
      <c r="J2295" s="25">
        <f>IFERROR(INDEX(Pedidos!$C$2:$C$1801,MATCH(B2295,Pedidos!$A$2:$A$1801,0)),"")</f>
        <v/>
      </c>
      <c r="K2295" s="25">
        <f>IFERROR(INDEX(Pedidos!$D$2:$D$1801,MATCH(B2295,Pedidos!$A$2:$A$1801,0)),"")</f>
        <v/>
      </c>
      <c r="L2295" s="25">
        <f>IFERROR(INDEX(Pedidos!$F$2:$F$1801,MATCH(B2295,Pedidos!$A$2:$A$1801,0)),"")</f>
        <v/>
      </c>
      <c r="M2295" s="26">
        <f>IFERROR(INDEX(Pedidos!$G$2:$G$1801,MATCH(B2295,Pedidos!$A$2:$A$1801,0)),0)</f>
        <v/>
      </c>
      <c r="N2295" s="25">
        <f>IFERROR(INDEX(Produtos!$B$2:$B$71,MATCH(C2295,Produtos!$A$2:$A$71,0)),"")</f>
        <v/>
      </c>
      <c r="O2295" s="25">
        <f>IFERROR(INDEX(Produtos!$C$2:$C$71,MATCH(C2295,Produtos!$A$2:$A$71,0)),"")</f>
        <v/>
      </c>
      <c r="P2295" s="25">
        <f>IFERROR(INDEX(Produtos!$D$2:$D$71,MATCH(C2295,Produtos!$A$2:$A$71,0)),0)</f>
        <v/>
      </c>
      <c r="Q2295" s="25">
        <f>IFERROR(INDEX(Produtos!$E$2:$E$71,MATCH(C2295,Produtos!$A$2:$A$71,0)),0)</f>
        <v/>
      </c>
      <c r="R2295" s="27">
        <f>D2295*Q2295</f>
        <v/>
      </c>
      <c r="S2295" s="27">
        <f>R2295*E2295</f>
        <v/>
      </c>
      <c r="T2295" s="27">
        <f>(R2295-S2295)*M2295</f>
        <v/>
      </c>
      <c r="U2295" s="27">
        <f>R2295-S2295-T2295</f>
        <v/>
      </c>
      <c r="V2295" s="27">
        <f>D2295*P2295</f>
        <v/>
      </c>
      <c r="W2295" s="27">
        <f>U2295-V2295</f>
        <v/>
      </c>
      <c r="X2295" s="28">
        <f>IFERROR(W2295/U2295,0)</f>
        <v/>
      </c>
    </row>
    <row r="2296">
      <c r="A2296" s="21">
        <f>ItensPedido!A2296</f>
        <v/>
      </c>
      <c r="B2296" s="21">
        <f>ItensPedido!B2296</f>
        <v/>
      </c>
      <c r="C2296" s="21">
        <f>ItensPedido!C2296</f>
        <v/>
      </c>
      <c r="D2296" s="21">
        <f>ItensPedido!D2296</f>
        <v/>
      </c>
      <c r="E2296" s="22">
        <f>ItensPedido!E2296</f>
        <v/>
      </c>
      <c r="F2296" s="21">
        <f>IFERROR(INDEX(Pedidos!$B$2:$B$1801,MATCH(B2296,Pedidos!$A$2:$A$1801,0)),0)</f>
        <v/>
      </c>
      <c r="G2296" s="21">
        <f>IF(F2296=0,"",YEAR(F2296))</f>
        <v/>
      </c>
      <c r="H2296" s="21">
        <f>IF(F2296=0,"",MONTH(F2296))</f>
        <v/>
      </c>
      <c r="I2296" s="21">
        <f>IFERROR(INDEX(Pedidos!$E$2:$E$1801,MATCH(B2296,Pedidos!$A$2:$A$1801,0)),"")</f>
        <v/>
      </c>
      <c r="J2296" s="21">
        <f>IFERROR(INDEX(Pedidos!$C$2:$C$1801,MATCH(B2296,Pedidos!$A$2:$A$1801,0)),"")</f>
        <v/>
      </c>
      <c r="K2296" s="21">
        <f>IFERROR(INDEX(Pedidos!$D$2:$D$1801,MATCH(B2296,Pedidos!$A$2:$A$1801,0)),"")</f>
        <v/>
      </c>
      <c r="L2296" s="21">
        <f>IFERROR(INDEX(Pedidos!$F$2:$F$1801,MATCH(B2296,Pedidos!$A$2:$A$1801,0)),"")</f>
        <v/>
      </c>
      <c r="M2296" s="22">
        <f>IFERROR(INDEX(Pedidos!$G$2:$G$1801,MATCH(B2296,Pedidos!$A$2:$A$1801,0)),0)</f>
        <v/>
      </c>
      <c r="N2296" s="21">
        <f>IFERROR(INDEX(Produtos!$B$2:$B$71,MATCH(C2296,Produtos!$A$2:$A$71,0)),"")</f>
        <v/>
      </c>
      <c r="O2296" s="21">
        <f>IFERROR(INDEX(Produtos!$C$2:$C$71,MATCH(C2296,Produtos!$A$2:$A$71,0)),"")</f>
        <v/>
      </c>
      <c r="P2296" s="21">
        <f>IFERROR(INDEX(Produtos!$D$2:$D$71,MATCH(C2296,Produtos!$A$2:$A$71,0)),0)</f>
        <v/>
      </c>
      <c r="Q2296" s="21">
        <f>IFERROR(INDEX(Produtos!$E$2:$E$71,MATCH(C2296,Produtos!$A$2:$A$71,0)),0)</f>
        <v/>
      </c>
      <c r="R2296" s="23">
        <f>D2296*Q2296</f>
        <v/>
      </c>
      <c r="S2296" s="23">
        <f>R2296*E2296</f>
        <v/>
      </c>
      <c r="T2296" s="23">
        <f>(R2296-S2296)*M2296</f>
        <v/>
      </c>
      <c r="U2296" s="23">
        <f>R2296-S2296-T2296</f>
        <v/>
      </c>
      <c r="V2296" s="23">
        <f>D2296*P2296</f>
        <v/>
      </c>
      <c r="W2296" s="23">
        <f>U2296-V2296</f>
        <v/>
      </c>
      <c r="X2296" s="24">
        <f>IFERROR(W2296/U2296,0)</f>
        <v/>
      </c>
    </row>
    <row r="2297">
      <c r="A2297" s="25">
        <f>ItensPedido!A2297</f>
        <v/>
      </c>
      <c r="B2297" s="25">
        <f>ItensPedido!B2297</f>
        <v/>
      </c>
      <c r="C2297" s="25">
        <f>ItensPedido!C2297</f>
        <v/>
      </c>
      <c r="D2297" s="25">
        <f>ItensPedido!D2297</f>
        <v/>
      </c>
      <c r="E2297" s="26">
        <f>ItensPedido!E2297</f>
        <v/>
      </c>
      <c r="F2297" s="25">
        <f>IFERROR(INDEX(Pedidos!$B$2:$B$1801,MATCH(B2297,Pedidos!$A$2:$A$1801,0)),0)</f>
        <v/>
      </c>
      <c r="G2297" s="25">
        <f>IF(F2297=0,"",YEAR(F2297))</f>
        <v/>
      </c>
      <c r="H2297" s="25">
        <f>IF(F2297=0,"",MONTH(F2297))</f>
        <v/>
      </c>
      <c r="I2297" s="25">
        <f>IFERROR(INDEX(Pedidos!$E$2:$E$1801,MATCH(B2297,Pedidos!$A$2:$A$1801,0)),"")</f>
        <v/>
      </c>
      <c r="J2297" s="25">
        <f>IFERROR(INDEX(Pedidos!$C$2:$C$1801,MATCH(B2297,Pedidos!$A$2:$A$1801,0)),"")</f>
        <v/>
      </c>
      <c r="K2297" s="25">
        <f>IFERROR(INDEX(Pedidos!$D$2:$D$1801,MATCH(B2297,Pedidos!$A$2:$A$1801,0)),"")</f>
        <v/>
      </c>
      <c r="L2297" s="25">
        <f>IFERROR(INDEX(Pedidos!$F$2:$F$1801,MATCH(B2297,Pedidos!$A$2:$A$1801,0)),"")</f>
        <v/>
      </c>
      <c r="M2297" s="26">
        <f>IFERROR(INDEX(Pedidos!$G$2:$G$1801,MATCH(B2297,Pedidos!$A$2:$A$1801,0)),0)</f>
        <v/>
      </c>
      <c r="N2297" s="25">
        <f>IFERROR(INDEX(Produtos!$B$2:$B$71,MATCH(C2297,Produtos!$A$2:$A$71,0)),"")</f>
        <v/>
      </c>
      <c r="O2297" s="25">
        <f>IFERROR(INDEX(Produtos!$C$2:$C$71,MATCH(C2297,Produtos!$A$2:$A$71,0)),"")</f>
        <v/>
      </c>
      <c r="P2297" s="25">
        <f>IFERROR(INDEX(Produtos!$D$2:$D$71,MATCH(C2297,Produtos!$A$2:$A$71,0)),0)</f>
        <v/>
      </c>
      <c r="Q2297" s="25">
        <f>IFERROR(INDEX(Produtos!$E$2:$E$71,MATCH(C2297,Produtos!$A$2:$A$71,0)),0)</f>
        <v/>
      </c>
      <c r="R2297" s="27">
        <f>D2297*Q2297</f>
        <v/>
      </c>
      <c r="S2297" s="27">
        <f>R2297*E2297</f>
        <v/>
      </c>
      <c r="T2297" s="27">
        <f>(R2297-S2297)*M2297</f>
        <v/>
      </c>
      <c r="U2297" s="27">
        <f>R2297-S2297-T2297</f>
        <v/>
      </c>
      <c r="V2297" s="27">
        <f>D2297*P2297</f>
        <v/>
      </c>
      <c r="W2297" s="27">
        <f>U2297-V2297</f>
        <v/>
      </c>
      <c r="X2297" s="28">
        <f>IFERROR(W2297/U2297,0)</f>
        <v/>
      </c>
    </row>
    <row r="2298">
      <c r="A2298" s="21">
        <f>ItensPedido!A2298</f>
        <v/>
      </c>
      <c r="B2298" s="21">
        <f>ItensPedido!B2298</f>
        <v/>
      </c>
      <c r="C2298" s="21">
        <f>ItensPedido!C2298</f>
        <v/>
      </c>
      <c r="D2298" s="21">
        <f>ItensPedido!D2298</f>
        <v/>
      </c>
      <c r="E2298" s="22">
        <f>ItensPedido!E2298</f>
        <v/>
      </c>
      <c r="F2298" s="21">
        <f>IFERROR(INDEX(Pedidos!$B$2:$B$1801,MATCH(B2298,Pedidos!$A$2:$A$1801,0)),0)</f>
        <v/>
      </c>
      <c r="G2298" s="21">
        <f>IF(F2298=0,"",YEAR(F2298))</f>
        <v/>
      </c>
      <c r="H2298" s="21">
        <f>IF(F2298=0,"",MONTH(F2298))</f>
        <v/>
      </c>
      <c r="I2298" s="21">
        <f>IFERROR(INDEX(Pedidos!$E$2:$E$1801,MATCH(B2298,Pedidos!$A$2:$A$1801,0)),"")</f>
        <v/>
      </c>
      <c r="J2298" s="21">
        <f>IFERROR(INDEX(Pedidos!$C$2:$C$1801,MATCH(B2298,Pedidos!$A$2:$A$1801,0)),"")</f>
        <v/>
      </c>
      <c r="K2298" s="21">
        <f>IFERROR(INDEX(Pedidos!$D$2:$D$1801,MATCH(B2298,Pedidos!$A$2:$A$1801,0)),"")</f>
        <v/>
      </c>
      <c r="L2298" s="21">
        <f>IFERROR(INDEX(Pedidos!$F$2:$F$1801,MATCH(B2298,Pedidos!$A$2:$A$1801,0)),"")</f>
        <v/>
      </c>
      <c r="M2298" s="22">
        <f>IFERROR(INDEX(Pedidos!$G$2:$G$1801,MATCH(B2298,Pedidos!$A$2:$A$1801,0)),0)</f>
        <v/>
      </c>
      <c r="N2298" s="21">
        <f>IFERROR(INDEX(Produtos!$B$2:$B$71,MATCH(C2298,Produtos!$A$2:$A$71,0)),"")</f>
        <v/>
      </c>
      <c r="O2298" s="21">
        <f>IFERROR(INDEX(Produtos!$C$2:$C$71,MATCH(C2298,Produtos!$A$2:$A$71,0)),"")</f>
        <v/>
      </c>
      <c r="P2298" s="21">
        <f>IFERROR(INDEX(Produtos!$D$2:$D$71,MATCH(C2298,Produtos!$A$2:$A$71,0)),0)</f>
        <v/>
      </c>
      <c r="Q2298" s="21">
        <f>IFERROR(INDEX(Produtos!$E$2:$E$71,MATCH(C2298,Produtos!$A$2:$A$71,0)),0)</f>
        <v/>
      </c>
      <c r="R2298" s="23">
        <f>D2298*Q2298</f>
        <v/>
      </c>
      <c r="S2298" s="23">
        <f>R2298*E2298</f>
        <v/>
      </c>
      <c r="T2298" s="23">
        <f>(R2298-S2298)*M2298</f>
        <v/>
      </c>
      <c r="U2298" s="23">
        <f>R2298-S2298-T2298</f>
        <v/>
      </c>
      <c r="V2298" s="23">
        <f>D2298*P2298</f>
        <v/>
      </c>
      <c r="W2298" s="23">
        <f>U2298-V2298</f>
        <v/>
      </c>
      <c r="X2298" s="24">
        <f>IFERROR(W2298/U2298,0)</f>
        <v/>
      </c>
    </row>
    <row r="2299">
      <c r="A2299" s="25">
        <f>ItensPedido!A2299</f>
        <v/>
      </c>
      <c r="B2299" s="25">
        <f>ItensPedido!B2299</f>
        <v/>
      </c>
      <c r="C2299" s="25">
        <f>ItensPedido!C2299</f>
        <v/>
      </c>
      <c r="D2299" s="25">
        <f>ItensPedido!D2299</f>
        <v/>
      </c>
      <c r="E2299" s="26">
        <f>ItensPedido!E2299</f>
        <v/>
      </c>
      <c r="F2299" s="25">
        <f>IFERROR(INDEX(Pedidos!$B$2:$B$1801,MATCH(B2299,Pedidos!$A$2:$A$1801,0)),0)</f>
        <v/>
      </c>
      <c r="G2299" s="25">
        <f>IF(F2299=0,"",YEAR(F2299))</f>
        <v/>
      </c>
      <c r="H2299" s="25">
        <f>IF(F2299=0,"",MONTH(F2299))</f>
        <v/>
      </c>
      <c r="I2299" s="25">
        <f>IFERROR(INDEX(Pedidos!$E$2:$E$1801,MATCH(B2299,Pedidos!$A$2:$A$1801,0)),"")</f>
        <v/>
      </c>
      <c r="J2299" s="25">
        <f>IFERROR(INDEX(Pedidos!$C$2:$C$1801,MATCH(B2299,Pedidos!$A$2:$A$1801,0)),"")</f>
        <v/>
      </c>
      <c r="K2299" s="25">
        <f>IFERROR(INDEX(Pedidos!$D$2:$D$1801,MATCH(B2299,Pedidos!$A$2:$A$1801,0)),"")</f>
        <v/>
      </c>
      <c r="L2299" s="25">
        <f>IFERROR(INDEX(Pedidos!$F$2:$F$1801,MATCH(B2299,Pedidos!$A$2:$A$1801,0)),"")</f>
        <v/>
      </c>
      <c r="M2299" s="26">
        <f>IFERROR(INDEX(Pedidos!$G$2:$G$1801,MATCH(B2299,Pedidos!$A$2:$A$1801,0)),0)</f>
        <v/>
      </c>
      <c r="N2299" s="25">
        <f>IFERROR(INDEX(Produtos!$B$2:$B$71,MATCH(C2299,Produtos!$A$2:$A$71,0)),"")</f>
        <v/>
      </c>
      <c r="O2299" s="25">
        <f>IFERROR(INDEX(Produtos!$C$2:$C$71,MATCH(C2299,Produtos!$A$2:$A$71,0)),"")</f>
        <v/>
      </c>
      <c r="P2299" s="25">
        <f>IFERROR(INDEX(Produtos!$D$2:$D$71,MATCH(C2299,Produtos!$A$2:$A$71,0)),0)</f>
        <v/>
      </c>
      <c r="Q2299" s="25">
        <f>IFERROR(INDEX(Produtos!$E$2:$E$71,MATCH(C2299,Produtos!$A$2:$A$71,0)),0)</f>
        <v/>
      </c>
      <c r="R2299" s="27">
        <f>D2299*Q2299</f>
        <v/>
      </c>
      <c r="S2299" s="27">
        <f>R2299*E2299</f>
        <v/>
      </c>
      <c r="T2299" s="27">
        <f>(R2299-S2299)*M2299</f>
        <v/>
      </c>
      <c r="U2299" s="27">
        <f>R2299-S2299-T2299</f>
        <v/>
      </c>
      <c r="V2299" s="27">
        <f>D2299*P2299</f>
        <v/>
      </c>
      <c r="W2299" s="27">
        <f>U2299-V2299</f>
        <v/>
      </c>
      <c r="X2299" s="28">
        <f>IFERROR(W2299/U2299,0)</f>
        <v/>
      </c>
    </row>
    <row r="2300">
      <c r="A2300" s="21">
        <f>ItensPedido!A2300</f>
        <v/>
      </c>
      <c r="B2300" s="21">
        <f>ItensPedido!B2300</f>
        <v/>
      </c>
      <c r="C2300" s="21">
        <f>ItensPedido!C2300</f>
        <v/>
      </c>
      <c r="D2300" s="21">
        <f>ItensPedido!D2300</f>
        <v/>
      </c>
      <c r="E2300" s="22">
        <f>ItensPedido!E2300</f>
        <v/>
      </c>
      <c r="F2300" s="21">
        <f>IFERROR(INDEX(Pedidos!$B$2:$B$1801,MATCH(B2300,Pedidos!$A$2:$A$1801,0)),0)</f>
        <v/>
      </c>
      <c r="G2300" s="21">
        <f>IF(F2300=0,"",YEAR(F2300))</f>
        <v/>
      </c>
      <c r="H2300" s="21">
        <f>IF(F2300=0,"",MONTH(F2300))</f>
        <v/>
      </c>
      <c r="I2300" s="21">
        <f>IFERROR(INDEX(Pedidos!$E$2:$E$1801,MATCH(B2300,Pedidos!$A$2:$A$1801,0)),"")</f>
        <v/>
      </c>
      <c r="J2300" s="21">
        <f>IFERROR(INDEX(Pedidos!$C$2:$C$1801,MATCH(B2300,Pedidos!$A$2:$A$1801,0)),"")</f>
        <v/>
      </c>
      <c r="K2300" s="21">
        <f>IFERROR(INDEX(Pedidos!$D$2:$D$1801,MATCH(B2300,Pedidos!$A$2:$A$1801,0)),"")</f>
        <v/>
      </c>
      <c r="L2300" s="21">
        <f>IFERROR(INDEX(Pedidos!$F$2:$F$1801,MATCH(B2300,Pedidos!$A$2:$A$1801,0)),"")</f>
        <v/>
      </c>
      <c r="M2300" s="22">
        <f>IFERROR(INDEX(Pedidos!$G$2:$G$1801,MATCH(B2300,Pedidos!$A$2:$A$1801,0)),0)</f>
        <v/>
      </c>
      <c r="N2300" s="21">
        <f>IFERROR(INDEX(Produtos!$B$2:$B$71,MATCH(C2300,Produtos!$A$2:$A$71,0)),"")</f>
        <v/>
      </c>
      <c r="O2300" s="21">
        <f>IFERROR(INDEX(Produtos!$C$2:$C$71,MATCH(C2300,Produtos!$A$2:$A$71,0)),"")</f>
        <v/>
      </c>
      <c r="P2300" s="21">
        <f>IFERROR(INDEX(Produtos!$D$2:$D$71,MATCH(C2300,Produtos!$A$2:$A$71,0)),0)</f>
        <v/>
      </c>
      <c r="Q2300" s="21">
        <f>IFERROR(INDEX(Produtos!$E$2:$E$71,MATCH(C2300,Produtos!$A$2:$A$71,0)),0)</f>
        <v/>
      </c>
      <c r="R2300" s="23">
        <f>D2300*Q2300</f>
        <v/>
      </c>
      <c r="S2300" s="23">
        <f>R2300*E2300</f>
        <v/>
      </c>
      <c r="T2300" s="23">
        <f>(R2300-S2300)*M2300</f>
        <v/>
      </c>
      <c r="U2300" s="23">
        <f>R2300-S2300-T2300</f>
        <v/>
      </c>
      <c r="V2300" s="23">
        <f>D2300*P2300</f>
        <v/>
      </c>
      <c r="W2300" s="23">
        <f>U2300-V2300</f>
        <v/>
      </c>
      <c r="X2300" s="24">
        <f>IFERROR(W2300/U2300,0)</f>
        <v/>
      </c>
    </row>
    <row r="2301">
      <c r="A2301" s="25">
        <f>ItensPedido!A2301</f>
        <v/>
      </c>
      <c r="B2301" s="25">
        <f>ItensPedido!B2301</f>
        <v/>
      </c>
      <c r="C2301" s="25">
        <f>ItensPedido!C2301</f>
        <v/>
      </c>
      <c r="D2301" s="25">
        <f>ItensPedido!D2301</f>
        <v/>
      </c>
      <c r="E2301" s="26">
        <f>ItensPedido!E2301</f>
        <v/>
      </c>
      <c r="F2301" s="25">
        <f>IFERROR(INDEX(Pedidos!$B$2:$B$1801,MATCH(B2301,Pedidos!$A$2:$A$1801,0)),0)</f>
        <v/>
      </c>
      <c r="G2301" s="25">
        <f>IF(F2301=0,"",YEAR(F2301))</f>
        <v/>
      </c>
      <c r="H2301" s="25">
        <f>IF(F2301=0,"",MONTH(F2301))</f>
        <v/>
      </c>
      <c r="I2301" s="25">
        <f>IFERROR(INDEX(Pedidos!$E$2:$E$1801,MATCH(B2301,Pedidos!$A$2:$A$1801,0)),"")</f>
        <v/>
      </c>
      <c r="J2301" s="25">
        <f>IFERROR(INDEX(Pedidos!$C$2:$C$1801,MATCH(B2301,Pedidos!$A$2:$A$1801,0)),"")</f>
        <v/>
      </c>
      <c r="K2301" s="25">
        <f>IFERROR(INDEX(Pedidos!$D$2:$D$1801,MATCH(B2301,Pedidos!$A$2:$A$1801,0)),"")</f>
        <v/>
      </c>
      <c r="L2301" s="25">
        <f>IFERROR(INDEX(Pedidos!$F$2:$F$1801,MATCH(B2301,Pedidos!$A$2:$A$1801,0)),"")</f>
        <v/>
      </c>
      <c r="M2301" s="26">
        <f>IFERROR(INDEX(Pedidos!$G$2:$G$1801,MATCH(B2301,Pedidos!$A$2:$A$1801,0)),0)</f>
        <v/>
      </c>
      <c r="N2301" s="25">
        <f>IFERROR(INDEX(Produtos!$B$2:$B$71,MATCH(C2301,Produtos!$A$2:$A$71,0)),"")</f>
        <v/>
      </c>
      <c r="O2301" s="25">
        <f>IFERROR(INDEX(Produtos!$C$2:$C$71,MATCH(C2301,Produtos!$A$2:$A$71,0)),"")</f>
        <v/>
      </c>
      <c r="P2301" s="25">
        <f>IFERROR(INDEX(Produtos!$D$2:$D$71,MATCH(C2301,Produtos!$A$2:$A$71,0)),0)</f>
        <v/>
      </c>
      <c r="Q2301" s="25">
        <f>IFERROR(INDEX(Produtos!$E$2:$E$71,MATCH(C2301,Produtos!$A$2:$A$71,0)),0)</f>
        <v/>
      </c>
      <c r="R2301" s="27">
        <f>D2301*Q2301</f>
        <v/>
      </c>
      <c r="S2301" s="27">
        <f>R2301*E2301</f>
        <v/>
      </c>
      <c r="T2301" s="27">
        <f>(R2301-S2301)*M2301</f>
        <v/>
      </c>
      <c r="U2301" s="27">
        <f>R2301-S2301-T2301</f>
        <v/>
      </c>
      <c r="V2301" s="27">
        <f>D2301*P2301</f>
        <v/>
      </c>
      <c r="W2301" s="27">
        <f>U2301-V2301</f>
        <v/>
      </c>
      <c r="X2301" s="28">
        <f>IFERROR(W2301/U2301,0)</f>
        <v/>
      </c>
    </row>
    <row r="2302">
      <c r="A2302" s="21">
        <f>ItensPedido!A2302</f>
        <v/>
      </c>
      <c r="B2302" s="21">
        <f>ItensPedido!B2302</f>
        <v/>
      </c>
      <c r="C2302" s="21">
        <f>ItensPedido!C2302</f>
        <v/>
      </c>
      <c r="D2302" s="21">
        <f>ItensPedido!D2302</f>
        <v/>
      </c>
      <c r="E2302" s="22">
        <f>ItensPedido!E2302</f>
        <v/>
      </c>
      <c r="F2302" s="21">
        <f>IFERROR(INDEX(Pedidos!$B$2:$B$1801,MATCH(B2302,Pedidos!$A$2:$A$1801,0)),0)</f>
        <v/>
      </c>
      <c r="G2302" s="21">
        <f>IF(F2302=0,"",YEAR(F2302))</f>
        <v/>
      </c>
      <c r="H2302" s="21">
        <f>IF(F2302=0,"",MONTH(F2302))</f>
        <v/>
      </c>
      <c r="I2302" s="21">
        <f>IFERROR(INDEX(Pedidos!$E$2:$E$1801,MATCH(B2302,Pedidos!$A$2:$A$1801,0)),"")</f>
        <v/>
      </c>
      <c r="J2302" s="21">
        <f>IFERROR(INDEX(Pedidos!$C$2:$C$1801,MATCH(B2302,Pedidos!$A$2:$A$1801,0)),"")</f>
        <v/>
      </c>
      <c r="K2302" s="21">
        <f>IFERROR(INDEX(Pedidos!$D$2:$D$1801,MATCH(B2302,Pedidos!$A$2:$A$1801,0)),"")</f>
        <v/>
      </c>
      <c r="L2302" s="21">
        <f>IFERROR(INDEX(Pedidos!$F$2:$F$1801,MATCH(B2302,Pedidos!$A$2:$A$1801,0)),"")</f>
        <v/>
      </c>
      <c r="M2302" s="22">
        <f>IFERROR(INDEX(Pedidos!$G$2:$G$1801,MATCH(B2302,Pedidos!$A$2:$A$1801,0)),0)</f>
        <v/>
      </c>
      <c r="N2302" s="21">
        <f>IFERROR(INDEX(Produtos!$B$2:$B$71,MATCH(C2302,Produtos!$A$2:$A$71,0)),"")</f>
        <v/>
      </c>
      <c r="O2302" s="21">
        <f>IFERROR(INDEX(Produtos!$C$2:$C$71,MATCH(C2302,Produtos!$A$2:$A$71,0)),"")</f>
        <v/>
      </c>
      <c r="P2302" s="21">
        <f>IFERROR(INDEX(Produtos!$D$2:$D$71,MATCH(C2302,Produtos!$A$2:$A$71,0)),0)</f>
        <v/>
      </c>
      <c r="Q2302" s="21">
        <f>IFERROR(INDEX(Produtos!$E$2:$E$71,MATCH(C2302,Produtos!$A$2:$A$71,0)),0)</f>
        <v/>
      </c>
      <c r="R2302" s="23">
        <f>D2302*Q2302</f>
        <v/>
      </c>
      <c r="S2302" s="23">
        <f>R2302*E2302</f>
        <v/>
      </c>
      <c r="T2302" s="23">
        <f>(R2302-S2302)*M2302</f>
        <v/>
      </c>
      <c r="U2302" s="23">
        <f>R2302-S2302-T2302</f>
        <v/>
      </c>
      <c r="V2302" s="23">
        <f>D2302*P2302</f>
        <v/>
      </c>
      <c r="W2302" s="23">
        <f>U2302-V2302</f>
        <v/>
      </c>
      <c r="X2302" s="24">
        <f>IFERROR(W2302/U2302,0)</f>
        <v/>
      </c>
    </row>
    <row r="2303">
      <c r="A2303" s="25">
        <f>ItensPedido!A2303</f>
        <v/>
      </c>
      <c r="B2303" s="25">
        <f>ItensPedido!B2303</f>
        <v/>
      </c>
      <c r="C2303" s="25">
        <f>ItensPedido!C2303</f>
        <v/>
      </c>
      <c r="D2303" s="25">
        <f>ItensPedido!D2303</f>
        <v/>
      </c>
      <c r="E2303" s="26">
        <f>ItensPedido!E2303</f>
        <v/>
      </c>
      <c r="F2303" s="25">
        <f>IFERROR(INDEX(Pedidos!$B$2:$B$1801,MATCH(B2303,Pedidos!$A$2:$A$1801,0)),0)</f>
        <v/>
      </c>
      <c r="G2303" s="25">
        <f>IF(F2303=0,"",YEAR(F2303))</f>
        <v/>
      </c>
      <c r="H2303" s="25">
        <f>IF(F2303=0,"",MONTH(F2303))</f>
        <v/>
      </c>
      <c r="I2303" s="25">
        <f>IFERROR(INDEX(Pedidos!$E$2:$E$1801,MATCH(B2303,Pedidos!$A$2:$A$1801,0)),"")</f>
        <v/>
      </c>
      <c r="J2303" s="25">
        <f>IFERROR(INDEX(Pedidos!$C$2:$C$1801,MATCH(B2303,Pedidos!$A$2:$A$1801,0)),"")</f>
        <v/>
      </c>
      <c r="K2303" s="25">
        <f>IFERROR(INDEX(Pedidos!$D$2:$D$1801,MATCH(B2303,Pedidos!$A$2:$A$1801,0)),"")</f>
        <v/>
      </c>
      <c r="L2303" s="25">
        <f>IFERROR(INDEX(Pedidos!$F$2:$F$1801,MATCH(B2303,Pedidos!$A$2:$A$1801,0)),"")</f>
        <v/>
      </c>
      <c r="M2303" s="26">
        <f>IFERROR(INDEX(Pedidos!$G$2:$G$1801,MATCH(B2303,Pedidos!$A$2:$A$1801,0)),0)</f>
        <v/>
      </c>
      <c r="N2303" s="25">
        <f>IFERROR(INDEX(Produtos!$B$2:$B$71,MATCH(C2303,Produtos!$A$2:$A$71,0)),"")</f>
        <v/>
      </c>
      <c r="O2303" s="25">
        <f>IFERROR(INDEX(Produtos!$C$2:$C$71,MATCH(C2303,Produtos!$A$2:$A$71,0)),"")</f>
        <v/>
      </c>
      <c r="P2303" s="25">
        <f>IFERROR(INDEX(Produtos!$D$2:$D$71,MATCH(C2303,Produtos!$A$2:$A$71,0)),0)</f>
        <v/>
      </c>
      <c r="Q2303" s="25">
        <f>IFERROR(INDEX(Produtos!$E$2:$E$71,MATCH(C2303,Produtos!$A$2:$A$71,0)),0)</f>
        <v/>
      </c>
      <c r="R2303" s="27">
        <f>D2303*Q2303</f>
        <v/>
      </c>
      <c r="S2303" s="27">
        <f>R2303*E2303</f>
        <v/>
      </c>
      <c r="T2303" s="27">
        <f>(R2303-S2303)*M2303</f>
        <v/>
      </c>
      <c r="U2303" s="27">
        <f>R2303-S2303-T2303</f>
        <v/>
      </c>
      <c r="V2303" s="27">
        <f>D2303*P2303</f>
        <v/>
      </c>
      <c r="W2303" s="27">
        <f>U2303-V2303</f>
        <v/>
      </c>
      <c r="X2303" s="28">
        <f>IFERROR(W2303/U2303,0)</f>
        <v/>
      </c>
    </row>
    <row r="2304">
      <c r="A2304" s="21">
        <f>ItensPedido!A2304</f>
        <v/>
      </c>
      <c r="B2304" s="21">
        <f>ItensPedido!B2304</f>
        <v/>
      </c>
      <c r="C2304" s="21">
        <f>ItensPedido!C2304</f>
        <v/>
      </c>
      <c r="D2304" s="21">
        <f>ItensPedido!D2304</f>
        <v/>
      </c>
      <c r="E2304" s="22">
        <f>ItensPedido!E2304</f>
        <v/>
      </c>
      <c r="F2304" s="21">
        <f>IFERROR(INDEX(Pedidos!$B$2:$B$1801,MATCH(B2304,Pedidos!$A$2:$A$1801,0)),0)</f>
        <v/>
      </c>
      <c r="G2304" s="21">
        <f>IF(F2304=0,"",YEAR(F2304))</f>
        <v/>
      </c>
      <c r="H2304" s="21">
        <f>IF(F2304=0,"",MONTH(F2304))</f>
        <v/>
      </c>
      <c r="I2304" s="21">
        <f>IFERROR(INDEX(Pedidos!$E$2:$E$1801,MATCH(B2304,Pedidos!$A$2:$A$1801,0)),"")</f>
        <v/>
      </c>
      <c r="J2304" s="21">
        <f>IFERROR(INDEX(Pedidos!$C$2:$C$1801,MATCH(B2304,Pedidos!$A$2:$A$1801,0)),"")</f>
        <v/>
      </c>
      <c r="K2304" s="21">
        <f>IFERROR(INDEX(Pedidos!$D$2:$D$1801,MATCH(B2304,Pedidos!$A$2:$A$1801,0)),"")</f>
        <v/>
      </c>
      <c r="L2304" s="21">
        <f>IFERROR(INDEX(Pedidos!$F$2:$F$1801,MATCH(B2304,Pedidos!$A$2:$A$1801,0)),"")</f>
        <v/>
      </c>
      <c r="M2304" s="22">
        <f>IFERROR(INDEX(Pedidos!$G$2:$G$1801,MATCH(B2304,Pedidos!$A$2:$A$1801,0)),0)</f>
        <v/>
      </c>
      <c r="N2304" s="21">
        <f>IFERROR(INDEX(Produtos!$B$2:$B$71,MATCH(C2304,Produtos!$A$2:$A$71,0)),"")</f>
        <v/>
      </c>
      <c r="O2304" s="21">
        <f>IFERROR(INDEX(Produtos!$C$2:$C$71,MATCH(C2304,Produtos!$A$2:$A$71,0)),"")</f>
        <v/>
      </c>
      <c r="P2304" s="21">
        <f>IFERROR(INDEX(Produtos!$D$2:$D$71,MATCH(C2304,Produtos!$A$2:$A$71,0)),0)</f>
        <v/>
      </c>
      <c r="Q2304" s="21">
        <f>IFERROR(INDEX(Produtos!$E$2:$E$71,MATCH(C2304,Produtos!$A$2:$A$71,0)),0)</f>
        <v/>
      </c>
      <c r="R2304" s="23">
        <f>D2304*Q2304</f>
        <v/>
      </c>
      <c r="S2304" s="23">
        <f>R2304*E2304</f>
        <v/>
      </c>
      <c r="T2304" s="23">
        <f>(R2304-S2304)*M2304</f>
        <v/>
      </c>
      <c r="U2304" s="23">
        <f>R2304-S2304-T2304</f>
        <v/>
      </c>
      <c r="V2304" s="23">
        <f>D2304*P2304</f>
        <v/>
      </c>
      <c r="W2304" s="23">
        <f>U2304-V2304</f>
        <v/>
      </c>
      <c r="X2304" s="24">
        <f>IFERROR(W2304/U2304,0)</f>
        <v/>
      </c>
    </row>
    <row r="2305">
      <c r="A2305" s="25">
        <f>ItensPedido!A2305</f>
        <v/>
      </c>
      <c r="B2305" s="25">
        <f>ItensPedido!B2305</f>
        <v/>
      </c>
      <c r="C2305" s="25">
        <f>ItensPedido!C2305</f>
        <v/>
      </c>
      <c r="D2305" s="25">
        <f>ItensPedido!D2305</f>
        <v/>
      </c>
      <c r="E2305" s="26">
        <f>ItensPedido!E2305</f>
        <v/>
      </c>
      <c r="F2305" s="25">
        <f>IFERROR(INDEX(Pedidos!$B$2:$B$1801,MATCH(B2305,Pedidos!$A$2:$A$1801,0)),0)</f>
        <v/>
      </c>
      <c r="G2305" s="25">
        <f>IF(F2305=0,"",YEAR(F2305))</f>
        <v/>
      </c>
      <c r="H2305" s="25">
        <f>IF(F2305=0,"",MONTH(F2305))</f>
        <v/>
      </c>
      <c r="I2305" s="25">
        <f>IFERROR(INDEX(Pedidos!$E$2:$E$1801,MATCH(B2305,Pedidos!$A$2:$A$1801,0)),"")</f>
        <v/>
      </c>
      <c r="J2305" s="25">
        <f>IFERROR(INDEX(Pedidos!$C$2:$C$1801,MATCH(B2305,Pedidos!$A$2:$A$1801,0)),"")</f>
        <v/>
      </c>
      <c r="K2305" s="25">
        <f>IFERROR(INDEX(Pedidos!$D$2:$D$1801,MATCH(B2305,Pedidos!$A$2:$A$1801,0)),"")</f>
        <v/>
      </c>
      <c r="L2305" s="25">
        <f>IFERROR(INDEX(Pedidos!$F$2:$F$1801,MATCH(B2305,Pedidos!$A$2:$A$1801,0)),"")</f>
        <v/>
      </c>
      <c r="M2305" s="26">
        <f>IFERROR(INDEX(Pedidos!$G$2:$G$1801,MATCH(B2305,Pedidos!$A$2:$A$1801,0)),0)</f>
        <v/>
      </c>
      <c r="N2305" s="25">
        <f>IFERROR(INDEX(Produtos!$B$2:$B$71,MATCH(C2305,Produtos!$A$2:$A$71,0)),"")</f>
        <v/>
      </c>
      <c r="O2305" s="25">
        <f>IFERROR(INDEX(Produtos!$C$2:$C$71,MATCH(C2305,Produtos!$A$2:$A$71,0)),"")</f>
        <v/>
      </c>
      <c r="P2305" s="25">
        <f>IFERROR(INDEX(Produtos!$D$2:$D$71,MATCH(C2305,Produtos!$A$2:$A$71,0)),0)</f>
        <v/>
      </c>
      <c r="Q2305" s="25">
        <f>IFERROR(INDEX(Produtos!$E$2:$E$71,MATCH(C2305,Produtos!$A$2:$A$71,0)),0)</f>
        <v/>
      </c>
      <c r="R2305" s="27">
        <f>D2305*Q2305</f>
        <v/>
      </c>
      <c r="S2305" s="27">
        <f>R2305*E2305</f>
        <v/>
      </c>
      <c r="T2305" s="27">
        <f>(R2305-S2305)*M2305</f>
        <v/>
      </c>
      <c r="U2305" s="27">
        <f>R2305-S2305-T2305</f>
        <v/>
      </c>
      <c r="V2305" s="27">
        <f>D2305*P2305</f>
        <v/>
      </c>
      <c r="W2305" s="27">
        <f>U2305-V2305</f>
        <v/>
      </c>
      <c r="X2305" s="28">
        <f>IFERROR(W2305/U2305,0)</f>
        <v/>
      </c>
    </row>
    <row r="2306">
      <c r="A2306" s="21">
        <f>ItensPedido!A2306</f>
        <v/>
      </c>
      <c r="B2306" s="21">
        <f>ItensPedido!B2306</f>
        <v/>
      </c>
      <c r="C2306" s="21">
        <f>ItensPedido!C2306</f>
        <v/>
      </c>
      <c r="D2306" s="21">
        <f>ItensPedido!D2306</f>
        <v/>
      </c>
      <c r="E2306" s="22">
        <f>ItensPedido!E2306</f>
        <v/>
      </c>
      <c r="F2306" s="21">
        <f>IFERROR(INDEX(Pedidos!$B$2:$B$1801,MATCH(B2306,Pedidos!$A$2:$A$1801,0)),0)</f>
        <v/>
      </c>
      <c r="G2306" s="21">
        <f>IF(F2306=0,"",YEAR(F2306))</f>
        <v/>
      </c>
      <c r="H2306" s="21">
        <f>IF(F2306=0,"",MONTH(F2306))</f>
        <v/>
      </c>
      <c r="I2306" s="21">
        <f>IFERROR(INDEX(Pedidos!$E$2:$E$1801,MATCH(B2306,Pedidos!$A$2:$A$1801,0)),"")</f>
        <v/>
      </c>
      <c r="J2306" s="21">
        <f>IFERROR(INDEX(Pedidos!$C$2:$C$1801,MATCH(B2306,Pedidos!$A$2:$A$1801,0)),"")</f>
        <v/>
      </c>
      <c r="K2306" s="21">
        <f>IFERROR(INDEX(Pedidos!$D$2:$D$1801,MATCH(B2306,Pedidos!$A$2:$A$1801,0)),"")</f>
        <v/>
      </c>
      <c r="L2306" s="21">
        <f>IFERROR(INDEX(Pedidos!$F$2:$F$1801,MATCH(B2306,Pedidos!$A$2:$A$1801,0)),"")</f>
        <v/>
      </c>
      <c r="M2306" s="22">
        <f>IFERROR(INDEX(Pedidos!$G$2:$G$1801,MATCH(B2306,Pedidos!$A$2:$A$1801,0)),0)</f>
        <v/>
      </c>
      <c r="N2306" s="21">
        <f>IFERROR(INDEX(Produtos!$B$2:$B$71,MATCH(C2306,Produtos!$A$2:$A$71,0)),"")</f>
        <v/>
      </c>
      <c r="O2306" s="21">
        <f>IFERROR(INDEX(Produtos!$C$2:$C$71,MATCH(C2306,Produtos!$A$2:$A$71,0)),"")</f>
        <v/>
      </c>
      <c r="P2306" s="21">
        <f>IFERROR(INDEX(Produtos!$D$2:$D$71,MATCH(C2306,Produtos!$A$2:$A$71,0)),0)</f>
        <v/>
      </c>
      <c r="Q2306" s="21">
        <f>IFERROR(INDEX(Produtos!$E$2:$E$71,MATCH(C2306,Produtos!$A$2:$A$71,0)),0)</f>
        <v/>
      </c>
      <c r="R2306" s="23">
        <f>D2306*Q2306</f>
        <v/>
      </c>
      <c r="S2306" s="23">
        <f>R2306*E2306</f>
        <v/>
      </c>
      <c r="T2306" s="23">
        <f>(R2306-S2306)*M2306</f>
        <v/>
      </c>
      <c r="U2306" s="23">
        <f>R2306-S2306-T2306</f>
        <v/>
      </c>
      <c r="V2306" s="23">
        <f>D2306*P2306</f>
        <v/>
      </c>
      <c r="W2306" s="23">
        <f>U2306-V2306</f>
        <v/>
      </c>
      <c r="X2306" s="24">
        <f>IFERROR(W2306/U2306,0)</f>
        <v/>
      </c>
    </row>
    <row r="2307">
      <c r="A2307" s="25">
        <f>ItensPedido!A2307</f>
        <v/>
      </c>
      <c r="B2307" s="25">
        <f>ItensPedido!B2307</f>
        <v/>
      </c>
      <c r="C2307" s="25">
        <f>ItensPedido!C2307</f>
        <v/>
      </c>
      <c r="D2307" s="25">
        <f>ItensPedido!D2307</f>
        <v/>
      </c>
      <c r="E2307" s="26">
        <f>ItensPedido!E2307</f>
        <v/>
      </c>
      <c r="F2307" s="25">
        <f>IFERROR(INDEX(Pedidos!$B$2:$B$1801,MATCH(B2307,Pedidos!$A$2:$A$1801,0)),0)</f>
        <v/>
      </c>
      <c r="G2307" s="25">
        <f>IF(F2307=0,"",YEAR(F2307))</f>
        <v/>
      </c>
      <c r="H2307" s="25">
        <f>IF(F2307=0,"",MONTH(F2307))</f>
        <v/>
      </c>
      <c r="I2307" s="25">
        <f>IFERROR(INDEX(Pedidos!$E$2:$E$1801,MATCH(B2307,Pedidos!$A$2:$A$1801,0)),"")</f>
        <v/>
      </c>
      <c r="J2307" s="25">
        <f>IFERROR(INDEX(Pedidos!$C$2:$C$1801,MATCH(B2307,Pedidos!$A$2:$A$1801,0)),"")</f>
        <v/>
      </c>
      <c r="K2307" s="25">
        <f>IFERROR(INDEX(Pedidos!$D$2:$D$1801,MATCH(B2307,Pedidos!$A$2:$A$1801,0)),"")</f>
        <v/>
      </c>
      <c r="L2307" s="25">
        <f>IFERROR(INDEX(Pedidos!$F$2:$F$1801,MATCH(B2307,Pedidos!$A$2:$A$1801,0)),"")</f>
        <v/>
      </c>
      <c r="M2307" s="26">
        <f>IFERROR(INDEX(Pedidos!$G$2:$G$1801,MATCH(B2307,Pedidos!$A$2:$A$1801,0)),0)</f>
        <v/>
      </c>
      <c r="N2307" s="25">
        <f>IFERROR(INDEX(Produtos!$B$2:$B$71,MATCH(C2307,Produtos!$A$2:$A$71,0)),"")</f>
        <v/>
      </c>
      <c r="O2307" s="25">
        <f>IFERROR(INDEX(Produtos!$C$2:$C$71,MATCH(C2307,Produtos!$A$2:$A$71,0)),"")</f>
        <v/>
      </c>
      <c r="P2307" s="25">
        <f>IFERROR(INDEX(Produtos!$D$2:$D$71,MATCH(C2307,Produtos!$A$2:$A$71,0)),0)</f>
        <v/>
      </c>
      <c r="Q2307" s="25">
        <f>IFERROR(INDEX(Produtos!$E$2:$E$71,MATCH(C2307,Produtos!$A$2:$A$71,0)),0)</f>
        <v/>
      </c>
      <c r="R2307" s="27">
        <f>D2307*Q2307</f>
        <v/>
      </c>
      <c r="S2307" s="27">
        <f>R2307*E2307</f>
        <v/>
      </c>
      <c r="T2307" s="27">
        <f>(R2307-S2307)*M2307</f>
        <v/>
      </c>
      <c r="U2307" s="27">
        <f>R2307-S2307-T2307</f>
        <v/>
      </c>
      <c r="V2307" s="27">
        <f>D2307*P2307</f>
        <v/>
      </c>
      <c r="W2307" s="27">
        <f>U2307-V2307</f>
        <v/>
      </c>
      <c r="X2307" s="28">
        <f>IFERROR(W2307/U2307,0)</f>
        <v/>
      </c>
    </row>
    <row r="2308">
      <c r="A2308" s="21">
        <f>ItensPedido!A2308</f>
        <v/>
      </c>
      <c r="B2308" s="21">
        <f>ItensPedido!B2308</f>
        <v/>
      </c>
      <c r="C2308" s="21">
        <f>ItensPedido!C2308</f>
        <v/>
      </c>
      <c r="D2308" s="21">
        <f>ItensPedido!D2308</f>
        <v/>
      </c>
      <c r="E2308" s="22">
        <f>ItensPedido!E2308</f>
        <v/>
      </c>
      <c r="F2308" s="21">
        <f>IFERROR(INDEX(Pedidos!$B$2:$B$1801,MATCH(B2308,Pedidos!$A$2:$A$1801,0)),0)</f>
        <v/>
      </c>
      <c r="G2308" s="21">
        <f>IF(F2308=0,"",YEAR(F2308))</f>
        <v/>
      </c>
      <c r="H2308" s="21">
        <f>IF(F2308=0,"",MONTH(F2308))</f>
        <v/>
      </c>
      <c r="I2308" s="21">
        <f>IFERROR(INDEX(Pedidos!$E$2:$E$1801,MATCH(B2308,Pedidos!$A$2:$A$1801,0)),"")</f>
        <v/>
      </c>
      <c r="J2308" s="21">
        <f>IFERROR(INDEX(Pedidos!$C$2:$C$1801,MATCH(B2308,Pedidos!$A$2:$A$1801,0)),"")</f>
        <v/>
      </c>
      <c r="K2308" s="21">
        <f>IFERROR(INDEX(Pedidos!$D$2:$D$1801,MATCH(B2308,Pedidos!$A$2:$A$1801,0)),"")</f>
        <v/>
      </c>
      <c r="L2308" s="21">
        <f>IFERROR(INDEX(Pedidos!$F$2:$F$1801,MATCH(B2308,Pedidos!$A$2:$A$1801,0)),"")</f>
        <v/>
      </c>
      <c r="M2308" s="22">
        <f>IFERROR(INDEX(Pedidos!$G$2:$G$1801,MATCH(B2308,Pedidos!$A$2:$A$1801,0)),0)</f>
        <v/>
      </c>
      <c r="N2308" s="21">
        <f>IFERROR(INDEX(Produtos!$B$2:$B$71,MATCH(C2308,Produtos!$A$2:$A$71,0)),"")</f>
        <v/>
      </c>
      <c r="O2308" s="21">
        <f>IFERROR(INDEX(Produtos!$C$2:$C$71,MATCH(C2308,Produtos!$A$2:$A$71,0)),"")</f>
        <v/>
      </c>
      <c r="P2308" s="21">
        <f>IFERROR(INDEX(Produtos!$D$2:$D$71,MATCH(C2308,Produtos!$A$2:$A$71,0)),0)</f>
        <v/>
      </c>
      <c r="Q2308" s="21">
        <f>IFERROR(INDEX(Produtos!$E$2:$E$71,MATCH(C2308,Produtos!$A$2:$A$71,0)),0)</f>
        <v/>
      </c>
      <c r="R2308" s="23">
        <f>D2308*Q2308</f>
        <v/>
      </c>
      <c r="S2308" s="23">
        <f>R2308*E2308</f>
        <v/>
      </c>
      <c r="T2308" s="23">
        <f>(R2308-S2308)*M2308</f>
        <v/>
      </c>
      <c r="U2308" s="23">
        <f>R2308-S2308-T2308</f>
        <v/>
      </c>
      <c r="V2308" s="23">
        <f>D2308*P2308</f>
        <v/>
      </c>
      <c r="W2308" s="23">
        <f>U2308-V2308</f>
        <v/>
      </c>
      <c r="X2308" s="24">
        <f>IFERROR(W2308/U2308,0)</f>
        <v/>
      </c>
    </row>
    <row r="2309">
      <c r="A2309" s="25">
        <f>ItensPedido!A2309</f>
        <v/>
      </c>
      <c r="B2309" s="25">
        <f>ItensPedido!B2309</f>
        <v/>
      </c>
      <c r="C2309" s="25">
        <f>ItensPedido!C2309</f>
        <v/>
      </c>
      <c r="D2309" s="25">
        <f>ItensPedido!D2309</f>
        <v/>
      </c>
      <c r="E2309" s="26">
        <f>ItensPedido!E2309</f>
        <v/>
      </c>
      <c r="F2309" s="25">
        <f>IFERROR(INDEX(Pedidos!$B$2:$B$1801,MATCH(B2309,Pedidos!$A$2:$A$1801,0)),0)</f>
        <v/>
      </c>
      <c r="G2309" s="25">
        <f>IF(F2309=0,"",YEAR(F2309))</f>
        <v/>
      </c>
      <c r="H2309" s="25">
        <f>IF(F2309=0,"",MONTH(F2309))</f>
        <v/>
      </c>
      <c r="I2309" s="25">
        <f>IFERROR(INDEX(Pedidos!$E$2:$E$1801,MATCH(B2309,Pedidos!$A$2:$A$1801,0)),"")</f>
        <v/>
      </c>
      <c r="J2309" s="25">
        <f>IFERROR(INDEX(Pedidos!$C$2:$C$1801,MATCH(B2309,Pedidos!$A$2:$A$1801,0)),"")</f>
        <v/>
      </c>
      <c r="K2309" s="25">
        <f>IFERROR(INDEX(Pedidos!$D$2:$D$1801,MATCH(B2309,Pedidos!$A$2:$A$1801,0)),"")</f>
        <v/>
      </c>
      <c r="L2309" s="25">
        <f>IFERROR(INDEX(Pedidos!$F$2:$F$1801,MATCH(B2309,Pedidos!$A$2:$A$1801,0)),"")</f>
        <v/>
      </c>
      <c r="M2309" s="26">
        <f>IFERROR(INDEX(Pedidos!$G$2:$G$1801,MATCH(B2309,Pedidos!$A$2:$A$1801,0)),0)</f>
        <v/>
      </c>
      <c r="N2309" s="25">
        <f>IFERROR(INDEX(Produtos!$B$2:$B$71,MATCH(C2309,Produtos!$A$2:$A$71,0)),"")</f>
        <v/>
      </c>
      <c r="O2309" s="25">
        <f>IFERROR(INDEX(Produtos!$C$2:$C$71,MATCH(C2309,Produtos!$A$2:$A$71,0)),"")</f>
        <v/>
      </c>
      <c r="P2309" s="25">
        <f>IFERROR(INDEX(Produtos!$D$2:$D$71,MATCH(C2309,Produtos!$A$2:$A$71,0)),0)</f>
        <v/>
      </c>
      <c r="Q2309" s="25">
        <f>IFERROR(INDEX(Produtos!$E$2:$E$71,MATCH(C2309,Produtos!$A$2:$A$71,0)),0)</f>
        <v/>
      </c>
      <c r="R2309" s="27">
        <f>D2309*Q2309</f>
        <v/>
      </c>
      <c r="S2309" s="27">
        <f>R2309*E2309</f>
        <v/>
      </c>
      <c r="T2309" s="27">
        <f>(R2309-S2309)*M2309</f>
        <v/>
      </c>
      <c r="U2309" s="27">
        <f>R2309-S2309-T2309</f>
        <v/>
      </c>
      <c r="V2309" s="27">
        <f>D2309*P2309</f>
        <v/>
      </c>
      <c r="W2309" s="27">
        <f>U2309-V2309</f>
        <v/>
      </c>
      <c r="X2309" s="28">
        <f>IFERROR(W2309/U2309,0)</f>
        <v/>
      </c>
    </row>
    <row r="2310">
      <c r="A2310" s="21">
        <f>ItensPedido!A2310</f>
        <v/>
      </c>
      <c r="B2310" s="21">
        <f>ItensPedido!B2310</f>
        <v/>
      </c>
      <c r="C2310" s="21">
        <f>ItensPedido!C2310</f>
        <v/>
      </c>
      <c r="D2310" s="21">
        <f>ItensPedido!D2310</f>
        <v/>
      </c>
      <c r="E2310" s="22">
        <f>ItensPedido!E2310</f>
        <v/>
      </c>
      <c r="F2310" s="21">
        <f>IFERROR(INDEX(Pedidos!$B$2:$B$1801,MATCH(B2310,Pedidos!$A$2:$A$1801,0)),0)</f>
        <v/>
      </c>
      <c r="G2310" s="21">
        <f>IF(F2310=0,"",YEAR(F2310))</f>
        <v/>
      </c>
      <c r="H2310" s="21">
        <f>IF(F2310=0,"",MONTH(F2310))</f>
        <v/>
      </c>
      <c r="I2310" s="21">
        <f>IFERROR(INDEX(Pedidos!$E$2:$E$1801,MATCH(B2310,Pedidos!$A$2:$A$1801,0)),"")</f>
        <v/>
      </c>
      <c r="J2310" s="21">
        <f>IFERROR(INDEX(Pedidos!$C$2:$C$1801,MATCH(B2310,Pedidos!$A$2:$A$1801,0)),"")</f>
        <v/>
      </c>
      <c r="K2310" s="21">
        <f>IFERROR(INDEX(Pedidos!$D$2:$D$1801,MATCH(B2310,Pedidos!$A$2:$A$1801,0)),"")</f>
        <v/>
      </c>
      <c r="L2310" s="21">
        <f>IFERROR(INDEX(Pedidos!$F$2:$F$1801,MATCH(B2310,Pedidos!$A$2:$A$1801,0)),"")</f>
        <v/>
      </c>
      <c r="M2310" s="22">
        <f>IFERROR(INDEX(Pedidos!$G$2:$G$1801,MATCH(B2310,Pedidos!$A$2:$A$1801,0)),0)</f>
        <v/>
      </c>
      <c r="N2310" s="21">
        <f>IFERROR(INDEX(Produtos!$B$2:$B$71,MATCH(C2310,Produtos!$A$2:$A$71,0)),"")</f>
        <v/>
      </c>
      <c r="O2310" s="21">
        <f>IFERROR(INDEX(Produtos!$C$2:$C$71,MATCH(C2310,Produtos!$A$2:$A$71,0)),"")</f>
        <v/>
      </c>
      <c r="P2310" s="21">
        <f>IFERROR(INDEX(Produtos!$D$2:$D$71,MATCH(C2310,Produtos!$A$2:$A$71,0)),0)</f>
        <v/>
      </c>
      <c r="Q2310" s="21">
        <f>IFERROR(INDEX(Produtos!$E$2:$E$71,MATCH(C2310,Produtos!$A$2:$A$71,0)),0)</f>
        <v/>
      </c>
      <c r="R2310" s="23">
        <f>D2310*Q2310</f>
        <v/>
      </c>
      <c r="S2310" s="23">
        <f>R2310*E2310</f>
        <v/>
      </c>
      <c r="T2310" s="23">
        <f>(R2310-S2310)*M2310</f>
        <v/>
      </c>
      <c r="U2310" s="23">
        <f>R2310-S2310-T2310</f>
        <v/>
      </c>
      <c r="V2310" s="23">
        <f>D2310*P2310</f>
        <v/>
      </c>
      <c r="W2310" s="23">
        <f>U2310-V2310</f>
        <v/>
      </c>
      <c r="X2310" s="24">
        <f>IFERROR(W2310/U2310,0)</f>
        <v/>
      </c>
    </row>
    <row r="2311">
      <c r="A2311" s="25">
        <f>ItensPedido!A2311</f>
        <v/>
      </c>
      <c r="B2311" s="25">
        <f>ItensPedido!B2311</f>
        <v/>
      </c>
      <c r="C2311" s="25">
        <f>ItensPedido!C2311</f>
        <v/>
      </c>
      <c r="D2311" s="25">
        <f>ItensPedido!D2311</f>
        <v/>
      </c>
      <c r="E2311" s="26">
        <f>ItensPedido!E2311</f>
        <v/>
      </c>
      <c r="F2311" s="25">
        <f>IFERROR(INDEX(Pedidos!$B$2:$B$1801,MATCH(B2311,Pedidos!$A$2:$A$1801,0)),0)</f>
        <v/>
      </c>
      <c r="G2311" s="25">
        <f>IF(F2311=0,"",YEAR(F2311))</f>
        <v/>
      </c>
      <c r="H2311" s="25">
        <f>IF(F2311=0,"",MONTH(F2311))</f>
        <v/>
      </c>
      <c r="I2311" s="25">
        <f>IFERROR(INDEX(Pedidos!$E$2:$E$1801,MATCH(B2311,Pedidos!$A$2:$A$1801,0)),"")</f>
        <v/>
      </c>
      <c r="J2311" s="25">
        <f>IFERROR(INDEX(Pedidos!$C$2:$C$1801,MATCH(B2311,Pedidos!$A$2:$A$1801,0)),"")</f>
        <v/>
      </c>
      <c r="K2311" s="25">
        <f>IFERROR(INDEX(Pedidos!$D$2:$D$1801,MATCH(B2311,Pedidos!$A$2:$A$1801,0)),"")</f>
        <v/>
      </c>
      <c r="L2311" s="25">
        <f>IFERROR(INDEX(Pedidos!$F$2:$F$1801,MATCH(B2311,Pedidos!$A$2:$A$1801,0)),"")</f>
        <v/>
      </c>
      <c r="M2311" s="26">
        <f>IFERROR(INDEX(Pedidos!$G$2:$G$1801,MATCH(B2311,Pedidos!$A$2:$A$1801,0)),0)</f>
        <v/>
      </c>
      <c r="N2311" s="25">
        <f>IFERROR(INDEX(Produtos!$B$2:$B$71,MATCH(C2311,Produtos!$A$2:$A$71,0)),"")</f>
        <v/>
      </c>
      <c r="O2311" s="25">
        <f>IFERROR(INDEX(Produtos!$C$2:$C$71,MATCH(C2311,Produtos!$A$2:$A$71,0)),"")</f>
        <v/>
      </c>
      <c r="P2311" s="25">
        <f>IFERROR(INDEX(Produtos!$D$2:$D$71,MATCH(C2311,Produtos!$A$2:$A$71,0)),0)</f>
        <v/>
      </c>
      <c r="Q2311" s="25">
        <f>IFERROR(INDEX(Produtos!$E$2:$E$71,MATCH(C2311,Produtos!$A$2:$A$71,0)),0)</f>
        <v/>
      </c>
      <c r="R2311" s="27">
        <f>D2311*Q2311</f>
        <v/>
      </c>
      <c r="S2311" s="27">
        <f>R2311*E2311</f>
        <v/>
      </c>
      <c r="T2311" s="27">
        <f>(R2311-S2311)*M2311</f>
        <v/>
      </c>
      <c r="U2311" s="27">
        <f>R2311-S2311-T2311</f>
        <v/>
      </c>
      <c r="V2311" s="27">
        <f>D2311*P2311</f>
        <v/>
      </c>
      <c r="W2311" s="27">
        <f>U2311-V2311</f>
        <v/>
      </c>
      <c r="X2311" s="28">
        <f>IFERROR(W2311/U2311,0)</f>
        <v/>
      </c>
    </row>
    <row r="2312">
      <c r="A2312" s="21">
        <f>ItensPedido!A2312</f>
        <v/>
      </c>
      <c r="B2312" s="21">
        <f>ItensPedido!B2312</f>
        <v/>
      </c>
      <c r="C2312" s="21">
        <f>ItensPedido!C2312</f>
        <v/>
      </c>
      <c r="D2312" s="21">
        <f>ItensPedido!D2312</f>
        <v/>
      </c>
      <c r="E2312" s="22">
        <f>ItensPedido!E2312</f>
        <v/>
      </c>
      <c r="F2312" s="21">
        <f>IFERROR(INDEX(Pedidos!$B$2:$B$1801,MATCH(B2312,Pedidos!$A$2:$A$1801,0)),0)</f>
        <v/>
      </c>
      <c r="G2312" s="21">
        <f>IF(F2312=0,"",YEAR(F2312))</f>
        <v/>
      </c>
      <c r="H2312" s="21">
        <f>IF(F2312=0,"",MONTH(F2312))</f>
        <v/>
      </c>
      <c r="I2312" s="21">
        <f>IFERROR(INDEX(Pedidos!$E$2:$E$1801,MATCH(B2312,Pedidos!$A$2:$A$1801,0)),"")</f>
        <v/>
      </c>
      <c r="J2312" s="21">
        <f>IFERROR(INDEX(Pedidos!$C$2:$C$1801,MATCH(B2312,Pedidos!$A$2:$A$1801,0)),"")</f>
        <v/>
      </c>
      <c r="K2312" s="21">
        <f>IFERROR(INDEX(Pedidos!$D$2:$D$1801,MATCH(B2312,Pedidos!$A$2:$A$1801,0)),"")</f>
        <v/>
      </c>
      <c r="L2312" s="21">
        <f>IFERROR(INDEX(Pedidos!$F$2:$F$1801,MATCH(B2312,Pedidos!$A$2:$A$1801,0)),"")</f>
        <v/>
      </c>
      <c r="M2312" s="22">
        <f>IFERROR(INDEX(Pedidos!$G$2:$G$1801,MATCH(B2312,Pedidos!$A$2:$A$1801,0)),0)</f>
        <v/>
      </c>
      <c r="N2312" s="21">
        <f>IFERROR(INDEX(Produtos!$B$2:$B$71,MATCH(C2312,Produtos!$A$2:$A$71,0)),"")</f>
        <v/>
      </c>
      <c r="O2312" s="21">
        <f>IFERROR(INDEX(Produtos!$C$2:$C$71,MATCH(C2312,Produtos!$A$2:$A$71,0)),"")</f>
        <v/>
      </c>
      <c r="P2312" s="21">
        <f>IFERROR(INDEX(Produtos!$D$2:$D$71,MATCH(C2312,Produtos!$A$2:$A$71,0)),0)</f>
        <v/>
      </c>
      <c r="Q2312" s="21">
        <f>IFERROR(INDEX(Produtos!$E$2:$E$71,MATCH(C2312,Produtos!$A$2:$A$71,0)),0)</f>
        <v/>
      </c>
      <c r="R2312" s="23">
        <f>D2312*Q2312</f>
        <v/>
      </c>
      <c r="S2312" s="23">
        <f>R2312*E2312</f>
        <v/>
      </c>
      <c r="T2312" s="23">
        <f>(R2312-S2312)*M2312</f>
        <v/>
      </c>
      <c r="U2312" s="23">
        <f>R2312-S2312-T2312</f>
        <v/>
      </c>
      <c r="V2312" s="23">
        <f>D2312*P2312</f>
        <v/>
      </c>
      <c r="W2312" s="23">
        <f>U2312-V2312</f>
        <v/>
      </c>
      <c r="X2312" s="24">
        <f>IFERROR(W2312/U2312,0)</f>
        <v/>
      </c>
    </row>
    <row r="2313">
      <c r="A2313" s="25">
        <f>ItensPedido!A2313</f>
        <v/>
      </c>
      <c r="B2313" s="25">
        <f>ItensPedido!B2313</f>
        <v/>
      </c>
      <c r="C2313" s="25">
        <f>ItensPedido!C2313</f>
        <v/>
      </c>
      <c r="D2313" s="25">
        <f>ItensPedido!D2313</f>
        <v/>
      </c>
      <c r="E2313" s="26">
        <f>ItensPedido!E2313</f>
        <v/>
      </c>
      <c r="F2313" s="25">
        <f>IFERROR(INDEX(Pedidos!$B$2:$B$1801,MATCH(B2313,Pedidos!$A$2:$A$1801,0)),0)</f>
        <v/>
      </c>
      <c r="G2313" s="25">
        <f>IF(F2313=0,"",YEAR(F2313))</f>
        <v/>
      </c>
      <c r="H2313" s="25">
        <f>IF(F2313=0,"",MONTH(F2313))</f>
        <v/>
      </c>
      <c r="I2313" s="25">
        <f>IFERROR(INDEX(Pedidos!$E$2:$E$1801,MATCH(B2313,Pedidos!$A$2:$A$1801,0)),"")</f>
        <v/>
      </c>
      <c r="J2313" s="25">
        <f>IFERROR(INDEX(Pedidos!$C$2:$C$1801,MATCH(B2313,Pedidos!$A$2:$A$1801,0)),"")</f>
        <v/>
      </c>
      <c r="K2313" s="25">
        <f>IFERROR(INDEX(Pedidos!$D$2:$D$1801,MATCH(B2313,Pedidos!$A$2:$A$1801,0)),"")</f>
        <v/>
      </c>
      <c r="L2313" s="25">
        <f>IFERROR(INDEX(Pedidos!$F$2:$F$1801,MATCH(B2313,Pedidos!$A$2:$A$1801,0)),"")</f>
        <v/>
      </c>
      <c r="M2313" s="26">
        <f>IFERROR(INDEX(Pedidos!$G$2:$G$1801,MATCH(B2313,Pedidos!$A$2:$A$1801,0)),0)</f>
        <v/>
      </c>
      <c r="N2313" s="25">
        <f>IFERROR(INDEX(Produtos!$B$2:$B$71,MATCH(C2313,Produtos!$A$2:$A$71,0)),"")</f>
        <v/>
      </c>
      <c r="O2313" s="25">
        <f>IFERROR(INDEX(Produtos!$C$2:$C$71,MATCH(C2313,Produtos!$A$2:$A$71,0)),"")</f>
        <v/>
      </c>
      <c r="P2313" s="25">
        <f>IFERROR(INDEX(Produtos!$D$2:$D$71,MATCH(C2313,Produtos!$A$2:$A$71,0)),0)</f>
        <v/>
      </c>
      <c r="Q2313" s="25">
        <f>IFERROR(INDEX(Produtos!$E$2:$E$71,MATCH(C2313,Produtos!$A$2:$A$71,0)),0)</f>
        <v/>
      </c>
      <c r="R2313" s="27">
        <f>D2313*Q2313</f>
        <v/>
      </c>
      <c r="S2313" s="27">
        <f>R2313*E2313</f>
        <v/>
      </c>
      <c r="T2313" s="27">
        <f>(R2313-S2313)*M2313</f>
        <v/>
      </c>
      <c r="U2313" s="27">
        <f>R2313-S2313-T2313</f>
        <v/>
      </c>
      <c r="V2313" s="27">
        <f>D2313*P2313</f>
        <v/>
      </c>
      <c r="W2313" s="27">
        <f>U2313-V2313</f>
        <v/>
      </c>
      <c r="X2313" s="28">
        <f>IFERROR(W2313/U2313,0)</f>
        <v/>
      </c>
    </row>
    <row r="2314">
      <c r="A2314" s="21">
        <f>ItensPedido!A2314</f>
        <v/>
      </c>
      <c r="B2314" s="21">
        <f>ItensPedido!B2314</f>
        <v/>
      </c>
      <c r="C2314" s="21">
        <f>ItensPedido!C2314</f>
        <v/>
      </c>
      <c r="D2314" s="21">
        <f>ItensPedido!D2314</f>
        <v/>
      </c>
      <c r="E2314" s="22">
        <f>ItensPedido!E2314</f>
        <v/>
      </c>
      <c r="F2314" s="21">
        <f>IFERROR(INDEX(Pedidos!$B$2:$B$1801,MATCH(B2314,Pedidos!$A$2:$A$1801,0)),0)</f>
        <v/>
      </c>
      <c r="G2314" s="21">
        <f>IF(F2314=0,"",YEAR(F2314))</f>
        <v/>
      </c>
      <c r="H2314" s="21">
        <f>IF(F2314=0,"",MONTH(F2314))</f>
        <v/>
      </c>
      <c r="I2314" s="21">
        <f>IFERROR(INDEX(Pedidos!$E$2:$E$1801,MATCH(B2314,Pedidos!$A$2:$A$1801,0)),"")</f>
        <v/>
      </c>
      <c r="J2314" s="21">
        <f>IFERROR(INDEX(Pedidos!$C$2:$C$1801,MATCH(B2314,Pedidos!$A$2:$A$1801,0)),"")</f>
        <v/>
      </c>
      <c r="K2314" s="21">
        <f>IFERROR(INDEX(Pedidos!$D$2:$D$1801,MATCH(B2314,Pedidos!$A$2:$A$1801,0)),"")</f>
        <v/>
      </c>
      <c r="L2314" s="21">
        <f>IFERROR(INDEX(Pedidos!$F$2:$F$1801,MATCH(B2314,Pedidos!$A$2:$A$1801,0)),"")</f>
        <v/>
      </c>
      <c r="M2314" s="22">
        <f>IFERROR(INDEX(Pedidos!$G$2:$G$1801,MATCH(B2314,Pedidos!$A$2:$A$1801,0)),0)</f>
        <v/>
      </c>
      <c r="N2314" s="21">
        <f>IFERROR(INDEX(Produtos!$B$2:$B$71,MATCH(C2314,Produtos!$A$2:$A$71,0)),"")</f>
        <v/>
      </c>
      <c r="O2314" s="21">
        <f>IFERROR(INDEX(Produtos!$C$2:$C$71,MATCH(C2314,Produtos!$A$2:$A$71,0)),"")</f>
        <v/>
      </c>
      <c r="P2314" s="21">
        <f>IFERROR(INDEX(Produtos!$D$2:$D$71,MATCH(C2314,Produtos!$A$2:$A$71,0)),0)</f>
        <v/>
      </c>
      <c r="Q2314" s="21">
        <f>IFERROR(INDEX(Produtos!$E$2:$E$71,MATCH(C2314,Produtos!$A$2:$A$71,0)),0)</f>
        <v/>
      </c>
      <c r="R2314" s="23">
        <f>D2314*Q2314</f>
        <v/>
      </c>
      <c r="S2314" s="23">
        <f>R2314*E2314</f>
        <v/>
      </c>
      <c r="T2314" s="23">
        <f>(R2314-S2314)*M2314</f>
        <v/>
      </c>
      <c r="U2314" s="23">
        <f>R2314-S2314-T2314</f>
        <v/>
      </c>
      <c r="V2314" s="23">
        <f>D2314*P2314</f>
        <v/>
      </c>
      <c r="W2314" s="23">
        <f>U2314-V2314</f>
        <v/>
      </c>
      <c r="X2314" s="24">
        <f>IFERROR(W2314/U2314,0)</f>
        <v/>
      </c>
    </row>
    <row r="2315">
      <c r="A2315" s="25">
        <f>ItensPedido!A2315</f>
        <v/>
      </c>
      <c r="B2315" s="25">
        <f>ItensPedido!B2315</f>
        <v/>
      </c>
      <c r="C2315" s="25">
        <f>ItensPedido!C2315</f>
        <v/>
      </c>
      <c r="D2315" s="25">
        <f>ItensPedido!D2315</f>
        <v/>
      </c>
      <c r="E2315" s="26">
        <f>ItensPedido!E2315</f>
        <v/>
      </c>
      <c r="F2315" s="25">
        <f>IFERROR(INDEX(Pedidos!$B$2:$B$1801,MATCH(B2315,Pedidos!$A$2:$A$1801,0)),0)</f>
        <v/>
      </c>
      <c r="G2315" s="25">
        <f>IF(F2315=0,"",YEAR(F2315))</f>
        <v/>
      </c>
      <c r="H2315" s="25">
        <f>IF(F2315=0,"",MONTH(F2315))</f>
        <v/>
      </c>
      <c r="I2315" s="25">
        <f>IFERROR(INDEX(Pedidos!$E$2:$E$1801,MATCH(B2315,Pedidos!$A$2:$A$1801,0)),"")</f>
        <v/>
      </c>
      <c r="J2315" s="25">
        <f>IFERROR(INDEX(Pedidos!$C$2:$C$1801,MATCH(B2315,Pedidos!$A$2:$A$1801,0)),"")</f>
        <v/>
      </c>
      <c r="K2315" s="25">
        <f>IFERROR(INDEX(Pedidos!$D$2:$D$1801,MATCH(B2315,Pedidos!$A$2:$A$1801,0)),"")</f>
        <v/>
      </c>
      <c r="L2315" s="25">
        <f>IFERROR(INDEX(Pedidos!$F$2:$F$1801,MATCH(B2315,Pedidos!$A$2:$A$1801,0)),"")</f>
        <v/>
      </c>
      <c r="M2315" s="26">
        <f>IFERROR(INDEX(Pedidos!$G$2:$G$1801,MATCH(B2315,Pedidos!$A$2:$A$1801,0)),0)</f>
        <v/>
      </c>
      <c r="N2315" s="25">
        <f>IFERROR(INDEX(Produtos!$B$2:$B$71,MATCH(C2315,Produtos!$A$2:$A$71,0)),"")</f>
        <v/>
      </c>
      <c r="O2315" s="25">
        <f>IFERROR(INDEX(Produtos!$C$2:$C$71,MATCH(C2315,Produtos!$A$2:$A$71,0)),"")</f>
        <v/>
      </c>
      <c r="P2315" s="25">
        <f>IFERROR(INDEX(Produtos!$D$2:$D$71,MATCH(C2315,Produtos!$A$2:$A$71,0)),0)</f>
        <v/>
      </c>
      <c r="Q2315" s="25">
        <f>IFERROR(INDEX(Produtos!$E$2:$E$71,MATCH(C2315,Produtos!$A$2:$A$71,0)),0)</f>
        <v/>
      </c>
      <c r="R2315" s="27">
        <f>D2315*Q2315</f>
        <v/>
      </c>
      <c r="S2315" s="27">
        <f>R2315*E2315</f>
        <v/>
      </c>
      <c r="T2315" s="27">
        <f>(R2315-S2315)*M2315</f>
        <v/>
      </c>
      <c r="U2315" s="27">
        <f>R2315-S2315-T2315</f>
        <v/>
      </c>
      <c r="V2315" s="27">
        <f>D2315*P2315</f>
        <v/>
      </c>
      <c r="W2315" s="27">
        <f>U2315-V2315</f>
        <v/>
      </c>
      <c r="X2315" s="28">
        <f>IFERROR(W2315/U2315,0)</f>
        <v/>
      </c>
    </row>
    <row r="2316">
      <c r="A2316" s="21">
        <f>ItensPedido!A2316</f>
        <v/>
      </c>
      <c r="B2316" s="21">
        <f>ItensPedido!B2316</f>
        <v/>
      </c>
      <c r="C2316" s="21">
        <f>ItensPedido!C2316</f>
        <v/>
      </c>
      <c r="D2316" s="21">
        <f>ItensPedido!D2316</f>
        <v/>
      </c>
      <c r="E2316" s="22">
        <f>ItensPedido!E2316</f>
        <v/>
      </c>
      <c r="F2316" s="21">
        <f>IFERROR(INDEX(Pedidos!$B$2:$B$1801,MATCH(B2316,Pedidos!$A$2:$A$1801,0)),0)</f>
        <v/>
      </c>
      <c r="G2316" s="21">
        <f>IF(F2316=0,"",YEAR(F2316))</f>
        <v/>
      </c>
      <c r="H2316" s="21">
        <f>IF(F2316=0,"",MONTH(F2316))</f>
        <v/>
      </c>
      <c r="I2316" s="21">
        <f>IFERROR(INDEX(Pedidos!$E$2:$E$1801,MATCH(B2316,Pedidos!$A$2:$A$1801,0)),"")</f>
        <v/>
      </c>
      <c r="J2316" s="21">
        <f>IFERROR(INDEX(Pedidos!$C$2:$C$1801,MATCH(B2316,Pedidos!$A$2:$A$1801,0)),"")</f>
        <v/>
      </c>
      <c r="K2316" s="21">
        <f>IFERROR(INDEX(Pedidos!$D$2:$D$1801,MATCH(B2316,Pedidos!$A$2:$A$1801,0)),"")</f>
        <v/>
      </c>
      <c r="L2316" s="21">
        <f>IFERROR(INDEX(Pedidos!$F$2:$F$1801,MATCH(B2316,Pedidos!$A$2:$A$1801,0)),"")</f>
        <v/>
      </c>
      <c r="M2316" s="22">
        <f>IFERROR(INDEX(Pedidos!$G$2:$G$1801,MATCH(B2316,Pedidos!$A$2:$A$1801,0)),0)</f>
        <v/>
      </c>
      <c r="N2316" s="21">
        <f>IFERROR(INDEX(Produtos!$B$2:$B$71,MATCH(C2316,Produtos!$A$2:$A$71,0)),"")</f>
        <v/>
      </c>
      <c r="O2316" s="21">
        <f>IFERROR(INDEX(Produtos!$C$2:$C$71,MATCH(C2316,Produtos!$A$2:$A$71,0)),"")</f>
        <v/>
      </c>
      <c r="P2316" s="21">
        <f>IFERROR(INDEX(Produtos!$D$2:$D$71,MATCH(C2316,Produtos!$A$2:$A$71,0)),0)</f>
        <v/>
      </c>
      <c r="Q2316" s="21">
        <f>IFERROR(INDEX(Produtos!$E$2:$E$71,MATCH(C2316,Produtos!$A$2:$A$71,0)),0)</f>
        <v/>
      </c>
      <c r="R2316" s="23">
        <f>D2316*Q2316</f>
        <v/>
      </c>
      <c r="S2316" s="23">
        <f>R2316*E2316</f>
        <v/>
      </c>
      <c r="T2316" s="23">
        <f>(R2316-S2316)*M2316</f>
        <v/>
      </c>
      <c r="U2316" s="23">
        <f>R2316-S2316-T2316</f>
        <v/>
      </c>
      <c r="V2316" s="23">
        <f>D2316*P2316</f>
        <v/>
      </c>
      <c r="W2316" s="23">
        <f>U2316-V2316</f>
        <v/>
      </c>
      <c r="X2316" s="24">
        <f>IFERROR(W2316/U2316,0)</f>
        <v/>
      </c>
    </row>
    <row r="2317">
      <c r="A2317" s="25">
        <f>ItensPedido!A2317</f>
        <v/>
      </c>
      <c r="B2317" s="25">
        <f>ItensPedido!B2317</f>
        <v/>
      </c>
      <c r="C2317" s="25">
        <f>ItensPedido!C2317</f>
        <v/>
      </c>
      <c r="D2317" s="25">
        <f>ItensPedido!D2317</f>
        <v/>
      </c>
      <c r="E2317" s="26">
        <f>ItensPedido!E2317</f>
        <v/>
      </c>
      <c r="F2317" s="25">
        <f>IFERROR(INDEX(Pedidos!$B$2:$B$1801,MATCH(B2317,Pedidos!$A$2:$A$1801,0)),0)</f>
        <v/>
      </c>
      <c r="G2317" s="25">
        <f>IF(F2317=0,"",YEAR(F2317))</f>
        <v/>
      </c>
      <c r="H2317" s="25">
        <f>IF(F2317=0,"",MONTH(F2317))</f>
        <v/>
      </c>
      <c r="I2317" s="25">
        <f>IFERROR(INDEX(Pedidos!$E$2:$E$1801,MATCH(B2317,Pedidos!$A$2:$A$1801,0)),"")</f>
        <v/>
      </c>
      <c r="J2317" s="25">
        <f>IFERROR(INDEX(Pedidos!$C$2:$C$1801,MATCH(B2317,Pedidos!$A$2:$A$1801,0)),"")</f>
        <v/>
      </c>
      <c r="K2317" s="25">
        <f>IFERROR(INDEX(Pedidos!$D$2:$D$1801,MATCH(B2317,Pedidos!$A$2:$A$1801,0)),"")</f>
        <v/>
      </c>
      <c r="L2317" s="25">
        <f>IFERROR(INDEX(Pedidos!$F$2:$F$1801,MATCH(B2317,Pedidos!$A$2:$A$1801,0)),"")</f>
        <v/>
      </c>
      <c r="M2317" s="26">
        <f>IFERROR(INDEX(Pedidos!$G$2:$G$1801,MATCH(B2317,Pedidos!$A$2:$A$1801,0)),0)</f>
        <v/>
      </c>
      <c r="N2317" s="25">
        <f>IFERROR(INDEX(Produtos!$B$2:$B$71,MATCH(C2317,Produtos!$A$2:$A$71,0)),"")</f>
        <v/>
      </c>
      <c r="O2317" s="25">
        <f>IFERROR(INDEX(Produtos!$C$2:$C$71,MATCH(C2317,Produtos!$A$2:$A$71,0)),"")</f>
        <v/>
      </c>
      <c r="P2317" s="25">
        <f>IFERROR(INDEX(Produtos!$D$2:$D$71,MATCH(C2317,Produtos!$A$2:$A$71,0)),0)</f>
        <v/>
      </c>
      <c r="Q2317" s="25">
        <f>IFERROR(INDEX(Produtos!$E$2:$E$71,MATCH(C2317,Produtos!$A$2:$A$71,0)),0)</f>
        <v/>
      </c>
      <c r="R2317" s="27">
        <f>D2317*Q2317</f>
        <v/>
      </c>
      <c r="S2317" s="27">
        <f>R2317*E2317</f>
        <v/>
      </c>
      <c r="T2317" s="27">
        <f>(R2317-S2317)*M2317</f>
        <v/>
      </c>
      <c r="U2317" s="27">
        <f>R2317-S2317-T2317</f>
        <v/>
      </c>
      <c r="V2317" s="27">
        <f>D2317*P2317</f>
        <v/>
      </c>
      <c r="W2317" s="27">
        <f>U2317-V2317</f>
        <v/>
      </c>
      <c r="X2317" s="28">
        <f>IFERROR(W2317/U2317,0)</f>
        <v/>
      </c>
    </row>
    <row r="2318">
      <c r="A2318" s="21">
        <f>ItensPedido!A2318</f>
        <v/>
      </c>
      <c r="B2318" s="21">
        <f>ItensPedido!B2318</f>
        <v/>
      </c>
      <c r="C2318" s="21">
        <f>ItensPedido!C2318</f>
        <v/>
      </c>
      <c r="D2318" s="21">
        <f>ItensPedido!D2318</f>
        <v/>
      </c>
      <c r="E2318" s="22">
        <f>ItensPedido!E2318</f>
        <v/>
      </c>
      <c r="F2318" s="21">
        <f>IFERROR(INDEX(Pedidos!$B$2:$B$1801,MATCH(B2318,Pedidos!$A$2:$A$1801,0)),0)</f>
        <v/>
      </c>
      <c r="G2318" s="21">
        <f>IF(F2318=0,"",YEAR(F2318))</f>
        <v/>
      </c>
      <c r="H2318" s="21">
        <f>IF(F2318=0,"",MONTH(F2318))</f>
        <v/>
      </c>
      <c r="I2318" s="21">
        <f>IFERROR(INDEX(Pedidos!$E$2:$E$1801,MATCH(B2318,Pedidos!$A$2:$A$1801,0)),"")</f>
        <v/>
      </c>
      <c r="J2318" s="21">
        <f>IFERROR(INDEX(Pedidos!$C$2:$C$1801,MATCH(B2318,Pedidos!$A$2:$A$1801,0)),"")</f>
        <v/>
      </c>
      <c r="K2318" s="21">
        <f>IFERROR(INDEX(Pedidos!$D$2:$D$1801,MATCH(B2318,Pedidos!$A$2:$A$1801,0)),"")</f>
        <v/>
      </c>
      <c r="L2318" s="21">
        <f>IFERROR(INDEX(Pedidos!$F$2:$F$1801,MATCH(B2318,Pedidos!$A$2:$A$1801,0)),"")</f>
        <v/>
      </c>
      <c r="M2318" s="22">
        <f>IFERROR(INDEX(Pedidos!$G$2:$G$1801,MATCH(B2318,Pedidos!$A$2:$A$1801,0)),0)</f>
        <v/>
      </c>
      <c r="N2318" s="21">
        <f>IFERROR(INDEX(Produtos!$B$2:$B$71,MATCH(C2318,Produtos!$A$2:$A$71,0)),"")</f>
        <v/>
      </c>
      <c r="O2318" s="21">
        <f>IFERROR(INDEX(Produtos!$C$2:$C$71,MATCH(C2318,Produtos!$A$2:$A$71,0)),"")</f>
        <v/>
      </c>
      <c r="P2318" s="21">
        <f>IFERROR(INDEX(Produtos!$D$2:$D$71,MATCH(C2318,Produtos!$A$2:$A$71,0)),0)</f>
        <v/>
      </c>
      <c r="Q2318" s="21">
        <f>IFERROR(INDEX(Produtos!$E$2:$E$71,MATCH(C2318,Produtos!$A$2:$A$71,0)),0)</f>
        <v/>
      </c>
      <c r="R2318" s="23">
        <f>D2318*Q2318</f>
        <v/>
      </c>
      <c r="S2318" s="23">
        <f>R2318*E2318</f>
        <v/>
      </c>
      <c r="T2318" s="23">
        <f>(R2318-S2318)*M2318</f>
        <v/>
      </c>
      <c r="U2318" s="23">
        <f>R2318-S2318-T2318</f>
        <v/>
      </c>
      <c r="V2318" s="23">
        <f>D2318*P2318</f>
        <v/>
      </c>
      <c r="W2318" s="23">
        <f>U2318-V2318</f>
        <v/>
      </c>
      <c r="X2318" s="24">
        <f>IFERROR(W2318/U2318,0)</f>
        <v/>
      </c>
    </row>
    <row r="2319">
      <c r="A2319" s="25">
        <f>ItensPedido!A2319</f>
        <v/>
      </c>
      <c r="B2319" s="25">
        <f>ItensPedido!B2319</f>
        <v/>
      </c>
      <c r="C2319" s="25">
        <f>ItensPedido!C2319</f>
        <v/>
      </c>
      <c r="D2319" s="25">
        <f>ItensPedido!D2319</f>
        <v/>
      </c>
      <c r="E2319" s="26">
        <f>ItensPedido!E2319</f>
        <v/>
      </c>
      <c r="F2319" s="25">
        <f>IFERROR(INDEX(Pedidos!$B$2:$B$1801,MATCH(B2319,Pedidos!$A$2:$A$1801,0)),0)</f>
        <v/>
      </c>
      <c r="G2319" s="25">
        <f>IF(F2319=0,"",YEAR(F2319))</f>
        <v/>
      </c>
      <c r="H2319" s="25">
        <f>IF(F2319=0,"",MONTH(F2319))</f>
        <v/>
      </c>
      <c r="I2319" s="25">
        <f>IFERROR(INDEX(Pedidos!$E$2:$E$1801,MATCH(B2319,Pedidos!$A$2:$A$1801,0)),"")</f>
        <v/>
      </c>
      <c r="J2319" s="25">
        <f>IFERROR(INDEX(Pedidos!$C$2:$C$1801,MATCH(B2319,Pedidos!$A$2:$A$1801,0)),"")</f>
        <v/>
      </c>
      <c r="K2319" s="25">
        <f>IFERROR(INDEX(Pedidos!$D$2:$D$1801,MATCH(B2319,Pedidos!$A$2:$A$1801,0)),"")</f>
        <v/>
      </c>
      <c r="L2319" s="25">
        <f>IFERROR(INDEX(Pedidos!$F$2:$F$1801,MATCH(B2319,Pedidos!$A$2:$A$1801,0)),"")</f>
        <v/>
      </c>
      <c r="M2319" s="26">
        <f>IFERROR(INDEX(Pedidos!$G$2:$G$1801,MATCH(B2319,Pedidos!$A$2:$A$1801,0)),0)</f>
        <v/>
      </c>
      <c r="N2319" s="25">
        <f>IFERROR(INDEX(Produtos!$B$2:$B$71,MATCH(C2319,Produtos!$A$2:$A$71,0)),"")</f>
        <v/>
      </c>
      <c r="O2319" s="25">
        <f>IFERROR(INDEX(Produtos!$C$2:$C$71,MATCH(C2319,Produtos!$A$2:$A$71,0)),"")</f>
        <v/>
      </c>
      <c r="P2319" s="25">
        <f>IFERROR(INDEX(Produtos!$D$2:$D$71,MATCH(C2319,Produtos!$A$2:$A$71,0)),0)</f>
        <v/>
      </c>
      <c r="Q2319" s="25">
        <f>IFERROR(INDEX(Produtos!$E$2:$E$71,MATCH(C2319,Produtos!$A$2:$A$71,0)),0)</f>
        <v/>
      </c>
      <c r="R2319" s="27">
        <f>D2319*Q2319</f>
        <v/>
      </c>
      <c r="S2319" s="27">
        <f>R2319*E2319</f>
        <v/>
      </c>
      <c r="T2319" s="27">
        <f>(R2319-S2319)*M2319</f>
        <v/>
      </c>
      <c r="U2319" s="27">
        <f>R2319-S2319-T2319</f>
        <v/>
      </c>
      <c r="V2319" s="27">
        <f>D2319*P2319</f>
        <v/>
      </c>
      <c r="W2319" s="27">
        <f>U2319-V2319</f>
        <v/>
      </c>
      <c r="X2319" s="28">
        <f>IFERROR(W2319/U2319,0)</f>
        <v/>
      </c>
    </row>
    <row r="2320">
      <c r="A2320" s="21">
        <f>ItensPedido!A2320</f>
        <v/>
      </c>
      <c r="B2320" s="21">
        <f>ItensPedido!B2320</f>
        <v/>
      </c>
      <c r="C2320" s="21">
        <f>ItensPedido!C2320</f>
        <v/>
      </c>
      <c r="D2320" s="21">
        <f>ItensPedido!D2320</f>
        <v/>
      </c>
      <c r="E2320" s="22">
        <f>ItensPedido!E2320</f>
        <v/>
      </c>
      <c r="F2320" s="21">
        <f>IFERROR(INDEX(Pedidos!$B$2:$B$1801,MATCH(B2320,Pedidos!$A$2:$A$1801,0)),0)</f>
        <v/>
      </c>
      <c r="G2320" s="21">
        <f>IF(F2320=0,"",YEAR(F2320))</f>
        <v/>
      </c>
      <c r="H2320" s="21">
        <f>IF(F2320=0,"",MONTH(F2320))</f>
        <v/>
      </c>
      <c r="I2320" s="21">
        <f>IFERROR(INDEX(Pedidos!$E$2:$E$1801,MATCH(B2320,Pedidos!$A$2:$A$1801,0)),"")</f>
        <v/>
      </c>
      <c r="J2320" s="21">
        <f>IFERROR(INDEX(Pedidos!$C$2:$C$1801,MATCH(B2320,Pedidos!$A$2:$A$1801,0)),"")</f>
        <v/>
      </c>
      <c r="K2320" s="21">
        <f>IFERROR(INDEX(Pedidos!$D$2:$D$1801,MATCH(B2320,Pedidos!$A$2:$A$1801,0)),"")</f>
        <v/>
      </c>
      <c r="L2320" s="21">
        <f>IFERROR(INDEX(Pedidos!$F$2:$F$1801,MATCH(B2320,Pedidos!$A$2:$A$1801,0)),"")</f>
        <v/>
      </c>
      <c r="M2320" s="22">
        <f>IFERROR(INDEX(Pedidos!$G$2:$G$1801,MATCH(B2320,Pedidos!$A$2:$A$1801,0)),0)</f>
        <v/>
      </c>
      <c r="N2320" s="21">
        <f>IFERROR(INDEX(Produtos!$B$2:$B$71,MATCH(C2320,Produtos!$A$2:$A$71,0)),"")</f>
        <v/>
      </c>
      <c r="O2320" s="21">
        <f>IFERROR(INDEX(Produtos!$C$2:$C$71,MATCH(C2320,Produtos!$A$2:$A$71,0)),"")</f>
        <v/>
      </c>
      <c r="P2320" s="21">
        <f>IFERROR(INDEX(Produtos!$D$2:$D$71,MATCH(C2320,Produtos!$A$2:$A$71,0)),0)</f>
        <v/>
      </c>
      <c r="Q2320" s="21">
        <f>IFERROR(INDEX(Produtos!$E$2:$E$71,MATCH(C2320,Produtos!$A$2:$A$71,0)),0)</f>
        <v/>
      </c>
      <c r="R2320" s="23">
        <f>D2320*Q2320</f>
        <v/>
      </c>
      <c r="S2320" s="23">
        <f>R2320*E2320</f>
        <v/>
      </c>
      <c r="T2320" s="23">
        <f>(R2320-S2320)*M2320</f>
        <v/>
      </c>
      <c r="U2320" s="23">
        <f>R2320-S2320-T2320</f>
        <v/>
      </c>
      <c r="V2320" s="23">
        <f>D2320*P2320</f>
        <v/>
      </c>
      <c r="W2320" s="23">
        <f>U2320-V2320</f>
        <v/>
      </c>
      <c r="X2320" s="24">
        <f>IFERROR(W2320/U2320,0)</f>
        <v/>
      </c>
    </row>
    <row r="2321">
      <c r="A2321" s="25">
        <f>ItensPedido!A2321</f>
        <v/>
      </c>
      <c r="B2321" s="25">
        <f>ItensPedido!B2321</f>
        <v/>
      </c>
      <c r="C2321" s="25">
        <f>ItensPedido!C2321</f>
        <v/>
      </c>
      <c r="D2321" s="25">
        <f>ItensPedido!D2321</f>
        <v/>
      </c>
      <c r="E2321" s="26">
        <f>ItensPedido!E2321</f>
        <v/>
      </c>
      <c r="F2321" s="25">
        <f>IFERROR(INDEX(Pedidos!$B$2:$B$1801,MATCH(B2321,Pedidos!$A$2:$A$1801,0)),0)</f>
        <v/>
      </c>
      <c r="G2321" s="25">
        <f>IF(F2321=0,"",YEAR(F2321))</f>
        <v/>
      </c>
      <c r="H2321" s="25">
        <f>IF(F2321=0,"",MONTH(F2321))</f>
        <v/>
      </c>
      <c r="I2321" s="25">
        <f>IFERROR(INDEX(Pedidos!$E$2:$E$1801,MATCH(B2321,Pedidos!$A$2:$A$1801,0)),"")</f>
        <v/>
      </c>
      <c r="J2321" s="25">
        <f>IFERROR(INDEX(Pedidos!$C$2:$C$1801,MATCH(B2321,Pedidos!$A$2:$A$1801,0)),"")</f>
        <v/>
      </c>
      <c r="K2321" s="25">
        <f>IFERROR(INDEX(Pedidos!$D$2:$D$1801,MATCH(B2321,Pedidos!$A$2:$A$1801,0)),"")</f>
        <v/>
      </c>
      <c r="L2321" s="25">
        <f>IFERROR(INDEX(Pedidos!$F$2:$F$1801,MATCH(B2321,Pedidos!$A$2:$A$1801,0)),"")</f>
        <v/>
      </c>
      <c r="M2321" s="26">
        <f>IFERROR(INDEX(Pedidos!$G$2:$G$1801,MATCH(B2321,Pedidos!$A$2:$A$1801,0)),0)</f>
        <v/>
      </c>
      <c r="N2321" s="25">
        <f>IFERROR(INDEX(Produtos!$B$2:$B$71,MATCH(C2321,Produtos!$A$2:$A$71,0)),"")</f>
        <v/>
      </c>
      <c r="O2321" s="25">
        <f>IFERROR(INDEX(Produtos!$C$2:$C$71,MATCH(C2321,Produtos!$A$2:$A$71,0)),"")</f>
        <v/>
      </c>
      <c r="P2321" s="25">
        <f>IFERROR(INDEX(Produtos!$D$2:$D$71,MATCH(C2321,Produtos!$A$2:$A$71,0)),0)</f>
        <v/>
      </c>
      <c r="Q2321" s="25">
        <f>IFERROR(INDEX(Produtos!$E$2:$E$71,MATCH(C2321,Produtos!$A$2:$A$71,0)),0)</f>
        <v/>
      </c>
      <c r="R2321" s="27">
        <f>D2321*Q2321</f>
        <v/>
      </c>
      <c r="S2321" s="27">
        <f>R2321*E2321</f>
        <v/>
      </c>
      <c r="T2321" s="27">
        <f>(R2321-S2321)*M2321</f>
        <v/>
      </c>
      <c r="U2321" s="27">
        <f>R2321-S2321-T2321</f>
        <v/>
      </c>
      <c r="V2321" s="27">
        <f>D2321*P2321</f>
        <v/>
      </c>
      <c r="W2321" s="27">
        <f>U2321-V2321</f>
        <v/>
      </c>
      <c r="X2321" s="28">
        <f>IFERROR(W2321/U2321,0)</f>
        <v/>
      </c>
    </row>
    <row r="2322">
      <c r="A2322" s="21">
        <f>ItensPedido!A2322</f>
        <v/>
      </c>
      <c r="B2322" s="21">
        <f>ItensPedido!B2322</f>
        <v/>
      </c>
      <c r="C2322" s="21">
        <f>ItensPedido!C2322</f>
        <v/>
      </c>
      <c r="D2322" s="21">
        <f>ItensPedido!D2322</f>
        <v/>
      </c>
      <c r="E2322" s="22">
        <f>ItensPedido!E2322</f>
        <v/>
      </c>
      <c r="F2322" s="21">
        <f>IFERROR(INDEX(Pedidos!$B$2:$B$1801,MATCH(B2322,Pedidos!$A$2:$A$1801,0)),0)</f>
        <v/>
      </c>
      <c r="G2322" s="21">
        <f>IF(F2322=0,"",YEAR(F2322))</f>
        <v/>
      </c>
      <c r="H2322" s="21">
        <f>IF(F2322=0,"",MONTH(F2322))</f>
        <v/>
      </c>
      <c r="I2322" s="21">
        <f>IFERROR(INDEX(Pedidos!$E$2:$E$1801,MATCH(B2322,Pedidos!$A$2:$A$1801,0)),"")</f>
        <v/>
      </c>
      <c r="J2322" s="21">
        <f>IFERROR(INDEX(Pedidos!$C$2:$C$1801,MATCH(B2322,Pedidos!$A$2:$A$1801,0)),"")</f>
        <v/>
      </c>
      <c r="K2322" s="21">
        <f>IFERROR(INDEX(Pedidos!$D$2:$D$1801,MATCH(B2322,Pedidos!$A$2:$A$1801,0)),"")</f>
        <v/>
      </c>
      <c r="L2322" s="21">
        <f>IFERROR(INDEX(Pedidos!$F$2:$F$1801,MATCH(B2322,Pedidos!$A$2:$A$1801,0)),"")</f>
        <v/>
      </c>
      <c r="M2322" s="22">
        <f>IFERROR(INDEX(Pedidos!$G$2:$G$1801,MATCH(B2322,Pedidos!$A$2:$A$1801,0)),0)</f>
        <v/>
      </c>
      <c r="N2322" s="21">
        <f>IFERROR(INDEX(Produtos!$B$2:$B$71,MATCH(C2322,Produtos!$A$2:$A$71,0)),"")</f>
        <v/>
      </c>
      <c r="O2322" s="21">
        <f>IFERROR(INDEX(Produtos!$C$2:$C$71,MATCH(C2322,Produtos!$A$2:$A$71,0)),"")</f>
        <v/>
      </c>
      <c r="P2322" s="21">
        <f>IFERROR(INDEX(Produtos!$D$2:$D$71,MATCH(C2322,Produtos!$A$2:$A$71,0)),0)</f>
        <v/>
      </c>
      <c r="Q2322" s="21">
        <f>IFERROR(INDEX(Produtos!$E$2:$E$71,MATCH(C2322,Produtos!$A$2:$A$71,0)),0)</f>
        <v/>
      </c>
      <c r="R2322" s="23">
        <f>D2322*Q2322</f>
        <v/>
      </c>
      <c r="S2322" s="23">
        <f>R2322*E2322</f>
        <v/>
      </c>
      <c r="T2322" s="23">
        <f>(R2322-S2322)*M2322</f>
        <v/>
      </c>
      <c r="U2322" s="23">
        <f>R2322-S2322-T2322</f>
        <v/>
      </c>
      <c r="V2322" s="23">
        <f>D2322*P2322</f>
        <v/>
      </c>
      <c r="W2322" s="23">
        <f>U2322-V2322</f>
        <v/>
      </c>
      <c r="X2322" s="24">
        <f>IFERROR(W2322/U2322,0)</f>
        <v/>
      </c>
    </row>
    <row r="2323">
      <c r="A2323" s="25">
        <f>ItensPedido!A2323</f>
        <v/>
      </c>
      <c r="B2323" s="25">
        <f>ItensPedido!B2323</f>
        <v/>
      </c>
      <c r="C2323" s="25">
        <f>ItensPedido!C2323</f>
        <v/>
      </c>
      <c r="D2323" s="25">
        <f>ItensPedido!D2323</f>
        <v/>
      </c>
      <c r="E2323" s="26">
        <f>ItensPedido!E2323</f>
        <v/>
      </c>
      <c r="F2323" s="25">
        <f>IFERROR(INDEX(Pedidos!$B$2:$B$1801,MATCH(B2323,Pedidos!$A$2:$A$1801,0)),0)</f>
        <v/>
      </c>
      <c r="G2323" s="25">
        <f>IF(F2323=0,"",YEAR(F2323))</f>
        <v/>
      </c>
      <c r="H2323" s="25">
        <f>IF(F2323=0,"",MONTH(F2323))</f>
        <v/>
      </c>
      <c r="I2323" s="25">
        <f>IFERROR(INDEX(Pedidos!$E$2:$E$1801,MATCH(B2323,Pedidos!$A$2:$A$1801,0)),"")</f>
        <v/>
      </c>
      <c r="J2323" s="25">
        <f>IFERROR(INDEX(Pedidos!$C$2:$C$1801,MATCH(B2323,Pedidos!$A$2:$A$1801,0)),"")</f>
        <v/>
      </c>
      <c r="K2323" s="25">
        <f>IFERROR(INDEX(Pedidos!$D$2:$D$1801,MATCH(B2323,Pedidos!$A$2:$A$1801,0)),"")</f>
        <v/>
      </c>
      <c r="L2323" s="25">
        <f>IFERROR(INDEX(Pedidos!$F$2:$F$1801,MATCH(B2323,Pedidos!$A$2:$A$1801,0)),"")</f>
        <v/>
      </c>
      <c r="M2323" s="26">
        <f>IFERROR(INDEX(Pedidos!$G$2:$G$1801,MATCH(B2323,Pedidos!$A$2:$A$1801,0)),0)</f>
        <v/>
      </c>
      <c r="N2323" s="25">
        <f>IFERROR(INDEX(Produtos!$B$2:$B$71,MATCH(C2323,Produtos!$A$2:$A$71,0)),"")</f>
        <v/>
      </c>
      <c r="O2323" s="25">
        <f>IFERROR(INDEX(Produtos!$C$2:$C$71,MATCH(C2323,Produtos!$A$2:$A$71,0)),"")</f>
        <v/>
      </c>
      <c r="P2323" s="25">
        <f>IFERROR(INDEX(Produtos!$D$2:$D$71,MATCH(C2323,Produtos!$A$2:$A$71,0)),0)</f>
        <v/>
      </c>
      <c r="Q2323" s="25">
        <f>IFERROR(INDEX(Produtos!$E$2:$E$71,MATCH(C2323,Produtos!$A$2:$A$71,0)),0)</f>
        <v/>
      </c>
      <c r="R2323" s="27">
        <f>D2323*Q2323</f>
        <v/>
      </c>
      <c r="S2323" s="27">
        <f>R2323*E2323</f>
        <v/>
      </c>
      <c r="T2323" s="27">
        <f>(R2323-S2323)*M2323</f>
        <v/>
      </c>
      <c r="U2323" s="27">
        <f>R2323-S2323-T2323</f>
        <v/>
      </c>
      <c r="V2323" s="27">
        <f>D2323*P2323</f>
        <v/>
      </c>
      <c r="W2323" s="27">
        <f>U2323-V2323</f>
        <v/>
      </c>
      <c r="X2323" s="28">
        <f>IFERROR(W2323/U2323,0)</f>
        <v/>
      </c>
    </row>
    <row r="2324">
      <c r="A2324" s="21">
        <f>ItensPedido!A2324</f>
        <v/>
      </c>
      <c r="B2324" s="21">
        <f>ItensPedido!B2324</f>
        <v/>
      </c>
      <c r="C2324" s="21">
        <f>ItensPedido!C2324</f>
        <v/>
      </c>
      <c r="D2324" s="21">
        <f>ItensPedido!D2324</f>
        <v/>
      </c>
      <c r="E2324" s="22">
        <f>ItensPedido!E2324</f>
        <v/>
      </c>
      <c r="F2324" s="21">
        <f>IFERROR(INDEX(Pedidos!$B$2:$B$1801,MATCH(B2324,Pedidos!$A$2:$A$1801,0)),0)</f>
        <v/>
      </c>
      <c r="G2324" s="21">
        <f>IF(F2324=0,"",YEAR(F2324))</f>
        <v/>
      </c>
      <c r="H2324" s="21">
        <f>IF(F2324=0,"",MONTH(F2324))</f>
        <v/>
      </c>
      <c r="I2324" s="21">
        <f>IFERROR(INDEX(Pedidos!$E$2:$E$1801,MATCH(B2324,Pedidos!$A$2:$A$1801,0)),"")</f>
        <v/>
      </c>
      <c r="J2324" s="21">
        <f>IFERROR(INDEX(Pedidos!$C$2:$C$1801,MATCH(B2324,Pedidos!$A$2:$A$1801,0)),"")</f>
        <v/>
      </c>
      <c r="K2324" s="21">
        <f>IFERROR(INDEX(Pedidos!$D$2:$D$1801,MATCH(B2324,Pedidos!$A$2:$A$1801,0)),"")</f>
        <v/>
      </c>
      <c r="L2324" s="21">
        <f>IFERROR(INDEX(Pedidos!$F$2:$F$1801,MATCH(B2324,Pedidos!$A$2:$A$1801,0)),"")</f>
        <v/>
      </c>
      <c r="M2324" s="22">
        <f>IFERROR(INDEX(Pedidos!$G$2:$G$1801,MATCH(B2324,Pedidos!$A$2:$A$1801,0)),0)</f>
        <v/>
      </c>
      <c r="N2324" s="21">
        <f>IFERROR(INDEX(Produtos!$B$2:$B$71,MATCH(C2324,Produtos!$A$2:$A$71,0)),"")</f>
        <v/>
      </c>
      <c r="O2324" s="21">
        <f>IFERROR(INDEX(Produtos!$C$2:$C$71,MATCH(C2324,Produtos!$A$2:$A$71,0)),"")</f>
        <v/>
      </c>
      <c r="P2324" s="21">
        <f>IFERROR(INDEX(Produtos!$D$2:$D$71,MATCH(C2324,Produtos!$A$2:$A$71,0)),0)</f>
        <v/>
      </c>
      <c r="Q2324" s="21">
        <f>IFERROR(INDEX(Produtos!$E$2:$E$71,MATCH(C2324,Produtos!$A$2:$A$71,0)),0)</f>
        <v/>
      </c>
      <c r="R2324" s="23">
        <f>D2324*Q2324</f>
        <v/>
      </c>
      <c r="S2324" s="23">
        <f>R2324*E2324</f>
        <v/>
      </c>
      <c r="T2324" s="23">
        <f>(R2324-S2324)*M2324</f>
        <v/>
      </c>
      <c r="U2324" s="23">
        <f>R2324-S2324-T2324</f>
        <v/>
      </c>
      <c r="V2324" s="23">
        <f>D2324*P2324</f>
        <v/>
      </c>
      <c r="W2324" s="23">
        <f>U2324-V2324</f>
        <v/>
      </c>
      <c r="X2324" s="24">
        <f>IFERROR(W2324/U2324,0)</f>
        <v/>
      </c>
    </row>
    <row r="2325">
      <c r="A2325" s="25">
        <f>ItensPedido!A2325</f>
        <v/>
      </c>
      <c r="B2325" s="25">
        <f>ItensPedido!B2325</f>
        <v/>
      </c>
      <c r="C2325" s="25">
        <f>ItensPedido!C2325</f>
        <v/>
      </c>
      <c r="D2325" s="25">
        <f>ItensPedido!D2325</f>
        <v/>
      </c>
      <c r="E2325" s="26">
        <f>ItensPedido!E2325</f>
        <v/>
      </c>
      <c r="F2325" s="25">
        <f>IFERROR(INDEX(Pedidos!$B$2:$B$1801,MATCH(B2325,Pedidos!$A$2:$A$1801,0)),0)</f>
        <v/>
      </c>
      <c r="G2325" s="25">
        <f>IF(F2325=0,"",YEAR(F2325))</f>
        <v/>
      </c>
      <c r="H2325" s="25">
        <f>IF(F2325=0,"",MONTH(F2325))</f>
        <v/>
      </c>
      <c r="I2325" s="25">
        <f>IFERROR(INDEX(Pedidos!$E$2:$E$1801,MATCH(B2325,Pedidos!$A$2:$A$1801,0)),"")</f>
        <v/>
      </c>
      <c r="J2325" s="25">
        <f>IFERROR(INDEX(Pedidos!$C$2:$C$1801,MATCH(B2325,Pedidos!$A$2:$A$1801,0)),"")</f>
        <v/>
      </c>
      <c r="K2325" s="25">
        <f>IFERROR(INDEX(Pedidos!$D$2:$D$1801,MATCH(B2325,Pedidos!$A$2:$A$1801,0)),"")</f>
        <v/>
      </c>
      <c r="L2325" s="25">
        <f>IFERROR(INDEX(Pedidos!$F$2:$F$1801,MATCH(B2325,Pedidos!$A$2:$A$1801,0)),"")</f>
        <v/>
      </c>
      <c r="M2325" s="26">
        <f>IFERROR(INDEX(Pedidos!$G$2:$G$1801,MATCH(B2325,Pedidos!$A$2:$A$1801,0)),0)</f>
        <v/>
      </c>
      <c r="N2325" s="25">
        <f>IFERROR(INDEX(Produtos!$B$2:$B$71,MATCH(C2325,Produtos!$A$2:$A$71,0)),"")</f>
        <v/>
      </c>
      <c r="O2325" s="25">
        <f>IFERROR(INDEX(Produtos!$C$2:$C$71,MATCH(C2325,Produtos!$A$2:$A$71,0)),"")</f>
        <v/>
      </c>
      <c r="P2325" s="25">
        <f>IFERROR(INDEX(Produtos!$D$2:$D$71,MATCH(C2325,Produtos!$A$2:$A$71,0)),0)</f>
        <v/>
      </c>
      <c r="Q2325" s="25">
        <f>IFERROR(INDEX(Produtos!$E$2:$E$71,MATCH(C2325,Produtos!$A$2:$A$71,0)),0)</f>
        <v/>
      </c>
      <c r="R2325" s="27">
        <f>D2325*Q2325</f>
        <v/>
      </c>
      <c r="S2325" s="27">
        <f>R2325*E2325</f>
        <v/>
      </c>
      <c r="T2325" s="27">
        <f>(R2325-S2325)*M2325</f>
        <v/>
      </c>
      <c r="U2325" s="27">
        <f>R2325-S2325-T2325</f>
        <v/>
      </c>
      <c r="V2325" s="27">
        <f>D2325*P2325</f>
        <v/>
      </c>
      <c r="W2325" s="27">
        <f>U2325-V2325</f>
        <v/>
      </c>
      <c r="X2325" s="28">
        <f>IFERROR(W2325/U2325,0)</f>
        <v/>
      </c>
    </row>
    <row r="2326">
      <c r="A2326" s="21">
        <f>ItensPedido!A2326</f>
        <v/>
      </c>
      <c r="B2326" s="21">
        <f>ItensPedido!B2326</f>
        <v/>
      </c>
      <c r="C2326" s="21">
        <f>ItensPedido!C2326</f>
        <v/>
      </c>
      <c r="D2326" s="21">
        <f>ItensPedido!D2326</f>
        <v/>
      </c>
      <c r="E2326" s="22">
        <f>ItensPedido!E2326</f>
        <v/>
      </c>
      <c r="F2326" s="21">
        <f>IFERROR(INDEX(Pedidos!$B$2:$B$1801,MATCH(B2326,Pedidos!$A$2:$A$1801,0)),0)</f>
        <v/>
      </c>
      <c r="G2326" s="21">
        <f>IF(F2326=0,"",YEAR(F2326))</f>
        <v/>
      </c>
      <c r="H2326" s="21">
        <f>IF(F2326=0,"",MONTH(F2326))</f>
        <v/>
      </c>
      <c r="I2326" s="21">
        <f>IFERROR(INDEX(Pedidos!$E$2:$E$1801,MATCH(B2326,Pedidos!$A$2:$A$1801,0)),"")</f>
        <v/>
      </c>
      <c r="J2326" s="21">
        <f>IFERROR(INDEX(Pedidos!$C$2:$C$1801,MATCH(B2326,Pedidos!$A$2:$A$1801,0)),"")</f>
        <v/>
      </c>
      <c r="K2326" s="21">
        <f>IFERROR(INDEX(Pedidos!$D$2:$D$1801,MATCH(B2326,Pedidos!$A$2:$A$1801,0)),"")</f>
        <v/>
      </c>
      <c r="L2326" s="21">
        <f>IFERROR(INDEX(Pedidos!$F$2:$F$1801,MATCH(B2326,Pedidos!$A$2:$A$1801,0)),"")</f>
        <v/>
      </c>
      <c r="M2326" s="22">
        <f>IFERROR(INDEX(Pedidos!$G$2:$G$1801,MATCH(B2326,Pedidos!$A$2:$A$1801,0)),0)</f>
        <v/>
      </c>
      <c r="N2326" s="21">
        <f>IFERROR(INDEX(Produtos!$B$2:$B$71,MATCH(C2326,Produtos!$A$2:$A$71,0)),"")</f>
        <v/>
      </c>
      <c r="O2326" s="21">
        <f>IFERROR(INDEX(Produtos!$C$2:$C$71,MATCH(C2326,Produtos!$A$2:$A$71,0)),"")</f>
        <v/>
      </c>
      <c r="P2326" s="21">
        <f>IFERROR(INDEX(Produtos!$D$2:$D$71,MATCH(C2326,Produtos!$A$2:$A$71,0)),0)</f>
        <v/>
      </c>
      <c r="Q2326" s="21">
        <f>IFERROR(INDEX(Produtos!$E$2:$E$71,MATCH(C2326,Produtos!$A$2:$A$71,0)),0)</f>
        <v/>
      </c>
      <c r="R2326" s="23">
        <f>D2326*Q2326</f>
        <v/>
      </c>
      <c r="S2326" s="23">
        <f>R2326*E2326</f>
        <v/>
      </c>
      <c r="T2326" s="23">
        <f>(R2326-S2326)*M2326</f>
        <v/>
      </c>
      <c r="U2326" s="23">
        <f>R2326-S2326-T2326</f>
        <v/>
      </c>
      <c r="V2326" s="23">
        <f>D2326*P2326</f>
        <v/>
      </c>
      <c r="W2326" s="23">
        <f>U2326-V2326</f>
        <v/>
      </c>
      <c r="X2326" s="24">
        <f>IFERROR(W2326/U2326,0)</f>
        <v/>
      </c>
    </row>
    <row r="2327">
      <c r="A2327" s="25">
        <f>ItensPedido!A2327</f>
        <v/>
      </c>
      <c r="B2327" s="25">
        <f>ItensPedido!B2327</f>
        <v/>
      </c>
      <c r="C2327" s="25">
        <f>ItensPedido!C2327</f>
        <v/>
      </c>
      <c r="D2327" s="25">
        <f>ItensPedido!D2327</f>
        <v/>
      </c>
      <c r="E2327" s="26">
        <f>ItensPedido!E2327</f>
        <v/>
      </c>
      <c r="F2327" s="25">
        <f>IFERROR(INDEX(Pedidos!$B$2:$B$1801,MATCH(B2327,Pedidos!$A$2:$A$1801,0)),0)</f>
        <v/>
      </c>
      <c r="G2327" s="25">
        <f>IF(F2327=0,"",YEAR(F2327))</f>
        <v/>
      </c>
      <c r="H2327" s="25">
        <f>IF(F2327=0,"",MONTH(F2327))</f>
        <v/>
      </c>
      <c r="I2327" s="25">
        <f>IFERROR(INDEX(Pedidos!$E$2:$E$1801,MATCH(B2327,Pedidos!$A$2:$A$1801,0)),"")</f>
        <v/>
      </c>
      <c r="J2327" s="25">
        <f>IFERROR(INDEX(Pedidos!$C$2:$C$1801,MATCH(B2327,Pedidos!$A$2:$A$1801,0)),"")</f>
        <v/>
      </c>
      <c r="K2327" s="25">
        <f>IFERROR(INDEX(Pedidos!$D$2:$D$1801,MATCH(B2327,Pedidos!$A$2:$A$1801,0)),"")</f>
        <v/>
      </c>
      <c r="L2327" s="25">
        <f>IFERROR(INDEX(Pedidos!$F$2:$F$1801,MATCH(B2327,Pedidos!$A$2:$A$1801,0)),"")</f>
        <v/>
      </c>
      <c r="M2327" s="26">
        <f>IFERROR(INDEX(Pedidos!$G$2:$G$1801,MATCH(B2327,Pedidos!$A$2:$A$1801,0)),0)</f>
        <v/>
      </c>
      <c r="N2327" s="25">
        <f>IFERROR(INDEX(Produtos!$B$2:$B$71,MATCH(C2327,Produtos!$A$2:$A$71,0)),"")</f>
        <v/>
      </c>
      <c r="O2327" s="25">
        <f>IFERROR(INDEX(Produtos!$C$2:$C$71,MATCH(C2327,Produtos!$A$2:$A$71,0)),"")</f>
        <v/>
      </c>
      <c r="P2327" s="25">
        <f>IFERROR(INDEX(Produtos!$D$2:$D$71,MATCH(C2327,Produtos!$A$2:$A$71,0)),0)</f>
        <v/>
      </c>
      <c r="Q2327" s="25">
        <f>IFERROR(INDEX(Produtos!$E$2:$E$71,MATCH(C2327,Produtos!$A$2:$A$71,0)),0)</f>
        <v/>
      </c>
      <c r="R2327" s="27">
        <f>D2327*Q2327</f>
        <v/>
      </c>
      <c r="S2327" s="27">
        <f>R2327*E2327</f>
        <v/>
      </c>
      <c r="T2327" s="27">
        <f>(R2327-S2327)*M2327</f>
        <v/>
      </c>
      <c r="U2327" s="27">
        <f>R2327-S2327-T2327</f>
        <v/>
      </c>
      <c r="V2327" s="27">
        <f>D2327*P2327</f>
        <v/>
      </c>
      <c r="W2327" s="27">
        <f>U2327-V2327</f>
        <v/>
      </c>
      <c r="X2327" s="28">
        <f>IFERROR(W2327/U2327,0)</f>
        <v/>
      </c>
    </row>
    <row r="2328">
      <c r="A2328" s="21">
        <f>ItensPedido!A2328</f>
        <v/>
      </c>
      <c r="B2328" s="21">
        <f>ItensPedido!B2328</f>
        <v/>
      </c>
      <c r="C2328" s="21">
        <f>ItensPedido!C2328</f>
        <v/>
      </c>
      <c r="D2328" s="21">
        <f>ItensPedido!D2328</f>
        <v/>
      </c>
      <c r="E2328" s="22">
        <f>ItensPedido!E2328</f>
        <v/>
      </c>
      <c r="F2328" s="21">
        <f>IFERROR(INDEX(Pedidos!$B$2:$B$1801,MATCH(B2328,Pedidos!$A$2:$A$1801,0)),0)</f>
        <v/>
      </c>
      <c r="G2328" s="21">
        <f>IF(F2328=0,"",YEAR(F2328))</f>
        <v/>
      </c>
      <c r="H2328" s="21">
        <f>IF(F2328=0,"",MONTH(F2328))</f>
        <v/>
      </c>
      <c r="I2328" s="21">
        <f>IFERROR(INDEX(Pedidos!$E$2:$E$1801,MATCH(B2328,Pedidos!$A$2:$A$1801,0)),"")</f>
        <v/>
      </c>
      <c r="J2328" s="21">
        <f>IFERROR(INDEX(Pedidos!$C$2:$C$1801,MATCH(B2328,Pedidos!$A$2:$A$1801,0)),"")</f>
        <v/>
      </c>
      <c r="K2328" s="21">
        <f>IFERROR(INDEX(Pedidos!$D$2:$D$1801,MATCH(B2328,Pedidos!$A$2:$A$1801,0)),"")</f>
        <v/>
      </c>
      <c r="L2328" s="21">
        <f>IFERROR(INDEX(Pedidos!$F$2:$F$1801,MATCH(B2328,Pedidos!$A$2:$A$1801,0)),"")</f>
        <v/>
      </c>
      <c r="M2328" s="22">
        <f>IFERROR(INDEX(Pedidos!$G$2:$G$1801,MATCH(B2328,Pedidos!$A$2:$A$1801,0)),0)</f>
        <v/>
      </c>
      <c r="N2328" s="21">
        <f>IFERROR(INDEX(Produtos!$B$2:$B$71,MATCH(C2328,Produtos!$A$2:$A$71,0)),"")</f>
        <v/>
      </c>
      <c r="O2328" s="21">
        <f>IFERROR(INDEX(Produtos!$C$2:$C$71,MATCH(C2328,Produtos!$A$2:$A$71,0)),"")</f>
        <v/>
      </c>
      <c r="P2328" s="21">
        <f>IFERROR(INDEX(Produtos!$D$2:$D$71,MATCH(C2328,Produtos!$A$2:$A$71,0)),0)</f>
        <v/>
      </c>
      <c r="Q2328" s="21">
        <f>IFERROR(INDEX(Produtos!$E$2:$E$71,MATCH(C2328,Produtos!$A$2:$A$71,0)),0)</f>
        <v/>
      </c>
      <c r="R2328" s="23">
        <f>D2328*Q2328</f>
        <v/>
      </c>
      <c r="S2328" s="23">
        <f>R2328*E2328</f>
        <v/>
      </c>
      <c r="T2328" s="23">
        <f>(R2328-S2328)*M2328</f>
        <v/>
      </c>
      <c r="U2328" s="23">
        <f>R2328-S2328-T2328</f>
        <v/>
      </c>
      <c r="V2328" s="23">
        <f>D2328*P2328</f>
        <v/>
      </c>
      <c r="W2328" s="23">
        <f>U2328-V2328</f>
        <v/>
      </c>
      <c r="X2328" s="24">
        <f>IFERROR(W2328/U2328,0)</f>
        <v/>
      </c>
    </row>
    <row r="2329">
      <c r="A2329" s="25">
        <f>ItensPedido!A2329</f>
        <v/>
      </c>
      <c r="B2329" s="25">
        <f>ItensPedido!B2329</f>
        <v/>
      </c>
      <c r="C2329" s="25">
        <f>ItensPedido!C2329</f>
        <v/>
      </c>
      <c r="D2329" s="25">
        <f>ItensPedido!D2329</f>
        <v/>
      </c>
      <c r="E2329" s="26">
        <f>ItensPedido!E2329</f>
        <v/>
      </c>
      <c r="F2329" s="25">
        <f>IFERROR(INDEX(Pedidos!$B$2:$B$1801,MATCH(B2329,Pedidos!$A$2:$A$1801,0)),0)</f>
        <v/>
      </c>
      <c r="G2329" s="25">
        <f>IF(F2329=0,"",YEAR(F2329))</f>
        <v/>
      </c>
      <c r="H2329" s="25">
        <f>IF(F2329=0,"",MONTH(F2329))</f>
        <v/>
      </c>
      <c r="I2329" s="25">
        <f>IFERROR(INDEX(Pedidos!$E$2:$E$1801,MATCH(B2329,Pedidos!$A$2:$A$1801,0)),"")</f>
        <v/>
      </c>
      <c r="J2329" s="25">
        <f>IFERROR(INDEX(Pedidos!$C$2:$C$1801,MATCH(B2329,Pedidos!$A$2:$A$1801,0)),"")</f>
        <v/>
      </c>
      <c r="K2329" s="25">
        <f>IFERROR(INDEX(Pedidos!$D$2:$D$1801,MATCH(B2329,Pedidos!$A$2:$A$1801,0)),"")</f>
        <v/>
      </c>
      <c r="L2329" s="25">
        <f>IFERROR(INDEX(Pedidos!$F$2:$F$1801,MATCH(B2329,Pedidos!$A$2:$A$1801,0)),"")</f>
        <v/>
      </c>
      <c r="M2329" s="26">
        <f>IFERROR(INDEX(Pedidos!$G$2:$G$1801,MATCH(B2329,Pedidos!$A$2:$A$1801,0)),0)</f>
        <v/>
      </c>
      <c r="N2329" s="25">
        <f>IFERROR(INDEX(Produtos!$B$2:$B$71,MATCH(C2329,Produtos!$A$2:$A$71,0)),"")</f>
        <v/>
      </c>
      <c r="O2329" s="25">
        <f>IFERROR(INDEX(Produtos!$C$2:$C$71,MATCH(C2329,Produtos!$A$2:$A$71,0)),"")</f>
        <v/>
      </c>
      <c r="P2329" s="25">
        <f>IFERROR(INDEX(Produtos!$D$2:$D$71,MATCH(C2329,Produtos!$A$2:$A$71,0)),0)</f>
        <v/>
      </c>
      <c r="Q2329" s="25">
        <f>IFERROR(INDEX(Produtos!$E$2:$E$71,MATCH(C2329,Produtos!$A$2:$A$71,0)),0)</f>
        <v/>
      </c>
      <c r="R2329" s="27">
        <f>D2329*Q2329</f>
        <v/>
      </c>
      <c r="S2329" s="27">
        <f>R2329*E2329</f>
        <v/>
      </c>
      <c r="T2329" s="27">
        <f>(R2329-S2329)*M2329</f>
        <v/>
      </c>
      <c r="U2329" s="27">
        <f>R2329-S2329-T2329</f>
        <v/>
      </c>
      <c r="V2329" s="27">
        <f>D2329*P2329</f>
        <v/>
      </c>
      <c r="W2329" s="27">
        <f>U2329-V2329</f>
        <v/>
      </c>
      <c r="X2329" s="28">
        <f>IFERROR(W2329/U2329,0)</f>
        <v/>
      </c>
    </row>
    <row r="2330">
      <c r="A2330" s="21">
        <f>ItensPedido!A2330</f>
        <v/>
      </c>
      <c r="B2330" s="21">
        <f>ItensPedido!B2330</f>
        <v/>
      </c>
      <c r="C2330" s="21">
        <f>ItensPedido!C2330</f>
        <v/>
      </c>
      <c r="D2330" s="21">
        <f>ItensPedido!D2330</f>
        <v/>
      </c>
      <c r="E2330" s="22">
        <f>ItensPedido!E2330</f>
        <v/>
      </c>
      <c r="F2330" s="21">
        <f>IFERROR(INDEX(Pedidos!$B$2:$B$1801,MATCH(B2330,Pedidos!$A$2:$A$1801,0)),0)</f>
        <v/>
      </c>
      <c r="G2330" s="21">
        <f>IF(F2330=0,"",YEAR(F2330))</f>
        <v/>
      </c>
      <c r="H2330" s="21">
        <f>IF(F2330=0,"",MONTH(F2330))</f>
        <v/>
      </c>
      <c r="I2330" s="21">
        <f>IFERROR(INDEX(Pedidos!$E$2:$E$1801,MATCH(B2330,Pedidos!$A$2:$A$1801,0)),"")</f>
        <v/>
      </c>
      <c r="J2330" s="21">
        <f>IFERROR(INDEX(Pedidos!$C$2:$C$1801,MATCH(B2330,Pedidos!$A$2:$A$1801,0)),"")</f>
        <v/>
      </c>
      <c r="K2330" s="21">
        <f>IFERROR(INDEX(Pedidos!$D$2:$D$1801,MATCH(B2330,Pedidos!$A$2:$A$1801,0)),"")</f>
        <v/>
      </c>
      <c r="L2330" s="21">
        <f>IFERROR(INDEX(Pedidos!$F$2:$F$1801,MATCH(B2330,Pedidos!$A$2:$A$1801,0)),"")</f>
        <v/>
      </c>
      <c r="M2330" s="22">
        <f>IFERROR(INDEX(Pedidos!$G$2:$G$1801,MATCH(B2330,Pedidos!$A$2:$A$1801,0)),0)</f>
        <v/>
      </c>
      <c r="N2330" s="21">
        <f>IFERROR(INDEX(Produtos!$B$2:$B$71,MATCH(C2330,Produtos!$A$2:$A$71,0)),"")</f>
        <v/>
      </c>
      <c r="O2330" s="21">
        <f>IFERROR(INDEX(Produtos!$C$2:$C$71,MATCH(C2330,Produtos!$A$2:$A$71,0)),"")</f>
        <v/>
      </c>
      <c r="P2330" s="21">
        <f>IFERROR(INDEX(Produtos!$D$2:$D$71,MATCH(C2330,Produtos!$A$2:$A$71,0)),0)</f>
        <v/>
      </c>
      <c r="Q2330" s="21">
        <f>IFERROR(INDEX(Produtos!$E$2:$E$71,MATCH(C2330,Produtos!$A$2:$A$71,0)),0)</f>
        <v/>
      </c>
      <c r="R2330" s="23">
        <f>D2330*Q2330</f>
        <v/>
      </c>
      <c r="S2330" s="23">
        <f>R2330*E2330</f>
        <v/>
      </c>
      <c r="T2330" s="23">
        <f>(R2330-S2330)*M2330</f>
        <v/>
      </c>
      <c r="U2330" s="23">
        <f>R2330-S2330-T2330</f>
        <v/>
      </c>
      <c r="V2330" s="23">
        <f>D2330*P2330</f>
        <v/>
      </c>
      <c r="W2330" s="23">
        <f>U2330-V2330</f>
        <v/>
      </c>
      <c r="X2330" s="24">
        <f>IFERROR(W2330/U2330,0)</f>
        <v/>
      </c>
    </row>
    <row r="2331">
      <c r="A2331" s="25">
        <f>ItensPedido!A2331</f>
        <v/>
      </c>
      <c r="B2331" s="25">
        <f>ItensPedido!B2331</f>
        <v/>
      </c>
      <c r="C2331" s="25">
        <f>ItensPedido!C2331</f>
        <v/>
      </c>
      <c r="D2331" s="25">
        <f>ItensPedido!D2331</f>
        <v/>
      </c>
      <c r="E2331" s="26">
        <f>ItensPedido!E2331</f>
        <v/>
      </c>
      <c r="F2331" s="25">
        <f>IFERROR(INDEX(Pedidos!$B$2:$B$1801,MATCH(B2331,Pedidos!$A$2:$A$1801,0)),0)</f>
        <v/>
      </c>
      <c r="G2331" s="25">
        <f>IF(F2331=0,"",YEAR(F2331))</f>
        <v/>
      </c>
      <c r="H2331" s="25">
        <f>IF(F2331=0,"",MONTH(F2331))</f>
        <v/>
      </c>
      <c r="I2331" s="25">
        <f>IFERROR(INDEX(Pedidos!$E$2:$E$1801,MATCH(B2331,Pedidos!$A$2:$A$1801,0)),"")</f>
        <v/>
      </c>
      <c r="J2331" s="25">
        <f>IFERROR(INDEX(Pedidos!$C$2:$C$1801,MATCH(B2331,Pedidos!$A$2:$A$1801,0)),"")</f>
        <v/>
      </c>
      <c r="K2331" s="25">
        <f>IFERROR(INDEX(Pedidos!$D$2:$D$1801,MATCH(B2331,Pedidos!$A$2:$A$1801,0)),"")</f>
        <v/>
      </c>
      <c r="L2331" s="25">
        <f>IFERROR(INDEX(Pedidos!$F$2:$F$1801,MATCH(B2331,Pedidos!$A$2:$A$1801,0)),"")</f>
        <v/>
      </c>
      <c r="M2331" s="26">
        <f>IFERROR(INDEX(Pedidos!$G$2:$G$1801,MATCH(B2331,Pedidos!$A$2:$A$1801,0)),0)</f>
        <v/>
      </c>
      <c r="N2331" s="25">
        <f>IFERROR(INDEX(Produtos!$B$2:$B$71,MATCH(C2331,Produtos!$A$2:$A$71,0)),"")</f>
        <v/>
      </c>
      <c r="O2331" s="25">
        <f>IFERROR(INDEX(Produtos!$C$2:$C$71,MATCH(C2331,Produtos!$A$2:$A$71,0)),"")</f>
        <v/>
      </c>
      <c r="P2331" s="25">
        <f>IFERROR(INDEX(Produtos!$D$2:$D$71,MATCH(C2331,Produtos!$A$2:$A$71,0)),0)</f>
        <v/>
      </c>
      <c r="Q2331" s="25">
        <f>IFERROR(INDEX(Produtos!$E$2:$E$71,MATCH(C2331,Produtos!$A$2:$A$71,0)),0)</f>
        <v/>
      </c>
      <c r="R2331" s="27">
        <f>D2331*Q2331</f>
        <v/>
      </c>
      <c r="S2331" s="27">
        <f>R2331*E2331</f>
        <v/>
      </c>
      <c r="T2331" s="27">
        <f>(R2331-S2331)*M2331</f>
        <v/>
      </c>
      <c r="U2331" s="27">
        <f>R2331-S2331-T2331</f>
        <v/>
      </c>
      <c r="V2331" s="27">
        <f>D2331*P2331</f>
        <v/>
      </c>
      <c r="W2331" s="27">
        <f>U2331-V2331</f>
        <v/>
      </c>
      <c r="X2331" s="28">
        <f>IFERROR(W2331/U2331,0)</f>
        <v/>
      </c>
    </row>
    <row r="2332">
      <c r="A2332" s="21">
        <f>ItensPedido!A2332</f>
        <v/>
      </c>
      <c r="B2332" s="21">
        <f>ItensPedido!B2332</f>
        <v/>
      </c>
      <c r="C2332" s="21">
        <f>ItensPedido!C2332</f>
        <v/>
      </c>
      <c r="D2332" s="21">
        <f>ItensPedido!D2332</f>
        <v/>
      </c>
      <c r="E2332" s="22">
        <f>ItensPedido!E2332</f>
        <v/>
      </c>
      <c r="F2332" s="21">
        <f>IFERROR(INDEX(Pedidos!$B$2:$B$1801,MATCH(B2332,Pedidos!$A$2:$A$1801,0)),0)</f>
        <v/>
      </c>
      <c r="G2332" s="21">
        <f>IF(F2332=0,"",YEAR(F2332))</f>
        <v/>
      </c>
      <c r="H2332" s="21">
        <f>IF(F2332=0,"",MONTH(F2332))</f>
        <v/>
      </c>
      <c r="I2332" s="21">
        <f>IFERROR(INDEX(Pedidos!$E$2:$E$1801,MATCH(B2332,Pedidos!$A$2:$A$1801,0)),"")</f>
        <v/>
      </c>
      <c r="J2332" s="21">
        <f>IFERROR(INDEX(Pedidos!$C$2:$C$1801,MATCH(B2332,Pedidos!$A$2:$A$1801,0)),"")</f>
        <v/>
      </c>
      <c r="K2332" s="21">
        <f>IFERROR(INDEX(Pedidos!$D$2:$D$1801,MATCH(B2332,Pedidos!$A$2:$A$1801,0)),"")</f>
        <v/>
      </c>
      <c r="L2332" s="21">
        <f>IFERROR(INDEX(Pedidos!$F$2:$F$1801,MATCH(B2332,Pedidos!$A$2:$A$1801,0)),"")</f>
        <v/>
      </c>
      <c r="M2332" s="22">
        <f>IFERROR(INDEX(Pedidos!$G$2:$G$1801,MATCH(B2332,Pedidos!$A$2:$A$1801,0)),0)</f>
        <v/>
      </c>
      <c r="N2332" s="21">
        <f>IFERROR(INDEX(Produtos!$B$2:$B$71,MATCH(C2332,Produtos!$A$2:$A$71,0)),"")</f>
        <v/>
      </c>
      <c r="O2332" s="21">
        <f>IFERROR(INDEX(Produtos!$C$2:$C$71,MATCH(C2332,Produtos!$A$2:$A$71,0)),"")</f>
        <v/>
      </c>
      <c r="P2332" s="21">
        <f>IFERROR(INDEX(Produtos!$D$2:$D$71,MATCH(C2332,Produtos!$A$2:$A$71,0)),0)</f>
        <v/>
      </c>
      <c r="Q2332" s="21">
        <f>IFERROR(INDEX(Produtos!$E$2:$E$71,MATCH(C2332,Produtos!$A$2:$A$71,0)),0)</f>
        <v/>
      </c>
      <c r="R2332" s="23">
        <f>D2332*Q2332</f>
        <v/>
      </c>
      <c r="S2332" s="23">
        <f>R2332*E2332</f>
        <v/>
      </c>
      <c r="T2332" s="23">
        <f>(R2332-S2332)*M2332</f>
        <v/>
      </c>
      <c r="U2332" s="23">
        <f>R2332-S2332-T2332</f>
        <v/>
      </c>
      <c r="V2332" s="23">
        <f>D2332*P2332</f>
        <v/>
      </c>
      <c r="W2332" s="23">
        <f>U2332-V2332</f>
        <v/>
      </c>
      <c r="X2332" s="24">
        <f>IFERROR(W2332/U2332,0)</f>
        <v/>
      </c>
    </row>
    <row r="2333">
      <c r="A2333" s="25">
        <f>ItensPedido!A2333</f>
        <v/>
      </c>
      <c r="B2333" s="25">
        <f>ItensPedido!B2333</f>
        <v/>
      </c>
      <c r="C2333" s="25">
        <f>ItensPedido!C2333</f>
        <v/>
      </c>
      <c r="D2333" s="25">
        <f>ItensPedido!D2333</f>
        <v/>
      </c>
      <c r="E2333" s="26">
        <f>ItensPedido!E2333</f>
        <v/>
      </c>
      <c r="F2333" s="25">
        <f>IFERROR(INDEX(Pedidos!$B$2:$B$1801,MATCH(B2333,Pedidos!$A$2:$A$1801,0)),0)</f>
        <v/>
      </c>
      <c r="G2333" s="25">
        <f>IF(F2333=0,"",YEAR(F2333))</f>
        <v/>
      </c>
      <c r="H2333" s="25">
        <f>IF(F2333=0,"",MONTH(F2333))</f>
        <v/>
      </c>
      <c r="I2333" s="25">
        <f>IFERROR(INDEX(Pedidos!$E$2:$E$1801,MATCH(B2333,Pedidos!$A$2:$A$1801,0)),"")</f>
        <v/>
      </c>
      <c r="J2333" s="25">
        <f>IFERROR(INDEX(Pedidos!$C$2:$C$1801,MATCH(B2333,Pedidos!$A$2:$A$1801,0)),"")</f>
        <v/>
      </c>
      <c r="K2333" s="25">
        <f>IFERROR(INDEX(Pedidos!$D$2:$D$1801,MATCH(B2333,Pedidos!$A$2:$A$1801,0)),"")</f>
        <v/>
      </c>
      <c r="L2333" s="25">
        <f>IFERROR(INDEX(Pedidos!$F$2:$F$1801,MATCH(B2333,Pedidos!$A$2:$A$1801,0)),"")</f>
        <v/>
      </c>
      <c r="M2333" s="26">
        <f>IFERROR(INDEX(Pedidos!$G$2:$G$1801,MATCH(B2333,Pedidos!$A$2:$A$1801,0)),0)</f>
        <v/>
      </c>
      <c r="N2333" s="25">
        <f>IFERROR(INDEX(Produtos!$B$2:$B$71,MATCH(C2333,Produtos!$A$2:$A$71,0)),"")</f>
        <v/>
      </c>
      <c r="O2333" s="25">
        <f>IFERROR(INDEX(Produtos!$C$2:$C$71,MATCH(C2333,Produtos!$A$2:$A$71,0)),"")</f>
        <v/>
      </c>
      <c r="P2333" s="25">
        <f>IFERROR(INDEX(Produtos!$D$2:$D$71,MATCH(C2333,Produtos!$A$2:$A$71,0)),0)</f>
        <v/>
      </c>
      <c r="Q2333" s="25">
        <f>IFERROR(INDEX(Produtos!$E$2:$E$71,MATCH(C2333,Produtos!$A$2:$A$71,0)),0)</f>
        <v/>
      </c>
      <c r="R2333" s="27">
        <f>D2333*Q2333</f>
        <v/>
      </c>
      <c r="S2333" s="27">
        <f>R2333*E2333</f>
        <v/>
      </c>
      <c r="T2333" s="27">
        <f>(R2333-S2333)*M2333</f>
        <v/>
      </c>
      <c r="U2333" s="27">
        <f>R2333-S2333-T2333</f>
        <v/>
      </c>
      <c r="V2333" s="27">
        <f>D2333*P2333</f>
        <v/>
      </c>
      <c r="W2333" s="27">
        <f>U2333-V2333</f>
        <v/>
      </c>
      <c r="X2333" s="28">
        <f>IFERROR(W2333/U2333,0)</f>
        <v/>
      </c>
    </row>
    <row r="2334">
      <c r="A2334" s="21">
        <f>ItensPedido!A2334</f>
        <v/>
      </c>
      <c r="B2334" s="21">
        <f>ItensPedido!B2334</f>
        <v/>
      </c>
      <c r="C2334" s="21">
        <f>ItensPedido!C2334</f>
        <v/>
      </c>
      <c r="D2334" s="21">
        <f>ItensPedido!D2334</f>
        <v/>
      </c>
      <c r="E2334" s="22">
        <f>ItensPedido!E2334</f>
        <v/>
      </c>
      <c r="F2334" s="21">
        <f>IFERROR(INDEX(Pedidos!$B$2:$B$1801,MATCH(B2334,Pedidos!$A$2:$A$1801,0)),0)</f>
        <v/>
      </c>
      <c r="G2334" s="21">
        <f>IF(F2334=0,"",YEAR(F2334))</f>
        <v/>
      </c>
      <c r="H2334" s="21">
        <f>IF(F2334=0,"",MONTH(F2334))</f>
        <v/>
      </c>
      <c r="I2334" s="21">
        <f>IFERROR(INDEX(Pedidos!$E$2:$E$1801,MATCH(B2334,Pedidos!$A$2:$A$1801,0)),"")</f>
        <v/>
      </c>
      <c r="J2334" s="21">
        <f>IFERROR(INDEX(Pedidos!$C$2:$C$1801,MATCH(B2334,Pedidos!$A$2:$A$1801,0)),"")</f>
        <v/>
      </c>
      <c r="K2334" s="21">
        <f>IFERROR(INDEX(Pedidos!$D$2:$D$1801,MATCH(B2334,Pedidos!$A$2:$A$1801,0)),"")</f>
        <v/>
      </c>
      <c r="L2334" s="21">
        <f>IFERROR(INDEX(Pedidos!$F$2:$F$1801,MATCH(B2334,Pedidos!$A$2:$A$1801,0)),"")</f>
        <v/>
      </c>
      <c r="M2334" s="22">
        <f>IFERROR(INDEX(Pedidos!$G$2:$G$1801,MATCH(B2334,Pedidos!$A$2:$A$1801,0)),0)</f>
        <v/>
      </c>
      <c r="N2334" s="21">
        <f>IFERROR(INDEX(Produtos!$B$2:$B$71,MATCH(C2334,Produtos!$A$2:$A$71,0)),"")</f>
        <v/>
      </c>
      <c r="O2334" s="21">
        <f>IFERROR(INDEX(Produtos!$C$2:$C$71,MATCH(C2334,Produtos!$A$2:$A$71,0)),"")</f>
        <v/>
      </c>
      <c r="P2334" s="21">
        <f>IFERROR(INDEX(Produtos!$D$2:$D$71,MATCH(C2334,Produtos!$A$2:$A$71,0)),0)</f>
        <v/>
      </c>
      <c r="Q2334" s="21">
        <f>IFERROR(INDEX(Produtos!$E$2:$E$71,MATCH(C2334,Produtos!$A$2:$A$71,0)),0)</f>
        <v/>
      </c>
      <c r="R2334" s="23">
        <f>D2334*Q2334</f>
        <v/>
      </c>
      <c r="S2334" s="23">
        <f>R2334*E2334</f>
        <v/>
      </c>
      <c r="T2334" s="23">
        <f>(R2334-S2334)*M2334</f>
        <v/>
      </c>
      <c r="U2334" s="23">
        <f>R2334-S2334-T2334</f>
        <v/>
      </c>
      <c r="V2334" s="23">
        <f>D2334*P2334</f>
        <v/>
      </c>
      <c r="W2334" s="23">
        <f>U2334-V2334</f>
        <v/>
      </c>
      <c r="X2334" s="24">
        <f>IFERROR(W2334/U2334,0)</f>
        <v/>
      </c>
    </row>
    <row r="2335">
      <c r="A2335" s="25">
        <f>ItensPedido!A2335</f>
        <v/>
      </c>
      <c r="B2335" s="25">
        <f>ItensPedido!B2335</f>
        <v/>
      </c>
      <c r="C2335" s="25">
        <f>ItensPedido!C2335</f>
        <v/>
      </c>
      <c r="D2335" s="25">
        <f>ItensPedido!D2335</f>
        <v/>
      </c>
      <c r="E2335" s="26">
        <f>ItensPedido!E2335</f>
        <v/>
      </c>
      <c r="F2335" s="25">
        <f>IFERROR(INDEX(Pedidos!$B$2:$B$1801,MATCH(B2335,Pedidos!$A$2:$A$1801,0)),0)</f>
        <v/>
      </c>
      <c r="G2335" s="25">
        <f>IF(F2335=0,"",YEAR(F2335))</f>
        <v/>
      </c>
      <c r="H2335" s="25">
        <f>IF(F2335=0,"",MONTH(F2335))</f>
        <v/>
      </c>
      <c r="I2335" s="25">
        <f>IFERROR(INDEX(Pedidos!$E$2:$E$1801,MATCH(B2335,Pedidos!$A$2:$A$1801,0)),"")</f>
        <v/>
      </c>
      <c r="J2335" s="25">
        <f>IFERROR(INDEX(Pedidos!$C$2:$C$1801,MATCH(B2335,Pedidos!$A$2:$A$1801,0)),"")</f>
        <v/>
      </c>
      <c r="K2335" s="25">
        <f>IFERROR(INDEX(Pedidos!$D$2:$D$1801,MATCH(B2335,Pedidos!$A$2:$A$1801,0)),"")</f>
        <v/>
      </c>
      <c r="L2335" s="25">
        <f>IFERROR(INDEX(Pedidos!$F$2:$F$1801,MATCH(B2335,Pedidos!$A$2:$A$1801,0)),"")</f>
        <v/>
      </c>
      <c r="M2335" s="26">
        <f>IFERROR(INDEX(Pedidos!$G$2:$G$1801,MATCH(B2335,Pedidos!$A$2:$A$1801,0)),0)</f>
        <v/>
      </c>
      <c r="N2335" s="25">
        <f>IFERROR(INDEX(Produtos!$B$2:$B$71,MATCH(C2335,Produtos!$A$2:$A$71,0)),"")</f>
        <v/>
      </c>
      <c r="O2335" s="25">
        <f>IFERROR(INDEX(Produtos!$C$2:$C$71,MATCH(C2335,Produtos!$A$2:$A$71,0)),"")</f>
        <v/>
      </c>
      <c r="P2335" s="25">
        <f>IFERROR(INDEX(Produtos!$D$2:$D$71,MATCH(C2335,Produtos!$A$2:$A$71,0)),0)</f>
        <v/>
      </c>
      <c r="Q2335" s="25">
        <f>IFERROR(INDEX(Produtos!$E$2:$E$71,MATCH(C2335,Produtos!$A$2:$A$71,0)),0)</f>
        <v/>
      </c>
      <c r="R2335" s="27">
        <f>D2335*Q2335</f>
        <v/>
      </c>
      <c r="S2335" s="27">
        <f>R2335*E2335</f>
        <v/>
      </c>
      <c r="T2335" s="27">
        <f>(R2335-S2335)*M2335</f>
        <v/>
      </c>
      <c r="U2335" s="27">
        <f>R2335-S2335-T2335</f>
        <v/>
      </c>
      <c r="V2335" s="27">
        <f>D2335*P2335</f>
        <v/>
      </c>
      <c r="W2335" s="27">
        <f>U2335-V2335</f>
        <v/>
      </c>
      <c r="X2335" s="28">
        <f>IFERROR(W2335/U2335,0)</f>
        <v/>
      </c>
    </row>
    <row r="2336">
      <c r="A2336" s="21">
        <f>ItensPedido!A2336</f>
        <v/>
      </c>
      <c r="B2336" s="21">
        <f>ItensPedido!B2336</f>
        <v/>
      </c>
      <c r="C2336" s="21">
        <f>ItensPedido!C2336</f>
        <v/>
      </c>
      <c r="D2336" s="21">
        <f>ItensPedido!D2336</f>
        <v/>
      </c>
      <c r="E2336" s="22">
        <f>ItensPedido!E2336</f>
        <v/>
      </c>
      <c r="F2336" s="21">
        <f>IFERROR(INDEX(Pedidos!$B$2:$B$1801,MATCH(B2336,Pedidos!$A$2:$A$1801,0)),0)</f>
        <v/>
      </c>
      <c r="G2336" s="21">
        <f>IF(F2336=0,"",YEAR(F2336))</f>
        <v/>
      </c>
      <c r="H2336" s="21">
        <f>IF(F2336=0,"",MONTH(F2336))</f>
        <v/>
      </c>
      <c r="I2336" s="21">
        <f>IFERROR(INDEX(Pedidos!$E$2:$E$1801,MATCH(B2336,Pedidos!$A$2:$A$1801,0)),"")</f>
        <v/>
      </c>
      <c r="J2336" s="21">
        <f>IFERROR(INDEX(Pedidos!$C$2:$C$1801,MATCH(B2336,Pedidos!$A$2:$A$1801,0)),"")</f>
        <v/>
      </c>
      <c r="K2336" s="21">
        <f>IFERROR(INDEX(Pedidos!$D$2:$D$1801,MATCH(B2336,Pedidos!$A$2:$A$1801,0)),"")</f>
        <v/>
      </c>
      <c r="L2336" s="21">
        <f>IFERROR(INDEX(Pedidos!$F$2:$F$1801,MATCH(B2336,Pedidos!$A$2:$A$1801,0)),"")</f>
        <v/>
      </c>
      <c r="M2336" s="22">
        <f>IFERROR(INDEX(Pedidos!$G$2:$G$1801,MATCH(B2336,Pedidos!$A$2:$A$1801,0)),0)</f>
        <v/>
      </c>
      <c r="N2336" s="21">
        <f>IFERROR(INDEX(Produtos!$B$2:$B$71,MATCH(C2336,Produtos!$A$2:$A$71,0)),"")</f>
        <v/>
      </c>
      <c r="O2336" s="21">
        <f>IFERROR(INDEX(Produtos!$C$2:$C$71,MATCH(C2336,Produtos!$A$2:$A$71,0)),"")</f>
        <v/>
      </c>
      <c r="P2336" s="21">
        <f>IFERROR(INDEX(Produtos!$D$2:$D$71,MATCH(C2336,Produtos!$A$2:$A$71,0)),0)</f>
        <v/>
      </c>
      <c r="Q2336" s="21">
        <f>IFERROR(INDEX(Produtos!$E$2:$E$71,MATCH(C2336,Produtos!$A$2:$A$71,0)),0)</f>
        <v/>
      </c>
      <c r="R2336" s="23">
        <f>D2336*Q2336</f>
        <v/>
      </c>
      <c r="S2336" s="23">
        <f>R2336*E2336</f>
        <v/>
      </c>
      <c r="T2336" s="23">
        <f>(R2336-S2336)*M2336</f>
        <v/>
      </c>
      <c r="U2336" s="23">
        <f>R2336-S2336-T2336</f>
        <v/>
      </c>
      <c r="V2336" s="23">
        <f>D2336*P2336</f>
        <v/>
      </c>
      <c r="W2336" s="23">
        <f>U2336-V2336</f>
        <v/>
      </c>
      <c r="X2336" s="24">
        <f>IFERROR(W2336/U2336,0)</f>
        <v/>
      </c>
    </row>
    <row r="2337">
      <c r="A2337" s="25">
        <f>ItensPedido!A2337</f>
        <v/>
      </c>
      <c r="B2337" s="25">
        <f>ItensPedido!B2337</f>
        <v/>
      </c>
      <c r="C2337" s="25">
        <f>ItensPedido!C2337</f>
        <v/>
      </c>
      <c r="D2337" s="25">
        <f>ItensPedido!D2337</f>
        <v/>
      </c>
      <c r="E2337" s="26">
        <f>ItensPedido!E2337</f>
        <v/>
      </c>
      <c r="F2337" s="25">
        <f>IFERROR(INDEX(Pedidos!$B$2:$B$1801,MATCH(B2337,Pedidos!$A$2:$A$1801,0)),0)</f>
        <v/>
      </c>
      <c r="G2337" s="25">
        <f>IF(F2337=0,"",YEAR(F2337))</f>
        <v/>
      </c>
      <c r="H2337" s="25">
        <f>IF(F2337=0,"",MONTH(F2337))</f>
        <v/>
      </c>
      <c r="I2337" s="25">
        <f>IFERROR(INDEX(Pedidos!$E$2:$E$1801,MATCH(B2337,Pedidos!$A$2:$A$1801,0)),"")</f>
        <v/>
      </c>
      <c r="J2337" s="25">
        <f>IFERROR(INDEX(Pedidos!$C$2:$C$1801,MATCH(B2337,Pedidos!$A$2:$A$1801,0)),"")</f>
        <v/>
      </c>
      <c r="K2337" s="25">
        <f>IFERROR(INDEX(Pedidos!$D$2:$D$1801,MATCH(B2337,Pedidos!$A$2:$A$1801,0)),"")</f>
        <v/>
      </c>
      <c r="L2337" s="25">
        <f>IFERROR(INDEX(Pedidos!$F$2:$F$1801,MATCH(B2337,Pedidos!$A$2:$A$1801,0)),"")</f>
        <v/>
      </c>
      <c r="M2337" s="26">
        <f>IFERROR(INDEX(Pedidos!$G$2:$G$1801,MATCH(B2337,Pedidos!$A$2:$A$1801,0)),0)</f>
        <v/>
      </c>
      <c r="N2337" s="25">
        <f>IFERROR(INDEX(Produtos!$B$2:$B$71,MATCH(C2337,Produtos!$A$2:$A$71,0)),"")</f>
        <v/>
      </c>
      <c r="O2337" s="25">
        <f>IFERROR(INDEX(Produtos!$C$2:$C$71,MATCH(C2337,Produtos!$A$2:$A$71,0)),"")</f>
        <v/>
      </c>
      <c r="P2337" s="25">
        <f>IFERROR(INDEX(Produtos!$D$2:$D$71,MATCH(C2337,Produtos!$A$2:$A$71,0)),0)</f>
        <v/>
      </c>
      <c r="Q2337" s="25">
        <f>IFERROR(INDEX(Produtos!$E$2:$E$71,MATCH(C2337,Produtos!$A$2:$A$71,0)),0)</f>
        <v/>
      </c>
      <c r="R2337" s="27">
        <f>D2337*Q2337</f>
        <v/>
      </c>
      <c r="S2337" s="27">
        <f>R2337*E2337</f>
        <v/>
      </c>
      <c r="T2337" s="27">
        <f>(R2337-S2337)*M2337</f>
        <v/>
      </c>
      <c r="U2337" s="27">
        <f>R2337-S2337-T2337</f>
        <v/>
      </c>
      <c r="V2337" s="27">
        <f>D2337*P2337</f>
        <v/>
      </c>
      <c r="W2337" s="27">
        <f>U2337-V2337</f>
        <v/>
      </c>
      <c r="X2337" s="28">
        <f>IFERROR(W2337/U2337,0)</f>
        <v/>
      </c>
    </row>
    <row r="2338">
      <c r="A2338" s="21">
        <f>ItensPedido!A2338</f>
        <v/>
      </c>
      <c r="B2338" s="21">
        <f>ItensPedido!B2338</f>
        <v/>
      </c>
      <c r="C2338" s="21">
        <f>ItensPedido!C2338</f>
        <v/>
      </c>
      <c r="D2338" s="21">
        <f>ItensPedido!D2338</f>
        <v/>
      </c>
      <c r="E2338" s="22">
        <f>ItensPedido!E2338</f>
        <v/>
      </c>
      <c r="F2338" s="21">
        <f>IFERROR(INDEX(Pedidos!$B$2:$B$1801,MATCH(B2338,Pedidos!$A$2:$A$1801,0)),0)</f>
        <v/>
      </c>
      <c r="G2338" s="21">
        <f>IF(F2338=0,"",YEAR(F2338))</f>
        <v/>
      </c>
      <c r="H2338" s="21">
        <f>IF(F2338=0,"",MONTH(F2338))</f>
        <v/>
      </c>
      <c r="I2338" s="21">
        <f>IFERROR(INDEX(Pedidos!$E$2:$E$1801,MATCH(B2338,Pedidos!$A$2:$A$1801,0)),"")</f>
        <v/>
      </c>
      <c r="J2338" s="21">
        <f>IFERROR(INDEX(Pedidos!$C$2:$C$1801,MATCH(B2338,Pedidos!$A$2:$A$1801,0)),"")</f>
        <v/>
      </c>
      <c r="K2338" s="21">
        <f>IFERROR(INDEX(Pedidos!$D$2:$D$1801,MATCH(B2338,Pedidos!$A$2:$A$1801,0)),"")</f>
        <v/>
      </c>
      <c r="L2338" s="21">
        <f>IFERROR(INDEX(Pedidos!$F$2:$F$1801,MATCH(B2338,Pedidos!$A$2:$A$1801,0)),"")</f>
        <v/>
      </c>
      <c r="M2338" s="22">
        <f>IFERROR(INDEX(Pedidos!$G$2:$G$1801,MATCH(B2338,Pedidos!$A$2:$A$1801,0)),0)</f>
        <v/>
      </c>
      <c r="N2338" s="21">
        <f>IFERROR(INDEX(Produtos!$B$2:$B$71,MATCH(C2338,Produtos!$A$2:$A$71,0)),"")</f>
        <v/>
      </c>
      <c r="O2338" s="21">
        <f>IFERROR(INDEX(Produtos!$C$2:$C$71,MATCH(C2338,Produtos!$A$2:$A$71,0)),"")</f>
        <v/>
      </c>
      <c r="P2338" s="21">
        <f>IFERROR(INDEX(Produtos!$D$2:$D$71,MATCH(C2338,Produtos!$A$2:$A$71,0)),0)</f>
        <v/>
      </c>
      <c r="Q2338" s="21">
        <f>IFERROR(INDEX(Produtos!$E$2:$E$71,MATCH(C2338,Produtos!$A$2:$A$71,0)),0)</f>
        <v/>
      </c>
      <c r="R2338" s="23">
        <f>D2338*Q2338</f>
        <v/>
      </c>
      <c r="S2338" s="23">
        <f>R2338*E2338</f>
        <v/>
      </c>
      <c r="T2338" s="23">
        <f>(R2338-S2338)*M2338</f>
        <v/>
      </c>
      <c r="U2338" s="23">
        <f>R2338-S2338-T2338</f>
        <v/>
      </c>
      <c r="V2338" s="23">
        <f>D2338*P2338</f>
        <v/>
      </c>
      <c r="W2338" s="23">
        <f>U2338-V2338</f>
        <v/>
      </c>
      <c r="X2338" s="24">
        <f>IFERROR(W2338/U2338,0)</f>
        <v/>
      </c>
    </row>
    <row r="2339">
      <c r="A2339" s="25">
        <f>ItensPedido!A2339</f>
        <v/>
      </c>
      <c r="B2339" s="25">
        <f>ItensPedido!B2339</f>
        <v/>
      </c>
      <c r="C2339" s="25">
        <f>ItensPedido!C2339</f>
        <v/>
      </c>
      <c r="D2339" s="25">
        <f>ItensPedido!D2339</f>
        <v/>
      </c>
      <c r="E2339" s="26">
        <f>ItensPedido!E2339</f>
        <v/>
      </c>
      <c r="F2339" s="25">
        <f>IFERROR(INDEX(Pedidos!$B$2:$B$1801,MATCH(B2339,Pedidos!$A$2:$A$1801,0)),0)</f>
        <v/>
      </c>
      <c r="G2339" s="25">
        <f>IF(F2339=0,"",YEAR(F2339))</f>
        <v/>
      </c>
      <c r="H2339" s="25">
        <f>IF(F2339=0,"",MONTH(F2339))</f>
        <v/>
      </c>
      <c r="I2339" s="25">
        <f>IFERROR(INDEX(Pedidos!$E$2:$E$1801,MATCH(B2339,Pedidos!$A$2:$A$1801,0)),"")</f>
        <v/>
      </c>
      <c r="J2339" s="25">
        <f>IFERROR(INDEX(Pedidos!$C$2:$C$1801,MATCH(B2339,Pedidos!$A$2:$A$1801,0)),"")</f>
        <v/>
      </c>
      <c r="K2339" s="25">
        <f>IFERROR(INDEX(Pedidos!$D$2:$D$1801,MATCH(B2339,Pedidos!$A$2:$A$1801,0)),"")</f>
        <v/>
      </c>
      <c r="L2339" s="25">
        <f>IFERROR(INDEX(Pedidos!$F$2:$F$1801,MATCH(B2339,Pedidos!$A$2:$A$1801,0)),"")</f>
        <v/>
      </c>
      <c r="M2339" s="26">
        <f>IFERROR(INDEX(Pedidos!$G$2:$G$1801,MATCH(B2339,Pedidos!$A$2:$A$1801,0)),0)</f>
        <v/>
      </c>
      <c r="N2339" s="25">
        <f>IFERROR(INDEX(Produtos!$B$2:$B$71,MATCH(C2339,Produtos!$A$2:$A$71,0)),"")</f>
        <v/>
      </c>
      <c r="O2339" s="25">
        <f>IFERROR(INDEX(Produtos!$C$2:$C$71,MATCH(C2339,Produtos!$A$2:$A$71,0)),"")</f>
        <v/>
      </c>
      <c r="P2339" s="25">
        <f>IFERROR(INDEX(Produtos!$D$2:$D$71,MATCH(C2339,Produtos!$A$2:$A$71,0)),0)</f>
        <v/>
      </c>
      <c r="Q2339" s="25">
        <f>IFERROR(INDEX(Produtos!$E$2:$E$71,MATCH(C2339,Produtos!$A$2:$A$71,0)),0)</f>
        <v/>
      </c>
      <c r="R2339" s="27">
        <f>D2339*Q2339</f>
        <v/>
      </c>
      <c r="S2339" s="27">
        <f>R2339*E2339</f>
        <v/>
      </c>
      <c r="T2339" s="27">
        <f>(R2339-S2339)*M2339</f>
        <v/>
      </c>
      <c r="U2339" s="27">
        <f>R2339-S2339-T2339</f>
        <v/>
      </c>
      <c r="V2339" s="27">
        <f>D2339*P2339</f>
        <v/>
      </c>
      <c r="W2339" s="27">
        <f>U2339-V2339</f>
        <v/>
      </c>
      <c r="X2339" s="28">
        <f>IFERROR(W2339/U2339,0)</f>
        <v/>
      </c>
    </row>
    <row r="2340">
      <c r="A2340" s="21">
        <f>ItensPedido!A2340</f>
        <v/>
      </c>
      <c r="B2340" s="21">
        <f>ItensPedido!B2340</f>
        <v/>
      </c>
      <c r="C2340" s="21">
        <f>ItensPedido!C2340</f>
        <v/>
      </c>
      <c r="D2340" s="21">
        <f>ItensPedido!D2340</f>
        <v/>
      </c>
      <c r="E2340" s="22">
        <f>ItensPedido!E2340</f>
        <v/>
      </c>
      <c r="F2340" s="21">
        <f>IFERROR(INDEX(Pedidos!$B$2:$B$1801,MATCH(B2340,Pedidos!$A$2:$A$1801,0)),0)</f>
        <v/>
      </c>
      <c r="G2340" s="21">
        <f>IF(F2340=0,"",YEAR(F2340))</f>
        <v/>
      </c>
      <c r="H2340" s="21">
        <f>IF(F2340=0,"",MONTH(F2340))</f>
        <v/>
      </c>
      <c r="I2340" s="21">
        <f>IFERROR(INDEX(Pedidos!$E$2:$E$1801,MATCH(B2340,Pedidos!$A$2:$A$1801,0)),"")</f>
        <v/>
      </c>
      <c r="J2340" s="21">
        <f>IFERROR(INDEX(Pedidos!$C$2:$C$1801,MATCH(B2340,Pedidos!$A$2:$A$1801,0)),"")</f>
        <v/>
      </c>
      <c r="K2340" s="21">
        <f>IFERROR(INDEX(Pedidos!$D$2:$D$1801,MATCH(B2340,Pedidos!$A$2:$A$1801,0)),"")</f>
        <v/>
      </c>
      <c r="L2340" s="21">
        <f>IFERROR(INDEX(Pedidos!$F$2:$F$1801,MATCH(B2340,Pedidos!$A$2:$A$1801,0)),"")</f>
        <v/>
      </c>
      <c r="M2340" s="22">
        <f>IFERROR(INDEX(Pedidos!$G$2:$G$1801,MATCH(B2340,Pedidos!$A$2:$A$1801,0)),0)</f>
        <v/>
      </c>
      <c r="N2340" s="21">
        <f>IFERROR(INDEX(Produtos!$B$2:$B$71,MATCH(C2340,Produtos!$A$2:$A$71,0)),"")</f>
        <v/>
      </c>
      <c r="O2340" s="21">
        <f>IFERROR(INDEX(Produtos!$C$2:$C$71,MATCH(C2340,Produtos!$A$2:$A$71,0)),"")</f>
        <v/>
      </c>
      <c r="P2340" s="21">
        <f>IFERROR(INDEX(Produtos!$D$2:$D$71,MATCH(C2340,Produtos!$A$2:$A$71,0)),0)</f>
        <v/>
      </c>
      <c r="Q2340" s="21">
        <f>IFERROR(INDEX(Produtos!$E$2:$E$71,MATCH(C2340,Produtos!$A$2:$A$71,0)),0)</f>
        <v/>
      </c>
      <c r="R2340" s="23">
        <f>D2340*Q2340</f>
        <v/>
      </c>
      <c r="S2340" s="23">
        <f>R2340*E2340</f>
        <v/>
      </c>
      <c r="T2340" s="23">
        <f>(R2340-S2340)*M2340</f>
        <v/>
      </c>
      <c r="U2340" s="23">
        <f>R2340-S2340-T2340</f>
        <v/>
      </c>
      <c r="V2340" s="23">
        <f>D2340*P2340</f>
        <v/>
      </c>
      <c r="W2340" s="23">
        <f>U2340-V2340</f>
        <v/>
      </c>
      <c r="X2340" s="24">
        <f>IFERROR(W2340/U2340,0)</f>
        <v/>
      </c>
    </row>
    <row r="2341">
      <c r="A2341" s="25">
        <f>ItensPedido!A2341</f>
        <v/>
      </c>
      <c r="B2341" s="25">
        <f>ItensPedido!B2341</f>
        <v/>
      </c>
      <c r="C2341" s="25">
        <f>ItensPedido!C2341</f>
        <v/>
      </c>
      <c r="D2341" s="25">
        <f>ItensPedido!D2341</f>
        <v/>
      </c>
      <c r="E2341" s="26">
        <f>ItensPedido!E2341</f>
        <v/>
      </c>
      <c r="F2341" s="25">
        <f>IFERROR(INDEX(Pedidos!$B$2:$B$1801,MATCH(B2341,Pedidos!$A$2:$A$1801,0)),0)</f>
        <v/>
      </c>
      <c r="G2341" s="25">
        <f>IF(F2341=0,"",YEAR(F2341))</f>
        <v/>
      </c>
      <c r="H2341" s="25">
        <f>IF(F2341=0,"",MONTH(F2341))</f>
        <v/>
      </c>
      <c r="I2341" s="25">
        <f>IFERROR(INDEX(Pedidos!$E$2:$E$1801,MATCH(B2341,Pedidos!$A$2:$A$1801,0)),"")</f>
        <v/>
      </c>
      <c r="J2341" s="25">
        <f>IFERROR(INDEX(Pedidos!$C$2:$C$1801,MATCH(B2341,Pedidos!$A$2:$A$1801,0)),"")</f>
        <v/>
      </c>
      <c r="K2341" s="25">
        <f>IFERROR(INDEX(Pedidos!$D$2:$D$1801,MATCH(B2341,Pedidos!$A$2:$A$1801,0)),"")</f>
        <v/>
      </c>
      <c r="L2341" s="25">
        <f>IFERROR(INDEX(Pedidos!$F$2:$F$1801,MATCH(B2341,Pedidos!$A$2:$A$1801,0)),"")</f>
        <v/>
      </c>
      <c r="M2341" s="26">
        <f>IFERROR(INDEX(Pedidos!$G$2:$G$1801,MATCH(B2341,Pedidos!$A$2:$A$1801,0)),0)</f>
        <v/>
      </c>
      <c r="N2341" s="25">
        <f>IFERROR(INDEX(Produtos!$B$2:$B$71,MATCH(C2341,Produtos!$A$2:$A$71,0)),"")</f>
        <v/>
      </c>
      <c r="O2341" s="25">
        <f>IFERROR(INDEX(Produtos!$C$2:$C$71,MATCH(C2341,Produtos!$A$2:$A$71,0)),"")</f>
        <v/>
      </c>
      <c r="P2341" s="25">
        <f>IFERROR(INDEX(Produtos!$D$2:$D$71,MATCH(C2341,Produtos!$A$2:$A$71,0)),0)</f>
        <v/>
      </c>
      <c r="Q2341" s="25">
        <f>IFERROR(INDEX(Produtos!$E$2:$E$71,MATCH(C2341,Produtos!$A$2:$A$71,0)),0)</f>
        <v/>
      </c>
      <c r="R2341" s="27">
        <f>D2341*Q2341</f>
        <v/>
      </c>
      <c r="S2341" s="27">
        <f>R2341*E2341</f>
        <v/>
      </c>
      <c r="T2341" s="27">
        <f>(R2341-S2341)*M2341</f>
        <v/>
      </c>
      <c r="U2341" s="27">
        <f>R2341-S2341-T2341</f>
        <v/>
      </c>
      <c r="V2341" s="27">
        <f>D2341*P2341</f>
        <v/>
      </c>
      <c r="W2341" s="27">
        <f>U2341-V2341</f>
        <v/>
      </c>
      <c r="X2341" s="28">
        <f>IFERROR(W2341/U2341,0)</f>
        <v/>
      </c>
    </row>
    <row r="2342">
      <c r="A2342" s="21">
        <f>ItensPedido!A2342</f>
        <v/>
      </c>
      <c r="B2342" s="21">
        <f>ItensPedido!B2342</f>
        <v/>
      </c>
      <c r="C2342" s="21">
        <f>ItensPedido!C2342</f>
        <v/>
      </c>
      <c r="D2342" s="21">
        <f>ItensPedido!D2342</f>
        <v/>
      </c>
      <c r="E2342" s="22">
        <f>ItensPedido!E2342</f>
        <v/>
      </c>
      <c r="F2342" s="21">
        <f>IFERROR(INDEX(Pedidos!$B$2:$B$1801,MATCH(B2342,Pedidos!$A$2:$A$1801,0)),0)</f>
        <v/>
      </c>
      <c r="G2342" s="21">
        <f>IF(F2342=0,"",YEAR(F2342))</f>
        <v/>
      </c>
      <c r="H2342" s="21">
        <f>IF(F2342=0,"",MONTH(F2342))</f>
        <v/>
      </c>
      <c r="I2342" s="21">
        <f>IFERROR(INDEX(Pedidos!$E$2:$E$1801,MATCH(B2342,Pedidos!$A$2:$A$1801,0)),"")</f>
        <v/>
      </c>
      <c r="J2342" s="21">
        <f>IFERROR(INDEX(Pedidos!$C$2:$C$1801,MATCH(B2342,Pedidos!$A$2:$A$1801,0)),"")</f>
        <v/>
      </c>
      <c r="K2342" s="21">
        <f>IFERROR(INDEX(Pedidos!$D$2:$D$1801,MATCH(B2342,Pedidos!$A$2:$A$1801,0)),"")</f>
        <v/>
      </c>
      <c r="L2342" s="21">
        <f>IFERROR(INDEX(Pedidos!$F$2:$F$1801,MATCH(B2342,Pedidos!$A$2:$A$1801,0)),"")</f>
        <v/>
      </c>
      <c r="M2342" s="22">
        <f>IFERROR(INDEX(Pedidos!$G$2:$G$1801,MATCH(B2342,Pedidos!$A$2:$A$1801,0)),0)</f>
        <v/>
      </c>
      <c r="N2342" s="21">
        <f>IFERROR(INDEX(Produtos!$B$2:$B$71,MATCH(C2342,Produtos!$A$2:$A$71,0)),"")</f>
        <v/>
      </c>
      <c r="O2342" s="21">
        <f>IFERROR(INDEX(Produtos!$C$2:$C$71,MATCH(C2342,Produtos!$A$2:$A$71,0)),"")</f>
        <v/>
      </c>
      <c r="P2342" s="21">
        <f>IFERROR(INDEX(Produtos!$D$2:$D$71,MATCH(C2342,Produtos!$A$2:$A$71,0)),0)</f>
        <v/>
      </c>
      <c r="Q2342" s="21">
        <f>IFERROR(INDEX(Produtos!$E$2:$E$71,MATCH(C2342,Produtos!$A$2:$A$71,0)),0)</f>
        <v/>
      </c>
      <c r="R2342" s="23">
        <f>D2342*Q2342</f>
        <v/>
      </c>
      <c r="S2342" s="23">
        <f>R2342*E2342</f>
        <v/>
      </c>
      <c r="T2342" s="23">
        <f>(R2342-S2342)*M2342</f>
        <v/>
      </c>
      <c r="U2342" s="23">
        <f>R2342-S2342-T2342</f>
        <v/>
      </c>
      <c r="V2342" s="23">
        <f>D2342*P2342</f>
        <v/>
      </c>
      <c r="W2342" s="23">
        <f>U2342-V2342</f>
        <v/>
      </c>
      <c r="X2342" s="24">
        <f>IFERROR(W2342/U2342,0)</f>
        <v/>
      </c>
    </row>
    <row r="2343">
      <c r="A2343" s="25">
        <f>ItensPedido!A2343</f>
        <v/>
      </c>
      <c r="B2343" s="25">
        <f>ItensPedido!B2343</f>
        <v/>
      </c>
      <c r="C2343" s="25">
        <f>ItensPedido!C2343</f>
        <v/>
      </c>
      <c r="D2343" s="25">
        <f>ItensPedido!D2343</f>
        <v/>
      </c>
      <c r="E2343" s="26">
        <f>ItensPedido!E2343</f>
        <v/>
      </c>
      <c r="F2343" s="25">
        <f>IFERROR(INDEX(Pedidos!$B$2:$B$1801,MATCH(B2343,Pedidos!$A$2:$A$1801,0)),0)</f>
        <v/>
      </c>
      <c r="G2343" s="25">
        <f>IF(F2343=0,"",YEAR(F2343))</f>
        <v/>
      </c>
      <c r="H2343" s="25">
        <f>IF(F2343=0,"",MONTH(F2343))</f>
        <v/>
      </c>
      <c r="I2343" s="25">
        <f>IFERROR(INDEX(Pedidos!$E$2:$E$1801,MATCH(B2343,Pedidos!$A$2:$A$1801,0)),"")</f>
        <v/>
      </c>
      <c r="J2343" s="25">
        <f>IFERROR(INDEX(Pedidos!$C$2:$C$1801,MATCH(B2343,Pedidos!$A$2:$A$1801,0)),"")</f>
        <v/>
      </c>
      <c r="K2343" s="25">
        <f>IFERROR(INDEX(Pedidos!$D$2:$D$1801,MATCH(B2343,Pedidos!$A$2:$A$1801,0)),"")</f>
        <v/>
      </c>
      <c r="L2343" s="25">
        <f>IFERROR(INDEX(Pedidos!$F$2:$F$1801,MATCH(B2343,Pedidos!$A$2:$A$1801,0)),"")</f>
        <v/>
      </c>
      <c r="M2343" s="26">
        <f>IFERROR(INDEX(Pedidos!$G$2:$G$1801,MATCH(B2343,Pedidos!$A$2:$A$1801,0)),0)</f>
        <v/>
      </c>
      <c r="N2343" s="25">
        <f>IFERROR(INDEX(Produtos!$B$2:$B$71,MATCH(C2343,Produtos!$A$2:$A$71,0)),"")</f>
        <v/>
      </c>
      <c r="O2343" s="25">
        <f>IFERROR(INDEX(Produtos!$C$2:$C$71,MATCH(C2343,Produtos!$A$2:$A$71,0)),"")</f>
        <v/>
      </c>
      <c r="P2343" s="25">
        <f>IFERROR(INDEX(Produtos!$D$2:$D$71,MATCH(C2343,Produtos!$A$2:$A$71,0)),0)</f>
        <v/>
      </c>
      <c r="Q2343" s="25">
        <f>IFERROR(INDEX(Produtos!$E$2:$E$71,MATCH(C2343,Produtos!$A$2:$A$71,0)),0)</f>
        <v/>
      </c>
      <c r="R2343" s="27">
        <f>D2343*Q2343</f>
        <v/>
      </c>
      <c r="S2343" s="27">
        <f>R2343*E2343</f>
        <v/>
      </c>
      <c r="T2343" s="27">
        <f>(R2343-S2343)*M2343</f>
        <v/>
      </c>
      <c r="U2343" s="27">
        <f>R2343-S2343-T2343</f>
        <v/>
      </c>
      <c r="V2343" s="27">
        <f>D2343*P2343</f>
        <v/>
      </c>
      <c r="W2343" s="27">
        <f>U2343-V2343</f>
        <v/>
      </c>
      <c r="X2343" s="28">
        <f>IFERROR(W2343/U2343,0)</f>
        <v/>
      </c>
    </row>
    <row r="2344">
      <c r="A2344" s="21">
        <f>ItensPedido!A2344</f>
        <v/>
      </c>
      <c r="B2344" s="21">
        <f>ItensPedido!B2344</f>
        <v/>
      </c>
      <c r="C2344" s="21">
        <f>ItensPedido!C2344</f>
        <v/>
      </c>
      <c r="D2344" s="21">
        <f>ItensPedido!D2344</f>
        <v/>
      </c>
      <c r="E2344" s="22">
        <f>ItensPedido!E2344</f>
        <v/>
      </c>
      <c r="F2344" s="21">
        <f>IFERROR(INDEX(Pedidos!$B$2:$B$1801,MATCH(B2344,Pedidos!$A$2:$A$1801,0)),0)</f>
        <v/>
      </c>
      <c r="G2344" s="21">
        <f>IF(F2344=0,"",YEAR(F2344))</f>
        <v/>
      </c>
      <c r="H2344" s="21">
        <f>IF(F2344=0,"",MONTH(F2344))</f>
        <v/>
      </c>
      <c r="I2344" s="21">
        <f>IFERROR(INDEX(Pedidos!$E$2:$E$1801,MATCH(B2344,Pedidos!$A$2:$A$1801,0)),"")</f>
        <v/>
      </c>
      <c r="J2344" s="21">
        <f>IFERROR(INDEX(Pedidos!$C$2:$C$1801,MATCH(B2344,Pedidos!$A$2:$A$1801,0)),"")</f>
        <v/>
      </c>
      <c r="K2344" s="21">
        <f>IFERROR(INDEX(Pedidos!$D$2:$D$1801,MATCH(B2344,Pedidos!$A$2:$A$1801,0)),"")</f>
        <v/>
      </c>
      <c r="L2344" s="21">
        <f>IFERROR(INDEX(Pedidos!$F$2:$F$1801,MATCH(B2344,Pedidos!$A$2:$A$1801,0)),"")</f>
        <v/>
      </c>
      <c r="M2344" s="22">
        <f>IFERROR(INDEX(Pedidos!$G$2:$G$1801,MATCH(B2344,Pedidos!$A$2:$A$1801,0)),0)</f>
        <v/>
      </c>
      <c r="N2344" s="21">
        <f>IFERROR(INDEX(Produtos!$B$2:$B$71,MATCH(C2344,Produtos!$A$2:$A$71,0)),"")</f>
        <v/>
      </c>
      <c r="O2344" s="21">
        <f>IFERROR(INDEX(Produtos!$C$2:$C$71,MATCH(C2344,Produtos!$A$2:$A$71,0)),"")</f>
        <v/>
      </c>
      <c r="P2344" s="21">
        <f>IFERROR(INDEX(Produtos!$D$2:$D$71,MATCH(C2344,Produtos!$A$2:$A$71,0)),0)</f>
        <v/>
      </c>
      <c r="Q2344" s="21">
        <f>IFERROR(INDEX(Produtos!$E$2:$E$71,MATCH(C2344,Produtos!$A$2:$A$71,0)),0)</f>
        <v/>
      </c>
      <c r="R2344" s="23">
        <f>D2344*Q2344</f>
        <v/>
      </c>
      <c r="S2344" s="23">
        <f>R2344*E2344</f>
        <v/>
      </c>
      <c r="T2344" s="23">
        <f>(R2344-S2344)*M2344</f>
        <v/>
      </c>
      <c r="U2344" s="23">
        <f>R2344-S2344-T2344</f>
        <v/>
      </c>
      <c r="V2344" s="23">
        <f>D2344*P2344</f>
        <v/>
      </c>
      <c r="W2344" s="23">
        <f>U2344-V2344</f>
        <v/>
      </c>
      <c r="X2344" s="24">
        <f>IFERROR(W2344/U2344,0)</f>
        <v/>
      </c>
    </row>
    <row r="2345">
      <c r="A2345" s="25">
        <f>ItensPedido!A2345</f>
        <v/>
      </c>
      <c r="B2345" s="25">
        <f>ItensPedido!B2345</f>
        <v/>
      </c>
      <c r="C2345" s="25">
        <f>ItensPedido!C2345</f>
        <v/>
      </c>
      <c r="D2345" s="25">
        <f>ItensPedido!D2345</f>
        <v/>
      </c>
      <c r="E2345" s="26">
        <f>ItensPedido!E2345</f>
        <v/>
      </c>
      <c r="F2345" s="25">
        <f>IFERROR(INDEX(Pedidos!$B$2:$B$1801,MATCH(B2345,Pedidos!$A$2:$A$1801,0)),0)</f>
        <v/>
      </c>
      <c r="G2345" s="25">
        <f>IF(F2345=0,"",YEAR(F2345))</f>
        <v/>
      </c>
      <c r="H2345" s="25">
        <f>IF(F2345=0,"",MONTH(F2345))</f>
        <v/>
      </c>
      <c r="I2345" s="25">
        <f>IFERROR(INDEX(Pedidos!$E$2:$E$1801,MATCH(B2345,Pedidos!$A$2:$A$1801,0)),"")</f>
        <v/>
      </c>
      <c r="J2345" s="25">
        <f>IFERROR(INDEX(Pedidos!$C$2:$C$1801,MATCH(B2345,Pedidos!$A$2:$A$1801,0)),"")</f>
        <v/>
      </c>
      <c r="K2345" s="25">
        <f>IFERROR(INDEX(Pedidos!$D$2:$D$1801,MATCH(B2345,Pedidos!$A$2:$A$1801,0)),"")</f>
        <v/>
      </c>
      <c r="L2345" s="25">
        <f>IFERROR(INDEX(Pedidos!$F$2:$F$1801,MATCH(B2345,Pedidos!$A$2:$A$1801,0)),"")</f>
        <v/>
      </c>
      <c r="M2345" s="26">
        <f>IFERROR(INDEX(Pedidos!$G$2:$G$1801,MATCH(B2345,Pedidos!$A$2:$A$1801,0)),0)</f>
        <v/>
      </c>
      <c r="N2345" s="25">
        <f>IFERROR(INDEX(Produtos!$B$2:$B$71,MATCH(C2345,Produtos!$A$2:$A$71,0)),"")</f>
        <v/>
      </c>
      <c r="O2345" s="25">
        <f>IFERROR(INDEX(Produtos!$C$2:$C$71,MATCH(C2345,Produtos!$A$2:$A$71,0)),"")</f>
        <v/>
      </c>
      <c r="P2345" s="25">
        <f>IFERROR(INDEX(Produtos!$D$2:$D$71,MATCH(C2345,Produtos!$A$2:$A$71,0)),0)</f>
        <v/>
      </c>
      <c r="Q2345" s="25">
        <f>IFERROR(INDEX(Produtos!$E$2:$E$71,MATCH(C2345,Produtos!$A$2:$A$71,0)),0)</f>
        <v/>
      </c>
      <c r="R2345" s="27">
        <f>D2345*Q2345</f>
        <v/>
      </c>
      <c r="S2345" s="27">
        <f>R2345*E2345</f>
        <v/>
      </c>
      <c r="T2345" s="27">
        <f>(R2345-S2345)*M2345</f>
        <v/>
      </c>
      <c r="U2345" s="27">
        <f>R2345-S2345-T2345</f>
        <v/>
      </c>
      <c r="V2345" s="27">
        <f>D2345*P2345</f>
        <v/>
      </c>
      <c r="W2345" s="27">
        <f>U2345-V2345</f>
        <v/>
      </c>
      <c r="X2345" s="28">
        <f>IFERROR(W2345/U2345,0)</f>
        <v/>
      </c>
    </row>
    <row r="2346">
      <c r="A2346" s="21">
        <f>ItensPedido!A2346</f>
        <v/>
      </c>
      <c r="B2346" s="21">
        <f>ItensPedido!B2346</f>
        <v/>
      </c>
      <c r="C2346" s="21">
        <f>ItensPedido!C2346</f>
        <v/>
      </c>
      <c r="D2346" s="21">
        <f>ItensPedido!D2346</f>
        <v/>
      </c>
      <c r="E2346" s="22">
        <f>ItensPedido!E2346</f>
        <v/>
      </c>
      <c r="F2346" s="21">
        <f>IFERROR(INDEX(Pedidos!$B$2:$B$1801,MATCH(B2346,Pedidos!$A$2:$A$1801,0)),0)</f>
        <v/>
      </c>
      <c r="G2346" s="21">
        <f>IF(F2346=0,"",YEAR(F2346))</f>
        <v/>
      </c>
      <c r="H2346" s="21">
        <f>IF(F2346=0,"",MONTH(F2346))</f>
        <v/>
      </c>
      <c r="I2346" s="21">
        <f>IFERROR(INDEX(Pedidos!$E$2:$E$1801,MATCH(B2346,Pedidos!$A$2:$A$1801,0)),"")</f>
        <v/>
      </c>
      <c r="J2346" s="21">
        <f>IFERROR(INDEX(Pedidos!$C$2:$C$1801,MATCH(B2346,Pedidos!$A$2:$A$1801,0)),"")</f>
        <v/>
      </c>
      <c r="K2346" s="21">
        <f>IFERROR(INDEX(Pedidos!$D$2:$D$1801,MATCH(B2346,Pedidos!$A$2:$A$1801,0)),"")</f>
        <v/>
      </c>
      <c r="L2346" s="21">
        <f>IFERROR(INDEX(Pedidos!$F$2:$F$1801,MATCH(B2346,Pedidos!$A$2:$A$1801,0)),"")</f>
        <v/>
      </c>
      <c r="M2346" s="22">
        <f>IFERROR(INDEX(Pedidos!$G$2:$G$1801,MATCH(B2346,Pedidos!$A$2:$A$1801,0)),0)</f>
        <v/>
      </c>
      <c r="N2346" s="21">
        <f>IFERROR(INDEX(Produtos!$B$2:$B$71,MATCH(C2346,Produtos!$A$2:$A$71,0)),"")</f>
        <v/>
      </c>
      <c r="O2346" s="21">
        <f>IFERROR(INDEX(Produtos!$C$2:$C$71,MATCH(C2346,Produtos!$A$2:$A$71,0)),"")</f>
        <v/>
      </c>
      <c r="P2346" s="21">
        <f>IFERROR(INDEX(Produtos!$D$2:$D$71,MATCH(C2346,Produtos!$A$2:$A$71,0)),0)</f>
        <v/>
      </c>
      <c r="Q2346" s="21">
        <f>IFERROR(INDEX(Produtos!$E$2:$E$71,MATCH(C2346,Produtos!$A$2:$A$71,0)),0)</f>
        <v/>
      </c>
      <c r="R2346" s="23">
        <f>D2346*Q2346</f>
        <v/>
      </c>
      <c r="S2346" s="23">
        <f>R2346*E2346</f>
        <v/>
      </c>
      <c r="T2346" s="23">
        <f>(R2346-S2346)*M2346</f>
        <v/>
      </c>
      <c r="U2346" s="23">
        <f>R2346-S2346-T2346</f>
        <v/>
      </c>
      <c r="V2346" s="23">
        <f>D2346*P2346</f>
        <v/>
      </c>
      <c r="W2346" s="23">
        <f>U2346-V2346</f>
        <v/>
      </c>
      <c r="X2346" s="24">
        <f>IFERROR(W2346/U2346,0)</f>
        <v/>
      </c>
    </row>
    <row r="2347">
      <c r="A2347" s="25">
        <f>ItensPedido!A2347</f>
        <v/>
      </c>
      <c r="B2347" s="25">
        <f>ItensPedido!B2347</f>
        <v/>
      </c>
      <c r="C2347" s="25">
        <f>ItensPedido!C2347</f>
        <v/>
      </c>
      <c r="D2347" s="25">
        <f>ItensPedido!D2347</f>
        <v/>
      </c>
      <c r="E2347" s="26">
        <f>ItensPedido!E2347</f>
        <v/>
      </c>
      <c r="F2347" s="25">
        <f>IFERROR(INDEX(Pedidos!$B$2:$B$1801,MATCH(B2347,Pedidos!$A$2:$A$1801,0)),0)</f>
        <v/>
      </c>
      <c r="G2347" s="25">
        <f>IF(F2347=0,"",YEAR(F2347))</f>
        <v/>
      </c>
      <c r="H2347" s="25">
        <f>IF(F2347=0,"",MONTH(F2347))</f>
        <v/>
      </c>
      <c r="I2347" s="25">
        <f>IFERROR(INDEX(Pedidos!$E$2:$E$1801,MATCH(B2347,Pedidos!$A$2:$A$1801,0)),"")</f>
        <v/>
      </c>
      <c r="J2347" s="25">
        <f>IFERROR(INDEX(Pedidos!$C$2:$C$1801,MATCH(B2347,Pedidos!$A$2:$A$1801,0)),"")</f>
        <v/>
      </c>
      <c r="K2347" s="25">
        <f>IFERROR(INDEX(Pedidos!$D$2:$D$1801,MATCH(B2347,Pedidos!$A$2:$A$1801,0)),"")</f>
        <v/>
      </c>
      <c r="L2347" s="25">
        <f>IFERROR(INDEX(Pedidos!$F$2:$F$1801,MATCH(B2347,Pedidos!$A$2:$A$1801,0)),"")</f>
        <v/>
      </c>
      <c r="M2347" s="26">
        <f>IFERROR(INDEX(Pedidos!$G$2:$G$1801,MATCH(B2347,Pedidos!$A$2:$A$1801,0)),0)</f>
        <v/>
      </c>
      <c r="N2347" s="25">
        <f>IFERROR(INDEX(Produtos!$B$2:$B$71,MATCH(C2347,Produtos!$A$2:$A$71,0)),"")</f>
        <v/>
      </c>
      <c r="O2347" s="25">
        <f>IFERROR(INDEX(Produtos!$C$2:$C$71,MATCH(C2347,Produtos!$A$2:$A$71,0)),"")</f>
        <v/>
      </c>
      <c r="P2347" s="25">
        <f>IFERROR(INDEX(Produtos!$D$2:$D$71,MATCH(C2347,Produtos!$A$2:$A$71,0)),0)</f>
        <v/>
      </c>
      <c r="Q2347" s="25">
        <f>IFERROR(INDEX(Produtos!$E$2:$E$71,MATCH(C2347,Produtos!$A$2:$A$71,0)),0)</f>
        <v/>
      </c>
      <c r="R2347" s="27">
        <f>D2347*Q2347</f>
        <v/>
      </c>
      <c r="S2347" s="27">
        <f>R2347*E2347</f>
        <v/>
      </c>
      <c r="T2347" s="27">
        <f>(R2347-S2347)*M2347</f>
        <v/>
      </c>
      <c r="U2347" s="27">
        <f>R2347-S2347-T2347</f>
        <v/>
      </c>
      <c r="V2347" s="27">
        <f>D2347*P2347</f>
        <v/>
      </c>
      <c r="W2347" s="27">
        <f>U2347-V2347</f>
        <v/>
      </c>
      <c r="X2347" s="28">
        <f>IFERROR(W2347/U2347,0)</f>
        <v/>
      </c>
    </row>
    <row r="2348">
      <c r="A2348" s="21">
        <f>ItensPedido!A2348</f>
        <v/>
      </c>
      <c r="B2348" s="21">
        <f>ItensPedido!B2348</f>
        <v/>
      </c>
      <c r="C2348" s="21">
        <f>ItensPedido!C2348</f>
        <v/>
      </c>
      <c r="D2348" s="21">
        <f>ItensPedido!D2348</f>
        <v/>
      </c>
      <c r="E2348" s="22">
        <f>ItensPedido!E2348</f>
        <v/>
      </c>
      <c r="F2348" s="21">
        <f>IFERROR(INDEX(Pedidos!$B$2:$B$1801,MATCH(B2348,Pedidos!$A$2:$A$1801,0)),0)</f>
        <v/>
      </c>
      <c r="G2348" s="21">
        <f>IF(F2348=0,"",YEAR(F2348))</f>
        <v/>
      </c>
      <c r="H2348" s="21">
        <f>IF(F2348=0,"",MONTH(F2348))</f>
        <v/>
      </c>
      <c r="I2348" s="21">
        <f>IFERROR(INDEX(Pedidos!$E$2:$E$1801,MATCH(B2348,Pedidos!$A$2:$A$1801,0)),"")</f>
        <v/>
      </c>
      <c r="J2348" s="21">
        <f>IFERROR(INDEX(Pedidos!$C$2:$C$1801,MATCH(B2348,Pedidos!$A$2:$A$1801,0)),"")</f>
        <v/>
      </c>
      <c r="K2348" s="21">
        <f>IFERROR(INDEX(Pedidos!$D$2:$D$1801,MATCH(B2348,Pedidos!$A$2:$A$1801,0)),"")</f>
        <v/>
      </c>
      <c r="L2348" s="21">
        <f>IFERROR(INDEX(Pedidos!$F$2:$F$1801,MATCH(B2348,Pedidos!$A$2:$A$1801,0)),"")</f>
        <v/>
      </c>
      <c r="M2348" s="22">
        <f>IFERROR(INDEX(Pedidos!$G$2:$G$1801,MATCH(B2348,Pedidos!$A$2:$A$1801,0)),0)</f>
        <v/>
      </c>
      <c r="N2348" s="21">
        <f>IFERROR(INDEX(Produtos!$B$2:$B$71,MATCH(C2348,Produtos!$A$2:$A$71,0)),"")</f>
        <v/>
      </c>
      <c r="O2348" s="21">
        <f>IFERROR(INDEX(Produtos!$C$2:$C$71,MATCH(C2348,Produtos!$A$2:$A$71,0)),"")</f>
        <v/>
      </c>
      <c r="P2348" s="21">
        <f>IFERROR(INDEX(Produtos!$D$2:$D$71,MATCH(C2348,Produtos!$A$2:$A$71,0)),0)</f>
        <v/>
      </c>
      <c r="Q2348" s="21">
        <f>IFERROR(INDEX(Produtos!$E$2:$E$71,MATCH(C2348,Produtos!$A$2:$A$71,0)),0)</f>
        <v/>
      </c>
      <c r="R2348" s="23">
        <f>D2348*Q2348</f>
        <v/>
      </c>
      <c r="S2348" s="23">
        <f>R2348*E2348</f>
        <v/>
      </c>
      <c r="T2348" s="23">
        <f>(R2348-S2348)*M2348</f>
        <v/>
      </c>
      <c r="U2348" s="23">
        <f>R2348-S2348-T2348</f>
        <v/>
      </c>
      <c r="V2348" s="23">
        <f>D2348*P2348</f>
        <v/>
      </c>
      <c r="W2348" s="23">
        <f>U2348-V2348</f>
        <v/>
      </c>
      <c r="X2348" s="24">
        <f>IFERROR(W2348/U2348,0)</f>
        <v/>
      </c>
    </row>
    <row r="2349">
      <c r="A2349" s="25">
        <f>ItensPedido!A2349</f>
        <v/>
      </c>
      <c r="B2349" s="25">
        <f>ItensPedido!B2349</f>
        <v/>
      </c>
      <c r="C2349" s="25">
        <f>ItensPedido!C2349</f>
        <v/>
      </c>
      <c r="D2349" s="25">
        <f>ItensPedido!D2349</f>
        <v/>
      </c>
      <c r="E2349" s="26">
        <f>ItensPedido!E2349</f>
        <v/>
      </c>
      <c r="F2349" s="25">
        <f>IFERROR(INDEX(Pedidos!$B$2:$B$1801,MATCH(B2349,Pedidos!$A$2:$A$1801,0)),0)</f>
        <v/>
      </c>
      <c r="G2349" s="25">
        <f>IF(F2349=0,"",YEAR(F2349))</f>
        <v/>
      </c>
      <c r="H2349" s="25">
        <f>IF(F2349=0,"",MONTH(F2349))</f>
        <v/>
      </c>
      <c r="I2349" s="25">
        <f>IFERROR(INDEX(Pedidos!$E$2:$E$1801,MATCH(B2349,Pedidos!$A$2:$A$1801,0)),"")</f>
        <v/>
      </c>
      <c r="J2349" s="25">
        <f>IFERROR(INDEX(Pedidos!$C$2:$C$1801,MATCH(B2349,Pedidos!$A$2:$A$1801,0)),"")</f>
        <v/>
      </c>
      <c r="K2349" s="25">
        <f>IFERROR(INDEX(Pedidos!$D$2:$D$1801,MATCH(B2349,Pedidos!$A$2:$A$1801,0)),"")</f>
        <v/>
      </c>
      <c r="L2349" s="25">
        <f>IFERROR(INDEX(Pedidos!$F$2:$F$1801,MATCH(B2349,Pedidos!$A$2:$A$1801,0)),"")</f>
        <v/>
      </c>
      <c r="M2349" s="26">
        <f>IFERROR(INDEX(Pedidos!$G$2:$G$1801,MATCH(B2349,Pedidos!$A$2:$A$1801,0)),0)</f>
        <v/>
      </c>
      <c r="N2349" s="25">
        <f>IFERROR(INDEX(Produtos!$B$2:$B$71,MATCH(C2349,Produtos!$A$2:$A$71,0)),"")</f>
        <v/>
      </c>
      <c r="O2349" s="25">
        <f>IFERROR(INDEX(Produtos!$C$2:$C$71,MATCH(C2349,Produtos!$A$2:$A$71,0)),"")</f>
        <v/>
      </c>
      <c r="P2349" s="25">
        <f>IFERROR(INDEX(Produtos!$D$2:$D$71,MATCH(C2349,Produtos!$A$2:$A$71,0)),0)</f>
        <v/>
      </c>
      <c r="Q2349" s="25">
        <f>IFERROR(INDEX(Produtos!$E$2:$E$71,MATCH(C2349,Produtos!$A$2:$A$71,0)),0)</f>
        <v/>
      </c>
      <c r="R2349" s="27">
        <f>D2349*Q2349</f>
        <v/>
      </c>
      <c r="S2349" s="27">
        <f>R2349*E2349</f>
        <v/>
      </c>
      <c r="T2349" s="27">
        <f>(R2349-S2349)*M2349</f>
        <v/>
      </c>
      <c r="U2349" s="27">
        <f>R2349-S2349-T2349</f>
        <v/>
      </c>
      <c r="V2349" s="27">
        <f>D2349*P2349</f>
        <v/>
      </c>
      <c r="W2349" s="27">
        <f>U2349-V2349</f>
        <v/>
      </c>
      <c r="X2349" s="28">
        <f>IFERROR(W2349/U2349,0)</f>
        <v/>
      </c>
    </row>
    <row r="2350">
      <c r="A2350" s="21">
        <f>ItensPedido!A2350</f>
        <v/>
      </c>
      <c r="B2350" s="21">
        <f>ItensPedido!B2350</f>
        <v/>
      </c>
      <c r="C2350" s="21">
        <f>ItensPedido!C2350</f>
        <v/>
      </c>
      <c r="D2350" s="21">
        <f>ItensPedido!D2350</f>
        <v/>
      </c>
      <c r="E2350" s="22">
        <f>ItensPedido!E2350</f>
        <v/>
      </c>
      <c r="F2350" s="21">
        <f>IFERROR(INDEX(Pedidos!$B$2:$B$1801,MATCH(B2350,Pedidos!$A$2:$A$1801,0)),0)</f>
        <v/>
      </c>
      <c r="G2350" s="21">
        <f>IF(F2350=0,"",YEAR(F2350))</f>
        <v/>
      </c>
      <c r="H2350" s="21">
        <f>IF(F2350=0,"",MONTH(F2350))</f>
        <v/>
      </c>
      <c r="I2350" s="21">
        <f>IFERROR(INDEX(Pedidos!$E$2:$E$1801,MATCH(B2350,Pedidos!$A$2:$A$1801,0)),"")</f>
        <v/>
      </c>
      <c r="J2350" s="21">
        <f>IFERROR(INDEX(Pedidos!$C$2:$C$1801,MATCH(B2350,Pedidos!$A$2:$A$1801,0)),"")</f>
        <v/>
      </c>
      <c r="K2350" s="21">
        <f>IFERROR(INDEX(Pedidos!$D$2:$D$1801,MATCH(B2350,Pedidos!$A$2:$A$1801,0)),"")</f>
        <v/>
      </c>
      <c r="L2350" s="21">
        <f>IFERROR(INDEX(Pedidos!$F$2:$F$1801,MATCH(B2350,Pedidos!$A$2:$A$1801,0)),"")</f>
        <v/>
      </c>
      <c r="M2350" s="22">
        <f>IFERROR(INDEX(Pedidos!$G$2:$G$1801,MATCH(B2350,Pedidos!$A$2:$A$1801,0)),0)</f>
        <v/>
      </c>
      <c r="N2350" s="21">
        <f>IFERROR(INDEX(Produtos!$B$2:$B$71,MATCH(C2350,Produtos!$A$2:$A$71,0)),"")</f>
        <v/>
      </c>
      <c r="O2350" s="21">
        <f>IFERROR(INDEX(Produtos!$C$2:$C$71,MATCH(C2350,Produtos!$A$2:$A$71,0)),"")</f>
        <v/>
      </c>
      <c r="P2350" s="21">
        <f>IFERROR(INDEX(Produtos!$D$2:$D$71,MATCH(C2350,Produtos!$A$2:$A$71,0)),0)</f>
        <v/>
      </c>
      <c r="Q2350" s="21">
        <f>IFERROR(INDEX(Produtos!$E$2:$E$71,MATCH(C2350,Produtos!$A$2:$A$71,0)),0)</f>
        <v/>
      </c>
      <c r="R2350" s="23">
        <f>D2350*Q2350</f>
        <v/>
      </c>
      <c r="S2350" s="23">
        <f>R2350*E2350</f>
        <v/>
      </c>
      <c r="T2350" s="23">
        <f>(R2350-S2350)*M2350</f>
        <v/>
      </c>
      <c r="U2350" s="23">
        <f>R2350-S2350-T2350</f>
        <v/>
      </c>
      <c r="V2350" s="23">
        <f>D2350*P2350</f>
        <v/>
      </c>
      <c r="W2350" s="23">
        <f>U2350-V2350</f>
        <v/>
      </c>
      <c r="X2350" s="24">
        <f>IFERROR(W2350/U2350,0)</f>
        <v/>
      </c>
    </row>
    <row r="2351">
      <c r="A2351" s="25">
        <f>ItensPedido!A2351</f>
        <v/>
      </c>
      <c r="B2351" s="25">
        <f>ItensPedido!B2351</f>
        <v/>
      </c>
      <c r="C2351" s="25">
        <f>ItensPedido!C2351</f>
        <v/>
      </c>
      <c r="D2351" s="25">
        <f>ItensPedido!D2351</f>
        <v/>
      </c>
      <c r="E2351" s="26">
        <f>ItensPedido!E2351</f>
        <v/>
      </c>
      <c r="F2351" s="25">
        <f>IFERROR(INDEX(Pedidos!$B$2:$B$1801,MATCH(B2351,Pedidos!$A$2:$A$1801,0)),0)</f>
        <v/>
      </c>
      <c r="G2351" s="25">
        <f>IF(F2351=0,"",YEAR(F2351))</f>
        <v/>
      </c>
      <c r="H2351" s="25">
        <f>IF(F2351=0,"",MONTH(F2351))</f>
        <v/>
      </c>
      <c r="I2351" s="25">
        <f>IFERROR(INDEX(Pedidos!$E$2:$E$1801,MATCH(B2351,Pedidos!$A$2:$A$1801,0)),"")</f>
        <v/>
      </c>
      <c r="J2351" s="25">
        <f>IFERROR(INDEX(Pedidos!$C$2:$C$1801,MATCH(B2351,Pedidos!$A$2:$A$1801,0)),"")</f>
        <v/>
      </c>
      <c r="K2351" s="25">
        <f>IFERROR(INDEX(Pedidos!$D$2:$D$1801,MATCH(B2351,Pedidos!$A$2:$A$1801,0)),"")</f>
        <v/>
      </c>
      <c r="L2351" s="25">
        <f>IFERROR(INDEX(Pedidos!$F$2:$F$1801,MATCH(B2351,Pedidos!$A$2:$A$1801,0)),"")</f>
        <v/>
      </c>
      <c r="M2351" s="26">
        <f>IFERROR(INDEX(Pedidos!$G$2:$G$1801,MATCH(B2351,Pedidos!$A$2:$A$1801,0)),0)</f>
        <v/>
      </c>
      <c r="N2351" s="25">
        <f>IFERROR(INDEX(Produtos!$B$2:$B$71,MATCH(C2351,Produtos!$A$2:$A$71,0)),"")</f>
        <v/>
      </c>
      <c r="O2351" s="25">
        <f>IFERROR(INDEX(Produtos!$C$2:$C$71,MATCH(C2351,Produtos!$A$2:$A$71,0)),"")</f>
        <v/>
      </c>
      <c r="P2351" s="25">
        <f>IFERROR(INDEX(Produtos!$D$2:$D$71,MATCH(C2351,Produtos!$A$2:$A$71,0)),0)</f>
        <v/>
      </c>
      <c r="Q2351" s="25">
        <f>IFERROR(INDEX(Produtos!$E$2:$E$71,MATCH(C2351,Produtos!$A$2:$A$71,0)),0)</f>
        <v/>
      </c>
      <c r="R2351" s="27">
        <f>D2351*Q2351</f>
        <v/>
      </c>
      <c r="S2351" s="27">
        <f>R2351*E2351</f>
        <v/>
      </c>
      <c r="T2351" s="27">
        <f>(R2351-S2351)*M2351</f>
        <v/>
      </c>
      <c r="U2351" s="27">
        <f>R2351-S2351-T2351</f>
        <v/>
      </c>
      <c r="V2351" s="27">
        <f>D2351*P2351</f>
        <v/>
      </c>
      <c r="W2351" s="27">
        <f>U2351-V2351</f>
        <v/>
      </c>
      <c r="X2351" s="28">
        <f>IFERROR(W2351/U2351,0)</f>
        <v/>
      </c>
    </row>
    <row r="2352">
      <c r="A2352" s="21">
        <f>ItensPedido!A2352</f>
        <v/>
      </c>
      <c r="B2352" s="21">
        <f>ItensPedido!B2352</f>
        <v/>
      </c>
      <c r="C2352" s="21">
        <f>ItensPedido!C2352</f>
        <v/>
      </c>
      <c r="D2352" s="21">
        <f>ItensPedido!D2352</f>
        <v/>
      </c>
      <c r="E2352" s="22">
        <f>ItensPedido!E2352</f>
        <v/>
      </c>
      <c r="F2352" s="21">
        <f>IFERROR(INDEX(Pedidos!$B$2:$B$1801,MATCH(B2352,Pedidos!$A$2:$A$1801,0)),0)</f>
        <v/>
      </c>
      <c r="G2352" s="21">
        <f>IF(F2352=0,"",YEAR(F2352))</f>
        <v/>
      </c>
      <c r="H2352" s="21">
        <f>IF(F2352=0,"",MONTH(F2352))</f>
        <v/>
      </c>
      <c r="I2352" s="21">
        <f>IFERROR(INDEX(Pedidos!$E$2:$E$1801,MATCH(B2352,Pedidos!$A$2:$A$1801,0)),"")</f>
        <v/>
      </c>
      <c r="J2352" s="21">
        <f>IFERROR(INDEX(Pedidos!$C$2:$C$1801,MATCH(B2352,Pedidos!$A$2:$A$1801,0)),"")</f>
        <v/>
      </c>
      <c r="K2352" s="21">
        <f>IFERROR(INDEX(Pedidos!$D$2:$D$1801,MATCH(B2352,Pedidos!$A$2:$A$1801,0)),"")</f>
        <v/>
      </c>
      <c r="L2352" s="21">
        <f>IFERROR(INDEX(Pedidos!$F$2:$F$1801,MATCH(B2352,Pedidos!$A$2:$A$1801,0)),"")</f>
        <v/>
      </c>
      <c r="M2352" s="22">
        <f>IFERROR(INDEX(Pedidos!$G$2:$G$1801,MATCH(B2352,Pedidos!$A$2:$A$1801,0)),0)</f>
        <v/>
      </c>
      <c r="N2352" s="21">
        <f>IFERROR(INDEX(Produtos!$B$2:$B$71,MATCH(C2352,Produtos!$A$2:$A$71,0)),"")</f>
        <v/>
      </c>
      <c r="O2352" s="21">
        <f>IFERROR(INDEX(Produtos!$C$2:$C$71,MATCH(C2352,Produtos!$A$2:$A$71,0)),"")</f>
        <v/>
      </c>
      <c r="P2352" s="21">
        <f>IFERROR(INDEX(Produtos!$D$2:$D$71,MATCH(C2352,Produtos!$A$2:$A$71,0)),0)</f>
        <v/>
      </c>
      <c r="Q2352" s="21">
        <f>IFERROR(INDEX(Produtos!$E$2:$E$71,MATCH(C2352,Produtos!$A$2:$A$71,0)),0)</f>
        <v/>
      </c>
      <c r="R2352" s="23">
        <f>D2352*Q2352</f>
        <v/>
      </c>
      <c r="S2352" s="23">
        <f>R2352*E2352</f>
        <v/>
      </c>
      <c r="T2352" s="23">
        <f>(R2352-S2352)*M2352</f>
        <v/>
      </c>
      <c r="U2352" s="23">
        <f>R2352-S2352-T2352</f>
        <v/>
      </c>
      <c r="V2352" s="23">
        <f>D2352*P2352</f>
        <v/>
      </c>
      <c r="W2352" s="23">
        <f>U2352-V2352</f>
        <v/>
      </c>
      <c r="X2352" s="24">
        <f>IFERROR(W2352/U2352,0)</f>
        <v/>
      </c>
    </row>
    <row r="2353">
      <c r="A2353" s="25">
        <f>ItensPedido!A2353</f>
        <v/>
      </c>
      <c r="B2353" s="25">
        <f>ItensPedido!B2353</f>
        <v/>
      </c>
      <c r="C2353" s="25">
        <f>ItensPedido!C2353</f>
        <v/>
      </c>
      <c r="D2353" s="25">
        <f>ItensPedido!D2353</f>
        <v/>
      </c>
      <c r="E2353" s="26">
        <f>ItensPedido!E2353</f>
        <v/>
      </c>
      <c r="F2353" s="25">
        <f>IFERROR(INDEX(Pedidos!$B$2:$B$1801,MATCH(B2353,Pedidos!$A$2:$A$1801,0)),0)</f>
        <v/>
      </c>
      <c r="G2353" s="25">
        <f>IF(F2353=0,"",YEAR(F2353))</f>
        <v/>
      </c>
      <c r="H2353" s="25">
        <f>IF(F2353=0,"",MONTH(F2353))</f>
        <v/>
      </c>
      <c r="I2353" s="25">
        <f>IFERROR(INDEX(Pedidos!$E$2:$E$1801,MATCH(B2353,Pedidos!$A$2:$A$1801,0)),"")</f>
        <v/>
      </c>
      <c r="J2353" s="25">
        <f>IFERROR(INDEX(Pedidos!$C$2:$C$1801,MATCH(B2353,Pedidos!$A$2:$A$1801,0)),"")</f>
        <v/>
      </c>
      <c r="K2353" s="25">
        <f>IFERROR(INDEX(Pedidos!$D$2:$D$1801,MATCH(B2353,Pedidos!$A$2:$A$1801,0)),"")</f>
        <v/>
      </c>
      <c r="L2353" s="25">
        <f>IFERROR(INDEX(Pedidos!$F$2:$F$1801,MATCH(B2353,Pedidos!$A$2:$A$1801,0)),"")</f>
        <v/>
      </c>
      <c r="M2353" s="26">
        <f>IFERROR(INDEX(Pedidos!$G$2:$G$1801,MATCH(B2353,Pedidos!$A$2:$A$1801,0)),0)</f>
        <v/>
      </c>
      <c r="N2353" s="25">
        <f>IFERROR(INDEX(Produtos!$B$2:$B$71,MATCH(C2353,Produtos!$A$2:$A$71,0)),"")</f>
        <v/>
      </c>
      <c r="O2353" s="25">
        <f>IFERROR(INDEX(Produtos!$C$2:$C$71,MATCH(C2353,Produtos!$A$2:$A$71,0)),"")</f>
        <v/>
      </c>
      <c r="P2353" s="25">
        <f>IFERROR(INDEX(Produtos!$D$2:$D$71,MATCH(C2353,Produtos!$A$2:$A$71,0)),0)</f>
        <v/>
      </c>
      <c r="Q2353" s="25">
        <f>IFERROR(INDEX(Produtos!$E$2:$E$71,MATCH(C2353,Produtos!$A$2:$A$71,0)),0)</f>
        <v/>
      </c>
      <c r="R2353" s="27">
        <f>D2353*Q2353</f>
        <v/>
      </c>
      <c r="S2353" s="27">
        <f>R2353*E2353</f>
        <v/>
      </c>
      <c r="T2353" s="27">
        <f>(R2353-S2353)*M2353</f>
        <v/>
      </c>
      <c r="U2353" s="27">
        <f>R2353-S2353-T2353</f>
        <v/>
      </c>
      <c r="V2353" s="27">
        <f>D2353*P2353</f>
        <v/>
      </c>
      <c r="W2353" s="27">
        <f>U2353-V2353</f>
        <v/>
      </c>
      <c r="X2353" s="28">
        <f>IFERROR(W2353/U2353,0)</f>
        <v/>
      </c>
    </row>
    <row r="2354">
      <c r="A2354" s="21">
        <f>ItensPedido!A2354</f>
        <v/>
      </c>
      <c r="B2354" s="21">
        <f>ItensPedido!B2354</f>
        <v/>
      </c>
      <c r="C2354" s="21">
        <f>ItensPedido!C2354</f>
        <v/>
      </c>
      <c r="D2354" s="21">
        <f>ItensPedido!D2354</f>
        <v/>
      </c>
      <c r="E2354" s="22">
        <f>ItensPedido!E2354</f>
        <v/>
      </c>
      <c r="F2354" s="21">
        <f>IFERROR(INDEX(Pedidos!$B$2:$B$1801,MATCH(B2354,Pedidos!$A$2:$A$1801,0)),0)</f>
        <v/>
      </c>
      <c r="G2354" s="21">
        <f>IF(F2354=0,"",YEAR(F2354))</f>
        <v/>
      </c>
      <c r="H2354" s="21">
        <f>IF(F2354=0,"",MONTH(F2354))</f>
        <v/>
      </c>
      <c r="I2354" s="21">
        <f>IFERROR(INDEX(Pedidos!$E$2:$E$1801,MATCH(B2354,Pedidos!$A$2:$A$1801,0)),"")</f>
        <v/>
      </c>
      <c r="J2354" s="21">
        <f>IFERROR(INDEX(Pedidos!$C$2:$C$1801,MATCH(B2354,Pedidos!$A$2:$A$1801,0)),"")</f>
        <v/>
      </c>
      <c r="K2354" s="21">
        <f>IFERROR(INDEX(Pedidos!$D$2:$D$1801,MATCH(B2354,Pedidos!$A$2:$A$1801,0)),"")</f>
        <v/>
      </c>
      <c r="L2354" s="21">
        <f>IFERROR(INDEX(Pedidos!$F$2:$F$1801,MATCH(B2354,Pedidos!$A$2:$A$1801,0)),"")</f>
        <v/>
      </c>
      <c r="M2354" s="22">
        <f>IFERROR(INDEX(Pedidos!$G$2:$G$1801,MATCH(B2354,Pedidos!$A$2:$A$1801,0)),0)</f>
        <v/>
      </c>
      <c r="N2354" s="21">
        <f>IFERROR(INDEX(Produtos!$B$2:$B$71,MATCH(C2354,Produtos!$A$2:$A$71,0)),"")</f>
        <v/>
      </c>
      <c r="O2354" s="21">
        <f>IFERROR(INDEX(Produtos!$C$2:$C$71,MATCH(C2354,Produtos!$A$2:$A$71,0)),"")</f>
        <v/>
      </c>
      <c r="P2354" s="21">
        <f>IFERROR(INDEX(Produtos!$D$2:$D$71,MATCH(C2354,Produtos!$A$2:$A$71,0)),0)</f>
        <v/>
      </c>
      <c r="Q2354" s="21">
        <f>IFERROR(INDEX(Produtos!$E$2:$E$71,MATCH(C2354,Produtos!$A$2:$A$71,0)),0)</f>
        <v/>
      </c>
      <c r="R2354" s="23">
        <f>D2354*Q2354</f>
        <v/>
      </c>
      <c r="S2354" s="23">
        <f>R2354*E2354</f>
        <v/>
      </c>
      <c r="T2354" s="23">
        <f>(R2354-S2354)*M2354</f>
        <v/>
      </c>
      <c r="U2354" s="23">
        <f>R2354-S2354-T2354</f>
        <v/>
      </c>
      <c r="V2354" s="23">
        <f>D2354*P2354</f>
        <v/>
      </c>
      <c r="W2354" s="23">
        <f>U2354-V2354</f>
        <v/>
      </c>
      <c r="X2354" s="24">
        <f>IFERROR(W2354/U2354,0)</f>
        <v/>
      </c>
    </row>
    <row r="2355">
      <c r="A2355" s="25">
        <f>ItensPedido!A2355</f>
        <v/>
      </c>
      <c r="B2355" s="25">
        <f>ItensPedido!B2355</f>
        <v/>
      </c>
      <c r="C2355" s="25">
        <f>ItensPedido!C2355</f>
        <v/>
      </c>
      <c r="D2355" s="25">
        <f>ItensPedido!D2355</f>
        <v/>
      </c>
      <c r="E2355" s="26">
        <f>ItensPedido!E2355</f>
        <v/>
      </c>
      <c r="F2355" s="25">
        <f>IFERROR(INDEX(Pedidos!$B$2:$B$1801,MATCH(B2355,Pedidos!$A$2:$A$1801,0)),0)</f>
        <v/>
      </c>
      <c r="G2355" s="25">
        <f>IF(F2355=0,"",YEAR(F2355))</f>
        <v/>
      </c>
      <c r="H2355" s="25">
        <f>IF(F2355=0,"",MONTH(F2355))</f>
        <v/>
      </c>
      <c r="I2355" s="25">
        <f>IFERROR(INDEX(Pedidos!$E$2:$E$1801,MATCH(B2355,Pedidos!$A$2:$A$1801,0)),"")</f>
        <v/>
      </c>
      <c r="J2355" s="25">
        <f>IFERROR(INDEX(Pedidos!$C$2:$C$1801,MATCH(B2355,Pedidos!$A$2:$A$1801,0)),"")</f>
        <v/>
      </c>
      <c r="K2355" s="25">
        <f>IFERROR(INDEX(Pedidos!$D$2:$D$1801,MATCH(B2355,Pedidos!$A$2:$A$1801,0)),"")</f>
        <v/>
      </c>
      <c r="L2355" s="25">
        <f>IFERROR(INDEX(Pedidos!$F$2:$F$1801,MATCH(B2355,Pedidos!$A$2:$A$1801,0)),"")</f>
        <v/>
      </c>
      <c r="M2355" s="26">
        <f>IFERROR(INDEX(Pedidos!$G$2:$G$1801,MATCH(B2355,Pedidos!$A$2:$A$1801,0)),0)</f>
        <v/>
      </c>
      <c r="N2355" s="25">
        <f>IFERROR(INDEX(Produtos!$B$2:$B$71,MATCH(C2355,Produtos!$A$2:$A$71,0)),"")</f>
        <v/>
      </c>
      <c r="O2355" s="25">
        <f>IFERROR(INDEX(Produtos!$C$2:$C$71,MATCH(C2355,Produtos!$A$2:$A$71,0)),"")</f>
        <v/>
      </c>
      <c r="P2355" s="25">
        <f>IFERROR(INDEX(Produtos!$D$2:$D$71,MATCH(C2355,Produtos!$A$2:$A$71,0)),0)</f>
        <v/>
      </c>
      <c r="Q2355" s="25">
        <f>IFERROR(INDEX(Produtos!$E$2:$E$71,MATCH(C2355,Produtos!$A$2:$A$71,0)),0)</f>
        <v/>
      </c>
      <c r="R2355" s="27">
        <f>D2355*Q2355</f>
        <v/>
      </c>
      <c r="S2355" s="27">
        <f>R2355*E2355</f>
        <v/>
      </c>
      <c r="T2355" s="27">
        <f>(R2355-S2355)*M2355</f>
        <v/>
      </c>
      <c r="U2355" s="27">
        <f>R2355-S2355-T2355</f>
        <v/>
      </c>
      <c r="V2355" s="27">
        <f>D2355*P2355</f>
        <v/>
      </c>
      <c r="W2355" s="27">
        <f>U2355-V2355</f>
        <v/>
      </c>
      <c r="X2355" s="28">
        <f>IFERROR(W2355/U2355,0)</f>
        <v/>
      </c>
    </row>
    <row r="2356">
      <c r="A2356" s="21">
        <f>ItensPedido!A2356</f>
        <v/>
      </c>
      <c r="B2356" s="21">
        <f>ItensPedido!B2356</f>
        <v/>
      </c>
      <c r="C2356" s="21">
        <f>ItensPedido!C2356</f>
        <v/>
      </c>
      <c r="D2356" s="21">
        <f>ItensPedido!D2356</f>
        <v/>
      </c>
      <c r="E2356" s="22">
        <f>ItensPedido!E2356</f>
        <v/>
      </c>
      <c r="F2356" s="21">
        <f>IFERROR(INDEX(Pedidos!$B$2:$B$1801,MATCH(B2356,Pedidos!$A$2:$A$1801,0)),0)</f>
        <v/>
      </c>
      <c r="G2356" s="21">
        <f>IF(F2356=0,"",YEAR(F2356))</f>
        <v/>
      </c>
      <c r="H2356" s="21">
        <f>IF(F2356=0,"",MONTH(F2356))</f>
        <v/>
      </c>
      <c r="I2356" s="21">
        <f>IFERROR(INDEX(Pedidos!$E$2:$E$1801,MATCH(B2356,Pedidos!$A$2:$A$1801,0)),"")</f>
        <v/>
      </c>
      <c r="J2356" s="21">
        <f>IFERROR(INDEX(Pedidos!$C$2:$C$1801,MATCH(B2356,Pedidos!$A$2:$A$1801,0)),"")</f>
        <v/>
      </c>
      <c r="K2356" s="21">
        <f>IFERROR(INDEX(Pedidos!$D$2:$D$1801,MATCH(B2356,Pedidos!$A$2:$A$1801,0)),"")</f>
        <v/>
      </c>
      <c r="L2356" s="21">
        <f>IFERROR(INDEX(Pedidos!$F$2:$F$1801,MATCH(B2356,Pedidos!$A$2:$A$1801,0)),"")</f>
        <v/>
      </c>
      <c r="M2356" s="22">
        <f>IFERROR(INDEX(Pedidos!$G$2:$G$1801,MATCH(B2356,Pedidos!$A$2:$A$1801,0)),0)</f>
        <v/>
      </c>
      <c r="N2356" s="21">
        <f>IFERROR(INDEX(Produtos!$B$2:$B$71,MATCH(C2356,Produtos!$A$2:$A$71,0)),"")</f>
        <v/>
      </c>
      <c r="O2356" s="21">
        <f>IFERROR(INDEX(Produtos!$C$2:$C$71,MATCH(C2356,Produtos!$A$2:$A$71,0)),"")</f>
        <v/>
      </c>
      <c r="P2356" s="21">
        <f>IFERROR(INDEX(Produtos!$D$2:$D$71,MATCH(C2356,Produtos!$A$2:$A$71,0)),0)</f>
        <v/>
      </c>
      <c r="Q2356" s="21">
        <f>IFERROR(INDEX(Produtos!$E$2:$E$71,MATCH(C2356,Produtos!$A$2:$A$71,0)),0)</f>
        <v/>
      </c>
      <c r="R2356" s="23">
        <f>D2356*Q2356</f>
        <v/>
      </c>
      <c r="S2356" s="23">
        <f>R2356*E2356</f>
        <v/>
      </c>
      <c r="T2356" s="23">
        <f>(R2356-S2356)*M2356</f>
        <v/>
      </c>
      <c r="U2356" s="23">
        <f>R2356-S2356-T2356</f>
        <v/>
      </c>
      <c r="V2356" s="23">
        <f>D2356*P2356</f>
        <v/>
      </c>
      <c r="W2356" s="23">
        <f>U2356-V2356</f>
        <v/>
      </c>
      <c r="X2356" s="24">
        <f>IFERROR(W2356/U2356,0)</f>
        <v/>
      </c>
    </row>
    <row r="2357">
      <c r="A2357" s="25">
        <f>ItensPedido!A2357</f>
        <v/>
      </c>
      <c r="B2357" s="25">
        <f>ItensPedido!B2357</f>
        <v/>
      </c>
      <c r="C2357" s="25">
        <f>ItensPedido!C2357</f>
        <v/>
      </c>
      <c r="D2357" s="25">
        <f>ItensPedido!D2357</f>
        <v/>
      </c>
      <c r="E2357" s="26">
        <f>ItensPedido!E2357</f>
        <v/>
      </c>
      <c r="F2357" s="25">
        <f>IFERROR(INDEX(Pedidos!$B$2:$B$1801,MATCH(B2357,Pedidos!$A$2:$A$1801,0)),0)</f>
        <v/>
      </c>
      <c r="G2357" s="25">
        <f>IF(F2357=0,"",YEAR(F2357))</f>
        <v/>
      </c>
      <c r="H2357" s="25">
        <f>IF(F2357=0,"",MONTH(F2357))</f>
        <v/>
      </c>
      <c r="I2357" s="25">
        <f>IFERROR(INDEX(Pedidos!$E$2:$E$1801,MATCH(B2357,Pedidos!$A$2:$A$1801,0)),"")</f>
        <v/>
      </c>
      <c r="J2357" s="25">
        <f>IFERROR(INDEX(Pedidos!$C$2:$C$1801,MATCH(B2357,Pedidos!$A$2:$A$1801,0)),"")</f>
        <v/>
      </c>
      <c r="K2357" s="25">
        <f>IFERROR(INDEX(Pedidos!$D$2:$D$1801,MATCH(B2357,Pedidos!$A$2:$A$1801,0)),"")</f>
        <v/>
      </c>
      <c r="L2357" s="25">
        <f>IFERROR(INDEX(Pedidos!$F$2:$F$1801,MATCH(B2357,Pedidos!$A$2:$A$1801,0)),"")</f>
        <v/>
      </c>
      <c r="M2357" s="26">
        <f>IFERROR(INDEX(Pedidos!$G$2:$G$1801,MATCH(B2357,Pedidos!$A$2:$A$1801,0)),0)</f>
        <v/>
      </c>
      <c r="N2357" s="25">
        <f>IFERROR(INDEX(Produtos!$B$2:$B$71,MATCH(C2357,Produtos!$A$2:$A$71,0)),"")</f>
        <v/>
      </c>
      <c r="O2357" s="25">
        <f>IFERROR(INDEX(Produtos!$C$2:$C$71,MATCH(C2357,Produtos!$A$2:$A$71,0)),"")</f>
        <v/>
      </c>
      <c r="P2357" s="25">
        <f>IFERROR(INDEX(Produtos!$D$2:$D$71,MATCH(C2357,Produtos!$A$2:$A$71,0)),0)</f>
        <v/>
      </c>
      <c r="Q2357" s="25">
        <f>IFERROR(INDEX(Produtos!$E$2:$E$71,MATCH(C2357,Produtos!$A$2:$A$71,0)),0)</f>
        <v/>
      </c>
      <c r="R2357" s="27">
        <f>D2357*Q2357</f>
        <v/>
      </c>
      <c r="S2357" s="27">
        <f>R2357*E2357</f>
        <v/>
      </c>
      <c r="T2357" s="27">
        <f>(R2357-S2357)*M2357</f>
        <v/>
      </c>
      <c r="U2357" s="27">
        <f>R2357-S2357-T2357</f>
        <v/>
      </c>
      <c r="V2357" s="27">
        <f>D2357*P2357</f>
        <v/>
      </c>
      <c r="W2357" s="27">
        <f>U2357-V2357</f>
        <v/>
      </c>
      <c r="X2357" s="28">
        <f>IFERROR(W2357/U2357,0)</f>
        <v/>
      </c>
    </row>
    <row r="2358">
      <c r="A2358" s="21">
        <f>ItensPedido!A2358</f>
        <v/>
      </c>
      <c r="B2358" s="21">
        <f>ItensPedido!B2358</f>
        <v/>
      </c>
      <c r="C2358" s="21">
        <f>ItensPedido!C2358</f>
        <v/>
      </c>
      <c r="D2358" s="21">
        <f>ItensPedido!D2358</f>
        <v/>
      </c>
      <c r="E2358" s="22">
        <f>ItensPedido!E2358</f>
        <v/>
      </c>
      <c r="F2358" s="21">
        <f>IFERROR(INDEX(Pedidos!$B$2:$B$1801,MATCH(B2358,Pedidos!$A$2:$A$1801,0)),0)</f>
        <v/>
      </c>
      <c r="G2358" s="21">
        <f>IF(F2358=0,"",YEAR(F2358))</f>
        <v/>
      </c>
      <c r="H2358" s="21">
        <f>IF(F2358=0,"",MONTH(F2358))</f>
        <v/>
      </c>
      <c r="I2358" s="21">
        <f>IFERROR(INDEX(Pedidos!$E$2:$E$1801,MATCH(B2358,Pedidos!$A$2:$A$1801,0)),"")</f>
        <v/>
      </c>
      <c r="J2358" s="21">
        <f>IFERROR(INDEX(Pedidos!$C$2:$C$1801,MATCH(B2358,Pedidos!$A$2:$A$1801,0)),"")</f>
        <v/>
      </c>
      <c r="K2358" s="21">
        <f>IFERROR(INDEX(Pedidos!$D$2:$D$1801,MATCH(B2358,Pedidos!$A$2:$A$1801,0)),"")</f>
        <v/>
      </c>
      <c r="L2358" s="21">
        <f>IFERROR(INDEX(Pedidos!$F$2:$F$1801,MATCH(B2358,Pedidos!$A$2:$A$1801,0)),"")</f>
        <v/>
      </c>
      <c r="M2358" s="22">
        <f>IFERROR(INDEX(Pedidos!$G$2:$G$1801,MATCH(B2358,Pedidos!$A$2:$A$1801,0)),0)</f>
        <v/>
      </c>
      <c r="N2358" s="21">
        <f>IFERROR(INDEX(Produtos!$B$2:$B$71,MATCH(C2358,Produtos!$A$2:$A$71,0)),"")</f>
        <v/>
      </c>
      <c r="O2358" s="21">
        <f>IFERROR(INDEX(Produtos!$C$2:$C$71,MATCH(C2358,Produtos!$A$2:$A$71,0)),"")</f>
        <v/>
      </c>
      <c r="P2358" s="21">
        <f>IFERROR(INDEX(Produtos!$D$2:$D$71,MATCH(C2358,Produtos!$A$2:$A$71,0)),0)</f>
        <v/>
      </c>
      <c r="Q2358" s="21">
        <f>IFERROR(INDEX(Produtos!$E$2:$E$71,MATCH(C2358,Produtos!$A$2:$A$71,0)),0)</f>
        <v/>
      </c>
      <c r="R2358" s="23">
        <f>D2358*Q2358</f>
        <v/>
      </c>
      <c r="S2358" s="23">
        <f>R2358*E2358</f>
        <v/>
      </c>
      <c r="T2358" s="23">
        <f>(R2358-S2358)*M2358</f>
        <v/>
      </c>
      <c r="U2358" s="23">
        <f>R2358-S2358-T2358</f>
        <v/>
      </c>
      <c r="V2358" s="23">
        <f>D2358*P2358</f>
        <v/>
      </c>
      <c r="W2358" s="23">
        <f>U2358-V2358</f>
        <v/>
      </c>
      <c r="X2358" s="24">
        <f>IFERROR(W2358/U2358,0)</f>
        <v/>
      </c>
    </row>
    <row r="2359">
      <c r="A2359" s="25">
        <f>ItensPedido!A2359</f>
        <v/>
      </c>
      <c r="B2359" s="25">
        <f>ItensPedido!B2359</f>
        <v/>
      </c>
      <c r="C2359" s="25">
        <f>ItensPedido!C2359</f>
        <v/>
      </c>
      <c r="D2359" s="25">
        <f>ItensPedido!D2359</f>
        <v/>
      </c>
      <c r="E2359" s="26">
        <f>ItensPedido!E2359</f>
        <v/>
      </c>
      <c r="F2359" s="25">
        <f>IFERROR(INDEX(Pedidos!$B$2:$B$1801,MATCH(B2359,Pedidos!$A$2:$A$1801,0)),0)</f>
        <v/>
      </c>
      <c r="G2359" s="25">
        <f>IF(F2359=0,"",YEAR(F2359))</f>
        <v/>
      </c>
      <c r="H2359" s="25">
        <f>IF(F2359=0,"",MONTH(F2359))</f>
        <v/>
      </c>
      <c r="I2359" s="25">
        <f>IFERROR(INDEX(Pedidos!$E$2:$E$1801,MATCH(B2359,Pedidos!$A$2:$A$1801,0)),"")</f>
        <v/>
      </c>
      <c r="J2359" s="25">
        <f>IFERROR(INDEX(Pedidos!$C$2:$C$1801,MATCH(B2359,Pedidos!$A$2:$A$1801,0)),"")</f>
        <v/>
      </c>
      <c r="K2359" s="25">
        <f>IFERROR(INDEX(Pedidos!$D$2:$D$1801,MATCH(B2359,Pedidos!$A$2:$A$1801,0)),"")</f>
        <v/>
      </c>
      <c r="L2359" s="25">
        <f>IFERROR(INDEX(Pedidos!$F$2:$F$1801,MATCH(B2359,Pedidos!$A$2:$A$1801,0)),"")</f>
        <v/>
      </c>
      <c r="M2359" s="26">
        <f>IFERROR(INDEX(Pedidos!$G$2:$G$1801,MATCH(B2359,Pedidos!$A$2:$A$1801,0)),0)</f>
        <v/>
      </c>
      <c r="N2359" s="25">
        <f>IFERROR(INDEX(Produtos!$B$2:$B$71,MATCH(C2359,Produtos!$A$2:$A$71,0)),"")</f>
        <v/>
      </c>
      <c r="O2359" s="25">
        <f>IFERROR(INDEX(Produtos!$C$2:$C$71,MATCH(C2359,Produtos!$A$2:$A$71,0)),"")</f>
        <v/>
      </c>
      <c r="P2359" s="25">
        <f>IFERROR(INDEX(Produtos!$D$2:$D$71,MATCH(C2359,Produtos!$A$2:$A$71,0)),0)</f>
        <v/>
      </c>
      <c r="Q2359" s="25">
        <f>IFERROR(INDEX(Produtos!$E$2:$E$71,MATCH(C2359,Produtos!$A$2:$A$71,0)),0)</f>
        <v/>
      </c>
      <c r="R2359" s="27">
        <f>D2359*Q2359</f>
        <v/>
      </c>
      <c r="S2359" s="27">
        <f>R2359*E2359</f>
        <v/>
      </c>
      <c r="T2359" s="27">
        <f>(R2359-S2359)*M2359</f>
        <v/>
      </c>
      <c r="U2359" s="27">
        <f>R2359-S2359-T2359</f>
        <v/>
      </c>
      <c r="V2359" s="27">
        <f>D2359*P2359</f>
        <v/>
      </c>
      <c r="W2359" s="27">
        <f>U2359-V2359</f>
        <v/>
      </c>
      <c r="X2359" s="28">
        <f>IFERROR(W2359/U2359,0)</f>
        <v/>
      </c>
    </row>
    <row r="2360">
      <c r="A2360" s="21">
        <f>ItensPedido!A2360</f>
        <v/>
      </c>
      <c r="B2360" s="21">
        <f>ItensPedido!B2360</f>
        <v/>
      </c>
      <c r="C2360" s="21">
        <f>ItensPedido!C2360</f>
        <v/>
      </c>
      <c r="D2360" s="21">
        <f>ItensPedido!D2360</f>
        <v/>
      </c>
      <c r="E2360" s="22">
        <f>ItensPedido!E2360</f>
        <v/>
      </c>
      <c r="F2360" s="21">
        <f>IFERROR(INDEX(Pedidos!$B$2:$B$1801,MATCH(B2360,Pedidos!$A$2:$A$1801,0)),0)</f>
        <v/>
      </c>
      <c r="G2360" s="21">
        <f>IF(F2360=0,"",YEAR(F2360))</f>
        <v/>
      </c>
      <c r="H2360" s="21">
        <f>IF(F2360=0,"",MONTH(F2360))</f>
        <v/>
      </c>
      <c r="I2360" s="21">
        <f>IFERROR(INDEX(Pedidos!$E$2:$E$1801,MATCH(B2360,Pedidos!$A$2:$A$1801,0)),"")</f>
        <v/>
      </c>
      <c r="J2360" s="21">
        <f>IFERROR(INDEX(Pedidos!$C$2:$C$1801,MATCH(B2360,Pedidos!$A$2:$A$1801,0)),"")</f>
        <v/>
      </c>
      <c r="K2360" s="21">
        <f>IFERROR(INDEX(Pedidos!$D$2:$D$1801,MATCH(B2360,Pedidos!$A$2:$A$1801,0)),"")</f>
        <v/>
      </c>
      <c r="L2360" s="21">
        <f>IFERROR(INDEX(Pedidos!$F$2:$F$1801,MATCH(B2360,Pedidos!$A$2:$A$1801,0)),"")</f>
        <v/>
      </c>
      <c r="M2360" s="22">
        <f>IFERROR(INDEX(Pedidos!$G$2:$G$1801,MATCH(B2360,Pedidos!$A$2:$A$1801,0)),0)</f>
        <v/>
      </c>
      <c r="N2360" s="21">
        <f>IFERROR(INDEX(Produtos!$B$2:$B$71,MATCH(C2360,Produtos!$A$2:$A$71,0)),"")</f>
        <v/>
      </c>
      <c r="O2360" s="21">
        <f>IFERROR(INDEX(Produtos!$C$2:$C$71,MATCH(C2360,Produtos!$A$2:$A$71,0)),"")</f>
        <v/>
      </c>
      <c r="P2360" s="21">
        <f>IFERROR(INDEX(Produtos!$D$2:$D$71,MATCH(C2360,Produtos!$A$2:$A$71,0)),0)</f>
        <v/>
      </c>
      <c r="Q2360" s="21">
        <f>IFERROR(INDEX(Produtos!$E$2:$E$71,MATCH(C2360,Produtos!$A$2:$A$71,0)),0)</f>
        <v/>
      </c>
      <c r="R2360" s="23">
        <f>D2360*Q2360</f>
        <v/>
      </c>
      <c r="S2360" s="23">
        <f>R2360*E2360</f>
        <v/>
      </c>
      <c r="T2360" s="23">
        <f>(R2360-S2360)*M2360</f>
        <v/>
      </c>
      <c r="U2360" s="23">
        <f>R2360-S2360-T2360</f>
        <v/>
      </c>
      <c r="V2360" s="23">
        <f>D2360*P2360</f>
        <v/>
      </c>
      <c r="W2360" s="23">
        <f>U2360-V2360</f>
        <v/>
      </c>
      <c r="X2360" s="24">
        <f>IFERROR(W2360/U2360,0)</f>
        <v/>
      </c>
    </row>
    <row r="2361">
      <c r="A2361" s="25">
        <f>ItensPedido!A2361</f>
        <v/>
      </c>
      <c r="B2361" s="25">
        <f>ItensPedido!B2361</f>
        <v/>
      </c>
      <c r="C2361" s="25">
        <f>ItensPedido!C2361</f>
        <v/>
      </c>
      <c r="D2361" s="25">
        <f>ItensPedido!D2361</f>
        <v/>
      </c>
      <c r="E2361" s="26">
        <f>ItensPedido!E2361</f>
        <v/>
      </c>
      <c r="F2361" s="25">
        <f>IFERROR(INDEX(Pedidos!$B$2:$B$1801,MATCH(B2361,Pedidos!$A$2:$A$1801,0)),0)</f>
        <v/>
      </c>
      <c r="G2361" s="25">
        <f>IF(F2361=0,"",YEAR(F2361))</f>
        <v/>
      </c>
      <c r="H2361" s="25">
        <f>IF(F2361=0,"",MONTH(F2361))</f>
        <v/>
      </c>
      <c r="I2361" s="25">
        <f>IFERROR(INDEX(Pedidos!$E$2:$E$1801,MATCH(B2361,Pedidos!$A$2:$A$1801,0)),"")</f>
        <v/>
      </c>
      <c r="J2361" s="25">
        <f>IFERROR(INDEX(Pedidos!$C$2:$C$1801,MATCH(B2361,Pedidos!$A$2:$A$1801,0)),"")</f>
        <v/>
      </c>
      <c r="K2361" s="25">
        <f>IFERROR(INDEX(Pedidos!$D$2:$D$1801,MATCH(B2361,Pedidos!$A$2:$A$1801,0)),"")</f>
        <v/>
      </c>
      <c r="L2361" s="25">
        <f>IFERROR(INDEX(Pedidos!$F$2:$F$1801,MATCH(B2361,Pedidos!$A$2:$A$1801,0)),"")</f>
        <v/>
      </c>
      <c r="M2361" s="26">
        <f>IFERROR(INDEX(Pedidos!$G$2:$G$1801,MATCH(B2361,Pedidos!$A$2:$A$1801,0)),0)</f>
        <v/>
      </c>
      <c r="N2361" s="25">
        <f>IFERROR(INDEX(Produtos!$B$2:$B$71,MATCH(C2361,Produtos!$A$2:$A$71,0)),"")</f>
        <v/>
      </c>
      <c r="O2361" s="25">
        <f>IFERROR(INDEX(Produtos!$C$2:$C$71,MATCH(C2361,Produtos!$A$2:$A$71,0)),"")</f>
        <v/>
      </c>
      <c r="P2361" s="25">
        <f>IFERROR(INDEX(Produtos!$D$2:$D$71,MATCH(C2361,Produtos!$A$2:$A$71,0)),0)</f>
        <v/>
      </c>
      <c r="Q2361" s="25">
        <f>IFERROR(INDEX(Produtos!$E$2:$E$71,MATCH(C2361,Produtos!$A$2:$A$71,0)),0)</f>
        <v/>
      </c>
      <c r="R2361" s="27">
        <f>D2361*Q2361</f>
        <v/>
      </c>
      <c r="S2361" s="27">
        <f>R2361*E2361</f>
        <v/>
      </c>
      <c r="T2361" s="27">
        <f>(R2361-S2361)*M2361</f>
        <v/>
      </c>
      <c r="U2361" s="27">
        <f>R2361-S2361-T2361</f>
        <v/>
      </c>
      <c r="V2361" s="27">
        <f>D2361*P2361</f>
        <v/>
      </c>
      <c r="W2361" s="27">
        <f>U2361-V2361</f>
        <v/>
      </c>
      <c r="X2361" s="28">
        <f>IFERROR(W2361/U2361,0)</f>
        <v/>
      </c>
    </row>
    <row r="2362">
      <c r="A2362" s="21">
        <f>ItensPedido!A2362</f>
        <v/>
      </c>
      <c r="B2362" s="21">
        <f>ItensPedido!B2362</f>
        <v/>
      </c>
      <c r="C2362" s="21">
        <f>ItensPedido!C2362</f>
        <v/>
      </c>
      <c r="D2362" s="21">
        <f>ItensPedido!D2362</f>
        <v/>
      </c>
      <c r="E2362" s="22">
        <f>ItensPedido!E2362</f>
        <v/>
      </c>
      <c r="F2362" s="21">
        <f>IFERROR(INDEX(Pedidos!$B$2:$B$1801,MATCH(B2362,Pedidos!$A$2:$A$1801,0)),0)</f>
        <v/>
      </c>
      <c r="G2362" s="21">
        <f>IF(F2362=0,"",YEAR(F2362))</f>
        <v/>
      </c>
      <c r="H2362" s="21">
        <f>IF(F2362=0,"",MONTH(F2362))</f>
        <v/>
      </c>
      <c r="I2362" s="21">
        <f>IFERROR(INDEX(Pedidos!$E$2:$E$1801,MATCH(B2362,Pedidos!$A$2:$A$1801,0)),"")</f>
        <v/>
      </c>
      <c r="J2362" s="21">
        <f>IFERROR(INDEX(Pedidos!$C$2:$C$1801,MATCH(B2362,Pedidos!$A$2:$A$1801,0)),"")</f>
        <v/>
      </c>
      <c r="K2362" s="21">
        <f>IFERROR(INDEX(Pedidos!$D$2:$D$1801,MATCH(B2362,Pedidos!$A$2:$A$1801,0)),"")</f>
        <v/>
      </c>
      <c r="L2362" s="21">
        <f>IFERROR(INDEX(Pedidos!$F$2:$F$1801,MATCH(B2362,Pedidos!$A$2:$A$1801,0)),"")</f>
        <v/>
      </c>
      <c r="M2362" s="22">
        <f>IFERROR(INDEX(Pedidos!$G$2:$G$1801,MATCH(B2362,Pedidos!$A$2:$A$1801,0)),0)</f>
        <v/>
      </c>
      <c r="N2362" s="21">
        <f>IFERROR(INDEX(Produtos!$B$2:$B$71,MATCH(C2362,Produtos!$A$2:$A$71,0)),"")</f>
        <v/>
      </c>
      <c r="O2362" s="21">
        <f>IFERROR(INDEX(Produtos!$C$2:$C$71,MATCH(C2362,Produtos!$A$2:$A$71,0)),"")</f>
        <v/>
      </c>
      <c r="P2362" s="21">
        <f>IFERROR(INDEX(Produtos!$D$2:$D$71,MATCH(C2362,Produtos!$A$2:$A$71,0)),0)</f>
        <v/>
      </c>
      <c r="Q2362" s="21">
        <f>IFERROR(INDEX(Produtos!$E$2:$E$71,MATCH(C2362,Produtos!$A$2:$A$71,0)),0)</f>
        <v/>
      </c>
      <c r="R2362" s="23">
        <f>D2362*Q2362</f>
        <v/>
      </c>
      <c r="S2362" s="23">
        <f>R2362*E2362</f>
        <v/>
      </c>
      <c r="T2362" s="23">
        <f>(R2362-S2362)*M2362</f>
        <v/>
      </c>
      <c r="U2362" s="23">
        <f>R2362-S2362-T2362</f>
        <v/>
      </c>
      <c r="V2362" s="23">
        <f>D2362*P2362</f>
        <v/>
      </c>
      <c r="W2362" s="23">
        <f>U2362-V2362</f>
        <v/>
      </c>
      <c r="X2362" s="24">
        <f>IFERROR(W2362/U2362,0)</f>
        <v/>
      </c>
    </row>
    <row r="2363">
      <c r="A2363" s="25">
        <f>ItensPedido!A2363</f>
        <v/>
      </c>
      <c r="B2363" s="25">
        <f>ItensPedido!B2363</f>
        <v/>
      </c>
      <c r="C2363" s="25">
        <f>ItensPedido!C2363</f>
        <v/>
      </c>
      <c r="D2363" s="25">
        <f>ItensPedido!D2363</f>
        <v/>
      </c>
      <c r="E2363" s="26">
        <f>ItensPedido!E2363</f>
        <v/>
      </c>
      <c r="F2363" s="25">
        <f>IFERROR(INDEX(Pedidos!$B$2:$B$1801,MATCH(B2363,Pedidos!$A$2:$A$1801,0)),0)</f>
        <v/>
      </c>
      <c r="G2363" s="25">
        <f>IF(F2363=0,"",YEAR(F2363))</f>
        <v/>
      </c>
      <c r="H2363" s="25">
        <f>IF(F2363=0,"",MONTH(F2363))</f>
        <v/>
      </c>
      <c r="I2363" s="25">
        <f>IFERROR(INDEX(Pedidos!$E$2:$E$1801,MATCH(B2363,Pedidos!$A$2:$A$1801,0)),"")</f>
        <v/>
      </c>
      <c r="J2363" s="25">
        <f>IFERROR(INDEX(Pedidos!$C$2:$C$1801,MATCH(B2363,Pedidos!$A$2:$A$1801,0)),"")</f>
        <v/>
      </c>
      <c r="K2363" s="25">
        <f>IFERROR(INDEX(Pedidos!$D$2:$D$1801,MATCH(B2363,Pedidos!$A$2:$A$1801,0)),"")</f>
        <v/>
      </c>
      <c r="L2363" s="25">
        <f>IFERROR(INDEX(Pedidos!$F$2:$F$1801,MATCH(B2363,Pedidos!$A$2:$A$1801,0)),"")</f>
        <v/>
      </c>
      <c r="M2363" s="26">
        <f>IFERROR(INDEX(Pedidos!$G$2:$G$1801,MATCH(B2363,Pedidos!$A$2:$A$1801,0)),0)</f>
        <v/>
      </c>
      <c r="N2363" s="25">
        <f>IFERROR(INDEX(Produtos!$B$2:$B$71,MATCH(C2363,Produtos!$A$2:$A$71,0)),"")</f>
        <v/>
      </c>
      <c r="O2363" s="25">
        <f>IFERROR(INDEX(Produtos!$C$2:$C$71,MATCH(C2363,Produtos!$A$2:$A$71,0)),"")</f>
        <v/>
      </c>
      <c r="P2363" s="25">
        <f>IFERROR(INDEX(Produtos!$D$2:$D$71,MATCH(C2363,Produtos!$A$2:$A$71,0)),0)</f>
        <v/>
      </c>
      <c r="Q2363" s="25">
        <f>IFERROR(INDEX(Produtos!$E$2:$E$71,MATCH(C2363,Produtos!$A$2:$A$71,0)),0)</f>
        <v/>
      </c>
      <c r="R2363" s="27">
        <f>D2363*Q2363</f>
        <v/>
      </c>
      <c r="S2363" s="27">
        <f>R2363*E2363</f>
        <v/>
      </c>
      <c r="T2363" s="27">
        <f>(R2363-S2363)*M2363</f>
        <v/>
      </c>
      <c r="U2363" s="27">
        <f>R2363-S2363-T2363</f>
        <v/>
      </c>
      <c r="V2363" s="27">
        <f>D2363*P2363</f>
        <v/>
      </c>
      <c r="W2363" s="27">
        <f>U2363-V2363</f>
        <v/>
      </c>
      <c r="X2363" s="28">
        <f>IFERROR(W2363/U2363,0)</f>
        <v/>
      </c>
    </row>
    <row r="2364">
      <c r="A2364" s="21">
        <f>ItensPedido!A2364</f>
        <v/>
      </c>
      <c r="B2364" s="21">
        <f>ItensPedido!B2364</f>
        <v/>
      </c>
      <c r="C2364" s="21">
        <f>ItensPedido!C2364</f>
        <v/>
      </c>
      <c r="D2364" s="21">
        <f>ItensPedido!D2364</f>
        <v/>
      </c>
      <c r="E2364" s="22">
        <f>ItensPedido!E2364</f>
        <v/>
      </c>
      <c r="F2364" s="21">
        <f>IFERROR(INDEX(Pedidos!$B$2:$B$1801,MATCH(B2364,Pedidos!$A$2:$A$1801,0)),0)</f>
        <v/>
      </c>
      <c r="G2364" s="21">
        <f>IF(F2364=0,"",YEAR(F2364))</f>
        <v/>
      </c>
      <c r="H2364" s="21">
        <f>IF(F2364=0,"",MONTH(F2364))</f>
        <v/>
      </c>
      <c r="I2364" s="21">
        <f>IFERROR(INDEX(Pedidos!$E$2:$E$1801,MATCH(B2364,Pedidos!$A$2:$A$1801,0)),"")</f>
        <v/>
      </c>
      <c r="J2364" s="21">
        <f>IFERROR(INDEX(Pedidos!$C$2:$C$1801,MATCH(B2364,Pedidos!$A$2:$A$1801,0)),"")</f>
        <v/>
      </c>
      <c r="K2364" s="21">
        <f>IFERROR(INDEX(Pedidos!$D$2:$D$1801,MATCH(B2364,Pedidos!$A$2:$A$1801,0)),"")</f>
        <v/>
      </c>
      <c r="L2364" s="21">
        <f>IFERROR(INDEX(Pedidos!$F$2:$F$1801,MATCH(B2364,Pedidos!$A$2:$A$1801,0)),"")</f>
        <v/>
      </c>
      <c r="M2364" s="22">
        <f>IFERROR(INDEX(Pedidos!$G$2:$G$1801,MATCH(B2364,Pedidos!$A$2:$A$1801,0)),0)</f>
        <v/>
      </c>
      <c r="N2364" s="21">
        <f>IFERROR(INDEX(Produtos!$B$2:$B$71,MATCH(C2364,Produtos!$A$2:$A$71,0)),"")</f>
        <v/>
      </c>
      <c r="O2364" s="21">
        <f>IFERROR(INDEX(Produtos!$C$2:$C$71,MATCH(C2364,Produtos!$A$2:$A$71,0)),"")</f>
        <v/>
      </c>
      <c r="P2364" s="21">
        <f>IFERROR(INDEX(Produtos!$D$2:$D$71,MATCH(C2364,Produtos!$A$2:$A$71,0)),0)</f>
        <v/>
      </c>
      <c r="Q2364" s="21">
        <f>IFERROR(INDEX(Produtos!$E$2:$E$71,MATCH(C2364,Produtos!$A$2:$A$71,0)),0)</f>
        <v/>
      </c>
      <c r="R2364" s="23">
        <f>D2364*Q2364</f>
        <v/>
      </c>
      <c r="S2364" s="23">
        <f>R2364*E2364</f>
        <v/>
      </c>
      <c r="T2364" s="23">
        <f>(R2364-S2364)*M2364</f>
        <v/>
      </c>
      <c r="U2364" s="23">
        <f>R2364-S2364-T2364</f>
        <v/>
      </c>
      <c r="V2364" s="23">
        <f>D2364*P2364</f>
        <v/>
      </c>
      <c r="W2364" s="23">
        <f>U2364-V2364</f>
        <v/>
      </c>
      <c r="X2364" s="24">
        <f>IFERROR(W2364/U2364,0)</f>
        <v/>
      </c>
    </row>
    <row r="2365">
      <c r="A2365" s="25">
        <f>ItensPedido!A2365</f>
        <v/>
      </c>
      <c r="B2365" s="25">
        <f>ItensPedido!B2365</f>
        <v/>
      </c>
      <c r="C2365" s="25">
        <f>ItensPedido!C2365</f>
        <v/>
      </c>
      <c r="D2365" s="25">
        <f>ItensPedido!D2365</f>
        <v/>
      </c>
      <c r="E2365" s="26">
        <f>ItensPedido!E2365</f>
        <v/>
      </c>
      <c r="F2365" s="25">
        <f>IFERROR(INDEX(Pedidos!$B$2:$B$1801,MATCH(B2365,Pedidos!$A$2:$A$1801,0)),0)</f>
        <v/>
      </c>
      <c r="G2365" s="25">
        <f>IF(F2365=0,"",YEAR(F2365))</f>
        <v/>
      </c>
      <c r="H2365" s="25">
        <f>IF(F2365=0,"",MONTH(F2365))</f>
        <v/>
      </c>
      <c r="I2365" s="25">
        <f>IFERROR(INDEX(Pedidos!$E$2:$E$1801,MATCH(B2365,Pedidos!$A$2:$A$1801,0)),"")</f>
        <v/>
      </c>
      <c r="J2365" s="25">
        <f>IFERROR(INDEX(Pedidos!$C$2:$C$1801,MATCH(B2365,Pedidos!$A$2:$A$1801,0)),"")</f>
        <v/>
      </c>
      <c r="K2365" s="25">
        <f>IFERROR(INDEX(Pedidos!$D$2:$D$1801,MATCH(B2365,Pedidos!$A$2:$A$1801,0)),"")</f>
        <v/>
      </c>
      <c r="L2365" s="25">
        <f>IFERROR(INDEX(Pedidos!$F$2:$F$1801,MATCH(B2365,Pedidos!$A$2:$A$1801,0)),"")</f>
        <v/>
      </c>
      <c r="M2365" s="26">
        <f>IFERROR(INDEX(Pedidos!$G$2:$G$1801,MATCH(B2365,Pedidos!$A$2:$A$1801,0)),0)</f>
        <v/>
      </c>
      <c r="N2365" s="25">
        <f>IFERROR(INDEX(Produtos!$B$2:$B$71,MATCH(C2365,Produtos!$A$2:$A$71,0)),"")</f>
        <v/>
      </c>
      <c r="O2365" s="25">
        <f>IFERROR(INDEX(Produtos!$C$2:$C$71,MATCH(C2365,Produtos!$A$2:$A$71,0)),"")</f>
        <v/>
      </c>
      <c r="P2365" s="25">
        <f>IFERROR(INDEX(Produtos!$D$2:$D$71,MATCH(C2365,Produtos!$A$2:$A$71,0)),0)</f>
        <v/>
      </c>
      <c r="Q2365" s="25">
        <f>IFERROR(INDEX(Produtos!$E$2:$E$71,MATCH(C2365,Produtos!$A$2:$A$71,0)),0)</f>
        <v/>
      </c>
      <c r="R2365" s="27">
        <f>D2365*Q2365</f>
        <v/>
      </c>
      <c r="S2365" s="27">
        <f>R2365*E2365</f>
        <v/>
      </c>
      <c r="T2365" s="27">
        <f>(R2365-S2365)*M2365</f>
        <v/>
      </c>
      <c r="U2365" s="27">
        <f>R2365-S2365-T2365</f>
        <v/>
      </c>
      <c r="V2365" s="27">
        <f>D2365*P2365</f>
        <v/>
      </c>
      <c r="W2365" s="27">
        <f>U2365-V2365</f>
        <v/>
      </c>
      <c r="X2365" s="28">
        <f>IFERROR(W2365/U2365,0)</f>
        <v/>
      </c>
    </row>
    <row r="2366">
      <c r="A2366" s="21">
        <f>ItensPedido!A2366</f>
        <v/>
      </c>
      <c r="B2366" s="21">
        <f>ItensPedido!B2366</f>
        <v/>
      </c>
      <c r="C2366" s="21">
        <f>ItensPedido!C2366</f>
        <v/>
      </c>
      <c r="D2366" s="21">
        <f>ItensPedido!D2366</f>
        <v/>
      </c>
      <c r="E2366" s="22">
        <f>ItensPedido!E2366</f>
        <v/>
      </c>
      <c r="F2366" s="21">
        <f>IFERROR(INDEX(Pedidos!$B$2:$B$1801,MATCH(B2366,Pedidos!$A$2:$A$1801,0)),0)</f>
        <v/>
      </c>
      <c r="G2366" s="21">
        <f>IF(F2366=0,"",YEAR(F2366))</f>
        <v/>
      </c>
      <c r="H2366" s="21">
        <f>IF(F2366=0,"",MONTH(F2366))</f>
        <v/>
      </c>
      <c r="I2366" s="21">
        <f>IFERROR(INDEX(Pedidos!$E$2:$E$1801,MATCH(B2366,Pedidos!$A$2:$A$1801,0)),"")</f>
        <v/>
      </c>
      <c r="J2366" s="21">
        <f>IFERROR(INDEX(Pedidos!$C$2:$C$1801,MATCH(B2366,Pedidos!$A$2:$A$1801,0)),"")</f>
        <v/>
      </c>
      <c r="K2366" s="21">
        <f>IFERROR(INDEX(Pedidos!$D$2:$D$1801,MATCH(B2366,Pedidos!$A$2:$A$1801,0)),"")</f>
        <v/>
      </c>
      <c r="L2366" s="21">
        <f>IFERROR(INDEX(Pedidos!$F$2:$F$1801,MATCH(B2366,Pedidos!$A$2:$A$1801,0)),"")</f>
        <v/>
      </c>
      <c r="M2366" s="22">
        <f>IFERROR(INDEX(Pedidos!$G$2:$G$1801,MATCH(B2366,Pedidos!$A$2:$A$1801,0)),0)</f>
        <v/>
      </c>
      <c r="N2366" s="21">
        <f>IFERROR(INDEX(Produtos!$B$2:$B$71,MATCH(C2366,Produtos!$A$2:$A$71,0)),"")</f>
        <v/>
      </c>
      <c r="O2366" s="21">
        <f>IFERROR(INDEX(Produtos!$C$2:$C$71,MATCH(C2366,Produtos!$A$2:$A$71,0)),"")</f>
        <v/>
      </c>
      <c r="P2366" s="21">
        <f>IFERROR(INDEX(Produtos!$D$2:$D$71,MATCH(C2366,Produtos!$A$2:$A$71,0)),0)</f>
        <v/>
      </c>
      <c r="Q2366" s="21">
        <f>IFERROR(INDEX(Produtos!$E$2:$E$71,MATCH(C2366,Produtos!$A$2:$A$71,0)),0)</f>
        <v/>
      </c>
      <c r="R2366" s="23">
        <f>D2366*Q2366</f>
        <v/>
      </c>
      <c r="S2366" s="23">
        <f>R2366*E2366</f>
        <v/>
      </c>
      <c r="T2366" s="23">
        <f>(R2366-S2366)*M2366</f>
        <v/>
      </c>
      <c r="U2366" s="23">
        <f>R2366-S2366-T2366</f>
        <v/>
      </c>
      <c r="V2366" s="23">
        <f>D2366*P2366</f>
        <v/>
      </c>
      <c r="W2366" s="23">
        <f>U2366-V2366</f>
        <v/>
      </c>
      <c r="X2366" s="24">
        <f>IFERROR(W2366/U2366,0)</f>
        <v/>
      </c>
    </row>
    <row r="2367">
      <c r="A2367" s="25">
        <f>ItensPedido!A2367</f>
        <v/>
      </c>
      <c r="B2367" s="25">
        <f>ItensPedido!B2367</f>
        <v/>
      </c>
      <c r="C2367" s="25">
        <f>ItensPedido!C2367</f>
        <v/>
      </c>
      <c r="D2367" s="25">
        <f>ItensPedido!D2367</f>
        <v/>
      </c>
      <c r="E2367" s="26">
        <f>ItensPedido!E2367</f>
        <v/>
      </c>
      <c r="F2367" s="25">
        <f>IFERROR(INDEX(Pedidos!$B$2:$B$1801,MATCH(B2367,Pedidos!$A$2:$A$1801,0)),0)</f>
        <v/>
      </c>
      <c r="G2367" s="25">
        <f>IF(F2367=0,"",YEAR(F2367))</f>
        <v/>
      </c>
      <c r="H2367" s="25">
        <f>IF(F2367=0,"",MONTH(F2367))</f>
        <v/>
      </c>
      <c r="I2367" s="25">
        <f>IFERROR(INDEX(Pedidos!$E$2:$E$1801,MATCH(B2367,Pedidos!$A$2:$A$1801,0)),"")</f>
        <v/>
      </c>
      <c r="J2367" s="25">
        <f>IFERROR(INDEX(Pedidos!$C$2:$C$1801,MATCH(B2367,Pedidos!$A$2:$A$1801,0)),"")</f>
        <v/>
      </c>
      <c r="K2367" s="25">
        <f>IFERROR(INDEX(Pedidos!$D$2:$D$1801,MATCH(B2367,Pedidos!$A$2:$A$1801,0)),"")</f>
        <v/>
      </c>
      <c r="L2367" s="25">
        <f>IFERROR(INDEX(Pedidos!$F$2:$F$1801,MATCH(B2367,Pedidos!$A$2:$A$1801,0)),"")</f>
        <v/>
      </c>
      <c r="M2367" s="26">
        <f>IFERROR(INDEX(Pedidos!$G$2:$G$1801,MATCH(B2367,Pedidos!$A$2:$A$1801,0)),0)</f>
        <v/>
      </c>
      <c r="N2367" s="25">
        <f>IFERROR(INDEX(Produtos!$B$2:$B$71,MATCH(C2367,Produtos!$A$2:$A$71,0)),"")</f>
        <v/>
      </c>
      <c r="O2367" s="25">
        <f>IFERROR(INDEX(Produtos!$C$2:$C$71,MATCH(C2367,Produtos!$A$2:$A$71,0)),"")</f>
        <v/>
      </c>
      <c r="P2367" s="25">
        <f>IFERROR(INDEX(Produtos!$D$2:$D$71,MATCH(C2367,Produtos!$A$2:$A$71,0)),0)</f>
        <v/>
      </c>
      <c r="Q2367" s="25">
        <f>IFERROR(INDEX(Produtos!$E$2:$E$71,MATCH(C2367,Produtos!$A$2:$A$71,0)),0)</f>
        <v/>
      </c>
      <c r="R2367" s="27">
        <f>D2367*Q2367</f>
        <v/>
      </c>
      <c r="S2367" s="27">
        <f>R2367*E2367</f>
        <v/>
      </c>
      <c r="T2367" s="27">
        <f>(R2367-S2367)*M2367</f>
        <v/>
      </c>
      <c r="U2367" s="27">
        <f>R2367-S2367-T2367</f>
        <v/>
      </c>
      <c r="V2367" s="27">
        <f>D2367*P2367</f>
        <v/>
      </c>
      <c r="W2367" s="27">
        <f>U2367-V2367</f>
        <v/>
      </c>
      <c r="X2367" s="28">
        <f>IFERROR(W2367/U2367,0)</f>
        <v/>
      </c>
    </row>
    <row r="2368">
      <c r="A2368" s="21">
        <f>ItensPedido!A2368</f>
        <v/>
      </c>
      <c r="B2368" s="21">
        <f>ItensPedido!B2368</f>
        <v/>
      </c>
      <c r="C2368" s="21">
        <f>ItensPedido!C2368</f>
        <v/>
      </c>
      <c r="D2368" s="21">
        <f>ItensPedido!D2368</f>
        <v/>
      </c>
      <c r="E2368" s="22">
        <f>ItensPedido!E2368</f>
        <v/>
      </c>
      <c r="F2368" s="21">
        <f>IFERROR(INDEX(Pedidos!$B$2:$B$1801,MATCH(B2368,Pedidos!$A$2:$A$1801,0)),0)</f>
        <v/>
      </c>
      <c r="G2368" s="21">
        <f>IF(F2368=0,"",YEAR(F2368))</f>
        <v/>
      </c>
      <c r="H2368" s="21">
        <f>IF(F2368=0,"",MONTH(F2368))</f>
        <v/>
      </c>
      <c r="I2368" s="21">
        <f>IFERROR(INDEX(Pedidos!$E$2:$E$1801,MATCH(B2368,Pedidos!$A$2:$A$1801,0)),"")</f>
        <v/>
      </c>
      <c r="J2368" s="21">
        <f>IFERROR(INDEX(Pedidos!$C$2:$C$1801,MATCH(B2368,Pedidos!$A$2:$A$1801,0)),"")</f>
        <v/>
      </c>
      <c r="K2368" s="21">
        <f>IFERROR(INDEX(Pedidos!$D$2:$D$1801,MATCH(B2368,Pedidos!$A$2:$A$1801,0)),"")</f>
        <v/>
      </c>
      <c r="L2368" s="21">
        <f>IFERROR(INDEX(Pedidos!$F$2:$F$1801,MATCH(B2368,Pedidos!$A$2:$A$1801,0)),"")</f>
        <v/>
      </c>
      <c r="M2368" s="22">
        <f>IFERROR(INDEX(Pedidos!$G$2:$G$1801,MATCH(B2368,Pedidos!$A$2:$A$1801,0)),0)</f>
        <v/>
      </c>
      <c r="N2368" s="21">
        <f>IFERROR(INDEX(Produtos!$B$2:$B$71,MATCH(C2368,Produtos!$A$2:$A$71,0)),"")</f>
        <v/>
      </c>
      <c r="O2368" s="21">
        <f>IFERROR(INDEX(Produtos!$C$2:$C$71,MATCH(C2368,Produtos!$A$2:$A$71,0)),"")</f>
        <v/>
      </c>
      <c r="P2368" s="21">
        <f>IFERROR(INDEX(Produtos!$D$2:$D$71,MATCH(C2368,Produtos!$A$2:$A$71,0)),0)</f>
        <v/>
      </c>
      <c r="Q2368" s="21">
        <f>IFERROR(INDEX(Produtos!$E$2:$E$71,MATCH(C2368,Produtos!$A$2:$A$71,0)),0)</f>
        <v/>
      </c>
      <c r="R2368" s="23">
        <f>D2368*Q2368</f>
        <v/>
      </c>
      <c r="S2368" s="23">
        <f>R2368*E2368</f>
        <v/>
      </c>
      <c r="T2368" s="23">
        <f>(R2368-S2368)*M2368</f>
        <v/>
      </c>
      <c r="U2368" s="23">
        <f>R2368-S2368-T2368</f>
        <v/>
      </c>
      <c r="V2368" s="23">
        <f>D2368*P2368</f>
        <v/>
      </c>
      <c r="W2368" s="23">
        <f>U2368-V2368</f>
        <v/>
      </c>
      <c r="X2368" s="24">
        <f>IFERROR(W2368/U2368,0)</f>
        <v/>
      </c>
    </row>
    <row r="2369">
      <c r="A2369" s="25">
        <f>ItensPedido!A2369</f>
        <v/>
      </c>
      <c r="B2369" s="25">
        <f>ItensPedido!B2369</f>
        <v/>
      </c>
      <c r="C2369" s="25">
        <f>ItensPedido!C2369</f>
        <v/>
      </c>
      <c r="D2369" s="25">
        <f>ItensPedido!D2369</f>
        <v/>
      </c>
      <c r="E2369" s="26">
        <f>ItensPedido!E2369</f>
        <v/>
      </c>
      <c r="F2369" s="25">
        <f>IFERROR(INDEX(Pedidos!$B$2:$B$1801,MATCH(B2369,Pedidos!$A$2:$A$1801,0)),0)</f>
        <v/>
      </c>
      <c r="G2369" s="25">
        <f>IF(F2369=0,"",YEAR(F2369))</f>
        <v/>
      </c>
      <c r="H2369" s="25">
        <f>IF(F2369=0,"",MONTH(F2369))</f>
        <v/>
      </c>
      <c r="I2369" s="25">
        <f>IFERROR(INDEX(Pedidos!$E$2:$E$1801,MATCH(B2369,Pedidos!$A$2:$A$1801,0)),"")</f>
        <v/>
      </c>
      <c r="J2369" s="25">
        <f>IFERROR(INDEX(Pedidos!$C$2:$C$1801,MATCH(B2369,Pedidos!$A$2:$A$1801,0)),"")</f>
        <v/>
      </c>
      <c r="K2369" s="25">
        <f>IFERROR(INDEX(Pedidos!$D$2:$D$1801,MATCH(B2369,Pedidos!$A$2:$A$1801,0)),"")</f>
        <v/>
      </c>
      <c r="L2369" s="25">
        <f>IFERROR(INDEX(Pedidos!$F$2:$F$1801,MATCH(B2369,Pedidos!$A$2:$A$1801,0)),"")</f>
        <v/>
      </c>
      <c r="M2369" s="26">
        <f>IFERROR(INDEX(Pedidos!$G$2:$G$1801,MATCH(B2369,Pedidos!$A$2:$A$1801,0)),0)</f>
        <v/>
      </c>
      <c r="N2369" s="25">
        <f>IFERROR(INDEX(Produtos!$B$2:$B$71,MATCH(C2369,Produtos!$A$2:$A$71,0)),"")</f>
        <v/>
      </c>
      <c r="O2369" s="25">
        <f>IFERROR(INDEX(Produtos!$C$2:$C$71,MATCH(C2369,Produtos!$A$2:$A$71,0)),"")</f>
        <v/>
      </c>
      <c r="P2369" s="25">
        <f>IFERROR(INDEX(Produtos!$D$2:$D$71,MATCH(C2369,Produtos!$A$2:$A$71,0)),0)</f>
        <v/>
      </c>
      <c r="Q2369" s="25">
        <f>IFERROR(INDEX(Produtos!$E$2:$E$71,MATCH(C2369,Produtos!$A$2:$A$71,0)),0)</f>
        <v/>
      </c>
      <c r="R2369" s="27">
        <f>D2369*Q2369</f>
        <v/>
      </c>
      <c r="S2369" s="27">
        <f>R2369*E2369</f>
        <v/>
      </c>
      <c r="T2369" s="27">
        <f>(R2369-S2369)*M2369</f>
        <v/>
      </c>
      <c r="U2369" s="27">
        <f>R2369-S2369-T2369</f>
        <v/>
      </c>
      <c r="V2369" s="27">
        <f>D2369*P2369</f>
        <v/>
      </c>
      <c r="W2369" s="27">
        <f>U2369-V2369</f>
        <v/>
      </c>
      <c r="X2369" s="28">
        <f>IFERROR(W2369/U2369,0)</f>
        <v/>
      </c>
    </row>
    <row r="2370">
      <c r="A2370" s="21">
        <f>ItensPedido!A2370</f>
        <v/>
      </c>
      <c r="B2370" s="21">
        <f>ItensPedido!B2370</f>
        <v/>
      </c>
      <c r="C2370" s="21">
        <f>ItensPedido!C2370</f>
        <v/>
      </c>
      <c r="D2370" s="21">
        <f>ItensPedido!D2370</f>
        <v/>
      </c>
      <c r="E2370" s="22">
        <f>ItensPedido!E2370</f>
        <v/>
      </c>
      <c r="F2370" s="21">
        <f>IFERROR(INDEX(Pedidos!$B$2:$B$1801,MATCH(B2370,Pedidos!$A$2:$A$1801,0)),0)</f>
        <v/>
      </c>
      <c r="G2370" s="21">
        <f>IF(F2370=0,"",YEAR(F2370))</f>
        <v/>
      </c>
      <c r="H2370" s="21">
        <f>IF(F2370=0,"",MONTH(F2370))</f>
        <v/>
      </c>
      <c r="I2370" s="21">
        <f>IFERROR(INDEX(Pedidos!$E$2:$E$1801,MATCH(B2370,Pedidos!$A$2:$A$1801,0)),"")</f>
        <v/>
      </c>
      <c r="J2370" s="21">
        <f>IFERROR(INDEX(Pedidos!$C$2:$C$1801,MATCH(B2370,Pedidos!$A$2:$A$1801,0)),"")</f>
        <v/>
      </c>
      <c r="K2370" s="21">
        <f>IFERROR(INDEX(Pedidos!$D$2:$D$1801,MATCH(B2370,Pedidos!$A$2:$A$1801,0)),"")</f>
        <v/>
      </c>
      <c r="L2370" s="21">
        <f>IFERROR(INDEX(Pedidos!$F$2:$F$1801,MATCH(B2370,Pedidos!$A$2:$A$1801,0)),"")</f>
        <v/>
      </c>
      <c r="M2370" s="22">
        <f>IFERROR(INDEX(Pedidos!$G$2:$G$1801,MATCH(B2370,Pedidos!$A$2:$A$1801,0)),0)</f>
        <v/>
      </c>
      <c r="N2370" s="21">
        <f>IFERROR(INDEX(Produtos!$B$2:$B$71,MATCH(C2370,Produtos!$A$2:$A$71,0)),"")</f>
        <v/>
      </c>
      <c r="O2370" s="21">
        <f>IFERROR(INDEX(Produtos!$C$2:$C$71,MATCH(C2370,Produtos!$A$2:$A$71,0)),"")</f>
        <v/>
      </c>
      <c r="P2370" s="21">
        <f>IFERROR(INDEX(Produtos!$D$2:$D$71,MATCH(C2370,Produtos!$A$2:$A$71,0)),0)</f>
        <v/>
      </c>
      <c r="Q2370" s="21">
        <f>IFERROR(INDEX(Produtos!$E$2:$E$71,MATCH(C2370,Produtos!$A$2:$A$71,0)),0)</f>
        <v/>
      </c>
      <c r="R2370" s="23">
        <f>D2370*Q2370</f>
        <v/>
      </c>
      <c r="S2370" s="23">
        <f>R2370*E2370</f>
        <v/>
      </c>
      <c r="T2370" s="23">
        <f>(R2370-S2370)*M2370</f>
        <v/>
      </c>
      <c r="U2370" s="23">
        <f>R2370-S2370-T2370</f>
        <v/>
      </c>
      <c r="V2370" s="23">
        <f>D2370*P2370</f>
        <v/>
      </c>
      <c r="W2370" s="23">
        <f>U2370-V2370</f>
        <v/>
      </c>
      <c r="X2370" s="24">
        <f>IFERROR(W2370/U2370,0)</f>
        <v/>
      </c>
    </row>
    <row r="2371">
      <c r="A2371" s="25">
        <f>ItensPedido!A2371</f>
        <v/>
      </c>
      <c r="B2371" s="25">
        <f>ItensPedido!B2371</f>
        <v/>
      </c>
      <c r="C2371" s="25">
        <f>ItensPedido!C2371</f>
        <v/>
      </c>
      <c r="D2371" s="25">
        <f>ItensPedido!D2371</f>
        <v/>
      </c>
      <c r="E2371" s="26">
        <f>ItensPedido!E2371</f>
        <v/>
      </c>
      <c r="F2371" s="25">
        <f>IFERROR(INDEX(Pedidos!$B$2:$B$1801,MATCH(B2371,Pedidos!$A$2:$A$1801,0)),0)</f>
        <v/>
      </c>
      <c r="G2371" s="25">
        <f>IF(F2371=0,"",YEAR(F2371))</f>
        <v/>
      </c>
      <c r="H2371" s="25">
        <f>IF(F2371=0,"",MONTH(F2371))</f>
        <v/>
      </c>
      <c r="I2371" s="25">
        <f>IFERROR(INDEX(Pedidos!$E$2:$E$1801,MATCH(B2371,Pedidos!$A$2:$A$1801,0)),"")</f>
        <v/>
      </c>
      <c r="J2371" s="25">
        <f>IFERROR(INDEX(Pedidos!$C$2:$C$1801,MATCH(B2371,Pedidos!$A$2:$A$1801,0)),"")</f>
        <v/>
      </c>
      <c r="K2371" s="25">
        <f>IFERROR(INDEX(Pedidos!$D$2:$D$1801,MATCH(B2371,Pedidos!$A$2:$A$1801,0)),"")</f>
        <v/>
      </c>
      <c r="L2371" s="25">
        <f>IFERROR(INDEX(Pedidos!$F$2:$F$1801,MATCH(B2371,Pedidos!$A$2:$A$1801,0)),"")</f>
        <v/>
      </c>
      <c r="M2371" s="26">
        <f>IFERROR(INDEX(Pedidos!$G$2:$G$1801,MATCH(B2371,Pedidos!$A$2:$A$1801,0)),0)</f>
        <v/>
      </c>
      <c r="N2371" s="25">
        <f>IFERROR(INDEX(Produtos!$B$2:$B$71,MATCH(C2371,Produtos!$A$2:$A$71,0)),"")</f>
        <v/>
      </c>
      <c r="O2371" s="25">
        <f>IFERROR(INDEX(Produtos!$C$2:$C$71,MATCH(C2371,Produtos!$A$2:$A$71,0)),"")</f>
        <v/>
      </c>
      <c r="P2371" s="25">
        <f>IFERROR(INDEX(Produtos!$D$2:$D$71,MATCH(C2371,Produtos!$A$2:$A$71,0)),0)</f>
        <v/>
      </c>
      <c r="Q2371" s="25">
        <f>IFERROR(INDEX(Produtos!$E$2:$E$71,MATCH(C2371,Produtos!$A$2:$A$71,0)),0)</f>
        <v/>
      </c>
      <c r="R2371" s="27">
        <f>D2371*Q2371</f>
        <v/>
      </c>
      <c r="S2371" s="27">
        <f>R2371*E2371</f>
        <v/>
      </c>
      <c r="T2371" s="27">
        <f>(R2371-S2371)*M2371</f>
        <v/>
      </c>
      <c r="U2371" s="27">
        <f>R2371-S2371-T2371</f>
        <v/>
      </c>
      <c r="V2371" s="27">
        <f>D2371*P2371</f>
        <v/>
      </c>
      <c r="W2371" s="27">
        <f>U2371-V2371</f>
        <v/>
      </c>
      <c r="X2371" s="28">
        <f>IFERROR(W2371/U2371,0)</f>
        <v/>
      </c>
    </row>
    <row r="2372">
      <c r="A2372" s="21">
        <f>ItensPedido!A2372</f>
        <v/>
      </c>
      <c r="B2372" s="21">
        <f>ItensPedido!B2372</f>
        <v/>
      </c>
      <c r="C2372" s="21">
        <f>ItensPedido!C2372</f>
        <v/>
      </c>
      <c r="D2372" s="21">
        <f>ItensPedido!D2372</f>
        <v/>
      </c>
      <c r="E2372" s="22">
        <f>ItensPedido!E2372</f>
        <v/>
      </c>
      <c r="F2372" s="21">
        <f>IFERROR(INDEX(Pedidos!$B$2:$B$1801,MATCH(B2372,Pedidos!$A$2:$A$1801,0)),0)</f>
        <v/>
      </c>
      <c r="G2372" s="21">
        <f>IF(F2372=0,"",YEAR(F2372))</f>
        <v/>
      </c>
      <c r="H2372" s="21">
        <f>IF(F2372=0,"",MONTH(F2372))</f>
        <v/>
      </c>
      <c r="I2372" s="21">
        <f>IFERROR(INDEX(Pedidos!$E$2:$E$1801,MATCH(B2372,Pedidos!$A$2:$A$1801,0)),"")</f>
        <v/>
      </c>
      <c r="J2372" s="21">
        <f>IFERROR(INDEX(Pedidos!$C$2:$C$1801,MATCH(B2372,Pedidos!$A$2:$A$1801,0)),"")</f>
        <v/>
      </c>
      <c r="K2372" s="21">
        <f>IFERROR(INDEX(Pedidos!$D$2:$D$1801,MATCH(B2372,Pedidos!$A$2:$A$1801,0)),"")</f>
        <v/>
      </c>
      <c r="L2372" s="21">
        <f>IFERROR(INDEX(Pedidos!$F$2:$F$1801,MATCH(B2372,Pedidos!$A$2:$A$1801,0)),"")</f>
        <v/>
      </c>
      <c r="M2372" s="22">
        <f>IFERROR(INDEX(Pedidos!$G$2:$G$1801,MATCH(B2372,Pedidos!$A$2:$A$1801,0)),0)</f>
        <v/>
      </c>
      <c r="N2372" s="21">
        <f>IFERROR(INDEX(Produtos!$B$2:$B$71,MATCH(C2372,Produtos!$A$2:$A$71,0)),"")</f>
        <v/>
      </c>
      <c r="O2372" s="21">
        <f>IFERROR(INDEX(Produtos!$C$2:$C$71,MATCH(C2372,Produtos!$A$2:$A$71,0)),"")</f>
        <v/>
      </c>
      <c r="P2372" s="21">
        <f>IFERROR(INDEX(Produtos!$D$2:$D$71,MATCH(C2372,Produtos!$A$2:$A$71,0)),0)</f>
        <v/>
      </c>
      <c r="Q2372" s="21">
        <f>IFERROR(INDEX(Produtos!$E$2:$E$71,MATCH(C2372,Produtos!$A$2:$A$71,0)),0)</f>
        <v/>
      </c>
      <c r="R2372" s="23">
        <f>D2372*Q2372</f>
        <v/>
      </c>
      <c r="S2372" s="23">
        <f>R2372*E2372</f>
        <v/>
      </c>
      <c r="T2372" s="23">
        <f>(R2372-S2372)*M2372</f>
        <v/>
      </c>
      <c r="U2372" s="23">
        <f>R2372-S2372-T2372</f>
        <v/>
      </c>
      <c r="V2372" s="23">
        <f>D2372*P2372</f>
        <v/>
      </c>
      <c r="W2372" s="23">
        <f>U2372-V2372</f>
        <v/>
      </c>
      <c r="X2372" s="24">
        <f>IFERROR(W2372/U2372,0)</f>
        <v/>
      </c>
    </row>
    <row r="2373">
      <c r="A2373" s="25">
        <f>ItensPedido!A2373</f>
        <v/>
      </c>
      <c r="B2373" s="25">
        <f>ItensPedido!B2373</f>
        <v/>
      </c>
      <c r="C2373" s="25">
        <f>ItensPedido!C2373</f>
        <v/>
      </c>
      <c r="D2373" s="25">
        <f>ItensPedido!D2373</f>
        <v/>
      </c>
      <c r="E2373" s="26">
        <f>ItensPedido!E2373</f>
        <v/>
      </c>
      <c r="F2373" s="25">
        <f>IFERROR(INDEX(Pedidos!$B$2:$B$1801,MATCH(B2373,Pedidos!$A$2:$A$1801,0)),0)</f>
        <v/>
      </c>
      <c r="G2373" s="25">
        <f>IF(F2373=0,"",YEAR(F2373))</f>
        <v/>
      </c>
      <c r="H2373" s="25">
        <f>IF(F2373=0,"",MONTH(F2373))</f>
        <v/>
      </c>
      <c r="I2373" s="25">
        <f>IFERROR(INDEX(Pedidos!$E$2:$E$1801,MATCH(B2373,Pedidos!$A$2:$A$1801,0)),"")</f>
        <v/>
      </c>
      <c r="J2373" s="25">
        <f>IFERROR(INDEX(Pedidos!$C$2:$C$1801,MATCH(B2373,Pedidos!$A$2:$A$1801,0)),"")</f>
        <v/>
      </c>
      <c r="K2373" s="25">
        <f>IFERROR(INDEX(Pedidos!$D$2:$D$1801,MATCH(B2373,Pedidos!$A$2:$A$1801,0)),"")</f>
        <v/>
      </c>
      <c r="L2373" s="25">
        <f>IFERROR(INDEX(Pedidos!$F$2:$F$1801,MATCH(B2373,Pedidos!$A$2:$A$1801,0)),"")</f>
        <v/>
      </c>
      <c r="M2373" s="26">
        <f>IFERROR(INDEX(Pedidos!$G$2:$G$1801,MATCH(B2373,Pedidos!$A$2:$A$1801,0)),0)</f>
        <v/>
      </c>
      <c r="N2373" s="25">
        <f>IFERROR(INDEX(Produtos!$B$2:$B$71,MATCH(C2373,Produtos!$A$2:$A$71,0)),"")</f>
        <v/>
      </c>
      <c r="O2373" s="25">
        <f>IFERROR(INDEX(Produtos!$C$2:$C$71,MATCH(C2373,Produtos!$A$2:$A$71,0)),"")</f>
        <v/>
      </c>
      <c r="P2373" s="25">
        <f>IFERROR(INDEX(Produtos!$D$2:$D$71,MATCH(C2373,Produtos!$A$2:$A$71,0)),0)</f>
        <v/>
      </c>
      <c r="Q2373" s="25">
        <f>IFERROR(INDEX(Produtos!$E$2:$E$71,MATCH(C2373,Produtos!$A$2:$A$71,0)),0)</f>
        <v/>
      </c>
      <c r="R2373" s="27">
        <f>D2373*Q2373</f>
        <v/>
      </c>
      <c r="S2373" s="27">
        <f>R2373*E2373</f>
        <v/>
      </c>
      <c r="T2373" s="27">
        <f>(R2373-S2373)*M2373</f>
        <v/>
      </c>
      <c r="U2373" s="27">
        <f>R2373-S2373-T2373</f>
        <v/>
      </c>
      <c r="V2373" s="27">
        <f>D2373*P2373</f>
        <v/>
      </c>
      <c r="W2373" s="27">
        <f>U2373-V2373</f>
        <v/>
      </c>
      <c r="X2373" s="28">
        <f>IFERROR(W2373/U2373,0)</f>
        <v/>
      </c>
    </row>
    <row r="2374">
      <c r="A2374" s="21">
        <f>ItensPedido!A2374</f>
        <v/>
      </c>
      <c r="B2374" s="21">
        <f>ItensPedido!B2374</f>
        <v/>
      </c>
      <c r="C2374" s="21">
        <f>ItensPedido!C2374</f>
        <v/>
      </c>
      <c r="D2374" s="21">
        <f>ItensPedido!D2374</f>
        <v/>
      </c>
      <c r="E2374" s="22">
        <f>ItensPedido!E2374</f>
        <v/>
      </c>
      <c r="F2374" s="21">
        <f>IFERROR(INDEX(Pedidos!$B$2:$B$1801,MATCH(B2374,Pedidos!$A$2:$A$1801,0)),0)</f>
        <v/>
      </c>
      <c r="G2374" s="21">
        <f>IF(F2374=0,"",YEAR(F2374))</f>
        <v/>
      </c>
      <c r="H2374" s="21">
        <f>IF(F2374=0,"",MONTH(F2374))</f>
        <v/>
      </c>
      <c r="I2374" s="21">
        <f>IFERROR(INDEX(Pedidos!$E$2:$E$1801,MATCH(B2374,Pedidos!$A$2:$A$1801,0)),"")</f>
        <v/>
      </c>
      <c r="J2374" s="21">
        <f>IFERROR(INDEX(Pedidos!$C$2:$C$1801,MATCH(B2374,Pedidos!$A$2:$A$1801,0)),"")</f>
        <v/>
      </c>
      <c r="K2374" s="21">
        <f>IFERROR(INDEX(Pedidos!$D$2:$D$1801,MATCH(B2374,Pedidos!$A$2:$A$1801,0)),"")</f>
        <v/>
      </c>
      <c r="L2374" s="21">
        <f>IFERROR(INDEX(Pedidos!$F$2:$F$1801,MATCH(B2374,Pedidos!$A$2:$A$1801,0)),"")</f>
        <v/>
      </c>
      <c r="M2374" s="22">
        <f>IFERROR(INDEX(Pedidos!$G$2:$G$1801,MATCH(B2374,Pedidos!$A$2:$A$1801,0)),0)</f>
        <v/>
      </c>
      <c r="N2374" s="21">
        <f>IFERROR(INDEX(Produtos!$B$2:$B$71,MATCH(C2374,Produtos!$A$2:$A$71,0)),"")</f>
        <v/>
      </c>
      <c r="O2374" s="21">
        <f>IFERROR(INDEX(Produtos!$C$2:$C$71,MATCH(C2374,Produtos!$A$2:$A$71,0)),"")</f>
        <v/>
      </c>
      <c r="P2374" s="21">
        <f>IFERROR(INDEX(Produtos!$D$2:$D$71,MATCH(C2374,Produtos!$A$2:$A$71,0)),0)</f>
        <v/>
      </c>
      <c r="Q2374" s="21">
        <f>IFERROR(INDEX(Produtos!$E$2:$E$71,MATCH(C2374,Produtos!$A$2:$A$71,0)),0)</f>
        <v/>
      </c>
      <c r="R2374" s="23">
        <f>D2374*Q2374</f>
        <v/>
      </c>
      <c r="S2374" s="23">
        <f>R2374*E2374</f>
        <v/>
      </c>
      <c r="T2374" s="23">
        <f>(R2374-S2374)*M2374</f>
        <v/>
      </c>
      <c r="U2374" s="23">
        <f>R2374-S2374-T2374</f>
        <v/>
      </c>
      <c r="V2374" s="23">
        <f>D2374*P2374</f>
        <v/>
      </c>
      <c r="W2374" s="23">
        <f>U2374-V2374</f>
        <v/>
      </c>
      <c r="X2374" s="24">
        <f>IFERROR(W2374/U2374,0)</f>
        <v/>
      </c>
    </row>
    <row r="2375">
      <c r="A2375" s="25">
        <f>ItensPedido!A2375</f>
        <v/>
      </c>
      <c r="B2375" s="25">
        <f>ItensPedido!B2375</f>
        <v/>
      </c>
      <c r="C2375" s="25">
        <f>ItensPedido!C2375</f>
        <v/>
      </c>
      <c r="D2375" s="25">
        <f>ItensPedido!D2375</f>
        <v/>
      </c>
      <c r="E2375" s="26">
        <f>ItensPedido!E2375</f>
        <v/>
      </c>
      <c r="F2375" s="25">
        <f>IFERROR(INDEX(Pedidos!$B$2:$B$1801,MATCH(B2375,Pedidos!$A$2:$A$1801,0)),0)</f>
        <v/>
      </c>
      <c r="G2375" s="25">
        <f>IF(F2375=0,"",YEAR(F2375))</f>
        <v/>
      </c>
      <c r="H2375" s="25">
        <f>IF(F2375=0,"",MONTH(F2375))</f>
        <v/>
      </c>
      <c r="I2375" s="25">
        <f>IFERROR(INDEX(Pedidos!$E$2:$E$1801,MATCH(B2375,Pedidos!$A$2:$A$1801,0)),"")</f>
        <v/>
      </c>
      <c r="J2375" s="25">
        <f>IFERROR(INDEX(Pedidos!$C$2:$C$1801,MATCH(B2375,Pedidos!$A$2:$A$1801,0)),"")</f>
        <v/>
      </c>
      <c r="K2375" s="25">
        <f>IFERROR(INDEX(Pedidos!$D$2:$D$1801,MATCH(B2375,Pedidos!$A$2:$A$1801,0)),"")</f>
        <v/>
      </c>
      <c r="L2375" s="25">
        <f>IFERROR(INDEX(Pedidos!$F$2:$F$1801,MATCH(B2375,Pedidos!$A$2:$A$1801,0)),"")</f>
        <v/>
      </c>
      <c r="M2375" s="26">
        <f>IFERROR(INDEX(Pedidos!$G$2:$G$1801,MATCH(B2375,Pedidos!$A$2:$A$1801,0)),0)</f>
        <v/>
      </c>
      <c r="N2375" s="25">
        <f>IFERROR(INDEX(Produtos!$B$2:$B$71,MATCH(C2375,Produtos!$A$2:$A$71,0)),"")</f>
        <v/>
      </c>
      <c r="O2375" s="25">
        <f>IFERROR(INDEX(Produtos!$C$2:$C$71,MATCH(C2375,Produtos!$A$2:$A$71,0)),"")</f>
        <v/>
      </c>
      <c r="P2375" s="25">
        <f>IFERROR(INDEX(Produtos!$D$2:$D$71,MATCH(C2375,Produtos!$A$2:$A$71,0)),0)</f>
        <v/>
      </c>
      <c r="Q2375" s="25">
        <f>IFERROR(INDEX(Produtos!$E$2:$E$71,MATCH(C2375,Produtos!$A$2:$A$71,0)),0)</f>
        <v/>
      </c>
      <c r="R2375" s="27">
        <f>D2375*Q2375</f>
        <v/>
      </c>
      <c r="S2375" s="27">
        <f>R2375*E2375</f>
        <v/>
      </c>
      <c r="T2375" s="27">
        <f>(R2375-S2375)*M2375</f>
        <v/>
      </c>
      <c r="U2375" s="27">
        <f>R2375-S2375-T2375</f>
        <v/>
      </c>
      <c r="V2375" s="27">
        <f>D2375*P2375</f>
        <v/>
      </c>
      <c r="W2375" s="27">
        <f>U2375-V2375</f>
        <v/>
      </c>
      <c r="X2375" s="28">
        <f>IFERROR(W2375/U2375,0)</f>
        <v/>
      </c>
    </row>
    <row r="2376">
      <c r="A2376" s="21">
        <f>ItensPedido!A2376</f>
        <v/>
      </c>
      <c r="B2376" s="21">
        <f>ItensPedido!B2376</f>
        <v/>
      </c>
      <c r="C2376" s="21">
        <f>ItensPedido!C2376</f>
        <v/>
      </c>
      <c r="D2376" s="21">
        <f>ItensPedido!D2376</f>
        <v/>
      </c>
      <c r="E2376" s="22">
        <f>ItensPedido!E2376</f>
        <v/>
      </c>
      <c r="F2376" s="21">
        <f>IFERROR(INDEX(Pedidos!$B$2:$B$1801,MATCH(B2376,Pedidos!$A$2:$A$1801,0)),0)</f>
        <v/>
      </c>
      <c r="G2376" s="21">
        <f>IF(F2376=0,"",YEAR(F2376))</f>
        <v/>
      </c>
      <c r="H2376" s="21">
        <f>IF(F2376=0,"",MONTH(F2376))</f>
        <v/>
      </c>
      <c r="I2376" s="21">
        <f>IFERROR(INDEX(Pedidos!$E$2:$E$1801,MATCH(B2376,Pedidos!$A$2:$A$1801,0)),"")</f>
        <v/>
      </c>
      <c r="J2376" s="21">
        <f>IFERROR(INDEX(Pedidos!$C$2:$C$1801,MATCH(B2376,Pedidos!$A$2:$A$1801,0)),"")</f>
        <v/>
      </c>
      <c r="K2376" s="21">
        <f>IFERROR(INDEX(Pedidos!$D$2:$D$1801,MATCH(B2376,Pedidos!$A$2:$A$1801,0)),"")</f>
        <v/>
      </c>
      <c r="L2376" s="21">
        <f>IFERROR(INDEX(Pedidos!$F$2:$F$1801,MATCH(B2376,Pedidos!$A$2:$A$1801,0)),"")</f>
        <v/>
      </c>
      <c r="M2376" s="22">
        <f>IFERROR(INDEX(Pedidos!$G$2:$G$1801,MATCH(B2376,Pedidos!$A$2:$A$1801,0)),0)</f>
        <v/>
      </c>
      <c r="N2376" s="21">
        <f>IFERROR(INDEX(Produtos!$B$2:$B$71,MATCH(C2376,Produtos!$A$2:$A$71,0)),"")</f>
        <v/>
      </c>
      <c r="O2376" s="21">
        <f>IFERROR(INDEX(Produtos!$C$2:$C$71,MATCH(C2376,Produtos!$A$2:$A$71,0)),"")</f>
        <v/>
      </c>
      <c r="P2376" s="21">
        <f>IFERROR(INDEX(Produtos!$D$2:$D$71,MATCH(C2376,Produtos!$A$2:$A$71,0)),0)</f>
        <v/>
      </c>
      <c r="Q2376" s="21">
        <f>IFERROR(INDEX(Produtos!$E$2:$E$71,MATCH(C2376,Produtos!$A$2:$A$71,0)),0)</f>
        <v/>
      </c>
      <c r="R2376" s="23">
        <f>D2376*Q2376</f>
        <v/>
      </c>
      <c r="S2376" s="23">
        <f>R2376*E2376</f>
        <v/>
      </c>
      <c r="T2376" s="23">
        <f>(R2376-S2376)*M2376</f>
        <v/>
      </c>
      <c r="U2376" s="23">
        <f>R2376-S2376-T2376</f>
        <v/>
      </c>
      <c r="V2376" s="23">
        <f>D2376*P2376</f>
        <v/>
      </c>
      <c r="W2376" s="23">
        <f>U2376-V2376</f>
        <v/>
      </c>
      <c r="X2376" s="24">
        <f>IFERROR(W2376/U2376,0)</f>
        <v/>
      </c>
    </row>
    <row r="2377">
      <c r="A2377" s="25">
        <f>ItensPedido!A2377</f>
        <v/>
      </c>
      <c r="B2377" s="25">
        <f>ItensPedido!B2377</f>
        <v/>
      </c>
      <c r="C2377" s="25">
        <f>ItensPedido!C2377</f>
        <v/>
      </c>
      <c r="D2377" s="25">
        <f>ItensPedido!D2377</f>
        <v/>
      </c>
      <c r="E2377" s="26">
        <f>ItensPedido!E2377</f>
        <v/>
      </c>
      <c r="F2377" s="25">
        <f>IFERROR(INDEX(Pedidos!$B$2:$B$1801,MATCH(B2377,Pedidos!$A$2:$A$1801,0)),0)</f>
        <v/>
      </c>
      <c r="G2377" s="25">
        <f>IF(F2377=0,"",YEAR(F2377))</f>
        <v/>
      </c>
      <c r="H2377" s="25">
        <f>IF(F2377=0,"",MONTH(F2377))</f>
        <v/>
      </c>
      <c r="I2377" s="25">
        <f>IFERROR(INDEX(Pedidos!$E$2:$E$1801,MATCH(B2377,Pedidos!$A$2:$A$1801,0)),"")</f>
        <v/>
      </c>
      <c r="J2377" s="25">
        <f>IFERROR(INDEX(Pedidos!$C$2:$C$1801,MATCH(B2377,Pedidos!$A$2:$A$1801,0)),"")</f>
        <v/>
      </c>
      <c r="K2377" s="25">
        <f>IFERROR(INDEX(Pedidos!$D$2:$D$1801,MATCH(B2377,Pedidos!$A$2:$A$1801,0)),"")</f>
        <v/>
      </c>
      <c r="L2377" s="25">
        <f>IFERROR(INDEX(Pedidos!$F$2:$F$1801,MATCH(B2377,Pedidos!$A$2:$A$1801,0)),"")</f>
        <v/>
      </c>
      <c r="M2377" s="26">
        <f>IFERROR(INDEX(Pedidos!$G$2:$G$1801,MATCH(B2377,Pedidos!$A$2:$A$1801,0)),0)</f>
        <v/>
      </c>
      <c r="N2377" s="25">
        <f>IFERROR(INDEX(Produtos!$B$2:$B$71,MATCH(C2377,Produtos!$A$2:$A$71,0)),"")</f>
        <v/>
      </c>
      <c r="O2377" s="25">
        <f>IFERROR(INDEX(Produtos!$C$2:$C$71,MATCH(C2377,Produtos!$A$2:$A$71,0)),"")</f>
        <v/>
      </c>
      <c r="P2377" s="25">
        <f>IFERROR(INDEX(Produtos!$D$2:$D$71,MATCH(C2377,Produtos!$A$2:$A$71,0)),0)</f>
        <v/>
      </c>
      <c r="Q2377" s="25">
        <f>IFERROR(INDEX(Produtos!$E$2:$E$71,MATCH(C2377,Produtos!$A$2:$A$71,0)),0)</f>
        <v/>
      </c>
      <c r="R2377" s="27">
        <f>D2377*Q2377</f>
        <v/>
      </c>
      <c r="S2377" s="27">
        <f>R2377*E2377</f>
        <v/>
      </c>
      <c r="T2377" s="27">
        <f>(R2377-S2377)*M2377</f>
        <v/>
      </c>
      <c r="U2377" s="27">
        <f>R2377-S2377-T2377</f>
        <v/>
      </c>
      <c r="V2377" s="27">
        <f>D2377*P2377</f>
        <v/>
      </c>
      <c r="W2377" s="27">
        <f>U2377-V2377</f>
        <v/>
      </c>
      <c r="X2377" s="28">
        <f>IFERROR(W2377/U2377,0)</f>
        <v/>
      </c>
    </row>
    <row r="2378">
      <c r="A2378" s="21">
        <f>ItensPedido!A2378</f>
        <v/>
      </c>
      <c r="B2378" s="21">
        <f>ItensPedido!B2378</f>
        <v/>
      </c>
      <c r="C2378" s="21">
        <f>ItensPedido!C2378</f>
        <v/>
      </c>
      <c r="D2378" s="21">
        <f>ItensPedido!D2378</f>
        <v/>
      </c>
      <c r="E2378" s="22">
        <f>ItensPedido!E2378</f>
        <v/>
      </c>
      <c r="F2378" s="21">
        <f>IFERROR(INDEX(Pedidos!$B$2:$B$1801,MATCH(B2378,Pedidos!$A$2:$A$1801,0)),0)</f>
        <v/>
      </c>
      <c r="G2378" s="21">
        <f>IF(F2378=0,"",YEAR(F2378))</f>
        <v/>
      </c>
      <c r="H2378" s="21">
        <f>IF(F2378=0,"",MONTH(F2378))</f>
        <v/>
      </c>
      <c r="I2378" s="21">
        <f>IFERROR(INDEX(Pedidos!$E$2:$E$1801,MATCH(B2378,Pedidos!$A$2:$A$1801,0)),"")</f>
        <v/>
      </c>
      <c r="J2378" s="21">
        <f>IFERROR(INDEX(Pedidos!$C$2:$C$1801,MATCH(B2378,Pedidos!$A$2:$A$1801,0)),"")</f>
        <v/>
      </c>
      <c r="K2378" s="21">
        <f>IFERROR(INDEX(Pedidos!$D$2:$D$1801,MATCH(B2378,Pedidos!$A$2:$A$1801,0)),"")</f>
        <v/>
      </c>
      <c r="L2378" s="21">
        <f>IFERROR(INDEX(Pedidos!$F$2:$F$1801,MATCH(B2378,Pedidos!$A$2:$A$1801,0)),"")</f>
        <v/>
      </c>
      <c r="M2378" s="22">
        <f>IFERROR(INDEX(Pedidos!$G$2:$G$1801,MATCH(B2378,Pedidos!$A$2:$A$1801,0)),0)</f>
        <v/>
      </c>
      <c r="N2378" s="21">
        <f>IFERROR(INDEX(Produtos!$B$2:$B$71,MATCH(C2378,Produtos!$A$2:$A$71,0)),"")</f>
        <v/>
      </c>
      <c r="O2378" s="21">
        <f>IFERROR(INDEX(Produtos!$C$2:$C$71,MATCH(C2378,Produtos!$A$2:$A$71,0)),"")</f>
        <v/>
      </c>
      <c r="P2378" s="21">
        <f>IFERROR(INDEX(Produtos!$D$2:$D$71,MATCH(C2378,Produtos!$A$2:$A$71,0)),0)</f>
        <v/>
      </c>
      <c r="Q2378" s="21">
        <f>IFERROR(INDEX(Produtos!$E$2:$E$71,MATCH(C2378,Produtos!$A$2:$A$71,0)),0)</f>
        <v/>
      </c>
      <c r="R2378" s="23">
        <f>D2378*Q2378</f>
        <v/>
      </c>
      <c r="S2378" s="23">
        <f>R2378*E2378</f>
        <v/>
      </c>
      <c r="T2378" s="23">
        <f>(R2378-S2378)*M2378</f>
        <v/>
      </c>
      <c r="U2378" s="23">
        <f>R2378-S2378-T2378</f>
        <v/>
      </c>
      <c r="V2378" s="23">
        <f>D2378*P2378</f>
        <v/>
      </c>
      <c r="W2378" s="23">
        <f>U2378-V2378</f>
        <v/>
      </c>
      <c r="X2378" s="24">
        <f>IFERROR(W2378/U2378,0)</f>
        <v/>
      </c>
    </row>
    <row r="2379">
      <c r="A2379" s="25">
        <f>ItensPedido!A2379</f>
        <v/>
      </c>
      <c r="B2379" s="25">
        <f>ItensPedido!B2379</f>
        <v/>
      </c>
      <c r="C2379" s="25">
        <f>ItensPedido!C2379</f>
        <v/>
      </c>
      <c r="D2379" s="25">
        <f>ItensPedido!D2379</f>
        <v/>
      </c>
      <c r="E2379" s="26">
        <f>ItensPedido!E2379</f>
        <v/>
      </c>
      <c r="F2379" s="25">
        <f>IFERROR(INDEX(Pedidos!$B$2:$B$1801,MATCH(B2379,Pedidos!$A$2:$A$1801,0)),0)</f>
        <v/>
      </c>
      <c r="G2379" s="25">
        <f>IF(F2379=0,"",YEAR(F2379))</f>
        <v/>
      </c>
      <c r="H2379" s="25">
        <f>IF(F2379=0,"",MONTH(F2379))</f>
        <v/>
      </c>
      <c r="I2379" s="25">
        <f>IFERROR(INDEX(Pedidos!$E$2:$E$1801,MATCH(B2379,Pedidos!$A$2:$A$1801,0)),"")</f>
        <v/>
      </c>
      <c r="J2379" s="25">
        <f>IFERROR(INDEX(Pedidos!$C$2:$C$1801,MATCH(B2379,Pedidos!$A$2:$A$1801,0)),"")</f>
        <v/>
      </c>
      <c r="K2379" s="25">
        <f>IFERROR(INDEX(Pedidos!$D$2:$D$1801,MATCH(B2379,Pedidos!$A$2:$A$1801,0)),"")</f>
        <v/>
      </c>
      <c r="L2379" s="25">
        <f>IFERROR(INDEX(Pedidos!$F$2:$F$1801,MATCH(B2379,Pedidos!$A$2:$A$1801,0)),"")</f>
        <v/>
      </c>
      <c r="M2379" s="26">
        <f>IFERROR(INDEX(Pedidos!$G$2:$G$1801,MATCH(B2379,Pedidos!$A$2:$A$1801,0)),0)</f>
        <v/>
      </c>
      <c r="N2379" s="25">
        <f>IFERROR(INDEX(Produtos!$B$2:$B$71,MATCH(C2379,Produtos!$A$2:$A$71,0)),"")</f>
        <v/>
      </c>
      <c r="O2379" s="25">
        <f>IFERROR(INDEX(Produtos!$C$2:$C$71,MATCH(C2379,Produtos!$A$2:$A$71,0)),"")</f>
        <v/>
      </c>
      <c r="P2379" s="25">
        <f>IFERROR(INDEX(Produtos!$D$2:$D$71,MATCH(C2379,Produtos!$A$2:$A$71,0)),0)</f>
        <v/>
      </c>
      <c r="Q2379" s="25">
        <f>IFERROR(INDEX(Produtos!$E$2:$E$71,MATCH(C2379,Produtos!$A$2:$A$71,0)),0)</f>
        <v/>
      </c>
      <c r="R2379" s="27">
        <f>D2379*Q2379</f>
        <v/>
      </c>
      <c r="S2379" s="27">
        <f>R2379*E2379</f>
        <v/>
      </c>
      <c r="T2379" s="27">
        <f>(R2379-S2379)*M2379</f>
        <v/>
      </c>
      <c r="U2379" s="27">
        <f>R2379-S2379-T2379</f>
        <v/>
      </c>
      <c r="V2379" s="27">
        <f>D2379*P2379</f>
        <v/>
      </c>
      <c r="W2379" s="27">
        <f>U2379-V2379</f>
        <v/>
      </c>
      <c r="X2379" s="28">
        <f>IFERROR(W2379/U2379,0)</f>
        <v/>
      </c>
    </row>
    <row r="2380">
      <c r="A2380" s="21">
        <f>ItensPedido!A2380</f>
        <v/>
      </c>
      <c r="B2380" s="21">
        <f>ItensPedido!B2380</f>
        <v/>
      </c>
      <c r="C2380" s="21">
        <f>ItensPedido!C2380</f>
        <v/>
      </c>
      <c r="D2380" s="21">
        <f>ItensPedido!D2380</f>
        <v/>
      </c>
      <c r="E2380" s="22">
        <f>ItensPedido!E2380</f>
        <v/>
      </c>
      <c r="F2380" s="21">
        <f>IFERROR(INDEX(Pedidos!$B$2:$B$1801,MATCH(B2380,Pedidos!$A$2:$A$1801,0)),0)</f>
        <v/>
      </c>
      <c r="G2380" s="21">
        <f>IF(F2380=0,"",YEAR(F2380))</f>
        <v/>
      </c>
      <c r="H2380" s="21">
        <f>IF(F2380=0,"",MONTH(F2380))</f>
        <v/>
      </c>
      <c r="I2380" s="21">
        <f>IFERROR(INDEX(Pedidos!$E$2:$E$1801,MATCH(B2380,Pedidos!$A$2:$A$1801,0)),"")</f>
        <v/>
      </c>
      <c r="J2380" s="21">
        <f>IFERROR(INDEX(Pedidos!$C$2:$C$1801,MATCH(B2380,Pedidos!$A$2:$A$1801,0)),"")</f>
        <v/>
      </c>
      <c r="K2380" s="21">
        <f>IFERROR(INDEX(Pedidos!$D$2:$D$1801,MATCH(B2380,Pedidos!$A$2:$A$1801,0)),"")</f>
        <v/>
      </c>
      <c r="L2380" s="21">
        <f>IFERROR(INDEX(Pedidos!$F$2:$F$1801,MATCH(B2380,Pedidos!$A$2:$A$1801,0)),"")</f>
        <v/>
      </c>
      <c r="M2380" s="22">
        <f>IFERROR(INDEX(Pedidos!$G$2:$G$1801,MATCH(B2380,Pedidos!$A$2:$A$1801,0)),0)</f>
        <v/>
      </c>
      <c r="N2380" s="21">
        <f>IFERROR(INDEX(Produtos!$B$2:$B$71,MATCH(C2380,Produtos!$A$2:$A$71,0)),"")</f>
        <v/>
      </c>
      <c r="O2380" s="21">
        <f>IFERROR(INDEX(Produtos!$C$2:$C$71,MATCH(C2380,Produtos!$A$2:$A$71,0)),"")</f>
        <v/>
      </c>
      <c r="P2380" s="21">
        <f>IFERROR(INDEX(Produtos!$D$2:$D$71,MATCH(C2380,Produtos!$A$2:$A$71,0)),0)</f>
        <v/>
      </c>
      <c r="Q2380" s="21">
        <f>IFERROR(INDEX(Produtos!$E$2:$E$71,MATCH(C2380,Produtos!$A$2:$A$71,0)),0)</f>
        <v/>
      </c>
      <c r="R2380" s="23">
        <f>D2380*Q2380</f>
        <v/>
      </c>
      <c r="S2380" s="23">
        <f>R2380*E2380</f>
        <v/>
      </c>
      <c r="T2380" s="23">
        <f>(R2380-S2380)*M2380</f>
        <v/>
      </c>
      <c r="U2380" s="23">
        <f>R2380-S2380-T2380</f>
        <v/>
      </c>
      <c r="V2380" s="23">
        <f>D2380*P2380</f>
        <v/>
      </c>
      <c r="W2380" s="23">
        <f>U2380-V2380</f>
        <v/>
      </c>
      <c r="X2380" s="24">
        <f>IFERROR(W2380/U2380,0)</f>
        <v/>
      </c>
    </row>
    <row r="2381">
      <c r="A2381" s="25">
        <f>ItensPedido!A2381</f>
        <v/>
      </c>
      <c r="B2381" s="25">
        <f>ItensPedido!B2381</f>
        <v/>
      </c>
      <c r="C2381" s="25">
        <f>ItensPedido!C2381</f>
        <v/>
      </c>
      <c r="D2381" s="25">
        <f>ItensPedido!D2381</f>
        <v/>
      </c>
      <c r="E2381" s="26">
        <f>ItensPedido!E2381</f>
        <v/>
      </c>
      <c r="F2381" s="25">
        <f>IFERROR(INDEX(Pedidos!$B$2:$B$1801,MATCH(B2381,Pedidos!$A$2:$A$1801,0)),0)</f>
        <v/>
      </c>
      <c r="G2381" s="25">
        <f>IF(F2381=0,"",YEAR(F2381))</f>
        <v/>
      </c>
      <c r="H2381" s="25">
        <f>IF(F2381=0,"",MONTH(F2381))</f>
        <v/>
      </c>
      <c r="I2381" s="25">
        <f>IFERROR(INDEX(Pedidos!$E$2:$E$1801,MATCH(B2381,Pedidos!$A$2:$A$1801,0)),"")</f>
        <v/>
      </c>
      <c r="J2381" s="25">
        <f>IFERROR(INDEX(Pedidos!$C$2:$C$1801,MATCH(B2381,Pedidos!$A$2:$A$1801,0)),"")</f>
        <v/>
      </c>
      <c r="K2381" s="25">
        <f>IFERROR(INDEX(Pedidos!$D$2:$D$1801,MATCH(B2381,Pedidos!$A$2:$A$1801,0)),"")</f>
        <v/>
      </c>
      <c r="L2381" s="25">
        <f>IFERROR(INDEX(Pedidos!$F$2:$F$1801,MATCH(B2381,Pedidos!$A$2:$A$1801,0)),"")</f>
        <v/>
      </c>
      <c r="M2381" s="26">
        <f>IFERROR(INDEX(Pedidos!$G$2:$G$1801,MATCH(B2381,Pedidos!$A$2:$A$1801,0)),0)</f>
        <v/>
      </c>
      <c r="N2381" s="25">
        <f>IFERROR(INDEX(Produtos!$B$2:$B$71,MATCH(C2381,Produtos!$A$2:$A$71,0)),"")</f>
        <v/>
      </c>
      <c r="O2381" s="25">
        <f>IFERROR(INDEX(Produtos!$C$2:$C$71,MATCH(C2381,Produtos!$A$2:$A$71,0)),"")</f>
        <v/>
      </c>
      <c r="P2381" s="25">
        <f>IFERROR(INDEX(Produtos!$D$2:$D$71,MATCH(C2381,Produtos!$A$2:$A$71,0)),0)</f>
        <v/>
      </c>
      <c r="Q2381" s="25">
        <f>IFERROR(INDEX(Produtos!$E$2:$E$71,MATCH(C2381,Produtos!$A$2:$A$71,0)),0)</f>
        <v/>
      </c>
      <c r="R2381" s="27">
        <f>D2381*Q2381</f>
        <v/>
      </c>
      <c r="S2381" s="27">
        <f>R2381*E2381</f>
        <v/>
      </c>
      <c r="T2381" s="27">
        <f>(R2381-S2381)*M2381</f>
        <v/>
      </c>
      <c r="U2381" s="27">
        <f>R2381-S2381-T2381</f>
        <v/>
      </c>
      <c r="V2381" s="27">
        <f>D2381*P2381</f>
        <v/>
      </c>
      <c r="W2381" s="27">
        <f>U2381-V2381</f>
        <v/>
      </c>
      <c r="X2381" s="28">
        <f>IFERROR(W2381/U2381,0)</f>
        <v/>
      </c>
    </row>
    <row r="2382">
      <c r="A2382" s="21">
        <f>ItensPedido!A2382</f>
        <v/>
      </c>
      <c r="B2382" s="21">
        <f>ItensPedido!B2382</f>
        <v/>
      </c>
      <c r="C2382" s="21">
        <f>ItensPedido!C2382</f>
        <v/>
      </c>
      <c r="D2382" s="21">
        <f>ItensPedido!D2382</f>
        <v/>
      </c>
      <c r="E2382" s="22">
        <f>ItensPedido!E2382</f>
        <v/>
      </c>
      <c r="F2382" s="21">
        <f>IFERROR(INDEX(Pedidos!$B$2:$B$1801,MATCH(B2382,Pedidos!$A$2:$A$1801,0)),0)</f>
        <v/>
      </c>
      <c r="G2382" s="21">
        <f>IF(F2382=0,"",YEAR(F2382))</f>
        <v/>
      </c>
      <c r="H2382" s="21">
        <f>IF(F2382=0,"",MONTH(F2382))</f>
        <v/>
      </c>
      <c r="I2382" s="21">
        <f>IFERROR(INDEX(Pedidos!$E$2:$E$1801,MATCH(B2382,Pedidos!$A$2:$A$1801,0)),"")</f>
        <v/>
      </c>
      <c r="J2382" s="21">
        <f>IFERROR(INDEX(Pedidos!$C$2:$C$1801,MATCH(B2382,Pedidos!$A$2:$A$1801,0)),"")</f>
        <v/>
      </c>
      <c r="K2382" s="21">
        <f>IFERROR(INDEX(Pedidos!$D$2:$D$1801,MATCH(B2382,Pedidos!$A$2:$A$1801,0)),"")</f>
        <v/>
      </c>
      <c r="L2382" s="21">
        <f>IFERROR(INDEX(Pedidos!$F$2:$F$1801,MATCH(B2382,Pedidos!$A$2:$A$1801,0)),"")</f>
        <v/>
      </c>
      <c r="M2382" s="22">
        <f>IFERROR(INDEX(Pedidos!$G$2:$G$1801,MATCH(B2382,Pedidos!$A$2:$A$1801,0)),0)</f>
        <v/>
      </c>
      <c r="N2382" s="21">
        <f>IFERROR(INDEX(Produtos!$B$2:$B$71,MATCH(C2382,Produtos!$A$2:$A$71,0)),"")</f>
        <v/>
      </c>
      <c r="O2382" s="21">
        <f>IFERROR(INDEX(Produtos!$C$2:$C$71,MATCH(C2382,Produtos!$A$2:$A$71,0)),"")</f>
        <v/>
      </c>
      <c r="P2382" s="21">
        <f>IFERROR(INDEX(Produtos!$D$2:$D$71,MATCH(C2382,Produtos!$A$2:$A$71,0)),0)</f>
        <v/>
      </c>
      <c r="Q2382" s="21">
        <f>IFERROR(INDEX(Produtos!$E$2:$E$71,MATCH(C2382,Produtos!$A$2:$A$71,0)),0)</f>
        <v/>
      </c>
      <c r="R2382" s="23">
        <f>D2382*Q2382</f>
        <v/>
      </c>
      <c r="S2382" s="23">
        <f>R2382*E2382</f>
        <v/>
      </c>
      <c r="T2382" s="23">
        <f>(R2382-S2382)*M2382</f>
        <v/>
      </c>
      <c r="U2382" s="23">
        <f>R2382-S2382-T2382</f>
        <v/>
      </c>
      <c r="V2382" s="23">
        <f>D2382*P2382</f>
        <v/>
      </c>
      <c r="W2382" s="23">
        <f>U2382-V2382</f>
        <v/>
      </c>
      <c r="X2382" s="24">
        <f>IFERROR(W2382/U2382,0)</f>
        <v/>
      </c>
    </row>
    <row r="2383">
      <c r="A2383" s="25">
        <f>ItensPedido!A2383</f>
        <v/>
      </c>
      <c r="B2383" s="25">
        <f>ItensPedido!B2383</f>
        <v/>
      </c>
      <c r="C2383" s="25">
        <f>ItensPedido!C2383</f>
        <v/>
      </c>
      <c r="D2383" s="25">
        <f>ItensPedido!D2383</f>
        <v/>
      </c>
      <c r="E2383" s="26">
        <f>ItensPedido!E2383</f>
        <v/>
      </c>
      <c r="F2383" s="25">
        <f>IFERROR(INDEX(Pedidos!$B$2:$B$1801,MATCH(B2383,Pedidos!$A$2:$A$1801,0)),0)</f>
        <v/>
      </c>
      <c r="G2383" s="25">
        <f>IF(F2383=0,"",YEAR(F2383))</f>
        <v/>
      </c>
      <c r="H2383" s="25">
        <f>IF(F2383=0,"",MONTH(F2383))</f>
        <v/>
      </c>
      <c r="I2383" s="25">
        <f>IFERROR(INDEX(Pedidos!$E$2:$E$1801,MATCH(B2383,Pedidos!$A$2:$A$1801,0)),"")</f>
        <v/>
      </c>
      <c r="J2383" s="25">
        <f>IFERROR(INDEX(Pedidos!$C$2:$C$1801,MATCH(B2383,Pedidos!$A$2:$A$1801,0)),"")</f>
        <v/>
      </c>
      <c r="K2383" s="25">
        <f>IFERROR(INDEX(Pedidos!$D$2:$D$1801,MATCH(B2383,Pedidos!$A$2:$A$1801,0)),"")</f>
        <v/>
      </c>
      <c r="L2383" s="25">
        <f>IFERROR(INDEX(Pedidos!$F$2:$F$1801,MATCH(B2383,Pedidos!$A$2:$A$1801,0)),"")</f>
        <v/>
      </c>
      <c r="M2383" s="26">
        <f>IFERROR(INDEX(Pedidos!$G$2:$G$1801,MATCH(B2383,Pedidos!$A$2:$A$1801,0)),0)</f>
        <v/>
      </c>
      <c r="N2383" s="25">
        <f>IFERROR(INDEX(Produtos!$B$2:$B$71,MATCH(C2383,Produtos!$A$2:$A$71,0)),"")</f>
        <v/>
      </c>
      <c r="O2383" s="25">
        <f>IFERROR(INDEX(Produtos!$C$2:$C$71,MATCH(C2383,Produtos!$A$2:$A$71,0)),"")</f>
        <v/>
      </c>
      <c r="P2383" s="25">
        <f>IFERROR(INDEX(Produtos!$D$2:$D$71,MATCH(C2383,Produtos!$A$2:$A$71,0)),0)</f>
        <v/>
      </c>
      <c r="Q2383" s="25">
        <f>IFERROR(INDEX(Produtos!$E$2:$E$71,MATCH(C2383,Produtos!$A$2:$A$71,0)),0)</f>
        <v/>
      </c>
      <c r="R2383" s="27">
        <f>D2383*Q2383</f>
        <v/>
      </c>
      <c r="S2383" s="27">
        <f>R2383*E2383</f>
        <v/>
      </c>
      <c r="T2383" s="27">
        <f>(R2383-S2383)*M2383</f>
        <v/>
      </c>
      <c r="U2383" s="27">
        <f>R2383-S2383-T2383</f>
        <v/>
      </c>
      <c r="V2383" s="27">
        <f>D2383*P2383</f>
        <v/>
      </c>
      <c r="W2383" s="27">
        <f>U2383-V2383</f>
        <v/>
      </c>
      <c r="X2383" s="28">
        <f>IFERROR(W2383/U2383,0)</f>
        <v/>
      </c>
    </row>
    <row r="2384">
      <c r="A2384" s="21">
        <f>ItensPedido!A2384</f>
        <v/>
      </c>
      <c r="B2384" s="21">
        <f>ItensPedido!B2384</f>
        <v/>
      </c>
      <c r="C2384" s="21">
        <f>ItensPedido!C2384</f>
        <v/>
      </c>
      <c r="D2384" s="21">
        <f>ItensPedido!D2384</f>
        <v/>
      </c>
      <c r="E2384" s="22">
        <f>ItensPedido!E2384</f>
        <v/>
      </c>
      <c r="F2384" s="21">
        <f>IFERROR(INDEX(Pedidos!$B$2:$B$1801,MATCH(B2384,Pedidos!$A$2:$A$1801,0)),0)</f>
        <v/>
      </c>
      <c r="G2384" s="21">
        <f>IF(F2384=0,"",YEAR(F2384))</f>
        <v/>
      </c>
      <c r="H2384" s="21">
        <f>IF(F2384=0,"",MONTH(F2384))</f>
        <v/>
      </c>
      <c r="I2384" s="21">
        <f>IFERROR(INDEX(Pedidos!$E$2:$E$1801,MATCH(B2384,Pedidos!$A$2:$A$1801,0)),"")</f>
        <v/>
      </c>
      <c r="J2384" s="21">
        <f>IFERROR(INDEX(Pedidos!$C$2:$C$1801,MATCH(B2384,Pedidos!$A$2:$A$1801,0)),"")</f>
        <v/>
      </c>
      <c r="K2384" s="21">
        <f>IFERROR(INDEX(Pedidos!$D$2:$D$1801,MATCH(B2384,Pedidos!$A$2:$A$1801,0)),"")</f>
        <v/>
      </c>
      <c r="L2384" s="21">
        <f>IFERROR(INDEX(Pedidos!$F$2:$F$1801,MATCH(B2384,Pedidos!$A$2:$A$1801,0)),"")</f>
        <v/>
      </c>
      <c r="M2384" s="22">
        <f>IFERROR(INDEX(Pedidos!$G$2:$G$1801,MATCH(B2384,Pedidos!$A$2:$A$1801,0)),0)</f>
        <v/>
      </c>
      <c r="N2384" s="21">
        <f>IFERROR(INDEX(Produtos!$B$2:$B$71,MATCH(C2384,Produtos!$A$2:$A$71,0)),"")</f>
        <v/>
      </c>
      <c r="O2384" s="21">
        <f>IFERROR(INDEX(Produtos!$C$2:$C$71,MATCH(C2384,Produtos!$A$2:$A$71,0)),"")</f>
        <v/>
      </c>
      <c r="P2384" s="21">
        <f>IFERROR(INDEX(Produtos!$D$2:$D$71,MATCH(C2384,Produtos!$A$2:$A$71,0)),0)</f>
        <v/>
      </c>
      <c r="Q2384" s="21">
        <f>IFERROR(INDEX(Produtos!$E$2:$E$71,MATCH(C2384,Produtos!$A$2:$A$71,0)),0)</f>
        <v/>
      </c>
      <c r="R2384" s="23">
        <f>D2384*Q2384</f>
        <v/>
      </c>
      <c r="S2384" s="23">
        <f>R2384*E2384</f>
        <v/>
      </c>
      <c r="T2384" s="23">
        <f>(R2384-S2384)*M2384</f>
        <v/>
      </c>
      <c r="U2384" s="23">
        <f>R2384-S2384-T2384</f>
        <v/>
      </c>
      <c r="V2384" s="23">
        <f>D2384*P2384</f>
        <v/>
      </c>
      <c r="W2384" s="23">
        <f>U2384-V2384</f>
        <v/>
      </c>
      <c r="X2384" s="24">
        <f>IFERROR(W2384/U2384,0)</f>
        <v/>
      </c>
    </row>
    <row r="2385">
      <c r="A2385" s="25">
        <f>ItensPedido!A2385</f>
        <v/>
      </c>
      <c r="B2385" s="25">
        <f>ItensPedido!B2385</f>
        <v/>
      </c>
      <c r="C2385" s="25">
        <f>ItensPedido!C2385</f>
        <v/>
      </c>
      <c r="D2385" s="25">
        <f>ItensPedido!D2385</f>
        <v/>
      </c>
      <c r="E2385" s="26">
        <f>ItensPedido!E2385</f>
        <v/>
      </c>
      <c r="F2385" s="25">
        <f>IFERROR(INDEX(Pedidos!$B$2:$B$1801,MATCH(B2385,Pedidos!$A$2:$A$1801,0)),0)</f>
        <v/>
      </c>
      <c r="G2385" s="25">
        <f>IF(F2385=0,"",YEAR(F2385))</f>
        <v/>
      </c>
      <c r="H2385" s="25">
        <f>IF(F2385=0,"",MONTH(F2385))</f>
        <v/>
      </c>
      <c r="I2385" s="25">
        <f>IFERROR(INDEX(Pedidos!$E$2:$E$1801,MATCH(B2385,Pedidos!$A$2:$A$1801,0)),"")</f>
        <v/>
      </c>
      <c r="J2385" s="25">
        <f>IFERROR(INDEX(Pedidos!$C$2:$C$1801,MATCH(B2385,Pedidos!$A$2:$A$1801,0)),"")</f>
        <v/>
      </c>
      <c r="K2385" s="25">
        <f>IFERROR(INDEX(Pedidos!$D$2:$D$1801,MATCH(B2385,Pedidos!$A$2:$A$1801,0)),"")</f>
        <v/>
      </c>
      <c r="L2385" s="25">
        <f>IFERROR(INDEX(Pedidos!$F$2:$F$1801,MATCH(B2385,Pedidos!$A$2:$A$1801,0)),"")</f>
        <v/>
      </c>
      <c r="M2385" s="26">
        <f>IFERROR(INDEX(Pedidos!$G$2:$G$1801,MATCH(B2385,Pedidos!$A$2:$A$1801,0)),0)</f>
        <v/>
      </c>
      <c r="N2385" s="25">
        <f>IFERROR(INDEX(Produtos!$B$2:$B$71,MATCH(C2385,Produtos!$A$2:$A$71,0)),"")</f>
        <v/>
      </c>
      <c r="O2385" s="25">
        <f>IFERROR(INDEX(Produtos!$C$2:$C$71,MATCH(C2385,Produtos!$A$2:$A$71,0)),"")</f>
        <v/>
      </c>
      <c r="P2385" s="25">
        <f>IFERROR(INDEX(Produtos!$D$2:$D$71,MATCH(C2385,Produtos!$A$2:$A$71,0)),0)</f>
        <v/>
      </c>
      <c r="Q2385" s="25">
        <f>IFERROR(INDEX(Produtos!$E$2:$E$71,MATCH(C2385,Produtos!$A$2:$A$71,0)),0)</f>
        <v/>
      </c>
      <c r="R2385" s="27">
        <f>D2385*Q2385</f>
        <v/>
      </c>
      <c r="S2385" s="27">
        <f>R2385*E2385</f>
        <v/>
      </c>
      <c r="T2385" s="27">
        <f>(R2385-S2385)*M2385</f>
        <v/>
      </c>
      <c r="U2385" s="27">
        <f>R2385-S2385-T2385</f>
        <v/>
      </c>
      <c r="V2385" s="27">
        <f>D2385*P2385</f>
        <v/>
      </c>
      <c r="W2385" s="27">
        <f>U2385-V2385</f>
        <v/>
      </c>
      <c r="X2385" s="28">
        <f>IFERROR(W2385/U2385,0)</f>
        <v/>
      </c>
    </row>
    <row r="2386">
      <c r="A2386" s="21">
        <f>ItensPedido!A2386</f>
        <v/>
      </c>
      <c r="B2386" s="21">
        <f>ItensPedido!B2386</f>
        <v/>
      </c>
      <c r="C2386" s="21">
        <f>ItensPedido!C2386</f>
        <v/>
      </c>
      <c r="D2386" s="21">
        <f>ItensPedido!D2386</f>
        <v/>
      </c>
      <c r="E2386" s="22">
        <f>ItensPedido!E2386</f>
        <v/>
      </c>
      <c r="F2386" s="21">
        <f>IFERROR(INDEX(Pedidos!$B$2:$B$1801,MATCH(B2386,Pedidos!$A$2:$A$1801,0)),0)</f>
        <v/>
      </c>
      <c r="G2386" s="21">
        <f>IF(F2386=0,"",YEAR(F2386))</f>
        <v/>
      </c>
      <c r="H2386" s="21">
        <f>IF(F2386=0,"",MONTH(F2386))</f>
        <v/>
      </c>
      <c r="I2386" s="21">
        <f>IFERROR(INDEX(Pedidos!$E$2:$E$1801,MATCH(B2386,Pedidos!$A$2:$A$1801,0)),"")</f>
        <v/>
      </c>
      <c r="J2386" s="21">
        <f>IFERROR(INDEX(Pedidos!$C$2:$C$1801,MATCH(B2386,Pedidos!$A$2:$A$1801,0)),"")</f>
        <v/>
      </c>
      <c r="K2386" s="21">
        <f>IFERROR(INDEX(Pedidos!$D$2:$D$1801,MATCH(B2386,Pedidos!$A$2:$A$1801,0)),"")</f>
        <v/>
      </c>
      <c r="L2386" s="21">
        <f>IFERROR(INDEX(Pedidos!$F$2:$F$1801,MATCH(B2386,Pedidos!$A$2:$A$1801,0)),"")</f>
        <v/>
      </c>
      <c r="M2386" s="22">
        <f>IFERROR(INDEX(Pedidos!$G$2:$G$1801,MATCH(B2386,Pedidos!$A$2:$A$1801,0)),0)</f>
        <v/>
      </c>
      <c r="N2386" s="21">
        <f>IFERROR(INDEX(Produtos!$B$2:$B$71,MATCH(C2386,Produtos!$A$2:$A$71,0)),"")</f>
        <v/>
      </c>
      <c r="O2386" s="21">
        <f>IFERROR(INDEX(Produtos!$C$2:$C$71,MATCH(C2386,Produtos!$A$2:$A$71,0)),"")</f>
        <v/>
      </c>
      <c r="P2386" s="21">
        <f>IFERROR(INDEX(Produtos!$D$2:$D$71,MATCH(C2386,Produtos!$A$2:$A$71,0)),0)</f>
        <v/>
      </c>
      <c r="Q2386" s="21">
        <f>IFERROR(INDEX(Produtos!$E$2:$E$71,MATCH(C2386,Produtos!$A$2:$A$71,0)),0)</f>
        <v/>
      </c>
      <c r="R2386" s="23">
        <f>D2386*Q2386</f>
        <v/>
      </c>
      <c r="S2386" s="23">
        <f>R2386*E2386</f>
        <v/>
      </c>
      <c r="T2386" s="23">
        <f>(R2386-S2386)*M2386</f>
        <v/>
      </c>
      <c r="U2386" s="23">
        <f>R2386-S2386-T2386</f>
        <v/>
      </c>
      <c r="V2386" s="23">
        <f>D2386*P2386</f>
        <v/>
      </c>
      <c r="W2386" s="23">
        <f>U2386-V2386</f>
        <v/>
      </c>
      <c r="X2386" s="24">
        <f>IFERROR(W2386/U2386,0)</f>
        <v/>
      </c>
    </row>
    <row r="2387">
      <c r="A2387" s="25">
        <f>ItensPedido!A2387</f>
        <v/>
      </c>
      <c r="B2387" s="25">
        <f>ItensPedido!B2387</f>
        <v/>
      </c>
      <c r="C2387" s="25">
        <f>ItensPedido!C2387</f>
        <v/>
      </c>
      <c r="D2387" s="25">
        <f>ItensPedido!D2387</f>
        <v/>
      </c>
      <c r="E2387" s="26">
        <f>ItensPedido!E2387</f>
        <v/>
      </c>
      <c r="F2387" s="25">
        <f>IFERROR(INDEX(Pedidos!$B$2:$B$1801,MATCH(B2387,Pedidos!$A$2:$A$1801,0)),0)</f>
        <v/>
      </c>
      <c r="G2387" s="25">
        <f>IF(F2387=0,"",YEAR(F2387))</f>
        <v/>
      </c>
      <c r="H2387" s="25">
        <f>IF(F2387=0,"",MONTH(F2387))</f>
        <v/>
      </c>
      <c r="I2387" s="25">
        <f>IFERROR(INDEX(Pedidos!$E$2:$E$1801,MATCH(B2387,Pedidos!$A$2:$A$1801,0)),"")</f>
        <v/>
      </c>
      <c r="J2387" s="25">
        <f>IFERROR(INDEX(Pedidos!$C$2:$C$1801,MATCH(B2387,Pedidos!$A$2:$A$1801,0)),"")</f>
        <v/>
      </c>
      <c r="K2387" s="25">
        <f>IFERROR(INDEX(Pedidos!$D$2:$D$1801,MATCH(B2387,Pedidos!$A$2:$A$1801,0)),"")</f>
        <v/>
      </c>
      <c r="L2387" s="25">
        <f>IFERROR(INDEX(Pedidos!$F$2:$F$1801,MATCH(B2387,Pedidos!$A$2:$A$1801,0)),"")</f>
        <v/>
      </c>
      <c r="M2387" s="26">
        <f>IFERROR(INDEX(Pedidos!$G$2:$G$1801,MATCH(B2387,Pedidos!$A$2:$A$1801,0)),0)</f>
        <v/>
      </c>
      <c r="N2387" s="25">
        <f>IFERROR(INDEX(Produtos!$B$2:$B$71,MATCH(C2387,Produtos!$A$2:$A$71,0)),"")</f>
        <v/>
      </c>
      <c r="O2387" s="25">
        <f>IFERROR(INDEX(Produtos!$C$2:$C$71,MATCH(C2387,Produtos!$A$2:$A$71,0)),"")</f>
        <v/>
      </c>
      <c r="P2387" s="25">
        <f>IFERROR(INDEX(Produtos!$D$2:$D$71,MATCH(C2387,Produtos!$A$2:$A$71,0)),0)</f>
        <v/>
      </c>
      <c r="Q2387" s="25">
        <f>IFERROR(INDEX(Produtos!$E$2:$E$71,MATCH(C2387,Produtos!$A$2:$A$71,0)),0)</f>
        <v/>
      </c>
      <c r="R2387" s="27">
        <f>D2387*Q2387</f>
        <v/>
      </c>
      <c r="S2387" s="27">
        <f>R2387*E2387</f>
        <v/>
      </c>
      <c r="T2387" s="27">
        <f>(R2387-S2387)*M2387</f>
        <v/>
      </c>
      <c r="U2387" s="27">
        <f>R2387-S2387-T2387</f>
        <v/>
      </c>
      <c r="V2387" s="27">
        <f>D2387*P2387</f>
        <v/>
      </c>
      <c r="W2387" s="27">
        <f>U2387-V2387</f>
        <v/>
      </c>
      <c r="X2387" s="28">
        <f>IFERROR(W2387/U2387,0)</f>
        <v/>
      </c>
    </row>
    <row r="2388">
      <c r="A2388" s="21">
        <f>ItensPedido!A2388</f>
        <v/>
      </c>
      <c r="B2388" s="21">
        <f>ItensPedido!B2388</f>
        <v/>
      </c>
      <c r="C2388" s="21">
        <f>ItensPedido!C2388</f>
        <v/>
      </c>
      <c r="D2388" s="21">
        <f>ItensPedido!D2388</f>
        <v/>
      </c>
      <c r="E2388" s="22">
        <f>ItensPedido!E2388</f>
        <v/>
      </c>
      <c r="F2388" s="21">
        <f>IFERROR(INDEX(Pedidos!$B$2:$B$1801,MATCH(B2388,Pedidos!$A$2:$A$1801,0)),0)</f>
        <v/>
      </c>
      <c r="G2388" s="21">
        <f>IF(F2388=0,"",YEAR(F2388))</f>
        <v/>
      </c>
      <c r="H2388" s="21">
        <f>IF(F2388=0,"",MONTH(F2388))</f>
        <v/>
      </c>
      <c r="I2388" s="21">
        <f>IFERROR(INDEX(Pedidos!$E$2:$E$1801,MATCH(B2388,Pedidos!$A$2:$A$1801,0)),"")</f>
        <v/>
      </c>
      <c r="J2388" s="21">
        <f>IFERROR(INDEX(Pedidos!$C$2:$C$1801,MATCH(B2388,Pedidos!$A$2:$A$1801,0)),"")</f>
        <v/>
      </c>
      <c r="K2388" s="21">
        <f>IFERROR(INDEX(Pedidos!$D$2:$D$1801,MATCH(B2388,Pedidos!$A$2:$A$1801,0)),"")</f>
        <v/>
      </c>
      <c r="L2388" s="21">
        <f>IFERROR(INDEX(Pedidos!$F$2:$F$1801,MATCH(B2388,Pedidos!$A$2:$A$1801,0)),"")</f>
        <v/>
      </c>
      <c r="M2388" s="22">
        <f>IFERROR(INDEX(Pedidos!$G$2:$G$1801,MATCH(B2388,Pedidos!$A$2:$A$1801,0)),0)</f>
        <v/>
      </c>
      <c r="N2388" s="21">
        <f>IFERROR(INDEX(Produtos!$B$2:$B$71,MATCH(C2388,Produtos!$A$2:$A$71,0)),"")</f>
        <v/>
      </c>
      <c r="O2388" s="21">
        <f>IFERROR(INDEX(Produtos!$C$2:$C$71,MATCH(C2388,Produtos!$A$2:$A$71,0)),"")</f>
        <v/>
      </c>
      <c r="P2388" s="21">
        <f>IFERROR(INDEX(Produtos!$D$2:$D$71,MATCH(C2388,Produtos!$A$2:$A$71,0)),0)</f>
        <v/>
      </c>
      <c r="Q2388" s="21">
        <f>IFERROR(INDEX(Produtos!$E$2:$E$71,MATCH(C2388,Produtos!$A$2:$A$71,0)),0)</f>
        <v/>
      </c>
      <c r="R2388" s="23">
        <f>D2388*Q2388</f>
        <v/>
      </c>
      <c r="S2388" s="23">
        <f>R2388*E2388</f>
        <v/>
      </c>
      <c r="T2388" s="23">
        <f>(R2388-S2388)*M2388</f>
        <v/>
      </c>
      <c r="U2388" s="23">
        <f>R2388-S2388-T2388</f>
        <v/>
      </c>
      <c r="V2388" s="23">
        <f>D2388*P2388</f>
        <v/>
      </c>
      <c r="W2388" s="23">
        <f>U2388-V2388</f>
        <v/>
      </c>
      <c r="X2388" s="24">
        <f>IFERROR(W2388/U2388,0)</f>
        <v/>
      </c>
    </row>
    <row r="2389">
      <c r="A2389" s="25">
        <f>ItensPedido!A2389</f>
        <v/>
      </c>
      <c r="B2389" s="25">
        <f>ItensPedido!B2389</f>
        <v/>
      </c>
      <c r="C2389" s="25">
        <f>ItensPedido!C2389</f>
        <v/>
      </c>
      <c r="D2389" s="25">
        <f>ItensPedido!D2389</f>
        <v/>
      </c>
      <c r="E2389" s="26">
        <f>ItensPedido!E2389</f>
        <v/>
      </c>
      <c r="F2389" s="25">
        <f>IFERROR(INDEX(Pedidos!$B$2:$B$1801,MATCH(B2389,Pedidos!$A$2:$A$1801,0)),0)</f>
        <v/>
      </c>
      <c r="G2389" s="25">
        <f>IF(F2389=0,"",YEAR(F2389))</f>
        <v/>
      </c>
      <c r="H2389" s="25">
        <f>IF(F2389=0,"",MONTH(F2389))</f>
        <v/>
      </c>
      <c r="I2389" s="25">
        <f>IFERROR(INDEX(Pedidos!$E$2:$E$1801,MATCH(B2389,Pedidos!$A$2:$A$1801,0)),"")</f>
        <v/>
      </c>
      <c r="J2389" s="25">
        <f>IFERROR(INDEX(Pedidos!$C$2:$C$1801,MATCH(B2389,Pedidos!$A$2:$A$1801,0)),"")</f>
        <v/>
      </c>
      <c r="K2389" s="25">
        <f>IFERROR(INDEX(Pedidos!$D$2:$D$1801,MATCH(B2389,Pedidos!$A$2:$A$1801,0)),"")</f>
        <v/>
      </c>
      <c r="L2389" s="25">
        <f>IFERROR(INDEX(Pedidos!$F$2:$F$1801,MATCH(B2389,Pedidos!$A$2:$A$1801,0)),"")</f>
        <v/>
      </c>
      <c r="M2389" s="26">
        <f>IFERROR(INDEX(Pedidos!$G$2:$G$1801,MATCH(B2389,Pedidos!$A$2:$A$1801,0)),0)</f>
        <v/>
      </c>
      <c r="N2389" s="25">
        <f>IFERROR(INDEX(Produtos!$B$2:$B$71,MATCH(C2389,Produtos!$A$2:$A$71,0)),"")</f>
        <v/>
      </c>
      <c r="O2389" s="25">
        <f>IFERROR(INDEX(Produtos!$C$2:$C$71,MATCH(C2389,Produtos!$A$2:$A$71,0)),"")</f>
        <v/>
      </c>
      <c r="P2389" s="25">
        <f>IFERROR(INDEX(Produtos!$D$2:$D$71,MATCH(C2389,Produtos!$A$2:$A$71,0)),0)</f>
        <v/>
      </c>
      <c r="Q2389" s="25">
        <f>IFERROR(INDEX(Produtos!$E$2:$E$71,MATCH(C2389,Produtos!$A$2:$A$71,0)),0)</f>
        <v/>
      </c>
      <c r="R2389" s="27">
        <f>D2389*Q2389</f>
        <v/>
      </c>
      <c r="S2389" s="27">
        <f>R2389*E2389</f>
        <v/>
      </c>
      <c r="T2389" s="27">
        <f>(R2389-S2389)*M2389</f>
        <v/>
      </c>
      <c r="U2389" s="27">
        <f>R2389-S2389-T2389</f>
        <v/>
      </c>
      <c r="V2389" s="27">
        <f>D2389*P2389</f>
        <v/>
      </c>
      <c r="W2389" s="27">
        <f>U2389-V2389</f>
        <v/>
      </c>
      <c r="X2389" s="28">
        <f>IFERROR(W2389/U2389,0)</f>
        <v/>
      </c>
    </row>
    <row r="2390">
      <c r="A2390" s="21">
        <f>ItensPedido!A2390</f>
        <v/>
      </c>
      <c r="B2390" s="21">
        <f>ItensPedido!B2390</f>
        <v/>
      </c>
      <c r="C2390" s="21">
        <f>ItensPedido!C2390</f>
        <v/>
      </c>
      <c r="D2390" s="21">
        <f>ItensPedido!D2390</f>
        <v/>
      </c>
      <c r="E2390" s="22">
        <f>ItensPedido!E2390</f>
        <v/>
      </c>
      <c r="F2390" s="21">
        <f>IFERROR(INDEX(Pedidos!$B$2:$B$1801,MATCH(B2390,Pedidos!$A$2:$A$1801,0)),0)</f>
        <v/>
      </c>
      <c r="G2390" s="21">
        <f>IF(F2390=0,"",YEAR(F2390))</f>
        <v/>
      </c>
      <c r="H2390" s="21">
        <f>IF(F2390=0,"",MONTH(F2390))</f>
        <v/>
      </c>
      <c r="I2390" s="21">
        <f>IFERROR(INDEX(Pedidos!$E$2:$E$1801,MATCH(B2390,Pedidos!$A$2:$A$1801,0)),"")</f>
        <v/>
      </c>
      <c r="J2390" s="21">
        <f>IFERROR(INDEX(Pedidos!$C$2:$C$1801,MATCH(B2390,Pedidos!$A$2:$A$1801,0)),"")</f>
        <v/>
      </c>
      <c r="K2390" s="21">
        <f>IFERROR(INDEX(Pedidos!$D$2:$D$1801,MATCH(B2390,Pedidos!$A$2:$A$1801,0)),"")</f>
        <v/>
      </c>
      <c r="L2390" s="21">
        <f>IFERROR(INDEX(Pedidos!$F$2:$F$1801,MATCH(B2390,Pedidos!$A$2:$A$1801,0)),"")</f>
        <v/>
      </c>
      <c r="M2390" s="22">
        <f>IFERROR(INDEX(Pedidos!$G$2:$G$1801,MATCH(B2390,Pedidos!$A$2:$A$1801,0)),0)</f>
        <v/>
      </c>
      <c r="N2390" s="21">
        <f>IFERROR(INDEX(Produtos!$B$2:$B$71,MATCH(C2390,Produtos!$A$2:$A$71,0)),"")</f>
        <v/>
      </c>
      <c r="O2390" s="21">
        <f>IFERROR(INDEX(Produtos!$C$2:$C$71,MATCH(C2390,Produtos!$A$2:$A$71,0)),"")</f>
        <v/>
      </c>
      <c r="P2390" s="21">
        <f>IFERROR(INDEX(Produtos!$D$2:$D$71,MATCH(C2390,Produtos!$A$2:$A$71,0)),0)</f>
        <v/>
      </c>
      <c r="Q2390" s="21">
        <f>IFERROR(INDEX(Produtos!$E$2:$E$71,MATCH(C2390,Produtos!$A$2:$A$71,0)),0)</f>
        <v/>
      </c>
      <c r="R2390" s="23">
        <f>D2390*Q2390</f>
        <v/>
      </c>
      <c r="S2390" s="23">
        <f>R2390*E2390</f>
        <v/>
      </c>
      <c r="T2390" s="23">
        <f>(R2390-S2390)*M2390</f>
        <v/>
      </c>
      <c r="U2390" s="23">
        <f>R2390-S2390-T2390</f>
        <v/>
      </c>
      <c r="V2390" s="23">
        <f>D2390*P2390</f>
        <v/>
      </c>
      <c r="W2390" s="23">
        <f>U2390-V2390</f>
        <v/>
      </c>
      <c r="X2390" s="24">
        <f>IFERROR(W2390/U2390,0)</f>
        <v/>
      </c>
    </row>
    <row r="2391">
      <c r="A2391" s="25">
        <f>ItensPedido!A2391</f>
        <v/>
      </c>
      <c r="B2391" s="25">
        <f>ItensPedido!B2391</f>
        <v/>
      </c>
      <c r="C2391" s="25">
        <f>ItensPedido!C2391</f>
        <v/>
      </c>
      <c r="D2391" s="25">
        <f>ItensPedido!D2391</f>
        <v/>
      </c>
      <c r="E2391" s="26">
        <f>ItensPedido!E2391</f>
        <v/>
      </c>
      <c r="F2391" s="25">
        <f>IFERROR(INDEX(Pedidos!$B$2:$B$1801,MATCH(B2391,Pedidos!$A$2:$A$1801,0)),0)</f>
        <v/>
      </c>
      <c r="G2391" s="25">
        <f>IF(F2391=0,"",YEAR(F2391))</f>
        <v/>
      </c>
      <c r="H2391" s="25">
        <f>IF(F2391=0,"",MONTH(F2391))</f>
        <v/>
      </c>
      <c r="I2391" s="25">
        <f>IFERROR(INDEX(Pedidos!$E$2:$E$1801,MATCH(B2391,Pedidos!$A$2:$A$1801,0)),"")</f>
        <v/>
      </c>
      <c r="J2391" s="25">
        <f>IFERROR(INDEX(Pedidos!$C$2:$C$1801,MATCH(B2391,Pedidos!$A$2:$A$1801,0)),"")</f>
        <v/>
      </c>
      <c r="K2391" s="25">
        <f>IFERROR(INDEX(Pedidos!$D$2:$D$1801,MATCH(B2391,Pedidos!$A$2:$A$1801,0)),"")</f>
        <v/>
      </c>
      <c r="L2391" s="25">
        <f>IFERROR(INDEX(Pedidos!$F$2:$F$1801,MATCH(B2391,Pedidos!$A$2:$A$1801,0)),"")</f>
        <v/>
      </c>
      <c r="M2391" s="26">
        <f>IFERROR(INDEX(Pedidos!$G$2:$G$1801,MATCH(B2391,Pedidos!$A$2:$A$1801,0)),0)</f>
        <v/>
      </c>
      <c r="N2391" s="25">
        <f>IFERROR(INDEX(Produtos!$B$2:$B$71,MATCH(C2391,Produtos!$A$2:$A$71,0)),"")</f>
        <v/>
      </c>
      <c r="O2391" s="25">
        <f>IFERROR(INDEX(Produtos!$C$2:$C$71,MATCH(C2391,Produtos!$A$2:$A$71,0)),"")</f>
        <v/>
      </c>
      <c r="P2391" s="25">
        <f>IFERROR(INDEX(Produtos!$D$2:$D$71,MATCH(C2391,Produtos!$A$2:$A$71,0)),0)</f>
        <v/>
      </c>
      <c r="Q2391" s="25">
        <f>IFERROR(INDEX(Produtos!$E$2:$E$71,MATCH(C2391,Produtos!$A$2:$A$71,0)),0)</f>
        <v/>
      </c>
      <c r="R2391" s="27">
        <f>D2391*Q2391</f>
        <v/>
      </c>
      <c r="S2391" s="27">
        <f>R2391*E2391</f>
        <v/>
      </c>
      <c r="T2391" s="27">
        <f>(R2391-S2391)*M2391</f>
        <v/>
      </c>
      <c r="U2391" s="27">
        <f>R2391-S2391-T2391</f>
        <v/>
      </c>
      <c r="V2391" s="27">
        <f>D2391*P2391</f>
        <v/>
      </c>
      <c r="W2391" s="27">
        <f>U2391-V2391</f>
        <v/>
      </c>
      <c r="X2391" s="28">
        <f>IFERROR(W2391/U2391,0)</f>
        <v/>
      </c>
    </row>
    <row r="2392">
      <c r="A2392" s="21">
        <f>ItensPedido!A2392</f>
        <v/>
      </c>
      <c r="B2392" s="21">
        <f>ItensPedido!B2392</f>
        <v/>
      </c>
      <c r="C2392" s="21">
        <f>ItensPedido!C2392</f>
        <v/>
      </c>
      <c r="D2392" s="21">
        <f>ItensPedido!D2392</f>
        <v/>
      </c>
      <c r="E2392" s="22">
        <f>ItensPedido!E2392</f>
        <v/>
      </c>
      <c r="F2392" s="21">
        <f>IFERROR(INDEX(Pedidos!$B$2:$B$1801,MATCH(B2392,Pedidos!$A$2:$A$1801,0)),0)</f>
        <v/>
      </c>
      <c r="G2392" s="21">
        <f>IF(F2392=0,"",YEAR(F2392))</f>
        <v/>
      </c>
      <c r="H2392" s="21">
        <f>IF(F2392=0,"",MONTH(F2392))</f>
        <v/>
      </c>
      <c r="I2392" s="21">
        <f>IFERROR(INDEX(Pedidos!$E$2:$E$1801,MATCH(B2392,Pedidos!$A$2:$A$1801,0)),"")</f>
        <v/>
      </c>
      <c r="J2392" s="21">
        <f>IFERROR(INDEX(Pedidos!$C$2:$C$1801,MATCH(B2392,Pedidos!$A$2:$A$1801,0)),"")</f>
        <v/>
      </c>
      <c r="K2392" s="21">
        <f>IFERROR(INDEX(Pedidos!$D$2:$D$1801,MATCH(B2392,Pedidos!$A$2:$A$1801,0)),"")</f>
        <v/>
      </c>
      <c r="L2392" s="21">
        <f>IFERROR(INDEX(Pedidos!$F$2:$F$1801,MATCH(B2392,Pedidos!$A$2:$A$1801,0)),"")</f>
        <v/>
      </c>
      <c r="M2392" s="22">
        <f>IFERROR(INDEX(Pedidos!$G$2:$G$1801,MATCH(B2392,Pedidos!$A$2:$A$1801,0)),0)</f>
        <v/>
      </c>
      <c r="N2392" s="21">
        <f>IFERROR(INDEX(Produtos!$B$2:$B$71,MATCH(C2392,Produtos!$A$2:$A$71,0)),"")</f>
        <v/>
      </c>
      <c r="O2392" s="21">
        <f>IFERROR(INDEX(Produtos!$C$2:$C$71,MATCH(C2392,Produtos!$A$2:$A$71,0)),"")</f>
        <v/>
      </c>
      <c r="P2392" s="21">
        <f>IFERROR(INDEX(Produtos!$D$2:$D$71,MATCH(C2392,Produtos!$A$2:$A$71,0)),0)</f>
        <v/>
      </c>
      <c r="Q2392" s="21">
        <f>IFERROR(INDEX(Produtos!$E$2:$E$71,MATCH(C2392,Produtos!$A$2:$A$71,0)),0)</f>
        <v/>
      </c>
      <c r="R2392" s="23">
        <f>D2392*Q2392</f>
        <v/>
      </c>
      <c r="S2392" s="23">
        <f>R2392*E2392</f>
        <v/>
      </c>
      <c r="T2392" s="23">
        <f>(R2392-S2392)*M2392</f>
        <v/>
      </c>
      <c r="U2392" s="23">
        <f>R2392-S2392-T2392</f>
        <v/>
      </c>
      <c r="V2392" s="23">
        <f>D2392*P2392</f>
        <v/>
      </c>
      <c r="W2392" s="23">
        <f>U2392-V2392</f>
        <v/>
      </c>
      <c r="X2392" s="24">
        <f>IFERROR(W2392/U2392,0)</f>
        <v/>
      </c>
    </row>
    <row r="2393">
      <c r="A2393" s="25">
        <f>ItensPedido!A2393</f>
        <v/>
      </c>
      <c r="B2393" s="25">
        <f>ItensPedido!B2393</f>
        <v/>
      </c>
      <c r="C2393" s="25">
        <f>ItensPedido!C2393</f>
        <v/>
      </c>
      <c r="D2393" s="25">
        <f>ItensPedido!D2393</f>
        <v/>
      </c>
      <c r="E2393" s="26">
        <f>ItensPedido!E2393</f>
        <v/>
      </c>
      <c r="F2393" s="25">
        <f>IFERROR(INDEX(Pedidos!$B$2:$B$1801,MATCH(B2393,Pedidos!$A$2:$A$1801,0)),0)</f>
        <v/>
      </c>
      <c r="G2393" s="25">
        <f>IF(F2393=0,"",YEAR(F2393))</f>
        <v/>
      </c>
      <c r="H2393" s="25">
        <f>IF(F2393=0,"",MONTH(F2393))</f>
        <v/>
      </c>
      <c r="I2393" s="25">
        <f>IFERROR(INDEX(Pedidos!$E$2:$E$1801,MATCH(B2393,Pedidos!$A$2:$A$1801,0)),"")</f>
        <v/>
      </c>
      <c r="J2393" s="25">
        <f>IFERROR(INDEX(Pedidos!$C$2:$C$1801,MATCH(B2393,Pedidos!$A$2:$A$1801,0)),"")</f>
        <v/>
      </c>
      <c r="K2393" s="25">
        <f>IFERROR(INDEX(Pedidos!$D$2:$D$1801,MATCH(B2393,Pedidos!$A$2:$A$1801,0)),"")</f>
        <v/>
      </c>
      <c r="L2393" s="25">
        <f>IFERROR(INDEX(Pedidos!$F$2:$F$1801,MATCH(B2393,Pedidos!$A$2:$A$1801,0)),"")</f>
        <v/>
      </c>
      <c r="M2393" s="26">
        <f>IFERROR(INDEX(Pedidos!$G$2:$G$1801,MATCH(B2393,Pedidos!$A$2:$A$1801,0)),0)</f>
        <v/>
      </c>
      <c r="N2393" s="25">
        <f>IFERROR(INDEX(Produtos!$B$2:$B$71,MATCH(C2393,Produtos!$A$2:$A$71,0)),"")</f>
        <v/>
      </c>
      <c r="O2393" s="25">
        <f>IFERROR(INDEX(Produtos!$C$2:$C$71,MATCH(C2393,Produtos!$A$2:$A$71,0)),"")</f>
        <v/>
      </c>
      <c r="P2393" s="25">
        <f>IFERROR(INDEX(Produtos!$D$2:$D$71,MATCH(C2393,Produtos!$A$2:$A$71,0)),0)</f>
        <v/>
      </c>
      <c r="Q2393" s="25">
        <f>IFERROR(INDEX(Produtos!$E$2:$E$71,MATCH(C2393,Produtos!$A$2:$A$71,0)),0)</f>
        <v/>
      </c>
      <c r="R2393" s="27">
        <f>D2393*Q2393</f>
        <v/>
      </c>
      <c r="S2393" s="27">
        <f>R2393*E2393</f>
        <v/>
      </c>
      <c r="T2393" s="27">
        <f>(R2393-S2393)*M2393</f>
        <v/>
      </c>
      <c r="U2393" s="27">
        <f>R2393-S2393-T2393</f>
        <v/>
      </c>
      <c r="V2393" s="27">
        <f>D2393*P2393</f>
        <v/>
      </c>
      <c r="W2393" s="27">
        <f>U2393-V2393</f>
        <v/>
      </c>
      <c r="X2393" s="28">
        <f>IFERROR(W2393/U2393,0)</f>
        <v/>
      </c>
    </row>
    <row r="2394">
      <c r="A2394" s="21">
        <f>ItensPedido!A2394</f>
        <v/>
      </c>
      <c r="B2394" s="21">
        <f>ItensPedido!B2394</f>
        <v/>
      </c>
      <c r="C2394" s="21">
        <f>ItensPedido!C2394</f>
        <v/>
      </c>
      <c r="D2394" s="21">
        <f>ItensPedido!D2394</f>
        <v/>
      </c>
      <c r="E2394" s="22">
        <f>ItensPedido!E2394</f>
        <v/>
      </c>
      <c r="F2394" s="21">
        <f>IFERROR(INDEX(Pedidos!$B$2:$B$1801,MATCH(B2394,Pedidos!$A$2:$A$1801,0)),0)</f>
        <v/>
      </c>
      <c r="G2394" s="21">
        <f>IF(F2394=0,"",YEAR(F2394))</f>
        <v/>
      </c>
      <c r="H2394" s="21">
        <f>IF(F2394=0,"",MONTH(F2394))</f>
        <v/>
      </c>
      <c r="I2394" s="21">
        <f>IFERROR(INDEX(Pedidos!$E$2:$E$1801,MATCH(B2394,Pedidos!$A$2:$A$1801,0)),"")</f>
        <v/>
      </c>
      <c r="J2394" s="21">
        <f>IFERROR(INDEX(Pedidos!$C$2:$C$1801,MATCH(B2394,Pedidos!$A$2:$A$1801,0)),"")</f>
        <v/>
      </c>
      <c r="K2394" s="21">
        <f>IFERROR(INDEX(Pedidos!$D$2:$D$1801,MATCH(B2394,Pedidos!$A$2:$A$1801,0)),"")</f>
        <v/>
      </c>
      <c r="L2394" s="21">
        <f>IFERROR(INDEX(Pedidos!$F$2:$F$1801,MATCH(B2394,Pedidos!$A$2:$A$1801,0)),"")</f>
        <v/>
      </c>
      <c r="M2394" s="22">
        <f>IFERROR(INDEX(Pedidos!$G$2:$G$1801,MATCH(B2394,Pedidos!$A$2:$A$1801,0)),0)</f>
        <v/>
      </c>
      <c r="N2394" s="21">
        <f>IFERROR(INDEX(Produtos!$B$2:$B$71,MATCH(C2394,Produtos!$A$2:$A$71,0)),"")</f>
        <v/>
      </c>
      <c r="O2394" s="21">
        <f>IFERROR(INDEX(Produtos!$C$2:$C$71,MATCH(C2394,Produtos!$A$2:$A$71,0)),"")</f>
        <v/>
      </c>
      <c r="P2394" s="21">
        <f>IFERROR(INDEX(Produtos!$D$2:$D$71,MATCH(C2394,Produtos!$A$2:$A$71,0)),0)</f>
        <v/>
      </c>
      <c r="Q2394" s="21">
        <f>IFERROR(INDEX(Produtos!$E$2:$E$71,MATCH(C2394,Produtos!$A$2:$A$71,0)),0)</f>
        <v/>
      </c>
      <c r="R2394" s="23">
        <f>D2394*Q2394</f>
        <v/>
      </c>
      <c r="S2394" s="23">
        <f>R2394*E2394</f>
        <v/>
      </c>
      <c r="T2394" s="23">
        <f>(R2394-S2394)*M2394</f>
        <v/>
      </c>
      <c r="U2394" s="23">
        <f>R2394-S2394-T2394</f>
        <v/>
      </c>
      <c r="V2394" s="23">
        <f>D2394*P2394</f>
        <v/>
      </c>
      <c r="W2394" s="23">
        <f>U2394-V2394</f>
        <v/>
      </c>
      <c r="X2394" s="24">
        <f>IFERROR(W2394/U2394,0)</f>
        <v/>
      </c>
    </row>
    <row r="2395">
      <c r="A2395" s="25">
        <f>ItensPedido!A2395</f>
        <v/>
      </c>
      <c r="B2395" s="25">
        <f>ItensPedido!B2395</f>
        <v/>
      </c>
      <c r="C2395" s="25">
        <f>ItensPedido!C2395</f>
        <v/>
      </c>
      <c r="D2395" s="25">
        <f>ItensPedido!D2395</f>
        <v/>
      </c>
      <c r="E2395" s="26">
        <f>ItensPedido!E2395</f>
        <v/>
      </c>
      <c r="F2395" s="25">
        <f>IFERROR(INDEX(Pedidos!$B$2:$B$1801,MATCH(B2395,Pedidos!$A$2:$A$1801,0)),0)</f>
        <v/>
      </c>
      <c r="G2395" s="25">
        <f>IF(F2395=0,"",YEAR(F2395))</f>
        <v/>
      </c>
      <c r="H2395" s="25">
        <f>IF(F2395=0,"",MONTH(F2395))</f>
        <v/>
      </c>
      <c r="I2395" s="25">
        <f>IFERROR(INDEX(Pedidos!$E$2:$E$1801,MATCH(B2395,Pedidos!$A$2:$A$1801,0)),"")</f>
        <v/>
      </c>
      <c r="J2395" s="25">
        <f>IFERROR(INDEX(Pedidos!$C$2:$C$1801,MATCH(B2395,Pedidos!$A$2:$A$1801,0)),"")</f>
        <v/>
      </c>
      <c r="K2395" s="25">
        <f>IFERROR(INDEX(Pedidos!$D$2:$D$1801,MATCH(B2395,Pedidos!$A$2:$A$1801,0)),"")</f>
        <v/>
      </c>
      <c r="L2395" s="25">
        <f>IFERROR(INDEX(Pedidos!$F$2:$F$1801,MATCH(B2395,Pedidos!$A$2:$A$1801,0)),"")</f>
        <v/>
      </c>
      <c r="M2395" s="26">
        <f>IFERROR(INDEX(Pedidos!$G$2:$G$1801,MATCH(B2395,Pedidos!$A$2:$A$1801,0)),0)</f>
        <v/>
      </c>
      <c r="N2395" s="25">
        <f>IFERROR(INDEX(Produtos!$B$2:$B$71,MATCH(C2395,Produtos!$A$2:$A$71,0)),"")</f>
        <v/>
      </c>
      <c r="O2395" s="25">
        <f>IFERROR(INDEX(Produtos!$C$2:$C$71,MATCH(C2395,Produtos!$A$2:$A$71,0)),"")</f>
        <v/>
      </c>
      <c r="P2395" s="25">
        <f>IFERROR(INDEX(Produtos!$D$2:$D$71,MATCH(C2395,Produtos!$A$2:$A$71,0)),0)</f>
        <v/>
      </c>
      <c r="Q2395" s="25">
        <f>IFERROR(INDEX(Produtos!$E$2:$E$71,MATCH(C2395,Produtos!$A$2:$A$71,0)),0)</f>
        <v/>
      </c>
      <c r="R2395" s="27">
        <f>D2395*Q2395</f>
        <v/>
      </c>
      <c r="S2395" s="27">
        <f>R2395*E2395</f>
        <v/>
      </c>
      <c r="T2395" s="27">
        <f>(R2395-S2395)*M2395</f>
        <v/>
      </c>
      <c r="U2395" s="27">
        <f>R2395-S2395-T2395</f>
        <v/>
      </c>
      <c r="V2395" s="27">
        <f>D2395*P2395</f>
        <v/>
      </c>
      <c r="W2395" s="27">
        <f>U2395-V2395</f>
        <v/>
      </c>
      <c r="X2395" s="28">
        <f>IFERROR(W2395/U2395,0)</f>
        <v/>
      </c>
    </row>
    <row r="2396">
      <c r="A2396" s="21">
        <f>ItensPedido!A2396</f>
        <v/>
      </c>
      <c r="B2396" s="21">
        <f>ItensPedido!B2396</f>
        <v/>
      </c>
      <c r="C2396" s="21">
        <f>ItensPedido!C2396</f>
        <v/>
      </c>
      <c r="D2396" s="21">
        <f>ItensPedido!D2396</f>
        <v/>
      </c>
      <c r="E2396" s="22">
        <f>ItensPedido!E2396</f>
        <v/>
      </c>
      <c r="F2396" s="21">
        <f>IFERROR(INDEX(Pedidos!$B$2:$B$1801,MATCH(B2396,Pedidos!$A$2:$A$1801,0)),0)</f>
        <v/>
      </c>
      <c r="G2396" s="21">
        <f>IF(F2396=0,"",YEAR(F2396))</f>
        <v/>
      </c>
      <c r="H2396" s="21">
        <f>IF(F2396=0,"",MONTH(F2396))</f>
        <v/>
      </c>
      <c r="I2396" s="21">
        <f>IFERROR(INDEX(Pedidos!$E$2:$E$1801,MATCH(B2396,Pedidos!$A$2:$A$1801,0)),"")</f>
        <v/>
      </c>
      <c r="J2396" s="21">
        <f>IFERROR(INDEX(Pedidos!$C$2:$C$1801,MATCH(B2396,Pedidos!$A$2:$A$1801,0)),"")</f>
        <v/>
      </c>
      <c r="K2396" s="21">
        <f>IFERROR(INDEX(Pedidos!$D$2:$D$1801,MATCH(B2396,Pedidos!$A$2:$A$1801,0)),"")</f>
        <v/>
      </c>
      <c r="L2396" s="21">
        <f>IFERROR(INDEX(Pedidos!$F$2:$F$1801,MATCH(B2396,Pedidos!$A$2:$A$1801,0)),"")</f>
        <v/>
      </c>
      <c r="M2396" s="22">
        <f>IFERROR(INDEX(Pedidos!$G$2:$G$1801,MATCH(B2396,Pedidos!$A$2:$A$1801,0)),0)</f>
        <v/>
      </c>
      <c r="N2396" s="21">
        <f>IFERROR(INDEX(Produtos!$B$2:$B$71,MATCH(C2396,Produtos!$A$2:$A$71,0)),"")</f>
        <v/>
      </c>
      <c r="O2396" s="21">
        <f>IFERROR(INDEX(Produtos!$C$2:$C$71,MATCH(C2396,Produtos!$A$2:$A$71,0)),"")</f>
        <v/>
      </c>
      <c r="P2396" s="21">
        <f>IFERROR(INDEX(Produtos!$D$2:$D$71,MATCH(C2396,Produtos!$A$2:$A$71,0)),0)</f>
        <v/>
      </c>
      <c r="Q2396" s="21">
        <f>IFERROR(INDEX(Produtos!$E$2:$E$71,MATCH(C2396,Produtos!$A$2:$A$71,0)),0)</f>
        <v/>
      </c>
      <c r="R2396" s="23">
        <f>D2396*Q2396</f>
        <v/>
      </c>
      <c r="S2396" s="23">
        <f>R2396*E2396</f>
        <v/>
      </c>
      <c r="T2396" s="23">
        <f>(R2396-S2396)*M2396</f>
        <v/>
      </c>
      <c r="U2396" s="23">
        <f>R2396-S2396-T2396</f>
        <v/>
      </c>
      <c r="V2396" s="23">
        <f>D2396*P2396</f>
        <v/>
      </c>
      <c r="W2396" s="23">
        <f>U2396-V2396</f>
        <v/>
      </c>
      <c r="X2396" s="24">
        <f>IFERROR(W2396/U2396,0)</f>
        <v/>
      </c>
    </row>
    <row r="2397">
      <c r="A2397" s="25">
        <f>ItensPedido!A2397</f>
        <v/>
      </c>
      <c r="B2397" s="25">
        <f>ItensPedido!B2397</f>
        <v/>
      </c>
      <c r="C2397" s="25">
        <f>ItensPedido!C2397</f>
        <v/>
      </c>
      <c r="D2397" s="25">
        <f>ItensPedido!D2397</f>
        <v/>
      </c>
      <c r="E2397" s="26">
        <f>ItensPedido!E2397</f>
        <v/>
      </c>
      <c r="F2397" s="25">
        <f>IFERROR(INDEX(Pedidos!$B$2:$B$1801,MATCH(B2397,Pedidos!$A$2:$A$1801,0)),0)</f>
        <v/>
      </c>
      <c r="G2397" s="25">
        <f>IF(F2397=0,"",YEAR(F2397))</f>
        <v/>
      </c>
      <c r="H2397" s="25">
        <f>IF(F2397=0,"",MONTH(F2397))</f>
        <v/>
      </c>
      <c r="I2397" s="25">
        <f>IFERROR(INDEX(Pedidos!$E$2:$E$1801,MATCH(B2397,Pedidos!$A$2:$A$1801,0)),"")</f>
        <v/>
      </c>
      <c r="J2397" s="25">
        <f>IFERROR(INDEX(Pedidos!$C$2:$C$1801,MATCH(B2397,Pedidos!$A$2:$A$1801,0)),"")</f>
        <v/>
      </c>
      <c r="K2397" s="25">
        <f>IFERROR(INDEX(Pedidos!$D$2:$D$1801,MATCH(B2397,Pedidos!$A$2:$A$1801,0)),"")</f>
        <v/>
      </c>
      <c r="L2397" s="25">
        <f>IFERROR(INDEX(Pedidos!$F$2:$F$1801,MATCH(B2397,Pedidos!$A$2:$A$1801,0)),"")</f>
        <v/>
      </c>
      <c r="M2397" s="26">
        <f>IFERROR(INDEX(Pedidos!$G$2:$G$1801,MATCH(B2397,Pedidos!$A$2:$A$1801,0)),0)</f>
        <v/>
      </c>
      <c r="N2397" s="25">
        <f>IFERROR(INDEX(Produtos!$B$2:$B$71,MATCH(C2397,Produtos!$A$2:$A$71,0)),"")</f>
        <v/>
      </c>
      <c r="O2397" s="25">
        <f>IFERROR(INDEX(Produtos!$C$2:$C$71,MATCH(C2397,Produtos!$A$2:$A$71,0)),"")</f>
        <v/>
      </c>
      <c r="P2397" s="25">
        <f>IFERROR(INDEX(Produtos!$D$2:$D$71,MATCH(C2397,Produtos!$A$2:$A$71,0)),0)</f>
        <v/>
      </c>
      <c r="Q2397" s="25">
        <f>IFERROR(INDEX(Produtos!$E$2:$E$71,MATCH(C2397,Produtos!$A$2:$A$71,0)),0)</f>
        <v/>
      </c>
      <c r="R2397" s="27">
        <f>D2397*Q2397</f>
        <v/>
      </c>
      <c r="S2397" s="27">
        <f>R2397*E2397</f>
        <v/>
      </c>
      <c r="T2397" s="27">
        <f>(R2397-S2397)*M2397</f>
        <v/>
      </c>
      <c r="U2397" s="27">
        <f>R2397-S2397-T2397</f>
        <v/>
      </c>
      <c r="V2397" s="27">
        <f>D2397*P2397</f>
        <v/>
      </c>
      <c r="W2397" s="27">
        <f>U2397-V2397</f>
        <v/>
      </c>
      <c r="X2397" s="28">
        <f>IFERROR(W2397/U2397,0)</f>
        <v/>
      </c>
    </row>
    <row r="2398">
      <c r="A2398" s="21">
        <f>ItensPedido!A2398</f>
        <v/>
      </c>
      <c r="B2398" s="21">
        <f>ItensPedido!B2398</f>
        <v/>
      </c>
      <c r="C2398" s="21">
        <f>ItensPedido!C2398</f>
        <v/>
      </c>
      <c r="D2398" s="21">
        <f>ItensPedido!D2398</f>
        <v/>
      </c>
      <c r="E2398" s="22">
        <f>ItensPedido!E2398</f>
        <v/>
      </c>
      <c r="F2398" s="21">
        <f>IFERROR(INDEX(Pedidos!$B$2:$B$1801,MATCH(B2398,Pedidos!$A$2:$A$1801,0)),0)</f>
        <v/>
      </c>
      <c r="G2398" s="21">
        <f>IF(F2398=0,"",YEAR(F2398))</f>
        <v/>
      </c>
      <c r="H2398" s="21">
        <f>IF(F2398=0,"",MONTH(F2398))</f>
        <v/>
      </c>
      <c r="I2398" s="21">
        <f>IFERROR(INDEX(Pedidos!$E$2:$E$1801,MATCH(B2398,Pedidos!$A$2:$A$1801,0)),"")</f>
        <v/>
      </c>
      <c r="J2398" s="21">
        <f>IFERROR(INDEX(Pedidos!$C$2:$C$1801,MATCH(B2398,Pedidos!$A$2:$A$1801,0)),"")</f>
        <v/>
      </c>
      <c r="K2398" s="21">
        <f>IFERROR(INDEX(Pedidos!$D$2:$D$1801,MATCH(B2398,Pedidos!$A$2:$A$1801,0)),"")</f>
        <v/>
      </c>
      <c r="L2398" s="21">
        <f>IFERROR(INDEX(Pedidos!$F$2:$F$1801,MATCH(B2398,Pedidos!$A$2:$A$1801,0)),"")</f>
        <v/>
      </c>
      <c r="M2398" s="22">
        <f>IFERROR(INDEX(Pedidos!$G$2:$G$1801,MATCH(B2398,Pedidos!$A$2:$A$1801,0)),0)</f>
        <v/>
      </c>
      <c r="N2398" s="21">
        <f>IFERROR(INDEX(Produtos!$B$2:$B$71,MATCH(C2398,Produtos!$A$2:$A$71,0)),"")</f>
        <v/>
      </c>
      <c r="O2398" s="21">
        <f>IFERROR(INDEX(Produtos!$C$2:$C$71,MATCH(C2398,Produtos!$A$2:$A$71,0)),"")</f>
        <v/>
      </c>
      <c r="P2398" s="21">
        <f>IFERROR(INDEX(Produtos!$D$2:$D$71,MATCH(C2398,Produtos!$A$2:$A$71,0)),0)</f>
        <v/>
      </c>
      <c r="Q2398" s="21">
        <f>IFERROR(INDEX(Produtos!$E$2:$E$71,MATCH(C2398,Produtos!$A$2:$A$71,0)),0)</f>
        <v/>
      </c>
      <c r="R2398" s="23">
        <f>D2398*Q2398</f>
        <v/>
      </c>
      <c r="S2398" s="23">
        <f>R2398*E2398</f>
        <v/>
      </c>
      <c r="T2398" s="23">
        <f>(R2398-S2398)*M2398</f>
        <v/>
      </c>
      <c r="U2398" s="23">
        <f>R2398-S2398-T2398</f>
        <v/>
      </c>
      <c r="V2398" s="23">
        <f>D2398*P2398</f>
        <v/>
      </c>
      <c r="W2398" s="23">
        <f>U2398-V2398</f>
        <v/>
      </c>
      <c r="X2398" s="24">
        <f>IFERROR(W2398/U2398,0)</f>
        <v/>
      </c>
    </row>
    <row r="2399">
      <c r="A2399" s="25">
        <f>ItensPedido!A2399</f>
        <v/>
      </c>
      <c r="B2399" s="25">
        <f>ItensPedido!B2399</f>
        <v/>
      </c>
      <c r="C2399" s="25">
        <f>ItensPedido!C2399</f>
        <v/>
      </c>
      <c r="D2399" s="25">
        <f>ItensPedido!D2399</f>
        <v/>
      </c>
      <c r="E2399" s="26">
        <f>ItensPedido!E2399</f>
        <v/>
      </c>
      <c r="F2399" s="25">
        <f>IFERROR(INDEX(Pedidos!$B$2:$B$1801,MATCH(B2399,Pedidos!$A$2:$A$1801,0)),0)</f>
        <v/>
      </c>
      <c r="G2399" s="25">
        <f>IF(F2399=0,"",YEAR(F2399))</f>
        <v/>
      </c>
      <c r="H2399" s="25">
        <f>IF(F2399=0,"",MONTH(F2399))</f>
        <v/>
      </c>
      <c r="I2399" s="25">
        <f>IFERROR(INDEX(Pedidos!$E$2:$E$1801,MATCH(B2399,Pedidos!$A$2:$A$1801,0)),"")</f>
        <v/>
      </c>
      <c r="J2399" s="25">
        <f>IFERROR(INDEX(Pedidos!$C$2:$C$1801,MATCH(B2399,Pedidos!$A$2:$A$1801,0)),"")</f>
        <v/>
      </c>
      <c r="K2399" s="25">
        <f>IFERROR(INDEX(Pedidos!$D$2:$D$1801,MATCH(B2399,Pedidos!$A$2:$A$1801,0)),"")</f>
        <v/>
      </c>
      <c r="L2399" s="25">
        <f>IFERROR(INDEX(Pedidos!$F$2:$F$1801,MATCH(B2399,Pedidos!$A$2:$A$1801,0)),"")</f>
        <v/>
      </c>
      <c r="M2399" s="26">
        <f>IFERROR(INDEX(Pedidos!$G$2:$G$1801,MATCH(B2399,Pedidos!$A$2:$A$1801,0)),0)</f>
        <v/>
      </c>
      <c r="N2399" s="25">
        <f>IFERROR(INDEX(Produtos!$B$2:$B$71,MATCH(C2399,Produtos!$A$2:$A$71,0)),"")</f>
        <v/>
      </c>
      <c r="O2399" s="25">
        <f>IFERROR(INDEX(Produtos!$C$2:$C$71,MATCH(C2399,Produtos!$A$2:$A$71,0)),"")</f>
        <v/>
      </c>
      <c r="P2399" s="25">
        <f>IFERROR(INDEX(Produtos!$D$2:$D$71,MATCH(C2399,Produtos!$A$2:$A$71,0)),0)</f>
        <v/>
      </c>
      <c r="Q2399" s="25">
        <f>IFERROR(INDEX(Produtos!$E$2:$E$71,MATCH(C2399,Produtos!$A$2:$A$71,0)),0)</f>
        <v/>
      </c>
      <c r="R2399" s="27">
        <f>D2399*Q2399</f>
        <v/>
      </c>
      <c r="S2399" s="27">
        <f>R2399*E2399</f>
        <v/>
      </c>
      <c r="T2399" s="27">
        <f>(R2399-S2399)*M2399</f>
        <v/>
      </c>
      <c r="U2399" s="27">
        <f>R2399-S2399-T2399</f>
        <v/>
      </c>
      <c r="V2399" s="27">
        <f>D2399*P2399</f>
        <v/>
      </c>
      <c r="W2399" s="27">
        <f>U2399-V2399</f>
        <v/>
      </c>
      <c r="X2399" s="28">
        <f>IFERROR(W2399/U2399,0)</f>
        <v/>
      </c>
    </row>
    <row r="2400">
      <c r="A2400" s="21">
        <f>ItensPedido!A2400</f>
        <v/>
      </c>
      <c r="B2400" s="21">
        <f>ItensPedido!B2400</f>
        <v/>
      </c>
      <c r="C2400" s="21">
        <f>ItensPedido!C2400</f>
        <v/>
      </c>
      <c r="D2400" s="21">
        <f>ItensPedido!D2400</f>
        <v/>
      </c>
      <c r="E2400" s="22">
        <f>ItensPedido!E2400</f>
        <v/>
      </c>
      <c r="F2400" s="21">
        <f>IFERROR(INDEX(Pedidos!$B$2:$B$1801,MATCH(B2400,Pedidos!$A$2:$A$1801,0)),0)</f>
        <v/>
      </c>
      <c r="G2400" s="21">
        <f>IF(F2400=0,"",YEAR(F2400))</f>
        <v/>
      </c>
      <c r="H2400" s="21">
        <f>IF(F2400=0,"",MONTH(F2400))</f>
        <v/>
      </c>
      <c r="I2400" s="21">
        <f>IFERROR(INDEX(Pedidos!$E$2:$E$1801,MATCH(B2400,Pedidos!$A$2:$A$1801,0)),"")</f>
        <v/>
      </c>
      <c r="J2400" s="21">
        <f>IFERROR(INDEX(Pedidos!$C$2:$C$1801,MATCH(B2400,Pedidos!$A$2:$A$1801,0)),"")</f>
        <v/>
      </c>
      <c r="K2400" s="21">
        <f>IFERROR(INDEX(Pedidos!$D$2:$D$1801,MATCH(B2400,Pedidos!$A$2:$A$1801,0)),"")</f>
        <v/>
      </c>
      <c r="L2400" s="21">
        <f>IFERROR(INDEX(Pedidos!$F$2:$F$1801,MATCH(B2400,Pedidos!$A$2:$A$1801,0)),"")</f>
        <v/>
      </c>
      <c r="M2400" s="22">
        <f>IFERROR(INDEX(Pedidos!$G$2:$G$1801,MATCH(B2400,Pedidos!$A$2:$A$1801,0)),0)</f>
        <v/>
      </c>
      <c r="N2400" s="21">
        <f>IFERROR(INDEX(Produtos!$B$2:$B$71,MATCH(C2400,Produtos!$A$2:$A$71,0)),"")</f>
        <v/>
      </c>
      <c r="O2400" s="21">
        <f>IFERROR(INDEX(Produtos!$C$2:$C$71,MATCH(C2400,Produtos!$A$2:$A$71,0)),"")</f>
        <v/>
      </c>
      <c r="P2400" s="21">
        <f>IFERROR(INDEX(Produtos!$D$2:$D$71,MATCH(C2400,Produtos!$A$2:$A$71,0)),0)</f>
        <v/>
      </c>
      <c r="Q2400" s="21">
        <f>IFERROR(INDEX(Produtos!$E$2:$E$71,MATCH(C2400,Produtos!$A$2:$A$71,0)),0)</f>
        <v/>
      </c>
      <c r="R2400" s="23">
        <f>D2400*Q2400</f>
        <v/>
      </c>
      <c r="S2400" s="23">
        <f>R2400*E2400</f>
        <v/>
      </c>
      <c r="T2400" s="23">
        <f>(R2400-S2400)*M2400</f>
        <v/>
      </c>
      <c r="U2400" s="23">
        <f>R2400-S2400-T2400</f>
        <v/>
      </c>
      <c r="V2400" s="23">
        <f>D2400*P2400</f>
        <v/>
      </c>
      <c r="W2400" s="23">
        <f>U2400-V2400</f>
        <v/>
      </c>
      <c r="X2400" s="24">
        <f>IFERROR(W2400/U2400,0)</f>
        <v/>
      </c>
    </row>
    <row r="2401">
      <c r="A2401" s="25">
        <f>ItensPedido!A2401</f>
        <v/>
      </c>
      <c r="B2401" s="25">
        <f>ItensPedido!B2401</f>
        <v/>
      </c>
      <c r="C2401" s="25">
        <f>ItensPedido!C2401</f>
        <v/>
      </c>
      <c r="D2401" s="25">
        <f>ItensPedido!D2401</f>
        <v/>
      </c>
      <c r="E2401" s="26">
        <f>ItensPedido!E2401</f>
        <v/>
      </c>
      <c r="F2401" s="25">
        <f>IFERROR(INDEX(Pedidos!$B$2:$B$1801,MATCH(B2401,Pedidos!$A$2:$A$1801,0)),0)</f>
        <v/>
      </c>
      <c r="G2401" s="25">
        <f>IF(F2401=0,"",YEAR(F2401))</f>
        <v/>
      </c>
      <c r="H2401" s="25">
        <f>IF(F2401=0,"",MONTH(F2401))</f>
        <v/>
      </c>
      <c r="I2401" s="25">
        <f>IFERROR(INDEX(Pedidos!$E$2:$E$1801,MATCH(B2401,Pedidos!$A$2:$A$1801,0)),"")</f>
        <v/>
      </c>
      <c r="J2401" s="25">
        <f>IFERROR(INDEX(Pedidos!$C$2:$C$1801,MATCH(B2401,Pedidos!$A$2:$A$1801,0)),"")</f>
        <v/>
      </c>
      <c r="K2401" s="25">
        <f>IFERROR(INDEX(Pedidos!$D$2:$D$1801,MATCH(B2401,Pedidos!$A$2:$A$1801,0)),"")</f>
        <v/>
      </c>
      <c r="L2401" s="25">
        <f>IFERROR(INDEX(Pedidos!$F$2:$F$1801,MATCH(B2401,Pedidos!$A$2:$A$1801,0)),"")</f>
        <v/>
      </c>
      <c r="M2401" s="26">
        <f>IFERROR(INDEX(Pedidos!$G$2:$G$1801,MATCH(B2401,Pedidos!$A$2:$A$1801,0)),0)</f>
        <v/>
      </c>
      <c r="N2401" s="25">
        <f>IFERROR(INDEX(Produtos!$B$2:$B$71,MATCH(C2401,Produtos!$A$2:$A$71,0)),"")</f>
        <v/>
      </c>
      <c r="O2401" s="25">
        <f>IFERROR(INDEX(Produtos!$C$2:$C$71,MATCH(C2401,Produtos!$A$2:$A$71,0)),"")</f>
        <v/>
      </c>
      <c r="P2401" s="25">
        <f>IFERROR(INDEX(Produtos!$D$2:$D$71,MATCH(C2401,Produtos!$A$2:$A$71,0)),0)</f>
        <v/>
      </c>
      <c r="Q2401" s="25">
        <f>IFERROR(INDEX(Produtos!$E$2:$E$71,MATCH(C2401,Produtos!$A$2:$A$71,0)),0)</f>
        <v/>
      </c>
      <c r="R2401" s="27">
        <f>D2401*Q2401</f>
        <v/>
      </c>
      <c r="S2401" s="27">
        <f>R2401*E2401</f>
        <v/>
      </c>
      <c r="T2401" s="27">
        <f>(R2401-S2401)*M2401</f>
        <v/>
      </c>
      <c r="U2401" s="27">
        <f>R2401-S2401-T2401</f>
        <v/>
      </c>
      <c r="V2401" s="27">
        <f>D2401*P2401</f>
        <v/>
      </c>
      <c r="W2401" s="27">
        <f>U2401-V2401</f>
        <v/>
      </c>
      <c r="X2401" s="28">
        <f>IFERROR(W2401/U2401,0)</f>
        <v/>
      </c>
    </row>
    <row r="2402">
      <c r="A2402" s="21">
        <f>ItensPedido!A2402</f>
        <v/>
      </c>
      <c r="B2402" s="21">
        <f>ItensPedido!B2402</f>
        <v/>
      </c>
      <c r="C2402" s="21">
        <f>ItensPedido!C2402</f>
        <v/>
      </c>
      <c r="D2402" s="21">
        <f>ItensPedido!D2402</f>
        <v/>
      </c>
      <c r="E2402" s="22">
        <f>ItensPedido!E2402</f>
        <v/>
      </c>
      <c r="F2402" s="21">
        <f>IFERROR(INDEX(Pedidos!$B$2:$B$1801,MATCH(B2402,Pedidos!$A$2:$A$1801,0)),0)</f>
        <v/>
      </c>
      <c r="G2402" s="21">
        <f>IF(F2402=0,"",YEAR(F2402))</f>
        <v/>
      </c>
      <c r="H2402" s="21">
        <f>IF(F2402=0,"",MONTH(F2402))</f>
        <v/>
      </c>
      <c r="I2402" s="21">
        <f>IFERROR(INDEX(Pedidos!$E$2:$E$1801,MATCH(B2402,Pedidos!$A$2:$A$1801,0)),"")</f>
        <v/>
      </c>
      <c r="J2402" s="21">
        <f>IFERROR(INDEX(Pedidos!$C$2:$C$1801,MATCH(B2402,Pedidos!$A$2:$A$1801,0)),"")</f>
        <v/>
      </c>
      <c r="K2402" s="21">
        <f>IFERROR(INDEX(Pedidos!$D$2:$D$1801,MATCH(B2402,Pedidos!$A$2:$A$1801,0)),"")</f>
        <v/>
      </c>
      <c r="L2402" s="21">
        <f>IFERROR(INDEX(Pedidos!$F$2:$F$1801,MATCH(B2402,Pedidos!$A$2:$A$1801,0)),"")</f>
        <v/>
      </c>
      <c r="M2402" s="22">
        <f>IFERROR(INDEX(Pedidos!$G$2:$G$1801,MATCH(B2402,Pedidos!$A$2:$A$1801,0)),0)</f>
        <v/>
      </c>
      <c r="N2402" s="21">
        <f>IFERROR(INDEX(Produtos!$B$2:$B$71,MATCH(C2402,Produtos!$A$2:$A$71,0)),"")</f>
        <v/>
      </c>
      <c r="O2402" s="21">
        <f>IFERROR(INDEX(Produtos!$C$2:$C$71,MATCH(C2402,Produtos!$A$2:$A$71,0)),"")</f>
        <v/>
      </c>
      <c r="P2402" s="21">
        <f>IFERROR(INDEX(Produtos!$D$2:$D$71,MATCH(C2402,Produtos!$A$2:$A$71,0)),0)</f>
        <v/>
      </c>
      <c r="Q2402" s="21">
        <f>IFERROR(INDEX(Produtos!$E$2:$E$71,MATCH(C2402,Produtos!$A$2:$A$71,0)),0)</f>
        <v/>
      </c>
      <c r="R2402" s="23">
        <f>D2402*Q2402</f>
        <v/>
      </c>
      <c r="S2402" s="23">
        <f>R2402*E2402</f>
        <v/>
      </c>
      <c r="T2402" s="23">
        <f>(R2402-S2402)*M2402</f>
        <v/>
      </c>
      <c r="U2402" s="23">
        <f>R2402-S2402-T2402</f>
        <v/>
      </c>
      <c r="V2402" s="23">
        <f>D2402*P2402</f>
        <v/>
      </c>
      <c r="W2402" s="23">
        <f>U2402-V2402</f>
        <v/>
      </c>
      <c r="X2402" s="24">
        <f>IFERROR(W2402/U2402,0)</f>
        <v/>
      </c>
    </row>
    <row r="2403">
      <c r="A2403" s="25">
        <f>ItensPedido!A2403</f>
        <v/>
      </c>
      <c r="B2403" s="25">
        <f>ItensPedido!B2403</f>
        <v/>
      </c>
      <c r="C2403" s="25">
        <f>ItensPedido!C2403</f>
        <v/>
      </c>
      <c r="D2403" s="25">
        <f>ItensPedido!D2403</f>
        <v/>
      </c>
      <c r="E2403" s="26">
        <f>ItensPedido!E2403</f>
        <v/>
      </c>
      <c r="F2403" s="25">
        <f>IFERROR(INDEX(Pedidos!$B$2:$B$1801,MATCH(B2403,Pedidos!$A$2:$A$1801,0)),0)</f>
        <v/>
      </c>
      <c r="G2403" s="25">
        <f>IF(F2403=0,"",YEAR(F2403))</f>
        <v/>
      </c>
      <c r="H2403" s="25">
        <f>IF(F2403=0,"",MONTH(F2403))</f>
        <v/>
      </c>
      <c r="I2403" s="25">
        <f>IFERROR(INDEX(Pedidos!$E$2:$E$1801,MATCH(B2403,Pedidos!$A$2:$A$1801,0)),"")</f>
        <v/>
      </c>
      <c r="J2403" s="25">
        <f>IFERROR(INDEX(Pedidos!$C$2:$C$1801,MATCH(B2403,Pedidos!$A$2:$A$1801,0)),"")</f>
        <v/>
      </c>
      <c r="K2403" s="25">
        <f>IFERROR(INDEX(Pedidos!$D$2:$D$1801,MATCH(B2403,Pedidos!$A$2:$A$1801,0)),"")</f>
        <v/>
      </c>
      <c r="L2403" s="25">
        <f>IFERROR(INDEX(Pedidos!$F$2:$F$1801,MATCH(B2403,Pedidos!$A$2:$A$1801,0)),"")</f>
        <v/>
      </c>
      <c r="M2403" s="26">
        <f>IFERROR(INDEX(Pedidos!$G$2:$G$1801,MATCH(B2403,Pedidos!$A$2:$A$1801,0)),0)</f>
        <v/>
      </c>
      <c r="N2403" s="25">
        <f>IFERROR(INDEX(Produtos!$B$2:$B$71,MATCH(C2403,Produtos!$A$2:$A$71,0)),"")</f>
        <v/>
      </c>
      <c r="O2403" s="25">
        <f>IFERROR(INDEX(Produtos!$C$2:$C$71,MATCH(C2403,Produtos!$A$2:$A$71,0)),"")</f>
        <v/>
      </c>
      <c r="P2403" s="25">
        <f>IFERROR(INDEX(Produtos!$D$2:$D$71,MATCH(C2403,Produtos!$A$2:$A$71,0)),0)</f>
        <v/>
      </c>
      <c r="Q2403" s="25">
        <f>IFERROR(INDEX(Produtos!$E$2:$E$71,MATCH(C2403,Produtos!$A$2:$A$71,0)),0)</f>
        <v/>
      </c>
      <c r="R2403" s="27">
        <f>D2403*Q2403</f>
        <v/>
      </c>
      <c r="S2403" s="27">
        <f>R2403*E2403</f>
        <v/>
      </c>
      <c r="T2403" s="27">
        <f>(R2403-S2403)*M2403</f>
        <v/>
      </c>
      <c r="U2403" s="27">
        <f>R2403-S2403-T2403</f>
        <v/>
      </c>
      <c r="V2403" s="27">
        <f>D2403*P2403</f>
        <v/>
      </c>
      <c r="W2403" s="27">
        <f>U2403-V2403</f>
        <v/>
      </c>
      <c r="X2403" s="28">
        <f>IFERROR(W2403/U2403,0)</f>
        <v/>
      </c>
    </row>
    <row r="2404">
      <c r="A2404" s="21">
        <f>ItensPedido!A2404</f>
        <v/>
      </c>
      <c r="B2404" s="21">
        <f>ItensPedido!B2404</f>
        <v/>
      </c>
      <c r="C2404" s="21">
        <f>ItensPedido!C2404</f>
        <v/>
      </c>
      <c r="D2404" s="21">
        <f>ItensPedido!D2404</f>
        <v/>
      </c>
      <c r="E2404" s="22">
        <f>ItensPedido!E2404</f>
        <v/>
      </c>
      <c r="F2404" s="21">
        <f>IFERROR(INDEX(Pedidos!$B$2:$B$1801,MATCH(B2404,Pedidos!$A$2:$A$1801,0)),0)</f>
        <v/>
      </c>
      <c r="G2404" s="21">
        <f>IF(F2404=0,"",YEAR(F2404))</f>
        <v/>
      </c>
      <c r="H2404" s="21">
        <f>IF(F2404=0,"",MONTH(F2404))</f>
        <v/>
      </c>
      <c r="I2404" s="21">
        <f>IFERROR(INDEX(Pedidos!$E$2:$E$1801,MATCH(B2404,Pedidos!$A$2:$A$1801,0)),"")</f>
        <v/>
      </c>
      <c r="J2404" s="21">
        <f>IFERROR(INDEX(Pedidos!$C$2:$C$1801,MATCH(B2404,Pedidos!$A$2:$A$1801,0)),"")</f>
        <v/>
      </c>
      <c r="K2404" s="21">
        <f>IFERROR(INDEX(Pedidos!$D$2:$D$1801,MATCH(B2404,Pedidos!$A$2:$A$1801,0)),"")</f>
        <v/>
      </c>
      <c r="L2404" s="21">
        <f>IFERROR(INDEX(Pedidos!$F$2:$F$1801,MATCH(B2404,Pedidos!$A$2:$A$1801,0)),"")</f>
        <v/>
      </c>
      <c r="M2404" s="22">
        <f>IFERROR(INDEX(Pedidos!$G$2:$G$1801,MATCH(B2404,Pedidos!$A$2:$A$1801,0)),0)</f>
        <v/>
      </c>
      <c r="N2404" s="21">
        <f>IFERROR(INDEX(Produtos!$B$2:$B$71,MATCH(C2404,Produtos!$A$2:$A$71,0)),"")</f>
        <v/>
      </c>
      <c r="O2404" s="21">
        <f>IFERROR(INDEX(Produtos!$C$2:$C$71,MATCH(C2404,Produtos!$A$2:$A$71,0)),"")</f>
        <v/>
      </c>
      <c r="P2404" s="21">
        <f>IFERROR(INDEX(Produtos!$D$2:$D$71,MATCH(C2404,Produtos!$A$2:$A$71,0)),0)</f>
        <v/>
      </c>
      <c r="Q2404" s="21">
        <f>IFERROR(INDEX(Produtos!$E$2:$E$71,MATCH(C2404,Produtos!$A$2:$A$71,0)),0)</f>
        <v/>
      </c>
      <c r="R2404" s="23">
        <f>D2404*Q2404</f>
        <v/>
      </c>
      <c r="S2404" s="23">
        <f>R2404*E2404</f>
        <v/>
      </c>
      <c r="T2404" s="23">
        <f>(R2404-S2404)*M2404</f>
        <v/>
      </c>
      <c r="U2404" s="23">
        <f>R2404-S2404-T2404</f>
        <v/>
      </c>
      <c r="V2404" s="23">
        <f>D2404*P2404</f>
        <v/>
      </c>
      <c r="W2404" s="23">
        <f>U2404-V2404</f>
        <v/>
      </c>
      <c r="X2404" s="24">
        <f>IFERROR(W2404/U2404,0)</f>
        <v/>
      </c>
    </row>
    <row r="2405">
      <c r="A2405" s="25">
        <f>ItensPedido!A2405</f>
        <v/>
      </c>
      <c r="B2405" s="25">
        <f>ItensPedido!B2405</f>
        <v/>
      </c>
      <c r="C2405" s="25">
        <f>ItensPedido!C2405</f>
        <v/>
      </c>
      <c r="D2405" s="25">
        <f>ItensPedido!D2405</f>
        <v/>
      </c>
      <c r="E2405" s="26">
        <f>ItensPedido!E2405</f>
        <v/>
      </c>
      <c r="F2405" s="25">
        <f>IFERROR(INDEX(Pedidos!$B$2:$B$1801,MATCH(B2405,Pedidos!$A$2:$A$1801,0)),0)</f>
        <v/>
      </c>
      <c r="G2405" s="25">
        <f>IF(F2405=0,"",YEAR(F2405))</f>
        <v/>
      </c>
      <c r="H2405" s="25">
        <f>IF(F2405=0,"",MONTH(F2405))</f>
        <v/>
      </c>
      <c r="I2405" s="25">
        <f>IFERROR(INDEX(Pedidos!$E$2:$E$1801,MATCH(B2405,Pedidos!$A$2:$A$1801,0)),"")</f>
        <v/>
      </c>
      <c r="J2405" s="25">
        <f>IFERROR(INDEX(Pedidos!$C$2:$C$1801,MATCH(B2405,Pedidos!$A$2:$A$1801,0)),"")</f>
        <v/>
      </c>
      <c r="K2405" s="25">
        <f>IFERROR(INDEX(Pedidos!$D$2:$D$1801,MATCH(B2405,Pedidos!$A$2:$A$1801,0)),"")</f>
        <v/>
      </c>
      <c r="L2405" s="25">
        <f>IFERROR(INDEX(Pedidos!$F$2:$F$1801,MATCH(B2405,Pedidos!$A$2:$A$1801,0)),"")</f>
        <v/>
      </c>
      <c r="M2405" s="26">
        <f>IFERROR(INDEX(Pedidos!$G$2:$G$1801,MATCH(B2405,Pedidos!$A$2:$A$1801,0)),0)</f>
        <v/>
      </c>
      <c r="N2405" s="25">
        <f>IFERROR(INDEX(Produtos!$B$2:$B$71,MATCH(C2405,Produtos!$A$2:$A$71,0)),"")</f>
        <v/>
      </c>
      <c r="O2405" s="25">
        <f>IFERROR(INDEX(Produtos!$C$2:$C$71,MATCH(C2405,Produtos!$A$2:$A$71,0)),"")</f>
        <v/>
      </c>
      <c r="P2405" s="25">
        <f>IFERROR(INDEX(Produtos!$D$2:$D$71,MATCH(C2405,Produtos!$A$2:$A$71,0)),0)</f>
        <v/>
      </c>
      <c r="Q2405" s="25">
        <f>IFERROR(INDEX(Produtos!$E$2:$E$71,MATCH(C2405,Produtos!$A$2:$A$71,0)),0)</f>
        <v/>
      </c>
      <c r="R2405" s="27">
        <f>D2405*Q2405</f>
        <v/>
      </c>
      <c r="S2405" s="27">
        <f>R2405*E2405</f>
        <v/>
      </c>
      <c r="T2405" s="27">
        <f>(R2405-S2405)*M2405</f>
        <v/>
      </c>
      <c r="U2405" s="27">
        <f>R2405-S2405-T2405</f>
        <v/>
      </c>
      <c r="V2405" s="27">
        <f>D2405*P2405</f>
        <v/>
      </c>
      <c r="W2405" s="27">
        <f>U2405-V2405</f>
        <v/>
      </c>
      <c r="X2405" s="28">
        <f>IFERROR(W2405/U2405,0)</f>
        <v/>
      </c>
    </row>
    <row r="2406">
      <c r="A2406" s="21">
        <f>ItensPedido!A2406</f>
        <v/>
      </c>
      <c r="B2406" s="21">
        <f>ItensPedido!B2406</f>
        <v/>
      </c>
      <c r="C2406" s="21">
        <f>ItensPedido!C2406</f>
        <v/>
      </c>
      <c r="D2406" s="21">
        <f>ItensPedido!D2406</f>
        <v/>
      </c>
      <c r="E2406" s="22">
        <f>ItensPedido!E2406</f>
        <v/>
      </c>
      <c r="F2406" s="21">
        <f>IFERROR(INDEX(Pedidos!$B$2:$B$1801,MATCH(B2406,Pedidos!$A$2:$A$1801,0)),0)</f>
        <v/>
      </c>
      <c r="G2406" s="21">
        <f>IF(F2406=0,"",YEAR(F2406))</f>
        <v/>
      </c>
      <c r="H2406" s="21">
        <f>IF(F2406=0,"",MONTH(F2406))</f>
        <v/>
      </c>
      <c r="I2406" s="21">
        <f>IFERROR(INDEX(Pedidos!$E$2:$E$1801,MATCH(B2406,Pedidos!$A$2:$A$1801,0)),"")</f>
        <v/>
      </c>
      <c r="J2406" s="21">
        <f>IFERROR(INDEX(Pedidos!$C$2:$C$1801,MATCH(B2406,Pedidos!$A$2:$A$1801,0)),"")</f>
        <v/>
      </c>
      <c r="K2406" s="21">
        <f>IFERROR(INDEX(Pedidos!$D$2:$D$1801,MATCH(B2406,Pedidos!$A$2:$A$1801,0)),"")</f>
        <v/>
      </c>
      <c r="L2406" s="21">
        <f>IFERROR(INDEX(Pedidos!$F$2:$F$1801,MATCH(B2406,Pedidos!$A$2:$A$1801,0)),"")</f>
        <v/>
      </c>
      <c r="M2406" s="22">
        <f>IFERROR(INDEX(Pedidos!$G$2:$G$1801,MATCH(B2406,Pedidos!$A$2:$A$1801,0)),0)</f>
        <v/>
      </c>
      <c r="N2406" s="21">
        <f>IFERROR(INDEX(Produtos!$B$2:$B$71,MATCH(C2406,Produtos!$A$2:$A$71,0)),"")</f>
        <v/>
      </c>
      <c r="O2406" s="21">
        <f>IFERROR(INDEX(Produtos!$C$2:$C$71,MATCH(C2406,Produtos!$A$2:$A$71,0)),"")</f>
        <v/>
      </c>
      <c r="P2406" s="21">
        <f>IFERROR(INDEX(Produtos!$D$2:$D$71,MATCH(C2406,Produtos!$A$2:$A$71,0)),0)</f>
        <v/>
      </c>
      <c r="Q2406" s="21">
        <f>IFERROR(INDEX(Produtos!$E$2:$E$71,MATCH(C2406,Produtos!$A$2:$A$71,0)),0)</f>
        <v/>
      </c>
      <c r="R2406" s="23">
        <f>D2406*Q2406</f>
        <v/>
      </c>
      <c r="S2406" s="23">
        <f>R2406*E2406</f>
        <v/>
      </c>
      <c r="T2406" s="23">
        <f>(R2406-S2406)*M2406</f>
        <v/>
      </c>
      <c r="U2406" s="23">
        <f>R2406-S2406-T2406</f>
        <v/>
      </c>
      <c r="V2406" s="23">
        <f>D2406*P2406</f>
        <v/>
      </c>
      <c r="W2406" s="23">
        <f>U2406-V2406</f>
        <v/>
      </c>
      <c r="X2406" s="24">
        <f>IFERROR(W2406/U2406,0)</f>
        <v/>
      </c>
    </row>
    <row r="2407">
      <c r="A2407" s="25">
        <f>ItensPedido!A2407</f>
        <v/>
      </c>
      <c r="B2407" s="25">
        <f>ItensPedido!B2407</f>
        <v/>
      </c>
      <c r="C2407" s="25">
        <f>ItensPedido!C2407</f>
        <v/>
      </c>
      <c r="D2407" s="25">
        <f>ItensPedido!D2407</f>
        <v/>
      </c>
      <c r="E2407" s="26">
        <f>ItensPedido!E2407</f>
        <v/>
      </c>
      <c r="F2407" s="25">
        <f>IFERROR(INDEX(Pedidos!$B$2:$B$1801,MATCH(B2407,Pedidos!$A$2:$A$1801,0)),0)</f>
        <v/>
      </c>
      <c r="G2407" s="25">
        <f>IF(F2407=0,"",YEAR(F2407))</f>
        <v/>
      </c>
      <c r="H2407" s="25">
        <f>IF(F2407=0,"",MONTH(F2407))</f>
        <v/>
      </c>
      <c r="I2407" s="25">
        <f>IFERROR(INDEX(Pedidos!$E$2:$E$1801,MATCH(B2407,Pedidos!$A$2:$A$1801,0)),"")</f>
        <v/>
      </c>
      <c r="J2407" s="25">
        <f>IFERROR(INDEX(Pedidos!$C$2:$C$1801,MATCH(B2407,Pedidos!$A$2:$A$1801,0)),"")</f>
        <v/>
      </c>
      <c r="K2407" s="25">
        <f>IFERROR(INDEX(Pedidos!$D$2:$D$1801,MATCH(B2407,Pedidos!$A$2:$A$1801,0)),"")</f>
        <v/>
      </c>
      <c r="L2407" s="25">
        <f>IFERROR(INDEX(Pedidos!$F$2:$F$1801,MATCH(B2407,Pedidos!$A$2:$A$1801,0)),"")</f>
        <v/>
      </c>
      <c r="M2407" s="26">
        <f>IFERROR(INDEX(Pedidos!$G$2:$G$1801,MATCH(B2407,Pedidos!$A$2:$A$1801,0)),0)</f>
        <v/>
      </c>
      <c r="N2407" s="25">
        <f>IFERROR(INDEX(Produtos!$B$2:$B$71,MATCH(C2407,Produtos!$A$2:$A$71,0)),"")</f>
        <v/>
      </c>
      <c r="O2407" s="25">
        <f>IFERROR(INDEX(Produtos!$C$2:$C$71,MATCH(C2407,Produtos!$A$2:$A$71,0)),"")</f>
        <v/>
      </c>
      <c r="P2407" s="25">
        <f>IFERROR(INDEX(Produtos!$D$2:$D$71,MATCH(C2407,Produtos!$A$2:$A$71,0)),0)</f>
        <v/>
      </c>
      <c r="Q2407" s="25">
        <f>IFERROR(INDEX(Produtos!$E$2:$E$71,MATCH(C2407,Produtos!$A$2:$A$71,0)),0)</f>
        <v/>
      </c>
      <c r="R2407" s="27">
        <f>D2407*Q2407</f>
        <v/>
      </c>
      <c r="S2407" s="27">
        <f>R2407*E2407</f>
        <v/>
      </c>
      <c r="T2407" s="27">
        <f>(R2407-S2407)*M2407</f>
        <v/>
      </c>
      <c r="U2407" s="27">
        <f>R2407-S2407-T2407</f>
        <v/>
      </c>
      <c r="V2407" s="27">
        <f>D2407*P2407</f>
        <v/>
      </c>
      <c r="W2407" s="27">
        <f>U2407-V2407</f>
        <v/>
      </c>
      <c r="X2407" s="28">
        <f>IFERROR(W2407/U2407,0)</f>
        <v/>
      </c>
    </row>
    <row r="2408">
      <c r="A2408" s="21">
        <f>ItensPedido!A2408</f>
        <v/>
      </c>
      <c r="B2408" s="21">
        <f>ItensPedido!B2408</f>
        <v/>
      </c>
      <c r="C2408" s="21">
        <f>ItensPedido!C2408</f>
        <v/>
      </c>
      <c r="D2408" s="21">
        <f>ItensPedido!D2408</f>
        <v/>
      </c>
      <c r="E2408" s="22">
        <f>ItensPedido!E2408</f>
        <v/>
      </c>
      <c r="F2408" s="21">
        <f>IFERROR(INDEX(Pedidos!$B$2:$B$1801,MATCH(B2408,Pedidos!$A$2:$A$1801,0)),0)</f>
        <v/>
      </c>
      <c r="G2408" s="21">
        <f>IF(F2408=0,"",YEAR(F2408))</f>
        <v/>
      </c>
      <c r="H2408" s="21">
        <f>IF(F2408=0,"",MONTH(F2408))</f>
        <v/>
      </c>
      <c r="I2408" s="21">
        <f>IFERROR(INDEX(Pedidos!$E$2:$E$1801,MATCH(B2408,Pedidos!$A$2:$A$1801,0)),"")</f>
        <v/>
      </c>
      <c r="J2408" s="21">
        <f>IFERROR(INDEX(Pedidos!$C$2:$C$1801,MATCH(B2408,Pedidos!$A$2:$A$1801,0)),"")</f>
        <v/>
      </c>
      <c r="K2408" s="21">
        <f>IFERROR(INDEX(Pedidos!$D$2:$D$1801,MATCH(B2408,Pedidos!$A$2:$A$1801,0)),"")</f>
        <v/>
      </c>
      <c r="L2408" s="21">
        <f>IFERROR(INDEX(Pedidos!$F$2:$F$1801,MATCH(B2408,Pedidos!$A$2:$A$1801,0)),"")</f>
        <v/>
      </c>
      <c r="M2408" s="22">
        <f>IFERROR(INDEX(Pedidos!$G$2:$G$1801,MATCH(B2408,Pedidos!$A$2:$A$1801,0)),0)</f>
        <v/>
      </c>
      <c r="N2408" s="21">
        <f>IFERROR(INDEX(Produtos!$B$2:$B$71,MATCH(C2408,Produtos!$A$2:$A$71,0)),"")</f>
        <v/>
      </c>
      <c r="O2408" s="21">
        <f>IFERROR(INDEX(Produtos!$C$2:$C$71,MATCH(C2408,Produtos!$A$2:$A$71,0)),"")</f>
        <v/>
      </c>
      <c r="P2408" s="21">
        <f>IFERROR(INDEX(Produtos!$D$2:$D$71,MATCH(C2408,Produtos!$A$2:$A$71,0)),0)</f>
        <v/>
      </c>
      <c r="Q2408" s="21">
        <f>IFERROR(INDEX(Produtos!$E$2:$E$71,MATCH(C2408,Produtos!$A$2:$A$71,0)),0)</f>
        <v/>
      </c>
      <c r="R2408" s="23">
        <f>D2408*Q2408</f>
        <v/>
      </c>
      <c r="S2408" s="23">
        <f>R2408*E2408</f>
        <v/>
      </c>
      <c r="T2408" s="23">
        <f>(R2408-S2408)*M2408</f>
        <v/>
      </c>
      <c r="U2408" s="23">
        <f>R2408-S2408-T2408</f>
        <v/>
      </c>
      <c r="V2408" s="23">
        <f>D2408*P2408</f>
        <v/>
      </c>
      <c r="W2408" s="23">
        <f>U2408-V2408</f>
        <v/>
      </c>
      <c r="X2408" s="24">
        <f>IFERROR(W2408/U2408,0)</f>
        <v/>
      </c>
    </row>
    <row r="2409">
      <c r="A2409" s="25">
        <f>ItensPedido!A2409</f>
        <v/>
      </c>
      <c r="B2409" s="25">
        <f>ItensPedido!B2409</f>
        <v/>
      </c>
      <c r="C2409" s="25">
        <f>ItensPedido!C2409</f>
        <v/>
      </c>
      <c r="D2409" s="25">
        <f>ItensPedido!D2409</f>
        <v/>
      </c>
      <c r="E2409" s="26">
        <f>ItensPedido!E2409</f>
        <v/>
      </c>
      <c r="F2409" s="25">
        <f>IFERROR(INDEX(Pedidos!$B$2:$B$1801,MATCH(B2409,Pedidos!$A$2:$A$1801,0)),0)</f>
        <v/>
      </c>
      <c r="G2409" s="25">
        <f>IF(F2409=0,"",YEAR(F2409))</f>
        <v/>
      </c>
      <c r="H2409" s="25">
        <f>IF(F2409=0,"",MONTH(F2409))</f>
        <v/>
      </c>
      <c r="I2409" s="25">
        <f>IFERROR(INDEX(Pedidos!$E$2:$E$1801,MATCH(B2409,Pedidos!$A$2:$A$1801,0)),"")</f>
        <v/>
      </c>
      <c r="J2409" s="25">
        <f>IFERROR(INDEX(Pedidos!$C$2:$C$1801,MATCH(B2409,Pedidos!$A$2:$A$1801,0)),"")</f>
        <v/>
      </c>
      <c r="K2409" s="25">
        <f>IFERROR(INDEX(Pedidos!$D$2:$D$1801,MATCH(B2409,Pedidos!$A$2:$A$1801,0)),"")</f>
        <v/>
      </c>
      <c r="L2409" s="25">
        <f>IFERROR(INDEX(Pedidos!$F$2:$F$1801,MATCH(B2409,Pedidos!$A$2:$A$1801,0)),"")</f>
        <v/>
      </c>
      <c r="M2409" s="26">
        <f>IFERROR(INDEX(Pedidos!$G$2:$G$1801,MATCH(B2409,Pedidos!$A$2:$A$1801,0)),0)</f>
        <v/>
      </c>
      <c r="N2409" s="25">
        <f>IFERROR(INDEX(Produtos!$B$2:$B$71,MATCH(C2409,Produtos!$A$2:$A$71,0)),"")</f>
        <v/>
      </c>
      <c r="O2409" s="25">
        <f>IFERROR(INDEX(Produtos!$C$2:$C$71,MATCH(C2409,Produtos!$A$2:$A$71,0)),"")</f>
        <v/>
      </c>
      <c r="P2409" s="25">
        <f>IFERROR(INDEX(Produtos!$D$2:$D$71,MATCH(C2409,Produtos!$A$2:$A$71,0)),0)</f>
        <v/>
      </c>
      <c r="Q2409" s="25">
        <f>IFERROR(INDEX(Produtos!$E$2:$E$71,MATCH(C2409,Produtos!$A$2:$A$71,0)),0)</f>
        <v/>
      </c>
      <c r="R2409" s="27">
        <f>D2409*Q2409</f>
        <v/>
      </c>
      <c r="S2409" s="27">
        <f>R2409*E2409</f>
        <v/>
      </c>
      <c r="T2409" s="27">
        <f>(R2409-S2409)*M2409</f>
        <v/>
      </c>
      <c r="U2409" s="27">
        <f>R2409-S2409-T2409</f>
        <v/>
      </c>
      <c r="V2409" s="27">
        <f>D2409*P2409</f>
        <v/>
      </c>
      <c r="W2409" s="27">
        <f>U2409-V2409</f>
        <v/>
      </c>
      <c r="X2409" s="28">
        <f>IFERROR(W2409/U2409,0)</f>
        <v/>
      </c>
    </row>
    <row r="2410">
      <c r="A2410" s="21">
        <f>ItensPedido!A2410</f>
        <v/>
      </c>
      <c r="B2410" s="21">
        <f>ItensPedido!B2410</f>
        <v/>
      </c>
      <c r="C2410" s="21">
        <f>ItensPedido!C2410</f>
        <v/>
      </c>
      <c r="D2410" s="21">
        <f>ItensPedido!D2410</f>
        <v/>
      </c>
      <c r="E2410" s="22">
        <f>ItensPedido!E2410</f>
        <v/>
      </c>
      <c r="F2410" s="21">
        <f>IFERROR(INDEX(Pedidos!$B$2:$B$1801,MATCH(B2410,Pedidos!$A$2:$A$1801,0)),0)</f>
        <v/>
      </c>
      <c r="G2410" s="21">
        <f>IF(F2410=0,"",YEAR(F2410))</f>
        <v/>
      </c>
      <c r="H2410" s="21">
        <f>IF(F2410=0,"",MONTH(F2410))</f>
        <v/>
      </c>
      <c r="I2410" s="21">
        <f>IFERROR(INDEX(Pedidos!$E$2:$E$1801,MATCH(B2410,Pedidos!$A$2:$A$1801,0)),"")</f>
        <v/>
      </c>
      <c r="J2410" s="21">
        <f>IFERROR(INDEX(Pedidos!$C$2:$C$1801,MATCH(B2410,Pedidos!$A$2:$A$1801,0)),"")</f>
        <v/>
      </c>
      <c r="K2410" s="21">
        <f>IFERROR(INDEX(Pedidos!$D$2:$D$1801,MATCH(B2410,Pedidos!$A$2:$A$1801,0)),"")</f>
        <v/>
      </c>
      <c r="L2410" s="21">
        <f>IFERROR(INDEX(Pedidos!$F$2:$F$1801,MATCH(B2410,Pedidos!$A$2:$A$1801,0)),"")</f>
        <v/>
      </c>
      <c r="M2410" s="22">
        <f>IFERROR(INDEX(Pedidos!$G$2:$G$1801,MATCH(B2410,Pedidos!$A$2:$A$1801,0)),0)</f>
        <v/>
      </c>
      <c r="N2410" s="21">
        <f>IFERROR(INDEX(Produtos!$B$2:$B$71,MATCH(C2410,Produtos!$A$2:$A$71,0)),"")</f>
        <v/>
      </c>
      <c r="O2410" s="21">
        <f>IFERROR(INDEX(Produtos!$C$2:$C$71,MATCH(C2410,Produtos!$A$2:$A$71,0)),"")</f>
        <v/>
      </c>
      <c r="P2410" s="21">
        <f>IFERROR(INDEX(Produtos!$D$2:$D$71,MATCH(C2410,Produtos!$A$2:$A$71,0)),0)</f>
        <v/>
      </c>
      <c r="Q2410" s="21">
        <f>IFERROR(INDEX(Produtos!$E$2:$E$71,MATCH(C2410,Produtos!$A$2:$A$71,0)),0)</f>
        <v/>
      </c>
      <c r="R2410" s="23">
        <f>D2410*Q2410</f>
        <v/>
      </c>
      <c r="S2410" s="23">
        <f>R2410*E2410</f>
        <v/>
      </c>
      <c r="T2410" s="23">
        <f>(R2410-S2410)*M2410</f>
        <v/>
      </c>
      <c r="U2410" s="23">
        <f>R2410-S2410-T2410</f>
        <v/>
      </c>
      <c r="V2410" s="23">
        <f>D2410*P2410</f>
        <v/>
      </c>
      <c r="W2410" s="23">
        <f>U2410-V2410</f>
        <v/>
      </c>
      <c r="X2410" s="24">
        <f>IFERROR(W2410/U2410,0)</f>
        <v/>
      </c>
    </row>
    <row r="2411">
      <c r="A2411" s="25">
        <f>ItensPedido!A2411</f>
        <v/>
      </c>
      <c r="B2411" s="25">
        <f>ItensPedido!B2411</f>
        <v/>
      </c>
      <c r="C2411" s="25">
        <f>ItensPedido!C2411</f>
        <v/>
      </c>
      <c r="D2411" s="25">
        <f>ItensPedido!D2411</f>
        <v/>
      </c>
      <c r="E2411" s="26">
        <f>ItensPedido!E2411</f>
        <v/>
      </c>
      <c r="F2411" s="25">
        <f>IFERROR(INDEX(Pedidos!$B$2:$B$1801,MATCH(B2411,Pedidos!$A$2:$A$1801,0)),0)</f>
        <v/>
      </c>
      <c r="G2411" s="25">
        <f>IF(F2411=0,"",YEAR(F2411))</f>
        <v/>
      </c>
      <c r="H2411" s="25">
        <f>IF(F2411=0,"",MONTH(F2411))</f>
        <v/>
      </c>
      <c r="I2411" s="25">
        <f>IFERROR(INDEX(Pedidos!$E$2:$E$1801,MATCH(B2411,Pedidos!$A$2:$A$1801,0)),"")</f>
        <v/>
      </c>
      <c r="J2411" s="25">
        <f>IFERROR(INDEX(Pedidos!$C$2:$C$1801,MATCH(B2411,Pedidos!$A$2:$A$1801,0)),"")</f>
        <v/>
      </c>
      <c r="K2411" s="25">
        <f>IFERROR(INDEX(Pedidos!$D$2:$D$1801,MATCH(B2411,Pedidos!$A$2:$A$1801,0)),"")</f>
        <v/>
      </c>
      <c r="L2411" s="25">
        <f>IFERROR(INDEX(Pedidos!$F$2:$F$1801,MATCH(B2411,Pedidos!$A$2:$A$1801,0)),"")</f>
        <v/>
      </c>
      <c r="M2411" s="26">
        <f>IFERROR(INDEX(Pedidos!$G$2:$G$1801,MATCH(B2411,Pedidos!$A$2:$A$1801,0)),0)</f>
        <v/>
      </c>
      <c r="N2411" s="25">
        <f>IFERROR(INDEX(Produtos!$B$2:$B$71,MATCH(C2411,Produtos!$A$2:$A$71,0)),"")</f>
        <v/>
      </c>
      <c r="O2411" s="25">
        <f>IFERROR(INDEX(Produtos!$C$2:$C$71,MATCH(C2411,Produtos!$A$2:$A$71,0)),"")</f>
        <v/>
      </c>
      <c r="P2411" s="25">
        <f>IFERROR(INDEX(Produtos!$D$2:$D$71,MATCH(C2411,Produtos!$A$2:$A$71,0)),0)</f>
        <v/>
      </c>
      <c r="Q2411" s="25">
        <f>IFERROR(INDEX(Produtos!$E$2:$E$71,MATCH(C2411,Produtos!$A$2:$A$71,0)),0)</f>
        <v/>
      </c>
      <c r="R2411" s="27">
        <f>D2411*Q2411</f>
        <v/>
      </c>
      <c r="S2411" s="27">
        <f>R2411*E2411</f>
        <v/>
      </c>
      <c r="T2411" s="27">
        <f>(R2411-S2411)*M2411</f>
        <v/>
      </c>
      <c r="U2411" s="27">
        <f>R2411-S2411-T2411</f>
        <v/>
      </c>
      <c r="V2411" s="27">
        <f>D2411*P2411</f>
        <v/>
      </c>
      <c r="W2411" s="27">
        <f>U2411-V2411</f>
        <v/>
      </c>
      <c r="X2411" s="28">
        <f>IFERROR(W2411/U2411,0)</f>
        <v/>
      </c>
    </row>
    <row r="2412">
      <c r="A2412" s="21">
        <f>ItensPedido!A2412</f>
        <v/>
      </c>
      <c r="B2412" s="21">
        <f>ItensPedido!B2412</f>
        <v/>
      </c>
      <c r="C2412" s="21">
        <f>ItensPedido!C2412</f>
        <v/>
      </c>
      <c r="D2412" s="21">
        <f>ItensPedido!D2412</f>
        <v/>
      </c>
      <c r="E2412" s="22">
        <f>ItensPedido!E2412</f>
        <v/>
      </c>
      <c r="F2412" s="21">
        <f>IFERROR(INDEX(Pedidos!$B$2:$B$1801,MATCH(B2412,Pedidos!$A$2:$A$1801,0)),0)</f>
        <v/>
      </c>
      <c r="G2412" s="21">
        <f>IF(F2412=0,"",YEAR(F2412))</f>
        <v/>
      </c>
      <c r="H2412" s="21">
        <f>IF(F2412=0,"",MONTH(F2412))</f>
        <v/>
      </c>
      <c r="I2412" s="21">
        <f>IFERROR(INDEX(Pedidos!$E$2:$E$1801,MATCH(B2412,Pedidos!$A$2:$A$1801,0)),"")</f>
        <v/>
      </c>
      <c r="J2412" s="21">
        <f>IFERROR(INDEX(Pedidos!$C$2:$C$1801,MATCH(B2412,Pedidos!$A$2:$A$1801,0)),"")</f>
        <v/>
      </c>
      <c r="K2412" s="21">
        <f>IFERROR(INDEX(Pedidos!$D$2:$D$1801,MATCH(B2412,Pedidos!$A$2:$A$1801,0)),"")</f>
        <v/>
      </c>
      <c r="L2412" s="21">
        <f>IFERROR(INDEX(Pedidos!$F$2:$F$1801,MATCH(B2412,Pedidos!$A$2:$A$1801,0)),"")</f>
        <v/>
      </c>
      <c r="M2412" s="22">
        <f>IFERROR(INDEX(Pedidos!$G$2:$G$1801,MATCH(B2412,Pedidos!$A$2:$A$1801,0)),0)</f>
        <v/>
      </c>
      <c r="N2412" s="21">
        <f>IFERROR(INDEX(Produtos!$B$2:$B$71,MATCH(C2412,Produtos!$A$2:$A$71,0)),"")</f>
        <v/>
      </c>
      <c r="O2412" s="21">
        <f>IFERROR(INDEX(Produtos!$C$2:$C$71,MATCH(C2412,Produtos!$A$2:$A$71,0)),"")</f>
        <v/>
      </c>
      <c r="P2412" s="21">
        <f>IFERROR(INDEX(Produtos!$D$2:$D$71,MATCH(C2412,Produtos!$A$2:$A$71,0)),0)</f>
        <v/>
      </c>
      <c r="Q2412" s="21">
        <f>IFERROR(INDEX(Produtos!$E$2:$E$71,MATCH(C2412,Produtos!$A$2:$A$71,0)),0)</f>
        <v/>
      </c>
      <c r="R2412" s="23">
        <f>D2412*Q2412</f>
        <v/>
      </c>
      <c r="S2412" s="23">
        <f>R2412*E2412</f>
        <v/>
      </c>
      <c r="T2412" s="23">
        <f>(R2412-S2412)*M2412</f>
        <v/>
      </c>
      <c r="U2412" s="23">
        <f>R2412-S2412-T2412</f>
        <v/>
      </c>
      <c r="V2412" s="23">
        <f>D2412*P2412</f>
        <v/>
      </c>
      <c r="W2412" s="23">
        <f>U2412-V2412</f>
        <v/>
      </c>
      <c r="X2412" s="24">
        <f>IFERROR(W2412/U2412,0)</f>
        <v/>
      </c>
    </row>
    <row r="2413">
      <c r="A2413" s="25">
        <f>ItensPedido!A2413</f>
        <v/>
      </c>
      <c r="B2413" s="25">
        <f>ItensPedido!B2413</f>
        <v/>
      </c>
      <c r="C2413" s="25">
        <f>ItensPedido!C2413</f>
        <v/>
      </c>
      <c r="D2413" s="25">
        <f>ItensPedido!D2413</f>
        <v/>
      </c>
      <c r="E2413" s="26">
        <f>ItensPedido!E2413</f>
        <v/>
      </c>
      <c r="F2413" s="25">
        <f>IFERROR(INDEX(Pedidos!$B$2:$B$1801,MATCH(B2413,Pedidos!$A$2:$A$1801,0)),0)</f>
        <v/>
      </c>
      <c r="G2413" s="25">
        <f>IF(F2413=0,"",YEAR(F2413))</f>
        <v/>
      </c>
      <c r="H2413" s="25">
        <f>IF(F2413=0,"",MONTH(F2413))</f>
        <v/>
      </c>
      <c r="I2413" s="25">
        <f>IFERROR(INDEX(Pedidos!$E$2:$E$1801,MATCH(B2413,Pedidos!$A$2:$A$1801,0)),"")</f>
        <v/>
      </c>
      <c r="J2413" s="25">
        <f>IFERROR(INDEX(Pedidos!$C$2:$C$1801,MATCH(B2413,Pedidos!$A$2:$A$1801,0)),"")</f>
        <v/>
      </c>
      <c r="K2413" s="25">
        <f>IFERROR(INDEX(Pedidos!$D$2:$D$1801,MATCH(B2413,Pedidos!$A$2:$A$1801,0)),"")</f>
        <v/>
      </c>
      <c r="L2413" s="25">
        <f>IFERROR(INDEX(Pedidos!$F$2:$F$1801,MATCH(B2413,Pedidos!$A$2:$A$1801,0)),"")</f>
        <v/>
      </c>
      <c r="M2413" s="26">
        <f>IFERROR(INDEX(Pedidos!$G$2:$G$1801,MATCH(B2413,Pedidos!$A$2:$A$1801,0)),0)</f>
        <v/>
      </c>
      <c r="N2413" s="25">
        <f>IFERROR(INDEX(Produtos!$B$2:$B$71,MATCH(C2413,Produtos!$A$2:$A$71,0)),"")</f>
        <v/>
      </c>
      <c r="O2413" s="25">
        <f>IFERROR(INDEX(Produtos!$C$2:$C$71,MATCH(C2413,Produtos!$A$2:$A$71,0)),"")</f>
        <v/>
      </c>
      <c r="P2413" s="25">
        <f>IFERROR(INDEX(Produtos!$D$2:$D$71,MATCH(C2413,Produtos!$A$2:$A$71,0)),0)</f>
        <v/>
      </c>
      <c r="Q2413" s="25">
        <f>IFERROR(INDEX(Produtos!$E$2:$E$71,MATCH(C2413,Produtos!$A$2:$A$71,0)),0)</f>
        <v/>
      </c>
      <c r="R2413" s="27">
        <f>D2413*Q2413</f>
        <v/>
      </c>
      <c r="S2413" s="27">
        <f>R2413*E2413</f>
        <v/>
      </c>
      <c r="T2413" s="27">
        <f>(R2413-S2413)*M2413</f>
        <v/>
      </c>
      <c r="U2413" s="27">
        <f>R2413-S2413-T2413</f>
        <v/>
      </c>
      <c r="V2413" s="27">
        <f>D2413*P2413</f>
        <v/>
      </c>
      <c r="W2413" s="27">
        <f>U2413-V2413</f>
        <v/>
      </c>
      <c r="X2413" s="28">
        <f>IFERROR(W2413/U2413,0)</f>
        <v/>
      </c>
    </row>
    <row r="2414">
      <c r="A2414" s="21">
        <f>ItensPedido!A2414</f>
        <v/>
      </c>
      <c r="B2414" s="21">
        <f>ItensPedido!B2414</f>
        <v/>
      </c>
      <c r="C2414" s="21">
        <f>ItensPedido!C2414</f>
        <v/>
      </c>
      <c r="D2414" s="21">
        <f>ItensPedido!D2414</f>
        <v/>
      </c>
      <c r="E2414" s="22">
        <f>ItensPedido!E2414</f>
        <v/>
      </c>
      <c r="F2414" s="21">
        <f>IFERROR(INDEX(Pedidos!$B$2:$B$1801,MATCH(B2414,Pedidos!$A$2:$A$1801,0)),0)</f>
        <v/>
      </c>
      <c r="G2414" s="21">
        <f>IF(F2414=0,"",YEAR(F2414))</f>
        <v/>
      </c>
      <c r="H2414" s="21">
        <f>IF(F2414=0,"",MONTH(F2414))</f>
        <v/>
      </c>
      <c r="I2414" s="21">
        <f>IFERROR(INDEX(Pedidos!$E$2:$E$1801,MATCH(B2414,Pedidos!$A$2:$A$1801,0)),"")</f>
        <v/>
      </c>
      <c r="J2414" s="21">
        <f>IFERROR(INDEX(Pedidos!$C$2:$C$1801,MATCH(B2414,Pedidos!$A$2:$A$1801,0)),"")</f>
        <v/>
      </c>
      <c r="K2414" s="21">
        <f>IFERROR(INDEX(Pedidos!$D$2:$D$1801,MATCH(B2414,Pedidos!$A$2:$A$1801,0)),"")</f>
        <v/>
      </c>
      <c r="L2414" s="21">
        <f>IFERROR(INDEX(Pedidos!$F$2:$F$1801,MATCH(B2414,Pedidos!$A$2:$A$1801,0)),"")</f>
        <v/>
      </c>
      <c r="M2414" s="22">
        <f>IFERROR(INDEX(Pedidos!$G$2:$G$1801,MATCH(B2414,Pedidos!$A$2:$A$1801,0)),0)</f>
        <v/>
      </c>
      <c r="N2414" s="21">
        <f>IFERROR(INDEX(Produtos!$B$2:$B$71,MATCH(C2414,Produtos!$A$2:$A$71,0)),"")</f>
        <v/>
      </c>
      <c r="O2414" s="21">
        <f>IFERROR(INDEX(Produtos!$C$2:$C$71,MATCH(C2414,Produtos!$A$2:$A$71,0)),"")</f>
        <v/>
      </c>
      <c r="P2414" s="21">
        <f>IFERROR(INDEX(Produtos!$D$2:$D$71,MATCH(C2414,Produtos!$A$2:$A$71,0)),0)</f>
        <v/>
      </c>
      <c r="Q2414" s="21">
        <f>IFERROR(INDEX(Produtos!$E$2:$E$71,MATCH(C2414,Produtos!$A$2:$A$71,0)),0)</f>
        <v/>
      </c>
      <c r="R2414" s="23">
        <f>D2414*Q2414</f>
        <v/>
      </c>
      <c r="S2414" s="23">
        <f>R2414*E2414</f>
        <v/>
      </c>
      <c r="T2414" s="23">
        <f>(R2414-S2414)*M2414</f>
        <v/>
      </c>
      <c r="U2414" s="23">
        <f>R2414-S2414-T2414</f>
        <v/>
      </c>
      <c r="V2414" s="23">
        <f>D2414*P2414</f>
        <v/>
      </c>
      <c r="W2414" s="23">
        <f>U2414-V2414</f>
        <v/>
      </c>
      <c r="X2414" s="24">
        <f>IFERROR(W2414/U2414,0)</f>
        <v/>
      </c>
    </row>
    <row r="2415">
      <c r="A2415" s="25">
        <f>ItensPedido!A2415</f>
        <v/>
      </c>
      <c r="B2415" s="25">
        <f>ItensPedido!B2415</f>
        <v/>
      </c>
      <c r="C2415" s="25">
        <f>ItensPedido!C2415</f>
        <v/>
      </c>
      <c r="D2415" s="25">
        <f>ItensPedido!D2415</f>
        <v/>
      </c>
      <c r="E2415" s="26">
        <f>ItensPedido!E2415</f>
        <v/>
      </c>
      <c r="F2415" s="25">
        <f>IFERROR(INDEX(Pedidos!$B$2:$B$1801,MATCH(B2415,Pedidos!$A$2:$A$1801,0)),0)</f>
        <v/>
      </c>
      <c r="G2415" s="25">
        <f>IF(F2415=0,"",YEAR(F2415))</f>
        <v/>
      </c>
      <c r="H2415" s="25">
        <f>IF(F2415=0,"",MONTH(F2415))</f>
        <v/>
      </c>
      <c r="I2415" s="25">
        <f>IFERROR(INDEX(Pedidos!$E$2:$E$1801,MATCH(B2415,Pedidos!$A$2:$A$1801,0)),"")</f>
        <v/>
      </c>
      <c r="J2415" s="25">
        <f>IFERROR(INDEX(Pedidos!$C$2:$C$1801,MATCH(B2415,Pedidos!$A$2:$A$1801,0)),"")</f>
        <v/>
      </c>
      <c r="K2415" s="25">
        <f>IFERROR(INDEX(Pedidos!$D$2:$D$1801,MATCH(B2415,Pedidos!$A$2:$A$1801,0)),"")</f>
        <v/>
      </c>
      <c r="L2415" s="25">
        <f>IFERROR(INDEX(Pedidos!$F$2:$F$1801,MATCH(B2415,Pedidos!$A$2:$A$1801,0)),"")</f>
        <v/>
      </c>
      <c r="M2415" s="26">
        <f>IFERROR(INDEX(Pedidos!$G$2:$G$1801,MATCH(B2415,Pedidos!$A$2:$A$1801,0)),0)</f>
        <v/>
      </c>
      <c r="N2415" s="25">
        <f>IFERROR(INDEX(Produtos!$B$2:$B$71,MATCH(C2415,Produtos!$A$2:$A$71,0)),"")</f>
        <v/>
      </c>
      <c r="O2415" s="25">
        <f>IFERROR(INDEX(Produtos!$C$2:$C$71,MATCH(C2415,Produtos!$A$2:$A$71,0)),"")</f>
        <v/>
      </c>
      <c r="P2415" s="25">
        <f>IFERROR(INDEX(Produtos!$D$2:$D$71,MATCH(C2415,Produtos!$A$2:$A$71,0)),0)</f>
        <v/>
      </c>
      <c r="Q2415" s="25">
        <f>IFERROR(INDEX(Produtos!$E$2:$E$71,MATCH(C2415,Produtos!$A$2:$A$71,0)),0)</f>
        <v/>
      </c>
      <c r="R2415" s="27">
        <f>D2415*Q2415</f>
        <v/>
      </c>
      <c r="S2415" s="27">
        <f>R2415*E2415</f>
        <v/>
      </c>
      <c r="T2415" s="27">
        <f>(R2415-S2415)*M2415</f>
        <v/>
      </c>
      <c r="U2415" s="27">
        <f>R2415-S2415-T2415</f>
        <v/>
      </c>
      <c r="V2415" s="27">
        <f>D2415*P2415</f>
        <v/>
      </c>
      <c r="W2415" s="27">
        <f>U2415-V2415</f>
        <v/>
      </c>
      <c r="X2415" s="28">
        <f>IFERROR(W2415/U2415,0)</f>
        <v/>
      </c>
    </row>
    <row r="2416">
      <c r="A2416" s="21">
        <f>ItensPedido!A2416</f>
        <v/>
      </c>
      <c r="B2416" s="21">
        <f>ItensPedido!B2416</f>
        <v/>
      </c>
      <c r="C2416" s="21">
        <f>ItensPedido!C2416</f>
        <v/>
      </c>
      <c r="D2416" s="21">
        <f>ItensPedido!D2416</f>
        <v/>
      </c>
      <c r="E2416" s="22">
        <f>ItensPedido!E2416</f>
        <v/>
      </c>
      <c r="F2416" s="21">
        <f>IFERROR(INDEX(Pedidos!$B$2:$B$1801,MATCH(B2416,Pedidos!$A$2:$A$1801,0)),0)</f>
        <v/>
      </c>
      <c r="G2416" s="21">
        <f>IF(F2416=0,"",YEAR(F2416))</f>
        <v/>
      </c>
      <c r="H2416" s="21">
        <f>IF(F2416=0,"",MONTH(F2416))</f>
        <v/>
      </c>
      <c r="I2416" s="21">
        <f>IFERROR(INDEX(Pedidos!$E$2:$E$1801,MATCH(B2416,Pedidos!$A$2:$A$1801,0)),"")</f>
        <v/>
      </c>
      <c r="J2416" s="21">
        <f>IFERROR(INDEX(Pedidos!$C$2:$C$1801,MATCH(B2416,Pedidos!$A$2:$A$1801,0)),"")</f>
        <v/>
      </c>
      <c r="K2416" s="21">
        <f>IFERROR(INDEX(Pedidos!$D$2:$D$1801,MATCH(B2416,Pedidos!$A$2:$A$1801,0)),"")</f>
        <v/>
      </c>
      <c r="L2416" s="21">
        <f>IFERROR(INDEX(Pedidos!$F$2:$F$1801,MATCH(B2416,Pedidos!$A$2:$A$1801,0)),"")</f>
        <v/>
      </c>
      <c r="M2416" s="22">
        <f>IFERROR(INDEX(Pedidos!$G$2:$G$1801,MATCH(B2416,Pedidos!$A$2:$A$1801,0)),0)</f>
        <v/>
      </c>
      <c r="N2416" s="21">
        <f>IFERROR(INDEX(Produtos!$B$2:$B$71,MATCH(C2416,Produtos!$A$2:$A$71,0)),"")</f>
        <v/>
      </c>
      <c r="O2416" s="21">
        <f>IFERROR(INDEX(Produtos!$C$2:$C$71,MATCH(C2416,Produtos!$A$2:$A$71,0)),"")</f>
        <v/>
      </c>
      <c r="P2416" s="21">
        <f>IFERROR(INDEX(Produtos!$D$2:$D$71,MATCH(C2416,Produtos!$A$2:$A$71,0)),0)</f>
        <v/>
      </c>
      <c r="Q2416" s="21">
        <f>IFERROR(INDEX(Produtos!$E$2:$E$71,MATCH(C2416,Produtos!$A$2:$A$71,0)),0)</f>
        <v/>
      </c>
      <c r="R2416" s="23">
        <f>D2416*Q2416</f>
        <v/>
      </c>
      <c r="S2416" s="23">
        <f>R2416*E2416</f>
        <v/>
      </c>
      <c r="T2416" s="23">
        <f>(R2416-S2416)*M2416</f>
        <v/>
      </c>
      <c r="U2416" s="23">
        <f>R2416-S2416-T2416</f>
        <v/>
      </c>
      <c r="V2416" s="23">
        <f>D2416*P2416</f>
        <v/>
      </c>
      <c r="W2416" s="23">
        <f>U2416-V2416</f>
        <v/>
      </c>
      <c r="X2416" s="24">
        <f>IFERROR(W2416/U2416,0)</f>
        <v/>
      </c>
    </row>
    <row r="2417">
      <c r="A2417" s="25">
        <f>ItensPedido!A2417</f>
        <v/>
      </c>
      <c r="B2417" s="25">
        <f>ItensPedido!B2417</f>
        <v/>
      </c>
      <c r="C2417" s="25">
        <f>ItensPedido!C2417</f>
        <v/>
      </c>
      <c r="D2417" s="25">
        <f>ItensPedido!D2417</f>
        <v/>
      </c>
      <c r="E2417" s="26">
        <f>ItensPedido!E2417</f>
        <v/>
      </c>
      <c r="F2417" s="25">
        <f>IFERROR(INDEX(Pedidos!$B$2:$B$1801,MATCH(B2417,Pedidos!$A$2:$A$1801,0)),0)</f>
        <v/>
      </c>
      <c r="G2417" s="25">
        <f>IF(F2417=0,"",YEAR(F2417))</f>
        <v/>
      </c>
      <c r="H2417" s="25">
        <f>IF(F2417=0,"",MONTH(F2417))</f>
        <v/>
      </c>
      <c r="I2417" s="25">
        <f>IFERROR(INDEX(Pedidos!$E$2:$E$1801,MATCH(B2417,Pedidos!$A$2:$A$1801,0)),"")</f>
        <v/>
      </c>
      <c r="J2417" s="25">
        <f>IFERROR(INDEX(Pedidos!$C$2:$C$1801,MATCH(B2417,Pedidos!$A$2:$A$1801,0)),"")</f>
        <v/>
      </c>
      <c r="K2417" s="25">
        <f>IFERROR(INDEX(Pedidos!$D$2:$D$1801,MATCH(B2417,Pedidos!$A$2:$A$1801,0)),"")</f>
        <v/>
      </c>
      <c r="L2417" s="25">
        <f>IFERROR(INDEX(Pedidos!$F$2:$F$1801,MATCH(B2417,Pedidos!$A$2:$A$1801,0)),"")</f>
        <v/>
      </c>
      <c r="M2417" s="26">
        <f>IFERROR(INDEX(Pedidos!$G$2:$G$1801,MATCH(B2417,Pedidos!$A$2:$A$1801,0)),0)</f>
        <v/>
      </c>
      <c r="N2417" s="25">
        <f>IFERROR(INDEX(Produtos!$B$2:$B$71,MATCH(C2417,Produtos!$A$2:$A$71,0)),"")</f>
        <v/>
      </c>
      <c r="O2417" s="25">
        <f>IFERROR(INDEX(Produtos!$C$2:$C$71,MATCH(C2417,Produtos!$A$2:$A$71,0)),"")</f>
        <v/>
      </c>
      <c r="P2417" s="25">
        <f>IFERROR(INDEX(Produtos!$D$2:$D$71,MATCH(C2417,Produtos!$A$2:$A$71,0)),0)</f>
        <v/>
      </c>
      <c r="Q2417" s="25">
        <f>IFERROR(INDEX(Produtos!$E$2:$E$71,MATCH(C2417,Produtos!$A$2:$A$71,0)),0)</f>
        <v/>
      </c>
      <c r="R2417" s="27">
        <f>D2417*Q2417</f>
        <v/>
      </c>
      <c r="S2417" s="27">
        <f>R2417*E2417</f>
        <v/>
      </c>
      <c r="T2417" s="27">
        <f>(R2417-S2417)*M2417</f>
        <v/>
      </c>
      <c r="U2417" s="27">
        <f>R2417-S2417-T2417</f>
        <v/>
      </c>
      <c r="V2417" s="27">
        <f>D2417*P2417</f>
        <v/>
      </c>
      <c r="W2417" s="27">
        <f>U2417-V2417</f>
        <v/>
      </c>
      <c r="X2417" s="28">
        <f>IFERROR(W2417/U2417,0)</f>
        <v/>
      </c>
    </row>
    <row r="2418">
      <c r="A2418" s="21">
        <f>ItensPedido!A2418</f>
        <v/>
      </c>
      <c r="B2418" s="21">
        <f>ItensPedido!B2418</f>
        <v/>
      </c>
      <c r="C2418" s="21">
        <f>ItensPedido!C2418</f>
        <v/>
      </c>
      <c r="D2418" s="21">
        <f>ItensPedido!D2418</f>
        <v/>
      </c>
      <c r="E2418" s="22">
        <f>ItensPedido!E2418</f>
        <v/>
      </c>
      <c r="F2418" s="21">
        <f>IFERROR(INDEX(Pedidos!$B$2:$B$1801,MATCH(B2418,Pedidos!$A$2:$A$1801,0)),0)</f>
        <v/>
      </c>
      <c r="G2418" s="21">
        <f>IF(F2418=0,"",YEAR(F2418))</f>
        <v/>
      </c>
      <c r="H2418" s="21">
        <f>IF(F2418=0,"",MONTH(F2418))</f>
        <v/>
      </c>
      <c r="I2418" s="21">
        <f>IFERROR(INDEX(Pedidos!$E$2:$E$1801,MATCH(B2418,Pedidos!$A$2:$A$1801,0)),"")</f>
        <v/>
      </c>
      <c r="J2418" s="21">
        <f>IFERROR(INDEX(Pedidos!$C$2:$C$1801,MATCH(B2418,Pedidos!$A$2:$A$1801,0)),"")</f>
        <v/>
      </c>
      <c r="K2418" s="21">
        <f>IFERROR(INDEX(Pedidos!$D$2:$D$1801,MATCH(B2418,Pedidos!$A$2:$A$1801,0)),"")</f>
        <v/>
      </c>
      <c r="L2418" s="21">
        <f>IFERROR(INDEX(Pedidos!$F$2:$F$1801,MATCH(B2418,Pedidos!$A$2:$A$1801,0)),"")</f>
        <v/>
      </c>
      <c r="M2418" s="22">
        <f>IFERROR(INDEX(Pedidos!$G$2:$G$1801,MATCH(B2418,Pedidos!$A$2:$A$1801,0)),0)</f>
        <v/>
      </c>
      <c r="N2418" s="21">
        <f>IFERROR(INDEX(Produtos!$B$2:$B$71,MATCH(C2418,Produtos!$A$2:$A$71,0)),"")</f>
        <v/>
      </c>
      <c r="O2418" s="21">
        <f>IFERROR(INDEX(Produtos!$C$2:$C$71,MATCH(C2418,Produtos!$A$2:$A$71,0)),"")</f>
        <v/>
      </c>
      <c r="P2418" s="21">
        <f>IFERROR(INDEX(Produtos!$D$2:$D$71,MATCH(C2418,Produtos!$A$2:$A$71,0)),0)</f>
        <v/>
      </c>
      <c r="Q2418" s="21">
        <f>IFERROR(INDEX(Produtos!$E$2:$E$71,MATCH(C2418,Produtos!$A$2:$A$71,0)),0)</f>
        <v/>
      </c>
      <c r="R2418" s="23">
        <f>D2418*Q2418</f>
        <v/>
      </c>
      <c r="S2418" s="23">
        <f>R2418*E2418</f>
        <v/>
      </c>
      <c r="T2418" s="23">
        <f>(R2418-S2418)*M2418</f>
        <v/>
      </c>
      <c r="U2418" s="23">
        <f>R2418-S2418-T2418</f>
        <v/>
      </c>
      <c r="V2418" s="23">
        <f>D2418*P2418</f>
        <v/>
      </c>
      <c r="W2418" s="23">
        <f>U2418-V2418</f>
        <v/>
      </c>
      <c r="X2418" s="24">
        <f>IFERROR(W2418/U2418,0)</f>
        <v/>
      </c>
    </row>
    <row r="2419">
      <c r="A2419" s="25">
        <f>ItensPedido!A2419</f>
        <v/>
      </c>
      <c r="B2419" s="25">
        <f>ItensPedido!B2419</f>
        <v/>
      </c>
      <c r="C2419" s="25">
        <f>ItensPedido!C2419</f>
        <v/>
      </c>
      <c r="D2419" s="25">
        <f>ItensPedido!D2419</f>
        <v/>
      </c>
      <c r="E2419" s="26">
        <f>ItensPedido!E2419</f>
        <v/>
      </c>
      <c r="F2419" s="25">
        <f>IFERROR(INDEX(Pedidos!$B$2:$B$1801,MATCH(B2419,Pedidos!$A$2:$A$1801,0)),0)</f>
        <v/>
      </c>
      <c r="G2419" s="25">
        <f>IF(F2419=0,"",YEAR(F2419))</f>
        <v/>
      </c>
      <c r="H2419" s="25">
        <f>IF(F2419=0,"",MONTH(F2419))</f>
        <v/>
      </c>
      <c r="I2419" s="25">
        <f>IFERROR(INDEX(Pedidos!$E$2:$E$1801,MATCH(B2419,Pedidos!$A$2:$A$1801,0)),"")</f>
        <v/>
      </c>
      <c r="J2419" s="25">
        <f>IFERROR(INDEX(Pedidos!$C$2:$C$1801,MATCH(B2419,Pedidos!$A$2:$A$1801,0)),"")</f>
        <v/>
      </c>
      <c r="K2419" s="25">
        <f>IFERROR(INDEX(Pedidos!$D$2:$D$1801,MATCH(B2419,Pedidos!$A$2:$A$1801,0)),"")</f>
        <v/>
      </c>
      <c r="L2419" s="25">
        <f>IFERROR(INDEX(Pedidos!$F$2:$F$1801,MATCH(B2419,Pedidos!$A$2:$A$1801,0)),"")</f>
        <v/>
      </c>
      <c r="M2419" s="26">
        <f>IFERROR(INDEX(Pedidos!$G$2:$G$1801,MATCH(B2419,Pedidos!$A$2:$A$1801,0)),0)</f>
        <v/>
      </c>
      <c r="N2419" s="25">
        <f>IFERROR(INDEX(Produtos!$B$2:$B$71,MATCH(C2419,Produtos!$A$2:$A$71,0)),"")</f>
        <v/>
      </c>
      <c r="O2419" s="25">
        <f>IFERROR(INDEX(Produtos!$C$2:$C$71,MATCH(C2419,Produtos!$A$2:$A$71,0)),"")</f>
        <v/>
      </c>
      <c r="P2419" s="25">
        <f>IFERROR(INDEX(Produtos!$D$2:$D$71,MATCH(C2419,Produtos!$A$2:$A$71,0)),0)</f>
        <v/>
      </c>
      <c r="Q2419" s="25">
        <f>IFERROR(INDEX(Produtos!$E$2:$E$71,MATCH(C2419,Produtos!$A$2:$A$71,0)),0)</f>
        <v/>
      </c>
      <c r="R2419" s="27">
        <f>D2419*Q2419</f>
        <v/>
      </c>
      <c r="S2419" s="27">
        <f>R2419*E2419</f>
        <v/>
      </c>
      <c r="T2419" s="27">
        <f>(R2419-S2419)*M2419</f>
        <v/>
      </c>
      <c r="U2419" s="27">
        <f>R2419-S2419-T2419</f>
        <v/>
      </c>
      <c r="V2419" s="27">
        <f>D2419*P2419</f>
        <v/>
      </c>
      <c r="W2419" s="27">
        <f>U2419-V2419</f>
        <v/>
      </c>
      <c r="X2419" s="28">
        <f>IFERROR(W2419/U2419,0)</f>
        <v/>
      </c>
    </row>
    <row r="2420">
      <c r="A2420" s="21">
        <f>ItensPedido!A2420</f>
        <v/>
      </c>
      <c r="B2420" s="21">
        <f>ItensPedido!B2420</f>
        <v/>
      </c>
      <c r="C2420" s="21">
        <f>ItensPedido!C2420</f>
        <v/>
      </c>
      <c r="D2420" s="21">
        <f>ItensPedido!D2420</f>
        <v/>
      </c>
      <c r="E2420" s="22">
        <f>ItensPedido!E2420</f>
        <v/>
      </c>
      <c r="F2420" s="21">
        <f>IFERROR(INDEX(Pedidos!$B$2:$B$1801,MATCH(B2420,Pedidos!$A$2:$A$1801,0)),0)</f>
        <v/>
      </c>
      <c r="G2420" s="21">
        <f>IF(F2420=0,"",YEAR(F2420))</f>
        <v/>
      </c>
      <c r="H2420" s="21">
        <f>IF(F2420=0,"",MONTH(F2420))</f>
        <v/>
      </c>
      <c r="I2420" s="21">
        <f>IFERROR(INDEX(Pedidos!$E$2:$E$1801,MATCH(B2420,Pedidos!$A$2:$A$1801,0)),"")</f>
        <v/>
      </c>
      <c r="J2420" s="21">
        <f>IFERROR(INDEX(Pedidos!$C$2:$C$1801,MATCH(B2420,Pedidos!$A$2:$A$1801,0)),"")</f>
        <v/>
      </c>
      <c r="K2420" s="21">
        <f>IFERROR(INDEX(Pedidos!$D$2:$D$1801,MATCH(B2420,Pedidos!$A$2:$A$1801,0)),"")</f>
        <v/>
      </c>
      <c r="L2420" s="21">
        <f>IFERROR(INDEX(Pedidos!$F$2:$F$1801,MATCH(B2420,Pedidos!$A$2:$A$1801,0)),"")</f>
        <v/>
      </c>
      <c r="M2420" s="22">
        <f>IFERROR(INDEX(Pedidos!$G$2:$G$1801,MATCH(B2420,Pedidos!$A$2:$A$1801,0)),0)</f>
        <v/>
      </c>
      <c r="N2420" s="21">
        <f>IFERROR(INDEX(Produtos!$B$2:$B$71,MATCH(C2420,Produtos!$A$2:$A$71,0)),"")</f>
        <v/>
      </c>
      <c r="O2420" s="21">
        <f>IFERROR(INDEX(Produtos!$C$2:$C$71,MATCH(C2420,Produtos!$A$2:$A$71,0)),"")</f>
        <v/>
      </c>
      <c r="P2420" s="21">
        <f>IFERROR(INDEX(Produtos!$D$2:$D$71,MATCH(C2420,Produtos!$A$2:$A$71,0)),0)</f>
        <v/>
      </c>
      <c r="Q2420" s="21">
        <f>IFERROR(INDEX(Produtos!$E$2:$E$71,MATCH(C2420,Produtos!$A$2:$A$71,0)),0)</f>
        <v/>
      </c>
      <c r="R2420" s="23">
        <f>D2420*Q2420</f>
        <v/>
      </c>
      <c r="S2420" s="23">
        <f>R2420*E2420</f>
        <v/>
      </c>
      <c r="T2420" s="23">
        <f>(R2420-S2420)*M2420</f>
        <v/>
      </c>
      <c r="U2420" s="23">
        <f>R2420-S2420-T2420</f>
        <v/>
      </c>
      <c r="V2420" s="23">
        <f>D2420*P2420</f>
        <v/>
      </c>
      <c r="W2420" s="23">
        <f>U2420-V2420</f>
        <v/>
      </c>
      <c r="X2420" s="24">
        <f>IFERROR(W2420/U2420,0)</f>
        <v/>
      </c>
    </row>
    <row r="2421">
      <c r="A2421" s="25">
        <f>ItensPedido!A2421</f>
        <v/>
      </c>
      <c r="B2421" s="25">
        <f>ItensPedido!B2421</f>
        <v/>
      </c>
      <c r="C2421" s="25">
        <f>ItensPedido!C2421</f>
        <v/>
      </c>
      <c r="D2421" s="25">
        <f>ItensPedido!D2421</f>
        <v/>
      </c>
      <c r="E2421" s="26">
        <f>ItensPedido!E2421</f>
        <v/>
      </c>
      <c r="F2421" s="25">
        <f>IFERROR(INDEX(Pedidos!$B$2:$B$1801,MATCH(B2421,Pedidos!$A$2:$A$1801,0)),0)</f>
        <v/>
      </c>
      <c r="G2421" s="25">
        <f>IF(F2421=0,"",YEAR(F2421))</f>
        <v/>
      </c>
      <c r="H2421" s="25">
        <f>IF(F2421=0,"",MONTH(F2421))</f>
        <v/>
      </c>
      <c r="I2421" s="25">
        <f>IFERROR(INDEX(Pedidos!$E$2:$E$1801,MATCH(B2421,Pedidos!$A$2:$A$1801,0)),"")</f>
        <v/>
      </c>
      <c r="J2421" s="25">
        <f>IFERROR(INDEX(Pedidos!$C$2:$C$1801,MATCH(B2421,Pedidos!$A$2:$A$1801,0)),"")</f>
        <v/>
      </c>
      <c r="K2421" s="25">
        <f>IFERROR(INDEX(Pedidos!$D$2:$D$1801,MATCH(B2421,Pedidos!$A$2:$A$1801,0)),"")</f>
        <v/>
      </c>
      <c r="L2421" s="25">
        <f>IFERROR(INDEX(Pedidos!$F$2:$F$1801,MATCH(B2421,Pedidos!$A$2:$A$1801,0)),"")</f>
        <v/>
      </c>
      <c r="M2421" s="26">
        <f>IFERROR(INDEX(Pedidos!$G$2:$G$1801,MATCH(B2421,Pedidos!$A$2:$A$1801,0)),0)</f>
        <v/>
      </c>
      <c r="N2421" s="25">
        <f>IFERROR(INDEX(Produtos!$B$2:$B$71,MATCH(C2421,Produtos!$A$2:$A$71,0)),"")</f>
        <v/>
      </c>
      <c r="O2421" s="25">
        <f>IFERROR(INDEX(Produtos!$C$2:$C$71,MATCH(C2421,Produtos!$A$2:$A$71,0)),"")</f>
        <v/>
      </c>
      <c r="P2421" s="25">
        <f>IFERROR(INDEX(Produtos!$D$2:$D$71,MATCH(C2421,Produtos!$A$2:$A$71,0)),0)</f>
        <v/>
      </c>
      <c r="Q2421" s="25">
        <f>IFERROR(INDEX(Produtos!$E$2:$E$71,MATCH(C2421,Produtos!$A$2:$A$71,0)),0)</f>
        <v/>
      </c>
      <c r="R2421" s="27">
        <f>D2421*Q2421</f>
        <v/>
      </c>
      <c r="S2421" s="27">
        <f>R2421*E2421</f>
        <v/>
      </c>
      <c r="T2421" s="27">
        <f>(R2421-S2421)*M2421</f>
        <v/>
      </c>
      <c r="U2421" s="27">
        <f>R2421-S2421-T2421</f>
        <v/>
      </c>
      <c r="V2421" s="27">
        <f>D2421*P2421</f>
        <v/>
      </c>
      <c r="W2421" s="27">
        <f>U2421-V2421</f>
        <v/>
      </c>
      <c r="X2421" s="28">
        <f>IFERROR(W2421/U2421,0)</f>
        <v/>
      </c>
    </row>
    <row r="2422">
      <c r="A2422" s="21">
        <f>ItensPedido!A2422</f>
        <v/>
      </c>
      <c r="B2422" s="21">
        <f>ItensPedido!B2422</f>
        <v/>
      </c>
      <c r="C2422" s="21">
        <f>ItensPedido!C2422</f>
        <v/>
      </c>
      <c r="D2422" s="21">
        <f>ItensPedido!D2422</f>
        <v/>
      </c>
      <c r="E2422" s="22">
        <f>ItensPedido!E2422</f>
        <v/>
      </c>
      <c r="F2422" s="21">
        <f>IFERROR(INDEX(Pedidos!$B$2:$B$1801,MATCH(B2422,Pedidos!$A$2:$A$1801,0)),0)</f>
        <v/>
      </c>
      <c r="G2422" s="21">
        <f>IF(F2422=0,"",YEAR(F2422))</f>
        <v/>
      </c>
      <c r="H2422" s="21">
        <f>IF(F2422=0,"",MONTH(F2422))</f>
        <v/>
      </c>
      <c r="I2422" s="21">
        <f>IFERROR(INDEX(Pedidos!$E$2:$E$1801,MATCH(B2422,Pedidos!$A$2:$A$1801,0)),"")</f>
        <v/>
      </c>
      <c r="J2422" s="21">
        <f>IFERROR(INDEX(Pedidos!$C$2:$C$1801,MATCH(B2422,Pedidos!$A$2:$A$1801,0)),"")</f>
        <v/>
      </c>
      <c r="K2422" s="21">
        <f>IFERROR(INDEX(Pedidos!$D$2:$D$1801,MATCH(B2422,Pedidos!$A$2:$A$1801,0)),"")</f>
        <v/>
      </c>
      <c r="L2422" s="21">
        <f>IFERROR(INDEX(Pedidos!$F$2:$F$1801,MATCH(B2422,Pedidos!$A$2:$A$1801,0)),"")</f>
        <v/>
      </c>
      <c r="M2422" s="22">
        <f>IFERROR(INDEX(Pedidos!$G$2:$G$1801,MATCH(B2422,Pedidos!$A$2:$A$1801,0)),0)</f>
        <v/>
      </c>
      <c r="N2422" s="21">
        <f>IFERROR(INDEX(Produtos!$B$2:$B$71,MATCH(C2422,Produtos!$A$2:$A$71,0)),"")</f>
        <v/>
      </c>
      <c r="O2422" s="21">
        <f>IFERROR(INDEX(Produtos!$C$2:$C$71,MATCH(C2422,Produtos!$A$2:$A$71,0)),"")</f>
        <v/>
      </c>
      <c r="P2422" s="21">
        <f>IFERROR(INDEX(Produtos!$D$2:$D$71,MATCH(C2422,Produtos!$A$2:$A$71,0)),0)</f>
        <v/>
      </c>
      <c r="Q2422" s="21">
        <f>IFERROR(INDEX(Produtos!$E$2:$E$71,MATCH(C2422,Produtos!$A$2:$A$71,0)),0)</f>
        <v/>
      </c>
      <c r="R2422" s="23">
        <f>D2422*Q2422</f>
        <v/>
      </c>
      <c r="S2422" s="23">
        <f>R2422*E2422</f>
        <v/>
      </c>
      <c r="T2422" s="23">
        <f>(R2422-S2422)*M2422</f>
        <v/>
      </c>
      <c r="U2422" s="23">
        <f>R2422-S2422-T2422</f>
        <v/>
      </c>
      <c r="V2422" s="23">
        <f>D2422*P2422</f>
        <v/>
      </c>
      <c r="W2422" s="23">
        <f>U2422-V2422</f>
        <v/>
      </c>
      <c r="X2422" s="24">
        <f>IFERROR(W2422/U2422,0)</f>
        <v/>
      </c>
    </row>
    <row r="2423">
      <c r="A2423" s="25">
        <f>ItensPedido!A2423</f>
        <v/>
      </c>
      <c r="B2423" s="25">
        <f>ItensPedido!B2423</f>
        <v/>
      </c>
      <c r="C2423" s="25">
        <f>ItensPedido!C2423</f>
        <v/>
      </c>
      <c r="D2423" s="25">
        <f>ItensPedido!D2423</f>
        <v/>
      </c>
      <c r="E2423" s="26">
        <f>ItensPedido!E2423</f>
        <v/>
      </c>
      <c r="F2423" s="25">
        <f>IFERROR(INDEX(Pedidos!$B$2:$B$1801,MATCH(B2423,Pedidos!$A$2:$A$1801,0)),0)</f>
        <v/>
      </c>
      <c r="G2423" s="25">
        <f>IF(F2423=0,"",YEAR(F2423))</f>
        <v/>
      </c>
      <c r="H2423" s="25">
        <f>IF(F2423=0,"",MONTH(F2423))</f>
        <v/>
      </c>
      <c r="I2423" s="25">
        <f>IFERROR(INDEX(Pedidos!$E$2:$E$1801,MATCH(B2423,Pedidos!$A$2:$A$1801,0)),"")</f>
        <v/>
      </c>
      <c r="J2423" s="25">
        <f>IFERROR(INDEX(Pedidos!$C$2:$C$1801,MATCH(B2423,Pedidos!$A$2:$A$1801,0)),"")</f>
        <v/>
      </c>
      <c r="K2423" s="25">
        <f>IFERROR(INDEX(Pedidos!$D$2:$D$1801,MATCH(B2423,Pedidos!$A$2:$A$1801,0)),"")</f>
        <v/>
      </c>
      <c r="L2423" s="25">
        <f>IFERROR(INDEX(Pedidos!$F$2:$F$1801,MATCH(B2423,Pedidos!$A$2:$A$1801,0)),"")</f>
        <v/>
      </c>
      <c r="M2423" s="26">
        <f>IFERROR(INDEX(Pedidos!$G$2:$G$1801,MATCH(B2423,Pedidos!$A$2:$A$1801,0)),0)</f>
        <v/>
      </c>
      <c r="N2423" s="25">
        <f>IFERROR(INDEX(Produtos!$B$2:$B$71,MATCH(C2423,Produtos!$A$2:$A$71,0)),"")</f>
        <v/>
      </c>
      <c r="O2423" s="25">
        <f>IFERROR(INDEX(Produtos!$C$2:$C$71,MATCH(C2423,Produtos!$A$2:$A$71,0)),"")</f>
        <v/>
      </c>
      <c r="P2423" s="25">
        <f>IFERROR(INDEX(Produtos!$D$2:$D$71,MATCH(C2423,Produtos!$A$2:$A$71,0)),0)</f>
        <v/>
      </c>
      <c r="Q2423" s="25">
        <f>IFERROR(INDEX(Produtos!$E$2:$E$71,MATCH(C2423,Produtos!$A$2:$A$71,0)),0)</f>
        <v/>
      </c>
      <c r="R2423" s="27">
        <f>D2423*Q2423</f>
        <v/>
      </c>
      <c r="S2423" s="27">
        <f>R2423*E2423</f>
        <v/>
      </c>
      <c r="T2423" s="27">
        <f>(R2423-S2423)*M2423</f>
        <v/>
      </c>
      <c r="U2423" s="27">
        <f>R2423-S2423-T2423</f>
        <v/>
      </c>
      <c r="V2423" s="27">
        <f>D2423*P2423</f>
        <v/>
      </c>
      <c r="W2423" s="27">
        <f>U2423-V2423</f>
        <v/>
      </c>
      <c r="X2423" s="28">
        <f>IFERROR(W2423/U2423,0)</f>
        <v/>
      </c>
    </row>
    <row r="2424">
      <c r="A2424" s="21">
        <f>ItensPedido!A2424</f>
        <v/>
      </c>
      <c r="B2424" s="21">
        <f>ItensPedido!B2424</f>
        <v/>
      </c>
      <c r="C2424" s="21">
        <f>ItensPedido!C2424</f>
        <v/>
      </c>
      <c r="D2424" s="21">
        <f>ItensPedido!D2424</f>
        <v/>
      </c>
      <c r="E2424" s="22">
        <f>ItensPedido!E2424</f>
        <v/>
      </c>
      <c r="F2424" s="21">
        <f>IFERROR(INDEX(Pedidos!$B$2:$B$1801,MATCH(B2424,Pedidos!$A$2:$A$1801,0)),0)</f>
        <v/>
      </c>
      <c r="G2424" s="21">
        <f>IF(F2424=0,"",YEAR(F2424))</f>
        <v/>
      </c>
      <c r="H2424" s="21">
        <f>IF(F2424=0,"",MONTH(F2424))</f>
        <v/>
      </c>
      <c r="I2424" s="21">
        <f>IFERROR(INDEX(Pedidos!$E$2:$E$1801,MATCH(B2424,Pedidos!$A$2:$A$1801,0)),"")</f>
        <v/>
      </c>
      <c r="J2424" s="21">
        <f>IFERROR(INDEX(Pedidos!$C$2:$C$1801,MATCH(B2424,Pedidos!$A$2:$A$1801,0)),"")</f>
        <v/>
      </c>
      <c r="K2424" s="21">
        <f>IFERROR(INDEX(Pedidos!$D$2:$D$1801,MATCH(B2424,Pedidos!$A$2:$A$1801,0)),"")</f>
        <v/>
      </c>
      <c r="L2424" s="21">
        <f>IFERROR(INDEX(Pedidos!$F$2:$F$1801,MATCH(B2424,Pedidos!$A$2:$A$1801,0)),"")</f>
        <v/>
      </c>
      <c r="M2424" s="22">
        <f>IFERROR(INDEX(Pedidos!$G$2:$G$1801,MATCH(B2424,Pedidos!$A$2:$A$1801,0)),0)</f>
        <v/>
      </c>
      <c r="N2424" s="21">
        <f>IFERROR(INDEX(Produtos!$B$2:$B$71,MATCH(C2424,Produtos!$A$2:$A$71,0)),"")</f>
        <v/>
      </c>
      <c r="O2424" s="21">
        <f>IFERROR(INDEX(Produtos!$C$2:$C$71,MATCH(C2424,Produtos!$A$2:$A$71,0)),"")</f>
        <v/>
      </c>
      <c r="P2424" s="21">
        <f>IFERROR(INDEX(Produtos!$D$2:$D$71,MATCH(C2424,Produtos!$A$2:$A$71,0)),0)</f>
        <v/>
      </c>
      <c r="Q2424" s="21">
        <f>IFERROR(INDEX(Produtos!$E$2:$E$71,MATCH(C2424,Produtos!$A$2:$A$71,0)),0)</f>
        <v/>
      </c>
      <c r="R2424" s="23">
        <f>D2424*Q2424</f>
        <v/>
      </c>
      <c r="S2424" s="23">
        <f>R2424*E2424</f>
        <v/>
      </c>
      <c r="T2424" s="23">
        <f>(R2424-S2424)*M2424</f>
        <v/>
      </c>
      <c r="U2424" s="23">
        <f>R2424-S2424-T2424</f>
        <v/>
      </c>
      <c r="V2424" s="23">
        <f>D2424*P2424</f>
        <v/>
      </c>
      <c r="W2424" s="23">
        <f>U2424-V2424</f>
        <v/>
      </c>
      <c r="X2424" s="24">
        <f>IFERROR(W2424/U2424,0)</f>
        <v/>
      </c>
    </row>
    <row r="2425">
      <c r="A2425" s="25">
        <f>ItensPedido!A2425</f>
        <v/>
      </c>
      <c r="B2425" s="25">
        <f>ItensPedido!B2425</f>
        <v/>
      </c>
      <c r="C2425" s="25">
        <f>ItensPedido!C2425</f>
        <v/>
      </c>
      <c r="D2425" s="25">
        <f>ItensPedido!D2425</f>
        <v/>
      </c>
      <c r="E2425" s="26">
        <f>ItensPedido!E2425</f>
        <v/>
      </c>
      <c r="F2425" s="25">
        <f>IFERROR(INDEX(Pedidos!$B$2:$B$1801,MATCH(B2425,Pedidos!$A$2:$A$1801,0)),0)</f>
        <v/>
      </c>
      <c r="G2425" s="25">
        <f>IF(F2425=0,"",YEAR(F2425))</f>
        <v/>
      </c>
      <c r="H2425" s="25">
        <f>IF(F2425=0,"",MONTH(F2425))</f>
        <v/>
      </c>
      <c r="I2425" s="25">
        <f>IFERROR(INDEX(Pedidos!$E$2:$E$1801,MATCH(B2425,Pedidos!$A$2:$A$1801,0)),"")</f>
        <v/>
      </c>
      <c r="J2425" s="25">
        <f>IFERROR(INDEX(Pedidos!$C$2:$C$1801,MATCH(B2425,Pedidos!$A$2:$A$1801,0)),"")</f>
        <v/>
      </c>
      <c r="K2425" s="25">
        <f>IFERROR(INDEX(Pedidos!$D$2:$D$1801,MATCH(B2425,Pedidos!$A$2:$A$1801,0)),"")</f>
        <v/>
      </c>
      <c r="L2425" s="25">
        <f>IFERROR(INDEX(Pedidos!$F$2:$F$1801,MATCH(B2425,Pedidos!$A$2:$A$1801,0)),"")</f>
        <v/>
      </c>
      <c r="M2425" s="26">
        <f>IFERROR(INDEX(Pedidos!$G$2:$G$1801,MATCH(B2425,Pedidos!$A$2:$A$1801,0)),0)</f>
        <v/>
      </c>
      <c r="N2425" s="25">
        <f>IFERROR(INDEX(Produtos!$B$2:$B$71,MATCH(C2425,Produtos!$A$2:$A$71,0)),"")</f>
        <v/>
      </c>
      <c r="O2425" s="25">
        <f>IFERROR(INDEX(Produtos!$C$2:$C$71,MATCH(C2425,Produtos!$A$2:$A$71,0)),"")</f>
        <v/>
      </c>
      <c r="P2425" s="25">
        <f>IFERROR(INDEX(Produtos!$D$2:$D$71,MATCH(C2425,Produtos!$A$2:$A$71,0)),0)</f>
        <v/>
      </c>
      <c r="Q2425" s="25">
        <f>IFERROR(INDEX(Produtos!$E$2:$E$71,MATCH(C2425,Produtos!$A$2:$A$71,0)),0)</f>
        <v/>
      </c>
      <c r="R2425" s="27">
        <f>D2425*Q2425</f>
        <v/>
      </c>
      <c r="S2425" s="27">
        <f>R2425*E2425</f>
        <v/>
      </c>
      <c r="T2425" s="27">
        <f>(R2425-S2425)*M2425</f>
        <v/>
      </c>
      <c r="U2425" s="27">
        <f>R2425-S2425-T2425</f>
        <v/>
      </c>
      <c r="V2425" s="27">
        <f>D2425*P2425</f>
        <v/>
      </c>
      <c r="W2425" s="27">
        <f>U2425-V2425</f>
        <v/>
      </c>
      <c r="X2425" s="28">
        <f>IFERROR(W2425/U2425,0)</f>
        <v/>
      </c>
    </row>
    <row r="2426">
      <c r="A2426" s="21">
        <f>ItensPedido!A2426</f>
        <v/>
      </c>
      <c r="B2426" s="21">
        <f>ItensPedido!B2426</f>
        <v/>
      </c>
      <c r="C2426" s="21">
        <f>ItensPedido!C2426</f>
        <v/>
      </c>
      <c r="D2426" s="21">
        <f>ItensPedido!D2426</f>
        <v/>
      </c>
      <c r="E2426" s="22">
        <f>ItensPedido!E2426</f>
        <v/>
      </c>
      <c r="F2426" s="21">
        <f>IFERROR(INDEX(Pedidos!$B$2:$B$1801,MATCH(B2426,Pedidos!$A$2:$A$1801,0)),0)</f>
        <v/>
      </c>
      <c r="G2426" s="21">
        <f>IF(F2426=0,"",YEAR(F2426))</f>
        <v/>
      </c>
      <c r="H2426" s="21">
        <f>IF(F2426=0,"",MONTH(F2426))</f>
        <v/>
      </c>
      <c r="I2426" s="21">
        <f>IFERROR(INDEX(Pedidos!$E$2:$E$1801,MATCH(B2426,Pedidos!$A$2:$A$1801,0)),"")</f>
        <v/>
      </c>
      <c r="J2426" s="21">
        <f>IFERROR(INDEX(Pedidos!$C$2:$C$1801,MATCH(B2426,Pedidos!$A$2:$A$1801,0)),"")</f>
        <v/>
      </c>
      <c r="K2426" s="21">
        <f>IFERROR(INDEX(Pedidos!$D$2:$D$1801,MATCH(B2426,Pedidos!$A$2:$A$1801,0)),"")</f>
        <v/>
      </c>
      <c r="L2426" s="21">
        <f>IFERROR(INDEX(Pedidos!$F$2:$F$1801,MATCH(B2426,Pedidos!$A$2:$A$1801,0)),"")</f>
        <v/>
      </c>
      <c r="M2426" s="22">
        <f>IFERROR(INDEX(Pedidos!$G$2:$G$1801,MATCH(B2426,Pedidos!$A$2:$A$1801,0)),0)</f>
        <v/>
      </c>
      <c r="N2426" s="21">
        <f>IFERROR(INDEX(Produtos!$B$2:$B$71,MATCH(C2426,Produtos!$A$2:$A$71,0)),"")</f>
        <v/>
      </c>
      <c r="O2426" s="21">
        <f>IFERROR(INDEX(Produtos!$C$2:$C$71,MATCH(C2426,Produtos!$A$2:$A$71,0)),"")</f>
        <v/>
      </c>
      <c r="P2426" s="21">
        <f>IFERROR(INDEX(Produtos!$D$2:$D$71,MATCH(C2426,Produtos!$A$2:$A$71,0)),0)</f>
        <v/>
      </c>
      <c r="Q2426" s="21">
        <f>IFERROR(INDEX(Produtos!$E$2:$E$71,MATCH(C2426,Produtos!$A$2:$A$71,0)),0)</f>
        <v/>
      </c>
      <c r="R2426" s="23">
        <f>D2426*Q2426</f>
        <v/>
      </c>
      <c r="S2426" s="23">
        <f>R2426*E2426</f>
        <v/>
      </c>
      <c r="T2426" s="23">
        <f>(R2426-S2426)*M2426</f>
        <v/>
      </c>
      <c r="U2426" s="23">
        <f>R2426-S2426-T2426</f>
        <v/>
      </c>
      <c r="V2426" s="23">
        <f>D2426*P2426</f>
        <v/>
      </c>
      <c r="W2426" s="23">
        <f>U2426-V2426</f>
        <v/>
      </c>
      <c r="X2426" s="24">
        <f>IFERROR(W2426/U2426,0)</f>
        <v/>
      </c>
    </row>
    <row r="2427">
      <c r="A2427" s="25">
        <f>ItensPedido!A2427</f>
        <v/>
      </c>
      <c r="B2427" s="25">
        <f>ItensPedido!B2427</f>
        <v/>
      </c>
      <c r="C2427" s="25">
        <f>ItensPedido!C2427</f>
        <v/>
      </c>
      <c r="D2427" s="25">
        <f>ItensPedido!D2427</f>
        <v/>
      </c>
      <c r="E2427" s="26">
        <f>ItensPedido!E2427</f>
        <v/>
      </c>
      <c r="F2427" s="25">
        <f>IFERROR(INDEX(Pedidos!$B$2:$B$1801,MATCH(B2427,Pedidos!$A$2:$A$1801,0)),0)</f>
        <v/>
      </c>
      <c r="G2427" s="25">
        <f>IF(F2427=0,"",YEAR(F2427))</f>
        <v/>
      </c>
      <c r="H2427" s="25">
        <f>IF(F2427=0,"",MONTH(F2427))</f>
        <v/>
      </c>
      <c r="I2427" s="25">
        <f>IFERROR(INDEX(Pedidos!$E$2:$E$1801,MATCH(B2427,Pedidos!$A$2:$A$1801,0)),"")</f>
        <v/>
      </c>
      <c r="J2427" s="25">
        <f>IFERROR(INDEX(Pedidos!$C$2:$C$1801,MATCH(B2427,Pedidos!$A$2:$A$1801,0)),"")</f>
        <v/>
      </c>
      <c r="K2427" s="25">
        <f>IFERROR(INDEX(Pedidos!$D$2:$D$1801,MATCH(B2427,Pedidos!$A$2:$A$1801,0)),"")</f>
        <v/>
      </c>
      <c r="L2427" s="25">
        <f>IFERROR(INDEX(Pedidos!$F$2:$F$1801,MATCH(B2427,Pedidos!$A$2:$A$1801,0)),"")</f>
        <v/>
      </c>
      <c r="M2427" s="26">
        <f>IFERROR(INDEX(Pedidos!$G$2:$G$1801,MATCH(B2427,Pedidos!$A$2:$A$1801,0)),0)</f>
        <v/>
      </c>
      <c r="N2427" s="25">
        <f>IFERROR(INDEX(Produtos!$B$2:$B$71,MATCH(C2427,Produtos!$A$2:$A$71,0)),"")</f>
        <v/>
      </c>
      <c r="O2427" s="25">
        <f>IFERROR(INDEX(Produtos!$C$2:$C$71,MATCH(C2427,Produtos!$A$2:$A$71,0)),"")</f>
        <v/>
      </c>
      <c r="P2427" s="25">
        <f>IFERROR(INDEX(Produtos!$D$2:$D$71,MATCH(C2427,Produtos!$A$2:$A$71,0)),0)</f>
        <v/>
      </c>
      <c r="Q2427" s="25">
        <f>IFERROR(INDEX(Produtos!$E$2:$E$71,MATCH(C2427,Produtos!$A$2:$A$71,0)),0)</f>
        <v/>
      </c>
      <c r="R2427" s="27">
        <f>D2427*Q2427</f>
        <v/>
      </c>
      <c r="S2427" s="27">
        <f>R2427*E2427</f>
        <v/>
      </c>
      <c r="T2427" s="27">
        <f>(R2427-S2427)*M2427</f>
        <v/>
      </c>
      <c r="U2427" s="27">
        <f>R2427-S2427-T2427</f>
        <v/>
      </c>
      <c r="V2427" s="27">
        <f>D2427*P2427</f>
        <v/>
      </c>
      <c r="W2427" s="27">
        <f>U2427-V2427</f>
        <v/>
      </c>
      <c r="X2427" s="28">
        <f>IFERROR(W2427/U2427,0)</f>
        <v/>
      </c>
    </row>
    <row r="2428">
      <c r="A2428" s="21">
        <f>ItensPedido!A2428</f>
        <v/>
      </c>
      <c r="B2428" s="21">
        <f>ItensPedido!B2428</f>
        <v/>
      </c>
      <c r="C2428" s="21">
        <f>ItensPedido!C2428</f>
        <v/>
      </c>
      <c r="D2428" s="21">
        <f>ItensPedido!D2428</f>
        <v/>
      </c>
      <c r="E2428" s="22">
        <f>ItensPedido!E2428</f>
        <v/>
      </c>
      <c r="F2428" s="21">
        <f>IFERROR(INDEX(Pedidos!$B$2:$B$1801,MATCH(B2428,Pedidos!$A$2:$A$1801,0)),0)</f>
        <v/>
      </c>
      <c r="G2428" s="21">
        <f>IF(F2428=0,"",YEAR(F2428))</f>
        <v/>
      </c>
      <c r="H2428" s="21">
        <f>IF(F2428=0,"",MONTH(F2428))</f>
        <v/>
      </c>
      <c r="I2428" s="21">
        <f>IFERROR(INDEX(Pedidos!$E$2:$E$1801,MATCH(B2428,Pedidos!$A$2:$A$1801,0)),"")</f>
        <v/>
      </c>
      <c r="J2428" s="21">
        <f>IFERROR(INDEX(Pedidos!$C$2:$C$1801,MATCH(B2428,Pedidos!$A$2:$A$1801,0)),"")</f>
        <v/>
      </c>
      <c r="K2428" s="21">
        <f>IFERROR(INDEX(Pedidos!$D$2:$D$1801,MATCH(B2428,Pedidos!$A$2:$A$1801,0)),"")</f>
        <v/>
      </c>
      <c r="L2428" s="21">
        <f>IFERROR(INDEX(Pedidos!$F$2:$F$1801,MATCH(B2428,Pedidos!$A$2:$A$1801,0)),"")</f>
        <v/>
      </c>
      <c r="M2428" s="22">
        <f>IFERROR(INDEX(Pedidos!$G$2:$G$1801,MATCH(B2428,Pedidos!$A$2:$A$1801,0)),0)</f>
        <v/>
      </c>
      <c r="N2428" s="21">
        <f>IFERROR(INDEX(Produtos!$B$2:$B$71,MATCH(C2428,Produtos!$A$2:$A$71,0)),"")</f>
        <v/>
      </c>
      <c r="O2428" s="21">
        <f>IFERROR(INDEX(Produtos!$C$2:$C$71,MATCH(C2428,Produtos!$A$2:$A$71,0)),"")</f>
        <v/>
      </c>
      <c r="P2428" s="21">
        <f>IFERROR(INDEX(Produtos!$D$2:$D$71,MATCH(C2428,Produtos!$A$2:$A$71,0)),0)</f>
        <v/>
      </c>
      <c r="Q2428" s="21">
        <f>IFERROR(INDEX(Produtos!$E$2:$E$71,MATCH(C2428,Produtos!$A$2:$A$71,0)),0)</f>
        <v/>
      </c>
      <c r="R2428" s="23">
        <f>D2428*Q2428</f>
        <v/>
      </c>
      <c r="S2428" s="23">
        <f>R2428*E2428</f>
        <v/>
      </c>
      <c r="T2428" s="23">
        <f>(R2428-S2428)*M2428</f>
        <v/>
      </c>
      <c r="U2428" s="23">
        <f>R2428-S2428-T2428</f>
        <v/>
      </c>
      <c r="V2428" s="23">
        <f>D2428*P2428</f>
        <v/>
      </c>
      <c r="W2428" s="23">
        <f>U2428-V2428</f>
        <v/>
      </c>
      <c r="X2428" s="24">
        <f>IFERROR(W2428/U2428,0)</f>
        <v/>
      </c>
    </row>
    <row r="2429">
      <c r="A2429" s="25">
        <f>ItensPedido!A2429</f>
        <v/>
      </c>
      <c r="B2429" s="25">
        <f>ItensPedido!B2429</f>
        <v/>
      </c>
      <c r="C2429" s="25">
        <f>ItensPedido!C2429</f>
        <v/>
      </c>
      <c r="D2429" s="25">
        <f>ItensPedido!D2429</f>
        <v/>
      </c>
      <c r="E2429" s="26">
        <f>ItensPedido!E2429</f>
        <v/>
      </c>
      <c r="F2429" s="25">
        <f>IFERROR(INDEX(Pedidos!$B$2:$B$1801,MATCH(B2429,Pedidos!$A$2:$A$1801,0)),0)</f>
        <v/>
      </c>
      <c r="G2429" s="25">
        <f>IF(F2429=0,"",YEAR(F2429))</f>
        <v/>
      </c>
      <c r="H2429" s="25">
        <f>IF(F2429=0,"",MONTH(F2429))</f>
        <v/>
      </c>
      <c r="I2429" s="25">
        <f>IFERROR(INDEX(Pedidos!$E$2:$E$1801,MATCH(B2429,Pedidos!$A$2:$A$1801,0)),"")</f>
        <v/>
      </c>
      <c r="J2429" s="25">
        <f>IFERROR(INDEX(Pedidos!$C$2:$C$1801,MATCH(B2429,Pedidos!$A$2:$A$1801,0)),"")</f>
        <v/>
      </c>
      <c r="K2429" s="25">
        <f>IFERROR(INDEX(Pedidos!$D$2:$D$1801,MATCH(B2429,Pedidos!$A$2:$A$1801,0)),"")</f>
        <v/>
      </c>
      <c r="L2429" s="25">
        <f>IFERROR(INDEX(Pedidos!$F$2:$F$1801,MATCH(B2429,Pedidos!$A$2:$A$1801,0)),"")</f>
        <v/>
      </c>
      <c r="M2429" s="26">
        <f>IFERROR(INDEX(Pedidos!$G$2:$G$1801,MATCH(B2429,Pedidos!$A$2:$A$1801,0)),0)</f>
        <v/>
      </c>
      <c r="N2429" s="25">
        <f>IFERROR(INDEX(Produtos!$B$2:$B$71,MATCH(C2429,Produtos!$A$2:$A$71,0)),"")</f>
        <v/>
      </c>
      <c r="O2429" s="25">
        <f>IFERROR(INDEX(Produtos!$C$2:$C$71,MATCH(C2429,Produtos!$A$2:$A$71,0)),"")</f>
        <v/>
      </c>
      <c r="P2429" s="25">
        <f>IFERROR(INDEX(Produtos!$D$2:$D$71,MATCH(C2429,Produtos!$A$2:$A$71,0)),0)</f>
        <v/>
      </c>
      <c r="Q2429" s="25">
        <f>IFERROR(INDEX(Produtos!$E$2:$E$71,MATCH(C2429,Produtos!$A$2:$A$71,0)),0)</f>
        <v/>
      </c>
      <c r="R2429" s="27">
        <f>D2429*Q2429</f>
        <v/>
      </c>
      <c r="S2429" s="27">
        <f>R2429*E2429</f>
        <v/>
      </c>
      <c r="T2429" s="27">
        <f>(R2429-S2429)*M2429</f>
        <v/>
      </c>
      <c r="U2429" s="27">
        <f>R2429-S2429-T2429</f>
        <v/>
      </c>
      <c r="V2429" s="27">
        <f>D2429*P2429</f>
        <v/>
      </c>
      <c r="W2429" s="27">
        <f>U2429-V2429</f>
        <v/>
      </c>
      <c r="X2429" s="28">
        <f>IFERROR(W2429/U2429,0)</f>
        <v/>
      </c>
    </row>
    <row r="2430">
      <c r="A2430" s="21">
        <f>ItensPedido!A2430</f>
        <v/>
      </c>
      <c r="B2430" s="21">
        <f>ItensPedido!B2430</f>
        <v/>
      </c>
      <c r="C2430" s="21">
        <f>ItensPedido!C2430</f>
        <v/>
      </c>
      <c r="D2430" s="21">
        <f>ItensPedido!D2430</f>
        <v/>
      </c>
      <c r="E2430" s="22">
        <f>ItensPedido!E2430</f>
        <v/>
      </c>
      <c r="F2430" s="21">
        <f>IFERROR(INDEX(Pedidos!$B$2:$B$1801,MATCH(B2430,Pedidos!$A$2:$A$1801,0)),0)</f>
        <v/>
      </c>
      <c r="G2430" s="21">
        <f>IF(F2430=0,"",YEAR(F2430))</f>
        <v/>
      </c>
      <c r="H2430" s="21">
        <f>IF(F2430=0,"",MONTH(F2430))</f>
        <v/>
      </c>
      <c r="I2430" s="21">
        <f>IFERROR(INDEX(Pedidos!$E$2:$E$1801,MATCH(B2430,Pedidos!$A$2:$A$1801,0)),"")</f>
        <v/>
      </c>
      <c r="J2430" s="21">
        <f>IFERROR(INDEX(Pedidos!$C$2:$C$1801,MATCH(B2430,Pedidos!$A$2:$A$1801,0)),"")</f>
        <v/>
      </c>
      <c r="K2430" s="21">
        <f>IFERROR(INDEX(Pedidos!$D$2:$D$1801,MATCH(B2430,Pedidos!$A$2:$A$1801,0)),"")</f>
        <v/>
      </c>
      <c r="L2430" s="21">
        <f>IFERROR(INDEX(Pedidos!$F$2:$F$1801,MATCH(B2430,Pedidos!$A$2:$A$1801,0)),"")</f>
        <v/>
      </c>
      <c r="M2430" s="22">
        <f>IFERROR(INDEX(Pedidos!$G$2:$G$1801,MATCH(B2430,Pedidos!$A$2:$A$1801,0)),0)</f>
        <v/>
      </c>
      <c r="N2430" s="21">
        <f>IFERROR(INDEX(Produtos!$B$2:$B$71,MATCH(C2430,Produtos!$A$2:$A$71,0)),"")</f>
        <v/>
      </c>
      <c r="O2430" s="21">
        <f>IFERROR(INDEX(Produtos!$C$2:$C$71,MATCH(C2430,Produtos!$A$2:$A$71,0)),"")</f>
        <v/>
      </c>
      <c r="P2430" s="21">
        <f>IFERROR(INDEX(Produtos!$D$2:$D$71,MATCH(C2430,Produtos!$A$2:$A$71,0)),0)</f>
        <v/>
      </c>
      <c r="Q2430" s="21">
        <f>IFERROR(INDEX(Produtos!$E$2:$E$71,MATCH(C2430,Produtos!$A$2:$A$71,0)),0)</f>
        <v/>
      </c>
      <c r="R2430" s="23">
        <f>D2430*Q2430</f>
        <v/>
      </c>
      <c r="S2430" s="23">
        <f>R2430*E2430</f>
        <v/>
      </c>
      <c r="T2430" s="23">
        <f>(R2430-S2430)*M2430</f>
        <v/>
      </c>
      <c r="U2430" s="23">
        <f>R2430-S2430-T2430</f>
        <v/>
      </c>
      <c r="V2430" s="23">
        <f>D2430*P2430</f>
        <v/>
      </c>
      <c r="W2430" s="23">
        <f>U2430-V2430</f>
        <v/>
      </c>
      <c r="X2430" s="24">
        <f>IFERROR(W2430/U2430,0)</f>
        <v/>
      </c>
    </row>
    <row r="2431">
      <c r="A2431" s="25">
        <f>ItensPedido!A2431</f>
        <v/>
      </c>
      <c r="B2431" s="25">
        <f>ItensPedido!B2431</f>
        <v/>
      </c>
      <c r="C2431" s="25">
        <f>ItensPedido!C2431</f>
        <v/>
      </c>
      <c r="D2431" s="25">
        <f>ItensPedido!D2431</f>
        <v/>
      </c>
      <c r="E2431" s="26">
        <f>ItensPedido!E2431</f>
        <v/>
      </c>
      <c r="F2431" s="25">
        <f>IFERROR(INDEX(Pedidos!$B$2:$B$1801,MATCH(B2431,Pedidos!$A$2:$A$1801,0)),0)</f>
        <v/>
      </c>
      <c r="G2431" s="25">
        <f>IF(F2431=0,"",YEAR(F2431))</f>
        <v/>
      </c>
      <c r="H2431" s="25">
        <f>IF(F2431=0,"",MONTH(F2431))</f>
        <v/>
      </c>
      <c r="I2431" s="25">
        <f>IFERROR(INDEX(Pedidos!$E$2:$E$1801,MATCH(B2431,Pedidos!$A$2:$A$1801,0)),"")</f>
        <v/>
      </c>
      <c r="J2431" s="25">
        <f>IFERROR(INDEX(Pedidos!$C$2:$C$1801,MATCH(B2431,Pedidos!$A$2:$A$1801,0)),"")</f>
        <v/>
      </c>
      <c r="K2431" s="25">
        <f>IFERROR(INDEX(Pedidos!$D$2:$D$1801,MATCH(B2431,Pedidos!$A$2:$A$1801,0)),"")</f>
        <v/>
      </c>
      <c r="L2431" s="25">
        <f>IFERROR(INDEX(Pedidos!$F$2:$F$1801,MATCH(B2431,Pedidos!$A$2:$A$1801,0)),"")</f>
        <v/>
      </c>
      <c r="M2431" s="26">
        <f>IFERROR(INDEX(Pedidos!$G$2:$G$1801,MATCH(B2431,Pedidos!$A$2:$A$1801,0)),0)</f>
        <v/>
      </c>
      <c r="N2431" s="25">
        <f>IFERROR(INDEX(Produtos!$B$2:$B$71,MATCH(C2431,Produtos!$A$2:$A$71,0)),"")</f>
        <v/>
      </c>
      <c r="O2431" s="25">
        <f>IFERROR(INDEX(Produtos!$C$2:$C$71,MATCH(C2431,Produtos!$A$2:$A$71,0)),"")</f>
        <v/>
      </c>
      <c r="P2431" s="25">
        <f>IFERROR(INDEX(Produtos!$D$2:$D$71,MATCH(C2431,Produtos!$A$2:$A$71,0)),0)</f>
        <v/>
      </c>
      <c r="Q2431" s="25">
        <f>IFERROR(INDEX(Produtos!$E$2:$E$71,MATCH(C2431,Produtos!$A$2:$A$71,0)),0)</f>
        <v/>
      </c>
      <c r="R2431" s="27">
        <f>D2431*Q2431</f>
        <v/>
      </c>
      <c r="S2431" s="27">
        <f>R2431*E2431</f>
        <v/>
      </c>
      <c r="T2431" s="27">
        <f>(R2431-S2431)*M2431</f>
        <v/>
      </c>
      <c r="U2431" s="27">
        <f>R2431-S2431-T2431</f>
        <v/>
      </c>
      <c r="V2431" s="27">
        <f>D2431*P2431</f>
        <v/>
      </c>
      <c r="W2431" s="27">
        <f>U2431-V2431</f>
        <v/>
      </c>
      <c r="X2431" s="28">
        <f>IFERROR(W2431/U2431,0)</f>
        <v/>
      </c>
    </row>
    <row r="2432">
      <c r="A2432" s="21">
        <f>ItensPedido!A2432</f>
        <v/>
      </c>
      <c r="B2432" s="21">
        <f>ItensPedido!B2432</f>
        <v/>
      </c>
      <c r="C2432" s="21">
        <f>ItensPedido!C2432</f>
        <v/>
      </c>
      <c r="D2432" s="21">
        <f>ItensPedido!D2432</f>
        <v/>
      </c>
      <c r="E2432" s="22">
        <f>ItensPedido!E2432</f>
        <v/>
      </c>
      <c r="F2432" s="21">
        <f>IFERROR(INDEX(Pedidos!$B$2:$B$1801,MATCH(B2432,Pedidos!$A$2:$A$1801,0)),0)</f>
        <v/>
      </c>
      <c r="G2432" s="21">
        <f>IF(F2432=0,"",YEAR(F2432))</f>
        <v/>
      </c>
      <c r="H2432" s="21">
        <f>IF(F2432=0,"",MONTH(F2432))</f>
        <v/>
      </c>
      <c r="I2432" s="21">
        <f>IFERROR(INDEX(Pedidos!$E$2:$E$1801,MATCH(B2432,Pedidos!$A$2:$A$1801,0)),"")</f>
        <v/>
      </c>
      <c r="J2432" s="21">
        <f>IFERROR(INDEX(Pedidos!$C$2:$C$1801,MATCH(B2432,Pedidos!$A$2:$A$1801,0)),"")</f>
        <v/>
      </c>
      <c r="K2432" s="21">
        <f>IFERROR(INDEX(Pedidos!$D$2:$D$1801,MATCH(B2432,Pedidos!$A$2:$A$1801,0)),"")</f>
        <v/>
      </c>
      <c r="L2432" s="21">
        <f>IFERROR(INDEX(Pedidos!$F$2:$F$1801,MATCH(B2432,Pedidos!$A$2:$A$1801,0)),"")</f>
        <v/>
      </c>
      <c r="M2432" s="22">
        <f>IFERROR(INDEX(Pedidos!$G$2:$G$1801,MATCH(B2432,Pedidos!$A$2:$A$1801,0)),0)</f>
        <v/>
      </c>
      <c r="N2432" s="21">
        <f>IFERROR(INDEX(Produtos!$B$2:$B$71,MATCH(C2432,Produtos!$A$2:$A$71,0)),"")</f>
        <v/>
      </c>
      <c r="O2432" s="21">
        <f>IFERROR(INDEX(Produtos!$C$2:$C$71,MATCH(C2432,Produtos!$A$2:$A$71,0)),"")</f>
        <v/>
      </c>
      <c r="P2432" s="21">
        <f>IFERROR(INDEX(Produtos!$D$2:$D$71,MATCH(C2432,Produtos!$A$2:$A$71,0)),0)</f>
        <v/>
      </c>
      <c r="Q2432" s="21">
        <f>IFERROR(INDEX(Produtos!$E$2:$E$71,MATCH(C2432,Produtos!$A$2:$A$71,0)),0)</f>
        <v/>
      </c>
      <c r="R2432" s="23">
        <f>D2432*Q2432</f>
        <v/>
      </c>
      <c r="S2432" s="23">
        <f>R2432*E2432</f>
        <v/>
      </c>
      <c r="T2432" s="23">
        <f>(R2432-S2432)*M2432</f>
        <v/>
      </c>
      <c r="U2432" s="23">
        <f>R2432-S2432-T2432</f>
        <v/>
      </c>
      <c r="V2432" s="23">
        <f>D2432*P2432</f>
        <v/>
      </c>
      <c r="W2432" s="23">
        <f>U2432-V2432</f>
        <v/>
      </c>
      <c r="X2432" s="24">
        <f>IFERROR(W2432/U2432,0)</f>
        <v/>
      </c>
    </row>
    <row r="2433">
      <c r="A2433" s="25">
        <f>ItensPedido!A2433</f>
        <v/>
      </c>
      <c r="B2433" s="25">
        <f>ItensPedido!B2433</f>
        <v/>
      </c>
      <c r="C2433" s="25">
        <f>ItensPedido!C2433</f>
        <v/>
      </c>
      <c r="D2433" s="25">
        <f>ItensPedido!D2433</f>
        <v/>
      </c>
      <c r="E2433" s="26">
        <f>ItensPedido!E2433</f>
        <v/>
      </c>
      <c r="F2433" s="25">
        <f>IFERROR(INDEX(Pedidos!$B$2:$B$1801,MATCH(B2433,Pedidos!$A$2:$A$1801,0)),0)</f>
        <v/>
      </c>
      <c r="G2433" s="25">
        <f>IF(F2433=0,"",YEAR(F2433))</f>
        <v/>
      </c>
      <c r="H2433" s="25">
        <f>IF(F2433=0,"",MONTH(F2433))</f>
        <v/>
      </c>
      <c r="I2433" s="25">
        <f>IFERROR(INDEX(Pedidos!$E$2:$E$1801,MATCH(B2433,Pedidos!$A$2:$A$1801,0)),"")</f>
        <v/>
      </c>
      <c r="J2433" s="25">
        <f>IFERROR(INDEX(Pedidos!$C$2:$C$1801,MATCH(B2433,Pedidos!$A$2:$A$1801,0)),"")</f>
        <v/>
      </c>
      <c r="K2433" s="25">
        <f>IFERROR(INDEX(Pedidos!$D$2:$D$1801,MATCH(B2433,Pedidos!$A$2:$A$1801,0)),"")</f>
        <v/>
      </c>
      <c r="L2433" s="25">
        <f>IFERROR(INDEX(Pedidos!$F$2:$F$1801,MATCH(B2433,Pedidos!$A$2:$A$1801,0)),"")</f>
        <v/>
      </c>
      <c r="M2433" s="26">
        <f>IFERROR(INDEX(Pedidos!$G$2:$G$1801,MATCH(B2433,Pedidos!$A$2:$A$1801,0)),0)</f>
        <v/>
      </c>
      <c r="N2433" s="25">
        <f>IFERROR(INDEX(Produtos!$B$2:$B$71,MATCH(C2433,Produtos!$A$2:$A$71,0)),"")</f>
        <v/>
      </c>
      <c r="O2433" s="25">
        <f>IFERROR(INDEX(Produtos!$C$2:$C$71,MATCH(C2433,Produtos!$A$2:$A$71,0)),"")</f>
        <v/>
      </c>
      <c r="P2433" s="25">
        <f>IFERROR(INDEX(Produtos!$D$2:$D$71,MATCH(C2433,Produtos!$A$2:$A$71,0)),0)</f>
        <v/>
      </c>
      <c r="Q2433" s="25">
        <f>IFERROR(INDEX(Produtos!$E$2:$E$71,MATCH(C2433,Produtos!$A$2:$A$71,0)),0)</f>
        <v/>
      </c>
      <c r="R2433" s="27">
        <f>D2433*Q2433</f>
        <v/>
      </c>
      <c r="S2433" s="27">
        <f>R2433*E2433</f>
        <v/>
      </c>
      <c r="T2433" s="27">
        <f>(R2433-S2433)*M2433</f>
        <v/>
      </c>
      <c r="U2433" s="27">
        <f>R2433-S2433-T2433</f>
        <v/>
      </c>
      <c r="V2433" s="27">
        <f>D2433*P2433</f>
        <v/>
      </c>
      <c r="W2433" s="27">
        <f>U2433-V2433</f>
        <v/>
      </c>
      <c r="X2433" s="28">
        <f>IFERROR(W2433/U2433,0)</f>
        <v/>
      </c>
    </row>
    <row r="2434">
      <c r="A2434" s="21">
        <f>ItensPedido!A2434</f>
        <v/>
      </c>
      <c r="B2434" s="21">
        <f>ItensPedido!B2434</f>
        <v/>
      </c>
      <c r="C2434" s="21">
        <f>ItensPedido!C2434</f>
        <v/>
      </c>
      <c r="D2434" s="21">
        <f>ItensPedido!D2434</f>
        <v/>
      </c>
      <c r="E2434" s="22">
        <f>ItensPedido!E2434</f>
        <v/>
      </c>
      <c r="F2434" s="21">
        <f>IFERROR(INDEX(Pedidos!$B$2:$B$1801,MATCH(B2434,Pedidos!$A$2:$A$1801,0)),0)</f>
        <v/>
      </c>
      <c r="G2434" s="21">
        <f>IF(F2434=0,"",YEAR(F2434))</f>
        <v/>
      </c>
      <c r="H2434" s="21">
        <f>IF(F2434=0,"",MONTH(F2434))</f>
        <v/>
      </c>
      <c r="I2434" s="21">
        <f>IFERROR(INDEX(Pedidos!$E$2:$E$1801,MATCH(B2434,Pedidos!$A$2:$A$1801,0)),"")</f>
        <v/>
      </c>
      <c r="J2434" s="21">
        <f>IFERROR(INDEX(Pedidos!$C$2:$C$1801,MATCH(B2434,Pedidos!$A$2:$A$1801,0)),"")</f>
        <v/>
      </c>
      <c r="K2434" s="21">
        <f>IFERROR(INDEX(Pedidos!$D$2:$D$1801,MATCH(B2434,Pedidos!$A$2:$A$1801,0)),"")</f>
        <v/>
      </c>
      <c r="L2434" s="21">
        <f>IFERROR(INDEX(Pedidos!$F$2:$F$1801,MATCH(B2434,Pedidos!$A$2:$A$1801,0)),"")</f>
        <v/>
      </c>
      <c r="M2434" s="22">
        <f>IFERROR(INDEX(Pedidos!$G$2:$G$1801,MATCH(B2434,Pedidos!$A$2:$A$1801,0)),0)</f>
        <v/>
      </c>
      <c r="N2434" s="21">
        <f>IFERROR(INDEX(Produtos!$B$2:$B$71,MATCH(C2434,Produtos!$A$2:$A$71,0)),"")</f>
        <v/>
      </c>
      <c r="O2434" s="21">
        <f>IFERROR(INDEX(Produtos!$C$2:$C$71,MATCH(C2434,Produtos!$A$2:$A$71,0)),"")</f>
        <v/>
      </c>
      <c r="P2434" s="21">
        <f>IFERROR(INDEX(Produtos!$D$2:$D$71,MATCH(C2434,Produtos!$A$2:$A$71,0)),0)</f>
        <v/>
      </c>
      <c r="Q2434" s="21">
        <f>IFERROR(INDEX(Produtos!$E$2:$E$71,MATCH(C2434,Produtos!$A$2:$A$71,0)),0)</f>
        <v/>
      </c>
      <c r="R2434" s="23">
        <f>D2434*Q2434</f>
        <v/>
      </c>
      <c r="S2434" s="23">
        <f>R2434*E2434</f>
        <v/>
      </c>
      <c r="T2434" s="23">
        <f>(R2434-S2434)*M2434</f>
        <v/>
      </c>
      <c r="U2434" s="23">
        <f>R2434-S2434-T2434</f>
        <v/>
      </c>
      <c r="V2434" s="23">
        <f>D2434*P2434</f>
        <v/>
      </c>
      <c r="W2434" s="23">
        <f>U2434-V2434</f>
        <v/>
      </c>
      <c r="X2434" s="24">
        <f>IFERROR(W2434/U2434,0)</f>
        <v/>
      </c>
    </row>
    <row r="2435">
      <c r="A2435" s="25">
        <f>ItensPedido!A2435</f>
        <v/>
      </c>
      <c r="B2435" s="25">
        <f>ItensPedido!B2435</f>
        <v/>
      </c>
      <c r="C2435" s="25">
        <f>ItensPedido!C2435</f>
        <v/>
      </c>
      <c r="D2435" s="25">
        <f>ItensPedido!D2435</f>
        <v/>
      </c>
      <c r="E2435" s="26">
        <f>ItensPedido!E2435</f>
        <v/>
      </c>
      <c r="F2435" s="25">
        <f>IFERROR(INDEX(Pedidos!$B$2:$B$1801,MATCH(B2435,Pedidos!$A$2:$A$1801,0)),0)</f>
        <v/>
      </c>
      <c r="G2435" s="25">
        <f>IF(F2435=0,"",YEAR(F2435))</f>
        <v/>
      </c>
      <c r="H2435" s="25">
        <f>IF(F2435=0,"",MONTH(F2435))</f>
        <v/>
      </c>
      <c r="I2435" s="25">
        <f>IFERROR(INDEX(Pedidos!$E$2:$E$1801,MATCH(B2435,Pedidos!$A$2:$A$1801,0)),"")</f>
        <v/>
      </c>
      <c r="J2435" s="25">
        <f>IFERROR(INDEX(Pedidos!$C$2:$C$1801,MATCH(B2435,Pedidos!$A$2:$A$1801,0)),"")</f>
        <v/>
      </c>
      <c r="K2435" s="25">
        <f>IFERROR(INDEX(Pedidos!$D$2:$D$1801,MATCH(B2435,Pedidos!$A$2:$A$1801,0)),"")</f>
        <v/>
      </c>
      <c r="L2435" s="25">
        <f>IFERROR(INDEX(Pedidos!$F$2:$F$1801,MATCH(B2435,Pedidos!$A$2:$A$1801,0)),"")</f>
        <v/>
      </c>
      <c r="M2435" s="26">
        <f>IFERROR(INDEX(Pedidos!$G$2:$G$1801,MATCH(B2435,Pedidos!$A$2:$A$1801,0)),0)</f>
        <v/>
      </c>
      <c r="N2435" s="25">
        <f>IFERROR(INDEX(Produtos!$B$2:$B$71,MATCH(C2435,Produtos!$A$2:$A$71,0)),"")</f>
        <v/>
      </c>
      <c r="O2435" s="25">
        <f>IFERROR(INDEX(Produtos!$C$2:$C$71,MATCH(C2435,Produtos!$A$2:$A$71,0)),"")</f>
        <v/>
      </c>
      <c r="P2435" s="25">
        <f>IFERROR(INDEX(Produtos!$D$2:$D$71,MATCH(C2435,Produtos!$A$2:$A$71,0)),0)</f>
        <v/>
      </c>
      <c r="Q2435" s="25">
        <f>IFERROR(INDEX(Produtos!$E$2:$E$71,MATCH(C2435,Produtos!$A$2:$A$71,0)),0)</f>
        <v/>
      </c>
      <c r="R2435" s="27">
        <f>D2435*Q2435</f>
        <v/>
      </c>
      <c r="S2435" s="27">
        <f>R2435*E2435</f>
        <v/>
      </c>
      <c r="T2435" s="27">
        <f>(R2435-S2435)*M2435</f>
        <v/>
      </c>
      <c r="U2435" s="27">
        <f>R2435-S2435-T2435</f>
        <v/>
      </c>
      <c r="V2435" s="27">
        <f>D2435*P2435</f>
        <v/>
      </c>
      <c r="W2435" s="27">
        <f>U2435-V2435</f>
        <v/>
      </c>
      <c r="X2435" s="28">
        <f>IFERROR(W2435/U2435,0)</f>
        <v/>
      </c>
    </row>
    <row r="2436">
      <c r="A2436" s="21">
        <f>ItensPedido!A2436</f>
        <v/>
      </c>
      <c r="B2436" s="21">
        <f>ItensPedido!B2436</f>
        <v/>
      </c>
      <c r="C2436" s="21">
        <f>ItensPedido!C2436</f>
        <v/>
      </c>
      <c r="D2436" s="21">
        <f>ItensPedido!D2436</f>
        <v/>
      </c>
      <c r="E2436" s="22">
        <f>ItensPedido!E2436</f>
        <v/>
      </c>
      <c r="F2436" s="21">
        <f>IFERROR(INDEX(Pedidos!$B$2:$B$1801,MATCH(B2436,Pedidos!$A$2:$A$1801,0)),0)</f>
        <v/>
      </c>
      <c r="G2436" s="21">
        <f>IF(F2436=0,"",YEAR(F2436))</f>
        <v/>
      </c>
      <c r="H2436" s="21">
        <f>IF(F2436=0,"",MONTH(F2436))</f>
        <v/>
      </c>
      <c r="I2436" s="21">
        <f>IFERROR(INDEX(Pedidos!$E$2:$E$1801,MATCH(B2436,Pedidos!$A$2:$A$1801,0)),"")</f>
        <v/>
      </c>
      <c r="J2436" s="21">
        <f>IFERROR(INDEX(Pedidos!$C$2:$C$1801,MATCH(B2436,Pedidos!$A$2:$A$1801,0)),"")</f>
        <v/>
      </c>
      <c r="K2436" s="21">
        <f>IFERROR(INDEX(Pedidos!$D$2:$D$1801,MATCH(B2436,Pedidos!$A$2:$A$1801,0)),"")</f>
        <v/>
      </c>
      <c r="L2436" s="21">
        <f>IFERROR(INDEX(Pedidos!$F$2:$F$1801,MATCH(B2436,Pedidos!$A$2:$A$1801,0)),"")</f>
        <v/>
      </c>
      <c r="M2436" s="22">
        <f>IFERROR(INDEX(Pedidos!$G$2:$G$1801,MATCH(B2436,Pedidos!$A$2:$A$1801,0)),0)</f>
        <v/>
      </c>
      <c r="N2436" s="21">
        <f>IFERROR(INDEX(Produtos!$B$2:$B$71,MATCH(C2436,Produtos!$A$2:$A$71,0)),"")</f>
        <v/>
      </c>
      <c r="O2436" s="21">
        <f>IFERROR(INDEX(Produtos!$C$2:$C$71,MATCH(C2436,Produtos!$A$2:$A$71,0)),"")</f>
        <v/>
      </c>
      <c r="P2436" s="21">
        <f>IFERROR(INDEX(Produtos!$D$2:$D$71,MATCH(C2436,Produtos!$A$2:$A$71,0)),0)</f>
        <v/>
      </c>
      <c r="Q2436" s="21">
        <f>IFERROR(INDEX(Produtos!$E$2:$E$71,MATCH(C2436,Produtos!$A$2:$A$71,0)),0)</f>
        <v/>
      </c>
      <c r="R2436" s="23">
        <f>D2436*Q2436</f>
        <v/>
      </c>
      <c r="S2436" s="23">
        <f>R2436*E2436</f>
        <v/>
      </c>
      <c r="T2436" s="23">
        <f>(R2436-S2436)*M2436</f>
        <v/>
      </c>
      <c r="U2436" s="23">
        <f>R2436-S2436-T2436</f>
        <v/>
      </c>
      <c r="V2436" s="23">
        <f>D2436*P2436</f>
        <v/>
      </c>
      <c r="W2436" s="23">
        <f>U2436-V2436</f>
        <v/>
      </c>
      <c r="X2436" s="24">
        <f>IFERROR(W2436/U2436,0)</f>
        <v/>
      </c>
    </row>
    <row r="2437">
      <c r="A2437" s="25">
        <f>ItensPedido!A2437</f>
        <v/>
      </c>
      <c r="B2437" s="25">
        <f>ItensPedido!B2437</f>
        <v/>
      </c>
      <c r="C2437" s="25">
        <f>ItensPedido!C2437</f>
        <v/>
      </c>
      <c r="D2437" s="25">
        <f>ItensPedido!D2437</f>
        <v/>
      </c>
      <c r="E2437" s="26">
        <f>ItensPedido!E2437</f>
        <v/>
      </c>
      <c r="F2437" s="25">
        <f>IFERROR(INDEX(Pedidos!$B$2:$B$1801,MATCH(B2437,Pedidos!$A$2:$A$1801,0)),0)</f>
        <v/>
      </c>
      <c r="G2437" s="25">
        <f>IF(F2437=0,"",YEAR(F2437))</f>
        <v/>
      </c>
      <c r="H2437" s="25">
        <f>IF(F2437=0,"",MONTH(F2437))</f>
        <v/>
      </c>
      <c r="I2437" s="25">
        <f>IFERROR(INDEX(Pedidos!$E$2:$E$1801,MATCH(B2437,Pedidos!$A$2:$A$1801,0)),"")</f>
        <v/>
      </c>
      <c r="J2437" s="25">
        <f>IFERROR(INDEX(Pedidos!$C$2:$C$1801,MATCH(B2437,Pedidos!$A$2:$A$1801,0)),"")</f>
        <v/>
      </c>
      <c r="K2437" s="25">
        <f>IFERROR(INDEX(Pedidos!$D$2:$D$1801,MATCH(B2437,Pedidos!$A$2:$A$1801,0)),"")</f>
        <v/>
      </c>
      <c r="L2437" s="25">
        <f>IFERROR(INDEX(Pedidos!$F$2:$F$1801,MATCH(B2437,Pedidos!$A$2:$A$1801,0)),"")</f>
        <v/>
      </c>
      <c r="M2437" s="26">
        <f>IFERROR(INDEX(Pedidos!$G$2:$G$1801,MATCH(B2437,Pedidos!$A$2:$A$1801,0)),0)</f>
        <v/>
      </c>
      <c r="N2437" s="25">
        <f>IFERROR(INDEX(Produtos!$B$2:$B$71,MATCH(C2437,Produtos!$A$2:$A$71,0)),"")</f>
        <v/>
      </c>
      <c r="O2437" s="25">
        <f>IFERROR(INDEX(Produtos!$C$2:$C$71,MATCH(C2437,Produtos!$A$2:$A$71,0)),"")</f>
        <v/>
      </c>
      <c r="P2437" s="25">
        <f>IFERROR(INDEX(Produtos!$D$2:$D$71,MATCH(C2437,Produtos!$A$2:$A$71,0)),0)</f>
        <v/>
      </c>
      <c r="Q2437" s="25">
        <f>IFERROR(INDEX(Produtos!$E$2:$E$71,MATCH(C2437,Produtos!$A$2:$A$71,0)),0)</f>
        <v/>
      </c>
      <c r="R2437" s="27">
        <f>D2437*Q2437</f>
        <v/>
      </c>
      <c r="S2437" s="27">
        <f>R2437*E2437</f>
        <v/>
      </c>
      <c r="T2437" s="27">
        <f>(R2437-S2437)*M2437</f>
        <v/>
      </c>
      <c r="U2437" s="27">
        <f>R2437-S2437-T2437</f>
        <v/>
      </c>
      <c r="V2437" s="27">
        <f>D2437*P2437</f>
        <v/>
      </c>
      <c r="W2437" s="27">
        <f>U2437-V2437</f>
        <v/>
      </c>
      <c r="X2437" s="28">
        <f>IFERROR(W2437/U2437,0)</f>
        <v/>
      </c>
    </row>
    <row r="2438">
      <c r="A2438" s="21">
        <f>ItensPedido!A2438</f>
        <v/>
      </c>
      <c r="B2438" s="21">
        <f>ItensPedido!B2438</f>
        <v/>
      </c>
      <c r="C2438" s="21">
        <f>ItensPedido!C2438</f>
        <v/>
      </c>
      <c r="D2438" s="21">
        <f>ItensPedido!D2438</f>
        <v/>
      </c>
      <c r="E2438" s="22">
        <f>ItensPedido!E2438</f>
        <v/>
      </c>
      <c r="F2438" s="21">
        <f>IFERROR(INDEX(Pedidos!$B$2:$B$1801,MATCH(B2438,Pedidos!$A$2:$A$1801,0)),0)</f>
        <v/>
      </c>
      <c r="G2438" s="21">
        <f>IF(F2438=0,"",YEAR(F2438))</f>
        <v/>
      </c>
      <c r="H2438" s="21">
        <f>IF(F2438=0,"",MONTH(F2438))</f>
        <v/>
      </c>
      <c r="I2438" s="21">
        <f>IFERROR(INDEX(Pedidos!$E$2:$E$1801,MATCH(B2438,Pedidos!$A$2:$A$1801,0)),"")</f>
        <v/>
      </c>
      <c r="J2438" s="21">
        <f>IFERROR(INDEX(Pedidos!$C$2:$C$1801,MATCH(B2438,Pedidos!$A$2:$A$1801,0)),"")</f>
        <v/>
      </c>
      <c r="K2438" s="21">
        <f>IFERROR(INDEX(Pedidos!$D$2:$D$1801,MATCH(B2438,Pedidos!$A$2:$A$1801,0)),"")</f>
        <v/>
      </c>
      <c r="L2438" s="21">
        <f>IFERROR(INDEX(Pedidos!$F$2:$F$1801,MATCH(B2438,Pedidos!$A$2:$A$1801,0)),"")</f>
        <v/>
      </c>
      <c r="M2438" s="22">
        <f>IFERROR(INDEX(Pedidos!$G$2:$G$1801,MATCH(B2438,Pedidos!$A$2:$A$1801,0)),0)</f>
        <v/>
      </c>
      <c r="N2438" s="21">
        <f>IFERROR(INDEX(Produtos!$B$2:$B$71,MATCH(C2438,Produtos!$A$2:$A$71,0)),"")</f>
        <v/>
      </c>
      <c r="O2438" s="21">
        <f>IFERROR(INDEX(Produtos!$C$2:$C$71,MATCH(C2438,Produtos!$A$2:$A$71,0)),"")</f>
        <v/>
      </c>
      <c r="P2438" s="21">
        <f>IFERROR(INDEX(Produtos!$D$2:$D$71,MATCH(C2438,Produtos!$A$2:$A$71,0)),0)</f>
        <v/>
      </c>
      <c r="Q2438" s="21">
        <f>IFERROR(INDEX(Produtos!$E$2:$E$71,MATCH(C2438,Produtos!$A$2:$A$71,0)),0)</f>
        <v/>
      </c>
      <c r="R2438" s="23">
        <f>D2438*Q2438</f>
        <v/>
      </c>
      <c r="S2438" s="23">
        <f>R2438*E2438</f>
        <v/>
      </c>
      <c r="T2438" s="23">
        <f>(R2438-S2438)*M2438</f>
        <v/>
      </c>
      <c r="U2438" s="23">
        <f>R2438-S2438-T2438</f>
        <v/>
      </c>
      <c r="V2438" s="23">
        <f>D2438*P2438</f>
        <v/>
      </c>
      <c r="W2438" s="23">
        <f>U2438-V2438</f>
        <v/>
      </c>
      <c r="X2438" s="24">
        <f>IFERROR(W2438/U2438,0)</f>
        <v/>
      </c>
    </row>
    <row r="2439">
      <c r="A2439" s="25">
        <f>ItensPedido!A2439</f>
        <v/>
      </c>
      <c r="B2439" s="25">
        <f>ItensPedido!B2439</f>
        <v/>
      </c>
      <c r="C2439" s="25">
        <f>ItensPedido!C2439</f>
        <v/>
      </c>
      <c r="D2439" s="25">
        <f>ItensPedido!D2439</f>
        <v/>
      </c>
      <c r="E2439" s="26">
        <f>ItensPedido!E2439</f>
        <v/>
      </c>
      <c r="F2439" s="25">
        <f>IFERROR(INDEX(Pedidos!$B$2:$B$1801,MATCH(B2439,Pedidos!$A$2:$A$1801,0)),0)</f>
        <v/>
      </c>
      <c r="G2439" s="25">
        <f>IF(F2439=0,"",YEAR(F2439))</f>
        <v/>
      </c>
      <c r="H2439" s="25">
        <f>IF(F2439=0,"",MONTH(F2439))</f>
        <v/>
      </c>
      <c r="I2439" s="25">
        <f>IFERROR(INDEX(Pedidos!$E$2:$E$1801,MATCH(B2439,Pedidos!$A$2:$A$1801,0)),"")</f>
        <v/>
      </c>
      <c r="J2439" s="25">
        <f>IFERROR(INDEX(Pedidos!$C$2:$C$1801,MATCH(B2439,Pedidos!$A$2:$A$1801,0)),"")</f>
        <v/>
      </c>
      <c r="K2439" s="25">
        <f>IFERROR(INDEX(Pedidos!$D$2:$D$1801,MATCH(B2439,Pedidos!$A$2:$A$1801,0)),"")</f>
        <v/>
      </c>
      <c r="L2439" s="25">
        <f>IFERROR(INDEX(Pedidos!$F$2:$F$1801,MATCH(B2439,Pedidos!$A$2:$A$1801,0)),"")</f>
        <v/>
      </c>
      <c r="M2439" s="26">
        <f>IFERROR(INDEX(Pedidos!$G$2:$G$1801,MATCH(B2439,Pedidos!$A$2:$A$1801,0)),0)</f>
        <v/>
      </c>
      <c r="N2439" s="25">
        <f>IFERROR(INDEX(Produtos!$B$2:$B$71,MATCH(C2439,Produtos!$A$2:$A$71,0)),"")</f>
        <v/>
      </c>
      <c r="O2439" s="25">
        <f>IFERROR(INDEX(Produtos!$C$2:$C$71,MATCH(C2439,Produtos!$A$2:$A$71,0)),"")</f>
        <v/>
      </c>
      <c r="P2439" s="25">
        <f>IFERROR(INDEX(Produtos!$D$2:$D$71,MATCH(C2439,Produtos!$A$2:$A$71,0)),0)</f>
        <v/>
      </c>
      <c r="Q2439" s="25">
        <f>IFERROR(INDEX(Produtos!$E$2:$E$71,MATCH(C2439,Produtos!$A$2:$A$71,0)),0)</f>
        <v/>
      </c>
      <c r="R2439" s="27">
        <f>D2439*Q2439</f>
        <v/>
      </c>
      <c r="S2439" s="27">
        <f>R2439*E2439</f>
        <v/>
      </c>
      <c r="T2439" s="27">
        <f>(R2439-S2439)*M2439</f>
        <v/>
      </c>
      <c r="U2439" s="27">
        <f>R2439-S2439-T2439</f>
        <v/>
      </c>
      <c r="V2439" s="27">
        <f>D2439*P2439</f>
        <v/>
      </c>
      <c r="W2439" s="27">
        <f>U2439-V2439</f>
        <v/>
      </c>
      <c r="X2439" s="28">
        <f>IFERROR(W2439/U2439,0)</f>
        <v/>
      </c>
    </row>
    <row r="2440">
      <c r="A2440" s="21">
        <f>ItensPedido!A2440</f>
        <v/>
      </c>
      <c r="B2440" s="21">
        <f>ItensPedido!B2440</f>
        <v/>
      </c>
      <c r="C2440" s="21">
        <f>ItensPedido!C2440</f>
        <v/>
      </c>
      <c r="D2440" s="21">
        <f>ItensPedido!D2440</f>
        <v/>
      </c>
      <c r="E2440" s="22">
        <f>ItensPedido!E2440</f>
        <v/>
      </c>
      <c r="F2440" s="21">
        <f>IFERROR(INDEX(Pedidos!$B$2:$B$1801,MATCH(B2440,Pedidos!$A$2:$A$1801,0)),0)</f>
        <v/>
      </c>
      <c r="G2440" s="21">
        <f>IF(F2440=0,"",YEAR(F2440))</f>
        <v/>
      </c>
      <c r="H2440" s="21">
        <f>IF(F2440=0,"",MONTH(F2440))</f>
        <v/>
      </c>
      <c r="I2440" s="21">
        <f>IFERROR(INDEX(Pedidos!$E$2:$E$1801,MATCH(B2440,Pedidos!$A$2:$A$1801,0)),"")</f>
        <v/>
      </c>
      <c r="J2440" s="21">
        <f>IFERROR(INDEX(Pedidos!$C$2:$C$1801,MATCH(B2440,Pedidos!$A$2:$A$1801,0)),"")</f>
        <v/>
      </c>
      <c r="K2440" s="21">
        <f>IFERROR(INDEX(Pedidos!$D$2:$D$1801,MATCH(B2440,Pedidos!$A$2:$A$1801,0)),"")</f>
        <v/>
      </c>
      <c r="L2440" s="21">
        <f>IFERROR(INDEX(Pedidos!$F$2:$F$1801,MATCH(B2440,Pedidos!$A$2:$A$1801,0)),"")</f>
        <v/>
      </c>
      <c r="M2440" s="22">
        <f>IFERROR(INDEX(Pedidos!$G$2:$G$1801,MATCH(B2440,Pedidos!$A$2:$A$1801,0)),0)</f>
        <v/>
      </c>
      <c r="N2440" s="21">
        <f>IFERROR(INDEX(Produtos!$B$2:$B$71,MATCH(C2440,Produtos!$A$2:$A$71,0)),"")</f>
        <v/>
      </c>
      <c r="O2440" s="21">
        <f>IFERROR(INDEX(Produtos!$C$2:$C$71,MATCH(C2440,Produtos!$A$2:$A$71,0)),"")</f>
        <v/>
      </c>
      <c r="P2440" s="21">
        <f>IFERROR(INDEX(Produtos!$D$2:$D$71,MATCH(C2440,Produtos!$A$2:$A$71,0)),0)</f>
        <v/>
      </c>
      <c r="Q2440" s="21">
        <f>IFERROR(INDEX(Produtos!$E$2:$E$71,MATCH(C2440,Produtos!$A$2:$A$71,0)),0)</f>
        <v/>
      </c>
      <c r="R2440" s="23">
        <f>D2440*Q2440</f>
        <v/>
      </c>
      <c r="S2440" s="23">
        <f>R2440*E2440</f>
        <v/>
      </c>
      <c r="T2440" s="23">
        <f>(R2440-S2440)*M2440</f>
        <v/>
      </c>
      <c r="U2440" s="23">
        <f>R2440-S2440-T2440</f>
        <v/>
      </c>
      <c r="V2440" s="23">
        <f>D2440*P2440</f>
        <v/>
      </c>
      <c r="W2440" s="23">
        <f>U2440-V2440</f>
        <v/>
      </c>
      <c r="X2440" s="24">
        <f>IFERROR(W2440/U2440,0)</f>
        <v/>
      </c>
    </row>
    <row r="2441">
      <c r="A2441" s="25">
        <f>ItensPedido!A2441</f>
        <v/>
      </c>
      <c r="B2441" s="25">
        <f>ItensPedido!B2441</f>
        <v/>
      </c>
      <c r="C2441" s="25">
        <f>ItensPedido!C2441</f>
        <v/>
      </c>
      <c r="D2441" s="25">
        <f>ItensPedido!D2441</f>
        <v/>
      </c>
      <c r="E2441" s="26">
        <f>ItensPedido!E2441</f>
        <v/>
      </c>
      <c r="F2441" s="25">
        <f>IFERROR(INDEX(Pedidos!$B$2:$B$1801,MATCH(B2441,Pedidos!$A$2:$A$1801,0)),0)</f>
        <v/>
      </c>
      <c r="G2441" s="25">
        <f>IF(F2441=0,"",YEAR(F2441))</f>
        <v/>
      </c>
      <c r="H2441" s="25">
        <f>IF(F2441=0,"",MONTH(F2441))</f>
        <v/>
      </c>
      <c r="I2441" s="25">
        <f>IFERROR(INDEX(Pedidos!$E$2:$E$1801,MATCH(B2441,Pedidos!$A$2:$A$1801,0)),"")</f>
        <v/>
      </c>
      <c r="J2441" s="25">
        <f>IFERROR(INDEX(Pedidos!$C$2:$C$1801,MATCH(B2441,Pedidos!$A$2:$A$1801,0)),"")</f>
        <v/>
      </c>
      <c r="K2441" s="25">
        <f>IFERROR(INDEX(Pedidos!$D$2:$D$1801,MATCH(B2441,Pedidos!$A$2:$A$1801,0)),"")</f>
        <v/>
      </c>
      <c r="L2441" s="25">
        <f>IFERROR(INDEX(Pedidos!$F$2:$F$1801,MATCH(B2441,Pedidos!$A$2:$A$1801,0)),"")</f>
        <v/>
      </c>
      <c r="M2441" s="26">
        <f>IFERROR(INDEX(Pedidos!$G$2:$G$1801,MATCH(B2441,Pedidos!$A$2:$A$1801,0)),0)</f>
        <v/>
      </c>
      <c r="N2441" s="25">
        <f>IFERROR(INDEX(Produtos!$B$2:$B$71,MATCH(C2441,Produtos!$A$2:$A$71,0)),"")</f>
        <v/>
      </c>
      <c r="O2441" s="25">
        <f>IFERROR(INDEX(Produtos!$C$2:$C$71,MATCH(C2441,Produtos!$A$2:$A$71,0)),"")</f>
        <v/>
      </c>
      <c r="P2441" s="25">
        <f>IFERROR(INDEX(Produtos!$D$2:$D$71,MATCH(C2441,Produtos!$A$2:$A$71,0)),0)</f>
        <v/>
      </c>
      <c r="Q2441" s="25">
        <f>IFERROR(INDEX(Produtos!$E$2:$E$71,MATCH(C2441,Produtos!$A$2:$A$71,0)),0)</f>
        <v/>
      </c>
      <c r="R2441" s="27">
        <f>D2441*Q2441</f>
        <v/>
      </c>
      <c r="S2441" s="27">
        <f>R2441*E2441</f>
        <v/>
      </c>
      <c r="T2441" s="27">
        <f>(R2441-S2441)*M2441</f>
        <v/>
      </c>
      <c r="U2441" s="27">
        <f>R2441-S2441-T2441</f>
        <v/>
      </c>
      <c r="V2441" s="27">
        <f>D2441*P2441</f>
        <v/>
      </c>
      <c r="W2441" s="27">
        <f>U2441-V2441</f>
        <v/>
      </c>
      <c r="X2441" s="28">
        <f>IFERROR(W2441/U2441,0)</f>
        <v/>
      </c>
    </row>
    <row r="2442">
      <c r="A2442" s="21">
        <f>ItensPedido!A2442</f>
        <v/>
      </c>
      <c r="B2442" s="21">
        <f>ItensPedido!B2442</f>
        <v/>
      </c>
      <c r="C2442" s="21">
        <f>ItensPedido!C2442</f>
        <v/>
      </c>
      <c r="D2442" s="21">
        <f>ItensPedido!D2442</f>
        <v/>
      </c>
      <c r="E2442" s="22">
        <f>ItensPedido!E2442</f>
        <v/>
      </c>
      <c r="F2442" s="21">
        <f>IFERROR(INDEX(Pedidos!$B$2:$B$1801,MATCH(B2442,Pedidos!$A$2:$A$1801,0)),0)</f>
        <v/>
      </c>
      <c r="G2442" s="21">
        <f>IF(F2442=0,"",YEAR(F2442))</f>
        <v/>
      </c>
      <c r="H2442" s="21">
        <f>IF(F2442=0,"",MONTH(F2442))</f>
        <v/>
      </c>
      <c r="I2442" s="21">
        <f>IFERROR(INDEX(Pedidos!$E$2:$E$1801,MATCH(B2442,Pedidos!$A$2:$A$1801,0)),"")</f>
        <v/>
      </c>
      <c r="J2442" s="21">
        <f>IFERROR(INDEX(Pedidos!$C$2:$C$1801,MATCH(B2442,Pedidos!$A$2:$A$1801,0)),"")</f>
        <v/>
      </c>
      <c r="K2442" s="21">
        <f>IFERROR(INDEX(Pedidos!$D$2:$D$1801,MATCH(B2442,Pedidos!$A$2:$A$1801,0)),"")</f>
        <v/>
      </c>
      <c r="L2442" s="21">
        <f>IFERROR(INDEX(Pedidos!$F$2:$F$1801,MATCH(B2442,Pedidos!$A$2:$A$1801,0)),"")</f>
        <v/>
      </c>
      <c r="M2442" s="22">
        <f>IFERROR(INDEX(Pedidos!$G$2:$G$1801,MATCH(B2442,Pedidos!$A$2:$A$1801,0)),0)</f>
        <v/>
      </c>
      <c r="N2442" s="21">
        <f>IFERROR(INDEX(Produtos!$B$2:$B$71,MATCH(C2442,Produtos!$A$2:$A$71,0)),"")</f>
        <v/>
      </c>
      <c r="O2442" s="21">
        <f>IFERROR(INDEX(Produtos!$C$2:$C$71,MATCH(C2442,Produtos!$A$2:$A$71,0)),"")</f>
        <v/>
      </c>
      <c r="P2442" s="21">
        <f>IFERROR(INDEX(Produtos!$D$2:$D$71,MATCH(C2442,Produtos!$A$2:$A$71,0)),0)</f>
        <v/>
      </c>
      <c r="Q2442" s="21">
        <f>IFERROR(INDEX(Produtos!$E$2:$E$71,MATCH(C2442,Produtos!$A$2:$A$71,0)),0)</f>
        <v/>
      </c>
      <c r="R2442" s="23">
        <f>D2442*Q2442</f>
        <v/>
      </c>
      <c r="S2442" s="23">
        <f>R2442*E2442</f>
        <v/>
      </c>
      <c r="T2442" s="23">
        <f>(R2442-S2442)*M2442</f>
        <v/>
      </c>
      <c r="U2442" s="23">
        <f>R2442-S2442-T2442</f>
        <v/>
      </c>
      <c r="V2442" s="23">
        <f>D2442*P2442</f>
        <v/>
      </c>
      <c r="W2442" s="23">
        <f>U2442-V2442</f>
        <v/>
      </c>
      <c r="X2442" s="24">
        <f>IFERROR(W2442/U2442,0)</f>
        <v/>
      </c>
    </row>
    <row r="2443">
      <c r="A2443" s="25">
        <f>ItensPedido!A2443</f>
        <v/>
      </c>
      <c r="B2443" s="25">
        <f>ItensPedido!B2443</f>
        <v/>
      </c>
      <c r="C2443" s="25">
        <f>ItensPedido!C2443</f>
        <v/>
      </c>
      <c r="D2443" s="25">
        <f>ItensPedido!D2443</f>
        <v/>
      </c>
      <c r="E2443" s="26">
        <f>ItensPedido!E2443</f>
        <v/>
      </c>
      <c r="F2443" s="25">
        <f>IFERROR(INDEX(Pedidos!$B$2:$B$1801,MATCH(B2443,Pedidos!$A$2:$A$1801,0)),0)</f>
        <v/>
      </c>
      <c r="G2443" s="25">
        <f>IF(F2443=0,"",YEAR(F2443))</f>
        <v/>
      </c>
      <c r="H2443" s="25">
        <f>IF(F2443=0,"",MONTH(F2443))</f>
        <v/>
      </c>
      <c r="I2443" s="25">
        <f>IFERROR(INDEX(Pedidos!$E$2:$E$1801,MATCH(B2443,Pedidos!$A$2:$A$1801,0)),"")</f>
        <v/>
      </c>
      <c r="J2443" s="25">
        <f>IFERROR(INDEX(Pedidos!$C$2:$C$1801,MATCH(B2443,Pedidos!$A$2:$A$1801,0)),"")</f>
        <v/>
      </c>
      <c r="K2443" s="25">
        <f>IFERROR(INDEX(Pedidos!$D$2:$D$1801,MATCH(B2443,Pedidos!$A$2:$A$1801,0)),"")</f>
        <v/>
      </c>
      <c r="L2443" s="25">
        <f>IFERROR(INDEX(Pedidos!$F$2:$F$1801,MATCH(B2443,Pedidos!$A$2:$A$1801,0)),"")</f>
        <v/>
      </c>
      <c r="M2443" s="26">
        <f>IFERROR(INDEX(Pedidos!$G$2:$G$1801,MATCH(B2443,Pedidos!$A$2:$A$1801,0)),0)</f>
        <v/>
      </c>
      <c r="N2443" s="25">
        <f>IFERROR(INDEX(Produtos!$B$2:$B$71,MATCH(C2443,Produtos!$A$2:$A$71,0)),"")</f>
        <v/>
      </c>
      <c r="O2443" s="25">
        <f>IFERROR(INDEX(Produtos!$C$2:$C$71,MATCH(C2443,Produtos!$A$2:$A$71,0)),"")</f>
        <v/>
      </c>
      <c r="P2443" s="25">
        <f>IFERROR(INDEX(Produtos!$D$2:$D$71,MATCH(C2443,Produtos!$A$2:$A$71,0)),0)</f>
        <v/>
      </c>
      <c r="Q2443" s="25">
        <f>IFERROR(INDEX(Produtos!$E$2:$E$71,MATCH(C2443,Produtos!$A$2:$A$71,0)),0)</f>
        <v/>
      </c>
      <c r="R2443" s="27">
        <f>D2443*Q2443</f>
        <v/>
      </c>
      <c r="S2443" s="27">
        <f>R2443*E2443</f>
        <v/>
      </c>
      <c r="T2443" s="27">
        <f>(R2443-S2443)*M2443</f>
        <v/>
      </c>
      <c r="U2443" s="27">
        <f>R2443-S2443-T2443</f>
        <v/>
      </c>
      <c r="V2443" s="27">
        <f>D2443*P2443</f>
        <v/>
      </c>
      <c r="W2443" s="27">
        <f>U2443-V2443</f>
        <v/>
      </c>
      <c r="X2443" s="28">
        <f>IFERROR(W2443/U2443,0)</f>
        <v/>
      </c>
    </row>
    <row r="2444">
      <c r="A2444" s="21">
        <f>ItensPedido!A2444</f>
        <v/>
      </c>
      <c r="B2444" s="21">
        <f>ItensPedido!B2444</f>
        <v/>
      </c>
      <c r="C2444" s="21">
        <f>ItensPedido!C2444</f>
        <v/>
      </c>
      <c r="D2444" s="21">
        <f>ItensPedido!D2444</f>
        <v/>
      </c>
      <c r="E2444" s="22">
        <f>ItensPedido!E2444</f>
        <v/>
      </c>
      <c r="F2444" s="21">
        <f>IFERROR(INDEX(Pedidos!$B$2:$B$1801,MATCH(B2444,Pedidos!$A$2:$A$1801,0)),0)</f>
        <v/>
      </c>
      <c r="G2444" s="21">
        <f>IF(F2444=0,"",YEAR(F2444))</f>
        <v/>
      </c>
      <c r="H2444" s="21">
        <f>IF(F2444=0,"",MONTH(F2444))</f>
        <v/>
      </c>
      <c r="I2444" s="21">
        <f>IFERROR(INDEX(Pedidos!$E$2:$E$1801,MATCH(B2444,Pedidos!$A$2:$A$1801,0)),"")</f>
        <v/>
      </c>
      <c r="J2444" s="21">
        <f>IFERROR(INDEX(Pedidos!$C$2:$C$1801,MATCH(B2444,Pedidos!$A$2:$A$1801,0)),"")</f>
        <v/>
      </c>
      <c r="K2444" s="21">
        <f>IFERROR(INDEX(Pedidos!$D$2:$D$1801,MATCH(B2444,Pedidos!$A$2:$A$1801,0)),"")</f>
        <v/>
      </c>
      <c r="L2444" s="21">
        <f>IFERROR(INDEX(Pedidos!$F$2:$F$1801,MATCH(B2444,Pedidos!$A$2:$A$1801,0)),"")</f>
        <v/>
      </c>
      <c r="M2444" s="22">
        <f>IFERROR(INDEX(Pedidos!$G$2:$G$1801,MATCH(B2444,Pedidos!$A$2:$A$1801,0)),0)</f>
        <v/>
      </c>
      <c r="N2444" s="21">
        <f>IFERROR(INDEX(Produtos!$B$2:$B$71,MATCH(C2444,Produtos!$A$2:$A$71,0)),"")</f>
        <v/>
      </c>
      <c r="O2444" s="21">
        <f>IFERROR(INDEX(Produtos!$C$2:$C$71,MATCH(C2444,Produtos!$A$2:$A$71,0)),"")</f>
        <v/>
      </c>
      <c r="P2444" s="21">
        <f>IFERROR(INDEX(Produtos!$D$2:$D$71,MATCH(C2444,Produtos!$A$2:$A$71,0)),0)</f>
        <v/>
      </c>
      <c r="Q2444" s="21">
        <f>IFERROR(INDEX(Produtos!$E$2:$E$71,MATCH(C2444,Produtos!$A$2:$A$71,0)),0)</f>
        <v/>
      </c>
      <c r="R2444" s="23">
        <f>D2444*Q2444</f>
        <v/>
      </c>
      <c r="S2444" s="23">
        <f>R2444*E2444</f>
        <v/>
      </c>
      <c r="T2444" s="23">
        <f>(R2444-S2444)*M2444</f>
        <v/>
      </c>
      <c r="U2444" s="23">
        <f>R2444-S2444-T2444</f>
        <v/>
      </c>
      <c r="V2444" s="23">
        <f>D2444*P2444</f>
        <v/>
      </c>
      <c r="W2444" s="23">
        <f>U2444-V2444</f>
        <v/>
      </c>
      <c r="X2444" s="24">
        <f>IFERROR(W2444/U2444,0)</f>
        <v/>
      </c>
    </row>
    <row r="2445">
      <c r="A2445" s="25">
        <f>ItensPedido!A2445</f>
        <v/>
      </c>
      <c r="B2445" s="25">
        <f>ItensPedido!B2445</f>
        <v/>
      </c>
      <c r="C2445" s="25">
        <f>ItensPedido!C2445</f>
        <v/>
      </c>
      <c r="D2445" s="25">
        <f>ItensPedido!D2445</f>
        <v/>
      </c>
      <c r="E2445" s="26">
        <f>ItensPedido!E2445</f>
        <v/>
      </c>
      <c r="F2445" s="25">
        <f>IFERROR(INDEX(Pedidos!$B$2:$B$1801,MATCH(B2445,Pedidos!$A$2:$A$1801,0)),0)</f>
        <v/>
      </c>
      <c r="G2445" s="25">
        <f>IF(F2445=0,"",YEAR(F2445))</f>
        <v/>
      </c>
      <c r="H2445" s="25">
        <f>IF(F2445=0,"",MONTH(F2445))</f>
        <v/>
      </c>
      <c r="I2445" s="25">
        <f>IFERROR(INDEX(Pedidos!$E$2:$E$1801,MATCH(B2445,Pedidos!$A$2:$A$1801,0)),"")</f>
        <v/>
      </c>
      <c r="J2445" s="25">
        <f>IFERROR(INDEX(Pedidos!$C$2:$C$1801,MATCH(B2445,Pedidos!$A$2:$A$1801,0)),"")</f>
        <v/>
      </c>
      <c r="K2445" s="25">
        <f>IFERROR(INDEX(Pedidos!$D$2:$D$1801,MATCH(B2445,Pedidos!$A$2:$A$1801,0)),"")</f>
        <v/>
      </c>
      <c r="L2445" s="25">
        <f>IFERROR(INDEX(Pedidos!$F$2:$F$1801,MATCH(B2445,Pedidos!$A$2:$A$1801,0)),"")</f>
        <v/>
      </c>
      <c r="M2445" s="26">
        <f>IFERROR(INDEX(Pedidos!$G$2:$G$1801,MATCH(B2445,Pedidos!$A$2:$A$1801,0)),0)</f>
        <v/>
      </c>
      <c r="N2445" s="25">
        <f>IFERROR(INDEX(Produtos!$B$2:$B$71,MATCH(C2445,Produtos!$A$2:$A$71,0)),"")</f>
        <v/>
      </c>
      <c r="O2445" s="25">
        <f>IFERROR(INDEX(Produtos!$C$2:$C$71,MATCH(C2445,Produtos!$A$2:$A$71,0)),"")</f>
        <v/>
      </c>
      <c r="P2445" s="25">
        <f>IFERROR(INDEX(Produtos!$D$2:$D$71,MATCH(C2445,Produtos!$A$2:$A$71,0)),0)</f>
        <v/>
      </c>
      <c r="Q2445" s="25">
        <f>IFERROR(INDEX(Produtos!$E$2:$E$71,MATCH(C2445,Produtos!$A$2:$A$71,0)),0)</f>
        <v/>
      </c>
      <c r="R2445" s="27">
        <f>D2445*Q2445</f>
        <v/>
      </c>
      <c r="S2445" s="27">
        <f>R2445*E2445</f>
        <v/>
      </c>
      <c r="T2445" s="27">
        <f>(R2445-S2445)*M2445</f>
        <v/>
      </c>
      <c r="U2445" s="27">
        <f>R2445-S2445-T2445</f>
        <v/>
      </c>
      <c r="V2445" s="27">
        <f>D2445*P2445</f>
        <v/>
      </c>
      <c r="W2445" s="27">
        <f>U2445-V2445</f>
        <v/>
      </c>
      <c r="X2445" s="28">
        <f>IFERROR(W2445/U2445,0)</f>
        <v/>
      </c>
    </row>
    <row r="2446">
      <c r="A2446" s="21">
        <f>ItensPedido!A2446</f>
        <v/>
      </c>
      <c r="B2446" s="21">
        <f>ItensPedido!B2446</f>
        <v/>
      </c>
      <c r="C2446" s="21">
        <f>ItensPedido!C2446</f>
        <v/>
      </c>
      <c r="D2446" s="21">
        <f>ItensPedido!D2446</f>
        <v/>
      </c>
      <c r="E2446" s="22">
        <f>ItensPedido!E2446</f>
        <v/>
      </c>
      <c r="F2446" s="21">
        <f>IFERROR(INDEX(Pedidos!$B$2:$B$1801,MATCH(B2446,Pedidos!$A$2:$A$1801,0)),0)</f>
        <v/>
      </c>
      <c r="G2446" s="21">
        <f>IF(F2446=0,"",YEAR(F2446))</f>
        <v/>
      </c>
      <c r="H2446" s="21">
        <f>IF(F2446=0,"",MONTH(F2446))</f>
        <v/>
      </c>
      <c r="I2446" s="21">
        <f>IFERROR(INDEX(Pedidos!$E$2:$E$1801,MATCH(B2446,Pedidos!$A$2:$A$1801,0)),"")</f>
        <v/>
      </c>
      <c r="J2446" s="21">
        <f>IFERROR(INDEX(Pedidos!$C$2:$C$1801,MATCH(B2446,Pedidos!$A$2:$A$1801,0)),"")</f>
        <v/>
      </c>
      <c r="K2446" s="21">
        <f>IFERROR(INDEX(Pedidos!$D$2:$D$1801,MATCH(B2446,Pedidos!$A$2:$A$1801,0)),"")</f>
        <v/>
      </c>
      <c r="L2446" s="21">
        <f>IFERROR(INDEX(Pedidos!$F$2:$F$1801,MATCH(B2446,Pedidos!$A$2:$A$1801,0)),"")</f>
        <v/>
      </c>
      <c r="M2446" s="22">
        <f>IFERROR(INDEX(Pedidos!$G$2:$G$1801,MATCH(B2446,Pedidos!$A$2:$A$1801,0)),0)</f>
        <v/>
      </c>
      <c r="N2446" s="21">
        <f>IFERROR(INDEX(Produtos!$B$2:$B$71,MATCH(C2446,Produtos!$A$2:$A$71,0)),"")</f>
        <v/>
      </c>
      <c r="O2446" s="21">
        <f>IFERROR(INDEX(Produtos!$C$2:$C$71,MATCH(C2446,Produtos!$A$2:$A$71,0)),"")</f>
        <v/>
      </c>
      <c r="P2446" s="21">
        <f>IFERROR(INDEX(Produtos!$D$2:$D$71,MATCH(C2446,Produtos!$A$2:$A$71,0)),0)</f>
        <v/>
      </c>
      <c r="Q2446" s="21">
        <f>IFERROR(INDEX(Produtos!$E$2:$E$71,MATCH(C2446,Produtos!$A$2:$A$71,0)),0)</f>
        <v/>
      </c>
      <c r="R2446" s="23">
        <f>D2446*Q2446</f>
        <v/>
      </c>
      <c r="S2446" s="23">
        <f>R2446*E2446</f>
        <v/>
      </c>
      <c r="T2446" s="23">
        <f>(R2446-S2446)*M2446</f>
        <v/>
      </c>
      <c r="U2446" s="23">
        <f>R2446-S2446-T2446</f>
        <v/>
      </c>
      <c r="V2446" s="23">
        <f>D2446*P2446</f>
        <v/>
      </c>
      <c r="W2446" s="23">
        <f>U2446-V2446</f>
        <v/>
      </c>
      <c r="X2446" s="24">
        <f>IFERROR(W2446/U2446,0)</f>
        <v/>
      </c>
    </row>
    <row r="2447">
      <c r="A2447" s="25">
        <f>ItensPedido!A2447</f>
        <v/>
      </c>
      <c r="B2447" s="25">
        <f>ItensPedido!B2447</f>
        <v/>
      </c>
      <c r="C2447" s="25">
        <f>ItensPedido!C2447</f>
        <v/>
      </c>
      <c r="D2447" s="25">
        <f>ItensPedido!D2447</f>
        <v/>
      </c>
      <c r="E2447" s="26">
        <f>ItensPedido!E2447</f>
        <v/>
      </c>
      <c r="F2447" s="25">
        <f>IFERROR(INDEX(Pedidos!$B$2:$B$1801,MATCH(B2447,Pedidos!$A$2:$A$1801,0)),0)</f>
        <v/>
      </c>
      <c r="G2447" s="25">
        <f>IF(F2447=0,"",YEAR(F2447))</f>
        <v/>
      </c>
      <c r="H2447" s="25">
        <f>IF(F2447=0,"",MONTH(F2447))</f>
        <v/>
      </c>
      <c r="I2447" s="25">
        <f>IFERROR(INDEX(Pedidos!$E$2:$E$1801,MATCH(B2447,Pedidos!$A$2:$A$1801,0)),"")</f>
        <v/>
      </c>
      <c r="J2447" s="25">
        <f>IFERROR(INDEX(Pedidos!$C$2:$C$1801,MATCH(B2447,Pedidos!$A$2:$A$1801,0)),"")</f>
        <v/>
      </c>
      <c r="K2447" s="25">
        <f>IFERROR(INDEX(Pedidos!$D$2:$D$1801,MATCH(B2447,Pedidos!$A$2:$A$1801,0)),"")</f>
        <v/>
      </c>
      <c r="L2447" s="25">
        <f>IFERROR(INDEX(Pedidos!$F$2:$F$1801,MATCH(B2447,Pedidos!$A$2:$A$1801,0)),"")</f>
        <v/>
      </c>
      <c r="M2447" s="26">
        <f>IFERROR(INDEX(Pedidos!$G$2:$G$1801,MATCH(B2447,Pedidos!$A$2:$A$1801,0)),0)</f>
        <v/>
      </c>
      <c r="N2447" s="25">
        <f>IFERROR(INDEX(Produtos!$B$2:$B$71,MATCH(C2447,Produtos!$A$2:$A$71,0)),"")</f>
        <v/>
      </c>
      <c r="O2447" s="25">
        <f>IFERROR(INDEX(Produtos!$C$2:$C$71,MATCH(C2447,Produtos!$A$2:$A$71,0)),"")</f>
        <v/>
      </c>
      <c r="P2447" s="25">
        <f>IFERROR(INDEX(Produtos!$D$2:$D$71,MATCH(C2447,Produtos!$A$2:$A$71,0)),0)</f>
        <v/>
      </c>
      <c r="Q2447" s="25">
        <f>IFERROR(INDEX(Produtos!$E$2:$E$71,MATCH(C2447,Produtos!$A$2:$A$71,0)),0)</f>
        <v/>
      </c>
      <c r="R2447" s="27">
        <f>D2447*Q2447</f>
        <v/>
      </c>
      <c r="S2447" s="27">
        <f>R2447*E2447</f>
        <v/>
      </c>
      <c r="T2447" s="27">
        <f>(R2447-S2447)*M2447</f>
        <v/>
      </c>
      <c r="U2447" s="27">
        <f>R2447-S2447-T2447</f>
        <v/>
      </c>
      <c r="V2447" s="27">
        <f>D2447*P2447</f>
        <v/>
      </c>
      <c r="W2447" s="27">
        <f>U2447-V2447</f>
        <v/>
      </c>
      <c r="X2447" s="28">
        <f>IFERROR(W2447/U2447,0)</f>
        <v/>
      </c>
    </row>
    <row r="2448">
      <c r="A2448" s="21">
        <f>ItensPedido!A2448</f>
        <v/>
      </c>
      <c r="B2448" s="21">
        <f>ItensPedido!B2448</f>
        <v/>
      </c>
      <c r="C2448" s="21">
        <f>ItensPedido!C2448</f>
        <v/>
      </c>
      <c r="D2448" s="21">
        <f>ItensPedido!D2448</f>
        <v/>
      </c>
      <c r="E2448" s="22">
        <f>ItensPedido!E2448</f>
        <v/>
      </c>
      <c r="F2448" s="21">
        <f>IFERROR(INDEX(Pedidos!$B$2:$B$1801,MATCH(B2448,Pedidos!$A$2:$A$1801,0)),0)</f>
        <v/>
      </c>
      <c r="G2448" s="21">
        <f>IF(F2448=0,"",YEAR(F2448))</f>
        <v/>
      </c>
      <c r="H2448" s="21">
        <f>IF(F2448=0,"",MONTH(F2448))</f>
        <v/>
      </c>
      <c r="I2448" s="21">
        <f>IFERROR(INDEX(Pedidos!$E$2:$E$1801,MATCH(B2448,Pedidos!$A$2:$A$1801,0)),"")</f>
        <v/>
      </c>
      <c r="J2448" s="21">
        <f>IFERROR(INDEX(Pedidos!$C$2:$C$1801,MATCH(B2448,Pedidos!$A$2:$A$1801,0)),"")</f>
        <v/>
      </c>
      <c r="K2448" s="21">
        <f>IFERROR(INDEX(Pedidos!$D$2:$D$1801,MATCH(B2448,Pedidos!$A$2:$A$1801,0)),"")</f>
        <v/>
      </c>
      <c r="L2448" s="21">
        <f>IFERROR(INDEX(Pedidos!$F$2:$F$1801,MATCH(B2448,Pedidos!$A$2:$A$1801,0)),"")</f>
        <v/>
      </c>
      <c r="M2448" s="22">
        <f>IFERROR(INDEX(Pedidos!$G$2:$G$1801,MATCH(B2448,Pedidos!$A$2:$A$1801,0)),0)</f>
        <v/>
      </c>
      <c r="N2448" s="21">
        <f>IFERROR(INDEX(Produtos!$B$2:$B$71,MATCH(C2448,Produtos!$A$2:$A$71,0)),"")</f>
        <v/>
      </c>
      <c r="O2448" s="21">
        <f>IFERROR(INDEX(Produtos!$C$2:$C$71,MATCH(C2448,Produtos!$A$2:$A$71,0)),"")</f>
        <v/>
      </c>
      <c r="P2448" s="21">
        <f>IFERROR(INDEX(Produtos!$D$2:$D$71,MATCH(C2448,Produtos!$A$2:$A$71,0)),0)</f>
        <v/>
      </c>
      <c r="Q2448" s="21">
        <f>IFERROR(INDEX(Produtos!$E$2:$E$71,MATCH(C2448,Produtos!$A$2:$A$71,0)),0)</f>
        <v/>
      </c>
      <c r="R2448" s="23">
        <f>D2448*Q2448</f>
        <v/>
      </c>
      <c r="S2448" s="23">
        <f>R2448*E2448</f>
        <v/>
      </c>
      <c r="T2448" s="23">
        <f>(R2448-S2448)*M2448</f>
        <v/>
      </c>
      <c r="U2448" s="23">
        <f>R2448-S2448-T2448</f>
        <v/>
      </c>
      <c r="V2448" s="23">
        <f>D2448*P2448</f>
        <v/>
      </c>
      <c r="W2448" s="23">
        <f>U2448-V2448</f>
        <v/>
      </c>
      <c r="X2448" s="24">
        <f>IFERROR(W2448/U2448,0)</f>
        <v/>
      </c>
    </row>
    <row r="2449">
      <c r="A2449" s="25">
        <f>ItensPedido!A2449</f>
        <v/>
      </c>
      <c r="B2449" s="25">
        <f>ItensPedido!B2449</f>
        <v/>
      </c>
      <c r="C2449" s="25">
        <f>ItensPedido!C2449</f>
        <v/>
      </c>
      <c r="D2449" s="25">
        <f>ItensPedido!D2449</f>
        <v/>
      </c>
      <c r="E2449" s="26">
        <f>ItensPedido!E2449</f>
        <v/>
      </c>
      <c r="F2449" s="25">
        <f>IFERROR(INDEX(Pedidos!$B$2:$B$1801,MATCH(B2449,Pedidos!$A$2:$A$1801,0)),0)</f>
        <v/>
      </c>
      <c r="G2449" s="25">
        <f>IF(F2449=0,"",YEAR(F2449))</f>
        <v/>
      </c>
      <c r="H2449" s="25">
        <f>IF(F2449=0,"",MONTH(F2449))</f>
        <v/>
      </c>
      <c r="I2449" s="25">
        <f>IFERROR(INDEX(Pedidos!$E$2:$E$1801,MATCH(B2449,Pedidos!$A$2:$A$1801,0)),"")</f>
        <v/>
      </c>
      <c r="J2449" s="25">
        <f>IFERROR(INDEX(Pedidos!$C$2:$C$1801,MATCH(B2449,Pedidos!$A$2:$A$1801,0)),"")</f>
        <v/>
      </c>
      <c r="K2449" s="25">
        <f>IFERROR(INDEX(Pedidos!$D$2:$D$1801,MATCH(B2449,Pedidos!$A$2:$A$1801,0)),"")</f>
        <v/>
      </c>
      <c r="L2449" s="25">
        <f>IFERROR(INDEX(Pedidos!$F$2:$F$1801,MATCH(B2449,Pedidos!$A$2:$A$1801,0)),"")</f>
        <v/>
      </c>
      <c r="M2449" s="26">
        <f>IFERROR(INDEX(Pedidos!$G$2:$G$1801,MATCH(B2449,Pedidos!$A$2:$A$1801,0)),0)</f>
        <v/>
      </c>
      <c r="N2449" s="25">
        <f>IFERROR(INDEX(Produtos!$B$2:$B$71,MATCH(C2449,Produtos!$A$2:$A$71,0)),"")</f>
        <v/>
      </c>
      <c r="O2449" s="25">
        <f>IFERROR(INDEX(Produtos!$C$2:$C$71,MATCH(C2449,Produtos!$A$2:$A$71,0)),"")</f>
        <v/>
      </c>
      <c r="P2449" s="25">
        <f>IFERROR(INDEX(Produtos!$D$2:$D$71,MATCH(C2449,Produtos!$A$2:$A$71,0)),0)</f>
        <v/>
      </c>
      <c r="Q2449" s="25">
        <f>IFERROR(INDEX(Produtos!$E$2:$E$71,MATCH(C2449,Produtos!$A$2:$A$71,0)),0)</f>
        <v/>
      </c>
      <c r="R2449" s="27">
        <f>D2449*Q2449</f>
        <v/>
      </c>
      <c r="S2449" s="27">
        <f>R2449*E2449</f>
        <v/>
      </c>
      <c r="T2449" s="27">
        <f>(R2449-S2449)*M2449</f>
        <v/>
      </c>
      <c r="U2449" s="27">
        <f>R2449-S2449-T2449</f>
        <v/>
      </c>
      <c r="V2449" s="27">
        <f>D2449*P2449</f>
        <v/>
      </c>
      <c r="W2449" s="27">
        <f>U2449-V2449</f>
        <v/>
      </c>
      <c r="X2449" s="28">
        <f>IFERROR(W2449/U2449,0)</f>
        <v/>
      </c>
    </row>
    <row r="2450">
      <c r="A2450" s="21">
        <f>ItensPedido!A2450</f>
        <v/>
      </c>
      <c r="B2450" s="21">
        <f>ItensPedido!B2450</f>
        <v/>
      </c>
      <c r="C2450" s="21">
        <f>ItensPedido!C2450</f>
        <v/>
      </c>
      <c r="D2450" s="21">
        <f>ItensPedido!D2450</f>
        <v/>
      </c>
      <c r="E2450" s="22">
        <f>ItensPedido!E2450</f>
        <v/>
      </c>
      <c r="F2450" s="21">
        <f>IFERROR(INDEX(Pedidos!$B$2:$B$1801,MATCH(B2450,Pedidos!$A$2:$A$1801,0)),0)</f>
        <v/>
      </c>
      <c r="G2450" s="21">
        <f>IF(F2450=0,"",YEAR(F2450))</f>
        <v/>
      </c>
      <c r="H2450" s="21">
        <f>IF(F2450=0,"",MONTH(F2450))</f>
        <v/>
      </c>
      <c r="I2450" s="21">
        <f>IFERROR(INDEX(Pedidos!$E$2:$E$1801,MATCH(B2450,Pedidos!$A$2:$A$1801,0)),"")</f>
        <v/>
      </c>
      <c r="J2450" s="21">
        <f>IFERROR(INDEX(Pedidos!$C$2:$C$1801,MATCH(B2450,Pedidos!$A$2:$A$1801,0)),"")</f>
        <v/>
      </c>
      <c r="K2450" s="21">
        <f>IFERROR(INDEX(Pedidos!$D$2:$D$1801,MATCH(B2450,Pedidos!$A$2:$A$1801,0)),"")</f>
        <v/>
      </c>
      <c r="L2450" s="21">
        <f>IFERROR(INDEX(Pedidos!$F$2:$F$1801,MATCH(B2450,Pedidos!$A$2:$A$1801,0)),"")</f>
        <v/>
      </c>
      <c r="M2450" s="22">
        <f>IFERROR(INDEX(Pedidos!$G$2:$G$1801,MATCH(B2450,Pedidos!$A$2:$A$1801,0)),0)</f>
        <v/>
      </c>
      <c r="N2450" s="21">
        <f>IFERROR(INDEX(Produtos!$B$2:$B$71,MATCH(C2450,Produtos!$A$2:$A$71,0)),"")</f>
        <v/>
      </c>
      <c r="O2450" s="21">
        <f>IFERROR(INDEX(Produtos!$C$2:$C$71,MATCH(C2450,Produtos!$A$2:$A$71,0)),"")</f>
        <v/>
      </c>
      <c r="P2450" s="21">
        <f>IFERROR(INDEX(Produtos!$D$2:$D$71,MATCH(C2450,Produtos!$A$2:$A$71,0)),0)</f>
        <v/>
      </c>
      <c r="Q2450" s="21">
        <f>IFERROR(INDEX(Produtos!$E$2:$E$71,MATCH(C2450,Produtos!$A$2:$A$71,0)),0)</f>
        <v/>
      </c>
      <c r="R2450" s="23">
        <f>D2450*Q2450</f>
        <v/>
      </c>
      <c r="S2450" s="23">
        <f>R2450*E2450</f>
        <v/>
      </c>
      <c r="T2450" s="23">
        <f>(R2450-S2450)*M2450</f>
        <v/>
      </c>
      <c r="U2450" s="23">
        <f>R2450-S2450-T2450</f>
        <v/>
      </c>
      <c r="V2450" s="23">
        <f>D2450*P2450</f>
        <v/>
      </c>
      <c r="W2450" s="23">
        <f>U2450-V2450</f>
        <v/>
      </c>
      <c r="X2450" s="24">
        <f>IFERROR(W2450/U2450,0)</f>
        <v/>
      </c>
    </row>
    <row r="2451">
      <c r="A2451" s="25">
        <f>ItensPedido!A2451</f>
        <v/>
      </c>
      <c r="B2451" s="25">
        <f>ItensPedido!B2451</f>
        <v/>
      </c>
      <c r="C2451" s="25">
        <f>ItensPedido!C2451</f>
        <v/>
      </c>
      <c r="D2451" s="25">
        <f>ItensPedido!D2451</f>
        <v/>
      </c>
      <c r="E2451" s="26">
        <f>ItensPedido!E2451</f>
        <v/>
      </c>
      <c r="F2451" s="25">
        <f>IFERROR(INDEX(Pedidos!$B$2:$B$1801,MATCH(B2451,Pedidos!$A$2:$A$1801,0)),0)</f>
        <v/>
      </c>
      <c r="G2451" s="25">
        <f>IF(F2451=0,"",YEAR(F2451))</f>
        <v/>
      </c>
      <c r="H2451" s="25">
        <f>IF(F2451=0,"",MONTH(F2451))</f>
        <v/>
      </c>
      <c r="I2451" s="25">
        <f>IFERROR(INDEX(Pedidos!$E$2:$E$1801,MATCH(B2451,Pedidos!$A$2:$A$1801,0)),"")</f>
        <v/>
      </c>
      <c r="J2451" s="25">
        <f>IFERROR(INDEX(Pedidos!$C$2:$C$1801,MATCH(B2451,Pedidos!$A$2:$A$1801,0)),"")</f>
        <v/>
      </c>
      <c r="K2451" s="25">
        <f>IFERROR(INDEX(Pedidos!$D$2:$D$1801,MATCH(B2451,Pedidos!$A$2:$A$1801,0)),"")</f>
        <v/>
      </c>
      <c r="L2451" s="25">
        <f>IFERROR(INDEX(Pedidos!$F$2:$F$1801,MATCH(B2451,Pedidos!$A$2:$A$1801,0)),"")</f>
        <v/>
      </c>
      <c r="M2451" s="26">
        <f>IFERROR(INDEX(Pedidos!$G$2:$G$1801,MATCH(B2451,Pedidos!$A$2:$A$1801,0)),0)</f>
        <v/>
      </c>
      <c r="N2451" s="25">
        <f>IFERROR(INDEX(Produtos!$B$2:$B$71,MATCH(C2451,Produtos!$A$2:$A$71,0)),"")</f>
        <v/>
      </c>
      <c r="O2451" s="25">
        <f>IFERROR(INDEX(Produtos!$C$2:$C$71,MATCH(C2451,Produtos!$A$2:$A$71,0)),"")</f>
        <v/>
      </c>
      <c r="P2451" s="25">
        <f>IFERROR(INDEX(Produtos!$D$2:$D$71,MATCH(C2451,Produtos!$A$2:$A$71,0)),0)</f>
        <v/>
      </c>
      <c r="Q2451" s="25">
        <f>IFERROR(INDEX(Produtos!$E$2:$E$71,MATCH(C2451,Produtos!$A$2:$A$71,0)),0)</f>
        <v/>
      </c>
      <c r="R2451" s="27">
        <f>D2451*Q2451</f>
        <v/>
      </c>
      <c r="S2451" s="27">
        <f>R2451*E2451</f>
        <v/>
      </c>
      <c r="T2451" s="27">
        <f>(R2451-S2451)*M2451</f>
        <v/>
      </c>
      <c r="U2451" s="27">
        <f>R2451-S2451-T2451</f>
        <v/>
      </c>
      <c r="V2451" s="27">
        <f>D2451*P2451</f>
        <v/>
      </c>
      <c r="W2451" s="27">
        <f>U2451-V2451</f>
        <v/>
      </c>
      <c r="X2451" s="28">
        <f>IFERROR(W2451/U2451,0)</f>
        <v/>
      </c>
    </row>
    <row r="2452">
      <c r="A2452" s="21">
        <f>ItensPedido!A2452</f>
        <v/>
      </c>
      <c r="B2452" s="21">
        <f>ItensPedido!B2452</f>
        <v/>
      </c>
      <c r="C2452" s="21">
        <f>ItensPedido!C2452</f>
        <v/>
      </c>
      <c r="D2452" s="21">
        <f>ItensPedido!D2452</f>
        <v/>
      </c>
      <c r="E2452" s="22">
        <f>ItensPedido!E2452</f>
        <v/>
      </c>
      <c r="F2452" s="21">
        <f>IFERROR(INDEX(Pedidos!$B$2:$B$1801,MATCH(B2452,Pedidos!$A$2:$A$1801,0)),0)</f>
        <v/>
      </c>
      <c r="G2452" s="21">
        <f>IF(F2452=0,"",YEAR(F2452))</f>
        <v/>
      </c>
      <c r="H2452" s="21">
        <f>IF(F2452=0,"",MONTH(F2452))</f>
        <v/>
      </c>
      <c r="I2452" s="21">
        <f>IFERROR(INDEX(Pedidos!$E$2:$E$1801,MATCH(B2452,Pedidos!$A$2:$A$1801,0)),"")</f>
        <v/>
      </c>
      <c r="J2452" s="21">
        <f>IFERROR(INDEX(Pedidos!$C$2:$C$1801,MATCH(B2452,Pedidos!$A$2:$A$1801,0)),"")</f>
        <v/>
      </c>
      <c r="K2452" s="21">
        <f>IFERROR(INDEX(Pedidos!$D$2:$D$1801,MATCH(B2452,Pedidos!$A$2:$A$1801,0)),"")</f>
        <v/>
      </c>
      <c r="L2452" s="21">
        <f>IFERROR(INDEX(Pedidos!$F$2:$F$1801,MATCH(B2452,Pedidos!$A$2:$A$1801,0)),"")</f>
        <v/>
      </c>
      <c r="M2452" s="22">
        <f>IFERROR(INDEX(Pedidos!$G$2:$G$1801,MATCH(B2452,Pedidos!$A$2:$A$1801,0)),0)</f>
        <v/>
      </c>
      <c r="N2452" s="21">
        <f>IFERROR(INDEX(Produtos!$B$2:$B$71,MATCH(C2452,Produtos!$A$2:$A$71,0)),"")</f>
        <v/>
      </c>
      <c r="O2452" s="21">
        <f>IFERROR(INDEX(Produtos!$C$2:$C$71,MATCH(C2452,Produtos!$A$2:$A$71,0)),"")</f>
        <v/>
      </c>
      <c r="P2452" s="21">
        <f>IFERROR(INDEX(Produtos!$D$2:$D$71,MATCH(C2452,Produtos!$A$2:$A$71,0)),0)</f>
        <v/>
      </c>
      <c r="Q2452" s="21">
        <f>IFERROR(INDEX(Produtos!$E$2:$E$71,MATCH(C2452,Produtos!$A$2:$A$71,0)),0)</f>
        <v/>
      </c>
      <c r="R2452" s="23">
        <f>D2452*Q2452</f>
        <v/>
      </c>
      <c r="S2452" s="23">
        <f>R2452*E2452</f>
        <v/>
      </c>
      <c r="T2452" s="23">
        <f>(R2452-S2452)*M2452</f>
        <v/>
      </c>
      <c r="U2452" s="23">
        <f>R2452-S2452-T2452</f>
        <v/>
      </c>
      <c r="V2452" s="23">
        <f>D2452*P2452</f>
        <v/>
      </c>
      <c r="W2452" s="23">
        <f>U2452-V2452</f>
        <v/>
      </c>
      <c r="X2452" s="24">
        <f>IFERROR(W2452/U2452,0)</f>
        <v/>
      </c>
    </row>
    <row r="2453">
      <c r="A2453" s="25">
        <f>ItensPedido!A2453</f>
        <v/>
      </c>
      <c r="B2453" s="25">
        <f>ItensPedido!B2453</f>
        <v/>
      </c>
      <c r="C2453" s="25">
        <f>ItensPedido!C2453</f>
        <v/>
      </c>
      <c r="D2453" s="25">
        <f>ItensPedido!D2453</f>
        <v/>
      </c>
      <c r="E2453" s="26">
        <f>ItensPedido!E2453</f>
        <v/>
      </c>
      <c r="F2453" s="25">
        <f>IFERROR(INDEX(Pedidos!$B$2:$B$1801,MATCH(B2453,Pedidos!$A$2:$A$1801,0)),0)</f>
        <v/>
      </c>
      <c r="G2453" s="25">
        <f>IF(F2453=0,"",YEAR(F2453))</f>
        <v/>
      </c>
      <c r="H2453" s="25">
        <f>IF(F2453=0,"",MONTH(F2453))</f>
        <v/>
      </c>
      <c r="I2453" s="25">
        <f>IFERROR(INDEX(Pedidos!$E$2:$E$1801,MATCH(B2453,Pedidos!$A$2:$A$1801,0)),"")</f>
        <v/>
      </c>
      <c r="J2453" s="25">
        <f>IFERROR(INDEX(Pedidos!$C$2:$C$1801,MATCH(B2453,Pedidos!$A$2:$A$1801,0)),"")</f>
        <v/>
      </c>
      <c r="K2453" s="25">
        <f>IFERROR(INDEX(Pedidos!$D$2:$D$1801,MATCH(B2453,Pedidos!$A$2:$A$1801,0)),"")</f>
        <v/>
      </c>
      <c r="L2453" s="25">
        <f>IFERROR(INDEX(Pedidos!$F$2:$F$1801,MATCH(B2453,Pedidos!$A$2:$A$1801,0)),"")</f>
        <v/>
      </c>
      <c r="M2453" s="26">
        <f>IFERROR(INDEX(Pedidos!$G$2:$G$1801,MATCH(B2453,Pedidos!$A$2:$A$1801,0)),0)</f>
        <v/>
      </c>
      <c r="N2453" s="25">
        <f>IFERROR(INDEX(Produtos!$B$2:$B$71,MATCH(C2453,Produtos!$A$2:$A$71,0)),"")</f>
        <v/>
      </c>
      <c r="O2453" s="25">
        <f>IFERROR(INDEX(Produtos!$C$2:$C$71,MATCH(C2453,Produtos!$A$2:$A$71,0)),"")</f>
        <v/>
      </c>
      <c r="P2453" s="25">
        <f>IFERROR(INDEX(Produtos!$D$2:$D$71,MATCH(C2453,Produtos!$A$2:$A$71,0)),0)</f>
        <v/>
      </c>
      <c r="Q2453" s="25">
        <f>IFERROR(INDEX(Produtos!$E$2:$E$71,MATCH(C2453,Produtos!$A$2:$A$71,0)),0)</f>
        <v/>
      </c>
      <c r="R2453" s="27">
        <f>D2453*Q2453</f>
        <v/>
      </c>
      <c r="S2453" s="27">
        <f>R2453*E2453</f>
        <v/>
      </c>
      <c r="T2453" s="27">
        <f>(R2453-S2453)*M2453</f>
        <v/>
      </c>
      <c r="U2453" s="27">
        <f>R2453-S2453-T2453</f>
        <v/>
      </c>
      <c r="V2453" s="27">
        <f>D2453*P2453</f>
        <v/>
      </c>
      <c r="W2453" s="27">
        <f>U2453-V2453</f>
        <v/>
      </c>
      <c r="X2453" s="28">
        <f>IFERROR(W2453/U2453,0)</f>
        <v/>
      </c>
    </row>
    <row r="2454">
      <c r="A2454" s="21">
        <f>ItensPedido!A2454</f>
        <v/>
      </c>
      <c r="B2454" s="21">
        <f>ItensPedido!B2454</f>
        <v/>
      </c>
      <c r="C2454" s="21">
        <f>ItensPedido!C2454</f>
        <v/>
      </c>
      <c r="D2454" s="21">
        <f>ItensPedido!D2454</f>
        <v/>
      </c>
      <c r="E2454" s="22">
        <f>ItensPedido!E2454</f>
        <v/>
      </c>
      <c r="F2454" s="21">
        <f>IFERROR(INDEX(Pedidos!$B$2:$B$1801,MATCH(B2454,Pedidos!$A$2:$A$1801,0)),0)</f>
        <v/>
      </c>
      <c r="G2454" s="21">
        <f>IF(F2454=0,"",YEAR(F2454))</f>
        <v/>
      </c>
      <c r="H2454" s="21">
        <f>IF(F2454=0,"",MONTH(F2454))</f>
        <v/>
      </c>
      <c r="I2454" s="21">
        <f>IFERROR(INDEX(Pedidos!$E$2:$E$1801,MATCH(B2454,Pedidos!$A$2:$A$1801,0)),"")</f>
        <v/>
      </c>
      <c r="J2454" s="21">
        <f>IFERROR(INDEX(Pedidos!$C$2:$C$1801,MATCH(B2454,Pedidos!$A$2:$A$1801,0)),"")</f>
        <v/>
      </c>
      <c r="K2454" s="21">
        <f>IFERROR(INDEX(Pedidos!$D$2:$D$1801,MATCH(B2454,Pedidos!$A$2:$A$1801,0)),"")</f>
        <v/>
      </c>
      <c r="L2454" s="21">
        <f>IFERROR(INDEX(Pedidos!$F$2:$F$1801,MATCH(B2454,Pedidos!$A$2:$A$1801,0)),"")</f>
        <v/>
      </c>
      <c r="M2454" s="22">
        <f>IFERROR(INDEX(Pedidos!$G$2:$G$1801,MATCH(B2454,Pedidos!$A$2:$A$1801,0)),0)</f>
        <v/>
      </c>
      <c r="N2454" s="21">
        <f>IFERROR(INDEX(Produtos!$B$2:$B$71,MATCH(C2454,Produtos!$A$2:$A$71,0)),"")</f>
        <v/>
      </c>
      <c r="O2454" s="21">
        <f>IFERROR(INDEX(Produtos!$C$2:$C$71,MATCH(C2454,Produtos!$A$2:$A$71,0)),"")</f>
        <v/>
      </c>
      <c r="P2454" s="21">
        <f>IFERROR(INDEX(Produtos!$D$2:$D$71,MATCH(C2454,Produtos!$A$2:$A$71,0)),0)</f>
        <v/>
      </c>
      <c r="Q2454" s="21">
        <f>IFERROR(INDEX(Produtos!$E$2:$E$71,MATCH(C2454,Produtos!$A$2:$A$71,0)),0)</f>
        <v/>
      </c>
      <c r="R2454" s="23">
        <f>D2454*Q2454</f>
        <v/>
      </c>
      <c r="S2454" s="23">
        <f>R2454*E2454</f>
        <v/>
      </c>
      <c r="T2454" s="23">
        <f>(R2454-S2454)*M2454</f>
        <v/>
      </c>
      <c r="U2454" s="23">
        <f>R2454-S2454-T2454</f>
        <v/>
      </c>
      <c r="V2454" s="23">
        <f>D2454*P2454</f>
        <v/>
      </c>
      <c r="W2454" s="23">
        <f>U2454-V2454</f>
        <v/>
      </c>
      <c r="X2454" s="24">
        <f>IFERROR(W2454/U2454,0)</f>
        <v/>
      </c>
    </row>
    <row r="2455">
      <c r="A2455" s="25">
        <f>ItensPedido!A2455</f>
        <v/>
      </c>
      <c r="B2455" s="25">
        <f>ItensPedido!B2455</f>
        <v/>
      </c>
      <c r="C2455" s="25">
        <f>ItensPedido!C2455</f>
        <v/>
      </c>
      <c r="D2455" s="25">
        <f>ItensPedido!D2455</f>
        <v/>
      </c>
      <c r="E2455" s="26">
        <f>ItensPedido!E2455</f>
        <v/>
      </c>
      <c r="F2455" s="25">
        <f>IFERROR(INDEX(Pedidos!$B$2:$B$1801,MATCH(B2455,Pedidos!$A$2:$A$1801,0)),0)</f>
        <v/>
      </c>
      <c r="G2455" s="25">
        <f>IF(F2455=0,"",YEAR(F2455))</f>
        <v/>
      </c>
      <c r="H2455" s="25">
        <f>IF(F2455=0,"",MONTH(F2455))</f>
        <v/>
      </c>
      <c r="I2455" s="25">
        <f>IFERROR(INDEX(Pedidos!$E$2:$E$1801,MATCH(B2455,Pedidos!$A$2:$A$1801,0)),"")</f>
        <v/>
      </c>
      <c r="J2455" s="25">
        <f>IFERROR(INDEX(Pedidos!$C$2:$C$1801,MATCH(B2455,Pedidos!$A$2:$A$1801,0)),"")</f>
        <v/>
      </c>
      <c r="K2455" s="25">
        <f>IFERROR(INDEX(Pedidos!$D$2:$D$1801,MATCH(B2455,Pedidos!$A$2:$A$1801,0)),"")</f>
        <v/>
      </c>
      <c r="L2455" s="25">
        <f>IFERROR(INDEX(Pedidos!$F$2:$F$1801,MATCH(B2455,Pedidos!$A$2:$A$1801,0)),"")</f>
        <v/>
      </c>
      <c r="M2455" s="26">
        <f>IFERROR(INDEX(Pedidos!$G$2:$G$1801,MATCH(B2455,Pedidos!$A$2:$A$1801,0)),0)</f>
        <v/>
      </c>
      <c r="N2455" s="25">
        <f>IFERROR(INDEX(Produtos!$B$2:$B$71,MATCH(C2455,Produtos!$A$2:$A$71,0)),"")</f>
        <v/>
      </c>
      <c r="O2455" s="25">
        <f>IFERROR(INDEX(Produtos!$C$2:$C$71,MATCH(C2455,Produtos!$A$2:$A$71,0)),"")</f>
        <v/>
      </c>
      <c r="P2455" s="25">
        <f>IFERROR(INDEX(Produtos!$D$2:$D$71,MATCH(C2455,Produtos!$A$2:$A$71,0)),0)</f>
        <v/>
      </c>
      <c r="Q2455" s="25">
        <f>IFERROR(INDEX(Produtos!$E$2:$E$71,MATCH(C2455,Produtos!$A$2:$A$71,0)),0)</f>
        <v/>
      </c>
      <c r="R2455" s="27">
        <f>D2455*Q2455</f>
        <v/>
      </c>
      <c r="S2455" s="27">
        <f>R2455*E2455</f>
        <v/>
      </c>
      <c r="T2455" s="27">
        <f>(R2455-S2455)*M2455</f>
        <v/>
      </c>
      <c r="U2455" s="27">
        <f>R2455-S2455-T2455</f>
        <v/>
      </c>
      <c r="V2455" s="27">
        <f>D2455*P2455</f>
        <v/>
      </c>
      <c r="W2455" s="27">
        <f>U2455-V2455</f>
        <v/>
      </c>
      <c r="X2455" s="28">
        <f>IFERROR(W2455/U2455,0)</f>
        <v/>
      </c>
    </row>
    <row r="2456">
      <c r="A2456" s="21">
        <f>ItensPedido!A2456</f>
        <v/>
      </c>
      <c r="B2456" s="21">
        <f>ItensPedido!B2456</f>
        <v/>
      </c>
      <c r="C2456" s="21">
        <f>ItensPedido!C2456</f>
        <v/>
      </c>
      <c r="D2456" s="21">
        <f>ItensPedido!D2456</f>
        <v/>
      </c>
      <c r="E2456" s="22">
        <f>ItensPedido!E2456</f>
        <v/>
      </c>
      <c r="F2456" s="21">
        <f>IFERROR(INDEX(Pedidos!$B$2:$B$1801,MATCH(B2456,Pedidos!$A$2:$A$1801,0)),0)</f>
        <v/>
      </c>
      <c r="G2456" s="21">
        <f>IF(F2456=0,"",YEAR(F2456))</f>
        <v/>
      </c>
      <c r="H2456" s="21">
        <f>IF(F2456=0,"",MONTH(F2456))</f>
        <v/>
      </c>
      <c r="I2456" s="21">
        <f>IFERROR(INDEX(Pedidos!$E$2:$E$1801,MATCH(B2456,Pedidos!$A$2:$A$1801,0)),"")</f>
        <v/>
      </c>
      <c r="J2456" s="21">
        <f>IFERROR(INDEX(Pedidos!$C$2:$C$1801,MATCH(B2456,Pedidos!$A$2:$A$1801,0)),"")</f>
        <v/>
      </c>
      <c r="K2456" s="21">
        <f>IFERROR(INDEX(Pedidos!$D$2:$D$1801,MATCH(B2456,Pedidos!$A$2:$A$1801,0)),"")</f>
        <v/>
      </c>
      <c r="L2456" s="21">
        <f>IFERROR(INDEX(Pedidos!$F$2:$F$1801,MATCH(B2456,Pedidos!$A$2:$A$1801,0)),"")</f>
        <v/>
      </c>
      <c r="M2456" s="22">
        <f>IFERROR(INDEX(Pedidos!$G$2:$G$1801,MATCH(B2456,Pedidos!$A$2:$A$1801,0)),0)</f>
        <v/>
      </c>
      <c r="N2456" s="21">
        <f>IFERROR(INDEX(Produtos!$B$2:$B$71,MATCH(C2456,Produtos!$A$2:$A$71,0)),"")</f>
        <v/>
      </c>
      <c r="O2456" s="21">
        <f>IFERROR(INDEX(Produtos!$C$2:$C$71,MATCH(C2456,Produtos!$A$2:$A$71,0)),"")</f>
        <v/>
      </c>
      <c r="P2456" s="21">
        <f>IFERROR(INDEX(Produtos!$D$2:$D$71,MATCH(C2456,Produtos!$A$2:$A$71,0)),0)</f>
        <v/>
      </c>
      <c r="Q2456" s="21">
        <f>IFERROR(INDEX(Produtos!$E$2:$E$71,MATCH(C2456,Produtos!$A$2:$A$71,0)),0)</f>
        <v/>
      </c>
      <c r="R2456" s="23">
        <f>D2456*Q2456</f>
        <v/>
      </c>
      <c r="S2456" s="23">
        <f>R2456*E2456</f>
        <v/>
      </c>
      <c r="T2456" s="23">
        <f>(R2456-S2456)*M2456</f>
        <v/>
      </c>
      <c r="U2456" s="23">
        <f>R2456-S2456-T2456</f>
        <v/>
      </c>
      <c r="V2456" s="23">
        <f>D2456*P2456</f>
        <v/>
      </c>
      <c r="W2456" s="23">
        <f>U2456-V2456</f>
        <v/>
      </c>
      <c r="X2456" s="24">
        <f>IFERROR(W2456/U2456,0)</f>
        <v/>
      </c>
    </row>
    <row r="2457">
      <c r="A2457" s="25">
        <f>ItensPedido!A2457</f>
        <v/>
      </c>
      <c r="B2457" s="25">
        <f>ItensPedido!B2457</f>
        <v/>
      </c>
      <c r="C2457" s="25">
        <f>ItensPedido!C2457</f>
        <v/>
      </c>
      <c r="D2457" s="25">
        <f>ItensPedido!D2457</f>
        <v/>
      </c>
      <c r="E2457" s="26">
        <f>ItensPedido!E2457</f>
        <v/>
      </c>
      <c r="F2457" s="25">
        <f>IFERROR(INDEX(Pedidos!$B$2:$B$1801,MATCH(B2457,Pedidos!$A$2:$A$1801,0)),0)</f>
        <v/>
      </c>
      <c r="G2457" s="25">
        <f>IF(F2457=0,"",YEAR(F2457))</f>
        <v/>
      </c>
      <c r="H2457" s="25">
        <f>IF(F2457=0,"",MONTH(F2457))</f>
        <v/>
      </c>
      <c r="I2457" s="25">
        <f>IFERROR(INDEX(Pedidos!$E$2:$E$1801,MATCH(B2457,Pedidos!$A$2:$A$1801,0)),"")</f>
        <v/>
      </c>
      <c r="J2457" s="25">
        <f>IFERROR(INDEX(Pedidos!$C$2:$C$1801,MATCH(B2457,Pedidos!$A$2:$A$1801,0)),"")</f>
        <v/>
      </c>
      <c r="K2457" s="25">
        <f>IFERROR(INDEX(Pedidos!$D$2:$D$1801,MATCH(B2457,Pedidos!$A$2:$A$1801,0)),"")</f>
        <v/>
      </c>
      <c r="L2457" s="25">
        <f>IFERROR(INDEX(Pedidos!$F$2:$F$1801,MATCH(B2457,Pedidos!$A$2:$A$1801,0)),"")</f>
        <v/>
      </c>
      <c r="M2457" s="26">
        <f>IFERROR(INDEX(Pedidos!$G$2:$G$1801,MATCH(B2457,Pedidos!$A$2:$A$1801,0)),0)</f>
        <v/>
      </c>
      <c r="N2457" s="25">
        <f>IFERROR(INDEX(Produtos!$B$2:$B$71,MATCH(C2457,Produtos!$A$2:$A$71,0)),"")</f>
        <v/>
      </c>
      <c r="O2457" s="25">
        <f>IFERROR(INDEX(Produtos!$C$2:$C$71,MATCH(C2457,Produtos!$A$2:$A$71,0)),"")</f>
        <v/>
      </c>
      <c r="P2457" s="25">
        <f>IFERROR(INDEX(Produtos!$D$2:$D$71,MATCH(C2457,Produtos!$A$2:$A$71,0)),0)</f>
        <v/>
      </c>
      <c r="Q2457" s="25">
        <f>IFERROR(INDEX(Produtos!$E$2:$E$71,MATCH(C2457,Produtos!$A$2:$A$71,0)),0)</f>
        <v/>
      </c>
      <c r="R2457" s="27">
        <f>D2457*Q2457</f>
        <v/>
      </c>
      <c r="S2457" s="27">
        <f>R2457*E2457</f>
        <v/>
      </c>
      <c r="T2457" s="27">
        <f>(R2457-S2457)*M2457</f>
        <v/>
      </c>
      <c r="U2457" s="27">
        <f>R2457-S2457-T2457</f>
        <v/>
      </c>
      <c r="V2457" s="27">
        <f>D2457*P2457</f>
        <v/>
      </c>
      <c r="W2457" s="27">
        <f>U2457-V2457</f>
        <v/>
      </c>
      <c r="X2457" s="28">
        <f>IFERROR(W2457/U2457,0)</f>
        <v/>
      </c>
    </row>
    <row r="2458">
      <c r="A2458" s="21">
        <f>ItensPedido!A2458</f>
        <v/>
      </c>
      <c r="B2458" s="21">
        <f>ItensPedido!B2458</f>
        <v/>
      </c>
      <c r="C2458" s="21">
        <f>ItensPedido!C2458</f>
        <v/>
      </c>
      <c r="D2458" s="21">
        <f>ItensPedido!D2458</f>
        <v/>
      </c>
      <c r="E2458" s="22">
        <f>ItensPedido!E2458</f>
        <v/>
      </c>
      <c r="F2458" s="21">
        <f>IFERROR(INDEX(Pedidos!$B$2:$B$1801,MATCH(B2458,Pedidos!$A$2:$A$1801,0)),0)</f>
        <v/>
      </c>
      <c r="G2458" s="21">
        <f>IF(F2458=0,"",YEAR(F2458))</f>
        <v/>
      </c>
      <c r="H2458" s="21">
        <f>IF(F2458=0,"",MONTH(F2458))</f>
        <v/>
      </c>
      <c r="I2458" s="21">
        <f>IFERROR(INDEX(Pedidos!$E$2:$E$1801,MATCH(B2458,Pedidos!$A$2:$A$1801,0)),"")</f>
        <v/>
      </c>
      <c r="J2458" s="21">
        <f>IFERROR(INDEX(Pedidos!$C$2:$C$1801,MATCH(B2458,Pedidos!$A$2:$A$1801,0)),"")</f>
        <v/>
      </c>
      <c r="K2458" s="21">
        <f>IFERROR(INDEX(Pedidos!$D$2:$D$1801,MATCH(B2458,Pedidos!$A$2:$A$1801,0)),"")</f>
        <v/>
      </c>
      <c r="L2458" s="21">
        <f>IFERROR(INDEX(Pedidos!$F$2:$F$1801,MATCH(B2458,Pedidos!$A$2:$A$1801,0)),"")</f>
        <v/>
      </c>
      <c r="M2458" s="22">
        <f>IFERROR(INDEX(Pedidos!$G$2:$G$1801,MATCH(B2458,Pedidos!$A$2:$A$1801,0)),0)</f>
        <v/>
      </c>
      <c r="N2458" s="21">
        <f>IFERROR(INDEX(Produtos!$B$2:$B$71,MATCH(C2458,Produtos!$A$2:$A$71,0)),"")</f>
        <v/>
      </c>
      <c r="O2458" s="21">
        <f>IFERROR(INDEX(Produtos!$C$2:$C$71,MATCH(C2458,Produtos!$A$2:$A$71,0)),"")</f>
        <v/>
      </c>
      <c r="P2458" s="21">
        <f>IFERROR(INDEX(Produtos!$D$2:$D$71,MATCH(C2458,Produtos!$A$2:$A$71,0)),0)</f>
        <v/>
      </c>
      <c r="Q2458" s="21">
        <f>IFERROR(INDEX(Produtos!$E$2:$E$71,MATCH(C2458,Produtos!$A$2:$A$71,0)),0)</f>
        <v/>
      </c>
      <c r="R2458" s="23">
        <f>D2458*Q2458</f>
        <v/>
      </c>
      <c r="S2458" s="23">
        <f>R2458*E2458</f>
        <v/>
      </c>
      <c r="T2458" s="23">
        <f>(R2458-S2458)*M2458</f>
        <v/>
      </c>
      <c r="U2458" s="23">
        <f>R2458-S2458-T2458</f>
        <v/>
      </c>
      <c r="V2458" s="23">
        <f>D2458*P2458</f>
        <v/>
      </c>
      <c r="W2458" s="23">
        <f>U2458-V2458</f>
        <v/>
      </c>
      <c r="X2458" s="24">
        <f>IFERROR(W2458/U2458,0)</f>
        <v/>
      </c>
    </row>
    <row r="2459">
      <c r="A2459" s="25">
        <f>ItensPedido!A2459</f>
        <v/>
      </c>
      <c r="B2459" s="25">
        <f>ItensPedido!B2459</f>
        <v/>
      </c>
      <c r="C2459" s="25">
        <f>ItensPedido!C2459</f>
        <v/>
      </c>
      <c r="D2459" s="25">
        <f>ItensPedido!D2459</f>
        <v/>
      </c>
      <c r="E2459" s="26">
        <f>ItensPedido!E2459</f>
        <v/>
      </c>
      <c r="F2459" s="25">
        <f>IFERROR(INDEX(Pedidos!$B$2:$B$1801,MATCH(B2459,Pedidos!$A$2:$A$1801,0)),0)</f>
        <v/>
      </c>
      <c r="G2459" s="25">
        <f>IF(F2459=0,"",YEAR(F2459))</f>
        <v/>
      </c>
      <c r="H2459" s="25">
        <f>IF(F2459=0,"",MONTH(F2459))</f>
        <v/>
      </c>
      <c r="I2459" s="25">
        <f>IFERROR(INDEX(Pedidos!$E$2:$E$1801,MATCH(B2459,Pedidos!$A$2:$A$1801,0)),"")</f>
        <v/>
      </c>
      <c r="J2459" s="25">
        <f>IFERROR(INDEX(Pedidos!$C$2:$C$1801,MATCH(B2459,Pedidos!$A$2:$A$1801,0)),"")</f>
        <v/>
      </c>
      <c r="K2459" s="25">
        <f>IFERROR(INDEX(Pedidos!$D$2:$D$1801,MATCH(B2459,Pedidos!$A$2:$A$1801,0)),"")</f>
        <v/>
      </c>
      <c r="L2459" s="25">
        <f>IFERROR(INDEX(Pedidos!$F$2:$F$1801,MATCH(B2459,Pedidos!$A$2:$A$1801,0)),"")</f>
        <v/>
      </c>
      <c r="M2459" s="26">
        <f>IFERROR(INDEX(Pedidos!$G$2:$G$1801,MATCH(B2459,Pedidos!$A$2:$A$1801,0)),0)</f>
        <v/>
      </c>
      <c r="N2459" s="25">
        <f>IFERROR(INDEX(Produtos!$B$2:$B$71,MATCH(C2459,Produtos!$A$2:$A$71,0)),"")</f>
        <v/>
      </c>
      <c r="O2459" s="25">
        <f>IFERROR(INDEX(Produtos!$C$2:$C$71,MATCH(C2459,Produtos!$A$2:$A$71,0)),"")</f>
        <v/>
      </c>
      <c r="P2459" s="25">
        <f>IFERROR(INDEX(Produtos!$D$2:$D$71,MATCH(C2459,Produtos!$A$2:$A$71,0)),0)</f>
        <v/>
      </c>
      <c r="Q2459" s="25">
        <f>IFERROR(INDEX(Produtos!$E$2:$E$71,MATCH(C2459,Produtos!$A$2:$A$71,0)),0)</f>
        <v/>
      </c>
      <c r="R2459" s="27">
        <f>D2459*Q2459</f>
        <v/>
      </c>
      <c r="S2459" s="27">
        <f>R2459*E2459</f>
        <v/>
      </c>
      <c r="T2459" s="27">
        <f>(R2459-S2459)*M2459</f>
        <v/>
      </c>
      <c r="U2459" s="27">
        <f>R2459-S2459-T2459</f>
        <v/>
      </c>
      <c r="V2459" s="27">
        <f>D2459*P2459</f>
        <v/>
      </c>
      <c r="W2459" s="27">
        <f>U2459-V2459</f>
        <v/>
      </c>
      <c r="X2459" s="28">
        <f>IFERROR(W2459/U2459,0)</f>
        <v/>
      </c>
    </row>
    <row r="2460">
      <c r="A2460" s="21">
        <f>ItensPedido!A2460</f>
        <v/>
      </c>
      <c r="B2460" s="21">
        <f>ItensPedido!B2460</f>
        <v/>
      </c>
      <c r="C2460" s="21">
        <f>ItensPedido!C2460</f>
        <v/>
      </c>
      <c r="D2460" s="21">
        <f>ItensPedido!D2460</f>
        <v/>
      </c>
      <c r="E2460" s="22">
        <f>ItensPedido!E2460</f>
        <v/>
      </c>
      <c r="F2460" s="21">
        <f>IFERROR(INDEX(Pedidos!$B$2:$B$1801,MATCH(B2460,Pedidos!$A$2:$A$1801,0)),0)</f>
        <v/>
      </c>
      <c r="G2460" s="21">
        <f>IF(F2460=0,"",YEAR(F2460))</f>
        <v/>
      </c>
      <c r="H2460" s="21">
        <f>IF(F2460=0,"",MONTH(F2460))</f>
        <v/>
      </c>
      <c r="I2460" s="21">
        <f>IFERROR(INDEX(Pedidos!$E$2:$E$1801,MATCH(B2460,Pedidos!$A$2:$A$1801,0)),"")</f>
        <v/>
      </c>
      <c r="J2460" s="21">
        <f>IFERROR(INDEX(Pedidos!$C$2:$C$1801,MATCH(B2460,Pedidos!$A$2:$A$1801,0)),"")</f>
        <v/>
      </c>
      <c r="K2460" s="21">
        <f>IFERROR(INDEX(Pedidos!$D$2:$D$1801,MATCH(B2460,Pedidos!$A$2:$A$1801,0)),"")</f>
        <v/>
      </c>
      <c r="L2460" s="21">
        <f>IFERROR(INDEX(Pedidos!$F$2:$F$1801,MATCH(B2460,Pedidos!$A$2:$A$1801,0)),"")</f>
        <v/>
      </c>
      <c r="M2460" s="22">
        <f>IFERROR(INDEX(Pedidos!$G$2:$G$1801,MATCH(B2460,Pedidos!$A$2:$A$1801,0)),0)</f>
        <v/>
      </c>
      <c r="N2460" s="21">
        <f>IFERROR(INDEX(Produtos!$B$2:$B$71,MATCH(C2460,Produtos!$A$2:$A$71,0)),"")</f>
        <v/>
      </c>
      <c r="O2460" s="21">
        <f>IFERROR(INDEX(Produtos!$C$2:$C$71,MATCH(C2460,Produtos!$A$2:$A$71,0)),"")</f>
        <v/>
      </c>
      <c r="P2460" s="21">
        <f>IFERROR(INDEX(Produtos!$D$2:$D$71,MATCH(C2460,Produtos!$A$2:$A$71,0)),0)</f>
        <v/>
      </c>
      <c r="Q2460" s="21">
        <f>IFERROR(INDEX(Produtos!$E$2:$E$71,MATCH(C2460,Produtos!$A$2:$A$71,0)),0)</f>
        <v/>
      </c>
      <c r="R2460" s="23">
        <f>D2460*Q2460</f>
        <v/>
      </c>
      <c r="S2460" s="23">
        <f>R2460*E2460</f>
        <v/>
      </c>
      <c r="T2460" s="23">
        <f>(R2460-S2460)*M2460</f>
        <v/>
      </c>
      <c r="U2460" s="23">
        <f>R2460-S2460-T2460</f>
        <v/>
      </c>
      <c r="V2460" s="23">
        <f>D2460*P2460</f>
        <v/>
      </c>
      <c r="W2460" s="23">
        <f>U2460-V2460</f>
        <v/>
      </c>
      <c r="X2460" s="24">
        <f>IFERROR(W2460/U2460,0)</f>
        <v/>
      </c>
    </row>
    <row r="2461">
      <c r="A2461" s="25">
        <f>ItensPedido!A2461</f>
        <v/>
      </c>
      <c r="B2461" s="25">
        <f>ItensPedido!B2461</f>
        <v/>
      </c>
      <c r="C2461" s="25">
        <f>ItensPedido!C2461</f>
        <v/>
      </c>
      <c r="D2461" s="25">
        <f>ItensPedido!D2461</f>
        <v/>
      </c>
      <c r="E2461" s="26">
        <f>ItensPedido!E2461</f>
        <v/>
      </c>
      <c r="F2461" s="25">
        <f>IFERROR(INDEX(Pedidos!$B$2:$B$1801,MATCH(B2461,Pedidos!$A$2:$A$1801,0)),0)</f>
        <v/>
      </c>
      <c r="G2461" s="25">
        <f>IF(F2461=0,"",YEAR(F2461))</f>
        <v/>
      </c>
      <c r="H2461" s="25">
        <f>IF(F2461=0,"",MONTH(F2461))</f>
        <v/>
      </c>
      <c r="I2461" s="25">
        <f>IFERROR(INDEX(Pedidos!$E$2:$E$1801,MATCH(B2461,Pedidos!$A$2:$A$1801,0)),"")</f>
        <v/>
      </c>
      <c r="J2461" s="25">
        <f>IFERROR(INDEX(Pedidos!$C$2:$C$1801,MATCH(B2461,Pedidos!$A$2:$A$1801,0)),"")</f>
        <v/>
      </c>
      <c r="K2461" s="25">
        <f>IFERROR(INDEX(Pedidos!$D$2:$D$1801,MATCH(B2461,Pedidos!$A$2:$A$1801,0)),"")</f>
        <v/>
      </c>
      <c r="L2461" s="25">
        <f>IFERROR(INDEX(Pedidos!$F$2:$F$1801,MATCH(B2461,Pedidos!$A$2:$A$1801,0)),"")</f>
        <v/>
      </c>
      <c r="M2461" s="26">
        <f>IFERROR(INDEX(Pedidos!$G$2:$G$1801,MATCH(B2461,Pedidos!$A$2:$A$1801,0)),0)</f>
        <v/>
      </c>
      <c r="N2461" s="25">
        <f>IFERROR(INDEX(Produtos!$B$2:$B$71,MATCH(C2461,Produtos!$A$2:$A$71,0)),"")</f>
        <v/>
      </c>
      <c r="O2461" s="25">
        <f>IFERROR(INDEX(Produtos!$C$2:$C$71,MATCH(C2461,Produtos!$A$2:$A$71,0)),"")</f>
        <v/>
      </c>
      <c r="P2461" s="25">
        <f>IFERROR(INDEX(Produtos!$D$2:$D$71,MATCH(C2461,Produtos!$A$2:$A$71,0)),0)</f>
        <v/>
      </c>
      <c r="Q2461" s="25">
        <f>IFERROR(INDEX(Produtos!$E$2:$E$71,MATCH(C2461,Produtos!$A$2:$A$71,0)),0)</f>
        <v/>
      </c>
      <c r="R2461" s="27">
        <f>D2461*Q2461</f>
        <v/>
      </c>
      <c r="S2461" s="27">
        <f>R2461*E2461</f>
        <v/>
      </c>
      <c r="T2461" s="27">
        <f>(R2461-S2461)*M2461</f>
        <v/>
      </c>
      <c r="U2461" s="27">
        <f>R2461-S2461-T2461</f>
        <v/>
      </c>
      <c r="V2461" s="27">
        <f>D2461*P2461</f>
        <v/>
      </c>
      <c r="W2461" s="27">
        <f>U2461-V2461</f>
        <v/>
      </c>
      <c r="X2461" s="28">
        <f>IFERROR(W2461/U2461,0)</f>
        <v/>
      </c>
    </row>
    <row r="2462">
      <c r="A2462" s="21">
        <f>ItensPedido!A2462</f>
        <v/>
      </c>
      <c r="B2462" s="21">
        <f>ItensPedido!B2462</f>
        <v/>
      </c>
      <c r="C2462" s="21">
        <f>ItensPedido!C2462</f>
        <v/>
      </c>
      <c r="D2462" s="21">
        <f>ItensPedido!D2462</f>
        <v/>
      </c>
      <c r="E2462" s="22">
        <f>ItensPedido!E2462</f>
        <v/>
      </c>
      <c r="F2462" s="21">
        <f>IFERROR(INDEX(Pedidos!$B$2:$B$1801,MATCH(B2462,Pedidos!$A$2:$A$1801,0)),0)</f>
        <v/>
      </c>
      <c r="G2462" s="21">
        <f>IF(F2462=0,"",YEAR(F2462))</f>
        <v/>
      </c>
      <c r="H2462" s="21">
        <f>IF(F2462=0,"",MONTH(F2462))</f>
        <v/>
      </c>
      <c r="I2462" s="21">
        <f>IFERROR(INDEX(Pedidos!$E$2:$E$1801,MATCH(B2462,Pedidos!$A$2:$A$1801,0)),"")</f>
        <v/>
      </c>
      <c r="J2462" s="21">
        <f>IFERROR(INDEX(Pedidos!$C$2:$C$1801,MATCH(B2462,Pedidos!$A$2:$A$1801,0)),"")</f>
        <v/>
      </c>
      <c r="K2462" s="21">
        <f>IFERROR(INDEX(Pedidos!$D$2:$D$1801,MATCH(B2462,Pedidos!$A$2:$A$1801,0)),"")</f>
        <v/>
      </c>
      <c r="L2462" s="21">
        <f>IFERROR(INDEX(Pedidos!$F$2:$F$1801,MATCH(B2462,Pedidos!$A$2:$A$1801,0)),"")</f>
        <v/>
      </c>
      <c r="M2462" s="22">
        <f>IFERROR(INDEX(Pedidos!$G$2:$G$1801,MATCH(B2462,Pedidos!$A$2:$A$1801,0)),0)</f>
        <v/>
      </c>
      <c r="N2462" s="21">
        <f>IFERROR(INDEX(Produtos!$B$2:$B$71,MATCH(C2462,Produtos!$A$2:$A$71,0)),"")</f>
        <v/>
      </c>
      <c r="O2462" s="21">
        <f>IFERROR(INDEX(Produtos!$C$2:$C$71,MATCH(C2462,Produtos!$A$2:$A$71,0)),"")</f>
        <v/>
      </c>
      <c r="P2462" s="21">
        <f>IFERROR(INDEX(Produtos!$D$2:$D$71,MATCH(C2462,Produtos!$A$2:$A$71,0)),0)</f>
        <v/>
      </c>
      <c r="Q2462" s="21">
        <f>IFERROR(INDEX(Produtos!$E$2:$E$71,MATCH(C2462,Produtos!$A$2:$A$71,0)),0)</f>
        <v/>
      </c>
      <c r="R2462" s="23">
        <f>D2462*Q2462</f>
        <v/>
      </c>
      <c r="S2462" s="23">
        <f>R2462*E2462</f>
        <v/>
      </c>
      <c r="T2462" s="23">
        <f>(R2462-S2462)*M2462</f>
        <v/>
      </c>
      <c r="U2462" s="23">
        <f>R2462-S2462-T2462</f>
        <v/>
      </c>
      <c r="V2462" s="23">
        <f>D2462*P2462</f>
        <v/>
      </c>
      <c r="W2462" s="23">
        <f>U2462-V2462</f>
        <v/>
      </c>
      <c r="X2462" s="24">
        <f>IFERROR(W2462/U2462,0)</f>
        <v/>
      </c>
    </row>
    <row r="2463">
      <c r="A2463" s="25">
        <f>ItensPedido!A2463</f>
        <v/>
      </c>
      <c r="B2463" s="25">
        <f>ItensPedido!B2463</f>
        <v/>
      </c>
      <c r="C2463" s="25">
        <f>ItensPedido!C2463</f>
        <v/>
      </c>
      <c r="D2463" s="25">
        <f>ItensPedido!D2463</f>
        <v/>
      </c>
      <c r="E2463" s="26">
        <f>ItensPedido!E2463</f>
        <v/>
      </c>
      <c r="F2463" s="25">
        <f>IFERROR(INDEX(Pedidos!$B$2:$B$1801,MATCH(B2463,Pedidos!$A$2:$A$1801,0)),0)</f>
        <v/>
      </c>
      <c r="G2463" s="25">
        <f>IF(F2463=0,"",YEAR(F2463))</f>
        <v/>
      </c>
      <c r="H2463" s="25">
        <f>IF(F2463=0,"",MONTH(F2463))</f>
        <v/>
      </c>
      <c r="I2463" s="25">
        <f>IFERROR(INDEX(Pedidos!$E$2:$E$1801,MATCH(B2463,Pedidos!$A$2:$A$1801,0)),"")</f>
        <v/>
      </c>
      <c r="J2463" s="25">
        <f>IFERROR(INDEX(Pedidos!$C$2:$C$1801,MATCH(B2463,Pedidos!$A$2:$A$1801,0)),"")</f>
        <v/>
      </c>
      <c r="K2463" s="25">
        <f>IFERROR(INDEX(Pedidos!$D$2:$D$1801,MATCH(B2463,Pedidos!$A$2:$A$1801,0)),"")</f>
        <v/>
      </c>
      <c r="L2463" s="25">
        <f>IFERROR(INDEX(Pedidos!$F$2:$F$1801,MATCH(B2463,Pedidos!$A$2:$A$1801,0)),"")</f>
        <v/>
      </c>
      <c r="M2463" s="26">
        <f>IFERROR(INDEX(Pedidos!$G$2:$G$1801,MATCH(B2463,Pedidos!$A$2:$A$1801,0)),0)</f>
        <v/>
      </c>
      <c r="N2463" s="25">
        <f>IFERROR(INDEX(Produtos!$B$2:$B$71,MATCH(C2463,Produtos!$A$2:$A$71,0)),"")</f>
        <v/>
      </c>
      <c r="O2463" s="25">
        <f>IFERROR(INDEX(Produtos!$C$2:$C$71,MATCH(C2463,Produtos!$A$2:$A$71,0)),"")</f>
        <v/>
      </c>
      <c r="P2463" s="25">
        <f>IFERROR(INDEX(Produtos!$D$2:$D$71,MATCH(C2463,Produtos!$A$2:$A$71,0)),0)</f>
        <v/>
      </c>
      <c r="Q2463" s="25">
        <f>IFERROR(INDEX(Produtos!$E$2:$E$71,MATCH(C2463,Produtos!$A$2:$A$71,0)),0)</f>
        <v/>
      </c>
      <c r="R2463" s="27">
        <f>D2463*Q2463</f>
        <v/>
      </c>
      <c r="S2463" s="27">
        <f>R2463*E2463</f>
        <v/>
      </c>
      <c r="T2463" s="27">
        <f>(R2463-S2463)*M2463</f>
        <v/>
      </c>
      <c r="U2463" s="27">
        <f>R2463-S2463-T2463</f>
        <v/>
      </c>
      <c r="V2463" s="27">
        <f>D2463*P2463</f>
        <v/>
      </c>
      <c r="W2463" s="27">
        <f>U2463-V2463</f>
        <v/>
      </c>
      <c r="X2463" s="28">
        <f>IFERROR(W2463/U2463,0)</f>
        <v/>
      </c>
    </row>
    <row r="2464">
      <c r="A2464" s="21">
        <f>ItensPedido!A2464</f>
        <v/>
      </c>
      <c r="B2464" s="21">
        <f>ItensPedido!B2464</f>
        <v/>
      </c>
      <c r="C2464" s="21">
        <f>ItensPedido!C2464</f>
        <v/>
      </c>
      <c r="D2464" s="21">
        <f>ItensPedido!D2464</f>
        <v/>
      </c>
      <c r="E2464" s="22">
        <f>ItensPedido!E2464</f>
        <v/>
      </c>
      <c r="F2464" s="21">
        <f>IFERROR(INDEX(Pedidos!$B$2:$B$1801,MATCH(B2464,Pedidos!$A$2:$A$1801,0)),0)</f>
        <v/>
      </c>
      <c r="G2464" s="21">
        <f>IF(F2464=0,"",YEAR(F2464))</f>
        <v/>
      </c>
      <c r="H2464" s="21">
        <f>IF(F2464=0,"",MONTH(F2464))</f>
        <v/>
      </c>
      <c r="I2464" s="21">
        <f>IFERROR(INDEX(Pedidos!$E$2:$E$1801,MATCH(B2464,Pedidos!$A$2:$A$1801,0)),"")</f>
        <v/>
      </c>
      <c r="J2464" s="21">
        <f>IFERROR(INDEX(Pedidos!$C$2:$C$1801,MATCH(B2464,Pedidos!$A$2:$A$1801,0)),"")</f>
        <v/>
      </c>
      <c r="K2464" s="21">
        <f>IFERROR(INDEX(Pedidos!$D$2:$D$1801,MATCH(B2464,Pedidos!$A$2:$A$1801,0)),"")</f>
        <v/>
      </c>
      <c r="L2464" s="21">
        <f>IFERROR(INDEX(Pedidos!$F$2:$F$1801,MATCH(B2464,Pedidos!$A$2:$A$1801,0)),"")</f>
        <v/>
      </c>
      <c r="M2464" s="22">
        <f>IFERROR(INDEX(Pedidos!$G$2:$G$1801,MATCH(B2464,Pedidos!$A$2:$A$1801,0)),0)</f>
        <v/>
      </c>
      <c r="N2464" s="21">
        <f>IFERROR(INDEX(Produtos!$B$2:$B$71,MATCH(C2464,Produtos!$A$2:$A$71,0)),"")</f>
        <v/>
      </c>
      <c r="O2464" s="21">
        <f>IFERROR(INDEX(Produtos!$C$2:$C$71,MATCH(C2464,Produtos!$A$2:$A$71,0)),"")</f>
        <v/>
      </c>
      <c r="P2464" s="21">
        <f>IFERROR(INDEX(Produtos!$D$2:$D$71,MATCH(C2464,Produtos!$A$2:$A$71,0)),0)</f>
        <v/>
      </c>
      <c r="Q2464" s="21">
        <f>IFERROR(INDEX(Produtos!$E$2:$E$71,MATCH(C2464,Produtos!$A$2:$A$71,0)),0)</f>
        <v/>
      </c>
      <c r="R2464" s="23">
        <f>D2464*Q2464</f>
        <v/>
      </c>
      <c r="S2464" s="23">
        <f>R2464*E2464</f>
        <v/>
      </c>
      <c r="T2464" s="23">
        <f>(R2464-S2464)*M2464</f>
        <v/>
      </c>
      <c r="U2464" s="23">
        <f>R2464-S2464-T2464</f>
        <v/>
      </c>
      <c r="V2464" s="23">
        <f>D2464*P2464</f>
        <v/>
      </c>
      <c r="W2464" s="23">
        <f>U2464-V2464</f>
        <v/>
      </c>
      <c r="X2464" s="24">
        <f>IFERROR(W2464/U2464,0)</f>
        <v/>
      </c>
    </row>
    <row r="2465">
      <c r="A2465" s="25">
        <f>ItensPedido!A2465</f>
        <v/>
      </c>
      <c r="B2465" s="25">
        <f>ItensPedido!B2465</f>
        <v/>
      </c>
      <c r="C2465" s="25">
        <f>ItensPedido!C2465</f>
        <v/>
      </c>
      <c r="D2465" s="25">
        <f>ItensPedido!D2465</f>
        <v/>
      </c>
      <c r="E2465" s="26">
        <f>ItensPedido!E2465</f>
        <v/>
      </c>
      <c r="F2465" s="25">
        <f>IFERROR(INDEX(Pedidos!$B$2:$B$1801,MATCH(B2465,Pedidos!$A$2:$A$1801,0)),0)</f>
        <v/>
      </c>
      <c r="G2465" s="25">
        <f>IF(F2465=0,"",YEAR(F2465))</f>
        <v/>
      </c>
      <c r="H2465" s="25">
        <f>IF(F2465=0,"",MONTH(F2465))</f>
        <v/>
      </c>
      <c r="I2465" s="25">
        <f>IFERROR(INDEX(Pedidos!$E$2:$E$1801,MATCH(B2465,Pedidos!$A$2:$A$1801,0)),"")</f>
        <v/>
      </c>
      <c r="J2465" s="25">
        <f>IFERROR(INDEX(Pedidos!$C$2:$C$1801,MATCH(B2465,Pedidos!$A$2:$A$1801,0)),"")</f>
        <v/>
      </c>
      <c r="K2465" s="25">
        <f>IFERROR(INDEX(Pedidos!$D$2:$D$1801,MATCH(B2465,Pedidos!$A$2:$A$1801,0)),"")</f>
        <v/>
      </c>
      <c r="L2465" s="25">
        <f>IFERROR(INDEX(Pedidos!$F$2:$F$1801,MATCH(B2465,Pedidos!$A$2:$A$1801,0)),"")</f>
        <v/>
      </c>
      <c r="M2465" s="26">
        <f>IFERROR(INDEX(Pedidos!$G$2:$G$1801,MATCH(B2465,Pedidos!$A$2:$A$1801,0)),0)</f>
        <v/>
      </c>
      <c r="N2465" s="25">
        <f>IFERROR(INDEX(Produtos!$B$2:$B$71,MATCH(C2465,Produtos!$A$2:$A$71,0)),"")</f>
        <v/>
      </c>
      <c r="O2465" s="25">
        <f>IFERROR(INDEX(Produtos!$C$2:$C$71,MATCH(C2465,Produtos!$A$2:$A$71,0)),"")</f>
        <v/>
      </c>
      <c r="P2465" s="25">
        <f>IFERROR(INDEX(Produtos!$D$2:$D$71,MATCH(C2465,Produtos!$A$2:$A$71,0)),0)</f>
        <v/>
      </c>
      <c r="Q2465" s="25">
        <f>IFERROR(INDEX(Produtos!$E$2:$E$71,MATCH(C2465,Produtos!$A$2:$A$71,0)),0)</f>
        <v/>
      </c>
      <c r="R2465" s="27">
        <f>D2465*Q2465</f>
        <v/>
      </c>
      <c r="S2465" s="27">
        <f>R2465*E2465</f>
        <v/>
      </c>
      <c r="T2465" s="27">
        <f>(R2465-S2465)*M2465</f>
        <v/>
      </c>
      <c r="U2465" s="27">
        <f>R2465-S2465-T2465</f>
        <v/>
      </c>
      <c r="V2465" s="27">
        <f>D2465*P2465</f>
        <v/>
      </c>
      <c r="W2465" s="27">
        <f>U2465-V2465</f>
        <v/>
      </c>
      <c r="X2465" s="28">
        <f>IFERROR(W2465/U2465,0)</f>
        <v/>
      </c>
    </row>
    <row r="2466">
      <c r="A2466" s="21">
        <f>ItensPedido!A2466</f>
        <v/>
      </c>
      <c r="B2466" s="21">
        <f>ItensPedido!B2466</f>
        <v/>
      </c>
      <c r="C2466" s="21">
        <f>ItensPedido!C2466</f>
        <v/>
      </c>
      <c r="D2466" s="21">
        <f>ItensPedido!D2466</f>
        <v/>
      </c>
      <c r="E2466" s="22">
        <f>ItensPedido!E2466</f>
        <v/>
      </c>
      <c r="F2466" s="21">
        <f>IFERROR(INDEX(Pedidos!$B$2:$B$1801,MATCH(B2466,Pedidos!$A$2:$A$1801,0)),0)</f>
        <v/>
      </c>
      <c r="G2466" s="21">
        <f>IF(F2466=0,"",YEAR(F2466))</f>
        <v/>
      </c>
      <c r="H2466" s="21">
        <f>IF(F2466=0,"",MONTH(F2466))</f>
        <v/>
      </c>
      <c r="I2466" s="21">
        <f>IFERROR(INDEX(Pedidos!$E$2:$E$1801,MATCH(B2466,Pedidos!$A$2:$A$1801,0)),"")</f>
        <v/>
      </c>
      <c r="J2466" s="21">
        <f>IFERROR(INDEX(Pedidos!$C$2:$C$1801,MATCH(B2466,Pedidos!$A$2:$A$1801,0)),"")</f>
        <v/>
      </c>
      <c r="K2466" s="21">
        <f>IFERROR(INDEX(Pedidos!$D$2:$D$1801,MATCH(B2466,Pedidos!$A$2:$A$1801,0)),"")</f>
        <v/>
      </c>
      <c r="L2466" s="21">
        <f>IFERROR(INDEX(Pedidos!$F$2:$F$1801,MATCH(B2466,Pedidos!$A$2:$A$1801,0)),"")</f>
        <v/>
      </c>
      <c r="M2466" s="22">
        <f>IFERROR(INDEX(Pedidos!$G$2:$G$1801,MATCH(B2466,Pedidos!$A$2:$A$1801,0)),0)</f>
        <v/>
      </c>
      <c r="N2466" s="21">
        <f>IFERROR(INDEX(Produtos!$B$2:$B$71,MATCH(C2466,Produtos!$A$2:$A$71,0)),"")</f>
        <v/>
      </c>
      <c r="O2466" s="21">
        <f>IFERROR(INDEX(Produtos!$C$2:$C$71,MATCH(C2466,Produtos!$A$2:$A$71,0)),"")</f>
        <v/>
      </c>
      <c r="P2466" s="21">
        <f>IFERROR(INDEX(Produtos!$D$2:$D$71,MATCH(C2466,Produtos!$A$2:$A$71,0)),0)</f>
        <v/>
      </c>
      <c r="Q2466" s="21">
        <f>IFERROR(INDEX(Produtos!$E$2:$E$71,MATCH(C2466,Produtos!$A$2:$A$71,0)),0)</f>
        <v/>
      </c>
      <c r="R2466" s="23">
        <f>D2466*Q2466</f>
        <v/>
      </c>
      <c r="S2466" s="23">
        <f>R2466*E2466</f>
        <v/>
      </c>
      <c r="T2466" s="23">
        <f>(R2466-S2466)*M2466</f>
        <v/>
      </c>
      <c r="U2466" s="23">
        <f>R2466-S2466-T2466</f>
        <v/>
      </c>
      <c r="V2466" s="23">
        <f>D2466*P2466</f>
        <v/>
      </c>
      <c r="W2466" s="23">
        <f>U2466-V2466</f>
        <v/>
      </c>
      <c r="X2466" s="24">
        <f>IFERROR(W2466/U2466,0)</f>
        <v/>
      </c>
    </row>
    <row r="2467">
      <c r="A2467" s="25">
        <f>ItensPedido!A2467</f>
        <v/>
      </c>
      <c r="B2467" s="25">
        <f>ItensPedido!B2467</f>
        <v/>
      </c>
      <c r="C2467" s="25">
        <f>ItensPedido!C2467</f>
        <v/>
      </c>
      <c r="D2467" s="25">
        <f>ItensPedido!D2467</f>
        <v/>
      </c>
      <c r="E2467" s="26">
        <f>ItensPedido!E2467</f>
        <v/>
      </c>
      <c r="F2467" s="25">
        <f>IFERROR(INDEX(Pedidos!$B$2:$B$1801,MATCH(B2467,Pedidos!$A$2:$A$1801,0)),0)</f>
        <v/>
      </c>
      <c r="G2467" s="25">
        <f>IF(F2467=0,"",YEAR(F2467))</f>
        <v/>
      </c>
      <c r="H2467" s="25">
        <f>IF(F2467=0,"",MONTH(F2467))</f>
        <v/>
      </c>
      <c r="I2467" s="25">
        <f>IFERROR(INDEX(Pedidos!$E$2:$E$1801,MATCH(B2467,Pedidos!$A$2:$A$1801,0)),"")</f>
        <v/>
      </c>
      <c r="J2467" s="25">
        <f>IFERROR(INDEX(Pedidos!$C$2:$C$1801,MATCH(B2467,Pedidos!$A$2:$A$1801,0)),"")</f>
        <v/>
      </c>
      <c r="K2467" s="25">
        <f>IFERROR(INDEX(Pedidos!$D$2:$D$1801,MATCH(B2467,Pedidos!$A$2:$A$1801,0)),"")</f>
        <v/>
      </c>
      <c r="L2467" s="25">
        <f>IFERROR(INDEX(Pedidos!$F$2:$F$1801,MATCH(B2467,Pedidos!$A$2:$A$1801,0)),"")</f>
        <v/>
      </c>
      <c r="M2467" s="26">
        <f>IFERROR(INDEX(Pedidos!$G$2:$G$1801,MATCH(B2467,Pedidos!$A$2:$A$1801,0)),0)</f>
        <v/>
      </c>
      <c r="N2467" s="25">
        <f>IFERROR(INDEX(Produtos!$B$2:$B$71,MATCH(C2467,Produtos!$A$2:$A$71,0)),"")</f>
        <v/>
      </c>
      <c r="O2467" s="25">
        <f>IFERROR(INDEX(Produtos!$C$2:$C$71,MATCH(C2467,Produtos!$A$2:$A$71,0)),"")</f>
        <v/>
      </c>
      <c r="P2467" s="25">
        <f>IFERROR(INDEX(Produtos!$D$2:$D$71,MATCH(C2467,Produtos!$A$2:$A$71,0)),0)</f>
        <v/>
      </c>
      <c r="Q2467" s="25">
        <f>IFERROR(INDEX(Produtos!$E$2:$E$71,MATCH(C2467,Produtos!$A$2:$A$71,0)),0)</f>
        <v/>
      </c>
      <c r="R2467" s="27">
        <f>D2467*Q2467</f>
        <v/>
      </c>
      <c r="S2467" s="27">
        <f>R2467*E2467</f>
        <v/>
      </c>
      <c r="T2467" s="27">
        <f>(R2467-S2467)*M2467</f>
        <v/>
      </c>
      <c r="U2467" s="27">
        <f>R2467-S2467-T2467</f>
        <v/>
      </c>
      <c r="V2467" s="27">
        <f>D2467*P2467</f>
        <v/>
      </c>
      <c r="W2467" s="27">
        <f>U2467-V2467</f>
        <v/>
      </c>
      <c r="X2467" s="28">
        <f>IFERROR(W2467/U2467,0)</f>
        <v/>
      </c>
    </row>
    <row r="2468">
      <c r="A2468" s="21">
        <f>ItensPedido!A2468</f>
        <v/>
      </c>
      <c r="B2468" s="21">
        <f>ItensPedido!B2468</f>
        <v/>
      </c>
      <c r="C2468" s="21">
        <f>ItensPedido!C2468</f>
        <v/>
      </c>
      <c r="D2468" s="21">
        <f>ItensPedido!D2468</f>
        <v/>
      </c>
      <c r="E2468" s="22">
        <f>ItensPedido!E2468</f>
        <v/>
      </c>
      <c r="F2468" s="21">
        <f>IFERROR(INDEX(Pedidos!$B$2:$B$1801,MATCH(B2468,Pedidos!$A$2:$A$1801,0)),0)</f>
        <v/>
      </c>
      <c r="G2468" s="21">
        <f>IF(F2468=0,"",YEAR(F2468))</f>
        <v/>
      </c>
      <c r="H2468" s="21">
        <f>IF(F2468=0,"",MONTH(F2468))</f>
        <v/>
      </c>
      <c r="I2468" s="21">
        <f>IFERROR(INDEX(Pedidos!$E$2:$E$1801,MATCH(B2468,Pedidos!$A$2:$A$1801,0)),"")</f>
        <v/>
      </c>
      <c r="J2468" s="21">
        <f>IFERROR(INDEX(Pedidos!$C$2:$C$1801,MATCH(B2468,Pedidos!$A$2:$A$1801,0)),"")</f>
        <v/>
      </c>
      <c r="K2468" s="21">
        <f>IFERROR(INDEX(Pedidos!$D$2:$D$1801,MATCH(B2468,Pedidos!$A$2:$A$1801,0)),"")</f>
        <v/>
      </c>
      <c r="L2468" s="21">
        <f>IFERROR(INDEX(Pedidos!$F$2:$F$1801,MATCH(B2468,Pedidos!$A$2:$A$1801,0)),"")</f>
        <v/>
      </c>
      <c r="M2468" s="22">
        <f>IFERROR(INDEX(Pedidos!$G$2:$G$1801,MATCH(B2468,Pedidos!$A$2:$A$1801,0)),0)</f>
        <v/>
      </c>
      <c r="N2468" s="21">
        <f>IFERROR(INDEX(Produtos!$B$2:$B$71,MATCH(C2468,Produtos!$A$2:$A$71,0)),"")</f>
        <v/>
      </c>
      <c r="O2468" s="21">
        <f>IFERROR(INDEX(Produtos!$C$2:$C$71,MATCH(C2468,Produtos!$A$2:$A$71,0)),"")</f>
        <v/>
      </c>
      <c r="P2468" s="21">
        <f>IFERROR(INDEX(Produtos!$D$2:$D$71,MATCH(C2468,Produtos!$A$2:$A$71,0)),0)</f>
        <v/>
      </c>
      <c r="Q2468" s="21">
        <f>IFERROR(INDEX(Produtos!$E$2:$E$71,MATCH(C2468,Produtos!$A$2:$A$71,0)),0)</f>
        <v/>
      </c>
      <c r="R2468" s="23">
        <f>D2468*Q2468</f>
        <v/>
      </c>
      <c r="S2468" s="23">
        <f>R2468*E2468</f>
        <v/>
      </c>
      <c r="T2468" s="23">
        <f>(R2468-S2468)*M2468</f>
        <v/>
      </c>
      <c r="U2468" s="23">
        <f>R2468-S2468-T2468</f>
        <v/>
      </c>
      <c r="V2468" s="23">
        <f>D2468*P2468</f>
        <v/>
      </c>
      <c r="W2468" s="23">
        <f>U2468-V2468</f>
        <v/>
      </c>
      <c r="X2468" s="24">
        <f>IFERROR(W2468/U2468,0)</f>
        <v/>
      </c>
    </row>
    <row r="2469">
      <c r="A2469" s="25">
        <f>ItensPedido!A2469</f>
        <v/>
      </c>
      <c r="B2469" s="25">
        <f>ItensPedido!B2469</f>
        <v/>
      </c>
      <c r="C2469" s="25">
        <f>ItensPedido!C2469</f>
        <v/>
      </c>
      <c r="D2469" s="25">
        <f>ItensPedido!D2469</f>
        <v/>
      </c>
      <c r="E2469" s="26">
        <f>ItensPedido!E2469</f>
        <v/>
      </c>
      <c r="F2469" s="25">
        <f>IFERROR(INDEX(Pedidos!$B$2:$B$1801,MATCH(B2469,Pedidos!$A$2:$A$1801,0)),0)</f>
        <v/>
      </c>
      <c r="G2469" s="25">
        <f>IF(F2469=0,"",YEAR(F2469))</f>
        <v/>
      </c>
      <c r="H2469" s="25">
        <f>IF(F2469=0,"",MONTH(F2469))</f>
        <v/>
      </c>
      <c r="I2469" s="25">
        <f>IFERROR(INDEX(Pedidos!$E$2:$E$1801,MATCH(B2469,Pedidos!$A$2:$A$1801,0)),"")</f>
        <v/>
      </c>
      <c r="J2469" s="25">
        <f>IFERROR(INDEX(Pedidos!$C$2:$C$1801,MATCH(B2469,Pedidos!$A$2:$A$1801,0)),"")</f>
        <v/>
      </c>
      <c r="K2469" s="25">
        <f>IFERROR(INDEX(Pedidos!$D$2:$D$1801,MATCH(B2469,Pedidos!$A$2:$A$1801,0)),"")</f>
        <v/>
      </c>
      <c r="L2469" s="25">
        <f>IFERROR(INDEX(Pedidos!$F$2:$F$1801,MATCH(B2469,Pedidos!$A$2:$A$1801,0)),"")</f>
        <v/>
      </c>
      <c r="M2469" s="26">
        <f>IFERROR(INDEX(Pedidos!$G$2:$G$1801,MATCH(B2469,Pedidos!$A$2:$A$1801,0)),0)</f>
        <v/>
      </c>
      <c r="N2469" s="25">
        <f>IFERROR(INDEX(Produtos!$B$2:$B$71,MATCH(C2469,Produtos!$A$2:$A$71,0)),"")</f>
        <v/>
      </c>
      <c r="O2469" s="25">
        <f>IFERROR(INDEX(Produtos!$C$2:$C$71,MATCH(C2469,Produtos!$A$2:$A$71,0)),"")</f>
        <v/>
      </c>
      <c r="P2469" s="25">
        <f>IFERROR(INDEX(Produtos!$D$2:$D$71,MATCH(C2469,Produtos!$A$2:$A$71,0)),0)</f>
        <v/>
      </c>
      <c r="Q2469" s="25">
        <f>IFERROR(INDEX(Produtos!$E$2:$E$71,MATCH(C2469,Produtos!$A$2:$A$71,0)),0)</f>
        <v/>
      </c>
      <c r="R2469" s="27">
        <f>D2469*Q2469</f>
        <v/>
      </c>
      <c r="S2469" s="27">
        <f>R2469*E2469</f>
        <v/>
      </c>
      <c r="T2469" s="27">
        <f>(R2469-S2469)*M2469</f>
        <v/>
      </c>
      <c r="U2469" s="27">
        <f>R2469-S2469-T2469</f>
        <v/>
      </c>
      <c r="V2469" s="27">
        <f>D2469*P2469</f>
        <v/>
      </c>
      <c r="W2469" s="27">
        <f>U2469-V2469</f>
        <v/>
      </c>
      <c r="X2469" s="28">
        <f>IFERROR(W2469/U2469,0)</f>
        <v/>
      </c>
    </row>
    <row r="2470">
      <c r="A2470" s="21">
        <f>ItensPedido!A2470</f>
        <v/>
      </c>
      <c r="B2470" s="21">
        <f>ItensPedido!B2470</f>
        <v/>
      </c>
      <c r="C2470" s="21">
        <f>ItensPedido!C2470</f>
        <v/>
      </c>
      <c r="D2470" s="21">
        <f>ItensPedido!D2470</f>
        <v/>
      </c>
      <c r="E2470" s="22">
        <f>ItensPedido!E2470</f>
        <v/>
      </c>
      <c r="F2470" s="21">
        <f>IFERROR(INDEX(Pedidos!$B$2:$B$1801,MATCH(B2470,Pedidos!$A$2:$A$1801,0)),0)</f>
        <v/>
      </c>
      <c r="G2470" s="21">
        <f>IF(F2470=0,"",YEAR(F2470))</f>
        <v/>
      </c>
      <c r="H2470" s="21">
        <f>IF(F2470=0,"",MONTH(F2470))</f>
        <v/>
      </c>
      <c r="I2470" s="21">
        <f>IFERROR(INDEX(Pedidos!$E$2:$E$1801,MATCH(B2470,Pedidos!$A$2:$A$1801,0)),"")</f>
        <v/>
      </c>
      <c r="J2470" s="21">
        <f>IFERROR(INDEX(Pedidos!$C$2:$C$1801,MATCH(B2470,Pedidos!$A$2:$A$1801,0)),"")</f>
        <v/>
      </c>
      <c r="K2470" s="21">
        <f>IFERROR(INDEX(Pedidos!$D$2:$D$1801,MATCH(B2470,Pedidos!$A$2:$A$1801,0)),"")</f>
        <v/>
      </c>
      <c r="L2470" s="21">
        <f>IFERROR(INDEX(Pedidos!$F$2:$F$1801,MATCH(B2470,Pedidos!$A$2:$A$1801,0)),"")</f>
        <v/>
      </c>
      <c r="M2470" s="22">
        <f>IFERROR(INDEX(Pedidos!$G$2:$G$1801,MATCH(B2470,Pedidos!$A$2:$A$1801,0)),0)</f>
        <v/>
      </c>
      <c r="N2470" s="21">
        <f>IFERROR(INDEX(Produtos!$B$2:$B$71,MATCH(C2470,Produtos!$A$2:$A$71,0)),"")</f>
        <v/>
      </c>
      <c r="O2470" s="21">
        <f>IFERROR(INDEX(Produtos!$C$2:$C$71,MATCH(C2470,Produtos!$A$2:$A$71,0)),"")</f>
        <v/>
      </c>
      <c r="P2470" s="21">
        <f>IFERROR(INDEX(Produtos!$D$2:$D$71,MATCH(C2470,Produtos!$A$2:$A$71,0)),0)</f>
        <v/>
      </c>
      <c r="Q2470" s="21">
        <f>IFERROR(INDEX(Produtos!$E$2:$E$71,MATCH(C2470,Produtos!$A$2:$A$71,0)),0)</f>
        <v/>
      </c>
      <c r="R2470" s="23">
        <f>D2470*Q2470</f>
        <v/>
      </c>
      <c r="S2470" s="23">
        <f>R2470*E2470</f>
        <v/>
      </c>
      <c r="T2470" s="23">
        <f>(R2470-S2470)*M2470</f>
        <v/>
      </c>
      <c r="U2470" s="23">
        <f>R2470-S2470-T2470</f>
        <v/>
      </c>
      <c r="V2470" s="23">
        <f>D2470*P2470</f>
        <v/>
      </c>
      <c r="W2470" s="23">
        <f>U2470-V2470</f>
        <v/>
      </c>
      <c r="X2470" s="24">
        <f>IFERROR(W2470/U2470,0)</f>
        <v/>
      </c>
    </row>
    <row r="2471">
      <c r="A2471" s="25">
        <f>ItensPedido!A2471</f>
        <v/>
      </c>
      <c r="B2471" s="25">
        <f>ItensPedido!B2471</f>
        <v/>
      </c>
      <c r="C2471" s="25">
        <f>ItensPedido!C2471</f>
        <v/>
      </c>
      <c r="D2471" s="25">
        <f>ItensPedido!D2471</f>
        <v/>
      </c>
      <c r="E2471" s="26">
        <f>ItensPedido!E2471</f>
        <v/>
      </c>
      <c r="F2471" s="25">
        <f>IFERROR(INDEX(Pedidos!$B$2:$B$1801,MATCH(B2471,Pedidos!$A$2:$A$1801,0)),0)</f>
        <v/>
      </c>
      <c r="G2471" s="25">
        <f>IF(F2471=0,"",YEAR(F2471))</f>
        <v/>
      </c>
      <c r="H2471" s="25">
        <f>IF(F2471=0,"",MONTH(F2471))</f>
        <v/>
      </c>
      <c r="I2471" s="25">
        <f>IFERROR(INDEX(Pedidos!$E$2:$E$1801,MATCH(B2471,Pedidos!$A$2:$A$1801,0)),"")</f>
        <v/>
      </c>
      <c r="J2471" s="25">
        <f>IFERROR(INDEX(Pedidos!$C$2:$C$1801,MATCH(B2471,Pedidos!$A$2:$A$1801,0)),"")</f>
        <v/>
      </c>
      <c r="K2471" s="25">
        <f>IFERROR(INDEX(Pedidos!$D$2:$D$1801,MATCH(B2471,Pedidos!$A$2:$A$1801,0)),"")</f>
        <v/>
      </c>
      <c r="L2471" s="25">
        <f>IFERROR(INDEX(Pedidos!$F$2:$F$1801,MATCH(B2471,Pedidos!$A$2:$A$1801,0)),"")</f>
        <v/>
      </c>
      <c r="M2471" s="26">
        <f>IFERROR(INDEX(Pedidos!$G$2:$G$1801,MATCH(B2471,Pedidos!$A$2:$A$1801,0)),0)</f>
        <v/>
      </c>
      <c r="N2471" s="25">
        <f>IFERROR(INDEX(Produtos!$B$2:$B$71,MATCH(C2471,Produtos!$A$2:$A$71,0)),"")</f>
        <v/>
      </c>
      <c r="O2471" s="25">
        <f>IFERROR(INDEX(Produtos!$C$2:$C$71,MATCH(C2471,Produtos!$A$2:$A$71,0)),"")</f>
        <v/>
      </c>
      <c r="P2471" s="25">
        <f>IFERROR(INDEX(Produtos!$D$2:$D$71,MATCH(C2471,Produtos!$A$2:$A$71,0)),0)</f>
        <v/>
      </c>
      <c r="Q2471" s="25">
        <f>IFERROR(INDEX(Produtos!$E$2:$E$71,MATCH(C2471,Produtos!$A$2:$A$71,0)),0)</f>
        <v/>
      </c>
      <c r="R2471" s="27">
        <f>D2471*Q2471</f>
        <v/>
      </c>
      <c r="S2471" s="27">
        <f>R2471*E2471</f>
        <v/>
      </c>
      <c r="T2471" s="27">
        <f>(R2471-S2471)*M2471</f>
        <v/>
      </c>
      <c r="U2471" s="27">
        <f>R2471-S2471-T2471</f>
        <v/>
      </c>
      <c r="V2471" s="27">
        <f>D2471*P2471</f>
        <v/>
      </c>
      <c r="W2471" s="27">
        <f>U2471-V2471</f>
        <v/>
      </c>
      <c r="X2471" s="28">
        <f>IFERROR(W2471/U2471,0)</f>
        <v/>
      </c>
    </row>
    <row r="2472">
      <c r="A2472" s="21">
        <f>ItensPedido!A2472</f>
        <v/>
      </c>
      <c r="B2472" s="21">
        <f>ItensPedido!B2472</f>
        <v/>
      </c>
      <c r="C2472" s="21">
        <f>ItensPedido!C2472</f>
        <v/>
      </c>
      <c r="D2472" s="21">
        <f>ItensPedido!D2472</f>
        <v/>
      </c>
      <c r="E2472" s="22">
        <f>ItensPedido!E2472</f>
        <v/>
      </c>
      <c r="F2472" s="21">
        <f>IFERROR(INDEX(Pedidos!$B$2:$B$1801,MATCH(B2472,Pedidos!$A$2:$A$1801,0)),0)</f>
        <v/>
      </c>
      <c r="G2472" s="21">
        <f>IF(F2472=0,"",YEAR(F2472))</f>
        <v/>
      </c>
      <c r="H2472" s="21">
        <f>IF(F2472=0,"",MONTH(F2472))</f>
        <v/>
      </c>
      <c r="I2472" s="21">
        <f>IFERROR(INDEX(Pedidos!$E$2:$E$1801,MATCH(B2472,Pedidos!$A$2:$A$1801,0)),"")</f>
        <v/>
      </c>
      <c r="J2472" s="21">
        <f>IFERROR(INDEX(Pedidos!$C$2:$C$1801,MATCH(B2472,Pedidos!$A$2:$A$1801,0)),"")</f>
        <v/>
      </c>
      <c r="K2472" s="21">
        <f>IFERROR(INDEX(Pedidos!$D$2:$D$1801,MATCH(B2472,Pedidos!$A$2:$A$1801,0)),"")</f>
        <v/>
      </c>
      <c r="L2472" s="21">
        <f>IFERROR(INDEX(Pedidos!$F$2:$F$1801,MATCH(B2472,Pedidos!$A$2:$A$1801,0)),"")</f>
        <v/>
      </c>
      <c r="M2472" s="22">
        <f>IFERROR(INDEX(Pedidos!$G$2:$G$1801,MATCH(B2472,Pedidos!$A$2:$A$1801,0)),0)</f>
        <v/>
      </c>
      <c r="N2472" s="21">
        <f>IFERROR(INDEX(Produtos!$B$2:$B$71,MATCH(C2472,Produtos!$A$2:$A$71,0)),"")</f>
        <v/>
      </c>
      <c r="O2472" s="21">
        <f>IFERROR(INDEX(Produtos!$C$2:$C$71,MATCH(C2472,Produtos!$A$2:$A$71,0)),"")</f>
        <v/>
      </c>
      <c r="P2472" s="21">
        <f>IFERROR(INDEX(Produtos!$D$2:$D$71,MATCH(C2472,Produtos!$A$2:$A$71,0)),0)</f>
        <v/>
      </c>
      <c r="Q2472" s="21">
        <f>IFERROR(INDEX(Produtos!$E$2:$E$71,MATCH(C2472,Produtos!$A$2:$A$71,0)),0)</f>
        <v/>
      </c>
      <c r="R2472" s="23">
        <f>D2472*Q2472</f>
        <v/>
      </c>
      <c r="S2472" s="23">
        <f>R2472*E2472</f>
        <v/>
      </c>
      <c r="T2472" s="23">
        <f>(R2472-S2472)*M2472</f>
        <v/>
      </c>
      <c r="U2472" s="23">
        <f>R2472-S2472-T2472</f>
        <v/>
      </c>
      <c r="V2472" s="23">
        <f>D2472*P2472</f>
        <v/>
      </c>
      <c r="W2472" s="23">
        <f>U2472-V2472</f>
        <v/>
      </c>
      <c r="X2472" s="24">
        <f>IFERROR(W2472/U2472,0)</f>
        <v/>
      </c>
    </row>
    <row r="2473">
      <c r="A2473" s="25">
        <f>ItensPedido!A2473</f>
        <v/>
      </c>
      <c r="B2473" s="25">
        <f>ItensPedido!B2473</f>
        <v/>
      </c>
      <c r="C2473" s="25">
        <f>ItensPedido!C2473</f>
        <v/>
      </c>
      <c r="D2473" s="25">
        <f>ItensPedido!D2473</f>
        <v/>
      </c>
      <c r="E2473" s="26">
        <f>ItensPedido!E2473</f>
        <v/>
      </c>
      <c r="F2473" s="25">
        <f>IFERROR(INDEX(Pedidos!$B$2:$B$1801,MATCH(B2473,Pedidos!$A$2:$A$1801,0)),0)</f>
        <v/>
      </c>
      <c r="G2473" s="25">
        <f>IF(F2473=0,"",YEAR(F2473))</f>
        <v/>
      </c>
      <c r="H2473" s="25">
        <f>IF(F2473=0,"",MONTH(F2473))</f>
        <v/>
      </c>
      <c r="I2473" s="25">
        <f>IFERROR(INDEX(Pedidos!$E$2:$E$1801,MATCH(B2473,Pedidos!$A$2:$A$1801,0)),"")</f>
        <v/>
      </c>
      <c r="J2473" s="25">
        <f>IFERROR(INDEX(Pedidos!$C$2:$C$1801,MATCH(B2473,Pedidos!$A$2:$A$1801,0)),"")</f>
        <v/>
      </c>
      <c r="K2473" s="25">
        <f>IFERROR(INDEX(Pedidos!$D$2:$D$1801,MATCH(B2473,Pedidos!$A$2:$A$1801,0)),"")</f>
        <v/>
      </c>
      <c r="L2473" s="25">
        <f>IFERROR(INDEX(Pedidos!$F$2:$F$1801,MATCH(B2473,Pedidos!$A$2:$A$1801,0)),"")</f>
        <v/>
      </c>
      <c r="M2473" s="26">
        <f>IFERROR(INDEX(Pedidos!$G$2:$G$1801,MATCH(B2473,Pedidos!$A$2:$A$1801,0)),0)</f>
        <v/>
      </c>
      <c r="N2473" s="25">
        <f>IFERROR(INDEX(Produtos!$B$2:$B$71,MATCH(C2473,Produtos!$A$2:$A$71,0)),"")</f>
        <v/>
      </c>
      <c r="O2473" s="25">
        <f>IFERROR(INDEX(Produtos!$C$2:$C$71,MATCH(C2473,Produtos!$A$2:$A$71,0)),"")</f>
        <v/>
      </c>
      <c r="P2473" s="25">
        <f>IFERROR(INDEX(Produtos!$D$2:$D$71,MATCH(C2473,Produtos!$A$2:$A$71,0)),0)</f>
        <v/>
      </c>
      <c r="Q2473" s="25">
        <f>IFERROR(INDEX(Produtos!$E$2:$E$71,MATCH(C2473,Produtos!$A$2:$A$71,0)),0)</f>
        <v/>
      </c>
      <c r="R2473" s="27">
        <f>D2473*Q2473</f>
        <v/>
      </c>
      <c r="S2473" s="27">
        <f>R2473*E2473</f>
        <v/>
      </c>
      <c r="T2473" s="27">
        <f>(R2473-S2473)*M2473</f>
        <v/>
      </c>
      <c r="U2473" s="27">
        <f>R2473-S2473-T2473</f>
        <v/>
      </c>
      <c r="V2473" s="27">
        <f>D2473*P2473</f>
        <v/>
      </c>
      <c r="W2473" s="27">
        <f>U2473-V2473</f>
        <v/>
      </c>
      <c r="X2473" s="28">
        <f>IFERROR(W2473/U2473,0)</f>
        <v/>
      </c>
    </row>
    <row r="2474">
      <c r="A2474" s="21">
        <f>ItensPedido!A2474</f>
        <v/>
      </c>
      <c r="B2474" s="21">
        <f>ItensPedido!B2474</f>
        <v/>
      </c>
      <c r="C2474" s="21">
        <f>ItensPedido!C2474</f>
        <v/>
      </c>
      <c r="D2474" s="21">
        <f>ItensPedido!D2474</f>
        <v/>
      </c>
      <c r="E2474" s="22">
        <f>ItensPedido!E2474</f>
        <v/>
      </c>
      <c r="F2474" s="21">
        <f>IFERROR(INDEX(Pedidos!$B$2:$B$1801,MATCH(B2474,Pedidos!$A$2:$A$1801,0)),0)</f>
        <v/>
      </c>
      <c r="G2474" s="21">
        <f>IF(F2474=0,"",YEAR(F2474))</f>
        <v/>
      </c>
      <c r="H2474" s="21">
        <f>IF(F2474=0,"",MONTH(F2474))</f>
        <v/>
      </c>
      <c r="I2474" s="21">
        <f>IFERROR(INDEX(Pedidos!$E$2:$E$1801,MATCH(B2474,Pedidos!$A$2:$A$1801,0)),"")</f>
        <v/>
      </c>
      <c r="J2474" s="21">
        <f>IFERROR(INDEX(Pedidos!$C$2:$C$1801,MATCH(B2474,Pedidos!$A$2:$A$1801,0)),"")</f>
        <v/>
      </c>
      <c r="K2474" s="21">
        <f>IFERROR(INDEX(Pedidos!$D$2:$D$1801,MATCH(B2474,Pedidos!$A$2:$A$1801,0)),"")</f>
        <v/>
      </c>
      <c r="L2474" s="21">
        <f>IFERROR(INDEX(Pedidos!$F$2:$F$1801,MATCH(B2474,Pedidos!$A$2:$A$1801,0)),"")</f>
        <v/>
      </c>
      <c r="M2474" s="22">
        <f>IFERROR(INDEX(Pedidos!$G$2:$G$1801,MATCH(B2474,Pedidos!$A$2:$A$1801,0)),0)</f>
        <v/>
      </c>
      <c r="N2474" s="21">
        <f>IFERROR(INDEX(Produtos!$B$2:$B$71,MATCH(C2474,Produtos!$A$2:$A$71,0)),"")</f>
        <v/>
      </c>
      <c r="O2474" s="21">
        <f>IFERROR(INDEX(Produtos!$C$2:$C$71,MATCH(C2474,Produtos!$A$2:$A$71,0)),"")</f>
        <v/>
      </c>
      <c r="P2474" s="21">
        <f>IFERROR(INDEX(Produtos!$D$2:$D$71,MATCH(C2474,Produtos!$A$2:$A$71,0)),0)</f>
        <v/>
      </c>
      <c r="Q2474" s="21">
        <f>IFERROR(INDEX(Produtos!$E$2:$E$71,MATCH(C2474,Produtos!$A$2:$A$71,0)),0)</f>
        <v/>
      </c>
      <c r="R2474" s="23">
        <f>D2474*Q2474</f>
        <v/>
      </c>
      <c r="S2474" s="23">
        <f>R2474*E2474</f>
        <v/>
      </c>
      <c r="T2474" s="23">
        <f>(R2474-S2474)*M2474</f>
        <v/>
      </c>
      <c r="U2474" s="23">
        <f>R2474-S2474-T2474</f>
        <v/>
      </c>
      <c r="V2474" s="23">
        <f>D2474*P2474</f>
        <v/>
      </c>
      <c r="W2474" s="23">
        <f>U2474-V2474</f>
        <v/>
      </c>
      <c r="X2474" s="24">
        <f>IFERROR(W2474/U2474,0)</f>
        <v/>
      </c>
    </row>
    <row r="2475">
      <c r="A2475" s="25">
        <f>ItensPedido!A2475</f>
        <v/>
      </c>
      <c r="B2475" s="25">
        <f>ItensPedido!B2475</f>
        <v/>
      </c>
      <c r="C2475" s="25">
        <f>ItensPedido!C2475</f>
        <v/>
      </c>
      <c r="D2475" s="25">
        <f>ItensPedido!D2475</f>
        <v/>
      </c>
      <c r="E2475" s="26">
        <f>ItensPedido!E2475</f>
        <v/>
      </c>
      <c r="F2475" s="25">
        <f>IFERROR(INDEX(Pedidos!$B$2:$B$1801,MATCH(B2475,Pedidos!$A$2:$A$1801,0)),0)</f>
        <v/>
      </c>
      <c r="G2475" s="25">
        <f>IF(F2475=0,"",YEAR(F2475))</f>
        <v/>
      </c>
      <c r="H2475" s="25">
        <f>IF(F2475=0,"",MONTH(F2475))</f>
        <v/>
      </c>
      <c r="I2475" s="25">
        <f>IFERROR(INDEX(Pedidos!$E$2:$E$1801,MATCH(B2475,Pedidos!$A$2:$A$1801,0)),"")</f>
        <v/>
      </c>
      <c r="J2475" s="25">
        <f>IFERROR(INDEX(Pedidos!$C$2:$C$1801,MATCH(B2475,Pedidos!$A$2:$A$1801,0)),"")</f>
        <v/>
      </c>
      <c r="K2475" s="25">
        <f>IFERROR(INDEX(Pedidos!$D$2:$D$1801,MATCH(B2475,Pedidos!$A$2:$A$1801,0)),"")</f>
        <v/>
      </c>
      <c r="L2475" s="25">
        <f>IFERROR(INDEX(Pedidos!$F$2:$F$1801,MATCH(B2475,Pedidos!$A$2:$A$1801,0)),"")</f>
        <v/>
      </c>
      <c r="M2475" s="26">
        <f>IFERROR(INDEX(Pedidos!$G$2:$G$1801,MATCH(B2475,Pedidos!$A$2:$A$1801,0)),0)</f>
        <v/>
      </c>
      <c r="N2475" s="25">
        <f>IFERROR(INDEX(Produtos!$B$2:$B$71,MATCH(C2475,Produtos!$A$2:$A$71,0)),"")</f>
        <v/>
      </c>
      <c r="O2475" s="25">
        <f>IFERROR(INDEX(Produtos!$C$2:$C$71,MATCH(C2475,Produtos!$A$2:$A$71,0)),"")</f>
        <v/>
      </c>
      <c r="P2475" s="25">
        <f>IFERROR(INDEX(Produtos!$D$2:$D$71,MATCH(C2475,Produtos!$A$2:$A$71,0)),0)</f>
        <v/>
      </c>
      <c r="Q2475" s="25">
        <f>IFERROR(INDEX(Produtos!$E$2:$E$71,MATCH(C2475,Produtos!$A$2:$A$71,0)),0)</f>
        <v/>
      </c>
      <c r="R2475" s="27">
        <f>D2475*Q2475</f>
        <v/>
      </c>
      <c r="S2475" s="27">
        <f>R2475*E2475</f>
        <v/>
      </c>
      <c r="T2475" s="27">
        <f>(R2475-S2475)*M2475</f>
        <v/>
      </c>
      <c r="U2475" s="27">
        <f>R2475-S2475-T2475</f>
        <v/>
      </c>
      <c r="V2475" s="27">
        <f>D2475*P2475</f>
        <v/>
      </c>
      <c r="W2475" s="27">
        <f>U2475-V2475</f>
        <v/>
      </c>
      <c r="X2475" s="28">
        <f>IFERROR(W2475/U2475,0)</f>
        <v/>
      </c>
    </row>
    <row r="2476">
      <c r="A2476" s="21">
        <f>ItensPedido!A2476</f>
        <v/>
      </c>
      <c r="B2476" s="21">
        <f>ItensPedido!B2476</f>
        <v/>
      </c>
      <c r="C2476" s="21">
        <f>ItensPedido!C2476</f>
        <v/>
      </c>
      <c r="D2476" s="21">
        <f>ItensPedido!D2476</f>
        <v/>
      </c>
      <c r="E2476" s="22">
        <f>ItensPedido!E2476</f>
        <v/>
      </c>
      <c r="F2476" s="21">
        <f>IFERROR(INDEX(Pedidos!$B$2:$B$1801,MATCH(B2476,Pedidos!$A$2:$A$1801,0)),0)</f>
        <v/>
      </c>
      <c r="G2476" s="21">
        <f>IF(F2476=0,"",YEAR(F2476))</f>
        <v/>
      </c>
      <c r="H2476" s="21">
        <f>IF(F2476=0,"",MONTH(F2476))</f>
        <v/>
      </c>
      <c r="I2476" s="21">
        <f>IFERROR(INDEX(Pedidos!$E$2:$E$1801,MATCH(B2476,Pedidos!$A$2:$A$1801,0)),"")</f>
        <v/>
      </c>
      <c r="J2476" s="21">
        <f>IFERROR(INDEX(Pedidos!$C$2:$C$1801,MATCH(B2476,Pedidos!$A$2:$A$1801,0)),"")</f>
        <v/>
      </c>
      <c r="K2476" s="21">
        <f>IFERROR(INDEX(Pedidos!$D$2:$D$1801,MATCH(B2476,Pedidos!$A$2:$A$1801,0)),"")</f>
        <v/>
      </c>
      <c r="L2476" s="21">
        <f>IFERROR(INDEX(Pedidos!$F$2:$F$1801,MATCH(B2476,Pedidos!$A$2:$A$1801,0)),"")</f>
        <v/>
      </c>
      <c r="M2476" s="22">
        <f>IFERROR(INDEX(Pedidos!$G$2:$G$1801,MATCH(B2476,Pedidos!$A$2:$A$1801,0)),0)</f>
        <v/>
      </c>
      <c r="N2476" s="21">
        <f>IFERROR(INDEX(Produtos!$B$2:$B$71,MATCH(C2476,Produtos!$A$2:$A$71,0)),"")</f>
        <v/>
      </c>
      <c r="O2476" s="21">
        <f>IFERROR(INDEX(Produtos!$C$2:$C$71,MATCH(C2476,Produtos!$A$2:$A$71,0)),"")</f>
        <v/>
      </c>
      <c r="P2476" s="21">
        <f>IFERROR(INDEX(Produtos!$D$2:$D$71,MATCH(C2476,Produtos!$A$2:$A$71,0)),0)</f>
        <v/>
      </c>
      <c r="Q2476" s="21">
        <f>IFERROR(INDEX(Produtos!$E$2:$E$71,MATCH(C2476,Produtos!$A$2:$A$71,0)),0)</f>
        <v/>
      </c>
      <c r="R2476" s="23">
        <f>D2476*Q2476</f>
        <v/>
      </c>
      <c r="S2476" s="23">
        <f>R2476*E2476</f>
        <v/>
      </c>
      <c r="T2476" s="23">
        <f>(R2476-S2476)*M2476</f>
        <v/>
      </c>
      <c r="U2476" s="23">
        <f>R2476-S2476-T2476</f>
        <v/>
      </c>
      <c r="V2476" s="23">
        <f>D2476*P2476</f>
        <v/>
      </c>
      <c r="W2476" s="23">
        <f>U2476-V2476</f>
        <v/>
      </c>
      <c r="X2476" s="24">
        <f>IFERROR(W2476/U2476,0)</f>
        <v/>
      </c>
    </row>
    <row r="2477">
      <c r="A2477" s="25">
        <f>ItensPedido!A2477</f>
        <v/>
      </c>
      <c r="B2477" s="25">
        <f>ItensPedido!B2477</f>
        <v/>
      </c>
      <c r="C2477" s="25">
        <f>ItensPedido!C2477</f>
        <v/>
      </c>
      <c r="D2477" s="25">
        <f>ItensPedido!D2477</f>
        <v/>
      </c>
      <c r="E2477" s="26">
        <f>ItensPedido!E2477</f>
        <v/>
      </c>
      <c r="F2477" s="25">
        <f>IFERROR(INDEX(Pedidos!$B$2:$B$1801,MATCH(B2477,Pedidos!$A$2:$A$1801,0)),0)</f>
        <v/>
      </c>
      <c r="G2477" s="25">
        <f>IF(F2477=0,"",YEAR(F2477))</f>
        <v/>
      </c>
      <c r="H2477" s="25">
        <f>IF(F2477=0,"",MONTH(F2477))</f>
        <v/>
      </c>
      <c r="I2477" s="25">
        <f>IFERROR(INDEX(Pedidos!$E$2:$E$1801,MATCH(B2477,Pedidos!$A$2:$A$1801,0)),"")</f>
        <v/>
      </c>
      <c r="J2477" s="25">
        <f>IFERROR(INDEX(Pedidos!$C$2:$C$1801,MATCH(B2477,Pedidos!$A$2:$A$1801,0)),"")</f>
        <v/>
      </c>
      <c r="K2477" s="25">
        <f>IFERROR(INDEX(Pedidos!$D$2:$D$1801,MATCH(B2477,Pedidos!$A$2:$A$1801,0)),"")</f>
        <v/>
      </c>
      <c r="L2477" s="25">
        <f>IFERROR(INDEX(Pedidos!$F$2:$F$1801,MATCH(B2477,Pedidos!$A$2:$A$1801,0)),"")</f>
        <v/>
      </c>
      <c r="M2477" s="26">
        <f>IFERROR(INDEX(Pedidos!$G$2:$G$1801,MATCH(B2477,Pedidos!$A$2:$A$1801,0)),0)</f>
        <v/>
      </c>
      <c r="N2477" s="25">
        <f>IFERROR(INDEX(Produtos!$B$2:$B$71,MATCH(C2477,Produtos!$A$2:$A$71,0)),"")</f>
        <v/>
      </c>
      <c r="O2477" s="25">
        <f>IFERROR(INDEX(Produtos!$C$2:$C$71,MATCH(C2477,Produtos!$A$2:$A$71,0)),"")</f>
        <v/>
      </c>
      <c r="P2477" s="25">
        <f>IFERROR(INDEX(Produtos!$D$2:$D$71,MATCH(C2477,Produtos!$A$2:$A$71,0)),0)</f>
        <v/>
      </c>
      <c r="Q2477" s="25">
        <f>IFERROR(INDEX(Produtos!$E$2:$E$71,MATCH(C2477,Produtos!$A$2:$A$71,0)),0)</f>
        <v/>
      </c>
      <c r="R2477" s="27">
        <f>D2477*Q2477</f>
        <v/>
      </c>
      <c r="S2477" s="27">
        <f>R2477*E2477</f>
        <v/>
      </c>
      <c r="T2477" s="27">
        <f>(R2477-S2477)*M2477</f>
        <v/>
      </c>
      <c r="U2477" s="27">
        <f>R2477-S2477-T2477</f>
        <v/>
      </c>
      <c r="V2477" s="27">
        <f>D2477*P2477</f>
        <v/>
      </c>
      <c r="W2477" s="27">
        <f>U2477-V2477</f>
        <v/>
      </c>
      <c r="X2477" s="28">
        <f>IFERROR(W2477/U2477,0)</f>
        <v/>
      </c>
    </row>
    <row r="2478">
      <c r="A2478" s="21">
        <f>ItensPedido!A2478</f>
        <v/>
      </c>
      <c r="B2478" s="21">
        <f>ItensPedido!B2478</f>
        <v/>
      </c>
      <c r="C2478" s="21">
        <f>ItensPedido!C2478</f>
        <v/>
      </c>
      <c r="D2478" s="21">
        <f>ItensPedido!D2478</f>
        <v/>
      </c>
      <c r="E2478" s="22">
        <f>ItensPedido!E2478</f>
        <v/>
      </c>
      <c r="F2478" s="21">
        <f>IFERROR(INDEX(Pedidos!$B$2:$B$1801,MATCH(B2478,Pedidos!$A$2:$A$1801,0)),0)</f>
        <v/>
      </c>
      <c r="G2478" s="21">
        <f>IF(F2478=0,"",YEAR(F2478))</f>
        <v/>
      </c>
      <c r="H2478" s="21">
        <f>IF(F2478=0,"",MONTH(F2478))</f>
        <v/>
      </c>
      <c r="I2478" s="21">
        <f>IFERROR(INDEX(Pedidos!$E$2:$E$1801,MATCH(B2478,Pedidos!$A$2:$A$1801,0)),"")</f>
        <v/>
      </c>
      <c r="J2478" s="21">
        <f>IFERROR(INDEX(Pedidos!$C$2:$C$1801,MATCH(B2478,Pedidos!$A$2:$A$1801,0)),"")</f>
        <v/>
      </c>
      <c r="K2478" s="21">
        <f>IFERROR(INDEX(Pedidos!$D$2:$D$1801,MATCH(B2478,Pedidos!$A$2:$A$1801,0)),"")</f>
        <v/>
      </c>
      <c r="L2478" s="21">
        <f>IFERROR(INDEX(Pedidos!$F$2:$F$1801,MATCH(B2478,Pedidos!$A$2:$A$1801,0)),"")</f>
        <v/>
      </c>
      <c r="M2478" s="22">
        <f>IFERROR(INDEX(Pedidos!$G$2:$G$1801,MATCH(B2478,Pedidos!$A$2:$A$1801,0)),0)</f>
        <v/>
      </c>
      <c r="N2478" s="21">
        <f>IFERROR(INDEX(Produtos!$B$2:$B$71,MATCH(C2478,Produtos!$A$2:$A$71,0)),"")</f>
        <v/>
      </c>
      <c r="O2478" s="21">
        <f>IFERROR(INDEX(Produtos!$C$2:$C$71,MATCH(C2478,Produtos!$A$2:$A$71,0)),"")</f>
        <v/>
      </c>
      <c r="P2478" s="21">
        <f>IFERROR(INDEX(Produtos!$D$2:$D$71,MATCH(C2478,Produtos!$A$2:$A$71,0)),0)</f>
        <v/>
      </c>
      <c r="Q2478" s="21">
        <f>IFERROR(INDEX(Produtos!$E$2:$E$71,MATCH(C2478,Produtos!$A$2:$A$71,0)),0)</f>
        <v/>
      </c>
      <c r="R2478" s="23">
        <f>D2478*Q2478</f>
        <v/>
      </c>
      <c r="S2478" s="23">
        <f>R2478*E2478</f>
        <v/>
      </c>
      <c r="T2478" s="23">
        <f>(R2478-S2478)*M2478</f>
        <v/>
      </c>
      <c r="U2478" s="23">
        <f>R2478-S2478-T2478</f>
        <v/>
      </c>
      <c r="V2478" s="23">
        <f>D2478*P2478</f>
        <v/>
      </c>
      <c r="W2478" s="23">
        <f>U2478-V2478</f>
        <v/>
      </c>
      <c r="X2478" s="24">
        <f>IFERROR(W2478/U2478,0)</f>
        <v/>
      </c>
    </row>
    <row r="2479">
      <c r="A2479" s="25">
        <f>ItensPedido!A2479</f>
        <v/>
      </c>
      <c r="B2479" s="25">
        <f>ItensPedido!B2479</f>
        <v/>
      </c>
      <c r="C2479" s="25">
        <f>ItensPedido!C2479</f>
        <v/>
      </c>
      <c r="D2479" s="25">
        <f>ItensPedido!D2479</f>
        <v/>
      </c>
      <c r="E2479" s="26">
        <f>ItensPedido!E2479</f>
        <v/>
      </c>
      <c r="F2479" s="25">
        <f>IFERROR(INDEX(Pedidos!$B$2:$B$1801,MATCH(B2479,Pedidos!$A$2:$A$1801,0)),0)</f>
        <v/>
      </c>
      <c r="G2479" s="25">
        <f>IF(F2479=0,"",YEAR(F2479))</f>
        <v/>
      </c>
      <c r="H2479" s="25">
        <f>IF(F2479=0,"",MONTH(F2479))</f>
        <v/>
      </c>
      <c r="I2479" s="25">
        <f>IFERROR(INDEX(Pedidos!$E$2:$E$1801,MATCH(B2479,Pedidos!$A$2:$A$1801,0)),"")</f>
        <v/>
      </c>
      <c r="J2479" s="25">
        <f>IFERROR(INDEX(Pedidos!$C$2:$C$1801,MATCH(B2479,Pedidos!$A$2:$A$1801,0)),"")</f>
        <v/>
      </c>
      <c r="K2479" s="25">
        <f>IFERROR(INDEX(Pedidos!$D$2:$D$1801,MATCH(B2479,Pedidos!$A$2:$A$1801,0)),"")</f>
        <v/>
      </c>
      <c r="L2479" s="25">
        <f>IFERROR(INDEX(Pedidos!$F$2:$F$1801,MATCH(B2479,Pedidos!$A$2:$A$1801,0)),"")</f>
        <v/>
      </c>
      <c r="M2479" s="26">
        <f>IFERROR(INDEX(Pedidos!$G$2:$G$1801,MATCH(B2479,Pedidos!$A$2:$A$1801,0)),0)</f>
        <v/>
      </c>
      <c r="N2479" s="25">
        <f>IFERROR(INDEX(Produtos!$B$2:$B$71,MATCH(C2479,Produtos!$A$2:$A$71,0)),"")</f>
        <v/>
      </c>
      <c r="O2479" s="25">
        <f>IFERROR(INDEX(Produtos!$C$2:$C$71,MATCH(C2479,Produtos!$A$2:$A$71,0)),"")</f>
        <v/>
      </c>
      <c r="P2479" s="25">
        <f>IFERROR(INDEX(Produtos!$D$2:$D$71,MATCH(C2479,Produtos!$A$2:$A$71,0)),0)</f>
        <v/>
      </c>
      <c r="Q2479" s="25">
        <f>IFERROR(INDEX(Produtos!$E$2:$E$71,MATCH(C2479,Produtos!$A$2:$A$71,0)),0)</f>
        <v/>
      </c>
      <c r="R2479" s="27">
        <f>D2479*Q2479</f>
        <v/>
      </c>
      <c r="S2479" s="27">
        <f>R2479*E2479</f>
        <v/>
      </c>
      <c r="T2479" s="27">
        <f>(R2479-S2479)*M2479</f>
        <v/>
      </c>
      <c r="U2479" s="27">
        <f>R2479-S2479-T2479</f>
        <v/>
      </c>
      <c r="V2479" s="27">
        <f>D2479*P2479</f>
        <v/>
      </c>
      <c r="W2479" s="27">
        <f>U2479-V2479</f>
        <v/>
      </c>
      <c r="X2479" s="28">
        <f>IFERROR(W2479/U2479,0)</f>
        <v/>
      </c>
    </row>
    <row r="2480">
      <c r="A2480" s="21">
        <f>ItensPedido!A2480</f>
        <v/>
      </c>
      <c r="B2480" s="21">
        <f>ItensPedido!B2480</f>
        <v/>
      </c>
      <c r="C2480" s="21">
        <f>ItensPedido!C2480</f>
        <v/>
      </c>
      <c r="D2480" s="21">
        <f>ItensPedido!D2480</f>
        <v/>
      </c>
      <c r="E2480" s="22">
        <f>ItensPedido!E2480</f>
        <v/>
      </c>
      <c r="F2480" s="21">
        <f>IFERROR(INDEX(Pedidos!$B$2:$B$1801,MATCH(B2480,Pedidos!$A$2:$A$1801,0)),0)</f>
        <v/>
      </c>
      <c r="G2480" s="21">
        <f>IF(F2480=0,"",YEAR(F2480))</f>
        <v/>
      </c>
      <c r="H2480" s="21">
        <f>IF(F2480=0,"",MONTH(F2480))</f>
        <v/>
      </c>
      <c r="I2480" s="21">
        <f>IFERROR(INDEX(Pedidos!$E$2:$E$1801,MATCH(B2480,Pedidos!$A$2:$A$1801,0)),"")</f>
        <v/>
      </c>
      <c r="J2480" s="21">
        <f>IFERROR(INDEX(Pedidos!$C$2:$C$1801,MATCH(B2480,Pedidos!$A$2:$A$1801,0)),"")</f>
        <v/>
      </c>
      <c r="K2480" s="21">
        <f>IFERROR(INDEX(Pedidos!$D$2:$D$1801,MATCH(B2480,Pedidos!$A$2:$A$1801,0)),"")</f>
        <v/>
      </c>
      <c r="L2480" s="21">
        <f>IFERROR(INDEX(Pedidos!$F$2:$F$1801,MATCH(B2480,Pedidos!$A$2:$A$1801,0)),"")</f>
        <v/>
      </c>
      <c r="M2480" s="22">
        <f>IFERROR(INDEX(Pedidos!$G$2:$G$1801,MATCH(B2480,Pedidos!$A$2:$A$1801,0)),0)</f>
        <v/>
      </c>
      <c r="N2480" s="21">
        <f>IFERROR(INDEX(Produtos!$B$2:$B$71,MATCH(C2480,Produtos!$A$2:$A$71,0)),"")</f>
        <v/>
      </c>
      <c r="O2480" s="21">
        <f>IFERROR(INDEX(Produtos!$C$2:$C$71,MATCH(C2480,Produtos!$A$2:$A$71,0)),"")</f>
        <v/>
      </c>
      <c r="P2480" s="21">
        <f>IFERROR(INDEX(Produtos!$D$2:$D$71,MATCH(C2480,Produtos!$A$2:$A$71,0)),0)</f>
        <v/>
      </c>
      <c r="Q2480" s="21">
        <f>IFERROR(INDEX(Produtos!$E$2:$E$71,MATCH(C2480,Produtos!$A$2:$A$71,0)),0)</f>
        <v/>
      </c>
      <c r="R2480" s="23">
        <f>D2480*Q2480</f>
        <v/>
      </c>
      <c r="S2480" s="23">
        <f>R2480*E2480</f>
        <v/>
      </c>
      <c r="T2480" s="23">
        <f>(R2480-S2480)*M2480</f>
        <v/>
      </c>
      <c r="U2480" s="23">
        <f>R2480-S2480-T2480</f>
        <v/>
      </c>
      <c r="V2480" s="23">
        <f>D2480*P2480</f>
        <v/>
      </c>
      <c r="W2480" s="23">
        <f>U2480-V2480</f>
        <v/>
      </c>
      <c r="X2480" s="24">
        <f>IFERROR(W2480/U2480,0)</f>
        <v/>
      </c>
    </row>
    <row r="2481">
      <c r="A2481" s="25">
        <f>ItensPedido!A2481</f>
        <v/>
      </c>
      <c r="B2481" s="25">
        <f>ItensPedido!B2481</f>
        <v/>
      </c>
      <c r="C2481" s="25">
        <f>ItensPedido!C2481</f>
        <v/>
      </c>
      <c r="D2481" s="25">
        <f>ItensPedido!D2481</f>
        <v/>
      </c>
      <c r="E2481" s="26">
        <f>ItensPedido!E2481</f>
        <v/>
      </c>
      <c r="F2481" s="25">
        <f>IFERROR(INDEX(Pedidos!$B$2:$B$1801,MATCH(B2481,Pedidos!$A$2:$A$1801,0)),0)</f>
        <v/>
      </c>
      <c r="G2481" s="25">
        <f>IF(F2481=0,"",YEAR(F2481))</f>
        <v/>
      </c>
      <c r="H2481" s="25">
        <f>IF(F2481=0,"",MONTH(F2481))</f>
        <v/>
      </c>
      <c r="I2481" s="25">
        <f>IFERROR(INDEX(Pedidos!$E$2:$E$1801,MATCH(B2481,Pedidos!$A$2:$A$1801,0)),"")</f>
        <v/>
      </c>
      <c r="J2481" s="25">
        <f>IFERROR(INDEX(Pedidos!$C$2:$C$1801,MATCH(B2481,Pedidos!$A$2:$A$1801,0)),"")</f>
        <v/>
      </c>
      <c r="K2481" s="25">
        <f>IFERROR(INDEX(Pedidos!$D$2:$D$1801,MATCH(B2481,Pedidos!$A$2:$A$1801,0)),"")</f>
        <v/>
      </c>
      <c r="L2481" s="25">
        <f>IFERROR(INDEX(Pedidos!$F$2:$F$1801,MATCH(B2481,Pedidos!$A$2:$A$1801,0)),"")</f>
        <v/>
      </c>
      <c r="M2481" s="26">
        <f>IFERROR(INDEX(Pedidos!$G$2:$G$1801,MATCH(B2481,Pedidos!$A$2:$A$1801,0)),0)</f>
        <v/>
      </c>
      <c r="N2481" s="25">
        <f>IFERROR(INDEX(Produtos!$B$2:$B$71,MATCH(C2481,Produtos!$A$2:$A$71,0)),"")</f>
        <v/>
      </c>
      <c r="O2481" s="25">
        <f>IFERROR(INDEX(Produtos!$C$2:$C$71,MATCH(C2481,Produtos!$A$2:$A$71,0)),"")</f>
        <v/>
      </c>
      <c r="P2481" s="25">
        <f>IFERROR(INDEX(Produtos!$D$2:$D$71,MATCH(C2481,Produtos!$A$2:$A$71,0)),0)</f>
        <v/>
      </c>
      <c r="Q2481" s="25">
        <f>IFERROR(INDEX(Produtos!$E$2:$E$71,MATCH(C2481,Produtos!$A$2:$A$71,0)),0)</f>
        <v/>
      </c>
      <c r="R2481" s="27">
        <f>D2481*Q2481</f>
        <v/>
      </c>
      <c r="S2481" s="27">
        <f>R2481*E2481</f>
        <v/>
      </c>
      <c r="T2481" s="27">
        <f>(R2481-S2481)*M2481</f>
        <v/>
      </c>
      <c r="U2481" s="27">
        <f>R2481-S2481-T2481</f>
        <v/>
      </c>
      <c r="V2481" s="27">
        <f>D2481*P2481</f>
        <v/>
      </c>
      <c r="W2481" s="27">
        <f>U2481-V2481</f>
        <v/>
      </c>
      <c r="X2481" s="28">
        <f>IFERROR(W2481/U2481,0)</f>
        <v/>
      </c>
    </row>
    <row r="2482">
      <c r="A2482" s="21">
        <f>ItensPedido!A2482</f>
        <v/>
      </c>
      <c r="B2482" s="21">
        <f>ItensPedido!B2482</f>
        <v/>
      </c>
      <c r="C2482" s="21">
        <f>ItensPedido!C2482</f>
        <v/>
      </c>
      <c r="D2482" s="21">
        <f>ItensPedido!D2482</f>
        <v/>
      </c>
      <c r="E2482" s="22">
        <f>ItensPedido!E2482</f>
        <v/>
      </c>
      <c r="F2482" s="21">
        <f>IFERROR(INDEX(Pedidos!$B$2:$B$1801,MATCH(B2482,Pedidos!$A$2:$A$1801,0)),0)</f>
        <v/>
      </c>
      <c r="G2482" s="21">
        <f>IF(F2482=0,"",YEAR(F2482))</f>
        <v/>
      </c>
      <c r="H2482" s="21">
        <f>IF(F2482=0,"",MONTH(F2482))</f>
        <v/>
      </c>
      <c r="I2482" s="21">
        <f>IFERROR(INDEX(Pedidos!$E$2:$E$1801,MATCH(B2482,Pedidos!$A$2:$A$1801,0)),"")</f>
        <v/>
      </c>
      <c r="J2482" s="21">
        <f>IFERROR(INDEX(Pedidos!$C$2:$C$1801,MATCH(B2482,Pedidos!$A$2:$A$1801,0)),"")</f>
        <v/>
      </c>
      <c r="K2482" s="21">
        <f>IFERROR(INDEX(Pedidos!$D$2:$D$1801,MATCH(B2482,Pedidos!$A$2:$A$1801,0)),"")</f>
        <v/>
      </c>
      <c r="L2482" s="21">
        <f>IFERROR(INDEX(Pedidos!$F$2:$F$1801,MATCH(B2482,Pedidos!$A$2:$A$1801,0)),"")</f>
        <v/>
      </c>
      <c r="M2482" s="22">
        <f>IFERROR(INDEX(Pedidos!$G$2:$G$1801,MATCH(B2482,Pedidos!$A$2:$A$1801,0)),0)</f>
        <v/>
      </c>
      <c r="N2482" s="21">
        <f>IFERROR(INDEX(Produtos!$B$2:$B$71,MATCH(C2482,Produtos!$A$2:$A$71,0)),"")</f>
        <v/>
      </c>
      <c r="O2482" s="21">
        <f>IFERROR(INDEX(Produtos!$C$2:$C$71,MATCH(C2482,Produtos!$A$2:$A$71,0)),"")</f>
        <v/>
      </c>
      <c r="P2482" s="21">
        <f>IFERROR(INDEX(Produtos!$D$2:$D$71,MATCH(C2482,Produtos!$A$2:$A$71,0)),0)</f>
        <v/>
      </c>
      <c r="Q2482" s="21">
        <f>IFERROR(INDEX(Produtos!$E$2:$E$71,MATCH(C2482,Produtos!$A$2:$A$71,0)),0)</f>
        <v/>
      </c>
      <c r="R2482" s="23">
        <f>D2482*Q2482</f>
        <v/>
      </c>
      <c r="S2482" s="23">
        <f>R2482*E2482</f>
        <v/>
      </c>
      <c r="T2482" s="23">
        <f>(R2482-S2482)*M2482</f>
        <v/>
      </c>
      <c r="U2482" s="23">
        <f>R2482-S2482-T2482</f>
        <v/>
      </c>
      <c r="V2482" s="23">
        <f>D2482*P2482</f>
        <v/>
      </c>
      <c r="W2482" s="23">
        <f>U2482-V2482</f>
        <v/>
      </c>
      <c r="X2482" s="24">
        <f>IFERROR(W2482/U2482,0)</f>
        <v/>
      </c>
    </row>
    <row r="2483">
      <c r="A2483" s="25">
        <f>ItensPedido!A2483</f>
        <v/>
      </c>
      <c r="B2483" s="25">
        <f>ItensPedido!B2483</f>
        <v/>
      </c>
      <c r="C2483" s="25">
        <f>ItensPedido!C2483</f>
        <v/>
      </c>
      <c r="D2483" s="25">
        <f>ItensPedido!D2483</f>
        <v/>
      </c>
      <c r="E2483" s="26">
        <f>ItensPedido!E2483</f>
        <v/>
      </c>
      <c r="F2483" s="25">
        <f>IFERROR(INDEX(Pedidos!$B$2:$B$1801,MATCH(B2483,Pedidos!$A$2:$A$1801,0)),0)</f>
        <v/>
      </c>
      <c r="G2483" s="25">
        <f>IF(F2483=0,"",YEAR(F2483))</f>
        <v/>
      </c>
      <c r="H2483" s="25">
        <f>IF(F2483=0,"",MONTH(F2483))</f>
        <v/>
      </c>
      <c r="I2483" s="25">
        <f>IFERROR(INDEX(Pedidos!$E$2:$E$1801,MATCH(B2483,Pedidos!$A$2:$A$1801,0)),"")</f>
        <v/>
      </c>
      <c r="J2483" s="25">
        <f>IFERROR(INDEX(Pedidos!$C$2:$C$1801,MATCH(B2483,Pedidos!$A$2:$A$1801,0)),"")</f>
        <v/>
      </c>
      <c r="K2483" s="25">
        <f>IFERROR(INDEX(Pedidos!$D$2:$D$1801,MATCH(B2483,Pedidos!$A$2:$A$1801,0)),"")</f>
        <v/>
      </c>
      <c r="L2483" s="25">
        <f>IFERROR(INDEX(Pedidos!$F$2:$F$1801,MATCH(B2483,Pedidos!$A$2:$A$1801,0)),"")</f>
        <v/>
      </c>
      <c r="M2483" s="26">
        <f>IFERROR(INDEX(Pedidos!$G$2:$G$1801,MATCH(B2483,Pedidos!$A$2:$A$1801,0)),0)</f>
        <v/>
      </c>
      <c r="N2483" s="25">
        <f>IFERROR(INDEX(Produtos!$B$2:$B$71,MATCH(C2483,Produtos!$A$2:$A$71,0)),"")</f>
        <v/>
      </c>
      <c r="O2483" s="25">
        <f>IFERROR(INDEX(Produtos!$C$2:$C$71,MATCH(C2483,Produtos!$A$2:$A$71,0)),"")</f>
        <v/>
      </c>
      <c r="P2483" s="25">
        <f>IFERROR(INDEX(Produtos!$D$2:$D$71,MATCH(C2483,Produtos!$A$2:$A$71,0)),0)</f>
        <v/>
      </c>
      <c r="Q2483" s="25">
        <f>IFERROR(INDEX(Produtos!$E$2:$E$71,MATCH(C2483,Produtos!$A$2:$A$71,0)),0)</f>
        <v/>
      </c>
      <c r="R2483" s="27">
        <f>D2483*Q2483</f>
        <v/>
      </c>
      <c r="S2483" s="27">
        <f>R2483*E2483</f>
        <v/>
      </c>
      <c r="T2483" s="27">
        <f>(R2483-S2483)*M2483</f>
        <v/>
      </c>
      <c r="U2483" s="27">
        <f>R2483-S2483-T2483</f>
        <v/>
      </c>
      <c r="V2483" s="27">
        <f>D2483*P2483</f>
        <v/>
      </c>
      <c r="W2483" s="27">
        <f>U2483-V2483</f>
        <v/>
      </c>
      <c r="X2483" s="28">
        <f>IFERROR(W2483/U2483,0)</f>
        <v/>
      </c>
    </row>
    <row r="2484">
      <c r="A2484" s="21">
        <f>ItensPedido!A2484</f>
        <v/>
      </c>
      <c r="B2484" s="21">
        <f>ItensPedido!B2484</f>
        <v/>
      </c>
      <c r="C2484" s="21">
        <f>ItensPedido!C2484</f>
        <v/>
      </c>
      <c r="D2484" s="21">
        <f>ItensPedido!D2484</f>
        <v/>
      </c>
      <c r="E2484" s="22">
        <f>ItensPedido!E2484</f>
        <v/>
      </c>
      <c r="F2484" s="21">
        <f>IFERROR(INDEX(Pedidos!$B$2:$B$1801,MATCH(B2484,Pedidos!$A$2:$A$1801,0)),0)</f>
        <v/>
      </c>
      <c r="G2484" s="21">
        <f>IF(F2484=0,"",YEAR(F2484))</f>
        <v/>
      </c>
      <c r="H2484" s="21">
        <f>IF(F2484=0,"",MONTH(F2484))</f>
        <v/>
      </c>
      <c r="I2484" s="21">
        <f>IFERROR(INDEX(Pedidos!$E$2:$E$1801,MATCH(B2484,Pedidos!$A$2:$A$1801,0)),"")</f>
        <v/>
      </c>
      <c r="J2484" s="21">
        <f>IFERROR(INDEX(Pedidos!$C$2:$C$1801,MATCH(B2484,Pedidos!$A$2:$A$1801,0)),"")</f>
        <v/>
      </c>
      <c r="K2484" s="21">
        <f>IFERROR(INDEX(Pedidos!$D$2:$D$1801,MATCH(B2484,Pedidos!$A$2:$A$1801,0)),"")</f>
        <v/>
      </c>
      <c r="L2484" s="21">
        <f>IFERROR(INDEX(Pedidos!$F$2:$F$1801,MATCH(B2484,Pedidos!$A$2:$A$1801,0)),"")</f>
        <v/>
      </c>
      <c r="M2484" s="22">
        <f>IFERROR(INDEX(Pedidos!$G$2:$G$1801,MATCH(B2484,Pedidos!$A$2:$A$1801,0)),0)</f>
        <v/>
      </c>
      <c r="N2484" s="21">
        <f>IFERROR(INDEX(Produtos!$B$2:$B$71,MATCH(C2484,Produtos!$A$2:$A$71,0)),"")</f>
        <v/>
      </c>
      <c r="O2484" s="21">
        <f>IFERROR(INDEX(Produtos!$C$2:$C$71,MATCH(C2484,Produtos!$A$2:$A$71,0)),"")</f>
        <v/>
      </c>
      <c r="P2484" s="21">
        <f>IFERROR(INDEX(Produtos!$D$2:$D$71,MATCH(C2484,Produtos!$A$2:$A$71,0)),0)</f>
        <v/>
      </c>
      <c r="Q2484" s="21">
        <f>IFERROR(INDEX(Produtos!$E$2:$E$71,MATCH(C2484,Produtos!$A$2:$A$71,0)),0)</f>
        <v/>
      </c>
      <c r="R2484" s="23">
        <f>D2484*Q2484</f>
        <v/>
      </c>
      <c r="S2484" s="23">
        <f>R2484*E2484</f>
        <v/>
      </c>
      <c r="T2484" s="23">
        <f>(R2484-S2484)*M2484</f>
        <v/>
      </c>
      <c r="U2484" s="23">
        <f>R2484-S2484-T2484</f>
        <v/>
      </c>
      <c r="V2484" s="23">
        <f>D2484*P2484</f>
        <v/>
      </c>
      <c r="W2484" s="23">
        <f>U2484-V2484</f>
        <v/>
      </c>
      <c r="X2484" s="24">
        <f>IFERROR(W2484/U2484,0)</f>
        <v/>
      </c>
    </row>
    <row r="2485">
      <c r="A2485" s="25">
        <f>ItensPedido!A2485</f>
        <v/>
      </c>
      <c r="B2485" s="25">
        <f>ItensPedido!B2485</f>
        <v/>
      </c>
      <c r="C2485" s="25">
        <f>ItensPedido!C2485</f>
        <v/>
      </c>
      <c r="D2485" s="25">
        <f>ItensPedido!D2485</f>
        <v/>
      </c>
      <c r="E2485" s="26">
        <f>ItensPedido!E2485</f>
        <v/>
      </c>
      <c r="F2485" s="25">
        <f>IFERROR(INDEX(Pedidos!$B$2:$B$1801,MATCH(B2485,Pedidos!$A$2:$A$1801,0)),0)</f>
        <v/>
      </c>
      <c r="G2485" s="25">
        <f>IF(F2485=0,"",YEAR(F2485))</f>
        <v/>
      </c>
      <c r="H2485" s="25">
        <f>IF(F2485=0,"",MONTH(F2485))</f>
        <v/>
      </c>
      <c r="I2485" s="25">
        <f>IFERROR(INDEX(Pedidos!$E$2:$E$1801,MATCH(B2485,Pedidos!$A$2:$A$1801,0)),"")</f>
        <v/>
      </c>
      <c r="J2485" s="25">
        <f>IFERROR(INDEX(Pedidos!$C$2:$C$1801,MATCH(B2485,Pedidos!$A$2:$A$1801,0)),"")</f>
        <v/>
      </c>
      <c r="K2485" s="25">
        <f>IFERROR(INDEX(Pedidos!$D$2:$D$1801,MATCH(B2485,Pedidos!$A$2:$A$1801,0)),"")</f>
        <v/>
      </c>
      <c r="L2485" s="25">
        <f>IFERROR(INDEX(Pedidos!$F$2:$F$1801,MATCH(B2485,Pedidos!$A$2:$A$1801,0)),"")</f>
        <v/>
      </c>
      <c r="M2485" s="26">
        <f>IFERROR(INDEX(Pedidos!$G$2:$G$1801,MATCH(B2485,Pedidos!$A$2:$A$1801,0)),0)</f>
        <v/>
      </c>
      <c r="N2485" s="25">
        <f>IFERROR(INDEX(Produtos!$B$2:$B$71,MATCH(C2485,Produtos!$A$2:$A$71,0)),"")</f>
        <v/>
      </c>
      <c r="O2485" s="25">
        <f>IFERROR(INDEX(Produtos!$C$2:$C$71,MATCH(C2485,Produtos!$A$2:$A$71,0)),"")</f>
        <v/>
      </c>
      <c r="P2485" s="25">
        <f>IFERROR(INDEX(Produtos!$D$2:$D$71,MATCH(C2485,Produtos!$A$2:$A$71,0)),0)</f>
        <v/>
      </c>
      <c r="Q2485" s="25">
        <f>IFERROR(INDEX(Produtos!$E$2:$E$71,MATCH(C2485,Produtos!$A$2:$A$71,0)),0)</f>
        <v/>
      </c>
      <c r="R2485" s="27">
        <f>D2485*Q2485</f>
        <v/>
      </c>
      <c r="S2485" s="27">
        <f>R2485*E2485</f>
        <v/>
      </c>
      <c r="T2485" s="27">
        <f>(R2485-S2485)*M2485</f>
        <v/>
      </c>
      <c r="U2485" s="27">
        <f>R2485-S2485-T2485</f>
        <v/>
      </c>
      <c r="V2485" s="27">
        <f>D2485*P2485</f>
        <v/>
      </c>
      <c r="W2485" s="27">
        <f>U2485-V2485</f>
        <v/>
      </c>
      <c r="X2485" s="28">
        <f>IFERROR(W2485/U2485,0)</f>
        <v/>
      </c>
    </row>
    <row r="2486">
      <c r="A2486" s="21">
        <f>ItensPedido!A2486</f>
        <v/>
      </c>
      <c r="B2486" s="21">
        <f>ItensPedido!B2486</f>
        <v/>
      </c>
      <c r="C2486" s="21">
        <f>ItensPedido!C2486</f>
        <v/>
      </c>
      <c r="D2486" s="21">
        <f>ItensPedido!D2486</f>
        <v/>
      </c>
      <c r="E2486" s="22">
        <f>ItensPedido!E2486</f>
        <v/>
      </c>
      <c r="F2486" s="21">
        <f>IFERROR(INDEX(Pedidos!$B$2:$B$1801,MATCH(B2486,Pedidos!$A$2:$A$1801,0)),0)</f>
        <v/>
      </c>
      <c r="G2486" s="21">
        <f>IF(F2486=0,"",YEAR(F2486))</f>
        <v/>
      </c>
      <c r="H2486" s="21">
        <f>IF(F2486=0,"",MONTH(F2486))</f>
        <v/>
      </c>
      <c r="I2486" s="21">
        <f>IFERROR(INDEX(Pedidos!$E$2:$E$1801,MATCH(B2486,Pedidos!$A$2:$A$1801,0)),"")</f>
        <v/>
      </c>
      <c r="J2486" s="21">
        <f>IFERROR(INDEX(Pedidos!$C$2:$C$1801,MATCH(B2486,Pedidos!$A$2:$A$1801,0)),"")</f>
        <v/>
      </c>
      <c r="K2486" s="21">
        <f>IFERROR(INDEX(Pedidos!$D$2:$D$1801,MATCH(B2486,Pedidos!$A$2:$A$1801,0)),"")</f>
        <v/>
      </c>
      <c r="L2486" s="21">
        <f>IFERROR(INDEX(Pedidos!$F$2:$F$1801,MATCH(B2486,Pedidos!$A$2:$A$1801,0)),"")</f>
        <v/>
      </c>
      <c r="M2486" s="22">
        <f>IFERROR(INDEX(Pedidos!$G$2:$G$1801,MATCH(B2486,Pedidos!$A$2:$A$1801,0)),0)</f>
        <v/>
      </c>
      <c r="N2486" s="21">
        <f>IFERROR(INDEX(Produtos!$B$2:$B$71,MATCH(C2486,Produtos!$A$2:$A$71,0)),"")</f>
        <v/>
      </c>
      <c r="O2486" s="21">
        <f>IFERROR(INDEX(Produtos!$C$2:$C$71,MATCH(C2486,Produtos!$A$2:$A$71,0)),"")</f>
        <v/>
      </c>
      <c r="P2486" s="21">
        <f>IFERROR(INDEX(Produtos!$D$2:$D$71,MATCH(C2486,Produtos!$A$2:$A$71,0)),0)</f>
        <v/>
      </c>
      <c r="Q2486" s="21">
        <f>IFERROR(INDEX(Produtos!$E$2:$E$71,MATCH(C2486,Produtos!$A$2:$A$71,0)),0)</f>
        <v/>
      </c>
      <c r="R2486" s="23">
        <f>D2486*Q2486</f>
        <v/>
      </c>
      <c r="S2486" s="23">
        <f>R2486*E2486</f>
        <v/>
      </c>
      <c r="T2486" s="23">
        <f>(R2486-S2486)*M2486</f>
        <v/>
      </c>
      <c r="U2486" s="23">
        <f>R2486-S2486-T2486</f>
        <v/>
      </c>
      <c r="V2486" s="23">
        <f>D2486*P2486</f>
        <v/>
      </c>
      <c r="W2486" s="23">
        <f>U2486-V2486</f>
        <v/>
      </c>
      <c r="X2486" s="24">
        <f>IFERROR(W2486/U2486,0)</f>
        <v/>
      </c>
    </row>
    <row r="2487">
      <c r="A2487" s="25">
        <f>ItensPedido!A2487</f>
        <v/>
      </c>
      <c r="B2487" s="25">
        <f>ItensPedido!B2487</f>
        <v/>
      </c>
      <c r="C2487" s="25">
        <f>ItensPedido!C2487</f>
        <v/>
      </c>
      <c r="D2487" s="25">
        <f>ItensPedido!D2487</f>
        <v/>
      </c>
      <c r="E2487" s="26">
        <f>ItensPedido!E2487</f>
        <v/>
      </c>
      <c r="F2487" s="25">
        <f>IFERROR(INDEX(Pedidos!$B$2:$B$1801,MATCH(B2487,Pedidos!$A$2:$A$1801,0)),0)</f>
        <v/>
      </c>
      <c r="G2487" s="25">
        <f>IF(F2487=0,"",YEAR(F2487))</f>
        <v/>
      </c>
      <c r="H2487" s="25">
        <f>IF(F2487=0,"",MONTH(F2487))</f>
        <v/>
      </c>
      <c r="I2487" s="25">
        <f>IFERROR(INDEX(Pedidos!$E$2:$E$1801,MATCH(B2487,Pedidos!$A$2:$A$1801,0)),"")</f>
        <v/>
      </c>
      <c r="J2487" s="25">
        <f>IFERROR(INDEX(Pedidos!$C$2:$C$1801,MATCH(B2487,Pedidos!$A$2:$A$1801,0)),"")</f>
        <v/>
      </c>
      <c r="K2487" s="25">
        <f>IFERROR(INDEX(Pedidos!$D$2:$D$1801,MATCH(B2487,Pedidos!$A$2:$A$1801,0)),"")</f>
        <v/>
      </c>
      <c r="L2487" s="25">
        <f>IFERROR(INDEX(Pedidos!$F$2:$F$1801,MATCH(B2487,Pedidos!$A$2:$A$1801,0)),"")</f>
        <v/>
      </c>
      <c r="M2487" s="26">
        <f>IFERROR(INDEX(Pedidos!$G$2:$G$1801,MATCH(B2487,Pedidos!$A$2:$A$1801,0)),0)</f>
        <v/>
      </c>
      <c r="N2487" s="25">
        <f>IFERROR(INDEX(Produtos!$B$2:$B$71,MATCH(C2487,Produtos!$A$2:$A$71,0)),"")</f>
        <v/>
      </c>
      <c r="O2487" s="25">
        <f>IFERROR(INDEX(Produtos!$C$2:$C$71,MATCH(C2487,Produtos!$A$2:$A$71,0)),"")</f>
        <v/>
      </c>
      <c r="P2487" s="25">
        <f>IFERROR(INDEX(Produtos!$D$2:$D$71,MATCH(C2487,Produtos!$A$2:$A$71,0)),0)</f>
        <v/>
      </c>
      <c r="Q2487" s="25">
        <f>IFERROR(INDEX(Produtos!$E$2:$E$71,MATCH(C2487,Produtos!$A$2:$A$71,0)),0)</f>
        <v/>
      </c>
      <c r="R2487" s="27">
        <f>D2487*Q2487</f>
        <v/>
      </c>
      <c r="S2487" s="27">
        <f>R2487*E2487</f>
        <v/>
      </c>
      <c r="T2487" s="27">
        <f>(R2487-S2487)*M2487</f>
        <v/>
      </c>
      <c r="U2487" s="27">
        <f>R2487-S2487-T2487</f>
        <v/>
      </c>
      <c r="V2487" s="27">
        <f>D2487*P2487</f>
        <v/>
      </c>
      <c r="W2487" s="27">
        <f>U2487-V2487</f>
        <v/>
      </c>
      <c r="X2487" s="28">
        <f>IFERROR(W2487/U2487,0)</f>
        <v/>
      </c>
    </row>
    <row r="2488">
      <c r="A2488" s="21">
        <f>ItensPedido!A2488</f>
        <v/>
      </c>
      <c r="B2488" s="21">
        <f>ItensPedido!B2488</f>
        <v/>
      </c>
      <c r="C2488" s="21">
        <f>ItensPedido!C2488</f>
        <v/>
      </c>
      <c r="D2488" s="21">
        <f>ItensPedido!D2488</f>
        <v/>
      </c>
      <c r="E2488" s="22">
        <f>ItensPedido!E2488</f>
        <v/>
      </c>
      <c r="F2488" s="21">
        <f>IFERROR(INDEX(Pedidos!$B$2:$B$1801,MATCH(B2488,Pedidos!$A$2:$A$1801,0)),0)</f>
        <v/>
      </c>
      <c r="G2488" s="21">
        <f>IF(F2488=0,"",YEAR(F2488))</f>
        <v/>
      </c>
      <c r="H2488" s="21">
        <f>IF(F2488=0,"",MONTH(F2488))</f>
        <v/>
      </c>
      <c r="I2488" s="21">
        <f>IFERROR(INDEX(Pedidos!$E$2:$E$1801,MATCH(B2488,Pedidos!$A$2:$A$1801,0)),"")</f>
        <v/>
      </c>
      <c r="J2488" s="21">
        <f>IFERROR(INDEX(Pedidos!$C$2:$C$1801,MATCH(B2488,Pedidos!$A$2:$A$1801,0)),"")</f>
        <v/>
      </c>
      <c r="K2488" s="21">
        <f>IFERROR(INDEX(Pedidos!$D$2:$D$1801,MATCH(B2488,Pedidos!$A$2:$A$1801,0)),"")</f>
        <v/>
      </c>
      <c r="L2488" s="21">
        <f>IFERROR(INDEX(Pedidos!$F$2:$F$1801,MATCH(B2488,Pedidos!$A$2:$A$1801,0)),"")</f>
        <v/>
      </c>
      <c r="M2488" s="22">
        <f>IFERROR(INDEX(Pedidos!$G$2:$G$1801,MATCH(B2488,Pedidos!$A$2:$A$1801,0)),0)</f>
        <v/>
      </c>
      <c r="N2488" s="21">
        <f>IFERROR(INDEX(Produtos!$B$2:$B$71,MATCH(C2488,Produtos!$A$2:$A$71,0)),"")</f>
        <v/>
      </c>
      <c r="O2488" s="21">
        <f>IFERROR(INDEX(Produtos!$C$2:$C$71,MATCH(C2488,Produtos!$A$2:$A$71,0)),"")</f>
        <v/>
      </c>
      <c r="P2488" s="21">
        <f>IFERROR(INDEX(Produtos!$D$2:$D$71,MATCH(C2488,Produtos!$A$2:$A$71,0)),0)</f>
        <v/>
      </c>
      <c r="Q2488" s="21">
        <f>IFERROR(INDEX(Produtos!$E$2:$E$71,MATCH(C2488,Produtos!$A$2:$A$71,0)),0)</f>
        <v/>
      </c>
      <c r="R2488" s="23">
        <f>D2488*Q2488</f>
        <v/>
      </c>
      <c r="S2488" s="23">
        <f>R2488*E2488</f>
        <v/>
      </c>
      <c r="T2488" s="23">
        <f>(R2488-S2488)*M2488</f>
        <v/>
      </c>
      <c r="U2488" s="23">
        <f>R2488-S2488-T2488</f>
        <v/>
      </c>
      <c r="V2488" s="23">
        <f>D2488*P2488</f>
        <v/>
      </c>
      <c r="W2488" s="23">
        <f>U2488-V2488</f>
        <v/>
      </c>
      <c r="X2488" s="24">
        <f>IFERROR(W2488/U2488,0)</f>
        <v/>
      </c>
    </row>
    <row r="2489">
      <c r="A2489" s="25">
        <f>ItensPedido!A2489</f>
        <v/>
      </c>
      <c r="B2489" s="25">
        <f>ItensPedido!B2489</f>
        <v/>
      </c>
      <c r="C2489" s="25">
        <f>ItensPedido!C2489</f>
        <v/>
      </c>
      <c r="D2489" s="25">
        <f>ItensPedido!D2489</f>
        <v/>
      </c>
      <c r="E2489" s="26">
        <f>ItensPedido!E2489</f>
        <v/>
      </c>
      <c r="F2489" s="25">
        <f>IFERROR(INDEX(Pedidos!$B$2:$B$1801,MATCH(B2489,Pedidos!$A$2:$A$1801,0)),0)</f>
        <v/>
      </c>
      <c r="G2489" s="25">
        <f>IF(F2489=0,"",YEAR(F2489))</f>
        <v/>
      </c>
      <c r="H2489" s="25">
        <f>IF(F2489=0,"",MONTH(F2489))</f>
        <v/>
      </c>
      <c r="I2489" s="25">
        <f>IFERROR(INDEX(Pedidos!$E$2:$E$1801,MATCH(B2489,Pedidos!$A$2:$A$1801,0)),"")</f>
        <v/>
      </c>
      <c r="J2489" s="25">
        <f>IFERROR(INDEX(Pedidos!$C$2:$C$1801,MATCH(B2489,Pedidos!$A$2:$A$1801,0)),"")</f>
        <v/>
      </c>
      <c r="K2489" s="25">
        <f>IFERROR(INDEX(Pedidos!$D$2:$D$1801,MATCH(B2489,Pedidos!$A$2:$A$1801,0)),"")</f>
        <v/>
      </c>
      <c r="L2489" s="25">
        <f>IFERROR(INDEX(Pedidos!$F$2:$F$1801,MATCH(B2489,Pedidos!$A$2:$A$1801,0)),"")</f>
        <v/>
      </c>
      <c r="M2489" s="26">
        <f>IFERROR(INDEX(Pedidos!$G$2:$G$1801,MATCH(B2489,Pedidos!$A$2:$A$1801,0)),0)</f>
        <v/>
      </c>
      <c r="N2489" s="25">
        <f>IFERROR(INDEX(Produtos!$B$2:$B$71,MATCH(C2489,Produtos!$A$2:$A$71,0)),"")</f>
        <v/>
      </c>
      <c r="O2489" s="25">
        <f>IFERROR(INDEX(Produtos!$C$2:$C$71,MATCH(C2489,Produtos!$A$2:$A$71,0)),"")</f>
        <v/>
      </c>
      <c r="P2489" s="25">
        <f>IFERROR(INDEX(Produtos!$D$2:$D$71,MATCH(C2489,Produtos!$A$2:$A$71,0)),0)</f>
        <v/>
      </c>
      <c r="Q2489" s="25">
        <f>IFERROR(INDEX(Produtos!$E$2:$E$71,MATCH(C2489,Produtos!$A$2:$A$71,0)),0)</f>
        <v/>
      </c>
      <c r="R2489" s="27">
        <f>D2489*Q2489</f>
        <v/>
      </c>
      <c r="S2489" s="27">
        <f>R2489*E2489</f>
        <v/>
      </c>
      <c r="T2489" s="27">
        <f>(R2489-S2489)*M2489</f>
        <v/>
      </c>
      <c r="U2489" s="27">
        <f>R2489-S2489-T2489</f>
        <v/>
      </c>
      <c r="V2489" s="27">
        <f>D2489*P2489</f>
        <v/>
      </c>
      <c r="W2489" s="27">
        <f>U2489-V2489</f>
        <v/>
      </c>
      <c r="X2489" s="28">
        <f>IFERROR(W2489/U2489,0)</f>
        <v/>
      </c>
    </row>
    <row r="2490">
      <c r="A2490" s="21">
        <f>ItensPedido!A2490</f>
        <v/>
      </c>
      <c r="B2490" s="21">
        <f>ItensPedido!B2490</f>
        <v/>
      </c>
      <c r="C2490" s="21">
        <f>ItensPedido!C2490</f>
        <v/>
      </c>
      <c r="D2490" s="21">
        <f>ItensPedido!D2490</f>
        <v/>
      </c>
      <c r="E2490" s="22">
        <f>ItensPedido!E2490</f>
        <v/>
      </c>
      <c r="F2490" s="21">
        <f>IFERROR(INDEX(Pedidos!$B$2:$B$1801,MATCH(B2490,Pedidos!$A$2:$A$1801,0)),0)</f>
        <v/>
      </c>
      <c r="G2490" s="21">
        <f>IF(F2490=0,"",YEAR(F2490))</f>
        <v/>
      </c>
      <c r="H2490" s="21">
        <f>IF(F2490=0,"",MONTH(F2490))</f>
        <v/>
      </c>
      <c r="I2490" s="21">
        <f>IFERROR(INDEX(Pedidos!$E$2:$E$1801,MATCH(B2490,Pedidos!$A$2:$A$1801,0)),"")</f>
        <v/>
      </c>
      <c r="J2490" s="21">
        <f>IFERROR(INDEX(Pedidos!$C$2:$C$1801,MATCH(B2490,Pedidos!$A$2:$A$1801,0)),"")</f>
        <v/>
      </c>
      <c r="K2490" s="21">
        <f>IFERROR(INDEX(Pedidos!$D$2:$D$1801,MATCH(B2490,Pedidos!$A$2:$A$1801,0)),"")</f>
        <v/>
      </c>
      <c r="L2490" s="21">
        <f>IFERROR(INDEX(Pedidos!$F$2:$F$1801,MATCH(B2490,Pedidos!$A$2:$A$1801,0)),"")</f>
        <v/>
      </c>
      <c r="M2490" s="22">
        <f>IFERROR(INDEX(Pedidos!$G$2:$G$1801,MATCH(B2490,Pedidos!$A$2:$A$1801,0)),0)</f>
        <v/>
      </c>
      <c r="N2490" s="21">
        <f>IFERROR(INDEX(Produtos!$B$2:$B$71,MATCH(C2490,Produtos!$A$2:$A$71,0)),"")</f>
        <v/>
      </c>
      <c r="O2490" s="21">
        <f>IFERROR(INDEX(Produtos!$C$2:$C$71,MATCH(C2490,Produtos!$A$2:$A$71,0)),"")</f>
        <v/>
      </c>
      <c r="P2490" s="21">
        <f>IFERROR(INDEX(Produtos!$D$2:$D$71,MATCH(C2490,Produtos!$A$2:$A$71,0)),0)</f>
        <v/>
      </c>
      <c r="Q2490" s="21">
        <f>IFERROR(INDEX(Produtos!$E$2:$E$71,MATCH(C2490,Produtos!$A$2:$A$71,0)),0)</f>
        <v/>
      </c>
      <c r="R2490" s="23">
        <f>D2490*Q2490</f>
        <v/>
      </c>
      <c r="S2490" s="23">
        <f>R2490*E2490</f>
        <v/>
      </c>
      <c r="T2490" s="23">
        <f>(R2490-S2490)*M2490</f>
        <v/>
      </c>
      <c r="U2490" s="23">
        <f>R2490-S2490-T2490</f>
        <v/>
      </c>
      <c r="V2490" s="23">
        <f>D2490*P2490</f>
        <v/>
      </c>
      <c r="W2490" s="23">
        <f>U2490-V2490</f>
        <v/>
      </c>
      <c r="X2490" s="24">
        <f>IFERROR(W2490/U2490,0)</f>
        <v/>
      </c>
    </row>
    <row r="2491">
      <c r="A2491" s="25">
        <f>ItensPedido!A2491</f>
        <v/>
      </c>
      <c r="B2491" s="25">
        <f>ItensPedido!B2491</f>
        <v/>
      </c>
      <c r="C2491" s="25">
        <f>ItensPedido!C2491</f>
        <v/>
      </c>
      <c r="D2491" s="25">
        <f>ItensPedido!D2491</f>
        <v/>
      </c>
      <c r="E2491" s="26">
        <f>ItensPedido!E2491</f>
        <v/>
      </c>
      <c r="F2491" s="25">
        <f>IFERROR(INDEX(Pedidos!$B$2:$B$1801,MATCH(B2491,Pedidos!$A$2:$A$1801,0)),0)</f>
        <v/>
      </c>
      <c r="G2491" s="25">
        <f>IF(F2491=0,"",YEAR(F2491))</f>
        <v/>
      </c>
      <c r="H2491" s="25">
        <f>IF(F2491=0,"",MONTH(F2491))</f>
        <v/>
      </c>
      <c r="I2491" s="25">
        <f>IFERROR(INDEX(Pedidos!$E$2:$E$1801,MATCH(B2491,Pedidos!$A$2:$A$1801,0)),"")</f>
        <v/>
      </c>
      <c r="J2491" s="25">
        <f>IFERROR(INDEX(Pedidos!$C$2:$C$1801,MATCH(B2491,Pedidos!$A$2:$A$1801,0)),"")</f>
        <v/>
      </c>
      <c r="K2491" s="25">
        <f>IFERROR(INDEX(Pedidos!$D$2:$D$1801,MATCH(B2491,Pedidos!$A$2:$A$1801,0)),"")</f>
        <v/>
      </c>
      <c r="L2491" s="25">
        <f>IFERROR(INDEX(Pedidos!$F$2:$F$1801,MATCH(B2491,Pedidos!$A$2:$A$1801,0)),"")</f>
        <v/>
      </c>
      <c r="M2491" s="26">
        <f>IFERROR(INDEX(Pedidos!$G$2:$G$1801,MATCH(B2491,Pedidos!$A$2:$A$1801,0)),0)</f>
        <v/>
      </c>
      <c r="N2491" s="25">
        <f>IFERROR(INDEX(Produtos!$B$2:$B$71,MATCH(C2491,Produtos!$A$2:$A$71,0)),"")</f>
        <v/>
      </c>
      <c r="O2491" s="25">
        <f>IFERROR(INDEX(Produtos!$C$2:$C$71,MATCH(C2491,Produtos!$A$2:$A$71,0)),"")</f>
        <v/>
      </c>
      <c r="P2491" s="25">
        <f>IFERROR(INDEX(Produtos!$D$2:$D$71,MATCH(C2491,Produtos!$A$2:$A$71,0)),0)</f>
        <v/>
      </c>
      <c r="Q2491" s="25">
        <f>IFERROR(INDEX(Produtos!$E$2:$E$71,MATCH(C2491,Produtos!$A$2:$A$71,0)),0)</f>
        <v/>
      </c>
      <c r="R2491" s="27">
        <f>D2491*Q2491</f>
        <v/>
      </c>
      <c r="S2491" s="27">
        <f>R2491*E2491</f>
        <v/>
      </c>
      <c r="T2491" s="27">
        <f>(R2491-S2491)*M2491</f>
        <v/>
      </c>
      <c r="U2491" s="27">
        <f>R2491-S2491-T2491</f>
        <v/>
      </c>
      <c r="V2491" s="27">
        <f>D2491*P2491</f>
        <v/>
      </c>
      <c r="W2491" s="27">
        <f>U2491-V2491</f>
        <v/>
      </c>
      <c r="X2491" s="28">
        <f>IFERROR(W2491/U2491,0)</f>
        <v/>
      </c>
    </row>
    <row r="2492">
      <c r="A2492" s="21">
        <f>ItensPedido!A2492</f>
        <v/>
      </c>
      <c r="B2492" s="21">
        <f>ItensPedido!B2492</f>
        <v/>
      </c>
      <c r="C2492" s="21">
        <f>ItensPedido!C2492</f>
        <v/>
      </c>
      <c r="D2492" s="21">
        <f>ItensPedido!D2492</f>
        <v/>
      </c>
      <c r="E2492" s="22">
        <f>ItensPedido!E2492</f>
        <v/>
      </c>
      <c r="F2492" s="21">
        <f>IFERROR(INDEX(Pedidos!$B$2:$B$1801,MATCH(B2492,Pedidos!$A$2:$A$1801,0)),0)</f>
        <v/>
      </c>
      <c r="G2492" s="21">
        <f>IF(F2492=0,"",YEAR(F2492))</f>
        <v/>
      </c>
      <c r="H2492" s="21">
        <f>IF(F2492=0,"",MONTH(F2492))</f>
        <v/>
      </c>
      <c r="I2492" s="21">
        <f>IFERROR(INDEX(Pedidos!$E$2:$E$1801,MATCH(B2492,Pedidos!$A$2:$A$1801,0)),"")</f>
        <v/>
      </c>
      <c r="J2492" s="21">
        <f>IFERROR(INDEX(Pedidos!$C$2:$C$1801,MATCH(B2492,Pedidos!$A$2:$A$1801,0)),"")</f>
        <v/>
      </c>
      <c r="K2492" s="21">
        <f>IFERROR(INDEX(Pedidos!$D$2:$D$1801,MATCH(B2492,Pedidos!$A$2:$A$1801,0)),"")</f>
        <v/>
      </c>
      <c r="L2492" s="21">
        <f>IFERROR(INDEX(Pedidos!$F$2:$F$1801,MATCH(B2492,Pedidos!$A$2:$A$1801,0)),"")</f>
        <v/>
      </c>
      <c r="M2492" s="22">
        <f>IFERROR(INDEX(Pedidos!$G$2:$G$1801,MATCH(B2492,Pedidos!$A$2:$A$1801,0)),0)</f>
        <v/>
      </c>
      <c r="N2492" s="21">
        <f>IFERROR(INDEX(Produtos!$B$2:$B$71,MATCH(C2492,Produtos!$A$2:$A$71,0)),"")</f>
        <v/>
      </c>
      <c r="O2492" s="21">
        <f>IFERROR(INDEX(Produtos!$C$2:$C$71,MATCH(C2492,Produtos!$A$2:$A$71,0)),"")</f>
        <v/>
      </c>
      <c r="P2492" s="21">
        <f>IFERROR(INDEX(Produtos!$D$2:$D$71,MATCH(C2492,Produtos!$A$2:$A$71,0)),0)</f>
        <v/>
      </c>
      <c r="Q2492" s="21">
        <f>IFERROR(INDEX(Produtos!$E$2:$E$71,MATCH(C2492,Produtos!$A$2:$A$71,0)),0)</f>
        <v/>
      </c>
      <c r="R2492" s="23">
        <f>D2492*Q2492</f>
        <v/>
      </c>
      <c r="S2492" s="23">
        <f>R2492*E2492</f>
        <v/>
      </c>
      <c r="T2492" s="23">
        <f>(R2492-S2492)*M2492</f>
        <v/>
      </c>
      <c r="U2492" s="23">
        <f>R2492-S2492-T2492</f>
        <v/>
      </c>
      <c r="V2492" s="23">
        <f>D2492*P2492</f>
        <v/>
      </c>
      <c r="W2492" s="23">
        <f>U2492-V2492</f>
        <v/>
      </c>
      <c r="X2492" s="24">
        <f>IFERROR(W2492/U2492,0)</f>
        <v/>
      </c>
    </row>
    <row r="2493">
      <c r="A2493" s="25">
        <f>ItensPedido!A2493</f>
        <v/>
      </c>
      <c r="B2493" s="25">
        <f>ItensPedido!B2493</f>
        <v/>
      </c>
      <c r="C2493" s="25">
        <f>ItensPedido!C2493</f>
        <v/>
      </c>
      <c r="D2493" s="25">
        <f>ItensPedido!D2493</f>
        <v/>
      </c>
      <c r="E2493" s="26">
        <f>ItensPedido!E2493</f>
        <v/>
      </c>
      <c r="F2493" s="25">
        <f>IFERROR(INDEX(Pedidos!$B$2:$B$1801,MATCH(B2493,Pedidos!$A$2:$A$1801,0)),0)</f>
        <v/>
      </c>
      <c r="G2493" s="25">
        <f>IF(F2493=0,"",YEAR(F2493))</f>
        <v/>
      </c>
      <c r="H2493" s="25">
        <f>IF(F2493=0,"",MONTH(F2493))</f>
        <v/>
      </c>
      <c r="I2493" s="25">
        <f>IFERROR(INDEX(Pedidos!$E$2:$E$1801,MATCH(B2493,Pedidos!$A$2:$A$1801,0)),"")</f>
        <v/>
      </c>
      <c r="J2493" s="25">
        <f>IFERROR(INDEX(Pedidos!$C$2:$C$1801,MATCH(B2493,Pedidos!$A$2:$A$1801,0)),"")</f>
        <v/>
      </c>
      <c r="K2493" s="25">
        <f>IFERROR(INDEX(Pedidos!$D$2:$D$1801,MATCH(B2493,Pedidos!$A$2:$A$1801,0)),"")</f>
        <v/>
      </c>
      <c r="L2493" s="25">
        <f>IFERROR(INDEX(Pedidos!$F$2:$F$1801,MATCH(B2493,Pedidos!$A$2:$A$1801,0)),"")</f>
        <v/>
      </c>
      <c r="M2493" s="26">
        <f>IFERROR(INDEX(Pedidos!$G$2:$G$1801,MATCH(B2493,Pedidos!$A$2:$A$1801,0)),0)</f>
        <v/>
      </c>
      <c r="N2493" s="25">
        <f>IFERROR(INDEX(Produtos!$B$2:$B$71,MATCH(C2493,Produtos!$A$2:$A$71,0)),"")</f>
        <v/>
      </c>
      <c r="O2493" s="25">
        <f>IFERROR(INDEX(Produtos!$C$2:$C$71,MATCH(C2493,Produtos!$A$2:$A$71,0)),"")</f>
        <v/>
      </c>
      <c r="P2493" s="25">
        <f>IFERROR(INDEX(Produtos!$D$2:$D$71,MATCH(C2493,Produtos!$A$2:$A$71,0)),0)</f>
        <v/>
      </c>
      <c r="Q2493" s="25">
        <f>IFERROR(INDEX(Produtos!$E$2:$E$71,MATCH(C2493,Produtos!$A$2:$A$71,0)),0)</f>
        <v/>
      </c>
      <c r="R2493" s="27">
        <f>D2493*Q2493</f>
        <v/>
      </c>
      <c r="S2493" s="27">
        <f>R2493*E2493</f>
        <v/>
      </c>
      <c r="T2493" s="27">
        <f>(R2493-S2493)*M2493</f>
        <v/>
      </c>
      <c r="U2493" s="27">
        <f>R2493-S2493-T2493</f>
        <v/>
      </c>
      <c r="V2493" s="27">
        <f>D2493*P2493</f>
        <v/>
      </c>
      <c r="W2493" s="27">
        <f>U2493-V2493</f>
        <v/>
      </c>
      <c r="X2493" s="28">
        <f>IFERROR(W2493/U2493,0)</f>
        <v/>
      </c>
    </row>
    <row r="2494">
      <c r="A2494" s="21">
        <f>ItensPedido!A2494</f>
        <v/>
      </c>
      <c r="B2494" s="21">
        <f>ItensPedido!B2494</f>
        <v/>
      </c>
      <c r="C2494" s="21">
        <f>ItensPedido!C2494</f>
        <v/>
      </c>
      <c r="D2494" s="21">
        <f>ItensPedido!D2494</f>
        <v/>
      </c>
      <c r="E2494" s="22">
        <f>ItensPedido!E2494</f>
        <v/>
      </c>
      <c r="F2494" s="21">
        <f>IFERROR(INDEX(Pedidos!$B$2:$B$1801,MATCH(B2494,Pedidos!$A$2:$A$1801,0)),0)</f>
        <v/>
      </c>
      <c r="G2494" s="21">
        <f>IF(F2494=0,"",YEAR(F2494))</f>
        <v/>
      </c>
      <c r="H2494" s="21">
        <f>IF(F2494=0,"",MONTH(F2494))</f>
        <v/>
      </c>
      <c r="I2494" s="21">
        <f>IFERROR(INDEX(Pedidos!$E$2:$E$1801,MATCH(B2494,Pedidos!$A$2:$A$1801,0)),"")</f>
        <v/>
      </c>
      <c r="J2494" s="21">
        <f>IFERROR(INDEX(Pedidos!$C$2:$C$1801,MATCH(B2494,Pedidos!$A$2:$A$1801,0)),"")</f>
        <v/>
      </c>
      <c r="K2494" s="21">
        <f>IFERROR(INDEX(Pedidos!$D$2:$D$1801,MATCH(B2494,Pedidos!$A$2:$A$1801,0)),"")</f>
        <v/>
      </c>
      <c r="L2494" s="21">
        <f>IFERROR(INDEX(Pedidos!$F$2:$F$1801,MATCH(B2494,Pedidos!$A$2:$A$1801,0)),"")</f>
        <v/>
      </c>
      <c r="M2494" s="22">
        <f>IFERROR(INDEX(Pedidos!$G$2:$G$1801,MATCH(B2494,Pedidos!$A$2:$A$1801,0)),0)</f>
        <v/>
      </c>
      <c r="N2494" s="21">
        <f>IFERROR(INDEX(Produtos!$B$2:$B$71,MATCH(C2494,Produtos!$A$2:$A$71,0)),"")</f>
        <v/>
      </c>
      <c r="O2494" s="21">
        <f>IFERROR(INDEX(Produtos!$C$2:$C$71,MATCH(C2494,Produtos!$A$2:$A$71,0)),"")</f>
        <v/>
      </c>
      <c r="P2494" s="21">
        <f>IFERROR(INDEX(Produtos!$D$2:$D$71,MATCH(C2494,Produtos!$A$2:$A$71,0)),0)</f>
        <v/>
      </c>
      <c r="Q2494" s="21">
        <f>IFERROR(INDEX(Produtos!$E$2:$E$71,MATCH(C2494,Produtos!$A$2:$A$71,0)),0)</f>
        <v/>
      </c>
      <c r="R2494" s="23">
        <f>D2494*Q2494</f>
        <v/>
      </c>
      <c r="S2494" s="23">
        <f>R2494*E2494</f>
        <v/>
      </c>
      <c r="T2494" s="23">
        <f>(R2494-S2494)*M2494</f>
        <v/>
      </c>
      <c r="U2494" s="23">
        <f>R2494-S2494-T2494</f>
        <v/>
      </c>
      <c r="V2494" s="23">
        <f>D2494*P2494</f>
        <v/>
      </c>
      <c r="W2494" s="23">
        <f>U2494-V2494</f>
        <v/>
      </c>
      <c r="X2494" s="24">
        <f>IFERROR(W2494/U2494,0)</f>
        <v/>
      </c>
    </row>
    <row r="2495">
      <c r="A2495" s="25">
        <f>ItensPedido!A2495</f>
        <v/>
      </c>
      <c r="B2495" s="25">
        <f>ItensPedido!B2495</f>
        <v/>
      </c>
      <c r="C2495" s="25">
        <f>ItensPedido!C2495</f>
        <v/>
      </c>
      <c r="D2495" s="25">
        <f>ItensPedido!D2495</f>
        <v/>
      </c>
      <c r="E2495" s="26">
        <f>ItensPedido!E2495</f>
        <v/>
      </c>
      <c r="F2495" s="25">
        <f>IFERROR(INDEX(Pedidos!$B$2:$B$1801,MATCH(B2495,Pedidos!$A$2:$A$1801,0)),0)</f>
        <v/>
      </c>
      <c r="G2495" s="25">
        <f>IF(F2495=0,"",YEAR(F2495))</f>
        <v/>
      </c>
      <c r="H2495" s="25">
        <f>IF(F2495=0,"",MONTH(F2495))</f>
        <v/>
      </c>
      <c r="I2495" s="25">
        <f>IFERROR(INDEX(Pedidos!$E$2:$E$1801,MATCH(B2495,Pedidos!$A$2:$A$1801,0)),"")</f>
        <v/>
      </c>
      <c r="J2495" s="25">
        <f>IFERROR(INDEX(Pedidos!$C$2:$C$1801,MATCH(B2495,Pedidos!$A$2:$A$1801,0)),"")</f>
        <v/>
      </c>
      <c r="K2495" s="25">
        <f>IFERROR(INDEX(Pedidos!$D$2:$D$1801,MATCH(B2495,Pedidos!$A$2:$A$1801,0)),"")</f>
        <v/>
      </c>
      <c r="L2495" s="25">
        <f>IFERROR(INDEX(Pedidos!$F$2:$F$1801,MATCH(B2495,Pedidos!$A$2:$A$1801,0)),"")</f>
        <v/>
      </c>
      <c r="M2495" s="26">
        <f>IFERROR(INDEX(Pedidos!$G$2:$G$1801,MATCH(B2495,Pedidos!$A$2:$A$1801,0)),0)</f>
        <v/>
      </c>
      <c r="N2495" s="25">
        <f>IFERROR(INDEX(Produtos!$B$2:$B$71,MATCH(C2495,Produtos!$A$2:$A$71,0)),"")</f>
        <v/>
      </c>
      <c r="O2495" s="25">
        <f>IFERROR(INDEX(Produtos!$C$2:$C$71,MATCH(C2495,Produtos!$A$2:$A$71,0)),"")</f>
        <v/>
      </c>
      <c r="P2495" s="25">
        <f>IFERROR(INDEX(Produtos!$D$2:$D$71,MATCH(C2495,Produtos!$A$2:$A$71,0)),0)</f>
        <v/>
      </c>
      <c r="Q2495" s="25">
        <f>IFERROR(INDEX(Produtos!$E$2:$E$71,MATCH(C2495,Produtos!$A$2:$A$71,0)),0)</f>
        <v/>
      </c>
      <c r="R2495" s="27">
        <f>D2495*Q2495</f>
        <v/>
      </c>
      <c r="S2495" s="27">
        <f>R2495*E2495</f>
        <v/>
      </c>
      <c r="T2495" s="27">
        <f>(R2495-S2495)*M2495</f>
        <v/>
      </c>
      <c r="U2495" s="27">
        <f>R2495-S2495-T2495</f>
        <v/>
      </c>
      <c r="V2495" s="27">
        <f>D2495*P2495</f>
        <v/>
      </c>
      <c r="W2495" s="27">
        <f>U2495-V2495</f>
        <v/>
      </c>
      <c r="X2495" s="28">
        <f>IFERROR(W2495/U2495,0)</f>
        <v/>
      </c>
    </row>
    <row r="2496">
      <c r="A2496" s="21">
        <f>ItensPedido!A2496</f>
        <v/>
      </c>
      <c r="B2496" s="21">
        <f>ItensPedido!B2496</f>
        <v/>
      </c>
      <c r="C2496" s="21">
        <f>ItensPedido!C2496</f>
        <v/>
      </c>
      <c r="D2496" s="21">
        <f>ItensPedido!D2496</f>
        <v/>
      </c>
      <c r="E2496" s="22">
        <f>ItensPedido!E2496</f>
        <v/>
      </c>
      <c r="F2496" s="21">
        <f>IFERROR(INDEX(Pedidos!$B$2:$B$1801,MATCH(B2496,Pedidos!$A$2:$A$1801,0)),0)</f>
        <v/>
      </c>
      <c r="G2496" s="21">
        <f>IF(F2496=0,"",YEAR(F2496))</f>
        <v/>
      </c>
      <c r="H2496" s="21">
        <f>IF(F2496=0,"",MONTH(F2496))</f>
        <v/>
      </c>
      <c r="I2496" s="21">
        <f>IFERROR(INDEX(Pedidos!$E$2:$E$1801,MATCH(B2496,Pedidos!$A$2:$A$1801,0)),"")</f>
        <v/>
      </c>
      <c r="J2496" s="21">
        <f>IFERROR(INDEX(Pedidos!$C$2:$C$1801,MATCH(B2496,Pedidos!$A$2:$A$1801,0)),"")</f>
        <v/>
      </c>
      <c r="K2496" s="21">
        <f>IFERROR(INDEX(Pedidos!$D$2:$D$1801,MATCH(B2496,Pedidos!$A$2:$A$1801,0)),"")</f>
        <v/>
      </c>
      <c r="L2496" s="21">
        <f>IFERROR(INDEX(Pedidos!$F$2:$F$1801,MATCH(B2496,Pedidos!$A$2:$A$1801,0)),"")</f>
        <v/>
      </c>
      <c r="M2496" s="22">
        <f>IFERROR(INDEX(Pedidos!$G$2:$G$1801,MATCH(B2496,Pedidos!$A$2:$A$1801,0)),0)</f>
        <v/>
      </c>
      <c r="N2496" s="21">
        <f>IFERROR(INDEX(Produtos!$B$2:$B$71,MATCH(C2496,Produtos!$A$2:$A$71,0)),"")</f>
        <v/>
      </c>
      <c r="O2496" s="21">
        <f>IFERROR(INDEX(Produtos!$C$2:$C$71,MATCH(C2496,Produtos!$A$2:$A$71,0)),"")</f>
        <v/>
      </c>
      <c r="P2496" s="21">
        <f>IFERROR(INDEX(Produtos!$D$2:$D$71,MATCH(C2496,Produtos!$A$2:$A$71,0)),0)</f>
        <v/>
      </c>
      <c r="Q2496" s="21">
        <f>IFERROR(INDEX(Produtos!$E$2:$E$71,MATCH(C2496,Produtos!$A$2:$A$71,0)),0)</f>
        <v/>
      </c>
      <c r="R2496" s="23">
        <f>D2496*Q2496</f>
        <v/>
      </c>
      <c r="S2496" s="23">
        <f>R2496*E2496</f>
        <v/>
      </c>
      <c r="T2496" s="23">
        <f>(R2496-S2496)*M2496</f>
        <v/>
      </c>
      <c r="U2496" s="23">
        <f>R2496-S2496-T2496</f>
        <v/>
      </c>
      <c r="V2496" s="23">
        <f>D2496*P2496</f>
        <v/>
      </c>
      <c r="W2496" s="23">
        <f>U2496-V2496</f>
        <v/>
      </c>
      <c r="X2496" s="24">
        <f>IFERROR(W2496/U2496,0)</f>
        <v/>
      </c>
    </row>
    <row r="2497">
      <c r="A2497" s="25">
        <f>ItensPedido!A2497</f>
        <v/>
      </c>
      <c r="B2497" s="25">
        <f>ItensPedido!B2497</f>
        <v/>
      </c>
      <c r="C2497" s="25">
        <f>ItensPedido!C2497</f>
        <v/>
      </c>
      <c r="D2497" s="25">
        <f>ItensPedido!D2497</f>
        <v/>
      </c>
      <c r="E2497" s="26">
        <f>ItensPedido!E2497</f>
        <v/>
      </c>
      <c r="F2497" s="25">
        <f>IFERROR(INDEX(Pedidos!$B$2:$B$1801,MATCH(B2497,Pedidos!$A$2:$A$1801,0)),0)</f>
        <v/>
      </c>
      <c r="G2497" s="25">
        <f>IF(F2497=0,"",YEAR(F2497))</f>
        <v/>
      </c>
      <c r="H2497" s="25">
        <f>IF(F2497=0,"",MONTH(F2497))</f>
        <v/>
      </c>
      <c r="I2497" s="25">
        <f>IFERROR(INDEX(Pedidos!$E$2:$E$1801,MATCH(B2497,Pedidos!$A$2:$A$1801,0)),"")</f>
        <v/>
      </c>
      <c r="J2497" s="25">
        <f>IFERROR(INDEX(Pedidos!$C$2:$C$1801,MATCH(B2497,Pedidos!$A$2:$A$1801,0)),"")</f>
        <v/>
      </c>
      <c r="K2497" s="25">
        <f>IFERROR(INDEX(Pedidos!$D$2:$D$1801,MATCH(B2497,Pedidos!$A$2:$A$1801,0)),"")</f>
        <v/>
      </c>
      <c r="L2497" s="25">
        <f>IFERROR(INDEX(Pedidos!$F$2:$F$1801,MATCH(B2497,Pedidos!$A$2:$A$1801,0)),"")</f>
        <v/>
      </c>
      <c r="M2497" s="26">
        <f>IFERROR(INDEX(Pedidos!$G$2:$G$1801,MATCH(B2497,Pedidos!$A$2:$A$1801,0)),0)</f>
        <v/>
      </c>
      <c r="N2497" s="25">
        <f>IFERROR(INDEX(Produtos!$B$2:$B$71,MATCH(C2497,Produtos!$A$2:$A$71,0)),"")</f>
        <v/>
      </c>
      <c r="O2497" s="25">
        <f>IFERROR(INDEX(Produtos!$C$2:$C$71,MATCH(C2497,Produtos!$A$2:$A$71,0)),"")</f>
        <v/>
      </c>
      <c r="P2497" s="25">
        <f>IFERROR(INDEX(Produtos!$D$2:$D$71,MATCH(C2497,Produtos!$A$2:$A$71,0)),0)</f>
        <v/>
      </c>
      <c r="Q2497" s="25">
        <f>IFERROR(INDEX(Produtos!$E$2:$E$71,MATCH(C2497,Produtos!$A$2:$A$71,0)),0)</f>
        <v/>
      </c>
      <c r="R2497" s="27">
        <f>D2497*Q2497</f>
        <v/>
      </c>
      <c r="S2497" s="27">
        <f>R2497*E2497</f>
        <v/>
      </c>
      <c r="T2497" s="27">
        <f>(R2497-S2497)*M2497</f>
        <v/>
      </c>
      <c r="U2497" s="27">
        <f>R2497-S2497-T2497</f>
        <v/>
      </c>
      <c r="V2497" s="27">
        <f>D2497*P2497</f>
        <v/>
      </c>
      <c r="W2497" s="27">
        <f>U2497-V2497</f>
        <v/>
      </c>
      <c r="X2497" s="28">
        <f>IFERROR(W2497/U2497,0)</f>
        <v/>
      </c>
    </row>
    <row r="2498">
      <c r="A2498" s="21">
        <f>ItensPedido!A2498</f>
        <v/>
      </c>
      <c r="B2498" s="21">
        <f>ItensPedido!B2498</f>
        <v/>
      </c>
      <c r="C2498" s="21">
        <f>ItensPedido!C2498</f>
        <v/>
      </c>
      <c r="D2498" s="21">
        <f>ItensPedido!D2498</f>
        <v/>
      </c>
      <c r="E2498" s="22">
        <f>ItensPedido!E2498</f>
        <v/>
      </c>
      <c r="F2498" s="21">
        <f>IFERROR(INDEX(Pedidos!$B$2:$B$1801,MATCH(B2498,Pedidos!$A$2:$A$1801,0)),0)</f>
        <v/>
      </c>
      <c r="G2498" s="21">
        <f>IF(F2498=0,"",YEAR(F2498))</f>
        <v/>
      </c>
      <c r="H2498" s="21">
        <f>IF(F2498=0,"",MONTH(F2498))</f>
        <v/>
      </c>
      <c r="I2498" s="21">
        <f>IFERROR(INDEX(Pedidos!$E$2:$E$1801,MATCH(B2498,Pedidos!$A$2:$A$1801,0)),"")</f>
        <v/>
      </c>
      <c r="J2498" s="21">
        <f>IFERROR(INDEX(Pedidos!$C$2:$C$1801,MATCH(B2498,Pedidos!$A$2:$A$1801,0)),"")</f>
        <v/>
      </c>
      <c r="K2498" s="21">
        <f>IFERROR(INDEX(Pedidos!$D$2:$D$1801,MATCH(B2498,Pedidos!$A$2:$A$1801,0)),"")</f>
        <v/>
      </c>
      <c r="L2498" s="21">
        <f>IFERROR(INDEX(Pedidos!$F$2:$F$1801,MATCH(B2498,Pedidos!$A$2:$A$1801,0)),"")</f>
        <v/>
      </c>
      <c r="M2498" s="22">
        <f>IFERROR(INDEX(Pedidos!$G$2:$G$1801,MATCH(B2498,Pedidos!$A$2:$A$1801,0)),0)</f>
        <v/>
      </c>
      <c r="N2498" s="21">
        <f>IFERROR(INDEX(Produtos!$B$2:$B$71,MATCH(C2498,Produtos!$A$2:$A$71,0)),"")</f>
        <v/>
      </c>
      <c r="O2498" s="21">
        <f>IFERROR(INDEX(Produtos!$C$2:$C$71,MATCH(C2498,Produtos!$A$2:$A$71,0)),"")</f>
        <v/>
      </c>
      <c r="P2498" s="21">
        <f>IFERROR(INDEX(Produtos!$D$2:$D$71,MATCH(C2498,Produtos!$A$2:$A$71,0)),0)</f>
        <v/>
      </c>
      <c r="Q2498" s="21">
        <f>IFERROR(INDEX(Produtos!$E$2:$E$71,MATCH(C2498,Produtos!$A$2:$A$71,0)),0)</f>
        <v/>
      </c>
      <c r="R2498" s="23">
        <f>D2498*Q2498</f>
        <v/>
      </c>
      <c r="S2498" s="23">
        <f>R2498*E2498</f>
        <v/>
      </c>
      <c r="T2498" s="23">
        <f>(R2498-S2498)*M2498</f>
        <v/>
      </c>
      <c r="U2498" s="23">
        <f>R2498-S2498-T2498</f>
        <v/>
      </c>
      <c r="V2498" s="23">
        <f>D2498*P2498</f>
        <v/>
      </c>
      <c r="W2498" s="23">
        <f>U2498-V2498</f>
        <v/>
      </c>
      <c r="X2498" s="24">
        <f>IFERROR(W2498/U2498,0)</f>
        <v/>
      </c>
    </row>
    <row r="2499">
      <c r="A2499" s="25">
        <f>ItensPedido!A2499</f>
        <v/>
      </c>
      <c r="B2499" s="25">
        <f>ItensPedido!B2499</f>
        <v/>
      </c>
      <c r="C2499" s="25">
        <f>ItensPedido!C2499</f>
        <v/>
      </c>
      <c r="D2499" s="25">
        <f>ItensPedido!D2499</f>
        <v/>
      </c>
      <c r="E2499" s="26">
        <f>ItensPedido!E2499</f>
        <v/>
      </c>
      <c r="F2499" s="25">
        <f>IFERROR(INDEX(Pedidos!$B$2:$B$1801,MATCH(B2499,Pedidos!$A$2:$A$1801,0)),0)</f>
        <v/>
      </c>
      <c r="G2499" s="25">
        <f>IF(F2499=0,"",YEAR(F2499))</f>
        <v/>
      </c>
      <c r="H2499" s="25">
        <f>IF(F2499=0,"",MONTH(F2499))</f>
        <v/>
      </c>
      <c r="I2499" s="25">
        <f>IFERROR(INDEX(Pedidos!$E$2:$E$1801,MATCH(B2499,Pedidos!$A$2:$A$1801,0)),"")</f>
        <v/>
      </c>
      <c r="J2499" s="25">
        <f>IFERROR(INDEX(Pedidos!$C$2:$C$1801,MATCH(B2499,Pedidos!$A$2:$A$1801,0)),"")</f>
        <v/>
      </c>
      <c r="K2499" s="25">
        <f>IFERROR(INDEX(Pedidos!$D$2:$D$1801,MATCH(B2499,Pedidos!$A$2:$A$1801,0)),"")</f>
        <v/>
      </c>
      <c r="L2499" s="25">
        <f>IFERROR(INDEX(Pedidos!$F$2:$F$1801,MATCH(B2499,Pedidos!$A$2:$A$1801,0)),"")</f>
        <v/>
      </c>
      <c r="M2499" s="26">
        <f>IFERROR(INDEX(Pedidos!$G$2:$G$1801,MATCH(B2499,Pedidos!$A$2:$A$1801,0)),0)</f>
        <v/>
      </c>
      <c r="N2499" s="25">
        <f>IFERROR(INDEX(Produtos!$B$2:$B$71,MATCH(C2499,Produtos!$A$2:$A$71,0)),"")</f>
        <v/>
      </c>
      <c r="O2499" s="25">
        <f>IFERROR(INDEX(Produtos!$C$2:$C$71,MATCH(C2499,Produtos!$A$2:$A$71,0)),"")</f>
        <v/>
      </c>
      <c r="P2499" s="25">
        <f>IFERROR(INDEX(Produtos!$D$2:$D$71,MATCH(C2499,Produtos!$A$2:$A$71,0)),0)</f>
        <v/>
      </c>
      <c r="Q2499" s="25">
        <f>IFERROR(INDEX(Produtos!$E$2:$E$71,MATCH(C2499,Produtos!$A$2:$A$71,0)),0)</f>
        <v/>
      </c>
      <c r="R2499" s="27">
        <f>D2499*Q2499</f>
        <v/>
      </c>
      <c r="S2499" s="27">
        <f>R2499*E2499</f>
        <v/>
      </c>
      <c r="T2499" s="27">
        <f>(R2499-S2499)*M2499</f>
        <v/>
      </c>
      <c r="U2499" s="27">
        <f>R2499-S2499-T2499</f>
        <v/>
      </c>
      <c r="V2499" s="27">
        <f>D2499*P2499</f>
        <v/>
      </c>
      <c r="W2499" s="27">
        <f>U2499-V2499</f>
        <v/>
      </c>
      <c r="X2499" s="28">
        <f>IFERROR(W2499/U2499,0)</f>
        <v/>
      </c>
    </row>
    <row r="2500">
      <c r="A2500" s="21">
        <f>ItensPedido!A2500</f>
        <v/>
      </c>
      <c r="B2500" s="21">
        <f>ItensPedido!B2500</f>
        <v/>
      </c>
      <c r="C2500" s="21">
        <f>ItensPedido!C2500</f>
        <v/>
      </c>
      <c r="D2500" s="21">
        <f>ItensPedido!D2500</f>
        <v/>
      </c>
      <c r="E2500" s="22">
        <f>ItensPedido!E2500</f>
        <v/>
      </c>
      <c r="F2500" s="21">
        <f>IFERROR(INDEX(Pedidos!$B$2:$B$1801,MATCH(B2500,Pedidos!$A$2:$A$1801,0)),0)</f>
        <v/>
      </c>
      <c r="G2500" s="21">
        <f>IF(F2500=0,"",YEAR(F2500))</f>
        <v/>
      </c>
      <c r="H2500" s="21">
        <f>IF(F2500=0,"",MONTH(F2500))</f>
        <v/>
      </c>
      <c r="I2500" s="21">
        <f>IFERROR(INDEX(Pedidos!$E$2:$E$1801,MATCH(B2500,Pedidos!$A$2:$A$1801,0)),"")</f>
        <v/>
      </c>
      <c r="J2500" s="21">
        <f>IFERROR(INDEX(Pedidos!$C$2:$C$1801,MATCH(B2500,Pedidos!$A$2:$A$1801,0)),"")</f>
        <v/>
      </c>
      <c r="K2500" s="21">
        <f>IFERROR(INDEX(Pedidos!$D$2:$D$1801,MATCH(B2500,Pedidos!$A$2:$A$1801,0)),"")</f>
        <v/>
      </c>
      <c r="L2500" s="21">
        <f>IFERROR(INDEX(Pedidos!$F$2:$F$1801,MATCH(B2500,Pedidos!$A$2:$A$1801,0)),"")</f>
        <v/>
      </c>
      <c r="M2500" s="22">
        <f>IFERROR(INDEX(Pedidos!$G$2:$G$1801,MATCH(B2500,Pedidos!$A$2:$A$1801,0)),0)</f>
        <v/>
      </c>
      <c r="N2500" s="21">
        <f>IFERROR(INDEX(Produtos!$B$2:$B$71,MATCH(C2500,Produtos!$A$2:$A$71,0)),"")</f>
        <v/>
      </c>
      <c r="O2500" s="21">
        <f>IFERROR(INDEX(Produtos!$C$2:$C$71,MATCH(C2500,Produtos!$A$2:$A$71,0)),"")</f>
        <v/>
      </c>
      <c r="P2500" s="21">
        <f>IFERROR(INDEX(Produtos!$D$2:$D$71,MATCH(C2500,Produtos!$A$2:$A$71,0)),0)</f>
        <v/>
      </c>
      <c r="Q2500" s="21">
        <f>IFERROR(INDEX(Produtos!$E$2:$E$71,MATCH(C2500,Produtos!$A$2:$A$71,0)),0)</f>
        <v/>
      </c>
      <c r="R2500" s="23">
        <f>D2500*Q2500</f>
        <v/>
      </c>
      <c r="S2500" s="23">
        <f>R2500*E2500</f>
        <v/>
      </c>
      <c r="T2500" s="23">
        <f>(R2500-S2500)*M2500</f>
        <v/>
      </c>
      <c r="U2500" s="23">
        <f>R2500-S2500-T2500</f>
        <v/>
      </c>
      <c r="V2500" s="23">
        <f>D2500*P2500</f>
        <v/>
      </c>
      <c r="W2500" s="23">
        <f>U2500-V2500</f>
        <v/>
      </c>
      <c r="X2500" s="24">
        <f>IFERROR(W2500/U2500,0)</f>
        <v/>
      </c>
    </row>
    <row r="2501">
      <c r="A2501" s="25">
        <f>ItensPedido!A2501</f>
        <v/>
      </c>
      <c r="B2501" s="25">
        <f>ItensPedido!B2501</f>
        <v/>
      </c>
      <c r="C2501" s="25">
        <f>ItensPedido!C2501</f>
        <v/>
      </c>
      <c r="D2501" s="25">
        <f>ItensPedido!D2501</f>
        <v/>
      </c>
      <c r="E2501" s="26">
        <f>ItensPedido!E2501</f>
        <v/>
      </c>
      <c r="F2501" s="25">
        <f>IFERROR(INDEX(Pedidos!$B$2:$B$1801,MATCH(B2501,Pedidos!$A$2:$A$1801,0)),0)</f>
        <v/>
      </c>
      <c r="G2501" s="25">
        <f>IF(F2501=0,"",YEAR(F2501))</f>
        <v/>
      </c>
      <c r="H2501" s="25">
        <f>IF(F2501=0,"",MONTH(F2501))</f>
        <v/>
      </c>
      <c r="I2501" s="25">
        <f>IFERROR(INDEX(Pedidos!$E$2:$E$1801,MATCH(B2501,Pedidos!$A$2:$A$1801,0)),"")</f>
        <v/>
      </c>
      <c r="J2501" s="25">
        <f>IFERROR(INDEX(Pedidos!$C$2:$C$1801,MATCH(B2501,Pedidos!$A$2:$A$1801,0)),"")</f>
        <v/>
      </c>
      <c r="K2501" s="25">
        <f>IFERROR(INDEX(Pedidos!$D$2:$D$1801,MATCH(B2501,Pedidos!$A$2:$A$1801,0)),"")</f>
        <v/>
      </c>
      <c r="L2501" s="25">
        <f>IFERROR(INDEX(Pedidos!$F$2:$F$1801,MATCH(B2501,Pedidos!$A$2:$A$1801,0)),"")</f>
        <v/>
      </c>
      <c r="M2501" s="26">
        <f>IFERROR(INDEX(Pedidos!$G$2:$G$1801,MATCH(B2501,Pedidos!$A$2:$A$1801,0)),0)</f>
        <v/>
      </c>
      <c r="N2501" s="25">
        <f>IFERROR(INDEX(Produtos!$B$2:$B$71,MATCH(C2501,Produtos!$A$2:$A$71,0)),"")</f>
        <v/>
      </c>
      <c r="O2501" s="25">
        <f>IFERROR(INDEX(Produtos!$C$2:$C$71,MATCH(C2501,Produtos!$A$2:$A$71,0)),"")</f>
        <v/>
      </c>
      <c r="P2501" s="25">
        <f>IFERROR(INDEX(Produtos!$D$2:$D$71,MATCH(C2501,Produtos!$A$2:$A$71,0)),0)</f>
        <v/>
      </c>
      <c r="Q2501" s="25">
        <f>IFERROR(INDEX(Produtos!$E$2:$E$71,MATCH(C2501,Produtos!$A$2:$A$71,0)),0)</f>
        <v/>
      </c>
      <c r="R2501" s="27">
        <f>D2501*Q2501</f>
        <v/>
      </c>
      <c r="S2501" s="27">
        <f>R2501*E2501</f>
        <v/>
      </c>
      <c r="T2501" s="27">
        <f>(R2501-S2501)*M2501</f>
        <v/>
      </c>
      <c r="U2501" s="27">
        <f>R2501-S2501-T2501</f>
        <v/>
      </c>
      <c r="V2501" s="27">
        <f>D2501*P2501</f>
        <v/>
      </c>
      <c r="W2501" s="27">
        <f>U2501-V2501</f>
        <v/>
      </c>
      <c r="X2501" s="28">
        <f>IFERROR(W2501/U2501,0)</f>
        <v/>
      </c>
    </row>
    <row r="2502">
      <c r="A2502" s="21">
        <f>ItensPedido!A2502</f>
        <v/>
      </c>
      <c r="B2502" s="21">
        <f>ItensPedido!B2502</f>
        <v/>
      </c>
      <c r="C2502" s="21">
        <f>ItensPedido!C2502</f>
        <v/>
      </c>
      <c r="D2502" s="21">
        <f>ItensPedido!D2502</f>
        <v/>
      </c>
      <c r="E2502" s="22">
        <f>ItensPedido!E2502</f>
        <v/>
      </c>
      <c r="F2502" s="21">
        <f>IFERROR(INDEX(Pedidos!$B$2:$B$1801,MATCH(B2502,Pedidos!$A$2:$A$1801,0)),0)</f>
        <v/>
      </c>
      <c r="G2502" s="21">
        <f>IF(F2502=0,"",YEAR(F2502))</f>
        <v/>
      </c>
      <c r="H2502" s="21">
        <f>IF(F2502=0,"",MONTH(F2502))</f>
        <v/>
      </c>
      <c r="I2502" s="21">
        <f>IFERROR(INDEX(Pedidos!$E$2:$E$1801,MATCH(B2502,Pedidos!$A$2:$A$1801,0)),"")</f>
        <v/>
      </c>
      <c r="J2502" s="21">
        <f>IFERROR(INDEX(Pedidos!$C$2:$C$1801,MATCH(B2502,Pedidos!$A$2:$A$1801,0)),"")</f>
        <v/>
      </c>
      <c r="K2502" s="21">
        <f>IFERROR(INDEX(Pedidos!$D$2:$D$1801,MATCH(B2502,Pedidos!$A$2:$A$1801,0)),"")</f>
        <v/>
      </c>
      <c r="L2502" s="21">
        <f>IFERROR(INDEX(Pedidos!$F$2:$F$1801,MATCH(B2502,Pedidos!$A$2:$A$1801,0)),"")</f>
        <v/>
      </c>
      <c r="M2502" s="22">
        <f>IFERROR(INDEX(Pedidos!$G$2:$G$1801,MATCH(B2502,Pedidos!$A$2:$A$1801,0)),0)</f>
        <v/>
      </c>
      <c r="N2502" s="21">
        <f>IFERROR(INDEX(Produtos!$B$2:$B$71,MATCH(C2502,Produtos!$A$2:$A$71,0)),"")</f>
        <v/>
      </c>
      <c r="O2502" s="21">
        <f>IFERROR(INDEX(Produtos!$C$2:$C$71,MATCH(C2502,Produtos!$A$2:$A$71,0)),"")</f>
        <v/>
      </c>
      <c r="P2502" s="21">
        <f>IFERROR(INDEX(Produtos!$D$2:$D$71,MATCH(C2502,Produtos!$A$2:$A$71,0)),0)</f>
        <v/>
      </c>
      <c r="Q2502" s="21">
        <f>IFERROR(INDEX(Produtos!$E$2:$E$71,MATCH(C2502,Produtos!$A$2:$A$71,0)),0)</f>
        <v/>
      </c>
      <c r="R2502" s="23">
        <f>D2502*Q2502</f>
        <v/>
      </c>
      <c r="S2502" s="23">
        <f>R2502*E2502</f>
        <v/>
      </c>
      <c r="T2502" s="23">
        <f>(R2502-S2502)*M2502</f>
        <v/>
      </c>
      <c r="U2502" s="23">
        <f>R2502-S2502-T2502</f>
        <v/>
      </c>
      <c r="V2502" s="23">
        <f>D2502*P2502</f>
        <v/>
      </c>
      <c r="W2502" s="23">
        <f>U2502-V2502</f>
        <v/>
      </c>
      <c r="X2502" s="24">
        <f>IFERROR(W2502/U2502,0)</f>
        <v/>
      </c>
    </row>
    <row r="2503">
      <c r="A2503" s="25">
        <f>ItensPedido!A2503</f>
        <v/>
      </c>
      <c r="B2503" s="25">
        <f>ItensPedido!B2503</f>
        <v/>
      </c>
      <c r="C2503" s="25">
        <f>ItensPedido!C2503</f>
        <v/>
      </c>
      <c r="D2503" s="25">
        <f>ItensPedido!D2503</f>
        <v/>
      </c>
      <c r="E2503" s="26">
        <f>ItensPedido!E2503</f>
        <v/>
      </c>
      <c r="F2503" s="25">
        <f>IFERROR(INDEX(Pedidos!$B$2:$B$1801,MATCH(B2503,Pedidos!$A$2:$A$1801,0)),0)</f>
        <v/>
      </c>
      <c r="G2503" s="25">
        <f>IF(F2503=0,"",YEAR(F2503))</f>
        <v/>
      </c>
      <c r="H2503" s="25">
        <f>IF(F2503=0,"",MONTH(F2503))</f>
        <v/>
      </c>
      <c r="I2503" s="25">
        <f>IFERROR(INDEX(Pedidos!$E$2:$E$1801,MATCH(B2503,Pedidos!$A$2:$A$1801,0)),"")</f>
        <v/>
      </c>
      <c r="J2503" s="25">
        <f>IFERROR(INDEX(Pedidos!$C$2:$C$1801,MATCH(B2503,Pedidos!$A$2:$A$1801,0)),"")</f>
        <v/>
      </c>
      <c r="K2503" s="25">
        <f>IFERROR(INDEX(Pedidos!$D$2:$D$1801,MATCH(B2503,Pedidos!$A$2:$A$1801,0)),"")</f>
        <v/>
      </c>
      <c r="L2503" s="25">
        <f>IFERROR(INDEX(Pedidos!$F$2:$F$1801,MATCH(B2503,Pedidos!$A$2:$A$1801,0)),"")</f>
        <v/>
      </c>
      <c r="M2503" s="26">
        <f>IFERROR(INDEX(Pedidos!$G$2:$G$1801,MATCH(B2503,Pedidos!$A$2:$A$1801,0)),0)</f>
        <v/>
      </c>
      <c r="N2503" s="25">
        <f>IFERROR(INDEX(Produtos!$B$2:$B$71,MATCH(C2503,Produtos!$A$2:$A$71,0)),"")</f>
        <v/>
      </c>
      <c r="O2503" s="25">
        <f>IFERROR(INDEX(Produtos!$C$2:$C$71,MATCH(C2503,Produtos!$A$2:$A$71,0)),"")</f>
        <v/>
      </c>
      <c r="P2503" s="25">
        <f>IFERROR(INDEX(Produtos!$D$2:$D$71,MATCH(C2503,Produtos!$A$2:$A$71,0)),0)</f>
        <v/>
      </c>
      <c r="Q2503" s="25">
        <f>IFERROR(INDEX(Produtos!$E$2:$E$71,MATCH(C2503,Produtos!$A$2:$A$71,0)),0)</f>
        <v/>
      </c>
      <c r="R2503" s="27">
        <f>D2503*Q2503</f>
        <v/>
      </c>
      <c r="S2503" s="27">
        <f>R2503*E2503</f>
        <v/>
      </c>
      <c r="T2503" s="27">
        <f>(R2503-S2503)*M2503</f>
        <v/>
      </c>
      <c r="U2503" s="27">
        <f>R2503-S2503-T2503</f>
        <v/>
      </c>
      <c r="V2503" s="27">
        <f>D2503*P2503</f>
        <v/>
      </c>
      <c r="W2503" s="27">
        <f>U2503-V2503</f>
        <v/>
      </c>
      <c r="X2503" s="28">
        <f>IFERROR(W2503/U2503,0)</f>
        <v/>
      </c>
    </row>
    <row r="2504">
      <c r="A2504" s="21">
        <f>ItensPedido!A2504</f>
        <v/>
      </c>
      <c r="B2504" s="21">
        <f>ItensPedido!B2504</f>
        <v/>
      </c>
      <c r="C2504" s="21">
        <f>ItensPedido!C2504</f>
        <v/>
      </c>
      <c r="D2504" s="21">
        <f>ItensPedido!D2504</f>
        <v/>
      </c>
      <c r="E2504" s="22">
        <f>ItensPedido!E2504</f>
        <v/>
      </c>
      <c r="F2504" s="21">
        <f>IFERROR(INDEX(Pedidos!$B$2:$B$1801,MATCH(B2504,Pedidos!$A$2:$A$1801,0)),0)</f>
        <v/>
      </c>
      <c r="G2504" s="21">
        <f>IF(F2504=0,"",YEAR(F2504))</f>
        <v/>
      </c>
      <c r="H2504" s="21">
        <f>IF(F2504=0,"",MONTH(F2504))</f>
        <v/>
      </c>
      <c r="I2504" s="21">
        <f>IFERROR(INDEX(Pedidos!$E$2:$E$1801,MATCH(B2504,Pedidos!$A$2:$A$1801,0)),"")</f>
        <v/>
      </c>
      <c r="J2504" s="21">
        <f>IFERROR(INDEX(Pedidos!$C$2:$C$1801,MATCH(B2504,Pedidos!$A$2:$A$1801,0)),"")</f>
        <v/>
      </c>
      <c r="K2504" s="21">
        <f>IFERROR(INDEX(Pedidos!$D$2:$D$1801,MATCH(B2504,Pedidos!$A$2:$A$1801,0)),"")</f>
        <v/>
      </c>
      <c r="L2504" s="21">
        <f>IFERROR(INDEX(Pedidos!$F$2:$F$1801,MATCH(B2504,Pedidos!$A$2:$A$1801,0)),"")</f>
        <v/>
      </c>
      <c r="M2504" s="22">
        <f>IFERROR(INDEX(Pedidos!$G$2:$G$1801,MATCH(B2504,Pedidos!$A$2:$A$1801,0)),0)</f>
        <v/>
      </c>
      <c r="N2504" s="21">
        <f>IFERROR(INDEX(Produtos!$B$2:$B$71,MATCH(C2504,Produtos!$A$2:$A$71,0)),"")</f>
        <v/>
      </c>
      <c r="O2504" s="21">
        <f>IFERROR(INDEX(Produtos!$C$2:$C$71,MATCH(C2504,Produtos!$A$2:$A$71,0)),"")</f>
        <v/>
      </c>
      <c r="P2504" s="21">
        <f>IFERROR(INDEX(Produtos!$D$2:$D$71,MATCH(C2504,Produtos!$A$2:$A$71,0)),0)</f>
        <v/>
      </c>
      <c r="Q2504" s="21">
        <f>IFERROR(INDEX(Produtos!$E$2:$E$71,MATCH(C2504,Produtos!$A$2:$A$71,0)),0)</f>
        <v/>
      </c>
      <c r="R2504" s="23">
        <f>D2504*Q2504</f>
        <v/>
      </c>
      <c r="S2504" s="23">
        <f>R2504*E2504</f>
        <v/>
      </c>
      <c r="T2504" s="23">
        <f>(R2504-S2504)*M2504</f>
        <v/>
      </c>
      <c r="U2504" s="23">
        <f>R2504-S2504-T2504</f>
        <v/>
      </c>
      <c r="V2504" s="23">
        <f>D2504*P2504</f>
        <v/>
      </c>
      <c r="W2504" s="23">
        <f>U2504-V2504</f>
        <v/>
      </c>
      <c r="X2504" s="24">
        <f>IFERROR(W2504/U2504,0)</f>
        <v/>
      </c>
    </row>
    <row r="2505">
      <c r="A2505" s="25">
        <f>ItensPedido!A2505</f>
        <v/>
      </c>
      <c r="B2505" s="25">
        <f>ItensPedido!B2505</f>
        <v/>
      </c>
      <c r="C2505" s="25">
        <f>ItensPedido!C2505</f>
        <v/>
      </c>
      <c r="D2505" s="25">
        <f>ItensPedido!D2505</f>
        <v/>
      </c>
      <c r="E2505" s="26">
        <f>ItensPedido!E2505</f>
        <v/>
      </c>
      <c r="F2505" s="25">
        <f>IFERROR(INDEX(Pedidos!$B$2:$B$1801,MATCH(B2505,Pedidos!$A$2:$A$1801,0)),0)</f>
        <v/>
      </c>
      <c r="G2505" s="25">
        <f>IF(F2505=0,"",YEAR(F2505))</f>
        <v/>
      </c>
      <c r="H2505" s="25">
        <f>IF(F2505=0,"",MONTH(F2505))</f>
        <v/>
      </c>
      <c r="I2505" s="25">
        <f>IFERROR(INDEX(Pedidos!$E$2:$E$1801,MATCH(B2505,Pedidos!$A$2:$A$1801,0)),"")</f>
        <v/>
      </c>
      <c r="J2505" s="25">
        <f>IFERROR(INDEX(Pedidos!$C$2:$C$1801,MATCH(B2505,Pedidos!$A$2:$A$1801,0)),"")</f>
        <v/>
      </c>
      <c r="K2505" s="25">
        <f>IFERROR(INDEX(Pedidos!$D$2:$D$1801,MATCH(B2505,Pedidos!$A$2:$A$1801,0)),"")</f>
        <v/>
      </c>
      <c r="L2505" s="25">
        <f>IFERROR(INDEX(Pedidos!$F$2:$F$1801,MATCH(B2505,Pedidos!$A$2:$A$1801,0)),"")</f>
        <v/>
      </c>
      <c r="M2505" s="26">
        <f>IFERROR(INDEX(Pedidos!$G$2:$G$1801,MATCH(B2505,Pedidos!$A$2:$A$1801,0)),0)</f>
        <v/>
      </c>
      <c r="N2505" s="25">
        <f>IFERROR(INDEX(Produtos!$B$2:$B$71,MATCH(C2505,Produtos!$A$2:$A$71,0)),"")</f>
        <v/>
      </c>
      <c r="O2505" s="25">
        <f>IFERROR(INDEX(Produtos!$C$2:$C$71,MATCH(C2505,Produtos!$A$2:$A$71,0)),"")</f>
        <v/>
      </c>
      <c r="P2505" s="25">
        <f>IFERROR(INDEX(Produtos!$D$2:$D$71,MATCH(C2505,Produtos!$A$2:$A$71,0)),0)</f>
        <v/>
      </c>
      <c r="Q2505" s="25">
        <f>IFERROR(INDEX(Produtos!$E$2:$E$71,MATCH(C2505,Produtos!$A$2:$A$71,0)),0)</f>
        <v/>
      </c>
      <c r="R2505" s="27">
        <f>D2505*Q2505</f>
        <v/>
      </c>
      <c r="S2505" s="27">
        <f>R2505*E2505</f>
        <v/>
      </c>
      <c r="T2505" s="27">
        <f>(R2505-S2505)*M2505</f>
        <v/>
      </c>
      <c r="U2505" s="27">
        <f>R2505-S2505-T2505</f>
        <v/>
      </c>
      <c r="V2505" s="27">
        <f>D2505*P2505</f>
        <v/>
      </c>
      <c r="W2505" s="27">
        <f>U2505-V2505</f>
        <v/>
      </c>
      <c r="X2505" s="28">
        <f>IFERROR(W2505/U2505,0)</f>
        <v/>
      </c>
    </row>
    <row r="2506">
      <c r="A2506" s="21">
        <f>ItensPedido!A2506</f>
        <v/>
      </c>
      <c r="B2506" s="21">
        <f>ItensPedido!B2506</f>
        <v/>
      </c>
      <c r="C2506" s="21">
        <f>ItensPedido!C2506</f>
        <v/>
      </c>
      <c r="D2506" s="21">
        <f>ItensPedido!D2506</f>
        <v/>
      </c>
      <c r="E2506" s="22">
        <f>ItensPedido!E2506</f>
        <v/>
      </c>
      <c r="F2506" s="21">
        <f>IFERROR(INDEX(Pedidos!$B$2:$B$1801,MATCH(B2506,Pedidos!$A$2:$A$1801,0)),0)</f>
        <v/>
      </c>
      <c r="G2506" s="21">
        <f>IF(F2506=0,"",YEAR(F2506))</f>
        <v/>
      </c>
      <c r="H2506" s="21">
        <f>IF(F2506=0,"",MONTH(F2506))</f>
        <v/>
      </c>
      <c r="I2506" s="21">
        <f>IFERROR(INDEX(Pedidos!$E$2:$E$1801,MATCH(B2506,Pedidos!$A$2:$A$1801,0)),"")</f>
        <v/>
      </c>
      <c r="J2506" s="21">
        <f>IFERROR(INDEX(Pedidos!$C$2:$C$1801,MATCH(B2506,Pedidos!$A$2:$A$1801,0)),"")</f>
        <v/>
      </c>
      <c r="K2506" s="21">
        <f>IFERROR(INDEX(Pedidos!$D$2:$D$1801,MATCH(B2506,Pedidos!$A$2:$A$1801,0)),"")</f>
        <v/>
      </c>
      <c r="L2506" s="21">
        <f>IFERROR(INDEX(Pedidos!$F$2:$F$1801,MATCH(B2506,Pedidos!$A$2:$A$1801,0)),"")</f>
        <v/>
      </c>
      <c r="M2506" s="22">
        <f>IFERROR(INDEX(Pedidos!$G$2:$G$1801,MATCH(B2506,Pedidos!$A$2:$A$1801,0)),0)</f>
        <v/>
      </c>
      <c r="N2506" s="21">
        <f>IFERROR(INDEX(Produtos!$B$2:$B$71,MATCH(C2506,Produtos!$A$2:$A$71,0)),"")</f>
        <v/>
      </c>
      <c r="O2506" s="21">
        <f>IFERROR(INDEX(Produtos!$C$2:$C$71,MATCH(C2506,Produtos!$A$2:$A$71,0)),"")</f>
        <v/>
      </c>
      <c r="P2506" s="21">
        <f>IFERROR(INDEX(Produtos!$D$2:$D$71,MATCH(C2506,Produtos!$A$2:$A$71,0)),0)</f>
        <v/>
      </c>
      <c r="Q2506" s="21">
        <f>IFERROR(INDEX(Produtos!$E$2:$E$71,MATCH(C2506,Produtos!$A$2:$A$71,0)),0)</f>
        <v/>
      </c>
      <c r="R2506" s="23">
        <f>D2506*Q2506</f>
        <v/>
      </c>
      <c r="S2506" s="23">
        <f>R2506*E2506</f>
        <v/>
      </c>
      <c r="T2506" s="23">
        <f>(R2506-S2506)*M2506</f>
        <v/>
      </c>
      <c r="U2506" s="23">
        <f>R2506-S2506-T2506</f>
        <v/>
      </c>
      <c r="V2506" s="23">
        <f>D2506*P2506</f>
        <v/>
      </c>
      <c r="W2506" s="23">
        <f>U2506-V2506</f>
        <v/>
      </c>
      <c r="X2506" s="24">
        <f>IFERROR(W2506/U2506,0)</f>
        <v/>
      </c>
    </row>
    <row r="2507">
      <c r="A2507" s="25">
        <f>ItensPedido!A2507</f>
        <v/>
      </c>
      <c r="B2507" s="25">
        <f>ItensPedido!B2507</f>
        <v/>
      </c>
      <c r="C2507" s="25">
        <f>ItensPedido!C2507</f>
        <v/>
      </c>
      <c r="D2507" s="25">
        <f>ItensPedido!D2507</f>
        <v/>
      </c>
      <c r="E2507" s="26">
        <f>ItensPedido!E2507</f>
        <v/>
      </c>
      <c r="F2507" s="25">
        <f>IFERROR(INDEX(Pedidos!$B$2:$B$1801,MATCH(B2507,Pedidos!$A$2:$A$1801,0)),0)</f>
        <v/>
      </c>
      <c r="G2507" s="25">
        <f>IF(F2507=0,"",YEAR(F2507))</f>
        <v/>
      </c>
      <c r="H2507" s="25">
        <f>IF(F2507=0,"",MONTH(F2507))</f>
        <v/>
      </c>
      <c r="I2507" s="25">
        <f>IFERROR(INDEX(Pedidos!$E$2:$E$1801,MATCH(B2507,Pedidos!$A$2:$A$1801,0)),"")</f>
        <v/>
      </c>
      <c r="J2507" s="25">
        <f>IFERROR(INDEX(Pedidos!$C$2:$C$1801,MATCH(B2507,Pedidos!$A$2:$A$1801,0)),"")</f>
        <v/>
      </c>
      <c r="K2507" s="25">
        <f>IFERROR(INDEX(Pedidos!$D$2:$D$1801,MATCH(B2507,Pedidos!$A$2:$A$1801,0)),"")</f>
        <v/>
      </c>
      <c r="L2507" s="25">
        <f>IFERROR(INDEX(Pedidos!$F$2:$F$1801,MATCH(B2507,Pedidos!$A$2:$A$1801,0)),"")</f>
        <v/>
      </c>
      <c r="M2507" s="26">
        <f>IFERROR(INDEX(Pedidos!$G$2:$G$1801,MATCH(B2507,Pedidos!$A$2:$A$1801,0)),0)</f>
        <v/>
      </c>
      <c r="N2507" s="25">
        <f>IFERROR(INDEX(Produtos!$B$2:$B$71,MATCH(C2507,Produtos!$A$2:$A$71,0)),"")</f>
        <v/>
      </c>
      <c r="O2507" s="25">
        <f>IFERROR(INDEX(Produtos!$C$2:$C$71,MATCH(C2507,Produtos!$A$2:$A$71,0)),"")</f>
        <v/>
      </c>
      <c r="P2507" s="25">
        <f>IFERROR(INDEX(Produtos!$D$2:$D$71,MATCH(C2507,Produtos!$A$2:$A$71,0)),0)</f>
        <v/>
      </c>
      <c r="Q2507" s="25">
        <f>IFERROR(INDEX(Produtos!$E$2:$E$71,MATCH(C2507,Produtos!$A$2:$A$71,0)),0)</f>
        <v/>
      </c>
      <c r="R2507" s="27">
        <f>D2507*Q2507</f>
        <v/>
      </c>
      <c r="S2507" s="27">
        <f>R2507*E2507</f>
        <v/>
      </c>
      <c r="T2507" s="27">
        <f>(R2507-S2507)*M2507</f>
        <v/>
      </c>
      <c r="U2507" s="27">
        <f>R2507-S2507-T2507</f>
        <v/>
      </c>
      <c r="V2507" s="27">
        <f>D2507*P2507</f>
        <v/>
      </c>
      <c r="W2507" s="27">
        <f>U2507-V2507</f>
        <v/>
      </c>
      <c r="X2507" s="28">
        <f>IFERROR(W2507/U2507,0)</f>
        <v/>
      </c>
    </row>
    <row r="2508">
      <c r="A2508" s="21">
        <f>ItensPedido!A2508</f>
        <v/>
      </c>
      <c r="B2508" s="21">
        <f>ItensPedido!B2508</f>
        <v/>
      </c>
      <c r="C2508" s="21">
        <f>ItensPedido!C2508</f>
        <v/>
      </c>
      <c r="D2508" s="21">
        <f>ItensPedido!D2508</f>
        <v/>
      </c>
      <c r="E2508" s="22">
        <f>ItensPedido!E2508</f>
        <v/>
      </c>
      <c r="F2508" s="21">
        <f>IFERROR(INDEX(Pedidos!$B$2:$B$1801,MATCH(B2508,Pedidos!$A$2:$A$1801,0)),0)</f>
        <v/>
      </c>
      <c r="G2508" s="21">
        <f>IF(F2508=0,"",YEAR(F2508))</f>
        <v/>
      </c>
      <c r="H2508" s="21">
        <f>IF(F2508=0,"",MONTH(F2508))</f>
        <v/>
      </c>
      <c r="I2508" s="21">
        <f>IFERROR(INDEX(Pedidos!$E$2:$E$1801,MATCH(B2508,Pedidos!$A$2:$A$1801,0)),"")</f>
        <v/>
      </c>
      <c r="J2508" s="21">
        <f>IFERROR(INDEX(Pedidos!$C$2:$C$1801,MATCH(B2508,Pedidos!$A$2:$A$1801,0)),"")</f>
        <v/>
      </c>
      <c r="K2508" s="21">
        <f>IFERROR(INDEX(Pedidos!$D$2:$D$1801,MATCH(B2508,Pedidos!$A$2:$A$1801,0)),"")</f>
        <v/>
      </c>
      <c r="L2508" s="21">
        <f>IFERROR(INDEX(Pedidos!$F$2:$F$1801,MATCH(B2508,Pedidos!$A$2:$A$1801,0)),"")</f>
        <v/>
      </c>
      <c r="M2508" s="22">
        <f>IFERROR(INDEX(Pedidos!$G$2:$G$1801,MATCH(B2508,Pedidos!$A$2:$A$1801,0)),0)</f>
        <v/>
      </c>
      <c r="N2508" s="21">
        <f>IFERROR(INDEX(Produtos!$B$2:$B$71,MATCH(C2508,Produtos!$A$2:$A$71,0)),"")</f>
        <v/>
      </c>
      <c r="O2508" s="21">
        <f>IFERROR(INDEX(Produtos!$C$2:$C$71,MATCH(C2508,Produtos!$A$2:$A$71,0)),"")</f>
        <v/>
      </c>
      <c r="P2508" s="21">
        <f>IFERROR(INDEX(Produtos!$D$2:$D$71,MATCH(C2508,Produtos!$A$2:$A$71,0)),0)</f>
        <v/>
      </c>
      <c r="Q2508" s="21">
        <f>IFERROR(INDEX(Produtos!$E$2:$E$71,MATCH(C2508,Produtos!$A$2:$A$71,0)),0)</f>
        <v/>
      </c>
      <c r="R2508" s="23">
        <f>D2508*Q2508</f>
        <v/>
      </c>
      <c r="S2508" s="23">
        <f>R2508*E2508</f>
        <v/>
      </c>
      <c r="T2508" s="23">
        <f>(R2508-S2508)*M2508</f>
        <v/>
      </c>
      <c r="U2508" s="23">
        <f>R2508-S2508-T2508</f>
        <v/>
      </c>
      <c r="V2508" s="23">
        <f>D2508*P2508</f>
        <v/>
      </c>
      <c r="W2508" s="23">
        <f>U2508-V2508</f>
        <v/>
      </c>
      <c r="X2508" s="24">
        <f>IFERROR(W2508/U2508,0)</f>
        <v/>
      </c>
    </row>
    <row r="2509">
      <c r="A2509" s="25">
        <f>ItensPedido!A2509</f>
        <v/>
      </c>
      <c r="B2509" s="25">
        <f>ItensPedido!B2509</f>
        <v/>
      </c>
      <c r="C2509" s="25">
        <f>ItensPedido!C2509</f>
        <v/>
      </c>
      <c r="D2509" s="25">
        <f>ItensPedido!D2509</f>
        <v/>
      </c>
      <c r="E2509" s="26">
        <f>ItensPedido!E2509</f>
        <v/>
      </c>
      <c r="F2509" s="25">
        <f>IFERROR(INDEX(Pedidos!$B$2:$B$1801,MATCH(B2509,Pedidos!$A$2:$A$1801,0)),0)</f>
        <v/>
      </c>
      <c r="G2509" s="25">
        <f>IF(F2509=0,"",YEAR(F2509))</f>
        <v/>
      </c>
      <c r="H2509" s="25">
        <f>IF(F2509=0,"",MONTH(F2509))</f>
        <v/>
      </c>
      <c r="I2509" s="25">
        <f>IFERROR(INDEX(Pedidos!$E$2:$E$1801,MATCH(B2509,Pedidos!$A$2:$A$1801,0)),"")</f>
        <v/>
      </c>
      <c r="J2509" s="25">
        <f>IFERROR(INDEX(Pedidos!$C$2:$C$1801,MATCH(B2509,Pedidos!$A$2:$A$1801,0)),"")</f>
        <v/>
      </c>
      <c r="K2509" s="25">
        <f>IFERROR(INDEX(Pedidos!$D$2:$D$1801,MATCH(B2509,Pedidos!$A$2:$A$1801,0)),"")</f>
        <v/>
      </c>
      <c r="L2509" s="25">
        <f>IFERROR(INDEX(Pedidos!$F$2:$F$1801,MATCH(B2509,Pedidos!$A$2:$A$1801,0)),"")</f>
        <v/>
      </c>
      <c r="M2509" s="26">
        <f>IFERROR(INDEX(Pedidos!$G$2:$G$1801,MATCH(B2509,Pedidos!$A$2:$A$1801,0)),0)</f>
        <v/>
      </c>
      <c r="N2509" s="25">
        <f>IFERROR(INDEX(Produtos!$B$2:$B$71,MATCH(C2509,Produtos!$A$2:$A$71,0)),"")</f>
        <v/>
      </c>
      <c r="O2509" s="25">
        <f>IFERROR(INDEX(Produtos!$C$2:$C$71,MATCH(C2509,Produtos!$A$2:$A$71,0)),"")</f>
        <v/>
      </c>
      <c r="P2509" s="25">
        <f>IFERROR(INDEX(Produtos!$D$2:$D$71,MATCH(C2509,Produtos!$A$2:$A$71,0)),0)</f>
        <v/>
      </c>
      <c r="Q2509" s="25">
        <f>IFERROR(INDEX(Produtos!$E$2:$E$71,MATCH(C2509,Produtos!$A$2:$A$71,0)),0)</f>
        <v/>
      </c>
      <c r="R2509" s="27">
        <f>D2509*Q2509</f>
        <v/>
      </c>
      <c r="S2509" s="27">
        <f>R2509*E2509</f>
        <v/>
      </c>
      <c r="T2509" s="27">
        <f>(R2509-S2509)*M2509</f>
        <v/>
      </c>
      <c r="U2509" s="27">
        <f>R2509-S2509-T2509</f>
        <v/>
      </c>
      <c r="V2509" s="27">
        <f>D2509*P2509</f>
        <v/>
      </c>
      <c r="W2509" s="27">
        <f>U2509-V2509</f>
        <v/>
      </c>
      <c r="X2509" s="28">
        <f>IFERROR(W2509/U2509,0)</f>
        <v/>
      </c>
    </row>
    <row r="2510">
      <c r="A2510" s="21">
        <f>ItensPedido!A2510</f>
        <v/>
      </c>
      <c r="B2510" s="21">
        <f>ItensPedido!B2510</f>
        <v/>
      </c>
      <c r="C2510" s="21">
        <f>ItensPedido!C2510</f>
        <v/>
      </c>
      <c r="D2510" s="21">
        <f>ItensPedido!D2510</f>
        <v/>
      </c>
      <c r="E2510" s="22">
        <f>ItensPedido!E2510</f>
        <v/>
      </c>
      <c r="F2510" s="21">
        <f>IFERROR(INDEX(Pedidos!$B$2:$B$1801,MATCH(B2510,Pedidos!$A$2:$A$1801,0)),0)</f>
        <v/>
      </c>
      <c r="G2510" s="21">
        <f>IF(F2510=0,"",YEAR(F2510))</f>
        <v/>
      </c>
      <c r="H2510" s="21">
        <f>IF(F2510=0,"",MONTH(F2510))</f>
        <v/>
      </c>
      <c r="I2510" s="21">
        <f>IFERROR(INDEX(Pedidos!$E$2:$E$1801,MATCH(B2510,Pedidos!$A$2:$A$1801,0)),"")</f>
        <v/>
      </c>
      <c r="J2510" s="21">
        <f>IFERROR(INDEX(Pedidos!$C$2:$C$1801,MATCH(B2510,Pedidos!$A$2:$A$1801,0)),"")</f>
        <v/>
      </c>
      <c r="K2510" s="21">
        <f>IFERROR(INDEX(Pedidos!$D$2:$D$1801,MATCH(B2510,Pedidos!$A$2:$A$1801,0)),"")</f>
        <v/>
      </c>
      <c r="L2510" s="21">
        <f>IFERROR(INDEX(Pedidos!$F$2:$F$1801,MATCH(B2510,Pedidos!$A$2:$A$1801,0)),"")</f>
        <v/>
      </c>
      <c r="M2510" s="22">
        <f>IFERROR(INDEX(Pedidos!$G$2:$G$1801,MATCH(B2510,Pedidos!$A$2:$A$1801,0)),0)</f>
        <v/>
      </c>
      <c r="N2510" s="21">
        <f>IFERROR(INDEX(Produtos!$B$2:$B$71,MATCH(C2510,Produtos!$A$2:$A$71,0)),"")</f>
        <v/>
      </c>
      <c r="O2510" s="21">
        <f>IFERROR(INDEX(Produtos!$C$2:$C$71,MATCH(C2510,Produtos!$A$2:$A$71,0)),"")</f>
        <v/>
      </c>
      <c r="P2510" s="21">
        <f>IFERROR(INDEX(Produtos!$D$2:$D$71,MATCH(C2510,Produtos!$A$2:$A$71,0)),0)</f>
        <v/>
      </c>
      <c r="Q2510" s="21">
        <f>IFERROR(INDEX(Produtos!$E$2:$E$71,MATCH(C2510,Produtos!$A$2:$A$71,0)),0)</f>
        <v/>
      </c>
      <c r="R2510" s="23">
        <f>D2510*Q2510</f>
        <v/>
      </c>
      <c r="S2510" s="23">
        <f>R2510*E2510</f>
        <v/>
      </c>
      <c r="T2510" s="23">
        <f>(R2510-S2510)*M2510</f>
        <v/>
      </c>
      <c r="U2510" s="23">
        <f>R2510-S2510-T2510</f>
        <v/>
      </c>
      <c r="V2510" s="23">
        <f>D2510*P2510</f>
        <v/>
      </c>
      <c r="W2510" s="23">
        <f>U2510-V2510</f>
        <v/>
      </c>
      <c r="X2510" s="24">
        <f>IFERROR(W2510/U2510,0)</f>
        <v/>
      </c>
    </row>
    <row r="2511">
      <c r="A2511" s="25">
        <f>ItensPedido!A2511</f>
        <v/>
      </c>
      <c r="B2511" s="25">
        <f>ItensPedido!B2511</f>
        <v/>
      </c>
      <c r="C2511" s="25">
        <f>ItensPedido!C2511</f>
        <v/>
      </c>
      <c r="D2511" s="25">
        <f>ItensPedido!D2511</f>
        <v/>
      </c>
      <c r="E2511" s="26">
        <f>ItensPedido!E2511</f>
        <v/>
      </c>
      <c r="F2511" s="25">
        <f>IFERROR(INDEX(Pedidos!$B$2:$B$1801,MATCH(B2511,Pedidos!$A$2:$A$1801,0)),0)</f>
        <v/>
      </c>
      <c r="G2511" s="25">
        <f>IF(F2511=0,"",YEAR(F2511))</f>
        <v/>
      </c>
      <c r="H2511" s="25">
        <f>IF(F2511=0,"",MONTH(F2511))</f>
        <v/>
      </c>
      <c r="I2511" s="25">
        <f>IFERROR(INDEX(Pedidos!$E$2:$E$1801,MATCH(B2511,Pedidos!$A$2:$A$1801,0)),"")</f>
        <v/>
      </c>
      <c r="J2511" s="25">
        <f>IFERROR(INDEX(Pedidos!$C$2:$C$1801,MATCH(B2511,Pedidos!$A$2:$A$1801,0)),"")</f>
        <v/>
      </c>
      <c r="K2511" s="25">
        <f>IFERROR(INDEX(Pedidos!$D$2:$D$1801,MATCH(B2511,Pedidos!$A$2:$A$1801,0)),"")</f>
        <v/>
      </c>
      <c r="L2511" s="25">
        <f>IFERROR(INDEX(Pedidos!$F$2:$F$1801,MATCH(B2511,Pedidos!$A$2:$A$1801,0)),"")</f>
        <v/>
      </c>
      <c r="M2511" s="26">
        <f>IFERROR(INDEX(Pedidos!$G$2:$G$1801,MATCH(B2511,Pedidos!$A$2:$A$1801,0)),0)</f>
        <v/>
      </c>
      <c r="N2511" s="25">
        <f>IFERROR(INDEX(Produtos!$B$2:$B$71,MATCH(C2511,Produtos!$A$2:$A$71,0)),"")</f>
        <v/>
      </c>
      <c r="O2511" s="25">
        <f>IFERROR(INDEX(Produtos!$C$2:$C$71,MATCH(C2511,Produtos!$A$2:$A$71,0)),"")</f>
        <v/>
      </c>
      <c r="P2511" s="25">
        <f>IFERROR(INDEX(Produtos!$D$2:$D$71,MATCH(C2511,Produtos!$A$2:$A$71,0)),0)</f>
        <v/>
      </c>
      <c r="Q2511" s="25">
        <f>IFERROR(INDEX(Produtos!$E$2:$E$71,MATCH(C2511,Produtos!$A$2:$A$71,0)),0)</f>
        <v/>
      </c>
      <c r="R2511" s="27">
        <f>D2511*Q2511</f>
        <v/>
      </c>
      <c r="S2511" s="27">
        <f>R2511*E2511</f>
        <v/>
      </c>
      <c r="T2511" s="27">
        <f>(R2511-S2511)*M2511</f>
        <v/>
      </c>
      <c r="U2511" s="27">
        <f>R2511-S2511-T2511</f>
        <v/>
      </c>
      <c r="V2511" s="27">
        <f>D2511*P2511</f>
        <v/>
      </c>
      <c r="W2511" s="27">
        <f>U2511-V2511</f>
        <v/>
      </c>
      <c r="X2511" s="28">
        <f>IFERROR(W2511/U2511,0)</f>
        <v/>
      </c>
    </row>
    <row r="2512">
      <c r="A2512" s="21">
        <f>ItensPedido!A2512</f>
        <v/>
      </c>
      <c r="B2512" s="21">
        <f>ItensPedido!B2512</f>
        <v/>
      </c>
      <c r="C2512" s="21">
        <f>ItensPedido!C2512</f>
        <v/>
      </c>
      <c r="D2512" s="21">
        <f>ItensPedido!D2512</f>
        <v/>
      </c>
      <c r="E2512" s="22">
        <f>ItensPedido!E2512</f>
        <v/>
      </c>
      <c r="F2512" s="21">
        <f>IFERROR(INDEX(Pedidos!$B$2:$B$1801,MATCH(B2512,Pedidos!$A$2:$A$1801,0)),0)</f>
        <v/>
      </c>
      <c r="G2512" s="21">
        <f>IF(F2512=0,"",YEAR(F2512))</f>
        <v/>
      </c>
      <c r="H2512" s="21">
        <f>IF(F2512=0,"",MONTH(F2512))</f>
        <v/>
      </c>
      <c r="I2512" s="21">
        <f>IFERROR(INDEX(Pedidos!$E$2:$E$1801,MATCH(B2512,Pedidos!$A$2:$A$1801,0)),"")</f>
        <v/>
      </c>
      <c r="J2512" s="21">
        <f>IFERROR(INDEX(Pedidos!$C$2:$C$1801,MATCH(B2512,Pedidos!$A$2:$A$1801,0)),"")</f>
        <v/>
      </c>
      <c r="K2512" s="21">
        <f>IFERROR(INDEX(Pedidos!$D$2:$D$1801,MATCH(B2512,Pedidos!$A$2:$A$1801,0)),"")</f>
        <v/>
      </c>
      <c r="L2512" s="21">
        <f>IFERROR(INDEX(Pedidos!$F$2:$F$1801,MATCH(B2512,Pedidos!$A$2:$A$1801,0)),"")</f>
        <v/>
      </c>
      <c r="M2512" s="22">
        <f>IFERROR(INDEX(Pedidos!$G$2:$G$1801,MATCH(B2512,Pedidos!$A$2:$A$1801,0)),0)</f>
        <v/>
      </c>
      <c r="N2512" s="21">
        <f>IFERROR(INDEX(Produtos!$B$2:$B$71,MATCH(C2512,Produtos!$A$2:$A$71,0)),"")</f>
        <v/>
      </c>
      <c r="O2512" s="21">
        <f>IFERROR(INDEX(Produtos!$C$2:$C$71,MATCH(C2512,Produtos!$A$2:$A$71,0)),"")</f>
        <v/>
      </c>
      <c r="P2512" s="21">
        <f>IFERROR(INDEX(Produtos!$D$2:$D$71,MATCH(C2512,Produtos!$A$2:$A$71,0)),0)</f>
        <v/>
      </c>
      <c r="Q2512" s="21">
        <f>IFERROR(INDEX(Produtos!$E$2:$E$71,MATCH(C2512,Produtos!$A$2:$A$71,0)),0)</f>
        <v/>
      </c>
      <c r="R2512" s="23">
        <f>D2512*Q2512</f>
        <v/>
      </c>
      <c r="S2512" s="23">
        <f>R2512*E2512</f>
        <v/>
      </c>
      <c r="T2512" s="23">
        <f>(R2512-S2512)*M2512</f>
        <v/>
      </c>
      <c r="U2512" s="23">
        <f>R2512-S2512-T2512</f>
        <v/>
      </c>
      <c r="V2512" s="23">
        <f>D2512*P2512</f>
        <v/>
      </c>
      <c r="W2512" s="23">
        <f>U2512-V2512</f>
        <v/>
      </c>
      <c r="X2512" s="24">
        <f>IFERROR(W2512/U2512,0)</f>
        <v/>
      </c>
    </row>
    <row r="2513">
      <c r="A2513" s="25">
        <f>ItensPedido!A2513</f>
        <v/>
      </c>
      <c r="B2513" s="25">
        <f>ItensPedido!B2513</f>
        <v/>
      </c>
      <c r="C2513" s="25">
        <f>ItensPedido!C2513</f>
        <v/>
      </c>
      <c r="D2513" s="25">
        <f>ItensPedido!D2513</f>
        <v/>
      </c>
      <c r="E2513" s="26">
        <f>ItensPedido!E2513</f>
        <v/>
      </c>
      <c r="F2513" s="25">
        <f>IFERROR(INDEX(Pedidos!$B$2:$B$1801,MATCH(B2513,Pedidos!$A$2:$A$1801,0)),0)</f>
        <v/>
      </c>
      <c r="G2513" s="25">
        <f>IF(F2513=0,"",YEAR(F2513))</f>
        <v/>
      </c>
      <c r="H2513" s="25">
        <f>IF(F2513=0,"",MONTH(F2513))</f>
        <v/>
      </c>
      <c r="I2513" s="25">
        <f>IFERROR(INDEX(Pedidos!$E$2:$E$1801,MATCH(B2513,Pedidos!$A$2:$A$1801,0)),"")</f>
        <v/>
      </c>
      <c r="J2513" s="25">
        <f>IFERROR(INDEX(Pedidos!$C$2:$C$1801,MATCH(B2513,Pedidos!$A$2:$A$1801,0)),"")</f>
        <v/>
      </c>
      <c r="K2513" s="25">
        <f>IFERROR(INDEX(Pedidos!$D$2:$D$1801,MATCH(B2513,Pedidos!$A$2:$A$1801,0)),"")</f>
        <v/>
      </c>
      <c r="L2513" s="25">
        <f>IFERROR(INDEX(Pedidos!$F$2:$F$1801,MATCH(B2513,Pedidos!$A$2:$A$1801,0)),"")</f>
        <v/>
      </c>
      <c r="M2513" s="26">
        <f>IFERROR(INDEX(Pedidos!$G$2:$G$1801,MATCH(B2513,Pedidos!$A$2:$A$1801,0)),0)</f>
        <v/>
      </c>
      <c r="N2513" s="25">
        <f>IFERROR(INDEX(Produtos!$B$2:$B$71,MATCH(C2513,Produtos!$A$2:$A$71,0)),"")</f>
        <v/>
      </c>
      <c r="O2513" s="25">
        <f>IFERROR(INDEX(Produtos!$C$2:$C$71,MATCH(C2513,Produtos!$A$2:$A$71,0)),"")</f>
        <v/>
      </c>
      <c r="P2513" s="25">
        <f>IFERROR(INDEX(Produtos!$D$2:$D$71,MATCH(C2513,Produtos!$A$2:$A$71,0)),0)</f>
        <v/>
      </c>
      <c r="Q2513" s="25">
        <f>IFERROR(INDEX(Produtos!$E$2:$E$71,MATCH(C2513,Produtos!$A$2:$A$71,0)),0)</f>
        <v/>
      </c>
      <c r="R2513" s="27">
        <f>D2513*Q2513</f>
        <v/>
      </c>
      <c r="S2513" s="27">
        <f>R2513*E2513</f>
        <v/>
      </c>
      <c r="T2513" s="27">
        <f>(R2513-S2513)*M2513</f>
        <v/>
      </c>
      <c r="U2513" s="27">
        <f>R2513-S2513-T2513</f>
        <v/>
      </c>
      <c r="V2513" s="27">
        <f>D2513*P2513</f>
        <v/>
      </c>
      <c r="W2513" s="27">
        <f>U2513-V2513</f>
        <v/>
      </c>
      <c r="X2513" s="28">
        <f>IFERROR(W2513/U2513,0)</f>
        <v/>
      </c>
    </row>
    <row r="2514">
      <c r="A2514" s="21">
        <f>ItensPedido!A2514</f>
        <v/>
      </c>
      <c r="B2514" s="21">
        <f>ItensPedido!B2514</f>
        <v/>
      </c>
      <c r="C2514" s="21">
        <f>ItensPedido!C2514</f>
        <v/>
      </c>
      <c r="D2514" s="21">
        <f>ItensPedido!D2514</f>
        <v/>
      </c>
      <c r="E2514" s="22">
        <f>ItensPedido!E2514</f>
        <v/>
      </c>
      <c r="F2514" s="21">
        <f>IFERROR(INDEX(Pedidos!$B$2:$B$1801,MATCH(B2514,Pedidos!$A$2:$A$1801,0)),0)</f>
        <v/>
      </c>
      <c r="G2514" s="21">
        <f>IF(F2514=0,"",YEAR(F2514))</f>
        <v/>
      </c>
      <c r="H2514" s="21">
        <f>IF(F2514=0,"",MONTH(F2514))</f>
        <v/>
      </c>
      <c r="I2514" s="21">
        <f>IFERROR(INDEX(Pedidos!$E$2:$E$1801,MATCH(B2514,Pedidos!$A$2:$A$1801,0)),"")</f>
        <v/>
      </c>
      <c r="J2514" s="21">
        <f>IFERROR(INDEX(Pedidos!$C$2:$C$1801,MATCH(B2514,Pedidos!$A$2:$A$1801,0)),"")</f>
        <v/>
      </c>
      <c r="K2514" s="21">
        <f>IFERROR(INDEX(Pedidos!$D$2:$D$1801,MATCH(B2514,Pedidos!$A$2:$A$1801,0)),"")</f>
        <v/>
      </c>
      <c r="L2514" s="21">
        <f>IFERROR(INDEX(Pedidos!$F$2:$F$1801,MATCH(B2514,Pedidos!$A$2:$A$1801,0)),"")</f>
        <v/>
      </c>
      <c r="M2514" s="22">
        <f>IFERROR(INDEX(Pedidos!$G$2:$G$1801,MATCH(B2514,Pedidos!$A$2:$A$1801,0)),0)</f>
        <v/>
      </c>
      <c r="N2514" s="21">
        <f>IFERROR(INDEX(Produtos!$B$2:$B$71,MATCH(C2514,Produtos!$A$2:$A$71,0)),"")</f>
        <v/>
      </c>
      <c r="O2514" s="21">
        <f>IFERROR(INDEX(Produtos!$C$2:$C$71,MATCH(C2514,Produtos!$A$2:$A$71,0)),"")</f>
        <v/>
      </c>
      <c r="P2514" s="21">
        <f>IFERROR(INDEX(Produtos!$D$2:$D$71,MATCH(C2514,Produtos!$A$2:$A$71,0)),0)</f>
        <v/>
      </c>
      <c r="Q2514" s="21">
        <f>IFERROR(INDEX(Produtos!$E$2:$E$71,MATCH(C2514,Produtos!$A$2:$A$71,0)),0)</f>
        <v/>
      </c>
      <c r="R2514" s="23">
        <f>D2514*Q2514</f>
        <v/>
      </c>
      <c r="S2514" s="23">
        <f>R2514*E2514</f>
        <v/>
      </c>
      <c r="T2514" s="23">
        <f>(R2514-S2514)*M2514</f>
        <v/>
      </c>
      <c r="U2514" s="23">
        <f>R2514-S2514-T2514</f>
        <v/>
      </c>
      <c r="V2514" s="23">
        <f>D2514*P2514</f>
        <v/>
      </c>
      <c r="W2514" s="23">
        <f>U2514-V2514</f>
        <v/>
      </c>
      <c r="X2514" s="24">
        <f>IFERROR(W2514/U2514,0)</f>
        <v/>
      </c>
    </row>
    <row r="2515">
      <c r="A2515" s="25">
        <f>ItensPedido!A2515</f>
        <v/>
      </c>
      <c r="B2515" s="25">
        <f>ItensPedido!B2515</f>
        <v/>
      </c>
      <c r="C2515" s="25">
        <f>ItensPedido!C2515</f>
        <v/>
      </c>
      <c r="D2515" s="25">
        <f>ItensPedido!D2515</f>
        <v/>
      </c>
      <c r="E2515" s="26">
        <f>ItensPedido!E2515</f>
        <v/>
      </c>
      <c r="F2515" s="25">
        <f>IFERROR(INDEX(Pedidos!$B$2:$B$1801,MATCH(B2515,Pedidos!$A$2:$A$1801,0)),0)</f>
        <v/>
      </c>
      <c r="G2515" s="25">
        <f>IF(F2515=0,"",YEAR(F2515))</f>
        <v/>
      </c>
      <c r="H2515" s="25">
        <f>IF(F2515=0,"",MONTH(F2515))</f>
        <v/>
      </c>
      <c r="I2515" s="25">
        <f>IFERROR(INDEX(Pedidos!$E$2:$E$1801,MATCH(B2515,Pedidos!$A$2:$A$1801,0)),"")</f>
        <v/>
      </c>
      <c r="J2515" s="25">
        <f>IFERROR(INDEX(Pedidos!$C$2:$C$1801,MATCH(B2515,Pedidos!$A$2:$A$1801,0)),"")</f>
        <v/>
      </c>
      <c r="K2515" s="25">
        <f>IFERROR(INDEX(Pedidos!$D$2:$D$1801,MATCH(B2515,Pedidos!$A$2:$A$1801,0)),"")</f>
        <v/>
      </c>
      <c r="L2515" s="25">
        <f>IFERROR(INDEX(Pedidos!$F$2:$F$1801,MATCH(B2515,Pedidos!$A$2:$A$1801,0)),"")</f>
        <v/>
      </c>
      <c r="M2515" s="26">
        <f>IFERROR(INDEX(Pedidos!$G$2:$G$1801,MATCH(B2515,Pedidos!$A$2:$A$1801,0)),0)</f>
        <v/>
      </c>
      <c r="N2515" s="25">
        <f>IFERROR(INDEX(Produtos!$B$2:$B$71,MATCH(C2515,Produtos!$A$2:$A$71,0)),"")</f>
        <v/>
      </c>
      <c r="O2515" s="25">
        <f>IFERROR(INDEX(Produtos!$C$2:$C$71,MATCH(C2515,Produtos!$A$2:$A$71,0)),"")</f>
        <v/>
      </c>
      <c r="P2515" s="25">
        <f>IFERROR(INDEX(Produtos!$D$2:$D$71,MATCH(C2515,Produtos!$A$2:$A$71,0)),0)</f>
        <v/>
      </c>
      <c r="Q2515" s="25">
        <f>IFERROR(INDEX(Produtos!$E$2:$E$71,MATCH(C2515,Produtos!$A$2:$A$71,0)),0)</f>
        <v/>
      </c>
      <c r="R2515" s="27">
        <f>D2515*Q2515</f>
        <v/>
      </c>
      <c r="S2515" s="27">
        <f>R2515*E2515</f>
        <v/>
      </c>
      <c r="T2515" s="27">
        <f>(R2515-S2515)*M2515</f>
        <v/>
      </c>
      <c r="U2515" s="27">
        <f>R2515-S2515-T2515</f>
        <v/>
      </c>
      <c r="V2515" s="27">
        <f>D2515*P2515</f>
        <v/>
      </c>
      <c r="W2515" s="27">
        <f>U2515-V2515</f>
        <v/>
      </c>
      <c r="X2515" s="28">
        <f>IFERROR(W2515/U2515,0)</f>
        <v/>
      </c>
    </row>
    <row r="2516">
      <c r="A2516" s="21">
        <f>ItensPedido!A2516</f>
        <v/>
      </c>
      <c r="B2516" s="21">
        <f>ItensPedido!B2516</f>
        <v/>
      </c>
      <c r="C2516" s="21">
        <f>ItensPedido!C2516</f>
        <v/>
      </c>
      <c r="D2516" s="21">
        <f>ItensPedido!D2516</f>
        <v/>
      </c>
      <c r="E2516" s="22">
        <f>ItensPedido!E2516</f>
        <v/>
      </c>
      <c r="F2516" s="21">
        <f>IFERROR(INDEX(Pedidos!$B$2:$B$1801,MATCH(B2516,Pedidos!$A$2:$A$1801,0)),0)</f>
        <v/>
      </c>
      <c r="G2516" s="21">
        <f>IF(F2516=0,"",YEAR(F2516))</f>
        <v/>
      </c>
      <c r="H2516" s="21">
        <f>IF(F2516=0,"",MONTH(F2516))</f>
        <v/>
      </c>
      <c r="I2516" s="21">
        <f>IFERROR(INDEX(Pedidos!$E$2:$E$1801,MATCH(B2516,Pedidos!$A$2:$A$1801,0)),"")</f>
        <v/>
      </c>
      <c r="J2516" s="21">
        <f>IFERROR(INDEX(Pedidos!$C$2:$C$1801,MATCH(B2516,Pedidos!$A$2:$A$1801,0)),"")</f>
        <v/>
      </c>
      <c r="K2516" s="21">
        <f>IFERROR(INDEX(Pedidos!$D$2:$D$1801,MATCH(B2516,Pedidos!$A$2:$A$1801,0)),"")</f>
        <v/>
      </c>
      <c r="L2516" s="21">
        <f>IFERROR(INDEX(Pedidos!$F$2:$F$1801,MATCH(B2516,Pedidos!$A$2:$A$1801,0)),"")</f>
        <v/>
      </c>
      <c r="M2516" s="22">
        <f>IFERROR(INDEX(Pedidos!$G$2:$G$1801,MATCH(B2516,Pedidos!$A$2:$A$1801,0)),0)</f>
        <v/>
      </c>
      <c r="N2516" s="21">
        <f>IFERROR(INDEX(Produtos!$B$2:$B$71,MATCH(C2516,Produtos!$A$2:$A$71,0)),"")</f>
        <v/>
      </c>
      <c r="O2516" s="21">
        <f>IFERROR(INDEX(Produtos!$C$2:$C$71,MATCH(C2516,Produtos!$A$2:$A$71,0)),"")</f>
        <v/>
      </c>
      <c r="P2516" s="21">
        <f>IFERROR(INDEX(Produtos!$D$2:$D$71,MATCH(C2516,Produtos!$A$2:$A$71,0)),0)</f>
        <v/>
      </c>
      <c r="Q2516" s="21">
        <f>IFERROR(INDEX(Produtos!$E$2:$E$71,MATCH(C2516,Produtos!$A$2:$A$71,0)),0)</f>
        <v/>
      </c>
      <c r="R2516" s="23">
        <f>D2516*Q2516</f>
        <v/>
      </c>
      <c r="S2516" s="23">
        <f>R2516*E2516</f>
        <v/>
      </c>
      <c r="T2516" s="23">
        <f>(R2516-S2516)*M2516</f>
        <v/>
      </c>
      <c r="U2516" s="23">
        <f>R2516-S2516-T2516</f>
        <v/>
      </c>
      <c r="V2516" s="23">
        <f>D2516*P2516</f>
        <v/>
      </c>
      <c r="W2516" s="23">
        <f>U2516-V2516</f>
        <v/>
      </c>
      <c r="X2516" s="24">
        <f>IFERROR(W2516/U2516,0)</f>
        <v/>
      </c>
    </row>
    <row r="2517">
      <c r="A2517" s="25">
        <f>ItensPedido!A2517</f>
        <v/>
      </c>
      <c r="B2517" s="25">
        <f>ItensPedido!B2517</f>
        <v/>
      </c>
      <c r="C2517" s="25">
        <f>ItensPedido!C2517</f>
        <v/>
      </c>
      <c r="D2517" s="25">
        <f>ItensPedido!D2517</f>
        <v/>
      </c>
      <c r="E2517" s="26">
        <f>ItensPedido!E2517</f>
        <v/>
      </c>
      <c r="F2517" s="25">
        <f>IFERROR(INDEX(Pedidos!$B$2:$B$1801,MATCH(B2517,Pedidos!$A$2:$A$1801,0)),0)</f>
        <v/>
      </c>
      <c r="G2517" s="25">
        <f>IF(F2517=0,"",YEAR(F2517))</f>
        <v/>
      </c>
      <c r="H2517" s="25">
        <f>IF(F2517=0,"",MONTH(F2517))</f>
        <v/>
      </c>
      <c r="I2517" s="25">
        <f>IFERROR(INDEX(Pedidos!$E$2:$E$1801,MATCH(B2517,Pedidos!$A$2:$A$1801,0)),"")</f>
        <v/>
      </c>
      <c r="J2517" s="25">
        <f>IFERROR(INDEX(Pedidos!$C$2:$C$1801,MATCH(B2517,Pedidos!$A$2:$A$1801,0)),"")</f>
        <v/>
      </c>
      <c r="K2517" s="25">
        <f>IFERROR(INDEX(Pedidos!$D$2:$D$1801,MATCH(B2517,Pedidos!$A$2:$A$1801,0)),"")</f>
        <v/>
      </c>
      <c r="L2517" s="25">
        <f>IFERROR(INDEX(Pedidos!$F$2:$F$1801,MATCH(B2517,Pedidos!$A$2:$A$1801,0)),"")</f>
        <v/>
      </c>
      <c r="M2517" s="26">
        <f>IFERROR(INDEX(Pedidos!$G$2:$G$1801,MATCH(B2517,Pedidos!$A$2:$A$1801,0)),0)</f>
        <v/>
      </c>
      <c r="N2517" s="25">
        <f>IFERROR(INDEX(Produtos!$B$2:$B$71,MATCH(C2517,Produtos!$A$2:$A$71,0)),"")</f>
        <v/>
      </c>
      <c r="O2517" s="25">
        <f>IFERROR(INDEX(Produtos!$C$2:$C$71,MATCH(C2517,Produtos!$A$2:$A$71,0)),"")</f>
        <v/>
      </c>
      <c r="P2517" s="25">
        <f>IFERROR(INDEX(Produtos!$D$2:$D$71,MATCH(C2517,Produtos!$A$2:$A$71,0)),0)</f>
        <v/>
      </c>
      <c r="Q2517" s="25">
        <f>IFERROR(INDEX(Produtos!$E$2:$E$71,MATCH(C2517,Produtos!$A$2:$A$71,0)),0)</f>
        <v/>
      </c>
      <c r="R2517" s="27">
        <f>D2517*Q2517</f>
        <v/>
      </c>
      <c r="S2517" s="27">
        <f>R2517*E2517</f>
        <v/>
      </c>
      <c r="T2517" s="27">
        <f>(R2517-S2517)*M2517</f>
        <v/>
      </c>
      <c r="U2517" s="27">
        <f>R2517-S2517-T2517</f>
        <v/>
      </c>
      <c r="V2517" s="27">
        <f>D2517*P2517</f>
        <v/>
      </c>
      <c r="W2517" s="27">
        <f>U2517-V2517</f>
        <v/>
      </c>
      <c r="X2517" s="28">
        <f>IFERROR(W2517/U2517,0)</f>
        <v/>
      </c>
    </row>
    <row r="2518">
      <c r="A2518" s="21">
        <f>ItensPedido!A2518</f>
        <v/>
      </c>
      <c r="B2518" s="21">
        <f>ItensPedido!B2518</f>
        <v/>
      </c>
      <c r="C2518" s="21">
        <f>ItensPedido!C2518</f>
        <v/>
      </c>
      <c r="D2518" s="21">
        <f>ItensPedido!D2518</f>
        <v/>
      </c>
      <c r="E2518" s="22">
        <f>ItensPedido!E2518</f>
        <v/>
      </c>
      <c r="F2518" s="21">
        <f>IFERROR(INDEX(Pedidos!$B$2:$B$1801,MATCH(B2518,Pedidos!$A$2:$A$1801,0)),0)</f>
        <v/>
      </c>
      <c r="G2518" s="21">
        <f>IF(F2518=0,"",YEAR(F2518))</f>
        <v/>
      </c>
      <c r="H2518" s="21">
        <f>IF(F2518=0,"",MONTH(F2518))</f>
        <v/>
      </c>
      <c r="I2518" s="21">
        <f>IFERROR(INDEX(Pedidos!$E$2:$E$1801,MATCH(B2518,Pedidos!$A$2:$A$1801,0)),"")</f>
        <v/>
      </c>
      <c r="J2518" s="21">
        <f>IFERROR(INDEX(Pedidos!$C$2:$C$1801,MATCH(B2518,Pedidos!$A$2:$A$1801,0)),"")</f>
        <v/>
      </c>
      <c r="K2518" s="21">
        <f>IFERROR(INDEX(Pedidos!$D$2:$D$1801,MATCH(B2518,Pedidos!$A$2:$A$1801,0)),"")</f>
        <v/>
      </c>
      <c r="L2518" s="21">
        <f>IFERROR(INDEX(Pedidos!$F$2:$F$1801,MATCH(B2518,Pedidos!$A$2:$A$1801,0)),"")</f>
        <v/>
      </c>
      <c r="M2518" s="22">
        <f>IFERROR(INDEX(Pedidos!$G$2:$G$1801,MATCH(B2518,Pedidos!$A$2:$A$1801,0)),0)</f>
        <v/>
      </c>
      <c r="N2518" s="21">
        <f>IFERROR(INDEX(Produtos!$B$2:$B$71,MATCH(C2518,Produtos!$A$2:$A$71,0)),"")</f>
        <v/>
      </c>
      <c r="O2518" s="21">
        <f>IFERROR(INDEX(Produtos!$C$2:$C$71,MATCH(C2518,Produtos!$A$2:$A$71,0)),"")</f>
        <v/>
      </c>
      <c r="P2518" s="21">
        <f>IFERROR(INDEX(Produtos!$D$2:$D$71,MATCH(C2518,Produtos!$A$2:$A$71,0)),0)</f>
        <v/>
      </c>
      <c r="Q2518" s="21">
        <f>IFERROR(INDEX(Produtos!$E$2:$E$71,MATCH(C2518,Produtos!$A$2:$A$71,0)),0)</f>
        <v/>
      </c>
      <c r="R2518" s="23">
        <f>D2518*Q2518</f>
        <v/>
      </c>
      <c r="S2518" s="23">
        <f>R2518*E2518</f>
        <v/>
      </c>
      <c r="T2518" s="23">
        <f>(R2518-S2518)*M2518</f>
        <v/>
      </c>
      <c r="U2518" s="23">
        <f>R2518-S2518-T2518</f>
        <v/>
      </c>
      <c r="V2518" s="23">
        <f>D2518*P2518</f>
        <v/>
      </c>
      <c r="W2518" s="23">
        <f>U2518-V2518</f>
        <v/>
      </c>
      <c r="X2518" s="24">
        <f>IFERROR(W2518/U2518,0)</f>
        <v/>
      </c>
    </row>
    <row r="2519">
      <c r="A2519" s="25">
        <f>ItensPedido!A2519</f>
        <v/>
      </c>
      <c r="B2519" s="25">
        <f>ItensPedido!B2519</f>
        <v/>
      </c>
      <c r="C2519" s="25">
        <f>ItensPedido!C2519</f>
        <v/>
      </c>
      <c r="D2519" s="25">
        <f>ItensPedido!D2519</f>
        <v/>
      </c>
      <c r="E2519" s="26">
        <f>ItensPedido!E2519</f>
        <v/>
      </c>
      <c r="F2519" s="25">
        <f>IFERROR(INDEX(Pedidos!$B$2:$B$1801,MATCH(B2519,Pedidos!$A$2:$A$1801,0)),0)</f>
        <v/>
      </c>
      <c r="G2519" s="25">
        <f>IF(F2519=0,"",YEAR(F2519))</f>
        <v/>
      </c>
      <c r="H2519" s="25">
        <f>IF(F2519=0,"",MONTH(F2519))</f>
        <v/>
      </c>
      <c r="I2519" s="25">
        <f>IFERROR(INDEX(Pedidos!$E$2:$E$1801,MATCH(B2519,Pedidos!$A$2:$A$1801,0)),"")</f>
        <v/>
      </c>
      <c r="J2519" s="25">
        <f>IFERROR(INDEX(Pedidos!$C$2:$C$1801,MATCH(B2519,Pedidos!$A$2:$A$1801,0)),"")</f>
        <v/>
      </c>
      <c r="K2519" s="25">
        <f>IFERROR(INDEX(Pedidos!$D$2:$D$1801,MATCH(B2519,Pedidos!$A$2:$A$1801,0)),"")</f>
        <v/>
      </c>
      <c r="L2519" s="25">
        <f>IFERROR(INDEX(Pedidos!$F$2:$F$1801,MATCH(B2519,Pedidos!$A$2:$A$1801,0)),"")</f>
        <v/>
      </c>
      <c r="M2519" s="26">
        <f>IFERROR(INDEX(Pedidos!$G$2:$G$1801,MATCH(B2519,Pedidos!$A$2:$A$1801,0)),0)</f>
        <v/>
      </c>
      <c r="N2519" s="25">
        <f>IFERROR(INDEX(Produtos!$B$2:$B$71,MATCH(C2519,Produtos!$A$2:$A$71,0)),"")</f>
        <v/>
      </c>
      <c r="O2519" s="25">
        <f>IFERROR(INDEX(Produtos!$C$2:$C$71,MATCH(C2519,Produtos!$A$2:$A$71,0)),"")</f>
        <v/>
      </c>
      <c r="P2519" s="25">
        <f>IFERROR(INDEX(Produtos!$D$2:$D$71,MATCH(C2519,Produtos!$A$2:$A$71,0)),0)</f>
        <v/>
      </c>
      <c r="Q2519" s="25">
        <f>IFERROR(INDEX(Produtos!$E$2:$E$71,MATCH(C2519,Produtos!$A$2:$A$71,0)),0)</f>
        <v/>
      </c>
      <c r="R2519" s="27">
        <f>D2519*Q2519</f>
        <v/>
      </c>
      <c r="S2519" s="27">
        <f>R2519*E2519</f>
        <v/>
      </c>
      <c r="T2519" s="27">
        <f>(R2519-S2519)*M2519</f>
        <v/>
      </c>
      <c r="U2519" s="27">
        <f>R2519-S2519-T2519</f>
        <v/>
      </c>
      <c r="V2519" s="27">
        <f>D2519*P2519</f>
        <v/>
      </c>
      <c r="W2519" s="27">
        <f>U2519-V2519</f>
        <v/>
      </c>
      <c r="X2519" s="28">
        <f>IFERROR(W2519/U2519,0)</f>
        <v/>
      </c>
    </row>
    <row r="2520">
      <c r="A2520" s="21">
        <f>ItensPedido!A2520</f>
        <v/>
      </c>
      <c r="B2520" s="21">
        <f>ItensPedido!B2520</f>
        <v/>
      </c>
      <c r="C2520" s="21">
        <f>ItensPedido!C2520</f>
        <v/>
      </c>
      <c r="D2520" s="21">
        <f>ItensPedido!D2520</f>
        <v/>
      </c>
      <c r="E2520" s="22">
        <f>ItensPedido!E2520</f>
        <v/>
      </c>
      <c r="F2520" s="21">
        <f>IFERROR(INDEX(Pedidos!$B$2:$B$1801,MATCH(B2520,Pedidos!$A$2:$A$1801,0)),0)</f>
        <v/>
      </c>
      <c r="G2520" s="21">
        <f>IF(F2520=0,"",YEAR(F2520))</f>
        <v/>
      </c>
      <c r="H2520" s="21">
        <f>IF(F2520=0,"",MONTH(F2520))</f>
        <v/>
      </c>
      <c r="I2520" s="21">
        <f>IFERROR(INDEX(Pedidos!$E$2:$E$1801,MATCH(B2520,Pedidos!$A$2:$A$1801,0)),"")</f>
        <v/>
      </c>
      <c r="J2520" s="21">
        <f>IFERROR(INDEX(Pedidos!$C$2:$C$1801,MATCH(B2520,Pedidos!$A$2:$A$1801,0)),"")</f>
        <v/>
      </c>
      <c r="K2520" s="21">
        <f>IFERROR(INDEX(Pedidos!$D$2:$D$1801,MATCH(B2520,Pedidos!$A$2:$A$1801,0)),"")</f>
        <v/>
      </c>
      <c r="L2520" s="21">
        <f>IFERROR(INDEX(Pedidos!$F$2:$F$1801,MATCH(B2520,Pedidos!$A$2:$A$1801,0)),"")</f>
        <v/>
      </c>
      <c r="M2520" s="22">
        <f>IFERROR(INDEX(Pedidos!$G$2:$G$1801,MATCH(B2520,Pedidos!$A$2:$A$1801,0)),0)</f>
        <v/>
      </c>
      <c r="N2520" s="21">
        <f>IFERROR(INDEX(Produtos!$B$2:$B$71,MATCH(C2520,Produtos!$A$2:$A$71,0)),"")</f>
        <v/>
      </c>
      <c r="O2520" s="21">
        <f>IFERROR(INDEX(Produtos!$C$2:$C$71,MATCH(C2520,Produtos!$A$2:$A$71,0)),"")</f>
        <v/>
      </c>
      <c r="P2520" s="21">
        <f>IFERROR(INDEX(Produtos!$D$2:$D$71,MATCH(C2520,Produtos!$A$2:$A$71,0)),0)</f>
        <v/>
      </c>
      <c r="Q2520" s="21">
        <f>IFERROR(INDEX(Produtos!$E$2:$E$71,MATCH(C2520,Produtos!$A$2:$A$71,0)),0)</f>
        <v/>
      </c>
      <c r="R2520" s="23">
        <f>D2520*Q2520</f>
        <v/>
      </c>
      <c r="S2520" s="23">
        <f>R2520*E2520</f>
        <v/>
      </c>
      <c r="T2520" s="23">
        <f>(R2520-S2520)*M2520</f>
        <v/>
      </c>
      <c r="U2520" s="23">
        <f>R2520-S2520-T2520</f>
        <v/>
      </c>
      <c r="V2520" s="23">
        <f>D2520*P2520</f>
        <v/>
      </c>
      <c r="W2520" s="23">
        <f>U2520-V2520</f>
        <v/>
      </c>
      <c r="X2520" s="24">
        <f>IFERROR(W2520/U2520,0)</f>
        <v/>
      </c>
    </row>
    <row r="2521">
      <c r="A2521" s="25">
        <f>ItensPedido!A2521</f>
        <v/>
      </c>
      <c r="B2521" s="25">
        <f>ItensPedido!B2521</f>
        <v/>
      </c>
      <c r="C2521" s="25">
        <f>ItensPedido!C2521</f>
        <v/>
      </c>
      <c r="D2521" s="25">
        <f>ItensPedido!D2521</f>
        <v/>
      </c>
      <c r="E2521" s="26">
        <f>ItensPedido!E2521</f>
        <v/>
      </c>
      <c r="F2521" s="25">
        <f>IFERROR(INDEX(Pedidos!$B$2:$B$1801,MATCH(B2521,Pedidos!$A$2:$A$1801,0)),0)</f>
        <v/>
      </c>
      <c r="G2521" s="25">
        <f>IF(F2521=0,"",YEAR(F2521))</f>
        <v/>
      </c>
      <c r="H2521" s="25">
        <f>IF(F2521=0,"",MONTH(F2521))</f>
        <v/>
      </c>
      <c r="I2521" s="25">
        <f>IFERROR(INDEX(Pedidos!$E$2:$E$1801,MATCH(B2521,Pedidos!$A$2:$A$1801,0)),"")</f>
        <v/>
      </c>
      <c r="J2521" s="25">
        <f>IFERROR(INDEX(Pedidos!$C$2:$C$1801,MATCH(B2521,Pedidos!$A$2:$A$1801,0)),"")</f>
        <v/>
      </c>
      <c r="K2521" s="25">
        <f>IFERROR(INDEX(Pedidos!$D$2:$D$1801,MATCH(B2521,Pedidos!$A$2:$A$1801,0)),"")</f>
        <v/>
      </c>
      <c r="L2521" s="25">
        <f>IFERROR(INDEX(Pedidos!$F$2:$F$1801,MATCH(B2521,Pedidos!$A$2:$A$1801,0)),"")</f>
        <v/>
      </c>
      <c r="M2521" s="26">
        <f>IFERROR(INDEX(Pedidos!$G$2:$G$1801,MATCH(B2521,Pedidos!$A$2:$A$1801,0)),0)</f>
        <v/>
      </c>
      <c r="N2521" s="25">
        <f>IFERROR(INDEX(Produtos!$B$2:$B$71,MATCH(C2521,Produtos!$A$2:$A$71,0)),"")</f>
        <v/>
      </c>
      <c r="O2521" s="25">
        <f>IFERROR(INDEX(Produtos!$C$2:$C$71,MATCH(C2521,Produtos!$A$2:$A$71,0)),"")</f>
        <v/>
      </c>
      <c r="P2521" s="25">
        <f>IFERROR(INDEX(Produtos!$D$2:$D$71,MATCH(C2521,Produtos!$A$2:$A$71,0)),0)</f>
        <v/>
      </c>
      <c r="Q2521" s="25">
        <f>IFERROR(INDEX(Produtos!$E$2:$E$71,MATCH(C2521,Produtos!$A$2:$A$71,0)),0)</f>
        <v/>
      </c>
      <c r="R2521" s="27">
        <f>D2521*Q2521</f>
        <v/>
      </c>
      <c r="S2521" s="27">
        <f>R2521*E2521</f>
        <v/>
      </c>
      <c r="T2521" s="27">
        <f>(R2521-S2521)*M2521</f>
        <v/>
      </c>
      <c r="U2521" s="27">
        <f>R2521-S2521-T2521</f>
        <v/>
      </c>
      <c r="V2521" s="27">
        <f>D2521*P2521</f>
        <v/>
      </c>
      <c r="W2521" s="27">
        <f>U2521-V2521</f>
        <v/>
      </c>
      <c r="X2521" s="28">
        <f>IFERROR(W2521/U2521,0)</f>
        <v/>
      </c>
    </row>
    <row r="2522">
      <c r="A2522" s="21">
        <f>ItensPedido!A2522</f>
        <v/>
      </c>
      <c r="B2522" s="21">
        <f>ItensPedido!B2522</f>
        <v/>
      </c>
      <c r="C2522" s="21">
        <f>ItensPedido!C2522</f>
        <v/>
      </c>
      <c r="D2522" s="21">
        <f>ItensPedido!D2522</f>
        <v/>
      </c>
      <c r="E2522" s="22">
        <f>ItensPedido!E2522</f>
        <v/>
      </c>
      <c r="F2522" s="21">
        <f>IFERROR(INDEX(Pedidos!$B$2:$B$1801,MATCH(B2522,Pedidos!$A$2:$A$1801,0)),0)</f>
        <v/>
      </c>
      <c r="G2522" s="21">
        <f>IF(F2522=0,"",YEAR(F2522))</f>
        <v/>
      </c>
      <c r="H2522" s="21">
        <f>IF(F2522=0,"",MONTH(F2522))</f>
        <v/>
      </c>
      <c r="I2522" s="21">
        <f>IFERROR(INDEX(Pedidos!$E$2:$E$1801,MATCH(B2522,Pedidos!$A$2:$A$1801,0)),"")</f>
        <v/>
      </c>
      <c r="J2522" s="21">
        <f>IFERROR(INDEX(Pedidos!$C$2:$C$1801,MATCH(B2522,Pedidos!$A$2:$A$1801,0)),"")</f>
        <v/>
      </c>
      <c r="K2522" s="21">
        <f>IFERROR(INDEX(Pedidos!$D$2:$D$1801,MATCH(B2522,Pedidos!$A$2:$A$1801,0)),"")</f>
        <v/>
      </c>
      <c r="L2522" s="21">
        <f>IFERROR(INDEX(Pedidos!$F$2:$F$1801,MATCH(B2522,Pedidos!$A$2:$A$1801,0)),"")</f>
        <v/>
      </c>
      <c r="M2522" s="22">
        <f>IFERROR(INDEX(Pedidos!$G$2:$G$1801,MATCH(B2522,Pedidos!$A$2:$A$1801,0)),0)</f>
        <v/>
      </c>
      <c r="N2522" s="21">
        <f>IFERROR(INDEX(Produtos!$B$2:$B$71,MATCH(C2522,Produtos!$A$2:$A$71,0)),"")</f>
        <v/>
      </c>
      <c r="O2522" s="21">
        <f>IFERROR(INDEX(Produtos!$C$2:$C$71,MATCH(C2522,Produtos!$A$2:$A$71,0)),"")</f>
        <v/>
      </c>
      <c r="P2522" s="21">
        <f>IFERROR(INDEX(Produtos!$D$2:$D$71,MATCH(C2522,Produtos!$A$2:$A$71,0)),0)</f>
        <v/>
      </c>
      <c r="Q2522" s="21">
        <f>IFERROR(INDEX(Produtos!$E$2:$E$71,MATCH(C2522,Produtos!$A$2:$A$71,0)),0)</f>
        <v/>
      </c>
      <c r="R2522" s="23">
        <f>D2522*Q2522</f>
        <v/>
      </c>
      <c r="S2522" s="23">
        <f>R2522*E2522</f>
        <v/>
      </c>
      <c r="T2522" s="23">
        <f>(R2522-S2522)*M2522</f>
        <v/>
      </c>
      <c r="U2522" s="23">
        <f>R2522-S2522-T2522</f>
        <v/>
      </c>
      <c r="V2522" s="23">
        <f>D2522*P2522</f>
        <v/>
      </c>
      <c r="W2522" s="23">
        <f>U2522-V2522</f>
        <v/>
      </c>
      <c r="X2522" s="24">
        <f>IFERROR(W2522/U2522,0)</f>
        <v/>
      </c>
    </row>
    <row r="2523">
      <c r="A2523" s="25">
        <f>ItensPedido!A2523</f>
        <v/>
      </c>
      <c r="B2523" s="25">
        <f>ItensPedido!B2523</f>
        <v/>
      </c>
      <c r="C2523" s="25">
        <f>ItensPedido!C2523</f>
        <v/>
      </c>
      <c r="D2523" s="25">
        <f>ItensPedido!D2523</f>
        <v/>
      </c>
      <c r="E2523" s="26">
        <f>ItensPedido!E2523</f>
        <v/>
      </c>
      <c r="F2523" s="25">
        <f>IFERROR(INDEX(Pedidos!$B$2:$B$1801,MATCH(B2523,Pedidos!$A$2:$A$1801,0)),0)</f>
        <v/>
      </c>
      <c r="G2523" s="25">
        <f>IF(F2523=0,"",YEAR(F2523))</f>
        <v/>
      </c>
      <c r="H2523" s="25">
        <f>IF(F2523=0,"",MONTH(F2523))</f>
        <v/>
      </c>
      <c r="I2523" s="25">
        <f>IFERROR(INDEX(Pedidos!$E$2:$E$1801,MATCH(B2523,Pedidos!$A$2:$A$1801,0)),"")</f>
        <v/>
      </c>
      <c r="J2523" s="25">
        <f>IFERROR(INDEX(Pedidos!$C$2:$C$1801,MATCH(B2523,Pedidos!$A$2:$A$1801,0)),"")</f>
        <v/>
      </c>
      <c r="K2523" s="25">
        <f>IFERROR(INDEX(Pedidos!$D$2:$D$1801,MATCH(B2523,Pedidos!$A$2:$A$1801,0)),"")</f>
        <v/>
      </c>
      <c r="L2523" s="25">
        <f>IFERROR(INDEX(Pedidos!$F$2:$F$1801,MATCH(B2523,Pedidos!$A$2:$A$1801,0)),"")</f>
        <v/>
      </c>
      <c r="M2523" s="26">
        <f>IFERROR(INDEX(Pedidos!$G$2:$G$1801,MATCH(B2523,Pedidos!$A$2:$A$1801,0)),0)</f>
        <v/>
      </c>
      <c r="N2523" s="25">
        <f>IFERROR(INDEX(Produtos!$B$2:$B$71,MATCH(C2523,Produtos!$A$2:$A$71,0)),"")</f>
        <v/>
      </c>
      <c r="O2523" s="25">
        <f>IFERROR(INDEX(Produtos!$C$2:$C$71,MATCH(C2523,Produtos!$A$2:$A$71,0)),"")</f>
        <v/>
      </c>
      <c r="P2523" s="25">
        <f>IFERROR(INDEX(Produtos!$D$2:$D$71,MATCH(C2523,Produtos!$A$2:$A$71,0)),0)</f>
        <v/>
      </c>
      <c r="Q2523" s="25">
        <f>IFERROR(INDEX(Produtos!$E$2:$E$71,MATCH(C2523,Produtos!$A$2:$A$71,0)),0)</f>
        <v/>
      </c>
      <c r="R2523" s="27">
        <f>D2523*Q2523</f>
        <v/>
      </c>
      <c r="S2523" s="27">
        <f>R2523*E2523</f>
        <v/>
      </c>
      <c r="T2523" s="27">
        <f>(R2523-S2523)*M2523</f>
        <v/>
      </c>
      <c r="U2523" s="27">
        <f>R2523-S2523-T2523</f>
        <v/>
      </c>
      <c r="V2523" s="27">
        <f>D2523*P2523</f>
        <v/>
      </c>
      <c r="W2523" s="27">
        <f>U2523-V2523</f>
        <v/>
      </c>
      <c r="X2523" s="28">
        <f>IFERROR(W2523/U2523,0)</f>
        <v/>
      </c>
    </row>
    <row r="2524">
      <c r="A2524" s="21">
        <f>ItensPedido!A2524</f>
        <v/>
      </c>
      <c r="B2524" s="21">
        <f>ItensPedido!B2524</f>
        <v/>
      </c>
      <c r="C2524" s="21">
        <f>ItensPedido!C2524</f>
        <v/>
      </c>
      <c r="D2524" s="21">
        <f>ItensPedido!D2524</f>
        <v/>
      </c>
      <c r="E2524" s="22">
        <f>ItensPedido!E2524</f>
        <v/>
      </c>
      <c r="F2524" s="21">
        <f>IFERROR(INDEX(Pedidos!$B$2:$B$1801,MATCH(B2524,Pedidos!$A$2:$A$1801,0)),0)</f>
        <v/>
      </c>
      <c r="G2524" s="21">
        <f>IF(F2524=0,"",YEAR(F2524))</f>
        <v/>
      </c>
      <c r="H2524" s="21">
        <f>IF(F2524=0,"",MONTH(F2524))</f>
        <v/>
      </c>
      <c r="I2524" s="21">
        <f>IFERROR(INDEX(Pedidos!$E$2:$E$1801,MATCH(B2524,Pedidos!$A$2:$A$1801,0)),"")</f>
        <v/>
      </c>
      <c r="J2524" s="21">
        <f>IFERROR(INDEX(Pedidos!$C$2:$C$1801,MATCH(B2524,Pedidos!$A$2:$A$1801,0)),"")</f>
        <v/>
      </c>
      <c r="K2524" s="21">
        <f>IFERROR(INDEX(Pedidos!$D$2:$D$1801,MATCH(B2524,Pedidos!$A$2:$A$1801,0)),"")</f>
        <v/>
      </c>
      <c r="L2524" s="21">
        <f>IFERROR(INDEX(Pedidos!$F$2:$F$1801,MATCH(B2524,Pedidos!$A$2:$A$1801,0)),"")</f>
        <v/>
      </c>
      <c r="M2524" s="22">
        <f>IFERROR(INDEX(Pedidos!$G$2:$G$1801,MATCH(B2524,Pedidos!$A$2:$A$1801,0)),0)</f>
        <v/>
      </c>
      <c r="N2524" s="21">
        <f>IFERROR(INDEX(Produtos!$B$2:$B$71,MATCH(C2524,Produtos!$A$2:$A$71,0)),"")</f>
        <v/>
      </c>
      <c r="O2524" s="21">
        <f>IFERROR(INDEX(Produtos!$C$2:$C$71,MATCH(C2524,Produtos!$A$2:$A$71,0)),"")</f>
        <v/>
      </c>
      <c r="P2524" s="21">
        <f>IFERROR(INDEX(Produtos!$D$2:$D$71,MATCH(C2524,Produtos!$A$2:$A$71,0)),0)</f>
        <v/>
      </c>
      <c r="Q2524" s="21">
        <f>IFERROR(INDEX(Produtos!$E$2:$E$71,MATCH(C2524,Produtos!$A$2:$A$71,0)),0)</f>
        <v/>
      </c>
      <c r="R2524" s="23">
        <f>D2524*Q2524</f>
        <v/>
      </c>
      <c r="S2524" s="23">
        <f>R2524*E2524</f>
        <v/>
      </c>
      <c r="T2524" s="23">
        <f>(R2524-S2524)*M2524</f>
        <v/>
      </c>
      <c r="U2524" s="23">
        <f>R2524-S2524-T2524</f>
        <v/>
      </c>
      <c r="V2524" s="23">
        <f>D2524*P2524</f>
        <v/>
      </c>
      <c r="W2524" s="23">
        <f>U2524-V2524</f>
        <v/>
      </c>
      <c r="X2524" s="24">
        <f>IFERROR(W2524/U2524,0)</f>
        <v/>
      </c>
    </row>
    <row r="2525">
      <c r="A2525" s="25">
        <f>ItensPedido!A2525</f>
        <v/>
      </c>
      <c r="B2525" s="25">
        <f>ItensPedido!B2525</f>
        <v/>
      </c>
      <c r="C2525" s="25">
        <f>ItensPedido!C2525</f>
        <v/>
      </c>
      <c r="D2525" s="25">
        <f>ItensPedido!D2525</f>
        <v/>
      </c>
      <c r="E2525" s="26">
        <f>ItensPedido!E2525</f>
        <v/>
      </c>
      <c r="F2525" s="25">
        <f>IFERROR(INDEX(Pedidos!$B$2:$B$1801,MATCH(B2525,Pedidos!$A$2:$A$1801,0)),0)</f>
        <v/>
      </c>
      <c r="G2525" s="25">
        <f>IF(F2525=0,"",YEAR(F2525))</f>
        <v/>
      </c>
      <c r="H2525" s="25">
        <f>IF(F2525=0,"",MONTH(F2525))</f>
        <v/>
      </c>
      <c r="I2525" s="25">
        <f>IFERROR(INDEX(Pedidos!$E$2:$E$1801,MATCH(B2525,Pedidos!$A$2:$A$1801,0)),"")</f>
        <v/>
      </c>
      <c r="J2525" s="25">
        <f>IFERROR(INDEX(Pedidos!$C$2:$C$1801,MATCH(B2525,Pedidos!$A$2:$A$1801,0)),"")</f>
        <v/>
      </c>
      <c r="K2525" s="25">
        <f>IFERROR(INDEX(Pedidos!$D$2:$D$1801,MATCH(B2525,Pedidos!$A$2:$A$1801,0)),"")</f>
        <v/>
      </c>
      <c r="L2525" s="25">
        <f>IFERROR(INDEX(Pedidos!$F$2:$F$1801,MATCH(B2525,Pedidos!$A$2:$A$1801,0)),"")</f>
        <v/>
      </c>
      <c r="M2525" s="26">
        <f>IFERROR(INDEX(Pedidos!$G$2:$G$1801,MATCH(B2525,Pedidos!$A$2:$A$1801,0)),0)</f>
        <v/>
      </c>
      <c r="N2525" s="25">
        <f>IFERROR(INDEX(Produtos!$B$2:$B$71,MATCH(C2525,Produtos!$A$2:$A$71,0)),"")</f>
        <v/>
      </c>
      <c r="O2525" s="25">
        <f>IFERROR(INDEX(Produtos!$C$2:$C$71,MATCH(C2525,Produtos!$A$2:$A$71,0)),"")</f>
        <v/>
      </c>
      <c r="P2525" s="25">
        <f>IFERROR(INDEX(Produtos!$D$2:$D$71,MATCH(C2525,Produtos!$A$2:$A$71,0)),0)</f>
        <v/>
      </c>
      <c r="Q2525" s="25">
        <f>IFERROR(INDEX(Produtos!$E$2:$E$71,MATCH(C2525,Produtos!$A$2:$A$71,0)),0)</f>
        <v/>
      </c>
      <c r="R2525" s="27">
        <f>D2525*Q2525</f>
        <v/>
      </c>
      <c r="S2525" s="27">
        <f>R2525*E2525</f>
        <v/>
      </c>
      <c r="T2525" s="27">
        <f>(R2525-S2525)*M2525</f>
        <v/>
      </c>
      <c r="U2525" s="27">
        <f>R2525-S2525-T2525</f>
        <v/>
      </c>
      <c r="V2525" s="27">
        <f>D2525*P2525</f>
        <v/>
      </c>
      <c r="W2525" s="27">
        <f>U2525-V2525</f>
        <v/>
      </c>
      <c r="X2525" s="28">
        <f>IFERROR(W2525/U2525,0)</f>
        <v/>
      </c>
    </row>
    <row r="2526">
      <c r="A2526" s="21">
        <f>ItensPedido!A2526</f>
        <v/>
      </c>
      <c r="B2526" s="21">
        <f>ItensPedido!B2526</f>
        <v/>
      </c>
      <c r="C2526" s="21">
        <f>ItensPedido!C2526</f>
        <v/>
      </c>
      <c r="D2526" s="21">
        <f>ItensPedido!D2526</f>
        <v/>
      </c>
      <c r="E2526" s="22">
        <f>ItensPedido!E2526</f>
        <v/>
      </c>
      <c r="F2526" s="21">
        <f>IFERROR(INDEX(Pedidos!$B$2:$B$1801,MATCH(B2526,Pedidos!$A$2:$A$1801,0)),0)</f>
        <v/>
      </c>
      <c r="G2526" s="21">
        <f>IF(F2526=0,"",YEAR(F2526))</f>
        <v/>
      </c>
      <c r="H2526" s="21">
        <f>IF(F2526=0,"",MONTH(F2526))</f>
        <v/>
      </c>
      <c r="I2526" s="21">
        <f>IFERROR(INDEX(Pedidos!$E$2:$E$1801,MATCH(B2526,Pedidos!$A$2:$A$1801,0)),"")</f>
        <v/>
      </c>
      <c r="J2526" s="21">
        <f>IFERROR(INDEX(Pedidos!$C$2:$C$1801,MATCH(B2526,Pedidos!$A$2:$A$1801,0)),"")</f>
        <v/>
      </c>
      <c r="K2526" s="21">
        <f>IFERROR(INDEX(Pedidos!$D$2:$D$1801,MATCH(B2526,Pedidos!$A$2:$A$1801,0)),"")</f>
        <v/>
      </c>
      <c r="L2526" s="21">
        <f>IFERROR(INDEX(Pedidos!$F$2:$F$1801,MATCH(B2526,Pedidos!$A$2:$A$1801,0)),"")</f>
        <v/>
      </c>
      <c r="M2526" s="22">
        <f>IFERROR(INDEX(Pedidos!$G$2:$G$1801,MATCH(B2526,Pedidos!$A$2:$A$1801,0)),0)</f>
        <v/>
      </c>
      <c r="N2526" s="21">
        <f>IFERROR(INDEX(Produtos!$B$2:$B$71,MATCH(C2526,Produtos!$A$2:$A$71,0)),"")</f>
        <v/>
      </c>
      <c r="O2526" s="21">
        <f>IFERROR(INDEX(Produtos!$C$2:$C$71,MATCH(C2526,Produtos!$A$2:$A$71,0)),"")</f>
        <v/>
      </c>
      <c r="P2526" s="21">
        <f>IFERROR(INDEX(Produtos!$D$2:$D$71,MATCH(C2526,Produtos!$A$2:$A$71,0)),0)</f>
        <v/>
      </c>
      <c r="Q2526" s="21">
        <f>IFERROR(INDEX(Produtos!$E$2:$E$71,MATCH(C2526,Produtos!$A$2:$A$71,0)),0)</f>
        <v/>
      </c>
      <c r="R2526" s="23">
        <f>D2526*Q2526</f>
        <v/>
      </c>
      <c r="S2526" s="23">
        <f>R2526*E2526</f>
        <v/>
      </c>
      <c r="T2526" s="23">
        <f>(R2526-S2526)*M2526</f>
        <v/>
      </c>
      <c r="U2526" s="23">
        <f>R2526-S2526-T2526</f>
        <v/>
      </c>
      <c r="V2526" s="23">
        <f>D2526*P2526</f>
        <v/>
      </c>
      <c r="W2526" s="23">
        <f>U2526-V2526</f>
        <v/>
      </c>
      <c r="X2526" s="24">
        <f>IFERROR(W2526/U2526,0)</f>
        <v/>
      </c>
    </row>
    <row r="2527">
      <c r="A2527" s="25">
        <f>ItensPedido!A2527</f>
        <v/>
      </c>
      <c r="B2527" s="25">
        <f>ItensPedido!B2527</f>
        <v/>
      </c>
      <c r="C2527" s="25">
        <f>ItensPedido!C2527</f>
        <v/>
      </c>
      <c r="D2527" s="25">
        <f>ItensPedido!D2527</f>
        <v/>
      </c>
      <c r="E2527" s="26">
        <f>ItensPedido!E2527</f>
        <v/>
      </c>
      <c r="F2527" s="25">
        <f>IFERROR(INDEX(Pedidos!$B$2:$B$1801,MATCH(B2527,Pedidos!$A$2:$A$1801,0)),0)</f>
        <v/>
      </c>
      <c r="G2527" s="25">
        <f>IF(F2527=0,"",YEAR(F2527))</f>
        <v/>
      </c>
      <c r="H2527" s="25">
        <f>IF(F2527=0,"",MONTH(F2527))</f>
        <v/>
      </c>
      <c r="I2527" s="25">
        <f>IFERROR(INDEX(Pedidos!$E$2:$E$1801,MATCH(B2527,Pedidos!$A$2:$A$1801,0)),"")</f>
        <v/>
      </c>
      <c r="J2527" s="25">
        <f>IFERROR(INDEX(Pedidos!$C$2:$C$1801,MATCH(B2527,Pedidos!$A$2:$A$1801,0)),"")</f>
        <v/>
      </c>
      <c r="K2527" s="25">
        <f>IFERROR(INDEX(Pedidos!$D$2:$D$1801,MATCH(B2527,Pedidos!$A$2:$A$1801,0)),"")</f>
        <v/>
      </c>
      <c r="L2527" s="25">
        <f>IFERROR(INDEX(Pedidos!$F$2:$F$1801,MATCH(B2527,Pedidos!$A$2:$A$1801,0)),"")</f>
        <v/>
      </c>
      <c r="M2527" s="26">
        <f>IFERROR(INDEX(Pedidos!$G$2:$G$1801,MATCH(B2527,Pedidos!$A$2:$A$1801,0)),0)</f>
        <v/>
      </c>
      <c r="N2527" s="25">
        <f>IFERROR(INDEX(Produtos!$B$2:$B$71,MATCH(C2527,Produtos!$A$2:$A$71,0)),"")</f>
        <v/>
      </c>
      <c r="O2527" s="25">
        <f>IFERROR(INDEX(Produtos!$C$2:$C$71,MATCH(C2527,Produtos!$A$2:$A$71,0)),"")</f>
        <v/>
      </c>
      <c r="P2527" s="25">
        <f>IFERROR(INDEX(Produtos!$D$2:$D$71,MATCH(C2527,Produtos!$A$2:$A$71,0)),0)</f>
        <v/>
      </c>
      <c r="Q2527" s="25">
        <f>IFERROR(INDEX(Produtos!$E$2:$E$71,MATCH(C2527,Produtos!$A$2:$A$71,0)),0)</f>
        <v/>
      </c>
      <c r="R2527" s="27">
        <f>D2527*Q2527</f>
        <v/>
      </c>
      <c r="S2527" s="27">
        <f>R2527*E2527</f>
        <v/>
      </c>
      <c r="T2527" s="27">
        <f>(R2527-S2527)*M2527</f>
        <v/>
      </c>
      <c r="U2527" s="27">
        <f>R2527-S2527-T2527</f>
        <v/>
      </c>
      <c r="V2527" s="27">
        <f>D2527*P2527</f>
        <v/>
      </c>
      <c r="W2527" s="27">
        <f>U2527-V2527</f>
        <v/>
      </c>
      <c r="X2527" s="28">
        <f>IFERROR(W2527/U2527,0)</f>
        <v/>
      </c>
    </row>
    <row r="2528">
      <c r="A2528" s="21">
        <f>ItensPedido!A2528</f>
        <v/>
      </c>
      <c r="B2528" s="21">
        <f>ItensPedido!B2528</f>
        <v/>
      </c>
      <c r="C2528" s="21">
        <f>ItensPedido!C2528</f>
        <v/>
      </c>
      <c r="D2528" s="21">
        <f>ItensPedido!D2528</f>
        <v/>
      </c>
      <c r="E2528" s="22">
        <f>ItensPedido!E2528</f>
        <v/>
      </c>
      <c r="F2528" s="21">
        <f>IFERROR(INDEX(Pedidos!$B$2:$B$1801,MATCH(B2528,Pedidos!$A$2:$A$1801,0)),0)</f>
        <v/>
      </c>
      <c r="G2528" s="21">
        <f>IF(F2528=0,"",YEAR(F2528))</f>
        <v/>
      </c>
      <c r="H2528" s="21">
        <f>IF(F2528=0,"",MONTH(F2528))</f>
        <v/>
      </c>
      <c r="I2528" s="21">
        <f>IFERROR(INDEX(Pedidos!$E$2:$E$1801,MATCH(B2528,Pedidos!$A$2:$A$1801,0)),"")</f>
        <v/>
      </c>
      <c r="J2528" s="21">
        <f>IFERROR(INDEX(Pedidos!$C$2:$C$1801,MATCH(B2528,Pedidos!$A$2:$A$1801,0)),"")</f>
        <v/>
      </c>
      <c r="K2528" s="21">
        <f>IFERROR(INDEX(Pedidos!$D$2:$D$1801,MATCH(B2528,Pedidos!$A$2:$A$1801,0)),"")</f>
        <v/>
      </c>
      <c r="L2528" s="21">
        <f>IFERROR(INDEX(Pedidos!$F$2:$F$1801,MATCH(B2528,Pedidos!$A$2:$A$1801,0)),"")</f>
        <v/>
      </c>
      <c r="M2528" s="22">
        <f>IFERROR(INDEX(Pedidos!$G$2:$G$1801,MATCH(B2528,Pedidos!$A$2:$A$1801,0)),0)</f>
        <v/>
      </c>
      <c r="N2528" s="21">
        <f>IFERROR(INDEX(Produtos!$B$2:$B$71,MATCH(C2528,Produtos!$A$2:$A$71,0)),"")</f>
        <v/>
      </c>
      <c r="O2528" s="21">
        <f>IFERROR(INDEX(Produtos!$C$2:$C$71,MATCH(C2528,Produtos!$A$2:$A$71,0)),"")</f>
        <v/>
      </c>
      <c r="P2528" s="21">
        <f>IFERROR(INDEX(Produtos!$D$2:$D$71,MATCH(C2528,Produtos!$A$2:$A$71,0)),0)</f>
        <v/>
      </c>
      <c r="Q2528" s="21">
        <f>IFERROR(INDEX(Produtos!$E$2:$E$71,MATCH(C2528,Produtos!$A$2:$A$71,0)),0)</f>
        <v/>
      </c>
      <c r="R2528" s="23">
        <f>D2528*Q2528</f>
        <v/>
      </c>
      <c r="S2528" s="23">
        <f>R2528*E2528</f>
        <v/>
      </c>
      <c r="T2528" s="23">
        <f>(R2528-S2528)*M2528</f>
        <v/>
      </c>
      <c r="U2528" s="23">
        <f>R2528-S2528-T2528</f>
        <v/>
      </c>
      <c r="V2528" s="23">
        <f>D2528*P2528</f>
        <v/>
      </c>
      <c r="W2528" s="23">
        <f>U2528-V2528</f>
        <v/>
      </c>
      <c r="X2528" s="24">
        <f>IFERROR(W2528/U2528,0)</f>
        <v/>
      </c>
    </row>
    <row r="2529">
      <c r="A2529" s="25">
        <f>ItensPedido!A2529</f>
        <v/>
      </c>
      <c r="B2529" s="25">
        <f>ItensPedido!B2529</f>
        <v/>
      </c>
      <c r="C2529" s="25">
        <f>ItensPedido!C2529</f>
        <v/>
      </c>
      <c r="D2529" s="25">
        <f>ItensPedido!D2529</f>
        <v/>
      </c>
      <c r="E2529" s="26">
        <f>ItensPedido!E2529</f>
        <v/>
      </c>
      <c r="F2529" s="25">
        <f>IFERROR(INDEX(Pedidos!$B$2:$B$1801,MATCH(B2529,Pedidos!$A$2:$A$1801,0)),0)</f>
        <v/>
      </c>
      <c r="G2529" s="25">
        <f>IF(F2529=0,"",YEAR(F2529))</f>
        <v/>
      </c>
      <c r="H2529" s="25">
        <f>IF(F2529=0,"",MONTH(F2529))</f>
        <v/>
      </c>
      <c r="I2529" s="25">
        <f>IFERROR(INDEX(Pedidos!$E$2:$E$1801,MATCH(B2529,Pedidos!$A$2:$A$1801,0)),"")</f>
        <v/>
      </c>
      <c r="J2529" s="25">
        <f>IFERROR(INDEX(Pedidos!$C$2:$C$1801,MATCH(B2529,Pedidos!$A$2:$A$1801,0)),"")</f>
        <v/>
      </c>
      <c r="K2529" s="25">
        <f>IFERROR(INDEX(Pedidos!$D$2:$D$1801,MATCH(B2529,Pedidos!$A$2:$A$1801,0)),"")</f>
        <v/>
      </c>
      <c r="L2529" s="25">
        <f>IFERROR(INDEX(Pedidos!$F$2:$F$1801,MATCH(B2529,Pedidos!$A$2:$A$1801,0)),"")</f>
        <v/>
      </c>
      <c r="M2529" s="26">
        <f>IFERROR(INDEX(Pedidos!$G$2:$G$1801,MATCH(B2529,Pedidos!$A$2:$A$1801,0)),0)</f>
        <v/>
      </c>
      <c r="N2529" s="25">
        <f>IFERROR(INDEX(Produtos!$B$2:$B$71,MATCH(C2529,Produtos!$A$2:$A$71,0)),"")</f>
        <v/>
      </c>
      <c r="O2529" s="25">
        <f>IFERROR(INDEX(Produtos!$C$2:$C$71,MATCH(C2529,Produtos!$A$2:$A$71,0)),"")</f>
        <v/>
      </c>
      <c r="P2529" s="25">
        <f>IFERROR(INDEX(Produtos!$D$2:$D$71,MATCH(C2529,Produtos!$A$2:$A$71,0)),0)</f>
        <v/>
      </c>
      <c r="Q2529" s="25">
        <f>IFERROR(INDEX(Produtos!$E$2:$E$71,MATCH(C2529,Produtos!$A$2:$A$71,0)),0)</f>
        <v/>
      </c>
      <c r="R2529" s="27">
        <f>D2529*Q2529</f>
        <v/>
      </c>
      <c r="S2529" s="27">
        <f>R2529*E2529</f>
        <v/>
      </c>
      <c r="T2529" s="27">
        <f>(R2529-S2529)*M2529</f>
        <v/>
      </c>
      <c r="U2529" s="27">
        <f>R2529-S2529-T2529</f>
        <v/>
      </c>
      <c r="V2529" s="27">
        <f>D2529*P2529</f>
        <v/>
      </c>
      <c r="W2529" s="27">
        <f>U2529-V2529</f>
        <v/>
      </c>
      <c r="X2529" s="28">
        <f>IFERROR(W2529/U2529,0)</f>
        <v/>
      </c>
    </row>
    <row r="2530">
      <c r="A2530" s="21">
        <f>ItensPedido!A2530</f>
        <v/>
      </c>
      <c r="B2530" s="21">
        <f>ItensPedido!B2530</f>
        <v/>
      </c>
      <c r="C2530" s="21">
        <f>ItensPedido!C2530</f>
        <v/>
      </c>
      <c r="D2530" s="21">
        <f>ItensPedido!D2530</f>
        <v/>
      </c>
      <c r="E2530" s="22">
        <f>ItensPedido!E2530</f>
        <v/>
      </c>
      <c r="F2530" s="21">
        <f>IFERROR(INDEX(Pedidos!$B$2:$B$1801,MATCH(B2530,Pedidos!$A$2:$A$1801,0)),0)</f>
        <v/>
      </c>
      <c r="G2530" s="21">
        <f>IF(F2530=0,"",YEAR(F2530))</f>
        <v/>
      </c>
      <c r="H2530" s="21">
        <f>IF(F2530=0,"",MONTH(F2530))</f>
        <v/>
      </c>
      <c r="I2530" s="21">
        <f>IFERROR(INDEX(Pedidos!$E$2:$E$1801,MATCH(B2530,Pedidos!$A$2:$A$1801,0)),"")</f>
        <v/>
      </c>
      <c r="J2530" s="21">
        <f>IFERROR(INDEX(Pedidos!$C$2:$C$1801,MATCH(B2530,Pedidos!$A$2:$A$1801,0)),"")</f>
        <v/>
      </c>
      <c r="K2530" s="21">
        <f>IFERROR(INDEX(Pedidos!$D$2:$D$1801,MATCH(B2530,Pedidos!$A$2:$A$1801,0)),"")</f>
        <v/>
      </c>
      <c r="L2530" s="21">
        <f>IFERROR(INDEX(Pedidos!$F$2:$F$1801,MATCH(B2530,Pedidos!$A$2:$A$1801,0)),"")</f>
        <v/>
      </c>
      <c r="M2530" s="22">
        <f>IFERROR(INDEX(Pedidos!$G$2:$G$1801,MATCH(B2530,Pedidos!$A$2:$A$1801,0)),0)</f>
        <v/>
      </c>
      <c r="N2530" s="21">
        <f>IFERROR(INDEX(Produtos!$B$2:$B$71,MATCH(C2530,Produtos!$A$2:$A$71,0)),"")</f>
        <v/>
      </c>
      <c r="O2530" s="21">
        <f>IFERROR(INDEX(Produtos!$C$2:$C$71,MATCH(C2530,Produtos!$A$2:$A$71,0)),"")</f>
        <v/>
      </c>
      <c r="P2530" s="21">
        <f>IFERROR(INDEX(Produtos!$D$2:$D$71,MATCH(C2530,Produtos!$A$2:$A$71,0)),0)</f>
        <v/>
      </c>
      <c r="Q2530" s="21">
        <f>IFERROR(INDEX(Produtos!$E$2:$E$71,MATCH(C2530,Produtos!$A$2:$A$71,0)),0)</f>
        <v/>
      </c>
      <c r="R2530" s="23">
        <f>D2530*Q2530</f>
        <v/>
      </c>
      <c r="S2530" s="23">
        <f>R2530*E2530</f>
        <v/>
      </c>
      <c r="T2530" s="23">
        <f>(R2530-S2530)*M2530</f>
        <v/>
      </c>
      <c r="U2530" s="23">
        <f>R2530-S2530-T2530</f>
        <v/>
      </c>
      <c r="V2530" s="23">
        <f>D2530*P2530</f>
        <v/>
      </c>
      <c r="W2530" s="23">
        <f>U2530-V2530</f>
        <v/>
      </c>
      <c r="X2530" s="24">
        <f>IFERROR(W2530/U2530,0)</f>
        <v/>
      </c>
    </row>
    <row r="2531">
      <c r="A2531" s="25">
        <f>ItensPedido!A2531</f>
        <v/>
      </c>
      <c r="B2531" s="25">
        <f>ItensPedido!B2531</f>
        <v/>
      </c>
      <c r="C2531" s="25">
        <f>ItensPedido!C2531</f>
        <v/>
      </c>
      <c r="D2531" s="25">
        <f>ItensPedido!D2531</f>
        <v/>
      </c>
      <c r="E2531" s="26">
        <f>ItensPedido!E2531</f>
        <v/>
      </c>
      <c r="F2531" s="25">
        <f>IFERROR(INDEX(Pedidos!$B$2:$B$1801,MATCH(B2531,Pedidos!$A$2:$A$1801,0)),0)</f>
        <v/>
      </c>
      <c r="G2531" s="25">
        <f>IF(F2531=0,"",YEAR(F2531))</f>
        <v/>
      </c>
      <c r="H2531" s="25">
        <f>IF(F2531=0,"",MONTH(F2531))</f>
        <v/>
      </c>
      <c r="I2531" s="25">
        <f>IFERROR(INDEX(Pedidos!$E$2:$E$1801,MATCH(B2531,Pedidos!$A$2:$A$1801,0)),"")</f>
        <v/>
      </c>
      <c r="J2531" s="25">
        <f>IFERROR(INDEX(Pedidos!$C$2:$C$1801,MATCH(B2531,Pedidos!$A$2:$A$1801,0)),"")</f>
        <v/>
      </c>
      <c r="K2531" s="25">
        <f>IFERROR(INDEX(Pedidos!$D$2:$D$1801,MATCH(B2531,Pedidos!$A$2:$A$1801,0)),"")</f>
        <v/>
      </c>
      <c r="L2531" s="25">
        <f>IFERROR(INDEX(Pedidos!$F$2:$F$1801,MATCH(B2531,Pedidos!$A$2:$A$1801,0)),"")</f>
        <v/>
      </c>
      <c r="M2531" s="26">
        <f>IFERROR(INDEX(Pedidos!$G$2:$G$1801,MATCH(B2531,Pedidos!$A$2:$A$1801,0)),0)</f>
        <v/>
      </c>
      <c r="N2531" s="25">
        <f>IFERROR(INDEX(Produtos!$B$2:$B$71,MATCH(C2531,Produtos!$A$2:$A$71,0)),"")</f>
        <v/>
      </c>
      <c r="O2531" s="25">
        <f>IFERROR(INDEX(Produtos!$C$2:$C$71,MATCH(C2531,Produtos!$A$2:$A$71,0)),"")</f>
        <v/>
      </c>
      <c r="P2531" s="25">
        <f>IFERROR(INDEX(Produtos!$D$2:$D$71,MATCH(C2531,Produtos!$A$2:$A$71,0)),0)</f>
        <v/>
      </c>
      <c r="Q2531" s="25">
        <f>IFERROR(INDEX(Produtos!$E$2:$E$71,MATCH(C2531,Produtos!$A$2:$A$71,0)),0)</f>
        <v/>
      </c>
      <c r="R2531" s="27">
        <f>D2531*Q2531</f>
        <v/>
      </c>
      <c r="S2531" s="27">
        <f>R2531*E2531</f>
        <v/>
      </c>
      <c r="T2531" s="27">
        <f>(R2531-S2531)*M2531</f>
        <v/>
      </c>
      <c r="U2531" s="27">
        <f>R2531-S2531-T2531</f>
        <v/>
      </c>
      <c r="V2531" s="27">
        <f>D2531*P2531</f>
        <v/>
      </c>
      <c r="W2531" s="27">
        <f>U2531-V2531</f>
        <v/>
      </c>
      <c r="X2531" s="28">
        <f>IFERROR(W2531/U2531,0)</f>
        <v/>
      </c>
    </row>
    <row r="2532">
      <c r="A2532" s="21">
        <f>ItensPedido!A2532</f>
        <v/>
      </c>
      <c r="B2532" s="21">
        <f>ItensPedido!B2532</f>
        <v/>
      </c>
      <c r="C2532" s="21">
        <f>ItensPedido!C2532</f>
        <v/>
      </c>
      <c r="D2532" s="21">
        <f>ItensPedido!D2532</f>
        <v/>
      </c>
      <c r="E2532" s="22">
        <f>ItensPedido!E2532</f>
        <v/>
      </c>
      <c r="F2532" s="21">
        <f>IFERROR(INDEX(Pedidos!$B$2:$B$1801,MATCH(B2532,Pedidos!$A$2:$A$1801,0)),0)</f>
        <v/>
      </c>
      <c r="G2532" s="21">
        <f>IF(F2532=0,"",YEAR(F2532))</f>
        <v/>
      </c>
      <c r="H2532" s="21">
        <f>IF(F2532=0,"",MONTH(F2532))</f>
        <v/>
      </c>
      <c r="I2532" s="21">
        <f>IFERROR(INDEX(Pedidos!$E$2:$E$1801,MATCH(B2532,Pedidos!$A$2:$A$1801,0)),"")</f>
        <v/>
      </c>
      <c r="J2532" s="21">
        <f>IFERROR(INDEX(Pedidos!$C$2:$C$1801,MATCH(B2532,Pedidos!$A$2:$A$1801,0)),"")</f>
        <v/>
      </c>
      <c r="K2532" s="21">
        <f>IFERROR(INDEX(Pedidos!$D$2:$D$1801,MATCH(B2532,Pedidos!$A$2:$A$1801,0)),"")</f>
        <v/>
      </c>
      <c r="L2532" s="21">
        <f>IFERROR(INDEX(Pedidos!$F$2:$F$1801,MATCH(B2532,Pedidos!$A$2:$A$1801,0)),"")</f>
        <v/>
      </c>
      <c r="M2532" s="22">
        <f>IFERROR(INDEX(Pedidos!$G$2:$G$1801,MATCH(B2532,Pedidos!$A$2:$A$1801,0)),0)</f>
        <v/>
      </c>
      <c r="N2532" s="21">
        <f>IFERROR(INDEX(Produtos!$B$2:$B$71,MATCH(C2532,Produtos!$A$2:$A$71,0)),"")</f>
        <v/>
      </c>
      <c r="O2532" s="21">
        <f>IFERROR(INDEX(Produtos!$C$2:$C$71,MATCH(C2532,Produtos!$A$2:$A$71,0)),"")</f>
        <v/>
      </c>
      <c r="P2532" s="21">
        <f>IFERROR(INDEX(Produtos!$D$2:$D$71,MATCH(C2532,Produtos!$A$2:$A$71,0)),0)</f>
        <v/>
      </c>
      <c r="Q2532" s="21">
        <f>IFERROR(INDEX(Produtos!$E$2:$E$71,MATCH(C2532,Produtos!$A$2:$A$71,0)),0)</f>
        <v/>
      </c>
      <c r="R2532" s="23">
        <f>D2532*Q2532</f>
        <v/>
      </c>
      <c r="S2532" s="23">
        <f>R2532*E2532</f>
        <v/>
      </c>
      <c r="T2532" s="23">
        <f>(R2532-S2532)*M2532</f>
        <v/>
      </c>
      <c r="U2532" s="23">
        <f>R2532-S2532-T2532</f>
        <v/>
      </c>
      <c r="V2532" s="23">
        <f>D2532*P2532</f>
        <v/>
      </c>
      <c r="W2532" s="23">
        <f>U2532-V2532</f>
        <v/>
      </c>
      <c r="X2532" s="24">
        <f>IFERROR(W2532/U2532,0)</f>
        <v/>
      </c>
    </row>
    <row r="2533">
      <c r="A2533" s="25">
        <f>ItensPedido!A2533</f>
        <v/>
      </c>
      <c r="B2533" s="25">
        <f>ItensPedido!B2533</f>
        <v/>
      </c>
      <c r="C2533" s="25">
        <f>ItensPedido!C2533</f>
        <v/>
      </c>
      <c r="D2533" s="25">
        <f>ItensPedido!D2533</f>
        <v/>
      </c>
      <c r="E2533" s="26">
        <f>ItensPedido!E2533</f>
        <v/>
      </c>
      <c r="F2533" s="25">
        <f>IFERROR(INDEX(Pedidos!$B$2:$B$1801,MATCH(B2533,Pedidos!$A$2:$A$1801,0)),0)</f>
        <v/>
      </c>
      <c r="G2533" s="25">
        <f>IF(F2533=0,"",YEAR(F2533))</f>
        <v/>
      </c>
      <c r="H2533" s="25">
        <f>IF(F2533=0,"",MONTH(F2533))</f>
        <v/>
      </c>
      <c r="I2533" s="25">
        <f>IFERROR(INDEX(Pedidos!$E$2:$E$1801,MATCH(B2533,Pedidos!$A$2:$A$1801,0)),"")</f>
        <v/>
      </c>
      <c r="J2533" s="25">
        <f>IFERROR(INDEX(Pedidos!$C$2:$C$1801,MATCH(B2533,Pedidos!$A$2:$A$1801,0)),"")</f>
        <v/>
      </c>
      <c r="K2533" s="25">
        <f>IFERROR(INDEX(Pedidos!$D$2:$D$1801,MATCH(B2533,Pedidos!$A$2:$A$1801,0)),"")</f>
        <v/>
      </c>
      <c r="L2533" s="25">
        <f>IFERROR(INDEX(Pedidos!$F$2:$F$1801,MATCH(B2533,Pedidos!$A$2:$A$1801,0)),"")</f>
        <v/>
      </c>
      <c r="M2533" s="26">
        <f>IFERROR(INDEX(Pedidos!$G$2:$G$1801,MATCH(B2533,Pedidos!$A$2:$A$1801,0)),0)</f>
        <v/>
      </c>
      <c r="N2533" s="25">
        <f>IFERROR(INDEX(Produtos!$B$2:$B$71,MATCH(C2533,Produtos!$A$2:$A$71,0)),"")</f>
        <v/>
      </c>
      <c r="O2533" s="25">
        <f>IFERROR(INDEX(Produtos!$C$2:$C$71,MATCH(C2533,Produtos!$A$2:$A$71,0)),"")</f>
        <v/>
      </c>
      <c r="P2533" s="25">
        <f>IFERROR(INDEX(Produtos!$D$2:$D$71,MATCH(C2533,Produtos!$A$2:$A$71,0)),0)</f>
        <v/>
      </c>
      <c r="Q2533" s="25">
        <f>IFERROR(INDEX(Produtos!$E$2:$E$71,MATCH(C2533,Produtos!$A$2:$A$71,0)),0)</f>
        <v/>
      </c>
      <c r="R2533" s="27">
        <f>D2533*Q2533</f>
        <v/>
      </c>
      <c r="S2533" s="27">
        <f>R2533*E2533</f>
        <v/>
      </c>
      <c r="T2533" s="27">
        <f>(R2533-S2533)*M2533</f>
        <v/>
      </c>
      <c r="U2533" s="27">
        <f>R2533-S2533-T2533</f>
        <v/>
      </c>
      <c r="V2533" s="27">
        <f>D2533*P2533</f>
        <v/>
      </c>
      <c r="W2533" s="27">
        <f>U2533-V2533</f>
        <v/>
      </c>
      <c r="X2533" s="28">
        <f>IFERROR(W2533/U2533,0)</f>
        <v/>
      </c>
    </row>
    <row r="2534">
      <c r="A2534" s="21">
        <f>ItensPedido!A2534</f>
        <v/>
      </c>
      <c r="B2534" s="21">
        <f>ItensPedido!B2534</f>
        <v/>
      </c>
      <c r="C2534" s="21">
        <f>ItensPedido!C2534</f>
        <v/>
      </c>
      <c r="D2534" s="21">
        <f>ItensPedido!D2534</f>
        <v/>
      </c>
      <c r="E2534" s="22">
        <f>ItensPedido!E2534</f>
        <v/>
      </c>
      <c r="F2534" s="21">
        <f>IFERROR(INDEX(Pedidos!$B$2:$B$1801,MATCH(B2534,Pedidos!$A$2:$A$1801,0)),0)</f>
        <v/>
      </c>
      <c r="G2534" s="21">
        <f>IF(F2534=0,"",YEAR(F2534))</f>
        <v/>
      </c>
      <c r="H2534" s="21">
        <f>IF(F2534=0,"",MONTH(F2534))</f>
        <v/>
      </c>
      <c r="I2534" s="21">
        <f>IFERROR(INDEX(Pedidos!$E$2:$E$1801,MATCH(B2534,Pedidos!$A$2:$A$1801,0)),"")</f>
        <v/>
      </c>
      <c r="J2534" s="21">
        <f>IFERROR(INDEX(Pedidos!$C$2:$C$1801,MATCH(B2534,Pedidos!$A$2:$A$1801,0)),"")</f>
        <v/>
      </c>
      <c r="K2534" s="21">
        <f>IFERROR(INDEX(Pedidos!$D$2:$D$1801,MATCH(B2534,Pedidos!$A$2:$A$1801,0)),"")</f>
        <v/>
      </c>
      <c r="L2534" s="21">
        <f>IFERROR(INDEX(Pedidos!$F$2:$F$1801,MATCH(B2534,Pedidos!$A$2:$A$1801,0)),"")</f>
        <v/>
      </c>
      <c r="M2534" s="22">
        <f>IFERROR(INDEX(Pedidos!$G$2:$G$1801,MATCH(B2534,Pedidos!$A$2:$A$1801,0)),0)</f>
        <v/>
      </c>
      <c r="N2534" s="21">
        <f>IFERROR(INDEX(Produtos!$B$2:$B$71,MATCH(C2534,Produtos!$A$2:$A$71,0)),"")</f>
        <v/>
      </c>
      <c r="O2534" s="21">
        <f>IFERROR(INDEX(Produtos!$C$2:$C$71,MATCH(C2534,Produtos!$A$2:$A$71,0)),"")</f>
        <v/>
      </c>
      <c r="P2534" s="21">
        <f>IFERROR(INDEX(Produtos!$D$2:$D$71,MATCH(C2534,Produtos!$A$2:$A$71,0)),0)</f>
        <v/>
      </c>
      <c r="Q2534" s="21">
        <f>IFERROR(INDEX(Produtos!$E$2:$E$71,MATCH(C2534,Produtos!$A$2:$A$71,0)),0)</f>
        <v/>
      </c>
      <c r="R2534" s="23">
        <f>D2534*Q2534</f>
        <v/>
      </c>
      <c r="S2534" s="23">
        <f>R2534*E2534</f>
        <v/>
      </c>
      <c r="T2534" s="23">
        <f>(R2534-S2534)*M2534</f>
        <v/>
      </c>
      <c r="U2534" s="23">
        <f>R2534-S2534-T2534</f>
        <v/>
      </c>
      <c r="V2534" s="23">
        <f>D2534*P2534</f>
        <v/>
      </c>
      <c r="W2534" s="23">
        <f>U2534-V2534</f>
        <v/>
      </c>
      <c r="X2534" s="24">
        <f>IFERROR(W2534/U2534,0)</f>
        <v/>
      </c>
    </row>
    <row r="2535">
      <c r="A2535" s="25">
        <f>ItensPedido!A2535</f>
        <v/>
      </c>
      <c r="B2535" s="25">
        <f>ItensPedido!B2535</f>
        <v/>
      </c>
      <c r="C2535" s="25">
        <f>ItensPedido!C2535</f>
        <v/>
      </c>
      <c r="D2535" s="25">
        <f>ItensPedido!D2535</f>
        <v/>
      </c>
      <c r="E2535" s="26">
        <f>ItensPedido!E2535</f>
        <v/>
      </c>
      <c r="F2535" s="25">
        <f>IFERROR(INDEX(Pedidos!$B$2:$B$1801,MATCH(B2535,Pedidos!$A$2:$A$1801,0)),0)</f>
        <v/>
      </c>
      <c r="G2535" s="25">
        <f>IF(F2535=0,"",YEAR(F2535))</f>
        <v/>
      </c>
      <c r="H2535" s="25">
        <f>IF(F2535=0,"",MONTH(F2535))</f>
        <v/>
      </c>
      <c r="I2535" s="25">
        <f>IFERROR(INDEX(Pedidos!$E$2:$E$1801,MATCH(B2535,Pedidos!$A$2:$A$1801,0)),"")</f>
        <v/>
      </c>
      <c r="J2535" s="25">
        <f>IFERROR(INDEX(Pedidos!$C$2:$C$1801,MATCH(B2535,Pedidos!$A$2:$A$1801,0)),"")</f>
        <v/>
      </c>
      <c r="K2535" s="25">
        <f>IFERROR(INDEX(Pedidos!$D$2:$D$1801,MATCH(B2535,Pedidos!$A$2:$A$1801,0)),"")</f>
        <v/>
      </c>
      <c r="L2535" s="25">
        <f>IFERROR(INDEX(Pedidos!$F$2:$F$1801,MATCH(B2535,Pedidos!$A$2:$A$1801,0)),"")</f>
        <v/>
      </c>
      <c r="M2535" s="26">
        <f>IFERROR(INDEX(Pedidos!$G$2:$G$1801,MATCH(B2535,Pedidos!$A$2:$A$1801,0)),0)</f>
        <v/>
      </c>
      <c r="N2535" s="25">
        <f>IFERROR(INDEX(Produtos!$B$2:$B$71,MATCH(C2535,Produtos!$A$2:$A$71,0)),"")</f>
        <v/>
      </c>
      <c r="O2535" s="25">
        <f>IFERROR(INDEX(Produtos!$C$2:$C$71,MATCH(C2535,Produtos!$A$2:$A$71,0)),"")</f>
        <v/>
      </c>
      <c r="P2535" s="25">
        <f>IFERROR(INDEX(Produtos!$D$2:$D$71,MATCH(C2535,Produtos!$A$2:$A$71,0)),0)</f>
        <v/>
      </c>
      <c r="Q2535" s="25">
        <f>IFERROR(INDEX(Produtos!$E$2:$E$71,MATCH(C2535,Produtos!$A$2:$A$71,0)),0)</f>
        <v/>
      </c>
      <c r="R2535" s="27">
        <f>D2535*Q2535</f>
        <v/>
      </c>
      <c r="S2535" s="27">
        <f>R2535*E2535</f>
        <v/>
      </c>
      <c r="T2535" s="27">
        <f>(R2535-S2535)*M2535</f>
        <v/>
      </c>
      <c r="U2535" s="27">
        <f>R2535-S2535-T2535</f>
        <v/>
      </c>
      <c r="V2535" s="27">
        <f>D2535*P2535</f>
        <v/>
      </c>
      <c r="W2535" s="27">
        <f>U2535-V2535</f>
        <v/>
      </c>
      <c r="X2535" s="28">
        <f>IFERROR(W2535/U2535,0)</f>
        <v/>
      </c>
    </row>
    <row r="2536">
      <c r="A2536" s="21">
        <f>ItensPedido!A2536</f>
        <v/>
      </c>
      <c r="B2536" s="21">
        <f>ItensPedido!B2536</f>
        <v/>
      </c>
      <c r="C2536" s="21">
        <f>ItensPedido!C2536</f>
        <v/>
      </c>
      <c r="D2536" s="21">
        <f>ItensPedido!D2536</f>
        <v/>
      </c>
      <c r="E2536" s="22">
        <f>ItensPedido!E2536</f>
        <v/>
      </c>
      <c r="F2536" s="21">
        <f>IFERROR(INDEX(Pedidos!$B$2:$B$1801,MATCH(B2536,Pedidos!$A$2:$A$1801,0)),0)</f>
        <v/>
      </c>
      <c r="G2536" s="21">
        <f>IF(F2536=0,"",YEAR(F2536))</f>
        <v/>
      </c>
      <c r="H2536" s="21">
        <f>IF(F2536=0,"",MONTH(F2536))</f>
        <v/>
      </c>
      <c r="I2536" s="21">
        <f>IFERROR(INDEX(Pedidos!$E$2:$E$1801,MATCH(B2536,Pedidos!$A$2:$A$1801,0)),"")</f>
        <v/>
      </c>
      <c r="J2536" s="21">
        <f>IFERROR(INDEX(Pedidos!$C$2:$C$1801,MATCH(B2536,Pedidos!$A$2:$A$1801,0)),"")</f>
        <v/>
      </c>
      <c r="K2536" s="21">
        <f>IFERROR(INDEX(Pedidos!$D$2:$D$1801,MATCH(B2536,Pedidos!$A$2:$A$1801,0)),"")</f>
        <v/>
      </c>
      <c r="L2536" s="21">
        <f>IFERROR(INDEX(Pedidos!$F$2:$F$1801,MATCH(B2536,Pedidos!$A$2:$A$1801,0)),"")</f>
        <v/>
      </c>
      <c r="M2536" s="22">
        <f>IFERROR(INDEX(Pedidos!$G$2:$G$1801,MATCH(B2536,Pedidos!$A$2:$A$1801,0)),0)</f>
        <v/>
      </c>
      <c r="N2536" s="21">
        <f>IFERROR(INDEX(Produtos!$B$2:$B$71,MATCH(C2536,Produtos!$A$2:$A$71,0)),"")</f>
        <v/>
      </c>
      <c r="O2536" s="21">
        <f>IFERROR(INDEX(Produtos!$C$2:$C$71,MATCH(C2536,Produtos!$A$2:$A$71,0)),"")</f>
        <v/>
      </c>
      <c r="P2536" s="21">
        <f>IFERROR(INDEX(Produtos!$D$2:$D$71,MATCH(C2536,Produtos!$A$2:$A$71,0)),0)</f>
        <v/>
      </c>
      <c r="Q2536" s="21">
        <f>IFERROR(INDEX(Produtos!$E$2:$E$71,MATCH(C2536,Produtos!$A$2:$A$71,0)),0)</f>
        <v/>
      </c>
      <c r="R2536" s="23">
        <f>D2536*Q2536</f>
        <v/>
      </c>
      <c r="S2536" s="23">
        <f>R2536*E2536</f>
        <v/>
      </c>
      <c r="T2536" s="23">
        <f>(R2536-S2536)*M2536</f>
        <v/>
      </c>
      <c r="U2536" s="23">
        <f>R2536-S2536-T2536</f>
        <v/>
      </c>
      <c r="V2536" s="23">
        <f>D2536*P2536</f>
        <v/>
      </c>
      <c r="W2536" s="23">
        <f>U2536-V2536</f>
        <v/>
      </c>
      <c r="X2536" s="24">
        <f>IFERROR(W2536/U2536,0)</f>
        <v/>
      </c>
    </row>
    <row r="2537">
      <c r="A2537" s="25">
        <f>ItensPedido!A2537</f>
        <v/>
      </c>
      <c r="B2537" s="25">
        <f>ItensPedido!B2537</f>
        <v/>
      </c>
      <c r="C2537" s="25">
        <f>ItensPedido!C2537</f>
        <v/>
      </c>
      <c r="D2537" s="25">
        <f>ItensPedido!D2537</f>
        <v/>
      </c>
      <c r="E2537" s="26">
        <f>ItensPedido!E2537</f>
        <v/>
      </c>
      <c r="F2537" s="25">
        <f>IFERROR(INDEX(Pedidos!$B$2:$B$1801,MATCH(B2537,Pedidos!$A$2:$A$1801,0)),0)</f>
        <v/>
      </c>
      <c r="G2537" s="25">
        <f>IF(F2537=0,"",YEAR(F2537))</f>
        <v/>
      </c>
      <c r="H2537" s="25">
        <f>IF(F2537=0,"",MONTH(F2537))</f>
        <v/>
      </c>
      <c r="I2537" s="25">
        <f>IFERROR(INDEX(Pedidos!$E$2:$E$1801,MATCH(B2537,Pedidos!$A$2:$A$1801,0)),"")</f>
        <v/>
      </c>
      <c r="J2537" s="25">
        <f>IFERROR(INDEX(Pedidos!$C$2:$C$1801,MATCH(B2537,Pedidos!$A$2:$A$1801,0)),"")</f>
        <v/>
      </c>
      <c r="K2537" s="25">
        <f>IFERROR(INDEX(Pedidos!$D$2:$D$1801,MATCH(B2537,Pedidos!$A$2:$A$1801,0)),"")</f>
        <v/>
      </c>
      <c r="L2537" s="25">
        <f>IFERROR(INDEX(Pedidos!$F$2:$F$1801,MATCH(B2537,Pedidos!$A$2:$A$1801,0)),"")</f>
        <v/>
      </c>
      <c r="M2537" s="26">
        <f>IFERROR(INDEX(Pedidos!$G$2:$G$1801,MATCH(B2537,Pedidos!$A$2:$A$1801,0)),0)</f>
        <v/>
      </c>
      <c r="N2537" s="25">
        <f>IFERROR(INDEX(Produtos!$B$2:$B$71,MATCH(C2537,Produtos!$A$2:$A$71,0)),"")</f>
        <v/>
      </c>
      <c r="O2537" s="25">
        <f>IFERROR(INDEX(Produtos!$C$2:$C$71,MATCH(C2537,Produtos!$A$2:$A$71,0)),"")</f>
        <v/>
      </c>
      <c r="P2537" s="25">
        <f>IFERROR(INDEX(Produtos!$D$2:$D$71,MATCH(C2537,Produtos!$A$2:$A$71,0)),0)</f>
        <v/>
      </c>
      <c r="Q2537" s="25">
        <f>IFERROR(INDEX(Produtos!$E$2:$E$71,MATCH(C2537,Produtos!$A$2:$A$71,0)),0)</f>
        <v/>
      </c>
      <c r="R2537" s="27">
        <f>D2537*Q2537</f>
        <v/>
      </c>
      <c r="S2537" s="27">
        <f>R2537*E2537</f>
        <v/>
      </c>
      <c r="T2537" s="27">
        <f>(R2537-S2537)*M2537</f>
        <v/>
      </c>
      <c r="U2537" s="27">
        <f>R2537-S2537-T2537</f>
        <v/>
      </c>
      <c r="V2537" s="27">
        <f>D2537*P2537</f>
        <v/>
      </c>
      <c r="W2537" s="27">
        <f>U2537-V2537</f>
        <v/>
      </c>
      <c r="X2537" s="28">
        <f>IFERROR(W2537/U2537,0)</f>
        <v/>
      </c>
    </row>
    <row r="2538">
      <c r="A2538" s="21">
        <f>ItensPedido!A2538</f>
        <v/>
      </c>
      <c r="B2538" s="21">
        <f>ItensPedido!B2538</f>
        <v/>
      </c>
      <c r="C2538" s="21">
        <f>ItensPedido!C2538</f>
        <v/>
      </c>
      <c r="D2538" s="21">
        <f>ItensPedido!D2538</f>
        <v/>
      </c>
      <c r="E2538" s="22">
        <f>ItensPedido!E2538</f>
        <v/>
      </c>
      <c r="F2538" s="21">
        <f>IFERROR(INDEX(Pedidos!$B$2:$B$1801,MATCH(B2538,Pedidos!$A$2:$A$1801,0)),0)</f>
        <v/>
      </c>
      <c r="G2538" s="21">
        <f>IF(F2538=0,"",YEAR(F2538))</f>
        <v/>
      </c>
      <c r="H2538" s="21">
        <f>IF(F2538=0,"",MONTH(F2538))</f>
        <v/>
      </c>
      <c r="I2538" s="21">
        <f>IFERROR(INDEX(Pedidos!$E$2:$E$1801,MATCH(B2538,Pedidos!$A$2:$A$1801,0)),"")</f>
        <v/>
      </c>
      <c r="J2538" s="21">
        <f>IFERROR(INDEX(Pedidos!$C$2:$C$1801,MATCH(B2538,Pedidos!$A$2:$A$1801,0)),"")</f>
        <v/>
      </c>
      <c r="K2538" s="21">
        <f>IFERROR(INDEX(Pedidos!$D$2:$D$1801,MATCH(B2538,Pedidos!$A$2:$A$1801,0)),"")</f>
        <v/>
      </c>
      <c r="L2538" s="21">
        <f>IFERROR(INDEX(Pedidos!$F$2:$F$1801,MATCH(B2538,Pedidos!$A$2:$A$1801,0)),"")</f>
        <v/>
      </c>
      <c r="M2538" s="22">
        <f>IFERROR(INDEX(Pedidos!$G$2:$G$1801,MATCH(B2538,Pedidos!$A$2:$A$1801,0)),0)</f>
        <v/>
      </c>
      <c r="N2538" s="21">
        <f>IFERROR(INDEX(Produtos!$B$2:$B$71,MATCH(C2538,Produtos!$A$2:$A$71,0)),"")</f>
        <v/>
      </c>
      <c r="O2538" s="21">
        <f>IFERROR(INDEX(Produtos!$C$2:$C$71,MATCH(C2538,Produtos!$A$2:$A$71,0)),"")</f>
        <v/>
      </c>
      <c r="P2538" s="21">
        <f>IFERROR(INDEX(Produtos!$D$2:$D$71,MATCH(C2538,Produtos!$A$2:$A$71,0)),0)</f>
        <v/>
      </c>
      <c r="Q2538" s="21">
        <f>IFERROR(INDEX(Produtos!$E$2:$E$71,MATCH(C2538,Produtos!$A$2:$A$71,0)),0)</f>
        <v/>
      </c>
      <c r="R2538" s="23">
        <f>D2538*Q2538</f>
        <v/>
      </c>
      <c r="S2538" s="23">
        <f>R2538*E2538</f>
        <v/>
      </c>
      <c r="T2538" s="23">
        <f>(R2538-S2538)*M2538</f>
        <v/>
      </c>
      <c r="U2538" s="23">
        <f>R2538-S2538-T2538</f>
        <v/>
      </c>
      <c r="V2538" s="23">
        <f>D2538*P2538</f>
        <v/>
      </c>
      <c r="W2538" s="23">
        <f>U2538-V2538</f>
        <v/>
      </c>
      <c r="X2538" s="24">
        <f>IFERROR(W2538/U2538,0)</f>
        <v/>
      </c>
    </row>
    <row r="2539">
      <c r="A2539" s="25">
        <f>ItensPedido!A2539</f>
        <v/>
      </c>
      <c r="B2539" s="25">
        <f>ItensPedido!B2539</f>
        <v/>
      </c>
      <c r="C2539" s="25">
        <f>ItensPedido!C2539</f>
        <v/>
      </c>
      <c r="D2539" s="25">
        <f>ItensPedido!D2539</f>
        <v/>
      </c>
      <c r="E2539" s="26">
        <f>ItensPedido!E2539</f>
        <v/>
      </c>
      <c r="F2539" s="25">
        <f>IFERROR(INDEX(Pedidos!$B$2:$B$1801,MATCH(B2539,Pedidos!$A$2:$A$1801,0)),0)</f>
        <v/>
      </c>
      <c r="G2539" s="25">
        <f>IF(F2539=0,"",YEAR(F2539))</f>
        <v/>
      </c>
      <c r="H2539" s="25">
        <f>IF(F2539=0,"",MONTH(F2539))</f>
        <v/>
      </c>
      <c r="I2539" s="25">
        <f>IFERROR(INDEX(Pedidos!$E$2:$E$1801,MATCH(B2539,Pedidos!$A$2:$A$1801,0)),"")</f>
        <v/>
      </c>
      <c r="J2539" s="25">
        <f>IFERROR(INDEX(Pedidos!$C$2:$C$1801,MATCH(B2539,Pedidos!$A$2:$A$1801,0)),"")</f>
        <v/>
      </c>
      <c r="K2539" s="25">
        <f>IFERROR(INDEX(Pedidos!$D$2:$D$1801,MATCH(B2539,Pedidos!$A$2:$A$1801,0)),"")</f>
        <v/>
      </c>
      <c r="L2539" s="25">
        <f>IFERROR(INDEX(Pedidos!$F$2:$F$1801,MATCH(B2539,Pedidos!$A$2:$A$1801,0)),"")</f>
        <v/>
      </c>
      <c r="M2539" s="26">
        <f>IFERROR(INDEX(Pedidos!$G$2:$G$1801,MATCH(B2539,Pedidos!$A$2:$A$1801,0)),0)</f>
        <v/>
      </c>
      <c r="N2539" s="25">
        <f>IFERROR(INDEX(Produtos!$B$2:$B$71,MATCH(C2539,Produtos!$A$2:$A$71,0)),"")</f>
        <v/>
      </c>
      <c r="O2539" s="25">
        <f>IFERROR(INDEX(Produtos!$C$2:$C$71,MATCH(C2539,Produtos!$A$2:$A$71,0)),"")</f>
        <v/>
      </c>
      <c r="P2539" s="25">
        <f>IFERROR(INDEX(Produtos!$D$2:$D$71,MATCH(C2539,Produtos!$A$2:$A$71,0)),0)</f>
        <v/>
      </c>
      <c r="Q2539" s="25">
        <f>IFERROR(INDEX(Produtos!$E$2:$E$71,MATCH(C2539,Produtos!$A$2:$A$71,0)),0)</f>
        <v/>
      </c>
      <c r="R2539" s="27">
        <f>D2539*Q2539</f>
        <v/>
      </c>
      <c r="S2539" s="27">
        <f>R2539*E2539</f>
        <v/>
      </c>
      <c r="T2539" s="27">
        <f>(R2539-S2539)*M2539</f>
        <v/>
      </c>
      <c r="U2539" s="27">
        <f>R2539-S2539-T2539</f>
        <v/>
      </c>
      <c r="V2539" s="27">
        <f>D2539*P2539</f>
        <v/>
      </c>
      <c r="W2539" s="27">
        <f>U2539-V2539</f>
        <v/>
      </c>
      <c r="X2539" s="28">
        <f>IFERROR(W2539/U2539,0)</f>
        <v/>
      </c>
    </row>
    <row r="2540">
      <c r="A2540" s="21">
        <f>ItensPedido!A2540</f>
        <v/>
      </c>
      <c r="B2540" s="21">
        <f>ItensPedido!B2540</f>
        <v/>
      </c>
      <c r="C2540" s="21">
        <f>ItensPedido!C2540</f>
        <v/>
      </c>
      <c r="D2540" s="21">
        <f>ItensPedido!D2540</f>
        <v/>
      </c>
      <c r="E2540" s="22">
        <f>ItensPedido!E2540</f>
        <v/>
      </c>
      <c r="F2540" s="21">
        <f>IFERROR(INDEX(Pedidos!$B$2:$B$1801,MATCH(B2540,Pedidos!$A$2:$A$1801,0)),0)</f>
        <v/>
      </c>
      <c r="G2540" s="21">
        <f>IF(F2540=0,"",YEAR(F2540))</f>
        <v/>
      </c>
      <c r="H2540" s="21">
        <f>IF(F2540=0,"",MONTH(F2540))</f>
        <v/>
      </c>
      <c r="I2540" s="21">
        <f>IFERROR(INDEX(Pedidos!$E$2:$E$1801,MATCH(B2540,Pedidos!$A$2:$A$1801,0)),"")</f>
        <v/>
      </c>
      <c r="J2540" s="21">
        <f>IFERROR(INDEX(Pedidos!$C$2:$C$1801,MATCH(B2540,Pedidos!$A$2:$A$1801,0)),"")</f>
        <v/>
      </c>
      <c r="K2540" s="21">
        <f>IFERROR(INDEX(Pedidos!$D$2:$D$1801,MATCH(B2540,Pedidos!$A$2:$A$1801,0)),"")</f>
        <v/>
      </c>
      <c r="L2540" s="21">
        <f>IFERROR(INDEX(Pedidos!$F$2:$F$1801,MATCH(B2540,Pedidos!$A$2:$A$1801,0)),"")</f>
        <v/>
      </c>
      <c r="M2540" s="22">
        <f>IFERROR(INDEX(Pedidos!$G$2:$G$1801,MATCH(B2540,Pedidos!$A$2:$A$1801,0)),0)</f>
        <v/>
      </c>
      <c r="N2540" s="21">
        <f>IFERROR(INDEX(Produtos!$B$2:$B$71,MATCH(C2540,Produtos!$A$2:$A$71,0)),"")</f>
        <v/>
      </c>
      <c r="O2540" s="21">
        <f>IFERROR(INDEX(Produtos!$C$2:$C$71,MATCH(C2540,Produtos!$A$2:$A$71,0)),"")</f>
        <v/>
      </c>
      <c r="P2540" s="21">
        <f>IFERROR(INDEX(Produtos!$D$2:$D$71,MATCH(C2540,Produtos!$A$2:$A$71,0)),0)</f>
        <v/>
      </c>
      <c r="Q2540" s="21">
        <f>IFERROR(INDEX(Produtos!$E$2:$E$71,MATCH(C2540,Produtos!$A$2:$A$71,0)),0)</f>
        <v/>
      </c>
      <c r="R2540" s="23">
        <f>D2540*Q2540</f>
        <v/>
      </c>
      <c r="S2540" s="23">
        <f>R2540*E2540</f>
        <v/>
      </c>
      <c r="T2540" s="23">
        <f>(R2540-S2540)*M2540</f>
        <v/>
      </c>
      <c r="U2540" s="23">
        <f>R2540-S2540-T2540</f>
        <v/>
      </c>
      <c r="V2540" s="23">
        <f>D2540*P2540</f>
        <v/>
      </c>
      <c r="W2540" s="23">
        <f>U2540-V2540</f>
        <v/>
      </c>
      <c r="X2540" s="24">
        <f>IFERROR(W2540/U2540,0)</f>
        <v/>
      </c>
    </row>
    <row r="2541">
      <c r="A2541" s="25">
        <f>ItensPedido!A2541</f>
        <v/>
      </c>
      <c r="B2541" s="25">
        <f>ItensPedido!B2541</f>
        <v/>
      </c>
      <c r="C2541" s="25">
        <f>ItensPedido!C2541</f>
        <v/>
      </c>
      <c r="D2541" s="25">
        <f>ItensPedido!D2541</f>
        <v/>
      </c>
      <c r="E2541" s="26">
        <f>ItensPedido!E2541</f>
        <v/>
      </c>
      <c r="F2541" s="25">
        <f>IFERROR(INDEX(Pedidos!$B$2:$B$1801,MATCH(B2541,Pedidos!$A$2:$A$1801,0)),0)</f>
        <v/>
      </c>
      <c r="G2541" s="25">
        <f>IF(F2541=0,"",YEAR(F2541))</f>
        <v/>
      </c>
      <c r="H2541" s="25">
        <f>IF(F2541=0,"",MONTH(F2541))</f>
        <v/>
      </c>
      <c r="I2541" s="25">
        <f>IFERROR(INDEX(Pedidos!$E$2:$E$1801,MATCH(B2541,Pedidos!$A$2:$A$1801,0)),"")</f>
        <v/>
      </c>
      <c r="J2541" s="25">
        <f>IFERROR(INDEX(Pedidos!$C$2:$C$1801,MATCH(B2541,Pedidos!$A$2:$A$1801,0)),"")</f>
        <v/>
      </c>
      <c r="K2541" s="25">
        <f>IFERROR(INDEX(Pedidos!$D$2:$D$1801,MATCH(B2541,Pedidos!$A$2:$A$1801,0)),"")</f>
        <v/>
      </c>
      <c r="L2541" s="25">
        <f>IFERROR(INDEX(Pedidos!$F$2:$F$1801,MATCH(B2541,Pedidos!$A$2:$A$1801,0)),"")</f>
        <v/>
      </c>
      <c r="M2541" s="26">
        <f>IFERROR(INDEX(Pedidos!$G$2:$G$1801,MATCH(B2541,Pedidos!$A$2:$A$1801,0)),0)</f>
        <v/>
      </c>
      <c r="N2541" s="25">
        <f>IFERROR(INDEX(Produtos!$B$2:$B$71,MATCH(C2541,Produtos!$A$2:$A$71,0)),"")</f>
        <v/>
      </c>
      <c r="O2541" s="25">
        <f>IFERROR(INDEX(Produtos!$C$2:$C$71,MATCH(C2541,Produtos!$A$2:$A$71,0)),"")</f>
        <v/>
      </c>
      <c r="P2541" s="25">
        <f>IFERROR(INDEX(Produtos!$D$2:$D$71,MATCH(C2541,Produtos!$A$2:$A$71,0)),0)</f>
        <v/>
      </c>
      <c r="Q2541" s="25">
        <f>IFERROR(INDEX(Produtos!$E$2:$E$71,MATCH(C2541,Produtos!$A$2:$A$71,0)),0)</f>
        <v/>
      </c>
      <c r="R2541" s="27">
        <f>D2541*Q2541</f>
        <v/>
      </c>
      <c r="S2541" s="27">
        <f>R2541*E2541</f>
        <v/>
      </c>
      <c r="T2541" s="27">
        <f>(R2541-S2541)*M2541</f>
        <v/>
      </c>
      <c r="U2541" s="27">
        <f>R2541-S2541-T2541</f>
        <v/>
      </c>
      <c r="V2541" s="27">
        <f>D2541*P2541</f>
        <v/>
      </c>
      <c r="W2541" s="27">
        <f>U2541-V2541</f>
        <v/>
      </c>
      <c r="X2541" s="28">
        <f>IFERROR(W2541/U2541,0)</f>
        <v/>
      </c>
    </row>
    <row r="2542">
      <c r="A2542" s="21">
        <f>ItensPedido!A2542</f>
        <v/>
      </c>
      <c r="B2542" s="21">
        <f>ItensPedido!B2542</f>
        <v/>
      </c>
      <c r="C2542" s="21">
        <f>ItensPedido!C2542</f>
        <v/>
      </c>
      <c r="D2542" s="21">
        <f>ItensPedido!D2542</f>
        <v/>
      </c>
      <c r="E2542" s="22">
        <f>ItensPedido!E2542</f>
        <v/>
      </c>
      <c r="F2542" s="21">
        <f>IFERROR(INDEX(Pedidos!$B$2:$B$1801,MATCH(B2542,Pedidos!$A$2:$A$1801,0)),0)</f>
        <v/>
      </c>
      <c r="G2542" s="21">
        <f>IF(F2542=0,"",YEAR(F2542))</f>
        <v/>
      </c>
      <c r="H2542" s="21">
        <f>IF(F2542=0,"",MONTH(F2542))</f>
        <v/>
      </c>
      <c r="I2542" s="21">
        <f>IFERROR(INDEX(Pedidos!$E$2:$E$1801,MATCH(B2542,Pedidos!$A$2:$A$1801,0)),"")</f>
        <v/>
      </c>
      <c r="J2542" s="21">
        <f>IFERROR(INDEX(Pedidos!$C$2:$C$1801,MATCH(B2542,Pedidos!$A$2:$A$1801,0)),"")</f>
        <v/>
      </c>
      <c r="K2542" s="21">
        <f>IFERROR(INDEX(Pedidos!$D$2:$D$1801,MATCH(B2542,Pedidos!$A$2:$A$1801,0)),"")</f>
        <v/>
      </c>
      <c r="L2542" s="21">
        <f>IFERROR(INDEX(Pedidos!$F$2:$F$1801,MATCH(B2542,Pedidos!$A$2:$A$1801,0)),"")</f>
        <v/>
      </c>
      <c r="M2542" s="22">
        <f>IFERROR(INDEX(Pedidos!$G$2:$G$1801,MATCH(B2542,Pedidos!$A$2:$A$1801,0)),0)</f>
        <v/>
      </c>
      <c r="N2542" s="21">
        <f>IFERROR(INDEX(Produtos!$B$2:$B$71,MATCH(C2542,Produtos!$A$2:$A$71,0)),"")</f>
        <v/>
      </c>
      <c r="O2542" s="21">
        <f>IFERROR(INDEX(Produtos!$C$2:$C$71,MATCH(C2542,Produtos!$A$2:$A$71,0)),"")</f>
        <v/>
      </c>
      <c r="P2542" s="21">
        <f>IFERROR(INDEX(Produtos!$D$2:$D$71,MATCH(C2542,Produtos!$A$2:$A$71,0)),0)</f>
        <v/>
      </c>
      <c r="Q2542" s="21">
        <f>IFERROR(INDEX(Produtos!$E$2:$E$71,MATCH(C2542,Produtos!$A$2:$A$71,0)),0)</f>
        <v/>
      </c>
      <c r="R2542" s="23">
        <f>D2542*Q2542</f>
        <v/>
      </c>
      <c r="S2542" s="23">
        <f>R2542*E2542</f>
        <v/>
      </c>
      <c r="T2542" s="23">
        <f>(R2542-S2542)*M2542</f>
        <v/>
      </c>
      <c r="U2542" s="23">
        <f>R2542-S2542-T2542</f>
        <v/>
      </c>
      <c r="V2542" s="23">
        <f>D2542*P2542</f>
        <v/>
      </c>
      <c r="W2542" s="23">
        <f>U2542-V2542</f>
        <v/>
      </c>
      <c r="X2542" s="24">
        <f>IFERROR(W2542/U2542,0)</f>
        <v/>
      </c>
    </row>
    <row r="2543">
      <c r="A2543" s="25">
        <f>ItensPedido!A2543</f>
        <v/>
      </c>
      <c r="B2543" s="25">
        <f>ItensPedido!B2543</f>
        <v/>
      </c>
      <c r="C2543" s="25">
        <f>ItensPedido!C2543</f>
        <v/>
      </c>
      <c r="D2543" s="25">
        <f>ItensPedido!D2543</f>
        <v/>
      </c>
      <c r="E2543" s="26">
        <f>ItensPedido!E2543</f>
        <v/>
      </c>
      <c r="F2543" s="25">
        <f>IFERROR(INDEX(Pedidos!$B$2:$B$1801,MATCH(B2543,Pedidos!$A$2:$A$1801,0)),0)</f>
        <v/>
      </c>
      <c r="G2543" s="25">
        <f>IF(F2543=0,"",YEAR(F2543))</f>
        <v/>
      </c>
      <c r="H2543" s="25">
        <f>IF(F2543=0,"",MONTH(F2543))</f>
        <v/>
      </c>
      <c r="I2543" s="25">
        <f>IFERROR(INDEX(Pedidos!$E$2:$E$1801,MATCH(B2543,Pedidos!$A$2:$A$1801,0)),"")</f>
        <v/>
      </c>
      <c r="J2543" s="25">
        <f>IFERROR(INDEX(Pedidos!$C$2:$C$1801,MATCH(B2543,Pedidos!$A$2:$A$1801,0)),"")</f>
        <v/>
      </c>
      <c r="K2543" s="25">
        <f>IFERROR(INDEX(Pedidos!$D$2:$D$1801,MATCH(B2543,Pedidos!$A$2:$A$1801,0)),"")</f>
        <v/>
      </c>
      <c r="L2543" s="25">
        <f>IFERROR(INDEX(Pedidos!$F$2:$F$1801,MATCH(B2543,Pedidos!$A$2:$A$1801,0)),"")</f>
        <v/>
      </c>
      <c r="M2543" s="26">
        <f>IFERROR(INDEX(Pedidos!$G$2:$G$1801,MATCH(B2543,Pedidos!$A$2:$A$1801,0)),0)</f>
        <v/>
      </c>
      <c r="N2543" s="25">
        <f>IFERROR(INDEX(Produtos!$B$2:$B$71,MATCH(C2543,Produtos!$A$2:$A$71,0)),"")</f>
        <v/>
      </c>
      <c r="O2543" s="25">
        <f>IFERROR(INDEX(Produtos!$C$2:$C$71,MATCH(C2543,Produtos!$A$2:$A$71,0)),"")</f>
        <v/>
      </c>
      <c r="P2543" s="25">
        <f>IFERROR(INDEX(Produtos!$D$2:$D$71,MATCH(C2543,Produtos!$A$2:$A$71,0)),0)</f>
        <v/>
      </c>
      <c r="Q2543" s="25">
        <f>IFERROR(INDEX(Produtos!$E$2:$E$71,MATCH(C2543,Produtos!$A$2:$A$71,0)),0)</f>
        <v/>
      </c>
      <c r="R2543" s="27">
        <f>D2543*Q2543</f>
        <v/>
      </c>
      <c r="S2543" s="27">
        <f>R2543*E2543</f>
        <v/>
      </c>
      <c r="T2543" s="27">
        <f>(R2543-S2543)*M2543</f>
        <v/>
      </c>
      <c r="U2543" s="27">
        <f>R2543-S2543-T2543</f>
        <v/>
      </c>
      <c r="V2543" s="27">
        <f>D2543*P2543</f>
        <v/>
      </c>
      <c r="W2543" s="27">
        <f>U2543-V2543</f>
        <v/>
      </c>
      <c r="X2543" s="28">
        <f>IFERROR(W2543/U2543,0)</f>
        <v/>
      </c>
    </row>
    <row r="2544">
      <c r="A2544" s="21">
        <f>ItensPedido!A2544</f>
        <v/>
      </c>
      <c r="B2544" s="21">
        <f>ItensPedido!B2544</f>
        <v/>
      </c>
      <c r="C2544" s="21">
        <f>ItensPedido!C2544</f>
        <v/>
      </c>
      <c r="D2544" s="21">
        <f>ItensPedido!D2544</f>
        <v/>
      </c>
      <c r="E2544" s="22">
        <f>ItensPedido!E2544</f>
        <v/>
      </c>
      <c r="F2544" s="21">
        <f>IFERROR(INDEX(Pedidos!$B$2:$B$1801,MATCH(B2544,Pedidos!$A$2:$A$1801,0)),0)</f>
        <v/>
      </c>
      <c r="G2544" s="21">
        <f>IF(F2544=0,"",YEAR(F2544))</f>
        <v/>
      </c>
      <c r="H2544" s="21">
        <f>IF(F2544=0,"",MONTH(F2544))</f>
        <v/>
      </c>
      <c r="I2544" s="21">
        <f>IFERROR(INDEX(Pedidos!$E$2:$E$1801,MATCH(B2544,Pedidos!$A$2:$A$1801,0)),"")</f>
        <v/>
      </c>
      <c r="J2544" s="21">
        <f>IFERROR(INDEX(Pedidos!$C$2:$C$1801,MATCH(B2544,Pedidos!$A$2:$A$1801,0)),"")</f>
        <v/>
      </c>
      <c r="K2544" s="21">
        <f>IFERROR(INDEX(Pedidos!$D$2:$D$1801,MATCH(B2544,Pedidos!$A$2:$A$1801,0)),"")</f>
        <v/>
      </c>
      <c r="L2544" s="21">
        <f>IFERROR(INDEX(Pedidos!$F$2:$F$1801,MATCH(B2544,Pedidos!$A$2:$A$1801,0)),"")</f>
        <v/>
      </c>
      <c r="M2544" s="22">
        <f>IFERROR(INDEX(Pedidos!$G$2:$G$1801,MATCH(B2544,Pedidos!$A$2:$A$1801,0)),0)</f>
        <v/>
      </c>
      <c r="N2544" s="21">
        <f>IFERROR(INDEX(Produtos!$B$2:$B$71,MATCH(C2544,Produtos!$A$2:$A$71,0)),"")</f>
        <v/>
      </c>
      <c r="O2544" s="21">
        <f>IFERROR(INDEX(Produtos!$C$2:$C$71,MATCH(C2544,Produtos!$A$2:$A$71,0)),"")</f>
        <v/>
      </c>
      <c r="P2544" s="21">
        <f>IFERROR(INDEX(Produtos!$D$2:$D$71,MATCH(C2544,Produtos!$A$2:$A$71,0)),0)</f>
        <v/>
      </c>
      <c r="Q2544" s="21">
        <f>IFERROR(INDEX(Produtos!$E$2:$E$71,MATCH(C2544,Produtos!$A$2:$A$71,0)),0)</f>
        <v/>
      </c>
      <c r="R2544" s="23">
        <f>D2544*Q2544</f>
        <v/>
      </c>
      <c r="S2544" s="23">
        <f>R2544*E2544</f>
        <v/>
      </c>
      <c r="T2544" s="23">
        <f>(R2544-S2544)*M2544</f>
        <v/>
      </c>
      <c r="U2544" s="23">
        <f>R2544-S2544-T2544</f>
        <v/>
      </c>
      <c r="V2544" s="23">
        <f>D2544*P2544</f>
        <v/>
      </c>
      <c r="W2544" s="23">
        <f>U2544-V2544</f>
        <v/>
      </c>
      <c r="X2544" s="24">
        <f>IFERROR(W2544/U2544,0)</f>
        <v/>
      </c>
    </row>
    <row r="2545">
      <c r="A2545" s="25">
        <f>ItensPedido!A2545</f>
        <v/>
      </c>
      <c r="B2545" s="25">
        <f>ItensPedido!B2545</f>
        <v/>
      </c>
      <c r="C2545" s="25">
        <f>ItensPedido!C2545</f>
        <v/>
      </c>
      <c r="D2545" s="25">
        <f>ItensPedido!D2545</f>
        <v/>
      </c>
      <c r="E2545" s="26">
        <f>ItensPedido!E2545</f>
        <v/>
      </c>
      <c r="F2545" s="25">
        <f>IFERROR(INDEX(Pedidos!$B$2:$B$1801,MATCH(B2545,Pedidos!$A$2:$A$1801,0)),0)</f>
        <v/>
      </c>
      <c r="G2545" s="25">
        <f>IF(F2545=0,"",YEAR(F2545))</f>
        <v/>
      </c>
      <c r="H2545" s="25">
        <f>IF(F2545=0,"",MONTH(F2545))</f>
        <v/>
      </c>
      <c r="I2545" s="25">
        <f>IFERROR(INDEX(Pedidos!$E$2:$E$1801,MATCH(B2545,Pedidos!$A$2:$A$1801,0)),"")</f>
        <v/>
      </c>
      <c r="J2545" s="25">
        <f>IFERROR(INDEX(Pedidos!$C$2:$C$1801,MATCH(B2545,Pedidos!$A$2:$A$1801,0)),"")</f>
        <v/>
      </c>
      <c r="K2545" s="25">
        <f>IFERROR(INDEX(Pedidos!$D$2:$D$1801,MATCH(B2545,Pedidos!$A$2:$A$1801,0)),"")</f>
        <v/>
      </c>
      <c r="L2545" s="25">
        <f>IFERROR(INDEX(Pedidos!$F$2:$F$1801,MATCH(B2545,Pedidos!$A$2:$A$1801,0)),"")</f>
        <v/>
      </c>
      <c r="M2545" s="26">
        <f>IFERROR(INDEX(Pedidos!$G$2:$G$1801,MATCH(B2545,Pedidos!$A$2:$A$1801,0)),0)</f>
        <v/>
      </c>
      <c r="N2545" s="25">
        <f>IFERROR(INDEX(Produtos!$B$2:$B$71,MATCH(C2545,Produtos!$A$2:$A$71,0)),"")</f>
        <v/>
      </c>
      <c r="O2545" s="25">
        <f>IFERROR(INDEX(Produtos!$C$2:$C$71,MATCH(C2545,Produtos!$A$2:$A$71,0)),"")</f>
        <v/>
      </c>
      <c r="P2545" s="25">
        <f>IFERROR(INDEX(Produtos!$D$2:$D$71,MATCH(C2545,Produtos!$A$2:$A$71,0)),0)</f>
        <v/>
      </c>
      <c r="Q2545" s="25">
        <f>IFERROR(INDEX(Produtos!$E$2:$E$71,MATCH(C2545,Produtos!$A$2:$A$71,0)),0)</f>
        <v/>
      </c>
      <c r="R2545" s="27">
        <f>D2545*Q2545</f>
        <v/>
      </c>
      <c r="S2545" s="27">
        <f>R2545*E2545</f>
        <v/>
      </c>
      <c r="T2545" s="27">
        <f>(R2545-S2545)*M2545</f>
        <v/>
      </c>
      <c r="U2545" s="27">
        <f>R2545-S2545-T2545</f>
        <v/>
      </c>
      <c r="V2545" s="27">
        <f>D2545*P2545</f>
        <v/>
      </c>
      <c r="W2545" s="27">
        <f>U2545-V2545</f>
        <v/>
      </c>
      <c r="X2545" s="28">
        <f>IFERROR(W2545/U2545,0)</f>
        <v/>
      </c>
    </row>
    <row r="2546">
      <c r="A2546" s="21">
        <f>ItensPedido!A2546</f>
        <v/>
      </c>
      <c r="B2546" s="21">
        <f>ItensPedido!B2546</f>
        <v/>
      </c>
      <c r="C2546" s="21">
        <f>ItensPedido!C2546</f>
        <v/>
      </c>
      <c r="D2546" s="21">
        <f>ItensPedido!D2546</f>
        <v/>
      </c>
      <c r="E2546" s="22">
        <f>ItensPedido!E2546</f>
        <v/>
      </c>
      <c r="F2546" s="21">
        <f>IFERROR(INDEX(Pedidos!$B$2:$B$1801,MATCH(B2546,Pedidos!$A$2:$A$1801,0)),0)</f>
        <v/>
      </c>
      <c r="G2546" s="21">
        <f>IF(F2546=0,"",YEAR(F2546))</f>
        <v/>
      </c>
      <c r="H2546" s="21">
        <f>IF(F2546=0,"",MONTH(F2546))</f>
        <v/>
      </c>
      <c r="I2546" s="21">
        <f>IFERROR(INDEX(Pedidos!$E$2:$E$1801,MATCH(B2546,Pedidos!$A$2:$A$1801,0)),"")</f>
        <v/>
      </c>
      <c r="J2546" s="21">
        <f>IFERROR(INDEX(Pedidos!$C$2:$C$1801,MATCH(B2546,Pedidos!$A$2:$A$1801,0)),"")</f>
        <v/>
      </c>
      <c r="K2546" s="21">
        <f>IFERROR(INDEX(Pedidos!$D$2:$D$1801,MATCH(B2546,Pedidos!$A$2:$A$1801,0)),"")</f>
        <v/>
      </c>
      <c r="L2546" s="21">
        <f>IFERROR(INDEX(Pedidos!$F$2:$F$1801,MATCH(B2546,Pedidos!$A$2:$A$1801,0)),"")</f>
        <v/>
      </c>
      <c r="M2546" s="22">
        <f>IFERROR(INDEX(Pedidos!$G$2:$G$1801,MATCH(B2546,Pedidos!$A$2:$A$1801,0)),0)</f>
        <v/>
      </c>
      <c r="N2546" s="21">
        <f>IFERROR(INDEX(Produtos!$B$2:$B$71,MATCH(C2546,Produtos!$A$2:$A$71,0)),"")</f>
        <v/>
      </c>
      <c r="O2546" s="21">
        <f>IFERROR(INDEX(Produtos!$C$2:$C$71,MATCH(C2546,Produtos!$A$2:$A$71,0)),"")</f>
        <v/>
      </c>
      <c r="P2546" s="21">
        <f>IFERROR(INDEX(Produtos!$D$2:$D$71,MATCH(C2546,Produtos!$A$2:$A$71,0)),0)</f>
        <v/>
      </c>
      <c r="Q2546" s="21">
        <f>IFERROR(INDEX(Produtos!$E$2:$E$71,MATCH(C2546,Produtos!$A$2:$A$71,0)),0)</f>
        <v/>
      </c>
      <c r="R2546" s="23">
        <f>D2546*Q2546</f>
        <v/>
      </c>
      <c r="S2546" s="23">
        <f>R2546*E2546</f>
        <v/>
      </c>
      <c r="T2546" s="23">
        <f>(R2546-S2546)*M2546</f>
        <v/>
      </c>
      <c r="U2546" s="23">
        <f>R2546-S2546-T2546</f>
        <v/>
      </c>
      <c r="V2546" s="23">
        <f>D2546*P2546</f>
        <v/>
      </c>
      <c r="W2546" s="23">
        <f>U2546-V2546</f>
        <v/>
      </c>
      <c r="X2546" s="24">
        <f>IFERROR(W2546/U2546,0)</f>
        <v/>
      </c>
    </row>
    <row r="2547">
      <c r="A2547" s="25">
        <f>ItensPedido!A2547</f>
        <v/>
      </c>
      <c r="B2547" s="25">
        <f>ItensPedido!B2547</f>
        <v/>
      </c>
      <c r="C2547" s="25">
        <f>ItensPedido!C2547</f>
        <v/>
      </c>
      <c r="D2547" s="25">
        <f>ItensPedido!D2547</f>
        <v/>
      </c>
      <c r="E2547" s="26">
        <f>ItensPedido!E2547</f>
        <v/>
      </c>
      <c r="F2547" s="25">
        <f>IFERROR(INDEX(Pedidos!$B$2:$B$1801,MATCH(B2547,Pedidos!$A$2:$A$1801,0)),0)</f>
        <v/>
      </c>
      <c r="G2547" s="25">
        <f>IF(F2547=0,"",YEAR(F2547))</f>
        <v/>
      </c>
      <c r="H2547" s="25">
        <f>IF(F2547=0,"",MONTH(F2547))</f>
        <v/>
      </c>
      <c r="I2547" s="25">
        <f>IFERROR(INDEX(Pedidos!$E$2:$E$1801,MATCH(B2547,Pedidos!$A$2:$A$1801,0)),"")</f>
        <v/>
      </c>
      <c r="J2547" s="25">
        <f>IFERROR(INDEX(Pedidos!$C$2:$C$1801,MATCH(B2547,Pedidos!$A$2:$A$1801,0)),"")</f>
        <v/>
      </c>
      <c r="K2547" s="25">
        <f>IFERROR(INDEX(Pedidos!$D$2:$D$1801,MATCH(B2547,Pedidos!$A$2:$A$1801,0)),"")</f>
        <v/>
      </c>
      <c r="L2547" s="25">
        <f>IFERROR(INDEX(Pedidos!$F$2:$F$1801,MATCH(B2547,Pedidos!$A$2:$A$1801,0)),"")</f>
        <v/>
      </c>
      <c r="M2547" s="26">
        <f>IFERROR(INDEX(Pedidos!$G$2:$G$1801,MATCH(B2547,Pedidos!$A$2:$A$1801,0)),0)</f>
        <v/>
      </c>
      <c r="N2547" s="25">
        <f>IFERROR(INDEX(Produtos!$B$2:$B$71,MATCH(C2547,Produtos!$A$2:$A$71,0)),"")</f>
        <v/>
      </c>
      <c r="O2547" s="25">
        <f>IFERROR(INDEX(Produtos!$C$2:$C$71,MATCH(C2547,Produtos!$A$2:$A$71,0)),"")</f>
        <v/>
      </c>
      <c r="P2547" s="25">
        <f>IFERROR(INDEX(Produtos!$D$2:$D$71,MATCH(C2547,Produtos!$A$2:$A$71,0)),0)</f>
        <v/>
      </c>
      <c r="Q2547" s="25">
        <f>IFERROR(INDEX(Produtos!$E$2:$E$71,MATCH(C2547,Produtos!$A$2:$A$71,0)),0)</f>
        <v/>
      </c>
      <c r="R2547" s="27">
        <f>D2547*Q2547</f>
        <v/>
      </c>
      <c r="S2547" s="27">
        <f>R2547*E2547</f>
        <v/>
      </c>
      <c r="T2547" s="27">
        <f>(R2547-S2547)*M2547</f>
        <v/>
      </c>
      <c r="U2547" s="27">
        <f>R2547-S2547-T2547</f>
        <v/>
      </c>
      <c r="V2547" s="27">
        <f>D2547*P2547</f>
        <v/>
      </c>
      <c r="W2547" s="27">
        <f>U2547-V2547</f>
        <v/>
      </c>
      <c r="X2547" s="28">
        <f>IFERROR(W2547/U2547,0)</f>
        <v/>
      </c>
    </row>
    <row r="2548">
      <c r="A2548" s="21">
        <f>ItensPedido!A2548</f>
        <v/>
      </c>
      <c r="B2548" s="21">
        <f>ItensPedido!B2548</f>
        <v/>
      </c>
      <c r="C2548" s="21">
        <f>ItensPedido!C2548</f>
        <v/>
      </c>
      <c r="D2548" s="21">
        <f>ItensPedido!D2548</f>
        <v/>
      </c>
      <c r="E2548" s="22">
        <f>ItensPedido!E2548</f>
        <v/>
      </c>
      <c r="F2548" s="21">
        <f>IFERROR(INDEX(Pedidos!$B$2:$B$1801,MATCH(B2548,Pedidos!$A$2:$A$1801,0)),0)</f>
        <v/>
      </c>
      <c r="G2548" s="21">
        <f>IF(F2548=0,"",YEAR(F2548))</f>
        <v/>
      </c>
      <c r="H2548" s="21">
        <f>IF(F2548=0,"",MONTH(F2548))</f>
        <v/>
      </c>
      <c r="I2548" s="21">
        <f>IFERROR(INDEX(Pedidos!$E$2:$E$1801,MATCH(B2548,Pedidos!$A$2:$A$1801,0)),"")</f>
        <v/>
      </c>
      <c r="J2548" s="21">
        <f>IFERROR(INDEX(Pedidos!$C$2:$C$1801,MATCH(B2548,Pedidos!$A$2:$A$1801,0)),"")</f>
        <v/>
      </c>
      <c r="K2548" s="21">
        <f>IFERROR(INDEX(Pedidos!$D$2:$D$1801,MATCH(B2548,Pedidos!$A$2:$A$1801,0)),"")</f>
        <v/>
      </c>
      <c r="L2548" s="21">
        <f>IFERROR(INDEX(Pedidos!$F$2:$F$1801,MATCH(B2548,Pedidos!$A$2:$A$1801,0)),"")</f>
        <v/>
      </c>
      <c r="M2548" s="22">
        <f>IFERROR(INDEX(Pedidos!$G$2:$G$1801,MATCH(B2548,Pedidos!$A$2:$A$1801,0)),0)</f>
        <v/>
      </c>
      <c r="N2548" s="21">
        <f>IFERROR(INDEX(Produtos!$B$2:$B$71,MATCH(C2548,Produtos!$A$2:$A$71,0)),"")</f>
        <v/>
      </c>
      <c r="O2548" s="21">
        <f>IFERROR(INDEX(Produtos!$C$2:$C$71,MATCH(C2548,Produtos!$A$2:$A$71,0)),"")</f>
        <v/>
      </c>
      <c r="P2548" s="21">
        <f>IFERROR(INDEX(Produtos!$D$2:$D$71,MATCH(C2548,Produtos!$A$2:$A$71,0)),0)</f>
        <v/>
      </c>
      <c r="Q2548" s="21">
        <f>IFERROR(INDEX(Produtos!$E$2:$E$71,MATCH(C2548,Produtos!$A$2:$A$71,0)),0)</f>
        <v/>
      </c>
      <c r="R2548" s="23">
        <f>D2548*Q2548</f>
        <v/>
      </c>
      <c r="S2548" s="23">
        <f>R2548*E2548</f>
        <v/>
      </c>
      <c r="T2548" s="23">
        <f>(R2548-S2548)*M2548</f>
        <v/>
      </c>
      <c r="U2548" s="23">
        <f>R2548-S2548-T2548</f>
        <v/>
      </c>
      <c r="V2548" s="23">
        <f>D2548*P2548</f>
        <v/>
      </c>
      <c r="W2548" s="23">
        <f>U2548-V2548</f>
        <v/>
      </c>
      <c r="X2548" s="24">
        <f>IFERROR(W2548/U2548,0)</f>
        <v/>
      </c>
    </row>
    <row r="2549">
      <c r="A2549" s="25">
        <f>ItensPedido!A2549</f>
        <v/>
      </c>
      <c r="B2549" s="25">
        <f>ItensPedido!B2549</f>
        <v/>
      </c>
      <c r="C2549" s="25">
        <f>ItensPedido!C2549</f>
        <v/>
      </c>
      <c r="D2549" s="25">
        <f>ItensPedido!D2549</f>
        <v/>
      </c>
      <c r="E2549" s="26">
        <f>ItensPedido!E2549</f>
        <v/>
      </c>
      <c r="F2549" s="25">
        <f>IFERROR(INDEX(Pedidos!$B$2:$B$1801,MATCH(B2549,Pedidos!$A$2:$A$1801,0)),0)</f>
        <v/>
      </c>
      <c r="G2549" s="25">
        <f>IF(F2549=0,"",YEAR(F2549))</f>
        <v/>
      </c>
      <c r="H2549" s="25">
        <f>IF(F2549=0,"",MONTH(F2549))</f>
        <v/>
      </c>
      <c r="I2549" s="25">
        <f>IFERROR(INDEX(Pedidos!$E$2:$E$1801,MATCH(B2549,Pedidos!$A$2:$A$1801,0)),"")</f>
        <v/>
      </c>
      <c r="J2549" s="25">
        <f>IFERROR(INDEX(Pedidos!$C$2:$C$1801,MATCH(B2549,Pedidos!$A$2:$A$1801,0)),"")</f>
        <v/>
      </c>
      <c r="K2549" s="25">
        <f>IFERROR(INDEX(Pedidos!$D$2:$D$1801,MATCH(B2549,Pedidos!$A$2:$A$1801,0)),"")</f>
        <v/>
      </c>
      <c r="L2549" s="25">
        <f>IFERROR(INDEX(Pedidos!$F$2:$F$1801,MATCH(B2549,Pedidos!$A$2:$A$1801,0)),"")</f>
        <v/>
      </c>
      <c r="M2549" s="26">
        <f>IFERROR(INDEX(Pedidos!$G$2:$G$1801,MATCH(B2549,Pedidos!$A$2:$A$1801,0)),0)</f>
        <v/>
      </c>
      <c r="N2549" s="25">
        <f>IFERROR(INDEX(Produtos!$B$2:$B$71,MATCH(C2549,Produtos!$A$2:$A$71,0)),"")</f>
        <v/>
      </c>
      <c r="O2549" s="25">
        <f>IFERROR(INDEX(Produtos!$C$2:$C$71,MATCH(C2549,Produtos!$A$2:$A$71,0)),"")</f>
        <v/>
      </c>
      <c r="P2549" s="25">
        <f>IFERROR(INDEX(Produtos!$D$2:$D$71,MATCH(C2549,Produtos!$A$2:$A$71,0)),0)</f>
        <v/>
      </c>
      <c r="Q2549" s="25">
        <f>IFERROR(INDEX(Produtos!$E$2:$E$71,MATCH(C2549,Produtos!$A$2:$A$71,0)),0)</f>
        <v/>
      </c>
      <c r="R2549" s="27">
        <f>D2549*Q2549</f>
        <v/>
      </c>
      <c r="S2549" s="27">
        <f>R2549*E2549</f>
        <v/>
      </c>
      <c r="T2549" s="27">
        <f>(R2549-S2549)*M2549</f>
        <v/>
      </c>
      <c r="U2549" s="27">
        <f>R2549-S2549-T2549</f>
        <v/>
      </c>
      <c r="V2549" s="27">
        <f>D2549*P2549</f>
        <v/>
      </c>
      <c r="W2549" s="27">
        <f>U2549-V2549</f>
        <v/>
      </c>
      <c r="X2549" s="28">
        <f>IFERROR(W2549/U2549,0)</f>
        <v/>
      </c>
    </row>
    <row r="2550">
      <c r="A2550" s="21">
        <f>ItensPedido!A2550</f>
        <v/>
      </c>
      <c r="B2550" s="21">
        <f>ItensPedido!B2550</f>
        <v/>
      </c>
      <c r="C2550" s="21">
        <f>ItensPedido!C2550</f>
        <v/>
      </c>
      <c r="D2550" s="21">
        <f>ItensPedido!D2550</f>
        <v/>
      </c>
      <c r="E2550" s="22">
        <f>ItensPedido!E2550</f>
        <v/>
      </c>
      <c r="F2550" s="21">
        <f>IFERROR(INDEX(Pedidos!$B$2:$B$1801,MATCH(B2550,Pedidos!$A$2:$A$1801,0)),0)</f>
        <v/>
      </c>
      <c r="G2550" s="21">
        <f>IF(F2550=0,"",YEAR(F2550))</f>
        <v/>
      </c>
      <c r="H2550" s="21">
        <f>IF(F2550=0,"",MONTH(F2550))</f>
        <v/>
      </c>
      <c r="I2550" s="21">
        <f>IFERROR(INDEX(Pedidos!$E$2:$E$1801,MATCH(B2550,Pedidos!$A$2:$A$1801,0)),"")</f>
        <v/>
      </c>
      <c r="J2550" s="21">
        <f>IFERROR(INDEX(Pedidos!$C$2:$C$1801,MATCH(B2550,Pedidos!$A$2:$A$1801,0)),"")</f>
        <v/>
      </c>
      <c r="K2550" s="21">
        <f>IFERROR(INDEX(Pedidos!$D$2:$D$1801,MATCH(B2550,Pedidos!$A$2:$A$1801,0)),"")</f>
        <v/>
      </c>
      <c r="L2550" s="21">
        <f>IFERROR(INDEX(Pedidos!$F$2:$F$1801,MATCH(B2550,Pedidos!$A$2:$A$1801,0)),"")</f>
        <v/>
      </c>
      <c r="M2550" s="22">
        <f>IFERROR(INDEX(Pedidos!$G$2:$G$1801,MATCH(B2550,Pedidos!$A$2:$A$1801,0)),0)</f>
        <v/>
      </c>
      <c r="N2550" s="21">
        <f>IFERROR(INDEX(Produtos!$B$2:$B$71,MATCH(C2550,Produtos!$A$2:$A$71,0)),"")</f>
        <v/>
      </c>
      <c r="O2550" s="21">
        <f>IFERROR(INDEX(Produtos!$C$2:$C$71,MATCH(C2550,Produtos!$A$2:$A$71,0)),"")</f>
        <v/>
      </c>
      <c r="P2550" s="21">
        <f>IFERROR(INDEX(Produtos!$D$2:$D$71,MATCH(C2550,Produtos!$A$2:$A$71,0)),0)</f>
        <v/>
      </c>
      <c r="Q2550" s="21">
        <f>IFERROR(INDEX(Produtos!$E$2:$E$71,MATCH(C2550,Produtos!$A$2:$A$71,0)),0)</f>
        <v/>
      </c>
      <c r="R2550" s="23">
        <f>D2550*Q2550</f>
        <v/>
      </c>
      <c r="S2550" s="23">
        <f>R2550*E2550</f>
        <v/>
      </c>
      <c r="T2550" s="23">
        <f>(R2550-S2550)*M2550</f>
        <v/>
      </c>
      <c r="U2550" s="23">
        <f>R2550-S2550-T2550</f>
        <v/>
      </c>
      <c r="V2550" s="23">
        <f>D2550*P2550</f>
        <v/>
      </c>
      <c r="W2550" s="23">
        <f>U2550-V2550</f>
        <v/>
      </c>
      <c r="X2550" s="24">
        <f>IFERROR(W2550/U2550,0)</f>
        <v/>
      </c>
    </row>
    <row r="2551">
      <c r="A2551" s="25">
        <f>ItensPedido!A2551</f>
        <v/>
      </c>
      <c r="B2551" s="25">
        <f>ItensPedido!B2551</f>
        <v/>
      </c>
      <c r="C2551" s="25">
        <f>ItensPedido!C2551</f>
        <v/>
      </c>
      <c r="D2551" s="25">
        <f>ItensPedido!D2551</f>
        <v/>
      </c>
      <c r="E2551" s="26">
        <f>ItensPedido!E2551</f>
        <v/>
      </c>
      <c r="F2551" s="25">
        <f>IFERROR(INDEX(Pedidos!$B$2:$B$1801,MATCH(B2551,Pedidos!$A$2:$A$1801,0)),0)</f>
        <v/>
      </c>
      <c r="G2551" s="25">
        <f>IF(F2551=0,"",YEAR(F2551))</f>
        <v/>
      </c>
      <c r="H2551" s="25">
        <f>IF(F2551=0,"",MONTH(F2551))</f>
        <v/>
      </c>
      <c r="I2551" s="25">
        <f>IFERROR(INDEX(Pedidos!$E$2:$E$1801,MATCH(B2551,Pedidos!$A$2:$A$1801,0)),"")</f>
        <v/>
      </c>
      <c r="J2551" s="25">
        <f>IFERROR(INDEX(Pedidos!$C$2:$C$1801,MATCH(B2551,Pedidos!$A$2:$A$1801,0)),"")</f>
        <v/>
      </c>
      <c r="K2551" s="25">
        <f>IFERROR(INDEX(Pedidos!$D$2:$D$1801,MATCH(B2551,Pedidos!$A$2:$A$1801,0)),"")</f>
        <v/>
      </c>
      <c r="L2551" s="25">
        <f>IFERROR(INDEX(Pedidos!$F$2:$F$1801,MATCH(B2551,Pedidos!$A$2:$A$1801,0)),"")</f>
        <v/>
      </c>
      <c r="M2551" s="26">
        <f>IFERROR(INDEX(Pedidos!$G$2:$G$1801,MATCH(B2551,Pedidos!$A$2:$A$1801,0)),0)</f>
        <v/>
      </c>
      <c r="N2551" s="25">
        <f>IFERROR(INDEX(Produtos!$B$2:$B$71,MATCH(C2551,Produtos!$A$2:$A$71,0)),"")</f>
        <v/>
      </c>
      <c r="O2551" s="25">
        <f>IFERROR(INDEX(Produtos!$C$2:$C$71,MATCH(C2551,Produtos!$A$2:$A$71,0)),"")</f>
        <v/>
      </c>
      <c r="P2551" s="25">
        <f>IFERROR(INDEX(Produtos!$D$2:$D$71,MATCH(C2551,Produtos!$A$2:$A$71,0)),0)</f>
        <v/>
      </c>
      <c r="Q2551" s="25">
        <f>IFERROR(INDEX(Produtos!$E$2:$E$71,MATCH(C2551,Produtos!$A$2:$A$71,0)),0)</f>
        <v/>
      </c>
      <c r="R2551" s="27">
        <f>D2551*Q2551</f>
        <v/>
      </c>
      <c r="S2551" s="27">
        <f>R2551*E2551</f>
        <v/>
      </c>
      <c r="T2551" s="27">
        <f>(R2551-S2551)*M2551</f>
        <v/>
      </c>
      <c r="U2551" s="27">
        <f>R2551-S2551-T2551</f>
        <v/>
      </c>
      <c r="V2551" s="27">
        <f>D2551*P2551</f>
        <v/>
      </c>
      <c r="W2551" s="27">
        <f>U2551-V2551</f>
        <v/>
      </c>
      <c r="X2551" s="28">
        <f>IFERROR(W2551/U2551,0)</f>
        <v/>
      </c>
    </row>
    <row r="2552">
      <c r="A2552" s="21">
        <f>ItensPedido!A2552</f>
        <v/>
      </c>
      <c r="B2552" s="21">
        <f>ItensPedido!B2552</f>
        <v/>
      </c>
      <c r="C2552" s="21">
        <f>ItensPedido!C2552</f>
        <v/>
      </c>
      <c r="D2552" s="21">
        <f>ItensPedido!D2552</f>
        <v/>
      </c>
      <c r="E2552" s="22">
        <f>ItensPedido!E2552</f>
        <v/>
      </c>
      <c r="F2552" s="21">
        <f>IFERROR(INDEX(Pedidos!$B$2:$B$1801,MATCH(B2552,Pedidos!$A$2:$A$1801,0)),0)</f>
        <v/>
      </c>
      <c r="G2552" s="21">
        <f>IF(F2552=0,"",YEAR(F2552))</f>
        <v/>
      </c>
      <c r="H2552" s="21">
        <f>IF(F2552=0,"",MONTH(F2552))</f>
        <v/>
      </c>
      <c r="I2552" s="21">
        <f>IFERROR(INDEX(Pedidos!$E$2:$E$1801,MATCH(B2552,Pedidos!$A$2:$A$1801,0)),"")</f>
        <v/>
      </c>
      <c r="J2552" s="21">
        <f>IFERROR(INDEX(Pedidos!$C$2:$C$1801,MATCH(B2552,Pedidos!$A$2:$A$1801,0)),"")</f>
        <v/>
      </c>
      <c r="K2552" s="21">
        <f>IFERROR(INDEX(Pedidos!$D$2:$D$1801,MATCH(B2552,Pedidos!$A$2:$A$1801,0)),"")</f>
        <v/>
      </c>
      <c r="L2552" s="21">
        <f>IFERROR(INDEX(Pedidos!$F$2:$F$1801,MATCH(B2552,Pedidos!$A$2:$A$1801,0)),"")</f>
        <v/>
      </c>
      <c r="M2552" s="22">
        <f>IFERROR(INDEX(Pedidos!$G$2:$G$1801,MATCH(B2552,Pedidos!$A$2:$A$1801,0)),0)</f>
        <v/>
      </c>
      <c r="N2552" s="21">
        <f>IFERROR(INDEX(Produtos!$B$2:$B$71,MATCH(C2552,Produtos!$A$2:$A$71,0)),"")</f>
        <v/>
      </c>
      <c r="O2552" s="21">
        <f>IFERROR(INDEX(Produtos!$C$2:$C$71,MATCH(C2552,Produtos!$A$2:$A$71,0)),"")</f>
        <v/>
      </c>
      <c r="P2552" s="21">
        <f>IFERROR(INDEX(Produtos!$D$2:$D$71,MATCH(C2552,Produtos!$A$2:$A$71,0)),0)</f>
        <v/>
      </c>
      <c r="Q2552" s="21">
        <f>IFERROR(INDEX(Produtos!$E$2:$E$71,MATCH(C2552,Produtos!$A$2:$A$71,0)),0)</f>
        <v/>
      </c>
      <c r="R2552" s="23">
        <f>D2552*Q2552</f>
        <v/>
      </c>
      <c r="S2552" s="23">
        <f>R2552*E2552</f>
        <v/>
      </c>
      <c r="T2552" s="23">
        <f>(R2552-S2552)*M2552</f>
        <v/>
      </c>
      <c r="U2552" s="23">
        <f>R2552-S2552-T2552</f>
        <v/>
      </c>
      <c r="V2552" s="23">
        <f>D2552*P2552</f>
        <v/>
      </c>
      <c r="W2552" s="23">
        <f>U2552-V2552</f>
        <v/>
      </c>
      <c r="X2552" s="24">
        <f>IFERROR(W2552/U2552,0)</f>
        <v/>
      </c>
    </row>
    <row r="2553">
      <c r="A2553" s="25">
        <f>ItensPedido!A2553</f>
        <v/>
      </c>
      <c r="B2553" s="25">
        <f>ItensPedido!B2553</f>
        <v/>
      </c>
      <c r="C2553" s="25">
        <f>ItensPedido!C2553</f>
        <v/>
      </c>
      <c r="D2553" s="25">
        <f>ItensPedido!D2553</f>
        <v/>
      </c>
      <c r="E2553" s="26">
        <f>ItensPedido!E2553</f>
        <v/>
      </c>
      <c r="F2553" s="25">
        <f>IFERROR(INDEX(Pedidos!$B$2:$B$1801,MATCH(B2553,Pedidos!$A$2:$A$1801,0)),0)</f>
        <v/>
      </c>
      <c r="G2553" s="25">
        <f>IF(F2553=0,"",YEAR(F2553))</f>
        <v/>
      </c>
      <c r="H2553" s="25">
        <f>IF(F2553=0,"",MONTH(F2553))</f>
        <v/>
      </c>
      <c r="I2553" s="25">
        <f>IFERROR(INDEX(Pedidos!$E$2:$E$1801,MATCH(B2553,Pedidos!$A$2:$A$1801,0)),"")</f>
        <v/>
      </c>
      <c r="J2553" s="25">
        <f>IFERROR(INDEX(Pedidos!$C$2:$C$1801,MATCH(B2553,Pedidos!$A$2:$A$1801,0)),"")</f>
        <v/>
      </c>
      <c r="K2553" s="25">
        <f>IFERROR(INDEX(Pedidos!$D$2:$D$1801,MATCH(B2553,Pedidos!$A$2:$A$1801,0)),"")</f>
        <v/>
      </c>
      <c r="L2553" s="25">
        <f>IFERROR(INDEX(Pedidos!$F$2:$F$1801,MATCH(B2553,Pedidos!$A$2:$A$1801,0)),"")</f>
        <v/>
      </c>
      <c r="M2553" s="26">
        <f>IFERROR(INDEX(Pedidos!$G$2:$G$1801,MATCH(B2553,Pedidos!$A$2:$A$1801,0)),0)</f>
        <v/>
      </c>
      <c r="N2553" s="25">
        <f>IFERROR(INDEX(Produtos!$B$2:$B$71,MATCH(C2553,Produtos!$A$2:$A$71,0)),"")</f>
        <v/>
      </c>
      <c r="O2553" s="25">
        <f>IFERROR(INDEX(Produtos!$C$2:$C$71,MATCH(C2553,Produtos!$A$2:$A$71,0)),"")</f>
        <v/>
      </c>
      <c r="P2553" s="25">
        <f>IFERROR(INDEX(Produtos!$D$2:$D$71,MATCH(C2553,Produtos!$A$2:$A$71,0)),0)</f>
        <v/>
      </c>
      <c r="Q2553" s="25">
        <f>IFERROR(INDEX(Produtos!$E$2:$E$71,MATCH(C2553,Produtos!$A$2:$A$71,0)),0)</f>
        <v/>
      </c>
      <c r="R2553" s="27">
        <f>D2553*Q2553</f>
        <v/>
      </c>
      <c r="S2553" s="27">
        <f>R2553*E2553</f>
        <v/>
      </c>
      <c r="T2553" s="27">
        <f>(R2553-S2553)*M2553</f>
        <v/>
      </c>
      <c r="U2553" s="27">
        <f>R2553-S2553-T2553</f>
        <v/>
      </c>
      <c r="V2553" s="27">
        <f>D2553*P2553</f>
        <v/>
      </c>
      <c r="W2553" s="27">
        <f>U2553-V2553</f>
        <v/>
      </c>
      <c r="X2553" s="28">
        <f>IFERROR(W2553/U2553,0)</f>
        <v/>
      </c>
    </row>
    <row r="2554">
      <c r="A2554" s="21">
        <f>ItensPedido!A2554</f>
        <v/>
      </c>
      <c r="B2554" s="21">
        <f>ItensPedido!B2554</f>
        <v/>
      </c>
      <c r="C2554" s="21">
        <f>ItensPedido!C2554</f>
        <v/>
      </c>
      <c r="D2554" s="21">
        <f>ItensPedido!D2554</f>
        <v/>
      </c>
      <c r="E2554" s="22">
        <f>ItensPedido!E2554</f>
        <v/>
      </c>
      <c r="F2554" s="21">
        <f>IFERROR(INDEX(Pedidos!$B$2:$B$1801,MATCH(B2554,Pedidos!$A$2:$A$1801,0)),0)</f>
        <v/>
      </c>
      <c r="G2554" s="21">
        <f>IF(F2554=0,"",YEAR(F2554))</f>
        <v/>
      </c>
      <c r="H2554" s="21">
        <f>IF(F2554=0,"",MONTH(F2554))</f>
        <v/>
      </c>
      <c r="I2554" s="21">
        <f>IFERROR(INDEX(Pedidos!$E$2:$E$1801,MATCH(B2554,Pedidos!$A$2:$A$1801,0)),"")</f>
        <v/>
      </c>
      <c r="J2554" s="21">
        <f>IFERROR(INDEX(Pedidos!$C$2:$C$1801,MATCH(B2554,Pedidos!$A$2:$A$1801,0)),"")</f>
        <v/>
      </c>
      <c r="K2554" s="21">
        <f>IFERROR(INDEX(Pedidos!$D$2:$D$1801,MATCH(B2554,Pedidos!$A$2:$A$1801,0)),"")</f>
        <v/>
      </c>
      <c r="L2554" s="21">
        <f>IFERROR(INDEX(Pedidos!$F$2:$F$1801,MATCH(B2554,Pedidos!$A$2:$A$1801,0)),"")</f>
        <v/>
      </c>
      <c r="M2554" s="22">
        <f>IFERROR(INDEX(Pedidos!$G$2:$G$1801,MATCH(B2554,Pedidos!$A$2:$A$1801,0)),0)</f>
        <v/>
      </c>
      <c r="N2554" s="21">
        <f>IFERROR(INDEX(Produtos!$B$2:$B$71,MATCH(C2554,Produtos!$A$2:$A$71,0)),"")</f>
        <v/>
      </c>
      <c r="O2554" s="21">
        <f>IFERROR(INDEX(Produtos!$C$2:$C$71,MATCH(C2554,Produtos!$A$2:$A$71,0)),"")</f>
        <v/>
      </c>
      <c r="P2554" s="21">
        <f>IFERROR(INDEX(Produtos!$D$2:$D$71,MATCH(C2554,Produtos!$A$2:$A$71,0)),0)</f>
        <v/>
      </c>
      <c r="Q2554" s="21">
        <f>IFERROR(INDEX(Produtos!$E$2:$E$71,MATCH(C2554,Produtos!$A$2:$A$71,0)),0)</f>
        <v/>
      </c>
      <c r="R2554" s="23">
        <f>D2554*Q2554</f>
        <v/>
      </c>
      <c r="S2554" s="23">
        <f>R2554*E2554</f>
        <v/>
      </c>
      <c r="T2554" s="23">
        <f>(R2554-S2554)*M2554</f>
        <v/>
      </c>
      <c r="U2554" s="23">
        <f>R2554-S2554-T2554</f>
        <v/>
      </c>
      <c r="V2554" s="23">
        <f>D2554*P2554</f>
        <v/>
      </c>
      <c r="W2554" s="23">
        <f>U2554-V2554</f>
        <v/>
      </c>
      <c r="X2554" s="24">
        <f>IFERROR(W2554/U2554,0)</f>
        <v/>
      </c>
    </row>
    <row r="2555">
      <c r="A2555" s="25">
        <f>ItensPedido!A2555</f>
        <v/>
      </c>
      <c r="B2555" s="25">
        <f>ItensPedido!B2555</f>
        <v/>
      </c>
      <c r="C2555" s="25">
        <f>ItensPedido!C2555</f>
        <v/>
      </c>
      <c r="D2555" s="25">
        <f>ItensPedido!D2555</f>
        <v/>
      </c>
      <c r="E2555" s="26">
        <f>ItensPedido!E2555</f>
        <v/>
      </c>
      <c r="F2555" s="25">
        <f>IFERROR(INDEX(Pedidos!$B$2:$B$1801,MATCH(B2555,Pedidos!$A$2:$A$1801,0)),0)</f>
        <v/>
      </c>
      <c r="G2555" s="25">
        <f>IF(F2555=0,"",YEAR(F2555))</f>
        <v/>
      </c>
      <c r="H2555" s="25">
        <f>IF(F2555=0,"",MONTH(F2555))</f>
        <v/>
      </c>
      <c r="I2555" s="25">
        <f>IFERROR(INDEX(Pedidos!$E$2:$E$1801,MATCH(B2555,Pedidos!$A$2:$A$1801,0)),"")</f>
        <v/>
      </c>
      <c r="J2555" s="25">
        <f>IFERROR(INDEX(Pedidos!$C$2:$C$1801,MATCH(B2555,Pedidos!$A$2:$A$1801,0)),"")</f>
        <v/>
      </c>
      <c r="K2555" s="25">
        <f>IFERROR(INDEX(Pedidos!$D$2:$D$1801,MATCH(B2555,Pedidos!$A$2:$A$1801,0)),"")</f>
        <v/>
      </c>
      <c r="L2555" s="25">
        <f>IFERROR(INDEX(Pedidos!$F$2:$F$1801,MATCH(B2555,Pedidos!$A$2:$A$1801,0)),"")</f>
        <v/>
      </c>
      <c r="M2555" s="26">
        <f>IFERROR(INDEX(Pedidos!$G$2:$G$1801,MATCH(B2555,Pedidos!$A$2:$A$1801,0)),0)</f>
        <v/>
      </c>
      <c r="N2555" s="25">
        <f>IFERROR(INDEX(Produtos!$B$2:$B$71,MATCH(C2555,Produtos!$A$2:$A$71,0)),"")</f>
        <v/>
      </c>
      <c r="O2555" s="25">
        <f>IFERROR(INDEX(Produtos!$C$2:$C$71,MATCH(C2555,Produtos!$A$2:$A$71,0)),"")</f>
        <v/>
      </c>
      <c r="P2555" s="25">
        <f>IFERROR(INDEX(Produtos!$D$2:$D$71,MATCH(C2555,Produtos!$A$2:$A$71,0)),0)</f>
        <v/>
      </c>
      <c r="Q2555" s="25">
        <f>IFERROR(INDEX(Produtos!$E$2:$E$71,MATCH(C2555,Produtos!$A$2:$A$71,0)),0)</f>
        <v/>
      </c>
      <c r="R2555" s="27">
        <f>D2555*Q2555</f>
        <v/>
      </c>
      <c r="S2555" s="27">
        <f>R2555*E2555</f>
        <v/>
      </c>
      <c r="T2555" s="27">
        <f>(R2555-S2555)*M2555</f>
        <v/>
      </c>
      <c r="U2555" s="27">
        <f>R2555-S2555-T2555</f>
        <v/>
      </c>
      <c r="V2555" s="27">
        <f>D2555*P2555</f>
        <v/>
      </c>
      <c r="W2555" s="27">
        <f>U2555-V2555</f>
        <v/>
      </c>
      <c r="X2555" s="28">
        <f>IFERROR(W2555/U2555,0)</f>
        <v/>
      </c>
    </row>
    <row r="2556">
      <c r="A2556" s="21">
        <f>ItensPedido!A2556</f>
        <v/>
      </c>
      <c r="B2556" s="21">
        <f>ItensPedido!B2556</f>
        <v/>
      </c>
      <c r="C2556" s="21">
        <f>ItensPedido!C2556</f>
        <v/>
      </c>
      <c r="D2556" s="21">
        <f>ItensPedido!D2556</f>
        <v/>
      </c>
      <c r="E2556" s="22">
        <f>ItensPedido!E2556</f>
        <v/>
      </c>
      <c r="F2556" s="21">
        <f>IFERROR(INDEX(Pedidos!$B$2:$B$1801,MATCH(B2556,Pedidos!$A$2:$A$1801,0)),0)</f>
        <v/>
      </c>
      <c r="G2556" s="21">
        <f>IF(F2556=0,"",YEAR(F2556))</f>
        <v/>
      </c>
      <c r="H2556" s="21">
        <f>IF(F2556=0,"",MONTH(F2556))</f>
        <v/>
      </c>
      <c r="I2556" s="21">
        <f>IFERROR(INDEX(Pedidos!$E$2:$E$1801,MATCH(B2556,Pedidos!$A$2:$A$1801,0)),"")</f>
        <v/>
      </c>
      <c r="J2556" s="21">
        <f>IFERROR(INDEX(Pedidos!$C$2:$C$1801,MATCH(B2556,Pedidos!$A$2:$A$1801,0)),"")</f>
        <v/>
      </c>
      <c r="K2556" s="21">
        <f>IFERROR(INDEX(Pedidos!$D$2:$D$1801,MATCH(B2556,Pedidos!$A$2:$A$1801,0)),"")</f>
        <v/>
      </c>
      <c r="L2556" s="21">
        <f>IFERROR(INDEX(Pedidos!$F$2:$F$1801,MATCH(B2556,Pedidos!$A$2:$A$1801,0)),"")</f>
        <v/>
      </c>
      <c r="M2556" s="22">
        <f>IFERROR(INDEX(Pedidos!$G$2:$G$1801,MATCH(B2556,Pedidos!$A$2:$A$1801,0)),0)</f>
        <v/>
      </c>
      <c r="N2556" s="21">
        <f>IFERROR(INDEX(Produtos!$B$2:$B$71,MATCH(C2556,Produtos!$A$2:$A$71,0)),"")</f>
        <v/>
      </c>
      <c r="O2556" s="21">
        <f>IFERROR(INDEX(Produtos!$C$2:$C$71,MATCH(C2556,Produtos!$A$2:$A$71,0)),"")</f>
        <v/>
      </c>
      <c r="P2556" s="21">
        <f>IFERROR(INDEX(Produtos!$D$2:$D$71,MATCH(C2556,Produtos!$A$2:$A$71,0)),0)</f>
        <v/>
      </c>
      <c r="Q2556" s="21">
        <f>IFERROR(INDEX(Produtos!$E$2:$E$71,MATCH(C2556,Produtos!$A$2:$A$71,0)),0)</f>
        <v/>
      </c>
      <c r="R2556" s="23">
        <f>D2556*Q2556</f>
        <v/>
      </c>
      <c r="S2556" s="23">
        <f>R2556*E2556</f>
        <v/>
      </c>
      <c r="T2556" s="23">
        <f>(R2556-S2556)*M2556</f>
        <v/>
      </c>
      <c r="U2556" s="23">
        <f>R2556-S2556-T2556</f>
        <v/>
      </c>
      <c r="V2556" s="23">
        <f>D2556*P2556</f>
        <v/>
      </c>
      <c r="W2556" s="23">
        <f>U2556-V2556</f>
        <v/>
      </c>
      <c r="X2556" s="24">
        <f>IFERROR(W2556/U2556,0)</f>
        <v/>
      </c>
    </row>
    <row r="2557">
      <c r="A2557" s="25">
        <f>ItensPedido!A2557</f>
        <v/>
      </c>
      <c r="B2557" s="25">
        <f>ItensPedido!B2557</f>
        <v/>
      </c>
      <c r="C2557" s="25">
        <f>ItensPedido!C2557</f>
        <v/>
      </c>
      <c r="D2557" s="25">
        <f>ItensPedido!D2557</f>
        <v/>
      </c>
      <c r="E2557" s="26">
        <f>ItensPedido!E2557</f>
        <v/>
      </c>
      <c r="F2557" s="25">
        <f>IFERROR(INDEX(Pedidos!$B$2:$B$1801,MATCH(B2557,Pedidos!$A$2:$A$1801,0)),0)</f>
        <v/>
      </c>
      <c r="G2557" s="25">
        <f>IF(F2557=0,"",YEAR(F2557))</f>
        <v/>
      </c>
      <c r="H2557" s="25">
        <f>IF(F2557=0,"",MONTH(F2557))</f>
        <v/>
      </c>
      <c r="I2557" s="25">
        <f>IFERROR(INDEX(Pedidos!$E$2:$E$1801,MATCH(B2557,Pedidos!$A$2:$A$1801,0)),"")</f>
        <v/>
      </c>
      <c r="J2557" s="25">
        <f>IFERROR(INDEX(Pedidos!$C$2:$C$1801,MATCH(B2557,Pedidos!$A$2:$A$1801,0)),"")</f>
        <v/>
      </c>
      <c r="K2557" s="25">
        <f>IFERROR(INDEX(Pedidos!$D$2:$D$1801,MATCH(B2557,Pedidos!$A$2:$A$1801,0)),"")</f>
        <v/>
      </c>
      <c r="L2557" s="25">
        <f>IFERROR(INDEX(Pedidos!$F$2:$F$1801,MATCH(B2557,Pedidos!$A$2:$A$1801,0)),"")</f>
        <v/>
      </c>
      <c r="M2557" s="26">
        <f>IFERROR(INDEX(Pedidos!$G$2:$G$1801,MATCH(B2557,Pedidos!$A$2:$A$1801,0)),0)</f>
        <v/>
      </c>
      <c r="N2557" s="25">
        <f>IFERROR(INDEX(Produtos!$B$2:$B$71,MATCH(C2557,Produtos!$A$2:$A$71,0)),"")</f>
        <v/>
      </c>
      <c r="O2557" s="25">
        <f>IFERROR(INDEX(Produtos!$C$2:$C$71,MATCH(C2557,Produtos!$A$2:$A$71,0)),"")</f>
        <v/>
      </c>
      <c r="P2557" s="25">
        <f>IFERROR(INDEX(Produtos!$D$2:$D$71,MATCH(C2557,Produtos!$A$2:$A$71,0)),0)</f>
        <v/>
      </c>
      <c r="Q2557" s="25">
        <f>IFERROR(INDEX(Produtos!$E$2:$E$71,MATCH(C2557,Produtos!$A$2:$A$71,0)),0)</f>
        <v/>
      </c>
      <c r="R2557" s="27">
        <f>D2557*Q2557</f>
        <v/>
      </c>
      <c r="S2557" s="27">
        <f>R2557*E2557</f>
        <v/>
      </c>
      <c r="T2557" s="27">
        <f>(R2557-S2557)*M2557</f>
        <v/>
      </c>
      <c r="U2557" s="27">
        <f>R2557-S2557-T2557</f>
        <v/>
      </c>
      <c r="V2557" s="27">
        <f>D2557*P2557</f>
        <v/>
      </c>
      <c r="W2557" s="27">
        <f>U2557-V2557</f>
        <v/>
      </c>
      <c r="X2557" s="28">
        <f>IFERROR(W2557/U2557,0)</f>
        <v/>
      </c>
    </row>
    <row r="2558">
      <c r="A2558" s="21">
        <f>ItensPedido!A2558</f>
        <v/>
      </c>
      <c r="B2558" s="21">
        <f>ItensPedido!B2558</f>
        <v/>
      </c>
      <c r="C2558" s="21">
        <f>ItensPedido!C2558</f>
        <v/>
      </c>
      <c r="D2558" s="21">
        <f>ItensPedido!D2558</f>
        <v/>
      </c>
      <c r="E2558" s="22">
        <f>ItensPedido!E2558</f>
        <v/>
      </c>
      <c r="F2558" s="21">
        <f>IFERROR(INDEX(Pedidos!$B$2:$B$1801,MATCH(B2558,Pedidos!$A$2:$A$1801,0)),0)</f>
        <v/>
      </c>
      <c r="G2558" s="21">
        <f>IF(F2558=0,"",YEAR(F2558))</f>
        <v/>
      </c>
      <c r="H2558" s="21">
        <f>IF(F2558=0,"",MONTH(F2558))</f>
        <v/>
      </c>
      <c r="I2558" s="21">
        <f>IFERROR(INDEX(Pedidos!$E$2:$E$1801,MATCH(B2558,Pedidos!$A$2:$A$1801,0)),"")</f>
        <v/>
      </c>
      <c r="J2558" s="21">
        <f>IFERROR(INDEX(Pedidos!$C$2:$C$1801,MATCH(B2558,Pedidos!$A$2:$A$1801,0)),"")</f>
        <v/>
      </c>
      <c r="K2558" s="21">
        <f>IFERROR(INDEX(Pedidos!$D$2:$D$1801,MATCH(B2558,Pedidos!$A$2:$A$1801,0)),"")</f>
        <v/>
      </c>
      <c r="L2558" s="21">
        <f>IFERROR(INDEX(Pedidos!$F$2:$F$1801,MATCH(B2558,Pedidos!$A$2:$A$1801,0)),"")</f>
        <v/>
      </c>
      <c r="M2558" s="22">
        <f>IFERROR(INDEX(Pedidos!$G$2:$G$1801,MATCH(B2558,Pedidos!$A$2:$A$1801,0)),0)</f>
        <v/>
      </c>
      <c r="N2558" s="21">
        <f>IFERROR(INDEX(Produtos!$B$2:$B$71,MATCH(C2558,Produtos!$A$2:$A$71,0)),"")</f>
        <v/>
      </c>
      <c r="O2558" s="21">
        <f>IFERROR(INDEX(Produtos!$C$2:$C$71,MATCH(C2558,Produtos!$A$2:$A$71,0)),"")</f>
        <v/>
      </c>
      <c r="P2558" s="21">
        <f>IFERROR(INDEX(Produtos!$D$2:$D$71,MATCH(C2558,Produtos!$A$2:$A$71,0)),0)</f>
        <v/>
      </c>
      <c r="Q2558" s="21">
        <f>IFERROR(INDEX(Produtos!$E$2:$E$71,MATCH(C2558,Produtos!$A$2:$A$71,0)),0)</f>
        <v/>
      </c>
      <c r="R2558" s="23">
        <f>D2558*Q2558</f>
        <v/>
      </c>
      <c r="S2558" s="23">
        <f>R2558*E2558</f>
        <v/>
      </c>
      <c r="T2558" s="23">
        <f>(R2558-S2558)*M2558</f>
        <v/>
      </c>
      <c r="U2558" s="23">
        <f>R2558-S2558-T2558</f>
        <v/>
      </c>
      <c r="V2558" s="23">
        <f>D2558*P2558</f>
        <v/>
      </c>
      <c r="W2558" s="23">
        <f>U2558-V2558</f>
        <v/>
      </c>
      <c r="X2558" s="24">
        <f>IFERROR(W2558/U2558,0)</f>
        <v/>
      </c>
    </row>
    <row r="2559">
      <c r="A2559" s="25">
        <f>ItensPedido!A2559</f>
        <v/>
      </c>
      <c r="B2559" s="25">
        <f>ItensPedido!B2559</f>
        <v/>
      </c>
      <c r="C2559" s="25">
        <f>ItensPedido!C2559</f>
        <v/>
      </c>
      <c r="D2559" s="25">
        <f>ItensPedido!D2559</f>
        <v/>
      </c>
      <c r="E2559" s="26">
        <f>ItensPedido!E2559</f>
        <v/>
      </c>
      <c r="F2559" s="25">
        <f>IFERROR(INDEX(Pedidos!$B$2:$B$1801,MATCH(B2559,Pedidos!$A$2:$A$1801,0)),0)</f>
        <v/>
      </c>
      <c r="G2559" s="25">
        <f>IF(F2559=0,"",YEAR(F2559))</f>
        <v/>
      </c>
      <c r="H2559" s="25">
        <f>IF(F2559=0,"",MONTH(F2559))</f>
        <v/>
      </c>
      <c r="I2559" s="25">
        <f>IFERROR(INDEX(Pedidos!$E$2:$E$1801,MATCH(B2559,Pedidos!$A$2:$A$1801,0)),"")</f>
        <v/>
      </c>
      <c r="J2559" s="25">
        <f>IFERROR(INDEX(Pedidos!$C$2:$C$1801,MATCH(B2559,Pedidos!$A$2:$A$1801,0)),"")</f>
        <v/>
      </c>
      <c r="K2559" s="25">
        <f>IFERROR(INDEX(Pedidos!$D$2:$D$1801,MATCH(B2559,Pedidos!$A$2:$A$1801,0)),"")</f>
        <v/>
      </c>
      <c r="L2559" s="25">
        <f>IFERROR(INDEX(Pedidos!$F$2:$F$1801,MATCH(B2559,Pedidos!$A$2:$A$1801,0)),"")</f>
        <v/>
      </c>
      <c r="M2559" s="26">
        <f>IFERROR(INDEX(Pedidos!$G$2:$G$1801,MATCH(B2559,Pedidos!$A$2:$A$1801,0)),0)</f>
        <v/>
      </c>
      <c r="N2559" s="25">
        <f>IFERROR(INDEX(Produtos!$B$2:$B$71,MATCH(C2559,Produtos!$A$2:$A$71,0)),"")</f>
        <v/>
      </c>
      <c r="O2559" s="25">
        <f>IFERROR(INDEX(Produtos!$C$2:$C$71,MATCH(C2559,Produtos!$A$2:$A$71,0)),"")</f>
        <v/>
      </c>
      <c r="P2559" s="25">
        <f>IFERROR(INDEX(Produtos!$D$2:$D$71,MATCH(C2559,Produtos!$A$2:$A$71,0)),0)</f>
        <v/>
      </c>
      <c r="Q2559" s="25">
        <f>IFERROR(INDEX(Produtos!$E$2:$E$71,MATCH(C2559,Produtos!$A$2:$A$71,0)),0)</f>
        <v/>
      </c>
      <c r="R2559" s="27">
        <f>D2559*Q2559</f>
        <v/>
      </c>
      <c r="S2559" s="27">
        <f>R2559*E2559</f>
        <v/>
      </c>
      <c r="T2559" s="27">
        <f>(R2559-S2559)*M2559</f>
        <v/>
      </c>
      <c r="U2559" s="27">
        <f>R2559-S2559-T2559</f>
        <v/>
      </c>
      <c r="V2559" s="27">
        <f>D2559*P2559</f>
        <v/>
      </c>
      <c r="W2559" s="27">
        <f>U2559-V2559</f>
        <v/>
      </c>
      <c r="X2559" s="28">
        <f>IFERROR(W2559/U2559,0)</f>
        <v/>
      </c>
    </row>
    <row r="2560">
      <c r="A2560" s="21">
        <f>ItensPedido!A2560</f>
        <v/>
      </c>
      <c r="B2560" s="21">
        <f>ItensPedido!B2560</f>
        <v/>
      </c>
      <c r="C2560" s="21">
        <f>ItensPedido!C2560</f>
        <v/>
      </c>
      <c r="D2560" s="21">
        <f>ItensPedido!D2560</f>
        <v/>
      </c>
      <c r="E2560" s="22">
        <f>ItensPedido!E2560</f>
        <v/>
      </c>
      <c r="F2560" s="21">
        <f>IFERROR(INDEX(Pedidos!$B$2:$B$1801,MATCH(B2560,Pedidos!$A$2:$A$1801,0)),0)</f>
        <v/>
      </c>
      <c r="G2560" s="21">
        <f>IF(F2560=0,"",YEAR(F2560))</f>
        <v/>
      </c>
      <c r="H2560" s="21">
        <f>IF(F2560=0,"",MONTH(F2560))</f>
        <v/>
      </c>
      <c r="I2560" s="21">
        <f>IFERROR(INDEX(Pedidos!$E$2:$E$1801,MATCH(B2560,Pedidos!$A$2:$A$1801,0)),"")</f>
        <v/>
      </c>
      <c r="J2560" s="21">
        <f>IFERROR(INDEX(Pedidos!$C$2:$C$1801,MATCH(B2560,Pedidos!$A$2:$A$1801,0)),"")</f>
        <v/>
      </c>
      <c r="K2560" s="21">
        <f>IFERROR(INDEX(Pedidos!$D$2:$D$1801,MATCH(B2560,Pedidos!$A$2:$A$1801,0)),"")</f>
        <v/>
      </c>
      <c r="L2560" s="21">
        <f>IFERROR(INDEX(Pedidos!$F$2:$F$1801,MATCH(B2560,Pedidos!$A$2:$A$1801,0)),"")</f>
        <v/>
      </c>
      <c r="M2560" s="22">
        <f>IFERROR(INDEX(Pedidos!$G$2:$G$1801,MATCH(B2560,Pedidos!$A$2:$A$1801,0)),0)</f>
        <v/>
      </c>
      <c r="N2560" s="21">
        <f>IFERROR(INDEX(Produtos!$B$2:$B$71,MATCH(C2560,Produtos!$A$2:$A$71,0)),"")</f>
        <v/>
      </c>
      <c r="O2560" s="21">
        <f>IFERROR(INDEX(Produtos!$C$2:$C$71,MATCH(C2560,Produtos!$A$2:$A$71,0)),"")</f>
        <v/>
      </c>
      <c r="P2560" s="21">
        <f>IFERROR(INDEX(Produtos!$D$2:$D$71,MATCH(C2560,Produtos!$A$2:$A$71,0)),0)</f>
        <v/>
      </c>
      <c r="Q2560" s="21">
        <f>IFERROR(INDEX(Produtos!$E$2:$E$71,MATCH(C2560,Produtos!$A$2:$A$71,0)),0)</f>
        <v/>
      </c>
      <c r="R2560" s="23">
        <f>D2560*Q2560</f>
        <v/>
      </c>
      <c r="S2560" s="23">
        <f>R2560*E2560</f>
        <v/>
      </c>
      <c r="T2560" s="23">
        <f>(R2560-S2560)*M2560</f>
        <v/>
      </c>
      <c r="U2560" s="23">
        <f>R2560-S2560-T2560</f>
        <v/>
      </c>
      <c r="V2560" s="23">
        <f>D2560*P2560</f>
        <v/>
      </c>
      <c r="W2560" s="23">
        <f>U2560-V2560</f>
        <v/>
      </c>
      <c r="X2560" s="24">
        <f>IFERROR(W2560/U2560,0)</f>
        <v/>
      </c>
    </row>
    <row r="2561">
      <c r="A2561" s="25">
        <f>ItensPedido!A2561</f>
        <v/>
      </c>
      <c r="B2561" s="25">
        <f>ItensPedido!B2561</f>
        <v/>
      </c>
      <c r="C2561" s="25">
        <f>ItensPedido!C2561</f>
        <v/>
      </c>
      <c r="D2561" s="25">
        <f>ItensPedido!D2561</f>
        <v/>
      </c>
      <c r="E2561" s="26">
        <f>ItensPedido!E2561</f>
        <v/>
      </c>
      <c r="F2561" s="25">
        <f>IFERROR(INDEX(Pedidos!$B$2:$B$1801,MATCH(B2561,Pedidos!$A$2:$A$1801,0)),0)</f>
        <v/>
      </c>
      <c r="G2561" s="25">
        <f>IF(F2561=0,"",YEAR(F2561))</f>
        <v/>
      </c>
      <c r="H2561" s="25">
        <f>IF(F2561=0,"",MONTH(F2561))</f>
        <v/>
      </c>
      <c r="I2561" s="25">
        <f>IFERROR(INDEX(Pedidos!$E$2:$E$1801,MATCH(B2561,Pedidos!$A$2:$A$1801,0)),"")</f>
        <v/>
      </c>
      <c r="J2561" s="25">
        <f>IFERROR(INDEX(Pedidos!$C$2:$C$1801,MATCH(B2561,Pedidos!$A$2:$A$1801,0)),"")</f>
        <v/>
      </c>
      <c r="K2561" s="25">
        <f>IFERROR(INDEX(Pedidos!$D$2:$D$1801,MATCH(B2561,Pedidos!$A$2:$A$1801,0)),"")</f>
        <v/>
      </c>
      <c r="L2561" s="25">
        <f>IFERROR(INDEX(Pedidos!$F$2:$F$1801,MATCH(B2561,Pedidos!$A$2:$A$1801,0)),"")</f>
        <v/>
      </c>
      <c r="M2561" s="26">
        <f>IFERROR(INDEX(Pedidos!$G$2:$G$1801,MATCH(B2561,Pedidos!$A$2:$A$1801,0)),0)</f>
        <v/>
      </c>
      <c r="N2561" s="25">
        <f>IFERROR(INDEX(Produtos!$B$2:$B$71,MATCH(C2561,Produtos!$A$2:$A$71,0)),"")</f>
        <v/>
      </c>
      <c r="O2561" s="25">
        <f>IFERROR(INDEX(Produtos!$C$2:$C$71,MATCH(C2561,Produtos!$A$2:$A$71,0)),"")</f>
        <v/>
      </c>
      <c r="P2561" s="25">
        <f>IFERROR(INDEX(Produtos!$D$2:$D$71,MATCH(C2561,Produtos!$A$2:$A$71,0)),0)</f>
        <v/>
      </c>
      <c r="Q2561" s="25">
        <f>IFERROR(INDEX(Produtos!$E$2:$E$71,MATCH(C2561,Produtos!$A$2:$A$71,0)),0)</f>
        <v/>
      </c>
      <c r="R2561" s="27">
        <f>D2561*Q2561</f>
        <v/>
      </c>
      <c r="S2561" s="27">
        <f>R2561*E2561</f>
        <v/>
      </c>
      <c r="T2561" s="27">
        <f>(R2561-S2561)*M2561</f>
        <v/>
      </c>
      <c r="U2561" s="27">
        <f>R2561-S2561-T2561</f>
        <v/>
      </c>
      <c r="V2561" s="27">
        <f>D2561*P2561</f>
        <v/>
      </c>
      <c r="W2561" s="27">
        <f>U2561-V2561</f>
        <v/>
      </c>
      <c r="X2561" s="28">
        <f>IFERROR(W2561/U2561,0)</f>
        <v/>
      </c>
    </row>
    <row r="2562">
      <c r="A2562" s="21">
        <f>ItensPedido!A2562</f>
        <v/>
      </c>
      <c r="B2562" s="21">
        <f>ItensPedido!B2562</f>
        <v/>
      </c>
      <c r="C2562" s="21">
        <f>ItensPedido!C2562</f>
        <v/>
      </c>
      <c r="D2562" s="21">
        <f>ItensPedido!D2562</f>
        <v/>
      </c>
      <c r="E2562" s="22">
        <f>ItensPedido!E2562</f>
        <v/>
      </c>
      <c r="F2562" s="21">
        <f>IFERROR(INDEX(Pedidos!$B$2:$B$1801,MATCH(B2562,Pedidos!$A$2:$A$1801,0)),0)</f>
        <v/>
      </c>
      <c r="G2562" s="21">
        <f>IF(F2562=0,"",YEAR(F2562))</f>
        <v/>
      </c>
      <c r="H2562" s="21">
        <f>IF(F2562=0,"",MONTH(F2562))</f>
        <v/>
      </c>
      <c r="I2562" s="21">
        <f>IFERROR(INDEX(Pedidos!$E$2:$E$1801,MATCH(B2562,Pedidos!$A$2:$A$1801,0)),"")</f>
        <v/>
      </c>
      <c r="J2562" s="21">
        <f>IFERROR(INDEX(Pedidos!$C$2:$C$1801,MATCH(B2562,Pedidos!$A$2:$A$1801,0)),"")</f>
        <v/>
      </c>
      <c r="K2562" s="21">
        <f>IFERROR(INDEX(Pedidos!$D$2:$D$1801,MATCH(B2562,Pedidos!$A$2:$A$1801,0)),"")</f>
        <v/>
      </c>
      <c r="L2562" s="21">
        <f>IFERROR(INDEX(Pedidos!$F$2:$F$1801,MATCH(B2562,Pedidos!$A$2:$A$1801,0)),"")</f>
        <v/>
      </c>
      <c r="M2562" s="22">
        <f>IFERROR(INDEX(Pedidos!$G$2:$G$1801,MATCH(B2562,Pedidos!$A$2:$A$1801,0)),0)</f>
        <v/>
      </c>
      <c r="N2562" s="21">
        <f>IFERROR(INDEX(Produtos!$B$2:$B$71,MATCH(C2562,Produtos!$A$2:$A$71,0)),"")</f>
        <v/>
      </c>
      <c r="O2562" s="21">
        <f>IFERROR(INDEX(Produtos!$C$2:$C$71,MATCH(C2562,Produtos!$A$2:$A$71,0)),"")</f>
        <v/>
      </c>
      <c r="P2562" s="21">
        <f>IFERROR(INDEX(Produtos!$D$2:$D$71,MATCH(C2562,Produtos!$A$2:$A$71,0)),0)</f>
        <v/>
      </c>
      <c r="Q2562" s="21">
        <f>IFERROR(INDEX(Produtos!$E$2:$E$71,MATCH(C2562,Produtos!$A$2:$A$71,0)),0)</f>
        <v/>
      </c>
      <c r="R2562" s="23">
        <f>D2562*Q2562</f>
        <v/>
      </c>
      <c r="S2562" s="23">
        <f>R2562*E2562</f>
        <v/>
      </c>
      <c r="T2562" s="23">
        <f>(R2562-S2562)*M2562</f>
        <v/>
      </c>
      <c r="U2562" s="23">
        <f>R2562-S2562-T2562</f>
        <v/>
      </c>
      <c r="V2562" s="23">
        <f>D2562*P2562</f>
        <v/>
      </c>
      <c r="W2562" s="23">
        <f>U2562-V2562</f>
        <v/>
      </c>
      <c r="X2562" s="24">
        <f>IFERROR(W2562/U2562,0)</f>
        <v/>
      </c>
    </row>
    <row r="2563">
      <c r="A2563" s="25">
        <f>ItensPedido!A2563</f>
        <v/>
      </c>
      <c r="B2563" s="25">
        <f>ItensPedido!B2563</f>
        <v/>
      </c>
      <c r="C2563" s="25">
        <f>ItensPedido!C2563</f>
        <v/>
      </c>
      <c r="D2563" s="25">
        <f>ItensPedido!D2563</f>
        <v/>
      </c>
      <c r="E2563" s="26">
        <f>ItensPedido!E2563</f>
        <v/>
      </c>
      <c r="F2563" s="25">
        <f>IFERROR(INDEX(Pedidos!$B$2:$B$1801,MATCH(B2563,Pedidos!$A$2:$A$1801,0)),0)</f>
        <v/>
      </c>
      <c r="G2563" s="25">
        <f>IF(F2563=0,"",YEAR(F2563))</f>
        <v/>
      </c>
      <c r="H2563" s="25">
        <f>IF(F2563=0,"",MONTH(F2563))</f>
        <v/>
      </c>
      <c r="I2563" s="25">
        <f>IFERROR(INDEX(Pedidos!$E$2:$E$1801,MATCH(B2563,Pedidos!$A$2:$A$1801,0)),"")</f>
        <v/>
      </c>
      <c r="J2563" s="25">
        <f>IFERROR(INDEX(Pedidos!$C$2:$C$1801,MATCH(B2563,Pedidos!$A$2:$A$1801,0)),"")</f>
        <v/>
      </c>
      <c r="K2563" s="25">
        <f>IFERROR(INDEX(Pedidos!$D$2:$D$1801,MATCH(B2563,Pedidos!$A$2:$A$1801,0)),"")</f>
        <v/>
      </c>
      <c r="L2563" s="25">
        <f>IFERROR(INDEX(Pedidos!$F$2:$F$1801,MATCH(B2563,Pedidos!$A$2:$A$1801,0)),"")</f>
        <v/>
      </c>
      <c r="M2563" s="26">
        <f>IFERROR(INDEX(Pedidos!$G$2:$G$1801,MATCH(B2563,Pedidos!$A$2:$A$1801,0)),0)</f>
        <v/>
      </c>
      <c r="N2563" s="25">
        <f>IFERROR(INDEX(Produtos!$B$2:$B$71,MATCH(C2563,Produtos!$A$2:$A$71,0)),"")</f>
        <v/>
      </c>
      <c r="O2563" s="25">
        <f>IFERROR(INDEX(Produtos!$C$2:$C$71,MATCH(C2563,Produtos!$A$2:$A$71,0)),"")</f>
        <v/>
      </c>
      <c r="P2563" s="25">
        <f>IFERROR(INDEX(Produtos!$D$2:$D$71,MATCH(C2563,Produtos!$A$2:$A$71,0)),0)</f>
        <v/>
      </c>
      <c r="Q2563" s="25">
        <f>IFERROR(INDEX(Produtos!$E$2:$E$71,MATCH(C2563,Produtos!$A$2:$A$71,0)),0)</f>
        <v/>
      </c>
      <c r="R2563" s="27">
        <f>D2563*Q2563</f>
        <v/>
      </c>
      <c r="S2563" s="27">
        <f>R2563*E2563</f>
        <v/>
      </c>
      <c r="T2563" s="27">
        <f>(R2563-S2563)*M2563</f>
        <v/>
      </c>
      <c r="U2563" s="27">
        <f>R2563-S2563-T2563</f>
        <v/>
      </c>
      <c r="V2563" s="27">
        <f>D2563*P2563</f>
        <v/>
      </c>
      <c r="W2563" s="27">
        <f>U2563-V2563</f>
        <v/>
      </c>
      <c r="X2563" s="28">
        <f>IFERROR(W2563/U2563,0)</f>
        <v/>
      </c>
    </row>
    <row r="2564">
      <c r="A2564" s="21">
        <f>ItensPedido!A2564</f>
        <v/>
      </c>
      <c r="B2564" s="21">
        <f>ItensPedido!B2564</f>
        <v/>
      </c>
      <c r="C2564" s="21">
        <f>ItensPedido!C2564</f>
        <v/>
      </c>
      <c r="D2564" s="21">
        <f>ItensPedido!D2564</f>
        <v/>
      </c>
      <c r="E2564" s="22">
        <f>ItensPedido!E2564</f>
        <v/>
      </c>
      <c r="F2564" s="21">
        <f>IFERROR(INDEX(Pedidos!$B$2:$B$1801,MATCH(B2564,Pedidos!$A$2:$A$1801,0)),0)</f>
        <v/>
      </c>
      <c r="G2564" s="21">
        <f>IF(F2564=0,"",YEAR(F2564))</f>
        <v/>
      </c>
      <c r="H2564" s="21">
        <f>IF(F2564=0,"",MONTH(F2564))</f>
        <v/>
      </c>
      <c r="I2564" s="21">
        <f>IFERROR(INDEX(Pedidos!$E$2:$E$1801,MATCH(B2564,Pedidos!$A$2:$A$1801,0)),"")</f>
        <v/>
      </c>
      <c r="J2564" s="21">
        <f>IFERROR(INDEX(Pedidos!$C$2:$C$1801,MATCH(B2564,Pedidos!$A$2:$A$1801,0)),"")</f>
        <v/>
      </c>
      <c r="K2564" s="21">
        <f>IFERROR(INDEX(Pedidos!$D$2:$D$1801,MATCH(B2564,Pedidos!$A$2:$A$1801,0)),"")</f>
        <v/>
      </c>
      <c r="L2564" s="21">
        <f>IFERROR(INDEX(Pedidos!$F$2:$F$1801,MATCH(B2564,Pedidos!$A$2:$A$1801,0)),"")</f>
        <v/>
      </c>
      <c r="M2564" s="22">
        <f>IFERROR(INDEX(Pedidos!$G$2:$G$1801,MATCH(B2564,Pedidos!$A$2:$A$1801,0)),0)</f>
        <v/>
      </c>
      <c r="N2564" s="21">
        <f>IFERROR(INDEX(Produtos!$B$2:$B$71,MATCH(C2564,Produtos!$A$2:$A$71,0)),"")</f>
        <v/>
      </c>
      <c r="O2564" s="21">
        <f>IFERROR(INDEX(Produtos!$C$2:$C$71,MATCH(C2564,Produtos!$A$2:$A$71,0)),"")</f>
        <v/>
      </c>
      <c r="P2564" s="21">
        <f>IFERROR(INDEX(Produtos!$D$2:$D$71,MATCH(C2564,Produtos!$A$2:$A$71,0)),0)</f>
        <v/>
      </c>
      <c r="Q2564" s="21">
        <f>IFERROR(INDEX(Produtos!$E$2:$E$71,MATCH(C2564,Produtos!$A$2:$A$71,0)),0)</f>
        <v/>
      </c>
      <c r="R2564" s="23">
        <f>D2564*Q2564</f>
        <v/>
      </c>
      <c r="S2564" s="23">
        <f>R2564*E2564</f>
        <v/>
      </c>
      <c r="T2564" s="23">
        <f>(R2564-S2564)*M2564</f>
        <v/>
      </c>
      <c r="U2564" s="23">
        <f>R2564-S2564-T2564</f>
        <v/>
      </c>
      <c r="V2564" s="23">
        <f>D2564*P2564</f>
        <v/>
      </c>
      <c r="W2564" s="23">
        <f>U2564-V2564</f>
        <v/>
      </c>
      <c r="X2564" s="24">
        <f>IFERROR(W2564/U2564,0)</f>
        <v/>
      </c>
    </row>
    <row r="2565">
      <c r="A2565" s="25">
        <f>ItensPedido!A2565</f>
        <v/>
      </c>
      <c r="B2565" s="25">
        <f>ItensPedido!B2565</f>
        <v/>
      </c>
      <c r="C2565" s="25">
        <f>ItensPedido!C2565</f>
        <v/>
      </c>
      <c r="D2565" s="25">
        <f>ItensPedido!D2565</f>
        <v/>
      </c>
      <c r="E2565" s="26">
        <f>ItensPedido!E2565</f>
        <v/>
      </c>
      <c r="F2565" s="25">
        <f>IFERROR(INDEX(Pedidos!$B$2:$B$1801,MATCH(B2565,Pedidos!$A$2:$A$1801,0)),0)</f>
        <v/>
      </c>
      <c r="G2565" s="25">
        <f>IF(F2565=0,"",YEAR(F2565))</f>
        <v/>
      </c>
      <c r="H2565" s="25">
        <f>IF(F2565=0,"",MONTH(F2565))</f>
        <v/>
      </c>
      <c r="I2565" s="25">
        <f>IFERROR(INDEX(Pedidos!$E$2:$E$1801,MATCH(B2565,Pedidos!$A$2:$A$1801,0)),"")</f>
        <v/>
      </c>
      <c r="J2565" s="25">
        <f>IFERROR(INDEX(Pedidos!$C$2:$C$1801,MATCH(B2565,Pedidos!$A$2:$A$1801,0)),"")</f>
        <v/>
      </c>
      <c r="K2565" s="25">
        <f>IFERROR(INDEX(Pedidos!$D$2:$D$1801,MATCH(B2565,Pedidos!$A$2:$A$1801,0)),"")</f>
        <v/>
      </c>
      <c r="L2565" s="25">
        <f>IFERROR(INDEX(Pedidos!$F$2:$F$1801,MATCH(B2565,Pedidos!$A$2:$A$1801,0)),"")</f>
        <v/>
      </c>
      <c r="M2565" s="26">
        <f>IFERROR(INDEX(Pedidos!$G$2:$G$1801,MATCH(B2565,Pedidos!$A$2:$A$1801,0)),0)</f>
        <v/>
      </c>
      <c r="N2565" s="25">
        <f>IFERROR(INDEX(Produtos!$B$2:$B$71,MATCH(C2565,Produtos!$A$2:$A$71,0)),"")</f>
        <v/>
      </c>
      <c r="O2565" s="25">
        <f>IFERROR(INDEX(Produtos!$C$2:$C$71,MATCH(C2565,Produtos!$A$2:$A$71,0)),"")</f>
        <v/>
      </c>
      <c r="P2565" s="25">
        <f>IFERROR(INDEX(Produtos!$D$2:$D$71,MATCH(C2565,Produtos!$A$2:$A$71,0)),0)</f>
        <v/>
      </c>
      <c r="Q2565" s="25">
        <f>IFERROR(INDEX(Produtos!$E$2:$E$71,MATCH(C2565,Produtos!$A$2:$A$71,0)),0)</f>
        <v/>
      </c>
      <c r="R2565" s="27">
        <f>D2565*Q2565</f>
        <v/>
      </c>
      <c r="S2565" s="27">
        <f>R2565*E2565</f>
        <v/>
      </c>
      <c r="T2565" s="27">
        <f>(R2565-S2565)*M2565</f>
        <v/>
      </c>
      <c r="U2565" s="27">
        <f>R2565-S2565-T2565</f>
        <v/>
      </c>
      <c r="V2565" s="27">
        <f>D2565*P2565</f>
        <v/>
      </c>
      <c r="W2565" s="27">
        <f>U2565-V2565</f>
        <v/>
      </c>
      <c r="X2565" s="28">
        <f>IFERROR(W2565/U2565,0)</f>
        <v/>
      </c>
    </row>
    <row r="2566">
      <c r="A2566" s="21">
        <f>ItensPedido!A2566</f>
        <v/>
      </c>
      <c r="B2566" s="21">
        <f>ItensPedido!B2566</f>
        <v/>
      </c>
      <c r="C2566" s="21">
        <f>ItensPedido!C2566</f>
        <v/>
      </c>
      <c r="D2566" s="21">
        <f>ItensPedido!D2566</f>
        <v/>
      </c>
      <c r="E2566" s="22">
        <f>ItensPedido!E2566</f>
        <v/>
      </c>
      <c r="F2566" s="21">
        <f>IFERROR(INDEX(Pedidos!$B$2:$B$1801,MATCH(B2566,Pedidos!$A$2:$A$1801,0)),0)</f>
        <v/>
      </c>
      <c r="G2566" s="21">
        <f>IF(F2566=0,"",YEAR(F2566))</f>
        <v/>
      </c>
      <c r="H2566" s="21">
        <f>IF(F2566=0,"",MONTH(F2566))</f>
        <v/>
      </c>
      <c r="I2566" s="21">
        <f>IFERROR(INDEX(Pedidos!$E$2:$E$1801,MATCH(B2566,Pedidos!$A$2:$A$1801,0)),"")</f>
        <v/>
      </c>
      <c r="J2566" s="21">
        <f>IFERROR(INDEX(Pedidos!$C$2:$C$1801,MATCH(B2566,Pedidos!$A$2:$A$1801,0)),"")</f>
        <v/>
      </c>
      <c r="K2566" s="21">
        <f>IFERROR(INDEX(Pedidos!$D$2:$D$1801,MATCH(B2566,Pedidos!$A$2:$A$1801,0)),"")</f>
        <v/>
      </c>
      <c r="L2566" s="21">
        <f>IFERROR(INDEX(Pedidos!$F$2:$F$1801,MATCH(B2566,Pedidos!$A$2:$A$1801,0)),"")</f>
        <v/>
      </c>
      <c r="M2566" s="22">
        <f>IFERROR(INDEX(Pedidos!$G$2:$G$1801,MATCH(B2566,Pedidos!$A$2:$A$1801,0)),0)</f>
        <v/>
      </c>
      <c r="N2566" s="21">
        <f>IFERROR(INDEX(Produtos!$B$2:$B$71,MATCH(C2566,Produtos!$A$2:$A$71,0)),"")</f>
        <v/>
      </c>
      <c r="O2566" s="21">
        <f>IFERROR(INDEX(Produtos!$C$2:$C$71,MATCH(C2566,Produtos!$A$2:$A$71,0)),"")</f>
        <v/>
      </c>
      <c r="P2566" s="21">
        <f>IFERROR(INDEX(Produtos!$D$2:$D$71,MATCH(C2566,Produtos!$A$2:$A$71,0)),0)</f>
        <v/>
      </c>
      <c r="Q2566" s="21">
        <f>IFERROR(INDEX(Produtos!$E$2:$E$71,MATCH(C2566,Produtos!$A$2:$A$71,0)),0)</f>
        <v/>
      </c>
      <c r="R2566" s="23">
        <f>D2566*Q2566</f>
        <v/>
      </c>
      <c r="S2566" s="23">
        <f>R2566*E2566</f>
        <v/>
      </c>
      <c r="T2566" s="23">
        <f>(R2566-S2566)*M2566</f>
        <v/>
      </c>
      <c r="U2566" s="23">
        <f>R2566-S2566-T2566</f>
        <v/>
      </c>
      <c r="V2566" s="23">
        <f>D2566*P2566</f>
        <v/>
      </c>
      <c r="W2566" s="23">
        <f>U2566-V2566</f>
        <v/>
      </c>
      <c r="X2566" s="24">
        <f>IFERROR(W2566/U2566,0)</f>
        <v/>
      </c>
    </row>
    <row r="2567">
      <c r="A2567" s="25">
        <f>ItensPedido!A2567</f>
        <v/>
      </c>
      <c r="B2567" s="25">
        <f>ItensPedido!B2567</f>
        <v/>
      </c>
      <c r="C2567" s="25">
        <f>ItensPedido!C2567</f>
        <v/>
      </c>
      <c r="D2567" s="25">
        <f>ItensPedido!D2567</f>
        <v/>
      </c>
      <c r="E2567" s="26">
        <f>ItensPedido!E2567</f>
        <v/>
      </c>
      <c r="F2567" s="25">
        <f>IFERROR(INDEX(Pedidos!$B$2:$B$1801,MATCH(B2567,Pedidos!$A$2:$A$1801,0)),0)</f>
        <v/>
      </c>
      <c r="G2567" s="25">
        <f>IF(F2567=0,"",YEAR(F2567))</f>
        <v/>
      </c>
      <c r="H2567" s="25">
        <f>IF(F2567=0,"",MONTH(F2567))</f>
        <v/>
      </c>
      <c r="I2567" s="25">
        <f>IFERROR(INDEX(Pedidos!$E$2:$E$1801,MATCH(B2567,Pedidos!$A$2:$A$1801,0)),"")</f>
        <v/>
      </c>
      <c r="J2567" s="25">
        <f>IFERROR(INDEX(Pedidos!$C$2:$C$1801,MATCH(B2567,Pedidos!$A$2:$A$1801,0)),"")</f>
        <v/>
      </c>
      <c r="K2567" s="25">
        <f>IFERROR(INDEX(Pedidos!$D$2:$D$1801,MATCH(B2567,Pedidos!$A$2:$A$1801,0)),"")</f>
        <v/>
      </c>
      <c r="L2567" s="25">
        <f>IFERROR(INDEX(Pedidos!$F$2:$F$1801,MATCH(B2567,Pedidos!$A$2:$A$1801,0)),"")</f>
        <v/>
      </c>
      <c r="M2567" s="26">
        <f>IFERROR(INDEX(Pedidos!$G$2:$G$1801,MATCH(B2567,Pedidos!$A$2:$A$1801,0)),0)</f>
        <v/>
      </c>
      <c r="N2567" s="25">
        <f>IFERROR(INDEX(Produtos!$B$2:$B$71,MATCH(C2567,Produtos!$A$2:$A$71,0)),"")</f>
        <v/>
      </c>
      <c r="O2567" s="25">
        <f>IFERROR(INDEX(Produtos!$C$2:$C$71,MATCH(C2567,Produtos!$A$2:$A$71,0)),"")</f>
        <v/>
      </c>
      <c r="P2567" s="25">
        <f>IFERROR(INDEX(Produtos!$D$2:$D$71,MATCH(C2567,Produtos!$A$2:$A$71,0)),0)</f>
        <v/>
      </c>
      <c r="Q2567" s="25">
        <f>IFERROR(INDEX(Produtos!$E$2:$E$71,MATCH(C2567,Produtos!$A$2:$A$71,0)),0)</f>
        <v/>
      </c>
      <c r="R2567" s="27">
        <f>D2567*Q2567</f>
        <v/>
      </c>
      <c r="S2567" s="27">
        <f>R2567*E2567</f>
        <v/>
      </c>
      <c r="T2567" s="27">
        <f>(R2567-S2567)*M2567</f>
        <v/>
      </c>
      <c r="U2567" s="27">
        <f>R2567-S2567-T2567</f>
        <v/>
      </c>
      <c r="V2567" s="27">
        <f>D2567*P2567</f>
        <v/>
      </c>
      <c r="W2567" s="27">
        <f>U2567-V2567</f>
        <v/>
      </c>
      <c r="X2567" s="28">
        <f>IFERROR(W2567/U2567,0)</f>
        <v/>
      </c>
    </row>
    <row r="2568">
      <c r="A2568" s="21">
        <f>ItensPedido!A2568</f>
        <v/>
      </c>
      <c r="B2568" s="21">
        <f>ItensPedido!B2568</f>
        <v/>
      </c>
      <c r="C2568" s="21">
        <f>ItensPedido!C2568</f>
        <v/>
      </c>
      <c r="D2568" s="21">
        <f>ItensPedido!D2568</f>
        <v/>
      </c>
      <c r="E2568" s="22">
        <f>ItensPedido!E2568</f>
        <v/>
      </c>
      <c r="F2568" s="21">
        <f>IFERROR(INDEX(Pedidos!$B$2:$B$1801,MATCH(B2568,Pedidos!$A$2:$A$1801,0)),0)</f>
        <v/>
      </c>
      <c r="G2568" s="21">
        <f>IF(F2568=0,"",YEAR(F2568))</f>
        <v/>
      </c>
      <c r="H2568" s="21">
        <f>IF(F2568=0,"",MONTH(F2568))</f>
        <v/>
      </c>
      <c r="I2568" s="21">
        <f>IFERROR(INDEX(Pedidos!$E$2:$E$1801,MATCH(B2568,Pedidos!$A$2:$A$1801,0)),"")</f>
        <v/>
      </c>
      <c r="J2568" s="21">
        <f>IFERROR(INDEX(Pedidos!$C$2:$C$1801,MATCH(B2568,Pedidos!$A$2:$A$1801,0)),"")</f>
        <v/>
      </c>
      <c r="K2568" s="21">
        <f>IFERROR(INDEX(Pedidos!$D$2:$D$1801,MATCH(B2568,Pedidos!$A$2:$A$1801,0)),"")</f>
        <v/>
      </c>
      <c r="L2568" s="21">
        <f>IFERROR(INDEX(Pedidos!$F$2:$F$1801,MATCH(B2568,Pedidos!$A$2:$A$1801,0)),"")</f>
        <v/>
      </c>
      <c r="M2568" s="22">
        <f>IFERROR(INDEX(Pedidos!$G$2:$G$1801,MATCH(B2568,Pedidos!$A$2:$A$1801,0)),0)</f>
        <v/>
      </c>
      <c r="N2568" s="21">
        <f>IFERROR(INDEX(Produtos!$B$2:$B$71,MATCH(C2568,Produtos!$A$2:$A$71,0)),"")</f>
        <v/>
      </c>
      <c r="O2568" s="21">
        <f>IFERROR(INDEX(Produtos!$C$2:$C$71,MATCH(C2568,Produtos!$A$2:$A$71,0)),"")</f>
        <v/>
      </c>
      <c r="P2568" s="21">
        <f>IFERROR(INDEX(Produtos!$D$2:$D$71,MATCH(C2568,Produtos!$A$2:$A$71,0)),0)</f>
        <v/>
      </c>
      <c r="Q2568" s="21">
        <f>IFERROR(INDEX(Produtos!$E$2:$E$71,MATCH(C2568,Produtos!$A$2:$A$71,0)),0)</f>
        <v/>
      </c>
      <c r="R2568" s="23">
        <f>D2568*Q2568</f>
        <v/>
      </c>
      <c r="S2568" s="23">
        <f>R2568*E2568</f>
        <v/>
      </c>
      <c r="T2568" s="23">
        <f>(R2568-S2568)*M2568</f>
        <v/>
      </c>
      <c r="U2568" s="23">
        <f>R2568-S2568-T2568</f>
        <v/>
      </c>
      <c r="V2568" s="23">
        <f>D2568*P2568</f>
        <v/>
      </c>
      <c r="W2568" s="23">
        <f>U2568-V2568</f>
        <v/>
      </c>
      <c r="X2568" s="24">
        <f>IFERROR(W2568/U2568,0)</f>
        <v/>
      </c>
    </row>
    <row r="2569">
      <c r="A2569" s="25">
        <f>ItensPedido!A2569</f>
        <v/>
      </c>
      <c r="B2569" s="25">
        <f>ItensPedido!B2569</f>
        <v/>
      </c>
      <c r="C2569" s="25">
        <f>ItensPedido!C2569</f>
        <v/>
      </c>
      <c r="D2569" s="25">
        <f>ItensPedido!D2569</f>
        <v/>
      </c>
      <c r="E2569" s="26">
        <f>ItensPedido!E2569</f>
        <v/>
      </c>
      <c r="F2569" s="25">
        <f>IFERROR(INDEX(Pedidos!$B$2:$B$1801,MATCH(B2569,Pedidos!$A$2:$A$1801,0)),0)</f>
        <v/>
      </c>
      <c r="G2569" s="25">
        <f>IF(F2569=0,"",YEAR(F2569))</f>
        <v/>
      </c>
      <c r="H2569" s="25">
        <f>IF(F2569=0,"",MONTH(F2569))</f>
        <v/>
      </c>
      <c r="I2569" s="25">
        <f>IFERROR(INDEX(Pedidos!$E$2:$E$1801,MATCH(B2569,Pedidos!$A$2:$A$1801,0)),"")</f>
        <v/>
      </c>
      <c r="J2569" s="25">
        <f>IFERROR(INDEX(Pedidos!$C$2:$C$1801,MATCH(B2569,Pedidos!$A$2:$A$1801,0)),"")</f>
        <v/>
      </c>
      <c r="K2569" s="25">
        <f>IFERROR(INDEX(Pedidos!$D$2:$D$1801,MATCH(B2569,Pedidos!$A$2:$A$1801,0)),"")</f>
        <v/>
      </c>
      <c r="L2569" s="25">
        <f>IFERROR(INDEX(Pedidos!$F$2:$F$1801,MATCH(B2569,Pedidos!$A$2:$A$1801,0)),"")</f>
        <v/>
      </c>
      <c r="M2569" s="26">
        <f>IFERROR(INDEX(Pedidos!$G$2:$G$1801,MATCH(B2569,Pedidos!$A$2:$A$1801,0)),0)</f>
        <v/>
      </c>
      <c r="N2569" s="25">
        <f>IFERROR(INDEX(Produtos!$B$2:$B$71,MATCH(C2569,Produtos!$A$2:$A$71,0)),"")</f>
        <v/>
      </c>
      <c r="O2569" s="25">
        <f>IFERROR(INDEX(Produtos!$C$2:$C$71,MATCH(C2569,Produtos!$A$2:$A$71,0)),"")</f>
        <v/>
      </c>
      <c r="P2569" s="25">
        <f>IFERROR(INDEX(Produtos!$D$2:$D$71,MATCH(C2569,Produtos!$A$2:$A$71,0)),0)</f>
        <v/>
      </c>
      <c r="Q2569" s="25">
        <f>IFERROR(INDEX(Produtos!$E$2:$E$71,MATCH(C2569,Produtos!$A$2:$A$71,0)),0)</f>
        <v/>
      </c>
      <c r="R2569" s="27">
        <f>D2569*Q2569</f>
        <v/>
      </c>
      <c r="S2569" s="27">
        <f>R2569*E2569</f>
        <v/>
      </c>
      <c r="T2569" s="27">
        <f>(R2569-S2569)*M2569</f>
        <v/>
      </c>
      <c r="U2569" s="27">
        <f>R2569-S2569-T2569</f>
        <v/>
      </c>
      <c r="V2569" s="27">
        <f>D2569*P2569</f>
        <v/>
      </c>
      <c r="W2569" s="27">
        <f>U2569-V2569</f>
        <v/>
      </c>
      <c r="X2569" s="28">
        <f>IFERROR(W2569/U2569,0)</f>
        <v/>
      </c>
    </row>
    <row r="2570">
      <c r="A2570" s="21">
        <f>ItensPedido!A2570</f>
        <v/>
      </c>
      <c r="B2570" s="21">
        <f>ItensPedido!B2570</f>
        <v/>
      </c>
      <c r="C2570" s="21">
        <f>ItensPedido!C2570</f>
        <v/>
      </c>
      <c r="D2570" s="21">
        <f>ItensPedido!D2570</f>
        <v/>
      </c>
      <c r="E2570" s="22">
        <f>ItensPedido!E2570</f>
        <v/>
      </c>
      <c r="F2570" s="21">
        <f>IFERROR(INDEX(Pedidos!$B$2:$B$1801,MATCH(B2570,Pedidos!$A$2:$A$1801,0)),0)</f>
        <v/>
      </c>
      <c r="G2570" s="21">
        <f>IF(F2570=0,"",YEAR(F2570))</f>
        <v/>
      </c>
      <c r="H2570" s="21">
        <f>IF(F2570=0,"",MONTH(F2570))</f>
        <v/>
      </c>
      <c r="I2570" s="21">
        <f>IFERROR(INDEX(Pedidos!$E$2:$E$1801,MATCH(B2570,Pedidos!$A$2:$A$1801,0)),"")</f>
        <v/>
      </c>
      <c r="J2570" s="21">
        <f>IFERROR(INDEX(Pedidos!$C$2:$C$1801,MATCH(B2570,Pedidos!$A$2:$A$1801,0)),"")</f>
        <v/>
      </c>
      <c r="K2570" s="21">
        <f>IFERROR(INDEX(Pedidos!$D$2:$D$1801,MATCH(B2570,Pedidos!$A$2:$A$1801,0)),"")</f>
        <v/>
      </c>
      <c r="L2570" s="21">
        <f>IFERROR(INDEX(Pedidos!$F$2:$F$1801,MATCH(B2570,Pedidos!$A$2:$A$1801,0)),"")</f>
        <v/>
      </c>
      <c r="M2570" s="22">
        <f>IFERROR(INDEX(Pedidos!$G$2:$G$1801,MATCH(B2570,Pedidos!$A$2:$A$1801,0)),0)</f>
        <v/>
      </c>
      <c r="N2570" s="21">
        <f>IFERROR(INDEX(Produtos!$B$2:$B$71,MATCH(C2570,Produtos!$A$2:$A$71,0)),"")</f>
        <v/>
      </c>
      <c r="O2570" s="21">
        <f>IFERROR(INDEX(Produtos!$C$2:$C$71,MATCH(C2570,Produtos!$A$2:$A$71,0)),"")</f>
        <v/>
      </c>
      <c r="P2570" s="21">
        <f>IFERROR(INDEX(Produtos!$D$2:$D$71,MATCH(C2570,Produtos!$A$2:$A$71,0)),0)</f>
        <v/>
      </c>
      <c r="Q2570" s="21">
        <f>IFERROR(INDEX(Produtos!$E$2:$E$71,MATCH(C2570,Produtos!$A$2:$A$71,0)),0)</f>
        <v/>
      </c>
      <c r="R2570" s="23">
        <f>D2570*Q2570</f>
        <v/>
      </c>
      <c r="S2570" s="23">
        <f>R2570*E2570</f>
        <v/>
      </c>
      <c r="T2570" s="23">
        <f>(R2570-S2570)*M2570</f>
        <v/>
      </c>
      <c r="U2570" s="23">
        <f>R2570-S2570-T2570</f>
        <v/>
      </c>
      <c r="V2570" s="23">
        <f>D2570*P2570</f>
        <v/>
      </c>
      <c r="W2570" s="23">
        <f>U2570-V2570</f>
        <v/>
      </c>
      <c r="X2570" s="24">
        <f>IFERROR(W2570/U2570,0)</f>
        <v/>
      </c>
    </row>
    <row r="2571">
      <c r="A2571" s="25">
        <f>ItensPedido!A2571</f>
        <v/>
      </c>
      <c r="B2571" s="25">
        <f>ItensPedido!B2571</f>
        <v/>
      </c>
      <c r="C2571" s="25">
        <f>ItensPedido!C2571</f>
        <v/>
      </c>
      <c r="D2571" s="25">
        <f>ItensPedido!D2571</f>
        <v/>
      </c>
      <c r="E2571" s="26">
        <f>ItensPedido!E2571</f>
        <v/>
      </c>
      <c r="F2571" s="25">
        <f>IFERROR(INDEX(Pedidos!$B$2:$B$1801,MATCH(B2571,Pedidos!$A$2:$A$1801,0)),0)</f>
        <v/>
      </c>
      <c r="G2571" s="25">
        <f>IF(F2571=0,"",YEAR(F2571))</f>
        <v/>
      </c>
      <c r="H2571" s="25">
        <f>IF(F2571=0,"",MONTH(F2571))</f>
        <v/>
      </c>
      <c r="I2571" s="25">
        <f>IFERROR(INDEX(Pedidos!$E$2:$E$1801,MATCH(B2571,Pedidos!$A$2:$A$1801,0)),"")</f>
        <v/>
      </c>
      <c r="J2571" s="25">
        <f>IFERROR(INDEX(Pedidos!$C$2:$C$1801,MATCH(B2571,Pedidos!$A$2:$A$1801,0)),"")</f>
        <v/>
      </c>
      <c r="K2571" s="25">
        <f>IFERROR(INDEX(Pedidos!$D$2:$D$1801,MATCH(B2571,Pedidos!$A$2:$A$1801,0)),"")</f>
        <v/>
      </c>
      <c r="L2571" s="25">
        <f>IFERROR(INDEX(Pedidos!$F$2:$F$1801,MATCH(B2571,Pedidos!$A$2:$A$1801,0)),"")</f>
        <v/>
      </c>
      <c r="M2571" s="26">
        <f>IFERROR(INDEX(Pedidos!$G$2:$G$1801,MATCH(B2571,Pedidos!$A$2:$A$1801,0)),0)</f>
        <v/>
      </c>
      <c r="N2571" s="25">
        <f>IFERROR(INDEX(Produtos!$B$2:$B$71,MATCH(C2571,Produtos!$A$2:$A$71,0)),"")</f>
        <v/>
      </c>
      <c r="O2571" s="25">
        <f>IFERROR(INDEX(Produtos!$C$2:$C$71,MATCH(C2571,Produtos!$A$2:$A$71,0)),"")</f>
        <v/>
      </c>
      <c r="P2571" s="25">
        <f>IFERROR(INDEX(Produtos!$D$2:$D$71,MATCH(C2571,Produtos!$A$2:$A$71,0)),0)</f>
        <v/>
      </c>
      <c r="Q2571" s="25">
        <f>IFERROR(INDEX(Produtos!$E$2:$E$71,MATCH(C2571,Produtos!$A$2:$A$71,0)),0)</f>
        <v/>
      </c>
      <c r="R2571" s="27">
        <f>D2571*Q2571</f>
        <v/>
      </c>
      <c r="S2571" s="27">
        <f>R2571*E2571</f>
        <v/>
      </c>
      <c r="T2571" s="27">
        <f>(R2571-S2571)*M2571</f>
        <v/>
      </c>
      <c r="U2571" s="27">
        <f>R2571-S2571-T2571</f>
        <v/>
      </c>
      <c r="V2571" s="27">
        <f>D2571*P2571</f>
        <v/>
      </c>
      <c r="W2571" s="27">
        <f>U2571-V2571</f>
        <v/>
      </c>
      <c r="X2571" s="28">
        <f>IFERROR(W2571/U2571,0)</f>
        <v/>
      </c>
    </row>
    <row r="2572">
      <c r="A2572" s="21">
        <f>ItensPedido!A2572</f>
        <v/>
      </c>
      <c r="B2572" s="21">
        <f>ItensPedido!B2572</f>
        <v/>
      </c>
      <c r="C2572" s="21">
        <f>ItensPedido!C2572</f>
        <v/>
      </c>
      <c r="D2572" s="21">
        <f>ItensPedido!D2572</f>
        <v/>
      </c>
      <c r="E2572" s="22">
        <f>ItensPedido!E2572</f>
        <v/>
      </c>
      <c r="F2572" s="21">
        <f>IFERROR(INDEX(Pedidos!$B$2:$B$1801,MATCH(B2572,Pedidos!$A$2:$A$1801,0)),0)</f>
        <v/>
      </c>
      <c r="G2572" s="21">
        <f>IF(F2572=0,"",YEAR(F2572))</f>
        <v/>
      </c>
      <c r="H2572" s="21">
        <f>IF(F2572=0,"",MONTH(F2572))</f>
        <v/>
      </c>
      <c r="I2572" s="21">
        <f>IFERROR(INDEX(Pedidos!$E$2:$E$1801,MATCH(B2572,Pedidos!$A$2:$A$1801,0)),"")</f>
        <v/>
      </c>
      <c r="J2572" s="21">
        <f>IFERROR(INDEX(Pedidos!$C$2:$C$1801,MATCH(B2572,Pedidos!$A$2:$A$1801,0)),"")</f>
        <v/>
      </c>
      <c r="K2572" s="21">
        <f>IFERROR(INDEX(Pedidos!$D$2:$D$1801,MATCH(B2572,Pedidos!$A$2:$A$1801,0)),"")</f>
        <v/>
      </c>
      <c r="L2572" s="21">
        <f>IFERROR(INDEX(Pedidos!$F$2:$F$1801,MATCH(B2572,Pedidos!$A$2:$A$1801,0)),"")</f>
        <v/>
      </c>
      <c r="M2572" s="22">
        <f>IFERROR(INDEX(Pedidos!$G$2:$G$1801,MATCH(B2572,Pedidos!$A$2:$A$1801,0)),0)</f>
        <v/>
      </c>
      <c r="N2572" s="21">
        <f>IFERROR(INDEX(Produtos!$B$2:$B$71,MATCH(C2572,Produtos!$A$2:$A$71,0)),"")</f>
        <v/>
      </c>
      <c r="O2572" s="21">
        <f>IFERROR(INDEX(Produtos!$C$2:$C$71,MATCH(C2572,Produtos!$A$2:$A$71,0)),"")</f>
        <v/>
      </c>
      <c r="P2572" s="21">
        <f>IFERROR(INDEX(Produtos!$D$2:$D$71,MATCH(C2572,Produtos!$A$2:$A$71,0)),0)</f>
        <v/>
      </c>
      <c r="Q2572" s="21">
        <f>IFERROR(INDEX(Produtos!$E$2:$E$71,MATCH(C2572,Produtos!$A$2:$A$71,0)),0)</f>
        <v/>
      </c>
      <c r="R2572" s="23">
        <f>D2572*Q2572</f>
        <v/>
      </c>
      <c r="S2572" s="23">
        <f>R2572*E2572</f>
        <v/>
      </c>
      <c r="T2572" s="23">
        <f>(R2572-S2572)*M2572</f>
        <v/>
      </c>
      <c r="U2572" s="23">
        <f>R2572-S2572-T2572</f>
        <v/>
      </c>
      <c r="V2572" s="23">
        <f>D2572*P2572</f>
        <v/>
      </c>
      <c r="W2572" s="23">
        <f>U2572-V2572</f>
        <v/>
      </c>
      <c r="X2572" s="24">
        <f>IFERROR(W2572/U2572,0)</f>
        <v/>
      </c>
    </row>
    <row r="2573">
      <c r="A2573" s="25">
        <f>ItensPedido!A2573</f>
        <v/>
      </c>
      <c r="B2573" s="25">
        <f>ItensPedido!B2573</f>
        <v/>
      </c>
      <c r="C2573" s="25">
        <f>ItensPedido!C2573</f>
        <v/>
      </c>
      <c r="D2573" s="25">
        <f>ItensPedido!D2573</f>
        <v/>
      </c>
      <c r="E2573" s="26">
        <f>ItensPedido!E2573</f>
        <v/>
      </c>
      <c r="F2573" s="25">
        <f>IFERROR(INDEX(Pedidos!$B$2:$B$1801,MATCH(B2573,Pedidos!$A$2:$A$1801,0)),0)</f>
        <v/>
      </c>
      <c r="G2573" s="25">
        <f>IF(F2573=0,"",YEAR(F2573))</f>
        <v/>
      </c>
      <c r="H2573" s="25">
        <f>IF(F2573=0,"",MONTH(F2573))</f>
        <v/>
      </c>
      <c r="I2573" s="25">
        <f>IFERROR(INDEX(Pedidos!$E$2:$E$1801,MATCH(B2573,Pedidos!$A$2:$A$1801,0)),"")</f>
        <v/>
      </c>
      <c r="J2573" s="25">
        <f>IFERROR(INDEX(Pedidos!$C$2:$C$1801,MATCH(B2573,Pedidos!$A$2:$A$1801,0)),"")</f>
        <v/>
      </c>
      <c r="K2573" s="25">
        <f>IFERROR(INDEX(Pedidos!$D$2:$D$1801,MATCH(B2573,Pedidos!$A$2:$A$1801,0)),"")</f>
        <v/>
      </c>
      <c r="L2573" s="25">
        <f>IFERROR(INDEX(Pedidos!$F$2:$F$1801,MATCH(B2573,Pedidos!$A$2:$A$1801,0)),"")</f>
        <v/>
      </c>
      <c r="M2573" s="26">
        <f>IFERROR(INDEX(Pedidos!$G$2:$G$1801,MATCH(B2573,Pedidos!$A$2:$A$1801,0)),0)</f>
        <v/>
      </c>
      <c r="N2573" s="25">
        <f>IFERROR(INDEX(Produtos!$B$2:$B$71,MATCH(C2573,Produtos!$A$2:$A$71,0)),"")</f>
        <v/>
      </c>
      <c r="O2573" s="25">
        <f>IFERROR(INDEX(Produtos!$C$2:$C$71,MATCH(C2573,Produtos!$A$2:$A$71,0)),"")</f>
        <v/>
      </c>
      <c r="P2573" s="25">
        <f>IFERROR(INDEX(Produtos!$D$2:$D$71,MATCH(C2573,Produtos!$A$2:$A$71,0)),0)</f>
        <v/>
      </c>
      <c r="Q2573" s="25">
        <f>IFERROR(INDEX(Produtos!$E$2:$E$71,MATCH(C2573,Produtos!$A$2:$A$71,0)),0)</f>
        <v/>
      </c>
      <c r="R2573" s="27">
        <f>D2573*Q2573</f>
        <v/>
      </c>
      <c r="S2573" s="27">
        <f>R2573*E2573</f>
        <v/>
      </c>
      <c r="T2573" s="27">
        <f>(R2573-S2573)*M2573</f>
        <v/>
      </c>
      <c r="U2573" s="27">
        <f>R2573-S2573-T2573</f>
        <v/>
      </c>
      <c r="V2573" s="27">
        <f>D2573*P2573</f>
        <v/>
      </c>
      <c r="W2573" s="27">
        <f>U2573-V2573</f>
        <v/>
      </c>
      <c r="X2573" s="28">
        <f>IFERROR(W2573/U2573,0)</f>
        <v/>
      </c>
    </row>
    <row r="2574">
      <c r="A2574" s="21">
        <f>ItensPedido!A2574</f>
        <v/>
      </c>
      <c r="B2574" s="21">
        <f>ItensPedido!B2574</f>
        <v/>
      </c>
      <c r="C2574" s="21">
        <f>ItensPedido!C2574</f>
        <v/>
      </c>
      <c r="D2574" s="21">
        <f>ItensPedido!D2574</f>
        <v/>
      </c>
      <c r="E2574" s="22">
        <f>ItensPedido!E2574</f>
        <v/>
      </c>
      <c r="F2574" s="21">
        <f>IFERROR(INDEX(Pedidos!$B$2:$B$1801,MATCH(B2574,Pedidos!$A$2:$A$1801,0)),0)</f>
        <v/>
      </c>
      <c r="G2574" s="21">
        <f>IF(F2574=0,"",YEAR(F2574))</f>
        <v/>
      </c>
      <c r="H2574" s="21">
        <f>IF(F2574=0,"",MONTH(F2574))</f>
        <v/>
      </c>
      <c r="I2574" s="21">
        <f>IFERROR(INDEX(Pedidos!$E$2:$E$1801,MATCH(B2574,Pedidos!$A$2:$A$1801,0)),"")</f>
        <v/>
      </c>
      <c r="J2574" s="21">
        <f>IFERROR(INDEX(Pedidos!$C$2:$C$1801,MATCH(B2574,Pedidos!$A$2:$A$1801,0)),"")</f>
        <v/>
      </c>
      <c r="K2574" s="21">
        <f>IFERROR(INDEX(Pedidos!$D$2:$D$1801,MATCH(B2574,Pedidos!$A$2:$A$1801,0)),"")</f>
        <v/>
      </c>
      <c r="L2574" s="21">
        <f>IFERROR(INDEX(Pedidos!$F$2:$F$1801,MATCH(B2574,Pedidos!$A$2:$A$1801,0)),"")</f>
        <v/>
      </c>
      <c r="M2574" s="22">
        <f>IFERROR(INDEX(Pedidos!$G$2:$G$1801,MATCH(B2574,Pedidos!$A$2:$A$1801,0)),0)</f>
        <v/>
      </c>
      <c r="N2574" s="21">
        <f>IFERROR(INDEX(Produtos!$B$2:$B$71,MATCH(C2574,Produtos!$A$2:$A$71,0)),"")</f>
        <v/>
      </c>
      <c r="O2574" s="21">
        <f>IFERROR(INDEX(Produtos!$C$2:$C$71,MATCH(C2574,Produtos!$A$2:$A$71,0)),"")</f>
        <v/>
      </c>
      <c r="P2574" s="21">
        <f>IFERROR(INDEX(Produtos!$D$2:$D$71,MATCH(C2574,Produtos!$A$2:$A$71,0)),0)</f>
        <v/>
      </c>
      <c r="Q2574" s="21">
        <f>IFERROR(INDEX(Produtos!$E$2:$E$71,MATCH(C2574,Produtos!$A$2:$A$71,0)),0)</f>
        <v/>
      </c>
      <c r="R2574" s="23">
        <f>D2574*Q2574</f>
        <v/>
      </c>
      <c r="S2574" s="23">
        <f>R2574*E2574</f>
        <v/>
      </c>
      <c r="T2574" s="23">
        <f>(R2574-S2574)*M2574</f>
        <v/>
      </c>
      <c r="U2574" s="23">
        <f>R2574-S2574-T2574</f>
        <v/>
      </c>
      <c r="V2574" s="23">
        <f>D2574*P2574</f>
        <v/>
      </c>
      <c r="W2574" s="23">
        <f>U2574-V2574</f>
        <v/>
      </c>
      <c r="X2574" s="24">
        <f>IFERROR(W2574/U2574,0)</f>
        <v/>
      </c>
    </row>
    <row r="2575">
      <c r="A2575" s="25">
        <f>ItensPedido!A2575</f>
        <v/>
      </c>
      <c r="B2575" s="25">
        <f>ItensPedido!B2575</f>
        <v/>
      </c>
      <c r="C2575" s="25">
        <f>ItensPedido!C2575</f>
        <v/>
      </c>
      <c r="D2575" s="25">
        <f>ItensPedido!D2575</f>
        <v/>
      </c>
      <c r="E2575" s="26">
        <f>ItensPedido!E2575</f>
        <v/>
      </c>
      <c r="F2575" s="25">
        <f>IFERROR(INDEX(Pedidos!$B$2:$B$1801,MATCH(B2575,Pedidos!$A$2:$A$1801,0)),0)</f>
        <v/>
      </c>
      <c r="G2575" s="25">
        <f>IF(F2575=0,"",YEAR(F2575))</f>
        <v/>
      </c>
      <c r="H2575" s="25">
        <f>IF(F2575=0,"",MONTH(F2575))</f>
        <v/>
      </c>
      <c r="I2575" s="25">
        <f>IFERROR(INDEX(Pedidos!$E$2:$E$1801,MATCH(B2575,Pedidos!$A$2:$A$1801,0)),"")</f>
        <v/>
      </c>
      <c r="J2575" s="25">
        <f>IFERROR(INDEX(Pedidos!$C$2:$C$1801,MATCH(B2575,Pedidos!$A$2:$A$1801,0)),"")</f>
        <v/>
      </c>
      <c r="K2575" s="25">
        <f>IFERROR(INDEX(Pedidos!$D$2:$D$1801,MATCH(B2575,Pedidos!$A$2:$A$1801,0)),"")</f>
        <v/>
      </c>
      <c r="L2575" s="25">
        <f>IFERROR(INDEX(Pedidos!$F$2:$F$1801,MATCH(B2575,Pedidos!$A$2:$A$1801,0)),"")</f>
        <v/>
      </c>
      <c r="M2575" s="26">
        <f>IFERROR(INDEX(Pedidos!$G$2:$G$1801,MATCH(B2575,Pedidos!$A$2:$A$1801,0)),0)</f>
        <v/>
      </c>
      <c r="N2575" s="25">
        <f>IFERROR(INDEX(Produtos!$B$2:$B$71,MATCH(C2575,Produtos!$A$2:$A$71,0)),"")</f>
        <v/>
      </c>
      <c r="O2575" s="25">
        <f>IFERROR(INDEX(Produtos!$C$2:$C$71,MATCH(C2575,Produtos!$A$2:$A$71,0)),"")</f>
        <v/>
      </c>
      <c r="P2575" s="25">
        <f>IFERROR(INDEX(Produtos!$D$2:$D$71,MATCH(C2575,Produtos!$A$2:$A$71,0)),0)</f>
        <v/>
      </c>
      <c r="Q2575" s="25">
        <f>IFERROR(INDEX(Produtos!$E$2:$E$71,MATCH(C2575,Produtos!$A$2:$A$71,0)),0)</f>
        <v/>
      </c>
      <c r="R2575" s="27">
        <f>D2575*Q2575</f>
        <v/>
      </c>
      <c r="S2575" s="27">
        <f>R2575*E2575</f>
        <v/>
      </c>
      <c r="T2575" s="27">
        <f>(R2575-S2575)*M2575</f>
        <v/>
      </c>
      <c r="U2575" s="27">
        <f>R2575-S2575-T2575</f>
        <v/>
      </c>
      <c r="V2575" s="27">
        <f>D2575*P2575</f>
        <v/>
      </c>
      <c r="W2575" s="27">
        <f>U2575-V2575</f>
        <v/>
      </c>
      <c r="X2575" s="28">
        <f>IFERROR(W2575/U2575,0)</f>
        <v/>
      </c>
    </row>
    <row r="2576">
      <c r="A2576" s="21">
        <f>ItensPedido!A2576</f>
        <v/>
      </c>
      <c r="B2576" s="21">
        <f>ItensPedido!B2576</f>
        <v/>
      </c>
      <c r="C2576" s="21">
        <f>ItensPedido!C2576</f>
        <v/>
      </c>
      <c r="D2576" s="21">
        <f>ItensPedido!D2576</f>
        <v/>
      </c>
      <c r="E2576" s="22">
        <f>ItensPedido!E2576</f>
        <v/>
      </c>
      <c r="F2576" s="21">
        <f>IFERROR(INDEX(Pedidos!$B$2:$B$1801,MATCH(B2576,Pedidos!$A$2:$A$1801,0)),0)</f>
        <v/>
      </c>
      <c r="G2576" s="21">
        <f>IF(F2576=0,"",YEAR(F2576))</f>
        <v/>
      </c>
      <c r="H2576" s="21">
        <f>IF(F2576=0,"",MONTH(F2576))</f>
        <v/>
      </c>
      <c r="I2576" s="21">
        <f>IFERROR(INDEX(Pedidos!$E$2:$E$1801,MATCH(B2576,Pedidos!$A$2:$A$1801,0)),"")</f>
        <v/>
      </c>
      <c r="J2576" s="21">
        <f>IFERROR(INDEX(Pedidos!$C$2:$C$1801,MATCH(B2576,Pedidos!$A$2:$A$1801,0)),"")</f>
        <v/>
      </c>
      <c r="K2576" s="21">
        <f>IFERROR(INDEX(Pedidos!$D$2:$D$1801,MATCH(B2576,Pedidos!$A$2:$A$1801,0)),"")</f>
        <v/>
      </c>
      <c r="L2576" s="21">
        <f>IFERROR(INDEX(Pedidos!$F$2:$F$1801,MATCH(B2576,Pedidos!$A$2:$A$1801,0)),"")</f>
        <v/>
      </c>
      <c r="M2576" s="22">
        <f>IFERROR(INDEX(Pedidos!$G$2:$G$1801,MATCH(B2576,Pedidos!$A$2:$A$1801,0)),0)</f>
        <v/>
      </c>
      <c r="N2576" s="21">
        <f>IFERROR(INDEX(Produtos!$B$2:$B$71,MATCH(C2576,Produtos!$A$2:$A$71,0)),"")</f>
        <v/>
      </c>
      <c r="O2576" s="21">
        <f>IFERROR(INDEX(Produtos!$C$2:$C$71,MATCH(C2576,Produtos!$A$2:$A$71,0)),"")</f>
        <v/>
      </c>
      <c r="P2576" s="21">
        <f>IFERROR(INDEX(Produtos!$D$2:$D$71,MATCH(C2576,Produtos!$A$2:$A$71,0)),0)</f>
        <v/>
      </c>
      <c r="Q2576" s="21">
        <f>IFERROR(INDEX(Produtos!$E$2:$E$71,MATCH(C2576,Produtos!$A$2:$A$71,0)),0)</f>
        <v/>
      </c>
      <c r="R2576" s="23">
        <f>D2576*Q2576</f>
        <v/>
      </c>
      <c r="S2576" s="23">
        <f>R2576*E2576</f>
        <v/>
      </c>
      <c r="T2576" s="23">
        <f>(R2576-S2576)*M2576</f>
        <v/>
      </c>
      <c r="U2576" s="23">
        <f>R2576-S2576-T2576</f>
        <v/>
      </c>
      <c r="V2576" s="23">
        <f>D2576*P2576</f>
        <v/>
      </c>
      <c r="W2576" s="23">
        <f>U2576-V2576</f>
        <v/>
      </c>
      <c r="X2576" s="24">
        <f>IFERROR(W2576/U2576,0)</f>
        <v/>
      </c>
    </row>
    <row r="2577">
      <c r="A2577" s="25">
        <f>ItensPedido!A2577</f>
        <v/>
      </c>
      <c r="B2577" s="25">
        <f>ItensPedido!B2577</f>
        <v/>
      </c>
      <c r="C2577" s="25">
        <f>ItensPedido!C2577</f>
        <v/>
      </c>
      <c r="D2577" s="25">
        <f>ItensPedido!D2577</f>
        <v/>
      </c>
      <c r="E2577" s="26">
        <f>ItensPedido!E2577</f>
        <v/>
      </c>
      <c r="F2577" s="25">
        <f>IFERROR(INDEX(Pedidos!$B$2:$B$1801,MATCH(B2577,Pedidos!$A$2:$A$1801,0)),0)</f>
        <v/>
      </c>
      <c r="G2577" s="25">
        <f>IF(F2577=0,"",YEAR(F2577))</f>
        <v/>
      </c>
      <c r="H2577" s="25">
        <f>IF(F2577=0,"",MONTH(F2577))</f>
        <v/>
      </c>
      <c r="I2577" s="25">
        <f>IFERROR(INDEX(Pedidos!$E$2:$E$1801,MATCH(B2577,Pedidos!$A$2:$A$1801,0)),"")</f>
        <v/>
      </c>
      <c r="J2577" s="25">
        <f>IFERROR(INDEX(Pedidos!$C$2:$C$1801,MATCH(B2577,Pedidos!$A$2:$A$1801,0)),"")</f>
        <v/>
      </c>
      <c r="K2577" s="25">
        <f>IFERROR(INDEX(Pedidos!$D$2:$D$1801,MATCH(B2577,Pedidos!$A$2:$A$1801,0)),"")</f>
        <v/>
      </c>
      <c r="L2577" s="25">
        <f>IFERROR(INDEX(Pedidos!$F$2:$F$1801,MATCH(B2577,Pedidos!$A$2:$A$1801,0)),"")</f>
        <v/>
      </c>
      <c r="M2577" s="26">
        <f>IFERROR(INDEX(Pedidos!$G$2:$G$1801,MATCH(B2577,Pedidos!$A$2:$A$1801,0)),0)</f>
        <v/>
      </c>
      <c r="N2577" s="25">
        <f>IFERROR(INDEX(Produtos!$B$2:$B$71,MATCH(C2577,Produtos!$A$2:$A$71,0)),"")</f>
        <v/>
      </c>
      <c r="O2577" s="25">
        <f>IFERROR(INDEX(Produtos!$C$2:$C$71,MATCH(C2577,Produtos!$A$2:$A$71,0)),"")</f>
        <v/>
      </c>
      <c r="P2577" s="25">
        <f>IFERROR(INDEX(Produtos!$D$2:$D$71,MATCH(C2577,Produtos!$A$2:$A$71,0)),0)</f>
        <v/>
      </c>
      <c r="Q2577" s="25">
        <f>IFERROR(INDEX(Produtos!$E$2:$E$71,MATCH(C2577,Produtos!$A$2:$A$71,0)),0)</f>
        <v/>
      </c>
      <c r="R2577" s="27">
        <f>D2577*Q2577</f>
        <v/>
      </c>
      <c r="S2577" s="27">
        <f>R2577*E2577</f>
        <v/>
      </c>
      <c r="T2577" s="27">
        <f>(R2577-S2577)*M2577</f>
        <v/>
      </c>
      <c r="U2577" s="27">
        <f>R2577-S2577-T2577</f>
        <v/>
      </c>
      <c r="V2577" s="27">
        <f>D2577*P2577</f>
        <v/>
      </c>
      <c r="W2577" s="27">
        <f>U2577-V2577</f>
        <v/>
      </c>
      <c r="X2577" s="28">
        <f>IFERROR(W2577/U2577,0)</f>
        <v/>
      </c>
    </row>
    <row r="2578">
      <c r="A2578" s="21">
        <f>ItensPedido!A2578</f>
        <v/>
      </c>
      <c r="B2578" s="21">
        <f>ItensPedido!B2578</f>
        <v/>
      </c>
      <c r="C2578" s="21">
        <f>ItensPedido!C2578</f>
        <v/>
      </c>
      <c r="D2578" s="21">
        <f>ItensPedido!D2578</f>
        <v/>
      </c>
      <c r="E2578" s="22">
        <f>ItensPedido!E2578</f>
        <v/>
      </c>
      <c r="F2578" s="21">
        <f>IFERROR(INDEX(Pedidos!$B$2:$B$1801,MATCH(B2578,Pedidos!$A$2:$A$1801,0)),0)</f>
        <v/>
      </c>
      <c r="G2578" s="21">
        <f>IF(F2578=0,"",YEAR(F2578))</f>
        <v/>
      </c>
      <c r="H2578" s="21">
        <f>IF(F2578=0,"",MONTH(F2578))</f>
        <v/>
      </c>
      <c r="I2578" s="21">
        <f>IFERROR(INDEX(Pedidos!$E$2:$E$1801,MATCH(B2578,Pedidos!$A$2:$A$1801,0)),"")</f>
        <v/>
      </c>
      <c r="J2578" s="21">
        <f>IFERROR(INDEX(Pedidos!$C$2:$C$1801,MATCH(B2578,Pedidos!$A$2:$A$1801,0)),"")</f>
        <v/>
      </c>
      <c r="K2578" s="21">
        <f>IFERROR(INDEX(Pedidos!$D$2:$D$1801,MATCH(B2578,Pedidos!$A$2:$A$1801,0)),"")</f>
        <v/>
      </c>
      <c r="L2578" s="21">
        <f>IFERROR(INDEX(Pedidos!$F$2:$F$1801,MATCH(B2578,Pedidos!$A$2:$A$1801,0)),"")</f>
        <v/>
      </c>
      <c r="M2578" s="22">
        <f>IFERROR(INDEX(Pedidos!$G$2:$G$1801,MATCH(B2578,Pedidos!$A$2:$A$1801,0)),0)</f>
        <v/>
      </c>
      <c r="N2578" s="21">
        <f>IFERROR(INDEX(Produtos!$B$2:$B$71,MATCH(C2578,Produtos!$A$2:$A$71,0)),"")</f>
        <v/>
      </c>
      <c r="O2578" s="21">
        <f>IFERROR(INDEX(Produtos!$C$2:$C$71,MATCH(C2578,Produtos!$A$2:$A$71,0)),"")</f>
        <v/>
      </c>
      <c r="P2578" s="21">
        <f>IFERROR(INDEX(Produtos!$D$2:$D$71,MATCH(C2578,Produtos!$A$2:$A$71,0)),0)</f>
        <v/>
      </c>
      <c r="Q2578" s="21">
        <f>IFERROR(INDEX(Produtos!$E$2:$E$71,MATCH(C2578,Produtos!$A$2:$A$71,0)),0)</f>
        <v/>
      </c>
      <c r="R2578" s="23">
        <f>D2578*Q2578</f>
        <v/>
      </c>
      <c r="S2578" s="23">
        <f>R2578*E2578</f>
        <v/>
      </c>
      <c r="T2578" s="23">
        <f>(R2578-S2578)*M2578</f>
        <v/>
      </c>
      <c r="U2578" s="23">
        <f>R2578-S2578-T2578</f>
        <v/>
      </c>
      <c r="V2578" s="23">
        <f>D2578*P2578</f>
        <v/>
      </c>
      <c r="W2578" s="23">
        <f>U2578-V2578</f>
        <v/>
      </c>
      <c r="X2578" s="24">
        <f>IFERROR(W2578/U2578,0)</f>
        <v/>
      </c>
    </row>
    <row r="2579">
      <c r="A2579" s="25">
        <f>ItensPedido!A2579</f>
        <v/>
      </c>
      <c r="B2579" s="25">
        <f>ItensPedido!B2579</f>
        <v/>
      </c>
      <c r="C2579" s="25">
        <f>ItensPedido!C2579</f>
        <v/>
      </c>
      <c r="D2579" s="25">
        <f>ItensPedido!D2579</f>
        <v/>
      </c>
      <c r="E2579" s="26">
        <f>ItensPedido!E2579</f>
        <v/>
      </c>
      <c r="F2579" s="25">
        <f>IFERROR(INDEX(Pedidos!$B$2:$B$1801,MATCH(B2579,Pedidos!$A$2:$A$1801,0)),0)</f>
        <v/>
      </c>
      <c r="G2579" s="25">
        <f>IF(F2579=0,"",YEAR(F2579))</f>
        <v/>
      </c>
      <c r="H2579" s="25">
        <f>IF(F2579=0,"",MONTH(F2579))</f>
        <v/>
      </c>
      <c r="I2579" s="25">
        <f>IFERROR(INDEX(Pedidos!$E$2:$E$1801,MATCH(B2579,Pedidos!$A$2:$A$1801,0)),"")</f>
        <v/>
      </c>
      <c r="J2579" s="25">
        <f>IFERROR(INDEX(Pedidos!$C$2:$C$1801,MATCH(B2579,Pedidos!$A$2:$A$1801,0)),"")</f>
        <v/>
      </c>
      <c r="K2579" s="25">
        <f>IFERROR(INDEX(Pedidos!$D$2:$D$1801,MATCH(B2579,Pedidos!$A$2:$A$1801,0)),"")</f>
        <v/>
      </c>
      <c r="L2579" s="25">
        <f>IFERROR(INDEX(Pedidos!$F$2:$F$1801,MATCH(B2579,Pedidos!$A$2:$A$1801,0)),"")</f>
        <v/>
      </c>
      <c r="M2579" s="26">
        <f>IFERROR(INDEX(Pedidos!$G$2:$G$1801,MATCH(B2579,Pedidos!$A$2:$A$1801,0)),0)</f>
        <v/>
      </c>
      <c r="N2579" s="25">
        <f>IFERROR(INDEX(Produtos!$B$2:$B$71,MATCH(C2579,Produtos!$A$2:$A$71,0)),"")</f>
        <v/>
      </c>
      <c r="O2579" s="25">
        <f>IFERROR(INDEX(Produtos!$C$2:$C$71,MATCH(C2579,Produtos!$A$2:$A$71,0)),"")</f>
        <v/>
      </c>
      <c r="P2579" s="25">
        <f>IFERROR(INDEX(Produtos!$D$2:$D$71,MATCH(C2579,Produtos!$A$2:$A$71,0)),0)</f>
        <v/>
      </c>
      <c r="Q2579" s="25">
        <f>IFERROR(INDEX(Produtos!$E$2:$E$71,MATCH(C2579,Produtos!$A$2:$A$71,0)),0)</f>
        <v/>
      </c>
      <c r="R2579" s="27">
        <f>D2579*Q2579</f>
        <v/>
      </c>
      <c r="S2579" s="27">
        <f>R2579*E2579</f>
        <v/>
      </c>
      <c r="T2579" s="27">
        <f>(R2579-S2579)*M2579</f>
        <v/>
      </c>
      <c r="U2579" s="27">
        <f>R2579-S2579-T2579</f>
        <v/>
      </c>
      <c r="V2579" s="27">
        <f>D2579*P2579</f>
        <v/>
      </c>
      <c r="W2579" s="27">
        <f>U2579-V2579</f>
        <v/>
      </c>
      <c r="X2579" s="28">
        <f>IFERROR(W2579/U2579,0)</f>
        <v/>
      </c>
    </row>
    <row r="2580">
      <c r="A2580" s="21">
        <f>ItensPedido!A2580</f>
        <v/>
      </c>
      <c r="B2580" s="21">
        <f>ItensPedido!B2580</f>
        <v/>
      </c>
      <c r="C2580" s="21">
        <f>ItensPedido!C2580</f>
        <v/>
      </c>
      <c r="D2580" s="21">
        <f>ItensPedido!D2580</f>
        <v/>
      </c>
      <c r="E2580" s="22">
        <f>ItensPedido!E2580</f>
        <v/>
      </c>
      <c r="F2580" s="21">
        <f>IFERROR(INDEX(Pedidos!$B$2:$B$1801,MATCH(B2580,Pedidos!$A$2:$A$1801,0)),0)</f>
        <v/>
      </c>
      <c r="G2580" s="21">
        <f>IF(F2580=0,"",YEAR(F2580))</f>
        <v/>
      </c>
      <c r="H2580" s="21">
        <f>IF(F2580=0,"",MONTH(F2580))</f>
        <v/>
      </c>
      <c r="I2580" s="21">
        <f>IFERROR(INDEX(Pedidos!$E$2:$E$1801,MATCH(B2580,Pedidos!$A$2:$A$1801,0)),"")</f>
        <v/>
      </c>
      <c r="J2580" s="21">
        <f>IFERROR(INDEX(Pedidos!$C$2:$C$1801,MATCH(B2580,Pedidos!$A$2:$A$1801,0)),"")</f>
        <v/>
      </c>
      <c r="K2580" s="21">
        <f>IFERROR(INDEX(Pedidos!$D$2:$D$1801,MATCH(B2580,Pedidos!$A$2:$A$1801,0)),"")</f>
        <v/>
      </c>
      <c r="L2580" s="21">
        <f>IFERROR(INDEX(Pedidos!$F$2:$F$1801,MATCH(B2580,Pedidos!$A$2:$A$1801,0)),"")</f>
        <v/>
      </c>
      <c r="M2580" s="22">
        <f>IFERROR(INDEX(Pedidos!$G$2:$G$1801,MATCH(B2580,Pedidos!$A$2:$A$1801,0)),0)</f>
        <v/>
      </c>
      <c r="N2580" s="21">
        <f>IFERROR(INDEX(Produtos!$B$2:$B$71,MATCH(C2580,Produtos!$A$2:$A$71,0)),"")</f>
        <v/>
      </c>
      <c r="O2580" s="21">
        <f>IFERROR(INDEX(Produtos!$C$2:$C$71,MATCH(C2580,Produtos!$A$2:$A$71,0)),"")</f>
        <v/>
      </c>
      <c r="P2580" s="21">
        <f>IFERROR(INDEX(Produtos!$D$2:$D$71,MATCH(C2580,Produtos!$A$2:$A$71,0)),0)</f>
        <v/>
      </c>
      <c r="Q2580" s="21">
        <f>IFERROR(INDEX(Produtos!$E$2:$E$71,MATCH(C2580,Produtos!$A$2:$A$71,0)),0)</f>
        <v/>
      </c>
      <c r="R2580" s="23">
        <f>D2580*Q2580</f>
        <v/>
      </c>
      <c r="S2580" s="23">
        <f>R2580*E2580</f>
        <v/>
      </c>
      <c r="T2580" s="23">
        <f>(R2580-S2580)*M2580</f>
        <v/>
      </c>
      <c r="U2580" s="23">
        <f>R2580-S2580-T2580</f>
        <v/>
      </c>
      <c r="V2580" s="23">
        <f>D2580*P2580</f>
        <v/>
      </c>
      <c r="W2580" s="23">
        <f>U2580-V2580</f>
        <v/>
      </c>
      <c r="X2580" s="24">
        <f>IFERROR(W2580/U2580,0)</f>
        <v/>
      </c>
    </row>
    <row r="2581">
      <c r="A2581" s="25">
        <f>ItensPedido!A2581</f>
        <v/>
      </c>
      <c r="B2581" s="25">
        <f>ItensPedido!B2581</f>
        <v/>
      </c>
      <c r="C2581" s="25">
        <f>ItensPedido!C2581</f>
        <v/>
      </c>
      <c r="D2581" s="25">
        <f>ItensPedido!D2581</f>
        <v/>
      </c>
      <c r="E2581" s="26">
        <f>ItensPedido!E2581</f>
        <v/>
      </c>
      <c r="F2581" s="25">
        <f>IFERROR(INDEX(Pedidos!$B$2:$B$1801,MATCH(B2581,Pedidos!$A$2:$A$1801,0)),0)</f>
        <v/>
      </c>
      <c r="G2581" s="25">
        <f>IF(F2581=0,"",YEAR(F2581))</f>
        <v/>
      </c>
      <c r="H2581" s="25">
        <f>IF(F2581=0,"",MONTH(F2581))</f>
        <v/>
      </c>
      <c r="I2581" s="25">
        <f>IFERROR(INDEX(Pedidos!$E$2:$E$1801,MATCH(B2581,Pedidos!$A$2:$A$1801,0)),"")</f>
        <v/>
      </c>
      <c r="J2581" s="25">
        <f>IFERROR(INDEX(Pedidos!$C$2:$C$1801,MATCH(B2581,Pedidos!$A$2:$A$1801,0)),"")</f>
        <v/>
      </c>
      <c r="K2581" s="25">
        <f>IFERROR(INDEX(Pedidos!$D$2:$D$1801,MATCH(B2581,Pedidos!$A$2:$A$1801,0)),"")</f>
        <v/>
      </c>
      <c r="L2581" s="25">
        <f>IFERROR(INDEX(Pedidos!$F$2:$F$1801,MATCH(B2581,Pedidos!$A$2:$A$1801,0)),"")</f>
        <v/>
      </c>
      <c r="M2581" s="26">
        <f>IFERROR(INDEX(Pedidos!$G$2:$G$1801,MATCH(B2581,Pedidos!$A$2:$A$1801,0)),0)</f>
        <v/>
      </c>
      <c r="N2581" s="25">
        <f>IFERROR(INDEX(Produtos!$B$2:$B$71,MATCH(C2581,Produtos!$A$2:$A$71,0)),"")</f>
        <v/>
      </c>
      <c r="O2581" s="25">
        <f>IFERROR(INDEX(Produtos!$C$2:$C$71,MATCH(C2581,Produtos!$A$2:$A$71,0)),"")</f>
        <v/>
      </c>
      <c r="P2581" s="25">
        <f>IFERROR(INDEX(Produtos!$D$2:$D$71,MATCH(C2581,Produtos!$A$2:$A$71,0)),0)</f>
        <v/>
      </c>
      <c r="Q2581" s="25">
        <f>IFERROR(INDEX(Produtos!$E$2:$E$71,MATCH(C2581,Produtos!$A$2:$A$71,0)),0)</f>
        <v/>
      </c>
      <c r="R2581" s="27">
        <f>D2581*Q2581</f>
        <v/>
      </c>
      <c r="S2581" s="27">
        <f>R2581*E2581</f>
        <v/>
      </c>
      <c r="T2581" s="27">
        <f>(R2581-S2581)*M2581</f>
        <v/>
      </c>
      <c r="U2581" s="27">
        <f>R2581-S2581-T2581</f>
        <v/>
      </c>
      <c r="V2581" s="27">
        <f>D2581*P2581</f>
        <v/>
      </c>
      <c r="W2581" s="27">
        <f>U2581-V2581</f>
        <v/>
      </c>
      <c r="X2581" s="28">
        <f>IFERROR(W2581/U2581,0)</f>
        <v/>
      </c>
    </row>
    <row r="2582">
      <c r="A2582" s="21">
        <f>ItensPedido!A2582</f>
        <v/>
      </c>
      <c r="B2582" s="21">
        <f>ItensPedido!B2582</f>
        <v/>
      </c>
      <c r="C2582" s="21">
        <f>ItensPedido!C2582</f>
        <v/>
      </c>
      <c r="D2582" s="21">
        <f>ItensPedido!D2582</f>
        <v/>
      </c>
      <c r="E2582" s="22">
        <f>ItensPedido!E2582</f>
        <v/>
      </c>
      <c r="F2582" s="21">
        <f>IFERROR(INDEX(Pedidos!$B$2:$B$1801,MATCH(B2582,Pedidos!$A$2:$A$1801,0)),0)</f>
        <v/>
      </c>
      <c r="G2582" s="21">
        <f>IF(F2582=0,"",YEAR(F2582))</f>
        <v/>
      </c>
      <c r="H2582" s="21">
        <f>IF(F2582=0,"",MONTH(F2582))</f>
        <v/>
      </c>
      <c r="I2582" s="21">
        <f>IFERROR(INDEX(Pedidos!$E$2:$E$1801,MATCH(B2582,Pedidos!$A$2:$A$1801,0)),"")</f>
        <v/>
      </c>
      <c r="J2582" s="21">
        <f>IFERROR(INDEX(Pedidos!$C$2:$C$1801,MATCH(B2582,Pedidos!$A$2:$A$1801,0)),"")</f>
        <v/>
      </c>
      <c r="K2582" s="21">
        <f>IFERROR(INDEX(Pedidos!$D$2:$D$1801,MATCH(B2582,Pedidos!$A$2:$A$1801,0)),"")</f>
        <v/>
      </c>
      <c r="L2582" s="21">
        <f>IFERROR(INDEX(Pedidos!$F$2:$F$1801,MATCH(B2582,Pedidos!$A$2:$A$1801,0)),"")</f>
        <v/>
      </c>
      <c r="M2582" s="22">
        <f>IFERROR(INDEX(Pedidos!$G$2:$G$1801,MATCH(B2582,Pedidos!$A$2:$A$1801,0)),0)</f>
        <v/>
      </c>
      <c r="N2582" s="21">
        <f>IFERROR(INDEX(Produtos!$B$2:$B$71,MATCH(C2582,Produtos!$A$2:$A$71,0)),"")</f>
        <v/>
      </c>
      <c r="O2582" s="21">
        <f>IFERROR(INDEX(Produtos!$C$2:$C$71,MATCH(C2582,Produtos!$A$2:$A$71,0)),"")</f>
        <v/>
      </c>
      <c r="P2582" s="21">
        <f>IFERROR(INDEX(Produtos!$D$2:$D$71,MATCH(C2582,Produtos!$A$2:$A$71,0)),0)</f>
        <v/>
      </c>
      <c r="Q2582" s="21">
        <f>IFERROR(INDEX(Produtos!$E$2:$E$71,MATCH(C2582,Produtos!$A$2:$A$71,0)),0)</f>
        <v/>
      </c>
      <c r="R2582" s="23">
        <f>D2582*Q2582</f>
        <v/>
      </c>
      <c r="S2582" s="23">
        <f>R2582*E2582</f>
        <v/>
      </c>
      <c r="T2582" s="23">
        <f>(R2582-S2582)*M2582</f>
        <v/>
      </c>
      <c r="U2582" s="23">
        <f>R2582-S2582-T2582</f>
        <v/>
      </c>
      <c r="V2582" s="23">
        <f>D2582*P2582</f>
        <v/>
      </c>
      <c r="W2582" s="23">
        <f>U2582-V2582</f>
        <v/>
      </c>
      <c r="X2582" s="24">
        <f>IFERROR(W2582/U2582,0)</f>
        <v/>
      </c>
    </row>
    <row r="2583">
      <c r="A2583" s="25">
        <f>ItensPedido!A2583</f>
        <v/>
      </c>
      <c r="B2583" s="25">
        <f>ItensPedido!B2583</f>
        <v/>
      </c>
      <c r="C2583" s="25">
        <f>ItensPedido!C2583</f>
        <v/>
      </c>
      <c r="D2583" s="25">
        <f>ItensPedido!D2583</f>
        <v/>
      </c>
      <c r="E2583" s="26">
        <f>ItensPedido!E2583</f>
        <v/>
      </c>
      <c r="F2583" s="25">
        <f>IFERROR(INDEX(Pedidos!$B$2:$B$1801,MATCH(B2583,Pedidos!$A$2:$A$1801,0)),0)</f>
        <v/>
      </c>
      <c r="G2583" s="25">
        <f>IF(F2583=0,"",YEAR(F2583))</f>
        <v/>
      </c>
      <c r="H2583" s="25">
        <f>IF(F2583=0,"",MONTH(F2583))</f>
        <v/>
      </c>
      <c r="I2583" s="25">
        <f>IFERROR(INDEX(Pedidos!$E$2:$E$1801,MATCH(B2583,Pedidos!$A$2:$A$1801,0)),"")</f>
        <v/>
      </c>
      <c r="J2583" s="25">
        <f>IFERROR(INDEX(Pedidos!$C$2:$C$1801,MATCH(B2583,Pedidos!$A$2:$A$1801,0)),"")</f>
        <v/>
      </c>
      <c r="K2583" s="25">
        <f>IFERROR(INDEX(Pedidos!$D$2:$D$1801,MATCH(B2583,Pedidos!$A$2:$A$1801,0)),"")</f>
        <v/>
      </c>
      <c r="L2583" s="25">
        <f>IFERROR(INDEX(Pedidos!$F$2:$F$1801,MATCH(B2583,Pedidos!$A$2:$A$1801,0)),"")</f>
        <v/>
      </c>
      <c r="M2583" s="26">
        <f>IFERROR(INDEX(Pedidos!$G$2:$G$1801,MATCH(B2583,Pedidos!$A$2:$A$1801,0)),0)</f>
        <v/>
      </c>
      <c r="N2583" s="25">
        <f>IFERROR(INDEX(Produtos!$B$2:$B$71,MATCH(C2583,Produtos!$A$2:$A$71,0)),"")</f>
        <v/>
      </c>
      <c r="O2583" s="25">
        <f>IFERROR(INDEX(Produtos!$C$2:$C$71,MATCH(C2583,Produtos!$A$2:$A$71,0)),"")</f>
        <v/>
      </c>
      <c r="P2583" s="25">
        <f>IFERROR(INDEX(Produtos!$D$2:$D$71,MATCH(C2583,Produtos!$A$2:$A$71,0)),0)</f>
        <v/>
      </c>
      <c r="Q2583" s="25">
        <f>IFERROR(INDEX(Produtos!$E$2:$E$71,MATCH(C2583,Produtos!$A$2:$A$71,0)),0)</f>
        <v/>
      </c>
      <c r="R2583" s="27">
        <f>D2583*Q2583</f>
        <v/>
      </c>
      <c r="S2583" s="27">
        <f>R2583*E2583</f>
        <v/>
      </c>
      <c r="T2583" s="27">
        <f>(R2583-S2583)*M2583</f>
        <v/>
      </c>
      <c r="U2583" s="27">
        <f>R2583-S2583-T2583</f>
        <v/>
      </c>
      <c r="V2583" s="27">
        <f>D2583*P2583</f>
        <v/>
      </c>
      <c r="W2583" s="27">
        <f>U2583-V2583</f>
        <v/>
      </c>
      <c r="X2583" s="28">
        <f>IFERROR(W2583/U2583,0)</f>
        <v/>
      </c>
    </row>
    <row r="2584">
      <c r="A2584" s="21">
        <f>ItensPedido!A2584</f>
        <v/>
      </c>
      <c r="B2584" s="21">
        <f>ItensPedido!B2584</f>
        <v/>
      </c>
      <c r="C2584" s="21">
        <f>ItensPedido!C2584</f>
        <v/>
      </c>
      <c r="D2584" s="21">
        <f>ItensPedido!D2584</f>
        <v/>
      </c>
      <c r="E2584" s="22">
        <f>ItensPedido!E2584</f>
        <v/>
      </c>
      <c r="F2584" s="21">
        <f>IFERROR(INDEX(Pedidos!$B$2:$B$1801,MATCH(B2584,Pedidos!$A$2:$A$1801,0)),0)</f>
        <v/>
      </c>
      <c r="G2584" s="21">
        <f>IF(F2584=0,"",YEAR(F2584))</f>
        <v/>
      </c>
      <c r="H2584" s="21">
        <f>IF(F2584=0,"",MONTH(F2584))</f>
        <v/>
      </c>
      <c r="I2584" s="21">
        <f>IFERROR(INDEX(Pedidos!$E$2:$E$1801,MATCH(B2584,Pedidos!$A$2:$A$1801,0)),"")</f>
        <v/>
      </c>
      <c r="J2584" s="21">
        <f>IFERROR(INDEX(Pedidos!$C$2:$C$1801,MATCH(B2584,Pedidos!$A$2:$A$1801,0)),"")</f>
        <v/>
      </c>
      <c r="K2584" s="21">
        <f>IFERROR(INDEX(Pedidos!$D$2:$D$1801,MATCH(B2584,Pedidos!$A$2:$A$1801,0)),"")</f>
        <v/>
      </c>
      <c r="L2584" s="21">
        <f>IFERROR(INDEX(Pedidos!$F$2:$F$1801,MATCH(B2584,Pedidos!$A$2:$A$1801,0)),"")</f>
        <v/>
      </c>
      <c r="M2584" s="22">
        <f>IFERROR(INDEX(Pedidos!$G$2:$G$1801,MATCH(B2584,Pedidos!$A$2:$A$1801,0)),0)</f>
        <v/>
      </c>
      <c r="N2584" s="21">
        <f>IFERROR(INDEX(Produtos!$B$2:$B$71,MATCH(C2584,Produtos!$A$2:$A$71,0)),"")</f>
        <v/>
      </c>
      <c r="O2584" s="21">
        <f>IFERROR(INDEX(Produtos!$C$2:$C$71,MATCH(C2584,Produtos!$A$2:$A$71,0)),"")</f>
        <v/>
      </c>
      <c r="P2584" s="21">
        <f>IFERROR(INDEX(Produtos!$D$2:$D$71,MATCH(C2584,Produtos!$A$2:$A$71,0)),0)</f>
        <v/>
      </c>
      <c r="Q2584" s="21">
        <f>IFERROR(INDEX(Produtos!$E$2:$E$71,MATCH(C2584,Produtos!$A$2:$A$71,0)),0)</f>
        <v/>
      </c>
      <c r="R2584" s="23">
        <f>D2584*Q2584</f>
        <v/>
      </c>
      <c r="S2584" s="23">
        <f>R2584*E2584</f>
        <v/>
      </c>
      <c r="T2584" s="23">
        <f>(R2584-S2584)*M2584</f>
        <v/>
      </c>
      <c r="U2584" s="23">
        <f>R2584-S2584-T2584</f>
        <v/>
      </c>
      <c r="V2584" s="23">
        <f>D2584*P2584</f>
        <v/>
      </c>
      <c r="W2584" s="23">
        <f>U2584-V2584</f>
        <v/>
      </c>
      <c r="X2584" s="24">
        <f>IFERROR(W2584/U2584,0)</f>
        <v/>
      </c>
    </row>
    <row r="2585">
      <c r="A2585" s="25">
        <f>ItensPedido!A2585</f>
        <v/>
      </c>
      <c r="B2585" s="25">
        <f>ItensPedido!B2585</f>
        <v/>
      </c>
      <c r="C2585" s="25">
        <f>ItensPedido!C2585</f>
        <v/>
      </c>
      <c r="D2585" s="25">
        <f>ItensPedido!D2585</f>
        <v/>
      </c>
      <c r="E2585" s="26">
        <f>ItensPedido!E2585</f>
        <v/>
      </c>
      <c r="F2585" s="25">
        <f>IFERROR(INDEX(Pedidos!$B$2:$B$1801,MATCH(B2585,Pedidos!$A$2:$A$1801,0)),0)</f>
        <v/>
      </c>
      <c r="G2585" s="25">
        <f>IF(F2585=0,"",YEAR(F2585))</f>
        <v/>
      </c>
      <c r="H2585" s="25">
        <f>IF(F2585=0,"",MONTH(F2585))</f>
        <v/>
      </c>
      <c r="I2585" s="25">
        <f>IFERROR(INDEX(Pedidos!$E$2:$E$1801,MATCH(B2585,Pedidos!$A$2:$A$1801,0)),"")</f>
        <v/>
      </c>
      <c r="J2585" s="25">
        <f>IFERROR(INDEX(Pedidos!$C$2:$C$1801,MATCH(B2585,Pedidos!$A$2:$A$1801,0)),"")</f>
        <v/>
      </c>
      <c r="K2585" s="25">
        <f>IFERROR(INDEX(Pedidos!$D$2:$D$1801,MATCH(B2585,Pedidos!$A$2:$A$1801,0)),"")</f>
        <v/>
      </c>
      <c r="L2585" s="25">
        <f>IFERROR(INDEX(Pedidos!$F$2:$F$1801,MATCH(B2585,Pedidos!$A$2:$A$1801,0)),"")</f>
        <v/>
      </c>
      <c r="M2585" s="26">
        <f>IFERROR(INDEX(Pedidos!$G$2:$G$1801,MATCH(B2585,Pedidos!$A$2:$A$1801,0)),0)</f>
        <v/>
      </c>
      <c r="N2585" s="25">
        <f>IFERROR(INDEX(Produtos!$B$2:$B$71,MATCH(C2585,Produtos!$A$2:$A$71,0)),"")</f>
        <v/>
      </c>
      <c r="O2585" s="25">
        <f>IFERROR(INDEX(Produtos!$C$2:$C$71,MATCH(C2585,Produtos!$A$2:$A$71,0)),"")</f>
        <v/>
      </c>
      <c r="P2585" s="25">
        <f>IFERROR(INDEX(Produtos!$D$2:$D$71,MATCH(C2585,Produtos!$A$2:$A$71,0)),0)</f>
        <v/>
      </c>
      <c r="Q2585" s="25">
        <f>IFERROR(INDEX(Produtos!$E$2:$E$71,MATCH(C2585,Produtos!$A$2:$A$71,0)),0)</f>
        <v/>
      </c>
      <c r="R2585" s="27">
        <f>D2585*Q2585</f>
        <v/>
      </c>
      <c r="S2585" s="27">
        <f>R2585*E2585</f>
        <v/>
      </c>
      <c r="T2585" s="27">
        <f>(R2585-S2585)*M2585</f>
        <v/>
      </c>
      <c r="U2585" s="27">
        <f>R2585-S2585-T2585</f>
        <v/>
      </c>
      <c r="V2585" s="27">
        <f>D2585*P2585</f>
        <v/>
      </c>
      <c r="W2585" s="27">
        <f>U2585-V2585</f>
        <v/>
      </c>
      <c r="X2585" s="28">
        <f>IFERROR(W2585/U2585,0)</f>
        <v/>
      </c>
    </row>
    <row r="2586">
      <c r="A2586" s="21">
        <f>ItensPedido!A2586</f>
        <v/>
      </c>
      <c r="B2586" s="21">
        <f>ItensPedido!B2586</f>
        <v/>
      </c>
      <c r="C2586" s="21">
        <f>ItensPedido!C2586</f>
        <v/>
      </c>
      <c r="D2586" s="21">
        <f>ItensPedido!D2586</f>
        <v/>
      </c>
      <c r="E2586" s="22">
        <f>ItensPedido!E2586</f>
        <v/>
      </c>
      <c r="F2586" s="21">
        <f>IFERROR(INDEX(Pedidos!$B$2:$B$1801,MATCH(B2586,Pedidos!$A$2:$A$1801,0)),0)</f>
        <v/>
      </c>
      <c r="G2586" s="21">
        <f>IF(F2586=0,"",YEAR(F2586))</f>
        <v/>
      </c>
      <c r="H2586" s="21">
        <f>IF(F2586=0,"",MONTH(F2586))</f>
        <v/>
      </c>
      <c r="I2586" s="21">
        <f>IFERROR(INDEX(Pedidos!$E$2:$E$1801,MATCH(B2586,Pedidos!$A$2:$A$1801,0)),"")</f>
        <v/>
      </c>
      <c r="J2586" s="21">
        <f>IFERROR(INDEX(Pedidos!$C$2:$C$1801,MATCH(B2586,Pedidos!$A$2:$A$1801,0)),"")</f>
        <v/>
      </c>
      <c r="K2586" s="21">
        <f>IFERROR(INDEX(Pedidos!$D$2:$D$1801,MATCH(B2586,Pedidos!$A$2:$A$1801,0)),"")</f>
        <v/>
      </c>
      <c r="L2586" s="21">
        <f>IFERROR(INDEX(Pedidos!$F$2:$F$1801,MATCH(B2586,Pedidos!$A$2:$A$1801,0)),"")</f>
        <v/>
      </c>
      <c r="M2586" s="22">
        <f>IFERROR(INDEX(Pedidos!$G$2:$G$1801,MATCH(B2586,Pedidos!$A$2:$A$1801,0)),0)</f>
        <v/>
      </c>
      <c r="N2586" s="21">
        <f>IFERROR(INDEX(Produtos!$B$2:$B$71,MATCH(C2586,Produtos!$A$2:$A$71,0)),"")</f>
        <v/>
      </c>
      <c r="O2586" s="21">
        <f>IFERROR(INDEX(Produtos!$C$2:$C$71,MATCH(C2586,Produtos!$A$2:$A$71,0)),"")</f>
        <v/>
      </c>
      <c r="P2586" s="21">
        <f>IFERROR(INDEX(Produtos!$D$2:$D$71,MATCH(C2586,Produtos!$A$2:$A$71,0)),0)</f>
        <v/>
      </c>
      <c r="Q2586" s="21">
        <f>IFERROR(INDEX(Produtos!$E$2:$E$71,MATCH(C2586,Produtos!$A$2:$A$71,0)),0)</f>
        <v/>
      </c>
      <c r="R2586" s="23">
        <f>D2586*Q2586</f>
        <v/>
      </c>
      <c r="S2586" s="23">
        <f>R2586*E2586</f>
        <v/>
      </c>
      <c r="T2586" s="23">
        <f>(R2586-S2586)*M2586</f>
        <v/>
      </c>
      <c r="U2586" s="23">
        <f>R2586-S2586-T2586</f>
        <v/>
      </c>
      <c r="V2586" s="23">
        <f>D2586*P2586</f>
        <v/>
      </c>
      <c r="W2586" s="23">
        <f>U2586-V2586</f>
        <v/>
      </c>
      <c r="X2586" s="24">
        <f>IFERROR(W2586/U2586,0)</f>
        <v/>
      </c>
    </row>
    <row r="2587">
      <c r="A2587" s="25">
        <f>ItensPedido!A2587</f>
        <v/>
      </c>
      <c r="B2587" s="25">
        <f>ItensPedido!B2587</f>
        <v/>
      </c>
      <c r="C2587" s="25">
        <f>ItensPedido!C2587</f>
        <v/>
      </c>
      <c r="D2587" s="25">
        <f>ItensPedido!D2587</f>
        <v/>
      </c>
      <c r="E2587" s="26">
        <f>ItensPedido!E2587</f>
        <v/>
      </c>
      <c r="F2587" s="25">
        <f>IFERROR(INDEX(Pedidos!$B$2:$B$1801,MATCH(B2587,Pedidos!$A$2:$A$1801,0)),0)</f>
        <v/>
      </c>
      <c r="G2587" s="25">
        <f>IF(F2587=0,"",YEAR(F2587))</f>
        <v/>
      </c>
      <c r="H2587" s="25">
        <f>IF(F2587=0,"",MONTH(F2587))</f>
        <v/>
      </c>
      <c r="I2587" s="25">
        <f>IFERROR(INDEX(Pedidos!$E$2:$E$1801,MATCH(B2587,Pedidos!$A$2:$A$1801,0)),"")</f>
        <v/>
      </c>
      <c r="J2587" s="25">
        <f>IFERROR(INDEX(Pedidos!$C$2:$C$1801,MATCH(B2587,Pedidos!$A$2:$A$1801,0)),"")</f>
        <v/>
      </c>
      <c r="K2587" s="25">
        <f>IFERROR(INDEX(Pedidos!$D$2:$D$1801,MATCH(B2587,Pedidos!$A$2:$A$1801,0)),"")</f>
        <v/>
      </c>
      <c r="L2587" s="25">
        <f>IFERROR(INDEX(Pedidos!$F$2:$F$1801,MATCH(B2587,Pedidos!$A$2:$A$1801,0)),"")</f>
        <v/>
      </c>
      <c r="M2587" s="26">
        <f>IFERROR(INDEX(Pedidos!$G$2:$G$1801,MATCH(B2587,Pedidos!$A$2:$A$1801,0)),0)</f>
        <v/>
      </c>
      <c r="N2587" s="25">
        <f>IFERROR(INDEX(Produtos!$B$2:$B$71,MATCH(C2587,Produtos!$A$2:$A$71,0)),"")</f>
        <v/>
      </c>
      <c r="O2587" s="25">
        <f>IFERROR(INDEX(Produtos!$C$2:$C$71,MATCH(C2587,Produtos!$A$2:$A$71,0)),"")</f>
        <v/>
      </c>
      <c r="P2587" s="25">
        <f>IFERROR(INDEX(Produtos!$D$2:$D$71,MATCH(C2587,Produtos!$A$2:$A$71,0)),0)</f>
        <v/>
      </c>
      <c r="Q2587" s="25">
        <f>IFERROR(INDEX(Produtos!$E$2:$E$71,MATCH(C2587,Produtos!$A$2:$A$71,0)),0)</f>
        <v/>
      </c>
      <c r="R2587" s="27">
        <f>D2587*Q2587</f>
        <v/>
      </c>
      <c r="S2587" s="27">
        <f>R2587*E2587</f>
        <v/>
      </c>
      <c r="T2587" s="27">
        <f>(R2587-S2587)*M2587</f>
        <v/>
      </c>
      <c r="U2587" s="27">
        <f>R2587-S2587-T2587</f>
        <v/>
      </c>
      <c r="V2587" s="27">
        <f>D2587*P2587</f>
        <v/>
      </c>
      <c r="W2587" s="27">
        <f>U2587-V2587</f>
        <v/>
      </c>
      <c r="X2587" s="28">
        <f>IFERROR(W2587/U2587,0)</f>
        <v/>
      </c>
    </row>
    <row r="2588">
      <c r="A2588" s="21">
        <f>ItensPedido!A2588</f>
        <v/>
      </c>
      <c r="B2588" s="21">
        <f>ItensPedido!B2588</f>
        <v/>
      </c>
      <c r="C2588" s="21">
        <f>ItensPedido!C2588</f>
        <v/>
      </c>
      <c r="D2588" s="21">
        <f>ItensPedido!D2588</f>
        <v/>
      </c>
      <c r="E2588" s="22">
        <f>ItensPedido!E2588</f>
        <v/>
      </c>
      <c r="F2588" s="21">
        <f>IFERROR(INDEX(Pedidos!$B$2:$B$1801,MATCH(B2588,Pedidos!$A$2:$A$1801,0)),0)</f>
        <v/>
      </c>
      <c r="G2588" s="21">
        <f>IF(F2588=0,"",YEAR(F2588))</f>
        <v/>
      </c>
      <c r="H2588" s="21">
        <f>IF(F2588=0,"",MONTH(F2588))</f>
        <v/>
      </c>
      <c r="I2588" s="21">
        <f>IFERROR(INDEX(Pedidos!$E$2:$E$1801,MATCH(B2588,Pedidos!$A$2:$A$1801,0)),"")</f>
        <v/>
      </c>
      <c r="J2588" s="21">
        <f>IFERROR(INDEX(Pedidos!$C$2:$C$1801,MATCH(B2588,Pedidos!$A$2:$A$1801,0)),"")</f>
        <v/>
      </c>
      <c r="K2588" s="21">
        <f>IFERROR(INDEX(Pedidos!$D$2:$D$1801,MATCH(B2588,Pedidos!$A$2:$A$1801,0)),"")</f>
        <v/>
      </c>
      <c r="L2588" s="21">
        <f>IFERROR(INDEX(Pedidos!$F$2:$F$1801,MATCH(B2588,Pedidos!$A$2:$A$1801,0)),"")</f>
        <v/>
      </c>
      <c r="M2588" s="22">
        <f>IFERROR(INDEX(Pedidos!$G$2:$G$1801,MATCH(B2588,Pedidos!$A$2:$A$1801,0)),0)</f>
        <v/>
      </c>
      <c r="N2588" s="21">
        <f>IFERROR(INDEX(Produtos!$B$2:$B$71,MATCH(C2588,Produtos!$A$2:$A$71,0)),"")</f>
        <v/>
      </c>
      <c r="O2588" s="21">
        <f>IFERROR(INDEX(Produtos!$C$2:$C$71,MATCH(C2588,Produtos!$A$2:$A$71,0)),"")</f>
        <v/>
      </c>
      <c r="P2588" s="21">
        <f>IFERROR(INDEX(Produtos!$D$2:$D$71,MATCH(C2588,Produtos!$A$2:$A$71,0)),0)</f>
        <v/>
      </c>
      <c r="Q2588" s="21">
        <f>IFERROR(INDEX(Produtos!$E$2:$E$71,MATCH(C2588,Produtos!$A$2:$A$71,0)),0)</f>
        <v/>
      </c>
      <c r="R2588" s="23">
        <f>D2588*Q2588</f>
        <v/>
      </c>
      <c r="S2588" s="23">
        <f>R2588*E2588</f>
        <v/>
      </c>
      <c r="T2588" s="23">
        <f>(R2588-S2588)*M2588</f>
        <v/>
      </c>
      <c r="U2588" s="23">
        <f>R2588-S2588-T2588</f>
        <v/>
      </c>
      <c r="V2588" s="23">
        <f>D2588*P2588</f>
        <v/>
      </c>
      <c r="W2588" s="23">
        <f>U2588-V2588</f>
        <v/>
      </c>
      <c r="X2588" s="24">
        <f>IFERROR(W2588/U2588,0)</f>
        <v/>
      </c>
    </row>
    <row r="2589">
      <c r="A2589" s="25">
        <f>ItensPedido!A2589</f>
        <v/>
      </c>
      <c r="B2589" s="25">
        <f>ItensPedido!B2589</f>
        <v/>
      </c>
      <c r="C2589" s="25">
        <f>ItensPedido!C2589</f>
        <v/>
      </c>
      <c r="D2589" s="25">
        <f>ItensPedido!D2589</f>
        <v/>
      </c>
      <c r="E2589" s="26">
        <f>ItensPedido!E2589</f>
        <v/>
      </c>
      <c r="F2589" s="25">
        <f>IFERROR(INDEX(Pedidos!$B$2:$B$1801,MATCH(B2589,Pedidos!$A$2:$A$1801,0)),0)</f>
        <v/>
      </c>
      <c r="G2589" s="25">
        <f>IF(F2589=0,"",YEAR(F2589))</f>
        <v/>
      </c>
      <c r="H2589" s="25">
        <f>IF(F2589=0,"",MONTH(F2589))</f>
        <v/>
      </c>
      <c r="I2589" s="25">
        <f>IFERROR(INDEX(Pedidos!$E$2:$E$1801,MATCH(B2589,Pedidos!$A$2:$A$1801,0)),"")</f>
        <v/>
      </c>
      <c r="J2589" s="25">
        <f>IFERROR(INDEX(Pedidos!$C$2:$C$1801,MATCH(B2589,Pedidos!$A$2:$A$1801,0)),"")</f>
        <v/>
      </c>
      <c r="K2589" s="25">
        <f>IFERROR(INDEX(Pedidos!$D$2:$D$1801,MATCH(B2589,Pedidos!$A$2:$A$1801,0)),"")</f>
        <v/>
      </c>
      <c r="L2589" s="25">
        <f>IFERROR(INDEX(Pedidos!$F$2:$F$1801,MATCH(B2589,Pedidos!$A$2:$A$1801,0)),"")</f>
        <v/>
      </c>
      <c r="M2589" s="26">
        <f>IFERROR(INDEX(Pedidos!$G$2:$G$1801,MATCH(B2589,Pedidos!$A$2:$A$1801,0)),0)</f>
        <v/>
      </c>
      <c r="N2589" s="25">
        <f>IFERROR(INDEX(Produtos!$B$2:$B$71,MATCH(C2589,Produtos!$A$2:$A$71,0)),"")</f>
        <v/>
      </c>
      <c r="O2589" s="25">
        <f>IFERROR(INDEX(Produtos!$C$2:$C$71,MATCH(C2589,Produtos!$A$2:$A$71,0)),"")</f>
        <v/>
      </c>
      <c r="P2589" s="25">
        <f>IFERROR(INDEX(Produtos!$D$2:$D$71,MATCH(C2589,Produtos!$A$2:$A$71,0)),0)</f>
        <v/>
      </c>
      <c r="Q2589" s="25">
        <f>IFERROR(INDEX(Produtos!$E$2:$E$71,MATCH(C2589,Produtos!$A$2:$A$71,0)),0)</f>
        <v/>
      </c>
      <c r="R2589" s="27">
        <f>D2589*Q2589</f>
        <v/>
      </c>
      <c r="S2589" s="27">
        <f>R2589*E2589</f>
        <v/>
      </c>
      <c r="T2589" s="27">
        <f>(R2589-S2589)*M2589</f>
        <v/>
      </c>
      <c r="U2589" s="27">
        <f>R2589-S2589-T2589</f>
        <v/>
      </c>
      <c r="V2589" s="27">
        <f>D2589*P2589</f>
        <v/>
      </c>
      <c r="W2589" s="27">
        <f>U2589-V2589</f>
        <v/>
      </c>
      <c r="X2589" s="28">
        <f>IFERROR(W2589/U2589,0)</f>
        <v/>
      </c>
    </row>
    <row r="2590">
      <c r="A2590" s="21">
        <f>ItensPedido!A2590</f>
        <v/>
      </c>
      <c r="B2590" s="21">
        <f>ItensPedido!B2590</f>
        <v/>
      </c>
      <c r="C2590" s="21">
        <f>ItensPedido!C2590</f>
        <v/>
      </c>
      <c r="D2590" s="21">
        <f>ItensPedido!D2590</f>
        <v/>
      </c>
      <c r="E2590" s="22">
        <f>ItensPedido!E2590</f>
        <v/>
      </c>
      <c r="F2590" s="21">
        <f>IFERROR(INDEX(Pedidos!$B$2:$B$1801,MATCH(B2590,Pedidos!$A$2:$A$1801,0)),0)</f>
        <v/>
      </c>
      <c r="G2590" s="21">
        <f>IF(F2590=0,"",YEAR(F2590))</f>
        <v/>
      </c>
      <c r="H2590" s="21">
        <f>IF(F2590=0,"",MONTH(F2590))</f>
        <v/>
      </c>
      <c r="I2590" s="21">
        <f>IFERROR(INDEX(Pedidos!$E$2:$E$1801,MATCH(B2590,Pedidos!$A$2:$A$1801,0)),"")</f>
        <v/>
      </c>
      <c r="J2590" s="21">
        <f>IFERROR(INDEX(Pedidos!$C$2:$C$1801,MATCH(B2590,Pedidos!$A$2:$A$1801,0)),"")</f>
        <v/>
      </c>
      <c r="K2590" s="21">
        <f>IFERROR(INDEX(Pedidos!$D$2:$D$1801,MATCH(B2590,Pedidos!$A$2:$A$1801,0)),"")</f>
        <v/>
      </c>
      <c r="L2590" s="21">
        <f>IFERROR(INDEX(Pedidos!$F$2:$F$1801,MATCH(B2590,Pedidos!$A$2:$A$1801,0)),"")</f>
        <v/>
      </c>
      <c r="M2590" s="22">
        <f>IFERROR(INDEX(Pedidos!$G$2:$G$1801,MATCH(B2590,Pedidos!$A$2:$A$1801,0)),0)</f>
        <v/>
      </c>
      <c r="N2590" s="21">
        <f>IFERROR(INDEX(Produtos!$B$2:$B$71,MATCH(C2590,Produtos!$A$2:$A$71,0)),"")</f>
        <v/>
      </c>
      <c r="O2590" s="21">
        <f>IFERROR(INDEX(Produtos!$C$2:$C$71,MATCH(C2590,Produtos!$A$2:$A$71,0)),"")</f>
        <v/>
      </c>
      <c r="P2590" s="21">
        <f>IFERROR(INDEX(Produtos!$D$2:$D$71,MATCH(C2590,Produtos!$A$2:$A$71,0)),0)</f>
        <v/>
      </c>
      <c r="Q2590" s="21">
        <f>IFERROR(INDEX(Produtos!$E$2:$E$71,MATCH(C2590,Produtos!$A$2:$A$71,0)),0)</f>
        <v/>
      </c>
      <c r="R2590" s="23">
        <f>D2590*Q2590</f>
        <v/>
      </c>
      <c r="S2590" s="23">
        <f>R2590*E2590</f>
        <v/>
      </c>
      <c r="T2590" s="23">
        <f>(R2590-S2590)*M2590</f>
        <v/>
      </c>
      <c r="U2590" s="23">
        <f>R2590-S2590-T2590</f>
        <v/>
      </c>
      <c r="V2590" s="23">
        <f>D2590*P2590</f>
        <v/>
      </c>
      <c r="W2590" s="23">
        <f>U2590-V2590</f>
        <v/>
      </c>
      <c r="X2590" s="24">
        <f>IFERROR(W2590/U2590,0)</f>
        <v/>
      </c>
    </row>
    <row r="2591">
      <c r="A2591" s="25">
        <f>ItensPedido!A2591</f>
        <v/>
      </c>
      <c r="B2591" s="25">
        <f>ItensPedido!B2591</f>
        <v/>
      </c>
      <c r="C2591" s="25">
        <f>ItensPedido!C2591</f>
        <v/>
      </c>
      <c r="D2591" s="25">
        <f>ItensPedido!D2591</f>
        <v/>
      </c>
      <c r="E2591" s="26">
        <f>ItensPedido!E2591</f>
        <v/>
      </c>
      <c r="F2591" s="25">
        <f>IFERROR(INDEX(Pedidos!$B$2:$B$1801,MATCH(B2591,Pedidos!$A$2:$A$1801,0)),0)</f>
        <v/>
      </c>
      <c r="G2591" s="25">
        <f>IF(F2591=0,"",YEAR(F2591))</f>
        <v/>
      </c>
      <c r="H2591" s="25">
        <f>IF(F2591=0,"",MONTH(F2591))</f>
        <v/>
      </c>
      <c r="I2591" s="25">
        <f>IFERROR(INDEX(Pedidos!$E$2:$E$1801,MATCH(B2591,Pedidos!$A$2:$A$1801,0)),"")</f>
        <v/>
      </c>
      <c r="J2591" s="25">
        <f>IFERROR(INDEX(Pedidos!$C$2:$C$1801,MATCH(B2591,Pedidos!$A$2:$A$1801,0)),"")</f>
        <v/>
      </c>
      <c r="K2591" s="25">
        <f>IFERROR(INDEX(Pedidos!$D$2:$D$1801,MATCH(B2591,Pedidos!$A$2:$A$1801,0)),"")</f>
        <v/>
      </c>
      <c r="L2591" s="25">
        <f>IFERROR(INDEX(Pedidos!$F$2:$F$1801,MATCH(B2591,Pedidos!$A$2:$A$1801,0)),"")</f>
        <v/>
      </c>
      <c r="M2591" s="26">
        <f>IFERROR(INDEX(Pedidos!$G$2:$G$1801,MATCH(B2591,Pedidos!$A$2:$A$1801,0)),0)</f>
        <v/>
      </c>
      <c r="N2591" s="25">
        <f>IFERROR(INDEX(Produtos!$B$2:$B$71,MATCH(C2591,Produtos!$A$2:$A$71,0)),"")</f>
        <v/>
      </c>
      <c r="O2591" s="25">
        <f>IFERROR(INDEX(Produtos!$C$2:$C$71,MATCH(C2591,Produtos!$A$2:$A$71,0)),"")</f>
        <v/>
      </c>
      <c r="P2591" s="25">
        <f>IFERROR(INDEX(Produtos!$D$2:$D$71,MATCH(C2591,Produtos!$A$2:$A$71,0)),0)</f>
        <v/>
      </c>
      <c r="Q2591" s="25">
        <f>IFERROR(INDEX(Produtos!$E$2:$E$71,MATCH(C2591,Produtos!$A$2:$A$71,0)),0)</f>
        <v/>
      </c>
      <c r="R2591" s="27">
        <f>D2591*Q2591</f>
        <v/>
      </c>
      <c r="S2591" s="27">
        <f>R2591*E2591</f>
        <v/>
      </c>
      <c r="T2591" s="27">
        <f>(R2591-S2591)*M2591</f>
        <v/>
      </c>
      <c r="U2591" s="27">
        <f>R2591-S2591-T2591</f>
        <v/>
      </c>
      <c r="V2591" s="27">
        <f>D2591*P2591</f>
        <v/>
      </c>
      <c r="W2591" s="27">
        <f>U2591-V2591</f>
        <v/>
      </c>
      <c r="X2591" s="28">
        <f>IFERROR(W2591/U2591,0)</f>
        <v/>
      </c>
    </row>
    <row r="2592">
      <c r="A2592" s="21">
        <f>ItensPedido!A2592</f>
        <v/>
      </c>
      <c r="B2592" s="21">
        <f>ItensPedido!B2592</f>
        <v/>
      </c>
      <c r="C2592" s="21">
        <f>ItensPedido!C2592</f>
        <v/>
      </c>
      <c r="D2592" s="21">
        <f>ItensPedido!D2592</f>
        <v/>
      </c>
      <c r="E2592" s="22">
        <f>ItensPedido!E2592</f>
        <v/>
      </c>
      <c r="F2592" s="21">
        <f>IFERROR(INDEX(Pedidos!$B$2:$B$1801,MATCH(B2592,Pedidos!$A$2:$A$1801,0)),0)</f>
        <v/>
      </c>
      <c r="G2592" s="21">
        <f>IF(F2592=0,"",YEAR(F2592))</f>
        <v/>
      </c>
      <c r="H2592" s="21">
        <f>IF(F2592=0,"",MONTH(F2592))</f>
        <v/>
      </c>
      <c r="I2592" s="21">
        <f>IFERROR(INDEX(Pedidos!$E$2:$E$1801,MATCH(B2592,Pedidos!$A$2:$A$1801,0)),"")</f>
        <v/>
      </c>
      <c r="J2592" s="21">
        <f>IFERROR(INDEX(Pedidos!$C$2:$C$1801,MATCH(B2592,Pedidos!$A$2:$A$1801,0)),"")</f>
        <v/>
      </c>
      <c r="K2592" s="21">
        <f>IFERROR(INDEX(Pedidos!$D$2:$D$1801,MATCH(B2592,Pedidos!$A$2:$A$1801,0)),"")</f>
        <v/>
      </c>
      <c r="L2592" s="21">
        <f>IFERROR(INDEX(Pedidos!$F$2:$F$1801,MATCH(B2592,Pedidos!$A$2:$A$1801,0)),"")</f>
        <v/>
      </c>
      <c r="M2592" s="22">
        <f>IFERROR(INDEX(Pedidos!$G$2:$G$1801,MATCH(B2592,Pedidos!$A$2:$A$1801,0)),0)</f>
        <v/>
      </c>
      <c r="N2592" s="21">
        <f>IFERROR(INDEX(Produtos!$B$2:$B$71,MATCH(C2592,Produtos!$A$2:$A$71,0)),"")</f>
        <v/>
      </c>
      <c r="O2592" s="21">
        <f>IFERROR(INDEX(Produtos!$C$2:$C$71,MATCH(C2592,Produtos!$A$2:$A$71,0)),"")</f>
        <v/>
      </c>
      <c r="P2592" s="21">
        <f>IFERROR(INDEX(Produtos!$D$2:$D$71,MATCH(C2592,Produtos!$A$2:$A$71,0)),0)</f>
        <v/>
      </c>
      <c r="Q2592" s="21">
        <f>IFERROR(INDEX(Produtos!$E$2:$E$71,MATCH(C2592,Produtos!$A$2:$A$71,0)),0)</f>
        <v/>
      </c>
      <c r="R2592" s="23">
        <f>D2592*Q2592</f>
        <v/>
      </c>
      <c r="S2592" s="23">
        <f>R2592*E2592</f>
        <v/>
      </c>
      <c r="T2592" s="23">
        <f>(R2592-S2592)*M2592</f>
        <v/>
      </c>
      <c r="U2592" s="23">
        <f>R2592-S2592-T2592</f>
        <v/>
      </c>
      <c r="V2592" s="23">
        <f>D2592*P2592</f>
        <v/>
      </c>
      <c r="W2592" s="23">
        <f>U2592-V2592</f>
        <v/>
      </c>
      <c r="X2592" s="24">
        <f>IFERROR(W2592/U2592,0)</f>
        <v/>
      </c>
    </row>
    <row r="2593">
      <c r="A2593" s="25">
        <f>ItensPedido!A2593</f>
        <v/>
      </c>
      <c r="B2593" s="25">
        <f>ItensPedido!B2593</f>
        <v/>
      </c>
      <c r="C2593" s="25">
        <f>ItensPedido!C2593</f>
        <v/>
      </c>
      <c r="D2593" s="25">
        <f>ItensPedido!D2593</f>
        <v/>
      </c>
      <c r="E2593" s="26">
        <f>ItensPedido!E2593</f>
        <v/>
      </c>
      <c r="F2593" s="25">
        <f>IFERROR(INDEX(Pedidos!$B$2:$B$1801,MATCH(B2593,Pedidos!$A$2:$A$1801,0)),0)</f>
        <v/>
      </c>
      <c r="G2593" s="25">
        <f>IF(F2593=0,"",YEAR(F2593))</f>
        <v/>
      </c>
      <c r="H2593" s="25">
        <f>IF(F2593=0,"",MONTH(F2593))</f>
        <v/>
      </c>
      <c r="I2593" s="25">
        <f>IFERROR(INDEX(Pedidos!$E$2:$E$1801,MATCH(B2593,Pedidos!$A$2:$A$1801,0)),"")</f>
        <v/>
      </c>
      <c r="J2593" s="25">
        <f>IFERROR(INDEX(Pedidos!$C$2:$C$1801,MATCH(B2593,Pedidos!$A$2:$A$1801,0)),"")</f>
        <v/>
      </c>
      <c r="K2593" s="25">
        <f>IFERROR(INDEX(Pedidos!$D$2:$D$1801,MATCH(B2593,Pedidos!$A$2:$A$1801,0)),"")</f>
        <v/>
      </c>
      <c r="L2593" s="25">
        <f>IFERROR(INDEX(Pedidos!$F$2:$F$1801,MATCH(B2593,Pedidos!$A$2:$A$1801,0)),"")</f>
        <v/>
      </c>
      <c r="M2593" s="26">
        <f>IFERROR(INDEX(Pedidos!$G$2:$G$1801,MATCH(B2593,Pedidos!$A$2:$A$1801,0)),0)</f>
        <v/>
      </c>
      <c r="N2593" s="25">
        <f>IFERROR(INDEX(Produtos!$B$2:$B$71,MATCH(C2593,Produtos!$A$2:$A$71,0)),"")</f>
        <v/>
      </c>
      <c r="O2593" s="25">
        <f>IFERROR(INDEX(Produtos!$C$2:$C$71,MATCH(C2593,Produtos!$A$2:$A$71,0)),"")</f>
        <v/>
      </c>
      <c r="P2593" s="25">
        <f>IFERROR(INDEX(Produtos!$D$2:$D$71,MATCH(C2593,Produtos!$A$2:$A$71,0)),0)</f>
        <v/>
      </c>
      <c r="Q2593" s="25">
        <f>IFERROR(INDEX(Produtos!$E$2:$E$71,MATCH(C2593,Produtos!$A$2:$A$71,0)),0)</f>
        <v/>
      </c>
      <c r="R2593" s="27">
        <f>D2593*Q2593</f>
        <v/>
      </c>
      <c r="S2593" s="27">
        <f>R2593*E2593</f>
        <v/>
      </c>
      <c r="T2593" s="27">
        <f>(R2593-S2593)*M2593</f>
        <v/>
      </c>
      <c r="U2593" s="27">
        <f>R2593-S2593-T2593</f>
        <v/>
      </c>
      <c r="V2593" s="27">
        <f>D2593*P2593</f>
        <v/>
      </c>
      <c r="W2593" s="27">
        <f>U2593-V2593</f>
        <v/>
      </c>
      <c r="X2593" s="28">
        <f>IFERROR(W2593/U2593,0)</f>
        <v/>
      </c>
    </row>
    <row r="2594">
      <c r="A2594" s="21">
        <f>ItensPedido!A2594</f>
        <v/>
      </c>
      <c r="B2594" s="21">
        <f>ItensPedido!B2594</f>
        <v/>
      </c>
      <c r="C2594" s="21">
        <f>ItensPedido!C2594</f>
        <v/>
      </c>
      <c r="D2594" s="21">
        <f>ItensPedido!D2594</f>
        <v/>
      </c>
      <c r="E2594" s="22">
        <f>ItensPedido!E2594</f>
        <v/>
      </c>
      <c r="F2594" s="21">
        <f>IFERROR(INDEX(Pedidos!$B$2:$B$1801,MATCH(B2594,Pedidos!$A$2:$A$1801,0)),0)</f>
        <v/>
      </c>
      <c r="G2594" s="21">
        <f>IF(F2594=0,"",YEAR(F2594))</f>
        <v/>
      </c>
      <c r="H2594" s="21">
        <f>IF(F2594=0,"",MONTH(F2594))</f>
        <v/>
      </c>
      <c r="I2594" s="21">
        <f>IFERROR(INDEX(Pedidos!$E$2:$E$1801,MATCH(B2594,Pedidos!$A$2:$A$1801,0)),"")</f>
        <v/>
      </c>
      <c r="J2594" s="21">
        <f>IFERROR(INDEX(Pedidos!$C$2:$C$1801,MATCH(B2594,Pedidos!$A$2:$A$1801,0)),"")</f>
        <v/>
      </c>
      <c r="K2594" s="21">
        <f>IFERROR(INDEX(Pedidos!$D$2:$D$1801,MATCH(B2594,Pedidos!$A$2:$A$1801,0)),"")</f>
        <v/>
      </c>
      <c r="L2594" s="21">
        <f>IFERROR(INDEX(Pedidos!$F$2:$F$1801,MATCH(B2594,Pedidos!$A$2:$A$1801,0)),"")</f>
        <v/>
      </c>
      <c r="M2594" s="22">
        <f>IFERROR(INDEX(Pedidos!$G$2:$G$1801,MATCH(B2594,Pedidos!$A$2:$A$1801,0)),0)</f>
        <v/>
      </c>
      <c r="N2594" s="21">
        <f>IFERROR(INDEX(Produtos!$B$2:$B$71,MATCH(C2594,Produtos!$A$2:$A$71,0)),"")</f>
        <v/>
      </c>
      <c r="O2594" s="21">
        <f>IFERROR(INDEX(Produtos!$C$2:$C$71,MATCH(C2594,Produtos!$A$2:$A$71,0)),"")</f>
        <v/>
      </c>
      <c r="P2594" s="21">
        <f>IFERROR(INDEX(Produtos!$D$2:$D$71,MATCH(C2594,Produtos!$A$2:$A$71,0)),0)</f>
        <v/>
      </c>
      <c r="Q2594" s="21">
        <f>IFERROR(INDEX(Produtos!$E$2:$E$71,MATCH(C2594,Produtos!$A$2:$A$71,0)),0)</f>
        <v/>
      </c>
      <c r="R2594" s="23">
        <f>D2594*Q2594</f>
        <v/>
      </c>
      <c r="S2594" s="23">
        <f>R2594*E2594</f>
        <v/>
      </c>
      <c r="T2594" s="23">
        <f>(R2594-S2594)*M2594</f>
        <v/>
      </c>
      <c r="U2594" s="23">
        <f>R2594-S2594-T2594</f>
        <v/>
      </c>
      <c r="V2594" s="23">
        <f>D2594*P2594</f>
        <v/>
      </c>
      <c r="W2594" s="23">
        <f>U2594-V2594</f>
        <v/>
      </c>
      <c r="X2594" s="24">
        <f>IFERROR(W2594/U2594,0)</f>
        <v/>
      </c>
    </row>
    <row r="2595">
      <c r="A2595" s="25">
        <f>ItensPedido!A2595</f>
        <v/>
      </c>
      <c r="B2595" s="25">
        <f>ItensPedido!B2595</f>
        <v/>
      </c>
      <c r="C2595" s="25">
        <f>ItensPedido!C2595</f>
        <v/>
      </c>
      <c r="D2595" s="25">
        <f>ItensPedido!D2595</f>
        <v/>
      </c>
      <c r="E2595" s="26">
        <f>ItensPedido!E2595</f>
        <v/>
      </c>
      <c r="F2595" s="25">
        <f>IFERROR(INDEX(Pedidos!$B$2:$B$1801,MATCH(B2595,Pedidos!$A$2:$A$1801,0)),0)</f>
        <v/>
      </c>
      <c r="G2595" s="25">
        <f>IF(F2595=0,"",YEAR(F2595))</f>
        <v/>
      </c>
      <c r="H2595" s="25">
        <f>IF(F2595=0,"",MONTH(F2595))</f>
        <v/>
      </c>
      <c r="I2595" s="25">
        <f>IFERROR(INDEX(Pedidos!$E$2:$E$1801,MATCH(B2595,Pedidos!$A$2:$A$1801,0)),"")</f>
        <v/>
      </c>
      <c r="J2595" s="25">
        <f>IFERROR(INDEX(Pedidos!$C$2:$C$1801,MATCH(B2595,Pedidos!$A$2:$A$1801,0)),"")</f>
        <v/>
      </c>
      <c r="K2595" s="25">
        <f>IFERROR(INDEX(Pedidos!$D$2:$D$1801,MATCH(B2595,Pedidos!$A$2:$A$1801,0)),"")</f>
        <v/>
      </c>
      <c r="L2595" s="25">
        <f>IFERROR(INDEX(Pedidos!$F$2:$F$1801,MATCH(B2595,Pedidos!$A$2:$A$1801,0)),"")</f>
        <v/>
      </c>
      <c r="M2595" s="26">
        <f>IFERROR(INDEX(Pedidos!$G$2:$G$1801,MATCH(B2595,Pedidos!$A$2:$A$1801,0)),0)</f>
        <v/>
      </c>
      <c r="N2595" s="25">
        <f>IFERROR(INDEX(Produtos!$B$2:$B$71,MATCH(C2595,Produtos!$A$2:$A$71,0)),"")</f>
        <v/>
      </c>
      <c r="O2595" s="25">
        <f>IFERROR(INDEX(Produtos!$C$2:$C$71,MATCH(C2595,Produtos!$A$2:$A$71,0)),"")</f>
        <v/>
      </c>
      <c r="P2595" s="25">
        <f>IFERROR(INDEX(Produtos!$D$2:$D$71,MATCH(C2595,Produtos!$A$2:$A$71,0)),0)</f>
        <v/>
      </c>
      <c r="Q2595" s="25">
        <f>IFERROR(INDEX(Produtos!$E$2:$E$71,MATCH(C2595,Produtos!$A$2:$A$71,0)),0)</f>
        <v/>
      </c>
      <c r="R2595" s="27">
        <f>D2595*Q2595</f>
        <v/>
      </c>
      <c r="S2595" s="27">
        <f>R2595*E2595</f>
        <v/>
      </c>
      <c r="T2595" s="27">
        <f>(R2595-S2595)*M2595</f>
        <v/>
      </c>
      <c r="U2595" s="27">
        <f>R2595-S2595-T2595</f>
        <v/>
      </c>
      <c r="V2595" s="27">
        <f>D2595*P2595</f>
        <v/>
      </c>
      <c r="W2595" s="27">
        <f>U2595-V2595</f>
        <v/>
      </c>
      <c r="X2595" s="28">
        <f>IFERROR(W2595/U2595,0)</f>
        <v/>
      </c>
    </row>
    <row r="2596">
      <c r="A2596" s="21">
        <f>ItensPedido!A2596</f>
        <v/>
      </c>
      <c r="B2596" s="21">
        <f>ItensPedido!B2596</f>
        <v/>
      </c>
      <c r="C2596" s="21">
        <f>ItensPedido!C2596</f>
        <v/>
      </c>
      <c r="D2596" s="21">
        <f>ItensPedido!D2596</f>
        <v/>
      </c>
      <c r="E2596" s="22">
        <f>ItensPedido!E2596</f>
        <v/>
      </c>
      <c r="F2596" s="21">
        <f>IFERROR(INDEX(Pedidos!$B$2:$B$1801,MATCH(B2596,Pedidos!$A$2:$A$1801,0)),0)</f>
        <v/>
      </c>
      <c r="G2596" s="21">
        <f>IF(F2596=0,"",YEAR(F2596))</f>
        <v/>
      </c>
      <c r="H2596" s="21">
        <f>IF(F2596=0,"",MONTH(F2596))</f>
        <v/>
      </c>
      <c r="I2596" s="21">
        <f>IFERROR(INDEX(Pedidos!$E$2:$E$1801,MATCH(B2596,Pedidos!$A$2:$A$1801,0)),"")</f>
        <v/>
      </c>
      <c r="J2596" s="21">
        <f>IFERROR(INDEX(Pedidos!$C$2:$C$1801,MATCH(B2596,Pedidos!$A$2:$A$1801,0)),"")</f>
        <v/>
      </c>
      <c r="K2596" s="21">
        <f>IFERROR(INDEX(Pedidos!$D$2:$D$1801,MATCH(B2596,Pedidos!$A$2:$A$1801,0)),"")</f>
        <v/>
      </c>
      <c r="L2596" s="21">
        <f>IFERROR(INDEX(Pedidos!$F$2:$F$1801,MATCH(B2596,Pedidos!$A$2:$A$1801,0)),"")</f>
        <v/>
      </c>
      <c r="M2596" s="22">
        <f>IFERROR(INDEX(Pedidos!$G$2:$G$1801,MATCH(B2596,Pedidos!$A$2:$A$1801,0)),0)</f>
        <v/>
      </c>
      <c r="N2596" s="21">
        <f>IFERROR(INDEX(Produtos!$B$2:$B$71,MATCH(C2596,Produtos!$A$2:$A$71,0)),"")</f>
        <v/>
      </c>
      <c r="O2596" s="21">
        <f>IFERROR(INDEX(Produtos!$C$2:$C$71,MATCH(C2596,Produtos!$A$2:$A$71,0)),"")</f>
        <v/>
      </c>
      <c r="P2596" s="21">
        <f>IFERROR(INDEX(Produtos!$D$2:$D$71,MATCH(C2596,Produtos!$A$2:$A$71,0)),0)</f>
        <v/>
      </c>
      <c r="Q2596" s="21">
        <f>IFERROR(INDEX(Produtos!$E$2:$E$71,MATCH(C2596,Produtos!$A$2:$A$71,0)),0)</f>
        <v/>
      </c>
      <c r="R2596" s="23">
        <f>D2596*Q2596</f>
        <v/>
      </c>
      <c r="S2596" s="23">
        <f>R2596*E2596</f>
        <v/>
      </c>
      <c r="T2596" s="23">
        <f>(R2596-S2596)*M2596</f>
        <v/>
      </c>
      <c r="U2596" s="23">
        <f>R2596-S2596-T2596</f>
        <v/>
      </c>
      <c r="V2596" s="23">
        <f>D2596*P2596</f>
        <v/>
      </c>
      <c r="W2596" s="23">
        <f>U2596-V2596</f>
        <v/>
      </c>
      <c r="X2596" s="24">
        <f>IFERROR(W2596/U2596,0)</f>
        <v/>
      </c>
    </row>
    <row r="2597">
      <c r="A2597" s="25">
        <f>ItensPedido!A2597</f>
        <v/>
      </c>
      <c r="B2597" s="25">
        <f>ItensPedido!B2597</f>
        <v/>
      </c>
      <c r="C2597" s="25">
        <f>ItensPedido!C2597</f>
        <v/>
      </c>
      <c r="D2597" s="25">
        <f>ItensPedido!D2597</f>
        <v/>
      </c>
      <c r="E2597" s="26">
        <f>ItensPedido!E2597</f>
        <v/>
      </c>
      <c r="F2597" s="25">
        <f>IFERROR(INDEX(Pedidos!$B$2:$B$1801,MATCH(B2597,Pedidos!$A$2:$A$1801,0)),0)</f>
        <v/>
      </c>
      <c r="G2597" s="25">
        <f>IF(F2597=0,"",YEAR(F2597))</f>
        <v/>
      </c>
      <c r="H2597" s="25">
        <f>IF(F2597=0,"",MONTH(F2597))</f>
        <v/>
      </c>
      <c r="I2597" s="25">
        <f>IFERROR(INDEX(Pedidos!$E$2:$E$1801,MATCH(B2597,Pedidos!$A$2:$A$1801,0)),"")</f>
        <v/>
      </c>
      <c r="J2597" s="25">
        <f>IFERROR(INDEX(Pedidos!$C$2:$C$1801,MATCH(B2597,Pedidos!$A$2:$A$1801,0)),"")</f>
        <v/>
      </c>
      <c r="K2597" s="25">
        <f>IFERROR(INDEX(Pedidos!$D$2:$D$1801,MATCH(B2597,Pedidos!$A$2:$A$1801,0)),"")</f>
        <v/>
      </c>
      <c r="L2597" s="25">
        <f>IFERROR(INDEX(Pedidos!$F$2:$F$1801,MATCH(B2597,Pedidos!$A$2:$A$1801,0)),"")</f>
        <v/>
      </c>
      <c r="M2597" s="26">
        <f>IFERROR(INDEX(Pedidos!$G$2:$G$1801,MATCH(B2597,Pedidos!$A$2:$A$1801,0)),0)</f>
        <v/>
      </c>
      <c r="N2597" s="25">
        <f>IFERROR(INDEX(Produtos!$B$2:$B$71,MATCH(C2597,Produtos!$A$2:$A$71,0)),"")</f>
        <v/>
      </c>
      <c r="O2597" s="25">
        <f>IFERROR(INDEX(Produtos!$C$2:$C$71,MATCH(C2597,Produtos!$A$2:$A$71,0)),"")</f>
        <v/>
      </c>
      <c r="P2597" s="25">
        <f>IFERROR(INDEX(Produtos!$D$2:$D$71,MATCH(C2597,Produtos!$A$2:$A$71,0)),0)</f>
        <v/>
      </c>
      <c r="Q2597" s="25">
        <f>IFERROR(INDEX(Produtos!$E$2:$E$71,MATCH(C2597,Produtos!$A$2:$A$71,0)),0)</f>
        <v/>
      </c>
      <c r="R2597" s="27">
        <f>D2597*Q2597</f>
        <v/>
      </c>
      <c r="S2597" s="27">
        <f>R2597*E2597</f>
        <v/>
      </c>
      <c r="T2597" s="27">
        <f>(R2597-S2597)*M2597</f>
        <v/>
      </c>
      <c r="U2597" s="27">
        <f>R2597-S2597-T2597</f>
        <v/>
      </c>
      <c r="V2597" s="27">
        <f>D2597*P2597</f>
        <v/>
      </c>
      <c r="W2597" s="27">
        <f>U2597-V2597</f>
        <v/>
      </c>
      <c r="X2597" s="28">
        <f>IFERROR(W2597/U2597,0)</f>
        <v/>
      </c>
    </row>
    <row r="2598">
      <c r="A2598" s="21">
        <f>ItensPedido!A2598</f>
        <v/>
      </c>
      <c r="B2598" s="21">
        <f>ItensPedido!B2598</f>
        <v/>
      </c>
      <c r="C2598" s="21">
        <f>ItensPedido!C2598</f>
        <v/>
      </c>
      <c r="D2598" s="21">
        <f>ItensPedido!D2598</f>
        <v/>
      </c>
      <c r="E2598" s="22">
        <f>ItensPedido!E2598</f>
        <v/>
      </c>
      <c r="F2598" s="21">
        <f>IFERROR(INDEX(Pedidos!$B$2:$B$1801,MATCH(B2598,Pedidos!$A$2:$A$1801,0)),0)</f>
        <v/>
      </c>
      <c r="G2598" s="21">
        <f>IF(F2598=0,"",YEAR(F2598))</f>
        <v/>
      </c>
      <c r="H2598" s="21">
        <f>IF(F2598=0,"",MONTH(F2598))</f>
        <v/>
      </c>
      <c r="I2598" s="21">
        <f>IFERROR(INDEX(Pedidos!$E$2:$E$1801,MATCH(B2598,Pedidos!$A$2:$A$1801,0)),"")</f>
        <v/>
      </c>
      <c r="J2598" s="21">
        <f>IFERROR(INDEX(Pedidos!$C$2:$C$1801,MATCH(B2598,Pedidos!$A$2:$A$1801,0)),"")</f>
        <v/>
      </c>
      <c r="K2598" s="21">
        <f>IFERROR(INDEX(Pedidos!$D$2:$D$1801,MATCH(B2598,Pedidos!$A$2:$A$1801,0)),"")</f>
        <v/>
      </c>
      <c r="L2598" s="21">
        <f>IFERROR(INDEX(Pedidos!$F$2:$F$1801,MATCH(B2598,Pedidos!$A$2:$A$1801,0)),"")</f>
        <v/>
      </c>
      <c r="M2598" s="22">
        <f>IFERROR(INDEX(Pedidos!$G$2:$G$1801,MATCH(B2598,Pedidos!$A$2:$A$1801,0)),0)</f>
        <v/>
      </c>
      <c r="N2598" s="21">
        <f>IFERROR(INDEX(Produtos!$B$2:$B$71,MATCH(C2598,Produtos!$A$2:$A$71,0)),"")</f>
        <v/>
      </c>
      <c r="O2598" s="21">
        <f>IFERROR(INDEX(Produtos!$C$2:$C$71,MATCH(C2598,Produtos!$A$2:$A$71,0)),"")</f>
        <v/>
      </c>
      <c r="P2598" s="21">
        <f>IFERROR(INDEX(Produtos!$D$2:$D$71,MATCH(C2598,Produtos!$A$2:$A$71,0)),0)</f>
        <v/>
      </c>
      <c r="Q2598" s="21">
        <f>IFERROR(INDEX(Produtos!$E$2:$E$71,MATCH(C2598,Produtos!$A$2:$A$71,0)),0)</f>
        <v/>
      </c>
      <c r="R2598" s="23">
        <f>D2598*Q2598</f>
        <v/>
      </c>
      <c r="S2598" s="23">
        <f>R2598*E2598</f>
        <v/>
      </c>
      <c r="T2598" s="23">
        <f>(R2598-S2598)*M2598</f>
        <v/>
      </c>
      <c r="U2598" s="23">
        <f>R2598-S2598-T2598</f>
        <v/>
      </c>
      <c r="V2598" s="23">
        <f>D2598*P2598</f>
        <v/>
      </c>
      <c r="W2598" s="23">
        <f>U2598-V2598</f>
        <v/>
      </c>
      <c r="X2598" s="24">
        <f>IFERROR(W2598/U2598,0)</f>
        <v/>
      </c>
    </row>
    <row r="2599">
      <c r="A2599" s="25">
        <f>ItensPedido!A2599</f>
        <v/>
      </c>
      <c r="B2599" s="25">
        <f>ItensPedido!B2599</f>
        <v/>
      </c>
      <c r="C2599" s="25">
        <f>ItensPedido!C2599</f>
        <v/>
      </c>
      <c r="D2599" s="25">
        <f>ItensPedido!D2599</f>
        <v/>
      </c>
      <c r="E2599" s="26">
        <f>ItensPedido!E2599</f>
        <v/>
      </c>
      <c r="F2599" s="25">
        <f>IFERROR(INDEX(Pedidos!$B$2:$B$1801,MATCH(B2599,Pedidos!$A$2:$A$1801,0)),0)</f>
        <v/>
      </c>
      <c r="G2599" s="25">
        <f>IF(F2599=0,"",YEAR(F2599))</f>
        <v/>
      </c>
      <c r="H2599" s="25">
        <f>IF(F2599=0,"",MONTH(F2599))</f>
        <v/>
      </c>
      <c r="I2599" s="25">
        <f>IFERROR(INDEX(Pedidos!$E$2:$E$1801,MATCH(B2599,Pedidos!$A$2:$A$1801,0)),"")</f>
        <v/>
      </c>
      <c r="J2599" s="25">
        <f>IFERROR(INDEX(Pedidos!$C$2:$C$1801,MATCH(B2599,Pedidos!$A$2:$A$1801,0)),"")</f>
        <v/>
      </c>
      <c r="K2599" s="25">
        <f>IFERROR(INDEX(Pedidos!$D$2:$D$1801,MATCH(B2599,Pedidos!$A$2:$A$1801,0)),"")</f>
        <v/>
      </c>
      <c r="L2599" s="25">
        <f>IFERROR(INDEX(Pedidos!$F$2:$F$1801,MATCH(B2599,Pedidos!$A$2:$A$1801,0)),"")</f>
        <v/>
      </c>
      <c r="M2599" s="26">
        <f>IFERROR(INDEX(Pedidos!$G$2:$G$1801,MATCH(B2599,Pedidos!$A$2:$A$1801,0)),0)</f>
        <v/>
      </c>
      <c r="N2599" s="25">
        <f>IFERROR(INDEX(Produtos!$B$2:$B$71,MATCH(C2599,Produtos!$A$2:$A$71,0)),"")</f>
        <v/>
      </c>
      <c r="O2599" s="25">
        <f>IFERROR(INDEX(Produtos!$C$2:$C$71,MATCH(C2599,Produtos!$A$2:$A$71,0)),"")</f>
        <v/>
      </c>
      <c r="P2599" s="25">
        <f>IFERROR(INDEX(Produtos!$D$2:$D$71,MATCH(C2599,Produtos!$A$2:$A$71,0)),0)</f>
        <v/>
      </c>
      <c r="Q2599" s="25">
        <f>IFERROR(INDEX(Produtos!$E$2:$E$71,MATCH(C2599,Produtos!$A$2:$A$71,0)),0)</f>
        <v/>
      </c>
      <c r="R2599" s="27">
        <f>D2599*Q2599</f>
        <v/>
      </c>
      <c r="S2599" s="27">
        <f>R2599*E2599</f>
        <v/>
      </c>
      <c r="T2599" s="27">
        <f>(R2599-S2599)*M2599</f>
        <v/>
      </c>
      <c r="U2599" s="27">
        <f>R2599-S2599-T2599</f>
        <v/>
      </c>
      <c r="V2599" s="27">
        <f>D2599*P2599</f>
        <v/>
      </c>
      <c r="W2599" s="27">
        <f>U2599-V2599</f>
        <v/>
      </c>
      <c r="X2599" s="28">
        <f>IFERROR(W2599/U2599,0)</f>
        <v/>
      </c>
    </row>
    <row r="2600">
      <c r="A2600" s="21">
        <f>ItensPedido!A2600</f>
        <v/>
      </c>
      <c r="B2600" s="21">
        <f>ItensPedido!B2600</f>
        <v/>
      </c>
      <c r="C2600" s="21">
        <f>ItensPedido!C2600</f>
        <v/>
      </c>
      <c r="D2600" s="21">
        <f>ItensPedido!D2600</f>
        <v/>
      </c>
      <c r="E2600" s="22">
        <f>ItensPedido!E2600</f>
        <v/>
      </c>
      <c r="F2600" s="21">
        <f>IFERROR(INDEX(Pedidos!$B$2:$B$1801,MATCH(B2600,Pedidos!$A$2:$A$1801,0)),0)</f>
        <v/>
      </c>
      <c r="G2600" s="21">
        <f>IF(F2600=0,"",YEAR(F2600))</f>
        <v/>
      </c>
      <c r="H2600" s="21">
        <f>IF(F2600=0,"",MONTH(F2600))</f>
        <v/>
      </c>
      <c r="I2600" s="21">
        <f>IFERROR(INDEX(Pedidos!$E$2:$E$1801,MATCH(B2600,Pedidos!$A$2:$A$1801,0)),"")</f>
        <v/>
      </c>
      <c r="J2600" s="21">
        <f>IFERROR(INDEX(Pedidos!$C$2:$C$1801,MATCH(B2600,Pedidos!$A$2:$A$1801,0)),"")</f>
        <v/>
      </c>
      <c r="K2600" s="21">
        <f>IFERROR(INDEX(Pedidos!$D$2:$D$1801,MATCH(B2600,Pedidos!$A$2:$A$1801,0)),"")</f>
        <v/>
      </c>
      <c r="L2600" s="21">
        <f>IFERROR(INDEX(Pedidos!$F$2:$F$1801,MATCH(B2600,Pedidos!$A$2:$A$1801,0)),"")</f>
        <v/>
      </c>
      <c r="M2600" s="22">
        <f>IFERROR(INDEX(Pedidos!$G$2:$G$1801,MATCH(B2600,Pedidos!$A$2:$A$1801,0)),0)</f>
        <v/>
      </c>
      <c r="N2600" s="21">
        <f>IFERROR(INDEX(Produtos!$B$2:$B$71,MATCH(C2600,Produtos!$A$2:$A$71,0)),"")</f>
        <v/>
      </c>
      <c r="O2600" s="21">
        <f>IFERROR(INDEX(Produtos!$C$2:$C$71,MATCH(C2600,Produtos!$A$2:$A$71,0)),"")</f>
        <v/>
      </c>
      <c r="P2600" s="21">
        <f>IFERROR(INDEX(Produtos!$D$2:$D$71,MATCH(C2600,Produtos!$A$2:$A$71,0)),0)</f>
        <v/>
      </c>
      <c r="Q2600" s="21">
        <f>IFERROR(INDEX(Produtos!$E$2:$E$71,MATCH(C2600,Produtos!$A$2:$A$71,0)),0)</f>
        <v/>
      </c>
      <c r="R2600" s="23">
        <f>D2600*Q2600</f>
        <v/>
      </c>
      <c r="S2600" s="23">
        <f>R2600*E2600</f>
        <v/>
      </c>
      <c r="T2600" s="23">
        <f>(R2600-S2600)*M2600</f>
        <v/>
      </c>
      <c r="U2600" s="23">
        <f>R2600-S2600-T2600</f>
        <v/>
      </c>
      <c r="V2600" s="23">
        <f>D2600*P2600</f>
        <v/>
      </c>
      <c r="W2600" s="23">
        <f>U2600-V2600</f>
        <v/>
      </c>
      <c r="X2600" s="24">
        <f>IFERROR(W2600/U2600,0)</f>
        <v/>
      </c>
    </row>
    <row r="2601">
      <c r="A2601" s="25">
        <f>ItensPedido!A2601</f>
        <v/>
      </c>
      <c r="B2601" s="25">
        <f>ItensPedido!B2601</f>
        <v/>
      </c>
      <c r="C2601" s="25">
        <f>ItensPedido!C2601</f>
        <v/>
      </c>
      <c r="D2601" s="25">
        <f>ItensPedido!D2601</f>
        <v/>
      </c>
      <c r="E2601" s="26">
        <f>ItensPedido!E2601</f>
        <v/>
      </c>
      <c r="F2601" s="25">
        <f>IFERROR(INDEX(Pedidos!$B$2:$B$1801,MATCH(B2601,Pedidos!$A$2:$A$1801,0)),0)</f>
        <v/>
      </c>
      <c r="G2601" s="25">
        <f>IF(F2601=0,"",YEAR(F2601))</f>
        <v/>
      </c>
      <c r="H2601" s="25">
        <f>IF(F2601=0,"",MONTH(F2601))</f>
        <v/>
      </c>
      <c r="I2601" s="25">
        <f>IFERROR(INDEX(Pedidos!$E$2:$E$1801,MATCH(B2601,Pedidos!$A$2:$A$1801,0)),"")</f>
        <v/>
      </c>
      <c r="J2601" s="25">
        <f>IFERROR(INDEX(Pedidos!$C$2:$C$1801,MATCH(B2601,Pedidos!$A$2:$A$1801,0)),"")</f>
        <v/>
      </c>
      <c r="K2601" s="25">
        <f>IFERROR(INDEX(Pedidos!$D$2:$D$1801,MATCH(B2601,Pedidos!$A$2:$A$1801,0)),"")</f>
        <v/>
      </c>
      <c r="L2601" s="25">
        <f>IFERROR(INDEX(Pedidos!$F$2:$F$1801,MATCH(B2601,Pedidos!$A$2:$A$1801,0)),"")</f>
        <v/>
      </c>
      <c r="M2601" s="26">
        <f>IFERROR(INDEX(Pedidos!$G$2:$G$1801,MATCH(B2601,Pedidos!$A$2:$A$1801,0)),0)</f>
        <v/>
      </c>
      <c r="N2601" s="25">
        <f>IFERROR(INDEX(Produtos!$B$2:$B$71,MATCH(C2601,Produtos!$A$2:$A$71,0)),"")</f>
        <v/>
      </c>
      <c r="O2601" s="25">
        <f>IFERROR(INDEX(Produtos!$C$2:$C$71,MATCH(C2601,Produtos!$A$2:$A$71,0)),"")</f>
        <v/>
      </c>
      <c r="P2601" s="25">
        <f>IFERROR(INDEX(Produtos!$D$2:$D$71,MATCH(C2601,Produtos!$A$2:$A$71,0)),0)</f>
        <v/>
      </c>
      <c r="Q2601" s="25">
        <f>IFERROR(INDEX(Produtos!$E$2:$E$71,MATCH(C2601,Produtos!$A$2:$A$71,0)),0)</f>
        <v/>
      </c>
      <c r="R2601" s="27">
        <f>D2601*Q2601</f>
        <v/>
      </c>
      <c r="S2601" s="27">
        <f>R2601*E2601</f>
        <v/>
      </c>
      <c r="T2601" s="27">
        <f>(R2601-S2601)*M2601</f>
        <v/>
      </c>
      <c r="U2601" s="27">
        <f>R2601-S2601-T2601</f>
        <v/>
      </c>
      <c r="V2601" s="27">
        <f>D2601*P2601</f>
        <v/>
      </c>
      <c r="W2601" s="27">
        <f>U2601-V2601</f>
        <v/>
      </c>
      <c r="X2601" s="28">
        <f>IFERROR(W2601/U2601,0)</f>
        <v/>
      </c>
    </row>
    <row r="2602">
      <c r="A2602" s="21">
        <f>ItensPedido!A2602</f>
        <v/>
      </c>
      <c r="B2602" s="21">
        <f>ItensPedido!B2602</f>
        <v/>
      </c>
      <c r="C2602" s="21">
        <f>ItensPedido!C2602</f>
        <v/>
      </c>
      <c r="D2602" s="21">
        <f>ItensPedido!D2602</f>
        <v/>
      </c>
      <c r="E2602" s="22">
        <f>ItensPedido!E2602</f>
        <v/>
      </c>
      <c r="F2602" s="21">
        <f>IFERROR(INDEX(Pedidos!$B$2:$B$1801,MATCH(B2602,Pedidos!$A$2:$A$1801,0)),0)</f>
        <v/>
      </c>
      <c r="G2602" s="21">
        <f>IF(F2602=0,"",YEAR(F2602))</f>
        <v/>
      </c>
      <c r="H2602" s="21">
        <f>IF(F2602=0,"",MONTH(F2602))</f>
        <v/>
      </c>
      <c r="I2602" s="21">
        <f>IFERROR(INDEX(Pedidos!$E$2:$E$1801,MATCH(B2602,Pedidos!$A$2:$A$1801,0)),"")</f>
        <v/>
      </c>
      <c r="J2602" s="21">
        <f>IFERROR(INDEX(Pedidos!$C$2:$C$1801,MATCH(B2602,Pedidos!$A$2:$A$1801,0)),"")</f>
        <v/>
      </c>
      <c r="K2602" s="21">
        <f>IFERROR(INDEX(Pedidos!$D$2:$D$1801,MATCH(B2602,Pedidos!$A$2:$A$1801,0)),"")</f>
        <v/>
      </c>
      <c r="L2602" s="21">
        <f>IFERROR(INDEX(Pedidos!$F$2:$F$1801,MATCH(B2602,Pedidos!$A$2:$A$1801,0)),"")</f>
        <v/>
      </c>
      <c r="M2602" s="22">
        <f>IFERROR(INDEX(Pedidos!$G$2:$G$1801,MATCH(B2602,Pedidos!$A$2:$A$1801,0)),0)</f>
        <v/>
      </c>
      <c r="N2602" s="21">
        <f>IFERROR(INDEX(Produtos!$B$2:$B$71,MATCH(C2602,Produtos!$A$2:$A$71,0)),"")</f>
        <v/>
      </c>
      <c r="O2602" s="21">
        <f>IFERROR(INDEX(Produtos!$C$2:$C$71,MATCH(C2602,Produtos!$A$2:$A$71,0)),"")</f>
        <v/>
      </c>
      <c r="P2602" s="21">
        <f>IFERROR(INDEX(Produtos!$D$2:$D$71,MATCH(C2602,Produtos!$A$2:$A$71,0)),0)</f>
        <v/>
      </c>
      <c r="Q2602" s="21">
        <f>IFERROR(INDEX(Produtos!$E$2:$E$71,MATCH(C2602,Produtos!$A$2:$A$71,0)),0)</f>
        <v/>
      </c>
      <c r="R2602" s="23">
        <f>D2602*Q2602</f>
        <v/>
      </c>
      <c r="S2602" s="23">
        <f>R2602*E2602</f>
        <v/>
      </c>
      <c r="T2602" s="23">
        <f>(R2602-S2602)*M2602</f>
        <v/>
      </c>
      <c r="U2602" s="23">
        <f>R2602-S2602-T2602</f>
        <v/>
      </c>
      <c r="V2602" s="23">
        <f>D2602*P2602</f>
        <v/>
      </c>
      <c r="W2602" s="23">
        <f>U2602-V2602</f>
        <v/>
      </c>
      <c r="X2602" s="24">
        <f>IFERROR(W2602/U2602,0)</f>
        <v/>
      </c>
    </row>
    <row r="2603">
      <c r="A2603" s="25">
        <f>ItensPedido!A2603</f>
        <v/>
      </c>
      <c r="B2603" s="25">
        <f>ItensPedido!B2603</f>
        <v/>
      </c>
      <c r="C2603" s="25">
        <f>ItensPedido!C2603</f>
        <v/>
      </c>
      <c r="D2603" s="25">
        <f>ItensPedido!D2603</f>
        <v/>
      </c>
      <c r="E2603" s="26">
        <f>ItensPedido!E2603</f>
        <v/>
      </c>
      <c r="F2603" s="25">
        <f>IFERROR(INDEX(Pedidos!$B$2:$B$1801,MATCH(B2603,Pedidos!$A$2:$A$1801,0)),0)</f>
        <v/>
      </c>
      <c r="G2603" s="25">
        <f>IF(F2603=0,"",YEAR(F2603))</f>
        <v/>
      </c>
      <c r="H2603" s="25">
        <f>IF(F2603=0,"",MONTH(F2603))</f>
        <v/>
      </c>
      <c r="I2603" s="25">
        <f>IFERROR(INDEX(Pedidos!$E$2:$E$1801,MATCH(B2603,Pedidos!$A$2:$A$1801,0)),"")</f>
        <v/>
      </c>
      <c r="J2603" s="25">
        <f>IFERROR(INDEX(Pedidos!$C$2:$C$1801,MATCH(B2603,Pedidos!$A$2:$A$1801,0)),"")</f>
        <v/>
      </c>
      <c r="K2603" s="25">
        <f>IFERROR(INDEX(Pedidos!$D$2:$D$1801,MATCH(B2603,Pedidos!$A$2:$A$1801,0)),"")</f>
        <v/>
      </c>
      <c r="L2603" s="25">
        <f>IFERROR(INDEX(Pedidos!$F$2:$F$1801,MATCH(B2603,Pedidos!$A$2:$A$1801,0)),"")</f>
        <v/>
      </c>
      <c r="M2603" s="26">
        <f>IFERROR(INDEX(Pedidos!$G$2:$G$1801,MATCH(B2603,Pedidos!$A$2:$A$1801,0)),0)</f>
        <v/>
      </c>
      <c r="N2603" s="25">
        <f>IFERROR(INDEX(Produtos!$B$2:$B$71,MATCH(C2603,Produtos!$A$2:$A$71,0)),"")</f>
        <v/>
      </c>
      <c r="O2603" s="25">
        <f>IFERROR(INDEX(Produtos!$C$2:$C$71,MATCH(C2603,Produtos!$A$2:$A$71,0)),"")</f>
        <v/>
      </c>
      <c r="P2603" s="25">
        <f>IFERROR(INDEX(Produtos!$D$2:$D$71,MATCH(C2603,Produtos!$A$2:$A$71,0)),0)</f>
        <v/>
      </c>
      <c r="Q2603" s="25">
        <f>IFERROR(INDEX(Produtos!$E$2:$E$71,MATCH(C2603,Produtos!$A$2:$A$71,0)),0)</f>
        <v/>
      </c>
      <c r="R2603" s="27">
        <f>D2603*Q2603</f>
        <v/>
      </c>
      <c r="S2603" s="27">
        <f>R2603*E2603</f>
        <v/>
      </c>
      <c r="T2603" s="27">
        <f>(R2603-S2603)*M2603</f>
        <v/>
      </c>
      <c r="U2603" s="27">
        <f>R2603-S2603-T2603</f>
        <v/>
      </c>
      <c r="V2603" s="27">
        <f>D2603*P2603</f>
        <v/>
      </c>
      <c r="W2603" s="27">
        <f>U2603-V2603</f>
        <v/>
      </c>
      <c r="X2603" s="28">
        <f>IFERROR(W2603/U2603,0)</f>
        <v/>
      </c>
    </row>
    <row r="2604">
      <c r="A2604" s="21">
        <f>ItensPedido!A2604</f>
        <v/>
      </c>
      <c r="B2604" s="21">
        <f>ItensPedido!B2604</f>
        <v/>
      </c>
      <c r="C2604" s="21">
        <f>ItensPedido!C2604</f>
        <v/>
      </c>
      <c r="D2604" s="21">
        <f>ItensPedido!D2604</f>
        <v/>
      </c>
      <c r="E2604" s="22">
        <f>ItensPedido!E2604</f>
        <v/>
      </c>
      <c r="F2604" s="21">
        <f>IFERROR(INDEX(Pedidos!$B$2:$B$1801,MATCH(B2604,Pedidos!$A$2:$A$1801,0)),0)</f>
        <v/>
      </c>
      <c r="G2604" s="21">
        <f>IF(F2604=0,"",YEAR(F2604))</f>
        <v/>
      </c>
      <c r="H2604" s="21">
        <f>IF(F2604=0,"",MONTH(F2604))</f>
        <v/>
      </c>
      <c r="I2604" s="21">
        <f>IFERROR(INDEX(Pedidos!$E$2:$E$1801,MATCH(B2604,Pedidos!$A$2:$A$1801,0)),"")</f>
        <v/>
      </c>
      <c r="J2604" s="21">
        <f>IFERROR(INDEX(Pedidos!$C$2:$C$1801,MATCH(B2604,Pedidos!$A$2:$A$1801,0)),"")</f>
        <v/>
      </c>
      <c r="K2604" s="21">
        <f>IFERROR(INDEX(Pedidos!$D$2:$D$1801,MATCH(B2604,Pedidos!$A$2:$A$1801,0)),"")</f>
        <v/>
      </c>
      <c r="L2604" s="21">
        <f>IFERROR(INDEX(Pedidos!$F$2:$F$1801,MATCH(B2604,Pedidos!$A$2:$A$1801,0)),"")</f>
        <v/>
      </c>
      <c r="M2604" s="22">
        <f>IFERROR(INDEX(Pedidos!$G$2:$G$1801,MATCH(B2604,Pedidos!$A$2:$A$1801,0)),0)</f>
        <v/>
      </c>
      <c r="N2604" s="21">
        <f>IFERROR(INDEX(Produtos!$B$2:$B$71,MATCH(C2604,Produtos!$A$2:$A$71,0)),"")</f>
        <v/>
      </c>
      <c r="O2604" s="21">
        <f>IFERROR(INDEX(Produtos!$C$2:$C$71,MATCH(C2604,Produtos!$A$2:$A$71,0)),"")</f>
        <v/>
      </c>
      <c r="P2604" s="21">
        <f>IFERROR(INDEX(Produtos!$D$2:$D$71,MATCH(C2604,Produtos!$A$2:$A$71,0)),0)</f>
        <v/>
      </c>
      <c r="Q2604" s="21">
        <f>IFERROR(INDEX(Produtos!$E$2:$E$71,MATCH(C2604,Produtos!$A$2:$A$71,0)),0)</f>
        <v/>
      </c>
      <c r="R2604" s="23">
        <f>D2604*Q2604</f>
        <v/>
      </c>
      <c r="S2604" s="23">
        <f>R2604*E2604</f>
        <v/>
      </c>
      <c r="T2604" s="23">
        <f>(R2604-S2604)*M2604</f>
        <v/>
      </c>
      <c r="U2604" s="23">
        <f>R2604-S2604-T2604</f>
        <v/>
      </c>
      <c r="V2604" s="23">
        <f>D2604*P2604</f>
        <v/>
      </c>
      <c r="W2604" s="23">
        <f>U2604-V2604</f>
        <v/>
      </c>
      <c r="X2604" s="24">
        <f>IFERROR(W2604/U2604,0)</f>
        <v/>
      </c>
    </row>
    <row r="2605">
      <c r="A2605" s="25">
        <f>ItensPedido!A2605</f>
        <v/>
      </c>
      <c r="B2605" s="25">
        <f>ItensPedido!B2605</f>
        <v/>
      </c>
      <c r="C2605" s="25">
        <f>ItensPedido!C2605</f>
        <v/>
      </c>
      <c r="D2605" s="25">
        <f>ItensPedido!D2605</f>
        <v/>
      </c>
      <c r="E2605" s="26">
        <f>ItensPedido!E2605</f>
        <v/>
      </c>
      <c r="F2605" s="25">
        <f>IFERROR(INDEX(Pedidos!$B$2:$B$1801,MATCH(B2605,Pedidos!$A$2:$A$1801,0)),0)</f>
        <v/>
      </c>
      <c r="G2605" s="25">
        <f>IF(F2605=0,"",YEAR(F2605))</f>
        <v/>
      </c>
      <c r="H2605" s="25">
        <f>IF(F2605=0,"",MONTH(F2605))</f>
        <v/>
      </c>
      <c r="I2605" s="25">
        <f>IFERROR(INDEX(Pedidos!$E$2:$E$1801,MATCH(B2605,Pedidos!$A$2:$A$1801,0)),"")</f>
        <v/>
      </c>
      <c r="J2605" s="25">
        <f>IFERROR(INDEX(Pedidos!$C$2:$C$1801,MATCH(B2605,Pedidos!$A$2:$A$1801,0)),"")</f>
        <v/>
      </c>
      <c r="K2605" s="25">
        <f>IFERROR(INDEX(Pedidos!$D$2:$D$1801,MATCH(B2605,Pedidos!$A$2:$A$1801,0)),"")</f>
        <v/>
      </c>
      <c r="L2605" s="25">
        <f>IFERROR(INDEX(Pedidos!$F$2:$F$1801,MATCH(B2605,Pedidos!$A$2:$A$1801,0)),"")</f>
        <v/>
      </c>
      <c r="M2605" s="26">
        <f>IFERROR(INDEX(Pedidos!$G$2:$G$1801,MATCH(B2605,Pedidos!$A$2:$A$1801,0)),0)</f>
        <v/>
      </c>
      <c r="N2605" s="25">
        <f>IFERROR(INDEX(Produtos!$B$2:$B$71,MATCH(C2605,Produtos!$A$2:$A$71,0)),"")</f>
        <v/>
      </c>
      <c r="O2605" s="25">
        <f>IFERROR(INDEX(Produtos!$C$2:$C$71,MATCH(C2605,Produtos!$A$2:$A$71,0)),"")</f>
        <v/>
      </c>
      <c r="P2605" s="25">
        <f>IFERROR(INDEX(Produtos!$D$2:$D$71,MATCH(C2605,Produtos!$A$2:$A$71,0)),0)</f>
        <v/>
      </c>
      <c r="Q2605" s="25">
        <f>IFERROR(INDEX(Produtos!$E$2:$E$71,MATCH(C2605,Produtos!$A$2:$A$71,0)),0)</f>
        <v/>
      </c>
      <c r="R2605" s="27">
        <f>D2605*Q2605</f>
        <v/>
      </c>
      <c r="S2605" s="27">
        <f>R2605*E2605</f>
        <v/>
      </c>
      <c r="T2605" s="27">
        <f>(R2605-S2605)*M2605</f>
        <v/>
      </c>
      <c r="U2605" s="27">
        <f>R2605-S2605-T2605</f>
        <v/>
      </c>
      <c r="V2605" s="27">
        <f>D2605*P2605</f>
        <v/>
      </c>
      <c r="W2605" s="27">
        <f>U2605-V2605</f>
        <v/>
      </c>
      <c r="X2605" s="28">
        <f>IFERROR(W2605/U2605,0)</f>
        <v/>
      </c>
    </row>
    <row r="2606">
      <c r="A2606" s="21">
        <f>ItensPedido!A2606</f>
        <v/>
      </c>
      <c r="B2606" s="21">
        <f>ItensPedido!B2606</f>
        <v/>
      </c>
      <c r="C2606" s="21">
        <f>ItensPedido!C2606</f>
        <v/>
      </c>
      <c r="D2606" s="21">
        <f>ItensPedido!D2606</f>
        <v/>
      </c>
      <c r="E2606" s="22">
        <f>ItensPedido!E2606</f>
        <v/>
      </c>
      <c r="F2606" s="21">
        <f>IFERROR(INDEX(Pedidos!$B$2:$B$1801,MATCH(B2606,Pedidos!$A$2:$A$1801,0)),0)</f>
        <v/>
      </c>
      <c r="G2606" s="21">
        <f>IF(F2606=0,"",YEAR(F2606))</f>
        <v/>
      </c>
      <c r="H2606" s="21">
        <f>IF(F2606=0,"",MONTH(F2606))</f>
        <v/>
      </c>
      <c r="I2606" s="21">
        <f>IFERROR(INDEX(Pedidos!$E$2:$E$1801,MATCH(B2606,Pedidos!$A$2:$A$1801,0)),"")</f>
        <v/>
      </c>
      <c r="J2606" s="21">
        <f>IFERROR(INDEX(Pedidos!$C$2:$C$1801,MATCH(B2606,Pedidos!$A$2:$A$1801,0)),"")</f>
        <v/>
      </c>
      <c r="K2606" s="21">
        <f>IFERROR(INDEX(Pedidos!$D$2:$D$1801,MATCH(B2606,Pedidos!$A$2:$A$1801,0)),"")</f>
        <v/>
      </c>
      <c r="L2606" s="21">
        <f>IFERROR(INDEX(Pedidos!$F$2:$F$1801,MATCH(B2606,Pedidos!$A$2:$A$1801,0)),"")</f>
        <v/>
      </c>
      <c r="M2606" s="22">
        <f>IFERROR(INDEX(Pedidos!$G$2:$G$1801,MATCH(B2606,Pedidos!$A$2:$A$1801,0)),0)</f>
        <v/>
      </c>
      <c r="N2606" s="21">
        <f>IFERROR(INDEX(Produtos!$B$2:$B$71,MATCH(C2606,Produtos!$A$2:$A$71,0)),"")</f>
        <v/>
      </c>
      <c r="O2606" s="21">
        <f>IFERROR(INDEX(Produtos!$C$2:$C$71,MATCH(C2606,Produtos!$A$2:$A$71,0)),"")</f>
        <v/>
      </c>
      <c r="P2606" s="21">
        <f>IFERROR(INDEX(Produtos!$D$2:$D$71,MATCH(C2606,Produtos!$A$2:$A$71,0)),0)</f>
        <v/>
      </c>
      <c r="Q2606" s="21">
        <f>IFERROR(INDEX(Produtos!$E$2:$E$71,MATCH(C2606,Produtos!$A$2:$A$71,0)),0)</f>
        <v/>
      </c>
      <c r="R2606" s="23">
        <f>D2606*Q2606</f>
        <v/>
      </c>
      <c r="S2606" s="23">
        <f>R2606*E2606</f>
        <v/>
      </c>
      <c r="T2606" s="23">
        <f>(R2606-S2606)*M2606</f>
        <v/>
      </c>
      <c r="U2606" s="23">
        <f>R2606-S2606-T2606</f>
        <v/>
      </c>
      <c r="V2606" s="23">
        <f>D2606*P2606</f>
        <v/>
      </c>
      <c r="W2606" s="23">
        <f>U2606-V2606</f>
        <v/>
      </c>
      <c r="X2606" s="24">
        <f>IFERROR(W2606/U2606,0)</f>
        <v/>
      </c>
    </row>
    <row r="2607">
      <c r="A2607" s="25">
        <f>ItensPedido!A2607</f>
        <v/>
      </c>
      <c r="B2607" s="25">
        <f>ItensPedido!B2607</f>
        <v/>
      </c>
      <c r="C2607" s="25">
        <f>ItensPedido!C2607</f>
        <v/>
      </c>
      <c r="D2607" s="25">
        <f>ItensPedido!D2607</f>
        <v/>
      </c>
      <c r="E2607" s="26">
        <f>ItensPedido!E2607</f>
        <v/>
      </c>
      <c r="F2607" s="25">
        <f>IFERROR(INDEX(Pedidos!$B$2:$B$1801,MATCH(B2607,Pedidos!$A$2:$A$1801,0)),0)</f>
        <v/>
      </c>
      <c r="G2607" s="25">
        <f>IF(F2607=0,"",YEAR(F2607))</f>
        <v/>
      </c>
      <c r="H2607" s="25">
        <f>IF(F2607=0,"",MONTH(F2607))</f>
        <v/>
      </c>
      <c r="I2607" s="25">
        <f>IFERROR(INDEX(Pedidos!$E$2:$E$1801,MATCH(B2607,Pedidos!$A$2:$A$1801,0)),"")</f>
        <v/>
      </c>
      <c r="J2607" s="25">
        <f>IFERROR(INDEX(Pedidos!$C$2:$C$1801,MATCH(B2607,Pedidos!$A$2:$A$1801,0)),"")</f>
        <v/>
      </c>
      <c r="K2607" s="25">
        <f>IFERROR(INDEX(Pedidos!$D$2:$D$1801,MATCH(B2607,Pedidos!$A$2:$A$1801,0)),"")</f>
        <v/>
      </c>
      <c r="L2607" s="25">
        <f>IFERROR(INDEX(Pedidos!$F$2:$F$1801,MATCH(B2607,Pedidos!$A$2:$A$1801,0)),"")</f>
        <v/>
      </c>
      <c r="M2607" s="26">
        <f>IFERROR(INDEX(Pedidos!$G$2:$G$1801,MATCH(B2607,Pedidos!$A$2:$A$1801,0)),0)</f>
        <v/>
      </c>
      <c r="N2607" s="25">
        <f>IFERROR(INDEX(Produtos!$B$2:$B$71,MATCH(C2607,Produtos!$A$2:$A$71,0)),"")</f>
        <v/>
      </c>
      <c r="O2607" s="25">
        <f>IFERROR(INDEX(Produtos!$C$2:$C$71,MATCH(C2607,Produtos!$A$2:$A$71,0)),"")</f>
        <v/>
      </c>
      <c r="P2607" s="25">
        <f>IFERROR(INDEX(Produtos!$D$2:$D$71,MATCH(C2607,Produtos!$A$2:$A$71,0)),0)</f>
        <v/>
      </c>
      <c r="Q2607" s="25">
        <f>IFERROR(INDEX(Produtos!$E$2:$E$71,MATCH(C2607,Produtos!$A$2:$A$71,0)),0)</f>
        <v/>
      </c>
      <c r="R2607" s="27">
        <f>D2607*Q2607</f>
        <v/>
      </c>
      <c r="S2607" s="27">
        <f>R2607*E2607</f>
        <v/>
      </c>
      <c r="T2607" s="27">
        <f>(R2607-S2607)*M2607</f>
        <v/>
      </c>
      <c r="U2607" s="27">
        <f>R2607-S2607-T2607</f>
        <v/>
      </c>
      <c r="V2607" s="27">
        <f>D2607*P2607</f>
        <v/>
      </c>
      <c r="W2607" s="27">
        <f>U2607-V2607</f>
        <v/>
      </c>
      <c r="X2607" s="28">
        <f>IFERROR(W2607/U2607,0)</f>
        <v/>
      </c>
    </row>
    <row r="2608">
      <c r="A2608" s="21">
        <f>ItensPedido!A2608</f>
        <v/>
      </c>
      <c r="B2608" s="21">
        <f>ItensPedido!B2608</f>
        <v/>
      </c>
      <c r="C2608" s="21">
        <f>ItensPedido!C2608</f>
        <v/>
      </c>
      <c r="D2608" s="21">
        <f>ItensPedido!D2608</f>
        <v/>
      </c>
      <c r="E2608" s="22">
        <f>ItensPedido!E2608</f>
        <v/>
      </c>
      <c r="F2608" s="21">
        <f>IFERROR(INDEX(Pedidos!$B$2:$B$1801,MATCH(B2608,Pedidos!$A$2:$A$1801,0)),0)</f>
        <v/>
      </c>
      <c r="G2608" s="21">
        <f>IF(F2608=0,"",YEAR(F2608))</f>
        <v/>
      </c>
      <c r="H2608" s="21">
        <f>IF(F2608=0,"",MONTH(F2608))</f>
        <v/>
      </c>
      <c r="I2608" s="21">
        <f>IFERROR(INDEX(Pedidos!$E$2:$E$1801,MATCH(B2608,Pedidos!$A$2:$A$1801,0)),"")</f>
        <v/>
      </c>
      <c r="J2608" s="21">
        <f>IFERROR(INDEX(Pedidos!$C$2:$C$1801,MATCH(B2608,Pedidos!$A$2:$A$1801,0)),"")</f>
        <v/>
      </c>
      <c r="K2608" s="21">
        <f>IFERROR(INDEX(Pedidos!$D$2:$D$1801,MATCH(B2608,Pedidos!$A$2:$A$1801,0)),"")</f>
        <v/>
      </c>
      <c r="L2608" s="21">
        <f>IFERROR(INDEX(Pedidos!$F$2:$F$1801,MATCH(B2608,Pedidos!$A$2:$A$1801,0)),"")</f>
        <v/>
      </c>
      <c r="M2608" s="22">
        <f>IFERROR(INDEX(Pedidos!$G$2:$G$1801,MATCH(B2608,Pedidos!$A$2:$A$1801,0)),0)</f>
        <v/>
      </c>
      <c r="N2608" s="21">
        <f>IFERROR(INDEX(Produtos!$B$2:$B$71,MATCH(C2608,Produtos!$A$2:$A$71,0)),"")</f>
        <v/>
      </c>
      <c r="O2608" s="21">
        <f>IFERROR(INDEX(Produtos!$C$2:$C$71,MATCH(C2608,Produtos!$A$2:$A$71,0)),"")</f>
        <v/>
      </c>
      <c r="P2608" s="21">
        <f>IFERROR(INDEX(Produtos!$D$2:$D$71,MATCH(C2608,Produtos!$A$2:$A$71,0)),0)</f>
        <v/>
      </c>
      <c r="Q2608" s="21">
        <f>IFERROR(INDEX(Produtos!$E$2:$E$71,MATCH(C2608,Produtos!$A$2:$A$71,0)),0)</f>
        <v/>
      </c>
      <c r="R2608" s="23">
        <f>D2608*Q2608</f>
        <v/>
      </c>
      <c r="S2608" s="23">
        <f>R2608*E2608</f>
        <v/>
      </c>
      <c r="T2608" s="23">
        <f>(R2608-S2608)*M2608</f>
        <v/>
      </c>
      <c r="U2608" s="23">
        <f>R2608-S2608-T2608</f>
        <v/>
      </c>
      <c r="V2608" s="23">
        <f>D2608*P2608</f>
        <v/>
      </c>
      <c r="W2608" s="23">
        <f>U2608-V2608</f>
        <v/>
      </c>
      <c r="X2608" s="24">
        <f>IFERROR(W2608/U2608,0)</f>
        <v/>
      </c>
    </row>
    <row r="2609">
      <c r="A2609" s="25">
        <f>ItensPedido!A2609</f>
        <v/>
      </c>
      <c r="B2609" s="25">
        <f>ItensPedido!B2609</f>
        <v/>
      </c>
      <c r="C2609" s="25">
        <f>ItensPedido!C2609</f>
        <v/>
      </c>
      <c r="D2609" s="25">
        <f>ItensPedido!D2609</f>
        <v/>
      </c>
      <c r="E2609" s="26">
        <f>ItensPedido!E2609</f>
        <v/>
      </c>
      <c r="F2609" s="25">
        <f>IFERROR(INDEX(Pedidos!$B$2:$B$1801,MATCH(B2609,Pedidos!$A$2:$A$1801,0)),0)</f>
        <v/>
      </c>
      <c r="G2609" s="25">
        <f>IF(F2609=0,"",YEAR(F2609))</f>
        <v/>
      </c>
      <c r="H2609" s="25">
        <f>IF(F2609=0,"",MONTH(F2609))</f>
        <v/>
      </c>
      <c r="I2609" s="25">
        <f>IFERROR(INDEX(Pedidos!$E$2:$E$1801,MATCH(B2609,Pedidos!$A$2:$A$1801,0)),"")</f>
        <v/>
      </c>
      <c r="J2609" s="25">
        <f>IFERROR(INDEX(Pedidos!$C$2:$C$1801,MATCH(B2609,Pedidos!$A$2:$A$1801,0)),"")</f>
        <v/>
      </c>
      <c r="K2609" s="25">
        <f>IFERROR(INDEX(Pedidos!$D$2:$D$1801,MATCH(B2609,Pedidos!$A$2:$A$1801,0)),"")</f>
        <v/>
      </c>
      <c r="L2609" s="25">
        <f>IFERROR(INDEX(Pedidos!$F$2:$F$1801,MATCH(B2609,Pedidos!$A$2:$A$1801,0)),"")</f>
        <v/>
      </c>
      <c r="M2609" s="26">
        <f>IFERROR(INDEX(Pedidos!$G$2:$G$1801,MATCH(B2609,Pedidos!$A$2:$A$1801,0)),0)</f>
        <v/>
      </c>
      <c r="N2609" s="25">
        <f>IFERROR(INDEX(Produtos!$B$2:$B$71,MATCH(C2609,Produtos!$A$2:$A$71,0)),"")</f>
        <v/>
      </c>
      <c r="O2609" s="25">
        <f>IFERROR(INDEX(Produtos!$C$2:$C$71,MATCH(C2609,Produtos!$A$2:$A$71,0)),"")</f>
        <v/>
      </c>
      <c r="P2609" s="25">
        <f>IFERROR(INDEX(Produtos!$D$2:$D$71,MATCH(C2609,Produtos!$A$2:$A$71,0)),0)</f>
        <v/>
      </c>
      <c r="Q2609" s="25">
        <f>IFERROR(INDEX(Produtos!$E$2:$E$71,MATCH(C2609,Produtos!$A$2:$A$71,0)),0)</f>
        <v/>
      </c>
      <c r="R2609" s="27">
        <f>D2609*Q2609</f>
        <v/>
      </c>
      <c r="S2609" s="27">
        <f>R2609*E2609</f>
        <v/>
      </c>
      <c r="T2609" s="27">
        <f>(R2609-S2609)*M2609</f>
        <v/>
      </c>
      <c r="U2609" s="27">
        <f>R2609-S2609-T2609</f>
        <v/>
      </c>
      <c r="V2609" s="27">
        <f>D2609*P2609</f>
        <v/>
      </c>
      <c r="W2609" s="27">
        <f>U2609-V2609</f>
        <v/>
      </c>
      <c r="X2609" s="28">
        <f>IFERROR(W2609/U2609,0)</f>
        <v/>
      </c>
    </row>
    <row r="2610">
      <c r="A2610" s="21">
        <f>ItensPedido!A2610</f>
        <v/>
      </c>
      <c r="B2610" s="21">
        <f>ItensPedido!B2610</f>
        <v/>
      </c>
      <c r="C2610" s="21">
        <f>ItensPedido!C2610</f>
        <v/>
      </c>
      <c r="D2610" s="21">
        <f>ItensPedido!D2610</f>
        <v/>
      </c>
      <c r="E2610" s="22">
        <f>ItensPedido!E2610</f>
        <v/>
      </c>
      <c r="F2610" s="21">
        <f>IFERROR(INDEX(Pedidos!$B$2:$B$1801,MATCH(B2610,Pedidos!$A$2:$A$1801,0)),0)</f>
        <v/>
      </c>
      <c r="G2610" s="21">
        <f>IF(F2610=0,"",YEAR(F2610))</f>
        <v/>
      </c>
      <c r="H2610" s="21">
        <f>IF(F2610=0,"",MONTH(F2610))</f>
        <v/>
      </c>
      <c r="I2610" s="21">
        <f>IFERROR(INDEX(Pedidos!$E$2:$E$1801,MATCH(B2610,Pedidos!$A$2:$A$1801,0)),"")</f>
        <v/>
      </c>
      <c r="J2610" s="21">
        <f>IFERROR(INDEX(Pedidos!$C$2:$C$1801,MATCH(B2610,Pedidos!$A$2:$A$1801,0)),"")</f>
        <v/>
      </c>
      <c r="K2610" s="21">
        <f>IFERROR(INDEX(Pedidos!$D$2:$D$1801,MATCH(B2610,Pedidos!$A$2:$A$1801,0)),"")</f>
        <v/>
      </c>
      <c r="L2610" s="21">
        <f>IFERROR(INDEX(Pedidos!$F$2:$F$1801,MATCH(B2610,Pedidos!$A$2:$A$1801,0)),"")</f>
        <v/>
      </c>
      <c r="M2610" s="22">
        <f>IFERROR(INDEX(Pedidos!$G$2:$G$1801,MATCH(B2610,Pedidos!$A$2:$A$1801,0)),0)</f>
        <v/>
      </c>
      <c r="N2610" s="21">
        <f>IFERROR(INDEX(Produtos!$B$2:$B$71,MATCH(C2610,Produtos!$A$2:$A$71,0)),"")</f>
        <v/>
      </c>
      <c r="O2610" s="21">
        <f>IFERROR(INDEX(Produtos!$C$2:$C$71,MATCH(C2610,Produtos!$A$2:$A$71,0)),"")</f>
        <v/>
      </c>
      <c r="P2610" s="21">
        <f>IFERROR(INDEX(Produtos!$D$2:$D$71,MATCH(C2610,Produtos!$A$2:$A$71,0)),0)</f>
        <v/>
      </c>
      <c r="Q2610" s="21">
        <f>IFERROR(INDEX(Produtos!$E$2:$E$71,MATCH(C2610,Produtos!$A$2:$A$71,0)),0)</f>
        <v/>
      </c>
      <c r="R2610" s="23">
        <f>D2610*Q2610</f>
        <v/>
      </c>
      <c r="S2610" s="23">
        <f>R2610*E2610</f>
        <v/>
      </c>
      <c r="T2610" s="23">
        <f>(R2610-S2610)*M2610</f>
        <v/>
      </c>
      <c r="U2610" s="23">
        <f>R2610-S2610-T2610</f>
        <v/>
      </c>
      <c r="V2610" s="23">
        <f>D2610*P2610</f>
        <v/>
      </c>
      <c r="W2610" s="23">
        <f>U2610-V2610</f>
        <v/>
      </c>
      <c r="X2610" s="24">
        <f>IFERROR(W2610/U2610,0)</f>
        <v/>
      </c>
    </row>
    <row r="2611">
      <c r="A2611" s="25">
        <f>ItensPedido!A2611</f>
        <v/>
      </c>
      <c r="B2611" s="25">
        <f>ItensPedido!B2611</f>
        <v/>
      </c>
      <c r="C2611" s="25">
        <f>ItensPedido!C2611</f>
        <v/>
      </c>
      <c r="D2611" s="25">
        <f>ItensPedido!D2611</f>
        <v/>
      </c>
      <c r="E2611" s="26">
        <f>ItensPedido!E2611</f>
        <v/>
      </c>
      <c r="F2611" s="25">
        <f>IFERROR(INDEX(Pedidos!$B$2:$B$1801,MATCH(B2611,Pedidos!$A$2:$A$1801,0)),0)</f>
        <v/>
      </c>
      <c r="G2611" s="25">
        <f>IF(F2611=0,"",YEAR(F2611))</f>
        <v/>
      </c>
      <c r="H2611" s="25">
        <f>IF(F2611=0,"",MONTH(F2611))</f>
        <v/>
      </c>
      <c r="I2611" s="25">
        <f>IFERROR(INDEX(Pedidos!$E$2:$E$1801,MATCH(B2611,Pedidos!$A$2:$A$1801,0)),"")</f>
        <v/>
      </c>
      <c r="J2611" s="25">
        <f>IFERROR(INDEX(Pedidos!$C$2:$C$1801,MATCH(B2611,Pedidos!$A$2:$A$1801,0)),"")</f>
        <v/>
      </c>
      <c r="K2611" s="25">
        <f>IFERROR(INDEX(Pedidos!$D$2:$D$1801,MATCH(B2611,Pedidos!$A$2:$A$1801,0)),"")</f>
        <v/>
      </c>
      <c r="L2611" s="25">
        <f>IFERROR(INDEX(Pedidos!$F$2:$F$1801,MATCH(B2611,Pedidos!$A$2:$A$1801,0)),"")</f>
        <v/>
      </c>
      <c r="M2611" s="26">
        <f>IFERROR(INDEX(Pedidos!$G$2:$G$1801,MATCH(B2611,Pedidos!$A$2:$A$1801,0)),0)</f>
        <v/>
      </c>
      <c r="N2611" s="25">
        <f>IFERROR(INDEX(Produtos!$B$2:$B$71,MATCH(C2611,Produtos!$A$2:$A$71,0)),"")</f>
        <v/>
      </c>
      <c r="O2611" s="25">
        <f>IFERROR(INDEX(Produtos!$C$2:$C$71,MATCH(C2611,Produtos!$A$2:$A$71,0)),"")</f>
        <v/>
      </c>
      <c r="P2611" s="25">
        <f>IFERROR(INDEX(Produtos!$D$2:$D$71,MATCH(C2611,Produtos!$A$2:$A$71,0)),0)</f>
        <v/>
      </c>
      <c r="Q2611" s="25">
        <f>IFERROR(INDEX(Produtos!$E$2:$E$71,MATCH(C2611,Produtos!$A$2:$A$71,0)),0)</f>
        <v/>
      </c>
      <c r="R2611" s="27">
        <f>D2611*Q2611</f>
        <v/>
      </c>
      <c r="S2611" s="27">
        <f>R2611*E2611</f>
        <v/>
      </c>
      <c r="T2611" s="27">
        <f>(R2611-S2611)*M2611</f>
        <v/>
      </c>
      <c r="U2611" s="27">
        <f>R2611-S2611-T2611</f>
        <v/>
      </c>
      <c r="V2611" s="27">
        <f>D2611*P2611</f>
        <v/>
      </c>
      <c r="W2611" s="27">
        <f>U2611-V2611</f>
        <v/>
      </c>
      <c r="X2611" s="28">
        <f>IFERROR(W2611/U2611,0)</f>
        <v/>
      </c>
    </row>
    <row r="2612">
      <c r="A2612" s="21">
        <f>ItensPedido!A2612</f>
        <v/>
      </c>
      <c r="B2612" s="21">
        <f>ItensPedido!B2612</f>
        <v/>
      </c>
      <c r="C2612" s="21">
        <f>ItensPedido!C2612</f>
        <v/>
      </c>
      <c r="D2612" s="21">
        <f>ItensPedido!D2612</f>
        <v/>
      </c>
      <c r="E2612" s="22">
        <f>ItensPedido!E2612</f>
        <v/>
      </c>
      <c r="F2612" s="21">
        <f>IFERROR(INDEX(Pedidos!$B$2:$B$1801,MATCH(B2612,Pedidos!$A$2:$A$1801,0)),0)</f>
        <v/>
      </c>
      <c r="G2612" s="21">
        <f>IF(F2612=0,"",YEAR(F2612))</f>
        <v/>
      </c>
      <c r="H2612" s="21">
        <f>IF(F2612=0,"",MONTH(F2612))</f>
        <v/>
      </c>
      <c r="I2612" s="21">
        <f>IFERROR(INDEX(Pedidos!$E$2:$E$1801,MATCH(B2612,Pedidos!$A$2:$A$1801,0)),"")</f>
        <v/>
      </c>
      <c r="J2612" s="21">
        <f>IFERROR(INDEX(Pedidos!$C$2:$C$1801,MATCH(B2612,Pedidos!$A$2:$A$1801,0)),"")</f>
        <v/>
      </c>
      <c r="K2612" s="21">
        <f>IFERROR(INDEX(Pedidos!$D$2:$D$1801,MATCH(B2612,Pedidos!$A$2:$A$1801,0)),"")</f>
        <v/>
      </c>
      <c r="L2612" s="21">
        <f>IFERROR(INDEX(Pedidos!$F$2:$F$1801,MATCH(B2612,Pedidos!$A$2:$A$1801,0)),"")</f>
        <v/>
      </c>
      <c r="M2612" s="22">
        <f>IFERROR(INDEX(Pedidos!$G$2:$G$1801,MATCH(B2612,Pedidos!$A$2:$A$1801,0)),0)</f>
        <v/>
      </c>
      <c r="N2612" s="21">
        <f>IFERROR(INDEX(Produtos!$B$2:$B$71,MATCH(C2612,Produtos!$A$2:$A$71,0)),"")</f>
        <v/>
      </c>
      <c r="O2612" s="21">
        <f>IFERROR(INDEX(Produtos!$C$2:$C$71,MATCH(C2612,Produtos!$A$2:$A$71,0)),"")</f>
        <v/>
      </c>
      <c r="P2612" s="21">
        <f>IFERROR(INDEX(Produtos!$D$2:$D$71,MATCH(C2612,Produtos!$A$2:$A$71,0)),0)</f>
        <v/>
      </c>
      <c r="Q2612" s="21">
        <f>IFERROR(INDEX(Produtos!$E$2:$E$71,MATCH(C2612,Produtos!$A$2:$A$71,0)),0)</f>
        <v/>
      </c>
      <c r="R2612" s="23">
        <f>D2612*Q2612</f>
        <v/>
      </c>
      <c r="S2612" s="23">
        <f>R2612*E2612</f>
        <v/>
      </c>
      <c r="T2612" s="23">
        <f>(R2612-S2612)*M2612</f>
        <v/>
      </c>
      <c r="U2612" s="23">
        <f>R2612-S2612-T2612</f>
        <v/>
      </c>
      <c r="V2612" s="23">
        <f>D2612*P2612</f>
        <v/>
      </c>
      <c r="W2612" s="23">
        <f>U2612-V2612</f>
        <v/>
      </c>
      <c r="X2612" s="24">
        <f>IFERROR(W2612/U2612,0)</f>
        <v/>
      </c>
    </row>
    <row r="2613">
      <c r="A2613" s="25">
        <f>ItensPedido!A2613</f>
        <v/>
      </c>
      <c r="B2613" s="25">
        <f>ItensPedido!B2613</f>
        <v/>
      </c>
      <c r="C2613" s="25">
        <f>ItensPedido!C2613</f>
        <v/>
      </c>
      <c r="D2613" s="25">
        <f>ItensPedido!D2613</f>
        <v/>
      </c>
      <c r="E2613" s="26">
        <f>ItensPedido!E2613</f>
        <v/>
      </c>
      <c r="F2613" s="25">
        <f>IFERROR(INDEX(Pedidos!$B$2:$B$1801,MATCH(B2613,Pedidos!$A$2:$A$1801,0)),0)</f>
        <v/>
      </c>
      <c r="G2613" s="25">
        <f>IF(F2613=0,"",YEAR(F2613))</f>
        <v/>
      </c>
      <c r="H2613" s="25">
        <f>IF(F2613=0,"",MONTH(F2613))</f>
        <v/>
      </c>
      <c r="I2613" s="25">
        <f>IFERROR(INDEX(Pedidos!$E$2:$E$1801,MATCH(B2613,Pedidos!$A$2:$A$1801,0)),"")</f>
        <v/>
      </c>
      <c r="J2613" s="25">
        <f>IFERROR(INDEX(Pedidos!$C$2:$C$1801,MATCH(B2613,Pedidos!$A$2:$A$1801,0)),"")</f>
        <v/>
      </c>
      <c r="K2613" s="25">
        <f>IFERROR(INDEX(Pedidos!$D$2:$D$1801,MATCH(B2613,Pedidos!$A$2:$A$1801,0)),"")</f>
        <v/>
      </c>
      <c r="L2613" s="25">
        <f>IFERROR(INDEX(Pedidos!$F$2:$F$1801,MATCH(B2613,Pedidos!$A$2:$A$1801,0)),"")</f>
        <v/>
      </c>
      <c r="M2613" s="26">
        <f>IFERROR(INDEX(Pedidos!$G$2:$G$1801,MATCH(B2613,Pedidos!$A$2:$A$1801,0)),0)</f>
        <v/>
      </c>
      <c r="N2613" s="25">
        <f>IFERROR(INDEX(Produtos!$B$2:$B$71,MATCH(C2613,Produtos!$A$2:$A$71,0)),"")</f>
        <v/>
      </c>
      <c r="O2613" s="25">
        <f>IFERROR(INDEX(Produtos!$C$2:$C$71,MATCH(C2613,Produtos!$A$2:$A$71,0)),"")</f>
        <v/>
      </c>
      <c r="P2613" s="25">
        <f>IFERROR(INDEX(Produtos!$D$2:$D$71,MATCH(C2613,Produtos!$A$2:$A$71,0)),0)</f>
        <v/>
      </c>
      <c r="Q2613" s="25">
        <f>IFERROR(INDEX(Produtos!$E$2:$E$71,MATCH(C2613,Produtos!$A$2:$A$71,0)),0)</f>
        <v/>
      </c>
      <c r="R2613" s="27">
        <f>D2613*Q2613</f>
        <v/>
      </c>
      <c r="S2613" s="27">
        <f>R2613*E2613</f>
        <v/>
      </c>
      <c r="T2613" s="27">
        <f>(R2613-S2613)*M2613</f>
        <v/>
      </c>
      <c r="U2613" s="27">
        <f>R2613-S2613-T2613</f>
        <v/>
      </c>
      <c r="V2613" s="27">
        <f>D2613*P2613</f>
        <v/>
      </c>
      <c r="W2613" s="27">
        <f>U2613-V2613</f>
        <v/>
      </c>
      <c r="X2613" s="28">
        <f>IFERROR(W2613/U2613,0)</f>
        <v/>
      </c>
    </row>
    <row r="2614">
      <c r="A2614" s="21">
        <f>ItensPedido!A2614</f>
        <v/>
      </c>
      <c r="B2614" s="21">
        <f>ItensPedido!B2614</f>
        <v/>
      </c>
      <c r="C2614" s="21">
        <f>ItensPedido!C2614</f>
        <v/>
      </c>
      <c r="D2614" s="21">
        <f>ItensPedido!D2614</f>
        <v/>
      </c>
      <c r="E2614" s="22">
        <f>ItensPedido!E2614</f>
        <v/>
      </c>
      <c r="F2614" s="21">
        <f>IFERROR(INDEX(Pedidos!$B$2:$B$1801,MATCH(B2614,Pedidos!$A$2:$A$1801,0)),0)</f>
        <v/>
      </c>
      <c r="G2614" s="21">
        <f>IF(F2614=0,"",YEAR(F2614))</f>
        <v/>
      </c>
      <c r="H2614" s="21">
        <f>IF(F2614=0,"",MONTH(F2614))</f>
        <v/>
      </c>
      <c r="I2614" s="21">
        <f>IFERROR(INDEX(Pedidos!$E$2:$E$1801,MATCH(B2614,Pedidos!$A$2:$A$1801,0)),"")</f>
        <v/>
      </c>
      <c r="J2614" s="21">
        <f>IFERROR(INDEX(Pedidos!$C$2:$C$1801,MATCH(B2614,Pedidos!$A$2:$A$1801,0)),"")</f>
        <v/>
      </c>
      <c r="K2614" s="21">
        <f>IFERROR(INDEX(Pedidos!$D$2:$D$1801,MATCH(B2614,Pedidos!$A$2:$A$1801,0)),"")</f>
        <v/>
      </c>
      <c r="L2614" s="21">
        <f>IFERROR(INDEX(Pedidos!$F$2:$F$1801,MATCH(B2614,Pedidos!$A$2:$A$1801,0)),"")</f>
        <v/>
      </c>
      <c r="M2614" s="22">
        <f>IFERROR(INDEX(Pedidos!$G$2:$G$1801,MATCH(B2614,Pedidos!$A$2:$A$1801,0)),0)</f>
        <v/>
      </c>
      <c r="N2614" s="21">
        <f>IFERROR(INDEX(Produtos!$B$2:$B$71,MATCH(C2614,Produtos!$A$2:$A$71,0)),"")</f>
        <v/>
      </c>
      <c r="O2614" s="21">
        <f>IFERROR(INDEX(Produtos!$C$2:$C$71,MATCH(C2614,Produtos!$A$2:$A$71,0)),"")</f>
        <v/>
      </c>
      <c r="P2614" s="21">
        <f>IFERROR(INDEX(Produtos!$D$2:$D$71,MATCH(C2614,Produtos!$A$2:$A$71,0)),0)</f>
        <v/>
      </c>
      <c r="Q2614" s="21">
        <f>IFERROR(INDEX(Produtos!$E$2:$E$71,MATCH(C2614,Produtos!$A$2:$A$71,0)),0)</f>
        <v/>
      </c>
      <c r="R2614" s="23">
        <f>D2614*Q2614</f>
        <v/>
      </c>
      <c r="S2614" s="23">
        <f>R2614*E2614</f>
        <v/>
      </c>
      <c r="T2614" s="23">
        <f>(R2614-S2614)*M2614</f>
        <v/>
      </c>
      <c r="U2614" s="23">
        <f>R2614-S2614-T2614</f>
        <v/>
      </c>
      <c r="V2614" s="23">
        <f>D2614*P2614</f>
        <v/>
      </c>
      <c r="W2614" s="23">
        <f>U2614-V2614</f>
        <v/>
      </c>
      <c r="X2614" s="24">
        <f>IFERROR(W2614/U2614,0)</f>
        <v/>
      </c>
    </row>
    <row r="2615">
      <c r="A2615" s="25">
        <f>ItensPedido!A2615</f>
        <v/>
      </c>
      <c r="B2615" s="25">
        <f>ItensPedido!B2615</f>
        <v/>
      </c>
      <c r="C2615" s="25">
        <f>ItensPedido!C2615</f>
        <v/>
      </c>
      <c r="D2615" s="25">
        <f>ItensPedido!D2615</f>
        <v/>
      </c>
      <c r="E2615" s="26">
        <f>ItensPedido!E2615</f>
        <v/>
      </c>
      <c r="F2615" s="25">
        <f>IFERROR(INDEX(Pedidos!$B$2:$B$1801,MATCH(B2615,Pedidos!$A$2:$A$1801,0)),0)</f>
        <v/>
      </c>
      <c r="G2615" s="25">
        <f>IF(F2615=0,"",YEAR(F2615))</f>
        <v/>
      </c>
      <c r="H2615" s="25">
        <f>IF(F2615=0,"",MONTH(F2615))</f>
        <v/>
      </c>
      <c r="I2615" s="25">
        <f>IFERROR(INDEX(Pedidos!$E$2:$E$1801,MATCH(B2615,Pedidos!$A$2:$A$1801,0)),"")</f>
        <v/>
      </c>
      <c r="J2615" s="25">
        <f>IFERROR(INDEX(Pedidos!$C$2:$C$1801,MATCH(B2615,Pedidos!$A$2:$A$1801,0)),"")</f>
        <v/>
      </c>
      <c r="K2615" s="25">
        <f>IFERROR(INDEX(Pedidos!$D$2:$D$1801,MATCH(B2615,Pedidos!$A$2:$A$1801,0)),"")</f>
        <v/>
      </c>
      <c r="L2615" s="25">
        <f>IFERROR(INDEX(Pedidos!$F$2:$F$1801,MATCH(B2615,Pedidos!$A$2:$A$1801,0)),"")</f>
        <v/>
      </c>
      <c r="M2615" s="26">
        <f>IFERROR(INDEX(Pedidos!$G$2:$G$1801,MATCH(B2615,Pedidos!$A$2:$A$1801,0)),0)</f>
        <v/>
      </c>
      <c r="N2615" s="25">
        <f>IFERROR(INDEX(Produtos!$B$2:$B$71,MATCH(C2615,Produtos!$A$2:$A$71,0)),"")</f>
        <v/>
      </c>
      <c r="O2615" s="25">
        <f>IFERROR(INDEX(Produtos!$C$2:$C$71,MATCH(C2615,Produtos!$A$2:$A$71,0)),"")</f>
        <v/>
      </c>
      <c r="P2615" s="25">
        <f>IFERROR(INDEX(Produtos!$D$2:$D$71,MATCH(C2615,Produtos!$A$2:$A$71,0)),0)</f>
        <v/>
      </c>
      <c r="Q2615" s="25">
        <f>IFERROR(INDEX(Produtos!$E$2:$E$71,MATCH(C2615,Produtos!$A$2:$A$71,0)),0)</f>
        <v/>
      </c>
      <c r="R2615" s="27">
        <f>D2615*Q2615</f>
        <v/>
      </c>
      <c r="S2615" s="27">
        <f>R2615*E2615</f>
        <v/>
      </c>
      <c r="T2615" s="27">
        <f>(R2615-S2615)*M2615</f>
        <v/>
      </c>
      <c r="U2615" s="27">
        <f>R2615-S2615-T2615</f>
        <v/>
      </c>
      <c r="V2615" s="27">
        <f>D2615*P2615</f>
        <v/>
      </c>
      <c r="W2615" s="27">
        <f>U2615-V2615</f>
        <v/>
      </c>
      <c r="X2615" s="28">
        <f>IFERROR(W2615/U2615,0)</f>
        <v/>
      </c>
    </row>
    <row r="2616">
      <c r="A2616" s="21">
        <f>ItensPedido!A2616</f>
        <v/>
      </c>
      <c r="B2616" s="21">
        <f>ItensPedido!B2616</f>
        <v/>
      </c>
      <c r="C2616" s="21">
        <f>ItensPedido!C2616</f>
        <v/>
      </c>
      <c r="D2616" s="21">
        <f>ItensPedido!D2616</f>
        <v/>
      </c>
      <c r="E2616" s="22">
        <f>ItensPedido!E2616</f>
        <v/>
      </c>
      <c r="F2616" s="21">
        <f>IFERROR(INDEX(Pedidos!$B$2:$B$1801,MATCH(B2616,Pedidos!$A$2:$A$1801,0)),0)</f>
        <v/>
      </c>
      <c r="G2616" s="21">
        <f>IF(F2616=0,"",YEAR(F2616))</f>
        <v/>
      </c>
      <c r="H2616" s="21">
        <f>IF(F2616=0,"",MONTH(F2616))</f>
        <v/>
      </c>
      <c r="I2616" s="21">
        <f>IFERROR(INDEX(Pedidos!$E$2:$E$1801,MATCH(B2616,Pedidos!$A$2:$A$1801,0)),"")</f>
        <v/>
      </c>
      <c r="J2616" s="21">
        <f>IFERROR(INDEX(Pedidos!$C$2:$C$1801,MATCH(B2616,Pedidos!$A$2:$A$1801,0)),"")</f>
        <v/>
      </c>
      <c r="K2616" s="21">
        <f>IFERROR(INDEX(Pedidos!$D$2:$D$1801,MATCH(B2616,Pedidos!$A$2:$A$1801,0)),"")</f>
        <v/>
      </c>
      <c r="L2616" s="21">
        <f>IFERROR(INDEX(Pedidos!$F$2:$F$1801,MATCH(B2616,Pedidos!$A$2:$A$1801,0)),"")</f>
        <v/>
      </c>
      <c r="M2616" s="22">
        <f>IFERROR(INDEX(Pedidos!$G$2:$G$1801,MATCH(B2616,Pedidos!$A$2:$A$1801,0)),0)</f>
        <v/>
      </c>
      <c r="N2616" s="21">
        <f>IFERROR(INDEX(Produtos!$B$2:$B$71,MATCH(C2616,Produtos!$A$2:$A$71,0)),"")</f>
        <v/>
      </c>
      <c r="O2616" s="21">
        <f>IFERROR(INDEX(Produtos!$C$2:$C$71,MATCH(C2616,Produtos!$A$2:$A$71,0)),"")</f>
        <v/>
      </c>
      <c r="P2616" s="21">
        <f>IFERROR(INDEX(Produtos!$D$2:$D$71,MATCH(C2616,Produtos!$A$2:$A$71,0)),0)</f>
        <v/>
      </c>
      <c r="Q2616" s="21">
        <f>IFERROR(INDEX(Produtos!$E$2:$E$71,MATCH(C2616,Produtos!$A$2:$A$71,0)),0)</f>
        <v/>
      </c>
      <c r="R2616" s="23">
        <f>D2616*Q2616</f>
        <v/>
      </c>
      <c r="S2616" s="23">
        <f>R2616*E2616</f>
        <v/>
      </c>
      <c r="T2616" s="23">
        <f>(R2616-S2616)*M2616</f>
        <v/>
      </c>
      <c r="U2616" s="23">
        <f>R2616-S2616-T2616</f>
        <v/>
      </c>
      <c r="V2616" s="23">
        <f>D2616*P2616</f>
        <v/>
      </c>
      <c r="W2616" s="23">
        <f>U2616-V2616</f>
        <v/>
      </c>
      <c r="X2616" s="24">
        <f>IFERROR(W2616/U2616,0)</f>
        <v/>
      </c>
    </row>
    <row r="2617">
      <c r="A2617" s="25">
        <f>ItensPedido!A2617</f>
        <v/>
      </c>
      <c r="B2617" s="25">
        <f>ItensPedido!B2617</f>
        <v/>
      </c>
      <c r="C2617" s="25">
        <f>ItensPedido!C2617</f>
        <v/>
      </c>
      <c r="D2617" s="25">
        <f>ItensPedido!D2617</f>
        <v/>
      </c>
      <c r="E2617" s="26">
        <f>ItensPedido!E2617</f>
        <v/>
      </c>
      <c r="F2617" s="25">
        <f>IFERROR(INDEX(Pedidos!$B$2:$B$1801,MATCH(B2617,Pedidos!$A$2:$A$1801,0)),0)</f>
        <v/>
      </c>
      <c r="G2617" s="25">
        <f>IF(F2617=0,"",YEAR(F2617))</f>
        <v/>
      </c>
      <c r="H2617" s="25">
        <f>IF(F2617=0,"",MONTH(F2617))</f>
        <v/>
      </c>
      <c r="I2617" s="25">
        <f>IFERROR(INDEX(Pedidos!$E$2:$E$1801,MATCH(B2617,Pedidos!$A$2:$A$1801,0)),"")</f>
        <v/>
      </c>
      <c r="J2617" s="25">
        <f>IFERROR(INDEX(Pedidos!$C$2:$C$1801,MATCH(B2617,Pedidos!$A$2:$A$1801,0)),"")</f>
        <v/>
      </c>
      <c r="K2617" s="25">
        <f>IFERROR(INDEX(Pedidos!$D$2:$D$1801,MATCH(B2617,Pedidos!$A$2:$A$1801,0)),"")</f>
        <v/>
      </c>
      <c r="L2617" s="25">
        <f>IFERROR(INDEX(Pedidos!$F$2:$F$1801,MATCH(B2617,Pedidos!$A$2:$A$1801,0)),"")</f>
        <v/>
      </c>
      <c r="M2617" s="26">
        <f>IFERROR(INDEX(Pedidos!$G$2:$G$1801,MATCH(B2617,Pedidos!$A$2:$A$1801,0)),0)</f>
        <v/>
      </c>
      <c r="N2617" s="25">
        <f>IFERROR(INDEX(Produtos!$B$2:$B$71,MATCH(C2617,Produtos!$A$2:$A$71,0)),"")</f>
        <v/>
      </c>
      <c r="O2617" s="25">
        <f>IFERROR(INDEX(Produtos!$C$2:$C$71,MATCH(C2617,Produtos!$A$2:$A$71,0)),"")</f>
        <v/>
      </c>
      <c r="P2617" s="25">
        <f>IFERROR(INDEX(Produtos!$D$2:$D$71,MATCH(C2617,Produtos!$A$2:$A$71,0)),0)</f>
        <v/>
      </c>
      <c r="Q2617" s="25">
        <f>IFERROR(INDEX(Produtos!$E$2:$E$71,MATCH(C2617,Produtos!$A$2:$A$71,0)),0)</f>
        <v/>
      </c>
      <c r="R2617" s="27">
        <f>D2617*Q2617</f>
        <v/>
      </c>
      <c r="S2617" s="27">
        <f>R2617*E2617</f>
        <v/>
      </c>
      <c r="T2617" s="27">
        <f>(R2617-S2617)*M2617</f>
        <v/>
      </c>
      <c r="U2617" s="27">
        <f>R2617-S2617-T2617</f>
        <v/>
      </c>
      <c r="V2617" s="27">
        <f>D2617*P2617</f>
        <v/>
      </c>
      <c r="W2617" s="27">
        <f>U2617-V2617</f>
        <v/>
      </c>
      <c r="X2617" s="28">
        <f>IFERROR(W2617/U2617,0)</f>
        <v/>
      </c>
    </row>
    <row r="2618">
      <c r="A2618" s="21">
        <f>ItensPedido!A2618</f>
        <v/>
      </c>
      <c r="B2618" s="21">
        <f>ItensPedido!B2618</f>
        <v/>
      </c>
      <c r="C2618" s="21">
        <f>ItensPedido!C2618</f>
        <v/>
      </c>
      <c r="D2618" s="21">
        <f>ItensPedido!D2618</f>
        <v/>
      </c>
      <c r="E2618" s="22">
        <f>ItensPedido!E2618</f>
        <v/>
      </c>
      <c r="F2618" s="21">
        <f>IFERROR(INDEX(Pedidos!$B$2:$B$1801,MATCH(B2618,Pedidos!$A$2:$A$1801,0)),0)</f>
        <v/>
      </c>
      <c r="G2618" s="21">
        <f>IF(F2618=0,"",YEAR(F2618))</f>
        <v/>
      </c>
      <c r="H2618" s="21">
        <f>IF(F2618=0,"",MONTH(F2618))</f>
        <v/>
      </c>
      <c r="I2618" s="21">
        <f>IFERROR(INDEX(Pedidos!$E$2:$E$1801,MATCH(B2618,Pedidos!$A$2:$A$1801,0)),"")</f>
        <v/>
      </c>
      <c r="J2618" s="21">
        <f>IFERROR(INDEX(Pedidos!$C$2:$C$1801,MATCH(B2618,Pedidos!$A$2:$A$1801,0)),"")</f>
        <v/>
      </c>
      <c r="K2618" s="21">
        <f>IFERROR(INDEX(Pedidos!$D$2:$D$1801,MATCH(B2618,Pedidos!$A$2:$A$1801,0)),"")</f>
        <v/>
      </c>
      <c r="L2618" s="21">
        <f>IFERROR(INDEX(Pedidos!$F$2:$F$1801,MATCH(B2618,Pedidos!$A$2:$A$1801,0)),"")</f>
        <v/>
      </c>
      <c r="M2618" s="22">
        <f>IFERROR(INDEX(Pedidos!$G$2:$G$1801,MATCH(B2618,Pedidos!$A$2:$A$1801,0)),0)</f>
        <v/>
      </c>
      <c r="N2618" s="21">
        <f>IFERROR(INDEX(Produtos!$B$2:$B$71,MATCH(C2618,Produtos!$A$2:$A$71,0)),"")</f>
        <v/>
      </c>
      <c r="O2618" s="21">
        <f>IFERROR(INDEX(Produtos!$C$2:$C$71,MATCH(C2618,Produtos!$A$2:$A$71,0)),"")</f>
        <v/>
      </c>
      <c r="P2618" s="21">
        <f>IFERROR(INDEX(Produtos!$D$2:$D$71,MATCH(C2618,Produtos!$A$2:$A$71,0)),0)</f>
        <v/>
      </c>
      <c r="Q2618" s="21">
        <f>IFERROR(INDEX(Produtos!$E$2:$E$71,MATCH(C2618,Produtos!$A$2:$A$71,0)),0)</f>
        <v/>
      </c>
      <c r="R2618" s="23">
        <f>D2618*Q2618</f>
        <v/>
      </c>
      <c r="S2618" s="23">
        <f>R2618*E2618</f>
        <v/>
      </c>
      <c r="T2618" s="23">
        <f>(R2618-S2618)*M2618</f>
        <v/>
      </c>
      <c r="U2618" s="23">
        <f>R2618-S2618-T2618</f>
        <v/>
      </c>
      <c r="V2618" s="23">
        <f>D2618*P2618</f>
        <v/>
      </c>
      <c r="W2618" s="23">
        <f>U2618-V2618</f>
        <v/>
      </c>
      <c r="X2618" s="24">
        <f>IFERROR(W2618/U2618,0)</f>
        <v/>
      </c>
    </row>
    <row r="2619">
      <c r="A2619" s="25">
        <f>ItensPedido!A2619</f>
        <v/>
      </c>
      <c r="B2619" s="25">
        <f>ItensPedido!B2619</f>
        <v/>
      </c>
      <c r="C2619" s="25">
        <f>ItensPedido!C2619</f>
        <v/>
      </c>
      <c r="D2619" s="25">
        <f>ItensPedido!D2619</f>
        <v/>
      </c>
      <c r="E2619" s="26">
        <f>ItensPedido!E2619</f>
        <v/>
      </c>
      <c r="F2619" s="25">
        <f>IFERROR(INDEX(Pedidos!$B$2:$B$1801,MATCH(B2619,Pedidos!$A$2:$A$1801,0)),0)</f>
        <v/>
      </c>
      <c r="G2619" s="25">
        <f>IF(F2619=0,"",YEAR(F2619))</f>
        <v/>
      </c>
      <c r="H2619" s="25">
        <f>IF(F2619=0,"",MONTH(F2619))</f>
        <v/>
      </c>
      <c r="I2619" s="25">
        <f>IFERROR(INDEX(Pedidos!$E$2:$E$1801,MATCH(B2619,Pedidos!$A$2:$A$1801,0)),"")</f>
        <v/>
      </c>
      <c r="J2619" s="25">
        <f>IFERROR(INDEX(Pedidos!$C$2:$C$1801,MATCH(B2619,Pedidos!$A$2:$A$1801,0)),"")</f>
        <v/>
      </c>
      <c r="K2619" s="25">
        <f>IFERROR(INDEX(Pedidos!$D$2:$D$1801,MATCH(B2619,Pedidos!$A$2:$A$1801,0)),"")</f>
        <v/>
      </c>
      <c r="L2619" s="25">
        <f>IFERROR(INDEX(Pedidos!$F$2:$F$1801,MATCH(B2619,Pedidos!$A$2:$A$1801,0)),"")</f>
        <v/>
      </c>
      <c r="M2619" s="26">
        <f>IFERROR(INDEX(Pedidos!$G$2:$G$1801,MATCH(B2619,Pedidos!$A$2:$A$1801,0)),0)</f>
        <v/>
      </c>
      <c r="N2619" s="25">
        <f>IFERROR(INDEX(Produtos!$B$2:$B$71,MATCH(C2619,Produtos!$A$2:$A$71,0)),"")</f>
        <v/>
      </c>
      <c r="O2619" s="25">
        <f>IFERROR(INDEX(Produtos!$C$2:$C$71,MATCH(C2619,Produtos!$A$2:$A$71,0)),"")</f>
        <v/>
      </c>
      <c r="P2619" s="25">
        <f>IFERROR(INDEX(Produtos!$D$2:$D$71,MATCH(C2619,Produtos!$A$2:$A$71,0)),0)</f>
        <v/>
      </c>
      <c r="Q2619" s="25">
        <f>IFERROR(INDEX(Produtos!$E$2:$E$71,MATCH(C2619,Produtos!$A$2:$A$71,0)),0)</f>
        <v/>
      </c>
      <c r="R2619" s="27">
        <f>D2619*Q2619</f>
        <v/>
      </c>
      <c r="S2619" s="27">
        <f>R2619*E2619</f>
        <v/>
      </c>
      <c r="T2619" s="27">
        <f>(R2619-S2619)*M2619</f>
        <v/>
      </c>
      <c r="U2619" s="27">
        <f>R2619-S2619-T2619</f>
        <v/>
      </c>
      <c r="V2619" s="27">
        <f>D2619*P2619</f>
        <v/>
      </c>
      <c r="W2619" s="27">
        <f>U2619-V2619</f>
        <v/>
      </c>
      <c r="X2619" s="28">
        <f>IFERROR(W2619/U2619,0)</f>
        <v/>
      </c>
    </row>
    <row r="2620">
      <c r="A2620" s="21">
        <f>ItensPedido!A2620</f>
        <v/>
      </c>
      <c r="B2620" s="21">
        <f>ItensPedido!B2620</f>
        <v/>
      </c>
      <c r="C2620" s="21">
        <f>ItensPedido!C2620</f>
        <v/>
      </c>
      <c r="D2620" s="21">
        <f>ItensPedido!D2620</f>
        <v/>
      </c>
      <c r="E2620" s="22">
        <f>ItensPedido!E2620</f>
        <v/>
      </c>
      <c r="F2620" s="21">
        <f>IFERROR(INDEX(Pedidos!$B$2:$B$1801,MATCH(B2620,Pedidos!$A$2:$A$1801,0)),0)</f>
        <v/>
      </c>
      <c r="G2620" s="21">
        <f>IF(F2620=0,"",YEAR(F2620))</f>
        <v/>
      </c>
      <c r="H2620" s="21">
        <f>IF(F2620=0,"",MONTH(F2620))</f>
        <v/>
      </c>
      <c r="I2620" s="21">
        <f>IFERROR(INDEX(Pedidos!$E$2:$E$1801,MATCH(B2620,Pedidos!$A$2:$A$1801,0)),"")</f>
        <v/>
      </c>
      <c r="J2620" s="21">
        <f>IFERROR(INDEX(Pedidos!$C$2:$C$1801,MATCH(B2620,Pedidos!$A$2:$A$1801,0)),"")</f>
        <v/>
      </c>
      <c r="K2620" s="21">
        <f>IFERROR(INDEX(Pedidos!$D$2:$D$1801,MATCH(B2620,Pedidos!$A$2:$A$1801,0)),"")</f>
        <v/>
      </c>
      <c r="L2620" s="21">
        <f>IFERROR(INDEX(Pedidos!$F$2:$F$1801,MATCH(B2620,Pedidos!$A$2:$A$1801,0)),"")</f>
        <v/>
      </c>
      <c r="M2620" s="22">
        <f>IFERROR(INDEX(Pedidos!$G$2:$G$1801,MATCH(B2620,Pedidos!$A$2:$A$1801,0)),0)</f>
        <v/>
      </c>
      <c r="N2620" s="21">
        <f>IFERROR(INDEX(Produtos!$B$2:$B$71,MATCH(C2620,Produtos!$A$2:$A$71,0)),"")</f>
        <v/>
      </c>
      <c r="O2620" s="21">
        <f>IFERROR(INDEX(Produtos!$C$2:$C$71,MATCH(C2620,Produtos!$A$2:$A$71,0)),"")</f>
        <v/>
      </c>
      <c r="P2620" s="21">
        <f>IFERROR(INDEX(Produtos!$D$2:$D$71,MATCH(C2620,Produtos!$A$2:$A$71,0)),0)</f>
        <v/>
      </c>
      <c r="Q2620" s="21">
        <f>IFERROR(INDEX(Produtos!$E$2:$E$71,MATCH(C2620,Produtos!$A$2:$A$71,0)),0)</f>
        <v/>
      </c>
      <c r="R2620" s="23">
        <f>D2620*Q2620</f>
        <v/>
      </c>
      <c r="S2620" s="23">
        <f>R2620*E2620</f>
        <v/>
      </c>
      <c r="T2620" s="23">
        <f>(R2620-S2620)*M2620</f>
        <v/>
      </c>
      <c r="U2620" s="23">
        <f>R2620-S2620-T2620</f>
        <v/>
      </c>
      <c r="V2620" s="23">
        <f>D2620*P2620</f>
        <v/>
      </c>
      <c r="W2620" s="23">
        <f>U2620-V2620</f>
        <v/>
      </c>
      <c r="X2620" s="24">
        <f>IFERROR(W2620/U2620,0)</f>
        <v/>
      </c>
    </row>
    <row r="2621">
      <c r="A2621" s="25">
        <f>ItensPedido!A2621</f>
        <v/>
      </c>
      <c r="B2621" s="25">
        <f>ItensPedido!B2621</f>
        <v/>
      </c>
      <c r="C2621" s="25">
        <f>ItensPedido!C2621</f>
        <v/>
      </c>
      <c r="D2621" s="25">
        <f>ItensPedido!D2621</f>
        <v/>
      </c>
      <c r="E2621" s="26">
        <f>ItensPedido!E2621</f>
        <v/>
      </c>
      <c r="F2621" s="25">
        <f>IFERROR(INDEX(Pedidos!$B$2:$B$1801,MATCH(B2621,Pedidos!$A$2:$A$1801,0)),0)</f>
        <v/>
      </c>
      <c r="G2621" s="25">
        <f>IF(F2621=0,"",YEAR(F2621))</f>
        <v/>
      </c>
      <c r="H2621" s="25">
        <f>IF(F2621=0,"",MONTH(F2621))</f>
        <v/>
      </c>
      <c r="I2621" s="25">
        <f>IFERROR(INDEX(Pedidos!$E$2:$E$1801,MATCH(B2621,Pedidos!$A$2:$A$1801,0)),"")</f>
        <v/>
      </c>
      <c r="J2621" s="25">
        <f>IFERROR(INDEX(Pedidos!$C$2:$C$1801,MATCH(B2621,Pedidos!$A$2:$A$1801,0)),"")</f>
        <v/>
      </c>
      <c r="K2621" s="25">
        <f>IFERROR(INDEX(Pedidos!$D$2:$D$1801,MATCH(B2621,Pedidos!$A$2:$A$1801,0)),"")</f>
        <v/>
      </c>
      <c r="L2621" s="25">
        <f>IFERROR(INDEX(Pedidos!$F$2:$F$1801,MATCH(B2621,Pedidos!$A$2:$A$1801,0)),"")</f>
        <v/>
      </c>
      <c r="M2621" s="26">
        <f>IFERROR(INDEX(Pedidos!$G$2:$G$1801,MATCH(B2621,Pedidos!$A$2:$A$1801,0)),0)</f>
        <v/>
      </c>
      <c r="N2621" s="25">
        <f>IFERROR(INDEX(Produtos!$B$2:$B$71,MATCH(C2621,Produtos!$A$2:$A$71,0)),"")</f>
        <v/>
      </c>
      <c r="O2621" s="25">
        <f>IFERROR(INDEX(Produtos!$C$2:$C$71,MATCH(C2621,Produtos!$A$2:$A$71,0)),"")</f>
        <v/>
      </c>
      <c r="P2621" s="25">
        <f>IFERROR(INDEX(Produtos!$D$2:$D$71,MATCH(C2621,Produtos!$A$2:$A$71,0)),0)</f>
        <v/>
      </c>
      <c r="Q2621" s="25">
        <f>IFERROR(INDEX(Produtos!$E$2:$E$71,MATCH(C2621,Produtos!$A$2:$A$71,0)),0)</f>
        <v/>
      </c>
      <c r="R2621" s="27">
        <f>D2621*Q2621</f>
        <v/>
      </c>
      <c r="S2621" s="27">
        <f>R2621*E2621</f>
        <v/>
      </c>
      <c r="T2621" s="27">
        <f>(R2621-S2621)*M2621</f>
        <v/>
      </c>
      <c r="U2621" s="27">
        <f>R2621-S2621-T2621</f>
        <v/>
      </c>
      <c r="V2621" s="27">
        <f>D2621*P2621</f>
        <v/>
      </c>
      <c r="W2621" s="27">
        <f>U2621-V2621</f>
        <v/>
      </c>
      <c r="X2621" s="28">
        <f>IFERROR(W2621/U2621,0)</f>
        <v/>
      </c>
    </row>
    <row r="2622">
      <c r="A2622" s="21">
        <f>ItensPedido!A2622</f>
        <v/>
      </c>
      <c r="B2622" s="21">
        <f>ItensPedido!B2622</f>
        <v/>
      </c>
      <c r="C2622" s="21">
        <f>ItensPedido!C2622</f>
        <v/>
      </c>
      <c r="D2622" s="21">
        <f>ItensPedido!D2622</f>
        <v/>
      </c>
      <c r="E2622" s="22">
        <f>ItensPedido!E2622</f>
        <v/>
      </c>
      <c r="F2622" s="21">
        <f>IFERROR(INDEX(Pedidos!$B$2:$B$1801,MATCH(B2622,Pedidos!$A$2:$A$1801,0)),0)</f>
        <v/>
      </c>
      <c r="G2622" s="21">
        <f>IF(F2622=0,"",YEAR(F2622))</f>
        <v/>
      </c>
      <c r="H2622" s="21">
        <f>IF(F2622=0,"",MONTH(F2622))</f>
        <v/>
      </c>
      <c r="I2622" s="21">
        <f>IFERROR(INDEX(Pedidos!$E$2:$E$1801,MATCH(B2622,Pedidos!$A$2:$A$1801,0)),"")</f>
        <v/>
      </c>
      <c r="J2622" s="21">
        <f>IFERROR(INDEX(Pedidos!$C$2:$C$1801,MATCH(B2622,Pedidos!$A$2:$A$1801,0)),"")</f>
        <v/>
      </c>
      <c r="K2622" s="21">
        <f>IFERROR(INDEX(Pedidos!$D$2:$D$1801,MATCH(B2622,Pedidos!$A$2:$A$1801,0)),"")</f>
        <v/>
      </c>
      <c r="L2622" s="21">
        <f>IFERROR(INDEX(Pedidos!$F$2:$F$1801,MATCH(B2622,Pedidos!$A$2:$A$1801,0)),"")</f>
        <v/>
      </c>
      <c r="M2622" s="22">
        <f>IFERROR(INDEX(Pedidos!$G$2:$G$1801,MATCH(B2622,Pedidos!$A$2:$A$1801,0)),0)</f>
        <v/>
      </c>
      <c r="N2622" s="21">
        <f>IFERROR(INDEX(Produtos!$B$2:$B$71,MATCH(C2622,Produtos!$A$2:$A$71,0)),"")</f>
        <v/>
      </c>
      <c r="O2622" s="21">
        <f>IFERROR(INDEX(Produtos!$C$2:$C$71,MATCH(C2622,Produtos!$A$2:$A$71,0)),"")</f>
        <v/>
      </c>
      <c r="P2622" s="21">
        <f>IFERROR(INDEX(Produtos!$D$2:$D$71,MATCH(C2622,Produtos!$A$2:$A$71,0)),0)</f>
        <v/>
      </c>
      <c r="Q2622" s="21">
        <f>IFERROR(INDEX(Produtos!$E$2:$E$71,MATCH(C2622,Produtos!$A$2:$A$71,0)),0)</f>
        <v/>
      </c>
      <c r="R2622" s="23">
        <f>D2622*Q2622</f>
        <v/>
      </c>
      <c r="S2622" s="23">
        <f>R2622*E2622</f>
        <v/>
      </c>
      <c r="T2622" s="23">
        <f>(R2622-S2622)*M2622</f>
        <v/>
      </c>
      <c r="U2622" s="23">
        <f>R2622-S2622-T2622</f>
        <v/>
      </c>
      <c r="V2622" s="23">
        <f>D2622*P2622</f>
        <v/>
      </c>
      <c r="W2622" s="23">
        <f>U2622-V2622</f>
        <v/>
      </c>
      <c r="X2622" s="24">
        <f>IFERROR(W2622/U2622,0)</f>
        <v/>
      </c>
    </row>
    <row r="2623">
      <c r="A2623" s="25">
        <f>ItensPedido!A2623</f>
        <v/>
      </c>
      <c r="B2623" s="25">
        <f>ItensPedido!B2623</f>
        <v/>
      </c>
      <c r="C2623" s="25">
        <f>ItensPedido!C2623</f>
        <v/>
      </c>
      <c r="D2623" s="25">
        <f>ItensPedido!D2623</f>
        <v/>
      </c>
      <c r="E2623" s="26">
        <f>ItensPedido!E2623</f>
        <v/>
      </c>
      <c r="F2623" s="25">
        <f>IFERROR(INDEX(Pedidos!$B$2:$B$1801,MATCH(B2623,Pedidos!$A$2:$A$1801,0)),0)</f>
        <v/>
      </c>
      <c r="G2623" s="25">
        <f>IF(F2623=0,"",YEAR(F2623))</f>
        <v/>
      </c>
      <c r="H2623" s="25">
        <f>IF(F2623=0,"",MONTH(F2623))</f>
        <v/>
      </c>
      <c r="I2623" s="25">
        <f>IFERROR(INDEX(Pedidos!$E$2:$E$1801,MATCH(B2623,Pedidos!$A$2:$A$1801,0)),"")</f>
        <v/>
      </c>
      <c r="J2623" s="25">
        <f>IFERROR(INDEX(Pedidos!$C$2:$C$1801,MATCH(B2623,Pedidos!$A$2:$A$1801,0)),"")</f>
        <v/>
      </c>
      <c r="K2623" s="25">
        <f>IFERROR(INDEX(Pedidos!$D$2:$D$1801,MATCH(B2623,Pedidos!$A$2:$A$1801,0)),"")</f>
        <v/>
      </c>
      <c r="L2623" s="25">
        <f>IFERROR(INDEX(Pedidos!$F$2:$F$1801,MATCH(B2623,Pedidos!$A$2:$A$1801,0)),"")</f>
        <v/>
      </c>
      <c r="M2623" s="26">
        <f>IFERROR(INDEX(Pedidos!$G$2:$G$1801,MATCH(B2623,Pedidos!$A$2:$A$1801,0)),0)</f>
        <v/>
      </c>
      <c r="N2623" s="25">
        <f>IFERROR(INDEX(Produtos!$B$2:$B$71,MATCH(C2623,Produtos!$A$2:$A$71,0)),"")</f>
        <v/>
      </c>
      <c r="O2623" s="25">
        <f>IFERROR(INDEX(Produtos!$C$2:$C$71,MATCH(C2623,Produtos!$A$2:$A$71,0)),"")</f>
        <v/>
      </c>
      <c r="P2623" s="25">
        <f>IFERROR(INDEX(Produtos!$D$2:$D$71,MATCH(C2623,Produtos!$A$2:$A$71,0)),0)</f>
        <v/>
      </c>
      <c r="Q2623" s="25">
        <f>IFERROR(INDEX(Produtos!$E$2:$E$71,MATCH(C2623,Produtos!$A$2:$A$71,0)),0)</f>
        <v/>
      </c>
      <c r="R2623" s="27">
        <f>D2623*Q2623</f>
        <v/>
      </c>
      <c r="S2623" s="27">
        <f>R2623*E2623</f>
        <v/>
      </c>
      <c r="T2623" s="27">
        <f>(R2623-S2623)*M2623</f>
        <v/>
      </c>
      <c r="U2623" s="27">
        <f>R2623-S2623-T2623</f>
        <v/>
      </c>
      <c r="V2623" s="27">
        <f>D2623*P2623</f>
        <v/>
      </c>
      <c r="W2623" s="27">
        <f>U2623-V2623</f>
        <v/>
      </c>
      <c r="X2623" s="28">
        <f>IFERROR(W2623/U2623,0)</f>
        <v/>
      </c>
    </row>
    <row r="2624">
      <c r="A2624" s="21">
        <f>ItensPedido!A2624</f>
        <v/>
      </c>
      <c r="B2624" s="21">
        <f>ItensPedido!B2624</f>
        <v/>
      </c>
      <c r="C2624" s="21">
        <f>ItensPedido!C2624</f>
        <v/>
      </c>
      <c r="D2624" s="21">
        <f>ItensPedido!D2624</f>
        <v/>
      </c>
      <c r="E2624" s="22">
        <f>ItensPedido!E2624</f>
        <v/>
      </c>
      <c r="F2624" s="21">
        <f>IFERROR(INDEX(Pedidos!$B$2:$B$1801,MATCH(B2624,Pedidos!$A$2:$A$1801,0)),0)</f>
        <v/>
      </c>
      <c r="G2624" s="21">
        <f>IF(F2624=0,"",YEAR(F2624))</f>
        <v/>
      </c>
      <c r="H2624" s="21">
        <f>IF(F2624=0,"",MONTH(F2624))</f>
        <v/>
      </c>
      <c r="I2624" s="21">
        <f>IFERROR(INDEX(Pedidos!$E$2:$E$1801,MATCH(B2624,Pedidos!$A$2:$A$1801,0)),"")</f>
        <v/>
      </c>
      <c r="J2624" s="21">
        <f>IFERROR(INDEX(Pedidos!$C$2:$C$1801,MATCH(B2624,Pedidos!$A$2:$A$1801,0)),"")</f>
        <v/>
      </c>
      <c r="K2624" s="21">
        <f>IFERROR(INDEX(Pedidos!$D$2:$D$1801,MATCH(B2624,Pedidos!$A$2:$A$1801,0)),"")</f>
        <v/>
      </c>
      <c r="L2624" s="21">
        <f>IFERROR(INDEX(Pedidos!$F$2:$F$1801,MATCH(B2624,Pedidos!$A$2:$A$1801,0)),"")</f>
        <v/>
      </c>
      <c r="M2624" s="22">
        <f>IFERROR(INDEX(Pedidos!$G$2:$G$1801,MATCH(B2624,Pedidos!$A$2:$A$1801,0)),0)</f>
        <v/>
      </c>
      <c r="N2624" s="21">
        <f>IFERROR(INDEX(Produtos!$B$2:$B$71,MATCH(C2624,Produtos!$A$2:$A$71,0)),"")</f>
        <v/>
      </c>
      <c r="O2624" s="21">
        <f>IFERROR(INDEX(Produtos!$C$2:$C$71,MATCH(C2624,Produtos!$A$2:$A$71,0)),"")</f>
        <v/>
      </c>
      <c r="P2624" s="21">
        <f>IFERROR(INDEX(Produtos!$D$2:$D$71,MATCH(C2624,Produtos!$A$2:$A$71,0)),0)</f>
        <v/>
      </c>
      <c r="Q2624" s="21">
        <f>IFERROR(INDEX(Produtos!$E$2:$E$71,MATCH(C2624,Produtos!$A$2:$A$71,0)),0)</f>
        <v/>
      </c>
      <c r="R2624" s="23">
        <f>D2624*Q2624</f>
        <v/>
      </c>
      <c r="S2624" s="23">
        <f>R2624*E2624</f>
        <v/>
      </c>
      <c r="T2624" s="23">
        <f>(R2624-S2624)*M2624</f>
        <v/>
      </c>
      <c r="U2624" s="23">
        <f>R2624-S2624-T2624</f>
        <v/>
      </c>
      <c r="V2624" s="23">
        <f>D2624*P2624</f>
        <v/>
      </c>
      <c r="W2624" s="23">
        <f>U2624-V2624</f>
        <v/>
      </c>
      <c r="X2624" s="24">
        <f>IFERROR(W2624/U2624,0)</f>
        <v/>
      </c>
    </row>
    <row r="2625">
      <c r="A2625" s="25">
        <f>ItensPedido!A2625</f>
        <v/>
      </c>
      <c r="B2625" s="25">
        <f>ItensPedido!B2625</f>
        <v/>
      </c>
      <c r="C2625" s="25">
        <f>ItensPedido!C2625</f>
        <v/>
      </c>
      <c r="D2625" s="25">
        <f>ItensPedido!D2625</f>
        <v/>
      </c>
      <c r="E2625" s="26">
        <f>ItensPedido!E2625</f>
        <v/>
      </c>
      <c r="F2625" s="25">
        <f>IFERROR(INDEX(Pedidos!$B$2:$B$1801,MATCH(B2625,Pedidos!$A$2:$A$1801,0)),0)</f>
        <v/>
      </c>
      <c r="G2625" s="25">
        <f>IF(F2625=0,"",YEAR(F2625))</f>
        <v/>
      </c>
      <c r="H2625" s="25">
        <f>IF(F2625=0,"",MONTH(F2625))</f>
        <v/>
      </c>
      <c r="I2625" s="25">
        <f>IFERROR(INDEX(Pedidos!$E$2:$E$1801,MATCH(B2625,Pedidos!$A$2:$A$1801,0)),"")</f>
        <v/>
      </c>
      <c r="J2625" s="25">
        <f>IFERROR(INDEX(Pedidos!$C$2:$C$1801,MATCH(B2625,Pedidos!$A$2:$A$1801,0)),"")</f>
        <v/>
      </c>
      <c r="K2625" s="25">
        <f>IFERROR(INDEX(Pedidos!$D$2:$D$1801,MATCH(B2625,Pedidos!$A$2:$A$1801,0)),"")</f>
        <v/>
      </c>
      <c r="L2625" s="25">
        <f>IFERROR(INDEX(Pedidos!$F$2:$F$1801,MATCH(B2625,Pedidos!$A$2:$A$1801,0)),"")</f>
        <v/>
      </c>
      <c r="M2625" s="26">
        <f>IFERROR(INDEX(Pedidos!$G$2:$G$1801,MATCH(B2625,Pedidos!$A$2:$A$1801,0)),0)</f>
        <v/>
      </c>
      <c r="N2625" s="25">
        <f>IFERROR(INDEX(Produtos!$B$2:$B$71,MATCH(C2625,Produtos!$A$2:$A$71,0)),"")</f>
        <v/>
      </c>
      <c r="O2625" s="25">
        <f>IFERROR(INDEX(Produtos!$C$2:$C$71,MATCH(C2625,Produtos!$A$2:$A$71,0)),"")</f>
        <v/>
      </c>
      <c r="P2625" s="25">
        <f>IFERROR(INDEX(Produtos!$D$2:$D$71,MATCH(C2625,Produtos!$A$2:$A$71,0)),0)</f>
        <v/>
      </c>
      <c r="Q2625" s="25">
        <f>IFERROR(INDEX(Produtos!$E$2:$E$71,MATCH(C2625,Produtos!$A$2:$A$71,0)),0)</f>
        <v/>
      </c>
      <c r="R2625" s="27">
        <f>D2625*Q2625</f>
        <v/>
      </c>
      <c r="S2625" s="27">
        <f>R2625*E2625</f>
        <v/>
      </c>
      <c r="T2625" s="27">
        <f>(R2625-S2625)*M2625</f>
        <v/>
      </c>
      <c r="U2625" s="27">
        <f>R2625-S2625-T2625</f>
        <v/>
      </c>
      <c r="V2625" s="27">
        <f>D2625*P2625</f>
        <v/>
      </c>
      <c r="W2625" s="27">
        <f>U2625-V2625</f>
        <v/>
      </c>
      <c r="X2625" s="28">
        <f>IFERROR(W2625/U2625,0)</f>
        <v/>
      </c>
    </row>
    <row r="2626">
      <c r="A2626" s="21">
        <f>ItensPedido!A2626</f>
        <v/>
      </c>
      <c r="B2626" s="21">
        <f>ItensPedido!B2626</f>
        <v/>
      </c>
      <c r="C2626" s="21">
        <f>ItensPedido!C2626</f>
        <v/>
      </c>
      <c r="D2626" s="21">
        <f>ItensPedido!D2626</f>
        <v/>
      </c>
      <c r="E2626" s="22">
        <f>ItensPedido!E2626</f>
        <v/>
      </c>
      <c r="F2626" s="21">
        <f>IFERROR(INDEX(Pedidos!$B$2:$B$1801,MATCH(B2626,Pedidos!$A$2:$A$1801,0)),0)</f>
        <v/>
      </c>
      <c r="G2626" s="21">
        <f>IF(F2626=0,"",YEAR(F2626))</f>
        <v/>
      </c>
      <c r="H2626" s="21">
        <f>IF(F2626=0,"",MONTH(F2626))</f>
        <v/>
      </c>
      <c r="I2626" s="21">
        <f>IFERROR(INDEX(Pedidos!$E$2:$E$1801,MATCH(B2626,Pedidos!$A$2:$A$1801,0)),"")</f>
        <v/>
      </c>
      <c r="J2626" s="21">
        <f>IFERROR(INDEX(Pedidos!$C$2:$C$1801,MATCH(B2626,Pedidos!$A$2:$A$1801,0)),"")</f>
        <v/>
      </c>
      <c r="K2626" s="21">
        <f>IFERROR(INDEX(Pedidos!$D$2:$D$1801,MATCH(B2626,Pedidos!$A$2:$A$1801,0)),"")</f>
        <v/>
      </c>
      <c r="L2626" s="21">
        <f>IFERROR(INDEX(Pedidos!$F$2:$F$1801,MATCH(B2626,Pedidos!$A$2:$A$1801,0)),"")</f>
        <v/>
      </c>
      <c r="M2626" s="22">
        <f>IFERROR(INDEX(Pedidos!$G$2:$G$1801,MATCH(B2626,Pedidos!$A$2:$A$1801,0)),0)</f>
        <v/>
      </c>
      <c r="N2626" s="21">
        <f>IFERROR(INDEX(Produtos!$B$2:$B$71,MATCH(C2626,Produtos!$A$2:$A$71,0)),"")</f>
        <v/>
      </c>
      <c r="O2626" s="21">
        <f>IFERROR(INDEX(Produtos!$C$2:$C$71,MATCH(C2626,Produtos!$A$2:$A$71,0)),"")</f>
        <v/>
      </c>
      <c r="P2626" s="21">
        <f>IFERROR(INDEX(Produtos!$D$2:$D$71,MATCH(C2626,Produtos!$A$2:$A$71,0)),0)</f>
        <v/>
      </c>
      <c r="Q2626" s="21">
        <f>IFERROR(INDEX(Produtos!$E$2:$E$71,MATCH(C2626,Produtos!$A$2:$A$71,0)),0)</f>
        <v/>
      </c>
      <c r="R2626" s="23">
        <f>D2626*Q2626</f>
        <v/>
      </c>
      <c r="S2626" s="23">
        <f>R2626*E2626</f>
        <v/>
      </c>
      <c r="T2626" s="23">
        <f>(R2626-S2626)*M2626</f>
        <v/>
      </c>
      <c r="U2626" s="23">
        <f>R2626-S2626-T2626</f>
        <v/>
      </c>
      <c r="V2626" s="23">
        <f>D2626*P2626</f>
        <v/>
      </c>
      <c r="W2626" s="23">
        <f>U2626-V2626</f>
        <v/>
      </c>
      <c r="X2626" s="24">
        <f>IFERROR(W2626/U2626,0)</f>
        <v/>
      </c>
    </row>
    <row r="2627">
      <c r="A2627" s="25">
        <f>ItensPedido!A2627</f>
        <v/>
      </c>
      <c r="B2627" s="25">
        <f>ItensPedido!B2627</f>
        <v/>
      </c>
      <c r="C2627" s="25">
        <f>ItensPedido!C2627</f>
        <v/>
      </c>
      <c r="D2627" s="25">
        <f>ItensPedido!D2627</f>
        <v/>
      </c>
      <c r="E2627" s="26">
        <f>ItensPedido!E2627</f>
        <v/>
      </c>
      <c r="F2627" s="25">
        <f>IFERROR(INDEX(Pedidos!$B$2:$B$1801,MATCH(B2627,Pedidos!$A$2:$A$1801,0)),0)</f>
        <v/>
      </c>
      <c r="G2627" s="25">
        <f>IF(F2627=0,"",YEAR(F2627))</f>
        <v/>
      </c>
      <c r="H2627" s="25">
        <f>IF(F2627=0,"",MONTH(F2627))</f>
        <v/>
      </c>
      <c r="I2627" s="25">
        <f>IFERROR(INDEX(Pedidos!$E$2:$E$1801,MATCH(B2627,Pedidos!$A$2:$A$1801,0)),"")</f>
        <v/>
      </c>
      <c r="J2627" s="25">
        <f>IFERROR(INDEX(Pedidos!$C$2:$C$1801,MATCH(B2627,Pedidos!$A$2:$A$1801,0)),"")</f>
        <v/>
      </c>
      <c r="K2627" s="25">
        <f>IFERROR(INDEX(Pedidos!$D$2:$D$1801,MATCH(B2627,Pedidos!$A$2:$A$1801,0)),"")</f>
        <v/>
      </c>
      <c r="L2627" s="25">
        <f>IFERROR(INDEX(Pedidos!$F$2:$F$1801,MATCH(B2627,Pedidos!$A$2:$A$1801,0)),"")</f>
        <v/>
      </c>
      <c r="M2627" s="26">
        <f>IFERROR(INDEX(Pedidos!$G$2:$G$1801,MATCH(B2627,Pedidos!$A$2:$A$1801,0)),0)</f>
        <v/>
      </c>
      <c r="N2627" s="25">
        <f>IFERROR(INDEX(Produtos!$B$2:$B$71,MATCH(C2627,Produtos!$A$2:$A$71,0)),"")</f>
        <v/>
      </c>
      <c r="O2627" s="25">
        <f>IFERROR(INDEX(Produtos!$C$2:$C$71,MATCH(C2627,Produtos!$A$2:$A$71,0)),"")</f>
        <v/>
      </c>
      <c r="P2627" s="25">
        <f>IFERROR(INDEX(Produtos!$D$2:$D$71,MATCH(C2627,Produtos!$A$2:$A$71,0)),0)</f>
        <v/>
      </c>
      <c r="Q2627" s="25">
        <f>IFERROR(INDEX(Produtos!$E$2:$E$71,MATCH(C2627,Produtos!$A$2:$A$71,0)),0)</f>
        <v/>
      </c>
      <c r="R2627" s="27">
        <f>D2627*Q2627</f>
        <v/>
      </c>
      <c r="S2627" s="27">
        <f>R2627*E2627</f>
        <v/>
      </c>
      <c r="T2627" s="27">
        <f>(R2627-S2627)*M2627</f>
        <v/>
      </c>
      <c r="U2627" s="27">
        <f>R2627-S2627-T2627</f>
        <v/>
      </c>
      <c r="V2627" s="27">
        <f>D2627*P2627</f>
        <v/>
      </c>
      <c r="W2627" s="27">
        <f>U2627-V2627</f>
        <v/>
      </c>
      <c r="X2627" s="28">
        <f>IFERROR(W2627/U2627,0)</f>
        <v/>
      </c>
    </row>
    <row r="2628">
      <c r="A2628" s="21">
        <f>ItensPedido!A2628</f>
        <v/>
      </c>
      <c r="B2628" s="21">
        <f>ItensPedido!B2628</f>
        <v/>
      </c>
      <c r="C2628" s="21">
        <f>ItensPedido!C2628</f>
        <v/>
      </c>
      <c r="D2628" s="21">
        <f>ItensPedido!D2628</f>
        <v/>
      </c>
      <c r="E2628" s="22">
        <f>ItensPedido!E2628</f>
        <v/>
      </c>
      <c r="F2628" s="21">
        <f>IFERROR(INDEX(Pedidos!$B$2:$B$1801,MATCH(B2628,Pedidos!$A$2:$A$1801,0)),0)</f>
        <v/>
      </c>
      <c r="G2628" s="21">
        <f>IF(F2628=0,"",YEAR(F2628))</f>
        <v/>
      </c>
      <c r="H2628" s="21">
        <f>IF(F2628=0,"",MONTH(F2628))</f>
        <v/>
      </c>
      <c r="I2628" s="21">
        <f>IFERROR(INDEX(Pedidos!$E$2:$E$1801,MATCH(B2628,Pedidos!$A$2:$A$1801,0)),"")</f>
        <v/>
      </c>
      <c r="J2628" s="21">
        <f>IFERROR(INDEX(Pedidos!$C$2:$C$1801,MATCH(B2628,Pedidos!$A$2:$A$1801,0)),"")</f>
        <v/>
      </c>
      <c r="K2628" s="21">
        <f>IFERROR(INDEX(Pedidos!$D$2:$D$1801,MATCH(B2628,Pedidos!$A$2:$A$1801,0)),"")</f>
        <v/>
      </c>
      <c r="L2628" s="21">
        <f>IFERROR(INDEX(Pedidos!$F$2:$F$1801,MATCH(B2628,Pedidos!$A$2:$A$1801,0)),"")</f>
        <v/>
      </c>
      <c r="M2628" s="22">
        <f>IFERROR(INDEX(Pedidos!$G$2:$G$1801,MATCH(B2628,Pedidos!$A$2:$A$1801,0)),0)</f>
        <v/>
      </c>
      <c r="N2628" s="21">
        <f>IFERROR(INDEX(Produtos!$B$2:$B$71,MATCH(C2628,Produtos!$A$2:$A$71,0)),"")</f>
        <v/>
      </c>
      <c r="O2628" s="21">
        <f>IFERROR(INDEX(Produtos!$C$2:$C$71,MATCH(C2628,Produtos!$A$2:$A$71,0)),"")</f>
        <v/>
      </c>
      <c r="P2628" s="21">
        <f>IFERROR(INDEX(Produtos!$D$2:$D$71,MATCH(C2628,Produtos!$A$2:$A$71,0)),0)</f>
        <v/>
      </c>
      <c r="Q2628" s="21">
        <f>IFERROR(INDEX(Produtos!$E$2:$E$71,MATCH(C2628,Produtos!$A$2:$A$71,0)),0)</f>
        <v/>
      </c>
      <c r="R2628" s="23">
        <f>D2628*Q2628</f>
        <v/>
      </c>
      <c r="S2628" s="23">
        <f>R2628*E2628</f>
        <v/>
      </c>
      <c r="T2628" s="23">
        <f>(R2628-S2628)*M2628</f>
        <v/>
      </c>
      <c r="U2628" s="23">
        <f>R2628-S2628-T2628</f>
        <v/>
      </c>
      <c r="V2628" s="23">
        <f>D2628*P2628</f>
        <v/>
      </c>
      <c r="W2628" s="23">
        <f>U2628-V2628</f>
        <v/>
      </c>
      <c r="X2628" s="24">
        <f>IFERROR(W2628/U2628,0)</f>
        <v/>
      </c>
    </row>
    <row r="2629">
      <c r="A2629" s="25">
        <f>ItensPedido!A2629</f>
        <v/>
      </c>
      <c r="B2629" s="25">
        <f>ItensPedido!B2629</f>
        <v/>
      </c>
      <c r="C2629" s="25">
        <f>ItensPedido!C2629</f>
        <v/>
      </c>
      <c r="D2629" s="25">
        <f>ItensPedido!D2629</f>
        <v/>
      </c>
      <c r="E2629" s="26">
        <f>ItensPedido!E2629</f>
        <v/>
      </c>
      <c r="F2629" s="25">
        <f>IFERROR(INDEX(Pedidos!$B$2:$B$1801,MATCH(B2629,Pedidos!$A$2:$A$1801,0)),0)</f>
        <v/>
      </c>
      <c r="G2629" s="25">
        <f>IF(F2629=0,"",YEAR(F2629))</f>
        <v/>
      </c>
      <c r="H2629" s="25">
        <f>IF(F2629=0,"",MONTH(F2629))</f>
        <v/>
      </c>
      <c r="I2629" s="25">
        <f>IFERROR(INDEX(Pedidos!$E$2:$E$1801,MATCH(B2629,Pedidos!$A$2:$A$1801,0)),"")</f>
        <v/>
      </c>
      <c r="J2629" s="25">
        <f>IFERROR(INDEX(Pedidos!$C$2:$C$1801,MATCH(B2629,Pedidos!$A$2:$A$1801,0)),"")</f>
        <v/>
      </c>
      <c r="K2629" s="25">
        <f>IFERROR(INDEX(Pedidos!$D$2:$D$1801,MATCH(B2629,Pedidos!$A$2:$A$1801,0)),"")</f>
        <v/>
      </c>
      <c r="L2629" s="25">
        <f>IFERROR(INDEX(Pedidos!$F$2:$F$1801,MATCH(B2629,Pedidos!$A$2:$A$1801,0)),"")</f>
        <v/>
      </c>
      <c r="M2629" s="26">
        <f>IFERROR(INDEX(Pedidos!$G$2:$G$1801,MATCH(B2629,Pedidos!$A$2:$A$1801,0)),0)</f>
        <v/>
      </c>
      <c r="N2629" s="25">
        <f>IFERROR(INDEX(Produtos!$B$2:$B$71,MATCH(C2629,Produtos!$A$2:$A$71,0)),"")</f>
        <v/>
      </c>
      <c r="O2629" s="25">
        <f>IFERROR(INDEX(Produtos!$C$2:$C$71,MATCH(C2629,Produtos!$A$2:$A$71,0)),"")</f>
        <v/>
      </c>
      <c r="P2629" s="25">
        <f>IFERROR(INDEX(Produtos!$D$2:$D$71,MATCH(C2629,Produtos!$A$2:$A$71,0)),0)</f>
        <v/>
      </c>
      <c r="Q2629" s="25">
        <f>IFERROR(INDEX(Produtos!$E$2:$E$71,MATCH(C2629,Produtos!$A$2:$A$71,0)),0)</f>
        <v/>
      </c>
      <c r="R2629" s="27">
        <f>D2629*Q2629</f>
        <v/>
      </c>
      <c r="S2629" s="27">
        <f>R2629*E2629</f>
        <v/>
      </c>
      <c r="T2629" s="27">
        <f>(R2629-S2629)*M2629</f>
        <v/>
      </c>
      <c r="U2629" s="27">
        <f>R2629-S2629-T2629</f>
        <v/>
      </c>
      <c r="V2629" s="27">
        <f>D2629*P2629</f>
        <v/>
      </c>
      <c r="W2629" s="27">
        <f>U2629-V2629</f>
        <v/>
      </c>
      <c r="X2629" s="28">
        <f>IFERROR(W2629/U2629,0)</f>
        <v/>
      </c>
    </row>
    <row r="2630">
      <c r="A2630" s="21">
        <f>ItensPedido!A2630</f>
        <v/>
      </c>
      <c r="B2630" s="21">
        <f>ItensPedido!B2630</f>
        <v/>
      </c>
      <c r="C2630" s="21">
        <f>ItensPedido!C2630</f>
        <v/>
      </c>
      <c r="D2630" s="21">
        <f>ItensPedido!D2630</f>
        <v/>
      </c>
      <c r="E2630" s="22">
        <f>ItensPedido!E2630</f>
        <v/>
      </c>
      <c r="F2630" s="21">
        <f>IFERROR(INDEX(Pedidos!$B$2:$B$1801,MATCH(B2630,Pedidos!$A$2:$A$1801,0)),0)</f>
        <v/>
      </c>
      <c r="G2630" s="21">
        <f>IF(F2630=0,"",YEAR(F2630))</f>
        <v/>
      </c>
      <c r="H2630" s="21">
        <f>IF(F2630=0,"",MONTH(F2630))</f>
        <v/>
      </c>
      <c r="I2630" s="21">
        <f>IFERROR(INDEX(Pedidos!$E$2:$E$1801,MATCH(B2630,Pedidos!$A$2:$A$1801,0)),"")</f>
        <v/>
      </c>
      <c r="J2630" s="21">
        <f>IFERROR(INDEX(Pedidos!$C$2:$C$1801,MATCH(B2630,Pedidos!$A$2:$A$1801,0)),"")</f>
        <v/>
      </c>
      <c r="K2630" s="21">
        <f>IFERROR(INDEX(Pedidos!$D$2:$D$1801,MATCH(B2630,Pedidos!$A$2:$A$1801,0)),"")</f>
        <v/>
      </c>
      <c r="L2630" s="21">
        <f>IFERROR(INDEX(Pedidos!$F$2:$F$1801,MATCH(B2630,Pedidos!$A$2:$A$1801,0)),"")</f>
        <v/>
      </c>
      <c r="M2630" s="22">
        <f>IFERROR(INDEX(Pedidos!$G$2:$G$1801,MATCH(B2630,Pedidos!$A$2:$A$1801,0)),0)</f>
        <v/>
      </c>
      <c r="N2630" s="21">
        <f>IFERROR(INDEX(Produtos!$B$2:$B$71,MATCH(C2630,Produtos!$A$2:$A$71,0)),"")</f>
        <v/>
      </c>
      <c r="O2630" s="21">
        <f>IFERROR(INDEX(Produtos!$C$2:$C$71,MATCH(C2630,Produtos!$A$2:$A$71,0)),"")</f>
        <v/>
      </c>
      <c r="P2630" s="21">
        <f>IFERROR(INDEX(Produtos!$D$2:$D$71,MATCH(C2630,Produtos!$A$2:$A$71,0)),0)</f>
        <v/>
      </c>
      <c r="Q2630" s="21">
        <f>IFERROR(INDEX(Produtos!$E$2:$E$71,MATCH(C2630,Produtos!$A$2:$A$71,0)),0)</f>
        <v/>
      </c>
      <c r="R2630" s="23">
        <f>D2630*Q2630</f>
        <v/>
      </c>
      <c r="S2630" s="23">
        <f>R2630*E2630</f>
        <v/>
      </c>
      <c r="T2630" s="23">
        <f>(R2630-S2630)*M2630</f>
        <v/>
      </c>
      <c r="U2630" s="23">
        <f>R2630-S2630-T2630</f>
        <v/>
      </c>
      <c r="V2630" s="23">
        <f>D2630*P2630</f>
        <v/>
      </c>
      <c r="W2630" s="23">
        <f>U2630-V2630</f>
        <v/>
      </c>
      <c r="X2630" s="24">
        <f>IFERROR(W2630/U2630,0)</f>
        <v/>
      </c>
    </row>
    <row r="2631">
      <c r="A2631" s="25">
        <f>ItensPedido!A2631</f>
        <v/>
      </c>
      <c r="B2631" s="25">
        <f>ItensPedido!B2631</f>
        <v/>
      </c>
      <c r="C2631" s="25">
        <f>ItensPedido!C2631</f>
        <v/>
      </c>
      <c r="D2631" s="25">
        <f>ItensPedido!D2631</f>
        <v/>
      </c>
      <c r="E2631" s="26">
        <f>ItensPedido!E2631</f>
        <v/>
      </c>
      <c r="F2631" s="25">
        <f>IFERROR(INDEX(Pedidos!$B$2:$B$1801,MATCH(B2631,Pedidos!$A$2:$A$1801,0)),0)</f>
        <v/>
      </c>
      <c r="G2631" s="25">
        <f>IF(F2631=0,"",YEAR(F2631))</f>
        <v/>
      </c>
      <c r="H2631" s="25">
        <f>IF(F2631=0,"",MONTH(F2631))</f>
        <v/>
      </c>
      <c r="I2631" s="25">
        <f>IFERROR(INDEX(Pedidos!$E$2:$E$1801,MATCH(B2631,Pedidos!$A$2:$A$1801,0)),"")</f>
        <v/>
      </c>
      <c r="J2631" s="25">
        <f>IFERROR(INDEX(Pedidos!$C$2:$C$1801,MATCH(B2631,Pedidos!$A$2:$A$1801,0)),"")</f>
        <v/>
      </c>
      <c r="K2631" s="25">
        <f>IFERROR(INDEX(Pedidos!$D$2:$D$1801,MATCH(B2631,Pedidos!$A$2:$A$1801,0)),"")</f>
        <v/>
      </c>
      <c r="L2631" s="25">
        <f>IFERROR(INDEX(Pedidos!$F$2:$F$1801,MATCH(B2631,Pedidos!$A$2:$A$1801,0)),"")</f>
        <v/>
      </c>
      <c r="M2631" s="26">
        <f>IFERROR(INDEX(Pedidos!$G$2:$G$1801,MATCH(B2631,Pedidos!$A$2:$A$1801,0)),0)</f>
        <v/>
      </c>
      <c r="N2631" s="25">
        <f>IFERROR(INDEX(Produtos!$B$2:$B$71,MATCH(C2631,Produtos!$A$2:$A$71,0)),"")</f>
        <v/>
      </c>
      <c r="O2631" s="25">
        <f>IFERROR(INDEX(Produtos!$C$2:$C$71,MATCH(C2631,Produtos!$A$2:$A$71,0)),"")</f>
        <v/>
      </c>
      <c r="P2631" s="25">
        <f>IFERROR(INDEX(Produtos!$D$2:$D$71,MATCH(C2631,Produtos!$A$2:$A$71,0)),0)</f>
        <v/>
      </c>
      <c r="Q2631" s="25">
        <f>IFERROR(INDEX(Produtos!$E$2:$E$71,MATCH(C2631,Produtos!$A$2:$A$71,0)),0)</f>
        <v/>
      </c>
      <c r="R2631" s="27">
        <f>D2631*Q2631</f>
        <v/>
      </c>
      <c r="S2631" s="27">
        <f>R2631*E2631</f>
        <v/>
      </c>
      <c r="T2631" s="27">
        <f>(R2631-S2631)*M2631</f>
        <v/>
      </c>
      <c r="U2631" s="27">
        <f>R2631-S2631-T2631</f>
        <v/>
      </c>
      <c r="V2631" s="27">
        <f>D2631*P2631</f>
        <v/>
      </c>
      <c r="W2631" s="27">
        <f>U2631-V2631</f>
        <v/>
      </c>
      <c r="X2631" s="28">
        <f>IFERROR(W2631/U2631,0)</f>
        <v/>
      </c>
    </row>
    <row r="2632">
      <c r="A2632" s="21">
        <f>ItensPedido!A2632</f>
        <v/>
      </c>
      <c r="B2632" s="21">
        <f>ItensPedido!B2632</f>
        <v/>
      </c>
      <c r="C2632" s="21">
        <f>ItensPedido!C2632</f>
        <v/>
      </c>
      <c r="D2632" s="21">
        <f>ItensPedido!D2632</f>
        <v/>
      </c>
      <c r="E2632" s="22">
        <f>ItensPedido!E2632</f>
        <v/>
      </c>
      <c r="F2632" s="21">
        <f>IFERROR(INDEX(Pedidos!$B$2:$B$1801,MATCH(B2632,Pedidos!$A$2:$A$1801,0)),0)</f>
        <v/>
      </c>
      <c r="G2632" s="21">
        <f>IF(F2632=0,"",YEAR(F2632))</f>
        <v/>
      </c>
      <c r="H2632" s="21">
        <f>IF(F2632=0,"",MONTH(F2632))</f>
        <v/>
      </c>
      <c r="I2632" s="21">
        <f>IFERROR(INDEX(Pedidos!$E$2:$E$1801,MATCH(B2632,Pedidos!$A$2:$A$1801,0)),"")</f>
        <v/>
      </c>
      <c r="J2632" s="21">
        <f>IFERROR(INDEX(Pedidos!$C$2:$C$1801,MATCH(B2632,Pedidos!$A$2:$A$1801,0)),"")</f>
        <v/>
      </c>
      <c r="K2632" s="21">
        <f>IFERROR(INDEX(Pedidos!$D$2:$D$1801,MATCH(B2632,Pedidos!$A$2:$A$1801,0)),"")</f>
        <v/>
      </c>
      <c r="L2632" s="21">
        <f>IFERROR(INDEX(Pedidos!$F$2:$F$1801,MATCH(B2632,Pedidos!$A$2:$A$1801,0)),"")</f>
        <v/>
      </c>
      <c r="M2632" s="22">
        <f>IFERROR(INDEX(Pedidos!$G$2:$G$1801,MATCH(B2632,Pedidos!$A$2:$A$1801,0)),0)</f>
        <v/>
      </c>
      <c r="N2632" s="21">
        <f>IFERROR(INDEX(Produtos!$B$2:$B$71,MATCH(C2632,Produtos!$A$2:$A$71,0)),"")</f>
        <v/>
      </c>
      <c r="O2632" s="21">
        <f>IFERROR(INDEX(Produtos!$C$2:$C$71,MATCH(C2632,Produtos!$A$2:$A$71,0)),"")</f>
        <v/>
      </c>
      <c r="P2632" s="21">
        <f>IFERROR(INDEX(Produtos!$D$2:$D$71,MATCH(C2632,Produtos!$A$2:$A$71,0)),0)</f>
        <v/>
      </c>
      <c r="Q2632" s="21">
        <f>IFERROR(INDEX(Produtos!$E$2:$E$71,MATCH(C2632,Produtos!$A$2:$A$71,0)),0)</f>
        <v/>
      </c>
      <c r="R2632" s="23">
        <f>D2632*Q2632</f>
        <v/>
      </c>
      <c r="S2632" s="23">
        <f>R2632*E2632</f>
        <v/>
      </c>
      <c r="T2632" s="23">
        <f>(R2632-S2632)*M2632</f>
        <v/>
      </c>
      <c r="U2632" s="23">
        <f>R2632-S2632-T2632</f>
        <v/>
      </c>
      <c r="V2632" s="23">
        <f>D2632*P2632</f>
        <v/>
      </c>
      <c r="W2632" s="23">
        <f>U2632-V2632</f>
        <v/>
      </c>
      <c r="X2632" s="24">
        <f>IFERROR(W2632/U2632,0)</f>
        <v/>
      </c>
    </row>
    <row r="2633">
      <c r="A2633" s="25">
        <f>ItensPedido!A2633</f>
        <v/>
      </c>
      <c r="B2633" s="25">
        <f>ItensPedido!B2633</f>
        <v/>
      </c>
      <c r="C2633" s="25">
        <f>ItensPedido!C2633</f>
        <v/>
      </c>
      <c r="D2633" s="25">
        <f>ItensPedido!D2633</f>
        <v/>
      </c>
      <c r="E2633" s="26">
        <f>ItensPedido!E2633</f>
        <v/>
      </c>
      <c r="F2633" s="25">
        <f>IFERROR(INDEX(Pedidos!$B$2:$B$1801,MATCH(B2633,Pedidos!$A$2:$A$1801,0)),0)</f>
        <v/>
      </c>
      <c r="G2633" s="25">
        <f>IF(F2633=0,"",YEAR(F2633))</f>
        <v/>
      </c>
      <c r="H2633" s="25">
        <f>IF(F2633=0,"",MONTH(F2633))</f>
        <v/>
      </c>
      <c r="I2633" s="25">
        <f>IFERROR(INDEX(Pedidos!$E$2:$E$1801,MATCH(B2633,Pedidos!$A$2:$A$1801,0)),"")</f>
        <v/>
      </c>
      <c r="J2633" s="25">
        <f>IFERROR(INDEX(Pedidos!$C$2:$C$1801,MATCH(B2633,Pedidos!$A$2:$A$1801,0)),"")</f>
        <v/>
      </c>
      <c r="K2633" s="25">
        <f>IFERROR(INDEX(Pedidos!$D$2:$D$1801,MATCH(B2633,Pedidos!$A$2:$A$1801,0)),"")</f>
        <v/>
      </c>
      <c r="L2633" s="25">
        <f>IFERROR(INDEX(Pedidos!$F$2:$F$1801,MATCH(B2633,Pedidos!$A$2:$A$1801,0)),"")</f>
        <v/>
      </c>
      <c r="M2633" s="26">
        <f>IFERROR(INDEX(Pedidos!$G$2:$G$1801,MATCH(B2633,Pedidos!$A$2:$A$1801,0)),0)</f>
        <v/>
      </c>
      <c r="N2633" s="25">
        <f>IFERROR(INDEX(Produtos!$B$2:$B$71,MATCH(C2633,Produtos!$A$2:$A$71,0)),"")</f>
        <v/>
      </c>
      <c r="O2633" s="25">
        <f>IFERROR(INDEX(Produtos!$C$2:$C$71,MATCH(C2633,Produtos!$A$2:$A$71,0)),"")</f>
        <v/>
      </c>
      <c r="P2633" s="25">
        <f>IFERROR(INDEX(Produtos!$D$2:$D$71,MATCH(C2633,Produtos!$A$2:$A$71,0)),0)</f>
        <v/>
      </c>
      <c r="Q2633" s="25">
        <f>IFERROR(INDEX(Produtos!$E$2:$E$71,MATCH(C2633,Produtos!$A$2:$A$71,0)),0)</f>
        <v/>
      </c>
      <c r="R2633" s="27">
        <f>D2633*Q2633</f>
        <v/>
      </c>
      <c r="S2633" s="27">
        <f>R2633*E2633</f>
        <v/>
      </c>
      <c r="T2633" s="27">
        <f>(R2633-S2633)*M2633</f>
        <v/>
      </c>
      <c r="U2633" s="27">
        <f>R2633-S2633-T2633</f>
        <v/>
      </c>
      <c r="V2633" s="27">
        <f>D2633*P2633</f>
        <v/>
      </c>
      <c r="W2633" s="27">
        <f>U2633-V2633</f>
        <v/>
      </c>
      <c r="X2633" s="28">
        <f>IFERROR(W2633/U2633,0)</f>
        <v/>
      </c>
    </row>
    <row r="2634">
      <c r="A2634" s="21">
        <f>ItensPedido!A2634</f>
        <v/>
      </c>
      <c r="B2634" s="21">
        <f>ItensPedido!B2634</f>
        <v/>
      </c>
      <c r="C2634" s="21">
        <f>ItensPedido!C2634</f>
        <v/>
      </c>
      <c r="D2634" s="21">
        <f>ItensPedido!D2634</f>
        <v/>
      </c>
      <c r="E2634" s="22">
        <f>ItensPedido!E2634</f>
        <v/>
      </c>
      <c r="F2634" s="21">
        <f>IFERROR(INDEX(Pedidos!$B$2:$B$1801,MATCH(B2634,Pedidos!$A$2:$A$1801,0)),0)</f>
        <v/>
      </c>
      <c r="G2634" s="21">
        <f>IF(F2634=0,"",YEAR(F2634))</f>
        <v/>
      </c>
      <c r="H2634" s="21">
        <f>IF(F2634=0,"",MONTH(F2634))</f>
        <v/>
      </c>
      <c r="I2634" s="21">
        <f>IFERROR(INDEX(Pedidos!$E$2:$E$1801,MATCH(B2634,Pedidos!$A$2:$A$1801,0)),"")</f>
        <v/>
      </c>
      <c r="J2634" s="21">
        <f>IFERROR(INDEX(Pedidos!$C$2:$C$1801,MATCH(B2634,Pedidos!$A$2:$A$1801,0)),"")</f>
        <v/>
      </c>
      <c r="K2634" s="21">
        <f>IFERROR(INDEX(Pedidos!$D$2:$D$1801,MATCH(B2634,Pedidos!$A$2:$A$1801,0)),"")</f>
        <v/>
      </c>
      <c r="L2634" s="21">
        <f>IFERROR(INDEX(Pedidos!$F$2:$F$1801,MATCH(B2634,Pedidos!$A$2:$A$1801,0)),"")</f>
        <v/>
      </c>
      <c r="M2634" s="22">
        <f>IFERROR(INDEX(Pedidos!$G$2:$G$1801,MATCH(B2634,Pedidos!$A$2:$A$1801,0)),0)</f>
        <v/>
      </c>
      <c r="N2634" s="21">
        <f>IFERROR(INDEX(Produtos!$B$2:$B$71,MATCH(C2634,Produtos!$A$2:$A$71,0)),"")</f>
        <v/>
      </c>
      <c r="O2634" s="21">
        <f>IFERROR(INDEX(Produtos!$C$2:$C$71,MATCH(C2634,Produtos!$A$2:$A$71,0)),"")</f>
        <v/>
      </c>
      <c r="P2634" s="21">
        <f>IFERROR(INDEX(Produtos!$D$2:$D$71,MATCH(C2634,Produtos!$A$2:$A$71,0)),0)</f>
        <v/>
      </c>
      <c r="Q2634" s="21">
        <f>IFERROR(INDEX(Produtos!$E$2:$E$71,MATCH(C2634,Produtos!$A$2:$A$71,0)),0)</f>
        <v/>
      </c>
      <c r="R2634" s="23">
        <f>D2634*Q2634</f>
        <v/>
      </c>
      <c r="S2634" s="23">
        <f>R2634*E2634</f>
        <v/>
      </c>
      <c r="T2634" s="23">
        <f>(R2634-S2634)*M2634</f>
        <v/>
      </c>
      <c r="U2634" s="23">
        <f>R2634-S2634-T2634</f>
        <v/>
      </c>
      <c r="V2634" s="23">
        <f>D2634*P2634</f>
        <v/>
      </c>
      <c r="W2634" s="23">
        <f>U2634-V2634</f>
        <v/>
      </c>
      <c r="X2634" s="24">
        <f>IFERROR(W2634/U2634,0)</f>
        <v/>
      </c>
    </row>
    <row r="2635">
      <c r="A2635" s="25">
        <f>ItensPedido!A2635</f>
        <v/>
      </c>
      <c r="B2635" s="25">
        <f>ItensPedido!B2635</f>
        <v/>
      </c>
      <c r="C2635" s="25">
        <f>ItensPedido!C2635</f>
        <v/>
      </c>
      <c r="D2635" s="25">
        <f>ItensPedido!D2635</f>
        <v/>
      </c>
      <c r="E2635" s="26">
        <f>ItensPedido!E2635</f>
        <v/>
      </c>
      <c r="F2635" s="25">
        <f>IFERROR(INDEX(Pedidos!$B$2:$B$1801,MATCH(B2635,Pedidos!$A$2:$A$1801,0)),0)</f>
        <v/>
      </c>
      <c r="G2635" s="25">
        <f>IF(F2635=0,"",YEAR(F2635))</f>
        <v/>
      </c>
      <c r="H2635" s="25">
        <f>IF(F2635=0,"",MONTH(F2635))</f>
        <v/>
      </c>
      <c r="I2635" s="25">
        <f>IFERROR(INDEX(Pedidos!$E$2:$E$1801,MATCH(B2635,Pedidos!$A$2:$A$1801,0)),"")</f>
        <v/>
      </c>
      <c r="J2635" s="25">
        <f>IFERROR(INDEX(Pedidos!$C$2:$C$1801,MATCH(B2635,Pedidos!$A$2:$A$1801,0)),"")</f>
        <v/>
      </c>
      <c r="K2635" s="25">
        <f>IFERROR(INDEX(Pedidos!$D$2:$D$1801,MATCH(B2635,Pedidos!$A$2:$A$1801,0)),"")</f>
        <v/>
      </c>
      <c r="L2635" s="25">
        <f>IFERROR(INDEX(Pedidos!$F$2:$F$1801,MATCH(B2635,Pedidos!$A$2:$A$1801,0)),"")</f>
        <v/>
      </c>
      <c r="M2635" s="26">
        <f>IFERROR(INDEX(Pedidos!$G$2:$G$1801,MATCH(B2635,Pedidos!$A$2:$A$1801,0)),0)</f>
        <v/>
      </c>
      <c r="N2635" s="25">
        <f>IFERROR(INDEX(Produtos!$B$2:$B$71,MATCH(C2635,Produtos!$A$2:$A$71,0)),"")</f>
        <v/>
      </c>
      <c r="O2635" s="25">
        <f>IFERROR(INDEX(Produtos!$C$2:$C$71,MATCH(C2635,Produtos!$A$2:$A$71,0)),"")</f>
        <v/>
      </c>
      <c r="P2635" s="25">
        <f>IFERROR(INDEX(Produtos!$D$2:$D$71,MATCH(C2635,Produtos!$A$2:$A$71,0)),0)</f>
        <v/>
      </c>
      <c r="Q2635" s="25">
        <f>IFERROR(INDEX(Produtos!$E$2:$E$71,MATCH(C2635,Produtos!$A$2:$A$71,0)),0)</f>
        <v/>
      </c>
      <c r="R2635" s="27">
        <f>D2635*Q2635</f>
        <v/>
      </c>
      <c r="S2635" s="27">
        <f>R2635*E2635</f>
        <v/>
      </c>
      <c r="T2635" s="27">
        <f>(R2635-S2635)*M2635</f>
        <v/>
      </c>
      <c r="U2635" s="27">
        <f>R2635-S2635-T2635</f>
        <v/>
      </c>
      <c r="V2635" s="27">
        <f>D2635*P2635</f>
        <v/>
      </c>
      <c r="W2635" s="27">
        <f>U2635-V2635</f>
        <v/>
      </c>
      <c r="X2635" s="28">
        <f>IFERROR(W2635/U2635,0)</f>
        <v/>
      </c>
    </row>
    <row r="2636">
      <c r="A2636" s="21">
        <f>ItensPedido!A2636</f>
        <v/>
      </c>
      <c r="B2636" s="21">
        <f>ItensPedido!B2636</f>
        <v/>
      </c>
      <c r="C2636" s="21">
        <f>ItensPedido!C2636</f>
        <v/>
      </c>
      <c r="D2636" s="21">
        <f>ItensPedido!D2636</f>
        <v/>
      </c>
      <c r="E2636" s="22">
        <f>ItensPedido!E2636</f>
        <v/>
      </c>
      <c r="F2636" s="21">
        <f>IFERROR(INDEX(Pedidos!$B$2:$B$1801,MATCH(B2636,Pedidos!$A$2:$A$1801,0)),0)</f>
        <v/>
      </c>
      <c r="G2636" s="21">
        <f>IF(F2636=0,"",YEAR(F2636))</f>
        <v/>
      </c>
      <c r="H2636" s="21">
        <f>IF(F2636=0,"",MONTH(F2636))</f>
        <v/>
      </c>
      <c r="I2636" s="21">
        <f>IFERROR(INDEX(Pedidos!$E$2:$E$1801,MATCH(B2636,Pedidos!$A$2:$A$1801,0)),"")</f>
        <v/>
      </c>
      <c r="J2636" s="21">
        <f>IFERROR(INDEX(Pedidos!$C$2:$C$1801,MATCH(B2636,Pedidos!$A$2:$A$1801,0)),"")</f>
        <v/>
      </c>
      <c r="K2636" s="21">
        <f>IFERROR(INDEX(Pedidos!$D$2:$D$1801,MATCH(B2636,Pedidos!$A$2:$A$1801,0)),"")</f>
        <v/>
      </c>
      <c r="L2636" s="21">
        <f>IFERROR(INDEX(Pedidos!$F$2:$F$1801,MATCH(B2636,Pedidos!$A$2:$A$1801,0)),"")</f>
        <v/>
      </c>
      <c r="M2636" s="22">
        <f>IFERROR(INDEX(Pedidos!$G$2:$G$1801,MATCH(B2636,Pedidos!$A$2:$A$1801,0)),0)</f>
        <v/>
      </c>
      <c r="N2636" s="21">
        <f>IFERROR(INDEX(Produtos!$B$2:$B$71,MATCH(C2636,Produtos!$A$2:$A$71,0)),"")</f>
        <v/>
      </c>
      <c r="O2636" s="21">
        <f>IFERROR(INDEX(Produtos!$C$2:$C$71,MATCH(C2636,Produtos!$A$2:$A$71,0)),"")</f>
        <v/>
      </c>
      <c r="P2636" s="21">
        <f>IFERROR(INDEX(Produtos!$D$2:$D$71,MATCH(C2636,Produtos!$A$2:$A$71,0)),0)</f>
        <v/>
      </c>
      <c r="Q2636" s="21">
        <f>IFERROR(INDEX(Produtos!$E$2:$E$71,MATCH(C2636,Produtos!$A$2:$A$71,0)),0)</f>
        <v/>
      </c>
      <c r="R2636" s="23">
        <f>D2636*Q2636</f>
        <v/>
      </c>
      <c r="S2636" s="23">
        <f>R2636*E2636</f>
        <v/>
      </c>
      <c r="T2636" s="23">
        <f>(R2636-S2636)*M2636</f>
        <v/>
      </c>
      <c r="U2636" s="23">
        <f>R2636-S2636-T2636</f>
        <v/>
      </c>
      <c r="V2636" s="23">
        <f>D2636*P2636</f>
        <v/>
      </c>
      <c r="W2636" s="23">
        <f>U2636-V2636</f>
        <v/>
      </c>
      <c r="X2636" s="24">
        <f>IFERROR(W2636/U2636,0)</f>
        <v/>
      </c>
    </row>
    <row r="2637">
      <c r="A2637" s="25">
        <f>ItensPedido!A2637</f>
        <v/>
      </c>
      <c r="B2637" s="25">
        <f>ItensPedido!B2637</f>
        <v/>
      </c>
      <c r="C2637" s="25">
        <f>ItensPedido!C2637</f>
        <v/>
      </c>
      <c r="D2637" s="25">
        <f>ItensPedido!D2637</f>
        <v/>
      </c>
      <c r="E2637" s="26">
        <f>ItensPedido!E2637</f>
        <v/>
      </c>
      <c r="F2637" s="25">
        <f>IFERROR(INDEX(Pedidos!$B$2:$B$1801,MATCH(B2637,Pedidos!$A$2:$A$1801,0)),0)</f>
        <v/>
      </c>
      <c r="G2637" s="25">
        <f>IF(F2637=0,"",YEAR(F2637))</f>
        <v/>
      </c>
      <c r="H2637" s="25">
        <f>IF(F2637=0,"",MONTH(F2637))</f>
        <v/>
      </c>
      <c r="I2637" s="25">
        <f>IFERROR(INDEX(Pedidos!$E$2:$E$1801,MATCH(B2637,Pedidos!$A$2:$A$1801,0)),"")</f>
        <v/>
      </c>
      <c r="J2637" s="25">
        <f>IFERROR(INDEX(Pedidos!$C$2:$C$1801,MATCH(B2637,Pedidos!$A$2:$A$1801,0)),"")</f>
        <v/>
      </c>
      <c r="K2637" s="25">
        <f>IFERROR(INDEX(Pedidos!$D$2:$D$1801,MATCH(B2637,Pedidos!$A$2:$A$1801,0)),"")</f>
        <v/>
      </c>
      <c r="L2637" s="25">
        <f>IFERROR(INDEX(Pedidos!$F$2:$F$1801,MATCH(B2637,Pedidos!$A$2:$A$1801,0)),"")</f>
        <v/>
      </c>
      <c r="M2637" s="26">
        <f>IFERROR(INDEX(Pedidos!$G$2:$G$1801,MATCH(B2637,Pedidos!$A$2:$A$1801,0)),0)</f>
        <v/>
      </c>
      <c r="N2637" s="25">
        <f>IFERROR(INDEX(Produtos!$B$2:$B$71,MATCH(C2637,Produtos!$A$2:$A$71,0)),"")</f>
        <v/>
      </c>
      <c r="O2637" s="25">
        <f>IFERROR(INDEX(Produtos!$C$2:$C$71,MATCH(C2637,Produtos!$A$2:$A$71,0)),"")</f>
        <v/>
      </c>
      <c r="P2637" s="25">
        <f>IFERROR(INDEX(Produtos!$D$2:$D$71,MATCH(C2637,Produtos!$A$2:$A$71,0)),0)</f>
        <v/>
      </c>
      <c r="Q2637" s="25">
        <f>IFERROR(INDEX(Produtos!$E$2:$E$71,MATCH(C2637,Produtos!$A$2:$A$71,0)),0)</f>
        <v/>
      </c>
      <c r="R2637" s="27">
        <f>D2637*Q2637</f>
        <v/>
      </c>
      <c r="S2637" s="27">
        <f>R2637*E2637</f>
        <v/>
      </c>
      <c r="T2637" s="27">
        <f>(R2637-S2637)*M2637</f>
        <v/>
      </c>
      <c r="U2637" s="27">
        <f>R2637-S2637-T2637</f>
        <v/>
      </c>
      <c r="V2637" s="27">
        <f>D2637*P2637</f>
        <v/>
      </c>
      <c r="W2637" s="27">
        <f>U2637-V2637</f>
        <v/>
      </c>
      <c r="X2637" s="28">
        <f>IFERROR(W2637/U2637,0)</f>
        <v/>
      </c>
    </row>
    <row r="2638">
      <c r="A2638" s="21">
        <f>ItensPedido!A2638</f>
        <v/>
      </c>
      <c r="B2638" s="21">
        <f>ItensPedido!B2638</f>
        <v/>
      </c>
      <c r="C2638" s="21">
        <f>ItensPedido!C2638</f>
        <v/>
      </c>
      <c r="D2638" s="21">
        <f>ItensPedido!D2638</f>
        <v/>
      </c>
      <c r="E2638" s="22">
        <f>ItensPedido!E2638</f>
        <v/>
      </c>
      <c r="F2638" s="21">
        <f>IFERROR(INDEX(Pedidos!$B$2:$B$1801,MATCH(B2638,Pedidos!$A$2:$A$1801,0)),0)</f>
        <v/>
      </c>
      <c r="G2638" s="21">
        <f>IF(F2638=0,"",YEAR(F2638))</f>
        <v/>
      </c>
      <c r="H2638" s="21">
        <f>IF(F2638=0,"",MONTH(F2638))</f>
        <v/>
      </c>
      <c r="I2638" s="21">
        <f>IFERROR(INDEX(Pedidos!$E$2:$E$1801,MATCH(B2638,Pedidos!$A$2:$A$1801,0)),"")</f>
        <v/>
      </c>
      <c r="J2638" s="21">
        <f>IFERROR(INDEX(Pedidos!$C$2:$C$1801,MATCH(B2638,Pedidos!$A$2:$A$1801,0)),"")</f>
        <v/>
      </c>
      <c r="K2638" s="21">
        <f>IFERROR(INDEX(Pedidos!$D$2:$D$1801,MATCH(B2638,Pedidos!$A$2:$A$1801,0)),"")</f>
        <v/>
      </c>
      <c r="L2638" s="21">
        <f>IFERROR(INDEX(Pedidos!$F$2:$F$1801,MATCH(B2638,Pedidos!$A$2:$A$1801,0)),"")</f>
        <v/>
      </c>
      <c r="M2638" s="22">
        <f>IFERROR(INDEX(Pedidos!$G$2:$G$1801,MATCH(B2638,Pedidos!$A$2:$A$1801,0)),0)</f>
        <v/>
      </c>
      <c r="N2638" s="21">
        <f>IFERROR(INDEX(Produtos!$B$2:$B$71,MATCH(C2638,Produtos!$A$2:$A$71,0)),"")</f>
        <v/>
      </c>
      <c r="O2638" s="21">
        <f>IFERROR(INDEX(Produtos!$C$2:$C$71,MATCH(C2638,Produtos!$A$2:$A$71,0)),"")</f>
        <v/>
      </c>
      <c r="P2638" s="21">
        <f>IFERROR(INDEX(Produtos!$D$2:$D$71,MATCH(C2638,Produtos!$A$2:$A$71,0)),0)</f>
        <v/>
      </c>
      <c r="Q2638" s="21">
        <f>IFERROR(INDEX(Produtos!$E$2:$E$71,MATCH(C2638,Produtos!$A$2:$A$71,0)),0)</f>
        <v/>
      </c>
      <c r="R2638" s="23">
        <f>D2638*Q2638</f>
        <v/>
      </c>
      <c r="S2638" s="23">
        <f>R2638*E2638</f>
        <v/>
      </c>
      <c r="T2638" s="23">
        <f>(R2638-S2638)*M2638</f>
        <v/>
      </c>
      <c r="U2638" s="23">
        <f>R2638-S2638-T2638</f>
        <v/>
      </c>
      <c r="V2638" s="23">
        <f>D2638*P2638</f>
        <v/>
      </c>
      <c r="W2638" s="23">
        <f>U2638-V2638</f>
        <v/>
      </c>
      <c r="X2638" s="24">
        <f>IFERROR(W2638/U2638,0)</f>
        <v/>
      </c>
    </row>
    <row r="2639">
      <c r="A2639" s="25">
        <f>ItensPedido!A2639</f>
        <v/>
      </c>
      <c r="B2639" s="25">
        <f>ItensPedido!B2639</f>
        <v/>
      </c>
      <c r="C2639" s="25">
        <f>ItensPedido!C2639</f>
        <v/>
      </c>
      <c r="D2639" s="25">
        <f>ItensPedido!D2639</f>
        <v/>
      </c>
      <c r="E2639" s="26">
        <f>ItensPedido!E2639</f>
        <v/>
      </c>
      <c r="F2639" s="25">
        <f>IFERROR(INDEX(Pedidos!$B$2:$B$1801,MATCH(B2639,Pedidos!$A$2:$A$1801,0)),0)</f>
        <v/>
      </c>
      <c r="G2639" s="25">
        <f>IF(F2639=0,"",YEAR(F2639))</f>
        <v/>
      </c>
      <c r="H2639" s="25">
        <f>IF(F2639=0,"",MONTH(F2639))</f>
        <v/>
      </c>
      <c r="I2639" s="25">
        <f>IFERROR(INDEX(Pedidos!$E$2:$E$1801,MATCH(B2639,Pedidos!$A$2:$A$1801,0)),"")</f>
        <v/>
      </c>
      <c r="J2639" s="25">
        <f>IFERROR(INDEX(Pedidos!$C$2:$C$1801,MATCH(B2639,Pedidos!$A$2:$A$1801,0)),"")</f>
        <v/>
      </c>
      <c r="K2639" s="25">
        <f>IFERROR(INDEX(Pedidos!$D$2:$D$1801,MATCH(B2639,Pedidos!$A$2:$A$1801,0)),"")</f>
        <v/>
      </c>
      <c r="L2639" s="25">
        <f>IFERROR(INDEX(Pedidos!$F$2:$F$1801,MATCH(B2639,Pedidos!$A$2:$A$1801,0)),"")</f>
        <v/>
      </c>
      <c r="M2639" s="26">
        <f>IFERROR(INDEX(Pedidos!$G$2:$G$1801,MATCH(B2639,Pedidos!$A$2:$A$1801,0)),0)</f>
        <v/>
      </c>
      <c r="N2639" s="25">
        <f>IFERROR(INDEX(Produtos!$B$2:$B$71,MATCH(C2639,Produtos!$A$2:$A$71,0)),"")</f>
        <v/>
      </c>
      <c r="O2639" s="25">
        <f>IFERROR(INDEX(Produtos!$C$2:$C$71,MATCH(C2639,Produtos!$A$2:$A$71,0)),"")</f>
        <v/>
      </c>
      <c r="P2639" s="25">
        <f>IFERROR(INDEX(Produtos!$D$2:$D$71,MATCH(C2639,Produtos!$A$2:$A$71,0)),0)</f>
        <v/>
      </c>
      <c r="Q2639" s="25">
        <f>IFERROR(INDEX(Produtos!$E$2:$E$71,MATCH(C2639,Produtos!$A$2:$A$71,0)),0)</f>
        <v/>
      </c>
      <c r="R2639" s="27">
        <f>D2639*Q2639</f>
        <v/>
      </c>
      <c r="S2639" s="27">
        <f>R2639*E2639</f>
        <v/>
      </c>
      <c r="T2639" s="27">
        <f>(R2639-S2639)*M2639</f>
        <v/>
      </c>
      <c r="U2639" s="27">
        <f>R2639-S2639-T2639</f>
        <v/>
      </c>
      <c r="V2639" s="27">
        <f>D2639*P2639</f>
        <v/>
      </c>
      <c r="W2639" s="27">
        <f>U2639-V2639</f>
        <v/>
      </c>
      <c r="X2639" s="28">
        <f>IFERROR(W2639/U2639,0)</f>
        <v/>
      </c>
    </row>
    <row r="2640">
      <c r="A2640" s="21">
        <f>ItensPedido!A2640</f>
        <v/>
      </c>
      <c r="B2640" s="21">
        <f>ItensPedido!B2640</f>
        <v/>
      </c>
      <c r="C2640" s="21">
        <f>ItensPedido!C2640</f>
        <v/>
      </c>
      <c r="D2640" s="21">
        <f>ItensPedido!D2640</f>
        <v/>
      </c>
      <c r="E2640" s="22">
        <f>ItensPedido!E2640</f>
        <v/>
      </c>
      <c r="F2640" s="21">
        <f>IFERROR(INDEX(Pedidos!$B$2:$B$1801,MATCH(B2640,Pedidos!$A$2:$A$1801,0)),0)</f>
        <v/>
      </c>
      <c r="G2640" s="21">
        <f>IF(F2640=0,"",YEAR(F2640))</f>
        <v/>
      </c>
      <c r="H2640" s="21">
        <f>IF(F2640=0,"",MONTH(F2640))</f>
        <v/>
      </c>
      <c r="I2640" s="21">
        <f>IFERROR(INDEX(Pedidos!$E$2:$E$1801,MATCH(B2640,Pedidos!$A$2:$A$1801,0)),"")</f>
        <v/>
      </c>
      <c r="J2640" s="21">
        <f>IFERROR(INDEX(Pedidos!$C$2:$C$1801,MATCH(B2640,Pedidos!$A$2:$A$1801,0)),"")</f>
        <v/>
      </c>
      <c r="K2640" s="21">
        <f>IFERROR(INDEX(Pedidos!$D$2:$D$1801,MATCH(B2640,Pedidos!$A$2:$A$1801,0)),"")</f>
        <v/>
      </c>
      <c r="L2640" s="21">
        <f>IFERROR(INDEX(Pedidos!$F$2:$F$1801,MATCH(B2640,Pedidos!$A$2:$A$1801,0)),"")</f>
        <v/>
      </c>
      <c r="M2640" s="22">
        <f>IFERROR(INDEX(Pedidos!$G$2:$G$1801,MATCH(B2640,Pedidos!$A$2:$A$1801,0)),0)</f>
        <v/>
      </c>
      <c r="N2640" s="21">
        <f>IFERROR(INDEX(Produtos!$B$2:$B$71,MATCH(C2640,Produtos!$A$2:$A$71,0)),"")</f>
        <v/>
      </c>
      <c r="O2640" s="21">
        <f>IFERROR(INDEX(Produtos!$C$2:$C$71,MATCH(C2640,Produtos!$A$2:$A$71,0)),"")</f>
        <v/>
      </c>
      <c r="P2640" s="21">
        <f>IFERROR(INDEX(Produtos!$D$2:$D$71,MATCH(C2640,Produtos!$A$2:$A$71,0)),0)</f>
        <v/>
      </c>
      <c r="Q2640" s="21">
        <f>IFERROR(INDEX(Produtos!$E$2:$E$71,MATCH(C2640,Produtos!$A$2:$A$71,0)),0)</f>
        <v/>
      </c>
      <c r="R2640" s="23">
        <f>D2640*Q2640</f>
        <v/>
      </c>
      <c r="S2640" s="23">
        <f>R2640*E2640</f>
        <v/>
      </c>
      <c r="T2640" s="23">
        <f>(R2640-S2640)*M2640</f>
        <v/>
      </c>
      <c r="U2640" s="23">
        <f>R2640-S2640-T2640</f>
        <v/>
      </c>
      <c r="V2640" s="23">
        <f>D2640*P2640</f>
        <v/>
      </c>
      <c r="W2640" s="23">
        <f>U2640-V2640</f>
        <v/>
      </c>
      <c r="X2640" s="24">
        <f>IFERROR(W2640/U2640,0)</f>
        <v/>
      </c>
    </row>
    <row r="2641">
      <c r="A2641" s="25">
        <f>ItensPedido!A2641</f>
        <v/>
      </c>
      <c r="B2641" s="25">
        <f>ItensPedido!B2641</f>
        <v/>
      </c>
      <c r="C2641" s="25">
        <f>ItensPedido!C2641</f>
        <v/>
      </c>
      <c r="D2641" s="25">
        <f>ItensPedido!D2641</f>
        <v/>
      </c>
      <c r="E2641" s="26">
        <f>ItensPedido!E2641</f>
        <v/>
      </c>
      <c r="F2641" s="25">
        <f>IFERROR(INDEX(Pedidos!$B$2:$B$1801,MATCH(B2641,Pedidos!$A$2:$A$1801,0)),0)</f>
        <v/>
      </c>
      <c r="G2641" s="25">
        <f>IF(F2641=0,"",YEAR(F2641))</f>
        <v/>
      </c>
      <c r="H2641" s="25">
        <f>IF(F2641=0,"",MONTH(F2641))</f>
        <v/>
      </c>
      <c r="I2641" s="25">
        <f>IFERROR(INDEX(Pedidos!$E$2:$E$1801,MATCH(B2641,Pedidos!$A$2:$A$1801,0)),"")</f>
        <v/>
      </c>
      <c r="J2641" s="25">
        <f>IFERROR(INDEX(Pedidos!$C$2:$C$1801,MATCH(B2641,Pedidos!$A$2:$A$1801,0)),"")</f>
        <v/>
      </c>
      <c r="K2641" s="25">
        <f>IFERROR(INDEX(Pedidos!$D$2:$D$1801,MATCH(B2641,Pedidos!$A$2:$A$1801,0)),"")</f>
        <v/>
      </c>
      <c r="L2641" s="25">
        <f>IFERROR(INDEX(Pedidos!$F$2:$F$1801,MATCH(B2641,Pedidos!$A$2:$A$1801,0)),"")</f>
        <v/>
      </c>
      <c r="M2641" s="26">
        <f>IFERROR(INDEX(Pedidos!$G$2:$G$1801,MATCH(B2641,Pedidos!$A$2:$A$1801,0)),0)</f>
        <v/>
      </c>
      <c r="N2641" s="25">
        <f>IFERROR(INDEX(Produtos!$B$2:$B$71,MATCH(C2641,Produtos!$A$2:$A$71,0)),"")</f>
        <v/>
      </c>
      <c r="O2641" s="25">
        <f>IFERROR(INDEX(Produtos!$C$2:$C$71,MATCH(C2641,Produtos!$A$2:$A$71,0)),"")</f>
        <v/>
      </c>
      <c r="P2641" s="25">
        <f>IFERROR(INDEX(Produtos!$D$2:$D$71,MATCH(C2641,Produtos!$A$2:$A$71,0)),0)</f>
        <v/>
      </c>
      <c r="Q2641" s="25">
        <f>IFERROR(INDEX(Produtos!$E$2:$E$71,MATCH(C2641,Produtos!$A$2:$A$71,0)),0)</f>
        <v/>
      </c>
      <c r="R2641" s="27">
        <f>D2641*Q2641</f>
        <v/>
      </c>
      <c r="S2641" s="27">
        <f>R2641*E2641</f>
        <v/>
      </c>
      <c r="T2641" s="27">
        <f>(R2641-S2641)*M2641</f>
        <v/>
      </c>
      <c r="U2641" s="27">
        <f>R2641-S2641-T2641</f>
        <v/>
      </c>
      <c r="V2641" s="27">
        <f>D2641*P2641</f>
        <v/>
      </c>
      <c r="W2641" s="27">
        <f>U2641-V2641</f>
        <v/>
      </c>
      <c r="X2641" s="28">
        <f>IFERROR(W2641/U2641,0)</f>
        <v/>
      </c>
    </row>
    <row r="2642">
      <c r="A2642" s="21">
        <f>ItensPedido!A2642</f>
        <v/>
      </c>
      <c r="B2642" s="21">
        <f>ItensPedido!B2642</f>
        <v/>
      </c>
      <c r="C2642" s="21">
        <f>ItensPedido!C2642</f>
        <v/>
      </c>
      <c r="D2642" s="21">
        <f>ItensPedido!D2642</f>
        <v/>
      </c>
      <c r="E2642" s="22">
        <f>ItensPedido!E2642</f>
        <v/>
      </c>
      <c r="F2642" s="21">
        <f>IFERROR(INDEX(Pedidos!$B$2:$B$1801,MATCH(B2642,Pedidos!$A$2:$A$1801,0)),0)</f>
        <v/>
      </c>
      <c r="G2642" s="21">
        <f>IF(F2642=0,"",YEAR(F2642))</f>
        <v/>
      </c>
      <c r="H2642" s="21">
        <f>IF(F2642=0,"",MONTH(F2642))</f>
        <v/>
      </c>
      <c r="I2642" s="21">
        <f>IFERROR(INDEX(Pedidos!$E$2:$E$1801,MATCH(B2642,Pedidos!$A$2:$A$1801,0)),"")</f>
        <v/>
      </c>
      <c r="J2642" s="21">
        <f>IFERROR(INDEX(Pedidos!$C$2:$C$1801,MATCH(B2642,Pedidos!$A$2:$A$1801,0)),"")</f>
        <v/>
      </c>
      <c r="K2642" s="21">
        <f>IFERROR(INDEX(Pedidos!$D$2:$D$1801,MATCH(B2642,Pedidos!$A$2:$A$1801,0)),"")</f>
        <v/>
      </c>
      <c r="L2642" s="21">
        <f>IFERROR(INDEX(Pedidos!$F$2:$F$1801,MATCH(B2642,Pedidos!$A$2:$A$1801,0)),"")</f>
        <v/>
      </c>
      <c r="M2642" s="22">
        <f>IFERROR(INDEX(Pedidos!$G$2:$G$1801,MATCH(B2642,Pedidos!$A$2:$A$1801,0)),0)</f>
        <v/>
      </c>
      <c r="N2642" s="21">
        <f>IFERROR(INDEX(Produtos!$B$2:$B$71,MATCH(C2642,Produtos!$A$2:$A$71,0)),"")</f>
        <v/>
      </c>
      <c r="O2642" s="21">
        <f>IFERROR(INDEX(Produtos!$C$2:$C$71,MATCH(C2642,Produtos!$A$2:$A$71,0)),"")</f>
        <v/>
      </c>
      <c r="P2642" s="21">
        <f>IFERROR(INDEX(Produtos!$D$2:$D$71,MATCH(C2642,Produtos!$A$2:$A$71,0)),0)</f>
        <v/>
      </c>
      <c r="Q2642" s="21">
        <f>IFERROR(INDEX(Produtos!$E$2:$E$71,MATCH(C2642,Produtos!$A$2:$A$71,0)),0)</f>
        <v/>
      </c>
      <c r="R2642" s="23">
        <f>D2642*Q2642</f>
        <v/>
      </c>
      <c r="S2642" s="23">
        <f>R2642*E2642</f>
        <v/>
      </c>
      <c r="T2642" s="23">
        <f>(R2642-S2642)*M2642</f>
        <v/>
      </c>
      <c r="U2642" s="23">
        <f>R2642-S2642-T2642</f>
        <v/>
      </c>
      <c r="V2642" s="23">
        <f>D2642*P2642</f>
        <v/>
      </c>
      <c r="W2642" s="23">
        <f>U2642-V2642</f>
        <v/>
      </c>
      <c r="X2642" s="24">
        <f>IFERROR(W2642/U2642,0)</f>
        <v/>
      </c>
    </row>
    <row r="2643">
      <c r="A2643" s="25">
        <f>ItensPedido!A2643</f>
        <v/>
      </c>
      <c r="B2643" s="25">
        <f>ItensPedido!B2643</f>
        <v/>
      </c>
      <c r="C2643" s="25">
        <f>ItensPedido!C2643</f>
        <v/>
      </c>
      <c r="D2643" s="25">
        <f>ItensPedido!D2643</f>
        <v/>
      </c>
      <c r="E2643" s="26">
        <f>ItensPedido!E2643</f>
        <v/>
      </c>
      <c r="F2643" s="25">
        <f>IFERROR(INDEX(Pedidos!$B$2:$B$1801,MATCH(B2643,Pedidos!$A$2:$A$1801,0)),0)</f>
        <v/>
      </c>
      <c r="G2643" s="25">
        <f>IF(F2643=0,"",YEAR(F2643))</f>
        <v/>
      </c>
      <c r="H2643" s="25">
        <f>IF(F2643=0,"",MONTH(F2643))</f>
        <v/>
      </c>
      <c r="I2643" s="25">
        <f>IFERROR(INDEX(Pedidos!$E$2:$E$1801,MATCH(B2643,Pedidos!$A$2:$A$1801,0)),"")</f>
        <v/>
      </c>
      <c r="J2643" s="25">
        <f>IFERROR(INDEX(Pedidos!$C$2:$C$1801,MATCH(B2643,Pedidos!$A$2:$A$1801,0)),"")</f>
        <v/>
      </c>
      <c r="K2643" s="25">
        <f>IFERROR(INDEX(Pedidos!$D$2:$D$1801,MATCH(B2643,Pedidos!$A$2:$A$1801,0)),"")</f>
        <v/>
      </c>
      <c r="L2643" s="25">
        <f>IFERROR(INDEX(Pedidos!$F$2:$F$1801,MATCH(B2643,Pedidos!$A$2:$A$1801,0)),"")</f>
        <v/>
      </c>
      <c r="M2643" s="26">
        <f>IFERROR(INDEX(Pedidos!$G$2:$G$1801,MATCH(B2643,Pedidos!$A$2:$A$1801,0)),0)</f>
        <v/>
      </c>
      <c r="N2643" s="25">
        <f>IFERROR(INDEX(Produtos!$B$2:$B$71,MATCH(C2643,Produtos!$A$2:$A$71,0)),"")</f>
        <v/>
      </c>
      <c r="O2643" s="25">
        <f>IFERROR(INDEX(Produtos!$C$2:$C$71,MATCH(C2643,Produtos!$A$2:$A$71,0)),"")</f>
        <v/>
      </c>
      <c r="P2643" s="25">
        <f>IFERROR(INDEX(Produtos!$D$2:$D$71,MATCH(C2643,Produtos!$A$2:$A$71,0)),0)</f>
        <v/>
      </c>
      <c r="Q2643" s="25">
        <f>IFERROR(INDEX(Produtos!$E$2:$E$71,MATCH(C2643,Produtos!$A$2:$A$71,0)),0)</f>
        <v/>
      </c>
      <c r="R2643" s="27">
        <f>D2643*Q2643</f>
        <v/>
      </c>
      <c r="S2643" s="27">
        <f>R2643*E2643</f>
        <v/>
      </c>
      <c r="T2643" s="27">
        <f>(R2643-S2643)*M2643</f>
        <v/>
      </c>
      <c r="U2643" s="27">
        <f>R2643-S2643-T2643</f>
        <v/>
      </c>
      <c r="V2643" s="27">
        <f>D2643*P2643</f>
        <v/>
      </c>
      <c r="W2643" s="27">
        <f>U2643-V2643</f>
        <v/>
      </c>
      <c r="X2643" s="28">
        <f>IFERROR(W2643/U2643,0)</f>
        <v/>
      </c>
    </row>
    <row r="2644">
      <c r="A2644" s="21">
        <f>ItensPedido!A2644</f>
        <v/>
      </c>
      <c r="B2644" s="21">
        <f>ItensPedido!B2644</f>
        <v/>
      </c>
      <c r="C2644" s="21">
        <f>ItensPedido!C2644</f>
        <v/>
      </c>
      <c r="D2644" s="21">
        <f>ItensPedido!D2644</f>
        <v/>
      </c>
      <c r="E2644" s="22">
        <f>ItensPedido!E2644</f>
        <v/>
      </c>
      <c r="F2644" s="21">
        <f>IFERROR(INDEX(Pedidos!$B$2:$B$1801,MATCH(B2644,Pedidos!$A$2:$A$1801,0)),0)</f>
        <v/>
      </c>
      <c r="G2644" s="21">
        <f>IF(F2644=0,"",YEAR(F2644))</f>
        <v/>
      </c>
      <c r="H2644" s="21">
        <f>IF(F2644=0,"",MONTH(F2644))</f>
        <v/>
      </c>
      <c r="I2644" s="21">
        <f>IFERROR(INDEX(Pedidos!$E$2:$E$1801,MATCH(B2644,Pedidos!$A$2:$A$1801,0)),"")</f>
        <v/>
      </c>
      <c r="J2644" s="21">
        <f>IFERROR(INDEX(Pedidos!$C$2:$C$1801,MATCH(B2644,Pedidos!$A$2:$A$1801,0)),"")</f>
        <v/>
      </c>
      <c r="K2644" s="21">
        <f>IFERROR(INDEX(Pedidos!$D$2:$D$1801,MATCH(B2644,Pedidos!$A$2:$A$1801,0)),"")</f>
        <v/>
      </c>
      <c r="L2644" s="21">
        <f>IFERROR(INDEX(Pedidos!$F$2:$F$1801,MATCH(B2644,Pedidos!$A$2:$A$1801,0)),"")</f>
        <v/>
      </c>
      <c r="M2644" s="22">
        <f>IFERROR(INDEX(Pedidos!$G$2:$G$1801,MATCH(B2644,Pedidos!$A$2:$A$1801,0)),0)</f>
        <v/>
      </c>
      <c r="N2644" s="21">
        <f>IFERROR(INDEX(Produtos!$B$2:$B$71,MATCH(C2644,Produtos!$A$2:$A$71,0)),"")</f>
        <v/>
      </c>
      <c r="O2644" s="21">
        <f>IFERROR(INDEX(Produtos!$C$2:$C$71,MATCH(C2644,Produtos!$A$2:$A$71,0)),"")</f>
        <v/>
      </c>
      <c r="P2644" s="21">
        <f>IFERROR(INDEX(Produtos!$D$2:$D$71,MATCH(C2644,Produtos!$A$2:$A$71,0)),0)</f>
        <v/>
      </c>
      <c r="Q2644" s="21">
        <f>IFERROR(INDEX(Produtos!$E$2:$E$71,MATCH(C2644,Produtos!$A$2:$A$71,0)),0)</f>
        <v/>
      </c>
      <c r="R2644" s="23">
        <f>D2644*Q2644</f>
        <v/>
      </c>
      <c r="S2644" s="23">
        <f>R2644*E2644</f>
        <v/>
      </c>
      <c r="T2644" s="23">
        <f>(R2644-S2644)*M2644</f>
        <v/>
      </c>
      <c r="U2644" s="23">
        <f>R2644-S2644-T2644</f>
        <v/>
      </c>
      <c r="V2644" s="23">
        <f>D2644*P2644</f>
        <v/>
      </c>
      <c r="W2644" s="23">
        <f>U2644-V2644</f>
        <v/>
      </c>
      <c r="X2644" s="24">
        <f>IFERROR(W2644/U2644,0)</f>
        <v/>
      </c>
    </row>
    <row r="2645">
      <c r="A2645" s="25">
        <f>ItensPedido!A2645</f>
        <v/>
      </c>
      <c r="B2645" s="25">
        <f>ItensPedido!B2645</f>
        <v/>
      </c>
      <c r="C2645" s="25">
        <f>ItensPedido!C2645</f>
        <v/>
      </c>
      <c r="D2645" s="25">
        <f>ItensPedido!D2645</f>
        <v/>
      </c>
      <c r="E2645" s="26">
        <f>ItensPedido!E2645</f>
        <v/>
      </c>
      <c r="F2645" s="25">
        <f>IFERROR(INDEX(Pedidos!$B$2:$B$1801,MATCH(B2645,Pedidos!$A$2:$A$1801,0)),0)</f>
        <v/>
      </c>
      <c r="G2645" s="25">
        <f>IF(F2645=0,"",YEAR(F2645))</f>
        <v/>
      </c>
      <c r="H2645" s="25">
        <f>IF(F2645=0,"",MONTH(F2645))</f>
        <v/>
      </c>
      <c r="I2645" s="25">
        <f>IFERROR(INDEX(Pedidos!$E$2:$E$1801,MATCH(B2645,Pedidos!$A$2:$A$1801,0)),"")</f>
        <v/>
      </c>
      <c r="J2645" s="25">
        <f>IFERROR(INDEX(Pedidos!$C$2:$C$1801,MATCH(B2645,Pedidos!$A$2:$A$1801,0)),"")</f>
        <v/>
      </c>
      <c r="K2645" s="25">
        <f>IFERROR(INDEX(Pedidos!$D$2:$D$1801,MATCH(B2645,Pedidos!$A$2:$A$1801,0)),"")</f>
        <v/>
      </c>
      <c r="L2645" s="25">
        <f>IFERROR(INDEX(Pedidos!$F$2:$F$1801,MATCH(B2645,Pedidos!$A$2:$A$1801,0)),"")</f>
        <v/>
      </c>
      <c r="M2645" s="26">
        <f>IFERROR(INDEX(Pedidos!$G$2:$G$1801,MATCH(B2645,Pedidos!$A$2:$A$1801,0)),0)</f>
        <v/>
      </c>
      <c r="N2645" s="25">
        <f>IFERROR(INDEX(Produtos!$B$2:$B$71,MATCH(C2645,Produtos!$A$2:$A$71,0)),"")</f>
        <v/>
      </c>
      <c r="O2645" s="25">
        <f>IFERROR(INDEX(Produtos!$C$2:$C$71,MATCH(C2645,Produtos!$A$2:$A$71,0)),"")</f>
        <v/>
      </c>
      <c r="P2645" s="25">
        <f>IFERROR(INDEX(Produtos!$D$2:$D$71,MATCH(C2645,Produtos!$A$2:$A$71,0)),0)</f>
        <v/>
      </c>
      <c r="Q2645" s="25">
        <f>IFERROR(INDEX(Produtos!$E$2:$E$71,MATCH(C2645,Produtos!$A$2:$A$71,0)),0)</f>
        <v/>
      </c>
      <c r="R2645" s="27">
        <f>D2645*Q2645</f>
        <v/>
      </c>
      <c r="S2645" s="27">
        <f>R2645*E2645</f>
        <v/>
      </c>
      <c r="T2645" s="27">
        <f>(R2645-S2645)*M2645</f>
        <v/>
      </c>
      <c r="U2645" s="27">
        <f>R2645-S2645-T2645</f>
        <v/>
      </c>
      <c r="V2645" s="27">
        <f>D2645*P2645</f>
        <v/>
      </c>
      <c r="W2645" s="27">
        <f>U2645-V2645</f>
        <v/>
      </c>
      <c r="X2645" s="28">
        <f>IFERROR(W2645/U2645,0)</f>
        <v/>
      </c>
    </row>
    <row r="2646">
      <c r="A2646" s="21">
        <f>ItensPedido!A2646</f>
        <v/>
      </c>
      <c r="B2646" s="21">
        <f>ItensPedido!B2646</f>
        <v/>
      </c>
      <c r="C2646" s="21">
        <f>ItensPedido!C2646</f>
        <v/>
      </c>
      <c r="D2646" s="21">
        <f>ItensPedido!D2646</f>
        <v/>
      </c>
      <c r="E2646" s="22">
        <f>ItensPedido!E2646</f>
        <v/>
      </c>
      <c r="F2646" s="21">
        <f>IFERROR(INDEX(Pedidos!$B$2:$B$1801,MATCH(B2646,Pedidos!$A$2:$A$1801,0)),0)</f>
        <v/>
      </c>
      <c r="G2646" s="21">
        <f>IF(F2646=0,"",YEAR(F2646))</f>
        <v/>
      </c>
      <c r="H2646" s="21">
        <f>IF(F2646=0,"",MONTH(F2646))</f>
        <v/>
      </c>
      <c r="I2646" s="21">
        <f>IFERROR(INDEX(Pedidos!$E$2:$E$1801,MATCH(B2646,Pedidos!$A$2:$A$1801,0)),"")</f>
        <v/>
      </c>
      <c r="J2646" s="21">
        <f>IFERROR(INDEX(Pedidos!$C$2:$C$1801,MATCH(B2646,Pedidos!$A$2:$A$1801,0)),"")</f>
        <v/>
      </c>
      <c r="K2646" s="21">
        <f>IFERROR(INDEX(Pedidos!$D$2:$D$1801,MATCH(B2646,Pedidos!$A$2:$A$1801,0)),"")</f>
        <v/>
      </c>
      <c r="L2646" s="21">
        <f>IFERROR(INDEX(Pedidos!$F$2:$F$1801,MATCH(B2646,Pedidos!$A$2:$A$1801,0)),"")</f>
        <v/>
      </c>
      <c r="M2646" s="22">
        <f>IFERROR(INDEX(Pedidos!$G$2:$G$1801,MATCH(B2646,Pedidos!$A$2:$A$1801,0)),0)</f>
        <v/>
      </c>
      <c r="N2646" s="21">
        <f>IFERROR(INDEX(Produtos!$B$2:$B$71,MATCH(C2646,Produtos!$A$2:$A$71,0)),"")</f>
        <v/>
      </c>
      <c r="O2646" s="21">
        <f>IFERROR(INDEX(Produtos!$C$2:$C$71,MATCH(C2646,Produtos!$A$2:$A$71,0)),"")</f>
        <v/>
      </c>
      <c r="P2646" s="21">
        <f>IFERROR(INDEX(Produtos!$D$2:$D$71,MATCH(C2646,Produtos!$A$2:$A$71,0)),0)</f>
        <v/>
      </c>
      <c r="Q2646" s="21">
        <f>IFERROR(INDEX(Produtos!$E$2:$E$71,MATCH(C2646,Produtos!$A$2:$A$71,0)),0)</f>
        <v/>
      </c>
      <c r="R2646" s="23">
        <f>D2646*Q2646</f>
        <v/>
      </c>
      <c r="S2646" s="23">
        <f>R2646*E2646</f>
        <v/>
      </c>
      <c r="T2646" s="23">
        <f>(R2646-S2646)*M2646</f>
        <v/>
      </c>
      <c r="U2646" s="23">
        <f>R2646-S2646-T2646</f>
        <v/>
      </c>
      <c r="V2646" s="23">
        <f>D2646*P2646</f>
        <v/>
      </c>
      <c r="W2646" s="23">
        <f>U2646-V2646</f>
        <v/>
      </c>
      <c r="X2646" s="24">
        <f>IFERROR(W2646/U2646,0)</f>
        <v/>
      </c>
    </row>
    <row r="2647">
      <c r="A2647" s="25">
        <f>ItensPedido!A2647</f>
        <v/>
      </c>
      <c r="B2647" s="25">
        <f>ItensPedido!B2647</f>
        <v/>
      </c>
      <c r="C2647" s="25">
        <f>ItensPedido!C2647</f>
        <v/>
      </c>
      <c r="D2647" s="25">
        <f>ItensPedido!D2647</f>
        <v/>
      </c>
      <c r="E2647" s="26">
        <f>ItensPedido!E2647</f>
        <v/>
      </c>
      <c r="F2647" s="25">
        <f>IFERROR(INDEX(Pedidos!$B$2:$B$1801,MATCH(B2647,Pedidos!$A$2:$A$1801,0)),0)</f>
        <v/>
      </c>
      <c r="G2647" s="25">
        <f>IF(F2647=0,"",YEAR(F2647))</f>
        <v/>
      </c>
      <c r="H2647" s="25">
        <f>IF(F2647=0,"",MONTH(F2647))</f>
        <v/>
      </c>
      <c r="I2647" s="25">
        <f>IFERROR(INDEX(Pedidos!$E$2:$E$1801,MATCH(B2647,Pedidos!$A$2:$A$1801,0)),"")</f>
        <v/>
      </c>
      <c r="J2647" s="25">
        <f>IFERROR(INDEX(Pedidos!$C$2:$C$1801,MATCH(B2647,Pedidos!$A$2:$A$1801,0)),"")</f>
        <v/>
      </c>
      <c r="K2647" s="25">
        <f>IFERROR(INDEX(Pedidos!$D$2:$D$1801,MATCH(B2647,Pedidos!$A$2:$A$1801,0)),"")</f>
        <v/>
      </c>
      <c r="L2647" s="25">
        <f>IFERROR(INDEX(Pedidos!$F$2:$F$1801,MATCH(B2647,Pedidos!$A$2:$A$1801,0)),"")</f>
        <v/>
      </c>
      <c r="M2647" s="26">
        <f>IFERROR(INDEX(Pedidos!$G$2:$G$1801,MATCH(B2647,Pedidos!$A$2:$A$1801,0)),0)</f>
        <v/>
      </c>
      <c r="N2647" s="25">
        <f>IFERROR(INDEX(Produtos!$B$2:$B$71,MATCH(C2647,Produtos!$A$2:$A$71,0)),"")</f>
        <v/>
      </c>
      <c r="O2647" s="25">
        <f>IFERROR(INDEX(Produtos!$C$2:$C$71,MATCH(C2647,Produtos!$A$2:$A$71,0)),"")</f>
        <v/>
      </c>
      <c r="P2647" s="25">
        <f>IFERROR(INDEX(Produtos!$D$2:$D$71,MATCH(C2647,Produtos!$A$2:$A$71,0)),0)</f>
        <v/>
      </c>
      <c r="Q2647" s="25">
        <f>IFERROR(INDEX(Produtos!$E$2:$E$71,MATCH(C2647,Produtos!$A$2:$A$71,0)),0)</f>
        <v/>
      </c>
      <c r="R2647" s="27">
        <f>D2647*Q2647</f>
        <v/>
      </c>
      <c r="S2647" s="27">
        <f>R2647*E2647</f>
        <v/>
      </c>
      <c r="T2647" s="27">
        <f>(R2647-S2647)*M2647</f>
        <v/>
      </c>
      <c r="U2647" s="27">
        <f>R2647-S2647-T2647</f>
        <v/>
      </c>
      <c r="V2647" s="27">
        <f>D2647*P2647</f>
        <v/>
      </c>
      <c r="W2647" s="27">
        <f>U2647-V2647</f>
        <v/>
      </c>
      <c r="X2647" s="28">
        <f>IFERROR(W2647/U2647,0)</f>
        <v/>
      </c>
    </row>
    <row r="2648">
      <c r="A2648" s="21">
        <f>ItensPedido!A2648</f>
        <v/>
      </c>
      <c r="B2648" s="21">
        <f>ItensPedido!B2648</f>
        <v/>
      </c>
      <c r="C2648" s="21">
        <f>ItensPedido!C2648</f>
        <v/>
      </c>
      <c r="D2648" s="21">
        <f>ItensPedido!D2648</f>
        <v/>
      </c>
      <c r="E2648" s="22">
        <f>ItensPedido!E2648</f>
        <v/>
      </c>
      <c r="F2648" s="21">
        <f>IFERROR(INDEX(Pedidos!$B$2:$B$1801,MATCH(B2648,Pedidos!$A$2:$A$1801,0)),0)</f>
        <v/>
      </c>
      <c r="G2648" s="21">
        <f>IF(F2648=0,"",YEAR(F2648))</f>
        <v/>
      </c>
      <c r="H2648" s="21">
        <f>IF(F2648=0,"",MONTH(F2648))</f>
        <v/>
      </c>
      <c r="I2648" s="21">
        <f>IFERROR(INDEX(Pedidos!$E$2:$E$1801,MATCH(B2648,Pedidos!$A$2:$A$1801,0)),"")</f>
        <v/>
      </c>
      <c r="J2648" s="21">
        <f>IFERROR(INDEX(Pedidos!$C$2:$C$1801,MATCH(B2648,Pedidos!$A$2:$A$1801,0)),"")</f>
        <v/>
      </c>
      <c r="K2648" s="21">
        <f>IFERROR(INDEX(Pedidos!$D$2:$D$1801,MATCH(B2648,Pedidos!$A$2:$A$1801,0)),"")</f>
        <v/>
      </c>
      <c r="L2648" s="21">
        <f>IFERROR(INDEX(Pedidos!$F$2:$F$1801,MATCH(B2648,Pedidos!$A$2:$A$1801,0)),"")</f>
        <v/>
      </c>
      <c r="M2648" s="22">
        <f>IFERROR(INDEX(Pedidos!$G$2:$G$1801,MATCH(B2648,Pedidos!$A$2:$A$1801,0)),0)</f>
        <v/>
      </c>
      <c r="N2648" s="21">
        <f>IFERROR(INDEX(Produtos!$B$2:$B$71,MATCH(C2648,Produtos!$A$2:$A$71,0)),"")</f>
        <v/>
      </c>
      <c r="O2648" s="21">
        <f>IFERROR(INDEX(Produtos!$C$2:$C$71,MATCH(C2648,Produtos!$A$2:$A$71,0)),"")</f>
        <v/>
      </c>
      <c r="P2648" s="21">
        <f>IFERROR(INDEX(Produtos!$D$2:$D$71,MATCH(C2648,Produtos!$A$2:$A$71,0)),0)</f>
        <v/>
      </c>
      <c r="Q2648" s="21">
        <f>IFERROR(INDEX(Produtos!$E$2:$E$71,MATCH(C2648,Produtos!$A$2:$A$71,0)),0)</f>
        <v/>
      </c>
      <c r="R2648" s="23">
        <f>D2648*Q2648</f>
        <v/>
      </c>
      <c r="S2648" s="23">
        <f>R2648*E2648</f>
        <v/>
      </c>
      <c r="T2648" s="23">
        <f>(R2648-S2648)*M2648</f>
        <v/>
      </c>
      <c r="U2648" s="23">
        <f>R2648-S2648-T2648</f>
        <v/>
      </c>
      <c r="V2648" s="23">
        <f>D2648*P2648</f>
        <v/>
      </c>
      <c r="W2648" s="23">
        <f>U2648-V2648</f>
        <v/>
      </c>
      <c r="X2648" s="24">
        <f>IFERROR(W2648/U2648,0)</f>
        <v/>
      </c>
    </row>
    <row r="2649">
      <c r="A2649" s="25">
        <f>ItensPedido!A2649</f>
        <v/>
      </c>
      <c r="B2649" s="25">
        <f>ItensPedido!B2649</f>
        <v/>
      </c>
      <c r="C2649" s="25">
        <f>ItensPedido!C2649</f>
        <v/>
      </c>
      <c r="D2649" s="25">
        <f>ItensPedido!D2649</f>
        <v/>
      </c>
      <c r="E2649" s="26">
        <f>ItensPedido!E2649</f>
        <v/>
      </c>
      <c r="F2649" s="25">
        <f>IFERROR(INDEX(Pedidos!$B$2:$B$1801,MATCH(B2649,Pedidos!$A$2:$A$1801,0)),0)</f>
        <v/>
      </c>
      <c r="G2649" s="25">
        <f>IF(F2649=0,"",YEAR(F2649))</f>
        <v/>
      </c>
      <c r="H2649" s="25">
        <f>IF(F2649=0,"",MONTH(F2649))</f>
        <v/>
      </c>
      <c r="I2649" s="25">
        <f>IFERROR(INDEX(Pedidos!$E$2:$E$1801,MATCH(B2649,Pedidos!$A$2:$A$1801,0)),"")</f>
        <v/>
      </c>
      <c r="J2649" s="25">
        <f>IFERROR(INDEX(Pedidos!$C$2:$C$1801,MATCH(B2649,Pedidos!$A$2:$A$1801,0)),"")</f>
        <v/>
      </c>
      <c r="K2649" s="25">
        <f>IFERROR(INDEX(Pedidos!$D$2:$D$1801,MATCH(B2649,Pedidos!$A$2:$A$1801,0)),"")</f>
        <v/>
      </c>
      <c r="L2649" s="25">
        <f>IFERROR(INDEX(Pedidos!$F$2:$F$1801,MATCH(B2649,Pedidos!$A$2:$A$1801,0)),"")</f>
        <v/>
      </c>
      <c r="M2649" s="26">
        <f>IFERROR(INDEX(Pedidos!$G$2:$G$1801,MATCH(B2649,Pedidos!$A$2:$A$1801,0)),0)</f>
        <v/>
      </c>
      <c r="N2649" s="25">
        <f>IFERROR(INDEX(Produtos!$B$2:$B$71,MATCH(C2649,Produtos!$A$2:$A$71,0)),"")</f>
        <v/>
      </c>
      <c r="O2649" s="25">
        <f>IFERROR(INDEX(Produtos!$C$2:$C$71,MATCH(C2649,Produtos!$A$2:$A$71,0)),"")</f>
        <v/>
      </c>
      <c r="P2649" s="25">
        <f>IFERROR(INDEX(Produtos!$D$2:$D$71,MATCH(C2649,Produtos!$A$2:$A$71,0)),0)</f>
        <v/>
      </c>
      <c r="Q2649" s="25">
        <f>IFERROR(INDEX(Produtos!$E$2:$E$71,MATCH(C2649,Produtos!$A$2:$A$71,0)),0)</f>
        <v/>
      </c>
      <c r="R2649" s="27">
        <f>D2649*Q2649</f>
        <v/>
      </c>
      <c r="S2649" s="27">
        <f>R2649*E2649</f>
        <v/>
      </c>
      <c r="T2649" s="27">
        <f>(R2649-S2649)*M2649</f>
        <v/>
      </c>
      <c r="U2649" s="27">
        <f>R2649-S2649-T2649</f>
        <v/>
      </c>
      <c r="V2649" s="27">
        <f>D2649*P2649</f>
        <v/>
      </c>
      <c r="W2649" s="27">
        <f>U2649-V2649</f>
        <v/>
      </c>
      <c r="X2649" s="28">
        <f>IFERROR(W2649/U2649,0)</f>
        <v/>
      </c>
    </row>
    <row r="2650">
      <c r="A2650" s="21">
        <f>ItensPedido!A2650</f>
        <v/>
      </c>
      <c r="B2650" s="21">
        <f>ItensPedido!B2650</f>
        <v/>
      </c>
      <c r="C2650" s="21">
        <f>ItensPedido!C2650</f>
        <v/>
      </c>
      <c r="D2650" s="21">
        <f>ItensPedido!D2650</f>
        <v/>
      </c>
      <c r="E2650" s="22">
        <f>ItensPedido!E2650</f>
        <v/>
      </c>
      <c r="F2650" s="21">
        <f>IFERROR(INDEX(Pedidos!$B$2:$B$1801,MATCH(B2650,Pedidos!$A$2:$A$1801,0)),0)</f>
        <v/>
      </c>
      <c r="G2650" s="21">
        <f>IF(F2650=0,"",YEAR(F2650))</f>
        <v/>
      </c>
      <c r="H2650" s="21">
        <f>IF(F2650=0,"",MONTH(F2650))</f>
        <v/>
      </c>
      <c r="I2650" s="21">
        <f>IFERROR(INDEX(Pedidos!$E$2:$E$1801,MATCH(B2650,Pedidos!$A$2:$A$1801,0)),"")</f>
        <v/>
      </c>
      <c r="J2650" s="21">
        <f>IFERROR(INDEX(Pedidos!$C$2:$C$1801,MATCH(B2650,Pedidos!$A$2:$A$1801,0)),"")</f>
        <v/>
      </c>
      <c r="K2650" s="21">
        <f>IFERROR(INDEX(Pedidos!$D$2:$D$1801,MATCH(B2650,Pedidos!$A$2:$A$1801,0)),"")</f>
        <v/>
      </c>
      <c r="L2650" s="21">
        <f>IFERROR(INDEX(Pedidos!$F$2:$F$1801,MATCH(B2650,Pedidos!$A$2:$A$1801,0)),"")</f>
        <v/>
      </c>
      <c r="M2650" s="22">
        <f>IFERROR(INDEX(Pedidos!$G$2:$G$1801,MATCH(B2650,Pedidos!$A$2:$A$1801,0)),0)</f>
        <v/>
      </c>
      <c r="N2650" s="21">
        <f>IFERROR(INDEX(Produtos!$B$2:$B$71,MATCH(C2650,Produtos!$A$2:$A$71,0)),"")</f>
        <v/>
      </c>
      <c r="O2650" s="21">
        <f>IFERROR(INDEX(Produtos!$C$2:$C$71,MATCH(C2650,Produtos!$A$2:$A$71,0)),"")</f>
        <v/>
      </c>
      <c r="P2650" s="21">
        <f>IFERROR(INDEX(Produtos!$D$2:$D$71,MATCH(C2650,Produtos!$A$2:$A$71,0)),0)</f>
        <v/>
      </c>
      <c r="Q2650" s="21">
        <f>IFERROR(INDEX(Produtos!$E$2:$E$71,MATCH(C2650,Produtos!$A$2:$A$71,0)),0)</f>
        <v/>
      </c>
      <c r="R2650" s="23">
        <f>D2650*Q2650</f>
        <v/>
      </c>
      <c r="S2650" s="23">
        <f>R2650*E2650</f>
        <v/>
      </c>
      <c r="T2650" s="23">
        <f>(R2650-S2650)*M2650</f>
        <v/>
      </c>
      <c r="U2650" s="23">
        <f>R2650-S2650-T2650</f>
        <v/>
      </c>
      <c r="V2650" s="23">
        <f>D2650*P2650</f>
        <v/>
      </c>
      <c r="W2650" s="23">
        <f>U2650-V2650</f>
        <v/>
      </c>
      <c r="X2650" s="24">
        <f>IFERROR(W2650/U2650,0)</f>
        <v/>
      </c>
    </row>
    <row r="2651">
      <c r="A2651" s="25">
        <f>ItensPedido!A2651</f>
        <v/>
      </c>
      <c r="B2651" s="25">
        <f>ItensPedido!B2651</f>
        <v/>
      </c>
      <c r="C2651" s="25">
        <f>ItensPedido!C2651</f>
        <v/>
      </c>
      <c r="D2651" s="25">
        <f>ItensPedido!D2651</f>
        <v/>
      </c>
      <c r="E2651" s="26">
        <f>ItensPedido!E2651</f>
        <v/>
      </c>
      <c r="F2651" s="25">
        <f>IFERROR(INDEX(Pedidos!$B$2:$B$1801,MATCH(B2651,Pedidos!$A$2:$A$1801,0)),0)</f>
        <v/>
      </c>
      <c r="G2651" s="25">
        <f>IF(F2651=0,"",YEAR(F2651))</f>
        <v/>
      </c>
      <c r="H2651" s="25">
        <f>IF(F2651=0,"",MONTH(F2651))</f>
        <v/>
      </c>
      <c r="I2651" s="25">
        <f>IFERROR(INDEX(Pedidos!$E$2:$E$1801,MATCH(B2651,Pedidos!$A$2:$A$1801,0)),"")</f>
        <v/>
      </c>
      <c r="J2651" s="25">
        <f>IFERROR(INDEX(Pedidos!$C$2:$C$1801,MATCH(B2651,Pedidos!$A$2:$A$1801,0)),"")</f>
        <v/>
      </c>
      <c r="K2651" s="25">
        <f>IFERROR(INDEX(Pedidos!$D$2:$D$1801,MATCH(B2651,Pedidos!$A$2:$A$1801,0)),"")</f>
        <v/>
      </c>
      <c r="L2651" s="25">
        <f>IFERROR(INDEX(Pedidos!$F$2:$F$1801,MATCH(B2651,Pedidos!$A$2:$A$1801,0)),"")</f>
        <v/>
      </c>
      <c r="M2651" s="26">
        <f>IFERROR(INDEX(Pedidos!$G$2:$G$1801,MATCH(B2651,Pedidos!$A$2:$A$1801,0)),0)</f>
        <v/>
      </c>
      <c r="N2651" s="25">
        <f>IFERROR(INDEX(Produtos!$B$2:$B$71,MATCH(C2651,Produtos!$A$2:$A$71,0)),"")</f>
        <v/>
      </c>
      <c r="O2651" s="25">
        <f>IFERROR(INDEX(Produtos!$C$2:$C$71,MATCH(C2651,Produtos!$A$2:$A$71,0)),"")</f>
        <v/>
      </c>
      <c r="P2651" s="25">
        <f>IFERROR(INDEX(Produtos!$D$2:$D$71,MATCH(C2651,Produtos!$A$2:$A$71,0)),0)</f>
        <v/>
      </c>
      <c r="Q2651" s="25">
        <f>IFERROR(INDEX(Produtos!$E$2:$E$71,MATCH(C2651,Produtos!$A$2:$A$71,0)),0)</f>
        <v/>
      </c>
      <c r="R2651" s="27">
        <f>D2651*Q2651</f>
        <v/>
      </c>
      <c r="S2651" s="27">
        <f>R2651*E2651</f>
        <v/>
      </c>
      <c r="T2651" s="27">
        <f>(R2651-S2651)*M2651</f>
        <v/>
      </c>
      <c r="U2651" s="27">
        <f>R2651-S2651-T2651</f>
        <v/>
      </c>
      <c r="V2651" s="27">
        <f>D2651*P2651</f>
        <v/>
      </c>
      <c r="W2651" s="27">
        <f>U2651-V2651</f>
        <v/>
      </c>
      <c r="X2651" s="28">
        <f>IFERROR(W2651/U2651,0)</f>
        <v/>
      </c>
    </row>
    <row r="2652">
      <c r="A2652" s="21">
        <f>ItensPedido!A2652</f>
        <v/>
      </c>
      <c r="B2652" s="21">
        <f>ItensPedido!B2652</f>
        <v/>
      </c>
      <c r="C2652" s="21">
        <f>ItensPedido!C2652</f>
        <v/>
      </c>
      <c r="D2652" s="21">
        <f>ItensPedido!D2652</f>
        <v/>
      </c>
      <c r="E2652" s="22">
        <f>ItensPedido!E2652</f>
        <v/>
      </c>
      <c r="F2652" s="21">
        <f>IFERROR(INDEX(Pedidos!$B$2:$B$1801,MATCH(B2652,Pedidos!$A$2:$A$1801,0)),0)</f>
        <v/>
      </c>
      <c r="G2652" s="21">
        <f>IF(F2652=0,"",YEAR(F2652))</f>
        <v/>
      </c>
      <c r="H2652" s="21">
        <f>IF(F2652=0,"",MONTH(F2652))</f>
        <v/>
      </c>
      <c r="I2652" s="21">
        <f>IFERROR(INDEX(Pedidos!$E$2:$E$1801,MATCH(B2652,Pedidos!$A$2:$A$1801,0)),"")</f>
        <v/>
      </c>
      <c r="J2652" s="21">
        <f>IFERROR(INDEX(Pedidos!$C$2:$C$1801,MATCH(B2652,Pedidos!$A$2:$A$1801,0)),"")</f>
        <v/>
      </c>
      <c r="K2652" s="21">
        <f>IFERROR(INDEX(Pedidos!$D$2:$D$1801,MATCH(B2652,Pedidos!$A$2:$A$1801,0)),"")</f>
        <v/>
      </c>
      <c r="L2652" s="21">
        <f>IFERROR(INDEX(Pedidos!$F$2:$F$1801,MATCH(B2652,Pedidos!$A$2:$A$1801,0)),"")</f>
        <v/>
      </c>
      <c r="M2652" s="22">
        <f>IFERROR(INDEX(Pedidos!$G$2:$G$1801,MATCH(B2652,Pedidos!$A$2:$A$1801,0)),0)</f>
        <v/>
      </c>
      <c r="N2652" s="21">
        <f>IFERROR(INDEX(Produtos!$B$2:$B$71,MATCH(C2652,Produtos!$A$2:$A$71,0)),"")</f>
        <v/>
      </c>
      <c r="O2652" s="21">
        <f>IFERROR(INDEX(Produtos!$C$2:$C$71,MATCH(C2652,Produtos!$A$2:$A$71,0)),"")</f>
        <v/>
      </c>
      <c r="P2652" s="21">
        <f>IFERROR(INDEX(Produtos!$D$2:$D$71,MATCH(C2652,Produtos!$A$2:$A$71,0)),0)</f>
        <v/>
      </c>
      <c r="Q2652" s="21">
        <f>IFERROR(INDEX(Produtos!$E$2:$E$71,MATCH(C2652,Produtos!$A$2:$A$71,0)),0)</f>
        <v/>
      </c>
      <c r="R2652" s="23">
        <f>D2652*Q2652</f>
        <v/>
      </c>
      <c r="S2652" s="23">
        <f>R2652*E2652</f>
        <v/>
      </c>
      <c r="T2652" s="23">
        <f>(R2652-S2652)*M2652</f>
        <v/>
      </c>
      <c r="U2652" s="23">
        <f>R2652-S2652-T2652</f>
        <v/>
      </c>
      <c r="V2652" s="23">
        <f>D2652*P2652</f>
        <v/>
      </c>
      <c r="W2652" s="23">
        <f>U2652-V2652</f>
        <v/>
      </c>
      <c r="X2652" s="24">
        <f>IFERROR(W2652/U2652,0)</f>
        <v/>
      </c>
    </row>
    <row r="2653">
      <c r="A2653" s="25">
        <f>ItensPedido!A2653</f>
        <v/>
      </c>
      <c r="B2653" s="25">
        <f>ItensPedido!B2653</f>
        <v/>
      </c>
      <c r="C2653" s="25">
        <f>ItensPedido!C2653</f>
        <v/>
      </c>
      <c r="D2653" s="25">
        <f>ItensPedido!D2653</f>
        <v/>
      </c>
      <c r="E2653" s="26">
        <f>ItensPedido!E2653</f>
        <v/>
      </c>
      <c r="F2653" s="25">
        <f>IFERROR(INDEX(Pedidos!$B$2:$B$1801,MATCH(B2653,Pedidos!$A$2:$A$1801,0)),0)</f>
        <v/>
      </c>
      <c r="G2653" s="25">
        <f>IF(F2653=0,"",YEAR(F2653))</f>
        <v/>
      </c>
      <c r="H2653" s="25">
        <f>IF(F2653=0,"",MONTH(F2653))</f>
        <v/>
      </c>
      <c r="I2653" s="25">
        <f>IFERROR(INDEX(Pedidos!$E$2:$E$1801,MATCH(B2653,Pedidos!$A$2:$A$1801,0)),"")</f>
        <v/>
      </c>
      <c r="J2653" s="25">
        <f>IFERROR(INDEX(Pedidos!$C$2:$C$1801,MATCH(B2653,Pedidos!$A$2:$A$1801,0)),"")</f>
        <v/>
      </c>
      <c r="K2653" s="25">
        <f>IFERROR(INDEX(Pedidos!$D$2:$D$1801,MATCH(B2653,Pedidos!$A$2:$A$1801,0)),"")</f>
        <v/>
      </c>
      <c r="L2653" s="25">
        <f>IFERROR(INDEX(Pedidos!$F$2:$F$1801,MATCH(B2653,Pedidos!$A$2:$A$1801,0)),"")</f>
        <v/>
      </c>
      <c r="M2653" s="26">
        <f>IFERROR(INDEX(Pedidos!$G$2:$G$1801,MATCH(B2653,Pedidos!$A$2:$A$1801,0)),0)</f>
        <v/>
      </c>
      <c r="N2653" s="25">
        <f>IFERROR(INDEX(Produtos!$B$2:$B$71,MATCH(C2653,Produtos!$A$2:$A$71,0)),"")</f>
        <v/>
      </c>
      <c r="O2653" s="25">
        <f>IFERROR(INDEX(Produtos!$C$2:$C$71,MATCH(C2653,Produtos!$A$2:$A$71,0)),"")</f>
        <v/>
      </c>
      <c r="P2653" s="25">
        <f>IFERROR(INDEX(Produtos!$D$2:$D$71,MATCH(C2653,Produtos!$A$2:$A$71,0)),0)</f>
        <v/>
      </c>
      <c r="Q2653" s="25">
        <f>IFERROR(INDEX(Produtos!$E$2:$E$71,MATCH(C2653,Produtos!$A$2:$A$71,0)),0)</f>
        <v/>
      </c>
      <c r="R2653" s="27">
        <f>D2653*Q2653</f>
        <v/>
      </c>
      <c r="S2653" s="27">
        <f>R2653*E2653</f>
        <v/>
      </c>
      <c r="T2653" s="27">
        <f>(R2653-S2653)*M2653</f>
        <v/>
      </c>
      <c r="U2653" s="27">
        <f>R2653-S2653-T2653</f>
        <v/>
      </c>
      <c r="V2653" s="27">
        <f>D2653*P2653</f>
        <v/>
      </c>
      <c r="W2653" s="27">
        <f>U2653-V2653</f>
        <v/>
      </c>
      <c r="X2653" s="28">
        <f>IFERROR(W2653/U2653,0)</f>
        <v/>
      </c>
    </row>
    <row r="2654">
      <c r="A2654" s="21">
        <f>ItensPedido!A2654</f>
        <v/>
      </c>
      <c r="B2654" s="21">
        <f>ItensPedido!B2654</f>
        <v/>
      </c>
      <c r="C2654" s="21">
        <f>ItensPedido!C2654</f>
        <v/>
      </c>
      <c r="D2654" s="21">
        <f>ItensPedido!D2654</f>
        <v/>
      </c>
      <c r="E2654" s="22">
        <f>ItensPedido!E2654</f>
        <v/>
      </c>
      <c r="F2654" s="21">
        <f>IFERROR(INDEX(Pedidos!$B$2:$B$1801,MATCH(B2654,Pedidos!$A$2:$A$1801,0)),0)</f>
        <v/>
      </c>
      <c r="G2654" s="21">
        <f>IF(F2654=0,"",YEAR(F2654))</f>
        <v/>
      </c>
      <c r="H2654" s="21">
        <f>IF(F2654=0,"",MONTH(F2654))</f>
        <v/>
      </c>
      <c r="I2654" s="21">
        <f>IFERROR(INDEX(Pedidos!$E$2:$E$1801,MATCH(B2654,Pedidos!$A$2:$A$1801,0)),"")</f>
        <v/>
      </c>
      <c r="J2654" s="21">
        <f>IFERROR(INDEX(Pedidos!$C$2:$C$1801,MATCH(B2654,Pedidos!$A$2:$A$1801,0)),"")</f>
        <v/>
      </c>
      <c r="K2654" s="21">
        <f>IFERROR(INDEX(Pedidos!$D$2:$D$1801,MATCH(B2654,Pedidos!$A$2:$A$1801,0)),"")</f>
        <v/>
      </c>
      <c r="L2654" s="21">
        <f>IFERROR(INDEX(Pedidos!$F$2:$F$1801,MATCH(B2654,Pedidos!$A$2:$A$1801,0)),"")</f>
        <v/>
      </c>
      <c r="M2654" s="22">
        <f>IFERROR(INDEX(Pedidos!$G$2:$G$1801,MATCH(B2654,Pedidos!$A$2:$A$1801,0)),0)</f>
        <v/>
      </c>
      <c r="N2654" s="21">
        <f>IFERROR(INDEX(Produtos!$B$2:$B$71,MATCH(C2654,Produtos!$A$2:$A$71,0)),"")</f>
        <v/>
      </c>
      <c r="O2654" s="21">
        <f>IFERROR(INDEX(Produtos!$C$2:$C$71,MATCH(C2654,Produtos!$A$2:$A$71,0)),"")</f>
        <v/>
      </c>
      <c r="P2654" s="21">
        <f>IFERROR(INDEX(Produtos!$D$2:$D$71,MATCH(C2654,Produtos!$A$2:$A$71,0)),0)</f>
        <v/>
      </c>
      <c r="Q2654" s="21">
        <f>IFERROR(INDEX(Produtos!$E$2:$E$71,MATCH(C2654,Produtos!$A$2:$A$71,0)),0)</f>
        <v/>
      </c>
      <c r="R2654" s="23">
        <f>D2654*Q2654</f>
        <v/>
      </c>
      <c r="S2654" s="23">
        <f>R2654*E2654</f>
        <v/>
      </c>
      <c r="T2654" s="23">
        <f>(R2654-S2654)*M2654</f>
        <v/>
      </c>
      <c r="U2654" s="23">
        <f>R2654-S2654-T2654</f>
        <v/>
      </c>
      <c r="V2654" s="23">
        <f>D2654*P2654</f>
        <v/>
      </c>
      <c r="W2654" s="23">
        <f>U2654-V2654</f>
        <v/>
      </c>
      <c r="X2654" s="24">
        <f>IFERROR(W2654/U2654,0)</f>
        <v/>
      </c>
    </row>
    <row r="2655">
      <c r="A2655" s="25">
        <f>ItensPedido!A2655</f>
        <v/>
      </c>
      <c r="B2655" s="25">
        <f>ItensPedido!B2655</f>
        <v/>
      </c>
      <c r="C2655" s="25">
        <f>ItensPedido!C2655</f>
        <v/>
      </c>
      <c r="D2655" s="25">
        <f>ItensPedido!D2655</f>
        <v/>
      </c>
      <c r="E2655" s="26">
        <f>ItensPedido!E2655</f>
        <v/>
      </c>
      <c r="F2655" s="25">
        <f>IFERROR(INDEX(Pedidos!$B$2:$B$1801,MATCH(B2655,Pedidos!$A$2:$A$1801,0)),0)</f>
        <v/>
      </c>
      <c r="G2655" s="25">
        <f>IF(F2655=0,"",YEAR(F2655))</f>
        <v/>
      </c>
      <c r="H2655" s="25">
        <f>IF(F2655=0,"",MONTH(F2655))</f>
        <v/>
      </c>
      <c r="I2655" s="25">
        <f>IFERROR(INDEX(Pedidos!$E$2:$E$1801,MATCH(B2655,Pedidos!$A$2:$A$1801,0)),"")</f>
        <v/>
      </c>
      <c r="J2655" s="25">
        <f>IFERROR(INDEX(Pedidos!$C$2:$C$1801,MATCH(B2655,Pedidos!$A$2:$A$1801,0)),"")</f>
        <v/>
      </c>
      <c r="K2655" s="25">
        <f>IFERROR(INDEX(Pedidos!$D$2:$D$1801,MATCH(B2655,Pedidos!$A$2:$A$1801,0)),"")</f>
        <v/>
      </c>
      <c r="L2655" s="25">
        <f>IFERROR(INDEX(Pedidos!$F$2:$F$1801,MATCH(B2655,Pedidos!$A$2:$A$1801,0)),"")</f>
        <v/>
      </c>
      <c r="M2655" s="26">
        <f>IFERROR(INDEX(Pedidos!$G$2:$G$1801,MATCH(B2655,Pedidos!$A$2:$A$1801,0)),0)</f>
        <v/>
      </c>
      <c r="N2655" s="25">
        <f>IFERROR(INDEX(Produtos!$B$2:$B$71,MATCH(C2655,Produtos!$A$2:$A$71,0)),"")</f>
        <v/>
      </c>
      <c r="O2655" s="25">
        <f>IFERROR(INDEX(Produtos!$C$2:$C$71,MATCH(C2655,Produtos!$A$2:$A$71,0)),"")</f>
        <v/>
      </c>
      <c r="P2655" s="25">
        <f>IFERROR(INDEX(Produtos!$D$2:$D$71,MATCH(C2655,Produtos!$A$2:$A$71,0)),0)</f>
        <v/>
      </c>
      <c r="Q2655" s="25">
        <f>IFERROR(INDEX(Produtos!$E$2:$E$71,MATCH(C2655,Produtos!$A$2:$A$71,0)),0)</f>
        <v/>
      </c>
      <c r="R2655" s="27">
        <f>D2655*Q2655</f>
        <v/>
      </c>
      <c r="S2655" s="27">
        <f>R2655*E2655</f>
        <v/>
      </c>
      <c r="T2655" s="27">
        <f>(R2655-S2655)*M2655</f>
        <v/>
      </c>
      <c r="U2655" s="27">
        <f>R2655-S2655-T2655</f>
        <v/>
      </c>
      <c r="V2655" s="27">
        <f>D2655*P2655</f>
        <v/>
      </c>
      <c r="W2655" s="27">
        <f>U2655-V2655</f>
        <v/>
      </c>
      <c r="X2655" s="28">
        <f>IFERROR(W2655/U2655,0)</f>
        <v/>
      </c>
    </row>
    <row r="2656">
      <c r="A2656" s="21">
        <f>ItensPedido!A2656</f>
        <v/>
      </c>
      <c r="B2656" s="21">
        <f>ItensPedido!B2656</f>
        <v/>
      </c>
      <c r="C2656" s="21">
        <f>ItensPedido!C2656</f>
        <v/>
      </c>
      <c r="D2656" s="21">
        <f>ItensPedido!D2656</f>
        <v/>
      </c>
      <c r="E2656" s="22">
        <f>ItensPedido!E2656</f>
        <v/>
      </c>
      <c r="F2656" s="21">
        <f>IFERROR(INDEX(Pedidos!$B$2:$B$1801,MATCH(B2656,Pedidos!$A$2:$A$1801,0)),0)</f>
        <v/>
      </c>
      <c r="G2656" s="21">
        <f>IF(F2656=0,"",YEAR(F2656))</f>
        <v/>
      </c>
      <c r="H2656" s="21">
        <f>IF(F2656=0,"",MONTH(F2656))</f>
        <v/>
      </c>
      <c r="I2656" s="21">
        <f>IFERROR(INDEX(Pedidos!$E$2:$E$1801,MATCH(B2656,Pedidos!$A$2:$A$1801,0)),"")</f>
        <v/>
      </c>
      <c r="J2656" s="21">
        <f>IFERROR(INDEX(Pedidos!$C$2:$C$1801,MATCH(B2656,Pedidos!$A$2:$A$1801,0)),"")</f>
        <v/>
      </c>
      <c r="K2656" s="21">
        <f>IFERROR(INDEX(Pedidos!$D$2:$D$1801,MATCH(B2656,Pedidos!$A$2:$A$1801,0)),"")</f>
        <v/>
      </c>
      <c r="L2656" s="21">
        <f>IFERROR(INDEX(Pedidos!$F$2:$F$1801,MATCH(B2656,Pedidos!$A$2:$A$1801,0)),"")</f>
        <v/>
      </c>
      <c r="M2656" s="22">
        <f>IFERROR(INDEX(Pedidos!$G$2:$G$1801,MATCH(B2656,Pedidos!$A$2:$A$1801,0)),0)</f>
        <v/>
      </c>
      <c r="N2656" s="21">
        <f>IFERROR(INDEX(Produtos!$B$2:$B$71,MATCH(C2656,Produtos!$A$2:$A$71,0)),"")</f>
        <v/>
      </c>
      <c r="O2656" s="21">
        <f>IFERROR(INDEX(Produtos!$C$2:$C$71,MATCH(C2656,Produtos!$A$2:$A$71,0)),"")</f>
        <v/>
      </c>
      <c r="P2656" s="21">
        <f>IFERROR(INDEX(Produtos!$D$2:$D$71,MATCH(C2656,Produtos!$A$2:$A$71,0)),0)</f>
        <v/>
      </c>
      <c r="Q2656" s="21">
        <f>IFERROR(INDEX(Produtos!$E$2:$E$71,MATCH(C2656,Produtos!$A$2:$A$71,0)),0)</f>
        <v/>
      </c>
      <c r="R2656" s="23">
        <f>D2656*Q2656</f>
        <v/>
      </c>
      <c r="S2656" s="23">
        <f>R2656*E2656</f>
        <v/>
      </c>
      <c r="T2656" s="23">
        <f>(R2656-S2656)*M2656</f>
        <v/>
      </c>
      <c r="U2656" s="23">
        <f>R2656-S2656-T2656</f>
        <v/>
      </c>
      <c r="V2656" s="23">
        <f>D2656*P2656</f>
        <v/>
      </c>
      <c r="W2656" s="23">
        <f>U2656-V2656</f>
        <v/>
      </c>
      <c r="X2656" s="24">
        <f>IFERROR(W2656/U2656,0)</f>
        <v/>
      </c>
    </row>
    <row r="2657">
      <c r="A2657" s="25">
        <f>ItensPedido!A2657</f>
        <v/>
      </c>
      <c r="B2657" s="25">
        <f>ItensPedido!B2657</f>
        <v/>
      </c>
      <c r="C2657" s="25">
        <f>ItensPedido!C2657</f>
        <v/>
      </c>
      <c r="D2657" s="25">
        <f>ItensPedido!D2657</f>
        <v/>
      </c>
      <c r="E2657" s="26">
        <f>ItensPedido!E2657</f>
        <v/>
      </c>
      <c r="F2657" s="25">
        <f>IFERROR(INDEX(Pedidos!$B$2:$B$1801,MATCH(B2657,Pedidos!$A$2:$A$1801,0)),0)</f>
        <v/>
      </c>
      <c r="G2657" s="25">
        <f>IF(F2657=0,"",YEAR(F2657))</f>
        <v/>
      </c>
      <c r="H2657" s="25">
        <f>IF(F2657=0,"",MONTH(F2657))</f>
        <v/>
      </c>
      <c r="I2657" s="25">
        <f>IFERROR(INDEX(Pedidos!$E$2:$E$1801,MATCH(B2657,Pedidos!$A$2:$A$1801,0)),"")</f>
        <v/>
      </c>
      <c r="J2657" s="25">
        <f>IFERROR(INDEX(Pedidos!$C$2:$C$1801,MATCH(B2657,Pedidos!$A$2:$A$1801,0)),"")</f>
        <v/>
      </c>
      <c r="K2657" s="25">
        <f>IFERROR(INDEX(Pedidos!$D$2:$D$1801,MATCH(B2657,Pedidos!$A$2:$A$1801,0)),"")</f>
        <v/>
      </c>
      <c r="L2657" s="25">
        <f>IFERROR(INDEX(Pedidos!$F$2:$F$1801,MATCH(B2657,Pedidos!$A$2:$A$1801,0)),"")</f>
        <v/>
      </c>
      <c r="M2657" s="26">
        <f>IFERROR(INDEX(Pedidos!$G$2:$G$1801,MATCH(B2657,Pedidos!$A$2:$A$1801,0)),0)</f>
        <v/>
      </c>
      <c r="N2657" s="25">
        <f>IFERROR(INDEX(Produtos!$B$2:$B$71,MATCH(C2657,Produtos!$A$2:$A$71,0)),"")</f>
        <v/>
      </c>
      <c r="O2657" s="25">
        <f>IFERROR(INDEX(Produtos!$C$2:$C$71,MATCH(C2657,Produtos!$A$2:$A$71,0)),"")</f>
        <v/>
      </c>
      <c r="P2657" s="25">
        <f>IFERROR(INDEX(Produtos!$D$2:$D$71,MATCH(C2657,Produtos!$A$2:$A$71,0)),0)</f>
        <v/>
      </c>
      <c r="Q2657" s="25">
        <f>IFERROR(INDEX(Produtos!$E$2:$E$71,MATCH(C2657,Produtos!$A$2:$A$71,0)),0)</f>
        <v/>
      </c>
      <c r="R2657" s="27">
        <f>D2657*Q2657</f>
        <v/>
      </c>
      <c r="S2657" s="27">
        <f>R2657*E2657</f>
        <v/>
      </c>
      <c r="T2657" s="27">
        <f>(R2657-S2657)*M2657</f>
        <v/>
      </c>
      <c r="U2657" s="27">
        <f>R2657-S2657-T2657</f>
        <v/>
      </c>
      <c r="V2657" s="27">
        <f>D2657*P2657</f>
        <v/>
      </c>
      <c r="W2657" s="27">
        <f>U2657-V2657</f>
        <v/>
      </c>
      <c r="X2657" s="28">
        <f>IFERROR(W2657/U2657,0)</f>
        <v/>
      </c>
    </row>
    <row r="2658">
      <c r="A2658" s="21">
        <f>ItensPedido!A2658</f>
        <v/>
      </c>
      <c r="B2658" s="21">
        <f>ItensPedido!B2658</f>
        <v/>
      </c>
      <c r="C2658" s="21">
        <f>ItensPedido!C2658</f>
        <v/>
      </c>
      <c r="D2658" s="21">
        <f>ItensPedido!D2658</f>
        <v/>
      </c>
      <c r="E2658" s="22">
        <f>ItensPedido!E2658</f>
        <v/>
      </c>
      <c r="F2658" s="21">
        <f>IFERROR(INDEX(Pedidos!$B$2:$B$1801,MATCH(B2658,Pedidos!$A$2:$A$1801,0)),0)</f>
        <v/>
      </c>
      <c r="G2658" s="21">
        <f>IF(F2658=0,"",YEAR(F2658))</f>
        <v/>
      </c>
      <c r="H2658" s="21">
        <f>IF(F2658=0,"",MONTH(F2658))</f>
        <v/>
      </c>
      <c r="I2658" s="21">
        <f>IFERROR(INDEX(Pedidos!$E$2:$E$1801,MATCH(B2658,Pedidos!$A$2:$A$1801,0)),"")</f>
        <v/>
      </c>
      <c r="J2658" s="21">
        <f>IFERROR(INDEX(Pedidos!$C$2:$C$1801,MATCH(B2658,Pedidos!$A$2:$A$1801,0)),"")</f>
        <v/>
      </c>
      <c r="K2658" s="21">
        <f>IFERROR(INDEX(Pedidos!$D$2:$D$1801,MATCH(B2658,Pedidos!$A$2:$A$1801,0)),"")</f>
        <v/>
      </c>
      <c r="L2658" s="21">
        <f>IFERROR(INDEX(Pedidos!$F$2:$F$1801,MATCH(B2658,Pedidos!$A$2:$A$1801,0)),"")</f>
        <v/>
      </c>
      <c r="M2658" s="22">
        <f>IFERROR(INDEX(Pedidos!$G$2:$G$1801,MATCH(B2658,Pedidos!$A$2:$A$1801,0)),0)</f>
        <v/>
      </c>
      <c r="N2658" s="21">
        <f>IFERROR(INDEX(Produtos!$B$2:$B$71,MATCH(C2658,Produtos!$A$2:$A$71,0)),"")</f>
        <v/>
      </c>
      <c r="O2658" s="21">
        <f>IFERROR(INDEX(Produtos!$C$2:$C$71,MATCH(C2658,Produtos!$A$2:$A$71,0)),"")</f>
        <v/>
      </c>
      <c r="P2658" s="21">
        <f>IFERROR(INDEX(Produtos!$D$2:$D$71,MATCH(C2658,Produtos!$A$2:$A$71,0)),0)</f>
        <v/>
      </c>
      <c r="Q2658" s="21">
        <f>IFERROR(INDEX(Produtos!$E$2:$E$71,MATCH(C2658,Produtos!$A$2:$A$71,0)),0)</f>
        <v/>
      </c>
      <c r="R2658" s="23">
        <f>D2658*Q2658</f>
        <v/>
      </c>
      <c r="S2658" s="23">
        <f>R2658*E2658</f>
        <v/>
      </c>
      <c r="T2658" s="23">
        <f>(R2658-S2658)*M2658</f>
        <v/>
      </c>
      <c r="U2658" s="23">
        <f>R2658-S2658-T2658</f>
        <v/>
      </c>
      <c r="V2658" s="23">
        <f>D2658*P2658</f>
        <v/>
      </c>
      <c r="W2658" s="23">
        <f>U2658-V2658</f>
        <v/>
      </c>
      <c r="X2658" s="24">
        <f>IFERROR(W2658/U2658,0)</f>
        <v/>
      </c>
    </row>
    <row r="2659">
      <c r="A2659" s="25">
        <f>ItensPedido!A2659</f>
        <v/>
      </c>
      <c r="B2659" s="25">
        <f>ItensPedido!B2659</f>
        <v/>
      </c>
      <c r="C2659" s="25">
        <f>ItensPedido!C2659</f>
        <v/>
      </c>
      <c r="D2659" s="25">
        <f>ItensPedido!D2659</f>
        <v/>
      </c>
      <c r="E2659" s="26">
        <f>ItensPedido!E2659</f>
        <v/>
      </c>
      <c r="F2659" s="25">
        <f>IFERROR(INDEX(Pedidos!$B$2:$B$1801,MATCH(B2659,Pedidos!$A$2:$A$1801,0)),0)</f>
        <v/>
      </c>
      <c r="G2659" s="25">
        <f>IF(F2659=0,"",YEAR(F2659))</f>
        <v/>
      </c>
      <c r="H2659" s="25">
        <f>IF(F2659=0,"",MONTH(F2659))</f>
        <v/>
      </c>
      <c r="I2659" s="25">
        <f>IFERROR(INDEX(Pedidos!$E$2:$E$1801,MATCH(B2659,Pedidos!$A$2:$A$1801,0)),"")</f>
        <v/>
      </c>
      <c r="J2659" s="25">
        <f>IFERROR(INDEX(Pedidos!$C$2:$C$1801,MATCH(B2659,Pedidos!$A$2:$A$1801,0)),"")</f>
        <v/>
      </c>
      <c r="K2659" s="25">
        <f>IFERROR(INDEX(Pedidos!$D$2:$D$1801,MATCH(B2659,Pedidos!$A$2:$A$1801,0)),"")</f>
        <v/>
      </c>
      <c r="L2659" s="25">
        <f>IFERROR(INDEX(Pedidos!$F$2:$F$1801,MATCH(B2659,Pedidos!$A$2:$A$1801,0)),"")</f>
        <v/>
      </c>
      <c r="M2659" s="26">
        <f>IFERROR(INDEX(Pedidos!$G$2:$G$1801,MATCH(B2659,Pedidos!$A$2:$A$1801,0)),0)</f>
        <v/>
      </c>
      <c r="N2659" s="25">
        <f>IFERROR(INDEX(Produtos!$B$2:$B$71,MATCH(C2659,Produtos!$A$2:$A$71,0)),"")</f>
        <v/>
      </c>
      <c r="O2659" s="25">
        <f>IFERROR(INDEX(Produtos!$C$2:$C$71,MATCH(C2659,Produtos!$A$2:$A$71,0)),"")</f>
        <v/>
      </c>
      <c r="P2659" s="25">
        <f>IFERROR(INDEX(Produtos!$D$2:$D$71,MATCH(C2659,Produtos!$A$2:$A$71,0)),0)</f>
        <v/>
      </c>
      <c r="Q2659" s="25">
        <f>IFERROR(INDEX(Produtos!$E$2:$E$71,MATCH(C2659,Produtos!$A$2:$A$71,0)),0)</f>
        <v/>
      </c>
      <c r="R2659" s="27">
        <f>D2659*Q2659</f>
        <v/>
      </c>
      <c r="S2659" s="27">
        <f>R2659*E2659</f>
        <v/>
      </c>
      <c r="T2659" s="27">
        <f>(R2659-S2659)*M2659</f>
        <v/>
      </c>
      <c r="U2659" s="27">
        <f>R2659-S2659-T2659</f>
        <v/>
      </c>
      <c r="V2659" s="27">
        <f>D2659*P2659</f>
        <v/>
      </c>
      <c r="W2659" s="27">
        <f>U2659-V2659</f>
        <v/>
      </c>
      <c r="X2659" s="28">
        <f>IFERROR(W2659/U2659,0)</f>
        <v/>
      </c>
    </row>
    <row r="2660">
      <c r="A2660" s="21">
        <f>ItensPedido!A2660</f>
        <v/>
      </c>
      <c r="B2660" s="21">
        <f>ItensPedido!B2660</f>
        <v/>
      </c>
      <c r="C2660" s="21">
        <f>ItensPedido!C2660</f>
        <v/>
      </c>
      <c r="D2660" s="21">
        <f>ItensPedido!D2660</f>
        <v/>
      </c>
      <c r="E2660" s="22">
        <f>ItensPedido!E2660</f>
        <v/>
      </c>
      <c r="F2660" s="21">
        <f>IFERROR(INDEX(Pedidos!$B$2:$B$1801,MATCH(B2660,Pedidos!$A$2:$A$1801,0)),0)</f>
        <v/>
      </c>
      <c r="G2660" s="21">
        <f>IF(F2660=0,"",YEAR(F2660))</f>
        <v/>
      </c>
      <c r="H2660" s="21">
        <f>IF(F2660=0,"",MONTH(F2660))</f>
        <v/>
      </c>
      <c r="I2660" s="21">
        <f>IFERROR(INDEX(Pedidos!$E$2:$E$1801,MATCH(B2660,Pedidos!$A$2:$A$1801,0)),"")</f>
        <v/>
      </c>
      <c r="J2660" s="21">
        <f>IFERROR(INDEX(Pedidos!$C$2:$C$1801,MATCH(B2660,Pedidos!$A$2:$A$1801,0)),"")</f>
        <v/>
      </c>
      <c r="K2660" s="21">
        <f>IFERROR(INDEX(Pedidos!$D$2:$D$1801,MATCH(B2660,Pedidos!$A$2:$A$1801,0)),"")</f>
        <v/>
      </c>
      <c r="L2660" s="21">
        <f>IFERROR(INDEX(Pedidos!$F$2:$F$1801,MATCH(B2660,Pedidos!$A$2:$A$1801,0)),"")</f>
        <v/>
      </c>
      <c r="M2660" s="22">
        <f>IFERROR(INDEX(Pedidos!$G$2:$G$1801,MATCH(B2660,Pedidos!$A$2:$A$1801,0)),0)</f>
        <v/>
      </c>
      <c r="N2660" s="21">
        <f>IFERROR(INDEX(Produtos!$B$2:$B$71,MATCH(C2660,Produtos!$A$2:$A$71,0)),"")</f>
        <v/>
      </c>
      <c r="O2660" s="21">
        <f>IFERROR(INDEX(Produtos!$C$2:$C$71,MATCH(C2660,Produtos!$A$2:$A$71,0)),"")</f>
        <v/>
      </c>
      <c r="P2660" s="21">
        <f>IFERROR(INDEX(Produtos!$D$2:$D$71,MATCH(C2660,Produtos!$A$2:$A$71,0)),0)</f>
        <v/>
      </c>
      <c r="Q2660" s="21">
        <f>IFERROR(INDEX(Produtos!$E$2:$E$71,MATCH(C2660,Produtos!$A$2:$A$71,0)),0)</f>
        <v/>
      </c>
      <c r="R2660" s="23">
        <f>D2660*Q2660</f>
        <v/>
      </c>
      <c r="S2660" s="23">
        <f>R2660*E2660</f>
        <v/>
      </c>
      <c r="T2660" s="23">
        <f>(R2660-S2660)*M2660</f>
        <v/>
      </c>
      <c r="U2660" s="23">
        <f>R2660-S2660-T2660</f>
        <v/>
      </c>
      <c r="V2660" s="23">
        <f>D2660*P2660</f>
        <v/>
      </c>
      <c r="W2660" s="23">
        <f>U2660-V2660</f>
        <v/>
      </c>
      <c r="X2660" s="24">
        <f>IFERROR(W2660/U2660,0)</f>
        <v/>
      </c>
    </row>
    <row r="2661">
      <c r="A2661" s="25">
        <f>ItensPedido!A2661</f>
        <v/>
      </c>
      <c r="B2661" s="25">
        <f>ItensPedido!B2661</f>
        <v/>
      </c>
      <c r="C2661" s="25">
        <f>ItensPedido!C2661</f>
        <v/>
      </c>
      <c r="D2661" s="25">
        <f>ItensPedido!D2661</f>
        <v/>
      </c>
      <c r="E2661" s="26">
        <f>ItensPedido!E2661</f>
        <v/>
      </c>
      <c r="F2661" s="25">
        <f>IFERROR(INDEX(Pedidos!$B$2:$B$1801,MATCH(B2661,Pedidos!$A$2:$A$1801,0)),0)</f>
        <v/>
      </c>
      <c r="G2661" s="25">
        <f>IF(F2661=0,"",YEAR(F2661))</f>
        <v/>
      </c>
      <c r="H2661" s="25">
        <f>IF(F2661=0,"",MONTH(F2661))</f>
        <v/>
      </c>
      <c r="I2661" s="25">
        <f>IFERROR(INDEX(Pedidos!$E$2:$E$1801,MATCH(B2661,Pedidos!$A$2:$A$1801,0)),"")</f>
        <v/>
      </c>
      <c r="J2661" s="25">
        <f>IFERROR(INDEX(Pedidos!$C$2:$C$1801,MATCH(B2661,Pedidos!$A$2:$A$1801,0)),"")</f>
        <v/>
      </c>
      <c r="K2661" s="25">
        <f>IFERROR(INDEX(Pedidos!$D$2:$D$1801,MATCH(B2661,Pedidos!$A$2:$A$1801,0)),"")</f>
        <v/>
      </c>
      <c r="L2661" s="25">
        <f>IFERROR(INDEX(Pedidos!$F$2:$F$1801,MATCH(B2661,Pedidos!$A$2:$A$1801,0)),"")</f>
        <v/>
      </c>
      <c r="M2661" s="26">
        <f>IFERROR(INDEX(Pedidos!$G$2:$G$1801,MATCH(B2661,Pedidos!$A$2:$A$1801,0)),0)</f>
        <v/>
      </c>
      <c r="N2661" s="25">
        <f>IFERROR(INDEX(Produtos!$B$2:$B$71,MATCH(C2661,Produtos!$A$2:$A$71,0)),"")</f>
        <v/>
      </c>
      <c r="O2661" s="25">
        <f>IFERROR(INDEX(Produtos!$C$2:$C$71,MATCH(C2661,Produtos!$A$2:$A$71,0)),"")</f>
        <v/>
      </c>
      <c r="P2661" s="25">
        <f>IFERROR(INDEX(Produtos!$D$2:$D$71,MATCH(C2661,Produtos!$A$2:$A$71,0)),0)</f>
        <v/>
      </c>
      <c r="Q2661" s="25">
        <f>IFERROR(INDEX(Produtos!$E$2:$E$71,MATCH(C2661,Produtos!$A$2:$A$71,0)),0)</f>
        <v/>
      </c>
      <c r="R2661" s="27">
        <f>D2661*Q2661</f>
        <v/>
      </c>
      <c r="S2661" s="27">
        <f>R2661*E2661</f>
        <v/>
      </c>
      <c r="T2661" s="27">
        <f>(R2661-S2661)*M2661</f>
        <v/>
      </c>
      <c r="U2661" s="27">
        <f>R2661-S2661-T2661</f>
        <v/>
      </c>
      <c r="V2661" s="27">
        <f>D2661*P2661</f>
        <v/>
      </c>
      <c r="W2661" s="27">
        <f>U2661-V2661</f>
        <v/>
      </c>
      <c r="X2661" s="28">
        <f>IFERROR(W2661/U2661,0)</f>
        <v/>
      </c>
    </row>
    <row r="2662">
      <c r="A2662" s="21">
        <f>ItensPedido!A2662</f>
        <v/>
      </c>
      <c r="B2662" s="21">
        <f>ItensPedido!B2662</f>
        <v/>
      </c>
      <c r="C2662" s="21">
        <f>ItensPedido!C2662</f>
        <v/>
      </c>
      <c r="D2662" s="21">
        <f>ItensPedido!D2662</f>
        <v/>
      </c>
      <c r="E2662" s="22">
        <f>ItensPedido!E2662</f>
        <v/>
      </c>
      <c r="F2662" s="21">
        <f>IFERROR(INDEX(Pedidos!$B$2:$B$1801,MATCH(B2662,Pedidos!$A$2:$A$1801,0)),0)</f>
        <v/>
      </c>
      <c r="G2662" s="21">
        <f>IF(F2662=0,"",YEAR(F2662))</f>
        <v/>
      </c>
      <c r="H2662" s="21">
        <f>IF(F2662=0,"",MONTH(F2662))</f>
        <v/>
      </c>
      <c r="I2662" s="21">
        <f>IFERROR(INDEX(Pedidos!$E$2:$E$1801,MATCH(B2662,Pedidos!$A$2:$A$1801,0)),"")</f>
        <v/>
      </c>
      <c r="J2662" s="21">
        <f>IFERROR(INDEX(Pedidos!$C$2:$C$1801,MATCH(B2662,Pedidos!$A$2:$A$1801,0)),"")</f>
        <v/>
      </c>
      <c r="K2662" s="21">
        <f>IFERROR(INDEX(Pedidos!$D$2:$D$1801,MATCH(B2662,Pedidos!$A$2:$A$1801,0)),"")</f>
        <v/>
      </c>
      <c r="L2662" s="21">
        <f>IFERROR(INDEX(Pedidos!$F$2:$F$1801,MATCH(B2662,Pedidos!$A$2:$A$1801,0)),"")</f>
        <v/>
      </c>
      <c r="M2662" s="22">
        <f>IFERROR(INDEX(Pedidos!$G$2:$G$1801,MATCH(B2662,Pedidos!$A$2:$A$1801,0)),0)</f>
        <v/>
      </c>
      <c r="N2662" s="21">
        <f>IFERROR(INDEX(Produtos!$B$2:$B$71,MATCH(C2662,Produtos!$A$2:$A$71,0)),"")</f>
        <v/>
      </c>
      <c r="O2662" s="21">
        <f>IFERROR(INDEX(Produtos!$C$2:$C$71,MATCH(C2662,Produtos!$A$2:$A$71,0)),"")</f>
        <v/>
      </c>
      <c r="P2662" s="21">
        <f>IFERROR(INDEX(Produtos!$D$2:$D$71,MATCH(C2662,Produtos!$A$2:$A$71,0)),0)</f>
        <v/>
      </c>
      <c r="Q2662" s="21">
        <f>IFERROR(INDEX(Produtos!$E$2:$E$71,MATCH(C2662,Produtos!$A$2:$A$71,0)),0)</f>
        <v/>
      </c>
      <c r="R2662" s="23">
        <f>D2662*Q2662</f>
        <v/>
      </c>
      <c r="S2662" s="23">
        <f>R2662*E2662</f>
        <v/>
      </c>
      <c r="T2662" s="23">
        <f>(R2662-S2662)*M2662</f>
        <v/>
      </c>
      <c r="U2662" s="23">
        <f>R2662-S2662-T2662</f>
        <v/>
      </c>
      <c r="V2662" s="23">
        <f>D2662*P2662</f>
        <v/>
      </c>
      <c r="W2662" s="23">
        <f>U2662-V2662</f>
        <v/>
      </c>
      <c r="X2662" s="24">
        <f>IFERROR(W2662/U2662,0)</f>
        <v/>
      </c>
    </row>
    <row r="2663">
      <c r="A2663" s="25">
        <f>ItensPedido!A2663</f>
        <v/>
      </c>
      <c r="B2663" s="25">
        <f>ItensPedido!B2663</f>
        <v/>
      </c>
      <c r="C2663" s="25">
        <f>ItensPedido!C2663</f>
        <v/>
      </c>
      <c r="D2663" s="25">
        <f>ItensPedido!D2663</f>
        <v/>
      </c>
      <c r="E2663" s="26">
        <f>ItensPedido!E2663</f>
        <v/>
      </c>
      <c r="F2663" s="25">
        <f>IFERROR(INDEX(Pedidos!$B$2:$B$1801,MATCH(B2663,Pedidos!$A$2:$A$1801,0)),0)</f>
        <v/>
      </c>
      <c r="G2663" s="25">
        <f>IF(F2663=0,"",YEAR(F2663))</f>
        <v/>
      </c>
      <c r="H2663" s="25">
        <f>IF(F2663=0,"",MONTH(F2663))</f>
        <v/>
      </c>
      <c r="I2663" s="25">
        <f>IFERROR(INDEX(Pedidos!$E$2:$E$1801,MATCH(B2663,Pedidos!$A$2:$A$1801,0)),"")</f>
        <v/>
      </c>
      <c r="J2663" s="25">
        <f>IFERROR(INDEX(Pedidos!$C$2:$C$1801,MATCH(B2663,Pedidos!$A$2:$A$1801,0)),"")</f>
        <v/>
      </c>
      <c r="K2663" s="25">
        <f>IFERROR(INDEX(Pedidos!$D$2:$D$1801,MATCH(B2663,Pedidos!$A$2:$A$1801,0)),"")</f>
        <v/>
      </c>
      <c r="L2663" s="25">
        <f>IFERROR(INDEX(Pedidos!$F$2:$F$1801,MATCH(B2663,Pedidos!$A$2:$A$1801,0)),"")</f>
        <v/>
      </c>
      <c r="M2663" s="26">
        <f>IFERROR(INDEX(Pedidos!$G$2:$G$1801,MATCH(B2663,Pedidos!$A$2:$A$1801,0)),0)</f>
        <v/>
      </c>
      <c r="N2663" s="25">
        <f>IFERROR(INDEX(Produtos!$B$2:$B$71,MATCH(C2663,Produtos!$A$2:$A$71,0)),"")</f>
        <v/>
      </c>
      <c r="O2663" s="25">
        <f>IFERROR(INDEX(Produtos!$C$2:$C$71,MATCH(C2663,Produtos!$A$2:$A$71,0)),"")</f>
        <v/>
      </c>
      <c r="P2663" s="25">
        <f>IFERROR(INDEX(Produtos!$D$2:$D$71,MATCH(C2663,Produtos!$A$2:$A$71,0)),0)</f>
        <v/>
      </c>
      <c r="Q2663" s="25">
        <f>IFERROR(INDEX(Produtos!$E$2:$E$71,MATCH(C2663,Produtos!$A$2:$A$71,0)),0)</f>
        <v/>
      </c>
      <c r="R2663" s="27">
        <f>D2663*Q2663</f>
        <v/>
      </c>
      <c r="S2663" s="27">
        <f>R2663*E2663</f>
        <v/>
      </c>
      <c r="T2663" s="27">
        <f>(R2663-S2663)*M2663</f>
        <v/>
      </c>
      <c r="U2663" s="27">
        <f>R2663-S2663-T2663</f>
        <v/>
      </c>
      <c r="V2663" s="27">
        <f>D2663*P2663</f>
        <v/>
      </c>
      <c r="W2663" s="27">
        <f>U2663-V2663</f>
        <v/>
      </c>
      <c r="X2663" s="28">
        <f>IFERROR(W2663/U2663,0)</f>
        <v/>
      </c>
    </row>
    <row r="2664">
      <c r="A2664" s="21">
        <f>ItensPedido!A2664</f>
        <v/>
      </c>
      <c r="B2664" s="21">
        <f>ItensPedido!B2664</f>
        <v/>
      </c>
      <c r="C2664" s="21">
        <f>ItensPedido!C2664</f>
        <v/>
      </c>
      <c r="D2664" s="21">
        <f>ItensPedido!D2664</f>
        <v/>
      </c>
      <c r="E2664" s="22">
        <f>ItensPedido!E2664</f>
        <v/>
      </c>
      <c r="F2664" s="21">
        <f>IFERROR(INDEX(Pedidos!$B$2:$B$1801,MATCH(B2664,Pedidos!$A$2:$A$1801,0)),0)</f>
        <v/>
      </c>
      <c r="G2664" s="21">
        <f>IF(F2664=0,"",YEAR(F2664))</f>
        <v/>
      </c>
      <c r="H2664" s="21">
        <f>IF(F2664=0,"",MONTH(F2664))</f>
        <v/>
      </c>
      <c r="I2664" s="21">
        <f>IFERROR(INDEX(Pedidos!$E$2:$E$1801,MATCH(B2664,Pedidos!$A$2:$A$1801,0)),"")</f>
        <v/>
      </c>
      <c r="J2664" s="21">
        <f>IFERROR(INDEX(Pedidos!$C$2:$C$1801,MATCH(B2664,Pedidos!$A$2:$A$1801,0)),"")</f>
        <v/>
      </c>
      <c r="K2664" s="21">
        <f>IFERROR(INDEX(Pedidos!$D$2:$D$1801,MATCH(B2664,Pedidos!$A$2:$A$1801,0)),"")</f>
        <v/>
      </c>
      <c r="L2664" s="21">
        <f>IFERROR(INDEX(Pedidos!$F$2:$F$1801,MATCH(B2664,Pedidos!$A$2:$A$1801,0)),"")</f>
        <v/>
      </c>
      <c r="M2664" s="22">
        <f>IFERROR(INDEX(Pedidos!$G$2:$G$1801,MATCH(B2664,Pedidos!$A$2:$A$1801,0)),0)</f>
        <v/>
      </c>
      <c r="N2664" s="21">
        <f>IFERROR(INDEX(Produtos!$B$2:$B$71,MATCH(C2664,Produtos!$A$2:$A$71,0)),"")</f>
        <v/>
      </c>
      <c r="O2664" s="21">
        <f>IFERROR(INDEX(Produtos!$C$2:$C$71,MATCH(C2664,Produtos!$A$2:$A$71,0)),"")</f>
        <v/>
      </c>
      <c r="P2664" s="21">
        <f>IFERROR(INDEX(Produtos!$D$2:$D$71,MATCH(C2664,Produtos!$A$2:$A$71,0)),0)</f>
        <v/>
      </c>
      <c r="Q2664" s="21">
        <f>IFERROR(INDEX(Produtos!$E$2:$E$71,MATCH(C2664,Produtos!$A$2:$A$71,0)),0)</f>
        <v/>
      </c>
      <c r="R2664" s="23">
        <f>D2664*Q2664</f>
        <v/>
      </c>
      <c r="S2664" s="23">
        <f>R2664*E2664</f>
        <v/>
      </c>
      <c r="T2664" s="23">
        <f>(R2664-S2664)*M2664</f>
        <v/>
      </c>
      <c r="U2664" s="23">
        <f>R2664-S2664-T2664</f>
        <v/>
      </c>
      <c r="V2664" s="23">
        <f>D2664*P2664</f>
        <v/>
      </c>
      <c r="W2664" s="23">
        <f>U2664-V2664</f>
        <v/>
      </c>
      <c r="X2664" s="24">
        <f>IFERROR(W2664/U2664,0)</f>
        <v/>
      </c>
    </row>
    <row r="2665">
      <c r="A2665" s="25">
        <f>ItensPedido!A2665</f>
        <v/>
      </c>
      <c r="B2665" s="25">
        <f>ItensPedido!B2665</f>
        <v/>
      </c>
      <c r="C2665" s="25">
        <f>ItensPedido!C2665</f>
        <v/>
      </c>
      <c r="D2665" s="25">
        <f>ItensPedido!D2665</f>
        <v/>
      </c>
      <c r="E2665" s="26">
        <f>ItensPedido!E2665</f>
        <v/>
      </c>
      <c r="F2665" s="25">
        <f>IFERROR(INDEX(Pedidos!$B$2:$B$1801,MATCH(B2665,Pedidos!$A$2:$A$1801,0)),0)</f>
        <v/>
      </c>
      <c r="G2665" s="25">
        <f>IF(F2665=0,"",YEAR(F2665))</f>
        <v/>
      </c>
      <c r="H2665" s="25">
        <f>IF(F2665=0,"",MONTH(F2665))</f>
        <v/>
      </c>
      <c r="I2665" s="25">
        <f>IFERROR(INDEX(Pedidos!$E$2:$E$1801,MATCH(B2665,Pedidos!$A$2:$A$1801,0)),"")</f>
        <v/>
      </c>
      <c r="J2665" s="25">
        <f>IFERROR(INDEX(Pedidos!$C$2:$C$1801,MATCH(B2665,Pedidos!$A$2:$A$1801,0)),"")</f>
        <v/>
      </c>
      <c r="K2665" s="25">
        <f>IFERROR(INDEX(Pedidos!$D$2:$D$1801,MATCH(B2665,Pedidos!$A$2:$A$1801,0)),"")</f>
        <v/>
      </c>
      <c r="L2665" s="25">
        <f>IFERROR(INDEX(Pedidos!$F$2:$F$1801,MATCH(B2665,Pedidos!$A$2:$A$1801,0)),"")</f>
        <v/>
      </c>
      <c r="M2665" s="26">
        <f>IFERROR(INDEX(Pedidos!$G$2:$G$1801,MATCH(B2665,Pedidos!$A$2:$A$1801,0)),0)</f>
        <v/>
      </c>
      <c r="N2665" s="25">
        <f>IFERROR(INDEX(Produtos!$B$2:$B$71,MATCH(C2665,Produtos!$A$2:$A$71,0)),"")</f>
        <v/>
      </c>
      <c r="O2665" s="25">
        <f>IFERROR(INDEX(Produtos!$C$2:$C$71,MATCH(C2665,Produtos!$A$2:$A$71,0)),"")</f>
        <v/>
      </c>
      <c r="P2665" s="25">
        <f>IFERROR(INDEX(Produtos!$D$2:$D$71,MATCH(C2665,Produtos!$A$2:$A$71,0)),0)</f>
        <v/>
      </c>
      <c r="Q2665" s="25">
        <f>IFERROR(INDEX(Produtos!$E$2:$E$71,MATCH(C2665,Produtos!$A$2:$A$71,0)),0)</f>
        <v/>
      </c>
      <c r="R2665" s="27">
        <f>D2665*Q2665</f>
        <v/>
      </c>
      <c r="S2665" s="27">
        <f>R2665*E2665</f>
        <v/>
      </c>
      <c r="T2665" s="27">
        <f>(R2665-S2665)*M2665</f>
        <v/>
      </c>
      <c r="U2665" s="27">
        <f>R2665-S2665-T2665</f>
        <v/>
      </c>
      <c r="V2665" s="27">
        <f>D2665*P2665</f>
        <v/>
      </c>
      <c r="W2665" s="27">
        <f>U2665-V2665</f>
        <v/>
      </c>
      <c r="X2665" s="28">
        <f>IFERROR(W2665/U2665,0)</f>
        <v/>
      </c>
    </row>
    <row r="2666">
      <c r="A2666" s="21">
        <f>ItensPedido!A2666</f>
        <v/>
      </c>
      <c r="B2666" s="21">
        <f>ItensPedido!B2666</f>
        <v/>
      </c>
      <c r="C2666" s="21">
        <f>ItensPedido!C2666</f>
        <v/>
      </c>
      <c r="D2666" s="21">
        <f>ItensPedido!D2666</f>
        <v/>
      </c>
      <c r="E2666" s="22">
        <f>ItensPedido!E2666</f>
        <v/>
      </c>
      <c r="F2666" s="21">
        <f>IFERROR(INDEX(Pedidos!$B$2:$B$1801,MATCH(B2666,Pedidos!$A$2:$A$1801,0)),0)</f>
        <v/>
      </c>
      <c r="G2666" s="21">
        <f>IF(F2666=0,"",YEAR(F2666))</f>
        <v/>
      </c>
      <c r="H2666" s="21">
        <f>IF(F2666=0,"",MONTH(F2666))</f>
        <v/>
      </c>
      <c r="I2666" s="21">
        <f>IFERROR(INDEX(Pedidos!$E$2:$E$1801,MATCH(B2666,Pedidos!$A$2:$A$1801,0)),"")</f>
        <v/>
      </c>
      <c r="J2666" s="21">
        <f>IFERROR(INDEX(Pedidos!$C$2:$C$1801,MATCH(B2666,Pedidos!$A$2:$A$1801,0)),"")</f>
        <v/>
      </c>
      <c r="K2666" s="21">
        <f>IFERROR(INDEX(Pedidos!$D$2:$D$1801,MATCH(B2666,Pedidos!$A$2:$A$1801,0)),"")</f>
        <v/>
      </c>
      <c r="L2666" s="21">
        <f>IFERROR(INDEX(Pedidos!$F$2:$F$1801,MATCH(B2666,Pedidos!$A$2:$A$1801,0)),"")</f>
        <v/>
      </c>
      <c r="M2666" s="22">
        <f>IFERROR(INDEX(Pedidos!$G$2:$G$1801,MATCH(B2666,Pedidos!$A$2:$A$1801,0)),0)</f>
        <v/>
      </c>
      <c r="N2666" s="21">
        <f>IFERROR(INDEX(Produtos!$B$2:$B$71,MATCH(C2666,Produtos!$A$2:$A$71,0)),"")</f>
        <v/>
      </c>
      <c r="O2666" s="21">
        <f>IFERROR(INDEX(Produtos!$C$2:$C$71,MATCH(C2666,Produtos!$A$2:$A$71,0)),"")</f>
        <v/>
      </c>
      <c r="P2666" s="21">
        <f>IFERROR(INDEX(Produtos!$D$2:$D$71,MATCH(C2666,Produtos!$A$2:$A$71,0)),0)</f>
        <v/>
      </c>
      <c r="Q2666" s="21">
        <f>IFERROR(INDEX(Produtos!$E$2:$E$71,MATCH(C2666,Produtos!$A$2:$A$71,0)),0)</f>
        <v/>
      </c>
      <c r="R2666" s="23">
        <f>D2666*Q2666</f>
        <v/>
      </c>
      <c r="S2666" s="23">
        <f>R2666*E2666</f>
        <v/>
      </c>
      <c r="T2666" s="23">
        <f>(R2666-S2666)*M2666</f>
        <v/>
      </c>
      <c r="U2666" s="23">
        <f>R2666-S2666-T2666</f>
        <v/>
      </c>
      <c r="V2666" s="23">
        <f>D2666*P2666</f>
        <v/>
      </c>
      <c r="W2666" s="23">
        <f>U2666-V2666</f>
        <v/>
      </c>
      <c r="X2666" s="24">
        <f>IFERROR(W2666/U2666,0)</f>
        <v/>
      </c>
    </row>
    <row r="2667">
      <c r="A2667" s="25">
        <f>ItensPedido!A2667</f>
        <v/>
      </c>
      <c r="B2667" s="25">
        <f>ItensPedido!B2667</f>
        <v/>
      </c>
      <c r="C2667" s="25">
        <f>ItensPedido!C2667</f>
        <v/>
      </c>
      <c r="D2667" s="25">
        <f>ItensPedido!D2667</f>
        <v/>
      </c>
      <c r="E2667" s="26">
        <f>ItensPedido!E2667</f>
        <v/>
      </c>
      <c r="F2667" s="25">
        <f>IFERROR(INDEX(Pedidos!$B$2:$B$1801,MATCH(B2667,Pedidos!$A$2:$A$1801,0)),0)</f>
        <v/>
      </c>
      <c r="G2667" s="25">
        <f>IF(F2667=0,"",YEAR(F2667))</f>
        <v/>
      </c>
      <c r="H2667" s="25">
        <f>IF(F2667=0,"",MONTH(F2667))</f>
        <v/>
      </c>
      <c r="I2667" s="25">
        <f>IFERROR(INDEX(Pedidos!$E$2:$E$1801,MATCH(B2667,Pedidos!$A$2:$A$1801,0)),"")</f>
        <v/>
      </c>
      <c r="J2667" s="25">
        <f>IFERROR(INDEX(Pedidos!$C$2:$C$1801,MATCH(B2667,Pedidos!$A$2:$A$1801,0)),"")</f>
        <v/>
      </c>
      <c r="K2667" s="25">
        <f>IFERROR(INDEX(Pedidos!$D$2:$D$1801,MATCH(B2667,Pedidos!$A$2:$A$1801,0)),"")</f>
        <v/>
      </c>
      <c r="L2667" s="25">
        <f>IFERROR(INDEX(Pedidos!$F$2:$F$1801,MATCH(B2667,Pedidos!$A$2:$A$1801,0)),"")</f>
        <v/>
      </c>
      <c r="M2667" s="26">
        <f>IFERROR(INDEX(Pedidos!$G$2:$G$1801,MATCH(B2667,Pedidos!$A$2:$A$1801,0)),0)</f>
        <v/>
      </c>
      <c r="N2667" s="25">
        <f>IFERROR(INDEX(Produtos!$B$2:$B$71,MATCH(C2667,Produtos!$A$2:$A$71,0)),"")</f>
        <v/>
      </c>
      <c r="O2667" s="25">
        <f>IFERROR(INDEX(Produtos!$C$2:$C$71,MATCH(C2667,Produtos!$A$2:$A$71,0)),"")</f>
        <v/>
      </c>
      <c r="P2667" s="25">
        <f>IFERROR(INDEX(Produtos!$D$2:$D$71,MATCH(C2667,Produtos!$A$2:$A$71,0)),0)</f>
        <v/>
      </c>
      <c r="Q2667" s="25">
        <f>IFERROR(INDEX(Produtos!$E$2:$E$71,MATCH(C2667,Produtos!$A$2:$A$71,0)),0)</f>
        <v/>
      </c>
      <c r="R2667" s="27">
        <f>D2667*Q2667</f>
        <v/>
      </c>
      <c r="S2667" s="27">
        <f>R2667*E2667</f>
        <v/>
      </c>
      <c r="T2667" s="27">
        <f>(R2667-S2667)*M2667</f>
        <v/>
      </c>
      <c r="U2667" s="27">
        <f>R2667-S2667-T2667</f>
        <v/>
      </c>
      <c r="V2667" s="27">
        <f>D2667*P2667</f>
        <v/>
      </c>
      <c r="W2667" s="27">
        <f>U2667-V2667</f>
        <v/>
      </c>
      <c r="X2667" s="28">
        <f>IFERROR(W2667/U2667,0)</f>
        <v/>
      </c>
    </row>
    <row r="2668">
      <c r="A2668" s="21">
        <f>ItensPedido!A2668</f>
        <v/>
      </c>
      <c r="B2668" s="21">
        <f>ItensPedido!B2668</f>
        <v/>
      </c>
      <c r="C2668" s="21">
        <f>ItensPedido!C2668</f>
        <v/>
      </c>
      <c r="D2668" s="21">
        <f>ItensPedido!D2668</f>
        <v/>
      </c>
      <c r="E2668" s="22">
        <f>ItensPedido!E2668</f>
        <v/>
      </c>
      <c r="F2668" s="21">
        <f>IFERROR(INDEX(Pedidos!$B$2:$B$1801,MATCH(B2668,Pedidos!$A$2:$A$1801,0)),0)</f>
        <v/>
      </c>
      <c r="G2668" s="21">
        <f>IF(F2668=0,"",YEAR(F2668))</f>
        <v/>
      </c>
      <c r="H2668" s="21">
        <f>IF(F2668=0,"",MONTH(F2668))</f>
        <v/>
      </c>
      <c r="I2668" s="21">
        <f>IFERROR(INDEX(Pedidos!$E$2:$E$1801,MATCH(B2668,Pedidos!$A$2:$A$1801,0)),"")</f>
        <v/>
      </c>
      <c r="J2668" s="21">
        <f>IFERROR(INDEX(Pedidos!$C$2:$C$1801,MATCH(B2668,Pedidos!$A$2:$A$1801,0)),"")</f>
        <v/>
      </c>
      <c r="K2668" s="21">
        <f>IFERROR(INDEX(Pedidos!$D$2:$D$1801,MATCH(B2668,Pedidos!$A$2:$A$1801,0)),"")</f>
        <v/>
      </c>
      <c r="L2668" s="21">
        <f>IFERROR(INDEX(Pedidos!$F$2:$F$1801,MATCH(B2668,Pedidos!$A$2:$A$1801,0)),"")</f>
        <v/>
      </c>
      <c r="M2668" s="22">
        <f>IFERROR(INDEX(Pedidos!$G$2:$G$1801,MATCH(B2668,Pedidos!$A$2:$A$1801,0)),0)</f>
        <v/>
      </c>
      <c r="N2668" s="21">
        <f>IFERROR(INDEX(Produtos!$B$2:$B$71,MATCH(C2668,Produtos!$A$2:$A$71,0)),"")</f>
        <v/>
      </c>
      <c r="O2668" s="21">
        <f>IFERROR(INDEX(Produtos!$C$2:$C$71,MATCH(C2668,Produtos!$A$2:$A$71,0)),"")</f>
        <v/>
      </c>
      <c r="P2668" s="21">
        <f>IFERROR(INDEX(Produtos!$D$2:$D$71,MATCH(C2668,Produtos!$A$2:$A$71,0)),0)</f>
        <v/>
      </c>
      <c r="Q2668" s="21">
        <f>IFERROR(INDEX(Produtos!$E$2:$E$71,MATCH(C2668,Produtos!$A$2:$A$71,0)),0)</f>
        <v/>
      </c>
      <c r="R2668" s="23">
        <f>D2668*Q2668</f>
        <v/>
      </c>
      <c r="S2668" s="23">
        <f>R2668*E2668</f>
        <v/>
      </c>
      <c r="T2668" s="23">
        <f>(R2668-S2668)*M2668</f>
        <v/>
      </c>
      <c r="U2668" s="23">
        <f>R2668-S2668-T2668</f>
        <v/>
      </c>
      <c r="V2668" s="23">
        <f>D2668*P2668</f>
        <v/>
      </c>
      <c r="W2668" s="23">
        <f>U2668-V2668</f>
        <v/>
      </c>
      <c r="X2668" s="24">
        <f>IFERROR(W2668/U2668,0)</f>
        <v/>
      </c>
    </row>
    <row r="2669">
      <c r="A2669" s="25">
        <f>ItensPedido!A2669</f>
        <v/>
      </c>
      <c r="B2669" s="25">
        <f>ItensPedido!B2669</f>
        <v/>
      </c>
      <c r="C2669" s="25">
        <f>ItensPedido!C2669</f>
        <v/>
      </c>
      <c r="D2669" s="25">
        <f>ItensPedido!D2669</f>
        <v/>
      </c>
      <c r="E2669" s="26">
        <f>ItensPedido!E2669</f>
        <v/>
      </c>
      <c r="F2669" s="25">
        <f>IFERROR(INDEX(Pedidos!$B$2:$B$1801,MATCH(B2669,Pedidos!$A$2:$A$1801,0)),0)</f>
        <v/>
      </c>
      <c r="G2669" s="25">
        <f>IF(F2669=0,"",YEAR(F2669))</f>
        <v/>
      </c>
      <c r="H2669" s="25">
        <f>IF(F2669=0,"",MONTH(F2669))</f>
        <v/>
      </c>
      <c r="I2669" s="25">
        <f>IFERROR(INDEX(Pedidos!$E$2:$E$1801,MATCH(B2669,Pedidos!$A$2:$A$1801,0)),"")</f>
        <v/>
      </c>
      <c r="J2669" s="25">
        <f>IFERROR(INDEX(Pedidos!$C$2:$C$1801,MATCH(B2669,Pedidos!$A$2:$A$1801,0)),"")</f>
        <v/>
      </c>
      <c r="K2669" s="25">
        <f>IFERROR(INDEX(Pedidos!$D$2:$D$1801,MATCH(B2669,Pedidos!$A$2:$A$1801,0)),"")</f>
        <v/>
      </c>
      <c r="L2669" s="25">
        <f>IFERROR(INDEX(Pedidos!$F$2:$F$1801,MATCH(B2669,Pedidos!$A$2:$A$1801,0)),"")</f>
        <v/>
      </c>
      <c r="M2669" s="26">
        <f>IFERROR(INDEX(Pedidos!$G$2:$G$1801,MATCH(B2669,Pedidos!$A$2:$A$1801,0)),0)</f>
        <v/>
      </c>
      <c r="N2669" s="25">
        <f>IFERROR(INDEX(Produtos!$B$2:$B$71,MATCH(C2669,Produtos!$A$2:$A$71,0)),"")</f>
        <v/>
      </c>
      <c r="O2669" s="25">
        <f>IFERROR(INDEX(Produtos!$C$2:$C$71,MATCH(C2669,Produtos!$A$2:$A$71,0)),"")</f>
        <v/>
      </c>
      <c r="P2669" s="25">
        <f>IFERROR(INDEX(Produtos!$D$2:$D$71,MATCH(C2669,Produtos!$A$2:$A$71,0)),0)</f>
        <v/>
      </c>
      <c r="Q2669" s="25">
        <f>IFERROR(INDEX(Produtos!$E$2:$E$71,MATCH(C2669,Produtos!$A$2:$A$71,0)),0)</f>
        <v/>
      </c>
      <c r="R2669" s="27">
        <f>D2669*Q2669</f>
        <v/>
      </c>
      <c r="S2669" s="27">
        <f>R2669*E2669</f>
        <v/>
      </c>
      <c r="T2669" s="27">
        <f>(R2669-S2669)*M2669</f>
        <v/>
      </c>
      <c r="U2669" s="27">
        <f>R2669-S2669-T2669</f>
        <v/>
      </c>
      <c r="V2669" s="27">
        <f>D2669*P2669</f>
        <v/>
      </c>
      <c r="W2669" s="27">
        <f>U2669-V2669</f>
        <v/>
      </c>
      <c r="X2669" s="28">
        <f>IFERROR(W2669/U2669,0)</f>
        <v/>
      </c>
    </row>
    <row r="2670">
      <c r="A2670" s="21">
        <f>ItensPedido!A2670</f>
        <v/>
      </c>
      <c r="B2670" s="21">
        <f>ItensPedido!B2670</f>
        <v/>
      </c>
      <c r="C2670" s="21">
        <f>ItensPedido!C2670</f>
        <v/>
      </c>
      <c r="D2670" s="21">
        <f>ItensPedido!D2670</f>
        <v/>
      </c>
      <c r="E2670" s="22">
        <f>ItensPedido!E2670</f>
        <v/>
      </c>
      <c r="F2670" s="21">
        <f>IFERROR(INDEX(Pedidos!$B$2:$B$1801,MATCH(B2670,Pedidos!$A$2:$A$1801,0)),0)</f>
        <v/>
      </c>
      <c r="G2670" s="21">
        <f>IF(F2670=0,"",YEAR(F2670))</f>
        <v/>
      </c>
      <c r="H2670" s="21">
        <f>IF(F2670=0,"",MONTH(F2670))</f>
        <v/>
      </c>
      <c r="I2670" s="21">
        <f>IFERROR(INDEX(Pedidos!$E$2:$E$1801,MATCH(B2670,Pedidos!$A$2:$A$1801,0)),"")</f>
        <v/>
      </c>
      <c r="J2670" s="21">
        <f>IFERROR(INDEX(Pedidos!$C$2:$C$1801,MATCH(B2670,Pedidos!$A$2:$A$1801,0)),"")</f>
        <v/>
      </c>
      <c r="K2670" s="21">
        <f>IFERROR(INDEX(Pedidos!$D$2:$D$1801,MATCH(B2670,Pedidos!$A$2:$A$1801,0)),"")</f>
        <v/>
      </c>
      <c r="L2670" s="21">
        <f>IFERROR(INDEX(Pedidos!$F$2:$F$1801,MATCH(B2670,Pedidos!$A$2:$A$1801,0)),"")</f>
        <v/>
      </c>
      <c r="M2670" s="22">
        <f>IFERROR(INDEX(Pedidos!$G$2:$G$1801,MATCH(B2670,Pedidos!$A$2:$A$1801,0)),0)</f>
        <v/>
      </c>
      <c r="N2670" s="21">
        <f>IFERROR(INDEX(Produtos!$B$2:$B$71,MATCH(C2670,Produtos!$A$2:$A$71,0)),"")</f>
        <v/>
      </c>
      <c r="O2670" s="21">
        <f>IFERROR(INDEX(Produtos!$C$2:$C$71,MATCH(C2670,Produtos!$A$2:$A$71,0)),"")</f>
        <v/>
      </c>
      <c r="P2670" s="21">
        <f>IFERROR(INDEX(Produtos!$D$2:$D$71,MATCH(C2670,Produtos!$A$2:$A$71,0)),0)</f>
        <v/>
      </c>
      <c r="Q2670" s="21">
        <f>IFERROR(INDEX(Produtos!$E$2:$E$71,MATCH(C2670,Produtos!$A$2:$A$71,0)),0)</f>
        <v/>
      </c>
      <c r="R2670" s="23">
        <f>D2670*Q2670</f>
        <v/>
      </c>
      <c r="S2670" s="23">
        <f>R2670*E2670</f>
        <v/>
      </c>
      <c r="T2670" s="23">
        <f>(R2670-S2670)*M2670</f>
        <v/>
      </c>
      <c r="U2670" s="23">
        <f>R2670-S2670-T2670</f>
        <v/>
      </c>
      <c r="V2670" s="23">
        <f>D2670*P2670</f>
        <v/>
      </c>
      <c r="W2670" s="23">
        <f>U2670-V2670</f>
        <v/>
      </c>
      <c r="X2670" s="24">
        <f>IFERROR(W2670/U2670,0)</f>
        <v/>
      </c>
    </row>
    <row r="2671">
      <c r="A2671" s="25">
        <f>ItensPedido!A2671</f>
        <v/>
      </c>
      <c r="B2671" s="25">
        <f>ItensPedido!B2671</f>
        <v/>
      </c>
      <c r="C2671" s="25">
        <f>ItensPedido!C2671</f>
        <v/>
      </c>
      <c r="D2671" s="25">
        <f>ItensPedido!D2671</f>
        <v/>
      </c>
      <c r="E2671" s="26">
        <f>ItensPedido!E2671</f>
        <v/>
      </c>
      <c r="F2671" s="25">
        <f>IFERROR(INDEX(Pedidos!$B$2:$B$1801,MATCH(B2671,Pedidos!$A$2:$A$1801,0)),0)</f>
        <v/>
      </c>
      <c r="G2671" s="25">
        <f>IF(F2671=0,"",YEAR(F2671))</f>
        <v/>
      </c>
      <c r="H2671" s="25">
        <f>IF(F2671=0,"",MONTH(F2671))</f>
        <v/>
      </c>
      <c r="I2671" s="25">
        <f>IFERROR(INDEX(Pedidos!$E$2:$E$1801,MATCH(B2671,Pedidos!$A$2:$A$1801,0)),"")</f>
        <v/>
      </c>
      <c r="J2671" s="25">
        <f>IFERROR(INDEX(Pedidos!$C$2:$C$1801,MATCH(B2671,Pedidos!$A$2:$A$1801,0)),"")</f>
        <v/>
      </c>
      <c r="K2671" s="25">
        <f>IFERROR(INDEX(Pedidos!$D$2:$D$1801,MATCH(B2671,Pedidos!$A$2:$A$1801,0)),"")</f>
        <v/>
      </c>
      <c r="L2671" s="25">
        <f>IFERROR(INDEX(Pedidos!$F$2:$F$1801,MATCH(B2671,Pedidos!$A$2:$A$1801,0)),"")</f>
        <v/>
      </c>
      <c r="M2671" s="26">
        <f>IFERROR(INDEX(Pedidos!$G$2:$G$1801,MATCH(B2671,Pedidos!$A$2:$A$1801,0)),0)</f>
        <v/>
      </c>
      <c r="N2671" s="25">
        <f>IFERROR(INDEX(Produtos!$B$2:$B$71,MATCH(C2671,Produtos!$A$2:$A$71,0)),"")</f>
        <v/>
      </c>
      <c r="O2671" s="25">
        <f>IFERROR(INDEX(Produtos!$C$2:$C$71,MATCH(C2671,Produtos!$A$2:$A$71,0)),"")</f>
        <v/>
      </c>
      <c r="P2671" s="25">
        <f>IFERROR(INDEX(Produtos!$D$2:$D$71,MATCH(C2671,Produtos!$A$2:$A$71,0)),0)</f>
        <v/>
      </c>
      <c r="Q2671" s="25">
        <f>IFERROR(INDEX(Produtos!$E$2:$E$71,MATCH(C2671,Produtos!$A$2:$A$71,0)),0)</f>
        <v/>
      </c>
      <c r="R2671" s="27">
        <f>D2671*Q2671</f>
        <v/>
      </c>
      <c r="S2671" s="27">
        <f>R2671*E2671</f>
        <v/>
      </c>
      <c r="T2671" s="27">
        <f>(R2671-S2671)*M2671</f>
        <v/>
      </c>
      <c r="U2671" s="27">
        <f>R2671-S2671-T2671</f>
        <v/>
      </c>
      <c r="V2671" s="27">
        <f>D2671*P2671</f>
        <v/>
      </c>
      <c r="W2671" s="27">
        <f>U2671-V2671</f>
        <v/>
      </c>
      <c r="X2671" s="28">
        <f>IFERROR(W2671/U2671,0)</f>
        <v/>
      </c>
    </row>
    <row r="2672">
      <c r="A2672" s="21">
        <f>ItensPedido!A2672</f>
        <v/>
      </c>
      <c r="B2672" s="21">
        <f>ItensPedido!B2672</f>
        <v/>
      </c>
      <c r="C2672" s="21">
        <f>ItensPedido!C2672</f>
        <v/>
      </c>
      <c r="D2672" s="21">
        <f>ItensPedido!D2672</f>
        <v/>
      </c>
      <c r="E2672" s="22">
        <f>ItensPedido!E2672</f>
        <v/>
      </c>
      <c r="F2672" s="21">
        <f>IFERROR(INDEX(Pedidos!$B$2:$B$1801,MATCH(B2672,Pedidos!$A$2:$A$1801,0)),0)</f>
        <v/>
      </c>
      <c r="G2672" s="21">
        <f>IF(F2672=0,"",YEAR(F2672))</f>
        <v/>
      </c>
      <c r="H2672" s="21">
        <f>IF(F2672=0,"",MONTH(F2672))</f>
        <v/>
      </c>
      <c r="I2672" s="21">
        <f>IFERROR(INDEX(Pedidos!$E$2:$E$1801,MATCH(B2672,Pedidos!$A$2:$A$1801,0)),"")</f>
        <v/>
      </c>
      <c r="J2672" s="21">
        <f>IFERROR(INDEX(Pedidos!$C$2:$C$1801,MATCH(B2672,Pedidos!$A$2:$A$1801,0)),"")</f>
        <v/>
      </c>
      <c r="K2672" s="21">
        <f>IFERROR(INDEX(Pedidos!$D$2:$D$1801,MATCH(B2672,Pedidos!$A$2:$A$1801,0)),"")</f>
        <v/>
      </c>
      <c r="L2672" s="21">
        <f>IFERROR(INDEX(Pedidos!$F$2:$F$1801,MATCH(B2672,Pedidos!$A$2:$A$1801,0)),"")</f>
        <v/>
      </c>
      <c r="M2672" s="22">
        <f>IFERROR(INDEX(Pedidos!$G$2:$G$1801,MATCH(B2672,Pedidos!$A$2:$A$1801,0)),0)</f>
        <v/>
      </c>
      <c r="N2672" s="21">
        <f>IFERROR(INDEX(Produtos!$B$2:$B$71,MATCH(C2672,Produtos!$A$2:$A$71,0)),"")</f>
        <v/>
      </c>
      <c r="O2672" s="21">
        <f>IFERROR(INDEX(Produtos!$C$2:$C$71,MATCH(C2672,Produtos!$A$2:$A$71,0)),"")</f>
        <v/>
      </c>
      <c r="P2672" s="21">
        <f>IFERROR(INDEX(Produtos!$D$2:$D$71,MATCH(C2672,Produtos!$A$2:$A$71,0)),0)</f>
        <v/>
      </c>
      <c r="Q2672" s="21">
        <f>IFERROR(INDEX(Produtos!$E$2:$E$71,MATCH(C2672,Produtos!$A$2:$A$71,0)),0)</f>
        <v/>
      </c>
      <c r="R2672" s="23">
        <f>D2672*Q2672</f>
        <v/>
      </c>
      <c r="S2672" s="23">
        <f>R2672*E2672</f>
        <v/>
      </c>
      <c r="T2672" s="23">
        <f>(R2672-S2672)*M2672</f>
        <v/>
      </c>
      <c r="U2672" s="23">
        <f>R2672-S2672-T2672</f>
        <v/>
      </c>
      <c r="V2672" s="23">
        <f>D2672*P2672</f>
        <v/>
      </c>
      <c r="W2672" s="23">
        <f>U2672-V2672</f>
        <v/>
      </c>
      <c r="X2672" s="24">
        <f>IFERROR(W2672/U2672,0)</f>
        <v/>
      </c>
    </row>
    <row r="2673">
      <c r="A2673" s="25">
        <f>ItensPedido!A2673</f>
        <v/>
      </c>
      <c r="B2673" s="25">
        <f>ItensPedido!B2673</f>
        <v/>
      </c>
      <c r="C2673" s="25">
        <f>ItensPedido!C2673</f>
        <v/>
      </c>
      <c r="D2673" s="25">
        <f>ItensPedido!D2673</f>
        <v/>
      </c>
      <c r="E2673" s="26">
        <f>ItensPedido!E2673</f>
        <v/>
      </c>
      <c r="F2673" s="25">
        <f>IFERROR(INDEX(Pedidos!$B$2:$B$1801,MATCH(B2673,Pedidos!$A$2:$A$1801,0)),0)</f>
        <v/>
      </c>
      <c r="G2673" s="25">
        <f>IF(F2673=0,"",YEAR(F2673))</f>
        <v/>
      </c>
      <c r="H2673" s="25">
        <f>IF(F2673=0,"",MONTH(F2673))</f>
        <v/>
      </c>
      <c r="I2673" s="25">
        <f>IFERROR(INDEX(Pedidos!$E$2:$E$1801,MATCH(B2673,Pedidos!$A$2:$A$1801,0)),"")</f>
        <v/>
      </c>
      <c r="J2673" s="25">
        <f>IFERROR(INDEX(Pedidos!$C$2:$C$1801,MATCH(B2673,Pedidos!$A$2:$A$1801,0)),"")</f>
        <v/>
      </c>
      <c r="K2673" s="25">
        <f>IFERROR(INDEX(Pedidos!$D$2:$D$1801,MATCH(B2673,Pedidos!$A$2:$A$1801,0)),"")</f>
        <v/>
      </c>
      <c r="L2673" s="25">
        <f>IFERROR(INDEX(Pedidos!$F$2:$F$1801,MATCH(B2673,Pedidos!$A$2:$A$1801,0)),"")</f>
        <v/>
      </c>
      <c r="M2673" s="26">
        <f>IFERROR(INDEX(Pedidos!$G$2:$G$1801,MATCH(B2673,Pedidos!$A$2:$A$1801,0)),0)</f>
        <v/>
      </c>
      <c r="N2673" s="25">
        <f>IFERROR(INDEX(Produtos!$B$2:$B$71,MATCH(C2673,Produtos!$A$2:$A$71,0)),"")</f>
        <v/>
      </c>
      <c r="O2673" s="25">
        <f>IFERROR(INDEX(Produtos!$C$2:$C$71,MATCH(C2673,Produtos!$A$2:$A$71,0)),"")</f>
        <v/>
      </c>
      <c r="P2673" s="25">
        <f>IFERROR(INDEX(Produtos!$D$2:$D$71,MATCH(C2673,Produtos!$A$2:$A$71,0)),0)</f>
        <v/>
      </c>
      <c r="Q2673" s="25">
        <f>IFERROR(INDEX(Produtos!$E$2:$E$71,MATCH(C2673,Produtos!$A$2:$A$71,0)),0)</f>
        <v/>
      </c>
      <c r="R2673" s="27">
        <f>D2673*Q2673</f>
        <v/>
      </c>
      <c r="S2673" s="27">
        <f>R2673*E2673</f>
        <v/>
      </c>
      <c r="T2673" s="27">
        <f>(R2673-S2673)*M2673</f>
        <v/>
      </c>
      <c r="U2673" s="27">
        <f>R2673-S2673-T2673</f>
        <v/>
      </c>
      <c r="V2673" s="27">
        <f>D2673*P2673</f>
        <v/>
      </c>
      <c r="W2673" s="27">
        <f>U2673-V2673</f>
        <v/>
      </c>
      <c r="X2673" s="28">
        <f>IFERROR(W2673/U2673,0)</f>
        <v/>
      </c>
    </row>
    <row r="2674">
      <c r="A2674" s="21">
        <f>ItensPedido!A2674</f>
        <v/>
      </c>
      <c r="B2674" s="21">
        <f>ItensPedido!B2674</f>
        <v/>
      </c>
      <c r="C2674" s="21">
        <f>ItensPedido!C2674</f>
        <v/>
      </c>
      <c r="D2674" s="21">
        <f>ItensPedido!D2674</f>
        <v/>
      </c>
      <c r="E2674" s="22">
        <f>ItensPedido!E2674</f>
        <v/>
      </c>
      <c r="F2674" s="21">
        <f>IFERROR(INDEX(Pedidos!$B$2:$B$1801,MATCH(B2674,Pedidos!$A$2:$A$1801,0)),0)</f>
        <v/>
      </c>
      <c r="G2674" s="21">
        <f>IF(F2674=0,"",YEAR(F2674))</f>
        <v/>
      </c>
      <c r="H2674" s="21">
        <f>IF(F2674=0,"",MONTH(F2674))</f>
        <v/>
      </c>
      <c r="I2674" s="21">
        <f>IFERROR(INDEX(Pedidos!$E$2:$E$1801,MATCH(B2674,Pedidos!$A$2:$A$1801,0)),"")</f>
        <v/>
      </c>
      <c r="J2674" s="21">
        <f>IFERROR(INDEX(Pedidos!$C$2:$C$1801,MATCH(B2674,Pedidos!$A$2:$A$1801,0)),"")</f>
        <v/>
      </c>
      <c r="K2674" s="21">
        <f>IFERROR(INDEX(Pedidos!$D$2:$D$1801,MATCH(B2674,Pedidos!$A$2:$A$1801,0)),"")</f>
        <v/>
      </c>
      <c r="L2674" s="21">
        <f>IFERROR(INDEX(Pedidos!$F$2:$F$1801,MATCH(B2674,Pedidos!$A$2:$A$1801,0)),"")</f>
        <v/>
      </c>
      <c r="M2674" s="22">
        <f>IFERROR(INDEX(Pedidos!$G$2:$G$1801,MATCH(B2674,Pedidos!$A$2:$A$1801,0)),0)</f>
        <v/>
      </c>
      <c r="N2674" s="21">
        <f>IFERROR(INDEX(Produtos!$B$2:$B$71,MATCH(C2674,Produtos!$A$2:$A$71,0)),"")</f>
        <v/>
      </c>
      <c r="O2674" s="21">
        <f>IFERROR(INDEX(Produtos!$C$2:$C$71,MATCH(C2674,Produtos!$A$2:$A$71,0)),"")</f>
        <v/>
      </c>
      <c r="P2674" s="21">
        <f>IFERROR(INDEX(Produtos!$D$2:$D$71,MATCH(C2674,Produtos!$A$2:$A$71,0)),0)</f>
        <v/>
      </c>
      <c r="Q2674" s="21">
        <f>IFERROR(INDEX(Produtos!$E$2:$E$71,MATCH(C2674,Produtos!$A$2:$A$71,0)),0)</f>
        <v/>
      </c>
      <c r="R2674" s="23">
        <f>D2674*Q2674</f>
        <v/>
      </c>
      <c r="S2674" s="23">
        <f>R2674*E2674</f>
        <v/>
      </c>
      <c r="T2674" s="23">
        <f>(R2674-S2674)*M2674</f>
        <v/>
      </c>
      <c r="U2674" s="23">
        <f>R2674-S2674-T2674</f>
        <v/>
      </c>
      <c r="V2674" s="23">
        <f>D2674*P2674</f>
        <v/>
      </c>
      <c r="W2674" s="23">
        <f>U2674-V2674</f>
        <v/>
      </c>
      <c r="X2674" s="24">
        <f>IFERROR(W2674/U2674,0)</f>
        <v/>
      </c>
    </row>
    <row r="2675">
      <c r="A2675" s="25">
        <f>ItensPedido!A2675</f>
        <v/>
      </c>
      <c r="B2675" s="25">
        <f>ItensPedido!B2675</f>
        <v/>
      </c>
      <c r="C2675" s="25">
        <f>ItensPedido!C2675</f>
        <v/>
      </c>
      <c r="D2675" s="25">
        <f>ItensPedido!D2675</f>
        <v/>
      </c>
      <c r="E2675" s="26">
        <f>ItensPedido!E2675</f>
        <v/>
      </c>
      <c r="F2675" s="25">
        <f>IFERROR(INDEX(Pedidos!$B$2:$B$1801,MATCH(B2675,Pedidos!$A$2:$A$1801,0)),0)</f>
        <v/>
      </c>
      <c r="G2675" s="25">
        <f>IF(F2675=0,"",YEAR(F2675))</f>
        <v/>
      </c>
      <c r="H2675" s="25">
        <f>IF(F2675=0,"",MONTH(F2675))</f>
        <v/>
      </c>
      <c r="I2675" s="25">
        <f>IFERROR(INDEX(Pedidos!$E$2:$E$1801,MATCH(B2675,Pedidos!$A$2:$A$1801,0)),"")</f>
        <v/>
      </c>
      <c r="J2675" s="25">
        <f>IFERROR(INDEX(Pedidos!$C$2:$C$1801,MATCH(B2675,Pedidos!$A$2:$A$1801,0)),"")</f>
        <v/>
      </c>
      <c r="K2675" s="25">
        <f>IFERROR(INDEX(Pedidos!$D$2:$D$1801,MATCH(B2675,Pedidos!$A$2:$A$1801,0)),"")</f>
        <v/>
      </c>
      <c r="L2675" s="25">
        <f>IFERROR(INDEX(Pedidos!$F$2:$F$1801,MATCH(B2675,Pedidos!$A$2:$A$1801,0)),"")</f>
        <v/>
      </c>
      <c r="M2675" s="26">
        <f>IFERROR(INDEX(Pedidos!$G$2:$G$1801,MATCH(B2675,Pedidos!$A$2:$A$1801,0)),0)</f>
        <v/>
      </c>
      <c r="N2675" s="25">
        <f>IFERROR(INDEX(Produtos!$B$2:$B$71,MATCH(C2675,Produtos!$A$2:$A$71,0)),"")</f>
        <v/>
      </c>
      <c r="O2675" s="25">
        <f>IFERROR(INDEX(Produtos!$C$2:$C$71,MATCH(C2675,Produtos!$A$2:$A$71,0)),"")</f>
        <v/>
      </c>
      <c r="P2675" s="25">
        <f>IFERROR(INDEX(Produtos!$D$2:$D$71,MATCH(C2675,Produtos!$A$2:$A$71,0)),0)</f>
        <v/>
      </c>
      <c r="Q2675" s="25">
        <f>IFERROR(INDEX(Produtos!$E$2:$E$71,MATCH(C2675,Produtos!$A$2:$A$71,0)),0)</f>
        <v/>
      </c>
      <c r="R2675" s="27">
        <f>D2675*Q2675</f>
        <v/>
      </c>
      <c r="S2675" s="27">
        <f>R2675*E2675</f>
        <v/>
      </c>
      <c r="T2675" s="27">
        <f>(R2675-S2675)*M2675</f>
        <v/>
      </c>
      <c r="U2675" s="27">
        <f>R2675-S2675-T2675</f>
        <v/>
      </c>
      <c r="V2675" s="27">
        <f>D2675*P2675</f>
        <v/>
      </c>
      <c r="W2675" s="27">
        <f>U2675-V2675</f>
        <v/>
      </c>
      <c r="X2675" s="28">
        <f>IFERROR(W2675/U2675,0)</f>
        <v/>
      </c>
    </row>
    <row r="2676">
      <c r="A2676" s="21">
        <f>ItensPedido!A2676</f>
        <v/>
      </c>
      <c r="B2676" s="21">
        <f>ItensPedido!B2676</f>
        <v/>
      </c>
      <c r="C2676" s="21">
        <f>ItensPedido!C2676</f>
        <v/>
      </c>
      <c r="D2676" s="21">
        <f>ItensPedido!D2676</f>
        <v/>
      </c>
      <c r="E2676" s="22">
        <f>ItensPedido!E2676</f>
        <v/>
      </c>
      <c r="F2676" s="21">
        <f>IFERROR(INDEX(Pedidos!$B$2:$B$1801,MATCH(B2676,Pedidos!$A$2:$A$1801,0)),0)</f>
        <v/>
      </c>
      <c r="G2676" s="21">
        <f>IF(F2676=0,"",YEAR(F2676))</f>
        <v/>
      </c>
      <c r="H2676" s="21">
        <f>IF(F2676=0,"",MONTH(F2676))</f>
        <v/>
      </c>
      <c r="I2676" s="21">
        <f>IFERROR(INDEX(Pedidos!$E$2:$E$1801,MATCH(B2676,Pedidos!$A$2:$A$1801,0)),"")</f>
        <v/>
      </c>
      <c r="J2676" s="21">
        <f>IFERROR(INDEX(Pedidos!$C$2:$C$1801,MATCH(B2676,Pedidos!$A$2:$A$1801,0)),"")</f>
        <v/>
      </c>
      <c r="K2676" s="21">
        <f>IFERROR(INDEX(Pedidos!$D$2:$D$1801,MATCH(B2676,Pedidos!$A$2:$A$1801,0)),"")</f>
        <v/>
      </c>
      <c r="L2676" s="21">
        <f>IFERROR(INDEX(Pedidos!$F$2:$F$1801,MATCH(B2676,Pedidos!$A$2:$A$1801,0)),"")</f>
        <v/>
      </c>
      <c r="M2676" s="22">
        <f>IFERROR(INDEX(Pedidos!$G$2:$G$1801,MATCH(B2676,Pedidos!$A$2:$A$1801,0)),0)</f>
        <v/>
      </c>
      <c r="N2676" s="21">
        <f>IFERROR(INDEX(Produtos!$B$2:$B$71,MATCH(C2676,Produtos!$A$2:$A$71,0)),"")</f>
        <v/>
      </c>
      <c r="O2676" s="21">
        <f>IFERROR(INDEX(Produtos!$C$2:$C$71,MATCH(C2676,Produtos!$A$2:$A$71,0)),"")</f>
        <v/>
      </c>
      <c r="P2676" s="21">
        <f>IFERROR(INDEX(Produtos!$D$2:$D$71,MATCH(C2676,Produtos!$A$2:$A$71,0)),0)</f>
        <v/>
      </c>
      <c r="Q2676" s="21">
        <f>IFERROR(INDEX(Produtos!$E$2:$E$71,MATCH(C2676,Produtos!$A$2:$A$71,0)),0)</f>
        <v/>
      </c>
      <c r="R2676" s="23">
        <f>D2676*Q2676</f>
        <v/>
      </c>
      <c r="S2676" s="23">
        <f>R2676*E2676</f>
        <v/>
      </c>
      <c r="T2676" s="23">
        <f>(R2676-S2676)*M2676</f>
        <v/>
      </c>
      <c r="U2676" s="23">
        <f>R2676-S2676-T2676</f>
        <v/>
      </c>
      <c r="V2676" s="23">
        <f>D2676*P2676</f>
        <v/>
      </c>
      <c r="W2676" s="23">
        <f>U2676-V2676</f>
        <v/>
      </c>
      <c r="X2676" s="24">
        <f>IFERROR(W2676/U2676,0)</f>
        <v/>
      </c>
    </row>
    <row r="2677">
      <c r="A2677" s="25">
        <f>ItensPedido!A2677</f>
        <v/>
      </c>
      <c r="B2677" s="25">
        <f>ItensPedido!B2677</f>
        <v/>
      </c>
      <c r="C2677" s="25">
        <f>ItensPedido!C2677</f>
        <v/>
      </c>
      <c r="D2677" s="25">
        <f>ItensPedido!D2677</f>
        <v/>
      </c>
      <c r="E2677" s="26">
        <f>ItensPedido!E2677</f>
        <v/>
      </c>
      <c r="F2677" s="25">
        <f>IFERROR(INDEX(Pedidos!$B$2:$B$1801,MATCH(B2677,Pedidos!$A$2:$A$1801,0)),0)</f>
        <v/>
      </c>
      <c r="G2677" s="25">
        <f>IF(F2677=0,"",YEAR(F2677))</f>
        <v/>
      </c>
      <c r="H2677" s="25">
        <f>IF(F2677=0,"",MONTH(F2677))</f>
        <v/>
      </c>
      <c r="I2677" s="25">
        <f>IFERROR(INDEX(Pedidos!$E$2:$E$1801,MATCH(B2677,Pedidos!$A$2:$A$1801,0)),"")</f>
        <v/>
      </c>
      <c r="J2677" s="25">
        <f>IFERROR(INDEX(Pedidos!$C$2:$C$1801,MATCH(B2677,Pedidos!$A$2:$A$1801,0)),"")</f>
        <v/>
      </c>
      <c r="K2677" s="25">
        <f>IFERROR(INDEX(Pedidos!$D$2:$D$1801,MATCH(B2677,Pedidos!$A$2:$A$1801,0)),"")</f>
        <v/>
      </c>
      <c r="L2677" s="25">
        <f>IFERROR(INDEX(Pedidos!$F$2:$F$1801,MATCH(B2677,Pedidos!$A$2:$A$1801,0)),"")</f>
        <v/>
      </c>
      <c r="M2677" s="26">
        <f>IFERROR(INDEX(Pedidos!$G$2:$G$1801,MATCH(B2677,Pedidos!$A$2:$A$1801,0)),0)</f>
        <v/>
      </c>
      <c r="N2677" s="25">
        <f>IFERROR(INDEX(Produtos!$B$2:$B$71,MATCH(C2677,Produtos!$A$2:$A$71,0)),"")</f>
        <v/>
      </c>
      <c r="O2677" s="25">
        <f>IFERROR(INDEX(Produtos!$C$2:$C$71,MATCH(C2677,Produtos!$A$2:$A$71,0)),"")</f>
        <v/>
      </c>
      <c r="P2677" s="25">
        <f>IFERROR(INDEX(Produtos!$D$2:$D$71,MATCH(C2677,Produtos!$A$2:$A$71,0)),0)</f>
        <v/>
      </c>
      <c r="Q2677" s="25">
        <f>IFERROR(INDEX(Produtos!$E$2:$E$71,MATCH(C2677,Produtos!$A$2:$A$71,0)),0)</f>
        <v/>
      </c>
      <c r="R2677" s="27">
        <f>D2677*Q2677</f>
        <v/>
      </c>
      <c r="S2677" s="27">
        <f>R2677*E2677</f>
        <v/>
      </c>
      <c r="T2677" s="27">
        <f>(R2677-S2677)*M2677</f>
        <v/>
      </c>
      <c r="U2677" s="27">
        <f>R2677-S2677-T2677</f>
        <v/>
      </c>
      <c r="V2677" s="27">
        <f>D2677*P2677</f>
        <v/>
      </c>
      <c r="W2677" s="27">
        <f>U2677-V2677</f>
        <v/>
      </c>
      <c r="X2677" s="28">
        <f>IFERROR(W2677/U2677,0)</f>
        <v/>
      </c>
    </row>
    <row r="2678">
      <c r="A2678" s="21">
        <f>ItensPedido!A2678</f>
        <v/>
      </c>
      <c r="B2678" s="21">
        <f>ItensPedido!B2678</f>
        <v/>
      </c>
      <c r="C2678" s="21">
        <f>ItensPedido!C2678</f>
        <v/>
      </c>
      <c r="D2678" s="21">
        <f>ItensPedido!D2678</f>
        <v/>
      </c>
      <c r="E2678" s="22">
        <f>ItensPedido!E2678</f>
        <v/>
      </c>
      <c r="F2678" s="21">
        <f>IFERROR(INDEX(Pedidos!$B$2:$B$1801,MATCH(B2678,Pedidos!$A$2:$A$1801,0)),0)</f>
        <v/>
      </c>
      <c r="G2678" s="21">
        <f>IF(F2678=0,"",YEAR(F2678))</f>
        <v/>
      </c>
      <c r="H2678" s="21">
        <f>IF(F2678=0,"",MONTH(F2678))</f>
        <v/>
      </c>
      <c r="I2678" s="21">
        <f>IFERROR(INDEX(Pedidos!$E$2:$E$1801,MATCH(B2678,Pedidos!$A$2:$A$1801,0)),"")</f>
        <v/>
      </c>
      <c r="J2678" s="21">
        <f>IFERROR(INDEX(Pedidos!$C$2:$C$1801,MATCH(B2678,Pedidos!$A$2:$A$1801,0)),"")</f>
        <v/>
      </c>
      <c r="K2678" s="21">
        <f>IFERROR(INDEX(Pedidos!$D$2:$D$1801,MATCH(B2678,Pedidos!$A$2:$A$1801,0)),"")</f>
        <v/>
      </c>
      <c r="L2678" s="21">
        <f>IFERROR(INDEX(Pedidos!$F$2:$F$1801,MATCH(B2678,Pedidos!$A$2:$A$1801,0)),"")</f>
        <v/>
      </c>
      <c r="M2678" s="22">
        <f>IFERROR(INDEX(Pedidos!$G$2:$G$1801,MATCH(B2678,Pedidos!$A$2:$A$1801,0)),0)</f>
        <v/>
      </c>
      <c r="N2678" s="21">
        <f>IFERROR(INDEX(Produtos!$B$2:$B$71,MATCH(C2678,Produtos!$A$2:$A$71,0)),"")</f>
        <v/>
      </c>
      <c r="O2678" s="21">
        <f>IFERROR(INDEX(Produtos!$C$2:$C$71,MATCH(C2678,Produtos!$A$2:$A$71,0)),"")</f>
        <v/>
      </c>
      <c r="P2678" s="21">
        <f>IFERROR(INDEX(Produtos!$D$2:$D$71,MATCH(C2678,Produtos!$A$2:$A$71,0)),0)</f>
        <v/>
      </c>
      <c r="Q2678" s="21">
        <f>IFERROR(INDEX(Produtos!$E$2:$E$71,MATCH(C2678,Produtos!$A$2:$A$71,0)),0)</f>
        <v/>
      </c>
      <c r="R2678" s="23">
        <f>D2678*Q2678</f>
        <v/>
      </c>
      <c r="S2678" s="23">
        <f>R2678*E2678</f>
        <v/>
      </c>
      <c r="T2678" s="23">
        <f>(R2678-S2678)*M2678</f>
        <v/>
      </c>
      <c r="U2678" s="23">
        <f>R2678-S2678-T2678</f>
        <v/>
      </c>
      <c r="V2678" s="23">
        <f>D2678*P2678</f>
        <v/>
      </c>
      <c r="W2678" s="23">
        <f>U2678-V2678</f>
        <v/>
      </c>
      <c r="X2678" s="24">
        <f>IFERROR(W2678/U2678,0)</f>
        <v/>
      </c>
    </row>
    <row r="2679">
      <c r="A2679" s="25">
        <f>ItensPedido!A2679</f>
        <v/>
      </c>
      <c r="B2679" s="25">
        <f>ItensPedido!B2679</f>
        <v/>
      </c>
      <c r="C2679" s="25">
        <f>ItensPedido!C2679</f>
        <v/>
      </c>
      <c r="D2679" s="25">
        <f>ItensPedido!D2679</f>
        <v/>
      </c>
      <c r="E2679" s="26">
        <f>ItensPedido!E2679</f>
        <v/>
      </c>
      <c r="F2679" s="25">
        <f>IFERROR(INDEX(Pedidos!$B$2:$B$1801,MATCH(B2679,Pedidos!$A$2:$A$1801,0)),0)</f>
        <v/>
      </c>
      <c r="G2679" s="25">
        <f>IF(F2679=0,"",YEAR(F2679))</f>
        <v/>
      </c>
      <c r="H2679" s="25">
        <f>IF(F2679=0,"",MONTH(F2679))</f>
        <v/>
      </c>
      <c r="I2679" s="25">
        <f>IFERROR(INDEX(Pedidos!$E$2:$E$1801,MATCH(B2679,Pedidos!$A$2:$A$1801,0)),"")</f>
        <v/>
      </c>
      <c r="J2679" s="25">
        <f>IFERROR(INDEX(Pedidos!$C$2:$C$1801,MATCH(B2679,Pedidos!$A$2:$A$1801,0)),"")</f>
        <v/>
      </c>
      <c r="K2679" s="25">
        <f>IFERROR(INDEX(Pedidos!$D$2:$D$1801,MATCH(B2679,Pedidos!$A$2:$A$1801,0)),"")</f>
        <v/>
      </c>
      <c r="L2679" s="25">
        <f>IFERROR(INDEX(Pedidos!$F$2:$F$1801,MATCH(B2679,Pedidos!$A$2:$A$1801,0)),"")</f>
        <v/>
      </c>
      <c r="M2679" s="26">
        <f>IFERROR(INDEX(Pedidos!$G$2:$G$1801,MATCH(B2679,Pedidos!$A$2:$A$1801,0)),0)</f>
        <v/>
      </c>
      <c r="N2679" s="25">
        <f>IFERROR(INDEX(Produtos!$B$2:$B$71,MATCH(C2679,Produtos!$A$2:$A$71,0)),"")</f>
        <v/>
      </c>
      <c r="O2679" s="25">
        <f>IFERROR(INDEX(Produtos!$C$2:$C$71,MATCH(C2679,Produtos!$A$2:$A$71,0)),"")</f>
        <v/>
      </c>
      <c r="P2679" s="25">
        <f>IFERROR(INDEX(Produtos!$D$2:$D$71,MATCH(C2679,Produtos!$A$2:$A$71,0)),0)</f>
        <v/>
      </c>
      <c r="Q2679" s="25">
        <f>IFERROR(INDEX(Produtos!$E$2:$E$71,MATCH(C2679,Produtos!$A$2:$A$71,0)),0)</f>
        <v/>
      </c>
      <c r="R2679" s="27">
        <f>D2679*Q2679</f>
        <v/>
      </c>
      <c r="S2679" s="27">
        <f>R2679*E2679</f>
        <v/>
      </c>
      <c r="T2679" s="27">
        <f>(R2679-S2679)*M2679</f>
        <v/>
      </c>
      <c r="U2679" s="27">
        <f>R2679-S2679-T2679</f>
        <v/>
      </c>
      <c r="V2679" s="27">
        <f>D2679*P2679</f>
        <v/>
      </c>
      <c r="W2679" s="27">
        <f>U2679-V2679</f>
        <v/>
      </c>
      <c r="X2679" s="28">
        <f>IFERROR(W2679/U2679,0)</f>
        <v/>
      </c>
    </row>
    <row r="2680">
      <c r="A2680" s="21">
        <f>ItensPedido!A2680</f>
        <v/>
      </c>
      <c r="B2680" s="21">
        <f>ItensPedido!B2680</f>
        <v/>
      </c>
      <c r="C2680" s="21">
        <f>ItensPedido!C2680</f>
        <v/>
      </c>
      <c r="D2680" s="21">
        <f>ItensPedido!D2680</f>
        <v/>
      </c>
      <c r="E2680" s="22">
        <f>ItensPedido!E2680</f>
        <v/>
      </c>
      <c r="F2680" s="21">
        <f>IFERROR(INDEX(Pedidos!$B$2:$B$1801,MATCH(B2680,Pedidos!$A$2:$A$1801,0)),0)</f>
        <v/>
      </c>
      <c r="G2680" s="21">
        <f>IF(F2680=0,"",YEAR(F2680))</f>
        <v/>
      </c>
      <c r="H2680" s="21">
        <f>IF(F2680=0,"",MONTH(F2680))</f>
        <v/>
      </c>
      <c r="I2680" s="21">
        <f>IFERROR(INDEX(Pedidos!$E$2:$E$1801,MATCH(B2680,Pedidos!$A$2:$A$1801,0)),"")</f>
        <v/>
      </c>
      <c r="J2680" s="21">
        <f>IFERROR(INDEX(Pedidos!$C$2:$C$1801,MATCH(B2680,Pedidos!$A$2:$A$1801,0)),"")</f>
        <v/>
      </c>
      <c r="K2680" s="21">
        <f>IFERROR(INDEX(Pedidos!$D$2:$D$1801,MATCH(B2680,Pedidos!$A$2:$A$1801,0)),"")</f>
        <v/>
      </c>
      <c r="L2680" s="21">
        <f>IFERROR(INDEX(Pedidos!$F$2:$F$1801,MATCH(B2680,Pedidos!$A$2:$A$1801,0)),"")</f>
        <v/>
      </c>
      <c r="M2680" s="22">
        <f>IFERROR(INDEX(Pedidos!$G$2:$G$1801,MATCH(B2680,Pedidos!$A$2:$A$1801,0)),0)</f>
        <v/>
      </c>
      <c r="N2680" s="21">
        <f>IFERROR(INDEX(Produtos!$B$2:$B$71,MATCH(C2680,Produtos!$A$2:$A$71,0)),"")</f>
        <v/>
      </c>
      <c r="O2680" s="21">
        <f>IFERROR(INDEX(Produtos!$C$2:$C$71,MATCH(C2680,Produtos!$A$2:$A$71,0)),"")</f>
        <v/>
      </c>
      <c r="P2680" s="21">
        <f>IFERROR(INDEX(Produtos!$D$2:$D$71,MATCH(C2680,Produtos!$A$2:$A$71,0)),0)</f>
        <v/>
      </c>
      <c r="Q2680" s="21">
        <f>IFERROR(INDEX(Produtos!$E$2:$E$71,MATCH(C2680,Produtos!$A$2:$A$71,0)),0)</f>
        <v/>
      </c>
      <c r="R2680" s="23">
        <f>D2680*Q2680</f>
        <v/>
      </c>
      <c r="S2680" s="23">
        <f>R2680*E2680</f>
        <v/>
      </c>
      <c r="T2680" s="23">
        <f>(R2680-S2680)*M2680</f>
        <v/>
      </c>
      <c r="U2680" s="23">
        <f>R2680-S2680-T2680</f>
        <v/>
      </c>
      <c r="V2680" s="23">
        <f>D2680*P2680</f>
        <v/>
      </c>
      <c r="W2680" s="23">
        <f>U2680-V2680</f>
        <v/>
      </c>
      <c r="X2680" s="24">
        <f>IFERROR(W2680/U2680,0)</f>
        <v/>
      </c>
    </row>
    <row r="2681">
      <c r="A2681" s="25">
        <f>ItensPedido!A2681</f>
        <v/>
      </c>
      <c r="B2681" s="25">
        <f>ItensPedido!B2681</f>
        <v/>
      </c>
      <c r="C2681" s="25">
        <f>ItensPedido!C2681</f>
        <v/>
      </c>
      <c r="D2681" s="25">
        <f>ItensPedido!D2681</f>
        <v/>
      </c>
      <c r="E2681" s="26">
        <f>ItensPedido!E2681</f>
        <v/>
      </c>
      <c r="F2681" s="25">
        <f>IFERROR(INDEX(Pedidos!$B$2:$B$1801,MATCH(B2681,Pedidos!$A$2:$A$1801,0)),0)</f>
        <v/>
      </c>
      <c r="G2681" s="25">
        <f>IF(F2681=0,"",YEAR(F2681))</f>
        <v/>
      </c>
      <c r="H2681" s="25">
        <f>IF(F2681=0,"",MONTH(F2681))</f>
        <v/>
      </c>
      <c r="I2681" s="25">
        <f>IFERROR(INDEX(Pedidos!$E$2:$E$1801,MATCH(B2681,Pedidos!$A$2:$A$1801,0)),"")</f>
        <v/>
      </c>
      <c r="J2681" s="25">
        <f>IFERROR(INDEX(Pedidos!$C$2:$C$1801,MATCH(B2681,Pedidos!$A$2:$A$1801,0)),"")</f>
        <v/>
      </c>
      <c r="K2681" s="25">
        <f>IFERROR(INDEX(Pedidos!$D$2:$D$1801,MATCH(B2681,Pedidos!$A$2:$A$1801,0)),"")</f>
        <v/>
      </c>
      <c r="L2681" s="25">
        <f>IFERROR(INDEX(Pedidos!$F$2:$F$1801,MATCH(B2681,Pedidos!$A$2:$A$1801,0)),"")</f>
        <v/>
      </c>
      <c r="M2681" s="26">
        <f>IFERROR(INDEX(Pedidos!$G$2:$G$1801,MATCH(B2681,Pedidos!$A$2:$A$1801,0)),0)</f>
        <v/>
      </c>
      <c r="N2681" s="25">
        <f>IFERROR(INDEX(Produtos!$B$2:$B$71,MATCH(C2681,Produtos!$A$2:$A$71,0)),"")</f>
        <v/>
      </c>
      <c r="O2681" s="25">
        <f>IFERROR(INDEX(Produtos!$C$2:$C$71,MATCH(C2681,Produtos!$A$2:$A$71,0)),"")</f>
        <v/>
      </c>
      <c r="P2681" s="25">
        <f>IFERROR(INDEX(Produtos!$D$2:$D$71,MATCH(C2681,Produtos!$A$2:$A$71,0)),0)</f>
        <v/>
      </c>
      <c r="Q2681" s="25">
        <f>IFERROR(INDEX(Produtos!$E$2:$E$71,MATCH(C2681,Produtos!$A$2:$A$71,0)),0)</f>
        <v/>
      </c>
      <c r="R2681" s="27">
        <f>D2681*Q2681</f>
        <v/>
      </c>
      <c r="S2681" s="27">
        <f>R2681*E2681</f>
        <v/>
      </c>
      <c r="T2681" s="27">
        <f>(R2681-S2681)*M2681</f>
        <v/>
      </c>
      <c r="U2681" s="27">
        <f>R2681-S2681-T2681</f>
        <v/>
      </c>
      <c r="V2681" s="27">
        <f>D2681*P2681</f>
        <v/>
      </c>
      <c r="W2681" s="27">
        <f>U2681-V2681</f>
        <v/>
      </c>
      <c r="X2681" s="28">
        <f>IFERROR(W2681/U2681,0)</f>
        <v/>
      </c>
    </row>
    <row r="2682">
      <c r="A2682" s="21">
        <f>ItensPedido!A2682</f>
        <v/>
      </c>
      <c r="B2682" s="21">
        <f>ItensPedido!B2682</f>
        <v/>
      </c>
      <c r="C2682" s="21">
        <f>ItensPedido!C2682</f>
        <v/>
      </c>
      <c r="D2682" s="21">
        <f>ItensPedido!D2682</f>
        <v/>
      </c>
      <c r="E2682" s="22">
        <f>ItensPedido!E2682</f>
        <v/>
      </c>
      <c r="F2682" s="21">
        <f>IFERROR(INDEX(Pedidos!$B$2:$B$1801,MATCH(B2682,Pedidos!$A$2:$A$1801,0)),0)</f>
        <v/>
      </c>
      <c r="G2682" s="21">
        <f>IF(F2682=0,"",YEAR(F2682))</f>
        <v/>
      </c>
      <c r="H2682" s="21">
        <f>IF(F2682=0,"",MONTH(F2682))</f>
        <v/>
      </c>
      <c r="I2682" s="21">
        <f>IFERROR(INDEX(Pedidos!$E$2:$E$1801,MATCH(B2682,Pedidos!$A$2:$A$1801,0)),"")</f>
        <v/>
      </c>
      <c r="J2682" s="21">
        <f>IFERROR(INDEX(Pedidos!$C$2:$C$1801,MATCH(B2682,Pedidos!$A$2:$A$1801,0)),"")</f>
        <v/>
      </c>
      <c r="K2682" s="21">
        <f>IFERROR(INDEX(Pedidos!$D$2:$D$1801,MATCH(B2682,Pedidos!$A$2:$A$1801,0)),"")</f>
        <v/>
      </c>
      <c r="L2682" s="21">
        <f>IFERROR(INDEX(Pedidos!$F$2:$F$1801,MATCH(B2682,Pedidos!$A$2:$A$1801,0)),"")</f>
        <v/>
      </c>
      <c r="M2682" s="22">
        <f>IFERROR(INDEX(Pedidos!$G$2:$G$1801,MATCH(B2682,Pedidos!$A$2:$A$1801,0)),0)</f>
        <v/>
      </c>
      <c r="N2682" s="21">
        <f>IFERROR(INDEX(Produtos!$B$2:$B$71,MATCH(C2682,Produtos!$A$2:$A$71,0)),"")</f>
        <v/>
      </c>
      <c r="O2682" s="21">
        <f>IFERROR(INDEX(Produtos!$C$2:$C$71,MATCH(C2682,Produtos!$A$2:$A$71,0)),"")</f>
        <v/>
      </c>
      <c r="P2682" s="21">
        <f>IFERROR(INDEX(Produtos!$D$2:$D$71,MATCH(C2682,Produtos!$A$2:$A$71,0)),0)</f>
        <v/>
      </c>
      <c r="Q2682" s="21">
        <f>IFERROR(INDEX(Produtos!$E$2:$E$71,MATCH(C2682,Produtos!$A$2:$A$71,0)),0)</f>
        <v/>
      </c>
      <c r="R2682" s="23">
        <f>D2682*Q2682</f>
        <v/>
      </c>
      <c r="S2682" s="23">
        <f>R2682*E2682</f>
        <v/>
      </c>
      <c r="T2682" s="23">
        <f>(R2682-S2682)*M2682</f>
        <v/>
      </c>
      <c r="U2682" s="23">
        <f>R2682-S2682-T2682</f>
        <v/>
      </c>
      <c r="V2682" s="23">
        <f>D2682*P2682</f>
        <v/>
      </c>
      <c r="W2682" s="23">
        <f>U2682-V2682</f>
        <v/>
      </c>
      <c r="X2682" s="24">
        <f>IFERROR(W2682/U2682,0)</f>
        <v/>
      </c>
    </row>
    <row r="2683">
      <c r="A2683" s="25">
        <f>ItensPedido!A2683</f>
        <v/>
      </c>
      <c r="B2683" s="25">
        <f>ItensPedido!B2683</f>
        <v/>
      </c>
      <c r="C2683" s="25">
        <f>ItensPedido!C2683</f>
        <v/>
      </c>
      <c r="D2683" s="25">
        <f>ItensPedido!D2683</f>
        <v/>
      </c>
      <c r="E2683" s="26">
        <f>ItensPedido!E2683</f>
        <v/>
      </c>
      <c r="F2683" s="25">
        <f>IFERROR(INDEX(Pedidos!$B$2:$B$1801,MATCH(B2683,Pedidos!$A$2:$A$1801,0)),0)</f>
        <v/>
      </c>
      <c r="G2683" s="25">
        <f>IF(F2683=0,"",YEAR(F2683))</f>
        <v/>
      </c>
      <c r="H2683" s="25">
        <f>IF(F2683=0,"",MONTH(F2683))</f>
        <v/>
      </c>
      <c r="I2683" s="25">
        <f>IFERROR(INDEX(Pedidos!$E$2:$E$1801,MATCH(B2683,Pedidos!$A$2:$A$1801,0)),"")</f>
        <v/>
      </c>
      <c r="J2683" s="25">
        <f>IFERROR(INDEX(Pedidos!$C$2:$C$1801,MATCH(B2683,Pedidos!$A$2:$A$1801,0)),"")</f>
        <v/>
      </c>
      <c r="K2683" s="25">
        <f>IFERROR(INDEX(Pedidos!$D$2:$D$1801,MATCH(B2683,Pedidos!$A$2:$A$1801,0)),"")</f>
        <v/>
      </c>
      <c r="L2683" s="25">
        <f>IFERROR(INDEX(Pedidos!$F$2:$F$1801,MATCH(B2683,Pedidos!$A$2:$A$1801,0)),"")</f>
        <v/>
      </c>
      <c r="M2683" s="26">
        <f>IFERROR(INDEX(Pedidos!$G$2:$G$1801,MATCH(B2683,Pedidos!$A$2:$A$1801,0)),0)</f>
        <v/>
      </c>
      <c r="N2683" s="25">
        <f>IFERROR(INDEX(Produtos!$B$2:$B$71,MATCH(C2683,Produtos!$A$2:$A$71,0)),"")</f>
        <v/>
      </c>
      <c r="O2683" s="25">
        <f>IFERROR(INDEX(Produtos!$C$2:$C$71,MATCH(C2683,Produtos!$A$2:$A$71,0)),"")</f>
        <v/>
      </c>
      <c r="P2683" s="25">
        <f>IFERROR(INDEX(Produtos!$D$2:$D$71,MATCH(C2683,Produtos!$A$2:$A$71,0)),0)</f>
        <v/>
      </c>
      <c r="Q2683" s="25">
        <f>IFERROR(INDEX(Produtos!$E$2:$E$71,MATCH(C2683,Produtos!$A$2:$A$71,0)),0)</f>
        <v/>
      </c>
      <c r="R2683" s="27">
        <f>D2683*Q2683</f>
        <v/>
      </c>
      <c r="S2683" s="27">
        <f>R2683*E2683</f>
        <v/>
      </c>
      <c r="T2683" s="27">
        <f>(R2683-S2683)*M2683</f>
        <v/>
      </c>
      <c r="U2683" s="27">
        <f>R2683-S2683-T2683</f>
        <v/>
      </c>
      <c r="V2683" s="27">
        <f>D2683*P2683</f>
        <v/>
      </c>
      <c r="W2683" s="27">
        <f>U2683-V2683</f>
        <v/>
      </c>
      <c r="X2683" s="28">
        <f>IFERROR(W2683/U2683,0)</f>
        <v/>
      </c>
    </row>
    <row r="2684">
      <c r="A2684" s="21">
        <f>ItensPedido!A2684</f>
        <v/>
      </c>
      <c r="B2684" s="21">
        <f>ItensPedido!B2684</f>
        <v/>
      </c>
      <c r="C2684" s="21">
        <f>ItensPedido!C2684</f>
        <v/>
      </c>
      <c r="D2684" s="21">
        <f>ItensPedido!D2684</f>
        <v/>
      </c>
      <c r="E2684" s="22">
        <f>ItensPedido!E2684</f>
        <v/>
      </c>
      <c r="F2684" s="21">
        <f>IFERROR(INDEX(Pedidos!$B$2:$B$1801,MATCH(B2684,Pedidos!$A$2:$A$1801,0)),0)</f>
        <v/>
      </c>
      <c r="G2684" s="21">
        <f>IF(F2684=0,"",YEAR(F2684))</f>
        <v/>
      </c>
      <c r="H2684" s="21">
        <f>IF(F2684=0,"",MONTH(F2684))</f>
        <v/>
      </c>
      <c r="I2684" s="21">
        <f>IFERROR(INDEX(Pedidos!$E$2:$E$1801,MATCH(B2684,Pedidos!$A$2:$A$1801,0)),"")</f>
        <v/>
      </c>
      <c r="J2684" s="21">
        <f>IFERROR(INDEX(Pedidos!$C$2:$C$1801,MATCH(B2684,Pedidos!$A$2:$A$1801,0)),"")</f>
        <v/>
      </c>
      <c r="K2684" s="21">
        <f>IFERROR(INDEX(Pedidos!$D$2:$D$1801,MATCH(B2684,Pedidos!$A$2:$A$1801,0)),"")</f>
        <v/>
      </c>
      <c r="L2684" s="21">
        <f>IFERROR(INDEX(Pedidos!$F$2:$F$1801,MATCH(B2684,Pedidos!$A$2:$A$1801,0)),"")</f>
        <v/>
      </c>
      <c r="M2684" s="22">
        <f>IFERROR(INDEX(Pedidos!$G$2:$G$1801,MATCH(B2684,Pedidos!$A$2:$A$1801,0)),0)</f>
        <v/>
      </c>
      <c r="N2684" s="21">
        <f>IFERROR(INDEX(Produtos!$B$2:$B$71,MATCH(C2684,Produtos!$A$2:$A$71,0)),"")</f>
        <v/>
      </c>
      <c r="O2684" s="21">
        <f>IFERROR(INDEX(Produtos!$C$2:$C$71,MATCH(C2684,Produtos!$A$2:$A$71,0)),"")</f>
        <v/>
      </c>
      <c r="P2684" s="21">
        <f>IFERROR(INDEX(Produtos!$D$2:$D$71,MATCH(C2684,Produtos!$A$2:$A$71,0)),0)</f>
        <v/>
      </c>
      <c r="Q2684" s="21">
        <f>IFERROR(INDEX(Produtos!$E$2:$E$71,MATCH(C2684,Produtos!$A$2:$A$71,0)),0)</f>
        <v/>
      </c>
      <c r="R2684" s="23">
        <f>D2684*Q2684</f>
        <v/>
      </c>
      <c r="S2684" s="23">
        <f>R2684*E2684</f>
        <v/>
      </c>
      <c r="T2684" s="23">
        <f>(R2684-S2684)*M2684</f>
        <v/>
      </c>
      <c r="U2684" s="23">
        <f>R2684-S2684-T2684</f>
        <v/>
      </c>
      <c r="V2684" s="23">
        <f>D2684*P2684</f>
        <v/>
      </c>
      <c r="W2684" s="23">
        <f>U2684-V2684</f>
        <v/>
      </c>
      <c r="X2684" s="24">
        <f>IFERROR(W2684/U2684,0)</f>
        <v/>
      </c>
    </row>
    <row r="2685">
      <c r="A2685" s="25">
        <f>ItensPedido!A2685</f>
        <v/>
      </c>
      <c r="B2685" s="25">
        <f>ItensPedido!B2685</f>
        <v/>
      </c>
      <c r="C2685" s="25">
        <f>ItensPedido!C2685</f>
        <v/>
      </c>
      <c r="D2685" s="25">
        <f>ItensPedido!D2685</f>
        <v/>
      </c>
      <c r="E2685" s="26">
        <f>ItensPedido!E2685</f>
        <v/>
      </c>
      <c r="F2685" s="25">
        <f>IFERROR(INDEX(Pedidos!$B$2:$B$1801,MATCH(B2685,Pedidos!$A$2:$A$1801,0)),0)</f>
        <v/>
      </c>
      <c r="G2685" s="25">
        <f>IF(F2685=0,"",YEAR(F2685))</f>
        <v/>
      </c>
      <c r="H2685" s="25">
        <f>IF(F2685=0,"",MONTH(F2685))</f>
        <v/>
      </c>
      <c r="I2685" s="25">
        <f>IFERROR(INDEX(Pedidos!$E$2:$E$1801,MATCH(B2685,Pedidos!$A$2:$A$1801,0)),"")</f>
        <v/>
      </c>
      <c r="J2685" s="25">
        <f>IFERROR(INDEX(Pedidos!$C$2:$C$1801,MATCH(B2685,Pedidos!$A$2:$A$1801,0)),"")</f>
        <v/>
      </c>
      <c r="K2685" s="25">
        <f>IFERROR(INDEX(Pedidos!$D$2:$D$1801,MATCH(B2685,Pedidos!$A$2:$A$1801,0)),"")</f>
        <v/>
      </c>
      <c r="L2685" s="25">
        <f>IFERROR(INDEX(Pedidos!$F$2:$F$1801,MATCH(B2685,Pedidos!$A$2:$A$1801,0)),"")</f>
        <v/>
      </c>
      <c r="M2685" s="26">
        <f>IFERROR(INDEX(Pedidos!$G$2:$G$1801,MATCH(B2685,Pedidos!$A$2:$A$1801,0)),0)</f>
        <v/>
      </c>
      <c r="N2685" s="25">
        <f>IFERROR(INDEX(Produtos!$B$2:$B$71,MATCH(C2685,Produtos!$A$2:$A$71,0)),"")</f>
        <v/>
      </c>
      <c r="O2685" s="25">
        <f>IFERROR(INDEX(Produtos!$C$2:$C$71,MATCH(C2685,Produtos!$A$2:$A$71,0)),"")</f>
        <v/>
      </c>
      <c r="P2685" s="25">
        <f>IFERROR(INDEX(Produtos!$D$2:$D$71,MATCH(C2685,Produtos!$A$2:$A$71,0)),0)</f>
        <v/>
      </c>
      <c r="Q2685" s="25">
        <f>IFERROR(INDEX(Produtos!$E$2:$E$71,MATCH(C2685,Produtos!$A$2:$A$71,0)),0)</f>
        <v/>
      </c>
      <c r="R2685" s="27">
        <f>D2685*Q2685</f>
        <v/>
      </c>
      <c r="S2685" s="27">
        <f>R2685*E2685</f>
        <v/>
      </c>
      <c r="T2685" s="27">
        <f>(R2685-S2685)*M2685</f>
        <v/>
      </c>
      <c r="U2685" s="27">
        <f>R2685-S2685-T2685</f>
        <v/>
      </c>
      <c r="V2685" s="27">
        <f>D2685*P2685</f>
        <v/>
      </c>
      <c r="W2685" s="27">
        <f>U2685-V2685</f>
        <v/>
      </c>
      <c r="X2685" s="28">
        <f>IFERROR(W2685/U2685,0)</f>
        <v/>
      </c>
    </row>
    <row r="2686">
      <c r="A2686" s="21">
        <f>ItensPedido!A2686</f>
        <v/>
      </c>
      <c r="B2686" s="21">
        <f>ItensPedido!B2686</f>
        <v/>
      </c>
      <c r="C2686" s="21">
        <f>ItensPedido!C2686</f>
        <v/>
      </c>
      <c r="D2686" s="21">
        <f>ItensPedido!D2686</f>
        <v/>
      </c>
      <c r="E2686" s="22">
        <f>ItensPedido!E2686</f>
        <v/>
      </c>
      <c r="F2686" s="21">
        <f>IFERROR(INDEX(Pedidos!$B$2:$B$1801,MATCH(B2686,Pedidos!$A$2:$A$1801,0)),0)</f>
        <v/>
      </c>
      <c r="G2686" s="21">
        <f>IF(F2686=0,"",YEAR(F2686))</f>
        <v/>
      </c>
      <c r="H2686" s="21">
        <f>IF(F2686=0,"",MONTH(F2686))</f>
        <v/>
      </c>
      <c r="I2686" s="21">
        <f>IFERROR(INDEX(Pedidos!$E$2:$E$1801,MATCH(B2686,Pedidos!$A$2:$A$1801,0)),"")</f>
        <v/>
      </c>
      <c r="J2686" s="21">
        <f>IFERROR(INDEX(Pedidos!$C$2:$C$1801,MATCH(B2686,Pedidos!$A$2:$A$1801,0)),"")</f>
        <v/>
      </c>
      <c r="K2686" s="21">
        <f>IFERROR(INDEX(Pedidos!$D$2:$D$1801,MATCH(B2686,Pedidos!$A$2:$A$1801,0)),"")</f>
        <v/>
      </c>
      <c r="L2686" s="21">
        <f>IFERROR(INDEX(Pedidos!$F$2:$F$1801,MATCH(B2686,Pedidos!$A$2:$A$1801,0)),"")</f>
        <v/>
      </c>
      <c r="M2686" s="22">
        <f>IFERROR(INDEX(Pedidos!$G$2:$G$1801,MATCH(B2686,Pedidos!$A$2:$A$1801,0)),0)</f>
        <v/>
      </c>
      <c r="N2686" s="21">
        <f>IFERROR(INDEX(Produtos!$B$2:$B$71,MATCH(C2686,Produtos!$A$2:$A$71,0)),"")</f>
        <v/>
      </c>
      <c r="O2686" s="21">
        <f>IFERROR(INDEX(Produtos!$C$2:$C$71,MATCH(C2686,Produtos!$A$2:$A$71,0)),"")</f>
        <v/>
      </c>
      <c r="P2686" s="21">
        <f>IFERROR(INDEX(Produtos!$D$2:$D$71,MATCH(C2686,Produtos!$A$2:$A$71,0)),0)</f>
        <v/>
      </c>
      <c r="Q2686" s="21">
        <f>IFERROR(INDEX(Produtos!$E$2:$E$71,MATCH(C2686,Produtos!$A$2:$A$71,0)),0)</f>
        <v/>
      </c>
      <c r="R2686" s="23">
        <f>D2686*Q2686</f>
        <v/>
      </c>
      <c r="S2686" s="23">
        <f>R2686*E2686</f>
        <v/>
      </c>
      <c r="T2686" s="23">
        <f>(R2686-S2686)*M2686</f>
        <v/>
      </c>
      <c r="U2686" s="23">
        <f>R2686-S2686-T2686</f>
        <v/>
      </c>
      <c r="V2686" s="23">
        <f>D2686*P2686</f>
        <v/>
      </c>
      <c r="W2686" s="23">
        <f>U2686-V2686</f>
        <v/>
      </c>
      <c r="X2686" s="24">
        <f>IFERROR(W2686/U2686,0)</f>
        <v/>
      </c>
    </row>
    <row r="2687">
      <c r="A2687" s="25">
        <f>ItensPedido!A2687</f>
        <v/>
      </c>
      <c r="B2687" s="25">
        <f>ItensPedido!B2687</f>
        <v/>
      </c>
      <c r="C2687" s="25">
        <f>ItensPedido!C2687</f>
        <v/>
      </c>
      <c r="D2687" s="25">
        <f>ItensPedido!D2687</f>
        <v/>
      </c>
      <c r="E2687" s="26">
        <f>ItensPedido!E2687</f>
        <v/>
      </c>
      <c r="F2687" s="25">
        <f>IFERROR(INDEX(Pedidos!$B$2:$B$1801,MATCH(B2687,Pedidos!$A$2:$A$1801,0)),0)</f>
        <v/>
      </c>
      <c r="G2687" s="25">
        <f>IF(F2687=0,"",YEAR(F2687))</f>
        <v/>
      </c>
      <c r="H2687" s="25">
        <f>IF(F2687=0,"",MONTH(F2687))</f>
        <v/>
      </c>
      <c r="I2687" s="25">
        <f>IFERROR(INDEX(Pedidos!$E$2:$E$1801,MATCH(B2687,Pedidos!$A$2:$A$1801,0)),"")</f>
        <v/>
      </c>
      <c r="J2687" s="25">
        <f>IFERROR(INDEX(Pedidos!$C$2:$C$1801,MATCH(B2687,Pedidos!$A$2:$A$1801,0)),"")</f>
        <v/>
      </c>
      <c r="K2687" s="25">
        <f>IFERROR(INDEX(Pedidos!$D$2:$D$1801,MATCH(B2687,Pedidos!$A$2:$A$1801,0)),"")</f>
        <v/>
      </c>
      <c r="L2687" s="25">
        <f>IFERROR(INDEX(Pedidos!$F$2:$F$1801,MATCH(B2687,Pedidos!$A$2:$A$1801,0)),"")</f>
        <v/>
      </c>
      <c r="M2687" s="26">
        <f>IFERROR(INDEX(Pedidos!$G$2:$G$1801,MATCH(B2687,Pedidos!$A$2:$A$1801,0)),0)</f>
        <v/>
      </c>
      <c r="N2687" s="25">
        <f>IFERROR(INDEX(Produtos!$B$2:$B$71,MATCH(C2687,Produtos!$A$2:$A$71,0)),"")</f>
        <v/>
      </c>
      <c r="O2687" s="25">
        <f>IFERROR(INDEX(Produtos!$C$2:$C$71,MATCH(C2687,Produtos!$A$2:$A$71,0)),"")</f>
        <v/>
      </c>
      <c r="P2687" s="25">
        <f>IFERROR(INDEX(Produtos!$D$2:$D$71,MATCH(C2687,Produtos!$A$2:$A$71,0)),0)</f>
        <v/>
      </c>
      <c r="Q2687" s="25">
        <f>IFERROR(INDEX(Produtos!$E$2:$E$71,MATCH(C2687,Produtos!$A$2:$A$71,0)),0)</f>
        <v/>
      </c>
      <c r="R2687" s="27">
        <f>D2687*Q2687</f>
        <v/>
      </c>
      <c r="S2687" s="27">
        <f>R2687*E2687</f>
        <v/>
      </c>
      <c r="T2687" s="27">
        <f>(R2687-S2687)*M2687</f>
        <v/>
      </c>
      <c r="U2687" s="27">
        <f>R2687-S2687-T2687</f>
        <v/>
      </c>
      <c r="V2687" s="27">
        <f>D2687*P2687</f>
        <v/>
      </c>
      <c r="W2687" s="27">
        <f>U2687-V2687</f>
        <v/>
      </c>
      <c r="X2687" s="28">
        <f>IFERROR(W2687/U2687,0)</f>
        <v/>
      </c>
    </row>
    <row r="2688">
      <c r="A2688" s="21">
        <f>ItensPedido!A2688</f>
        <v/>
      </c>
      <c r="B2688" s="21">
        <f>ItensPedido!B2688</f>
        <v/>
      </c>
      <c r="C2688" s="21">
        <f>ItensPedido!C2688</f>
        <v/>
      </c>
      <c r="D2688" s="21">
        <f>ItensPedido!D2688</f>
        <v/>
      </c>
      <c r="E2688" s="22">
        <f>ItensPedido!E2688</f>
        <v/>
      </c>
      <c r="F2688" s="21">
        <f>IFERROR(INDEX(Pedidos!$B$2:$B$1801,MATCH(B2688,Pedidos!$A$2:$A$1801,0)),0)</f>
        <v/>
      </c>
      <c r="G2688" s="21">
        <f>IF(F2688=0,"",YEAR(F2688))</f>
        <v/>
      </c>
      <c r="H2688" s="21">
        <f>IF(F2688=0,"",MONTH(F2688))</f>
        <v/>
      </c>
      <c r="I2688" s="21">
        <f>IFERROR(INDEX(Pedidos!$E$2:$E$1801,MATCH(B2688,Pedidos!$A$2:$A$1801,0)),"")</f>
        <v/>
      </c>
      <c r="J2688" s="21">
        <f>IFERROR(INDEX(Pedidos!$C$2:$C$1801,MATCH(B2688,Pedidos!$A$2:$A$1801,0)),"")</f>
        <v/>
      </c>
      <c r="K2688" s="21">
        <f>IFERROR(INDEX(Pedidos!$D$2:$D$1801,MATCH(B2688,Pedidos!$A$2:$A$1801,0)),"")</f>
        <v/>
      </c>
      <c r="L2688" s="21">
        <f>IFERROR(INDEX(Pedidos!$F$2:$F$1801,MATCH(B2688,Pedidos!$A$2:$A$1801,0)),"")</f>
        <v/>
      </c>
      <c r="M2688" s="22">
        <f>IFERROR(INDEX(Pedidos!$G$2:$G$1801,MATCH(B2688,Pedidos!$A$2:$A$1801,0)),0)</f>
        <v/>
      </c>
      <c r="N2688" s="21">
        <f>IFERROR(INDEX(Produtos!$B$2:$B$71,MATCH(C2688,Produtos!$A$2:$A$71,0)),"")</f>
        <v/>
      </c>
      <c r="O2688" s="21">
        <f>IFERROR(INDEX(Produtos!$C$2:$C$71,MATCH(C2688,Produtos!$A$2:$A$71,0)),"")</f>
        <v/>
      </c>
      <c r="P2688" s="21">
        <f>IFERROR(INDEX(Produtos!$D$2:$D$71,MATCH(C2688,Produtos!$A$2:$A$71,0)),0)</f>
        <v/>
      </c>
      <c r="Q2688" s="21">
        <f>IFERROR(INDEX(Produtos!$E$2:$E$71,MATCH(C2688,Produtos!$A$2:$A$71,0)),0)</f>
        <v/>
      </c>
      <c r="R2688" s="23">
        <f>D2688*Q2688</f>
        <v/>
      </c>
      <c r="S2688" s="23">
        <f>R2688*E2688</f>
        <v/>
      </c>
      <c r="T2688" s="23">
        <f>(R2688-S2688)*M2688</f>
        <v/>
      </c>
      <c r="U2688" s="23">
        <f>R2688-S2688-T2688</f>
        <v/>
      </c>
      <c r="V2688" s="23">
        <f>D2688*P2688</f>
        <v/>
      </c>
      <c r="W2688" s="23">
        <f>U2688-V2688</f>
        <v/>
      </c>
      <c r="X2688" s="24">
        <f>IFERROR(W2688/U2688,0)</f>
        <v/>
      </c>
    </row>
    <row r="2689">
      <c r="A2689" s="25">
        <f>ItensPedido!A2689</f>
        <v/>
      </c>
      <c r="B2689" s="25">
        <f>ItensPedido!B2689</f>
        <v/>
      </c>
      <c r="C2689" s="25">
        <f>ItensPedido!C2689</f>
        <v/>
      </c>
      <c r="D2689" s="25">
        <f>ItensPedido!D2689</f>
        <v/>
      </c>
      <c r="E2689" s="26">
        <f>ItensPedido!E2689</f>
        <v/>
      </c>
      <c r="F2689" s="25">
        <f>IFERROR(INDEX(Pedidos!$B$2:$B$1801,MATCH(B2689,Pedidos!$A$2:$A$1801,0)),0)</f>
        <v/>
      </c>
      <c r="G2689" s="25">
        <f>IF(F2689=0,"",YEAR(F2689))</f>
        <v/>
      </c>
      <c r="H2689" s="25">
        <f>IF(F2689=0,"",MONTH(F2689))</f>
        <v/>
      </c>
      <c r="I2689" s="25">
        <f>IFERROR(INDEX(Pedidos!$E$2:$E$1801,MATCH(B2689,Pedidos!$A$2:$A$1801,0)),"")</f>
        <v/>
      </c>
      <c r="J2689" s="25">
        <f>IFERROR(INDEX(Pedidos!$C$2:$C$1801,MATCH(B2689,Pedidos!$A$2:$A$1801,0)),"")</f>
        <v/>
      </c>
      <c r="K2689" s="25">
        <f>IFERROR(INDEX(Pedidos!$D$2:$D$1801,MATCH(B2689,Pedidos!$A$2:$A$1801,0)),"")</f>
        <v/>
      </c>
      <c r="L2689" s="25">
        <f>IFERROR(INDEX(Pedidos!$F$2:$F$1801,MATCH(B2689,Pedidos!$A$2:$A$1801,0)),"")</f>
        <v/>
      </c>
      <c r="M2689" s="26">
        <f>IFERROR(INDEX(Pedidos!$G$2:$G$1801,MATCH(B2689,Pedidos!$A$2:$A$1801,0)),0)</f>
        <v/>
      </c>
      <c r="N2689" s="25">
        <f>IFERROR(INDEX(Produtos!$B$2:$B$71,MATCH(C2689,Produtos!$A$2:$A$71,0)),"")</f>
        <v/>
      </c>
      <c r="O2689" s="25">
        <f>IFERROR(INDEX(Produtos!$C$2:$C$71,MATCH(C2689,Produtos!$A$2:$A$71,0)),"")</f>
        <v/>
      </c>
      <c r="P2689" s="25">
        <f>IFERROR(INDEX(Produtos!$D$2:$D$71,MATCH(C2689,Produtos!$A$2:$A$71,0)),0)</f>
        <v/>
      </c>
      <c r="Q2689" s="25">
        <f>IFERROR(INDEX(Produtos!$E$2:$E$71,MATCH(C2689,Produtos!$A$2:$A$71,0)),0)</f>
        <v/>
      </c>
      <c r="R2689" s="27">
        <f>D2689*Q2689</f>
        <v/>
      </c>
      <c r="S2689" s="27">
        <f>R2689*E2689</f>
        <v/>
      </c>
      <c r="T2689" s="27">
        <f>(R2689-S2689)*M2689</f>
        <v/>
      </c>
      <c r="U2689" s="27">
        <f>R2689-S2689-T2689</f>
        <v/>
      </c>
      <c r="V2689" s="27">
        <f>D2689*P2689</f>
        <v/>
      </c>
      <c r="W2689" s="27">
        <f>U2689-V2689</f>
        <v/>
      </c>
      <c r="X2689" s="28">
        <f>IFERROR(W2689/U2689,0)</f>
        <v/>
      </c>
    </row>
    <row r="2690">
      <c r="A2690" s="21">
        <f>ItensPedido!A2690</f>
        <v/>
      </c>
      <c r="B2690" s="21">
        <f>ItensPedido!B2690</f>
        <v/>
      </c>
      <c r="C2690" s="21">
        <f>ItensPedido!C2690</f>
        <v/>
      </c>
      <c r="D2690" s="21">
        <f>ItensPedido!D2690</f>
        <v/>
      </c>
      <c r="E2690" s="22">
        <f>ItensPedido!E2690</f>
        <v/>
      </c>
      <c r="F2690" s="21">
        <f>IFERROR(INDEX(Pedidos!$B$2:$B$1801,MATCH(B2690,Pedidos!$A$2:$A$1801,0)),0)</f>
        <v/>
      </c>
      <c r="G2690" s="21">
        <f>IF(F2690=0,"",YEAR(F2690))</f>
        <v/>
      </c>
      <c r="H2690" s="21">
        <f>IF(F2690=0,"",MONTH(F2690))</f>
        <v/>
      </c>
      <c r="I2690" s="21">
        <f>IFERROR(INDEX(Pedidos!$E$2:$E$1801,MATCH(B2690,Pedidos!$A$2:$A$1801,0)),"")</f>
        <v/>
      </c>
      <c r="J2690" s="21">
        <f>IFERROR(INDEX(Pedidos!$C$2:$C$1801,MATCH(B2690,Pedidos!$A$2:$A$1801,0)),"")</f>
        <v/>
      </c>
      <c r="K2690" s="21">
        <f>IFERROR(INDEX(Pedidos!$D$2:$D$1801,MATCH(B2690,Pedidos!$A$2:$A$1801,0)),"")</f>
        <v/>
      </c>
      <c r="L2690" s="21">
        <f>IFERROR(INDEX(Pedidos!$F$2:$F$1801,MATCH(B2690,Pedidos!$A$2:$A$1801,0)),"")</f>
        <v/>
      </c>
      <c r="M2690" s="22">
        <f>IFERROR(INDEX(Pedidos!$G$2:$G$1801,MATCH(B2690,Pedidos!$A$2:$A$1801,0)),0)</f>
        <v/>
      </c>
      <c r="N2690" s="21">
        <f>IFERROR(INDEX(Produtos!$B$2:$B$71,MATCH(C2690,Produtos!$A$2:$A$71,0)),"")</f>
        <v/>
      </c>
      <c r="O2690" s="21">
        <f>IFERROR(INDEX(Produtos!$C$2:$C$71,MATCH(C2690,Produtos!$A$2:$A$71,0)),"")</f>
        <v/>
      </c>
      <c r="P2690" s="21">
        <f>IFERROR(INDEX(Produtos!$D$2:$D$71,MATCH(C2690,Produtos!$A$2:$A$71,0)),0)</f>
        <v/>
      </c>
      <c r="Q2690" s="21">
        <f>IFERROR(INDEX(Produtos!$E$2:$E$71,MATCH(C2690,Produtos!$A$2:$A$71,0)),0)</f>
        <v/>
      </c>
      <c r="R2690" s="23">
        <f>D2690*Q2690</f>
        <v/>
      </c>
      <c r="S2690" s="23">
        <f>R2690*E2690</f>
        <v/>
      </c>
      <c r="T2690" s="23">
        <f>(R2690-S2690)*M2690</f>
        <v/>
      </c>
      <c r="U2690" s="23">
        <f>R2690-S2690-T2690</f>
        <v/>
      </c>
      <c r="V2690" s="23">
        <f>D2690*P2690</f>
        <v/>
      </c>
      <c r="W2690" s="23">
        <f>U2690-V2690</f>
        <v/>
      </c>
      <c r="X2690" s="24">
        <f>IFERROR(W2690/U2690,0)</f>
        <v/>
      </c>
    </row>
    <row r="2691">
      <c r="A2691" s="25">
        <f>ItensPedido!A2691</f>
        <v/>
      </c>
      <c r="B2691" s="25">
        <f>ItensPedido!B2691</f>
        <v/>
      </c>
      <c r="C2691" s="25">
        <f>ItensPedido!C2691</f>
        <v/>
      </c>
      <c r="D2691" s="25">
        <f>ItensPedido!D2691</f>
        <v/>
      </c>
      <c r="E2691" s="26">
        <f>ItensPedido!E2691</f>
        <v/>
      </c>
      <c r="F2691" s="25">
        <f>IFERROR(INDEX(Pedidos!$B$2:$B$1801,MATCH(B2691,Pedidos!$A$2:$A$1801,0)),0)</f>
        <v/>
      </c>
      <c r="G2691" s="25">
        <f>IF(F2691=0,"",YEAR(F2691))</f>
        <v/>
      </c>
      <c r="H2691" s="25">
        <f>IF(F2691=0,"",MONTH(F2691))</f>
        <v/>
      </c>
      <c r="I2691" s="25">
        <f>IFERROR(INDEX(Pedidos!$E$2:$E$1801,MATCH(B2691,Pedidos!$A$2:$A$1801,0)),"")</f>
        <v/>
      </c>
      <c r="J2691" s="25">
        <f>IFERROR(INDEX(Pedidos!$C$2:$C$1801,MATCH(B2691,Pedidos!$A$2:$A$1801,0)),"")</f>
        <v/>
      </c>
      <c r="K2691" s="25">
        <f>IFERROR(INDEX(Pedidos!$D$2:$D$1801,MATCH(B2691,Pedidos!$A$2:$A$1801,0)),"")</f>
        <v/>
      </c>
      <c r="L2691" s="25">
        <f>IFERROR(INDEX(Pedidos!$F$2:$F$1801,MATCH(B2691,Pedidos!$A$2:$A$1801,0)),"")</f>
        <v/>
      </c>
      <c r="M2691" s="26">
        <f>IFERROR(INDEX(Pedidos!$G$2:$G$1801,MATCH(B2691,Pedidos!$A$2:$A$1801,0)),0)</f>
        <v/>
      </c>
      <c r="N2691" s="25">
        <f>IFERROR(INDEX(Produtos!$B$2:$B$71,MATCH(C2691,Produtos!$A$2:$A$71,0)),"")</f>
        <v/>
      </c>
      <c r="O2691" s="25">
        <f>IFERROR(INDEX(Produtos!$C$2:$C$71,MATCH(C2691,Produtos!$A$2:$A$71,0)),"")</f>
        <v/>
      </c>
      <c r="P2691" s="25">
        <f>IFERROR(INDEX(Produtos!$D$2:$D$71,MATCH(C2691,Produtos!$A$2:$A$71,0)),0)</f>
        <v/>
      </c>
      <c r="Q2691" s="25">
        <f>IFERROR(INDEX(Produtos!$E$2:$E$71,MATCH(C2691,Produtos!$A$2:$A$71,0)),0)</f>
        <v/>
      </c>
      <c r="R2691" s="27">
        <f>D2691*Q2691</f>
        <v/>
      </c>
      <c r="S2691" s="27">
        <f>R2691*E2691</f>
        <v/>
      </c>
      <c r="T2691" s="27">
        <f>(R2691-S2691)*M2691</f>
        <v/>
      </c>
      <c r="U2691" s="27">
        <f>R2691-S2691-T2691</f>
        <v/>
      </c>
      <c r="V2691" s="27">
        <f>D2691*P2691</f>
        <v/>
      </c>
      <c r="W2691" s="27">
        <f>U2691-V2691</f>
        <v/>
      </c>
      <c r="X2691" s="28">
        <f>IFERROR(W2691/U2691,0)</f>
        <v/>
      </c>
    </row>
    <row r="2692">
      <c r="A2692" s="21">
        <f>ItensPedido!A2692</f>
        <v/>
      </c>
      <c r="B2692" s="21">
        <f>ItensPedido!B2692</f>
        <v/>
      </c>
      <c r="C2692" s="21">
        <f>ItensPedido!C2692</f>
        <v/>
      </c>
      <c r="D2692" s="21">
        <f>ItensPedido!D2692</f>
        <v/>
      </c>
      <c r="E2692" s="22">
        <f>ItensPedido!E2692</f>
        <v/>
      </c>
      <c r="F2692" s="21">
        <f>IFERROR(INDEX(Pedidos!$B$2:$B$1801,MATCH(B2692,Pedidos!$A$2:$A$1801,0)),0)</f>
        <v/>
      </c>
      <c r="G2692" s="21">
        <f>IF(F2692=0,"",YEAR(F2692))</f>
        <v/>
      </c>
      <c r="H2692" s="21">
        <f>IF(F2692=0,"",MONTH(F2692))</f>
        <v/>
      </c>
      <c r="I2692" s="21">
        <f>IFERROR(INDEX(Pedidos!$E$2:$E$1801,MATCH(B2692,Pedidos!$A$2:$A$1801,0)),"")</f>
        <v/>
      </c>
      <c r="J2692" s="21">
        <f>IFERROR(INDEX(Pedidos!$C$2:$C$1801,MATCH(B2692,Pedidos!$A$2:$A$1801,0)),"")</f>
        <v/>
      </c>
      <c r="K2692" s="21">
        <f>IFERROR(INDEX(Pedidos!$D$2:$D$1801,MATCH(B2692,Pedidos!$A$2:$A$1801,0)),"")</f>
        <v/>
      </c>
      <c r="L2692" s="21">
        <f>IFERROR(INDEX(Pedidos!$F$2:$F$1801,MATCH(B2692,Pedidos!$A$2:$A$1801,0)),"")</f>
        <v/>
      </c>
      <c r="M2692" s="22">
        <f>IFERROR(INDEX(Pedidos!$G$2:$G$1801,MATCH(B2692,Pedidos!$A$2:$A$1801,0)),0)</f>
        <v/>
      </c>
      <c r="N2692" s="21">
        <f>IFERROR(INDEX(Produtos!$B$2:$B$71,MATCH(C2692,Produtos!$A$2:$A$71,0)),"")</f>
        <v/>
      </c>
      <c r="O2692" s="21">
        <f>IFERROR(INDEX(Produtos!$C$2:$C$71,MATCH(C2692,Produtos!$A$2:$A$71,0)),"")</f>
        <v/>
      </c>
      <c r="P2692" s="21">
        <f>IFERROR(INDEX(Produtos!$D$2:$D$71,MATCH(C2692,Produtos!$A$2:$A$71,0)),0)</f>
        <v/>
      </c>
      <c r="Q2692" s="21">
        <f>IFERROR(INDEX(Produtos!$E$2:$E$71,MATCH(C2692,Produtos!$A$2:$A$71,0)),0)</f>
        <v/>
      </c>
      <c r="R2692" s="23">
        <f>D2692*Q2692</f>
        <v/>
      </c>
      <c r="S2692" s="23">
        <f>R2692*E2692</f>
        <v/>
      </c>
      <c r="T2692" s="23">
        <f>(R2692-S2692)*M2692</f>
        <v/>
      </c>
      <c r="U2692" s="23">
        <f>R2692-S2692-T2692</f>
        <v/>
      </c>
      <c r="V2692" s="23">
        <f>D2692*P2692</f>
        <v/>
      </c>
      <c r="W2692" s="23">
        <f>U2692-V2692</f>
        <v/>
      </c>
      <c r="X2692" s="24">
        <f>IFERROR(W2692/U2692,0)</f>
        <v/>
      </c>
    </row>
    <row r="2693">
      <c r="A2693" s="25">
        <f>ItensPedido!A2693</f>
        <v/>
      </c>
      <c r="B2693" s="25">
        <f>ItensPedido!B2693</f>
        <v/>
      </c>
      <c r="C2693" s="25">
        <f>ItensPedido!C2693</f>
        <v/>
      </c>
      <c r="D2693" s="25">
        <f>ItensPedido!D2693</f>
        <v/>
      </c>
      <c r="E2693" s="26">
        <f>ItensPedido!E2693</f>
        <v/>
      </c>
      <c r="F2693" s="25">
        <f>IFERROR(INDEX(Pedidos!$B$2:$B$1801,MATCH(B2693,Pedidos!$A$2:$A$1801,0)),0)</f>
        <v/>
      </c>
      <c r="G2693" s="25">
        <f>IF(F2693=0,"",YEAR(F2693))</f>
        <v/>
      </c>
      <c r="H2693" s="25">
        <f>IF(F2693=0,"",MONTH(F2693))</f>
        <v/>
      </c>
      <c r="I2693" s="25">
        <f>IFERROR(INDEX(Pedidos!$E$2:$E$1801,MATCH(B2693,Pedidos!$A$2:$A$1801,0)),"")</f>
        <v/>
      </c>
      <c r="J2693" s="25">
        <f>IFERROR(INDEX(Pedidos!$C$2:$C$1801,MATCH(B2693,Pedidos!$A$2:$A$1801,0)),"")</f>
        <v/>
      </c>
      <c r="K2693" s="25">
        <f>IFERROR(INDEX(Pedidos!$D$2:$D$1801,MATCH(B2693,Pedidos!$A$2:$A$1801,0)),"")</f>
        <v/>
      </c>
      <c r="L2693" s="25">
        <f>IFERROR(INDEX(Pedidos!$F$2:$F$1801,MATCH(B2693,Pedidos!$A$2:$A$1801,0)),"")</f>
        <v/>
      </c>
      <c r="M2693" s="26">
        <f>IFERROR(INDEX(Pedidos!$G$2:$G$1801,MATCH(B2693,Pedidos!$A$2:$A$1801,0)),0)</f>
        <v/>
      </c>
      <c r="N2693" s="25">
        <f>IFERROR(INDEX(Produtos!$B$2:$B$71,MATCH(C2693,Produtos!$A$2:$A$71,0)),"")</f>
        <v/>
      </c>
      <c r="O2693" s="25">
        <f>IFERROR(INDEX(Produtos!$C$2:$C$71,MATCH(C2693,Produtos!$A$2:$A$71,0)),"")</f>
        <v/>
      </c>
      <c r="P2693" s="25">
        <f>IFERROR(INDEX(Produtos!$D$2:$D$71,MATCH(C2693,Produtos!$A$2:$A$71,0)),0)</f>
        <v/>
      </c>
      <c r="Q2693" s="25">
        <f>IFERROR(INDEX(Produtos!$E$2:$E$71,MATCH(C2693,Produtos!$A$2:$A$71,0)),0)</f>
        <v/>
      </c>
      <c r="R2693" s="27">
        <f>D2693*Q2693</f>
        <v/>
      </c>
      <c r="S2693" s="27">
        <f>R2693*E2693</f>
        <v/>
      </c>
      <c r="T2693" s="27">
        <f>(R2693-S2693)*M2693</f>
        <v/>
      </c>
      <c r="U2693" s="27">
        <f>R2693-S2693-T2693</f>
        <v/>
      </c>
      <c r="V2693" s="27">
        <f>D2693*P2693</f>
        <v/>
      </c>
      <c r="W2693" s="27">
        <f>U2693-V2693</f>
        <v/>
      </c>
      <c r="X2693" s="28">
        <f>IFERROR(W2693/U2693,0)</f>
        <v/>
      </c>
    </row>
    <row r="2694">
      <c r="A2694" s="21">
        <f>ItensPedido!A2694</f>
        <v/>
      </c>
      <c r="B2694" s="21">
        <f>ItensPedido!B2694</f>
        <v/>
      </c>
      <c r="C2694" s="21">
        <f>ItensPedido!C2694</f>
        <v/>
      </c>
      <c r="D2694" s="21">
        <f>ItensPedido!D2694</f>
        <v/>
      </c>
      <c r="E2694" s="22">
        <f>ItensPedido!E2694</f>
        <v/>
      </c>
      <c r="F2694" s="21">
        <f>IFERROR(INDEX(Pedidos!$B$2:$B$1801,MATCH(B2694,Pedidos!$A$2:$A$1801,0)),0)</f>
        <v/>
      </c>
      <c r="G2694" s="21">
        <f>IF(F2694=0,"",YEAR(F2694))</f>
        <v/>
      </c>
      <c r="H2694" s="21">
        <f>IF(F2694=0,"",MONTH(F2694))</f>
        <v/>
      </c>
      <c r="I2694" s="21">
        <f>IFERROR(INDEX(Pedidos!$E$2:$E$1801,MATCH(B2694,Pedidos!$A$2:$A$1801,0)),"")</f>
        <v/>
      </c>
      <c r="J2694" s="21">
        <f>IFERROR(INDEX(Pedidos!$C$2:$C$1801,MATCH(B2694,Pedidos!$A$2:$A$1801,0)),"")</f>
        <v/>
      </c>
      <c r="K2694" s="21">
        <f>IFERROR(INDEX(Pedidos!$D$2:$D$1801,MATCH(B2694,Pedidos!$A$2:$A$1801,0)),"")</f>
        <v/>
      </c>
      <c r="L2694" s="21">
        <f>IFERROR(INDEX(Pedidos!$F$2:$F$1801,MATCH(B2694,Pedidos!$A$2:$A$1801,0)),"")</f>
        <v/>
      </c>
      <c r="M2694" s="22">
        <f>IFERROR(INDEX(Pedidos!$G$2:$G$1801,MATCH(B2694,Pedidos!$A$2:$A$1801,0)),0)</f>
        <v/>
      </c>
      <c r="N2694" s="21">
        <f>IFERROR(INDEX(Produtos!$B$2:$B$71,MATCH(C2694,Produtos!$A$2:$A$71,0)),"")</f>
        <v/>
      </c>
      <c r="O2694" s="21">
        <f>IFERROR(INDEX(Produtos!$C$2:$C$71,MATCH(C2694,Produtos!$A$2:$A$71,0)),"")</f>
        <v/>
      </c>
      <c r="P2694" s="21">
        <f>IFERROR(INDEX(Produtos!$D$2:$D$71,MATCH(C2694,Produtos!$A$2:$A$71,0)),0)</f>
        <v/>
      </c>
      <c r="Q2694" s="21">
        <f>IFERROR(INDEX(Produtos!$E$2:$E$71,MATCH(C2694,Produtos!$A$2:$A$71,0)),0)</f>
        <v/>
      </c>
      <c r="R2694" s="23">
        <f>D2694*Q2694</f>
        <v/>
      </c>
      <c r="S2694" s="23">
        <f>R2694*E2694</f>
        <v/>
      </c>
      <c r="T2694" s="23">
        <f>(R2694-S2694)*M2694</f>
        <v/>
      </c>
      <c r="U2694" s="23">
        <f>R2694-S2694-T2694</f>
        <v/>
      </c>
      <c r="V2694" s="23">
        <f>D2694*P2694</f>
        <v/>
      </c>
      <c r="W2694" s="23">
        <f>U2694-V2694</f>
        <v/>
      </c>
      <c r="X2694" s="24">
        <f>IFERROR(W2694/U2694,0)</f>
        <v/>
      </c>
    </row>
    <row r="2695">
      <c r="A2695" s="25">
        <f>ItensPedido!A2695</f>
        <v/>
      </c>
      <c r="B2695" s="25">
        <f>ItensPedido!B2695</f>
        <v/>
      </c>
      <c r="C2695" s="25">
        <f>ItensPedido!C2695</f>
        <v/>
      </c>
      <c r="D2695" s="25">
        <f>ItensPedido!D2695</f>
        <v/>
      </c>
      <c r="E2695" s="26">
        <f>ItensPedido!E2695</f>
        <v/>
      </c>
      <c r="F2695" s="25">
        <f>IFERROR(INDEX(Pedidos!$B$2:$B$1801,MATCH(B2695,Pedidos!$A$2:$A$1801,0)),0)</f>
        <v/>
      </c>
      <c r="G2695" s="25">
        <f>IF(F2695=0,"",YEAR(F2695))</f>
        <v/>
      </c>
      <c r="H2695" s="25">
        <f>IF(F2695=0,"",MONTH(F2695))</f>
        <v/>
      </c>
      <c r="I2695" s="25">
        <f>IFERROR(INDEX(Pedidos!$E$2:$E$1801,MATCH(B2695,Pedidos!$A$2:$A$1801,0)),"")</f>
        <v/>
      </c>
      <c r="J2695" s="25">
        <f>IFERROR(INDEX(Pedidos!$C$2:$C$1801,MATCH(B2695,Pedidos!$A$2:$A$1801,0)),"")</f>
        <v/>
      </c>
      <c r="K2695" s="25">
        <f>IFERROR(INDEX(Pedidos!$D$2:$D$1801,MATCH(B2695,Pedidos!$A$2:$A$1801,0)),"")</f>
        <v/>
      </c>
      <c r="L2695" s="25">
        <f>IFERROR(INDEX(Pedidos!$F$2:$F$1801,MATCH(B2695,Pedidos!$A$2:$A$1801,0)),"")</f>
        <v/>
      </c>
      <c r="M2695" s="26">
        <f>IFERROR(INDEX(Pedidos!$G$2:$G$1801,MATCH(B2695,Pedidos!$A$2:$A$1801,0)),0)</f>
        <v/>
      </c>
      <c r="N2695" s="25">
        <f>IFERROR(INDEX(Produtos!$B$2:$B$71,MATCH(C2695,Produtos!$A$2:$A$71,0)),"")</f>
        <v/>
      </c>
      <c r="O2695" s="25">
        <f>IFERROR(INDEX(Produtos!$C$2:$C$71,MATCH(C2695,Produtos!$A$2:$A$71,0)),"")</f>
        <v/>
      </c>
      <c r="P2695" s="25">
        <f>IFERROR(INDEX(Produtos!$D$2:$D$71,MATCH(C2695,Produtos!$A$2:$A$71,0)),0)</f>
        <v/>
      </c>
      <c r="Q2695" s="25">
        <f>IFERROR(INDEX(Produtos!$E$2:$E$71,MATCH(C2695,Produtos!$A$2:$A$71,0)),0)</f>
        <v/>
      </c>
      <c r="R2695" s="27">
        <f>D2695*Q2695</f>
        <v/>
      </c>
      <c r="S2695" s="27">
        <f>R2695*E2695</f>
        <v/>
      </c>
      <c r="T2695" s="27">
        <f>(R2695-S2695)*M2695</f>
        <v/>
      </c>
      <c r="U2695" s="27">
        <f>R2695-S2695-T2695</f>
        <v/>
      </c>
      <c r="V2695" s="27">
        <f>D2695*P2695</f>
        <v/>
      </c>
      <c r="W2695" s="27">
        <f>U2695-V2695</f>
        <v/>
      </c>
      <c r="X2695" s="28">
        <f>IFERROR(W2695/U2695,0)</f>
        <v/>
      </c>
    </row>
    <row r="2696">
      <c r="A2696" s="21">
        <f>ItensPedido!A2696</f>
        <v/>
      </c>
      <c r="B2696" s="21">
        <f>ItensPedido!B2696</f>
        <v/>
      </c>
      <c r="C2696" s="21">
        <f>ItensPedido!C2696</f>
        <v/>
      </c>
      <c r="D2696" s="21">
        <f>ItensPedido!D2696</f>
        <v/>
      </c>
      <c r="E2696" s="22">
        <f>ItensPedido!E2696</f>
        <v/>
      </c>
      <c r="F2696" s="21">
        <f>IFERROR(INDEX(Pedidos!$B$2:$B$1801,MATCH(B2696,Pedidos!$A$2:$A$1801,0)),0)</f>
        <v/>
      </c>
      <c r="G2696" s="21">
        <f>IF(F2696=0,"",YEAR(F2696))</f>
        <v/>
      </c>
      <c r="H2696" s="21">
        <f>IF(F2696=0,"",MONTH(F2696))</f>
        <v/>
      </c>
      <c r="I2696" s="21">
        <f>IFERROR(INDEX(Pedidos!$E$2:$E$1801,MATCH(B2696,Pedidos!$A$2:$A$1801,0)),"")</f>
        <v/>
      </c>
      <c r="J2696" s="21">
        <f>IFERROR(INDEX(Pedidos!$C$2:$C$1801,MATCH(B2696,Pedidos!$A$2:$A$1801,0)),"")</f>
        <v/>
      </c>
      <c r="K2696" s="21">
        <f>IFERROR(INDEX(Pedidos!$D$2:$D$1801,MATCH(B2696,Pedidos!$A$2:$A$1801,0)),"")</f>
        <v/>
      </c>
      <c r="L2696" s="21">
        <f>IFERROR(INDEX(Pedidos!$F$2:$F$1801,MATCH(B2696,Pedidos!$A$2:$A$1801,0)),"")</f>
        <v/>
      </c>
      <c r="M2696" s="22">
        <f>IFERROR(INDEX(Pedidos!$G$2:$G$1801,MATCH(B2696,Pedidos!$A$2:$A$1801,0)),0)</f>
        <v/>
      </c>
      <c r="N2696" s="21">
        <f>IFERROR(INDEX(Produtos!$B$2:$B$71,MATCH(C2696,Produtos!$A$2:$A$71,0)),"")</f>
        <v/>
      </c>
      <c r="O2696" s="21">
        <f>IFERROR(INDEX(Produtos!$C$2:$C$71,MATCH(C2696,Produtos!$A$2:$A$71,0)),"")</f>
        <v/>
      </c>
      <c r="P2696" s="21">
        <f>IFERROR(INDEX(Produtos!$D$2:$D$71,MATCH(C2696,Produtos!$A$2:$A$71,0)),0)</f>
        <v/>
      </c>
      <c r="Q2696" s="21">
        <f>IFERROR(INDEX(Produtos!$E$2:$E$71,MATCH(C2696,Produtos!$A$2:$A$71,0)),0)</f>
        <v/>
      </c>
      <c r="R2696" s="23">
        <f>D2696*Q2696</f>
        <v/>
      </c>
      <c r="S2696" s="23">
        <f>R2696*E2696</f>
        <v/>
      </c>
      <c r="T2696" s="23">
        <f>(R2696-S2696)*M2696</f>
        <v/>
      </c>
      <c r="U2696" s="23">
        <f>R2696-S2696-T2696</f>
        <v/>
      </c>
      <c r="V2696" s="23">
        <f>D2696*P2696</f>
        <v/>
      </c>
      <c r="W2696" s="23">
        <f>U2696-V2696</f>
        <v/>
      </c>
      <c r="X2696" s="24">
        <f>IFERROR(W2696/U2696,0)</f>
        <v/>
      </c>
    </row>
    <row r="2697">
      <c r="A2697" s="25">
        <f>ItensPedido!A2697</f>
        <v/>
      </c>
      <c r="B2697" s="25">
        <f>ItensPedido!B2697</f>
        <v/>
      </c>
      <c r="C2697" s="25">
        <f>ItensPedido!C2697</f>
        <v/>
      </c>
      <c r="D2697" s="25">
        <f>ItensPedido!D2697</f>
        <v/>
      </c>
      <c r="E2697" s="26">
        <f>ItensPedido!E2697</f>
        <v/>
      </c>
      <c r="F2697" s="25">
        <f>IFERROR(INDEX(Pedidos!$B$2:$B$1801,MATCH(B2697,Pedidos!$A$2:$A$1801,0)),0)</f>
        <v/>
      </c>
      <c r="G2697" s="25">
        <f>IF(F2697=0,"",YEAR(F2697))</f>
        <v/>
      </c>
      <c r="H2697" s="25">
        <f>IF(F2697=0,"",MONTH(F2697))</f>
        <v/>
      </c>
      <c r="I2697" s="25">
        <f>IFERROR(INDEX(Pedidos!$E$2:$E$1801,MATCH(B2697,Pedidos!$A$2:$A$1801,0)),"")</f>
        <v/>
      </c>
      <c r="J2697" s="25">
        <f>IFERROR(INDEX(Pedidos!$C$2:$C$1801,MATCH(B2697,Pedidos!$A$2:$A$1801,0)),"")</f>
        <v/>
      </c>
      <c r="K2697" s="25">
        <f>IFERROR(INDEX(Pedidos!$D$2:$D$1801,MATCH(B2697,Pedidos!$A$2:$A$1801,0)),"")</f>
        <v/>
      </c>
      <c r="L2697" s="25">
        <f>IFERROR(INDEX(Pedidos!$F$2:$F$1801,MATCH(B2697,Pedidos!$A$2:$A$1801,0)),"")</f>
        <v/>
      </c>
      <c r="M2697" s="26">
        <f>IFERROR(INDEX(Pedidos!$G$2:$G$1801,MATCH(B2697,Pedidos!$A$2:$A$1801,0)),0)</f>
        <v/>
      </c>
      <c r="N2697" s="25">
        <f>IFERROR(INDEX(Produtos!$B$2:$B$71,MATCH(C2697,Produtos!$A$2:$A$71,0)),"")</f>
        <v/>
      </c>
      <c r="O2697" s="25">
        <f>IFERROR(INDEX(Produtos!$C$2:$C$71,MATCH(C2697,Produtos!$A$2:$A$71,0)),"")</f>
        <v/>
      </c>
      <c r="P2697" s="25">
        <f>IFERROR(INDEX(Produtos!$D$2:$D$71,MATCH(C2697,Produtos!$A$2:$A$71,0)),0)</f>
        <v/>
      </c>
      <c r="Q2697" s="25">
        <f>IFERROR(INDEX(Produtos!$E$2:$E$71,MATCH(C2697,Produtos!$A$2:$A$71,0)),0)</f>
        <v/>
      </c>
      <c r="R2697" s="27">
        <f>D2697*Q2697</f>
        <v/>
      </c>
      <c r="S2697" s="27">
        <f>R2697*E2697</f>
        <v/>
      </c>
      <c r="T2697" s="27">
        <f>(R2697-S2697)*M2697</f>
        <v/>
      </c>
      <c r="U2697" s="27">
        <f>R2697-S2697-T2697</f>
        <v/>
      </c>
      <c r="V2697" s="27">
        <f>D2697*P2697</f>
        <v/>
      </c>
      <c r="W2697" s="27">
        <f>U2697-V2697</f>
        <v/>
      </c>
      <c r="X2697" s="28">
        <f>IFERROR(W2697/U2697,0)</f>
        <v/>
      </c>
    </row>
    <row r="2698">
      <c r="A2698" s="21">
        <f>ItensPedido!A2698</f>
        <v/>
      </c>
      <c r="B2698" s="21">
        <f>ItensPedido!B2698</f>
        <v/>
      </c>
      <c r="C2698" s="21">
        <f>ItensPedido!C2698</f>
        <v/>
      </c>
      <c r="D2698" s="21">
        <f>ItensPedido!D2698</f>
        <v/>
      </c>
      <c r="E2698" s="22">
        <f>ItensPedido!E2698</f>
        <v/>
      </c>
      <c r="F2698" s="21">
        <f>IFERROR(INDEX(Pedidos!$B$2:$B$1801,MATCH(B2698,Pedidos!$A$2:$A$1801,0)),0)</f>
        <v/>
      </c>
      <c r="G2698" s="21">
        <f>IF(F2698=0,"",YEAR(F2698))</f>
        <v/>
      </c>
      <c r="H2698" s="21">
        <f>IF(F2698=0,"",MONTH(F2698))</f>
        <v/>
      </c>
      <c r="I2698" s="21">
        <f>IFERROR(INDEX(Pedidos!$E$2:$E$1801,MATCH(B2698,Pedidos!$A$2:$A$1801,0)),"")</f>
        <v/>
      </c>
      <c r="J2698" s="21">
        <f>IFERROR(INDEX(Pedidos!$C$2:$C$1801,MATCH(B2698,Pedidos!$A$2:$A$1801,0)),"")</f>
        <v/>
      </c>
      <c r="K2698" s="21">
        <f>IFERROR(INDEX(Pedidos!$D$2:$D$1801,MATCH(B2698,Pedidos!$A$2:$A$1801,0)),"")</f>
        <v/>
      </c>
      <c r="L2698" s="21">
        <f>IFERROR(INDEX(Pedidos!$F$2:$F$1801,MATCH(B2698,Pedidos!$A$2:$A$1801,0)),"")</f>
        <v/>
      </c>
      <c r="M2698" s="22">
        <f>IFERROR(INDEX(Pedidos!$G$2:$G$1801,MATCH(B2698,Pedidos!$A$2:$A$1801,0)),0)</f>
        <v/>
      </c>
      <c r="N2698" s="21">
        <f>IFERROR(INDEX(Produtos!$B$2:$B$71,MATCH(C2698,Produtos!$A$2:$A$71,0)),"")</f>
        <v/>
      </c>
      <c r="O2698" s="21">
        <f>IFERROR(INDEX(Produtos!$C$2:$C$71,MATCH(C2698,Produtos!$A$2:$A$71,0)),"")</f>
        <v/>
      </c>
      <c r="P2698" s="21">
        <f>IFERROR(INDEX(Produtos!$D$2:$D$71,MATCH(C2698,Produtos!$A$2:$A$71,0)),0)</f>
        <v/>
      </c>
      <c r="Q2698" s="21">
        <f>IFERROR(INDEX(Produtos!$E$2:$E$71,MATCH(C2698,Produtos!$A$2:$A$71,0)),0)</f>
        <v/>
      </c>
      <c r="R2698" s="23">
        <f>D2698*Q2698</f>
        <v/>
      </c>
      <c r="S2698" s="23">
        <f>R2698*E2698</f>
        <v/>
      </c>
      <c r="T2698" s="23">
        <f>(R2698-S2698)*M2698</f>
        <v/>
      </c>
      <c r="U2698" s="23">
        <f>R2698-S2698-T2698</f>
        <v/>
      </c>
      <c r="V2698" s="23">
        <f>D2698*P2698</f>
        <v/>
      </c>
      <c r="W2698" s="23">
        <f>U2698-V2698</f>
        <v/>
      </c>
      <c r="X2698" s="24">
        <f>IFERROR(W2698/U2698,0)</f>
        <v/>
      </c>
    </row>
    <row r="2699">
      <c r="A2699" s="25">
        <f>ItensPedido!A2699</f>
        <v/>
      </c>
      <c r="B2699" s="25">
        <f>ItensPedido!B2699</f>
        <v/>
      </c>
      <c r="C2699" s="25">
        <f>ItensPedido!C2699</f>
        <v/>
      </c>
      <c r="D2699" s="25">
        <f>ItensPedido!D2699</f>
        <v/>
      </c>
      <c r="E2699" s="26">
        <f>ItensPedido!E2699</f>
        <v/>
      </c>
      <c r="F2699" s="25">
        <f>IFERROR(INDEX(Pedidos!$B$2:$B$1801,MATCH(B2699,Pedidos!$A$2:$A$1801,0)),0)</f>
        <v/>
      </c>
      <c r="G2699" s="25">
        <f>IF(F2699=0,"",YEAR(F2699))</f>
        <v/>
      </c>
      <c r="H2699" s="25">
        <f>IF(F2699=0,"",MONTH(F2699))</f>
        <v/>
      </c>
      <c r="I2699" s="25">
        <f>IFERROR(INDEX(Pedidos!$E$2:$E$1801,MATCH(B2699,Pedidos!$A$2:$A$1801,0)),"")</f>
        <v/>
      </c>
      <c r="J2699" s="25">
        <f>IFERROR(INDEX(Pedidos!$C$2:$C$1801,MATCH(B2699,Pedidos!$A$2:$A$1801,0)),"")</f>
        <v/>
      </c>
      <c r="K2699" s="25">
        <f>IFERROR(INDEX(Pedidos!$D$2:$D$1801,MATCH(B2699,Pedidos!$A$2:$A$1801,0)),"")</f>
        <v/>
      </c>
      <c r="L2699" s="25">
        <f>IFERROR(INDEX(Pedidos!$F$2:$F$1801,MATCH(B2699,Pedidos!$A$2:$A$1801,0)),"")</f>
        <v/>
      </c>
      <c r="M2699" s="26">
        <f>IFERROR(INDEX(Pedidos!$G$2:$G$1801,MATCH(B2699,Pedidos!$A$2:$A$1801,0)),0)</f>
        <v/>
      </c>
      <c r="N2699" s="25">
        <f>IFERROR(INDEX(Produtos!$B$2:$B$71,MATCH(C2699,Produtos!$A$2:$A$71,0)),"")</f>
        <v/>
      </c>
      <c r="O2699" s="25">
        <f>IFERROR(INDEX(Produtos!$C$2:$C$71,MATCH(C2699,Produtos!$A$2:$A$71,0)),"")</f>
        <v/>
      </c>
      <c r="P2699" s="25">
        <f>IFERROR(INDEX(Produtos!$D$2:$D$71,MATCH(C2699,Produtos!$A$2:$A$71,0)),0)</f>
        <v/>
      </c>
      <c r="Q2699" s="25">
        <f>IFERROR(INDEX(Produtos!$E$2:$E$71,MATCH(C2699,Produtos!$A$2:$A$71,0)),0)</f>
        <v/>
      </c>
      <c r="R2699" s="27">
        <f>D2699*Q2699</f>
        <v/>
      </c>
      <c r="S2699" s="27">
        <f>R2699*E2699</f>
        <v/>
      </c>
      <c r="T2699" s="27">
        <f>(R2699-S2699)*M2699</f>
        <v/>
      </c>
      <c r="U2699" s="27">
        <f>R2699-S2699-T2699</f>
        <v/>
      </c>
      <c r="V2699" s="27">
        <f>D2699*P2699</f>
        <v/>
      </c>
      <c r="W2699" s="27">
        <f>U2699-V2699</f>
        <v/>
      </c>
      <c r="X2699" s="28">
        <f>IFERROR(W2699/U2699,0)</f>
        <v/>
      </c>
    </row>
    <row r="2700">
      <c r="A2700" s="21">
        <f>ItensPedido!A2700</f>
        <v/>
      </c>
      <c r="B2700" s="21">
        <f>ItensPedido!B2700</f>
        <v/>
      </c>
      <c r="C2700" s="21">
        <f>ItensPedido!C2700</f>
        <v/>
      </c>
      <c r="D2700" s="21">
        <f>ItensPedido!D2700</f>
        <v/>
      </c>
      <c r="E2700" s="22">
        <f>ItensPedido!E2700</f>
        <v/>
      </c>
      <c r="F2700" s="21">
        <f>IFERROR(INDEX(Pedidos!$B$2:$B$1801,MATCH(B2700,Pedidos!$A$2:$A$1801,0)),0)</f>
        <v/>
      </c>
      <c r="G2700" s="21">
        <f>IF(F2700=0,"",YEAR(F2700))</f>
        <v/>
      </c>
      <c r="H2700" s="21">
        <f>IF(F2700=0,"",MONTH(F2700))</f>
        <v/>
      </c>
      <c r="I2700" s="21">
        <f>IFERROR(INDEX(Pedidos!$E$2:$E$1801,MATCH(B2700,Pedidos!$A$2:$A$1801,0)),"")</f>
        <v/>
      </c>
      <c r="J2700" s="21">
        <f>IFERROR(INDEX(Pedidos!$C$2:$C$1801,MATCH(B2700,Pedidos!$A$2:$A$1801,0)),"")</f>
        <v/>
      </c>
      <c r="K2700" s="21">
        <f>IFERROR(INDEX(Pedidos!$D$2:$D$1801,MATCH(B2700,Pedidos!$A$2:$A$1801,0)),"")</f>
        <v/>
      </c>
      <c r="L2700" s="21">
        <f>IFERROR(INDEX(Pedidos!$F$2:$F$1801,MATCH(B2700,Pedidos!$A$2:$A$1801,0)),"")</f>
        <v/>
      </c>
      <c r="M2700" s="22">
        <f>IFERROR(INDEX(Pedidos!$G$2:$G$1801,MATCH(B2700,Pedidos!$A$2:$A$1801,0)),0)</f>
        <v/>
      </c>
      <c r="N2700" s="21">
        <f>IFERROR(INDEX(Produtos!$B$2:$B$71,MATCH(C2700,Produtos!$A$2:$A$71,0)),"")</f>
        <v/>
      </c>
      <c r="O2700" s="21">
        <f>IFERROR(INDEX(Produtos!$C$2:$C$71,MATCH(C2700,Produtos!$A$2:$A$71,0)),"")</f>
        <v/>
      </c>
      <c r="P2700" s="21">
        <f>IFERROR(INDEX(Produtos!$D$2:$D$71,MATCH(C2700,Produtos!$A$2:$A$71,0)),0)</f>
        <v/>
      </c>
      <c r="Q2700" s="21">
        <f>IFERROR(INDEX(Produtos!$E$2:$E$71,MATCH(C2700,Produtos!$A$2:$A$71,0)),0)</f>
        <v/>
      </c>
      <c r="R2700" s="23">
        <f>D2700*Q2700</f>
        <v/>
      </c>
      <c r="S2700" s="23">
        <f>R2700*E2700</f>
        <v/>
      </c>
      <c r="T2700" s="23">
        <f>(R2700-S2700)*M2700</f>
        <v/>
      </c>
      <c r="U2700" s="23">
        <f>R2700-S2700-T2700</f>
        <v/>
      </c>
      <c r="V2700" s="23">
        <f>D2700*P2700</f>
        <v/>
      </c>
      <c r="W2700" s="23">
        <f>U2700-V2700</f>
        <v/>
      </c>
      <c r="X2700" s="24">
        <f>IFERROR(W2700/U2700,0)</f>
        <v/>
      </c>
    </row>
    <row r="2701">
      <c r="A2701" s="25">
        <f>ItensPedido!A2701</f>
        <v/>
      </c>
      <c r="B2701" s="25">
        <f>ItensPedido!B2701</f>
        <v/>
      </c>
      <c r="C2701" s="25">
        <f>ItensPedido!C2701</f>
        <v/>
      </c>
      <c r="D2701" s="25">
        <f>ItensPedido!D2701</f>
        <v/>
      </c>
      <c r="E2701" s="26">
        <f>ItensPedido!E2701</f>
        <v/>
      </c>
      <c r="F2701" s="25">
        <f>IFERROR(INDEX(Pedidos!$B$2:$B$1801,MATCH(B2701,Pedidos!$A$2:$A$1801,0)),0)</f>
        <v/>
      </c>
      <c r="G2701" s="25">
        <f>IF(F2701=0,"",YEAR(F2701))</f>
        <v/>
      </c>
      <c r="H2701" s="25">
        <f>IF(F2701=0,"",MONTH(F2701))</f>
        <v/>
      </c>
      <c r="I2701" s="25">
        <f>IFERROR(INDEX(Pedidos!$E$2:$E$1801,MATCH(B2701,Pedidos!$A$2:$A$1801,0)),"")</f>
        <v/>
      </c>
      <c r="J2701" s="25">
        <f>IFERROR(INDEX(Pedidos!$C$2:$C$1801,MATCH(B2701,Pedidos!$A$2:$A$1801,0)),"")</f>
        <v/>
      </c>
      <c r="K2701" s="25">
        <f>IFERROR(INDEX(Pedidos!$D$2:$D$1801,MATCH(B2701,Pedidos!$A$2:$A$1801,0)),"")</f>
        <v/>
      </c>
      <c r="L2701" s="25">
        <f>IFERROR(INDEX(Pedidos!$F$2:$F$1801,MATCH(B2701,Pedidos!$A$2:$A$1801,0)),"")</f>
        <v/>
      </c>
      <c r="M2701" s="26">
        <f>IFERROR(INDEX(Pedidos!$G$2:$G$1801,MATCH(B2701,Pedidos!$A$2:$A$1801,0)),0)</f>
        <v/>
      </c>
      <c r="N2701" s="25">
        <f>IFERROR(INDEX(Produtos!$B$2:$B$71,MATCH(C2701,Produtos!$A$2:$A$71,0)),"")</f>
        <v/>
      </c>
      <c r="O2701" s="25">
        <f>IFERROR(INDEX(Produtos!$C$2:$C$71,MATCH(C2701,Produtos!$A$2:$A$71,0)),"")</f>
        <v/>
      </c>
      <c r="P2701" s="25">
        <f>IFERROR(INDEX(Produtos!$D$2:$D$71,MATCH(C2701,Produtos!$A$2:$A$71,0)),0)</f>
        <v/>
      </c>
      <c r="Q2701" s="25">
        <f>IFERROR(INDEX(Produtos!$E$2:$E$71,MATCH(C2701,Produtos!$A$2:$A$71,0)),0)</f>
        <v/>
      </c>
      <c r="R2701" s="27">
        <f>D2701*Q2701</f>
        <v/>
      </c>
      <c r="S2701" s="27">
        <f>R2701*E2701</f>
        <v/>
      </c>
      <c r="T2701" s="27">
        <f>(R2701-S2701)*M2701</f>
        <v/>
      </c>
      <c r="U2701" s="27">
        <f>R2701-S2701-T2701</f>
        <v/>
      </c>
      <c r="V2701" s="27">
        <f>D2701*P2701</f>
        <v/>
      </c>
      <c r="W2701" s="27">
        <f>U2701-V2701</f>
        <v/>
      </c>
      <c r="X2701" s="28">
        <f>IFERROR(W2701/U2701,0)</f>
        <v/>
      </c>
    </row>
    <row r="2702">
      <c r="A2702" s="21">
        <f>ItensPedido!A2702</f>
        <v/>
      </c>
      <c r="B2702" s="21">
        <f>ItensPedido!B2702</f>
        <v/>
      </c>
      <c r="C2702" s="21">
        <f>ItensPedido!C2702</f>
        <v/>
      </c>
      <c r="D2702" s="21">
        <f>ItensPedido!D2702</f>
        <v/>
      </c>
      <c r="E2702" s="22">
        <f>ItensPedido!E2702</f>
        <v/>
      </c>
      <c r="F2702" s="21">
        <f>IFERROR(INDEX(Pedidos!$B$2:$B$1801,MATCH(B2702,Pedidos!$A$2:$A$1801,0)),0)</f>
        <v/>
      </c>
      <c r="G2702" s="21">
        <f>IF(F2702=0,"",YEAR(F2702))</f>
        <v/>
      </c>
      <c r="H2702" s="21">
        <f>IF(F2702=0,"",MONTH(F2702))</f>
        <v/>
      </c>
      <c r="I2702" s="21">
        <f>IFERROR(INDEX(Pedidos!$E$2:$E$1801,MATCH(B2702,Pedidos!$A$2:$A$1801,0)),"")</f>
        <v/>
      </c>
      <c r="J2702" s="21">
        <f>IFERROR(INDEX(Pedidos!$C$2:$C$1801,MATCH(B2702,Pedidos!$A$2:$A$1801,0)),"")</f>
        <v/>
      </c>
      <c r="K2702" s="21">
        <f>IFERROR(INDEX(Pedidos!$D$2:$D$1801,MATCH(B2702,Pedidos!$A$2:$A$1801,0)),"")</f>
        <v/>
      </c>
      <c r="L2702" s="21">
        <f>IFERROR(INDEX(Pedidos!$F$2:$F$1801,MATCH(B2702,Pedidos!$A$2:$A$1801,0)),"")</f>
        <v/>
      </c>
      <c r="M2702" s="22">
        <f>IFERROR(INDEX(Pedidos!$G$2:$G$1801,MATCH(B2702,Pedidos!$A$2:$A$1801,0)),0)</f>
        <v/>
      </c>
      <c r="N2702" s="21">
        <f>IFERROR(INDEX(Produtos!$B$2:$B$71,MATCH(C2702,Produtos!$A$2:$A$71,0)),"")</f>
        <v/>
      </c>
      <c r="O2702" s="21">
        <f>IFERROR(INDEX(Produtos!$C$2:$C$71,MATCH(C2702,Produtos!$A$2:$A$71,0)),"")</f>
        <v/>
      </c>
      <c r="P2702" s="21">
        <f>IFERROR(INDEX(Produtos!$D$2:$D$71,MATCH(C2702,Produtos!$A$2:$A$71,0)),0)</f>
        <v/>
      </c>
      <c r="Q2702" s="21">
        <f>IFERROR(INDEX(Produtos!$E$2:$E$71,MATCH(C2702,Produtos!$A$2:$A$71,0)),0)</f>
        <v/>
      </c>
      <c r="R2702" s="23">
        <f>D2702*Q2702</f>
        <v/>
      </c>
      <c r="S2702" s="23">
        <f>R2702*E2702</f>
        <v/>
      </c>
      <c r="T2702" s="23">
        <f>(R2702-S2702)*M2702</f>
        <v/>
      </c>
      <c r="U2702" s="23">
        <f>R2702-S2702-T2702</f>
        <v/>
      </c>
      <c r="V2702" s="23">
        <f>D2702*P2702</f>
        <v/>
      </c>
      <c r="W2702" s="23">
        <f>U2702-V2702</f>
        <v/>
      </c>
      <c r="X2702" s="24">
        <f>IFERROR(W2702/U2702,0)</f>
        <v/>
      </c>
    </row>
    <row r="2703">
      <c r="A2703" s="25">
        <f>ItensPedido!A2703</f>
        <v/>
      </c>
      <c r="B2703" s="25">
        <f>ItensPedido!B2703</f>
        <v/>
      </c>
      <c r="C2703" s="25">
        <f>ItensPedido!C2703</f>
        <v/>
      </c>
      <c r="D2703" s="25">
        <f>ItensPedido!D2703</f>
        <v/>
      </c>
      <c r="E2703" s="26">
        <f>ItensPedido!E2703</f>
        <v/>
      </c>
      <c r="F2703" s="25">
        <f>IFERROR(INDEX(Pedidos!$B$2:$B$1801,MATCH(B2703,Pedidos!$A$2:$A$1801,0)),0)</f>
        <v/>
      </c>
      <c r="G2703" s="25">
        <f>IF(F2703=0,"",YEAR(F2703))</f>
        <v/>
      </c>
      <c r="H2703" s="25">
        <f>IF(F2703=0,"",MONTH(F2703))</f>
        <v/>
      </c>
      <c r="I2703" s="25">
        <f>IFERROR(INDEX(Pedidos!$E$2:$E$1801,MATCH(B2703,Pedidos!$A$2:$A$1801,0)),"")</f>
        <v/>
      </c>
      <c r="J2703" s="25">
        <f>IFERROR(INDEX(Pedidos!$C$2:$C$1801,MATCH(B2703,Pedidos!$A$2:$A$1801,0)),"")</f>
        <v/>
      </c>
      <c r="K2703" s="25">
        <f>IFERROR(INDEX(Pedidos!$D$2:$D$1801,MATCH(B2703,Pedidos!$A$2:$A$1801,0)),"")</f>
        <v/>
      </c>
      <c r="L2703" s="25">
        <f>IFERROR(INDEX(Pedidos!$F$2:$F$1801,MATCH(B2703,Pedidos!$A$2:$A$1801,0)),"")</f>
        <v/>
      </c>
      <c r="M2703" s="26">
        <f>IFERROR(INDEX(Pedidos!$G$2:$G$1801,MATCH(B2703,Pedidos!$A$2:$A$1801,0)),0)</f>
        <v/>
      </c>
      <c r="N2703" s="25">
        <f>IFERROR(INDEX(Produtos!$B$2:$B$71,MATCH(C2703,Produtos!$A$2:$A$71,0)),"")</f>
        <v/>
      </c>
      <c r="O2703" s="25">
        <f>IFERROR(INDEX(Produtos!$C$2:$C$71,MATCH(C2703,Produtos!$A$2:$A$71,0)),"")</f>
        <v/>
      </c>
      <c r="P2703" s="25">
        <f>IFERROR(INDEX(Produtos!$D$2:$D$71,MATCH(C2703,Produtos!$A$2:$A$71,0)),0)</f>
        <v/>
      </c>
      <c r="Q2703" s="25">
        <f>IFERROR(INDEX(Produtos!$E$2:$E$71,MATCH(C2703,Produtos!$A$2:$A$71,0)),0)</f>
        <v/>
      </c>
      <c r="R2703" s="27">
        <f>D2703*Q2703</f>
        <v/>
      </c>
      <c r="S2703" s="27">
        <f>R2703*E2703</f>
        <v/>
      </c>
      <c r="T2703" s="27">
        <f>(R2703-S2703)*M2703</f>
        <v/>
      </c>
      <c r="U2703" s="27">
        <f>R2703-S2703-T2703</f>
        <v/>
      </c>
      <c r="V2703" s="27">
        <f>D2703*P2703</f>
        <v/>
      </c>
      <c r="W2703" s="27">
        <f>U2703-V2703</f>
        <v/>
      </c>
      <c r="X2703" s="28">
        <f>IFERROR(W2703/U2703,0)</f>
        <v/>
      </c>
    </row>
    <row r="2704">
      <c r="A2704" s="21">
        <f>ItensPedido!A2704</f>
        <v/>
      </c>
      <c r="B2704" s="21">
        <f>ItensPedido!B2704</f>
        <v/>
      </c>
      <c r="C2704" s="21">
        <f>ItensPedido!C2704</f>
        <v/>
      </c>
      <c r="D2704" s="21">
        <f>ItensPedido!D2704</f>
        <v/>
      </c>
      <c r="E2704" s="22">
        <f>ItensPedido!E2704</f>
        <v/>
      </c>
      <c r="F2704" s="21">
        <f>IFERROR(INDEX(Pedidos!$B$2:$B$1801,MATCH(B2704,Pedidos!$A$2:$A$1801,0)),0)</f>
        <v/>
      </c>
      <c r="G2704" s="21">
        <f>IF(F2704=0,"",YEAR(F2704))</f>
        <v/>
      </c>
      <c r="H2704" s="21">
        <f>IF(F2704=0,"",MONTH(F2704))</f>
        <v/>
      </c>
      <c r="I2704" s="21">
        <f>IFERROR(INDEX(Pedidos!$E$2:$E$1801,MATCH(B2704,Pedidos!$A$2:$A$1801,0)),"")</f>
        <v/>
      </c>
      <c r="J2704" s="21">
        <f>IFERROR(INDEX(Pedidos!$C$2:$C$1801,MATCH(B2704,Pedidos!$A$2:$A$1801,0)),"")</f>
        <v/>
      </c>
      <c r="K2704" s="21">
        <f>IFERROR(INDEX(Pedidos!$D$2:$D$1801,MATCH(B2704,Pedidos!$A$2:$A$1801,0)),"")</f>
        <v/>
      </c>
      <c r="L2704" s="21">
        <f>IFERROR(INDEX(Pedidos!$F$2:$F$1801,MATCH(B2704,Pedidos!$A$2:$A$1801,0)),"")</f>
        <v/>
      </c>
      <c r="M2704" s="22">
        <f>IFERROR(INDEX(Pedidos!$G$2:$G$1801,MATCH(B2704,Pedidos!$A$2:$A$1801,0)),0)</f>
        <v/>
      </c>
      <c r="N2704" s="21">
        <f>IFERROR(INDEX(Produtos!$B$2:$B$71,MATCH(C2704,Produtos!$A$2:$A$71,0)),"")</f>
        <v/>
      </c>
      <c r="O2704" s="21">
        <f>IFERROR(INDEX(Produtos!$C$2:$C$71,MATCH(C2704,Produtos!$A$2:$A$71,0)),"")</f>
        <v/>
      </c>
      <c r="P2704" s="21">
        <f>IFERROR(INDEX(Produtos!$D$2:$D$71,MATCH(C2704,Produtos!$A$2:$A$71,0)),0)</f>
        <v/>
      </c>
      <c r="Q2704" s="21">
        <f>IFERROR(INDEX(Produtos!$E$2:$E$71,MATCH(C2704,Produtos!$A$2:$A$71,0)),0)</f>
        <v/>
      </c>
      <c r="R2704" s="23">
        <f>D2704*Q2704</f>
        <v/>
      </c>
      <c r="S2704" s="23">
        <f>R2704*E2704</f>
        <v/>
      </c>
      <c r="T2704" s="23">
        <f>(R2704-S2704)*M2704</f>
        <v/>
      </c>
      <c r="U2704" s="23">
        <f>R2704-S2704-T2704</f>
        <v/>
      </c>
      <c r="V2704" s="23">
        <f>D2704*P2704</f>
        <v/>
      </c>
      <c r="W2704" s="23">
        <f>U2704-V2704</f>
        <v/>
      </c>
      <c r="X2704" s="24">
        <f>IFERROR(W2704/U2704,0)</f>
        <v/>
      </c>
    </row>
    <row r="2705">
      <c r="A2705" s="25">
        <f>ItensPedido!A2705</f>
        <v/>
      </c>
      <c r="B2705" s="25">
        <f>ItensPedido!B2705</f>
        <v/>
      </c>
      <c r="C2705" s="25">
        <f>ItensPedido!C2705</f>
        <v/>
      </c>
      <c r="D2705" s="25">
        <f>ItensPedido!D2705</f>
        <v/>
      </c>
      <c r="E2705" s="26">
        <f>ItensPedido!E2705</f>
        <v/>
      </c>
      <c r="F2705" s="25">
        <f>IFERROR(INDEX(Pedidos!$B$2:$B$1801,MATCH(B2705,Pedidos!$A$2:$A$1801,0)),0)</f>
        <v/>
      </c>
      <c r="G2705" s="25">
        <f>IF(F2705=0,"",YEAR(F2705))</f>
        <v/>
      </c>
      <c r="H2705" s="25">
        <f>IF(F2705=0,"",MONTH(F2705))</f>
        <v/>
      </c>
      <c r="I2705" s="25">
        <f>IFERROR(INDEX(Pedidos!$E$2:$E$1801,MATCH(B2705,Pedidos!$A$2:$A$1801,0)),"")</f>
        <v/>
      </c>
      <c r="J2705" s="25">
        <f>IFERROR(INDEX(Pedidos!$C$2:$C$1801,MATCH(B2705,Pedidos!$A$2:$A$1801,0)),"")</f>
        <v/>
      </c>
      <c r="K2705" s="25">
        <f>IFERROR(INDEX(Pedidos!$D$2:$D$1801,MATCH(B2705,Pedidos!$A$2:$A$1801,0)),"")</f>
        <v/>
      </c>
      <c r="L2705" s="25">
        <f>IFERROR(INDEX(Pedidos!$F$2:$F$1801,MATCH(B2705,Pedidos!$A$2:$A$1801,0)),"")</f>
        <v/>
      </c>
      <c r="M2705" s="26">
        <f>IFERROR(INDEX(Pedidos!$G$2:$G$1801,MATCH(B2705,Pedidos!$A$2:$A$1801,0)),0)</f>
        <v/>
      </c>
      <c r="N2705" s="25">
        <f>IFERROR(INDEX(Produtos!$B$2:$B$71,MATCH(C2705,Produtos!$A$2:$A$71,0)),"")</f>
        <v/>
      </c>
      <c r="O2705" s="25">
        <f>IFERROR(INDEX(Produtos!$C$2:$C$71,MATCH(C2705,Produtos!$A$2:$A$71,0)),"")</f>
        <v/>
      </c>
      <c r="P2705" s="25">
        <f>IFERROR(INDEX(Produtos!$D$2:$D$71,MATCH(C2705,Produtos!$A$2:$A$71,0)),0)</f>
        <v/>
      </c>
      <c r="Q2705" s="25">
        <f>IFERROR(INDEX(Produtos!$E$2:$E$71,MATCH(C2705,Produtos!$A$2:$A$71,0)),0)</f>
        <v/>
      </c>
      <c r="R2705" s="27">
        <f>D2705*Q2705</f>
        <v/>
      </c>
      <c r="S2705" s="27">
        <f>R2705*E2705</f>
        <v/>
      </c>
      <c r="T2705" s="27">
        <f>(R2705-S2705)*M2705</f>
        <v/>
      </c>
      <c r="U2705" s="27">
        <f>R2705-S2705-T2705</f>
        <v/>
      </c>
      <c r="V2705" s="27">
        <f>D2705*P2705</f>
        <v/>
      </c>
      <c r="W2705" s="27">
        <f>U2705-V2705</f>
        <v/>
      </c>
      <c r="X2705" s="28">
        <f>IFERROR(W2705/U2705,0)</f>
        <v/>
      </c>
    </row>
    <row r="2706">
      <c r="A2706" s="21">
        <f>ItensPedido!A2706</f>
        <v/>
      </c>
      <c r="B2706" s="21">
        <f>ItensPedido!B2706</f>
        <v/>
      </c>
      <c r="C2706" s="21">
        <f>ItensPedido!C2706</f>
        <v/>
      </c>
      <c r="D2706" s="21">
        <f>ItensPedido!D2706</f>
        <v/>
      </c>
      <c r="E2706" s="22">
        <f>ItensPedido!E2706</f>
        <v/>
      </c>
      <c r="F2706" s="21">
        <f>IFERROR(INDEX(Pedidos!$B$2:$B$1801,MATCH(B2706,Pedidos!$A$2:$A$1801,0)),0)</f>
        <v/>
      </c>
      <c r="G2706" s="21">
        <f>IF(F2706=0,"",YEAR(F2706))</f>
        <v/>
      </c>
      <c r="H2706" s="21">
        <f>IF(F2706=0,"",MONTH(F2706))</f>
        <v/>
      </c>
      <c r="I2706" s="21">
        <f>IFERROR(INDEX(Pedidos!$E$2:$E$1801,MATCH(B2706,Pedidos!$A$2:$A$1801,0)),"")</f>
        <v/>
      </c>
      <c r="J2706" s="21">
        <f>IFERROR(INDEX(Pedidos!$C$2:$C$1801,MATCH(B2706,Pedidos!$A$2:$A$1801,0)),"")</f>
        <v/>
      </c>
      <c r="K2706" s="21">
        <f>IFERROR(INDEX(Pedidos!$D$2:$D$1801,MATCH(B2706,Pedidos!$A$2:$A$1801,0)),"")</f>
        <v/>
      </c>
      <c r="L2706" s="21">
        <f>IFERROR(INDEX(Pedidos!$F$2:$F$1801,MATCH(B2706,Pedidos!$A$2:$A$1801,0)),"")</f>
        <v/>
      </c>
      <c r="M2706" s="22">
        <f>IFERROR(INDEX(Pedidos!$G$2:$G$1801,MATCH(B2706,Pedidos!$A$2:$A$1801,0)),0)</f>
        <v/>
      </c>
      <c r="N2706" s="21">
        <f>IFERROR(INDEX(Produtos!$B$2:$B$71,MATCH(C2706,Produtos!$A$2:$A$71,0)),"")</f>
        <v/>
      </c>
      <c r="O2706" s="21">
        <f>IFERROR(INDEX(Produtos!$C$2:$C$71,MATCH(C2706,Produtos!$A$2:$A$71,0)),"")</f>
        <v/>
      </c>
      <c r="P2706" s="21">
        <f>IFERROR(INDEX(Produtos!$D$2:$D$71,MATCH(C2706,Produtos!$A$2:$A$71,0)),0)</f>
        <v/>
      </c>
      <c r="Q2706" s="21">
        <f>IFERROR(INDEX(Produtos!$E$2:$E$71,MATCH(C2706,Produtos!$A$2:$A$71,0)),0)</f>
        <v/>
      </c>
      <c r="R2706" s="23">
        <f>D2706*Q2706</f>
        <v/>
      </c>
      <c r="S2706" s="23">
        <f>R2706*E2706</f>
        <v/>
      </c>
      <c r="T2706" s="23">
        <f>(R2706-S2706)*M2706</f>
        <v/>
      </c>
      <c r="U2706" s="23">
        <f>R2706-S2706-T2706</f>
        <v/>
      </c>
      <c r="V2706" s="23">
        <f>D2706*P2706</f>
        <v/>
      </c>
      <c r="W2706" s="23">
        <f>U2706-V2706</f>
        <v/>
      </c>
      <c r="X2706" s="24">
        <f>IFERROR(W2706/U2706,0)</f>
        <v/>
      </c>
    </row>
    <row r="2707">
      <c r="A2707" s="25">
        <f>ItensPedido!A2707</f>
        <v/>
      </c>
      <c r="B2707" s="25">
        <f>ItensPedido!B2707</f>
        <v/>
      </c>
      <c r="C2707" s="25">
        <f>ItensPedido!C2707</f>
        <v/>
      </c>
      <c r="D2707" s="25">
        <f>ItensPedido!D2707</f>
        <v/>
      </c>
      <c r="E2707" s="26">
        <f>ItensPedido!E2707</f>
        <v/>
      </c>
      <c r="F2707" s="25">
        <f>IFERROR(INDEX(Pedidos!$B$2:$B$1801,MATCH(B2707,Pedidos!$A$2:$A$1801,0)),0)</f>
        <v/>
      </c>
      <c r="G2707" s="25">
        <f>IF(F2707=0,"",YEAR(F2707))</f>
        <v/>
      </c>
      <c r="H2707" s="25">
        <f>IF(F2707=0,"",MONTH(F2707))</f>
        <v/>
      </c>
      <c r="I2707" s="25">
        <f>IFERROR(INDEX(Pedidos!$E$2:$E$1801,MATCH(B2707,Pedidos!$A$2:$A$1801,0)),"")</f>
        <v/>
      </c>
      <c r="J2707" s="25">
        <f>IFERROR(INDEX(Pedidos!$C$2:$C$1801,MATCH(B2707,Pedidos!$A$2:$A$1801,0)),"")</f>
        <v/>
      </c>
      <c r="K2707" s="25">
        <f>IFERROR(INDEX(Pedidos!$D$2:$D$1801,MATCH(B2707,Pedidos!$A$2:$A$1801,0)),"")</f>
        <v/>
      </c>
      <c r="L2707" s="25">
        <f>IFERROR(INDEX(Pedidos!$F$2:$F$1801,MATCH(B2707,Pedidos!$A$2:$A$1801,0)),"")</f>
        <v/>
      </c>
      <c r="M2707" s="26">
        <f>IFERROR(INDEX(Pedidos!$G$2:$G$1801,MATCH(B2707,Pedidos!$A$2:$A$1801,0)),0)</f>
        <v/>
      </c>
      <c r="N2707" s="25">
        <f>IFERROR(INDEX(Produtos!$B$2:$B$71,MATCH(C2707,Produtos!$A$2:$A$71,0)),"")</f>
        <v/>
      </c>
      <c r="O2707" s="25">
        <f>IFERROR(INDEX(Produtos!$C$2:$C$71,MATCH(C2707,Produtos!$A$2:$A$71,0)),"")</f>
        <v/>
      </c>
      <c r="P2707" s="25">
        <f>IFERROR(INDEX(Produtos!$D$2:$D$71,MATCH(C2707,Produtos!$A$2:$A$71,0)),0)</f>
        <v/>
      </c>
      <c r="Q2707" s="25">
        <f>IFERROR(INDEX(Produtos!$E$2:$E$71,MATCH(C2707,Produtos!$A$2:$A$71,0)),0)</f>
        <v/>
      </c>
      <c r="R2707" s="27">
        <f>D2707*Q2707</f>
        <v/>
      </c>
      <c r="S2707" s="27">
        <f>R2707*E2707</f>
        <v/>
      </c>
      <c r="T2707" s="27">
        <f>(R2707-S2707)*M2707</f>
        <v/>
      </c>
      <c r="U2707" s="27">
        <f>R2707-S2707-T2707</f>
        <v/>
      </c>
      <c r="V2707" s="27">
        <f>D2707*P2707</f>
        <v/>
      </c>
      <c r="W2707" s="27">
        <f>U2707-V2707</f>
        <v/>
      </c>
      <c r="X2707" s="28">
        <f>IFERROR(W2707/U2707,0)</f>
        <v/>
      </c>
    </row>
    <row r="2708">
      <c r="A2708" s="21">
        <f>ItensPedido!A2708</f>
        <v/>
      </c>
      <c r="B2708" s="21">
        <f>ItensPedido!B2708</f>
        <v/>
      </c>
      <c r="C2708" s="21">
        <f>ItensPedido!C2708</f>
        <v/>
      </c>
      <c r="D2708" s="21">
        <f>ItensPedido!D2708</f>
        <v/>
      </c>
      <c r="E2708" s="22">
        <f>ItensPedido!E2708</f>
        <v/>
      </c>
      <c r="F2708" s="21">
        <f>IFERROR(INDEX(Pedidos!$B$2:$B$1801,MATCH(B2708,Pedidos!$A$2:$A$1801,0)),0)</f>
        <v/>
      </c>
      <c r="G2708" s="21">
        <f>IF(F2708=0,"",YEAR(F2708))</f>
        <v/>
      </c>
      <c r="H2708" s="21">
        <f>IF(F2708=0,"",MONTH(F2708))</f>
        <v/>
      </c>
      <c r="I2708" s="21">
        <f>IFERROR(INDEX(Pedidos!$E$2:$E$1801,MATCH(B2708,Pedidos!$A$2:$A$1801,0)),"")</f>
        <v/>
      </c>
      <c r="J2708" s="21">
        <f>IFERROR(INDEX(Pedidos!$C$2:$C$1801,MATCH(B2708,Pedidos!$A$2:$A$1801,0)),"")</f>
        <v/>
      </c>
      <c r="K2708" s="21">
        <f>IFERROR(INDEX(Pedidos!$D$2:$D$1801,MATCH(B2708,Pedidos!$A$2:$A$1801,0)),"")</f>
        <v/>
      </c>
      <c r="L2708" s="21">
        <f>IFERROR(INDEX(Pedidos!$F$2:$F$1801,MATCH(B2708,Pedidos!$A$2:$A$1801,0)),"")</f>
        <v/>
      </c>
      <c r="M2708" s="22">
        <f>IFERROR(INDEX(Pedidos!$G$2:$G$1801,MATCH(B2708,Pedidos!$A$2:$A$1801,0)),0)</f>
        <v/>
      </c>
      <c r="N2708" s="21">
        <f>IFERROR(INDEX(Produtos!$B$2:$B$71,MATCH(C2708,Produtos!$A$2:$A$71,0)),"")</f>
        <v/>
      </c>
      <c r="O2708" s="21">
        <f>IFERROR(INDEX(Produtos!$C$2:$C$71,MATCH(C2708,Produtos!$A$2:$A$71,0)),"")</f>
        <v/>
      </c>
      <c r="P2708" s="21">
        <f>IFERROR(INDEX(Produtos!$D$2:$D$71,MATCH(C2708,Produtos!$A$2:$A$71,0)),0)</f>
        <v/>
      </c>
      <c r="Q2708" s="21">
        <f>IFERROR(INDEX(Produtos!$E$2:$E$71,MATCH(C2708,Produtos!$A$2:$A$71,0)),0)</f>
        <v/>
      </c>
      <c r="R2708" s="23">
        <f>D2708*Q2708</f>
        <v/>
      </c>
      <c r="S2708" s="23">
        <f>R2708*E2708</f>
        <v/>
      </c>
      <c r="T2708" s="23">
        <f>(R2708-S2708)*M2708</f>
        <v/>
      </c>
      <c r="U2708" s="23">
        <f>R2708-S2708-T2708</f>
        <v/>
      </c>
      <c r="V2708" s="23">
        <f>D2708*P2708</f>
        <v/>
      </c>
      <c r="W2708" s="23">
        <f>U2708-V2708</f>
        <v/>
      </c>
      <c r="X2708" s="24">
        <f>IFERROR(W2708/U2708,0)</f>
        <v/>
      </c>
    </row>
    <row r="2709">
      <c r="A2709" s="25">
        <f>ItensPedido!A2709</f>
        <v/>
      </c>
      <c r="B2709" s="25">
        <f>ItensPedido!B2709</f>
        <v/>
      </c>
      <c r="C2709" s="25">
        <f>ItensPedido!C2709</f>
        <v/>
      </c>
      <c r="D2709" s="25">
        <f>ItensPedido!D2709</f>
        <v/>
      </c>
      <c r="E2709" s="26">
        <f>ItensPedido!E2709</f>
        <v/>
      </c>
      <c r="F2709" s="25">
        <f>IFERROR(INDEX(Pedidos!$B$2:$B$1801,MATCH(B2709,Pedidos!$A$2:$A$1801,0)),0)</f>
        <v/>
      </c>
      <c r="G2709" s="25">
        <f>IF(F2709=0,"",YEAR(F2709))</f>
        <v/>
      </c>
      <c r="H2709" s="25">
        <f>IF(F2709=0,"",MONTH(F2709))</f>
        <v/>
      </c>
      <c r="I2709" s="25">
        <f>IFERROR(INDEX(Pedidos!$E$2:$E$1801,MATCH(B2709,Pedidos!$A$2:$A$1801,0)),"")</f>
        <v/>
      </c>
      <c r="J2709" s="25">
        <f>IFERROR(INDEX(Pedidos!$C$2:$C$1801,MATCH(B2709,Pedidos!$A$2:$A$1801,0)),"")</f>
        <v/>
      </c>
      <c r="K2709" s="25">
        <f>IFERROR(INDEX(Pedidos!$D$2:$D$1801,MATCH(B2709,Pedidos!$A$2:$A$1801,0)),"")</f>
        <v/>
      </c>
      <c r="L2709" s="25">
        <f>IFERROR(INDEX(Pedidos!$F$2:$F$1801,MATCH(B2709,Pedidos!$A$2:$A$1801,0)),"")</f>
        <v/>
      </c>
      <c r="M2709" s="26">
        <f>IFERROR(INDEX(Pedidos!$G$2:$G$1801,MATCH(B2709,Pedidos!$A$2:$A$1801,0)),0)</f>
        <v/>
      </c>
      <c r="N2709" s="25">
        <f>IFERROR(INDEX(Produtos!$B$2:$B$71,MATCH(C2709,Produtos!$A$2:$A$71,0)),"")</f>
        <v/>
      </c>
      <c r="O2709" s="25">
        <f>IFERROR(INDEX(Produtos!$C$2:$C$71,MATCH(C2709,Produtos!$A$2:$A$71,0)),"")</f>
        <v/>
      </c>
      <c r="P2709" s="25">
        <f>IFERROR(INDEX(Produtos!$D$2:$D$71,MATCH(C2709,Produtos!$A$2:$A$71,0)),0)</f>
        <v/>
      </c>
      <c r="Q2709" s="25">
        <f>IFERROR(INDEX(Produtos!$E$2:$E$71,MATCH(C2709,Produtos!$A$2:$A$71,0)),0)</f>
        <v/>
      </c>
      <c r="R2709" s="27">
        <f>D2709*Q2709</f>
        <v/>
      </c>
      <c r="S2709" s="27">
        <f>R2709*E2709</f>
        <v/>
      </c>
      <c r="T2709" s="27">
        <f>(R2709-S2709)*M2709</f>
        <v/>
      </c>
      <c r="U2709" s="27">
        <f>R2709-S2709-T2709</f>
        <v/>
      </c>
      <c r="V2709" s="27">
        <f>D2709*P2709</f>
        <v/>
      </c>
      <c r="W2709" s="27">
        <f>U2709-V2709</f>
        <v/>
      </c>
      <c r="X2709" s="28">
        <f>IFERROR(W2709/U2709,0)</f>
        <v/>
      </c>
    </row>
    <row r="2710">
      <c r="A2710" s="21">
        <f>ItensPedido!A2710</f>
        <v/>
      </c>
      <c r="B2710" s="21">
        <f>ItensPedido!B2710</f>
        <v/>
      </c>
      <c r="C2710" s="21">
        <f>ItensPedido!C2710</f>
        <v/>
      </c>
      <c r="D2710" s="21">
        <f>ItensPedido!D2710</f>
        <v/>
      </c>
      <c r="E2710" s="22">
        <f>ItensPedido!E2710</f>
        <v/>
      </c>
      <c r="F2710" s="21">
        <f>IFERROR(INDEX(Pedidos!$B$2:$B$1801,MATCH(B2710,Pedidos!$A$2:$A$1801,0)),0)</f>
        <v/>
      </c>
      <c r="G2710" s="21">
        <f>IF(F2710=0,"",YEAR(F2710))</f>
        <v/>
      </c>
      <c r="H2710" s="21">
        <f>IF(F2710=0,"",MONTH(F2710))</f>
        <v/>
      </c>
      <c r="I2710" s="21">
        <f>IFERROR(INDEX(Pedidos!$E$2:$E$1801,MATCH(B2710,Pedidos!$A$2:$A$1801,0)),"")</f>
        <v/>
      </c>
      <c r="J2710" s="21">
        <f>IFERROR(INDEX(Pedidos!$C$2:$C$1801,MATCH(B2710,Pedidos!$A$2:$A$1801,0)),"")</f>
        <v/>
      </c>
      <c r="K2710" s="21">
        <f>IFERROR(INDEX(Pedidos!$D$2:$D$1801,MATCH(B2710,Pedidos!$A$2:$A$1801,0)),"")</f>
        <v/>
      </c>
      <c r="L2710" s="21">
        <f>IFERROR(INDEX(Pedidos!$F$2:$F$1801,MATCH(B2710,Pedidos!$A$2:$A$1801,0)),"")</f>
        <v/>
      </c>
      <c r="M2710" s="22">
        <f>IFERROR(INDEX(Pedidos!$G$2:$G$1801,MATCH(B2710,Pedidos!$A$2:$A$1801,0)),0)</f>
        <v/>
      </c>
      <c r="N2710" s="21">
        <f>IFERROR(INDEX(Produtos!$B$2:$B$71,MATCH(C2710,Produtos!$A$2:$A$71,0)),"")</f>
        <v/>
      </c>
      <c r="O2710" s="21">
        <f>IFERROR(INDEX(Produtos!$C$2:$C$71,MATCH(C2710,Produtos!$A$2:$A$71,0)),"")</f>
        <v/>
      </c>
      <c r="P2710" s="21">
        <f>IFERROR(INDEX(Produtos!$D$2:$D$71,MATCH(C2710,Produtos!$A$2:$A$71,0)),0)</f>
        <v/>
      </c>
      <c r="Q2710" s="21">
        <f>IFERROR(INDEX(Produtos!$E$2:$E$71,MATCH(C2710,Produtos!$A$2:$A$71,0)),0)</f>
        <v/>
      </c>
      <c r="R2710" s="23">
        <f>D2710*Q2710</f>
        <v/>
      </c>
      <c r="S2710" s="23">
        <f>R2710*E2710</f>
        <v/>
      </c>
      <c r="T2710" s="23">
        <f>(R2710-S2710)*M2710</f>
        <v/>
      </c>
      <c r="U2710" s="23">
        <f>R2710-S2710-T2710</f>
        <v/>
      </c>
      <c r="V2710" s="23">
        <f>D2710*P2710</f>
        <v/>
      </c>
      <c r="W2710" s="23">
        <f>U2710-V2710</f>
        <v/>
      </c>
      <c r="X2710" s="24">
        <f>IFERROR(W2710/U2710,0)</f>
        <v/>
      </c>
    </row>
    <row r="2711">
      <c r="A2711" s="25">
        <f>ItensPedido!A2711</f>
        <v/>
      </c>
      <c r="B2711" s="25">
        <f>ItensPedido!B2711</f>
        <v/>
      </c>
      <c r="C2711" s="25">
        <f>ItensPedido!C2711</f>
        <v/>
      </c>
      <c r="D2711" s="25">
        <f>ItensPedido!D2711</f>
        <v/>
      </c>
      <c r="E2711" s="26">
        <f>ItensPedido!E2711</f>
        <v/>
      </c>
      <c r="F2711" s="25">
        <f>IFERROR(INDEX(Pedidos!$B$2:$B$1801,MATCH(B2711,Pedidos!$A$2:$A$1801,0)),0)</f>
        <v/>
      </c>
      <c r="G2711" s="25">
        <f>IF(F2711=0,"",YEAR(F2711))</f>
        <v/>
      </c>
      <c r="H2711" s="25">
        <f>IF(F2711=0,"",MONTH(F2711))</f>
        <v/>
      </c>
      <c r="I2711" s="25">
        <f>IFERROR(INDEX(Pedidos!$E$2:$E$1801,MATCH(B2711,Pedidos!$A$2:$A$1801,0)),"")</f>
        <v/>
      </c>
      <c r="J2711" s="25">
        <f>IFERROR(INDEX(Pedidos!$C$2:$C$1801,MATCH(B2711,Pedidos!$A$2:$A$1801,0)),"")</f>
        <v/>
      </c>
      <c r="K2711" s="25">
        <f>IFERROR(INDEX(Pedidos!$D$2:$D$1801,MATCH(B2711,Pedidos!$A$2:$A$1801,0)),"")</f>
        <v/>
      </c>
      <c r="L2711" s="25">
        <f>IFERROR(INDEX(Pedidos!$F$2:$F$1801,MATCH(B2711,Pedidos!$A$2:$A$1801,0)),"")</f>
        <v/>
      </c>
      <c r="M2711" s="26">
        <f>IFERROR(INDEX(Pedidos!$G$2:$G$1801,MATCH(B2711,Pedidos!$A$2:$A$1801,0)),0)</f>
        <v/>
      </c>
      <c r="N2711" s="25">
        <f>IFERROR(INDEX(Produtos!$B$2:$B$71,MATCH(C2711,Produtos!$A$2:$A$71,0)),"")</f>
        <v/>
      </c>
      <c r="O2711" s="25">
        <f>IFERROR(INDEX(Produtos!$C$2:$C$71,MATCH(C2711,Produtos!$A$2:$A$71,0)),"")</f>
        <v/>
      </c>
      <c r="P2711" s="25">
        <f>IFERROR(INDEX(Produtos!$D$2:$D$71,MATCH(C2711,Produtos!$A$2:$A$71,0)),0)</f>
        <v/>
      </c>
      <c r="Q2711" s="25">
        <f>IFERROR(INDEX(Produtos!$E$2:$E$71,MATCH(C2711,Produtos!$A$2:$A$71,0)),0)</f>
        <v/>
      </c>
      <c r="R2711" s="27">
        <f>D2711*Q2711</f>
        <v/>
      </c>
      <c r="S2711" s="27">
        <f>R2711*E2711</f>
        <v/>
      </c>
      <c r="T2711" s="27">
        <f>(R2711-S2711)*M2711</f>
        <v/>
      </c>
      <c r="U2711" s="27">
        <f>R2711-S2711-T2711</f>
        <v/>
      </c>
      <c r="V2711" s="27">
        <f>D2711*P2711</f>
        <v/>
      </c>
      <c r="W2711" s="27">
        <f>U2711-V2711</f>
        <v/>
      </c>
      <c r="X2711" s="28">
        <f>IFERROR(W2711/U2711,0)</f>
        <v/>
      </c>
    </row>
    <row r="2712">
      <c r="A2712" s="21">
        <f>ItensPedido!A2712</f>
        <v/>
      </c>
      <c r="B2712" s="21">
        <f>ItensPedido!B2712</f>
        <v/>
      </c>
      <c r="C2712" s="21">
        <f>ItensPedido!C2712</f>
        <v/>
      </c>
      <c r="D2712" s="21">
        <f>ItensPedido!D2712</f>
        <v/>
      </c>
      <c r="E2712" s="22">
        <f>ItensPedido!E2712</f>
        <v/>
      </c>
      <c r="F2712" s="21">
        <f>IFERROR(INDEX(Pedidos!$B$2:$B$1801,MATCH(B2712,Pedidos!$A$2:$A$1801,0)),0)</f>
        <v/>
      </c>
      <c r="G2712" s="21">
        <f>IF(F2712=0,"",YEAR(F2712))</f>
        <v/>
      </c>
      <c r="H2712" s="21">
        <f>IF(F2712=0,"",MONTH(F2712))</f>
        <v/>
      </c>
      <c r="I2712" s="21">
        <f>IFERROR(INDEX(Pedidos!$E$2:$E$1801,MATCH(B2712,Pedidos!$A$2:$A$1801,0)),"")</f>
        <v/>
      </c>
      <c r="J2712" s="21">
        <f>IFERROR(INDEX(Pedidos!$C$2:$C$1801,MATCH(B2712,Pedidos!$A$2:$A$1801,0)),"")</f>
        <v/>
      </c>
      <c r="K2712" s="21">
        <f>IFERROR(INDEX(Pedidos!$D$2:$D$1801,MATCH(B2712,Pedidos!$A$2:$A$1801,0)),"")</f>
        <v/>
      </c>
      <c r="L2712" s="21">
        <f>IFERROR(INDEX(Pedidos!$F$2:$F$1801,MATCH(B2712,Pedidos!$A$2:$A$1801,0)),"")</f>
        <v/>
      </c>
      <c r="M2712" s="22">
        <f>IFERROR(INDEX(Pedidos!$G$2:$G$1801,MATCH(B2712,Pedidos!$A$2:$A$1801,0)),0)</f>
        <v/>
      </c>
      <c r="N2712" s="21">
        <f>IFERROR(INDEX(Produtos!$B$2:$B$71,MATCH(C2712,Produtos!$A$2:$A$71,0)),"")</f>
        <v/>
      </c>
      <c r="O2712" s="21">
        <f>IFERROR(INDEX(Produtos!$C$2:$C$71,MATCH(C2712,Produtos!$A$2:$A$71,0)),"")</f>
        <v/>
      </c>
      <c r="P2712" s="21">
        <f>IFERROR(INDEX(Produtos!$D$2:$D$71,MATCH(C2712,Produtos!$A$2:$A$71,0)),0)</f>
        <v/>
      </c>
      <c r="Q2712" s="21">
        <f>IFERROR(INDEX(Produtos!$E$2:$E$71,MATCH(C2712,Produtos!$A$2:$A$71,0)),0)</f>
        <v/>
      </c>
      <c r="R2712" s="23">
        <f>D2712*Q2712</f>
        <v/>
      </c>
      <c r="S2712" s="23">
        <f>R2712*E2712</f>
        <v/>
      </c>
      <c r="T2712" s="23">
        <f>(R2712-S2712)*M2712</f>
        <v/>
      </c>
      <c r="U2712" s="23">
        <f>R2712-S2712-T2712</f>
        <v/>
      </c>
      <c r="V2712" s="23">
        <f>D2712*P2712</f>
        <v/>
      </c>
      <c r="W2712" s="23">
        <f>U2712-V2712</f>
        <v/>
      </c>
      <c r="X2712" s="24">
        <f>IFERROR(W2712/U2712,0)</f>
        <v/>
      </c>
    </row>
    <row r="2713">
      <c r="A2713" s="25">
        <f>ItensPedido!A2713</f>
        <v/>
      </c>
      <c r="B2713" s="25">
        <f>ItensPedido!B2713</f>
        <v/>
      </c>
      <c r="C2713" s="25">
        <f>ItensPedido!C2713</f>
        <v/>
      </c>
      <c r="D2713" s="25">
        <f>ItensPedido!D2713</f>
        <v/>
      </c>
      <c r="E2713" s="26">
        <f>ItensPedido!E2713</f>
        <v/>
      </c>
      <c r="F2713" s="25">
        <f>IFERROR(INDEX(Pedidos!$B$2:$B$1801,MATCH(B2713,Pedidos!$A$2:$A$1801,0)),0)</f>
        <v/>
      </c>
      <c r="G2713" s="25">
        <f>IF(F2713=0,"",YEAR(F2713))</f>
        <v/>
      </c>
      <c r="H2713" s="25">
        <f>IF(F2713=0,"",MONTH(F2713))</f>
        <v/>
      </c>
      <c r="I2713" s="25">
        <f>IFERROR(INDEX(Pedidos!$E$2:$E$1801,MATCH(B2713,Pedidos!$A$2:$A$1801,0)),"")</f>
        <v/>
      </c>
      <c r="J2713" s="25">
        <f>IFERROR(INDEX(Pedidos!$C$2:$C$1801,MATCH(B2713,Pedidos!$A$2:$A$1801,0)),"")</f>
        <v/>
      </c>
      <c r="K2713" s="25">
        <f>IFERROR(INDEX(Pedidos!$D$2:$D$1801,MATCH(B2713,Pedidos!$A$2:$A$1801,0)),"")</f>
        <v/>
      </c>
      <c r="L2713" s="25">
        <f>IFERROR(INDEX(Pedidos!$F$2:$F$1801,MATCH(B2713,Pedidos!$A$2:$A$1801,0)),"")</f>
        <v/>
      </c>
      <c r="M2713" s="26">
        <f>IFERROR(INDEX(Pedidos!$G$2:$G$1801,MATCH(B2713,Pedidos!$A$2:$A$1801,0)),0)</f>
        <v/>
      </c>
      <c r="N2713" s="25">
        <f>IFERROR(INDEX(Produtos!$B$2:$B$71,MATCH(C2713,Produtos!$A$2:$A$71,0)),"")</f>
        <v/>
      </c>
      <c r="O2713" s="25">
        <f>IFERROR(INDEX(Produtos!$C$2:$C$71,MATCH(C2713,Produtos!$A$2:$A$71,0)),"")</f>
        <v/>
      </c>
      <c r="P2713" s="25">
        <f>IFERROR(INDEX(Produtos!$D$2:$D$71,MATCH(C2713,Produtos!$A$2:$A$71,0)),0)</f>
        <v/>
      </c>
      <c r="Q2713" s="25">
        <f>IFERROR(INDEX(Produtos!$E$2:$E$71,MATCH(C2713,Produtos!$A$2:$A$71,0)),0)</f>
        <v/>
      </c>
      <c r="R2713" s="27">
        <f>D2713*Q2713</f>
        <v/>
      </c>
      <c r="S2713" s="27">
        <f>R2713*E2713</f>
        <v/>
      </c>
      <c r="T2713" s="27">
        <f>(R2713-S2713)*M2713</f>
        <v/>
      </c>
      <c r="U2713" s="27">
        <f>R2713-S2713-T2713</f>
        <v/>
      </c>
      <c r="V2713" s="27">
        <f>D2713*P2713</f>
        <v/>
      </c>
      <c r="W2713" s="27">
        <f>U2713-V2713</f>
        <v/>
      </c>
      <c r="X2713" s="28">
        <f>IFERROR(W2713/U2713,0)</f>
        <v/>
      </c>
    </row>
    <row r="2714">
      <c r="A2714" s="21">
        <f>ItensPedido!A2714</f>
        <v/>
      </c>
      <c r="B2714" s="21">
        <f>ItensPedido!B2714</f>
        <v/>
      </c>
      <c r="C2714" s="21">
        <f>ItensPedido!C2714</f>
        <v/>
      </c>
      <c r="D2714" s="21">
        <f>ItensPedido!D2714</f>
        <v/>
      </c>
      <c r="E2714" s="22">
        <f>ItensPedido!E2714</f>
        <v/>
      </c>
      <c r="F2714" s="21">
        <f>IFERROR(INDEX(Pedidos!$B$2:$B$1801,MATCH(B2714,Pedidos!$A$2:$A$1801,0)),0)</f>
        <v/>
      </c>
      <c r="G2714" s="21">
        <f>IF(F2714=0,"",YEAR(F2714))</f>
        <v/>
      </c>
      <c r="H2714" s="21">
        <f>IF(F2714=0,"",MONTH(F2714))</f>
        <v/>
      </c>
      <c r="I2714" s="21">
        <f>IFERROR(INDEX(Pedidos!$E$2:$E$1801,MATCH(B2714,Pedidos!$A$2:$A$1801,0)),"")</f>
        <v/>
      </c>
      <c r="J2714" s="21">
        <f>IFERROR(INDEX(Pedidos!$C$2:$C$1801,MATCH(B2714,Pedidos!$A$2:$A$1801,0)),"")</f>
        <v/>
      </c>
      <c r="K2714" s="21">
        <f>IFERROR(INDEX(Pedidos!$D$2:$D$1801,MATCH(B2714,Pedidos!$A$2:$A$1801,0)),"")</f>
        <v/>
      </c>
      <c r="L2714" s="21">
        <f>IFERROR(INDEX(Pedidos!$F$2:$F$1801,MATCH(B2714,Pedidos!$A$2:$A$1801,0)),"")</f>
        <v/>
      </c>
      <c r="M2714" s="22">
        <f>IFERROR(INDEX(Pedidos!$G$2:$G$1801,MATCH(B2714,Pedidos!$A$2:$A$1801,0)),0)</f>
        <v/>
      </c>
      <c r="N2714" s="21">
        <f>IFERROR(INDEX(Produtos!$B$2:$B$71,MATCH(C2714,Produtos!$A$2:$A$71,0)),"")</f>
        <v/>
      </c>
      <c r="O2714" s="21">
        <f>IFERROR(INDEX(Produtos!$C$2:$C$71,MATCH(C2714,Produtos!$A$2:$A$71,0)),"")</f>
        <v/>
      </c>
      <c r="P2714" s="21">
        <f>IFERROR(INDEX(Produtos!$D$2:$D$71,MATCH(C2714,Produtos!$A$2:$A$71,0)),0)</f>
        <v/>
      </c>
      <c r="Q2714" s="21">
        <f>IFERROR(INDEX(Produtos!$E$2:$E$71,MATCH(C2714,Produtos!$A$2:$A$71,0)),0)</f>
        <v/>
      </c>
      <c r="R2714" s="23">
        <f>D2714*Q2714</f>
        <v/>
      </c>
      <c r="S2714" s="23">
        <f>R2714*E2714</f>
        <v/>
      </c>
      <c r="T2714" s="23">
        <f>(R2714-S2714)*M2714</f>
        <v/>
      </c>
      <c r="U2714" s="23">
        <f>R2714-S2714-T2714</f>
        <v/>
      </c>
      <c r="V2714" s="23">
        <f>D2714*P2714</f>
        <v/>
      </c>
      <c r="W2714" s="23">
        <f>U2714-V2714</f>
        <v/>
      </c>
      <c r="X2714" s="24">
        <f>IFERROR(W2714/U2714,0)</f>
        <v/>
      </c>
    </row>
    <row r="2715">
      <c r="A2715" s="25">
        <f>ItensPedido!A2715</f>
        <v/>
      </c>
      <c r="B2715" s="25">
        <f>ItensPedido!B2715</f>
        <v/>
      </c>
      <c r="C2715" s="25">
        <f>ItensPedido!C2715</f>
        <v/>
      </c>
      <c r="D2715" s="25">
        <f>ItensPedido!D2715</f>
        <v/>
      </c>
      <c r="E2715" s="26">
        <f>ItensPedido!E2715</f>
        <v/>
      </c>
      <c r="F2715" s="25">
        <f>IFERROR(INDEX(Pedidos!$B$2:$B$1801,MATCH(B2715,Pedidos!$A$2:$A$1801,0)),0)</f>
        <v/>
      </c>
      <c r="G2715" s="25">
        <f>IF(F2715=0,"",YEAR(F2715))</f>
        <v/>
      </c>
      <c r="H2715" s="25">
        <f>IF(F2715=0,"",MONTH(F2715))</f>
        <v/>
      </c>
      <c r="I2715" s="25">
        <f>IFERROR(INDEX(Pedidos!$E$2:$E$1801,MATCH(B2715,Pedidos!$A$2:$A$1801,0)),"")</f>
        <v/>
      </c>
      <c r="J2715" s="25">
        <f>IFERROR(INDEX(Pedidos!$C$2:$C$1801,MATCH(B2715,Pedidos!$A$2:$A$1801,0)),"")</f>
        <v/>
      </c>
      <c r="K2715" s="25">
        <f>IFERROR(INDEX(Pedidos!$D$2:$D$1801,MATCH(B2715,Pedidos!$A$2:$A$1801,0)),"")</f>
        <v/>
      </c>
      <c r="L2715" s="25">
        <f>IFERROR(INDEX(Pedidos!$F$2:$F$1801,MATCH(B2715,Pedidos!$A$2:$A$1801,0)),"")</f>
        <v/>
      </c>
      <c r="M2715" s="26">
        <f>IFERROR(INDEX(Pedidos!$G$2:$G$1801,MATCH(B2715,Pedidos!$A$2:$A$1801,0)),0)</f>
        <v/>
      </c>
      <c r="N2715" s="25">
        <f>IFERROR(INDEX(Produtos!$B$2:$B$71,MATCH(C2715,Produtos!$A$2:$A$71,0)),"")</f>
        <v/>
      </c>
      <c r="O2715" s="25">
        <f>IFERROR(INDEX(Produtos!$C$2:$C$71,MATCH(C2715,Produtos!$A$2:$A$71,0)),"")</f>
        <v/>
      </c>
      <c r="P2715" s="25">
        <f>IFERROR(INDEX(Produtos!$D$2:$D$71,MATCH(C2715,Produtos!$A$2:$A$71,0)),0)</f>
        <v/>
      </c>
      <c r="Q2715" s="25">
        <f>IFERROR(INDEX(Produtos!$E$2:$E$71,MATCH(C2715,Produtos!$A$2:$A$71,0)),0)</f>
        <v/>
      </c>
      <c r="R2715" s="27">
        <f>D2715*Q2715</f>
        <v/>
      </c>
      <c r="S2715" s="27">
        <f>R2715*E2715</f>
        <v/>
      </c>
      <c r="T2715" s="27">
        <f>(R2715-S2715)*M2715</f>
        <v/>
      </c>
      <c r="U2715" s="27">
        <f>R2715-S2715-T2715</f>
        <v/>
      </c>
      <c r="V2715" s="27">
        <f>D2715*P2715</f>
        <v/>
      </c>
      <c r="W2715" s="27">
        <f>U2715-V2715</f>
        <v/>
      </c>
      <c r="X2715" s="28">
        <f>IFERROR(W2715/U2715,0)</f>
        <v/>
      </c>
    </row>
    <row r="2716">
      <c r="A2716" s="21">
        <f>ItensPedido!A2716</f>
        <v/>
      </c>
      <c r="B2716" s="21">
        <f>ItensPedido!B2716</f>
        <v/>
      </c>
      <c r="C2716" s="21">
        <f>ItensPedido!C2716</f>
        <v/>
      </c>
      <c r="D2716" s="21">
        <f>ItensPedido!D2716</f>
        <v/>
      </c>
      <c r="E2716" s="22">
        <f>ItensPedido!E2716</f>
        <v/>
      </c>
      <c r="F2716" s="21">
        <f>IFERROR(INDEX(Pedidos!$B$2:$B$1801,MATCH(B2716,Pedidos!$A$2:$A$1801,0)),0)</f>
        <v/>
      </c>
      <c r="G2716" s="21">
        <f>IF(F2716=0,"",YEAR(F2716))</f>
        <v/>
      </c>
      <c r="H2716" s="21">
        <f>IF(F2716=0,"",MONTH(F2716))</f>
        <v/>
      </c>
      <c r="I2716" s="21">
        <f>IFERROR(INDEX(Pedidos!$E$2:$E$1801,MATCH(B2716,Pedidos!$A$2:$A$1801,0)),"")</f>
        <v/>
      </c>
      <c r="J2716" s="21">
        <f>IFERROR(INDEX(Pedidos!$C$2:$C$1801,MATCH(B2716,Pedidos!$A$2:$A$1801,0)),"")</f>
        <v/>
      </c>
      <c r="K2716" s="21">
        <f>IFERROR(INDEX(Pedidos!$D$2:$D$1801,MATCH(B2716,Pedidos!$A$2:$A$1801,0)),"")</f>
        <v/>
      </c>
      <c r="L2716" s="21">
        <f>IFERROR(INDEX(Pedidos!$F$2:$F$1801,MATCH(B2716,Pedidos!$A$2:$A$1801,0)),"")</f>
        <v/>
      </c>
      <c r="M2716" s="22">
        <f>IFERROR(INDEX(Pedidos!$G$2:$G$1801,MATCH(B2716,Pedidos!$A$2:$A$1801,0)),0)</f>
        <v/>
      </c>
      <c r="N2716" s="21">
        <f>IFERROR(INDEX(Produtos!$B$2:$B$71,MATCH(C2716,Produtos!$A$2:$A$71,0)),"")</f>
        <v/>
      </c>
      <c r="O2716" s="21">
        <f>IFERROR(INDEX(Produtos!$C$2:$C$71,MATCH(C2716,Produtos!$A$2:$A$71,0)),"")</f>
        <v/>
      </c>
      <c r="P2716" s="21">
        <f>IFERROR(INDEX(Produtos!$D$2:$D$71,MATCH(C2716,Produtos!$A$2:$A$71,0)),0)</f>
        <v/>
      </c>
      <c r="Q2716" s="21">
        <f>IFERROR(INDEX(Produtos!$E$2:$E$71,MATCH(C2716,Produtos!$A$2:$A$71,0)),0)</f>
        <v/>
      </c>
      <c r="R2716" s="23">
        <f>D2716*Q2716</f>
        <v/>
      </c>
      <c r="S2716" s="23">
        <f>R2716*E2716</f>
        <v/>
      </c>
      <c r="T2716" s="23">
        <f>(R2716-S2716)*M2716</f>
        <v/>
      </c>
      <c r="U2716" s="23">
        <f>R2716-S2716-T2716</f>
        <v/>
      </c>
      <c r="V2716" s="23">
        <f>D2716*P2716</f>
        <v/>
      </c>
      <c r="W2716" s="23">
        <f>U2716-V2716</f>
        <v/>
      </c>
      <c r="X2716" s="24">
        <f>IFERROR(W2716/U2716,0)</f>
        <v/>
      </c>
    </row>
    <row r="2717">
      <c r="A2717" s="25">
        <f>ItensPedido!A2717</f>
        <v/>
      </c>
      <c r="B2717" s="25">
        <f>ItensPedido!B2717</f>
        <v/>
      </c>
      <c r="C2717" s="25">
        <f>ItensPedido!C2717</f>
        <v/>
      </c>
      <c r="D2717" s="25">
        <f>ItensPedido!D2717</f>
        <v/>
      </c>
      <c r="E2717" s="26">
        <f>ItensPedido!E2717</f>
        <v/>
      </c>
      <c r="F2717" s="25">
        <f>IFERROR(INDEX(Pedidos!$B$2:$B$1801,MATCH(B2717,Pedidos!$A$2:$A$1801,0)),0)</f>
        <v/>
      </c>
      <c r="G2717" s="25">
        <f>IF(F2717=0,"",YEAR(F2717))</f>
        <v/>
      </c>
      <c r="H2717" s="25">
        <f>IF(F2717=0,"",MONTH(F2717))</f>
        <v/>
      </c>
      <c r="I2717" s="25">
        <f>IFERROR(INDEX(Pedidos!$E$2:$E$1801,MATCH(B2717,Pedidos!$A$2:$A$1801,0)),"")</f>
        <v/>
      </c>
      <c r="J2717" s="25">
        <f>IFERROR(INDEX(Pedidos!$C$2:$C$1801,MATCH(B2717,Pedidos!$A$2:$A$1801,0)),"")</f>
        <v/>
      </c>
      <c r="K2717" s="25">
        <f>IFERROR(INDEX(Pedidos!$D$2:$D$1801,MATCH(B2717,Pedidos!$A$2:$A$1801,0)),"")</f>
        <v/>
      </c>
      <c r="L2717" s="25">
        <f>IFERROR(INDEX(Pedidos!$F$2:$F$1801,MATCH(B2717,Pedidos!$A$2:$A$1801,0)),"")</f>
        <v/>
      </c>
      <c r="M2717" s="26">
        <f>IFERROR(INDEX(Pedidos!$G$2:$G$1801,MATCH(B2717,Pedidos!$A$2:$A$1801,0)),0)</f>
        <v/>
      </c>
      <c r="N2717" s="25">
        <f>IFERROR(INDEX(Produtos!$B$2:$B$71,MATCH(C2717,Produtos!$A$2:$A$71,0)),"")</f>
        <v/>
      </c>
      <c r="O2717" s="25">
        <f>IFERROR(INDEX(Produtos!$C$2:$C$71,MATCH(C2717,Produtos!$A$2:$A$71,0)),"")</f>
        <v/>
      </c>
      <c r="P2717" s="25">
        <f>IFERROR(INDEX(Produtos!$D$2:$D$71,MATCH(C2717,Produtos!$A$2:$A$71,0)),0)</f>
        <v/>
      </c>
      <c r="Q2717" s="25">
        <f>IFERROR(INDEX(Produtos!$E$2:$E$71,MATCH(C2717,Produtos!$A$2:$A$71,0)),0)</f>
        <v/>
      </c>
      <c r="R2717" s="27">
        <f>D2717*Q2717</f>
        <v/>
      </c>
      <c r="S2717" s="27">
        <f>R2717*E2717</f>
        <v/>
      </c>
      <c r="T2717" s="27">
        <f>(R2717-S2717)*M2717</f>
        <v/>
      </c>
      <c r="U2717" s="27">
        <f>R2717-S2717-T2717</f>
        <v/>
      </c>
      <c r="V2717" s="27">
        <f>D2717*P2717</f>
        <v/>
      </c>
      <c r="W2717" s="27">
        <f>U2717-V2717</f>
        <v/>
      </c>
      <c r="X2717" s="28">
        <f>IFERROR(W2717/U2717,0)</f>
        <v/>
      </c>
    </row>
    <row r="2718">
      <c r="A2718" s="21">
        <f>ItensPedido!A2718</f>
        <v/>
      </c>
      <c r="B2718" s="21">
        <f>ItensPedido!B2718</f>
        <v/>
      </c>
      <c r="C2718" s="21">
        <f>ItensPedido!C2718</f>
        <v/>
      </c>
      <c r="D2718" s="21">
        <f>ItensPedido!D2718</f>
        <v/>
      </c>
      <c r="E2718" s="22">
        <f>ItensPedido!E2718</f>
        <v/>
      </c>
      <c r="F2718" s="21">
        <f>IFERROR(INDEX(Pedidos!$B$2:$B$1801,MATCH(B2718,Pedidos!$A$2:$A$1801,0)),0)</f>
        <v/>
      </c>
      <c r="G2718" s="21">
        <f>IF(F2718=0,"",YEAR(F2718))</f>
        <v/>
      </c>
      <c r="H2718" s="21">
        <f>IF(F2718=0,"",MONTH(F2718))</f>
        <v/>
      </c>
      <c r="I2718" s="21">
        <f>IFERROR(INDEX(Pedidos!$E$2:$E$1801,MATCH(B2718,Pedidos!$A$2:$A$1801,0)),"")</f>
        <v/>
      </c>
      <c r="J2718" s="21">
        <f>IFERROR(INDEX(Pedidos!$C$2:$C$1801,MATCH(B2718,Pedidos!$A$2:$A$1801,0)),"")</f>
        <v/>
      </c>
      <c r="K2718" s="21">
        <f>IFERROR(INDEX(Pedidos!$D$2:$D$1801,MATCH(B2718,Pedidos!$A$2:$A$1801,0)),"")</f>
        <v/>
      </c>
      <c r="L2718" s="21">
        <f>IFERROR(INDEX(Pedidos!$F$2:$F$1801,MATCH(B2718,Pedidos!$A$2:$A$1801,0)),"")</f>
        <v/>
      </c>
      <c r="M2718" s="22">
        <f>IFERROR(INDEX(Pedidos!$G$2:$G$1801,MATCH(B2718,Pedidos!$A$2:$A$1801,0)),0)</f>
        <v/>
      </c>
      <c r="N2718" s="21">
        <f>IFERROR(INDEX(Produtos!$B$2:$B$71,MATCH(C2718,Produtos!$A$2:$A$71,0)),"")</f>
        <v/>
      </c>
      <c r="O2718" s="21">
        <f>IFERROR(INDEX(Produtos!$C$2:$C$71,MATCH(C2718,Produtos!$A$2:$A$71,0)),"")</f>
        <v/>
      </c>
      <c r="P2718" s="21">
        <f>IFERROR(INDEX(Produtos!$D$2:$D$71,MATCH(C2718,Produtos!$A$2:$A$71,0)),0)</f>
        <v/>
      </c>
      <c r="Q2718" s="21">
        <f>IFERROR(INDEX(Produtos!$E$2:$E$71,MATCH(C2718,Produtos!$A$2:$A$71,0)),0)</f>
        <v/>
      </c>
      <c r="R2718" s="23">
        <f>D2718*Q2718</f>
        <v/>
      </c>
      <c r="S2718" s="23">
        <f>R2718*E2718</f>
        <v/>
      </c>
      <c r="T2718" s="23">
        <f>(R2718-S2718)*M2718</f>
        <v/>
      </c>
      <c r="U2718" s="23">
        <f>R2718-S2718-T2718</f>
        <v/>
      </c>
      <c r="V2718" s="23">
        <f>D2718*P2718</f>
        <v/>
      </c>
      <c r="W2718" s="23">
        <f>U2718-V2718</f>
        <v/>
      </c>
      <c r="X2718" s="24">
        <f>IFERROR(W2718/U2718,0)</f>
        <v/>
      </c>
    </row>
    <row r="2719">
      <c r="A2719" s="25">
        <f>ItensPedido!A2719</f>
        <v/>
      </c>
      <c r="B2719" s="25">
        <f>ItensPedido!B2719</f>
        <v/>
      </c>
      <c r="C2719" s="25">
        <f>ItensPedido!C2719</f>
        <v/>
      </c>
      <c r="D2719" s="25">
        <f>ItensPedido!D2719</f>
        <v/>
      </c>
      <c r="E2719" s="26">
        <f>ItensPedido!E2719</f>
        <v/>
      </c>
      <c r="F2719" s="25">
        <f>IFERROR(INDEX(Pedidos!$B$2:$B$1801,MATCH(B2719,Pedidos!$A$2:$A$1801,0)),0)</f>
        <v/>
      </c>
      <c r="G2719" s="25">
        <f>IF(F2719=0,"",YEAR(F2719))</f>
        <v/>
      </c>
      <c r="H2719" s="25">
        <f>IF(F2719=0,"",MONTH(F2719))</f>
        <v/>
      </c>
      <c r="I2719" s="25">
        <f>IFERROR(INDEX(Pedidos!$E$2:$E$1801,MATCH(B2719,Pedidos!$A$2:$A$1801,0)),"")</f>
        <v/>
      </c>
      <c r="J2719" s="25">
        <f>IFERROR(INDEX(Pedidos!$C$2:$C$1801,MATCH(B2719,Pedidos!$A$2:$A$1801,0)),"")</f>
        <v/>
      </c>
      <c r="K2719" s="25">
        <f>IFERROR(INDEX(Pedidos!$D$2:$D$1801,MATCH(B2719,Pedidos!$A$2:$A$1801,0)),"")</f>
        <v/>
      </c>
      <c r="L2719" s="25">
        <f>IFERROR(INDEX(Pedidos!$F$2:$F$1801,MATCH(B2719,Pedidos!$A$2:$A$1801,0)),"")</f>
        <v/>
      </c>
      <c r="M2719" s="26">
        <f>IFERROR(INDEX(Pedidos!$G$2:$G$1801,MATCH(B2719,Pedidos!$A$2:$A$1801,0)),0)</f>
        <v/>
      </c>
      <c r="N2719" s="25">
        <f>IFERROR(INDEX(Produtos!$B$2:$B$71,MATCH(C2719,Produtos!$A$2:$A$71,0)),"")</f>
        <v/>
      </c>
      <c r="O2719" s="25">
        <f>IFERROR(INDEX(Produtos!$C$2:$C$71,MATCH(C2719,Produtos!$A$2:$A$71,0)),"")</f>
        <v/>
      </c>
      <c r="P2719" s="25">
        <f>IFERROR(INDEX(Produtos!$D$2:$D$71,MATCH(C2719,Produtos!$A$2:$A$71,0)),0)</f>
        <v/>
      </c>
      <c r="Q2719" s="25">
        <f>IFERROR(INDEX(Produtos!$E$2:$E$71,MATCH(C2719,Produtos!$A$2:$A$71,0)),0)</f>
        <v/>
      </c>
      <c r="R2719" s="27">
        <f>D2719*Q2719</f>
        <v/>
      </c>
      <c r="S2719" s="27">
        <f>R2719*E2719</f>
        <v/>
      </c>
      <c r="T2719" s="27">
        <f>(R2719-S2719)*M2719</f>
        <v/>
      </c>
      <c r="U2719" s="27">
        <f>R2719-S2719-T2719</f>
        <v/>
      </c>
      <c r="V2719" s="27">
        <f>D2719*P2719</f>
        <v/>
      </c>
      <c r="W2719" s="27">
        <f>U2719-V2719</f>
        <v/>
      </c>
      <c r="X2719" s="28">
        <f>IFERROR(W2719/U2719,0)</f>
        <v/>
      </c>
    </row>
    <row r="2720">
      <c r="A2720" s="21">
        <f>ItensPedido!A2720</f>
        <v/>
      </c>
      <c r="B2720" s="21">
        <f>ItensPedido!B2720</f>
        <v/>
      </c>
      <c r="C2720" s="21">
        <f>ItensPedido!C2720</f>
        <v/>
      </c>
      <c r="D2720" s="21">
        <f>ItensPedido!D2720</f>
        <v/>
      </c>
      <c r="E2720" s="22">
        <f>ItensPedido!E2720</f>
        <v/>
      </c>
      <c r="F2720" s="21">
        <f>IFERROR(INDEX(Pedidos!$B$2:$B$1801,MATCH(B2720,Pedidos!$A$2:$A$1801,0)),0)</f>
        <v/>
      </c>
      <c r="G2720" s="21">
        <f>IF(F2720=0,"",YEAR(F2720))</f>
        <v/>
      </c>
      <c r="H2720" s="21">
        <f>IF(F2720=0,"",MONTH(F2720))</f>
        <v/>
      </c>
      <c r="I2720" s="21">
        <f>IFERROR(INDEX(Pedidos!$E$2:$E$1801,MATCH(B2720,Pedidos!$A$2:$A$1801,0)),"")</f>
        <v/>
      </c>
      <c r="J2720" s="21">
        <f>IFERROR(INDEX(Pedidos!$C$2:$C$1801,MATCH(B2720,Pedidos!$A$2:$A$1801,0)),"")</f>
        <v/>
      </c>
      <c r="K2720" s="21">
        <f>IFERROR(INDEX(Pedidos!$D$2:$D$1801,MATCH(B2720,Pedidos!$A$2:$A$1801,0)),"")</f>
        <v/>
      </c>
      <c r="L2720" s="21">
        <f>IFERROR(INDEX(Pedidos!$F$2:$F$1801,MATCH(B2720,Pedidos!$A$2:$A$1801,0)),"")</f>
        <v/>
      </c>
      <c r="M2720" s="22">
        <f>IFERROR(INDEX(Pedidos!$G$2:$G$1801,MATCH(B2720,Pedidos!$A$2:$A$1801,0)),0)</f>
        <v/>
      </c>
      <c r="N2720" s="21">
        <f>IFERROR(INDEX(Produtos!$B$2:$B$71,MATCH(C2720,Produtos!$A$2:$A$71,0)),"")</f>
        <v/>
      </c>
      <c r="O2720" s="21">
        <f>IFERROR(INDEX(Produtos!$C$2:$C$71,MATCH(C2720,Produtos!$A$2:$A$71,0)),"")</f>
        <v/>
      </c>
      <c r="P2720" s="21">
        <f>IFERROR(INDEX(Produtos!$D$2:$D$71,MATCH(C2720,Produtos!$A$2:$A$71,0)),0)</f>
        <v/>
      </c>
      <c r="Q2720" s="21">
        <f>IFERROR(INDEX(Produtos!$E$2:$E$71,MATCH(C2720,Produtos!$A$2:$A$71,0)),0)</f>
        <v/>
      </c>
      <c r="R2720" s="23">
        <f>D2720*Q2720</f>
        <v/>
      </c>
      <c r="S2720" s="23">
        <f>R2720*E2720</f>
        <v/>
      </c>
      <c r="T2720" s="23">
        <f>(R2720-S2720)*M2720</f>
        <v/>
      </c>
      <c r="U2720" s="23">
        <f>R2720-S2720-T2720</f>
        <v/>
      </c>
      <c r="V2720" s="23">
        <f>D2720*P2720</f>
        <v/>
      </c>
      <c r="W2720" s="23">
        <f>U2720-V2720</f>
        <v/>
      </c>
      <c r="X2720" s="24">
        <f>IFERROR(W2720/U2720,0)</f>
        <v/>
      </c>
    </row>
    <row r="2721">
      <c r="A2721" s="25">
        <f>ItensPedido!A2721</f>
        <v/>
      </c>
      <c r="B2721" s="25">
        <f>ItensPedido!B2721</f>
        <v/>
      </c>
      <c r="C2721" s="25">
        <f>ItensPedido!C2721</f>
        <v/>
      </c>
      <c r="D2721" s="25">
        <f>ItensPedido!D2721</f>
        <v/>
      </c>
      <c r="E2721" s="26">
        <f>ItensPedido!E2721</f>
        <v/>
      </c>
      <c r="F2721" s="25">
        <f>IFERROR(INDEX(Pedidos!$B$2:$B$1801,MATCH(B2721,Pedidos!$A$2:$A$1801,0)),0)</f>
        <v/>
      </c>
      <c r="G2721" s="25">
        <f>IF(F2721=0,"",YEAR(F2721))</f>
        <v/>
      </c>
      <c r="H2721" s="25">
        <f>IF(F2721=0,"",MONTH(F2721))</f>
        <v/>
      </c>
      <c r="I2721" s="25">
        <f>IFERROR(INDEX(Pedidos!$E$2:$E$1801,MATCH(B2721,Pedidos!$A$2:$A$1801,0)),"")</f>
        <v/>
      </c>
      <c r="J2721" s="25">
        <f>IFERROR(INDEX(Pedidos!$C$2:$C$1801,MATCH(B2721,Pedidos!$A$2:$A$1801,0)),"")</f>
        <v/>
      </c>
      <c r="K2721" s="25">
        <f>IFERROR(INDEX(Pedidos!$D$2:$D$1801,MATCH(B2721,Pedidos!$A$2:$A$1801,0)),"")</f>
        <v/>
      </c>
      <c r="L2721" s="25">
        <f>IFERROR(INDEX(Pedidos!$F$2:$F$1801,MATCH(B2721,Pedidos!$A$2:$A$1801,0)),"")</f>
        <v/>
      </c>
      <c r="M2721" s="26">
        <f>IFERROR(INDEX(Pedidos!$G$2:$G$1801,MATCH(B2721,Pedidos!$A$2:$A$1801,0)),0)</f>
        <v/>
      </c>
      <c r="N2721" s="25">
        <f>IFERROR(INDEX(Produtos!$B$2:$B$71,MATCH(C2721,Produtos!$A$2:$A$71,0)),"")</f>
        <v/>
      </c>
      <c r="O2721" s="25">
        <f>IFERROR(INDEX(Produtos!$C$2:$C$71,MATCH(C2721,Produtos!$A$2:$A$71,0)),"")</f>
        <v/>
      </c>
      <c r="P2721" s="25">
        <f>IFERROR(INDEX(Produtos!$D$2:$D$71,MATCH(C2721,Produtos!$A$2:$A$71,0)),0)</f>
        <v/>
      </c>
      <c r="Q2721" s="25">
        <f>IFERROR(INDEX(Produtos!$E$2:$E$71,MATCH(C2721,Produtos!$A$2:$A$71,0)),0)</f>
        <v/>
      </c>
      <c r="R2721" s="27">
        <f>D2721*Q2721</f>
        <v/>
      </c>
      <c r="S2721" s="27">
        <f>R2721*E2721</f>
        <v/>
      </c>
      <c r="T2721" s="27">
        <f>(R2721-S2721)*M2721</f>
        <v/>
      </c>
      <c r="U2721" s="27">
        <f>R2721-S2721-T2721</f>
        <v/>
      </c>
      <c r="V2721" s="27">
        <f>D2721*P2721</f>
        <v/>
      </c>
      <c r="W2721" s="27">
        <f>U2721-V2721</f>
        <v/>
      </c>
      <c r="X2721" s="28">
        <f>IFERROR(W2721/U2721,0)</f>
        <v/>
      </c>
    </row>
    <row r="2722">
      <c r="A2722" s="21">
        <f>ItensPedido!A2722</f>
        <v/>
      </c>
      <c r="B2722" s="21">
        <f>ItensPedido!B2722</f>
        <v/>
      </c>
      <c r="C2722" s="21">
        <f>ItensPedido!C2722</f>
        <v/>
      </c>
      <c r="D2722" s="21">
        <f>ItensPedido!D2722</f>
        <v/>
      </c>
      <c r="E2722" s="22">
        <f>ItensPedido!E2722</f>
        <v/>
      </c>
      <c r="F2722" s="21">
        <f>IFERROR(INDEX(Pedidos!$B$2:$B$1801,MATCH(B2722,Pedidos!$A$2:$A$1801,0)),0)</f>
        <v/>
      </c>
      <c r="G2722" s="21">
        <f>IF(F2722=0,"",YEAR(F2722))</f>
        <v/>
      </c>
      <c r="H2722" s="21">
        <f>IF(F2722=0,"",MONTH(F2722))</f>
        <v/>
      </c>
      <c r="I2722" s="21">
        <f>IFERROR(INDEX(Pedidos!$E$2:$E$1801,MATCH(B2722,Pedidos!$A$2:$A$1801,0)),"")</f>
        <v/>
      </c>
      <c r="J2722" s="21">
        <f>IFERROR(INDEX(Pedidos!$C$2:$C$1801,MATCH(B2722,Pedidos!$A$2:$A$1801,0)),"")</f>
        <v/>
      </c>
      <c r="K2722" s="21">
        <f>IFERROR(INDEX(Pedidos!$D$2:$D$1801,MATCH(B2722,Pedidos!$A$2:$A$1801,0)),"")</f>
        <v/>
      </c>
      <c r="L2722" s="21">
        <f>IFERROR(INDEX(Pedidos!$F$2:$F$1801,MATCH(B2722,Pedidos!$A$2:$A$1801,0)),"")</f>
        <v/>
      </c>
      <c r="M2722" s="22">
        <f>IFERROR(INDEX(Pedidos!$G$2:$G$1801,MATCH(B2722,Pedidos!$A$2:$A$1801,0)),0)</f>
        <v/>
      </c>
      <c r="N2722" s="21">
        <f>IFERROR(INDEX(Produtos!$B$2:$B$71,MATCH(C2722,Produtos!$A$2:$A$71,0)),"")</f>
        <v/>
      </c>
      <c r="O2722" s="21">
        <f>IFERROR(INDEX(Produtos!$C$2:$C$71,MATCH(C2722,Produtos!$A$2:$A$71,0)),"")</f>
        <v/>
      </c>
      <c r="P2722" s="21">
        <f>IFERROR(INDEX(Produtos!$D$2:$D$71,MATCH(C2722,Produtos!$A$2:$A$71,0)),0)</f>
        <v/>
      </c>
      <c r="Q2722" s="21">
        <f>IFERROR(INDEX(Produtos!$E$2:$E$71,MATCH(C2722,Produtos!$A$2:$A$71,0)),0)</f>
        <v/>
      </c>
      <c r="R2722" s="23">
        <f>D2722*Q2722</f>
        <v/>
      </c>
      <c r="S2722" s="23">
        <f>R2722*E2722</f>
        <v/>
      </c>
      <c r="T2722" s="23">
        <f>(R2722-S2722)*M2722</f>
        <v/>
      </c>
      <c r="U2722" s="23">
        <f>R2722-S2722-T2722</f>
        <v/>
      </c>
      <c r="V2722" s="23">
        <f>D2722*P2722</f>
        <v/>
      </c>
      <c r="W2722" s="23">
        <f>U2722-V2722</f>
        <v/>
      </c>
      <c r="X2722" s="24">
        <f>IFERROR(W2722/U2722,0)</f>
        <v/>
      </c>
    </row>
    <row r="2723">
      <c r="A2723" s="25">
        <f>ItensPedido!A2723</f>
        <v/>
      </c>
      <c r="B2723" s="25">
        <f>ItensPedido!B2723</f>
        <v/>
      </c>
      <c r="C2723" s="25">
        <f>ItensPedido!C2723</f>
        <v/>
      </c>
      <c r="D2723" s="25">
        <f>ItensPedido!D2723</f>
        <v/>
      </c>
      <c r="E2723" s="26">
        <f>ItensPedido!E2723</f>
        <v/>
      </c>
      <c r="F2723" s="25">
        <f>IFERROR(INDEX(Pedidos!$B$2:$B$1801,MATCH(B2723,Pedidos!$A$2:$A$1801,0)),0)</f>
        <v/>
      </c>
      <c r="G2723" s="25">
        <f>IF(F2723=0,"",YEAR(F2723))</f>
        <v/>
      </c>
      <c r="H2723" s="25">
        <f>IF(F2723=0,"",MONTH(F2723))</f>
        <v/>
      </c>
      <c r="I2723" s="25">
        <f>IFERROR(INDEX(Pedidos!$E$2:$E$1801,MATCH(B2723,Pedidos!$A$2:$A$1801,0)),"")</f>
        <v/>
      </c>
      <c r="J2723" s="25">
        <f>IFERROR(INDEX(Pedidos!$C$2:$C$1801,MATCH(B2723,Pedidos!$A$2:$A$1801,0)),"")</f>
        <v/>
      </c>
      <c r="K2723" s="25">
        <f>IFERROR(INDEX(Pedidos!$D$2:$D$1801,MATCH(B2723,Pedidos!$A$2:$A$1801,0)),"")</f>
        <v/>
      </c>
      <c r="L2723" s="25">
        <f>IFERROR(INDEX(Pedidos!$F$2:$F$1801,MATCH(B2723,Pedidos!$A$2:$A$1801,0)),"")</f>
        <v/>
      </c>
      <c r="M2723" s="26">
        <f>IFERROR(INDEX(Pedidos!$G$2:$G$1801,MATCH(B2723,Pedidos!$A$2:$A$1801,0)),0)</f>
        <v/>
      </c>
      <c r="N2723" s="25">
        <f>IFERROR(INDEX(Produtos!$B$2:$B$71,MATCH(C2723,Produtos!$A$2:$A$71,0)),"")</f>
        <v/>
      </c>
      <c r="O2723" s="25">
        <f>IFERROR(INDEX(Produtos!$C$2:$C$71,MATCH(C2723,Produtos!$A$2:$A$71,0)),"")</f>
        <v/>
      </c>
      <c r="P2723" s="25">
        <f>IFERROR(INDEX(Produtos!$D$2:$D$71,MATCH(C2723,Produtos!$A$2:$A$71,0)),0)</f>
        <v/>
      </c>
      <c r="Q2723" s="25">
        <f>IFERROR(INDEX(Produtos!$E$2:$E$71,MATCH(C2723,Produtos!$A$2:$A$71,0)),0)</f>
        <v/>
      </c>
      <c r="R2723" s="27">
        <f>D2723*Q2723</f>
        <v/>
      </c>
      <c r="S2723" s="27">
        <f>R2723*E2723</f>
        <v/>
      </c>
      <c r="T2723" s="27">
        <f>(R2723-S2723)*M2723</f>
        <v/>
      </c>
      <c r="U2723" s="27">
        <f>R2723-S2723-T2723</f>
        <v/>
      </c>
      <c r="V2723" s="27">
        <f>D2723*P2723</f>
        <v/>
      </c>
      <c r="W2723" s="27">
        <f>U2723-V2723</f>
        <v/>
      </c>
      <c r="X2723" s="28">
        <f>IFERROR(W2723/U2723,0)</f>
        <v/>
      </c>
    </row>
    <row r="2724">
      <c r="A2724" s="21">
        <f>ItensPedido!A2724</f>
        <v/>
      </c>
      <c r="B2724" s="21">
        <f>ItensPedido!B2724</f>
        <v/>
      </c>
      <c r="C2724" s="21">
        <f>ItensPedido!C2724</f>
        <v/>
      </c>
      <c r="D2724" s="21">
        <f>ItensPedido!D2724</f>
        <v/>
      </c>
      <c r="E2724" s="22">
        <f>ItensPedido!E2724</f>
        <v/>
      </c>
      <c r="F2724" s="21">
        <f>IFERROR(INDEX(Pedidos!$B$2:$B$1801,MATCH(B2724,Pedidos!$A$2:$A$1801,0)),0)</f>
        <v/>
      </c>
      <c r="G2724" s="21">
        <f>IF(F2724=0,"",YEAR(F2724))</f>
        <v/>
      </c>
      <c r="H2724" s="21">
        <f>IF(F2724=0,"",MONTH(F2724))</f>
        <v/>
      </c>
      <c r="I2724" s="21">
        <f>IFERROR(INDEX(Pedidos!$E$2:$E$1801,MATCH(B2724,Pedidos!$A$2:$A$1801,0)),"")</f>
        <v/>
      </c>
      <c r="J2724" s="21">
        <f>IFERROR(INDEX(Pedidos!$C$2:$C$1801,MATCH(B2724,Pedidos!$A$2:$A$1801,0)),"")</f>
        <v/>
      </c>
      <c r="K2724" s="21">
        <f>IFERROR(INDEX(Pedidos!$D$2:$D$1801,MATCH(B2724,Pedidos!$A$2:$A$1801,0)),"")</f>
        <v/>
      </c>
      <c r="L2724" s="21">
        <f>IFERROR(INDEX(Pedidos!$F$2:$F$1801,MATCH(B2724,Pedidos!$A$2:$A$1801,0)),"")</f>
        <v/>
      </c>
      <c r="M2724" s="22">
        <f>IFERROR(INDEX(Pedidos!$G$2:$G$1801,MATCH(B2724,Pedidos!$A$2:$A$1801,0)),0)</f>
        <v/>
      </c>
      <c r="N2724" s="21">
        <f>IFERROR(INDEX(Produtos!$B$2:$B$71,MATCH(C2724,Produtos!$A$2:$A$71,0)),"")</f>
        <v/>
      </c>
      <c r="O2724" s="21">
        <f>IFERROR(INDEX(Produtos!$C$2:$C$71,MATCH(C2724,Produtos!$A$2:$A$71,0)),"")</f>
        <v/>
      </c>
      <c r="P2724" s="21">
        <f>IFERROR(INDEX(Produtos!$D$2:$D$71,MATCH(C2724,Produtos!$A$2:$A$71,0)),0)</f>
        <v/>
      </c>
      <c r="Q2724" s="21">
        <f>IFERROR(INDEX(Produtos!$E$2:$E$71,MATCH(C2724,Produtos!$A$2:$A$71,0)),0)</f>
        <v/>
      </c>
      <c r="R2724" s="23">
        <f>D2724*Q2724</f>
        <v/>
      </c>
      <c r="S2724" s="23">
        <f>R2724*E2724</f>
        <v/>
      </c>
      <c r="T2724" s="23">
        <f>(R2724-S2724)*M2724</f>
        <v/>
      </c>
      <c r="U2724" s="23">
        <f>R2724-S2724-T2724</f>
        <v/>
      </c>
      <c r="V2724" s="23">
        <f>D2724*P2724</f>
        <v/>
      </c>
      <c r="W2724" s="23">
        <f>U2724-V2724</f>
        <v/>
      </c>
      <c r="X2724" s="24">
        <f>IFERROR(W2724/U2724,0)</f>
        <v/>
      </c>
    </row>
    <row r="2725">
      <c r="A2725" s="25">
        <f>ItensPedido!A2725</f>
        <v/>
      </c>
      <c r="B2725" s="25">
        <f>ItensPedido!B2725</f>
        <v/>
      </c>
      <c r="C2725" s="25">
        <f>ItensPedido!C2725</f>
        <v/>
      </c>
      <c r="D2725" s="25">
        <f>ItensPedido!D2725</f>
        <v/>
      </c>
      <c r="E2725" s="26">
        <f>ItensPedido!E2725</f>
        <v/>
      </c>
      <c r="F2725" s="25">
        <f>IFERROR(INDEX(Pedidos!$B$2:$B$1801,MATCH(B2725,Pedidos!$A$2:$A$1801,0)),0)</f>
        <v/>
      </c>
      <c r="G2725" s="25">
        <f>IF(F2725=0,"",YEAR(F2725))</f>
        <v/>
      </c>
      <c r="H2725" s="25">
        <f>IF(F2725=0,"",MONTH(F2725))</f>
        <v/>
      </c>
      <c r="I2725" s="25">
        <f>IFERROR(INDEX(Pedidos!$E$2:$E$1801,MATCH(B2725,Pedidos!$A$2:$A$1801,0)),"")</f>
        <v/>
      </c>
      <c r="J2725" s="25">
        <f>IFERROR(INDEX(Pedidos!$C$2:$C$1801,MATCH(B2725,Pedidos!$A$2:$A$1801,0)),"")</f>
        <v/>
      </c>
      <c r="K2725" s="25">
        <f>IFERROR(INDEX(Pedidos!$D$2:$D$1801,MATCH(B2725,Pedidos!$A$2:$A$1801,0)),"")</f>
        <v/>
      </c>
      <c r="L2725" s="25">
        <f>IFERROR(INDEX(Pedidos!$F$2:$F$1801,MATCH(B2725,Pedidos!$A$2:$A$1801,0)),"")</f>
        <v/>
      </c>
      <c r="M2725" s="26">
        <f>IFERROR(INDEX(Pedidos!$G$2:$G$1801,MATCH(B2725,Pedidos!$A$2:$A$1801,0)),0)</f>
        <v/>
      </c>
      <c r="N2725" s="25">
        <f>IFERROR(INDEX(Produtos!$B$2:$B$71,MATCH(C2725,Produtos!$A$2:$A$71,0)),"")</f>
        <v/>
      </c>
      <c r="O2725" s="25">
        <f>IFERROR(INDEX(Produtos!$C$2:$C$71,MATCH(C2725,Produtos!$A$2:$A$71,0)),"")</f>
        <v/>
      </c>
      <c r="P2725" s="25">
        <f>IFERROR(INDEX(Produtos!$D$2:$D$71,MATCH(C2725,Produtos!$A$2:$A$71,0)),0)</f>
        <v/>
      </c>
      <c r="Q2725" s="25">
        <f>IFERROR(INDEX(Produtos!$E$2:$E$71,MATCH(C2725,Produtos!$A$2:$A$71,0)),0)</f>
        <v/>
      </c>
      <c r="R2725" s="27">
        <f>D2725*Q2725</f>
        <v/>
      </c>
      <c r="S2725" s="27">
        <f>R2725*E2725</f>
        <v/>
      </c>
      <c r="T2725" s="27">
        <f>(R2725-S2725)*M2725</f>
        <v/>
      </c>
      <c r="U2725" s="27">
        <f>R2725-S2725-T2725</f>
        <v/>
      </c>
      <c r="V2725" s="27">
        <f>D2725*P2725</f>
        <v/>
      </c>
      <c r="W2725" s="27">
        <f>U2725-V2725</f>
        <v/>
      </c>
      <c r="X2725" s="28">
        <f>IFERROR(W2725/U2725,0)</f>
        <v/>
      </c>
    </row>
    <row r="2726">
      <c r="A2726" s="21">
        <f>ItensPedido!A2726</f>
        <v/>
      </c>
      <c r="B2726" s="21">
        <f>ItensPedido!B2726</f>
        <v/>
      </c>
      <c r="C2726" s="21">
        <f>ItensPedido!C2726</f>
        <v/>
      </c>
      <c r="D2726" s="21">
        <f>ItensPedido!D2726</f>
        <v/>
      </c>
      <c r="E2726" s="22">
        <f>ItensPedido!E2726</f>
        <v/>
      </c>
      <c r="F2726" s="21">
        <f>IFERROR(INDEX(Pedidos!$B$2:$B$1801,MATCH(B2726,Pedidos!$A$2:$A$1801,0)),0)</f>
        <v/>
      </c>
      <c r="G2726" s="21">
        <f>IF(F2726=0,"",YEAR(F2726))</f>
        <v/>
      </c>
      <c r="H2726" s="21">
        <f>IF(F2726=0,"",MONTH(F2726))</f>
        <v/>
      </c>
      <c r="I2726" s="21">
        <f>IFERROR(INDEX(Pedidos!$E$2:$E$1801,MATCH(B2726,Pedidos!$A$2:$A$1801,0)),"")</f>
        <v/>
      </c>
      <c r="J2726" s="21">
        <f>IFERROR(INDEX(Pedidos!$C$2:$C$1801,MATCH(B2726,Pedidos!$A$2:$A$1801,0)),"")</f>
        <v/>
      </c>
      <c r="K2726" s="21">
        <f>IFERROR(INDEX(Pedidos!$D$2:$D$1801,MATCH(B2726,Pedidos!$A$2:$A$1801,0)),"")</f>
        <v/>
      </c>
      <c r="L2726" s="21">
        <f>IFERROR(INDEX(Pedidos!$F$2:$F$1801,MATCH(B2726,Pedidos!$A$2:$A$1801,0)),"")</f>
        <v/>
      </c>
      <c r="M2726" s="22">
        <f>IFERROR(INDEX(Pedidos!$G$2:$G$1801,MATCH(B2726,Pedidos!$A$2:$A$1801,0)),0)</f>
        <v/>
      </c>
      <c r="N2726" s="21">
        <f>IFERROR(INDEX(Produtos!$B$2:$B$71,MATCH(C2726,Produtos!$A$2:$A$71,0)),"")</f>
        <v/>
      </c>
      <c r="O2726" s="21">
        <f>IFERROR(INDEX(Produtos!$C$2:$C$71,MATCH(C2726,Produtos!$A$2:$A$71,0)),"")</f>
        <v/>
      </c>
      <c r="P2726" s="21">
        <f>IFERROR(INDEX(Produtos!$D$2:$D$71,MATCH(C2726,Produtos!$A$2:$A$71,0)),0)</f>
        <v/>
      </c>
      <c r="Q2726" s="21">
        <f>IFERROR(INDEX(Produtos!$E$2:$E$71,MATCH(C2726,Produtos!$A$2:$A$71,0)),0)</f>
        <v/>
      </c>
      <c r="R2726" s="23">
        <f>D2726*Q2726</f>
        <v/>
      </c>
      <c r="S2726" s="23">
        <f>R2726*E2726</f>
        <v/>
      </c>
      <c r="T2726" s="23">
        <f>(R2726-S2726)*M2726</f>
        <v/>
      </c>
      <c r="U2726" s="23">
        <f>R2726-S2726-T2726</f>
        <v/>
      </c>
      <c r="V2726" s="23">
        <f>D2726*P2726</f>
        <v/>
      </c>
      <c r="W2726" s="23">
        <f>U2726-V2726</f>
        <v/>
      </c>
      <c r="X2726" s="24">
        <f>IFERROR(W2726/U2726,0)</f>
        <v/>
      </c>
    </row>
    <row r="2727">
      <c r="A2727" s="25">
        <f>ItensPedido!A2727</f>
        <v/>
      </c>
      <c r="B2727" s="25">
        <f>ItensPedido!B2727</f>
        <v/>
      </c>
      <c r="C2727" s="25">
        <f>ItensPedido!C2727</f>
        <v/>
      </c>
      <c r="D2727" s="25">
        <f>ItensPedido!D2727</f>
        <v/>
      </c>
      <c r="E2727" s="26">
        <f>ItensPedido!E2727</f>
        <v/>
      </c>
      <c r="F2727" s="25">
        <f>IFERROR(INDEX(Pedidos!$B$2:$B$1801,MATCH(B2727,Pedidos!$A$2:$A$1801,0)),0)</f>
        <v/>
      </c>
      <c r="G2727" s="25">
        <f>IF(F2727=0,"",YEAR(F2727))</f>
        <v/>
      </c>
      <c r="H2727" s="25">
        <f>IF(F2727=0,"",MONTH(F2727))</f>
        <v/>
      </c>
      <c r="I2727" s="25">
        <f>IFERROR(INDEX(Pedidos!$E$2:$E$1801,MATCH(B2727,Pedidos!$A$2:$A$1801,0)),"")</f>
        <v/>
      </c>
      <c r="J2727" s="25">
        <f>IFERROR(INDEX(Pedidos!$C$2:$C$1801,MATCH(B2727,Pedidos!$A$2:$A$1801,0)),"")</f>
        <v/>
      </c>
      <c r="K2727" s="25">
        <f>IFERROR(INDEX(Pedidos!$D$2:$D$1801,MATCH(B2727,Pedidos!$A$2:$A$1801,0)),"")</f>
        <v/>
      </c>
      <c r="L2727" s="25">
        <f>IFERROR(INDEX(Pedidos!$F$2:$F$1801,MATCH(B2727,Pedidos!$A$2:$A$1801,0)),"")</f>
        <v/>
      </c>
      <c r="M2727" s="26">
        <f>IFERROR(INDEX(Pedidos!$G$2:$G$1801,MATCH(B2727,Pedidos!$A$2:$A$1801,0)),0)</f>
        <v/>
      </c>
      <c r="N2727" s="25">
        <f>IFERROR(INDEX(Produtos!$B$2:$B$71,MATCH(C2727,Produtos!$A$2:$A$71,0)),"")</f>
        <v/>
      </c>
      <c r="O2727" s="25">
        <f>IFERROR(INDEX(Produtos!$C$2:$C$71,MATCH(C2727,Produtos!$A$2:$A$71,0)),"")</f>
        <v/>
      </c>
      <c r="P2727" s="25">
        <f>IFERROR(INDEX(Produtos!$D$2:$D$71,MATCH(C2727,Produtos!$A$2:$A$71,0)),0)</f>
        <v/>
      </c>
      <c r="Q2727" s="25">
        <f>IFERROR(INDEX(Produtos!$E$2:$E$71,MATCH(C2727,Produtos!$A$2:$A$71,0)),0)</f>
        <v/>
      </c>
      <c r="R2727" s="27">
        <f>D2727*Q2727</f>
        <v/>
      </c>
      <c r="S2727" s="27">
        <f>R2727*E2727</f>
        <v/>
      </c>
      <c r="T2727" s="27">
        <f>(R2727-S2727)*M2727</f>
        <v/>
      </c>
      <c r="U2727" s="27">
        <f>R2727-S2727-T2727</f>
        <v/>
      </c>
      <c r="V2727" s="27">
        <f>D2727*P2727</f>
        <v/>
      </c>
      <c r="W2727" s="27">
        <f>U2727-V2727</f>
        <v/>
      </c>
      <c r="X2727" s="28">
        <f>IFERROR(W2727/U2727,0)</f>
        <v/>
      </c>
    </row>
    <row r="2728">
      <c r="A2728" s="21">
        <f>ItensPedido!A2728</f>
        <v/>
      </c>
      <c r="B2728" s="21">
        <f>ItensPedido!B2728</f>
        <v/>
      </c>
      <c r="C2728" s="21">
        <f>ItensPedido!C2728</f>
        <v/>
      </c>
      <c r="D2728" s="21">
        <f>ItensPedido!D2728</f>
        <v/>
      </c>
      <c r="E2728" s="22">
        <f>ItensPedido!E2728</f>
        <v/>
      </c>
      <c r="F2728" s="21">
        <f>IFERROR(INDEX(Pedidos!$B$2:$B$1801,MATCH(B2728,Pedidos!$A$2:$A$1801,0)),0)</f>
        <v/>
      </c>
      <c r="G2728" s="21">
        <f>IF(F2728=0,"",YEAR(F2728))</f>
        <v/>
      </c>
      <c r="H2728" s="21">
        <f>IF(F2728=0,"",MONTH(F2728))</f>
        <v/>
      </c>
      <c r="I2728" s="21">
        <f>IFERROR(INDEX(Pedidos!$E$2:$E$1801,MATCH(B2728,Pedidos!$A$2:$A$1801,0)),"")</f>
        <v/>
      </c>
      <c r="J2728" s="21">
        <f>IFERROR(INDEX(Pedidos!$C$2:$C$1801,MATCH(B2728,Pedidos!$A$2:$A$1801,0)),"")</f>
        <v/>
      </c>
      <c r="K2728" s="21">
        <f>IFERROR(INDEX(Pedidos!$D$2:$D$1801,MATCH(B2728,Pedidos!$A$2:$A$1801,0)),"")</f>
        <v/>
      </c>
      <c r="L2728" s="21">
        <f>IFERROR(INDEX(Pedidos!$F$2:$F$1801,MATCH(B2728,Pedidos!$A$2:$A$1801,0)),"")</f>
        <v/>
      </c>
      <c r="M2728" s="22">
        <f>IFERROR(INDEX(Pedidos!$G$2:$G$1801,MATCH(B2728,Pedidos!$A$2:$A$1801,0)),0)</f>
        <v/>
      </c>
      <c r="N2728" s="21">
        <f>IFERROR(INDEX(Produtos!$B$2:$B$71,MATCH(C2728,Produtos!$A$2:$A$71,0)),"")</f>
        <v/>
      </c>
      <c r="O2728" s="21">
        <f>IFERROR(INDEX(Produtos!$C$2:$C$71,MATCH(C2728,Produtos!$A$2:$A$71,0)),"")</f>
        <v/>
      </c>
      <c r="P2728" s="21">
        <f>IFERROR(INDEX(Produtos!$D$2:$D$71,MATCH(C2728,Produtos!$A$2:$A$71,0)),0)</f>
        <v/>
      </c>
      <c r="Q2728" s="21">
        <f>IFERROR(INDEX(Produtos!$E$2:$E$71,MATCH(C2728,Produtos!$A$2:$A$71,0)),0)</f>
        <v/>
      </c>
      <c r="R2728" s="23">
        <f>D2728*Q2728</f>
        <v/>
      </c>
      <c r="S2728" s="23">
        <f>R2728*E2728</f>
        <v/>
      </c>
      <c r="T2728" s="23">
        <f>(R2728-S2728)*M2728</f>
        <v/>
      </c>
      <c r="U2728" s="23">
        <f>R2728-S2728-T2728</f>
        <v/>
      </c>
      <c r="V2728" s="23">
        <f>D2728*P2728</f>
        <v/>
      </c>
      <c r="W2728" s="23">
        <f>U2728-V2728</f>
        <v/>
      </c>
      <c r="X2728" s="24">
        <f>IFERROR(W2728/U2728,0)</f>
        <v/>
      </c>
    </row>
    <row r="2729">
      <c r="A2729" s="25">
        <f>ItensPedido!A2729</f>
        <v/>
      </c>
      <c r="B2729" s="25">
        <f>ItensPedido!B2729</f>
        <v/>
      </c>
      <c r="C2729" s="25">
        <f>ItensPedido!C2729</f>
        <v/>
      </c>
      <c r="D2729" s="25">
        <f>ItensPedido!D2729</f>
        <v/>
      </c>
      <c r="E2729" s="26">
        <f>ItensPedido!E2729</f>
        <v/>
      </c>
      <c r="F2729" s="25">
        <f>IFERROR(INDEX(Pedidos!$B$2:$B$1801,MATCH(B2729,Pedidos!$A$2:$A$1801,0)),0)</f>
        <v/>
      </c>
      <c r="G2729" s="25">
        <f>IF(F2729=0,"",YEAR(F2729))</f>
        <v/>
      </c>
      <c r="H2729" s="25">
        <f>IF(F2729=0,"",MONTH(F2729))</f>
        <v/>
      </c>
      <c r="I2729" s="25">
        <f>IFERROR(INDEX(Pedidos!$E$2:$E$1801,MATCH(B2729,Pedidos!$A$2:$A$1801,0)),"")</f>
        <v/>
      </c>
      <c r="J2729" s="25">
        <f>IFERROR(INDEX(Pedidos!$C$2:$C$1801,MATCH(B2729,Pedidos!$A$2:$A$1801,0)),"")</f>
        <v/>
      </c>
      <c r="K2729" s="25">
        <f>IFERROR(INDEX(Pedidos!$D$2:$D$1801,MATCH(B2729,Pedidos!$A$2:$A$1801,0)),"")</f>
        <v/>
      </c>
      <c r="L2729" s="25">
        <f>IFERROR(INDEX(Pedidos!$F$2:$F$1801,MATCH(B2729,Pedidos!$A$2:$A$1801,0)),"")</f>
        <v/>
      </c>
      <c r="M2729" s="26">
        <f>IFERROR(INDEX(Pedidos!$G$2:$G$1801,MATCH(B2729,Pedidos!$A$2:$A$1801,0)),0)</f>
        <v/>
      </c>
      <c r="N2729" s="25">
        <f>IFERROR(INDEX(Produtos!$B$2:$B$71,MATCH(C2729,Produtos!$A$2:$A$71,0)),"")</f>
        <v/>
      </c>
      <c r="O2729" s="25">
        <f>IFERROR(INDEX(Produtos!$C$2:$C$71,MATCH(C2729,Produtos!$A$2:$A$71,0)),"")</f>
        <v/>
      </c>
      <c r="P2729" s="25">
        <f>IFERROR(INDEX(Produtos!$D$2:$D$71,MATCH(C2729,Produtos!$A$2:$A$71,0)),0)</f>
        <v/>
      </c>
      <c r="Q2729" s="25">
        <f>IFERROR(INDEX(Produtos!$E$2:$E$71,MATCH(C2729,Produtos!$A$2:$A$71,0)),0)</f>
        <v/>
      </c>
      <c r="R2729" s="27">
        <f>D2729*Q2729</f>
        <v/>
      </c>
      <c r="S2729" s="27">
        <f>R2729*E2729</f>
        <v/>
      </c>
      <c r="T2729" s="27">
        <f>(R2729-S2729)*M2729</f>
        <v/>
      </c>
      <c r="U2729" s="27">
        <f>R2729-S2729-T2729</f>
        <v/>
      </c>
      <c r="V2729" s="27">
        <f>D2729*P2729</f>
        <v/>
      </c>
      <c r="W2729" s="27">
        <f>U2729-V2729</f>
        <v/>
      </c>
      <c r="X2729" s="28">
        <f>IFERROR(W2729/U2729,0)</f>
        <v/>
      </c>
    </row>
    <row r="2730">
      <c r="A2730" s="21">
        <f>ItensPedido!A2730</f>
        <v/>
      </c>
      <c r="B2730" s="21">
        <f>ItensPedido!B2730</f>
        <v/>
      </c>
      <c r="C2730" s="21">
        <f>ItensPedido!C2730</f>
        <v/>
      </c>
      <c r="D2730" s="21">
        <f>ItensPedido!D2730</f>
        <v/>
      </c>
      <c r="E2730" s="22">
        <f>ItensPedido!E2730</f>
        <v/>
      </c>
      <c r="F2730" s="21">
        <f>IFERROR(INDEX(Pedidos!$B$2:$B$1801,MATCH(B2730,Pedidos!$A$2:$A$1801,0)),0)</f>
        <v/>
      </c>
      <c r="G2730" s="21">
        <f>IF(F2730=0,"",YEAR(F2730))</f>
        <v/>
      </c>
      <c r="H2730" s="21">
        <f>IF(F2730=0,"",MONTH(F2730))</f>
        <v/>
      </c>
      <c r="I2730" s="21">
        <f>IFERROR(INDEX(Pedidos!$E$2:$E$1801,MATCH(B2730,Pedidos!$A$2:$A$1801,0)),"")</f>
        <v/>
      </c>
      <c r="J2730" s="21">
        <f>IFERROR(INDEX(Pedidos!$C$2:$C$1801,MATCH(B2730,Pedidos!$A$2:$A$1801,0)),"")</f>
        <v/>
      </c>
      <c r="K2730" s="21">
        <f>IFERROR(INDEX(Pedidos!$D$2:$D$1801,MATCH(B2730,Pedidos!$A$2:$A$1801,0)),"")</f>
        <v/>
      </c>
      <c r="L2730" s="21">
        <f>IFERROR(INDEX(Pedidos!$F$2:$F$1801,MATCH(B2730,Pedidos!$A$2:$A$1801,0)),"")</f>
        <v/>
      </c>
      <c r="M2730" s="22">
        <f>IFERROR(INDEX(Pedidos!$G$2:$G$1801,MATCH(B2730,Pedidos!$A$2:$A$1801,0)),0)</f>
        <v/>
      </c>
      <c r="N2730" s="21">
        <f>IFERROR(INDEX(Produtos!$B$2:$B$71,MATCH(C2730,Produtos!$A$2:$A$71,0)),"")</f>
        <v/>
      </c>
      <c r="O2730" s="21">
        <f>IFERROR(INDEX(Produtos!$C$2:$C$71,MATCH(C2730,Produtos!$A$2:$A$71,0)),"")</f>
        <v/>
      </c>
      <c r="P2730" s="21">
        <f>IFERROR(INDEX(Produtos!$D$2:$D$71,MATCH(C2730,Produtos!$A$2:$A$71,0)),0)</f>
        <v/>
      </c>
      <c r="Q2730" s="21">
        <f>IFERROR(INDEX(Produtos!$E$2:$E$71,MATCH(C2730,Produtos!$A$2:$A$71,0)),0)</f>
        <v/>
      </c>
      <c r="R2730" s="23">
        <f>D2730*Q2730</f>
        <v/>
      </c>
      <c r="S2730" s="23">
        <f>R2730*E2730</f>
        <v/>
      </c>
      <c r="T2730" s="23">
        <f>(R2730-S2730)*M2730</f>
        <v/>
      </c>
      <c r="U2730" s="23">
        <f>R2730-S2730-T2730</f>
        <v/>
      </c>
      <c r="V2730" s="23">
        <f>D2730*P2730</f>
        <v/>
      </c>
      <c r="W2730" s="23">
        <f>U2730-V2730</f>
        <v/>
      </c>
      <c r="X2730" s="24">
        <f>IFERROR(W2730/U2730,0)</f>
        <v/>
      </c>
    </row>
    <row r="2731">
      <c r="A2731" s="25">
        <f>ItensPedido!A2731</f>
        <v/>
      </c>
      <c r="B2731" s="25">
        <f>ItensPedido!B2731</f>
        <v/>
      </c>
      <c r="C2731" s="25">
        <f>ItensPedido!C2731</f>
        <v/>
      </c>
      <c r="D2731" s="25">
        <f>ItensPedido!D2731</f>
        <v/>
      </c>
      <c r="E2731" s="26">
        <f>ItensPedido!E2731</f>
        <v/>
      </c>
      <c r="F2731" s="25">
        <f>IFERROR(INDEX(Pedidos!$B$2:$B$1801,MATCH(B2731,Pedidos!$A$2:$A$1801,0)),0)</f>
        <v/>
      </c>
      <c r="G2731" s="25">
        <f>IF(F2731=0,"",YEAR(F2731))</f>
        <v/>
      </c>
      <c r="H2731" s="25">
        <f>IF(F2731=0,"",MONTH(F2731))</f>
        <v/>
      </c>
      <c r="I2731" s="25">
        <f>IFERROR(INDEX(Pedidos!$E$2:$E$1801,MATCH(B2731,Pedidos!$A$2:$A$1801,0)),"")</f>
        <v/>
      </c>
      <c r="J2731" s="25">
        <f>IFERROR(INDEX(Pedidos!$C$2:$C$1801,MATCH(B2731,Pedidos!$A$2:$A$1801,0)),"")</f>
        <v/>
      </c>
      <c r="K2731" s="25">
        <f>IFERROR(INDEX(Pedidos!$D$2:$D$1801,MATCH(B2731,Pedidos!$A$2:$A$1801,0)),"")</f>
        <v/>
      </c>
      <c r="L2731" s="25">
        <f>IFERROR(INDEX(Pedidos!$F$2:$F$1801,MATCH(B2731,Pedidos!$A$2:$A$1801,0)),"")</f>
        <v/>
      </c>
      <c r="M2731" s="26">
        <f>IFERROR(INDEX(Pedidos!$G$2:$G$1801,MATCH(B2731,Pedidos!$A$2:$A$1801,0)),0)</f>
        <v/>
      </c>
      <c r="N2731" s="25">
        <f>IFERROR(INDEX(Produtos!$B$2:$B$71,MATCH(C2731,Produtos!$A$2:$A$71,0)),"")</f>
        <v/>
      </c>
      <c r="O2731" s="25">
        <f>IFERROR(INDEX(Produtos!$C$2:$C$71,MATCH(C2731,Produtos!$A$2:$A$71,0)),"")</f>
        <v/>
      </c>
      <c r="P2731" s="25">
        <f>IFERROR(INDEX(Produtos!$D$2:$D$71,MATCH(C2731,Produtos!$A$2:$A$71,0)),0)</f>
        <v/>
      </c>
      <c r="Q2731" s="25">
        <f>IFERROR(INDEX(Produtos!$E$2:$E$71,MATCH(C2731,Produtos!$A$2:$A$71,0)),0)</f>
        <v/>
      </c>
      <c r="R2731" s="27">
        <f>D2731*Q2731</f>
        <v/>
      </c>
      <c r="S2731" s="27">
        <f>R2731*E2731</f>
        <v/>
      </c>
      <c r="T2731" s="27">
        <f>(R2731-S2731)*M2731</f>
        <v/>
      </c>
      <c r="U2731" s="27">
        <f>R2731-S2731-T2731</f>
        <v/>
      </c>
      <c r="V2731" s="27">
        <f>D2731*P2731</f>
        <v/>
      </c>
      <c r="W2731" s="27">
        <f>U2731-V2731</f>
        <v/>
      </c>
      <c r="X2731" s="28">
        <f>IFERROR(W2731/U2731,0)</f>
        <v/>
      </c>
    </row>
    <row r="2732">
      <c r="A2732" s="21">
        <f>ItensPedido!A2732</f>
        <v/>
      </c>
      <c r="B2732" s="21">
        <f>ItensPedido!B2732</f>
        <v/>
      </c>
      <c r="C2732" s="21">
        <f>ItensPedido!C2732</f>
        <v/>
      </c>
      <c r="D2732" s="21">
        <f>ItensPedido!D2732</f>
        <v/>
      </c>
      <c r="E2732" s="22">
        <f>ItensPedido!E2732</f>
        <v/>
      </c>
      <c r="F2732" s="21">
        <f>IFERROR(INDEX(Pedidos!$B$2:$B$1801,MATCH(B2732,Pedidos!$A$2:$A$1801,0)),0)</f>
        <v/>
      </c>
      <c r="G2732" s="21">
        <f>IF(F2732=0,"",YEAR(F2732))</f>
        <v/>
      </c>
      <c r="H2732" s="21">
        <f>IF(F2732=0,"",MONTH(F2732))</f>
        <v/>
      </c>
      <c r="I2732" s="21">
        <f>IFERROR(INDEX(Pedidos!$E$2:$E$1801,MATCH(B2732,Pedidos!$A$2:$A$1801,0)),"")</f>
        <v/>
      </c>
      <c r="J2732" s="21">
        <f>IFERROR(INDEX(Pedidos!$C$2:$C$1801,MATCH(B2732,Pedidos!$A$2:$A$1801,0)),"")</f>
        <v/>
      </c>
      <c r="K2732" s="21">
        <f>IFERROR(INDEX(Pedidos!$D$2:$D$1801,MATCH(B2732,Pedidos!$A$2:$A$1801,0)),"")</f>
        <v/>
      </c>
      <c r="L2732" s="21">
        <f>IFERROR(INDEX(Pedidos!$F$2:$F$1801,MATCH(B2732,Pedidos!$A$2:$A$1801,0)),"")</f>
        <v/>
      </c>
      <c r="M2732" s="22">
        <f>IFERROR(INDEX(Pedidos!$G$2:$G$1801,MATCH(B2732,Pedidos!$A$2:$A$1801,0)),0)</f>
        <v/>
      </c>
      <c r="N2732" s="21">
        <f>IFERROR(INDEX(Produtos!$B$2:$B$71,MATCH(C2732,Produtos!$A$2:$A$71,0)),"")</f>
        <v/>
      </c>
      <c r="O2732" s="21">
        <f>IFERROR(INDEX(Produtos!$C$2:$C$71,MATCH(C2732,Produtos!$A$2:$A$71,0)),"")</f>
        <v/>
      </c>
      <c r="P2732" s="21">
        <f>IFERROR(INDEX(Produtos!$D$2:$D$71,MATCH(C2732,Produtos!$A$2:$A$71,0)),0)</f>
        <v/>
      </c>
      <c r="Q2732" s="21">
        <f>IFERROR(INDEX(Produtos!$E$2:$E$71,MATCH(C2732,Produtos!$A$2:$A$71,0)),0)</f>
        <v/>
      </c>
      <c r="R2732" s="23">
        <f>D2732*Q2732</f>
        <v/>
      </c>
      <c r="S2732" s="23">
        <f>R2732*E2732</f>
        <v/>
      </c>
      <c r="T2732" s="23">
        <f>(R2732-S2732)*M2732</f>
        <v/>
      </c>
      <c r="U2732" s="23">
        <f>R2732-S2732-T2732</f>
        <v/>
      </c>
      <c r="V2732" s="23">
        <f>D2732*P2732</f>
        <v/>
      </c>
      <c r="W2732" s="23">
        <f>U2732-V2732</f>
        <v/>
      </c>
      <c r="X2732" s="24">
        <f>IFERROR(W2732/U2732,0)</f>
        <v/>
      </c>
    </row>
    <row r="2733">
      <c r="A2733" s="25">
        <f>ItensPedido!A2733</f>
        <v/>
      </c>
      <c r="B2733" s="25">
        <f>ItensPedido!B2733</f>
        <v/>
      </c>
      <c r="C2733" s="25">
        <f>ItensPedido!C2733</f>
        <v/>
      </c>
      <c r="D2733" s="25">
        <f>ItensPedido!D2733</f>
        <v/>
      </c>
      <c r="E2733" s="26">
        <f>ItensPedido!E2733</f>
        <v/>
      </c>
      <c r="F2733" s="25">
        <f>IFERROR(INDEX(Pedidos!$B$2:$B$1801,MATCH(B2733,Pedidos!$A$2:$A$1801,0)),0)</f>
        <v/>
      </c>
      <c r="G2733" s="25">
        <f>IF(F2733=0,"",YEAR(F2733))</f>
        <v/>
      </c>
      <c r="H2733" s="25">
        <f>IF(F2733=0,"",MONTH(F2733))</f>
        <v/>
      </c>
      <c r="I2733" s="25">
        <f>IFERROR(INDEX(Pedidos!$E$2:$E$1801,MATCH(B2733,Pedidos!$A$2:$A$1801,0)),"")</f>
        <v/>
      </c>
      <c r="J2733" s="25">
        <f>IFERROR(INDEX(Pedidos!$C$2:$C$1801,MATCH(B2733,Pedidos!$A$2:$A$1801,0)),"")</f>
        <v/>
      </c>
      <c r="K2733" s="25">
        <f>IFERROR(INDEX(Pedidos!$D$2:$D$1801,MATCH(B2733,Pedidos!$A$2:$A$1801,0)),"")</f>
        <v/>
      </c>
      <c r="L2733" s="25">
        <f>IFERROR(INDEX(Pedidos!$F$2:$F$1801,MATCH(B2733,Pedidos!$A$2:$A$1801,0)),"")</f>
        <v/>
      </c>
      <c r="M2733" s="26">
        <f>IFERROR(INDEX(Pedidos!$G$2:$G$1801,MATCH(B2733,Pedidos!$A$2:$A$1801,0)),0)</f>
        <v/>
      </c>
      <c r="N2733" s="25">
        <f>IFERROR(INDEX(Produtos!$B$2:$B$71,MATCH(C2733,Produtos!$A$2:$A$71,0)),"")</f>
        <v/>
      </c>
      <c r="O2733" s="25">
        <f>IFERROR(INDEX(Produtos!$C$2:$C$71,MATCH(C2733,Produtos!$A$2:$A$71,0)),"")</f>
        <v/>
      </c>
      <c r="P2733" s="25">
        <f>IFERROR(INDEX(Produtos!$D$2:$D$71,MATCH(C2733,Produtos!$A$2:$A$71,0)),0)</f>
        <v/>
      </c>
      <c r="Q2733" s="25">
        <f>IFERROR(INDEX(Produtos!$E$2:$E$71,MATCH(C2733,Produtos!$A$2:$A$71,0)),0)</f>
        <v/>
      </c>
      <c r="R2733" s="27">
        <f>D2733*Q2733</f>
        <v/>
      </c>
      <c r="S2733" s="27">
        <f>R2733*E2733</f>
        <v/>
      </c>
      <c r="T2733" s="27">
        <f>(R2733-S2733)*M2733</f>
        <v/>
      </c>
      <c r="U2733" s="27">
        <f>R2733-S2733-T2733</f>
        <v/>
      </c>
      <c r="V2733" s="27">
        <f>D2733*P2733</f>
        <v/>
      </c>
      <c r="W2733" s="27">
        <f>U2733-V2733</f>
        <v/>
      </c>
      <c r="X2733" s="28">
        <f>IFERROR(W2733/U2733,0)</f>
        <v/>
      </c>
    </row>
    <row r="2734">
      <c r="A2734" s="21">
        <f>ItensPedido!A2734</f>
        <v/>
      </c>
      <c r="B2734" s="21">
        <f>ItensPedido!B2734</f>
        <v/>
      </c>
      <c r="C2734" s="21">
        <f>ItensPedido!C2734</f>
        <v/>
      </c>
      <c r="D2734" s="21">
        <f>ItensPedido!D2734</f>
        <v/>
      </c>
      <c r="E2734" s="22">
        <f>ItensPedido!E2734</f>
        <v/>
      </c>
      <c r="F2734" s="21">
        <f>IFERROR(INDEX(Pedidos!$B$2:$B$1801,MATCH(B2734,Pedidos!$A$2:$A$1801,0)),0)</f>
        <v/>
      </c>
      <c r="G2734" s="21">
        <f>IF(F2734=0,"",YEAR(F2734))</f>
        <v/>
      </c>
      <c r="H2734" s="21">
        <f>IF(F2734=0,"",MONTH(F2734))</f>
        <v/>
      </c>
      <c r="I2734" s="21">
        <f>IFERROR(INDEX(Pedidos!$E$2:$E$1801,MATCH(B2734,Pedidos!$A$2:$A$1801,0)),"")</f>
        <v/>
      </c>
      <c r="J2734" s="21">
        <f>IFERROR(INDEX(Pedidos!$C$2:$C$1801,MATCH(B2734,Pedidos!$A$2:$A$1801,0)),"")</f>
        <v/>
      </c>
      <c r="K2734" s="21">
        <f>IFERROR(INDEX(Pedidos!$D$2:$D$1801,MATCH(B2734,Pedidos!$A$2:$A$1801,0)),"")</f>
        <v/>
      </c>
      <c r="L2734" s="21">
        <f>IFERROR(INDEX(Pedidos!$F$2:$F$1801,MATCH(B2734,Pedidos!$A$2:$A$1801,0)),"")</f>
        <v/>
      </c>
      <c r="M2734" s="22">
        <f>IFERROR(INDEX(Pedidos!$G$2:$G$1801,MATCH(B2734,Pedidos!$A$2:$A$1801,0)),0)</f>
        <v/>
      </c>
      <c r="N2734" s="21">
        <f>IFERROR(INDEX(Produtos!$B$2:$B$71,MATCH(C2734,Produtos!$A$2:$A$71,0)),"")</f>
        <v/>
      </c>
      <c r="O2734" s="21">
        <f>IFERROR(INDEX(Produtos!$C$2:$C$71,MATCH(C2734,Produtos!$A$2:$A$71,0)),"")</f>
        <v/>
      </c>
      <c r="P2734" s="21">
        <f>IFERROR(INDEX(Produtos!$D$2:$D$71,MATCH(C2734,Produtos!$A$2:$A$71,0)),0)</f>
        <v/>
      </c>
      <c r="Q2734" s="21">
        <f>IFERROR(INDEX(Produtos!$E$2:$E$71,MATCH(C2734,Produtos!$A$2:$A$71,0)),0)</f>
        <v/>
      </c>
      <c r="R2734" s="23">
        <f>D2734*Q2734</f>
        <v/>
      </c>
      <c r="S2734" s="23">
        <f>R2734*E2734</f>
        <v/>
      </c>
      <c r="T2734" s="23">
        <f>(R2734-S2734)*M2734</f>
        <v/>
      </c>
      <c r="U2734" s="23">
        <f>R2734-S2734-T2734</f>
        <v/>
      </c>
      <c r="V2734" s="23">
        <f>D2734*P2734</f>
        <v/>
      </c>
      <c r="W2734" s="23">
        <f>U2734-V2734</f>
        <v/>
      </c>
      <c r="X2734" s="24">
        <f>IFERROR(W2734/U2734,0)</f>
        <v/>
      </c>
    </row>
    <row r="2735">
      <c r="A2735" s="25">
        <f>ItensPedido!A2735</f>
        <v/>
      </c>
      <c r="B2735" s="25">
        <f>ItensPedido!B2735</f>
        <v/>
      </c>
      <c r="C2735" s="25">
        <f>ItensPedido!C2735</f>
        <v/>
      </c>
      <c r="D2735" s="25">
        <f>ItensPedido!D2735</f>
        <v/>
      </c>
      <c r="E2735" s="26">
        <f>ItensPedido!E2735</f>
        <v/>
      </c>
      <c r="F2735" s="25">
        <f>IFERROR(INDEX(Pedidos!$B$2:$B$1801,MATCH(B2735,Pedidos!$A$2:$A$1801,0)),0)</f>
        <v/>
      </c>
      <c r="G2735" s="25">
        <f>IF(F2735=0,"",YEAR(F2735))</f>
        <v/>
      </c>
      <c r="H2735" s="25">
        <f>IF(F2735=0,"",MONTH(F2735))</f>
        <v/>
      </c>
      <c r="I2735" s="25">
        <f>IFERROR(INDEX(Pedidos!$E$2:$E$1801,MATCH(B2735,Pedidos!$A$2:$A$1801,0)),"")</f>
        <v/>
      </c>
      <c r="J2735" s="25">
        <f>IFERROR(INDEX(Pedidos!$C$2:$C$1801,MATCH(B2735,Pedidos!$A$2:$A$1801,0)),"")</f>
        <v/>
      </c>
      <c r="K2735" s="25">
        <f>IFERROR(INDEX(Pedidos!$D$2:$D$1801,MATCH(B2735,Pedidos!$A$2:$A$1801,0)),"")</f>
        <v/>
      </c>
      <c r="L2735" s="25">
        <f>IFERROR(INDEX(Pedidos!$F$2:$F$1801,MATCH(B2735,Pedidos!$A$2:$A$1801,0)),"")</f>
        <v/>
      </c>
      <c r="M2735" s="26">
        <f>IFERROR(INDEX(Pedidos!$G$2:$G$1801,MATCH(B2735,Pedidos!$A$2:$A$1801,0)),0)</f>
        <v/>
      </c>
      <c r="N2735" s="25">
        <f>IFERROR(INDEX(Produtos!$B$2:$B$71,MATCH(C2735,Produtos!$A$2:$A$71,0)),"")</f>
        <v/>
      </c>
      <c r="O2735" s="25">
        <f>IFERROR(INDEX(Produtos!$C$2:$C$71,MATCH(C2735,Produtos!$A$2:$A$71,0)),"")</f>
        <v/>
      </c>
      <c r="P2735" s="25">
        <f>IFERROR(INDEX(Produtos!$D$2:$D$71,MATCH(C2735,Produtos!$A$2:$A$71,0)),0)</f>
        <v/>
      </c>
      <c r="Q2735" s="25">
        <f>IFERROR(INDEX(Produtos!$E$2:$E$71,MATCH(C2735,Produtos!$A$2:$A$71,0)),0)</f>
        <v/>
      </c>
      <c r="R2735" s="27">
        <f>D2735*Q2735</f>
        <v/>
      </c>
      <c r="S2735" s="27">
        <f>R2735*E2735</f>
        <v/>
      </c>
      <c r="T2735" s="27">
        <f>(R2735-S2735)*M2735</f>
        <v/>
      </c>
      <c r="U2735" s="27">
        <f>R2735-S2735-T2735</f>
        <v/>
      </c>
      <c r="V2735" s="27">
        <f>D2735*P2735</f>
        <v/>
      </c>
      <c r="W2735" s="27">
        <f>U2735-V2735</f>
        <v/>
      </c>
      <c r="X2735" s="28">
        <f>IFERROR(W2735/U2735,0)</f>
        <v/>
      </c>
    </row>
    <row r="2736">
      <c r="A2736" s="21">
        <f>ItensPedido!A2736</f>
        <v/>
      </c>
      <c r="B2736" s="21">
        <f>ItensPedido!B2736</f>
        <v/>
      </c>
      <c r="C2736" s="21">
        <f>ItensPedido!C2736</f>
        <v/>
      </c>
      <c r="D2736" s="21">
        <f>ItensPedido!D2736</f>
        <v/>
      </c>
      <c r="E2736" s="22">
        <f>ItensPedido!E2736</f>
        <v/>
      </c>
      <c r="F2736" s="21">
        <f>IFERROR(INDEX(Pedidos!$B$2:$B$1801,MATCH(B2736,Pedidos!$A$2:$A$1801,0)),0)</f>
        <v/>
      </c>
      <c r="G2736" s="21">
        <f>IF(F2736=0,"",YEAR(F2736))</f>
        <v/>
      </c>
      <c r="H2736" s="21">
        <f>IF(F2736=0,"",MONTH(F2736))</f>
        <v/>
      </c>
      <c r="I2736" s="21">
        <f>IFERROR(INDEX(Pedidos!$E$2:$E$1801,MATCH(B2736,Pedidos!$A$2:$A$1801,0)),"")</f>
        <v/>
      </c>
      <c r="J2736" s="21">
        <f>IFERROR(INDEX(Pedidos!$C$2:$C$1801,MATCH(B2736,Pedidos!$A$2:$A$1801,0)),"")</f>
        <v/>
      </c>
      <c r="K2736" s="21">
        <f>IFERROR(INDEX(Pedidos!$D$2:$D$1801,MATCH(B2736,Pedidos!$A$2:$A$1801,0)),"")</f>
        <v/>
      </c>
      <c r="L2736" s="21">
        <f>IFERROR(INDEX(Pedidos!$F$2:$F$1801,MATCH(B2736,Pedidos!$A$2:$A$1801,0)),"")</f>
        <v/>
      </c>
      <c r="M2736" s="22">
        <f>IFERROR(INDEX(Pedidos!$G$2:$G$1801,MATCH(B2736,Pedidos!$A$2:$A$1801,0)),0)</f>
        <v/>
      </c>
      <c r="N2736" s="21">
        <f>IFERROR(INDEX(Produtos!$B$2:$B$71,MATCH(C2736,Produtos!$A$2:$A$71,0)),"")</f>
        <v/>
      </c>
      <c r="O2736" s="21">
        <f>IFERROR(INDEX(Produtos!$C$2:$C$71,MATCH(C2736,Produtos!$A$2:$A$71,0)),"")</f>
        <v/>
      </c>
      <c r="P2736" s="21">
        <f>IFERROR(INDEX(Produtos!$D$2:$D$71,MATCH(C2736,Produtos!$A$2:$A$71,0)),0)</f>
        <v/>
      </c>
      <c r="Q2736" s="21">
        <f>IFERROR(INDEX(Produtos!$E$2:$E$71,MATCH(C2736,Produtos!$A$2:$A$71,0)),0)</f>
        <v/>
      </c>
      <c r="R2736" s="23">
        <f>D2736*Q2736</f>
        <v/>
      </c>
      <c r="S2736" s="23">
        <f>R2736*E2736</f>
        <v/>
      </c>
      <c r="T2736" s="23">
        <f>(R2736-S2736)*M2736</f>
        <v/>
      </c>
      <c r="U2736" s="23">
        <f>R2736-S2736-T2736</f>
        <v/>
      </c>
      <c r="V2736" s="23">
        <f>D2736*P2736</f>
        <v/>
      </c>
      <c r="W2736" s="23">
        <f>U2736-V2736</f>
        <v/>
      </c>
      <c r="X2736" s="24">
        <f>IFERROR(W2736/U2736,0)</f>
        <v/>
      </c>
    </row>
    <row r="2737">
      <c r="A2737" s="25">
        <f>ItensPedido!A2737</f>
        <v/>
      </c>
      <c r="B2737" s="25">
        <f>ItensPedido!B2737</f>
        <v/>
      </c>
      <c r="C2737" s="25">
        <f>ItensPedido!C2737</f>
        <v/>
      </c>
      <c r="D2737" s="25">
        <f>ItensPedido!D2737</f>
        <v/>
      </c>
      <c r="E2737" s="26">
        <f>ItensPedido!E2737</f>
        <v/>
      </c>
      <c r="F2737" s="25">
        <f>IFERROR(INDEX(Pedidos!$B$2:$B$1801,MATCH(B2737,Pedidos!$A$2:$A$1801,0)),0)</f>
        <v/>
      </c>
      <c r="G2737" s="25">
        <f>IF(F2737=0,"",YEAR(F2737))</f>
        <v/>
      </c>
      <c r="H2737" s="25">
        <f>IF(F2737=0,"",MONTH(F2737))</f>
        <v/>
      </c>
      <c r="I2737" s="25">
        <f>IFERROR(INDEX(Pedidos!$E$2:$E$1801,MATCH(B2737,Pedidos!$A$2:$A$1801,0)),"")</f>
        <v/>
      </c>
      <c r="J2737" s="25">
        <f>IFERROR(INDEX(Pedidos!$C$2:$C$1801,MATCH(B2737,Pedidos!$A$2:$A$1801,0)),"")</f>
        <v/>
      </c>
      <c r="K2737" s="25">
        <f>IFERROR(INDEX(Pedidos!$D$2:$D$1801,MATCH(B2737,Pedidos!$A$2:$A$1801,0)),"")</f>
        <v/>
      </c>
      <c r="L2737" s="25">
        <f>IFERROR(INDEX(Pedidos!$F$2:$F$1801,MATCH(B2737,Pedidos!$A$2:$A$1801,0)),"")</f>
        <v/>
      </c>
      <c r="M2737" s="26">
        <f>IFERROR(INDEX(Pedidos!$G$2:$G$1801,MATCH(B2737,Pedidos!$A$2:$A$1801,0)),0)</f>
        <v/>
      </c>
      <c r="N2737" s="25">
        <f>IFERROR(INDEX(Produtos!$B$2:$B$71,MATCH(C2737,Produtos!$A$2:$A$71,0)),"")</f>
        <v/>
      </c>
      <c r="O2737" s="25">
        <f>IFERROR(INDEX(Produtos!$C$2:$C$71,MATCH(C2737,Produtos!$A$2:$A$71,0)),"")</f>
        <v/>
      </c>
      <c r="P2737" s="25">
        <f>IFERROR(INDEX(Produtos!$D$2:$D$71,MATCH(C2737,Produtos!$A$2:$A$71,0)),0)</f>
        <v/>
      </c>
      <c r="Q2737" s="25">
        <f>IFERROR(INDEX(Produtos!$E$2:$E$71,MATCH(C2737,Produtos!$A$2:$A$71,0)),0)</f>
        <v/>
      </c>
      <c r="R2737" s="27">
        <f>D2737*Q2737</f>
        <v/>
      </c>
      <c r="S2737" s="27">
        <f>R2737*E2737</f>
        <v/>
      </c>
      <c r="T2737" s="27">
        <f>(R2737-S2737)*M2737</f>
        <v/>
      </c>
      <c r="U2737" s="27">
        <f>R2737-S2737-T2737</f>
        <v/>
      </c>
      <c r="V2737" s="27">
        <f>D2737*P2737</f>
        <v/>
      </c>
      <c r="W2737" s="27">
        <f>U2737-V2737</f>
        <v/>
      </c>
      <c r="X2737" s="28">
        <f>IFERROR(W2737/U2737,0)</f>
        <v/>
      </c>
    </row>
    <row r="2738">
      <c r="A2738" s="21">
        <f>ItensPedido!A2738</f>
        <v/>
      </c>
      <c r="B2738" s="21">
        <f>ItensPedido!B2738</f>
        <v/>
      </c>
      <c r="C2738" s="21">
        <f>ItensPedido!C2738</f>
        <v/>
      </c>
      <c r="D2738" s="21">
        <f>ItensPedido!D2738</f>
        <v/>
      </c>
      <c r="E2738" s="22">
        <f>ItensPedido!E2738</f>
        <v/>
      </c>
      <c r="F2738" s="21">
        <f>IFERROR(INDEX(Pedidos!$B$2:$B$1801,MATCH(B2738,Pedidos!$A$2:$A$1801,0)),0)</f>
        <v/>
      </c>
      <c r="G2738" s="21">
        <f>IF(F2738=0,"",YEAR(F2738))</f>
        <v/>
      </c>
      <c r="H2738" s="21">
        <f>IF(F2738=0,"",MONTH(F2738))</f>
        <v/>
      </c>
      <c r="I2738" s="21">
        <f>IFERROR(INDEX(Pedidos!$E$2:$E$1801,MATCH(B2738,Pedidos!$A$2:$A$1801,0)),"")</f>
        <v/>
      </c>
      <c r="J2738" s="21">
        <f>IFERROR(INDEX(Pedidos!$C$2:$C$1801,MATCH(B2738,Pedidos!$A$2:$A$1801,0)),"")</f>
        <v/>
      </c>
      <c r="K2738" s="21">
        <f>IFERROR(INDEX(Pedidos!$D$2:$D$1801,MATCH(B2738,Pedidos!$A$2:$A$1801,0)),"")</f>
        <v/>
      </c>
      <c r="L2738" s="21">
        <f>IFERROR(INDEX(Pedidos!$F$2:$F$1801,MATCH(B2738,Pedidos!$A$2:$A$1801,0)),"")</f>
        <v/>
      </c>
      <c r="M2738" s="22">
        <f>IFERROR(INDEX(Pedidos!$G$2:$G$1801,MATCH(B2738,Pedidos!$A$2:$A$1801,0)),0)</f>
        <v/>
      </c>
      <c r="N2738" s="21">
        <f>IFERROR(INDEX(Produtos!$B$2:$B$71,MATCH(C2738,Produtos!$A$2:$A$71,0)),"")</f>
        <v/>
      </c>
      <c r="O2738" s="21">
        <f>IFERROR(INDEX(Produtos!$C$2:$C$71,MATCH(C2738,Produtos!$A$2:$A$71,0)),"")</f>
        <v/>
      </c>
      <c r="P2738" s="21">
        <f>IFERROR(INDEX(Produtos!$D$2:$D$71,MATCH(C2738,Produtos!$A$2:$A$71,0)),0)</f>
        <v/>
      </c>
      <c r="Q2738" s="21">
        <f>IFERROR(INDEX(Produtos!$E$2:$E$71,MATCH(C2738,Produtos!$A$2:$A$71,0)),0)</f>
        <v/>
      </c>
      <c r="R2738" s="23">
        <f>D2738*Q2738</f>
        <v/>
      </c>
      <c r="S2738" s="23">
        <f>R2738*E2738</f>
        <v/>
      </c>
      <c r="T2738" s="23">
        <f>(R2738-S2738)*M2738</f>
        <v/>
      </c>
      <c r="U2738" s="23">
        <f>R2738-S2738-T2738</f>
        <v/>
      </c>
      <c r="V2738" s="23">
        <f>D2738*P2738</f>
        <v/>
      </c>
      <c r="W2738" s="23">
        <f>U2738-V2738</f>
        <v/>
      </c>
      <c r="X2738" s="24">
        <f>IFERROR(W2738/U2738,0)</f>
        <v/>
      </c>
    </row>
    <row r="2739">
      <c r="A2739" s="25">
        <f>ItensPedido!A2739</f>
        <v/>
      </c>
      <c r="B2739" s="25">
        <f>ItensPedido!B2739</f>
        <v/>
      </c>
      <c r="C2739" s="25">
        <f>ItensPedido!C2739</f>
        <v/>
      </c>
      <c r="D2739" s="25">
        <f>ItensPedido!D2739</f>
        <v/>
      </c>
      <c r="E2739" s="26">
        <f>ItensPedido!E2739</f>
        <v/>
      </c>
      <c r="F2739" s="25">
        <f>IFERROR(INDEX(Pedidos!$B$2:$B$1801,MATCH(B2739,Pedidos!$A$2:$A$1801,0)),0)</f>
        <v/>
      </c>
      <c r="G2739" s="25">
        <f>IF(F2739=0,"",YEAR(F2739))</f>
        <v/>
      </c>
      <c r="H2739" s="25">
        <f>IF(F2739=0,"",MONTH(F2739))</f>
        <v/>
      </c>
      <c r="I2739" s="25">
        <f>IFERROR(INDEX(Pedidos!$E$2:$E$1801,MATCH(B2739,Pedidos!$A$2:$A$1801,0)),"")</f>
        <v/>
      </c>
      <c r="J2739" s="25">
        <f>IFERROR(INDEX(Pedidos!$C$2:$C$1801,MATCH(B2739,Pedidos!$A$2:$A$1801,0)),"")</f>
        <v/>
      </c>
      <c r="K2739" s="25">
        <f>IFERROR(INDEX(Pedidos!$D$2:$D$1801,MATCH(B2739,Pedidos!$A$2:$A$1801,0)),"")</f>
        <v/>
      </c>
      <c r="L2739" s="25">
        <f>IFERROR(INDEX(Pedidos!$F$2:$F$1801,MATCH(B2739,Pedidos!$A$2:$A$1801,0)),"")</f>
        <v/>
      </c>
      <c r="M2739" s="26">
        <f>IFERROR(INDEX(Pedidos!$G$2:$G$1801,MATCH(B2739,Pedidos!$A$2:$A$1801,0)),0)</f>
        <v/>
      </c>
      <c r="N2739" s="25">
        <f>IFERROR(INDEX(Produtos!$B$2:$B$71,MATCH(C2739,Produtos!$A$2:$A$71,0)),"")</f>
        <v/>
      </c>
      <c r="O2739" s="25">
        <f>IFERROR(INDEX(Produtos!$C$2:$C$71,MATCH(C2739,Produtos!$A$2:$A$71,0)),"")</f>
        <v/>
      </c>
      <c r="P2739" s="25">
        <f>IFERROR(INDEX(Produtos!$D$2:$D$71,MATCH(C2739,Produtos!$A$2:$A$71,0)),0)</f>
        <v/>
      </c>
      <c r="Q2739" s="25">
        <f>IFERROR(INDEX(Produtos!$E$2:$E$71,MATCH(C2739,Produtos!$A$2:$A$71,0)),0)</f>
        <v/>
      </c>
      <c r="R2739" s="27">
        <f>D2739*Q2739</f>
        <v/>
      </c>
      <c r="S2739" s="27">
        <f>R2739*E2739</f>
        <v/>
      </c>
      <c r="T2739" s="27">
        <f>(R2739-S2739)*M2739</f>
        <v/>
      </c>
      <c r="U2739" s="27">
        <f>R2739-S2739-T2739</f>
        <v/>
      </c>
      <c r="V2739" s="27">
        <f>D2739*P2739</f>
        <v/>
      </c>
      <c r="W2739" s="27">
        <f>U2739-V2739</f>
        <v/>
      </c>
      <c r="X2739" s="28">
        <f>IFERROR(W2739/U2739,0)</f>
        <v/>
      </c>
    </row>
    <row r="2740">
      <c r="A2740" s="21">
        <f>ItensPedido!A2740</f>
        <v/>
      </c>
      <c r="B2740" s="21">
        <f>ItensPedido!B2740</f>
        <v/>
      </c>
      <c r="C2740" s="21">
        <f>ItensPedido!C2740</f>
        <v/>
      </c>
      <c r="D2740" s="21">
        <f>ItensPedido!D2740</f>
        <v/>
      </c>
      <c r="E2740" s="22">
        <f>ItensPedido!E2740</f>
        <v/>
      </c>
      <c r="F2740" s="21">
        <f>IFERROR(INDEX(Pedidos!$B$2:$B$1801,MATCH(B2740,Pedidos!$A$2:$A$1801,0)),0)</f>
        <v/>
      </c>
      <c r="G2740" s="21">
        <f>IF(F2740=0,"",YEAR(F2740))</f>
        <v/>
      </c>
      <c r="H2740" s="21">
        <f>IF(F2740=0,"",MONTH(F2740))</f>
        <v/>
      </c>
      <c r="I2740" s="21">
        <f>IFERROR(INDEX(Pedidos!$E$2:$E$1801,MATCH(B2740,Pedidos!$A$2:$A$1801,0)),"")</f>
        <v/>
      </c>
      <c r="J2740" s="21">
        <f>IFERROR(INDEX(Pedidos!$C$2:$C$1801,MATCH(B2740,Pedidos!$A$2:$A$1801,0)),"")</f>
        <v/>
      </c>
      <c r="K2740" s="21">
        <f>IFERROR(INDEX(Pedidos!$D$2:$D$1801,MATCH(B2740,Pedidos!$A$2:$A$1801,0)),"")</f>
        <v/>
      </c>
      <c r="L2740" s="21">
        <f>IFERROR(INDEX(Pedidos!$F$2:$F$1801,MATCH(B2740,Pedidos!$A$2:$A$1801,0)),"")</f>
        <v/>
      </c>
      <c r="M2740" s="22">
        <f>IFERROR(INDEX(Pedidos!$G$2:$G$1801,MATCH(B2740,Pedidos!$A$2:$A$1801,0)),0)</f>
        <v/>
      </c>
      <c r="N2740" s="21">
        <f>IFERROR(INDEX(Produtos!$B$2:$B$71,MATCH(C2740,Produtos!$A$2:$A$71,0)),"")</f>
        <v/>
      </c>
      <c r="O2740" s="21">
        <f>IFERROR(INDEX(Produtos!$C$2:$C$71,MATCH(C2740,Produtos!$A$2:$A$71,0)),"")</f>
        <v/>
      </c>
      <c r="P2740" s="21">
        <f>IFERROR(INDEX(Produtos!$D$2:$D$71,MATCH(C2740,Produtos!$A$2:$A$71,0)),0)</f>
        <v/>
      </c>
      <c r="Q2740" s="21">
        <f>IFERROR(INDEX(Produtos!$E$2:$E$71,MATCH(C2740,Produtos!$A$2:$A$71,0)),0)</f>
        <v/>
      </c>
      <c r="R2740" s="23">
        <f>D2740*Q2740</f>
        <v/>
      </c>
      <c r="S2740" s="23">
        <f>R2740*E2740</f>
        <v/>
      </c>
      <c r="T2740" s="23">
        <f>(R2740-S2740)*M2740</f>
        <v/>
      </c>
      <c r="U2740" s="23">
        <f>R2740-S2740-T2740</f>
        <v/>
      </c>
      <c r="V2740" s="23">
        <f>D2740*P2740</f>
        <v/>
      </c>
      <c r="W2740" s="23">
        <f>U2740-V2740</f>
        <v/>
      </c>
      <c r="X2740" s="24">
        <f>IFERROR(W2740/U2740,0)</f>
        <v/>
      </c>
    </row>
    <row r="2741">
      <c r="A2741" s="25">
        <f>ItensPedido!A2741</f>
        <v/>
      </c>
      <c r="B2741" s="25">
        <f>ItensPedido!B2741</f>
        <v/>
      </c>
      <c r="C2741" s="25">
        <f>ItensPedido!C2741</f>
        <v/>
      </c>
      <c r="D2741" s="25">
        <f>ItensPedido!D2741</f>
        <v/>
      </c>
      <c r="E2741" s="26">
        <f>ItensPedido!E2741</f>
        <v/>
      </c>
      <c r="F2741" s="25">
        <f>IFERROR(INDEX(Pedidos!$B$2:$B$1801,MATCH(B2741,Pedidos!$A$2:$A$1801,0)),0)</f>
        <v/>
      </c>
      <c r="G2741" s="25">
        <f>IF(F2741=0,"",YEAR(F2741))</f>
        <v/>
      </c>
      <c r="H2741" s="25">
        <f>IF(F2741=0,"",MONTH(F2741))</f>
        <v/>
      </c>
      <c r="I2741" s="25">
        <f>IFERROR(INDEX(Pedidos!$E$2:$E$1801,MATCH(B2741,Pedidos!$A$2:$A$1801,0)),"")</f>
        <v/>
      </c>
      <c r="J2741" s="25">
        <f>IFERROR(INDEX(Pedidos!$C$2:$C$1801,MATCH(B2741,Pedidos!$A$2:$A$1801,0)),"")</f>
        <v/>
      </c>
      <c r="K2741" s="25">
        <f>IFERROR(INDEX(Pedidos!$D$2:$D$1801,MATCH(B2741,Pedidos!$A$2:$A$1801,0)),"")</f>
        <v/>
      </c>
      <c r="L2741" s="25">
        <f>IFERROR(INDEX(Pedidos!$F$2:$F$1801,MATCH(B2741,Pedidos!$A$2:$A$1801,0)),"")</f>
        <v/>
      </c>
      <c r="M2741" s="26">
        <f>IFERROR(INDEX(Pedidos!$G$2:$G$1801,MATCH(B2741,Pedidos!$A$2:$A$1801,0)),0)</f>
        <v/>
      </c>
      <c r="N2741" s="25">
        <f>IFERROR(INDEX(Produtos!$B$2:$B$71,MATCH(C2741,Produtos!$A$2:$A$71,0)),"")</f>
        <v/>
      </c>
      <c r="O2741" s="25">
        <f>IFERROR(INDEX(Produtos!$C$2:$C$71,MATCH(C2741,Produtos!$A$2:$A$71,0)),"")</f>
        <v/>
      </c>
      <c r="P2741" s="25">
        <f>IFERROR(INDEX(Produtos!$D$2:$D$71,MATCH(C2741,Produtos!$A$2:$A$71,0)),0)</f>
        <v/>
      </c>
      <c r="Q2741" s="25">
        <f>IFERROR(INDEX(Produtos!$E$2:$E$71,MATCH(C2741,Produtos!$A$2:$A$71,0)),0)</f>
        <v/>
      </c>
      <c r="R2741" s="27">
        <f>D2741*Q2741</f>
        <v/>
      </c>
      <c r="S2741" s="27">
        <f>R2741*E2741</f>
        <v/>
      </c>
      <c r="T2741" s="27">
        <f>(R2741-S2741)*M2741</f>
        <v/>
      </c>
      <c r="U2741" s="27">
        <f>R2741-S2741-T2741</f>
        <v/>
      </c>
      <c r="V2741" s="27">
        <f>D2741*P2741</f>
        <v/>
      </c>
      <c r="W2741" s="27">
        <f>U2741-V2741</f>
        <v/>
      </c>
      <c r="X2741" s="28">
        <f>IFERROR(W2741/U2741,0)</f>
        <v/>
      </c>
    </row>
    <row r="2742">
      <c r="A2742" s="21">
        <f>ItensPedido!A2742</f>
        <v/>
      </c>
      <c r="B2742" s="21">
        <f>ItensPedido!B2742</f>
        <v/>
      </c>
      <c r="C2742" s="21">
        <f>ItensPedido!C2742</f>
        <v/>
      </c>
      <c r="D2742" s="21">
        <f>ItensPedido!D2742</f>
        <v/>
      </c>
      <c r="E2742" s="22">
        <f>ItensPedido!E2742</f>
        <v/>
      </c>
      <c r="F2742" s="21">
        <f>IFERROR(INDEX(Pedidos!$B$2:$B$1801,MATCH(B2742,Pedidos!$A$2:$A$1801,0)),0)</f>
        <v/>
      </c>
      <c r="G2742" s="21">
        <f>IF(F2742=0,"",YEAR(F2742))</f>
        <v/>
      </c>
      <c r="H2742" s="21">
        <f>IF(F2742=0,"",MONTH(F2742))</f>
        <v/>
      </c>
      <c r="I2742" s="21">
        <f>IFERROR(INDEX(Pedidos!$E$2:$E$1801,MATCH(B2742,Pedidos!$A$2:$A$1801,0)),"")</f>
        <v/>
      </c>
      <c r="J2742" s="21">
        <f>IFERROR(INDEX(Pedidos!$C$2:$C$1801,MATCH(B2742,Pedidos!$A$2:$A$1801,0)),"")</f>
        <v/>
      </c>
      <c r="K2742" s="21">
        <f>IFERROR(INDEX(Pedidos!$D$2:$D$1801,MATCH(B2742,Pedidos!$A$2:$A$1801,0)),"")</f>
        <v/>
      </c>
      <c r="L2742" s="21">
        <f>IFERROR(INDEX(Pedidos!$F$2:$F$1801,MATCH(B2742,Pedidos!$A$2:$A$1801,0)),"")</f>
        <v/>
      </c>
      <c r="M2742" s="22">
        <f>IFERROR(INDEX(Pedidos!$G$2:$G$1801,MATCH(B2742,Pedidos!$A$2:$A$1801,0)),0)</f>
        <v/>
      </c>
      <c r="N2742" s="21">
        <f>IFERROR(INDEX(Produtos!$B$2:$B$71,MATCH(C2742,Produtos!$A$2:$A$71,0)),"")</f>
        <v/>
      </c>
      <c r="O2742" s="21">
        <f>IFERROR(INDEX(Produtos!$C$2:$C$71,MATCH(C2742,Produtos!$A$2:$A$71,0)),"")</f>
        <v/>
      </c>
      <c r="P2742" s="21">
        <f>IFERROR(INDEX(Produtos!$D$2:$D$71,MATCH(C2742,Produtos!$A$2:$A$71,0)),0)</f>
        <v/>
      </c>
      <c r="Q2742" s="21">
        <f>IFERROR(INDEX(Produtos!$E$2:$E$71,MATCH(C2742,Produtos!$A$2:$A$71,0)),0)</f>
        <v/>
      </c>
      <c r="R2742" s="23">
        <f>D2742*Q2742</f>
        <v/>
      </c>
      <c r="S2742" s="23">
        <f>R2742*E2742</f>
        <v/>
      </c>
      <c r="T2742" s="23">
        <f>(R2742-S2742)*M2742</f>
        <v/>
      </c>
      <c r="U2742" s="23">
        <f>R2742-S2742-T2742</f>
        <v/>
      </c>
      <c r="V2742" s="23">
        <f>D2742*P2742</f>
        <v/>
      </c>
      <c r="W2742" s="23">
        <f>U2742-V2742</f>
        <v/>
      </c>
      <c r="X2742" s="24">
        <f>IFERROR(W2742/U2742,0)</f>
        <v/>
      </c>
    </row>
    <row r="2743">
      <c r="A2743" s="25">
        <f>ItensPedido!A2743</f>
        <v/>
      </c>
      <c r="B2743" s="25">
        <f>ItensPedido!B2743</f>
        <v/>
      </c>
      <c r="C2743" s="25">
        <f>ItensPedido!C2743</f>
        <v/>
      </c>
      <c r="D2743" s="25">
        <f>ItensPedido!D2743</f>
        <v/>
      </c>
      <c r="E2743" s="26">
        <f>ItensPedido!E2743</f>
        <v/>
      </c>
      <c r="F2743" s="25">
        <f>IFERROR(INDEX(Pedidos!$B$2:$B$1801,MATCH(B2743,Pedidos!$A$2:$A$1801,0)),0)</f>
        <v/>
      </c>
      <c r="G2743" s="25">
        <f>IF(F2743=0,"",YEAR(F2743))</f>
        <v/>
      </c>
      <c r="H2743" s="25">
        <f>IF(F2743=0,"",MONTH(F2743))</f>
        <v/>
      </c>
      <c r="I2743" s="25">
        <f>IFERROR(INDEX(Pedidos!$E$2:$E$1801,MATCH(B2743,Pedidos!$A$2:$A$1801,0)),"")</f>
        <v/>
      </c>
      <c r="J2743" s="25">
        <f>IFERROR(INDEX(Pedidos!$C$2:$C$1801,MATCH(B2743,Pedidos!$A$2:$A$1801,0)),"")</f>
        <v/>
      </c>
      <c r="K2743" s="25">
        <f>IFERROR(INDEX(Pedidos!$D$2:$D$1801,MATCH(B2743,Pedidos!$A$2:$A$1801,0)),"")</f>
        <v/>
      </c>
      <c r="L2743" s="25">
        <f>IFERROR(INDEX(Pedidos!$F$2:$F$1801,MATCH(B2743,Pedidos!$A$2:$A$1801,0)),"")</f>
        <v/>
      </c>
      <c r="M2743" s="26">
        <f>IFERROR(INDEX(Pedidos!$G$2:$G$1801,MATCH(B2743,Pedidos!$A$2:$A$1801,0)),0)</f>
        <v/>
      </c>
      <c r="N2743" s="25">
        <f>IFERROR(INDEX(Produtos!$B$2:$B$71,MATCH(C2743,Produtos!$A$2:$A$71,0)),"")</f>
        <v/>
      </c>
      <c r="O2743" s="25">
        <f>IFERROR(INDEX(Produtos!$C$2:$C$71,MATCH(C2743,Produtos!$A$2:$A$71,0)),"")</f>
        <v/>
      </c>
      <c r="P2743" s="25">
        <f>IFERROR(INDEX(Produtos!$D$2:$D$71,MATCH(C2743,Produtos!$A$2:$A$71,0)),0)</f>
        <v/>
      </c>
      <c r="Q2743" s="25">
        <f>IFERROR(INDEX(Produtos!$E$2:$E$71,MATCH(C2743,Produtos!$A$2:$A$71,0)),0)</f>
        <v/>
      </c>
      <c r="R2743" s="27">
        <f>D2743*Q2743</f>
        <v/>
      </c>
      <c r="S2743" s="27">
        <f>R2743*E2743</f>
        <v/>
      </c>
      <c r="T2743" s="27">
        <f>(R2743-S2743)*M2743</f>
        <v/>
      </c>
      <c r="U2743" s="27">
        <f>R2743-S2743-T2743</f>
        <v/>
      </c>
      <c r="V2743" s="27">
        <f>D2743*P2743</f>
        <v/>
      </c>
      <c r="W2743" s="27">
        <f>U2743-V2743</f>
        <v/>
      </c>
      <c r="X2743" s="28">
        <f>IFERROR(W2743/U2743,0)</f>
        <v/>
      </c>
    </row>
    <row r="2744">
      <c r="A2744" s="21">
        <f>ItensPedido!A2744</f>
        <v/>
      </c>
      <c r="B2744" s="21">
        <f>ItensPedido!B2744</f>
        <v/>
      </c>
      <c r="C2744" s="21">
        <f>ItensPedido!C2744</f>
        <v/>
      </c>
      <c r="D2744" s="21">
        <f>ItensPedido!D2744</f>
        <v/>
      </c>
      <c r="E2744" s="22">
        <f>ItensPedido!E2744</f>
        <v/>
      </c>
      <c r="F2744" s="21">
        <f>IFERROR(INDEX(Pedidos!$B$2:$B$1801,MATCH(B2744,Pedidos!$A$2:$A$1801,0)),0)</f>
        <v/>
      </c>
      <c r="G2744" s="21">
        <f>IF(F2744=0,"",YEAR(F2744))</f>
        <v/>
      </c>
      <c r="H2744" s="21">
        <f>IF(F2744=0,"",MONTH(F2744))</f>
        <v/>
      </c>
      <c r="I2744" s="21">
        <f>IFERROR(INDEX(Pedidos!$E$2:$E$1801,MATCH(B2744,Pedidos!$A$2:$A$1801,0)),"")</f>
        <v/>
      </c>
      <c r="J2744" s="21">
        <f>IFERROR(INDEX(Pedidos!$C$2:$C$1801,MATCH(B2744,Pedidos!$A$2:$A$1801,0)),"")</f>
        <v/>
      </c>
      <c r="K2744" s="21">
        <f>IFERROR(INDEX(Pedidos!$D$2:$D$1801,MATCH(B2744,Pedidos!$A$2:$A$1801,0)),"")</f>
        <v/>
      </c>
      <c r="L2744" s="21">
        <f>IFERROR(INDEX(Pedidos!$F$2:$F$1801,MATCH(B2744,Pedidos!$A$2:$A$1801,0)),"")</f>
        <v/>
      </c>
      <c r="M2744" s="22">
        <f>IFERROR(INDEX(Pedidos!$G$2:$G$1801,MATCH(B2744,Pedidos!$A$2:$A$1801,0)),0)</f>
        <v/>
      </c>
      <c r="N2744" s="21">
        <f>IFERROR(INDEX(Produtos!$B$2:$B$71,MATCH(C2744,Produtos!$A$2:$A$71,0)),"")</f>
        <v/>
      </c>
      <c r="O2744" s="21">
        <f>IFERROR(INDEX(Produtos!$C$2:$C$71,MATCH(C2744,Produtos!$A$2:$A$71,0)),"")</f>
        <v/>
      </c>
      <c r="P2744" s="21">
        <f>IFERROR(INDEX(Produtos!$D$2:$D$71,MATCH(C2744,Produtos!$A$2:$A$71,0)),0)</f>
        <v/>
      </c>
      <c r="Q2744" s="21">
        <f>IFERROR(INDEX(Produtos!$E$2:$E$71,MATCH(C2744,Produtos!$A$2:$A$71,0)),0)</f>
        <v/>
      </c>
      <c r="R2744" s="23">
        <f>D2744*Q2744</f>
        <v/>
      </c>
      <c r="S2744" s="23">
        <f>R2744*E2744</f>
        <v/>
      </c>
      <c r="T2744" s="23">
        <f>(R2744-S2744)*M2744</f>
        <v/>
      </c>
      <c r="U2744" s="23">
        <f>R2744-S2744-T2744</f>
        <v/>
      </c>
      <c r="V2744" s="23">
        <f>D2744*P2744</f>
        <v/>
      </c>
      <c r="W2744" s="23">
        <f>U2744-V2744</f>
        <v/>
      </c>
      <c r="X2744" s="24">
        <f>IFERROR(W2744/U2744,0)</f>
        <v/>
      </c>
    </row>
    <row r="2745">
      <c r="A2745" s="25">
        <f>ItensPedido!A2745</f>
        <v/>
      </c>
      <c r="B2745" s="25">
        <f>ItensPedido!B2745</f>
        <v/>
      </c>
      <c r="C2745" s="25">
        <f>ItensPedido!C2745</f>
        <v/>
      </c>
      <c r="D2745" s="25">
        <f>ItensPedido!D2745</f>
        <v/>
      </c>
      <c r="E2745" s="26">
        <f>ItensPedido!E2745</f>
        <v/>
      </c>
      <c r="F2745" s="25">
        <f>IFERROR(INDEX(Pedidos!$B$2:$B$1801,MATCH(B2745,Pedidos!$A$2:$A$1801,0)),0)</f>
        <v/>
      </c>
      <c r="G2745" s="25">
        <f>IF(F2745=0,"",YEAR(F2745))</f>
        <v/>
      </c>
      <c r="H2745" s="25">
        <f>IF(F2745=0,"",MONTH(F2745))</f>
        <v/>
      </c>
      <c r="I2745" s="25">
        <f>IFERROR(INDEX(Pedidos!$E$2:$E$1801,MATCH(B2745,Pedidos!$A$2:$A$1801,0)),"")</f>
        <v/>
      </c>
      <c r="J2745" s="25">
        <f>IFERROR(INDEX(Pedidos!$C$2:$C$1801,MATCH(B2745,Pedidos!$A$2:$A$1801,0)),"")</f>
        <v/>
      </c>
      <c r="K2745" s="25">
        <f>IFERROR(INDEX(Pedidos!$D$2:$D$1801,MATCH(B2745,Pedidos!$A$2:$A$1801,0)),"")</f>
        <v/>
      </c>
      <c r="L2745" s="25">
        <f>IFERROR(INDEX(Pedidos!$F$2:$F$1801,MATCH(B2745,Pedidos!$A$2:$A$1801,0)),"")</f>
        <v/>
      </c>
      <c r="M2745" s="26">
        <f>IFERROR(INDEX(Pedidos!$G$2:$G$1801,MATCH(B2745,Pedidos!$A$2:$A$1801,0)),0)</f>
        <v/>
      </c>
      <c r="N2745" s="25">
        <f>IFERROR(INDEX(Produtos!$B$2:$B$71,MATCH(C2745,Produtos!$A$2:$A$71,0)),"")</f>
        <v/>
      </c>
      <c r="O2745" s="25">
        <f>IFERROR(INDEX(Produtos!$C$2:$C$71,MATCH(C2745,Produtos!$A$2:$A$71,0)),"")</f>
        <v/>
      </c>
      <c r="P2745" s="25">
        <f>IFERROR(INDEX(Produtos!$D$2:$D$71,MATCH(C2745,Produtos!$A$2:$A$71,0)),0)</f>
        <v/>
      </c>
      <c r="Q2745" s="25">
        <f>IFERROR(INDEX(Produtos!$E$2:$E$71,MATCH(C2745,Produtos!$A$2:$A$71,0)),0)</f>
        <v/>
      </c>
      <c r="R2745" s="27">
        <f>D2745*Q2745</f>
        <v/>
      </c>
      <c r="S2745" s="27">
        <f>R2745*E2745</f>
        <v/>
      </c>
      <c r="T2745" s="27">
        <f>(R2745-S2745)*M2745</f>
        <v/>
      </c>
      <c r="U2745" s="27">
        <f>R2745-S2745-T2745</f>
        <v/>
      </c>
      <c r="V2745" s="27">
        <f>D2745*P2745</f>
        <v/>
      </c>
      <c r="W2745" s="27">
        <f>U2745-V2745</f>
        <v/>
      </c>
      <c r="X2745" s="28">
        <f>IFERROR(W2745/U2745,0)</f>
        <v/>
      </c>
    </row>
    <row r="2746">
      <c r="A2746" s="21">
        <f>ItensPedido!A2746</f>
        <v/>
      </c>
      <c r="B2746" s="21">
        <f>ItensPedido!B2746</f>
        <v/>
      </c>
      <c r="C2746" s="21">
        <f>ItensPedido!C2746</f>
        <v/>
      </c>
      <c r="D2746" s="21">
        <f>ItensPedido!D2746</f>
        <v/>
      </c>
      <c r="E2746" s="22">
        <f>ItensPedido!E2746</f>
        <v/>
      </c>
      <c r="F2746" s="21">
        <f>IFERROR(INDEX(Pedidos!$B$2:$B$1801,MATCH(B2746,Pedidos!$A$2:$A$1801,0)),0)</f>
        <v/>
      </c>
      <c r="G2746" s="21">
        <f>IF(F2746=0,"",YEAR(F2746))</f>
        <v/>
      </c>
      <c r="H2746" s="21">
        <f>IF(F2746=0,"",MONTH(F2746))</f>
        <v/>
      </c>
      <c r="I2746" s="21">
        <f>IFERROR(INDEX(Pedidos!$E$2:$E$1801,MATCH(B2746,Pedidos!$A$2:$A$1801,0)),"")</f>
        <v/>
      </c>
      <c r="J2746" s="21">
        <f>IFERROR(INDEX(Pedidos!$C$2:$C$1801,MATCH(B2746,Pedidos!$A$2:$A$1801,0)),"")</f>
        <v/>
      </c>
      <c r="K2746" s="21">
        <f>IFERROR(INDEX(Pedidos!$D$2:$D$1801,MATCH(B2746,Pedidos!$A$2:$A$1801,0)),"")</f>
        <v/>
      </c>
      <c r="L2746" s="21">
        <f>IFERROR(INDEX(Pedidos!$F$2:$F$1801,MATCH(B2746,Pedidos!$A$2:$A$1801,0)),"")</f>
        <v/>
      </c>
      <c r="M2746" s="22">
        <f>IFERROR(INDEX(Pedidos!$G$2:$G$1801,MATCH(B2746,Pedidos!$A$2:$A$1801,0)),0)</f>
        <v/>
      </c>
      <c r="N2746" s="21">
        <f>IFERROR(INDEX(Produtos!$B$2:$B$71,MATCH(C2746,Produtos!$A$2:$A$71,0)),"")</f>
        <v/>
      </c>
      <c r="O2746" s="21">
        <f>IFERROR(INDEX(Produtos!$C$2:$C$71,MATCH(C2746,Produtos!$A$2:$A$71,0)),"")</f>
        <v/>
      </c>
      <c r="P2746" s="21">
        <f>IFERROR(INDEX(Produtos!$D$2:$D$71,MATCH(C2746,Produtos!$A$2:$A$71,0)),0)</f>
        <v/>
      </c>
      <c r="Q2746" s="21">
        <f>IFERROR(INDEX(Produtos!$E$2:$E$71,MATCH(C2746,Produtos!$A$2:$A$71,0)),0)</f>
        <v/>
      </c>
      <c r="R2746" s="23">
        <f>D2746*Q2746</f>
        <v/>
      </c>
      <c r="S2746" s="23">
        <f>R2746*E2746</f>
        <v/>
      </c>
      <c r="T2746" s="23">
        <f>(R2746-S2746)*M2746</f>
        <v/>
      </c>
      <c r="U2746" s="23">
        <f>R2746-S2746-T2746</f>
        <v/>
      </c>
      <c r="V2746" s="23">
        <f>D2746*P2746</f>
        <v/>
      </c>
      <c r="W2746" s="23">
        <f>U2746-V2746</f>
        <v/>
      </c>
      <c r="X2746" s="24">
        <f>IFERROR(W2746/U2746,0)</f>
        <v/>
      </c>
    </row>
    <row r="2747">
      <c r="A2747" s="25">
        <f>ItensPedido!A2747</f>
        <v/>
      </c>
      <c r="B2747" s="25">
        <f>ItensPedido!B2747</f>
        <v/>
      </c>
      <c r="C2747" s="25">
        <f>ItensPedido!C2747</f>
        <v/>
      </c>
      <c r="D2747" s="25">
        <f>ItensPedido!D2747</f>
        <v/>
      </c>
      <c r="E2747" s="26">
        <f>ItensPedido!E2747</f>
        <v/>
      </c>
      <c r="F2747" s="25">
        <f>IFERROR(INDEX(Pedidos!$B$2:$B$1801,MATCH(B2747,Pedidos!$A$2:$A$1801,0)),0)</f>
        <v/>
      </c>
      <c r="G2747" s="25">
        <f>IF(F2747=0,"",YEAR(F2747))</f>
        <v/>
      </c>
      <c r="H2747" s="25">
        <f>IF(F2747=0,"",MONTH(F2747))</f>
        <v/>
      </c>
      <c r="I2747" s="25">
        <f>IFERROR(INDEX(Pedidos!$E$2:$E$1801,MATCH(B2747,Pedidos!$A$2:$A$1801,0)),"")</f>
        <v/>
      </c>
      <c r="J2747" s="25">
        <f>IFERROR(INDEX(Pedidos!$C$2:$C$1801,MATCH(B2747,Pedidos!$A$2:$A$1801,0)),"")</f>
        <v/>
      </c>
      <c r="K2747" s="25">
        <f>IFERROR(INDEX(Pedidos!$D$2:$D$1801,MATCH(B2747,Pedidos!$A$2:$A$1801,0)),"")</f>
        <v/>
      </c>
      <c r="L2747" s="25">
        <f>IFERROR(INDEX(Pedidos!$F$2:$F$1801,MATCH(B2747,Pedidos!$A$2:$A$1801,0)),"")</f>
        <v/>
      </c>
      <c r="M2747" s="26">
        <f>IFERROR(INDEX(Pedidos!$G$2:$G$1801,MATCH(B2747,Pedidos!$A$2:$A$1801,0)),0)</f>
        <v/>
      </c>
      <c r="N2747" s="25">
        <f>IFERROR(INDEX(Produtos!$B$2:$B$71,MATCH(C2747,Produtos!$A$2:$A$71,0)),"")</f>
        <v/>
      </c>
      <c r="O2747" s="25">
        <f>IFERROR(INDEX(Produtos!$C$2:$C$71,MATCH(C2747,Produtos!$A$2:$A$71,0)),"")</f>
        <v/>
      </c>
      <c r="P2747" s="25">
        <f>IFERROR(INDEX(Produtos!$D$2:$D$71,MATCH(C2747,Produtos!$A$2:$A$71,0)),0)</f>
        <v/>
      </c>
      <c r="Q2747" s="25">
        <f>IFERROR(INDEX(Produtos!$E$2:$E$71,MATCH(C2747,Produtos!$A$2:$A$71,0)),0)</f>
        <v/>
      </c>
      <c r="R2747" s="27">
        <f>D2747*Q2747</f>
        <v/>
      </c>
      <c r="S2747" s="27">
        <f>R2747*E2747</f>
        <v/>
      </c>
      <c r="T2747" s="27">
        <f>(R2747-S2747)*M2747</f>
        <v/>
      </c>
      <c r="U2747" s="27">
        <f>R2747-S2747-T2747</f>
        <v/>
      </c>
      <c r="V2747" s="27">
        <f>D2747*P2747</f>
        <v/>
      </c>
      <c r="W2747" s="27">
        <f>U2747-V2747</f>
        <v/>
      </c>
      <c r="X2747" s="28">
        <f>IFERROR(W2747/U2747,0)</f>
        <v/>
      </c>
    </row>
    <row r="2748">
      <c r="A2748" s="21">
        <f>ItensPedido!A2748</f>
        <v/>
      </c>
      <c r="B2748" s="21">
        <f>ItensPedido!B2748</f>
        <v/>
      </c>
      <c r="C2748" s="21">
        <f>ItensPedido!C2748</f>
        <v/>
      </c>
      <c r="D2748" s="21">
        <f>ItensPedido!D2748</f>
        <v/>
      </c>
      <c r="E2748" s="22">
        <f>ItensPedido!E2748</f>
        <v/>
      </c>
      <c r="F2748" s="21">
        <f>IFERROR(INDEX(Pedidos!$B$2:$B$1801,MATCH(B2748,Pedidos!$A$2:$A$1801,0)),0)</f>
        <v/>
      </c>
      <c r="G2748" s="21">
        <f>IF(F2748=0,"",YEAR(F2748))</f>
        <v/>
      </c>
      <c r="H2748" s="21">
        <f>IF(F2748=0,"",MONTH(F2748))</f>
        <v/>
      </c>
      <c r="I2748" s="21">
        <f>IFERROR(INDEX(Pedidos!$E$2:$E$1801,MATCH(B2748,Pedidos!$A$2:$A$1801,0)),"")</f>
        <v/>
      </c>
      <c r="J2748" s="21">
        <f>IFERROR(INDEX(Pedidos!$C$2:$C$1801,MATCH(B2748,Pedidos!$A$2:$A$1801,0)),"")</f>
        <v/>
      </c>
      <c r="K2748" s="21">
        <f>IFERROR(INDEX(Pedidos!$D$2:$D$1801,MATCH(B2748,Pedidos!$A$2:$A$1801,0)),"")</f>
        <v/>
      </c>
      <c r="L2748" s="21">
        <f>IFERROR(INDEX(Pedidos!$F$2:$F$1801,MATCH(B2748,Pedidos!$A$2:$A$1801,0)),"")</f>
        <v/>
      </c>
      <c r="M2748" s="22">
        <f>IFERROR(INDEX(Pedidos!$G$2:$G$1801,MATCH(B2748,Pedidos!$A$2:$A$1801,0)),0)</f>
        <v/>
      </c>
      <c r="N2748" s="21">
        <f>IFERROR(INDEX(Produtos!$B$2:$B$71,MATCH(C2748,Produtos!$A$2:$A$71,0)),"")</f>
        <v/>
      </c>
      <c r="O2748" s="21">
        <f>IFERROR(INDEX(Produtos!$C$2:$C$71,MATCH(C2748,Produtos!$A$2:$A$71,0)),"")</f>
        <v/>
      </c>
      <c r="P2748" s="21">
        <f>IFERROR(INDEX(Produtos!$D$2:$D$71,MATCH(C2748,Produtos!$A$2:$A$71,0)),0)</f>
        <v/>
      </c>
      <c r="Q2748" s="21">
        <f>IFERROR(INDEX(Produtos!$E$2:$E$71,MATCH(C2748,Produtos!$A$2:$A$71,0)),0)</f>
        <v/>
      </c>
      <c r="R2748" s="23">
        <f>D2748*Q2748</f>
        <v/>
      </c>
      <c r="S2748" s="23">
        <f>R2748*E2748</f>
        <v/>
      </c>
      <c r="T2748" s="23">
        <f>(R2748-S2748)*M2748</f>
        <v/>
      </c>
      <c r="U2748" s="23">
        <f>R2748-S2748-T2748</f>
        <v/>
      </c>
      <c r="V2748" s="23">
        <f>D2748*P2748</f>
        <v/>
      </c>
      <c r="W2748" s="23">
        <f>U2748-V2748</f>
        <v/>
      </c>
      <c r="X2748" s="24">
        <f>IFERROR(W2748/U2748,0)</f>
        <v/>
      </c>
    </row>
    <row r="2749">
      <c r="A2749" s="25">
        <f>ItensPedido!A2749</f>
        <v/>
      </c>
      <c r="B2749" s="25">
        <f>ItensPedido!B2749</f>
        <v/>
      </c>
      <c r="C2749" s="25">
        <f>ItensPedido!C2749</f>
        <v/>
      </c>
      <c r="D2749" s="25">
        <f>ItensPedido!D2749</f>
        <v/>
      </c>
      <c r="E2749" s="26">
        <f>ItensPedido!E2749</f>
        <v/>
      </c>
      <c r="F2749" s="25">
        <f>IFERROR(INDEX(Pedidos!$B$2:$B$1801,MATCH(B2749,Pedidos!$A$2:$A$1801,0)),0)</f>
        <v/>
      </c>
      <c r="G2749" s="25">
        <f>IF(F2749=0,"",YEAR(F2749))</f>
        <v/>
      </c>
      <c r="H2749" s="25">
        <f>IF(F2749=0,"",MONTH(F2749))</f>
        <v/>
      </c>
      <c r="I2749" s="25">
        <f>IFERROR(INDEX(Pedidos!$E$2:$E$1801,MATCH(B2749,Pedidos!$A$2:$A$1801,0)),"")</f>
        <v/>
      </c>
      <c r="J2749" s="25">
        <f>IFERROR(INDEX(Pedidos!$C$2:$C$1801,MATCH(B2749,Pedidos!$A$2:$A$1801,0)),"")</f>
        <v/>
      </c>
      <c r="K2749" s="25">
        <f>IFERROR(INDEX(Pedidos!$D$2:$D$1801,MATCH(B2749,Pedidos!$A$2:$A$1801,0)),"")</f>
        <v/>
      </c>
      <c r="L2749" s="25">
        <f>IFERROR(INDEX(Pedidos!$F$2:$F$1801,MATCH(B2749,Pedidos!$A$2:$A$1801,0)),"")</f>
        <v/>
      </c>
      <c r="M2749" s="26">
        <f>IFERROR(INDEX(Pedidos!$G$2:$G$1801,MATCH(B2749,Pedidos!$A$2:$A$1801,0)),0)</f>
        <v/>
      </c>
      <c r="N2749" s="25">
        <f>IFERROR(INDEX(Produtos!$B$2:$B$71,MATCH(C2749,Produtos!$A$2:$A$71,0)),"")</f>
        <v/>
      </c>
      <c r="O2749" s="25">
        <f>IFERROR(INDEX(Produtos!$C$2:$C$71,MATCH(C2749,Produtos!$A$2:$A$71,0)),"")</f>
        <v/>
      </c>
      <c r="P2749" s="25">
        <f>IFERROR(INDEX(Produtos!$D$2:$D$71,MATCH(C2749,Produtos!$A$2:$A$71,0)),0)</f>
        <v/>
      </c>
      <c r="Q2749" s="25">
        <f>IFERROR(INDEX(Produtos!$E$2:$E$71,MATCH(C2749,Produtos!$A$2:$A$71,0)),0)</f>
        <v/>
      </c>
      <c r="R2749" s="27">
        <f>D2749*Q2749</f>
        <v/>
      </c>
      <c r="S2749" s="27">
        <f>R2749*E2749</f>
        <v/>
      </c>
      <c r="T2749" s="27">
        <f>(R2749-S2749)*M2749</f>
        <v/>
      </c>
      <c r="U2749" s="27">
        <f>R2749-S2749-T2749</f>
        <v/>
      </c>
      <c r="V2749" s="27">
        <f>D2749*P2749</f>
        <v/>
      </c>
      <c r="W2749" s="27">
        <f>U2749-V2749</f>
        <v/>
      </c>
      <c r="X2749" s="28">
        <f>IFERROR(W2749/U2749,0)</f>
        <v/>
      </c>
    </row>
    <row r="2750">
      <c r="A2750" s="21">
        <f>ItensPedido!A2750</f>
        <v/>
      </c>
      <c r="B2750" s="21">
        <f>ItensPedido!B2750</f>
        <v/>
      </c>
      <c r="C2750" s="21">
        <f>ItensPedido!C2750</f>
        <v/>
      </c>
      <c r="D2750" s="21">
        <f>ItensPedido!D2750</f>
        <v/>
      </c>
      <c r="E2750" s="22">
        <f>ItensPedido!E2750</f>
        <v/>
      </c>
      <c r="F2750" s="21">
        <f>IFERROR(INDEX(Pedidos!$B$2:$B$1801,MATCH(B2750,Pedidos!$A$2:$A$1801,0)),0)</f>
        <v/>
      </c>
      <c r="G2750" s="21">
        <f>IF(F2750=0,"",YEAR(F2750))</f>
        <v/>
      </c>
      <c r="H2750" s="21">
        <f>IF(F2750=0,"",MONTH(F2750))</f>
        <v/>
      </c>
      <c r="I2750" s="21">
        <f>IFERROR(INDEX(Pedidos!$E$2:$E$1801,MATCH(B2750,Pedidos!$A$2:$A$1801,0)),"")</f>
        <v/>
      </c>
      <c r="J2750" s="21">
        <f>IFERROR(INDEX(Pedidos!$C$2:$C$1801,MATCH(B2750,Pedidos!$A$2:$A$1801,0)),"")</f>
        <v/>
      </c>
      <c r="K2750" s="21">
        <f>IFERROR(INDEX(Pedidos!$D$2:$D$1801,MATCH(B2750,Pedidos!$A$2:$A$1801,0)),"")</f>
        <v/>
      </c>
      <c r="L2750" s="21">
        <f>IFERROR(INDEX(Pedidos!$F$2:$F$1801,MATCH(B2750,Pedidos!$A$2:$A$1801,0)),"")</f>
        <v/>
      </c>
      <c r="M2750" s="22">
        <f>IFERROR(INDEX(Pedidos!$G$2:$G$1801,MATCH(B2750,Pedidos!$A$2:$A$1801,0)),0)</f>
        <v/>
      </c>
      <c r="N2750" s="21">
        <f>IFERROR(INDEX(Produtos!$B$2:$B$71,MATCH(C2750,Produtos!$A$2:$A$71,0)),"")</f>
        <v/>
      </c>
      <c r="O2750" s="21">
        <f>IFERROR(INDEX(Produtos!$C$2:$C$71,MATCH(C2750,Produtos!$A$2:$A$71,0)),"")</f>
        <v/>
      </c>
      <c r="P2750" s="21">
        <f>IFERROR(INDEX(Produtos!$D$2:$D$71,MATCH(C2750,Produtos!$A$2:$A$71,0)),0)</f>
        <v/>
      </c>
      <c r="Q2750" s="21">
        <f>IFERROR(INDEX(Produtos!$E$2:$E$71,MATCH(C2750,Produtos!$A$2:$A$71,0)),0)</f>
        <v/>
      </c>
      <c r="R2750" s="23">
        <f>D2750*Q2750</f>
        <v/>
      </c>
      <c r="S2750" s="23">
        <f>R2750*E2750</f>
        <v/>
      </c>
      <c r="T2750" s="23">
        <f>(R2750-S2750)*M2750</f>
        <v/>
      </c>
      <c r="U2750" s="23">
        <f>R2750-S2750-T2750</f>
        <v/>
      </c>
      <c r="V2750" s="23">
        <f>D2750*P2750</f>
        <v/>
      </c>
      <c r="W2750" s="23">
        <f>U2750-V2750</f>
        <v/>
      </c>
      <c r="X2750" s="24">
        <f>IFERROR(W2750/U2750,0)</f>
        <v/>
      </c>
    </row>
    <row r="2751">
      <c r="A2751" s="25">
        <f>ItensPedido!A2751</f>
        <v/>
      </c>
      <c r="B2751" s="25">
        <f>ItensPedido!B2751</f>
        <v/>
      </c>
      <c r="C2751" s="25">
        <f>ItensPedido!C2751</f>
        <v/>
      </c>
      <c r="D2751" s="25">
        <f>ItensPedido!D2751</f>
        <v/>
      </c>
      <c r="E2751" s="26">
        <f>ItensPedido!E2751</f>
        <v/>
      </c>
      <c r="F2751" s="25">
        <f>IFERROR(INDEX(Pedidos!$B$2:$B$1801,MATCH(B2751,Pedidos!$A$2:$A$1801,0)),0)</f>
        <v/>
      </c>
      <c r="G2751" s="25">
        <f>IF(F2751=0,"",YEAR(F2751))</f>
        <v/>
      </c>
      <c r="H2751" s="25">
        <f>IF(F2751=0,"",MONTH(F2751))</f>
        <v/>
      </c>
      <c r="I2751" s="25">
        <f>IFERROR(INDEX(Pedidos!$E$2:$E$1801,MATCH(B2751,Pedidos!$A$2:$A$1801,0)),"")</f>
        <v/>
      </c>
      <c r="J2751" s="25">
        <f>IFERROR(INDEX(Pedidos!$C$2:$C$1801,MATCH(B2751,Pedidos!$A$2:$A$1801,0)),"")</f>
        <v/>
      </c>
      <c r="K2751" s="25">
        <f>IFERROR(INDEX(Pedidos!$D$2:$D$1801,MATCH(B2751,Pedidos!$A$2:$A$1801,0)),"")</f>
        <v/>
      </c>
      <c r="L2751" s="25">
        <f>IFERROR(INDEX(Pedidos!$F$2:$F$1801,MATCH(B2751,Pedidos!$A$2:$A$1801,0)),"")</f>
        <v/>
      </c>
      <c r="M2751" s="26">
        <f>IFERROR(INDEX(Pedidos!$G$2:$G$1801,MATCH(B2751,Pedidos!$A$2:$A$1801,0)),0)</f>
        <v/>
      </c>
      <c r="N2751" s="25">
        <f>IFERROR(INDEX(Produtos!$B$2:$B$71,MATCH(C2751,Produtos!$A$2:$A$71,0)),"")</f>
        <v/>
      </c>
      <c r="O2751" s="25">
        <f>IFERROR(INDEX(Produtos!$C$2:$C$71,MATCH(C2751,Produtos!$A$2:$A$71,0)),"")</f>
        <v/>
      </c>
      <c r="P2751" s="25">
        <f>IFERROR(INDEX(Produtos!$D$2:$D$71,MATCH(C2751,Produtos!$A$2:$A$71,0)),0)</f>
        <v/>
      </c>
      <c r="Q2751" s="25">
        <f>IFERROR(INDEX(Produtos!$E$2:$E$71,MATCH(C2751,Produtos!$A$2:$A$71,0)),0)</f>
        <v/>
      </c>
      <c r="R2751" s="27">
        <f>D2751*Q2751</f>
        <v/>
      </c>
      <c r="S2751" s="27">
        <f>R2751*E2751</f>
        <v/>
      </c>
      <c r="T2751" s="27">
        <f>(R2751-S2751)*M2751</f>
        <v/>
      </c>
      <c r="U2751" s="27">
        <f>R2751-S2751-T2751</f>
        <v/>
      </c>
      <c r="V2751" s="27">
        <f>D2751*P2751</f>
        <v/>
      </c>
      <c r="W2751" s="27">
        <f>U2751-V2751</f>
        <v/>
      </c>
      <c r="X2751" s="28">
        <f>IFERROR(W2751/U2751,0)</f>
        <v/>
      </c>
    </row>
    <row r="2752">
      <c r="A2752" s="21">
        <f>ItensPedido!A2752</f>
        <v/>
      </c>
      <c r="B2752" s="21">
        <f>ItensPedido!B2752</f>
        <v/>
      </c>
      <c r="C2752" s="21">
        <f>ItensPedido!C2752</f>
        <v/>
      </c>
      <c r="D2752" s="21">
        <f>ItensPedido!D2752</f>
        <v/>
      </c>
      <c r="E2752" s="22">
        <f>ItensPedido!E2752</f>
        <v/>
      </c>
      <c r="F2752" s="21">
        <f>IFERROR(INDEX(Pedidos!$B$2:$B$1801,MATCH(B2752,Pedidos!$A$2:$A$1801,0)),0)</f>
        <v/>
      </c>
      <c r="G2752" s="21">
        <f>IF(F2752=0,"",YEAR(F2752))</f>
        <v/>
      </c>
      <c r="H2752" s="21">
        <f>IF(F2752=0,"",MONTH(F2752))</f>
        <v/>
      </c>
      <c r="I2752" s="21">
        <f>IFERROR(INDEX(Pedidos!$E$2:$E$1801,MATCH(B2752,Pedidos!$A$2:$A$1801,0)),"")</f>
        <v/>
      </c>
      <c r="J2752" s="21">
        <f>IFERROR(INDEX(Pedidos!$C$2:$C$1801,MATCH(B2752,Pedidos!$A$2:$A$1801,0)),"")</f>
        <v/>
      </c>
      <c r="K2752" s="21">
        <f>IFERROR(INDEX(Pedidos!$D$2:$D$1801,MATCH(B2752,Pedidos!$A$2:$A$1801,0)),"")</f>
        <v/>
      </c>
      <c r="L2752" s="21">
        <f>IFERROR(INDEX(Pedidos!$F$2:$F$1801,MATCH(B2752,Pedidos!$A$2:$A$1801,0)),"")</f>
        <v/>
      </c>
      <c r="M2752" s="22">
        <f>IFERROR(INDEX(Pedidos!$G$2:$G$1801,MATCH(B2752,Pedidos!$A$2:$A$1801,0)),0)</f>
        <v/>
      </c>
      <c r="N2752" s="21">
        <f>IFERROR(INDEX(Produtos!$B$2:$B$71,MATCH(C2752,Produtos!$A$2:$A$71,0)),"")</f>
        <v/>
      </c>
      <c r="O2752" s="21">
        <f>IFERROR(INDEX(Produtos!$C$2:$C$71,MATCH(C2752,Produtos!$A$2:$A$71,0)),"")</f>
        <v/>
      </c>
      <c r="P2752" s="21">
        <f>IFERROR(INDEX(Produtos!$D$2:$D$71,MATCH(C2752,Produtos!$A$2:$A$71,0)),0)</f>
        <v/>
      </c>
      <c r="Q2752" s="21">
        <f>IFERROR(INDEX(Produtos!$E$2:$E$71,MATCH(C2752,Produtos!$A$2:$A$71,0)),0)</f>
        <v/>
      </c>
      <c r="R2752" s="23">
        <f>D2752*Q2752</f>
        <v/>
      </c>
      <c r="S2752" s="23">
        <f>R2752*E2752</f>
        <v/>
      </c>
      <c r="T2752" s="23">
        <f>(R2752-S2752)*M2752</f>
        <v/>
      </c>
      <c r="U2752" s="23">
        <f>R2752-S2752-T2752</f>
        <v/>
      </c>
      <c r="V2752" s="23">
        <f>D2752*P2752</f>
        <v/>
      </c>
      <c r="W2752" s="23">
        <f>U2752-V2752</f>
        <v/>
      </c>
      <c r="X2752" s="24">
        <f>IFERROR(W2752/U2752,0)</f>
        <v/>
      </c>
    </row>
    <row r="2753">
      <c r="A2753" s="25">
        <f>ItensPedido!A2753</f>
        <v/>
      </c>
      <c r="B2753" s="25">
        <f>ItensPedido!B2753</f>
        <v/>
      </c>
      <c r="C2753" s="25">
        <f>ItensPedido!C2753</f>
        <v/>
      </c>
      <c r="D2753" s="25">
        <f>ItensPedido!D2753</f>
        <v/>
      </c>
      <c r="E2753" s="26">
        <f>ItensPedido!E2753</f>
        <v/>
      </c>
      <c r="F2753" s="25">
        <f>IFERROR(INDEX(Pedidos!$B$2:$B$1801,MATCH(B2753,Pedidos!$A$2:$A$1801,0)),0)</f>
        <v/>
      </c>
      <c r="G2753" s="25">
        <f>IF(F2753=0,"",YEAR(F2753))</f>
        <v/>
      </c>
      <c r="H2753" s="25">
        <f>IF(F2753=0,"",MONTH(F2753))</f>
        <v/>
      </c>
      <c r="I2753" s="25">
        <f>IFERROR(INDEX(Pedidos!$E$2:$E$1801,MATCH(B2753,Pedidos!$A$2:$A$1801,0)),"")</f>
        <v/>
      </c>
      <c r="J2753" s="25">
        <f>IFERROR(INDEX(Pedidos!$C$2:$C$1801,MATCH(B2753,Pedidos!$A$2:$A$1801,0)),"")</f>
        <v/>
      </c>
      <c r="K2753" s="25">
        <f>IFERROR(INDEX(Pedidos!$D$2:$D$1801,MATCH(B2753,Pedidos!$A$2:$A$1801,0)),"")</f>
        <v/>
      </c>
      <c r="L2753" s="25">
        <f>IFERROR(INDEX(Pedidos!$F$2:$F$1801,MATCH(B2753,Pedidos!$A$2:$A$1801,0)),"")</f>
        <v/>
      </c>
      <c r="M2753" s="26">
        <f>IFERROR(INDEX(Pedidos!$G$2:$G$1801,MATCH(B2753,Pedidos!$A$2:$A$1801,0)),0)</f>
        <v/>
      </c>
      <c r="N2753" s="25">
        <f>IFERROR(INDEX(Produtos!$B$2:$B$71,MATCH(C2753,Produtos!$A$2:$A$71,0)),"")</f>
        <v/>
      </c>
      <c r="O2753" s="25">
        <f>IFERROR(INDEX(Produtos!$C$2:$C$71,MATCH(C2753,Produtos!$A$2:$A$71,0)),"")</f>
        <v/>
      </c>
      <c r="P2753" s="25">
        <f>IFERROR(INDEX(Produtos!$D$2:$D$71,MATCH(C2753,Produtos!$A$2:$A$71,0)),0)</f>
        <v/>
      </c>
      <c r="Q2753" s="25">
        <f>IFERROR(INDEX(Produtos!$E$2:$E$71,MATCH(C2753,Produtos!$A$2:$A$71,0)),0)</f>
        <v/>
      </c>
      <c r="R2753" s="27">
        <f>D2753*Q2753</f>
        <v/>
      </c>
      <c r="S2753" s="27">
        <f>R2753*E2753</f>
        <v/>
      </c>
      <c r="T2753" s="27">
        <f>(R2753-S2753)*M2753</f>
        <v/>
      </c>
      <c r="U2753" s="27">
        <f>R2753-S2753-T2753</f>
        <v/>
      </c>
      <c r="V2753" s="27">
        <f>D2753*P2753</f>
        <v/>
      </c>
      <c r="W2753" s="27">
        <f>U2753-V2753</f>
        <v/>
      </c>
      <c r="X2753" s="28">
        <f>IFERROR(W2753/U2753,0)</f>
        <v/>
      </c>
    </row>
    <row r="2754">
      <c r="A2754" s="21">
        <f>ItensPedido!A2754</f>
        <v/>
      </c>
      <c r="B2754" s="21">
        <f>ItensPedido!B2754</f>
        <v/>
      </c>
      <c r="C2754" s="21">
        <f>ItensPedido!C2754</f>
        <v/>
      </c>
      <c r="D2754" s="21">
        <f>ItensPedido!D2754</f>
        <v/>
      </c>
      <c r="E2754" s="22">
        <f>ItensPedido!E2754</f>
        <v/>
      </c>
      <c r="F2754" s="21">
        <f>IFERROR(INDEX(Pedidos!$B$2:$B$1801,MATCH(B2754,Pedidos!$A$2:$A$1801,0)),0)</f>
        <v/>
      </c>
      <c r="G2754" s="21">
        <f>IF(F2754=0,"",YEAR(F2754))</f>
        <v/>
      </c>
      <c r="H2754" s="21">
        <f>IF(F2754=0,"",MONTH(F2754))</f>
        <v/>
      </c>
      <c r="I2754" s="21">
        <f>IFERROR(INDEX(Pedidos!$E$2:$E$1801,MATCH(B2754,Pedidos!$A$2:$A$1801,0)),"")</f>
        <v/>
      </c>
      <c r="J2754" s="21">
        <f>IFERROR(INDEX(Pedidos!$C$2:$C$1801,MATCH(B2754,Pedidos!$A$2:$A$1801,0)),"")</f>
        <v/>
      </c>
      <c r="K2754" s="21">
        <f>IFERROR(INDEX(Pedidos!$D$2:$D$1801,MATCH(B2754,Pedidos!$A$2:$A$1801,0)),"")</f>
        <v/>
      </c>
      <c r="L2754" s="21">
        <f>IFERROR(INDEX(Pedidos!$F$2:$F$1801,MATCH(B2754,Pedidos!$A$2:$A$1801,0)),"")</f>
        <v/>
      </c>
      <c r="M2754" s="22">
        <f>IFERROR(INDEX(Pedidos!$G$2:$G$1801,MATCH(B2754,Pedidos!$A$2:$A$1801,0)),0)</f>
        <v/>
      </c>
      <c r="N2754" s="21">
        <f>IFERROR(INDEX(Produtos!$B$2:$B$71,MATCH(C2754,Produtos!$A$2:$A$71,0)),"")</f>
        <v/>
      </c>
      <c r="O2754" s="21">
        <f>IFERROR(INDEX(Produtos!$C$2:$C$71,MATCH(C2754,Produtos!$A$2:$A$71,0)),"")</f>
        <v/>
      </c>
      <c r="P2754" s="21">
        <f>IFERROR(INDEX(Produtos!$D$2:$D$71,MATCH(C2754,Produtos!$A$2:$A$71,0)),0)</f>
        <v/>
      </c>
      <c r="Q2754" s="21">
        <f>IFERROR(INDEX(Produtos!$E$2:$E$71,MATCH(C2754,Produtos!$A$2:$A$71,0)),0)</f>
        <v/>
      </c>
      <c r="R2754" s="23">
        <f>D2754*Q2754</f>
        <v/>
      </c>
      <c r="S2754" s="23">
        <f>R2754*E2754</f>
        <v/>
      </c>
      <c r="T2754" s="23">
        <f>(R2754-S2754)*M2754</f>
        <v/>
      </c>
      <c r="U2754" s="23">
        <f>R2754-S2754-T2754</f>
        <v/>
      </c>
      <c r="V2754" s="23">
        <f>D2754*P2754</f>
        <v/>
      </c>
      <c r="W2754" s="23">
        <f>U2754-V2754</f>
        <v/>
      </c>
      <c r="X2754" s="24">
        <f>IFERROR(W2754/U2754,0)</f>
        <v/>
      </c>
    </row>
    <row r="2755">
      <c r="A2755" s="25">
        <f>ItensPedido!A2755</f>
        <v/>
      </c>
      <c r="B2755" s="25">
        <f>ItensPedido!B2755</f>
        <v/>
      </c>
      <c r="C2755" s="25">
        <f>ItensPedido!C2755</f>
        <v/>
      </c>
      <c r="D2755" s="25">
        <f>ItensPedido!D2755</f>
        <v/>
      </c>
      <c r="E2755" s="26">
        <f>ItensPedido!E2755</f>
        <v/>
      </c>
      <c r="F2755" s="25">
        <f>IFERROR(INDEX(Pedidos!$B$2:$B$1801,MATCH(B2755,Pedidos!$A$2:$A$1801,0)),0)</f>
        <v/>
      </c>
      <c r="G2755" s="25">
        <f>IF(F2755=0,"",YEAR(F2755))</f>
        <v/>
      </c>
      <c r="H2755" s="25">
        <f>IF(F2755=0,"",MONTH(F2755))</f>
        <v/>
      </c>
      <c r="I2755" s="25">
        <f>IFERROR(INDEX(Pedidos!$E$2:$E$1801,MATCH(B2755,Pedidos!$A$2:$A$1801,0)),"")</f>
        <v/>
      </c>
      <c r="J2755" s="25">
        <f>IFERROR(INDEX(Pedidos!$C$2:$C$1801,MATCH(B2755,Pedidos!$A$2:$A$1801,0)),"")</f>
        <v/>
      </c>
      <c r="K2755" s="25">
        <f>IFERROR(INDEX(Pedidos!$D$2:$D$1801,MATCH(B2755,Pedidos!$A$2:$A$1801,0)),"")</f>
        <v/>
      </c>
      <c r="L2755" s="25">
        <f>IFERROR(INDEX(Pedidos!$F$2:$F$1801,MATCH(B2755,Pedidos!$A$2:$A$1801,0)),"")</f>
        <v/>
      </c>
      <c r="M2755" s="26">
        <f>IFERROR(INDEX(Pedidos!$G$2:$G$1801,MATCH(B2755,Pedidos!$A$2:$A$1801,0)),0)</f>
        <v/>
      </c>
      <c r="N2755" s="25">
        <f>IFERROR(INDEX(Produtos!$B$2:$B$71,MATCH(C2755,Produtos!$A$2:$A$71,0)),"")</f>
        <v/>
      </c>
      <c r="O2755" s="25">
        <f>IFERROR(INDEX(Produtos!$C$2:$C$71,MATCH(C2755,Produtos!$A$2:$A$71,0)),"")</f>
        <v/>
      </c>
      <c r="P2755" s="25">
        <f>IFERROR(INDEX(Produtos!$D$2:$D$71,MATCH(C2755,Produtos!$A$2:$A$71,0)),0)</f>
        <v/>
      </c>
      <c r="Q2755" s="25">
        <f>IFERROR(INDEX(Produtos!$E$2:$E$71,MATCH(C2755,Produtos!$A$2:$A$71,0)),0)</f>
        <v/>
      </c>
      <c r="R2755" s="27">
        <f>D2755*Q2755</f>
        <v/>
      </c>
      <c r="S2755" s="27">
        <f>R2755*E2755</f>
        <v/>
      </c>
      <c r="T2755" s="27">
        <f>(R2755-S2755)*M2755</f>
        <v/>
      </c>
      <c r="U2755" s="27">
        <f>R2755-S2755-T2755</f>
        <v/>
      </c>
      <c r="V2755" s="27">
        <f>D2755*P2755</f>
        <v/>
      </c>
      <c r="W2755" s="27">
        <f>U2755-V2755</f>
        <v/>
      </c>
      <c r="X2755" s="28">
        <f>IFERROR(W2755/U2755,0)</f>
        <v/>
      </c>
    </row>
    <row r="2756">
      <c r="A2756" s="21">
        <f>ItensPedido!A2756</f>
        <v/>
      </c>
      <c r="B2756" s="21">
        <f>ItensPedido!B2756</f>
        <v/>
      </c>
      <c r="C2756" s="21">
        <f>ItensPedido!C2756</f>
        <v/>
      </c>
      <c r="D2756" s="21">
        <f>ItensPedido!D2756</f>
        <v/>
      </c>
      <c r="E2756" s="22">
        <f>ItensPedido!E2756</f>
        <v/>
      </c>
      <c r="F2756" s="21">
        <f>IFERROR(INDEX(Pedidos!$B$2:$B$1801,MATCH(B2756,Pedidos!$A$2:$A$1801,0)),0)</f>
        <v/>
      </c>
      <c r="G2756" s="21">
        <f>IF(F2756=0,"",YEAR(F2756))</f>
        <v/>
      </c>
      <c r="H2756" s="21">
        <f>IF(F2756=0,"",MONTH(F2756))</f>
        <v/>
      </c>
      <c r="I2756" s="21">
        <f>IFERROR(INDEX(Pedidos!$E$2:$E$1801,MATCH(B2756,Pedidos!$A$2:$A$1801,0)),"")</f>
        <v/>
      </c>
      <c r="J2756" s="21">
        <f>IFERROR(INDEX(Pedidos!$C$2:$C$1801,MATCH(B2756,Pedidos!$A$2:$A$1801,0)),"")</f>
        <v/>
      </c>
      <c r="K2756" s="21">
        <f>IFERROR(INDEX(Pedidos!$D$2:$D$1801,MATCH(B2756,Pedidos!$A$2:$A$1801,0)),"")</f>
        <v/>
      </c>
      <c r="L2756" s="21">
        <f>IFERROR(INDEX(Pedidos!$F$2:$F$1801,MATCH(B2756,Pedidos!$A$2:$A$1801,0)),"")</f>
        <v/>
      </c>
      <c r="M2756" s="22">
        <f>IFERROR(INDEX(Pedidos!$G$2:$G$1801,MATCH(B2756,Pedidos!$A$2:$A$1801,0)),0)</f>
        <v/>
      </c>
      <c r="N2756" s="21">
        <f>IFERROR(INDEX(Produtos!$B$2:$B$71,MATCH(C2756,Produtos!$A$2:$A$71,0)),"")</f>
        <v/>
      </c>
      <c r="O2756" s="21">
        <f>IFERROR(INDEX(Produtos!$C$2:$C$71,MATCH(C2756,Produtos!$A$2:$A$71,0)),"")</f>
        <v/>
      </c>
      <c r="P2756" s="21">
        <f>IFERROR(INDEX(Produtos!$D$2:$D$71,MATCH(C2756,Produtos!$A$2:$A$71,0)),0)</f>
        <v/>
      </c>
      <c r="Q2756" s="21">
        <f>IFERROR(INDEX(Produtos!$E$2:$E$71,MATCH(C2756,Produtos!$A$2:$A$71,0)),0)</f>
        <v/>
      </c>
      <c r="R2756" s="23">
        <f>D2756*Q2756</f>
        <v/>
      </c>
      <c r="S2756" s="23">
        <f>R2756*E2756</f>
        <v/>
      </c>
      <c r="T2756" s="23">
        <f>(R2756-S2756)*M2756</f>
        <v/>
      </c>
      <c r="U2756" s="23">
        <f>R2756-S2756-T2756</f>
        <v/>
      </c>
      <c r="V2756" s="23">
        <f>D2756*P2756</f>
        <v/>
      </c>
      <c r="W2756" s="23">
        <f>U2756-V2756</f>
        <v/>
      </c>
      <c r="X2756" s="24">
        <f>IFERROR(W2756/U2756,0)</f>
        <v/>
      </c>
    </row>
    <row r="2757">
      <c r="A2757" s="25">
        <f>ItensPedido!A2757</f>
        <v/>
      </c>
      <c r="B2757" s="25">
        <f>ItensPedido!B2757</f>
        <v/>
      </c>
      <c r="C2757" s="25">
        <f>ItensPedido!C2757</f>
        <v/>
      </c>
      <c r="D2757" s="25">
        <f>ItensPedido!D2757</f>
        <v/>
      </c>
      <c r="E2757" s="26">
        <f>ItensPedido!E2757</f>
        <v/>
      </c>
      <c r="F2757" s="25">
        <f>IFERROR(INDEX(Pedidos!$B$2:$B$1801,MATCH(B2757,Pedidos!$A$2:$A$1801,0)),0)</f>
        <v/>
      </c>
      <c r="G2757" s="25">
        <f>IF(F2757=0,"",YEAR(F2757))</f>
        <v/>
      </c>
      <c r="H2757" s="25">
        <f>IF(F2757=0,"",MONTH(F2757))</f>
        <v/>
      </c>
      <c r="I2757" s="25">
        <f>IFERROR(INDEX(Pedidos!$E$2:$E$1801,MATCH(B2757,Pedidos!$A$2:$A$1801,0)),"")</f>
        <v/>
      </c>
      <c r="J2757" s="25">
        <f>IFERROR(INDEX(Pedidos!$C$2:$C$1801,MATCH(B2757,Pedidos!$A$2:$A$1801,0)),"")</f>
        <v/>
      </c>
      <c r="K2757" s="25">
        <f>IFERROR(INDEX(Pedidos!$D$2:$D$1801,MATCH(B2757,Pedidos!$A$2:$A$1801,0)),"")</f>
        <v/>
      </c>
      <c r="L2757" s="25">
        <f>IFERROR(INDEX(Pedidos!$F$2:$F$1801,MATCH(B2757,Pedidos!$A$2:$A$1801,0)),"")</f>
        <v/>
      </c>
      <c r="M2757" s="26">
        <f>IFERROR(INDEX(Pedidos!$G$2:$G$1801,MATCH(B2757,Pedidos!$A$2:$A$1801,0)),0)</f>
        <v/>
      </c>
      <c r="N2757" s="25">
        <f>IFERROR(INDEX(Produtos!$B$2:$B$71,MATCH(C2757,Produtos!$A$2:$A$71,0)),"")</f>
        <v/>
      </c>
      <c r="O2757" s="25">
        <f>IFERROR(INDEX(Produtos!$C$2:$C$71,MATCH(C2757,Produtos!$A$2:$A$71,0)),"")</f>
        <v/>
      </c>
      <c r="P2757" s="25">
        <f>IFERROR(INDEX(Produtos!$D$2:$D$71,MATCH(C2757,Produtos!$A$2:$A$71,0)),0)</f>
        <v/>
      </c>
      <c r="Q2757" s="25">
        <f>IFERROR(INDEX(Produtos!$E$2:$E$71,MATCH(C2757,Produtos!$A$2:$A$71,0)),0)</f>
        <v/>
      </c>
      <c r="R2757" s="27">
        <f>D2757*Q2757</f>
        <v/>
      </c>
      <c r="S2757" s="27">
        <f>R2757*E2757</f>
        <v/>
      </c>
      <c r="T2757" s="27">
        <f>(R2757-S2757)*M2757</f>
        <v/>
      </c>
      <c r="U2757" s="27">
        <f>R2757-S2757-T2757</f>
        <v/>
      </c>
      <c r="V2757" s="27">
        <f>D2757*P2757</f>
        <v/>
      </c>
      <c r="W2757" s="27">
        <f>U2757-V2757</f>
        <v/>
      </c>
      <c r="X2757" s="28">
        <f>IFERROR(W2757/U2757,0)</f>
        <v/>
      </c>
    </row>
    <row r="2758">
      <c r="A2758" s="21">
        <f>ItensPedido!A2758</f>
        <v/>
      </c>
      <c r="B2758" s="21">
        <f>ItensPedido!B2758</f>
        <v/>
      </c>
      <c r="C2758" s="21">
        <f>ItensPedido!C2758</f>
        <v/>
      </c>
      <c r="D2758" s="21">
        <f>ItensPedido!D2758</f>
        <v/>
      </c>
      <c r="E2758" s="22">
        <f>ItensPedido!E2758</f>
        <v/>
      </c>
      <c r="F2758" s="21">
        <f>IFERROR(INDEX(Pedidos!$B$2:$B$1801,MATCH(B2758,Pedidos!$A$2:$A$1801,0)),0)</f>
        <v/>
      </c>
      <c r="G2758" s="21">
        <f>IF(F2758=0,"",YEAR(F2758))</f>
        <v/>
      </c>
      <c r="H2758" s="21">
        <f>IF(F2758=0,"",MONTH(F2758))</f>
        <v/>
      </c>
      <c r="I2758" s="21">
        <f>IFERROR(INDEX(Pedidos!$E$2:$E$1801,MATCH(B2758,Pedidos!$A$2:$A$1801,0)),"")</f>
        <v/>
      </c>
      <c r="J2758" s="21">
        <f>IFERROR(INDEX(Pedidos!$C$2:$C$1801,MATCH(B2758,Pedidos!$A$2:$A$1801,0)),"")</f>
        <v/>
      </c>
      <c r="K2758" s="21">
        <f>IFERROR(INDEX(Pedidos!$D$2:$D$1801,MATCH(B2758,Pedidos!$A$2:$A$1801,0)),"")</f>
        <v/>
      </c>
      <c r="L2758" s="21">
        <f>IFERROR(INDEX(Pedidos!$F$2:$F$1801,MATCH(B2758,Pedidos!$A$2:$A$1801,0)),"")</f>
        <v/>
      </c>
      <c r="M2758" s="22">
        <f>IFERROR(INDEX(Pedidos!$G$2:$G$1801,MATCH(B2758,Pedidos!$A$2:$A$1801,0)),0)</f>
        <v/>
      </c>
      <c r="N2758" s="21">
        <f>IFERROR(INDEX(Produtos!$B$2:$B$71,MATCH(C2758,Produtos!$A$2:$A$71,0)),"")</f>
        <v/>
      </c>
      <c r="O2758" s="21">
        <f>IFERROR(INDEX(Produtos!$C$2:$C$71,MATCH(C2758,Produtos!$A$2:$A$71,0)),"")</f>
        <v/>
      </c>
      <c r="P2758" s="21">
        <f>IFERROR(INDEX(Produtos!$D$2:$D$71,MATCH(C2758,Produtos!$A$2:$A$71,0)),0)</f>
        <v/>
      </c>
      <c r="Q2758" s="21">
        <f>IFERROR(INDEX(Produtos!$E$2:$E$71,MATCH(C2758,Produtos!$A$2:$A$71,0)),0)</f>
        <v/>
      </c>
      <c r="R2758" s="23">
        <f>D2758*Q2758</f>
        <v/>
      </c>
      <c r="S2758" s="23">
        <f>R2758*E2758</f>
        <v/>
      </c>
      <c r="T2758" s="23">
        <f>(R2758-S2758)*M2758</f>
        <v/>
      </c>
      <c r="U2758" s="23">
        <f>R2758-S2758-T2758</f>
        <v/>
      </c>
      <c r="V2758" s="23">
        <f>D2758*P2758</f>
        <v/>
      </c>
      <c r="W2758" s="23">
        <f>U2758-V2758</f>
        <v/>
      </c>
      <c r="X2758" s="24">
        <f>IFERROR(W2758/U2758,0)</f>
        <v/>
      </c>
    </row>
    <row r="2759">
      <c r="A2759" s="25">
        <f>ItensPedido!A2759</f>
        <v/>
      </c>
      <c r="B2759" s="25">
        <f>ItensPedido!B2759</f>
        <v/>
      </c>
      <c r="C2759" s="25">
        <f>ItensPedido!C2759</f>
        <v/>
      </c>
      <c r="D2759" s="25">
        <f>ItensPedido!D2759</f>
        <v/>
      </c>
      <c r="E2759" s="26">
        <f>ItensPedido!E2759</f>
        <v/>
      </c>
      <c r="F2759" s="25">
        <f>IFERROR(INDEX(Pedidos!$B$2:$B$1801,MATCH(B2759,Pedidos!$A$2:$A$1801,0)),0)</f>
        <v/>
      </c>
      <c r="G2759" s="25">
        <f>IF(F2759=0,"",YEAR(F2759))</f>
        <v/>
      </c>
      <c r="H2759" s="25">
        <f>IF(F2759=0,"",MONTH(F2759))</f>
        <v/>
      </c>
      <c r="I2759" s="25">
        <f>IFERROR(INDEX(Pedidos!$E$2:$E$1801,MATCH(B2759,Pedidos!$A$2:$A$1801,0)),"")</f>
        <v/>
      </c>
      <c r="J2759" s="25">
        <f>IFERROR(INDEX(Pedidos!$C$2:$C$1801,MATCH(B2759,Pedidos!$A$2:$A$1801,0)),"")</f>
        <v/>
      </c>
      <c r="K2759" s="25">
        <f>IFERROR(INDEX(Pedidos!$D$2:$D$1801,MATCH(B2759,Pedidos!$A$2:$A$1801,0)),"")</f>
        <v/>
      </c>
      <c r="L2759" s="25">
        <f>IFERROR(INDEX(Pedidos!$F$2:$F$1801,MATCH(B2759,Pedidos!$A$2:$A$1801,0)),"")</f>
        <v/>
      </c>
      <c r="M2759" s="26">
        <f>IFERROR(INDEX(Pedidos!$G$2:$G$1801,MATCH(B2759,Pedidos!$A$2:$A$1801,0)),0)</f>
        <v/>
      </c>
      <c r="N2759" s="25">
        <f>IFERROR(INDEX(Produtos!$B$2:$B$71,MATCH(C2759,Produtos!$A$2:$A$71,0)),"")</f>
        <v/>
      </c>
      <c r="O2759" s="25">
        <f>IFERROR(INDEX(Produtos!$C$2:$C$71,MATCH(C2759,Produtos!$A$2:$A$71,0)),"")</f>
        <v/>
      </c>
      <c r="P2759" s="25">
        <f>IFERROR(INDEX(Produtos!$D$2:$D$71,MATCH(C2759,Produtos!$A$2:$A$71,0)),0)</f>
        <v/>
      </c>
      <c r="Q2759" s="25">
        <f>IFERROR(INDEX(Produtos!$E$2:$E$71,MATCH(C2759,Produtos!$A$2:$A$71,0)),0)</f>
        <v/>
      </c>
      <c r="R2759" s="27">
        <f>D2759*Q2759</f>
        <v/>
      </c>
      <c r="S2759" s="27">
        <f>R2759*E2759</f>
        <v/>
      </c>
      <c r="T2759" s="27">
        <f>(R2759-S2759)*M2759</f>
        <v/>
      </c>
      <c r="U2759" s="27">
        <f>R2759-S2759-T2759</f>
        <v/>
      </c>
      <c r="V2759" s="27">
        <f>D2759*P2759</f>
        <v/>
      </c>
      <c r="W2759" s="27">
        <f>U2759-V2759</f>
        <v/>
      </c>
      <c r="X2759" s="28">
        <f>IFERROR(W2759/U2759,0)</f>
        <v/>
      </c>
    </row>
    <row r="2760">
      <c r="A2760" s="21">
        <f>ItensPedido!A2760</f>
        <v/>
      </c>
      <c r="B2760" s="21">
        <f>ItensPedido!B2760</f>
        <v/>
      </c>
      <c r="C2760" s="21">
        <f>ItensPedido!C2760</f>
        <v/>
      </c>
      <c r="D2760" s="21">
        <f>ItensPedido!D2760</f>
        <v/>
      </c>
      <c r="E2760" s="22">
        <f>ItensPedido!E2760</f>
        <v/>
      </c>
      <c r="F2760" s="21">
        <f>IFERROR(INDEX(Pedidos!$B$2:$B$1801,MATCH(B2760,Pedidos!$A$2:$A$1801,0)),0)</f>
        <v/>
      </c>
      <c r="G2760" s="21">
        <f>IF(F2760=0,"",YEAR(F2760))</f>
        <v/>
      </c>
      <c r="H2760" s="21">
        <f>IF(F2760=0,"",MONTH(F2760))</f>
        <v/>
      </c>
      <c r="I2760" s="21">
        <f>IFERROR(INDEX(Pedidos!$E$2:$E$1801,MATCH(B2760,Pedidos!$A$2:$A$1801,0)),"")</f>
        <v/>
      </c>
      <c r="J2760" s="21">
        <f>IFERROR(INDEX(Pedidos!$C$2:$C$1801,MATCH(B2760,Pedidos!$A$2:$A$1801,0)),"")</f>
        <v/>
      </c>
      <c r="K2760" s="21">
        <f>IFERROR(INDEX(Pedidos!$D$2:$D$1801,MATCH(B2760,Pedidos!$A$2:$A$1801,0)),"")</f>
        <v/>
      </c>
      <c r="L2760" s="21">
        <f>IFERROR(INDEX(Pedidos!$F$2:$F$1801,MATCH(B2760,Pedidos!$A$2:$A$1801,0)),"")</f>
        <v/>
      </c>
      <c r="M2760" s="22">
        <f>IFERROR(INDEX(Pedidos!$G$2:$G$1801,MATCH(B2760,Pedidos!$A$2:$A$1801,0)),0)</f>
        <v/>
      </c>
      <c r="N2760" s="21">
        <f>IFERROR(INDEX(Produtos!$B$2:$B$71,MATCH(C2760,Produtos!$A$2:$A$71,0)),"")</f>
        <v/>
      </c>
      <c r="O2760" s="21">
        <f>IFERROR(INDEX(Produtos!$C$2:$C$71,MATCH(C2760,Produtos!$A$2:$A$71,0)),"")</f>
        <v/>
      </c>
      <c r="P2760" s="21">
        <f>IFERROR(INDEX(Produtos!$D$2:$D$71,MATCH(C2760,Produtos!$A$2:$A$71,0)),0)</f>
        <v/>
      </c>
      <c r="Q2760" s="21">
        <f>IFERROR(INDEX(Produtos!$E$2:$E$71,MATCH(C2760,Produtos!$A$2:$A$71,0)),0)</f>
        <v/>
      </c>
      <c r="R2760" s="23">
        <f>D2760*Q2760</f>
        <v/>
      </c>
      <c r="S2760" s="23">
        <f>R2760*E2760</f>
        <v/>
      </c>
      <c r="T2760" s="23">
        <f>(R2760-S2760)*M2760</f>
        <v/>
      </c>
      <c r="U2760" s="23">
        <f>R2760-S2760-T2760</f>
        <v/>
      </c>
      <c r="V2760" s="23">
        <f>D2760*P2760</f>
        <v/>
      </c>
      <c r="W2760" s="23">
        <f>U2760-V2760</f>
        <v/>
      </c>
      <c r="X2760" s="24">
        <f>IFERROR(W2760/U2760,0)</f>
        <v/>
      </c>
    </row>
    <row r="2761">
      <c r="A2761" s="25">
        <f>ItensPedido!A2761</f>
        <v/>
      </c>
      <c r="B2761" s="25">
        <f>ItensPedido!B2761</f>
        <v/>
      </c>
      <c r="C2761" s="25">
        <f>ItensPedido!C2761</f>
        <v/>
      </c>
      <c r="D2761" s="25">
        <f>ItensPedido!D2761</f>
        <v/>
      </c>
      <c r="E2761" s="26">
        <f>ItensPedido!E2761</f>
        <v/>
      </c>
      <c r="F2761" s="25">
        <f>IFERROR(INDEX(Pedidos!$B$2:$B$1801,MATCH(B2761,Pedidos!$A$2:$A$1801,0)),0)</f>
        <v/>
      </c>
      <c r="G2761" s="25">
        <f>IF(F2761=0,"",YEAR(F2761))</f>
        <v/>
      </c>
      <c r="H2761" s="25">
        <f>IF(F2761=0,"",MONTH(F2761))</f>
        <v/>
      </c>
      <c r="I2761" s="25">
        <f>IFERROR(INDEX(Pedidos!$E$2:$E$1801,MATCH(B2761,Pedidos!$A$2:$A$1801,0)),"")</f>
        <v/>
      </c>
      <c r="J2761" s="25">
        <f>IFERROR(INDEX(Pedidos!$C$2:$C$1801,MATCH(B2761,Pedidos!$A$2:$A$1801,0)),"")</f>
        <v/>
      </c>
      <c r="K2761" s="25">
        <f>IFERROR(INDEX(Pedidos!$D$2:$D$1801,MATCH(B2761,Pedidos!$A$2:$A$1801,0)),"")</f>
        <v/>
      </c>
      <c r="L2761" s="25">
        <f>IFERROR(INDEX(Pedidos!$F$2:$F$1801,MATCH(B2761,Pedidos!$A$2:$A$1801,0)),"")</f>
        <v/>
      </c>
      <c r="M2761" s="26">
        <f>IFERROR(INDEX(Pedidos!$G$2:$G$1801,MATCH(B2761,Pedidos!$A$2:$A$1801,0)),0)</f>
        <v/>
      </c>
      <c r="N2761" s="25">
        <f>IFERROR(INDEX(Produtos!$B$2:$B$71,MATCH(C2761,Produtos!$A$2:$A$71,0)),"")</f>
        <v/>
      </c>
      <c r="O2761" s="25">
        <f>IFERROR(INDEX(Produtos!$C$2:$C$71,MATCH(C2761,Produtos!$A$2:$A$71,0)),"")</f>
        <v/>
      </c>
      <c r="P2761" s="25">
        <f>IFERROR(INDEX(Produtos!$D$2:$D$71,MATCH(C2761,Produtos!$A$2:$A$71,0)),0)</f>
        <v/>
      </c>
      <c r="Q2761" s="25">
        <f>IFERROR(INDEX(Produtos!$E$2:$E$71,MATCH(C2761,Produtos!$A$2:$A$71,0)),0)</f>
        <v/>
      </c>
      <c r="R2761" s="27">
        <f>D2761*Q2761</f>
        <v/>
      </c>
      <c r="S2761" s="27">
        <f>R2761*E2761</f>
        <v/>
      </c>
      <c r="T2761" s="27">
        <f>(R2761-S2761)*M2761</f>
        <v/>
      </c>
      <c r="U2761" s="27">
        <f>R2761-S2761-T2761</f>
        <v/>
      </c>
      <c r="V2761" s="27">
        <f>D2761*P2761</f>
        <v/>
      </c>
      <c r="W2761" s="27">
        <f>U2761-V2761</f>
        <v/>
      </c>
      <c r="X2761" s="28">
        <f>IFERROR(W2761/U2761,0)</f>
        <v/>
      </c>
    </row>
    <row r="2762">
      <c r="A2762" s="21">
        <f>ItensPedido!A2762</f>
        <v/>
      </c>
      <c r="B2762" s="21">
        <f>ItensPedido!B2762</f>
        <v/>
      </c>
      <c r="C2762" s="21">
        <f>ItensPedido!C2762</f>
        <v/>
      </c>
      <c r="D2762" s="21">
        <f>ItensPedido!D2762</f>
        <v/>
      </c>
      <c r="E2762" s="22">
        <f>ItensPedido!E2762</f>
        <v/>
      </c>
      <c r="F2762" s="21">
        <f>IFERROR(INDEX(Pedidos!$B$2:$B$1801,MATCH(B2762,Pedidos!$A$2:$A$1801,0)),0)</f>
        <v/>
      </c>
      <c r="G2762" s="21">
        <f>IF(F2762=0,"",YEAR(F2762))</f>
        <v/>
      </c>
      <c r="H2762" s="21">
        <f>IF(F2762=0,"",MONTH(F2762))</f>
        <v/>
      </c>
      <c r="I2762" s="21">
        <f>IFERROR(INDEX(Pedidos!$E$2:$E$1801,MATCH(B2762,Pedidos!$A$2:$A$1801,0)),"")</f>
        <v/>
      </c>
      <c r="J2762" s="21">
        <f>IFERROR(INDEX(Pedidos!$C$2:$C$1801,MATCH(B2762,Pedidos!$A$2:$A$1801,0)),"")</f>
        <v/>
      </c>
      <c r="K2762" s="21">
        <f>IFERROR(INDEX(Pedidos!$D$2:$D$1801,MATCH(B2762,Pedidos!$A$2:$A$1801,0)),"")</f>
        <v/>
      </c>
      <c r="L2762" s="21">
        <f>IFERROR(INDEX(Pedidos!$F$2:$F$1801,MATCH(B2762,Pedidos!$A$2:$A$1801,0)),"")</f>
        <v/>
      </c>
      <c r="M2762" s="22">
        <f>IFERROR(INDEX(Pedidos!$G$2:$G$1801,MATCH(B2762,Pedidos!$A$2:$A$1801,0)),0)</f>
        <v/>
      </c>
      <c r="N2762" s="21">
        <f>IFERROR(INDEX(Produtos!$B$2:$B$71,MATCH(C2762,Produtos!$A$2:$A$71,0)),"")</f>
        <v/>
      </c>
      <c r="O2762" s="21">
        <f>IFERROR(INDEX(Produtos!$C$2:$C$71,MATCH(C2762,Produtos!$A$2:$A$71,0)),"")</f>
        <v/>
      </c>
      <c r="P2762" s="21">
        <f>IFERROR(INDEX(Produtos!$D$2:$D$71,MATCH(C2762,Produtos!$A$2:$A$71,0)),0)</f>
        <v/>
      </c>
      <c r="Q2762" s="21">
        <f>IFERROR(INDEX(Produtos!$E$2:$E$71,MATCH(C2762,Produtos!$A$2:$A$71,0)),0)</f>
        <v/>
      </c>
      <c r="R2762" s="23">
        <f>D2762*Q2762</f>
        <v/>
      </c>
      <c r="S2762" s="23">
        <f>R2762*E2762</f>
        <v/>
      </c>
      <c r="T2762" s="23">
        <f>(R2762-S2762)*M2762</f>
        <v/>
      </c>
      <c r="U2762" s="23">
        <f>R2762-S2762-T2762</f>
        <v/>
      </c>
      <c r="V2762" s="23">
        <f>D2762*P2762</f>
        <v/>
      </c>
      <c r="W2762" s="23">
        <f>U2762-V2762</f>
        <v/>
      </c>
      <c r="X2762" s="24">
        <f>IFERROR(W2762/U2762,0)</f>
        <v/>
      </c>
    </row>
    <row r="2763">
      <c r="A2763" s="25">
        <f>ItensPedido!A2763</f>
        <v/>
      </c>
      <c r="B2763" s="25">
        <f>ItensPedido!B2763</f>
        <v/>
      </c>
      <c r="C2763" s="25">
        <f>ItensPedido!C2763</f>
        <v/>
      </c>
      <c r="D2763" s="25">
        <f>ItensPedido!D2763</f>
        <v/>
      </c>
      <c r="E2763" s="26">
        <f>ItensPedido!E2763</f>
        <v/>
      </c>
      <c r="F2763" s="25">
        <f>IFERROR(INDEX(Pedidos!$B$2:$B$1801,MATCH(B2763,Pedidos!$A$2:$A$1801,0)),0)</f>
        <v/>
      </c>
      <c r="G2763" s="25">
        <f>IF(F2763=0,"",YEAR(F2763))</f>
        <v/>
      </c>
      <c r="H2763" s="25">
        <f>IF(F2763=0,"",MONTH(F2763))</f>
        <v/>
      </c>
      <c r="I2763" s="25">
        <f>IFERROR(INDEX(Pedidos!$E$2:$E$1801,MATCH(B2763,Pedidos!$A$2:$A$1801,0)),"")</f>
        <v/>
      </c>
      <c r="J2763" s="25">
        <f>IFERROR(INDEX(Pedidos!$C$2:$C$1801,MATCH(B2763,Pedidos!$A$2:$A$1801,0)),"")</f>
        <v/>
      </c>
      <c r="K2763" s="25">
        <f>IFERROR(INDEX(Pedidos!$D$2:$D$1801,MATCH(B2763,Pedidos!$A$2:$A$1801,0)),"")</f>
        <v/>
      </c>
      <c r="L2763" s="25">
        <f>IFERROR(INDEX(Pedidos!$F$2:$F$1801,MATCH(B2763,Pedidos!$A$2:$A$1801,0)),"")</f>
        <v/>
      </c>
      <c r="M2763" s="26">
        <f>IFERROR(INDEX(Pedidos!$G$2:$G$1801,MATCH(B2763,Pedidos!$A$2:$A$1801,0)),0)</f>
        <v/>
      </c>
      <c r="N2763" s="25">
        <f>IFERROR(INDEX(Produtos!$B$2:$B$71,MATCH(C2763,Produtos!$A$2:$A$71,0)),"")</f>
        <v/>
      </c>
      <c r="O2763" s="25">
        <f>IFERROR(INDEX(Produtos!$C$2:$C$71,MATCH(C2763,Produtos!$A$2:$A$71,0)),"")</f>
        <v/>
      </c>
      <c r="P2763" s="25">
        <f>IFERROR(INDEX(Produtos!$D$2:$D$71,MATCH(C2763,Produtos!$A$2:$A$71,0)),0)</f>
        <v/>
      </c>
      <c r="Q2763" s="25">
        <f>IFERROR(INDEX(Produtos!$E$2:$E$71,MATCH(C2763,Produtos!$A$2:$A$71,0)),0)</f>
        <v/>
      </c>
      <c r="R2763" s="27">
        <f>D2763*Q2763</f>
        <v/>
      </c>
      <c r="S2763" s="27">
        <f>R2763*E2763</f>
        <v/>
      </c>
      <c r="T2763" s="27">
        <f>(R2763-S2763)*M2763</f>
        <v/>
      </c>
      <c r="U2763" s="27">
        <f>R2763-S2763-T2763</f>
        <v/>
      </c>
      <c r="V2763" s="27">
        <f>D2763*P2763</f>
        <v/>
      </c>
      <c r="W2763" s="27">
        <f>U2763-V2763</f>
        <v/>
      </c>
      <c r="X2763" s="28">
        <f>IFERROR(W2763/U2763,0)</f>
        <v/>
      </c>
    </row>
    <row r="2764">
      <c r="A2764" s="21">
        <f>ItensPedido!A2764</f>
        <v/>
      </c>
      <c r="B2764" s="21">
        <f>ItensPedido!B2764</f>
        <v/>
      </c>
      <c r="C2764" s="21">
        <f>ItensPedido!C2764</f>
        <v/>
      </c>
      <c r="D2764" s="21">
        <f>ItensPedido!D2764</f>
        <v/>
      </c>
      <c r="E2764" s="22">
        <f>ItensPedido!E2764</f>
        <v/>
      </c>
      <c r="F2764" s="21">
        <f>IFERROR(INDEX(Pedidos!$B$2:$B$1801,MATCH(B2764,Pedidos!$A$2:$A$1801,0)),0)</f>
        <v/>
      </c>
      <c r="G2764" s="21">
        <f>IF(F2764=0,"",YEAR(F2764))</f>
        <v/>
      </c>
      <c r="H2764" s="21">
        <f>IF(F2764=0,"",MONTH(F2764))</f>
        <v/>
      </c>
      <c r="I2764" s="21">
        <f>IFERROR(INDEX(Pedidos!$E$2:$E$1801,MATCH(B2764,Pedidos!$A$2:$A$1801,0)),"")</f>
        <v/>
      </c>
      <c r="J2764" s="21">
        <f>IFERROR(INDEX(Pedidos!$C$2:$C$1801,MATCH(B2764,Pedidos!$A$2:$A$1801,0)),"")</f>
        <v/>
      </c>
      <c r="K2764" s="21">
        <f>IFERROR(INDEX(Pedidos!$D$2:$D$1801,MATCH(B2764,Pedidos!$A$2:$A$1801,0)),"")</f>
        <v/>
      </c>
      <c r="L2764" s="21">
        <f>IFERROR(INDEX(Pedidos!$F$2:$F$1801,MATCH(B2764,Pedidos!$A$2:$A$1801,0)),"")</f>
        <v/>
      </c>
      <c r="M2764" s="22">
        <f>IFERROR(INDEX(Pedidos!$G$2:$G$1801,MATCH(B2764,Pedidos!$A$2:$A$1801,0)),0)</f>
        <v/>
      </c>
      <c r="N2764" s="21">
        <f>IFERROR(INDEX(Produtos!$B$2:$B$71,MATCH(C2764,Produtos!$A$2:$A$71,0)),"")</f>
        <v/>
      </c>
      <c r="O2764" s="21">
        <f>IFERROR(INDEX(Produtos!$C$2:$C$71,MATCH(C2764,Produtos!$A$2:$A$71,0)),"")</f>
        <v/>
      </c>
      <c r="P2764" s="21">
        <f>IFERROR(INDEX(Produtos!$D$2:$D$71,MATCH(C2764,Produtos!$A$2:$A$71,0)),0)</f>
        <v/>
      </c>
      <c r="Q2764" s="21">
        <f>IFERROR(INDEX(Produtos!$E$2:$E$71,MATCH(C2764,Produtos!$A$2:$A$71,0)),0)</f>
        <v/>
      </c>
      <c r="R2764" s="23">
        <f>D2764*Q2764</f>
        <v/>
      </c>
      <c r="S2764" s="23">
        <f>R2764*E2764</f>
        <v/>
      </c>
      <c r="T2764" s="23">
        <f>(R2764-S2764)*M2764</f>
        <v/>
      </c>
      <c r="U2764" s="23">
        <f>R2764-S2764-T2764</f>
        <v/>
      </c>
      <c r="V2764" s="23">
        <f>D2764*P2764</f>
        <v/>
      </c>
      <c r="W2764" s="23">
        <f>U2764-V2764</f>
        <v/>
      </c>
      <c r="X2764" s="24">
        <f>IFERROR(W2764/U2764,0)</f>
        <v/>
      </c>
    </row>
    <row r="2765">
      <c r="A2765" s="25">
        <f>ItensPedido!A2765</f>
        <v/>
      </c>
      <c r="B2765" s="25">
        <f>ItensPedido!B2765</f>
        <v/>
      </c>
      <c r="C2765" s="25">
        <f>ItensPedido!C2765</f>
        <v/>
      </c>
      <c r="D2765" s="25">
        <f>ItensPedido!D2765</f>
        <v/>
      </c>
      <c r="E2765" s="26">
        <f>ItensPedido!E2765</f>
        <v/>
      </c>
      <c r="F2765" s="25">
        <f>IFERROR(INDEX(Pedidos!$B$2:$B$1801,MATCH(B2765,Pedidos!$A$2:$A$1801,0)),0)</f>
        <v/>
      </c>
      <c r="G2765" s="25">
        <f>IF(F2765=0,"",YEAR(F2765))</f>
        <v/>
      </c>
      <c r="H2765" s="25">
        <f>IF(F2765=0,"",MONTH(F2765))</f>
        <v/>
      </c>
      <c r="I2765" s="25">
        <f>IFERROR(INDEX(Pedidos!$E$2:$E$1801,MATCH(B2765,Pedidos!$A$2:$A$1801,0)),"")</f>
        <v/>
      </c>
      <c r="J2765" s="25">
        <f>IFERROR(INDEX(Pedidos!$C$2:$C$1801,MATCH(B2765,Pedidos!$A$2:$A$1801,0)),"")</f>
        <v/>
      </c>
      <c r="K2765" s="25">
        <f>IFERROR(INDEX(Pedidos!$D$2:$D$1801,MATCH(B2765,Pedidos!$A$2:$A$1801,0)),"")</f>
        <v/>
      </c>
      <c r="L2765" s="25">
        <f>IFERROR(INDEX(Pedidos!$F$2:$F$1801,MATCH(B2765,Pedidos!$A$2:$A$1801,0)),"")</f>
        <v/>
      </c>
      <c r="M2765" s="26">
        <f>IFERROR(INDEX(Pedidos!$G$2:$G$1801,MATCH(B2765,Pedidos!$A$2:$A$1801,0)),0)</f>
        <v/>
      </c>
      <c r="N2765" s="25">
        <f>IFERROR(INDEX(Produtos!$B$2:$B$71,MATCH(C2765,Produtos!$A$2:$A$71,0)),"")</f>
        <v/>
      </c>
      <c r="O2765" s="25">
        <f>IFERROR(INDEX(Produtos!$C$2:$C$71,MATCH(C2765,Produtos!$A$2:$A$71,0)),"")</f>
        <v/>
      </c>
      <c r="P2765" s="25">
        <f>IFERROR(INDEX(Produtos!$D$2:$D$71,MATCH(C2765,Produtos!$A$2:$A$71,0)),0)</f>
        <v/>
      </c>
      <c r="Q2765" s="25">
        <f>IFERROR(INDEX(Produtos!$E$2:$E$71,MATCH(C2765,Produtos!$A$2:$A$71,0)),0)</f>
        <v/>
      </c>
      <c r="R2765" s="27">
        <f>D2765*Q2765</f>
        <v/>
      </c>
      <c r="S2765" s="27">
        <f>R2765*E2765</f>
        <v/>
      </c>
      <c r="T2765" s="27">
        <f>(R2765-S2765)*M2765</f>
        <v/>
      </c>
      <c r="U2765" s="27">
        <f>R2765-S2765-T2765</f>
        <v/>
      </c>
      <c r="V2765" s="27">
        <f>D2765*P2765</f>
        <v/>
      </c>
      <c r="W2765" s="27">
        <f>U2765-V2765</f>
        <v/>
      </c>
      <c r="X2765" s="28">
        <f>IFERROR(W2765/U2765,0)</f>
        <v/>
      </c>
    </row>
    <row r="2766">
      <c r="A2766" s="21">
        <f>ItensPedido!A2766</f>
        <v/>
      </c>
      <c r="B2766" s="21">
        <f>ItensPedido!B2766</f>
        <v/>
      </c>
      <c r="C2766" s="21">
        <f>ItensPedido!C2766</f>
        <v/>
      </c>
      <c r="D2766" s="21">
        <f>ItensPedido!D2766</f>
        <v/>
      </c>
      <c r="E2766" s="22">
        <f>ItensPedido!E2766</f>
        <v/>
      </c>
      <c r="F2766" s="21">
        <f>IFERROR(INDEX(Pedidos!$B$2:$B$1801,MATCH(B2766,Pedidos!$A$2:$A$1801,0)),0)</f>
        <v/>
      </c>
      <c r="G2766" s="21">
        <f>IF(F2766=0,"",YEAR(F2766))</f>
        <v/>
      </c>
      <c r="H2766" s="21">
        <f>IF(F2766=0,"",MONTH(F2766))</f>
        <v/>
      </c>
      <c r="I2766" s="21">
        <f>IFERROR(INDEX(Pedidos!$E$2:$E$1801,MATCH(B2766,Pedidos!$A$2:$A$1801,0)),"")</f>
        <v/>
      </c>
      <c r="J2766" s="21">
        <f>IFERROR(INDEX(Pedidos!$C$2:$C$1801,MATCH(B2766,Pedidos!$A$2:$A$1801,0)),"")</f>
        <v/>
      </c>
      <c r="K2766" s="21">
        <f>IFERROR(INDEX(Pedidos!$D$2:$D$1801,MATCH(B2766,Pedidos!$A$2:$A$1801,0)),"")</f>
        <v/>
      </c>
      <c r="L2766" s="21">
        <f>IFERROR(INDEX(Pedidos!$F$2:$F$1801,MATCH(B2766,Pedidos!$A$2:$A$1801,0)),"")</f>
        <v/>
      </c>
      <c r="M2766" s="22">
        <f>IFERROR(INDEX(Pedidos!$G$2:$G$1801,MATCH(B2766,Pedidos!$A$2:$A$1801,0)),0)</f>
        <v/>
      </c>
      <c r="N2766" s="21">
        <f>IFERROR(INDEX(Produtos!$B$2:$B$71,MATCH(C2766,Produtos!$A$2:$A$71,0)),"")</f>
        <v/>
      </c>
      <c r="O2766" s="21">
        <f>IFERROR(INDEX(Produtos!$C$2:$C$71,MATCH(C2766,Produtos!$A$2:$A$71,0)),"")</f>
        <v/>
      </c>
      <c r="P2766" s="21">
        <f>IFERROR(INDEX(Produtos!$D$2:$D$71,MATCH(C2766,Produtos!$A$2:$A$71,0)),0)</f>
        <v/>
      </c>
      <c r="Q2766" s="21">
        <f>IFERROR(INDEX(Produtos!$E$2:$E$71,MATCH(C2766,Produtos!$A$2:$A$71,0)),0)</f>
        <v/>
      </c>
      <c r="R2766" s="23">
        <f>D2766*Q2766</f>
        <v/>
      </c>
      <c r="S2766" s="23">
        <f>R2766*E2766</f>
        <v/>
      </c>
      <c r="T2766" s="23">
        <f>(R2766-S2766)*M2766</f>
        <v/>
      </c>
      <c r="U2766" s="23">
        <f>R2766-S2766-T2766</f>
        <v/>
      </c>
      <c r="V2766" s="23">
        <f>D2766*P2766</f>
        <v/>
      </c>
      <c r="W2766" s="23">
        <f>U2766-V2766</f>
        <v/>
      </c>
      <c r="X2766" s="24">
        <f>IFERROR(W2766/U2766,0)</f>
        <v/>
      </c>
    </row>
    <row r="2767">
      <c r="A2767" s="25">
        <f>ItensPedido!A2767</f>
        <v/>
      </c>
      <c r="B2767" s="25">
        <f>ItensPedido!B2767</f>
        <v/>
      </c>
      <c r="C2767" s="25">
        <f>ItensPedido!C2767</f>
        <v/>
      </c>
      <c r="D2767" s="25">
        <f>ItensPedido!D2767</f>
        <v/>
      </c>
      <c r="E2767" s="26">
        <f>ItensPedido!E2767</f>
        <v/>
      </c>
      <c r="F2767" s="25">
        <f>IFERROR(INDEX(Pedidos!$B$2:$B$1801,MATCH(B2767,Pedidos!$A$2:$A$1801,0)),0)</f>
        <v/>
      </c>
      <c r="G2767" s="25">
        <f>IF(F2767=0,"",YEAR(F2767))</f>
        <v/>
      </c>
      <c r="H2767" s="25">
        <f>IF(F2767=0,"",MONTH(F2767))</f>
        <v/>
      </c>
      <c r="I2767" s="25">
        <f>IFERROR(INDEX(Pedidos!$E$2:$E$1801,MATCH(B2767,Pedidos!$A$2:$A$1801,0)),"")</f>
        <v/>
      </c>
      <c r="J2767" s="25">
        <f>IFERROR(INDEX(Pedidos!$C$2:$C$1801,MATCH(B2767,Pedidos!$A$2:$A$1801,0)),"")</f>
        <v/>
      </c>
      <c r="K2767" s="25">
        <f>IFERROR(INDEX(Pedidos!$D$2:$D$1801,MATCH(B2767,Pedidos!$A$2:$A$1801,0)),"")</f>
        <v/>
      </c>
      <c r="L2767" s="25">
        <f>IFERROR(INDEX(Pedidos!$F$2:$F$1801,MATCH(B2767,Pedidos!$A$2:$A$1801,0)),"")</f>
        <v/>
      </c>
      <c r="M2767" s="26">
        <f>IFERROR(INDEX(Pedidos!$G$2:$G$1801,MATCH(B2767,Pedidos!$A$2:$A$1801,0)),0)</f>
        <v/>
      </c>
      <c r="N2767" s="25">
        <f>IFERROR(INDEX(Produtos!$B$2:$B$71,MATCH(C2767,Produtos!$A$2:$A$71,0)),"")</f>
        <v/>
      </c>
      <c r="O2767" s="25">
        <f>IFERROR(INDEX(Produtos!$C$2:$C$71,MATCH(C2767,Produtos!$A$2:$A$71,0)),"")</f>
        <v/>
      </c>
      <c r="P2767" s="25">
        <f>IFERROR(INDEX(Produtos!$D$2:$D$71,MATCH(C2767,Produtos!$A$2:$A$71,0)),0)</f>
        <v/>
      </c>
      <c r="Q2767" s="25">
        <f>IFERROR(INDEX(Produtos!$E$2:$E$71,MATCH(C2767,Produtos!$A$2:$A$71,0)),0)</f>
        <v/>
      </c>
      <c r="R2767" s="27">
        <f>D2767*Q2767</f>
        <v/>
      </c>
      <c r="S2767" s="27">
        <f>R2767*E2767</f>
        <v/>
      </c>
      <c r="T2767" s="27">
        <f>(R2767-S2767)*M2767</f>
        <v/>
      </c>
      <c r="U2767" s="27">
        <f>R2767-S2767-T2767</f>
        <v/>
      </c>
      <c r="V2767" s="27">
        <f>D2767*P2767</f>
        <v/>
      </c>
      <c r="W2767" s="27">
        <f>U2767-V2767</f>
        <v/>
      </c>
      <c r="X2767" s="28">
        <f>IFERROR(W2767/U2767,0)</f>
        <v/>
      </c>
    </row>
    <row r="2768">
      <c r="A2768" s="21">
        <f>ItensPedido!A2768</f>
        <v/>
      </c>
      <c r="B2768" s="21">
        <f>ItensPedido!B2768</f>
        <v/>
      </c>
      <c r="C2768" s="21">
        <f>ItensPedido!C2768</f>
        <v/>
      </c>
      <c r="D2768" s="21">
        <f>ItensPedido!D2768</f>
        <v/>
      </c>
      <c r="E2768" s="22">
        <f>ItensPedido!E2768</f>
        <v/>
      </c>
      <c r="F2768" s="21">
        <f>IFERROR(INDEX(Pedidos!$B$2:$B$1801,MATCH(B2768,Pedidos!$A$2:$A$1801,0)),0)</f>
        <v/>
      </c>
      <c r="G2768" s="21">
        <f>IF(F2768=0,"",YEAR(F2768))</f>
        <v/>
      </c>
      <c r="H2768" s="21">
        <f>IF(F2768=0,"",MONTH(F2768))</f>
        <v/>
      </c>
      <c r="I2768" s="21">
        <f>IFERROR(INDEX(Pedidos!$E$2:$E$1801,MATCH(B2768,Pedidos!$A$2:$A$1801,0)),"")</f>
        <v/>
      </c>
      <c r="J2768" s="21">
        <f>IFERROR(INDEX(Pedidos!$C$2:$C$1801,MATCH(B2768,Pedidos!$A$2:$A$1801,0)),"")</f>
        <v/>
      </c>
      <c r="K2768" s="21">
        <f>IFERROR(INDEX(Pedidos!$D$2:$D$1801,MATCH(B2768,Pedidos!$A$2:$A$1801,0)),"")</f>
        <v/>
      </c>
      <c r="L2768" s="21">
        <f>IFERROR(INDEX(Pedidos!$F$2:$F$1801,MATCH(B2768,Pedidos!$A$2:$A$1801,0)),"")</f>
        <v/>
      </c>
      <c r="M2768" s="22">
        <f>IFERROR(INDEX(Pedidos!$G$2:$G$1801,MATCH(B2768,Pedidos!$A$2:$A$1801,0)),0)</f>
        <v/>
      </c>
      <c r="N2768" s="21">
        <f>IFERROR(INDEX(Produtos!$B$2:$B$71,MATCH(C2768,Produtos!$A$2:$A$71,0)),"")</f>
        <v/>
      </c>
      <c r="O2768" s="21">
        <f>IFERROR(INDEX(Produtos!$C$2:$C$71,MATCH(C2768,Produtos!$A$2:$A$71,0)),"")</f>
        <v/>
      </c>
      <c r="P2768" s="21">
        <f>IFERROR(INDEX(Produtos!$D$2:$D$71,MATCH(C2768,Produtos!$A$2:$A$71,0)),0)</f>
        <v/>
      </c>
      <c r="Q2768" s="21">
        <f>IFERROR(INDEX(Produtos!$E$2:$E$71,MATCH(C2768,Produtos!$A$2:$A$71,0)),0)</f>
        <v/>
      </c>
      <c r="R2768" s="23">
        <f>D2768*Q2768</f>
        <v/>
      </c>
      <c r="S2768" s="23">
        <f>R2768*E2768</f>
        <v/>
      </c>
      <c r="T2768" s="23">
        <f>(R2768-S2768)*M2768</f>
        <v/>
      </c>
      <c r="U2768" s="23">
        <f>R2768-S2768-T2768</f>
        <v/>
      </c>
      <c r="V2768" s="23">
        <f>D2768*P2768</f>
        <v/>
      </c>
      <c r="W2768" s="23">
        <f>U2768-V2768</f>
        <v/>
      </c>
      <c r="X2768" s="24">
        <f>IFERROR(W2768/U2768,0)</f>
        <v/>
      </c>
    </row>
    <row r="2769">
      <c r="A2769" s="25">
        <f>ItensPedido!A2769</f>
        <v/>
      </c>
      <c r="B2769" s="25">
        <f>ItensPedido!B2769</f>
        <v/>
      </c>
      <c r="C2769" s="25">
        <f>ItensPedido!C2769</f>
        <v/>
      </c>
      <c r="D2769" s="25">
        <f>ItensPedido!D2769</f>
        <v/>
      </c>
      <c r="E2769" s="26">
        <f>ItensPedido!E2769</f>
        <v/>
      </c>
      <c r="F2769" s="25">
        <f>IFERROR(INDEX(Pedidos!$B$2:$B$1801,MATCH(B2769,Pedidos!$A$2:$A$1801,0)),0)</f>
        <v/>
      </c>
      <c r="G2769" s="25">
        <f>IF(F2769=0,"",YEAR(F2769))</f>
        <v/>
      </c>
      <c r="H2769" s="25">
        <f>IF(F2769=0,"",MONTH(F2769))</f>
        <v/>
      </c>
      <c r="I2769" s="25">
        <f>IFERROR(INDEX(Pedidos!$E$2:$E$1801,MATCH(B2769,Pedidos!$A$2:$A$1801,0)),"")</f>
        <v/>
      </c>
      <c r="J2769" s="25">
        <f>IFERROR(INDEX(Pedidos!$C$2:$C$1801,MATCH(B2769,Pedidos!$A$2:$A$1801,0)),"")</f>
        <v/>
      </c>
      <c r="K2769" s="25">
        <f>IFERROR(INDEX(Pedidos!$D$2:$D$1801,MATCH(B2769,Pedidos!$A$2:$A$1801,0)),"")</f>
        <v/>
      </c>
      <c r="L2769" s="25">
        <f>IFERROR(INDEX(Pedidos!$F$2:$F$1801,MATCH(B2769,Pedidos!$A$2:$A$1801,0)),"")</f>
        <v/>
      </c>
      <c r="M2769" s="26">
        <f>IFERROR(INDEX(Pedidos!$G$2:$G$1801,MATCH(B2769,Pedidos!$A$2:$A$1801,0)),0)</f>
        <v/>
      </c>
      <c r="N2769" s="25">
        <f>IFERROR(INDEX(Produtos!$B$2:$B$71,MATCH(C2769,Produtos!$A$2:$A$71,0)),"")</f>
        <v/>
      </c>
      <c r="O2769" s="25">
        <f>IFERROR(INDEX(Produtos!$C$2:$C$71,MATCH(C2769,Produtos!$A$2:$A$71,0)),"")</f>
        <v/>
      </c>
      <c r="P2769" s="25">
        <f>IFERROR(INDEX(Produtos!$D$2:$D$71,MATCH(C2769,Produtos!$A$2:$A$71,0)),0)</f>
        <v/>
      </c>
      <c r="Q2769" s="25">
        <f>IFERROR(INDEX(Produtos!$E$2:$E$71,MATCH(C2769,Produtos!$A$2:$A$71,0)),0)</f>
        <v/>
      </c>
      <c r="R2769" s="27">
        <f>D2769*Q2769</f>
        <v/>
      </c>
      <c r="S2769" s="27">
        <f>R2769*E2769</f>
        <v/>
      </c>
      <c r="T2769" s="27">
        <f>(R2769-S2769)*M2769</f>
        <v/>
      </c>
      <c r="U2769" s="27">
        <f>R2769-S2769-T2769</f>
        <v/>
      </c>
      <c r="V2769" s="27">
        <f>D2769*P2769</f>
        <v/>
      </c>
      <c r="W2769" s="27">
        <f>U2769-V2769</f>
        <v/>
      </c>
      <c r="X2769" s="28">
        <f>IFERROR(W2769/U2769,0)</f>
        <v/>
      </c>
    </row>
    <row r="2770">
      <c r="A2770" s="21">
        <f>ItensPedido!A2770</f>
        <v/>
      </c>
      <c r="B2770" s="21">
        <f>ItensPedido!B2770</f>
        <v/>
      </c>
      <c r="C2770" s="21">
        <f>ItensPedido!C2770</f>
        <v/>
      </c>
      <c r="D2770" s="21">
        <f>ItensPedido!D2770</f>
        <v/>
      </c>
      <c r="E2770" s="22">
        <f>ItensPedido!E2770</f>
        <v/>
      </c>
      <c r="F2770" s="21">
        <f>IFERROR(INDEX(Pedidos!$B$2:$B$1801,MATCH(B2770,Pedidos!$A$2:$A$1801,0)),0)</f>
        <v/>
      </c>
      <c r="G2770" s="21">
        <f>IF(F2770=0,"",YEAR(F2770))</f>
        <v/>
      </c>
      <c r="H2770" s="21">
        <f>IF(F2770=0,"",MONTH(F2770))</f>
        <v/>
      </c>
      <c r="I2770" s="21">
        <f>IFERROR(INDEX(Pedidos!$E$2:$E$1801,MATCH(B2770,Pedidos!$A$2:$A$1801,0)),"")</f>
        <v/>
      </c>
      <c r="J2770" s="21">
        <f>IFERROR(INDEX(Pedidos!$C$2:$C$1801,MATCH(B2770,Pedidos!$A$2:$A$1801,0)),"")</f>
        <v/>
      </c>
      <c r="K2770" s="21">
        <f>IFERROR(INDEX(Pedidos!$D$2:$D$1801,MATCH(B2770,Pedidos!$A$2:$A$1801,0)),"")</f>
        <v/>
      </c>
      <c r="L2770" s="21">
        <f>IFERROR(INDEX(Pedidos!$F$2:$F$1801,MATCH(B2770,Pedidos!$A$2:$A$1801,0)),"")</f>
        <v/>
      </c>
      <c r="M2770" s="22">
        <f>IFERROR(INDEX(Pedidos!$G$2:$G$1801,MATCH(B2770,Pedidos!$A$2:$A$1801,0)),0)</f>
        <v/>
      </c>
      <c r="N2770" s="21">
        <f>IFERROR(INDEX(Produtos!$B$2:$B$71,MATCH(C2770,Produtos!$A$2:$A$71,0)),"")</f>
        <v/>
      </c>
      <c r="O2770" s="21">
        <f>IFERROR(INDEX(Produtos!$C$2:$C$71,MATCH(C2770,Produtos!$A$2:$A$71,0)),"")</f>
        <v/>
      </c>
      <c r="P2770" s="21">
        <f>IFERROR(INDEX(Produtos!$D$2:$D$71,MATCH(C2770,Produtos!$A$2:$A$71,0)),0)</f>
        <v/>
      </c>
      <c r="Q2770" s="21">
        <f>IFERROR(INDEX(Produtos!$E$2:$E$71,MATCH(C2770,Produtos!$A$2:$A$71,0)),0)</f>
        <v/>
      </c>
      <c r="R2770" s="23">
        <f>D2770*Q2770</f>
        <v/>
      </c>
      <c r="S2770" s="23">
        <f>R2770*E2770</f>
        <v/>
      </c>
      <c r="T2770" s="23">
        <f>(R2770-S2770)*M2770</f>
        <v/>
      </c>
      <c r="U2770" s="23">
        <f>R2770-S2770-T2770</f>
        <v/>
      </c>
      <c r="V2770" s="23">
        <f>D2770*P2770</f>
        <v/>
      </c>
      <c r="W2770" s="23">
        <f>U2770-V2770</f>
        <v/>
      </c>
      <c r="X2770" s="24">
        <f>IFERROR(W2770/U2770,0)</f>
        <v/>
      </c>
    </row>
    <row r="2771">
      <c r="A2771" s="25">
        <f>ItensPedido!A2771</f>
        <v/>
      </c>
      <c r="B2771" s="25">
        <f>ItensPedido!B2771</f>
        <v/>
      </c>
      <c r="C2771" s="25">
        <f>ItensPedido!C2771</f>
        <v/>
      </c>
      <c r="D2771" s="25">
        <f>ItensPedido!D2771</f>
        <v/>
      </c>
      <c r="E2771" s="26">
        <f>ItensPedido!E2771</f>
        <v/>
      </c>
      <c r="F2771" s="25">
        <f>IFERROR(INDEX(Pedidos!$B$2:$B$1801,MATCH(B2771,Pedidos!$A$2:$A$1801,0)),0)</f>
        <v/>
      </c>
      <c r="G2771" s="25">
        <f>IF(F2771=0,"",YEAR(F2771))</f>
        <v/>
      </c>
      <c r="H2771" s="25">
        <f>IF(F2771=0,"",MONTH(F2771))</f>
        <v/>
      </c>
      <c r="I2771" s="25">
        <f>IFERROR(INDEX(Pedidos!$E$2:$E$1801,MATCH(B2771,Pedidos!$A$2:$A$1801,0)),"")</f>
        <v/>
      </c>
      <c r="J2771" s="25">
        <f>IFERROR(INDEX(Pedidos!$C$2:$C$1801,MATCH(B2771,Pedidos!$A$2:$A$1801,0)),"")</f>
        <v/>
      </c>
      <c r="K2771" s="25">
        <f>IFERROR(INDEX(Pedidos!$D$2:$D$1801,MATCH(B2771,Pedidos!$A$2:$A$1801,0)),"")</f>
        <v/>
      </c>
      <c r="L2771" s="25">
        <f>IFERROR(INDEX(Pedidos!$F$2:$F$1801,MATCH(B2771,Pedidos!$A$2:$A$1801,0)),"")</f>
        <v/>
      </c>
      <c r="M2771" s="26">
        <f>IFERROR(INDEX(Pedidos!$G$2:$G$1801,MATCH(B2771,Pedidos!$A$2:$A$1801,0)),0)</f>
        <v/>
      </c>
      <c r="N2771" s="25">
        <f>IFERROR(INDEX(Produtos!$B$2:$B$71,MATCH(C2771,Produtos!$A$2:$A$71,0)),"")</f>
        <v/>
      </c>
      <c r="O2771" s="25">
        <f>IFERROR(INDEX(Produtos!$C$2:$C$71,MATCH(C2771,Produtos!$A$2:$A$71,0)),"")</f>
        <v/>
      </c>
      <c r="P2771" s="25">
        <f>IFERROR(INDEX(Produtos!$D$2:$D$71,MATCH(C2771,Produtos!$A$2:$A$71,0)),0)</f>
        <v/>
      </c>
      <c r="Q2771" s="25">
        <f>IFERROR(INDEX(Produtos!$E$2:$E$71,MATCH(C2771,Produtos!$A$2:$A$71,0)),0)</f>
        <v/>
      </c>
      <c r="R2771" s="27">
        <f>D2771*Q2771</f>
        <v/>
      </c>
      <c r="S2771" s="27">
        <f>R2771*E2771</f>
        <v/>
      </c>
      <c r="T2771" s="27">
        <f>(R2771-S2771)*M2771</f>
        <v/>
      </c>
      <c r="U2771" s="27">
        <f>R2771-S2771-T2771</f>
        <v/>
      </c>
      <c r="V2771" s="27">
        <f>D2771*P2771</f>
        <v/>
      </c>
      <c r="W2771" s="27">
        <f>U2771-V2771</f>
        <v/>
      </c>
      <c r="X2771" s="28">
        <f>IFERROR(W2771/U2771,0)</f>
        <v/>
      </c>
    </row>
    <row r="2772">
      <c r="A2772" s="21">
        <f>ItensPedido!A2772</f>
        <v/>
      </c>
      <c r="B2772" s="21">
        <f>ItensPedido!B2772</f>
        <v/>
      </c>
      <c r="C2772" s="21">
        <f>ItensPedido!C2772</f>
        <v/>
      </c>
      <c r="D2772" s="21">
        <f>ItensPedido!D2772</f>
        <v/>
      </c>
      <c r="E2772" s="22">
        <f>ItensPedido!E2772</f>
        <v/>
      </c>
      <c r="F2772" s="21">
        <f>IFERROR(INDEX(Pedidos!$B$2:$B$1801,MATCH(B2772,Pedidos!$A$2:$A$1801,0)),0)</f>
        <v/>
      </c>
      <c r="G2772" s="21">
        <f>IF(F2772=0,"",YEAR(F2772))</f>
        <v/>
      </c>
      <c r="H2772" s="21">
        <f>IF(F2772=0,"",MONTH(F2772))</f>
        <v/>
      </c>
      <c r="I2772" s="21">
        <f>IFERROR(INDEX(Pedidos!$E$2:$E$1801,MATCH(B2772,Pedidos!$A$2:$A$1801,0)),"")</f>
        <v/>
      </c>
      <c r="J2772" s="21">
        <f>IFERROR(INDEX(Pedidos!$C$2:$C$1801,MATCH(B2772,Pedidos!$A$2:$A$1801,0)),"")</f>
        <v/>
      </c>
      <c r="K2772" s="21">
        <f>IFERROR(INDEX(Pedidos!$D$2:$D$1801,MATCH(B2772,Pedidos!$A$2:$A$1801,0)),"")</f>
        <v/>
      </c>
      <c r="L2772" s="21">
        <f>IFERROR(INDEX(Pedidos!$F$2:$F$1801,MATCH(B2772,Pedidos!$A$2:$A$1801,0)),"")</f>
        <v/>
      </c>
      <c r="M2772" s="22">
        <f>IFERROR(INDEX(Pedidos!$G$2:$G$1801,MATCH(B2772,Pedidos!$A$2:$A$1801,0)),0)</f>
        <v/>
      </c>
      <c r="N2772" s="21">
        <f>IFERROR(INDEX(Produtos!$B$2:$B$71,MATCH(C2772,Produtos!$A$2:$A$71,0)),"")</f>
        <v/>
      </c>
      <c r="O2772" s="21">
        <f>IFERROR(INDEX(Produtos!$C$2:$C$71,MATCH(C2772,Produtos!$A$2:$A$71,0)),"")</f>
        <v/>
      </c>
      <c r="P2772" s="21">
        <f>IFERROR(INDEX(Produtos!$D$2:$D$71,MATCH(C2772,Produtos!$A$2:$A$71,0)),0)</f>
        <v/>
      </c>
      <c r="Q2772" s="21">
        <f>IFERROR(INDEX(Produtos!$E$2:$E$71,MATCH(C2772,Produtos!$A$2:$A$71,0)),0)</f>
        <v/>
      </c>
      <c r="R2772" s="23">
        <f>D2772*Q2772</f>
        <v/>
      </c>
      <c r="S2772" s="23">
        <f>R2772*E2772</f>
        <v/>
      </c>
      <c r="T2772" s="23">
        <f>(R2772-S2772)*M2772</f>
        <v/>
      </c>
      <c r="U2772" s="23">
        <f>R2772-S2772-T2772</f>
        <v/>
      </c>
      <c r="V2772" s="23">
        <f>D2772*P2772</f>
        <v/>
      </c>
      <c r="W2772" s="23">
        <f>U2772-V2772</f>
        <v/>
      </c>
      <c r="X2772" s="24">
        <f>IFERROR(W2772/U2772,0)</f>
        <v/>
      </c>
    </row>
    <row r="2773">
      <c r="A2773" s="25">
        <f>ItensPedido!A2773</f>
        <v/>
      </c>
      <c r="B2773" s="25">
        <f>ItensPedido!B2773</f>
        <v/>
      </c>
      <c r="C2773" s="25">
        <f>ItensPedido!C2773</f>
        <v/>
      </c>
      <c r="D2773" s="25">
        <f>ItensPedido!D2773</f>
        <v/>
      </c>
      <c r="E2773" s="26">
        <f>ItensPedido!E2773</f>
        <v/>
      </c>
      <c r="F2773" s="25">
        <f>IFERROR(INDEX(Pedidos!$B$2:$B$1801,MATCH(B2773,Pedidos!$A$2:$A$1801,0)),0)</f>
        <v/>
      </c>
      <c r="G2773" s="25">
        <f>IF(F2773=0,"",YEAR(F2773))</f>
        <v/>
      </c>
      <c r="H2773" s="25">
        <f>IF(F2773=0,"",MONTH(F2773))</f>
        <v/>
      </c>
      <c r="I2773" s="25">
        <f>IFERROR(INDEX(Pedidos!$E$2:$E$1801,MATCH(B2773,Pedidos!$A$2:$A$1801,0)),"")</f>
        <v/>
      </c>
      <c r="J2773" s="25">
        <f>IFERROR(INDEX(Pedidos!$C$2:$C$1801,MATCH(B2773,Pedidos!$A$2:$A$1801,0)),"")</f>
        <v/>
      </c>
      <c r="K2773" s="25">
        <f>IFERROR(INDEX(Pedidos!$D$2:$D$1801,MATCH(B2773,Pedidos!$A$2:$A$1801,0)),"")</f>
        <v/>
      </c>
      <c r="L2773" s="25">
        <f>IFERROR(INDEX(Pedidos!$F$2:$F$1801,MATCH(B2773,Pedidos!$A$2:$A$1801,0)),"")</f>
        <v/>
      </c>
      <c r="M2773" s="26">
        <f>IFERROR(INDEX(Pedidos!$G$2:$G$1801,MATCH(B2773,Pedidos!$A$2:$A$1801,0)),0)</f>
        <v/>
      </c>
      <c r="N2773" s="25">
        <f>IFERROR(INDEX(Produtos!$B$2:$B$71,MATCH(C2773,Produtos!$A$2:$A$71,0)),"")</f>
        <v/>
      </c>
      <c r="O2773" s="25">
        <f>IFERROR(INDEX(Produtos!$C$2:$C$71,MATCH(C2773,Produtos!$A$2:$A$71,0)),"")</f>
        <v/>
      </c>
      <c r="P2773" s="25">
        <f>IFERROR(INDEX(Produtos!$D$2:$D$71,MATCH(C2773,Produtos!$A$2:$A$71,0)),0)</f>
        <v/>
      </c>
      <c r="Q2773" s="25">
        <f>IFERROR(INDEX(Produtos!$E$2:$E$71,MATCH(C2773,Produtos!$A$2:$A$71,0)),0)</f>
        <v/>
      </c>
      <c r="R2773" s="27">
        <f>D2773*Q2773</f>
        <v/>
      </c>
      <c r="S2773" s="27">
        <f>R2773*E2773</f>
        <v/>
      </c>
      <c r="T2773" s="27">
        <f>(R2773-S2773)*M2773</f>
        <v/>
      </c>
      <c r="U2773" s="27">
        <f>R2773-S2773-T2773</f>
        <v/>
      </c>
      <c r="V2773" s="27">
        <f>D2773*P2773</f>
        <v/>
      </c>
      <c r="W2773" s="27">
        <f>U2773-V2773</f>
        <v/>
      </c>
      <c r="X2773" s="28">
        <f>IFERROR(W2773/U2773,0)</f>
        <v/>
      </c>
    </row>
    <row r="2774">
      <c r="A2774" s="21">
        <f>ItensPedido!A2774</f>
        <v/>
      </c>
      <c r="B2774" s="21">
        <f>ItensPedido!B2774</f>
        <v/>
      </c>
      <c r="C2774" s="21">
        <f>ItensPedido!C2774</f>
        <v/>
      </c>
      <c r="D2774" s="21">
        <f>ItensPedido!D2774</f>
        <v/>
      </c>
      <c r="E2774" s="22">
        <f>ItensPedido!E2774</f>
        <v/>
      </c>
      <c r="F2774" s="21">
        <f>IFERROR(INDEX(Pedidos!$B$2:$B$1801,MATCH(B2774,Pedidos!$A$2:$A$1801,0)),0)</f>
        <v/>
      </c>
      <c r="G2774" s="21">
        <f>IF(F2774=0,"",YEAR(F2774))</f>
        <v/>
      </c>
      <c r="H2774" s="21">
        <f>IF(F2774=0,"",MONTH(F2774))</f>
        <v/>
      </c>
      <c r="I2774" s="21">
        <f>IFERROR(INDEX(Pedidos!$E$2:$E$1801,MATCH(B2774,Pedidos!$A$2:$A$1801,0)),"")</f>
        <v/>
      </c>
      <c r="J2774" s="21">
        <f>IFERROR(INDEX(Pedidos!$C$2:$C$1801,MATCH(B2774,Pedidos!$A$2:$A$1801,0)),"")</f>
        <v/>
      </c>
      <c r="K2774" s="21">
        <f>IFERROR(INDEX(Pedidos!$D$2:$D$1801,MATCH(B2774,Pedidos!$A$2:$A$1801,0)),"")</f>
        <v/>
      </c>
      <c r="L2774" s="21">
        <f>IFERROR(INDEX(Pedidos!$F$2:$F$1801,MATCH(B2774,Pedidos!$A$2:$A$1801,0)),"")</f>
        <v/>
      </c>
      <c r="M2774" s="22">
        <f>IFERROR(INDEX(Pedidos!$G$2:$G$1801,MATCH(B2774,Pedidos!$A$2:$A$1801,0)),0)</f>
        <v/>
      </c>
      <c r="N2774" s="21">
        <f>IFERROR(INDEX(Produtos!$B$2:$B$71,MATCH(C2774,Produtos!$A$2:$A$71,0)),"")</f>
        <v/>
      </c>
      <c r="O2774" s="21">
        <f>IFERROR(INDEX(Produtos!$C$2:$C$71,MATCH(C2774,Produtos!$A$2:$A$71,0)),"")</f>
        <v/>
      </c>
      <c r="P2774" s="21">
        <f>IFERROR(INDEX(Produtos!$D$2:$D$71,MATCH(C2774,Produtos!$A$2:$A$71,0)),0)</f>
        <v/>
      </c>
      <c r="Q2774" s="21">
        <f>IFERROR(INDEX(Produtos!$E$2:$E$71,MATCH(C2774,Produtos!$A$2:$A$71,0)),0)</f>
        <v/>
      </c>
      <c r="R2774" s="23">
        <f>D2774*Q2774</f>
        <v/>
      </c>
      <c r="S2774" s="23">
        <f>R2774*E2774</f>
        <v/>
      </c>
      <c r="T2774" s="23">
        <f>(R2774-S2774)*M2774</f>
        <v/>
      </c>
      <c r="U2774" s="23">
        <f>R2774-S2774-T2774</f>
        <v/>
      </c>
      <c r="V2774" s="23">
        <f>D2774*P2774</f>
        <v/>
      </c>
      <c r="W2774" s="23">
        <f>U2774-V2774</f>
        <v/>
      </c>
      <c r="X2774" s="24">
        <f>IFERROR(W2774/U2774,0)</f>
        <v/>
      </c>
    </row>
    <row r="2775">
      <c r="A2775" s="25">
        <f>ItensPedido!A2775</f>
        <v/>
      </c>
      <c r="B2775" s="25">
        <f>ItensPedido!B2775</f>
        <v/>
      </c>
      <c r="C2775" s="25">
        <f>ItensPedido!C2775</f>
        <v/>
      </c>
      <c r="D2775" s="25">
        <f>ItensPedido!D2775</f>
        <v/>
      </c>
      <c r="E2775" s="26">
        <f>ItensPedido!E2775</f>
        <v/>
      </c>
      <c r="F2775" s="25">
        <f>IFERROR(INDEX(Pedidos!$B$2:$B$1801,MATCH(B2775,Pedidos!$A$2:$A$1801,0)),0)</f>
        <v/>
      </c>
      <c r="G2775" s="25">
        <f>IF(F2775=0,"",YEAR(F2775))</f>
        <v/>
      </c>
      <c r="H2775" s="25">
        <f>IF(F2775=0,"",MONTH(F2775))</f>
        <v/>
      </c>
      <c r="I2775" s="25">
        <f>IFERROR(INDEX(Pedidos!$E$2:$E$1801,MATCH(B2775,Pedidos!$A$2:$A$1801,0)),"")</f>
        <v/>
      </c>
      <c r="J2775" s="25">
        <f>IFERROR(INDEX(Pedidos!$C$2:$C$1801,MATCH(B2775,Pedidos!$A$2:$A$1801,0)),"")</f>
        <v/>
      </c>
      <c r="K2775" s="25">
        <f>IFERROR(INDEX(Pedidos!$D$2:$D$1801,MATCH(B2775,Pedidos!$A$2:$A$1801,0)),"")</f>
        <v/>
      </c>
      <c r="L2775" s="25">
        <f>IFERROR(INDEX(Pedidos!$F$2:$F$1801,MATCH(B2775,Pedidos!$A$2:$A$1801,0)),"")</f>
        <v/>
      </c>
      <c r="M2775" s="26">
        <f>IFERROR(INDEX(Pedidos!$G$2:$G$1801,MATCH(B2775,Pedidos!$A$2:$A$1801,0)),0)</f>
        <v/>
      </c>
      <c r="N2775" s="25">
        <f>IFERROR(INDEX(Produtos!$B$2:$B$71,MATCH(C2775,Produtos!$A$2:$A$71,0)),"")</f>
        <v/>
      </c>
      <c r="O2775" s="25">
        <f>IFERROR(INDEX(Produtos!$C$2:$C$71,MATCH(C2775,Produtos!$A$2:$A$71,0)),"")</f>
        <v/>
      </c>
      <c r="P2775" s="25">
        <f>IFERROR(INDEX(Produtos!$D$2:$D$71,MATCH(C2775,Produtos!$A$2:$A$71,0)),0)</f>
        <v/>
      </c>
      <c r="Q2775" s="25">
        <f>IFERROR(INDEX(Produtos!$E$2:$E$71,MATCH(C2775,Produtos!$A$2:$A$71,0)),0)</f>
        <v/>
      </c>
      <c r="R2775" s="27">
        <f>D2775*Q2775</f>
        <v/>
      </c>
      <c r="S2775" s="27">
        <f>R2775*E2775</f>
        <v/>
      </c>
      <c r="T2775" s="27">
        <f>(R2775-S2775)*M2775</f>
        <v/>
      </c>
      <c r="U2775" s="27">
        <f>R2775-S2775-T2775</f>
        <v/>
      </c>
      <c r="V2775" s="27">
        <f>D2775*P2775</f>
        <v/>
      </c>
      <c r="W2775" s="27">
        <f>U2775-V2775</f>
        <v/>
      </c>
      <c r="X2775" s="28">
        <f>IFERROR(W2775/U2775,0)</f>
        <v/>
      </c>
    </row>
    <row r="2776">
      <c r="A2776" s="21">
        <f>ItensPedido!A2776</f>
        <v/>
      </c>
      <c r="B2776" s="21">
        <f>ItensPedido!B2776</f>
        <v/>
      </c>
      <c r="C2776" s="21">
        <f>ItensPedido!C2776</f>
        <v/>
      </c>
      <c r="D2776" s="21">
        <f>ItensPedido!D2776</f>
        <v/>
      </c>
      <c r="E2776" s="22">
        <f>ItensPedido!E2776</f>
        <v/>
      </c>
      <c r="F2776" s="21">
        <f>IFERROR(INDEX(Pedidos!$B$2:$B$1801,MATCH(B2776,Pedidos!$A$2:$A$1801,0)),0)</f>
        <v/>
      </c>
      <c r="G2776" s="21">
        <f>IF(F2776=0,"",YEAR(F2776))</f>
        <v/>
      </c>
      <c r="H2776" s="21">
        <f>IF(F2776=0,"",MONTH(F2776))</f>
        <v/>
      </c>
      <c r="I2776" s="21">
        <f>IFERROR(INDEX(Pedidos!$E$2:$E$1801,MATCH(B2776,Pedidos!$A$2:$A$1801,0)),"")</f>
        <v/>
      </c>
      <c r="J2776" s="21">
        <f>IFERROR(INDEX(Pedidos!$C$2:$C$1801,MATCH(B2776,Pedidos!$A$2:$A$1801,0)),"")</f>
        <v/>
      </c>
      <c r="K2776" s="21">
        <f>IFERROR(INDEX(Pedidos!$D$2:$D$1801,MATCH(B2776,Pedidos!$A$2:$A$1801,0)),"")</f>
        <v/>
      </c>
      <c r="L2776" s="21">
        <f>IFERROR(INDEX(Pedidos!$F$2:$F$1801,MATCH(B2776,Pedidos!$A$2:$A$1801,0)),"")</f>
        <v/>
      </c>
      <c r="M2776" s="22">
        <f>IFERROR(INDEX(Pedidos!$G$2:$G$1801,MATCH(B2776,Pedidos!$A$2:$A$1801,0)),0)</f>
        <v/>
      </c>
      <c r="N2776" s="21">
        <f>IFERROR(INDEX(Produtos!$B$2:$B$71,MATCH(C2776,Produtos!$A$2:$A$71,0)),"")</f>
        <v/>
      </c>
      <c r="O2776" s="21">
        <f>IFERROR(INDEX(Produtos!$C$2:$C$71,MATCH(C2776,Produtos!$A$2:$A$71,0)),"")</f>
        <v/>
      </c>
      <c r="P2776" s="21">
        <f>IFERROR(INDEX(Produtos!$D$2:$D$71,MATCH(C2776,Produtos!$A$2:$A$71,0)),0)</f>
        <v/>
      </c>
      <c r="Q2776" s="21">
        <f>IFERROR(INDEX(Produtos!$E$2:$E$71,MATCH(C2776,Produtos!$A$2:$A$71,0)),0)</f>
        <v/>
      </c>
      <c r="R2776" s="23">
        <f>D2776*Q2776</f>
        <v/>
      </c>
      <c r="S2776" s="23">
        <f>R2776*E2776</f>
        <v/>
      </c>
      <c r="T2776" s="23">
        <f>(R2776-S2776)*M2776</f>
        <v/>
      </c>
      <c r="U2776" s="23">
        <f>R2776-S2776-T2776</f>
        <v/>
      </c>
      <c r="V2776" s="23">
        <f>D2776*P2776</f>
        <v/>
      </c>
      <c r="W2776" s="23">
        <f>U2776-V2776</f>
        <v/>
      </c>
      <c r="X2776" s="24">
        <f>IFERROR(W2776/U2776,0)</f>
        <v/>
      </c>
    </row>
    <row r="2777">
      <c r="A2777" s="25">
        <f>ItensPedido!A2777</f>
        <v/>
      </c>
      <c r="B2777" s="25">
        <f>ItensPedido!B2777</f>
        <v/>
      </c>
      <c r="C2777" s="25">
        <f>ItensPedido!C2777</f>
        <v/>
      </c>
      <c r="D2777" s="25">
        <f>ItensPedido!D2777</f>
        <v/>
      </c>
      <c r="E2777" s="26">
        <f>ItensPedido!E2777</f>
        <v/>
      </c>
      <c r="F2777" s="25">
        <f>IFERROR(INDEX(Pedidos!$B$2:$B$1801,MATCH(B2777,Pedidos!$A$2:$A$1801,0)),0)</f>
        <v/>
      </c>
      <c r="G2777" s="25">
        <f>IF(F2777=0,"",YEAR(F2777))</f>
        <v/>
      </c>
      <c r="H2777" s="25">
        <f>IF(F2777=0,"",MONTH(F2777))</f>
        <v/>
      </c>
      <c r="I2777" s="25">
        <f>IFERROR(INDEX(Pedidos!$E$2:$E$1801,MATCH(B2777,Pedidos!$A$2:$A$1801,0)),"")</f>
        <v/>
      </c>
      <c r="J2777" s="25">
        <f>IFERROR(INDEX(Pedidos!$C$2:$C$1801,MATCH(B2777,Pedidos!$A$2:$A$1801,0)),"")</f>
        <v/>
      </c>
      <c r="K2777" s="25">
        <f>IFERROR(INDEX(Pedidos!$D$2:$D$1801,MATCH(B2777,Pedidos!$A$2:$A$1801,0)),"")</f>
        <v/>
      </c>
      <c r="L2777" s="25">
        <f>IFERROR(INDEX(Pedidos!$F$2:$F$1801,MATCH(B2777,Pedidos!$A$2:$A$1801,0)),"")</f>
        <v/>
      </c>
      <c r="M2777" s="26">
        <f>IFERROR(INDEX(Pedidos!$G$2:$G$1801,MATCH(B2777,Pedidos!$A$2:$A$1801,0)),0)</f>
        <v/>
      </c>
      <c r="N2777" s="25">
        <f>IFERROR(INDEX(Produtos!$B$2:$B$71,MATCH(C2777,Produtos!$A$2:$A$71,0)),"")</f>
        <v/>
      </c>
      <c r="O2777" s="25">
        <f>IFERROR(INDEX(Produtos!$C$2:$C$71,MATCH(C2777,Produtos!$A$2:$A$71,0)),"")</f>
        <v/>
      </c>
      <c r="P2777" s="25">
        <f>IFERROR(INDEX(Produtos!$D$2:$D$71,MATCH(C2777,Produtos!$A$2:$A$71,0)),0)</f>
        <v/>
      </c>
      <c r="Q2777" s="25">
        <f>IFERROR(INDEX(Produtos!$E$2:$E$71,MATCH(C2777,Produtos!$A$2:$A$71,0)),0)</f>
        <v/>
      </c>
      <c r="R2777" s="27">
        <f>D2777*Q2777</f>
        <v/>
      </c>
      <c r="S2777" s="27">
        <f>R2777*E2777</f>
        <v/>
      </c>
      <c r="T2777" s="27">
        <f>(R2777-S2777)*M2777</f>
        <v/>
      </c>
      <c r="U2777" s="27">
        <f>R2777-S2777-T2777</f>
        <v/>
      </c>
      <c r="V2777" s="27">
        <f>D2777*P2777</f>
        <v/>
      </c>
      <c r="W2777" s="27">
        <f>U2777-V2777</f>
        <v/>
      </c>
      <c r="X2777" s="28">
        <f>IFERROR(W2777/U2777,0)</f>
        <v/>
      </c>
    </row>
    <row r="2778">
      <c r="A2778" s="21">
        <f>ItensPedido!A2778</f>
        <v/>
      </c>
      <c r="B2778" s="21">
        <f>ItensPedido!B2778</f>
        <v/>
      </c>
      <c r="C2778" s="21">
        <f>ItensPedido!C2778</f>
        <v/>
      </c>
      <c r="D2778" s="21">
        <f>ItensPedido!D2778</f>
        <v/>
      </c>
      <c r="E2778" s="22">
        <f>ItensPedido!E2778</f>
        <v/>
      </c>
      <c r="F2778" s="21">
        <f>IFERROR(INDEX(Pedidos!$B$2:$B$1801,MATCH(B2778,Pedidos!$A$2:$A$1801,0)),0)</f>
        <v/>
      </c>
      <c r="G2778" s="21">
        <f>IF(F2778=0,"",YEAR(F2778))</f>
        <v/>
      </c>
      <c r="H2778" s="21">
        <f>IF(F2778=0,"",MONTH(F2778))</f>
        <v/>
      </c>
      <c r="I2778" s="21">
        <f>IFERROR(INDEX(Pedidos!$E$2:$E$1801,MATCH(B2778,Pedidos!$A$2:$A$1801,0)),"")</f>
        <v/>
      </c>
      <c r="J2778" s="21">
        <f>IFERROR(INDEX(Pedidos!$C$2:$C$1801,MATCH(B2778,Pedidos!$A$2:$A$1801,0)),"")</f>
        <v/>
      </c>
      <c r="K2778" s="21">
        <f>IFERROR(INDEX(Pedidos!$D$2:$D$1801,MATCH(B2778,Pedidos!$A$2:$A$1801,0)),"")</f>
        <v/>
      </c>
      <c r="L2778" s="21">
        <f>IFERROR(INDEX(Pedidos!$F$2:$F$1801,MATCH(B2778,Pedidos!$A$2:$A$1801,0)),"")</f>
        <v/>
      </c>
      <c r="M2778" s="22">
        <f>IFERROR(INDEX(Pedidos!$G$2:$G$1801,MATCH(B2778,Pedidos!$A$2:$A$1801,0)),0)</f>
        <v/>
      </c>
      <c r="N2778" s="21">
        <f>IFERROR(INDEX(Produtos!$B$2:$B$71,MATCH(C2778,Produtos!$A$2:$A$71,0)),"")</f>
        <v/>
      </c>
      <c r="O2778" s="21">
        <f>IFERROR(INDEX(Produtos!$C$2:$C$71,MATCH(C2778,Produtos!$A$2:$A$71,0)),"")</f>
        <v/>
      </c>
      <c r="P2778" s="21">
        <f>IFERROR(INDEX(Produtos!$D$2:$D$71,MATCH(C2778,Produtos!$A$2:$A$71,0)),0)</f>
        <v/>
      </c>
      <c r="Q2778" s="21">
        <f>IFERROR(INDEX(Produtos!$E$2:$E$71,MATCH(C2778,Produtos!$A$2:$A$71,0)),0)</f>
        <v/>
      </c>
      <c r="R2778" s="23">
        <f>D2778*Q2778</f>
        <v/>
      </c>
      <c r="S2778" s="23">
        <f>R2778*E2778</f>
        <v/>
      </c>
      <c r="T2778" s="23">
        <f>(R2778-S2778)*M2778</f>
        <v/>
      </c>
      <c r="U2778" s="23">
        <f>R2778-S2778-T2778</f>
        <v/>
      </c>
      <c r="V2778" s="23">
        <f>D2778*P2778</f>
        <v/>
      </c>
      <c r="W2778" s="23">
        <f>U2778-V2778</f>
        <v/>
      </c>
      <c r="X2778" s="24">
        <f>IFERROR(W2778/U2778,0)</f>
        <v/>
      </c>
    </row>
    <row r="2779">
      <c r="A2779" s="25">
        <f>ItensPedido!A2779</f>
        <v/>
      </c>
      <c r="B2779" s="25">
        <f>ItensPedido!B2779</f>
        <v/>
      </c>
      <c r="C2779" s="25">
        <f>ItensPedido!C2779</f>
        <v/>
      </c>
      <c r="D2779" s="25">
        <f>ItensPedido!D2779</f>
        <v/>
      </c>
      <c r="E2779" s="26">
        <f>ItensPedido!E2779</f>
        <v/>
      </c>
      <c r="F2779" s="25">
        <f>IFERROR(INDEX(Pedidos!$B$2:$B$1801,MATCH(B2779,Pedidos!$A$2:$A$1801,0)),0)</f>
        <v/>
      </c>
      <c r="G2779" s="25">
        <f>IF(F2779=0,"",YEAR(F2779))</f>
        <v/>
      </c>
      <c r="H2779" s="25">
        <f>IF(F2779=0,"",MONTH(F2779))</f>
        <v/>
      </c>
      <c r="I2779" s="25">
        <f>IFERROR(INDEX(Pedidos!$E$2:$E$1801,MATCH(B2779,Pedidos!$A$2:$A$1801,0)),"")</f>
        <v/>
      </c>
      <c r="J2779" s="25">
        <f>IFERROR(INDEX(Pedidos!$C$2:$C$1801,MATCH(B2779,Pedidos!$A$2:$A$1801,0)),"")</f>
        <v/>
      </c>
      <c r="K2779" s="25">
        <f>IFERROR(INDEX(Pedidos!$D$2:$D$1801,MATCH(B2779,Pedidos!$A$2:$A$1801,0)),"")</f>
        <v/>
      </c>
      <c r="L2779" s="25">
        <f>IFERROR(INDEX(Pedidos!$F$2:$F$1801,MATCH(B2779,Pedidos!$A$2:$A$1801,0)),"")</f>
        <v/>
      </c>
      <c r="M2779" s="26">
        <f>IFERROR(INDEX(Pedidos!$G$2:$G$1801,MATCH(B2779,Pedidos!$A$2:$A$1801,0)),0)</f>
        <v/>
      </c>
      <c r="N2779" s="25">
        <f>IFERROR(INDEX(Produtos!$B$2:$B$71,MATCH(C2779,Produtos!$A$2:$A$71,0)),"")</f>
        <v/>
      </c>
      <c r="O2779" s="25">
        <f>IFERROR(INDEX(Produtos!$C$2:$C$71,MATCH(C2779,Produtos!$A$2:$A$71,0)),"")</f>
        <v/>
      </c>
      <c r="P2779" s="25">
        <f>IFERROR(INDEX(Produtos!$D$2:$D$71,MATCH(C2779,Produtos!$A$2:$A$71,0)),0)</f>
        <v/>
      </c>
      <c r="Q2779" s="25">
        <f>IFERROR(INDEX(Produtos!$E$2:$E$71,MATCH(C2779,Produtos!$A$2:$A$71,0)),0)</f>
        <v/>
      </c>
      <c r="R2779" s="27">
        <f>D2779*Q2779</f>
        <v/>
      </c>
      <c r="S2779" s="27">
        <f>R2779*E2779</f>
        <v/>
      </c>
      <c r="T2779" s="27">
        <f>(R2779-S2779)*M2779</f>
        <v/>
      </c>
      <c r="U2779" s="27">
        <f>R2779-S2779-T2779</f>
        <v/>
      </c>
      <c r="V2779" s="27">
        <f>D2779*P2779</f>
        <v/>
      </c>
      <c r="W2779" s="27">
        <f>U2779-V2779</f>
        <v/>
      </c>
      <c r="X2779" s="28">
        <f>IFERROR(W2779/U2779,0)</f>
        <v/>
      </c>
    </row>
    <row r="2780">
      <c r="A2780" s="21">
        <f>ItensPedido!A2780</f>
        <v/>
      </c>
      <c r="B2780" s="21">
        <f>ItensPedido!B2780</f>
        <v/>
      </c>
      <c r="C2780" s="21">
        <f>ItensPedido!C2780</f>
        <v/>
      </c>
      <c r="D2780" s="21">
        <f>ItensPedido!D2780</f>
        <v/>
      </c>
      <c r="E2780" s="22">
        <f>ItensPedido!E2780</f>
        <v/>
      </c>
      <c r="F2780" s="21">
        <f>IFERROR(INDEX(Pedidos!$B$2:$B$1801,MATCH(B2780,Pedidos!$A$2:$A$1801,0)),0)</f>
        <v/>
      </c>
      <c r="G2780" s="21">
        <f>IF(F2780=0,"",YEAR(F2780))</f>
        <v/>
      </c>
      <c r="H2780" s="21">
        <f>IF(F2780=0,"",MONTH(F2780))</f>
        <v/>
      </c>
      <c r="I2780" s="21">
        <f>IFERROR(INDEX(Pedidos!$E$2:$E$1801,MATCH(B2780,Pedidos!$A$2:$A$1801,0)),"")</f>
        <v/>
      </c>
      <c r="J2780" s="21">
        <f>IFERROR(INDEX(Pedidos!$C$2:$C$1801,MATCH(B2780,Pedidos!$A$2:$A$1801,0)),"")</f>
        <v/>
      </c>
      <c r="K2780" s="21">
        <f>IFERROR(INDEX(Pedidos!$D$2:$D$1801,MATCH(B2780,Pedidos!$A$2:$A$1801,0)),"")</f>
        <v/>
      </c>
      <c r="L2780" s="21">
        <f>IFERROR(INDEX(Pedidos!$F$2:$F$1801,MATCH(B2780,Pedidos!$A$2:$A$1801,0)),"")</f>
        <v/>
      </c>
      <c r="M2780" s="22">
        <f>IFERROR(INDEX(Pedidos!$G$2:$G$1801,MATCH(B2780,Pedidos!$A$2:$A$1801,0)),0)</f>
        <v/>
      </c>
      <c r="N2780" s="21">
        <f>IFERROR(INDEX(Produtos!$B$2:$B$71,MATCH(C2780,Produtos!$A$2:$A$71,0)),"")</f>
        <v/>
      </c>
      <c r="O2780" s="21">
        <f>IFERROR(INDEX(Produtos!$C$2:$C$71,MATCH(C2780,Produtos!$A$2:$A$71,0)),"")</f>
        <v/>
      </c>
      <c r="P2780" s="21">
        <f>IFERROR(INDEX(Produtos!$D$2:$D$71,MATCH(C2780,Produtos!$A$2:$A$71,0)),0)</f>
        <v/>
      </c>
      <c r="Q2780" s="21">
        <f>IFERROR(INDEX(Produtos!$E$2:$E$71,MATCH(C2780,Produtos!$A$2:$A$71,0)),0)</f>
        <v/>
      </c>
      <c r="R2780" s="23">
        <f>D2780*Q2780</f>
        <v/>
      </c>
      <c r="S2780" s="23">
        <f>R2780*E2780</f>
        <v/>
      </c>
      <c r="T2780" s="23">
        <f>(R2780-S2780)*M2780</f>
        <v/>
      </c>
      <c r="U2780" s="23">
        <f>R2780-S2780-T2780</f>
        <v/>
      </c>
      <c r="V2780" s="23">
        <f>D2780*P2780</f>
        <v/>
      </c>
      <c r="W2780" s="23">
        <f>U2780-V2780</f>
        <v/>
      </c>
      <c r="X2780" s="24">
        <f>IFERROR(W2780/U2780,0)</f>
        <v/>
      </c>
    </row>
    <row r="2781">
      <c r="A2781" s="25">
        <f>ItensPedido!A2781</f>
        <v/>
      </c>
      <c r="B2781" s="25">
        <f>ItensPedido!B2781</f>
        <v/>
      </c>
      <c r="C2781" s="25">
        <f>ItensPedido!C2781</f>
        <v/>
      </c>
      <c r="D2781" s="25">
        <f>ItensPedido!D2781</f>
        <v/>
      </c>
      <c r="E2781" s="26">
        <f>ItensPedido!E2781</f>
        <v/>
      </c>
      <c r="F2781" s="25">
        <f>IFERROR(INDEX(Pedidos!$B$2:$B$1801,MATCH(B2781,Pedidos!$A$2:$A$1801,0)),0)</f>
        <v/>
      </c>
      <c r="G2781" s="25">
        <f>IF(F2781=0,"",YEAR(F2781))</f>
        <v/>
      </c>
      <c r="H2781" s="25">
        <f>IF(F2781=0,"",MONTH(F2781))</f>
        <v/>
      </c>
      <c r="I2781" s="25">
        <f>IFERROR(INDEX(Pedidos!$E$2:$E$1801,MATCH(B2781,Pedidos!$A$2:$A$1801,0)),"")</f>
        <v/>
      </c>
      <c r="J2781" s="25">
        <f>IFERROR(INDEX(Pedidos!$C$2:$C$1801,MATCH(B2781,Pedidos!$A$2:$A$1801,0)),"")</f>
        <v/>
      </c>
      <c r="K2781" s="25">
        <f>IFERROR(INDEX(Pedidos!$D$2:$D$1801,MATCH(B2781,Pedidos!$A$2:$A$1801,0)),"")</f>
        <v/>
      </c>
      <c r="L2781" s="25">
        <f>IFERROR(INDEX(Pedidos!$F$2:$F$1801,MATCH(B2781,Pedidos!$A$2:$A$1801,0)),"")</f>
        <v/>
      </c>
      <c r="M2781" s="26">
        <f>IFERROR(INDEX(Pedidos!$G$2:$G$1801,MATCH(B2781,Pedidos!$A$2:$A$1801,0)),0)</f>
        <v/>
      </c>
      <c r="N2781" s="25">
        <f>IFERROR(INDEX(Produtos!$B$2:$B$71,MATCH(C2781,Produtos!$A$2:$A$71,0)),"")</f>
        <v/>
      </c>
      <c r="O2781" s="25">
        <f>IFERROR(INDEX(Produtos!$C$2:$C$71,MATCH(C2781,Produtos!$A$2:$A$71,0)),"")</f>
        <v/>
      </c>
      <c r="P2781" s="25">
        <f>IFERROR(INDEX(Produtos!$D$2:$D$71,MATCH(C2781,Produtos!$A$2:$A$71,0)),0)</f>
        <v/>
      </c>
      <c r="Q2781" s="25">
        <f>IFERROR(INDEX(Produtos!$E$2:$E$71,MATCH(C2781,Produtos!$A$2:$A$71,0)),0)</f>
        <v/>
      </c>
      <c r="R2781" s="27">
        <f>D2781*Q2781</f>
        <v/>
      </c>
      <c r="S2781" s="27">
        <f>R2781*E2781</f>
        <v/>
      </c>
      <c r="T2781" s="27">
        <f>(R2781-S2781)*M2781</f>
        <v/>
      </c>
      <c r="U2781" s="27">
        <f>R2781-S2781-T2781</f>
        <v/>
      </c>
      <c r="V2781" s="27">
        <f>D2781*P2781</f>
        <v/>
      </c>
      <c r="W2781" s="27">
        <f>U2781-V2781</f>
        <v/>
      </c>
      <c r="X2781" s="28">
        <f>IFERROR(W2781/U2781,0)</f>
        <v/>
      </c>
    </row>
    <row r="2782">
      <c r="A2782" s="21">
        <f>ItensPedido!A2782</f>
        <v/>
      </c>
      <c r="B2782" s="21">
        <f>ItensPedido!B2782</f>
        <v/>
      </c>
      <c r="C2782" s="21">
        <f>ItensPedido!C2782</f>
        <v/>
      </c>
      <c r="D2782" s="21">
        <f>ItensPedido!D2782</f>
        <v/>
      </c>
      <c r="E2782" s="22">
        <f>ItensPedido!E2782</f>
        <v/>
      </c>
      <c r="F2782" s="21">
        <f>IFERROR(INDEX(Pedidos!$B$2:$B$1801,MATCH(B2782,Pedidos!$A$2:$A$1801,0)),0)</f>
        <v/>
      </c>
      <c r="G2782" s="21">
        <f>IF(F2782=0,"",YEAR(F2782))</f>
        <v/>
      </c>
      <c r="H2782" s="21">
        <f>IF(F2782=0,"",MONTH(F2782))</f>
        <v/>
      </c>
      <c r="I2782" s="21">
        <f>IFERROR(INDEX(Pedidos!$E$2:$E$1801,MATCH(B2782,Pedidos!$A$2:$A$1801,0)),"")</f>
        <v/>
      </c>
      <c r="J2782" s="21">
        <f>IFERROR(INDEX(Pedidos!$C$2:$C$1801,MATCH(B2782,Pedidos!$A$2:$A$1801,0)),"")</f>
        <v/>
      </c>
      <c r="K2782" s="21">
        <f>IFERROR(INDEX(Pedidos!$D$2:$D$1801,MATCH(B2782,Pedidos!$A$2:$A$1801,0)),"")</f>
        <v/>
      </c>
      <c r="L2782" s="21">
        <f>IFERROR(INDEX(Pedidos!$F$2:$F$1801,MATCH(B2782,Pedidos!$A$2:$A$1801,0)),"")</f>
        <v/>
      </c>
      <c r="M2782" s="22">
        <f>IFERROR(INDEX(Pedidos!$G$2:$G$1801,MATCH(B2782,Pedidos!$A$2:$A$1801,0)),0)</f>
        <v/>
      </c>
      <c r="N2782" s="21">
        <f>IFERROR(INDEX(Produtos!$B$2:$B$71,MATCH(C2782,Produtos!$A$2:$A$71,0)),"")</f>
        <v/>
      </c>
      <c r="O2782" s="21">
        <f>IFERROR(INDEX(Produtos!$C$2:$C$71,MATCH(C2782,Produtos!$A$2:$A$71,0)),"")</f>
        <v/>
      </c>
      <c r="P2782" s="21">
        <f>IFERROR(INDEX(Produtos!$D$2:$D$71,MATCH(C2782,Produtos!$A$2:$A$71,0)),0)</f>
        <v/>
      </c>
      <c r="Q2782" s="21">
        <f>IFERROR(INDEX(Produtos!$E$2:$E$71,MATCH(C2782,Produtos!$A$2:$A$71,0)),0)</f>
        <v/>
      </c>
      <c r="R2782" s="23">
        <f>D2782*Q2782</f>
        <v/>
      </c>
      <c r="S2782" s="23">
        <f>R2782*E2782</f>
        <v/>
      </c>
      <c r="T2782" s="23">
        <f>(R2782-S2782)*M2782</f>
        <v/>
      </c>
      <c r="U2782" s="23">
        <f>R2782-S2782-T2782</f>
        <v/>
      </c>
      <c r="V2782" s="23">
        <f>D2782*P2782</f>
        <v/>
      </c>
      <c r="W2782" s="23">
        <f>U2782-V2782</f>
        <v/>
      </c>
      <c r="X2782" s="24">
        <f>IFERROR(W2782/U2782,0)</f>
        <v/>
      </c>
    </row>
    <row r="2783">
      <c r="A2783" s="25">
        <f>ItensPedido!A2783</f>
        <v/>
      </c>
      <c r="B2783" s="25">
        <f>ItensPedido!B2783</f>
        <v/>
      </c>
      <c r="C2783" s="25">
        <f>ItensPedido!C2783</f>
        <v/>
      </c>
      <c r="D2783" s="25">
        <f>ItensPedido!D2783</f>
        <v/>
      </c>
      <c r="E2783" s="26">
        <f>ItensPedido!E2783</f>
        <v/>
      </c>
      <c r="F2783" s="25">
        <f>IFERROR(INDEX(Pedidos!$B$2:$B$1801,MATCH(B2783,Pedidos!$A$2:$A$1801,0)),0)</f>
        <v/>
      </c>
      <c r="G2783" s="25">
        <f>IF(F2783=0,"",YEAR(F2783))</f>
        <v/>
      </c>
      <c r="H2783" s="25">
        <f>IF(F2783=0,"",MONTH(F2783))</f>
        <v/>
      </c>
      <c r="I2783" s="25">
        <f>IFERROR(INDEX(Pedidos!$E$2:$E$1801,MATCH(B2783,Pedidos!$A$2:$A$1801,0)),"")</f>
        <v/>
      </c>
      <c r="J2783" s="25">
        <f>IFERROR(INDEX(Pedidos!$C$2:$C$1801,MATCH(B2783,Pedidos!$A$2:$A$1801,0)),"")</f>
        <v/>
      </c>
      <c r="K2783" s="25">
        <f>IFERROR(INDEX(Pedidos!$D$2:$D$1801,MATCH(B2783,Pedidos!$A$2:$A$1801,0)),"")</f>
        <v/>
      </c>
      <c r="L2783" s="25">
        <f>IFERROR(INDEX(Pedidos!$F$2:$F$1801,MATCH(B2783,Pedidos!$A$2:$A$1801,0)),"")</f>
        <v/>
      </c>
      <c r="M2783" s="26">
        <f>IFERROR(INDEX(Pedidos!$G$2:$G$1801,MATCH(B2783,Pedidos!$A$2:$A$1801,0)),0)</f>
        <v/>
      </c>
      <c r="N2783" s="25">
        <f>IFERROR(INDEX(Produtos!$B$2:$B$71,MATCH(C2783,Produtos!$A$2:$A$71,0)),"")</f>
        <v/>
      </c>
      <c r="O2783" s="25">
        <f>IFERROR(INDEX(Produtos!$C$2:$C$71,MATCH(C2783,Produtos!$A$2:$A$71,0)),"")</f>
        <v/>
      </c>
      <c r="P2783" s="25">
        <f>IFERROR(INDEX(Produtos!$D$2:$D$71,MATCH(C2783,Produtos!$A$2:$A$71,0)),0)</f>
        <v/>
      </c>
      <c r="Q2783" s="25">
        <f>IFERROR(INDEX(Produtos!$E$2:$E$71,MATCH(C2783,Produtos!$A$2:$A$71,0)),0)</f>
        <v/>
      </c>
      <c r="R2783" s="27">
        <f>D2783*Q2783</f>
        <v/>
      </c>
      <c r="S2783" s="27">
        <f>R2783*E2783</f>
        <v/>
      </c>
      <c r="T2783" s="27">
        <f>(R2783-S2783)*M2783</f>
        <v/>
      </c>
      <c r="U2783" s="27">
        <f>R2783-S2783-T2783</f>
        <v/>
      </c>
      <c r="V2783" s="27">
        <f>D2783*P2783</f>
        <v/>
      </c>
      <c r="W2783" s="27">
        <f>U2783-V2783</f>
        <v/>
      </c>
      <c r="X2783" s="28">
        <f>IFERROR(W2783/U2783,0)</f>
        <v/>
      </c>
    </row>
    <row r="2784">
      <c r="A2784" s="21">
        <f>ItensPedido!A2784</f>
        <v/>
      </c>
      <c r="B2784" s="21">
        <f>ItensPedido!B2784</f>
        <v/>
      </c>
      <c r="C2784" s="21">
        <f>ItensPedido!C2784</f>
        <v/>
      </c>
      <c r="D2784" s="21">
        <f>ItensPedido!D2784</f>
        <v/>
      </c>
      <c r="E2784" s="22">
        <f>ItensPedido!E2784</f>
        <v/>
      </c>
      <c r="F2784" s="21">
        <f>IFERROR(INDEX(Pedidos!$B$2:$B$1801,MATCH(B2784,Pedidos!$A$2:$A$1801,0)),0)</f>
        <v/>
      </c>
      <c r="G2784" s="21">
        <f>IF(F2784=0,"",YEAR(F2784))</f>
        <v/>
      </c>
      <c r="H2784" s="21">
        <f>IF(F2784=0,"",MONTH(F2784))</f>
        <v/>
      </c>
      <c r="I2784" s="21">
        <f>IFERROR(INDEX(Pedidos!$E$2:$E$1801,MATCH(B2784,Pedidos!$A$2:$A$1801,0)),"")</f>
        <v/>
      </c>
      <c r="J2784" s="21">
        <f>IFERROR(INDEX(Pedidos!$C$2:$C$1801,MATCH(B2784,Pedidos!$A$2:$A$1801,0)),"")</f>
        <v/>
      </c>
      <c r="K2784" s="21">
        <f>IFERROR(INDEX(Pedidos!$D$2:$D$1801,MATCH(B2784,Pedidos!$A$2:$A$1801,0)),"")</f>
        <v/>
      </c>
      <c r="L2784" s="21">
        <f>IFERROR(INDEX(Pedidos!$F$2:$F$1801,MATCH(B2784,Pedidos!$A$2:$A$1801,0)),"")</f>
        <v/>
      </c>
      <c r="M2784" s="22">
        <f>IFERROR(INDEX(Pedidos!$G$2:$G$1801,MATCH(B2784,Pedidos!$A$2:$A$1801,0)),0)</f>
        <v/>
      </c>
      <c r="N2784" s="21">
        <f>IFERROR(INDEX(Produtos!$B$2:$B$71,MATCH(C2784,Produtos!$A$2:$A$71,0)),"")</f>
        <v/>
      </c>
      <c r="O2784" s="21">
        <f>IFERROR(INDEX(Produtos!$C$2:$C$71,MATCH(C2784,Produtos!$A$2:$A$71,0)),"")</f>
        <v/>
      </c>
      <c r="P2784" s="21">
        <f>IFERROR(INDEX(Produtos!$D$2:$D$71,MATCH(C2784,Produtos!$A$2:$A$71,0)),0)</f>
        <v/>
      </c>
      <c r="Q2784" s="21">
        <f>IFERROR(INDEX(Produtos!$E$2:$E$71,MATCH(C2784,Produtos!$A$2:$A$71,0)),0)</f>
        <v/>
      </c>
      <c r="R2784" s="23">
        <f>D2784*Q2784</f>
        <v/>
      </c>
      <c r="S2784" s="23">
        <f>R2784*E2784</f>
        <v/>
      </c>
      <c r="T2784" s="23">
        <f>(R2784-S2784)*M2784</f>
        <v/>
      </c>
      <c r="U2784" s="23">
        <f>R2784-S2784-T2784</f>
        <v/>
      </c>
      <c r="V2784" s="23">
        <f>D2784*P2784</f>
        <v/>
      </c>
      <c r="W2784" s="23">
        <f>U2784-V2784</f>
        <v/>
      </c>
      <c r="X2784" s="24">
        <f>IFERROR(W2784/U2784,0)</f>
        <v/>
      </c>
    </row>
    <row r="2785">
      <c r="A2785" s="25">
        <f>ItensPedido!A2785</f>
        <v/>
      </c>
      <c r="B2785" s="25">
        <f>ItensPedido!B2785</f>
        <v/>
      </c>
      <c r="C2785" s="25">
        <f>ItensPedido!C2785</f>
        <v/>
      </c>
      <c r="D2785" s="25">
        <f>ItensPedido!D2785</f>
        <v/>
      </c>
      <c r="E2785" s="26">
        <f>ItensPedido!E2785</f>
        <v/>
      </c>
      <c r="F2785" s="25">
        <f>IFERROR(INDEX(Pedidos!$B$2:$B$1801,MATCH(B2785,Pedidos!$A$2:$A$1801,0)),0)</f>
        <v/>
      </c>
      <c r="G2785" s="25">
        <f>IF(F2785=0,"",YEAR(F2785))</f>
        <v/>
      </c>
      <c r="H2785" s="25">
        <f>IF(F2785=0,"",MONTH(F2785))</f>
        <v/>
      </c>
      <c r="I2785" s="25">
        <f>IFERROR(INDEX(Pedidos!$E$2:$E$1801,MATCH(B2785,Pedidos!$A$2:$A$1801,0)),"")</f>
        <v/>
      </c>
      <c r="J2785" s="25">
        <f>IFERROR(INDEX(Pedidos!$C$2:$C$1801,MATCH(B2785,Pedidos!$A$2:$A$1801,0)),"")</f>
        <v/>
      </c>
      <c r="K2785" s="25">
        <f>IFERROR(INDEX(Pedidos!$D$2:$D$1801,MATCH(B2785,Pedidos!$A$2:$A$1801,0)),"")</f>
        <v/>
      </c>
      <c r="L2785" s="25">
        <f>IFERROR(INDEX(Pedidos!$F$2:$F$1801,MATCH(B2785,Pedidos!$A$2:$A$1801,0)),"")</f>
        <v/>
      </c>
      <c r="M2785" s="26">
        <f>IFERROR(INDEX(Pedidos!$G$2:$G$1801,MATCH(B2785,Pedidos!$A$2:$A$1801,0)),0)</f>
        <v/>
      </c>
      <c r="N2785" s="25">
        <f>IFERROR(INDEX(Produtos!$B$2:$B$71,MATCH(C2785,Produtos!$A$2:$A$71,0)),"")</f>
        <v/>
      </c>
      <c r="O2785" s="25">
        <f>IFERROR(INDEX(Produtos!$C$2:$C$71,MATCH(C2785,Produtos!$A$2:$A$71,0)),"")</f>
        <v/>
      </c>
      <c r="P2785" s="25">
        <f>IFERROR(INDEX(Produtos!$D$2:$D$71,MATCH(C2785,Produtos!$A$2:$A$71,0)),0)</f>
        <v/>
      </c>
      <c r="Q2785" s="25">
        <f>IFERROR(INDEX(Produtos!$E$2:$E$71,MATCH(C2785,Produtos!$A$2:$A$71,0)),0)</f>
        <v/>
      </c>
      <c r="R2785" s="27">
        <f>D2785*Q2785</f>
        <v/>
      </c>
      <c r="S2785" s="27">
        <f>R2785*E2785</f>
        <v/>
      </c>
      <c r="T2785" s="27">
        <f>(R2785-S2785)*M2785</f>
        <v/>
      </c>
      <c r="U2785" s="27">
        <f>R2785-S2785-T2785</f>
        <v/>
      </c>
      <c r="V2785" s="27">
        <f>D2785*P2785</f>
        <v/>
      </c>
      <c r="W2785" s="27">
        <f>U2785-V2785</f>
        <v/>
      </c>
      <c r="X2785" s="28">
        <f>IFERROR(W2785/U2785,0)</f>
        <v/>
      </c>
    </row>
    <row r="2786">
      <c r="A2786" s="21">
        <f>ItensPedido!A2786</f>
        <v/>
      </c>
      <c r="B2786" s="21">
        <f>ItensPedido!B2786</f>
        <v/>
      </c>
      <c r="C2786" s="21">
        <f>ItensPedido!C2786</f>
        <v/>
      </c>
      <c r="D2786" s="21">
        <f>ItensPedido!D2786</f>
        <v/>
      </c>
      <c r="E2786" s="22">
        <f>ItensPedido!E2786</f>
        <v/>
      </c>
      <c r="F2786" s="21">
        <f>IFERROR(INDEX(Pedidos!$B$2:$B$1801,MATCH(B2786,Pedidos!$A$2:$A$1801,0)),0)</f>
        <v/>
      </c>
      <c r="G2786" s="21">
        <f>IF(F2786=0,"",YEAR(F2786))</f>
        <v/>
      </c>
      <c r="H2786" s="21">
        <f>IF(F2786=0,"",MONTH(F2786))</f>
        <v/>
      </c>
      <c r="I2786" s="21">
        <f>IFERROR(INDEX(Pedidos!$E$2:$E$1801,MATCH(B2786,Pedidos!$A$2:$A$1801,0)),"")</f>
        <v/>
      </c>
      <c r="J2786" s="21">
        <f>IFERROR(INDEX(Pedidos!$C$2:$C$1801,MATCH(B2786,Pedidos!$A$2:$A$1801,0)),"")</f>
        <v/>
      </c>
      <c r="K2786" s="21">
        <f>IFERROR(INDEX(Pedidos!$D$2:$D$1801,MATCH(B2786,Pedidos!$A$2:$A$1801,0)),"")</f>
        <v/>
      </c>
      <c r="L2786" s="21">
        <f>IFERROR(INDEX(Pedidos!$F$2:$F$1801,MATCH(B2786,Pedidos!$A$2:$A$1801,0)),"")</f>
        <v/>
      </c>
      <c r="M2786" s="22">
        <f>IFERROR(INDEX(Pedidos!$G$2:$G$1801,MATCH(B2786,Pedidos!$A$2:$A$1801,0)),0)</f>
        <v/>
      </c>
      <c r="N2786" s="21">
        <f>IFERROR(INDEX(Produtos!$B$2:$B$71,MATCH(C2786,Produtos!$A$2:$A$71,0)),"")</f>
        <v/>
      </c>
      <c r="O2786" s="21">
        <f>IFERROR(INDEX(Produtos!$C$2:$C$71,MATCH(C2786,Produtos!$A$2:$A$71,0)),"")</f>
        <v/>
      </c>
      <c r="P2786" s="21">
        <f>IFERROR(INDEX(Produtos!$D$2:$D$71,MATCH(C2786,Produtos!$A$2:$A$71,0)),0)</f>
        <v/>
      </c>
      <c r="Q2786" s="21">
        <f>IFERROR(INDEX(Produtos!$E$2:$E$71,MATCH(C2786,Produtos!$A$2:$A$71,0)),0)</f>
        <v/>
      </c>
      <c r="R2786" s="23">
        <f>D2786*Q2786</f>
        <v/>
      </c>
      <c r="S2786" s="23">
        <f>R2786*E2786</f>
        <v/>
      </c>
      <c r="T2786" s="23">
        <f>(R2786-S2786)*M2786</f>
        <v/>
      </c>
      <c r="U2786" s="23">
        <f>R2786-S2786-T2786</f>
        <v/>
      </c>
      <c r="V2786" s="23">
        <f>D2786*P2786</f>
        <v/>
      </c>
      <c r="W2786" s="23">
        <f>U2786-V2786</f>
        <v/>
      </c>
      <c r="X2786" s="24">
        <f>IFERROR(W2786/U2786,0)</f>
        <v/>
      </c>
    </row>
    <row r="2787">
      <c r="A2787" s="25">
        <f>ItensPedido!A2787</f>
        <v/>
      </c>
      <c r="B2787" s="25">
        <f>ItensPedido!B2787</f>
        <v/>
      </c>
      <c r="C2787" s="25">
        <f>ItensPedido!C2787</f>
        <v/>
      </c>
      <c r="D2787" s="25">
        <f>ItensPedido!D2787</f>
        <v/>
      </c>
      <c r="E2787" s="26">
        <f>ItensPedido!E2787</f>
        <v/>
      </c>
      <c r="F2787" s="25">
        <f>IFERROR(INDEX(Pedidos!$B$2:$B$1801,MATCH(B2787,Pedidos!$A$2:$A$1801,0)),0)</f>
        <v/>
      </c>
      <c r="G2787" s="25">
        <f>IF(F2787=0,"",YEAR(F2787))</f>
        <v/>
      </c>
      <c r="H2787" s="25">
        <f>IF(F2787=0,"",MONTH(F2787))</f>
        <v/>
      </c>
      <c r="I2787" s="25">
        <f>IFERROR(INDEX(Pedidos!$E$2:$E$1801,MATCH(B2787,Pedidos!$A$2:$A$1801,0)),"")</f>
        <v/>
      </c>
      <c r="J2787" s="25">
        <f>IFERROR(INDEX(Pedidos!$C$2:$C$1801,MATCH(B2787,Pedidos!$A$2:$A$1801,0)),"")</f>
        <v/>
      </c>
      <c r="K2787" s="25">
        <f>IFERROR(INDEX(Pedidos!$D$2:$D$1801,MATCH(B2787,Pedidos!$A$2:$A$1801,0)),"")</f>
        <v/>
      </c>
      <c r="L2787" s="25">
        <f>IFERROR(INDEX(Pedidos!$F$2:$F$1801,MATCH(B2787,Pedidos!$A$2:$A$1801,0)),"")</f>
        <v/>
      </c>
      <c r="M2787" s="26">
        <f>IFERROR(INDEX(Pedidos!$G$2:$G$1801,MATCH(B2787,Pedidos!$A$2:$A$1801,0)),0)</f>
        <v/>
      </c>
      <c r="N2787" s="25">
        <f>IFERROR(INDEX(Produtos!$B$2:$B$71,MATCH(C2787,Produtos!$A$2:$A$71,0)),"")</f>
        <v/>
      </c>
      <c r="O2787" s="25">
        <f>IFERROR(INDEX(Produtos!$C$2:$C$71,MATCH(C2787,Produtos!$A$2:$A$71,0)),"")</f>
        <v/>
      </c>
      <c r="P2787" s="25">
        <f>IFERROR(INDEX(Produtos!$D$2:$D$71,MATCH(C2787,Produtos!$A$2:$A$71,0)),0)</f>
        <v/>
      </c>
      <c r="Q2787" s="25">
        <f>IFERROR(INDEX(Produtos!$E$2:$E$71,MATCH(C2787,Produtos!$A$2:$A$71,0)),0)</f>
        <v/>
      </c>
      <c r="R2787" s="27">
        <f>D2787*Q2787</f>
        <v/>
      </c>
      <c r="S2787" s="27">
        <f>R2787*E2787</f>
        <v/>
      </c>
      <c r="T2787" s="27">
        <f>(R2787-S2787)*M2787</f>
        <v/>
      </c>
      <c r="U2787" s="27">
        <f>R2787-S2787-T2787</f>
        <v/>
      </c>
      <c r="V2787" s="27">
        <f>D2787*P2787</f>
        <v/>
      </c>
      <c r="W2787" s="27">
        <f>U2787-V2787</f>
        <v/>
      </c>
      <c r="X2787" s="28">
        <f>IFERROR(W2787/U2787,0)</f>
        <v/>
      </c>
    </row>
    <row r="2788">
      <c r="A2788" s="21">
        <f>ItensPedido!A2788</f>
        <v/>
      </c>
      <c r="B2788" s="21">
        <f>ItensPedido!B2788</f>
        <v/>
      </c>
      <c r="C2788" s="21">
        <f>ItensPedido!C2788</f>
        <v/>
      </c>
      <c r="D2788" s="21">
        <f>ItensPedido!D2788</f>
        <v/>
      </c>
      <c r="E2788" s="22">
        <f>ItensPedido!E2788</f>
        <v/>
      </c>
      <c r="F2788" s="21">
        <f>IFERROR(INDEX(Pedidos!$B$2:$B$1801,MATCH(B2788,Pedidos!$A$2:$A$1801,0)),0)</f>
        <v/>
      </c>
      <c r="G2788" s="21">
        <f>IF(F2788=0,"",YEAR(F2788))</f>
        <v/>
      </c>
      <c r="H2788" s="21">
        <f>IF(F2788=0,"",MONTH(F2788))</f>
        <v/>
      </c>
      <c r="I2788" s="21">
        <f>IFERROR(INDEX(Pedidos!$E$2:$E$1801,MATCH(B2788,Pedidos!$A$2:$A$1801,0)),"")</f>
        <v/>
      </c>
      <c r="J2788" s="21">
        <f>IFERROR(INDEX(Pedidos!$C$2:$C$1801,MATCH(B2788,Pedidos!$A$2:$A$1801,0)),"")</f>
        <v/>
      </c>
      <c r="K2788" s="21">
        <f>IFERROR(INDEX(Pedidos!$D$2:$D$1801,MATCH(B2788,Pedidos!$A$2:$A$1801,0)),"")</f>
        <v/>
      </c>
      <c r="L2788" s="21">
        <f>IFERROR(INDEX(Pedidos!$F$2:$F$1801,MATCH(B2788,Pedidos!$A$2:$A$1801,0)),"")</f>
        <v/>
      </c>
      <c r="M2788" s="22">
        <f>IFERROR(INDEX(Pedidos!$G$2:$G$1801,MATCH(B2788,Pedidos!$A$2:$A$1801,0)),0)</f>
        <v/>
      </c>
      <c r="N2788" s="21">
        <f>IFERROR(INDEX(Produtos!$B$2:$B$71,MATCH(C2788,Produtos!$A$2:$A$71,0)),"")</f>
        <v/>
      </c>
      <c r="O2788" s="21">
        <f>IFERROR(INDEX(Produtos!$C$2:$C$71,MATCH(C2788,Produtos!$A$2:$A$71,0)),"")</f>
        <v/>
      </c>
      <c r="P2788" s="21">
        <f>IFERROR(INDEX(Produtos!$D$2:$D$71,MATCH(C2788,Produtos!$A$2:$A$71,0)),0)</f>
        <v/>
      </c>
      <c r="Q2788" s="21">
        <f>IFERROR(INDEX(Produtos!$E$2:$E$71,MATCH(C2788,Produtos!$A$2:$A$71,0)),0)</f>
        <v/>
      </c>
      <c r="R2788" s="23">
        <f>D2788*Q2788</f>
        <v/>
      </c>
      <c r="S2788" s="23">
        <f>R2788*E2788</f>
        <v/>
      </c>
      <c r="T2788" s="23">
        <f>(R2788-S2788)*M2788</f>
        <v/>
      </c>
      <c r="U2788" s="23">
        <f>R2788-S2788-T2788</f>
        <v/>
      </c>
      <c r="V2788" s="23">
        <f>D2788*P2788</f>
        <v/>
      </c>
      <c r="W2788" s="23">
        <f>U2788-V2788</f>
        <v/>
      </c>
      <c r="X2788" s="24">
        <f>IFERROR(W2788/U2788,0)</f>
        <v/>
      </c>
    </row>
    <row r="2789">
      <c r="A2789" s="25">
        <f>ItensPedido!A2789</f>
        <v/>
      </c>
      <c r="B2789" s="25">
        <f>ItensPedido!B2789</f>
        <v/>
      </c>
      <c r="C2789" s="25">
        <f>ItensPedido!C2789</f>
        <v/>
      </c>
      <c r="D2789" s="25">
        <f>ItensPedido!D2789</f>
        <v/>
      </c>
      <c r="E2789" s="26">
        <f>ItensPedido!E2789</f>
        <v/>
      </c>
      <c r="F2789" s="25">
        <f>IFERROR(INDEX(Pedidos!$B$2:$B$1801,MATCH(B2789,Pedidos!$A$2:$A$1801,0)),0)</f>
        <v/>
      </c>
      <c r="G2789" s="25">
        <f>IF(F2789=0,"",YEAR(F2789))</f>
        <v/>
      </c>
      <c r="H2789" s="25">
        <f>IF(F2789=0,"",MONTH(F2789))</f>
        <v/>
      </c>
      <c r="I2789" s="25">
        <f>IFERROR(INDEX(Pedidos!$E$2:$E$1801,MATCH(B2789,Pedidos!$A$2:$A$1801,0)),"")</f>
        <v/>
      </c>
      <c r="J2789" s="25">
        <f>IFERROR(INDEX(Pedidos!$C$2:$C$1801,MATCH(B2789,Pedidos!$A$2:$A$1801,0)),"")</f>
        <v/>
      </c>
      <c r="K2789" s="25">
        <f>IFERROR(INDEX(Pedidos!$D$2:$D$1801,MATCH(B2789,Pedidos!$A$2:$A$1801,0)),"")</f>
        <v/>
      </c>
      <c r="L2789" s="25">
        <f>IFERROR(INDEX(Pedidos!$F$2:$F$1801,MATCH(B2789,Pedidos!$A$2:$A$1801,0)),"")</f>
        <v/>
      </c>
      <c r="M2789" s="26">
        <f>IFERROR(INDEX(Pedidos!$G$2:$G$1801,MATCH(B2789,Pedidos!$A$2:$A$1801,0)),0)</f>
        <v/>
      </c>
      <c r="N2789" s="25">
        <f>IFERROR(INDEX(Produtos!$B$2:$B$71,MATCH(C2789,Produtos!$A$2:$A$71,0)),"")</f>
        <v/>
      </c>
      <c r="O2789" s="25">
        <f>IFERROR(INDEX(Produtos!$C$2:$C$71,MATCH(C2789,Produtos!$A$2:$A$71,0)),"")</f>
        <v/>
      </c>
      <c r="P2789" s="25">
        <f>IFERROR(INDEX(Produtos!$D$2:$D$71,MATCH(C2789,Produtos!$A$2:$A$71,0)),0)</f>
        <v/>
      </c>
      <c r="Q2789" s="25">
        <f>IFERROR(INDEX(Produtos!$E$2:$E$71,MATCH(C2789,Produtos!$A$2:$A$71,0)),0)</f>
        <v/>
      </c>
      <c r="R2789" s="27">
        <f>D2789*Q2789</f>
        <v/>
      </c>
      <c r="S2789" s="27">
        <f>R2789*E2789</f>
        <v/>
      </c>
      <c r="T2789" s="27">
        <f>(R2789-S2789)*M2789</f>
        <v/>
      </c>
      <c r="U2789" s="27">
        <f>R2789-S2789-T2789</f>
        <v/>
      </c>
      <c r="V2789" s="27">
        <f>D2789*P2789</f>
        <v/>
      </c>
      <c r="W2789" s="27">
        <f>U2789-V2789</f>
        <v/>
      </c>
      <c r="X2789" s="28">
        <f>IFERROR(W2789/U2789,0)</f>
        <v/>
      </c>
    </row>
    <row r="2790">
      <c r="A2790" s="21">
        <f>ItensPedido!A2790</f>
        <v/>
      </c>
      <c r="B2790" s="21">
        <f>ItensPedido!B2790</f>
        <v/>
      </c>
      <c r="C2790" s="21">
        <f>ItensPedido!C2790</f>
        <v/>
      </c>
      <c r="D2790" s="21">
        <f>ItensPedido!D2790</f>
        <v/>
      </c>
      <c r="E2790" s="22">
        <f>ItensPedido!E2790</f>
        <v/>
      </c>
      <c r="F2790" s="21">
        <f>IFERROR(INDEX(Pedidos!$B$2:$B$1801,MATCH(B2790,Pedidos!$A$2:$A$1801,0)),0)</f>
        <v/>
      </c>
      <c r="G2790" s="21">
        <f>IF(F2790=0,"",YEAR(F2790))</f>
        <v/>
      </c>
      <c r="H2790" s="21">
        <f>IF(F2790=0,"",MONTH(F2790))</f>
        <v/>
      </c>
      <c r="I2790" s="21">
        <f>IFERROR(INDEX(Pedidos!$E$2:$E$1801,MATCH(B2790,Pedidos!$A$2:$A$1801,0)),"")</f>
        <v/>
      </c>
      <c r="J2790" s="21">
        <f>IFERROR(INDEX(Pedidos!$C$2:$C$1801,MATCH(B2790,Pedidos!$A$2:$A$1801,0)),"")</f>
        <v/>
      </c>
      <c r="K2790" s="21">
        <f>IFERROR(INDEX(Pedidos!$D$2:$D$1801,MATCH(B2790,Pedidos!$A$2:$A$1801,0)),"")</f>
        <v/>
      </c>
      <c r="L2790" s="21">
        <f>IFERROR(INDEX(Pedidos!$F$2:$F$1801,MATCH(B2790,Pedidos!$A$2:$A$1801,0)),"")</f>
        <v/>
      </c>
      <c r="M2790" s="22">
        <f>IFERROR(INDEX(Pedidos!$G$2:$G$1801,MATCH(B2790,Pedidos!$A$2:$A$1801,0)),0)</f>
        <v/>
      </c>
      <c r="N2790" s="21">
        <f>IFERROR(INDEX(Produtos!$B$2:$B$71,MATCH(C2790,Produtos!$A$2:$A$71,0)),"")</f>
        <v/>
      </c>
      <c r="O2790" s="21">
        <f>IFERROR(INDEX(Produtos!$C$2:$C$71,MATCH(C2790,Produtos!$A$2:$A$71,0)),"")</f>
        <v/>
      </c>
      <c r="P2790" s="21">
        <f>IFERROR(INDEX(Produtos!$D$2:$D$71,MATCH(C2790,Produtos!$A$2:$A$71,0)),0)</f>
        <v/>
      </c>
      <c r="Q2790" s="21">
        <f>IFERROR(INDEX(Produtos!$E$2:$E$71,MATCH(C2790,Produtos!$A$2:$A$71,0)),0)</f>
        <v/>
      </c>
      <c r="R2790" s="23">
        <f>D2790*Q2790</f>
        <v/>
      </c>
      <c r="S2790" s="23">
        <f>R2790*E2790</f>
        <v/>
      </c>
      <c r="T2790" s="23">
        <f>(R2790-S2790)*M2790</f>
        <v/>
      </c>
      <c r="U2790" s="23">
        <f>R2790-S2790-T2790</f>
        <v/>
      </c>
      <c r="V2790" s="23">
        <f>D2790*P2790</f>
        <v/>
      </c>
      <c r="W2790" s="23">
        <f>U2790-V2790</f>
        <v/>
      </c>
      <c r="X2790" s="24">
        <f>IFERROR(W2790/U2790,0)</f>
        <v/>
      </c>
    </row>
    <row r="2791">
      <c r="A2791" s="25">
        <f>ItensPedido!A2791</f>
        <v/>
      </c>
      <c r="B2791" s="25">
        <f>ItensPedido!B2791</f>
        <v/>
      </c>
      <c r="C2791" s="25">
        <f>ItensPedido!C2791</f>
        <v/>
      </c>
      <c r="D2791" s="25">
        <f>ItensPedido!D2791</f>
        <v/>
      </c>
      <c r="E2791" s="26">
        <f>ItensPedido!E2791</f>
        <v/>
      </c>
      <c r="F2791" s="25">
        <f>IFERROR(INDEX(Pedidos!$B$2:$B$1801,MATCH(B2791,Pedidos!$A$2:$A$1801,0)),0)</f>
        <v/>
      </c>
      <c r="G2791" s="25">
        <f>IF(F2791=0,"",YEAR(F2791))</f>
        <v/>
      </c>
      <c r="H2791" s="25">
        <f>IF(F2791=0,"",MONTH(F2791))</f>
        <v/>
      </c>
      <c r="I2791" s="25">
        <f>IFERROR(INDEX(Pedidos!$E$2:$E$1801,MATCH(B2791,Pedidos!$A$2:$A$1801,0)),"")</f>
        <v/>
      </c>
      <c r="J2791" s="25">
        <f>IFERROR(INDEX(Pedidos!$C$2:$C$1801,MATCH(B2791,Pedidos!$A$2:$A$1801,0)),"")</f>
        <v/>
      </c>
      <c r="K2791" s="25">
        <f>IFERROR(INDEX(Pedidos!$D$2:$D$1801,MATCH(B2791,Pedidos!$A$2:$A$1801,0)),"")</f>
        <v/>
      </c>
      <c r="L2791" s="25">
        <f>IFERROR(INDEX(Pedidos!$F$2:$F$1801,MATCH(B2791,Pedidos!$A$2:$A$1801,0)),"")</f>
        <v/>
      </c>
      <c r="M2791" s="26">
        <f>IFERROR(INDEX(Pedidos!$G$2:$G$1801,MATCH(B2791,Pedidos!$A$2:$A$1801,0)),0)</f>
        <v/>
      </c>
      <c r="N2791" s="25">
        <f>IFERROR(INDEX(Produtos!$B$2:$B$71,MATCH(C2791,Produtos!$A$2:$A$71,0)),"")</f>
        <v/>
      </c>
      <c r="O2791" s="25">
        <f>IFERROR(INDEX(Produtos!$C$2:$C$71,MATCH(C2791,Produtos!$A$2:$A$71,0)),"")</f>
        <v/>
      </c>
      <c r="P2791" s="25">
        <f>IFERROR(INDEX(Produtos!$D$2:$D$71,MATCH(C2791,Produtos!$A$2:$A$71,0)),0)</f>
        <v/>
      </c>
      <c r="Q2791" s="25">
        <f>IFERROR(INDEX(Produtos!$E$2:$E$71,MATCH(C2791,Produtos!$A$2:$A$71,0)),0)</f>
        <v/>
      </c>
      <c r="R2791" s="27">
        <f>D2791*Q2791</f>
        <v/>
      </c>
      <c r="S2791" s="27">
        <f>R2791*E2791</f>
        <v/>
      </c>
      <c r="T2791" s="27">
        <f>(R2791-S2791)*M2791</f>
        <v/>
      </c>
      <c r="U2791" s="27">
        <f>R2791-S2791-T2791</f>
        <v/>
      </c>
      <c r="V2791" s="27">
        <f>D2791*P2791</f>
        <v/>
      </c>
      <c r="W2791" s="27">
        <f>U2791-V2791</f>
        <v/>
      </c>
      <c r="X2791" s="28">
        <f>IFERROR(W2791/U2791,0)</f>
        <v/>
      </c>
    </row>
    <row r="2792">
      <c r="A2792" s="21">
        <f>ItensPedido!A2792</f>
        <v/>
      </c>
      <c r="B2792" s="21">
        <f>ItensPedido!B2792</f>
        <v/>
      </c>
      <c r="C2792" s="21">
        <f>ItensPedido!C2792</f>
        <v/>
      </c>
      <c r="D2792" s="21">
        <f>ItensPedido!D2792</f>
        <v/>
      </c>
      <c r="E2792" s="22">
        <f>ItensPedido!E2792</f>
        <v/>
      </c>
      <c r="F2792" s="21">
        <f>IFERROR(INDEX(Pedidos!$B$2:$B$1801,MATCH(B2792,Pedidos!$A$2:$A$1801,0)),0)</f>
        <v/>
      </c>
      <c r="G2792" s="21">
        <f>IF(F2792=0,"",YEAR(F2792))</f>
        <v/>
      </c>
      <c r="H2792" s="21">
        <f>IF(F2792=0,"",MONTH(F2792))</f>
        <v/>
      </c>
      <c r="I2792" s="21">
        <f>IFERROR(INDEX(Pedidos!$E$2:$E$1801,MATCH(B2792,Pedidos!$A$2:$A$1801,0)),"")</f>
        <v/>
      </c>
      <c r="J2792" s="21">
        <f>IFERROR(INDEX(Pedidos!$C$2:$C$1801,MATCH(B2792,Pedidos!$A$2:$A$1801,0)),"")</f>
        <v/>
      </c>
      <c r="K2792" s="21">
        <f>IFERROR(INDEX(Pedidos!$D$2:$D$1801,MATCH(B2792,Pedidos!$A$2:$A$1801,0)),"")</f>
        <v/>
      </c>
      <c r="L2792" s="21">
        <f>IFERROR(INDEX(Pedidos!$F$2:$F$1801,MATCH(B2792,Pedidos!$A$2:$A$1801,0)),"")</f>
        <v/>
      </c>
      <c r="M2792" s="22">
        <f>IFERROR(INDEX(Pedidos!$G$2:$G$1801,MATCH(B2792,Pedidos!$A$2:$A$1801,0)),0)</f>
        <v/>
      </c>
      <c r="N2792" s="21">
        <f>IFERROR(INDEX(Produtos!$B$2:$B$71,MATCH(C2792,Produtos!$A$2:$A$71,0)),"")</f>
        <v/>
      </c>
      <c r="O2792" s="21">
        <f>IFERROR(INDEX(Produtos!$C$2:$C$71,MATCH(C2792,Produtos!$A$2:$A$71,0)),"")</f>
        <v/>
      </c>
      <c r="P2792" s="21">
        <f>IFERROR(INDEX(Produtos!$D$2:$D$71,MATCH(C2792,Produtos!$A$2:$A$71,0)),0)</f>
        <v/>
      </c>
      <c r="Q2792" s="21">
        <f>IFERROR(INDEX(Produtos!$E$2:$E$71,MATCH(C2792,Produtos!$A$2:$A$71,0)),0)</f>
        <v/>
      </c>
      <c r="R2792" s="23">
        <f>D2792*Q2792</f>
        <v/>
      </c>
      <c r="S2792" s="23">
        <f>R2792*E2792</f>
        <v/>
      </c>
      <c r="T2792" s="23">
        <f>(R2792-S2792)*M2792</f>
        <v/>
      </c>
      <c r="U2792" s="23">
        <f>R2792-S2792-T2792</f>
        <v/>
      </c>
      <c r="V2792" s="23">
        <f>D2792*P2792</f>
        <v/>
      </c>
      <c r="W2792" s="23">
        <f>U2792-V2792</f>
        <v/>
      </c>
      <c r="X2792" s="24">
        <f>IFERROR(W2792/U2792,0)</f>
        <v/>
      </c>
    </row>
    <row r="2793">
      <c r="A2793" s="25">
        <f>ItensPedido!A2793</f>
        <v/>
      </c>
      <c r="B2793" s="25">
        <f>ItensPedido!B2793</f>
        <v/>
      </c>
      <c r="C2793" s="25">
        <f>ItensPedido!C2793</f>
        <v/>
      </c>
      <c r="D2793" s="25">
        <f>ItensPedido!D2793</f>
        <v/>
      </c>
      <c r="E2793" s="26">
        <f>ItensPedido!E2793</f>
        <v/>
      </c>
      <c r="F2793" s="25">
        <f>IFERROR(INDEX(Pedidos!$B$2:$B$1801,MATCH(B2793,Pedidos!$A$2:$A$1801,0)),0)</f>
        <v/>
      </c>
      <c r="G2793" s="25">
        <f>IF(F2793=0,"",YEAR(F2793))</f>
        <v/>
      </c>
      <c r="H2793" s="25">
        <f>IF(F2793=0,"",MONTH(F2793))</f>
        <v/>
      </c>
      <c r="I2793" s="25">
        <f>IFERROR(INDEX(Pedidos!$E$2:$E$1801,MATCH(B2793,Pedidos!$A$2:$A$1801,0)),"")</f>
        <v/>
      </c>
      <c r="J2793" s="25">
        <f>IFERROR(INDEX(Pedidos!$C$2:$C$1801,MATCH(B2793,Pedidos!$A$2:$A$1801,0)),"")</f>
        <v/>
      </c>
      <c r="K2793" s="25">
        <f>IFERROR(INDEX(Pedidos!$D$2:$D$1801,MATCH(B2793,Pedidos!$A$2:$A$1801,0)),"")</f>
        <v/>
      </c>
      <c r="L2793" s="25">
        <f>IFERROR(INDEX(Pedidos!$F$2:$F$1801,MATCH(B2793,Pedidos!$A$2:$A$1801,0)),"")</f>
        <v/>
      </c>
      <c r="M2793" s="26">
        <f>IFERROR(INDEX(Pedidos!$G$2:$G$1801,MATCH(B2793,Pedidos!$A$2:$A$1801,0)),0)</f>
        <v/>
      </c>
      <c r="N2793" s="25">
        <f>IFERROR(INDEX(Produtos!$B$2:$B$71,MATCH(C2793,Produtos!$A$2:$A$71,0)),"")</f>
        <v/>
      </c>
      <c r="O2793" s="25">
        <f>IFERROR(INDEX(Produtos!$C$2:$C$71,MATCH(C2793,Produtos!$A$2:$A$71,0)),"")</f>
        <v/>
      </c>
      <c r="P2793" s="25">
        <f>IFERROR(INDEX(Produtos!$D$2:$D$71,MATCH(C2793,Produtos!$A$2:$A$71,0)),0)</f>
        <v/>
      </c>
      <c r="Q2793" s="25">
        <f>IFERROR(INDEX(Produtos!$E$2:$E$71,MATCH(C2793,Produtos!$A$2:$A$71,0)),0)</f>
        <v/>
      </c>
      <c r="R2793" s="27">
        <f>D2793*Q2793</f>
        <v/>
      </c>
      <c r="S2793" s="27">
        <f>R2793*E2793</f>
        <v/>
      </c>
      <c r="T2793" s="27">
        <f>(R2793-S2793)*M2793</f>
        <v/>
      </c>
      <c r="U2793" s="27">
        <f>R2793-S2793-T2793</f>
        <v/>
      </c>
      <c r="V2793" s="27">
        <f>D2793*P2793</f>
        <v/>
      </c>
      <c r="W2793" s="27">
        <f>U2793-V2793</f>
        <v/>
      </c>
      <c r="X2793" s="28">
        <f>IFERROR(W2793/U2793,0)</f>
        <v/>
      </c>
    </row>
    <row r="2794">
      <c r="A2794" s="21">
        <f>ItensPedido!A2794</f>
        <v/>
      </c>
      <c r="B2794" s="21">
        <f>ItensPedido!B2794</f>
        <v/>
      </c>
      <c r="C2794" s="21">
        <f>ItensPedido!C2794</f>
        <v/>
      </c>
      <c r="D2794" s="21">
        <f>ItensPedido!D2794</f>
        <v/>
      </c>
      <c r="E2794" s="22">
        <f>ItensPedido!E2794</f>
        <v/>
      </c>
      <c r="F2794" s="21">
        <f>IFERROR(INDEX(Pedidos!$B$2:$B$1801,MATCH(B2794,Pedidos!$A$2:$A$1801,0)),0)</f>
        <v/>
      </c>
      <c r="G2794" s="21">
        <f>IF(F2794=0,"",YEAR(F2794))</f>
        <v/>
      </c>
      <c r="H2794" s="21">
        <f>IF(F2794=0,"",MONTH(F2794))</f>
        <v/>
      </c>
      <c r="I2794" s="21">
        <f>IFERROR(INDEX(Pedidos!$E$2:$E$1801,MATCH(B2794,Pedidos!$A$2:$A$1801,0)),"")</f>
        <v/>
      </c>
      <c r="J2794" s="21">
        <f>IFERROR(INDEX(Pedidos!$C$2:$C$1801,MATCH(B2794,Pedidos!$A$2:$A$1801,0)),"")</f>
        <v/>
      </c>
      <c r="K2794" s="21">
        <f>IFERROR(INDEX(Pedidos!$D$2:$D$1801,MATCH(B2794,Pedidos!$A$2:$A$1801,0)),"")</f>
        <v/>
      </c>
      <c r="L2794" s="21">
        <f>IFERROR(INDEX(Pedidos!$F$2:$F$1801,MATCH(B2794,Pedidos!$A$2:$A$1801,0)),"")</f>
        <v/>
      </c>
      <c r="M2794" s="22">
        <f>IFERROR(INDEX(Pedidos!$G$2:$G$1801,MATCH(B2794,Pedidos!$A$2:$A$1801,0)),0)</f>
        <v/>
      </c>
      <c r="N2794" s="21">
        <f>IFERROR(INDEX(Produtos!$B$2:$B$71,MATCH(C2794,Produtos!$A$2:$A$71,0)),"")</f>
        <v/>
      </c>
      <c r="O2794" s="21">
        <f>IFERROR(INDEX(Produtos!$C$2:$C$71,MATCH(C2794,Produtos!$A$2:$A$71,0)),"")</f>
        <v/>
      </c>
      <c r="P2794" s="21">
        <f>IFERROR(INDEX(Produtos!$D$2:$D$71,MATCH(C2794,Produtos!$A$2:$A$71,0)),0)</f>
        <v/>
      </c>
      <c r="Q2794" s="21">
        <f>IFERROR(INDEX(Produtos!$E$2:$E$71,MATCH(C2794,Produtos!$A$2:$A$71,0)),0)</f>
        <v/>
      </c>
      <c r="R2794" s="23">
        <f>D2794*Q2794</f>
        <v/>
      </c>
      <c r="S2794" s="23">
        <f>R2794*E2794</f>
        <v/>
      </c>
      <c r="T2794" s="23">
        <f>(R2794-S2794)*M2794</f>
        <v/>
      </c>
      <c r="U2794" s="23">
        <f>R2794-S2794-T2794</f>
        <v/>
      </c>
      <c r="V2794" s="23">
        <f>D2794*P2794</f>
        <v/>
      </c>
      <c r="W2794" s="23">
        <f>U2794-V2794</f>
        <v/>
      </c>
      <c r="X2794" s="24">
        <f>IFERROR(W2794/U2794,0)</f>
        <v/>
      </c>
    </row>
    <row r="2795">
      <c r="A2795" s="25">
        <f>ItensPedido!A2795</f>
        <v/>
      </c>
      <c r="B2795" s="25">
        <f>ItensPedido!B2795</f>
        <v/>
      </c>
      <c r="C2795" s="25">
        <f>ItensPedido!C2795</f>
        <v/>
      </c>
      <c r="D2795" s="25">
        <f>ItensPedido!D2795</f>
        <v/>
      </c>
      <c r="E2795" s="26">
        <f>ItensPedido!E2795</f>
        <v/>
      </c>
      <c r="F2795" s="25">
        <f>IFERROR(INDEX(Pedidos!$B$2:$B$1801,MATCH(B2795,Pedidos!$A$2:$A$1801,0)),0)</f>
        <v/>
      </c>
      <c r="G2795" s="25">
        <f>IF(F2795=0,"",YEAR(F2795))</f>
        <v/>
      </c>
      <c r="H2795" s="25">
        <f>IF(F2795=0,"",MONTH(F2795))</f>
        <v/>
      </c>
      <c r="I2795" s="25">
        <f>IFERROR(INDEX(Pedidos!$E$2:$E$1801,MATCH(B2795,Pedidos!$A$2:$A$1801,0)),"")</f>
        <v/>
      </c>
      <c r="J2795" s="25">
        <f>IFERROR(INDEX(Pedidos!$C$2:$C$1801,MATCH(B2795,Pedidos!$A$2:$A$1801,0)),"")</f>
        <v/>
      </c>
      <c r="K2795" s="25">
        <f>IFERROR(INDEX(Pedidos!$D$2:$D$1801,MATCH(B2795,Pedidos!$A$2:$A$1801,0)),"")</f>
        <v/>
      </c>
      <c r="L2795" s="25">
        <f>IFERROR(INDEX(Pedidos!$F$2:$F$1801,MATCH(B2795,Pedidos!$A$2:$A$1801,0)),"")</f>
        <v/>
      </c>
      <c r="M2795" s="26">
        <f>IFERROR(INDEX(Pedidos!$G$2:$G$1801,MATCH(B2795,Pedidos!$A$2:$A$1801,0)),0)</f>
        <v/>
      </c>
      <c r="N2795" s="25">
        <f>IFERROR(INDEX(Produtos!$B$2:$B$71,MATCH(C2795,Produtos!$A$2:$A$71,0)),"")</f>
        <v/>
      </c>
      <c r="O2795" s="25">
        <f>IFERROR(INDEX(Produtos!$C$2:$C$71,MATCH(C2795,Produtos!$A$2:$A$71,0)),"")</f>
        <v/>
      </c>
      <c r="P2795" s="25">
        <f>IFERROR(INDEX(Produtos!$D$2:$D$71,MATCH(C2795,Produtos!$A$2:$A$71,0)),0)</f>
        <v/>
      </c>
      <c r="Q2795" s="25">
        <f>IFERROR(INDEX(Produtos!$E$2:$E$71,MATCH(C2795,Produtos!$A$2:$A$71,0)),0)</f>
        <v/>
      </c>
      <c r="R2795" s="27">
        <f>D2795*Q2795</f>
        <v/>
      </c>
      <c r="S2795" s="27">
        <f>R2795*E2795</f>
        <v/>
      </c>
      <c r="T2795" s="27">
        <f>(R2795-S2795)*M2795</f>
        <v/>
      </c>
      <c r="U2795" s="27">
        <f>R2795-S2795-T2795</f>
        <v/>
      </c>
      <c r="V2795" s="27">
        <f>D2795*P2795</f>
        <v/>
      </c>
      <c r="W2795" s="27">
        <f>U2795-V2795</f>
        <v/>
      </c>
      <c r="X2795" s="28">
        <f>IFERROR(W2795/U2795,0)</f>
        <v/>
      </c>
    </row>
    <row r="2796">
      <c r="A2796" s="21">
        <f>ItensPedido!A2796</f>
        <v/>
      </c>
      <c r="B2796" s="21">
        <f>ItensPedido!B2796</f>
        <v/>
      </c>
      <c r="C2796" s="21">
        <f>ItensPedido!C2796</f>
        <v/>
      </c>
      <c r="D2796" s="21">
        <f>ItensPedido!D2796</f>
        <v/>
      </c>
      <c r="E2796" s="22">
        <f>ItensPedido!E2796</f>
        <v/>
      </c>
      <c r="F2796" s="21">
        <f>IFERROR(INDEX(Pedidos!$B$2:$B$1801,MATCH(B2796,Pedidos!$A$2:$A$1801,0)),0)</f>
        <v/>
      </c>
      <c r="G2796" s="21">
        <f>IF(F2796=0,"",YEAR(F2796))</f>
        <v/>
      </c>
      <c r="H2796" s="21">
        <f>IF(F2796=0,"",MONTH(F2796))</f>
        <v/>
      </c>
      <c r="I2796" s="21">
        <f>IFERROR(INDEX(Pedidos!$E$2:$E$1801,MATCH(B2796,Pedidos!$A$2:$A$1801,0)),"")</f>
        <v/>
      </c>
      <c r="J2796" s="21">
        <f>IFERROR(INDEX(Pedidos!$C$2:$C$1801,MATCH(B2796,Pedidos!$A$2:$A$1801,0)),"")</f>
        <v/>
      </c>
      <c r="K2796" s="21">
        <f>IFERROR(INDEX(Pedidos!$D$2:$D$1801,MATCH(B2796,Pedidos!$A$2:$A$1801,0)),"")</f>
        <v/>
      </c>
      <c r="L2796" s="21">
        <f>IFERROR(INDEX(Pedidos!$F$2:$F$1801,MATCH(B2796,Pedidos!$A$2:$A$1801,0)),"")</f>
        <v/>
      </c>
      <c r="M2796" s="22">
        <f>IFERROR(INDEX(Pedidos!$G$2:$G$1801,MATCH(B2796,Pedidos!$A$2:$A$1801,0)),0)</f>
        <v/>
      </c>
      <c r="N2796" s="21">
        <f>IFERROR(INDEX(Produtos!$B$2:$B$71,MATCH(C2796,Produtos!$A$2:$A$71,0)),"")</f>
        <v/>
      </c>
      <c r="O2796" s="21">
        <f>IFERROR(INDEX(Produtos!$C$2:$C$71,MATCH(C2796,Produtos!$A$2:$A$71,0)),"")</f>
        <v/>
      </c>
      <c r="P2796" s="21">
        <f>IFERROR(INDEX(Produtos!$D$2:$D$71,MATCH(C2796,Produtos!$A$2:$A$71,0)),0)</f>
        <v/>
      </c>
      <c r="Q2796" s="21">
        <f>IFERROR(INDEX(Produtos!$E$2:$E$71,MATCH(C2796,Produtos!$A$2:$A$71,0)),0)</f>
        <v/>
      </c>
      <c r="R2796" s="23">
        <f>D2796*Q2796</f>
        <v/>
      </c>
      <c r="S2796" s="23">
        <f>R2796*E2796</f>
        <v/>
      </c>
      <c r="T2796" s="23">
        <f>(R2796-S2796)*M2796</f>
        <v/>
      </c>
      <c r="U2796" s="23">
        <f>R2796-S2796-T2796</f>
        <v/>
      </c>
      <c r="V2796" s="23">
        <f>D2796*P2796</f>
        <v/>
      </c>
      <c r="W2796" s="23">
        <f>U2796-V2796</f>
        <v/>
      </c>
      <c r="X2796" s="24">
        <f>IFERROR(W2796/U2796,0)</f>
        <v/>
      </c>
    </row>
    <row r="2797">
      <c r="A2797" s="25">
        <f>ItensPedido!A2797</f>
        <v/>
      </c>
      <c r="B2797" s="25">
        <f>ItensPedido!B2797</f>
        <v/>
      </c>
      <c r="C2797" s="25">
        <f>ItensPedido!C2797</f>
        <v/>
      </c>
      <c r="D2797" s="25">
        <f>ItensPedido!D2797</f>
        <v/>
      </c>
      <c r="E2797" s="26">
        <f>ItensPedido!E2797</f>
        <v/>
      </c>
      <c r="F2797" s="25">
        <f>IFERROR(INDEX(Pedidos!$B$2:$B$1801,MATCH(B2797,Pedidos!$A$2:$A$1801,0)),0)</f>
        <v/>
      </c>
      <c r="G2797" s="25">
        <f>IF(F2797=0,"",YEAR(F2797))</f>
        <v/>
      </c>
      <c r="H2797" s="25">
        <f>IF(F2797=0,"",MONTH(F2797))</f>
        <v/>
      </c>
      <c r="I2797" s="25">
        <f>IFERROR(INDEX(Pedidos!$E$2:$E$1801,MATCH(B2797,Pedidos!$A$2:$A$1801,0)),"")</f>
        <v/>
      </c>
      <c r="J2797" s="25">
        <f>IFERROR(INDEX(Pedidos!$C$2:$C$1801,MATCH(B2797,Pedidos!$A$2:$A$1801,0)),"")</f>
        <v/>
      </c>
      <c r="K2797" s="25">
        <f>IFERROR(INDEX(Pedidos!$D$2:$D$1801,MATCH(B2797,Pedidos!$A$2:$A$1801,0)),"")</f>
        <v/>
      </c>
      <c r="L2797" s="25">
        <f>IFERROR(INDEX(Pedidos!$F$2:$F$1801,MATCH(B2797,Pedidos!$A$2:$A$1801,0)),"")</f>
        <v/>
      </c>
      <c r="M2797" s="26">
        <f>IFERROR(INDEX(Pedidos!$G$2:$G$1801,MATCH(B2797,Pedidos!$A$2:$A$1801,0)),0)</f>
        <v/>
      </c>
      <c r="N2797" s="25">
        <f>IFERROR(INDEX(Produtos!$B$2:$B$71,MATCH(C2797,Produtos!$A$2:$A$71,0)),"")</f>
        <v/>
      </c>
      <c r="O2797" s="25">
        <f>IFERROR(INDEX(Produtos!$C$2:$C$71,MATCH(C2797,Produtos!$A$2:$A$71,0)),"")</f>
        <v/>
      </c>
      <c r="P2797" s="25">
        <f>IFERROR(INDEX(Produtos!$D$2:$D$71,MATCH(C2797,Produtos!$A$2:$A$71,0)),0)</f>
        <v/>
      </c>
      <c r="Q2797" s="25">
        <f>IFERROR(INDEX(Produtos!$E$2:$E$71,MATCH(C2797,Produtos!$A$2:$A$71,0)),0)</f>
        <v/>
      </c>
      <c r="R2797" s="27">
        <f>D2797*Q2797</f>
        <v/>
      </c>
      <c r="S2797" s="27">
        <f>R2797*E2797</f>
        <v/>
      </c>
      <c r="T2797" s="27">
        <f>(R2797-S2797)*M2797</f>
        <v/>
      </c>
      <c r="U2797" s="27">
        <f>R2797-S2797-T2797</f>
        <v/>
      </c>
      <c r="V2797" s="27">
        <f>D2797*P2797</f>
        <v/>
      </c>
      <c r="W2797" s="27">
        <f>U2797-V2797</f>
        <v/>
      </c>
      <c r="X2797" s="28">
        <f>IFERROR(W2797/U2797,0)</f>
        <v/>
      </c>
    </row>
    <row r="2798">
      <c r="A2798" s="21">
        <f>ItensPedido!A2798</f>
        <v/>
      </c>
      <c r="B2798" s="21">
        <f>ItensPedido!B2798</f>
        <v/>
      </c>
      <c r="C2798" s="21">
        <f>ItensPedido!C2798</f>
        <v/>
      </c>
      <c r="D2798" s="21">
        <f>ItensPedido!D2798</f>
        <v/>
      </c>
      <c r="E2798" s="22">
        <f>ItensPedido!E2798</f>
        <v/>
      </c>
      <c r="F2798" s="21">
        <f>IFERROR(INDEX(Pedidos!$B$2:$B$1801,MATCH(B2798,Pedidos!$A$2:$A$1801,0)),0)</f>
        <v/>
      </c>
      <c r="G2798" s="21">
        <f>IF(F2798=0,"",YEAR(F2798))</f>
        <v/>
      </c>
      <c r="H2798" s="21">
        <f>IF(F2798=0,"",MONTH(F2798))</f>
        <v/>
      </c>
      <c r="I2798" s="21">
        <f>IFERROR(INDEX(Pedidos!$E$2:$E$1801,MATCH(B2798,Pedidos!$A$2:$A$1801,0)),"")</f>
        <v/>
      </c>
      <c r="J2798" s="21">
        <f>IFERROR(INDEX(Pedidos!$C$2:$C$1801,MATCH(B2798,Pedidos!$A$2:$A$1801,0)),"")</f>
        <v/>
      </c>
      <c r="K2798" s="21">
        <f>IFERROR(INDEX(Pedidos!$D$2:$D$1801,MATCH(B2798,Pedidos!$A$2:$A$1801,0)),"")</f>
        <v/>
      </c>
      <c r="L2798" s="21">
        <f>IFERROR(INDEX(Pedidos!$F$2:$F$1801,MATCH(B2798,Pedidos!$A$2:$A$1801,0)),"")</f>
        <v/>
      </c>
      <c r="M2798" s="22">
        <f>IFERROR(INDEX(Pedidos!$G$2:$G$1801,MATCH(B2798,Pedidos!$A$2:$A$1801,0)),0)</f>
        <v/>
      </c>
      <c r="N2798" s="21">
        <f>IFERROR(INDEX(Produtos!$B$2:$B$71,MATCH(C2798,Produtos!$A$2:$A$71,0)),"")</f>
        <v/>
      </c>
      <c r="O2798" s="21">
        <f>IFERROR(INDEX(Produtos!$C$2:$C$71,MATCH(C2798,Produtos!$A$2:$A$71,0)),"")</f>
        <v/>
      </c>
      <c r="P2798" s="21">
        <f>IFERROR(INDEX(Produtos!$D$2:$D$71,MATCH(C2798,Produtos!$A$2:$A$71,0)),0)</f>
        <v/>
      </c>
      <c r="Q2798" s="21">
        <f>IFERROR(INDEX(Produtos!$E$2:$E$71,MATCH(C2798,Produtos!$A$2:$A$71,0)),0)</f>
        <v/>
      </c>
      <c r="R2798" s="23">
        <f>D2798*Q2798</f>
        <v/>
      </c>
      <c r="S2798" s="23">
        <f>R2798*E2798</f>
        <v/>
      </c>
      <c r="T2798" s="23">
        <f>(R2798-S2798)*M2798</f>
        <v/>
      </c>
      <c r="U2798" s="23">
        <f>R2798-S2798-T2798</f>
        <v/>
      </c>
      <c r="V2798" s="23">
        <f>D2798*P2798</f>
        <v/>
      </c>
      <c r="W2798" s="23">
        <f>U2798-V2798</f>
        <v/>
      </c>
      <c r="X2798" s="24">
        <f>IFERROR(W2798/U2798,0)</f>
        <v/>
      </c>
    </row>
    <row r="2799">
      <c r="A2799" s="25">
        <f>ItensPedido!A2799</f>
        <v/>
      </c>
      <c r="B2799" s="25">
        <f>ItensPedido!B2799</f>
        <v/>
      </c>
      <c r="C2799" s="25">
        <f>ItensPedido!C2799</f>
        <v/>
      </c>
      <c r="D2799" s="25">
        <f>ItensPedido!D2799</f>
        <v/>
      </c>
      <c r="E2799" s="26">
        <f>ItensPedido!E2799</f>
        <v/>
      </c>
      <c r="F2799" s="25">
        <f>IFERROR(INDEX(Pedidos!$B$2:$B$1801,MATCH(B2799,Pedidos!$A$2:$A$1801,0)),0)</f>
        <v/>
      </c>
      <c r="G2799" s="25">
        <f>IF(F2799=0,"",YEAR(F2799))</f>
        <v/>
      </c>
      <c r="H2799" s="25">
        <f>IF(F2799=0,"",MONTH(F2799))</f>
        <v/>
      </c>
      <c r="I2799" s="25">
        <f>IFERROR(INDEX(Pedidos!$E$2:$E$1801,MATCH(B2799,Pedidos!$A$2:$A$1801,0)),"")</f>
        <v/>
      </c>
      <c r="J2799" s="25">
        <f>IFERROR(INDEX(Pedidos!$C$2:$C$1801,MATCH(B2799,Pedidos!$A$2:$A$1801,0)),"")</f>
        <v/>
      </c>
      <c r="K2799" s="25">
        <f>IFERROR(INDEX(Pedidos!$D$2:$D$1801,MATCH(B2799,Pedidos!$A$2:$A$1801,0)),"")</f>
        <v/>
      </c>
      <c r="L2799" s="25">
        <f>IFERROR(INDEX(Pedidos!$F$2:$F$1801,MATCH(B2799,Pedidos!$A$2:$A$1801,0)),"")</f>
        <v/>
      </c>
      <c r="M2799" s="26">
        <f>IFERROR(INDEX(Pedidos!$G$2:$G$1801,MATCH(B2799,Pedidos!$A$2:$A$1801,0)),0)</f>
        <v/>
      </c>
      <c r="N2799" s="25">
        <f>IFERROR(INDEX(Produtos!$B$2:$B$71,MATCH(C2799,Produtos!$A$2:$A$71,0)),"")</f>
        <v/>
      </c>
      <c r="O2799" s="25">
        <f>IFERROR(INDEX(Produtos!$C$2:$C$71,MATCH(C2799,Produtos!$A$2:$A$71,0)),"")</f>
        <v/>
      </c>
      <c r="P2799" s="25">
        <f>IFERROR(INDEX(Produtos!$D$2:$D$71,MATCH(C2799,Produtos!$A$2:$A$71,0)),0)</f>
        <v/>
      </c>
      <c r="Q2799" s="25">
        <f>IFERROR(INDEX(Produtos!$E$2:$E$71,MATCH(C2799,Produtos!$A$2:$A$71,0)),0)</f>
        <v/>
      </c>
      <c r="R2799" s="27">
        <f>D2799*Q2799</f>
        <v/>
      </c>
      <c r="S2799" s="27">
        <f>R2799*E2799</f>
        <v/>
      </c>
      <c r="T2799" s="27">
        <f>(R2799-S2799)*M2799</f>
        <v/>
      </c>
      <c r="U2799" s="27">
        <f>R2799-S2799-T2799</f>
        <v/>
      </c>
      <c r="V2799" s="27">
        <f>D2799*P2799</f>
        <v/>
      </c>
      <c r="W2799" s="27">
        <f>U2799-V2799</f>
        <v/>
      </c>
      <c r="X2799" s="28">
        <f>IFERROR(W2799/U2799,0)</f>
        <v/>
      </c>
    </row>
    <row r="2800">
      <c r="A2800" s="21">
        <f>ItensPedido!A2800</f>
        <v/>
      </c>
      <c r="B2800" s="21">
        <f>ItensPedido!B2800</f>
        <v/>
      </c>
      <c r="C2800" s="21">
        <f>ItensPedido!C2800</f>
        <v/>
      </c>
      <c r="D2800" s="21">
        <f>ItensPedido!D2800</f>
        <v/>
      </c>
      <c r="E2800" s="22">
        <f>ItensPedido!E2800</f>
        <v/>
      </c>
      <c r="F2800" s="21">
        <f>IFERROR(INDEX(Pedidos!$B$2:$B$1801,MATCH(B2800,Pedidos!$A$2:$A$1801,0)),0)</f>
        <v/>
      </c>
      <c r="G2800" s="21">
        <f>IF(F2800=0,"",YEAR(F2800))</f>
        <v/>
      </c>
      <c r="H2800" s="21">
        <f>IF(F2800=0,"",MONTH(F2800))</f>
        <v/>
      </c>
      <c r="I2800" s="21">
        <f>IFERROR(INDEX(Pedidos!$E$2:$E$1801,MATCH(B2800,Pedidos!$A$2:$A$1801,0)),"")</f>
        <v/>
      </c>
      <c r="J2800" s="21">
        <f>IFERROR(INDEX(Pedidos!$C$2:$C$1801,MATCH(B2800,Pedidos!$A$2:$A$1801,0)),"")</f>
        <v/>
      </c>
      <c r="K2800" s="21">
        <f>IFERROR(INDEX(Pedidos!$D$2:$D$1801,MATCH(B2800,Pedidos!$A$2:$A$1801,0)),"")</f>
        <v/>
      </c>
      <c r="L2800" s="21">
        <f>IFERROR(INDEX(Pedidos!$F$2:$F$1801,MATCH(B2800,Pedidos!$A$2:$A$1801,0)),"")</f>
        <v/>
      </c>
      <c r="M2800" s="22">
        <f>IFERROR(INDEX(Pedidos!$G$2:$G$1801,MATCH(B2800,Pedidos!$A$2:$A$1801,0)),0)</f>
        <v/>
      </c>
      <c r="N2800" s="21">
        <f>IFERROR(INDEX(Produtos!$B$2:$B$71,MATCH(C2800,Produtos!$A$2:$A$71,0)),"")</f>
        <v/>
      </c>
      <c r="O2800" s="21">
        <f>IFERROR(INDEX(Produtos!$C$2:$C$71,MATCH(C2800,Produtos!$A$2:$A$71,0)),"")</f>
        <v/>
      </c>
      <c r="P2800" s="21">
        <f>IFERROR(INDEX(Produtos!$D$2:$D$71,MATCH(C2800,Produtos!$A$2:$A$71,0)),0)</f>
        <v/>
      </c>
      <c r="Q2800" s="21">
        <f>IFERROR(INDEX(Produtos!$E$2:$E$71,MATCH(C2800,Produtos!$A$2:$A$71,0)),0)</f>
        <v/>
      </c>
      <c r="R2800" s="23">
        <f>D2800*Q2800</f>
        <v/>
      </c>
      <c r="S2800" s="23">
        <f>R2800*E2800</f>
        <v/>
      </c>
      <c r="T2800" s="23">
        <f>(R2800-S2800)*M2800</f>
        <v/>
      </c>
      <c r="U2800" s="23">
        <f>R2800-S2800-T2800</f>
        <v/>
      </c>
      <c r="V2800" s="23">
        <f>D2800*P2800</f>
        <v/>
      </c>
      <c r="W2800" s="23">
        <f>U2800-V2800</f>
        <v/>
      </c>
      <c r="X2800" s="24">
        <f>IFERROR(W2800/U2800,0)</f>
        <v/>
      </c>
    </row>
    <row r="2801">
      <c r="A2801" s="25">
        <f>ItensPedido!A2801</f>
        <v/>
      </c>
      <c r="B2801" s="25">
        <f>ItensPedido!B2801</f>
        <v/>
      </c>
      <c r="C2801" s="25">
        <f>ItensPedido!C2801</f>
        <v/>
      </c>
      <c r="D2801" s="25">
        <f>ItensPedido!D2801</f>
        <v/>
      </c>
      <c r="E2801" s="26">
        <f>ItensPedido!E2801</f>
        <v/>
      </c>
      <c r="F2801" s="25">
        <f>IFERROR(INDEX(Pedidos!$B$2:$B$1801,MATCH(B2801,Pedidos!$A$2:$A$1801,0)),0)</f>
        <v/>
      </c>
      <c r="G2801" s="25">
        <f>IF(F2801=0,"",YEAR(F2801))</f>
        <v/>
      </c>
      <c r="H2801" s="25">
        <f>IF(F2801=0,"",MONTH(F2801))</f>
        <v/>
      </c>
      <c r="I2801" s="25">
        <f>IFERROR(INDEX(Pedidos!$E$2:$E$1801,MATCH(B2801,Pedidos!$A$2:$A$1801,0)),"")</f>
        <v/>
      </c>
      <c r="J2801" s="25">
        <f>IFERROR(INDEX(Pedidos!$C$2:$C$1801,MATCH(B2801,Pedidos!$A$2:$A$1801,0)),"")</f>
        <v/>
      </c>
      <c r="K2801" s="25">
        <f>IFERROR(INDEX(Pedidos!$D$2:$D$1801,MATCH(B2801,Pedidos!$A$2:$A$1801,0)),"")</f>
        <v/>
      </c>
      <c r="L2801" s="25">
        <f>IFERROR(INDEX(Pedidos!$F$2:$F$1801,MATCH(B2801,Pedidos!$A$2:$A$1801,0)),"")</f>
        <v/>
      </c>
      <c r="M2801" s="26">
        <f>IFERROR(INDEX(Pedidos!$G$2:$G$1801,MATCH(B2801,Pedidos!$A$2:$A$1801,0)),0)</f>
        <v/>
      </c>
      <c r="N2801" s="25">
        <f>IFERROR(INDEX(Produtos!$B$2:$B$71,MATCH(C2801,Produtos!$A$2:$A$71,0)),"")</f>
        <v/>
      </c>
      <c r="O2801" s="25">
        <f>IFERROR(INDEX(Produtos!$C$2:$C$71,MATCH(C2801,Produtos!$A$2:$A$71,0)),"")</f>
        <v/>
      </c>
      <c r="P2801" s="25">
        <f>IFERROR(INDEX(Produtos!$D$2:$D$71,MATCH(C2801,Produtos!$A$2:$A$71,0)),0)</f>
        <v/>
      </c>
      <c r="Q2801" s="25">
        <f>IFERROR(INDEX(Produtos!$E$2:$E$71,MATCH(C2801,Produtos!$A$2:$A$71,0)),0)</f>
        <v/>
      </c>
      <c r="R2801" s="27">
        <f>D2801*Q2801</f>
        <v/>
      </c>
      <c r="S2801" s="27">
        <f>R2801*E2801</f>
        <v/>
      </c>
      <c r="T2801" s="27">
        <f>(R2801-S2801)*M2801</f>
        <v/>
      </c>
      <c r="U2801" s="27">
        <f>R2801-S2801-T2801</f>
        <v/>
      </c>
      <c r="V2801" s="27">
        <f>D2801*P2801</f>
        <v/>
      </c>
      <c r="W2801" s="27">
        <f>U2801-V2801</f>
        <v/>
      </c>
      <c r="X2801" s="28">
        <f>IFERROR(W2801/U2801,0)</f>
        <v/>
      </c>
    </row>
    <row r="2802">
      <c r="A2802" s="21">
        <f>ItensPedido!A2802</f>
        <v/>
      </c>
      <c r="B2802" s="21">
        <f>ItensPedido!B2802</f>
        <v/>
      </c>
      <c r="C2802" s="21">
        <f>ItensPedido!C2802</f>
        <v/>
      </c>
      <c r="D2802" s="21">
        <f>ItensPedido!D2802</f>
        <v/>
      </c>
      <c r="E2802" s="22">
        <f>ItensPedido!E2802</f>
        <v/>
      </c>
      <c r="F2802" s="21">
        <f>IFERROR(INDEX(Pedidos!$B$2:$B$1801,MATCH(B2802,Pedidos!$A$2:$A$1801,0)),0)</f>
        <v/>
      </c>
      <c r="G2802" s="21">
        <f>IF(F2802=0,"",YEAR(F2802))</f>
        <v/>
      </c>
      <c r="H2802" s="21">
        <f>IF(F2802=0,"",MONTH(F2802))</f>
        <v/>
      </c>
      <c r="I2802" s="21">
        <f>IFERROR(INDEX(Pedidos!$E$2:$E$1801,MATCH(B2802,Pedidos!$A$2:$A$1801,0)),"")</f>
        <v/>
      </c>
      <c r="J2802" s="21">
        <f>IFERROR(INDEX(Pedidos!$C$2:$C$1801,MATCH(B2802,Pedidos!$A$2:$A$1801,0)),"")</f>
        <v/>
      </c>
      <c r="K2802" s="21">
        <f>IFERROR(INDEX(Pedidos!$D$2:$D$1801,MATCH(B2802,Pedidos!$A$2:$A$1801,0)),"")</f>
        <v/>
      </c>
      <c r="L2802" s="21">
        <f>IFERROR(INDEX(Pedidos!$F$2:$F$1801,MATCH(B2802,Pedidos!$A$2:$A$1801,0)),"")</f>
        <v/>
      </c>
      <c r="M2802" s="22">
        <f>IFERROR(INDEX(Pedidos!$G$2:$G$1801,MATCH(B2802,Pedidos!$A$2:$A$1801,0)),0)</f>
        <v/>
      </c>
      <c r="N2802" s="21">
        <f>IFERROR(INDEX(Produtos!$B$2:$B$71,MATCH(C2802,Produtos!$A$2:$A$71,0)),"")</f>
        <v/>
      </c>
      <c r="O2802" s="21">
        <f>IFERROR(INDEX(Produtos!$C$2:$C$71,MATCH(C2802,Produtos!$A$2:$A$71,0)),"")</f>
        <v/>
      </c>
      <c r="P2802" s="21">
        <f>IFERROR(INDEX(Produtos!$D$2:$D$71,MATCH(C2802,Produtos!$A$2:$A$71,0)),0)</f>
        <v/>
      </c>
      <c r="Q2802" s="21">
        <f>IFERROR(INDEX(Produtos!$E$2:$E$71,MATCH(C2802,Produtos!$A$2:$A$71,0)),0)</f>
        <v/>
      </c>
      <c r="R2802" s="23">
        <f>D2802*Q2802</f>
        <v/>
      </c>
      <c r="S2802" s="23">
        <f>R2802*E2802</f>
        <v/>
      </c>
      <c r="T2802" s="23">
        <f>(R2802-S2802)*M2802</f>
        <v/>
      </c>
      <c r="U2802" s="23">
        <f>R2802-S2802-T2802</f>
        <v/>
      </c>
      <c r="V2802" s="23">
        <f>D2802*P2802</f>
        <v/>
      </c>
      <c r="W2802" s="23">
        <f>U2802-V2802</f>
        <v/>
      </c>
      <c r="X2802" s="24">
        <f>IFERROR(W2802/U2802,0)</f>
        <v/>
      </c>
    </row>
    <row r="2803">
      <c r="A2803" s="25">
        <f>ItensPedido!A2803</f>
        <v/>
      </c>
      <c r="B2803" s="25">
        <f>ItensPedido!B2803</f>
        <v/>
      </c>
      <c r="C2803" s="25">
        <f>ItensPedido!C2803</f>
        <v/>
      </c>
      <c r="D2803" s="25">
        <f>ItensPedido!D2803</f>
        <v/>
      </c>
      <c r="E2803" s="26">
        <f>ItensPedido!E2803</f>
        <v/>
      </c>
      <c r="F2803" s="25">
        <f>IFERROR(INDEX(Pedidos!$B$2:$B$1801,MATCH(B2803,Pedidos!$A$2:$A$1801,0)),0)</f>
        <v/>
      </c>
      <c r="G2803" s="25">
        <f>IF(F2803=0,"",YEAR(F2803))</f>
        <v/>
      </c>
      <c r="H2803" s="25">
        <f>IF(F2803=0,"",MONTH(F2803))</f>
        <v/>
      </c>
      <c r="I2803" s="25">
        <f>IFERROR(INDEX(Pedidos!$E$2:$E$1801,MATCH(B2803,Pedidos!$A$2:$A$1801,0)),"")</f>
        <v/>
      </c>
      <c r="J2803" s="25">
        <f>IFERROR(INDEX(Pedidos!$C$2:$C$1801,MATCH(B2803,Pedidos!$A$2:$A$1801,0)),"")</f>
        <v/>
      </c>
      <c r="K2803" s="25">
        <f>IFERROR(INDEX(Pedidos!$D$2:$D$1801,MATCH(B2803,Pedidos!$A$2:$A$1801,0)),"")</f>
        <v/>
      </c>
      <c r="L2803" s="25">
        <f>IFERROR(INDEX(Pedidos!$F$2:$F$1801,MATCH(B2803,Pedidos!$A$2:$A$1801,0)),"")</f>
        <v/>
      </c>
      <c r="M2803" s="26">
        <f>IFERROR(INDEX(Pedidos!$G$2:$G$1801,MATCH(B2803,Pedidos!$A$2:$A$1801,0)),0)</f>
        <v/>
      </c>
      <c r="N2803" s="25">
        <f>IFERROR(INDEX(Produtos!$B$2:$B$71,MATCH(C2803,Produtos!$A$2:$A$71,0)),"")</f>
        <v/>
      </c>
      <c r="O2803" s="25">
        <f>IFERROR(INDEX(Produtos!$C$2:$C$71,MATCH(C2803,Produtos!$A$2:$A$71,0)),"")</f>
        <v/>
      </c>
      <c r="P2803" s="25">
        <f>IFERROR(INDEX(Produtos!$D$2:$D$71,MATCH(C2803,Produtos!$A$2:$A$71,0)),0)</f>
        <v/>
      </c>
      <c r="Q2803" s="25">
        <f>IFERROR(INDEX(Produtos!$E$2:$E$71,MATCH(C2803,Produtos!$A$2:$A$71,0)),0)</f>
        <v/>
      </c>
      <c r="R2803" s="27">
        <f>D2803*Q2803</f>
        <v/>
      </c>
      <c r="S2803" s="27">
        <f>R2803*E2803</f>
        <v/>
      </c>
      <c r="T2803" s="27">
        <f>(R2803-S2803)*M2803</f>
        <v/>
      </c>
      <c r="U2803" s="27">
        <f>R2803-S2803-T2803</f>
        <v/>
      </c>
      <c r="V2803" s="27">
        <f>D2803*P2803</f>
        <v/>
      </c>
      <c r="W2803" s="27">
        <f>U2803-V2803</f>
        <v/>
      </c>
      <c r="X2803" s="28">
        <f>IFERROR(W2803/U2803,0)</f>
        <v/>
      </c>
    </row>
    <row r="2804">
      <c r="A2804" s="21">
        <f>ItensPedido!A2804</f>
        <v/>
      </c>
      <c r="B2804" s="21">
        <f>ItensPedido!B2804</f>
        <v/>
      </c>
      <c r="C2804" s="21">
        <f>ItensPedido!C2804</f>
        <v/>
      </c>
      <c r="D2804" s="21">
        <f>ItensPedido!D2804</f>
        <v/>
      </c>
      <c r="E2804" s="22">
        <f>ItensPedido!E2804</f>
        <v/>
      </c>
      <c r="F2804" s="21">
        <f>IFERROR(INDEX(Pedidos!$B$2:$B$1801,MATCH(B2804,Pedidos!$A$2:$A$1801,0)),0)</f>
        <v/>
      </c>
      <c r="G2804" s="21">
        <f>IF(F2804=0,"",YEAR(F2804))</f>
        <v/>
      </c>
      <c r="H2804" s="21">
        <f>IF(F2804=0,"",MONTH(F2804))</f>
        <v/>
      </c>
      <c r="I2804" s="21">
        <f>IFERROR(INDEX(Pedidos!$E$2:$E$1801,MATCH(B2804,Pedidos!$A$2:$A$1801,0)),"")</f>
        <v/>
      </c>
      <c r="J2804" s="21">
        <f>IFERROR(INDEX(Pedidos!$C$2:$C$1801,MATCH(B2804,Pedidos!$A$2:$A$1801,0)),"")</f>
        <v/>
      </c>
      <c r="K2804" s="21">
        <f>IFERROR(INDEX(Pedidos!$D$2:$D$1801,MATCH(B2804,Pedidos!$A$2:$A$1801,0)),"")</f>
        <v/>
      </c>
      <c r="L2804" s="21">
        <f>IFERROR(INDEX(Pedidos!$F$2:$F$1801,MATCH(B2804,Pedidos!$A$2:$A$1801,0)),"")</f>
        <v/>
      </c>
      <c r="M2804" s="22">
        <f>IFERROR(INDEX(Pedidos!$G$2:$G$1801,MATCH(B2804,Pedidos!$A$2:$A$1801,0)),0)</f>
        <v/>
      </c>
      <c r="N2804" s="21">
        <f>IFERROR(INDEX(Produtos!$B$2:$B$71,MATCH(C2804,Produtos!$A$2:$A$71,0)),"")</f>
        <v/>
      </c>
      <c r="O2804" s="21">
        <f>IFERROR(INDEX(Produtos!$C$2:$C$71,MATCH(C2804,Produtos!$A$2:$A$71,0)),"")</f>
        <v/>
      </c>
      <c r="P2804" s="21">
        <f>IFERROR(INDEX(Produtos!$D$2:$D$71,MATCH(C2804,Produtos!$A$2:$A$71,0)),0)</f>
        <v/>
      </c>
      <c r="Q2804" s="21">
        <f>IFERROR(INDEX(Produtos!$E$2:$E$71,MATCH(C2804,Produtos!$A$2:$A$71,0)),0)</f>
        <v/>
      </c>
      <c r="R2804" s="23">
        <f>D2804*Q2804</f>
        <v/>
      </c>
      <c r="S2804" s="23">
        <f>R2804*E2804</f>
        <v/>
      </c>
      <c r="T2804" s="23">
        <f>(R2804-S2804)*M2804</f>
        <v/>
      </c>
      <c r="U2804" s="23">
        <f>R2804-S2804-T2804</f>
        <v/>
      </c>
      <c r="V2804" s="23">
        <f>D2804*P2804</f>
        <v/>
      </c>
      <c r="W2804" s="23">
        <f>U2804-V2804</f>
        <v/>
      </c>
      <c r="X2804" s="24">
        <f>IFERROR(W2804/U2804,0)</f>
        <v/>
      </c>
    </row>
    <row r="2805">
      <c r="A2805" s="25">
        <f>ItensPedido!A2805</f>
        <v/>
      </c>
      <c r="B2805" s="25">
        <f>ItensPedido!B2805</f>
        <v/>
      </c>
      <c r="C2805" s="25">
        <f>ItensPedido!C2805</f>
        <v/>
      </c>
      <c r="D2805" s="25">
        <f>ItensPedido!D2805</f>
        <v/>
      </c>
      <c r="E2805" s="26">
        <f>ItensPedido!E2805</f>
        <v/>
      </c>
      <c r="F2805" s="25">
        <f>IFERROR(INDEX(Pedidos!$B$2:$B$1801,MATCH(B2805,Pedidos!$A$2:$A$1801,0)),0)</f>
        <v/>
      </c>
      <c r="G2805" s="25">
        <f>IF(F2805=0,"",YEAR(F2805))</f>
        <v/>
      </c>
      <c r="H2805" s="25">
        <f>IF(F2805=0,"",MONTH(F2805))</f>
        <v/>
      </c>
      <c r="I2805" s="25">
        <f>IFERROR(INDEX(Pedidos!$E$2:$E$1801,MATCH(B2805,Pedidos!$A$2:$A$1801,0)),"")</f>
        <v/>
      </c>
      <c r="J2805" s="25">
        <f>IFERROR(INDEX(Pedidos!$C$2:$C$1801,MATCH(B2805,Pedidos!$A$2:$A$1801,0)),"")</f>
        <v/>
      </c>
      <c r="K2805" s="25">
        <f>IFERROR(INDEX(Pedidos!$D$2:$D$1801,MATCH(B2805,Pedidos!$A$2:$A$1801,0)),"")</f>
        <v/>
      </c>
      <c r="L2805" s="25">
        <f>IFERROR(INDEX(Pedidos!$F$2:$F$1801,MATCH(B2805,Pedidos!$A$2:$A$1801,0)),"")</f>
        <v/>
      </c>
      <c r="M2805" s="26">
        <f>IFERROR(INDEX(Pedidos!$G$2:$G$1801,MATCH(B2805,Pedidos!$A$2:$A$1801,0)),0)</f>
        <v/>
      </c>
      <c r="N2805" s="25">
        <f>IFERROR(INDEX(Produtos!$B$2:$B$71,MATCH(C2805,Produtos!$A$2:$A$71,0)),"")</f>
        <v/>
      </c>
      <c r="O2805" s="25">
        <f>IFERROR(INDEX(Produtos!$C$2:$C$71,MATCH(C2805,Produtos!$A$2:$A$71,0)),"")</f>
        <v/>
      </c>
      <c r="P2805" s="25">
        <f>IFERROR(INDEX(Produtos!$D$2:$D$71,MATCH(C2805,Produtos!$A$2:$A$71,0)),0)</f>
        <v/>
      </c>
      <c r="Q2805" s="25">
        <f>IFERROR(INDEX(Produtos!$E$2:$E$71,MATCH(C2805,Produtos!$A$2:$A$71,0)),0)</f>
        <v/>
      </c>
      <c r="R2805" s="27">
        <f>D2805*Q2805</f>
        <v/>
      </c>
      <c r="S2805" s="27">
        <f>R2805*E2805</f>
        <v/>
      </c>
      <c r="T2805" s="27">
        <f>(R2805-S2805)*M2805</f>
        <v/>
      </c>
      <c r="U2805" s="27">
        <f>R2805-S2805-T2805</f>
        <v/>
      </c>
      <c r="V2805" s="27">
        <f>D2805*P2805</f>
        <v/>
      </c>
      <c r="W2805" s="27">
        <f>U2805-V2805</f>
        <v/>
      </c>
      <c r="X2805" s="28">
        <f>IFERROR(W2805/U2805,0)</f>
        <v/>
      </c>
    </row>
    <row r="2806">
      <c r="A2806" s="21">
        <f>ItensPedido!A2806</f>
        <v/>
      </c>
      <c r="B2806" s="21">
        <f>ItensPedido!B2806</f>
        <v/>
      </c>
      <c r="C2806" s="21">
        <f>ItensPedido!C2806</f>
        <v/>
      </c>
      <c r="D2806" s="21">
        <f>ItensPedido!D2806</f>
        <v/>
      </c>
      <c r="E2806" s="22">
        <f>ItensPedido!E2806</f>
        <v/>
      </c>
      <c r="F2806" s="21">
        <f>IFERROR(INDEX(Pedidos!$B$2:$B$1801,MATCH(B2806,Pedidos!$A$2:$A$1801,0)),0)</f>
        <v/>
      </c>
      <c r="G2806" s="21">
        <f>IF(F2806=0,"",YEAR(F2806))</f>
        <v/>
      </c>
      <c r="H2806" s="21">
        <f>IF(F2806=0,"",MONTH(F2806))</f>
        <v/>
      </c>
      <c r="I2806" s="21">
        <f>IFERROR(INDEX(Pedidos!$E$2:$E$1801,MATCH(B2806,Pedidos!$A$2:$A$1801,0)),"")</f>
        <v/>
      </c>
      <c r="J2806" s="21">
        <f>IFERROR(INDEX(Pedidos!$C$2:$C$1801,MATCH(B2806,Pedidos!$A$2:$A$1801,0)),"")</f>
        <v/>
      </c>
      <c r="K2806" s="21">
        <f>IFERROR(INDEX(Pedidos!$D$2:$D$1801,MATCH(B2806,Pedidos!$A$2:$A$1801,0)),"")</f>
        <v/>
      </c>
      <c r="L2806" s="21">
        <f>IFERROR(INDEX(Pedidos!$F$2:$F$1801,MATCH(B2806,Pedidos!$A$2:$A$1801,0)),"")</f>
        <v/>
      </c>
      <c r="M2806" s="22">
        <f>IFERROR(INDEX(Pedidos!$G$2:$G$1801,MATCH(B2806,Pedidos!$A$2:$A$1801,0)),0)</f>
        <v/>
      </c>
      <c r="N2806" s="21">
        <f>IFERROR(INDEX(Produtos!$B$2:$B$71,MATCH(C2806,Produtos!$A$2:$A$71,0)),"")</f>
        <v/>
      </c>
      <c r="O2806" s="21">
        <f>IFERROR(INDEX(Produtos!$C$2:$C$71,MATCH(C2806,Produtos!$A$2:$A$71,0)),"")</f>
        <v/>
      </c>
      <c r="P2806" s="21">
        <f>IFERROR(INDEX(Produtos!$D$2:$D$71,MATCH(C2806,Produtos!$A$2:$A$71,0)),0)</f>
        <v/>
      </c>
      <c r="Q2806" s="21">
        <f>IFERROR(INDEX(Produtos!$E$2:$E$71,MATCH(C2806,Produtos!$A$2:$A$71,0)),0)</f>
        <v/>
      </c>
      <c r="R2806" s="23">
        <f>D2806*Q2806</f>
        <v/>
      </c>
      <c r="S2806" s="23">
        <f>R2806*E2806</f>
        <v/>
      </c>
      <c r="T2806" s="23">
        <f>(R2806-S2806)*M2806</f>
        <v/>
      </c>
      <c r="U2806" s="23">
        <f>R2806-S2806-T2806</f>
        <v/>
      </c>
      <c r="V2806" s="23">
        <f>D2806*P2806</f>
        <v/>
      </c>
      <c r="W2806" s="23">
        <f>U2806-V2806</f>
        <v/>
      </c>
      <c r="X2806" s="24">
        <f>IFERROR(W2806/U2806,0)</f>
        <v/>
      </c>
    </row>
    <row r="2807">
      <c r="A2807" s="25">
        <f>ItensPedido!A2807</f>
        <v/>
      </c>
      <c r="B2807" s="25">
        <f>ItensPedido!B2807</f>
        <v/>
      </c>
      <c r="C2807" s="25">
        <f>ItensPedido!C2807</f>
        <v/>
      </c>
      <c r="D2807" s="25">
        <f>ItensPedido!D2807</f>
        <v/>
      </c>
      <c r="E2807" s="26">
        <f>ItensPedido!E2807</f>
        <v/>
      </c>
      <c r="F2807" s="25">
        <f>IFERROR(INDEX(Pedidos!$B$2:$B$1801,MATCH(B2807,Pedidos!$A$2:$A$1801,0)),0)</f>
        <v/>
      </c>
      <c r="G2807" s="25">
        <f>IF(F2807=0,"",YEAR(F2807))</f>
        <v/>
      </c>
      <c r="H2807" s="25">
        <f>IF(F2807=0,"",MONTH(F2807))</f>
        <v/>
      </c>
      <c r="I2807" s="25">
        <f>IFERROR(INDEX(Pedidos!$E$2:$E$1801,MATCH(B2807,Pedidos!$A$2:$A$1801,0)),"")</f>
        <v/>
      </c>
      <c r="J2807" s="25">
        <f>IFERROR(INDEX(Pedidos!$C$2:$C$1801,MATCH(B2807,Pedidos!$A$2:$A$1801,0)),"")</f>
        <v/>
      </c>
      <c r="K2807" s="25">
        <f>IFERROR(INDEX(Pedidos!$D$2:$D$1801,MATCH(B2807,Pedidos!$A$2:$A$1801,0)),"")</f>
        <v/>
      </c>
      <c r="L2807" s="25">
        <f>IFERROR(INDEX(Pedidos!$F$2:$F$1801,MATCH(B2807,Pedidos!$A$2:$A$1801,0)),"")</f>
        <v/>
      </c>
      <c r="M2807" s="26">
        <f>IFERROR(INDEX(Pedidos!$G$2:$G$1801,MATCH(B2807,Pedidos!$A$2:$A$1801,0)),0)</f>
        <v/>
      </c>
      <c r="N2807" s="25">
        <f>IFERROR(INDEX(Produtos!$B$2:$B$71,MATCH(C2807,Produtos!$A$2:$A$71,0)),"")</f>
        <v/>
      </c>
      <c r="O2807" s="25">
        <f>IFERROR(INDEX(Produtos!$C$2:$C$71,MATCH(C2807,Produtos!$A$2:$A$71,0)),"")</f>
        <v/>
      </c>
      <c r="P2807" s="25">
        <f>IFERROR(INDEX(Produtos!$D$2:$D$71,MATCH(C2807,Produtos!$A$2:$A$71,0)),0)</f>
        <v/>
      </c>
      <c r="Q2807" s="25">
        <f>IFERROR(INDEX(Produtos!$E$2:$E$71,MATCH(C2807,Produtos!$A$2:$A$71,0)),0)</f>
        <v/>
      </c>
      <c r="R2807" s="27">
        <f>D2807*Q2807</f>
        <v/>
      </c>
      <c r="S2807" s="27">
        <f>R2807*E2807</f>
        <v/>
      </c>
      <c r="T2807" s="27">
        <f>(R2807-S2807)*M2807</f>
        <v/>
      </c>
      <c r="U2807" s="27">
        <f>R2807-S2807-T2807</f>
        <v/>
      </c>
      <c r="V2807" s="27">
        <f>D2807*P2807</f>
        <v/>
      </c>
      <c r="W2807" s="27">
        <f>U2807-V2807</f>
        <v/>
      </c>
      <c r="X2807" s="28">
        <f>IFERROR(W2807/U2807,0)</f>
        <v/>
      </c>
    </row>
    <row r="2808">
      <c r="A2808" s="21">
        <f>ItensPedido!A2808</f>
        <v/>
      </c>
      <c r="B2808" s="21">
        <f>ItensPedido!B2808</f>
        <v/>
      </c>
      <c r="C2808" s="21">
        <f>ItensPedido!C2808</f>
        <v/>
      </c>
      <c r="D2808" s="21">
        <f>ItensPedido!D2808</f>
        <v/>
      </c>
      <c r="E2808" s="22">
        <f>ItensPedido!E2808</f>
        <v/>
      </c>
      <c r="F2808" s="21">
        <f>IFERROR(INDEX(Pedidos!$B$2:$B$1801,MATCH(B2808,Pedidos!$A$2:$A$1801,0)),0)</f>
        <v/>
      </c>
      <c r="G2808" s="21">
        <f>IF(F2808=0,"",YEAR(F2808))</f>
        <v/>
      </c>
      <c r="H2808" s="21">
        <f>IF(F2808=0,"",MONTH(F2808))</f>
        <v/>
      </c>
      <c r="I2808" s="21">
        <f>IFERROR(INDEX(Pedidos!$E$2:$E$1801,MATCH(B2808,Pedidos!$A$2:$A$1801,0)),"")</f>
        <v/>
      </c>
      <c r="J2808" s="21">
        <f>IFERROR(INDEX(Pedidos!$C$2:$C$1801,MATCH(B2808,Pedidos!$A$2:$A$1801,0)),"")</f>
        <v/>
      </c>
      <c r="K2808" s="21">
        <f>IFERROR(INDEX(Pedidos!$D$2:$D$1801,MATCH(B2808,Pedidos!$A$2:$A$1801,0)),"")</f>
        <v/>
      </c>
      <c r="L2808" s="21">
        <f>IFERROR(INDEX(Pedidos!$F$2:$F$1801,MATCH(B2808,Pedidos!$A$2:$A$1801,0)),"")</f>
        <v/>
      </c>
      <c r="M2808" s="22">
        <f>IFERROR(INDEX(Pedidos!$G$2:$G$1801,MATCH(B2808,Pedidos!$A$2:$A$1801,0)),0)</f>
        <v/>
      </c>
      <c r="N2808" s="21">
        <f>IFERROR(INDEX(Produtos!$B$2:$B$71,MATCH(C2808,Produtos!$A$2:$A$71,0)),"")</f>
        <v/>
      </c>
      <c r="O2808" s="21">
        <f>IFERROR(INDEX(Produtos!$C$2:$C$71,MATCH(C2808,Produtos!$A$2:$A$71,0)),"")</f>
        <v/>
      </c>
      <c r="P2808" s="21">
        <f>IFERROR(INDEX(Produtos!$D$2:$D$71,MATCH(C2808,Produtos!$A$2:$A$71,0)),0)</f>
        <v/>
      </c>
      <c r="Q2808" s="21">
        <f>IFERROR(INDEX(Produtos!$E$2:$E$71,MATCH(C2808,Produtos!$A$2:$A$71,0)),0)</f>
        <v/>
      </c>
      <c r="R2808" s="23">
        <f>D2808*Q2808</f>
        <v/>
      </c>
      <c r="S2808" s="23">
        <f>R2808*E2808</f>
        <v/>
      </c>
      <c r="T2808" s="23">
        <f>(R2808-S2808)*M2808</f>
        <v/>
      </c>
      <c r="U2808" s="23">
        <f>R2808-S2808-T2808</f>
        <v/>
      </c>
      <c r="V2808" s="23">
        <f>D2808*P2808</f>
        <v/>
      </c>
      <c r="W2808" s="23">
        <f>U2808-V2808</f>
        <v/>
      </c>
      <c r="X2808" s="24">
        <f>IFERROR(W2808/U2808,0)</f>
        <v/>
      </c>
    </row>
    <row r="2809">
      <c r="A2809" s="25">
        <f>ItensPedido!A2809</f>
        <v/>
      </c>
      <c r="B2809" s="25">
        <f>ItensPedido!B2809</f>
        <v/>
      </c>
      <c r="C2809" s="25">
        <f>ItensPedido!C2809</f>
        <v/>
      </c>
      <c r="D2809" s="25">
        <f>ItensPedido!D2809</f>
        <v/>
      </c>
      <c r="E2809" s="26">
        <f>ItensPedido!E2809</f>
        <v/>
      </c>
      <c r="F2809" s="25">
        <f>IFERROR(INDEX(Pedidos!$B$2:$B$1801,MATCH(B2809,Pedidos!$A$2:$A$1801,0)),0)</f>
        <v/>
      </c>
      <c r="G2809" s="25">
        <f>IF(F2809=0,"",YEAR(F2809))</f>
        <v/>
      </c>
      <c r="H2809" s="25">
        <f>IF(F2809=0,"",MONTH(F2809))</f>
        <v/>
      </c>
      <c r="I2809" s="25">
        <f>IFERROR(INDEX(Pedidos!$E$2:$E$1801,MATCH(B2809,Pedidos!$A$2:$A$1801,0)),"")</f>
        <v/>
      </c>
      <c r="J2809" s="25">
        <f>IFERROR(INDEX(Pedidos!$C$2:$C$1801,MATCH(B2809,Pedidos!$A$2:$A$1801,0)),"")</f>
        <v/>
      </c>
      <c r="K2809" s="25">
        <f>IFERROR(INDEX(Pedidos!$D$2:$D$1801,MATCH(B2809,Pedidos!$A$2:$A$1801,0)),"")</f>
        <v/>
      </c>
      <c r="L2809" s="25">
        <f>IFERROR(INDEX(Pedidos!$F$2:$F$1801,MATCH(B2809,Pedidos!$A$2:$A$1801,0)),"")</f>
        <v/>
      </c>
      <c r="M2809" s="26">
        <f>IFERROR(INDEX(Pedidos!$G$2:$G$1801,MATCH(B2809,Pedidos!$A$2:$A$1801,0)),0)</f>
        <v/>
      </c>
      <c r="N2809" s="25">
        <f>IFERROR(INDEX(Produtos!$B$2:$B$71,MATCH(C2809,Produtos!$A$2:$A$71,0)),"")</f>
        <v/>
      </c>
      <c r="O2809" s="25">
        <f>IFERROR(INDEX(Produtos!$C$2:$C$71,MATCH(C2809,Produtos!$A$2:$A$71,0)),"")</f>
        <v/>
      </c>
      <c r="P2809" s="25">
        <f>IFERROR(INDEX(Produtos!$D$2:$D$71,MATCH(C2809,Produtos!$A$2:$A$71,0)),0)</f>
        <v/>
      </c>
      <c r="Q2809" s="25">
        <f>IFERROR(INDEX(Produtos!$E$2:$E$71,MATCH(C2809,Produtos!$A$2:$A$71,0)),0)</f>
        <v/>
      </c>
      <c r="R2809" s="27">
        <f>D2809*Q2809</f>
        <v/>
      </c>
      <c r="S2809" s="27">
        <f>R2809*E2809</f>
        <v/>
      </c>
      <c r="T2809" s="27">
        <f>(R2809-S2809)*M2809</f>
        <v/>
      </c>
      <c r="U2809" s="27">
        <f>R2809-S2809-T2809</f>
        <v/>
      </c>
      <c r="V2809" s="27">
        <f>D2809*P2809</f>
        <v/>
      </c>
      <c r="W2809" s="27">
        <f>U2809-V2809</f>
        <v/>
      </c>
      <c r="X2809" s="28">
        <f>IFERROR(W2809/U2809,0)</f>
        <v/>
      </c>
    </row>
    <row r="2810">
      <c r="A2810" s="21">
        <f>ItensPedido!A2810</f>
        <v/>
      </c>
      <c r="B2810" s="21">
        <f>ItensPedido!B2810</f>
        <v/>
      </c>
      <c r="C2810" s="21">
        <f>ItensPedido!C2810</f>
        <v/>
      </c>
      <c r="D2810" s="21">
        <f>ItensPedido!D2810</f>
        <v/>
      </c>
      <c r="E2810" s="22">
        <f>ItensPedido!E2810</f>
        <v/>
      </c>
      <c r="F2810" s="21">
        <f>IFERROR(INDEX(Pedidos!$B$2:$B$1801,MATCH(B2810,Pedidos!$A$2:$A$1801,0)),0)</f>
        <v/>
      </c>
      <c r="G2810" s="21">
        <f>IF(F2810=0,"",YEAR(F2810))</f>
        <v/>
      </c>
      <c r="H2810" s="21">
        <f>IF(F2810=0,"",MONTH(F2810))</f>
        <v/>
      </c>
      <c r="I2810" s="21">
        <f>IFERROR(INDEX(Pedidos!$E$2:$E$1801,MATCH(B2810,Pedidos!$A$2:$A$1801,0)),"")</f>
        <v/>
      </c>
      <c r="J2810" s="21">
        <f>IFERROR(INDEX(Pedidos!$C$2:$C$1801,MATCH(B2810,Pedidos!$A$2:$A$1801,0)),"")</f>
        <v/>
      </c>
      <c r="K2810" s="21">
        <f>IFERROR(INDEX(Pedidos!$D$2:$D$1801,MATCH(B2810,Pedidos!$A$2:$A$1801,0)),"")</f>
        <v/>
      </c>
      <c r="L2810" s="21">
        <f>IFERROR(INDEX(Pedidos!$F$2:$F$1801,MATCH(B2810,Pedidos!$A$2:$A$1801,0)),"")</f>
        <v/>
      </c>
      <c r="M2810" s="22">
        <f>IFERROR(INDEX(Pedidos!$G$2:$G$1801,MATCH(B2810,Pedidos!$A$2:$A$1801,0)),0)</f>
        <v/>
      </c>
      <c r="N2810" s="21">
        <f>IFERROR(INDEX(Produtos!$B$2:$B$71,MATCH(C2810,Produtos!$A$2:$A$71,0)),"")</f>
        <v/>
      </c>
      <c r="O2810" s="21">
        <f>IFERROR(INDEX(Produtos!$C$2:$C$71,MATCH(C2810,Produtos!$A$2:$A$71,0)),"")</f>
        <v/>
      </c>
      <c r="P2810" s="21">
        <f>IFERROR(INDEX(Produtos!$D$2:$D$71,MATCH(C2810,Produtos!$A$2:$A$71,0)),0)</f>
        <v/>
      </c>
      <c r="Q2810" s="21">
        <f>IFERROR(INDEX(Produtos!$E$2:$E$71,MATCH(C2810,Produtos!$A$2:$A$71,0)),0)</f>
        <v/>
      </c>
      <c r="R2810" s="23">
        <f>D2810*Q2810</f>
        <v/>
      </c>
      <c r="S2810" s="23">
        <f>R2810*E2810</f>
        <v/>
      </c>
      <c r="T2810" s="23">
        <f>(R2810-S2810)*M2810</f>
        <v/>
      </c>
      <c r="U2810" s="23">
        <f>R2810-S2810-T2810</f>
        <v/>
      </c>
      <c r="V2810" s="23">
        <f>D2810*P2810</f>
        <v/>
      </c>
      <c r="W2810" s="23">
        <f>U2810-V2810</f>
        <v/>
      </c>
      <c r="X2810" s="24">
        <f>IFERROR(W2810/U2810,0)</f>
        <v/>
      </c>
    </row>
    <row r="2811">
      <c r="A2811" s="25">
        <f>ItensPedido!A2811</f>
        <v/>
      </c>
      <c r="B2811" s="25">
        <f>ItensPedido!B2811</f>
        <v/>
      </c>
      <c r="C2811" s="25">
        <f>ItensPedido!C2811</f>
        <v/>
      </c>
      <c r="D2811" s="25">
        <f>ItensPedido!D2811</f>
        <v/>
      </c>
      <c r="E2811" s="26">
        <f>ItensPedido!E2811</f>
        <v/>
      </c>
      <c r="F2811" s="25">
        <f>IFERROR(INDEX(Pedidos!$B$2:$B$1801,MATCH(B2811,Pedidos!$A$2:$A$1801,0)),0)</f>
        <v/>
      </c>
      <c r="G2811" s="25">
        <f>IF(F2811=0,"",YEAR(F2811))</f>
        <v/>
      </c>
      <c r="H2811" s="25">
        <f>IF(F2811=0,"",MONTH(F2811))</f>
        <v/>
      </c>
      <c r="I2811" s="25">
        <f>IFERROR(INDEX(Pedidos!$E$2:$E$1801,MATCH(B2811,Pedidos!$A$2:$A$1801,0)),"")</f>
        <v/>
      </c>
      <c r="J2811" s="25">
        <f>IFERROR(INDEX(Pedidos!$C$2:$C$1801,MATCH(B2811,Pedidos!$A$2:$A$1801,0)),"")</f>
        <v/>
      </c>
      <c r="K2811" s="25">
        <f>IFERROR(INDEX(Pedidos!$D$2:$D$1801,MATCH(B2811,Pedidos!$A$2:$A$1801,0)),"")</f>
        <v/>
      </c>
      <c r="L2811" s="25">
        <f>IFERROR(INDEX(Pedidos!$F$2:$F$1801,MATCH(B2811,Pedidos!$A$2:$A$1801,0)),"")</f>
        <v/>
      </c>
      <c r="M2811" s="26">
        <f>IFERROR(INDEX(Pedidos!$G$2:$G$1801,MATCH(B2811,Pedidos!$A$2:$A$1801,0)),0)</f>
        <v/>
      </c>
      <c r="N2811" s="25">
        <f>IFERROR(INDEX(Produtos!$B$2:$B$71,MATCH(C2811,Produtos!$A$2:$A$71,0)),"")</f>
        <v/>
      </c>
      <c r="O2811" s="25">
        <f>IFERROR(INDEX(Produtos!$C$2:$C$71,MATCH(C2811,Produtos!$A$2:$A$71,0)),"")</f>
        <v/>
      </c>
      <c r="P2811" s="25">
        <f>IFERROR(INDEX(Produtos!$D$2:$D$71,MATCH(C2811,Produtos!$A$2:$A$71,0)),0)</f>
        <v/>
      </c>
      <c r="Q2811" s="25">
        <f>IFERROR(INDEX(Produtos!$E$2:$E$71,MATCH(C2811,Produtos!$A$2:$A$71,0)),0)</f>
        <v/>
      </c>
      <c r="R2811" s="27">
        <f>D2811*Q2811</f>
        <v/>
      </c>
      <c r="S2811" s="27">
        <f>R2811*E2811</f>
        <v/>
      </c>
      <c r="T2811" s="27">
        <f>(R2811-S2811)*M2811</f>
        <v/>
      </c>
      <c r="U2811" s="27">
        <f>R2811-S2811-T2811</f>
        <v/>
      </c>
      <c r="V2811" s="27">
        <f>D2811*P2811</f>
        <v/>
      </c>
      <c r="W2811" s="27">
        <f>U2811-V2811</f>
        <v/>
      </c>
      <c r="X2811" s="28">
        <f>IFERROR(W2811/U2811,0)</f>
        <v/>
      </c>
    </row>
    <row r="2812">
      <c r="A2812" s="21">
        <f>ItensPedido!A2812</f>
        <v/>
      </c>
      <c r="B2812" s="21">
        <f>ItensPedido!B2812</f>
        <v/>
      </c>
      <c r="C2812" s="21">
        <f>ItensPedido!C2812</f>
        <v/>
      </c>
      <c r="D2812" s="21">
        <f>ItensPedido!D2812</f>
        <v/>
      </c>
      <c r="E2812" s="22">
        <f>ItensPedido!E2812</f>
        <v/>
      </c>
      <c r="F2812" s="21">
        <f>IFERROR(INDEX(Pedidos!$B$2:$B$1801,MATCH(B2812,Pedidos!$A$2:$A$1801,0)),0)</f>
        <v/>
      </c>
      <c r="G2812" s="21">
        <f>IF(F2812=0,"",YEAR(F2812))</f>
        <v/>
      </c>
      <c r="H2812" s="21">
        <f>IF(F2812=0,"",MONTH(F2812))</f>
        <v/>
      </c>
      <c r="I2812" s="21">
        <f>IFERROR(INDEX(Pedidos!$E$2:$E$1801,MATCH(B2812,Pedidos!$A$2:$A$1801,0)),"")</f>
        <v/>
      </c>
      <c r="J2812" s="21">
        <f>IFERROR(INDEX(Pedidos!$C$2:$C$1801,MATCH(B2812,Pedidos!$A$2:$A$1801,0)),"")</f>
        <v/>
      </c>
      <c r="K2812" s="21">
        <f>IFERROR(INDEX(Pedidos!$D$2:$D$1801,MATCH(B2812,Pedidos!$A$2:$A$1801,0)),"")</f>
        <v/>
      </c>
      <c r="L2812" s="21">
        <f>IFERROR(INDEX(Pedidos!$F$2:$F$1801,MATCH(B2812,Pedidos!$A$2:$A$1801,0)),"")</f>
        <v/>
      </c>
      <c r="M2812" s="22">
        <f>IFERROR(INDEX(Pedidos!$G$2:$G$1801,MATCH(B2812,Pedidos!$A$2:$A$1801,0)),0)</f>
        <v/>
      </c>
      <c r="N2812" s="21">
        <f>IFERROR(INDEX(Produtos!$B$2:$B$71,MATCH(C2812,Produtos!$A$2:$A$71,0)),"")</f>
        <v/>
      </c>
      <c r="O2812" s="21">
        <f>IFERROR(INDEX(Produtos!$C$2:$C$71,MATCH(C2812,Produtos!$A$2:$A$71,0)),"")</f>
        <v/>
      </c>
      <c r="P2812" s="21">
        <f>IFERROR(INDEX(Produtos!$D$2:$D$71,MATCH(C2812,Produtos!$A$2:$A$71,0)),0)</f>
        <v/>
      </c>
      <c r="Q2812" s="21">
        <f>IFERROR(INDEX(Produtos!$E$2:$E$71,MATCH(C2812,Produtos!$A$2:$A$71,0)),0)</f>
        <v/>
      </c>
      <c r="R2812" s="23">
        <f>D2812*Q2812</f>
        <v/>
      </c>
      <c r="S2812" s="23">
        <f>R2812*E2812</f>
        <v/>
      </c>
      <c r="T2812" s="23">
        <f>(R2812-S2812)*M2812</f>
        <v/>
      </c>
      <c r="U2812" s="23">
        <f>R2812-S2812-T2812</f>
        <v/>
      </c>
      <c r="V2812" s="23">
        <f>D2812*P2812</f>
        <v/>
      </c>
      <c r="W2812" s="23">
        <f>U2812-V2812</f>
        <v/>
      </c>
      <c r="X2812" s="24">
        <f>IFERROR(W2812/U2812,0)</f>
        <v/>
      </c>
    </row>
    <row r="2813">
      <c r="A2813" s="25">
        <f>ItensPedido!A2813</f>
        <v/>
      </c>
      <c r="B2813" s="25">
        <f>ItensPedido!B2813</f>
        <v/>
      </c>
      <c r="C2813" s="25">
        <f>ItensPedido!C2813</f>
        <v/>
      </c>
      <c r="D2813" s="25">
        <f>ItensPedido!D2813</f>
        <v/>
      </c>
      <c r="E2813" s="26">
        <f>ItensPedido!E2813</f>
        <v/>
      </c>
      <c r="F2813" s="25">
        <f>IFERROR(INDEX(Pedidos!$B$2:$B$1801,MATCH(B2813,Pedidos!$A$2:$A$1801,0)),0)</f>
        <v/>
      </c>
      <c r="G2813" s="25">
        <f>IF(F2813=0,"",YEAR(F2813))</f>
        <v/>
      </c>
      <c r="H2813" s="25">
        <f>IF(F2813=0,"",MONTH(F2813))</f>
        <v/>
      </c>
      <c r="I2813" s="25">
        <f>IFERROR(INDEX(Pedidos!$E$2:$E$1801,MATCH(B2813,Pedidos!$A$2:$A$1801,0)),"")</f>
        <v/>
      </c>
      <c r="J2813" s="25">
        <f>IFERROR(INDEX(Pedidos!$C$2:$C$1801,MATCH(B2813,Pedidos!$A$2:$A$1801,0)),"")</f>
        <v/>
      </c>
      <c r="K2813" s="25">
        <f>IFERROR(INDEX(Pedidos!$D$2:$D$1801,MATCH(B2813,Pedidos!$A$2:$A$1801,0)),"")</f>
        <v/>
      </c>
      <c r="L2813" s="25">
        <f>IFERROR(INDEX(Pedidos!$F$2:$F$1801,MATCH(B2813,Pedidos!$A$2:$A$1801,0)),"")</f>
        <v/>
      </c>
      <c r="M2813" s="26">
        <f>IFERROR(INDEX(Pedidos!$G$2:$G$1801,MATCH(B2813,Pedidos!$A$2:$A$1801,0)),0)</f>
        <v/>
      </c>
      <c r="N2813" s="25">
        <f>IFERROR(INDEX(Produtos!$B$2:$B$71,MATCH(C2813,Produtos!$A$2:$A$71,0)),"")</f>
        <v/>
      </c>
      <c r="O2813" s="25">
        <f>IFERROR(INDEX(Produtos!$C$2:$C$71,MATCH(C2813,Produtos!$A$2:$A$71,0)),"")</f>
        <v/>
      </c>
      <c r="P2813" s="25">
        <f>IFERROR(INDEX(Produtos!$D$2:$D$71,MATCH(C2813,Produtos!$A$2:$A$71,0)),0)</f>
        <v/>
      </c>
      <c r="Q2813" s="25">
        <f>IFERROR(INDEX(Produtos!$E$2:$E$71,MATCH(C2813,Produtos!$A$2:$A$71,0)),0)</f>
        <v/>
      </c>
      <c r="R2813" s="27">
        <f>D2813*Q2813</f>
        <v/>
      </c>
      <c r="S2813" s="27">
        <f>R2813*E2813</f>
        <v/>
      </c>
      <c r="T2813" s="27">
        <f>(R2813-S2813)*M2813</f>
        <v/>
      </c>
      <c r="U2813" s="27">
        <f>R2813-S2813-T2813</f>
        <v/>
      </c>
      <c r="V2813" s="27">
        <f>D2813*P2813</f>
        <v/>
      </c>
      <c r="W2813" s="27">
        <f>U2813-V2813</f>
        <v/>
      </c>
      <c r="X2813" s="28">
        <f>IFERROR(W2813/U2813,0)</f>
        <v/>
      </c>
    </row>
    <row r="2814">
      <c r="A2814" s="21">
        <f>ItensPedido!A2814</f>
        <v/>
      </c>
      <c r="B2814" s="21">
        <f>ItensPedido!B2814</f>
        <v/>
      </c>
      <c r="C2814" s="21">
        <f>ItensPedido!C2814</f>
        <v/>
      </c>
      <c r="D2814" s="21">
        <f>ItensPedido!D2814</f>
        <v/>
      </c>
      <c r="E2814" s="22">
        <f>ItensPedido!E2814</f>
        <v/>
      </c>
      <c r="F2814" s="21">
        <f>IFERROR(INDEX(Pedidos!$B$2:$B$1801,MATCH(B2814,Pedidos!$A$2:$A$1801,0)),0)</f>
        <v/>
      </c>
      <c r="G2814" s="21">
        <f>IF(F2814=0,"",YEAR(F2814))</f>
        <v/>
      </c>
      <c r="H2814" s="21">
        <f>IF(F2814=0,"",MONTH(F2814))</f>
        <v/>
      </c>
      <c r="I2814" s="21">
        <f>IFERROR(INDEX(Pedidos!$E$2:$E$1801,MATCH(B2814,Pedidos!$A$2:$A$1801,0)),"")</f>
        <v/>
      </c>
      <c r="J2814" s="21">
        <f>IFERROR(INDEX(Pedidos!$C$2:$C$1801,MATCH(B2814,Pedidos!$A$2:$A$1801,0)),"")</f>
        <v/>
      </c>
      <c r="K2814" s="21">
        <f>IFERROR(INDEX(Pedidos!$D$2:$D$1801,MATCH(B2814,Pedidos!$A$2:$A$1801,0)),"")</f>
        <v/>
      </c>
      <c r="L2814" s="21">
        <f>IFERROR(INDEX(Pedidos!$F$2:$F$1801,MATCH(B2814,Pedidos!$A$2:$A$1801,0)),"")</f>
        <v/>
      </c>
      <c r="M2814" s="22">
        <f>IFERROR(INDEX(Pedidos!$G$2:$G$1801,MATCH(B2814,Pedidos!$A$2:$A$1801,0)),0)</f>
        <v/>
      </c>
      <c r="N2814" s="21">
        <f>IFERROR(INDEX(Produtos!$B$2:$B$71,MATCH(C2814,Produtos!$A$2:$A$71,0)),"")</f>
        <v/>
      </c>
      <c r="O2814" s="21">
        <f>IFERROR(INDEX(Produtos!$C$2:$C$71,MATCH(C2814,Produtos!$A$2:$A$71,0)),"")</f>
        <v/>
      </c>
      <c r="P2814" s="21">
        <f>IFERROR(INDEX(Produtos!$D$2:$D$71,MATCH(C2814,Produtos!$A$2:$A$71,0)),0)</f>
        <v/>
      </c>
      <c r="Q2814" s="21">
        <f>IFERROR(INDEX(Produtos!$E$2:$E$71,MATCH(C2814,Produtos!$A$2:$A$71,0)),0)</f>
        <v/>
      </c>
      <c r="R2814" s="23">
        <f>D2814*Q2814</f>
        <v/>
      </c>
      <c r="S2814" s="23">
        <f>R2814*E2814</f>
        <v/>
      </c>
      <c r="T2814" s="23">
        <f>(R2814-S2814)*M2814</f>
        <v/>
      </c>
      <c r="U2814" s="23">
        <f>R2814-S2814-T2814</f>
        <v/>
      </c>
      <c r="V2814" s="23">
        <f>D2814*P2814</f>
        <v/>
      </c>
      <c r="W2814" s="23">
        <f>U2814-V2814</f>
        <v/>
      </c>
      <c r="X2814" s="24">
        <f>IFERROR(W2814/U2814,0)</f>
        <v/>
      </c>
    </row>
    <row r="2815">
      <c r="A2815" s="25">
        <f>ItensPedido!A2815</f>
        <v/>
      </c>
      <c r="B2815" s="25">
        <f>ItensPedido!B2815</f>
        <v/>
      </c>
      <c r="C2815" s="25">
        <f>ItensPedido!C2815</f>
        <v/>
      </c>
      <c r="D2815" s="25">
        <f>ItensPedido!D2815</f>
        <v/>
      </c>
      <c r="E2815" s="26">
        <f>ItensPedido!E2815</f>
        <v/>
      </c>
      <c r="F2815" s="25">
        <f>IFERROR(INDEX(Pedidos!$B$2:$B$1801,MATCH(B2815,Pedidos!$A$2:$A$1801,0)),0)</f>
        <v/>
      </c>
      <c r="G2815" s="25">
        <f>IF(F2815=0,"",YEAR(F2815))</f>
        <v/>
      </c>
      <c r="H2815" s="25">
        <f>IF(F2815=0,"",MONTH(F2815))</f>
        <v/>
      </c>
      <c r="I2815" s="25">
        <f>IFERROR(INDEX(Pedidos!$E$2:$E$1801,MATCH(B2815,Pedidos!$A$2:$A$1801,0)),"")</f>
        <v/>
      </c>
      <c r="J2815" s="25">
        <f>IFERROR(INDEX(Pedidos!$C$2:$C$1801,MATCH(B2815,Pedidos!$A$2:$A$1801,0)),"")</f>
        <v/>
      </c>
      <c r="K2815" s="25">
        <f>IFERROR(INDEX(Pedidos!$D$2:$D$1801,MATCH(B2815,Pedidos!$A$2:$A$1801,0)),"")</f>
        <v/>
      </c>
      <c r="L2815" s="25">
        <f>IFERROR(INDEX(Pedidos!$F$2:$F$1801,MATCH(B2815,Pedidos!$A$2:$A$1801,0)),"")</f>
        <v/>
      </c>
      <c r="M2815" s="26">
        <f>IFERROR(INDEX(Pedidos!$G$2:$G$1801,MATCH(B2815,Pedidos!$A$2:$A$1801,0)),0)</f>
        <v/>
      </c>
      <c r="N2815" s="25">
        <f>IFERROR(INDEX(Produtos!$B$2:$B$71,MATCH(C2815,Produtos!$A$2:$A$71,0)),"")</f>
        <v/>
      </c>
      <c r="O2815" s="25">
        <f>IFERROR(INDEX(Produtos!$C$2:$C$71,MATCH(C2815,Produtos!$A$2:$A$71,0)),"")</f>
        <v/>
      </c>
      <c r="P2815" s="25">
        <f>IFERROR(INDEX(Produtos!$D$2:$D$71,MATCH(C2815,Produtos!$A$2:$A$71,0)),0)</f>
        <v/>
      </c>
      <c r="Q2815" s="25">
        <f>IFERROR(INDEX(Produtos!$E$2:$E$71,MATCH(C2815,Produtos!$A$2:$A$71,0)),0)</f>
        <v/>
      </c>
      <c r="R2815" s="27">
        <f>D2815*Q2815</f>
        <v/>
      </c>
      <c r="S2815" s="27">
        <f>R2815*E2815</f>
        <v/>
      </c>
      <c r="T2815" s="27">
        <f>(R2815-S2815)*M2815</f>
        <v/>
      </c>
      <c r="U2815" s="27">
        <f>R2815-S2815-T2815</f>
        <v/>
      </c>
      <c r="V2815" s="27">
        <f>D2815*P2815</f>
        <v/>
      </c>
      <c r="W2815" s="27">
        <f>U2815-V2815</f>
        <v/>
      </c>
      <c r="X2815" s="28">
        <f>IFERROR(W2815/U2815,0)</f>
        <v/>
      </c>
    </row>
    <row r="2816">
      <c r="A2816" s="21">
        <f>ItensPedido!A2816</f>
        <v/>
      </c>
      <c r="B2816" s="21">
        <f>ItensPedido!B2816</f>
        <v/>
      </c>
      <c r="C2816" s="21">
        <f>ItensPedido!C2816</f>
        <v/>
      </c>
      <c r="D2816" s="21">
        <f>ItensPedido!D2816</f>
        <v/>
      </c>
      <c r="E2816" s="22">
        <f>ItensPedido!E2816</f>
        <v/>
      </c>
      <c r="F2816" s="21">
        <f>IFERROR(INDEX(Pedidos!$B$2:$B$1801,MATCH(B2816,Pedidos!$A$2:$A$1801,0)),0)</f>
        <v/>
      </c>
      <c r="G2816" s="21">
        <f>IF(F2816=0,"",YEAR(F2816))</f>
        <v/>
      </c>
      <c r="H2816" s="21">
        <f>IF(F2816=0,"",MONTH(F2816))</f>
        <v/>
      </c>
      <c r="I2816" s="21">
        <f>IFERROR(INDEX(Pedidos!$E$2:$E$1801,MATCH(B2816,Pedidos!$A$2:$A$1801,0)),"")</f>
        <v/>
      </c>
      <c r="J2816" s="21">
        <f>IFERROR(INDEX(Pedidos!$C$2:$C$1801,MATCH(B2816,Pedidos!$A$2:$A$1801,0)),"")</f>
        <v/>
      </c>
      <c r="K2816" s="21">
        <f>IFERROR(INDEX(Pedidos!$D$2:$D$1801,MATCH(B2816,Pedidos!$A$2:$A$1801,0)),"")</f>
        <v/>
      </c>
      <c r="L2816" s="21">
        <f>IFERROR(INDEX(Pedidos!$F$2:$F$1801,MATCH(B2816,Pedidos!$A$2:$A$1801,0)),"")</f>
        <v/>
      </c>
      <c r="M2816" s="22">
        <f>IFERROR(INDEX(Pedidos!$G$2:$G$1801,MATCH(B2816,Pedidos!$A$2:$A$1801,0)),0)</f>
        <v/>
      </c>
      <c r="N2816" s="21">
        <f>IFERROR(INDEX(Produtos!$B$2:$B$71,MATCH(C2816,Produtos!$A$2:$A$71,0)),"")</f>
        <v/>
      </c>
      <c r="O2816" s="21">
        <f>IFERROR(INDEX(Produtos!$C$2:$C$71,MATCH(C2816,Produtos!$A$2:$A$71,0)),"")</f>
        <v/>
      </c>
      <c r="P2816" s="21">
        <f>IFERROR(INDEX(Produtos!$D$2:$D$71,MATCH(C2816,Produtos!$A$2:$A$71,0)),0)</f>
        <v/>
      </c>
      <c r="Q2816" s="21">
        <f>IFERROR(INDEX(Produtos!$E$2:$E$71,MATCH(C2816,Produtos!$A$2:$A$71,0)),0)</f>
        <v/>
      </c>
      <c r="R2816" s="23">
        <f>D2816*Q2816</f>
        <v/>
      </c>
      <c r="S2816" s="23">
        <f>R2816*E2816</f>
        <v/>
      </c>
      <c r="T2816" s="23">
        <f>(R2816-S2816)*M2816</f>
        <v/>
      </c>
      <c r="U2816" s="23">
        <f>R2816-S2816-T2816</f>
        <v/>
      </c>
      <c r="V2816" s="23">
        <f>D2816*P2816</f>
        <v/>
      </c>
      <c r="W2816" s="23">
        <f>U2816-V2816</f>
        <v/>
      </c>
      <c r="X2816" s="24">
        <f>IFERROR(W2816/U2816,0)</f>
        <v/>
      </c>
    </row>
    <row r="2817">
      <c r="A2817" s="25">
        <f>ItensPedido!A2817</f>
        <v/>
      </c>
      <c r="B2817" s="25">
        <f>ItensPedido!B2817</f>
        <v/>
      </c>
      <c r="C2817" s="25">
        <f>ItensPedido!C2817</f>
        <v/>
      </c>
      <c r="D2817" s="25">
        <f>ItensPedido!D2817</f>
        <v/>
      </c>
      <c r="E2817" s="26">
        <f>ItensPedido!E2817</f>
        <v/>
      </c>
      <c r="F2817" s="25">
        <f>IFERROR(INDEX(Pedidos!$B$2:$B$1801,MATCH(B2817,Pedidos!$A$2:$A$1801,0)),0)</f>
        <v/>
      </c>
      <c r="G2817" s="25">
        <f>IF(F2817=0,"",YEAR(F2817))</f>
        <v/>
      </c>
      <c r="H2817" s="25">
        <f>IF(F2817=0,"",MONTH(F2817))</f>
        <v/>
      </c>
      <c r="I2817" s="25">
        <f>IFERROR(INDEX(Pedidos!$E$2:$E$1801,MATCH(B2817,Pedidos!$A$2:$A$1801,0)),"")</f>
        <v/>
      </c>
      <c r="J2817" s="25">
        <f>IFERROR(INDEX(Pedidos!$C$2:$C$1801,MATCH(B2817,Pedidos!$A$2:$A$1801,0)),"")</f>
        <v/>
      </c>
      <c r="K2817" s="25">
        <f>IFERROR(INDEX(Pedidos!$D$2:$D$1801,MATCH(B2817,Pedidos!$A$2:$A$1801,0)),"")</f>
        <v/>
      </c>
      <c r="L2817" s="25">
        <f>IFERROR(INDEX(Pedidos!$F$2:$F$1801,MATCH(B2817,Pedidos!$A$2:$A$1801,0)),"")</f>
        <v/>
      </c>
      <c r="M2817" s="26">
        <f>IFERROR(INDEX(Pedidos!$G$2:$G$1801,MATCH(B2817,Pedidos!$A$2:$A$1801,0)),0)</f>
        <v/>
      </c>
      <c r="N2817" s="25">
        <f>IFERROR(INDEX(Produtos!$B$2:$B$71,MATCH(C2817,Produtos!$A$2:$A$71,0)),"")</f>
        <v/>
      </c>
      <c r="O2817" s="25">
        <f>IFERROR(INDEX(Produtos!$C$2:$C$71,MATCH(C2817,Produtos!$A$2:$A$71,0)),"")</f>
        <v/>
      </c>
      <c r="P2817" s="25">
        <f>IFERROR(INDEX(Produtos!$D$2:$D$71,MATCH(C2817,Produtos!$A$2:$A$71,0)),0)</f>
        <v/>
      </c>
      <c r="Q2817" s="25">
        <f>IFERROR(INDEX(Produtos!$E$2:$E$71,MATCH(C2817,Produtos!$A$2:$A$71,0)),0)</f>
        <v/>
      </c>
      <c r="R2817" s="27">
        <f>D2817*Q2817</f>
        <v/>
      </c>
      <c r="S2817" s="27">
        <f>R2817*E2817</f>
        <v/>
      </c>
      <c r="T2817" s="27">
        <f>(R2817-S2817)*M2817</f>
        <v/>
      </c>
      <c r="U2817" s="27">
        <f>R2817-S2817-T2817</f>
        <v/>
      </c>
      <c r="V2817" s="27">
        <f>D2817*P2817</f>
        <v/>
      </c>
      <c r="W2817" s="27">
        <f>U2817-V2817</f>
        <v/>
      </c>
      <c r="X2817" s="28">
        <f>IFERROR(W2817/U2817,0)</f>
        <v/>
      </c>
    </row>
    <row r="2818">
      <c r="A2818" s="21">
        <f>ItensPedido!A2818</f>
        <v/>
      </c>
      <c r="B2818" s="21">
        <f>ItensPedido!B2818</f>
        <v/>
      </c>
      <c r="C2818" s="21">
        <f>ItensPedido!C2818</f>
        <v/>
      </c>
      <c r="D2818" s="21">
        <f>ItensPedido!D2818</f>
        <v/>
      </c>
      <c r="E2818" s="22">
        <f>ItensPedido!E2818</f>
        <v/>
      </c>
      <c r="F2818" s="21">
        <f>IFERROR(INDEX(Pedidos!$B$2:$B$1801,MATCH(B2818,Pedidos!$A$2:$A$1801,0)),0)</f>
        <v/>
      </c>
      <c r="G2818" s="21">
        <f>IF(F2818=0,"",YEAR(F2818))</f>
        <v/>
      </c>
      <c r="H2818" s="21">
        <f>IF(F2818=0,"",MONTH(F2818))</f>
        <v/>
      </c>
      <c r="I2818" s="21">
        <f>IFERROR(INDEX(Pedidos!$E$2:$E$1801,MATCH(B2818,Pedidos!$A$2:$A$1801,0)),"")</f>
        <v/>
      </c>
      <c r="J2818" s="21">
        <f>IFERROR(INDEX(Pedidos!$C$2:$C$1801,MATCH(B2818,Pedidos!$A$2:$A$1801,0)),"")</f>
        <v/>
      </c>
      <c r="K2818" s="21">
        <f>IFERROR(INDEX(Pedidos!$D$2:$D$1801,MATCH(B2818,Pedidos!$A$2:$A$1801,0)),"")</f>
        <v/>
      </c>
      <c r="L2818" s="21">
        <f>IFERROR(INDEX(Pedidos!$F$2:$F$1801,MATCH(B2818,Pedidos!$A$2:$A$1801,0)),"")</f>
        <v/>
      </c>
      <c r="M2818" s="22">
        <f>IFERROR(INDEX(Pedidos!$G$2:$G$1801,MATCH(B2818,Pedidos!$A$2:$A$1801,0)),0)</f>
        <v/>
      </c>
      <c r="N2818" s="21">
        <f>IFERROR(INDEX(Produtos!$B$2:$B$71,MATCH(C2818,Produtos!$A$2:$A$71,0)),"")</f>
        <v/>
      </c>
      <c r="O2818" s="21">
        <f>IFERROR(INDEX(Produtos!$C$2:$C$71,MATCH(C2818,Produtos!$A$2:$A$71,0)),"")</f>
        <v/>
      </c>
      <c r="P2818" s="21">
        <f>IFERROR(INDEX(Produtos!$D$2:$D$71,MATCH(C2818,Produtos!$A$2:$A$71,0)),0)</f>
        <v/>
      </c>
      <c r="Q2818" s="21">
        <f>IFERROR(INDEX(Produtos!$E$2:$E$71,MATCH(C2818,Produtos!$A$2:$A$71,0)),0)</f>
        <v/>
      </c>
      <c r="R2818" s="23">
        <f>D2818*Q2818</f>
        <v/>
      </c>
      <c r="S2818" s="23">
        <f>R2818*E2818</f>
        <v/>
      </c>
      <c r="T2818" s="23">
        <f>(R2818-S2818)*M2818</f>
        <v/>
      </c>
      <c r="U2818" s="23">
        <f>R2818-S2818-T2818</f>
        <v/>
      </c>
      <c r="V2818" s="23">
        <f>D2818*P2818</f>
        <v/>
      </c>
      <c r="W2818" s="23">
        <f>U2818-V2818</f>
        <v/>
      </c>
      <c r="X2818" s="24">
        <f>IFERROR(W2818/U2818,0)</f>
        <v/>
      </c>
    </row>
    <row r="2819">
      <c r="A2819" s="25">
        <f>ItensPedido!A2819</f>
        <v/>
      </c>
      <c r="B2819" s="25">
        <f>ItensPedido!B2819</f>
        <v/>
      </c>
      <c r="C2819" s="25">
        <f>ItensPedido!C2819</f>
        <v/>
      </c>
      <c r="D2819" s="25">
        <f>ItensPedido!D2819</f>
        <v/>
      </c>
      <c r="E2819" s="26">
        <f>ItensPedido!E2819</f>
        <v/>
      </c>
      <c r="F2819" s="25">
        <f>IFERROR(INDEX(Pedidos!$B$2:$B$1801,MATCH(B2819,Pedidos!$A$2:$A$1801,0)),0)</f>
        <v/>
      </c>
      <c r="G2819" s="25">
        <f>IF(F2819=0,"",YEAR(F2819))</f>
        <v/>
      </c>
      <c r="H2819" s="25">
        <f>IF(F2819=0,"",MONTH(F2819))</f>
        <v/>
      </c>
      <c r="I2819" s="25">
        <f>IFERROR(INDEX(Pedidos!$E$2:$E$1801,MATCH(B2819,Pedidos!$A$2:$A$1801,0)),"")</f>
        <v/>
      </c>
      <c r="J2819" s="25">
        <f>IFERROR(INDEX(Pedidos!$C$2:$C$1801,MATCH(B2819,Pedidos!$A$2:$A$1801,0)),"")</f>
        <v/>
      </c>
      <c r="K2819" s="25">
        <f>IFERROR(INDEX(Pedidos!$D$2:$D$1801,MATCH(B2819,Pedidos!$A$2:$A$1801,0)),"")</f>
        <v/>
      </c>
      <c r="L2819" s="25">
        <f>IFERROR(INDEX(Pedidos!$F$2:$F$1801,MATCH(B2819,Pedidos!$A$2:$A$1801,0)),"")</f>
        <v/>
      </c>
      <c r="M2819" s="26">
        <f>IFERROR(INDEX(Pedidos!$G$2:$G$1801,MATCH(B2819,Pedidos!$A$2:$A$1801,0)),0)</f>
        <v/>
      </c>
      <c r="N2819" s="25">
        <f>IFERROR(INDEX(Produtos!$B$2:$B$71,MATCH(C2819,Produtos!$A$2:$A$71,0)),"")</f>
        <v/>
      </c>
      <c r="O2819" s="25">
        <f>IFERROR(INDEX(Produtos!$C$2:$C$71,MATCH(C2819,Produtos!$A$2:$A$71,0)),"")</f>
        <v/>
      </c>
      <c r="P2819" s="25">
        <f>IFERROR(INDEX(Produtos!$D$2:$D$71,MATCH(C2819,Produtos!$A$2:$A$71,0)),0)</f>
        <v/>
      </c>
      <c r="Q2819" s="25">
        <f>IFERROR(INDEX(Produtos!$E$2:$E$71,MATCH(C2819,Produtos!$A$2:$A$71,0)),0)</f>
        <v/>
      </c>
      <c r="R2819" s="27">
        <f>D2819*Q2819</f>
        <v/>
      </c>
      <c r="S2819" s="27">
        <f>R2819*E2819</f>
        <v/>
      </c>
      <c r="T2819" s="27">
        <f>(R2819-S2819)*M2819</f>
        <v/>
      </c>
      <c r="U2819" s="27">
        <f>R2819-S2819-T2819</f>
        <v/>
      </c>
      <c r="V2819" s="27">
        <f>D2819*P2819</f>
        <v/>
      </c>
      <c r="W2819" s="27">
        <f>U2819-V2819</f>
        <v/>
      </c>
      <c r="X2819" s="28">
        <f>IFERROR(W2819/U2819,0)</f>
        <v/>
      </c>
    </row>
    <row r="2820">
      <c r="A2820" s="21">
        <f>ItensPedido!A2820</f>
        <v/>
      </c>
      <c r="B2820" s="21">
        <f>ItensPedido!B2820</f>
        <v/>
      </c>
      <c r="C2820" s="21">
        <f>ItensPedido!C2820</f>
        <v/>
      </c>
      <c r="D2820" s="21">
        <f>ItensPedido!D2820</f>
        <v/>
      </c>
      <c r="E2820" s="22">
        <f>ItensPedido!E2820</f>
        <v/>
      </c>
      <c r="F2820" s="21">
        <f>IFERROR(INDEX(Pedidos!$B$2:$B$1801,MATCH(B2820,Pedidos!$A$2:$A$1801,0)),0)</f>
        <v/>
      </c>
      <c r="G2820" s="21">
        <f>IF(F2820=0,"",YEAR(F2820))</f>
        <v/>
      </c>
      <c r="H2820" s="21">
        <f>IF(F2820=0,"",MONTH(F2820))</f>
        <v/>
      </c>
      <c r="I2820" s="21">
        <f>IFERROR(INDEX(Pedidos!$E$2:$E$1801,MATCH(B2820,Pedidos!$A$2:$A$1801,0)),"")</f>
        <v/>
      </c>
      <c r="J2820" s="21">
        <f>IFERROR(INDEX(Pedidos!$C$2:$C$1801,MATCH(B2820,Pedidos!$A$2:$A$1801,0)),"")</f>
        <v/>
      </c>
      <c r="K2820" s="21">
        <f>IFERROR(INDEX(Pedidos!$D$2:$D$1801,MATCH(B2820,Pedidos!$A$2:$A$1801,0)),"")</f>
        <v/>
      </c>
      <c r="L2820" s="21">
        <f>IFERROR(INDEX(Pedidos!$F$2:$F$1801,MATCH(B2820,Pedidos!$A$2:$A$1801,0)),"")</f>
        <v/>
      </c>
      <c r="M2820" s="22">
        <f>IFERROR(INDEX(Pedidos!$G$2:$G$1801,MATCH(B2820,Pedidos!$A$2:$A$1801,0)),0)</f>
        <v/>
      </c>
      <c r="N2820" s="21">
        <f>IFERROR(INDEX(Produtos!$B$2:$B$71,MATCH(C2820,Produtos!$A$2:$A$71,0)),"")</f>
        <v/>
      </c>
      <c r="O2820" s="21">
        <f>IFERROR(INDEX(Produtos!$C$2:$C$71,MATCH(C2820,Produtos!$A$2:$A$71,0)),"")</f>
        <v/>
      </c>
      <c r="P2820" s="21">
        <f>IFERROR(INDEX(Produtos!$D$2:$D$71,MATCH(C2820,Produtos!$A$2:$A$71,0)),0)</f>
        <v/>
      </c>
      <c r="Q2820" s="21">
        <f>IFERROR(INDEX(Produtos!$E$2:$E$71,MATCH(C2820,Produtos!$A$2:$A$71,0)),0)</f>
        <v/>
      </c>
      <c r="R2820" s="23">
        <f>D2820*Q2820</f>
        <v/>
      </c>
      <c r="S2820" s="23">
        <f>R2820*E2820</f>
        <v/>
      </c>
      <c r="T2820" s="23">
        <f>(R2820-S2820)*M2820</f>
        <v/>
      </c>
      <c r="U2820" s="23">
        <f>R2820-S2820-T2820</f>
        <v/>
      </c>
      <c r="V2820" s="23">
        <f>D2820*P2820</f>
        <v/>
      </c>
      <c r="W2820" s="23">
        <f>U2820-V2820</f>
        <v/>
      </c>
      <c r="X2820" s="24">
        <f>IFERROR(W2820/U2820,0)</f>
        <v/>
      </c>
    </row>
    <row r="2821">
      <c r="A2821" s="25">
        <f>ItensPedido!A2821</f>
        <v/>
      </c>
      <c r="B2821" s="25">
        <f>ItensPedido!B2821</f>
        <v/>
      </c>
      <c r="C2821" s="25">
        <f>ItensPedido!C2821</f>
        <v/>
      </c>
      <c r="D2821" s="25">
        <f>ItensPedido!D2821</f>
        <v/>
      </c>
      <c r="E2821" s="26">
        <f>ItensPedido!E2821</f>
        <v/>
      </c>
      <c r="F2821" s="25">
        <f>IFERROR(INDEX(Pedidos!$B$2:$B$1801,MATCH(B2821,Pedidos!$A$2:$A$1801,0)),0)</f>
        <v/>
      </c>
      <c r="G2821" s="25">
        <f>IF(F2821=0,"",YEAR(F2821))</f>
        <v/>
      </c>
      <c r="H2821" s="25">
        <f>IF(F2821=0,"",MONTH(F2821))</f>
        <v/>
      </c>
      <c r="I2821" s="25">
        <f>IFERROR(INDEX(Pedidos!$E$2:$E$1801,MATCH(B2821,Pedidos!$A$2:$A$1801,0)),"")</f>
        <v/>
      </c>
      <c r="J2821" s="25">
        <f>IFERROR(INDEX(Pedidos!$C$2:$C$1801,MATCH(B2821,Pedidos!$A$2:$A$1801,0)),"")</f>
        <v/>
      </c>
      <c r="K2821" s="25">
        <f>IFERROR(INDEX(Pedidos!$D$2:$D$1801,MATCH(B2821,Pedidos!$A$2:$A$1801,0)),"")</f>
        <v/>
      </c>
      <c r="L2821" s="25">
        <f>IFERROR(INDEX(Pedidos!$F$2:$F$1801,MATCH(B2821,Pedidos!$A$2:$A$1801,0)),"")</f>
        <v/>
      </c>
      <c r="M2821" s="26">
        <f>IFERROR(INDEX(Pedidos!$G$2:$G$1801,MATCH(B2821,Pedidos!$A$2:$A$1801,0)),0)</f>
        <v/>
      </c>
      <c r="N2821" s="25">
        <f>IFERROR(INDEX(Produtos!$B$2:$B$71,MATCH(C2821,Produtos!$A$2:$A$71,0)),"")</f>
        <v/>
      </c>
      <c r="O2821" s="25">
        <f>IFERROR(INDEX(Produtos!$C$2:$C$71,MATCH(C2821,Produtos!$A$2:$A$71,0)),"")</f>
        <v/>
      </c>
      <c r="P2821" s="25">
        <f>IFERROR(INDEX(Produtos!$D$2:$D$71,MATCH(C2821,Produtos!$A$2:$A$71,0)),0)</f>
        <v/>
      </c>
      <c r="Q2821" s="25">
        <f>IFERROR(INDEX(Produtos!$E$2:$E$71,MATCH(C2821,Produtos!$A$2:$A$71,0)),0)</f>
        <v/>
      </c>
      <c r="R2821" s="27">
        <f>D2821*Q2821</f>
        <v/>
      </c>
      <c r="S2821" s="27">
        <f>R2821*E2821</f>
        <v/>
      </c>
      <c r="T2821" s="27">
        <f>(R2821-S2821)*M2821</f>
        <v/>
      </c>
      <c r="U2821" s="27">
        <f>R2821-S2821-T2821</f>
        <v/>
      </c>
      <c r="V2821" s="27">
        <f>D2821*P2821</f>
        <v/>
      </c>
      <c r="W2821" s="27">
        <f>U2821-V2821</f>
        <v/>
      </c>
      <c r="X2821" s="28">
        <f>IFERROR(W2821/U2821,0)</f>
        <v/>
      </c>
    </row>
    <row r="2822">
      <c r="A2822" s="21">
        <f>ItensPedido!A2822</f>
        <v/>
      </c>
      <c r="B2822" s="21">
        <f>ItensPedido!B2822</f>
        <v/>
      </c>
      <c r="C2822" s="21">
        <f>ItensPedido!C2822</f>
        <v/>
      </c>
      <c r="D2822" s="21">
        <f>ItensPedido!D2822</f>
        <v/>
      </c>
      <c r="E2822" s="22">
        <f>ItensPedido!E2822</f>
        <v/>
      </c>
      <c r="F2822" s="21">
        <f>IFERROR(INDEX(Pedidos!$B$2:$B$1801,MATCH(B2822,Pedidos!$A$2:$A$1801,0)),0)</f>
        <v/>
      </c>
      <c r="G2822" s="21">
        <f>IF(F2822=0,"",YEAR(F2822))</f>
        <v/>
      </c>
      <c r="H2822" s="21">
        <f>IF(F2822=0,"",MONTH(F2822))</f>
        <v/>
      </c>
      <c r="I2822" s="21">
        <f>IFERROR(INDEX(Pedidos!$E$2:$E$1801,MATCH(B2822,Pedidos!$A$2:$A$1801,0)),"")</f>
        <v/>
      </c>
      <c r="J2822" s="21">
        <f>IFERROR(INDEX(Pedidos!$C$2:$C$1801,MATCH(B2822,Pedidos!$A$2:$A$1801,0)),"")</f>
        <v/>
      </c>
      <c r="K2822" s="21">
        <f>IFERROR(INDEX(Pedidos!$D$2:$D$1801,MATCH(B2822,Pedidos!$A$2:$A$1801,0)),"")</f>
        <v/>
      </c>
      <c r="L2822" s="21">
        <f>IFERROR(INDEX(Pedidos!$F$2:$F$1801,MATCH(B2822,Pedidos!$A$2:$A$1801,0)),"")</f>
        <v/>
      </c>
      <c r="M2822" s="22">
        <f>IFERROR(INDEX(Pedidos!$G$2:$G$1801,MATCH(B2822,Pedidos!$A$2:$A$1801,0)),0)</f>
        <v/>
      </c>
      <c r="N2822" s="21">
        <f>IFERROR(INDEX(Produtos!$B$2:$B$71,MATCH(C2822,Produtos!$A$2:$A$71,0)),"")</f>
        <v/>
      </c>
      <c r="O2822" s="21">
        <f>IFERROR(INDEX(Produtos!$C$2:$C$71,MATCH(C2822,Produtos!$A$2:$A$71,0)),"")</f>
        <v/>
      </c>
      <c r="P2822" s="21">
        <f>IFERROR(INDEX(Produtos!$D$2:$D$71,MATCH(C2822,Produtos!$A$2:$A$71,0)),0)</f>
        <v/>
      </c>
      <c r="Q2822" s="21">
        <f>IFERROR(INDEX(Produtos!$E$2:$E$71,MATCH(C2822,Produtos!$A$2:$A$71,0)),0)</f>
        <v/>
      </c>
      <c r="R2822" s="23">
        <f>D2822*Q2822</f>
        <v/>
      </c>
      <c r="S2822" s="23">
        <f>R2822*E2822</f>
        <v/>
      </c>
      <c r="T2822" s="23">
        <f>(R2822-S2822)*M2822</f>
        <v/>
      </c>
      <c r="U2822" s="23">
        <f>R2822-S2822-T2822</f>
        <v/>
      </c>
      <c r="V2822" s="23">
        <f>D2822*P2822</f>
        <v/>
      </c>
      <c r="W2822" s="23">
        <f>U2822-V2822</f>
        <v/>
      </c>
      <c r="X2822" s="24">
        <f>IFERROR(W2822/U2822,0)</f>
        <v/>
      </c>
    </row>
    <row r="2823">
      <c r="A2823" s="25">
        <f>ItensPedido!A2823</f>
        <v/>
      </c>
      <c r="B2823" s="25">
        <f>ItensPedido!B2823</f>
        <v/>
      </c>
      <c r="C2823" s="25">
        <f>ItensPedido!C2823</f>
        <v/>
      </c>
      <c r="D2823" s="25">
        <f>ItensPedido!D2823</f>
        <v/>
      </c>
      <c r="E2823" s="26">
        <f>ItensPedido!E2823</f>
        <v/>
      </c>
      <c r="F2823" s="25">
        <f>IFERROR(INDEX(Pedidos!$B$2:$B$1801,MATCH(B2823,Pedidos!$A$2:$A$1801,0)),0)</f>
        <v/>
      </c>
      <c r="G2823" s="25">
        <f>IF(F2823=0,"",YEAR(F2823))</f>
        <v/>
      </c>
      <c r="H2823" s="25">
        <f>IF(F2823=0,"",MONTH(F2823))</f>
        <v/>
      </c>
      <c r="I2823" s="25">
        <f>IFERROR(INDEX(Pedidos!$E$2:$E$1801,MATCH(B2823,Pedidos!$A$2:$A$1801,0)),"")</f>
        <v/>
      </c>
      <c r="J2823" s="25">
        <f>IFERROR(INDEX(Pedidos!$C$2:$C$1801,MATCH(B2823,Pedidos!$A$2:$A$1801,0)),"")</f>
        <v/>
      </c>
      <c r="K2823" s="25">
        <f>IFERROR(INDEX(Pedidos!$D$2:$D$1801,MATCH(B2823,Pedidos!$A$2:$A$1801,0)),"")</f>
        <v/>
      </c>
      <c r="L2823" s="25">
        <f>IFERROR(INDEX(Pedidos!$F$2:$F$1801,MATCH(B2823,Pedidos!$A$2:$A$1801,0)),"")</f>
        <v/>
      </c>
      <c r="M2823" s="26">
        <f>IFERROR(INDEX(Pedidos!$G$2:$G$1801,MATCH(B2823,Pedidos!$A$2:$A$1801,0)),0)</f>
        <v/>
      </c>
      <c r="N2823" s="25">
        <f>IFERROR(INDEX(Produtos!$B$2:$B$71,MATCH(C2823,Produtos!$A$2:$A$71,0)),"")</f>
        <v/>
      </c>
      <c r="O2823" s="25">
        <f>IFERROR(INDEX(Produtos!$C$2:$C$71,MATCH(C2823,Produtos!$A$2:$A$71,0)),"")</f>
        <v/>
      </c>
      <c r="P2823" s="25">
        <f>IFERROR(INDEX(Produtos!$D$2:$D$71,MATCH(C2823,Produtos!$A$2:$A$71,0)),0)</f>
        <v/>
      </c>
      <c r="Q2823" s="25">
        <f>IFERROR(INDEX(Produtos!$E$2:$E$71,MATCH(C2823,Produtos!$A$2:$A$71,0)),0)</f>
        <v/>
      </c>
      <c r="R2823" s="27">
        <f>D2823*Q2823</f>
        <v/>
      </c>
      <c r="S2823" s="27">
        <f>R2823*E2823</f>
        <v/>
      </c>
      <c r="T2823" s="27">
        <f>(R2823-S2823)*M2823</f>
        <v/>
      </c>
      <c r="U2823" s="27">
        <f>R2823-S2823-T2823</f>
        <v/>
      </c>
      <c r="V2823" s="27">
        <f>D2823*P2823</f>
        <v/>
      </c>
      <c r="W2823" s="27">
        <f>U2823-V2823</f>
        <v/>
      </c>
      <c r="X2823" s="28">
        <f>IFERROR(W2823/U2823,0)</f>
        <v/>
      </c>
    </row>
    <row r="2824">
      <c r="A2824" s="21">
        <f>ItensPedido!A2824</f>
        <v/>
      </c>
      <c r="B2824" s="21">
        <f>ItensPedido!B2824</f>
        <v/>
      </c>
      <c r="C2824" s="21">
        <f>ItensPedido!C2824</f>
        <v/>
      </c>
      <c r="D2824" s="21">
        <f>ItensPedido!D2824</f>
        <v/>
      </c>
      <c r="E2824" s="22">
        <f>ItensPedido!E2824</f>
        <v/>
      </c>
      <c r="F2824" s="21">
        <f>IFERROR(INDEX(Pedidos!$B$2:$B$1801,MATCH(B2824,Pedidos!$A$2:$A$1801,0)),0)</f>
        <v/>
      </c>
      <c r="G2824" s="21">
        <f>IF(F2824=0,"",YEAR(F2824))</f>
        <v/>
      </c>
      <c r="H2824" s="21">
        <f>IF(F2824=0,"",MONTH(F2824))</f>
        <v/>
      </c>
      <c r="I2824" s="21">
        <f>IFERROR(INDEX(Pedidos!$E$2:$E$1801,MATCH(B2824,Pedidos!$A$2:$A$1801,0)),"")</f>
        <v/>
      </c>
      <c r="J2824" s="21">
        <f>IFERROR(INDEX(Pedidos!$C$2:$C$1801,MATCH(B2824,Pedidos!$A$2:$A$1801,0)),"")</f>
        <v/>
      </c>
      <c r="K2824" s="21">
        <f>IFERROR(INDEX(Pedidos!$D$2:$D$1801,MATCH(B2824,Pedidos!$A$2:$A$1801,0)),"")</f>
        <v/>
      </c>
      <c r="L2824" s="21">
        <f>IFERROR(INDEX(Pedidos!$F$2:$F$1801,MATCH(B2824,Pedidos!$A$2:$A$1801,0)),"")</f>
        <v/>
      </c>
      <c r="M2824" s="22">
        <f>IFERROR(INDEX(Pedidos!$G$2:$G$1801,MATCH(B2824,Pedidos!$A$2:$A$1801,0)),0)</f>
        <v/>
      </c>
      <c r="N2824" s="21">
        <f>IFERROR(INDEX(Produtos!$B$2:$B$71,MATCH(C2824,Produtos!$A$2:$A$71,0)),"")</f>
        <v/>
      </c>
      <c r="O2824" s="21">
        <f>IFERROR(INDEX(Produtos!$C$2:$C$71,MATCH(C2824,Produtos!$A$2:$A$71,0)),"")</f>
        <v/>
      </c>
      <c r="P2824" s="21">
        <f>IFERROR(INDEX(Produtos!$D$2:$D$71,MATCH(C2824,Produtos!$A$2:$A$71,0)),0)</f>
        <v/>
      </c>
      <c r="Q2824" s="21">
        <f>IFERROR(INDEX(Produtos!$E$2:$E$71,MATCH(C2824,Produtos!$A$2:$A$71,0)),0)</f>
        <v/>
      </c>
      <c r="R2824" s="23">
        <f>D2824*Q2824</f>
        <v/>
      </c>
      <c r="S2824" s="23">
        <f>R2824*E2824</f>
        <v/>
      </c>
      <c r="T2824" s="23">
        <f>(R2824-S2824)*M2824</f>
        <v/>
      </c>
      <c r="U2824" s="23">
        <f>R2824-S2824-T2824</f>
        <v/>
      </c>
      <c r="V2824" s="23">
        <f>D2824*P2824</f>
        <v/>
      </c>
      <c r="W2824" s="23">
        <f>U2824-V2824</f>
        <v/>
      </c>
      <c r="X2824" s="24">
        <f>IFERROR(W2824/U2824,0)</f>
        <v/>
      </c>
    </row>
    <row r="2825">
      <c r="A2825" s="25">
        <f>ItensPedido!A2825</f>
        <v/>
      </c>
      <c r="B2825" s="25">
        <f>ItensPedido!B2825</f>
        <v/>
      </c>
      <c r="C2825" s="25">
        <f>ItensPedido!C2825</f>
        <v/>
      </c>
      <c r="D2825" s="25">
        <f>ItensPedido!D2825</f>
        <v/>
      </c>
      <c r="E2825" s="26">
        <f>ItensPedido!E2825</f>
        <v/>
      </c>
      <c r="F2825" s="25">
        <f>IFERROR(INDEX(Pedidos!$B$2:$B$1801,MATCH(B2825,Pedidos!$A$2:$A$1801,0)),0)</f>
        <v/>
      </c>
      <c r="G2825" s="25">
        <f>IF(F2825=0,"",YEAR(F2825))</f>
        <v/>
      </c>
      <c r="H2825" s="25">
        <f>IF(F2825=0,"",MONTH(F2825))</f>
        <v/>
      </c>
      <c r="I2825" s="25">
        <f>IFERROR(INDEX(Pedidos!$E$2:$E$1801,MATCH(B2825,Pedidos!$A$2:$A$1801,0)),"")</f>
        <v/>
      </c>
      <c r="J2825" s="25">
        <f>IFERROR(INDEX(Pedidos!$C$2:$C$1801,MATCH(B2825,Pedidos!$A$2:$A$1801,0)),"")</f>
        <v/>
      </c>
      <c r="K2825" s="25">
        <f>IFERROR(INDEX(Pedidos!$D$2:$D$1801,MATCH(B2825,Pedidos!$A$2:$A$1801,0)),"")</f>
        <v/>
      </c>
      <c r="L2825" s="25">
        <f>IFERROR(INDEX(Pedidos!$F$2:$F$1801,MATCH(B2825,Pedidos!$A$2:$A$1801,0)),"")</f>
        <v/>
      </c>
      <c r="M2825" s="26">
        <f>IFERROR(INDEX(Pedidos!$G$2:$G$1801,MATCH(B2825,Pedidos!$A$2:$A$1801,0)),0)</f>
        <v/>
      </c>
      <c r="N2825" s="25">
        <f>IFERROR(INDEX(Produtos!$B$2:$B$71,MATCH(C2825,Produtos!$A$2:$A$71,0)),"")</f>
        <v/>
      </c>
      <c r="O2825" s="25">
        <f>IFERROR(INDEX(Produtos!$C$2:$C$71,MATCH(C2825,Produtos!$A$2:$A$71,0)),"")</f>
        <v/>
      </c>
      <c r="P2825" s="25">
        <f>IFERROR(INDEX(Produtos!$D$2:$D$71,MATCH(C2825,Produtos!$A$2:$A$71,0)),0)</f>
        <v/>
      </c>
      <c r="Q2825" s="25">
        <f>IFERROR(INDEX(Produtos!$E$2:$E$71,MATCH(C2825,Produtos!$A$2:$A$71,0)),0)</f>
        <v/>
      </c>
      <c r="R2825" s="27">
        <f>D2825*Q2825</f>
        <v/>
      </c>
      <c r="S2825" s="27">
        <f>R2825*E2825</f>
        <v/>
      </c>
      <c r="T2825" s="27">
        <f>(R2825-S2825)*M2825</f>
        <v/>
      </c>
      <c r="U2825" s="27">
        <f>R2825-S2825-T2825</f>
        <v/>
      </c>
      <c r="V2825" s="27">
        <f>D2825*P2825</f>
        <v/>
      </c>
      <c r="W2825" s="27">
        <f>U2825-V2825</f>
        <v/>
      </c>
      <c r="X2825" s="28">
        <f>IFERROR(W2825/U2825,0)</f>
        <v/>
      </c>
    </row>
    <row r="2826">
      <c r="A2826" s="21">
        <f>ItensPedido!A2826</f>
        <v/>
      </c>
      <c r="B2826" s="21">
        <f>ItensPedido!B2826</f>
        <v/>
      </c>
      <c r="C2826" s="21">
        <f>ItensPedido!C2826</f>
        <v/>
      </c>
      <c r="D2826" s="21">
        <f>ItensPedido!D2826</f>
        <v/>
      </c>
      <c r="E2826" s="22">
        <f>ItensPedido!E2826</f>
        <v/>
      </c>
      <c r="F2826" s="21">
        <f>IFERROR(INDEX(Pedidos!$B$2:$B$1801,MATCH(B2826,Pedidos!$A$2:$A$1801,0)),0)</f>
        <v/>
      </c>
      <c r="G2826" s="21">
        <f>IF(F2826=0,"",YEAR(F2826))</f>
        <v/>
      </c>
      <c r="H2826" s="21">
        <f>IF(F2826=0,"",MONTH(F2826))</f>
        <v/>
      </c>
      <c r="I2826" s="21">
        <f>IFERROR(INDEX(Pedidos!$E$2:$E$1801,MATCH(B2826,Pedidos!$A$2:$A$1801,0)),"")</f>
        <v/>
      </c>
      <c r="J2826" s="21">
        <f>IFERROR(INDEX(Pedidos!$C$2:$C$1801,MATCH(B2826,Pedidos!$A$2:$A$1801,0)),"")</f>
        <v/>
      </c>
      <c r="K2826" s="21">
        <f>IFERROR(INDEX(Pedidos!$D$2:$D$1801,MATCH(B2826,Pedidos!$A$2:$A$1801,0)),"")</f>
        <v/>
      </c>
      <c r="L2826" s="21">
        <f>IFERROR(INDEX(Pedidos!$F$2:$F$1801,MATCH(B2826,Pedidos!$A$2:$A$1801,0)),"")</f>
        <v/>
      </c>
      <c r="M2826" s="22">
        <f>IFERROR(INDEX(Pedidos!$G$2:$G$1801,MATCH(B2826,Pedidos!$A$2:$A$1801,0)),0)</f>
        <v/>
      </c>
      <c r="N2826" s="21">
        <f>IFERROR(INDEX(Produtos!$B$2:$B$71,MATCH(C2826,Produtos!$A$2:$A$71,0)),"")</f>
        <v/>
      </c>
      <c r="O2826" s="21">
        <f>IFERROR(INDEX(Produtos!$C$2:$C$71,MATCH(C2826,Produtos!$A$2:$A$71,0)),"")</f>
        <v/>
      </c>
      <c r="P2826" s="21">
        <f>IFERROR(INDEX(Produtos!$D$2:$D$71,MATCH(C2826,Produtos!$A$2:$A$71,0)),0)</f>
        <v/>
      </c>
      <c r="Q2826" s="21">
        <f>IFERROR(INDEX(Produtos!$E$2:$E$71,MATCH(C2826,Produtos!$A$2:$A$71,0)),0)</f>
        <v/>
      </c>
      <c r="R2826" s="23">
        <f>D2826*Q2826</f>
        <v/>
      </c>
      <c r="S2826" s="23">
        <f>R2826*E2826</f>
        <v/>
      </c>
      <c r="T2826" s="23">
        <f>(R2826-S2826)*M2826</f>
        <v/>
      </c>
      <c r="U2826" s="23">
        <f>R2826-S2826-T2826</f>
        <v/>
      </c>
      <c r="V2826" s="23">
        <f>D2826*P2826</f>
        <v/>
      </c>
      <c r="W2826" s="23">
        <f>U2826-V2826</f>
        <v/>
      </c>
      <c r="X2826" s="24">
        <f>IFERROR(W2826/U2826,0)</f>
        <v/>
      </c>
    </row>
    <row r="2827">
      <c r="A2827" s="25">
        <f>ItensPedido!A2827</f>
        <v/>
      </c>
      <c r="B2827" s="25">
        <f>ItensPedido!B2827</f>
        <v/>
      </c>
      <c r="C2827" s="25">
        <f>ItensPedido!C2827</f>
        <v/>
      </c>
      <c r="D2827" s="25">
        <f>ItensPedido!D2827</f>
        <v/>
      </c>
      <c r="E2827" s="26">
        <f>ItensPedido!E2827</f>
        <v/>
      </c>
      <c r="F2827" s="25">
        <f>IFERROR(INDEX(Pedidos!$B$2:$B$1801,MATCH(B2827,Pedidos!$A$2:$A$1801,0)),0)</f>
        <v/>
      </c>
      <c r="G2827" s="25">
        <f>IF(F2827=0,"",YEAR(F2827))</f>
        <v/>
      </c>
      <c r="H2827" s="25">
        <f>IF(F2827=0,"",MONTH(F2827))</f>
        <v/>
      </c>
      <c r="I2827" s="25">
        <f>IFERROR(INDEX(Pedidos!$E$2:$E$1801,MATCH(B2827,Pedidos!$A$2:$A$1801,0)),"")</f>
        <v/>
      </c>
      <c r="J2827" s="25">
        <f>IFERROR(INDEX(Pedidos!$C$2:$C$1801,MATCH(B2827,Pedidos!$A$2:$A$1801,0)),"")</f>
        <v/>
      </c>
      <c r="K2827" s="25">
        <f>IFERROR(INDEX(Pedidos!$D$2:$D$1801,MATCH(B2827,Pedidos!$A$2:$A$1801,0)),"")</f>
        <v/>
      </c>
      <c r="L2827" s="25">
        <f>IFERROR(INDEX(Pedidos!$F$2:$F$1801,MATCH(B2827,Pedidos!$A$2:$A$1801,0)),"")</f>
        <v/>
      </c>
      <c r="M2827" s="26">
        <f>IFERROR(INDEX(Pedidos!$G$2:$G$1801,MATCH(B2827,Pedidos!$A$2:$A$1801,0)),0)</f>
        <v/>
      </c>
      <c r="N2827" s="25">
        <f>IFERROR(INDEX(Produtos!$B$2:$B$71,MATCH(C2827,Produtos!$A$2:$A$71,0)),"")</f>
        <v/>
      </c>
      <c r="O2827" s="25">
        <f>IFERROR(INDEX(Produtos!$C$2:$C$71,MATCH(C2827,Produtos!$A$2:$A$71,0)),"")</f>
        <v/>
      </c>
      <c r="P2827" s="25">
        <f>IFERROR(INDEX(Produtos!$D$2:$D$71,MATCH(C2827,Produtos!$A$2:$A$71,0)),0)</f>
        <v/>
      </c>
      <c r="Q2827" s="25">
        <f>IFERROR(INDEX(Produtos!$E$2:$E$71,MATCH(C2827,Produtos!$A$2:$A$71,0)),0)</f>
        <v/>
      </c>
      <c r="R2827" s="27">
        <f>D2827*Q2827</f>
        <v/>
      </c>
      <c r="S2827" s="27">
        <f>R2827*E2827</f>
        <v/>
      </c>
      <c r="T2827" s="27">
        <f>(R2827-S2827)*M2827</f>
        <v/>
      </c>
      <c r="U2827" s="27">
        <f>R2827-S2827-T2827</f>
        <v/>
      </c>
      <c r="V2827" s="27">
        <f>D2827*P2827</f>
        <v/>
      </c>
      <c r="W2827" s="27">
        <f>U2827-V2827</f>
        <v/>
      </c>
      <c r="X2827" s="28">
        <f>IFERROR(W2827/U2827,0)</f>
        <v/>
      </c>
    </row>
    <row r="2828">
      <c r="A2828" s="21">
        <f>ItensPedido!A2828</f>
        <v/>
      </c>
      <c r="B2828" s="21">
        <f>ItensPedido!B2828</f>
        <v/>
      </c>
      <c r="C2828" s="21">
        <f>ItensPedido!C2828</f>
        <v/>
      </c>
      <c r="D2828" s="21">
        <f>ItensPedido!D2828</f>
        <v/>
      </c>
      <c r="E2828" s="22">
        <f>ItensPedido!E2828</f>
        <v/>
      </c>
      <c r="F2828" s="21">
        <f>IFERROR(INDEX(Pedidos!$B$2:$B$1801,MATCH(B2828,Pedidos!$A$2:$A$1801,0)),0)</f>
        <v/>
      </c>
      <c r="G2828" s="21">
        <f>IF(F2828=0,"",YEAR(F2828))</f>
        <v/>
      </c>
      <c r="H2828" s="21">
        <f>IF(F2828=0,"",MONTH(F2828))</f>
        <v/>
      </c>
      <c r="I2828" s="21">
        <f>IFERROR(INDEX(Pedidos!$E$2:$E$1801,MATCH(B2828,Pedidos!$A$2:$A$1801,0)),"")</f>
        <v/>
      </c>
      <c r="J2828" s="21">
        <f>IFERROR(INDEX(Pedidos!$C$2:$C$1801,MATCH(B2828,Pedidos!$A$2:$A$1801,0)),"")</f>
        <v/>
      </c>
      <c r="K2828" s="21">
        <f>IFERROR(INDEX(Pedidos!$D$2:$D$1801,MATCH(B2828,Pedidos!$A$2:$A$1801,0)),"")</f>
        <v/>
      </c>
      <c r="L2828" s="21">
        <f>IFERROR(INDEX(Pedidos!$F$2:$F$1801,MATCH(B2828,Pedidos!$A$2:$A$1801,0)),"")</f>
        <v/>
      </c>
      <c r="M2828" s="22">
        <f>IFERROR(INDEX(Pedidos!$G$2:$G$1801,MATCH(B2828,Pedidos!$A$2:$A$1801,0)),0)</f>
        <v/>
      </c>
      <c r="N2828" s="21">
        <f>IFERROR(INDEX(Produtos!$B$2:$B$71,MATCH(C2828,Produtos!$A$2:$A$71,0)),"")</f>
        <v/>
      </c>
      <c r="O2828" s="21">
        <f>IFERROR(INDEX(Produtos!$C$2:$C$71,MATCH(C2828,Produtos!$A$2:$A$71,0)),"")</f>
        <v/>
      </c>
      <c r="P2828" s="21">
        <f>IFERROR(INDEX(Produtos!$D$2:$D$71,MATCH(C2828,Produtos!$A$2:$A$71,0)),0)</f>
        <v/>
      </c>
      <c r="Q2828" s="21">
        <f>IFERROR(INDEX(Produtos!$E$2:$E$71,MATCH(C2828,Produtos!$A$2:$A$71,0)),0)</f>
        <v/>
      </c>
      <c r="R2828" s="23">
        <f>D2828*Q2828</f>
        <v/>
      </c>
      <c r="S2828" s="23">
        <f>R2828*E2828</f>
        <v/>
      </c>
      <c r="T2828" s="23">
        <f>(R2828-S2828)*M2828</f>
        <v/>
      </c>
      <c r="U2828" s="23">
        <f>R2828-S2828-T2828</f>
        <v/>
      </c>
      <c r="V2828" s="23">
        <f>D2828*P2828</f>
        <v/>
      </c>
      <c r="W2828" s="23">
        <f>U2828-V2828</f>
        <v/>
      </c>
      <c r="X2828" s="24">
        <f>IFERROR(W2828/U2828,0)</f>
        <v/>
      </c>
    </row>
    <row r="2829">
      <c r="A2829" s="25">
        <f>ItensPedido!A2829</f>
        <v/>
      </c>
      <c r="B2829" s="25">
        <f>ItensPedido!B2829</f>
        <v/>
      </c>
      <c r="C2829" s="25">
        <f>ItensPedido!C2829</f>
        <v/>
      </c>
      <c r="D2829" s="25">
        <f>ItensPedido!D2829</f>
        <v/>
      </c>
      <c r="E2829" s="26">
        <f>ItensPedido!E2829</f>
        <v/>
      </c>
      <c r="F2829" s="25">
        <f>IFERROR(INDEX(Pedidos!$B$2:$B$1801,MATCH(B2829,Pedidos!$A$2:$A$1801,0)),0)</f>
        <v/>
      </c>
      <c r="G2829" s="25">
        <f>IF(F2829=0,"",YEAR(F2829))</f>
        <v/>
      </c>
      <c r="H2829" s="25">
        <f>IF(F2829=0,"",MONTH(F2829))</f>
        <v/>
      </c>
      <c r="I2829" s="25">
        <f>IFERROR(INDEX(Pedidos!$E$2:$E$1801,MATCH(B2829,Pedidos!$A$2:$A$1801,0)),"")</f>
        <v/>
      </c>
      <c r="J2829" s="25">
        <f>IFERROR(INDEX(Pedidos!$C$2:$C$1801,MATCH(B2829,Pedidos!$A$2:$A$1801,0)),"")</f>
        <v/>
      </c>
      <c r="K2829" s="25">
        <f>IFERROR(INDEX(Pedidos!$D$2:$D$1801,MATCH(B2829,Pedidos!$A$2:$A$1801,0)),"")</f>
        <v/>
      </c>
      <c r="L2829" s="25">
        <f>IFERROR(INDEX(Pedidos!$F$2:$F$1801,MATCH(B2829,Pedidos!$A$2:$A$1801,0)),"")</f>
        <v/>
      </c>
      <c r="M2829" s="26">
        <f>IFERROR(INDEX(Pedidos!$G$2:$G$1801,MATCH(B2829,Pedidos!$A$2:$A$1801,0)),0)</f>
        <v/>
      </c>
      <c r="N2829" s="25">
        <f>IFERROR(INDEX(Produtos!$B$2:$B$71,MATCH(C2829,Produtos!$A$2:$A$71,0)),"")</f>
        <v/>
      </c>
      <c r="O2829" s="25">
        <f>IFERROR(INDEX(Produtos!$C$2:$C$71,MATCH(C2829,Produtos!$A$2:$A$71,0)),"")</f>
        <v/>
      </c>
      <c r="P2829" s="25">
        <f>IFERROR(INDEX(Produtos!$D$2:$D$71,MATCH(C2829,Produtos!$A$2:$A$71,0)),0)</f>
        <v/>
      </c>
      <c r="Q2829" s="25">
        <f>IFERROR(INDEX(Produtos!$E$2:$E$71,MATCH(C2829,Produtos!$A$2:$A$71,0)),0)</f>
        <v/>
      </c>
      <c r="R2829" s="27">
        <f>D2829*Q2829</f>
        <v/>
      </c>
      <c r="S2829" s="27">
        <f>R2829*E2829</f>
        <v/>
      </c>
      <c r="T2829" s="27">
        <f>(R2829-S2829)*M2829</f>
        <v/>
      </c>
      <c r="U2829" s="27">
        <f>R2829-S2829-T2829</f>
        <v/>
      </c>
      <c r="V2829" s="27">
        <f>D2829*P2829</f>
        <v/>
      </c>
      <c r="W2829" s="27">
        <f>U2829-V2829</f>
        <v/>
      </c>
      <c r="X2829" s="28">
        <f>IFERROR(W2829/U2829,0)</f>
        <v/>
      </c>
    </row>
    <row r="2830">
      <c r="A2830" s="21">
        <f>ItensPedido!A2830</f>
        <v/>
      </c>
      <c r="B2830" s="21">
        <f>ItensPedido!B2830</f>
        <v/>
      </c>
      <c r="C2830" s="21">
        <f>ItensPedido!C2830</f>
        <v/>
      </c>
      <c r="D2830" s="21">
        <f>ItensPedido!D2830</f>
        <v/>
      </c>
      <c r="E2830" s="22">
        <f>ItensPedido!E2830</f>
        <v/>
      </c>
      <c r="F2830" s="21">
        <f>IFERROR(INDEX(Pedidos!$B$2:$B$1801,MATCH(B2830,Pedidos!$A$2:$A$1801,0)),0)</f>
        <v/>
      </c>
      <c r="G2830" s="21">
        <f>IF(F2830=0,"",YEAR(F2830))</f>
        <v/>
      </c>
      <c r="H2830" s="21">
        <f>IF(F2830=0,"",MONTH(F2830))</f>
        <v/>
      </c>
      <c r="I2830" s="21">
        <f>IFERROR(INDEX(Pedidos!$E$2:$E$1801,MATCH(B2830,Pedidos!$A$2:$A$1801,0)),"")</f>
        <v/>
      </c>
      <c r="J2830" s="21">
        <f>IFERROR(INDEX(Pedidos!$C$2:$C$1801,MATCH(B2830,Pedidos!$A$2:$A$1801,0)),"")</f>
        <v/>
      </c>
      <c r="K2830" s="21">
        <f>IFERROR(INDEX(Pedidos!$D$2:$D$1801,MATCH(B2830,Pedidos!$A$2:$A$1801,0)),"")</f>
        <v/>
      </c>
      <c r="L2830" s="21">
        <f>IFERROR(INDEX(Pedidos!$F$2:$F$1801,MATCH(B2830,Pedidos!$A$2:$A$1801,0)),"")</f>
        <v/>
      </c>
      <c r="M2830" s="22">
        <f>IFERROR(INDEX(Pedidos!$G$2:$G$1801,MATCH(B2830,Pedidos!$A$2:$A$1801,0)),0)</f>
        <v/>
      </c>
      <c r="N2830" s="21">
        <f>IFERROR(INDEX(Produtos!$B$2:$B$71,MATCH(C2830,Produtos!$A$2:$A$71,0)),"")</f>
        <v/>
      </c>
      <c r="O2830" s="21">
        <f>IFERROR(INDEX(Produtos!$C$2:$C$71,MATCH(C2830,Produtos!$A$2:$A$71,0)),"")</f>
        <v/>
      </c>
      <c r="P2830" s="21">
        <f>IFERROR(INDEX(Produtos!$D$2:$D$71,MATCH(C2830,Produtos!$A$2:$A$71,0)),0)</f>
        <v/>
      </c>
      <c r="Q2830" s="21">
        <f>IFERROR(INDEX(Produtos!$E$2:$E$71,MATCH(C2830,Produtos!$A$2:$A$71,0)),0)</f>
        <v/>
      </c>
      <c r="R2830" s="23">
        <f>D2830*Q2830</f>
        <v/>
      </c>
      <c r="S2830" s="23">
        <f>R2830*E2830</f>
        <v/>
      </c>
      <c r="T2830" s="23">
        <f>(R2830-S2830)*M2830</f>
        <v/>
      </c>
      <c r="U2830" s="23">
        <f>R2830-S2830-T2830</f>
        <v/>
      </c>
      <c r="V2830" s="23">
        <f>D2830*P2830</f>
        <v/>
      </c>
      <c r="W2830" s="23">
        <f>U2830-V2830</f>
        <v/>
      </c>
      <c r="X2830" s="24">
        <f>IFERROR(W2830/U2830,0)</f>
        <v/>
      </c>
    </row>
    <row r="2831">
      <c r="A2831" s="25">
        <f>ItensPedido!A2831</f>
        <v/>
      </c>
      <c r="B2831" s="25">
        <f>ItensPedido!B2831</f>
        <v/>
      </c>
      <c r="C2831" s="25">
        <f>ItensPedido!C2831</f>
        <v/>
      </c>
      <c r="D2831" s="25">
        <f>ItensPedido!D2831</f>
        <v/>
      </c>
      <c r="E2831" s="26">
        <f>ItensPedido!E2831</f>
        <v/>
      </c>
      <c r="F2831" s="25">
        <f>IFERROR(INDEX(Pedidos!$B$2:$B$1801,MATCH(B2831,Pedidos!$A$2:$A$1801,0)),0)</f>
        <v/>
      </c>
      <c r="G2831" s="25">
        <f>IF(F2831=0,"",YEAR(F2831))</f>
        <v/>
      </c>
      <c r="H2831" s="25">
        <f>IF(F2831=0,"",MONTH(F2831))</f>
        <v/>
      </c>
      <c r="I2831" s="25">
        <f>IFERROR(INDEX(Pedidos!$E$2:$E$1801,MATCH(B2831,Pedidos!$A$2:$A$1801,0)),"")</f>
        <v/>
      </c>
      <c r="J2831" s="25">
        <f>IFERROR(INDEX(Pedidos!$C$2:$C$1801,MATCH(B2831,Pedidos!$A$2:$A$1801,0)),"")</f>
        <v/>
      </c>
      <c r="K2831" s="25">
        <f>IFERROR(INDEX(Pedidos!$D$2:$D$1801,MATCH(B2831,Pedidos!$A$2:$A$1801,0)),"")</f>
        <v/>
      </c>
      <c r="L2831" s="25">
        <f>IFERROR(INDEX(Pedidos!$F$2:$F$1801,MATCH(B2831,Pedidos!$A$2:$A$1801,0)),"")</f>
        <v/>
      </c>
      <c r="M2831" s="26">
        <f>IFERROR(INDEX(Pedidos!$G$2:$G$1801,MATCH(B2831,Pedidos!$A$2:$A$1801,0)),0)</f>
        <v/>
      </c>
      <c r="N2831" s="25">
        <f>IFERROR(INDEX(Produtos!$B$2:$B$71,MATCH(C2831,Produtos!$A$2:$A$71,0)),"")</f>
        <v/>
      </c>
      <c r="O2831" s="25">
        <f>IFERROR(INDEX(Produtos!$C$2:$C$71,MATCH(C2831,Produtos!$A$2:$A$71,0)),"")</f>
        <v/>
      </c>
      <c r="P2831" s="25">
        <f>IFERROR(INDEX(Produtos!$D$2:$D$71,MATCH(C2831,Produtos!$A$2:$A$71,0)),0)</f>
        <v/>
      </c>
      <c r="Q2831" s="25">
        <f>IFERROR(INDEX(Produtos!$E$2:$E$71,MATCH(C2831,Produtos!$A$2:$A$71,0)),0)</f>
        <v/>
      </c>
      <c r="R2831" s="27">
        <f>D2831*Q2831</f>
        <v/>
      </c>
      <c r="S2831" s="27">
        <f>R2831*E2831</f>
        <v/>
      </c>
      <c r="T2831" s="27">
        <f>(R2831-S2831)*M2831</f>
        <v/>
      </c>
      <c r="U2831" s="27">
        <f>R2831-S2831-T2831</f>
        <v/>
      </c>
      <c r="V2831" s="27">
        <f>D2831*P2831</f>
        <v/>
      </c>
      <c r="W2831" s="27">
        <f>U2831-V2831</f>
        <v/>
      </c>
      <c r="X2831" s="28">
        <f>IFERROR(W2831/U2831,0)</f>
        <v/>
      </c>
    </row>
    <row r="2832">
      <c r="A2832" s="21">
        <f>ItensPedido!A2832</f>
        <v/>
      </c>
      <c r="B2832" s="21">
        <f>ItensPedido!B2832</f>
        <v/>
      </c>
      <c r="C2832" s="21">
        <f>ItensPedido!C2832</f>
        <v/>
      </c>
      <c r="D2832" s="21">
        <f>ItensPedido!D2832</f>
        <v/>
      </c>
      <c r="E2832" s="22">
        <f>ItensPedido!E2832</f>
        <v/>
      </c>
      <c r="F2832" s="21">
        <f>IFERROR(INDEX(Pedidos!$B$2:$B$1801,MATCH(B2832,Pedidos!$A$2:$A$1801,0)),0)</f>
        <v/>
      </c>
      <c r="G2832" s="21">
        <f>IF(F2832=0,"",YEAR(F2832))</f>
        <v/>
      </c>
      <c r="H2832" s="21">
        <f>IF(F2832=0,"",MONTH(F2832))</f>
        <v/>
      </c>
      <c r="I2832" s="21">
        <f>IFERROR(INDEX(Pedidos!$E$2:$E$1801,MATCH(B2832,Pedidos!$A$2:$A$1801,0)),"")</f>
        <v/>
      </c>
      <c r="J2832" s="21">
        <f>IFERROR(INDEX(Pedidos!$C$2:$C$1801,MATCH(B2832,Pedidos!$A$2:$A$1801,0)),"")</f>
        <v/>
      </c>
      <c r="K2832" s="21">
        <f>IFERROR(INDEX(Pedidos!$D$2:$D$1801,MATCH(B2832,Pedidos!$A$2:$A$1801,0)),"")</f>
        <v/>
      </c>
      <c r="L2832" s="21">
        <f>IFERROR(INDEX(Pedidos!$F$2:$F$1801,MATCH(B2832,Pedidos!$A$2:$A$1801,0)),"")</f>
        <v/>
      </c>
      <c r="M2832" s="22">
        <f>IFERROR(INDEX(Pedidos!$G$2:$G$1801,MATCH(B2832,Pedidos!$A$2:$A$1801,0)),0)</f>
        <v/>
      </c>
      <c r="N2832" s="21">
        <f>IFERROR(INDEX(Produtos!$B$2:$B$71,MATCH(C2832,Produtos!$A$2:$A$71,0)),"")</f>
        <v/>
      </c>
      <c r="O2832" s="21">
        <f>IFERROR(INDEX(Produtos!$C$2:$C$71,MATCH(C2832,Produtos!$A$2:$A$71,0)),"")</f>
        <v/>
      </c>
      <c r="P2832" s="21">
        <f>IFERROR(INDEX(Produtos!$D$2:$D$71,MATCH(C2832,Produtos!$A$2:$A$71,0)),0)</f>
        <v/>
      </c>
      <c r="Q2832" s="21">
        <f>IFERROR(INDEX(Produtos!$E$2:$E$71,MATCH(C2832,Produtos!$A$2:$A$71,0)),0)</f>
        <v/>
      </c>
      <c r="R2832" s="23">
        <f>D2832*Q2832</f>
        <v/>
      </c>
      <c r="S2832" s="23">
        <f>R2832*E2832</f>
        <v/>
      </c>
      <c r="T2832" s="23">
        <f>(R2832-S2832)*M2832</f>
        <v/>
      </c>
      <c r="U2832" s="23">
        <f>R2832-S2832-T2832</f>
        <v/>
      </c>
      <c r="V2832" s="23">
        <f>D2832*P2832</f>
        <v/>
      </c>
      <c r="W2832" s="23">
        <f>U2832-V2832</f>
        <v/>
      </c>
      <c r="X2832" s="24">
        <f>IFERROR(W2832/U2832,0)</f>
        <v/>
      </c>
    </row>
    <row r="2833">
      <c r="A2833" s="25">
        <f>ItensPedido!A2833</f>
        <v/>
      </c>
      <c r="B2833" s="25">
        <f>ItensPedido!B2833</f>
        <v/>
      </c>
      <c r="C2833" s="25">
        <f>ItensPedido!C2833</f>
        <v/>
      </c>
      <c r="D2833" s="25">
        <f>ItensPedido!D2833</f>
        <v/>
      </c>
      <c r="E2833" s="26">
        <f>ItensPedido!E2833</f>
        <v/>
      </c>
      <c r="F2833" s="25">
        <f>IFERROR(INDEX(Pedidos!$B$2:$B$1801,MATCH(B2833,Pedidos!$A$2:$A$1801,0)),0)</f>
        <v/>
      </c>
      <c r="G2833" s="25">
        <f>IF(F2833=0,"",YEAR(F2833))</f>
        <v/>
      </c>
      <c r="H2833" s="25">
        <f>IF(F2833=0,"",MONTH(F2833))</f>
        <v/>
      </c>
      <c r="I2833" s="25">
        <f>IFERROR(INDEX(Pedidos!$E$2:$E$1801,MATCH(B2833,Pedidos!$A$2:$A$1801,0)),"")</f>
        <v/>
      </c>
      <c r="J2833" s="25">
        <f>IFERROR(INDEX(Pedidos!$C$2:$C$1801,MATCH(B2833,Pedidos!$A$2:$A$1801,0)),"")</f>
        <v/>
      </c>
      <c r="K2833" s="25">
        <f>IFERROR(INDEX(Pedidos!$D$2:$D$1801,MATCH(B2833,Pedidos!$A$2:$A$1801,0)),"")</f>
        <v/>
      </c>
      <c r="L2833" s="25">
        <f>IFERROR(INDEX(Pedidos!$F$2:$F$1801,MATCH(B2833,Pedidos!$A$2:$A$1801,0)),"")</f>
        <v/>
      </c>
      <c r="M2833" s="26">
        <f>IFERROR(INDEX(Pedidos!$G$2:$G$1801,MATCH(B2833,Pedidos!$A$2:$A$1801,0)),0)</f>
        <v/>
      </c>
      <c r="N2833" s="25">
        <f>IFERROR(INDEX(Produtos!$B$2:$B$71,MATCH(C2833,Produtos!$A$2:$A$71,0)),"")</f>
        <v/>
      </c>
      <c r="O2833" s="25">
        <f>IFERROR(INDEX(Produtos!$C$2:$C$71,MATCH(C2833,Produtos!$A$2:$A$71,0)),"")</f>
        <v/>
      </c>
      <c r="P2833" s="25">
        <f>IFERROR(INDEX(Produtos!$D$2:$D$71,MATCH(C2833,Produtos!$A$2:$A$71,0)),0)</f>
        <v/>
      </c>
      <c r="Q2833" s="25">
        <f>IFERROR(INDEX(Produtos!$E$2:$E$71,MATCH(C2833,Produtos!$A$2:$A$71,0)),0)</f>
        <v/>
      </c>
      <c r="R2833" s="27">
        <f>D2833*Q2833</f>
        <v/>
      </c>
      <c r="S2833" s="27">
        <f>R2833*E2833</f>
        <v/>
      </c>
      <c r="T2833" s="27">
        <f>(R2833-S2833)*M2833</f>
        <v/>
      </c>
      <c r="U2833" s="27">
        <f>R2833-S2833-T2833</f>
        <v/>
      </c>
      <c r="V2833" s="27">
        <f>D2833*P2833</f>
        <v/>
      </c>
      <c r="W2833" s="27">
        <f>U2833-V2833</f>
        <v/>
      </c>
      <c r="X2833" s="28">
        <f>IFERROR(W2833/U2833,0)</f>
        <v/>
      </c>
    </row>
    <row r="2834">
      <c r="A2834" s="21">
        <f>ItensPedido!A2834</f>
        <v/>
      </c>
      <c r="B2834" s="21">
        <f>ItensPedido!B2834</f>
        <v/>
      </c>
      <c r="C2834" s="21">
        <f>ItensPedido!C2834</f>
        <v/>
      </c>
      <c r="D2834" s="21">
        <f>ItensPedido!D2834</f>
        <v/>
      </c>
      <c r="E2834" s="22">
        <f>ItensPedido!E2834</f>
        <v/>
      </c>
      <c r="F2834" s="21">
        <f>IFERROR(INDEX(Pedidos!$B$2:$B$1801,MATCH(B2834,Pedidos!$A$2:$A$1801,0)),0)</f>
        <v/>
      </c>
      <c r="G2834" s="21">
        <f>IF(F2834=0,"",YEAR(F2834))</f>
        <v/>
      </c>
      <c r="H2834" s="21">
        <f>IF(F2834=0,"",MONTH(F2834))</f>
        <v/>
      </c>
      <c r="I2834" s="21">
        <f>IFERROR(INDEX(Pedidos!$E$2:$E$1801,MATCH(B2834,Pedidos!$A$2:$A$1801,0)),"")</f>
        <v/>
      </c>
      <c r="J2834" s="21">
        <f>IFERROR(INDEX(Pedidos!$C$2:$C$1801,MATCH(B2834,Pedidos!$A$2:$A$1801,0)),"")</f>
        <v/>
      </c>
      <c r="K2834" s="21">
        <f>IFERROR(INDEX(Pedidos!$D$2:$D$1801,MATCH(B2834,Pedidos!$A$2:$A$1801,0)),"")</f>
        <v/>
      </c>
      <c r="L2834" s="21">
        <f>IFERROR(INDEX(Pedidos!$F$2:$F$1801,MATCH(B2834,Pedidos!$A$2:$A$1801,0)),"")</f>
        <v/>
      </c>
      <c r="M2834" s="22">
        <f>IFERROR(INDEX(Pedidos!$G$2:$G$1801,MATCH(B2834,Pedidos!$A$2:$A$1801,0)),0)</f>
        <v/>
      </c>
      <c r="N2834" s="21">
        <f>IFERROR(INDEX(Produtos!$B$2:$B$71,MATCH(C2834,Produtos!$A$2:$A$71,0)),"")</f>
        <v/>
      </c>
      <c r="O2834" s="21">
        <f>IFERROR(INDEX(Produtos!$C$2:$C$71,MATCH(C2834,Produtos!$A$2:$A$71,0)),"")</f>
        <v/>
      </c>
      <c r="P2834" s="21">
        <f>IFERROR(INDEX(Produtos!$D$2:$D$71,MATCH(C2834,Produtos!$A$2:$A$71,0)),0)</f>
        <v/>
      </c>
      <c r="Q2834" s="21">
        <f>IFERROR(INDEX(Produtos!$E$2:$E$71,MATCH(C2834,Produtos!$A$2:$A$71,0)),0)</f>
        <v/>
      </c>
      <c r="R2834" s="23">
        <f>D2834*Q2834</f>
        <v/>
      </c>
      <c r="S2834" s="23">
        <f>R2834*E2834</f>
        <v/>
      </c>
      <c r="T2834" s="23">
        <f>(R2834-S2834)*M2834</f>
        <v/>
      </c>
      <c r="U2834" s="23">
        <f>R2834-S2834-T2834</f>
        <v/>
      </c>
      <c r="V2834" s="23">
        <f>D2834*P2834</f>
        <v/>
      </c>
      <c r="W2834" s="23">
        <f>U2834-V2834</f>
        <v/>
      </c>
      <c r="X2834" s="24">
        <f>IFERROR(W2834/U2834,0)</f>
        <v/>
      </c>
    </row>
    <row r="2835">
      <c r="A2835" s="25">
        <f>ItensPedido!A2835</f>
        <v/>
      </c>
      <c r="B2835" s="25">
        <f>ItensPedido!B2835</f>
        <v/>
      </c>
      <c r="C2835" s="25">
        <f>ItensPedido!C2835</f>
        <v/>
      </c>
      <c r="D2835" s="25">
        <f>ItensPedido!D2835</f>
        <v/>
      </c>
      <c r="E2835" s="26">
        <f>ItensPedido!E2835</f>
        <v/>
      </c>
      <c r="F2835" s="25">
        <f>IFERROR(INDEX(Pedidos!$B$2:$B$1801,MATCH(B2835,Pedidos!$A$2:$A$1801,0)),0)</f>
        <v/>
      </c>
      <c r="G2835" s="25">
        <f>IF(F2835=0,"",YEAR(F2835))</f>
        <v/>
      </c>
      <c r="H2835" s="25">
        <f>IF(F2835=0,"",MONTH(F2835))</f>
        <v/>
      </c>
      <c r="I2835" s="25">
        <f>IFERROR(INDEX(Pedidos!$E$2:$E$1801,MATCH(B2835,Pedidos!$A$2:$A$1801,0)),"")</f>
        <v/>
      </c>
      <c r="J2835" s="25">
        <f>IFERROR(INDEX(Pedidos!$C$2:$C$1801,MATCH(B2835,Pedidos!$A$2:$A$1801,0)),"")</f>
        <v/>
      </c>
      <c r="K2835" s="25">
        <f>IFERROR(INDEX(Pedidos!$D$2:$D$1801,MATCH(B2835,Pedidos!$A$2:$A$1801,0)),"")</f>
        <v/>
      </c>
      <c r="L2835" s="25">
        <f>IFERROR(INDEX(Pedidos!$F$2:$F$1801,MATCH(B2835,Pedidos!$A$2:$A$1801,0)),"")</f>
        <v/>
      </c>
      <c r="M2835" s="26">
        <f>IFERROR(INDEX(Pedidos!$G$2:$G$1801,MATCH(B2835,Pedidos!$A$2:$A$1801,0)),0)</f>
        <v/>
      </c>
      <c r="N2835" s="25">
        <f>IFERROR(INDEX(Produtos!$B$2:$B$71,MATCH(C2835,Produtos!$A$2:$A$71,0)),"")</f>
        <v/>
      </c>
      <c r="O2835" s="25">
        <f>IFERROR(INDEX(Produtos!$C$2:$C$71,MATCH(C2835,Produtos!$A$2:$A$71,0)),"")</f>
        <v/>
      </c>
      <c r="P2835" s="25">
        <f>IFERROR(INDEX(Produtos!$D$2:$D$71,MATCH(C2835,Produtos!$A$2:$A$71,0)),0)</f>
        <v/>
      </c>
      <c r="Q2835" s="25">
        <f>IFERROR(INDEX(Produtos!$E$2:$E$71,MATCH(C2835,Produtos!$A$2:$A$71,0)),0)</f>
        <v/>
      </c>
      <c r="R2835" s="27">
        <f>D2835*Q2835</f>
        <v/>
      </c>
      <c r="S2835" s="27">
        <f>R2835*E2835</f>
        <v/>
      </c>
      <c r="T2835" s="27">
        <f>(R2835-S2835)*M2835</f>
        <v/>
      </c>
      <c r="U2835" s="27">
        <f>R2835-S2835-T2835</f>
        <v/>
      </c>
      <c r="V2835" s="27">
        <f>D2835*P2835</f>
        <v/>
      </c>
      <c r="W2835" s="27">
        <f>U2835-V2835</f>
        <v/>
      </c>
      <c r="X2835" s="28">
        <f>IFERROR(W2835/U2835,0)</f>
        <v/>
      </c>
    </row>
    <row r="2836">
      <c r="A2836" s="21">
        <f>ItensPedido!A2836</f>
        <v/>
      </c>
      <c r="B2836" s="21">
        <f>ItensPedido!B2836</f>
        <v/>
      </c>
      <c r="C2836" s="21">
        <f>ItensPedido!C2836</f>
        <v/>
      </c>
      <c r="D2836" s="21">
        <f>ItensPedido!D2836</f>
        <v/>
      </c>
      <c r="E2836" s="22">
        <f>ItensPedido!E2836</f>
        <v/>
      </c>
      <c r="F2836" s="21">
        <f>IFERROR(INDEX(Pedidos!$B$2:$B$1801,MATCH(B2836,Pedidos!$A$2:$A$1801,0)),0)</f>
        <v/>
      </c>
      <c r="G2836" s="21">
        <f>IF(F2836=0,"",YEAR(F2836))</f>
        <v/>
      </c>
      <c r="H2836" s="21">
        <f>IF(F2836=0,"",MONTH(F2836))</f>
        <v/>
      </c>
      <c r="I2836" s="21">
        <f>IFERROR(INDEX(Pedidos!$E$2:$E$1801,MATCH(B2836,Pedidos!$A$2:$A$1801,0)),"")</f>
        <v/>
      </c>
      <c r="J2836" s="21">
        <f>IFERROR(INDEX(Pedidos!$C$2:$C$1801,MATCH(B2836,Pedidos!$A$2:$A$1801,0)),"")</f>
        <v/>
      </c>
      <c r="K2836" s="21">
        <f>IFERROR(INDEX(Pedidos!$D$2:$D$1801,MATCH(B2836,Pedidos!$A$2:$A$1801,0)),"")</f>
        <v/>
      </c>
      <c r="L2836" s="21">
        <f>IFERROR(INDEX(Pedidos!$F$2:$F$1801,MATCH(B2836,Pedidos!$A$2:$A$1801,0)),"")</f>
        <v/>
      </c>
      <c r="M2836" s="22">
        <f>IFERROR(INDEX(Pedidos!$G$2:$G$1801,MATCH(B2836,Pedidos!$A$2:$A$1801,0)),0)</f>
        <v/>
      </c>
      <c r="N2836" s="21">
        <f>IFERROR(INDEX(Produtos!$B$2:$B$71,MATCH(C2836,Produtos!$A$2:$A$71,0)),"")</f>
        <v/>
      </c>
      <c r="O2836" s="21">
        <f>IFERROR(INDEX(Produtos!$C$2:$C$71,MATCH(C2836,Produtos!$A$2:$A$71,0)),"")</f>
        <v/>
      </c>
      <c r="P2836" s="21">
        <f>IFERROR(INDEX(Produtos!$D$2:$D$71,MATCH(C2836,Produtos!$A$2:$A$71,0)),0)</f>
        <v/>
      </c>
      <c r="Q2836" s="21">
        <f>IFERROR(INDEX(Produtos!$E$2:$E$71,MATCH(C2836,Produtos!$A$2:$A$71,0)),0)</f>
        <v/>
      </c>
      <c r="R2836" s="23">
        <f>D2836*Q2836</f>
        <v/>
      </c>
      <c r="S2836" s="23">
        <f>R2836*E2836</f>
        <v/>
      </c>
      <c r="T2836" s="23">
        <f>(R2836-S2836)*M2836</f>
        <v/>
      </c>
      <c r="U2836" s="23">
        <f>R2836-S2836-T2836</f>
        <v/>
      </c>
      <c r="V2836" s="23">
        <f>D2836*P2836</f>
        <v/>
      </c>
      <c r="W2836" s="23">
        <f>U2836-V2836</f>
        <v/>
      </c>
      <c r="X2836" s="24">
        <f>IFERROR(W2836/U2836,0)</f>
        <v/>
      </c>
    </row>
    <row r="2837">
      <c r="A2837" s="25">
        <f>ItensPedido!A2837</f>
        <v/>
      </c>
      <c r="B2837" s="25">
        <f>ItensPedido!B2837</f>
        <v/>
      </c>
      <c r="C2837" s="25">
        <f>ItensPedido!C2837</f>
        <v/>
      </c>
      <c r="D2837" s="25">
        <f>ItensPedido!D2837</f>
        <v/>
      </c>
      <c r="E2837" s="26">
        <f>ItensPedido!E2837</f>
        <v/>
      </c>
      <c r="F2837" s="25">
        <f>IFERROR(INDEX(Pedidos!$B$2:$B$1801,MATCH(B2837,Pedidos!$A$2:$A$1801,0)),0)</f>
        <v/>
      </c>
      <c r="G2837" s="25">
        <f>IF(F2837=0,"",YEAR(F2837))</f>
        <v/>
      </c>
      <c r="H2837" s="25">
        <f>IF(F2837=0,"",MONTH(F2837))</f>
        <v/>
      </c>
      <c r="I2837" s="25">
        <f>IFERROR(INDEX(Pedidos!$E$2:$E$1801,MATCH(B2837,Pedidos!$A$2:$A$1801,0)),"")</f>
        <v/>
      </c>
      <c r="J2837" s="25">
        <f>IFERROR(INDEX(Pedidos!$C$2:$C$1801,MATCH(B2837,Pedidos!$A$2:$A$1801,0)),"")</f>
        <v/>
      </c>
      <c r="K2837" s="25">
        <f>IFERROR(INDEX(Pedidos!$D$2:$D$1801,MATCH(B2837,Pedidos!$A$2:$A$1801,0)),"")</f>
        <v/>
      </c>
      <c r="L2837" s="25">
        <f>IFERROR(INDEX(Pedidos!$F$2:$F$1801,MATCH(B2837,Pedidos!$A$2:$A$1801,0)),"")</f>
        <v/>
      </c>
      <c r="M2837" s="26">
        <f>IFERROR(INDEX(Pedidos!$G$2:$G$1801,MATCH(B2837,Pedidos!$A$2:$A$1801,0)),0)</f>
        <v/>
      </c>
      <c r="N2837" s="25">
        <f>IFERROR(INDEX(Produtos!$B$2:$B$71,MATCH(C2837,Produtos!$A$2:$A$71,0)),"")</f>
        <v/>
      </c>
      <c r="O2837" s="25">
        <f>IFERROR(INDEX(Produtos!$C$2:$C$71,MATCH(C2837,Produtos!$A$2:$A$71,0)),"")</f>
        <v/>
      </c>
      <c r="P2837" s="25">
        <f>IFERROR(INDEX(Produtos!$D$2:$D$71,MATCH(C2837,Produtos!$A$2:$A$71,0)),0)</f>
        <v/>
      </c>
      <c r="Q2837" s="25">
        <f>IFERROR(INDEX(Produtos!$E$2:$E$71,MATCH(C2837,Produtos!$A$2:$A$71,0)),0)</f>
        <v/>
      </c>
      <c r="R2837" s="27">
        <f>D2837*Q2837</f>
        <v/>
      </c>
      <c r="S2837" s="27">
        <f>R2837*E2837</f>
        <v/>
      </c>
      <c r="T2837" s="27">
        <f>(R2837-S2837)*M2837</f>
        <v/>
      </c>
      <c r="U2837" s="27">
        <f>R2837-S2837-T2837</f>
        <v/>
      </c>
      <c r="V2837" s="27">
        <f>D2837*P2837</f>
        <v/>
      </c>
      <c r="W2837" s="27">
        <f>U2837-V2837</f>
        <v/>
      </c>
      <c r="X2837" s="28">
        <f>IFERROR(W2837/U2837,0)</f>
        <v/>
      </c>
    </row>
    <row r="2838">
      <c r="A2838" s="21">
        <f>ItensPedido!A2838</f>
        <v/>
      </c>
      <c r="B2838" s="21">
        <f>ItensPedido!B2838</f>
        <v/>
      </c>
      <c r="C2838" s="21">
        <f>ItensPedido!C2838</f>
        <v/>
      </c>
      <c r="D2838" s="21">
        <f>ItensPedido!D2838</f>
        <v/>
      </c>
      <c r="E2838" s="22">
        <f>ItensPedido!E2838</f>
        <v/>
      </c>
      <c r="F2838" s="21">
        <f>IFERROR(INDEX(Pedidos!$B$2:$B$1801,MATCH(B2838,Pedidos!$A$2:$A$1801,0)),0)</f>
        <v/>
      </c>
      <c r="G2838" s="21">
        <f>IF(F2838=0,"",YEAR(F2838))</f>
        <v/>
      </c>
      <c r="H2838" s="21">
        <f>IF(F2838=0,"",MONTH(F2838))</f>
        <v/>
      </c>
      <c r="I2838" s="21">
        <f>IFERROR(INDEX(Pedidos!$E$2:$E$1801,MATCH(B2838,Pedidos!$A$2:$A$1801,0)),"")</f>
        <v/>
      </c>
      <c r="J2838" s="21">
        <f>IFERROR(INDEX(Pedidos!$C$2:$C$1801,MATCH(B2838,Pedidos!$A$2:$A$1801,0)),"")</f>
        <v/>
      </c>
      <c r="K2838" s="21">
        <f>IFERROR(INDEX(Pedidos!$D$2:$D$1801,MATCH(B2838,Pedidos!$A$2:$A$1801,0)),"")</f>
        <v/>
      </c>
      <c r="L2838" s="21">
        <f>IFERROR(INDEX(Pedidos!$F$2:$F$1801,MATCH(B2838,Pedidos!$A$2:$A$1801,0)),"")</f>
        <v/>
      </c>
      <c r="M2838" s="22">
        <f>IFERROR(INDEX(Pedidos!$G$2:$G$1801,MATCH(B2838,Pedidos!$A$2:$A$1801,0)),0)</f>
        <v/>
      </c>
      <c r="N2838" s="21">
        <f>IFERROR(INDEX(Produtos!$B$2:$B$71,MATCH(C2838,Produtos!$A$2:$A$71,0)),"")</f>
        <v/>
      </c>
      <c r="O2838" s="21">
        <f>IFERROR(INDEX(Produtos!$C$2:$C$71,MATCH(C2838,Produtos!$A$2:$A$71,0)),"")</f>
        <v/>
      </c>
      <c r="P2838" s="21">
        <f>IFERROR(INDEX(Produtos!$D$2:$D$71,MATCH(C2838,Produtos!$A$2:$A$71,0)),0)</f>
        <v/>
      </c>
      <c r="Q2838" s="21">
        <f>IFERROR(INDEX(Produtos!$E$2:$E$71,MATCH(C2838,Produtos!$A$2:$A$71,0)),0)</f>
        <v/>
      </c>
      <c r="R2838" s="23">
        <f>D2838*Q2838</f>
        <v/>
      </c>
      <c r="S2838" s="23">
        <f>R2838*E2838</f>
        <v/>
      </c>
      <c r="T2838" s="23">
        <f>(R2838-S2838)*M2838</f>
        <v/>
      </c>
      <c r="U2838" s="23">
        <f>R2838-S2838-T2838</f>
        <v/>
      </c>
      <c r="V2838" s="23">
        <f>D2838*P2838</f>
        <v/>
      </c>
      <c r="W2838" s="23">
        <f>U2838-V2838</f>
        <v/>
      </c>
      <c r="X2838" s="24">
        <f>IFERROR(W2838/U2838,0)</f>
        <v/>
      </c>
    </row>
    <row r="2839">
      <c r="A2839" s="25">
        <f>ItensPedido!A2839</f>
        <v/>
      </c>
      <c r="B2839" s="25">
        <f>ItensPedido!B2839</f>
        <v/>
      </c>
      <c r="C2839" s="25">
        <f>ItensPedido!C2839</f>
        <v/>
      </c>
      <c r="D2839" s="25">
        <f>ItensPedido!D2839</f>
        <v/>
      </c>
      <c r="E2839" s="26">
        <f>ItensPedido!E2839</f>
        <v/>
      </c>
      <c r="F2839" s="25">
        <f>IFERROR(INDEX(Pedidos!$B$2:$B$1801,MATCH(B2839,Pedidos!$A$2:$A$1801,0)),0)</f>
        <v/>
      </c>
      <c r="G2839" s="25">
        <f>IF(F2839=0,"",YEAR(F2839))</f>
        <v/>
      </c>
      <c r="H2839" s="25">
        <f>IF(F2839=0,"",MONTH(F2839))</f>
        <v/>
      </c>
      <c r="I2839" s="25">
        <f>IFERROR(INDEX(Pedidos!$E$2:$E$1801,MATCH(B2839,Pedidos!$A$2:$A$1801,0)),"")</f>
        <v/>
      </c>
      <c r="J2839" s="25">
        <f>IFERROR(INDEX(Pedidos!$C$2:$C$1801,MATCH(B2839,Pedidos!$A$2:$A$1801,0)),"")</f>
        <v/>
      </c>
      <c r="K2839" s="25">
        <f>IFERROR(INDEX(Pedidos!$D$2:$D$1801,MATCH(B2839,Pedidos!$A$2:$A$1801,0)),"")</f>
        <v/>
      </c>
      <c r="L2839" s="25">
        <f>IFERROR(INDEX(Pedidos!$F$2:$F$1801,MATCH(B2839,Pedidos!$A$2:$A$1801,0)),"")</f>
        <v/>
      </c>
      <c r="M2839" s="26">
        <f>IFERROR(INDEX(Pedidos!$G$2:$G$1801,MATCH(B2839,Pedidos!$A$2:$A$1801,0)),0)</f>
        <v/>
      </c>
      <c r="N2839" s="25">
        <f>IFERROR(INDEX(Produtos!$B$2:$B$71,MATCH(C2839,Produtos!$A$2:$A$71,0)),"")</f>
        <v/>
      </c>
      <c r="O2839" s="25">
        <f>IFERROR(INDEX(Produtos!$C$2:$C$71,MATCH(C2839,Produtos!$A$2:$A$71,0)),"")</f>
        <v/>
      </c>
      <c r="P2839" s="25">
        <f>IFERROR(INDEX(Produtos!$D$2:$D$71,MATCH(C2839,Produtos!$A$2:$A$71,0)),0)</f>
        <v/>
      </c>
      <c r="Q2839" s="25">
        <f>IFERROR(INDEX(Produtos!$E$2:$E$71,MATCH(C2839,Produtos!$A$2:$A$71,0)),0)</f>
        <v/>
      </c>
      <c r="R2839" s="27">
        <f>D2839*Q2839</f>
        <v/>
      </c>
      <c r="S2839" s="27">
        <f>R2839*E2839</f>
        <v/>
      </c>
      <c r="T2839" s="27">
        <f>(R2839-S2839)*M2839</f>
        <v/>
      </c>
      <c r="U2839" s="27">
        <f>R2839-S2839-T2839</f>
        <v/>
      </c>
      <c r="V2839" s="27">
        <f>D2839*P2839</f>
        <v/>
      </c>
      <c r="W2839" s="27">
        <f>U2839-V2839</f>
        <v/>
      </c>
      <c r="X2839" s="28">
        <f>IFERROR(W2839/U2839,0)</f>
        <v/>
      </c>
    </row>
    <row r="2840">
      <c r="A2840" s="21">
        <f>ItensPedido!A2840</f>
        <v/>
      </c>
      <c r="B2840" s="21">
        <f>ItensPedido!B2840</f>
        <v/>
      </c>
      <c r="C2840" s="21">
        <f>ItensPedido!C2840</f>
        <v/>
      </c>
      <c r="D2840" s="21">
        <f>ItensPedido!D2840</f>
        <v/>
      </c>
      <c r="E2840" s="22">
        <f>ItensPedido!E2840</f>
        <v/>
      </c>
      <c r="F2840" s="21">
        <f>IFERROR(INDEX(Pedidos!$B$2:$B$1801,MATCH(B2840,Pedidos!$A$2:$A$1801,0)),0)</f>
        <v/>
      </c>
      <c r="G2840" s="21">
        <f>IF(F2840=0,"",YEAR(F2840))</f>
        <v/>
      </c>
      <c r="H2840" s="21">
        <f>IF(F2840=0,"",MONTH(F2840))</f>
        <v/>
      </c>
      <c r="I2840" s="21">
        <f>IFERROR(INDEX(Pedidos!$E$2:$E$1801,MATCH(B2840,Pedidos!$A$2:$A$1801,0)),"")</f>
        <v/>
      </c>
      <c r="J2840" s="21">
        <f>IFERROR(INDEX(Pedidos!$C$2:$C$1801,MATCH(B2840,Pedidos!$A$2:$A$1801,0)),"")</f>
        <v/>
      </c>
      <c r="K2840" s="21">
        <f>IFERROR(INDEX(Pedidos!$D$2:$D$1801,MATCH(B2840,Pedidos!$A$2:$A$1801,0)),"")</f>
        <v/>
      </c>
      <c r="L2840" s="21">
        <f>IFERROR(INDEX(Pedidos!$F$2:$F$1801,MATCH(B2840,Pedidos!$A$2:$A$1801,0)),"")</f>
        <v/>
      </c>
      <c r="M2840" s="22">
        <f>IFERROR(INDEX(Pedidos!$G$2:$G$1801,MATCH(B2840,Pedidos!$A$2:$A$1801,0)),0)</f>
        <v/>
      </c>
      <c r="N2840" s="21">
        <f>IFERROR(INDEX(Produtos!$B$2:$B$71,MATCH(C2840,Produtos!$A$2:$A$71,0)),"")</f>
        <v/>
      </c>
      <c r="O2840" s="21">
        <f>IFERROR(INDEX(Produtos!$C$2:$C$71,MATCH(C2840,Produtos!$A$2:$A$71,0)),"")</f>
        <v/>
      </c>
      <c r="P2840" s="21">
        <f>IFERROR(INDEX(Produtos!$D$2:$D$71,MATCH(C2840,Produtos!$A$2:$A$71,0)),0)</f>
        <v/>
      </c>
      <c r="Q2840" s="21">
        <f>IFERROR(INDEX(Produtos!$E$2:$E$71,MATCH(C2840,Produtos!$A$2:$A$71,0)),0)</f>
        <v/>
      </c>
      <c r="R2840" s="23">
        <f>D2840*Q2840</f>
        <v/>
      </c>
      <c r="S2840" s="23">
        <f>R2840*E2840</f>
        <v/>
      </c>
      <c r="T2840" s="23">
        <f>(R2840-S2840)*M2840</f>
        <v/>
      </c>
      <c r="U2840" s="23">
        <f>R2840-S2840-T2840</f>
        <v/>
      </c>
      <c r="V2840" s="23">
        <f>D2840*P2840</f>
        <v/>
      </c>
      <c r="W2840" s="23">
        <f>U2840-V2840</f>
        <v/>
      </c>
      <c r="X2840" s="24">
        <f>IFERROR(W2840/U2840,0)</f>
        <v/>
      </c>
    </row>
    <row r="2841">
      <c r="A2841" s="25">
        <f>ItensPedido!A2841</f>
        <v/>
      </c>
      <c r="B2841" s="25">
        <f>ItensPedido!B2841</f>
        <v/>
      </c>
      <c r="C2841" s="25">
        <f>ItensPedido!C2841</f>
        <v/>
      </c>
      <c r="D2841" s="25">
        <f>ItensPedido!D2841</f>
        <v/>
      </c>
      <c r="E2841" s="26">
        <f>ItensPedido!E2841</f>
        <v/>
      </c>
      <c r="F2841" s="25">
        <f>IFERROR(INDEX(Pedidos!$B$2:$B$1801,MATCH(B2841,Pedidos!$A$2:$A$1801,0)),0)</f>
        <v/>
      </c>
      <c r="G2841" s="25">
        <f>IF(F2841=0,"",YEAR(F2841))</f>
        <v/>
      </c>
      <c r="H2841" s="25">
        <f>IF(F2841=0,"",MONTH(F2841))</f>
        <v/>
      </c>
      <c r="I2841" s="25">
        <f>IFERROR(INDEX(Pedidos!$E$2:$E$1801,MATCH(B2841,Pedidos!$A$2:$A$1801,0)),"")</f>
        <v/>
      </c>
      <c r="J2841" s="25">
        <f>IFERROR(INDEX(Pedidos!$C$2:$C$1801,MATCH(B2841,Pedidos!$A$2:$A$1801,0)),"")</f>
        <v/>
      </c>
      <c r="K2841" s="25">
        <f>IFERROR(INDEX(Pedidos!$D$2:$D$1801,MATCH(B2841,Pedidos!$A$2:$A$1801,0)),"")</f>
        <v/>
      </c>
      <c r="L2841" s="25">
        <f>IFERROR(INDEX(Pedidos!$F$2:$F$1801,MATCH(B2841,Pedidos!$A$2:$A$1801,0)),"")</f>
        <v/>
      </c>
      <c r="M2841" s="26">
        <f>IFERROR(INDEX(Pedidos!$G$2:$G$1801,MATCH(B2841,Pedidos!$A$2:$A$1801,0)),0)</f>
        <v/>
      </c>
      <c r="N2841" s="25">
        <f>IFERROR(INDEX(Produtos!$B$2:$B$71,MATCH(C2841,Produtos!$A$2:$A$71,0)),"")</f>
        <v/>
      </c>
      <c r="O2841" s="25">
        <f>IFERROR(INDEX(Produtos!$C$2:$C$71,MATCH(C2841,Produtos!$A$2:$A$71,0)),"")</f>
        <v/>
      </c>
      <c r="P2841" s="25">
        <f>IFERROR(INDEX(Produtos!$D$2:$D$71,MATCH(C2841,Produtos!$A$2:$A$71,0)),0)</f>
        <v/>
      </c>
      <c r="Q2841" s="25">
        <f>IFERROR(INDEX(Produtos!$E$2:$E$71,MATCH(C2841,Produtos!$A$2:$A$71,0)),0)</f>
        <v/>
      </c>
      <c r="R2841" s="27">
        <f>D2841*Q2841</f>
        <v/>
      </c>
      <c r="S2841" s="27">
        <f>R2841*E2841</f>
        <v/>
      </c>
      <c r="T2841" s="27">
        <f>(R2841-S2841)*M2841</f>
        <v/>
      </c>
      <c r="U2841" s="27">
        <f>R2841-S2841-T2841</f>
        <v/>
      </c>
      <c r="V2841" s="27">
        <f>D2841*P2841</f>
        <v/>
      </c>
      <c r="W2841" s="27">
        <f>U2841-V2841</f>
        <v/>
      </c>
      <c r="X2841" s="28">
        <f>IFERROR(W2841/U2841,0)</f>
        <v/>
      </c>
    </row>
    <row r="2842">
      <c r="A2842" s="21">
        <f>ItensPedido!A2842</f>
        <v/>
      </c>
      <c r="B2842" s="21">
        <f>ItensPedido!B2842</f>
        <v/>
      </c>
      <c r="C2842" s="21">
        <f>ItensPedido!C2842</f>
        <v/>
      </c>
      <c r="D2842" s="21">
        <f>ItensPedido!D2842</f>
        <v/>
      </c>
      <c r="E2842" s="22">
        <f>ItensPedido!E2842</f>
        <v/>
      </c>
      <c r="F2842" s="21">
        <f>IFERROR(INDEX(Pedidos!$B$2:$B$1801,MATCH(B2842,Pedidos!$A$2:$A$1801,0)),0)</f>
        <v/>
      </c>
      <c r="G2842" s="21">
        <f>IF(F2842=0,"",YEAR(F2842))</f>
        <v/>
      </c>
      <c r="H2842" s="21">
        <f>IF(F2842=0,"",MONTH(F2842))</f>
        <v/>
      </c>
      <c r="I2842" s="21">
        <f>IFERROR(INDEX(Pedidos!$E$2:$E$1801,MATCH(B2842,Pedidos!$A$2:$A$1801,0)),"")</f>
        <v/>
      </c>
      <c r="J2842" s="21">
        <f>IFERROR(INDEX(Pedidos!$C$2:$C$1801,MATCH(B2842,Pedidos!$A$2:$A$1801,0)),"")</f>
        <v/>
      </c>
      <c r="K2842" s="21">
        <f>IFERROR(INDEX(Pedidos!$D$2:$D$1801,MATCH(B2842,Pedidos!$A$2:$A$1801,0)),"")</f>
        <v/>
      </c>
      <c r="L2842" s="21">
        <f>IFERROR(INDEX(Pedidos!$F$2:$F$1801,MATCH(B2842,Pedidos!$A$2:$A$1801,0)),"")</f>
        <v/>
      </c>
      <c r="M2842" s="22">
        <f>IFERROR(INDEX(Pedidos!$G$2:$G$1801,MATCH(B2842,Pedidos!$A$2:$A$1801,0)),0)</f>
        <v/>
      </c>
      <c r="N2842" s="21">
        <f>IFERROR(INDEX(Produtos!$B$2:$B$71,MATCH(C2842,Produtos!$A$2:$A$71,0)),"")</f>
        <v/>
      </c>
      <c r="O2842" s="21">
        <f>IFERROR(INDEX(Produtos!$C$2:$C$71,MATCH(C2842,Produtos!$A$2:$A$71,0)),"")</f>
        <v/>
      </c>
      <c r="P2842" s="21">
        <f>IFERROR(INDEX(Produtos!$D$2:$D$71,MATCH(C2842,Produtos!$A$2:$A$71,0)),0)</f>
        <v/>
      </c>
      <c r="Q2842" s="21">
        <f>IFERROR(INDEX(Produtos!$E$2:$E$71,MATCH(C2842,Produtos!$A$2:$A$71,0)),0)</f>
        <v/>
      </c>
      <c r="R2842" s="23">
        <f>D2842*Q2842</f>
        <v/>
      </c>
      <c r="S2842" s="23">
        <f>R2842*E2842</f>
        <v/>
      </c>
      <c r="T2842" s="23">
        <f>(R2842-S2842)*M2842</f>
        <v/>
      </c>
      <c r="U2842" s="23">
        <f>R2842-S2842-T2842</f>
        <v/>
      </c>
      <c r="V2842" s="23">
        <f>D2842*P2842</f>
        <v/>
      </c>
      <c r="W2842" s="23">
        <f>U2842-V2842</f>
        <v/>
      </c>
      <c r="X2842" s="24">
        <f>IFERROR(W2842/U2842,0)</f>
        <v/>
      </c>
    </row>
    <row r="2843">
      <c r="A2843" s="25">
        <f>ItensPedido!A2843</f>
        <v/>
      </c>
      <c r="B2843" s="25">
        <f>ItensPedido!B2843</f>
        <v/>
      </c>
      <c r="C2843" s="25">
        <f>ItensPedido!C2843</f>
        <v/>
      </c>
      <c r="D2843" s="25">
        <f>ItensPedido!D2843</f>
        <v/>
      </c>
      <c r="E2843" s="26">
        <f>ItensPedido!E2843</f>
        <v/>
      </c>
      <c r="F2843" s="25">
        <f>IFERROR(INDEX(Pedidos!$B$2:$B$1801,MATCH(B2843,Pedidos!$A$2:$A$1801,0)),0)</f>
        <v/>
      </c>
      <c r="G2843" s="25">
        <f>IF(F2843=0,"",YEAR(F2843))</f>
        <v/>
      </c>
      <c r="H2843" s="25">
        <f>IF(F2843=0,"",MONTH(F2843))</f>
        <v/>
      </c>
      <c r="I2843" s="25">
        <f>IFERROR(INDEX(Pedidos!$E$2:$E$1801,MATCH(B2843,Pedidos!$A$2:$A$1801,0)),"")</f>
        <v/>
      </c>
      <c r="J2843" s="25">
        <f>IFERROR(INDEX(Pedidos!$C$2:$C$1801,MATCH(B2843,Pedidos!$A$2:$A$1801,0)),"")</f>
        <v/>
      </c>
      <c r="K2843" s="25">
        <f>IFERROR(INDEX(Pedidos!$D$2:$D$1801,MATCH(B2843,Pedidos!$A$2:$A$1801,0)),"")</f>
        <v/>
      </c>
      <c r="L2843" s="25">
        <f>IFERROR(INDEX(Pedidos!$F$2:$F$1801,MATCH(B2843,Pedidos!$A$2:$A$1801,0)),"")</f>
        <v/>
      </c>
      <c r="M2843" s="26">
        <f>IFERROR(INDEX(Pedidos!$G$2:$G$1801,MATCH(B2843,Pedidos!$A$2:$A$1801,0)),0)</f>
        <v/>
      </c>
      <c r="N2843" s="25">
        <f>IFERROR(INDEX(Produtos!$B$2:$B$71,MATCH(C2843,Produtos!$A$2:$A$71,0)),"")</f>
        <v/>
      </c>
      <c r="O2843" s="25">
        <f>IFERROR(INDEX(Produtos!$C$2:$C$71,MATCH(C2843,Produtos!$A$2:$A$71,0)),"")</f>
        <v/>
      </c>
      <c r="P2843" s="25">
        <f>IFERROR(INDEX(Produtos!$D$2:$D$71,MATCH(C2843,Produtos!$A$2:$A$71,0)),0)</f>
        <v/>
      </c>
      <c r="Q2843" s="25">
        <f>IFERROR(INDEX(Produtos!$E$2:$E$71,MATCH(C2843,Produtos!$A$2:$A$71,0)),0)</f>
        <v/>
      </c>
      <c r="R2843" s="27">
        <f>D2843*Q2843</f>
        <v/>
      </c>
      <c r="S2843" s="27">
        <f>R2843*E2843</f>
        <v/>
      </c>
      <c r="T2843" s="27">
        <f>(R2843-S2843)*M2843</f>
        <v/>
      </c>
      <c r="U2843" s="27">
        <f>R2843-S2843-T2843</f>
        <v/>
      </c>
      <c r="V2843" s="27">
        <f>D2843*P2843</f>
        <v/>
      </c>
      <c r="W2843" s="27">
        <f>U2843-V2843</f>
        <v/>
      </c>
      <c r="X2843" s="28">
        <f>IFERROR(W2843/U2843,0)</f>
        <v/>
      </c>
    </row>
    <row r="2844">
      <c r="A2844" s="21">
        <f>ItensPedido!A2844</f>
        <v/>
      </c>
      <c r="B2844" s="21">
        <f>ItensPedido!B2844</f>
        <v/>
      </c>
      <c r="C2844" s="21">
        <f>ItensPedido!C2844</f>
        <v/>
      </c>
      <c r="D2844" s="21">
        <f>ItensPedido!D2844</f>
        <v/>
      </c>
      <c r="E2844" s="22">
        <f>ItensPedido!E2844</f>
        <v/>
      </c>
      <c r="F2844" s="21">
        <f>IFERROR(INDEX(Pedidos!$B$2:$B$1801,MATCH(B2844,Pedidos!$A$2:$A$1801,0)),0)</f>
        <v/>
      </c>
      <c r="G2844" s="21">
        <f>IF(F2844=0,"",YEAR(F2844))</f>
        <v/>
      </c>
      <c r="H2844" s="21">
        <f>IF(F2844=0,"",MONTH(F2844))</f>
        <v/>
      </c>
      <c r="I2844" s="21">
        <f>IFERROR(INDEX(Pedidos!$E$2:$E$1801,MATCH(B2844,Pedidos!$A$2:$A$1801,0)),"")</f>
        <v/>
      </c>
      <c r="J2844" s="21">
        <f>IFERROR(INDEX(Pedidos!$C$2:$C$1801,MATCH(B2844,Pedidos!$A$2:$A$1801,0)),"")</f>
        <v/>
      </c>
      <c r="K2844" s="21">
        <f>IFERROR(INDEX(Pedidos!$D$2:$D$1801,MATCH(B2844,Pedidos!$A$2:$A$1801,0)),"")</f>
        <v/>
      </c>
      <c r="L2844" s="21">
        <f>IFERROR(INDEX(Pedidos!$F$2:$F$1801,MATCH(B2844,Pedidos!$A$2:$A$1801,0)),"")</f>
        <v/>
      </c>
      <c r="M2844" s="22">
        <f>IFERROR(INDEX(Pedidos!$G$2:$G$1801,MATCH(B2844,Pedidos!$A$2:$A$1801,0)),0)</f>
        <v/>
      </c>
      <c r="N2844" s="21">
        <f>IFERROR(INDEX(Produtos!$B$2:$B$71,MATCH(C2844,Produtos!$A$2:$A$71,0)),"")</f>
        <v/>
      </c>
      <c r="O2844" s="21">
        <f>IFERROR(INDEX(Produtos!$C$2:$C$71,MATCH(C2844,Produtos!$A$2:$A$71,0)),"")</f>
        <v/>
      </c>
      <c r="P2844" s="21">
        <f>IFERROR(INDEX(Produtos!$D$2:$D$71,MATCH(C2844,Produtos!$A$2:$A$71,0)),0)</f>
        <v/>
      </c>
      <c r="Q2844" s="21">
        <f>IFERROR(INDEX(Produtos!$E$2:$E$71,MATCH(C2844,Produtos!$A$2:$A$71,0)),0)</f>
        <v/>
      </c>
      <c r="R2844" s="23">
        <f>D2844*Q2844</f>
        <v/>
      </c>
      <c r="S2844" s="23">
        <f>R2844*E2844</f>
        <v/>
      </c>
      <c r="T2844" s="23">
        <f>(R2844-S2844)*M2844</f>
        <v/>
      </c>
      <c r="U2844" s="23">
        <f>R2844-S2844-T2844</f>
        <v/>
      </c>
      <c r="V2844" s="23">
        <f>D2844*P2844</f>
        <v/>
      </c>
      <c r="W2844" s="23">
        <f>U2844-V2844</f>
        <v/>
      </c>
      <c r="X2844" s="24">
        <f>IFERROR(W2844/U2844,0)</f>
        <v/>
      </c>
    </row>
    <row r="2845">
      <c r="A2845" s="25">
        <f>ItensPedido!A2845</f>
        <v/>
      </c>
      <c r="B2845" s="25">
        <f>ItensPedido!B2845</f>
        <v/>
      </c>
      <c r="C2845" s="25">
        <f>ItensPedido!C2845</f>
        <v/>
      </c>
      <c r="D2845" s="25">
        <f>ItensPedido!D2845</f>
        <v/>
      </c>
      <c r="E2845" s="26">
        <f>ItensPedido!E2845</f>
        <v/>
      </c>
      <c r="F2845" s="25">
        <f>IFERROR(INDEX(Pedidos!$B$2:$B$1801,MATCH(B2845,Pedidos!$A$2:$A$1801,0)),0)</f>
        <v/>
      </c>
      <c r="G2845" s="25">
        <f>IF(F2845=0,"",YEAR(F2845))</f>
        <v/>
      </c>
      <c r="H2845" s="25">
        <f>IF(F2845=0,"",MONTH(F2845))</f>
        <v/>
      </c>
      <c r="I2845" s="25">
        <f>IFERROR(INDEX(Pedidos!$E$2:$E$1801,MATCH(B2845,Pedidos!$A$2:$A$1801,0)),"")</f>
        <v/>
      </c>
      <c r="J2845" s="25">
        <f>IFERROR(INDEX(Pedidos!$C$2:$C$1801,MATCH(B2845,Pedidos!$A$2:$A$1801,0)),"")</f>
        <v/>
      </c>
      <c r="K2845" s="25">
        <f>IFERROR(INDEX(Pedidos!$D$2:$D$1801,MATCH(B2845,Pedidos!$A$2:$A$1801,0)),"")</f>
        <v/>
      </c>
      <c r="L2845" s="25">
        <f>IFERROR(INDEX(Pedidos!$F$2:$F$1801,MATCH(B2845,Pedidos!$A$2:$A$1801,0)),"")</f>
        <v/>
      </c>
      <c r="M2845" s="26">
        <f>IFERROR(INDEX(Pedidos!$G$2:$G$1801,MATCH(B2845,Pedidos!$A$2:$A$1801,0)),0)</f>
        <v/>
      </c>
      <c r="N2845" s="25">
        <f>IFERROR(INDEX(Produtos!$B$2:$B$71,MATCH(C2845,Produtos!$A$2:$A$71,0)),"")</f>
        <v/>
      </c>
      <c r="O2845" s="25">
        <f>IFERROR(INDEX(Produtos!$C$2:$C$71,MATCH(C2845,Produtos!$A$2:$A$71,0)),"")</f>
        <v/>
      </c>
      <c r="P2845" s="25">
        <f>IFERROR(INDEX(Produtos!$D$2:$D$71,MATCH(C2845,Produtos!$A$2:$A$71,0)),0)</f>
        <v/>
      </c>
      <c r="Q2845" s="25">
        <f>IFERROR(INDEX(Produtos!$E$2:$E$71,MATCH(C2845,Produtos!$A$2:$A$71,0)),0)</f>
        <v/>
      </c>
      <c r="R2845" s="27">
        <f>D2845*Q2845</f>
        <v/>
      </c>
      <c r="S2845" s="27">
        <f>R2845*E2845</f>
        <v/>
      </c>
      <c r="T2845" s="27">
        <f>(R2845-S2845)*M2845</f>
        <v/>
      </c>
      <c r="U2845" s="27">
        <f>R2845-S2845-T2845</f>
        <v/>
      </c>
      <c r="V2845" s="27">
        <f>D2845*P2845</f>
        <v/>
      </c>
      <c r="W2845" s="27">
        <f>U2845-V2845</f>
        <v/>
      </c>
      <c r="X2845" s="28">
        <f>IFERROR(W2845/U2845,0)</f>
        <v/>
      </c>
    </row>
    <row r="2846">
      <c r="A2846" s="21">
        <f>ItensPedido!A2846</f>
        <v/>
      </c>
      <c r="B2846" s="21">
        <f>ItensPedido!B2846</f>
        <v/>
      </c>
      <c r="C2846" s="21">
        <f>ItensPedido!C2846</f>
        <v/>
      </c>
      <c r="D2846" s="21">
        <f>ItensPedido!D2846</f>
        <v/>
      </c>
      <c r="E2846" s="22">
        <f>ItensPedido!E2846</f>
        <v/>
      </c>
      <c r="F2846" s="21">
        <f>IFERROR(INDEX(Pedidos!$B$2:$B$1801,MATCH(B2846,Pedidos!$A$2:$A$1801,0)),0)</f>
        <v/>
      </c>
      <c r="G2846" s="21">
        <f>IF(F2846=0,"",YEAR(F2846))</f>
        <v/>
      </c>
      <c r="H2846" s="21">
        <f>IF(F2846=0,"",MONTH(F2846))</f>
        <v/>
      </c>
      <c r="I2846" s="21">
        <f>IFERROR(INDEX(Pedidos!$E$2:$E$1801,MATCH(B2846,Pedidos!$A$2:$A$1801,0)),"")</f>
        <v/>
      </c>
      <c r="J2846" s="21">
        <f>IFERROR(INDEX(Pedidos!$C$2:$C$1801,MATCH(B2846,Pedidos!$A$2:$A$1801,0)),"")</f>
        <v/>
      </c>
      <c r="K2846" s="21">
        <f>IFERROR(INDEX(Pedidos!$D$2:$D$1801,MATCH(B2846,Pedidos!$A$2:$A$1801,0)),"")</f>
        <v/>
      </c>
      <c r="L2846" s="21">
        <f>IFERROR(INDEX(Pedidos!$F$2:$F$1801,MATCH(B2846,Pedidos!$A$2:$A$1801,0)),"")</f>
        <v/>
      </c>
      <c r="M2846" s="22">
        <f>IFERROR(INDEX(Pedidos!$G$2:$G$1801,MATCH(B2846,Pedidos!$A$2:$A$1801,0)),0)</f>
        <v/>
      </c>
      <c r="N2846" s="21">
        <f>IFERROR(INDEX(Produtos!$B$2:$B$71,MATCH(C2846,Produtos!$A$2:$A$71,0)),"")</f>
        <v/>
      </c>
      <c r="O2846" s="21">
        <f>IFERROR(INDEX(Produtos!$C$2:$C$71,MATCH(C2846,Produtos!$A$2:$A$71,0)),"")</f>
        <v/>
      </c>
      <c r="P2846" s="21">
        <f>IFERROR(INDEX(Produtos!$D$2:$D$71,MATCH(C2846,Produtos!$A$2:$A$71,0)),0)</f>
        <v/>
      </c>
      <c r="Q2846" s="21">
        <f>IFERROR(INDEX(Produtos!$E$2:$E$71,MATCH(C2846,Produtos!$A$2:$A$71,0)),0)</f>
        <v/>
      </c>
      <c r="R2846" s="23">
        <f>D2846*Q2846</f>
        <v/>
      </c>
      <c r="S2846" s="23">
        <f>R2846*E2846</f>
        <v/>
      </c>
      <c r="T2846" s="23">
        <f>(R2846-S2846)*M2846</f>
        <v/>
      </c>
      <c r="U2846" s="23">
        <f>R2846-S2846-T2846</f>
        <v/>
      </c>
      <c r="V2846" s="23">
        <f>D2846*P2846</f>
        <v/>
      </c>
      <c r="W2846" s="23">
        <f>U2846-V2846</f>
        <v/>
      </c>
      <c r="X2846" s="24">
        <f>IFERROR(W2846/U2846,0)</f>
        <v/>
      </c>
    </row>
    <row r="2847">
      <c r="A2847" s="25">
        <f>ItensPedido!A2847</f>
        <v/>
      </c>
      <c r="B2847" s="25">
        <f>ItensPedido!B2847</f>
        <v/>
      </c>
      <c r="C2847" s="25">
        <f>ItensPedido!C2847</f>
        <v/>
      </c>
      <c r="D2847" s="25">
        <f>ItensPedido!D2847</f>
        <v/>
      </c>
      <c r="E2847" s="26">
        <f>ItensPedido!E2847</f>
        <v/>
      </c>
      <c r="F2847" s="25">
        <f>IFERROR(INDEX(Pedidos!$B$2:$B$1801,MATCH(B2847,Pedidos!$A$2:$A$1801,0)),0)</f>
        <v/>
      </c>
      <c r="G2847" s="25">
        <f>IF(F2847=0,"",YEAR(F2847))</f>
        <v/>
      </c>
      <c r="H2847" s="25">
        <f>IF(F2847=0,"",MONTH(F2847))</f>
        <v/>
      </c>
      <c r="I2847" s="25">
        <f>IFERROR(INDEX(Pedidos!$E$2:$E$1801,MATCH(B2847,Pedidos!$A$2:$A$1801,0)),"")</f>
        <v/>
      </c>
      <c r="J2847" s="25">
        <f>IFERROR(INDEX(Pedidos!$C$2:$C$1801,MATCH(B2847,Pedidos!$A$2:$A$1801,0)),"")</f>
        <v/>
      </c>
      <c r="K2847" s="25">
        <f>IFERROR(INDEX(Pedidos!$D$2:$D$1801,MATCH(B2847,Pedidos!$A$2:$A$1801,0)),"")</f>
        <v/>
      </c>
      <c r="L2847" s="25">
        <f>IFERROR(INDEX(Pedidos!$F$2:$F$1801,MATCH(B2847,Pedidos!$A$2:$A$1801,0)),"")</f>
        <v/>
      </c>
      <c r="M2847" s="26">
        <f>IFERROR(INDEX(Pedidos!$G$2:$G$1801,MATCH(B2847,Pedidos!$A$2:$A$1801,0)),0)</f>
        <v/>
      </c>
      <c r="N2847" s="25">
        <f>IFERROR(INDEX(Produtos!$B$2:$B$71,MATCH(C2847,Produtos!$A$2:$A$71,0)),"")</f>
        <v/>
      </c>
      <c r="O2847" s="25">
        <f>IFERROR(INDEX(Produtos!$C$2:$C$71,MATCH(C2847,Produtos!$A$2:$A$71,0)),"")</f>
        <v/>
      </c>
      <c r="P2847" s="25">
        <f>IFERROR(INDEX(Produtos!$D$2:$D$71,MATCH(C2847,Produtos!$A$2:$A$71,0)),0)</f>
        <v/>
      </c>
      <c r="Q2847" s="25">
        <f>IFERROR(INDEX(Produtos!$E$2:$E$71,MATCH(C2847,Produtos!$A$2:$A$71,0)),0)</f>
        <v/>
      </c>
      <c r="R2847" s="27">
        <f>D2847*Q2847</f>
        <v/>
      </c>
      <c r="S2847" s="27">
        <f>R2847*E2847</f>
        <v/>
      </c>
      <c r="T2847" s="27">
        <f>(R2847-S2847)*M2847</f>
        <v/>
      </c>
      <c r="U2847" s="27">
        <f>R2847-S2847-T2847</f>
        <v/>
      </c>
      <c r="V2847" s="27">
        <f>D2847*P2847</f>
        <v/>
      </c>
      <c r="W2847" s="27">
        <f>U2847-V2847</f>
        <v/>
      </c>
      <c r="X2847" s="28">
        <f>IFERROR(W2847/U2847,0)</f>
        <v/>
      </c>
    </row>
    <row r="2848">
      <c r="A2848" s="21">
        <f>ItensPedido!A2848</f>
        <v/>
      </c>
      <c r="B2848" s="21">
        <f>ItensPedido!B2848</f>
        <v/>
      </c>
      <c r="C2848" s="21">
        <f>ItensPedido!C2848</f>
        <v/>
      </c>
      <c r="D2848" s="21">
        <f>ItensPedido!D2848</f>
        <v/>
      </c>
      <c r="E2848" s="22">
        <f>ItensPedido!E2848</f>
        <v/>
      </c>
      <c r="F2848" s="21">
        <f>IFERROR(INDEX(Pedidos!$B$2:$B$1801,MATCH(B2848,Pedidos!$A$2:$A$1801,0)),0)</f>
        <v/>
      </c>
      <c r="G2848" s="21">
        <f>IF(F2848=0,"",YEAR(F2848))</f>
        <v/>
      </c>
      <c r="H2848" s="21">
        <f>IF(F2848=0,"",MONTH(F2848))</f>
        <v/>
      </c>
      <c r="I2848" s="21">
        <f>IFERROR(INDEX(Pedidos!$E$2:$E$1801,MATCH(B2848,Pedidos!$A$2:$A$1801,0)),"")</f>
        <v/>
      </c>
      <c r="J2848" s="21">
        <f>IFERROR(INDEX(Pedidos!$C$2:$C$1801,MATCH(B2848,Pedidos!$A$2:$A$1801,0)),"")</f>
        <v/>
      </c>
      <c r="K2848" s="21">
        <f>IFERROR(INDEX(Pedidos!$D$2:$D$1801,MATCH(B2848,Pedidos!$A$2:$A$1801,0)),"")</f>
        <v/>
      </c>
      <c r="L2848" s="21">
        <f>IFERROR(INDEX(Pedidos!$F$2:$F$1801,MATCH(B2848,Pedidos!$A$2:$A$1801,0)),"")</f>
        <v/>
      </c>
      <c r="M2848" s="22">
        <f>IFERROR(INDEX(Pedidos!$G$2:$G$1801,MATCH(B2848,Pedidos!$A$2:$A$1801,0)),0)</f>
        <v/>
      </c>
      <c r="N2848" s="21">
        <f>IFERROR(INDEX(Produtos!$B$2:$B$71,MATCH(C2848,Produtos!$A$2:$A$71,0)),"")</f>
        <v/>
      </c>
      <c r="O2848" s="21">
        <f>IFERROR(INDEX(Produtos!$C$2:$C$71,MATCH(C2848,Produtos!$A$2:$A$71,0)),"")</f>
        <v/>
      </c>
      <c r="P2848" s="21">
        <f>IFERROR(INDEX(Produtos!$D$2:$D$71,MATCH(C2848,Produtos!$A$2:$A$71,0)),0)</f>
        <v/>
      </c>
      <c r="Q2848" s="21">
        <f>IFERROR(INDEX(Produtos!$E$2:$E$71,MATCH(C2848,Produtos!$A$2:$A$71,0)),0)</f>
        <v/>
      </c>
      <c r="R2848" s="23">
        <f>D2848*Q2848</f>
        <v/>
      </c>
      <c r="S2848" s="23">
        <f>R2848*E2848</f>
        <v/>
      </c>
      <c r="T2848" s="23">
        <f>(R2848-S2848)*M2848</f>
        <v/>
      </c>
      <c r="U2848" s="23">
        <f>R2848-S2848-T2848</f>
        <v/>
      </c>
      <c r="V2848" s="23">
        <f>D2848*P2848</f>
        <v/>
      </c>
      <c r="W2848" s="23">
        <f>U2848-V2848</f>
        <v/>
      </c>
      <c r="X2848" s="24">
        <f>IFERROR(W2848/U2848,0)</f>
        <v/>
      </c>
    </row>
    <row r="2849">
      <c r="A2849" s="25">
        <f>ItensPedido!A2849</f>
        <v/>
      </c>
      <c r="B2849" s="25">
        <f>ItensPedido!B2849</f>
        <v/>
      </c>
      <c r="C2849" s="25">
        <f>ItensPedido!C2849</f>
        <v/>
      </c>
      <c r="D2849" s="25">
        <f>ItensPedido!D2849</f>
        <v/>
      </c>
      <c r="E2849" s="26">
        <f>ItensPedido!E2849</f>
        <v/>
      </c>
      <c r="F2849" s="25">
        <f>IFERROR(INDEX(Pedidos!$B$2:$B$1801,MATCH(B2849,Pedidos!$A$2:$A$1801,0)),0)</f>
        <v/>
      </c>
      <c r="G2849" s="25">
        <f>IF(F2849=0,"",YEAR(F2849))</f>
        <v/>
      </c>
      <c r="H2849" s="25">
        <f>IF(F2849=0,"",MONTH(F2849))</f>
        <v/>
      </c>
      <c r="I2849" s="25">
        <f>IFERROR(INDEX(Pedidos!$E$2:$E$1801,MATCH(B2849,Pedidos!$A$2:$A$1801,0)),"")</f>
        <v/>
      </c>
      <c r="J2849" s="25">
        <f>IFERROR(INDEX(Pedidos!$C$2:$C$1801,MATCH(B2849,Pedidos!$A$2:$A$1801,0)),"")</f>
        <v/>
      </c>
      <c r="K2849" s="25">
        <f>IFERROR(INDEX(Pedidos!$D$2:$D$1801,MATCH(B2849,Pedidos!$A$2:$A$1801,0)),"")</f>
        <v/>
      </c>
      <c r="L2849" s="25">
        <f>IFERROR(INDEX(Pedidos!$F$2:$F$1801,MATCH(B2849,Pedidos!$A$2:$A$1801,0)),"")</f>
        <v/>
      </c>
      <c r="M2849" s="26">
        <f>IFERROR(INDEX(Pedidos!$G$2:$G$1801,MATCH(B2849,Pedidos!$A$2:$A$1801,0)),0)</f>
        <v/>
      </c>
      <c r="N2849" s="25">
        <f>IFERROR(INDEX(Produtos!$B$2:$B$71,MATCH(C2849,Produtos!$A$2:$A$71,0)),"")</f>
        <v/>
      </c>
      <c r="O2849" s="25">
        <f>IFERROR(INDEX(Produtos!$C$2:$C$71,MATCH(C2849,Produtos!$A$2:$A$71,0)),"")</f>
        <v/>
      </c>
      <c r="P2849" s="25">
        <f>IFERROR(INDEX(Produtos!$D$2:$D$71,MATCH(C2849,Produtos!$A$2:$A$71,0)),0)</f>
        <v/>
      </c>
      <c r="Q2849" s="25">
        <f>IFERROR(INDEX(Produtos!$E$2:$E$71,MATCH(C2849,Produtos!$A$2:$A$71,0)),0)</f>
        <v/>
      </c>
      <c r="R2849" s="27">
        <f>D2849*Q2849</f>
        <v/>
      </c>
      <c r="S2849" s="27">
        <f>R2849*E2849</f>
        <v/>
      </c>
      <c r="T2849" s="27">
        <f>(R2849-S2849)*M2849</f>
        <v/>
      </c>
      <c r="U2849" s="27">
        <f>R2849-S2849-T2849</f>
        <v/>
      </c>
      <c r="V2849" s="27">
        <f>D2849*P2849</f>
        <v/>
      </c>
      <c r="W2849" s="27">
        <f>U2849-V2849</f>
        <v/>
      </c>
      <c r="X2849" s="28">
        <f>IFERROR(W2849/U2849,0)</f>
        <v/>
      </c>
    </row>
    <row r="2850">
      <c r="A2850" s="21">
        <f>ItensPedido!A2850</f>
        <v/>
      </c>
      <c r="B2850" s="21">
        <f>ItensPedido!B2850</f>
        <v/>
      </c>
      <c r="C2850" s="21">
        <f>ItensPedido!C2850</f>
        <v/>
      </c>
      <c r="D2850" s="21">
        <f>ItensPedido!D2850</f>
        <v/>
      </c>
      <c r="E2850" s="22">
        <f>ItensPedido!E2850</f>
        <v/>
      </c>
      <c r="F2850" s="21">
        <f>IFERROR(INDEX(Pedidos!$B$2:$B$1801,MATCH(B2850,Pedidos!$A$2:$A$1801,0)),0)</f>
        <v/>
      </c>
      <c r="G2850" s="21">
        <f>IF(F2850=0,"",YEAR(F2850))</f>
        <v/>
      </c>
      <c r="H2850" s="21">
        <f>IF(F2850=0,"",MONTH(F2850))</f>
        <v/>
      </c>
      <c r="I2850" s="21">
        <f>IFERROR(INDEX(Pedidos!$E$2:$E$1801,MATCH(B2850,Pedidos!$A$2:$A$1801,0)),"")</f>
        <v/>
      </c>
      <c r="J2850" s="21">
        <f>IFERROR(INDEX(Pedidos!$C$2:$C$1801,MATCH(B2850,Pedidos!$A$2:$A$1801,0)),"")</f>
        <v/>
      </c>
      <c r="K2850" s="21">
        <f>IFERROR(INDEX(Pedidos!$D$2:$D$1801,MATCH(B2850,Pedidos!$A$2:$A$1801,0)),"")</f>
        <v/>
      </c>
      <c r="L2850" s="21">
        <f>IFERROR(INDEX(Pedidos!$F$2:$F$1801,MATCH(B2850,Pedidos!$A$2:$A$1801,0)),"")</f>
        <v/>
      </c>
      <c r="M2850" s="22">
        <f>IFERROR(INDEX(Pedidos!$G$2:$G$1801,MATCH(B2850,Pedidos!$A$2:$A$1801,0)),0)</f>
        <v/>
      </c>
      <c r="N2850" s="21">
        <f>IFERROR(INDEX(Produtos!$B$2:$B$71,MATCH(C2850,Produtos!$A$2:$A$71,0)),"")</f>
        <v/>
      </c>
      <c r="O2850" s="21">
        <f>IFERROR(INDEX(Produtos!$C$2:$C$71,MATCH(C2850,Produtos!$A$2:$A$71,0)),"")</f>
        <v/>
      </c>
      <c r="P2850" s="21">
        <f>IFERROR(INDEX(Produtos!$D$2:$D$71,MATCH(C2850,Produtos!$A$2:$A$71,0)),0)</f>
        <v/>
      </c>
      <c r="Q2850" s="21">
        <f>IFERROR(INDEX(Produtos!$E$2:$E$71,MATCH(C2850,Produtos!$A$2:$A$71,0)),0)</f>
        <v/>
      </c>
      <c r="R2850" s="23">
        <f>D2850*Q2850</f>
        <v/>
      </c>
      <c r="S2850" s="23">
        <f>R2850*E2850</f>
        <v/>
      </c>
      <c r="T2850" s="23">
        <f>(R2850-S2850)*M2850</f>
        <v/>
      </c>
      <c r="U2850" s="23">
        <f>R2850-S2850-T2850</f>
        <v/>
      </c>
      <c r="V2850" s="23">
        <f>D2850*P2850</f>
        <v/>
      </c>
      <c r="W2850" s="23">
        <f>U2850-V2850</f>
        <v/>
      </c>
      <c r="X2850" s="24">
        <f>IFERROR(W2850/U2850,0)</f>
        <v/>
      </c>
    </row>
    <row r="2851">
      <c r="A2851" s="25">
        <f>ItensPedido!A2851</f>
        <v/>
      </c>
      <c r="B2851" s="25">
        <f>ItensPedido!B2851</f>
        <v/>
      </c>
      <c r="C2851" s="25">
        <f>ItensPedido!C2851</f>
        <v/>
      </c>
      <c r="D2851" s="25">
        <f>ItensPedido!D2851</f>
        <v/>
      </c>
      <c r="E2851" s="26">
        <f>ItensPedido!E2851</f>
        <v/>
      </c>
      <c r="F2851" s="25">
        <f>IFERROR(INDEX(Pedidos!$B$2:$B$1801,MATCH(B2851,Pedidos!$A$2:$A$1801,0)),0)</f>
        <v/>
      </c>
      <c r="G2851" s="25">
        <f>IF(F2851=0,"",YEAR(F2851))</f>
        <v/>
      </c>
      <c r="H2851" s="25">
        <f>IF(F2851=0,"",MONTH(F2851))</f>
        <v/>
      </c>
      <c r="I2851" s="25">
        <f>IFERROR(INDEX(Pedidos!$E$2:$E$1801,MATCH(B2851,Pedidos!$A$2:$A$1801,0)),"")</f>
        <v/>
      </c>
      <c r="J2851" s="25">
        <f>IFERROR(INDEX(Pedidos!$C$2:$C$1801,MATCH(B2851,Pedidos!$A$2:$A$1801,0)),"")</f>
        <v/>
      </c>
      <c r="K2851" s="25">
        <f>IFERROR(INDEX(Pedidos!$D$2:$D$1801,MATCH(B2851,Pedidos!$A$2:$A$1801,0)),"")</f>
        <v/>
      </c>
      <c r="L2851" s="25">
        <f>IFERROR(INDEX(Pedidos!$F$2:$F$1801,MATCH(B2851,Pedidos!$A$2:$A$1801,0)),"")</f>
        <v/>
      </c>
      <c r="M2851" s="26">
        <f>IFERROR(INDEX(Pedidos!$G$2:$G$1801,MATCH(B2851,Pedidos!$A$2:$A$1801,0)),0)</f>
        <v/>
      </c>
      <c r="N2851" s="25">
        <f>IFERROR(INDEX(Produtos!$B$2:$B$71,MATCH(C2851,Produtos!$A$2:$A$71,0)),"")</f>
        <v/>
      </c>
      <c r="O2851" s="25">
        <f>IFERROR(INDEX(Produtos!$C$2:$C$71,MATCH(C2851,Produtos!$A$2:$A$71,0)),"")</f>
        <v/>
      </c>
      <c r="P2851" s="25">
        <f>IFERROR(INDEX(Produtos!$D$2:$D$71,MATCH(C2851,Produtos!$A$2:$A$71,0)),0)</f>
        <v/>
      </c>
      <c r="Q2851" s="25">
        <f>IFERROR(INDEX(Produtos!$E$2:$E$71,MATCH(C2851,Produtos!$A$2:$A$71,0)),0)</f>
        <v/>
      </c>
      <c r="R2851" s="27">
        <f>D2851*Q2851</f>
        <v/>
      </c>
      <c r="S2851" s="27">
        <f>R2851*E2851</f>
        <v/>
      </c>
      <c r="T2851" s="27">
        <f>(R2851-S2851)*M2851</f>
        <v/>
      </c>
      <c r="U2851" s="27">
        <f>R2851-S2851-T2851</f>
        <v/>
      </c>
      <c r="V2851" s="27">
        <f>D2851*P2851</f>
        <v/>
      </c>
      <c r="W2851" s="27">
        <f>U2851-V2851</f>
        <v/>
      </c>
      <c r="X2851" s="28">
        <f>IFERROR(W2851/U2851,0)</f>
        <v/>
      </c>
    </row>
    <row r="2852">
      <c r="A2852" s="21">
        <f>ItensPedido!A2852</f>
        <v/>
      </c>
      <c r="B2852" s="21">
        <f>ItensPedido!B2852</f>
        <v/>
      </c>
      <c r="C2852" s="21">
        <f>ItensPedido!C2852</f>
        <v/>
      </c>
      <c r="D2852" s="21">
        <f>ItensPedido!D2852</f>
        <v/>
      </c>
      <c r="E2852" s="22">
        <f>ItensPedido!E2852</f>
        <v/>
      </c>
      <c r="F2852" s="21">
        <f>IFERROR(INDEX(Pedidos!$B$2:$B$1801,MATCH(B2852,Pedidos!$A$2:$A$1801,0)),0)</f>
        <v/>
      </c>
      <c r="G2852" s="21">
        <f>IF(F2852=0,"",YEAR(F2852))</f>
        <v/>
      </c>
      <c r="H2852" s="21">
        <f>IF(F2852=0,"",MONTH(F2852))</f>
        <v/>
      </c>
      <c r="I2852" s="21">
        <f>IFERROR(INDEX(Pedidos!$E$2:$E$1801,MATCH(B2852,Pedidos!$A$2:$A$1801,0)),"")</f>
        <v/>
      </c>
      <c r="J2852" s="21">
        <f>IFERROR(INDEX(Pedidos!$C$2:$C$1801,MATCH(B2852,Pedidos!$A$2:$A$1801,0)),"")</f>
        <v/>
      </c>
      <c r="K2852" s="21">
        <f>IFERROR(INDEX(Pedidos!$D$2:$D$1801,MATCH(B2852,Pedidos!$A$2:$A$1801,0)),"")</f>
        <v/>
      </c>
      <c r="L2852" s="21">
        <f>IFERROR(INDEX(Pedidos!$F$2:$F$1801,MATCH(B2852,Pedidos!$A$2:$A$1801,0)),"")</f>
        <v/>
      </c>
      <c r="M2852" s="22">
        <f>IFERROR(INDEX(Pedidos!$G$2:$G$1801,MATCH(B2852,Pedidos!$A$2:$A$1801,0)),0)</f>
        <v/>
      </c>
      <c r="N2852" s="21">
        <f>IFERROR(INDEX(Produtos!$B$2:$B$71,MATCH(C2852,Produtos!$A$2:$A$71,0)),"")</f>
        <v/>
      </c>
      <c r="O2852" s="21">
        <f>IFERROR(INDEX(Produtos!$C$2:$C$71,MATCH(C2852,Produtos!$A$2:$A$71,0)),"")</f>
        <v/>
      </c>
      <c r="P2852" s="21">
        <f>IFERROR(INDEX(Produtos!$D$2:$D$71,MATCH(C2852,Produtos!$A$2:$A$71,0)),0)</f>
        <v/>
      </c>
      <c r="Q2852" s="21">
        <f>IFERROR(INDEX(Produtos!$E$2:$E$71,MATCH(C2852,Produtos!$A$2:$A$71,0)),0)</f>
        <v/>
      </c>
      <c r="R2852" s="23">
        <f>D2852*Q2852</f>
        <v/>
      </c>
      <c r="S2852" s="23">
        <f>R2852*E2852</f>
        <v/>
      </c>
      <c r="T2852" s="23">
        <f>(R2852-S2852)*M2852</f>
        <v/>
      </c>
      <c r="U2852" s="23">
        <f>R2852-S2852-T2852</f>
        <v/>
      </c>
      <c r="V2852" s="23">
        <f>D2852*P2852</f>
        <v/>
      </c>
      <c r="W2852" s="23">
        <f>U2852-V2852</f>
        <v/>
      </c>
      <c r="X2852" s="24">
        <f>IFERROR(W2852/U2852,0)</f>
        <v/>
      </c>
    </row>
    <row r="2853">
      <c r="A2853" s="25">
        <f>ItensPedido!A2853</f>
        <v/>
      </c>
      <c r="B2853" s="25">
        <f>ItensPedido!B2853</f>
        <v/>
      </c>
      <c r="C2853" s="25">
        <f>ItensPedido!C2853</f>
        <v/>
      </c>
      <c r="D2853" s="25">
        <f>ItensPedido!D2853</f>
        <v/>
      </c>
      <c r="E2853" s="26">
        <f>ItensPedido!E2853</f>
        <v/>
      </c>
      <c r="F2853" s="25">
        <f>IFERROR(INDEX(Pedidos!$B$2:$B$1801,MATCH(B2853,Pedidos!$A$2:$A$1801,0)),0)</f>
        <v/>
      </c>
      <c r="G2853" s="25">
        <f>IF(F2853=0,"",YEAR(F2853))</f>
        <v/>
      </c>
      <c r="H2853" s="25">
        <f>IF(F2853=0,"",MONTH(F2853))</f>
        <v/>
      </c>
      <c r="I2853" s="25">
        <f>IFERROR(INDEX(Pedidos!$E$2:$E$1801,MATCH(B2853,Pedidos!$A$2:$A$1801,0)),"")</f>
        <v/>
      </c>
      <c r="J2853" s="25">
        <f>IFERROR(INDEX(Pedidos!$C$2:$C$1801,MATCH(B2853,Pedidos!$A$2:$A$1801,0)),"")</f>
        <v/>
      </c>
      <c r="K2853" s="25">
        <f>IFERROR(INDEX(Pedidos!$D$2:$D$1801,MATCH(B2853,Pedidos!$A$2:$A$1801,0)),"")</f>
        <v/>
      </c>
      <c r="L2853" s="25">
        <f>IFERROR(INDEX(Pedidos!$F$2:$F$1801,MATCH(B2853,Pedidos!$A$2:$A$1801,0)),"")</f>
        <v/>
      </c>
      <c r="M2853" s="26">
        <f>IFERROR(INDEX(Pedidos!$G$2:$G$1801,MATCH(B2853,Pedidos!$A$2:$A$1801,0)),0)</f>
        <v/>
      </c>
      <c r="N2853" s="25">
        <f>IFERROR(INDEX(Produtos!$B$2:$B$71,MATCH(C2853,Produtos!$A$2:$A$71,0)),"")</f>
        <v/>
      </c>
      <c r="O2853" s="25">
        <f>IFERROR(INDEX(Produtos!$C$2:$C$71,MATCH(C2853,Produtos!$A$2:$A$71,0)),"")</f>
        <v/>
      </c>
      <c r="P2853" s="25">
        <f>IFERROR(INDEX(Produtos!$D$2:$D$71,MATCH(C2853,Produtos!$A$2:$A$71,0)),0)</f>
        <v/>
      </c>
      <c r="Q2853" s="25">
        <f>IFERROR(INDEX(Produtos!$E$2:$E$71,MATCH(C2853,Produtos!$A$2:$A$71,0)),0)</f>
        <v/>
      </c>
      <c r="R2853" s="27">
        <f>D2853*Q2853</f>
        <v/>
      </c>
      <c r="S2853" s="27">
        <f>R2853*E2853</f>
        <v/>
      </c>
      <c r="T2853" s="27">
        <f>(R2853-S2853)*M2853</f>
        <v/>
      </c>
      <c r="U2853" s="27">
        <f>R2853-S2853-T2853</f>
        <v/>
      </c>
      <c r="V2853" s="27">
        <f>D2853*P2853</f>
        <v/>
      </c>
      <c r="W2853" s="27">
        <f>U2853-V2853</f>
        <v/>
      </c>
      <c r="X2853" s="28">
        <f>IFERROR(W2853/U2853,0)</f>
        <v/>
      </c>
    </row>
    <row r="2854">
      <c r="A2854" s="21">
        <f>ItensPedido!A2854</f>
        <v/>
      </c>
      <c r="B2854" s="21">
        <f>ItensPedido!B2854</f>
        <v/>
      </c>
      <c r="C2854" s="21">
        <f>ItensPedido!C2854</f>
        <v/>
      </c>
      <c r="D2854" s="21">
        <f>ItensPedido!D2854</f>
        <v/>
      </c>
      <c r="E2854" s="22">
        <f>ItensPedido!E2854</f>
        <v/>
      </c>
      <c r="F2854" s="21">
        <f>IFERROR(INDEX(Pedidos!$B$2:$B$1801,MATCH(B2854,Pedidos!$A$2:$A$1801,0)),0)</f>
        <v/>
      </c>
      <c r="G2854" s="21">
        <f>IF(F2854=0,"",YEAR(F2854))</f>
        <v/>
      </c>
      <c r="H2854" s="21">
        <f>IF(F2854=0,"",MONTH(F2854))</f>
        <v/>
      </c>
      <c r="I2854" s="21">
        <f>IFERROR(INDEX(Pedidos!$E$2:$E$1801,MATCH(B2854,Pedidos!$A$2:$A$1801,0)),"")</f>
        <v/>
      </c>
      <c r="J2854" s="21">
        <f>IFERROR(INDEX(Pedidos!$C$2:$C$1801,MATCH(B2854,Pedidos!$A$2:$A$1801,0)),"")</f>
        <v/>
      </c>
      <c r="K2854" s="21">
        <f>IFERROR(INDEX(Pedidos!$D$2:$D$1801,MATCH(B2854,Pedidos!$A$2:$A$1801,0)),"")</f>
        <v/>
      </c>
      <c r="L2854" s="21">
        <f>IFERROR(INDEX(Pedidos!$F$2:$F$1801,MATCH(B2854,Pedidos!$A$2:$A$1801,0)),"")</f>
        <v/>
      </c>
      <c r="M2854" s="22">
        <f>IFERROR(INDEX(Pedidos!$G$2:$G$1801,MATCH(B2854,Pedidos!$A$2:$A$1801,0)),0)</f>
        <v/>
      </c>
      <c r="N2854" s="21">
        <f>IFERROR(INDEX(Produtos!$B$2:$B$71,MATCH(C2854,Produtos!$A$2:$A$71,0)),"")</f>
        <v/>
      </c>
      <c r="O2854" s="21">
        <f>IFERROR(INDEX(Produtos!$C$2:$C$71,MATCH(C2854,Produtos!$A$2:$A$71,0)),"")</f>
        <v/>
      </c>
      <c r="P2854" s="21">
        <f>IFERROR(INDEX(Produtos!$D$2:$D$71,MATCH(C2854,Produtos!$A$2:$A$71,0)),0)</f>
        <v/>
      </c>
      <c r="Q2854" s="21">
        <f>IFERROR(INDEX(Produtos!$E$2:$E$71,MATCH(C2854,Produtos!$A$2:$A$71,0)),0)</f>
        <v/>
      </c>
      <c r="R2854" s="23">
        <f>D2854*Q2854</f>
        <v/>
      </c>
      <c r="S2854" s="23">
        <f>R2854*E2854</f>
        <v/>
      </c>
      <c r="T2854" s="23">
        <f>(R2854-S2854)*M2854</f>
        <v/>
      </c>
      <c r="U2854" s="23">
        <f>R2854-S2854-T2854</f>
        <v/>
      </c>
      <c r="V2854" s="23">
        <f>D2854*P2854</f>
        <v/>
      </c>
      <c r="W2854" s="23">
        <f>U2854-V2854</f>
        <v/>
      </c>
      <c r="X2854" s="24">
        <f>IFERROR(W2854/U2854,0)</f>
        <v/>
      </c>
    </row>
    <row r="2855">
      <c r="A2855" s="25">
        <f>ItensPedido!A2855</f>
        <v/>
      </c>
      <c r="B2855" s="25">
        <f>ItensPedido!B2855</f>
        <v/>
      </c>
      <c r="C2855" s="25">
        <f>ItensPedido!C2855</f>
        <v/>
      </c>
      <c r="D2855" s="25">
        <f>ItensPedido!D2855</f>
        <v/>
      </c>
      <c r="E2855" s="26">
        <f>ItensPedido!E2855</f>
        <v/>
      </c>
      <c r="F2855" s="25">
        <f>IFERROR(INDEX(Pedidos!$B$2:$B$1801,MATCH(B2855,Pedidos!$A$2:$A$1801,0)),0)</f>
        <v/>
      </c>
      <c r="G2855" s="25">
        <f>IF(F2855=0,"",YEAR(F2855))</f>
        <v/>
      </c>
      <c r="H2855" s="25">
        <f>IF(F2855=0,"",MONTH(F2855))</f>
        <v/>
      </c>
      <c r="I2855" s="25">
        <f>IFERROR(INDEX(Pedidos!$E$2:$E$1801,MATCH(B2855,Pedidos!$A$2:$A$1801,0)),"")</f>
        <v/>
      </c>
      <c r="J2855" s="25">
        <f>IFERROR(INDEX(Pedidos!$C$2:$C$1801,MATCH(B2855,Pedidos!$A$2:$A$1801,0)),"")</f>
        <v/>
      </c>
      <c r="K2855" s="25">
        <f>IFERROR(INDEX(Pedidos!$D$2:$D$1801,MATCH(B2855,Pedidos!$A$2:$A$1801,0)),"")</f>
        <v/>
      </c>
      <c r="L2855" s="25">
        <f>IFERROR(INDEX(Pedidos!$F$2:$F$1801,MATCH(B2855,Pedidos!$A$2:$A$1801,0)),"")</f>
        <v/>
      </c>
      <c r="M2855" s="26">
        <f>IFERROR(INDEX(Pedidos!$G$2:$G$1801,MATCH(B2855,Pedidos!$A$2:$A$1801,0)),0)</f>
        <v/>
      </c>
      <c r="N2855" s="25">
        <f>IFERROR(INDEX(Produtos!$B$2:$B$71,MATCH(C2855,Produtos!$A$2:$A$71,0)),"")</f>
        <v/>
      </c>
      <c r="O2855" s="25">
        <f>IFERROR(INDEX(Produtos!$C$2:$C$71,MATCH(C2855,Produtos!$A$2:$A$71,0)),"")</f>
        <v/>
      </c>
      <c r="P2855" s="25">
        <f>IFERROR(INDEX(Produtos!$D$2:$D$71,MATCH(C2855,Produtos!$A$2:$A$71,0)),0)</f>
        <v/>
      </c>
      <c r="Q2855" s="25">
        <f>IFERROR(INDEX(Produtos!$E$2:$E$71,MATCH(C2855,Produtos!$A$2:$A$71,0)),0)</f>
        <v/>
      </c>
      <c r="R2855" s="27">
        <f>D2855*Q2855</f>
        <v/>
      </c>
      <c r="S2855" s="27">
        <f>R2855*E2855</f>
        <v/>
      </c>
      <c r="T2855" s="27">
        <f>(R2855-S2855)*M2855</f>
        <v/>
      </c>
      <c r="U2855" s="27">
        <f>R2855-S2855-T2855</f>
        <v/>
      </c>
      <c r="V2855" s="27">
        <f>D2855*P2855</f>
        <v/>
      </c>
      <c r="W2855" s="27">
        <f>U2855-V2855</f>
        <v/>
      </c>
      <c r="X2855" s="28">
        <f>IFERROR(W2855/U2855,0)</f>
        <v/>
      </c>
    </row>
    <row r="2856">
      <c r="A2856" s="21">
        <f>ItensPedido!A2856</f>
        <v/>
      </c>
      <c r="B2856" s="21">
        <f>ItensPedido!B2856</f>
        <v/>
      </c>
      <c r="C2856" s="21">
        <f>ItensPedido!C2856</f>
        <v/>
      </c>
      <c r="D2856" s="21">
        <f>ItensPedido!D2856</f>
        <v/>
      </c>
      <c r="E2856" s="22">
        <f>ItensPedido!E2856</f>
        <v/>
      </c>
      <c r="F2856" s="21">
        <f>IFERROR(INDEX(Pedidos!$B$2:$B$1801,MATCH(B2856,Pedidos!$A$2:$A$1801,0)),0)</f>
        <v/>
      </c>
      <c r="G2856" s="21">
        <f>IF(F2856=0,"",YEAR(F2856))</f>
        <v/>
      </c>
      <c r="H2856" s="21">
        <f>IF(F2856=0,"",MONTH(F2856))</f>
        <v/>
      </c>
      <c r="I2856" s="21">
        <f>IFERROR(INDEX(Pedidos!$E$2:$E$1801,MATCH(B2856,Pedidos!$A$2:$A$1801,0)),"")</f>
        <v/>
      </c>
      <c r="J2856" s="21">
        <f>IFERROR(INDEX(Pedidos!$C$2:$C$1801,MATCH(B2856,Pedidos!$A$2:$A$1801,0)),"")</f>
        <v/>
      </c>
      <c r="K2856" s="21">
        <f>IFERROR(INDEX(Pedidos!$D$2:$D$1801,MATCH(B2856,Pedidos!$A$2:$A$1801,0)),"")</f>
        <v/>
      </c>
      <c r="L2856" s="21">
        <f>IFERROR(INDEX(Pedidos!$F$2:$F$1801,MATCH(B2856,Pedidos!$A$2:$A$1801,0)),"")</f>
        <v/>
      </c>
      <c r="M2856" s="22">
        <f>IFERROR(INDEX(Pedidos!$G$2:$G$1801,MATCH(B2856,Pedidos!$A$2:$A$1801,0)),0)</f>
        <v/>
      </c>
      <c r="N2856" s="21">
        <f>IFERROR(INDEX(Produtos!$B$2:$B$71,MATCH(C2856,Produtos!$A$2:$A$71,0)),"")</f>
        <v/>
      </c>
      <c r="O2856" s="21">
        <f>IFERROR(INDEX(Produtos!$C$2:$C$71,MATCH(C2856,Produtos!$A$2:$A$71,0)),"")</f>
        <v/>
      </c>
      <c r="P2856" s="21">
        <f>IFERROR(INDEX(Produtos!$D$2:$D$71,MATCH(C2856,Produtos!$A$2:$A$71,0)),0)</f>
        <v/>
      </c>
      <c r="Q2856" s="21">
        <f>IFERROR(INDEX(Produtos!$E$2:$E$71,MATCH(C2856,Produtos!$A$2:$A$71,0)),0)</f>
        <v/>
      </c>
      <c r="R2856" s="23">
        <f>D2856*Q2856</f>
        <v/>
      </c>
      <c r="S2856" s="23">
        <f>R2856*E2856</f>
        <v/>
      </c>
      <c r="T2856" s="23">
        <f>(R2856-S2856)*M2856</f>
        <v/>
      </c>
      <c r="U2856" s="23">
        <f>R2856-S2856-T2856</f>
        <v/>
      </c>
      <c r="V2856" s="23">
        <f>D2856*P2856</f>
        <v/>
      </c>
      <c r="W2856" s="23">
        <f>U2856-V2856</f>
        <v/>
      </c>
      <c r="X2856" s="24">
        <f>IFERROR(W2856/U2856,0)</f>
        <v/>
      </c>
    </row>
    <row r="2857">
      <c r="A2857" s="25">
        <f>ItensPedido!A2857</f>
        <v/>
      </c>
      <c r="B2857" s="25">
        <f>ItensPedido!B2857</f>
        <v/>
      </c>
      <c r="C2857" s="25">
        <f>ItensPedido!C2857</f>
        <v/>
      </c>
      <c r="D2857" s="25">
        <f>ItensPedido!D2857</f>
        <v/>
      </c>
      <c r="E2857" s="26">
        <f>ItensPedido!E2857</f>
        <v/>
      </c>
      <c r="F2857" s="25">
        <f>IFERROR(INDEX(Pedidos!$B$2:$B$1801,MATCH(B2857,Pedidos!$A$2:$A$1801,0)),0)</f>
        <v/>
      </c>
      <c r="G2857" s="25">
        <f>IF(F2857=0,"",YEAR(F2857))</f>
        <v/>
      </c>
      <c r="H2857" s="25">
        <f>IF(F2857=0,"",MONTH(F2857))</f>
        <v/>
      </c>
      <c r="I2857" s="25">
        <f>IFERROR(INDEX(Pedidos!$E$2:$E$1801,MATCH(B2857,Pedidos!$A$2:$A$1801,0)),"")</f>
        <v/>
      </c>
      <c r="J2857" s="25">
        <f>IFERROR(INDEX(Pedidos!$C$2:$C$1801,MATCH(B2857,Pedidos!$A$2:$A$1801,0)),"")</f>
        <v/>
      </c>
      <c r="K2857" s="25">
        <f>IFERROR(INDEX(Pedidos!$D$2:$D$1801,MATCH(B2857,Pedidos!$A$2:$A$1801,0)),"")</f>
        <v/>
      </c>
      <c r="L2857" s="25">
        <f>IFERROR(INDEX(Pedidos!$F$2:$F$1801,MATCH(B2857,Pedidos!$A$2:$A$1801,0)),"")</f>
        <v/>
      </c>
      <c r="M2857" s="26">
        <f>IFERROR(INDEX(Pedidos!$G$2:$G$1801,MATCH(B2857,Pedidos!$A$2:$A$1801,0)),0)</f>
        <v/>
      </c>
      <c r="N2857" s="25">
        <f>IFERROR(INDEX(Produtos!$B$2:$B$71,MATCH(C2857,Produtos!$A$2:$A$71,0)),"")</f>
        <v/>
      </c>
      <c r="O2857" s="25">
        <f>IFERROR(INDEX(Produtos!$C$2:$C$71,MATCH(C2857,Produtos!$A$2:$A$71,0)),"")</f>
        <v/>
      </c>
      <c r="P2857" s="25">
        <f>IFERROR(INDEX(Produtos!$D$2:$D$71,MATCH(C2857,Produtos!$A$2:$A$71,0)),0)</f>
        <v/>
      </c>
      <c r="Q2857" s="25">
        <f>IFERROR(INDEX(Produtos!$E$2:$E$71,MATCH(C2857,Produtos!$A$2:$A$71,0)),0)</f>
        <v/>
      </c>
      <c r="R2857" s="27">
        <f>D2857*Q2857</f>
        <v/>
      </c>
      <c r="S2857" s="27">
        <f>R2857*E2857</f>
        <v/>
      </c>
      <c r="T2857" s="27">
        <f>(R2857-S2857)*M2857</f>
        <v/>
      </c>
      <c r="U2857" s="27">
        <f>R2857-S2857-T2857</f>
        <v/>
      </c>
      <c r="V2857" s="27">
        <f>D2857*P2857</f>
        <v/>
      </c>
      <c r="W2857" s="27">
        <f>U2857-V2857</f>
        <v/>
      </c>
      <c r="X2857" s="28">
        <f>IFERROR(W2857/U2857,0)</f>
        <v/>
      </c>
    </row>
    <row r="2858">
      <c r="A2858" s="21">
        <f>ItensPedido!A2858</f>
        <v/>
      </c>
      <c r="B2858" s="21">
        <f>ItensPedido!B2858</f>
        <v/>
      </c>
      <c r="C2858" s="21">
        <f>ItensPedido!C2858</f>
        <v/>
      </c>
      <c r="D2858" s="21">
        <f>ItensPedido!D2858</f>
        <v/>
      </c>
      <c r="E2858" s="22">
        <f>ItensPedido!E2858</f>
        <v/>
      </c>
      <c r="F2858" s="21">
        <f>IFERROR(INDEX(Pedidos!$B$2:$B$1801,MATCH(B2858,Pedidos!$A$2:$A$1801,0)),0)</f>
        <v/>
      </c>
      <c r="G2858" s="21">
        <f>IF(F2858=0,"",YEAR(F2858))</f>
        <v/>
      </c>
      <c r="H2858" s="21">
        <f>IF(F2858=0,"",MONTH(F2858))</f>
        <v/>
      </c>
      <c r="I2858" s="21">
        <f>IFERROR(INDEX(Pedidos!$E$2:$E$1801,MATCH(B2858,Pedidos!$A$2:$A$1801,0)),"")</f>
        <v/>
      </c>
      <c r="J2858" s="21">
        <f>IFERROR(INDEX(Pedidos!$C$2:$C$1801,MATCH(B2858,Pedidos!$A$2:$A$1801,0)),"")</f>
        <v/>
      </c>
      <c r="K2858" s="21">
        <f>IFERROR(INDEX(Pedidos!$D$2:$D$1801,MATCH(B2858,Pedidos!$A$2:$A$1801,0)),"")</f>
        <v/>
      </c>
      <c r="L2858" s="21">
        <f>IFERROR(INDEX(Pedidos!$F$2:$F$1801,MATCH(B2858,Pedidos!$A$2:$A$1801,0)),"")</f>
        <v/>
      </c>
      <c r="M2858" s="22">
        <f>IFERROR(INDEX(Pedidos!$G$2:$G$1801,MATCH(B2858,Pedidos!$A$2:$A$1801,0)),0)</f>
        <v/>
      </c>
      <c r="N2858" s="21">
        <f>IFERROR(INDEX(Produtos!$B$2:$B$71,MATCH(C2858,Produtos!$A$2:$A$71,0)),"")</f>
        <v/>
      </c>
      <c r="O2858" s="21">
        <f>IFERROR(INDEX(Produtos!$C$2:$C$71,MATCH(C2858,Produtos!$A$2:$A$71,0)),"")</f>
        <v/>
      </c>
      <c r="P2858" s="21">
        <f>IFERROR(INDEX(Produtos!$D$2:$D$71,MATCH(C2858,Produtos!$A$2:$A$71,0)),0)</f>
        <v/>
      </c>
      <c r="Q2858" s="21">
        <f>IFERROR(INDEX(Produtos!$E$2:$E$71,MATCH(C2858,Produtos!$A$2:$A$71,0)),0)</f>
        <v/>
      </c>
      <c r="R2858" s="23">
        <f>D2858*Q2858</f>
        <v/>
      </c>
      <c r="S2858" s="23">
        <f>R2858*E2858</f>
        <v/>
      </c>
      <c r="T2858" s="23">
        <f>(R2858-S2858)*M2858</f>
        <v/>
      </c>
      <c r="U2858" s="23">
        <f>R2858-S2858-T2858</f>
        <v/>
      </c>
      <c r="V2858" s="23">
        <f>D2858*P2858</f>
        <v/>
      </c>
      <c r="W2858" s="23">
        <f>U2858-V2858</f>
        <v/>
      </c>
      <c r="X2858" s="24">
        <f>IFERROR(W2858/U2858,0)</f>
        <v/>
      </c>
    </row>
    <row r="2859">
      <c r="A2859" s="25">
        <f>ItensPedido!A2859</f>
        <v/>
      </c>
      <c r="B2859" s="25">
        <f>ItensPedido!B2859</f>
        <v/>
      </c>
      <c r="C2859" s="25">
        <f>ItensPedido!C2859</f>
        <v/>
      </c>
      <c r="D2859" s="25">
        <f>ItensPedido!D2859</f>
        <v/>
      </c>
      <c r="E2859" s="26">
        <f>ItensPedido!E2859</f>
        <v/>
      </c>
      <c r="F2859" s="25">
        <f>IFERROR(INDEX(Pedidos!$B$2:$B$1801,MATCH(B2859,Pedidos!$A$2:$A$1801,0)),0)</f>
        <v/>
      </c>
      <c r="G2859" s="25">
        <f>IF(F2859=0,"",YEAR(F2859))</f>
        <v/>
      </c>
      <c r="H2859" s="25">
        <f>IF(F2859=0,"",MONTH(F2859))</f>
        <v/>
      </c>
      <c r="I2859" s="25">
        <f>IFERROR(INDEX(Pedidos!$E$2:$E$1801,MATCH(B2859,Pedidos!$A$2:$A$1801,0)),"")</f>
        <v/>
      </c>
      <c r="J2859" s="25">
        <f>IFERROR(INDEX(Pedidos!$C$2:$C$1801,MATCH(B2859,Pedidos!$A$2:$A$1801,0)),"")</f>
        <v/>
      </c>
      <c r="K2859" s="25">
        <f>IFERROR(INDEX(Pedidos!$D$2:$D$1801,MATCH(B2859,Pedidos!$A$2:$A$1801,0)),"")</f>
        <v/>
      </c>
      <c r="L2859" s="25">
        <f>IFERROR(INDEX(Pedidos!$F$2:$F$1801,MATCH(B2859,Pedidos!$A$2:$A$1801,0)),"")</f>
        <v/>
      </c>
      <c r="M2859" s="26">
        <f>IFERROR(INDEX(Pedidos!$G$2:$G$1801,MATCH(B2859,Pedidos!$A$2:$A$1801,0)),0)</f>
        <v/>
      </c>
      <c r="N2859" s="25">
        <f>IFERROR(INDEX(Produtos!$B$2:$B$71,MATCH(C2859,Produtos!$A$2:$A$71,0)),"")</f>
        <v/>
      </c>
      <c r="O2859" s="25">
        <f>IFERROR(INDEX(Produtos!$C$2:$C$71,MATCH(C2859,Produtos!$A$2:$A$71,0)),"")</f>
        <v/>
      </c>
      <c r="P2859" s="25">
        <f>IFERROR(INDEX(Produtos!$D$2:$D$71,MATCH(C2859,Produtos!$A$2:$A$71,0)),0)</f>
        <v/>
      </c>
      <c r="Q2859" s="25">
        <f>IFERROR(INDEX(Produtos!$E$2:$E$71,MATCH(C2859,Produtos!$A$2:$A$71,0)),0)</f>
        <v/>
      </c>
      <c r="R2859" s="27">
        <f>D2859*Q2859</f>
        <v/>
      </c>
      <c r="S2859" s="27">
        <f>R2859*E2859</f>
        <v/>
      </c>
      <c r="T2859" s="27">
        <f>(R2859-S2859)*M2859</f>
        <v/>
      </c>
      <c r="U2859" s="27">
        <f>R2859-S2859-T2859</f>
        <v/>
      </c>
      <c r="V2859" s="27">
        <f>D2859*P2859</f>
        <v/>
      </c>
      <c r="W2859" s="27">
        <f>U2859-V2859</f>
        <v/>
      </c>
      <c r="X2859" s="28">
        <f>IFERROR(W2859/U2859,0)</f>
        <v/>
      </c>
    </row>
    <row r="2860">
      <c r="A2860" s="21">
        <f>ItensPedido!A2860</f>
        <v/>
      </c>
      <c r="B2860" s="21">
        <f>ItensPedido!B2860</f>
        <v/>
      </c>
      <c r="C2860" s="21">
        <f>ItensPedido!C2860</f>
        <v/>
      </c>
      <c r="D2860" s="21">
        <f>ItensPedido!D2860</f>
        <v/>
      </c>
      <c r="E2860" s="22">
        <f>ItensPedido!E2860</f>
        <v/>
      </c>
      <c r="F2860" s="21">
        <f>IFERROR(INDEX(Pedidos!$B$2:$B$1801,MATCH(B2860,Pedidos!$A$2:$A$1801,0)),0)</f>
        <v/>
      </c>
      <c r="G2860" s="21">
        <f>IF(F2860=0,"",YEAR(F2860))</f>
        <v/>
      </c>
      <c r="H2860" s="21">
        <f>IF(F2860=0,"",MONTH(F2860))</f>
        <v/>
      </c>
      <c r="I2860" s="21">
        <f>IFERROR(INDEX(Pedidos!$E$2:$E$1801,MATCH(B2860,Pedidos!$A$2:$A$1801,0)),"")</f>
        <v/>
      </c>
      <c r="J2860" s="21">
        <f>IFERROR(INDEX(Pedidos!$C$2:$C$1801,MATCH(B2860,Pedidos!$A$2:$A$1801,0)),"")</f>
        <v/>
      </c>
      <c r="K2860" s="21">
        <f>IFERROR(INDEX(Pedidos!$D$2:$D$1801,MATCH(B2860,Pedidos!$A$2:$A$1801,0)),"")</f>
        <v/>
      </c>
      <c r="L2860" s="21">
        <f>IFERROR(INDEX(Pedidos!$F$2:$F$1801,MATCH(B2860,Pedidos!$A$2:$A$1801,0)),"")</f>
        <v/>
      </c>
      <c r="M2860" s="22">
        <f>IFERROR(INDEX(Pedidos!$G$2:$G$1801,MATCH(B2860,Pedidos!$A$2:$A$1801,0)),0)</f>
        <v/>
      </c>
      <c r="N2860" s="21">
        <f>IFERROR(INDEX(Produtos!$B$2:$B$71,MATCH(C2860,Produtos!$A$2:$A$71,0)),"")</f>
        <v/>
      </c>
      <c r="O2860" s="21">
        <f>IFERROR(INDEX(Produtos!$C$2:$C$71,MATCH(C2860,Produtos!$A$2:$A$71,0)),"")</f>
        <v/>
      </c>
      <c r="P2860" s="21">
        <f>IFERROR(INDEX(Produtos!$D$2:$D$71,MATCH(C2860,Produtos!$A$2:$A$71,0)),0)</f>
        <v/>
      </c>
      <c r="Q2860" s="21">
        <f>IFERROR(INDEX(Produtos!$E$2:$E$71,MATCH(C2860,Produtos!$A$2:$A$71,0)),0)</f>
        <v/>
      </c>
      <c r="R2860" s="23">
        <f>D2860*Q2860</f>
        <v/>
      </c>
      <c r="S2860" s="23">
        <f>R2860*E2860</f>
        <v/>
      </c>
      <c r="T2860" s="23">
        <f>(R2860-S2860)*M2860</f>
        <v/>
      </c>
      <c r="U2860" s="23">
        <f>R2860-S2860-T2860</f>
        <v/>
      </c>
      <c r="V2860" s="23">
        <f>D2860*P2860</f>
        <v/>
      </c>
      <c r="W2860" s="23">
        <f>U2860-V2860</f>
        <v/>
      </c>
      <c r="X2860" s="24">
        <f>IFERROR(W2860/U2860,0)</f>
        <v/>
      </c>
    </row>
    <row r="2861">
      <c r="A2861" s="25">
        <f>ItensPedido!A2861</f>
        <v/>
      </c>
      <c r="B2861" s="25">
        <f>ItensPedido!B2861</f>
        <v/>
      </c>
      <c r="C2861" s="25">
        <f>ItensPedido!C2861</f>
        <v/>
      </c>
      <c r="D2861" s="25">
        <f>ItensPedido!D2861</f>
        <v/>
      </c>
      <c r="E2861" s="26">
        <f>ItensPedido!E2861</f>
        <v/>
      </c>
      <c r="F2861" s="25">
        <f>IFERROR(INDEX(Pedidos!$B$2:$B$1801,MATCH(B2861,Pedidos!$A$2:$A$1801,0)),0)</f>
        <v/>
      </c>
      <c r="G2861" s="25">
        <f>IF(F2861=0,"",YEAR(F2861))</f>
        <v/>
      </c>
      <c r="H2861" s="25">
        <f>IF(F2861=0,"",MONTH(F2861))</f>
        <v/>
      </c>
      <c r="I2861" s="25">
        <f>IFERROR(INDEX(Pedidos!$E$2:$E$1801,MATCH(B2861,Pedidos!$A$2:$A$1801,0)),"")</f>
        <v/>
      </c>
      <c r="J2861" s="25">
        <f>IFERROR(INDEX(Pedidos!$C$2:$C$1801,MATCH(B2861,Pedidos!$A$2:$A$1801,0)),"")</f>
        <v/>
      </c>
      <c r="K2861" s="25">
        <f>IFERROR(INDEX(Pedidos!$D$2:$D$1801,MATCH(B2861,Pedidos!$A$2:$A$1801,0)),"")</f>
        <v/>
      </c>
      <c r="L2861" s="25">
        <f>IFERROR(INDEX(Pedidos!$F$2:$F$1801,MATCH(B2861,Pedidos!$A$2:$A$1801,0)),"")</f>
        <v/>
      </c>
      <c r="M2861" s="26">
        <f>IFERROR(INDEX(Pedidos!$G$2:$G$1801,MATCH(B2861,Pedidos!$A$2:$A$1801,0)),0)</f>
        <v/>
      </c>
      <c r="N2861" s="25">
        <f>IFERROR(INDEX(Produtos!$B$2:$B$71,MATCH(C2861,Produtos!$A$2:$A$71,0)),"")</f>
        <v/>
      </c>
      <c r="O2861" s="25">
        <f>IFERROR(INDEX(Produtos!$C$2:$C$71,MATCH(C2861,Produtos!$A$2:$A$71,0)),"")</f>
        <v/>
      </c>
      <c r="P2861" s="25">
        <f>IFERROR(INDEX(Produtos!$D$2:$D$71,MATCH(C2861,Produtos!$A$2:$A$71,0)),0)</f>
        <v/>
      </c>
      <c r="Q2861" s="25">
        <f>IFERROR(INDEX(Produtos!$E$2:$E$71,MATCH(C2861,Produtos!$A$2:$A$71,0)),0)</f>
        <v/>
      </c>
      <c r="R2861" s="27">
        <f>D2861*Q2861</f>
        <v/>
      </c>
      <c r="S2861" s="27">
        <f>R2861*E2861</f>
        <v/>
      </c>
      <c r="T2861" s="27">
        <f>(R2861-S2861)*M2861</f>
        <v/>
      </c>
      <c r="U2861" s="27">
        <f>R2861-S2861-T2861</f>
        <v/>
      </c>
      <c r="V2861" s="27">
        <f>D2861*P2861</f>
        <v/>
      </c>
      <c r="W2861" s="27">
        <f>U2861-V2861</f>
        <v/>
      </c>
      <c r="X2861" s="28">
        <f>IFERROR(W2861/U2861,0)</f>
        <v/>
      </c>
    </row>
    <row r="2862">
      <c r="A2862" s="21">
        <f>ItensPedido!A2862</f>
        <v/>
      </c>
      <c r="B2862" s="21">
        <f>ItensPedido!B2862</f>
        <v/>
      </c>
      <c r="C2862" s="21">
        <f>ItensPedido!C2862</f>
        <v/>
      </c>
      <c r="D2862" s="21">
        <f>ItensPedido!D2862</f>
        <v/>
      </c>
      <c r="E2862" s="22">
        <f>ItensPedido!E2862</f>
        <v/>
      </c>
      <c r="F2862" s="21">
        <f>IFERROR(INDEX(Pedidos!$B$2:$B$1801,MATCH(B2862,Pedidos!$A$2:$A$1801,0)),0)</f>
        <v/>
      </c>
      <c r="G2862" s="21">
        <f>IF(F2862=0,"",YEAR(F2862))</f>
        <v/>
      </c>
      <c r="H2862" s="21">
        <f>IF(F2862=0,"",MONTH(F2862))</f>
        <v/>
      </c>
      <c r="I2862" s="21">
        <f>IFERROR(INDEX(Pedidos!$E$2:$E$1801,MATCH(B2862,Pedidos!$A$2:$A$1801,0)),"")</f>
        <v/>
      </c>
      <c r="J2862" s="21">
        <f>IFERROR(INDEX(Pedidos!$C$2:$C$1801,MATCH(B2862,Pedidos!$A$2:$A$1801,0)),"")</f>
        <v/>
      </c>
      <c r="K2862" s="21">
        <f>IFERROR(INDEX(Pedidos!$D$2:$D$1801,MATCH(B2862,Pedidos!$A$2:$A$1801,0)),"")</f>
        <v/>
      </c>
      <c r="L2862" s="21">
        <f>IFERROR(INDEX(Pedidos!$F$2:$F$1801,MATCH(B2862,Pedidos!$A$2:$A$1801,0)),"")</f>
        <v/>
      </c>
      <c r="M2862" s="22">
        <f>IFERROR(INDEX(Pedidos!$G$2:$G$1801,MATCH(B2862,Pedidos!$A$2:$A$1801,0)),0)</f>
        <v/>
      </c>
      <c r="N2862" s="21">
        <f>IFERROR(INDEX(Produtos!$B$2:$B$71,MATCH(C2862,Produtos!$A$2:$A$71,0)),"")</f>
        <v/>
      </c>
      <c r="O2862" s="21">
        <f>IFERROR(INDEX(Produtos!$C$2:$C$71,MATCH(C2862,Produtos!$A$2:$A$71,0)),"")</f>
        <v/>
      </c>
      <c r="P2862" s="21">
        <f>IFERROR(INDEX(Produtos!$D$2:$D$71,MATCH(C2862,Produtos!$A$2:$A$71,0)),0)</f>
        <v/>
      </c>
      <c r="Q2862" s="21">
        <f>IFERROR(INDEX(Produtos!$E$2:$E$71,MATCH(C2862,Produtos!$A$2:$A$71,0)),0)</f>
        <v/>
      </c>
      <c r="R2862" s="23">
        <f>D2862*Q2862</f>
        <v/>
      </c>
      <c r="S2862" s="23">
        <f>R2862*E2862</f>
        <v/>
      </c>
      <c r="T2862" s="23">
        <f>(R2862-S2862)*M2862</f>
        <v/>
      </c>
      <c r="U2862" s="23">
        <f>R2862-S2862-T2862</f>
        <v/>
      </c>
      <c r="V2862" s="23">
        <f>D2862*P2862</f>
        <v/>
      </c>
      <c r="W2862" s="23">
        <f>U2862-V2862</f>
        <v/>
      </c>
      <c r="X2862" s="24">
        <f>IFERROR(W2862/U2862,0)</f>
        <v/>
      </c>
    </row>
    <row r="2863">
      <c r="A2863" s="25">
        <f>ItensPedido!A2863</f>
        <v/>
      </c>
      <c r="B2863" s="25">
        <f>ItensPedido!B2863</f>
        <v/>
      </c>
      <c r="C2863" s="25">
        <f>ItensPedido!C2863</f>
        <v/>
      </c>
      <c r="D2863" s="25">
        <f>ItensPedido!D2863</f>
        <v/>
      </c>
      <c r="E2863" s="26">
        <f>ItensPedido!E2863</f>
        <v/>
      </c>
      <c r="F2863" s="25">
        <f>IFERROR(INDEX(Pedidos!$B$2:$B$1801,MATCH(B2863,Pedidos!$A$2:$A$1801,0)),0)</f>
        <v/>
      </c>
      <c r="G2863" s="25">
        <f>IF(F2863=0,"",YEAR(F2863))</f>
        <v/>
      </c>
      <c r="H2863" s="25">
        <f>IF(F2863=0,"",MONTH(F2863))</f>
        <v/>
      </c>
      <c r="I2863" s="25">
        <f>IFERROR(INDEX(Pedidos!$E$2:$E$1801,MATCH(B2863,Pedidos!$A$2:$A$1801,0)),"")</f>
        <v/>
      </c>
      <c r="J2863" s="25">
        <f>IFERROR(INDEX(Pedidos!$C$2:$C$1801,MATCH(B2863,Pedidos!$A$2:$A$1801,0)),"")</f>
        <v/>
      </c>
      <c r="K2863" s="25">
        <f>IFERROR(INDEX(Pedidos!$D$2:$D$1801,MATCH(B2863,Pedidos!$A$2:$A$1801,0)),"")</f>
        <v/>
      </c>
      <c r="L2863" s="25">
        <f>IFERROR(INDEX(Pedidos!$F$2:$F$1801,MATCH(B2863,Pedidos!$A$2:$A$1801,0)),"")</f>
        <v/>
      </c>
      <c r="M2863" s="26">
        <f>IFERROR(INDEX(Pedidos!$G$2:$G$1801,MATCH(B2863,Pedidos!$A$2:$A$1801,0)),0)</f>
        <v/>
      </c>
      <c r="N2863" s="25">
        <f>IFERROR(INDEX(Produtos!$B$2:$B$71,MATCH(C2863,Produtos!$A$2:$A$71,0)),"")</f>
        <v/>
      </c>
      <c r="O2863" s="25">
        <f>IFERROR(INDEX(Produtos!$C$2:$C$71,MATCH(C2863,Produtos!$A$2:$A$71,0)),"")</f>
        <v/>
      </c>
      <c r="P2863" s="25">
        <f>IFERROR(INDEX(Produtos!$D$2:$D$71,MATCH(C2863,Produtos!$A$2:$A$71,0)),0)</f>
        <v/>
      </c>
      <c r="Q2863" s="25">
        <f>IFERROR(INDEX(Produtos!$E$2:$E$71,MATCH(C2863,Produtos!$A$2:$A$71,0)),0)</f>
        <v/>
      </c>
      <c r="R2863" s="27">
        <f>D2863*Q2863</f>
        <v/>
      </c>
      <c r="S2863" s="27">
        <f>R2863*E2863</f>
        <v/>
      </c>
      <c r="T2863" s="27">
        <f>(R2863-S2863)*M2863</f>
        <v/>
      </c>
      <c r="U2863" s="27">
        <f>R2863-S2863-T2863</f>
        <v/>
      </c>
      <c r="V2863" s="27">
        <f>D2863*P2863</f>
        <v/>
      </c>
      <c r="W2863" s="27">
        <f>U2863-V2863</f>
        <v/>
      </c>
      <c r="X2863" s="28">
        <f>IFERROR(W2863/U2863,0)</f>
        <v/>
      </c>
    </row>
    <row r="2864">
      <c r="A2864" s="21">
        <f>ItensPedido!A2864</f>
        <v/>
      </c>
      <c r="B2864" s="21">
        <f>ItensPedido!B2864</f>
        <v/>
      </c>
      <c r="C2864" s="21">
        <f>ItensPedido!C2864</f>
        <v/>
      </c>
      <c r="D2864" s="21">
        <f>ItensPedido!D2864</f>
        <v/>
      </c>
      <c r="E2864" s="22">
        <f>ItensPedido!E2864</f>
        <v/>
      </c>
      <c r="F2864" s="21">
        <f>IFERROR(INDEX(Pedidos!$B$2:$B$1801,MATCH(B2864,Pedidos!$A$2:$A$1801,0)),0)</f>
        <v/>
      </c>
      <c r="G2864" s="21">
        <f>IF(F2864=0,"",YEAR(F2864))</f>
        <v/>
      </c>
      <c r="H2864" s="21">
        <f>IF(F2864=0,"",MONTH(F2864))</f>
        <v/>
      </c>
      <c r="I2864" s="21">
        <f>IFERROR(INDEX(Pedidos!$E$2:$E$1801,MATCH(B2864,Pedidos!$A$2:$A$1801,0)),"")</f>
        <v/>
      </c>
      <c r="J2864" s="21">
        <f>IFERROR(INDEX(Pedidos!$C$2:$C$1801,MATCH(B2864,Pedidos!$A$2:$A$1801,0)),"")</f>
        <v/>
      </c>
      <c r="K2864" s="21">
        <f>IFERROR(INDEX(Pedidos!$D$2:$D$1801,MATCH(B2864,Pedidos!$A$2:$A$1801,0)),"")</f>
        <v/>
      </c>
      <c r="L2864" s="21">
        <f>IFERROR(INDEX(Pedidos!$F$2:$F$1801,MATCH(B2864,Pedidos!$A$2:$A$1801,0)),"")</f>
        <v/>
      </c>
      <c r="M2864" s="22">
        <f>IFERROR(INDEX(Pedidos!$G$2:$G$1801,MATCH(B2864,Pedidos!$A$2:$A$1801,0)),0)</f>
        <v/>
      </c>
      <c r="N2864" s="21">
        <f>IFERROR(INDEX(Produtos!$B$2:$B$71,MATCH(C2864,Produtos!$A$2:$A$71,0)),"")</f>
        <v/>
      </c>
      <c r="O2864" s="21">
        <f>IFERROR(INDEX(Produtos!$C$2:$C$71,MATCH(C2864,Produtos!$A$2:$A$71,0)),"")</f>
        <v/>
      </c>
      <c r="P2864" s="21">
        <f>IFERROR(INDEX(Produtos!$D$2:$D$71,MATCH(C2864,Produtos!$A$2:$A$71,0)),0)</f>
        <v/>
      </c>
      <c r="Q2864" s="21">
        <f>IFERROR(INDEX(Produtos!$E$2:$E$71,MATCH(C2864,Produtos!$A$2:$A$71,0)),0)</f>
        <v/>
      </c>
      <c r="R2864" s="23">
        <f>D2864*Q2864</f>
        <v/>
      </c>
      <c r="S2864" s="23">
        <f>R2864*E2864</f>
        <v/>
      </c>
      <c r="T2864" s="23">
        <f>(R2864-S2864)*M2864</f>
        <v/>
      </c>
      <c r="U2864" s="23">
        <f>R2864-S2864-T2864</f>
        <v/>
      </c>
      <c r="V2864" s="23">
        <f>D2864*P2864</f>
        <v/>
      </c>
      <c r="W2864" s="23">
        <f>U2864-V2864</f>
        <v/>
      </c>
      <c r="X2864" s="24">
        <f>IFERROR(W2864/U2864,0)</f>
        <v/>
      </c>
    </row>
    <row r="2865">
      <c r="A2865" s="25">
        <f>ItensPedido!A2865</f>
        <v/>
      </c>
      <c r="B2865" s="25">
        <f>ItensPedido!B2865</f>
        <v/>
      </c>
      <c r="C2865" s="25">
        <f>ItensPedido!C2865</f>
        <v/>
      </c>
      <c r="D2865" s="25">
        <f>ItensPedido!D2865</f>
        <v/>
      </c>
      <c r="E2865" s="26">
        <f>ItensPedido!E2865</f>
        <v/>
      </c>
      <c r="F2865" s="25">
        <f>IFERROR(INDEX(Pedidos!$B$2:$B$1801,MATCH(B2865,Pedidos!$A$2:$A$1801,0)),0)</f>
        <v/>
      </c>
      <c r="G2865" s="25">
        <f>IF(F2865=0,"",YEAR(F2865))</f>
        <v/>
      </c>
      <c r="H2865" s="25">
        <f>IF(F2865=0,"",MONTH(F2865))</f>
        <v/>
      </c>
      <c r="I2865" s="25">
        <f>IFERROR(INDEX(Pedidos!$E$2:$E$1801,MATCH(B2865,Pedidos!$A$2:$A$1801,0)),"")</f>
        <v/>
      </c>
      <c r="J2865" s="25">
        <f>IFERROR(INDEX(Pedidos!$C$2:$C$1801,MATCH(B2865,Pedidos!$A$2:$A$1801,0)),"")</f>
        <v/>
      </c>
      <c r="K2865" s="25">
        <f>IFERROR(INDEX(Pedidos!$D$2:$D$1801,MATCH(B2865,Pedidos!$A$2:$A$1801,0)),"")</f>
        <v/>
      </c>
      <c r="L2865" s="25">
        <f>IFERROR(INDEX(Pedidos!$F$2:$F$1801,MATCH(B2865,Pedidos!$A$2:$A$1801,0)),"")</f>
        <v/>
      </c>
      <c r="M2865" s="26">
        <f>IFERROR(INDEX(Pedidos!$G$2:$G$1801,MATCH(B2865,Pedidos!$A$2:$A$1801,0)),0)</f>
        <v/>
      </c>
      <c r="N2865" s="25">
        <f>IFERROR(INDEX(Produtos!$B$2:$B$71,MATCH(C2865,Produtos!$A$2:$A$71,0)),"")</f>
        <v/>
      </c>
      <c r="O2865" s="25">
        <f>IFERROR(INDEX(Produtos!$C$2:$C$71,MATCH(C2865,Produtos!$A$2:$A$71,0)),"")</f>
        <v/>
      </c>
      <c r="P2865" s="25">
        <f>IFERROR(INDEX(Produtos!$D$2:$D$71,MATCH(C2865,Produtos!$A$2:$A$71,0)),0)</f>
        <v/>
      </c>
      <c r="Q2865" s="25">
        <f>IFERROR(INDEX(Produtos!$E$2:$E$71,MATCH(C2865,Produtos!$A$2:$A$71,0)),0)</f>
        <v/>
      </c>
      <c r="R2865" s="27">
        <f>D2865*Q2865</f>
        <v/>
      </c>
      <c r="S2865" s="27">
        <f>R2865*E2865</f>
        <v/>
      </c>
      <c r="T2865" s="27">
        <f>(R2865-S2865)*M2865</f>
        <v/>
      </c>
      <c r="U2865" s="27">
        <f>R2865-S2865-T2865</f>
        <v/>
      </c>
      <c r="V2865" s="27">
        <f>D2865*P2865</f>
        <v/>
      </c>
      <c r="W2865" s="27">
        <f>U2865-V2865</f>
        <v/>
      </c>
      <c r="X2865" s="28">
        <f>IFERROR(W2865/U2865,0)</f>
        <v/>
      </c>
    </row>
    <row r="2866">
      <c r="A2866" s="21">
        <f>ItensPedido!A2866</f>
        <v/>
      </c>
      <c r="B2866" s="21">
        <f>ItensPedido!B2866</f>
        <v/>
      </c>
      <c r="C2866" s="21">
        <f>ItensPedido!C2866</f>
        <v/>
      </c>
      <c r="D2866" s="21">
        <f>ItensPedido!D2866</f>
        <v/>
      </c>
      <c r="E2866" s="22">
        <f>ItensPedido!E2866</f>
        <v/>
      </c>
      <c r="F2866" s="21">
        <f>IFERROR(INDEX(Pedidos!$B$2:$B$1801,MATCH(B2866,Pedidos!$A$2:$A$1801,0)),0)</f>
        <v/>
      </c>
      <c r="G2866" s="21">
        <f>IF(F2866=0,"",YEAR(F2866))</f>
        <v/>
      </c>
      <c r="H2866" s="21">
        <f>IF(F2866=0,"",MONTH(F2866))</f>
        <v/>
      </c>
      <c r="I2866" s="21">
        <f>IFERROR(INDEX(Pedidos!$E$2:$E$1801,MATCH(B2866,Pedidos!$A$2:$A$1801,0)),"")</f>
        <v/>
      </c>
      <c r="J2866" s="21">
        <f>IFERROR(INDEX(Pedidos!$C$2:$C$1801,MATCH(B2866,Pedidos!$A$2:$A$1801,0)),"")</f>
        <v/>
      </c>
      <c r="K2866" s="21">
        <f>IFERROR(INDEX(Pedidos!$D$2:$D$1801,MATCH(B2866,Pedidos!$A$2:$A$1801,0)),"")</f>
        <v/>
      </c>
      <c r="L2866" s="21">
        <f>IFERROR(INDEX(Pedidos!$F$2:$F$1801,MATCH(B2866,Pedidos!$A$2:$A$1801,0)),"")</f>
        <v/>
      </c>
      <c r="M2866" s="22">
        <f>IFERROR(INDEX(Pedidos!$G$2:$G$1801,MATCH(B2866,Pedidos!$A$2:$A$1801,0)),0)</f>
        <v/>
      </c>
      <c r="N2866" s="21">
        <f>IFERROR(INDEX(Produtos!$B$2:$B$71,MATCH(C2866,Produtos!$A$2:$A$71,0)),"")</f>
        <v/>
      </c>
      <c r="O2866" s="21">
        <f>IFERROR(INDEX(Produtos!$C$2:$C$71,MATCH(C2866,Produtos!$A$2:$A$71,0)),"")</f>
        <v/>
      </c>
      <c r="P2866" s="21">
        <f>IFERROR(INDEX(Produtos!$D$2:$D$71,MATCH(C2866,Produtos!$A$2:$A$71,0)),0)</f>
        <v/>
      </c>
      <c r="Q2866" s="21">
        <f>IFERROR(INDEX(Produtos!$E$2:$E$71,MATCH(C2866,Produtos!$A$2:$A$71,0)),0)</f>
        <v/>
      </c>
      <c r="R2866" s="23">
        <f>D2866*Q2866</f>
        <v/>
      </c>
      <c r="S2866" s="23">
        <f>R2866*E2866</f>
        <v/>
      </c>
      <c r="T2866" s="23">
        <f>(R2866-S2866)*M2866</f>
        <v/>
      </c>
      <c r="U2866" s="23">
        <f>R2866-S2866-T2866</f>
        <v/>
      </c>
      <c r="V2866" s="23">
        <f>D2866*P2866</f>
        <v/>
      </c>
      <c r="W2866" s="23">
        <f>U2866-V2866</f>
        <v/>
      </c>
      <c r="X2866" s="24">
        <f>IFERROR(W2866/U2866,0)</f>
        <v/>
      </c>
    </row>
    <row r="2867">
      <c r="A2867" s="25">
        <f>ItensPedido!A2867</f>
        <v/>
      </c>
      <c r="B2867" s="25">
        <f>ItensPedido!B2867</f>
        <v/>
      </c>
      <c r="C2867" s="25">
        <f>ItensPedido!C2867</f>
        <v/>
      </c>
      <c r="D2867" s="25">
        <f>ItensPedido!D2867</f>
        <v/>
      </c>
      <c r="E2867" s="26">
        <f>ItensPedido!E2867</f>
        <v/>
      </c>
      <c r="F2867" s="25">
        <f>IFERROR(INDEX(Pedidos!$B$2:$B$1801,MATCH(B2867,Pedidos!$A$2:$A$1801,0)),0)</f>
        <v/>
      </c>
      <c r="G2867" s="25">
        <f>IF(F2867=0,"",YEAR(F2867))</f>
        <v/>
      </c>
      <c r="H2867" s="25">
        <f>IF(F2867=0,"",MONTH(F2867))</f>
        <v/>
      </c>
      <c r="I2867" s="25">
        <f>IFERROR(INDEX(Pedidos!$E$2:$E$1801,MATCH(B2867,Pedidos!$A$2:$A$1801,0)),"")</f>
        <v/>
      </c>
      <c r="J2867" s="25">
        <f>IFERROR(INDEX(Pedidos!$C$2:$C$1801,MATCH(B2867,Pedidos!$A$2:$A$1801,0)),"")</f>
        <v/>
      </c>
      <c r="K2867" s="25">
        <f>IFERROR(INDEX(Pedidos!$D$2:$D$1801,MATCH(B2867,Pedidos!$A$2:$A$1801,0)),"")</f>
        <v/>
      </c>
      <c r="L2867" s="25">
        <f>IFERROR(INDEX(Pedidos!$F$2:$F$1801,MATCH(B2867,Pedidos!$A$2:$A$1801,0)),"")</f>
        <v/>
      </c>
      <c r="M2867" s="26">
        <f>IFERROR(INDEX(Pedidos!$G$2:$G$1801,MATCH(B2867,Pedidos!$A$2:$A$1801,0)),0)</f>
        <v/>
      </c>
      <c r="N2867" s="25">
        <f>IFERROR(INDEX(Produtos!$B$2:$B$71,MATCH(C2867,Produtos!$A$2:$A$71,0)),"")</f>
        <v/>
      </c>
      <c r="O2867" s="25">
        <f>IFERROR(INDEX(Produtos!$C$2:$C$71,MATCH(C2867,Produtos!$A$2:$A$71,0)),"")</f>
        <v/>
      </c>
      <c r="P2867" s="25">
        <f>IFERROR(INDEX(Produtos!$D$2:$D$71,MATCH(C2867,Produtos!$A$2:$A$71,0)),0)</f>
        <v/>
      </c>
      <c r="Q2867" s="25">
        <f>IFERROR(INDEX(Produtos!$E$2:$E$71,MATCH(C2867,Produtos!$A$2:$A$71,0)),0)</f>
        <v/>
      </c>
      <c r="R2867" s="27">
        <f>D2867*Q2867</f>
        <v/>
      </c>
      <c r="S2867" s="27">
        <f>R2867*E2867</f>
        <v/>
      </c>
      <c r="T2867" s="27">
        <f>(R2867-S2867)*M2867</f>
        <v/>
      </c>
      <c r="U2867" s="27">
        <f>R2867-S2867-T2867</f>
        <v/>
      </c>
      <c r="V2867" s="27">
        <f>D2867*P2867</f>
        <v/>
      </c>
      <c r="W2867" s="27">
        <f>U2867-V2867</f>
        <v/>
      </c>
      <c r="X2867" s="28">
        <f>IFERROR(W2867/U2867,0)</f>
        <v/>
      </c>
    </row>
    <row r="2868">
      <c r="A2868" s="21">
        <f>ItensPedido!A2868</f>
        <v/>
      </c>
      <c r="B2868" s="21">
        <f>ItensPedido!B2868</f>
        <v/>
      </c>
      <c r="C2868" s="21">
        <f>ItensPedido!C2868</f>
        <v/>
      </c>
      <c r="D2868" s="21">
        <f>ItensPedido!D2868</f>
        <v/>
      </c>
      <c r="E2868" s="22">
        <f>ItensPedido!E2868</f>
        <v/>
      </c>
      <c r="F2868" s="21">
        <f>IFERROR(INDEX(Pedidos!$B$2:$B$1801,MATCH(B2868,Pedidos!$A$2:$A$1801,0)),0)</f>
        <v/>
      </c>
      <c r="G2868" s="21">
        <f>IF(F2868=0,"",YEAR(F2868))</f>
        <v/>
      </c>
      <c r="H2868" s="21">
        <f>IF(F2868=0,"",MONTH(F2868))</f>
        <v/>
      </c>
      <c r="I2868" s="21">
        <f>IFERROR(INDEX(Pedidos!$E$2:$E$1801,MATCH(B2868,Pedidos!$A$2:$A$1801,0)),"")</f>
        <v/>
      </c>
      <c r="J2868" s="21">
        <f>IFERROR(INDEX(Pedidos!$C$2:$C$1801,MATCH(B2868,Pedidos!$A$2:$A$1801,0)),"")</f>
        <v/>
      </c>
      <c r="K2868" s="21">
        <f>IFERROR(INDEX(Pedidos!$D$2:$D$1801,MATCH(B2868,Pedidos!$A$2:$A$1801,0)),"")</f>
        <v/>
      </c>
      <c r="L2868" s="21">
        <f>IFERROR(INDEX(Pedidos!$F$2:$F$1801,MATCH(B2868,Pedidos!$A$2:$A$1801,0)),"")</f>
        <v/>
      </c>
      <c r="M2868" s="22">
        <f>IFERROR(INDEX(Pedidos!$G$2:$G$1801,MATCH(B2868,Pedidos!$A$2:$A$1801,0)),0)</f>
        <v/>
      </c>
      <c r="N2868" s="21">
        <f>IFERROR(INDEX(Produtos!$B$2:$B$71,MATCH(C2868,Produtos!$A$2:$A$71,0)),"")</f>
        <v/>
      </c>
      <c r="O2868" s="21">
        <f>IFERROR(INDEX(Produtos!$C$2:$C$71,MATCH(C2868,Produtos!$A$2:$A$71,0)),"")</f>
        <v/>
      </c>
      <c r="P2868" s="21">
        <f>IFERROR(INDEX(Produtos!$D$2:$D$71,MATCH(C2868,Produtos!$A$2:$A$71,0)),0)</f>
        <v/>
      </c>
      <c r="Q2868" s="21">
        <f>IFERROR(INDEX(Produtos!$E$2:$E$71,MATCH(C2868,Produtos!$A$2:$A$71,0)),0)</f>
        <v/>
      </c>
      <c r="R2868" s="23">
        <f>D2868*Q2868</f>
        <v/>
      </c>
      <c r="S2868" s="23">
        <f>R2868*E2868</f>
        <v/>
      </c>
      <c r="T2868" s="23">
        <f>(R2868-S2868)*M2868</f>
        <v/>
      </c>
      <c r="U2868" s="23">
        <f>R2868-S2868-T2868</f>
        <v/>
      </c>
      <c r="V2868" s="23">
        <f>D2868*P2868</f>
        <v/>
      </c>
      <c r="W2868" s="23">
        <f>U2868-V2868</f>
        <v/>
      </c>
      <c r="X2868" s="24">
        <f>IFERROR(W2868/U2868,0)</f>
        <v/>
      </c>
    </row>
    <row r="2869">
      <c r="A2869" s="25">
        <f>ItensPedido!A2869</f>
        <v/>
      </c>
      <c r="B2869" s="25">
        <f>ItensPedido!B2869</f>
        <v/>
      </c>
      <c r="C2869" s="25">
        <f>ItensPedido!C2869</f>
        <v/>
      </c>
      <c r="D2869" s="25">
        <f>ItensPedido!D2869</f>
        <v/>
      </c>
      <c r="E2869" s="26">
        <f>ItensPedido!E2869</f>
        <v/>
      </c>
      <c r="F2869" s="25">
        <f>IFERROR(INDEX(Pedidos!$B$2:$B$1801,MATCH(B2869,Pedidos!$A$2:$A$1801,0)),0)</f>
        <v/>
      </c>
      <c r="G2869" s="25">
        <f>IF(F2869=0,"",YEAR(F2869))</f>
        <v/>
      </c>
      <c r="H2869" s="25">
        <f>IF(F2869=0,"",MONTH(F2869))</f>
        <v/>
      </c>
      <c r="I2869" s="25">
        <f>IFERROR(INDEX(Pedidos!$E$2:$E$1801,MATCH(B2869,Pedidos!$A$2:$A$1801,0)),"")</f>
        <v/>
      </c>
      <c r="J2869" s="25">
        <f>IFERROR(INDEX(Pedidos!$C$2:$C$1801,MATCH(B2869,Pedidos!$A$2:$A$1801,0)),"")</f>
        <v/>
      </c>
      <c r="K2869" s="25">
        <f>IFERROR(INDEX(Pedidos!$D$2:$D$1801,MATCH(B2869,Pedidos!$A$2:$A$1801,0)),"")</f>
        <v/>
      </c>
      <c r="L2869" s="25">
        <f>IFERROR(INDEX(Pedidos!$F$2:$F$1801,MATCH(B2869,Pedidos!$A$2:$A$1801,0)),"")</f>
        <v/>
      </c>
      <c r="M2869" s="26">
        <f>IFERROR(INDEX(Pedidos!$G$2:$G$1801,MATCH(B2869,Pedidos!$A$2:$A$1801,0)),0)</f>
        <v/>
      </c>
      <c r="N2869" s="25">
        <f>IFERROR(INDEX(Produtos!$B$2:$B$71,MATCH(C2869,Produtos!$A$2:$A$71,0)),"")</f>
        <v/>
      </c>
      <c r="O2869" s="25">
        <f>IFERROR(INDEX(Produtos!$C$2:$C$71,MATCH(C2869,Produtos!$A$2:$A$71,0)),"")</f>
        <v/>
      </c>
      <c r="P2869" s="25">
        <f>IFERROR(INDEX(Produtos!$D$2:$D$71,MATCH(C2869,Produtos!$A$2:$A$71,0)),0)</f>
        <v/>
      </c>
      <c r="Q2869" s="25">
        <f>IFERROR(INDEX(Produtos!$E$2:$E$71,MATCH(C2869,Produtos!$A$2:$A$71,0)),0)</f>
        <v/>
      </c>
      <c r="R2869" s="27">
        <f>D2869*Q2869</f>
        <v/>
      </c>
      <c r="S2869" s="27">
        <f>R2869*E2869</f>
        <v/>
      </c>
      <c r="T2869" s="27">
        <f>(R2869-S2869)*M2869</f>
        <v/>
      </c>
      <c r="U2869" s="27">
        <f>R2869-S2869-T2869</f>
        <v/>
      </c>
      <c r="V2869" s="27">
        <f>D2869*P2869</f>
        <v/>
      </c>
      <c r="W2869" s="27">
        <f>U2869-V2869</f>
        <v/>
      </c>
      <c r="X2869" s="28">
        <f>IFERROR(W2869/U2869,0)</f>
        <v/>
      </c>
    </row>
    <row r="2870">
      <c r="A2870" s="21">
        <f>ItensPedido!A2870</f>
        <v/>
      </c>
      <c r="B2870" s="21">
        <f>ItensPedido!B2870</f>
        <v/>
      </c>
      <c r="C2870" s="21">
        <f>ItensPedido!C2870</f>
        <v/>
      </c>
      <c r="D2870" s="21">
        <f>ItensPedido!D2870</f>
        <v/>
      </c>
      <c r="E2870" s="22">
        <f>ItensPedido!E2870</f>
        <v/>
      </c>
      <c r="F2870" s="21">
        <f>IFERROR(INDEX(Pedidos!$B$2:$B$1801,MATCH(B2870,Pedidos!$A$2:$A$1801,0)),0)</f>
        <v/>
      </c>
      <c r="G2870" s="21">
        <f>IF(F2870=0,"",YEAR(F2870))</f>
        <v/>
      </c>
      <c r="H2870" s="21">
        <f>IF(F2870=0,"",MONTH(F2870))</f>
        <v/>
      </c>
      <c r="I2870" s="21">
        <f>IFERROR(INDEX(Pedidos!$E$2:$E$1801,MATCH(B2870,Pedidos!$A$2:$A$1801,0)),"")</f>
        <v/>
      </c>
      <c r="J2870" s="21">
        <f>IFERROR(INDEX(Pedidos!$C$2:$C$1801,MATCH(B2870,Pedidos!$A$2:$A$1801,0)),"")</f>
        <v/>
      </c>
      <c r="K2870" s="21">
        <f>IFERROR(INDEX(Pedidos!$D$2:$D$1801,MATCH(B2870,Pedidos!$A$2:$A$1801,0)),"")</f>
        <v/>
      </c>
      <c r="L2870" s="21">
        <f>IFERROR(INDEX(Pedidos!$F$2:$F$1801,MATCH(B2870,Pedidos!$A$2:$A$1801,0)),"")</f>
        <v/>
      </c>
      <c r="M2870" s="22">
        <f>IFERROR(INDEX(Pedidos!$G$2:$G$1801,MATCH(B2870,Pedidos!$A$2:$A$1801,0)),0)</f>
        <v/>
      </c>
      <c r="N2870" s="21">
        <f>IFERROR(INDEX(Produtos!$B$2:$B$71,MATCH(C2870,Produtos!$A$2:$A$71,0)),"")</f>
        <v/>
      </c>
      <c r="O2870" s="21">
        <f>IFERROR(INDEX(Produtos!$C$2:$C$71,MATCH(C2870,Produtos!$A$2:$A$71,0)),"")</f>
        <v/>
      </c>
      <c r="P2870" s="21">
        <f>IFERROR(INDEX(Produtos!$D$2:$D$71,MATCH(C2870,Produtos!$A$2:$A$71,0)),0)</f>
        <v/>
      </c>
      <c r="Q2870" s="21">
        <f>IFERROR(INDEX(Produtos!$E$2:$E$71,MATCH(C2870,Produtos!$A$2:$A$71,0)),0)</f>
        <v/>
      </c>
      <c r="R2870" s="23">
        <f>D2870*Q2870</f>
        <v/>
      </c>
      <c r="S2870" s="23">
        <f>R2870*E2870</f>
        <v/>
      </c>
      <c r="T2870" s="23">
        <f>(R2870-S2870)*M2870</f>
        <v/>
      </c>
      <c r="U2870" s="23">
        <f>R2870-S2870-T2870</f>
        <v/>
      </c>
      <c r="V2870" s="23">
        <f>D2870*P2870</f>
        <v/>
      </c>
      <c r="W2870" s="23">
        <f>U2870-V2870</f>
        <v/>
      </c>
      <c r="X2870" s="24">
        <f>IFERROR(W2870/U2870,0)</f>
        <v/>
      </c>
    </row>
    <row r="2871">
      <c r="A2871" s="25">
        <f>ItensPedido!A2871</f>
        <v/>
      </c>
      <c r="B2871" s="25">
        <f>ItensPedido!B2871</f>
        <v/>
      </c>
      <c r="C2871" s="25">
        <f>ItensPedido!C2871</f>
        <v/>
      </c>
      <c r="D2871" s="25">
        <f>ItensPedido!D2871</f>
        <v/>
      </c>
      <c r="E2871" s="26">
        <f>ItensPedido!E2871</f>
        <v/>
      </c>
      <c r="F2871" s="25">
        <f>IFERROR(INDEX(Pedidos!$B$2:$B$1801,MATCH(B2871,Pedidos!$A$2:$A$1801,0)),0)</f>
        <v/>
      </c>
      <c r="G2871" s="25">
        <f>IF(F2871=0,"",YEAR(F2871))</f>
        <v/>
      </c>
      <c r="H2871" s="25">
        <f>IF(F2871=0,"",MONTH(F2871))</f>
        <v/>
      </c>
      <c r="I2871" s="25">
        <f>IFERROR(INDEX(Pedidos!$E$2:$E$1801,MATCH(B2871,Pedidos!$A$2:$A$1801,0)),"")</f>
        <v/>
      </c>
      <c r="J2871" s="25">
        <f>IFERROR(INDEX(Pedidos!$C$2:$C$1801,MATCH(B2871,Pedidos!$A$2:$A$1801,0)),"")</f>
        <v/>
      </c>
      <c r="K2871" s="25">
        <f>IFERROR(INDEX(Pedidos!$D$2:$D$1801,MATCH(B2871,Pedidos!$A$2:$A$1801,0)),"")</f>
        <v/>
      </c>
      <c r="L2871" s="25">
        <f>IFERROR(INDEX(Pedidos!$F$2:$F$1801,MATCH(B2871,Pedidos!$A$2:$A$1801,0)),"")</f>
        <v/>
      </c>
      <c r="M2871" s="26">
        <f>IFERROR(INDEX(Pedidos!$G$2:$G$1801,MATCH(B2871,Pedidos!$A$2:$A$1801,0)),0)</f>
        <v/>
      </c>
      <c r="N2871" s="25">
        <f>IFERROR(INDEX(Produtos!$B$2:$B$71,MATCH(C2871,Produtos!$A$2:$A$71,0)),"")</f>
        <v/>
      </c>
      <c r="O2871" s="25">
        <f>IFERROR(INDEX(Produtos!$C$2:$C$71,MATCH(C2871,Produtos!$A$2:$A$71,0)),"")</f>
        <v/>
      </c>
      <c r="P2871" s="25">
        <f>IFERROR(INDEX(Produtos!$D$2:$D$71,MATCH(C2871,Produtos!$A$2:$A$71,0)),0)</f>
        <v/>
      </c>
      <c r="Q2871" s="25">
        <f>IFERROR(INDEX(Produtos!$E$2:$E$71,MATCH(C2871,Produtos!$A$2:$A$71,0)),0)</f>
        <v/>
      </c>
      <c r="R2871" s="27">
        <f>D2871*Q2871</f>
        <v/>
      </c>
      <c r="S2871" s="27">
        <f>R2871*E2871</f>
        <v/>
      </c>
      <c r="T2871" s="27">
        <f>(R2871-S2871)*M2871</f>
        <v/>
      </c>
      <c r="U2871" s="27">
        <f>R2871-S2871-T2871</f>
        <v/>
      </c>
      <c r="V2871" s="27">
        <f>D2871*P2871</f>
        <v/>
      </c>
      <c r="W2871" s="27">
        <f>U2871-V2871</f>
        <v/>
      </c>
      <c r="X2871" s="28">
        <f>IFERROR(W2871/U2871,0)</f>
        <v/>
      </c>
    </row>
    <row r="2872">
      <c r="A2872" s="21">
        <f>ItensPedido!A2872</f>
        <v/>
      </c>
      <c r="B2872" s="21">
        <f>ItensPedido!B2872</f>
        <v/>
      </c>
      <c r="C2872" s="21">
        <f>ItensPedido!C2872</f>
        <v/>
      </c>
      <c r="D2872" s="21">
        <f>ItensPedido!D2872</f>
        <v/>
      </c>
      <c r="E2872" s="22">
        <f>ItensPedido!E2872</f>
        <v/>
      </c>
      <c r="F2872" s="21">
        <f>IFERROR(INDEX(Pedidos!$B$2:$B$1801,MATCH(B2872,Pedidos!$A$2:$A$1801,0)),0)</f>
        <v/>
      </c>
      <c r="G2872" s="21">
        <f>IF(F2872=0,"",YEAR(F2872))</f>
        <v/>
      </c>
      <c r="H2872" s="21">
        <f>IF(F2872=0,"",MONTH(F2872))</f>
        <v/>
      </c>
      <c r="I2872" s="21">
        <f>IFERROR(INDEX(Pedidos!$E$2:$E$1801,MATCH(B2872,Pedidos!$A$2:$A$1801,0)),"")</f>
        <v/>
      </c>
      <c r="J2872" s="21">
        <f>IFERROR(INDEX(Pedidos!$C$2:$C$1801,MATCH(B2872,Pedidos!$A$2:$A$1801,0)),"")</f>
        <v/>
      </c>
      <c r="K2872" s="21">
        <f>IFERROR(INDEX(Pedidos!$D$2:$D$1801,MATCH(B2872,Pedidos!$A$2:$A$1801,0)),"")</f>
        <v/>
      </c>
      <c r="L2872" s="21">
        <f>IFERROR(INDEX(Pedidos!$F$2:$F$1801,MATCH(B2872,Pedidos!$A$2:$A$1801,0)),"")</f>
        <v/>
      </c>
      <c r="M2872" s="22">
        <f>IFERROR(INDEX(Pedidos!$G$2:$G$1801,MATCH(B2872,Pedidos!$A$2:$A$1801,0)),0)</f>
        <v/>
      </c>
      <c r="N2872" s="21">
        <f>IFERROR(INDEX(Produtos!$B$2:$B$71,MATCH(C2872,Produtos!$A$2:$A$71,0)),"")</f>
        <v/>
      </c>
      <c r="O2872" s="21">
        <f>IFERROR(INDEX(Produtos!$C$2:$C$71,MATCH(C2872,Produtos!$A$2:$A$71,0)),"")</f>
        <v/>
      </c>
      <c r="P2872" s="21">
        <f>IFERROR(INDEX(Produtos!$D$2:$D$71,MATCH(C2872,Produtos!$A$2:$A$71,0)),0)</f>
        <v/>
      </c>
      <c r="Q2872" s="21">
        <f>IFERROR(INDEX(Produtos!$E$2:$E$71,MATCH(C2872,Produtos!$A$2:$A$71,0)),0)</f>
        <v/>
      </c>
      <c r="R2872" s="23">
        <f>D2872*Q2872</f>
        <v/>
      </c>
      <c r="S2872" s="23">
        <f>R2872*E2872</f>
        <v/>
      </c>
      <c r="T2872" s="23">
        <f>(R2872-S2872)*M2872</f>
        <v/>
      </c>
      <c r="U2872" s="23">
        <f>R2872-S2872-T2872</f>
        <v/>
      </c>
      <c r="V2872" s="23">
        <f>D2872*P2872</f>
        <v/>
      </c>
      <c r="W2872" s="23">
        <f>U2872-V2872</f>
        <v/>
      </c>
      <c r="X2872" s="24">
        <f>IFERROR(W2872/U2872,0)</f>
        <v/>
      </c>
    </row>
    <row r="2873">
      <c r="A2873" s="25">
        <f>ItensPedido!A2873</f>
        <v/>
      </c>
      <c r="B2873" s="25">
        <f>ItensPedido!B2873</f>
        <v/>
      </c>
      <c r="C2873" s="25">
        <f>ItensPedido!C2873</f>
        <v/>
      </c>
      <c r="D2873" s="25">
        <f>ItensPedido!D2873</f>
        <v/>
      </c>
      <c r="E2873" s="26">
        <f>ItensPedido!E2873</f>
        <v/>
      </c>
      <c r="F2873" s="25">
        <f>IFERROR(INDEX(Pedidos!$B$2:$B$1801,MATCH(B2873,Pedidos!$A$2:$A$1801,0)),0)</f>
        <v/>
      </c>
      <c r="G2873" s="25">
        <f>IF(F2873=0,"",YEAR(F2873))</f>
        <v/>
      </c>
      <c r="H2873" s="25">
        <f>IF(F2873=0,"",MONTH(F2873))</f>
        <v/>
      </c>
      <c r="I2873" s="25">
        <f>IFERROR(INDEX(Pedidos!$E$2:$E$1801,MATCH(B2873,Pedidos!$A$2:$A$1801,0)),"")</f>
        <v/>
      </c>
      <c r="J2873" s="25">
        <f>IFERROR(INDEX(Pedidos!$C$2:$C$1801,MATCH(B2873,Pedidos!$A$2:$A$1801,0)),"")</f>
        <v/>
      </c>
      <c r="K2873" s="25">
        <f>IFERROR(INDEX(Pedidos!$D$2:$D$1801,MATCH(B2873,Pedidos!$A$2:$A$1801,0)),"")</f>
        <v/>
      </c>
      <c r="L2873" s="25">
        <f>IFERROR(INDEX(Pedidos!$F$2:$F$1801,MATCH(B2873,Pedidos!$A$2:$A$1801,0)),"")</f>
        <v/>
      </c>
      <c r="M2873" s="26">
        <f>IFERROR(INDEX(Pedidos!$G$2:$G$1801,MATCH(B2873,Pedidos!$A$2:$A$1801,0)),0)</f>
        <v/>
      </c>
      <c r="N2873" s="25">
        <f>IFERROR(INDEX(Produtos!$B$2:$B$71,MATCH(C2873,Produtos!$A$2:$A$71,0)),"")</f>
        <v/>
      </c>
      <c r="O2873" s="25">
        <f>IFERROR(INDEX(Produtos!$C$2:$C$71,MATCH(C2873,Produtos!$A$2:$A$71,0)),"")</f>
        <v/>
      </c>
      <c r="P2873" s="25">
        <f>IFERROR(INDEX(Produtos!$D$2:$D$71,MATCH(C2873,Produtos!$A$2:$A$71,0)),0)</f>
        <v/>
      </c>
      <c r="Q2873" s="25">
        <f>IFERROR(INDEX(Produtos!$E$2:$E$71,MATCH(C2873,Produtos!$A$2:$A$71,0)),0)</f>
        <v/>
      </c>
      <c r="R2873" s="27">
        <f>D2873*Q2873</f>
        <v/>
      </c>
      <c r="S2873" s="27">
        <f>R2873*E2873</f>
        <v/>
      </c>
      <c r="T2873" s="27">
        <f>(R2873-S2873)*M2873</f>
        <v/>
      </c>
      <c r="U2873" s="27">
        <f>R2873-S2873-T2873</f>
        <v/>
      </c>
      <c r="V2873" s="27">
        <f>D2873*P2873</f>
        <v/>
      </c>
      <c r="W2873" s="27">
        <f>U2873-V2873</f>
        <v/>
      </c>
      <c r="X2873" s="28">
        <f>IFERROR(W2873/U2873,0)</f>
        <v/>
      </c>
    </row>
    <row r="2874">
      <c r="A2874" s="21">
        <f>ItensPedido!A2874</f>
        <v/>
      </c>
      <c r="B2874" s="21">
        <f>ItensPedido!B2874</f>
        <v/>
      </c>
      <c r="C2874" s="21">
        <f>ItensPedido!C2874</f>
        <v/>
      </c>
      <c r="D2874" s="21">
        <f>ItensPedido!D2874</f>
        <v/>
      </c>
      <c r="E2874" s="22">
        <f>ItensPedido!E2874</f>
        <v/>
      </c>
      <c r="F2874" s="21">
        <f>IFERROR(INDEX(Pedidos!$B$2:$B$1801,MATCH(B2874,Pedidos!$A$2:$A$1801,0)),0)</f>
        <v/>
      </c>
      <c r="G2874" s="21">
        <f>IF(F2874=0,"",YEAR(F2874))</f>
        <v/>
      </c>
      <c r="H2874" s="21">
        <f>IF(F2874=0,"",MONTH(F2874))</f>
        <v/>
      </c>
      <c r="I2874" s="21">
        <f>IFERROR(INDEX(Pedidos!$E$2:$E$1801,MATCH(B2874,Pedidos!$A$2:$A$1801,0)),"")</f>
        <v/>
      </c>
      <c r="J2874" s="21">
        <f>IFERROR(INDEX(Pedidos!$C$2:$C$1801,MATCH(B2874,Pedidos!$A$2:$A$1801,0)),"")</f>
        <v/>
      </c>
      <c r="K2874" s="21">
        <f>IFERROR(INDEX(Pedidos!$D$2:$D$1801,MATCH(B2874,Pedidos!$A$2:$A$1801,0)),"")</f>
        <v/>
      </c>
      <c r="L2874" s="21">
        <f>IFERROR(INDEX(Pedidos!$F$2:$F$1801,MATCH(B2874,Pedidos!$A$2:$A$1801,0)),"")</f>
        <v/>
      </c>
      <c r="M2874" s="22">
        <f>IFERROR(INDEX(Pedidos!$G$2:$G$1801,MATCH(B2874,Pedidos!$A$2:$A$1801,0)),0)</f>
        <v/>
      </c>
      <c r="N2874" s="21">
        <f>IFERROR(INDEX(Produtos!$B$2:$B$71,MATCH(C2874,Produtos!$A$2:$A$71,0)),"")</f>
        <v/>
      </c>
      <c r="O2874" s="21">
        <f>IFERROR(INDEX(Produtos!$C$2:$C$71,MATCH(C2874,Produtos!$A$2:$A$71,0)),"")</f>
        <v/>
      </c>
      <c r="P2874" s="21">
        <f>IFERROR(INDEX(Produtos!$D$2:$D$71,MATCH(C2874,Produtos!$A$2:$A$71,0)),0)</f>
        <v/>
      </c>
      <c r="Q2874" s="21">
        <f>IFERROR(INDEX(Produtos!$E$2:$E$71,MATCH(C2874,Produtos!$A$2:$A$71,0)),0)</f>
        <v/>
      </c>
      <c r="R2874" s="23">
        <f>D2874*Q2874</f>
        <v/>
      </c>
      <c r="S2874" s="23">
        <f>R2874*E2874</f>
        <v/>
      </c>
      <c r="T2874" s="23">
        <f>(R2874-S2874)*M2874</f>
        <v/>
      </c>
      <c r="U2874" s="23">
        <f>R2874-S2874-T2874</f>
        <v/>
      </c>
      <c r="V2874" s="23">
        <f>D2874*P2874</f>
        <v/>
      </c>
      <c r="W2874" s="23">
        <f>U2874-V2874</f>
        <v/>
      </c>
      <c r="X2874" s="24">
        <f>IFERROR(W2874/U2874,0)</f>
        <v/>
      </c>
    </row>
    <row r="2875">
      <c r="A2875" s="25">
        <f>ItensPedido!A2875</f>
        <v/>
      </c>
      <c r="B2875" s="25">
        <f>ItensPedido!B2875</f>
        <v/>
      </c>
      <c r="C2875" s="25">
        <f>ItensPedido!C2875</f>
        <v/>
      </c>
      <c r="D2875" s="25">
        <f>ItensPedido!D2875</f>
        <v/>
      </c>
      <c r="E2875" s="26">
        <f>ItensPedido!E2875</f>
        <v/>
      </c>
      <c r="F2875" s="25">
        <f>IFERROR(INDEX(Pedidos!$B$2:$B$1801,MATCH(B2875,Pedidos!$A$2:$A$1801,0)),0)</f>
        <v/>
      </c>
      <c r="G2875" s="25">
        <f>IF(F2875=0,"",YEAR(F2875))</f>
        <v/>
      </c>
      <c r="H2875" s="25">
        <f>IF(F2875=0,"",MONTH(F2875))</f>
        <v/>
      </c>
      <c r="I2875" s="25">
        <f>IFERROR(INDEX(Pedidos!$E$2:$E$1801,MATCH(B2875,Pedidos!$A$2:$A$1801,0)),"")</f>
        <v/>
      </c>
      <c r="J2875" s="25">
        <f>IFERROR(INDEX(Pedidos!$C$2:$C$1801,MATCH(B2875,Pedidos!$A$2:$A$1801,0)),"")</f>
        <v/>
      </c>
      <c r="K2875" s="25">
        <f>IFERROR(INDEX(Pedidos!$D$2:$D$1801,MATCH(B2875,Pedidos!$A$2:$A$1801,0)),"")</f>
        <v/>
      </c>
      <c r="L2875" s="25">
        <f>IFERROR(INDEX(Pedidos!$F$2:$F$1801,MATCH(B2875,Pedidos!$A$2:$A$1801,0)),"")</f>
        <v/>
      </c>
      <c r="M2875" s="26">
        <f>IFERROR(INDEX(Pedidos!$G$2:$G$1801,MATCH(B2875,Pedidos!$A$2:$A$1801,0)),0)</f>
        <v/>
      </c>
      <c r="N2875" s="25">
        <f>IFERROR(INDEX(Produtos!$B$2:$B$71,MATCH(C2875,Produtos!$A$2:$A$71,0)),"")</f>
        <v/>
      </c>
      <c r="O2875" s="25">
        <f>IFERROR(INDEX(Produtos!$C$2:$C$71,MATCH(C2875,Produtos!$A$2:$A$71,0)),"")</f>
        <v/>
      </c>
      <c r="P2875" s="25">
        <f>IFERROR(INDEX(Produtos!$D$2:$D$71,MATCH(C2875,Produtos!$A$2:$A$71,0)),0)</f>
        <v/>
      </c>
      <c r="Q2875" s="25">
        <f>IFERROR(INDEX(Produtos!$E$2:$E$71,MATCH(C2875,Produtos!$A$2:$A$71,0)),0)</f>
        <v/>
      </c>
      <c r="R2875" s="27">
        <f>D2875*Q2875</f>
        <v/>
      </c>
      <c r="S2875" s="27">
        <f>R2875*E2875</f>
        <v/>
      </c>
      <c r="T2875" s="27">
        <f>(R2875-S2875)*M2875</f>
        <v/>
      </c>
      <c r="U2875" s="27">
        <f>R2875-S2875-T2875</f>
        <v/>
      </c>
      <c r="V2875" s="27">
        <f>D2875*P2875</f>
        <v/>
      </c>
      <c r="W2875" s="27">
        <f>U2875-V2875</f>
        <v/>
      </c>
      <c r="X2875" s="28">
        <f>IFERROR(W2875/U2875,0)</f>
        <v/>
      </c>
    </row>
    <row r="2876">
      <c r="A2876" s="21">
        <f>ItensPedido!A2876</f>
        <v/>
      </c>
      <c r="B2876" s="21">
        <f>ItensPedido!B2876</f>
        <v/>
      </c>
      <c r="C2876" s="21">
        <f>ItensPedido!C2876</f>
        <v/>
      </c>
      <c r="D2876" s="21">
        <f>ItensPedido!D2876</f>
        <v/>
      </c>
      <c r="E2876" s="22">
        <f>ItensPedido!E2876</f>
        <v/>
      </c>
      <c r="F2876" s="21">
        <f>IFERROR(INDEX(Pedidos!$B$2:$B$1801,MATCH(B2876,Pedidos!$A$2:$A$1801,0)),0)</f>
        <v/>
      </c>
      <c r="G2876" s="21">
        <f>IF(F2876=0,"",YEAR(F2876))</f>
        <v/>
      </c>
      <c r="H2876" s="21">
        <f>IF(F2876=0,"",MONTH(F2876))</f>
        <v/>
      </c>
      <c r="I2876" s="21">
        <f>IFERROR(INDEX(Pedidos!$E$2:$E$1801,MATCH(B2876,Pedidos!$A$2:$A$1801,0)),"")</f>
        <v/>
      </c>
      <c r="J2876" s="21">
        <f>IFERROR(INDEX(Pedidos!$C$2:$C$1801,MATCH(B2876,Pedidos!$A$2:$A$1801,0)),"")</f>
        <v/>
      </c>
      <c r="K2876" s="21">
        <f>IFERROR(INDEX(Pedidos!$D$2:$D$1801,MATCH(B2876,Pedidos!$A$2:$A$1801,0)),"")</f>
        <v/>
      </c>
      <c r="L2876" s="21">
        <f>IFERROR(INDEX(Pedidos!$F$2:$F$1801,MATCH(B2876,Pedidos!$A$2:$A$1801,0)),"")</f>
        <v/>
      </c>
      <c r="M2876" s="22">
        <f>IFERROR(INDEX(Pedidos!$G$2:$G$1801,MATCH(B2876,Pedidos!$A$2:$A$1801,0)),0)</f>
        <v/>
      </c>
      <c r="N2876" s="21">
        <f>IFERROR(INDEX(Produtos!$B$2:$B$71,MATCH(C2876,Produtos!$A$2:$A$71,0)),"")</f>
        <v/>
      </c>
      <c r="O2876" s="21">
        <f>IFERROR(INDEX(Produtos!$C$2:$C$71,MATCH(C2876,Produtos!$A$2:$A$71,0)),"")</f>
        <v/>
      </c>
      <c r="P2876" s="21">
        <f>IFERROR(INDEX(Produtos!$D$2:$D$71,MATCH(C2876,Produtos!$A$2:$A$71,0)),0)</f>
        <v/>
      </c>
      <c r="Q2876" s="21">
        <f>IFERROR(INDEX(Produtos!$E$2:$E$71,MATCH(C2876,Produtos!$A$2:$A$71,0)),0)</f>
        <v/>
      </c>
      <c r="R2876" s="23">
        <f>D2876*Q2876</f>
        <v/>
      </c>
      <c r="S2876" s="23">
        <f>R2876*E2876</f>
        <v/>
      </c>
      <c r="T2876" s="23">
        <f>(R2876-S2876)*M2876</f>
        <v/>
      </c>
      <c r="U2876" s="23">
        <f>R2876-S2876-T2876</f>
        <v/>
      </c>
      <c r="V2876" s="23">
        <f>D2876*P2876</f>
        <v/>
      </c>
      <c r="W2876" s="23">
        <f>U2876-V2876</f>
        <v/>
      </c>
      <c r="X2876" s="24">
        <f>IFERROR(W2876/U2876,0)</f>
        <v/>
      </c>
    </row>
    <row r="2877">
      <c r="A2877" s="25">
        <f>ItensPedido!A2877</f>
        <v/>
      </c>
      <c r="B2877" s="25">
        <f>ItensPedido!B2877</f>
        <v/>
      </c>
      <c r="C2877" s="25">
        <f>ItensPedido!C2877</f>
        <v/>
      </c>
      <c r="D2877" s="25">
        <f>ItensPedido!D2877</f>
        <v/>
      </c>
      <c r="E2877" s="26">
        <f>ItensPedido!E2877</f>
        <v/>
      </c>
      <c r="F2877" s="25">
        <f>IFERROR(INDEX(Pedidos!$B$2:$B$1801,MATCH(B2877,Pedidos!$A$2:$A$1801,0)),0)</f>
        <v/>
      </c>
      <c r="G2877" s="25">
        <f>IF(F2877=0,"",YEAR(F2877))</f>
        <v/>
      </c>
      <c r="H2877" s="25">
        <f>IF(F2877=0,"",MONTH(F2877))</f>
        <v/>
      </c>
      <c r="I2877" s="25">
        <f>IFERROR(INDEX(Pedidos!$E$2:$E$1801,MATCH(B2877,Pedidos!$A$2:$A$1801,0)),"")</f>
        <v/>
      </c>
      <c r="J2877" s="25">
        <f>IFERROR(INDEX(Pedidos!$C$2:$C$1801,MATCH(B2877,Pedidos!$A$2:$A$1801,0)),"")</f>
        <v/>
      </c>
      <c r="K2877" s="25">
        <f>IFERROR(INDEX(Pedidos!$D$2:$D$1801,MATCH(B2877,Pedidos!$A$2:$A$1801,0)),"")</f>
        <v/>
      </c>
      <c r="L2877" s="25">
        <f>IFERROR(INDEX(Pedidos!$F$2:$F$1801,MATCH(B2877,Pedidos!$A$2:$A$1801,0)),"")</f>
        <v/>
      </c>
      <c r="M2877" s="26">
        <f>IFERROR(INDEX(Pedidos!$G$2:$G$1801,MATCH(B2877,Pedidos!$A$2:$A$1801,0)),0)</f>
        <v/>
      </c>
      <c r="N2877" s="25">
        <f>IFERROR(INDEX(Produtos!$B$2:$B$71,MATCH(C2877,Produtos!$A$2:$A$71,0)),"")</f>
        <v/>
      </c>
      <c r="O2877" s="25">
        <f>IFERROR(INDEX(Produtos!$C$2:$C$71,MATCH(C2877,Produtos!$A$2:$A$71,0)),"")</f>
        <v/>
      </c>
      <c r="P2877" s="25">
        <f>IFERROR(INDEX(Produtos!$D$2:$D$71,MATCH(C2877,Produtos!$A$2:$A$71,0)),0)</f>
        <v/>
      </c>
      <c r="Q2877" s="25">
        <f>IFERROR(INDEX(Produtos!$E$2:$E$71,MATCH(C2877,Produtos!$A$2:$A$71,0)),0)</f>
        <v/>
      </c>
      <c r="R2877" s="27">
        <f>D2877*Q2877</f>
        <v/>
      </c>
      <c r="S2877" s="27">
        <f>R2877*E2877</f>
        <v/>
      </c>
      <c r="T2877" s="27">
        <f>(R2877-S2877)*M2877</f>
        <v/>
      </c>
      <c r="U2877" s="27">
        <f>R2877-S2877-T2877</f>
        <v/>
      </c>
      <c r="V2877" s="27">
        <f>D2877*P2877</f>
        <v/>
      </c>
      <c r="W2877" s="27">
        <f>U2877-V2877</f>
        <v/>
      </c>
      <c r="X2877" s="28">
        <f>IFERROR(W2877/U2877,0)</f>
        <v/>
      </c>
    </row>
    <row r="2878">
      <c r="A2878" s="21">
        <f>ItensPedido!A2878</f>
        <v/>
      </c>
      <c r="B2878" s="21">
        <f>ItensPedido!B2878</f>
        <v/>
      </c>
      <c r="C2878" s="21">
        <f>ItensPedido!C2878</f>
        <v/>
      </c>
      <c r="D2878" s="21">
        <f>ItensPedido!D2878</f>
        <v/>
      </c>
      <c r="E2878" s="22">
        <f>ItensPedido!E2878</f>
        <v/>
      </c>
      <c r="F2878" s="21">
        <f>IFERROR(INDEX(Pedidos!$B$2:$B$1801,MATCH(B2878,Pedidos!$A$2:$A$1801,0)),0)</f>
        <v/>
      </c>
      <c r="G2878" s="21">
        <f>IF(F2878=0,"",YEAR(F2878))</f>
        <v/>
      </c>
      <c r="H2878" s="21">
        <f>IF(F2878=0,"",MONTH(F2878))</f>
        <v/>
      </c>
      <c r="I2878" s="21">
        <f>IFERROR(INDEX(Pedidos!$E$2:$E$1801,MATCH(B2878,Pedidos!$A$2:$A$1801,0)),"")</f>
        <v/>
      </c>
      <c r="J2878" s="21">
        <f>IFERROR(INDEX(Pedidos!$C$2:$C$1801,MATCH(B2878,Pedidos!$A$2:$A$1801,0)),"")</f>
        <v/>
      </c>
      <c r="K2878" s="21">
        <f>IFERROR(INDEX(Pedidos!$D$2:$D$1801,MATCH(B2878,Pedidos!$A$2:$A$1801,0)),"")</f>
        <v/>
      </c>
      <c r="L2878" s="21">
        <f>IFERROR(INDEX(Pedidos!$F$2:$F$1801,MATCH(B2878,Pedidos!$A$2:$A$1801,0)),"")</f>
        <v/>
      </c>
      <c r="M2878" s="22">
        <f>IFERROR(INDEX(Pedidos!$G$2:$G$1801,MATCH(B2878,Pedidos!$A$2:$A$1801,0)),0)</f>
        <v/>
      </c>
      <c r="N2878" s="21">
        <f>IFERROR(INDEX(Produtos!$B$2:$B$71,MATCH(C2878,Produtos!$A$2:$A$71,0)),"")</f>
        <v/>
      </c>
      <c r="O2878" s="21">
        <f>IFERROR(INDEX(Produtos!$C$2:$C$71,MATCH(C2878,Produtos!$A$2:$A$71,0)),"")</f>
        <v/>
      </c>
      <c r="P2878" s="21">
        <f>IFERROR(INDEX(Produtos!$D$2:$D$71,MATCH(C2878,Produtos!$A$2:$A$71,0)),0)</f>
        <v/>
      </c>
      <c r="Q2878" s="21">
        <f>IFERROR(INDEX(Produtos!$E$2:$E$71,MATCH(C2878,Produtos!$A$2:$A$71,0)),0)</f>
        <v/>
      </c>
      <c r="R2878" s="23">
        <f>D2878*Q2878</f>
        <v/>
      </c>
      <c r="S2878" s="23">
        <f>R2878*E2878</f>
        <v/>
      </c>
      <c r="T2878" s="23">
        <f>(R2878-S2878)*M2878</f>
        <v/>
      </c>
      <c r="U2878" s="23">
        <f>R2878-S2878-T2878</f>
        <v/>
      </c>
      <c r="V2878" s="23">
        <f>D2878*P2878</f>
        <v/>
      </c>
      <c r="W2878" s="23">
        <f>U2878-V2878</f>
        <v/>
      </c>
      <c r="X2878" s="24">
        <f>IFERROR(W2878/U2878,0)</f>
        <v/>
      </c>
    </row>
    <row r="2879">
      <c r="A2879" s="25">
        <f>ItensPedido!A2879</f>
        <v/>
      </c>
      <c r="B2879" s="25">
        <f>ItensPedido!B2879</f>
        <v/>
      </c>
      <c r="C2879" s="25">
        <f>ItensPedido!C2879</f>
        <v/>
      </c>
      <c r="D2879" s="25">
        <f>ItensPedido!D2879</f>
        <v/>
      </c>
      <c r="E2879" s="26">
        <f>ItensPedido!E2879</f>
        <v/>
      </c>
      <c r="F2879" s="25">
        <f>IFERROR(INDEX(Pedidos!$B$2:$B$1801,MATCH(B2879,Pedidos!$A$2:$A$1801,0)),0)</f>
        <v/>
      </c>
      <c r="G2879" s="25">
        <f>IF(F2879=0,"",YEAR(F2879))</f>
        <v/>
      </c>
      <c r="H2879" s="25">
        <f>IF(F2879=0,"",MONTH(F2879))</f>
        <v/>
      </c>
      <c r="I2879" s="25">
        <f>IFERROR(INDEX(Pedidos!$E$2:$E$1801,MATCH(B2879,Pedidos!$A$2:$A$1801,0)),"")</f>
        <v/>
      </c>
      <c r="J2879" s="25">
        <f>IFERROR(INDEX(Pedidos!$C$2:$C$1801,MATCH(B2879,Pedidos!$A$2:$A$1801,0)),"")</f>
        <v/>
      </c>
      <c r="K2879" s="25">
        <f>IFERROR(INDEX(Pedidos!$D$2:$D$1801,MATCH(B2879,Pedidos!$A$2:$A$1801,0)),"")</f>
        <v/>
      </c>
      <c r="L2879" s="25">
        <f>IFERROR(INDEX(Pedidos!$F$2:$F$1801,MATCH(B2879,Pedidos!$A$2:$A$1801,0)),"")</f>
        <v/>
      </c>
      <c r="M2879" s="26">
        <f>IFERROR(INDEX(Pedidos!$G$2:$G$1801,MATCH(B2879,Pedidos!$A$2:$A$1801,0)),0)</f>
        <v/>
      </c>
      <c r="N2879" s="25">
        <f>IFERROR(INDEX(Produtos!$B$2:$B$71,MATCH(C2879,Produtos!$A$2:$A$71,0)),"")</f>
        <v/>
      </c>
      <c r="O2879" s="25">
        <f>IFERROR(INDEX(Produtos!$C$2:$C$71,MATCH(C2879,Produtos!$A$2:$A$71,0)),"")</f>
        <v/>
      </c>
      <c r="P2879" s="25">
        <f>IFERROR(INDEX(Produtos!$D$2:$D$71,MATCH(C2879,Produtos!$A$2:$A$71,0)),0)</f>
        <v/>
      </c>
      <c r="Q2879" s="25">
        <f>IFERROR(INDEX(Produtos!$E$2:$E$71,MATCH(C2879,Produtos!$A$2:$A$71,0)),0)</f>
        <v/>
      </c>
      <c r="R2879" s="27">
        <f>D2879*Q2879</f>
        <v/>
      </c>
      <c r="S2879" s="27">
        <f>R2879*E2879</f>
        <v/>
      </c>
      <c r="T2879" s="27">
        <f>(R2879-S2879)*M2879</f>
        <v/>
      </c>
      <c r="U2879" s="27">
        <f>R2879-S2879-T2879</f>
        <v/>
      </c>
      <c r="V2879" s="27">
        <f>D2879*P2879</f>
        <v/>
      </c>
      <c r="W2879" s="27">
        <f>U2879-V2879</f>
        <v/>
      </c>
      <c r="X2879" s="28">
        <f>IFERROR(W2879/U2879,0)</f>
        <v/>
      </c>
    </row>
    <row r="2880">
      <c r="A2880" s="21">
        <f>ItensPedido!A2880</f>
        <v/>
      </c>
      <c r="B2880" s="21">
        <f>ItensPedido!B2880</f>
        <v/>
      </c>
      <c r="C2880" s="21">
        <f>ItensPedido!C2880</f>
        <v/>
      </c>
      <c r="D2880" s="21">
        <f>ItensPedido!D2880</f>
        <v/>
      </c>
      <c r="E2880" s="22">
        <f>ItensPedido!E2880</f>
        <v/>
      </c>
      <c r="F2880" s="21">
        <f>IFERROR(INDEX(Pedidos!$B$2:$B$1801,MATCH(B2880,Pedidos!$A$2:$A$1801,0)),0)</f>
        <v/>
      </c>
      <c r="G2880" s="21">
        <f>IF(F2880=0,"",YEAR(F2880))</f>
        <v/>
      </c>
      <c r="H2880" s="21">
        <f>IF(F2880=0,"",MONTH(F2880))</f>
        <v/>
      </c>
      <c r="I2880" s="21">
        <f>IFERROR(INDEX(Pedidos!$E$2:$E$1801,MATCH(B2880,Pedidos!$A$2:$A$1801,0)),"")</f>
        <v/>
      </c>
      <c r="J2880" s="21">
        <f>IFERROR(INDEX(Pedidos!$C$2:$C$1801,MATCH(B2880,Pedidos!$A$2:$A$1801,0)),"")</f>
        <v/>
      </c>
      <c r="K2880" s="21">
        <f>IFERROR(INDEX(Pedidos!$D$2:$D$1801,MATCH(B2880,Pedidos!$A$2:$A$1801,0)),"")</f>
        <v/>
      </c>
      <c r="L2880" s="21">
        <f>IFERROR(INDEX(Pedidos!$F$2:$F$1801,MATCH(B2880,Pedidos!$A$2:$A$1801,0)),"")</f>
        <v/>
      </c>
      <c r="M2880" s="22">
        <f>IFERROR(INDEX(Pedidos!$G$2:$G$1801,MATCH(B2880,Pedidos!$A$2:$A$1801,0)),0)</f>
        <v/>
      </c>
      <c r="N2880" s="21">
        <f>IFERROR(INDEX(Produtos!$B$2:$B$71,MATCH(C2880,Produtos!$A$2:$A$71,0)),"")</f>
        <v/>
      </c>
      <c r="O2880" s="21">
        <f>IFERROR(INDEX(Produtos!$C$2:$C$71,MATCH(C2880,Produtos!$A$2:$A$71,0)),"")</f>
        <v/>
      </c>
      <c r="P2880" s="21">
        <f>IFERROR(INDEX(Produtos!$D$2:$D$71,MATCH(C2880,Produtos!$A$2:$A$71,0)),0)</f>
        <v/>
      </c>
      <c r="Q2880" s="21">
        <f>IFERROR(INDEX(Produtos!$E$2:$E$71,MATCH(C2880,Produtos!$A$2:$A$71,0)),0)</f>
        <v/>
      </c>
      <c r="R2880" s="23">
        <f>D2880*Q2880</f>
        <v/>
      </c>
      <c r="S2880" s="23">
        <f>R2880*E2880</f>
        <v/>
      </c>
      <c r="T2880" s="23">
        <f>(R2880-S2880)*M2880</f>
        <v/>
      </c>
      <c r="U2880" s="23">
        <f>R2880-S2880-T2880</f>
        <v/>
      </c>
      <c r="V2880" s="23">
        <f>D2880*P2880</f>
        <v/>
      </c>
      <c r="W2880" s="23">
        <f>U2880-V2880</f>
        <v/>
      </c>
      <c r="X2880" s="24">
        <f>IFERROR(W2880/U2880,0)</f>
        <v/>
      </c>
    </row>
    <row r="2881">
      <c r="A2881" s="25">
        <f>ItensPedido!A2881</f>
        <v/>
      </c>
      <c r="B2881" s="25">
        <f>ItensPedido!B2881</f>
        <v/>
      </c>
      <c r="C2881" s="25">
        <f>ItensPedido!C2881</f>
        <v/>
      </c>
      <c r="D2881" s="25">
        <f>ItensPedido!D2881</f>
        <v/>
      </c>
      <c r="E2881" s="26">
        <f>ItensPedido!E2881</f>
        <v/>
      </c>
      <c r="F2881" s="25">
        <f>IFERROR(INDEX(Pedidos!$B$2:$B$1801,MATCH(B2881,Pedidos!$A$2:$A$1801,0)),0)</f>
        <v/>
      </c>
      <c r="G2881" s="25">
        <f>IF(F2881=0,"",YEAR(F2881))</f>
        <v/>
      </c>
      <c r="H2881" s="25">
        <f>IF(F2881=0,"",MONTH(F2881))</f>
        <v/>
      </c>
      <c r="I2881" s="25">
        <f>IFERROR(INDEX(Pedidos!$E$2:$E$1801,MATCH(B2881,Pedidos!$A$2:$A$1801,0)),"")</f>
        <v/>
      </c>
      <c r="J2881" s="25">
        <f>IFERROR(INDEX(Pedidos!$C$2:$C$1801,MATCH(B2881,Pedidos!$A$2:$A$1801,0)),"")</f>
        <v/>
      </c>
      <c r="K2881" s="25">
        <f>IFERROR(INDEX(Pedidos!$D$2:$D$1801,MATCH(B2881,Pedidos!$A$2:$A$1801,0)),"")</f>
        <v/>
      </c>
      <c r="L2881" s="25">
        <f>IFERROR(INDEX(Pedidos!$F$2:$F$1801,MATCH(B2881,Pedidos!$A$2:$A$1801,0)),"")</f>
        <v/>
      </c>
      <c r="M2881" s="26">
        <f>IFERROR(INDEX(Pedidos!$G$2:$G$1801,MATCH(B2881,Pedidos!$A$2:$A$1801,0)),0)</f>
        <v/>
      </c>
      <c r="N2881" s="25">
        <f>IFERROR(INDEX(Produtos!$B$2:$B$71,MATCH(C2881,Produtos!$A$2:$A$71,0)),"")</f>
        <v/>
      </c>
      <c r="O2881" s="25">
        <f>IFERROR(INDEX(Produtos!$C$2:$C$71,MATCH(C2881,Produtos!$A$2:$A$71,0)),"")</f>
        <v/>
      </c>
      <c r="P2881" s="25">
        <f>IFERROR(INDEX(Produtos!$D$2:$D$71,MATCH(C2881,Produtos!$A$2:$A$71,0)),0)</f>
        <v/>
      </c>
      <c r="Q2881" s="25">
        <f>IFERROR(INDEX(Produtos!$E$2:$E$71,MATCH(C2881,Produtos!$A$2:$A$71,0)),0)</f>
        <v/>
      </c>
      <c r="R2881" s="27">
        <f>D2881*Q2881</f>
        <v/>
      </c>
      <c r="S2881" s="27">
        <f>R2881*E2881</f>
        <v/>
      </c>
      <c r="T2881" s="27">
        <f>(R2881-S2881)*M2881</f>
        <v/>
      </c>
      <c r="U2881" s="27">
        <f>R2881-S2881-T2881</f>
        <v/>
      </c>
      <c r="V2881" s="27">
        <f>D2881*P2881</f>
        <v/>
      </c>
      <c r="W2881" s="27">
        <f>U2881-V2881</f>
        <v/>
      </c>
      <c r="X2881" s="28">
        <f>IFERROR(W2881/U2881,0)</f>
        <v/>
      </c>
    </row>
    <row r="2882">
      <c r="A2882" s="21">
        <f>ItensPedido!A2882</f>
        <v/>
      </c>
      <c r="B2882" s="21">
        <f>ItensPedido!B2882</f>
        <v/>
      </c>
      <c r="C2882" s="21">
        <f>ItensPedido!C2882</f>
        <v/>
      </c>
      <c r="D2882" s="21">
        <f>ItensPedido!D2882</f>
        <v/>
      </c>
      <c r="E2882" s="22">
        <f>ItensPedido!E2882</f>
        <v/>
      </c>
      <c r="F2882" s="21">
        <f>IFERROR(INDEX(Pedidos!$B$2:$B$1801,MATCH(B2882,Pedidos!$A$2:$A$1801,0)),0)</f>
        <v/>
      </c>
      <c r="G2882" s="21">
        <f>IF(F2882=0,"",YEAR(F2882))</f>
        <v/>
      </c>
      <c r="H2882" s="21">
        <f>IF(F2882=0,"",MONTH(F2882))</f>
        <v/>
      </c>
      <c r="I2882" s="21">
        <f>IFERROR(INDEX(Pedidos!$E$2:$E$1801,MATCH(B2882,Pedidos!$A$2:$A$1801,0)),"")</f>
        <v/>
      </c>
      <c r="J2882" s="21">
        <f>IFERROR(INDEX(Pedidos!$C$2:$C$1801,MATCH(B2882,Pedidos!$A$2:$A$1801,0)),"")</f>
        <v/>
      </c>
      <c r="K2882" s="21">
        <f>IFERROR(INDEX(Pedidos!$D$2:$D$1801,MATCH(B2882,Pedidos!$A$2:$A$1801,0)),"")</f>
        <v/>
      </c>
      <c r="L2882" s="21">
        <f>IFERROR(INDEX(Pedidos!$F$2:$F$1801,MATCH(B2882,Pedidos!$A$2:$A$1801,0)),"")</f>
        <v/>
      </c>
      <c r="M2882" s="22">
        <f>IFERROR(INDEX(Pedidos!$G$2:$G$1801,MATCH(B2882,Pedidos!$A$2:$A$1801,0)),0)</f>
        <v/>
      </c>
      <c r="N2882" s="21">
        <f>IFERROR(INDEX(Produtos!$B$2:$B$71,MATCH(C2882,Produtos!$A$2:$A$71,0)),"")</f>
        <v/>
      </c>
      <c r="O2882" s="21">
        <f>IFERROR(INDEX(Produtos!$C$2:$C$71,MATCH(C2882,Produtos!$A$2:$A$71,0)),"")</f>
        <v/>
      </c>
      <c r="P2882" s="21">
        <f>IFERROR(INDEX(Produtos!$D$2:$D$71,MATCH(C2882,Produtos!$A$2:$A$71,0)),0)</f>
        <v/>
      </c>
      <c r="Q2882" s="21">
        <f>IFERROR(INDEX(Produtos!$E$2:$E$71,MATCH(C2882,Produtos!$A$2:$A$71,0)),0)</f>
        <v/>
      </c>
      <c r="R2882" s="23">
        <f>D2882*Q2882</f>
        <v/>
      </c>
      <c r="S2882" s="23">
        <f>R2882*E2882</f>
        <v/>
      </c>
      <c r="T2882" s="23">
        <f>(R2882-S2882)*M2882</f>
        <v/>
      </c>
      <c r="U2882" s="23">
        <f>R2882-S2882-T2882</f>
        <v/>
      </c>
      <c r="V2882" s="23">
        <f>D2882*P2882</f>
        <v/>
      </c>
      <c r="W2882" s="23">
        <f>U2882-V2882</f>
        <v/>
      </c>
      <c r="X2882" s="24">
        <f>IFERROR(W2882/U2882,0)</f>
        <v/>
      </c>
    </row>
    <row r="2883">
      <c r="A2883" s="25">
        <f>ItensPedido!A2883</f>
        <v/>
      </c>
      <c r="B2883" s="25">
        <f>ItensPedido!B2883</f>
        <v/>
      </c>
      <c r="C2883" s="25">
        <f>ItensPedido!C2883</f>
        <v/>
      </c>
      <c r="D2883" s="25">
        <f>ItensPedido!D2883</f>
        <v/>
      </c>
      <c r="E2883" s="26">
        <f>ItensPedido!E2883</f>
        <v/>
      </c>
      <c r="F2883" s="25">
        <f>IFERROR(INDEX(Pedidos!$B$2:$B$1801,MATCH(B2883,Pedidos!$A$2:$A$1801,0)),0)</f>
        <v/>
      </c>
      <c r="G2883" s="25">
        <f>IF(F2883=0,"",YEAR(F2883))</f>
        <v/>
      </c>
      <c r="H2883" s="25">
        <f>IF(F2883=0,"",MONTH(F2883))</f>
        <v/>
      </c>
      <c r="I2883" s="25">
        <f>IFERROR(INDEX(Pedidos!$E$2:$E$1801,MATCH(B2883,Pedidos!$A$2:$A$1801,0)),"")</f>
        <v/>
      </c>
      <c r="J2883" s="25">
        <f>IFERROR(INDEX(Pedidos!$C$2:$C$1801,MATCH(B2883,Pedidos!$A$2:$A$1801,0)),"")</f>
        <v/>
      </c>
      <c r="K2883" s="25">
        <f>IFERROR(INDEX(Pedidos!$D$2:$D$1801,MATCH(B2883,Pedidos!$A$2:$A$1801,0)),"")</f>
        <v/>
      </c>
      <c r="L2883" s="25">
        <f>IFERROR(INDEX(Pedidos!$F$2:$F$1801,MATCH(B2883,Pedidos!$A$2:$A$1801,0)),"")</f>
        <v/>
      </c>
      <c r="M2883" s="26">
        <f>IFERROR(INDEX(Pedidos!$G$2:$G$1801,MATCH(B2883,Pedidos!$A$2:$A$1801,0)),0)</f>
        <v/>
      </c>
      <c r="N2883" s="25">
        <f>IFERROR(INDEX(Produtos!$B$2:$B$71,MATCH(C2883,Produtos!$A$2:$A$71,0)),"")</f>
        <v/>
      </c>
      <c r="O2883" s="25">
        <f>IFERROR(INDEX(Produtos!$C$2:$C$71,MATCH(C2883,Produtos!$A$2:$A$71,0)),"")</f>
        <v/>
      </c>
      <c r="P2883" s="25">
        <f>IFERROR(INDEX(Produtos!$D$2:$D$71,MATCH(C2883,Produtos!$A$2:$A$71,0)),0)</f>
        <v/>
      </c>
      <c r="Q2883" s="25">
        <f>IFERROR(INDEX(Produtos!$E$2:$E$71,MATCH(C2883,Produtos!$A$2:$A$71,0)),0)</f>
        <v/>
      </c>
      <c r="R2883" s="27">
        <f>D2883*Q2883</f>
        <v/>
      </c>
      <c r="S2883" s="27">
        <f>R2883*E2883</f>
        <v/>
      </c>
      <c r="T2883" s="27">
        <f>(R2883-S2883)*M2883</f>
        <v/>
      </c>
      <c r="U2883" s="27">
        <f>R2883-S2883-T2883</f>
        <v/>
      </c>
      <c r="V2883" s="27">
        <f>D2883*P2883</f>
        <v/>
      </c>
      <c r="W2883" s="27">
        <f>U2883-V2883</f>
        <v/>
      </c>
      <c r="X2883" s="28">
        <f>IFERROR(W2883/U2883,0)</f>
        <v/>
      </c>
    </row>
    <row r="2884">
      <c r="A2884" s="21">
        <f>ItensPedido!A2884</f>
        <v/>
      </c>
      <c r="B2884" s="21">
        <f>ItensPedido!B2884</f>
        <v/>
      </c>
      <c r="C2884" s="21">
        <f>ItensPedido!C2884</f>
        <v/>
      </c>
      <c r="D2884" s="21">
        <f>ItensPedido!D2884</f>
        <v/>
      </c>
      <c r="E2884" s="22">
        <f>ItensPedido!E2884</f>
        <v/>
      </c>
      <c r="F2884" s="21">
        <f>IFERROR(INDEX(Pedidos!$B$2:$B$1801,MATCH(B2884,Pedidos!$A$2:$A$1801,0)),0)</f>
        <v/>
      </c>
      <c r="G2884" s="21">
        <f>IF(F2884=0,"",YEAR(F2884))</f>
        <v/>
      </c>
      <c r="H2884" s="21">
        <f>IF(F2884=0,"",MONTH(F2884))</f>
        <v/>
      </c>
      <c r="I2884" s="21">
        <f>IFERROR(INDEX(Pedidos!$E$2:$E$1801,MATCH(B2884,Pedidos!$A$2:$A$1801,0)),"")</f>
        <v/>
      </c>
      <c r="J2884" s="21">
        <f>IFERROR(INDEX(Pedidos!$C$2:$C$1801,MATCH(B2884,Pedidos!$A$2:$A$1801,0)),"")</f>
        <v/>
      </c>
      <c r="K2884" s="21">
        <f>IFERROR(INDEX(Pedidos!$D$2:$D$1801,MATCH(B2884,Pedidos!$A$2:$A$1801,0)),"")</f>
        <v/>
      </c>
      <c r="L2884" s="21">
        <f>IFERROR(INDEX(Pedidos!$F$2:$F$1801,MATCH(B2884,Pedidos!$A$2:$A$1801,0)),"")</f>
        <v/>
      </c>
      <c r="M2884" s="22">
        <f>IFERROR(INDEX(Pedidos!$G$2:$G$1801,MATCH(B2884,Pedidos!$A$2:$A$1801,0)),0)</f>
        <v/>
      </c>
      <c r="N2884" s="21">
        <f>IFERROR(INDEX(Produtos!$B$2:$B$71,MATCH(C2884,Produtos!$A$2:$A$71,0)),"")</f>
        <v/>
      </c>
      <c r="O2884" s="21">
        <f>IFERROR(INDEX(Produtos!$C$2:$C$71,MATCH(C2884,Produtos!$A$2:$A$71,0)),"")</f>
        <v/>
      </c>
      <c r="P2884" s="21">
        <f>IFERROR(INDEX(Produtos!$D$2:$D$71,MATCH(C2884,Produtos!$A$2:$A$71,0)),0)</f>
        <v/>
      </c>
      <c r="Q2884" s="21">
        <f>IFERROR(INDEX(Produtos!$E$2:$E$71,MATCH(C2884,Produtos!$A$2:$A$71,0)),0)</f>
        <v/>
      </c>
      <c r="R2884" s="23">
        <f>D2884*Q2884</f>
        <v/>
      </c>
      <c r="S2884" s="23">
        <f>R2884*E2884</f>
        <v/>
      </c>
      <c r="T2884" s="23">
        <f>(R2884-S2884)*M2884</f>
        <v/>
      </c>
      <c r="U2884" s="23">
        <f>R2884-S2884-T2884</f>
        <v/>
      </c>
      <c r="V2884" s="23">
        <f>D2884*P2884</f>
        <v/>
      </c>
      <c r="W2884" s="23">
        <f>U2884-V2884</f>
        <v/>
      </c>
      <c r="X2884" s="24">
        <f>IFERROR(W2884/U2884,0)</f>
        <v/>
      </c>
    </row>
    <row r="2885">
      <c r="A2885" s="25">
        <f>ItensPedido!A2885</f>
        <v/>
      </c>
      <c r="B2885" s="25">
        <f>ItensPedido!B2885</f>
        <v/>
      </c>
      <c r="C2885" s="25">
        <f>ItensPedido!C2885</f>
        <v/>
      </c>
      <c r="D2885" s="25">
        <f>ItensPedido!D2885</f>
        <v/>
      </c>
      <c r="E2885" s="26">
        <f>ItensPedido!E2885</f>
        <v/>
      </c>
      <c r="F2885" s="25">
        <f>IFERROR(INDEX(Pedidos!$B$2:$B$1801,MATCH(B2885,Pedidos!$A$2:$A$1801,0)),0)</f>
        <v/>
      </c>
      <c r="G2885" s="25">
        <f>IF(F2885=0,"",YEAR(F2885))</f>
        <v/>
      </c>
      <c r="H2885" s="25">
        <f>IF(F2885=0,"",MONTH(F2885))</f>
        <v/>
      </c>
      <c r="I2885" s="25">
        <f>IFERROR(INDEX(Pedidos!$E$2:$E$1801,MATCH(B2885,Pedidos!$A$2:$A$1801,0)),"")</f>
        <v/>
      </c>
      <c r="J2885" s="25">
        <f>IFERROR(INDEX(Pedidos!$C$2:$C$1801,MATCH(B2885,Pedidos!$A$2:$A$1801,0)),"")</f>
        <v/>
      </c>
      <c r="K2885" s="25">
        <f>IFERROR(INDEX(Pedidos!$D$2:$D$1801,MATCH(B2885,Pedidos!$A$2:$A$1801,0)),"")</f>
        <v/>
      </c>
      <c r="L2885" s="25">
        <f>IFERROR(INDEX(Pedidos!$F$2:$F$1801,MATCH(B2885,Pedidos!$A$2:$A$1801,0)),"")</f>
        <v/>
      </c>
      <c r="M2885" s="26">
        <f>IFERROR(INDEX(Pedidos!$G$2:$G$1801,MATCH(B2885,Pedidos!$A$2:$A$1801,0)),0)</f>
        <v/>
      </c>
      <c r="N2885" s="25">
        <f>IFERROR(INDEX(Produtos!$B$2:$B$71,MATCH(C2885,Produtos!$A$2:$A$71,0)),"")</f>
        <v/>
      </c>
      <c r="O2885" s="25">
        <f>IFERROR(INDEX(Produtos!$C$2:$C$71,MATCH(C2885,Produtos!$A$2:$A$71,0)),"")</f>
        <v/>
      </c>
      <c r="P2885" s="25">
        <f>IFERROR(INDEX(Produtos!$D$2:$D$71,MATCH(C2885,Produtos!$A$2:$A$71,0)),0)</f>
        <v/>
      </c>
      <c r="Q2885" s="25">
        <f>IFERROR(INDEX(Produtos!$E$2:$E$71,MATCH(C2885,Produtos!$A$2:$A$71,0)),0)</f>
        <v/>
      </c>
      <c r="R2885" s="27">
        <f>D2885*Q2885</f>
        <v/>
      </c>
      <c r="S2885" s="27">
        <f>R2885*E2885</f>
        <v/>
      </c>
      <c r="T2885" s="27">
        <f>(R2885-S2885)*M2885</f>
        <v/>
      </c>
      <c r="U2885" s="27">
        <f>R2885-S2885-T2885</f>
        <v/>
      </c>
      <c r="V2885" s="27">
        <f>D2885*P2885</f>
        <v/>
      </c>
      <c r="W2885" s="27">
        <f>U2885-V2885</f>
        <v/>
      </c>
      <c r="X2885" s="28">
        <f>IFERROR(W2885/U2885,0)</f>
        <v/>
      </c>
    </row>
    <row r="2886">
      <c r="A2886" s="21">
        <f>ItensPedido!A2886</f>
        <v/>
      </c>
      <c r="B2886" s="21">
        <f>ItensPedido!B2886</f>
        <v/>
      </c>
      <c r="C2886" s="21">
        <f>ItensPedido!C2886</f>
        <v/>
      </c>
      <c r="D2886" s="21">
        <f>ItensPedido!D2886</f>
        <v/>
      </c>
      <c r="E2886" s="22">
        <f>ItensPedido!E2886</f>
        <v/>
      </c>
      <c r="F2886" s="21">
        <f>IFERROR(INDEX(Pedidos!$B$2:$B$1801,MATCH(B2886,Pedidos!$A$2:$A$1801,0)),0)</f>
        <v/>
      </c>
      <c r="G2886" s="21">
        <f>IF(F2886=0,"",YEAR(F2886))</f>
        <v/>
      </c>
      <c r="H2886" s="21">
        <f>IF(F2886=0,"",MONTH(F2886))</f>
        <v/>
      </c>
      <c r="I2886" s="21">
        <f>IFERROR(INDEX(Pedidos!$E$2:$E$1801,MATCH(B2886,Pedidos!$A$2:$A$1801,0)),"")</f>
        <v/>
      </c>
      <c r="J2886" s="21">
        <f>IFERROR(INDEX(Pedidos!$C$2:$C$1801,MATCH(B2886,Pedidos!$A$2:$A$1801,0)),"")</f>
        <v/>
      </c>
      <c r="K2886" s="21">
        <f>IFERROR(INDEX(Pedidos!$D$2:$D$1801,MATCH(B2886,Pedidos!$A$2:$A$1801,0)),"")</f>
        <v/>
      </c>
      <c r="L2886" s="21">
        <f>IFERROR(INDEX(Pedidos!$F$2:$F$1801,MATCH(B2886,Pedidos!$A$2:$A$1801,0)),"")</f>
        <v/>
      </c>
      <c r="M2886" s="22">
        <f>IFERROR(INDEX(Pedidos!$G$2:$G$1801,MATCH(B2886,Pedidos!$A$2:$A$1801,0)),0)</f>
        <v/>
      </c>
      <c r="N2886" s="21">
        <f>IFERROR(INDEX(Produtos!$B$2:$B$71,MATCH(C2886,Produtos!$A$2:$A$71,0)),"")</f>
        <v/>
      </c>
      <c r="O2886" s="21">
        <f>IFERROR(INDEX(Produtos!$C$2:$C$71,MATCH(C2886,Produtos!$A$2:$A$71,0)),"")</f>
        <v/>
      </c>
      <c r="P2886" s="21">
        <f>IFERROR(INDEX(Produtos!$D$2:$D$71,MATCH(C2886,Produtos!$A$2:$A$71,0)),0)</f>
        <v/>
      </c>
      <c r="Q2886" s="21">
        <f>IFERROR(INDEX(Produtos!$E$2:$E$71,MATCH(C2886,Produtos!$A$2:$A$71,0)),0)</f>
        <v/>
      </c>
      <c r="R2886" s="23">
        <f>D2886*Q2886</f>
        <v/>
      </c>
      <c r="S2886" s="23">
        <f>R2886*E2886</f>
        <v/>
      </c>
      <c r="T2886" s="23">
        <f>(R2886-S2886)*M2886</f>
        <v/>
      </c>
      <c r="U2886" s="23">
        <f>R2886-S2886-T2886</f>
        <v/>
      </c>
      <c r="V2886" s="23">
        <f>D2886*P2886</f>
        <v/>
      </c>
      <c r="W2886" s="23">
        <f>U2886-V2886</f>
        <v/>
      </c>
      <c r="X2886" s="24">
        <f>IFERROR(W2886/U2886,0)</f>
        <v/>
      </c>
    </row>
    <row r="2887">
      <c r="A2887" s="25">
        <f>ItensPedido!A2887</f>
        <v/>
      </c>
      <c r="B2887" s="25">
        <f>ItensPedido!B2887</f>
        <v/>
      </c>
      <c r="C2887" s="25">
        <f>ItensPedido!C2887</f>
        <v/>
      </c>
      <c r="D2887" s="25">
        <f>ItensPedido!D2887</f>
        <v/>
      </c>
      <c r="E2887" s="26">
        <f>ItensPedido!E2887</f>
        <v/>
      </c>
      <c r="F2887" s="25">
        <f>IFERROR(INDEX(Pedidos!$B$2:$B$1801,MATCH(B2887,Pedidos!$A$2:$A$1801,0)),0)</f>
        <v/>
      </c>
      <c r="G2887" s="25">
        <f>IF(F2887=0,"",YEAR(F2887))</f>
        <v/>
      </c>
      <c r="H2887" s="25">
        <f>IF(F2887=0,"",MONTH(F2887))</f>
        <v/>
      </c>
      <c r="I2887" s="25">
        <f>IFERROR(INDEX(Pedidos!$E$2:$E$1801,MATCH(B2887,Pedidos!$A$2:$A$1801,0)),"")</f>
        <v/>
      </c>
      <c r="J2887" s="25">
        <f>IFERROR(INDEX(Pedidos!$C$2:$C$1801,MATCH(B2887,Pedidos!$A$2:$A$1801,0)),"")</f>
        <v/>
      </c>
      <c r="K2887" s="25">
        <f>IFERROR(INDEX(Pedidos!$D$2:$D$1801,MATCH(B2887,Pedidos!$A$2:$A$1801,0)),"")</f>
        <v/>
      </c>
      <c r="L2887" s="25">
        <f>IFERROR(INDEX(Pedidos!$F$2:$F$1801,MATCH(B2887,Pedidos!$A$2:$A$1801,0)),"")</f>
        <v/>
      </c>
      <c r="M2887" s="26">
        <f>IFERROR(INDEX(Pedidos!$G$2:$G$1801,MATCH(B2887,Pedidos!$A$2:$A$1801,0)),0)</f>
        <v/>
      </c>
      <c r="N2887" s="25">
        <f>IFERROR(INDEX(Produtos!$B$2:$B$71,MATCH(C2887,Produtos!$A$2:$A$71,0)),"")</f>
        <v/>
      </c>
      <c r="O2887" s="25">
        <f>IFERROR(INDEX(Produtos!$C$2:$C$71,MATCH(C2887,Produtos!$A$2:$A$71,0)),"")</f>
        <v/>
      </c>
      <c r="P2887" s="25">
        <f>IFERROR(INDEX(Produtos!$D$2:$D$71,MATCH(C2887,Produtos!$A$2:$A$71,0)),0)</f>
        <v/>
      </c>
      <c r="Q2887" s="25">
        <f>IFERROR(INDEX(Produtos!$E$2:$E$71,MATCH(C2887,Produtos!$A$2:$A$71,0)),0)</f>
        <v/>
      </c>
      <c r="R2887" s="27">
        <f>D2887*Q2887</f>
        <v/>
      </c>
      <c r="S2887" s="27">
        <f>R2887*E2887</f>
        <v/>
      </c>
      <c r="T2887" s="27">
        <f>(R2887-S2887)*M2887</f>
        <v/>
      </c>
      <c r="U2887" s="27">
        <f>R2887-S2887-T2887</f>
        <v/>
      </c>
      <c r="V2887" s="27">
        <f>D2887*P2887</f>
        <v/>
      </c>
      <c r="W2887" s="27">
        <f>U2887-V2887</f>
        <v/>
      </c>
      <c r="X2887" s="28">
        <f>IFERROR(W2887/U2887,0)</f>
        <v/>
      </c>
    </row>
    <row r="2888">
      <c r="A2888" s="21">
        <f>ItensPedido!A2888</f>
        <v/>
      </c>
      <c r="B2888" s="21">
        <f>ItensPedido!B2888</f>
        <v/>
      </c>
      <c r="C2888" s="21">
        <f>ItensPedido!C2888</f>
        <v/>
      </c>
      <c r="D2888" s="21">
        <f>ItensPedido!D2888</f>
        <v/>
      </c>
      <c r="E2888" s="22">
        <f>ItensPedido!E2888</f>
        <v/>
      </c>
      <c r="F2888" s="21">
        <f>IFERROR(INDEX(Pedidos!$B$2:$B$1801,MATCH(B2888,Pedidos!$A$2:$A$1801,0)),0)</f>
        <v/>
      </c>
      <c r="G2888" s="21">
        <f>IF(F2888=0,"",YEAR(F2888))</f>
        <v/>
      </c>
      <c r="H2888" s="21">
        <f>IF(F2888=0,"",MONTH(F2888))</f>
        <v/>
      </c>
      <c r="I2888" s="21">
        <f>IFERROR(INDEX(Pedidos!$E$2:$E$1801,MATCH(B2888,Pedidos!$A$2:$A$1801,0)),"")</f>
        <v/>
      </c>
      <c r="J2888" s="21">
        <f>IFERROR(INDEX(Pedidos!$C$2:$C$1801,MATCH(B2888,Pedidos!$A$2:$A$1801,0)),"")</f>
        <v/>
      </c>
      <c r="K2888" s="21">
        <f>IFERROR(INDEX(Pedidos!$D$2:$D$1801,MATCH(B2888,Pedidos!$A$2:$A$1801,0)),"")</f>
        <v/>
      </c>
      <c r="L2888" s="21">
        <f>IFERROR(INDEX(Pedidos!$F$2:$F$1801,MATCH(B2888,Pedidos!$A$2:$A$1801,0)),"")</f>
        <v/>
      </c>
      <c r="M2888" s="22">
        <f>IFERROR(INDEX(Pedidos!$G$2:$G$1801,MATCH(B2888,Pedidos!$A$2:$A$1801,0)),0)</f>
        <v/>
      </c>
      <c r="N2888" s="21">
        <f>IFERROR(INDEX(Produtos!$B$2:$B$71,MATCH(C2888,Produtos!$A$2:$A$71,0)),"")</f>
        <v/>
      </c>
      <c r="O2888" s="21">
        <f>IFERROR(INDEX(Produtos!$C$2:$C$71,MATCH(C2888,Produtos!$A$2:$A$71,0)),"")</f>
        <v/>
      </c>
      <c r="P2888" s="21">
        <f>IFERROR(INDEX(Produtos!$D$2:$D$71,MATCH(C2888,Produtos!$A$2:$A$71,0)),0)</f>
        <v/>
      </c>
      <c r="Q2888" s="21">
        <f>IFERROR(INDEX(Produtos!$E$2:$E$71,MATCH(C2888,Produtos!$A$2:$A$71,0)),0)</f>
        <v/>
      </c>
      <c r="R2888" s="23">
        <f>D2888*Q2888</f>
        <v/>
      </c>
      <c r="S2888" s="23">
        <f>R2888*E2888</f>
        <v/>
      </c>
      <c r="T2888" s="23">
        <f>(R2888-S2888)*M2888</f>
        <v/>
      </c>
      <c r="U2888" s="23">
        <f>R2888-S2888-T2888</f>
        <v/>
      </c>
      <c r="V2888" s="23">
        <f>D2888*P2888</f>
        <v/>
      </c>
      <c r="W2888" s="23">
        <f>U2888-V2888</f>
        <v/>
      </c>
      <c r="X2888" s="24">
        <f>IFERROR(W2888/U2888,0)</f>
        <v/>
      </c>
    </row>
    <row r="2889">
      <c r="A2889" s="25">
        <f>ItensPedido!A2889</f>
        <v/>
      </c>
      <c r="B2889" s="25">
        <f>ItensPedido!B2889</f>
        <v/>
      </c>
      <c r="C2889" s="25">
        <f>ItensPedido!C2889</f>
        <v/>
      </c>
      <c r="D2889" s="25">
        <f>ItensPedido!D2889</f>
        <v/>
      </c>
      <c r="E2889" s="26">
        <f>ItensPedido!E2889</f>
        <v/>
      </c>
      <c r="F2889" s="25">
        <f>IFERROR(INDEX(Pedidos!$B$2:$B$1801,MATCH(B2889,Pedidos!$A$2:$A$1801,0)),0)</f>
        <v/>
      </c>
      <c r="G2889" s="25">
        <f>IF(F2889=0,"",YEAR(F2889))</f>
        <v/>
      </c>
      <c r="H2889" s="25">
        <f>IF(F2889=0,"",MONTH(F2889))</f>
        <v/>
      </c>
      <c r="I2889" s="25">
        <f>IFERROR(INDEX(Pedidos!$E$2:$E$1801,MATCH(B2889,Pedidos!$A$2:$A$1801,0)),"")</f>
        <v/>
      </c>
      <c r="J2889" s="25">
        <f>IFERROR(INDEX(Pedidos!$C$2:$C$1801,MATCH(B2889,Pedidos!$A$2:$A$1801,0)),"")</f>
        <v/>
      </c>
      <c r="K2889" s="25">
        <f>IFERROR(INDEX(Pedidos!$D$2:$D$1801,MATCH(B2889,Pedidos!$A$2:$A$1801,0)),"")</f>
        <v/>
      </c>
      <c r="L2889" s="25">
        <f>IFERROR(INDEX(Pedidos!$F$2:$F$1801,MATCH(B2889,Pedidos!$A$2:$A$1801,0)),"")</f>
        <v/>
      </c>
      <c r="M2889" s="26">
        <f>IFERROR(INDEX(Pedidos!$G$2:$G$1801,MATCH(B2889,Pedidos!$A$2:$A$1801,0)),0)</f>
        <v/>
      </c>
      <c r="N2889" s="25">
        <f>IFERROR(INDEX(Produtos!$B$2:$B$71,MATCH(C2889,Produtos!$A$2:$A$71,0)),"")</f>
        <v/>
      </c>
      <c r="O2889" s="25">
        <f>IFERROR(INDEX(Produtos!$C$2:$C$71,MATCH(C2889,Produtos!$A$2:$A$71,0)),"")</f>
        <v/>
      </c>
      <c r="P2889" s="25">
        <f>IFERROR(INDEX(Produtos!$D$2:$D$71,MATCH(C2889,Produtos!$A$2:$A$71,0)),0)</f>
        <v/>
      </c>
      <c r="Q2889" s="25">
        <f>IFERROR(INDEX(Produtos!$E$2:$E$71,MATCH(C2889,Produtos!$A$2:$A$71,0)),0)</f>
        <v/>
      </c>
      <c r="R2889" s="27">
        <f>D2889*Q2889</f>
        <v/>
      </c>
      <c r="S2889" s="27">
        <f>R2889*E2889</f>
        <v/>
      </c>
      <c r="T2889" s="27">
        <f>(R2889-S2889)*M2889</f>
        <v/>
      </c>
      <c r="U2889" s="27">
        <f>R2889-S2889-T2889</f>
        <v/>
      </c>
      <c r="V2889" s="27">
        <f>D2889*P2889</f>
        <v/>
      </c>
      <c r="W2889" s="27">
        <f>U2889-V2889</f>
        <v/>
      </c>
      <c r="X2889" s="28">
        <f>IFERROR(W2889/U2889,0)</f>
        <v/>
      </c>
    </row>
    <row r="2890">
      <c r="A2890" s="21">
        <f>ItensPedido!A2890</f>
        <v/>
      </c>
      <c r="B2890" s="21">
        <f>ItensPedido!B2890</f>
        <v/>
      </c>
      <c r="C2890" s="21">
        <f>ItensPedido!C2890</f>
        <v/>
      </c>
      <c r="D2890" s="21">
        <f>ItensPedido!D2890</f>
        <v/>
      </c>
      <c r="E2890" s="22">
        <f>ItensPedido!E2890</f>
        <v/>
      </c>
      <c r="F2890" s="21">
        <f>IFERROR(INDEX(Pedidos!$B$2:$B$1801,MATCH(B2890,Pedidos!$A$2:$A$1801,0)),0)</f>
        <v/>
      </c>
      <c r="G2890" s="21">
        <f>IF(F2890=0,"",YEAR(F2890))</f>
        <v/>
      </c>
      <c r="H2890" s="21">
        <f>IF(F2890=0,"",MONTH(F2890))</f>
        <v/>
      </c>
      <c r="I2890" s="21">
        <f>IFERROR(INDEX(Pedidos!$E$2:$E$1801,MATCH(B2890,Pedidos!$A$2:$A$1801,0)),"")</f>
        <v/>
      </c>
      <c r="J2890" s="21">
        <f>IFERROR(INDEX(Pedidos!$C$2:$C$1801,MATCH(B2890,Pedidos!$A$2:$A$1801,0)),"")</f>
        <v/>
      </c>
      <c r="K2890" s="21">
        <f>IFERROR(INDEX(Pedidos!$D$2:$D$1801,MATCH(B2890,Pedidos!$A$2:$A$1801,0)),"")</f>
        <v/>
      </c>
      <c r="L2890" s="21">
        <f>IFERROR(INDEX(Pedidos!$F$2:$F$1801,MATCH(B2890,Pedidos!$A$2:$A$1801,0)),"")</f>
        <v/>
      </c>
      <c r="M2890" s="22">
        <f>IFERROR(INDEX(Pedidos!$G$2:$G$1801,MATCH(B2890,Pedidos!$A$2:$A$1801,0)),0)</f>
        <v/>
      </c>
      <c r="N2890" s="21">
        <f>IFERROR(INDEX(Produtos!$B$2:$B$71,MATCH(C2890,Produtos!$A$2:$A$71,0)),"")</f>
        <v/>
      </c>
      <c r="O2890" s="21">
        <f>IFERROR(INDEX(Produtos!$C$2:$C$71,MATCH(C2890,Produtos!$A$2:$A$71,0)),"")</f>
        <v/>
      </c>
      <c r="P2890" s="21">
        <f>IFERROR(INDEX(Produtos!$D$2:$D$71,MATCH(C2890,Produtos!$A$2:$A$71,0)),0)</f>
        <v/>
      </c>
      <c r="Q2890" s="21">
        <f>IFERROR(INDEX(Produtos!$E$2:$E$71,MATCH(C2890,Produtos!$A$2:$A$71,0)),0)</f>
        <v/>
      </c>
      <c r="R2890" s="23">
        <f>D2890*Q2890</f>
        <v/>
      </c>
      <c r="S2890" s="23">
        <f>R2890*E2890</f>
        <v/>
      </c>
      <c r="T2890" s="23">
        <f>(R2890-S2890)*M2890</f>
        <v/>
      </c>
      <c r="U2890" s="23">
        <f>R2890-S2890-T2890</f>
        <v/>
      </c>
      <c r="V2890" s="23">
        <f>D2890*P2890</f>
        <v/>
      </c>
      <c r="W2890" s="23">
        <f>U2890-V2890</f>
        <v/>
      </c>
      <c r="X2890" s="24">
        <f>IFERROR(W2890/U2890,0)</f>
        <v/>
      </c>
    </row>
    <row r="2891">
      <c r="A2891" s="25">
        <f>ItensPedido!A2891</f>
        <v/>
      </c>
      <c r="B2891" s="25">
        <f>ItensPedido!B2891</f>
        <v/>
      </c>
      <c r="C2891" s="25">
        <f>ItensPedido!C2891</f>
        <v/>
      </c>
      <c r="D2891" s="25">
        <f>ItensPedido!D2891</f>
        <v/>
      </c>
      <c r="E2891" s="26">
        <f>ItensPedido!E2891</f>
        <v/>
      </c>
      <c r="F2891" s="25">
        <f>IFERROR(INDEX(Pedidos!$B$2:$B$1801,MATCH(B2891,Pedidos!$A$2:$A$1801,0)),0)</f>
        <v/>
      </c>
      <c r="G2891" s="25">
        <f>IF(F2891=0,"",YEAR(F2891))</f>
        <v/>
      </c>
      <c r="H2891" s="25">
        <f>IF(F2891=0,"",MONTH(F2891))</f>
        <v/>
      </c>
      <c r="I2891" s="25">
        <f>IFERROR(INDEX(Pedidos!$E$2:$E$1801,MATCH(B2891,Pedidos!$A$2:$A$1801,0)),"")</f>
        <v/>
      </c>
      <c r="J2891" s="25">
        <f>IFERROR(INDEX(Pedidos!$C$2:$C$1801,MATCH(B2891,Pedidos!$A$2:$A$1801,0)),"")</f>
        <v/>
      </c>
      <c r="K2891" s="25">
        <f>IFERROR(INDEX(Pedidos!$D$2:$D$1801,MATCH(B2891,Pedidos!$A$2:$A$1801,0)),"")</f>
        <v/>
      </c>
      <c r="L2891" s="25">
        <f>IFERROR(INDEX(Pedidos!$F$2:$F$1801,MATCH(B2891,Pedidos!$A$2:$A$1801,0)),"")</f>
        <v/>
      </c>
      <c r="M2891" s="26">
        <f>IFERROR(INDEX(Pedidos!$G$2:$G$1801,MATCH(B2891,Pedidos!$A$2:$A$1801,0)),0)</f>
        <v/>
      </c>
      <c r="N2891" s="25">
        <f>IFERROR(INDEX(Produtos!$B$2:$B$71,MATCH(C2891,Produtos!$A$2:$A$71,0)),"")</f>
        <v/>
      </c>
      <c r="O2891" s="25">
        <f>IFERROR(INDEX(Produtos!$C$2:$C$71,MATCH(C2891,Produtos!$A$2:$A$71,0)),"")</f>
        <v/>
      </c>
      <c r="P2891" s="25">
        <f>IFERROR(INDEX(Produtos!$D$2:$D$71,MATCH(C2891,Produtos!$A$2:$A$71,0)),0)</f>
        <v/>
      </c>
      <c r="Q2891" s="25">
        <f>IFERROR(INDEX(Produtos!$E$2:$E$71,MATCH(C2891,Produtos!$A$2:$A$71,0)),0)</f>
        <v/>
      </c>
      <c r="R2891" s="27">
        <f>D2891*Q2891</f>
        <v/>
      </c>
      <c r="S2891" s="27">
        <f>R2891*E2891</f>
        <v/>
      </c>
      <c r="T2891" s="27">
        <f>(R2891-S2891)*M2891</f>
        <v/>
      </c>
      <c r="U2891" s="27">
        <f>R2891-S2891-T2891</f>
        <v/>
      </c>
      <c r="V2891" s="27">
        <f>D2891*P2891</f>
        <v/>
      </c>
      <c r="W2891" s="27">
        <f>U2891-V2891</f>
        <v/>
      </c>
      <c r="X2891" s="28">
        <f>IFERROR(W2891/U2891,0)</f>
        <v/>
      </c>
    </row>
    <row r="2892">
      <c r="A2892" s="21">
        <f>ItensPedido!A2892</f>
        <v/>
      </c>
      <c r="B2892" s="21">
        <f>ItensPedido!B2892</f>
        <v/>
      </c>
      <c r="C2892" s="21">
        <f>ItensPedido!C2892</f>
        <v/>
      </c>
      <c r="D2892" s="21">
        <f>ItensPedido!D2892</f>
        <v/>
      </c>
      <c r="E2892" s="22">
        <f>ItensPedido!E2892</f>
        <v/>
      </c>
      <c r="F2892" s="21">
        <f>IFERROR(INDEX(Pedidos!$B$2:$B$1801,MATCH(B2892,Pedidos!$A$2:$A$1801,0)),0)</f>
        <v/>
      </c>
      <c r="G2892" s="21">
        <f>IF(F2892=0,"",YEAR(F2892))</f>
        <v/>
      </c>
      <c r="H2892" s="21">
        <f>IF(F2892=0,"",MONTH(F2892))</f>
        <v/>
      </c>
      <c r="I2892" s="21">
        <f>IFERROR(INDEX(Pedidos!$E$2:$E$1801,MATCH(B2892,Pedidos!$A$2:$A$1801,0)),"")</f>
        <v/>
      </c>
      <c r="J2892" s="21">
        <f>IFERROR(INDEX(Pedidos!$C$2:$C$1801,MATCH(B2892,Pedidos!$A$2:$A$1801,0)),"")</f>
        <v/>
      </c>
      <c r="K2892" s="21">
        <f>IFERROR(INDEX(Pedidos!$D$2:$D$1801,MATCH(B2892,Pedidos!$A$2:$A$1801,0)),"")</f>
        <v/>
      </c>
      <c r="L2892" s="21">
        <f>IFERROR(INDEX(Pedidos!$F$2:$F$1801,MATCH(B2892,Pedidos!$A$2:$A$1801,0)),"")</f>
        <v/>
      </c>
      <c r="M2892" s="22">
        <f>IFERROR(INDEX(Pedidos!$G$2:$G$1801,MATCH(B2892,Pedidos!$A$2:$A$1801,0)),0)</f>
        <v/>
      </c>
      <c r="N2892" s="21">
        <f>IFERROR(INDEX(Produtos!$B$2:$B$71,MATCH(C2892,Produtos!$A$2:$A$71,0)),"")</f>
        <v/>
      </c>
      <c r="O2892" s="21">
        <f>IFERROR(INDEX(Produtos!$C$2:$C$71,MATCH(C2892,Produtos!$A$2:$A$71,0)),"")</f>
        <v/>
      </c>
      <c r="P2892" s="21">
        <f>IFERROR(INDEX(Produtos!$D$2:$D$71,MATCH(C2892,Produtos!$A$2:$A$71,0)),0)</f>
        <v/>
      </c>
      <c r="Q2892" s="21">
        <f>IFERROR(INDEX(Produtos!$E$2:$E$71,MATCH(C2892,Produtos!$A$2:$A$71,0)),0)</f>
        <v/>
      </c>
      <c r="R2892" s="23">
        <f>D2892*Q2892</f>
        <v/>
      </c>
      <c r="S2892" s="23">
        <f>R2892*E2892</f>
        <v/>
      </c>
      <c r="T2892" s="23">
        <f>(R2892-S2892)*M2892</f>
        <v/>
      </c>
      <c r="U2892" s="23">
        <f>R2892-S2892-T2892</f>
        <v/>
      </c>
      <c r="V2892" s="23">
        <f>D2892*P2892</f>
        <v/>
      </c>
      <c r="W2892" s="23">
        <f>U2892-V2892</f>
        <v/>
      </c>
      <c r="X2892" s="24">
        <f>IFERROR(W2892/U2892,0)</f>
        <v/>
      </c>
    </row>
    <row r="2893">
      <c r="A2893" s="25">
        <f>ItensPedido!A2893</f>
        <v/>
      </c>
      <c r="B2893" s="25">
        <f>ItensPedido!B2893</f>
        <v/>
      </c>
      <c r="C2893" s="25">
        <f>ItensPedido!C2893</f>
        <v/>
      </c>
      <c r="D2893" s="25">
        <f>ItensPedido!D2893</f>
        <v/>
      </c>
      <c r="E2893" s="26">
        <f>ItensPedido!E2893</f>
        <v/>
      </c>
      <c r="F2893" s="25">
        <f>IFERROR(INDEX(Pedidos!$B$2:$B$1801,MATCH(B2893,Pedidos!$A$2:$A$1801,0)),0)</f>
        <v/>
      </c>
      <c r="G2893" s="25">
        <f>IF(F2893=0,"",YEAR(F2893))</f>
        <v/>
      </c>
      <c r="H2893" s="25">
        <f>IF(F2893=0,"",MONTH(F2893))</f>
        <v/>
      </c>
      <c r="I2893" s="25">
        <f>IFERROR(INDEX(Pedidos!$E$2:$E$1801,MATCH(B2893,Pedidos!$A$2:$A$1801,0)),"")</f>
        <v/>
      </c>
      <c r="J2893" s="25">
        <f>IFERROR(INDEX(Pedidos!$C$2:$C$1801,MATCH(B2893,Pedidos!$A$2:$A$1801,0)),"")</f>
        <v/>
      </c>
      <c r="K2893" s="25">
        <f>IFERROR(INDEX(Pedidos!$D$2:$D$1801,MATCH(B2893,Pedidos!$A$2:$A$1801,0)),"")</f>
        <v/>
      </c>
      <c r="L2893" s="25">
        <f>IFERROR(INDEX(Pedidos!$F$2:$F$1801,MATCH(B2893,Pedidos!$A$2:$A$1801,0)),"")</f>
        <v/>
      </c>
      <c r="M2893" s="26">
        <f>IFERROR(INDEX(Pedidos!$G$2:$G$1801,MATCH(B2893,Pedidos!$A$2:$A$1801,0)),0)</f>
        <v/>
      </c>
      <c r="N2893" s="25">
        <f>IFERROR(INDEX(Produtos!$B$2:$B$71,MATCH(C2893,Produtos!$A$2:$A$71,0)),"")</f>
        <v/>
      </c>
      <c r="O2893" s="25">
        <f>IFERROR(INDEX(Produtos!$C$2:$C$71,MATCH(C2893,Produtos!$A$2:$A$71,0)),"")</f>
        <v/>
      </c>
      <c r="P2893" s="25">
        <f>IFERROR(INDEX(Produtos!$D$2:$D$71,MATCH(C2893,Produtos!$A$2:$A$71,0)),0)</f>
        <v/>
      </c>
      <c r="Q2893" s="25">
        <f>IFERROR(INDEX(Produtos!$E$2:$E$71,MATCH(C2893,Produtos!$A$2:$A$71,0)),0)</f>
        <v/>
      </c>
      <c r="R2893" s="27">
        <f>D2893*Q2893</f>
        <v/>
      </c>
      <c r="S2893" s="27">
        <f>R2893*E2893</f>
        <v/>
      </c>
      <c r="T2893" s="27">
        <f>(R2893-S2893)*M2893</f>
        <v/>
      </c>
      <c r="U2893" s="27">
        <f>R2893-S2893-T2893</f>
        <v/>
      </c>
      <c r="V2893" s="27">
        <f>D2893*P2893</f>
        <v/>
      </c>
      <c r="W2893" s="27">
        <f>U2893-V2893</f>
        <v/>
      </c>
      <c r="X2893" s="28">
        <f>IFERROR(W2893/U2893,0)</f>
        <v/>
      </c>
    </row>
    <row r="2894">
      <c r="A2894" s="21">
        <f>ItensPedido!A2894</f>
        <v/>
      </c>
      <c r="B2894" s="21">
        <f>ItensPedido!B2894</f>
        <v/>
      </c>
      <c r="C2894" s="21">
        <f>ItensPedido!C2894</f>
        <v/>
      </c>
      <c r="D2894" s="21">
        <f>ItensPedido!D2894</f>
        <v/>
      </c>
      <c r="E2894" s="22">
        <f>ItensPedido!E2894</f>
        <v/>
      </c>
      <c r="F2894" s="21">
        <f>IFERROR(INDEX(Pedidos!$B$2:$B$1801,MATCH(B2894,Pedidos!$A$2:$A$1801,0)),0)</f>
        <v/>
      </c>
      <c r="G2894" s="21">
        <f>IF(F2894=0,"",YEAR(F2894))</f>
        <v/>
      </c>
      <c r="H2894" s="21">
        <f>IF(F2894=0,"",MONTH(F2894))</f>
        <v/>
      </c>
      <c r="I2894" s="21">
        <f>IFERROR(INDEX(Pedidos!$E$2:$E$1801,MATCH(B2894,Pedidos!$A$2:$A$1801,0)),"")</f>
        <v/>
      </c>
      <c r="J2894" s="21">
        <f>IFERROR(INDEX(Pedidos!$C$2:$C$1801,MATCH(B2894,Pedidos!$A$2:$A$1801,0)),"")</f>
        <v/>
      </c>
      <c r="K2894" s="21">
        <f>IFERROR(INDEX(Pedidos!$D$2:$D$1801,MATCH(B2894,Pedidos!$A$2:$A$1801,0)),"")</f>
        <v/>
      </c>
      <c r="L2894" s="21">
        <f>IFERROR(INDEX(Pedidos!$F$2:$F$1801,MATCH(B2894,Pedidos!$A$2:$A$1801,0)),"")</f>
        <v/>
      </c>
      <c r="M2894" s="22">
        <f>IFERROR(INDEX(Pedidos!$G$2:$G$1801,MATCH(B2894,Pedidos!$A$2:$A$1801,0)),0)</f>
        <v/>
      </c>
      <c r="N2894" s="21">
        <f>IFERROR(INDEX(Produtos!$B$2:$B$71,MATCH(C2894,Produtos!$A$2:$A$71,0)),"")</f>
        <v/>
      </c>
      <c r="O2894" s="21">
        <f>IFERROR(INDEX(Produtos!$C$2:$C$71,MATCH(C2894,Produtos!$A$2:$A$71,0)),"")</f>
        <v/>
      </c>
      <c r="P2894" s="21">
        <f>IFERROR(INDEX(Produtos!$D$2:$D$71,MATCH(C2894,Produtos!$A$2:$A$71,0)),0)</f>
        <v/>
      </c>
      <c r="Q2894" s="21">
        <f>IFERROR(INDEX(Produtos!$E$2:$E$71,MATCH(C2894,Produtos!$A$2:$A$71,0)),0)</f>
        <v/>
      </c>
      <c r="R2894" s="23">
        <f>D2894*Q2894</f>
        <v/>
      </c>
      <c r="S2894" s="23">
        <f>R2894*E2894</f>
        <v/>
      </c>
      <c r="T2894" s="23">
        <f>(R2894-S2894)*M2894</f>
        <v/>
      </c>
      <c r="U2894" s="23">
        <f>R2894-S2894-T2894</f>
        <v/>
      </c>
      <c r="V2894" s="23">
        <f>D2894*P2894</f>
        <v/>
      </c>
      <c r="W2894" s="23">
        <f>U2894-V2894</f>
        <v/>
      </c>
      <c r="X2894" s="24">
        <f>IFERROR(W2894/U2894,0)</f>
        <v/>
      </c>
    </row>
    <row r="2895">
      <c r="A2895" s="25">
        <f>ItensPedido!A2895</f>
        <v/>
      </c>
      <c r="B2895" s="25">
        <f>ItensPedido!B2895</f>
        <v/>
      </c>
      <c r="C2895" s="25">
        <f>ItensPedido!C2895</f>
        <v/>
      </c>
      <c r="D2895" s="25">
        <f>ItensPedido!D2895</f>
        <v/>
      </c>
      <c r="E2895" s="26">
        <f>ItensPedido!E2895</f>
        <v/>
      </c>
      <c r="F2895" s="25">
        <f>IFERROR(INDEX(Pedidos!$B$2:$B$1801,MATCH(B2895,Pedidos!$A$2:$A$1801,0)),0)</f>
        <v/>
      </c>
      <c r="G2895" s="25">
        <f>IF(F2895=0,"",YEAR(F2895))</f>
        <v/>
      </c>
      <c r="H2895" s="25">
        <f>IF(F2895=0,"",MONTH(F2895))</f>
        <v/>
      </c>
      <c r="I2895" s="25">
        <f>IFERROR(INDEX(Pedidos!$E$2:$E$1801,MATCH(B2895,Pedidos!$A$2:$A$1801,0)),"")</f>
        <v/>
      </c>
      <c r="J2895" s="25">
        <f>IFERROR(INDEX(Pedidos!$C$2:$C$1801,MATCH(B2895,Pedidos!$A$2:$A$1801,0)),"")</f>
        <v/>
      </c>
      <c r="K2895" s="25">
        <f>IFERROR(INDEX(Pedidos!$D$2:$D$1801,MATCH(B2895,Pedidos!$A$2:$A$1801,0)),"")</f>
        <v/>
      </c>
      <c r="L2895" s="25">
        <f>IFERROR(INDEX(Pedidos!$F$2:$F$1801,MATCH(B2895,Pedidos!$A$2:$A$1801,0)),"")</f>
        <v/>
      </c>
      <c r="M2895" s="26">
        <f>IFERROR(INDEX(Pedidos!$G$2:$G$1801,MATCH(B2895,Pedidos!$A$2:$A$1801,0)),0)</f>
        <v/>
      </c>
      <c r="N2895" s="25">
        <f>IFERROR(INDEX(Produtos!$B$2:$B$71,MATCH(C2895,Produtos!$A$2:$A$71,0)),"")</f>
        <v/>
      </c>
      <c r="O2895" s="25">
        <f>IFERROR(INDEX(Produtos!$C$2:$C$71,MATCH(C2895,Produtos!$A$2:$A$71,0)),"")</f>
        <v/>
      </c>
      <c r="P2895" s="25">
        <f>IFERROR(INDEX(Produtos!$D$2:$D$71,MATCH(C2895,Produtos!$A$2:$A$71,0)),0)</f>
        <v/>
      </c>
      <c r="Q2895" s="25">
        <f>IFERROR(INDEX(Produtos!$E$2:$E$71,MATCH(C2895,Produtos!$A$2:$A$71,0)),0)</f>
        <v/>
      </c>
      <c r="R2895" s="27">
        <f>D2895*Q2895</f>
        <v/>
      </c>
      <c r="S2895" s="27">
        <f>R2895*E2895</f>
        <v/>
      </c>
      <c r="T2895" s="27">
        <f>(R2895-S2895)*M2895</f>
        <v/>
      </c>
      <c r="U2895" s="27">
        <f>R2895-S2895-T2895</f>
        <v/>
      </c>
      <c r="V2895" s="27">
        <f>D2895*P2895</f>
        <v/>
      </c>
      <c r="W2895" s="27">
        <f>U2895-V2895</f>
        <v/>
      </c>
      <c r="X2895" s="28">
        <f>IFERROR(W2895/U2895,0)</f>
        <v/>
      </c>
    </row>
    <row r="2896">
      <c r="A2896" s="21">
        <f>ItensPedido!A2896</f>
        <v/>
      </c>
      <c r="B2896" s="21">
        <f>ItensPedido!B2896</f>
        <v/>
      </c>
      <c r="C2896" s="21">
        <f>ItensPedido!C2896</f>
        <v/>
      </c>
      <c r="D2896" s="21">
        <f>ItensPedido!D2896</f>
        <v/>
      </c>
      <c r="E2896" s="22">
        <f>ItensPedido!E2896</f>
        <v/>
      </c>
      <c r="F2896" s="21">
        <f>IFERROR(INDEX(Pedidos!$B$2:$B$1801,MATCH(B2896,Pedidos!$A$2:$A$1801,0)),0)</f>
        <v/>
      </c>
      <c r="G2896" s="21">
        <f>IF(F2896=0,"",YEAR(F2896))</f>
        <v/>
      </c>
      <c r="H2896" s="21">
        <f>IF(F2896=0,"",MONTH(F2896))</f>
        <v/>
      </c>
      <c r="I2896" s="21">
        <f>IFERROR(INDEX(Pedidos!$E$2:$E$1801,MATCH(B2896,Pedidos!$A$2:$A$1801,0)),"")</f>
        <v/>
      </c>
      <c r="J2896" s="21">
        <f>IFERROR(INDEX(Pedidos!$C$2:$C$1801,MATCH(B2896,Pedidos!$A$2:$A$1801,0)),"")</f>
        <v/>
      </c>
      <c r="K2896" s="21">
        <f>IFERROR(INDEX(Pedidos!$D$2:$D$1801,MATCH(B2896,Pedidos!$A$2:$A$1801,0)),"")</f>
        <v/>
      </c>
      <c r="L2896" s="21">
        <f>IFERROR(INDEX(Pedidos!$F$2:$F$1801,MATCH(B2896,Pedidos!$A$2:$A$1801,0)),"")</f>
        <v/>
      </c>
      <c r="M2896" s="22">
        <f>IFERROR(INDEX(Pedidos!$G$2:$G$1801,MATCH(B2896,Pedidos!$A$2:$A$1801,0)),0)</f>
        <v/>
      </c>
      <c r="N2896" s="21">
        <f>IFERROR(INDEX(Produtos!$B$2:$B$71,MATCH(C2896,Produtos!$A$2:$A$71,0)),"")</f>
        <v/>
      </c>
      <c r="O2896" s="21">
        <f>IFERROR(INDEX(Produtos!$C$2:$C$71,MATCH(C2896,Produtos!$A$2:$A$71,0)),"")</f>
        <v/>
      </c>
      <c r="P2896" s="21">
        <f>IFERROR(INDEX(Produtos!$D$2:$D$71,MATCH(C2896,Produtos!$A$2:$A$71,0)),0)</f>
        <v/>
      </c>
      <c r="Q2896" s="21">
        <f>IFERROR(INDEX(Produtos!$E$2:$E$71,MATCH(C2896,Produtos!$A$2:$A$71,0)),0)</f>
        <v/>
      </c>
      <c r="R2896" s="23">
        <f>D2896*Q2896</f>
        <v/>
      </c>
      <c r="S2896" s="23">
        <f>R2896*E2896</f>
        <v/>
      </c>
      <c r="T2896" s="23">
        <f>(R2896-S2896)*M2896</f>
        <v/>
      </c>
      <c r="U2896" s="23">
        <f>R2896-S2896-T2896</f>
        <v/>
      </c>
      <c r="V2896" s="23">
        <f>D2896*P2896</f>
        <v/>
      </c>
      <c r="W2896" s="23">
        <f>U2896-V2896</f>
        <v/>
      </c>
      <c r="X2896" s="24">
        <f>IFERROR(W2896/U2896,0)</f>
        <v/>
      </c>
    </row>
    <row r="2897">
      <c r="A2897" s="25">
        <f>ItensPedido!A2897</f>
        <v/>
      </c>
      <c r="B2897" s="25">
        <f>ItensPedido!B2897</f>
        <v/>
      </c>
      <c r="C2897" s="25">
        <f>ItensPedido!C2897</f>
        <v/>
      </c>
      <c r="D2897" s="25">
        <f>ItensPedido!D2897</f>
        <v/>
      </c>
      <c r="E2897" s="26">
        <f>ItensPedido!E2897</f>
        <v/>
      </c>
      <c r="F2897" s="25">
        <f>IFERROR(INDEX(Pedidos!$B$2:$B$1801,MATCH(B2897,Pedidos!$A$2:$A$1801,0)),0)</f>
        <v/>
      </c>
      <c r="G2897" s="25">
        <f>IF(F2897=0,"",YEAR(F2897))</f>
        <v/>
      </c>
      <c r="H2897" s="25">
        <f>IF(F2897=0,"",MONTH(F2897))</f>
        <v/>
      </c>
      <c r="I2897" s="25">
        <f>IFERROR(INDEX(Pedidos!$E$2:$E$1801,MATCH(B2897,Pedidos!$A$2:$A$1801,0)),"")</f>
        <v/>
      </c>
      <c r="J2897" s="25">
        <f>IFERROR(INDEX(Pedidos!$C$2:$C$1801,MATCH(B2897,Pedidos!$A$2:$A$1801,0)),"")</f>
        <v/>
      </c>
      <c r="K2897" s="25">
        <f>IFERROR(INDEX(Pedidos!$D$2:$D$1801,MATCH(B2897,Pedidos!$A$2:$A$1801,0)),"")</f>
        <v/>
      </c>
      <c r="L2897" s="25">
        <f>IFERROR(INDEX(Pedidos!$F$2:$F$1801,MATCH(B2897,Pedidos!$A$2:$A$1801,0)),"")</f>
        <v/>
      </c>
      <c r="M2897" s="26">
        <f>IFERROR(INDEX(Pedidos!$G$2:$G$1801,MATCH(B2897,Pedidos!$A$2:$A$1801,0)),0)</f>
        <v/>
      </c>
      <c r="N2897" s="25">
        <f>IFERROR(INDEX(Produtos!$B$2:$B$71,MATCH(C2897,Produtos!$A$2:$A$71,0)),"")</f>
        <v/>
      </c>
      <c r="O2897" s="25">
        <f>IFERROR(INDEX(Produtos!$C$2:$C$71,MATCH(C2897,Produtos!$A$2:$A$71,0)),"")</f>
        <v/>
      </c>
      <c r="P2897" s="25">
        <f>IFERROR(INDEX(Produtos!$D$2:$D$71,MATCH(C2897,Produtos!$A$2:$A$71,0)),0)</f>
        <v/>
      </c>
      <c r="Q2897" s="25">
        <f>IFERROR(INDEX(Produtos!$E$2:$E$71,MATCH(C2897,Produtos!$A$2:$A$71,0)),0)</f>
        <v/>
      </c>
      <c r="R2897" s="27">
        <f>D2897*Q2897</f>
        <v/>
      </c>
      <c r="S2897" s="27">
        <f>R2897*E2897</f>
        <v/>
      </c>
      <c r="T2897" s="27">
        <f>(R2897-S2897)*M2897</f>
        <v/>
      </c>
      <c r="U2897" s="27">
        <f>R2897-S2897-T2897</f>
        <v/>
      </c>
      <c r="V2897" s="27">
        <f>D2897*P2897</f>
        <v/>
      </c>
      <c r="W2897" s="27">
        <f>U2897-V2897</f>
        <v/>
      </c>
      <c r="X2897" s="28">
        <f>IFERROR(W2897/U2897,0)</f>
        <v/>
      </c>
    </row>
    <row r="2898">
      <c r="A2898" s="21">
        <f>ItensPedido!A2898</f>
        <v/>
      </c>
      <c r="B2898" s="21">
        <f>ItensPedido!B2898</f>
        <v/>
      </c>
      <c r="C2898" s="21">
        <f>ItensPedido!C2898</f>
        <v/>
      </c>
      <c r="D2898" s="21">
        <f>ItensPedido!D2898</f>
        <v/>
      </c>
      <c r="E2898" s="22">
        <f>ItensPedido!E2898</f>
        <v/>
      </c>
      <c r="F2898" s="21">
        <f>IFERROR(INDEX(Pedidos!$B$2:$B$1801,MATCH(B2898,Pedidos!$A$2:$A$1801,0)),0)</f>
        <v/>
      </c>
      <c r="G2898" s="21">
        <f>IF(F2898=0,"",YEAR(F2898))</f>
        <v/>
      </c>
      <c r="H2898" s="21">
        <f>IF(F2898=0,"",MONTH(F2898))</f>
        <v/>
      </c>
      <c r="I2898" s="21">
        <f>IFERROR(INDEX(Pedidos!$E$2:$E$1801,MATCH(B2898,Pedidos!$A$2:$A$1801,0)),"")</f>
        <v/>
      </c>
      <c r="J2898" s="21">
        <f>IFERROR(INDEX(Pedidos!$C$2:$C$1801,MATCH(B2898,Pedidos!$A$2:$A$1801,0)),"")</f>
        <v/>
      </c>
      <c r="K2898" s="21">
        <f>IFERROR(INDEX(Pedidos!$D$2:$D$1801,MATCH(B2898,Pedidos!$A$2:$A$1801,0)),"")</f>
        <v/>
      </c>
      <c r="L2898" s="21">
        <f>IFERROR(INDEX(Pedidos!$F$2:$F$1801,MATCH(B2898,Pedidos!$A$2:$A$1801,0)),"")</f>
        <v/>
      </c>
      <c r="M2898" s="22">
        <f>IFERROR(INDEX(Pedidos!$G$2:$G$1801,MATCH(B2898,Pedidos!$A$2:$A$1801,0)),0)</f>
        <v/>
      </c>
      <c r="N2898" s="21">
        <f>IFERROR(INDEX(Produtos!$B$2:$B$71,MATCH(C2898,Produtos!$A$2:$A$71,0)),"")</f>
        <v/>
      </c>
      <c r="O2898" s="21">
        <f>IFERROR(INDEX(Produtos!$C$2:$C$71,MATCH(C2898,Produtos!$A$2:$A$71,0)),"")</f>
        <v/>
      </c>
      <c r="P2898" s="21">
        <f>IFERROR(INDEX(Produtos!$D$2:$D$71,MATCH(C2898,Produtos!$A$2:$A$71,0)),0)</f>
        <v/>
      </c>
      <c r="Q2898" s="21">
        <f>IFERROR(INDEX(Produtos!$E$2:$E$71,MATCH(C2898,Produtos!$A$2:$A$71,0)),0)</f>
        <v/>
      </c>
      <c r="R2898" s="23">
        <f>D2898*Q2898</f>
        <v/>
      </c>
      <c r="S2898" s="23">
        <f>R2898*E2898</f>
        <v/>
      </c>
      <c r="T2898" s="23">
        <f>(R2898-S2898)*M2898</f>
        <v/>
      </c>
      <c r="U2898" s="23">
        <f>R2898-S2898-T2898</f>
        <v/>
      </c>
      <c r="V2898" s="23">
        <f>D2898*P2898</f>
        <v/>
      </c>
      <c r="W2898" s="23">
        <f>U2898-V2898</f>
        <v/>
      </c>
      <c r="X2898" s="24">
        <f>IFERROR(W2898/U2898,0)</f>
        <v/>
      </c>
    </row>
    <row r="2899">
      <c r="A2899" s="25">
        <f>ItensPedido!A2899</f>
        <v/>
      </c>
      <c r="B2899" s="25">
        <f>ItensPedido!B2899</f>
        <v/>
      </c>
      <c r="C2899" s="25">
        <f>ItensPedido!C2899</f>
        <v/>
      </c>
      <c r="D2899" s="25">
        <f>ItensPedido!D2899</f>
        <v/>
      </c>
      <c r="E2899" s="26">
        <f>ItensPedido!E2899</f>
        <v/>
      </c>
      <c r="F2899" s="25">
        <f>IFERROR(INDEX(Pedidos!$B$2:$B$1801,MATCH(B2899,Pedidos!$A$2:$A$1801,0)),0)</f>
        <v/>
      </c>
      <c r="G2899" s="25">
        <f>IF(F2899=0,"",YEAR(F2899))</f>
        <v/>
      </c>
      <c r="H2899" s="25">
        <f>IF(F2899=0,"",MONTH(F2899))</f>
        <v/>
      </c>
      <c r="I2899" s="25">
        <f>IFERROR(INDEX(Pedidos!$E$2:$E$1801,MATCH(B2899,Pedidos!$A$2:$A$1801,0)),"")</f>
        <v/>
      </c>
      <c r="J2899" s="25">
        <f>IFERROR(INDEX(Pedidos!$C$2:$C$1801,MATCH(B2899,Pedidos!$A$2:$A$1801,0)),"")</f>
        <v/>
      </c>
      <c r="K2899" s="25">
        <f>IFERROR(INDEX(Pedidos!$D$2:$D$1801,MATCH(B2899,Pedidos!$A$2:$A$1801,0)),"")</f>
        <v/>
      </c>
      <c r="L2899" s="25">
        <f>IFERROR(INDEX(Pedidos!$F$2:$F$1801,MATCH(B2899,Pedidos!$A$2:$A$1801,0)),"")</f>
        <v/>
      </c>
      <c r="M2899" s="26">
        <f>IFERROR(INDEX(Pedidos!$G$2:$G$1801,MATCH(B2899,Pedidos!$A$2:$A$1801,0)),0)</f>
        <v/>
      </c>
      <c r="N2899" s="25">
        <f>IFERROR(INDEX(Produtos!$B$2:$B$71,MATCH(C2899,Produtos!$A$2:$A$71,0)),"")</f>
        <v/>
      </c>
      <c r="O2899" s="25">
        <f>IFERROR(INDEX(Produtos!$C$2:$C$71,MATCH(C2899,Produtos!$A$2:$A$71,0)),"")</f>
        <v/>
      </c>
      <c r="P2899" s="25">
        <f>IFERROR(INDEX(Produtos!$D$2:$D$71,MATCH(C2899,Produtos!$A$2:$A$71,0)),0)</f>
        <v/>
      </c>
      <c r="Q2899" s="25">
        <f>IFERROR(INDEX(Produtos!$E$2:$E$71,MATCH(C2899,Produtos!$A$2:$A$71,0)),0)</f>
        <v/>
      </c>
      <c r="R2899" s="27">
        <f>D2899*Q2899</f>
        <v/>
      </c>
      <c r="S2899" s="27">
        <f>R2899*E2899</f>
        <v/>
      </c>
      <c r="T2899" s="27">
        <f>(R2899-S2899)*M2899</f>
        <v/>
      </c>
      <c r="U2899" s="27">
        <f>R2899-S2899-T2899</f>
        <v/>
      </c>
      <c r="V2899" s="27">
        <f>D2899*P2899</f>
        <v/>
      </c>
      <c r="W2899" s="27">
        <f>U2899-V2899</f>
        <v/>
      </c>
      <c r="X2899" s="28">
        <f>IFERROR(W2899/U2899,0)</f>
        <v/>
      </c>
    </row>
    <row r="2900">
      <c r="A2900" s="21">
        <f>ItensPedido!A2900</f>
        <v/>
      </c>
      <c r="B2900" s="21">
        <f>ItensPedido!B2900</f>
        <v/>
      </c>
      <c r="C2900" s="21">
        <f>ItensPedido!C2900</f>
        <v/>
      </c>
      <c r="D2900" s="21">
        <f>ItensPedido!D2900</f>
        <v/>
      </c>
      <c r="E2900" s="22">
        <f>ItensPedido!E2900</f>
        <v/>
      </c>
      <c r="F2900" s="21">
        <f>IFERROR(INDEX(Pedidos!$B$2:$B$1801,MATCH(B2900,Pedidos!$A$2:$A$1801,0)),0)</f>
        <v/>
      </c>
      <c r="G2900" s="21">
        <f>IF(F2900=0,"",YEAR(F2900))</f>
        <v/>
      </c>
      <c r="H2900" s="21">
        <f>IF(F2900=0,"",MONTH(F2900))</f>
        <v/>
      </c>
      <c r="I2900" s="21">
        <f>IFERROR(INDEX(Pedidos!$E$2:$E$1801,MATCH(B2900,Pedidos!$A$2:$A$1801,0)),"")</f>
        <v/>
      </c>
      <c r="J2900" s="21">
        <f>IFERROR(INDEX(Pedidos!$C$2:$C$1801,MATCH(B2900,Pedidos!$A$2:$A$1801,0)),"")</f>
        <v/>
      </c>
      <c r="K2900" s="21">
        <f>IFERROR(INDEX(Pedidos!$D$2:$D$1801,MATCH(B2900,Pedidos!$A$2:$A$1801,0)),"")</f>
        <v/>
      </c>
      <c r="L2900" s="21">
        <f>IFERROR(INDEX(Pedidos!$F$2:$F$1801,MATCH(B2900,Pedidos!$A$2:$A$1801,0)),"")</f>
        <v/>
      </c>
      <c r="M2900" s="22">
        <f>IFERROR(INDEX(Pedidos!$G$2:$G$1801,MATCH(B2900,Pedidos!$A$2:$A$1801,0)),0)</f>
        <v/>
      </c>
      <c r="N2900" s="21">
        <f>IFERROR(INDEX(Produtos!$B$2:$B$71,MATCH(C2900,Produtos!$A$2:$A$71,0)),"")</f>
        <v/>
      </c>
      <c r="O2900" s="21">
        <f>IFERROR(INDEX(Produtos!$C$2:$C$71,MATCH(C2900,Produtos!$A$2:$A$71,0)),"")</f>
        <v/>
      </c>
      <c r="P2900" s="21">
        <f>IFERROR(INDEX(Produtos!$D$2:$D$71,MATCH(C2900,Produtos!$A$2:$A$71,0)),0)</f>
        <v/>
      </c>
      <c r="Q2900" s="21">
        <f>IFERROR(INDEX(Produtos!$E$2:$E$71,MATCH(C2900,Produtos!$A$2:$A$71,0)),0)</f>
        <v/>
      </c>
      <c r="R2900" s="23">
        <f>D2900*Q2900</f>
        <v/>
      </c>
      <c r="S2900" s="23">
        <f>R2900*E2900</f>
        <v/>
      </c>
      <c r="T2900" s="23">
        <f>(R2900-S2900)*M2900</f>
        <v/>
      </c>
      <c r="U2900" s="23">
        <f>R2900-S2900-T2900</f>
        <v/>
      </c>
      <c r="V2900" s="23">
        <f>D2900*P2900</f>
        <v/>
      </c>
      <c r="W2900" s="23">
        <f>U2900-V2900</f>
        <v/>
      </c>
      <c r="X2900" s="24">
        <f>IFERROR(W2900/U2900,0)</f>
        <v/>
      </c>
    </row>
    <row r="2901">
      <c r="A2901" s="25">
        <f>ItensPedido!A2901</f>
        <v/>
      </c>
      <c r="B2901" s="25">
        <f>ItensPedido!B2901</f>
        <v/>
      </c>
      <c r="C2901" s="25">
        <f>ItensPedido!C2901</f>
        <v/>
      </c>
      <c r="D2901" s="25">
        <f>ItensPedido!D2901</f>
        <v/>
      </c>
      <c r="E2901" s="26">
        <f>ItensPedido!E2901</f>
        <v/>
      </c>
      <c r="F2901" s="25">
        <f>IFERROR(INDEX(Pedidos!$B$2:$B$1801,MATCH(B2901,Pedidos!$A$2:$A$1801,0)),0)</f>
        <v/>
      </c>
      <c r="G2901" s="25">
        <f>IF(F2901=0,"",YEAR(F2901))</f>
        <v/>
      </c>
      <c r="H2901" s="25">
        <f>IF(F2901=0,"",MONTH(F2901))</f>
        <v/>
      </c>
      <c r="I2901" s="25">
        <f>IFERROR(INDEX(Pedidos!$E$2:$E$1801,MATCH(B2901,Pedidos!$A$2:$A$1801,0)),"")</f>
        <v/>
      </c>
      <c r="J2901" s="25">
        <f>IFERROR(INDEX(Pedidos!$C$2:$C$1801,MATCH(B2901,Pedidos!$A$2:$A$1801,0)),"")</f>
        <v/>
      </c>
      <c r="K2901" s="25">
        <f>IFERROR(INDEX(Pedidos!$D$2:$D$1801,MATCH(B2901,Pedidos!$A$2:$A$1801,0)),"")</f>
        <v/>
      </c>
      <c r="L2901" s="25">
        <f>IFERROR(INDEX(Pedidos!$F$2:$F$1801,MATCH(B2901,Pedidos!$A$2:$A$1801,0)),"")</f>
        <v/>
      </c>
      <c r="M2901" s="26">
        <f>IFERROR(INDEX(Pedidos!$G$2:$G$1801,MATCH(B2901,Pedidos!$A$2:$A$1801,0)),0)</f>
        <v/>
      </c>
      <c r="N2901" s="25">
        <f>IFERROR(INDEX(Produtos!$B$2:$B$71,MATCH(C2901,Produtos!$A$2:$A$71,0)),"")</f>
        <v/>
      </c>
      <c r="O2901" s="25">
        <f>IFERROR(INDEX(Produtos!$C$2:$C$71,MATCH(C2901,Produtos!$A$2:$A$71,0)),"")</f>
        <v/>
      </c>
      <c r="P2901" s="25">
        <f>IFERROR(INDEX(Produtos!$D$2:$D$71,MATCH(C2901,Produtos!$A$2:$A$71,0)),0)</f>
        <v/>
      </c>
      <c r="Q2901" s="25">
        <f>IFERROR(INDEX(Produtos!$E$2:$E$71,MATCH(C2901,Produtos!$A$2:$A$71,0)),0)</f>
        <v/>
      </c>
      <c r="R2901" s="27">
        <f>D2901*Q2901</f>
        <v/>
      </c>
      <c r="S2901" s="27">
        <f>R2901*E2901</f>
        <v/>
      </c>
      <c r="T2901" s="27">
        <f>(R2901-S2901)*M2901</f>
        <v/>
      </c>
      <c r="U2901" s="27">
        <f>R2901-S2901-T2901</f>
        <v/>
      </c>
      <c r="V2901" s="27">
        <f>D2901*P2901</f>
        <v/>
      </c>
      <c r="W2901" s="27">
        <f>U2901-V2901</f>
        <v/>
      </c>
      <c r="X2901" s="28">
        <f>IFERROR(W2901/U2901,0)</f>
        <v/>
      </c>
    </row>
    <row r="2902">
      <c r="A2902" s="21">
        <f>ItensPedido!A2902</f>
        <v/>
      </c>
      <c r="B2902" s="21">
        <f>ItensPedido!B2902</f>
        <v/>
      </c>
      <c r="C2902" s="21">
        <f>ItensPedido!C2902</f>
        <v/>
      </c>
      <c r="D2902" s="21">
        <f>ItensPedido!D2902</f>
        <v/>
      </c>
      <c r="E2902" s="22">
        <f>ItensPedido!E2902</f>
        <v/>
      </c>
      <c r="F2902" s="21">
        <f>IFERROR(INDEX(Pedidos!$B$2:$B$1801,MATCH(B2902,Pedidos!$A$2:$A$1801,0)),0)</f>
        <v/>
      </c>
      <c r="G2902" s="21">
        <f>IF(F2902=0,"",YEAR(F2902))</f>
        <v/>
      </c>
      <c r="H2902" s="21">
        <f>IF(F2902=0,"",MONTH(F2902))</f>
        <v/>
      </c>
      <c r="I2902" s="21">
        <f>IFERROR(INDEX(Pedidos!$E$2:$E$1801,MATCH(B2902,Pedidos!$A$2:$A$1801,0)),"")</f>
        <v/>
      </c>
      <c r="J2902" s="21">
        <f>IFERROR(INDEX(Pedidos!$C$2:$C$1801,MATCH(B2902,Pedidos!$A$2:$A$1801,0)),"")</f>
        <v/>
      </c>
      <c r="K2902" s="21">
        <f>IFERROR(INDEX(Pedidos!$D$2:$D$1801,MATCH(B2902,Pedidos!$A$2:$A$1801,0)),"")</f>
        <v/>
      </c>
      <c r="L2902" s="21">
        <f>IFERROR(INDEX(Pedidos!$F$2:$F$1801,MATCH(B2902,Pedidos!$A$2:$A$1801,0)),"")</f>
        <v/>
      </c>
      <c r="M2902" s="22">
        <f>IFERROR(INDEX(Pedidos!$G$2:$G$1801,MATCH(B2902,Pedidos!$A$2:$A$1801,0)),0)</f>
        <v/>
      </c>
      <c r="N2902" s="21">
        <f>IFERROR(INDEX(Produtos!$B$2:$B$71,MATCH(C2902,Produtos!$A$2:$A$71,0)),"")</f>
        <v/>
      </c>
      <c r="O2902" s="21">
        <f>IFERROR(INDEX(Produtos!$C$2:$C$71,MATCH(C2902,Produtos!$A$2:$A$71,0)),"")</f>
        <v/>
      </c>
      <c r="P2902" s="21">
        <f>IFERROR(INDEX(Produtos!$D$2:$D$71,MATCH(C2902,Produtos!$A$2:$A$71,0)),0)</f>
        <v/>
      </c>
      <c r="Q2902" s="21">
        <f>IFERROR(INDEX(Produtos!$E$2:$E$71,MATCH(C2902,Produtos!$A$2:$A$71,0)),0)</f>
        <v/>
      </c>
      <c r="R2902" s="23">
        <f>D2902*Q2902</f>
        <v/>
      </c>
      <c r="S2902" s="23">
        <f>R2902*E2902</f>
        <v/>
      </c>
      <c r="T2902" s="23">
        <f>(R2902-S2902)*M2902</f>
        <v/>
      </c>
      <c r="U2902" s="23">
        <f>R2902-S2902-T2902</f>
        <v/>
      </c>
      <c r="V2902" s="23">
        <f>D2902*P2902</f>
        <v/>
      </c>
      <c r="W2902" s="23">
        <f>U2902-V2902</f>
        <v/>
      </c>
      <c r="X2902" s="24">
        <f>IFERROR(W2902/U2902,0)</f>
        <v/>
      </c>
    </row>
    <row r="2903">
      <c r="A2903" s="25">
        <f>ItensPedido!A2903</f>
        <v/>
      </c>
      <c r="B2903" s="25">
        <f>ItensPedido!B2903</f>
        <v/>
      </c>
      <c r="C2903" s="25">
        <f>ItensPedido!C2903</f>
        <v/>
      </c>
      <c r="D2903" s="25">
        <f>ItensPedido!D2903</f>
        <v/>
      </c>
      <c r="E2903" s="26">
        <f>ItensPedido!E2903</f>
        <v/>
      </c>
      <c r="F2903" s="25">
        <f>IFERROR(INDEX(Pedidos!$B$2:$B$1801,MATCH(B2903,Pedidos!$A$2:$A$1801,0)),0)</f>
        <v/>
      </c>
      <c r="G2903" s="25">
        <f>IF(F2903=0,"",YEAR(F2903))</f>
        <v/>
      </c>
      <c r="H2903" s="25">
        <f>IF(F2903=0,"",MONTH(F2903))</f>
        <v/>
      </c>
      <c r="I2903" s="25">
        <f>IFERROR(INDEX(Pedidos!$E$2:$E$1801,MATCH(B2903,Pedidos!$A$2:$A$1801,0)),"")</f>
        <v/>
      </c>
      <c r="J2903" s="25">
        <f>IFERROR(INDEX(Pedidos!$C$2:$C$1801,MATCH(B2903,Pedidos!$A$2:$A$1801,0)),"")</f>
        <v/>
      </c>
      <c r="K2903" s="25">
        <f>IFERROR(INDEX(Pedidos!$D$2:$D$1801,MATCH(B2903,Pedidos!$A$2:$A$1801,0)),"")</f>
        <v/>
      </c>
      <c r="L2903" s="25">
        <f>IFERROR(INDEX(Pedidos!$F$2:$F$1801,MATCH(B2903,Pedidos!$A$2:$A$1801,0)),"")</f>
        <v/>
      </c>
      <c r="M2903" s="26">
        <f>IFERROR(INDEX(Pedidos!$G$2:$G$1801,MATCH(B2903,Pedidos!$A$2:$A$1801,0)),0)</f>
        <v/>
      </c>
      <c r="N2903" s="25">
        <f>IFERROR(INDEX(Produtos!$B$2:$B$71,MATCH(C2903,Produtos!$A$2:$A$71,0)),"")</f>
        <v/>
      </c>
      <c r="O2903" s="25">
        <f>IFERROR(INDEX(Produtos!$C$2:$C$71,MATCH(C2903,Produtos!$A$2:$A$71,0)),"")</f>
        <v/>
      </c>
      <c r="P2903" s="25">
        <f>IFERROR(INDEX(Produtos!$D$2:$D$71,MATCH(C2903,Produtos!$A$2:$A$71,0)),0)</f>
        <v/>
      </c>
      <c r="Q2903" s="25">
        <f>IFERROR(INDEX(Produtos!$E$2:$E$71,MATCH(C2903,Produtos!$A$2:$A$71,0)),0)</f>
        <v/>
      </c>
      <c r="R2903" s="27">
        <f>D2903*Q2903</f>
        <v/>
      </c>
      <c r="S2903" s="27">
        <f>R2903*E2903</f>
        <v/>
      </c>
      <c r="T2903" s="27">
        <f>(R2903-S2903)*M2903</f>
        <v/>
      </c>
      <c r="U2903" s="27">
        <f>R2903-S2903-T2903</f>
        <v/>
      </c>
      <c r="V2903" s="27">
        <f>D2903*P2903</f>
        <v/>
      </c>
      <c r="W2903" s="27">
        <f>U2903-V2903</f>
        <v/>
      </c>
      <c r="X2903" s="28">
        <f>IFERROR(W2903/U2903,0)</f>
        <v/>
      </c>
    </row>
    <row r="2904">
      <c r="A2904" s="21">
        <f>ItensPedido!A2904</f>
        <v/>
      </c>
      <c r="B2904" s="21">
        <f>ItensPedido!B2904</f>
        <v/>
      </c>
      <c r="C2904" s="21">
        <f>ItensPedido!C2904</f>
        <v/>
      </c>
      <c r="D2904" s="21">
        <f>ItensPedido!D2904</f>
        <v/>
      </c>
      <c r="E2904" s="22">
        <f>ItensPedido!E2904</f>
        <v/>
      </c>
      <c r="F2904" s="21">
        <f>IFERROR(INDEX(Pedidos!$B$2:$B$1801,MATCH(B2904,Pedidos!$A$2:$A$1801,0)),0)</f>
        <v/>
      </c>
      <c r="G2904" s="21">
        <f>IF(F2904=0,"",YEAR(F2904))</f>
        <v/>
      </c>
      <c r="H2904" s="21">
        <f>IF(F2904=0,"",MONTH(F2904))</f>
        <v/>
      </c>
      <c r="I2904" s="21">
        <f>IFERROR(INDEX(Pedidos!$E$2:$E$1801,MATCH(B2904,Pedidos!$A$2:$A$1801,0)),"")</f>
        <v/>
      </c>
      <c r="J2904" s="21">
        <f>IFERROR(INDEX(Pedidos!$C$2:$C$1801,MATCH(B2904,Pedidos!$A$2:$A$1801,0)),"")</f>
        <v/>
      </c>
      <c r="K2904" s="21">
        <f>IFERROR(INDEX(Pedidos!$D$2:$D$1801,MATCH(B2904,Pedidos!$A$2:$A$1801,0)),"")</f>
        <v/>
      </c>
      <c r="L2904" s="21">
        <f>IFERROR(INDEX(Pedidos!$F$2:$F$1801,MATCH(B2904,Pedidos!$A$2:$A$1801,0)),"")</f>
        <v/>
      </c>
      <c r="M2904" s="22">
        <f>IFERROR(INDEX(Pedidos!$G$2:$G$1801,MATCH(B2904,Pedidos!$A$2:$A$1801,0)),0)</f>
        <v/>
      </c>
      <c r="N2904" s="21">
        <f>IFERROR(INDEX(Produtos!$B$2:$B$71,MATCH(C2904,Produtos!$A$2:$A$71,0)),"")</f>
        <v/>
      </c>
      <c r="O2904" s="21">
        <f>IFERROR(INDEX(Produtos!$C$2:$C$71,MATCH(C2904,Produtos!$A$2:$A$71,0)),"")</f>
        <v/>
      </c>
      <c r="P2904" s="21">
        <f>IFERROR(INDEX(Produtos!$D$2:$D$71,MATCH(C2904,Produtos!$A$2:$A$71,0)),0)</f>
        <v/>
      </c>
      <c r="Q2904" s="21">
        <f>IFERROR(INDEX(Produtos!$E$2:$E$71,MATCH(C2904,Produtos!$A$2:$A$71,0)),0)</f>
        <v/>
      </c>
      <c r="R2904" s="23">
        <f>D2904*Q2904</f>
        <v/>
      </c>
      <c r="S2904" s="23">
        <f>R2904*E2904</f>
        <v/>
      </c>
      <c r="T2904" s="23">
        <f>(R2904-S2904)*M2904</f>
        <v/>
      </c>
      <c r="U2904" s="23">
        <f>R2904-S2904-T2904</f>
        <v/>
      </c>
      <c r="V2904" s="23">
        <f>D2904*P2904</f>
        <v/>
      </c>
      <c r="W2904" s="23">
        <f>U2904-V2904</f>
        <v/>
      </c>
      <c r="X2904" s="24">
        <f>IFERROR(W2904/U2904,0)</f>
        <v/>
      </c>
    </row>
    <row r="2905">
      <c r="A2905" s="25">
        <f>ItensPedido!A2905</f>
        <v/>
      </c>
      <c r="B2905" s="25">
        <f>ItensPedido!B2905</f>
        <v/>
      </c>
      <c r="C2905" s="25">
        <f>ItensPedido!C2905</f>
        <v/>
      </c>
      <c r="D2905" s="25">
        <f>ItensPedido!D2905</f>
        <v/>
      </c>
      <c r="E2905" s="26">
        <f>ItensPedido!E2905</f>
        <v/>
      </c>
      <c r="F2905" s="25">
        <f>IFERROR(INDEX(Pedidos!$B$2:$B$1801,MATCH(B2905,Pedidos!$A$2:$A$1801,0)),0)</f>
        <v/>
      </c>
      <c r="G2905" s="25">
        <f>IF(F2905=0,"",YEAR(F2905))</f>
        <v/>
      </c>
      <c r="H2905" s="25">
        <f>IF(F2905=0,"",MONTH(F2905))</f>
        <v/>
      </c>
      <c r="I2905" s="25">
        <f>IFERROR(INDEX(Pedidos!$E$2:$E$1801,MATCH(B2905,Pedidos!$A$2:$A$1801,0)),"")</f>
        <v/>
      </c>
      <c r="J2905" s="25">
        <f>IFERROR(INDEX(Pedidos!$C$2:$C$1801,MATCH(B2905,Pedidos!$A$2:$A$1801,0)),"")</f>
        <v/>
      </c>
      <c r="K2905" s="25">
        <f>IFERROR(INDEX(Pedidos!$D$2:$D$1801,MATCH(B2905,Pedidos!$A$2:$A$1801,0)),"")</f>
        <v/>
      </c>
      <c r="L2905" s="25">
        <f>IFERROR(INDEX(Pedidos!$F$2:$F$1801,MATCH(B2905,Pedidos!$A$2:$A$1801,0)),"")</f>
        <v/>
      </c>
      <c r="M2905" s="26">
        <f>IFERROR(INDEX(Pedidos!$G$2:$G$1801,MATCH(B2905,Pedidos!$A$2:$A$1801,0)),0)</f>
        <v/>
      </c>
      <c r="N2905" s="25">
        <f>IFERROR(INDEX(Produtos!$B$2:$B$71,MATCH(C2905,Produtos!$A$2:$A$71,0)),"")</f>
        <v/>
      </c>
      <c r="O2905" s="25">
        <f>IFERROR(INDEX(Produtos!$C$2:$C$71,MATCH(C2905,Produtos!$A$2:$A$71,0)),"")</f>
        <v/>
      </c>
      <c r="P2905" s="25">
        <f>IFERROR(INDEX(Produtos!$D$2:$D$71,MATCH(C2905,Produtos!$A$2:$A$71,0)),0)</f>
        <v/>
      </c>
      <c r="Q2905" s="25">
        <f>IFERROR(INDEX(Produtos!$E$2:$E$71,MATCH(C2905,Produtos!$A$2:$A$71,0)),0)</f>
        <v/>
      </c>
      <c r="R2905" s="27">
        <f>D2905*Q2905</f>
        <v/>
      </c>
      <c r="S2905" s="27">
        <f>R2905*E2905</f>
        <v/>
      </c>
      <c r="T2905" s="27">
        <f>(R2905-S2905)*M2905</f>
        <v/>
      </c>
      <c r="U2905" s="27">
        <f>R2905-S2905-T2905</f>
        <v/>
      </c>
      <c r="V2905" s="27">
        <f>D2905*P2905</f>
        <v/>
      </c>
      <c r="W2905" s="27">
        <f>U2905-V2905</f>
        <v/>
      </c>
      <c r="X2905" s="28">
        <f>IFERROR(W2905/U2905,0)</f>
        <v/>
      </c>
    </row>
    <row r="2906">
      <c r="A2906" s="21">
        <f>ItensPedido!A2906</f>
        <v/>
      </c>
      <c r="B2906" s="21">
        <f>ItensPedido!B2906</f>
        <v/>
      </c>
      <c r="C2906" s="21">
        <f>ItensPedido!C2906</f>
        <v/>
      </c>
      <c r="D2906" s="21">
        <f>ItensPedido!D2906</f>
        <v/>
      </c>
      <c r="E2906" s="22">
        <f>ItensPedido!E2906</f>
        <v/>
      </c>
      <c r="F2906" s="21">
        <f>IFERROR(INDEX(Pedidos!$B$2:$B$1801,MATCH(B2906,Pedidos!$A$2:$A$1801,0)),0)</f>
        <v/>
      </c>
      <c r="G2906" s="21">
        <f>IF(F2906=0,"",YEAR(F2906))</f>
        <v/>
      </c>
      <c r="H2906" s="21">
        <f>IF(F2906=0,"",MONTH(F2906))</f>
        <v/>
      </c>
      <c r="I2906" s="21">
        <f>IFERROR(INDEX(Pedidos!$E$2:$E$1801,MATCH(B2906,Pedidos!$A$2:$A$1801,0)),"")</f>
        <v/>
      </c>
      <c r="J2906" s="21">
        <f>IFERROR(INDEX(Pedidos!$C$2:$C$1801,MATCH(B2906,Pedidos!$A$2:$A$1801,0)),"")</f>
        <v/>
      </c>
      <c r="K2906" s="21">
        <f>IFERROR(INDEX(Pedidos!$D$2:$D$1801,MATCH(B2906,Pedidos!$A$2:$A$1801,0)),"")</f>
        <v/>
      </c>
      <c r="L2906" s="21">
        <f>IFERROR(INDEX(Pedidos!$F$2:$F$1801,MATCH(B2906,Pedidos!$A$2:$A$1801,0)),"")</f>
        <v/>
      </c>
      <c r="M2906" s="22">
        <f>IFERROR(INDEX(Pedidos!$G$2:$G$1801,MATCH(B2906,Pedidos!$A$2:$A$1801,0)),0)</f>
        <v/>
      </c>
      <c r="N2906" s="21">
        <f>IFERROR(INDEX(Produtos!$B$2:$B$71,MATCH(C2906,Produtos!$A$2:$A$71,0)),"")</f>
        <v/>
      </c>
      <c r="O2906" s="21">
        <f>IFERROR(INDEX(Produtos!$C$2:$C$71,MATCH(C2906,Produtos!$A$2:$A$71,0)),"")</f>
        <v/>
      </c>
      <c r="P2906" s="21">
        <f>IFERROR(INDEX(Produtos!$D$2:$D$71,MATCH(C2906,Produtos!$A$2:$A$71,0)),0)</f>
        <v/>
      </c>
      <c r="Q2906" s="21">
        <f>IFERROR(INDEX(Produtos!$E$2:$E$71,MATCH(C2906,Produtos!$A$2:$A$71,0)),0)</f>
        <v/>
      </c>
      <c r="R2906" s="23">
        <f>D2906*Q2906</f>
        <v/>
      </c>
      <c r="S2906" s="23">
        <f>R2906*E2906</f>
        <v/>
      </c>
      <c r="T2906" s="23">
        <f>(R2906-S2906)*M2906</f>
        <v/>
      </c>
      <c r="U2906" s="23">
        <f>R2906-S2906-T2906</f>
        <v/>
      </c>
      <c r="V2906" s="23">
        <f>D2906*P2906</f>
        <v/>
      </c>
      <c r="W2906" s="23">
        <f>U2906-V2906</f>
        <v/>
      </c>
      <c r="X2906" s="24">
        <f>IFERROR(W2906/U2906,0)</f>
        <v/>
      </c>
    </row>
    <row r="2907">
      <c r="A2907" s="25">
        <f>ItensPedido!A2907</f>
        <v/>
      </c>
      <c r="B2907" s="25">
        <f>ItensPedido!B2907</f>
        <v/>
      </c>
      <c r="C2907" s="25">
        <f>ItensPedido!C2907</f>
        <v/>
      </c>
      <c r="D2907" s="25">
        <f>ItensPedido!D2907</f>
        <v/>
      </c>
      <c r="E2907" s="26">
        <f>ItensPedido!E2907</f>
        <v/>
      </c>
      <c r="F2907" s="25">
        <f>IFERROR(INDEX(Pedidos!$B$2:$B$1801,MATCH(B2907,Pedidos!$A$2:$A$1801,0)),0)</f>
        <v/>
      </c>
      <c r="G2907" s="25">
        <f>IF(F2907=0,"",YEAR(F2907))</f>
        <v/>
      </c>
      <c r="H2907" s="25">
        <f>IF(F2907=0,"",MONTH(F2907))</f>
        <v/>
      </c>
      <c r="I2907" s="25">
        <f>IFERROR(INDEX(Pedidos!$E$2:$E$1801,MATCH(B2907,Pedidos!$A$2:$A$1801,0)),"")</f>
        <v/>
      </c>
      <c r="J2907" s="25">
        <f>IFERROR(INDEX(Pedidos!$C$2:$C$1801,MATCH(B2907,Pedidos!$A$2:$A$1801,0)),"")</f>
        <v/>
      </c>
      <c r="K2907" s="25">
        <f>IFERROR(INDEX(Pedidos!$D$2:$D$1801,MATCH(B2907,Pedidos!$A$2:$A$1801,0)),"")</f>
        <v/>
      </c>
      <c r="L2907" s="25">
        <f>IFERROR(INDEX(Pedidos!$F$2:$F$1801,MATCH(B2907,Pedidos!$A$2:$A$1801,0)),"")</f>
        <v/>
      </c>
      <c r="M2907" s="26">
        <f>IFERROR(INDEX(Pedidos!$G$2:$G$1801,MATCH(B2907,Pedidos!$A$2:$A$1801,0)),0)</f>
        <v/>
      </c>
      <c r="N2907" s="25">
        <f>IFERROR(INDEX(Produtos!$B$2:$B$71,MATCH(C2907,Produtos!$A$2:$A$71,0)),"")</f>
        <v/>
      </c>
      <c r="O2907" s="25">
        <f>IFERROR(INDEX(Produtos!$C$2:$C$71,MATCH(C2907,Produtos!$A$2:$A$71,0)),"")</f>
        <v/>
      </c>
      <c r="P2907" s="25">
        <f>IFERROR(INDEX(Produtos!$D$2:$D$71,MATCH(C2907,Produtos!$A$2:$A$71,0)),0)</f>
        <v/>
      </c>
      <c r="Q2907" s="25">
        <f>IFERROR(INDEX(Produtos!$E$2:$E$71,MATCH(C2907,Produtos!$A$2:$A$71,0)),0)</f>
        <v/>
      </c>
      <c r="R2907" s="27">
        <f>D2907*Q2907</f>
        <v/>
      </c>
      <c r="S2907" s="27">
        <f>R2907*E2907</f>
        <v/>
      </c>
      <c r="T2907" s="27">
        <f>(R2907-S2907)*M2907</f>
        <v/>
      </c>
      <c r="U2907" s="27">
        <f>R2907-S2907-T2907</f>
        <v/>
      </c>
      <c r="V2907" s="27">
        <f>D2907*P2907</f>
        <v/>
      </c>
      <c r="W2907" s="27">
        <f>U2907-V2907</f>
        <v/>
      </c>
      <c r="X2907" s="28">
        <f>IFERROR(W2907/U2907,0)</f>
        <v/>
      </c>
    </row>
    <row r="2908">
      <c r="A2908" s="21">
        <f>ItensPedido!A2908</f>
        <v/>
      </c>
      <c r="B2908" s="21">
        <f>ItensPedido!B2908</f>
        <v/>
      </c>
      <c r="C2908" s="21">
        <f>ItensPedido!C2908</f>
        <v/>
      </c>
      <c r="D2908" s="21">
        <f>ItensPedido!D2908</f>
        <v/>
      </c>
      <c r="E2908" s="22">
        <f>ItensPedido!E2908</f>
        <v/>
      </c>
      <c r="F2908" s="21">
        <f>IFERROR(INDEX(Pedidos!$B$2:$B$1801,MATCH(B2908,Pedidos!$A$2:$A$1801,0)),0)</f>
        <v/>
      </c>
      <c r="G2908" s="21">
        <f>IF(F2908=0,"",YEAR(F2908))</f>
        <v/>
      </c>
      <c r="H2908" s="21">
        <f>IF(F2908=0,"",MONTH(F2908))</f>
        <v/>
      </c>
      <c r="I2908" s="21">
        <f>IFERROR(INDEX(Pedidos!$E$2:$E$1801,MATCH(B2908,Pedidos!$A$2:$A$1801,0)),"")</f>
        <v/>
      </c>
      <c r="J2908" s="21">
        <f>IFERROR(INDEX(Pedidos!$C$2:$C$1801,MATCH(B2908,Pedidos!$A$2:$A$1801,0)),"")</f>
        <v/>
      </c>
      <c r="K2908" s="21">
        <f>IFERROR(INDEX(Pedidos!$D$2:$D$1801,MATCH(B2908,Pedidos!$A$2:$A$1801,0)),"")</f>
        <v/>
      </c>
      <c r="L2908" s="21">
        <f>IFERROR(INDEX(Pedidos!$F$2:$F$1801,MATCH(B2908,Pedidos!$A$2:$A$1801,0)),"")</f>
        <v/>
      </c>
      <c r="M2908" s="22">
        <f>IFERROR(INDEX(Pedidos!$G$2:$G$1801,MATCH(B2908,Pedidos!$A$2:$A$1801,0)),0)</f>
        <v/>
      </c>
      <c r="N2908" s="21">
        <f>IFERROR(INDEX(Produtos!$B$2:$B$71,MATCH(C2908,Produtos!$A$2:$A$71,0)),"")</f>
        <v/>
      </c>
      <c r="O2908" s="21">
        <f>IFERROR(INDEX(Produtos!$C$2:$C$71,MATCH(C2908,Produtos!$A$2:$A$71,0)),"")</f>
        <v/>
      </c>
      <c r="P2908" s="21">
        <f>IFERROR(INDEX(Produtos!$D$2:$D$71,MATCH(C2908,Produtos!$A$2:$A$71,0)),0)</f>
        <v/>
      </c>
      <c r="Q2908" s="21">
        <f>IFERROR(INDEX(Produtos!$E$2:$E$71,MATCH(C2908,Produtos!$A$2:$A$71,0)),0)</f>
        <v/>
      </c>
      <c r="R2908" s="23">
        <f>D2908*Q2908</f>
        <v/>
      </c>
      <c r="S2908" s="23">
        <f>R2908*E2908</f>
        <v/>
      </c>
      <c r="T2908" s="23">
        <f>(R2908-S2908)*M2908</f>
        <v/>
      </c>
      <c r="U2908" s="23">
        <f>R2908-S2908-T2908</f>
        <v/>
      </c>
      <c r="V2908" s="23">
        <f>D2908*P2908</f>
        <v/>
      </c>
      <c r="W2908" s="23">
        <f>U2908-V2908</f>
        <v/>
      </c>
      <c r="X2908" s="24">
        <f>IFERROR(W2908/U2908,0)</f>
        <v/>
      </c>
    </row>
    <row r="2909">
      <c r="A2909" s="25">
        <f>ItensPedido!A2909</f>
        <v/>
      </c>
      <c r="B2909" s="25">
        <f>ItensPedido!B2909</f>
        <v/>
      </c>
      <c r="C2909" s="25">
        <f>ItensPedido!C2909</f>
        <v/>
      </c>
      <c r="D2909" s="25">
        <f>ItensPedido!D2909</f>
        <v/>
      </c>
      <c r="E2909" s="26">
        <f>ItensPedido!E2909</f>
        <v/>
      </c>
      <c r="F2909" s="25">
        <f>IFERROR(INDEX(Pedidos!$B$2:$B$1801,MATCH(B2909,Pedidos!$A$2:$A$1801,0)),0)</f>
        <v/>
      </c>
      <c r="G2909" s="25">
        <f>IF(F2909=0,"",YEAR(F2909))</f>
        <v/>
      </c>
      <c r="H2909" s="25">
        <f>IF(F2909=0,"",MONTH(F2909))</f>
        <v/>
      </c>
      <c r="I2909" s="25">
        <f>IFERROR(INDEX(Pedidos!$E$2:$E$1801,MATCH(B2909,Pedidos!$A$2:$A$1801,0)),"")</f>
        <v/>
      </c>
      <c r="J2909" s="25">
        <f>IFERROR(INDEX(Pedidos!$C$2:$C$1801,MATCH(B2909,Pedidos!$A$2:$A$1801,0)),"")</f>
        <v/>
      </c>
      <c r="K2909" s="25">
        <f>IFERROR(INDEX(Pedidos!$D$2:$D$1801,MATCH(B2909,Pedidos!$A$2:$A$1801,0)),"")</f>
        <v/>
      </c>
      <c r="L2909" s="25">
        <f>IFERROR(INDEX(Pedidos!$F$2:$F$1801,MATCH(B2909,Pedidos!$A$2:$A$1801,0)),"")</f>
        <v/>
      </c>
      <c r="M2909" s="26">
        <f>IFERROR(INDEX(Pedidos!$G$2:$G$1801,MATCH(B2909,Pedidos!$A$2:$A$1801,0)),0)</f>
        <v/>
      </c>
      <c r="N2909" s="25">
        <f>IFERROR(INDEX(Produtos!$B$2:$B$71,MATCH(C2909,Produtos!$A$2:$A$71,0)),"")</f>
        <v/>
      </c>
      <c r="O2909" s="25">
        <f>IFERROR(INDEX(Produtos!$C$2:$C$71,MATCH(C2909,Produtos!$A$2:$A$71,0)),"")</f>
        <v/>
      </c>
      <c r="P2909" s="25">
        <f>IFERROR(INDEX(Produtos!$D$2:$D$71,MATCH(C2909,Produtos!$A$2:$A$71,0)),0)</f>
        <v/>
      </c>
      <c r="Q2909" s="25">
        <f>IFERROR(INDEX(Produtos!$E$2:$E$71,MATCH(C2909,Produtos!$A$2:$A$71,0)),0)</f>
        <v/>
      </c>
      <c r="R2909" s="27">
        <f>D2909*Q2909</f>
        <v/>
      </c>
      <c r="S2909" s="27">
        <f>R2909*E2909</f>
        <v/>
      </c>
      <c r="T2909" s="27">
        <f>(R2909-S2909)*M2909</f>
        <v/>
      </c>
      <c r="U2909" s="27">
        <f>R2909-S2909-T2909</f>
        <v/>
      </c>
      <c r="V2909" s="27">
        <f>D2909*P2909</f>
        <v/>
      </c>
      <c r="W2909" s="27">
        <f>U2909-V2909</f>
        <v/>
      </c>
      <c r="X2909" s="28">
        <f>IFERROR(W2909/U2909,0)</f>
        <v/>
      </c>
    </row>
    <row r="2910">
      <c r="A2910" s="21">
        <f>ItensPedido!A2910</f>
        <v/>
      </c>
      <c r="B2910" s="21">
        <f>ItensPedido!B2910</f>
        <v/>
      </c>
      <c r="C2910" s="21">
        <f>ItensPedido!C2910</f>
        <v/>
      </c>
      <c r="D2910" s="21">
        <f>ItensPedido!D2910</f>
        <v/>
      </c>
      <c r="E2910" s="22">
        <f>ItensPedido!E2910</f>
        <v/>
      </c>
      <c r="F2910" s="21">
        <f>IFERROR(INDEX(Pedidos!$B$2:$B$1801,MATCH(B2910,Pedidos!$A$2:$A$1801,0)),0)</f>
        <v/>
      </c>
      <c r="G2910" s="21">
        <f>IF(F2910=0,"",YEAR(F2910))</f>
        <v/>
      </c>
      <c r="H2910" s="21">
        <f>IF(F2910=0,"",MONTH(F2910))</f>
        <v/>
      </c>
      <c r="I2910" s="21">
        <f>IFERROR(INDEX(Pedidos!$E$2:$E$1801,MATCH(B2910,Pedidos!$A$2:$A$1801,0)),"")</f>
        <v/>
      </c>
      <c r="J2910" s="21">
        <f>IFERROR(INDEX(Pedidos!$C$2:$C$1801,MATCH(B2910,Pedidos!$A$2:$A$1801,0)),"")</f>
        <v/>
      </c>
      <c r="K2910" s="21">
        <f>IFERROR(INDEX(Pedidos!$D$2:$D$1801,MATCH(B2910,Pedidos!$A$2:$A$1801,0)),"")</f>
        <v/>
      </c>
      <c r="L2910" s="21">
        <f>IFERROR(INDEX(Pedidos!$F$2:$F$1801,MATCH(B2910,Pedidos!$A$2:$A$1801,0)),"")</f>
        <v/>
      </c>
      <c r="M2910" s="22">
        <f>IFERROR(INDEX(Pedidos!$G$2:$G$1801,MATCH(B2910,Pedidos!$A$2:$A$1801,0)),0)</f>
        <v/>
      </c>
      <c r="N2910" s="21">
        <f>IFERROR(INDEX(Produtos!$B$2:$B$71,MATCH(C2910,Produtos!$A$2:$A$71,0)),"")</f>
        <v/>
      </c>
      <c r="O2910" s="21">
        <f>IFERROR(INDEX(Produtos!$C$2:$C$71,MATCH(C2910,Produtos!$A$2:$A$71,0)),"")</f>
        <v/>
      </c>
      <c r="P2910" s="21">
        <f>IFERROR(INDEX(Produtos!$D$2:$D$71,MATCH(C2910,Produtos!$A$2:$A$71,0)),0)</f>
        <v/>
      </c>
      <c r="Q2910" s="21">
        <f>IFERROR(INDEX(Produtos!$E$2:$E$71,MATCH(C2910,Produtos!$A$2:$A$71,0)),0)</f>
        <v/>
      </c>
      <c r="R2910" s="23">
        <f>D2910*Q2910</f>
        <v/>
      </c>
      <c r="S2910" s="23">
        <f>R2910*E2910</f>
        <v/>
      </c>
      <c r="T2910" s="23">
        <f>(R2910-S2910)*M2910</f>
        <v/>
      </c>
      <c r="U2910" s="23">
        <f>R2910-S2910-T2910</f>
        <v/>
      </c>
      <c r="V2910" s="23">
        <f>D2910*P2910</f>
        <v/>
      </c>
      <c r="W2910" s="23">
        <f>U2910-V2910</f>
        <v/>
      </c>
      <c r="X2910" s="24">
        <f>IFERROR(W2910/U2910,0)</f>
        <v/>
      </c>
    </row>
    <row r="2911">
      <c r="A2911" s="25">
        <f>ItensPedido!A2911</f>
        <v/>
      </c>
      <c r="B2911" s="25">
        <f>ItensPedido!B2911</f>
        <v/>
      </c>
      <c r="C2911" s="25">
        <f>ItensPedido!C2911</f>
        <v/>
      </c>
      <c r="D2911" s="25">
        <f>ItensPedido!D2911</f>
        <v/>
      </c>
      <c r="E2911" s="26">
        <f>ItensPedido!E2911</f>
        <v/>
      </c>
      <c r="F2911" s="25">
        <f>IFERROR(INDEX(Pedidos!$B$2:$B$1801,MATCH(B2911,Pedidos!$A$2:$A$1801,0)),0)</f>
        <v/>
      </c>
      <c r="G2911" s="25">
        <f>IF(F2911=0,"",YEAR(F2911))</f>
        <v/>
      </c>
      <c r="H2911" s="25">
        <f>IF(F2911=0,"",MONTH(F2911))</f>
        <v/>
      </c>
      <c r="I2911" s="25">
        <f>IFERROR(INDEX(Pedidos!$E$2:$E$1801,MATCH(B2911,Pedidos!$A$2:$A$1801,0)),"")</f>
        <v/>
      </c>
      <c r="J2911" s="25">
        <f>IFERROR(INDEX(Pedidos!$C$2:$C$1801,MATCH(B2911,Pedidos!$A$2:$A$1801,0)),"")</f>
        <v/>
      </c>
      <c r="K2911" s="25">
        <f>IFERROR(INDEX(Pedidos!$D$2:$D$1801,MATCH(B2911,Pedidos!$A$2:$A$1801,0)),"")</f>
        <v/>
      </c>
      <c r="L2911" s="25">
        <f>IFERROR(INDEX(Pedidos!$F$2:$F$1801,MATCH(B2911,Pedidos!$A$2:$A$1801,0)),"")</f>
        <v/>
      </c>
      <c r="M2911" s="26">
        <f>IFERROR(INDEX(Pedidos!$G$2:$G$1801,MATCH(B2911,Pedidos!$A$2:$A$1801,0)),0)</f>
        <v/>
      </c>
      <c r="N2911" s="25">
        <f>IFERROR(INDEX(Produtos!$B$2:$B$71,MATCH(C2911,Produtos!$A$2:$A$71,0)),"")</f>
        <v/>
      </c>
      <c r="O2911" s="25">
        <f>IFERROR(INDEX(Produtos!$C$2:$C$71,MATCH(C2911,Produtos!$A$2:$A$71,0)),"")</f>
        <v/>
      </c>
      <c r="P2911" s="25">
        <f>IFERROR(INDEX(Produtos!$D$2:$D$71,MATCH(C2911,Produtos!$A$2:$A$71,0)),0)</f>
        <v/>
      </c>
      <c r="Q2911" s="25">
        <f>IFERROR(INDEX(Produtos!$E$2:$E$71,MATCH(C2911,Produtos!$A$2:$A$71,0)),0)</f>
        <v/>
      </c>
      <c r="R2911" s="27">
        <f>D2911*Q2911</f>
        <v/>
      </c>
      <c r="S2911" s="27">
        <f>R2911*E2911</f>
        <v/>
      </c>
      <c r="T2911" s="27">
        <f>(R2911-S2911)*M2911</f>
        <v/>
      </c>
      <c r="U2911" s="27">
        <f>R2911-S2911-T2911</f>
        <v/>
      </c>
      <c r="V2911" s="27">
        <f>D2911*P2911</f>
        <v/>
      </c>
      <c r="W2911" s="27">
        <f>U2911-V2911</f>
        <v/>
      </c>
      <c r="X2911" s="28">
        <f>IFERROR(W2911/U2911,0)</f>
        <v/>
      </c>
    </row>
    <row r="2912">
      <c r="A2912" s="21">
        <f>ItensPedido!A2912</f>
        <v/>
      </c>
      <c r="B2912" s="21">
        <f>ItensPedido!B2912</f>
        <v/>
      </c>
      <c r="C2912" s="21">
        <f>ItensPedido!C2912</f>
        <v/>
      </c>
      <c r="D2912" s="21">
        <f>ItensPedido!D2912</f>
        <v/>
      </c>
      <c r="E2912" s="22">
        <f>ItensPedido!E2912</f>
        <v/>
      </c>
      <c r="F2912" s="21">
        <f>IFERROR(INDEX(Pedidos!$B$2:$B$1801,MATCH(B2912,Pedidos!$A$2:$A$1801,0)),0)</f>
        <v/>
      </c>
      <c r="G2912" s="21">
        <f>IF(F2912=0,"",YEAR(F2912))</f>
        <v/>
      </c>
      <c r="H2912" s="21">
        <f>IF(F2912=0,"",MONTH(F2912))</f>
        <v/>
      </c>
      <c r="I2912" s="21">
        <f>IFERROR(INDEX(Pedidos!$E$2:$E$1801,MATCH(B2912,Pedidos!$A$2:$A$1801,0)),"")</f>
        <v/>
      </c>
      <c r="J2912" s="21">
        <f>IFERROR(INDEX(Pedidos!$C$2:$C$1801,MATCH(B2912,Pedidos!$A$2:$A$1801,0)),"")</f>
        <v/>
      </c>
      <c r="K2912" s="21">
        <f>IFERROR(INDEX(Pedidos!$D$2:$D$1801,MATCH(B2912,Pedidos!$A$2:$A$1801,0)),"")</f>
        <v/>
      </c>
      <c r="L2912" s="21">
        <f>IFERROR(INDEX(Pedidos!$F$2:$F$1801,MATCH(B2912,Pedidos!$A$2:$A$1801,0)),"")</f>
        <v/>
      </c>
      <c r="M2912" s="22">
        <f>IFERROR(INDEX(Pedidos!$G$2:$G$1801,MATCH(B2912,Pedidos!$A$2:$A$1801,0)),0)</f>
        <v/>
      </c>
      <c r="N2912" s="21">
        <f>IFERROR(INDEX(Produtos!$B$2:$B$71,MATCH(C2912,Produtos!$A$2:$A$71,0)),"")</f>
        <v/>
      </c>
      <c r="O2912" s="21">
        <f>IFERROR(INDEX(Produtos!$C$2:$C$71,MATCH(C2912,Produtos!$A$2:$A$71,0)),"")</f>
        <v/>
      </c>
      <c r="P2912" s="21">
        <f>IFERROR(INDEX(Produtos!$D$2:$D$71,MATCH(C2912,Produtos!$A$2:$A$71,0)),0)</f>
        <v/>
      </c>
      <c r="Q2912" s="21">
        <f>IFERROR(INDEX(Produtos!$E$2:$E$71,MATCH(C2912,Produtos!$A$2:$A$71,0)),0)</f>
        <v/>
      </c>
      <c r="R2912" s="23">
        <f>D2912*Q2912</f>
        <v/>
      </c>
      <c r="S2912" s="23">
        <f>R2912*E2912</f>
        <v/>
      </c>
      <c r="T2912" s="23">
        <f>(R2912-S2912)*M2912</f>
        <v/>
      </c>
      <c r="U2912" s="23">
        <f>R2912-S2912-T2912</f>
        <v/>
      </c>
      <c r="V2912" s="23">
        <f>D2912*P2912</f>
        <v/>
      </c>
      <c r="W2912" s="23">
        <f>U2912-V2912</f>
        <v/>
      </c>
      <c r="X2912" s="24">
        <f>IFERROR(W2912/U2912,0)</f>
        <v/>
      </c>
    </row>
    <row r="2913">
      <c r="A2913" s="25">
        <f>ItensPedido!A2913</f>
        <v/>
      </c>
      <c r="B2913" s="25">
        <f>ItensPedido!B2913</f>
        <v/>
      </c>
      <c r="C2913" s="25">
        <f>ItensPedido!C2913</f>
        <v/>
      </c>
      <c r="D2913" s="25">
        <f>ItensPedido!D2913</f>
        <v/>
      </c>
      <c r="E2913" s="26">
        <f>ItensPedido!E2913</f>
        <v/>
      </c>
      <c r="F2913" s="25">
        <f>IFERROR(INDEX(Pedidos!$B$2:$B$1801,MATCH(B2913,Pedidos!$A$2:$A$1801,0)),0)</f>
        <v/>
      </c>
      <c r="G2913" s="25">
        <f>IF(F2913=0,"",YEAR(F2913))</f>
        <v/>
      </c>
      <c r="H2913" s="25">
        <f>IF(F2913=0,"",MONTH(F2913))</f>
        <v/>
      </c>
      <c r="I2913" s="25">
        <f>IFERROR(INDEX(Pedidos!$E$2:$E$1801,MATCH(B2913,Pedidos!$A$2:$A$1801,0)),"")</f>
        <v/>
      </c>
      <c r="J2913" s="25">
        <f>IFERROR(INDEX(Pedidos!$C$2:$C$1801,MATCH(B2913,Pedidos!$A$2:$A$1801,0)),"")</f>
        <v/>
      </c>
      <c r="K2913" s="25">
        <f>IFERROR(INDEX(Pedidos!$D$2:$D$1801,MATCH(B2913,Pedidos!$A$2:$A$1801,0)),"")</f>
        <v/>
      </c>
      <c r="L2913" s="25">
        <f>IFERROR(INDEX(Pedidos!$F$2:$F$1801,MATCH(B2913,Pedidos!$A$2:$A$1801,0)),"")</f>
        <v/>
      </c>
      <c r="M2913" s="26">
        <f>IFERROR(INDEX(Pedidos!$G$2:$G$1801,MATCH(B2913,Pedidos!$A$2:$A$1801,0)),0)</f>
        <v/>
      </c>
      <c r="N2913" s="25">
        <f>IFERROR(INDEX(Produtos!$B$2:$B$71,MATCH(C2913,Produtos!$A$2:$A$71,0)),"")</f>
        <v/>
      </c>
      <c r="O2913" s="25">
        <f>IFERROR(INDEX(Produtos!$C$2:$C$71,MATCH(C2913,Produtos!$A$2:$A$71,0)),"")</f>
        <v/>
      </c>
      <c r="P2913" s="25">
        <f>IFERROR(INDEX(Produtos!$D$2:$D$71,MATCH(C2913,Produtos!$A$2:$A$71,0)),0)</f>
        <v/>
      </c>
      <c r="Q2913" s="25">
        <f>IFERROR(INDEX(Produtos!$E$2:$E$71,MATCH(C2913,Produtos!$A$2:$A$71,0)),0)</f>
        <v/>
      </c>
      <c r="R2913" s="27">
        <f>D2913*Q2913</f>
        <v/>
      </c>
      <c r="S2913" s="27">
        <f>R2913*E2913</f>
        <v/>
      </c>
      <c r="T2913" s="27">
        <f>(R2913-S2913)*M2913</f>
        <v/>
      </c>
      <c r="U2913" s="27">
        <f>R2913-S2913-T2913</f>
        <v/>
      </c>
      <c r="V2913" s="27">
        <f>D2913*P2913</f>
        <v/>
      </c>
      <c r="W2913" s="27">
        <f>U2913-V2913</f>
        <v/>
      </c>
      <c r="X2913" s="28">
        <f>IFERROR(W2913/U2913,0)</f>
        <v/>
      </c>
    </row>
    <row r="2914">
      <c r="A2914" s="21">
        <f>ItensPedido!A2914</f>
        <v/>
      </c>
      <c r="B2914" s="21">
        <f>ItensPedido!B2914</f>
        <v/>
      </c>
      <c r="C2914" s="21">
        <f>ItensPedido!C2914</f>
        <v/>
      </c>
      <c r="D2914" s="21">
        <f>ItensPedido!D2914</f>
        <v/>
      </c>
      <c r="E2914" s="22">
        <f>ItensPedido!E2914</f>
        <v/>
      </c>
      <c r="F2914" s="21">
        <f>IFERROR(INDEX(Pedidos!$B$2:$B$1801,MATCH(B2914,Pedidos!$A$2:$A$1801,0)),0)</f>
        <v/>
      </c>
      <c r="G2914" s="21">
        <f>IF(F2914=0,"",YEAR(F2914))</f>
        <v/>
      </c>
      <c r="H2914" s="21">
        <f>IF(F2914=0,"",MONTH(F2914))</f>
        <v/>
      </c>
      <c r="I2914" s="21">
        <f>IFERROR(INDEX(Pedidos!$E$2:$E$1801,MATCH(B2914,Pedidos!$A$2:$A$1801,0)),"")</f>
        <v/>
      </c>
      <c r="J2914" s="21">
        <f>IFERROR(INDEX(Pedidos!$C$2:$C$1801,MATCH(B2914,Pedidos!$A$2:$A$1801,0)),"")</f>
        <v/>
      </c>
      <c r="K2914" s="21">
        <f>IFERROR(INDEX(Pedidos!$D$2:$D$1801,MATCH(B2914,Pedidos!$A$2:$A$1801,0)),"")</f>
        <v/>
      </c>
      <c r="L2914" s="21">
        <f>IFERROR(INDEX(Pedidos!$F$2:$F$1801,MATCH(B2914,Pedidos!$A$2:$A$1801,0)),"")</f>
        <v/>
      </c>
      <c r="M2914" s="22">
        <f>IFERROR(INDEX(Pedidos!$G$2:$G$1801,MATCH(B2914,Pedidos!$A$2:$A$1801,0)),0)</f>
        <v/>
      </c>
      <c r="N2914" s="21">
        <f>IFERROR(INDEX(Produtos!$B$2:$B$71,MATCH(C2914,Produtos!$A$2:$A$71,0)),"")</f>
        <v/>
      </c>
      <c r="O2914" s="21">
        <f>IFERROR(INDEX(Produtos!$C$2:$C$71,MATCH(C2914,Produtos!$A$2:$A$71,0)),"")</f>
        <v/>
      </c>
      <c r="P2914" s="21">
        <f>IFERROR(INDEX(Produtos!$D$2:$D$71,MATCH(C2914,Produtos!$A$2:$A$71,0)),0)</f>
        <v/>
      </c>
      <c r="Q2914" s="21">
        <f>IFERROR(INDEX(Produtos!$E$2:$E$71,MATCH(C2914,Produtos!$A$2:$A$71,0)),0)</f>
        <v/>
      </c>
      <c r="R2914" s="23">
        <f>D2914*Q2914</f>
        <v/>
      </c>
      <c r="S2914" s="23">
        <f>R2914*E2914</f>
        <v/>
      </c>
      <c r="T2914" s="23">
        <f>(R2914-S2914)*M2914</f>
        <v/>
      </c>
      <c r="U2914" s="23">
        <f>R2914-S2914-T2914</f>
        <v/>
      </c>
      <c r="V2914" s="23">
        <f>D2914*P2914</f>
        <v/>
      </c>
      <c r="W2914" s="23">
        <f>U2914-V2914</f>
        <v/>
      </c>
      <c r="X2914" s="24">
        <f>IFERROR(W2914/U2914,0)</f>
        <v/>
      </c>
    </row>
    <row r="2915">
      <c r="A2915" s="25">
        <f>ItensPedido!A2915</f>
        <v/>
      </c>
      <c r="B2915" s="25">
        <f>ItensPedido!B2915</f>
        <v/>
      </c>
      <c r="C2915" s="25">
        <f>ItensPedido!C2915</f>
        <v/>
      </c>
      <c r="D2915" s="25">
        <f>ItensPedido!D2915</f>
        <v/>
      </c>
      <c r="E2915" s="26">
        <f>ItensPedido!E2915</f>
        <v/>
      </c>
      <c r="F2915" s="25">
        <f>IFERROR(INDEX(Pedidos!$B$2:$B$1801,MATCH(B2915,Pedidos!$A$2:$A$1801,0)),0)</f>
        <v/>
      </c>
      <c r="G2915" s="25">
        <f>IF(F2915=0,"",YEAR(F2915))</f>
        <v/>
      </c>
      <c r="H2915" s="25">
        <f>IF(F2915=0,"",MONTH(F2915))</f>
        <v/>
      </c>
      <c r="I2915" s="25">
        <f>IFERROR(INDEX(Pedidos!$E$2:$E$1801,MATCH(B2915,Pedidos!$A$2:$A$1801,0)),"")</f>
        <v/>
      </c>
      <c r="J2915" s="25">
        <f>IFERROR(INDEX(Pedidos!$C$2:$C$1801,MATCH(B2915,Pedidos!$A$2:$A$1801,0)),"")</f>
        <v/>
      </c>
      <c r="K2915" s="25">
        <f>IFERROR(INDEX(Pedidos!$D$2:$D$1801,MATCH(B2915,Pedidos!$A$2:$A$1801,0)),"")</f>
        <v/>
      </c>
      <c r="L2915" s="25">
        <f>IFERROR(INDEX(Pedidos!$F$2:$F$1801,MATCH(B2915,Pedidos!$A$2:$A$1801,0)),"")</f>
        <v/>
      </c>
      <c r="M2915" s="26">
        <f>IFERROR(INDEX(Pedidos!$G$2:$G$1801,MATCH(B2915,Pedidos!$A$2:$A$1801,0)),0)</f>
        <v/>
      </c>
      <c r="N2915" s="25">
        <f>IFERROR(INDEX(Produtos!$B$2:$B$71,MATCH(C2915,Produtos!$A$2:$A$71,0)),"")</f>
        <v/>
      </c>
      <c r="O2915" s="25">
        <f>IFERROR(INDEX(Produtos!$C$2:$C$71,MATCH(C2915,Produtos!$A$2:$A$71,0)),"")</f>
        <v/>
      </c>
      <c r="P2915" s="25">
        <f>IFERROR(INDEX(Produtos!$D$2:$D$71,MATCH(C2915,Produtos!$A$2:$A$71,0)),0)</f>
        <v/>
      </c>
      <c r="Q2915" s="25">
        <f>IFERROR(INDEX(Produtos!$E$2:$E$71,MATCH(C2915,Produtos!$A$2:$A$71,0)),0)</f>
        <v/>
      </c>
      <c r="R2915" s="27">
        <f>D2915*Q2915</f>
        <v/>
      </c>
      <c r="S2915" s="27">
        <f>R2915*E2915</f>
        <v/>
      </c>
      <c r="T2915" s="27">
        <f>(R2915-S2915)*M2915</f>
        <v/>
      </c>
      <c r="U2915" s="27">
        <f>R2915-S2915-T2915</f>
        <v/>
      </c>
      <c r="V2915" s="27">
        <f>D2915*P2915</f>
        <v/>
      </c>
      <c r="W2915" s="27">
        <f>U2915-V2915</f>
        <v/>
      </c>
      <c r="X2915" s="28">
        <f>IFERROR(W2915/U2915,0)</f>
        <v/>
      </c>
    </row>
    <row r="2916">
      <c r="A2916" s="21">
        <f>ItensPedido!A2916</f>
        <v/>
      </c>
      <c r="B2916" s="21">
        <f>ItensPedido!B2916</f>
        <v/>
      </c>
      <c r="C2916" s="21">
        <f>ItensPedido!C2916</f>
        <v/>
      </c>
      <c r="D2916" s="21">
        <f>ItensPedido!D2916</f>
        <v/>
      </c>
      <c r="E2916" s="22">
        <f>ItensPedido!E2916</f>
        <v/>
      </c>
      <c r="F2916" s="21">
        <f>IFERROR(INDEX(Pedidos!$B$2:$B$1801,MATCH(B2916,Pedidos!$A$2:$A$1801,0)),0)</f>
        <v/>
      </c>
      <c r="G2916" s="21">
        <f>IF(F2916=0,"",YEAR(F2916))</f>
        <v/>
      </c>
      <c r="H2916" s="21">
        <f>IF(F2916=0,"",MONTH(F2916))</f>
        <v/>
      </c>
      <c r="I2916" s="21">
        <f>IFERROR(INDEX(Pedidos!$E$2:$E$1801,MATCH(B2916,Pedidos!$A$2:$A$1801,0)),"")</f>
        <v/>
      </c>
      <c r="J2916" s="21">
        <f>IFERROR(INDEX(Pedidos!$C$2:$C$1801,MATCH(B2916,Pedidos!$A$2:$A$1801,0)),"")</f>
        <v/>
      </c>
      <c r="K2916" s="21">
        <f>IFERROR(INDEX(Pedidos!$D$2:$D$1801,MATCH(B2916,Pedidos!$A$2:$A$1801,0)),"")</f>
        <v/>
      </c>
      <c r="L2916" s="21">
        <f>IFERROR(INDEX(Pedidos!$F$2:$F$1801,MATCH(B2916,Pedidos!$A$2:$A$1801,0)),"")</f>
        <v/>
      </c>
      <c r="M2916" s="22">
        <f>IFERROR(INDEX(Pedidos!$G$2:$G$1801,MATCH(B2916,Pedidos!$A$2:$A$1801,0)),0)</f>
        <v/>
      </c>
      <c r="N2916" s="21">
        <f>IFERROR(INDEX(Produtos!$B$2:$B$71,MATCH(C2916,Produtos!$A$2:$A$71,0)),"")</f>
        <v/>
      </c>
      <c r="O2916" s="21">
        <f>IFERROR(INDEX(Produtos!$C$2:$C$71,MATCH(C2916,Produtos!$A$2:$A$71,0)),"")</f>
        <v/>
      </c>
      <c r="P2916" s="21">
        <f>IFERROR(INDEX(Produtos!$D$2:$D$71,MATCH(C2916,Produtos!$A$2:$A$71,0)),0)</f>
        <v/>
      </c>
      <c r="Q2916" s="21">
        <f>IFERROR(INDEX(Produtos!$E$2:$E$71,MATCH(C2916,Produtos!$A$2:$A$71,0)),0)</f>
        <v/>
      </c>
      <c r="R2916" s="23">
        <f>D2916*Q2916</f>
        <v/>
      </c>
      <c r="S2916" s="23">
        <f>R2916*E2916</f>
        <v/>
      </c>
      <c r="T2916" s="23">
        <f>(R2916-S2916)*M2916</f>
        <v/>
      </c>
      <c r="U2916" s="23">
        <f>R2916-S2916-T2916</f>
        <v/>
      </c>
      <c r="V2916" s="23">
        <f>D2916*P2916</f>
        <v/>
      </c>
      <c r="W2916" s="23">
        <f>U2916-V2916</f>
        <v/>
      </c>
      <c r="X2916" s="24">
        <f>IFERROR(W2916/U2916,0)</f>
        <v/>
      </c>
    </row>
    <row r="2917">
      <c r="A2917" s="25">
        <f>ItensPedido!A2917</f>
        <v/>
      </c>
      <c r="B2917" s="25">
        <f>ItensPedido!B2917</f>
        <v/>
      </c>
      <c r="C2917" s="25">
        <f>ItensPedido!C2917</f>
        <v/>
      </c>
      <c r="D2917" s="25">
        <f>ItensPedido!D2917</f>
        <v/>
      </c>
      <c r="E2917" s="26">
        <f>ItensPedido!E2917</f>
        <v/>
      </c>
      <c r="F2917" s="25">
        <f>IFERROR(INDEX(Pedidos!$B$2:$B$1801,MATCH(B2917,Pedidos!$A$2:$A$1801,0)),0)</f>
        <v/>
      </c>
      <c r="G2917" s="25">
        <f>IF(F2917=0,"",YEAR(F2917))</f>
        <v/>
      </c>
      <c r="H2917" s="25">
        <f>IF(F2917=0,"",MONTH(F2917))</f>
        <v/>
      </c>
      <c r="I2917" s="25">
        <f>IFERROR(INDEX(Pedidos!$E$2:$E$1801,MATCH(B2917,Pedidos!$A$2:$A$1801,0)),"")</f>
        <v/>
      </c>
      <c r="J2917" s="25">
        <f>IFERROR(INDEX(Pedidos!$C$2:$C$1801,MATCH(B2917,Pedidos!$A$2:$A$1801,0)),"")</f>
        <v/>
      </c>
      <c r="K2917" s="25">
        <f>IFERROR(INDEX(Pedidos!$D$2:$D$1801,MATCH(B2917,Pedidos!$A$2:$A$1801,0)),"")</f>
        <v/>
      </c>
      <c r="L2917" s="25">
        <f>IFERROR(INDEX(Pedidos!$F$2:$F$1801,MATCH(B2917,Pedidos!$A$2:$A$1801,0)),"")</f>
        <v/>
      </c>
      <c r="M2917" s="26">
        <f>IFERROR(INDEX(Pedidos!$G$2:$G$1801,MATCH(B2917,Pedidos!$A$2:$A$1801,0)),0)</f>
        <v/>
      </c>
      <c r="N2917" s="25">
        <f>IFERROR(INDEX(Produtos!$B$2:$B$71,MATCH(C2917,Produtos!$A$2:$A$71,0)),"")</f>
        <v/>
      </c>
      <c r="O2917" s="25">
        <f>IFERROR(INDEX(Produtos!$C$2:$C$71,MATCH(C2917,Produtos!$A$2:$A$71,0)),"")</f>
        <v/>
      </c>
      <c r="P2917" s="25">
        <f>IFERROR(INDEX(Produtos!$D$2:$D$71,MATCH(C2917,Produtos!$A$2:$A$71,0)),0)</f>
        <v/>
      </c>
      <c r="Q2917" s="25">
        <f>IFERROR(INDEX(Produtos!$E$2:$E$71,MATCH(C2917,Produtos!$A$2:$A$71,0)),0)</f>
        <v/>
      </c>
      <c r="R2917" s="27">
        <f>D2917*Q2917</f>
        <v/>
      </c>
      <c r="S2917" s="27">
        <f>R2917*E2917</f>
        <v/>
      </c>
      <c r="T2917" s="27">
        <f>(R2917-S2917)*M2917</f>
        <v/>
      </c>
      <c r="U2917" s="27">
        <f>R2917-S2917-T2917</f>
        <v/>
      </c>
      <c r="V2917" s="27">
        <f>D2917*P2917</f>
        <v/>
      </c>
      <c r="W2917" s="27">
        <f>U2917-V2917</f>
        <v/>
      </c>
      <c r="X2917" s="28">
        <f>IFERROR(W2917/U2917,0)</f>
        <v/>
      </c>
    </row>
    <row r="2918">
      <c r="A2918" s="21">
        <f>ItensPedido!A2918</f>
        <v/>
      </c>
      <c r="B2918" s="21">
        <f>ItensPedido!B2918</f>
        <v/>
      </c>
      <c r="C2918" s="21">
        <f>ItensPedido!C2918</f>
        <v/>
      </c>
      <c r="D2918" s="21">
        <f>ItensPedido!D2918</f>
        <v/>
      </c>
      <c r="E2918" s="22">
        <f>ItensPedido!E2918</f>
        <v/>
      </c>
      <c r="F2918" s="21">
        <f>IFERROR(INDEX(Pedidos!$B$2:$B$1801,MATCH(B2918,Pedidos!$A$2:$A$1801,0)),0)</f>
        <v/>
      </c>
      <c r="G2918" s="21">
        <f>IF(F2918=0,"",YEAR(F2918))</f>
        <v/>
      </c>
      <c r="H2918" s="21">
        <f>IF(F2918=0,"",MONTH(F2918))</f>
        <v/>
      </c>
      <c r="I2918" s="21">
        <f>IFERROR(INDEX(Pedidos!$E$2:$E$1801,MATCH(B2918,Pedidos!$A$2:$A$1801,0)),"")</f>
        <v/>
      </c>
      <c r="J2918" s="21">
        <f>IFERROR(INDEX(Pedidos!$C$2:$C$1801,MATCH(B2918,Pedidos!$A$2:$A$1801,0)),"")</f>
        <v/>
      </c>
      <c r="K2918" s="21">
        <f>IFERROR(INDEX(Pedidos!$D$2:$D$1801,MATCH(B2918,Pedidos!$A$2:$A$1801,0)),"")</f>
        <v/>
      </c>
      <c r="L2918" s="21">
        <f>IFERROR(INDEX(Pedidos!$F$2:$F$1801,MATCH(B2918,Pedidos!$A$2:$A$1801,0)),"")</f>
        <v/>
      </c>
      <c r="M2918" s="22">
        <f>IFERROR(INDEX(Pedidos!$G$2:$G$1801,MATCH(B2918,Pedidos!$A$2:$A$1801,0)),0)</f>
        <v/>
      </c>
      <c r="N2918" s="21">
        <f>IFERROR(INDEX(Produtos!$B$2:$B$71,MATCH(C2918,Produtos!$A$2:$A$71,0)),"")</f>
        <v/>
      </c>
      <c r="O2918" s="21">
        <f>IFERROR(INDEX(Produtos!$C$2:$C$71,MATCH(C2918,Produtos!$A$2:$A$71,0)),"")</f>
        <v/>
      </c>
      <c r="P2918" s="21">
        <f>IFERROR(INDEX(Produtos!$D$2:$D$71,MATCH(C2918,Produtos!$A$2:$A$71,0)),0)</f>
        <v/>
      </c>
      <c r="Q2918" s="21">
        <f>IFERROR(INDEX(Produtos!$E$2:$E$71,MATCH(C2918,Produtos!$A$2:$A$71,0)),0)</f>
        <v/>
      </c>
      <c r="R2918" s="23">
        <f>D2918*Q2918</f>
        <v/>
      </c>
      <c r="S2918" s="23">
        <f>R2918*E2918</f>
        <v/>
      </c>
      <c r="T2918" s="23">
        <f>(R2918-S2918)*M2918</f>
        <v/>
      </c>
      <c r="U2918" s="23">
        <f>R2918-S2918-T2918</f>
        <v/>
      </c>
      <c r="V2918" s="23">
        <f>D2918*P2918</f>
        <v/>
      </c>
      <c r="W2918" s="23">
        <f>U2918-V2918</f>
        <v/>
      </c>
      <c r="X2918" s="24">
        <f>IFERROR(W2918/U2918,0)</f>
        <v/>
      </c>
    </row>
    <row r="2919">
      <c r="A2919" s="25">
        <f>ItensPedido!A2919</f>
        <v/>
      </c>
      <c r="B2919" s="25">
        <f>ItensPedido!B2919</f>
        <v/>
      </c>
      <c r="C2919" s="25">
        <f>ItensPedido!C2919</f>
        <v/>
      </c>
      <c r="D2919" s="25">
        <f>ItensPedido!D2919</f>
        <v/>
      </c>
      <c r="E2919" s="26">
        <f>ItensPedido!E2919</f>
        <v/>
      </c>
      <c r="F2919" s="25">
        <f>IFERROR(INDEX(Pedidos!$B$2:$B$1801,MATCH(B2919,Pedidos!$A$2:$A$1801,0)),0)</f>
        <v/>
      </c>
      <c r="G2919" s="25">
        <f>IF(F2919=0,"",YEAR(F2919))</f>
        <v/>
      </c>
      <c r="H2919" s="25">
        <f>IF(F2919=0,"",MONTH(F2919))</f>
        <v/>
      </c>
      <c r="I2919" s="25">
        <f>IFERROR(INDEX(Pedidos!$E$2:$E$1801,MATCH(B2919,Pedidos!$A$2:$A$1801,0)),"")</f>
        <v/>
      </c>
      <c r="J2919" s="25">
        <f>IFERROR(INDEX(Pedidos!$C$2:$C$1801,MATCH(B2919,Pedidos!$A$2:$A$1801,0)),"")</f>
        <v/>
      </c>
      <c r="K2919" s="25">
        <f>IFERROR(INDEX(Pedidos!$D$2:$D$1801,MATCH(B2919,Pedidos!$A$2:$A$1801,0)),"")</f>
        <v/>
      </c>
      <c r="L2919" s="25">
        <f>IFERROR(INDEX(Pedidos!$F$2:$F$1801,MATCH(B2919,Pedidos!$A$2:$A$1801,0)),"")</f>
        <v/>
      </c>
      <c r="M2919" s="26">
        <f>IFERROR(INDEX(Pedidos!$G$2:$G$1801,MATCH(B2919,Pedidos!$A$2:$A$1801,0)),0)</f>
        <v/>
      </c>
      <c r="N2919" s="25">
        <f>IFERROR(INDEX(Produtos!$B$2:$B$71,MATCH(C2919,Produtos!$A$2:$A$71,0)),"")</f>
        <v/>
      </c>
      <c r="O2919" s="25">
        <f>IFERROR(INDEX(Produtos!$C$2:$C$71,MATCH(C2919,Produtos!$A$2:$A$71,0)),"")</f>
        <v/>
      </c>
      <c r="P2919" s="25">
        <f>IFERROR(INDEX(Produtos!$D$2:$D$71,MATCH(C2919,Produtos!$A$2:$A$71,0)),0)</f>
        <v/>
      </c>
      <c r="Q2919" s="25">
        <f>IFERROR(INDEX(Produtos!$E$2:$E$71,MATCH(C2919,Produtos!$A$2:$A$71,0)),0)</f>
        <v/>
      </c>
      <c r="R2919" s="27">
        <f>D2919*Q2919</f>
        <v/>
      </c>
      <c r="S2919" s="27">
        <f>R2919*E2919</f>
        <v/>
      </c>
      <c r="T2919" s="27">
        <f>(R2919-S2919)*M2919</f>
        <v/>
      </c>
      <c r="U2919" s="27">
        <f>R2919-S2919-T2919</f>
        <v/>
      </c>
      <c r="V2919" s="27">
        <f>D2919*P2919</f>
        <v/>
      </c>
      <c r="W2919" s="27">
        <f>U2919-V2919</f>
        <v/>
      </c>
      <c r="X2919" s="28">
        <f>IFERROR(W2919/U2919,0)</f>
        <v/>
      </c>
    </row>
    <row r="2920">
      <c r="A2920" s="21">
        <f>ItensPedido!A2920</f>
        <v/>
      </c>
      <c r="B2920" s="21">
        <f>ItensPedido!B2920</f>
        <v/>
      </c>
      <c r="C2920" s="21">
        <f>ItensPedido!C2920</f>
        <v/>
      </c>
      <c r="D2920" s="21">
        <f>ItensPedido!D2920</f>
        <v/>
      </c>
      <c r="E2920" s="22">
        <f>ItensPedido!E2920</f>
        <v/>
      </c>
      <c r="F2920" s="21">
        <f>IFERROR(INDEX(Pedidos!$B$2:$B$1801,MATCH(B2920,Pedidos!$A$2:$A$1801,0)),0)</f>
        <v/>
      </c>
      <c r="G2920" s="21">
        <f>IF(F2920=0,"",YEAR(F2920))</f>
        <v/>
      </c>
      <c r="H2920" s="21">
        <f>IF(F2920=0,"",MONTH(F2920))</f>
        <v/>
      </c>
      <c r="I2920" s="21">
        <f>IFERROR(INDEX(Pedidos!$E$2:$E$1801,MATCH(B2920,Pedidos!$A$2:$A$1801,0)),"")</f>
        <v/>
      </c>
      <c r="J2920" s="21">
        <f>IFERROR(INDEX(Pedidos!$C$2:$C$1801,MATCH(B2920,Pedidos!$A$2:$A$1801,0)),"")</f>
        <v/>
      </c>
      <c r="K2920" s="21">
        <f>IFERROR(INDEX(Pedidos!$D$2:$D$1801,MATCH(B2920,Pedidos!$A$2:$A$1801,0)),"")</f>
        <v/>
      </c>
      <c r="L2920" s="21">
        <f>IFERROR(INDEX(Pedidos!$F$2:$F$1801,MATCH(B2920,Pedidos!$A$2:$A$1801,0)),"")</f>
        <v/>
      </c>
      <c r="M2920" s="22">
        <f>IFERROR(INDEX(Pedidos!$G$2:$G$1801,MATCH(B2920,Pedidos!$A$2:$A$1801,0)),0)</f>
        <v/>
      </c>
      <c r="N2920" s="21">
        <f>IFERROR(INDEX(Produtos!$B$2:$B$71,MATCH(C2920,Produtos!$A$2:$A$71,0)),"")</f>
        <v/>
      </c>
      <c r="O2920" s="21">
        <f>IFERROR(INDEX(Produtos!$C$2:$C$71,MATCH(C2920,Produtos!$A$2:$A$71,0)),"")</f>
        <v/>
      </c>
      <c r="P2920" s="21">
        <f>IFERROR(INDEX(Produtos!$D$2:$D$71,MATCH(C2920,Produtos!$A$2:$A$71,0)),0)</f>
        <v/>
      </c>
      <c r="Q2920" s="21">
        <f>IFERROR(INDEX(Produtos!$E$2:$E$71,MATCH(C2920,Produtos!$A$2:$A$71,0)),0)</f>
        <v/>
      </c>
      <c r="R2920" s="23">
        <f>D2920*Q2920</f>
        <v/>
      </c>
      <c r="S2920" s="23">
        <f>R2920*E2920</f>
        <v/>
      </c>
      <c r="T2920" s="23">
        <f>(R2920-S2920)*M2920</f>
        <v/>
      </c>
      <c r="U2920" s="23">
        <f>R2920-S2920-T2920</f>
        <v/>
      </c>
      <c r="V2920" s="23">
        <f>D2920*P2920</f>
        <v/>
      </c>
      <c r="W2920" s="23">
        <f>U2920-V2920</f>
        <v/>
      </c>
      <c r="X2920" s="24">
        <f>IFERROR(W2920/U2920,0)</f>
        <v/>
      </c>
    </row>
    <row r="2921">
      <c r="A2921" s="25">
        <f>ItensPedido!A2921</f>
        <v/>
      </c>
      <c r="B2921" s="25">
        <f>ItensPedido!B2921</f>
        <v/>
      </c>
      <c r="C2921" s="25">
        <f>ItensPedido!C2921</f>
        <v/>
      </c>
      <c r="D2921" s="25">
        <f>ItensPedido!D2921</f>
        <v/>
      </c>
      <c r="E2921" s="26">
        <f>ItensPedido!E2921</f>
        <v/>
      </c>
      <c r="F2921" s="25">
        <f>IFERROR(INDEX(Pedidos!$B$2:$B$1801,MATCH(B2921,Pedidos!$A$2:$A$1801,0)),0)</f>
        <v/>
      </c>
      <c r="G2921" s="25">
        <f>IF(F2921=0,"",YEAR(F2921))</f>
        <v/>
      </c>
      <c r="H2921" s="25">
        <f>IF(F2921=0,"",MONTH(F2921))</f>
        <v/>
      </c>
      <c r="I2921" s="25">
        <f>IFERROR(INDEX(Pedidos!$E$2:$E$1801,MATCH(B2921,Pedidos!$A$2:$A$1801,0)),"")</f>
        <v/>
      </c>
      <c r="J2921" s="25">
        <f>IFERROR(INDEX(Pedidos!$C$2:$C$1801,MATCH(B2921,Pedidos!$A$2:$A$1801,0)),"")</f>
        <v/>
      </c>
      <c r="K2921" s="25">
        <f>IFERROR(INDEX(Pedidos!$D$2:$D$1801,MATCH(B2921,Pedidos!$A$2:$A$1801,0)),"")</f>
        <v/>
      </c>
      <c r="L2921" s="25">
        <f>IFERROR(INDEX(Pedidos!$F$2:$F$1801,MATCH(B2921,Pedidos!$A$2:$A$1801,0)),"")</f>
        <v/>
      </c>
      <c r="M2921" s="26">
        <f>IFERROR(INDEX(Pedidos!$G$2:$G$1801,MATCH(B2921,Pedidos!$A$2:$A$1801,0)),0)</f>
        <v/>
      </c>
      <c r="N2921" s="25">
        <f>IFERROR(INDEX(Produtos!$B$2:$B$71,MATCH(C2921,Produtos!$A$2:$A$71,0)),"")</f>
        <v/>
      </c>
      <c r="O2921" s="25">
        <f>IFERROR(INDEX(Produtos!$C$2:$C$71,MATCH(C2921,Produtos!$A$2:$A$71,0)),"")</f>
        <v/>
      </c>
      <c r="P2921" s="25">
        <f>IFERROR(INDEX(Produtos!$D$2:$D$71,MATCH(C2921,Produtos!$A$2:$A$71,0)),0)</f>
        <v/>
      </c>
      <c r="Q2921" s="25">
        <f>IFERROR(INDEX(Produtos!$E$2:$E$71,MATCH(C2921,Produtos!$A$2:$A$71,0)),0)</f>
        <v/>
      </c>
      <c r="R2921" s="27">
        <f>D2921*Q2921</f>
        <v/>
      </c>
      <c r="S2921" s="27">
        <f>R2921*E2921</f>
        <v/>
      </c>
      <c r="T2921" s="27">
        <f>(R2921-S2921)*M2921</f>
        <v/>
      </c>
      <c r="U2921" s="27">
        <f>R2921-S2921-T2921</f>
        <v/>
      </c>
      <c r="V2921" s="27">
        <f>D2921*P2921</f>
        <v/>
      </c>
      <c r="W2921" s="27">
        <f>U2921-V2921</f>
        <v/>
      </c>
      <c r="X2921" s="28">
        <f>IFERROR(W2921/U2921,0)</f>
        <v/>
      </c>
    </row>
    <row r="2922">
      <c r="A2922" s="21">
        <f>ItensPedido!A2922</f>
        <v/>
      </c>
      <c r="B2922" s="21">
        <f>ItensPedido!B2922</f>
        <v/>
      </c>
      <c r="C2922" s="21">
        <f>ItensPedido!C2922</f>
        <v/>
      </c>
      <c r="D2922" s="21">
        <f>ItensPedido!D2922</f>
        <v/>
      </c>
      <c r="E2922" s="22">
        <f>ItensPedido!E2922</f>
        <v/>
      </c>
      <c r="F2922" s="21">
        <f>IFERROR(INDEX(Pedidos!$B$2:$B$1801,MATCH(B2922,Pedidos!$A$2:$A$1801,0)),0)</f>
        <v/>
      </c>
      <c r="G2922" s="21">
        <f>IF(F2922=0,"",YEAR(F2922))</f>
        <v/>
      </c>
      <c r="H2922" s="21">
        <f>IF(F2922=0,"",MONTH(F2922))</f>
        <v/>
      </c>
      <c r="I2922" s="21">
        <f>IFERROR(INDEX(Pedidos!$E$2:$E$1801,MATCH(B2922,Pedidos!$A$2:$A$1801,0)),"")</f>
        <v/>
      </c>
      <c r="J2922" s="21">
        <f>IFERROR(INDEX(Pedidos!$C$2:$C$1801,MATCH(B2922,Pedidos!$A$2:$A$1801,0)),"")</f>
        <v/>
      </c>
      <c r="K2922" s="21">
        <f>IFERROR(INDEX(Pedidos!$D$2:$D$1801,MATCH(B2922,Pedidos!$A$2:$A$1801,0)),"")</f>
        <v/>
      </c>
      <c r="L2922" s="21">
        <f>IFERROR(INDEX(Pedidos!$F$2:$F$1801,MATCH(B2922,Pedidos!$A$2:$A$1801,0)),"")</f>
        <v/>
      </c>
      <c r="M2922" s="22">
        <f>IFERROR(INDEX(Pedidos!$G$2:$G$1801,MATCH(B2922,Pedidos!$A$2:$A$1801,0)),0)</f>
        <v/>
      </c>
      <c r="N2922" s="21">
        <f>IFERROR(INDEX(Produtos!$B$2:$B$71,MATCH(C2922,Produtos!$A$2:$A$71,0)),"")</f>
        <v/>
      </c>
      <c r="O2922" s="21">
        <f>IFERROR(INDEX(Produtos!$C$2:$C$71,MATCH(C2922,Produtos!$A$2:$A$71,0)),"")</f>
        <v/>
      </c>
      <c r="P2922" s="21">
        <f>IFERROR(INDEX(Produtos!$D$2:$D$71,MATCH(C2922,Produtos!$A$2:$A$71,0)),0)</f>
        <v/>
      </c>
      <c r="Q2922" s="21">
        <f>IFERROR(INDEX(Produtos!$E$2:$E$71,MATCH(C2922,Produtos!$A$2:$A$71,0)),0)</f>
        <v/>
      </c>
      <c r="R2922" s="23">
        <f>D2922*Q2922</f>
        <v/>
      </c>
      <c r="S2922" s="23">
        <f>R2922*E2922</f>
        <v/>
      </c>
      <c r="T2922" s="23">
        <f>(R2922-S2922)*M2922</f>
        <v/>
      </c>
      <c r="U2922" s="23">
        <f>R2922-S2922-T2922</f>
        <v/>
      </c>
      <c r="V2922" s="23">
        <f>D2922*P2922</f>
        <v/>
      </c>
      <c r="W2922" s="23">
        <f>U2922-V2922</f>
        <v/>
      </c>
      <c r="X2922" s="24">
        <f>IFERROR(W2922/U2922,0)</f>
        <v/>
      </c>
    </row>
    <row r="2923">
      <c r="A2923" s="25">
        <f>ItensPedido!A2923</f>
        <v/>
      </c>
      <c r="B2923" s="25">
        <f>ItensPedido!B2923</f>
        <v/>
      </c>
      <c r="C2923" s="25">
        <f>ItensPedido!C2923</f>
        <v/>
      </c>
      <c r="D2923" s="25">
        <f>ItensPedido!D2923</f>
        <v/>
      </c>
      <c r="E2923" s="26">
        <f>ItensPedido!E2923</f>
        <v/>
      </c>
      <c r="F2923" s="25">
        <f>IFERROR(INDEX(Pedidos!$B$2:$B$1801,MATCH(B2923,Pedidos!$A$2:$A$1801,0)),0)</f>
        <v/>
      </c>
      <c r="G2923" s="25">
        <f>IF(F2923=0,"",YEAR(F2923))</f>
        <v/>
      </c>
      <c r="H2923" s="25">
        <f>IF(F2923=0,"",MONTH(F2923))</f>
        <v/>
      </c>
      <c r="I2923" s="25">
        <f>IFERROR(INDEX(Pedidos!$E$2:$E$1801,MATCH(B2923,Pedidos!$A$2:$A$1801,0)),"")</f>
        <v/>
      </c>
      <c r="J2923" s="25">
        <f>IFERROR(INDEX(Pedidos!$C$2:$C$1801,MATCH(B2923,Pedidos!$A$2:$A$1801,0)),"")</f>
        <v/>
      </c>
      <c r="K2923" s="25">
        <f>IFERROR(INDEX(Pedidos!$D$2:$D$1801,MATCH(B2923,Pedidos!$A$2:$A$1801,0)),"")</f>
        <v/>
      </c>
      <c r="L2923" s="25">
        <f>IFERROR(INDEX(Pedidos!$F$2:$F$1801,MATCH(B2923,Pedidos!$A$2:$A$1801,0)),"")</f>
        <v/>
      </c>
      <c r="M2923" s="26">
        <f>IFERROR(INDEX(Pedidos!$G$2:$G$1801,MATCH(B2923,Pedidos!$A$2:$A$1801,0)),0)</f>
        <v/>
      </c>
      <c r="N2923" s="25">
        <f>IFERROR(INDEX(Produtos!$B$2:$B$71,MATCH(C2923,Produtos!$A$2:$A$71,0)),"")</f>
        <v/>
      </c>
      <c r="O2923" s="25">
        <f>IFERROR(INDEX(Produtos!$C$2:$C$71,MATCH(C2923,Produtos!$A$2:$A$71,0)),"")</f>
        <v/>
      </c>
      <c r="P2923" s="25">
        <f>IFERROR(INDEX(Produtos!$D$2:$D$71,MATCH(C2923,Produtos!$A$2:$A$71,0)),0)</f>
        <v/>
      </c>
      <c r="Q2923" s="25">
        <f>IFERROR(INDEX(Produtos!$E$2:$E$71,MATCH(C2923,Produtos!$A$2:$A$71,0)),0)</f>
        <v/>
      </c>
      <c r="R2923" s="27">
        <f>D2923*Q2923</f>
        <v/>
      </c>
      <c r="S2923" s="27">
        <f>R2923*E2923</f>
        <v/>
      </c>
      <c r="T2923" s="27">
        <f>(R2923-S2923)*M2923</f>
        <v/>
      </c>
      <c r="U2923" s="27">
        <f>R2923-S2923-T2923</f>
        <v/>
      </c>
      <c r="V2923" s="27">
        <f>D2923*P2923</f>
        <v/>
      </c>
      <c r="W2923" s="27">
        <f>U2923-V2923</f>
        <v/>
      </c>
      <c r="X2923" s="28">
        <f>IFERROR(W2923/U2923,0)</f>
        <v/>
      </c>
    </row>
    <row r="2924">
      <c r="A2924" s="21">
        <f>ItensPedido!A2924</f>
        <v/>
      </c>
      <c r="B2924" s="21">
        <f>ItensPedido!B2924</f>
        <v/>
      </c>
      <c r="C2924" s="21">
        <f>ItensPedido!C2924</f>
        <v/>
      </c>
      <c r="D2924" s="21">
        <f>ItensPedido!D2924</f>
        <v/>
      </c>
      <c r="E2924" s="22">
        <f>ItensPedido!E2924</f>
        <v/>
      </c>
      <c r="F2924" s="21">
        <f>IFERROR(INDEX(Pedidos!$B$2:$B$1801,MATCH(B2924,Pedidos!$A$2:$A$1801,0)),0)</f>
        <v/>
      </c>
      <c r="G2924" s="21">
        <f>IF(F2924=0,"",YEAR(F2924))</f>
        <v/>
      </c>
      <c r="H2924" s="21">
        <f>IF(F2924=0,"",MONTH(F2924))</f>
        <v/>
      </c>
      <c r="I2924" s="21">
        <f>IFERROR(INDEX(Pedidos!$E$2:$E$1801,MATCH(B2924,Pedidos!$A$2:$A$1801,0)),"")</f>
        <v/>
      </c>
      <c r="J2924" s="21">
        <f>IFERROR(INDEX(Pedidos!$C$2:$C$1801,MATCH(B2924,Pedidos!$A$2:$A$1801,0)),"")</f>
        <v/>
      </c>
      <c r="K2924" s="21">
        <f>IFERROR(INDEX(Pedidos!$D$2:$D$1801,MATCH(B2924,Pedidos!$A$2:$A$1801,0)),"")</f>
        <v/>
      </c>
      <c r="L2924" s="21">
        <f>IFERROR(INDEX(Pedidos!$F$2:$F$1801,MATCH(B2924,Pedidos!$A$2:$A$1801,0)),"")</f>
        <v/>
      </c>
      <c r="M2924" s="22">
        <f>IFERROR(INDEX(Pedidos!$G$2:$G$1801,MATCH(B2924,Pedidos!$A$2:$A$1801,0)),0)</f>
        <v/>
      </c>
      <c r="N2924" s="21">
        <f>IFERROR(INDEX(Produtos!$B$2:$B$71,MATCH(C2924,Produtos!$A$2:$A$71,0)),"")</f>
        <v/>
      </c>
      <c r="O2924" s="21">
        <f>IFERROR(INDEX(Produtos!$C$2:$C$71,MATCH(C2924,Produtos!$A$2:$A$71,0)),"")</f>
        <v/>
      </c>
      <c r="P2924" s="21">
        <f>IFERROR(INDEX(Produtos!$D$2:$D$71,MATCH(C2924,Produtos!$A$2:$A$71,0)),0)</f>
        <v/>
      </c>
      <c r="Q2924" s="21">
        <f>IFERROR(INDEX(Produtos!$E$2:$E$71,MATCH(C2924,Produtos!$A$2:$A$71,0)),0)</f>
        <v/>
      </c>
      <c r="R2924" s="23">
        <f>D2924*Q2924</f>
        <v/>
      </c>
      <c r="S2924" s="23">
        <f>R2924*E2924</f>
        <v/>
      </c>
      <c r="T2924" s="23">
        <f>(R2924-S2924)*M2924</f>
        <v/>
      </c>
      <c r="U2924" s="23">
        <f>R2924-S2924-T2924</f>
        <v/>
      </c>
      <c r="V2924" s="23">
        <f>D2924*P2924</f>
        <v/>
      </c>
      <c r="W2924" s="23">
        <f>U2924-V2924</f>
        <v/>
      </c>
      <c r="X2924" s="24">
        <f>IFERROR(W2924/U2924,0)</f>
        <v/>
      </c>
    </row>
    <row r="2925">
      <c r="A2925" s="25">
        <f>ItensPedido!A2925</f>
        <v/>
      </c>
      <c r="B2925" s="25">
        <f>ItensPedido!B2925</f>
        <v/>
      </c>
      <c r="C2925" s="25">
        <f>ItensPedido!C2925</f>
        <v/>
      </c>
      <c r="D2925" s="25">
        <f>ItensPedido!D2925</f>
        <v/>
      </c>
      <c r="E2925" s="26">
        <f>ItensPedido!E2925</f>
        <v/>
      </c>
      <c r="F2925" s="25">
        <f>IFERROR(INDEX(Pedidos!$B$2:$B$1801,MATCH(B2925,Pedidos!$A$2:$A$1801,0)),0)</f>
        <v/>
      </c>
      <c r="G2925" s="25">
        <f>IF(F2925=0,"",YEAR(F2925))</f>
        <v/>
      </c>
      <c r="H2925" s="25">
        <f>IF(F2925=0,"",MONTH(F2925))</f>
        <v/>
      </c>
      <c r="I2925" s="25">
        <f>IFERROR(INDEX(Pedidos!$E$2:$E$1801,MATCH(B2925,Pedidos!$A$2:$A$1801,0)),"")</f>
        <v/>
      </c>
      <c r="J2925" s="25">
        <f>IFERROR(INDEX(Pedidos!$C$2:$C$1801,MATCH(B2925,Pedidos!$A$2:$A$1801,0)),"")</f>
        <v/>
      </c>
      <c r="K2925" s="25">
        <f>IFERROR(INDEX(Pedidos!$D$2:$D$1801,MATCH(B2925,Pedidos!$A$2:$A$1801,0)),"")</f>
        <v/>
      </c>
      <c r="L2925" s="25">
        <f>IFERROR(INDEX(Pedidos!$F$2:$F$1801,MATCH(B2925,Pedidos!$A$2:$A$1801,0)),"")</f>
        <v/>
      </c>
      <c r="M2925" s="26">
        <f>IFERROR(INDEX(Pedidos!$G$2:$G$1801,MATCH(B2925,Pedidos!$A$2:$A$1801,0)),0)</f>
        <v/>
      </c>
      <c r="N2925" s="25">
        <f>IFERROR(INDEX(Produtos!$B$2:$B$71,MATCH(C2925,Produtos!$A$2:$A$71,0)),"")</f>
        <v/>
      </c>
      <c r="O2925" s="25">
        <f>IFERROR(INDEX(Produtos!$C$2:$C$71,MATCH(C2925,Produtos!$A$2:$A$71,0)),"")</f>
        <v/>
      </c>
      <c r="P2925" s="25">
        <f>IFERROR(INDEX(Produtos!$D$2:$D$71,MATCH(C2925,Produtos!$A$2:$A$71,0)),0)</f>
        <v/>
      </c>
      <c r="Q2925" s="25">
        <f>IFERROR(INDEX(Produtos!$E$2:$E$71,MATCH(C2925,Produtos!$A$2:$A$71,0)),0)</f>
        <v/>
      </c>
      <c r="R2925" s="27">
        <f>D2925*Q2925</f>
        <v/>
      </c>
      <c r="S2925" s="27">
        <f>R2925*E2925</f>
        <v/>
      </c>
      <c r="T2925" s="27">
        <f>(R2925-S2925)*M2925</f>
        <v/>
      </c>
      <c r="U2925" s="27">
        <f>R2925-S2925-T2925</f>
        <v/>
      </c>
      <c r="V2925" s="27">
        <f>D2925*P2925</f>
        <v/>
      </c>
      <c r="W2925" s="27">
        <f>U2925-V2925</f>
        <v/>
      </c>
      <c r="X2925" s="28">
        <f>IFERROR(W2925/U2925,0)</f>
        <v/>
      </c>
    </row>
    <row r="2926">
      <c r="A2926" s="21">
        <f>ItensPedido!A2926</f>
        <v/>
      </c>
      <c r="B2926" s="21">
        <f>ItensPedido!B2926</f>
        <v/>
      </c>
      <c r="C2926" s="21">
        <f>ItensPedido!C2926</f>
        <v/>
      </c>
      <c r="D2926" s="21">
        <f>ItensPedido!D2926</f>
        <v/>
      </c>
      <c r="E2926" s="22">
        <f>ItensPedido!E2926</f>
        <v/>
      </c>
      <c r="F2926" s="21">
        <f>IFERROR(INDEX(Pedidos!$B$2:$B$1801,MATCH(B2926,Pedidos!$A$2:$A$1801,0)),0)</f>
        <v/>
      </c>
      <c r="G2926" s="21">
        <f>IF(F2926=0,"",YEAR(F2926))</f>
        <v/>
      </c>
      <c r="H2926" s="21">
        <f>IF(F2926=0,"",MONTH(F2926))</f>
        <v/>
      </c>
      <c r="I2926" s="21">
        <f>IFERROR(INDEX(Pedidos!$E$2:$E$1801,MATCH(B2926,Pedidos!$A$2:$A$1801,0)),"")</f>
        <v/>
      </c>
      <c r="J2926" s="21">
        <f>IFERROR(INDEX(Pedidos!$C$2:$C$1801,MATCH(B2926,Pedidos!$A$2:$A$1801,0)),"")</f>
        <v/>
      </c>
      <c r="K2926" s="21">
        <f>IFERROR(INDEX(Pedidos!$D$2:$D$1801,MATCH(B2926,Pedidos!$A$2:$A$1801,0)),"")</f>
        <v/>
      </c>
      <c r="L2926" s="21">
        <f>IFERROR(INDEX(Pedidos!$F$2:$F$1801,MATCH(B2926,Pedidos!$A$2:$A$1801,0)),"")</f>
        <v/>
      </c>
      <c r="M2926" s="22">
        <f>IFERROR(INDEX(Pedidos!$G$2:$G$1801,MATCH(B2926,Pedidos!$A$2:$A$1801,0)),0)</f>
        <v/>
      </c>
      <c r="N2926" s="21">
        <f>IFERROR(INDEX(Produtos!$B$2:$B$71,MATCH(C2926,Produtos!$A$2:$A$71,0)),"")</f>
        <v/>
      </c>
      <c r="O2926" s="21">
        <f>IFERROR(INDEX(Produtos!$C$2:$C$71,MATCH(C2926,Produtos!$A$2:$A$71,0)),"")</f>
        <v/>
      </c>
      <c r="P2926" s="21">
        <f>IFERROR(INDEX(Produtos!$D$2:$D$71,MATCH(C2926,Produtos!$A$2:$A$71,0)),0)</f>
        <v/>
      </c>
      <c r="Q2926" s="21">
        <f>IFERROR(INDEX(Produtos!$E$2:$E$71,MATCH(C2926,Produtos!$A$2:$A$71,0)),0)</f>
        <v/>
      </c>
      <c r="R2926" s="23">
        <f>D2926*Q2926</f>
        <v/>
      </c>
      <c r="S2926" s="23">
        <f>R2926*E2926</f>
        <v/>
      </c>
      <c r="T2926" s="23">
        <f>(R2926-S2926)*M2926</f>
        <v/>
      </c>
      <c r="U2926" s="23">
        <f>R2926-S2926-T2926</f>
        <v/>
      </c>
      <c r="V2926" s="23">
        <f>D2926*P2926</f>
        <v/>
      </c>
      <c r="W2926" s="23">
        <f>U2926-V2926</f>
        <v/>
      </c>
      <c r="X2926" s="24">
        <f>IFERROR(W2926/U2926,0)</f>
        <v/>
      </c>
    </row>
    <row r="2927">
      <c r="A2927" s="25">
        <f>ItensPedido!A2927</f>
        <v/>
      </c>
      <c r="B2927" s="25">
        <f>ItensPedido!B2927</f>
        <v/>
      </c>
      <c r="C2927" s="25">
        <f>ItensPedido!C2927</f>
        <v/>
      </c>
      <c r="D2927" s="25">
        <f>ItensPedido!D2927</f>
        <v/>
      </c>
      <c r="E2927" s="26">
        <f>ItensPedido!E2927</f>
        <v/>
      </c>
      <c r="F2927" s="25">
        <f>IFERROR(INDEX(Pedidos!$B$2:$B$1801,MATCH(B2927,Pedidos!$A$2:$A$1801,0)),0)</f>
        <v/>
      </c>
      <c r="G2927" s="25">
        <f>IF(F2927=0,"",YEAR(F2927))</f>
        <v/>
      </c>
      <c r="H2927" s="25">
        <f>IF(F2927=0,"",MONTH(F2927))</f>
        <v/>
      </c>
      <c r="I2927" s="25">
        <f>IFERROR(INDEX(Pedidos!$E$2:$E$1801,MATCH(B2927,Pedidos!$A$2:$A$1801,0)),"")</f>
        <v/>
      </c>
      <c r="J2927" s="25">
        <f>IFERROR(INDEX(Pedidos!$C$2:$C$1801,MATCH(B2927,Pedidos!$A$2:$A$1801,0)),"")</f>
        <v/>
      </c>
      <c r="K2927" s="25">
        <f>IFERROR(INDEX(Pedidos!$D$2:$D$1801,MATCH(B2927,Pedidos!$A$2:$A$1801,0)),"")</f>
        <v/>
      </c>
      <c r="L2927" s="25">
        <f>IFERROR(INDEX(Pedidos!$F$2:$F$1801,MATCH(B2927,Pedidos!$A$2:$A$1801,0)),"")</f>
        <v/>
      </c>
      <c r="M2927" s="26">
        <f>IFERROR(INDEX(Pedidos!$G$2:$G$1801,MATCH(B2927,Pedidos!$A$2:$A$1801,0)),0)</f>
        <v/>
      </c>
      <c r="N2927" s="25">
        <f>IFERROR(INDEX(Produtos!$B$2:$B$71,MATCH(C2927,Produtos!$A$2:$A$71,0)),"")</f>
        <v/>
      </c>
      <c r="O2927" s="25">
        <f>IFERROR(INDEX(Produtos!$C$2:$C$71,MATCH(C2927,Produtos!$A$2:$A$71,0)),"")</f>
        <v/>
      </c>
      <c r="P2927" s="25">
        <f>IFERROR(INDEX(Produtos!$D$2:$D$71,MATCH(C2927,Produtos!$A$2:$A$71,0)),0)</f>
        <v/>
      </c>
      <c r="Q2927" s="25">
        <f>IFERROR(INDEX(Produtos!$E$2:$E$71,MATCH(C2927,Produtos!$A$2:$A$71,0)),0)</f>
        <v/>
      </c>
      <c r="R2927" s="27">
        <f>D2927*Q2927</f>
        <v/>
      </c>
      <c r="S2927" s="27">
        <f>R2927*E2927</f>
        <v/>
      </c>
      <c r="T2927" s="27">
        <f>(R2927-S2927)*M2927</f>
        <v/>
      </c>
      <c r="U2927" s="27">
        <f>R2927-S2927-T2927</f>
        <v/>
      </c>
      <c r="V2927" s="27">
        <f>D2927*P2927</f>
        <v/>
      </c>
      <c r="W2927" s="27">
        <f>U2927-V2927</f>
        <v/>
      </c>
      <c r="X2927" s="28">
        <f>IFERROR(W2927/U2927,0)</f>
        <v/>
      </c>
    </row>
    <row r="2928">
      <c r="A2928" s="21">
        <f>ItensPedido!A2928</f>
        <v/>
      </c>
      <c r="B2928" s="21">
        <f>ItensPedido!B2928</f>
        <v/>
      </c>
      <c r="C2928" s="21">
        <f>ItensPedido!C2928</f>
        <v/>
      </c>
      <c r="D2928" s="21">
        <f>ItensPedido!D2928</f>
        <v/>
      </c>
      <c r="E2928" s="22">
        <f>ItensPedido!E2928</f>
        <v/>
      </c>
      <c r="F2928" s="21">
        <f>IFERROR(INDEX(Pedidos!$B$2:$B$1801,MATCH(B2928,Pedidos!$A$2:$A$1801,0)),0)</f>
        <v/>
      </c>
      <c r="G2928" s="21">
        <f>IF(F2928=0,"",YEAR(F2928))</f>
        <v/>
      </c>
      <c r="H2928" s="21">
        <f>IF(F2928=0,"",MONTH(F2928))</f>
        <v/>
      </c>
      <c r="I2928" s="21">
        <f>IFERROR(INDEX(Pedidos!$E$2:$E$1801,MATCH(B2928,Pedidos!$A$2:$A$1801,0)),"")</f>
        <v/>
      </c>
      <c r="J2928" s="21">
        <f>IFERROR(INDEX(Pedidos!$C$2:$C$1801,MATCH(B2928,Pedidos!$A$2:$A$1801,0)),"")</f>
        <v/>
      </c>
      <c r="K2928" s="21">
        <f>IFERROR(INDEX(Pedidos!$D$2:$D$1801,MATCH(B2928,Pedidos!$A$2:$A$1801,0)),"")</f>
        <v/>
      </c>
      <c r="L2928" s="21">
        <f>IFERROR(INDEX(Pedidos!$F$2:$F$1801,MATCH(B2928,Pedidos!$A$2:$A$1801,0)),"")</f>
        <v/>
      </c>
      <c r="M2928" s="22">
        <f>IFERROR(INDEX(Pedidos!$G$2:$G$1801,MATCH(B2928,Pedidos!$A$2:$A$1801,0)),0)</f>
        <v/>
      </c>
      <c r="N2928" s="21">
        <f>IFERROR(INDEX(Produtos!$B$2:$B$71,MATCH(C2928,Produtos!$A$2:$A$71,0)),"")</f>
        <v/>
      </c>
      <c r="O2928" s="21">
        <f>IFERROR(INDEX(Produtos!$C$2:$C$71,MATCH(C2928,Produtos!$A$2:$A$71,0)),"")</f>
        <v/>
      </c>
      <c r="P2928" s="21">
        <f>IFERROR(INDEX(Produtos!$D$2:$D$71,MATCH(C2928,Produtos!$A$2:$A$71,0)),0)</f>
        <v/>
      </c>
      <c r="Q2928" s="21">
        <f>IFERROR(INDEX(Produtos!$E$2:$E$71,MATCH(C2928,Produtos!$A$2:$A$71,0)),0)</f>
        <v/>
      </c>
      <c r="R2928" s="23">
        <f>D2928*Q2928</f>
        <v/>
      </c>
      <c r="S2928" s="23">
        <f>R2928*E2928</f>
        <v/>
      </c>
      <c r="T2928" s="23">
        <f>(R2928-S2928)*M2928</f>
        <v/>
      </c>
      <c r="U2928" s="23">
        <f>R2928-S2928-T2928</f>
        <v/>
      </c>
      <c r="V2928" s="23">
        <f>D2928*P2928</f>
        <v/>
      </c>
      <c r="W2928" s="23">
        <f>U2928-V2928</f>
        <v/>
      </c>
      <c r="X2928" s="24">
        <f>IFERROR(W2928/U2928,0)</f>
        <v/>
      </c>
    </row>
    <row r="2929">
      <c r="A2929" s="25">
        <f>ItensPedido!A2929</f>
        <v/>
      </c>
      <c r="B2929" s="25">
        <f>ItensPedido!B2929</f>
        <v/>
      </c>
      <c r="C2929" s="25">
        <f>ItensPedido!C2929</f>
        <v/>
      </c>
      <c r="D2929" s="25">
        <f>ItensPedido!D2929</f>
        <v/>
      </c>
      <c r="E2929" s="26">
        <f>ItensPedido!E2929</f>
        <v/>
      </c>
      <c r="F2929" s="25">
        <f>IFERROR(INDEX(Pedidos!$B$2:$B$1801,MATCH(B2929,Pedidos!$A$2:$A$1801,0)),0)</f>
        <v/>
      </c>
      <c r="G2929" s="25">
        <f>IF(F2929=0,"",YEAR(F2929))</f>
        <v/>
      </c>
      <c r="H2929" s="25">
        <f>IF(F2929=0,"",MONTH(F2929))</f>
        <v/>
      </c>
      <c r="I2929" s="25">
        <f>IFERROR(INDEX(Pedidos!$E$2:$E$1801,MATCH(B2929,Pedidos!$A$2:$A$1801,0)),"")</f>
        <v/>
      </c>
      <c r="J2929" s="25">
        <f>IFERROR(INDEX(Pedidos!$C$2:$C$1801,MATCH(B2929,Pedidos!$A$2:$A$1801,0)),"")</f>
        <v/>
      </c>
      <c r="K2929" s="25">
        <f>IFERROR(INDEX(Pedidos!$D$2:$D$1801,MATCH(B2929,Pedidos!$A$2:$A$1801,0)),"")</f>
        <v/>
      </c>
      <c r="L2929" s="25">
        <f>IFERROR(INDEX(Pedidos!$F$2:$F$1801,MATCH(B2929,Pedidos!$A$2:$A$1801,0)),"")</f>
        <v/>
      </c>
      <c r="M2929" s="26">
        <f>IFERROR(INDEX(Pedidos!$G$2:$G$1801,MATCH(B2929,Pedidos!$A$2:$A$1801,0)),0)</f>
        <v/>
      </c>
      <c r="N2929" s="25">
        <f>IFERROR(INDEX(Produtos!$B$2:$B$71,MATCH(C2929,Produtos!$A$2:$A$71,0)),"")</f>
        <v/>
      </c>
      <c r="O2929" s="25">
        <f>IFERROR(INDEX(Produtos!$C$2:$C$71,MATCH(C2929,Produtos!$A$2:$A$71,0)),"")</f>
        <v/>
      </c>
      <c r="P2929" s="25">
        <f>IFERROR(INDEX(Produtos!$D$2:$D$71,MATCH(C2929,Produtos!$A$2:$A$71,0)),0)</f>
        <v/>
      </c>
      <c r="Q2929" s="25">
        <f>IFERROR(INDEX(Produtos!$E$2:$E$71,MATCH(C2929,Produtos!$A$2:$A$71,0)),0)</f>
        <v/>
      </c>
      <c r="R2929" s="27">
        <f>D2929*Q2929</f>
        <v/>
      </c>
      <c r="S2929" s="27">
        <f>R2929*E2929</f>
        <v/>
      </c>
      <c r="T2929" s="27">
        <f>(R2929-S2929)*M2929</f>
        <v/>
      </c>
      <c r="U2929" s="27">
        <f>R2929-S2929-T2929</f>
        <v/>
      </c>
      <c r="V2929" s="27">
        <f>D2929*P2929</f>
        <v/>
      </c>
      <c r="W2929" s="27">
        <f>U2929-V2929</f>
        <v/>
      </c>
      <c r="X2929" s="28">
        <f>IFERROR(W2929/U2929,0)</f>
        <v/>
      </c>
    </row>
    <row r="2930">
      <c r="A2930" s="21">
        <f>ItensPedido!A2930</f>
        <v/>
      </c>
      <c r="B2930" s="21">
        <f>ItensPedido!B2930</f>
        <v/>
      </c>
      <c r="C2930" s="21">
        <f>ItensPedido!C2930</f>
        <v/>
      </c>
      <c r="D2930" s="21">
        <f>ItensPedido!D2930</f>
        <v/>
      </c>
      <c r="E2930" s="22">
        <f>ItensPedido!E2930</f>
        <v/>
      </c>
      <c r="F2930" s="21">
        <f>IFERROR(INDEX(Pedidos!$B$2:$B$1801,MATCH(B2930,Pedidos!$A$2:$A$1801,0)),0)</f>
        <v/>
      </c>
      <c r="G2930" s="21">
        <f>IF(F2930=0,"",YEAR(F2930))</f>
        <v/>
      </c>
      <c r="H2930" s="21">
        <f>IF(F2930=0,"",MONTH(F2930))</f>
        <v/>
      </c>
      <c r="I2930" s="21">
        <f>IFERROR(INDEX(Pedidos!$E$2:$E$1801,MATCH(B2930,Pedidos!$A$2:$A$1801,0)),"")</f>
        <v/>
      </c>
      <c r="J2930" s="21">
        <f>IFERROR(INDEX(Pedidos!$C$2:$C$1801,MATCH(B2930,Pedidos!$A$2:$A$1801,0)),"")</f>
        <v/>
      </c>
      <c r="K2930" s="21">
        <f>IFERROR(INDEX(Pedidos!$D$2:$D$1801,MATCH(B2930,Pedidos!$A$2:$A$1801,0)),"")</f>
        <v/>
      </c>
      <c r="L2930" s="21">
        <f>IFERROR(INDEX(Pedidos!$F$2:$F$1801,MATCH(B2930,Pedidos!$A$2:$A$1801,0)),"")</f>
        <v/>
      </c>
      <c r="M2930" s="22">
        <f>IFERROR(INDEX(Pedidos!$G$2:$G$1801,MATCH(B2930,Pedidos!$A$2:$A$1801,0)),0)</f>
        <v/>
      </c>
      <c r="N2930" s="21">
        <f>IFERROR(INDEX(Produtos!$B$2:$B$71,MATCH(C2930,Produtos!$A$2:$A$71,0)),"")</f>
        <v/>
      </c>
      <c r="O2930" s="21">
        <f>IFERROR(INDEX(Produtos!$C$2:$C$71,MATCH(C2930,Produtos!$A$2:$A$71,0)),"")</f>
        <v/>
      </c>
      <c r="P2930" s="21">
        <f>IFERROR(INDEX(Produtos!$D$2:$D$71,MATCH(C2930,Produtos!$A$2:$A$71,0)),0)</f>
        <v/>
      </c>
      <c r="Q2930" s="21">
        <f>IFERROR(INDEX(Produtos!$E$2:$E$71,MATCH(C2930,Produtos!$A$2:$A$71,0)),0)</f>
        <v/>
      </c>
      <c r="R2930" s="23">
        <f>D2930*Q2930</f>
        <v/>
      </c>
      <c r="S2930" s="23">
        <f>R2930*E2930</f>
        <v/>
      </c>
      <c r="T2930" s="23">
        <f>(R2930-S2930)*M2930</f>
        <v/>
      </c>
      <c r="U2930" s="23">
        <f>R2930-S2930-T2930</f>
        <v/>
      </c>
      <c r="V2930" s="23">
        <f>D2930*P2930</f>
        <v/>
      </c>
      <c r="W2930" s="23">
        <f>U2930-V2930</f>
        <v/>
      </c>
      <c r="X2930" s="24">
        <f>IFERROR(W2930/U2930,0)</f>
        <v/>
      </c>
    </row>
    <row r="2931">
      <c r="A2931" s="25">
        <f>ItensPedido!A2931</f>
        <v/>
      </c>
      <c r="B2931" s="25">
        <f>ItensPedido!B2931</f>
        <v/>
      </c>
      <c r="C2931" s="25">
        <f>ItensPedido!C2931</f>
        <v/>
      </c>
      <c r="D2931" s="25">
        <f>ItensPedido!D2931</f>
        <v/>
      </c>
      <c r="E2931" s="26">
        <f>ItensPedido!E2931</f>
        <v/>
      </c>
      <c r="F2931" s="25">
        <f>IFERROR(INDEX(Pedidos!$B$2:$B$1801,MATCH(B2931,Pedidos!$A$2:$A$1801,0)),0)</f>
        <v/>
      </c>
      <c r="G2931" s="25">
        <f>IF(F2931=0,"",YEAR(F2931))</f>
        <v/>
      </c>
      <c r="H2931" s="25">
        <f>IF(F2931=0,"",MONTH(F2931))</f>
        <v/>
      </c>
      <c r="I2931" s="25">
        <f>IFERROR(INDEX(Pedidos!$E$2:$E$1801,MATCH(B2931,Pedidos!$A$2:$A$1801,0)),"")</f>
        <v/>
      </c>
      <c r="J2931" s="25">
        <f>IFERROR(INDEX(Pedidos!$C$2:$C$1801,MATCH(B2931,Pedidos!$A$2:$A$1801,0)),"")</f>
        <v/>
      </c>
      <c r="K2931" s="25">
        <f>IFERROR(INDEX(Pedidos!$D$2:$D$1801,MATCH(B2931,Pedidos!$A$2:$A$1801,0)),"")</f>
        <v/>
      </c>
      <c r="L2931" s="25">
        <f>IFERROR(INDEX(Pedidos!$F$2:$F$1801,MATCH(B2931,Pedidos!$A$2:$A$1801,0)),"")</f>
        <v/>
      </c>
      <c r="M2931" s="26">
        <f>IFERROR(INDEX(Pedidos!$G$2:$G$1801,MATCH(B2931,Pedidos!$A$2:$A$1801,0)),0)</f>
        <v/>
      </c>
      <c r="N2931" s="25">
        <f>IFERROR(INDEX(Produtos!$B$2:$B$71,MATCH(C2931,Produtos!$A$2:$A$71,0)),"")</f>
        <v/>
      </c>
      <c r="O2931" s="25">
        <f>IFERROR(INDEX(Produtos!$C$2:$C$71,MATCH(C2931,Produtos!$A$2:$A$71,0)),"")</f>
        <v/>
      </c>
      <c r="P2931" s="25">
        <f>IFERROR(INDEX(Produtos!$D$2:$D$71,MATCH(C2931,Produtos!$A$2:$A$71,0)),0)</f>
        <v/>
      </c>
      <c r="Q2931" s="25">
        <f>IFERROR(INDEX(Produtos!$E$2:$E$71,MATCH(C2931,Produtos!$A$2:$A$71,0)),0)</f>
        <v/>
      </c>
      <c r="R2931" s="27">
        <f>D2931*Q2931</f>
        <v/>
      </c>
      <c r="S2931" s="27">
        <f>R2931*E2931</f>
        <v/>
      </c>
      <c r="T2931" s="27">
        <f>(R2931-S2931)*M2931</f>
        <v/>
      </c>
      <c r="U2931" s="27">
        <f>R2931-S2931-T2931</f>
        <v/>
      </c>
      <c r="V2931" s="27">
        <f>D2931*P2931</f>
        <v/>
      </c>
      <c r="W2931" s="27">
        <f>U2931-V2931</f>
        <v/>
      </c>
      <c r="X2931" s="28">
        <f>IFERROR(W2931/U2931,0)</f>
        <v/>
      </c>
    </row>
    <row r="2932">
      <c r="A2932" s="21">
        <f>ItensPedido!A2932</f>
        <v/>
      </c>
      <c r="B2932" s="21">
        <f>ItensPedido!B2932</f>
        <v/>
      </c>
      <c r="C2932" s="21">
        <f>ItensPedido!C2932</f>
        <v/>
      </c>
      <c r="D2932" s="21">
        <f>ItensPedido!D2932</f>
        <v/>
      </c>
      <c r="E2932" s="22">
        <f>ItensPedido!E2932</f>
        <v/>
      </c>
      <c r="F2932" s="21">
        <f>IFERROR(INDEX(Pedidos!$B$2:$B$1801,MATCH(B2932,Pedidos!$A$2:$A$1801,0)),0)</f>
        <v/>
      </c>
      <c r="G2932" s="21">
        <f>IF(F2932=0,"",YEAR(F2932))</f>
        <v/>
      </c>
      <c r="H2932" s="21">
        <f>IF(F2932=0,"",MONTH(F2932))</f>
        <v/>
      </c>
      <c r="I2932" s="21">
        <f>IFERROR(INDEX(Pedidos!$E$2:$E$1801,MATCH(B2932,Pedidos!$A$2:$A$1801,0)),"")</f>
        <v/>
      </c>
      <c r="J2932" s="21">
        <f>IFERROR(INDEX(Pedidos!$C$2:$C$1801,MATCH(B2932,Pedidos!$A$2:$A$1801,0)),"")</f>
        <v/>
      </c>
      <c r="K2932" s="21">
        <f>IFERROR(INDEX(Pedidos!$D$2:$D$1801,MATCH(B2932,Pedidos!$A$2:$A$1801,0)),"")</f>
        <v/>
      </c>
      <c r="L2932" s="21">
        <f>IFERROR(INDEX(Pedidos!$F$2:$F$1801,MATCH(B2932,Pedidos!$A$2:$A$1801,0)),"")</f>
        <v/>
      </c>
      <c r="M2932" s="22">
        <f>IFERROR(INDEX(Pedidos!$G$2:$G$1801,MATCH(B2932,Pedidos!$A$2:$A$1801,0)),0)</f>
        <v/>
      </c>
      <c r="N2932" s="21">
        <f>IFERROR(INDEX(Produtos!$B$2:$B$71,MATCH(C2932,Produtos!$A$2:$A$71,0)),"")</f>
        <v/>
      </c>
      <c r="O2932" s="21">
        <f>IFERROR(INDEX(Produtos!$C$2:$C$71,MATCH(C2932,Produtos!$A$2:$A$71,0)),"")</f>
        <v/>
      </c>
      <c r="P2932" s="21">
        <f>IFERROR(INDEX(Produtos!$D$2:$D$71,MATCH(C2932,Produtos!$A$2:$A$71,0)),0)</f>
        <v/>
      </c>
      <c r="Q2932" s="21">
        <f>IFERROR(INDEX(Produtos!$E$2:$E$71,MATCH(C2932,Produtos!$A$2:$A$71,0)),0)</f>
        <v/>
      </c>
      <c r="R2932" s="23">
        <f>D2932*Q2932</f>
        <v/>
      </c>
      <c r="S2932" s="23">
        <f>R2932*E2932</f>
        <v/>
      </c>
      <c r="T2932" s="23">
        <f>(R2932-S2932)*M2932</f>
        <v/>
      </c>
      <c r="U2932" s="23">
        <f>R2932-S2932-T2932</f>
        <v/>
      </c>
      <c r="V2932" s="23">
        <f>D2932*P2932</f>
        <v/>
      </c>
      <c r="W2932" s="23">
        <f>U2932-V2932</f>
        <v/>
      </c>
      <c r="X2932" s="24">
        <f>IFERROR(W2932/U2932,0)</f>
        <v/>
      </c>
    </row>
    <row r="2933">
      <c r="A2933" s="25">
        <f>ItensPedido!A2933</f>
        <v/>
      </c>
      <c r="B2933" s="25">
        <f>ItensPedido!B2933</f>
        <v/>
      </c>
      <c r="C2933" s="25">
        <f>ItensPedido!C2933</f>
        <v/>
      </c>
      <c r="D2933" s="25">
        <f>ItensPedido!D2933</f>
        <v/>
      </c>
      <c r="E2933" s="26">
        <f>ItensPedido!E2933</f>
        <v/>
      </c>
      <c r="F2933" s="25">
        <f>IFERROR(INDEX(Pedidos!$B$2:$B$1801,MATCH(B2933,Pedidos!$A$2:$A$1801,0)),0)</f>
        <v/>
      </c>
      <c r="G2933" s="25">
        <f>IF(F2933=0,"",YEAR(F2933))</f>
        <v/>
      </c>
      <c r="H2933" s="25">
        <f>IF(F2933=0,"",MONTH(F2933))</f>
        <v/>
      </c>
      <c r="I2933" s="25">
        <f>IFERROR(INDEX(Pedidos!$E$2:$E$1801,MATCH(B2933,Pedidos!$A$2:$A$1801,0)),"")</f>
        <v/>
      </c>
      <c r="J2933" s="25">
        <f>IFERROR(INDEX(Pedidos!$C$2:$C$1801,MATCH(B2933,Pedidos!$A$2:$A$1801,0)),"")</f>
        <v/>
      </c>
      <c r="K2933" s="25">
        <f>IFERROR(INDEX(Pedidos!$D$2:$D$1801,MATCH(B2933,Pedidos!$A$2:$A$1801,0)),"")</f>
        <v/>
      </c>
      <c r="L2933" s="25">
        <f>IFERROR(INDEX(Pedidos!$F$2:$F$1801,MATCH(B2933,Pedidos!$A$2:$A$1801,0)),"")</f>
        <v/>
      </c>
      <c r="M2933" s="26">
        <f>IFERROR(INDEX(Pedidos!$G$2:$G$1801,MATCH(B2933,Pedidos!$A$2:$A$1801,0)),0)</f>
        <v/>
      </c>
      <c r="N2933" s="25">
        <f>IFERROR(INDEX(Produtos!$B$2:$B$71,MATCH(C2933,Produtos!$A$2:$A$71,0)),"")</f>
        <v/>
      </c>
      <c r="O2933" s="25">
        <f>IFERROR(INDEX(Produtos!$C$2:$C$71,MATCH(C2933,Produtos!$A$2:$A$71,0)),"")</f>
        <v/>
      </c>
      <c r="P2933" s="25">
        <f>IFERROR(INDEX(Produtos!$D$2:$D$71,MATCH(C2933,Produtos!$A$2:$A$71,0)),0)</f>
        <v/>
      </c>
      <c r="Q2933" s="25">
        <f>IFERROR(INDEX(Produtos!$E$2:$E$71,MATCH(C2933,Produtos!$A$2:$A$71,0)),0)</f>
        <v/>
      </c>
      <c r="R2933" s="27">
        <f>D2933*Q2933</f>
        <v/>
      </c>
      <c r="S2933" s="27">
        <f>R2933*E2933</f>
        <v/>
      </c>
      <c r="T2933" s="27">
        <f>(R2933-S2933)*M2933</f>
        <v/>
      </c>
      <c r="U2933" s="27">
        <f>R2933-S2933-T2933</f>
        <v/>
      </c>
      <c r="V2933" s="27">
        <f>D2933*P2933</f>
        <v/>
      </c>
      <c r="W2933" s="27">
        <f>U2933-V2933</f>
        <v/>
      </c>
      <c r="X2933" s="28">
        <f>IFERROR(W2933/U2933,0)</f>
        <v/>
      </c>
    </row>
    <row r="2934">
      <c r="A2934" s="21">
        <f>ItensPedido!A2934</f>
        <v/>
      </c>
      <c r="B2934" s="21">
        <f>ItensPedido!B2934</f>
        <v/>
      </c>
      <c r="C2934" s="21">
        <f>ItensPedido!C2934</f>
        <v/>
      </c>
      <c r="D2934" s="21">
        <f>ItensPedido!D2934</f>
        <v/>
      </c>
      <c r="E2934" s="22">
        <f>ItensPedido!E2934</f>
        <v/>
      </c>
      <c r="F2934" s="21">
        <f>IFERROR(INDEX(Pedidos!$B$2:$B$1801,MATCH(B2934,Pedidos!$A$2:$A$1801,0)),0)</f>
        <v/>
      </c>
      <c r="G2934" s="21">
        <f>IF(F2934=0,"",YEAR(F2934))</f>
        <v/>
      </c>
      <c r="H2934" s="21">
        <f>IF(F2934=0,"",MONTH(F2934))</f>
        <v/>
      </c>
      <c r="I2934" s="21">
        <f>IFERROR(INDEX(Pedidos!$E$2:$E$1801,MATCH(B2934,Pedidos!$A$2:$A$1801,0)),"")</f>
        <v/>
      </c>
      <c r="J2934" s="21">
        <f>IFERROR(INDEX(Pedidos!$C$2:$C$1801,MATCH(B2934,Pedidos!$A$2:$A$1801,0)),"")</f>
        <v/>
      </c>
      <c r="K2934" s="21">
        <f>IFERROR(INDEX(Pedidos!$D$2:$D$1801,MATCH(B2934,Pedidos!$A$2:$A$1801,0)),"")</f>
        <v/>
      </c>
      <c r="L2934" s="21">
        <f>IFERROR(INDEX(Pedidos!$F$2:$F$1801,MATCH(B2934,Pedidos!$A$2:$A$1801,0)),"")</f>
        <v/>
      </c>
      <c r="M2934" s="22">
        <f>IFERROR(INDEX(Pedidos!$G$2:$G$1801,MATCH(B2934,Pedidos!$A$2:$A$1801,0)),0)</f>
        <v/>
      </c>
      <c r="N2934" s="21">
        <f>IFERROR(INDEX(Produtos!$B$2:$B$71,MATCH(C2934,Produtos!$A$2:$A$71,0)),"")</f>
        <v/>
      </c>
      <c r="O2934" s="21">
        <f>IFERROR(INDEX(Produtos!$C$2:$C$71,MATCH(C2934,Produtos!$A$2:$A$71,0)),"")</f>
        <v/>
      </c>
      <c r="P2934" s="21">
        <f>IFERROR(INDEX(Produtos!$D$2:$D$71,MATCH(C2934,Produtos!$A$2:$A$71,0)),0)</f>
        <v/>
      </c>
      <c r="Q2934" s="21">
        <f>IFERROR(INDEX(Produtos!$E$2:$E$71,MATCH(C2934,Produtos!$A$2:$A$71,0)),0)</f>
        <v/>
      </c>
      <c r="R2934" s="23">
        <f>D2934*Q2934</f>
        <v/>
      </c>
      <c r="S2934" s="23">
        <f>R2934*E2934</f>
        <v/>
      </c>
      <c r="T2934" s="23">
        <f>(R2934-S2934)*M2934</f>
        <v/>
      </c>
      <c r="U2934" s="23">
        <f>R2934-S2934-T2934</f>
        <v/>
      </c>
      <c r="V2934" s="23">
        <f>D2934*P2934</f>
        <v/>
      </c>
      <c r="W2934" s="23">
        <f>U2934-V2934</f>
        <v/>
      </c>
      <c r="X2934" s="24">
        <f>IFERROR(W2934/U2934,0)</f>
        <v/>
      </c>
    </row>
    <row r="2935">
      <c r="A2935" s="25">
        <f>ItensPedido!A2935</f>
        <v/>
      </c>
      <c r="B2935" s="25">
        <f>ItensPedido!B2935</f>
        <v/>
      </c>
      <c r="C2935" s="25">
        <f>ItensPedido!C2935</f>
        <v/>
      </c>
      <c r="D2935" s="25">
        <f>ItensPedido!D2935</f>
        <v/>
      </c>
      <c r="E2935" s="26">
        <f>ItensPedido!E2935</f>
        <v/>
      </c>
      <c r="F2935" s="25">
        <f>IFERROR(INDEX(Pedidos!$B$2:$B$1801,MATCH(B2935,Pedidos!$A$2:$A$1801,0)),0)</f>
        <v/>
      </c>
      <c r="G2935" s="25">
        <f>IF(F2935=0,"",YEAR(F2935))</f>
        <v/>
      </c>
      <c r="H2935" s="25">
        <f>IF(F2935=0,"",MONTH(F2935))</f>
        <v/>
      </c>
      <c r="I2935" s="25">
        <f>IFERROR(INDEX(Pedidos!$E$2:$E$1801,MATCH(B2935,Pedidos!$A$2:$A$1801,0)),"")</f>
        <v/>
      </c>
      <c r="J2935" s="25">
        <f>IFERROR(INDEX(Pedidos!$C$2:$C$1801,MATCH(B2935,Pedidos!$A$2:$A$1801,0)),"")</f>
        <v/>
      </c>
      <c r="K2935" s="25">
        <f>IFERROR(INDEX(Pedidos!$D$2:$D$1801,MATCH(B2935,Pedidos!$A$2:$A$1801,0)),"")</f>
        <v/>
      </c>
      <c r="L2935" s="25">
        <f>IFERROR(INDEX(Pedidos!$F$2:$F$1801,MATCH(B2935,Pedidos!$A$2:$A$1801,0)),"")</f>
        <v/>
      </c>
      <c r="M2935" s="26">
        <f>IFERROR(INDEX(Pedidos!$G$2:$G$1801,MATCH(B2935,Pedidos!$A$2:$A$1801,0)),0)</f>
        <v/>
      </c>
      <c r="N2935" s="25">
        <f>IFERROR(INDEX(Produtos!$B$2:$B$71,MATCH(C2935,Produtos!$A$2:$A$71,0)),"")</f>
        <v/>
      </c>
      <c r="O2935" s="25">
        <f>IFERROR(INDEX(Produtos!$C$2:$C$71,MATCH(C2935,Produtos!$A$2:$A$71,0)),"")</f>
        <v/>
      </c>
      <c r="P2935" s="25">
        <f>IFERROR(INDEX(Produtos!$D$2:$D$71,MATCH(C2935,Produtos!$A$2:$A$71,0)),0)</f>
        <v/>
      </c>
      <c r="Q2935" s="25">
        <f>IFERROR(INDEX(Produtos!$E$2:$E$71,MATCH(C2935,Produtos!$A$2:$A$71,0)),0)</f>
        <v/>
      </c>
      <c r="R2935" s="27">
        <f>D2935*Q2935</f>
        <v/>
      </c>
      <c r="S2935" s="27">
        <f>R2935*E2935</f>
        <v/>
      </c>
      <c r="T2935" s="27">
        <f>(R2935-S2935)*M2935</f>
        <v/>
      </c>
      <c r="U2935" s="27">
        <f>R2935-S2935-T2935</f>
        <v/>
      </c>
      <c r="V2935" s="27">
        <f>D2935*P2935</f>
        <v/>
      </c>
      <c r="W2935" s="27">
        <f>U2935-V2935</f>
        <v/>
      </c>
      <c r="X2935" s="28">
        <f>IFERROR(W2935/U2935,0)</f>
        <v/>
      </c>
    </row>
    <row r="2936">
      <c r="A2936" s="21">
        <f>ItensPedido!A2936</f>
        <v/>
      </c>
      <c r="B2936" s="21">
        <f>ItensPedido!B2936</f>
        <v/>
      </c>
      <c r="C2936" s="21">
        <f>ItensPedido!C2936</f>
        <v/>
      </c>
      <c r="D2936" s="21">
        <f>ItensPedido!D2936</f>
        <v/>
      </c>
      <c r="E2936" s="22">
        <f>ItensPedido!E2936</f>
        <v/>
      </c>
      <c r="F2936" s="21">
        <f>IFERROR(INDEX(Pedidos!$B$2:$B$1801,MATCH(B2936,Pedidos!$A$2:$A$1801,0)),0)</f>
        <v/>
      </c>
      <c r="G2936" s="21">
        <f>IF(F2936=0,"",YEAR(F2936))</f>
        <v/>
      </c>
      <c r="H2936" s="21">
        <f>IF(F2936=0,"",MONTH(F2936))</f>
        <v/>
      </c>
      <c r="I2936" s="21">
        <f>IFERROR(INDEX(Pedidos!$E$2:$E$1801,MATCH(B2936,Pedidos!$A$2:$A$1801,0)),"")</f>
        <v/>
      </c>
      <c r="J2936" s="21">
        <f>IFERROR(INDEX(Pedidos!$C$2:$C$1801,MATCH(B2936,Pedidos!$A$2:$A$1801,0)),"")</f>
        <v/>
      </c>
      <c r="K2936" s="21">
        <f>IFERROR(INDEX(Pedidos!$D$2:$D$1801,MATCH(B2936,Pedidos!$A$2:$A$1801,0)),"")</f>
        <v/>
      </c>
      <c r="L2936" s="21">
        <f>IFERROR(INDEX(Pedidos!$F$2:$F$1801,MATCH(B2936,Pedidos!$A$2:$A$1801,0)),"")</f>
        <v/>
      </c>
      <c r="M2936" s="22">
        <f>IFERROR(INDEX(Pedidos!$G$2:$G$1801,MATCH(B2936,Pedidos!$A$2:$A$1801,0)),0)</f>
        <v/>
      </c>
      <c r="N2936" s="21">
        <f>IFERROR(INDEX(Produtos!$B$2:$B$71,MATCH(C2936,Produtos!$A$2:$A$71,0)),"")</f>
        <v/>
      </c>
      <c r="O2936" s="21">
        <f>IFERROR(INDEX(Produtos!$C$2:$C$71,MATCH(C2936,Produtos!$A$2:$A$71,0)),"")</f>
        <v/>
      </c>
      <c r="P2936" s="21">
        <f>IFERROR(INDEX(Produtos!$D$2:$D$71,MATCH(C2936,Produtos!$A$2:$A$71,0)),0)</f>
        <v/>
      </c>
      <c r="Q2936" s="21">
        <f>IFERROR(INDEX(Produtos!$E$2:$E$71,MATCH(C2936,Produtos!$A$2:$A$71,0)),0)</f>
        <v/>
      </c>
      <c r="R2936" s="23">
        <f>D2936*Q2936</f>
        <v/>
      </c>
      <c r="S2936" s="23">
        <f>R2936*E2936</f>
        <v/>
      </c>
      <c r="T2936" s="23">
        <f>(R2936-S2936)*M2936</f>
        <v/>
      </c>
      <c r="U2936" s="23">
        <f>R2936-S2936-T2936</f>
        <v/>
      </c>
      <c r="V2936" s="23">
        <f>D2936*P2936</f>
        <v/>
      </c>
      <c r="W2936" s="23">
        <f>U2936-V2936</f>
        <v/>
      </c>
      <c r="X2936" s="24">
        <f>IFERROR(W2936/U2936,0)</f>
        <v/>
      </c>
    </row>
    <row r="2937">
      <c r="A2937" s="25">
        <f>ItensPedido!A2937</f>
        <v/>
      </c>
      <c r="B2937" s="25">
        <f>ItensPedido!B2937</f>
        <v/>
      </c>
      <c r="C2937" s="25">
        <f>ItensPedido!C2937</f>
        <v/>
      </c>
      <c r="D2937" s="25">
        <f>ItensPedido!D2937</f>
        <v/>
      </c>
      <c r="E2937" s="26">
        <f>ItensPedido!E2937</f>
        <v/>
      </c>
      <c r="F2937" s="25">
        <f>IFERROR(INDEX(Pedidos!$B$2:$B$1801,MATCH(B2937,Pedidos!$A$2:$A$1801,0)),0)</f>
        <v/>
      </c>
      <c r="G2937" s="25">
        <f>IF(F2937=0,"",YEAR(F2937))</f>
        <v/>
      </c>
      <c r="H2937" s="25">
        <f>IF(F2937=0,"",MONTH(F2937))</f>
        <v/>
      </c>
      <c r="I2937" s="25">
        <f>IFERROR(INDEX(Pedidos!$E$2:$E$1801,MATCH(B2937,Pedidos!$A$2:$A$1801,0)),"")</f>
        <v/>
      </c>
      <c r="J2937" s="25">
        <f>IFERROR(INDEX(Pedidos!$C$2:$C$1801,MATCH(B2937,Pedidos!$A$2:$A$1801,0)),"")</f>
        <v/>
      </c>
      <c r="K2937" s="25">
        <f>IFERROR(INDEX(Pedidos!$D$2:$D$1801,MATCH(B2937,Pedidos!$A$2:$A$1801,0)),"")</f>
        <v/>
      </c>
      <c r="L2937" s="25">
        <f>IFERROR(INDEX(Pedidos!$F$2:$F$1801,MATCH(B2937,Pedidos!$A$2:$A$1801,0)),"")</f>
        <v/>
      </c>
      <c r="M2937" s="26">
        <f>IFERROR(INDEX(Pedidos!$G$2:$G$1801,MATCH(B2937,Pedidos!$A$2:$A$1801,0)),0)</f>
        <v/>
      </c>
      <c r="N2937" s="25">
        <f>IFERROR(INDEX(Produtos!$B$2:$B$71,MATCH(C2937,Produtos!$A$2:$A$71,0)),"")</f>
        <v/>
      </c>
      <c r="O2937" s="25">
        <f>IFERROR(INDEX(Produtos!$C$2:$C$71,MATCH(C2937,Produtos!$A$2:$A$71,0)),"")</f>
        <v/>
      </c>
      <c r="P2937" s="25">
        <f>IFERROR(INDEX(Produtos!$D$2:$D$71,MATCH(C2937,Produtos!$A$2:$A$71,0)),0)</f>
        <v/>
      </c>
      <c r="Q2937" s="25">
        <f>IFERROR(INDEX(Produtos!$E$2:$E$71,MATCH(C2937,Produtos!$A$2:$A$71,0)),0)</f>
        <v/>
      </c>
      <c r="R2937" s="27">
        <f>D2937*Q2937</f>
        <v/>
      </c>
      <c r="S2937" s="27">
        <f>R2937*E2937</f>
        <v/>
      </c>
      <c r="T2937" s="27">
        <f>(R2937-S2937)*M2937</f>
        <v/>
      </c>
      <c r="U2937" s="27">
        <f>R2937-S2937-T2937</f>
        <v/>
      </c>
      <c r="V2937" s="27">
        <f>D2937*P2937</f>
        <v/>
      </c>
      <c r="W2937" s="27">
        <f>U2937-V2937</f>
        <v/>
      </c>
      <c r="X2937" s="28">
        <f>IFERROR(W2937/U2937,0)</f>
        <v/>
      </c>
    </row>
    <row r="2938">
      <c r="A2938" s="21">
        <f>ItensPedido!A2938</f>
        <v/>
      </c>
      <c r="B2938" s="21">
        <f>ItensPedido!B2938</f>
        <v/>
      </c>
      <c r="C2938" s="21">
        <f>ItensPedido!C2938</f>
        <v/>
      </c>
      <c r="D2938" s="21">
        <f>ItensPedido!D2938</f>
        <v/>
      </c>
      <c r="E2938" s="22">
        <f>ItensPedido!E2938</f>
        <v/>
      </c>
      <c r="F2938" s="21">
        <f>IFERROR(INDEX(Pedidos!$B$2:$B$1801,MATCH(B2938,Pedidos!$A$2:$A$1801,0)),0)</f>
        <v/>
      </c>
      <c r="G2938" s="21">
        <f>IF(F2938=0,"",YEAR(F2938))</f>
        <v/>
      </c>
      <c r="H2938" s="21">
        <f>IF(F2938=0,"",MONTH(F2938))</f>
        <v/>
      </c>
      <c r="I2938" s="21">
        <f>IFERROR(INDEX(Pedidos!$E$2:$E$1801,MATCH(B2938,Pedidos!$A$2:$A$1801,0)),"")</f>
        <v/>
      </c>
      <c r="J2938" s="21">
        <f>IFERROR(INDEX(Pedidos!$C$2:$C$1801,MATCH(B2938,Pedidos!$A$2:$A$1801,0)),"")</f>
        <v/>
      </c>
      <c r="K2938" s="21">
        <f>IFERROR(INDEX(Pedidos!$D$2:$D$1801,MATCH(B2938,Pedidos!$A$2:$A$1801,0)),"")</f>
        <v/>
      </c>
      <c r="L2938" s="21">
        <f>IFERROR(INDEX(Pedidos!$F$2:$F$1801,MATCH(B2938,Pedidos!$A$2:$A$1801,0)),"")</f>
        <v/>
      </c>
      <c r="M2938" s="22">
        <f>IFERROR(INDEX(Pedidos!$G$2:$G$1801,MATCH(B2938,Pedidos!$A$2:$A$1801,0)),0)</f>
        <v/>
      </c>
      <c r="N2938" s="21">
        <f>IFERROR(INDEX(Produtos!$B$2:$B$71,MATCH(C2938,Produtos!$A$2:$A$71,0)),"")</f>
        <v/>
      </c>
      <c r="O2938" s="21">
        <f>IFERROR(INDEX(Produtos!$C$2:$C$71,MATCH(C2938,Produtos!$A$2:$A$71,0)),"")</f>
        <v/>
      </c>
      <c r="P2938" s="21">
        <f>IFERROR(INDEX(Produtos!$D$2:$D$71,MATCH(C2938,Produtos!$A$2:$A$71,0)),0)</f>
        <v/>
      </c>
      <c r="Q2938" s="21">
        <f>IFERROR(INDEX(Produtos!$E$2:$E$71,MATCH(C2938,Produtos!$A$2:$A$71,0)),0)</f>
        <v/>
      </c>
      <c r="R2938" s="23">
        <f>D2938*Q2938</f>
        <v/>
      </c>
      <c r="S2938" s="23">
        <f>R2938*E2938</f>
        <v/>
      </c>
      <c r="T2938" s="23">
        <f>(R2938-S2938)*M2938</f>
        <v/>
      </c>
      <c r="U2938" s="23">
        <f>R2938-S2938-T2938</f>
        <v/>
      </c>
      <c r="V2938" s="23">
        <f>D2938*P2938</f>
        <v/>
      </c>
      <c r="W2938" s="23">
        <f>U2938-V2938</f>
        <v/>
      </c>
      <c r="X2938" s="24">
        <f>IFERROR(W2938/U2938,0)</f>
        <v/>
      </c>
    </row>
    <row r="2939">
      <c r="A2939" s="25">
        <f>ItensPedido!A2939</f>
        <v/>
      </c>
      <c r="B2939" s="25">
        <f>ItensPedido!B2939</f>
        <v/>
      </c>
      <c r="C2939" s="25">
        <f>ItensPedido!C2939</f>
        <v/>
      </c>
      <c r="D2939" s="25">
        <f>ItensPedido!D2939</f>
        <v/>
      </c>
      <c r="E2939" s="26">
        <f>ItensPedido!E2939</f>
        <v/>
      </c>
      <c r="F2939" s="25">
        <f>IFERROR(INDEX(Pedidos!$B$2:$B$1801,MATCH(B2939,Pedidos!$A$2:$A$1801,0)),0)</f>
        <v/>
      </c>
      <c r="G2939" s="25">
        <f>IF(F2939=0,"",YEAR(F2939))</f>
        <v/>
      </c>
      <c r="H2939" s="25">
        <f>IF(F2939=0,"",MONTH(F2939))</f>
        <v/>
      </c>
      <c r="I2939" s="25">
        <f>IFERROR(INDEX(Pedidos!$E$2:$E$1801,MATCH(B2939,Pedidos!$A$2:$A$1801,0)),"")</f>
        <v/>
      </c>
      <c r="J2939" s="25">
        <f>IFERROR(INDEX(Pedidos!$C$2:$C$1801,MATCH(B2939,Pedidos!$A$2:$A$1801,0)),"")</f>
        <v/>
      </c>
      <c r="K2939" s="25">
        <f>IFERROR(INDEX(Pedidos!$D$2:$D$1801,MATCH(B2939,Pedidos!$A$2:$A$1801,0)),"")</f>
        <v/>
      </c>
      <c r="L2939" s="25">
        <f>IFERROR(INDEX(Pedidos!$F$2:$F$1801,MATCH(B2939,Pedidos!$A$2:$A$1801,0)),"")</f>
        <v/>
      </c>
      <c r="M2939" s="26">
        <f>IFERROR(INDEX(Pedidos!$G$2:$G$1801,MATCH(B2939,Pedidos!$A$2:$A$1801,0)),0)</f>
        <v/>
      </c>
      <c r="N2939" s="25">
        <f>IFERROR(INDEX(Produtos!$B$2:$B$71,MATCH(C2939,Produtos!$A$2:$A$71,0)),"")</f>
        <v/>
      </c>
      <c r="O2939" s="25">
        <f>IFERROR(INDEX(Produtos!$C$2:$C$71,MATCH(C2939,Produtos!$A$2:$A$71,0)),"")</f>
        <v/>
      </c>
      <c r="P2939" s="25">
        <f>IFERROR(INDEX(Produtos!$D$2:$D$71,MATCH(C2939,Produtos!$A$2:$A$71,0)),0)</f>
        <v/>
      </c>
      <c r="Q2939" s="25">
        <f>IFERROR(INDEX(Produtos!$E$2:$E$71,MATCH(C2939,Produtos!$A$2:$A$71,0)),0)</f>
        <v/>
      </c>
      <c r="R2939" s="27">
        <f>D2939*Q2939</f>
        <v/>
      </c>
      <c r="S2939" s="27">
        <f>R2939*E2939</f>
        <v/>
      </c>
      <c r="T2939" s="27">
        <f>(R2939-S2939)*M2939</f>
        <v/>
      </c>
      <c r="U2939" s="27">
        <f>R2939-S2939-T2939</f>
        <v/>
      </c>
      <c r="V2939" s="27">
        <f>D2939*P2939</f>
        <v/>
      </c>
      <c r="W2939" s="27">
        <f>U2939-V2939</f>
        <v/>
      </c>
      <c r="X2939" s="28">
        <f>IFERROR(W2939/U2939,0)</f>
        <v/>
      </c>
    </row>
    <row r="2940">
      <c r="A2940" s="21">
        <f>ItensPedido!A2940</f>
        <v/>
      </c>
      <c r="B2940" s="21">
        <f>ItensPedido!B2940</f>
        <v/>
      </c>
      <c r="C2940" s="21">
        <f>ItensPedido!C2940</f>
        <v/>
      </c>
      <c r="D2940" s="21">
        <f>ItensPedido!D2940</f>
        <v/>
      </c>
      <c r="E2940" s="22">
        <f>ItensPedido!E2940</f>
        <v/>
      </c>
      <c r="F2940" s="21">
        <f>IFERROR(INDEX(Pedidos!$B$2:$B$1801,MATCH(B2940,Pedidos!$A$2:$A$1801,0)),0)</f>
        <v/>
      </c>
      <c r="G2940" s="21">
        <f>IF(F2940=0,"",YEAR(F2940))</f>
        <v/>
      </c>
      <c r="H2940" s="21">
        <f>IF(F2940=0,"",MONTH(F2940))</f>
        <v/>
      </c>
      <c r="I2940" s="21">
        <f>IFERROR(INDEX(Pedidos!$E$2:$E$1801,MATCH(B2940,Pedidos!$A$2:$A$1801,0)),"")</f>
        <v/>
      </c>
      <c r="J2940" s="21">
        <f>IFERROR(INDEX(Pedidos!$C$2:$C$1801,MATCH(B2940,Pedidos!$A$2:$A$1801,0)),"")</f>
        <v/>
      </c>
      <c r="K2940" s="21">
        <f>IFERROR(INDEX(Pedidos!$D$2:$D$1801,MATCH(B2940,Pedidos!$A$2:$A$1801,0)),"")</f>
        <v/>
      </c>
      <c r="L2940" s="21">
        <f>IFERROR(INDEX(Pedidos!$F$2:$F$1801,MATCH(B2940,Pedidos!$A$2:$A$1801,0)),"")</f>
        <v/>
      </c>
      <c r="M2940" s="22">
        <f>IFERROR(INDEX(Pedidos!$G$2:$G$1801,MATCH(B2940,Pedidos!$A$2:$A$1801,0)),0)</f>
        <v/>
      </c>
      <c r="N2940" s="21">
        <f>IFERROR(INDEX(Produtos!$B$2:$B$71,MATCH(C2940,Produtos!$A$2:$A$71,0)),"")</f>
        <v/>
      </c>
      <c r="O2940" s="21">
        <f>IFERROR(INDEX(Produtos!$C$2:$C$71,MATCH(C2940,Produtos!$A$2:$A$71,0)),"")</f>
        <v/>
      </c>
      <c r="P2940" s="21">
        <f>IFERROR(INDEX(Produtos!$D$2:$D$71,MATCH(C2940,Produtos!$A$2:$A$71,0)),0)</f>
        <v/>
      </c>
      <c r="Q2940" s="21">
        <f>IFERROR(INDEX(Produtos!$E$2:$E$71,MATCH(C2940,Produtos!$A$2:$A$71,0)),0)</f>
        <v/>
      </c>
      <c r="R2940" s="23">
        <f>D2940*Q2940</f>
        <v/>
      </c>
      <c r="S2940" s="23">
        <f>R2940*E2940</f>
        <v/>
      </c>
      <c r="T2940" s="23">
        <f>(R2940-S2940)*M2940</f>
        <v/>
      </c>
      <c r="U2940" s="23">
        <f>R2940-S2940-T2940</f>
        <v/>
      </c>
      <c r="V2940" s="23">
        <f>D2940*P2940</f>
        <v/>
      </c>
      <c r="W2940" s="23">
        <f>U2940-V2940</f>
        <v/>
      </c>
      <c r="X2940" s="24">
        <f>IFERROR(W2940/U2940,0)</f>
        <v/>
      </c>
    </row>
    <row r="2941">
      <c r="A2941" s="25">
        <f>ItensPedido!A2941</f>
        <v/>
      </c>
      <c r="B2941" s="25">
        <f>ItensPedido!B2941</f>
        <v/>
      </c>
      <c r="C2941" s="25">
        <f>ItensPedido!C2941</f>
        <v/>
      </c>
      <c r="D2941" s="25">
        <f>ItensPedido!D2941</f>
        <v/>
      </c>
      <c r="E2941" s="26">
        <f>ItensPedido!E2941</f>
        <v/>
      </c>
      <c r="F2941" s="25">
        <f>IFERROR(INDEX(Pedidos!$B$2:$B$1801,MATCH(B2941,Pedidos!$A$2:$A$1801,0)),0)</f>
        <v/>
      </c>
      <c r="G2941" s="25">
        <f>IF(F2941=0,"",YEAR(F2941))</f>
        <v/>
      </c>
      <c r="H2941" s="25">
        <f>IF(F2941=0,"",MONTH(F2941))</f>
        <v/>
      </c>
      <c r="I2941" s="25">
        <f>IFERROR(INDEX(Pedidos!$E$2:$E$1801,MATCH(B2941,Pedidos!$A$2:$A$1801,0)),"")</f>
        <v/>
      </c>
      <c r="J2941" s="25">
        <f>IFERROR(INDEX(Pedidos!$C$2:$C$1801,MATCH(B2941,Pedidos!$A$2:$A$1801,0)),"")</f>
        <v/>
      </c>
      <c r="K2941" s="25">
        <f>IFERROR(INDEX(Pedidos!$D$2:$D$1801,MATCH(B2941,Pedidos!$A$2:$A$1801,0)),"")</f>
        <v/>
      </c>
      <c r="L2941" s="25">
        <f>IFERROR(INDEX(Pedidos!$F$2:$F$1801,MATCH(B2941,Pedidos!$A$2:$A$1801,0)),"")</f>
        <v/>
      </c>
      <c r="M2941" s="26">
        <f>IFERROR(INDEX(Pedidos!$G$2:$G$1801,MATCH(B2941,Pedidos!$A$2:$A$1801,0)),0)</f>
        <v/>
      </c>
      <c r="N2941" s="25">
        <f>IFERROR(INDEX(Produtos!$B$2:$B$71,MATCH(C2941,Produtos!$A$2:$A$71,0)),"")</f>
        <v/>
      </c>
      <c r="O2941" s="25">
        <f>IFERROR(INDEX(Produtos!$C$2:$C$71,MATCH(C2941,Produtos!$A$2:$A$71,0)),"")</f>
        <v/>
      </c>
      <c r="P2941" s="25">
        <f>IFERROR(INDEX(Produtos!$D$2:$D$71,MATCH(C2941,Produtos!$A$2:$A$71,0)),0)</f>
        <v/>
      </c>
      <c r="Q2941" s="25">
        <f>IFERROR(INDEX(Produtos!$E$2:$E$71,MATCH(C2941,Produtos!$A$2:$A$71,0)),0)</f>
        <v/>
      </c>
      <c r="R2941" s="27">
        <f>D2941*Q2941</f>
        <v/>
      </c>
      <c r="S2941" s="27">
        <f>R2941*E2941</f>
        <v/>
      </c>
      <c r="T2941" s="27">
        <f>(R2941-S2941)*M2941</f>
        <v/>
      </c>
      <c r="U2941" s="27">
        <f>R2941-S2941-T2941</f>
        <v/>
      </c>
      <c r="V2941" s="27">
        <f>D2941*P2941</f>
        <v/>
      </c>
      <c r="W2941" s="27">
        <f>U2941-V2941</f>
        <v/>
      </c>
      <c r="X2941" s="28">
        <f>IFERROR(W2941/U2941,0)</f>
        <v/>
      </c>
    </row>
    <row r="2942">
      <c r="A2942" s="21">
        <f>ItensPedido!A2942</f>
        <v/>
      </c>
      <c r="B2942" s="21">
        <f>ItensPedido!B2942</f>
        <v/>
      </c>
      <c r="C2942" s="21">
        <f>ItensPedido!C2942</f>
        <v/>
      </c>
      <c r="D2942" s="21">
        <f>ItensPedido!D2942</f>
        <v/>
      </c>
      <c r="E2942" s="22">
        <f>ItensPedido!E2942</f>
        <v/>
      </c>
      <c r="F2942" s="21">
        <f>IFERROR(INDEX(Pedidos!$B$2:$B$1801,MATCH(B2942,Pedidos!$A$2:$A$1801,0)),0)</f>
        <v/>
      </c>
      <c r="G2942" s="21">
        <f>IF(F2942=0,"",YEAR(F2942))</f>
        <v/>
      </c>
      <c r="H2942" s="21">
        <f>IF(F2942=0,"",MONTH(F2942))</f>
        <v/>
      </c>
      <c r="I2942" s="21">
        <f>IFERROR(INDEX(Pedidos!$E$2:$E$1801,MATCH(B2942,Pedidos!$A$2:$A$1801,0)),"")</f>
        <v/>
      </c>
      <c r="J2942" s="21">
        <f>IFERROR(INDEX(Pedidos!$C$2:$C$1801,MATCH(B2942,Pedidos!$A$2:$A$1801,0)),"")</f>
        <v/>
      </c>
      <c r="K2942" s="21">
        <f>IFERROR(INDEX(Pedidos!$D$2:$D$1801,MATCH(B2942,Pedidos!$A$2:$A$1801,0)),"")</f>
        <v/>
      </c>
      <c r="L2942" s="21">
        <f>IFERROR(INDEX(Pedidos!$F$2:$F$1801,MATCH(B2942,Pedidos!$A$2:$A$1801,0)),"")</f>
        <v/>
      </c>
      <c r="M2942" s="22">
        <f>IFERROR(INDEX(Pedidos!$G$2:$G$1801,MATCH(B2942,Pedidos!$A$2:$A$1801,0)),0)</f>
        <v/>
      </c>
      <c r="N2942" s="21">
        <f>IFERROR(INDEX(Produtos!$B$2:$B$71,MATCH(C2942,Produtos!$A$2:$A$71,0)),"")</f>
        <v/>
      </c>
      <c r="O2942" s="21">
        <f>IFERROR(INDEX(Produtos!$C$2:$C$71,MATCH(C2942,Produtos!$A$2:$A$71,0)),"")</f>
        <v/>
      </c>
      <c r="P2942" s="21">
        <f>IFERROR(INDEX(Produtos!$D$2:$D$71,MATCH(C2942,Produtos!$A$2:$A$71,0)),0)</f>
        <v/>
      </c>
      <c r="Q2942" s="21">
        <f>IFERROR(INDEX(Produtos!$E$2:$E$71,MATCH(C2942,Produtos!$A$2:$A$71,0)),0)</f>
        <v/>
      </c>
      <c r="R2942" s="23">
        <f>D2942*Q2942</f>
        <v/>
      </c>
      <c r="S2942" s="23">
        <f>R2942*E2942</f>
        <v/>
      </c>
      <c r="T2942" s="23">
        <f>(R2942-S2942)*M2942</f>
        <v/>
      </c>
      <c r="U2942" s="23">
        <f>R2942-S2942-T2942</f>
        <v/>
      </c>
      <c r="V2942" s="23">
        <f>D2942*P2942</f>
        <v/>
      </c>
      <c r="W2942" s="23">
        <f>U2942-V2942</f>
        <v/>
      </c>
      <c r="X2942" s="24">
        <f>IFERROR(W2942/U2942,0)</f>
        <v/>
      </c>
    </row>
    <row r="2943">
      <c r="A2943" s="25">
        <f>ItensPedido!A2943</f>
        <v/>
      </c>
      <c r="B2943" s="25">
        <f>ItensPedido!B2943</f>
        <v/>
      </c>
      <c r="C2943" s="25">
        <f>ItensPedido!C2943</f>
        <v/>
      </c>
      <c r="D2943" s="25">
        <f>ItensPedido!D2943</f>
        <v/>
      </c>
      <c r="E2943" s="26">
        <f>ItensPedido!E2943</f>
        <v/>
      </c>
      <c r="F2943" s="25">
        <f>IFERROR(INDEX(Pedidos!$B$2:$B$1801,MATCH(B2943,Pedidos!$A$2:$A$1801,0)),0)</f>
        <v/>
      </c>
      <c r="G2943" s="25">
        <f>IF(F2943=0,"",YEAR(F2943))</f>
        <v/>
      </c>
      <c r="H2943" s="25">
        <f>IF(F2943=0,"",MONTH(F2943))</f>
        <v/>
      </c>
      <c r="I2943" s="25">
        <f>IFERROR(INDEX(Pedidos!$E$2:$E$1801,MATCH(B2943,Pedidos!$A$2:$A$1801,0)),"")</f>
        <v/>
      </c>
      <c r="J2943" s="25">
        <f>IFERROR(INDEX(Pedidos!$C$2:$C$1801,MATCH(B2943,Pedidos!$A$2:$A$1801,0)),"")</f>
        <v/>
      </c>
      <c r="K2943" s="25">
        <f>IFERROR(INDEX(Pedidos!$D$2:$D$1801,MATCH(B2943,Pedidos!$A$2:$A$1801,0)),"")</f>
        <v/>
      </c>
      <c r="L2943" s="25">
        <f>IFERROR(INDEX(Pedidos!$F$2:$F$1801,MATCH(B2943,Pedidos!$A$2:$A$1801,0)),"")</f>
        <v/>
      </c>
      <c r="M2943" s="26">
        <f>IFERROR(INDEX(Pedidos!$G$2:$G$1801,MATCH(B2943,Pedidos!$A$2:$A$1801,0)),0)</f>
        <v/>
      </c>
      <c r="N2943" s="25">
        <f>IFERROR(INDEX(Produtos!$B$2:$B$71,MATCH(C2943,Produtos!$A$2:$A$71,0)),"")</f>
        <v/>
      </c>
      <c r="O2943" s="25">
        <f>IFERROR(INDEX(Produtos!$C$2:$C$71,MATCH(C2943,Produtos!$A$2:$A$71,0)),"")</f>
        <v/>
      </c>
      <c r="P2943" s="25">
        <f>IFERROR(INDEX(Produtos!$D$2:$D$71,MATCH(C2943,Produtos!$A$2:$A$71,0)),0)</f>
        <v/>
      </c>
      <c r="Q2943" s="25">
        <f>IFERROR(INDEX(Produtos!$E$2:$E$71,MATCH(C2943,Produtos!$A$2:$A$71,0)),0)</f>
        <v/>
      </c>
      <c r="R2943" s="27">
        <f>D2943*Q2943</f>
        <v/>
      </c>
      <c r="S2943" s="27">
        <f>R2943*E2943</f>
        <v/>
      </c>
      <c r="T2943" s="27">
        <f>(R2943-S2943)*M2943</f>
        <v/>
      </c>
      <c r="U2943" s="27">
        <f>R2943-S2943-T2943</f>
        <v/>
      </c>
      <c r="V2943" s="27">
        <f>D2943*P2943</f>
        <v/>
      </c>
      <c r="W2943" s="27">
        <f>U2943-V2943</f>
        <v/>
      </c>
      <c r="X2943" s="28">
        <f>IFERROR(W2943/U2943,0)</f>
        <v/>
      </c>
    </row>
    <row r="2944">
      <c r="A2944" s="21">
        <f>ItensPedido!A2944</f>
        <v/>
      </c>
      <c r="B2944" s="21">
        <f>ItensPedido!B2944</f>
        <v/>
      </c>
      <c r="C2944" s="21">
        <f>ItensPedido!C2944</f>
        <v/>
      </c>
      <c r="D2944" s="21">
        <f>ItensPedido!D2944</f>
        <v/>
      </c>
      <c r="E2944" s="22">
        <f>ItensPedido!E2944</f>
        <v/>
      </c>
      <c r="F2944" s="21">
        <f>IFERROR(INDEX(Pedidos!$B$2:$B$1801,MATCH(B2944,Pedidos!$A$2:$A$1801,0)),0)</f>
        <v/>
      </c>
      <c r="G2944" s="21">
        <f>IF(F2944=0,"",YEAR(F2944))</f>
        <v/>
      </c>
      <c r="H2944" s="21">
        <f>IF(F2944=0,"",MONTH(F2944))</f>
        <v/>
      </c>
      <c r="I2944" s="21">
        <f>IFERROR(INDEX(Pedidos!$E$2:$E$1801,MATCH(B2944,Pedidos!$A$2:$A$1801,0)),"")</f>
        <v/>
      </c>
      <c r="J2944" s="21">
        <f>IFERROR(INDEX(Pedidos!$C$2:$C$1801,MATCH(B2944,Pedidos!$A$2:$A$1801,0)),"")</f>
        <v/>
      </c>
      <c r="K2944" s="21">
        <f>IFERROR(INDEX(Pedidos!$D$2:$D$1801,MATCH(B2944,Pedidos!$A$2:$A$1801,0)),"")</f>
        <v/>
      </c>
      <c r="L2944" s="21">
        <f>IFERROR(INDEX(Pedidos!$F$2:$F$1801,MATCH(B2944,Pedidos!$A$2:$A$1801,0)),"")</f>
        <v/>
      </c>
      <c r="M2944" s="22">
        <f>IFERROR(INDEX(Pedidos!$G$2:$G$1801,MATCH(B2944,Pedidos!$A$2:$A$1801,0)),0)</f>
        <v/>
      </c>
      <c r="N2944" s="21">
        <f>IFERROR(INDEX(Produtos!$B$2:$B$71,MATCH(C2944,Produtos!$A$2:$A$71,0)),"")</f>
        <v/>
      </c>
      <c r="O2944" s="21">
        <f>IFERROR(INDEX(Produtos!$C$2:$C$71,MATCH(C2944,Produtos!$A$2:$A$71,0)),"")</f>
        <v/>
      </c>
      <c r="P2944" s="21">
        <f>IFERROR(INDEX(Produtos!$D$2:$D$71,MATCH(C2944,Produtos!$A$2:$A$71,0)),0)</f>
        <v/>
      </c>
      <c r="Q2944" s="21">
        <f>IFERROR(INDEX(Produtos!$E$2:$E$71,MATCH(C2944,Produtos!$A$2:$A$71,0)),0)</f>
        <v/>
      </c>
      <c r="R2944" s="23">
        <f>D2944*Q2944</f>
        <v/>
      </c>
      <c r="S2944" s="23">
        <f>R2944*E2944</f>
        <v/>
      </c>
      <c r="T2944" s="23">
        <f>(R2944-S2944)*M2944</f>
        <v/>
      </c>
      <c r="U2944" s="23">
        <f>R2944-S2944-T2944</f>
        <v/>
      </c>
      <c r="V2944" s="23">
        <f>D2944*P2944</f>
        <v/>
      </c>
      <c r="W2944" s="23">
        <f>U2944-V2944</f>
        <v/>
      </c>
      <c r="X2944" s="24">
        <f>IFERROR(W2944/U2944,0)</f>
        <v/>
      </c>
    </row>
    <row r="2945">
      <c r="A2945" s="25">
        <f>ItensPedido!A2945</f>
        <v/>
      </c>
      <c r="B2945" s="25">
        <f>ItensPedido!B2945</f>
        <v/>
      </c>
      <c r="C2945" s="25">
        <f>ItensPedido!C2945</f>
        <v/>
      </c>
      <c r="D2945" s="25">
        <f>ItensPedido!D2945</f>
        <v/>
      </c>
      <c r="E2945" s="26">
        <f>ItensPedido!E2945</f>
        <v/>
      </c>
      <c r="F2945" s="25">
        <f>IFERROR(INDEX(Pedidos!$B$2:$B$1801,MATCH(B2945,Pedidos!$A$2:$A$1801,0)),0)</f>
        <v/>
      </c>
      <c r="G2945" s="25">
        <f>IF(F2945=0,"",YEAR(F2945))</f>
        <v/>
      </c>
      <c r="H2945" s="25">
        <f>IF(F2945=0,"",MONTH(F2945))</f>
        <v/>
      </c>
      <c r="I2945" s="25">
        <f>IFERROR(INDEX(Pedidos!$E$2:$E$1801,MATCH(B2945,Pedidos!$A$2:$A$1801,0)),"")</f>
        <v/>
      </c>
      <c r="J2945" s="25">
        <f>IFERROR(INDEX(Pedidos!$C$2:$C$1801,MATCH(B2945,Pedidos!$A$2:$A$1801,0)),"")</f>
        <v/>
      </c>
      <c r="K2945" s="25">
        <f>IFERROR(INDEX(Pedidos!$D$2:$D$1801,MATCH(B2945,Pedidos!$A$2:$A$1801,0)),"")</f>
        <v/>
      </c>
      <c r="L2945" s="25">
        <f>IFERROR(INDEX(Pedidos!$F$2:$F$1801,MATCH(B2945,Pedidos!$A$2:$A$1801,0)),"")</f>
        <v/>
      </c>
      <c r="M2945" s="26">
        <f>IFERROR(INDEX(Pedidos!$G$2:$G$1801,MATCH(B2945,Pedidos!$A$2:$A$1801,0)),0)</f>
        <v/>
      </c>
      <c r="N2945" s="25">
        <f>IFERROR(INDEX(Produtos!$B$2:$B$71,MATCH(C2945,Produtos!$A$2:$A$71,0)),"")</f>
        <v/>
      </c>
      <c r="O2945" s="25">
        <f>IFERROR(INDEX(Produtos!$C$2:$C$71,MATCH(C2945,Produtos!$A$2:$A$71,0)),"")</f>
        <v/>
      </c>
      <c r="P2945" s="25">
        <f>IFERROR(INDEX(Produtos!$D$2:$D$71,MATCH(C2945,Produtos!$A$2:$A$71,0)),0)</f>
        <v/>
      </c>
      <c r="Q2945" s="25">
        <f>IFERROR(INDEX(Produtos!$E$2:$E$71,MATCH(C2945,Produtos!$A$2:$A$71,0)),0)</f>
        <v/>
      </c>
      <c r="R2945" s="27">
        <f>D2945*Q2945</f>
        <v/>
      </c>
      <c r="S2945" s="27">
        <f>R2945*E2945</f>
        <v/>
      </c>
      <c r="T2945" s="27">
        <f>(R2945-S2945)*M2945</f>
        <v/>
      </c>
      <c r="U2945" s="27">
        <f>R2945-S2945-T2945</f>
        <v/>
      </c>
      <c r="V2945" s="27">
        <f>D2945*P2945</f>
        <v/>
      </c>
      <c r="W2945" s="27">
        <f>U2945-V2945</f>
        <v/>
      </c>
      <c r="X2945" s="28">
        <f>IFERROR(W2945/U2945,0)</f>
        <v/>
      </c>
    </row>
    <row r="2946">
      <c r="A2946" s="21">
        <f>ItensPedido!A2946</f>
        <v/>
      </c>
      <c r="B2946" s="21">
        <f>ItensPedido!B2946</f>
        <v/>
      </c>
      <c r="C2946" s="21">
        <f>ItensPedido!C2946</f>
        <v/>
      </c>
      <c r="D2946" s="21">
        <f>ItensPedido!D2946</f>
        <v/>
      </c>
      <c r="E2946" s="22">
        <f>ItensPedido!E2946</f>
        <v/>
      </c>
      <c r="F2946" s="21">
        <f>IFERROR(INDEX(Pedidos!$B$2:$B$1801,MATCH(B2946,Pedidos!$A$2:$A$1801,0)),0)</f>
        <v/>
      </c>
      <c r="G2946" s="21">
        <f>IF(F2946=0,"",YEAR(F2946))</f>
        <v/>
      </c>
      <c r="H2946" s="21">
        <f>IF(F2946=0,"",MONTH(F2946))</f>
        <v/>
      </c>
      <c r="I2946" s="21">
        <f>IFERROR(INDEX(Pedidos!$E$2:$E$1801,MATCH(B2946,Pedidos!$A$2:$A$1801,0)),"")</f>
        <v/>
      </c>
      <c r="J2946" s="21">
        <f>IFERROR(INDEX(Pedidos!$C$2:$C$1801,MATCH(B2946,Pedidos!$A$2:$A$1801,0)),"")</f>
        <v/>
      </c>
      <c r="K2946" s="21">
        <f>IFERROR(INDEX(Pedidos!$D$2:$D$1801,MATCH(B2946,Pedidos!$A$2:$A$1801,0)),"")</f>
        <v/>
      </c>
      <c r="L2946" s="21">
        <f>IFERROR(INDEX(Pedidos!$F$2:$F$1801,MATCH(B2946,Pedidos!$A$2:$A$1801,0)),"")</f>
        <v/>
      </c>
      <c r="M2946" s="22">
        <f>IFERROR(INDEX(Pedidos!$G$2:$G$1801,MATCH(B2946,Pedidos!$A$2:$A$1801,0)),0)</f>
        <v/>
      </c>
      <c r="N2946" s="21">
        <f>IFERROR(INDEX(Produtos!$B$2:$B$71,MATCH(C2946,Produtos!$A$2:$A$71,0)),"")</f>
        <v/>
      </c>
      <c r="O2946" s="21">
        <f>IFERROR(INDEX(Produtos!$C$2:$C$71,MATCH(C2946,Produtos!$A$2:$A$71,0)),"")</f>
        <v/>
      </c>
      <c r="P2946" s="21">
        <f>IFERROR(INDEX(Produtos!$D$2:$D$71,MATCH(C2946,Produtos!$A$2:$A$71,0)),0)</f>
        <v/>
      </c>
      <c r="Q2946" s="21">
        <f>IFERROR(INDEX(Produtos!$E$2:$E$71,MATCH(C2946,Produtos!$A$2:$A$71,0)),0)</f>
        <v/>
      </c>
      <c r="R2946" s="23">
        <f>D2946*Q2946</f>
        <v/>
      </c>
      <c r="S2946" s="23">
        <f>R2946*E2946</f>
        <v/>
      </c>
      <c r="T2946" s="23">
        <f>(R2946-S2946)*M2946</f>
        <v/>
      </c>
      <c r="U2946" s="23">
        <f>R2946-S2946-T2946</f>
        <v/>
      </c>
      <c r="V2946" s="23">
        <f>D2946*P2946</f>
        <v/>
      </c>
      <c r="W2946" s="23">
        <f>U2946-V2946</f>
        <v/>
      </c>
      <c r="X2946" s="24">
        <f>IFERROR(W2946/U2946,0)</f>
        <v/>
      </c>
    </row>
    <row r="2947">
      <c r="A2947" s="25">
        <f>ItensPedido!A2947</f>
        <v/>
      </c>
      <c r="B2947" s="25">
        <f>ItensPedido!B2947</f>
        <v/>
      </c>
      <c r="C2947" s="25">
        <f>ItensPedido!C2947</f>
        <v/>
      </c>
      <c r="D2947" s="25">
        <f>ItensPedido!D2947</f>
        <v/>
      </c>
      <c r="E2947" s="26">
        <f>ItensPedido!E2947</f>
        <v/>
      </c>
      <c r="F2947" s="25">
        <f>IFERROR(INDEX(Pedidos!$B$2:$B$1801,MATCH(B2947,Pedidos!$A$2:$A$1801,0)),0)</f>
        <v/>
      </c>
      <c r="G2947" s="25">
        <f>IF(F2947=0,"",YEAR(F2947))</f>
        <v/>
      </c>
      <c r="H2947" s="25">
        <f>IF(F2947=0,"",MONTH(F2947))</f>
        <v/>
      </c>
      <c r="I2947" s="25">
        <f>IFERROR(INDEX(Pedidos!$E$2:$E$1801,MATCH(B2947,Pedidos!$A$2:$A$1801,0)),"")</f>
        <v/>
      </c>
      <c r="J2947" s="25">
        <f>IFERROR(INDEX(Pedidos!$C$2:$C$1801,MATCH(B2947,Pedidos!$A$2:$A$1801,0)),"")</f>
        <v/>
      </c>
      <c r="K2947" s="25">
        <f>IFERROR(INDEX(Pedidos!$D$2:$D$1801,MATCH(B2947,Pedidos!$A$2:$A$1801,0)),"")</f>
        <v/>
      </c>
      <c r="L2947" s="25">
        <f>IFERROR(INDEX(Pedidos!$F$2:$F$1801,MATCH(B2947,Pedidos!$A$2:$A$1801,0)),"")</f>
        <v/>
      </c>
      <c r="M2947" s="26">
        <f>IFERROR(INDEX(Pedidos!$G$2:$G$1801,MATCH(B2947,Pedidos!$A$2:$A$1801,0)),0)</f>
        <v/>
      </c>
      <c r="N2947" s="25">
        <f>IFERROR(INDEX(Produtos!$B$2:$B$71,MATCH(C2947,Produtos!$A$2:$A$71,0)),"")</f>
        <v/>
      </c>
      <c r="O2947" s="25">
        <f>IFERROR(INDEX(Produtos!$C$2:$C$71,MATCH(C2947,Produtos!$A$2:$A$71,0)),"")</f>
        <v/>
      </c>
      <c r="P2947" s="25">
        <f>IFERROR(INDEX(Produtos!$D$2:$D$71,MATCH(C2947,Produtos!$A$2:$A$71,0)),0)</f>
        <v/>
      </c>
      <c r="Q2947" s="25">
        <f>IFERROR(INDEX(Produtos!$E$2:$E$71,MATCH(C2947,Produtos!$A$2:$A$71,0)),0)</f>
        <v/>
      </c>
      <c r="R2947" s="27">
        <f>D2947*Q2947</f>
        <v/>
      </c>
      <c r="S2947" s="27">
        <f>R2947*E2947</f>
        <v/>
      </c>
      <c r="T2947" s="27">
        <f>(R2947-S2947)*M2947</f>
        <v/>
      </c>
      <c r="U2947" s="27">
        <f>R2947-S2947-T2947</f>
        <v/>
      </c>
      <c r="V2947" s="27">
        <f>D2947*P2947</f>
        <v/>
      </c>
      <c r="W2947" s="27">
        <f>U2947-V2947</f>
        <v/>
      </c>
      <c r="X2947" s="28">
        <f>IFERROR(W2947/U2947,0)</f>
        <v/>
      </c>
    </row>
    <row r="2948">
      <c r="A2948" s="21">
        <f>ItensPedido!A2948</f>
        <v/>
      </c>
      <c r="B2948" s="21">
        <f>ItensPedido!B2948</f>
        <v/>
      </c>
      <c r="C2948" s="21">
        <f>ItensPedido!C2948</f>
        <v/>
      </c>
      <c r="D2948" s="21">
        <f>ItensPedido!D2948</f>
        <v/>
      </c>
      <c r="E2948" s="22">
        <f>ItensPedido!E2948</f>
        <v/>
      </c>
      <c r="F2948" s="21">
        <f>IFERROR(INDEX(Pedidos!$B$2:$B$1801,MATCH(B2948,Pedidos!$A$2:$A$1801,0)),0)</f>
        <v/>
      </c>
      <c r="G2948" s="21">
        <f>IF(F2948=0,"",YEAR(F2948))</f>
        <v/>
      </c>
      <c r="H2948" s="21">
        <f>IF(F2948=0,"",MONTH(F2948))</f>
        <v/>
      </c>
      <c r="I2948" s="21">
        <f>IFERROR(INDEX(Pedidos!$E$2:$E$1801,MATCH(B2948,Pedidos!$A$2:$A$1801,0)),"")</f>
        <v/>
      </c>
      <c r="J2948" s="21">
        <f>IFERROR(INDEX(Pedidos!$C$2:$C$1801,MATCH(B2948,Pedidos!$A$2:$A$1801,0)),"")</f>
        <v/>
      </c>
      <c r="K2948" s="21">
        <f>IFERROR(INDEX(Pedidos!$D$2:$D$1801,MATCH(B2948,Pedidos!$A$2:$A$1801,0)),"")</f>
        <v/>
      </c>
      <c r="L2948" s="21">
        <f>IFERROR(INDEX(Pedidos!$F$2:$F$1801,MATCH(B2948,Pedidos!$A$2:$A$1801,0)),"")</f>
        <v/>
      </c>
      <c r="M2948" s="22">
        <f>IFERROR(INDEX(Pedidos!$G$2:$G$1801,MATCH(B2948,Pedidos!$A$2:$A$1801,0)),0)</f>
        <v/>
      </c>
      <c r="N2948" s="21">
        <f>IFERROR(INDEX(Produtos!$B$2:$B$71,MATCH(C2948,Produtos!$A$2:$A$71,0)),"")</f>
        <v/>
      </c>
      <c r="O2948" s="21">
        <f>IFERROR(INDEX(Produtos!$C$2:$C$71,MATCH(C2948,Produtos!$A$2:$A$71,0)),"")</f>
        <v/>
      </c>
      <c r="P2948" s="21">
        <f>IFERROR(INDEX(Produtos!$D$2:$D$71,MATCH(C2948,Produtos!$A$2:$A$71,0)),0)</f>
        <v/>
      </c>
      <c r="Q2948" s="21">
        <f>IFERROR(INDEX(Produtos!$E$2:$E$71,MATCH(C2948,Produtos!$A$2:$A$71,0)),0)</f>
        <v/>
      </c>
      <c r="R2948" s="23">
        <f>D2948*Q2948</f>
        <v/>
      </c>
      <c r="S2948" s="23">
        <f>R2948*E2948</f>
        <v/>
      </c>
      <c r="T2948" s="23">
        <f>(R2948-S2948)*M2948</f>
        <v/>
      </c>
      <c r="U2948" s="23">
        <f>R2948-S2948-T2948</f>
        <v/>
      </c>
      <c r="V2948" s="23">
        <f>D2948*P2948</f>
        <v/>
      </c>
      <c r="W2948" s="23">
        <f>U2948-V2948</f>
        <v/>
      </c>
      <c r="X2948" s="24">
        <f>IFERROR(W2948/U2948,0)</f>
        <v/>
      </c>
    </row>
    <row r="2949">
      <c r="A2949" s="25">
        <f>ItensPedido!A2949</f>
        <v/>
      </c>
      <c r="B2949" s="25">
        <f>ItensPedido!B2949</f>
        <v/>
      </c>
      <c r="C2949" s="25">
        <f>ItensPedido!C2949</f>
        <v/>
      </c>
      <c r="D2949" s="25">
        <f>ItensPedido!D2949</f>
        <v/>
      </c>
      <c r="E2949" s="26">
        <f>ItensPedido!E2949</f>
        <v/>
      </c>
      <c r="F2949" s="25">
        <f>IFERROR(INDEX(Pedidos!$B$2:$B$1801,MATCH(B2949,Pedidos!$A$2:$A$1801,0)),0)</f>
        <v/>
      </c>
      <c r="G2949" s="25">
        <f>IF(F2949=0,"",YEAR(F2949))</f>
        <v/>
      </c>
      <c r="H2949" s="25">
        <f>IF(F2949=0,"",MONTH(F2949))</f>
        <v/>
      </c>
      <c r="I2949" s="25">
        <f>IFERROR(INDEX(Pedidos!$E$2:$E$1801,MATCH(B2949,Pedidos!$A$2:$A$1801,0)),"")</f>
        <v/>
      </c>
      <c r="J2949" s="25">
        <f>IFERROR(INDEX(Pedidos!$C$2:$C$1801,MATCH(B2949,Pedidos!$A$2:$A$1801,0)),"")</f>
        <v/>
      </c>
      <c r="K2949" s="25">
        <f>IFERROR(INDEX(Pedidos!$D$2:$D$1801,MATCH(B2949,Pedidos!$A$2:$A$1801,0)),"")</f>
        <v/>
      </c>
      <c r="L2949" s="25">
        <f>IFERROR(INDEX(Pedidos!$F$2:$F$1801,MATCH(B2949,Pedidos!$A$2:$A$1801,0)),"")</f>
        <v/>
      </c>
      <c r="M2949" s="26">
        <f>IFERROR(INDEX(Pedidos!$G$2:$G$1801,MATCH(B2949,Pedidos!$A$2:$A$1801,0)),0)</f>
        <v/>
      </c>
      <c r="N2949" s="25">
        <f>IFERROR(INDEX(Produtos!$B$2:$B$71,MATCH(C2949,Produtos!$A$2:$A$71,0)),"")</f>
        <v/>
      </c>
      <c r="O2949" s="25">
        <f>IFERROR(INDEX(Produtos!$C$2:$C$71,MATCH(C2949,Produtos!$A$2:$A$71,0)),"")</f>
        <v/>
      </c>
      <c r="P2949" s="25">
        <f>IFERROR(INDEX(Produtos!$D$2:$D$71,MATCH(C2949,Produtos!$A$2:$A$71,0)),0)</f>
        <v/>
      </c>
      <c r="Q2949" s="25">
        <f>IFERROR(INDEX(Produtos!$E$2:$E$71,MATCH(C2949,Produtos!$A$2:$A$71,0)),0)</f>
        <v/>
      </c>
      <c r="R2949" s="27">
        <f>D2949*Q2949</f>
        <v/>
      </c>
      <c r="S2949" s="27">
        <f>R2949*E2949</f>
        <v/>
      </c>
      <c r="T2949" s="27">
        <f>(R2949-S2949)*M2949</f>
        <v/>
      </c>
      <c r="U2949" s="27">
        <f>R2949-S2949-T2949</f>
        <v/>
      </c>
      <c r="V2949" s="27">
        <f>D2949*P2949</f>
        <v/>
      </c>
      <c r="W2949" s="27">
        <f>U2949-V2949</f>
        <v/>
      </c>
      <c r="X2949" s="28">
        <f>IFERROR(W2949/U2949,0)</f>
        <v/>
      </c>
    </row>
    <row r="2950">
      <c r="A2950" s="21">
        <f>ItensPedido!A2950</f>
        <v/>
      </c>
      <c r="B2950" s="21">
        <f>ItensPedido!B2950</f>
        <v/>
      </c>
      <c r="C2950" s="21">
        <f>ItensPedido!C2950</f>
        <v/>
      </c>
      <c r="D2950" s="21">
        <f>ItensPedido!D2950</f>
        <v/>
      </c>
      <c r="E2950" s="22">
        <f>ItensPedido!E2950</f>
        <v/>
      </c>
      <c r="F2950" s="21">
        <f>IFERROR(INDEX(Pedidos!$B$2:$B$1801,MATCH(B2950,Pedidos!$A$2:$A$1801,0)),0)</f>
        <v/>
      </c>
      <c r="G2950" s="21">
        <f>IF(F2950=0,"",YEAR(F2950))</f>
        <v/>
      </c>
      <c r="H2950" s="21">
        <f>IF(F2950=0,"",MONTH(F2950))</f>
        <v/>
      </c>
      <c r="I2950" s="21">
        <f>IFERROR(INDEX(Pedidos!$E$2:$E$1801,MATCH(B2950,Pedidos!$A$2:$A$1801,0)),"")</f>
        <v/>
      </c>
      <c r="J2950" s="21">
        <f>IFERROR(INDEX(Pedidos!$C$2:$C$1801,MATCH(B2950,Pedidos!$A$2:$A$1801,0)),"")</f>
        <v/>
      </c>
      <c r="K2950" s="21">
        <f>IFERROR(INDEX(Pedidos!$D$2:$D$1801,MATCH(B2950,Pedidos!$A$2:$A$1801,0)),"")</f>
        <v/>
      </c>
      <c r="L2950" s="21">
        <f>IFERROR(INDEX(Pedidos!$F$2:$F$1801,MATCH(B2950,Pedidos!$A$2:$A$1801,0)),"")</f>
        <v/>
      </c>
      <c r="M2950" s="22">
        <f>IFERROR(INDEX(Pedidos!$G$2:$G$1801,MATCH(B2950,Pedidos!$A$2:$A$1801,0)),0)</f>
        <v/>
      </c>
      <c r="N2950" s="21">
        <f>IFERROR(INDEX(Produtos!$B$2:$B$71,MATCH(C2950,Produtos!$A$2:$A$71,0)),"")</f>
        <v/>
      </c>
      <c r="O2950" s="21">
        <f>IFERROR(INDEX(Produtos!$C$2:$C$71,MATCH(C2950,Produtos!$A$2:$A$71,0)),"")</f>
        <v/>
      </c>
      <c r="P2950" s="21">
        <f>IFERROR(INDEX(Produtos!$D$2:$D$71,MATCH(C2950,Produtos!$A$2:$A$71,0)),0)</f>
        <v/>
      </c>
      <c r="Q2950" s="21">
        <f>IFERROR(INDEX(Produtos!$E$2:$E$71,MATCH(C2950,Produtos!$A$2:$A$71,0)),0)</f>
        <v/>
      </c>
      <c r="R2950" s="23">
        <f>D2950*Q2950</f>
        <v/>
      </c>
      <c r="S2950" s="23">
        <f>R2950*E2950</f>
        <v/>
      </c>
      <c r="T2950" s="23">
        <f>(R2950-S2950)*M2950</f>
        <v/>
      </c>
      <c r="U2950" s="23">
        <f>R2950-S2950-T2950</f>
        <v/>
      </c>
      <c r="V2950" s="23">
        <f>D2950*P2950</f>
        <v/>
      </c>
      <c r="W2950" s="23">
        <f>U2950-V2950</f>
        <v/>
      </c>
      <c r="X2950" s="24">
        <f>IFERROR(W2950/U2950,0)</f>
        <v/>
      </c>
    </row>
    <row r="2951">
      <c r="A2951" s="25">
        <f>ItensPedido!A2951</f>
        <v/>
      </c>
      <c r="B2951" s="25">
        <f>ItensPedido!B2951</f>
        <v/>
      </c>
      <c r="C2951" s="25">
        <f>ItensPedido!C2951</f>
        <v/>
      </c>
      <c r="D2951" s="25">
        <f>ItensPedido!D2951</f>
        <v/>
      </c>
      <c r="E2951" s="26">
        <f>ItensPedido!E2951</f>
        <v/>
      </c>
      <c r="F2951" s="25">
        <f>IFERROR(INDEX(Pedidos!$B$2:$B$1801,MATCH(B2951,Pedidos!$A$2:$A$1801,0)),0)</f>
        <v/>
      </c>
      <c r="G2951" s="25">
        <f>IF(F2951=0,"",YEAR(F2951))</f>
        <v/>
      </c>
      <c r="H2951" s="25">
        <f>IF(F2951=0,"",MONTH(F2951))</f>
        <v/>
      </c>
      <c r="I2951" s="25">
        <f>IFERROR(INDEX(Pedidos!$E$2:$E$1801,MATCH(B2951,Pedidos!$A$2:$A$1801,0)),"")</f>
        <v/>
      </c>
      <c r="J2951" s="25">
        <f>IFERROR(INDEX(Pedidos!$C$2:$C$1801,MATCH(B2951,Pedidos!$A$2:$A$1801,0)),"")</f>
        <v/>
      </c>
      <c r="K2951" s="25">
        <f>IFERROR(INDEX(Pedidos!$D$2:$D$1801,MATCH(B2951,Pedidos!$A$2:$A$1801,0)),"")</f>
        <v/>
      </c>
      <c r="L2951" s="25">
        <f>IFERROR(INDEX(Pedidos!$F$2:$F$1801,MATCH(B2951,Pedidos!$A$2:$A$1801,0)),"")</f>
        <v/>
      </c>
      <c r="M2951" s="26">
        <f>IFERROR(INDEX(Pedidos!$G$2:$G$1801,MATCH(B2951,Pedidos!$A$2:$A$1801,0)),0)</f>
        <v/>
      </c>
      <c r="N2951" s="25">
        <f>IFERROR(INDEX(Produtos!$B$2:$B$71,MATCH(C2951,Produtos!$A$2:$A$71,0)),"")</f>
        <v/>
      </c>
      <c r="O2951" s="25">
        <f>IFERROR(INDEX(Produtos!$C$2:$C$71,MATCH(C2951,Produtos!$A$2:$A$71,0)),"")</f>
        <v/>
      </c>
      <c r="P2951" s="25">
        <f>IFERROR(INDEX(Produtos!$D$2:$D$71,MATCH(C2951,Produtos!$A$2:$A$71,0)),0)</f>
        <v/>
      </c>
      <c r="Q2951" s="25">
        <f>IFERROR(INDEX(Produtos!$E$2:$E$71,MATCH(C2951,Produtos!$A$2:$A$71,0)),0)</f>
        <v/>
      </c>
      <c r="R2951" s="27">
        <f>D2951*Q2951</f>
        <v/>
      </c>
      <c r="S2951" s="27">
        <f>R2951*E2951</f>
        <v/>
      </c>
      <c r="T2951" s="27">
        <f>(R2951-S2951)*M2951</f>
        <v/>
      </c>
      <c r="U2951" s="27">
        <f>R2951-S2951-T2951</f>
        <v/>
      </c>
      <c r="V2951" s="27">
        <f>D2951*P2951</f>
        <v/>
      </c>
      <c r="W2951" s="27">
        <f>U2951-V2951</f>
        <v/>
      </c>
      <c r="X2951" s="28">
        <f>IFERROR(W2951/U2951,0)</f>
        <v/>
      </c>
    </row>
    <row r="2952">
      <c r="A2952" s="21">
        <f>ItensPedido!A2952</f>
        <v/>
      </c>
      <c r="B2952" s="21">
        <f>ItensPedido!B2952</f>
        <v/>
      </c>
      <c r="C2952" s="21">
        <f>ItensPedido!C2952</f>
        <v/>
      </c>
      <c r="D2952" s="21">
        <f>ItensPedido!D2952</f>
        <v/>
      </c>
      <c r="E2952" s="22">
        <f>ItensPedido!E2952</f>
        <v/>
      </c>
      <c r="F2952" s="21">
        <f>IFERROR(INDEX(Pedidos!$B$2:$B$1801,MATCH(B2952,Pedidos!$A$2:$A$1801,0)),0)</f>
        <v/>
      </c>
      <c r="G2952" s="21">
        <f>IF(F2952=0,"",YEAR(F2952))</f>
        <v/>
      </c>
      <c r="H2952" s="21">
        <f>IF(F2952=0,"",MONTH(F2952))</f>
        <v/>
      </c>
      <c r="I2952" s="21">
        <f>IFERROR(INDEX(Pedidos!$E$2:$E$1801,MATCH(B2952,Pedidos!$A$2:$A$1801,0)),"")</f>
        <v/>
      </c>
      <c r="J2952" s="21">
        <f>IFERROR(INDEX(Pedidos!$C$2:$C$1801,MATCH(B2952,Pedidos!$A$2:$A$1801,0)),"")</f>
        <v/>
      </c>
      <c r="K2952" s="21">
        <f>IFERROR(INDEX(Pedidos!$D$2:$D$1801,MATCH(B2952,Pedidos!$A$2:$A$1801,0)),"")</f>
        <v/>
      </c>
      <c r="L2952" s="21">
        <f>IFERROR(INDEX(Pedidos!$F$2:$F$1801,MATCH(B2952,Pedidos!$A$2:$A$1801,0)),"")</f>
        <v/>
      </c>
      <c r="M2952" s="22">
        <f>IFERROR(INDEX(Pedidos!$G$2:$G$1801,MATCH(B2952,Pedidos!$A$2:$A$1801,0)),0)</f>
        <v/>
      </c>
      <c r="N2952" s="21">
        <f>IFERROR(INDEX(Produtos!$B$2:$B$71,MATCH(C2952,Produtos!$A$2:$A$71,0)),"")</f>
        <v/>
      </c>
      <c r="O2952" s="21">
        <f>IFERROR(INDEX(Produtos!$C$2:$C$71,MATCH(C2952,Produtos!$A$2:$A$71,0)),"")</f>
        <v/>
      </c>
      <c r="P2952" s="21">
        <f>IFERROR(INDEX(Produtos!$D$2:$D$71,MATCH(C2952,Produtos!$A$2:$A$71,0)),0)</f>
        <v/>
      </c>
      <c r="Q2952" s="21">
        <f>IFERROR(INDEX(Produtos!$E$2:$E$71,MATCH(C2952,Produtos!$A$2:$A$71,0)),0)</f>
        <v/>
      </c>
      <c r="R2952" s="23">
        <f>D2952*Q2952</f>
        <v/>
      </c>
      <c r="S2952" s="23">
        <f>R2952*E2952</f>
        <v/>
      </c>
      <c r="T2952" s="23">
        <f>(R2952-S2952)*M2952</f>
        <v/>
      </c>
      <c r="U2952" s="23">
        <f>R2952-S2952-T2952</f>
        <v/>
      </c>
      <c r="V2952" s="23">
        <f>D2952*P2952</f>
        <v/>
      </c>
      <c r="W2952" s="23">
        <f>U2952-V2952</f>
        <v/>
      </c>
      <c r="X2952" s="24">
        <f>IFERROR(W2952/U2952,0)</f>
        <v/>
      </c>
    </row>
    <row r="2953">
      <c r="A2953" s="25">
        <f>ItensPedido!A2953</f>
        <v/>
      </c>
      <c r="B2953" s="25">
        <f>ItensPedido!B2953</f>
        <v/>
      </c>
      <c r="C2953" s="25">
        <f>ItensPedido!C2953</f>
        <v/>
      </c>
      <c r="D2953" s="25">
        <f>ItensPedido!D2953</f>
        <v/>
      </c>
      <c r="E2953" s="26">
        <f>ItensPedido!E2953</f>
        <v/>
      </c>
      <c r="F2953" s="25">
        <f>IFERROR(INDEX(Pedidos!$B$2:$B$1801,MATCH(B2953,Pedidos!$A$2:$A$1801,0)),0)</f>
        <v/>
      </c>
      <c r="G2953" s="25">
        <f>IF(F2953=0,"",YEAR(F2953))</f>
        <v/>
      </c>
      <c r="H2953" s="25">
        <f>IF(F2953=0,"",MONTH(F2953))</f>
        <v/>
      </c>
      <c r="I2953" s="25">
        <f>IFERROR(INDEX(Pedidos!$E$2:$E$1801,MATCH(B2953,Pedidos!$A$2:$A$1801,0)),"")</f>
        <v/>
      </c>
      <c r="J2953" s="25">
        <f>IFERROR(INDEX(Pedidos!$C$2:$C$1801,MATCH(B2953,Pedidos!$A$2:$A$1801,0)),"")</f>
        <v/>
      </c>
      <c r="K2953" s="25">
        <f>IFERROR(INDEX(Pedidos!$D$2:$D$1801,MATCH(B2953,Pedidos!$A$2:$A$1801,0)),"")</f>
        <v/>
      </c>
      <c r="L2953" s="25">
        <f>IFERROR(INDEX(Pedidos!$F$2:$F$1801,MATCH(B2953,Pedidos!$A$2:$A$1801,0)),"")</f>
        <v/>
      </c>
      <c r="M2953" s="26">
        <f>IFERROR(INDEX(Pedidos!$G$2:$G$1801,MATCH(B2953,Pedidos!$A$2:$A$1801,0)),0)</f>
        <v/>
      </c>
      <c r="N2953" s="25">
        <f>IFERROR(INDEX(Produtos!$B$2:$B$71,MATCH(C2953,Produtos!$A$2:$A$71,0)),"")</f>
        <v/>
      </c>
      <c r="O2953" s="25">
        <f>IFERROR(INDEX(Produtos!$C$2:$C$71,MATCH(C2953,Produtos!$A$2:$A$71,0)),"")</f>
        <v/>
      </c>
      <c r="P2953" s="25">
        <f>IFERROR(INDEX(Produtos!$D$2:$D$71,MATCH(C2953,Produtos!$A$2:$A$71,0)),0)</f>
        <v/>
      </c>
      <c r="Q2953" s="25">
        <f>IFERROR(INDEX(Produtos!$E$2:$E$71,MATCH(C2953,Produtos!$A$2:$A$71,0)),0)</f>
        <v/>
      </c>
      <c r="R2953" s="27">
        <f>D2953*Q2953</f>
        <v/>
      </c>
      <c r="S2953" s="27">
        <f>R2953*E2953</f>
        <v/>
      </c>
      <c r="T2953" s="27">
        <f>(R2953-S2953)*M2953</f>
        <v/>
      </c>
      <c r="U2953" s="27">
        <f>R2953-S2953-T2953</f>
        <v/>
      </c>
      <c r="V2953" s="27">
        <f>D2953*P2953</f>
        <v/>
      </c>
      <c r="W2953" s="27">
        <f>U2953-V2953</f>
        <v/>
      </c>
      <c r="X2953" s="28">
        <f>IFERROR(W2953/U2953,0)</f>
        <v/>
      </c>
    </row>
    <row r="2954">
      <c r="A2954" s="21">
        <f>ItensPedido!A2954</f>
        <v/>
      </c>
      <c r="B2954" s="21">
        <f>ItensPedido!B2954</f>
        <v/>
      </c>
      <c r="C2954" s="21">
        <f>ItensPedido!C2954</f>
        <v/>
      </c>
      <c r="D2954" s="21">
        <f>ItensPedido!D2954</f>
        <v/>
      </c>
      <c r="E2954" s="22">
        <f>ItensPedido!E2954</f>
        <v/>
      </c>
      <c r="F2954" s="21">
        <f>IFERROR(INDEX(Pedidos!$B$2:$B$1801,MATCH(B2954,Pedidos!$A$2:$A$1801,0)),0)</f>
        <v/>
      </c>
      <c r="G2954" s="21">
        <f>IF(F2954=0,"",YEAR(F2954))</f>
        <v/>
      </c>
      <c r="H2954" s="21">
        <f>IF(F2954=0,"",MONTH(F2954))</f>
        <v/>
      </c>
      <c r="I2954" s="21">
        <f>IFERROR(INDEX(Pedidos!$E$2:$E$1801,MATCH(B2954,Pedidos!$A$2:$A$1801,0)),"")</f>
        <v/>
      </c>
      <c r="J2954" s="21">
        <f>IFERROR(INDEX(Pedidos!$C$2:$C$1801,MATCH(B2954,Pedidos!$A$2:$A$1801,0)),"")</f>
        <v/>
      </c>
      <c r="K2954" s="21">
        <f>IFERROR(INDEX(Pedidos!$D$2:$D$1801,MATCH(B2954,Pedidos!$A$2:$A$1801,0)),"")</f>
        <v/>
      </c>
      <c r="L2954" s="21">
        <f>IFERROR(INDEX(Pedidos!$F$2:$F$1801,MATCH(B2954,Pedidos!$A$2:$A$1801,0)),"")</f>
        <v/>
      </c>
      <c r="M2954" s="22">
        <f>IFERROR(INDEX(Pedidos!$G$2:$G$1801,MATCH(B2954,Pedidos!$A$2:$A$1801,0)),0)</f>
        <v/>
      </c>
      <c r="N2954" s="21">
        <f>IFERROR(INDEX(Produtos!$B$2:$B$71,MATCH(C2954,Produtos!$A$2:$A$71,0)),"")</f>
        <v/>
      </c>
      <c r="O2954" s="21">
        <f>IFERROR(INDEX(Produtos!$C$2:$C$71,MATCH(C2954,Produtos!$A$2:$A$71,0)),"")</f>
        <v/>
      </c>
      <c r="P2954" s="21">
        <f>IFERROR(INDEX(Produtos!$D$2:$D$71,MATCH(C2954,Produtos!$A$2:$A$71,0)),0)</f>
        <v/>
      </c>
      <c r="Q2954" s="21">
        <f>IFERROR(INDEX(Produtos!$E$2:$E$71,MATCH(C2954,Produtos!$A$2:$A$71,0)),0)</f>
        <v/>
      </c>
      <c r="R2954" s="23">
        <f>D2954*Q2954</f>
        <v/>
      </c>
      <c r="S2954" s="23">
        <f>R2954*E2954</f>
        <v/>
      </c>
      <c r="T2954" s="23">
        <f>(R2954-S2954)*M2954</f>
        <v/>
      </c>
      <c r="U2954" s="23">
        <f>R2954-S2954-T2954</f>
        <v/>
      </c>
      <c r="V2954" s="23">
        <f>D2954*P2954</f>
        <v/>
      </c>
      <c r="W2954" s="23">
        <f>U2954-V2954</f>
        <v/>
      </c>
      <c r="X2954" s="24">
        <f>IFERROR(W2954/U2954,0)</f>
        <v/>
      </c>
    </row>
    <row r="2955">
      <c r="A2955" s="25">
        <f>ItensPedido!A2955</f>
        <v/>
      </c>
      <c r="B2955" s="25">
        <f>ItensPedido!B2955</f>
        <v/>
      </c>
      <c r="C2955" s="25">
        <f>ItensPedido!C2955</f>
        <v/>
      </c>
      <c r="D2955" s="25">
        <f>ItensPedido!D2955</f>
        <v/>
      </c>
      <c r="E2955" s="26">
        <f>ItensPedido!E2955</f>
        <v/>
      </c>
      <c r="F2955" s="25">
        <f>IFERROR(INDEX(Pedidos!$B$2:$B$1801,MATCH(B2955,Pedidos!$A$2:$A$1801,0)),0)</f>
        <v/>
      </c>
      <c r="G2955" s="25">
        <f>IF(F2955=0,"",YEAR(F2955))</f>
        <v/>
      </c>
      <c r="H2955" s="25">
        <f>IF(F2955=0,"",MONTH(F2955))</f>
        <v/>
      </c>
      <c r="I2955" s="25">
        <f>IFERROR(INDEX(Pedidos!$E$2:$E$1801,MATCH(B2955,Pedidos!$A$2:$A$1801,0)),"")</f>
        <v/>
      </c>
      <c r="J2955" s="25">
        <f>IFERROR(INDEX(Pedidos!$C$2:$C$1801,MATCH(B2955,Pedidos!$A$2:$A$1801,0)),"")</f>
        <v/>
      </c>
      <c r="K2955" s="25">
        <f>IFERROR(INDEX(Pedidos!$D$2:$D$1801,MATCH(B2955,Pedidos!$A$2:$A$1801,0)),"")</f>
        <v/>
      </c>
      <c r="L2955" s="25">
        <f>IFERROR(INDEX(Pedidos!$F$2:$F$1801,MATCH(B2955,Pedidos!$A$2:$A$1801,0)),"")</f>
        <v/>
      </c>
      <c r="M2955" s="26">
        <f>IFERROR(INDEX(Pedidos!$G$2:$G$1801,MATCH(B2955,Pedidos!$A$2:$A$1801,0)),0)</f>
        <v/>
      </c>
      <c r="N2955" s="25">
        <f>IFERROR(INDEX(Produtos!$B$2:$B$71,MATCH(C2955,Produtos!$A$2:$A$71,0)),"")</f>
        <v/>
      </c>
      <c r="O2955" s="25">
        <f>IFERROR(INDEX(Produtos!$C$2:$C$71,MATCH(C2955,Produtos!$A$2:$A$71,0)),"")</f>
        <v/>
      </c>
      <c r="P2955" s="25">
        <f>IFERROR(INDEX(Produtos!$D$2:$D$71,MATCH(C2955,Produtos!$A$2:$A$71,0)),0)</f>
        <v/>
      </c>
      <c r="Q2955" s="25">
        <f>IFERROR(INDEX(Produtos!$E$2:$E$71,MATCH(C2955,Produtos!$A$2:$A$71,0)),0)</f>
        <v/>
      </c>
      <c r="R2955" s="27">
        <f>D2955*Q2955</f>
        <v/>
      </c>
      <c r="S2955" s="27">
        <f>R2955*E2955</f>
        <v/>
      </c>
      <c r="T2955" s="27">
        <f>(R2955-S2955)*M2955</f>
        <v/>
      </c>
      <c r="U2955" s="27">
        <f>R2955-S2955-T2955</f>
        <v/>
      </c>
      <c r="V2955" s="27">
        <f>D2955*P2955</f>
        <v/>
      </c>
      <c r="W2955" s="27">
        <f>U2955-V2955</f>
        <v/>
      </c>
      <c r="X2955" s="28">
        <f>IFERROR(W2955/U2955,0)</f>
        <v/>
      </c>
    </row>
    <row r="2956">
      <c r="A2956" s="21">
        <f>ItensPedido!A2956</f>
        <v/>
      </c>
      <c r="B2956" s="21">
        <f>ItensPedido!B2956</f>
        <v/>
      </c>
      <c r="C2956" s="21">
        <f>ItensPedido!C2956</f>
        <v/>
      </c>
      <c r="D2956" s="21">
        <f>ItensPedido!D2956</f>
        <v/>
      </c>
      <c r="E2956" s="22">
        <f>ItensPedido!E2956</f>
        <v/>
      </c>
      <c r="F2956" s="21">
        <f>IFERROR(INDEX(Pedidos!$B$2:$B$1801,MATCH(B2956,Pedidos!$A$2:$A$1801,0)),0)</f>
        <v/>
      </c>
      <c r="G2956" s="21">
        <f>IF(F2956=0,"",YEAR(F2956))</f>
        <v/>
      </c>
      <c r="H2956" s="21">
        <f>IF(F2956=0,"",MONTH(F2956))</f>
        <v/>
      </c>
      <c r="I2956" s="21">
        <f>IFERROR(INDEX(Pedidos!$E$2:$E$1801,MATCH(B2956,Pedidos!$A$2:$A$1801,0)),"")</f>
        <v/>
      </c>
      <c r="J2956" s="21">
        <f>IFERROR(INDEX(Pedidos!$C$2:$C$1801,MATCH(B2956,Pedidos!$A$2:$A$1801,0)),"")</f>
        <v/>
      </c>
      <c r="K2956" s="21">
        <f>IFERROR(INDEX(Pedidos!$D$2:$D$1801,MATCH(B2956,Pedidos!$A$2:$A$1801,0)),"")</f>
        <v/>
      </c>
      <c r="L2956" s="21">
        <f>IFERROR(INDEX(Pedidos!$F$2:$F$1801,MATCH(B2956,Pedidos!$A$2:$A$1801,0)),"")</f>
        <v/>
      </c>
      <c r="M2956" s="22">
        <f>IFERROR(INDEX(Pedidos!$G$2:$G$1801,MATCH(B2956,Pedidos!$A$2:$A$1801,0)),0)</f>
        <v/>
      </c>
      <c r="N2956" s="21">
        <f>IFERROR(INDEX(Produtos!$B$2:$B$71,MATCH(C2956,Produtos!$A$2:$A$71,0)),"")</f>
        <v/>
      </c>
      <c r="O2956" s="21">
        <f>IFERROR(INDEX(Produtos!$C$2:$C$71,MATCH(C2956,Produtos!$A$2:$A$71,0)),"")</f>
        <v/>
      </c>
      <c r="P2956" s="21">
        <f>IFERROR(INDEX(Produtos!$D$2:$D$71,MATCH(C2956,Produtos!$A$2:$A$71,0)),0)</f>
        <v/>
      </c>
      <c r="Q2956" s="21">
        <f>IFERROR(INDEX(Produtos!$E$2:$E$71,MATCH(C2956,Produtos!$A$2:$A$71,0)),0)</f>
        <v/>
      </c>
      <c r="R2956" s="23">
        <f>D2956*Q2956</f>
        <v/>
      </c>
      <c r="S2956" s="23">
        <f>R2956*E2956</f>
        <v/>
      </c>
      <c r="T2956" s="23">
        <f>(R2956-S2956)*M2956</f>
        <v/>
      </c>
      <c r="U2956" s="23">
        <f>R2956-S2956-T2956</f>
        <v/>
      </c>
      <c r="V2956" s="23">
        <f>D2956*P2956</f>
        <v/>
      </c>
      <c r="W2956" s="23">
        <f>U2956-V2956</f>
        <v/>
      </c>
      <c r="X2956" s="24">
        <f>IFERROR(W2956/U2956,0)</f>
        <v/>
      </c>
    </row>
    <row r="2957">
      <c r="A2957" s="25">
        <f>ItensPedido!A2957</f>
        <v/>
      </c>
      <c r="B2957" s="25">
        <f>ItensPedido!B2957</f>
        <v/>
      </c>
      <c r="C2957" s="25">
        <f>ItensPedido!C2957</f>
        <v/>
      </c>
      <c r="D2957" s="25">
        <f>ItensPedido!D2957</f>
        <v/>
      </c>
      <c r="E2957" s="26">
        <f>ItensPedido!E2957</f>
        <v/>
      </c>
      <c r="F2957" s="25">
        <f>IFERROR(INDEX(Pedidos!$B$2:$B$1801,MATCH(B2957,Pedidos!$A$2:$A$1801,0)),0)</f>
        <v/>
      </c>
      <c r="G2957" s="25">
        <f>IF(F2957=0,"",YEAR(F2957))</f>
        <v/>
      </c>
      <c r="H2957" s="25">
        <f>IF(F2957=0,"",MONTH(F2957))</f>
        <v/>
      </c>
      <c r="I2957" s="25">
        <f>IFERROR(INDEX(Pedidos!$E$2:$E$1801,MATCH(B2957,Pedidos!$A$2:$A$1801,0)),"")</f>
        <v/>
      </c>
      <c r="J2957" s="25">
        <f>IFERROR(INDEX(Pedidos!$C$2:$C$1801,MATCH(B2957,Pedidos!$A$2:$A$1801,0)),"")</f>
        <v/>
      </c>
      <c r="K2957" s="25">
        <f>IFERROR(INDEX(Pedidos!$D$2:$D$1801,MATCH(B2957,Pedidos!$A$2:$A$1801,0)),"")</f>
        <v/>
      </c>
      <c r="L2957" s="25">
        <f>IFERROR(INDEX(Pedidos!$F$2:$F$1801,MATCH(B2957,Pedidos!$A$2:$A$1801,0)),"")</f>
        <v/>
      </c>
      <c r="M2957" s="26">
        <f>IFERROR(INDEX(Pedidos!$G$2:$G$1801,MATCH(B2957,Pedidos!$A$2:$A$1801,0)),0)</f>
        <v/>
      </c>
      <c r="N2957" s="25">
        <f>IFERROR(INDEX(Produtos!$B$2:$B$71,MATCH(C2957,Produtos!$A$2:$A$71,0)),"")</f>
        <v/>
      </c>
      <c r="O2957" s="25">
        <f>IFERROR(INDEX(Produtos!$C$2:$C$71,MATCH(C2957,Produtos!$A$2:$A$71,0)),"")</f>
        <v/>
      </c>
      <c r="P2957" s="25">
        <f>IFERROR(INDEX(Produtos!$D$2:$D$71,MATCH(C2957,Produtos!$A$2:$A$71,0)),0)</f>
        <v/>
      </c>
      <c r="Q2957" s="25">
        <f>IFERROR(INDEX(Produtos!$E$2:$E$71,MATCH(C2957,Produtos!$A$2:$A$71,0)),0)</f>
        <v/>
      </c>
      <c r="R2957" s="27">
        <f>D2957*Q2957</f>
        <v/>
      </c>
      <c r="S2957" s="27">
        <f>R2957*E2957</f>
        <v/>
      </c>
      <c r="T2957" s="27">
        <f>(R2957-S2957)*M2957</f>
        <v/>
      </c>
      <c r="U2957" s="27">
        <f>R2957-S2957-T2957</f>
        <v/>
      </c>
      <c r="V2957" s="27">
        <f>D2957*P2957</f>
        <v/>
      </c>
      <c r="W2957" s="27">
        <f>U2957-V2957</f>
        <v/>
      </c>
      <c r="X2957" s="28">
        <f>IFERROR(W2957/U2957,0)</f>
        <v/>
      </c>
    </row>
    <row r="2958">
      <c r="A2958" s="21">
        <f>ItensPedido!A2958</f>
        <v/>
      </c>
      <c r="B2958" s="21">
        <f>ItensPedido!B2958</f>
        <v/>
      </c>
      <c r="C2958" s="21">
        <f>ItensPedido!C2958</f>
        <v/>
      </c>
      <c r="D2958" s="21">
        <f>ItensPedido!D2958</f>
        <v/>
      </c>
      <c r="E2958" s="22">
        <f>ItensPedido!E2958</f>
        <v/>
      </c>
      <c r="F2958" s="21">
        <f>IFERROR(INDEX(Pedidos!$B$2:$B$1801,MATCH(B2958,Pedidos!$A$2:$A$1801,0)),0)</f>
        <v/>
      </c>
      <c r="G2958" s="21">
        <f>IF(F2958=0,"",YEAR(F2958))</f>
        <v/>
      </c>
      <c r="H2958" s="21">
        <f>IF(F2958=0,"",MONTH(F2958))</f>
        <v/>
      </c>
      <c r="I2958" s="21">
        <f>IFERROR(INDEX(Pedidos!$E$2:$E$1801,MATCH(B2958,Pedidos!$A$2:$A$1801,0)),"")</f>
        <v/>
      </c>
      <c r="J2958" s="21">
        <f>IFERROR(INDEX(Pedidos!$C$2:$C$1801,MATCH(B2958,Pedidos!$A$2:$A$1801,0)),"")</f>
        <v/>
      </c>
      <c r="K2958" s="21">
        <f>IFERROR(INDEX(Pedidos!$D$2:$D$1801,MATCH(B2958,Pedidos!$A$2:$A$1801,0)),"")</f>
        <v/>
      </c>
      <c r="L2958" s="21">
        <f>IFERROR(INDEX(Pedidos!$F$2:$F$1801,MATCH(B2958,Pedidos!$A$2:$A$1801,0)),"")</f>
        <v/>
      </c>
      <c r="M2958" s="22">
        <f>IFERROR(INDEX(Pedidos!$G$2:$G$1801,MATCH(B2958,Pedidos!$A$2:$A$1801,0)),0)</f>
        <v/>
      </c>
      <c r="N2958" s="21">
        <f>IFERROR(INDEX(Produtos!$B$2:$B$71,MATCH(C2958,Produtos!$A$2:$A$71,0)),"")</f>
        <v/>
      </c>
      <c r="O2958" s="21">
        <f>IFERROR(INDEX(Produtos!$C$2:$C$71,MATCH(C2958,Produtos!$A$2:$A$71,0)),"")</f>
        <v/>
      </c>
      <c r="P2958" s="21">
        <f>IFERROR(INDEX(Produtos!$D$2:$D$71,MATCH(C2958,Produtos!$A$2:$A$71,0)),0)</f>
        <v/>
      </c>
      <c r="Q2958" s="21">
        <f>IFERROR(INDEX(Produtos!$E$2:$E$71,MATCH(C2958,Produtos!$A$2:$A$71,0)),0)</f>
        <v/>
      </c>
      <c r="R2958" s="23">
        <f>D2958*Q2958</f>
        <v/>
      </c>
      <c r="S2958" s="23">
        <f>R2958*E2958</f>
        <v/>
      </c>
      <c r="T2958" s="23">
        <f>(R2958-S2958)*M2958</f>
        <v/>
      </c>
      <c r="U2958" s="23">
        <f>R2958-S2958-T2958</f>
        <v/>
      </c>
      <c r="V2958" s="23">
        <f>D2958*P2958</f>
        <v/>
      </c>
      <c r="W2958" s="23">
        <f>U2958-V2958</f>
        <v/>
      </c>
      <c r="X2958" s="24">
        <f>IFERROR(W2958/U2958,0)</f>
        <v/>
      </c>
    </row>
    <row r="2959">
      <c r="A2959" s="25">
        <f>ItensPedido!A2959</f>
        <v/>
      </c>
      <c r="B2959" s="25">
        <f>ItensPedido!B2959</f>
        <v/>
      </c>
      <c r="C2959" s="25">
        <f>ItensPedido!C2959</f>
        <v/>
      </c>
      <c r="D2959" s="25">
        <f>ItensPedido!D2959</f>
        <v/>
      </c>
      <c r="E2959" s="26">
        <f>ItensPedido!E2959</f>
        <v/>
      </c>
      <c r="F2959" s="25">
        <f>IFERROR(INDEX(Pedidos!$B$2:$B$1801,MATCH(B2959,Pedidos!$A$2:$A$1801,0)),0)</f>
        <v/>
      </c>
      <c r="G2959" s="25">
        <f>IF(F2959=0,"",YEAR(F2959))</f>
        <v/>
      </c>
      <c r="H2959" s="25">
        <f>IF(F2959=0,"",MONTH(F2959))</f>
        <v/>
      </c>
      <c r="I2959" s="25">
        <f>IFERROR(INDEX(Pedidos!$E$2:$E$1801,MATCH(B2959,Pedidos!$A$2:$A$1801,0)),"")</f>
        <v/>
      </c>
      <c r="J2959" s="25">
        <f>IFERROR(INDEX(Pedidos!$C$2:$C$1801,MATCH(B2959,Pedidos!$A$2:$A$1801,0)),"")</f>
        <v/>
      </c>
      <c r="K2959" s="25">
        <f>IFERROR(INDEX(Pedidos!$D$2:$D$1801,MATCH(B2959,Pedidos!$A$2:$A$1801,0)),"")</f>
        <v/>
      </c>
      <c r="L2959" s="25">
        <f>IFERROR(INDEX(Pedidos!$F$2:$F$1801,MATCH(B2959,Pedidos!$A$2:$A$1801,0)),"")</f>
        <v/>
      </c>
      <c r="M2959" s="26">
        <f>IFERROR(INDEX(Pedidos!$G$2:$G$1801,MATCH(B2959,Pedidos!$A$2:$A$1801,0)),0)</f>
        <v/>
      </c>
      <c r="N2959" s="25">
        <f>IFERROR(INDEX(Produtos!$B$2:$B$71,MATCH(C2959,Produtos!$A$2:$A$71,0)),"")</f>
        <v/>
      </c>
      <c r="O2959" s="25">
        <f>IFERROR(INDEX(Produtos!$C$2:$C$71,MATCH(C2959,Produtos!$A$2:$A$71,0)),"")</f>
        <v/>
      </c>
      <c r="P2959" s="25">
        <f>IFERROR(INDEX(Produtos!$D$2:$D$71,MATCH(C2959,Produtos!$A$2:$A$71,0)),0)</f>
        <v/>
      </c>
      <c r="Q2959" s="25">
        <f>IFERROR(INDEX(Produtos!$E$2:$E$71,MATCH(C2959,Produtos!$A$2:$A$71,0)),0)</f>
        <v/>
      </c>
      <c r="R2959" s="27">
        <f>D2959*Q2959</f>
        <v/>
      </c>
      <c r="S2959" s="27">
        <f>R2959*E2959</f>
        <v/>
      </c>
      <c r="T2959" s="27">
        <f>(R2959-S2959)*M2959</f>
        <v/>
      </c>
      <c r="U2959" s="27">
        <f>R2959-S2959-T2959</f>
        <v/>
      </c>
      <c r="V2959" s="27">
        <f>D2959*P2959</f>
        <v/>
      </c>
      <c r="W2959" s="27">
        <f>U2959-V2959</f>
        <v/>
      </c>
      <c r="X2959" s="28">
        <f>IFERROR(W2959/U2959,0)</f>
        <v/>
      </c>
    </row>
    <row r="2960">
      <c r="A2960" s="21">
        <f>ItensPedido!A2960</f>
        <v/>
      </c>
      <c r="B2960" s="21">
        <f>ItensPedido!B2960</f>
        <v/>
      </c>
      <c r="C2960" s="21">
        <f>ItensPedido!C2960</f>
        <v/>
      </c>
      <c r="D2960" s="21">
        <f>ItensPedido!D2960</f>
        <v/>
      </c>
      <c r="E2960" s="22">
        <f>ItensPedido!E2960</f>
        <v/>
      </c>
      <c r="F2960" s="21">
        <f>IFERROR(INDEX(Pedidos!$B$2:$B$1801,MATCH(B2960,Pedidos!$A$2:$A$1801,0)),0)</f>
        <v/>
      </c>
      <c r="G2960" s="21">
        <f>IF(F2960=0,"",YEAR(F2960))</f>
        <v/>
      </c>
      <c r="H2960" s="21">
        <f>IF(F2960=0,"",MONTH(F2960))</f>
        <v/>
      </c>
      <c r="I2960" s="21">
        <f>IFERROR(INDEX(Pedidos!$E$2:$E$1801,MATCH(B2960,Pedidos!$A$2:$A$1801,0)),"")</f>
        <v/>
      </c>
      <c r="J2960" s="21">
        <f>IFERROR(INDEX(Pedidos!$C$2:$C$1801,MATCH(B2960,Pedidos!$A$2:$A$1801,0)),"")</f>
        <v/>
      </c>
      <c r="K2960" s="21">
        <f>IFERROR(INDEX(Pedidos!$D$2:$D$1801,MATCH(B2960,Pedidos!$A$2:$A$1801,0)),"")</f>
        <v/>
      </c>
      <c r="L2960" s="21">
        <f>IFERROR(INDEX(Pedidos!$F$2:$F$1801,MATCH(B2960,Pedidos!$A$2:$A$1801,0)),"")</f>
        <v/>
      </c>
      <c r="M2960" s="22">
        <f>IFERROR(INDEX(Pedidos!$G$2:$G$1801,MATCH(B2960,Pedidos!$A$2:$A$1801,0)),0)</f>
        <v/>
      </c>
      <c r="N2960" s="21">
        <f>IFERROR(INDEX(Produtos!$B$2:$B$71,MATCH(C2960,Produtos!$A$2:$A$71,0)),"")</f>
        <v/>
      </c>
      <c r="O2960" s="21">
        <f>IFERROR(INDEX(Produtos!$C$2:$C$71,MATCH(C2960,Produtos!$A$2:$A$71,0)),"")</f>
        <v/>
      </c>
      <c r="P2960" s="21">
        <f>IFERROR(INDEX(Produtos!$D$2:$D$71,MATCH(C2960,Produtos!$A$2:$A$71,0)),0)</f>
        <v/>
      </c>
      <c r="Q2960" s="21">
        <f>IFERROR(INDEX(Produtos!$E$2:$E$71,MATCH(C2960,Produtos!$A$2:$A$71,0)),0)</f>
        <v/>
      </c>
      <c r="R2960" s="23">
        <f>D2960*Q2960</f>
        <v/>
      </c>
      <c r="S2960" s="23">
        <f>R2960*E2960</f>
        <v/>
      </c>
      <c r="T2960" s="23">
        <f>(R2960-S2960)*M2960</f>
        <v/>
      </c>
      <c r="U2960" s="23">
        <f>R2960-S2960-T2960</f>
        <v/>
      </c>
      <c r="V2960" s="23">
        <f>D2960*P2960</f>
        <v/>
      </c>
      <c r="W2960" s="23">
        <f>U2960-V2960</f>
        <v/>
      </c>
      <c r="X2960" s="24">
        <f>IFERROR(W2960/U2960,0)</f>
        <v/>
      </c>
    </row>
    <row r="2961">
      <c r="A2961" s="25">
        <f>ItensPedido!A2961</f>
        <v/>
      </c>
      <c r="B2961" s="25">
        <f>ItensPedido!B2961</f>
        <v/>
      </c>
      <c r="C2961" s="25">
        <f>ItensPedido!C2961</f>
        <v/>
      </c>
      <c r="D2961" s="25">
        <f>ItensPedido!D2961</f>
        <v/>
      </c>
      <c r="E2961" s="26">
        <f>ItensPedido!E2961</f>
        <v/>
      </c>
      <c r="F2961" s="25">
        <f>IFERROR(INDEX(Pedidos!$B$2:$B$1801,MATCH(B2961,Pedidos!$A$2:$A$1801,0)),0)</f>
        <v/>
      </c>
      <c r="G2961" s="25">
        <f>IF(F2961=0,"",YEAR(F2961))</f>
        <v/>
      </c>
      <c r="H2961" s="25">
        <f>IF(F2961=0,"",MONTH(F2961))</f>
        <v/>
      </c>
      <c r="I2961" s="25">
        <f>IFERROR(INDEX(Pedidos!$E$2:$E$1801,MATCH(B2961,Pedidos!$A$2:$A$1801,0)),"")</f>
        <v/>
      </c>
      <c r="J2961" s="25">
        <f>IFERROR(INDEX(Pedidos!$C$2:$C$1801,MATCH(B2961,Pedidos!$A$2:$A$1801,0)),"")</f>
        <v/>
      </c>
      <c r="K2961" s="25">
        <f>IFERROR(INDEX(Pedidos!$D$2:$D$1801,MATCH(B2961,Pedidos!$A$2:$A$1801,0)),"")</f>
        <v/>
      </c>
      <c r="L2961" s="25">
        <f>IFERROR(INDEX(Pedidos!$F$2:$F$1801,MATCH(B2961,Pedidos!$A$2:$A$1801,0)),"")</f>
        <v/>
      </c>
      <c r="M2961" s="26">
        <f>IFERROR(INDEX(Pedidos!$G$2:$G$1801,MATCH(B2961,Pedidos!$A$2:$A$1801,0)),0)</f>
        <v/>
      </c>
      <c r="N2961" s="25">
        <f>IFERROR(INDEX(Produtos!$B$2:$B$71,MATCH(C2961,Produtos!$A$2:$A$71,0)),"")</f>
        <v/>
      </c>
      <c r="O2961" s="25">
        <f>IFERROR(INDEX(Produtos!$C$2:$C$71,MATCH(C2961,Produtos!$A$2:$A$71,0)),"")</f>
        <v/>
      </c>
      <c r="P2961" s="25">
        <f>IFERROR(INDEX(Produtos!$D$2:$D$71,MATCH(C2961,Produtos!$A$2:$A$71,0)),0)</f>
        <v/>
      </c>
      <c r="Q2961" s="25">
        <f>IFERROR(INDEX(Produtos!$E$2:$E$71,MATCH(C2961,Produtos!$A$2:$A$71,0)),0)</f>
        <v/>
      </c>
      <c r="R2961" s="27">
        <f>D2961*Q2961</f>
        <v/>
      </c>
      <c r="S2961" s="27">
        <f>R2961*E2961</f>
        <v/>
      </c>
      <c r="T2961" s="27">
        <f>(R2961-S2961)*M2961</f>
        <v/>
      </c>
      <c r="U2961" s="27">
        <f>R2961-S2961-T2961</f>
        <v/>
      </c>
      <c r="V2961" s="27">
        <f>D2961*P2961</f>
        <v/>
      </c>
      <c r="W2961" s="27">
        <f>U2961-V2961</f>
        <v/>
      </c>
      <c r="X2961" s="28">
        <f>IFERROR(W2961/U2961,0)</f>
        <v/>
      </c>
    </row>
    <row r="2962">
      <c r="A2962" s="21">
        <f>ItensPedido!A2962</f>
        <v/>
      </c>
      <c r="B2962" s="21">
        <f>ItensPedido!B2962</f>
        <v/>
      </c>
      <c r="C2962" s="21">
        <f>ItensPedido!C2962</f>
        <v/>
      </c>
      <c r="D2962" s="21">
        <f>ItensPedido!D2962</f>
        <v/>
      </c>
      <c r="E2962" s="22">
        <f>ItensPedido!E2962</f>
        <v/>
      </c>
      <c r="F2962" s="21">
        <f>IFERROR(INDEX(Pedidos!$B$2:$B$1801,MATCH(B2962,Pedidos!$A$2:$A$1801,0)),0)</f>
        <v/>
      </c>
      <c r="G2962" s="21">
        <f>IF(F2962=0,"",YEAR(F2962))</f>
        <v/>
      </c>
      <c r="H2962" s="21">
        <f>IF(F2962=0,"",MONTH(F2962))</f>
        <v/>
      </c>
      <c r="I2962" s="21">
        <f>IFERROR(INDEX(Pedidos!$E$2:$E$1801,MATCH(B2962,Pedidos!$A$2:$A$1801,0)),"")</f>
        <v/>
      </c>
      <c r="J2962" s="21">
        <f>IFERROR(INDEX(Pedidos!$C$2:$C$1801,MATCH(B2962,Pedidos!$A$2:$A$1801,0)),"")</f>
        <v/>
      </c>
      <c r="K2962" s="21">
        <f>IFERROR(INDEX(Pedidos!$D$2:$D$1801,MATCH(B2962,Pedidos!$A$2:$A$1801,0)),"")</f>
        <v/>
      </c>
      <c r="L2962" s="21">
        <f>IFERROR(INDEX(Pedidos!$F$2:$F$1801,MATCH(B2962,Pedidos!$A$2:$A$1801,0)),"")</f>
        <v/>
      </c>
      <c r="M2962" s="22">
        <f>IFERROR(INDEX(Pedidos!$G$2:$G$1801,MATCH(B2962,Pedidos!$A$2:$A$1801,0)),0)</f>
        <v/>
      </c>
      <c r="N2962" s="21">
        <f>IFERROR(INDEX(Produtos!$B$2:$B$71,MATCH(C2962,Produtos!$A$2:$A$71,0)),"")</f>
        <v/>
      </c>
      <c r="O2962" s="21">
        <f>IFERROR(INDEX(Produtos!$C$2:$C$71,MATCH(C2962,Produtos!$A$2:$A$71,0)),"")</f>
        <v/>
      </c>
      <c r="P2962" s="21">
        <f>IFERROR(INDEX(Produtos!$D$2:$D$71,MATCH(C2962,Produtos!$A$2:$A$71,0)),0)</f>
        <v/>
      </c>
      <c r="Q2962" s="21">
        <f>IFERROR(INDEX(Produtos!$E$2:$E$71,MATCH(C2962,Produtos!$A$2:$A$71,0)),0)</f>
        <v/>
      </c>
      <c r="R2962" s="23">
        <f>D2962*Q2962</f>
        <v/>
      </c>
      <c r="S2962" s="23">
        <f>R2962*E2962</f>
        <v/>
      </c>
      <c r="T2962" s="23">
        <f>(R2962-S2962)*M2962</f>
        <v/>
      </c>
      <c r="U2962" s="23">
        <f>R2962-S2962-T2962</f>
        <v/>
      </c>
      <c r="V2962" s="23">
        <f>D2962*P2962</f>
        <v/>
      </c>
      <c r="W2962" s="23">
        <f>U2962-V2962</f>
        <v/>
      </c>
      <c r="X2962" s="24">
        <f>IFERROR(W2962/U2962,0)</f>
        <v/>
      </c>
    </row>
    <row r="2963">
      <c r="A2963" s="25">
        <f>ItensPedido!A2963</f>
        <v/>
      </c>
      <c r="B2963" s="25">
        <f>ItensPedido!B2963</f>
        <v/>
      </c>
      <c r="C2963" s="25">
        <f>ItensPedido!C2963</f>
        <v/>
      </c>
      <c r="D2963" s="25">
        <f>ItensPedido!D2963</f>
        <v/>
      </c>
      <c r="E2963" s="26">
        <f>ItensPedido!E2963</f>
        <v/>
      </c>
      <c r="F2963" s="25">
        <f>IFERROR(INDEX(Pedidos!$B$2:$B$1801,MATCH(B2963,Pedidos!$A$2:$A$1801,0)),0)</f>
        <v/>
      </c>
      <c r="G2963" s="25">
        <f>IF(F2963=0,"",YEAR(F2963))</f>
        <v/>
      </c>
      <c r="H2963" s="25">
        <f>IF(F2963=0,"",MONTH(F2963))</f>
        <v/>
      </c>
      <c r="I2963" s="25">
        <f>IFERROR(INDEX(Pedidos!$E$2:$E$1801,MATCH(B2963,Pedidos!$A$2:$A$1801,0)),"")</f>
        <v/>
      </c>
      <c r="J2963" s="25">
        <f>IFERROR(INDEX(Pedidos!$C$2:$C$1801,MATCH(B2963,Pedidos!$A$2:$A$1801,0)),"")</f>
        <v/>
      </c>
      <c r="K2963" s="25">
        <f>IFERROR(INDEX(Pedidos!$D$2:$D$1801,MATCH(B2963,Pedidos!$A$2:$A$1801,0)),"")</f>
        <v/>
      </c>
      <c r="L2963" s="25">
        <f>IFERROR(INDEX(Pedidos!$F$2:$F$1801,MATCH(B2963,Pedidos!$A$2:$A$1801,0)),"")</f>
        <v/>
      </c>
      <c r="M2963" s="26">
        <f>IFERROR(INDEX(Pedidos!$G$2:$G$1801,MATCH(B2963,Pedidos!$A$2:$A$1801,0)),0)</f>
        <v/>
      </c>
      <c r="N2963" s="25">
        <f>IFERROR(INDEX(Produtos!$B$2:$B$71,MATCH(C2963,Produtos!$A$2:$A$71,0)),"")</f>
        <v/>
      </c>
      <c r="O2963" s="25">
        <f>IFERROR(INDEX(Produtos!$C$2:$C$71,MATCH(C2963,Produtos!$A$2:$A$71,0)),"")</f>
        <v/>
      </c>
      <c r="P2963" s="25">
        <f>IFERROR(INDEX(Produtos!$D$2:$D$71,MATCH(C2963,Produtos!$A$2:$A$71,0)),0)</f>
        <v/>
      </c>
      <c r="Q2963" s="25">
        <f>IFERROR(INDEX(Produtos!$E$2:$E$71,MATCH(C2963,Produtos!$A$2:$A$71,0)),0)</f>
        <v/>
      </c>
      <c r="R2963" s="27">
        <f>D2963*Q2963</f>
        <v/>
      </c>
      <c r="S2963" s="27">
        <f>R2963*E2963</f>
        <v/>
      </c>
      <c r="T2963" s="27">
        <f>(R2963-S2963)*M2963</f>
        <v/>
      </c>
      <c r="U2963" s="27">
        <f>R2963-S2963-T2963</f>
        <v/>
      </c>
      <c r="V2963" s="27">
        <f>D2963*P2963</f>
        <v/>
      </c>
      <c r="W2963" s="27">
        <f>U2963-V2963</f>
        <v/>
      </c>
      <c r="X2963" s="28">
        <f>IFERROR(W2963/U2963,0)</f>
        <v/>
      </c>
    </row>
    <row r="2964">
      <c r="A2964" s="21">
        <f>ItensPedido!A2964</f>
        <v/>
      </c>
      <c r="B2964" s="21">
        <f>ItensPedido!B2964</f>
        <v/>
      </c>
      <c r="C2964" s="21">
        <f>ItensPedido!C2964</f>
        <v/>
      </c>
      <c r="D2964" s="21">
        <f>ItensPedido!D2964</f>
        <v/>
      </c>
      <c r="E2964" s="22">
        <f>ItensPedido!E2964</f>
        <v/>
      </c>
      <c r="F2964" s="21">
        <f>IFERROR(INDEX(Pedidos!$B$2:$B$1801,MATCH(B2964,Pedidos!$A$2:$A$1801,0)),0)</f>
        <v/>
      </c>
      <c r="G2964" s="21">
        <f>IF(F2964=0,"",YEAR(F2964))</f>
        <v/>
      </c>
      <c r="H2964" s="21">
        <f>IF(F2964=0,"",MONTH(F2964))</f>
        <v/>
      </c>
      <c r="I2964" s="21">
        <f>IFERROR(INDEX(Pedidos!$E$2:$E$1801,MATCH(B2964,Pedidos!$A$2:$A$1801,0)),"")</f>
        <v/>
      </c>
      <c r="J2964" s="21">
        <f>IFERROR(INDEX(Pedidos!$C$2:$C$1801,MATCH(B2964,Pedidos!$A$2:$A$1801,0)),"")</f>
        <v/>
      </c>
      <c r="K2964" s="21">
        <f>IFERROR(INDEX(Pedidos!$D$2:$D$1801,MATCH(B2964,Pedidos!$A$2:$A$1801,0)),"")</f>
        <v/>
      </c>
      <c r="L2964" s="21">
        <f>IFERROR(INDEX(Pedidos!$F$2:$F$1801,MATCH(B2964,Pedidos!$A$2:$A$1801,0)),"")</f>
        <v/>
      </c>
      <c r="M2964" s="22">
        <f>IFERROR(INDEX(Pedidos!$G$2:$G$1801,MATCH(B2964,Pedidos!$A$2:$A$1801,0)),0)</f>
        <v/>
      </c>
      <c r="N2964" s="21">
        <f>IFERROR(INDEX(Produtos!$B$2:$B$71,MATCH(C2964,Produtos!$A$2:$A$71,0)),"")</f>
        <v/>
      </c>
      <c r="O2964" s="21">
        <f>IFERROR(INDEX(Produtos!$C$2:$C$71,MATCH(C2964,Produtos!$A$2:$A$71,0)),"")</f>
        <v/>
      </c>
      <c r="P2964" s="21">
        <f>IFERROR(INDEX(Produtos!$D$2:$D$71,MATCH(C2964,Produtos!$A$2:$A$71,0)),0)</f>
        <v/>
      </c>
      <c r="Q2964" s="21">
        <f>IFERROR(INDEX(Produtos!$E$2:$E$71,MATCH(C2964,Produtos!$A$2:$A$71,0)),0)</f>
        <v/>
      </c>
      <c r="R2964" s="23">
        <f>D2964*Q2964</f>
        <v/>
      </c>
      <c r="S2964" s="23">
        <f>R2964*E2964</f>
        <v/>
      </c>
      <c r="T2964" s="23">
        <f>(R2964-S2964)*M2964</f>
        <v/>
      </c>
      <c r="U2964" s="23">
        <f>R2964-S2964-T2964</f>
        <v/>
      </c>
      <c r="V2964" s="23">
        <f>D2964*P2964</f>
        <v/>
      </c>
      <c r="W2964" s="23">
        <f>U2964-V2964</f>
        <v/>
      </c>
      <c r="X2964" s="24">
        <f>IFERROR(W2964/U2964,0)</f>
        <v/>
      </c>
    </row>
    <row r="2965">
      <c r="A2965" s="25">
        <f>ItensPedido!A2965</f>
        <v/>
      </c>
      <c r="B2965" s="25">
        <f>ItensPedido!B2965</f>
        <v/>
      </c>
      <c r="C2965" s="25">
        <f>ItensPedido!C2965</f>
        <v/>
      </c>
      <c r="D2965" s="25">
        <f>ItensPedido!D2965</f>
        <v/>
      </c>
      <c r="E2965" s="26">
        <f>ItensPedido!E2965</f>
        <v/>
      </c>
      <c r="F2965" s="25">
        <f>IFERROR(INDEX(Pedidos!$B$2:$B$1801,MATCH(B2965,Pedidos!$A$2:$A$1801,0)),0)</f>
        <v/>
      </c>
      <c r="G2965" s="25">
        <f>IF(F2965=0,"",YEAR(F2965))</f>
        <v/>
      </c>
      <c r="H2965" s="25">
        <f>IF(F2965=0,"",MONTH(F2965))</f>
        <v/>
      </c>
      <c r="I2965" s="25">
        <f>IFERROR(INDEX(Pedidos!$E$2:$E$1801,MATCH(B2965,Pedidos!$A$2:$A$1801,0)),"")</f>
        <v/>
      </c>
      <c r="J2965" s="25">
        <f>IFERROR(INDEX(Pedidos!$C$2:$C$1801,MATCH(B2965,Pedidos!$A$2:$A$1801,0)),"")</f>
        <v/>
      </c>
      <c r="K2965" s="25">
        <f>IFERROR(INDEX(Pedidos!$D$2:$D$1801,MATCH(B2965,Pedidos!$A$2:$A$1801,0)),"")</f>
        <v/>
      </c>
      <c r="L2965" s="25">
        <f>IFERROR(INDEX(Pedidos!$F$2:$F$1801,MATCH(B2965,Pedidos!$A$2:$A$1801,0)),"")</f>
        <v/>
      </c>
      <c r="M2965" s="26">
        <f>IFERROR(INDEX(Pedidos!$G$2:$G$1801,MATCH(B2965,Pedidos!$A$2:$A$1801,0)),0)</f>
        <v/>
      </c>
      <c r="N2965" s="25">
        <f>IFERROR(INDEX(Produtos!$B$2:$B$71,MATCH(C2965,Produtos!$A$2:$A$71,0)),"")</f>
        <v/>
      </c>
      <c r="O2965" s="25">
        <f>IFERROR(INDEX(Produtos!$C$2:$C$71,MATCH(C2965,Produtos!$A$2:$A$71,0)),"")</f>
        <v/>
      </c>
      <c r="P2965" s="25">
        <f>IFERROR(INDEX(Produtos!$D$2:$D$71,MATCH(C2965,Produtos!$A$2:$A$71,0)),0)</f>
        <v/>
      </c>
      <c r="Q2965" s="25">
        <f>IFERROR(INDEX(Produtos!$E$2:$E$71,MATCH(C2965,Produtos!$A$2:$A$71,0)),0)</f>
        <v/>
      </c>
      <c r="R2965" s="27">
        <f>D2965*Q2965</f>
        <v/>
      </c>
      <c r="S2965" s="27">
        <f>R2965*E2965</f>
        <v/>
      </c>
      <c r="T2965" s="27">
        <f>(R2965-S2965)*M2965</f>
        <v/>
      </c>
      <c r="U2965" s="27">
        <f>R2965-S2965-T2965</f>
        <v/>
      </c>
      <c r="V2965" s="27">
        <f>D2965*P2965</f>
        <v/>
      </c>
      <c r="W2965" s="27">
        <f>U2965-V2965</f>
        <v/>
      </c>
      <c r="X2965" s="28">
        <f>IFERROR(W2965/U2965,0)</f>
        <v/>
      </c>
    </row>
    <row r="2966">
      <c r="A2966" s="21">
        <f>ItensPedido!A2966</f>
        <v/>
      </c>
      <c r="B2966" s="21">
        <f>ItensPedido!B2966</f>
        <v/>
      </c>
      <c r="C2966" s="21">
        <f>ItensPedido!C2966</f>
        <v/>
      </c>
      <c r="D2966" s="21">
        <f>ItensPedido!D2966</f>
        <v/>
      </c>
      <c r="E2966" s="22">
        <f>ItensPedido!E2966</f>
        <v/>
      </c>
      <c r="F2966" s="21">
        <f>IFERROR(INDEX(Pedidos!$B$2:$B$1801,MATCH(B2966,Pedidos!$A$2:$A$1801,0)),0)</f>
        <v/>
      </c>
      <c r="G2966" s="21">
        <f>IF(F2966=0,"",YEAR(F2966))</f>
        <v/>
      </c>
      <c r="H2966" s="21">
        <f>IF(F2966=0,"",MONTH(F2966))</f>
        <v/>
      </c>
      <c r="I2966" s="21">
        <f>IFERROR(INDEX(Pedidos!$E$2:$E$1801,MATCH(B2966,Pedidos!$A$2:$A$1801,0)),"")</f>
        <v/>
      </c>
      <c r="J2966" s="21">
        <f>IFERROR(INDEX(Pedidos!$C$2:$C$1801,MATCH(B2966,Pedidos!$A$2:$A$1801,0)),"")</f>
        <v/>
      </c>
      <c r="K2966" s="21">
        <f>IFERROR(INDEX(Pedidos!$D$2:$D$1801,MATCH(B2966,Pedidos!$A$2:$A$1801,0)),"")</f>
        <v/>
      </c>
      <c r="L2966" s="21">
        <f>IFERROR(INDEX(Pedidos!$F$2:$F$1801,MATCH(B2966,Pedidos!$A$2:$A$1801,0)),"")</f>
        <v/>
      </c>
      <c r="M2966" s="22">
        <f>IFERROR(INDEX(Pedidos!$G$2:$G$1801,MATCH(B2966,Pedidos!$A$2:$A$1801,0)),0)</f>
        <v/>
      </c>
      <c r="N2966" s="21">
        <f>IFERROR(INDEX(Produtos!$B$2:$B$71,MATCH(C2966,Produtos!$A$2:$A$71,0)),"")</f>
        <v/>
      </c>
      <c r="O2966" s="21">
        <f>IFERROR(INDEX(Produtos!$C$2:$C$71,MATCH(C2966,Produtos!$A$2:$A$71,0)),"")</f>
        <v/>
      </c>
      <c r="P2966" s="21">
        <f>IFERROR(INDEX(Produtos!$D$2:$D$71,MATCH(C2966,Produtos!$A$2:$A$71,0)),0)</f>
        <v/>
      </c>
      <c r="Q2966" s="21">
        <f>IFERROR(INDEX(Produtos!$E$2:$E$71,MATCH(C2966,Produtos!$A$2:$A$71,0)),0)</f>
        <v/>
      </c>
      <c r="R2966" s="23">
        <f>D2966*Q2966</f>
        <v/>
      </c>
      <c r="S2966" s="23">
        <f>R2966*E2966</f>
        <v/>
      </c>
      <c r="T2966" s="23">
        <f>(R2966-S2966)*M2966</f>
        <v/>
      </c>
      <c r="U2966" s="23">
        <f>R2966-S2966-T2966</f>
        <v/>
      </c>
      <c r="V2966" s="23">
        <f>D2966*P2966</f>
        <v/>
      </c>
      <c r="W2966" s="23">
        <f>U2966-V2966</f>
        <v/>
      </c>
      <c r="X2966" s="24">
        <f>IFERROR(W2966/U2966,0)</f>
        <v/>
      </c>
    </row>
    <row r="2967">
      <c r="A2967" s="25">
        <f>ItensPedido!A2967</f>
        <v/>
      </c>
      <c r="B2967" s="25">
        <f>ItensPedido!B2967</f>
        <v/>
      </c>
      <c r="C2967" s="25">
        <f>ItensPedido!C2967</f>
        <v/>
      </c>
      <c r="D2967" s="25">
        <f>ItensPedido!D2967</f>
        <v/>
      </c>
      <c r="E2967" s="26">
        <f>ItensPedido!E2967</f>
        <v/>
      </c>
      <c r="F2967" s="25">
        <f>IFERROR(INDEX(Pedidos!$B$2:$B$1801,MATCH(B2967,Pedidos!$A$2:$A$1801,0)),0)</f>
        <v/>
      </c>
      <c r="G2967" s="25">
        <f>IF(F2967=0,"",YEAR(F2967))</f>
        <v/>
      </c>
      <c r="H2967" s="25">
        <f>IF(F2967=0,"",MONTH(F2967))</f>
        <v/>
      </c>
      <c r="I2967" s="25">
        <f>IFERROR(INDEX(Pedidos!$E$2:$E$1801,MATCH(B2967,Pedidos!$A$2:$A$1801,0)),"")</f>
        <v/>
      </c>
      <c r="J2967" s="25">
        <f>IFERROR(INDEX(Pedidos!$C$2:$C$1801,MATCH(B2967,Pedidos!$A$2:$A$1801,0)),"")</f>
        <v/>
      </c>
      <c r="K2967" s="25">
        <f>IFERROR(INDEX(Pedidos!$D$2:$D$1801,MATCH(B2967,Pedidos!$A$2:$A$1801,0)),"")</f>
        <v/>
      </c>
      <c r="L2967" s="25">
        <f>IFERROR(INDEX(Pedidos!$F$2:$F$1801,MATCH(B2967,Pedidos!$A$2:$A$1801,0)),"")</f>
        <v/>
      </c>
      <c r="M2967" s="26">
        <f>IFERROR(INDEX(Pedidos!$G$2:$G$1801,MATCH(B2967,Pedidos!$A$2:$A$1801,0)),0)</f>
        <v/>
      </c>
      <c r="N2967" s="25">
        <f>IFERROR(INDEX(Produtos!$B$2:$B$71,MATCH(C2967,Produtos!$A$2:$A$71,0)),"")</f>
        <v/>
      </c>
      <c r="O2967" s="25">
        <f>IFERROR(INDEX(Produtos!$C$2:$C$71,MATCH(C2967,Produtos!$A$2:$A$71,0)),"")</f>
        <v/>
      </c>
      <c r="P2967" s="25">
        <f>IFERROR(INDEX(Produtos!$D$2:$D$71,MATCH(C2967,Produtos!$A$2:$A$71,0)),0)</f>
        <v/>
      </c>
      <c r="Q2967" s="25">
        <f>IFERROR(INDEX(Produtos!$E$2:$E$71,MATCH(C2967,Produtos!$A$2:$A$71,0)),0)</f>
        <v/>
      </c>
      <c r="R2967" s="27">
        <f>D2967*Q2967</f>
        <v/>
      </c>
      <c r="S2967" s="27">
        <f>R2967*E2967</f>
        <v/>
      </c>
      <c r="T2967" s="27">
        <f>(R2967-S2967)*M2967</f>
        <v/>
      </c>
      <c r="U2967" s="27">
        <f>R2967-S2967-T2967</f>
        <v/>
      </c>
      <c r="V2967" s="27">
        <f>D2967*P2967</f>
        <v/>
      </c>
      <c r="W2967" s="27">
        <f>U2967-V2967</f>
        <v/>
      </c>
      <c r="X2967" s="28">
        <f>IFERROR(W2967/U2967,0)</f>
        <v/>
      </c>
    </row>
    <row r="2968">
      <c r="A2968" s="21">
        <f>ItensPedido!A2968</f>
        <v/>
      </c>
      <c r="B2968" s="21">
        <f>ItensPedido!B2968</f>
        <v/>
      </c>
      <c r="C2968" s="21">
        <f>ItensPedido!C2968</f>
        <v/>
      </c>
      <c r="D2968" s="21">
        <f>ItensPedido!D2968</f>
        <v/>
      </c>
      <c r="E2968" s="22">
        <f>ItensPedido!E2968</f>
        <v/>
      </c>
      <c r="F2968" s="21">
        <f>IFERROR(INDEX(Pedidos!$B$2:$B$1801,MATCH(B2968,Pedidos!$A$2:$A$1801,0)),0)</f>
        <v/>
      </c>
      <c r="G2968" s="21">
        <f>IF(F2968=0,"",YEAR(F2968))</f>
        <v/>
      </c>
      <c r="H2968" s="21">
        <f>IF(F2968=0,"",MONTH(F2968))</f>
        <v/>
      </c>
      <c r="I2968" s="21">
        <f>IFERROR(INDEX(Pedidos!$E$2:$E$1801,MATCH(B2968,Pedidos!$A$2:$A$1801,0)),"")</f>
        <v/>
      </c>
      <c r="J2968" s="21">
        <f>IFERROR(INDEX(Pedidos!$C$2:$C$1801,MATCH(B2968,Pedidos!$A$2:$A$1801,0)),"")</f>
        <v/>
      </c>
      <c r="K2968" s="21">
        <f>IFERROR(INDEX(Pedidos!$D$2:$D$1801,MATCH(B2968,Pedidos!$A$2:$A$1801,0)),"")</f>
        <v/>
      </c>
      <c r="L2968" s="21">
        <f>IFERROR(INDEX(Pedidos!$F$2:$F$1801,MATCH(B2968,Pedidos!$A$2:$A$1801,0)),"")</f>
        <v/>
      </c>
      <c r="M2968" s="22">
        <f>IFERROR(INDEX(Pedidos!$G$2:$G$1801,MATCH(B2968,Pedidos!$A$2:$A$1801,0)),0)</f>
        <v/>
      </c>
      <c r="N2968" s="21">
        <f>IFERROR(INDEX(Produtos!$B$2:$B$71,MATCH(C2968,Produtos!$A$2:$A$71,0)),"")</f>
        <v/>
      </c>
      <c r="O2968" s="21">
        <f>IFERROR(INDEX(Produtos!$C$2:$C$71,MATCH(C2968,Produtos!$A$2:$A$71,0)),"")</f>
        <v/>
      </c>
      <c r="P2968" s="21">
        <f>IFERROR(INDEX(Produtos!$D$2:$D$71,MATCH(C2968,Produtos!$A$2:$A$71,0)),0)</f>
        <v/>
      </c>
      <c r="Q2968" s="21">
        <f>IFERROR(INDEX(Produtos!$E$2:$E$71,MATCH(C2968,Produtos!$A$2:$A$71,0)),0)</f>
        <v/>
      </c>
      <c r="R2968" s="23">
        <f>D2968*Q2968</f>
        <v/>
      </c>
      <c r="S2968" s="23">
        <f>R2968*E2968</f>
        <v/>
      </c>
      <c r="T2968" s="23">
        <f>(R2968-S2968)*M2968</f>
        <v/>
      </c>
      <c r="U2968" s="23">
        <f>R2968-S2968-T2968</f>
        <v/>
      </c>
      <c r="V2968" s="23">
        <f>D2968*P2968</f>
        <v/>
      </c>
      <c r="W2968" s="23">
        <f>U2968-V2968</f>
        <v/>
      </c>
      <c r="X2968" s="24">
        <f>IFERROR(W2968/U2968,0)</f>
        <v/>
      </c>
    </row>
    <row r="2969">
      <c r="A2969" s="25">
        <f>ItensPedido!A2969</f>
        <v/>
      </c>
      <c r="B2969" s="25">
        <f>ItensPedido!B2969</f>
        <v/>
      </c>
      <c r="C2969" s="25">
        <f>ItensPedido!C2969</f>
        <v/>
      </c>
      <c r="D2969" s="25">
        <f>ItensPedido!D2969</f>
        <v/>
      </c>
      <c r="E2969" s="26">
        <f>ItensPedido!E2969</f>
        <v/>
      </c>
      <c r="F2969" s="25">
        <f>IFERROR(INDEX(Pedidos!$B$2:$B$1801,MATCH(B2969,Pedidos!$A$2:$A$1801,0)),0)</f>
        <v/>
      </c>
      <c r="G2969" s="25">
        <f>IF(F2969=0,"",YEAR(F2969))</f>
        <v/>
      </c>
      <c r="H2969" s="25">
        <f>IF(F2969=0,"",MONTH(F2969))</f>
        <v/>
      </c>
      <c r="I2969" s="25">
        <f>IFERROR(INDEX(Pedidos!$E$2:$E$1801,MATCH(B2969,Pedidos!$A$2:$A$1801,0)),"")</f>
        <v/>
      </c>
      <c r="J2969" s="25">
        <f>IFERROR(INDEX(Pedidos!$C$2:$C$1801,MATCH(B2969,Pedidos!$A$2:$A$1801,0)),"")</f>
        <v/>
      </c>
      <c r="K2969" s="25">
        <f>IFERROR(INDEX(Pedidos!$D$2:$D$1801,MATCH(B2969,Pedidos!$A$2:$A$1801,0)),"")</f>
        <v/>
      </c>
      <c r="L2969" s="25">
        <f>IFERROR(INDEX(Pedidos!$F$2:$F$1801,MATCH(B2969,Pedidos!$A$2:$A$1801,0)),"")</f>
        <v/>
      </c>
      <c r="M2969" s="26">
        <f>IFERROR(INDEX(Pedidos!$G$2:$G$1801,MATCH(B2969,Pedidos!$A$2:$A$1801,0)),0)</f>
        <v/>
      </c>
      <c r="N2969" s="25">
        <f>IFERROR(INDEX(Produtos!$B$2:$B$71,MATCH(C2969,Produtos!$A$2:$A$71,0)),"")</f>
        <v/>
      </c>
      <c r="O2969" s="25">
        <f>IFERROR(INDEX(Produtos!$C$2:$C$71,MATCH(C2969,Produtos!$A$2:$A$71,0)),"")</f>
        <v/>
      </c>
      <c r="P2969" s="25">
        <f>IFERROR(INDEX(Produtos!$D$2:$D$71,MATCH(C2969,Produtos!$A$2:$A$71,0)),0)</f>
        <v/>
      </c>
      <c r="Q2969" s="25">
        <f>IFERROR(INDEX(Produtos!$E$2:$E$71,MATCH(C2969,Produtos!$A$2:$A$71,0)),0)</f>
        <v/>
      </c>
      <c r="R2969" s="27">
        <f>D2969*Q2969</f>
        <v/>
      </c>
      <c r="S2969" s="27">
        <f>R2969*E2969</f>
        <v/>
      </c>
      <c r="T2969" s="27">
        <f>(R2969-S2969)*M2969</f>
        <v/>
      </c>
      <c r="U2969" s="27">
        <f>R2969-S2969-T2969</f>
        <v/>
      </c>
      <c r="V2969" s="27">
        <f>D2969*P2969</f>
        <v/>
      </c>
      <c r="W2969" s="27">
        <f>U2969-V2969</f>
        <v/>
      </c>
      <c r="X2969" s="28">
        <f>IFERROR(W2969/U2969,0)</f>
        <v/>
      </c>
    </row>
    <row r="2970">
      <c r="A2970" s="21">
        <f>ItensPedido!A2970</f>
        <v/>
      </c>
      <c r="B2970" s="21">
        <f>ItensPedido!B2970</f>
        <v/>
      </c>
      <c r="C2970" s="21">
        <f>ItensPedido!C2970</f>
        <v/>
      </c>
      <c r="D2970" s="21">
        <f>ItensPedido!D2970</f>
        <v/>
      </c>
      <c r="E2970" s="22">
        <f>ItensPedido!E2970</f>
        <v/>
      </c>
      <c r="F2970" s="21">
        <f>IFERROR(INDEX(Pedidos!$B$2:$B$1801,MATCH(B2970,Pedidos!$A$2:$A$1801,0)),0)</f>
        <v/>
      </c>
      <c r="G2970" s="21">
        <f>IF(F2970=0,"",YEAR(F2970))</f>
        <v/>
      </c>
      <c r="H2970" s="21">
        <f>IF(F2970=0,"",MONTH(F2970))</f>
        <v/>
      </c>
      <c r="I2970" s="21">
        <f>IFERROR(INDEX(Pedidos!$E$2:$E$1801,MATCH(B2970,Pedidos!$A$2:$A$1801,0)),"")</f>
        <v/>
      </c>
      <c r="J2970" s="21">
        <f>IFERROR(INDEX(Pedidos!$C$2:$C$1801,MATCH(B2970,Pedidos!$A$2:$A$1801,0)),"")</f>
        <v/>
      </c>
      <c r="K2970" s="21">
        <f>IFERROR(INDEX(Pedidos!$D$2:$D$1801,MATCH(B2970,Pedidos!$A$2:$A$1801,0)),"")</f>
        <v/>
      </c>
      <c r="L2970" s="21">
        <f>IFERROR(INDEX(Pedidos!$F$2:$F$1801,MATCH(B2970,Pedidos!$A$2:$A$1801,0)),"")</f>
        <v/>
      </c>
      <c r="M2970" s="22">
        <f>IFERROR(INDEX(Pedidos!$G$2:$G$1801,MATCH(B2970,Pedidos!$A$2:$A$1801,0)),0)</f>
        <v/>
      </c>
      <c r="N2970" s="21">
        <f>IFERROR(INDEX(Produtos!$B$2:$B$71,MATCH(C2970,Produtos!$A$2:$A$71,0)),"")</f>
        <v/>
      </c>
      <c r="O2970" s="21">
        <f>IFERROR(INDEX(Produtos!$C$2:$C$71,MATCH(C2970,Produtos!$A$2:$A$71,0)),"")</f>
        <v/>
      </c>
      <c r="P2970" s="21">
        <f>IFERROR(INDEX(Produtos!$D$2:$D$71,MATCH(C2970,Produtos!$A$2:$A$71,0)),0)</f>
        <v/>
      </c>
      <c r="Q2970" s="21">
        <f>IFERROR(INDEX(Produtos!$E$2:$E$71,MATCH(C2970,Produtos!$A$2:$A$71,0)),0)</f>
        <v/>
      </c>
      <c r="R2970" s="23">
        <f>D2970*Q2970</f>
        <v/>
      </c>
      <c r="S2970" s="23">
        <f>R2970*E2970</f>
        <v/>
      </c>
      <c r="T2970" s="23">
        <f>(R2970-S2970)*M2970</f>
        <v/>
      </c>
      <c r="U2970" s="23">
        <f>R2970-S2970-T2970</f>
        <v/>
      </c>
      <c r="V2970" s="23">
        <f>D2970*P2970</f>
        <v/>
      </c>
      <c r="W2970" s="23">
        <f>U2970-V2970</f>
        <v/>
      </c>
      <c r="X2970" s="24">
        <f>IFERROR(W2970/U2970,0)</f>
        <v/>
      </c>
    </row>
    <row r="2971">
      <c r="A2971" s="25">
        <f>ItensPedido!A2971</f>
        <v/>
      </c>
      <c r="B2971" s="25">
        <f>ItensPedido!B2971</f>
        <v/>
      </c>
      <c r="C2971" s="25">
        <f>ItensPedido!C2971</f>
        <v/>
      </c>
      <c r="D2971" s="25">
        <f>ItensPedido!D2971</f>
        <v/>
      </c>
      <c r="E2971" s="26">
        <f>ItensPedido!E2971</f>
        <v/>
      </c>
      <c r="F2971" s="25">
        <f>IFERROR(INDEX(Pedidos!$B$2:$B$1801,MATCH(B2971,Pedidos!$A$2:$A$1801,0)),0)</f>
        <v/>
      </c>
      <c r="G2971" s="25">
        <f>IF(F2971=0,"",YEAR(F2971))</f>
        <v/>
      </c>
      <c r="H2971" s="25">
        <f>IF(F2971=0,"",MONTH(F2971))</f>
        <v/>
      </c>
      <c r="I2971" s="25">
        <f>IFERROR(INDEX(Pedidos!$E$2:$E$1801,MATCH(B2971,Pedidos!$A$2:$A$1801,0)),"")</f>
        <v/>
      </c>
      <c r="J2971" s="25">
        <f>IFERROR(INDEX(Pedidos!$C$2:$C$1801,MATCH(B2971,Pedidos!$A$2:$A$1801,0)),"")</f>
        <v/>
      </c>
      <c r="K2971" s="25">
        <f>IFERROR(INDEX(Pedidos!$D$2:$D$1801,MATCH(B2971,Pedidos!$A$2:$A$1801,0)),"")</f>
        <v/>
      </c>
      <c r="L2971" s="25">
        <f>IFERROR(INDEX(Pedidos!$F$2:$F$1801,MATCH(B2971,Pedidos!$A$2:$A$1801,0)),"")</f>
        <v/>
      </c>
      <c r="M2971" s="26">
        <f>IFERROR(INDEX(Pedidos!$G$2:$G$1801,MATCH(B2971,Pedidos!$A$2:$A$1801,0)),0)</f>
        <v/>
      </c>
      <c r="N2971" s="25">
        <f>IFERROR(INDEX(Produtos!$B$2:$B$71,MATCH(C2971,Produtos!$A$2:$A$71,0)),"")</f>
        <v/>
      </c>
      <c r="O2971" s="25">
        <f>IFERROR(INDEX(Produtos!$C$2:$C$71,MATCH(C2971,Produtos!$A$2:$A$71,0)),"")</f>
        <v/>
      </c>
      <c r="P2971" s="25">
        <f>IFERROR(INDEX(Produtos!$D$2:$D$71,MATCH(C2971,Produtos!$A$2:$A$71,0)),0)</f>
        <v/>
      </c>
      <c r="Q2971" s="25">
        <f>IFERROR(INDEX(Produtos!$E$2:$E$71,MATCH(C2971,Produtos!$A$2:$A$71,0)),0)</f>
        <v/>
      </c>
      <c r="R2971" s="27">
        <f>D2971*Q2971</f>
        <v/>
      </c>
      <c r="S2971" s="27">
        <f>R2971*E2971</f>
        <v/>
      </c>
      <c r="T2971" s="27">
        <f>(R2971-S2971)*M2971</f>
        <v/>
      </c>
      <c r="U2971" s="27">
        <f>R2971-S2971-T2971</f>
        <v/>
      </c>
      <c r="V2971" s="27">
        <f>D2971*P2971</f>
        <v/>
      </c>
      <c r="W2971" s="27">
        <f>U2971-V2971</f>
        <v/>
      </c>
      <c r="X2971" s="28">
        <f>IFERROR(W2971/U2971,0)</f>
        <v/>
      </c>
    </row>
    <row r="2972">
      <c r="A2972" s="21">
        <f>ItensPedido!A2972</f>
        <v/>
      </c>
      <c r="B2972" s="21">
        <f>ItensPedido!B2972</f>
        <v/>
      </c>
      <c r="C2972" s="21">
        <f>ItensPedido!C2972</f>
        <v/>
      </c>
      <c r="D2972" s="21">
        <f>ItensPedido!D2972</f>
        <v/>
      </c>
      <c r="E2972" s="22">
        <f>ItensPedido!E2972</f>
        <v/>
      </c>
      <c r="F2972" s="21">
        <f>IFERROR(INDEX(Pedidos!$B$2:$B$1801,MATCH(B2972,Pedidos!$A$2:$A$1801,0)),0)</f>
        <v/>
      </c>
      <c r="G2972" s="21">
        <f>IF(F2972=0,"",YEAR(F2972))</f>
        <v/>
      </c>
      <c r="H2972" s="21">
        <f>IF(F2972=0,"",MONTH(F2972))</f>
        <v/>
      </c>
      <c r="I2972" s="21">
        <f>IFERROR(INDEX(Pedidos!$E$2:$E$1801,MATCH(B2972,Pedidos!$A$2:$A$1801,0)),"")</f>
        <v/>
      </c>
      <c r="J2972" s="21">
        <f>IFERROR(INDEX(Pedidos!$C$2:$C$1801,MATCH(B2972,Pedidos!$A$2:$A$1801,0)),"")</f>
        <v/>
      </c>
      <c r="K2972" s="21">
        <f>IFERROR(INDEX(Pedidos!$D$2:$D$1801,MATCH(B2972,Pedidos!$A$2:$A$1801,0)),"")</f>
        <v/>
      </c>
      <c r="L2972" s="21">
        <f>IFERROR(INDEX(Pedidos!$F$2:$F$1801,MATCH(B2972,Pedidos!$A$2:$A$1801,0)),"")</f>
        <v/>
      </c>
      <c r="M2972" s="22">
        <f>IFERROR(INDEX(Pedidos!$G$2:$G$1801,MATCH(B2972,Pedidos!$A$2:$A$1801,0)),0)</f>
        <v/>
      </c>
      <c r="N2972" s="21">
        <f>IFERROR(INDEX(Produtos!$B$2:$B$71,MATCH(C2972,Produtos!$A$2:$A$71,0)),"")</f>
        <v/>
      </c>
      <c r="O2972" s="21">
        <f>IFERROR(INDEX(Produtos!$C$2:$C$71,MATCH(C2972,Produtos!$A$2:$A$71,0)),"")</f>
        <v/>
      </c>
      <c r="P2972" s="21">
        <f>IFERROR(INDEX(Produtos!$D$2:$D$71,MATCH(C2972,Produtos!$A$2:$A$71,0)),0)</f>
        <v/>
      </c>
      <c r="Q2972" s="21">
        <f>IFERROR(INDEX(Produtos!$E$2:$E$71,MATCH(C2972,Produtos!$A$2:$A$71,0)),0)</f>
        <v/>
      </c>
      <c r="R2972" s="23">
        <f>D2972*Q2972</f>
        <v/>
      </c>
      <c r="S2972" s="23">
        <f>R2972*E2972</f>
        <v/>
      </c>
      <c r="T2972" s="23">
        <f>(R2972-S2972)*M2972</f>
        <v/>
      </c>
      <c r="U2972" s="23">
        <f>R2972-S2972-T2972</f>
        <v/>
      </c>
      <c r="V2972" s="23">
        <f>D2972*P2972</f>
        <v/>
      </c>
      <c r="W2972" s="23">
        <f>U2972-V2972</f>
        <v/>
      </c>
      <c r="X2972" s="24">
        <f>IFERROR(W2972/U2972,0)</f>
        <v/>
      </c>
    </row>
    <row r="2973">
      <c r="A2973" s="25">
        <f>ItensPedido!A2973</f>
        <v/>
      </c>
      <c r="B2973" s="25">
        <f>ItensPedido!B2973</f>
        <v/>
      </c>
      <c r="C2973" s="25">
        <f>ItensPedido!C2973</f>
        <v/>
      </c>
      <c r="D2973" s="25">
        <f>ItensPedido!D2973</f>
        <v/>
      </c>
      <c r="E2973" s="26">
        <f>ItensPedido!E2973</f>
        <v/>
      </c>
      <c r="F2973" s="25">
        <f>IFERROR(INDEX(Pedidos!$B$2:$B$1801,MATCH(B2973,Pedidos!$A$2:$A$1801,0)),0)</f>
        <v/>
      </c>
      <c r="G2973" s="25">
        <f>IF(F2973=0,"",YEAR(F2973))</f>
        <v/>
      </c>
      <c r="H2973" s="25">
        <f>IF(F2973=0,"",MONTH(F2973))</f>
        <v/>
      </c>
      <c r="I2973" s="25">
        <f>IFERROR(INDEX(Pedidos!$E$2:$E$1801,MATCH(B2973,Pedidos!$A$2:$A$1801,0)),"")</f>
        <v/>
      </c>
      <c r="J2973" s="25">
        <f>IFERROR(INDEX(Pedidos!$C$2:$C$1801,MATCH(B2973,Pedidos!$A$2:$A$1801,0)),"")</f>
        <v/>
      </c>
      <c r="K2973" s="25">
        <f>IFERROR(INDEX(Pedidos!$D$2:$D$1801,MATCH(B2973,Pedidos!$A$2:$A$1801,0)),"")</f>
        <v/>
      </c>
      <c r="L2973" s="25">
        <f>IFERROR(INDEX(Pedidos!$F$2:$F$1801,MATCH(B2973,Pedidos!$A$2:$A$1801,0)),"")</f>
        <v/>
      </c>
      <c r="M2973" s="26">
        <f>IFERROR(INDEX(Pedidos!$G$2:$G$1801,MATCH(B2973,Pedidos!$A$2:$A$1801,0)),0)</f>
        <v/>
      </c>
      <c r="N2973" s="25">
        <f>IFERROR(INDEX(Produtos!$B$2:$B$71,MATCH(C2973,Produtos!$A$2:$A$71,0)),"")</f>
        <v/>
      </c>
      <c r="O2973" s="25">
        <f>IFERROR(INDEX(Produtos!$C$2:$C$71,MATCH(C2973,Produtos!$A$2:$A$71,0)),"")</f>
        <v/>
      </c>
      <c r="P2973" s="25">
        <f>IFERROR(INDEX(Produtos!$D$2:$D$71,MATCH(C2973,Produtos!$A$2:$A$71,0)),0)</f>
        <v/>
      </c>
      <c r="Q2973" s="25">
        <f>IFERROR(INDEX(Produtos!$E$2:$E$71,MATCH(C2973,Produtos!$A$2:$A$71,0)),0)</f>
        <v/>
      </c>
      <c r="R2973" s="27">
        <f>D2973*Q2973</f>
        <v/>
      </c>
      <c r="S2973" s="27">
        <f>R2973*E2973</f>
        <v/>
      </c>
      <c r="T2973" s="27">
        <f>(R2973-S2973)*M2973</f>
        <v/>
      </c>
      <c r="U2973" s="27">
        <f>R2973-S2973-T2973</f>
        <v/>
      </c>
      <c r="V2973" s="27">
        <f>D2973*P2973</f>
        <v/>
      </c>
      <c r="W2973" s="27">
        <f>U2973-V2973</f>
        <v/>
      </c>
      <c r="X2973" s="28">
        <f>IFERROR(W2973/U2973,0)</f>
        <v/>
      </c>
    </row>
    <row r="2974">
      <c r="A2974" s="21">
        <f>ItensPedido!A2974</f>
        <v/>
      </c>
      <c r="B2974" s="21">
        <f>ItensPedido!B2974</f>
        <v/>
      </c>
      <c r="C2974" s="21">
        <f>ItensPedido!C2974</f>
        <v/>
      </c>
      <c r="D2974" s="21">
        <f>ItensPedido!D2974</f>
        <v/>
      </c>
      <c r="E2974" s="22">
        <f>ItensPedido!E2974</f>
        <v/>
      </c>
      <c r="F2974" s="21">
        <f>IFERROR(INDEX(Pedidos!$B$2:$B$1801,MATCH(B2974,Pedidos!$A$2:$A$1801,0)),0)</f>
        <v/>
      </c>
      <c r="G2974" s="21">
        <f>IF(F2974=0,"",YEAR(F2974))</f>
        <v/>
      </c>
      <c r="H2974" s="21">
        <f>IF(F2974=0,"",MONTH(F2974))</f>
        <v/>
      </c>
      <c r="I2974" s="21">
        <f>IFERROR(INDEX(Pedidos!$E$2:$E$1801,MATCH(B2974,Pedidos!$A$2:$A$1801,0)),"")</f>
        <v/>
      </c>
      <c r="J2974" s="21">
        <f>IFERROR(INDEX(Pedidos!$C$2:$C$1801,MATCH(B2974,Pedidos!$A$2:$A$1801,0)),"")</f>
        <v/>
      </c>
      <c r="K2974" s="21">
        <f>IFERROR(INDEX(Pedidos!$D$2:$D$1801,MATCH(B2974,Pedidos!$A$2:$A$1801,0)),"")</f>
        <v/>
      </c>
      <c r="L2974" s="21">
        <f>IFERROR(INDEX(Pedidos!$F$2:$F$1801,MATCH(B2974,Pedidos!$A$2:$A$1801,0)),"")</f>
        <v/>
      </c>
      <c r="M2974" s="22">
        <f>IFERROR(INDEX(Pedidos!$G$2:$G$1801,MATCH(B2974,Pedidos!$A$2:$A$1801,0)),0)</f>
        <v/>
      </c>
      <c r="N2974" s="21">
        <f>IFERROR(INDEX(Produtos!$B$2:$B$71,MATCH(C2974,Produtos!$A$2:$A$71,0)),"")</f>
        <v/>
      </c>
      <c r="O2974" s="21">
        <f>IFERROR(INDEX(Produtos!$C$2:$C$71,MATCH(C2974,Produtos!$A$2:$A$71,0)),"")</f>
        <v/>
      </c>
      <c r="P2974" s="21">
        <f>IFERROR(INDEX(Produtos!$D$2:$D$71,MATCH(C2974,Produtos!$A$2:$A$71,0)),0)</f>
        <v/>
      </c>
      <c r="Q2974" s="21">
        <f>IFERROR(INDEX(Produtos!$E$2:$E$71,MATCH(C2974,Produtos!$A$2:$A$71,0)),0)</f>
        <v/>
      </c>
      <c r="R2974" s="23">
        <f>D2974*Q2974</f>
        <v/>
      </c>
      <c r="S2974" s="23">
        <f>R2974*E2974</f>
        <v/>
      </c>
      <c r="T2974" s="23">
        <f>(R2974-S2974)*M2974</f>
        <v/>
      </c>
      <c r="U2974" s="23">
        <f>R2974-S2974-T2974</f>
        <v/>
      </c>
      <c r="V2974" s="23">
        <f>D2974*P2974</f>
        <v/>
      </c>
      <c r="W2974" s="23">
        <f>U2974-V2974</f>
        <v/>
      </c>
      <c r="X2974" s="24">
        <f>IFERROR(W2974/U2974,0)</f>
        <v/>
      </c>
    </row>
    <row r="2975">
      <c r="A2975" s="25">
        <f>ItensPedido!A2975</f>
        <v/>
      </c>
      <c r="B2975" s="25">
        <f>ItensPedido!B2975</f>
        <v/>
      </c>
      <c r="C2975" s="25">
        <f>ItensPedido!C2975</f>
        <v/>
      </c>
      <c r="D2975" s="25">
        <f>ItensPedido!D2975</f>
        <v/>
      </c>
      <c r="E2975" s="26">
        <f>ItensPedido!E2975</f>
        <v/>
      </c>
      <c r="F2975" s="25">
        <f>IFERROR(INDEX(Pedidos!$B$2:$B$1801,MATCH(B2975,Pedidos!$A$2:$A$1801,0)),0)</f>
        <v/>
      </c>
      <c r="G2975" s="25">
        <f>IF(F2975=0,"",YEAR(F2975))</f>
        <v/>
      </c>
      <c r="H2975" s="25">
        <f>IF(F2975=0,"",MONTH(F2975))</f>
        <v/>
      </c>
      <c r="I2975" s="25">
        <f>IFERROR(INDEX(Pedidos!$E$2:$E$1801,MATCH(B2975,Pedidos!$A$2:$A$1801,0)),"")</f>
        <v/>
      </c>
      <c r="J2975" s="25">
        <f>IFERROR(INDEX(Pedidos!$C$2:$C$1801,MATCH(B2975,Pedidos!$A$2:$A$1801,0)),"")</f>
        <v/>
      </c>
      <c r="K2975" s="25">
        <f>IFERROR(INDEX(Pedidos!$D$2:$D$1801,MATCH(B2975,Pedidos!$A$2:$A$1801,0)),"")</f>
        <v/>
      </c>
      <c r="L2975" s="25">
        <f>IFERROR(INDEX(Pedidos!$F$2:$F$1801,MATCH(B2975,Pedidos!$A$2:$A$1801,0)),"")</f>
        <v/>
      </c>
      <c r="M2975" s="26">
        <f>IFERROR(INDEX(Pedidos!$G$2:$G$1801,MATCH(B2975,Pedidos!$A$2:$A$1801,0)),0)</f>
        <v/>
      </c>
      <c r="N2975" s="25">
        <f>IFERROR(INDEX(Produtos!$B$2:$B$71,MATCH(C2975,Produtos!$A$2:$A$71,0)),"")</f>
        <v/>
      </c>
      <c r="O2975" s="25">
        <f>IFERROR(INDEX(Produtos!$C$2:$C$71,MATCH(C2975,Produtos!$A$2:$A$71,0)),"")</f>
        <v/>
      </c>
      <c r="P2975" s="25">
        <f>IFERROR(INDEX(Produtos!$D$2:$D$71,MATCH(C2975,Produtos!$A$2:$A$71,0)),0)</f>
        <v/>
      </c>
      <c r="Q2975" s="25">
        <f>IFERROR(INDEX(Produtos!$E$2:$E$71,MATCH(C2975,Produtos!$A$2:$A$71,0)),0)</f>
        <v/>
      </c>
      <c r="R2975" s="27">
        <f>D2975*Q2975</f>
        <v/>
      </c>
      <c r="S2975" s="27">
        <f>R2975*E2975</f>
        <v/>
      </c>
      <c r="T2975" s="27">
        <f>(R2975-S2975)*M2975</f>
        <v/>
      </c>
      <c r="U2975" s="27">
        <f>R2975-S2975-T2975</f>
        <v/>
      </c>
      <c r="V2975" s="27">
        <f>D2975*P2975</f>
        <v/>
      </c>
      <c r="W2975" s="27">
        <f>U2975-V2975</f>
        <v/>
      </c>
      <c r="X2975" s="28">
        <f>IFERROR(W2975/U2975,0)</f>
        <v/>
      </c>
    </row>
    <row r="2976">
      <c r="A2976" s="21">
        <f>ItensPedido!A2976</f>
        <v/>
      </c>
      <c r="B2976" s="21">
        <f>ItensPedido!B2976</f>
        <v/>
      </c>
      <c r="C2976" s="21">
        <f>ItensPedido!C2976</f>
        <v/>
      </c>
      <c r="D2976" s="21">
        <f>ItensPedido!D2976</f>
        <v/>
      </c>
      <c r="E2976" s="22">
        <f>ItensPedido!E2976</f>
        <v/>
      </c>
      <c r="F2976" s="21">
        <f>IFERROR(INDEX(Pedidos!$B$2:$B$1801,MATCH(B2976,Pedidos!$A$2:$A$1801,0)),0)</f>
        <v/>
      </c>
      <c r="G2976" s="21">
        <f>IF(F2976=0,"",YEAR(F2976))</f>
        <v/>
      </c>
      <c r="H2976" s="21">
        <f>IF(F2976=0,"",MONTH(F2976))</f>
        <v/>
      </c>
      <c r="I2976" s="21">
        <f>IFERROR(INDEX(Pedidos!$E$2:$E$1801,MATCH(B2976,Pedidos!$A$2:$A$1801,0)),"")</f>
        <v/>
      </c>
      <c r="J2976" s="21">
        <f>IFERROR(INDEX(Pedidos!$C$2:$C$1801,MATCH(B2976,Pedidos!$A$2:$A$1801,0)),"")</f>
        <v/>
      </c>
      <c r="K2976" s="21">
        <f>IFERROR(INDEX(Pedidos!$D$2:$D$1801,MATCH(B2976,Pedidos!$A$2:$A$1801,0)),"")</f>
        <v/>
      </c>
      <c r="L2976" s="21">
        <f>IFERROR(INDEX(Pedidos!$F$2:$F$1801,MATCH(B2976,Pedidos!$A$2:$A$1801,0)),"")</f>
        <v/>
      </c>
      <c r="M2976" s="22">
        <f>IFERROR(INDEX(Pedidos!$G$2:$G$1801,MATCH(B2976,Pedidos!$A$2:$A$1801,0)),0)</f>
        <v/>
      </c>
      <c r="N2976" s="21">
        <f>IFERROR(INDEX(Produtos!$B$2:$B$71,MATCH(C2976,Produtos!$A$2:$A$71,0)),"")</f>
        <v/>
      </c>
      <c r="O2976" s="21">
        <f>IFERROR(INDEX(Produtos!$C$2:$C$71,MATCH(C2976,Produtos!$A$2:$A$71,0)),"")</f>
        <v/>
      </c>
      <c r="P2976" s="21">
        <f>IFERROR(INDEX(Produtos!$D$2:$D$71,MATCH(C2976,Produtos!$A$2:$A$71,0)),0)</f>
        <v/>
      </c>
      <c r="Q2976" s="21">
        <f>IFERROR(INDEX(Produtos!$E$2:$E$71,MATCH(C2976,Produtos!$A$2:$A$71,0)),0)</f>
        <v/>
      </c>
      <c r="R2976" s="23">
        <f>D2976*Q2976</f>
        <v/>
      </c>
      <c r="S2976" s="23">
        <f>R2976*E2976</f>
        <v/>
      </c>
      <c r="T2976" s="23">
        <f>(R2976-S2976)*M2976</f>
        <v/>
      </c>
      <c r="U2976" s="23">
        <f>R2976-S2976-T2976</f>
        <v/>
      </c>
      <c r="V2976" s="23">
        <f>D2976*P2976</f>
        <v/>
      </c>
      <c r="W2976" s="23">
        <f>U2976-V2976</f>
        <v/>
      </c>
      <c r="X2976" s="24">
        <f>IFERROR(W2976/U2976,0)</f>
        <v/>
      </c>
    </row>
    <row r="2977">
      <c r="A2977" s="25">
        <f>ItensPedido!A2977</f>
        <v/>
      </c>
      <c r="B2977" s="25">
        <f>ItensPedido!B2977</f>
        <v/>
      </c>
      <c r="C2977" s="25">
        <f>ItensPedido!C2977</f>
        <v/>
      </c>
      <c r="D2977" s="25">
        <f>ItensPedido!D2977</f>
        <v/>
      </c>
      <c r="E2977" s="26">
        <f>ItensPedido!E2977</f>
        <v/>
      </c>
      <c r="F2977" s="25">
        <f>IFERROR(INDEX(Pedidos!$B$2:$B$1801,MATCH(B2977,Pedidos!$A$2:$A$1801,0)),0)</f>
        <v/>
      </c>
      <c r="G2977" s="25">
        <f>IF(F2977=0,"",YEAR(F2977))</f>
        <v/>
      </c>
      <c r="H2977" s="25">
        <f>IF(F2977=0,"",MONTH(F2977))</f>
        <v/>
      </c>
      <c r="I2977" s="25">
        <f>IFERROR(INDEX(Pedidos!$E$2:$E$1801,MATCH(B2977,Pedidos!$A$2:$A$1801,0)),"")</f>
        <v/>
      </c>
      <c r="J2977" s="25">
        <f>IFERROR(INDEX(Pedidos!$C$2:$C$1801,MATCH(B2977,Pedidos!$A$2:$A$1801,0)),"")</f>
        <v/>
      </c>
      <c r="K2977" s="25">
        <f>IFERROR(INDEX(Pedidos!$D$2:$D$1801,MATCH(B2977,Pedidos!$A$2:$A$1801,0)),"")</f>
        <v/>
      </c>
      <c r="L2977" s="25">
        <f>IFERROR(INDEX(Pedidos!$F$2:$F$1801,MATCH(B2977,Pedidos!$A$2:$A$1801,0)),"")</f>
        <v/>
      </c>
      <c r="M2977" s="26">
        <f>IFERROR(INDEX(Pedidos!$G$2:$G$1801,MATCH(B2977,Pedidos!$A$2:$A$1801,0)),0)</f>
        <v/>
      </c>
      <c r="N2977" s="25">
        <f>IFERROR(INDEX(Produtos!$B$2:$B$71,MATCH(C2977,Produtos!$A$2:$A$71,0)),"")</f>
        <v/>
      </c>
      <c r="O2977" s="25">
        <f>IFERROR(INDEX(Produtos!$C$2:$C$71,MATCH(C2977,Produtos!$A$2:$A$71,0)),"")</f>
        <v/>
      </c>
      <c r="P2977" s="25">
        <f>IFERROR(INDEX(Produtos!$D$2:$D$71,MATCH(C2977,Produtos!$A$2:$A$71,0)),0)</f>
        <v/>
      </c>
      <c r="Q2977" s="25">
        <f>IFERROR(INDEX(Produtos!$E$2:$E$71,MATCH(C2977,Produtos!$A$2:$A$71,0)),0)</f>
        <v/>
      </c>
      <c r="R2977" s="27">
        <f>D2977*Q2977</f>
        <v/>
      </c>
      <c r="S2977" s="27">
        <f>R2977*E2977</f>
        <v/>
      </c>
      <c r="T2977" s="27">
        <f>(R2977-S2977)*M2977</f>
        <v/>
      </c>
      <c r="U2977" s="27">
        <f>R2977-S2977-T2977</f>
        <v/>
      </c>
      <c r="V2977" s="27">
        <f>D2977*P2977</f>
        <v/>
      </c>
      <c r="W2977" s="27">
        <f>U2977-V2977</f>
        <v/>
      </c>
      <c r="X2977" s="28">
        <f>IFERROR(W2977/U2977,0)</f>
        <v/>
      </c>
    </row>
    <row r="2978">
      <c r="A2978" s="21">
        <f>ItensPedido!A2978</f>
        <v/>
      </c>
      <c r="B2978" s="21">
        <f>ItensPedido!B2978</f>
        <v/>
      </c>
      <c r="C2978" s="21">
        <f>ItensPedido!C2978</f>
        <v/>
      </c>
      <c r="D2978" s="21">
        <f>ItensPedido!D2978</f>
        <v/>
      </c>
      <c r="E2978" s="22">
        <f>ItensPedido!E2978</f>
        <v/>
      </c>
      <c r="F2978" s="21">
        <f>IFERROR(INDEX(Pedidos!$B$2:$B$1801,MATCH(B2978,Pedidos!$A$2:$A$1801,0)),0)</f>
        <v/>
      </c>
      <c r="G2978" s="21">
        <f>IF(F2978=0,"",YEAR(F2978))</f>
        <v/>
      </c>
      <c r="H2978" s="21">
        <f>IF(F2978=0,"",MONTH(F2978))</f>
        <v/>
      </c>
      <c r="I2978" s="21">
        <f>IFERROR(INDEX(Pedidos!$E$2:$E$1801,MATCH(B2978,Pedidos!$A$2:$A$1801,0)),"")</f>
        <v/>
      </c>
      <c r="J2978" s="21">
        <f>IFERROR(INDEX(Pedidos!$C$2:$C$1801,MATCH(B2978,Pedidos!$A$2:$A$1801,0)),"")</f>
        <v/>
      </c>
      <c r="K2978" s="21">
        <f>IFERROR(INDEX(Pedidos!$D$2:$D$1801,MATCH(B2978,Pedidos!$A$2:$A$1801,0)),"")</f>
        <v/>
      </c>
      <c r="L2978" s="21">
        <f>IFERROR(INDEX(Pedidos!$F$2:$F$1801,MATCH(B2978,Pedidos!$A$2:$A$1801,0)),"")</f>
        <v/>
      </c>
      <c r="M2978" s="22">
        <f>IFERROR(INDEX(Pedidos!$G$2:$G$1801,MATCH(B2978,Pedidos!$A$2:$A$1801,0)),0)</f>
        <v/>
      </c>
      <c r="N2978" s="21">
        <f>IFERROR(INDEX(Produtos!$B$2:$B$71,MATCH(C2978,Produtos!$A$2:$A$71,0)),"")</f>
        <v/>
      </c>
      <c r="O2978" s="21">
        <f>IFERROR(INDEX(Produtos!$C$2:$C$71,MATCH(C2978,Produtos!$A$2:$A$71,0)),"")</f>
        <v/>
      </c>
      <c r="P2978" s="21">
        <f>IFERROR(INDEX(Produtos!$D$2:$D$71,MATCH(C2978,Produtos!$A$2:$A$71,0)),0)</f>
        <v/>
      </c>
      <c r="Q2978" s="21">
        <f>IFERROR(INDEX(Produtos!$E$2:$E$71,MATCH(C2978,Produtos!$A$2:$A$71,0)),0)</f>
        <v/>
      </c>
      <c r="R2978" s="23">
        <f>D2978*Q2978</f>
        <v/>
      </c>
      <c r="S2978" s="23">
        <f>R2978*E2978</f>
        <v/>
      </c>
      <c r="T2978" s="23">
        <f>(R2978-S2978)*M2978</f>
        <v/>
      </c>
      <c r="U2978" s="23">
        <f>R2978-S2978-T2978</f>
        <v/>
      </c>
      <c r="V2978" s="23">
        <f>D2978*P2978</f>
        <v/>
      </c>
      <c r="W2978" s="23">
        <f>U2978-V2978</f>
        <v/>
      </c>
      <c r="X2978" s="24">
        <f>IFERROR(W2978/U2978,0)</f>
        <v/>
      </c>
    </row>
    <row r="2979">
      <c r="A2979" s="25">
        <f>ItensPedido!A2979</f>
        <v/>
      </c>
      <c r="B2979" s="25">
        <f>ItensPedido!B2979</f>
        <v/>
      </c>
      <c r="C2979" s="25">
        <f>ItensPedido!C2979</f>
        <v/>
      </c>
      <c r="D2979" s="25">
        <f>ItensPedido!D2979</f>
        <v/>
      </c>
      <c r="E2979" s="26">
        <f>ItensPedido!E2979</f>
        <v/>
      </c>
      <c r="F2979" s="25">
        <f>IFERROR(INDEX(Pedidos!$B$2:$B$1801,MATCH(B2979,Pedidos!$A$2:$A$1801,0)),0)</f>
        <v/>
      </c>
      <c r="G2979" s="25">
        <f>IF(F2979=0,"",YEAR(F2979))</f>
        <v/>
      </c>
      <c r="H2979" s="25">
        <f>IF(F2979=0,"",MONTH(F2979))</f>
        <v/>
      </c>
      <c r="I2979" s="25">
        <f>IFERROR(INDEX(Pedidos!$E$2:$E$1801,MATCH(B2979,Pedidos!$A$2:$A$1801,0)),"")</f>
        <v/>
      </c>
      <c r="J2979" s="25">
        <f>IFERROR(INDEX(Pedidos!$C$2:$C$1801,MATCH(B2979,Pedidos!$A$2:$A$1801,0)),"")</f>
        <v/>
      </c>
      <c r="K2979" s="25">
        <f>IFERROR(INDEX(Pedidos!$D$2:$D$1801,MATCH(B2979,Pedidos!$A$2:$A$1801,0)),"")</f>
        <v/>
      </c>
      <c r="L2979" s="25">
        <f>IFERROR(INDEX(Pedidos!$F$2:$F$1801,MATCH(B2979,Pedidos!$A$2:$A$1801,0)),"")</f>
        <v/>
      </c>
      <c r="M2979" s="26">
        <f>IFERROR(INDEX(Pedidos!$G$2:$G$1801,MATCH(B2979,Pedidos!$A$2:$A$1801,0)),0)</f>
        <v/>
      </c>
      <c r="N2979" s="25">
        <f>IFERROR(INDEX(Produtos!$B$2:$B$71,MATCH(C2979,Produtos!$A$2:$A$71,0)),"")</f>
        <v/>
      </c>
      <c r="O2979" s="25">
        <f>IFERROR(INDEX(Produtos!$C$2:$C$71,MATCH(C2979,Produtos!$A$2:$A$71,0)),"")</f>
        <v/>
      </c>
      <c r="P2979" s="25">
        <f>IFERROR(INDEX(Produtos!$D$2:$D$71,MATCH(C2979,Produtos!$A$2:$A$71,0)),0)</f>
        <v/>
      </c>
      <c r="Q2979" s="25">
        <f>IFERROR(INDEX(Produtos!$E$2:$E$71,MATCH(C2979,Produtos!$A$2:$A$71,0)),0)</f>
        <v/>
      </c>
      <c r="R2979" s="27">
        <f>D2979*Q2979</f>
        <v/>
      </c>
      <c r="S2979" s="27">
        <f>R2979*E2979</f>
        <v/>
      </c>
      <c r="T2979" s="27">
        <f>(R2979-S2979)*M2979</f>
        <v/>
      </c>
      <c r="U2979" s="27">
        <f>R2979-S2979-T2979</f>
        <v/>
      </c>
      <c r="V2979" s="27">
        <f>D2979*P2979</f>
        <v/>
      </c>
      <c r="W2979" s="27">
        <f>U2979-V2979</f>
        <v/>
      </c>
      <c r="X2979" s="28">
        <f>IFERROR(W2979/U2979,0)</f>
        <v/>
      </c>
    </row>
    <row r="2980">
      <c r="A2980" s="21">
        <f>ItensPedido!A2980</f>
        <v/>
      </c>
      <c r="B2980" s="21">
        <f>ItensPedido!B2980</f>
        <v/>
      </c>
      <c r="C2980" s="21">
        <f>ItensPedido!C2980</f>
        <v/>
      </c>
      <c r="D2980" s="21">
        <f>ItensPedido!D2980</f>
        <v/>
      </c>
      <c r="E2980" s="22">
        <f>ItensPedido!E2980</f>
        <v/>
      </c>
      <c r="F2980" s="21">
        <f>IFERROR(INDEX(Pedidos!$B$2:$B$1801,MATCH(B2980,Pedidos!$A$2:$A$1801,0)),0)</f>
        <v/>
      </c>
      <c r="G2980" s="21">
        <f>IF(F2980=0,"",YEAR(F2980))</f>
        <v/>
      </c>
      <c r="H2980" s="21">
        <f>IF(F2980=0,"",MONTH(F2980))</f>
        <v/>
      </c>
      <c r="I2980" s="21">
        <f>IFERROR(INDEX(Pedidos!$E$2:$E$1801,MATCH(B2980,Pedidos!$A$2:$A$1801,0)),"")</f>
        <v/>
      </c>
      <c r="J2980" s="21">
        <f>IFERROR(INDEX(Pedidos!$C$2:$C$1801,MATCH(B2980,Pedidos!$A$2:$A$1801,0)),"")</f>
        <v/>
      </c>
      <c r="K2980" s="21">
        <f>IFERROR(INDEX(Pedidos!$D$2:$D$1801,MATCH(B2980,Pedidos!$A$2:$A$1801,0)),"")</f>
        <v/>
      </c>
      <c r="L2980" s="21">
        <f>IFERROR(INDEX(Pedidos!$F$2:$F$1801,MATCH(B2980,Pedidos!$A$2:$A$1801,0)),"")</f>
        <v/>
      </c>
      <c r="M2980" s="22">
        <f>IFERROR(INDEX(Pedidos!$G$2:$G$1801,MATCH(B2980,Pedidos!$A$2:$A$1801,0)),0)</f>
        <v/>
      </c>
      <c r="N2980" s="21">
        <f>IFERROR(INDEX(Produtos!$B$2:$B$71,MATCH(C2980,Produtos!$A$2:$A$71,0)),"")</f>
        <v/>
      </c>
      <c r="O2980" s="21">
        <f>IFERROR(INDEX(Produtos!$C$2:$C$71,MATCH(C2980,Produtos!$A$2:$A$71,0)),"")</f>
        <v/>
      </c>
      <c r="P2980" s="21">
        <f>IFERROR(INDEX(Produtos!$D$2:$D$71,MATCH(C2980,Produtos!$A$2:$A$71,0)),0)</f>
        <v/>
      </c>
      <c r="Q2980" s="21">
        <f>IFERROR(INDEX(Produtos!$E$2:$E$71,MATCH(C2980,Produtos!$A$2:$A$71,0)),0)</f>
        <v/>
      </c>
      <c r="R2980" s="23">
        <f>D2980*Q2980</f>
        <v/>
      </c>
      <c r="S2980" s="23">
        <f>R2980*E2980</f>
        <v/>
      </c>
      <c r="T2980" s="23">
        <f>(R2980-S2980)*M2980</f>
        <v/>
      </c>
      <c r="U2980" s="23">
        <f>R2980-S2980-T2980</f>
        <v/>
      </c>
      <c r="V2980" s="23">
        <f>D2980*P2980</f>
        <v/>
      </c>
      <c r="W2980" s="23">
        <f>U2980-V2980</f>
        <v/>
      </c>
      <c r="X2980" s="24">
        <f>IFERROR(W2980/U2980,0)</f>
        <v/>
      </c>
    </row>
    <row r="2981">
      <c r="A2981" s="25">
        <f>ItensPedido!A2981</f>
        <v/>
      </c>
      <c r="B2981" s="25">
        <f>ItensPedido!B2981</f>
        <v/>
      </c>
      <c r="C2981" s="25">
        <f>ItensPedido!C2981</f>
        <v/>
      </c>
      <c r="D2981" s="25">
        <f>ItensPedido!D2981</f>
        <v/>
      </c>
      <c r="E2981" s="26">
        <f>ItensPedido!E2981</f>
        <v/>
      </c>
      <c r="F2981" s="25">
        <f>IFERROR(INDEX(Pedidos!$B$2:$B$1801,MATCH(B2981,Pedidos!$A$2:$A$1801,0)),0)</f>
        <v/>
      </c>
      <c r="G2981" s="25">
        <f>IF(F2981=0,"",YEAR(F2981))</f>
        <v/>
      </c>
      <c r="H2981" s="25">
        <f>IF(F2981=0,"",MONTH(F2981))</f>
        <v/>
      </c>
      <c r="I2981" s="25">
        <f>IFERROR(INDEX(Pedidos!$E$2:$E$1801,MATCH(B2981,Pedidos!$A$2:$A$1801,0)),"")</f>
        <v/>
      </c>
      <c r="J2981" s="25">
        <f>IFERROR(INDEX(Pedidos!$C$2:$C$1801,MATCH(B2981,Pedidos!$A$2:$A$1801,0)),"")</f>
        <v/>
      </c>
      <c r="K2981" s="25">
        <f>IFERROR(INDEX(Pedidos!$D$2:$D$1801,MATCH(B2981,Pedidos!$A$2:$A$1801,0)),"")</f>
        <v/>
      </c>
      <c r="L2981" s="25">
        <f>IFERROR(INDEX(Pedidos!$F$2:$F$1801,MATCH(B2981,Pedidos!$A$2:$A$1801,0)),"")</f>
        <v/>
      </c>
      <c r="M2981" s="26">
        <f>IFERROR(INDEX(Pedidos!$G$2:$G$1801,MATCH(B2981,Pedidos!$A$2:$A$1801,0)),0)</f>
        <v/>
      </c>
      <c r="N2981" s="25">
        <f>IFERROR(INDEX(Produtos!$B$2:$B$71,MATCH(C2981,Produtos!$A$2:$A$71,0)),"")</f>
        <v/>
      </c>
      <c r="O2981" s="25">
        <f>IFERROR(INDEX(Produtos!$C$2:$C$71,MATCH(C2981,Produtos!$A$2:$A$71,0)),"")</f>
        <v/>
      </c>
      <c r="P2981" s="25">
        <f>IFERROR(INDEX(Produtos!$D$2:$D$71,MATCH(C2981,Produtos!$A$2:$A$71,0)),0)</f>
        <v/>
      </c>
      <c r="Q2981" s="25">
        <f>IFERROR(INDEX(Produtos!$E$2:$E$71,MATCH(C2981,Produtos!$A$2:$A$71,0)),0)</f>
        <v/>
      </c>
      <c r="R2981" s="27">
        <f>D2981*Q2981</f>
        <v/>
      </c>
      <c r="S2981" s="27">
        <f>R2981*E2981</f>
        <v/>
      </c>
      <c r="T2981" s="27">
        <f>(R2981-S2981)*M2981</f>
        <v/>
      </c>
      <c r="U2981" s="27">
        <f>R2981-S2981-T2981</f>
        <v/>
      </c>
      <c r="V2981" s="27">
        <f>D2981*P2981</f>
        <v/>
      </c>
      <c r="W2981" s="27">
        <f>U2981-V2981</f>
        <v/>
      </c>
      <c r="X2981" s="28">
        <f>IFERROR(W2981/U2981,0)</f>
        <v/>
      </c>
    </row>
    <row r="2982">
      <c r="A2982" s="21">
        <f>ItensPedido!A2982</f>
        <v/>
      </c>
      <c r="B2982" s="21">
        <f>ItensPedido!B2982</f>
        <v/>
      </c>
      <c r="C2982" s="21">
        <f>ItensPedido!C2982</f>
        <v/>
      </c>
      <c r="D2982" s="21">
        <f>ItensPedido!D2982</f>
        <v/>
      </c>
      <c r="E2982" s="22">
        <f>ItensPedido!E2982</f>
        <v/>
      </c>
      <c r="F2982" s="21">
        <f>IFERROR(INDEX(Pedidos!$B$2:$B$1801,MATCH(B2982,Pedidos!$A$2:$A$1801,0)),0)</f>
        <v/>
      </c>
      <c r="G2982" s="21">
        <f>IF(F2982=0,"",YEAR(F2982))</f>
        <v/>
      </c>
      <c r="H2982" s="21">
        <f>IF(F2982=0,"",MONTH(F2982))</f>
        <v/>
      </c>
      <c r="I2982" s="21">
        <f>IFERROR(INDEX(Pedidos!$E$2:$E$1801,MATCH(B2982,Pedidos!$A$2:$A$1801,0)),"")</f>
        <v/>
      </c>
      <c r="J2982" s="21">
        <f>IFERROR(INDEX(Pedidos!$C$2:$C$1801,MATCH(B2982,Pedidos!$A$2:$A$1801,0)),"")</f>
        <v/>
      </c>
      <c r="K2982" s="21">
        <f>IFERROR(INDEX(Pedidos!$D$2:$D$1801,MATCH(B2982,Pedidos!$A$2:$A$1801,0)),"")</f>
        <v/>
      </c>
      <c r="L2982" s="21">
        <f>IFERROR(INDEX(Pedidos!$F$2:$F$1801,MATCH(B2982,Pedidos!$A$2:$A$1801,0)),"")</f>
        <v/>
      </c>
      <c r="M2982" s="22">
        <f>IFERROR(INDEX(Pedidos!$G$2:$G$1801,MATCH(B2982,Pedidos!$A$2:$A$1801,0)),0)</f>
        <v/>
      </c>
      <c r="N2982" s="21">
        <f>IFERROR(INDEX(Produtos!$B$2:$B$71,MATCH(C2982,Produtos!$A$2:$A$71,0)),"")</f>
        <v/>
      </c>
      <c r="O2982" s="21">
        <f>IFERROR(INDEX(Produtos!$C$2:$C$71,MATCH(C2982,Produtos!$A$2:$A$71,0)),"")</f>
        <v/>
      </c>
      <c r="P2982" s="21">
        <f>IFERROR(INDEX(Produtos!$D$2:$D$71,MATCH(C2982,Produtos!$A$2:$A$71,0)),0)</f>
        <v/>
      </c>
      <c r="Q2982" s="21">
        <f>IFERROR(INDEX(Produtos!$E$2:$E$71,MATCH(C2982,Produtos!$A$2:$A$71,0)),0)</f>
        <v/>
      </c>
      <c r="R2982" s="23">
        <f>D2982*Q2982</f>
        <v/>
      </c>
      <c r="S2982" s="23">
        <f>R2982*E2982</f>
        <v/>
      </c>
      <c r="T2982" s="23">
        <f>(R2982-S2982)*M2982</f>
        <v/>
      </c>
      <c r="U2982" s="23">
        <f>R2982-S2982-T2982</f>
        <v/>
      </c>
      <c r="V2982" s="23">
        <f>D2982*P2982</f>
        <v/>
      </c>
      <c r="W2982" s="23">
        <f>U2982-V2982</f>
        <v/>
      </c>
      <c r="X2982" s="24">
        <f>IFERROR(W2982/U2982,0)</f>
        <v/>
      </c>
    </row>
    <row r="2983">
      <c r="A2983" s="25">
        <f>ItensPedido!A2983</f>
        <v/>
      </c>
      <c r="B2983" s="25">
        <f>ItensPedido!B2983</f>
        <v/>
      </c>
      <c r="C2983" s="25">
        <f>ItensPedido!C2983</f>
        <v/>
      </c>
      <c r="D2983" s="25">
        <f>ItensPedido!D2983</f>
        <v/>
      </c>
      <c r="E2983" s="26">
        <f>ItensPedido!E2983</f>
        <v/>
      </c>
      <c r="F2983" s="25">
        <f>IFERROR(INDEX(Pedidos!$B$2:$B$1801,MATCH(B2983,Pedidos!$A$2:$A$1801,0)),0)</f>
        <v/>
      </c>
      <c r="G2983" s="25">
        <f>IF(F2983=0,"",YEAR(F2983))</f>
        <v/>
      </c>
      <c r="H2983" s="25">
        <f>IF(F2983=0,"",MONTH(F2983))</f>
        <v/>
      </c>
      <c r="I2983" s="25">
        <f>IFERROR(INDEX(Pedidos!$E$2:$E$1801,MATCH(B2983,Pedidos!$A$2:$A$1801,0)),"")</f>
        <v/>
      </c>
      <c r="J2983" s="25">
        <f>IFERROR(INDEX(Pedidos!$C$2:$C$1801,MATCH(B2983,Pedidos!$A$2:$A$1801,0)),"")</f>
        <v/>
      </c>
      <c r="K2983" s="25">
        <f>IFERROR(INDEX(Pedidos!$D$2:$D$1801,MATCH(B2983,Pedidos!$A$2:$A$1801,0)),"")</f>
        <v/>
      </c>
      <c r="L2983" s="25">
        <f>IFERROR(INDEX(Pedidos!$F$2:$F$1801,MATCH(B2983,Pedidos!$A$2:$A$1801,0)),"")</f>
        <v/>
      </c>
      <c r="M2983" s="26">
        <f>IFERROR(INDEX(Pedidos!$G$2:$G$1801,MATCH(B2983,Pedidos!$A$2:$A$1801,0)),0)</f>
        <v/>
      </c>
      <c r="N2983" s="25">
        <f>IFERROR(INDEX(Produtos!$B$2:$B$71,MATCH(C2983,Produtos!$A$2:$A$71,0)),"")</f>
        <v/>
      </c>
      <c r="O2983" s="25">
        <f>IFERROR(INDEX(Produtos!$C$2:$C$71,MATCH(C2983,Produtos!$A$2:$A$71,0)),"")</f>
        <v/>
      </c>
      <c r="P2983" s="25">
        <f>IFERROR(INDEX(Produtos!$D$2:$D$71,MATCH(C2983,Produtos!$A$2:$A$71,0)),0)</f>
        <v/>
      </c>
      <c r="Q2983" s="25">
        <f>IFERROR(INDEX(Produtos!$E$2:$E$71,MATCH(C2983,Produtos!$A$2:$A$71,0)),0)</f>
        <v/>
      </c>
      <c r="R2983" s="27">
        <f>D2983*Q2983</f>
        <v/>
      </c>
      <c r="S2983" s="27">
        <f>R2983*E2983</f>
        <v/>
      </c>
      <c r="T2983" s="27">
        <f>(R2983-S2983)*M2983</f>
        <v/>
      </c>
      <c r="U2983" s="27">
        <f>R2983-S2983-T2983</f>
        <v/>
      </c>
      <c r="V2983" s="27">
        <f>D2983*P2983</f>
        <v/>
      </c>
      <c r="W2983" s="27">
        <f>U2983-V2983</f>
        <v/>
      </c>
      <c r="X2983" s="28">
        <f>IFERROR(W2983/U2983,0)</f>
        <v/>
      </c>
    </row>
    <row r="2984">
      <c r="A2984" s="21">
        <f>ItensPedido!A2984</f>
        <v/>
      </c>
      <c r="B2984" s="21">
        <f>ItensPedido!B2984</f>
        <v/>
      </c>
      <c r="C2984" s="21">
        <f>ItensPedido!C2984</f>
        <v/>
      </c>
      <c r="D2984" s="21">
        <f>ItensPedido!D2984</f>
        <v/>
      </c>
      <c r="E2984" s="22">
        <f>ItensPedido!E2984</f>
        <v/>
      </c>
      <c r="F2984" s="21">
        <f>IFERROR(INDEX(Pedidos!$B$2:$B$1801,MATCH(B2984,Pedidos!$A$2:$A$1801,0)),0)</f>
        <v/>
      </c>
      <c r="G2984" s="21">
        <f>IF(F2984=0,"",YEAR(F2984))</f>
        <v/>
      </c>
      <c r="H2984" s="21">
        <f>IF(F2984=0,"",MONTH(F2984))</f>
        <v/>
      </c>
      <c r="I2984" s="21">
        <f>IFERROR(INDEX(Pedidos!$E$2:$E$1801,MATCH(B2984,Pedidos!$A$2:$A$1801,0)),"")</f>
        <v/>
      </c>
      <c r="J2984" s="21">
        <f>IFERROR(INDEX(Pedidos!$C$2:$C$1801,MATCH(B2984,Pedidos!$A$2:$A$1801,0)),"")</f>
        <v/>
      </c>
      <c r="K2984" s="21">
        <f>IFERROR(INDEX(Pedidos!$D$2:$D$1801,MATCH(B2984,Pedidos!$A$2:$A$1801,0)),"")</f>
        <v/>
      </c>
      <c r="L2984" s="21">
        <f>IFERROR(INDEX(Pedidos!$F$2:$F$1801,MATCH(B2984,Pedidos!$A$2:$A$1801,0)),"")</f>
        <v/>
      </c>
      <c r="M2984" s="22">
        <f>IFERROR(INDEX(Pedidos!$G$2:$G$1801,MATCH(B2984,Pedidos!$A$2:$A$1801,0)),0)</f>
        <v/>
      </c>
      <c r="N2984" s="21">
        <f>IFERROR(INDEX(Produtos!$B$2:$B$71,MATCH(C2984,Produtos!$A$2:$A$71,0)),"")</f>
        <v/>
      </c>
      <c r="O2984" s="21">
        <f>IFERROR(INDEX(Produtos!$C$2:$C$71,MATCH(C2984,Produtos!$A$2:$A$71,0)),"")</f>
        <v/>
      </c>
      <c r="P2984" s="21">
        <f>IFERROR(INDEX(Produtos!$D$2:$D$71,MATCH(C2984,Produtos!$A$2:$A$71,0)),0)</f>
        <v/>
      </c>
      <c r="Q2984" s="21">
        <f>IFERROR(INDEX(Produtos!$E$2:$E$71,MATCH(C2984,Produtos!$A$2:$A$71,0)),0)</f>
        <v/>
      </c>
      <c r="R2984" s="23">
        <f>D2984*Q2984</f>
        <v/>
      </c>
      <c r="S2984" s="23">
        <f>R2984*E2984</f>
        <v/>
      </c>
      <c r="T2984" s="23">
        <f>(R2984-S2984)*M2984</f>
        <v/>
      </c>
      <c r="U2984" s="23">
        <f>R2984-S2984-T2984</f>
        <v/>
      </c>
      <c r="V2984" s="23">
        <f>D2984*P2984</f>
        <v/>
      </c>
      <c r="W2984" s="23">
        <f>U2984-V2984</f>
        <v/>
      </c>
      <c r="X2984" s="24">
        <f>IFERROR(W2984/U2984,0)</f>
        <v/>
      </c>
    </row>
    <row r="2985">
      <c r="A2985" s="25">
        <f>ItensPedido!A2985</f>
        <v/>
      </c>
      <c r="B2985" s="25">
        <f>ItensPedido!B2985</f>
        <v/>
      </c>
      <c r="C2985" s="25">
        <f>ItensPedido!C2985</f>
        <v/>
      </c>
      <c r="D2985" s="25">
        <f>ItensPedido!D2985</f>
        <v/>
      </c>
      <c r="E2985" s="26">
        <f>ItensPedido!E2985</f>
        <v/>
      </c>
      <c r="F2985" s="25">
        <f>IFERROR(INDEX(Pedidos!$B$2:$B$1801,MATCH(B2985,Pedidos!$A$2:$A$1801,0)),0)</f>
        <v/>
      </c>
      <c r="G2985" s="25">
        <f>IF(F2985=0,"",YEAR(F2985))</f>
        <v/>
      </c>
      <c r="H2985" s="25">
        <f>IF(F2985=0,"",MONTH(F2985))</f>
        <v/>
      </c>
      <c r="I2985" s="25">
        <f>IFERROR(INDEX(Pedidos!$E$2:$E$1801,MATCH(B2985,Pedidos!$A$2:$A$1801,0)),"")</f>
        <v/>
      </c>
      <c r="J2985" s="25">
        <f>IFERROR(INDEX(Pedidos!$C$2:$C$1801,MATCH(B2985,Pedidos!$A$2:$A$1801,0)),"")</f>
        <v/>
      </c>
      <c r="K2985" s="25">
        <f>IFERROR(INDEX(Pedidos!$D$2:$D$1801,MATCH(B2985,Pedidos!$A$2:$A$1801,0)),"")</f>
        <v/>
      </c>
      <c r="L2985" s="25">
        <f>IFERROR(INDEX(Pedidos!$F$2:$F$1801,MATCH(B2985,Pedidos!$A$2:$A$1801,0)),"")</f>
        <v/>
      </c>
      <c r="M2985" s="26">
        <f>IFERROR(INDEX(Pedidos!$G$2:$G$1801,MATCH(B2985,Pedidos!$A$2:$A$1801,0)),0)</f>
        <v/>
      </c>
      <c r="N2985" s="25">
        <f>IFERROR(INDEX(Produtos!$B$2:$B$71,MATCH(C2985,Produtos!$A$2:$A$71,0)),"")</f>
        <v/>
      </c>
      <c r="O2985" s="25">
        <f>IFERROR(INDEX(Produtos!$C$2:$C$71,MATCH(C2985,Produtos!$A$2:$A$71,0)),"")</f>
        <v/>
      </c>
      <c r="P2985" s="25">
        <f>IFERROR(INDEX(Produtos!$D$2:$D$71,MATCH(C2985,Produtos!$A$2:$A$71,0)),0)</f>
        <v/>
      </c>
      <c r="Q2985" s="25">
        <f>IFERROR(INDEX(Produtos!$E$2:$E$71,MATCH(C2985,Produtos!$A$2:$A$71,0)),0)</f>
        <v/>
      </c>
      <c r="R2985" s="27">
        <f>D2985*Q2985</f>
        <v/>
      </c>
      <c r="S2985" s="27">
        <f>R2985*E2985</f>
        <v/>
      </c>
      <c r="T2985" s="27">
        <f>(R2985-S2985)*M2985</f>
        <v/>
      </c>
      <c r="U2985" s="27">
        <f>R2985-S2985-T2985</f>
        <v/>
      </c>
      <c r="V2985" s="27">
        <f>D2985*P2985</f>
        <v/>
      </c>
      <c r="W2985" s="27">
        <f>U2985-V2985</f>
        <v/>
      </c>
      <c r="X2985" s="28">
        <f>IFERROR(W2985/U2985,0)</f>
        <v/>
      </c>
    </row>
    <row r="2986">
      <c r="A2986" s="21">
        <f>ItensPedido!A2986</f>
        <v/>
      </c>
      <c r="B2986" s="21">
        <f>ItensPedido!B2986</f>
        <v/>
      </c>
      <c r="C2986" s="21">
        <f>ItensPedido!C2986</f>
        <v/>
      </c>
      <c r="D2986" s="21">
        <f>ItensPedido!D2986</f>
        <v/>
      </c>
      <c r="E2986" s="22">
        <f>ItensPedido!E2986</f>
        <v/>
      </c>
      <c r="F2986" s="21">
        <f>IFERROR(INDEX(Pedidos!$B$2:$B$1801,MATCH(B2986,Pedidos!$A$2:$A$1801,0)),0)</f>
        <v/>
      </c>
      <c r="G2986" s="21">
        <f>IF(F2986=0,"",YEAR(F2986))</f>
        <v/>
      </c>
      <c r="H2986" s="21">
        <f>IF(F2986=0,"",MONTH(F2986))</f>
        <v/>
      </c>
      <c r="I2986" s="21">
        <f>IFERROR(INDEX(Pedidos!$E$2:$E$1801,MATCH(B2986,Pedidos!$A$2:$A$1801,0)),"")</f>
        <v/>
      </c>
      <c r="J2986" s="21">
        <f>IFERROR(INDEX(Pedidos!$C$2:$C$1801,MATCH(B2986,Pedidos!$A$2:$A$1801,0)),"")</f>
        <v/>
      </c>
      <c r="K2986" s="21">
        <f>IFERROR(INDEX(Pedidos!$D$2:$D$1801,MATCH(B2986,Pedidos!$A$2:$A$1801,0)),"")</f>
        <v/>
      </c>
      <c r="L2986" s="21">
        <f>IFERROR(INDEX(Pedidos!$F$2:$F$1801,MATCH(B2986,Pedidos!$A$2:$A$1801,0)),"")</f>
        <v/>
      </c>
      <c r="M2986" s="22">
        <f>IFERROR(INDEX(Pedidos!$G$2:$G$1801,MATCH(B2986,Pedidos!$A$2:$A$1801,0)),0)</f>
        <v/>
      </c>
      <c r="N2986" s="21">
        <f>IFERROR(INDEX(Produtos!$B$2:$B$71,MATCH(C2986,Produtos!$A$2:$A$71,0)),"")</f>
        <v/>
      </c>
      <c r="O2986" s="21">
        <f>IFERROR(INDEX(Produtos!$C$2:$C$71,MATCH(C2986,Produtos!$A$2:$A$71,0)),"")</f>
        <v/>
      </c>
      <c r="P2986" s="21">
        <f>IFERROR(INDEX(Produtos!$D$2:$D$71,MATCH(C2986,Produtos!$A$2:$A$71,0)),0)</f>
        <v/>
      </c>
      <c r="Q2986" s="21">
        <f>IFERROR(INDEX(Produtos!$E$2:$E$71,MATCH(C2986,Produtos!$A$2:$A$71,0)),0)</f>
        <v/>
      </c>
      <c r="R2986" s="23">
        <f>D2986*Q2986</f>
        <v/>
      </c>
      <c r="S2986" s="23">
        <f>R2986*E2986</f>
        <v/>
      </c>
      <c r="T2986" s="23">
        <f>(R2986-S2986)*M2986</f>
        <v/>
      </c>
      <c r="U2986" s="23">
        <f>R2986-S2986-T2986</f>
        <v/>
      </c>
      <c r="V2986" s="23">
        <f>D2986*P2986</f>
        <v/>
      </c>
      <c r="W2986" s="23">
        <f>U2986-V2986</f>
        <v/>
      </c>
      <c r="X2986" s="24">
        <f>IFERROR(W2986/U2986,0)</f>
        <v/>
      </c>
    </row>
    <row r="2987">
      <c r="A2987" s="25">
        <f>ItensPedido!A2987</f>
        <v/>
      </c>
      <c r="B2987" s="25">
        <f>ItensPedido!B2987</f>
        <v/>
      </c>
      <c r="C2987" s="25">
        <f>ItensPedido!C2987</f>
        <v/>
      </c>
      <c r="D2987" s="25">
        <f>ItensPedido!D2987</f>
        <v/>
      </c>
      <c r="E2987" s="26">
        <f>ItensPedido!E2987</f>
        <v/>
      </c>
      <c r="F2987" s="25">
        <f>IFERROR(INDEX(Pedidos!$B$2:$B$1801,MATCH(B2987,Pedidos!$A$2:$A$1801,0)),0)</f>
        <v/>
      </c>
      <c r="G2987" s="25">
        <f>IF(F2987=0,"",YEAR(F2987))</f>
        <v/>
      </c>
      <c r="H2987" s="25">
        <f>IF(F2987=0,"",MONTH(F2987))</f>
        <v/>
      </c>
      <c r="I2987" s="25">
        <f>IFERROR(INDEX(Pedidos!$E$2:$E$1801,MATCH(B2987,Pedidos!$A$2:$A$1801,0)),"")</f>
        <v/>
      </c>
      <c r="J2987" s="25">
        <f>IFERROR(INDEX(Pedidos!$C$2:$C$1801,MATCH(B2987,Pedidos!$A$2:$A$1801,0)),"")</f>
        <v/>
      </c>
      <c r="K2987" s="25">
        <f>IFERROR(INDEX(Pedidos!$D$2:$D$1801,MATCH(B2987,Pedidos!$A$2:$A$1801,0)),"")</f>
        <v/>
      </c>
      <c r="L2987" s="25">
        <f>IFERROR(INDEX(Pedidos!$F$2:$F$1801,MATCH(B2987,Pedidos!$A$2:$A$1801,0)),"")</f>
        <v/>
      </c>
      <c r="M2987" s="26">
        <f>IFERROR(INDEX(Pedidos!$G$2:$G$1801,MATCH(B2987,Pedidos!$A$2:$A$1801,0)),0)</f>
        <v/>
      </c>
      <c r="N2987" s="25">
        <f>IFERROR(INDEX(Produtos!$B$2:$B$71,MATCH(C2987,Produtos!$A$2:$A$71,0)),"")</f>
        <v/>
      </c>
      <c r="O2987" s="25">
        <f>IFERROR(INDEX(Produtos!$C$2:$C$71,MATCH(C2987,Produtos!$A$2:$A$71,0)),"")</f>
        <v/>
      </c>
      <c r="P2987" s="25">
        <f>IFERROR(INDEX(Produtos!$D$2:$D$71,MATCH(C2987,Produtos!$A$2:$A$71,0)),0)</f>
        <v/>
      </c>
      <c r="Q2987" s="25">
        <f>IFERROR(INDEX(Produtos!$E$2:$E$71,MATCH(C2987,Produtos!$A$2:$A$71,0)),0)</f>
        <v/>
      </c>
      <c r="R2987" s="27">
        <f>D2987*Q2987</f>
        <v/>
      </c>
      <c r="S2987" s="27">
        <f>R2987*E2987</f>
        <v/>
      </c>
      <c r="T2987" s="27">
        <f>(R2987-S2987)*M2987</f>
        <v/>
      </c>
      <c r="U2987" s="27">
        <f>R2987-S2987-T2987</f>
        <v/>
      </c>
      <c r="V2987" s="27">
        <f>D2987*P2987</f>
        <v/>
      </c>
      <c r="W2987" s="27">
        <f>U2987-V2987</f>
        <v/>
      </c>
      <c r="X2987" s="28">
        <f>IFERROR(W2987/U2987,0)</f>
        <v/>
      </c>
    </row>
    <row r="2988">
      <c r="A2988" s="21">
        <f>ItensPedido!A2988</f>
        <v/>
      </c>
      <c r="B2988" s="21">
        <f>ItensPedido!B2988</f>
        <v/>
      </c>
      <c r="C2988" s="21">
        <f>ItensPedido!C2988</f>
        <v/>
      </c>
      <c r="D2988" s="21">
        <f>ItensPedido!D2988</f>
        <v/>
      </c>
      <c r="E2988" s="22">
        <f>ItensPedido!E2988</f>
        <v/>
      </c>
      <c r="F2988" s="21">
        <f>IFERROR(INDEX(Pedidos!$B$2:$B$1801,MATCH(B2988,Pedidos!$A$2:$A$1801,0)),0)</f>
        <v/>
      </c>
      <c r="G2988" s="21">
        <f>IF(F2988=0,"",YEAR(F2988))</f>
        <v/>
      </c>
      <c r="H2988" s="21">
        <f>IF(F2988=0,"",MONTH(F2988))</f>
        <v/>
      </c>
      <c r="I2988" s="21">
        <f>IFERROR(INDEX(Pedidos!$E$2:$E$1801,MATCH(B2988,Pedidos!$A$2:$A$1801,0)),"")</f>
        <v/>
      </c>
      <c r="J2988" s="21">
        <f>IFERROR(INDEX(Pedidos!$C$2:$C$1801,MATCH(B2988,Pedidos!$A$2:$A$1801,0)),"")</f>
        <v/>
      </c>
      <c r="K2988" s="21">
        <f>IFERROR(INDEX(Pedidos!$D$2:$D$1801,MATCH(B2988,Pedidos!$A$2:$A$1801,0)),"")</f>
        <v/>
      </c>
      <c r="L2988" s="21">
        <f>IFERROR(INDEX(Pedidos!$F$2:$F$1801,MATCH(B2988,Pedidos!$A$2:$A$1801,0)),"")</f>
        <v/>
      </c>
      <c r="M2988" s="22">
        <f>IFERROR(INDEX(Pedidos!$G$2:$G$1801,MATCH(B2988,Pedidos!$A$2:$A$1801,0)),0)</f>
        <v/>
      </c>
      <c r="N2988" s="21">
        <f>IFERROR(INDEX(Produtos!$B$2:$B$71,MATCH(C2988,Produtos!$A$2:$A$71,0)),"")</f>
        <v/>
      </c>
      <c r="O2988" s="21">
        <f>IFERROR(INDEX(Produtos!$C$2:$C$71,MATCH(C2988,Produtos!$A$2:$A$71,0)),"")</f>
        <v/>
      </c>
      <c r="P2988" s="21">
        <f>IFERROR(INDEX(Produtos!$D$2:$D$71,MATCH(C2988,Produtos!$A$2:$A$71,0)),0)</f>
        <v/>
      </c>
      <c r="Q2988" s="21">
        <f>IFERROR(INDEX(Produtos!$E$2:$E$71,MATCH(C2988,Produtos!$A$2:$A$71,0)),0)</f>
        <v/>
      </c>
      <c r="R2988" s="23">
        <f>D2988*Q2988</f>
        <v/>
      </c>
      <c r="S2988" s="23">
        <f>R2988*E2988</f>
        <v/>
      </c>
      <c r="T2988" s="23">
        <f>(R2988-S2988)*M2988</f>
        <v/>
      </c>
      <c r="U2988" s="23">
        <f>R2988-S2988-T2988</f>
        <v/>
      </c>
      <c r="V2988" s="23">
        <f>D2988*P2988</f>
        <v/>
      </c>
      <c r="W2988" s="23">
        <f>U2988-V2988</f>
        <v/>
      </c>
      <c r="X2988" s="24">
        <f>IFERROR(W2988/U2988,0)</f>
        <v/>
      </c>
    </row>
    <row r="2989">
      <c r="A2989" s="25">
        <f>ItensPedido!A2989</f>
        <v/>
      </c>
      <c r="B2989" s="25">
        <f>ItensPedido!B2989</f>
        <v/>
      </c>
      <c r="C2989" s="25">
        <f>ItensPedido!C2989</f>
        <v/>
      </c>
      <c r="D2989" s="25">
        <f>ItensPedido!D2989</f>
        <v/>
      </c>
      <c r="E2989" s="26">
        <f>ItensPedido!E2989</f>
        <v/>
      </c>
      <c r="F2989" s="25">
        <f>IFERROR(INDEX(Pedidos!$B$2:$B$1801,MATCH(B2989,Pedidos!$A$2:$A$1801,0)),0)</f>
        <v/>
      </c>
      <c r="G2989" s="25">
        <f>IF(F2989=0,"",YEAR(F2989))</f>
        <v/>
      </c>
      <c r="H2989" s="25">
        <f>IF(F2989=0,"",MONTH(F2989))</f>
        <v/>
      </c>
      <c r="I2989" s="25">
        <f>IFERROR(INDEX(Pedidos!$E$2:$E$1801,MATCH(B2989,Pedidos!$A$2:$A$1801,0)),"")</f>
        <v/>
      </c>
      <c r="J2989" s="25">
        <f>IFERROR(INDEX(Pedidos!$C$2:$C$1801,MATCH(B2989,Pedidos!$A$2:$A$1801,0)),"")</f>
        <v/>
      </c>
      <c r="K2989" s="25">
        <f>IFERROR(INDEX(Pedidos!$D$2:$D$1801,MATCH(B2989,Pedidos!$A$2:$A$1801,0)),"")</f>
        <v/>
      </c>
      <c r="L2989" s="25">
        <f>IFERROR(INDEX(Pedidos!$F$2:$F$1801,MATCH(B2989,Pedidos!$A$2:$A$1801,0)),"")</f>
        <v/>
      </c>
      <c r="M2989" s="26">
        <f>IFERROR(INDEX(Pedidos!$G$2:$G$1801,MATCH(B2989,Pedidos!$A$2:$A$1801,0)),0)</f>
        <v/>
      </c>
      <c r="N2989" s="25">
        <f>IFERROR(INDEX(Produtos!$B$2:$B$71,MATCH(C2989,Produtos!$A$2:$A$71,0)),"")</f>
        <v/>
      </c>
      <c r="O2989" s="25">
        <f>IFERROR(INDEX(Produtos!$C$2:$C$71,MATCH(C2989,Produtos!$A$2:$A$71,0)),"")</f>
        <v/>
      </c>
      <c r="P2989" s="25">
        <f>IFERROR(INDEX(Produtos!$D$2:$D$71,MATCH(C2989,Produtos!$A$2:$A$71,0)),0)</f>
        <v/>
      </c>
      <c r="Q2989" s="25">
        <f>IFERROR(INDEX(Produtos!$E$2:$E$71,MATCH(C2989,Produtos!$A$2:$A$71,0)),0)</f>
        <v/>
      </c>
      <c r="R2989" s="27">
        <f>D2989*Q2989</f>
        <v/>
      </c>
      <c r="S2989" s="27">
        <f>R2989*E2989</f>
        <v/>
      </c>
      <c r="T2989" s="27">
        <f>(R2989-S2989)*M2989</f>
        <v/>
      </c>
      <c r="U2989" s="27">
        <f>R2989-S2989-T2989</f>
        <v/>
      </c>
      <c r="V2989" s="27">
        <f>D2989*P2989</f>
        <v/>
      </c>
      <c r="W2989" s="27">
        <f>U2989-V2989</f>
        <v/>
      </c>
      <c r="X2989" s="28">
        <f>IFERROR(W2989/U2989,0)</f>
        <v/>
      </c>
    </row>
    <row r="2990">
      <c r="A2990" s="21">
        <f>ItensPedido!A2990</f>
        <v/>
      </c>
      <c r="B2990" s="21">
        <f>ItensPedido!B2990</f>
        <v/>
      </c>
      <c r="C2990" s="21">
        <f>ItensPedido!C2990</f>
        <v/>
      </c>
      <c r="D2990" s="21">
        <f>ItensPedido!D2990</f>
        <v/>
      </c>
      <c r="E2990" s="22">
        <f>ItensPedido!E2990</f>
        <v/>
      </c>
      <c r="F2990" s="21">
        <f>IFERROR(INDEX(Pedidos!$B$2:$B$1801,MATCH(B2990,Pedidos!$A$2:$A$1801,0)),0)</f>
        <v/>
      </c>
      <c r="G2990" s="21">
        <f>IF(F2990=0,"",YEAR(F2990))</f>
        <v/>
      </c>
      <c r="H2990" s="21">
        <f>IF(F2990=0,"",MONTH(F2990))</f>
        <v/>
      </c>
      <c r="I2990" s="21">
        <f>IFERROR(INDEX(Pedidos!$E$2:$E$1801,MATCH(B2990,Pedidos!$A$2:$A$1801,0)),"")</f>
        <v/>
      </c>
      <c r="J2990" s="21">
        <f>IFERROR(INDEX(Pedidos!$C$2:$C$1801,MATCH(B2990,Pedidos!$A$2:$A$1801,0)),"")</f>
        <v/>
      </c>
      <c r="K2990" s="21">
        <f>IFERROR(INDEX(Pedidos!$D$2:$D$1801,MATCH(B2990,Pedidos!$A$2:$A$1801,0)),"")</f>
        <v/>
      </c>
      <c r="L2990" s="21">
        <f>IFERROR(INDEX(Pedidos!$F$2:$F$1801,MATCH(B2990,Pedidos!$A$2:$A$1801,0)),"")</f>
        <v/>
      </c>
      <c r="M2990" s="22">
        <f>IFERROR(INDEX(Pedidos!$G$2:$G$1801,MATCH(B2990,Pedidos!$A$2:$A$1801,0)),0)</f>
        <v/>
      </c>
      <c r="N2990" s="21">
        <f>IFERROR(INDEX(Produtos!$B$2:$B$71,MATCH(C2990,Produtos!$A$2:$A$71,0)),"")</f>
        <v/>
      </c>
      <c r="O2990" s="21">
        <f>IFERROR(INDEX(Produtos!$C$2:$C$71,MATCH(C2990,Produtos!$A$2:$A$71,0)),"")</f>
        <v/>
      </c>
      <c r="P2990" s="21">
        <f>IFERROR(INDEX(Produtos!$D$2:$D$71,MATCH(C2990,Produtos!$A$2:$A$71,0)),0)</f>
        <v/>
      </c>
      <c r="Q2990" s="21">
        <f>IFERROR(INDEX(Produtos!$E$2:$E$71,MATCH(C2990,Produtos!$A$2:$A$71,0)),0)</f>
        <v/>
      </c>
      <c r="R2990" s="23">
        <f>D2990*Q2990</f>
        <v/>
      </c>
      <c r="S2990" s="23">
        <f>R2990*E2990</f>
        <v/>
      </c>
      <c r="T2990" s="23">
        <f>(R2990-S2990)*M2990</f>
        <v/>
      </c>
      <c r="U2990" s="23">
        <f>R2990-S2990-T2990</f>
        <v/>
      </c>
      <c r="V2990" s="23">
        <f>D2990*P2990</f>
        <v/>
      </c>
      <c r="W2990" s="23">
        <f>U2990-V2990</f>
        <v/>
      </c>
      <c r="X2990" s="24">
        <f>IFERROR(W2990/U2990,0)</f>
        <v/>
      </c>
    </row>
    <row r="2991">
      <c r="A2991" s="25">
        <f>ItensPedido!A2991</f>
        <v/>
      </c>
      <c r="B2991" s="25">
        <f>ItensPedido!B2991</f>
        <v/>
      </c>
      <c r="C2991" s="25">
        <f>ItensPedido!C2991</f>
        <v/>
      </c>
      <c r="D2991" s="25">
        <f>ItensPedido!D2991</f>
        <v/>
      </c>
      <c r="E2991" s="26">
        <f>ItensPedido!E2991</f>
        <v/>
      </c>
      <c r="F2991" s="25">
        <f>IFERROR(INDEX(Pedidos!$B$2:$B$1801,MATCH(B2991,Pedidos!$A$2:$A$1801,0)),0)</f>
        <v/>
      </c>
      <c r="G2991" s="25">
        <f>IF(F2991=0,"",YEAR(F2991))</f>
        <v/>
      </c>
      <c r="H2991" s="25">
        <f>IF(F2991=0,"",MONTH(F2991))</f>
        <v/>
      </c>
      <c r="I2991" s="25">
        <f>IFERROR(INDEX(Pedidos!$E$2:$E$1801,MATCH(B2991,Pedidos!$A$2:$A$1801,0)),"")</f>
        <v/>
      </c>
      <c r="J2991" s="25">
        <f>IFERROR(INDEX(Pedidos!$C$2:$C$1801,MATCH(B2991,Pedidos!$A$2:$A$1801,0)),"")</f>
        <v/>
      </c>
      <c r="K2991" s="25">
        <f>IFERROR(INDEX(Pedidos!$D$2:$D$1801,MATCH(B2991,Pedidos!$A$2:$A$1801,0)),"")</f>
        <v/>
      </c>
      <c r="L2991" s="25">
        <f>IFERROR(INDEX(Pedidos!$F$2:$F$1801,MATCH(B2991,Pedidos!$A$2:$A$1801,0)),"")</f>
        <v/>
      </c>
      <c r="M2991" s="26">
        <f>IFERROR(INDEX(Pedidos!$G$2:$G$1801,MATCH(B2991,Pedidos!$A$2:$A$1801,0)),0)</f>
        <v/>
      </c>
      <c r="N2991" s="25">
        <f>IFERROR(INDEX(Produtos!$B$2:$B$71,MATCH(C2991,Produtos!$A$2:$A$71,0)),"")</f>
        <v/>
      </c>
      <c r="O2991" s="25">
        <f>IFERROR(INDEX(Produtos!$C$2:$C$71,MATCH(C2991,Produtos!$A$2:$A$71,0)),"")</f>
        <v/>
      </c>
      <c r="P2991" s="25">
        <f>IFERROR(INDEX(Produtos!$D$2:$D$71,MATCH(C2991,Produtos!$A$2:$A$71,0)),0)</f>
        <v/>
      </c>
      <c r="Q2991" s="25">
        <f>IFERROR(INDEX(Produtos!$E$2:$E$71,MATCH(C2991,Produtos!$A$2:$A$71,0)),0)</f>
        <v/>
      </c>
      <c r="R2991" s="27">
        <f>D2991*Q2991</f>
        <v/>
      </c>
      <c r="S2991" s="27">
        <f>R2991*E2991</f>
        <v/>
      </c>
      <c r="T2991" s="27">
        <f>(R2991-S2991)*M2991</f>
        <v/>
      </c>
      <c r="U2991" s="27">
        <f>R2991-S2991-T2991</f>
        <v/>
      </c>
      <c r="V2991" s="27">
        <f>D2991*P2991</f>
        <v/>
      </c>
      <c r="W2991" s="27">
        <f>U2991-V2991</f>
        <v/>
      </c>
      <c r="X2991" s="28">
        <f>IFERROR(W2991/U2991,0)</f>
        <v/>
      </c>
    </row>
    <row r="2992">
      <c r="A2992" s="21">
        <f>ItensPedido!A2992</f>
        <v/>
      </c>
      <c r="B2992" s="21">
        <f>ItensPedido!B2992</f>
        <v/>
      </c>
      <c r="C2992" s="21">
        <f>ItensPedido!C2992</f>
        <v/>
      </c>
      <c r="D2992" s="21">
        <f>ItensPedido!D2992</f>
        <v/>
      </c>
      <c r="E2992" s="22">
        <f>ItensPedido!E2992</f>
        <v/>
      </c>
      <c r="F2992" s="21">
        <f>IFERROR(INDEX(Pedidos!$B$2:$B$1801,MATCH(B2992,Pedidos!$A$2:$A$1801,0)),0)</f>
        <v/>
      </c>
      <c r="G2992" s="21">
        <f>IF(F2992=0,"",YEAR(F2992))</f>
        <v/>
      </c>
      <c r="H2992" s="21">
        <f>IF(F2992=0,"",MONTH(F2992))</f>
        <v/>
      </c>
      <c r="I2992" s="21">
        <f>IFERROR(INDEX(Pedidos!$E$2:$E$1801,MATCH(B2992,Pedidos!$A$2:$A$1801,0)),"")</f>
        <v/>
      </c>
      <c r="J2992" s="21">
        <f>IFERROR(INDEX(Pedidos!$C$2:$C$1801,MATCH(B2992,Pedidos!$A$2:$A$1801,0)),"")</f>
        <v/>
      </c>
      <c r="K2992" s="21">
        <f>IFERROR(INDEX(Pedidos!$D$2:$D$1801,MATCH(B2992,Pedidos!$A$2:$A$1801,0)),"")</f>
        <v/>
      </c>
      <c r="L2992" s="21">
        <f>IFERROR(INDEX(Pedidos!$F$2:$F$1801,MATCH(B2992,Pedidos!$A$2:$A$1801,0)),"")</f>
        <v/>
      </c>
      <c r="M2992" s="22">
        <f>IFERROR(INDEX(Pedidos!$G$2:$G$1801,MATCH(B2992,Pedidos!$A$2:$A$1801,0)),0)</f>
        <v/>
      </c>
      <c r="N2992" s="21">
        <f>IFERROR(INDEX(Produtos!$B$2:$B$71,MATCH(C2992,Produtos!$A$2:$A$71,0)),"")</f>
        <v/>
      </c>
      <c r="O2992" s="21">
        <f>IFERROR(INDEX(Produtos!$C$2:$C$71,MATCH(C2992,Produtos!$A$2:$A$71,0)),"")</f>
        <v/>
      </c>
      <c r="P2992" s="21">
        <f>IFERROR(INDEX(Produtos!$D$2:$D$71,MATCH(C2992,Produtos!$A$2:$A$71,0)),0)</f>
        <v/>
      </c>
      <c r="Q2992" s="21">
        <f>IFERROR(INDEX(Produtos!$E$2:$E$71,MATCH(C2992,Produtos!$A$2:$A$71,0)),0)</f>
        <v/>
      </c>
      <c r="R2992" s="23">
        <f>D2992*Q2992</f>
        <v/>
      </c>
      <c r="S2992" s="23">
        <f>R2992*E2992</f>
        <v/>
      </c>
      <c r="T2992" s="23">
        <f>(R2992-S2992)*M2992</f>
        <v/>
      </c>
      <c r="U2992" s="23">
        <f>R2992-S2992-T2992</f>
        <v/>
      </c>
      <c r="V2992" s="23">
        <f>D2992*P2992</f>
        <v/>
      </c>
      <c r="W2992" s="23">
        <f>U2992-V2992</f>
        <v/>
      </c>
      <c r="X2992" s="24">
        <f>IFERROR(W2992/U2992,0)</f>
        <v/>
      </c>
    </row>
    <row r="2993">
      <c r="A2993" s="25">
        <f>ItensPedido!A2993</f>
        <v/>
      </c>
      <c r="B2993" s="25">
        <f>ItensPedido!B2993</f>
        <v/>
      </c>
      <c r="C2993" s="25">
        <f>ItensPedido!C2993</f>
        <v/>
      </c>
      <c r="D2993" s="25">
        <f>ItensPedido!D2993</f>
        <v/>
      </c>
      <c r="E2993" s="26">
        <f>ItensPedido!E2993</f>
        <v/>
      </c>
      <c r="F2993" s="25">
        <f>IFERROR(INDEX(Pedidos!$B$2:$B$1801,MATCH(B2993,Pedidos!$A$2:$A$1801,0)),0)</f>
        <v/>
      </c>
      <c r="G2993" s="25">
        <f>IF(F2993=0,"",YEAR(F2993))</f>
        <v/>
      </c>
      <c r="H2993" s="25">
        <f>IF(F2993=0,"",MONTH(F2993))</f>
        <v/>
      </c>
      <c r="I2993" s="25">
        <f>IFERROR(INDEX(Pedidos!$E$2:$E$1801,MATCH(B2993,Pedidos!$A$2:$A$1801,0)),"")</f>
        <v/>
      </c>
      <c r="J2993" s="25">
        <f>IFERROR(INDEX(Pedidos!$C$2:$C$1801,MATCH(B2993,Pedidos!$A$2:$A$1801,0)),"")</f>
        <v/>
      </c>
      <c r="K2993" s="25">
        <f>IFERROR(INDEX(Pedidos!$D$2:$D$1801,MATCH(B2993,Pedidos!$A$2:$A$1801,0)),"")</f>
        <v/>
      </c>
      <c r="L2993" s="25">
        <f>IFERROR(INDEX(Pedidos!$F$2:$F$1801,MATCH(B2993,Pedidos!$A$2:$A$1801,0)),"")</f>
        <v/>
      </c>
      <c r="M2993" s="26">
        <f>IFERROR(INDEX(Pedidos!$G$2:$G$1801,MATCH(B2993,Pedidos!$A$2:$A$1801,0)),0)</f>
        <v/>
      </c>
      <c r="N2993" s="25">
        <f>IFERROR(INDEX(Produtos!$B$2:$B$71,MATCH(C2993,Produtos!$A$2:$A$71,0)),"")</f>
        <v/>
      </c>
      <c r="O2993" s="25">
        <f>IFERROR(INDEX(Produtos!$C$2:$C$71,MATCH(C2993,Produtos!$A$2:$A$71,0)),"")</f>
        <v/>
      </c>
      <c r="P2993" s="25">
        <f>IFERROR(INDEX(Produtos!$D$2:$D$71,MATCH(C2993,Produtos!$A$2:$A$71,0)),0)</f>
        <v/>
      </c>
      <c r="Q2993" s="25">
        <f>IFERROR(INDEX(Produtos!$E$2:$E$71,MATCH(C2993,Produtos!$A$2:$A$71,0)),0)</f>
        <v/>
      </c>
      <c r="R2993" s="27">
        <f>D2993*Q2993</f>
        <v/>
      </c>
      <c r="S2993" s="27">
        <f>R2993*E2993</f>
        <v/>
      </c>
      <c r="T2993" s="27">
        <f>(R2993-S2993)*M2993</f>
        <v/>
      </c>
      <c r="U2993" s="27">
        <f>R2993-S2993-T2993</f>
        <v/>
      </c>
      <c r="V2993" s="27">
        <f>D2993*P2993</f>
        <v/>
      </c>
      <c r="W2993" s="27">
        <f>U2993-V2993</f>
        <v/>
      </c>
      <c r="X2993" s="28">
        <f>IFERROR(W2993/U2993,0)</f>
        <v/>
      </c>
    </row>
    <row r="2994">
      <c r="A2994" s="21">
        <f>ItensPedido!A2994</f>
        <v/>
      </c>
      <c r="B2994" s="21">
        <f>ItensPedido!B2994</f>
        <v/>
      </c>
      <c r="C2994" s="21">
        <f>ItensPedido!C2994</f>
        <v/>
      </c>
      <c r="D2994" s="21">
        <f>ItensPedido!D2994</f>
        <v/>
      </c>
      <c r="E2994" s="22">
        <f>ItensPedido!E2994</f>
        <v/>
      </c>
      <c r="F2994" s="21">
        <f>IFERROR(INDEX(Pedidos!$B$2:$B$1801,MATCH(B2994,Pedidos!$A$2:$A$1801,0)),0)</f>
        <v/>
      </c>
      <c r="G2994" s="21">
        <f>IF(F2994=0,"",YEAR(F2994))</f>
        <v/>
      </c>
      <c r="H2994" s="21">
        <f>IF(F2994=0,"",MONTH(F2994))</f>
        <v/>
      </c>
      <c r="I2994" s="21">
        <f>IFERROR(INDEX(Pedidos!$E$2:$E$1801,MATCH(B2994,Pedidos!$A$2:$A$1801,0)),"")</f>
        <v/>
      </c>
      <c r="J2994" s="21">
        <f>IFERROR(INDEX(Pedidos!$C$2:$C$1801,MATCH(B2994,Pedidos!$A$2:$A$1801,0)),"")</f>
        <v/>
      </c>
      <c r="K2994" s="21">
        <f>IFERROR(INDEX(Pedidos!$D$2:$D$1801,MATCH(B2994,Pedidos!$A$2:$A$1801,0)),"")</f>
        <v/>
      </c>
      <c r="L2994" s="21">
        <f>IFERROR(INDEX(Pedidos!$F$2:$F$1801,MATCH(B2994,Pedidos!$A$2:$A$1801,0)),"")</f>
        <v/>
      </c>
      <c r="M2994" s="22">
        <f>IFERROR(INDEX(Pedidos!$G$2:$G$1801,MATCH(B2994,Pedidos!$A$2:$A$1801,0)),0)</f>
        <v/>
      </c>
      <c r="N2994" s="21">
        <f>IFERROR(INDEX(Produtos!$B$2:$B$71,MATCH(C2994,Produtos!$A$2:$A$71,0)),"")</f>
        <v/>
      </c>
      <c r="O2994" s="21">
        <f>IFERROR(INDEX(Produtos!$C$2:$C$71,MATCH(C2994,Produtos!$A$2:$A$71,0)),"")</f>
        <v/>
      </c>
      <c r="P2994" s="21">
        <f>IFERROR(INDEX(Produtos!$D$2:$D$71,MATCH(C2994,Produtos!$A$2:$A$71,0)),0)</f>
        <v/>
      </c>
      <c r="Q2994" s="21">
        <f>IFERROR(INDEX(Produtos!$E$2:$E$71,MATCH(C2994,Produtos!$A$2:$A$71,0)),0)</f>
        <v/>
      </c>
      <c r="R2994" s="23">
        <f>D2994*Q2994</f>
        <v/>
      </c>
      <c r="S2994" s="23">
        <f>R2994*E2994</f>
        <v/>
      </c>
      <c r="T2994" s="23">
        <f>(R2994-S2994)*M2994</f>
        <v/>
      </c>
      <c r="U2994" s="23">
        <f>R2994-S2994-T2994</f>
        <v/>
      </c>
      <c r="V2994" s="23">
        <f>D2994*P2994</f>
        <v/>
      </c>
      <c r="W2994" s="23">
        <f>U2994-V2994</f>
        <v/>
      </c>
      <c r="X2994" s="24">
        <f>IFERROR(W2994/U2994,0)</f>
        <v/>
      </c>
    </row>
    <row r="2995">
      <c r="A2995" s="25">
        <f>ItensPedido!A2995</f>
        <v/>
      </c>
      <c r="B2995" s="25">
        <f>ItensPedido!B2995</f>
        <v/>
      </c>
      <c r="C2995" s="25">
        <f>ItensPedido!C2995</f>
        <v/>
      </c>
      <c r="D2995" s="25">
        <f>ItensPedido!D2995</f>
        <v/>
      </c>
      <c r="E2995" s="26">
        <f>ItensPedido!E2995</f>
        <v/>
      </c>
      <c r="F2995" s="25">
        <f>IFERROR(INDEX(Pedidos!$B$2:$B$1801,MATCH(B2995,Pedidos!$A$2:$A$1801,0)),0)</f>
        <v/>
      </c>
      <c r="G2995" s="25">
        <f>IF(F2995=0,"",YEAR(F2995))</f>
        <v/>
      </c>
      <c r="H2995" s="25">
        <f>IF(F2995=0,"",MONTH(F2995))</f>
        <v/>
      </c>
      <c r="I2995" s="25">
        <f>IFERROR(INDEX(Pedidos!$E$2:$E$1801,MATCH(B2995,Pedidos!$A$2:$A$1801,0)),"")</f>
        <v/>
      </c>
      <c r="J2995" s="25">
        <f>IFERROR(INDEX(Pedidos!$C$2:$C$1801,MATCH(B2995,Pedidos!$A$2:$A$1801,0)),"")</f>
        <v/>
      </c>
      <c r="K2995" s="25">
        <f>IFERROR(INDEX(Pedidos!$D$2:$D$1801,MATCH(B2995,Pedidos!$A$2:$A$1801,0)),"")</f>
        <v/>
      </c>
      <c r="L2995" s="25">
        <f>IFERROR(INDEX(Pedidos!$F$2:$F$1801,MATCH(B2995,Pedidos!$A$2:$A$1801,0)),"")</f>
        <v/>
      </c>
      <c r="M2995" s="26">
        <f>IFERROR(INDEX(Pedidos!$G$2:$G$1801,MATCH(B2995,Pedidos!$A$2:$A$1801,0)),0)</f>
        <v/>
      </c>
      <c r="N2995" s="25">
        <f>IFERROR(INDEX(Produtos!$B$2:$B$71,MATCH(C2995,Produtos!$A$2:$A$71,0)),"")</f>
        <v/>
      </c>
      <c r="O2995" s="25">
        <f>IFERROR(INDEX(Produtos!$C$2:$C$71,MATCH(C2995,Produtos!$A$2:$A$71,0)),"")</f>
        <v/>
      </c>
      <c r="P2995" s="25">
        <f>IFERROR(INDEX(Produtos!$D$2:$D$71,MATCH(C2995,Produtos!$A$2:$A$71,0)),0)</f>
        <v/>
      </c>
      <c r="Q2995" s="25">
        <f>IFERROR(INDEX(Produtos!$E$2:$E$71,MATCH(C2995,Produtos!$A$2:$A$71,0)),0)</f>
        <v/>
      </c>
      <c r="R2995" s="27">
        <f>D2995*Q2995</f>
        <v/>
      </c>
      <c r="S2995" s="27">
        <f>R2995*E2995</f>
        <v/>
      </c>
      <c r="T2995" s="27">
        <f>(R2995-S2995)*M2995</f>
        <v/>
      </c>
      <c r="U2995" s="27">
        <f>R2995-S2995-T2995</f>
        <v/>
      </c>
      <c r="V2995" s="27">
        <f>D2995*P2995</f>
        <v/>
      </c>
      <c r="W2995" s="27">
        <f>U2995-V2995</f>
        <v/>
      </c>
      <c r="X2995" s="28">
        <f>IFERROR(W2995/U2995,0)</f>
        <v/>
      </c>
    </row>
    <row r="2996">
      <c r="A2996" s="21">
        <f>ItensPedido!A2996</f>
        <v/>
      </c>
      <c r="B2996" s="21">
        <f>ItensPedido!B2996</f>
        <v/>
      </c>
      <c r="C2996" s="21">
        <f>ItensPedido!C2996</f>
        <v/>
      </c>
      <c r="D2996" s="21">
        <f>ItensPedido!D2996</f>
        <v/>
      </c>
      <c r="E2996" s="22">
        <f>ItensPedido!E2996</f>
        <v/>
      </c>
      <c r="F2996" s="21">
        <f>IFERROR(INDEX(Pedidos!$B$2:$B$1801,MATCH(B2996,Pedidos!$A$2:$A$1801,0)),0)</f>
        <v/>
      </c>
      <c r="G2996" s="21">
        <f>IF(F2996=0,"",YEAR(F2996))</f>
        <v/>
      </c>
      <c r="H2996" s="21">
        <f>IF(F2996=0,"",MONTH(F2996))</f>
        <v/>
      </c>
      <c r="I2996" s="21">
        <f>IFERROR(INDEX(Pedidos!$E$2:$E$1801,MATCH(B2996,Pedidos!$A$2:$A$1801,0)),"")</f>
        <v/>
      </c>
      <c r="J2996" s="21">
        <f>IFERROR(INDEX(Pedidos!$C$2:$C$1801,MATCH(B2996,Pedidos!$A$2:$A$1801,0)),"")</f>
        <v/>
      </c>
      <c r="K2996" s="21">
        <f>IFERROR(INDEX(Pedidos!$D$2:$D$1801,MATCH(B2996,Pedidos!$A$2:$A$1801,0)),"")</f>
        <v/>
      </c>
      <c r="L2996" s="21">
        <f>IFERROR(INDEX(Pedidos!$F$2:$F$1801,MATCH(B2996,Pedidos!$A$2:$A$1801,0)),"")</f>
        <v/>
      </c>
      <c r="M2996" s="22">
        <f>IFERROR(INDEX(Pedidos!$G$2:$G$1801,MATCH(B2996,Pedidos!$A$2:$A$1801,0)),0)</f>
        <v/>
      </c>
      <c r="N2996" s="21">
        <f>IFERROR(INDEX(Produtos!$B$2:$B$71,MATCH(C2996,Produtos!$A$2:$A$71,0)),"")</f>
        <v/>
      </c>
      <c r="O2996" s="21">
        <f>IFERROR(INDEX(Produtos!$C$2:$C$71,MATCH(C2996,Produtos!$A$2:$A$71,0)),"")</f>
        <v/>
      </c>
      <c r="P2996" s="21">
        <f>IFERROR(INDEX(Produtos!$D$2:$D$71,MATCH(C2996,Produtos!$A$2:$A$71,0)),0)</f>
        <v/>
      </c>
      <c r="Q2996" s="21">
        <f>IFERROR(INDEX(Produtos!$E$2:$E$71,MATCH(C2996,Produtos!$A$2:$A$71,0)),0)</f>
        <v/>
      </c>
      <c r="R2996" s="23">
        <f>D2996*Q2996</f>
        <v/>
      </c>
      <c r="S2996" s="23">
        <f>R2996*E2996</f>
        <v/>
      </c>
      <c r="T2996" s="23">
        <f>(R2996-S2996)*M2996</f>
        <v/>
      </c>
      <c r="U2996" s="23">
        <f>R2996-S2996-T2996</f>
        <v/>
      </c>
      <c r="V2996" s="23">
        <f>D2996*P2996</f>
        <v/>
      </c>
      <c r="W2996" s="23">
        <f>U2996-V2996</f>
        <v/>
      </c>
      <c r="X2996" s="24">
        <f>IFERROR(W2996/U2996,0)</f>
        <v/>
      </c>
    </row>
    <row r="2997">
      <c r="A2997" s="25">
        <f>ItensPedido!A2997</f>
        <v/>
      </c>
      <c r="B2997" s="25">
        <f>ItensPedido!B2997</f>
        <v/>
      </c>
      <c r="C2997" s="25">
        <f>ItensPedido!C2997</f>
        <v/>
      </c>
      <c r="D2997" s="25">
        <f>ItensPedido!D2997</f>
        <v/>
      </c>
      <c r="E2997" s="26">
        <f>ItensPedido!E2997</f>
        <v/>
      </c>
      <c r="F2997" s="25">
        <f>IFERROR(INDEX(Pedidos!$B$2:$B$1801,MATCH(B2997,Pedidos!$A$2:$A$1801,0)),0)</f>
        <v/>
      </c>
      <c r="G2997" s="25">
        <f>IF(F2997=0,"",YEAR(F2997))</f>
        <v/>
      </c>
      <c r="H2997" s="25">
        <f>IF(F2997=0,"",MONTH(F2997))</f>
        <v/>
      </c>
      <c r="I2997" s="25">
        <f>IFERROR(INDEX(Pedidos!$E$2:$E$1801,MATCH(B2997,Pedidos!$A$2:$A$1801,0)),"")</f>
        <v/>
      </c>
      <c r="J2997" s="25">
        <f>IFERROR(INDEX(Pedidos!$C$2:$C$1801,MATCH(B2997,Pedidos!$A$2:$A$1801,0)),"")</f>
        <v/>
      </c>
      <c r="K2997" s="25">
        <f>IFERROR(INDEX(Pedidos!$D$2:$D$1801,MATCH(B2997,Pedidos!$A$2:$A$1801,0)),"")</f>
        <v/>
      </c>
      <c r="L2997" s="25">
        <f>IFERROR(INDEX(Pedidos!$F$2:$F$1801,MATCH(B2997,Pedidos!$A$2:$A$1801,0)),"")</f>
        <v/>
      </c>
      <c r="M2997" s="26">
        <f>IFERROR(INDEX(Pedidos!$G$2:$G$1801,MATCH(B2997,Pedidos!$A$2:$A$1801,0)),0)</f>
        <v/>
      </c>
      <c r="N2997" s="25">
        <f>IFERROR(INDEX(Produtos!$B$2:$B$71,MATCH(C2997,Produtos!$A$2:$A$71,0)),"")</f>
        <v/>
      </c>
      <c r="O2997" s="25">
        <f>IFERROR(INDEX(Produtos!$C$2:$C$71,MATCH(C2997,Produtos!$A$2:$A$71,0)),"")</f>
        <v/>
      </c>
      <c r="P2997" s="25">
        <f>IFERROR(INDEX(Produtos!$D$2:$D$71,MATCH(C2997,Produtos!$A$2:$A$71,0)),0)</f>
        <v/>
      </c>
      <c r="Q2997" s="25">
        <f>IFERROR(INDEX(Produtos!$E$2:$E$71,MATCH(C2997,Produtos!$A$2:$A$71,0)),0)</f>
        <v/>
      </c>
      <c r="R2997" s="27">
        <f>D2997*Q2997</f>
        <v/>
      </c>
      <c r="S2997" s="27">
        <f>R2997*E2997</f>
        <v/>
      </c>
      <c r="T2997" s="27">
        <f>(R2997-S2997)*M2997</f>
        <v/>
      </c>
      <c r="U2997" s="27">
        <f>R2997-S2997-T2997</f>
        <v/>
      </c>
      <c r="V2997" s="27">
        <f>D2997*P2997</f>
        <v/>
      </c>
      <c r="W2997" s="27">
        <f>U2997-V2997</f>
        <v/>
      </c>
      <c r="X2997" s="28">
        <f>IFERROR(W2997/U2997,0)</f>
        <v/>
      </c>
    </row>
    <row r="2998">
      <c r="A2998" s="21">
        <f>ItensPedido!A2998</f>
        <v/>
      </c>
      <c r="B2998" s="21">
        <f>ItensPedido!B2998</f>
        <v/>
      </c>
      <c r="C2998" s="21">
        <f>ItensPedido!C2998</f>
        <v/>
      </c>
      <c r="D2998" s="21">
        <f>ItensPedido!D2998</f>
        <v/>
      </c>
      <c r="E2998" s="22">
        <f>ItensPedido!E2998</f>
        <v/>
      </c>
      <c r="F2998" s="21">
        <f>IFERROR(INDEX(Pedidos!$B$2:$B$1801,MATCH(B2998,Pedidos!$A$2:$A$1801,0)),0)</f>
        <v/>
      </c>
      <c r="G2998" s="21">
        <f>IF(F2998=0,"",YEAR(F2998))</f>
        <v/>
      </c>
      <c r="H2998" s="21">
        <f>IF(F2998=0,"",MONTH(F2998))</f>
        <v/>
      </c>
      <c r="I2998" s="21">
        <f>IFERROR(INDEX(Pedidos!$E$2:$E$1801,MATCH(B2998,Pedidos!$A$2:$A$1801,0)),"")</f>
        <v/>
      </c>
      <c r="J2998" s="21">
        <f>IFERROR(INDEX(Pedidos!$C$2:$C$1801,MATCH(B2998,Pedidos!$A$2:$A$1801,0)),"")</f>
        <v/>
      </c>
      <c r="K2998" s="21">
        <f>IFERROR(INDEX(Pedidos!$D$2:$D$1801,MATCH(B2998,Pedidos!$A$2:$A$1801,0)),"")</f>
        <v/>
      </c>
      <c r="L2998" s="21">
        <f>IFERROR(INDEX(Pedidos!$F$2:$F$1801,MATCH(B2998,Pedidos!$A$2:$A$1801,0)),"")</f>
        <v/>
      </c>
      <c r="M2998" s="22">
        <f>IFERROR(INDEX(Pedidos!$G$2:$G$1801,MATCH(B2998,Pedidos!$A$2:$A$1801,0)),0)</f>
        <v/>
      </c>
      <c r="N2998" s="21">
        <f>IFERROR(INDEX(Produtos!$B$2:$B$71,MATCH(C2998,Produtos!$A$2:$A$71,0)),"")</f>
        <v/>
      </c>
      <c r="O2998" s="21">
        <f>IFERROR(INDEX(Produtos!$C$2:$C$71,MATCH(C2998,Produtos!$A$2:$A$71,0)),"")</f>
        <v/>
      </c>
      <c r="P2998" s="21">
        <f>IFERROR(INDEX(Produtos!$D$2:$D$71,MATCH(C2998,Produtos!$A$2:$A$71,0)),0)</f>
        <v/>
      </c>
      <c r="Q2998" s="21">
        <f>IFERROR(INDEX(Produtos!$E$2:$E$71,MATCH(C2998,Produtos!$A$2:$A$71,0)),0)</f>
        <v/>
      </c>
      <c r="R2998" s="23">
        <f>D2998*Q2998</f>
        <v/>
      </c>
      <c r="S2998" s="23">
        <f>R2998*E2998</f>
        <v/>
      </c>
      <c r="T2998" s="23">
        <f>(R2998-S2998)*M2998</f>
        <v/>
      </c>
      <c r="U2998" s="23">
        <f>R2998-S2998-T2998</f>
        <v/>
      </c>
      <c r="V2998" s="23">
        <f>D2998*P2998</f>
        <v/>
      </c>
      <c r="W2998" s="23">
        <f>U2998-V2998</f>
        <v/>
      </c>
      <c r="X2998" s="24">
        <f>IFERROR(W2998/U2998,0)</f>
        <v/>
      </c>
    </row>
    <row r="2999">
      <c r="A2999" s="25">
        <f>ItensPedido!A2999</f>
        <v/>
      </c>
      <c r="B2999" s="25">
        <f>ItensPedido!B2999</f>
        <v/>
      </c>
      <c r="C2999" s="25">
        <f>ItensPedido!C2999</f>
        <v/>
      </c>
      <c r="D2999" s="25">
        <f>ItensPedido!D2999</f>
        <v/>
      </c>
      <c r="E2999" s="26">
        <f>ItensPedido!E2999</f>
        <v/>
      </c>
      <c r="F2999" s="25">
        <f>IFERROR(INDEX(Pedidos!$B$2:$B$1801,MATCH(B2999,Pedidos!$A$2:$A$1801,0)),0)</f>
        <v/>
      </c>
      <c r="G2999" s="25">
        <f>IF(F2999=0,"",YEAR(F2999))</f>
        <v/>
      </c>
      <c r="H2999" s="25">
        <f>IF(F2999=0,"",MONTH(F2999))</f>
        <v/>
      </c>
      <c r="I2999" s="25">
        <f>IFERROR(INDEX(Pedidos!$E$2:$E$1801,MATCH(B2999,Pedidos!$A$2:$A$1801,0)),"")</f>
        <v/>
      </c>
      <c r="J2999" s="25">
        <f>IFERROR(INDEX(Pedidos!$C$2:$C$1801,MATCH(B2999,Pedidos!$A$2:$A$1801,0)),"")</f>
        <v/>
      </c>
      <c r="K2999" s="25">
        <f>IFERROR(INDEX(Pedidos!$D$2:$D$1801,MATCH(B2999,Pedidos!$A$2:$A$1801,0)),"")</f>
        <v/>
      </c>
      <c r="L2999" s="25">
        <f>IFERROR(INDEX(Pedidos!$F$2:$F$1801,MATCH(B2999,Pedidos!$A$2:$A$1801,0)),"")</f>
        <v/>
      </c>
      <c r="M2999" s="26">
        <f>IFERROR(INDEX(Pedidos!$G$2:$G$1801,MATCH(B2999,Pedidos!$A$2:$A$1801,0)),0)</f>
        <v/>
      </c>
      <c r="N2999" s="25">
        <f>IFERROR(INDEX(Produtos!$B$2:$B$71,MATCH(C2999,Produtos!$A$2:$A$71,0)),"")</f>
        <v/>
      </c>
      <c r="O2999" s="25">
        <f>IFERROR(INDEX(Produtos!$C$2:$C$71,MATCH(C2999,Produtos!$A$2:$A$71,0)),"")</f>
        <v/>
      </c>
      <c r="P2999" s="25">
        <f>IFERROR(INDEX(Produtos!$D$2:$D$71,MATCH(C2999,Produtos!$A$2:$A$71,0)),0)</f>
        <v/>
      </c>
      <c r="Q2999" s="25">
        <f>IFERROR(INDEX(Produtos!$E$2:$E$71,MATCH(C2999,Produtos!$A$2:$A$71,0)),0)</f>
        <v/>
      </c>
      <c r="R2999" s="27">
        <f>D2999*Q2999</f>
        <v/>
      </c>
      <c r="S2999" s="27">
        <f>R2999*E2999</f>
        <v/>
      </c>
      <c r="T2999" s="27">
        <f>(R2999-S2999)*M2999</f>
        <v/>
      </c>
      <c r="U2999" s="27">
        <f>R2999-S2999-T2999</f>
        <v/>
      </c>
      <c r="V2999" s="27">
        <f>D2999*P2999</f>
        <v/>
      </c>
      <c r="W2999" s="27">
        <f>U2999-V2999</f>
        <v/>
      </c>
      <c r="X2999" s="28">
        <f>IFERROR(W2999/U2999,0)</f>
        <v/>
      </c>
    </row>
    <row r="3000">
      <c r="A3000" s="21">
        <f>ItensPedido!A3000</f>
        <v/>
      </c>
      <c r="B3000" s="21">
        <f>ItensPedido!B3000</f>
        <v/>
      </c>
      <c r="C3000" s="21">
        <f>ItensPedido!C3000</f>
        <v/>
      </c>
      <c r="D3000" s="21">
        <f>ItensPedido!D3000</f>
        <v/>
      </c>
      <c r="E3000" s="22">
        <f>ItensPedido!E3000</f>
        <v/>
      </c>
      <c r="F3000" s="21">
        <f>IFERROR(INDEX(Pedidos!$B$2:$B$1801,MATCH(B3000,Pedidos!$A$2:$A$1801,0)),0)</f>
        <v/>
      </c>
      <c r="G3000" s="21">
        <f>IF(F3000=0,"",YEAR(F3000))</f>
        <v/>
      </c>
      <c r="H3000" s="21">
        <f>IF(F3000=0,"",MONTH(F3000))</f>
        <v/>
      </c>
      <c r="I3000" s="21">
        <f>IFERROR(INDEX(Pedidos!$E$2:$E$1801,MATCH(B3000,Pedidos!$A$2:$A$1801,0)),"")</f>
        <v/>
      </c>
      <c r="J3000" s="21">
        <f>IFERROR(INDEX(Pedidos!$C$2:$C$1801,MATCH(B3000,Pedidos!$A$2:$A$1801,0)),"")</f>
        <v/>
      </c>
      <c r="K3000" s="21">
        <f>IFERROR(INDEX(Pedidos!$D$2:$D$1801,MATCH(B3000,Pedidos!$A$2:$A$1801,0)),"")</f>
        <v/>
      </c>
      <c r="L3000" s="21">
        <f>IFERROR(INDEX(Pedidos!$F$2:$F$1801,MATCH(B3000,Pedidos!$A$2:$A$1801,0)),"")</f>
        <v/>
      </c>
      <c r="M3000" s="22">
        <f>IFERROR(INDEX(Pedidos!$G$2:$G$1801,MATCH(B3000,Pedidos!$A$2:$A$1801,0)),0)</f>
        <v/>
      </c>
      <c r="N3000" s="21">
        <f>IFERROR(INDEX(Produtos!$B$2:$B$71,MATCH(C3000,Produtos!$A$2:$A$71,0)),"")</f>
        <v/>
      </c>
      <c r="O3000" s="21">
        <f>IFERROR(INDEX(Produtos!$C$2:$C$71,MATCH(C3000,Produtos!$A$2:$A$71,0)),"")</f>
        <v/>
      </c>
      <c r="P3000" s="21">
        <f>IFERROR(INDEX(Produtos!$D$2:$D$71,MATCH(C3000,Produtos!$A$2:$A$71,0)),0)</f>
        <v/>
      </c>
      <c r="Q3000" s="21">
        <f>IFERROR(INDEX(Produtos!$E$2:$E$71,MATCH(C3000,Produtos!$A$2:$A$71,0)),0)</f>
        <v/>
      </c>
      <c r="R3000" s="23">
        <f>D3000*Q3000</f>
        <v/>
      </c>
      <c r="S3000" s="23">
        <f>R3000*E3000</f>
        <v/>
      </c>
      <c r="T3000" s="23">
        <f>(R3000-S3000)*M3000</f>
        <v/>
      </c>
      <c r="U3000" s="23">
        <f>R3000-S3000-T3000</f>
        <v/>
      </c>
      <c r="V3000" s="23">
        <f>D3000*P3000</f>
        <v/>
      </c>
      <c r="W3000" s="23">
        <f>U3000-V3000</f>
        <v/>
      </c>
      <c r="X3000" s="24">
        <f>IFERROR(W3000/U3000,0)</f>
        <v/>
      </c>
    </row>
    <row r="3001">
      <c r="A3001" s="25">
        <f>ItensPedido!A3001</f>
        <v/>
      </c>
      <c r="B3001" s="25">
        <f>ItensPedido!B3001</f>
        <v/>
      </c>
      <c r="C3001" s="25">
        <f>ItensPedido!C3001</f>
        <v/>
      </c>
      <c r="D3001" s="25">
        <f>ItensPedido!D3001</f>
        <v/>
      </c>
      <c r="E3001" s="26">
        <f>ItensPedido!E3001</f>
        <v/>
      </c>
      <c r="F3001" s="25">
        <f>IFERROR(INDEX(Pedidos!$B$2:$B$1801,MATCH(B3001,Pedidos!$A$2:$A$1801,0)),0)</f>
        <v/>
      </c>
      <c r="G3001" s="25">
        <f>IF(F3001=0,"",YEAR(F3001))</f>
        <v/>
      </c>
      <c r="H3001" s="25">
        <f>IF(F3001=0,"",MONTH(F3001))</f>
        <v/>
      </c>
      <c r="I3001" s="25">
        <f>IFERROR(INDEX(Pedidos!$E$2:$E$1801,MATCH(B3001,Pedidos!$A$2:$A$1801,0)),"")</f>
        <v/>
      </c>
      <c r="J3001" s="25">
        <f>IFERROR(INDEX(Pedidos!$C$2:$C$1801,MATCH(B3001,Pedidos!$A$2:$A$1801,0)),"")</f>
        <v/>
      </c>
      <c r="K3001" s="25">
        <f>IFERROR(INDEX(Pedidos!$D$2:$D$1801,MATCH(B3001,Pedidos!$A$2:$A$1801,0)),"")</f>
        <v/>
      </c>
      <c r="L3001" s="25">
        <f>IFERROR(INDEX(Pedidos!$F$2:$F$1801,MATCH(B3001,Pedidos!$A$2:$A$1801,0)),"")</f>
        <v/>
      </c>
      <c r="M3001" s="26">
        <f>IFERROR(INDEX(Pedidos!$G$2:$G$1801,MATCH(B3001,Pedidos!$A$2:$A$1801,0)),0)</f>
        <v/>
      </c>
      <c r="N3001" s="25">
        <f>IFERROR(INDEX(Produtos!$B$2:$B$71,MATCH(C3001,Produtos!$A$2:$A$71,0)),"")</f>
        <v/>
      </c>
      <c r="O3001" s="25">
        <f>IFERROR(INDEX(Produtos!$C$2:$C$71,MATCH(C3001,Produtos!$A$2:$A$71,0)),"")</f>
        <v/>
      </c>
      <c r="P3001" s="25">
        <f>IFERROR(INDEX(Produtos!$D$2:$D$71,MATCH(C3001,Produtos!$A$2:$A$71,0)),0)</f>
        <v/>
      </c>
      <c r="Q3001" s="25">
        <f>IFERROR(INDEX(Produtos!$E$2:$E$71,MATCH(C3001,Produtos!$A$2:$A$71,0)),0)</f>
        <v/>
      </c>
      <c r="R3001" s="27">
        <f>D3001*Q3001</f>
        <v/>
      </c>
      <c r="S3001" s="27">
        <f>R3001*E3001</f>
        <v/>
      </c>
      <c r="T3001" s="27">
        <f>(R3001-S3001)*M3001</f>
        <v/>
      </c>
      <c r="U3001" s="27">
        <f>R3001-S3001-T3001</f>
        <v/>
      </c>
      <c r="V3001" s="27">
        <f>D3001*P3001</f>
        <v/>
      </c>
      <c r="W3001" s="27">
        <f>U3001-V3001</f>
        <v/>
      </c>
      <c r="X3001" s="28">
        <f>IFERROR(W3001/U3001,0)</f>
        <v/>
      </c>
    </row>
    <row r="3002">
      <c r="A3002" s="21">
        <f>ItensPedido!A3002</f>
        <v/>
      </c>
      <c r="B3002" s="21">
        <f>ItensPedido!B3002</f>
        <v/>
      </c>
      <c r="C3002" s="21">
        <f>ItensPedido!C3002</f>
        <v/>
      </c>
      <c r="D3002" s="21">
        <f>ItensPedido!D3002</f>
        <v/>
      </c>
      <c r="E3002" s="22">
        <f>ItensPedido!E3002</f>
        <v/>
      </c>
      <c r="F3002" s="21">
        <f>IFERROR(INDEX(Pedidos!$B$2:$B$1801,MATCH(B3002,Pedidos!$A$2:$A$1801,0)),0)</f>
        <v/>
      </c>
      <c r="G3002" s="21">
        <f>IF(F3002=0,"",YEAR(F3002))</f>
        <v/>
      </c>
      <c r="H3002" s="21">
        <f>IF(F3002=0,"",MONTH(F3002))</f>
        <v/>
      </c>
      <c r="I3002" s="21">
        <f>IFERROR(INDEX(Pedidos!$E$2:$E$1801,MATCH(B3002,Pedidos!$A$2:$A$1801,0)),"")</f>
        <v/>
      </c>
      <c r="J3002" s="21">
        <f>IFERROR(INDEX(Pedidos!$C$2:$C$1801,MATCH(B3002,Pedidos!$A$2:$A$1801,0)),"")</f>
        <v/>
      </c>
      <c r="K3002" s="21">
        <f>IFERROR(INDEX(Pedidos!$D$2:$D$1801,MATCH(B3002,Pedidos!$A$2:$A$1801,0)),"")</f>
        <v/>
      </c>
      <c r="L3002" s="21">
        <f>IFERROR(INDEX(Pedidos!$F$2:$F$1801,MATCH(B3002,Pedidos!$A$2:$A$1801,0)),"")</f>
        <v/>
      </c>
      <c r="M3002" s="22">
        <f>IFERROR(INDEX(Pedidos!$G$2:$G$1801,MATCH(B3002,Pedidos!$A$2:$A$1801,0)),0)</f>
        <v/>
      </c>
      <c r="N3002" s="21">
        <f>IFERROR(INDEX(Produtos!$B$2:$B$71,MATCH(C3002,Produtos!$A$2:$A$71,0)),"")</f>
        <v/>
      </c>
      <c r="O3002" s="21">
        <f>IFERROR(INDEX(Produtos!$C$2:$C$71,MATCH(C3002,Produtos!$A$2:$A$71,0)),"")</f>
        <v/>
      </c>
      <c r="P3002" s="21">
        <f>IFERROR(INDEX(Produtos!$D$2:$D$71,MATCH(C3002,Produtos!$A$2:$A$71,0)),0)</f>
        <v/>
      </c>
      <c r="Q3002" s="21">
        <f>IFERROR(INDEX(Produtos!$E$2:$E$71,MATCH(C3002,Produtos!$A$2:$A$71,0)),0)</f>
        <v/>
      </c>
      <c r="R3002" s="23">
        <f>D3002*Q3002</f>
        <v/>
      </c>
      <c r="S3002" s="23">
        <f>R3002*E3002</f>
        <v/>
      </c>
      <c r="T3002" s="23">
        <f>(R3002-S3002)*M3002</f>
        <v/>
      </c>
      <c r="U3002" s="23">
        <f>R3002-S3002-T3002</f>
        <v/>
      </c>
      <c r="V3002" s="23">
        <f>D3002*P3002</f>
        <v/>
      </c>
      <c r="W3002" s="23">
        <f>U3002-V3002</f>
        <v/>
      </c>
      <c r="X3002" s="24">
        <f>IFERROR(W3002/U3002,0)</f>
        <v/>
      </c>
    </row>
    <row r="3003">
      <c r="A3003" s="25">
        <f>ItensPedido!A3003</f>
        <v/>
      </c>
      <c r="B3003" s="25">
        <f>ItensPedido!B3003</f>
        <v/>
      </c>
      <c r="C3003" s="25">
        <f>ItensPedido!C3003</f>
        <v/>
      </c>
      <c r="D3003" s="25">
        <f>ItensPedido!D3003</f>
        <v/>
      </c>
      <c r="E3003" s="26">
        <f>ItensPedido!E3003</f>
        <v/>
      </c>
      <c r="F3003" s="25">
        <f>IFERROR(INDEX(Pedidos!$B$2:$B$1801,MATCH(B3003,Pedidos!$A$2:$A$1801,0)),0)</f>
        <v/>
      </c>
      <c r="G3003" s="25">
        <f>IF(F3003=0,"",YEAR(F3003))</f>
        <v/>
      </c>
      <c r="H3003" s="25">
        <f>IF(F3003=0,"",MONTH(F3003))</f>
        <v/>
      </c>
      <c r="I3003" s="25">
        <f>IFERROR(INDEX(Pedidos!$E$2:$E$1801,MATCH(B3003,Pedidos!$A$2:$A$1801,0)),"")</f>
        <v/>
      </c>
      <c r="J3003" s="25">
        <f>IFERROR(INDEX(Pedidos!$C$2:$C$1801,MATCH(B3003,Pedidos!$A$2:$A$1801,0)),"")</f>
        <v/>
      </c>
      <c r="K3003" s="25">
        <f>IFERROR(INDEX(Pedidos!$D$2:$D$1801,MATCH(B3003,Pedidos!$A$2:$A$1801,0)),"")</f>
        <v/>
      </c>
      <c r="L3003" s="25">
        <f>IFERROR(INDEX(Pedidos!$F$2:$F$1801,MATCH(B3003,Pedidos!$A$2:$A$1801,0)),"")</f>
        <v/>
      </c>
      <c r="M3003" s="26">
        <f>IFERROR(INDEX(Pedidos!$G$2:$G$1801,MATCH(B3003,Pedidos!$A$2:$A$1801,0)),0)</f>
        <v/>
      </c>
      <c r="N3003" s="25">
        <f>IFERROR(INDEX(Produtos!$B$2:$B$71,MATCH(C3003,Produtos!$A$2:$A$71,0)),"")</f>
        <v/>
      </c>
      <c r="O3003" s="25">
        <f>IFERROR(INDEX(Produtos!$C$2:$C$71,MATCH(C3003,Produtos!$A$2:$A$71,0)),"")</f>
        <v/>
      </c>
      <c r="P3003" s="25">
        <f>IFERROR(INDEX(Produtos!$D$2:$D$71,MATCH(C3003,Produtos!$A$2:$A$71,0)),0)</f>
        <v/>
      </c>
      <c r="Q3003" s="25">
        <f>IFERROR(INDEX(Produtos!$E$2:$E$71,MATCH(C3003,Produtos!$A$2:$A$71,0)),0)</f>
        <v/>
      </c>
      <c r="R3003" s="27">
        <f>D3003*Q3003</f>
        <v/>
      </c>
      <c r="S3003" s="27">
        <f>R3003*E3003</f>
        <v/>
      </c>
      <c r="T3003" s="27">
        <f>(R3003-S3003)*M3003</f>
        <v/>
      </c>
      <c r="U3003" s="27">
        <f>R3003-S3003-T3003</f>
        <v/>
      </c>
      <c r="V3003" s="27">
        <f>D3003*P3003</f>
        <v/>
      </c>
      <c r="W3003" s="27">
        <f>U3003-V3003</f>
        <v/>
      </c>
      <c r="X3003" s="28">
        <f>IFERROR(W3003/U3003,0)</f>
        <v/>
      </c>
    </row>
    <row r="3004">
      <c r="A3004" s="21">
        <f>ItensPedido!A3004</f>
        <v/>
      </c>
      <c r="B3004" s="21">
        <f>ItensPedido!B3004</f>
        <v/>
      </c>
      <c r="C3004" s="21">
        <f>ItensPedido!C3004</f>
        <v/>
      </c>
      <c r="D3004" s="21">
        <f>ItensPedido!D3004</f>
        <v/>
      </c>
      <c r="E3004" s="22">
        <f>ItensPedido!E3004</f>
        <v/>
      </c>
      <c r="F3004" s="21">
        <f>IFERROR(INDEX(Pedidos!$B$2:$B$1801,MATCH(B3004,Pedidos!$A$2:$A$1801,0)),0)</f>
        <v/>
      </c>
      <c r="G3004" s="21">
        <f>IF(F3004=0,"",YEAR(F3004))</f>
        <v/>
      </c>
      <c r="H3004" s="21">
        <f>IF(F3004=0,"",MONTH(F3004))</f>
        <v/>
      </c>
      <c r="I3004" s="21">
        <f>IFERROR(INDEX(Pedidos!$E$2:$E$1801,MATCH(B3004,Pedidos!$A$2:$A$1801,0)),"")</f>
        <v/>
      </c>
      <c r="J3004" s="21">
        <f>IFERROR(INDEX(Pedidos!$C$2:$C$1801,MATCH(B3004,Pedidos!$A$2:$A$1801,0)),"")</f>
        <v/>
      </c>
      <c r="K3004" s="21">
        <f>IFERROR(INDEX(Pedidos!$D$2:$D$1801,MATCH(B3004,Pedidos!$A$2:$A$1801,0)),"")</f>
        <v/>
      </c>
      <c r="L3004" s="21">
        <f>IFERROR(INDEX(Pedidos!$F$2:$F$1801,MATCH(B3004,Pedidos!$A$2:$A$1801,0)),"")</f>
        <v/>
      </c>
      <c r="M3004" s="22">
        <f>IFERROR(INDEX(Pedidos!$G$2:$G$1801,MATCH(B3004,Pedidos!$A$2:$A$1801,0)),0)</f>
        <v/>
      </c>
      <c r="N3004" s="21">
        <f>IFERROR(INDEX(Produtos!$B$2:$B$71,MATCH(C3004,Produtos!$A$2:$A$71,0)),"")</f>
        <v/>
      </c>
      <c r="O3004" s="21">
        <f>IFERROR(INDEX(Produtos!$C$2:$C$71,MATCH(C3004,Produtos!$A$2:$A$71,0)),"")</f>
        <v/>
      </c>
      <c r="P3004" s="21">
        <f>IFERROR(INDEX(Produtos!$D$2:$D$71,MATCH(C3004,Produtos!$A$2:$A$71,0)),0)</f>
        <v/>
      </c>
      <c r="Q3004" s="21">
        <f>IFERROR(INDEX(Produtos!$E$2:$E$71,MATCH(C3004,Produtos!$A$2:$A$71,0)),0)</f>
        <v/>
      </c>
      <c r="R3004" s="23">
        <f>D3004*Q3004</f>
        <v/>
      </c>
      <c r="S3004" s="23">
        <f>R3004*E3004</f>
        <v/>
      </c>
      <c r="T3004" s="23">
        <f>(R3004-S3004)*M3004</f>
        <v/>
      </c>
      <c r="U3004" s="23">
        <f>R3004-S3004-T3004</f>
        <v/>
      </c>
      <c r="V3004" s="23">
        <f>D3004*P3004</f>
        <v/>
      </c>
      <c r="W3004" s="23">
        <f>U3004-V3004</f>
        <v/>
      </c>
      <c r="X3004" s="24">
        <f>IFERROR(W3004/U3004,0)</f>
        <v/>
      </c>
    </row>
    <row r="3005">
      <c r="A3005" s="25">
        <f>ItensPedido!A3005</f>
        <v/>
      </c>
      <c r="B3005" s="25">
        <f>ItensPedido!B3005</f>
        <v/>
      </c>
      <c r="C3005" s="25">
        <f>ItensPedido!C3005</f>
        <v/>
      </c>
      <c r="D3005" s="25">
        <f>ItensPedido!D3005</f>
        <v/>
      </c>
      <c r="E3005" s="26">
        <f>ItensPedido!E3005</f>
        <v/>
      </c>
      <c r="F3005" s="25">
        <f>IFERROR(INDEX(Pedidos!$B$2:$B$1801,MATCH(B3005,Pedidos!$A$2:$A$1801,0)),0)</f>
        <v/>
      </c>
      <c r="G3005" s="25">
        <f>IF(F3005=0,"",YEAR(F3005))</f>
        <v/>
      </c>
      <c r="H3005" s="25">
        <f>IF(F3005=0,"",MONTH(F3005))</f>
        <v/>
      </c>
      <c r="I3005" s="25">
        <f>IFERROR(INDEX(Pedidos!$E$2:$E$1801,MATCH(B3005,Pedidos!$A$2:$A$1801,0)),"")</f>
        <v/>
      </c>
      <c r="J3005" s="25">
        <f>IFERROR(INDEX(Pedidos!$C$2:$C$1801,MATCH(B3005,Pedidos!$A$2:$A$1801,0)),"")</f>
        <v/>
      </c>
      <c r="K3005" s="25">
        <f>IFERROR(INDEX(Pedidos!$D$2:$D$1801,MATCH(B3005,Pedidos!$A$2:$A$1801,0)),"")</f>
        <v/>
      </c>
      <c r="L3005" s="25">
        <f>IFERROR(INDEX(Pedidos!$F$2:$F$1801,MATCH(B3005,Pedidos!$A$2:$A$1801,0)),"")</f>
        <v/>
      </c>
      <c r="M3005" s="26">
        <f>IFERROR(INDEX(Pedidos!$G$2:$G$1801,MATCH(B3005,Pedidos!$A$2:$A$1801,0)),0)</f>
        <v/>
      </c>
      <c r="N3005" s="25">
        <f>IFERROR(INDEX(Produtos!$B$2:$B$71,MATCH(C3005,Produtos!$A$2:$A$71,0)),"")</f>
        <v/>
      </c>
      <c r="O3005" s="25">
        <f>IFERROR(INDEX(Produtos!$C$2:$C$71,MATCH(C3005,Produtos!$A$2:$A$71,0)),"")</f>
        <v/>
      </c>
      <c r="P3005" s="25">
        <f>IFERROR(INDEX(Produtos!$D$2:$D$71,MATCH(C3005,Produtos!$A$2:$A$71,0)),0)</f>
        <v/>
      </c>
      <c r="Q3005" s="25">
        <f>IFERROR(INDEX(Produtos!$E$2:$E$71,MATCH(C3005,Produtos!$A$2:$A$71,0)),0)</f>
        <v/>
      </c>
      <c r="R3005" s="27">
        <f>D3005*Q3005</f>
        <v/>
      </c>
      <c r="S3005" s="27">
        <f>R3005*E3005</f>
        <v/>
      </c>
      <c r="T3005" s="27">
        <f>(R3005-S3005)*M3005</f>
        <v/>
      </c>
      <c r="U3005" s="27">
        <f>R3005-S3005-T3005</f>
        <v/>
      </c>
      <c r="V3005" s="27">
        <f>D3005*P3005</f>
        <v/>
      </c>
      <c r="W3005" s="27">
        <f>U3005-V3005</f>
        <v/>
      </c>
      <c r="X3005" s="28">
        <f>IFERROR(W3005/U3005,0)</f>
        <v/>
      </c>
    </row>
    <row r="3006">
      <c r="A3006" s="21">
        <f>ItensPedido!A3006</f>
        <v/>
      </c>
      <c r="B3006" s="21">
        <f>ItensPedido!B3006</f>
        <v/>
      </c>
      <c r="C3006" s="21">
        <f>ItensPedido!C3006</f>
        <v/>
      </c>
      <c r="D3006" s="21">
        <f>ItensPedido!D3006</f>
        <v/>
      </c>
      <c r="E3006" s="22">
        <f>ItensPedido!E3006</f>
        <v/>
      </c>
      <c r="F3006" s="21">
        <f>IFERROR(INDEX(Pedidos!$B$2:$B$1801,MATCH(B3006,Pedidos!$A$2:$A$1801,0)),0)</f>
        <v/>
      </c>
      <c r="G3006" s="21">
        <f>IF(F3006=0,"",YEAR(F3006))</f>
        <v/>
      </c>
      <c r="H3006" s="21">
        <f>IF(F3006=0,"",MONTH(F3006))</f>
        <v/>
      </c>
      <c r="I3006" s="21">
        <f>IFERROR(INDEX(Pedidos!$E$2:$E$1801,MATCH(B3006,Pedidos!$A$2:$A$1801,0)),"")</f>
        <v/>
      </c>
      <c r="J3006" s="21">
        <f>IFERROR(INDEX(Pedidos!$C$2:$C$1801,MATCH(B3006,Pedidos!$A$2:$A$1801,0)),"")</f>
        <v/>
      </c>
      <c r="K3006" s="21">
        <f>IFERROR(INDEX(Pedidos!$D$2:$D$1801,MATCH(B3006,Pedidos!$A$2:$A$1801,0)),"")</f>
        <v/>
      </c>
      <c r="L3006" s="21">
        <f>IFERROR(INDEX(Pedidos!$F$2:$F$1801,MATCH(B3006,Pedidos!$A$2:$A$1801,0)),"")</f>
        <v/>
      </c>
      <c r="M3006" s="22">
        <f>IFERROR(INDEX(Pedidos!$G$2:$G$1801,MATCH(B3006,Pedidos!$A$2:$A$1801,0)),0)</f>
        <v/>
      </c>
      <c r="N3006" s="21">
        <f>IFERROR(INDEX(Produtos!$B$2:$B$71,MATCH(C3006,Produtos!$A$2:$A$71,0)),"")</f>
        <v/>
      </c>
      <c r="O3006" s="21">
        <f>IFERROR(INDEX(Produtos!$C$2:$C$71,MATCH(C3006,Produtos!$A$2:$A$71,0)),"")</f>
        <v/>
      </c>
      <c r="P3006" s="21">
        <f>IFERROR(INDEX(Produtos!$D$2:$D$71,MATCH(C3006,Produtos!$A$2:$A$71,0)),0)</f>
        <v/>
      </c>
      <c r="Q3006" s="21">
        <f>IFERROR(INDEX(Produtos!$E$2:$E$71,MATCH(C3006,Produtos!$A$2:$A$71,0)),0)</f>
        <v/>
      </c>
      <c r="R3006" s="23">
        <f>D3006*Q3006</f>
        <v/>
      </c>
      <c r="S3006" s="23">
        <f>R3006*E3006</f>
        <v/>
      </c>
      <c r="T3006" s="23">
        <f>(R3006-S3006)*M3006</f>
        <v/>
      </c>
      <c r="U3006" s="23">
        <f>R3006-S3006-T3006</f>
        <v/>
      </c>
      <c r="V3006" s="23">
        <f>D3006*P3006</f>
        <v/>
      </c>
      <c r="W3006" s="23">
        <f>U3006-V3006</f>
        <v/>
      </c>
      <c r="X3006" s="24">
        <f>IFERROR(W3006/U3006,0)</f>
        <v/>
      </c>
    </row>
    <row r="3007">
      <c r="A3007" s="25">
        <f>ItensPedido!A3007</f>
        <v/>
      </c>
      <c r="B3007" s="25">
        <f>ItensPedido!B3007</f>
        <v/>
      </c>
      <c r="C3007" s="25">
        <f>ItensPedido!C3007</f>
        <v/>
      </c>
      <c r="D3007" s="25">
        <f>ItensPedido!D3007</f>
        <v/>
      </c>
      <c r="E3007" s="26">
        <f>ItensPedido!E3007</f>
        <v/>
      </c>
      <c r="F3007" s="25">
        <f>IFERROR(INDEX(Pedidos!$B$2:$B$1801,MATCH(B3007,Pedidos!$A$2:$A$1801,0)),0)</f>
        <v/>
      </c>
      <c r="G3007" s="25">
        <f>IF(F3007=0,"",YEAR(F3007))</f>
        <v/>
      </c>
      <c r="H3007" s="25">
        <f>IF(F3007=0,"",MONTH(F3007))</f>
        <v/>
      </c>
      <c r="I3007" s="25">
        <f>IFERROR(INDEX(Pedidos!$E$2:$E$1801,MATCH(B3007,Pedidos!$A$2:$A$1801,0)),"")</f>
        <v/>
      </c>
      <c r="J3007" s="25">
        <f>IFERROR(INDEX(Pedidos!$C$2:$C$1801,MATCH(B3007,Pedidos!$A$2:$A$1801,0)),"")</f>
        <v/>
      </c>
      <c r="K3007" s="25">
        <f>IFERROR(INDEX(Pedidos!$D$2:$D$1801,MATCH(B3007,Pedidos!$A$2:$A$1801,0)),"")</f>
        <v/>
      </c>
      <c r="L3007" s="25">
        <f>IFERROR(INDEX(Pedidos!$F$2:$F$1801,MATCH(B3007,Pedidos!$A$2:$A$1801,0)),"")</f>
        <v/>
      </c>
      <c r="M3007" s="26">
        <f>IFERROR(INDEX(Pedidos!$G$2:$G$1801,MATCH(B3007,Pedidos!$A$2:$A$1801,0)),0)</f>
        <v/>
      </c>
      <c r="N3007" s="25">
        <f>IFERROR(INDEX(Produtos!$B$2:$B$71,MATCH(C3007,Produtos!$A$2:$A$71,0)),"")</f>
        <v/>
      </c>
      <c r="O3007" s="25">
        <f>IFERROR(INDEX(Produtos!$C$2:$C$71,MATCH(C3007,Produtos!$A$2:$A$71,0)),"")</f>
        <v/>
      </c>
      <c r="P3007" s="25">
        <f>IFERROR(INDEX(Produtos!$D$2:$D$71,MATCH(C3007,Produtos!$A$2:$A$71,0)),0)</f>
        <v/>
      </c>
      <c r="Q3007" s="25">
        <f>IFERROR(INDEX(Produtos!$E$2:$E$71,MATCH(C3007,Produtos!$A$2:$A$71,0)),0)</f>
        <v/>
      </c>
      <c r="R3007" s="27">
        <f>D3007*Q3007</f>
        <v/>
      </c>
      <c r="S3007" s="27">
        <f>R3007*E3007</f>
        <v/>
      </c>
      <c r="T3007" s="27">
        <f>(R3007-S3007)*M3007</f>
        <v/>
      </c>
      <c r="U3007" s="27">
        <f>R3007-S3007-T3007</f>
        <v/>
      </c>
      <c r="V3007" s="27">
        <f>D3007*P3007</f>
        <v/>
      </c>
      <c r="W3007" s="27">
        <f>U3007-V3007</f>
        <v/>
      </c>
      <c r="X3007" s="28">
        <f>IFERROR(W3007/U3007,0)</f>
        <v/>
      </c>
    </row>
    <row r="3008">
      <c r="A3008" s="21">
        <f>ItensPedido!A3008</f>
        <v/>
      </c>
      <c r="B3008" s="21">
        <f>ItensPedido!B3008</f>
        <v/>
      </c>
      <c r="C3008" s="21">
        <f>ItensPedido!C3008</f>
        <v/>
      </c>
      <c r="D3008" s="21">
        <f>ItensPedido!D3008</f>
        <v/>
      </c>
      <c r="E3008" s="22">
        <f>ItensPedido!E3008</f>
        <v/>
      </c>
      <c r="F3008" s="21">
        <f>IFERROR(INDEX(Pedidos!$B$2:$B$1801,MATCH(B3008,Pedidos!$A$2:$A$1801,0)),0)</f>
        <v/>
      </c>
      <c r="G3008" s="21">
        <f>IF(F3008=0,"",YEAR(F3008))</f>
        <v/>
      </c>
      <c r="H3008" s="21">
        <f>IF(F3008=0,"",MONTH(F3008))</f>
        <v/>
      </c>
      <c r="I3008" s="21">
        <f>IFERROR(INDEX(Pedidos!$E$2:$E$1801,MATCH(B3008,Pedidos!$A$2:$A$1801,0)),"")</f>
        <v/>
      </c>
      <c r="J3008" s="21">
        <f>IFERROR(INDEX(Pedidos!$C$2:$C$1801,MATCH(B3008,Pedidos!$A$2:$A$1801,0)),"")</f>
        <v/>
      </c>
      <c r="K3008" s="21">
        <f>IFERROR(INDEX(Pedidos!$D$2:$D$1801,MATCH(B3008,Pedidos!$A$2:$A$1801,0)),"")</f>
        <v/>
      </c>
      <c r="L3008" s="21">
        <f>IFERROR(INDEX(Pedidos!$F$2:$F$1801,MATCH(B3008,Pedidos!$A$2:$A$1801,0)),"")</f>
        <v/>
      </c>
      <c r="M3008" s="22">
        <f>IFERROR(INDEX(Pedidos!$G$2:$G$1801,MATCH(B3008,Pedidos!$A$2:$A$1801,0)),0)</f>
        <v/>
      </c>
      <c r="N3008" s="21">
        <f>IFERROR(INDEX(Produtos!$B$2:$B$71,MATCH(C3008,Produtos!$A$2:$A$71,0)),"")</f>
        <v/>
      </c>
      <c r="O3008" s="21">
        <f>IFERROR(INDEX(Produtos!$C$2:$C$71,MATCH(C3008,Produtos!$A$2:$A$71,0)),"")</f>
        <v/>
      </c>
      <c r="P3008" s="21">
        <f>IFERROR(INDEX(Produtos!$D$2:$D$71,MATCH(C3008,Produtos!$A$2:$A$71,0)),0)</f>
        <v/>
      </c>
      <c r="Q3008" s="21">
        <f>IFERROR(INDEX(Produtos!$E$2:$E$71,MATCH(C3008,Produtos!$A$2:$A$71,0)),0)</f>
        <v/>
      </c>
      <c r="R3008" s="23">
        <f>D3008*Q3008</f>
        <v/>
      </c>
      <c r="S3008" s="23">
        <f>R3008*E3008</f>
        <v/>
      </c>
      <c r="T3008" s="23">
        <f>(R3008-S3008)*M3008</f>
        <v/>
      </c>
      <c r="U3008" s="23">
        <f>R3008-S3008-T3008</f>
        <v/>
      </c>
      <c r="V3008" s="23">
        <f>D3008*P3008</f>
        <v/>
      </c>
      <c r="W3008" s="23">
        <f>U3008-V3008</f>
        <v/>
      </c>
      <c r="X3008" s="24">
        <f>IFERROR(W3008/U3008,0)</f>
        <v/>
      </c>
    </row>
    <row r="3009">
      <c r="A3009" s="25">
        <f>ItensPedido!A3009</f>
        <v/>
      </c>
      <c r="B3009" s="25">
        <f>ItensPedido!B3009</f>
        <v/>
      </c>
      <c r="C3009" s="25">
        <f>ItensPedido!C3009</f>
        <v/>
      </c>
      <c r="D3009" s="25">
        <f>ItensPedido!D3009</f>
        <v/>
      </c>
      <c r="E3009" s="26">
        <f>ItensPedido!E3009</f>
        <v/>
      </c>
      <c r="F3009" s="25">
        <f>IFERROR(INDEX(Pedidos!$B$2:$B$1801,MATCH(B3009,Pedidos!$A$2:$A$1801,0)),0)</f>
        <v/>
      </c>
      <c r="G3009" s="25">
        <f>IF(F3009=0,"",YEAR(F3009))</f>
        <v/>
      </c>
      <c r="H3009" s="25">
        <f>IF(F3009=0,"",MONTH(F3009))</f>
        <v/>
      </c>
      <c r="I3009" s="25">
        <f>IFERROR(INDEX(Pedidos!$E$2:$E$1801,MATCH(B3009,Pedidos!$A$2:$A$1801,0)),"")</f>
        <v/>
      </c>
      <c r="J3009" s="25">
        <f>IFERROR(INDEX(Pedidos!$C$2:$C$1801,MATCH(B3009,Pedidos!$A$2:$A$1801,0)),"")</f>
        <v/>
      </c>
      <c r="K3009" s="25">
        <f>IFERROR(INDEX(Pedidos!$D$2:$D$1801,MATCH(B3009,Pedidos!$A$2:$A$1801,0)),"")</f>
        <v/>
      </c>
      <c r="L3009" s="25">
        <f>IFERROR(INDEX(Pedidos!$F$2:$F$1801,MATCH(B3009,Pedidos!$A$2:$A$1801,0)),"")</f>
        <v/>
      </c>
      <c r="M3009" s="26">
        <f>IFERROR(INDEX(Pedidos!$G$2:$G$1801,MATCH(B3009,Pedidos!$A$2:$A$1801,0)),0)</f>
        <v/>
      </c>
      <c r="N3009" s="25">
        <f>IFERROR(INDEX(Produtos!$B$2:$B$71,MATCH(C3009,Produtos!$A$2:$A$71,0)),"")</f>
        <v/>
      </c>
      <c r="O3009" s="25">
        <f>IFERROR(INDEX(Produtos!$C$2:$C$71,MATCH(C3009,Produtos!$A$2:$A$71,0)),"")</f>
        <v/>
      </c>
      <c r="P3009" s="25">
        <f>IFERROR(INDEX(Produtos!$D$2:$D$71,MATCH(C3009,Produtos!$A$2:$A$71,0)),0)</f>
        <v/>
      </c>
      <c r="Q3009" s="25">
        <f>IFERROR(INDEX(Produtos!$E$2:$E$71,MATCH(C3009,Produtos!$A$2:$A$71,0)),0)</f>
        <v/>
      </c>
      <c r="R3009" s="27">
        <f>D3009*Q3009</f>
        <v/>
      </c>
      <c r="S3009" s="27">
        <f>R3009*E3009</f>
        <v/>
      </c>
      <c r="T3009" s="27">
        <f>(R3009-S3009)*M3009</f>
        <v/>
      </c>
      <c r="U3009" s="27">
        <f>R3009-S3009-T3009</f>
        <v/>
      </c>
      <c r="V3009" s="27">
        <f>D3009*P3009</f>
        <v/>
      </c>
      <c r="W3009" s="27">
        <f>U3009-V3009</f>
        <v/>
      </c>
      <c r="X3009" s="28">
        <f>IFERROR(W3009/U3009,0)</f>
        <v/>
      </c>
    </row>
    <row r="3010">
      <c r="A3010" s="21">
        <f>ItensPedido!A3010</f>
        <v/>
      </c>
      <c r="B3010" s="21">
        <f>ItensPedido!B3010</f>
        <v/>
      </c>
      <c r="C3010" s="21">
        <f>ItensPedido!C3010</f>
        <v/>
      </c>
      <c r="D3010" s="21">
        <f>ItensPedido!D3010</f>
        <v/>
      </c>
      <c r="E3010" s="22">
        <f>ItensPedido!E3010</f>
        <v/>
      </c>
      <c r="F3010" s="21">
        <f>IFERROR(INDEX(Pedidos!$B$2:$B$1801,MATCH(B3010,Pedidos!$A$2:$A$1801,0)),0)</f>
        <v/>
      </c>
      <c r="G3010" s="21">
        <f>IF(F3010=0,"",YEAR(F3010))</f>
        <v/>
      </c>
      <c r="H3010" s="21">
        <f>IF(F3010=0,"",MONTH(F3010))</f>
        <v/>
      </c>
      <c r="I3010" s="21">
        <f>IFERROR(INDEX(Pedidos!$E$2:$E$1801,MATCH(B3010,Pedidos!$A$2:$A$1801,0)),"")</f>
        <v/>
      </c>
      <c r="J3010" s="21">
        <f>IFERROR(INDEX(Pedidos!$C$2:$C$1801,MATCH(B3010,Pedidos!$A$2:$A$1801,0)),"")</f>
        <v/>
      </c>
      <c r="K3010" s="21">
        <f>IFERROR(INDEX(Pedidos!$D$2:$D$1801,MATCH(B3010,Pedidos!$A$2:$A$1801,0)),"")</f>
        <v/>
      </c>
      <c r="L3010" s="21">
        <f>IFERROR(INDEX(Pedidos!$F$2:$F$1801,MATCH(B3010,Pedidos!$A$2:$A$1801,0)),"")</f>
        <v/>
      </c>
      <c r="M3010" s="22">
        <f>IFERROR(INDEX(Pedidos!$G$2:$G$1801,MATCH(B3010,Pedidos!$A$2:$A$1801,0)),0)</f>
        <v/>
      </c>
      <c r="N3010" s="21">
        <f>IFERROR(INDEX(Produtos!$B$2:$B$71,MATCH(C3010,Produtos!$A$2:$A$71,0)),"")</f>
        <v/>
      </c>
      <c r="O3010" s="21">
        <f>IFERROR(INDEX(Produtos!$C$2:$C$71,MATCH(C3010,Produtos!$A$2:$A$71,0)),"")</f>
        <v/>
      </c>
      <c r="P3010" s="21">
        <f>IFERROR(INDEX(Produtos!$D$2:$D$71,MATCH(C3010,Produtos!$A$2:$A$71,0)),0)</f>
        <v/>
      </c>
      <c r="Q3010" s="21">
        <f>IFERROR(INDEX(Produtos!$E$2:$E$71,MATCH(C3010,Produtos!$A$2:$A$71,0)),0)</f>
        <v/>
      </c>
      <c r="R3010" s="23">
        <f>D3010*Q3010</f>
        <v/>
      </c>
      <c r="S3010" s="23">
        <f>R3010*E3010</f>
        <v/>
      </c>
      <c r="T3010" s="23">
        <f>(R3010-S3010)*M3010</f>
        <v/>
      </c>
      <c r="U3010" s="23">
        <f>R3010-S3010-T3010</f>
        <v/>
      </c>
      <c r="V3010" s="23">
        <f>D3010*P3010</f>
        <v/>
      </c>
      <c r="W3010" s="23">
        <f>U3010-V3010</f>
        <v/>
      </c>
      <c r="X3010" s="24">
        <f>IFERROR(W3010/U3010,0)</f>
        <v/>
      </c>
    </row>
    <row r="3011">
      <c r="A3011" s="25">
        <f>ItensPedido!A3011</f>
        <v/>
      </c>
      <c r="B3011" s="25">
        <f>ItensPedido!B3011</f>
        <v/>
      </c>
      <c r="C3011" s="25">
        <f>ItensPedido!C3011</f>
        <v/>
      </c>
      <c r="D3011" s="25">
        <f>ItensPedido!D3011</f>
        <v/>
      </c>
      <c r="E3011" s="26">
        <f>ItensPedido!E3011</f>
        <v/>
      </c>
      <c r="F3011" s="25">
        <f>IFERROR(INDEX(Pedidos!$B$2:$B$1801,MATCH(B3011,Pedidos!$A$2:$A$1801,0)),0)</f>
        <v/>
      </c>
      <c r="G3011" s="25">
        <f>IF(F3011=0,"",YEAR(F3011))</f>
        <v/>
      </c>
      <c r="H3011" s="25">
        <f>IF(F3011=0,"",MONTH(F3011))</f>
        <v/>
      </c>
      <c r="I3011" s="25">
        <f>IFERROR(INDEX(Pedidos!$E$2:$E$1801,MATCH(B3011,Pedidos!$A$2:$A$1801,0)),"")</f>
        <v/>
      </c>
      <c r="J3011" s="25">
        <f>IFERROR(INDEX(Pedidos!$C$2:$C$1801,MATCH(B3011,Pedidos!$A$2:$A$1801,0)),"")</f>
        <v/>
      </c>
      <c r="K3011" s="25">
        <f>IFERROR(INDEX(Pedidos!$D$2:$D$1801,MATCH(B3011,Pedidos!$A$2:$A$1801,0)),"")</f>
        <v/>
      </c>
      <c r="L3011" s="25">
        <f>IFERROR(INDEX(Pedidos!$F$2:$F$1801,MATCH(B3011,Pedidos!$A$2:$A$1801,0)),"")</f>
        <v/>
      </c>
      <c r="M3011" s="26">
        <f>IFERROR(INDEX(Pedidos!$G$2:$G$1801,MATCH(B3011,Pedidos!$A$2:$A$1801,0)),0)</f>
        <v/>
      </c>
      <c r="N3011" s="25">
        <f>IFERROR(INDEX(Produtos!$B$2:$B$71,MATCH(C3011,Produtos!$A$2:$A$71,0)),"")</f>
        <v/>
      </c>
      <c r="O3011" s="25">
        <f>IFERROR(INDEX(Produtos!$C$2:$C$71,MATCH(C3011,Produtos!$A$2:$A$71,0)),"")</f>
        <v/>
      </c>
      <c r="P3011" s="25">
        <f>IFERROR(INDEX(Produtos!$D$2:$D$71,MATCH(C3011,Produtos!$A$2:$A$71,0)),0)</f>
        <v/>
      </c>
      <c r="Q3011" s="25">
        <f>IFERROR(INDEX(Produtos!$E$2:$E$71,MATCH(C3011,Produtos!$A$2:$A$71,0)),0)</f>
        <v/>
      </c>
      <c r="R3011" s="27">
        <f>D3011*Q3011</f>
        <v/>
      </c>
      <c r="S3011" s="27">
        <f>R3011*E3011</f>
        <v/>
      </c>
      <c r="T3011" s="27">
        <f>(R3011-S3011)*M3011</f>
        <v/>
      </c>
      <c r="U3011" s="27">
        <f>R3011-S3011-T3011</f>
        <v/>
      </c>
      <c r="V3011" s="27">
        <f>D3011*P3011</f>
        <v/>
      </c>
      <c r="W3011" s="27">
        <f>U3011-V3011</f>
        <v/>
      </c>
      <c r="X3011" s="28">
        <f>IFERROR(W3011/U3011,0)</f>
        <v/>
      </c>
    </row>
    <row r="3012">
      <c r="A3012" s="21">
        <f>ItensPedido!A3012</f>
        <v/>
      </c>
      <c r="B3012" s="21">
        <f>ItensPedido!B3012</f>
        <v/>
      </c>
      <c r="C3012" s="21">
        <f>ItensPedido!C3012</f>
        <v/>
      </c>
      <c r="D3012" s="21">
        <f>ItensPedido!D3012</f>
        <v/>
      </c>
      <c r="E3012" s="22">
        <f>ItensPedido!E3012</f>
        <v/>
      </c>
      <c r="F3012" s="21">
        <f>IFERROR(INDEX(Pedidos!$B$2:$B$1801,MATCH(B3012,Pedidos!$A$2:$A$1801,0)),0)</f>
        <v/>
      </c>
      <c r="G3012" s="21">
        <f>IF(F3012=0,"",YEAR(F3012))</f>
        <v/>
      </c>
      <c r="H3012" s="21">
        <f>IF(F3012=0,"",MONTH(F3012))</f>
        <v/>
      </c>
      <c r="I3012" s="21">
        <f>IFERROR(INDEX(Pedidos!$E$2:$E$1801,MATCH(B3012,Pedidos!$A$2:$A$1801,0)),"")</f>
        <v/>
      </c>
      <c r="J3012" s="21">
        <f>IFERROR(INDEX(Pedidos!$C$2:$C$1801,MATCH(B3012,Pedidos!$A$2:$A$1801,0)),"")</f>
        <v/>
      </c>
      <c r="K3012" s="21">
        <f>IFERROR(INDEX(Pedidos!$D$2:$D$1801,MATCH(B3012,Pedidos!$A$2:$A$1801,0)),"")</f>
        <v/>
      </c>
      <c r="L3012" s="21">
        <f>IFERROR(INDEX(Pedidos!$F$2:$F$1801,MATCH(B3012,Pedidos!$A$2:$A$1801,0)),"")</f>
        <v/>
      </c>
      <c r="M3012" s="22">
        <f>IFERROR(INDEX(Pedidos!$G$2:$G$1801,MATCH(B3012,Pedidos!$A$2:$A$1801,0)),0)</f>
        <v/>
      </c>
      <c r="N3012" s="21">
        <f>IFERROR(INDEX(Produtos!$B$2:$B$71,MATCH(C3012,Produtos!$A$2:$A$71,0)),"")</f>
        <v/>
      </c>
      <c r="O3012" s="21">
        <f>IFERROR(INDEX(Produtos!$C$2:$C$71,MATCH(C3012,Produtos!$A$2:$A$71,0)),"")</f>
        <v/>
      </c>
      <c r="P3012" s="21">
        <f>IFERROR(INDEX(Produtos!$D$2:$D$71,MATCH(C3012,Produtos!$A$2:$A$71,0)),0)</f>
        <v/>
      </c>
      <c r="Q3012" s="21">
        <f>IFERROR(INDEX(Produtos!$E$2:$E$71,MATCH(C3012,Produtos!$A$2:$A$71,0)),0)</f>
        <v/>
      </c>
      <c r="R3012" s="23">
        <f>D3012*Q3012</f>
        <v/>
      </c>
      <c r="S3012" s="23">
        <f>R3012*E3012</f>
        <v/>
      </c>
      <c r="T3012" s="23">
        <f>(R3012-S3012)*M3012</f>
        <v/>
      </c>
      <c r="U3012" s="23">
        <f>R3012-S3012-T3012</f>
        <v/>
      </c>
      <c r="V3012" s="23">
        <f>D3012*P3012</f>
        <v/>
      </c>
      <c r="W3012" s="23">
        <f>U3012-V3012</f>
        <v/>
      </c>
      <c r="X3012" s="24">
        <f>IFERROR(W3012/U3012,0)</f>
        <v/>
      </c>
    </row>
    <row r="3013">
      <c r="A3013" s="25">
        <f>ItensPedido!A3013</f>
        <v/>
      </c>
      <c r="B3013" s="25">
        <f>ItensPedido!B3013</f>
        <v/>
      </c>
      <c r="C3013" s="25">
        <f>ItensPedido!C3013</f>
        <v/>
      </c>
      <c r="D3013" s="25">
        <f>ItensPedido!D3013</f>
        <v/>
      </c>
      <c r="E3013" s="26">
        <f>ItensPedido!E3013</f>
        <v/>
      </c>
      <c r="F3013" s="25">
        <f>IFERROR(INDEX(Pedidos!$B$2:$B$1801,MATCH(B3013,Pedidos!$A$2:$A$1801,0)),0)</f>
        <v/>
      </c>
      <c r="G3013" s="25">
        <f>IF(F3013=0,"",YEAR(F3013))</f>
        <v/>
      </c>
      <c r="H3013" s="25">
        <f>IF(F3013=0,"",MONTH(F3013))</f>
        <v/>
      </c>
      <c r="I3013" s="25">
        <f>IFERROR(INDEX(Pedidos!$E$2:$E$1801,MATCH(B3013,Pedidos!$A$2:$A$1801,0)),"")</f>
        <v/>
      </c>
      <c r="J3013" s="25">
        <f>IFERROR(INDEX(Pedidos!$C$2:$C$1801,MATCH(B3013,Pedidos!$A$2:$A$1801,0)),"")</f>
        <v/>
      </c>
      <c r="K3013" s="25">
        <f>IFERROR(INDEX(Pedidos!$D$2:$D$1801,MATCH(B3013,Pedidos!$A$2:$A$1801,0)),"")</f>
        <v/>
      </c>
      <c r="L3013" s="25">
        <f>IFERROR(INDEX(Pedidos!$F$2:$F$1801,MATCH(B3013,Pedidos!$A$2:$A$1801,0)),"")</f>
        <v/>
      </c>
      <c r="M3013" s="26">
        <f>IFERROR(INDEX(Pedidos!$G$2:$G$1801,MATCH(B3013,Pedidos!$A$2:$A$1801,0)),0)</f>
        <v/>
      </c>
      <c r="N3013" s="25">
        <f>IFERROR(INDEX(Produtos!$B$2:$B$71,MATCH(C3013,Produtos!$A$2:$A$71,0)),"")</f>
        <v/>
      </c>
      <c r="O3013" s="25">
        <f>IFERROR(INDEX(Produtos!$C$2:$C$71,MATCH(C3013,Produtos!$A$2:$A$71,0)),"")</f>
        <v/>
      </c>
      <c r="P3013" s="25">
        <f>IFERROR(INDEX(Produtos!$D$2:$D$71,MATCH(C3013,Produtos!$A$2:$A$71,0)),0)</f>
        <v/>
      </c>
      <c r="Q3013" s="25">
        <f>IFERROR(INDEX(Produtos!$E$2:$E$71,MATCH(C3013,Produtos!$A$2:$A$71,0)),0)</f>
        <v/>
      </c>
      <c r="R3013" s="27">
        <f>D3013*Q3013</f>
        <v/>
      </c>
      <c r="S3013" s="27">
        <f>R3013*E3013</f>
        <v/>
      </c>
      <c r="T3013" s="27">
        <f>(R3013-S3013)*M3013</f>
        <v/>
      </c>
      <c r="U3013" s="27">
        <f>R3013-S3013-T3013</f>
        <v/>
      </c>
      <c r="V3013" s="27">
        <f>D3013*P3013</f>
        <v/>
      </c>
      <c r="W3013" s="27">
        <f>U3013-V3013</f>
        <v/>
      </c>
      <c r="X3013" s="28">
        <f>IFERROR(W3013/U3013,0)</f>
        <v/>
      </c>
    </row>
    <row r="3014">
      <c r="A3014" s="21">
        <f>ItensPedido!A3014</f>
        <v/>
      </c>
      <c r="B3014" s="21">
        <f>ItensPedido!B3014</f>
        <v/>
      </c>
      <c r="C3014" s="21">
        <f>ItensPedido!C3014</f>
        <v/>
      </c>
      <c r="D3014" s="21">
        <f>ItensPedido!D3014</f>
        <v/>
      </c>
      <c r="E3014" s="22">
        <f>ItensPedido!E3014</f>
        <v/>
      </c>
      <c r="F3014" s="21">
        <f>IFERROR(INDEX(Pedidos!$B$2:$B$1801,MATCH(B3014,Pedidos!$A$2:$A$1801,0)),0)</f>
        <v/>
      </c>
      <c r="G3014" s="21">
        <f>IF(F3014=0,"",YEAR(F3014))</f>
        <v/>
      </c>
      <c r="H3014" s="21">
        <f>IF(F3014=0,"",MONTH(F3014))</f>
        <v/>
      </c>
      <c r="I3014" s="21">
        <f>IFERROR(INDEX(Pedidos!$E$2:$E$1801,MATCH(B3014,Pedidos!$A$2:$A$1801,0)),"")</f>
        <v/>
      </c>
      <c r="J3014" s="21">
        <f>IFERROR(INDEX(Pedidos!$C$2:$C$1801,MATCH(B3014,Pedidos!$A$2:$A$1801,0)),"")</f>
        <v/>
      </c>
      <c r="K3014" s="21">
        <f>IFERROR(INDEX(Pedidos!$D$2:$D$1801,MATCH(B3014,Pedidos!$A$2:$A$1801,0)),"")</f>
        <v/>
      </c>
      <c r="L3014" s="21">
        <f>IFERROR(INDEX(Pedidos!$F$2:$F$1801,MATCH(B3014,Pedidos!$A$2:$A$1801,0)),"")</f>
        <v/>
      </c>
      <c r="M3014" s="22">
        <f>IFERROR(INDEX(Pedidos!$G$2:$G$1801,MATCH(B3014,Pedidos!$A$2:$A$1801,0)),0)</f>
        <v/>
      </c>
      <c r="N3014" s="21">
        <f>IFERROR(INDEX(Produtos!$B$2:$B$71,MATCH(C3014,Produtos!$A$2:$A$71,0)),"")</f>
        <v/>
      </c>
      <c r="O3014" s="21">
        <f>IFERROR(INDEX(Produtos!$C$2:$C$71,MATCH(C3014,Produtos!$A$2:$A$71,0)),"")</f>
        <v/>
      </c>
      <c r="P3014" s="21">
        <f>IFERROR(INDEX(Produtos!$D$2:$D$71,MATCH(C3014,Produtos!$A$2:$A$71,0)),0)</f>
        <v/>
      </c>
      <c r="Q3014" s="21">
        <f>IFERROR(INDEX(Produtos!$E$2:$E$71,MATCH(C3014,Produtos!$A$2:$A$71,0)),0)</f>
        <v/>
      </c>
      <c r="R3014" s="23">
        <f>D3014*Q3014</f>
        <v/>
      </c>
      <c r="S3014" s="23">
        <f>R3014*E3014</f>
        <v/>
      </c>
      <c r="T3014" s="23">
        <f>(R3014-S3014)*M3014</f>
        <v/>
      </c>
      <c r="U3014" s="23">
        <f>R3014-S3014-T3014</f>
        <v/>
      </c>
      <c r="V3014" s="23">
        <f>D3014*P3014</f>
        <v/>
      </c>
      <c r="W3014" s="23">
        <f>U3014-V3014</f>
        <v/>
      </c>
      <c r="X3014" s="24">
        <f>IFERROR(W3014/U3014,0)</f>
        <v/>
      </c>
    </row>
    <row r="3015">
      <c r="A3015" s="25">
        <f>ItensPedido!A3015</f>
        <v/>
      </c>
      <c r="B3015" s="25">
        <f>ItensPedido!B3015</f>
        <v/>
      </c>
      <c r="C3015" s="25">
        <f>ItensPedido!C3015</f>
        <v/>
      </c>
      <c r="D3015" s="25">
        <f>ItensPedido!D3015</f>
        <v/>
      </c>
      <c r="E3015" s="26">
        <f>ItensPedido!E3015</f>
        <v/>
      </c>
      <c r="F3015" s="25">
        <f>IFERROR(INDEX(Pedidos!$B$2:$B$1801,MATCH(B3015,Pedidos!$A$2:$A$1801,0)),0)</f>
        <v/>
      </c>
      <c r="G3015" s="25">
        <f>IF(F3015=0,"",YEAR(F3015))</f>
        <v/>
      </c>
      <c r="H3015" s="25">
        <f>IF(F3015=0,"",MONTH(F3015))</f>
        <v/>
      </c>
      <c r="I3015" s="25">
        <f>IFERROR(INDEX(Pedidos!$E$2:$E$1801,MATCH(B3015,Pedidos!$A$2:$A$1801,0)),"")</f>
        <v/>
      </c>
      <c r="J3015" s="25">
        <f>IFERROR(INDEX(Pedidos!$C$2:$C$1801,MATCH(B3015,Pedidos!$A$2:$A$1801,0)),"")</f>
        <v/>
      </c>
      <c r="K3015" s="25">
        <f>IFERROR(INDEX(Pedidos!$D$2:$D$1801,MATCH(B3015,Pedidos!$A$2:$A$1801,0)),"")</f>
        <v/>
      </c>
      <c r="L3015" s="25">
        <f>IFERROR(INDEX(Pedidos!$F$2:$F$1801,MATCH(B3015,Pedidos!$A$2:$A$1801,0)),"")</f>
        <v/>
      </c>
      <c r="M3015" s="26">
        <f>IFERROR(INDEX(Pedidos!$G$2:$G$1801,MATCH(B3015,Pedidos!$A$2:$A$1801,0)),0)</f>
        <v/>
      </c>
      <c r="N3015" s="25">
        <f>IFERROR(INDEX(Produtos!$B$2:$B$71,MATCH(C3015,Produtos!$A$2:$A$71,0)),"")</f>
        <v/>
      </c>
      <c r="O3015" s="25">
        <f>IFERROR(INDEX(Produtos!$C$2:$C$71,MATCH(C3015,Produtos!$A$2:$A$71,0)),"")</f>
        <v/>
      </c>
      <c r="P3015" s="25">
        <f>IFERROR(INDEX(Produtos!$D$2:$D$71,MATCH(C3015,Produtos!$A$2:$A$71,0)),0)</f>
        <v/>
      </c>
      <c r="Q3015" s="25">
        <f>IFERROR(INDEX(Produtos!$E$2:$E$71,MATCH(C3015,Produtos!$A$2:$A$71,0)),0)</f>
        <v/>
      </c>
      <c r="R3015" s="27">
        <f>D3015*Q3015</f>
        <v/>
      </c>
      <c r="S3015" s="27">
        <f>R3015*E3015</f>
        <v/>
      </c>
      <c r="T3015" s="27">
        <f>(R3015-S3015)*M3015</f>
        <v/>
      </c>
      <c r="U3015" s="27">
        <f>R3015-S3015-T3015</f>
        <v/>
      </c>
      <c r="V3015" s="27">
        <f>D3015*P3015</f>
        <v/>
      </c>
      <c r="W3015" s="27">
        <f>U3015-V3015</f>
        <v/>
      </c>
      <c r="X3015" s="28">
        <f>IFERROR(W3015/U3015,0)</f>
        <v/>
      </c>
    </row>
    <row r="3016">
      <c r="A3016" s="21">
        <f>ItensPedido!A3016</f>
        <v/>
      </c>
      <c r="B3016" s="21">
        <f>ItensPedido!B3016</f>
        <v/>
      </c>
      <c r="C3016" s="21">
        <f>ItensPedido!C3016</f>
        <v/>
      </c>
      <c r="D3016" s="21">
        <f>ItensPedido!D3016</f>
        <v/>
      </c>
      <c r="E3016" s="22">
        <f>ItensPedido!E3016</f>
        <v/>
      </c>
      <c r="F3016" s="21">
        <f>IFERROR(INDEX(Pedidos!$B$2:$B$1801,MATCH(B3016,Pedidos!$A$2:$A$1801,0)),0)</f>
        <v/>
      </c>
      <c r="G3016" s="21">
        <f>IF(F3016=0,"",YEAR(F3016))</f>
        <v/>
      </c>
      <c r="H3016" s="21">
        <f>IF(F3016=0,"",MONTH(F3016))</f>
        <v/>
      </c>
      <c r="I3016" s="21">
        <f>IFERROR(INDEX(Pedidos!$E$2:$E$1801,MATCH(B3016,Pedidos!$A$2:$A$1801,0)),"")</f>
        <v/>
      </c>
      <c r="J3016" s="21">
        <f>IFERROR(INDEX(Pedidos!$C$2:$C$1801,MATCH(B3016,Pedidos!$A$2:$A$1801,0)),"")</f>
        <v/>
      </c>
      <c r="K3016" s="21">
        <f>IFERROR(INDEX(Pedidos!$D$2:$D$1801,MATCH(B3016,Pedidos!$A$2:$A$1801,0)),"")</f>
        <v/>
      </c>
      <c r="L3016" s="21">
        <f>IFERROR(INDEX(Pedidos!$F$2:$F$1801,MATCH(B3016,Pedidos!$A$2:$A$1801,0)),"")</f>
        <v/>
      </c>
      <c r="M3016" s="22">
        <f>IFERROR(INDEX(Pedidos!$G$2:$G$1801,MATCH(B3016,Pedidos!$A$2:$A$1801,0)),0)</f>
        <v/>
      </c>
      <c r="N3016" s="21">
        <f>IFERROR(INDEX(Produtos!$B$2:$B$71,MATCH(C3016,Produtos!$A$2:$A$71,0)),"")</f>
        <v/>
      </c>
      <c r="O3016" s="21">
        <f>IFERROR(INDEX(Produtos!$C$2:$C$71,MATCH(C3016,Produtos!$A$2:$A$71,0)),"")</f>
        <v/>
      </c>
      <c r="P3016" s="21">
        <f>IFERROR(INDEX(Produtos!$D$2:$D$71,MATCH(C3016,Produtos!$A$2:$A$71,0)),0)</f>
        <v/>
      </c>
      <c r="Q3016" s="21">
        <f>IFERROR(INDEX(Produtos!$E$2:$E$71,MATCH(C3016,Produtos!$A$2:$A$71,0)),0)</f>
        <v/>
      </c>
      <c r="R3016" s="23">
        <f>D3016*Q3016</f>
        <v/>
      </c>
      <c r="S3016" s="23">
        <f>R3016*E3016</f>
        <v/>
      </c>
      <c r="T3016" s="23">
        <f>(R3016-S3016)*M3016</f>
        <v/>
      </c>
      <c r="U3016" s="23">
        <f>R3016-S3016-T3016</f>
        <v/>
      </c>
      <c r="V3016" s="23">
        <f>D3016*P3016</f>
        <v/>
      </c>
      <c r="W3016" s="23">
        <f>U3016-V3016</f>
        <v/>
      </c>
      <c r="X3016" s="24">
        <f>IFERROR(W3016/U3016,0)</f>
        <v/>
      </c>
    </row>
    <row r="3017">
      <c r="A3017" s="25">
        <f>ItensPedido!A3017</f>
        <v/>
      </c>
      <c r="B3017" s="25">
        <f>ItensPedido!B3017</f>
        <v/>
      </c>
      <c r="C3017" s="25">
        <f>ItensPedido!C3017</f>
        <v/>
      </c>
      <c r="D3017" s="25">
        <f>ItensPedido!D3017</f>
        <v/>
      </c>
      <c r="E3017" s="26">
        <f>ItensPedido!E3017</f>
        <v/>
      </c>
      <c r="F3017" s="25">
        <f>IFERROR(INDEX(Pedidos!$B$2:$B$1801,MATCH(B3017,Pedidos!$A$2:$A$1801,0)),0)</f>
        <v/>
      </c>
      <c r="G3017" s="25">
        <f>IF(F3017=0,"",YEAR(F3017))</f>
        <v/>
      </c>
      <c r="H3017" s="25">
        <f>IF(F3017=0,"",MONTH(F3017))</f>
        <v/>
      </c>
      <c r="I3017" s="25">
        <f>IFERROR(INDEX(Pedidos!$E$2:$E$1801,MATCH(B3017,Pedidos!$A$2:$A$1801,0)),"")</f>
        <v/>
      </c>
      <c r="J3017" s="25">
        <f>IFERROR(INDEX(Pedidos!$C$2:$C$1801,MATCH(B3017,Pedidos!$A$2:$A$1801,0)),"")</f>
        <v/>
      </c>
      <c r="K3017" s="25">
        <f>IFERROR(INDEX(Pedidos!$D$2:$D$1801,MATCH(B3017,Pedidos!$A$2:$A$1801,0)),"")</f>
        <v/>
      </c>
      <c r="L3017" s="25">
        <f>IFERROR(INDEX(Pedidos!$F$2:$F$1801,MATCH(B3017,Pedidos!$A$2:$A$1801,0)),"")</f>
        <v/>
      </c>
      <c r="M3017" s="26">
        <f>IFERROR(INDEX(Pedidos!$G$2:$G$1801,MATCH(B3017,Pedidos!$A$2:$A$1801,0)),0)</f>
        <v/>
      </c>
      <c r="N3017" s="25">
        <f>IFERROR(INDEX(Produtos!$B$2:$B$71,MATCH(C3017,Produtos!$A$2:$A$71,0)),"")</f>
        <v/>
      </c>
      <c r="O3017" s="25">
        <f>IFERROR(INDEX(Produtos!$C$2:$C$71,MATCH(C3017,Produtos!$A$2:$A$71,0)),"")</f>
        <v/>
      </c>
      <c r="P3017" s="25">
        <f>IFERROR(INDEX(Produtos!$D$2:$D$71,MATCH(C3017,Produtos!$A$2:$A$71,0)),0)</f>
        <v/>
      </c>
      <c r="Q3017" s="25">
        <f>IFERROR(INDEX(Produtos!$E$2:$E$71,MATCH(C3017,Produtos!$A$2:$A$71,0)),0)</f>
        <v/>
      </c>
      <c r="R3017" s="27">
        <f>D3017*Q3017</f>
        <v/>
      </c>
      <c r="S3017" s="27">
        <f>R3017*E3017</f>
        <v/>
      </c>
      <c r="T3017" s="27">
        <f>(R3017-S3017)*M3017</f>
        <v/>
      </c>
      <c r="U3017" s="27">
        <f>R3017-S3017-T3017</f>
        <v/>
      </c>
      <c r="V3017" s="27">
        <f>D3017*P3017</f>
        <v/>
      </c>
      <c r="W3017" s="27">
        <f>U3017-V3017</f>
        <v/>
      </c>
      <c r="X3017" s="28">
        <f>IFERROR(W3017/U3017,0)</f>
        <v/>
      </c>
    </row>
    <row r="3018">
      <c r="A3018" s="21">
        <f>ItensPedido!A3018</f>
        <v/>
      </c>
      <c r="B3018" s="21">
        <f>ItensPedido!B3018</f>
        <v/>
      </c>
      <c r="C3018" s="21">
        <f>ItensPedido!C3018</f>
        <v/>
      </c>
      <c r="D3018" s="21">
        <f>ItensPedido!D3018</f>
        <v/>
      </c>
      <c r="E3018" s="22">
        <f>ItensPedido!E3018</f>
        <v/>
      </c>
      <c r="F3018" s="21">
        <f>IFERROR(INDEX(Pedidos!$B$2:$B$1801,MATCH(B3018,Pedidos!$A$2:$A$1801,0)),0)</f>
        <v/>
      </c>
      <c r="G3018" s="21">
        <f>IF(F3018=0,"",YEAR(F3018))</f>
        <v/>
      </c>
      <c r="H3018" s="21">
        <f>IF(F3018=0,"",MONTH(F3018))</f>
        <v/>
      </c>
      <c r="I3018" s="21">
        <f>IFERROR(INDEX(Pedidos!$E$2:$E$1801,MATCH(B3018,Pedidos!$A$2:$A$1801,0)),"")</f>
        <v/>
      </c>
      <c r="J3018" s="21">
        <f>IFERROR(INDEX(Pedidos!$C$2:$C$1801,MATCH(B3018,Pedidos!$A$2:$A$1801,0)),"")</f>
        <v/>
      </c>
      <c r="K3018" s="21">
        <f>IFERROR(INDEX(Pedidos!$D$2:$D$1801,MATCH(B3018,Pedidos!$A$2:$A$1801,0)),"")</f>
        <v/>
      </c>
      <c r="L3018" s="21">
        <f>IFERROR(INDEX(Pedidos!$F$2:$F$1801,MATCH(B3018,Pedidos!$A$2:$A$1801,0)),"")</f>
        <v/>
      </c>
      <c r="M3018" s="22">
        <f>IFERROR(INDEX(Pedidos!$G$2:$G$1801,MATCH(B3018,Pedidos!$A$2:$A$1801,0)),0)</f>
        <v/>
      </c>
      <c r="N3018" s="21">
        <f>IFERROR(INDEX(Produtos!$B$2:$B$71,MATCH(C3018,Produtos!$A$2:$A$71,0)),"")</f>
        <v/>
      </c>
      <c r="O3018" s="21">
        <f>IFERROR(INDEX(Produtos!$C$2:$C$71,MATCH(C3018,Produtos!$A$2:$A$71,0)),"")</f>
        <v/>
      </c>
      <c r="P3018" s="21">
        <f>IFERROR(INDEX(Produtos!$D$2:$D$71,MATCH(C3018,Produtos!$A$2:$A$71,0)),0)</f>
        <v/>
      </c>
      <c r="Q3018" s="21">
        <f>IFERROR(INDEX(Produtos!$E$2:$E$71,MATCH(C3018,Produtos!$A$2:$A$71,0)),0)</f>
        <v/>
      </c>
      <c r="R3018" s="23">
        <f>D3018*Q3018</f>
        <v/>
      </c>
      <c r="S3018" s="23">
        <f>R3018*E3018</f>
        <v/>
      </c>
      <c r="T3018" s="23">
        <f>(R3018-S3018)*M3018</f>
        <v/>
      </c>
      <c r="U3018" s="23">
        <f>R3018-S3018-T3018</f>
        <v/>
      </c>
      <c r="V3018" s="23">
        <f>D3018*P3018</f>
        <v/>
      </c>
      <c r="W3018" s="23">
        <f>U3018-V3018</f>
        <v/>
      </c>
      <c r="X3018" s="24">
        <f>IFERROR(W3018/U3018,0)</f>
        <v/>
      </c>
    </row>
    <row r="3019">
      <c r="A3019" s="25">
        <f>ItensPedido!A3019</f>
        <v/>
      </c>
      <c r="B3019" s="25">
        <f>ItensPedido!B3019</f>
        <v/>
      </c>
      <c r="C3019" s="25">
        <f>ItensPedido!C3019</f>
        <v/>
      </c>
      <c r="D3019" s="25">
        <f>ItensPedido!D3019</f>
        <v/>
      </c>
      <c r="E3019" s="26">
        <f>ItensPedido!E3019</f>
        <v/>
      </c>
      <c r="F3019" s="25">
        <f>IFERROR(INDEX(Pedidos!$B$2:$B$1801,MATCH(B3019,Pedidos!$A$2:$A$1801,0)),0)</f>
        <v/>
      </c>
      <c r="G3019" s="25">
        <f>IF(F3019=0,"",YEAR(F3019))</f>
        <v/>
      </c>
      <c r="H3019" s="25">
        <f>IF(F3019=0,"",MONTH(F3019))</f>
        <v/>
      </c>
      <c r="I3019" s="25">
        <f>IFERROR(INDEX(Pedidos!$E$2:$E$1801,MATCH(B3019,Pedidos!$A$2:$A$1801,0)),"")</f>
        <v/>
      </c>
      <c r="J3019" s="25">
        <f>IFERROR(INDEX(Pedidos!$C$2:$C$1801,MATCH(B3019,Pedidos!$A$2:$A$1801,0)),"")</f>
        <v/>
      </c>
      <c r="K3019" s="25">
        <f>IFERROR(INDEX(Pedidos!$D$2:$D$1801,MATCH(B3019,Pedidos!$A$2:$A$1801,0)),"")</f>
        <v/>
      </c>
      <c r="L3019" s="25">
        <f>IFERROR(INDEX(Pedidos!$F$2:$F$1801,MATCH(B3019,Pedidos!$A$2:$A$1801,0)),"")</f>
        <v/>
      </c>
      <c r="M3019" s="26">
        <f>IFERROR(INDEX(Pedidos!$G$2:$G$1801,MATCH(B3019,Pedidos!$A$2:$A$1801,0)),0)</f>
        <v/>
      </c>
      <c r="N3019" s="25">
        <f>IFERROR(INDEX(Produtos!$B$2:$B$71,MATCH(C3019,Produtos!$A$2:$A$71,0)),"")</f>
        <v/>
      </c>
      <c r="O3019" s="25">
        <f>IFERROR(INDEX(Produtos!$C$2:$C$71,MATCH(C3019,Produtos!$A$2:$A$71,0)),"")</f>
        <v/>
      </c>
      <c r="P3019" s="25">
        <f>IFERROR(INDEX(Produtos!$D$2:$D$71,MATCH(C3019,Produtos!$A$2:$A$71,0)),0)</f>
        <v/>
      </c>
      <c r="Q3019" s="25">
        <f>IFERROR(INDEX(Produtos!$E$2:$E$71,MATCH(C3019,Produtos!$A$2:$A$71,0)),0)</f>
        <v/>
      </c>
      <c r="R3019" s="27">
        <f>D3019*Q3019</f>
        <v/>
      </c>
      <c r="S3019" s="27">
        <f>R3019*E3019</f>
        <v/>
      </c>
      <c r="T3019" s="27">
        <f>(R3019-S3019)*M3019</f>
        <v/>
      </c>
      <c r="U3019" s="27">
        <f>R3019-S3019-T3019</f>
        <v/>
      </c>
      <c r="V3019" s="27">
        <f>D3019*P3019</f>
        <v/>
      </c>
      <c r="W3019" s="27">
        <f>U3019-V3019</f>
        <v/>
      </c>
      <c r="X3019" s="28">
        <f>IFERROR(W3019/U3019,0)</f>
        <v/>
      </c>
    </row>
    <row r="3020">
      <c r="A3020" s="21">
        <f>ItensPedido!A3020</f>
        <v/>
      </c>
      <c r="B3020" s="21">
        <f>ItensPedido!B3020</f>
        <v/>
      </c>
      <c r="C3020" s="21">
        <f>ItensPedido!C3020</f>
        <v/>
      </c>
      <c r="D3020" s="21">
        <f>ItensPedido!D3020</f>
        <v/>
      </c>
      <c r="E3020" s="22">
        <f>ItensPedido!E3020</f>
        <v/>
      </c>
      <c r="F3020" s="21">
        <f>IFERROR(INDEX(Pedidos!$B$2:$B$1801,MATCH(B3020,Pedidos!$A$2:$A$1801,0)),0)</f>
        <v/>
      </c>
      <c r="G3020" s="21">
        <f>IF(F3020=0,"",YEAR(F3020))</f>
        <v/>
      </c>
      <c r="H3020" s="21">
        <f>IF(F3020=0,"",MONTH(F3020))</f>
        <v/>
      </c>
      <c r="I3020" s="21">
        <f>IFERROR(INDEX(Pedidos!$E$2:$E$1801,MATCH(B3020,Pedidos!$A$2:$A$1801,0)),"")</f>
        <v/>
      </c>
      <c r="J3020" s="21">
        <f>IFERROR(INDEX(Pedidos!$C$2:$C$1801,MATCH(B3020,Pedidos!$A$2:$A$1801,0)),"")</f>
        <v/>
      </c>
      <c r="K3020" s="21">
        <f>IFERROR(INDEX(Pedidos!$D$2:$D$1801,MATCH(B3020,Pedidos!$A$2:$A$1801,0)),"")</f>
        <v/>
      </c>
      <c r="L3020" s="21">
        <f>IFERROR(INDEX(Pedidos!$F$2:$F$1801,MATCH(B3020,Pedidos!$A$2:$A$1801,0)),"")</f>
        <v/>
      </c>
      <c r="M3020" s="22">
        <f>IFERROR(INDEX(Pedidos!$G$2:$G$1801,MATCH(B3020,Pedidos!$A$2:$A$1801,0)),0)</f>
        <v/>
      </c>
      <c r="N3020" s="21">
        <f>IFERROR(INDEX(Produtos!$B$2:$B$71,MATCH(C3020,Produtos!$A$2:$A$71,0)),"")</f>
        <v/>
      </c>
      <c r="O3020" s="21">
        <f>IFERROR(INDEX(Produtos!$C$2:$C$71,MATCH(C3020,Produtos!$A$2:$A$71,0)),"")</f>
        <v/>
      </c>
      <c r="P3020" s="21">
        <f>IFERROR(INDEX(Produtos!$D$2:$D$71,MATCH(C3020,Produtos!$A$2:$A$71,0)),0)</f>
        <v/>
      </c>
      <c r="Q3020" s="21">
        <f>IFERROR(INDEX(Produtos!$E$2:$E$71,MATCH(C3020,Produtos!$A$2:$A$71,0)),0)</f>
        <v/>
      </c>
      <c r="R3020" s="23">
        <f>D3020*Q3020</f>
        <v/>
      </c>
      <c r="S3020" s="23">
        <f>R3020*E3020</f>
        <v/>
      </c>
      <c r="T3020" s="23">
        <f>(R3020-S3020)*M3020</f>
        <v/>
      </c>
      <c r="U3020" s="23">
        <f>R3020-S3020-T3020</f>
        <v/>
      </c>
      <c r="V3020" s="23">
        <f>D3020*P3020</f>
        <v/>
      </c>
      <c r="W3020" s="23">
        <f>U3020-V3020</f>
        <v/>
      </c>
      <c r="X3020" s="24">
        <f>IFERROR(W3020/U3020,0)</f>
        <v/>
      </c>
    </row>
    <row r="3021">
      <c r="A3021" s="25">
        <f>ItensPedido!A3021</f>
        <v/>
      </c>
      <c r="B3021" s="25">
        <f>ItensPedido!B3021</f>
        <v/>
      </c>
      <c r="C3021" s="25">
        <f>ItensPedido!C3021</f>
        <v/>
      </c>
      <c r="D3021" s="25">
        <f>ItensPedido!D3021</f>
        <v/>
      </c>
      <c r="E3021" s="26">
        <f>ItensPedido!E3021</f>
        <v/>
      </c>
      <c r="F3021" s="25">
        <f>IFERROR(INDEX(Pedidos!$B$2:$B$1801,MATCH(B3021,Pedidos!$A$2:$A$1801,0)),0)</f>
        <v/>
      </c>
      <c r="G3021" s="25">
        <f>IF(F3021=0,"",YEAR(F3021))</f>
        <v/>
      </c>
      <c r="H3021" s="25">
        <f>IF(F3021=0,"",MONTH(F3021))</f>
        <v/>
      </c>
      <c r="I3021" s="25">
        <f>IFERROR(INDEX(Pedidos!$E$2:$E$1801,MATCH(B3021,Pedidos!$A$2:$A$1801,0)),"")</f>
        <v/>
      </c>
      <c r="J3021" s="25">
        <f>IFERROR(INDEX(Pedidos!$C$2:$C$1801,MATCH(B3021,Pedidos!$A$2:$A$1801,0)),"")</f>
        <v/>
      </c>
      <c r="K3021" s="25">
        <f>IFERROR(INDEX(Pedidos!$D$2:$D$1801,MATCH(B3021,Pedidos!$A$2:$A$1801,0)),"")</f>
        <v/>
      </c>
      <c r="L3021" s="25">
        <f>IFERROR(INDEX(Pedidos!$F$2:$F$1801,MATCH(B3021,Pedidos!$A$2:$A$1801,0)),"")</f>
        <v/>
      </c>
      <c r="M3021" s="26">
        <f>IFERROR(INDEX(Pedidos!$G$2:$G$1801,MATCH(B3021,Pedidos!$A$2:$A$1801,0)),0)</f>
        <v/>
      </c>
      <c r="N3021" s="25">
        <f>IFERROR(INDEX(Produtos!$B$2:$B$71,MATCH(C3021,Produtos!$A$2:$A$71,0)),"")</f>
        <v/>
      </c>
      <c r="O3021" s="25">
        <f>IFERROR(INDEX(Produtos!$C$2:$C$71,MATCH(C3021,Produtos!$A$2:$A$71,0)),"")</f>
        <v/>
      </c>
      <c r="P3021" s="25">
        <f>IFERROR(INDEX(Produtos!$D$2:$D$71,MATCH(C3021,Produtos!$A$2:$A$71,0)),0)</f>
        <v/>
      </c>
      <c r="Q3021" s="25">
        <f>IFERROR(INDEX(Produtos!$E$2:$E$71,MATCH(C3021,Produtos!$A$2:$A$71,0)),0)</f>
        <v/>
      </c>
      <c r="R3021" s="27">
        <f>D3021*Q3021</f>
        <v/>
      </c>
      <c r="S3021" s="27">
        <f>R3021*E3021</f>
        <v/>
      </c>
      <c r="T3021" s="27">
        <f>(R3021-S3021)*M3021</f>
        <v/>
      </c>
      <c r="U3021" s="27">
        <f>R3021-S3021-T3021</f>
        <v/>
      </c>
      <c r="V3021" s="27">
        <f>D3021*P3021</f>
        <v/>
      </c>
      <c r="W3021" s="27">
        <f>U3021-V3021</f>
        <v/>
      </c>
      <c r="X3021" s="28">
        <f>IFERROR(W3021/U3021,0)</f>
        <v/>
      </c>
    </row>
    <row r="3022">
      <c r="A3022" s="21">
        <f>ItensPedido!A3022</f>
        <v/>
      </c>
      <c r="B3022" s="21">
        <f>ItensPedido!B3022</f>
        <v/>
      </c>
      <c r="C3022" s="21">
        <f>ItensPedido!C3022</f>
        <v/>
      </c>
      <c r="D3022" s="21">
        <f>ItensPedido!D3022</f>
        <v/>
      </c>
      <c r="E3022" s="22">
        <f>ItensPedido!E3022</f>
        <v/>
      </c>
      <c r="F3022" s="21">
        <f>IFERROR(INDEX(Pedidos!$B$2:$B$1801,MATCH(B3022,Pedidos!$A$2:$A$1801,0)),0)</f>
        <v/>
      </c>
      <c r="G3022" s="21">
        <f>IF(F3022=0,"",YEAR(F3022))</f>
        <v/>
      </c>
      <c r="H3022" s="21">
        <f>IF(F3022=0,"",MONTH(F3022))</f>
        <v/>
      </c>
      <c r="I3022" s="21">
        <f>IFERROR(INDEX(Pedidos!$E$2:$E$1801,MATCH(B3022,Pedidos!$A$2:$A$1801,0)),"")</f>
        <v/>
      </c>
      <c r="J3022" s="21">
        <f>IFERROR(INDEX(Pedidos!$C$2:$C$1801,MATCH(B3022,Pedidos!$A$2:$A$1801,0)),"")</f>
        <v/>
      </c>
      <c r="K3022" s="21">
        <f>IFERROR(INDEX(Pedidos!$D$2:$D$1801,MATCH(B3022,Pedidos!$A$2:$A$1801,0)),"")</f>
        <v/>
      </c>
      <c r="L3022" s="21">
        <f>IFERROR(INDEX(Pedidos!$F$2:$F$1801,MATCH(B3022,Pedidos!$A$2:$A$1801,0)),"")</f>
        <v/>
      </c>
      <c r="M3022" s="22">
        <f>IFERROR(INDEX(Pedidos!$G$2:$G$1801,MATCH(B3022,Pedidos!$A$2:$A$1801,0)),0)</f>
        <v/>
      </c>
      <c r="N3022" s="21">
        <f>IFERROR(INDEX(Produtos!$B$2:$B$71,MATCH(C3022,Produtos!$A$2:$A$71,0)),"")</f>
        <v/>
      </c>
      <c r="O3022" s="21">
        <f>IFERROR(INDEX(Produtos!$C$2:$C$71,MATCH(C3022,Produtos!$A$2:$A$71,0)),"")</f>
        <v/>
      </c>
      <c r="P3022" s="21">
        <f>IFERROR(INDEX(Produtos!$D$2:$D$71,MATCH(C3022,Produtos!$A$2:$A$71,0)),0)</f>
        <v/>
      </c>
      <c r="Q3022" s="21">
        <f>IFERROR(INDEX(Produtos!$E$2:$E$71,MATCH(C3022,Produtos!$A$2:$A$71,0)),0)</f>
        <v/>
      </c>
      <c r="R3022" s="23">
        <f>D3022*Q3022</f>
        <v/>
      </c>
      <c r="S3022" s="23">
        <f>R3022*E3022</f>
        <v/>
      </c>
      <c r="T3022" s="23">
        <f>(R3022-S3022)*M3022</f>
        <v/>
      </c>
      <c r="U3022" s="23">
        <f>R3022-S3022-T3022</f>
        <v/>
      </c>
      <c r="V3022" s="23">
        <f>D3022*P3022</f>
        <v/>
      </c>
      <c r="W3022" s="23">
        <f>U3022-V3022</f>
        <v/>
      </c>
      <c r="X3022" s="24">
        <f>IFERROR(W3022/U3022,0)</f>
        <v/>
      </c>
    </row>
    <row r="3023">
      <c r="A3023" s="25">
        <f>ItensPedido!A3023</f>
        <v/>
      </c>
      <c r="B3023" s="25">
        <f>ItensPedido!B3023</f>
        <v/>
      </c>
      <c r="C3023" s="25">
        <f>ItensPedido!C3023</f>
        <v/>
      </c>
      <c r="D3023" s="25">
        <f>ItensPedido!D3023</f>
        <v/>
      </c>
      <c r="E3023" s="26">
        <f>ItensPedido!E3023</f>
        <v/>
      </c>
      <c r="F3023" s="25">
        <f>IFERROR(INDEX(Pedidos!$B$2:$B$1801,MATCH(B3023,Pedidos!$A$2:$A$1801,0)),0)</f>
        <v/>
      </c>
      <c r="G3023" s="25">
        <f>IF(F3023=0,"",YEAR(F3023))</f>
        <v/>
      </c>
      <c r="H3023" s="25">
        <f>IF(F3023=0,"",MONTH(F3023))</f>
        <v/>
      </c>
      <c r="I3023" s="25">
        <f>IFERROR(INDEX(Pedidos!$E$2:$E$1801,MATCH(B3023,Pedidos!$A$2:$A$1801,0)),"")</f>
        <v/>
      </c>
      <c r="J3023" s="25">
        <f>IFERROR(INDEX(Pedidos!$C$2:$C$1801,MATCH(B3023,Pedidos!$A$2:$A$1801,0)),"")</f>
        <v/>
      </c>
      <c r="K3023" s="25">
        <f>IFERROR(INDEX(Pedidos!$D$2:$D$1801,MATCH(B3023,Pedidos!$A$2:$A$1801,0)),"")</f>
        <v/>
      </c>
      <c r="L3023" s="25">
        <f>IFERROR(INDEX(Pedidos!$F$2:$F$1801,MATCH(B3023,Pedidos!$A$2:$A$1801,0)),"")</f>
        <v/>
      </c>
      <c r="M3023" s="26">
        <f>IFERROR(INDEX(Pedidos!$G$2:$G$1801,MATCH(B3023,Pedidos!$A$2:$A$1801,0)),0)</f>
        <v/>
      </c>
      <c r="N3023" s="25">
        <f>IFERROR(INDEX(Produtos!$B$2:$B$71,MATCH(C3023,Produtos!$A$2:$A$71,0)),"")</f>
        <v/>
      </c>
      <c r="O3023" s="25">
        <f>IFERROR(INDEX(Produtos!$C$2:$C$71,MATCH(C3023,Produtos!$A$2:$A$71,0)),"")</f>
        <v/>
      </c>
      <c r="P3023" s="25">
        <f>IFERROR(INDEX(Produtos!$D$2:$D$71,MATCH(C3023,Produtos!$A$2:$A$71,0)),0)</f>
        <v/>
      </c>
      <c r="Q3023" s="25">
        <f>IFERROR(INDEX(Produtos!$E$2:$E$71,MATCH(C3023,Produtos!$A$2:$A$71,0)),0)</f>
        <v/>
      </c>
      <c r="R3023" s="27">
        <f>D3023*Q3023</f>
        <v/>
      </c>
      <c r="S3023" s="27">
        <f>R3023*E3023</f>
        <v/>
      </c>
      <c r="T3023" s="27">
        <f>(R3023-S3023)*M3023</f>
        <v/>
      </c>
      <c r="U3023" s="27">
        <f>R3023-S3023-T3023</f>
        <v/>
      </c>
      <c r="V3023" s="27">
        <f>D3023*P3023</f>
        <v/>
      </c>
      <c r="W3023" s="27">
        <f>U3023-V3023</f>
        <v/>
      </c>
      <c r="X3023" s="28">
        <f>IFERROR(W3023/U3023,0)</f>
        <v/>
      </c>
    </row>
    <row r="3024">
      <c r="A3024" s="21">
        <f>ItensPedido!A3024</f>
        <v/>
      </c>
      <c r="B3024" s="21">
        <f>ItensPedido!B3024</f>
        <v/>
      </c>
      <c r="C3024" s="21">
        <f>ItensPedido!C3024</f>
        <v/>
      </c>
      <c r="D3024" s="21">
        <f>ItensPedido!D3024</f>
        <v/>
      </c>
      <c r="E3024" s="22">
        <f>ItensPedido!E3024</f>
        <v/>
      </c>
      <c r="F3024" s="21">
        <f>IFERROR(INDEX(Pedidos!$B$2:$B$1801,MATCH(B3024,Pedidos!$A$2:$A$1801,0)),0)</f>
        <v/>
      </c>
      <c r="G3024" s="21">
        <f>IF(F3024=0,"",YEAR(F3024))</f>
        <v/>
      </c>
      <c r="H3024" s="21">
        <f>IF(F3024=0,"",MONTH(F3024))</f>
        <v/>
      </c>
      <c r="I3024" s="21">
        <f>IFERROR(INDEX(Pedidos!$E$2:$E$1801,MATCH(B3024,Pedidos!$A$2:$A$1801,0)),"")</f>
        <v/>
      </c>
      <c r="J3024" s="21">
        <f>IFERROR(INDEX(Pedidos!$C$2:$C$1801,MATCH(B3024,Pedidos!$A$2:$A$1801,0)),"")</f>
        <v/>
      </c>
      <c r="K3024" s="21">
        <f>IFERROR(INDEX(Pedidos!$D$2:$D$1801,MATCH(B3024,Pedidos!$A$2:$A$1801,0)),"")</f>
        <v/>
      </c>
      <c r="L3024" s="21">
        <f>IFERROR(INDEX(Pedidos!$F$2:$F$1801,MATCH(B3024,Pedidos!$A$2:$A$1801,0)),"")</f>
        <v/>
      </c>
      <c r="M3024" s="22">
        <f>IFERROR(INDEX(Pedidos!$G$2:$G$1801,MATCH(B3024,Pedidos!$A$2:$A$1801,0)),0)</f>
        <v/>
      </c>
      <c r="N3024" s="21">
        <f>IFERROR(INDEX(Produtos!$B$2:$B$71,MATCH(C3024,Produtos!$A$2:$A$71,0)),"")</f>
        <v/>
      </c>
      <c r="O3024" s="21">
        <f>IFERROR(INDEX(Produtos!$C$2:$C$71,MATCH(C3024,Produtos!$A$2:$A$71,0)),"")</f>
        <v/>
      </c>
      <c r="P3024" s="21">
        <f>IFERROR(INDEX(Produtos!$D$2:$D$71,MATCH(C3024,Produtos!$A$2:$A$71,0)),0)</f>
        <v/>
      </c>
      <c r="Q3024" s="21">
        <f>IFERROR(INDEX(Produtos!$E$2:$E$71,MATCH(C3024,Produtos!$A$2:$A$71,0)),0)</f>
        <v/>
      </c>
      <c r="R3024" s="23">
        <f>D3024*Q3024</f>
        <v/>
      </c>
      <c r="S3024" s="23">
        <f>R3024*E3024</f>
        <v/>
      </c>
      <c r="T3024" s="23">
        <f>(R3024-S3024)*M3024</f>
        <v/>
      </c>
      <c r="U3024" s="23">
        <f>R3024-S3024-T3024</f>
        <v/>
      </c>
      <c r="V3024" s="23">
        <f>D3024*P3024</f>
        <v/>
      </c>
      <c r="W3024" s="23">
        <f>U3024-V3024</f>
        <v/>
      </c>
      <c r="X3024" s="24">
        <f>IFERROR(W3024/U3024,0)</f>
        <v/>
      </c>
    </row>
    <row r="3025">
      <c r="A3025" s="25">
        <f>ItensPedido!A3025</f>
        <v/>
      </c>
      <c r="B3025" s="25">
        <f>ItensPedido!B3025</f>
        <v/>
      </c>
      <c r="C3025" s="25">
        <f>ItensPedido!C3025</f>
        <v/>
      </c>
      <c r="D3025" s="25">
        <f>ItensPedido!D3025</f>
        <v/>
      </c>
      <c r="E3025" s="26">
        <f>ItensPedido!E3025</f>
        <v/>
      </c>
      <c r="F3025" s="25">
        <f>IFERROR(INDEX(Pedidos!$B$2:$B$1801,MATCH(B3025,Pedidos!$A$2:$A$1801,0)),0)</f>
        <v/>
      </c>
      <c r="G3025" s="25">
        <f>IF(F3025=0,"",YEAR(F3025))</f>
        <v/>
      </c>
      <c r="H3025" s="25">
        <f>IF(F3025=0,"",MONTH(F3025))</f>
        <v/>
      </c>
      <c r="I3025" s="25">
        <f>IFERROR(INDEX(Pedidos!$E$2:$E$1801,MATCH(B3025,Pedidos!$A$2:$A$1801,0)),"")</f>
        <v/>
      </c>
      <c r="J3025" s="25">
        <f>IFERROR(INDEX(Pedidos!$C$2:$C$1801,MATCH(B3025,Pedidos!$A$2:$A$1801,0)),"")</f>
        <v/>
      </c>
      <c r="K3025" s="25">
        <f>IFERROR(INDEX(Pedidos!$D$2:$D$1801,MATCH(B3025,Pedidos!$A$2:$A$1801,0)),"")</f>
        <v/>
      </c>
      <c r="L3025" s="25">
        <f>IFERROR(INDEX(Pedidos!$F$2:$F$1801,MATCH(B3025,Pedidos!$A$2:$A$1801,0)),"")</f>
        <v/>
      </c>
      <c r="M3025" s="26">
        <f>IFERROR(INDEX(Pedidos!$G$2:$G$1801,MATCH(B3025,Pedidos!$A$2:$A$1801,0)),0)</f>
        <v/>
      </c>
      <c r="N3025" s="25">
        <f>IFERROR(INDEX(Produtos!$B$2:$B$71,MATCH(C3025,Produtos!$A$2:$A$71,0)),"")</f>
        <v/>
      </c>
      <c r="O3025" s="25">
        <f>IFERROR(INDEX(Produtos!$C$2:$C$71,MATCH(C3025,Produtos!$A$2:$A$71,0)),"")</f>
        <v/>
      </c>
      <c r="P3025" s="25">
        <f>IFERROR(INDEX(Produtos!$D$2:$D$71,MATCH(C3025,Produtos!$A$2:$A$71,0)),0)</f>
        <v/>
      </c>
      <c r="Q3025" s="25">
        <f>IFERROR(INDEX(Produtos!$E$2:$E$71,MATCH(C3025,Produtos!$A$2:$A$71,0)),0)</f>
        <v/>
      </c>
      <c r="R3025" s="27">
        <f>D3025*Q3025</f>
        <v/>
      </c>
      <c r="S3025" s="27">
        <f>R3025*E3025</f>
        <v/>
      </c>
      <c r="T3025" s="27">
        <f>(R3025-S3025)*M3025</f>
        <v/>
      </c>
      <c r="U3025" s="27">
        <f>R3025-S3025-T3025</f>
        <v/>
      </c>
      <c r="V3025" s="27">
        <f>D3025*P3025</f>
        <v/>
      </c>
      <c r="W3025" s="27">
        <f>U3025-V3025</f>
        <v/>
      </c>
      <c r="X3025" s="28">
        <f>IFERROR(W3025/U3025,0)</f>
        <v/>
      </c>
    </row>
    <row r="3026">
      <c r="A3026" s="21">
        <f>ItensPedido!A3026</f>
        <v/>
      </c>
      <c r="B3026" s="21">
        <f>ItensPedido!B3026</f>
        <v/>
      </c>
      <c r="C3026" s="21">
        <f>ItensPedido!C3026</f>
        <v/>
      </c>
      <c r="D3026" s="21">
        <f>ItensPedido!D3026</f>
        <v/>
      </c>
      <c r="E3026" s="22">
        <f>ItensPedido!E3026</f>
        <v/>
      </c>
      <c r="F3026" s="21">
        <f>IFERROR(INDEX(Pedidos!$B$2:$B$1801,MATCH(B3026,Pedidos!$A$2:$A$1801,0)),0)</f>
        <v/>
      </c>
      <c r="G3026" s="21">
        <f>IF(F3026=0,"",YEAR(F3026))</f>
        <v/>
      </c>
      <c r="H3026" s="21">
        <f>IF(F3026=0,"",MONTH(F3026))</f>
        <v/>
      </c>
      <c r="I3026" s="21">
        <f>IFERROR(INDEX(Pedidos!$E$2:$E$1801,MATCH(B3026,Pedidos!$A$2:$A$1801,0)),"")</f>
        <v/>
      </c>
      <c r="J3026" s="21">
        <f>IFERROR(INDEX(Pedidos!$C$2:$C$1801,MATCH(B3026,Pedidos!$A$2:$A$1801,0)),"")</f>
        <v/>
      </c>
      <c r="K3026" s="21">
        <f>IFERROR(INDEX(Pedidos!$D$2:$D$1801,MATCH(B3026,Pedidos!$A$2:$A$1801,0)),"")</f>
        <v/>
      </c>
      <c r="L3026" s="21">
        <f>IFERROR(INDEX(Pedidos!$F$2:$F$1801,MATCH(B3026,Pedidos!$A$2:$A$1801,0)),"")</f>
        <v/>
      </c>
      <c r="M3026" s="22">
        <f>IFERROR(INDEX(Pedidos!$G$2:$G$1801,MATCH(B3026,Pedidos!$A$2:$A$1801,0)),0)</f>
        <v/>
      </c>
      <c r="N3026" s="21">
        <f>IFERROR(INDEX(Produtos!$B$2:$B$71,MATCH(C3026,Produtos!$A$2:$A$71,0)),"")</f>
        <v/>
      </c>
      <c r="O3026" s="21">
        <f>IFERROR(INDEX(Produtos!$C$2:$C$71,MATCH(C3026,Produtos!$A$2:$A$71,0)),"")</f>
        <v/>
      </c>
      <c r="P3026" s="21">
        <f>IFERROR(INDEX(Produtos!$D$2:$D$71,MATCH(C3026,Produtos!$A$2:$A$71,0)),0)</f>
        <v/>
      </c>
      <c r="Q3026" s="21">
        <f>IFERROR(INDEX(Produtos!$E$2:$E$71,MATCH(C3026,Produtos!$A$2:$A$71,0)),0)</f>
        <v/>
      </c>
      <c r="R3026" s="23">
        <f>D3026*Q3026</f>
        <v/>
      </c>
      <c r="S3026" s="23">
        <f>R3026*E3026</f>
        <v/>
      </c>
      <c r="T3026" s="23">
        <f>(R3026-S3026)*M3026</f>
        <v/>
      </c>
      <c r="U3026" s="23">
        <f>R3026-S3026-T3026</f>
        <v/>
      </c>
      <c r="V3026" s="23">
        <f>D3026*P3026</f>
        <v/>
      </c>
      <c r="W3026" s="23">
        <f>U3026-V3026</f>
        <v/>
      </c>
      <c r="X3026" s="24">
        <f>IFERROR(W3026/U3026,0)</f>
        <v/>
      </c>
    </row>
    <row r="3027">
      <c r="A3027" s="25">
        <f>ItensPedido!A3027</f>
        <v/>
      </c>
      <c r="B3027" s="25">
        <f>ItensPedido!B3027</f>
        <v/>
      </c>
      <c r="C3027" s="25">
        <f>ItensPedido!C3027</f>
        <v/>
      </c>
      <c r="D3027" s="25">
        <f>ItensPedido!D3027</f>
        <v/>
      </c>
      <c r="E3027" s="26">
        <f>ItensPedido!E3027</f>
        <v/>
      </c>
      <c r="F3027" s="25">
        <f>IFERROR(INDEX(Pedidos!$B$2:$B$1801,MATCH(B3027,Pedidos!$A$2:$A$1801,0)),0)</f>
        <v/>
      </c>
      <c r="G3027" s="25">
        <f>IF(F3027=0,"",YEAR(F3027))</f>
        <v/>
      </c>
      <c r="H3027" s="25">
        <f>IF(F3027=0,"",MONTH(F3027))</f>
        <v/>
      </c>
      <c r="I3027" s="25">
        <f>IFERROR(INDEX(Pedidos!$E$2:$E$1801,MATCH(B3027,Pedidos!$A$2:$A$1801,0)),"")</f>
        <v/>
      </c>
      <c r="J3027" s="25">
        <f>IFERROR(INDEX(Pedidos!$C$2:$C$1801,MATCH(B3027,Pedidos!$A$2:$A$1801,0)),"")</f>
        <v/>
      </c>
      <c r="K3027" s="25">
        <f>IFERROR(INDEX(Pedidos!$D$2:$D$1801,MATCH(B3027,Pedidos!$A$2:$A$1801,0)),"")</f>
        <v/>
      </c>
      <c r="L3027" s="25">
        <f>IFERROR(INDEX(Pedidos!$F$2:$F$1801,MATCH(B3027,Pedidos!$A$2:$A$1801,0)),"")</f>
        <v/>
      </c>
      <c r="M3027" s="26">
        <f>IFERROR(INDEX(Pedidos!$G$2:$G$1801,MATCH(B3027,Pedidos!$A$2:$A$1801,0)),0)</f>
        <v/>
      </c>
      <c r="N3027" s="25">
        <f>IFERROR(INDEX(Produtos!$B$2:$B$71,MATCH(C3027,Produtos!$A$2:$A$71,0)),"")</f>
        <v/>
      </c>
      <c r="O3027" s="25">
        <f>IFERROR(INDEX(Produtos!$C$2:$C$71,MATCH(C3027,Produtos!$A$2:$A$71,0)),"")</f>
        <v/>
      </c>
      <c r="P3027" s="25">
        <f>IFERROR(INDEX(Produtos!$D$2:$D$71,MATCH(C3027,Produtos!$A$2:$A$71,0)),0)</f>
        <v/>
      </c>
      <c r="Q3027" s="25">
        <f>IFERROR(INDEX(Produtos!$E$2:$E$71,MATCH(C3027,Produtos!$A$2:$A$71,0)),0)</f>
        <v/>
      </c>
      <c r="R3027" s="27">
        <f>D3027*Q3027</f>
        <v/>
      </c>
      <c r="S3027" s="27">
        <f>R3027*E3027</f>
        <v/>
      </c>
      <c r="T3027" s="27">
        <f>(R3027-S3027)*M3027</f>
        <v/>
      </c>
      <c r="U3027" s="27">
        <f>R3027-S3027-T3027</f>
        <v/>
      </c>
      <c r="V3027" s="27">
        <f>D3027*P3027</f>
        <v/>
      </c>
      <c r="W3027" s="27">
        <f>U3027-V3027</f>
        <v/>
      </c>
      <c r="X3027" s="28">
        <f>IFERROR(W3027/U3027,0)</f>
        <v/>
      </c>
    </row>
    <row r="3028">
      <c r="A3028" s="21">
        <f>ItensPedido!A3028</f>
        <v/>
      </c>
      <c r="B3028" s="21">
        <f>ItensPedido!B3028</f>
        <v/>
      </c>
      <c r="C3028" s="21">
        <f>ItensPedido!C3028</f>
        <v/>
      </c>
      <c r="D3028" s="21">
        <f>ItensPedido!D3028</f>
        <v/>
      </c>
      <c r="E3028" s="22">
        <f>ItensPedido!E3028</f>
        <v/>
      </c>
      <c r="F3028" s="21">
        <f>IFERROR(INDEX(Pedidos!$B$2:$B$1801,MATCH(B3028,Pedidos!$A$2:$A$1801,0)),0)</f>
        <v/>
      </c>
      <c r="G3028" s="21">
        <f>IF(F3028=0,"",YEAR(F3028))</f>
        <v/>
      </c>
      <c r="H3028" s="21">
        <f>IF(F3028=0,"",MONTH(F3028))</f>
        <v/>
      </c>
      <c r="I3028" s="21">
        <f>IFERROR(INDEX(Pedidos!$E$2:$E$1801,MATCH(B3028,Pedidos!$A$2:$A$1801,0)),"")</f>
        <v/>
      </c>
      <c r="J3028" s="21">
        <f>IFERROR(INDEX(Pedidos!$C$2:$C$1801,MATCH(B3028,Pedidos!$A$2:$A$1801,0)),"")</f>
        <v/>
      </c>
      <c r="K3028" s="21">
        <f>IFERROR(INDEX(Pedidos!$D$2:$D$1801,MATCH(B3028,Pedidos!$A$2:$A$1801,0)),"")</f>
        <v/>
      </c>
      <c r="L3028" s="21">
        <f>IFERROR(INDEX(Pedidos!$F$2:$F$1801,MATCH(B3028,Pedidos!$A$2:$A$1801,0)),"")</f>
        <v/>
      </c>
      <c r="M3028" s="22">
        <f>IFERROR(INDEX(Pedidos!$G$2:$G$1801,MATCH(B3028,Pedidos!$A$2:$A$1801,0)),0)</f>
        <v/>
      </c>
      <c r="N3028" s="21">
        <f>IFERROR(INDEX(Produtos!$B$2:$B$71,MATCH(C3028,Produtos!$A$2:$A$71,0)),"")</f>
        <v/>
      </c>
      <c r="O3028" s="21">
        <f>IFERROR(INDEX(Produtos!$C$2:$C$71,MATCH(C3028,Produtos!$A$2:$A$71,0)),"")</f>
        <v/>
      </c>
      <c r="P3028" s="21">
        <f>IFERROR(INDEX(Produtos!$D$2:$D$71,MATCH(C3028,Produtos!$A$2:$A$71,0)),0)</f>
        <v/>
      </c>
      <c r="Q3028" s="21">
        <f>IFERROR(INDEX(Produtos!$E$2:$E$71,MATCH(C3028,Produtos!$A$2:$A$71,0)),0)</f>
        <v/>
      </c>
      <c r="R3028" s="23">
        <f>D3028*Q3028</f>
        <v/>
      </c>
      <c r="S3028" s="23">
        <f>R3028*E3028</f>
        <v/>
      </c>
      <c r="T3028" s="23">
        <f>(R3028-S3028)*M3028</f>
        <v/>
      </c>
      <c r="U3028" s="23">
        <f>R3028-S3028-T3028</f>
        <v/>
      </c>
      <c r="V3028" s="23">
        <f>D3028*P3028</f>
        <v/>
      </c>
      <c r="W3028" s="23">
        <f>U3028-V3028</f>
        <v/>
      </c>
      <c r="X3028" s="24">
        <f>IFERROR(W3028/U3028,0)</f>
        <v/>
      </c>
    </row>
    <row r="3029">
      <c r="A3029" s="25">
        <f>ItensPedido!A3029</f>
        <v/>
      </c>
      <c r="B3029" s="25">
        <f>ItensPedido!B3029</f>
        <v/>
      </c>
      <c r="C3029" s="25">
        <f>ItensPedido!C3029</f>
        <v/>
      </c>
      <c r="D3029" s="25">
        <f>ItensPedido!D3029</f>
        <v/>
      </c>
      <c r="E3029" s="26">
        <f>ItensPedido!E3029</f>
        <v/>
      </c>
      <c r="F3029" s="25">
        <f>IFERROR(INDEX(Pedidos!$B$2:$B$1801,MATCH(B3029,Pedidos!$A$2:$A$1801,0)),0)</f>
        <v/>
      </c>
      <c r="G3029" s="25">
        <f>IF(F3029=0,"",YEAR(F3029))</f>
        <v/>
      </c>
      <c r="H3029" s="25">
        <f>IF(F3029=0,"",MONTH(F3029))</f>
        <v/>
      </c>
      <c r="I3029" s="25">
        <f>IFERROR(INDEX(Pedidos!$E$2:$E$1801,MATCH(B3029,Pedidos!$A$2:$A$1801,0)),"")</f>
        <v/>
      </c>
      <c r="J3029" s="25">
        <f>IFERROR(INDEX(Pedidos!$C$2:$C$1801,MATCH(B3029,Pedidos!$A$2:$A$1801,0)),"")</f>
        <v/>
      </c>
      <c r="K3029" s="25">
        <f>IFERROR(INDEX(Pedidos!$D$2:$D$1801,MATCH(B3029,Pedidos!$A$2:$A$1801,0)),"")</f>
        <v/>
      </c>
      <c r="L3029" s="25">
        <f>IFERROR(INDEX(Pedidos!$F$2:$F$1801,MATCH(B3029,Pedidos!$A$2:$A$1801,0)),"")</f>
        <v/>
      </c>
      <c r="M3029" s="26">
        <f>IFERROR(INDEX(Pedidos!$G$2:$G$1801,MATCH(B3029,Pedidos!$A$2:$A$1801,0)),0)</f>
        <v/>
      </c>
      <c r="N3029" s="25">
        <f>IFERROR(INDEX(Produtos!$B$2:$B$71,MATCH(C3029,Produtos!$A$2:$A$71,0)),"")</f>
        <v/>
      </c>
      <c r="O3029" s="25">
        <f>IFERROR(INDEX(Produtos!$C$2:$C$71,MATCH(C3029,Produtos!$A$2:$A$71,0)),"")</f>
        <v/>
      </c>
      <c r="P3029" s="25">
        <f>IFERROR(INDEX(Produtos!$D$2:$D$71,MATCH(C3029,Produtos!$A$2:$A$71,0)),0)</f>
        <v/>
      </c>
      <c r="Q3029" s="25">
        <f>IFERROR(INDEX(Produtos!$E$2:$E$71,MATCH(C3029,Produtos!$A$2:$A$71,0)),0)</f>
        <v/>
      </c>
      <c r="R3029" s="27">
        <f>D3029*Q3029</f>
        <v/>
      </c>
      <c r="S3029" s="27">
        <f>R3029*E3029</f>
        <v/>
      </c>
      <c r="T3029" s="27">
        <f>(R3029-S3029)*M3029</f>
        <v/>
      </c>
      <c r="U3029" s="27">
        <f>R3029-S3029-T3029</f>
        <v/>
      </c>
      <c r="V3029" s="27">
        <f>D3029*P3029</f>
        <v/>
      </c>
      <c r="W3029" s="27">
        <f>U3029-V3029</f>
        <v/>
      </c>
      <c r="X3029" s="28">
        <f>IFERROR(W3029/U3029,0)</f>
        <v/>
      </c>
    </row>
    <row r="3030">
      <c r="A3030" s="21">
        <f>ItensPedido!A3030</f>
        <v/>
      </c>
      <c r="B3030" s="21">
        <f>ItensPedido!B3030</f>
        <v/>
      </c>
      <c r="C3030" s="21">
        <f>ItensPedido!C3030</f>
        <v/>
      </c>
      <c r="D3030" s="21">
        <f>ItensPedido!D3030</f>
        <v/>
      </c>
      <c r="E3030" s="22">
        <f>ItensPedido!E3030</f>
        <v/>
      </c>
      <c r="F3030" s="21">
        <f>IFERROR(INDEX(Pedidos!$B$2:$B$1801,MATCH(B3030,Pedidos!$A$2:$A$1801,0)),0)</f>
        <v/>
      </c>
      <c r="G3030" s="21">
        <f>IF(F3030=0,"",YEAR(F3030))</f>
        <v/>
      </c>
      <c r="H3030" s="21">
        <f>IF(F3030=0,"",MONTH(F3030))</f>
        <v/>
      </c>
      <c r="I3030" s="21">
        <f>IFERROR(INDEX(Pedidos!$E$2:$E$1801,MATCH(B3030,Pedidos!$A$2:$A$1801,0)),"")</f>
        <v/>
      </c>
      <c r="J3030" s="21">
        <f>IFERROR(INDEX(Pedidos!$C$2:$C$1801,MATCH(B3030,Pedidos!$A$2:$A$1801,0)),"")</f>
        <v/>
      </c>
      <c r="K3030" s="21">
        <f>IFERROR(INDEX(Pedidos!$D$2:$D$1801,MATCH(B3030,Pedidos!$A$2:$A$1801,0)),"")</f>
        <v/>
      </c>
      <c r="L3030" s="21">
        <f>IFERROR(INDEX(Pedidos!$F$2:$F$1801,MATCH(B3030,Pedidos!$A$2:$A$1801,0)),"")</f>
        <v/>
      </c>
      <c r="M3030" s="22">
        <f>IFERROR(INDEX(Pedidos!$G$2:$G$1801,MATCH(B3030,Pedidos!$A$2:$A$1801,0)),0)</f>
        <v/>
      </c>
      <c r="N3030" s="21">
        <f>IFERROR(INDEX(Produtos!$B$2:$B$71,MATCH(C3030,Produtos!$A$2:$A$71,0)),"")</f>
        <v/>
      </c>
      <c r="O3030" s="21">
        <f>IFERROR(INDEX(Produtos!$C$2:$C$71,MATCH(C3030,Produtos!$A$2:$A$71,0)),"")</f>
        <v/>
      </c>
      <c r="P3030" s="21">
        <f>IFERROR(INDEX(Produtos!$D$2:$D$71,MATCH(C3030,Produtos!$A$2:$A$71,0)),0)</f>
        <v/>
      </c>
      <c r="Q3030" s="21">
        <f>IFERROR(INDEX(Produtos!$E$2:$E$71,MATCH(C3030,Produtos!$A$2:$A$71,0)),0)</f>
        <v/>
      </c>
      <c r="R3030" s="23">
        <f>D3030*Q3030</f>
        <v/>
      </c>
      <c r="S3030" s="23">
        <f>R3030*E3030</f>
        <v/>
      </c>
      <c r="T3030" s="23">
        <f>(R3030-S3030)*M3030</f>
        <v/>
      </c>
      <c r="U3030" s="23">
        <f>R3030-S3030-T3030</f>
        <v/>
      </c>
      <c r="V3030" s="23">
        <f>D3030*P3030</f>
        <v/>
      </c>
      <c r="W3030" s="23">
        <f>U3030-V3030</f>
        <v/>
      </c>
      <c r="X3030" s="24">
        <f>IFERROR(W3030/U3030,0)</f>
        <v/>
      </c>
    </row>
    <row r="3031">
      <c r="A3031" s="25">
        <f>ItensPedido!A3031</f>
        <v/>
      </c>
      <c r="B3031" s="25">
        <f>ItensPedido!B3031</f>
        <v/>
      </c>
      <c r="C3031" s="25">
        <f>ItensPedido!C3031</f>
        <v/>
      </c>
      <c r="D3031" s="25">
        <f>ItensPedido!D3031</f>
        <v/>
      </c>
      <c r="E3031" s="26">
        <f>ItensPedido!E3031</f>
        <v/>
      </c>
      <c r="F3031" s="25">
        <f>IFERROR(INDEX(Pedidos!$B$2:$B$1801,MATCH(B3031,Pedidos!$A$2:$A$1801,0)),0)</f>
        <v/>
      </c>
      <c r="G3031" s="25">
        <f>IF(F3031=0,"",YEAR(F3031))</f>
        <v/>
      </c>
      <c r="H3031" s="25">
        <f>IF(F3031=0,"",MONTH(F3031))</f>
        <v/>
      </c>
      <c r="I3031" s="25">
        <f>IFERROR(INDEX(Pedidos!$E$2:$E$1801,MATCH(B3031,Pedidos!$A$2:$A$1801,0)),"")</f>
        <v/>
      </c>
      <c r="J3031" s="25">
        <f>IFERROR(INDEX(Pedidos!$C$2:$C$1801,MATCH(B3031,Pedidos!$A$2:$A$1801,0)),"")</f>
        <v/>
      </c>
      <c r="K3031" s="25">
        <f>IFERROR(INDEX(Pedidos!$D$2:$D$1801,MATCH(B3031,Pedidos!$A$2:$A$1801,0)),"")</f>
        <v/>
      </c>
      <c r="L3031" s="25">
        <f>IFERROR(INDEX(Pedidos!$F$2:$F$1801,MATCH(B3031,Pedidos!$A$2:$A$1801,0)),"")</f>
        <v/>
      </c>
      <c r="M3031" s="26">
        <f>IFERROR(INDEX(Pedidos!$G$2:$G$1801,MATCH(B3031,Pedidos!$A$2:$A$1801,0)),0)</f>
        <v/>
      </c>
      <c r="N3031" s="25">
        <f>IFERROR(INDEX(Produtos!$B$2:$B$71,MATCH(C3031,Produtos!$A$2:$A$71,0)),"")</f>
        <v/>
      </c>
      <c r="O3031" s="25">
        <f>IFERROR(INDEX(Produtos!$C$2:$C$71,MATCH(C3031,Produtos!$A$2:$A$71,0)),"")</f>
        <v/>
      </c>
      <c r="P3031" s="25">
        <f>IFERROR(INDEX(Produtos!$D$2:$D$71,MATCH(C3031,Produtos!$A$2:$A$71,0)),0)</f>
        <v/>
      </c>
      <c r="Q3031" s="25">
        <f>IFERROR(INDEX(Produtos!$E$2:$E$71,MATCH(C3031,Produtos!$A$2:$A$71,0)),0)</f>
        <v/>
      </c>
      <c r="R3031" s="27">
        <f>D3031*Q3031</f>
        <v/>
      </c>
      <c r="S3031" s="27">
        <f>R3031*E3031</f>
        <v/>
      </c>
      <c r="T3031" s="27">
        <f>(R3031-S3031)*M3031</f>
        <v/>
      </c>
      <c r="U3031" s="27">
        <f>R3031-S3031-T3031</f>
        <v/>
      </c>
      <c r="V3031" s="27">
        <f>D3031*P3031</f>
        <v/>
      </c>
      <c r="W3031" s="27">
        <f>U3031-V3031</f>
        <v/>
      </c>
      <c r="X3031" s="28">
        <f>IFERROR(W3031/U3031,0)</f>
        <v/>
      </c>
    </row>
    <row r="3032">
      <c r="A3032" s="21">
        <f>ItensPedido!A3032</f>
        <v/>
      </c>
      <c r="B3032" s="21">
        <f>ItensPedido!B3032</f>
        <v/>
      </c>
      <c r="C3032" s="21">
        <f>ItensPedido!C3032</f>
        <v/>
      </c>
      <c r="D3032" s="21">
        <f>ItensPedido!D3032</f>
        <v/>
      </c>
      <c r="E3032" s="22">
        <f>ItensPedido!E3032</f>
        <v/>
      </c>
      <c r="F3032" s="21">
        <f>IFERROR(INDEX(Pedidos!$B$2:$B$1801,MATCH(B3032,Pedidos!$A$2:$A$1801,0)),0)</f>
        <v/>
      </c>
      <c r="G3032" s="21">
        <f>IF(F3032=0,"",YEAR(F3032))</f>
        <v/>
      </c>
      <c r="H3032" s="21">
        <f>IF(F3032=0,"",MONTH(F3032))</f>
        <v/>
      </c>
      <c r="I3032" s="21">
        <f>IFERROR(INDEX(Pedidos!$E$2:$E$1801,MATCH(B3032,Pedidos!$A$2:$A$1801,0)),"")</f>
        <v/>
      </c>
      <c r="J3032" s="21">
        <f>IFERROR(INDEX(Pedidos!$C$2:$C$1801,MATCH(B3032,Pedidos!$A$2:$A$1801,0)),"")</f>
        <v/>
      </c>
      <c r="K3032" s="21">
        <f>IFERROR(INDEX(Pedidos!$D$2:$D$1801,MATCH(B3032,Pedidos!$A$2:$A$1801,0)),"")</f>
        <v/>
      </c>
      <c r="L3032" s="21">
        <f>IFERROR(INDEX(Pedidos!$F$2:$F$1801,MATCH(B3032,Pedidos!$A$2:$A$1801,0)),"")</f>
        <v/>
      </c>
      <c r="M3032" s="22">
        <f>IFERROR(INDEX(Pedidos!$G$2:$G$1801,MATCH(B3032,Pedidos!$A$2:$A$1801,0)),0)</f>
        <v/>
      </c>
      <c r="N3032" s="21">
        <f>IFERROR(INDEX(Produtos!$B$2:$B$71,MATCH(C3032,Produtos!$A$2:$A$71,0)),"")</f>
        <v/>
      </c>
      <c r="O3032" s="21">
        <f>IFERROR(INDEX(Produtos!$C$2:$C$71,MATCH(C3032,Produtos!$A$2:$A$71,0)),"")</f>
        <v/>
      </c>
      <c r="P3032" s="21">
        <f>IFERROR(INDEX(Produtos!$D$2:$D$71,MATCH(C3032,Produtos!$A$2:$A$71,0)),0)</f>
        <v/>
      </c>
      <c r="Q3032" s="21">
        <f>IFERROR(INDEX(Produtos!$E$2:$E$71,MATCH(C3032,Produtos!$A$2:$A$71,0)),0)</f>
        <v/>
      </c>
      <c r="R3032" s="23">
        <f>D3032*Q3032</f>
        <v/>
      </c>
      <c r="S3032" s="23">
        <f>R3032*E3032</f>
        <v/>
      </c>
      <c r="T3032" s="23">
        <f>(R3032-S3032)*M3032</f>
        <v/>
      </c>
      <c r="U3032" s="23">
        <f>R3032-S3032-T3032</f>
        <v/>
      </c>
      <c r="V3032" s="23">
        <f>D3032*P3032</f>
        <v/>
      </c>
      <c r="W3032" s="23">
        <f>U3032-V3032</f>
        <v/>
      </c>
      <c r="X3032" s="24">
        <f>IFERROR(W3032/U3032,0)</f>
        <v/>
      </c>
    </row>
    <row r="3033">
      <c r="A3033" s="25">
        <f>ItensPedido!A3033</f>
        <v/>
      </c>
      <c r="B3033" s="25">
        <f>ItensPedido!B3033</f>
        <v/>
      </c>
      <c r="C3033" s="25">
        <f>ItensPedido!C3033</f>
        <v/>
      </c>
      <c r="D3033" s="25">
        <f>ItensPedido!D3033</f>
        <v/>
      </c>
      <c r="E3033" s="26">
        <f>ItensPedido!E3033</f>
        <v/>
      </c>
      <c r="F3033" s="25">
        <f>IFERROR(INDEX(Pedidos!$B$2:$B$1801,MATCH(B3033,Pedidos!$A$2:$A$1801,0)),0)</f>
        <v/>
      </c>
      <c r="G3033" s="25">
        <f>IF(F3033=0,"",YEAR(F3033))</f>
        <v/>
      </c>
      <c r="H3033" s="25">
        <f>IF(F3033=0,"",MONTH(F3033))</f>
        <v/>
      </c>
      <c r="I3033" s="25">
        <f>IFERROR(INDEX(Pedidos!$E$2:$E$1801,MATCH(B3033,Pedidos!$A$2:$A$1801,0)),"")</f>
        <v/>
      </c>
      <c r="J3033" s="25">
        <f>IFERROR(INDEX(Pedidos!$C$2:$C$1801,MATCH(B3033,Pedidos!$A$2:$A$1801,0)),"")</f>
        <v/>
      </c>
      <c r="K3033" s="25">
        <f>IFERROR(INDEX(Pedidos!$D$2:$D$1801,MATCH(B3033,Pedidos!$A$2:$A$1801,0)),"")</f>
        <v/>
      </c>
      <c r="L3033" s="25">
        <f>IFERROR(INDEX(Pedidos!$F$2:$F$1801,MATCH(B3033,Pedidos!$A$2:$A$1801,0)),"")</f>
        <v/>
      </c>
      <c r="M3033" s="26">
        <f>IFERROR(INDEX(Pedidos!$G$2:$G$1801,MATCH(B3033,Pedidos!$A$2:$A$1801,0)),0)</f>
        <v/>
      </c>
      <c r="N3033" s="25">
        <f>IFERROR(INDEX(Produtos!$B$2:$B$71,MATCH(C3033,Produtos!$A$2:$A$71,0)),"")</f>
        <v/>
      </c>
      <c r="O3033" s="25">
        <f>IFERROR(INDEX(Produtos!$C$2:$C$71,MATCH(C3033,Produtos!$A$2:$A$71,0)),"")</f>
        <v/>
      </c>
      <c r="P3033" s="25">
        <f>IFERROR(INDEX(Produtos!$D$2:$D$71,MATCH(C3033,Produtos!$A$2:$A$71,0)),0)</f>
        <v/>
      </c>
      <c r="Q3033" s="25">
        <f>IFERROR(INDEX(Produtos!$E$2:$E$71,MATCH(C3033,Produtos!$A$2:$A$71,0)),0)</f>
        <v/>
      </c>
      <c r="R3033" s="27">
        <f>D3033*Q3033</f>
        <v/>
      </c>
      <c r="S3033" s="27">
        <f>R3033*E3033</f>
        <v/>
      </c>
      <c r="T3033" s="27">
        <f>(R3033-S3033)*M3033</f>
        <v/>
      </c>
      <c r="U3033" s="27">
        <f>R3033-S3033-T3033</f>
        <v/>
      </c>
      <c r="V3033" s="27">
        <f>D3033*P3033</f>
        <v/>
      </c>
      <c r="W3033" s="27">
        <f>U3033-V3033</f>
        <v/>
      </c>
      <c r="X3033" s="28">
        <f>IFERROR(W3033/U3033,0)</f>
        <v/>
      </c>
    </row>
    <row r="3034">
      <c r="A3034" s="21">
        <f>ItensPedido!A3034</f>
        <v/>
      </c>
      <c r="B3034" s="21">
        <f>ItensPedido!B3034</f>
        <v/>
      </c>
      <c r="C3034" s="21">
        <f>ItensPedido!C3034</f>
        <v/>
      </c>
      <c r="D3034" s="21">
        <f>ItensPedido!D3034</f>
        <v/>
      </c>
      <c r="E3034" s="22">
        <f>ItensPedido!E3034</f>
        <v/>
      </c>
      <c r="F3034" s="21">
        <f>IFERROR(INDEX(Pedidos!$B$2:$B$1801,MATCH(B3034,Pedidos!$A$2:$A$1801,0)),0)</f>
        <v/>
      </c>
      <c r="G3034" s="21">
        <f>IF(F3034=0,"",YEAR(F3034))</f>
        <v/>
      </c>
      <c r="H3034" s="21">
        <f>IF(F3034=0,"",MONTH(F3034))</f>
        <v/>
      </c>
      <c r="I3034" s="21">
        <f>IFERROR(INDEX(Pedidos!$E$2:$E$1801,MATCH(B3034,Pedidos!$A$2:$A$1801,0)),"")</f>
        <v/>
      </c>
      <c r="J3034" s="21">
        <f>IFERROR(INDEX(Pedidos!$C$2:$C$1801,MATCH(B3034,Pedidos!$A$2:$A$1801,0)),"")</f>
        <v/>
      </c>
      <c r="K3034" s="21">
        <f>IFERROR(INDEX(Pedidos!$D$2:$D$1801,MATCH(B3034,Pedidos!$A$2:$A$1801,0)),"")</f>
        <v/>
      </c>
      <c r="L3034" s="21">
        <f>IFERROR(INDEX(Pedidos!$F$2:$F$1801,MATCH(B3034,Pedidos!$A$2:$A$1801,0)),"")</f>
        <v/>
      </c>
      <c r="M3034" s="22">
        <f>IFERROR(INDEX(Pedidos!$G$2:$G$1801,MATCH(B3034,Pedidos!$A$2:$A$1801,0)),0)</f>
        <v/>
      </c>
      <c r="N3034" s="21">
        <f>IFERROR(INDEX(Produtos!$B$2:$B$71,MATCH(C3034,Produtos!$A$2:$A$71,0)),"")</f>
        <v/>
      </c>
      <c r="O3034" s="21">
        <f>IFERROR(INDEX(Produtos!$C$2:$C$71,MATCH(C3034,Produtos!$A$2:$A$71,0)),"")</f>
        <v/>
      </c>
      <c r="P3034" s="21">
        <f>IFERROR(INDEX(Produtos!$D$2:$D$71,MATCH(C3034,Produtos!$A$2:$A$71,0)),0)</f>
        <v/>
      </c>
      <c r="Q3034" s="21">
        <f>IFERROR(INDEX(Produtos!$E$2:$E$71,MATCH(C3034,Produtos!$A$2:$A$71,0)),0)</f>
        <v/>
      </c>
      <c r="R3034" s="23">
        <f>D3034*Q3034</f>
        <v/>
      </c>
      <c r="S3034" s="23">
        <f>R3034*E3034</f>
        <v/>
      </c>
      <c r="T3034" s="23">
        <f>(R3034-S3034)*M3034</f>
        <v/>
      </c>
      <c r="U3034" s="23">
        <f>R3034-S3034-T3034</f>
        <v/>
      </c>
      <c r="V3034" s="23">
        <f>D3034*P3034</f>
        <v/>
      </c>
      <c r="W3034" s="23">
        <f>U3034-V3034</f>
        <v/>
      </c>
      <c r="X3034" s="24">
        <f>IFERROR(W3034/U3034,0)</f>
        <v/>
      </c>
    </row>
    <row r="3035">
      <c r="A3035" s="25">
        <f>ItensPedido!A3035</f>
        <v/>
      </c>
      <c r="B3035" s="25">
        <f>ItensPedido!B3035</f>
        <v/>
      </c>
      <c r="C3035" s="25">
        <f>ItensPedido!C3035</f>
        <v/>
      </c>
      <c r="D3035" s="25">
        <f>ItensPedido!D3035</f>
        <v/>
      </c>
      <c r="E3035" s="26">
        <f>ItensPedido!E3035</f>
        <v/>
      </c>
      <c r="F3035" s="25">
        <f>IFERROR(INDEX(Pedidos!$B$2:$B$1801,MATCH(B3035,Pedidos!$A$2:$A$1801,0)),0)</f>
        <v/>
      </c>
      <c r="G3035" s="25">
        <f>IF(F3035=0,"",YEAR(F3035))</f>
        <v/>
      </c>
      <c r="H3035" s="25">
        <f>IF(F3035=0,"",MONTH(F3035))</f>
        <v/>
      </c>
      <c r="I3035" s="25">
        <f>IFERROR(INDEX(Pedidos!$E$2:$E$1801,MATCH(B3035,Pedidos!$A$2:$A$1801,0)),"")</f>
        <v/>
      </c>
      <c r="J3035" s="25">
        <f>IFERROR(INDEX(Pedidos!$C$2:$C$1801,MATCH(B3035,Pedidos!$A$2:$A$1801,0)),"")</f>
        <v/>
      </c>
      <c r="K3035" s="25">
        <f>IFERROR(INDEX(Pedidos!$D$2:$D$1801,MATCH(B3035,Pedidos!$A$2:$A$1801,0)),"")</f>
        <v/>
      </c>
      <c r="L3035" s="25">
        <f>IFERROR(INDEX(Pedidos!$F$2:$F$1801,MATCH(B3035,Pedidos!$A$2:$A$1801,0)),"")</f>
        <v/>
      </c>
      <c r="M3035" s="26">
        <f>IFERROR(INDEX(Pedidos!$G$2:$G$1801,MATCH(B3035,Pedidos!$A$2:$A$1801,0)),0)</f>
        <v/>
      </c>
      <c r="N3035" s="25">
        <f>IFERROR(INDEX(Produtos!$B$2:$B$71,MATCH(C3035,Produtos!$A$2:$A$71,0)),"")</f>
        <v/>
      </c>
      <c r="O3035" s="25">
        <f>IFERROR(INDEX(Produtos!$C$2:$C$71,MATCH(C3035,Produtos!$A$2:$A$71,0)),"")</f>
        <v/>
      </c>
      <c r="P3035" s="25">
        <f>IFERROR(INDEX(Produtos!$D$2:$D$71,MATCH(C3035,Produtos!$A$2:$A$71,0)),0)</f>
        <v/>
      </c>
      <c r="Q3035" s="25">
        <f>IFERROR(INDEX(Produtos!$E$2:$E$71,MATCH(C3035,Produtos!$A$2:$A$71,0)),0)</f>
        <v/>
      </c>
      <c r="R3035" s="27">
        <f>D3035*Q3035</f>
        <v/>
      </c>
      <c r="S3035" s="27">
        <f>R3035*E3035</f>
        <v/>
      </c>
      <c r="T3035" s="27">
        <f>(R3035-S3035)*M3035</f>
        <v/>
      </c>
      <c r="U3035" s="27">
        <f>R3035-S3035-T3035</f>
        <v/>
      </c>
      <c r="V3035" s="27">
        <f>D3035*P3035</f>
        <v/>
      </c>
      <c r="W3035" s="27">
        <f>U3035-V3035</f>
        <v/>
      </c>
      <c r="X3035" s="28">
        <f>IFERROR(W3035/U3035,0)</f>
        <v/>
      </c>
    </row>
    <row r="3036">
      <c r="A3036" s="21">
        <f>ItensPedido!A3036</f>
        <v/>
      </c>
      <c r="B3036" s="21">
        <f>ItensPedido!B3036</f>
        <v/>
      </c>
      <c r="C3036" s="21">
        <f>ItensPedido!C3036</f>
        <v/>
      </c>
      <c r="D3036" s="21">
        <f>ItensPedido!D3036</f>
        <v/>
      </c>
      <c r="E3036" s="22">
        <f>ItensPedido!E3036</f>
        <v/>
      </c>
      <c r="F3036" s="21">
        <f>IFERROR(INDEX(Pedidos!$B$2:$B$1801,MATCH(B3036,Pedidos!$A$2:$A$1801,0)),0)</f>
        <v/>
      </c>
      <c r="G3036" s="21">
        <f>IF(F3036=0,"",YEAR(F3036))</f>
        <v/>
      </c>
      <c r="H3036" s="21">
        <f>IF(F3036=0,"",MONTH(F3036))</f>
        <v/>
      </c>
      <c r="I3036" s="21">
        <f>IFERROR(INDEX(Pedidos!$E$2:$E$1801,MATCH(B3036,Pedidos!$A$2:$A$1801,0)),"")</f>
        <v/>
      </c>
      <c r="J3036" s="21">
        <f>IFERROR(INDEX(Pedidos!$C$2:$C$1801,MATCH(B3036,Pedidos!$A$2:$A$1801,0)),"")</f>
        <v/>
      </c>
      <c r="K3036" s="21">
        <f>IFERROR(INDEX(Pedidos!$D$2:$D$1801,MATCH(B3036,Pedidos!$A$2:$A$1801,0)),"")</f>
        <v/>
      </c>
      <c r="L3036" s="21">
        <f>IFERROR(INDEX(Pedidos!$F$2:$F$1801,MATCH(B3036,Pedidos!$A$2:$A$1801,0)),"")</f>
        <v/>
      </c>
      <c r="M3036" s="22">
        <f>IFERROR(INDEX(Pedidos!$G$2:$G$1801,MATCH(B3036,Pedidos!$A$2:$A$1801,0)),0)</f>
        <v/>
      </c>
      <c r="N3036" s="21">
        <f>IFERROR(INDEX(Produtos!$B$2:$B$71,MATCH(C3036,Produtos!$A$2:$A$71,0)),"")</f>
        <v/>
      </c>
      <c r="O3036" s="21">
        <f>IFERROR(INDEX(Produtos!$C$2:$C$71,MATCH(C3036,Produtos!$A$2:$A$71,0)),"")</f>
        <v/>
      </c>
      <c r="P3036" s="21">
        <f>IFERROR(INDEX(Produtos!$D$2:$D$71,MATCH(C3036,Produtos!$A$2:$A$71,0)),0)</f>
        <v/>
      </c>
      <c r="Q3036" s="21">
        <f>IFERROR(INDEX(Produtos!$E$2:$E$71,MATCH(C3036,Produtos!$A$2:$A$71,0)),0)</f>
        <v/>
      </c>
      <c r="R3036" s="23">
        <f>D3036*Q3036</f>
        <v/>
      </c>
      <c r="S3036" s="23">
        <f>R3036*E3036</f>
        <v/>
      </c>
      <c r="T3036" s="23">
        <f>(R3036-S3036)*M3036</f>
        <v/>
      </c>
      <c r="U3036" s="23">
        <f>R3036-S3036-T3036</f>
        <v/>
      </c>
      <c r="V3036" s="23">
        <f>D3036*P3036</f>
        <v/>
      </c>
      <c r="W3036" s="23">
        <f>U3036-V3036</f>
        <v/>
      </c>
      <c r="X3036" s="24">
        <f>IFERROR(W3036/U3036,0)</f>
        <v/>
      </c>
    </row>
    <row r="3037">
      <c r="A3037" s="25">
        <f>ItensPedido!A3037</f>
        <v/>
      </c>
      <c r="B3037" s="25">
        <f>ItensPedido!B3037</f>
        <v/>
      </c>
      <c r="C3037" s="25">
        <f>ItensPedido!C3037</f>
        <v/>
      </c>
      <c r="D3037" s="25">
        <f>ItensPedido!D3037</f>
        <v/>
      </c>
      <c r="E3037" s="26">
        <f>ItensPedido!E3037</f>
        <v/>
      </c>
      <c r="F3037" s="25">
        <f>IFERROR(INDEX(Pedidos!$B$2:$B$1801,MATCH(B3037,Pedidos!$A$2:$A$1801,0)),0)</f>
        <v/>
      </c>
      <c r="G3037" s="25">
        <f>IF(F3037=0,"",YEAR(F3037))</f>
        <v/>
      </c>
      <c r="H3037" s="25">
        <f>IF(F3037=0,"",MONTH(F3037))</f>
        <v/>
      </c>
      <c r="I3037" s="25">
        <f>IFERROR(INDEX(Pedidos!$E$2:$E$1801,MATCH(B3037,Pedidos!$A$2:$A$1801,0)),"")</f>
        <v/>
      </c>
      <c r="J3037" s="25">
        <f>IFERROR(INDEX(Pedidos!$C$2:$C$1801,MATCH(B3037,Pedidos!$A$2:$A$1801,0)),"")</f>
        <v/>
      </c>
      <c r="K3037" s="25">
        <f>IFERROR(INDEX(Pedidos!$D$2:$D$1801,MATCH(B3037,Pedidos!$A$2:$A$1801,0)),"")</f>
        <v/>
      </c>
      <c r="L3037" s="25">
        <f>IFERROR(INDEX(Pedidos!$F$2:$F$1801,MATCH(B3037,Pedidos!$A$2:$A$1801,0)),"")</f>
        <v/>
      </c>
      <c r="M3037" s="26">
        <f>IFERROR(INDEX(Pedidos!$G$2:$G$1801,MATCH(B3037,Pedidos!$A$2:$A$1801,0)),0)</f>
        <v/>
      </c>
      <c r="N3037" s="25">
        <f>IFERROR(INDEX(Produtos!$B$2:$B$71,MATCH(C3037,Produtos!$A$2:$A$71,0)),"")</f>
        <v/>
      </c>
      <c r="O3037" s="25">
        <f>IFERROR(INDEX(Produtos!$C$2:$C$71,MATCH(C3037,Produtos!$A$2:$A$71,0)),"")</f>
        <v/>
      </c>
      <c r="P3037" s="25">
        <f>IFERROR(INDEX(Produtos!$D$2:$D$71,MATCH(C3037,Produtos!$A$2:$A$71,0)),0)</f>
        <v/>
      </c>
      <c r="Q3037" s="25">
        <f>IFERROR(INDEX(Produtos!$E$2:$E$71,MATCH(C3037,Produtos!$A$2:$A$71,0)),0)</f>
        <v/>
      </c>
      <c r="R3037" s="27">
        <f>D3037*Q3037</f>
        <v/>
      </c>
      <c r="S3037" s="27">
        <f>R3037*E3037</f>
        <v/>
      </c>
      <c r="T3037" s="27">
        <f>(R3037-S3037)*M3037</f>
        <v/>
      </c>
      <c r="U3037" s="27">
        <f>R3037-S3037-T3037</f>
        <v/>
      </c>
      <c r="V3037" s="27">
        <f>D3037*P3037</f>
        <v/>
      </c>
      <c r="W3037" s="27">
        <f>U3037-V3037</f>
        <v/>
      </c>
      <c r="X3037" s="28">
        <f>IFERROR(W3037/U3037,0)</f>
        <v/>
      </c>
    </row>
    <row r="3038">
      <c r="A3038" s="21">
        <f>ItensPedido!A3038</f>
        <v/>
      </c>
      <c r="B3038" s="21">
        <f>ItensPedido!B3038</f>
        <v/>
      </c>
      <c r="C3038" s="21">
        <f>ItensPedido!C3038</f>
        <v/>
      </c>
      <c r="D3038" s="21">
        <f>ItensPedido!D3038</f>
        <v/>
      </c>
      <c r="E3038" s="22">
        <f>ItensPedido!E3038</f>
        <v/>
      </c>
      <c r="F3038" s="21">
        <f>IFERROR(INDEX(Pedidos!$B$2:$B$1801,MATCH(B3038,Pedidos!$A$2:$A$1801,0)),0)</f>
        <v/>
      </c>
      <c r="G3038" s="21">
        <f>IF(F3038=0,"",YEAR(F3038))</f>
        <v/>
      </c>
      <c r="H3038" s="21">
        <f>IF(F3038=0,"",MONTH(F3038))</f>
        <v/>
      </c>
      <c r="I3038" s="21">
        <f>IFERROR(INDEX(Pedidos!$E$2:$E$1801,MATCH(B3038,Pedidos!$A$2:$A$1801,0)),"")</f>
        <v/>
      </c>
      <c r="J3038" s="21">
        <f>IFERROR(INDEX(Pedidos!$C$2:$C$1801,MATCH(B3038,Pedidos!$A$2:$A$1801,0)),"")</f>
        <v/>
      </c>
      <c r="K3038" s="21">
        <f>IFERROR(INDEX(Pedidos!$D$2:$D$1801,MATCH(B3038,Pedidos!$A$2:$A$1801,0)),"")</f>
        <v/>
      </c>
      <c r="L3038" s="21">
        <f>IFERROR(INDEX(Pedidos!$F$2:$F$1801,MATCH(B3038,Pedidos!$A$2:$A$1801,0)),"")</f>
        <v/>
      </c>
      <c r="M3038" s="22">
        <f>IFERROR(INDEX(Pedidos!$G$2:$G$1801,MATCH(B3038,Pedidos!$A$2:$A$1801,0)),0)</f>
        <v/>
      </c>
      <c r="N3038" s="21">
        <f>IFERROR(INDEX(Produtos!$B$2:$B$71,MATCH(C3038,Produtos!$A$2:$A$71,0)),"")</f>
        <v/>
      </c>
      <c r="O3038" s="21">
        <f>IFERROR(INDEX(Produtos!$C$2:$C$71,MATCH(C3038,Produtos!$A$2:$A$71,0)),"")</f>
        <v/>
      </c>
      <c r="P3038" s="21">
        <f>IFERROR(INDEX(Produtos!$D$2:$D$71,MATCH(C3038,Produtos!$A$2:$A$71,0)),0)</f>
        <v/>
      </c>
      <c r="Q3038" s="21">
        <f>IFERROR(INDEX(Produtos!$E$2:$E$71,MATCH(C3038,Produtos!$A$2:$A$71,0)),0)</f>
        <v/>
      </c>
      <c r="R3038" s="23">
        <f>D3038*Q3038</f>
        <v/>
      </c>
      <c r="S3038" s="23">
        <f>R3038*E3038</f>
        <v/>
      </c>
      <c r="T3038" s="23">
        <f>(R3038-S3038)*M3038</f>
        <v/>
      </c>
      <c r="U3038" s="23">
        <f>R3038-S3038-T3038</f>
        <v/>
      </c>
      <c r="V3038" s="23">
        <f>D3038*P3038</f>
        <v/>
      </c>
      <c r="W3038" s="23">
        <f>U3038-V3038</f>
        <v/>
      </c>
      <c r="X3038" s="24">
        <f>IFERROR(W3038/U3038,0)</f>
        <v/>
      </c>
    </row>
    <row r="3039">
      <c r="A3039" s="25">
        <f>ItensPedido!A3039</f>
        <v/>
      </c>
      <c r="B3039" s="25">
        <f>ItensPedido!B3039</f>
        <v/>
      </c>
      <c r="C3039" s="25">
        <f>ItensPedido!C3039</f>
        <v/>
      </c>
      <c r="D3039" s="25">
        <f>ItensPedido!D3039</f>
        <v/>
      </c>
      <c r="E3039" s="26">
        <f>ItensPedido!E3039</f>
        <v/>
      </c>
      <c r="F3039" s="25">
        <f>IFERROR(INDEX(Pedidos!$B$2:$B$1801,MATCH(B3039,Pedidos!$A$2:$A$1801,0)),0)</f>
        <v/>
      </c>
      <c r="G3039" s="25">
        <f>IF(F3039=0,"",YEAR(F3039))</f>
        <v/>
      </c>
      <c r="H3039" s="25">
        <f>IF(F3039=0,"",MONTH(F3039))</f>
        <v/>
      </c>
      <c r="I3039" s="25">
        <f>IFERROR(INDEX(Pedidos!$E$2:$E$1801,MATCH(B3039,Pedidos!$A$2:$A$1801,0)),"")</f>
        <v/>
      </c>
      <c r="J3039" s="25">
        <f>IFERROR(INDEX(Pedidos!$C$2:$C$1801,MATCH(B3039,Pedidos!$A$2:$A$1801,0)),"")</f>
        <v/>
      </c>
      <c r="K3039" s="25">
        <f>IFERROR(INDEX(Pedidos!$D$2:$D$1801,MATCH(B3039,Pedidos!$A$2:$A$1801,0)),"")</f>
        <v/>
      </c>
      <c r="L3039" s="25">
        <f>IFERROR(INDEX(Pedidos!$F$2:$F$1801,MATCH(B3039,Pedidos!$A$2:$A$1801,0)),"")</f>
        <v/>
      </c>
      <c r="M3039" s="26">
        <f>IFERROR(INDEX(Pedidos!$G$2:$G$1801,MATCH(B3039,Pedidos!$A$2:$A$1801,0)),0)</f>
        <v/>
      </c>
      <c r="N3039" s="25">
        <f>IFERROR(INDEX(Produtos!$B$2:$B$71,MATCH(C3039,Produtos!$A$2:$A$71,0)),"")</f>
        <v/>
      </c>
      <c r="O3039" s="25">
        <f>IFERROR(INDEX(Produtos!$C$2:$C$71,MATCH(C3039,Produtos!$A$2:$A$71,0)),"")</f>
        <v/>
      </c>
      <c r="P3039" s="25">
        <f>IFERROR(INDEX(Produtos!$D$2:$D$71,MATCH(C3039,Produtos!$A$2:$A$71,0)),0)</f>
        <v/>
      </c>
      <c r="Q3039" s="25">
        <f>IFERROR(INDEX(Produtos!$E$2:$E$71,MATCH(C3039,Produtos!$A$2:$A$71,0)),0)</f>
        <v/>
      </c>
      <c r="R3039" s="27">
        <f>D3039*Q3039</f>
        <v/>
      </c>
      <c r="S3039" s="27">
        <f>R3039*E3039</f>
        <v/>
      </c>
      <c r="T3039" s="27">
        <f>(R3039-S3039)*M3039</f>
        <v/>
      </c>
      <c r="U3039" s="27">
        <f>R3039-S3039-T3039</f>
        <v/>
      </c>
      <c r="V3039" s="27">
        <f>D3039*P3039</f>
        <v/>
      </c>
      <c r="W3039" s="27">
        <f>U3039-V3039</f>
        <v/>
      </c>
      <c r="X3039" s="28">
        <f>IFERROR(W3039/U3039,0)</f>
        <v/>
      </c>
    </row>
    <row r="3040">
      <c r="A3040" s="21">
        <f>ItensPedido!A3040</f>
        <v/>
      </c>
      <c r="B3040" s="21">
        <f>ItensPedido!B3040</f>
        <v/>
      </c>
      <c r="C3040" s="21">
        <f>ItensPedido!C3040</f>
        <v/>
      </c>
      <c r="D3040" s="21">
        <f>ItensPedido!D3040</f>
        <v/>
      </c>
      <c r="E3040" s="22">
        <f>ItensPedido!E3040</f>
        <v/>
      </c>
      <c r="F3040" s="21">
        <f>IFERROR(INDEX(Pedidos!$B$2:$B$1801,MATCH(B3040,Pedidos!$A$2:$A$1801,0)),0)</f>
        <v/>
      </c>
      <c r="G3040" s="21">
        <f>IF(F3040=0,"",YEAR(F3040))</f>
        <v/>
      </c>
      <c r="H3040" s="21">
        <f>IF(F3040=0,"",MONTH(F3040))</f>
        <v/>
      </c>
      <c r="I3040" s="21">
        <f>IFERROR(INDEX(Pedidos!$E$2:$E$1801,MATCH(B3040,Pedidos!$A$2:$A$1801,0)),"")</f>
        <v/>
      </c>
      <c r="J3040" s="21">
        <f>IFERROR(INDEX(Pedidos!$C$2:$C$1801,MATCH(B3040,Pedidos!$A$2:$A$1801,0)),"")</f>
        <v/>
      </c>
      <c r="K3040" s="21">
        <f>IFERROR(INDEX(Pedidos!$D$2:$D$1801,MATCH(B3040,Pedidos!$A$2:$A$1801,0)),"")</f>
        <v/>
      </c>
      <c r="L3040" s="21">
        <f>IFERROR(INDEX(Pedidos!$F$2:$F$1801,MATCH(B3040,Pedidos!$A$2:$A$1801,0)),"")</f>
        <v/>
      </c>
      <c r="M3040" s="22">
        <f>IFERROR(INDEX(Pedidos!$G$2:$G$1801,MATCH(B3040,Pedidos!$A$2:$A$1801,0)),0)</f>
        <v/>
      </c>
      <c r="N3040" s="21">
        <f>IFERROR(INDEX(Produtos!$B$2:$B$71,MATCH(C3040,Produtos!$A$2:$A$71,0)),"")</f>
        <v/>
      </c>
      <c r="O3040" s="21">
        <f>IFERROR(INDEX(Produtos!$C$2:$C$71,MATCH(C3040,Produtos!$A$2:$A$71,0)),"")</f>
        <v/>
      </c>
      <c r="P3040" s="21">
        <f>IFERROR(INDEX(Produtos!$D$2:$D$71,MATCH(C3040,Produtos!$A$2:$A$71,0)),0)</f>
        <v/>
      </c>
      <c r="Q3040" s="21">
        <f>IFERROR(INDEX(Produtos!$E$2:$E$71,MATCH(C3040,Produtos!$A$2:$A$71,0)),0)</f>
        <v/>
      </c>
      <c r="R3040" s="23">
        <f>D3040*Q3040</f>
        <v/>
      </c>
      <c r="S3040" s="23">
        <f>R3040*E3040</f>
        <v/>
      </c>
      <c r="T3040" s="23">
        <f>(R3040-S3040)*M3040</f>
        <v/>
      </c>
      <c r="U3040" s="23">
        <f>R3040-S3040-T3040</f>
        <v/>
      </c>
      <c r="V3040" s="23">
        <f>D3040*P3040</f>
        <v/>
      </c>
      <c r="W3040" s="23">
        <f>U3040-V3040</f>
        <v/>
      </c>
      <c r="X3040" s="24">
        <f>IFERROR(W3040/U3040,0)</f>
        <v/>
      </c>
    </row>
    <row r="3041">
      <c r="A3041" s="25">
        <f>ItensPedido!A3041</f>
        <v/>
      </c>
      <c r="B3041" s="25">
        <f>ItensPedido!B3041</f>
        <v/>
      </c>
      <c r="C3041" s="25">
        <f>ItensPedido!C3041</f>
        <v/>
      </c>
      <c r="D3041" s="25">
        <f>ItensPedido!D3041</f>
        <v/>
      </c>
      <c r="E3041" s="26">
        <f>ItensPedido!E3041</f>
        <v/>
      </c>
      <c r="F3041" s="25">
        <f>IFERROR(INDEX(Pedidos!$B$2:$B$1801,MATCH(B3041,Pedidos!$A$2:$A$1801,0)),0)</f>
        <v/>
      </c>
      <c r="G3041" s="25">
        <f>IF(F3041=0,"",YEAR(F3041))</f>
        <v/>
      </c>
      <c r="H3041" s="25">
        <f>IF(F3041=0,"",MONTH(F3041))</f>
        <v/>
      </c>
      <c r="I3041" s="25">
        <f>IFERROR(INDEX(Pedidos!$E$2:$E$1801,MATCH(B3041,Pedidos!$A$2:$A$1801,0)),"")</f>
        <v/>
      </c>
      <c r="J3041" s="25">
        <f>IFERROR(INDEX(Pedidos!$C$2:$C$1801,MATCH(B3041,Pedidos!$A$2:$A$1801,0)),"")</f>
        <v/>
      </c>
      <c r="K3041" s="25">
        <f>IFERROR(INDEX(Pedidos!$D$2:$D$1801,MATCH(B3041,Pedidos!$A$2:$A$1801,0)),"")</f>
        <v/>
      </c>
      <c r="L3041" s="25">
        <f>IFERROR(INDEX(Pedidos!$F$2:$F$1801,MATCH(B3041,Pedidos!$A$2:$A$1801,0)),"")</f>
        <v/>
      </c>
      <c r="M3041" s="26">
        <f>IFERROR(INDEX(Pedidos!$G$2:$G$1801,MATCH(B3041,Pedidos!$A$2:$A$1801,0)),0)</f>
        <v/>
      </c>
      <c r="N3041" s="25">
        <f>IFERROR(INDEX(Produtos!$B$2:$B$71,MATCH(C3041,Produtos!$A$2:$A$71,0)),"")</f>
        <v/>
      </c>
      <c r="O3041" s="25">
        <f>IFERROR(INDEX(Produtos!$C$2:$C$71,MATCH(C3041,Produtos!$A$2:$A$71,0)),"")</f>
        <v/>
      </c>
      <c r="P3041" s="25">
        <f>IFERROR(INDEX(Produtos!$D$2:$D$71,MATCH(C3041,Produtos!$A$2:$A$71,0)),0)</f>
        <v/>
      </c>
      <c r="Q3041" s="25">
        <f>IFERROR(INDEX(Produtos!$E$2:$E$71,MATCH(C3041,Produtos!$A$2:$A$71,0)),0)</f>
        <v/>
      </c>
      <c r="R3041" s="27">
        <f>D3041*Q3041</f>
        <v/>
      </c>
      <c r="S3041" s="27">
        <f>R3041*E3041</f>
        <v/>
      </c>
      <c r="T3041" s="27">
        <f>(R3041-S3041)*M3041</f>
        <v/>
      </c>
      <c r="U3041" s="27">
        <f>R3041-S3041-T3041</f>
        <v/>
      </c>
      <c r="V3041" s="27">
        <f>D3041*P3041</f>
        <v/>
      </c>
      <c r="W3041" s="27">
        <f>U3041-V3041</f>
        <v/>
      </c>
      <c r="X3041" s="28">
        <f>IFERROR(W3041/U3041,0)</f>
        <v/>
      </c>
    </row>
    <row r="3042">
      <c r="A3042" s="21">
        <f>ItensPedido!A3042</f>
        <v/>
      </c>
      <c r="B3042" s="21">
        <f>ItensPedido!B3042</f>
        <v/>
      </c>
      <c r="C3042" s="21">
        <f>ItensPedido!C3042</f>
        <v/>
      </c>
      <c r="D3042" s="21">
        <f>ItensPedido!D3042</f>
        <v/>
      </c>
      <c r="E3042" s="22">
        <f>ItensPedido!E3042</f>
        <v/>
      </c>
      <c r="F3042" s="21">
        <f>IFERROR(INDEX(Pedidos!$B$2:$B$1801,MATCH(B3042,Pedidos!$A$2:$A$1801,0)),0)</f>
        <v/>
      </c>
      <c r="G3042" s="21">
        <f>IF(F3042=0,"",YEAR(F3042))</f>
        <v/>
      </c>
      <c r="H3042" s="21">
        <f>IF(F3042=0,"",MONTH(F3042))</f>
        <v/>
      </c>
      <c r="I3042" s="21">
        <f>IFERROR(INDEX(Pedidos!$E$2:$E$1801,MATCH(B3042,Pedidos!$A$2:$A$1801,0)),"")</f>
        <v/>
      </c>
      <c r="J3042" s="21">
        <f>IFERROR(INDEX(Pedidos!$C$2:$C$1801,MATCH(B3042,Pedidos!$A$2:$A$1801,0)),"")</f>
        <v/>
      </c>
      <c r="K3042" s="21">
        <f>IFERROR(INDEX(Pedidos!$D$2:$D$1801,MATCH(B3042,Pedidos!$A$2:$A$1801,0)),"")</f>
        <v/>
      </c>
      <c r="L3042" s="21">
        <f>IFERROR(INDEX(Pedidos!$F$2:$F$1801,MATCH(B3042,Pedidos!$A$2:$A$1801,0)),"")</f>
        <v/>
      </c>
      <c r="M3042" s="22">
        <f>IFERROR(INDEX(Pedidos!$G$2:$G$1801,MATCH(B3042,Pedidos!$A$2:$A$1801,0)),0)</f>
        <v/>
      </c>
      <c r="N3042" s="21">
        <f>IFERROR(INDEX(Produtos!$B$2:$B$71,MATCH(C3042,Produtos!$A$2:$A$71,0)),"")</f>
        <v/>
      </c>
      <c r="O3042" s="21">
        <f>IFERROR(INDEX(Produtos!$C$2:$C$71,MATCH(C3042,Produtos!$A$2:$A$71,0)),"")</f>
        <v/>
      </c>
      <c r="P3042" s="21">
        <f>IFERROR(INDEX(Produtos!$D$2:$D$71,MATCH(C3042,Produtos!$A$2:$A$71,0)),0)</f>
        <v/>
      </c>
      <c r="Q3042" s="21">
        <f>IFERROR(INDEX(Produtos!$E$2:$E$71,MATCH(C3042,Produtos!$A$2:$A$71,0)),0)</f>
        <v/>
      </c>
      <c r="R3042" s="23">
        <f>D3042*Q3042</f>
        <v/>
      </c>
      <c r="S3042" s="23">
        <f>R3042*E3042</f>
        <v/>
      </c>
      <c r="T3042" s="23">
        <f>(R3042-S3042)*M3042</f>
        <v/>
      </c>
      <c r="U3042" s="23">
        <f>R3042-S3042-T3042</f>
        <v/>
      </c>
      <c r="V3042" s="23">
        <f>D3042*P3042</f>
        <v/>
      </c>
      <c r="W3042" s="23">
        <f>U3042-V3042</f>
        <v/>
      </c>
      <c r="X3042" s="24">
        <f>IFERROR(W3042/U3042,0)</f>
        <v/>
      </c>
    </row>
    <row r="3043">
      <c r="A3043" s="25">
        <f>ItensPedido!A3043</f>
        <v/>
      </c>
      <c r="B3043" s="25">
        <f>ItensPedido!B3043</f>
        <v/>
      </c>
      <c r="C3043" s="25">
        <f>ItensPedido!C3043</f>
        <v/>
      </c>
      <c r="D3043" s="25">
        <f>ItensPedido!D3043</f>
        <v/>
      </c>
      <c r="E3043" s="26">
        <f>ItensPedido!E3043</f>
        <v/>
      </c>
      <c r="F3043" s="25">
        <f>IFERROR(INDEX(Pedidos!$B$2:$B$1801,MATCH(B3043,Pedidos!$A$2:$A$1801,0)),0)</f>
        <v/>
      </c>
      <c r="G3043" s="25">
        <f>IF(F3043=0,"",YEAR(F3043))</f>
        <v/>
      </c>
      <c r="H3043" s="25">
        <f>IF(F3043=0,"",MONTH(F3043))</f>
        <v/>
      </c>
      <c r="I3043" s="25">
        <f>IFERROR(INDEX(Pedidos!$E$2:$E$1801,MATCH(B3043,Pedidos!$A$2:$A$1801,0)),"")</f>
        <v/>
      </c>
      <c r="J3043" s="25">
        <f>IFERROR(INDEX(Pedidos!$C$2:$C$1801,MATCH(B3043,Pedidos!$A$2:$A$1801,0)),"")</f>
        <v/>
      </c>
      <c r="K3043" s="25">
        <f>IFERROR(INDEX(Pedidos!$D$2:$D$1801,MATCH(B3043,Pedidos!$A$2:$A$1801,0)),"")</f>
        <v/>
      </c>
      <c r="L3043" s="25">
        <f>IFERROR(INDEX(Pedidos!$F$2:$F$1801,MATCH(B3043,Pedidos!$A$2:$A$1801,0)),"")</f>
        <v/>
      </c>
      <c r="M3043" s="26">
        <f>IFERROR(INDEX(Pedidos!$G$2:$G$1801,MATCH(B3043,Pedidos!$A$2:$A$1801,0)),0)</f>
        <v/>
      </c>
      <c r="N3043" s="25">
        <f>IFERROR(INDEX(Produtos!$B$2:$B$71,MATCH(C3043,Produtos!$A$2:$A$71,0)),"")</f>
        <v/>
      </c>
      <c r="O3043" s="25">
        <f>IFERROR(INDEX(Produtos!$C$2:$C$71,MATCH(C3043,Produtos!$A$2:$A$71,0)),"")</f>
        <v/>
      </c>
      <c r="P3043" s="25">
        <f>IFERROR(INDEX(Produtos!$D$2:$D$71,MATCH(C3043,Produtos!$A$2:$A$71,0)),0)</f>
        <v/>
      </c>
      <c r="Q3043" s="25">
        <f>IFERROR(INDEX(Produtos!$E$2:$E$71,MATCH(C3043,Produtos!$A$2:$A$71,0)),0)</f>
        <v/>
      </c>
      <c r="R3043" s="27">
        <f>D3043*Q3043</f>
        <v/>
      </c>
      <c r="S3043" s="27">
        <f>R3043*E3043</f>
        <v/>
      </c>
      <c r="T3043" s="27">
        <f>(R3043-S3043)*M3043</f>
        <v/>
      </c>
      <c r="U3043" s="27">
        <f>R3043-S3043-T3043</f>
        <v/>
      </c>
      <c r="V3043" s="27">
        <f>D3043*P3043</f>
        <v/>
      </c>
      <c r="W3043" s="27">
        <f>U3043-V3043</f>
        <v/>
      </c>
      <c r="X3043" s="28">
        <f>IFERROR(W3043/U3043,0)</f>
        <v/>
      </c>
    </row>
    <row r="3044">
      <c r="A3044" s="21">
        <f>ItensPedido!A3044</f>
        <v/>
      </c>
      <c r="B3044" s="21">
        <f>ItensPedido!B3044</f>
        <v/>
      </c>
      <c r="C3044" s="21">
        <f>ItensPedido!C3044</f>
        <v/>
      </c>
      <c r="D3044" s="21">
        <f>ItensPedido!D3044</f>
        <v/>
      </c>
      <c r="E3044" s="22">
        <f>ItensPedido!E3044</f>
        <v/>
      </c>
      <c r="F3044" s="21">
        <f>IFERROR(INDEX(Pedidos!$B$2:$B$1801,MATCH(B3044,Pedidos!$A$2:$A$1801,0)),0)</f>
        <v/>
      </c>
      <c r="G3044" s="21">
        <f>IF(F3044=0,"",YEAR(F3044))</f>
        <v/>
      </c>
      <c r="H3044" s="21">
        <f>IF(F3044=0,"",MONTH(F3044))</f>
        <v/>
      </c>
      <c r="I3044" s="21">
        <f>IFERROR(INDEX(Pedidos!$E$2:$E$1801,MATCH(B3044,Pedidos!$A$2:$A$1801,0)),"")</f>
        <v/>
      </c>
      <c r="J3044" s="21">
        <f>IFERROR(INDEX(Pedidos!$C$2:$C$1801,MATCH(B3044,Pedidos!$A$2:$A$1801,0)),"")</f>
        <v/>
      </c>
      <c r="K3044" s="21">
        <f>IFERROR(INDEX(Pedidos!$D$2:$D$1801,MATCH(B3044,Pedidos!$A$2:$A$1801,0)),"")</f>
        <v/>
      </c>
      <c r="L3044" s="21">
        <f>IFERROR(INDEX(Pedidos!$F$2:$F$1801,MATCH(B3044,Pedidos!$A$2:$A$1801,0)),"")</f>
        <v/>
      </c>
      <c r="M3044" s="22">
        <f>IFERROR(INDEX(Pedidos!$G$2:$G$1801,MATCH(B3044,Pedidos!$A$2:$A$1801,0)),0)</f>
        <v/>
      </c>
      <c r="N3044" s="21">
        <f>IFERROR(INDEX(Produtos!$B$2:$B$71,MATCH(C3044,Produtos!$A$2:$A$71,0)),"")</f>
        <v/>
      </c>
      <c r="O3044" s="21">
        <f>IFERROR(INDEX(Produtos!$C$2:$C$71,MATCH(C3044,Produtos!$A$2:$A$71,0)),"")</f>
        <v/>
      </c>
      <c r="P3044" s="21">
        <f>IFERROR(INDEX(Produtos!$D$2:$D$71,MATCH(C3044,Produtos!$A$2:$A$71,0)),0)</f>
        <v/>
      </c>
      <c r="Q3044" s="21">
        <f>IFERROR(INDEX(Produtos!$E$2:$E$71,MATCH(C3044,Produtos!$A$2:$A$71,0)),0)</f>
        <v/>
      </c>
      <c r="R3044" s="23">
        <f>D3044*Q3044</f>
        <v/>
      </c>
      <c r="S3044" s="23">
        <f>R3044*E3044</f>
        <v/>
      </c>
      <c r="T3044" s="23">
        <f>(R3044-S3044)*M3044</f>
        <v/>
      </c>
      <c r="U3044" s="23">
        <f>R3044-S3044-T3044</f>
        <v/>
      </c>
      <c r="V3044" s="23">
        <f>D3044*P3044</f>
        <v/>
      </c>
      <c r="W3044" s="23">
        <f>U3044-V3044</f>
        <v/>
      </c>
      <c r="X3044" s="24">
        <f>IFERROR(W3044/U3044,0)</f>
        <v/>
      </c>
    </row>
    <row r="3045">
      <c r="A3045" s="25">
        <f>ItensPedido!A3045</f>
        <v/>
      </c>
      <c r="B3045" s="25">
        <f>ItensPedido!B3045</f>
        <v/>
      </c>
      <c r="C3045" s="25">
        <f>ItensPedido!C3045</f>
        <v/>
      </c>
      <c r="D3045" s="25">
        <f>ItensPedido!D3045</f>
        <v/>
      </c>
      <c r="E3045" s="26">
        <f>ItensPedido!E3045</f>
        <v/>
      </c>
      <c r="F3045" s="25">
        <f>IFERROR(INDEX(Pedidos!$B$2:$B$1801,MATCH(B3045,Pedidos!$A$2:$A$1801,0)),0)</f>
        <v/>
      </c>
      <c r="G3045" s="25">
        <f>IF(F3045=0,"",YEAR(F3045))</f>
        <v/>
      </c>
      <c r="H3045" s="25">
        <f>IF(F3045=0,"",MONTH(F3045))</f>
        <v/>
      </c>
      <c r="I3045" s="25">
        <f>IFERROR(INDEX(Pedidos!$E$2:$E$1801,MATCH(B3045,Pedidos!$A$2:$A$1801,0)),"")</f>
        <v/>
      </c>
      <c r="J3045" s="25">
        <f>IFERROR(INDEX(Pedidos!$C$2:$C$1801,MATCH(B3045,Pedidos!$A$2:$A$1801,0)),"")</f>
        <v/>
      </c>
      <c r="K3045" s="25">
        <f>IFERROR(INDEX(Pedidos!$D$2:$D$1801,MATCH(B3045,Pedidos!$A$2:$A$1801,0)),"")</f>
        <v/>
      </c>
      <c r="L3045" s="25">
        <f>IFERROR(INDEX(Pedidos!$F$2:$F$1801,MATCH(B3045,Pedidos!$A$2:$A$1801,0)),"")</f>
        <v/>
      </c>
      <c r="M3045" s="26">
        <f>IFERROR(INDEX(Pedidos!$G$2:$G$1801,MATCH(B3045,Pedidos!$A$2:$A$1801,0)),0)</f>
        <v/>
      </c>
      <c r="N3045" s="25">
        <f>IFERROR(INDEX(Produtos!$B$2:$B$71,MATCH(C3045,Produtos!$A$2:$A$71,0)),"")</f>
        <v/>
      </c>
      <c r="O3045" s="25">
        <f>IFERROR(INDEX(Produtos!$C$2:$C$71,MATCH(C3045,Produtos!$A$2:$A$71,0)),"")</f>
        <v/>
      </c>
      <c r="P3045" s="25">
        <f>IFERROR(INDEX(Produtos!$D$2:$D$71,MATCH(C3045,Produtos!$A$2:$A$71,0)),0)</f>
        <v/>
      </c>
      <c r="Q3045" s="25">
        <f>IFERROR(INDEX(Produtos!$E$2:$E$71,MATCH(C3045,Produtos!$A$2:$A$71,0)),0)</f>
        <v/>
      </c>
      <c r="R3045" s="27">
        <f>D3045*Q3045</f>
        <v/>
      </c>
      <c r="S3045" s="27">
        <f>R3045*E3045</f>
        <v/>
      </c>
      <c r="T3045" s="27">
        <f>(R3045-S3045)*M3045</f>
        <v/>
      </c>
      <c r="U3045" s="27">
        <f>R3045-S3045-T3045</f>
        <v/>
      </c>
      <c r="V3045" s="27">
        <f>D3045*P3045</f>
        <v/>
      </c>
      <c r="W3045" s="27">
        <f>U3045-V3045</f>
        <v/>
      </c>
      <c r="X3045" s="28">
        <f>IFERROR(W3045/U3045,0)</f>
        <v/>
      </c>
    </row>
    <row r="3046">
      <c r="A3046" s="21">
        <f>ItensPedido!A3046</f>
        <v/>
      </c>
      <c r="B3046" s="21">
        <f>ItensPedido!B3046</f>
        <v/>
      </c>
      <c r="C3046" s="21">
        <f>ItensPedido!C3046</f>
        <v/>
      </c>
      <c r="D3046" s="21">
        <f>ItensPedido!D3046</f>
        <v/>
      </c>
      <c r="E3046" s="22">
        <f>ItensPedido!E3046</f>
        <v/>
      </c>
      <c r="F3046" s="21">
        <f>IFERROR(INDEX(Pedidos!$B$2:$B$1801,MATCH(B3046,Pedidos!$A$2:$A$1801,0)),0)</f>
        <v/>
      </c>
      <c r="G3046" s="21">
        <f>IF(F3046=0,"",YEAR(F3046))</f>
        <v/>
      </c>
      <c r="H3046" s="21">
        <f>IF(F3046=0,"",MONTH(F3046))</f>
        <v/>
      </c>
      <c r="I3046" s="21">
        <f>IFERROR(INDEX(Pedidos!$E$2:$E$1801,MATCH(B3046,Pedidos!$A$2:$A$1801,0)),"")</f>
        <v/>
      </c>
      <c r="J3046" s="21">
        <f>IFERROR(INDEX(Pedidos!$C$2:$C$1801,MATCH(B3046,Pedidos!$A$2:$A$1801,0)),"")</f>
        <v/>
      </c>
      <c r="K3046" s="21">
        <f>IFERROR(INDEX(Pedidos!$D$2:$D$1801,MATCH(B3046,Pedidos!$A$2:$A$1801,0)),"")</f>
        <v/>
      </c>
      <c r="L3046" s="21">
        <f>IFERROR(INDEX(Pedidos!$F$2:$F$1801,MATCH(B3046,Pedidos!$A$2:$A$1801,0)),"")</f>
        <v/>
      </c>
      <c r="M3046" s="22">
        <f>IFERROR(INDEX(Pedidos!$G$2:$G$1801,MATCH(B3046,Pedidos!$A$2:$A$1801,0)),0)</f>
        <v/>
      </c>
      <c r="N3046" s="21">
        <f>IFERROR(INDEX(Produtos!$B$2:$B$71,MATCH(C3046,Produtos!$A$2:$A$71,0)),"")</f>
        <v/>
      </c>
      <c r="O3046" s="21">
        <f>IFERROR(INDEX(Produtos!$C$2:$C$71,MATCH(C3046,Produtos!$A$2:$A$71,0)),"")</f>
        <v/>
      </c>
      <c r="P3046" s="21">
        <f>IFERROR(INDEX(Produtos!$D$2:$D$71,MATCH(C3046,Produtos!$A$2:$A$71,0)),0)</f>
        <v/>
      </c>
      <c r="Q3046" s="21">
        <f>IFERROR(INDEX(Produtos!$E$2:$E$71,MATCH(C3046,Produtos!$A$2:$A$71,0)),0)</f>
        <v/>
      </c>
      <c r="R3046" s="23">
        <f>D3046*Q3046</f>
        <v/>
      </c>
      <c r="S3046" s="23">
        <f>R3046*E3046</f>
        <v/>
      </c>
      <c r="T3046" s="23">
        <f>(R3046-S3046)*M3046</f>
        <v/>
      </c>
      <c r="U3046" s="23">
        <f>R3046-S3046-T3046</f>
        <v/>
      </c>
      <c r="V3046" s="23">
        <f>D3046*P3046</f>
        <v/>
      </c>
      <c r="W3046" s="23">
        <f>U3046-V3046</f>
        <v/>
      </c>
      <c r="X3046" s="24">
        <f>IFERROR(W3046/U3046,0)</f>
        <v/>
      </c>
    </row>
    <row r="3047">
      <c r="A3047" s="25">
        <f>ItensPedido!A3047</f>
        <v/>
      </c>
      <c r="B3047" s="25">
        <f>ItensPedido!B3047</f>
        <v/>
      </c>
      <c r="C3047" s="25">
        <f>ItensPedido!C3047</f>
        <v/>
      </c>
      <c r="D3047" s="25">
        <f>ItensPedido!D3047</f>
        <v/>
      </c>
      <c r="E3047" s="26">
        <f>ItensPedido!E3047</f>
        <v/>
      </c>
      <c r="F3047" s="25">
        <f>IFERROR(INDEX(Pedidos!$B$2:$B$1801,MATCH(B3047,Pedidos!$A$2:$A$1801,0)),0)</f>
        <v/>
      </c>
      <c r="G3047" s="25">
        <f>IF(F3047=0,"",YEAR(F3047))</f>
        <v/>
      </c>
      <c r="H3047" s="25">
        <f>IF(F3047=0,"",MONTH(F3047))</f>
        <v/>
      </c>
      <c r="I3047" s="25">
        <f>IFERROR(INDEX(Pedidos!$E$2:$E$1801,MATCH(B3047,Pedidos!$A$2:$A$1801,0)),"")</f>
        <v/>
      </c>
      <c r="J3047" s="25">
        <f>IFERROR(INDEX(Pedidos!$C$2:$C$1801,MATCH(B3047,Pedidos!$A$2:$A$1801,0)),"")</f>
        <v/>
      </c>
      <c r="K3047" s="25">
        <f>IFERROR(INDEX(Pedidos!$D$2:$D$1801,MATCH(B3047,Pedidos!$A$2:$A$1801,0)),"")</f>
        <v/>
      </c>
      <c r="L3047" s="25">
        <f>IFERROR(INDEX(Pedidos!$F$2:$F$1801,MATCH(B3047,Pedidos!$A$2:$A$1801,0)),"")</f>
        <v/>
      </c>
      <c r="M3047" s="26">
        <f>IFERROR(INDEX(Pedidos!$G$2:$G$1801,MATCH(B3047,Pedidos!$A$2:$A$1801,0)),0)</f>
        <v/>
      </c>
      <c r="N3047" s="25">
        <f>IFERROR(INDEX(Produtos!$B$2:$B$71,MATCH(C3047,Produtos!$A$2:$A$71,0)),"")</f>
        <v/>
      </c>
      <c r="O3047" s="25">
        <f>IFERROR(INDEX(Produtos!$C$2:$C$71,MATCH(C3047,Produtos!$A$2:$A$71,0)),"")</f>
        <v/>
      </c>
      <c r="P3047" s="25">
        <f>IFERROR(INDEX(Produtos!$D$2:$D$71,MATCH(C3047,Produtos!$A$2:$A$71,0)),0)</f>
        <v/>
      </c>
      <c r="Q3047" s="25">
        <f>IFERROR(INDEX(Produtos!$E$2:$E$71,MATCH(C3047,Produtos!$A$2:$A$71,0)),0)</f>
        <v/>
      </c>
      <c r="R3047" s="27">
        <f>D3047*Q3047</f>
        <v/>
      </c>
      <c r="S3047" s="27">
        <f>R3047*E3047</f>
        <v/>
      </c>
      <c r="T3047" s="27">
        <f>(R3047-S3047)*M3047</f>
        <v/>
      </c>
      <c r="U3047" s="27">
        <f>R3047-S3047-T3047</f>
        <v/>
      </c>
      <c r="V3047" s="27">
        <f>D3047*P3047</f>
        <v/>
      </c>
      <c r="W3047" s="27">
        <f>U3047-V3047</f>
        <v/>
      </c>
      <c r="X3047" s="28">
        <f>IFERROR(W3047/U3047,0)</f>
        <v/>
      </c>
    </row>
    <row r="3048">
      <c r="A3048" s="21">
        <f>ItensPedido!A3048</f>
        <v/>
      </c>
      <c r="B3048" s="21">
        <f>ItensPedido!B3048</f>
        <v/>
      </c>
      <c r="C3048" s="21">
        <f>ItensPedido!C3048</f>
        <v/>
      </c>
      <c r="D3048" s="21">
        <f>ItensPedido!D3048</f>
        <v/>
      </c>
      <c r="E3048" s="22">
        <f>ItensPedido!E3048</f>
        <v/>
      </c>
      <c r="F3048" s="21">
        <f>IFERROR(INDEX(Pedidos!$B$2:$B$1801,MATCH(B3048,Pedidos!$A$2:$A$1801,0)),0)</f>
        <v/>
      </c>
      <c r="G3048" s="21">
        <f>IF(F3048=0,"",YEAR(F3048))</f>
        <v/>
      </c>
      <c r="H3048" s="21">
        <f>IF(F3048=0,"",MONTH(F3048))</f>
        <v/>
      </c>
      <c r="I3048" s="21">
        <f>IFERROR(INDEX(Pedidos!$E$2:$E$1801,MATCH(B3048,Pedidos!$A$2:$A$1801,0)),"")</f>
        <v/>
      </c>
      <c r="J3048" s="21">
        <f>IFERROR(INDEX(Pedidos!$C$2:$C$1801,MATCH(B3048,Pedidos!$A$2:$A$1801,0)),"")</f>
        <v/>
      </c>
      <c r="K3048" s="21">
        <f>IFERROR(INDEX(Pedidos!$D$2:$D$1801,MATCH(B3048,Pedidos!$A$2:$A$1801,0)),"")</f>
        <v/>
      </c>
      <c r="L3048" s="21">
        <f>IFERROR(INDEX(Pedidos!$F$2:$F$1801,MATCH(B3048,Pedidos!$A$2:$A$1801,0)),"")</f>
        <v/>
      </c>
      <c r="M3048" s="22">
        <f>IFERROR(INDEX(Pedidos!$G$2:$G$1801,MATCH(B3048,Pedidos!$A$2:$A$1801,0)),0)</f>
        <v/>
      </c>
      <c r="N3048" s="21">
        <f>IFERROR(INDEX(Produtos!$B$2:$B$71,MATCH(C3048,Produtos!$A$2:$A$71,0)),"")</f>
        <v/>
      </c>
      <c r="O3048" s="21">
        <f>IFERROR(INDEX(Produtos!$C$2:$C$71,MATCH(C3048,Produtos!$A$2:$A$71,0)),"")</f>
        <v/>
      </c>
      <c r="P3048" s="21">
        <f>IFERROR(INDEX(Produtos!$D$2:$D$71,MATCH(C3048,Produtos!$A$2:$A$71,0)),0)</f>
        <v/>
      </c>
      <c r="Q3048" s="21">
        <f>IFERROR(INDEX(Produtos!$E$2:$E$71,MATCH(C3048,Produtos!$A$2:$A$71,0)),0)</f>
        <v/>
      </c>
      <c r="R3048" s="23">
        <f>D3048*Q3048</f>
        <v/>
      </c>
      <c r="S3048" s="23">
        <f>R3048*E3048</f>
        <v/>
      </c>
      <c r="T3048" s="23">
        <f>(R3048-S3048)*M3048</f>
        <v/>
      </c>
      <c r="U3048" s="23">
        <f>R3048-S3048-T3048</f>
        <v/>
      </c>
      <c r="V3048" s="23">
        <f>D3048*P3048</f>
        <v/>
      </c>
      <c r="W3048" s="23">
        <f>U3048-V3048</f>
        <v/>
      </c>
      <c r="X3048" s="24">
        <f>IFERROR(W3048/U3048,0)</f>
        <v/>
      </c>
    </row>
    <row r="3049">
      <c r="A3049" s="25">
        <f>ItensPedido!A3049</f>
        <v/>
      </c>
      <c r="B3049" s="25">
        <f>ItensPedido!B3049</f>
        <v/>
      </c>
      <c r="C3049" s="25">
        <f>ItensPedido!C3049</f>
        <v/>
      </c>
      <c r="D3049" s="25">
        <f>ItensPedido!D3049</f>
        <v/>
      </c>
      <c r="E3049" s="26">
        <f>ItensPedido!E3049</f>
        <v/>
      </c>
      <c r="F3049" s="25">
        <f>IFERROR(INDEX(Pedidos!$B$2:$B$1801,MATCH(B3049,Pedidos!$A$2:$A$1801,0)),0)</f>
        <v/>
      </c>
      <c r="G3049" s="25">
        <f>IF(F3049=0,"",YEAR(F3049))</f>
        <v/>
      </c>
      <c r="H3049" s="25">
        <f>IF(F3049=0,"",MONTH(F3049))</f>
        <v/>
      </c>
      <c r="I3049" s="25">
        <f>IFERROR(INDEX(Pedidos!$E$2:$E$1801,MATCH(B3049,Pedidos!$A$2:$A$1801,0)),"")</f>
        <v/>
      </c>
      <c r="J3049" s="25">
        <f>IFERROR(INDEX(Pedidos!$C$2:$C$1801,MATCH(B3049,Pedidos!$A$2:$A$1801,0)),"")</f>
        <v/>
      </c>
      <c r="K3049" s="25">
        <f>IFERROR(INDEX(Pedidos!$D$2:$D$1801,MATCH(B3049,Pedidos!$A$2:$A$1801,0)),"")</f>
        <v/>
      </c>
      <c r="L3049" s="25">
        <f>IFERROR(INDEX(Pedidos!$F$2:$F$1801,MATCH(B3049,Pedidos!$A$2:$A$1801,0)),"")</f>
        <v/>
      </c>
      <c r="M3049" s="26">
        <f>IFERROR(INDEX(Pedidos!$G$2:$G$1801,MATCH(B3049,Pedidos!$A$2:$A$1801,0)),0)</f>
        <v/>
      </c>
      <c r="N3049" s="25">
        <f>IFERROR(INDEX(Produtos!$B$2:$B$71,MATCH(C3049,Produtos!$A$2:$A$71,0)),"")</f>
        <v/>
      </c>
      <c r="O3049" s="25">
        <f>IFERROR(INDEX(Produtos!$C$2:$C$71,MATCH(C3049,Produtos!$A$2:$A$71,0)),"")</f>
        <v/>
      </c>
      <c r="P3049" s="25">
        <f>IFERROR(INDEX(Produtos!$D$2:$D$71,MATCH(C3049,Produtos!$A$2:$A$71,0)),0)</f>
        <v/>
      </c>
      <c r="Q3049" s="25">
        <f>IFERROR(INDEX(Produtos!$E$2:$E$71,MATCH(C3049,Produtos!$A$2:$A$71,0)),0)</f>
        <v/>
      </c>
      <c r="R3049" s="27">
        <f>D3049*Q3049</f>
        <v/>
      </c>
      <c r="S3049" s="27">
        <f>R3049*E3049</f>
        <v/>
      </c>
      <c r="T3049" s="27">
        <f>(R3049-S3049)*M3049</f>
        <v/>
      </c>
      <c r="U3049" s="27">
        <f>R3049-S3049-T3049</f>
        <v/>
      </c>
      <c r="V3049" s="27">
        <f>D3049*P3049</f>
        <v/>
      </c>
      <c r="W3049" s="27">
        <f>U3049-V3049</f>
        <v/>
      </c>
      <c r="X3049" s="28">
        <f>IFERROR(W3049/U3049,0)</f>
        <v/>
      </c>
    </row>
    <row r="3050">
      <c r="A3050" s="21">
        <f>ItensPedido!A3050</f>
        <v/>
      </c>
      <c r="B3050" s="21">
        <f>ItensPedido!B3050</f>
        <v/>
      </c>
      <c r="C3050" s="21">
        <f>ItensPedido!C3050</f>
        <v/>
      </c>
      <c r="D3050" s="21">
        <f>ItensPedido!D3050</f>
        <v/>
      </c>
      <c r="E3050" s="22">
        <f>ItensPedido!E3050</f>
        <v/>
      </c>
      <c r="F3050" s="21">
        <f>IFERROR(INDEX(Pedidos!$B$2:$B$1801,MATCH(B3050,Pedidos!$A$2:$A$1801,0)),0)</f>
        <v/>
      </c>
      <c r="G3050" s="21">
        <f>IF(F3050=0,"",YEAR(F3050))</f>
        <v/>
      </c>
      <c r="H3050" s="21">
        <f>IF(F3050=0,"",MONTH(F3050))</f>
        <v/>
      </c>
      <c r="I3050" s="21">
        <f>IFERROR(INDEX(Pedidos!$E$2:$E$1801,MATCH(B3050,Pedidos!$A$2:$A$1801,0)),"")</f>
        <v/>
      </c>
      <c r="J3050" s="21">
        <f>IFERROR(INDEX(Pedidos!$C$2:$C$1801,MATCH(B3050,Pedidos!$A$2:$A$1801,0)),"")</f>
        <v/>
      </c>
      <c r="K3050" s="21">
        <f>IFERROR(INDEX(Pedidos!$D$2:$D$1801,MATCH(B3050,Pedidos!$A$2:$A$1801,0)),"")</f>
        <v/>
      </c>
      <c r="L3050" s="21">
        <f>IFERROR(INDEX(Pedidos!$F$2:$F$1801,MATCH(B3050,Pedidos!$A$2:$A$1801,0)),"")</f>
        <v/>
      </c>
      <c r="M3050" s="22">
        <f>IFERROR(INDEX(Pedidos!$G$2:$G$1801,MATCH(B3050,Pedidos!$A$2:$A$1801,0)),0)</f>
        <v/>
      </c>
      <c r="N3050" s="21">
        <f>IFERROR(INDEX(Produtos!$B$2:$B$71,MATCH(C3050,Produtos!$A$2:$A$71,0)),"")</f>
        <v/>
      </c>
      <c r="O3050" s="21">
        <f>IFERROR(INDEX(Produtos!$C$2:$C$71,MATCH(C3050,Produtos!$A$2:$A$71,0)),"")</f>
        <v/>
      </c>
      <c r="P3050" s="21">
        <f>IFERROR(INDEX(Produtos!$D$2:$D$71,MATCH(C3050,Produtos!$A$2:$A$71,0)),0)</f>
        <v/>
      </c>
      <c r="Q3050" s="21">
        <f>IFERROR(INDEX(Produtos!$E$2:$E$71,MATCH(C3050,Produtos!$A$2:$A$71,0)),0)</f>
        <v/>
      </c>
      <c r="R3050" s="23">
        <f>D3050*Q3050</f>
        <v/>
      </c>
      <c r="S3050" s="23">
        <f>R3050*E3050</f>
        <v/>
      </c>
      <c r="T3050" s="23">
        <f>(R3050-S3050)*M3050</f>
        <v/>
      </c>
      <c r="U3050" s="23">
        <f>R3050-S3050-T3050</f>
        <v/>
      </c>
      <c r="V3050" s="23">
        <f>D3050*P3050</f>
        <v/>
      </c>
      <c r="W3050" s="23">
        <f>U3050-V3050</f>
        <v/>
      </c>
      <c r="X3050" s="24">
        <f>IFERROR(W3050/U3050,0)</f>
        <v/>
      </c>
    </row>
    <row r="3051">
      <c r="A3051" s="25">
        <f>ItensPedido!A3051</f>
        <v/>
      </c>
      <c r="B3051" s="25">
        <f>ItensPedido!B3051</f>
        <v/>
      </c>
      <c r="C3051" s="25">
        <f>ItensPedido!C3051</f>
        <v/>
      </c>
      <c r="D3051" s="25">
        <f>ItensPedido!D3051</f>
        <v/>
      </c>
      <c r="E3051" s="26">
        <f>ItensPedido!E3051</f>
        <v/>
      </c>
      <c r="F3051" s="25">
        <f>IFERROR(INDEX(Pedidos!$B$2:$B$1801,MATCH(B3051,Pedidos!$A$2:$A$1801,0)),0)</f>
        <v/>
      </c>
      <c r="G3051" s="25">
        <f>IF(F3051=0,"",YEAR(F3051))</f>
        <v/>
      </c>
      <c r="H3051" s="25">
        <f>IF(F3051=0,"",MONTH(F3051))</f>
        <v/>
      </c>
      <c r="I3051" s="25">
        <f>IFERROR(INDEX(Pedidos!$E$2:$E$1801,MATCH(B3051,Pedidos!$A$2:$A$1801,0)),"")</f>
        <v/>
      </c>
      <c r="J3051" s="25">
        <f>IFERROR(INDEX(Pedidos!$C$2:$C$1801,MATCH(B3051,Pedidos!$A$2:$A$1801,0)),"")</f>
        <v/>
      </c>
      <c r="K3051" s="25">
        <f>IFERROR(INDEX(Pedidos!$D$2:$D$1801,MATCH(B3051,Pedidos!$A$2:$A$1801,0)),"")</f>
        <v/>
      </c>
      <c r="L3051" s="25">
        <f>IFERROR(INDEX(Pedidos!$F$2:$F$1801,MATCH(B3051,Pedidos!$A$2:$A$1801,0)),"")</f>
        <v/>
      </c>
      <c r="M3051" s="26">
        <f>IFERROR(INDEX(Pedidos!$G$2:$G$1801,MATCH(B3051,Pedidos!$A$2:$A$1801,0)),0)</f>
        <v/>
      </c>
      <c r="N3051" s="25">
        <f>IFERROR(INDEX(Produtos!$B$2:$B$71,MATCH(C3051,Produtos!$A$2:$A$71,0)),"")</f>
        <v/>
      </c>
      <c r="O3051" s="25">
        <f>IFERROR(INDEX(Produtos!$C$2:$C$71,MATCH(C3051,Produtos!$A$2:$A$71,0)),"")</f>
        <v/>
      </c>
      <c r="P3051" s="25">
        <f>IFERROR(INDEX(Produtos!$D$2:$D$71,MATCH(C3051,Produtos!$A$2:$A$71,0)),0)</f>
        <v/>
      </c>
      <c r="Q3051" s="25">
        <f>IFERROR(INDEX(Produtos!$E$2:$E$71,MATCH(C3051,Produtos!$A$2:$A$71,0)),0)</f>
        <v/>
      </c>
      <c r="R3051" s="27">
        <f>D3051*Q3051</f>
        <v/>
      </c>
      <c r="S3051" s="27">
        <f>R3051*E3051</f>
        <v/>
      </c>
      <c r="T3051" s="27">
        <f>(R3051-S3051)*M3051</f>
        <v/>
      </c>
      <c r="U3051" s="27">
        <f>R3051-S3051-T3051</f>
        <v/>
      </c>
      <c r="V3051" s="27">
        <f>D3051*P3051</f>
        <v/>
      </c>
      <c r="W3051" s="27">
        <f>U3051-V3051</f>
        <v/>
      </c>
      <c r="X3051" s="28">
        <f>IFERROR(W3051/U3051,0)</f>
        <v/>
      </c>
    </row>
    <row r="3052">
      <c r="A3052" s="21">
        <f>ItensPedido!A3052</f>
        <v/>
      </c>
      <c r="B3052" s="21">
        <f>ItensPedido!B3052</f>
        <v/>
      </c>
      <c r="C3052" s="21">
        <f>ItensPedido!C3052</f>
        <v/>
      </c>
      <c r="D3052" s="21">
        <f>ItensPedido!D3052</f>
        <v/>
      </c>
      <c r="E3052" s="22">
        <f>ItensPedido!E3052</f>
        <v/>
      </c>
      <c r="F3052" s="21">
        <f>IFERROR(INDEX(Pedidos!$B$2:$B$1801,MATCH(B3052,Pedidos!$A$2:$A$1801,0)),0)</f>
        <v/>
      </c>
      <c r="G3052" s="21">
        <f>IF(F3052=0,"",YEAR(F3052))</f>
        <v/>
      </c>
      <c r="H3052" s="21">
        <f>IF(F3052=0,"",MONTH(F3052))</f>
        <v/>
      </c>
      <c r="I3052" s="21">
        <f>IFERROR(INDEX(Pedidos!$E$2:$E$1801,MATCH(B3052,Pedidos!$A$2:$A$1801,0)),"")</f>
        <v/>
      </c>
      <c r="J3052" s="21">
        <f>IFERROR(INDEX(Pedidos!$C$2:$C$1801,MATCH(B3052,Pedidos!$A$2:$A$1801,0)),"")</f>
        <v/>
      </c>
      <c r="K3052" s="21">
        <f>IFERROR(INDEX(Pedidos!$D$2:$D$1801,MATCH(B3052,Pedidos!$A$2:$A$1801,0)),"")</f>
        <v/>
      </c>
      <c r="L3052" s="21">
        <f>IFERROR(INDEX(Pedidos!$F$2:$F$1801,MATCH(B3052,Pedidos!$A$2:$A$1801,0)),"")</f>
        <v/>
      </c>
      <c r="M3052" s="22">
        <f>IFERROR(INDEX(Pedidos!$G$2:$G$1801,MATCH(B3052,Pedidos!$A$2:$A$1801,0)),0)</f>
        <v/>
      </c>
      <c r="N3052" s="21">
        <f>IFERROR(INDEX(Produtos!$B$2:$B$71,MATCH(C3052,Produtos!$A$2:$A$71,0)),"")</f>
        <v/>
      </c>
      <c r="O3052" s="21">
        <f>IFERROR(INDEX(Produtos!$C$2:$C$71,MATCH(C3052,Produtos!$A$2:$A$71,0)),"")</f>
        <v/>
      </c>
      <c r="P3052" s="21">
        <f>IFERROR(INDEX(Produtos!$D$2:$D$71,MATCH(C3052,Produtos!$A$2:$A$71,0)),0)</f>
        <v/>
      </c>
      <c r="Q3052" s="21">
        <f>IFERROR(INDEX(Produtos!$E$2:$E$71,MATCH(C3052,Produtos!$A$2:$A$71,0)),0)</f>
        <v/>
      </c>
      <c r="R3052" s="23">
        <f>D3052*Q3052</f>
        <v/>
      </c>
      <c r="S3052" s="23">
        <f>R3052*E3052</f>
        <v/>
      </c>
      <c r="T3052" s="23">
        <f>(R3052-S3052)*M3052</f>
        <v/>
      </c>
      <c r="U3052" s="23">
        <f>R3052-S3052-T3052</f>
        <v/>
      </c>
      <c r="V3052" s="23">
        <f>D3052*P3052</f>
        <v/>
      </c>
      <c r="W3052" s="23">
        <f>U3052-V3052</f>
        <v/>
      </c>
      <c r="X3052" s="24">
        <f>IFERROR(W3052/U3052,0)</f>
        <v/>
      </c>
    </row>
    <row r="3053">
      <c r="A3053" s="25">
        <f>ItensPedido!A3053</f>
        <v/>
      </c>
      <c r="B3053" s="25">
        <f>ItensPedido!B3053</f>
        <v/>
      </c>
      <c r="C3053" s="25">
        <f>ItensPedido!C3053</f>
        <v/>
      </c>
      <c r="D3053" s="25">
        <f>ItensPedido!D3053</f>
        <v/>
      </c>
      <c r="E3053" s="26">
        <f>ItensPedido!E3053</f>
        <v/>
      </c>
      <c r="F3053" s="25">
        <f>IFERROR(INDEX(Pedidos!$B$2:$B$1801,MATCH(B3053,Pedidos!$A$2:$A$1801,0)),0)</f>
        <v/>
      </c>
      <c r="G3053" s="25">
        <f>IF(F3053=0,"",YEAR(F3053))</f>
        <v/>
      </c>
      <c r="H3053" s="25">
        <f>IF(F3053=0,"",MONTH(F3053))</f>
        <v/>
      </c>
      <c r="I3053" s="25">
        <f>IFERROR(INDEX(Pedidos!$E$2:$E$1801,MATCH(B3053,Pedidos!$A$2:$A$1801,0)),"")</f>
        <v/>
      </c>
      <c r="J3053" s="25">
        <f>IFERROR(INDEX(Pedidos!$C$2:$C$1801,MATCH(B3053,Pedidos!$A$2:$A$1801,0)),"")</f>
        <v/>
      </c>
      <c r="K3053" s="25">
        <f>IFERROR(INDEX(Pedidos!$D$2:$D$1801,MATCH(B3053,Pedidos!$A$2:$A$1801,0)),"")</f>
        <v/>
      </c>
      <c r="L3053" s="25">
        <f>IFERROR(INDEX(Pedidos!$F$2:$F$1801,MATCH(B3053,Pedidos!$A$2:$A$1801,0)),"")</f>
        <v/>
      </c>
      <c r="M3053" s="26">
        <f>IFERROR(INDEX(Pedidos!$G$2:$G$1801,MATCH(B3053,Pedidos!$A$2:$A$1801,0)),0)</f>
        <v/>
      </c>
      <c r="N3053" s="25">
        <f>IFERROR(INDEX(Produtos!$B$2:$B$71,MATCH(C3053,Produtos!$A$2:$A$71,0)),"")</f>
        <v/>
      </c>
      <c r="O3053" s="25">
        <f>IFERROR(INDEX(Produtos!$C$2:$C$71,MATCH(C3053,Produtos!$A$2:$A$71,0)),"")</f>
        <v/>
      </c>
      <c r="P3053" s="25">
        <f>IFERROR(INDEX(Produtos!$D$2:$D$71,MATCH(C3053,Produtos!$A$2:$A$71,0)),0)</f>
        <v/>
      </c>
      <c r="Q3053" s="25">
        <f>IFERROR(INDEX(Produtos!$E$2:$E$71,MATCH(C3053,Produtos!$A$2:$A$71,0)),0)</f>
        <v/>
      </c>
      <c r="R3053" s="27">
        <f>D3053*Q3053</f>
        <v/>
      </c>
      <c r="S3053" s="27">
        <f>R3053*E3053</f>
        <v/>
      </c>
      <c r="T3053" s="27">
        <f>(R3053-S3053)*M3053</f>
        <v/>
      </c>
      <c r="U3053" s="27">
        <f>R3053-S3053-T3053</f>
        <v/>
      </c>
      <c r="V3053" s="27">
        <f>D3053*P3053</f>
        <v/>
      </c>
      <c r="W3053" s="27">
        <f>U3053-V3053</f>
        <v/>
      </c>
      <c r="X3053" s="28">
        <f>IFERROR(W3053/U3053,0)</f>
        <v/>
      </c>
    </row>
    <row r="3054">
      <c r="A3054" s="21">
        <f>ItensPedido!A3054</f>
        <v/>
      </c>
      <c r="B3054" s="21">
        <f>ItensPedido!B3054</f>
        <v/>
      </c>
      <c r="C3054" s="21">
        <f>ItensPedido!C3054</f>
        <v/>
      </c>
      <c r="D3054" s="21">
        <f>ItensPedido!D3054</f>
        <v/>
      </c>
      <c r="E3054" s="22">
        <f>ItensPedido!E3054</f>
        <v/>
      </c>
      <c r="F3054" s="21">
        <f>IFERROR(INDEX(Pedidos!$B$2:$B$1801,MATCH(B3054,Pedidos!$A$2:$A$1801,0)),0)</f>
        <v/>
      </c>
      <c r="G3054" s="21">
        <f>IF(F3054=0,"",YEAR(F3054))</f>
        <v/>
      </c>
      <c r="H3054" s="21">
        <f>IF(F3054=0,"",MONTH(F3054))</f>
        <v/>
      </c>
      <c r="I3054" s="21">
        <f>IFERROR(INDEX(Pedidos!$E$2:$E$1801,MATCH(B3054,Pedidos!$A$2:$A$1801,0)),"")</f>
        <v/>
      </c>
      <c r="J3054" s="21">
        <f>IFERROR(INDEX(Pedidos!$C$2:$C$1801,MATCH(B3054,Pedidos!$A$2:$A$1801,0)),"")</f>
        <v/>
      </c>
      <c r="K3054" s="21">
        <f>IFERROR(INDEX(Pedidos!$D$2:$D$1801,MATCH(B3054,Pedidos!$A$2:$A$1801,0)),"")</f>
        <v/>
      </c>
      <c r="L3054" s="21">
        <f>IFERROR(INDEX(Pedidos!$F$2:$F$1801,MATCH(B3054,Pedidos!$A$2:$A$1801,0)),"")</f>
        <v/>
      </c>
      <c r="M3054" s="22">
        <f>IFERROR(INDEX(Pedidos!$G$2:$G$1801,MATCH(B3054,Pedidos!$A$2:$A$1801,0)),0)</f>
        <v/>
      </c>
      <c r="N3054" s="21">
        <f>IFERROR(INDEX(Produtos!$B$2:$B$71,MATCH(C3054,Produtos!$A$2:$A$71,0)),"")</f>
        <v/>
      </c>
      <c r="O3054" s="21">
        <f>IFERROR(INDEX(Produtos!$C$2:$C$71,MATCH(C3054,Produtos!$A$2:$A$71,0)),"")</f>
        <v/>
      </c>
      <c r="P3054" s="21">
        <f>IFERROR(INDEX(Produtos!$D$2:$D$71,MATCH(C3054,Produtos!$A$2:$A$71,0)),0)</f>
        <v/>
      </c>
      <c r="Q3054" s="21">
        <f>IFERROR(INDEX(Produtos!$E$2:$E$71,MATCH(C3054,Produtos!$A$2:$A$71,0)),0)</f>
        <v/>
      </c>
      <c r="R3054" s="23">
        <f>D3054*Q3054</f>
        <v/>
      </c>
      <c r="S3054" s="23">
        <f>R3054*E3054</f>
        <v/>
      </c>
      <c r="T3054" s="23">
        <f>(R3054-S3054)*M3054</f>
        <v/>
      </c>
      <c r="U3054" s="23">
        <f>R3054-S3054-T3054</f>
        <v/>
      </c>
      <c r="V3054" s="23">
        <f>D3054*P3054</f>
        <v/>
      </c>
      <c r="W3054" s="23">
        <f>U3054-V3054</f>
        <v/>
      </c>
      <c r="X3054" s="24">
        <f>IFERROR(W3054/U3054,0)</f>
        <v/>
      </c>
    </row>
    <row r="3055">
      <c r="A3055" s="25">
        <f>ItensPedido!A3055</f>
        <v/>
      </c>
      <c r="B3055" s="25">
        <f>ItensPedido!B3055</f>
        <v/>
      </c>
      <c r="C3055" s="25">
        <f>ItensPedido!C3055</f>
        <v/>
      </c>
      <c r="D3055" s="25">
        <f>ItensPedido!D3055</f>
        <v/>
      </c>
      <c r="E3055" s="26">
        <f>ItensPedido!E3055</f>
        <v/>
      </c>
      <c r="F3055" s="25">
        <f>IFERROR(INDEX(Pedidos!$B$2:$B$1801,MATCH(B3055,Pedidos!$A$2:$A$1801,0)),0)</f>
        <v/>
      </c>
      <c r="G3055" s="25">
        <f>IF(F3055=0,"",YEAR(F3055))</f>
        <v/>
      </c>
      <c r="H3055" s="25">
        <f>IF(F3055=0,"",MONTH(F3055))</f>
        <v/>
      </c>
      <c r="I3055" s="25">
        <f>IFERROR(INDEX(Pedidos!$E$2:$E$1801,MATCH(B3055,Pedidos!$A$2:$A$1801,0)),"")</f>
        <v/>
      </c>
      <c r="J3055" s="25">
        <f>IFERROR(INDEX(Pedidos!$C$2:$C$1801,MATCH(B3055,Pedidos!$A$2:$A$1801,0)),"")</f>
        <v/>
      </c>
      <c r="K3055" s="25">
        <f>IFERROR(INDEX(Pedidos!$D$2:$D$1801,MATCH(B3055,Pedidos!$A$2:$A$1801,0)),"")</f>
        <v/>
      </c>
      <c r="L3055" s="25">
        <f>IFERROR(INDEX(Pedidos!$F$2:$F$1801,MATCH(B3055,Pedidos!$A$2:$A$1801,0)),"")</f>
        <v/>
      </c>
      <c r="M3055" s="26">
        <f>IFERROR(INDEX(Pedidos!$G$2:$G$1801,MATCH(B3055,Pedidos!$A$2:$A$1801,0)),0)</f>
        <v/>
      </c>
      <c r="N3055" s="25">
        <f>IFERROR(INDEX(Produtos!$B$2:$B$71,MATCH(C3055,Produtos!$A$2:$A$71,0)),"")</f>
        <v/>
      </c>
      <c r="O3055" s="25">
        <f>IFERROR(INDEX(Produtos!$C$2:$C$71,MATCH(C3055,Produtos!$A$2:$A$71,0)),"")</f>
        <v/>
      </c>
      <c r="P3055" s="25">
        <f>IFERROR(INDEX(Produtos!$D$2:$D$71,MATCH(C3055,Produtos!$A$2:$A$71,0)),0)</f>
        <v/>
      </c>
      <c r="Q3055" s="25">
        <f>IFERROR(INDEX(Produtos!$E$2:$E$71,MATCH(C3055,Produtos!$A$2:$A$71,0)),0)</f>
        <v/>
      </c>
      <c r="R3055" s="27">
        <f>D3055*Q3055</f>
        <v/>
      </c>
      <c r="S3055" s="27">
        <f>R3055*E3055</f>
        <v/>
      </c>
      <c r="T3055" s="27">
        <f>(R3055-S3055)*M3055</f>
        <v/>
      </c>
      <c r="U3055" s="27">
        <f>R3055-S3055-T3055</f>
        <v/>
      </c>
      <c r="V3055" s="27">
        <f>D3055*P3055</f>
        <v/>
      </c>
      <c r="W3055" s="27">
        <f>U3055-V3055</f>
        <v/>
      </c>
      <c r="X3055" s="28">
        <f>IFERROR(W3055/U3055,0)</f>
        <v/>
      </c>
    </row>
    <row r="3056">
      <c r="A3056" s="21">
        <f>ItensPedido!A3056</f>
        <v/>
      </c>
      <c r="B3056" s="21">
        <f>ItensPedido!B3056</f>
        <v/>
      </c>
      <c r="C3056" s="21">
        <f>ItensPedido!C3056</f>
        <v/>
      </c>
      <c r="D3056" s="21">
        <f>ItensPedido!D3056</f>
        <v/>
      </c>
      <c r="E3056" s="22">
        <f>ItensPedido!E3056</f>
        <v/>
      </c>
      <c r="F3056" s="21">
        <f>IFERROR(INDEX(Pedidos!$B$2:$B$1801,MATCH(B3056,Pedidos!$A$2:$A$1801,0)),0)</f>
        <v/>
      </c>
      <c r="G3056" s="21">
        <f>IF(F3056=0,"",YEAR(F3056))</f>
        <v/>
      </c>
      <c r="H3056" s="21">
        <f>IF(F3056=0,"",MONTH(F3056))</f>
        <v/>
      </c>
      <c r="I3056" s="21">
        <f>IFERROR(INDEX(Pedidos!$E$2:$E$1801,MATCH(B3056,Pedidos!$A$2:$A$1801,0)),"")</f>
        <v/>
      </c>
      <c r="J3056" s="21">
        <f>IFERROR(INDEX(Pedidos!$C$2:$C$1801,MATCH(B3056,Pedidos!$A$2:$A$1801,0)),"")</f>
        <v/>
      </c>
      <c r="K3056" s="21">
        <f>IFERROR(INDEX(Pedidos!$D$2:$D$1801,MATCH(B3056,Pedidos!$A$2:$A$1801,0)),"")</f>
        <v/>
      </c>
      <c r="L3056" s="21">
        <f>IFERROR(INDEX(Pedidos!$F$2:$F$1801,MATCH(B3056,Pedidos!$A$2:$A$1801,0)),"")</f>
        <v/>
      </c>
      <c r="M3056" s="22">
        <f>IFERROR(INDEX(Pedidos!$G$2:$G$1801,MATCH(B3056,Pedidos!$A$2:$A$1801,0)),0)</f>
        <v/>
      </c>
      <c r="N3056" s="21">
        <f>IFERROR(INDEX(Produtos!$B$2:$B$71,MATCH(C3056,Produtos!$A$2:$A$71,0)),"")</f>
        <v/>
      </c>
      <c r="O3056" s="21">
        <f>IFERROR(INDEX(Produtos!$C$2:$C$71,MATCH(C3056,Produtos!$A$2:$A$71,0)),"")</f>
        <v/>
      </c>
      <c r="P3056" s="21">
        <f>IFERROR(INDEX(Produtos!$D$2:$D$71,MATCH(C3056,Produtos!$A$2:$A$71,0)),0)</f>
        <v/>
      </c>
      <c r="Q3056" s="21">
        <f>IFERROR(INDEX(Produtos!$E$2:$E$71,MATCH(C3056,Produtos!$A$2:$A$71,0)),0)</f>
        <v/>
      </c>
      <c r="R3056" s="23">
        <f>D3056*Q3056</f>
        <v/>
      </c>
      <c r="S3056" s="23">
        <f>R3056*E3056</f>
        <v/>
      </c>
      <c r="T3056" s="23">
        <f>(R3056-S3056)*M3056</f>
        <v/>
      </c>
      <c r="U3056" s="23">
        <f>R3056-S3056-T3056</f>
        <v/>
      </c>
      <c r="V3056" s="23">
        <f>D3056*P3056</f>
        <v/>
      </c>
      <c r="W3056" s="23">
        <f>U3056-V3056</f>
        <v/>
      </c>
      <c r="X3056" s="24">
        <f>IFERROR(W3056/U3056,0)</f>
        <v/>
      </c>
    </row>
    <row r="3057">
      <c r="A3057" s="25">
        <f>ItensPedido!A3057</f>
        <v/>
      </c>
      <c r="B3057" s="25">
        <f>ItensPedido!B3057</f>
        <v/>
      </c>
      <c r="C3057" s="25">
        <f>ItensPedido!C3057</f>
        <v/>
      </c>
      <c r="D3057" s="25">
        <f>ItensPedido!D3057</f>
        <v/>
      </c>
      <c r="E3057" s="26">
        <f>ItensPedido!E3057</f>
        <v/>
      </c>
      <c r="F3057" s="25">
        <f>IFERROR(INDEX(Pedidos!$B$2:$B$1801,MATCH(B3057,Pedidos!$A$2:$A$1801,0)),0)</f>
        <v/>
      </c>
      <c r="G3057" s="25">
        <f>IF(F3057=0,"",YEAR(F3057))</f>
        <v/>
      </c>
      <c r="H3057" s="25">
        <f>IF(F3057=0,"",MONTH(F3057))</f>
        <v/>
      </c>
      <c r="I3057" s="25">
        <f>IFERROR(INDEX(Pedidos!$E$2:$E$1801,MATCH(B3057,Pedidos!$A$2:$A$1801,0)),"")</f>
        <v/>
      </c>
      <c r="J3057" s="25">
        <f>IFERROR(INDEX(Pedidos!$C$2:$C$1801,MATCH(B3057,Pedidos!$A$2:$A$1801,0)),"")</f>
        <v/>
      </c>
      <c r="K3057" s="25">
        <f>IFERROR(INDEX(Pedidos!$D$2:$D$1801,MATCH(B3057,Pedidos!$A$2:$A$1801,0)),"")</f>
        <v/>
      </c>
      <c r="L3057" s="25">
        <f>IFERROR(INDEX(Pedidos!$F$2:$F$1801,MATCH(B3057,Pedidos!$A$2:$A$1801,0)),"")</f>
        <v/>
      </c>
      <c r="M3057" s="26">
        <f>IFERROR(INDEX(Pedidos!$G$2:$G$1801,MATCH(B3057,Pedidos!$A$2:$A$1801,0)),0)</f>
        <v/>
      </c>
      <c r="N3057" s="25">
        <f>IFERROR(INDEX(Produtos!$B$2:$B$71,MATCH(C3057,Produtos!$A$2:$A$71,0)),"")</f>
        <v/>
      </c>
      <c r="O3057" s="25">
        <f>IFERROR(INDEX(Produtos!$C$2:$C$71,MATCH(C3057,Produtos!$A$2:$A$71,0)),"")</f>
        <v/>
      </c>
      <c r="P3057" s="25">
        <f>IFERROR(INDEX(Produtos!$D$2:$D$71,MATCH(C3057,Produtos!$A$2:$A$71,0)),0)</f>
        <v/>
      </c>
      <c r="Q3057" s="25">
        <f>IFERROR(INDEX(Produtos!$E$2:$E$71,MATCH(C3057,Produtos!$A$2:$A$71,0)),0)</f>
        <v/>
      </c>
      <c r="R3057" s="27">
        <f>D3057*Q3057</f>
        <v/>
      </c>
      <c r="S3057" s="27">
        <f>R3057*E3057</f>
        <v/>
      </c>
      <c r="T3057" s="27">
        <f>(R3057-S3057)*M3057</f>
        <v/>
      </c>
      <c r="U3057" s="27">
        <f>R3057-S3057-T3057</f>
        <v/>
      </c>
      <c r="V3057" s="27">
        <f>D3057*P3057</f>
        <v/>
      </c>
      <c r="W3057" s="27">
        <f>U3057-V3057</f>
        <v/>
      </c>
      <c r="X3057" s="28">
        <f>IFERROR(W3057/U3057,0)</f>
        <v/>
      </c>
    </row>
    <row r="3058">
      <c r="A3058" s="21">
        <f>ItensPedido!A3058</f>
        <v/>
      </c>
      <c r="B3058" s="21">
        <f>ItensPedido!B3058</f>
        <v/>
      </c>
      <c r="C3058" s="21">
        <f>ItensPedido!C3058</f>
        <v/>
      </c>
      <c r="D3058" s="21">
        <f>ItensPedido!D3058</f>
        <v/>
      </c>
      <c r="E3058" s="22">
        <f>ItensPedido!E3058</f>
        <v/>
      </c>
      <c r="F3058" s="21">
        <f>IFERROR(INDEX(Pedidos!$B$2:$B$1801,MATCH(B3058,Pedidos!$A$2:$A$1801,0)),0)</f>
        <v/>
      </c>
      <c r="G3058" s="21">
        <f>IF(F3058=0,"",YEAR(F3058))</f>
        <v/>
      </c>
      <c r="H3058" s="21">
        <f>IF(F3058=0,"",MONTH(F3058))</f>
        <v/>
      </c>
      <c r="I3058" s="21">
        <f>IFERROR(INDEX(Pedidos!$E$2:$E$1801,MATCH(B3058,Pedidos!$A$2:$A$1801,0)),"")</f>
        <v/>
      </c>
      <c r="J3058" s="21">
        <f>IFERROR(INDEX(Pedidos!$C$2:$C$1801,MATCH(B3058,Pedidos!$A$2:$A$1801,0)),"")</f>
        <v/>
      </c>
      <c r="K3058" s="21">
        <f>IFERROR(INDEX(Pedidos!$D$2:$D$1801,MATCH(B3058,Pedidos!$A$2:$A$1801,0)),"")</f>
        <v/>
      </c>
      <c r="L3058" s="21">
        <f>IFERROR(INDEX(Pedidos!$F$2:$F$1801,MATCH(B3058,Pedidos!$A$2:$A$1801,0)),"")</f>
        <v/>
      </c>
      <c r="M3058" s="22">
        <f>IFERROR(INDEX(Pedidos!$G$2:$G$1801,MATCH(B3058,Pedidos!$A$2:$A$1801,0)),0)</f>
        <v/>
      </c>
      <c r="N3058" s="21">
        <f>IFERROR(INDEX(Produtos!$B$2:$B$71,MATCH(C3058,Produtos!$A$2:$A$71,0)),"")</f>
        <v/>
      </c>
      <c r="O3058" s="21">
        <f>IFERROR(INDEX(Produtos!$C$2:$C$71,MATCH(C3058,Produtos!$A$2:$A$71,0)),"")</f>
        <v/>
      </c>
      <c r="P3058" s="21">
        <f>IFERROR(INDEX(Produtos!$D$2:$D$71,MATCH(C3058,Produtos!$A$2:$A$71,0)),0)</f>
        <v/>
      </c>
      <c r="Q3058" s="21">
        <f>IFERROR(INDEX(Produtos!$E$2:$E$71,MATCH(C3058,Produtos!$A$2:$A$71,0)),0)</f>
        <v/>
      </c>
      <c r="R3058" s="23">
        <f>D3058*Q3058</f>
        <v/>
      </c>
      <c r="S3058" s="23">
        <f>R3058*E3058</f>
        <v/>
      </c>
      <c r="T3058" s="23">
        <f>(R3058-S3058)*M3058</f>
        <v/>
      </c>
      <c r="U3058" s="23">
        <f>R3058-S3058-T3058</f>
        <v/>
      </c>
      <c r="V3058" s="23">
        <f>D3058*P3058</f>
        <v/>
      </c>
      <c r="W3058" s="23">
        <f>U3058-V3058</f>
        <v/>
      </c>
      <c r="X3058" s="24">
        <f>IFERROR(W3058/U3058,0)</f>
        <v/>
      </c>
    </row>
    <row r="3059">
      <c r="A3059" s="25">
        <f>ItensPedido!A3059</f>
        <v/>
      </c>
      <c r="B3059" s="25">
        <f>ItensPedido!B3059</f>
        <v/>
      </c>
      <c r="C3059" s="25">
        <f>ItensPedido!C3059</f>
        <v/>
      </c>
      <c r="D3059" s="25">
        <f>ItensPedido!D3059</f>
        <v/>
      </c>
      <c r="E3059" s="26">
        <f>ItensPedido!E3059</f>
        <v/>
      </c>
      <c r="F3059" s="25">
        <f>IFERROR(INDEX(Pedidos!$B$2:$B$1801,MATCH(B3059,Pedidos!$A$2:$A$1801,0)),0)</f>
        <v/>
      </c>
      <c r="G3059" s="25">
        <f>IF(F3059=0,"",YEAR(F3059))</f>
        <v/>
      </c>
      <c r="H3059" s="25">
        <f>IF(F3059=0,"",MONTH(F3059))</f>
        <v/>
      </c>
      <c r="I3059" s="25">
        <f>IFERROR(INDEX(Pedidos!$E$2:$E$1801,MATCH(B3059,Pedidos!$A$2:$A$1801,0)),"")</f>
        <v/>
      </c>
      <c r="J3059" s="25">
        <f>IFERROR(INDEX(Pedidos!$C$2:$C$1801,MATCH(B3059,Pedidos!$A$2:$A$1801,0)),"")</f>
        <v/>
      </c>
      <c r="K3059" s="25">
        <f>IFERROR(INDEX(Pedidos!$D$2:$D$1801,MATCH(B3059,Pedidos!$A$2:$A$1801,0)),"")</f>
        <v/>
      </c>
      <c r="L3059" s="25">
        <f>IFERROR(INDEX(Pedidos!$F$2:$F$1801,MATCH(B3059,Pedidos!$A$2:$A$1801,0)),"")</f>
        <v/>
      </c>
      <c r="M3059" s="26">
        <f>IFERROR(INDEX(Pedidos!$G$2:$G$1801,MATCH(B3059,Pedidos!$A$2:$A$1801,0)),0)</f>
        <v/>
      </c>
      <c r="N3059" s="25">
        <f>IFERROR(INDEX(Produtos!$B$2:$B$71,MATCH(C3059,Produtos!$A$2:$A$71,0)),"")</f>
        <v/>
      </c>
      <c r="O3059" s="25">
        <f>IFERROR(INDEX(Produtos!$C$2:$C$71,MATCH(C3059,Produtos!$A$2:$A$71,0)),"")</f>
        <v/>
      </c>
      <c r="P3059" s="25">
        <f>IFERROR(INDEX(Produtos!$D$2:$D$71,MATCH(C3059,Produtos!$A$2:$A$71,0)),0)</f>
        <v/>
      </c>
      <c r="Q3059" s="25">
        <f>IFERROR(INDEX(Produtos!$E$2:$E$71,MATCH(C3059,Produtos!$A$2:$A$71,0)),0)</f>
        <v/>
      </c>
      <c r="R3059" s="27">
        <f>D3059*Q3059</f>
        <v/>
      </c>
      <c r="S3059" s="27">
        <f>R3059*E3059</f>
        <v/>
      </c>
      <c r="T3059" s="27">
        <f>(R3059-S3059)*M3059</f>
        <v/>
      </c>
      <c r="U3059" s="27">
        <f>R3059-S3059-T3059</f>
        <v/>
      </c>
      <c r="V3059" s="27">
        <f>D3059*P3059</f>
        <v/>
      </c>
      <c r="W3059" s="27">
        <f>U3059-V3059</f>
        <v/>
      </c>
      <c r="X3059" s="28">
        <f>IFERROR(W3059/U3059,0)</f>
        <v/>
      </c>
    </row>
    <row r="3060">
      <c r="A3060" s="21">
        <f>ItensPedido!A3060</f>
        <v/>
      </c>
      <c r="B3060" s="21">
        <f>ItensPedido!B3060</f>
        <v/>
      </c>
      <c r="C3060" s="21">
        <f>ItensPedido!C3060</f>
        <v/>
      </c>
      <c r="D3060" s="21">
        <f>ItensPedido!D3060</f>
        <v/>
      </c>
      <c r="E3060" s="22">
        <f>ItensPedido!E3060</f>
        <v/>
      </c>
      <c r="F3060" s="21">
        <f>IFERROR(INDEX(Pedidos!$B$2:$B$1801,MATCH(B3060,Pedidos!$A$2:$A$1801,0)),0)</f>
        <v/>
      </c>
      <c r="G3060" s="21">
        <f>IF(F3060=0,"",YEAR(F3060))</f>
        <v/>
      </c>
      <c r="H3060" s="21">
        <f>IF(F3060=0,"",MONTH(F3060))</f>
        <v/>
      </c>
      <c r="I3060" s="21">
        <f>IFERROR(INDEX(Pedidos!$E$2:$E$1801,MATCH(B3060,Pedidos!$A$2:$A$1801,0)),"")</f>
        <v/>
      </c>
      <c r="J3060" s="21">
        <f>IFERROR(INDEX(Pedidos!$C$2:$C$1801,MATCH(B3060,Pedidos!$A$2:$A$1801,0)),"")</f>
        <v/>
      </c>
      <c r="K3060" s="21">
        <f>IFERROR(INDEX(Pedidos!$D$2:$D$1801,MATCH(B3060,Pedidos!$A$2:$A$1801,0)),"")</f>
        <v/>
      </c>
      <c r="L3060" s="21">
        <f>IFERROR(INDEX(Pedidos!$F$2:$F$1801,MATCH(B3060,Pedidos!$A$2:$A$1801,0)),"")</f>
        <v/>
      </c>
      <c r="M3060" s="22">
        <f>IFERROR(INDEX(Pedidos!$G$2:$G$1801,MATCH(B3060,Pedidos!$A$2:$A$1801,0)),0)</f>
        <v/>
      </c>
      <c r="N3060" s="21">
        <f>IFERROR(INDEX(Produtos!$B$2:$B$71,MATCH(C3060,Produtos!$A$2:$A$71,0)),"")</f>
        <v/>
      </c>
      <c r="O3060" s="21">
        <f>IFERROR(INDEX(Produtos!$C$2:$C$71,MATCH(C3060,Produtos!$A$2:$A$71,0)),"")</f>
        <v/>
      </c>
      <c r="P3060" s="21">
        <f>IFERROR(INDEX(Produtos!$D$2:$D$71,MATCH(C3060,Produtos!$A$2:$A$71,0)),0)</f>
        <v/>
      </c>
      <c r="Q3060" s="21">
        <f>IFERROR(INDEX(Produtos!$E$2:$E$71,MATCH(C3060,Produtos!$A$2:$A$71,0)),0)</f>
        <v/>
      </c>
      <c r="R3060" s="23">
        <f>D3060*Q3060</f>
        <v/>
      </c>
      <c r="S3060" s="23">
        <f>R3060*E3060</f>
        <v/>
      </c>
      <c r="T3060" s="23">
        <f>(R3060-S3060)*M3060</f>
        <v/>
      </c>
      <c r="U3060" s="23">
        <f>R3060-S3060-T3060</f>
        <v/>
      </c>
      <c r="V3060" s="23">
        <f>D3060*P3060</f>
        <v/>
      </c>
      <c r="W3060" s="23">
        <f>U3060-V3060</f>
        <v/>
      </c>
      <c r="X3060" s="24">
        <f>IFERROR(W3060/U3060,0)</f>
        <v/>
      </c>
    </row>
    <row r="3061">
      <c r="A3061" s="25">
        <f>ItensPedido!A3061</f>
        <v/>
      </c>
      <c r="B3061" s="25">
        <f>ItensPedido!B3061</f>
        <v/>
      </c>
      <c r="C3061" s="25">
        <f>ItensPedido!C3061</f>
        <v/>
      </c>
      <c r="D3061" s="25">
        <f>ItensPedido!D3061</f>
        <v/>
      </c>
      <c r="E3061" s="26">
        <f>ItensPedido!E3061</f>
        <v/>
      </c>
      <c r="F3061" s="25">
        <f>IFERROR(INDEX(Pedidos!$B$2:$B$1801,MATCH(B3061,Pedidos!$A$2:$A$1801,0)),0)</f>
        <v/>
      </c>
      <c r="G3061" s="25">
        <f>IF(F3061=0,"",YEAR(F3061))</f>
        <v/>
      </c>
      <c r="H3061" s="25">
        <f>IF(F3061=0,"",MONTH(F3061))</f>
        <v/>
      </c>
      <c r="I3061" s="25">
        <f>IFERROR(INDEX(Pedidos!$E$2:$E$1801,MATCH(B3061,Pedidos!$A$2:$A$1801,0)),"")</f>
        <v/>
      </c>
      <c r="J3061" s="25">
        <f>IFERROR(INDEX(Pedidos!$C$2:$C$1801,MATCH(B3061,Pedidos!$A$2:$A$1801,0)),"")</f>
        <v/>
      </c>
      <c r="K3061" s="25">
        <f>IFERROR(INDEX(Pedidos!$D$2:$D$1801,MATCH(B3061,Pedidos!$A$2:$A$1801,0)),"")</f>
        <v/>
      </c>
      <c r="L3061" s="25">
        <f>IFERROR(INDEX(Pedidos!$F$2:$F$1801,MATCH(B3061,Pedidos!$A$2:$A$1801,0)),"")</f>
        <v/>
      </c>
      <c r="M3061" s="26">
        <f>IFERROR(INDEX(Pedidos!$G$2:$G$1801,MATCH(B3061,Pedidos!$A$2:$A$1801,0)),0)</f>
        <v/>
      </c>
      <c r="N3061" s="25">
        <f>IFERROR(INDEX(Produtos!$B$2:$B$71,MATCH(C3061,Produtos!$A$2:$A$71,0)),"")</f>
        <v/>
      </c>
      <c r="O3061" s="25">
        <f>IFERROR(INDEX(Produtos!$C$2:$C$71,MATCH(C3061,Produtos!$A$2:$A$71,0)),"")</f>
        <v/>
      </c>
      <c r="P3061" s="25">
        <f>IFERROR(INDEX(Produtos!$D$2:$D$71,MATCH(C3061,Produtos!$A$2:$A$71,0)),0)</f>
        <v/>
      </c>
      <c r="Q3061" s="25">
        <f>IFERROR(INDEX(Produtos!$E$2:$E$71,MATCH(C3061,Produtos!$A$2:$A$71,0)),0)</f>
        <v/>
      </c>
      <c r="R3061" s="27">
        <f>D3061*Q3061</f>
        <v/>
      </c>
      <c r="S3061" s="27">
        <f>R3061*E3061</f>
        <v/>
      </c>
      <c r="T3061" s="27">
        <f>(R3061-S3061)*M3061</f>
        <v/>
      </c>
      <c r="U3061" s="27">
        <f>R3061-S3061-T3061</f>
        <v/>
      </c>
      <c r="V3061" s="27">
        <f>D3061*P3061</f>
        <v/>
      </c>
      <c r="W3061" s="27">
        <f>U3061-V3061</f>
        <v/>
      </c>
      <c r="X3061" s="28">
        <f>IFERROR(W3061/U3061,0)</f>
        <v/>
      </c>
    </row>
    <row r="3062">
      <c r="A3062" s="21">
        <f>ItensPedido!A3062</f>
        <v/>
      </c>
      <c r="B3062" s="21">
        <f>ItensPedido!B3062</f>
        <v/>
      </c>
      <c r="C3062" s="21">
        <f>ItensPedido!C3062</f>
        <v/>
      </c>
      <c r="D3062" s="21">
        <f>ItensPedido!D3062</f>
        <v/>
      </c>
      <c r="E3062" s="22">
        <f>ItensPedido!E3062</f>
        <v/>
      </c>
      <c r="F3062" s="21">
        <f>IFERROR(INDEX(Pedidos!$B$2:$B$1801,MATCH(B3062,Pedidos!$A$2:$A$1801,0)),0)</f>
        <v/>
      </c>
      <c r="G3062" s="21">
        <f>IF(F3062=0,"",YEAR(F3062))</f>
        <v/>
      </c>
      <c r="H3062" s="21">
        <f>IF(F3062=0,"",MONTH(F3062))</f>
        <v/>
      </c>
      <c r="I3062" s="21">
        <f>IFERROR(INDEX(Pedidos!$E$2:$E$1801,MATCH(B3062,Pedidos!$A$2:$A$1801,0)),"")</f>
        <v/>
      </c>
      <c r="J3062" s="21">
        <f>IFERROR(INDEX(Pedidos!$C$2:$C$1801,MATCH(B3062,Pedidos!$A$2:$A$1801,0)),"")</f>
        <v/>
      </c>
      <c r="K3062" s="21">
        <f>IFERROR(INDEX(Pedidos!$D$2:$D$1801,MATCH(B3062,Pedidos!$A$2:$A$1801,0)),"")</f>
        <v/>
      </c>
      <c r="L3062" s="21">
        <f>IFERROR(INDEX(Pedidos!$F$2:$F$1801,MATCH(B3062,Pedidos!$A$2:$A$1801,0)),"")</f>
        <v/>
      </c>
      <c r="M3062" s="22">
        <f>IFERROR(INDEX(Pedidos!$G$2:$G$1801,MATCH(B3062,Pedidos!$A$2:$A$1801,0)),0)</f>
        <v/>
      </c>
      <c r="N3062" s="21">
        <f>IFERROR(INDEX(Produtos!$B$2:$B$71,MATCH(C3062,Produtos!$A$2:$A$71,0)),"")</f>
        <v/>
      </c>
      <c r="O3062" s="21">
        <f>IFERROR(INDEX(Produtos!$C$2:$C$71,MATCH(C3062,Produtos!$A$2:$A$71,0)),"")</f>
        <v/>
      </c>
      <c r="P3062" s="21">
        <f>IFERROR(INDEX(Produtos!$D$2:$D$71,MATCH(C3062,Produtos!$A$2:$A$71,0)),0)</f>
        <v/>
      </c>
      <c r="Q3062" s="21">
        <f>IFERROR(INDEX(Produtos!$E$2:$E$71,MATCH(C3062,Produtos!$A$2:$A$71,0)),0)</f>
        <v/>
      </c>
      <c r="R3062" s="23">
        <f>D3062*Q3062</f>
        <v/>
      </c>
      <c r="S3062" s="23">
        <f>R3062*E3062</f>
        <v/>
      </c>
      <c r="T3062" s="23">
        <f>(R3062-S3062)*M3062</f>
        <v/>
      </c>
      <c r="U3062" s="23">
        <f>R3062-S3062-T3062</f>
        <v/>
      </c>
      <c r="V3062" s="23">
        <f>D3062*P3062</f>
        <v/>
      </c>
      <c r="W3062" s="23">
        <f>U3062-V3062</f>
        <v/>
      </c>
      <c r="X3062" s="24">
        <f>IFERROR(W3062/U3062,0)</f>
        <v/>
      </c>
    </row>
    <row r="3063">
      <c r="A3063" s="25">
        <f>ItensPedido!A3063</f>
        <v/>
      </c>
      <c r="B3063" s="25">
        <f>ItensPedido!B3063</f>
        <v/>
      </c>
      <c r="C3063" s="25">
        <f>ItensPedido!C3063</f>
        <v/>
      </c>
      <c r="D3063" s="25">
        <f>ItensPedido!D3063</f>
        <v/>
      </c>
      <c r="E3063" s="26">
        <f>ItensPedido!E3063</f>
        <v/>
      </c>
      <c r="F3063" s="25">
        <f>IFERROR(INDEX(Pedidos!$B$2:$B$1801,MATCH(B3063,Pedidos!$A$2:$A$1801,0)),0)</f>
        <v/>
      </c>
      <c r="G3063" s="25">
        <f>IF(F3063=0,"",YEAR(F3063))</f>
        <v/>
      </c>
      <c r="H3063" s="25">
        <f>IF(F3063=0,"",MONTH(F3063))</f>
        <v/>
      </c>
      <c r="I3063" s="25">
        <f>IFERROR(INDEX(Pedidos!$E$2:$E$1801,MATCH(B3063,Pedidos!$A$2:$A$1801,0)),"")</f>
        <v/>
      </c>
      <c r="J3063" s="25">
        <f>IFERROR(INDEX(Pedidos!$C$2:$C$1801,MATCH(B3063,Pedidos!$A$2:$A$1801,0)),"")</f>
        <v/>
      </c>
      <c r="K3063" s="25">
        <f>IFERROR(INDEX(Pedidos!$D$2:$D$1801,MATCH(B3063,Pedidos!$A$2:$A$1801,0)),"")</f>
        <v/>
      </c>
      <c r="L3063" s="25">
        <f>IFERROR(INDEX(Pedidos!$F$2:$F$1801,MATCH(B3063,Pedidos!$A$2:$A$1801,0)),"")</f>
        <v/>
      </c>
      <c r="M3063" s="26">
        <f>IFERROR(INDEX(Pedidos!$G$2:$G$1801,MATCH(B3063,Pedidos!$A$2:$A$1801,0)),0)</f>
        <v/>
      </c>
      <c r="N3063" s="25">
        <f>IFERROR(INDEX(Produtos!$B$2:$B$71,MATCH(C3063,Produtos!$A$2:$A$71,0)),"")</f>
        <v/>
      </c>
      <c r="O3063" s="25">
        <f>IFERROR(INDEX(Produtos!$C$2:$C$71,MATCH(C3063,Produtos!$A$2:$A$71,0)),"")</f>
        <v/>
      </c>
      <c r="P3063" s="25">
        <f>IFERROR(INDEX(Produtos!$D$2:$D$71,MATCH(C3063,Produtos!$A$2:$A$71,0)),0)</f>
        <v/>
      </c>
      <c r="Q3063" s="25">
        <f>IFERROR(INDEX(Produtos!$E$2:$E$71,MATCH(C3063,Produtos!$A$2:$A$71,0)),0)</f>
        <v/>
      </c>
      <c r="R3063" s="27">
        <f>D3063*Q3063</f>
        <v/>
      </c>
      <c r="S3063" s="27">
        <f>R3063*E3063</f>
        <v/>
      </c>
      <c r="T3063" s="27">
        <f>(R3063-S3063)*M3063</f>
        <v/>
      </c>
      <c r="U3063" s="27">
        <f>R3063-S3063-T3063</f>
        <v/>
      </c>
      <c r="V3063" s="27">
        <f>D3063*P3063</f>
        <v/>
      </c>
      <c r="W3063" s="27">
        <f>U3063-V3063</f>
        <v/>
      </c>
      <c r="X3063" s="28">
        <f>IFERROR(W3063/U3063,0)</f>
        <v/>
      </c>
    </row>
    <row r="3064">
      <c r="A3064" s="21">
        <f>ItensPedido!A3064</f>
        <v/>
      </c>
      <c r="B3064" s="21">
        <f>ItensPedido!B3064</f>
        <v/>
      </c>
      <c r="C3064" s="21">
        <f>ItensPedido!C3064</f>
        <v/>
      </c>
      <c r="D3064" s="21">
        <f>ItensPedido!D3064</f>
        <v/>
      </c>
      <c r="E3064" s="22">
        <f>ItensPedido!E3064</f>
        <v/>
      </c>
      <c r="F3064" s="21">
        <f>IFERROR(INDEX(Pedidos!$B$2:$B$1801,MATCH(B3064,Pedidos!$A$2:$A$1801,0)),0)</f>
        <v/>
      </c>
      <c r="G3064" s="21">
        <f>IF(F3064=0,"",YEAR(F3064))</f>
        <v/>
      </c>
      <c r="H3064" s="21">
        <f>IF(F3064=0,"",MONTH(F3064))</f>
        <v/>
      </c>
      <c r="I3064" s="21">
        <f>IFERROR(INDEX(Pedidos!$E$2:$E$1801,MATCH(B3064,Pedidos!$A$2:$A$1801,0)),"")</f>
        <v/>
      </c>
      <c r="J3064" s="21">
        <f>IFERROR(INDEX(Pedidos!$C$2:$C$1801,MATCH(B3064,Pedidos!$A$2:$A$1801,0)),"")</f>
        <v/>
      </c>
      <c r="K3064" s="21">
        <f>IFERROR(INDEX(Pedidos!$D$2:$D$1801,MATCH(B3064,Pedidos!$A$2:$A$1801,0)),"")</f>
        <v/>
      </c>
      <c r="L3064" s="21">
        <f>IFERROR(INDEX(Pedidos!$F$2:$F$1801,MATCH(B3064,Pedidos!$A$2:$A$1801,0)),"")</f>
        <v/>
      </c>
      <c r="M3064" s="22">
        <f>IFERROR(INDEX(Pedidos!$G$2:$G$1801,MATCH(B3064,Pedidos!$A$2:$A$1801,0)),0)</f>
        <v/>
      </c>
      <c r="N3064" s="21">
        <f>IFERROR(INDEX(Produtos!$B$2:$B$71,MATCH(C3064,Produtos!$A$2:$A$71,0)),"")</f>
        <v/>
      </c>
      <c r="O3064" s="21">
        <f>IFERROR(INDEX(Produtos!$C$2:$C$71,MATCH(C3064,Produtos!$A$2:$A$71,0)),"")</f>
        <v/>
      </c>
      <c r="P3064" s="21">
        <f>IFERROR(INDEX(Produtos!$D$2:$D$71,MATCH(C3064,Produtos!$A$2:$A$71,0)),0)</f>
        <v/>
      </c>
      <c r="Q3064" s="21">
        <f>IFERROR(INDEX(Produtos!$E$2:$E$71,MATCH(C3064,Produtos!$A$2:$A$71,0)),0)</f>
        <v/>
      </c>
      <c r="R3064" s="23">
        <f>D3064*Q3064</f>
        <v/>
      </c>
      <c r="S3064" s="23">
        <f>R3064*E3064</f>
        <v/>
      </c>
      <c r="T3064" s="23">
        <f>(R3064-S3064)*M3064</f>
        <v/>
      </c>
      <c r="U3064" s="23">
        <f>R3064-S3064-T3064</f>
        <v/>
      </c>
      <c r="V3064" s="23">
        <f>D3064*P3064</f>
        <v/>
      </c>
      <c r="W3064" s="23">
        <f>U3064-V3064</f>
        <v/>
      </c>
      <c r="X3064" s="24">
        <f>IFERROR(W3064/U3064,0)</f>
        <v/>
      </c>
    </row>
    <row r="3065">
      <c r="A3065" s="25">
        <f>ItensPedido!A3065</f>
        <v/>
      </c>
      <c r="B3065" s="25">
        <f>ItensPedido!B3065</f>
        <v/>
      </c>
      <c r="C3065" s="25">
        <f>ItensPedido!C3065</f>
        <v/>
      </c>
      <c r="D3065" s="25">
        <f>ItensPedido!D3065</f>
        <v/>
      </c>
      <c r="E3065" s="26">
        <f>ItensPedido!E3065</f>
        <v/>
      </c>
      <c r="F3065" s="25">
        <f>IFERROR(INDEX(Pedidos!$B$2:$B$1801,MATCH(B3065,Pedidos!$A$2:$A$1801,0)),0)</f>
        <v/>
      </c>
      <c r="G3065" s="25">
        <f>IF(F3065=0,"",YEAR(F3065))</f>
        <v/>
      </c>
      <c r="H3065" s="25">
        <f>IF(F3065=0,"",MONTH(F3065))</f>
        <v/>
      </c>
      <c r="I3065" s="25">
        <f>IFERROR(INDEX(Pedidos!$E$2:$E$1801,MATCH(B3065,Pedidos!$A$2:$A$1801,0)),"")</f>
        <v/>
      </c>
      <c r="J3065" s="25">
        <f>IFERROR(INDEX(Pedidos!$C$2:$C$1801,MATCH(B3065,Pedidos!$A$2:$A$1801,0)),"")</f>
        <v/>
      </c>
      <c r="K3065" s="25">
        <f>IFERROR(INDEX(Pedidos!$D$2:$D$1801,MATCH(B3065,Pedidos!$A$2:$A$1801,0)),"")</f>
        <v/>
      </c>
      <c r="L3065" s="25">
        <f>IFERROR(INDEX(Pedidos!$F$2:$F$1801,MATCH(B3065,Pedidos!$A$2:$A$1801,0)),"")</f>
        <v/>
      </c>
      <c r="M3065" s="26">
        <f>IFERROR(INDEX(Pedidos!$G$2:$G$1801,MATCH(B3065,Pedidos!$A$2:$A$1801,0)),0)</f>
        <v/>
      </c>
      <c r="N3065" s="25">
        <f>IFERROR(INDEX(Produtos!$B$2:$B$71,MATCH(C3065,Produtos!$A$2:$A$71,0)),"")</f>
        <v/>
      </c>
      <c r="O3065" s="25">
        <f>IFERROR(INDEX(Produtos!$C$2:$C$71,MATCH(C3065,Produtos!$A$2:$A$71,0)),"")</f>
        <v/>
      </c>
      <c r="P3065" s="25">
        <f>IFERROR(INDEX(Produtos!$D$2:$D$71,MATCH(C3065,Produtos!$A$2:$A$71,0)),0)</f>
        <v/>
      </c>
      <c r="Q3065" s="25">
        <f>IFERROR(INDEX(Produtos!$E$2:$E$71,MATCH(C3065,Produtos!$A$2:$A$71,0)),0)</f>
        <v/>
      </c>
      <c r="R3065" s="27">
        <f>D3065*Q3065</f>
        <v/>
      </c>
      <c r="S3065" s="27">
        <f>R3065*E3065</f>
        <v/>
      </c>
      <c r="T3065" s="27">
        <f>(R3065-S3065)*M3065</f>
        <v/>
      </c>
      <c r="U3065" s="27">
        <f>R3065-S3065-T3065</f>
        <v/>
      </c>
      <c r="V3065" s="27">
        <f>D3065*P3065</f>
        <v/>
      </c>
      <c r="W3065" s="27">
        <f>U3065-V3065</f>
        <v/>
      </c>
      <c r="X3065" s="28">
        <f>IFERROR(W3065/U3065,0)</f>
        <v/>
      </c>
    </row>
    <row r="3066">
      <c r="A3066" s="21">
        <f>ItensPedido!A3066</f>
        <v/>
      </c>
      <c r="B3066" s="21">
        <f>ItensPedido!B3066</f>
        <v/>
      </c>
      <c r="C3066" s="21">
        <f>ItensPedido!C3066</f>
        <v/>
      </c>
      <c r="D3066" s="21">
        <f>ItensPedido!D3066</f>
        <v/>
      </c>
      <c r="E3066" s="22">
        <f>ItensPedido!E3066</f>
        <v/>
      </c>
      <c r="F3066" s="21">
        <f>IFERROR(INDEX(Pedidos!$B$2:$B$1801,MATCH(B3066,Pedidos!$A$2:$A$1801,0)),0)</f>
        <v/>
      </c>
      <c r="G3066" s="21">
        <f>IF(F3066=0,"",YEAR(F3066))</f>
        <v/>
      </c>
      <c r="H3066" s="21">
        <f>IF(F3066=0,"",MONTH(F3066))</f>
        <v/>
      </c>
      <c r="I3066" s="21">
        <f>IFERROR(INDEX(Pedidos!$E$2:$E$1801,MATCH(B3066,Pedidos!$A$2:$A$1801,0)),"")</f>
        <v/>
      </c>
      <c r="J3066" s="21">
        <f>IFERROR(INDEX(Pedidos!$C$2:$C$1801,MATCH(B3066,Pedidos!$A$2:$A$1801,0)),"")</f>
        <v/>
      </c>
      <c r="K3066" s="21">
        <f>IFERROR(INDEX(Pedidos!$D$2:$D$1801,MATCH(B3066,Pedidos!$A$2:$A$1801,0)),"")</f>
        <v/>
      </c>
      <c r="L3066" s="21">
        <f>IFERROR(INDEX(Pedidos!$F$2:$F$1801,MATCH(B3066,Pedidos!$A$2:$A$1801,0)),"")</f>
        <v/>
      </c>
      <c r="M3066" s="22">
        <f>IFERROR(INDEX(Pedidos!$G$2:$G$1801,MATCH(B3066,Pedidos!$A$2:$A$1801,0)),0)</f>
        <v/>
      </c>
      <c r="N3066" s="21">
        <f>IFERROR(INDEX(Produtos!$B$2:$B$71,MATCH(C3066,Produtos!$A$2:$A$71,0)),"")</f>
        <v/>
      </c>
      <c r="O3066" s="21">
        <f>IFERROR(INDEX(Produtos!$C$2:$C$71,MATCH(C3066,Produtos!$A$2:$A$71,0)),"")</f>
        <v/>
      </c>
      <c r="P3066" s="21">
        <f>IFERROR(INDEX(Produtos!$D$2:$D$71,MATCH(C3066,Produtos!$A$2:$A$71,0)),0)</f>
        <v/>
      </c>
      <c r="Q3066" s="21">
        <f>IFERROR(INDEX(Produtos!$E$2:$E$71,MATCH(C3066,Produtos!$A$2:$A$71,0)),0)</f>
        <v/>
      </c>
      <c r="R3066" s="23">
        <f>D3066*Q3066</f>
        <v/>
      </c>
      <c r="S3066" s="23">
        <f>R3066*E3066</f>
        <v/>
      </c>
      <c r="T3066" s="23">
        <f>(R3066-S3066)*M3066</f>
        <v/>
      </c>
      <c r="U3066" s="23">
        <f>R3066-S3066-T3066</f>
        <v/>
      </c>
      <c r="V3066" s="23">
        <f>D3066*P3066</f>
        <v/>
      </c>
      <c r="W3066" s="23">
        <f>U3066-V3066</f>
        <v/>
      </c>
      <c r="X3066" s="24">
        <f>IFERROR(W3066/U3066,0)</f>
        <v/>
      </c>
    </row>
    <row r="3067">
      <c r="A3067" s="25">
        <f>ItensPedido!A3067</f>
        <v/>
      </c>
      <c r="B3067" s="25">
        <f>ItensPedido!B3067</f>
        <v/>
      </c>
      <c r="C3067" s="25">
        <f>ItensPedido!C3067</f>
        <v/>
      </c>
      <c r="D3067" s="25">
        <f>ItensPedido!D3067</f>
        <v/>
      </c>
      <c r="E3067" s="26">
        <f>ItensPedido!E3067</f>
        <v/>
      </c>
      <c r="F3067" s="25">
        <f>IFERROR(INDEX(Pedidos!$B$2:$B$1801,MATCH(B3067,Pedidos!$A$2:$A$1801,0)),0)</f>
        <v/>
      </c>
      <c r="G3067" s="25">
        <f>IF(F3067=0,"",YEAR(F3067))</f>
        <v/>
      </c>
      <c r="H3067" s="25">
        <f>IF(F3067=0,"",MONTH(F3067))</f>
        <v/>
      </c>
      <c r="I3067" s="25">
        <f>IFERROR(INDEX(Pedidos!$E$2:$E$1801,MATCH(B3067,Pedidos!$A$2:$A$1801,0)),"")</f>
        <v/>
      </c>
      <c r="J3067" s="25">
        <f>IFERROR(INDEX(Pedidos!$C$2:$C$1801,MATCH(B3067,Pedidos!$A$2:$A$1801,0)),"")</f>
        <v/>
      </c>
      <c r="K3067" s="25">
        <f>IFERROR(INDEX(Pedidos!$D$2:$D$1801,MATCH(B3067,Pedidos!$A$2:$A$1801,0)),"")</f>
        <v/>
      </c>
      <c r="L3067" s="25">
        <f>IFERROR(INDEX(Pedidos!$F$2:$F$1801,MATCH(B3067,Pedidos!$A$2:$A$1801,0)),"")</f>
        <v/>
      </c>
      <c r="M3067" s="26">
        <f>IFERROR(INDEX(Pedidos!$G$2:$G$1801,MATCH(B3067,Pedidos!$A$2:$A$1801,0)),0)</f>
        <v/>
      </c>
      <c r="N3067" s="25">
        <f>IFERROR(INDEX(Produtos!$B$2:$B$71,MATCH(C3067,Produtos!$A$2:$A$71,0)),"")</f>
        <v/>
      </c>
      <c r="O3067" s="25">
        <f>IFERROR(INDEX(Produtos!$C$2:$C$71,MATCH(C3067,Produtos!$A$2:$A$71,0)),"")</f>
        <v/>
      </c>
      <c r="P3067" s="25">
        <f>IFERROR(INDEX(Produtos!$D$2:$D$71,MATCH(C3067,Produtos!$A$2:$A$71,0)),0)</f>
        <v/>
      </c>
      <c r="Q3067" s="25">
        <f>IFERROR(INDEX(Produtos!$E$2:$E$71,MATCH(C3067,Produtos!$A$2:$A$71,0)),0)</f>
        <v/>
      </c>
      <c r="R3067" s="27">
        <f>D3067*Q3067</f>
        <v/>
      </c>
      <c r="S3067" s="27">
        <f>R3067*E3067</f>
        <v/>
      </c>
      <c r="T3067" s="27">
        <f>(R3067-S3067)*M3067</f>
        <v/>
      </c>
      <c r="U3067" s="27">
        <f>R3067-S3067-T3067</f>
        <v/>
      </c>
      <c r="V3067" s="27">
        <f>D3067*P3067</f>
        <v/>
      </c>
      <c r="W3067" s="27">
        <f>U3067-V3067</f>
        <v/>
      </c>
      <c r="X3067" s="28">
        <f>IFERROR(W3067/U3067,0)</f>
        <v/>
      </c>
    </row>
    <row r="3068">
      <c r="A3068" s="21">
        <f>ItensPedido!A3068</f>
        <v/>
      </c>
      <c r="B3068" s="21">
        <f>ItensPedido!B3068</f>
        <v/>
      </c>
      <c r="C3068" s="21">
        <f>ItensPedido!C3068</f>
        <v/>
      </c>
      <c r="D3068" s="21">
        <f>ItensPedido!D3068</f>
        <v/>
      </c>
      <c r="E3068" s="22">
        <f>ItensPedido!E3068</f>
        <v/>
      </c>
      <c r="F3068" s="21">
        <f>IFERROR(INDEX(Pedidos!$B$2:$B$1801,MATCH(B3068,Pedidos!$A$2:$A$1801,0)),0)</f>
        <v/>
      </c>
      <c r="G3068" s="21">
        <f>IF(F3068=0,"",YEAR(F3068))</f>
        <v/>
      </c>
      <c r="H3068" s="21">
        <f>IF(F3068=0,"",MONTH(F3068))</f>
        <v/>
      </c>
      <c r="I3068" s="21">
        <f>IFERROR(INDEX(Pedidos!$E$2:$E$1801,MATCH(B3068,Pedidos!$A$2:$A$1801,0)),"")</f>
        <v/>
      </c>
      <c r="J3068" s="21">
        <f>IFERROR(INDEX(Pedidos!$C$2:$C$1801,MATCH(B3068,Pedidos!$A$2:$A$1801,0)),"")</f>
        <v/>
      </c>
      <c r="K3068" s="21">
        <f>IFERROR(INDEX(Pedidos!$D$2:$D$1801,MATCH(B3068,Pedidos!$A$2:$A$1801,0)),"")</f>
        <v/>
      </c>
      <c r="L3068" s="21">
        <f>IFERROR(INDEX(Pedidos!$F$2:$F$1801,MATCH(B3068,Pedidos!$A$2:$A$1801,0)),"")</f>
        <v/>
      </c>
      <c r="M3068" s="22">
        <f>IFERROR(INDEX(Pedidos!$G$2:$G$1801,MATCH(B3068,Pedidos!$A$2:$A$1801,0)),0)</f>
        <v/>
      </c>
      <c r="N3068" s="21">
        <f>IFERROR(INDEX(Produtos!$B$2:$B$71,MATCH(C3068,Produtos!$A$2:$A$71,0)),"")</f>
        <v/>
      </c>
      <c r="O3068" s="21">
        <f>IFERROR(INDEX(Produtos!$C$2:$C$71,MATCH(C3068,Produtos!$A$2:$A$71,0)),"")</f>
        <v/>
      </c>
      <c r="P3068" s="21">
        <f>IFERROR(INDEX(Produtos!$D$2:$D$71,MATCH(C3068,Produtos!$A$2:$A$71,0)),0)</f>
        <v/>
      </c>
      <c r="Q3068" s="21">
        <f>IFERROR(INDEX(Produtos!$E$2:$E$71,MATCH(C3068,Produtos!$A$2:$A$71,0)),0)</f>
        <v/>
      </c>
      <c r="R3068" s="23">
        <f>D3068*Q3068</f>
        <v/>
      </c>
      <c r="S3068" s="23">
        <f>R3068*E3068</f>
        <v/>
      </c>
      <c r="T3068" s="23">
        <f>(R3068-S3068)*M3068</f>
        <v/>
      </c>
      <c r="U3068" s="23">
        <f>R3068-S3068-T3068</f>
        <v/>
      </c>
      <c r="V3068" s="23">
        <f>D3068*P3068</f>
        <v/>
      </c>
      <c r="W3068" s="23">
        <f>U3068-V3068</f>
        <v/>
      </c>
      <c r="X3068" s="24">
        <f>IFERROR(W3068/U3068,0)</f>
        <v/>
      </c>
    </row>
    <row r="3069">
      <c r="A3069" s="25">
        <f>ItensPedido!A3069</f>
        <v/>
      </c>
      <c r="B3069" s="25">
        <f>ItensPedido!B3069</f>
        <v/>
      </c>
      <c r="C3069" s="25">
        <f>ItensPedido!C3069</f>
        <v/>
      </c>
      <c r="D3069" s="25">
        <f>ItensPedido!D3069</f>
        <v/>
      </c>
      <c r="E3069" s="26">
        <f>ItensPedido!E3069</f>
        <v/>
      </c>
      <c r="F3069" s="25">
        <f>IFERROR(INDEX(Pedidos!$B$2:$B$1801,MATCH(B3069,Pedidos!$A$2:$A$1801,0)),0)</f>
        <v/>
      </c>
      <c r="G3069" s="25">
        <f>IF(F3069=0,"",YEAR(F3069))</f>
        <v/>
      </c>
      <c r="H3069" s="25">
        <f>IF(F3069=0,"",MONTH(F3069))</f>
        <v/>
      </c>
      <c r="I3069" s="25">
        <f>IFERROR(INDEX(Pedidos!$E$2:$E$1801,MATCH(B3069,Pedidos!$A$2:$A$1801,0)),"")</f>
        <v/>
      </c>
      <c r="J3069" s="25">
        <f>IFERROR(INDEX(Pedidos!$C$2:$C$1801,MATCH(B3069,Pedidos!$A$2:$A$1801,0)),"")</f>
        <v/>
      </c>
      <c r="K3069" s="25">
        <f>IFERROR(INDEX(Pedidos!$D$2:$D$1801,MATCH(B3069,Pedidos!$A$2:$A$1801,0)),"")</f>
        <v/>
      </c>
      <c r="L3069" s="25">
        <f>IFERROR(INDEX(Pedidos!$F$2:$F$1801,MATCH(B3069,Pedidos!$A$2:$A$1801,0)),"")</f>
        <v/>
      </c>
      <c r="M3069" s="26">
        <f>IFERROR(INDEX(Pedidos!$G$2:$G$1801,MATCH(B3069,Pedidos!$A$2:$A$1801,0)),0)</f>
        <v/>
      </c>
      <c r="N3069" s="25">
        <f>IFERROR(INDEX(Produtos!$B$2:$B$71,MATCH(C3069,Produtos!$A$2:$A$71,0)),"")</f>
        <v/>
      </c>
      <c r="O3069" s="25">
        <f>IFERROR(INDEX(Produtos!$C$2:$C$71,MATCH(C3069,Produtos!$A$2:$A$71,0)),"")</f>
        <v/>
      </c>
      <c r="P3069" s="25">
        <f>IFERROR(INDEX(Produtos!$D$2:$D$71,MATCH(C3069,Produtos!$A$2:$A$71,0)),0)</f>
        <v/>
      </c>
      <c r="Q3069" s="25">
        <f>IFERROR(INDEX(Produtos!$E$2:$E$71,MATCH(C3069,Produtos!$A$2:$A$71,0)),0)</f>
        <v/>
      </c>
      <c r="R3069" s="27">
        <f>D3069*Q3069</f>
        <v/>
      </c>
      <c r="S3069" s="27">
        <f>R3069*E3069</f>
        <v/>
      </c>
      <c r="T3069" s="27">
        <f>(R3069-S3069)*M3069</f>
        <v/>
      </c>
      <c r="U3069" s="27">
        <f>R3069-S3069-T3069</f>
        <v/>
      </c>
      <c r="V3069" s="27">
        <f>D3069*P3069</f>
        <v/>
      </c>
      <c r="W3069" s="27">
        <f>U3069-V3069</f>
        <v/>
      </c>
      <c r="X3069" s="28">
        <f>IFERROR(W3069/U3069,0)</f>
        <v/>
      </c>
    </row>
    <row r="3070">
      <c r="A3070" s="21">
        <f>ItensPedido!A3070</f>
        <v/>
      </c>
      <c r="B3070" s="21">
        <f>ItensPedido!B3070</f>
        <v/>
      </c>
      <c r="C3070" s="21">
        <f>ItensPedido!C3070</f>
        <v/>
      </c>
      <c r="D3070" s="21">
        <f>ItensPedido!D3070</f>
        <v/>
      </c>
      <c r="E3070" s="22">
        <f>ItensPedido!E3070</f>
        <v/>
      </c>
      <c r="F3070" s="21">
        <f>IFERROR(INDEX(Pedidos!$B$2:$B$1801,MATCH(B3070,Pedidos!$A$2:$A$1801,0)),0)</f>
        <v/>
      </c>
      <c r="G3070" s="21">
        <f>IF(F3070=0,"",YEAR(F3070))</f>
        <v/>
      </c>
      <c r="H3070" s="21">
        <f>IF(F3070=0,"",MONTH(F3070))</f>
        <v/>
      </c>
      <c r="I3070" s="21">
        <f>IFERROR(INDEX(Pedidos!$E$2:$E$1801,MATCH(B3070,Pedidos!$A$2:$A$1801,0)),"")</f>
        <v/>
      </c>
      <c r="J3070" s="21">
        <f>IFERROR(INDEX(Pedidos!$C$2:$C$1801,MATCH(B3070,Pedidos!$A$2:$A$1801,0)),"")</f>
        <v/>
      </c>
      <c r="K3070" s="21">
        <f>IFERROR(INDEX(Pedidos!$D$2:$D$1801,MATCH(B3070,Pedidos!$A$2:$A$1801,0)),"")</f>
        <v/>
      </c>
      <c r="L3070" s="21">
        <f>IFERROR(INDEX(Pedidos!$F$2:$F$1801,MATCH(B3070,Pedidos!$A$2:$A$1801,0)),"")</f>
        <v/>
      </c>
      <c r="M3070" s="22">
        <f>IFERROR(INDEX(Pedidos!$G$2:$G$1801,MATCH(B3070,Pedidos!$A$2:$A$1801,0)),0)</f>
        <v/>
      </c>
      <c r="N3070" s="21">
        <f>IFERROR(INDEX(Produtos!$B$2:$B$71,MATCH(C3070,Produtos!$A$2:$A$71,0)),"")</f>
        <v/>
      </c>
      <c r="O3070" s="21">
        <f>IFERROR(INDEX(Produtos!$C$2:$C$71,MATCH(C3070,Produtos!$A$2:$A$71,0)),"")</f>
        <v/>
      </c>
      <c r="P3070" s="21">
        <f>IFERROR(INDEX(Produtos!$D$2:$D$71,MATCH(C3070,Produtos!$A$2:$A$71,0)),0)</f>
        <v/>
      </c>
      <c r="Q3070" s="21">
        <f>IFERROR(INDEX(Produtos!$E$2:$E$71,MATCH(C3070,Produtos!$A$2:$A$71,0)),0)</f>
        <v/>
      </c>
      <c r="R3070" s="23">
        <f>D3070*Q3070</f>
        <v/>
      </c>
      <c r="S3070" s="23">
        <f>R3070*E3070</f>
        <v/>
      </c>
      <c r="T3070" s="23">
        <f>(R3070-S3070)*M3070</f>
        <v/>
      </c>
      <c r="U3070" s="23">
        <f>R3070-S3070-T3070</f>
        <v/>
      </c>
      <c r="V3070" s="23">
        <f>D3070*P3070</f>
        <v/>
      </c>
      <c r="W3070" s="23">
        <f>U3070-V3070</f>
        <v/>
      </c>
      <c r="X3070" s="24">
        <f>IFERROR(W3070/U3070,0)</f>
        <v/>
      </c>
    </row>
    <row r="3071">
      <c r="A3071" s="25">
        <f>ItensPedido!A3071</f>
        <v/>
      </c>
      <c r="B3071" s="25">
        <f>ItensPedido!B3071</f>
        <v/>
      </c>
      <c r="C3071" s="25">
        <f>ItensPedido!C3071</f>
        <v/>
      </c>
      <c r="D3071" s="25">
        <f>ItensPedido!D3071</f>
        <v/>
      </c>
      <c r="E3071" s="26">
        <f>ItensPedido!E3071</f>
        <v/>
      </c>
      <c r="F3071" s="25">
        <f>IFERROR(INDEX(Pedidos!$B$2:$B$1801,MATCH(B3071,Pedidos!$A$2:$A$1801,0)),0)</f>
        <v/>
      </c>
      <c r="G3071" s="25">
        <f>IF(F3071=0,"",YEAR(F3071))</f>
        <v/>
      </c>
      <c r="H3071" s="25">
        <f>IF(F3071=0,"",MONTH(F3071))</f>
        <v/>
      </c>
      <c r="I3071" s="25">
        <f>IFERROR(INDEX(Pedidos!$E$2:$E$1801,MATCH(B3071,Pedidos!$A$2:$A$1801,0)),"")</f>
        <v/>
      </c>
      <c r="J3071" s="25">
        <f>IFERROR(INDEX(Pedidos!$C$2:$C$1801,MATCH(B3071,Pedidos!$A$2:$A$1801,0)),"")</f>
        <v/>
      </c>
      <c r="K3071" s="25">
        <f>IFERROR(INDEX(Pedidos!$D$2:$D$1801,MATCH(B3071,Pedidos!$A$2:$A$1801,0)),"")</f>
        <v/>
      </c>
      <c r="L3071" s="25">
        <f>IFERROR(INDEX(Pedidos!$F$2:$F$1801,MATCH(B3071,Pedidos!$A$2:$A$1801,0)),"")</f>
        <v/>
      </c>
      <c r="M3071" s="26">
        <f>IFERROR(INDEX(Pedidos!$G$2:$G$1801,MATCH(B3071,Pedidos!$A$2:$A$1801,0)),0)</f>
        <v/>
      </c>
      <c r="N3071" s="25">
        <f>IFERROR(INDEX(Produtos!$B$2:$B$71,MATCH(C3071,Produtos!$A$2:$A$71,0)),"")</f>
        <v/>
      </c>
      <c r="O3071" s="25">
        <f>IFERROR(INDEX(Produtos!$C$2:$C$71,MATCH(C3071,Produtos!$A$2:$A$71,0)),"")</f>
        <v/>
      </c>
      <c r="P3071" s="25">
        <f>IFERROR(INDEX(Produtos!$D$2:$D$71,MATCH(C3071,Produtos!$A$2:$A$71,0)),0)</f>
        <v/>
      </c>
      <c r="Q3071" s="25">
        <f>IFERROR(INDEX(Produtos!$E$2:$E$71,MATCH(C3071,Produtos!$A$2:$A$71,0)),0)</f>
        <v/>
      </c>
      <c r="R3071" s="27">
        <f>D3071*Q3071</f>
        <v/>
      </c>
      <c r="S3071" s="27">
        <f>R3071*E3071</f>
        <v/>
      </c>
      <c r="T3071" s="27">
        <f>(R3071-S3071)*M3071</f>
        <v/>
      </c>
      <c r="U3071" s="27">
        <f>R3071-S3071-T3071</f>
        <v/>
      </c>
      <c r="V3071" s="27">
        <f>D3071*P3071</f>
        <v/>
      </c>
      <c r="W3071" s="27">
        <f>U3071-V3071</f>
        <v/>
      </c>
      <c r="X3071" s="28">
        <f>IFERROR(W3071/U3071,0)</f>
        <v/>
      </c>
    </row>
    <row r="3072">
      <c r="A3072" s="21">
        <f>ItensPedido!A3072</f>
        <v/>
      </c>
      <c r="B3072" s="21">
        <f>ItensPedido!B3072</f>
        <v/>
      </c>
      <c r="C3072" s="21">
        <f>ItensPedido!C3072</f>
        <v/>
      </c>
      <c r="D3072" s="21">
        <f>ItensPedido!D3072</f>
        <v/>
      </c>
      <c r="E3072" s="22">
        <f>ItensPedido!E3072</f>
        <v/>
      </c>
      <c r="F3072" s="21">
        <f>IFERROR(INDEX(Pedidos!$B$2:$B$1801,MATCH(B3072,Pedidos!$A$2:$A$1801,0)),0)</f>
        <v/>
      </c>
      <c r="G3072" s="21">
        <f>IF(F3072=0,"",YEAR(F3072))</f>
        <v/>
      </c>
      <c r="H3072" s="21">
        <f>IF(F3072=0,"",MONTH(F3072))</f>
        <v/>
      </c>
      <c r="I3072" s="21">
        <f>IFERROR(INDEX(Pedidos!$E$2:$E$1801,MATCH(B3072,Pedidos!$A$2:$A$1801,0)),"")</f>
        <v/>
      </c>
      <c r="J3072" s="21">
        <f>IFERROR(INDEX(Pedidos!$C$2:$C$1801,MATCH(B3072,Pedidos!$A$2:$A$1801,0)),"")</f>
        <v/>
      </c>
      <c r="K3072" s="21">
        <f>IFERROR(INDEX(Pedidos!$D$2:$D$1801,MATCH(B3072,Pedidos!$A$2:$A$1801,0)),"")</f>
        <v/>
      </c>
      <c r="L3072" s="21">
        <f>IFERROR(INDEX(Pedidos!$F$2:$F$1801,MATCH(B3072,Pedidos!$A$2:$A$1801,0)),"")</f>
        <v/>
      </c>
      <c r="M3072" s="22">
        <f>IFERROR(INDEX(Pedidos!$G$2:$G$1801,MATCH(B3072,Pedidos!$A$2:$A$1801,0)),0)</f>
        <v/>
      </c>
      <c r="N3072" s="21">
        <f>IFERROR(INDEX(Produtos!$B$2:$B$71,MATCH(C3072,Produtos!$A$2:$A$71,0)),"")</f>
        <v/>
      </c>
      <c r="O3072" s="21">
        <f>IFERROR(INDEX(Produtos!$C$2:$C$71,MATCH(C3072,Produtos!$A$2:$A$71,0)),"")</f>
        <v/>
      </c>
      <c r="P3072" s="21">
        <f>IFERROR(INDEX(Produtos!$D$2:$D$71,MATCH(C3072,Produtos!$A$2:$A$71,0)),0)</f>
        <v/>
      </c>
      <c r="Q3072" s="21">
        <f>IFERROR(INDEX(Produtos!$E$2:$E$71,MATCH(C3072,Produtos!$A$2:$A$71,0)),0)</f>
        <v/>
      </c>
      <c r="R3072" s="23">
        <f>D3072*Q3072</f>
        <v/>
      </c>
      <c r="S3072" s="23">
        <f>R3072*E3072</f>
        <v/>
      </c>
      <c r="T3072" s="23">
        <f>(R3072-S3072)*M3072</f>
        <v/>
      </c>
      <c r="U3072" s="23">
        <f>R3072-S3072-T3072</f>
        <v/>
      </c>
      <c r="V3072" s="23">
        <f>D3072*P3072</f>
        <v/>
      </c>
      <c r="W3072" s="23">
        <f>U3072-V3072</f>
        <v/>
      </c>
      <c r="X3072" s="24">
        <f>IFERROR(W3072/U3072,0)</f>
        <v/>
      </c>
    </row>
    <row r="3073">
      <c r="A3073" s="25">
        <f>ItensPedido!A3073</f>
        <v/>
      </c>
      <c r="B3073" s="25">
        <f>ItensPedido!B3073</f>
        <v/>
      </c>
      <c r="C3073" s="25">
        <f>ItensPedido!C3073</f>
        <v/>
      </c>
      <c r="D3073" s="25">
        <f>ItensPedido!D3073</f>
        <v/>
      </c>
      <c r="E3073" s="26">
        <f>ItensPedido!E3073</f>
        <v/>
      </c>
      <c r="F3073" s="25">
        <f>IFERROR(INDEX(Pedidos!$B$2:$B$1801,MATCH(B3073,Pedidos!$A$2:$A$1801,0)),0)</f>
        <v/>
      </c>
      <c r="G3073" s="25">
        <f>IF(F3073=0,"",YEAR(F3073))</f>
        <v/>
      </c>
      <c r="H3073" s="25">
        <f>IF(F3073=0,"",MONTH(F3073))</f>
        <v/>
      </c>
      <c r="I3073" s="25">
        <f>IFERROR(INDEX(Pedidos!$E$2:$E$1801,MATCH(B3073,Pedidos!$A$2:$A$1801,0)),"")</f>
        <v/>
      </c>
      <c r="J3073" s="25">
        <f>IFERROR(INDEX(Pedidos!$C$2:$C$1801,MATCH(B3073,Pedidos!$A$2:$A$1801,0)),"")</f>
        <v/>
      </c>
      <c r="K3073" s="25">
        <f>IFERROR(INDEX(Pedidos!$D$2:$D$1801,MATCH(B3073,Pedidos!$A$2:$A$1801,0)),"")</f>
        <v/>
      </c>
      <c r="L3073" s="25">
        <f>IFERROR(INDEX(Pedidos!$F$2:$F$1801,MATCH(B3073,Pedidos!$A$2:$A$1801,0)),"")</f>
        <v/>
      </c>
      <c r="M3073" s="26">
        <f>IFERROR(INDEX(Pedidos!$G$2:$G$1801,MATCH(B3073,Pedidos!$A$2:$A$1801,0)),0)</f>
        <v/>
      </c>
      <c r="N3073" s="25">
        <f>IFERROR(INDEX(Produtos!$B$2:$B$71,MATCH(C3073,Produtos!$A$2:$A$71,0)),"")</f>
        <v/>
      </c>
      <c r="O3073" s="25">
        <f>IFERROR(INDEX(Produtos!$C$2:$C$71,MATCH(C3073,Produtos!$A$2:$A$71,0)),"")</f>
        <v/>
      </c>
      <c r="P3073" s="25">
        <f>IFERROR(INDEX(Produtos!$D$2:$D$71,MATCH(C3073,Produtos!$A$2:$A$71,0)),0)</f>
        <v/>
      </c>
      <c r="Q3073" s="25">
        <f>IFERROR(INDEX(Produtos!$E$2:$E$71,MATCH(C3073,Produtos!$A$2:$A$71,0)),0)</f>
        <v/>
      </c>
      <c r="R3073" s="27">
        <f>D3073*Q3073</f>
        <v/>
      </c>
      <c r="S3073" s="27">
        <f>R3073*E3073</f>
        <v/>
      </c>
      <c r="T3073" s="27">
        <f>(R3073-S3073)*M3073</f>
        <v/>
      </c>
      <c r="U3073" s="27">
        <f>R3073-S3073-T3073</f>
        <v/>
      </c>
      <c r="V3073" s="27">
        <f>D3073*P3073</f>
        <v/>
      </c>
      <c r="W3073" s="27">
        <f>U3073-V3073</f>
        <v/>
      </c>
      <c r="X3073" s="28">
        <f>IFERROR(W3073/U3073,0)</f>
        <v/>
      </c>
    </row>
    <row r="3074">
      <c r="A3074" s="21">
        <f>ItensPedido!A3074</f>
        <v/>
      </c>
      <c r="B3074" s="21">
        <f>ItensPedido!B3074</f>
        <v/>
      </c>
      <c r="C3074" s="21">
        <f>ItensPedido!C3074</f>
        <v/>
      </c>
      <c r="D3074" s="21">
        <f>ItensPedido!D3074</f>
        <v/>
      </c>
      <c r="E3074" s="22">
        <f>ItensPedido!E3074</f>
        <v/>
      </c>
      <c r="F3074" s="21">
        <f>IFERROR(INDEX(Pedidos!$B$2:$B$1801,MATCH(B3074,Pedidos!$A$2:$A$1801,0)),0)</f>
        <v/>
      </c>
      <c r="G3074" s="21">
        <f>IF(F3074=0,"",YEAR(F3074))</f>
        <v/>
      </c>
      <c r="H3074" s="21">
        <f>IF(F3074=0,"",MONTH(F3074))</f>
        <v/>
      </c>
      <c r="I3074" s="21">
        <f>IFERROR(INDEX(Pedidos!$E$2:$E$1801,MATCH(B3074,Pedidos!$A$2:$A$1801,0)),"")</f>
        <v/>
      </c>
      <c r="J3074" s="21">
        <f>IFERROR(INDEX(Pedidos!$C$2:$C$1801,MATCH(B3074,Pedidos!$A$2:$A$1801,0)),"")</f>
        <v/>
      </c>
      <c r="K3074" s="21">
        <f>IFERROR(INDEX(Pedidos!$D$2:$D$1801,MATCH(B3074,Pedidos!$A$2:$A$1801,0)),"")</f>
        <v/>
      </c>
      <c r="L3074" s="21">
        <f>IFERROR(INDEX(Pedidos!$F$2:$F$1801,MATCH(B3074,Pedidos!$A$2:$A$1801,0)),"")</f>
        <v/>
      </c>
      <c r="M3074" s="22">
        <f>IFERROR(INDEX(Pedidos!$G$2:$G$1801,MATCH(B3074,Pedidos!$A$2:$A$1801,0)),0)</f>
        <v/>
      </c>
      <c r="N3074" s="21">
        <f>IFERROR(INDEX(Produtos!$B$2:$B$71,MATCH(C3074,Produtos!$A$2:$A$71,0)),"")</f>
        <v/>
      </c>
      <c r="O3074" s="21">
        <f>IFERROR(INDEX(Produtos!$C$2:$C$71,MATCH(C3074,Produtos!$A$2:$A$71,0)),"")</f>
        <v/>
      </c>
      <c r="P3074" s="21">
        <f>IFERROR(INDEX(Produtos!$D$2:$D$71,MATCH(C3074,Produtos!$A$2:$A$71,0)),0)</f>
        <v/>
      </c>
      <c r="Q3074" s="21">
        <f>IFERROR(INDEX(Produtos!$E$2:$E$71,MATCH(C3074,Produtos!$A$2:$A$71,0)),0)</f>
        <v/>
      </c>
      <c r="R3074" s="23">
        <f>D3074*Q3074</f>
        <v/>
      </c>
      <c r="S3074" s="23">
        <f>R3074*E3074</f>
        <v/>
      </c>
      <c r="T3074" s="23">
        <f>(R3074-S3074)*M3074</f>
        <v/>
      </c>
      <c r="U3074" s="23">
        <f>R3074-S3074-T3074</f>
        <v/>
      </c>
      <c r="V3074" s="23">
        <f>D3074*P3074</f>
        <v/>
      </c>
      <c r="W3074" s="23">
        <f>U3074-V3074</f>
        <v/>
      </c>
      <c r="X3074" s="24">
        <f>IFERROR(W3074/U3074,0)</f>
        <v/>
      </c>
    </row>
    <row r="3075">
      <c r="A3075" s="25">
        <f>ItensPedido!A3075</f>
        <v/>
      </c>
      <c r="B3075" s="25">
        <f>ItensPedido!B3075</f>
        <v/>
      </c>
      <c r="C3075" s="25">
        <f>ItensPedido!C3075</f>
        <v/>
      </c>
      <c r="D3075" s="25">
        <f>ItensPedido!D3075</f>
        <v/>
      </c>
      <c r="E3075" s="26">
        <f>ItensPedido!E3075</f>
        <v/>
      </c>
      <c r="F3075" s="25">
        <f>IFERROR(INDEX(Pedidos!$B$2:$B$1801,MATCH(B3075,Pedidos!$A$2:$A$1801,0)),0)</f>
        <v/>
      </c>
      <c r="G3075" s="25">
        <f>IF(F3075=0,"",YEAR(F3075))</f>
        <v/>
      </c>
      <c r="H3075" s="25">
        <f>IF(F3075=0,"",MONTH(F3075))</f>
        <v/>
      </c>
      <c r="I3075" s="25">
        <f>IFERROR(INDEX(Pedidos!$E$2:$E$1801,MATCH(B3075,Pedidos!$A$2:$A$1801,0)),"")</f>
        <v/>
      </c>
      <c r="J3075" s="25">
        <f>IFERROR(INDEX(Pedidos!$C$2:$C$1801,MATCH(B3075,Pedidos!$A$2:$A$1801,0)),"")</f>
        <v/>
      </c>
      <c r="K3075" s="25">
        <f>IFERROR(INDEX(Pedidos!$D$2:$D$1801,MATCH(B3075,Pedidos!$A$2:$A$1801,0)),"")</f>
        <v/>
      </c>
      <c r="L3075" s="25">
        <f>IFERROR(INDEX(Pedidos!$F$2:$F$1801,MATCH(B3075,Pedidos!$A$2:$A$1801,0)),"")</f>
        <v/>
      </c>
      <c r="M3075" s="26">
        <f>IFERROR(INDEX(Pedidos!$G$2:$G$1801,MATCH(B3075,Pedidos!$A$2:$A$1801,0)),0)</f>
        <v/>
      </c>
      <c r="N3075" s="25">
        <f>IFERROR(INDEX(Produtos!$B$2:$B$71,MATCH(C3075,Produtos!$A$2:$A$71,0)),"")</f>
        <v/>
      </c>
      <c r="O3075" s="25">
        <f>IFERROR(INDEX(Produtos!$C$2:$C$71,MATCH(C3075,Produtos!$A$2:$A$71,0)),"")</f>
        <v/>
      </c>
      <c r="P3075" s="25">
        <f>IFERROR(INDEX(Produtos!$D$2:$D$71,MATCH(C3075,Produtos!$A$2:$A$71,0)),0)</f>
        <v/>
      </c>
      <c r="Q3075" s="25">
        <f>IFERROR(INDEX(Produtos!$E$2:$E$71,MATCH(C3075,Produtos!$A$2:$A$71,0)),0)</f>
        <v/>
      </c>
      <c r="R3075" s="27">
        <f>D3075*Q3075</f>
        <v/>
      </c>
      <c r="S3075" s="27">
        <f>R3075*E3075</f>
        <v/>
      </c>
      <c r="T3075" s="27">
        <f>(R3075-S3075)*M3075</f>
        <v/>
      </c>
      <c r="U3075" s="27">
        <f>R3075-S3075-T3075</f>
        <v/>
      </c>
      <c r="V3075" s="27">
        <f>D3075*P3075</f>
        <v/>
      </c>
      <c r="W3075" s="27">
        <f>U3075-V3075</f>
        <v/>
      </c>
      <c r="X3075" s="28">
        <f>IFERROR(W3075/U3075,0)</f>
        <v/>
      </c>
    </row>
    <row r="3076">
      <c r="A3076" s="21">
        <f>ItensPedido!A3076</f>
        <v/>
      </c>
      <c r="B3076" s="21">
        <f>ItensPedido!B3076</f>
        <v/>
      </c>
      <c r="C3076" s="21">
        <f>ItensPedido!C3076</f>
        <v/>
      </c>
      <c r="D3076" s="21">
        <f>ItensPedido!D3076</f>
        <v/>
      </c>
      <c r="E3076" s="22">
        <f>ItensPedido!E3076</f>
        <v/>
      </c>
      <c r="F3076" s="21">
        <f>IFERROR(INDEX(Pedidos!$B$2:$B$1801,MATCH(B3076,Pedidos!$A$2:$A$1801,0)),0)</f>
        <v/>
      </c>
      <c r="G3076" s="21">
        <f>IF(F3076=0,"",YEAR(F3076))</f>
        <v/>
      </c>
      <c r="H3076" s="21">
        <f>IF(F3076=0,"",MONTH(F3076))</f>
        <v/>
      </c>
      <c r="I3076" s="21">
        <f>IFERROR(INDEX(Pedidos!$E$2:$E$1801,MATCH(B3076,Pedidos!$A$2:$A$1801,0)),"")</f>
        <v/>
      </c>
      <c r="J3076" s="21">
        <f>IFERROR(INDEX(Pedidos!$C$2:$C$1801,MATCH(B3076,Pedidos!$A$2:$A$1801,0)),"")</f>
        <v/>
      </c>
      <c r="K3076" s="21">
        <f>IFERROR(INDEX(Pedidos!$D$2:$D$1801,MATCH(B3076,Pedidos!$A$2:$A$1801,0)),"")</f>
        <v/>
      </c>
      <c r="L3076" s="21">
        <f>IFERROR(INDEX(Pedidos!$F$2:$F$1801,MATCH(B3076,Pedidos!$A$2:$A$1801,0)),"")</f>
        <v/>
      </c>
      <c r="M3076" s="22">
        <f>IFERROR(INDEX(Pedidos!$G$2:$G$1801,MATCH(B3076,Pedidos!$A$2:$A$1801,0)),0)</f>
        <v/>
      </c>
      <c r="N3076" s="21">
        <f>IFERROR(INDEX(Produtos!$B$2:$B$71,MATCH(C3076,Produtos!$A$2:$A$71,0)),"")</f>
        <v/>
      </c>
      <c r="O3076" s="21">
        <f>IFERROR(INDEX(Produtos!$C$2:$C$71,MATCH(C3076,Produtos!$A$2:$A$71,0)),"")</f>
        <v/>
      </c>
      <c r="P3076" s="21">
        <f>IFERROR(INDEX(Produtos!$D$2:$D$71,MATCH(C3076,Produtos!$A$2:$A$71,0)),0)</f>
        <v/>
      </c>
      <c r="Q3076" s="21">
        <f>IFERROR(INDEX(Produtos!$E$2:$E$71,MATCH(C3076,Produtos!$A$2:$A$71,0)),0)</f>
        <v/>
      </c>
      <c r="R3076" s="23">
        <f>D3076*Q3076</f>
        <v/>
      </c>
      <c r="S3076" s="23">
        <f>R3076*E3076</f>
        <v/>
      </c>
      <c r="T3076" s="23">
        <f>(R3076-S3076)*M3076</f>
        <v/>
      </c>
      <c r="U3076" s="23">
        <f>R3076-S3076-T3076</f>
        <v/>
      </c>
      <c r="V3076" s="23">
        <f>D3076*P3076</f>
        <v/>
      </c>
      <c r="W3076" s="23">
        <f>U3076-V3076</f>
        <v/>
      </c>
      <c r="X3076" s="24">
        <f>IFERROR(W3076/U3076,0)</f>
        <v/>
      </c>
    </row>
    <row r="3077">
      <c r="A3077" s="25">
        <f>ItensPedido!A3077</f>
        <v/>
      </c>
      <c r="B3077" s="25">
        <f>ItensPedido!B3077</f>
        <v/>
      </c>
      <c r="C3077" s="25">
        <f>ItensPedido!C3077</f>
        <v/>
      </c>
      <c r="D3077" s="25">
        <f>ItensPedido!D3077</f>
        <v/>
      </c>
      <c r="E3077" s="26">
        <f>ItensPedido!E3077</f>
        <v/>
      </c>
      <c r="F3077" s="25">
        <f>IFERROR(INDEX(Pedidos!$B$2:$B$1801,MATCH(B3077,Pedidos!$A$2:$A$1801,0)),0)</f>
        <v/>
      </c>
      <c r="G3077" s="25">
        <f>IF(F3077=0,"",YEAR(F3077))</f>
        <v/>
      </c>
      <c r="H3077" s="25">
        <f>IF(F3077=0,"",MONTH(F3077))</f>
        <v/>
      </c>
      <c r="I3077" s="25">
        <f>IFERROR(INDEX(Pedidos!$E$2:$E$1801,MATCH(B3077,Pedidos!$A$2:$A$1801,0)),"")</f>
        <v/>
      </c>
      <c r="J3077" s="25">
        <f>IFERROR(INDEX(Pedidos!$C$2:$C$1801,MATCH(B3077,Pedidos!$A$2:$A$1801,0)),"")</f>
        <v/>
      </c>
      <c r="K3077" s="25">
        <f>IFERROR(INDEX(Pedidos!$D$2:$D$1801,MATCH(B3077,Pedidos!$A$2:$A$1801,0)),"")</f>
        <v/>
      </c>
      <c r="L3077" s="25">
        <f>IFERROR(INDEX(Pedidos!$F$2:$F$1801,MATCH(B3077,Pedidos!$A$2:$A$1801,0)),"")</f>
        <v/>
      </c>
      <c r="M3077" s="26">
        <f>IFERROR(INDEX(Pedidos!$G$2:$G$1801,MATCH(B3077,Pedidos!$A$2:$A$1801,0)),0)</f>
        <v/>
      </c>
      <c r="N3077" s="25">
        <f>IFERROR(INDEX(Produtos!$B$2:$B$71,MATCH(C3077,Produtos!$A$2:$A$71,0)),"")</f>
        <v/>
      </c>
      <c r="O3077" s="25">
        <f>IFERROR(INDEX(Produtos!$C$2:$C$71,MATCH(C3077,Produtos!$A$2:$A$71,0)),"")</f>
        <v/>
      </c>
      <c r="P3077" s="25">
        <f>IFERROR(INDEX(Produtos!$D$2:$D$71,MATCH(C3077,Produtos!$A$2:$A$71,0)),0)</f>
        <v/>
      </c>
      <c r="Q3077" s="25">
        <f>IFERROR(INDEX(Produtos!$E$2:$E$71,MATCH(C3077,Produtos!$A$2:$A$71,0)),0)</f>
        <v/>
      </c>
      <c r="R3077" s="27">
        <f>D3077*Q3077</f>
        <v/>
      </c>
      <c r="S3077" s="27">
        <f>R3077*E3077</f>
        <v/>
      </c>
      <c r="T3077" s="27">
        <f>(R3077-S3077)*M3077</f>
        <v/>
      </c>
      <c r="U3077" s="27">
        <f>R3077-S3077-T3077</f>
        <v/>
      </c>
      <c r="V3077" s="27">
        <f>D3077*P3077</f>
        <v/>
      </c>
      <c r="W3077" s="27">
        <f>U3077-V3077</f>
        <v/>
      </c>
      <c r="X3077" s="28">
        <f>IFERROR(W3077/U3077,0)</f>
        <v/>
      </c>
    </row>
    <row r="3078">
      <c r="A3078" s="21">
        <f>ItensPedido!A3078</f>
        <v/>
      </c>
      <c r="B3078" s="21">
        <f>ItensPedido!B3078</f>
        <v/>
      </c>
      <c r="C3078" s="21">
        <f>ItensPedido!C3078</f>
        <v/>
      </c>
      <c r="D3078" s="21">
        <f>ItensPedido!D3078</f>
        <v/>
      </c>
      <c r="E3078" s="22">
        <f>ItensPedido!E3078</f>
        <v/>
      </c>
      <c r="F3078" s="21">
        <f>IFERROR(INDEX(Pedidos!$B$2:$B$1801,MATCH(B3078,Pedidos!$A$2:$A$1801,0)),0)</f>
        <v/>
      </c>
      <c r="G3078" s="21">
        <f>IF(F3078=0,"",YEAR(F3078))</f>
        <v/>
      </c>
      <c r="H3078" s="21">
        <f>IF(F3078=0,"",MONTH(F3078))</f>
        <v/>
      </c>
      <c r="I3078" s="21">
        <f>IFERROR(INDEX(Pedidos!$E$2:$E$1801,MATCH(B3078,Pedidos!$A$2:$A$1801,0)),"")</f>
        <v/>
      </c>
      <c r="J3078" s="21">
        <f>IFERROR(INDEX(Pedidos!$C$2:$C$1801,MATCH(B3078,Pedidos!$A$2:$A$1801,0)),"")</f>
        <v/>
      </c>
      <c r="K3078" s="21">
        <f>IFERROR(INDEX(Pedidos!$D$2:$D$1801,MATCH(B3078,Pedidos!$A$2:$A$1801,0)),"")</f>
        <v/>
      </c>
      <c r="L3078" s="21">
        <f>IFERROR(INDEX(Pedidos!$F$2:$F$1801,MATCH(B3078,Pedidos!$A$2:$A$1801,0)),"")</f>
        <v/>
      </c>
      <c r="M3078" s="22">
        <f>IFERROR(INDEX(Pedidos!$G$2:$G$1801,MATCH(B3078,Pedidos!$A$2:$A$1801,0)),0)</f>
        <v/>
      </c>
      <c r="N3078" s="21">
        <f>IFERROR(INDEX(Produtos!$B$2:$B$71,MATCH(C3078,Produtos!$A$2:$A$71,0)),"")</f>
        <v/>
      </c>
      <c r="O3078" s="21">
        <f>IFERROR(INDEX(Produtos!$C$2:$C$71,MATCH(C3078,Produtos!$A$2:$A$71,0)),"")</f>
        <v/>
      </c>
      <c r="P3078" s="21">
        <f>IFERROR(INDEX(Produtos!$D$2:$D$71,MATCH(C3078,Produtos!$A$2:$A$71,0)),0)</f>
        <v/>
      </c>
      <c r="Q3078" s="21">
        <f>IFERROR(INDEX(Produtos!$E$2:$E$71,MATCH(C3078,Produtos!$A$2:$A$71,0)),0)</f>
        <v/>
      </c>
      <c r="R3078" s="23">
        <f>D3078*Q3078</f>
        <v/>
      </c>
      <c r="S3078" s="23">
        <f>R3078*E3078</f>
        <v/>
      </c>
      <c r="T3078" s="23">
        <f>(R3078-S3078)*M3078</f>
        <v/>
      </c>
      <c r="U3078" s="23">
        <f>R3078-S3078-T3078</f>
        <v/>
      </c>
      <c r="V3078" s="23">
        <f>D3078*P3078</f>
        <v/>
      </c>
      <c r="W3078" s="23">
        <f>U3078-V3078</f>
        <v/>
      </c>
      <c r="X3078" s="24">
        <f>IFERROR(W3078/U3078,0)</f>
        <v/>
      </c>
    </row>
    <row r="3079">
      <c r="A3079" s="25">
        <f>ItensPedido!A3079</f>
        <v/>
      </c>
      <c r="B3079" s="25">
        <f>ItensPedido!B3079</f>
        <v/>
      </c>
      <c r="C3079" s="25">
        <f>ItensPedido!C3079</f>
        <v/>
      </c>
      <c r="D3079" s="25">
        <f>ItensPedido!D3079</f>
        <v/>
      </c>
      <c r="E3079" s="26">
        <f>ItensPedido!E3079</f>
        <v/>
      </c>
      <c r="F3079" s="25">
        <f>IFERROR(INDEX(Pedidos!$B$2:$B$1801,MATCH(B3079,Pedidos!$A$2:$A$1801,0)),0)</f>
        <v/>
      </c>
      <c r="G3079" s="25">
        <f>IF(F3079=0,"",YEAR(F3079))</f>
        <v/>
      </c>
      <c r="H3079" s="25">
        <f>IF(F3079=0,"",MONTH(F3079))</f>
        <v/>
      </c>
      <c r="I3079" s="25">
        <f>IFERROR(INDEX(Pedidos!$E$2:$E$1801,MATCH(B3079,Pedidos!$A$2:$A$1801,0)),"")</f>
        <v/>
      </c>
      <c r="J3079" s="25">
        <f>IFERROR(INDEX(Pedidos!$C$2:$C$1801,MATCH(B3079,Pedidos!$A$2:$A$1801,0)),"")</f>
        <v/>
      </c>
      <c r="K3079" s="25">
        <f>IFERROR(INDEX(Pedidos!$D$2:$D$1801,MATCH(B3079,Pedidos!$A$2:$A$1801,0)),"")</f>
        <v/>
      </c>
      <c r="L3079" s="25">
        <f>IFERROR(INDEX(Pedidos!$F$2:$F$1801,MATCH(B3079,Pedidos!$A$2:$A$1801,0)),"")</f>
        <v/>
      </c>
      <c r="M3079" s="26">
        <f>IFERROR(INDEX(Pedidos!$G$2:$G$1801,MATCH(B3079,Pedidos!$A$2:$A$1801,0)),0)</f>
        <v/>
      </c>
      <c r="N3079" s="25">
        <f>IFERROR(INDEX(Produtos!$B$2:$B$71,MATCH(C3079,Produtos!$A$2:$A$71,0)),"")</f>
        <v/>
      </c>
      <c r="O3079" s="25">
        <f>IFERROR(INDEX(Produtos!$C$2:$C$71,MATCH(C3079,Produtos!$A$2:$A$71,0)),"")</f>
        <v/>
      </c>
      <c r="P3079" s="25">
        <f>IFERROR(INDEX(Produtos!$D$2:$D$71,MATCH(C3079,Produtos!$A$2:$A$71,0)),0)</f>
        <v/>
      </c>
      <c r="Q3079" s="25">
        <f>IFERROR(INDEX(Produtos!$E$2:$E$71,MATCH(C3079,Produtos!$A$2:$A$71,0)),0)</f>
        <v/>
      </c>
      <c r="R3079" s="27">
        <f>D3079*Q3079</f>
        <v/>
      </c>
      <c r="S3079" s="27">
        <f>R3079*E3079</f>
        <v/>
      </c>
      <c r="T3079" s="27">
        <f>(R3079-S3079)*M3079</f>
        <v/>
      </c>
      <c r="U3079" s="27">
        <f>R3079-S3079-T3079</f>
        <v/>
      </c>
      <c r="V3079" s="27">
        <f>D3079*P3079</f>
        <v/>
      </c>
      <c r="W3079" s="27">
        <f>U3079-V3079</f>
        <v/>
      </c>
      <c r="X3079" s="28">
        <f>IFERROR(W3079/U3079,0)</f>
        <v/>
      </c>
    </row>
    <row r="3080">
      <c r="A3080" s="21">
        <f>ItensPedido!A3080</f>
        <v/>
      </c>
      <c r="B3080" s="21">
        <f>ItensPedido!B3080</f>
        <v/>
      </c>
      <c r="C3080" s="21">
        <f>ItensPedido!C3080</f>
        <v/>
      </c>
      <c r="D3080" s="21">
        <f>ItensPedido!D3080</f>
        <v/>
      </c>
      <c r="E3080" s="22">
        <f>ItensPedido!E3080</f>
        <v/>
      </c>
      <c r="F3080" s="21">
        <f>IFERROR(INDEX(Pedidos!$B$2:$B$1801,MATCH(B3080,Pedidos!$A$2:$A$1801,0)),0)</f>
        <v/>
      </c>
      <c r="G3080" s="21">
        <f>IF(F3080=0,"",YEAR(F3080))</f>
        <v/>
      </c>
      <c r="H3080" s="21">
        <f>IF(F3080=0,"",MONTH(F3080))</f>
        <v/>
      </c>
      <c r="I3080" s="21">
        <f>IFERROR(INDEX(Pedidos!$E$2:$E$1801,MATCH(B3080,Pedidos!$A$2:$A$1801,0)),"")</f>
        <v/>
      </c>
      <c r="J3080" s="21">
        <f>IFERROR(INDEX(Pedidos!$C$2:$C$1801,MATCH(B3080,Pedidos!$A$2:$A$1801,0)),"")</f>
        <v/>
      </c>
      <c r="K3080" s="21">
        <f>IFERROR(INDEX(Pedidos!$D$2:$D$1801,MATCH(B3080,Pedidos!$A$2:$A$1801,0)),"")</f>
        <v/>
      </c>
      <c r="L3080" s="21">
        <f>IFERROR(INDEX(Pedidos!$F$2:$F$1801,MATCH(B3080,Pedidos!$A$2:$A$1801,0)),"")</f>
        <v/>
      </c>
      <c r="M3080" s="22">
        <f>IFERROR(INDEX(Pedidos!$G$2:$G$1801,MATCH(B3080,Pedidos!$A$2:$A$1801,0)),0)</f>
        <v/>
      </c>
      <c r="N3080" s="21">
        <f>IFERROR(INDEX(Produtos!$B$2:$B$71,MATCH(C3080,Produtos!$A$2:$A$71,0)),"")</f>
        <v/>
      </c>
      <c r="O3080" s="21">
        <f>IFERROR(INDEX(Produtos!$C$2:$C$71,MATCH(C3080,Produtos!$A$2:$A$71,0)),"")</f>
        <v/>
      </c>
      <c r="P3080" s="21">
        <f>IFERROR(INDEX(Produtos!$D$2:$D$71,MATCH(C3080,Produtos!$A$2:$A$71,0)),0)</f>
        <v/>
      </c>
      <c r="Q3080" s="21">
        <f>IFERROR(INDEX(Produtos!$E$2:$E$71,MATCH(C3080,Produtos!$A$2:$A$71,0)),0)</f>
        <v/>
      </c>
      <c r="R3080" s="23">
        <f>D3080*Q3080</f>
        <v/>
      </c>
      <c r="S3080" s="23">
        <f>R3080*E3080</f>
        <v/>
      </c>
      <c r="T3080" s="23">
        <f>(R3080-S3080)*M3080</f>
        <v/>
      </c>
      <c r="U3080" s="23">
        <f>R3080-S3080-T3080</f>
        <v/>
      </c>
      <c r="V3080" s="23">
        <f>D3080*P3080</f>
        <v/>
      </c>
      <c r="W3080" s="23">
        <f>U3080-V3080</f>
        <v/>
      </c>
      <c r="X3080" s="24">
        <f>IFERROR(W3080/U3080,0)</f>
        <v/>
      </c>
    </row>
    <row r="3081">
      <c r="A3081" s="25">
        <f>ItensPedido!A3081</f>
        <v/>
      </c>
      <c r="B3081" s="25">
        <f>ItensPedido!B3081</f>
        <v/>
      </c>
      <c r="C3081" s="25">
        <f>ItensPedido!C3081</f>
        <v/>
      </c>
      <c r="D3081" s="25">
        <f>ItensPedido!D3081</f>
        <v/>
      </c>
      <c r="E3081" s="26">
        <f>ItensPedido!E3081</f>
        <v/>
      </c>
      <c r="F3081" s="25">
        <f>IFERROR(INDEX(Pedidos!$B$2:$B$1801,MATCH(B3081,Pedidos!$A$2:$A$1801,0)),0)</f>
        <v/>
      </c>
      <c r="G3081" s="25">
        <f>IF(F3081=0,"",YEAR(F3081))</f>
        <v/>
      </c>
      <c r="H3081" s="25">
        <f>IF(F3081=0,"",MONTH(F3081))</f>
        <v/>
      </c>
      <c r="I3081" s="25">
        <f>IFERROR(INDEX(Pedidos!$E$2:$E$1801,MATCH(B3081,Pedidos!$A$2:$A$1801,0)),"")</f>
        <v/>
      </c>
      <c r="J3081" s="25">
        <f>IFERROR(INDEX(Pedidos!$C$2:$C$1801,MATCH(B3081,Pedidos!$A$2:$A$1801,0)),"")</f>
        <v/>
      </c>
      <c r="K3081" s="25">
        <f>IFERROR(INDEX(Pedidos!$D$2:$D$1801,MATCH(B3081,Pedidos!$A$2:$A$1801,0)),"")</f>
        <v/>
      </c>
      <c r="L3081" s="25">
        <f>IFERROR(INDEX(Pedidos!$F$2:$F$1801,MATCH(B3081,Pedidos!$A$2:$A$1801,0)),"")</f>
        <v/>
      </c>
      <c r="M3081" s="26">
        <f>IFERROR(INDEX(Pedidos!$G$2:$G$1801,MATCH(B3081,Pedidos!$A$2:$A$1801,0)),0)</f>
        <v/>
      </c>
      <c r="N3081" s="25">
        <f>IFERROR(INDEX(Produtos!$B$2:$B$71,MATCH(C3081,Produtos!$A$2:$A$71,0)),"")</f>
        <v/>
      </c>
      <c r="O3081" s="25">
        <f>IFERROR(INDEX(Produtos!$C$2:$C$71,MATCH(C3081,Produtos!$A$2:$A$71,0)),"")</f>
        <v/>
      </c>
      <c r="P3081" s="25">
        <f>IFERROR(INDEX(Produtos!$D$2:$D$71,MATCH(C3081,Produtos!$A$2:$A$71,0)),0)</f>
        <v/>
      </c>
      <c r="Q3081" s="25">
        <f>IFERROR(INDEX(Produtos!$E$2:$E$71,MATCH(C3081,Produtos!$A$2:$A$71,0)),0)</f>
        <v/>
      </c>
      <c r="R3081" s="27">
        <f>D3081*Q3081</f>
        <v/>
      </c>
      <c r="S3081" s="27">
        <f>R3081*E3081</f>
        <v/>
      </c>
      <c r="T3081" s="27">
        <f>(R3081-S3081)*M3081</f>
        <v/>
      </c>
      <c r="U3081" s="27">
        <f>R3081-S3081-T3081</f>
        <v/>
      </c>
      <c r="V3081" s="27">
        <f>D3081*P3081</f>
        <v/>
      </c>
      <c r="W3081" s="27">
        <f>U3081-V3081</f>
        <v/>
      </c>
      <c r="X3081" s="28">
        <f>IFERROR(W3081/U3081,0)</f>
        <v/>
      </c>
    </row>
    <row r="3082">
      <c r="A3082" s="21">
        <f>ItensPedido!A3082</f>
        <v/>
      </c>
      <c r="B3082" s="21">
        <f>ItensPedido!B3082</f>
        <v/>
      </c>
      <c r="C3082" s="21">
        <f>ItensPedido!C3082</f>
        <v/>
      </c>
      <c r="D3082" s="21">
        <f>ItensPedido!D3082</f>
        <v/>
      </c>
      <c r="E3082" s="22">
        <f>ItensPedido!E3082</f>
        <v/>
      </c>
      <c r="F3082" s="21">
        <f>IFERROR(INDEX(Pedidos!$B$2:$B$1801,MATCH(B3082,Pedidos!$A$2:$A$1801,0)),0)</f>
        <v/>
      </c>
      <c r="G3082" s="21">
        <f>IF(F3082=0,"",YEAR(F3082))</f>
        <v/>
      </c>
      <c r="H3082" s="21">
        <f>IF(F3082=0,"",MONTH(F3082))</f>
        <v/>
      </c>
      <c r="I3082" s="21">
        <f>IFERROR(INDEX(Pedidos!$E$2:$E$1801,MATCH(B3082,Pedidos!$A$2:$A$1801,0)),"")</f>
        <v/>
      </c>
      <c r="J3082" s="21">
        <f>IFERROR(INDEX(Pedidos!$C$2:$C$1801,MATCH(B3082,Pedidos!$A$2:$A$1801,0)),"")</f>
        <v/>
      </c>
      <c r="K3082" s="21">
        <f>IFERROR(INDEX(Pedidos!$D$2:$D$1801,MATCH(B3082,Pedidos!$A$2:$A$1801,0)),"")</f>
        <v/>
      </c>
      <c r="L3082" s="21">
        <f>IFERROR(INDEX(Pedidos!$F$2:$F$1801,MATCH(B3082,Pedidos!$A$2:$A$1801,0)),"")</f>
        <v/>
      </c>
      <c r="M3082" s="22">
        <f>IFERROR(INDEX(Pedidos!$G$2:$G$1801,MATCH(B3082,Pedidos!$A$2:$A$1801,0)),0)</f>
        <v/>
      </c>
      <c r="N3082" s="21">
        <f>IFERROR(INDEX(Produtos!$B$2:$B$71,MATCH(C3082,Produtos!$A$2:$A$71,0)),"")</f>
        <v/>
      </c>
      <c r="O3082" s="21">
        <f>IFERROR(INDEX(Produtos!$C$2:$C$71,MATCH(C3082,Produtos!$A$2:$A$71,0)),"")</f>
        <v/>
      </c>
      <c r="P3082" s="21">
        <f>IFERROR(INDEX(Produtos!$D$2:$D$71,MATCH(C3082,Produtos!$A$2:$A$71,0)),0)</f>
        <v/>
      </c>
      <c r="Q3082" s="21">
        <f>IFERROR(INDEX(Produtos!$E$2:$E$71,MATCH(C3082,Produtos!$A$2:$A$71,0)),0)</f>
        <v/>
      </c>
      <c r="R3082" s="23">
        <f>D3082*Q3082</f>
        <v/>
      </c>
      <c r="S3082" s="23">
        <f>R3082*E3082</f>
        <v/>
      </c>
      <c r="T3082" s="23">
        <f>(R3082-S3082)*M3082</f>
        <v/>
      </c>
      <c r="U3082" s="23">
        <f>R3082-S3082-T3082</f>
        <v/>
      </c>
      <c r="V3082" s="23">
        <f>D3082*P3082</f>
        <v/>
      </c>
      <c r="W3082" s="23">
        <f>U3082-V3082</f>
        <v/>
      </c>
      <c r="X3082" s="24">
        <f>IFERROR(W3082/U3082,0)</f>
        <v/>
      </c>
    </row>
    <row r="3083">
      <c r="A3083" s="25">
        <f>ItensPedido!A3083</f>
        <v/>
      </c>
      <c r="B3083" s="25">
        <f>ItensPedido!B3083</f>
        <v/>
      </c>
      <c r="C3083" s="25">
        <f>ItensPedido!C3083</f>
        <v/>
      </c>
      <c r="D3083" s="25">
        <f>ItensPedido!D3083</f>
        <v/>
      </c>
      <c r="E3083" s="26">
        <f>ItensPedido!E3083</f>
        <v/>
      </c>
      <c r="F3083" s="25">
        <f>IFERROR(INDEX(Pedidos!$B$2:$B$1801,MATCH(B3083,Pedidos!$A$2:$A$1801,0)),0)</f>
        <v/>
      </c>
      <c r="G3083" s="25">
        <f>IF(F3083=0,"",YEAR(F3083))</f>
        <v/>
      </c>
      <c r="H3083" s="25">
        <f>IF(F3083=0,"",MONTH(F3083))</f>
        <v/>
      </c>
      <c r="I3083" s="25">
        <f>IFERROR(INDEX(Pedidos!$E$2:$E$1801,MATCH(B3083,Pedidos!$A$2:$A$1801,0)),"")</f>
        <v/>
      </c>
      <c r="J3083" s="25">
        <f>IFERROR(INDEX(Pedidos!$C$2:$C$1801,MATCH(B3083,Pedidos!$A$2:$A$1801,0)),"")</f>
        <v/>
      </c>
      <c r="K3083" s="25">
        <f>IFERROR(INDEX(Pedidos!$D$2:$D$1801,MATCH(B3083,Pedidos!$A$2:$A$1801,0)),"")</f>
        <v/>
      </c>
      <c r="L3083" s="25">
        <f>IFERROR(INDEX(Pedidos!$F$2:$F$1801,MATCH(B3083,Pedidos!$A$2:$A$1801,0)),"")</f>
        <v/>
      </c>
      <c r="M3083" s="26">
        <f>IFERROR(INDEX(Pedidos!$G$2:$G$1801,MATCH(B3083,Pedidos!$A$2:$A$1801,0)),0)</f>
        <v/>
      </c>
      <c r="N3083" s="25">
        <f>IFERROR(INDEX(Produtos!$B$2:$B$71,MATCH(C3083,Produtos!$A$2:$A$71,0)),"")</f>
        <v/>
      </c>
      <c r="O3083" s="25">
        <f>IFERROR(INDEX(Produtos!$C$2:$C$71,MATCH(C3083,Produtos!$A$2:$A$71,0)),"")</f>
        <v/>
      </c>
      <c r="P3083" s="25">
        <f>IFERROR(INDEX(Produtos!$D$2:$D$71,MATCH(C3083,Produtos!$A$2:$A$71,0)),0)</f>
        <v/>
      </c>
      <c r="Q3083" s="25">
        <f>IFERROR(INDEX(Produtos!$E$2:$E$71,MATCH(C3083,Produtos!$A$2:$A$71,0)),0)</f>
        <v/>
      </c>
      <c r="R3083" s="27">
        <f>D3083*Q3083</f>
        <v/>
      </c>
      <c r="S3083" s="27">
        <f>R3083*E3083</f>
        <v/>
      </c>
      <c r="T3083" s="27">
        <f>(R3083-S3083)*M3083</f>
        <v/>
      </c>
      <c r="U3083" s="27">
        <f>R3083-S3083-T3083</f>
        <v/>
      </c>
      <c r="V3083" s="27">
        <f>D3083*P3083</f>
        <v/>
      </c>
      <c r="W3083" s="27">
        <f>U3083-V3083</f>
        <v/>
      </c>
      <c r="X3083" s="28">
        <f>IFERROR(W3083/U3083,0)</f>
        <v/>
      </c>
    </row>
    <row r="3084">
      <c r="A3084" s="21">
        <f>ItensPedido!A3084</f>
        <v/>
      </c>
      <c r="B3084" s="21">
        <f>ItensPedido!B3084</f>
        <v/>
      </c>
      <c r="C3084" s="21">
        <f>ItensPedido!C3084</f>
        <v/>
      </c>
      <c r="D3084" s="21">
        <f>ItensPedido!D3084</f>
        <v/>
      </c>
      <c r="E3084" s="22">
        <f>ItensPedido!E3084</f>
        <v/>
      </c>
      <c r="F3084" s="21">
        <f>IFERROR(INDEX(Pedidos!$B$2:$B$1801,MATCH(B3084,Pedidos!$A$2:$A$1801,0)),0)</f>
        <v/>
      </c>
      <c r="G3084" s="21">
        <f>IF(F3084=0,"",YEAR(F3084))</f>
        <v/>
      </c>
      <c r="H3084" s="21">
        <f>IF(F3084=0,"",MONTH(F3084))</f>
        <v/>
      </c>
      <c r="I3084" s="21">
        <f>IFERROR(INDEX(Pedidos!$E$2:$E$1801,MATCH(B3084,Pedidos!$A$2:$A$1801,0)),"")</f>
        <v/>
      </c>
      <c r="J3084" s="21">
        <f>IFERROR(INDEX(Pedidos!$C$2:$C$1801,MATCH(B3084,Pedidos!$A$2:$A$1801,0)),"")</f>
        <v/>
      </c>
      <c r="K3084" s="21">
        <f>IFERROR(INDEX(Pedidos!$D$2:$D$1801,MATCH(B3084,Pedidos!$A$2:$A$1801,0)),"")</f>
        <v/>
      </c>
      <c r="L3084" s="21">
        <f>IFERROR(INDEX(Pedidos!$F$2:$F$1801,MATCH(B3084,Pedidos!$A$2:$A$1801,0)),"")</f>
        <v/>
      </c>
      <c r="M3084" s="22">
        <f>IFERROR(INDEX(Pedidos!$G$2:$G$1801,MATCH(B3084,Pedidos!$A$2:$A$1801,0)),0)</f>
        <v/>
      </c>
      <c r="N3084" s="21">
        <f>IFERROR(INDEX(Produtos!$B$2:$B$71,MATCH(C3084,Produtos!$A$2:$A$71,0)),"")</f>
        <v/>
      </c>
      <c r="O3084" s="21">
        <f>IFERROR(INDEX(Produtos!$C$2:$C$71,MATCH(C3084,Produtos!$A$2:$A$71,0)),"")</f>
        <v/>
      </c>
      <c r="P3084" s="21">
        <f>IFERROR(INDEX(Produtos!$D$2:$D$71,MATCH(C3084,Produtos!$A$2:$A$71,0)),0)</f>
        <v/>
      </c>
      <c r="Q3084" s="21">
        <f>IFERROR(INDEX(Produtos!$E$2:$E$71,MATCH(C3084,Produtos!$A$2:$A$71,0)),0)</f>
        <v/>
      </c>
      <c r="R3084" s="23">
        <f>D3084*Q3084</f>
        <v/>
      </c>
      <c r="S3084" s="23">
        <f>R3084*E3084</f>
        <v/>
      </c>
      <c r="T3084" s="23">
        <f>(R3084-S3084)*M3084</f>
        <v/>
      </c>
      <c r="U3084" s="23">
        <f>R3084-S3084-T3084</f>
        <v/>
      </c>
      <c r="V3084" s="23">
        <f>D3084*P3084</f>
        <v/>
      </c>
      <c r="W3084" s="23">
        <f>U3084-V3084</f>
        <v/>
      </c>
      <c r="X3084" s="24">
        <f>IFERROR(W3084/U3084,0)</f>
        <v/>
      </c>
    </row>
    <row r="3085">
      <c r="A3085" s="25">
        <f>ItensPedido!A3085</f>
        <v/>
      </c>
      <c r="B3085" s="25">
        <f>ItensPedido!B3085</f>
        <v/>
      </c>
      <c r="C3085" s="25">
        <f>ItensPedido!C3085</f>
        <v/>
      </c>
      <c r="D3085" s="25">
        <f>ItensPedido!D3085</f>
        <v/>
      </c>
      <c r="E3085" s="26">
        <f>ItensPedido!E3085</f>
        <v/>
      </c>
      <c r="F3085" s="25">
        <f>IFERROR(INDEX(Pedidos!$B$2:$B$1801,MATCH(B3085,Pedidos!$A$2:$A$1801,0)),0)</f>
        <v/>
      </c>
      <c r="G3085" s="25">
        <f>IF(F3085=0,"",YEAR(F3085))</f>
        <v/>
      </c>
      <c r="H3085" s="25">
        <f>IF(F3085=0,"",MONTH(F3085))</f>
        <v/>
      </c>
      <c r="I3085" s="25">
        <f>IFERROR(INDEX(Pedidos!$E$2:$E$1801,MATCH(B3085,Pedidos!$A$2:$A$1801,0)),"")</f>
        <v/>
      </c>
      <c r="J3085" s="25">
        <f>IFERROR(INDEX(Pedidos!$C$2:$C$1801,MATCH(B3085,Pedidos!$A$2:$A$1801,0)),"")</f>
        <v/>
      </c>
      <c r="K3085" s="25">
        <f>IFERROR(INDEX(Pedidos!$D$2:$D$1801,MATCH(B3085,Pedidos!$A$2:$A$1801,0)),"")</f>
        <v/>
      </c>
      <c r="L3085" s="25">
        <f>IFERROR(INDEX(Pedidos!$F$2:$F$1801,MATCH(B3085,Pedidos!$A$2:$A$1801,0)),"")</f>
        <v/>
      </c>
      <c r="M3085" s="26">
        <f>IFERROR(INDEX(Pedidos!$G$2:$G$1801,MATCH(B3085,Pedidos!$A$2:$A$1801,0)),0)</f>
        <v/>
      </c>
      <c r="N3085" s="25">
        <f>IFERROR(INDEX(Produtos!$B$2:$B$71,MATCH(C3085,Produtos!$A$2:$A$71,0)),"")</f>
        <v/>
      </c>
      <c r="O3085" s="25">
        <f>IFERROR(INDEX(Produtos!$C$2:$C$71,MATCH(C3085,Produtos!$A$2:$A$71,0)),"")</f>
        <v/>
      </c>
      <c r="P3085" s="25">
        <f>IFERROR(INDEX(Produtos!$D$2:$D$71,MATCH(C3085,Produtos!$A$2:$A$71,0)),0)</f>
        <v/>
      </c>
      <c r="Q3085" s="25">
        <f>IFERROR(INDEX(Produtos!$E$2:$E$71,MATCH(C3085,Produtos!$A$2:$A$71,0)),0)</f>
        <v/>
      </c>
      <c r="R3085" s="27">
        <f>D3085*Q3085</f>
        <v/>
      </c>
      <c r="S3085" s="27">
        <f>R3085*E3085</f>
        <v/>
      </c>
      <c r="T3085" s="27">
        <f>(R3085-S3085)*M3085</f>
        <v/>
      </c>
      <c r="U3085" s="27">
        <f>R3085-S3085-T3085</f>
        <v/>
      </c>
      <c r="V3085" s="27">
        <f>D3085*P3085</f>
        <v/>
      </c>
      <c r="W3085" s="27">
        <f>U3085-V3085</f>
        <v/>
      </c>
      <c r="X3085" s="28">
        <f>IFERROR(W3085/U3085,0)</f>
        <v/>
      </c>
    </row>
    <row r="3086">
      <c r="A3086" s="21">
        <f>ItensPedido!A3086</f>
        <v/>
      </c>
      <c r="B3086" s="21">
        <f>ItensPedido!B3086</f>
        <v/>
      </c>
      <c r="C3086" s="21">
        <f>ItensPedido!C3086</f>
        <v/>
      </c>
      <c r="D3086" s="21">
        <f>ItensPedido!D3086</f>
        <v/>
      </c>
      <c r="E3086" s="22">
        <f>ItensPedido!E3086</f>
        <v/>
      </c>
      <c r="F3086" s="21">
        <f>IFERROR(INDEX(Pedidos!$B$2:$B$1801,MATCH(B3086,Pedidos!$A$2:$A$1801,0)),0)</f>
        <v/>
      </c>
      <c r="G3086" s="21">
        <f>IF(F3086=0,"",YEAR(F3086))</f>
        <v/>
      </c>
      <c r="H3086" s="21">
        <f>IF(F3086=0,"",MONTH(F3086))</f>
        <v/>
      </c>
      <c r="I3086" s="21">
        <f>IFERROR(INDEX(Pedidos!$E$2:$E$1801,MATCH(B3086,Pedidos!$A$2:$A$1801,0)),"")</f>
        <v/>
      </c>
      <c r="J3086" s="21">
        <f>IFERROR(INDEX(Pedidos!$C$2:$C$1801,MATCH(B3086,Pedidos!$A$2:$A$1801,0)),"")</f>
        <v/>
      </c>
      <c r="K3086" s="21">
        <f>IFERROR(INDEX(Pedidos!$D$2:$D$1801,MATCH(B3086,Pedidos!$A$2:$A$1801,0)),"")</f>
        <v/>
      </c>
      <c r="L3086" s="21">
        <f>IFERROR(INDEX(Pedidos!$F$2:$F$1801,MATCH(B3086,Pedidos!$A$2:$A$1801,0)),"")</f>
        <v/>
      </c>
      <c r="M3086" s="22">
        <f>IFERROR(INDEX(Pedidos!$G$2:$G$1801,MATCH(B3086,Pedidos!$A$2:$A$1801,0)),0)</f>
        <v/>
      </c>
      <c r="N3086" s="21">
        <f>IFERROR(INDEX(Produtos!$B$2:$B$71,MATCH(C3086,Produtos!$A$2:$A$71,0)),"")</f>
        <v/>
      </c>
      <c r="O3086" s="21">
        <f>IFERROR(INDEX(Produtos!$C$2:$C$71,MATCH(C3086,Produtos!$A$2:$A$71,0)),"")</f>
        <v/>
      </c>
      <c r="P3086" s="21">
        <f>IFERROR(INDEX(Produtos!$D$2:$D$71,MATCH(C3086,Produtos!$A$2:$A$71,0)),0)</f>
        <v/>
      </c>
      <c r="Q3086" s="21">
        <f>IFERROR(INDEX(Produtos!$E$2:$E$71,MATCH(C3086,Produtos!$A$2:$A$71,0)),0)</f>
        <v/>
      </c>
      <c r="R3086" s="23">
        <f>D3086*Q3086</f>
        <v/>
      </c>
      <c r="S3086" s="23">
        <f>R3086*E3086</f>
        <v/>
      </c>
      <c r="T3086" s="23">
        <f>(R3086-S3086)*M3086</f>
        <v/>
      </c>
      <c r="U3086" s="23">
        <f>R3086-S3086-T3086</f>
        <v/>
      </c>
      <c r="V3086" s="23">
        <f>D3086*P3086</f>
        <v/>
      </c>
      <c r="W3086" s="23">
        <f>U3086-V3086</f>
        <v/>
      </c>
      <c r="X3086" s="24">
        <f>IFERROR(W3086/U3086,0)</f>
        <v/>
      </c>
    </row>
    <row r="3087">
      <c r="A3087" s="25">
        <f>ItensPedido!A3087</f>
        <v/>
      </c>
      <c r="B3087" s="25">
        <f>ItensPedido!B3087</f>
        <v/>
      </c>
      <c r="C3087" s="25">
        <f>ItensPedido!C3087</f>
        <v/>
      </c>
      <c r="D3087" s="25">
        <f>ItensPedido!D3087</f>
        <v/>
      </c>
      <c r="E3087" s="26">
        <f>ItensPedido!E3087</f>
        <v/>
      </c>
      <c r="F3087" s="25">
        <f>IFERROR(INDEX(Pedidos!$B$2:$B$1801,MATCH(B3087,Pedidos!$A$2:$A$1801,0)),0)</f>
        <v/>
      </c>
      <c r="G3087" s="25">
        <f>IF(F3087=0,"",YEAR(F3087))</f>
        <v/>
      </c>
      <c r="H3087" s="25">
        <f>IF(F3087=0,"",MONTH(F3087))</f>
        <v/>
      </c>
      <c r="I3087" s="25">
        <f>IFERROR(INDEX(Pedidos!$E$2:$E$1801,MATCH(B3087,Pedidos!$A$2:$A$1801,0)),"")</f>
        <v/>
      </c>
      <c r="J3087" s="25">
        <f>IFERROR(INDEX(Pedidos!$C$2:$C$1801,MATCH(B3087,Pedidos!$A$2:$A$1801,0)),"")</f>
        <v/>
      </c>
      <c r="K3087" s="25">
        <f>IFERROR(INDEX(Pedidos!$D$2:$D$1801,MATCH(B3087,Pedidos!$A$2:$A$1801,0)),"")</f>
        <v/>
      </c>
      <c r="L3087" s="25">
        <f>IFERROR(INDEX(Pedidos!$F$2:$F$1801,MATCH(B3087,Pedidos!$A$2:$A$1801,0)),"")</f>
        <v/>
      </c>
      <c r="M3087" s="26">
        <f>IFERROR(INDEX(Pedidos!$G$2:$G$1801,MATCH(B3087,Pedidos!$A$2:$A$1801,0)),0)</f>
        <v/>
      </c>
      <c r="N3087" s="25">
        <f>IFERROR(INDEX(Produtos!$B$2:$B$71,MATCH(C3087,Produtos!$A$2:$A$71,0)),"")</f>
        <v/>
      </c>
      <c r="O3087" s="25">
        <f>IFERROR(INDEX(Produtos!$C$2:$C$71,MATCH(C3087,Produtos!$A$2:$A$71,0)),"")</f>
        <v/>
      </c>
      <c r="P3087" s="25">
        <f>IFERROR(INDEX(Produtos!$D$2:$D$71,MATCH(C3087,Produtos!$A$2:$A$71,0)),0)</f>
        <v/>
      </c>
      <c r="Q3087" s="25">
        <f>IFERROR(INDEX(Produtos!$E$2:$E$71,MATCH(C3087,Produtos!$A$2:$A$71,0)),0)</f>
        <v/>
      </c>
      <c r="R3087" s="27">
        <f>D3087*Q3087</f>
        <v/>
      </c>
      <c r="S3087" s="27">
        <f>R3087*E3087</f>
        <v/>
      </c>
      <c r="T3087" s="27">
        <f>(R3087-S3087)*M3087</f>
        <v/>
      </c>
      <c r="U3087" s="27">
        <f>R3087-S3087-T3087</f>
        <v/>
      </c>
      <c r="V3087" s="27">
        <f>D3087*P3087</f>
        <v/>
      </c>
      <c r="W3087" s="27">
        <f>U3087-V3087</f>
        <v/>
      </c>
      <c r="X3087" s="28">
        <f>IFERROR(W3087/U3087,0)</f>
        <v/>
      </c>
    </row>
    <row r="3088">
      <c r="A3088" s="21">
        <f>ItensPedido!A3088</f>
        <v/>
      </c>
      <c r="B3088" s="21">
        <f>ItensPedido!B3088</f>
        <v/>
      </c>
      <c r="C3088" s="21">
        <f>ItensPedido!C3088</f>
        <v/>
      </c>
      <c r="D3088" s="21">
        <f>ItensPedido!D3088</f>
        <v/>
      </c>
      <c r="E3088" s="22">
        <f>ItensPedido!E3088</f>
        <v/>
      </c>
      <c r="F3088" s="21">
        <f>IFERROR(INDEX(Pedidos!$B$2:$B$1801,MATCH(B3088,Pedidos!$A$2:$A$1801,0)),0)</f>
        <v/>
      </c>
      <c r="G3088" s="21">
        <f>IF(F3088=0,"",YEAR(F3088))</f>
        <v/>
      </c>
      <c r="H3088" s="21">
        <f>IF(F3088=0,"",MONTH(F3088))</f>
        <v/>
      </c>
      <c r="I3088" s="21">
        <f>IFERROR(INDEX(Pedidos!$E$2:$E$1801,MATCH(B3088,Pedidos!$A$2:$A$1801,0)),"")</f>
        <v/>
      </c>
      <c r="J3088" s="21">
        <f>IFERROR(INDEX(Pedidos!$C$2:$C$1801,MATCH(B3088,Pedidos!$A$2:$A$1801,0)),"")</f>
        <v/>
      </c>
      <c r="K3088" s="21">
        <f>IFERROR(INDEX(Pedidos!$D$2:$D$1801,MATCH(B3088,Pedidos!$A$2:$A$1801,0)),"")</f>
        <v/>
      </c>
      <c r="L3088" s="21">
        <f>IFERROR(INDEX(Pedidos!$F$2:$F$1801,MATCH(B3088,Pedidos!$A$2:$A$1801,0)),"")</f>
        <v/>
      </c>
      <c r="M3088" s="22">
        <f>IFERROR(INDEX(Pedidos!$G$2:$G$1801,MATCH(B3088,Pedidos!$A$2:$A$1801,0)),0)</f>
        <v/>
      </c>
      <c r="N3088" s="21">
        <f>IFERROR(INDEX(Produtos!$B$2:$B$71,MATCH(C3088,Produtos!$A$2:$A$71,0)),"")</f>
        <v/>
      </c>
      <c r="O3088" s="21">
        <f>IFERROR(INDEX(Produtos!$C$2:$C$71,MATCH(C3088,Produtos!$A$2:$A$71,0)),"")</f>
        <v/>
      </c>
      <c r="P3088" s="21">
        <f>IFERROR(INDEX(Produtos!$D$2:$D$71,MATCH(C3088,Produtos!$A$2:$A$71,0)),0)</f>
        <v/>
      </c>
      <c r="Q3088" s="21">
        <f>IFERROR(INDEX(Produtos!$E$2:$E$71,MATCH(C3088,Produtos!$A$2:$A$71,0)),0)</f>
        <v/>
      </c>
      <c r="R3088" s="23">
        <f>D3088*Q3088</f>
        <v/>
      </c>
      <c r="S3088" s="23">
        <f>R3088*E3088</f>
        <v/>
      </c>
      <c r="T3088" s="23">
        <f>(R3088-S3088)*M3088</f>
        <v/>
      </c>
      <c r="U3088" s="23">
        <f>R3088-S3088-T3088</f>
        <v/>
      </c>
      <c r="V3088" s="23">
        <f>D3088*P3088</f>
        <v/>
      </c>
      <c r="W3088" s="23">
        <f>U3088-V3088</f>
        <v/>
      </c>
      <c r="X3088" s="24">
        <f>IFERROR(W3088/U3088,0)</f>
        <v/>
      </c>
    </row>
    <row r="3089">
      <c r="A3089" s="25">
        <f>ItensPedido!A3089</f>
        <v/>
      </c>
      <c r="B3089" s="25">
        <f>ItensPedido!B3089</f>
        <v/>
      </c>
      <c r="C3089" s="25">
        <f>ItensPedido!C3089</f>
        <v/>
      </c>
      <c r="D3089" s="25">
        <f>ItensPedido!D3089</f>
        <v/>
      </c>
      <c r="E3089" s="26">
        <f>ItensPedido!E3089</f>
        <v/>
      </c>
      <c r="F3089" s="25">
        <f>IFERROR(INDEX(Pedidos!$B$2:$B$1801,MATCH(B3089,Pedidos!$A$2:$A$1801,0)),0)</f>
        <v/>
      </c>
      <c r="G3089" s="25">
        <f>IF(F3089=0,"",YEAR(F3089))</f>
        <v/>
      </c>
      <c r="H3089" s="25">
        <f>IF(F3089=0,"",MONTH(F3089))</f>
        <v/>
      </c>
      <c r="I3089" s="25">
        <f>IFERROR(INDEX(Pedidos!$E$2:$E$1801,MATCH(B3089,Pedidos!$A$2:$A$1801,0)),"")</f>
        <v/>
      </c>
      <c r="J3089" s="25">
        <f>IFERROR(INDEX(Pedidos!$C$2:$C$1801,MATCH(B3089,Pedidos!$A$2:$A$1801,0)),"")</f>
        <v/>
      </c>
      <c r="K3089" s="25">
        <f>IFERROR(INDEX(Pedidos!$D$2:$D$1801,MATCH(B3089,Pedidos!$A$2:$A$1801,0)),"")</f>
        <v/>
      </c>
      <c r="L3089" s="25">
        <f>IFERROR(INDEX(Pedidos!$F$2:$F$1801,MATCH(B3089,Pedidos!$A$2:$A$1801,0)),"")</f>
        <v/>
      </c>
      <c r="M3089" s="26">
        <f>IFERROR(INDEX(Pedidos!$G$2:$G$1801,MATCH(B3089,Pedidos!$A$2:$A$1801,0)),0)</f>
        <v/>
      </c>
      <c r="N3089" s="25">
        <f>IFERROR(INDEX(Produtos!$B$2:$B$71,MATCH(C3089,Produtos!$A$2:$A$71,0)),"")</f>
        <v/>
      </c>
      <c r="O3089" s="25">
        <f>IFERROR(INDEX(Produtos!$C$2:$C$71,MATCH(C3089,Produtos!$A$2:$A$71,0)),"")</f>
        <v/>
      </c>
      <c r="P3089" s="25">
        <f>IFERROR(INDEX(Produtos!$D$2:$D$71,MATCH(C3089,Produtos!$A$2:$A$71,0)),0)</f>
        <v/>
      </c>
      <c r="Q3089" s="25">
        <f>IFERROR(INDEX(Produtos!$E$2:$E$71,MATCH(C3089,Produtos!$A$2:$A$71,0)),0)</f>
        <v/>
      </c>
      <c r="R3089" s="27">
        <f>D3089*Q3089</f>
        <v/>
      </c>
      <c r="S3089" s="27">
        <f>R3089*E3089</f>
        <v/>
      </c>
      <c r="T3089" s="27">
        <f>(R3089-S3089)*M3089</f>
        <v/>
      </c>
      <c r="U3089" s="27">
        <f>R3089-S3089-T3089</f>
        <v/>
      </c>
      <c r="V3089" s="27">
        <f>D3089*P3089</f>
        <v/>
      </c>
      <c r="W3089" s="27">
        <f>U3089-V3089</f>
        <v/>
      </c>
      <c r="X3089" s="28">
        <f>IFERROR(W3089/U3089,0)</f>
        <v/>
      </c>
    </row>
    <row r="3090">
      <c r="A3090" s="21">
        <f>ItensPedido!A3090</f>
        <v/>
      </c>
      <c r="B3090" s="21">
        <f>ItensPedido!B3090</f>
        <v/>
      </c>
      <c r="C3090" s="21">
        <f>ItensPedido!C3090</f>
        <v/>
      </c>
      <c r="D3090" s="21">
        <f>ItensPedido!D3090</f>
        <v/>
      </c>
      <c r="E3090" s="22">
        <f>ItensPedido!E3090</f>
        <v/>
      </c>
      <c r="F3090" s="21">
        <f>IFERROR(INDEX(Pedidos!$B$2:$B$1801,MATCH(B3090,Pedidos!$A$2:$A$1801,0)),0)</f>
        <v/>
      </c>
      <c r="G3090" s="21">
        <f>IF(F3090=0,"",YEAR(F3090))</f>
        <v/>
      </c>
      <c r="H3090" s="21">
        <f>IF(F3090=0,"",MONTH(F3090))</f>
        <v/>
      </c>
      <c r="I3090" s="21">
        <f>IFERROR(INDEX(Pedidos!$E$2:$E$1801,MATCH(B3090,Pedidos!$A$2:$A$1801,0)),"")</f>
        <v/>
      </c>
      <c r="J3090" s="21">
        <f>IFERROR(INDEX(Pedidos!$C$2:$C$1801,MATCH(B3090,Pedidos!$A$2:$A$1801,0)),"")</f>
        <v/>
      </c>
      <c r="K3090" s="21">
        <f>IFERROR(INDEX(Pedidos!$D$2:$D$1801,MATCH(B3090,Pedidos!$A$2:$A$1801,0)),"")</f>
        <v/>
      </c>
      <c r="L3090" s="21">
        <f>IFERROR(INDEX(Pedidos!$F$2:$F$1801,MATCH(B3090,Pedidos!$A$2:$A$1801,0)),"")</f>
        <v/>
      </c>
      <c r="M3090" s="22">
        <f>IFERROR(INDEX(Pedidos!$G$2:$G$1801,MATCH(B3090,Pedidos!$A$2:$A$1801,0)),0)</f>
        <v/>
      </c>
      <c r="N3090" s="21">
        <f>IFERROR(INDEX(Produtos!$B$2:$B$71,MATCH(C3090,Produtos!$A$2:$A$71,0)),"")</f>
        <v/>
      </c>
      <c r="O3090" s="21">
        <f>IFERROR(INDEX(Produtos!$C$2:$C$71,MATCH(C3090,Produtos!$A$2:$A$71,0)),"")</f>
        <v/>
      </c>
      <c r="P3090" s="21">
        <f>IFERROR(INDEX(Produtos!$D$2:$D$71,MATCH(C3090,Produtos!$A$2:$A$71,0)),0)</f>
        <v/>
      </c>
      <c r="Q3090" s="21">
        <f>IFERROR(INDEX(Produtos!$E$2:$E$71,MATCH(C3090,Produtos!$A$2:$A$71,0)),0)</f>
        <v/>
      </c>
      <c r="R3090" s="23">
        <f>D3090*Q3090</f>
        <v/>
      </c>
      <c r="S3090" s="23">
        <f>R3090*E3090</f>
        <v/>
      </c>
      <c r="T3090" s="23">
        <f>(R3090-S3090)*M3090</f>
        <v/>
      </c>
      <c r="U3090" s="23">
        <f>R3090-S3090-T3090</f>
        <v/>
      </c>
      <c r="V3090" s="23">
        <f>D3090*P3090</f>
        <v/>
      </c>
      <c r="W3090" s="23">
        <f>U3090-V3090</f>
        <v/>
      </c>
      <c r="X3090" s="24">
        <f>IFERROR(W3090/U3090,0)</f>
        <v/>
      </c>
    </row>
    <row r="3091">
      <c r="A3091" s="25">
        <f>ItensPedido!A3091</f>
        <v/>
      </c>
      <c r="B3091" s="25">
        <f>ItensPedido!B3091</f>
        <v/>
      </c>
      <c r="C3091" s="25">
        <f>ItensPedido!C3091</f>
        <v/>
      </c>
      <c r="D3091" s="25">
        <f>ItensPedido!D3091</f>
        <v/>
      </c>
      <c r="E3091" s="26">
        <f>ItensPedido!E3091</f>
        <v/>
      </c>
      <c r="F3091" s="25">
        <f>IFERROR(INDEX(Pedidos!$B$2:$B$1801,MATCH(B3091,Pedidos!$A$2:$A$1801,0)),0)</f>
        <v/>
      </c>
      <c r="G3091" s="25">
        <f>IF(F3091=0,"",YEAR(F3091))</f>
        <v/>
      </c>
      <c r="H3091" s="25">
        <f>IF(F3091=0,"",MONTH(F3091))</f>
        <v/>
      </c>
      <c r="I3091" s="25">
        <f>IFERROR(INDEX(Pedidos!$E$2:$E$1801,MATCH(B3091,Pedidos!$A$2:$A$1801,0)),"")</f>
        <v/>
      </c>
      <c r="J3091" s="25">
        <f>IFERROR(INDEX(Pedidos!$C$2:$C$1801,MATCH(B3091,Pedidos!$A$2:$A$1801,0)),"")</f>
        <v/>
      </c>
      <c r="K3091" s="25">
        <f>IFERROR(INDEX(Pedidos!$D$2:$D$1801,MATCH(B3091,Pedidos!$A$2:$A$1801,0)),"")</f>
        <v/>
      </c>
      <c r="L3091" s="25">
        <f>IFERROR(INDEX(Pedidos!$F$2:$F$1801,MATCH(B3091,Pedidos!$A$2:$A$1801,0)),"")</f>
        <v/>
      </c>
      <c r="M3091" s="26">
        <f>IFERROR(INDEX(Pedidos!$G$2:$G$1801,MATCH(B3091,Pedidos!$A$2:$A$1801,0)),0)</f>
        <v/>
      </c>
      <c r="N3091" s="25">
        <f>IFERROR(INDEX(Produtos!$B$2:$B$71,MATCH(C3091,Produtos!$A$2:$A$71,0)),"")</f>
        <v/>
      </c>
      <c r="O3091" s="25">
        <f>IFERROR(INDEX(Produtos!$C$2:$C$71,MATCH(C3091,Produtos!$A$2:$A$71,0)),"")</f>
        <v/>
      </c>
      <c r="P3091" s="25">
        <f>IFERROR(INDEX(Produtos!$D$2:$D$71,MATCH(C3091,Produtos!$A$2:$A$71,0)),0)</f>
        <v/>
      </c>
      <c r="Q3091" s="25">
        <f>IFERROR(INDEX(Produtos!$E$2:$E$71,MATCH(C3091,Produtos!$A$2:$A$71,0)),0)</f>
        <v/>
      </c>
      <c r="R3091" s="27">
        <f>D3091*Q3091</f>
        <v/>
      </c>
      <c r="S3091" s="27">
        <f>R3091*E3091</f>
        <v/>
      </c>
      <c r="T3091" s="27">
        <f>(R3091-S3091)*M3091</f>
        <v/>
      </c>
      <c r="U3091" s="27">
        <f>R3091-S3091-T3091</f>
        <v/>
      </c>
      <c r="V3091" s="27">
        <f>D3091*P3091</f>
        <v/>
      </c>
      <c r="W3091" s="27">
        <f>U3091-V3091</f>
        <v/>
      </c>
      <c r="X3091" s="28">
        <f>IFERROR(W3091/U3091,0)</f>
        <v/>
      </c>
    </row>
    <row r="3092">
      <c r="A3092" s="21">
        <f>ItensPedido!A3092</f>
        <v/>
      </c>
      <c r="B3092" s="21">
        <f>ItensPedido!B3092</f>
        <v/>
      </c>
      <c r="C3092" s="21">
        <f>ItensPedido!C3092</f>
        <v/>
      </c>
      <c r="D3092" s="21">
        <f>ItensPedido!D3092</f>
        <v/>
      </c>
      <c r="E3092" s="22">
        <f>ItensPedido!E3092</f>
        <v/>
      </c>
      <c r="F3092" s="21">
        <f>IFERROR(INDEX(Pedidos!$B$2:$B$1801,MATCH(B3092,Pedidos!$A$2:$A$1801,0)),0)</f>
        <v/>
      </c>
      <c r="G3092" s="21">
        <f>IF(F3092=0,"",YEAR(F3092))</f>
        <v/>
      </c>
      <c r="H3092" s="21">
        <f>IF(F3092=0,"",MONTH(F3092))</f>
        <v/>
      </c>
      <c r="I3092" s="21">
        <f>IFERROR(INDEX(Pedidos!$E$2:$E$1801,MATCH(B3092,Pedidos!$A$2:$A$1801,0)),"")</f>
        <v/>
      </c>
      <c r="J3092" s="21">
        <f>IFERROR(INDEX(Pedidos!$C$2:$C$1801,MATCH(B3092,Pedidos!$A$2:$A$1801,0)),"")</f>
        <v/>
      </c>
      <c r="K3092" s="21">
        <f>IFERROR(INDEX(Pedidos!$D$2:$D$1801,MATCH(B3092,Pedidos!$A$2:$A$1801,0)),"")</f>
        <v/>
      </c>
      <c r="L3092" s="21">
        <f>IFERROR(INDEX(Pedidos!$F$2:$F$1801,MATCH(B3092,Pedidos!$A$2:$A$1801,0)),"")</f>
        <v/>
      </c>
      <c r="M3092" s="22">
        <f>IFERROR(INDEX(Pedidos!$G$2:$G$1801,MATCH(B3092,Pedidos!$A$2:$A$1801,0)),0)</f>
        <v/>
      </c>
      <c r="N3092" s="21">
        <f>IFERROR(INDEX(Produtos!$B$2:$B$71,MATCH(C3092,Produtos!$A$2:$A$71,0)),"")</f>
        <v/>
      </c>
      <c r="O3092" s="21">
        <f>IFERROR(INDEX(Produtos!$C$2:$C$71,MATCH(C3092,Produtos!$A$2:$A$71,0)),"")</f>
        <v/>
      </c>
      <c r="P3092" s="21">
        <f>IFERROR(INDEX(Produtos!$D$2:$D$71,MATCH(C3092,Produtos!$A$2:$A$71,0)),0)</f>
        <v/>
      </c>
      <c r="Q3092" s="21">
        <f>IFERROR(INDEX(Produtos!$E$2:$E$71,MATCH(C3092,Produtos!$A$2:$A$71,0)),0)</f>
        <v/>
      </c>
      <c r="R3092" s="23">
        <f>D3092*Q3092</f>
        <v/>
      </c>
      <c r="S3092" s="23">
        <f>R3092*E3092</f>
        <v/>
      </c>
      <c r="T3092" s="23">
        <f>(R3092-S3092)*M3092</f>
        <v/>
      </c>
      <c r="U3092" s="23">
        <f>R3092-S3092-T3092</f>
        <v/>
      </c>
      <c r="V3092" s="23">
        <f>D3092*P3092</f>
        <v/>
      </c>
      <c r="W3092" s="23">
        <f>U3092-V3092</f>
        <v/>
      </c>
      <c r="X3092" s="24">
        <f>IFERROR(W3092/U3092,0)</f>
        <v/>
      </c>
    </row>
    <row r="3093">
      <c r="A3093" s="25">
        <f>ItensPedido!A3093</f>
        <v/>
      </c>
      <c r="B3093" s="25">
        <f>ItensPedido!B3093</f>
        <v/>
      </c>
      <c r="C3093" s="25">
        <f>ItensPedido!C3093</f>
        <v/>
      </c>
      <c r="D3093" s="25">
        <f>ItensPedido!D3093</f>
        <v/>
      </c>
      <c r="E3093" s="26">
        <f>ItensPedido!E3093</f>
        <v/>
      </c>
      <c r="F3093" s="25">
        <f>IFERROR(INDEX(Pedidos!$B$2:$B$1801,MATCH(B3093,Pedidos!$A$2:$A$1801,0)),0)</f>
        <v/>
      </c>
      <c r="G3093" s="25">
        <f>IF(F3093=0,"",YEAR(F3093))</f>
        <v/>
      </c>
      <c r="H3093" s="25">
        <f>IF(F3093=0,"",MONTH(F3093))</f>
        <v/>
      </c>
      <c r="I3093" s="25">
        <f>IFERROR(INDEX(Pedidos!$E$2:$E$1801,MATCH(B3093,Pedidos!$A$2:$A$1801,0)),"")</f>
        <v/>
      </c>
      <c r="J3093" s="25">
        <f>IFERROR(INDEX(Pedidos!$C$2:$C$1801,MATCH(B3093,Pedidos!$A$2:$A$1801,0)),"")</f>
        <v/>
      </c>
      <c r="K3093" s="25">
        <f>IFERROR(INDEX(Pedidos!$D$2:$D$1801,MATCH(B3093,Pedidos!$A$2:$A$1801,0)),"")</f>
        <v/>
      </c>
      <c r="L3093" s="25">
        <f>IFERROR(INDEX(Pedidos!$F$2:$F$1801,MATCH(B3093,Pedidos!$A$2:$A$1801,0)),"")</f>
        <v/>
      </c>
      <c r="M3093" s="26">
        <f>IFERROR(INDEX(Pedidos!$G$2:$G$1801,MATCH(B3093,Pedidos!$A$2:$A$1801,0)),0)</f>
        <v/>
      </c>
      <c r="N3093" s="25">
        <f>IFERROR(INDEX(Produtos!$B$2:$B$71,MATCH(C3093,Produtos!$A$2:$A$71,0)),"")</f>
        <v/>
      </c>
      <c r="O3093" s="25">
        <f>IFERROR(INDEX(Produtos!$C$2:$C$71,MATCH(C3093,Produtos!$A$2:$A$71,0)),"")</f>
        <v/>
      </c>
      <c r="P3093" s="25">
        <f>IFERROR(INDEX(Produtos!$D$2:$D$71,MATCH(C3093,Produtos!$A$2:$A$71,0)),0)</f>
        <v/>
      </c>
      <c r="Q3093" s="25">
        <f>IFERROR(INDEX(Produtos!$E$2:$E$71,MATCH(C3093,Produtos!$A$2:$A$71,0)),0)</f>
        <v/>
      </c>
      <c r="R3093" s="27">
        <f>D3093*Q3093</f>
        <v/>
      </c>
      <c r="S3093" s="27">
        <f>R3093*E3093</f>
        <v/>
      </c>
      <c r="T3093" s="27">
        <f>(R3093-S3093)*M3093</f>
        <v/>
      </c>
      <c r="U3093" s="27">
        <f>R3093-S3093-T3093</f>
        <v/>
      </c>
      <c r="V3093" s="27">
        <f>D3093*P3093</f>
        <v/>
      </c>
      <c r="W3093" s="27">
        <f>U3093-V3093</f>
        <v/>
      </c>
      <c r="X3093" s="28">
        <f>IFERROR(W3093/U3093,0)</f>
        <v/>
      </c>
    </row>
    <row r="3094">
      <c r="A3094" s="21">
        <f>ItensPedido!A3094</f>
        <v/>
      </c>
      <c r="B3094" s="21">
        <f>ItensPedido!B3094</f>
        <v/>
      </c>
      <c r="C3094" s="21">
        <f>ItensPedido!C3094</f>
        <v/>
      </c>
      <c r="D3094" s="21">
        <f>ItensPedido!D3094</f>
        <v/>
      </c>
      <c r="E3094" s="22">
        <f>ItensPedido!E3094</f>
        <v/>
      </c>
      <c r="F3094" s="21">
        <f>IFERROR(INDEX(Pedidos!$B$2:$B$1801,MATCH(B3094,Pedidos!$A$2:$A$1801,0)),0)</f>
        <v/>
      </c>
      <c r="G3094" s="21">
        <f>IF(F3094=0,"",YEAR(F3094))</f>
        <v/>
      </c>
      <c r="H3094" s="21">
        <f>IF(F3094=0,"",MONTH(F3094))</f>
        <v/>
      </c>
      <c r="I3094" s="21">
        <f>IFERROR(INDEX(Pedidos!$E$2:$E$1801,MATCH(B3094,Pedidos!$A$2:$A$1801,0)),"")</f>
        <v/>
      </c>
      <c r="J3094" s="21">
        <f>IFERROR(INDEX(Pedidos!$C$2:$C$1801,MATCH(B3094,Pedidos!$A$2:$A$1801,0)),"")</f>
        <v/>
      </c>
      <c r="K3094" s="21">
        <f>IFERROR(INDEX(Pedidos!$D$2:$D$1801,MATCH(B3094,Pedidos!$A$2:$A$1801,0)),"")</f>
        <v/>
      </c>
      <c r="L3094" s="21">
        <f>IFERROR(INDEX(Pedidos!$F$2:$F$1801,MATCH(B3094,Pedidos!$A$2:$A$1801,0)),"")</f>
        <v/>
      </c>
      <c r="M3094" s="22">
        <f>IFERROR(INDEX(Pedidos!$G$2:$G$1801,MATCH(B3094,Pedidos!$A$2:$A$1801,0)),0)</f>
        <v/>
      </c>
      <c r="N3094" s="21">
        <f>IFERROR(INDEX(Produtos!$B$2:$B$71,MATCH(C3094,Produtos!$A$2:$A$71,0)),"")</f>
        <v/>
      </c>
      <c r="O3094" s="21">
        <f>IFERROR(INDEX(Produtos!$C$2:$C$71,MATCH(C3094,Produtos!$A$2:$A$71,0)),"")</f>
        <v/>
      </c>
      <c r="P3094" s="21">
        <f>IFERROR(INDEX(Produtos!$D$2:$D$71,MATCH(C3094,Produtos!$A$2:$A$71,0)),0)</f>
        <v/>
      </c>
      <c r="Q3094" s="21">
        <f>IFERROR(INDEX(Produtos!$E$2:$E$71,MATCH(C3094,Produtos!$A$2:$A$71,0)),0)</f>
        <v/>
      </c>
      <c r="R3094" s="23">
        <f>D3094*Q3094</f>
        <v/>
      </c>
      <c r="S3094" s="23">
        <f>R3094*E3094</f>
        <v/>
      </c>
      <c r="T3094" s="23">
        <f>(R3094-S3094)*M3094</f>
        <v/>
      </c>
      <c r="U3094" s="23">
        <f>R3094-S3094-T3094</f>
        <v/>
      </c>
      <c r="V3094" s="23">
        <f>D3094*P3094</f>
        <v/>
      </c>
      <c r="W3094" s="23">
        <f>U3094-V3094</f>
        <v/>
      </c>
      <c r="X3094" s="24">
        <f>IFERROR(W3094/U3094,0)</f>
        <v/>
      </c>
    </row>
    <row r="3095">
      <c r="A3095" s="25">
        <f>ItensPedido!A3095</f>
        <v/>
      </c>
      <c r="B3095" s="25">
        <f>ItensPedido!B3095</f>
        <v/>
      </c>
      <c r="C3095" s="25">
        <f>ItensPedido!C3095</f>
        <v/>
      </c>
      <c r="D3095" s="25">
        <f>ItensPedido!D3095</f>
        <v/>
      </c>
      <c r="E3095" s="26">
        <f>ItensPedido!E3095</f>
        <v/>
      </c>
      <c r="F3095" s="25">
        <f>IFERROR(INDEX(Pedidos!$B$2:$B$1801,MATCH(B3095,Pedidos!$A$2:$A$1801,0)),0)</f>
        <v/>
      </c>
      <c r="G3095" s="25">
        <f>IF(F3095=0,"",YEAR(F3095))</f>
        <v/>
      </c>
      <c r="H3095" s="25">
        <f>IF(F3095=0,"",MONTH(F3095))</f>
        <v/>
      </c>
      <c r="I3095" s="25">
        <f>IFERROR(INDEX(Pedidos!$E$2:$E$1801,MATCH(B3095,Pedidos!$A$2:$A$1801,0)),"")</f>
        <v/>
      </c>
      <c r="J3095" s="25">
        <f>IFERROR(INDEX(Pedidos!$C$2:$C$1801,MATCH(B3095,Pedidos!$A$2:$A$1801,0)),"")</f>
        <v/>
      </c>
      <c r="K3095" s="25">
        <f>IFERROR(INDEX(Pedidos!$D$2:$D$1801,MATCH(B3095,Pedidos!$A$2:$A$1801,0)),"")</f>
        <v/>
      </c>
      <c r="L3095" s="25">
        <f>IFERROR(INDEX(Pedidos!$F$2:$F$1801,MATCH(B3095,Pedidos!$A$2:$A$1801,0)),"")</f>
        <v/>
      </c>
      <c r="M3095" s="26">
        <f>IFERROR(INDEX(Pedidos!$G$2:$G$1801,MATCH(B3095,Pedidos!$A$2:$A$1801,0)),0)</f>
        <v/>
      </c>
      <c r="N3095" s="25">
        <f>IFERROR(INDEX(Produtos!$B$2:$B$71,MATCH(C3095,Produtos!$A$2:$A$71,0)),"")</f>
        <v/>
      </c>
      <c r="O3095" s="25">
        <f>IFERROR(INDEX(Produtos!$C$2:$C$71,MATCH(C3095,Produtos!$A$2:$A$71,0)),"")</f>
        <v/>
      </c>
      <c r="P3095" s="25">
        <f>IFERROR(INDEX(Produtos!$D$2:$D$71,MATCH(C3095,Produtos!$A$2:$A$71,0)),0)</f>
        <v/>
      </c>
      <c r="Q3095" s="25">
        <f>IFERROR(INDEX(Produtos!$E$2:$E$71,MATCH(C3095,Produtos!$A$2:$A$71,0)),0)</f>
        <v/>
      </c>
      <c r="R3095" s="27">
        <f>D3095*Q3095</f>
        <v/>
      </c>
      <c r="S3095" s="27">
        <f>R3095*E3095</f>
        <v/>
      </c>
      <c r="T3095" s="27">
        <f>(R3095-S3095)*M3095</f>
        <v/>
      </c>
      <c r="U3095" s="27">
        <f>R3095-S3095-T3095</f>
        <v/>
      </c>
      <c r="V3095" s="27">
        <f>D3095*P3095</f>
        <v/>
      </c>
      <c r="W3095" s="27">
        <f>U3095-V3095</f>
        <v/>
      </c>
      <c r="X3095" s="28">
        <f>IFERROR(W3095/U3095,0)</f>
        <v/>
      </c>
    </row>
    <row r="3096">
      <c r="A3096" s="21">
        <f>ItensPedido!A3096</f>
        <v/>
      </c>
      <c r="B3096" s="21">
        <f>ItensPedido!B3096</f>
        <v/>
      </c>
      <c r="C3096" s="21">
        <f>ItensPedido!C3096</f>
        <v/>
      </c>
      <c r="D3096" s="21">
        <f>ItensPedido!D3096</f>
        <v/>
      </c>
      <c r="E3096" s="22">
        <f>ItensPedido!E3096</f>
        <v/>
      </c>
      <c r="F3096" s="21">
        <f>IFERROR(INDEX(Pedidos!$B$2:$B$1801,MATCH(B3096,Pedidos!$A$2:$A$1801,0)),0)</f>
        <v/>
      </c>
      <c r="G3096" s="21">
        <f>IF(F3096=0,"",YEAR(F3096))</f>
        <v/>
      </c>
      <c r="H3096" s="21">
        <f>IF(F3096=0,"",MONTH(F3096))</f>
        <v/>
      </c>
      <c r="I3096" s="21">
        <f>IFERROR(INDEX(Pedidos!$E$2:$E$1801,MATCH(B3096,Pedidos!$A$2:$A$1801,0)),"")</f>
        <v/>
      </c>
      <c r="J3096" s="21">
        <f>IFERROR(INDEX(Pedidos!$C$2:$C$1801,MATCH(B3096,Pedidos!$A$2:$A$1801,0)),"")</f>
        <v/>
      </c>
      <c r="K3096" s="21">
        <f>IFERROR(INDEX(Pedidos!$D$2:$D$1801,MATCH(B3096,Pedidos!$A$2:$A$1801,0)),"")</f>
        <v/>
      </c>
      <c r="L3096" s="21">
        <f>IFERROR(INDEX(Pedidos!$F$2:$F$1801,MATCH(B3096,Pedidos!$A$2:$A$1801,0)),"")</f>
        <v/>
      </c>
      <c r="M3096" s="22">
        <f>IFERROR(INDEX(Pedidos!$G$2:$G$1801,MATCH(B3096,Pedidos!$A$2:$A$1801,0)),0)</f>
        <v/>
      </c>
      <c r="N3096" s="21">
        <f>IFERROR(INDEX(Produtos!$B$2:$B$71,MATCH(C3096,Produtos!$A$2:$A$71,0)),"")</f>
        <v/>
      </c>
      <c r="O3096" s="21">
        <f>IFERROR(INDEX(Produtos!$C$2:$C$71,MATCH(C3096,Produtos!$A$2:$A$71,0)),"")</f>
        <v/>
      </c>
      <c r="P3096" s="21">
        <f>IFERROR(INDEX(Produtos!$D$2:$D$71,MATCH(C3096,Produtos!$A$2:$A$71,0)),0)</f>
        <v/>
      </c>
      <c r="Q3096" s="21">
        <f>IFERROR(INDEX(Produtos!$E$2:$E$71,MATCH(C3096,Produtos!$A$2:$A$71,0)),0)</f>
        <v/>
      </c>
      <c r="R3096" s="23">
        <f>D3096*Q3096</f>
        <v/>
      </c>
      <c r="S3096" s="23">
        <f>R3096*E3096</f>
        <v/>
      </c>
      <c r="T3096" s="23">
        <f>(R3096-S3096)*M3096</f>
        <v/>
      </c>
      <c r="U3096" s="23">
        <f>R3096-S3096-T3096</f>
        <v/>
      </c>
      <c r="V3096" s="23">
        <f>D3096*P3096</f>
        <v/>
      </c>
      <c r="W3096" s="23">
        <f>U3096-V3096</f>
        <v/>
      </c>
      <c r="X3096" s="24">
        <f>IFERROR(W3096/U3096,0)</f>
        <v/>
      </c>
    </row>
    <row r="3097">
      <c r="A3097" s="25">
        <f>ItensPedido!A3097</f>
        <v/>
      </c>
      <c r="B3097" s="25">
        <f>ItensPedido!B3097</f>
        <v/>
      </c>
      <c r="C3097" s="25">
        <f>ItensPedido!C3097</f>
        <v/>
      </c>
      <c r="D3097" s="25">
        <f>ItensPedido!D3097</f>
        <v/>
      </c>
      <c r="E3097" s="26">
        <f>ItensPedido!E3097</f>
        <v/>
      </c>
      <c r="F3097" s="25">
        <f>IFERROR(INDEX(Pedidos!$B$2:$B$1801,MATCH(B3097,Pedidos!$A$2:$A$1801,0)),0)</f>
        <v/>
      </c>
      <c r="G3097" s="25">
        <f>IF(F3097=0,"",YEAR(F3097))</f>
        <v/>
      </c>
      <c r="H3097" s="25">
        <f>IF(F3097=0,"",MONTH(F3097))</f>
        <v/>
      </c>
      <c r="I3097" s="25">
        <f>IFERROR(INDEX(Pedidos!$E$2:$E$1801,MATCH(B3097,Pedidos!$A$2:$A$1801,0)),"")</f>
        <v/>
      </c>
      <c r="J3097" s="25">
        <f>IFERROR(INDEX(Pedidos!$C$2:$C$1801,MATCH(B3097,Pedidos!$A$2:$A$1801,0)),"")</f>
        <v/>
      </c>
      <c r="K3097" s="25">
        <f>IFERROR(INDEX(Pedidos!$D$2:$D$1801,MATCH(B3097,Pedidos!$A$2:$A$1801,0)),"")</f>
        <v/>
      </c>
      <c r="L3097" s="25">
        <f>IFERROR(INDEX(Pedidos!$F$2:$F$1801,MATCH(B3097,Pedidos!$A$2:$A$1801,0)),"")</f>
        <v/>
      </c>
      <c r="M3097" s="26">
        <f>IFERROR(INDEX(Pedidos!$G$2:$G$1801,MATCH(B3097,Pedidos!$A$2:$A$1801,0)),0)</f>
        <v/>
      </c>
      <c r="N3097" s="25">
        <f>IFERROR(INDEX(Produtos!$B$2:$B$71,MATCH(C3097,Produtos!$A$2:$A$71,0)),"")</f>
        <v/>
      </c>
      <c r="O3097" s="25">
        <f>IFERROR(INDEX(Produtos!$C$2:$C$71,MATCH(C3097,Produtos!$A$2:$A$71,0)),"")</f>
        <v/>
      </c>
      <c r="P3097" s="25">
        <f>IFERROR(INDEX(Produtos!$D$2:$D$71,MATCH(C3097,Produtos!$A$2:$A$71,0)),0)</f>
        <v/>
      </c>
      <c r="Q3097" s="25">
        <f>IFERROR(INDEX(Produtos!$E$2:$E$71,MATCH(C3097,Produtos!$A$2:$A$71,0)),0)</f>
        <v/>
      </c>
      <c r="R3097" s="27">
        <f>D3097*Q3097</f>
        <v/>
      </c>
      <c r="S3097" s="27">
        <f>R3097*E3097</f>
        <v/>
      </c>
      <c r="T3097" s="27">
        <f>(R3097-S3097)*M3097</f>
        <v/>
      </c>
      <c r="U3097" s="27">
        <f>R3097-S3097-T3097</f>
        <v/>
      </c>
      <c r="V3097" s="27">
        <f>D3097*P3097</f>
        <v/>
      </c>
      <c r="W3097" s="27">
        <f>U3097-V3097</f>
        <v/>
      </c>
      <c r="X3097" s="28">
        <f>IFERROR(W3097/U3097,0)</f>
        <v/>
      </c>
    </row>
    <row r="3098">
      <c r="A3098" s="21">
        <f>ItensPedido!A3098</f>
        <v/>
      </c>
      <c r="B3098" s="21">
        <f>ItensPedido!B3098</f>
        <v/>
      </c>
      <c r="C3098" s="21">
        <f>ItensPedido!C3098</f>
        <v/>
      </c>
      <c r="D3098" s="21">
        <f>ItensPedido!D3098</f>
        <v/>
      </c>
      <c r="E3098" s="22">
        <f>ItensPedido!E3098</f>
        <v/>
      </c>
      <c r="F3098" s="21">
        <f>IFERROR(INDEX(Pedidos!$B$2:$B$1801,MATCH(B3098,Pedidos!$A$2:$A$1801,0)),0)</f>
        <v/>
      </c>
      <c r="G3098" s="21">
        <f>IF(F3098=0,"",YEAR(F3098))</f>
        <v/>
      </c>
      <c r="H3098" s="21">
        <f>IF(F3098=0,"",MONTH(F3098))</f>
        <v/>
      </c>
      <c r="I3098" s="21">
        <f>IFERROR(INDEX(Pedidos!$E$2:$E$1801,MATCH(B3098,Pedidos!$A$2:$A$1801,0)),"")</f>
        <v/>
      </c>
      <c r="J3098" s="21">
        <f>IFERROR(INDEX(Pedidos!$C$2:$C$1801,MATCH(B3098,Pedidos!$A$2:$A$1801,0)),"")</f>
        <v/>
      </c>
      <c r="K3098" s="21">
        <f>IFERROR(INDEX(Pedidos!$D$2:$D$1801,MATCH(B3098,Pedidos!$A$2:$A$1801,0)),"")</f>
        <v/>
      </c>
      <c r="L3098" s="21">
        <f>IFERROR(INDEX(Pedidos!$F$2:$F$1801,MATCH(B3098,Pedidos!$A$2:$A$1801,0)),"")</f>
        <v/>
      </c>
      <c r="M3098" s="22">
        <f>IFERROR(INDEX(Pedidos!$G$2:$G$1801,MATCH(B3098,Pedidos!$A$2:$A$1801,0)),0)</f>
        <v/>
      </c>
      <c r="N3098" s="21">
        <f>IFERROR(INDEX(Produtos!$B$2:$B$71,MATCH(C3098,Produtos!$A$2:$A$71,0)),"")</f>
        <v/>
      </c>
      <c r="O3098" s="21">
        <f>IFERROR(INDEX(Produtos!$C$2:$C$71,MATCH(C3098,Produtos!$A$2:$A$71,0)),"")</f>
        <v/>
      </c>
      <c r="P3098" s="21">
        <f>IFERROR(INDEX(Produtos!$D$2:$D$71,MATCH(C3098,Produtos!$A$2:$A$71,0)),0)</f>
        <v/>
      </c>
      <c r="Q3098" s="21">
        <f>IFERROR(INDEX(Produtos!$E$2:$E$71,MATCH(C3098,Produtos!$A$2:$A$71,0)),0)</f>
        <v/>
      </c>
      <c r="R3098" s="23">
        <f>D3098*Q3098</f>
        <v/>
      </c>
      <c r="S3098" s="23">
        <f>R3098*E3098</f>
        <v/>
      </c>
      <c r="T3098" s="23">
        <f>(R3098-S3098)*M3098</f>
        <v/>
      </c>
      <c r="U3098" s="23">
        <f>R3098-S3098-T3098</f>
        <v/>
      </c>
      <c r="V3098" s="23">
        <f>D3098*P3098</f>
        <v/>
      </c>
      <c r="W3098" s="23">
        <f>U3098-V3098</f>
        <v/>
      </c>
      <c r="X3098" s="24">
        <f>IFERROR(W3098/U3098,0)</f>
        <v/>
      </c>
    </row>
    <row r="3099">
      <c r="A3099" s="25">
        <f>ItensPedido!A3099</f>
        <v/>
      </c>
      <c r="B3099" s="25">
        <f>ItensPedido!B3099</f>
        <v/>
      </c>
      <c r="C3099" s="25">
        <f>ItensPedido!C3099</f>
        <v/>
      </c>
      <c r="D3099" s="25">
        <f>ItensPedido!D3099</f>
        <v/>
      </c>
      <c r="E3099" s="26">
        <f>ItensPedido!E3099</f>
        <v/>
      </c>
      <c r="F3099" s="25">
        <f>IFERROR(INDEX(Pedidos!$B$2:$B$1801,MATCH(B3099,Pedidos!$A$2:$A$1801,0)),0)</f>
        <v/>
      </c>
      <c r="G3099" s="25">
        <f>IF(F3099=0,"",YEAR(F3099))</f>
        <v/>
      </c>
      <c r="H3099" s="25">
        <f>IF(F3099=0,"",MONTH(F3099))</f>
        <v/>
      </c>
      <c r="I3099" s="25">
        <f>IFERROR(INDEX(Pedidos!$E$2:$E$1801,MATCH(B3099,Pedidos!$A$2:$A$1801,0)),"")</f>
        <v/>
      </c>
      <c r="J3099" s="25">
        <f>IFERROR(INDEX(Pedidos!$C$2:$C$1801,MATCH(B3099,Pedidos!$A$2:$A$1801,0)),"")</f>
        <v/>
      </c>
      <c r="K3099" s="25">
        <f>IFERROR(INDEX(Pedidos!$D$2:$D$1801,MATCH(B3099,Pedidos!$A$2:$A$1801,0)),"")</f>
        <v/>
      </c>
      <c r="L3099" s="25">
        <f>IFERROR(INDEX(Pedidos!$F$2:$F$1801,MATCH(B3099,Pedidos!$A$2:$A$1801,0)),"")</f>
        <v/>
      </c>
      <c r="M3099" s="26">
        <f>IFERROR(INDEX(Pedidos!$G$2:$G$1801,MATCH(B3099,Pedidos!$A$2:$A$1801,0)),0)</f>
        <v/>
      </c>
      <c r="N3099" s="25">
        <f>IFERROR(INDEX(Produtos!$B$2:$B$71,MATCH(C3099,Produtos!$A$2:$A$71,0)),"")</f>
        <v/>
      </c>
      <c r="O3099" s="25">
        <f>IFERROR(INDEX(Produtos!$C$2:$C$71,MATCH(C3099,Produtos!$A$2:$A$71,0)),"")</f>
        <v/>
      </c>
      <c r="P3099" s="25">
        <f>IFERROR(INDEX(Produtos!$D$2:$D$71,MATCH(C3099,Produtos!$A$2:$A$71,0)),0)</f>
        <v/>
      </c>
      <c r="Q3099" s="25">
        <f>IFERROR(INDEX(Produtos!$E$2:$E$71,MATCH(C3099,Produtos!$A$2:$A$71,0)),0)</f>
        <v/>
      </c>
      <c r="R3099" s="27">
        <f>D3099*Q3099</f>
        <v/>
      </c>
      <c r="S3099" s="27">
        <f>R3099*E3099</f>
        <v/>
      </c>
      <c r="T3099" s="27">
        <f>(R3099-S3099)*M3099</f>
        <v/>
      </c>
      <c r="U3099" s="27">
        <f>R3099-S3099-T3099</f>
        <v/>
      </c>
      <c r="V3099" s="27">
        <f>D3099*P3099</f>
        <v/>
      </c>
      <c r="W3099" s="27">
        <f>U3099-V3099</f>
        <v/>
      </c>
      <c r="X3099" s="28">
        <f>IFERROR(W3099/U3099,0)</f>
        <v/>
      </c>
    </row>
    <row r="3100">
      <c r="A3100" s="21">
        <f>ItensPedido!A3100</f>
        <v/>
      </c>
      <c r="B3100" s="21">
        <f>ItensPedido!B3100</f>
        <v/>
      </c>
      <c r="C3100" s="21">
        <f>ItensPedido!C3100</f>
        <v/>
      </c>
      <c r="D3100" s="21">
        <f>ItensPedido!D3100</f>
        <v/>
      </c>
      <c r="E3100" s="22">
        <f>ItensPedido!E3100</f>
        <v/>
      </c>
      <c r="F3100" s="21">
        <f>IFERROR(INDEX(Pedidos!$B$2:$B$1801,MATCH(B3100,Pedidos!$A$2:$A$1801,0)),0)</f>
        <v/>
      </c>
      <c r="G3100" s="21">
        <f>IF(F3100=0,"",YEAR(F3100))</f>
        <v/>
      </c>
      <c r="H3100" s="21">
        <f>IF(F3100=0,"",MONTH(F3100))</f>
        <v/>
      </c>
      <c r="I3100" s="21">
        <f>IFERROR(INDEX(Pedidos!$E$2:$E$1801,MATCH(B3100,Pedidos!$A$2:$A$1801,0)),"")</f>
        <v/>
      </c>
      <c r="J3100" s="21">
        <f>IFERROR(INDEX(Pedidos!$C$2:$C$1801,MATCH(B3100,Pedidos!$A$2:$A$1801,0)),"")</f>
        <v/>
      </c>
      <c r="K3100" s="21">
        <f>IFERROR(INDEX(Pedidos!$D$2:$D$1801,MATCH(B3100,Pedidos!$A$2:$A$1801,0)),"")</f>
        <v/>
      </c>
      <c r="L3100" s="21">
        <f>IFERROR(INDEX(Pedidos!$F$2:$F$1801,MATCH(B3100,Pedidos!$A$2:$A$1801,0)),"")</f>
        <v/>
      </c>
      <c r="M3100" s="22">
        <f>IFERROR(INDEX(Pedidos!$G$2:$G$1801,MATCH(B3100,Pedidos!$A$2:$A$1801,0)),0)</f>
        <v/>
      </c>
      <c r="N3100" s="21">
        <f>IFERROR(INDEX(Produtos!$B$2:$B$71,MATCH(C3100,Produtos!$A$2:$A$71,0)),"")</f>
        <v/>
      </c>
      <c r="O3100" s="21">
        <f>IFERROR(INDEX(Produtos!$C$2:$C$71,MATCH(C3100,Produtos!$A$2:$A$71,0)),"")</f>
        <v/>
      </c>
      <c r="P3100" s="21">
        <f>IFERROR(INDEX(Produtos!$D$2:$D$71,MATCH(C3100,Produtos!$A$2:$A$71,0)),0)</f>
        <v/>
      </c>
      <c r="Q3100" s="21">
        <f>IFERROR(INDEX(Produtos!$E$2:$E$71,MATCH(C3100,Produtos!$A$2:$A$71,0)),0)</f>
        <v/>
      </c>
      <c r="R3100" s="23">
        <f>D3100*Q3100</f>
        <v/>
      </c>
      <c r="S3100" s="23">
        <f>R3100*E3100</f>
        <v/>
      </c>
      <c r="T3100" s="23">
        <f>(R3100-S3100)*M3100</f>
        <v/>
      </c>
      <c r="U3100" s="23">
        <f>R3100-S3100-T3100</f>
        <v/>
      </c>
      <c r="V3100" s="23">
        <f>D3100*P3100</f>
        <v/>
      </c>
      <c r="W3100" s="23">
        <f>U3100-V3100</f>
        <v/>
      </c>
      <c r="X3100" s="24">
        <f>IFERROR(W3100/U3100,0)</f>
        <v/>
      </c>
    </row>
    <row r="3101">
      <c r="A3101" s="25">
        <f>ItensPedido!A3101</f>
        <v/>
      </c>
      <c r="B3101" s="25">
        <f>ItensPedido!B3101</f>
        <v/>
      </c>
      <c r="C3101" s="25">
        <f>ItensPedido!C3101</f>
        <v/>
      </c>
      <c r="D3101" s="25">
        <f>ItensPedido!D3101</f>
        <v/>
      </c>
      <c r="E3101" s="26">
        <f>ItensPedido!E3101</f>
        <v/>
      </c>
      <c r="F3101" s="25">
        <f>IFERROR(INDEX(Pedidos!$B$2:$B$1801,MATCH(B3101,Pedidos!$A$2:$A$1801,0)),0)</f>
        <v/>
      </c>
      <c r="G3101" s="25">
        <f>IF(F3101=0,"",YEAR(F3101))</f>
        <v/>
      </c>
      <c r="H3101" s="25">
        <f>IF(F3101=0,"",MONTH(F3101))</f>
        <v/>
      </c>
      <c r="I3101" s="25">
        <f>IFERROR(INDEX(Pedidos!$E$2:$E$1801,MATCH(B3101,Pedidos!$A$2:$A$1801,0)),"")</f>
        <v/>
      </c>
      <c r="J3101" s="25">
        <f>IFERROR(INDEX(Pedidos!$C$2:$C$1801,MATCH(B3101,Pedidos!$A$2:$A$1801,0)),"")</f>
        <v/>
      </c>
      <c r="K3101" s="25">
        <f>IFERROR(INDEX(Pedidos!$D$2:$D$1801,MATCH(B3101,Pedidos!$A$2:$A$1801,0)),"")</f>
        <v/>
      </c>
      <c r="L3101" s="25">
        <f>IFERROR(INDEX(Pedidos!$F$2:$F$1801,MATCH(B3101,Pedidos!$A$2:$A$1801,0)),"")</f>
        <v/>
      </c>
      <c r="M3101" s="26">
        <f>IFERROR(INDEX(Pedidos!$G$2:$G$1801,MATCH(B3101,Pedidos!$A$2:$A$1801,0)),0)</f>
        <v/>
      </c>
      <c r="N3101" s="25">
        <f>IFERROR(INDEX(Produtos!$B$2:$B$71,MATCH(C3101,Produtos!$A$2:$A$71,0)),"")</f>
        <v/>
      </c>
      <c r="O3101" s="25">
        <f>IFERROR(INDEX(Produtos!$C$2:$C$71,MATCH(C3101,Produtos!$A$2:$A$71,0)),"")</f>
        <v/>
      </c>
      <c r="P3101" s="25">
        <f>IFERROR(INDEX(Produtos!$D$2:$D$71,MATCH(C3101,Produtos!$A$2:$A$71,0)),0)</f>
        <v/>
      </c>
      <c r="Q3101" s="25">
        <f>IFERROR(INDEX(Produtos!$E$2:$E$71,MATCH(C3101,Produtos!$A$2:$A$71,0)),0)</f>
        <v/>
      </c>
      <c r="R3101" s="27">
        <f>D3101*Q3101</f>
        <v/>
      </c>
      <c r="S3101" s="27">
        <f>R3101*E3101</f>
        <v/>
      </c>
      <c r="T3101" s="27">
        <f>(R3101-S3101)*M3101</f>
        <v/>
      </c>
      <c r="U3101" s="27">
        <f>R3101-S3101-T3101</f>
        <v/>
      </c>
      <c r="V3101" s="27">
        <f>D3101*P3101</f>
        <v/>
      </c>
      <c r="W3101" s="27">
        <f>U3101-V3101</f>
        <v/>
      </c>
      <c r="X3101" s="28">
        <f>IFERROR(W3101/U3101,0)</f>
        <v/>
      </c>
    </row>
    <row r="3102">
      <c r="A3102" s="21">
        <f>ItensPedido!A3102</f>
        <v/>
      </c>
      <c r="B3102" s="21">
        <f>ItensPedido!B3102</f>
        <v/>
      </c>
      <c r="C3102" s="21">
        <f>ItensPedido!C3102</f>
        <v/>
      </c>
      <c r="D3102" s="21">
        <f>ItensPedido!D3102</f>
        <v/>
      </c>
      <c r="E3102" s="22">
        <f>ItensPedido!E3102</f>
        <v/>
      </c>
      <c r="F3102" s="21">
        <f>IFERROR(INDEX(Pedidos!$B$2:$B$1801,MATCH(B3102,Pedidos!$A$2:$A$1801,0)),0)</f>
        <v/>
      </c>
      <c r="G3102" s="21">
        <f>IF(F3102=0,"",YEAR(F3102))</f>
        <v/>
      </c>
      <c r="H3102" s="21">
        <f>IF(F3102=0,"",MONTH(F3102))</f>
        <v/>
      </c>
      <c r="I3102" s="21">
        <f>IFERROR(INDEX(Pedidos!$E$2:$E$1801,MATCH(B3102,Pedidos!$A$2:$A$1801,0)),"")</f>
        <v/>
      </c>
      <c r="J3102" s="21">
        <f>IFERROR(INDEX(Pedidos!$C$2:$C$1801,MATCH(B3102,Pedidos!$A$2:$A$1801,0)),"")</f>
        <v/>
      </c>
      <c r="K3102" s="21">
        <f>IFERROR(INDEX(Pedidos!$D$2:$D$1801,MATCH(B3102,Pedidos!$A$2:$A$1801,0)),"")</f>
        <v/>
      </c>
      <c r="L3102" s="21">
        <f>IFERROR(INDEX(Pedidos!$F$2:$F$1801,MATCH(B3102,Pedidos!$A$2:$A$1801,0)),"")</f>
        <v/>
      </c>
      <c r="M3102" s="22">
        <f>IFERROR(INDEX(Pedidos!$G$2:$G$1801,MATCH(B3102,Pedidos!$A$2:$A$1801,0)),0)</f>
        <v/>
      </c>
      <c r="N3102" s="21">
        <f>IFERROR(INDEX(Produtos!$B$2:$B$71,MATCH(C3102,Produtos!$A$2:$A$71,0)),"")</f>
        <v/>
      </c>
      <c r="O3102" s="21">
        <f>IFERROR(INDEX(Produtos!$C$2:$C$71,MATCH(C3102,Produtos!$A$2:$A$71,0)),"")</f>
        <v/>
      </c>
      <c r="P3102" s="21">
        <f>IFERROR(INDEX(Produtos!$D$2:$D$71,MATCH(C3102,Produtos!$A$2:$A$71,0)),0)</f>
        <v/>
      </c>
      <c r="Q3102" s="21">
        <f>IFERROR(INDEX(Produtos!$E$2:$E$71,MATCH(C3102,Produtos!$A$2:$A$71,0)),0)</f>
        <v/>
      </c>
      <c r="R3102" s="23">
        <f>D3102*Q3102</f>
        <v/>
      </c>
      <c r="S3102" s="23">
        <f>R3102*E3102</f>
        <v/>
      </c>
      <c r="T3102" s="23">
        <f>(R3102-S3102)*M3102</f>
        <v/>
      </c>
      <c r="U3102" s="23">
        <f>R3102-S3102-T3102</f>
        <v/>
      </c>
      <c r="V3102" s="23">
        <f>D3102*P3102</f>
        <v/>
      </c>
      <c r="W3102" s="23">
        <f>U3102-V3102</f>
        <v/>
      </c>
      <c r="X3102" s="24">
        <f>IFERROR(W3102/U3102,0)</f>
        <v/>
      </c>
    </row>
    <row r="3103">
      <c r="A3103" s="25">
        <f>ItensPedido!A3103</f>
        <v/>
      </c>
      <c r="B3103" s="25">
        <f>ItensPedido!B3103</f>
        <v/>
      </c>
      <c r="C3103" s="25">
        <f>ItensPedido!C3103</f>
        <v/>
      </c>
      <c r="D3103" s="25">
        <f>ItensPedido!D3103</f>
        <v/>
      </c>
      <c r="E3103" s="26">
        <f>ItensPedido!E3103</f>
        <v/>
      </c>
      <c r="F3103" s="25">
        <f>IFERROR(INDEX(Pedidos!$B$2:$B$1801,MATCH(B3103,Pedidos!$A$2:$A$1801,0)),0)</f>
        <v/>
      </c>
      <c r="G3103" s="25">
        <f>IF(F3103=0,"",YEAR(F3103))</f>
        <v/>
      </c>
      <c r="H3103" s="25">
        <f>IF(F3103=0,"",MONTH(F3103))</f>
        <v/>
      </c>
      <c r="I3103" s="25">
        <f>IFERROR(INDEX(Pedidos!$E$2:$E$1801,MATCH(B3103,Pedidos!$A$2:$A$1801,0)),"")</f>
        <v/>
      </c>
      <c r="J3103" s="25">
        <f>IFERROR(INDEX(Pedidos!$C$2:$C$1801,MATCH(B3103,Pedidos!$A$2:$A$1801,0)),"")</f>
        <v/>
      </c>
      <c r="K3103" s="25">
        <f>IFERROR(INDEX(Pedidos!$D$2:$D$1801,MATCH(B3103,Pedidos!$A$2:$A$1801,0)),"")</f>
        <v/>
      </c>
      <c r="L3103" s="25">
        <f>IFERROR(INDEX(Pedidos!$F$2:$F$1801,MATCH(B3103,Pedidos!$A$2:$A$1801,0)),"")</f>
        <v/>
      </c>
      <c r="M3103" s="26">
        <f>IFERROR(INDEX(Pedidos!$G$2:$G$1801,MATCH(B3103,Pedidos!$A$2:$A$1801,0)),0)</f>
        <v/>
      </c>
      <c r="N3103" s="25">
        <f>IFERROR(INDEX(Produtos!$B$2:$B$71,MATCH(C3103,Produtos!$A$2:$A$71,0)),"")</f>
        <v/>
      </c>
      <c r="O3103" s="25">
        <f>IFERROR(INDEX(Produtos!$C$2:$C$71,MATCH(C3103,Produtos!$A$2:$A$71,0)),"")</f>
        <v/>
      </c>
      <c r="P3103" s="25">
        <f>IFERROR(INDEX(Produtos!$D$2:$D$71,MATCH(C3103,Produtos!$A$2:$A$71,0)),0)</f>
        <v/>
      </c>
      <c r="Q3103" s="25">
        <f>IFERROR(INDEX(Produtos!$E$2:$E$71,MATCH(C3103,Produtos!$A$2:$A$71,0)),0)</f>
        <v/>
      </c>
      <c r="R3103" s="27">
        <f>D3103*Q3103</f>
        <v/>
      </c>
      <c r="S3103" s="27">
        <f>R3103*E3103</f>
        <v/>
      </c>
      <c r="T3103" s="27">
        <f>(R3103-S3103)*M3103</f>
        <v/>
      </c>
      <c r="U3103" s="27">
        <f>R3103-S3103-T3103</f>
        <v/>
      </c>
      <c r="V3103" s="27">
        <f>D3103*P3103</f>
        <v/>
      </c>
      <c r="W3103" s="27">
        <f>U3103-V3103</f>
        <v/>
      </c>
      <c r="X3103" s="28">
        <f>IFERROR(W3103/U3103,0)</f>
        <v/>
      </c>
    </row>
    <row r="3104">
      <c r="A3104" s="21">
        <f>ItensPedido!A3104</f>
        <v/>
      </c>
      <c r="B3104" s="21">
        <f>ItensPedido!B3104</f>
        <v/>
      </c>
      <c r="C3104" s="21">
        <f>ItensPedido!C3104</f>
        <v/>
      </c>
      <c r="D3104" s="21">
        <f>ItensPedido!D3104</f>
        <v/>
      </c>
      <c r="E3104" s="22">
        <f>ItensPedido!E3104</f>
        <v/>
      </c>
      <c r="F3104" s="21">
        <f>IFERROR(INDEX(Pedidos!$B$2:$B$1801,MATCH(B3104,Pedidos!$A$2:$A$1801,0)),0)</f>
        <v/>
      </c>
      <c r="G3104" s="21">
        <f>IF(F3104=0,"",YEAR(F3104))</f>
        <v/>
      </c>
      <c r="H3104" s="21">
        <f>IF(F3104=0,"",MONTH(F3104))</f>
        <v/>
      </c>
      <c r="I3104" s="21">
        <f>IFERROR(INDEX(Pedidos!$E$2:$E$1801,MATCH(B3104,Pedidos!$A$2:$A$1801,0)),"")</f>
        <v/>
      </c>
      <c r="J3104" s="21">
        <f>IFERROR(INDEX(Pedidos!$C$2:$C$1801,MATCH(B3104,Pedidos!$A$2:$A$1801,0)),"")</f>
        <v/>
      </c>
      <c r="K3104" s="21">
        <f>IFERROR(INDEX(Pedidos!$D$2:$D$1801,MATCH(B3104,Pedidos!$A$2:$A$1801,0)),"")</f>
        <v/>
      </c>
      <c r="L3104" s="21">
        <f>IFERROR(INDEX(Pedidos!$F$2:$F$1801,MATCH(B3104,Pedidos!$A$2:$A$1801,0)),"")</f>
        <v/>
      </c>
      <c r="M3104" s="22">
        <f>IFERROR(INDEX(Pedidos!$G$2:$G$1801,MATCH(B3104,Pedidos!$A$2:$A$1801,0)),0)</f>
        <v/>
      </c>
      <c r="N3104" s="21">
        <f>IFERROR(INDEX(Produtos!$B$2:$B$71,MATCH(C3104,Produtos!$A$2:$A$71,0)),"")</f>
        <v/>
      </c>
      <c r="O3104" s="21">
        <f>IFERROR(INDEX(Produtos!$C$2:$C$71,MATCH(C3104,Produtos!$A$2:$A$71,0)),"")</f>
        <v/>
      </c>
      <c r="P3104" s="21">
        <f>IFERROR(INDEX(Produtos!$D$2:$D$71,MATCH(C3104,Produtos!$A$2:$A$71,0)),0)</f>
        <v/>
      </c>
      <c r="Q3104" s="21">
        <f>IFERROR(INDEX(Produtos!$E$2:$E$71,MATCH(C3104,Produtos!$A$2:$A$71,0)),0)</f>
        <v/>
      </c>
      <c r="R3104" s="23">
        <f>D3104*Q3104</f>
        <v/>
      </c>
      <c r="S3104" s="23">
        <f>R3104*E3104</f>
        <v/>
      </c>
      <c r="T3104" s="23">
        <f>(R3104-S3104)*M3104</f>
        <v/>
      </c>
      <c r="U3104" s="23">
        <f>R3104-S3104-T3104</f>
        <v/>
      </c>
      <c r="V3104" s="23">
        <f>D3104*P3104</f>
        <v/>
      </c>
      <c r="W3104" s="23">
        <f>U3104-V3104</f>
        <v/>
      </c>
      <c r="X3104" s="24">
        <f>IFERROR(W3104/U3104,0)</f>
        <v/>
      </c>
    </row>
    <row r="3105">
      <c r="A3105" s="25">
        <f>ItensPedido!A3105</f>
        <v/>
      </c>
      <c r="B3105" s="25">
        <f>ItensPedido!B3105</f>
        <v/>
      </c>
      <c r="C3105" s="25">
        <f>ItensPedido!C3105</f>
        <v/>
      </c>
      <c r="D3105" s="25">
        <f>ItensPedido!D3105</f>
        <v/>
      </c>
      <c r="E3105" s="26">
        <f>ItensPedido!E3105</f>
        <v/>
      </c>
      <c r="F3105" s="25">
        <f>IFERROR(INDEX(Pedidos!$B$2:$B$1801,MATCH(B3105,Pedidos!$A$2:$A$1801,0)),0)</f>
        <v/>
      </c>
      <c r="G3105" s="25">
        <f>IF(F3105=0,"",YEAR(F3105))</f>
        <v/>
      </c>
      <c r="H3105" s="25">
        <f>IF(F3105=0,"",MONTH(F3105))</f>
        <v/>
      </c>
      <c r="I3105" s="25">
        <f>IFERROR(INDEX(Pedidos!$E$2:$E$1801,MATCH(B3105,Pedidos!$A$2:$A$1801,0)),"")</f>
        <v/>
      </c>
      <c r="J3105" s="25">
        <f>IFERROR(INDEX(Pedidos!$C$2:$C$1801,MATCH(B3105,Pedidos!$A$2:$A$1801,0)),"")</f>
        <v/>
      </c>
      <c r="K3105" s="25">
        <f>IFERROR(INDEX(Pedidos!$D$2:$D$1801,MATCH(B3105,Pedidos!$A$2:$A$1801,0)),"")</f>
        <v/>
      </c>
      <c r="L3105" s="25">
        <f>IFERROR(INDEX(Pedidos!$F$2:$F$1801,MATCH(B3105,Pedidos!$A$2:$A$1801,0)),"")</f>
        <v/>
      </c>
      <c r="M3105" s="26">
        <f>IFERROR(INDEX(Pedidos!$G$2:$G$1801,MATCH(B3105,Pedidos!$A$2:$A$1801,0)),0)</f>
        <v/>
      </c>
      <c r="N3105" s="25">
        <f>IFERROR(INDEX(Produtos!$B$2:$B$71,MATCH(C3105,Produtos!$A$2:$A$71,0)),"")</f>
        <v/>
      </c>
      <c r="O3105" s="25">
        <f>IFERROR(INDEX(Produtos!$C$2:$C$71,MATCH(C3105,Produtos!$A$2:$A$71,0)),"")</f>
        <v/>
      </c>
      <c r="P3105" s="25">
        <f>IFERROR(INDEX(Produtos!$D$2:$D$71,MATCH(C3105,Produtos!$A$2:$A$71,0)),0)</f>
        <v/>
      </c>
      <c r="Q3105" s="25">
        <f>IFERROR(INDEX(Produtos!$E$2:$E$71,MATCH(C3105,Produtos!$A$2:$A$71,0)),0)</f>
        <v/>
      </c>
      <c r="R3105" s="27">
        <f>D3105*Q3105</f>
        <v/>
      </c>
      <c r="S3105" s="27">
        <f>R3105*E3105</f>
        <v/>
      </c>
      <c r="T3105" s="27">
        <f>(R3105-S3105)*M3105</f>
        <v/>
      </c>
      <c r="U3105" s="27">
        <f>R3105-S3105-T3105</f>
        <v/>
      </c>
      <c r="V3105" s="27">
        <f>D3105*P3105</f>
        <v/>
      </c>
      <c r="W3105" s="27">
        <f>U3105-V3105</f>
        <v/>
      </c>
      <c r="X3105" s="28">
        <f>IFERROR(W3105/U3105,0)</f>
        <v/>
      </c>
    </row>
    <row r="3106">
      <c r="A3106" s="21">
        <f>ItensPedido!A3106</f>
        <v/>
      </c>
      <c r="B3106" s="21">
        <f>ItensPedido!B3106</f>
        <v/>
      </c>
      <c r="C3106" s="21">
        <f>ItensPedido!C3106</f>
        <v/>
      </c>
      <c r="D3106" s="21">
        <f>ItensPedido!D3106</f>
        <v/>
      </c>
      <c r="E3106" s="22">
        <f>ItensPedido!E3106</f>
        <v/>
      </c>
      <c r="F3106" s="21">
        <f>IFERROR(INDEX(Pedidos!$B$2:$B$1801,MATCH(B3106,Pedidos!$A$2:$A$1801,0)),0)</f>
        <v/>
      </c>
      <c r="G3106" s="21">
        <f>IF(F3106=0,"",YEAR(F3106))</f>
        <v/>
      </c>
      <c r="H3106" s="21">
        <f>IF(F3106=0,"",MONTH(F3106))</f>
        <v/>
      </c>
      <c r="I3106" s="21">
        <f>IFERROR(INDEX(Pedidos!$E$2:$E$1801,MATCH(B3106,Pedidos!$A$2:$A$1801,0)),"")</f>
        <v/>
      </c>
      <c r="J3106" s="21">
        <f>IFERROR(INDEX(Pedidos!$C$2:$C$1801,MATCH(B3106,Pedidos!$A$2:$A$1801,0)),"")</f>
        <v/>
      </c>
      <c r="K3106" s="21">
        <f>IFERROR(INDEX(Pedidos!$D$2:$D$1801,MATCH(B3106,Pedidos!$A$2:$A$1801,0)),"")</f>
        <v/>
      </c>
      <c r="L3106" s="21">
        <f>IFERROR(INDEX(Pedidos!$F$2:$F$1801,MATCH(B3106,Pedidos!$A$2:$A$1801,0)),"")</f>
        <v/>
      </c>
      <c r="M3106" s="22">
        <f>IFERROR(INDEX(Pedidos!$G$2:$G$1801,MATCH(B3106,Pedidos!$A$2:$A$1801,0)),0)</f>
        <v/>
      </c>
      <c r="N3106" s="21">
        <f>IFERROR(INDEX(Produtos!$B$2:$B$71,MATCH(C3106,Produtos!$A$2:$A$71,0)),"")</f>
        <v/>
      </c>
      <c r="O3106" s="21">
        <f>IFERROR(INDEX(Produtos!$C$2:$C$71,MATCH(C3106,Produtos!$A$2:$A$71,0)),"")</f>
        <v/>
      </c>
      <c r="P3106" s="21">
        <f>IFERROR(INDEX(Produtos!$D$2:$D$71,MATCH(C3106,Produtos!$A$2:$A$71,0)),0)</f>
        <v/>
      </c>
      <c r="Q3106" s="21">
        <f>IFERROR(INDEX(Produtos!$E$2:$E$71,MATCH(C3106,Produtos!$A$2:$A$71,0)),0)</f>
        <v/>
      </c>
      <c r="R3106" s="23">
        <f>D3106*Q3106</f>
        <v/>
      </c>
      <c r="S3106" s="23">
        <f>R3106*E3106</f>
        <v/>
      </c>
      <c r="T3106" s="23">
        <f>(R3106-S3106)*M3106</f>
        <v/>
      </c>
      <c r="U3106" s="23">
        <f>R3106-S3106-T3106</f>
        <v/>
      </c>
      <c r="V3106" s="23">
        <f>D3106*P3106</f>
        <v/>
      </c>
      <c r="W3106" s="23">
        <f>U3106-V3106</f>
        <v/>
      </c>
      <c r="X3106" s="24">
        <f>IFERROR(W3106/U3106,0)</f>
        <v/>
      </c>
    </row>
    <row r="3107">
      <c r="A3107" s="25">
        <f>ItensPedido!A3107</f>
        <v/>
      </c>
      <c r="B3107" s="25">
        <f>ItensPedido!B3107</f>
        <v/>
      </c>
      <c r="C3107" s="25">
        <f>ItensPedido!C3107</f>
        <v/>
      </c>
      <c r="D3107" s="25">
        <f>ItensPedido!D3107</f>
        <v/>
      </c>
      <c r="E3107" s="26">
        <f>ItensPedido!E3107</f>
        <v/>
      </c>
      <c r="F3107" s="25">
        <f>IFERROR(INDEX(Pedidos!$B$2:$B$1801,MATCH(B3107,Pedidos!$A$2:$A$1801,0)),0)</f>
        <v/>
      </c>
      <c r="G3107" s="25">
        <f>IF(F3107=0,"",YEAR(F3107))</f>
        <v/>
      </c>
      <c r="H3107" s="25">
        <f>IF(F3107=0,"",MONTH(F3107))</f>
        <v/>
      </c>
      <c r="I3107" s="25">
        <f>IFERROR(INDEX(Pedidos!$E$2:$E$1801,MATCH(B3107,Pedidos!$A$2:$A$1801,0)),"")</f>
        <v/>
      </c>
      <c r="J3107" s="25">
        <f>IFERROR(INDEX(Pedidos!$C$2:$C$1801,MATCH(B3107,Pedidos!$A$2:$A$1801,0)),"")</f>
        <v/>
      </c>
      <c r="K3107" s="25">
        <f>IFERROR(INDEX(Pedidos!$D$2:$D$1801,MATCH(B3107,Pedidos!$A$2:$A$1801,0)),"")</f>
        <v/>
      </c>
      <c r="L3107" s="25">
        <f>IFERROR(INDEX(Pedidos!$F$2:$F$1801,MATCH(B3107,Pedidos!$A$2:$A$1801,0)),"")</f>
        <v/>
      </c>
      <c r="M3107" s="26">
        <f>IFERROR(INDEX(Pedidos!$G$2:$G$1801,MATCH(B3107,Pedidos!$A$2:$A$1801,0)),0)</f>
        <v/>
      </c>
      <c r="N3107" s="25">
        <f>IFERROR(INDEX(Produtos!$B$2:$B$71,MATCH(C3107,Produtos!$A$2:$A$71,0)),"")</f>
        <v/>
      </c>
      <c r="O3107" s="25">
        <f>IFERROR(INDEX(Produtos!$C$2:$C$71,MATCH(C3107,Produtos!$A$2:$A$71,0)),"")</f>
        <v/>
      </c>
      <c r="P3107" s="25">
        <f>IFERROR(INDEX(Produtos!$D$2:$D$71,MATCH(C3107,Produtos!$A$2:$A$71,0)),0)</f>
        <v/>
      </c>
      <c r="Q3107" s="25">
        <f>IFERROR(INDEX(Produtos!$E$2:$E$71,MATCH(C3107,Produtos!$A$2:$A$71,0)),0)</f>
        <v/>
      </c>
      <c r="R3107" s="27">
        <f>D3107*Q3107</f>
        <v/>
      </c>
      <c r="S3107" s="27">
        <f>R3107*E3107</f>
        <v/>
      </c>
      <c r="T3107" s="27">
        <f>(R3107-S3107)*M3107</f>
        <v/>
      </c>
      <c r="U3107" s="27">
        <f>R3107-S3107-T3107</f>
        <v/>
      </c>
      <c r="V3107" s="27">
        <f>D3107*P3107</f>
        <v/>
      </c>
      <c r="W3107" s="27">
        <f>U3107-V3107</f>
        <v/>
      </c>
      <c r="X3107" s="28">
        <f>IFERROR(W3107/U3107,0)</f>
        <v/>
      </c>
    </row>
    <row r="3108">
      <c r="A3108" s="21">
        <f>ItensPedido!A3108</f>
        <v/>
      </c>
      <c r="B3108" s="21">
        <f>ItensPedido!B3108</f>
        <v/>
      </c>
      <c r="C3108" s="21">
        <f>ItensPedido!C3108</f>
        <v/>
      </c>
      <c r="D3108" s="21">
        <f>ItensPedido!D3108</f>
        <v/>
      </c>
      <c r="E3108" s="22">
        <f>ItensPedido!E3108</f>
        <v/>
      </c>
      <c r="F3108" s="21">
        <f>IFERROR(INDEX(Pedidos!$B$2:$B$1801,MATCH(B3108,Pedidos!$A$2:$A$1801,0)),0)</f>
        <v/>
      </c>
      <c r="G3108" s="21">
        <f>IF(F3108=0,"",YEAR(F3108))</f>
        <v/>
      </c>
      <c r="H3108" s="21">
        <f>IF(F3108=0,"",MONTH(F3108))</f>
        <v/>
      </c>
      <c r="I3108" s="21">
        <f>IFERROR(INDEX(Pedidos!$E$2:$E$1801,MATCH(B3108,Pedidos!$A$2:$A$1801,0)),"")</f>
        <v/>
      </c>
      <c r="J3108" s="21">
        <f>IFERROR(INDEX(Pedidos!$C$2:$C$1801,MATCH(B3108,Pedidos!$A$2:$A$1801,0)),"")</f>
        <v/>
      </c>
      <c r="K3108" s="21">
        <f>IFERROR(INDEX(Pedidos!$D$2:$D$1801,MATCH(B3108,Pedidos!$A$2:$A$1801,0)),"")</f>
        <v/>
      </c>
      <c r="L3108" s="21">
        <f>IFERROR(INDEX(Pedidos!$F$2:$F$1801,MATCH(B3108,Pedidos!$A$2:$A$1801,0)),"")</f>
        <v/>
      </c>
      <c r="M3108" s="22">
        <f>IFERROR(INDEX(Pedidos!$G$2:$G$1801,MATCH(B3108,Pedidos!$A$2:$A$1801,0)),0)</f>
        <v/>
      </c>
      <c r="N3108" s="21">
        <f>IFERROR(INDEX(Produtos!$B$2:$B$71,MATCH(C3108,Produtos!$A$2:$A$71,0)),"")</f>
        <v/>
      </c>
      <c r="O3108" s="21">
        <f>IFERROR(INDEX(Produtos!$C$2:$C$71,MATCH(C3108,Produtos!$A$2:$A$71,0)),"")</f>
        <v/>
      </c>
      <c r="P3108" s="21">
        <f>IFERROR(INDEX(Produtos!$D$2:$D$71,MATCH(C3108,Produtos!$A$2:$A$71,0)),0)</f>
        <v/>
      </c>
      <c r="Q3108" s="21">
        <f>IFERROR(INDEX(Produtos!$E$2:$E$71,MATCH(C3108,Produtos!$A$2:$A$71,0)),0)</f>
        <v/>
      </c>
      <c r="R3108" s="23">
        <f>D3108*Q3108</f>
        <v/>
      </c>
      <c r="S3108" s="23">
        <f>R3108*E3108</f>
        <v/>
      </c>
      <c r="T3108" s="23">
        <f>(R3108-S3108)*M3108</f>
        <v/>
      </c>
      <c r="U3108" s="23">
        <f>R3108-S3108-T3108</f>
        <v/>
      </c>
      <c r="V3108" s="23">
        <f>D3108*P3108</f>
        <v/>
      </c>
      <c r="W3108" s="23">
        <f>U3108-V3108</f>
        <v/>
      </c>
      <c r="X3108" s="24">
        <f>IFERROR(W3108/U3108,0)</f>
        <v/>
      </c>
    </row>
    <row r="3109">
      <c r="A3109" s="25">
        <f>ItensPedido!A3109</f>
        <v/>
      </c>
      <c r="B3109" s="25">
        <f>ItensPedido!B3109</f>
        <v/>
      </c>
      <c r="C3109" s="25">
        <f>ItensPedido!C3109</f>
        <v/>
      </c>
      <c r="D3109" s="25">
        <f>ItensPedido!D3109</f>
        <v/>
      </c>
      <c r="E3109" s="26">
        <f>ItensPedido!E3109</f>
        <v/>
      </c>
      <c r="F3109" s="25">
        <f>IFERROR(INDEX(Pedidos!$B$2:$B$1801,MATCH(B3109,Pedidos!$A$2:$A$1801,0)),0)</f>
        <v/>
      </c>
      <c r="G3109" s="25">
        <f>IF(F3109=0,"",YEAR(F3109))</f>
        <v/>
      </c>
      <c r="H3109" s="25">
        <f>IF(F3109=0,"",MONTH(F3109))</f>
        <v/>
      </c>
      <c r="I3109" s="25">
        <f>IFERROR(INDEX(Pedidos!$E$2:$E$1801,MATCH(B3109,Pedidos!$A$2:$A$1801,0)),"")</f>
        <v/>
      </c>
      <c r="J3109" s="25">
        <f>IFERROR(INDEX(Pedidos!$C$2:$C$1801,MATCH(B3109,Pedidos!$A$2:$A$1801,0)),"")</f>
        <v/>
      </c>
      <c r="K3109" s="25">
        <f>IFERROR(INDEX(Pedidos!$D$2:$D$1801,MATCH(B3109,Pedidos!$A$2:$A$1801,0)),"")</f>
        <v/>
      </c>
      <c r="L3109" s="25">
        <f>IFERROR(INDEX(Pedidos!$F$2:$F$1801,MATCH(B3109,Pedidos!$A$2:$A$1801,0)),"")</f>
        <v/>
      </c>
      <c r="M3109" s="26">
        <f>IFERROR(INDEX(Pedidos!$G$2:$G$1801,MATCH(B3109,Pedidos!$A$2:$A$1801,0)),0)</f>
        <v/>
      </c>
      <c r="N3109" s="25">
        <f>IFERROR(INDEX(Produtos!$B$2:$B$71,MATCH(C3109,Produtos!$A$2:$A$71,0)),"")</f>
        <v/>
      </c>
      <c r="O3109" s="25">
        <f>IFERROR(INDEX(Produtos!$C$2:$C$71,MATCH(C3109,Produtos!$A$2:$A$71,0)),"")</f>
        <v/>
      </c>
      <c r="P3109" s="25">
        <f>IFERROR(INDEX(Produtos!$D$2:$D$71,MATCH(C3109,Produtos!$A$2:$A$71,0)),0)</f>
        <v/>
      </c>
      <c r="Q3109" s="25">
        <f>IFERROR(INDEX(Produtos!$E$2:$E$71,MATCH(C3109,Produtos!$A$2:$A$71,0)),0)</f>
        <v/>
      </c>
      <c r="R3109" s="27">
        <f>D3109*Q3109</f>
        <v/>
      </c>
      <c r="S3109" s="27">
        <f>R3109*E3109</f>
        <v/>
      </c>
      <c r="T3109" s="27">
        <f>(R3109-S3109)*M3109</f>
        <v/>
      </c>
      <c r="U3109" s="27">
        <f>R3109-S3109-T3109</f>
        <v/>
      </c>
      <c r="V3109" s="27">
        <f>D3109*P3109</f>
        <v/>
      </c>
      <c r="W3109" s="27">
        <f>U3109-V3109</f>
        <v/>
      </c>
      <c r="X3109" s="28">
        <f>IFERROR(W3109/U3109,0)</f>
        <v/>
      </c>
    </row>
    <row r="3110">
      <c r="A3110" s="21">
        <f>ItensPedido!A3110</f>
        <v/>
      </c>
      <c r="B3110" s="21">
        <f>ItensPedido!B3110</f>
        <v/>
      </c>
      <c r="C3110" s="21">
        <f>ItensPedido!C3110</f>
        <v/>
      </c>
      <c r="D3110" s="21">
        <f>ItensPedido!D3110</f>
        <v/>
      </c>
      <c r="E3110" s="22">
        <f>ItensPedido!E3110</f>
        <v/>
      </c>
      <c r="F3110" s="21">
        <f>IFERROR(INDEX(Pedidos!$B$2:$B$1801,MATCH(B3110,Pedidos!$A$2:$A$1801,0)),0)</f>
        <v/>
      </c>
      <c r="G3110" s="21">
        <f>IF(F3110=0,"",YEAR(F3110))</f>
        <v/>
      </c>
      <c r="H3110" s="21">
        <f>IF(F3110=0,"",MONTH(F3110))</f>
        <v/>
      </c>
      <c r="I3110" s="21">
        <f>IFERROR(INDEX(Pedidos!$E$2:$E$1801,MATCH(B3110,Pedidos!$A$2:$A$1801,0)),"")</f>
        <v/>
      </c>
      <c r="J3110" s="21">
        <f>IFERROR(INDEX(Pedidos!$C$2:$C$1801,MATCH(B3110,Pedidos!$A$2:$A$1801,0)),"")</f>
        <v/>
      </c>
      <c r="K3110" s="21">
        <f>IFERROR(INDEX(Pedidos!$D$2:$D$1801,MATCH(B3110,Pedidos!$A$2:$A$1801,0)),"")</f>
        <v/>
      </c>
      <c r="L3110" s="21">
        <f>IFERROR(INDEX(Pedidos!$F$2:$F$1801,MATCH(B3110,Pedidos!$A$2:$A$1801,0)),"")</f>
        <v/>
      </c>
      <c r="M3110" s="22">
        <f>IFERROR(INDEX(Pedidos!$G$2:$G$1801,MATCH(B3110,Pedidos!$A$2:$A$1801,0)),0)</f>
        <v/>
      </c>
      <c r="N3110" s="21">
        <f>IFERROR(INDEX(Produtos!$B$2:$B$71,MATCH(C3110,Produtos!$A$2:$A$71,0)),"")</f>
        <v/>
      </c>
      <c r="O3110" s="21">
        <f>IFERROR(INDEX(Produtos!$C$2:$C$71,MATCH(C3110,Produtos!$A$2:$A$71,0)),"")</f>
        <v/>
      </c>
      <c r="P3110" s="21">
        <f>IFERROR(INDEX(Produtos!$D$2:$D$71,MATCH(C3110,Produtos!$A$2:$A$71,0)),0)</f>
        <v/>
      </c>
      <c r="Q3110" s="21">
        <f>IFERROR(INDEX(Produtos!$E$2:$E$71,MATCH(C3110,Produtos!$A$2:$A$71,0)),0)</f>
        <v/>
      </c>
      <c r="R3110" s="23">
        <f>D3110*Q3110</f>
        <v/>
      </c>
      <c r="S3110" s="23">
        <f>R3110*E3110</f>
        <v/>
      </c>
      <c r="T3110" s="23">
        <f>(R3110-S3110)*M3110</f>
        <v/>
      </c>
      <c r="U3110" s="23">
        <f>R3110-S3110-T3110</f>
        <v/>
      </c>
      <c r="V3110" s="23">
        <f>D3110*P3110</f>
        <v/>
      </c>
      <c r="W3110" s="23">
        <f>U3110-V3110</f>
        <v/>
      </c>
      <c r="X3110" s="24">
        <f>IFERROR(W3110/U3110,0)</f>
        <v/>
      </c>
    </row>
    <row r="3111">
      <c r="A3111" s="25">
        <f>ItensPedido!A3111</f>
        <v/>
      </c>
      <c r="B3111" s="25">
        <f>ItensPedido!B3111</f>
        <v/>
      </c>
      <c r="C3111" s="25">
        <f>ItensPedido!C3111</f>
        <v/>
      </c>
      <c r="D3111" s="25">
        <f>ItensPedido!D3111</f>
        <v/>
      </c>
      <c r="E3111" s="26">
        <f>ItensPedido!E3111</f>
        <v/>
      </c>
      <c r="F3111" s="25">
        <f>IFERROR(INDEX(Pedidos!$B$2:$B$1801,MATCH(B3111,Pedidos!$A$2:$A$1801,0)),0)</f>
        <v/>
      </c>
      <c r="G3111" s="25">
        <f>IF(F3111=0,"",YEAR(F3111))</f>
        <v/>
      </c>
      <c r="H3111" s="25">
        <f>IF(F3111=0,"",MONTH(F3111))</f>
        <v/>
      </c>
      <c r="I3111" s="25">
        <f>IFERROR(INDEX(Pedidos!$E$2:$E$1801,MATCH(B3111,Pedidos!$A$2:$A$1801,0)),"")</f>
        <v/>
      </c>
      <c r="J3111" s="25">
        <f>IFERROR(INDEX(Pedidos!$C$2:$C$1801,MATCH(B3111,Pedidos!$A$2:$A$1801,0)),"")</f>
        <v/>
      </c>
      <c r="K3111" s="25">
        <f>IFERROR(INDEX(Pedidos!$D$2:$D$1801,MATCH(B3111,Pedidos!$A$2:$A$1801,0)),"")</f>
        <v/>
      </c>
      <c r="L3111" s="25">
        <f>IFERROR(INDEX(Pedidos!$F$2:$F$1801,MATCH(B3111,Pedidos!$A$2:$A$1801,0)),"")</f>
        <v/>
      </c>
      <c r="M3111" s="26">
        <f>IFERROR(INDEX(Pedidos!$G$2:$G$1801,MATCH(B3111,Pedidos!$A$2:$A$1801,0)),0)</f>
        <v/>
      </c>
      <c r="N3111" s="25">
        <f>IFERROR(INDEX(Produtos!$B$2:$B$71,MATCH(C3111,Produtos!$A$2:$A$71,0)),"")</f>
        <v/>
      </c>
      <c r="O3111" s="25">
        <f>IFERROR(INDEX(Produtos!$C$2:$C$71,MATCH(C3111,Produtos!$A$2:$A$71,0)),"")</f>
        <v/>
      </c>
      <c r="P3111" s="25">
        <f>IFERROR(INDEX(Produtos!$D$2:$D$71,MATCH(C3111,Produtos!$A$2:$A$71,0)),0)</f>
        <v/>
      </c>
      <c r="Q3111" s="25">
        <f>IFERROR(INDEX(Produtos!$E$2:$E$71,MATCH(C3111,Produtos!$A$2:$A$71,0)),0)</f>
        <v/>
      </c>
      <c r="R3111" s="27">
        <f>D3111*Q3111</f>
        <v/>
      </c>
      <c r="S3111" s="27">
        <f>R3111*E3111</f>
        <v/>
      </c>
      <c r="T3111" s="27">
        <f>(R3111-S3111)*M3111</f>
        <v/>
      </c>
      <c r="U3111" s="27">
        <f>R3111-S3111-T3111</f>
        <v/>
      </c>
      <c r="V3111" s="27">
        <f>D3111*P3111</f>
        <v/>
      </c>
      <c r="W3111" s="27">
        <f>U3111-V3111</f>
        <v/>
      </c>
      <c r="X3111" s="28">
        <f>IFERROR(W3111/U3111,0)</f>
        <v/>
      </c>
    </row>
    <row r="3112">
      <c r="A3112" s="21">
        <f>ItensPedido!A3112</f>
        <v/>
      </c>
      <c r="B3112" s="21">
        <f>ItensPedido!B3112</f>
        <v/>
      </c>
      <c r="C3112" s="21">
        <f>ItensPedido!C3112</f>
        <v/>
      </c>
      <c r="D3112" s="21">
        <f>ItensPedido!D3112</f>
        <v/>
      </c>
      <c r="E3112" s="22">
        <f>ItensPedido!E3112</f>
        <v/>
      </c>
      <c r="F3112" s="21">
        <f>IFERROR(INDEX(Pedidos!$B$2:$B$1801,MATCH(B3112,Pedidos!$A$2:$A$1801,0)),0)</f>
        <v/>
      </c>
      <c r="G3112" s="21">
        <f>IF(F3112=0,"",YEAR(F3112))</f>
        <v/>
      </c>
      <c r="H3112" s="21">
        <f>IF(F3112=0,"",MONTH(F3112))</f>
        <v/>
      </c>
      <c r="I3112" s="21">
        <f>IFERROR(INDEX(Pedidos!$E$2:$E$1801,MATCH(B3112,Pedidos!$A$2:$A$1801,0)),"")</f>
        <v/>
      </c>
      <c r="J3112" s="21">
        <f>IFERROR(INDEX(Pedidos!$C$2:$C$1801,MATCH(B3112,Pedidos!$A$2:$A$1801,0)),"")</f>
        <v/>
      </c>
      <c r="K3112" s="21">
        <f>IFERROR(INDEX(Pedidos!$D$2:$D$1801,MATCH(B3112,Pedidos!$A$2:$A$1801,0)),"")</f>
        <v/>
      </c>
      <c r="L3112" s="21">
        <f>IFERROR(INDEX(Pedidos!$F$2:$F$1801,MATCH(B3112,Pedidos!$A$2:$A$1801,0)),"")</f>
        <v/>
      </c>
      <c r="M3112" s="22">
        <f>IFERROR(INDEX(Pedidos!$G$2:$G$1801,MATCH(B3112,Pedidos!$A$2:$A$1801,0)),0)</f>
        <v/>
      </c>
      <c r="N3112" s="21">
        <f>IFERROR(INDEX(Produtos!$B$2:$B$71,MATCH(C3112,Produtos!$A$2:$A$71,0)),"")</f>
        <v/>
      </c>
      <c r="O3112" s="21">
        <f>IFERROR(INDEX(Produtos!$C$2:$C$71,MATCH(C3112,Produtos!$A$2:$A$71,0)),"")</f>
        <v/>
      </c>
      <c r="P3112" s="21">
        <f>IFERROR(INDEX(Produtos!$D$2:$D$71,MATCH(C3112,Produtos!$A$2:$A$71,0)),0)</f>
        <v/>
      </c>
      <c r="Q3112" s="21">
        <f>IFERROR(INDEX(Produtos!$E$2:$E$71,MATCH(C3112,Produtos!$A$2:$A$71,0)),0)</f>
        <v/>
      </c>
      <c r="R3112" s="23">
        <f>D3112*Q3112</f>
        <v/>
      </c>
      <c r="S3112" s="23">
        <f>R3112*E3112</f>
        <v/>
      </c>
      <c r="T3112" s="23">
        <f>(R3112-S3112)*M3112</f>
        <v/>
      </c>
      <c r="U3112" s="23">
        <f>R3112-S3112-T3112</f>
        <v/>
      </c>
      <c r="V3112" s="23">
        <f>D3112*P3112</f>
        <v/>
      </c>
      <c r="W3112" s="23">
        <f>U3112-V3112</f>
        <v/>
      </c>
      <c r="X3112" s="24">
        <f>IFERROR(W3112/U3112,0)</f>
        <v/>
      </c>
    </row>
    <row r="3113">
      <c r="A3113" s="25">
        <f>ItensPedido!A3113</f>
        <v/>
      </c>
      <c r="B3113" s="25">
        <f>ItensPedido!B3113</f>
        <v/>
      </c>
      <c r="C3113" s="25">
        <f>ItensPedido!C3113</f>
        <v/>
      </c>
      <c r="D3113" s="25">
        <f>ItensPedido!D3113</f>
        <v/>
      </c>
      <c r="E3113" s="26">
        <f>ItensPedido!E3113</f>
        <v/>
      </c>
      <c r="F3113" s="25">
        <f>IFERROR(INDEX(Pedidos!$B$2:$B$1801,MATCH(B3113,Pedidos!$A$2:$A$1801,0)),0)</f>
        <v/>
      </c>
      <c r="G3113" s="25">
        <f>IF(F3113=0,"",YEAR(F3113))</f>
        <v/>
      </c>
      <c r="H3113" s="25">
        <f>IF(F3113=0,"",MONTH(F3113))</f>
        <v/>
      </c>
      <c r="I3113" s="25">
        <f>IFERROR(INDEX(Pedidos!$E$2:$E$1801,MATCH(B3113,Pedidos!$A$2:$A$1801,0)),"")</f>
        <v/>
      </c>
      <c r="J3113" s="25">
        <f>IFERROR(INDEX(Pedidos!$C$2:$C$1801,MATCH(B3113,Pedidos!$A$2:$A$1801,0)),"")</f>
        <v/>
      </c>
      <c r="K3113" s="25">
        <f>IFERROR(INDEX(Pedidos!$D$2:$D$1801,MATCH(B3113,Pedidos!$A$2:$A$1801,0)),"")</f>
        <v/>
      </c>
      <c r="L3113" s="25">
        <f>IFERROR(INDEX(Pedidos!$F$2:$F$1801,MATCH(B3113,Pedidos!$A$2:$A$1801,0)),"")</f>
        <v/>
      </c>
      <c r="M3113" s="26">
        <f>IFERROR(INDEX(Pedidos!$G$2:$G$1801,MATCH(B3113,Pedidos!$A$2:$A$1801,0)),0)</f>
        <v/>
      </c>
      <c r="N3113" s="25">
        <f>IFERROR(INDEX(Produtos!$B$2:$B$71,MATCH(C3113,Produtos!$A$2:$A$71,0)),"")</f>
        <v/>
      </c>
      <c r="O3113" s="25">
        <f>IFERROR(INDEX(Produtos!$C$2:$C$71,MATCH(C3113,Produtos!$A$2:$A$71,0)),"")</f>
        <v/>
      </c>
      <c r="P3113" s="25">
        <f>IFERROR(INDEX(Produtos!$D$2:$D$71,MATCH(C3113,Produtos!$A$2:$A$71,0)),0)</f>
        <v/>
      </c>
      <c r="Q3113" s="25">
        <f>IFERROR(INDEX(Produtos!$E$2:$E$71,MATCH(C3113,Produtos!$A$2:$A$71,0)),0)</f>
        <v/>
      </c>
      <c r="R3113" s="27">
        <f>D3113*Q3113</f>
        <v/>
      </c>
      <c r="S3113" s="27">
        <f>R3113*E3113</f>
        <v/>
      </c>
      <c r="T3113" s="27">
        <f>(R3113-S3113)*M3113</f>
        <v/>
      </c>
      <c r="U3113" s="27">
        <f>R3113-S3113-T3113</f>
        <v/>
      </c>
      <c r="V3113" s="27">
        <f>D3113*P3113</f>
        <v/>
      </c>
      <c r="W3113" s="27">
        <f>U3113-V3113</f>
        <v/>
      </c>
      <c r="X3113" s="28">
        <f>IFERROR(W3113/U3113,0)</f>
        <v/>
      </c>
    </row>
    <row r="3114">
      <c r="A3114" s="21">
        <f>ItensPedido!A3114</f>
        <v/>
      </c>
      <c r="B3114" s="21">
        <f>ItensPedido!B3114</f>
        <v/>
      </c>
      <c r="C3114" s="21">
        <f>ItensPedido!C3114</f>
        <v/>
      </c>
      <c r="D3114" s="21">
        <f>ItensPedido!D3114</f>
        <v/>
      </c>
      <c r="E3114" s="22">
        <f>ItensPedido!E3114</f>
        <v/>
      </c>
      <c r="F3114" s="21">
        <f>IFERROR(INDEX(Pedidos!$B$2:$B$1801,MATCH(B3114,Pedidos!$A$2:$A$1801,0)),0)</f>
        <v/>
      </c>
      <c r="G3114" s="21">
        <f>IF(F3114=0,"",YEAR(F3114))</f>
        <v/>
      </c>
      <c r="H3114" s="21">
        <f>IF(F3114=0,"",MONTH(F3114))</f>
        <v/>
      </c>
      <c r="I3114" s="21">
        <f>IFERROR(INDEX(Pedidos!$E$2:$E$1801,MATCH(B3114,Pedidos!$A$2:$A$1801,0)),"")</f>
        <v/>
      </c>
      <c r="J3114" s="21">
        <f>IFERROR(INDEX(Pedidos!$C$2:$C$1801,MATCH(B3114,Pedidos!$A$2:$A$1801,0)),"")</f>
        <v/>
      </c>
      <c r="K3114" s="21">
        <f>IFERROR(INDEX(Pedidos!$D$2:$D$1801,MATCH(B3114,Pedidos!$A$2:$A$1801,0)),"")</f>
        <v/>
      </c>
      <c r="L3114" s="21">
        <f>IFERROR(INDEX(Pedidos!$F$2:$F$1801,MATCH(B3114,Pedidos!$A$2:$A$1801,0)),"")</f>
        <v/>
      </c>
      <c r="M3114" s="22">
        <f>IFERROR(INDEX(Pedidos!$G$2:$G$1801,MATCH(B3114,Pedidos!$A$2:$A$1801,0)),0)</f>
        <v/>
      </c>
      <c r="N3114" s="21">
        <f>IFERROR(INDEX(Produtos!$B$2:$B$71,MATCH(C3114,Produtos!$A$2:$A$71,0)),"")</f>
        <v/>
      </c>
      <c r="O3114" s="21">
        <f>IFERROR(INDEX(Produtos!$C$2:$C$71,MATCH(C3114,Produtos!$A$2:$A$71,0)),"")</f>
        <v/>
      </c>
      <c r="P3114" s="21">
        <f>IFERROR(INDEX(Produtos!$D$2:$D$71,MATCH(C3114,Produtos!$A$2:$A$71,0)),0)</f>
        <v/>
      </c>
      <c r="Q3114" s="21">
        <f>IFERROR(INDEX(Produtos!$E$2:$E$71,MATCH(C3114,Produtos!$A$2:$A$71,0)),0)</f>
        <v/>
      </c>
      <c r="R3114" s="23">
        <f>D3114*Q3114</f>
        <v/>
      </c>
      <c r="S3114" s="23">
        <f>R3114*E3114</f>
        <v/>
      </c>
      <c r="T3114" s="23">
        <f>(R3114-S3114)*M3114</f>
        <v/>
      </c>
      <c r="U3114" s="23">
        <f>R3114-S3114-T3114</f>
        <v/>
      </c>
      <c r="V3114" s="23">
        <f>D3114*P3114</f>
        <v/>
      </c>
      <c r="W3114" s="23">
        <f>U3114-V3114</f>
        <v/>
      </c>
      <c r="X3114" s="24">
        <f>IFERROR(W3114/U3114,0)</f>
        <v/>
      </c>
    </row>
    <row r="3115">
      <c r="A3115" s="25">
        <f>ItensPedido!A3115</f>
        <v/>
      </c>
      <c r="B3115" s="25">
        <f>ItensPedido!B3115</f>
        <v/>
      </c>
      <c r="C3115" s="25">
        <f>ItensPedido!C3115</f>
        <v/>
      </c>
      <c r="D3115" s="25">
        <f>ItensPedido!D3115</f>
        <v/>
      </c>
      <c r="E3115" s="26">
        <f>ItensPedido!E3115</f>
        <v/>
      </c>
      <c r="F3115" s="25">
        <f>IFERROR(INDEX(Pedidos!$B$2:$B$1801,MATCH(B3115,Pedidos!$A$2:$A$1801,0)),0)</f>
        <v/>
      </c>
      <c r="G3115" s="25">
        <f>IF(F3115=0,"",YEAR(F3115))</f>
        <v/>
      </c>
      <c r="H3115" s="25">
        <f>IF(F3115=0,"",MONTH(F3115))</f>
        <v/>
      </c>
      <c r="I3115" s="25">
        <f>IFERROR(INDEX(Pedidos!$E$2:$E$1801,MATCH(B3115,Pedidos!$A$2:$A$1801,0)),"")</f>
        <v/>
      </c>
      <c r="J3115" s="25">
        <f>IFERROR(INDEX(Pedidos!$C$2:$C$1801,MATCH(B3115,Pedidos!$A$2:$A$1801,0)),"")</f>
        <v/>
      </c>
      <c r="K3115" s="25">
        <f>IFERROR(INDEX(Pedidos!$D$2:$D$1801,MATCH(B3115,Pedidos!$A$2:$A$1801,0)),"")</f>
        <v/>
      </c>
      <c r="L3115" s="25">
        <f>IFERROR(INDEX(Pedidos!$F$2:$F$1801,MATCH(B3115,Pedidos!$A$2:$A$1801,0)),"")</f>
        <v/>
      </c>
      <c r="M3115" s="26">
        <f>IFERROR(INDEX(Pedidos!$G$2:$G$1801,MATCH(B3115,Pedidos!$A$2:$A$1801,0)),0)</f>
        <v/>
      </c>
      <c r="N3115" s="25">
        <f>IFERROR(INDEX(Produtos!$B$2:$B$71,MATCH(C3115,Produtos!$A$2:$A$71,0)),"")</f>
        <v/>
      </c>
      <c r="O3115" s="25">
        <f>IFERROR(INDEX(Produtos!$C$2:$C$71,MATCH(C3115,Produtos!$A$2:$A$71,0)),"")</f>
        <v/>
      </c>
      <c r="P3115" s="25">
        <f>IFERROR(INDEX(Produtos!$D$2:$D$71,MATCH(C3115,Produtos!$A$2:$A$71,0)),0)</f>
        <v/>
      </c>
      <c r="Q3115" s="25">
        <f>IFERROR(INDEX(Produtos!$E$2:$E$71,MATCH(C3115,Produtos!$A$2:$A$71,0)),0)</f>
        <v/>
      </c>
      <c r="R3115" s="27">
        <f>D3115*Q3115</f>
        <v/>
      </c>
      <c r="S3115" s="27">
        <f>R3115*E3115</f>
        <v/>
      </c>
      <c r="T3115" s="27">
        <f>(R3115-S3115)*M3115</f>
        <v/>
      </c>
      <c r="U3115" s="27">
        <f>R3115-S3115-T3115</f>
        <v/>
      </c>
      <c r="V3115" s="27">
        <f>D3115*P3115</f>
        <v/>
      </c>
      <c r="W3115" s="27">
        <f>U3115-V3115</f>
        <v/>
      </c>
      <c r="X3115" s="28">
        <f>IFERROR(W3115/U3115,0)</f>
        <v/>
      </c>
    </row>
    <row r="3116">
      <c r="A3116" s="21">
        <f>ItensPedido!A3116</f>
        <v/>
      </c>
      <c r="B3116" s="21">
        <f>ItensPedido!B3116</f>
        <v/>
      </c>
      <c r="C3116" s="21">
        <f>ItensPedido!C3116</f>
        <v/>
      </c>
      <c r="D3116" s="21">
        <f>ItensPedido!D3116</f>
        <v/>
      </c>
      <c r="E3116" s="22">
        <f>ItensPedido!E3116</f>
        <v/>
      </c>
      <c r="F3116" s="21">
        <f>IFERROR(INDEX(Pedidos!$B$2:$B$1801,MATCH(B3116,Pedidos!$A$2:$A$1801,0)),0)</f>
        <v/>
      </c>
      <c r="G3116" s="21">
        <f>IF(F3116=0,"",YEAR(F3116))</f>
        <v/>
      </c>
      <c r="H3116" s="21">
        <f>IF(F3116=0,"",MONTH(F3116))</f>
        <v/>
      </c>
      <c r="I3116" s="21">
        <f>IFERROR(INDEX(Pedidos!$E$2:$E$1801,MATCH(B3116,Pedidos!$A$2:$A$1801,0)),"")</f>
        <v/>
      </c>
      <c r="J3116" s="21">
        <f>IFERROR(INDEX(Pedidos!$C$2:$C$1801,MATCH(B3116,Pedidos!$A$2:$A$1801,0)),"")</f>
        <v/>
      </c>
      <c r="K3116" s="21">
        <f>IFERROR(INDEX(Pedidos!$D$2:$D$1801,MATCH(B3116,Pedidos!$A$2:$A$1801,0)),"")</f>
        <v/>
      </c>
      <c r="L3116" s="21">
        <f>IFERROR(INDEX(Pedidos!$F$2:$F$1801,MATCH(B3116,Pedidos!$A$2:$A$1801,0)),"")</f>
        <v/>
      </c>
      <c r="M3116" s="22">
        <f>IFERROR(INDEX(Pedidos!$G$2:$G$1801,MATCH(B3116,Pedidos!$A$2:$A$1801,0)),0)</f>
        <v/>
      </c>
      <c r="N3116" s="21">
        <f>IFERROR(INDEX(Produtos!$B$2:$B$71,MATCH(C3116,Produtos!$A$2:$A$71,0)),"")</f>
        <v/>
      </c>
      <c r="O3116" s="21">
        <f>IFERROR(INDEX(Produtos!$C$2:$C$71,MATCH(C3116,Produtos!$A$2:$A$71,0)),"")</f>
        <v/>
      </c>
      <c r="P3116" s="21">
        <f>IFERROR(INDEX(Produtos!$D$2:$D$71,MATCH(C3116,Produtos!$A$2:$A$71,0)),0)</f>
        <v/>
      </c>
      <c r="Q3116" s="21">
        <f>IFERROR(INDEX(Produtos!$E$2:$E$71,MATCH(C3116,Produtos!$A$2:$A$71,0)),0)</f>
        <v/>
      </c>
      <c r="R3116" s="23">
        <f>D3116*Q3116</f>
        <v/>
      </c>
      <c r="S3116" s="23">
        <f>R3116*E3116</f>
        <v/>
      </c>
      <c r="T3116" s="23">
        <f>(R3116-S3116)*M3116</f>
        <v/>
      </c>
      <c r="U3116" s="23">
        <f>R3116-S3116-T3116</f>
        <v/>
      </c>
      <c r="V3116" s="23">
        <f>D3116*P3116</f>
        <v/>
      </c>
      <c r="W3116" s="23">
        <f>U3116-V3116</f>
        <v/>
      </c>
      <c r="X3116" s="24">
        <f>IFERROR(W3116/U3116,0)</f>
        <v/>
      </c>
    </row>
    <row r="3117">
      <c r="A3117" s="25">
        <f>ItensPedido!A3117</f>
        <v/>
      </c>
      <c r="B3117" s="25">
        <f>ItensPedido!B3117</f>
        <v/>
      </c>
      <c r="C3117" s="25">
        <f>ItensPedido!C3117</f>
        <v/>
      </c>
      <c r="D3117" s="25">
        <f>ItensPedido!D3117</f>
        <v/>
      </c>
      <c r="E3117" s="26">
        <f>ItensPedido!E3117</f>
        <v/>
      </c>
      <c r="F3117" s="25">
        <f>IFERROR(INDEX(Pedidos!$B$2:$B$1801,MATCH(B3117,Pedidos!$A$2:$A$1801,0)),0)</f>
        <v/>
      </c>
      <c r="G3117" s="25">
        <f>IF(F3117=0,"",YEAR(F3117))</f>
        <v/>
      </c>
      <c r="H3117" s="25">
        <f>IF(F3117=0,"",MONTH(F3117))</f>
        <v/>
      </c>
      <c r="I3117" s="25">
        <f>IFERROR(INDEX(Pedidos!$E$2:$E$1801,MATCH(B3117,Pedidos!$A$2:$A$1801,0)),"")</f>
        <v/>
      </c>
      <c r="J3117" s="25">
        <f>IFERROR(INDEX(Pedidos!$C$2:$C$1801,MATCH(B3117,Pedidos!$A$2:$A$1801,0)),"")</f>
        <v/>
      </c>
      <c r="K3117" s="25">
        <f>IFERROR(INDEX(Pedidos!$D$2:$D$1801,MATCH(B3117,Pedidos!$A$2:$A$1801,0)),"")</f>
        <v/>
      </c>
      <c r="L3117" s="25">
        <f>IFERROR(INDEX(Pedidos!$F$2:$F$1801,MATCH(B3117,Pedidos!$A$2:$A$1801,0)),"")</f>
        <v/>
      </c>
      <c r="M3117" s="26">
        <f>IFERROR(INDEX(Pedidos!$G$2:$G$1801,MATCH(B3117,Pedidos!$A$2:$A$1801,0)),0)</f>
        <v/>
      </c>
      <c r="N3117" s="25">
        <f>IFERROR(INDEX(Produtos!$B$2:$B$71,MATCH(C3117,Produtos!$A$2:$A$71,0)),"")</f>
        <v/>
      </c>
      <c r="O3117" s="25">
        <f>IFERROR(INDEX(Produtos!$C$2:$C$71,MATCH(C3117,Produtos!$A$2:$A$71,0)),"")</f>
        <v/>
      </c>
      <c r="P3117" s="25">
        <f>IFERROR(INDEX(Produtos!$D$2:$D$71,MATCH(C3117,Produtos!$A$2:$A$71,0)),0)</f>
        <v/>
      </c>
      <c r="Q3117" s="25">
        <f>IFERROR(INDEX(Produtos!$E$2:$E$71,MATCH(C3117,Produtos!$A$2:$A$71,0)),0)</f>
        <v/>
      </c>
      <c r="R3117" s="27">
        <f>D3117*Q3117</f>
        <v/>
      </c>
      <c r="S3117" s="27">
        <f>R3117*E3117</f>
        <v/>
      </c>
      <c r="T3117" s="27">
        <f>(R3117-S3117)*M3117</f>
        <v/>
      </c>
      <c r="U3117" s="27">
        <f>R3117-S3117-T3117</f>
        <v/>
      </c>
      <c r="V3117" s="27">
        <f>D3117*P3117</f>
        <v/>
      </c>
      <c r="W3117" s="27">
        <f>U3117-V3117</f>
        <v/>
      </c>
      <c r="X3117" s="28">
        <f>IFERROR(W3117/U3117,0)</f>
        <v/>
      </c>
    </row>
    <row r="3118">
      <c r="A3118" s="21">
        <f>ItensPedido!A3118</f>
        <v/>
      </c>
      <c r="B3118" s="21">
        <f>ItensPedido!B3118</f>
        <v/>
      </c>
      <c r="C3118" s="21">
        <f>ItensPedido!C3118</f>
        <v/>
      </c>
      <c r="D3118" s="21">
        <f>ItensPedido!D3118</f>
        <v/>
      </c>
      <c r="E3118" s="22">
        <f>ItensPedido!E3118</f>
        <v/>
      </c>
      <c r="F3118" s="21">
        <f>IFERROR(INDEX(Pedidos!$B$2:$B$1801,MATCH(B3118,Pedidos!$A$2:$A$1801,0)),0)</f>
        <v/>
      </c>
      <c r="G3118" s="21">
        <f>IF(F3118=0,"",YEAR(F3118))</f>
        <v/>
      </c>
      <c r="H3118" s="21">
        <f>IF(F3118=0,"",MONTH(F3118))</f>
        <v/>
      </c>
      <c r="I3118" s="21">
        <f>IFERROR(INDEX(Pedidos!$E$2:$E$1801,MATCH(B3118,Pedidos!$A$2:$A$1801,0)),"")</f>
        <v/>
      </c>
      <c r="J3118" s="21">
        <f>IFERROR(INDEX(Pedidos!$C$2:$C$1801,MATCH(B3118,Pedidos!$A$2:$A$1801,0)),"")</f>
        <v/>
      </c>
      <c r="K3118" s="21">
        <f>IFERROR(INDEX(Pedidos!$D$2:$D$1801,MATCH(B3118,Pedidos!$A$2:$A$1801,0)),"")</f>
        <v/>
      </c>
      <c r="L3118" s="21">
        <f>IFERROR(INDEX(Pedidos!$F$2:$F$1801,MATCH(B3118,Pedidos!$A$2:$A$1801,0)),"")</f>
        <v/>
      </c>
      <c r="M3118" s="22">
        <f>IFERROR(INDEX(Pedidos!$G$2:$G$1801,MATCH(B3118,Pedidos!$A$2:$A$1801,0)),0)</f>
        <v/>
      </c>
      <c r="N3118" s="21">
        <f>IFERROR(INDEX(Produtos!$B$2:$B$71,MATCH(C3118,Produtos!$A$2:$A$71,0)),"")</f>
        <v/>
      </c>
      <c r="O3118" s="21">
        <f>IFERROR(INDEX(Produtos!$C$2:$C$71,MATCH(C3118,Produtos!$A$2:$A$71,0)),"")</f>
        <v/>
      </c>
      <c r="P3118" s="21">
        <f>IFERROR(INDEX(Produtos!$D$2:$D$71,MATCH(C3118,Produtos!$A$2:$A$71,0)),0)</f>
        <v/>
      </c>
      <c r="Q3118" s="21">
        <f>IFERROR(INDEX(Produtos!$E$2:$E$71,MATCH(C3118,Produtos!$A$2:$A$71,0)),0)</f>
        <v/>
      </c>
      <c r="R3118" s="23">
        <f>D3118*Q3118</f>
        <v/>
      </c>
      <c r="S3118" s="23">
        <f>R3118*E3118</f>
        <v/>
      </c>
      <c r="T3118" s="23">
        <f>(R3118-S3118)*M3118</f>
        <v/>
      </c>
      <c r="U3118" s="23">
        <f>R3118-S3118-T3118</f>
        <v/>
      </c>
      <c r="V3118" s="23">
        <f>D3118*P3118</f>
        <v/>
      </c>
      <c r="W3118" s="23">
        <f>U3118-V3118</f>
        <v/>
      </c>
      <c r="X3118" s="24">
        <f>IFERROR(W3118/U3118,0)</f>
        <v/>
      </c>
    </row>
    <row r="3119">
      <c r="A3119" s="25">
        <f>ItensPedido!A3119</f>
        <v/>
      </c>
      <c r="B3119" s="25">
        <f>ItensPedido!B3119</f>
        <v/>
      </c>
      <c r="C3119" s="25">
        <f>ItensPedido!C3119</f>
        <v/>
      </c>
      <c r="D3119" s="25">
        <f>ItensPedido!D3119</f>
        <v/>
      </c>
      <c r="E3119" s="26">
        <f>ItensPedido!E3119</f>
        <v/>
      </c>
      <c r="F3119" s="25">
        <f>IFERROR(INDEX(Pedidos!$B$2:$B$1801,MATCH(B3119,Pedidos!$A$2:$A$1801,0)),0)</f>
        <v/>
      </c>
      <c r="G3119" s="25">
        <f>IF(F3119=0,"",YEAR(F3119))</f>
        <v/>
      </c>
      <c r="H3119" s="25">
        <f>IF(F3119=0,"",MONTH(F3119))</f>
        <v/>
      </c>
      <c r="I3119" s="25">
        <f>IFERROR(INDEX(Pedidos!$E$2:$E$1801,MATCH(B3119,Pedidos!$A$2:$A$1801,0)),"")</f>
        <v/>
      </c>
      <c r="J3119" s="25">
        <f>IFERROR(INDEX(Pedidos!$C$2:$C$1801,MATCH(B3119,Pedidos!$A$2:$A$1801,0)),"")</f>
        <v/>
      </c>
      <c r="K3119" s="25">
        <f>IFERROR(INDEX(Pedidos!$D$2:$D$1801,MATCH(B3119,Pedidos!$A$2:$A$1801,0)),"")</f>
        <v/>
      </c>
      <c r="L3119" s="25">
        <f>IFERROR(INDEX(Pedidos!$F$2:$F$1801,MATCH(B3119,Pedidos!$A$2:$A$1801,0)),"")</f>
        <v/>
      </c>
      <c r="M3119" s="26">
        <f>IFERROR(INDEX(Pedidos!$G$2:$G$1801,MATCH(B3119,Pedidos!$A$2:$A$1801,0)),0)</f>
        <v/>
      </c>
      <c r="N3119" s="25">
        <f>IFERROR(INDEX(Produtos!$B$2:$B$71,MATCH(C3119,Produtos!$A$2:$A$71,0)),"")</f>
        <v/>
      </c>
      <c r="O3119" s="25">
        <f>IFERROR(INDEX(Produtos!$C$2:$C$71,MATCH(C3119,Produtos!$A$2:$A$71,0)),"")</f>
        <v/>
      </c>
      <c r="P3119" s="25">
        <f>IFERROR(INDEX(Produtos!$D$2:$D$71,MATCH(C3119,Produtos!$A$2:$A$71,0)),0)</f>
        <v/>
      </c>
      <c r="Q3119" s="25">
        <f>IFERROR(INDEX(Produtos!$E$2:$E$71,MATCH(C3119,Produtos!$A$2:$A$71,0)),0)</f>
        <v/>
      </c>
      <c r="R3119" s="27">
        <f>D3119*Q3119</f>
        <v/>
      </c>
      <c r="S3119" s="27">
        <f>R3119*E3119</f>
        <v/>
      </c>
      <c r="T3119" s="27">
        <f>(R3119-S3119)*M3119</f>
        <v/>
      </c>
      <c r="U3119" s="27">
        <f>R3119-S3119-T3119</f>
        <v/>
      </c>
      <c r="V3119" s="27">
        <f>D3119*P3119</f>
        <v/>
      </c>
      <c r="W3119" s="27">
        <f>U3119-V3119</f>
        <v/>
      </c>
      <c r="X3119" s="28">
        <f>IFERROR(W3119/U3119,0)</f>
        <v/>
      </c>
    </row>
    <row r="3120">
      <c r="A3120" s="21">
        <f>ItensPedido!A3120</f>
        <v/>
      </c>
      <c r="B3120" s="21">
        <f>ItensPedido!B3120</f>
        <v/>
      </c>
      <c r="C3120" s="21">
        <f>ItensPedido!C3120</f>
        <v/>
      </c>
      <c r="D3120" s="21">
        <f>ItensPedido!D3120</f>
        <v/>
      </c>
      <c r="E3120" s="22">
        <f>ItensPedido!E3120</f>
        <v/>
      </c>
      <c r="F3120" s="21">
        <f>IFERROR(INDEX(Pedidos!$B$2:$B$1801,MATCH(B3120,Pedidos!$A$2:$A$1801,0)),0)</f>
        <v/>
      </c>
      <c r="G3120" s="21">
        <f>IF(F3120=0,"",YEAR(F3120))</f>
        <v/>
      </c>
      <c r="H3120" s="21">
        <f>IF(F3120=0,"",MONTH(F3120))</f>
        <v/>
      </c>
      <c r="I3120" s="21">
        <f>IFERROR(INDEX(Pedidos!$E$2:$E$1801,MATCH(B3120,Pedidos!$A$2:$A$1801,0)),"")</f>
        <v/>
      </c>
      <c r="J3120" s="21">
        <f>IFERROR(INDEX(Pedidos!$C$2:$C$1801,MATCH(B3120,Pedidos!$A$2:$A$1801,0)),"")</f>
        <v/>
      </c>
      <c r="K3120" s="21">
        <f>IFERROR(INDEX(Pedidos!$D$2:$D$1801,MATCH(B3120,Pedidos!$A$2:$A$1801,0)),"")</f>
        <v/>
      </c>
      <c r="L3120" s="21">
        <f>IFERROR(INDEX(Pedidos!$F$2:$F$1801,MATCH(B3120,Pedidos!$A$2:$A$1801,0)),"")</f>
        <v/>
      </c>
      <c r="M3120" s="22">
        <f>IFERROR(INDEX(Pedidos!$G$2:$G$1801,MATCH(B3120,Pedidos!$A$2:$A$1801,0)),0)</f>
        <v/>
      </c>
      <c r="N3120" s="21">
        <f>IFERROR(INDEX(Produtos!$B$2:$B$71,MATCH(C3120,Produtos!$A$2:$A$71,0)),"")</f>
        <v/>
      </c>
      <c r="O3120" s="21">
        <f>IFERROR(INDEX(Produtos!$C$2:$C$71,MATCH(C3120,Produtos!$A$2:$A$71,0)),"")</f>
        <v/>
      </c>
      <c r="P3120" s="21">
        <f>IFERROR(INDEX(Produtos!$D$2:$D$71,MATCH(C3120,Produtos!$A$2:$A$71,0)),0)</f>
        <v/>
      </c>
      <c r="Q3120" s="21">
        <f>IFERROR(INDEX(Produtos!$E$2:$E$71,MATCH(C3120,Produtos!$A$2:$A$71,0)),0)</f>
        <v/>
      </c>
      <c r="R3120" s="23">
        <f>D3120*Q3120</f>
        <v/>
      </c>
      <c r="S3120" s="23">
        <f>R3120*E3120</f>
        <v/>
      </c>
      <c r="T3120" s="23">
        <f>(R3120-S3120)*M3120</f>
        <v/>
      </c>
      <c r="U3120" s="23">
        <f>R3120-S3120-T3120</f>
        <v/>
      </c>
      <c r="V3120" s="23">
        <f>D3120*P3120</f>
        <v/>
      </c>
      <c r="W3120" s="23">
        <f>U3120-V3120</f>
        <v/>
      </c>
      <c r="X3120" s="24">
        <f>IFERROR(W3120/U3120,0)</f>
        <v/>
      </c>
    </row>
    <row r="3121">
      <c r="A3121" s="25">
        <f>ItensPedido!A3121</f>
        <v/>
      </c>
      <c r="B3121" s="25">
        <f>ItensPedido!B3121</f>
        <v/>
      </c>
      <c r="C3121" s="25">
        <f>ItensPedido!C3121</f>
        <v/>
      </c>
      <c r="D3121" s="25">
        <f>ItensPedido!D3121</f>
        <v/>
      </c>
      <c r="E3121" s="26">
        <f>ItensPedido!E3121</f>
        <v/>
      </c>
      <c r="F3121" s="25">
        <f>IFERROR(INDEX(Pedidos!$B$2:$B$1801,MATCH(B3121,Pedidos!$A$2:$A$1801,0)),0)</f>
        <v/>
      </c>
      <c r="G3121" s="25">
        <f>IF(F3121=0,"",YEAR(F3121))</f>
        <v/>
      </c>
      <c r="H3121" s="25">
        <f>IF(F3121=0,"",MONTH(F3121))</f>
        <v/>
      </c>
      <c r="I3121" s="25">
        <f>IFERROR(INDEX(Pedidos!$E$2:$E$1801,MATCH(B3121,Pedidos!$A$2:$A$1801,0)),"")</f>
        <v/>
      </c>
      <c r="J3121" s="25">
        <f>IFERROR(INDEX(Pedidos!$C$2:$C$1801,MATCH(B3121,Pedidos!$A$2:$A$1801,0)),"")</f>
        <v/>
      </c>
      <c r="K3121" s="25">
        <f>IFERROR(INDEX(Pedidos!$D$2:$D$1801,MATCH(B3121,Pedidos!$A$2:$A$1801,0)),"")</f>
        <v/>
      </c>
      <c r="L3121" s="25">
        <f>IFERROR(INDEX(Pedidos!$F$2:$F$1801,MATCH(B3121,Pedidos!$A$2:$A$1801,0)),"")</f>
        <v/>
      </c>
      <c r="M3121" s="26">
        <f>IFERROR(INDEX(Pedidos!$G$2:$G$1801,MATCH(B3121,Pedidos!$A$2:$A$1801,0)),0)</f>
        <v/>
      </c>
      <c r="N3121" s="25">
        <f>IFERROR(INDEX(Produtos!$B$2:$B$71,MATCH(C3121,Produtos!$A$2:$A$71,0)),"")</f>
        <v/>
      </c>
      <c r="O3121" s="25">
        <f>IFERROR(INDEX(Produtos!$C$2:$C$71,MATCH(C3121,Produtos!$A$2:$A$71,0)),"")</f>
        <v/>
      </c>
      <c r="P3121" s="25">
        <f>IFERROR(INDEX(Produtos!$D$2:$D$71,MATCH(C3121,Produtos!$A$2:$A$71,0)),0)</f>
        <v/>
      </c>
      <c r="Q3121" s="25">
        <f>IFERROR(INDEX(Produtos!$E$2:$E$71,MATCH(C3121,Produtos!$A$2:$A$71,0)),0)</f>
        <v/>
      </c>
      <c r="R3121" s="27">
        <f>D3121*Q3121</f>
        <v/>
      </c>
      <c r="S3121" s="27">
        <f>R3121*E3121</f>
        <v/>
      </c>
      <c r="T3121" s="27">
        <f>(R3121-S3121)*M3121</f>
        <v/>
      </c>
      <c r="U3121" s="27">
        <f>R3121-S3121-T3121</f>
        <v/>
      </c>
      <c r="V3121" s="27">
        <f>D3121*P3121</f>
        <v/>
      </c>
      <c r="W3121" s="27">
        <f>U3121-V3121</f>
        <v/>
      </c>
      <c r="X3121" s="28">
        <f>IFERROR(W3121/U3121,0)</f>
        <v/>
      </c>
    </row>
    <row r="3122">
      <c r="A3122" s="21">
        <f>ItensPedido!A3122</f>
        <v/>
      </c>
      <c r="B3122" s="21">
        <f>ItensPedido!B3122</f>
        <v/>
      </c>
      <c r="C3122" s="21">
        <f>ItensPedido!C3122</f>
        <v/>
      </c>
      <c r="D3122" s="21">
        <f>ItensPedido!D3122</f>
        <v/>
      </c>
      <c r="E3122" s="22">
        <f>ItensPedido!E3122</f>
        <v/>
      </c>
      <c r="F3122" s="21">
        <f>IFERROR(INDEX(Pedidos!$B$2:$B$1801,MATCH(B3122,Pedidos!$A$2:$A$1801,0)),0)</f>
        <v/>
      </c>
      <c r="G3122" s="21">
        <f>IF(F3122=0,"",YEAR(F3122))</f>
        <v/>
      </c>
      <c r="H3122" s="21">
        <f>IF(F3122=0,"",MONTH(F3122))</f>
        <v/>
      </c>
      <c r="I3122" s="21">
        <f>IFERROR(INDEX(Pedidos!$E$2:$E$1801,MATCH(B3122,Pedidos!$A$2:$A$1801,0)),"")</f>
        <v/>
      </c>
      <c r="J3122" s="21">
        <f>IFERROR(INDEX(Pedidos!$C$2:$C$1801,MATCH(B3122,Pedidos!$A$2:$A$1801,0)),"")</f>
        <v/>
      </c>
      <c r="K3122" s="21">
        <f>IFERROR(INDEX(Pedidos!$D$2:$D$1801,MATCH(B3122,Pedidos!$A$2:$A$1801,0)),"")</f>
        <v/>
      </c>
      <c r="L3122" s="21">
        <f>IFERROR(INDEX(Pedidos!$F$2:$F$1801,MATCH(B3122,Pedidos!$A$2:$A$1801,0)),"")</f>
        <v/>
      </c>
      <c r="M3122" s="22">
        <f>IFERROR(INDEX(Pedidos!$G$2:$G$1801,MATCH(B3122,Pedidos!$A$2:$A$1801,0)),0)</f>
        <v/>
      </c>
      <c r="N3122" s="21">
        <f>IFERROR(INDEX(Produtos!$B$2:$B$71,MATCH(C3122,Produtos!$A$2:$A$71,0)),"")</f>
        <v/>
      </c>
      <c r="O3122" s="21">
        <f>IFERROR(INDEX(Produtos!$C$2:$C$71,MATCH(C3122,Produtos!$A$2:$A$71,0)),"")</f>
        <v/>
      </c>
      <c r="P3122" s="21">
        <f>IFERROR(INDEX(Produtos!$D$2:$D$71,MATCH(C3122,Produtos!$A$2:$A$71,0)),0)</f>
        <v/>
      </c>
      <c r="Q3122" s="21">
        <f>IFERROR(INDEX(Produtos!$E$2:$E$71,MATCH(C3122,Produtos!$A$2:$A$71,0)),0)</f>
        <v/>
      </c>
      <c r="R3122" s="23">
        <f>D3122*Q3122</f>
        <v/>
      </c>
      <c r="S3122" s="23">
        <f>R3122*E3122</f>
        <v/>
      </c>
      <c r="T3122" s="23">
        <f>(R3122-S3122)*M3122</f>
        <v/>
      </c>
      <c r="U3122" s="23">
        <f>R3122-S3122-T3122</f>
        <v/>
      </c>
      <c r="V3122" s="23">
        <f>D3122*P3122</f>
        <v/>
      </c>
      <c r="W3122" s="23">
        <f>U3122-V3122</f>
        <v/>
      </c>
      <c r="X3122" s="24">
        <f>IFERROR(W3122/U3122,0)</f>
        <v/>
      </c>
    </row>
    <row r="3123">
      <c r="A3123" s="25">
        <f>ItensPedido!A3123</f>
        <v/>
      </c>
      <c r="B3123" s="25">
        <f>ItensPedido!B3123</f>
        <v/>
      </c>
      <c r="C3123" s="25">
        <f>ItensPedido!C3123</f>
        <v/>
      </c>
      <c r="D3123" s="25">
        <f>ItensPedido!D3123</f>
        <v/>
      </c>
      <c r="E3123" s="26">
        <f>ItensPedido!E3123</f>
        <v/>
      </c>
      <c r="F3123" s="25">
        <f>IFERROR(INDEX(Pedidos!$B$2:$B$1801,MATCH(B3123,Pedidos!$A$2:$A$1801,0)),0)</f>
        <v/>
      </c>
      <c r="G3123" s="25">
        <f>IF(F3123=0,"",YEAR(F3123))</f>
        <v/>
      </c>
      <c r="H3123" s="25">
        <f>IF(F3123=0,"",MONTH(F3123))</f>
        <v/>
      </c>
      <c r="I3123" s="25">
        <f>IFERROR(INDEX(Pedidos!$E$2:$E$1801,MATCH(B3123,Pedidos!$A$2:$A$1801,0)),"")</f>
        <v/>
      </c>
      <c r="J3123" s="25">
        <f>IFERROR(INDEX(Pedidos!$C$2:$C$1801,MATCH(B3123,Pedidos!$A$2:$A$1801,0)),"")</f>
        <v/>
      </c>
      <c r="K3123" s="25">
        <f>IFERROR(INDEX(Pedidos!$D$2:$D$1801,MATCH(B3123,Pedidos!$A$2:$A$1801,0)),"")</f>
        <v/>
      </c>
      <c r="L3123" s="25">
        <f>IFERROR(INDEX(Pedidos!$F$2:$F$1801,MATCH(B3123,Pedidos!$A$2:$A$1801,0)),"")</f>
        <v/>
      </c>
      <c r="M3123" s="26">
        <f>IFERROR(INDEX(Pedidos!$G$2:$G$1801,MATCH(B3123,Pedidos!$A$2:$A$1801,0)),0)</f>
        <v/>
      </c>
      <c r="N3123" s="25">
        <f>IFERROR(INDEX(Produtos!$B$2:$B$71,MATCH(C3123,Produtos!$A$2:$A$71,0)),"")</f>
        <v/>
      </c>
      <c r="O3123" s="25">
        <f>IFERROR(INDEX(Produtos!$C$2:$C$71,MATCH(C3123,Produtos!$A$2:$A$71,0)),"")</f>
        <v/>
      </c>
      <c r="P3123" s="25">
        <f>IFERROR(INDEX(Produtos!$D$2:$D$71,MATCH(C3123,Produtos!$A$2:$A$71,0)),0)</f>
        <v/>
      </c>
      <c r="Q3123" s="25">
        <f>IFERROR(INDEX(Produtos!$E$2:$E$71,MATCH(C3123,Produtos!$A$2:$A$71,0)),0)</f>
        <v/>
      </c>
      <c r="R3123" s="27">
        <f>D3123*Q3123</f>
        <v/>
      </c>
      <c r="S3123" s="27">
        <f>R3123*E3123</f>
        <v/>
      </c>
      <c r="T3123" s="27">
        <f>(R3123-S3123)*M3123</f>
        <v/>
      </c>
      <c r="U3123" s="27">
        <f>R3123-S3123-T3123</f>
        <v/>
      </c>
      <c r="V3123" s="27">
        <f>D3123*P3123</f>
        <v/>
      </c>
      <c r="W3123" s="27">
        <f>U3123-V3123</f>
        <v/>
      </c>
      <c r="X3123" s="28">
        <f>IFERROR(W3123/U3123,0)</f>
        <v/>
      </c>
    </row>
    <row r="3124">
      <c r="A3124" s="21">
        <f>ItensPedido!A3124</f>
        <v/>
      </c>
      <c r="B3124" s="21">
        <f>ItensPedido!B3124</f>
        <v/>
      </c>
      <c r="C3124" s="21">
        <f>ItensPedido!C3124</f>
        <v/>
      </c>
      <c r="D3124" s="21">
        <f>ItensPedido!D3124</f>
        <v/>
      </c>
      <c r="E3124" s="22">
        <f>ItensPedido!E3124</f>
        <v/>
      </c>
      <c r="F3124" s="21">
        <f>IFERROR(INDEX(Pedidos!$B$2:$B$1801,MATCH(B3124,Pedidos!$A$2:$A$1801,0)),0)</f>
        <v/>
      </c>
      <c r="G3124" s="21">
        <f>IF(F3124=0,"",YEAR(F3124))</f>
        <v/>
      </c>
      <c r="H3124" s="21">
        <f>IF(F3124=0,"",MONTH(F3124))</f>
        <v/>
      </c>
      <c r="I3124" s="21">
        <f>IFERROR(INDEX(Pedidos!$E$2:$E$1801,MATCH(B3124,Pedidos!$A$2:$A$1801,0)),"")</f>
        <v/>
      </c>
      <c r="J3124" s="21">
        <f>IFERROR(INDEX(Pedidos!$C$2:$C$1801,MATCH(B3124,Pedidos!$A$2:$A$1801,0)),"")</f>
        <v/>
      </c>
      <c r="K3124" s="21">
        <f>IFERROR(INDEX(Pedidos!$D$2:$D$1801,MATCH(B3124,Pedidos!$A$2:$A$1801,0)),"")</f>
        <v/>
      </c>
      <c r="L3124" s="21">
        <f>IFERROR(INDEX(Pedidos!$F$2:$F$1801,MATCH(B3124,Pedidos!$A$2:$A$1801,0)),"")</f>
        <v/>
      </c>
      <c r="M3124" s="22">
        <f>IFERROR(INDEX(Pedidos!$G$2:$G$1801,MATCH(B3124,Pedidos!$A$2:$A$1801,0)),0)</f>
        <v/>
      </c>
      <c r="N3124" s="21">
        <f>IFERROR(INDEX(Produtos!$B$2:$B$71,MATCH(C3124,Produtos!$A$2:$A$71,0)),"")</f>
        <v/>
      </c>
      <c r="O3124" s="21">
        <f>IFERROR(INDEX(Produtos!$C$2:$C$71,MATCH(C3124,Produtos!$A$2:$A$71,0)),"")</f>
        <v/>
      </c>
      <c r="P3124" s="21">
        <f>IFERROR(INDEX(Produtos!$D$2:$D$71,MATCH(C3124,Produtos!$A$2:$A$71,0)),0)</f>
        <v/>
      </c>
      <c r="Q3124" s="21">
        <f>IFERROR(INDEX(Produtos!$E$2:$E$71,MATCH(C3124,Produtos!$A$2:$A$71,0)),0)</f>
        <v/>
      </c>
      <c r="R3124" s="23">
        <f>D3124*Q3124</f>
        <v/>
      </c>
      <c r="S3124" s="23">
        <f>R3124*E3124</f>
        <v/>
      </c>
      <c r="T3124" s="23">
        <f>(R3124-S3124)*M3124</f>
        <v/>
      </c>
      <c r="U3124" s="23">
        <f>R3124-S3124-T3124</f>
        <v/>
      </c>
      <c r="V3124" s="23">
        <f>D3124*P3124</f>
        <v/>
      </c>
      <c r="W3124" s="23">
        <f>U3124-V3124</f>
        <v/>
      </c>
      <c r="X3124" s="24">
        <f>IFERROR(W3124/U3124,0)</f>
        <v/>
      </c>
    </row>
    <row r="3125">
      <c r="A3125" s="25">
        <f>ItensPedido!A3125</f>
        <v/>
      </c>
      <c r="B3125" s="25">
        <f>ItensPedido!B3125</f>
        <v/>
      </c>
      <c r="C3125" s="25">
        <f>ItensPedido!C3125</f>
        <v/>
      </c>
      <c r="D3125" s="25">
        <f>ItensPedido!D3125</f>
        <v/>
      </c>
      <c r="E3125" s="26">
        <f>ItensPedido!E3125</f>
        <v/>
      </c>
      <c r="F3125" s="25">
        <f>IFERROR(INDEX(Pedidos!$B$2:$B$1801,MATCH(B3125,Pedidos!$A$2:$A$1801,0)),0)</f>
        <v/>
      </c>
      <c r="G3125" s="25">
        <f>IF(F3125=0,"",YEAR(F3125))</f>
        <v/>
      </c>
      <c r="H3125" s="25">
        <f>IF(F3125=0,"",MONTH(F3125))</f>
        <v/>
      </c>
      <c r="I3125" s="25">
        <f>IFERROR(INDEX(Pedidos!$E$2:$E$1801,MATCH(B3125,Pedidos!$A$2:$A$1801,0)),"")</f>
        <v/>
      </c>
      <c r="J3125" s="25">
        <f>IFERROR(INDEX(Pedidos!$C$2:$C$1801,MATCH(B3125,Pedidos!$A$2:$A$1801,0)),"")</f>
        <v/>
      </c>
      <c r="K3125" s="25">
        <f>IFERROR(INDEX(Pedidos!$D$2:$D$1801,MATCH(B3125,Pedidos!$A$2:$A$1801,0)),"")</f>
        <v/>
      </c>
      <c r="L3125" s="25">
        <f>IFERROR(INDEX(Pedidos!$F$2:$F$1801,MATCH(B3125,Pedidos!$A$2:$A$1801,0)),"")</f>
        <v/>
      </c>
      <c r="M3125" s="26">
        <f>IFERROR(INDEX(Pedidos!$G$2:$G$1801,MATCH(B3125,Pedidos!$A$2:$A$1801,0)),0)</f>
        <v/>
      </c>
      <c r="N3125" s="25">
        <f>IFERROR(INDEX(Produtos!$B$2:$B$71,MATCH(C3125,Produtos!$A$2:$A$71,0)),"")</f>
        <v/>
      </c>
      <c r="O3125" s="25">
        <f>IFERROR(INDEX(Produtos!$C$2:$C$71,MATCH(C3125,Produtos!$A$2:$A$71,0)),"")</f>
        <v/>
      </c>
      <c r="P3125" s="25">
        <f>IFERROR(INDEX(Produtos!$D$2:$D$71,MATCH(C3125,Produtos!$A$2:$A$71,0)),0)</f>
        <v/>
      </c>
      <c r="Q3125" s="25">
        <f>IFERROR(INDEX(Produtos!$E$2:$E$71,MATCH(C3125,Produtos!$A$2:$A$71,0)),0)</f>
        <v/>
      </c>
      <c r="R3125" s="27">
        <f>D3125*Q3125</f>
        <v/>
      </c>
      <c r="S3125" s="27">
        <f>R3125*E3125</f>
        <v/>
      </c>
      <c r="T3125" s="27">
        <f>(R3125-S3125)*M3125</f>
        <v/>
      </c>
      <c r="U3125" s="27">
        <f>R3125-S3125-T3125</f>
        <v/>
      </c>
      <c r="V3125" s="27">
        <f>D3125*P3125</f>
        <v/>
      </c>
      <c r="W3125" s="27">
        <f>U3125-V3125</f>
        <v/>
      </c>
      <c r="X3125" s="28">
        <f>IFERROR(W3125/U3125,0)</f>
        <v/>
      </c>
    </row>
    <row r="3126">
      <c r="A3126" s="21">
        <f>ItensPedido!A3126</f>
        <v/>
      </c>
      <c r="B3126" s="21">
        <f>ItensPedido!B3126</f>
        <v/>
      </c>
      <c r="C3126" s="21">
        <f>ItensPedido!C3126</f>
        <v/>
      </c>
      <c r="D3126" s="21">
        <f>ItensPedido!D3126</f>
        <v/>
      </c>
      <c r="E3126" s="22">
        <f>ItensPedido!E3126</f>
        <v/>
      </c>
      <c r="F3126" s="21">
        <f>IFERROR(INDEX(Pedidos!$B$2:$B$1801,MATCH(B3126,Pedidos!$A$2:$A$1801,0)),0)</f>
        <v/>
      </c>
      <c r="G3126" s="21">
        <f>IF(F3126=0,"",YEAR(F3126))</f>
        <v/>
      </c>
      <c r="H3126" s="21">
        <f>IF(F3126=0,"",MONTH(F3126))</f>
        <v/>
      </c>
      <c r="I3126" s="21">
        <f>IFERROR(INDEX(Pedidos!$E$2:$E$1801,MATCH(B3126,Pedidos!$A$2:$A$1801,0)),"")</f>
        <v/>
      </c>
      <c r="J3126" s="21">
        <f>IFERROR(INDEX(Pedidos!$C$2:$C$1801,MATCH(B3126,Pedidos!$A$2:$A$1801,0)),"")</f>
        <v/>
      </c>
      <c r="K3126" s="21">
        <f>IFERROR(INDEX(Pedidos!$D$2:$D$1801,MATCH(B3126,Pedidos!$A$2:$A$1801,0)),"")</f>
        <v/>
      </c>
      <c r="L3126" s="21">
        <f>IFERROR(INDEX(Pedidos!$F$2:$F$1801,MATCH(B3126,Pedidos!$A$2:$A$1801,0)),"")</f>
        <v/>
      </c>
      <c r="M3126" s="22">
        <f>IFERROR(INDEX(Pedidos!$G$2:$G$1801,MATCH(B3126,Pedidos!$A$2:$A$1801,0)),0)</f>
        <v/>
      </c>
      <c r="N3126" s="21">
        <f>IFERROR(INDEX(Produtos!$B$2:$B$71,MATCH(C3126,Produtos!$A$2:$A$71,0)),"")</f>
        <v/>
      </c>
      <c r="O3126" s="21">
        <f>IFERROR(INDEX(Produtos!$C$2:$C$71,MATCH(C3126,Produtos!$A$2:$A$71,0)),"")</f>
        <v/>
      </c>
      <c r="P3126" s="21">
        <f>IFERROR(INDEX(Produtos!$D$2:$D$71,MATCH(C3126,Produtos!$A$2:$A$71,0)),0)</f>
        <v/>
      </c>
      <c r="Q3126" s="21">
        <f>IFERROR(INDEX(Produtos!$E$2:$E$71,MATCH(C3126,Produtos!$A$2:$A$71,0)),0)</f>
        <v/>
      </c>
      <c r="R3126" s="23">
        <f>D3126*Q3126</f>
        <v/>
      </c>
      <c r="S3126" s="23">
        <f>R3126*E3126</f>
        <v/>
      </c>
      <c r="T3126" s="23">
        <f>(R3126-S3126)*M3126</f>
        <v/>
      </c>
      <c r="U3126" s="23">
        <f>R3126-S3126-T3126</f>
        <v/>
      </c>
      <c r="V3126" s="23">
        <f>D3126*P3126</f>
        <v/>
      </c>
      <c r="W3126" s="23">
        <f>U3126-V3126</f>
        <v/>
      </c>
      <c r="X3126" s="24">
        <f>IFERROR(W3126/U3126,0)</f>
        <v/>
      </c>
    </row>
    <row r="3127">
      <c r="A3127" s="25">
        <f>ItensPedido!A3127</f>
        <v/>
      </c>
      <c r="B3127" s="25">
        <f>ItensPedido!B3127</f>
        <v/>
      </c>
      <c r="C3127" s="25">
        <f>ItensPedido!C3127</f>
        <v/>
      </c>
      <c r="D3127" s="25">
        <f>ItensPedido!D3127</f>
        <v/>
      </c>
      <c r="E3127" s="26">
        <f>ItensPedido!E3127</f>
        <v/>
      </c>
      <c r="F3127" s="25">
        <f>IFERROR(INDEX(Pedidos!$B$2:$B$1801,MATCH(B3127,Pedidos!$A$2:$A$1801,0)),0)</f>
        <v/>
      </c>
      <c r="G3127" s="25">
        <f>IF(F3127=0,"",YEAR(F3127))</f>
        <v/>
      </c>
      <c r="H3127" s="25">
        <f>IF(F3127=0,"",MONTH(F3127))</f>
        <v/>
      </c>
      <c r="I3127" s="25">
        <f>IFERROR(INDEX(Pedidos!$E$2:$E$1801,MATCH(B3127,Pedidos!$A$2:$A$1801,0)),"")</f>
        <v/>
      </c>
      <c r="J3127" s="25">
        <f>IFERROR(INDEX(Pedidos!$C$2:$C$1801,MATCH(B3127,Pedidos!$A$2:$A$1801,0)),"")</f>
        <v/>
      </c>
      <c r="K3127" s="25">
        <f>IFERROR(INDEX(Pedidos!$D$2:$D$1801,MATCH(B3127,Pedidos!$A$2:$A$1801,0)),"")</f>
        <v/>
      </c>
      <c r="L3127" s="25">
        <f>IFERROR(INDEX(Pedidos!$F$2:$F$1801,MATCH(B3127,Pedidos!$A$2:$A$1801,0)),"")</f>
        <v/>
      </c>
      <c r="M3127" s="26">
        <f>IFERROR(INDEX(Pedidos!$G$2:$G$1801,MATCH(B3127,Pedidos!$A$2:$A$1801,0)),0)</f>
        <v/>
      </c>
      <c r="N3127" s="25">
        <f>IFERROR(INDEX(Produtos!$B$2:$B$71,MATCH(C3127,Produtos!$A$2:$A$71,0)),"")</f>
        <v/>
      </c>
      <c r="O3127" s="25">
        <f>IFERROR(INDEX(Produtos!$C$2:$C$71,MATCH(C3127,Produtos!$A$2:$A$71,0)),"")</f>
        <v/>
      </c>
      <c r="P3127" s="25">
        <f>IFERROR(INDEX(Produtos!$D$2:$D$71,MATCH(C3127,Produtos!$A$2:$A$71,0)),0)</f>
        <v/>
      </c>
      <c r="Q3127" s="25">
        <f>IFERROR(INDEX(Produtos!$E$2:$E$71,MATCH(C3127,Produtos!$A$2:$A$71,0)),0)</f>
        <v/>
      </c>
      <c r="R3127" s="27">
        <f>D3127*Q3127</f>
        <v/>
      </c>
      <c r="S3127" s="27">
        <f>R3127*E3127</f>
        <v/>
      </c>
      <c r="T3127" s="27">
        <f>(R3127-S3127)*M3127</f>
        <v/>
      </c>
      <c r="U3127" s="27">
        <f>R3127-S3127-T3127</f>
        <v/>
      </c>
      <c r="V3127" s="27">
        <f>D3127*P3127</f>
        <v/>
      </c>
      <c r="W3127" s="27">
        <f>U3127-V3127</f>
        <v/>
      </c>
      <c r="X3127" s="28">
        <f>IFERROR(W3127/U3127,0)</f>
        <v/>
      </c>
    </row>
    <row r="3128">
      <c r="A3128" s="21">
        <f>ItensPedido!A3128</f>
        <v/>
      </c>
      <c r="B3128" s="21">
        <f>ItensPedido!B3128</f>
        <v/>
      </c>
      <c r="C3128" s="21">
        <f>ItensPedido!C3128</f>
        <v/>
      </c>
      <c r="D3128" s="21">
        <f>ItensPedido!D3128</f>
        <v/>
      </c>
      <c r="E3128" s="22">
        <f>ItensPedido!E3128</f>
        <v/>
      </c>
      <c r="F3128" s="21">
        <f>IFERROR(INDEX(Pedidos!$B$2:$B$1801,MATCH(B3128,Pedidos!$A$2:$A$1801,0)),0)</f>
        <v/>
      </c>
      <c r="G3128" s="21">
        <f>IF(F3128=0,"",YEAR(F3128))</f>
        <v/>
      </c>
      <c r="H3128" s="21">
        <f>IF(F3128=0,"",MONTH(F3128))</f>
        <v/>
      </c>
      <c r="I3128" s="21">
        <f>IFERROR(INDEX(Pedidos!$E$2:$E$1801,MATCH(B3128,Pedidos!$A$2:$A$1801,0)),"")</f>
        <v/>
      </c>
      <c r="J3128" s="21">
        <f>IFERROR(INDEX(Pedidos!$C$2:$C$1801,MATCH(B3128,Pedidos!$A$2:$A$1801,0)),"")</f>
        <v/>
      </c>
      <c r="K3128" s="21">
        <f>IFERROR(INDEX(Pedidos!$D$2:$D$1801,MATCH(B3128,Pedidos!$A$2:$A$1801,0)),"")</f>
        <v/>
      </c>
      <c r="L3128" s="21">
        <f>IFERROR(INDEX(Pedidos!$F$2:$F$1801,MATCH(B3128,Pedidos!$A$2:$A$1801,0)),"")</f>
        <v/>
      </c>
      <c r="M3128" s="22">
        <f>IFERROR(INDEX(Pedidos!$G$2:$G$1801,MATCH(B3128,Pedidos!$A$2:$A$1801,0)),0)</f>
        <v/>
      </c>
      <c r="N3128" s="21">
        <f>IFERROR(INDEX(Produtos!$B$2:$B$71,MATCH(C3128,Produtos!$A$2:$A$71,0)),"")</f>
        <v/>
      </c>
      <c r="O3128" s="21">
        <f>IFERROR(INDEX(Produtos!$C$2:$C$71,MATCH(C3128,Produtos!$A$2:$A$71,0)),"")</f>
        <v/>
      </c>
      <c r="P3128" s="21">
        <f>IFERROR(INDEX(Produtos!$D$2:$D$71,MATCH(C3128,Produtos!$A$2:$A$71,0)),0)</f>
        <v/>
      </c>
      <c r="Q3128" s="21">
        <f>IFERROR(INDEX(Produtos!$E$2:$E$71,MATCH(C3128,Produtos!$A$2:$A$71,0)),0)</f>
        <v/>
      </c>
      <c r="R3128" s="23">
        <f>D3128*Q3128</f>
        <v/>
      </c>
      <c r="S3128" s="23">
        <f>R3128*E3128</f>
        <v/>
      </c>
      <c r="T3128" s="23">
        <f>(R3128-S3128)*M3128</f>
        <v/>
      </c>
      <c r="U3128" s="23">
        <f>R3128-S3128-T3128</f>
        <v/>
      </c>
      <c r="V3128" s="23">
        <f>D3128*P3128</f>
        <v/>
      </c>
      <c r="W3128" s="23">
        <f>U3128-V3128</f>
        <v/>
      </c>
      <c r="X3128" s="24">
        <f>IFERROR(W3128/U3128,0)</f>
        <v/>
      </c>
    </row>
    <row r="3129">
      <c r="A3129" s="25">
        <f>ItensPedido!A3129</f>
        <v/>
      </c>
      <c r="B3129" s="25">
        <f>ItensPedido!B3129</f>
        <v/>
      </c>
      <c r="C3129" s="25">
        <f>ItensPedido!C3129</f>
        <v/>
      </c>
      <c r="D3129" s="25">
        <f>ItensPedido!D3129</f>
        <v/>
      </c>
      <c r="E3129" s="26">
        <f>ItensPedido!E3129</f>
        <v/>
      </c>
      <c r="F3129" s="25">
        <f>IFERROR(INDEX(Pedidos!$B$2:$B$1801,MATCH(B3129,Pedidos!$A$2:$A$1801,0)),0)</f>
        <v/>
      </c>
      <c r="G3129" s="25">
        <f>IF(F3129=0,"",YEAR(F3129))</f>
        <v/>
      </c>
      <c r="H3129" s="25">
        <f>IF(F3129=0,"",MONTH(F3129))</f>
        <v/>
      </c>
      <c r="I3129" s="25">
        <f>IFERROR(INDEX(Pedidos!$E$2:$E$1801,MATCH(B3129,Pedidos!$A$2:$A$1801,0)),"")</f>
        <v/>
      </c>
      <c r="J3129" s="25">
        <f>IFERROR(INDEX(Pedidos!$C$2:$C$1801,MATCH(B3129,Pedidos!$A$2:$A$1801,0)),"")</f>
        <v/>
      </c>
      <c r="K3129" s="25">
        <f>IFERROR(INDEX(Pedidos!$D$2:$D$1801,MATCH(B3129,Pedidos!$A$2:$A$1801,0)),"")</f>
        <v/>
      </c>
      <c r="L3129" s="25">
        <f>IFERROR(INDEX(Pedidos!$F$2:$F$1801,MATCH(B3129,Pedidos!$A$2:$A$1801,0)),"")</f>
        <v/>
      </c>
      <c r="M3129" s="26">
        <f>IFERROR(INDEX(Pedidos!$G$2:$G$1801,MATCH(B3129,Pedidos!$A$2:$A$1801,0)),0)</f>
        <v/>
      </c>
      <c r="N3129" s="25">
        <f>IFERROR(INDEX(Produtos!$B$2:$B$71,MATCH(C3129,Produtos!$A$2:$A$71,0)),"")</f>
        <v/>
      </c>
      <c r="O3129" s="25">
        <f>IFERROR(INDEX(Produtos!$C$2:$C$71,MATCH(C3129,Produtos!$A$2:$A$71,0)),"")</f>
        <v/>
      </c>
      <c r="P3129" s="25">
        <f>IFERROR(INDEX(Produtos!$D$2:$D$71,MATCH(C3129,Produtos!$A$2:$A$71,0)),0)</f>
        <v/>
      </c>
      <c r="Q3129" s="25">
        <f>IFERROR(INDEX(Produtos!$E$2:$E$71,MATCH(C3129,Produtos!$A$2:$A$71,0)),0)</f>
        <v/>
      </c>
      <c r="R3129" s="27">
        <f>D3129*Q3129</f>
        <v/>
      </c>
      <c r="S3129" s="27">
        <f>R3129*E3129</f>
        <v/>
      </c>
      <c r="T3129" s="27">
        <f>(R3129-S3129)*M3129</f>
        <v/>
      </c>
      <c r="U3129" s="27">
        <f>R3129-S3129-T3129</f>
        <v/>
      </c>
      <c r="V3129" s="27">
        <f>D3129*P3129</f>
        <v/>
      </c>
      <c r="W3129" s="27">
        <f>U3129-V3129</f>
        <v/>
      </c>
      <c r="X3129" s="28">
        <f>IFERROR(W3129/U3129,0)</f>
        <v/>
      </c>
    </row>
    <row r="3130">
      <c r="A3130" s="21">
        <f>ItensPedido!A3130</f>
        <v/>
      </c>
      <c r="B3130" s="21">
        <f>ItensPedido!B3130</f>
        <v/>
      </c>
      <c r="C3130" s="21">
        <f>ItensPedido!C3130</f>
        <v/>
      </c>
      <c r="D3130" s="21">
        <f>ItensPedido!D3130</f>
        <v/>
      </c>
      <c r="E3130" s="22">
        <f>ItensPedido!E3130</f>
        <v/>
      </c>
      <c r="F3130" s="21">
        <f>IFERROR(INDEX(Pedidos!$B$2:$B$1801,MATCH(B3130,Pedidos!$A$2:$A$1801,0)),0)</f>
        <v/>
      </c>
      <c r="G3130" s="21">
        <f>IF(F3130=0,"",YEAR(F3130))</f>
        <v/>
      </c>
      <c r="H3130" s="21">
        <f>IF(F3130=0,"",MONTH(F3130))</f>
        <v/>
      </c>
      <c r="I3130" s="21">
        <f>IFERROR(INDEX(Pedidos!$E$2:$E$1801,MATCH(B3130,Pedidos!$A$2:$A$1801,0)),"")</f>
        <v/>
      </c>
      <c r="J3130" s="21">
        <f>IFERROR(INDEX(Pedidos!$C$2:$C$1801,MATCH(B3130,Pedidos!$A$2:$A$1801,0)),"")</f>
        <v/>
      </c>
      <c r="K3130" s="21">
        <f>IFERROR(INDEX(Pedidos!$D$2:$D$1801,MATCH(B3130,Pedidos!$A$2:$A$1801,0)),"")</f>
        <v/>
      </c>
      <c r="L3130" s="21">
        <f>IFERROR(INDEX(Pedidos!$F$2:$F$1801,MATCH(B3130,Pedidos!$A$2:$A$1801,0)),"")</f>
        <v/>
      </c>
      <c r="M3130" s="22">
        <f>IFERROR(INDEX(Pedidos!$G$2:$G$1801,MATCH(B3130,Pedidos!$A$2:$A$1801,0)),0)</f>
        <v/>
      </c>
      <c r="N3130" s="21">
        <f>IFERROR(INDEX(Produtos!$B$2:$B$71,MATCH(C3130,Produtos!$A$2:$A$71,0)),"")</f>
        <v/>
      </c>
      <c r="O3130" s="21">
        <f>IFERROR(INDEX(Produtos!$C$2:$C$71,MATCH(C3130,Produtos!$A$2:$A$71,0)),"")</f>
        <v/>
      </c>
      <c r="P3130" s="21">
        <f>IFERROR(INDEX(Produtos!$D$2:$D$71,MATCH(C3130,Produtos!$A$2:$A$71,0)),0)</f>
        <v/>
      </c>
      <c r="Q3130" s="21">
        <f>IFERROR(INDEX(Produtos!$E$2:$E$71,MATCH(C3130,Produtos!$A$2:$A$71,0)),0)</f>
        <v/>
      </c>
      <c r="R3130" s="23">
        <f>D3130*Q3130</f>
        <v/>
      </c>
      <c r="S3130" s="23">
        <f>R3130*E3130</f>
        <v/>
      </c>
      <c r="T3130" s="23">
        <f>(R3130-S3130)*M3130</f>
        <v/>
      </c>
      <c r="U3130" s="23">
        <f>R3130-S3130-T3130</f>
        <v/>
      </c>
      <c r="V3130" s="23">
        <f>D3130*P3130</f>
        <v/>
      </c>
      <c r="W3130" s="23">
        <f>U3130-V3130</f>
        <v/>
      </c>
      <c r="X3130" s="24">
        <f>IFERROR(W3130/U3130,0)</f>
        <v/>
      </c>
    </row>
    <row r="3131">
      <c r="A3131" s="25">
        <f>ItensPedido!A3131</f>
        <v/>
      </c>
      <c r="B3131" s="25">
        <f>ItensPedido!B3131</f>
        <v/>
      </c>
      <c r="C3131" s="25">
        <f>ItensPedido!C3131</f>
        <v/>
      </c>
      <c r="D3131" s="25">
        <f>ItensPedido!D3131</f>
        <v/>
      </c>
      <c r="E3131" s="26">
        <f>ItensPedido!E3131</f>
        <v/>
      </c>
      <c r="F3131" s="25">
        <f>IFERROR(INDEX(Pedidos!$B$2:$B$1801,MATCH(B3131,Pedidos!$A$2:$A$1801,0)),0)</f>
        <v/>
      </c>
      <c r="G3131" s="25">
        <f>IF(F3131=0,"",YEAR(F3131))</f>
        <v/>
      </c>
      <c r="H3131" s="25">
        <f>IF(F3131=0,"",MONTH(F3131))</f>
        <v/>
      </c>
      <c r="I3131" s="25">
        <f>IFERROR(INDEX(Pedidos!$E$2:$E$1801,MATCH(B3131,Pedidos!$A$2:$A$1801,0)),"")</f>
        <v/>
      </c>
      <c r="J3131" s="25">
        <f>IFERROR(INDEX(Pedidos!$C$2:$C$1801,MATCH(B3131,Pedidos!$A$2:$A$1801,0)),"")</f>
        <v/>
      </c>
      <c r="K3131" s="25">
        <f>IFERROR(INDEX(Pedidos!$D$2:$D$1801,MATCH(B3131,Pedidos!$A$2:$A$1801,0)),"")</f>
        <v/>
      </c>
      <c r="L3131" s="25">
        <f>IFERROR(INDEX(Pedidos!$F$2:$F$1801,MATCH(B3131,Pedidos!$A$2:$A$1801,0)),"")</f>
        <v/>
      </c>
      <c r="M3131" s="26">
        <f>IFERROR(INDEX(Pedidos!$G$2:$G$1801,MATCH(B3131,Pedidos!$A$2:$A$1801,0)),0)</f>
        <v/>
      </c>
      <c r="N3131" s="25">
        <f>IFERROR(INDEX(Produtos!$B$2:$B$71,MATCH(C3131,Produtos!$A$2:$A$71,0)),"")</f>
        <v/>
      </c>
      <c r="O3131" s="25">
        <f>IFERROR(INDEX(Produtos!$C$2:$C$71,MATCH(C3131,Produtos!$A$2:$A$71,0)),"")</f>
        <v/>
      </c>
      <c r="P3131" s="25">
        <f>IFERROR(INDEX(Produtos!$D$2:$D$71,MATCH(C3131,Produtos!$A$2:$A$71,0)),0)</f>
        <v/>
      </c>
      <c r="Q3131" s="25">
        <f>IFERROR(INDEX(Produtos!$E$2:$E$71,MATCH(C3131,Produtos!$A$2:$A$71,0)),0)</f>
        <v/>
      </c>
      <c r="R3131" s="27">
        <f>D3131*Q3131</f>
        <v/>
      </c>
      <c r="S3131" s="27">
        <f>R3131*E3131</f>
        <v/>
      </c>
      <c r="T3131" s="27">
        <f>(R3131-S3131)*M3131</f>
        <v/>
      </c>
      <c r="U3131" s="27">
        <f>R3131-S3131-T3131</f>
        <v/>
      </c>
      <c r="V3131" s="27">
        <f>D3131*P3131</f>
        <v/>
      </c>
      <c r="W3131" s="27">
        <f>U3131-V3131</f>
        <v/>
      </c>
      <c r="X3131" s="28">
        <f>IFERROR(W3131/U3131,0)</f>
        <v/>
      </c>
    </row>
    <row r="3132">
      <c r="A3132" s="21">
        <f>ItensPedido!A3132</f>
        <v/>
      </c>
      <c r="B3132" s="21">
        <f>ItensPedido!B3132</f>
        <v/>
      </c>
      <c r="C3132" s="21">
        <f>ItensPedido!C3132</f>
        <v/>
      </c>
      <c r="D3132" s="21">
        <f>ItensPedido!D3132</f>
        <v/>
      </c>
      <c r="E3132" s="22">
        <f>ItensPedido!E3132</f>
        <v/>
      </c>
      <c r="F3132" s="21">
        <f>IFERROR(INDEX(Pedidos!$B$2:$B$1801,MATCH(B3132,Pedidos!$A$2:$A$1801,0)),0)</f>
        <v/>
      </c>
      <c r="G3132" s="21">
        <f>IF(F3132=0,"",YEAR(F3132))</f>
        <v/>
      </c>
      <c r="H3132" s="21">
        <f>IF(F3132=0,"",MONTH(F3132))</f>
        <v/>
      </c>
      <c r="I3132" s="21">
        <f>IFERROR(INDEX(Pedidos!$E$2:$E$1801,MATCH(B3132,Pedidos!$A$2:$A$1801,0)),"")</f>
        <v/>
      </c>
      <c r="J3132" s="21">
        <f>IFERROR(INDEX(Pedidos!$C$2:$C$1801,MATCH(B3132,Pedidos!$A$2:$A$1801,0)),"")</f>
        <v/>
      </c>
      <c r="K3132" s="21">
        <f>IFERROR(INDEX(Pedidos!$D$2:$D$1801,MATCH(B3132,Pedidos!$A$2:$A$1801,0)),"")</f>
        <v/>
      </c>
      <c r="L3132" s="21">
        <f>IFERROR(INDEX(Pedidos!$F$2:$F$1801,MATCH(B3132,Pedidos!$A$2:$A$1801,0)),"")</f>
        <v/>
      </c>
      <c r="M3132" s="22">
        <f>IFERROR(INDEX(Pedidos!$G$2:$G$1801,MATCH(B3132,Pedidos!$A$2:$A$1801,0)),0)</f>
        <v/>
      </c>
      <c r="N3132" s="21">
        <f>IFERROR(INDEX(Produtos!$B$2:$B$71,MATCH(C3132,Produtos!$A$2:$A$71,0)),"")</f>
        <v/>
      </c>
      <c r="O3132" s="21">
        <f>IFERROR(INDEX(Produtos!$C$2:$C$71,MATCH(C3132,Produtos!$A$2:$A$71,0)),"")</f>
        <v/>
      </c>
      <c r="P3132" s="21">
        <f>IFERROR(INDEX(Produtos!$D$2:$D$71,MATCH(C3132,Produtos!$A$2:$A$71,0)),0)</f>
        <v/>
      </c>
      <c r="Q3132" s="21">
        <f>IFERROR(INDEX(Produtos!$E$2:$E$71,MATCH(C3132,Produtos!$A$2:$A$71,0)),0)</f>
        <v/>
      </c>
      <c r="R3132" s="23">
        <f>D3132*Q3132</f>
        <v/>
      </c>
      <c r="S3132" s="23">
        <f>R3132*E3132</f>
        <v/>
      </c>
      <c r="T3132" s="23">
        <f>(R3132-S3132)*M3132</f>
        <v/>
      </c>
      <c r="U3132" s="23">
        <f>R3132-S3132-T3132</f>
        <v/>
      </c>
      <c r="V3132" s="23">
        <f>D3132*P3132</f>
        <v/>
      </c>
      <c r="W3132" s="23">
        <f>U3132-V3132</f>
        <v/>
      </c>
      <c r="X3132" s="24">
        <f>IFERROR(W3132/U3132,0)</f>
        <v/>
      </c>
    </row>
    <row r="3133">
      <c r="A3133" s="25">
        <f>ItensPedido!A3133</f>
        <v/>
      </c>
      <c r="B3133" s="25">
        <f>ItensPedido!B3133</f>
        <v/>
      </c>
      <c r="C3133" s="25">
        <f>ItensPedido!C3133</f>
        <v/>
      </c>
      <c r="D3133" s="25">
        <f>ItensPedido!D3133</f>
        <v/>
      </c>
      <c r="E3133" s="26">
        <f>ItensPedido!E3133</f>
        <v/>
      </c>
      <c r="F3133" s="25">
        <f>IFERROR(INDEX(Pedidos!$B$2:$B$1801,MATCH(B3133,Pedidos!$A$2:$A$1801,0)),0)</f>
        <v/>
      </c>
      <c r="G3133" s="25">
        <f>IF(F3133=0,"",YEAR(F3133))</f>
        <v/>
      </c>
      <c r="H3133" s="25">
        <f>IF(F3133=0,"",MONTH(F3133))</f>
        <v/>
      </c>
      <c r="I3133" s="25">
        <f>IFERROR(INDEX(Pedidos!$E$2:$E$1801,MATCH(B3133,Pedidos!$A$2:$A$1801,0)),"")</f>
        <v/>
      </c>
      <c r="J3133" s="25">
        <f>IFERROR(INDEX(Pedidos!$C$2:$C$1801,MATCH(B3133,Pedidos!$A$2:$A$1801,0)),"")</f>
        <v/>
      </c>
      <c r="K3133" s="25">
        <f>IFERROR(INDEX(Pedidos!$D$2:$D$1801,MATCH(B3133,Pedidos!$A$2:$A$1801,0)),"")</f>
        <v/>
      </c>
      <c r="L3133" s="25">
        <f>IFERROR(INDEX(Pedidos!$F$2:$F$1801,MATCH(B3133,Pedidos!$A$2:$A$1801,0)),"")</f>
        <v/>
      </c>
      <c r="M3133" s="26">
        <f>IFERROR(INDEX(Pedidos!$G$2:$G$1801,MATCH(B3133,Pedidos!$A$2:$A$1801,0)),0)</f>
        <v/>
      </c>
      <c r="N3133" s="25">
        <f>IFERROR(INDEX(Produtos!$B$2:$B$71,MATCH(C3133,Produtos!$A$2:$A$71,0)),"")</f>
        <v/>
      </c>
      <c r="O3133" s="25">
        <f>IFERROR(INDEX(Produtos!$C$2:$C$71,MATCH(C3133,Produtos!$A$2:$A$71,0)),"")</f>
        <v/>
      </c>
      <c r="P3133" s="25">
        <f>IFERROR(INDEX(Produtos!$D$2:$D$71,MATCH(C3133,Produtos!$A$2:$A$71,0)),0)</f>
        <v/>
      </c>
      <c r="Q3133" s="25">
        <f>IFERROR(INDEX(Produtos!$E$2:$E$71,MATCH(C3133,Produtos!$A$2:$A$71,0)),0)</f>
        <v/>
      </c>
      <c r="R3133" s="27">
        <f>D3133*Q3133</f>
        <v/>
      </c>
      <c r="S3133" s="27">
        <f>R3133*E3133</f>
        <v/>
      </c>
      <c r="T3133" s="27">
        <f>(R3133-S3133)*M3133</f>
        <v/>
      </c>
      <c r="U3133" s="27">
        <f>R3133-S3133-T3133</f>
        <v/>
      </c>
      <c r="V3133" s="27">
        <f>D3133*P3133</f>
        <v/>
      </c>
      <c r="W3133" s="27">
        <f>U3133-V3133</f>
        <v/>
      </c>
      <c r="X3133" s="28">
        <f>IFERROR(W3133/U3133,0)</f>
        <v/>
      </c>
    </row>
    <row r="3134">
      <c r="A3134" s="21">
        <f>ItensPedido!A3134</f>
        <v/>
      </c>
      <c r="B3134" s="21">
        <f>ItensPedido!B3134</f>
        <v/>
      </c>
      <c r="C3134" s="21">
        <f>ItensPedido!C3134</f>
        <v/>
      </c>
      <c r="D3134" s="21">
        <f>ItensPedido!D3134</f>
        <v/>
      </c>
      <c r="E3134" s="22">
        <f>ItensPedido!E3134</f>
        <v/>
      </c>
      <c r="F3134" s="21">
        <f>IFERROR(INDEX(Pedidos!$B$2:$B$1801,MATCH(B3134,Pedidos!$A$2:$A$1801,0)),0)</f>
        <v/>
      </c>
      <c r="G3134" s="21">
        <f>IF(F3134=0,"",YEAR(F3134))</f>
        <v/>
      </c>
      <c r="H3134" s="21">
        <f>IF(F3134=0,"",MONTH(F3134))</f>
        <v/>
      </c>
      <c r="I3134" s="21">
        <f>IFERROR(INDEX(Pedidos!$E$2:$E$1801,MATCH(B3134,Pedidos!$A$2:$A$1801,0)),"")</f>
        <v/>
      </c>
      <c r="J3134" s="21">
        <f>IFERROR(INDEX(Pedidos!$C$2:$C$1801,MATCH(B3134,Pedidos!$A$2:$A$1801,0)),"")</f>
        <v/>
      </c>
      <c r="K3134" s="21">
        <f>IFERROR(INDEX(Pedidos!$D$2:$D$1801,MATCH(B3134,Pedidos!$A$2:$A$1801,0)),"")</f>
        <v/>
      </c>
      <c r="L3134" s="21">
        <f>IFERROR(INDEX(Pedidos!$F$2:$F$1801,MATCH(B3134,Pedidos!$A$2:$A$1801,0)),"")</f>
        <v/>
      </c>
      <c r="M3134" s="22">
        <f>IFERROR(INDEX(Pedidos!$G$2:$G$1801,MATCH(B3134,Pedidos!$A$2:$A$1801,0)),0)</f>
        <v/>
      </c>
      <c r="N3134" s="21">
        <f>IFERROR(INDEX(Produtos!$B$2:$B$71,MATCH(C3134,Produtos!$A$2:$A$71,0)),"")</f>
        <v/>
      </c>
      <c r="O3134" s="21">
        <f>IFERROR(INDEX(Produtos!$C$2:$C$71,MATCH(C3134,Produtos!$A$2:$A$71,0)),"")</f>
        <v/>
      </c>
      <c r="P3134" s="21">
        <f>IFERROR(INDEX(Produtos!$D$2:$D$71,MATCH(C3134,Produtos!$A$2:$A$71,0)),0)</f>
        <v/>
      </c>
      <c r="Q3134" s="21">
        <f>IFERROR(INDEX(Produtos!$E$2:$E$71,MATCH(C3134,Produtos!$A$2:$A$71,0)),0)</f>
        <v/>
      </c>
      <c r="R3134" s="23">
        <f>D3134*Q3134</f>
        <v/>
      </c>
      <c r="S3134" s="23">
        <f>R3134*E3134</f>
        <v/>
      </c>
      <c r="T3134" s="23">
        <f>(R3134-S3134)*M3134</f>
        <v/>
      </c>
      <c r="U3134" s="23">
        <f>R3134-S3134-T3134</f>
        <v/>
      </c>
      <c r="V3134" s="23">
        <f>D3134*P3134</f>
        <v/>
      </c>
      <c r="W3134" s="23">
        <f>U3134-V3134</f>
        <v/>
      </c>
      <c r="X3134" s="24">
        <f>IFERROR(W3134/U3134,0)</f>
        <v/>
      </c>
    </row>
    <row r="3135">
      <c r="A3135" s="25">
        <f>ItensPedido!A3135</f>
        <v/>
      </c>
      <c r="B3135" s="25">
        <f>ItensPedido!B3135</f>
        <v/>
      </c>
      <c r="C3135" s="25">
        <f>ItensPedido!C3135</f>
        <v/>
      </c>
      <c r="D3135" s="25">
        <f>ItensPedido!D3135</f>
        <v/>
      </c>
      <c r="E3135" s="26">
        <f>ItensPedido!E3135</f>
        <v/>
      </c>
      <c r="F3135" s="25">
        <f>IFERROR(INDEX(Pedidos!$B$2:$B$1801,MATCH(B3135,Pedidos!$A$2:$A$1801,0)),0)</f>
        <v/>
      </c>
      <c r="G3135" s="25">
        <f>IF(F3135=0,"",YEAR(F3135))</f>
        <v/>
      </c>
      <c r="H3135" s="25">
        <f>IF(F3135=0,"",MONTH(F3135))</f>
        <v/>
      </c>
      <c r="I3135" s="25">
        <f>IFERROR(INDEX(Pedidos!$E$2:$E$1801,MATCH(B3135,Pedidos!$A$2:$A$1801,0)),"")</f>
        <v/>
      </c>
      <c r="J3135" s="25">
        <f>IFERROR(INDEX(Pedidos!$C$2:$C$1801,MATCH(B3135,Pedidos!$A$2:$A$1801,0)),"")</f>
        <v/>
      </c>
      <c r="K3135" s="25">
        <f>IFERROR(INDEX(Pedidos!$D$2:$D$1801,MATCH(B3135,Pedidos!$A$2:$A$1801,0)),"")</f>
        <v/>
      </c>
      <c r="L3135" s="25">
        <f>IFERROR(INDEX(Pedidos!$F$2:$F$1801,MATCH(B3135,Pedidos!$A$2:$A$1801,0)),"")</f>
        <v/>
      </c>
      <c r="M3135" s="26">
        <f>IFERROR(INDEX(Pedidos!$G$2:$G$1801,MATCH(B3135,Pedidos!$A$2:$A$1801,0)),0)</f>
        <v/>
      </c>
      <c r="N3135" s="25">
        <f>IFERROR(INDEX(Produtos!$B$2:$B$71,MATCH(C3135,Produtos!$A$2:$A$71,0)),"")</f>
        <v/>
      </c>
      <c r="O3135" s="25">
        <f>IFERROR(INDEX(Produtos!$C$2:$C$71,MATCH(C3135,Produtos!$A$2:$A$71,0)),"")</f>
        <v/>
      </c>
      <c r="P3135" s="25">
        <f>IFERROR(INDEX(Produtos!$D$2:$D$71,MATCH(C3135,Produtos!$A$2:$A$71,0)),0)</f>
        <v/>
      </c>
      <c r="Q3135" s="25">
        <f>IFERROR(INDEX(Produtos!$E$2:$E$71,MATCH(C3135,Produtos!$A$2:$A$71,0)),0)</f>
        <v/>
      </c>
      <c r="R3135" s="27">
        <f>D3135*Q3135</f>
        <v/>
      </c>
      <c r="S3135" s="27">
        <f>R3135*E3135</f>
        <v/>
      </c>
      <c r="T3135" s="27">
        <f>(R3135-S3135)*M3135</f>
        <v/>
      </c>
      <c r="U3135" s="27">
        <f>R3135-S3135-T3135</f>
        <v/>
      </c>
      <c r="V3135" s="27">
        <f>D3135*P3135</f>
        <v/>
      </c>
      <c r="W3135" s="27">
        <f>U3135-V3135</f>
        <v/>
      </c>
      <c r="X3135" s="28">
        <f>IFERROR(W3135/U3135,0)</f>
        <v/>
      </c>
    </row>
    <row r="3136">
      <c r="A3136" s="21">
        <f>ItensPedido!A3136</f>
        <v/>
      </c>
      <c r="B3136" s="21">
        <f>ItensPedido!B3136</f>
        <v/>
      </c>
      <c r="C3136" s="21">
        <f>ItensPedido!C3136</f>
        <v/>
      </c>
      <c r="D3136" s="21">
        <f>ItensPedido!D3136</f>
        <v/>
      </c>
      <c r="E3136" s="22">
        <f>ItensPedido!E3136</f>
        <v/>
      </c>
      <c r="F3136" s="21">
        <f>IFERROR(INDEX(Pedidos!$B$2:$B$1801,MATCH(B3136,Pedidos!$A$2:$A$1801,0)),0)</f>
        <v/>
      </c>
      <c r="G3136" s="21">
        <f>IF(F3136=0,"",YEAR(F3136))</f>
        <v/>
      </c>
      <c r="H3136" s="21">
        <f>IF(F3136=0,"",MONTH(F3136))</f>
        <v/>
      </c>
      <c r="I3136" s="21">
        <f>IFERROR(INDEX(Pedidos!$E$2:$E$1801,MATCH(B3136,Pedidos!$A$2:$A$1801,0)),"")</f>
        <v/>
      </c>
      <c r="J3136" s="21">
        <f>IFERROR(INDEX(Pedidos!$C$2:$C$1801,MATCH(B3136,Pedidos!$A$2:$A$1801,0)),"")</f>
        <v/>
      </c>
      <c r="K3136" s="21">
        <f>IFERROR(INDEX(Pedidos!$D$2:$D$1801,MATCH(B3136,Pedidos!$A$2:$A$1801,0)),"")</f>
        <v/>
      </c>
      <c r="L3136" s="21">
        <f>IFERROR(INDEX(Pedidos!$F$2:$F$1801,MATCH(B3136,Pedidos!$A$2:$A$1801,0)),"")</f>
        <v/>
      </c>
      <c r="M3136" s="22">
        <f>IFERROR(INDEX(Pedidos!$G$2:$G$1801,MATCH(B3136,Pedidos!$A$2:$A$1801,0)),0)</f>
        <v/>
      </c>
      <c r="N3136" s="21">
        <f>IFERROR(INDEX(Produtos!$B$2:$B$71,MATCH(C3136,Produtos!$A$2:$A$71,0)),"")</f>
        <v/>
      </c>
      <c r="O3136" s="21">
        <f>IFERROR(INDEX(Produtos!$C$2:$C$71,MATCH(C3136,Produtos!$A$2:$A$71,0)),"")</f>
        <v/>
      </c>
      <c r="P3136" s="21">
        <f>IFERROR(INDEX(Produtos!$D$2:$D$71,MATCH(C3136,Produtos!$A$2:$A$71,0)),0)</f>
        <v/>
      </c>
      <c r="Q3136" s="21">
        <f>IFERROR(INDEX(Produtos!$E$2:$E$71,MATCH(C3136,Produtos!$A$2:$A$71,0)),0)</f>
        <v/>
      </c>
      <c r="R3136" s="23">
        <f>D3136*Q3136</f>
        <v/>
      </c>
      <c r="S3136" s="23">
        <f>R3136*E3136</f>
        <v/>
      </c>
      <c r="T3136" s="23">
        <f>(R3136-S3136)*M3136</f>
        <v/>
      </c>
      <c r="U3136" s="23">
        <f>R3136-S3136-T3136</f>
        <v/>
      </c>
      <c r="V3136" s="23">
        <f>D3136*P3136</f>
        <v/>
      </c>
      <c r="W3136" s="23">
        <f>U3136-V3136</f>
        <v/>
      </c>
      <c r="X3136" s="24">
        <f>IFERROR(W3136/U3136,0)</f>
        <v/>
      </c>
    </row>
    <row r="3137">
      <c r="A3137" s="25">
        <f>ItensPedido!A3137</f>
        <v/>
      </c>
      <c r="B3137" s="25">
        <f>ItensPedido!B3137</f>
        <v/>
      </c>
      <c r="C3137" s="25">
        <f>ItensPedido!C3137</f>
        <v/>
      </c>
      <c r="D3137" s="25">
        <f>ItensPedido!D3137</f>
        <v/>
      </c>
      <c r="E3137" s="26">
        <f>ItensPedido!E3137</f>
        <v/>
      </c>
      <c r="F3137" s="25">
        <f>IFERROR(INDEX(Pedidos!$B$2:$B$1801,MATCH(B3137,Pedidos!$A$2:$A$1801,0)),0)</f>
        <v/>
      </c>
      <c r="G3137" s="25">
        <f>IF(F3137=0,"",YEAR(F3137))</f>
        <v/>
      </c>
      <c r="H3137" s="25">
        <f>IF(F3137=0,"",MONTH(F3137))</f>
        <v/>
      </c>
      <c r="I3137" s="25">
        <f>IFERROR(INDEX(Pedidos!$E$2:$E$1801,MATCH(B3137,Pedidos!$A$2:$A$1801,0)),"")</f>
        <v/>
      </c>
      <c r="J3137" s="25">
        <f>IFERROR(INDEX(Pedidos!$C$2:$C$1801,MATCH(B3137,Pedidos!$A$2:$A$1801,0)),"")</f>
        <v/>
      </c>
      <c r="K3137" s="25">
        <f>IFERROR(INDEX(Pedidos!$D$2:$D$1801,MATCH(B3137,Pedidos!$A$2:$A$1801,0)),"")</f>
        <v/>
      </c>
      <c r="L3137" s="25">
        <f>IFERROR(INDEX(Pedidos!$F$2:$F$1801,MATCH(B3137,Pedidos!$A$2:$A$1801,0)),"")</f>
        <v/>
      </c>
      <c r="M3137" s="26">
        <f>IFERROR(INDEX(Pedidos!$G$2:$G$1801,MATCH(B3137,Pedidos!$A$2:$A$1801,0)),0)</f>
        <v/>
      </c>
      <c r="N3137" s="25">
        <f>IFERROR(INDEX(Produtos!$B$2:$B$71,MATCH(C3137,Produtos!$A$2:$A$71,0)),"")</f>
        <v/>
      </c>
      <c r="O3137" s="25">
        <f>IFERROR(INDEX(Produtos!$C$2:$C$71,MATCH(C3137,Produtos!$A$2:$A$71,0)),"")</f>
        <v/>
      </c>
      <c r="P3137" s="25">
        <f>IFERROR(INDEX(Produtos!$D$2:$D$71,MATCH(C3137,Produtos!$A$2:$A$71,0)),0)</f>
        <v/>
      </c>
      <c r="Q3137" s="25">
        <f>IFERROR(INDEX(Produtos!$E$2:$E$71,MATCH(C3137,Produtos!$A$2:$A$71,0)),0)</f>
        <v/>
      </c>
      <c r="R3137" s="27">
        <f>D3137*Q3137</f>
        <v/>
      </c>
      <c r="S3137" s="27">
        <f>R3137*E3137</f>
        <v/>
      </c>
      <c r="T3137" s="27">
        <f>(R3137-S3137)*M3137</f>
        <v/>
      </c>
      <c r="U3137" s="27">
        <f>R3137-S3137-T3137</f>
        <v/>
      </c>
      <c r="V3137" s="27">
        <f>D3137*P3137</f>
        <v/>
      </c>
      <c r="W3137" s="27">
        <f>U3137-V3137</f>
        <v/>
      </c>
      <c r="X3137" s="28">
        <f>IFERROR(W3137/U3137,0)</f>
        <v/>
      </c>
    </row>
    <row r="3138">
      <c r="A3138" s="21">
        <f>ItensPedido!A3138</f>
        <v/>
      </c>
      <c r="B3138" s="21">
        <f>ItensPedido!B3138</f>
        <v/>
      </c>
      <c r="C3138" s="21">
        <f>ItensPedido!C3138</f>
        <v/>
      </c>
      <c r="D3138" s="21">
        <f>ItensPedido!D3138</f>
        <v/>
      </c>
      <c r="E3138" s="22">
        <f>ItensPedido!E3138</f>
        <v/>
      </c>
      <c r="F3138" s="21">
        <f>IFERROR(INDEX(Pedidos!$B$2:$B$1801,MATCH(B3138,Pedidos!$A$2:$A$1801,0)),0)</f>
        <v/>
      </c>
      <c r="G3138" s="21">
        <f>IF(F3138=0,"",YEAR(F3138))</f>
        <v/>
      </c>
      <c r="H3138" s="21">
        <f>IF(F3138=0,"",MONTH(F3138))</f>
        <v/>
      </c>
      <c r="I3138" s="21">
        <f>IFERROR(INDEX(Pedidos!$E$2:$E$1801,MATCH(B3138,Pedidos!$A$2:$A$1801,0)),"")</f>
        <v/>
      </c>
      <c r="J3138" s="21">
        <f>IFERROR(INDEX(Pedidos!$C$2:$C$1801,MATCH(B3138,Pedidos!$A$2:$A$1801,0)),"")</f>
        <v/>
      </c>
      <c r="K3138" s="21">
        <f>IFERROR(INDEX(Pedidos!$D$2:$D$1801,MATCH(B3138,Pedidos!$A$2:$A$1801,0)),"")</f>
        <v/>
      </c>
      <c r="L3138" s="21">
        <f>IFERROR(INDEX(Pedidos!$F$2:$F$1801,MATCH(B3138,Pedidos!$A$2:$A$1801,0)),"")</f>
        <v/>
      </c>
      <c r="M3138" s="22">
        <f>IFERROR(INDEX(Pedidos!$G$2:$G$1801,MATCH(B3138,Pedidos!$A$2:$A$1801,0)),0)</f>
        <v/>
      </c>
      <c r="N3138" s="21">
        <f>IFERROR(INDEX(Produtos!$B$2:$B$71,MATCH(C3138,Produtos!$A$2:$A$71,0)),"")</f>
        <v/>
      </c>
      <c r="O3138" s="21">
        <f>IFERROR(INDEX(Produtos!$C$2:$C$71,MATCH(C3138,Produtos!$A$2:$A$71,0)),"")</f>
        <v/>
      </c>
      <c r="P3138" s="21">
        <f>IFERROR(INDEX(Produtos!$D$2:$D$71,MATCH(C3138,Produtos!$A$2:$A$71,0)),0)</f>
        <v/>
      </c>
      <c r="Q3138" s="21">
        <f>IFERROR(INDEX(Produtos!$E$2:$E$71,MATCH(C3138,Produtos!$A$2:$A$71,0)),0)</f>
        <v/>
      </c>
      <c r="R3138" s="23">
        <f>D3138*Q3138</f>
        <v/>
      </c>
      <c r="S3138" s="23">
        <f>R3138*E3138</f>
        <v/>
      </c>
      <c r="T3138" s="23">
        <f>(R3138-S3138)*M3138</f>
        <v/>
      </c>
      <c r="U3138" s="23">
        <f>R3138-S3138-T3138</f>
        <v/>
      </c>
      <c r="V3138" s="23">
        <f>D3138*P3138</f>
        <v/>
      </c>
      <c r="W3138" s="23">
        <f>U3138-V3138</f>
        <v/>
      </c>
      <c r="X3138" s="24">
        <f>IFERROR(W3138/U3138,0)</f>
        <v/>
      </c>
    </row>
    <row r="3139">
      <c r="A3139" s="25">
        <f>ItensPedido!A3139</f>
        <v/>
      </c>
      <c r="B3139" s="25">
        <f>ItensPedido!B3139</f>
        <v/>
      </c>
      <c r="C3139" s="25">
        <f>ItensPedido!C3139</f>
        <v/>
      </c>
      <c r="D3139" s="25">
        <f>ItensPedido!D3139</f>
        <v/>
      </c>
      <c r="E3139" s="26">
        <f>ItensPedido!E3139</f>
        <v/>
      </c>
      <c r="F3139" s="25">
        <f>IFERROR(INDEX(Pedidos!$B$2:$B$1801,MATCH(B3139,Pedidos!$A$2:$A$1801,0)),0)</f>
        <v/>
      </c>
      <c r="G3139" s="25">
        <f>IF(F3139=0,"",YEAR(F3139))</f>
        <v/>
      </c>
      <c r="H3139" s="25">
        <f>IF(F3139=0,"",MONTH(F3139))</f>
        <v/>
      </c>
      <c r="I3139" s="25">
        <f>IFERROR(INDEX(Pedidos!$E$2:$E$1801,MATCH(B3139,Pedidos!$A$2:$A$1801,0)),"")</f>
        <v/>
      </c>
      <c r="J3139" s="25">
        <f>IFERROR(INDEX(Pedidos!$C$2:$C$1801,MATCH(B3139,Pedidos!$A$2:$A$1801,0)),"")</f>
        <v/>
      </c>
      <c r="K3139" s="25">
        <f>IFERROR(INDEX(Pedidos!$D$2:$D$1801,MATCH(B3139,Pedidos!$A$2:$A$1801,0)),"")</f>
        <v/>
      </c>
      <c r="L3139" s="25">
        <f>IFERROR(INDEX(Pedidos!$F$2:$F$1801,MATCH(B3139,Pedidos!$A$2:$A$1801,0)),"")</f>
        <v/>
      </c>
      <c r="M3139" s="26">
        <f>IFERROR(INDEX(Pedidos!$G$2:$G$1801,MATCH(B3139,Pedidos!$A$2:$A$1801,0)),0)</f>
        <v/>
      </c>
      <c r="N3139" s="25">
        <f>IFERROR(INDEX(Produtos!$B$2:$B$71,MATCH(C3139,Produtos!$A$2:$A$71,0)),"")</f>
        <v/>
      </c>
      <c r="O3139" s="25">
        <f>IFERROR(INDEX(Produtos!$C$2:$C$71,MATCH(C3139,Produtos!$A$2:$A$71,0)),"")</f>
        <v/>
      </c>
      <c r="P3139" s="25">
        <f>IFERROR(INDEX(Produtos!$D$2:$D$71,MATCH(C3139,Produtos!$A$2:$A$71,0)),0)</f>
        <v/>
      </c>
      <c r="Q3139" s="25">
        <f>IFERROR(INDEX(Produtos!$E$2:$E$71,MATCH(C3139,Produtos!$A$2:$A$71,0)),0)</f>
        <v/>
      </c>
      <c r="R3139" s="27">
        <f>D3139*Q3139</f>
        <v/>
      </c>
      <c r="S3139" s="27">
        <f>R3139*E3139</f>
        <v/>
      </c>
      <c r="T3139" s="27">
        <f>(R3139-S3139)*M3139</f>
        <v/>
      </c>
      <c r="U3139" s="27">
        <f>R3139-S3139-T3139</f>
        <v/>
      </c>
      <c r="V3139" s="27">
        <f>D3139*P3139</f>
        <v/>
      </c>
      <c r="W3139" s="27">
        <f>U3139-V3139</f>
        <v/>
      </c>
      <c r="X3139" s="28">
        <f>IFERROR(W3139/U3139,0)</f>
        <v/>
      </c>
    </row>
    <row r="3140">
      <c r="A3140" s="21">
        <f>ItensPedido!A3140</f>
        <v/>
      </c>
      <c r="B3140" s="21">
        <f>ItensPedido!B3140</f>
        <v/>
      </c>
      <c r="C3140" s="21">
        <f>ItensPedido!C3140</f>
        <v/>
      </c>
      <c r="D3140" s="21">
        <f>ItensPedido!D3140</f>
        <v/>
      </c>
      <c r="E3140" s="22">
        <f>ItensPedido!E3140</f>
        <v/>
      </c>
      <c r="F3140" s="21">
        <f>IFERROR(INDEX(Pedidos!$B$2:$B$1801,MATCH(B3140,Pedidos!$A$2:$A$1801,0)),0)</f>
        <v/>
      </c>
      <c r="G3140" s="21">
        <f>IF(F3140=0,"",YEAR(F3140))</f>
        <v/>
      </c>
      <c r="H3140" s="21">
        <f>IF(F3140=0,"",MONTH(F3140))</f>
        <v/>
      </c>
      <c r="I3140" s="21">
        <f>IFERROR(INDEX(Pedidos!$E$2:$E$1801,MATCH(B3140,Pedidos!$A$2:$A$1801,0)),"")</f>
        <v/>
      </c>
      <c r="J3140" s="21">
        <f>IFERROR(INDEX(Pedidos!$C$2:$C$1801,MATCH(B3140,Pedidos!$A$2:$A$1801,0)),"")</f>
        <v/>
      </c>
      <c r="K3140" s="21">
        <f>IFERROR(INDEX(Pedidos!$D$2:$D$1801,MATCH(B3140,Pedidos!$A$2:$A$1801,0)),"")</f>
        <v/>
      </c>
      <c r="L3140" s="21">
        <f>IFERROR(INDEX(Pedidos!$F$2:$F$1801,MATCH(B3140,Pedidos!$A$2:$A$1801,0)),"")</f>
        <v/>
      </c>
      <c r="M3140" s="22">
        <f>IFERROR(INDEX(Pedidos!$G$2:$G$1801,MATCH(B3140,Pedidos!$A$2:$A$1801,0)),0)</f>
        <v/>
      </c>
      <c r="N3140" s="21">
        <f>IFERROR(INDEX(Produtos!$B$2:$B$71,MATCH(C3140,Produtos!$A$2:$A$71,0)),"")</f>
        <v/>
      </c>
      <c r="O3140" s="21">
        <f>IFERROR(INDEX(Produtos!$C$2:$C$71,MATCH(C3140,Produtos!$A$2:$A$71,0)),"")</f>
        <v/>
      </c>
      <c r="P3140" s="21">
        <f>IFERROR(INDEX(Produtos!$D$2:$D$71,MATCH(C3140,Produtos!$A$2:$A$71,0)),0)</f>
        <v/>
      </c>
      <c r="Q3140" s="21">
        <f>IFERROR(INDEX(Produtos!$E$2:$E$71,MATCH(C3140,Produtos!$A$2:$A$71,0)),0)</f>
        <v/>
      </c>
      <c r="R3140" s="23">
        <f>D3140*Q3140</f>
        <v/>
      </c>
      <c r="S3140" s="23">
        <f>R3140*E3140</f>
        <v/>
      </c>
      <c r="T3140" s="23">
        <f>(R3140-S3140)*M3140</f>
        <v/>
      </c>
      <c r="U3140" s="23">
        <f>R3140-S3140-T3140</f>
        <v/>
      </c>
      <c r="V3140" s="23">
        <f>D3140*P3140</f>
        <v/>
      </c>
      <c r="W3140" s="23">
        <f>U3140-V3140</f>
        <v/>
      </c>
      <c r="X3140" s="24">
        <f>IFERROR(W3140/U3140,0)</f>
        <v/>
      </c>
    </row>
    <row r="3141">
      <c r="A3141" s="25">
        <f>ItensPedido!A3141</f>
        <v/>
      </c>
      <c r="B3141" s="25">
        <f>ItensPedido!B3141</f>
        <v/>
      </c>
      <c r="C3141" s="25">
        <f>ItensPedido!C3141</f>
        <v/>
      </c>
      <c r="D3141" s="25">
        <f>ItensPedido!D3141</f>
        <v/>
      </c>
      <c r="E3141" s="26">
        <f>ItensPedido!E3141</f>
        <v/>
      </c>
      <c r="F3141" s="25">
        <f>IFERROR(INDEX(Pedidos!$B$2:$B$1801,MATCH(B3141,Pedidos!$A$2:$A$1801,0)),0)</f>
        <v/>
      </c>
      <c r="G3141" s="25">
        <f>IF(F3141=0,"",YEAR(F3141))</f>
        <v/>
      </c>
      <c r="H3141" s="25">
        <f>IF(F3141=0,"",MONTH(F3141))</f>
        <v/>
      </c>
      <c r="I3141" s="25">
        <f>IFERROR(INDEX(Pedidos!$E$2:$E$1801,MATCH(B3141,Pedidos!$A$2:$A$1801,0)),"")</f>
        <v/>
      </c>
      <c r="J3141" s="25">
        <f>IFERROR(INDEX(Pedidos!$C$2:$C$1801,MATCH(B3141,Pedidos!$A$2:$A$1801,0)),"")</f>
        <v/>
      </c>
      <c r="K3141" s="25">
        <f>IFERROR(INDEX(Pedidos!$D$2:$D$1801,MATCH(B3141,Pedidos!$A$2:$A$1801,0)),"")</f>
        <v/>
      </c>
      <c r="L3141" s="25">
        <f>IFERROR(INDEX(Pedidos!$F$2:$F$1801,MATCH(B3141,Pedidos!$A$2:$A$1801,0)),"")</f>
        <v/>
      </c>
      <c r="M3141" s="26">
        <f>IFERROR(INDEX(Pedidos!$G$2:$G$1801,MATCH(B3141,Pedidos!$A$2:$A$1801,0)),0)</f>
        <v/>
      </c>
      <c r="N3141" s="25">
        <f>IFERROR(INDEX(Produtos!$B$2:$B$71,MATCH(C3141,Produtos!$A$2:$A$71,0)),"")</f>
        <v/>
      </c>
      <c r="O3141" s="25">
        <f>IFERROR(INDEX(Produtos!$C$2:$C$71,MATCH(C3141,Produtos!$A$2:$A$71,0)),"")</f>
        <v/>
      </c>
      <c r="P3141" s="25">
        <f>IFERROR(INDEX(Produtos!$D$2:$D$71,MATCH(C3141,Produtos!$A$2:$A$71,0)),0)</f>
        <v/>
      </c>
      <c r="Q3141" s="25">
        <f>IFERROR(INDEX(Produtos!$E$2:$E$71,MATCH(C3141,Produtos!$A$2:$A$71,0)),0)</f>
        <v/>
      </c>
      <c r="R3141" s="27">
        <f>D3141*Q3141</f>
        <v/>
      </c>
      <c r="S3141" s="27">
        <f>R3141*E3141</f>
        <v/>
      </c>
      <c r="T3141" s="27">
        <f>(R3141-S3141)*M3141</f>
        <v/>
      </c>
      <c r="U3141" s="27">
        <f>R3141-S3141-T3141</f>
        <v/>
      </c>
      <c r="V3141" s="27">
        <f>D3141*P3141</f>
        <v/>
      </c>
      <c r="W3141" s="27">
        <f>U3141-V3141</f>
        <v/>
      </c>
      <c r="X3141" s="28">
        <f>IFERROR(W3141/U3141,0)</f>
        <v/>
      </c>
    </row>
    <row r="3142">
      <c r="A3142" s="21">
        <f>ItensPedido!A3142</f>
        <v/>
      </c>
      <c r="B3142" s="21">
        <f>ItensPedido!B3142</f>
        <v/>
      </c>
      <c r="C3142" s="21">
        <f>ItensPedido!C3142</f>
        <v/>
      </c>
      <c r="D3142" s="21">
        <f>ItensPedido!D3142</f>
        <v/>
      </c>
      <c r="E3142" s="22">
        <f>ItensPedido!E3142</f>
        <v/>
      </c>
      <c r="F3142" s="21">
        <f>IFERROR(INDEX(Pedidos!$B$2:$B$1801,MATCH(B3142,Pedidos!$A$2:$A$1801,0)),0)</f>
        <v/>
      </c>
      <c r="G3142" s="21">
        <f>IF(F3142=0,"",YEAR(F3142))</f>
        <v/>
      </c>
      <c r="H3142" s="21">
        <f>IF(F3142=0,"",MONTH(F3142))</f>
        <v/>
      </c>
      <c r="I3142" s="21">
        <f>IFERROR(INDEX(Pedidos!$E$2:$E$1801,MATCH(B3142,Pedidos!$A$2:$A$1801,0)),"")</f>
        <v/>
      </c>
      <c r="J3142" s="21">
        <f>IFERROR(INDEX(Pedidos!$C$2:$C$1801,MATCH(B3142,Pedidos!$A$2:$A$1801,0)),"")</f>
        <v/>
      </c>
      <c r="K3142" s="21">
        <f>IFERROR(INDEX(Pedidos!$D$2:$D$1801,MATCH(B3142,Pedidos!$A$2:$A$1801,0)),"")</f>
        <v/>
      </c>
      <c r="L3142" s="21">
        <f>IFERROR(INDEX(Pedidos!$F$2:$F$1801,MATCH(B3142,Pedidos!$A$2:$A$1801,0)),"")</f>
        <v/>
      </c>
      <c r="M3142" s="22">
        <f>IFERROR(INDEX(Pedidos!$G$2:$G$1801,MATCH(B3142,Pedidos!$A$2:$A$1801,0)),0)</f>
        <v/>
      </c>
      <c r="N3142" s="21">
        <f>IFERROR(INDEX(Produtos!$B$2:$B$71,MATCH(C3142,Produtos!$A$2:$A$71,0)),"")</f>
        <v/>
      </c>
      <c r="O3142" s="21">
        <f>IFERROR(INDEX(Produtos!$C$2:$C$71,MATCH(C3142,Produtos!$A$2:$A$71,0)),"")</f>
        <v/>
      </c>
      <c r="P3142" s="21">
        <f>IFERROR(INDEX(Produtos!$D$2:$D$71,MATCH(C3142,Produtos!$A$2:$A$71,0)),0)</f>
        <v/>
      </c>
      <c r="Q3142" s="21">
        <f>IFERROR(INDEX(Produtos!$E$2:$E$71,MATCH(C3142,Produtos!$A$2:$A$71,0)),0)</f>
        <v/>
      </c>
      <c r="R3142" s="23">
        <f>D3142*Q3142</f>
        <v/>
      </c>
      <c r="S3142" s="23">
        <f>R3142*E3142</f>
        <v/>
      </c>
      <c r="T3142" s="23">
        <f>(R3142-S3142)*M3142</f>
        <v/>
      </c>
      <c r="U3142" s="23">
        <f>R3142-S3142-T3142</f>
        <v/>
      </c>
      <c r="V3142" s="23">
        <f>D3142*P3142</f>
        <v/>
      </c>
      <c r="W3142" s="23">
        <f>U3142-V3142</f>
        <v/>
      </c>
      <c r="X3142" s="24">
        <f>IFERROR(W3142/U3142,0)</f>
        <v/>
      </c>
    </row>
    <row r="3143">
      <c r="A3143" s="25">
        <f>ItensPedido!A3143</f>
        <v/>
      </c>
      <c r="B3143" s="25">
        <f>ItensPedido!B3143</f>
        <v/>
      </c>
      <c r="C3143" s="25">
        <f>ItensPedido!C3143</f>
        <v/>
      </c>
      <c r="D3143" s="25">
        <f>ItensPedido!D3143</f>
        <v/>
      </c>
      <c r="E3143" s="26">
        <f>ItensPedido!E3143</f>
        <v/>
      </c>
      <c r="F3143" s="25">
        <f>IFERROR(INDEX(Pedidos!$B$2:$B$1801,MATCH(B3143,Pedidos!$A$2:$A$1801,0)),0)</f>
        <v/>
      </c>
      <c r="G3143" s="25">
        <f>IF(F3143=0,"",YEAR(F3143))</f>
        <v/>
      </c>
      <c r="H3143" s="25">
        <f>IF(F3143=0,"",MONTH(F3143))</f>
        <v/>
      </c>
      <c r="I3143" s="25">
        <f>IFERROR(INDEX(Pedidos!$E$2:$E$1801,MATCH(B3143,Pedidos!$A$2:$A$1801,0)),"")</f>
        <v/>
      </c>
      <c r="J3143" s="25">
        <f>IFERROR(INDEX(Pedidos!$C$2:$C$1801,MATCH(B3143,Pedidos!$A$2:$A$1801,0)),"")</f>
        <v/>
      </c>
      <c r="K3143" s="25">
        <f>IFERROR(INDEX(Pedidos!$D$2:$D$1801,MATCH(B3143,Pedidos!$A$2:$A$1801,0)),"")</f>
        <v/>
      </c>
      <c r="L3143" s="25">
        <f>IFERROR(INDEX(Pedidos!$F$2:$F$1801,MATCH(B3143,Pedidos!$A$2:$A$1801,0)),"")</f>
        <v/>
      </c>
      <c r="M3143" s="26">
        <f>IFERROR(INDEX(Pedidos!$G$2:$G$1801,MATCH(B3143,Pedidos!$A$2:$A$1801,0)),0)</f>
        <v/>
      </c>
      <c r="N3143" s="25">
        <f>IFERROR(INDEX(Produtos!$B$2:$B$71,MATCH(C3143,Produtos!$A$2:$A$71,0)),"")</f>
        <v/>
      </c>
      <c r="O3143" s="25">
        <f>IFERROR(INDEX(Produtos!$C$2:$C$71,MATCH(C3143,Produtos!$A$2:$A$71,0)),"")</f>
        <v/>
      </c>
      <c r="P3143" s="25">
        <f>IFERROR(INDEX(Produtos!$D$2:$D$71,MATCH(C3143,Produtos!$A$2:$A$71,0)),0)</f>
        <v/>
      </c>
      <c r="Q3143" s="25">
        <f>IFERROR(INDEX(Produtos!$E$2:$E$71,MATCH(C3143,Produtos!$A$2:$A$71,0)),0)</f>
        <v/>
      </c>
      <c r="R3143" s="27">
        <f>D3143*Q3143</f>
        <v/>
      </c>
      <c r="S3143" s="27">
        <f>R3143*E3143</f>
        <v/>
      </c>
      <c r="T3143" s="27">
        <f>(R3143-S3143)*M3143</f>
        <v/>
      </c>
      <c r="U3143" s="27">
        <f>R3143-S3143-T3143</f>
        <v/>
      </c>
      <c r="V3143" s="27">
        <f>D3143*P3143</f>
        <v/>
      </c>
      <c r="W3143" s="27">
        <f>U3143-V3143</f>
        <v/>
      </c>
      <c r="X3143" s="28">
        <f>IFERROR(W3143/U3143,0)</f>
        <v/>
      </c>
    </row>
    <row r="3144">
      <c r="A3144" s="21">
        <f>ItensPedido!A3144</f>
        <v/>
      </c>
      <c r="B3144" s="21">
        <f>ItensPedido!B3144</f>
        <v/>
      </c>
      <c r="C3144" s="21">
        <f>ItensPedido!C3144</f>
        <v/>
      </c>
      <c r="D3144" s="21">
        <f>ItensPedido!D3144</f>
        <v/>
      </c>
      <c r="E3144" s="22">
        <f>ItensPedido!E3144</f>
        <v/>
      </c>
      <c r="F3144" s="21">
        <f>IFERROR(INDEX(Pedidos!$B$2:$B$1801,MATCH(B3144,Pedidos!$A$2:$A$1801,0)),0)</f>
        <v/>
      </c>
      <c r="G3144" s="21">
        <f>IF(F3144=0,"",YEAR(F3144))</f>
        <v/>
      </c>
      <c r="H3144" s="21">
        <f>IF(F3144=0,"",MONTH(F3144))</f>
        <v/>
      </c>
      <c r="I3144" s="21">
        <f>IFERROR(INDEX(Pedidos!$E$2:$E$1801,MATCH(B3144,Pedidos!$A$2:$A$1801,0)),"")</f>
        <v/>
      </c>
      <c r="J3144" s="21">
        <f>IFERROR(INDEX(Pedidos!$C$2:$C$1801,MATCH(B3144,Pedidos!$A$2:$A$1801,0)),"")</f>
        <v/>
      </c>
      <c r="K3144" s="21">
        <f>IFERROR(INDEX(Pedidos!$D$2:$D$1801,MATCH(B3144,Pedidos!$A$2:$A$1801,0)),"")</f>
        <v/>
      </c>
      <c r="L3144" s="21">
        <f>IFERROR(INDEX(Pedidos!$F$2:$F$1801,MATCH(B3144,Pedidos!$A$2:$A$1801,0)),"")</f>
        <v/>
      </c>
      <c r="M3144" s="22">
        <f>IFERROR(INDEX(Pedidos!$G$2:$G$1801,MATCH(B3144,Pedidos!$A$2:$A$1801,0)),0)</f>
        <v/>
      </c>
      <c r="N3144" s="21">
        <f>IFERROR(INDEX(Produtos!$B$2:$B$71,MATCH(C3144,Produtos!$A$2:$A$71,0)),"")</f>
        <v/>
      </c>
      <c r="O3144" s="21">
        <f>IFERROR(INDEX(Produtos!$C$2:$C$71,MATCH(C3144,Produtos!$A$2:$A$71,0)),"")</f>
        <v/>
      </c>
      <c r="P3144" s="21">
        <f>IFERROR(INDEX(Produtos!$D$2:$D$71,MATCH(C3144,Produtos!$A$2:$A$71,0)),0)</f>
        <v/>
      </c>
      <c r="Q3144" s="21">
        <f>IFERROR(INDEX(Produtos!$E$2:$E$71,MATCH(C3144,Produtos!$A$2:$A$71,0)),0)</f>
        <v/>
      </c>
      <c r="R3144" s="23">
        <f>D3144*Q3144</f>
        <v/>
      </c>
      <c r="S3144" s="23">
        <f>R3144*E3144</f>
        <v/>
      </c>
      <c r="T3144" s="23">
        <f>(R3144-S3144)*M3144</f>
        <v/>
      </c>
      <c r="U3144" s="23">
        <f>R3144-S3144-T3144</f>
        <v/>
      </c>
      <c r="V3144" s="23">
        <f>D3144*P3144</f>
        <v/>
      </c>
      <c r="W3144" s="23">
        <f>U3144-V3144</f>
        <v/>
      </c>
      <c r="X3144" s="24">
        <f>IFERROR(W3144/U3144,0)</f>
        <v/>
      </c>
    </row>
    <row r="3145">
      <c r="A3145" s="25">
        <f>ItensPedido!A3145</f>
        <v/>
      </c>
      <c r="B3145" s="25">
        <f>ItensPedido!B3145</f>
        <v/>
      </c>
      <c r="C3145" s="25">
        <f>ItensPedido!C3145</f>
        <v/>
      </c>
      <c r="D3145" s="25">
        <f>ItensPedido!D3145</f>
        <v/>
      </c>
      <c r="E3145" s="26">
        <f>ItensPedido!E3145</f>
        <v/>
      </c>
      <c r="F3145" s="25">
        <f>IFERROR(INDEX(Pedidos!$B$2:$B$1801,MATCH(B3145,Pedidos!$A$2:$A$1801,0)),0)</f>
        <v/>
      </c>
      <c r="G3145" s="25">
        <f>IF(F3145=0,"",YEAR(F3145))</f>
        <v/>
      </c>
      <c r="H3145" s="25">
        <f>IF(F3145=0,"",MONTH(F3145))</f>
        <v/>
      </c>
      <c r="I3145" s="25">
        <f>IFERROR(INDEX(Pedidos!$E$2:$E$1801,MATCH(B3145,Pedidos!$A$2:$A$1801,0)),"")</f>
        <v/>
      </c>
      <c r="J3145" s="25">
        <f>IFERROR(INDEX(Pedidos!$C$2:$C$1801,MATCH(B3145,Pedidos!$A$2:$A$1801,0)),"")</f>
        <v/>
      </c>
      <c r="K3145" s="25">
        <f>IFERROR(INDEX(Pedidos!$D$2:$D$1801,MATCH(B3145,Pedidos!$A$2:$A$1801,0)),"")</f>
        <v/>
      </c>
      <c r="L3145" s="25">
        <f>IFERROR(INDEX(Pedidos!$F$2:$F$1801,MATCH(B3145,Pedidos!$A$2:$A$1801,0)),"")</f>
        <v/>
      </c>
      <c r="M3145" s="26">
        <f>IFERROR(INDEX(Pedidos!$G$2:$G$1801,MATCH(B3145,Pedidos!$A$2:$A$1801,0)),0)</f>
        <v/>
      </c>
      <c r="N3145" s="25">
        <f>IFERROR(INDEX(Produtos!$B$2:$B$71,MATCH(C3145,Produtos!$A$2:$A$71,0)),"")</f>
        <v/>
      </c>
      <c r="O3145" s="25">
        <f>IFERROR(INDEX(Produtos!$C$2:$C$71,MATCH(C3145,Produtos!$A$2:$A$71,0)),"")</f>
        <v/>
      </c>
      <c r="P3145" s="25">
        <f>IFERROR(INDEX(Produtos!$D$2:$D$71,MATCH(C3145,Produtos!$A$2:$A$71,0)),0)</f>
        <v/>
      </c>
      <c r="Q3145" s="25">
        <f>IFERROR(INDEX(Produtos!$E$2:$E$71,MATCH(C3145,Produtos!$A$2:$A$71,0)),0)</f>
        <v/>
      </c>
      <c r="R3145" s="27">
        <f>D3145*Q3145</f>
        <v/>
      </c>
      <c r="S3145" s="27">
        <f>R3145*E3145</f>
        <v/>
      </c>
      <c r="T3145" s="27">
        <f>(R3145-S3145)*M3145</f>
        <v/>
      </c>
      <c r="U3145" s="27">
        <f>R3145-S3145-T3145</f>
        <v/>
      </c>
      <c r="V3145" s="27">
        <f>D3145*P3145</f>
        <v/>
      </c>
      <c r="W3145" s="27">
        <f>U3145-V3145</f>
        <v/>
      </c>
      <c r="X3145" s="28">
        <f>IFERROR(W3145/U3145,0)</f>
        <v/>
      </c>
    </row>
    <row r="3146">
      <c r="A3146" s="21">
        <f>ItensPedido!A3146</f>
        <v/>
      </c>
      <c r="B3146" s="21">
        <f>ItensPedido!B3146</f>
        <v/>
      </c>
      <c r="C3146" s="21">
        <f>ItensPedido!C3146</f>
        <v/>
      </c>
      <c r="D3146" s="21">
        <f>ItensPedido!D3146</f>
        <v/>
      </c>
      <c r="E3146" s="22">
        <f>ItensPedido!E3146</f>
        <v/>
      </c>
      <c r="F3146" s="21">
        <f>IFERROR(INDEX(Pedidos!$B$2:$B$1801,MATCH(B3146,Pedidos!$A$2:$A$1801,0)),0)</f>
        <v/>
      </c>
      <c r="G3146" s="21">
        <f>IF(F3146=0,"",YEAR(F3146))</f>
        <v/>
      </c>
      <c r="H3146" s="21">
        <f>IF(F3146=0,"",MONTH(F3146))</f>
        <v/>
      </c>
      <c r="I3146" s="21">
        <f>IFERROR(INDEX(Pedidos!$E$2:$E$1801,MATCH(B3146,Pedidos!$A$2:$A$1801,0)),"")</f>
        <v/>
      </c>
      <c r="J3146" s="21">
        <f>IFERROR(INDEX(Pedidos!$C$2:$C$1801,MATCH(B3146,Pedidos!$A$2:$A$1801,0)),"")</f>
        <v/>
      </c>
      <c r="K3146" s="21">
        <f>IFERROR(INDEX(Pedidos!$D$2:$D$1801,MATCH(B3146,Pedidos!$A$2:$A$1801,0)),"")</f>
        <v/>
      </c>
      <c r="L3146" s="21">
        <f>IFERROR(INDEX(Pedidos!$F$2:$F$1801,MATCH(B3146,Pedidos!$A$2:$A$1801,0)),"")</f>
        <v/>
      </c>
      <c r="M3146" s="22">
        <f>IFERROR(INDEX(Pedidos!$G$2:$G$1801,MATCH(B3146,Pedidos!$A$2:$A$1801,0)),0)</f>
        <v/>
      </c>
      <c r="N3146" s="21">
        <f>IFERROR(INDEX(Produtos!$B$2:$B$71,MATCH(C3146,Produtos!$A$2:$A$71,0)),"")</f>
        <v/>
      </c>
      <c r="O3146" s="21">
        <f>IFERROR(INDEX(Produtos!$C$2:$C$71,MATCH(C3146,Produtos!$A$2:$A$71,0)),"")</f>
        <v/>
      </c>
      <c r="P3146" s="21">
        <f>IFERROR(INDEX(Produtos!$D$2:$D$71,MATCH(C3146,Produtos!$A$2:$A$71,0)),0)</f>
        <v/>
      </c>
      <c r="Q3146" s="21">
        <f>IFERROR(INDEX(Produtos!$E$2:$E$71,MATCH(C3146,Produtos!$A$2:$A$71,0)),0)</f>
        <v/>
      </c>
      <c r="R3146" s="23">
        <f>D3146*Q3146</f>
        <v/>
      </c>
      <c r="S3146" s="23">
        <f>R3146*E3146</f>
        <v/>
      </c>
      <c r="T3146" s="23">
        <f>(R3146-S3146)*M3146</f>
        <v/>
      </c>
      <c r="U3146" s="23">
        <f>R3146-S3146-T3146</f>
        <v/>
      </c>
      <c r="V3146" s="23">
        <f>D3146*P3146</f>
        <v/>
      </c>
      <c r="W3146" s="23">
        <f>U3146-V3146</f>
        <v/>
      </c>
      <c r="X3146" s="24">
        <f>IFERROR(W3146/U3146,0)</f>
        <v/>
      </c>
    </row>
    <row r="3147">
      <c r="A3147" s="25">
        <f>ItensPedido!A3147</f>
        <v/>
      </c>
      <c r="B3147" s="25">
        <f>ItensPedido!B3147</f>
        <v/>
      </c>
      <c r="C3147" s="25">
        <f>ItensPedido!C3147</f>
        <v/>
      </c>
      <c r="D3147" s="25">
        <f>ItensPedido!D3147</f>
        <v/>
      </c>
      <c r="E3147" s="26">
        <f>ItensPedido!E3147</f>
        <v/>
      </c>
      <c r="F3147" s="25">
        <f>IFERROR(INDEX(Pedidos!$B$2:$B$1801,MATCH(B3147,Pedidos!$A$2:$A$1801,0)),0)</f>
        <v/>
      </c>
      <c r="G3147" s="25">
        <f>IF(F3147=0,"",YEAR(F3147))</f>
        <v/>
      </c>
      <c r="H3147" s="25">
        <f>IF(F3147=0,"",MONTH(F3147))</f>
        <v/>
      </c>
      <c r="I3147" s="25">
        <f>IFERROR(INDEX(Pedidos!$E$2:$E$1801,MATCH(B3147,Pedidos!$A$2:$A$1801,0)),"")</f>
        <v/>
      </c>
      <c r="J3147" s="25">
        <f>IFERROR(INDEX(Pedidos!$C$2:$C$1801,MATCH(B3147,Pedidos!$A$2:$A$1801,0)),"")</f>
        <v/>
      </c>
      <c r="K3147" s="25">
        <f>IFERROR(INDEX(Pedidos!$D$2:$D$1801,MATCH(B3147,Pedidos!$A$2:$A$1801,0)),"")</f>
        <v/>
      </c>
      <c r="L3147" s="25">
        <f>IFERROR(INDEX(Pedidos!$F$2:$F$1801,MATCH(B3147,Pedidos!$A$2:$A$1801,0)),"")</f>
        <v/>
      </c>
      <c r="M3147" s="26">
        <f>IFERROR(INDEX(Pedidos!$G$2:$G$1801,MATCH(B3147,Pedidos!$A$2:$A$1801,0)),0)</f>
        <v/>
      </c>
      <c r="N3147" s="25">
        <f>IFERROR(INDEX(Produtos!$B$2:$B$71,MATCH(C3147,Produtos!$A$2:$A$71,0)),"")</f>
        <v/>
      </c>
      <c r="O3147" s="25">
        <f>IFERROR(INDEX(Produtos!$C$2:$C$71,MATCH(C3147,Produtos!$A$2:$A$71,0)),"")</f>
        <v/>
      </c>
      <c r="P3147" s="25">
        <f>IFERROR(INDEX(Produtos!$D$2:$D$71,MATCH(C3147,Produtos!$A$2:$A$71,0)),0)</f>
        <v/>
      </c>
      <c r="Q3147" s="25">
        <f>IFERROR(INDEX(Produtos!$E$2:$E$71,MATCH(C3147,Produtos!$A$2:$A$71,0)),0)</f>
        <v/>
      </c>
      <c r="R3147" s="27">
        <f>D3147*Q3147</f>
        <v/>
      </c>
      <c r="S3147" s="27">
        <f>R3147*E3147</f>
        <v/>
      </c>
      <c r="T3147" s="27">
        <f>(R3147-S3147)*M3147</f>
        <v/>
      </c>
      <c r="U3147" s="27">
        <f>R3147-S3147-T3147</f>
        <v/>
      </c>
      <c r="V3147" s="27">
        <f>D3147*P3147</f>
        <v/>
      </c>
      <c r="W3147" s="27">
        <f>U3147-V3147</f>
        <v/>
      </c>
      <c r="X3147" s="28">
        <f>IFERROR(W3147/U3147,0)</f>
        <v/>
      </c>
    </row>
    <row r="3148">
      <c r="A3148" s="21">
        <f>ItensPedido!A3148</f>
        <v/>
      </c>
      <c r="B3148" s="21">
        <f>ItensPedido!B3148</f>
        <v/>
      </c>
      <c r="C3148" s="21">
        <f>ItensPedido!C3148</f>
        <v/>
      </c>
      <c r="D3148" s="21">
        <f>ItensPedido!D3148</f>
        <v/>
      </c>
      <c r="E3148" s="22">
        <f>ItensPedido!E3148</f>
        <v/>
      </c>
      <c r="F3148" s="21">
        <f>IFERROR(INDEX(Pedidos!$B$2:$B$1801,MATCH(B3148,Pedidos!$A$2:$A$1801,0)),0)</f>
        <v/>
      </c>
      <c r="G3148" s="21">
        <f>IF(F3148=0,"",YEAR(F3148))</f>
        <v/>
      </c>
      <c r="H3148" s="21">
        <f>IF(F3148=0,"",MONTH(F3148))</f>
        <v/>
      </c>
      <c r="I3148" s="21">
        <f>IFERROR(INDEX(Pedidos!$E$2:$E$1801,MATCH(B3148,Pedidos!$A$2:$A$1801,0)),"")</f>
        <v/>
      </c>
      <c r="J3148" s="21">
        <f>IFERROR(INDEX(Pedidos!$C$2:$C$1801,MATCH(B3148,Pedidos!$A$2:$A$1801,0)),"")</f>
        <v/>
      </c>
      <c r="K3148" s="21">
        <f>IFERROR(INDEX(Pedidos!$D$2:$D$1801,MATCH(B3148,Pedidos!$A$2:$A$1801,0)),"")</f>
        <v/>
      </c>
      <c r="L3148" s="21">
        <f>IFERROR(INDEX(Pedidos!$F$2:$F$1801,MATCH(B3148,Pedidos!$A$2:$A$1801,0)),"")</f>
        <v/>
      </c>
      <c r="M3148" s="22">
        <f>IFERROR(INDEX(Pedidos!$G$2:$G$1801,MATCH(B3148,Pedidos!$A$2:$A$1801,0)),0)</f>
        <v/>
      </c>
      <c r="N3148" s="21">
        <f>IFERROR(INDEX(Produtos!$B$2:$B$71,MATCH(C3148,Produtos!$A$2:$A$71,0)),"")</f>
        <v/>
      </c>
      <c r="O3148" s="21">
        <f>IFERROR(INDEX(Produtos!$C$2:$C$71,MATCH(C3148,Produtos!$A$2:$A$71,0)),"")</f>
        <v/>
      </c>
      <c r="P3148" s="21">
        <f>IFERROR(INDEX(Produtos!$D$2:$D$71,MATCH(C3148,Produtos!$A$2:$A$71,0)),0)</f>
        <v/>
      </c>
      <c r="Q3148" s="21">
        <f>IFERROR(INDEX(Produtos!$E$2:$E$71,MATCH(C3148,Produtos!$A$2:$A$71,0)),0)</f>
        <v/>
      </c>
      <c r="R3148" s="23">
        <f>D3148*Q3148</f>
        <v/>
      </c>
      <c r="S3148" s="23">
        <f>R3148*E3148</f>
        <v/>
      </c>
      <c r="T3148" s="23">
        <f>(R3148-S3148)*M3148</f>
        <v/>
      </c>
      <c r="U3148" s="23">
        <f>R3148-S3148-T3148</f>
        <v/>
      </c>
      <c r="V3148" s="23">
        <f>D3148*P3148</f>
        <v/>
      </c>
      <c r="W3148" s="23">
        <f>U3148-V3148</f>
        <v/>
      </c>
      <c r="X3148" s="24">
        <f>IFERROR(W3148/U3148,0)</f>
        <v/>
      </c>
    </row>
    <row r="3149">
      <c r="A3149" s="25">
        <f>ItensPedido!A3149</f>
        <v/>
      </c>
      <c r="B3149" s="25">
        <f>ItensPedido!B3149</f>
        <v/>
      </c>
      <c r="C3149" s="25">
        <f>ItensPedido!C3149</f>
        <v/>
      </c>
      <c r="D3149" s="25">
        <f>ItensPedido!D3149</f>
        <v/>
      </c>
      <c r="E3149" s="26">
        <f>ItensPedido!E3149</f>
        <v/>
      </c>
      <c r="F3149" s="25">
        <f>IFERROR(INDEX(Pedidos!$B$2:$B$1801,MATCH(B3149,Pedidos!$A$2:$A$1801,0)),0)</f>
        <v/>
      </c>
      <c r="G3149" s="25">
        <f>IF(F3149=0,"",YEAR(F3149))</f>
        <v/>
      </c>
      <c r="H3149" s="25">
        <f>IF(F3149=0,"",MONTH(F3149))</f>
        <v/>
      </c>
      <c r="I3149" s="25">
        <f>IFERROR(INDEX(Pedidos!$E$2:$E$1801,MATCH(B3149,Pedidos!$A$2:$A$1801,0)),"")</f>
        <v/>
      </c>
      <c r="J3149" s="25">
        <f>IFERROR(INDEX(Pedidos!$C$2:$C$1801,MATCH(B3149,Pedidos!$A$2:$A$1801,0)),"")</f>
        <v/>
      </c>
      <c r="K3149" s="25">
        <f>IFERROR(INDEX(Pedidos!$D$2:$D$1801,MATCH(B3149,Pedidos!$A$2:$A$1801,0)),"")</f>
        <v/>
      </c>
      <c r="L3149" s="25">
        <f>IFERROR(INDEX(Pedidos!$F$2:$F$1801,MATCH(B3149,Pedidos!$A$2:$A$1801,0)),"")</f>
        <v/>
      </c>
      <c r="M3149" s="26">
        <f>IFERROR(INDEX(Pedidos!$G$2:$G$1801,MATCH(B3149,Pedidos!$A$2:$A$1801,0)),0)</f>
        <v/>
      </c>
      <c r="N3149" s="25">
        <f>IFERROR(INDEX(Produtos!$B$2:$B$71,MATCH(C3149,Produtos!$A$2:$A$71,0)),"")</f>
        <v/>
      </c>
      <c r="O3149" s="25">
        <f>IFERROR(INDEX(Produtos!$C$2:$C$71,MATCH(C3149,Produtos!$A$2:$A$71,0)),"")</f>
        <v/>
      </c>
      <c r="P3149" s="25">
        <f>IFERROR(INDEX(Produtos!$D$2:$D$71,MATCH(C3149,Produtos!$A$2:$A$71,0)),0)</f>
        <v/>
      </c>
      <c r="Q3149" s="25">
        <f>IFERROR(INDEX(Produtos!$E$2:$E$71,MATCH(C3149,Produtos!$A$2:$A$71,0)),0)</f>
        <v/>
      </c>
      <c r="R3149" s="27">
        <f>D3149*Q3149</f>
        <v/>
      </c>
      <c r="S3149" s="27">
        <f>R3149*E3149</f>
        <v/>
      </c>
      <c r="T3149" s="27">
        <f>(R3149-S3149)*M3149</f>
        <v/>
      </c>
      <c r="U3149" s="27">
        <f>R3149-S3149-T3149</f>
        <v/>
      </c>
      <c r="V3149" s="27">
        <f>D3149*P3149</f>
        <v/>
      </c>
      <c r="W3149" s="27">
        <f>U3149-V3149</f>
        <v/>
      </c>
      <c r="X3149" s="28">
        <f>IFERROR(W3149/U3149,0)</f>
        <v/>
      </c>
    </row>
    <row r="3150">
      <c r="A3150" s="21">
        <f>ItensPedido!A3150</f>
        <v/>
      </c>
      <c r="B3150" s="21">
        <f>ItensPedido!B3150</f>
        <v/>
      </c>
      <c r="C3150" s="21">
        <f>ItensPedido!C3150</f>
        <v/>
      </c>
      <c r="D3150" s="21">
        <f>ItensPedido!D3150</f>
        <v/>
      </c>
      <c r="E3150" s="22">
        <f>ItensPedido!E3150</f>
        <v/>
      </c>
      <c r="F3150" s="21">
        <f>IFERROR(INDEX(Pedidos!$B$2:$B$1801,MATCH(B3150,Pedidos!$A$2:$A$1801,0)),0)</f>
        <v/>
      </c>
      <c r="G3150" s="21">
        <f>IF(F3150=0,"",YEAR(F3150))</f>
        <v/>
      </c>
      <c r="H3150" s="21">
        <f>IF(F3150=0,"",MONTH(F3150))</f>
        <v/>
      </c>
      <c r="I3150" s="21">
        <f>IFERROR(INDEX(Pedidos!$E$2:$E$1801,MATCH(B3150,Pedidos!$A$2:$A$1801,0)),"")</f>
        <v/>
      </c>
      <c r="J3150" s="21">
        <f>IFERROR(INDEX(Pedidos!$C$2:$C$1801,MATCH(B3150,Pedidos!$A$2:$A$1801,0)),"")</f>
        <v/>
      </c>
      <c r="K3150" s="21">
        <f>IFERROR(INDEX(Pedidos!$D$2:$D$1801,MATCH(B3150,Pedidos!$A$2:$A$1801,0)),"")</f>
        <v/>
      </c>
      <c r="L3150" s="21">
        <f>IFERROR(INDEX(Pedidos!$F$2:$F$1801,MATCH(B3150,Pedidos!$A$2:$A$1801,0)),"")</f>
        <v/>
      </c>
      <c r="M3150" s="22">
        <f>IFERROR(INDEX(Pedidos!$G$2:$G$1801,MATCH(B3150,Pedidos!$A$2:$A$1801,0)),0)</f>
        <v/>
      </c>
      <c r="N3150" s="21">
        <f>IFERROR(INDEX(Produtos!$B$2:$B$71,MATCH(C3150,Produtos!$A$2:$A$71,0)),"")</f>
        <v/>
      </c>
      <c r="O3150" s="21">
        <f>IFERROR(INDEX(Produtos!$C$2:$C$71,MATCH(C3150,Produtos!$A$2:$A$71,0)),"")</f>
        <v/>
      </c>
      <c r="P3150" s="21">
        <f>IFERROR(INDEX(Produtos!$D$2:$D$71,MATCH(C3150,Produtos!$A$2:$A$71,0)),0)</f>
        <v/>
      </c>
      <c r="Q3150" s="21">
        <f>IFERROR(INDEX(Produtos!$E$2:$E$71,MATCH(C3150,Produtos!$A$2:$A$71,0)),0)</f>
        <v/>
      </c>
      <c r="R3150" s="23">
        <f>D3150*Q3150</f>
        <v/>
      </c>
      <c r="S3150" s="23">
        <f>R3150*E3150</f>
        <v/>
      </c>
      <c r="T3150" s="23">
        <f>(R3150-S3150)*M3150</f>
        <v/>
      </c>
      <c r="U3150" s="23">
        <f>R3150-S3150-T3150</f>
        <v/>
      </c>
      <c r="V3150" s="23">
        <f>D3150*P3150</f>
        <v/>
      </c>
      <c r="W3150" s="23">
        <f>U3150-V3150</f>
        <v/>
      </c>
      <c r="X3150" s="24">
        <f>IFERROR(W3150/U3150,0)</f>
        <v/>
      </c>
    </row>
    <row r="3151">
      <c r="A3151" s="25">
        <f>ItensPedido!A3151</f>
        <v/>
      </c>
      <c r="B3151" s="25">
        <f>ItensPedido!B3151</f>
        <v/>
      </c>
      <c r="C3151" s="25">
        <f>ItensPedido!C3151</f>
        <v/>
      </c>
      <c r="D3151" s="25">
        <f>ItensPedido!D3151</f>
        <v/>
      </c>
      <c r="E3151" s="26">
        <f>ItensPedido!E3151</f>
        <v/>
      </c>
      <c r="F3151" s="25">
        <f>IFERROR(INDEX(Pedidos!$B$2:$B$1801,MATCH(B3151,Pedidos!$A$2:$A$1801,0)),0)</f>
        <v/>
      </c>
      <c r="G3151" s="25">
        <f>IF(F3151=0,"",YEAR(F3151))</f>
        <v/>
      </c>
      <c r="H3151" s="25">
        <f>IF(F3151=0,"",MONTH(F3151))</f>
        <v/>
      </c>
      <c r="I3151" s="25">
        <f>IFERROR(INDEX(Pedidos!$E$2:$E$1801,MATCH(B3151,Pedidos!$A$2:$A$1801,0)),"")</f>
        <v/>
      </c>
      <c r="J3151" s="25">
        <f>IFERROR(INDEX(Pedidos!$C$2:$C$1801,MATCH(B3151,Pedidos!$A$2:$A$1801,0)),"")</f>
        <v/>
      </c>
      <c r="K3151" s="25">
        <f>IFERROR(INDEX(Pedidos!$D$2:$D$1801,MATCH(B3151,Pedidos!$A$2:$A$1801,0)),"")</f>
        <v/>
      </c>
      <c r="L3151" s="25">
        <f>IFERROR(INDEX(Pedidos!$F$2:$F$1801,MATCH(B3151,Pedidos!$A$2:$A$1801,0)),"")</f>
        <v/>
      </c>
      <c r="M3151" s="26">
        <f>IFERROR(INDEX(Pedidos!$G$2:$G$1801,MATCH(B3151,Pedidos!$A$2:$A$1801,0)),0)</f>
        <v/>
      </c>
      <c r="N3151" s="25">
        <f>IFERROR(INDEX(Produtos!$B$2:$B$71,MATCH(C3151,Produtos!$A$2:$A$71,0)),"")</f>
        <v/>
      </c>
      <c r="O3151" s="25">
        <f>IFERROR(INDEX(Produtos!$C$2:$C$71,MATCH(C3151,Produtos!$A$2:$A$71,0)),"")</f>
        <v/>
      </c>
      <c r="P3151" s="25">
        <f>IFERROR(INDEX(Produtos!$D$2:$D$71,MATCH(C3151,Produtos!$A$2:$A$71,0)),0)</f>
        <v/>
      </c>
      <c r="Q3151" s="25">
        <f>IFERROR(INDEX(Produtos!$E$2:$E$71,MATCH(C3151,Produtos!$A$2:$A$71,0)),0)</f>
        <v/>
      </c>
      <c r="R3151" s="27">
        <f>D3151*Q3151</f>
        <v/>
      </c>
      <c r="S3151" s="27">
        <f>R3151*E3151</f>
        <v/>
      </c>
      <c r="T3151" s="27">
        <f>(R3151-S3151)*M3151</f>
        <v/>
      </c>
      <c r="U3151" s="27">
        <f>R3151-S3151-T3151</f>
        <v/>
      </c>
      <c r="V3151" s="27">
        <f>D3151*P3151</f>
        <v/>
      </c>
      <c r="W3151" s="27">
        <f>U3151-V3151</f>
        <v/>
      </c>
      <c r="X3151" s="28">
        <f>IFERROR(W3151/U3151,0)</f>
        <v/>
      </c>
    </row>
    <row r="3152">
      <c r="A3152" s="21">
        <f>ItensPedido!A3152</f>
        <v/>
      </c>
      <c r="B3152" s="21">
        <f>ItensPedido!B3152</f>
        <v/>
      </c>
      <c r="C3152" s="21">
        <f>ItensPedido!C3152</f>
        <v/>
      </c>
      <c r="D3152" s="21">
        <f>ItensPedido!D3152</f>
        <v/>
      </c>
      <c r="E3152" s="22">
        <f>ItensPedido!E3152</f>
        <v/>
      </c>
      <c r="F3152" s="21">
        <f>IFERROR(INDEX(Pedidos!$B$2:$B$1801,MATCH(B3152,Pedidos!$A$2:$A$1801,0)),0)</f>
        <v/>
      </c>
      <c r="G3152" s="21">
        <f>IF(F3152=0,"",YEAR(F3152))</f>
        <v/>
      </c>
      <c r="H3152" s="21">
        <f>IF(F3152=0,"",MONTH(F3152))</f>
        <v/>
      </c>
      <c r="I3152" s="21">
        <f>IFERROR(INDEX(Pedidos!$E$2:$E$1801,MATCH(B3152,Pedidos!$A$2:$A$1801,0)),"")</f>
        <v/>
      </c>
      <c r="J3152" s="21">
        <f>IFERROR(INDEX(Pedidos!$C$2:$C$1801,MATCH(B3152,Pedidos!$A$2:$A$1801,0)),"")</f>
        <v/>
      </c>
      <c r="K3152" s="21">
        <f>IFERROR(INDEX(Pedidos!$D$2:$D$1801,MATCH(B3152,Pedidos!$A$2:$A$1801,0)),"")</f>
        <v/>
      </c>
      <c r="L3152" s="21">
        <f>IFERROR(INDEX(Pedidos!$F$2:$F$1801,MATCH(B3152,Pedidos!$A$2:$A$1801,0)),"")</f>
        <v/>
      </c>
      <c r="M3152" s="22">
        <f>IFERROR(INDEX(Pedidos!$G$2:$G$1801,MATCH(B3152,Pedidos!$A$2:$A$1801,0)),0)</f>
        <v/>
      </c>
      <c r="N3152" s="21">
        <f>IFERROR(INDEX(Produtos!$B$2:$B$71,MATCH(C3152,Produtos!$A$2:$A$71,0)),"")</f>
        <v/>
      </c>
      <c r="O3152" s="21">
        <f>IFERROR(INDEX(Produtos!$C$2:$C$71,MATCH(C3152,Produtos!$A$2:$A$71,0)),"")</f>
        <v/>
      </c>
      <c r="P3152" s="21">
        <f>IFERROR(INDEX(Produtos!$D$2:$D$71,MATCH(C3152,Produtos!$A$2:$A$71,0)),0)</f>
        <v/>
      </c>
      <c r="Q3152" s="21">
        <f>IFERROR(INDEX(Produtos!$E$2:$E$71,MATCH(C3152,Produtos!$A$2:$A$71,0)),0)</f>
        <v/>
      </c>
      <c r="R3152" s="23">
        <f>D3152*Q3152</f>
        <v/>
      </c>
      <c r="S3152" s="23">
        <f>R3152*E3152</f>
        <v/>
      </c>
      <c r="T3152" s="23">
        <f>(R3152-S3152)*M3152</f>
        <v/>
      </c>
      <c r="U3152" s="23">
        <f>R3152-S3152-T3152</f>
        <v/>
      </c>
      <c r="V3152" s="23">
        <f>D3152*P3152</f>
        <v/>
      </c>
      <c r="W3152" s="23">
        <f>U3152-V3152</f>
        <v/>
      </c>
      <c r="X3152" s="24">
        <f>IFERROR(W3152/U3152,0)</f>
        <v/>
      </c>
    </row>
    <row r="3153">
      <c r="A3153" s="25">
        <f>ItensPedido!A3153</f>
        <v/>
      </c>
      <c r="B3153" s="25">
        <f>ItensPedido!B3153</f>
        <v/>
      </c>
      <c r="C3153" s="25">
        <f>ItensPedido!C3153</f>
        <v/>
      </c>
      <c r="D3153" s="25">
        <f>ItensPedido!D3153</f>
        <v/>
      </c>
      <c r="E3153" s="26">
        <f>ItensPedido!E3153</f>
        <v/>
      </c>
      <c r="F3153" s="25">
        <f>IFERROR(INDEX(Pedidos!$B$2:$B$1801,MATCH(B3153,Pedidos!$A$2:$A$1801,0)),0)</f>
        <v/>
      </c>
      <c r="G3153" s="25">
        <f>IF(F3153=0,"",YEAR(F3153))</f>
        <v/>
      </c>
      <c r="H3153" s="25">
        <f>IF(F3153=0,"",MONTH(F3153))</f>
        <v/>
      </c>
      <c r="I3153" s="25">
        <f>IFERROR(INDEX(Pedidos!$E$2:$E$1801,MATCH(B3153,Pedidos!$A$2:$A$1801,0)),"")</f>
        <v/>
      </c>
      <c r="J3153" s="25">
        <f>IFERROR(INDEX(Pedidos!$C$2:$C$1801,MATCH(B3153,Pedidos!$A$2:$A$1801,0)),"")</f>
        <v/>
      </c>
      <c r="K3153" s="25">
        <f>IFERROR(INDEX(Pedidos!$D$2:$D$1801,MATCH(B3153,Pedidos!$A$2:$A$1801,0)),"")</f>
        <v/>
      </c>
      <c r="L3153" s="25">
        <f>IFERROR(INDEX(Pedidos!$F$2:$F$1801,MATCH(B3153,Pedidos!$A$2:$A$1801,0)),"")</f>
        <v/>
      </c>
      <c r="M3153" s="26">
        <f>IFERROR(INDEX(Pedidos!$G$2:$G$1801,MATCH(B3153,Pedidos!$A$2:$A$1801,0)),0)</f>
        <v/>
      </c>
      <c r="N3153" s="25">
        <f>IFERROR(INDEX(Produtos!$B$2:$B$71,MATCH(C3153,Produtos!$A$2:$A$71,0)),"")</f>
        <v/>
      </c>
      <c r="O3153" s="25">
        <f>IFERROR(INDEX(Produtos!$C$2:$C$71,MATCH(C3153,Produtos!$A$2:$A$71,0)),"")</f>
        <v/>
      </c>
      <c r="P3153" s="25">
        <f>IFERROR(INDEX(Produtos!$D$2:$D$71,MATCH(C3153,Produtos!$A$2:$A$71,0)),0)</f>
        <v/>
      </c>
      <c r="Q3153" s="25">
        <f>IFERROR(INDEX(Produtos!$E$2:$E$71,MATCH(C3153,Produtos!$A$2:$A$71,0)),0)</f>
        <v/>
      </c>
      <c r="R3153" s="27">
        <f>D3153*Q3153</f>
        <v/>
      </c>
      <c r="S3153" s="27">
        <f>R3153*E3153</f>
        <v/>
      </c>
      <c r="T3153" s="27">
        <f>(R3153-S3153)*M3153</f>
        <v/>
      </c>
      <c r="U3153" s="27">
        <f>R3153-S3153-T3153</f>
        <v/>
      </c>
      <c r="V3153" s="27">
        <f>D3153*P3153</f>
        <v/>
      </c>
      <c r="W3153" s="27">
        <f>U3153-V3153</f>
        <v/>
      </c>
      <c r="X3153" s="28">
        <f>IFERROR(W3153/U3153,0)</f>
        <v/>
      </c>
    </row>
    <row r="3154">
      <c r="A3154" s="21">
        <f>ItensPedido!A3154</f>
        <v/>
      </c>
      <c r="B3154" s="21">
        <f>ItensPedido!B3154</f>
        <v/>
      </c>
      <c r="C3154" s="21">
        <f>ItensPedido!C3154</f>
        <v/>
      </c>
      <c r="D3154" s="21">
        <f>ItensPedido!D3154</f>
        <v/>
      </c>
      <c r="E3154" s="22">
        <f>ItensPedido!E3154</f>
        <v/>
      </c>
      <c r="F3154" s="21">
        <f>IFERROR(INDEX(Pedidos!$B$2:$B$1801,MATCH(B3154,Pedidos!$A$2:$A$1801,0)),0)</f>
        <v/>
      </c>
      <c r="G3154" s="21">
        <f>IF(F3154=0,"",YEAR(F3154))</f>
        <v/>
      </c>
      <c r="H3154" s="21">
        <f>IF(F3154=0,"",MONTH(F3154))</f>
        <v/>
      </c>
      <c r="I3154" s="21">
        <f>IFERROR(INDEX(Pedidos!$E$2:$E$1801,MATCH(B3154,Pedidos!$A$2:$A$1801,0)),"")</f>
        <v/>
      </c>
      <c r="J3154" s="21">
        <f>IFERROR(INDEX(Pedidos!$C$2:$C$1801,MATCH(B3154,Pedidos!$A$2:$A$1801,0)),"")</f>
        <v/>
      </c>
      <c r="K3154" s="21">
        <f>IFERROR(INDEX(Pedidos!$D$2:$D$1801,MATCH(B3154,Pedidos!$A$2:$A$1801,0)),"")</f>
        <v/>
      </c>
      <c r="L3154" s="21">
        <f>IFERROR(INDEX(Pedidos!$F$2:$F$1801,MATCH(B3154,Pedidos!$A$2:$A$1801,0)),"")</f>
        <v/>
      </c>
      <c r="M3154" s="22">
        <f>IFERROR(INDEX(Pedidos!$G$2:$G$1801,MATCH(B3154,Pedidos!$A$2:$A$1801,0)),0)</f>
        <v/>
      </c>
      <c r="N3154" s="21">
        <f>IFERROR(INDEX(Produtos!$B$2:$B$71,MATCH(C3154,Produtos!$A$2:$A$71,0)),"")</f>
        <v/>
      </c>
      <c r="O3154" s="21">
        <f>IFERROR(INDEX(Produtos!$C$2:$C$71,MATCH(C3154,Produtos!$A$2:$A$71,0)),"")</f>
        <v/>
      </c>
      <c r="P3154" s="21">
        <f>IFERROR(INDEX(Produtos!$D$2:$D$71,MATCH(C3154,Produtos!$A$2:$A$71,0)),0)</f>
        <v/>
      </c>
      <c r="Q3154" s="21">
        <f>IFERROR(INDEX(Produtos!$E$2:$E$71,MATCH(C3154,Produtos!$A$2:$A$71,0)),0)</f>
        <v/>
      </c>
      <c r="R3154" s="23">
        <f>D3154*Q3154</f>
        <v/>
      </c>
      <c r="S3154" s="23">
        <f>R3154*E3154</f>
        <v/>
      </c>
      <c r="T3154" s="23">
        <f>(R3154-S3154)*M3154</f>
        <v/>
      </c>
      <c r="U3154" s="23">
        <f>R3154-S3154-T3154</f>
        <v/>
      </c>
      <c r="V3154" s="23">
        <f>D3154*P3154</f>
        <v/>
      </c>
      <c r="W3154" s="23">
        <f>U3154-V3154</f>
        <v/>
      </c>
      <c r="X3154" s="24">
        <f>IFERROR(W3154/U3154,0)</f>
        <v/>
      </c>
    </row>
    <row r="3155">
      <c r="A3155" s="25">
        <f>ItensPedido!A3155</f>
        <v/>
      </c>
      <c r="B3155" s="25">
        <f>ItensPedido!B3155</f>
        <v/>
      </c>
      <c r="C3155" s="25">
        <f>ItensPedido!C3155</f>
        <v/>
      </c>
      <c r="D3155" s="25">
        <f>ItensPedido!D3155</f>
        <v/>
      </c>
      <c r="E3155" s="26">
        <f>ItensPedido!E3155</f>
        <v/>
      </c>
      <c r="F3155" s="25">
        <f>IFERROR(INDEX(Pedidos!$B$2:$B$1801,MATCH(B3155,Pedidos!$A$2:$A$1801,0)),0)</f>
        <v/>
      </c>
      <c r="G3155" s="25">
        <f>IF(F3155=0,"",YEAR(F3155))</f>
        <v/>
      </c>
      <c r="H3155" s="25">
        <f>IF(F3155=0,"",MONTH(F3155))</f>
        <v/>
      </c>
      <c r="I3155" s="25">
        <f>IFERROR(INDEX(Pedidos!$E$2:$E$1801,MATCH(B3155,Pedidos!$A$2:$A$1801,0)),"")</f>
        <v/>
      </c>
      <c r="J3155" s="25">
        <f>IFERROR(INDEX(Pedidos!$C$2:$C$1801,MATCH(B3155,Pedidos!$A$2:$A$1801,0)),"")</f>
        <v/>
      </c>
      <c r="K3155" s="25">
        <f>IFERROR(INDEX(Pedidos!$D$2:$D$1801,MATCH(B3155,Pedidos!$A$2:$A$1801,0)),"")</f>
        <v/>
      </c>
      <c r="L3155" s="25">
        <f>IFERROR(INDEX(Pedidos!$F$2:$F$1801,MATCH(B3155,Pedidos!$A$2:$A$1801,0)),"")</f>
        <v/>
      </c>
      <c r="M3155" s="26">
        <f>IFERROR(INDEX(Pedidos!$G$2:$G$1801,MATCH(B3155,Pedidos!$A$2:$A$1801,0)),0)</f>
        <v/>
      </c>
      <c r="N3155" s="25">
        <f>IFERROR(INDEX(Produtos!$B$2:$B$71,MATCH(C3155,Produtos!$A$2:$A$71,0)),"")</f>
        <v/>
      </c>
      <c r="O3155" s="25">
        <f>IFERROR(INDEX(Produtos!$C$2:$C$71,MATCH(C3155,Produtos!$A$2:$A$71,0)),"")</f>
        <v/>
      </c>
      <c r="P3155" s="25">
        <f>IFERROR(INDEX(Produtos!$D$2:$D$71,MATCH(C3155,Produtos!$A$2:$A$71,0)),0)</f>
        <v/>
      </c>
      <c r="Q3155" s="25">
        <f>IFERROR(INDEX(Produtos!$E$2:$E$71,MATCH(C3155,Produtos!$A$2:$A$71,0)),0)</f>
        <v/>
      </c>
      <c r="R3155" s="27">
        <f>D3155*Q3155</f>
        <v/>
      </c>
      <c r="S3155" s="27">
        <f>R3155*E3155</f>
        <v/>
      </c>
      <c r="T3155" s="27">
        <f>(R3155-S3155)*M3155</f>
        <v/>
      </c>
      <c r="U3155" s="27">
        <f>R3155-S3155-T3155</f>
        <v/>
      </c>
      <c r="V3155" s="27">
        <f>D3155*P3155</f>
        <v/>
      </c>
      <c r="W3155" s="27">
        <f>U3155-V3155</f>
        <v/>
      </c>
      <c r="X3155" s="28">
        <f>IFERROR(W3155/U3155,0)</f>
        <v/>
      </c>
    </row>
    <row r="3156">
      <c r="A3156" s="21">
        <f>ItensPedido!A3156</f>
        <v/>
      </c>
      <c r="B3156" s="21">
        <f>ItensPedido!B3156</f>
        <v/>
      </c>
      <c r="C3156" s="21">
        <f>ItensPedido!C3156</f>
        <v/>
      </c>
      <c r="D3156" s="21">
        <f>ItensPedido!D3156</f>
        <v/>
      </c>
      <c r="E3156" s="22">
        <f>ItensPedido!E3156</f>
        <v/>
      </c>
      <c r="F3156" s="21">
        <f>IFERROR(INDEX(Pedidos!$B$2:$B$1801,MATCH(B3156,Pedidos!$A$2:$A$1801,0)),0)</f>
        <v/>
      </c>
      <c r="G3156" s="21">
        <f>IF(F3156=0,"",YEAR(F3156))</f>
        <v/>
      </c>
      <c r="H3156" s="21">
        <f>IF(F3156=0,"",MONTH(F3156))</f>
        <v/>
      </c>
      <c r="I3156" s="21">
        <f>IFERROR(INDEX(Pedidos!$E$2:$E$1801,MATCH(B3156,Pedidos!$A$2:$A$1801,0)),"")</f>
        <v/>
      </c>
      <c r="J3156" s="21">
        <f>IFERROR(INDEX(Pedidos!$C$2:$C$1801,MATCH(B3156,Pedidos!$A$2:$A$1801,0)),"")</f>
        <v/>
      </c>
      <c r="K3156" s="21">
        <f>IFERROR(INDEX(Pedidos!$D$2:$D$1801,MATCH(B3156,Pedidos!$A$2:$A$1801,0)),"")</f>
        <v/>
      </c>
      <c r="L3156" s="21">
        <f>IFERROR(INDEX(Pedidos!$F$2:$F$1801,MATCH(B3156,Pedidos!$A$2:$A$1801,0)),"")</f>
        <v/>
      </c>
      <c r="M3156" s="22">
        <f>IFERROR(INDEX(Pedidos!$G$2:$G$1801,MATCH(B3156,Pedidos!$A$2:$A$1801,0)),0)</f>
        <v/>
      </c>
      <c r="N3156" s="21">
        <f>IFERROR(INDEX(Produtos!$B$2:$B$71,MATCH(C3156,Produtos!$A$2:$A$71,0)),"")</f>
        <v/>
      </c>
      <c r="O3156" s="21">
        <f>IFERROR(INDEX(Produtos!$C$2:$C$71,MATCH(C3156,Produtos!$A$2:$A$71,0)),"")</f>
        <v/>
      </c>
      <c r="P3156" s="21">
        <f>IFERROR(INDEX(Produtos!$D$2:$D$71,MATCH(C3156,Produtos!$A$2:$A$71,0)),0)</f>
        <v/>
      </c>
      <c r="Q3156" s="21">
        <f>IFERROR(INDEX(Produtos!$E$2:$E$71,MATCH(C3156,Produtos!$A$2:$A$71,0)),0)</f>
        <v/>
      </c>
      <c r="R3156" s="23">
        <f>D3156*Q3156</f>
        <v/>
      </c>
      <c r="S3156" s="23">
        <f>R3156*E3156</f>
        <v/>
      </c>
      <c r="T3156" s="23">
        <f>(R3156-S3156)*M3156</f>
        <v/>
      </c>
      <c r="U3156" s="23">
        <f>R3156-S3156-T3156</f>
        <v/>
      </c>
      <c r="V3156" s="23">
        <f>D3156*P3156</f>
        <v/>
      </c>
      <c r="W3156" s="23">
        <f>U3156-V3156</f>
        <v/>
      </c>
      <c r="X3156" s="24">
        <f>IFERROR(W3156/U3156,0)</f>
        <v/>
      </c>
    </row>
    <row r="3157">
      <c r="A3157" s="25">
        <f>ItensPedido!A3157</f>
        <v/>
      </c>
      <c r="B3157" s="25">
        <f>ItensPedido!B3157</f>
        <v/>
      </c>
      <c r="C3157" s="25">
        <f>ItensPedido!C3157</f>
        <v/>
      </c>
      <c r="D3157" s="25">
        <f>ItensPedido!D3157</f>
        <v/>
      </c>
      <c r="E3157" s="26">
        <f>ItensPedido!E3157</f>
        <v/>
      </c>
      <c r="F3157" s="25">
        <f>IFERROR(INDEX(Pedidos!$B$2:$B$1801,MATCH(B3157,Pedidos!$A$2:$A$1801,0)),0)</f>
        <v/>
      </c>
      <c r="G3157" s="25">
        <f>IF(F3157=0,"",YEAR(F3157))</f>
        <v/>
      </c>
      <c r="H3157" s="25">
        <f>IF(F3157=0,"",MONTH(F3157))</f>
        <v/>
      </c>
      <c r="I3157" s="25">
        <f>IFERROR(INDEX(Pedidos!$E$2:$E$1801,MATCH(B3157,Pedidos!$A$2:$A$1801,0)),"")</f>
        <v/>
      </c>
      <c r="J3157" s="25">
        <f>IFERROR(INDEX(Pedidos!$C$2:$C$1801,MATCH(B3157,Pedidos!$A$2:$A$1801,0)),"")</f>
        <v/>
      </c>
      <c r="K3157" s="25">
        <f>IFERROR(INDEX(Pedidos!$D$2:$D$1801,MATCH(B3157,Pedidos!$A$2:$A$1801,0)),"")</f>
        <v/>
      </c>
      <c r="L3157" s="25">
        <f>IFERROR(INDEX(Pedidos!$F$2:$F$1801,MATCH(B3157,Pedidos!$A$2:$A$1801,0)),"")</f>
        <v/>
      </c>
      <c r="M3157" s="26">
        <f>IFERROR(INDEX(Pedidos!$G$2:$G$1801,MATCH(B3157,Pedidos!$A$2:$A$1801,0)),0)</f>
        <v/>
      </c>
      <c r="N3157" s="25">
        <f>IFERROR(INDEX(Produtos!$B$2:$B$71,MATCH(C3157,Produtos!$A$2:$A$71,0)),"")</f>
        <v/>
      </c>
      <c r="O3157" s="25">
        <f>IFERROR(INDEX(Produtos!$C$2:$C$71,MATCH(C3157,Produtos!$A$2:$A$71,0)),"")</f>
        <v/>
      </c>
      <c r="P3157" s="25">
        <f>IFERROR(INDEX(Produtos!$D$2:$D$71,MATCH(C3157,Produtos!$A$2:$A$71,0)),0)</f>
        <v/>
      </c>
      <c r="Q3157" s="25">
        <f>IFERROR(INDEX(Produtos!$E$2:$E$71,MATCH(C3157,Produtos!$A$2:$A$71,0)),0)</f>
        <v/>
      </c>
      <c r="R3157" s="27">
        <f>D3157*Q3157</f>
        <v/>
      </c>
      <c r="S3157" s="27">
        <f>R3157*E3157</f>
        <v/>
      </c>
      <c r="T3157" s="27">
        <f>(R3157-S3157)*M3157</f>
        <v/>
      </c>
      <c r="U3157" s="27">
        <f>R3157-S3157-T3157</f>
        <v/>
      </c>
      <c r="V3157" s="27">
        <f>D3157*P3157</f>
        <v/>
      </c>
      <c r="W3157" s="27">
        <f>U3157-V3157</f>
        <v/>
      </c>
      <c r="X3157" s="28">
        <f>IFERROR(W3157/U3157,0)</f>
        <v/>
      </c>
    </row>
    <row r="3158">
      <c r="A3158" s="21">
        <f>ItensPedido!A3158</f>
        <v/>
      </c>
      <c r="B3158" s="21">
        <f>ItensPedido!B3158</f>
        <v/>
      </c>
      <c r="C3158" s="21">
        <f>ItensPedido!C3158</f>
        <v/>
      </c>
      <c r="D3158" s="21">
        <f>ItensPedido!D3158</f>
        <v/>
      </c>
      <c r="E3158" s="22">
        <f>ItensPedido!E3158</f>
        <v/>
      </c>
      <c r="F3158" s="21">
        <f>IFERROR(INDEX(Pedidos!$B$2:$B$1801,MATCH(B3158,Pedidos!$A$2:$A$1801,0)),0)</f>
        <v/>
      </c>
      <c r="G3158" s="21">
        <f>IF(F3158=0,"",YEAR(F3158))</f>
        <v/>
      </c>
      <c r="H3158" s="21">
        <f>IF(F3158=0,"",MONTH(F3158))</f>
        <v/>
      </c>
      <c r="I3158" s="21">
        <f>IFERROR(INDEX(Pedidos!$E$2:$E$1801,MATCH(B3158,Pedidos!$A$2:$A$1801,0)),"")</f>
        <v/>
      </c>
      <c r="J3158" s="21">
        <f>IFERROR(INDEX(Pedidos!$C$2:$C$1801,MATCH(B3158,Pedidos!$A$2:$A$1801,0)),"")</f>
        <v/>
      </c>
      <c r="K3158" s="21">
        <f>IFERROR(INDEX(Pedidos!$D$2:$D$1801,MATCH(B3158,Pedidos!$A$2:$A$1801,0)),"")</f>
        <v/>
      </c>
      <c r="L3158" s="21">
        <f>IFERROR(INDEX(Pedidos!$F$2:$F$1801,MATCH(B3158,Pedidos!$A$2:$A$1801,0)),"")</f>
        <v/>
      </c>
      <c r="M3158" s="22">
        <f>IFERROR(INDEX(Pedidos!$G$2:$G$1801,MATCH(B3158,Pedidos!$A$2:$A$1801,0)),0)</f>
        <v/>
      </c>
      <c r="N3158" s="21">
        <f>IFERROR(INDEX(Produtos!$B$2:$B$71,MATCH(C3158,Produtos!$A$2:$A$71,0)),"")</f>
        <v/>
      </c>
      <c r="O3158" s="21">
        <f>IFERROR(INDEX(Produtos!$C$2:$C$71,MATCH(C3158,Produtos!$A$2:$A$71,0)),"")</f>
        <v/>
      </c>
      <c r="P3158" s="21">
        <f>IFERROR(INDEX(Produtos!$D$2:$D$71,MATCH(C3158,Produtos!$A$2:$A$71,0)),0)</f>
        <v/>
      </c>
      <c r="Q3158" s="21">
        <f>IFERROR(INDEX(Produtos!$E$2:$E$71,MATCH(C3158,Produtos!$A$2:$A$71,0)),0)</f>
        <v/>
      </c>
      <c r="R3158" s="23">
        <f>D3158*Q3158</f>
        <v/>
      </c>
      <c r="S3158" s="23">
        <f>R3158*E3158</f>
        <v/>
      </c>
      <c r="T3158" s="23">
        <f>(R3158-S3158)*M3158</f>
        <v/>
      </c>
      <c r="U3158" s="23">
        <f>R3158-S3158-T3158</f>
        <v/>
      </c>
      <c r="V3158" s="23">
        <f>D3158*P3158</f>
        <v/>
      </c>
      <c r="W3158" s="23">
        <f>U3158-V3158</f>
        <v/>
      </c>
      <c r="X3158" s="24">
        <f>IFERROR(W3158/U3158,0)</f>
        <v/>
      </c>
    </row>
    <row r="3159">
      <c r="A3159" s="25">
        <f>ItensPedido!A3159</f>
        <v/>
      </c>
      <c r="B3159" s="25">
        <f>ItensPedido!B3159</f>
        <v/>
      </c>
      <c r="C3159" s="25">
        <f>ItensPedido!C3159</f>
        <v/>
      </c>
      <c r="D3159" s="25">
        <f>ItensPedido!D3159</f>
        <v/>
      </c>
      <c r="E3159" s="26">
        <f>ItensPedido!E3159</f>
        <v/>
      </c>
      <c r="F3159" s="25">
        <f>IFERROR(INDEX(Pedidos!$B$2:$B$1801,MATCH(B3159,Pedidos!$A$2:$A$1801,0)),0)</f>
        <v/>
      </c>
      <c r="G3159" s="25">
        <f>IF(F3159=0,"",YEAR(F3159))</f>
        <v/>
      </c>
      <c r="H3159" s="25">
        <f>IF(F3159=0,"",MONTH(F3159))</f>
        <v/>
      </c>
      <c r="I3159" s="25">
        <f>IFERROR(INDEX(Pedidos!$E$2:$E$1801,MATCH(B3159,Pedidos!$A$2:$A$1801,0)),"")</f>
        <v/>
      </c>
      <c r="J3159" s="25">
        <f>IFERROR(INDEX(Pedidos!$C$2:$C$1801,MATCH(B3159,Pedidos!$A$2:$A$1801,0)),"")</f>
        <v/>
      </c>
      <c r="K3159" s="25">
        <f>IFERROR(INDEX(Pedidos!$D$2:$D$1801,MATCH(B3159,Pedidos!$A$2:$A$1801,0)),"")</f>
        <v/>
      </c>
      <c r="L3159" s="25">
        <f>IFERROR(INDEX(Pedidos!$F$2:$F$1801,MATCH(B3159,Pedidos!$A$2:$A$1801,0)),"")</f>
        <v/>
      </c>
      <c r="M3159" s="26">
        <f>IFERROR(INDEX(Pedidos!$G$2:$G$1801,MATCH(B3159,Pedidos!$A$2:$A$1801,0)),0)</f>
        <v/>
      </c>
      <c r="N3159" s="25">
        <f>IFERROR(INDEX(Produtos!$B$2:$B$71,MATCH(C3159,Produtos!$A$2:$A$71,0)),"")</f>
        <v/>
      </c>
      <c r="O3159" s="25">
        <f>IFERROR(INDEX(Produtos!$C$2:$C$71,MATCH(C3159,Produtos!$A$2:$A$71,0)),"")</f>
        <v/>
      </c>
      <c r="P3159" s="25">
        <f>IFERROR(INDEX(Produtos!$D$2:$D$71,MATCH(C3159,Produtos!$A$2:$A$71,0)),0)</f>
        <v/>
      </c>
      <c r="Q3159" s="25">
        <f>IFERROR(INDEX(Produtos!$E$2:$E$71,MATCH(C3159,Produtos!$A$2:$A$71,0)),0)</f>
        <v/>
      </c>
      <c r="R3159" s="27">
        <f>D3159*Q3159</f>
        <v/>
      </c>
      <c r="S3159" s="27">
        <f>R3159*E3159</f>
        <v/>
      </c>
      <c r="T3159" s="27">
        <f>(R3159-S3159)*M3159</f>
        <v/>
      </c>
      <c r="U3159" s="27">
        <f>R3159-S3159-T3159</f>
        <v/>
      </c>
      <c r="V3159" s="27">
        <f>D3159*P3159</f>
        <v/>
      </c>
      <c r="W3159" s="27">
        <f>U3159-V3159</f>
        <v/>
      </c>
      <c r="X3159" s="28">
        <f>IFERROR(W3159/U3159,0)</f>
        <v/>
      </c>
    </row>
    <row r="3160">
      <c r="A3160" s="21">
        <f>ItensPedido!A3160</f>
        <v/>
      </c>
      <c r="B3160" s="21">
        <f>ItensPedido!B3160</f>
        <v/>
      </c>
      <c r="C3160" s="21">
        <f>ItensPedido!C3160</f>
        <v/>
      </c>
      <c r="D3160" s="21">
        <f>ItensPedido!D3160</f>
        <v/>
      </c>
      <c r="E3160" s="22">
        <f>ItensPedido!E3160</f>
        <v/>
      </c>
      <c r="F3160" s="21">
        <f>IFERROR(INDEX(Pedidos!$B$2:$B$1801,MATCH(B3160,Pedidos!$A$2:$A$1801,0)),0)</f>
        <v/>
      </c>
      <c r="G3160" s="21">
        <f>IF(F3160=0,"",YEAR(F3160))</f>
        <v/>
      </c>
      <c r="H3160" s="21">
        <f>IF(F3160=0,"",MONTH(F3160))</f>
        <v/>
      </c>
      <c r="I3160" s="21">
        <f>IFERROR(INDEX(Pedidos!$E$2:$E$1801,MATCH(B3160,Pedidos!$A$2:$A$1801,0)),"")</f>
        <v/>
      </c>
      <c r="J3160" s="21">
        <f>IFERROR(INDEX(Pedidos!$C$2:$C$1801,MATCH(B3160,Pedidos!$A$2:$A$1801,0)),"")</f>
        <v/>
      </c>
      <c r="K3160" s="21">
        <f>IFERROR(INDEX(Pedidos!$D$2:$D$1801,MATCH(B3160,Pedidos!$A$2:$A$1801,0)),"")</f>
        <v/>
      </c>
      <c r="L3160" s="21">
        <f>IFERROR(INDEX(Pedidos!$F$2:$F$1801,MATCH(B3160,Pedidos!$A$2:$A$1801,0)),"")</f>
        <v/>
      </c>
      <c r="M3160" s="22">
        <f>IFERROR(INDEX(Pedidos!$G$2:$G$1801,MATCH(B3160,Pedidos!$A$2:$A$1801,0)),0)</f>
        <v/>
      </c>
      <c r="N3160" s="21">
        <f>IFERROR(INDEX(Produtos!$B$2:$B$71,MATCH(C3160,Produtos!$A$2:$A$71,0)),"")</f>
        <v/>
      </c>
      <c r="O3160" s="21">
        <f>IFERROR(INDEX(Produtos!$C$2:$C$71,MATCH(C3160,Produtos!$A$2:$A$71,0)),"")</f>
        <v/>
      </c>
      <c r="P3160" s="21">
        <f>IFERROR(INDEX(Produtos!$D$2:$D$71,MATCH(C3160,Produtos!$A$2:$A$71,0)),0)</f>
        <v/>
      </c>
      <c r="Q3160" s="21">
        <f>IFERROR(INDEX(Produtos!$E$2:$E$71,MATCH(C3160,Produtos!$A$2:$A$71,0)),0)</f>
        <v/>
      </c>
      <c r="R3160" s="23">
        <f>D3160*Q3160</f>
        <v/>
      </c>
      <c r="S3160" s="23">
        <f>R3160*E3160</f>
        <v/>
      </c>
      <c r="T3160" s="23">
        <f>(R3160-S3160)*M3160</f>
        <v/>
      </c>
      <c r="U3160" s="23">
        <f>R3160-S3160-T3160</f>
        <v/>
      </c>
      <c r="V3160" s="23">
        <f>D3160*P3160</f>
        <v/>
      </c>
      <c r="W3160" s="23">
        <f>U3160-V3160</f>
        <v/>
      </c>
      <c r="X3160" s="24">
        <f>IFERROR(W3160/U3160,0)</f>
        <v/>
      </c>
    </row>
    <row r="3161">
      <c r="A3161" s="25">
        <f>ItensPedido!A3161</f>
        <v/>
      </c>
      <c r="B3161" s="25">
        <f>ItensPedido!B3161</f>
        <v/>
      </c>
      <c r="C3161" s="25">
        <f>ItensPedido!C3161</f>
        <v/>
      </c>
      <c r="D3161" s="25">
        <f>ItensPedido!D3161</f>
        <v/>
      </c>
      <c r="E3161" s="26">
        <f>ItensPedido!E3161</f>
        <v/>
      </c>
      <c r="F3161" s="25">
        <f>IFERROR(INDEX(Pedidos!$B$2:$B$1801,MATCH(B3161,Pedidos!$A$2:$A$1801,0)),0)</f>
        <v/>
      </c>
      <c r="G3161" s="25">
        <f>IF(F3161=0,"",YEAR(F3161))</f>
        <v/>
      </c>
      <c r="H3161" s="25">
        <f>IF(F3161=0,"",MONTH(F3161))</f>
        <v/>
      </c>
      <c r="I3161" s="25">
        <f>IFERROR(INDEX(Pedidos!$E$2:$E$1801,MATCH(B3161,Pedidos!$A$2:$A$1801,0)),"")</f>
        <v/>
      </c>
      <c r="J3161" s="25">
        <f>IFERROR(INDEX(Pedidos!$C$2:$C$1801,MATCH(B3161,Pedidos!$A$2:$A$1801,0)),"")</f>
        <v/>
      </c>
      <c r="K3161" s="25">
        <f>IFERROR(INDEX(Pedidos!$D$2:$D$1801,MATCH(B3161,Pedidos!$A$2:$A$1801,0)),"")</f>
        <v/>
      </c>
      <c r="L3161" s="25">
        <f>IFERROR(INDEX(Pedidos!$F$2:$F$1801,MATCH(B3161,Pedidos!$A$2:$A$1801,0)),"")</f>
        <v/>
      </c>
      <c r="M3161" s="26">
        <f>IFERROR(INDEX(Pedidos!$G$2:$G$1801,MATCH(B3161,Pedidos!$A$2:$A$1801,0)),0)</f>
        <v/>
      </c>
      <c r="N3161" s="25">
        <f>IFERROR(INDEX(Produtos!$B$2:$B$71,MATCH(C3161,Produtos!$A$2:$A$71,0)),"")</f>
        <v/>
      </c>
      <c r="O3161" s="25">
        <f>IFERROR(INDEX(Produtos!$C$2:$C$71,MATCH(C3161,Produtos!$A$2:$A$71,0)),"")</f>
        <v/>
      </c>
      <c r="P3161" s="25">
        <f>IFERROR(INDEX(Produtos!$D$2:$D$71,MATCH(C3161,Produtos!$A$2:$A$71,0)),0)</f>
        <v/>
      </c>
      <c r="Q3161" s="25">
        <f>IFERROR(INDEX(Produtos!$E$2:$E$71,MATCH(C3161,Produtos!$A$2:$A$71,0)),0)</f>
        <v/>
      </c>
      <c r="R3161" s="27">
        <f>D3161*Q3161</f>
        <v/>
      </c>
      <c r="S3161" s="27">
        <f>R3161*E3161</f>
        <v/>
      </c>
      <c r="T3161" s="27">
        <f>(R3161-S3161)*M3161</f>
        <v/>
      </c>
      <c r="U3161" s="27">
        <f>R3161-S3161-T3161</f>
        <v/>
      </c>
      <c r="V3161" s="27">
        <f>D3161*P3161</f>
        <v/>
      </c>
      <c r="W3161" s="27">
        <f>U3161-V3161</f>
        <v/>
      </c>
      <c r="X3161" s="28">
        <f>IFERROR(W3161/U3161,0)</f>
        <v/>
      </c>
    </row>
    <row r="3162">
      <c r="A3162" s="21">
        <f>ItensPedido!A3162</f>
        <v/>
      </c>
      <c r="B3162" s="21">
        <f>ItensPedido!B3162</f>
        <v/>
      </c>
      <c r="C3162" s="21">
        <f>ItensPedido!C3162</f>
        <v/>
      </c>
      <c r="D3162" s="21">
        <f>ItensPedido!D3162</f>
        <v/>
      </c>
      <c r="E3162" s="22">
        <f>ItensPedido!E3162</f>
        <v/>
      </c>
      <c r="F3162" s="21">
        <f>IFERROR(INDEX(Pedidos!$B$2:$B$1801,MATCH(B3162,Pedidos!$A$2:$A$1801,0)),0)</f>
        <v/>
      </c>
      <c r="G3162" s="21">
        <f>IF(F3162=0,"",YEAR(F3162))</f>
        <v/>
      </c>
      <c r="H3162" s="21">
        <f>IF(F3162=0,"",MONTH(F3162))</f>
        <v/>
      </c>
      <c r="I3162" s="21">
        <f>IFERROR(INDEX(Pedidos!$E$2:$E$1801,MATCH(B3162,Pedidos!$A$2:$A$1801,0)),"")</f>
        <v/>
      </c>
      <c r="J3162" s="21">
        <f>IFERROR(INDEX(Pedidos!$C$2:$C$1801,MATCH(B3162,Pedidos!$A$2:$A$1801,0)),"")</f>
        <v/>
      </c>
      <c r="K3162" s="21">
        <f>IFERROR(INDEX(Pedidos!$D$2:$D$1801,MATCH(B3162,Pedidos!$A$2:$A$1801,0)),"")</f>
        <v/>
      </c>
      <c r="L3162" s="21">
        <f>IFERROR(INDEX(Pedidos!$F$2:$F$1801,MATCH(B3162,Pedidos!$A$2:$A$1801,0)),"")</f>
        <v/>
      </c>
      <c r="M3162" s="22">
        <f>IFERROR(INDEX(Pedidos!$G$2:$G$1801,MATCH(B3162,Pedidos!$A$2:$A$1801,0)),0)</f>
        <v/>
      </c>
      <c r="N3162" s="21">
        <f>IFERROR(INDEX(Produtos!$B$2:$B$71,MATCH(C3162,Produtos!$A$2:$A$71,0)),"")</f>
        <v/>
      </c>
      <c r="O3162" s="21">
        <f>IFERROR(INDEX(Produtos!$C$2:$C$71,MATCH(C3162,Produtos!$A$2:$A$71,0)),"")</f>
        <v/>
      </c>
      <c r="P3162" s="21">
        <f>IFERROR(INDEX(Produtos!$D$2:$D$71,MATCH(C3162,Produtos!$A$2:$A$71,0)),0)</f>
        <v/>
      </c>
      <c r="Q3162" s="21">
        <f>IFERROR(INDEX(Produtos!$E$2:$E$71,MATCH(C3162,Produtos!$A$2:$A$71,0)),0)</f>
        <v/>
      </c>
      <c r="R3162" s="23">
        <f>D3162*Q3162</f>
        <v/>
      </c>
      <c r="S3162" s="23">
        <f>R3162*E3162</f>
        <v/>
      </c>
      <c r="T3162" s="23">
        <f>(R3162-S3162)*M3162</f>
        <v/>
      </c>
      <c r="U3162" s="23">
        <f>R3162-S3162-T3162</f>
        <v/>
      </c>
      <c r="V3162" s="23">
        <f>D3162*P3162</f>
        <v/>
      </c>
      <c r="W3162" s="23">
        <f>U3162-V3162</f>
        <v/>
      </c>
      <c r="X3162" s="24">
        <f>IFERROR(W3162/U3162,0)</f>
        <v/>
      </c>
    </row>
    <row r="3163">
      <c r="A3163" s="25">
        <f>ItensPedido!A3163</f>
        <v/>
      </c>
      <c r="B3163" s="25">
        <f>ItensPedido!B3163</f>
        <v/>
      </c>
      <c r="C3163" s="25">
        <f>ItensPedido!C3163</f>
        <v/>
      </c>
      <c r="D3163" s="25">
        <f>ItensPedido!D3163</f>
        <v/>
      </c>
      <c r="E3163" s="26">
        <f>ItensPedido!E3163</f>
        <v/>
      </c>
      <c r="F3163" s="25">
        <f>IFERROR(INDEX(Pedidos!$B$2:$B$1801,MATCH(B3163,Pedidos!$A$2:$A$1801,0)),0)</f>
        <v/>
      </c>
      <c r="G3163" s="25">
        <f>IF(F3163=0,"",YEAR(F3163))</f>
        <v/>
      </c>
      <c r="H3163" s="25">
        <f>IF(F3163=0,"",MONTH(F3163))</f>
        <v/>
      </c>
      <c r="I3163" s="25">
        <f>IFERROR(INDEX(Pedidos!$E$2:$E$1801,MATCH(B3163,Pedidos!$A$2:$A$1801,0)),"")</f>
        <v/>
      </c>
      <c r="J3163" s="25">
        <f>IFERROR(INDEX(Pedidos!$C$2:$C$1801,MATCH(B3163,Pedidos!$A$2:$A$1801,0)),"")</f>
        <v/>
      </c>
      <c r="K3163" s="25">
        <f>IFERROR(INDEX(Pedidos!$D$2:$D$1801,MATCH(B3163,Pedidos!$A$2:$A$1801,0)),"")</f>
        <v/>
      </c>
      <c r="L3163" s="25">
        <f>IFERROR(INDEX(Pedidos!$F$2:$F$1801,MATCH(B3163,Pedidos!$A$2:$A$1801,0)),"")</f>
        <v/>
      </c>
      <c r="M3163" s="26">
        <f>IFERROR(INDEX(Pedidos!$G$2:$G$1801,MATCH(B3163,Pedidos!$A$2:$A$1801,0)),0)</f>
        <v/>
      </c>
      <c r="N3163" s="25">
        <f>IFERROR(INDEX(Produtos!$B$2:$B$71,MATCH(C3163,Produtos!$A$2:$A$71,0)),"")</f>
        <v/>
      </c>
      <c r="O3163" s="25">
        <f>IFERROR(INDEX(Produtos!$C$2:$C$71,MATCH(C3163,Produtos!$A$2:$A$71,0)),"")</f>
        <v/>
      </c>
      <c r="P3163" s="25">
        <f>IFERROR(INDEX(Produtos!$D$2:$D$71,MATCH(C3163,Produtos!$A$2:$A$71,0)),0)</f>
        <v/>
      </c>
      <c r="Q3163" s="25">
        <f>IFERROR(INDEX(Produtos!$E$2:$E$71,MATCH(C3163,Produtos!$A$2:$A$71,0)),0)</f>
        <v/>
      </c>
      <c r="R3163" s="27">
        <f>D3163*Q3163</f>
        <v/>
      </c>
      <c r="S3163" s="27">
        <f>R3163*E3163</f>
        <v/>
      </c>
      <c r="T3163" s="27">
        <f>(R3163-S3163)*M3163</f>
        <v/>
      </c>
      <c r="U3163" s="27">
        <f>R3163-S3163-T3163</f>
        <v/>
      </c>
      <c r="V3163" s="27">
        <f>D3163*P3163</f>
        <v/>
      </c>
      <c r="W3163" s="27">
        <f>U3163-V3163</f>
        <v/>
      </c>
      <c r="X3163" s="28">
        <f>IFERROR(W3163/U3163,0)</f>
        <v/>
      </c>
    </row>
    <row r="3164">
      <c r="A3164" s="21">
        <f>ItensPedido!A3164</f>
        <v/>
      </c>
      <c r="B3164" s="21">
        <f>ItensPedido!B3164</f>
        <v/>
      </c>
      <c r="C3164" s="21">
        <f>ItensPedido!C3164</f>
        <v/>
      </c>
      <c r="D3164" s="21">
        <f>ItensPedido!D3164</f>
        <v/>
      </c>
      <c r="E3164" s="22">
        <f>ItensPedido!E3164</f>
        <v/>
      </c>
      <c r="F3164" s="21">
        <f>IFERROR(INDEX(Pedidos!$B$2:$B$1801,MATCH(B3164,Pedidos!$A$2:$A$1801,0)),0)</f>
        <v/>
      </c>
      <c r="G3164" s="21">
        <f>IF(F3164=0,"",YEAR(F3164))</f>
        <v/>
      </c>
      <c r="H3164" s="21">
        <f>IF(F3164=0,"",MONTH(F3164))</f>
        <v/>
      </c>
      <c r="I3164" s="21">
        <f>IFERROR(INDEX(Pedidos!$E$2:$E$1801,MATCH(B3164,Pedidos!$A$2:$A$1801,0)),"")</f>
        <v/>
      </c>
      <c r="J3164" s="21">
        <f>IFERROR(INDEX(Pedidos!$C$2:$C$1801,MATCH(B3164,Pedidos!$A$2:$A$1801,0)),"")</f>
        <v/>
      </c>
      <c r="K3164" s="21">
        <f>IFERROR(INDEX(Pedidos!$D$2:$D$1801,MATCH(B3164,Pedidos!$A$2:$A$1801,0)),"")</f>
        <v/>
      </c>
      <c r="L3164" s="21">
        <f>IFERROR(INDEX(Pedidos!$F$2:$F$1801,MATCH(B3164,Pedidos!$A$2:$A$1801,0)),"")</f>
        <v/>
      </c>
      <c r="M3164" s="22">
        <f>IFERROR(INDEX(Pedidos!$G$2:$G$1801,MATCH(B3164,Pedidos!$A$2:$A$1801,0)),0)</f>
        <v/>
      </c>
      <c r="N3164" s="21">
        <f>IFERROR(INDEX(Produtos!$B$2:$B$71,MATCH(C3164,Produtos!$A$2:$A$71,0)),"")</f>
        <v/>
      </c>
      <c r="O3164" s="21">
        <f>IFERROR(INDEX(Produtos!$C$2:$C$71,MATCH(C3164,Produtos!$A$2:$A$71,0)),"")</f>
        <v/>
      </c>
      <c r="P3164" s="21">
        <f>IFERROR(INDEX(Produtos!$D$2:$D$71,MATCH(C3164,Produtos!$A$2:$A$71,0)),0)</f>
        <v/>
      </c>
      <c r="Q3164" s="21">
        <f>IFERROR(INDEX(Produtos!$E$2:$E$71,MATCH(C3164,Produtos!$A$2:$A$71,0)),0)</f>
        <v/>
      </c>
      <c r="R3164" s="23">
        <f>D3164*Q3164</f>
        <v/>
      </c>
      <c r="S3164" s="23">
        <f>R3164*E3164</f>
        <v/>
      </c>
      <c r="T3164" s="23">
        <f>(R3164-S3164)*M3164</f>
        <v/>
      </c>
      <c r="U3164" s="23">
        <f>R3164-S3164-T3164</f>
        <v/>
      </c>
      <c r="V3164" s="23">
        <f>D3164*P3164</f>
        <v/>
      </c>
      <c r="W3164" s="23">
        <f>U3164-V3164</f>
        <v/>
      </c>
      <c r="X3164" s="24">
        <f>IFERROR(W3164/U3164,0)</f>
        <v/>
      </c>
    </row>
    <row r="3165">
      <c r="A3165" s="25">
        <f>ItensPedido!A3165</f>
        <v/>
      </c>
      <c r="B3165" s="25">
        <f>ItensPedido!B3165</f>
        <v/>
      </c>
      <c r="C3165" s="25">
        <f>ItensPedido!C3165</f>
        <v/>
      </c>
      <c r="D3165" s="25">
        <f>ItensPedido!D3165</f>
        <v/>
      </c>
      <c r="E3165" s="26">
        <f>ItensPedido!E3165</f>
        <v/>
      </c>
      <c r="F3165" s="25">
        <f>IFERROR(INDEX(Pedidos!$B$2:$B$1801,MATCH(B3165,Pedidos!$A$2:$A$1801,0)),0)</f>
        <v/>
      </c>
      <c r="G3165" s="25">
        <f>IF(F3165=0,"",YEAR(F3165))</f>
        <v/>
      </c>
      <c r="H3165" s="25">
        <f>IF(F3165=0,"",MONTH(F3165))</f>
        <v/>
      </c>
      <c r="I3165" s="25">
        <f>IFERROR(INDEX(Pedidos!$E$2:$E$1801,MATCH(B3165,Pedidos!$A$2:$A$1801,0)),"")</f>
        <v/>
      </c>
      <c r="J3165" s="25">
        <f>IFERROR(INDEX(Pedidos!$C$2:$C$1801,MATCH(B3165,Pedidos!$A$2:$A$1801,0)),"")</f>
        <v/>
      </c>
      <c r="K3165" s="25">
        <f>IFERROR(INDEX(Pedidos!$D$2:$D$1801,MATCH(B3165,Pedidos!$A$2:$A$1801,0)),"")</f>
        <v/>
      </c>
      <c r="L3165" s="25">
        <f>IFERROR(INDEX(Pedidos!$F$2:$F$1801,MATCH(B3165,Pedidos!$A$2:$A$1801,0)),"")</f>
        <v/>
      </c>
      <c r="M3165" s="26">
        <f>IFERROR(INDEX(Pedidos!$G$2:$G$1801,MATCH(B3165,Pedidos!$A$2:$A$1801,0)),0)</f>
        <v/>
      </c>
      <c r="N3165" s="25">
        <f>IFERROR(INDEX(Produtos!$B$2:$B$71,MATCH(C3165,Produtos!$A$2:$A$71,0)),"")</f>
        <v/>
      </c>
      <c r="O3165" s="25">
        <f>IFERROR(INDEX(Produtos!$C$2:$C$71,MATCH(C3165,Produtos!$A$2:$A$71,0)),"")</f>
        <v/>
      </c>
      <c r="P3165" s="25">
        <f>IFERROR(INDEX(Produtos!$D$2:$D$71,MATCH(C3165,Produtos!$A$2:$A$71,0)),0)</f>
        <v/>
      </c>
      <c r="Q3165" s="25">
        <f>IFERROR(INDEX(Produtos!$E$2:$E$71,MATCH(C3165,Produtos!$A$2:$A$71,0)),0)</f>
        <v/>
      </c>
      <c r="R3165" s="27">
        <f>D3165*Q3165</f>
        <v/>
      </c>
      <c r="S3165" s="27">
        <f>R3165*E3165</f>
        <v/>
      </c>
      <c r="T3165" s="27">
        <f>(R3165-S3165)*M3165</f>
        <v/>
      </c>
      <c r="U3165" s="27">
        <f>R3165-S3165-T3165</f>
        <v/>
      </c>
      <c r="V3165" s="27">
        <f>D3165*P3165</f>
        <v/>
      </c>
      <c r="W3165" s="27">
        <f>U3165-V3165</f>
        <v/>
      </c>
      <c r="X3165" s="28">
        <f>IFERROR(W3165/U3165,0)</f>
        <v/>
      </c>
    </row>
    <row r="3166">
      <c r="A3166" s="21">
        <f>ItensPedido!A3166</f>
        <v/>
      </c>
      <c r="B3166" s="21">
        <f>ItensPedido!B3166</f>
        <v/>
      </c>
      <c r="C3166" s="21">
        <f>ItensPedido!C3166</f>
        <v/>
      </c>
      <c r="D3166" s="21">
        <f>ItensPedido!D3166</f>
        <v/>
      </c>
      <c r="E3166" s="22">
        <f>ItensPedido!E3166</f>
        <v/>
      </c>
      <c r="F3166" s="21">
        <f>IFERROR(INDEX(Pedidos!$B$2:$B$1801,MATCH(B3166,Pedidos!$A$2:$A$1801,0)),0)</f>
        <v/>
      </c>
      <c r="G3166" s="21">
        <f>IF(F3166=0,"",YEAR(F3166))</f>
        <v/>
      </c>
      <c r="H3166" s="21">
        <f>IF(F3166=0,"",MONTH(F3166))</f>
        <v/>
      </c>
      <c r="I3166" s="21">
        <f>IFERROR(INDEX(Pedidos!$E$2:$E$1801,MATCH(B3166,Pedidos!$A$2:$A$1801,0)),"")</f>
        <v/>
      </c>
      <c r="J3166" s="21">
        <f>IFERROR(INDEX(Pedidos!$C$2:$C$1801,MATCH(B3166,Pedidos!$A$2:$A$1801,0)),"")</f>
        <v/>
      </c>
      <c r="K3166" s="21">
        <f>IFERROR(INDEX(Pedidos!$D$2:$D$1801,MATCH(B3166,Pedidos!$A$2:$A$1801,0)),"")</f>
        <v/>
      </c>
      <c r="L3166" s="21">
        <f>IFERROR(INDEX(Pedidos!$F$2:$F$1801,MATCH(B3166,Pedidos!$A$2:$A$1801,0)),"")</f>
        <v/>
      </c>
      <c r="M3166" s="22">
        <f>IFERROR(INDEX(Pedidos!$G$2:$G$1801,MATCH(B3166,Pedidos!$A$2:$A$1801,0)),0)</f>
        <v/>
      </c>
      <c r="N3166" s="21">
        <f>IFERROR(INDEX(Produtos!$B$2:$B$71,MATCH(C3166,Produtos!$A$2:$A$71,0)),"")</f>
        <v/>
      </c>
      <c r="O3166" s="21">
        <f>IFERROR(INDEX(Produtos!$C$2:$C$71,MATCH(C3166,Produtos!$A$2:$A$71,0)),"")</f>
        <v/>
      </c>
      <c r="P3166" s="21">
        <f>IFERROR(INDEX(Produtos!$D$2:$D$71,MATCH(C3166,Produtos!$A$2:$A$71,0)),0)</f>
        <v/>
      </c>
      <c r="Q3166" s="21">
        <f>IFERROR(INDEX(Produtos!$E$2:$E$71,MATCH(C3166,Produtos!$A$2:$A$71,0)),0)</f>
        <v/>
      </c>
      <c r="R3166" s="23">
        <f>D3166*Q3166</f>
        <v/>
      </c>
      <c r="S3166" s="23">
        <f>R3166*E3166</f>
        <v/>
      </c>
      <c r="T3166" s="23">
        <f>(R3166-S3166)*M3166</f>
        <v/>
      </c>
      <c r="U3166" s="23">
        <f>R3166-S3166-T3166</f>
        <v/>
      </c>
      <c r="V3166" s="23">
        <f>D3166*P3166</f>
        <v/>
      </c>
      <c r="W3166" s="23">
        <f>U3166-V3166</f>
        <v/>
      </c>
      <c r="X3166" s="24">
        <f>IFERROR(W3166/U3166,0)</f>
        <v/>
      </c>
    </row>
    <row r="3167">
      <c r="A3167" s="25">
        <f>ItensPedido!A3167</f>
        <v/>
      </c>
      <c r="B3167" s="25">
        <f>ItensPedido!B3167</f>
        <v/>
      </c>
      <c r="C3167" s="25">
        <f>ItensPedido!C3167</f>
        <v/>
      </c>
      <c r="D3167" s="25">
        <f>ItensPedido!D3167</f>
        <v/>
      </c>
      <c r="E3167" s="26">
        <f>ItensPedido!E3167</f>
        <v/>
      </c>
      <c r="F3167" s="25">
        <f>IFERROR(INDEX(Pedidos!$B$2:$B$1801,MATCH(B3167,Pedidos!$A$2:$A$1801,0)),0)</f>
        <v/>
      </c>
      <c r="G3167" s="25">
        <f>IF(F3167=0,"",YEAR(F3167))</f>
        <v/>
      </c>
      <c r="H3167" s="25">
        <f>IF(F3167=0,"",MONTH(F3167))</f>
        <v/>
      </c>
      <c r="I3167" s="25">
        <f>IFERROR(INDEX(Pedidos!$E$2:$E$1801,MATCH(B3167,Pedidos!$A$2:$A$1801,0)),"")</f>
        <v/>
      </c>
      <c r="J3167" s="25">
        <f>IFERROR(INDEX(Pedidos!$C$2:$C$1801,MATCH(B3167,Pedidos!$A$2:$A$1801,0)),"")</f>
        <v/>
      </c>
      <c r="K3167" s="25">
        <f>IFERROR(INDEX(Pedidos!$D$2:$D$1801,MATCH(B3167,Pedidos!$A$2:$A$1801,0)),"")</f>
        <v/>
      </c>
      <c r="L3167" s="25">
        <f>IFERROR(INDEX(Pedidos!$F$2:$F$1801,MATCH(B3167,Pedidos!$A$2:$A$1801,0)),"")</f>
        <v/>
      </c>
      <c r="M3167" s="26">
        <f>IFERROR(INDEX(Pedidos!$G$2:$G$1801,MATCH(B3167,Pedidos!$A$2:$A$1801,0)),0)</f>
        <v/>
      </c>
      <c r="N3167" s="25">
        <f>IFERROR(INDEX(Produtos!$B$2:$B$71,MATCH(C3167,Produtos!$A$2:$A$71,0)),"")</f>
        <v/>
      </c>
      <c r="O3167" s="25">
        <f>IFERROR(INDEX(Produtos!$C$2:$C$71,MATCH(C3167,Produtos!$A$2:$A$71,0)),"")</f>
        <v/>
      </c>
      <c r="P3167" s="25">
        <f>IFERROR(INDEX(Produtos!$D$2:$D$71,MATCH(C3167,Produtos!$A$2:$A$71,0)),0)</f>
        <v/>
      </c>
      <c r="Q3167" s="25">
        <f>IFERROR(INDEX(Produtos!$E$2:$E$71,MATCH(C3167,Produtos!$A$2:$A$71,0)),0)</f>
        <v/>
      </c>
      <c r="R3167" s="27">
        <f>D3167*Q3167</f>
        <v/>
      </c>
      <c r="S3167" s="27">
        <f>R3167*E3167</f>
        <v/>
      </c>
      <c r="T3167" s="27">
        <f>(R3167-S3167)*M3167</f>
        <v/>
      </c>
      <c r="U3167" s="27">
        <f>R3167-S3167-T3167</f>
        <v/>
      </c>
      <c r="V3167" s="27">
        <f>D3167*P3167</f>
        <v/>
      </c>
      <c r="W3167" s="27">
        <f>U3167-V3167</f>
        <v/>
      </c>
      <c r="X3167" s="28">
        <f>IFERROR(W3167/U3167,0)</f>
        <v/>
      </c>
    </row>
    <row r="3168">
      <c r="A3168" s="21">
        <f>ItensPedido!A3168</f>
        <v/>
      </c>
      <c r="B3168" s="21">
        <f>ItensPedido!B3168</f>
        <v/>
      </c>
      <c r="C3168" s="21">
        <f>ItensPedido!C3168</f>
        <v/>
      </c>
      <c r="D3168" s="21">
        <f>ItensPedido!D3168</f>
        <v/>
      </c>
      <c r="E3168" s="22">
        <f>ItensPedido!E3168</f>
        <v/>
      </c>
      <c r="F3168" s="21">
        <f>IFERROR(INDEX(Pedidos!$B$2:$B$1801,MATCH(B3168,Pedidos!$A$2:$A$1801,0)),0)</f>
        <v/>
      </c>
      <c r="G3168" s="21">
        <f>IF(F3168=0,"",YEAR(F3168))</f>
        <v/>
      </c>
      <c r="H3168" s="21">
        <f>IF(F3168=0,"",MONTH(F3168))</f>
        <v/>
      </c>
      <c r="I3168" s="21">
        <f>IFERROR(INDEX(Pedidos!$E$2:$E$1801,MATCH(B3168,Pedidos!$A$2:$A$1801,0)),"")</f>
        <v/>
      </c>
      <c r="J3168" s="21">
        <f>IFERROR(INDEX(Pedidos!$C$2:$C$1801,MATCH(B3168,Pedidos!$A$2:$A$1801,0)),"")</f>
        <v/>
      </c>
      <c r="K3168" s="21">
        <f>IFERROR(INDEX(Pedidos!$D$2:$D$1801,MATCH(B3168,Pedidos!$A$2:$A$1801,0)),"")</f>
        <v/>
      </c>
      <c r="L3168" s="21">
        <f>IFERROR(INDEX(Pedidos!$F$2:$F$1801,MATCH(B3168,Pedidos!$A$2:$A$1801,0)),"")</f>
        <v/>
      </c>
      <c r="M3168" s="22">
        <f>IFERROR(INDEX(Pedidos!$G$2:$G$1801,MATCH(B3168,Pedidos!$A$2:$A$1801,0)),0)</f>
        <v/>
      </c>
      <c r="N3168" s="21">
        <f>IFERROR(INDEX(Produtos!$B$2:$B$71,MATCH(C3168,Produtos!$A$2:$A$71,0)),"")</f>
        <v/>
      </c>
      <c r="O3168" s="21">
        <f>IFERROR(INDEX(Produtos!$C$2:$C$71,MATCH(C3168,Produtos!$A$2:$A$71,0)),"")</f>
        <v/>
      </c>
      <c r="P3168" s="21">
        <f>IFERROR(INDEX(Produtos!$D$2:$D$71,MATCH(C3168,Produtos!$A$2:$A$71,0)),0)</f>
        <v/>
      </c>
      <c r="Q3168" s="21">
        <f>IFERROR(INDEX(Produtos!$E$2:$E$71,MATCH(C3168,Produtos!$A$2:$A$71,0)),0)</f>
        <v/>
      </c>
      <c r="R3168" s="23">
        <f>D3168*Q3168</f>
        <v/>
      </c>
      <c r="S3168" s="23">
        <f>R3168*E3168</f>
        <v/>
      </c>
      <c r="T3168" s="23">
        <f>(R3168-S3168)*M3168</f>
        <v/>
      </c>
      <c r="U3168" s="23">
        <f>R3168-S3168-T3168</f>
        <v/>
      </c>
      <c r="V3168" s="23">
        <f>D3168*P3168</f>
        <v/>
      </c>
      <c r="W3168" s="23">
        <f>U3168-V3168</f>
        <v/>
      </c>
      <c r="X3168" s="24">
        <f>IFERROR(W3168/U3168,0)</f>
        <v/>
      </c>
    </row>
    <row r="3169">
      <c r="A3169" s="25">
        <f>ItensPedido!A3169</f>
        <v/>
      </c>
      <c r="B3169" s="25">
        <f>ItensPedido!B3169</f>
        <v/>
      </c>
      <c r="C3169" s="25">
        <f>ItensPedido!C3169</f>
        <v/>
      </c>
      <c r="D3169" s="25">
        <f>ItensPedido!D3169</f>
        <v/>
      </c>
      <c r="E3169" s="26">
        <f>ItensPedido!E3169</f>
        <v/>
      </c>
      <c r="F3169" s="25">
        <f>IFERROR(INDEX(Pedidos!$B$2:$B$1801,MATCH(B3169,Pedidos!$A$2:$A$1801,0)),0)</f>
        <v/>
      </c>
      <c r="G3169" s="25">
        <f>IF(F3169=0,"",YEAR(F3169))</f>
        <v/>
      </c>
      <c r="H3169" s="25">
        <f>IF(F3169=0,"",MONTH(F3169))</f>
        <v/>
      </c>
      <c r="I3169" s="25">
        <f>IFERROR(INDEX(Pedidos!$E$2:$E$1801,MATCH(B3169,Pedidos!$A$2:$A$1801,0)),"")</f>
        <v/>
      </c>
      <c r="J3169" s="25">
        <f>IFERROR(INDEX(Pedidos!$C$2:$C$1801,MATCH(B3169,Pedidos!$A$2:$A$1801,0)),"")</f>
        <v/>
      </c>
      <c r="K3169" s="25">
        <f>IFERROR(INDEX(Pedidos!$D$2:$D$1801,MATCH(B3169,Pedidos!$A$2:$A$1801,0)),"")</f>
        <v/>
      </c>
      <c r="L3169" s="25">
        <f>IFERROR(INDEX(Pedidos!$F$2:$F$1801,MATCH(B3169,Pedidos!$A$2:$A$1801,0)),"")</f>
        <v/>
      </c>
      <c r="M3169" s="26">
        <f>IFERROR(INDEX(Pedidos!$G$2:$G$1801,MATCH(B3169,Pedidos!$A$2:$A$1801,0)),0)</f>
        <v/>
      </c>
      <c r="N3169" s="25">
        <f>IFERROR(INDEX(Produtos!$B$2:$B$71,MATCH(C3169,Produtos!$A$2:$A$71,0)),"")</f>
        <v/>
      </c>
      <c r="O3169" s="25">
        <f>IFERROR(INDEX(Produtos!$C$2:$C$71,MATCH(C3169,Produtos!$A$2:$A$71,0)),"")</f>
        <v/>
      </c>
      <c r="P3169" s="25">
        <f>IFERROR(INDEX(Produtos!$D$2:$D$71,MATCH(C3169,Produtos!$A$2:$A$71,0)),0)</f>
        <v/>
      </c>
      <c r="Q3169" s="25">
        <f>IFERROR(INDEX(Produtos!$E$2:$E$71,MATCH(C3169,Produtos!$A$2:$A$71,0)),0)</f>
        <v/>
      </c>
      <c r="R3169" s="27">
        <f>D3169*Q3169</f>
        <v/>
      </c>
      <c r="S3169" s="27">
        <f>R3169*E3169</f>
        <v/>
      </c>
      <c r="T3169" s="27">
        <f>(R3169-S3169)*M3169</f>
        <v/>
      </c>
      <c r="U3169" s="27">
        <f>R3169-S3169-T3169</f>
        <v/>
      </c>
      <c r="V3169" s="27">
        <f>D3169*P3169</f>
        <v/>
      </c>
      <c r="W3169" s="27">
        <f>U3169-V3169</f>
        <v/>
      </c>
      <c r="X3169" s="28">
        <f>IFERROR(W3169/U3169,0)</f>
        <v/>
      </c>
    </row>
    <row r="3170">
      <c r="A3170" s="21">
        <f>ItensPedido!A3170</f>
        <v/>
      </c>
      <c r="B3170" s="21">
        <f>ItensPedido!B3170</f>
        <v/>
      </c>
      <c r="C3170" s="21">
        <f>ItensPedido!C3170</f>
        <v/>
      </c>
      <c r="D3170" s="21">
        <f>ItensPedido!D3170</f>
        <v/>
      </c>
      <c r="E3170" s="22">
        <f>ItensPedido!E3170</f>
        <v/>
      </c>
      <c r="F3170" s="21">
        <f>IFERROR(INDEX(Pedidos!$B$2:$B$1801,MATCH(B3170,Pedidos!$A$2:$A$1801,0)),0)</f>
        <v/>
      </c>
      <c r="G3170" s="21">
        <f>IF(F3170=0,"",YEAR(F3170))</f>
        <v/>
      </c>
      <c r="H3170" s="21">
        <f>IF(F3170=0,"",MONTH(F3170))</f>
        <v/>
      </c>
      <c r="I3170" s="21">
        <f>IFERROR(INDEX(Pedidos!$E$2:$E$1801,MATCH(B3170,Pedidos!$A$2:$A$1801,0)),"")</f>
        <v/>
      </c>
      <c r="J3170" s="21">
        <f>IFERROR(INDEX(Pedidos!$C$2:$C$1801,MATCH(B3170,Pedidos!$A$2:$A$1801,0)),"")</f>
        <v/>
      </c>
      <c r="K3170" s="21">
        <f>IFERROR(INDEX(Pedidos!$D$2:$D$1801,MATCH(B3170,Pedidos!$A$2:$A$1801,0)),"")</f>
        <v/>
      </c>
      <c r="L3170" s="21">
        <f>IFERROR(INDEX(Pedidos!$F$2:$F$1801,MATCH(B3170,Pedidos!$A$2:$A$1801,0)),"")</f>
        <v/>
      </c>
      <c r="M3170" s="22">
        <f>IFERROR(INDEX(Pedidos!$G$2:$G$1801,MATCH(B3170,Pedidos!$A$2:$A$1801,0)),0)</f>
        <v/>
      </c>
      <c r="N3170" s="21">
        <f>IFERROR(INDEX(Produtos!$B$2:$B$71,MATCH(C3170,Produtos!$A$2:$A$71,0)),"")</f>
        <v/>
      </c>
      <c r="O3170" s="21">
        <f>IFERROR(INDEX(Produtos!$C$2:$C$71,MATCH(C3170,Produtos!$A$2:$A$71,0)),"")</f>
        <v/>
      </c>
      <c r="P3170" s="21">
        <f>IFERROR(INDEX(Produtos!$D$2:$D$71,MATCH(C3170,Produtos!$A$2:$A$71,0)),0)</f>
        <v/>
      </c>
      <c r="Q3170" s="21">
        <f>IFERROR(INDEX(Produtos!$E$2:$E$71,MATCH(C3170,Produtos!$A$2:$A$71,0)),0)</f>
        <v/>
      </c>
      <c r="R3170" s="23">
        <f>D3170*Q3170</f>
        <v/>
      </c>
      <c r="S3170" s="23">
        <f>R3170*E3170</f>
        <v/>
      </c>
      <c r="T3170" s="23">
        <f>(R3170-S3170)*M3170</f>
        <v/>
      </c>
      <c r="U3170" s="23">
        <f>R3170-S3170-T3170</f>
        <v/>
      </c>
      <c r="V3170" s="23">
        <f>D3170*P3170</f>
        <v/>
      </c>
      <c r="W3170" s="23">
        <f>U3170-V3170</f>
        <v/>
      </c>
      <c r="X3170" s="24">
        <f>IFERROR(W3170/U3170,0)</f>
        <v/>
      </c>
    </row>
    <row r="3171">
      <c r="A3171" s="25">
        <f>ItensPedido!A3171</f>
        <v/>
      </c>
      <c r="B3171" s="25">
        <f>ItensPedido!B3171</f>
        <v/>
      </c>
      <c r="C3171" s="25">
        <f>ItensPedido!C3171</f>
        <v/>
      </c>
      <c r="D3171" s="25">
        <f>ItensPedido!D3171</f>
        <v/>
      </c>
      <c r="E3171" s="26">
        <f>ItensPedido!E3171</f>
        <v/>
      </c>
      <c r="F3171" s="25">
        <f>IFERROR(INDEX(Pedidos!$B$2:$B$1801,MATCH(B3171,Pedidos!$A$2:$A$1801,0)),0)</f>
        <v/>
      </c>
      <c r="G3171" s="25">
        <f>IF(F3171=0,"",YEAR(F3171))</f>
        <v/>
      </c>
      <c r="H3171" s="25">
        <f>IF(F3171=0,"",MONTH(F3171))</f>
        <v/>
      </c>
      <c r="I3171" s="25">
        <f>IFERROR(INDEX(Pedidos!$E$2:$E$1801,MATCH(B3171,Pedidos!$A$2:$A$1801,0)),"")</f>
        <v/>
      </c>
      <c r="J3171" s="25">
        <f>IFERROR(INDEX(Pedidos!$C$2:$C$1801,MATCH(B3171,Pedidos!$A$2:$A$1801,0)),"")</f>
        <v/>
      </c>
      <c r="K3171" s="25">
        <f>IFERROR(INDEX(Pedidos!$D$2:$D$1801,MATCH(B3171,Pedidos!$A$2:$A$1801,0)),"")</f>
        <v/>
      </c>
      <c r="L3171" s="25">
        <f>IFERROR(INDEX(Pedidos!$F$2:$F$1801,MATCH(B3171,Pedidos!$A$2:$A$1801,0)),"")</f>
        <v/>
      </c>
      <c r="M3171" s="26">
        <f>IFERROR(INDEX(Pedidos!$G$2:$G$1801,MATCH(B3171,Pedidos!$A$2:$A$1801,0)),0)</f>
        <v/>
      </c>
      <c r="N3171" s="25">
        <f>IFERROR(INDEX(Produtos!$B$2:$B$71,MATCH(C3171,Produtos!$A$2:$A$71,0)),"")</f>
        <v/>
      </c>
      <c r="O3171" s="25">
        <f>IFERROR(INDEX(Produtos!$C$2:$C$71,MATCH(C3171,Produtos!$A$2:$A$71,0)),"")</f>
        <v/>
      </c>
      <c r="P3171" s="25">
        <f>IFERROR(INDEX(Produtos!$D$2:$D$71,MATCH(C3171,Produtos!$A$2:$A$71,0)),0)</f>
        <v/>
      </c>
      <c r="Q3171" s="25">
        <f>IFERROR(INDEX(Produtos!$E$2:$E$71,MATCH(C3171,Produtos!$A$2:$A$71,0)),0)</f>
        <v/>
      </c>
      <c r="R3171" s="27">
        <f>D3171*Q3171</f>
        <v/>
      </c>
      <c r="S3171" s="27">
        <f>R3171*E3171</f>
        <v/>
      </c>
      <c r="T3171" s="27">
        <f>(R3171-S3171)*M3171</f>
        <v/>
      </c>
      <c r="U3171" s="27">
        <f>R3171-S3171-T3171</f>
        <v/>
      </c>
      <c r="V3171" s="27">
        <f>D3171*P3171</f>
        <v/>
      </c>
      <c r="W3171" s="27">
        <f>U3171-V3171</f>
        <v/>
      </c>
      <c r="X3171" s="28">
        <f>IFERROR(W3171/U3171,0)</f>
        <v/>
      </c>
    </row>
    <row r="3172">
      <c r="A3172" s="21">
        <f>ItensPedido!A3172</f>
        <v/>
      </c>
      <c r="B3172" s="21">
        <f>ItensPedido!B3172</f>
        <v/>
      </c>
      <c r="C3172" s="21">
        <f>ItensPedido!C3172</f>
        <v/>
      </c>
      <c r="D3172" s="21">
        <f>ItensPedido!D3172</f>
        <v/>
      </c>
      <c r="E3172" s="22">
        <f>ItensPedido!E3172</f>
        <v/>
      </c>
      <c r="F3172" s="21">
        <f>IFERROR(INDEX(Pedidos!$B$2:$B$1801,MATCH(B3172,Pedidos!$A$2:$A$1801,0)),0)</f>
        <v/>
      </c>
      <c r="G3172" s="21">
        <f>IF(F3172=0,"",YEAR(F3172))</f>
        <v/>
      </c>
      <c r="H3172" s="21">
        <f>IF(F3172=0,"",MONTH(F3172))</f>
        <v/>
      </c>
      <c r="I3172" s="21">
        <f>IFERROR(INDEX(Pedidos!$E$2:$E$1801,MATCH(B3172,Pedidos!$A$2:$A$1801,0)),"")</f>
        <v/>
      </c>
      <c r="J3172" s="21">
        <f>IFERROR(INDEX(Pedidos!$C$2:$C$1801,MATCH(B3172,Pedidos!$A$2:$A$1801,0)),"")</f>
        <v/>
      </c>
      <c r="K3172" s="21">
        <f>IFERROR(INDEX(Pedidos!$D$2:$D$1801,MATCH(B3172,Pedidos!$A$2:$A$1801,0)),"")</f>
        <v/>
      </c>
      <c r="L3172" s="21">
        <f>IFERROR(INDEX(Pedidos!$F$2:$F$1801,MATCH(B3172,Pedidos!$A$2:$A$1801,0)),"")</f>
        <v/>
      </c>
      <c r="M3172" s="22">
        <f>IFERROR(INDEX(Pedidos!$G$2:$G$1801,MATCH(B3172,Pedidos!$A$2:$A$1801,0)),0)</f>
        <v/>
      </c>
      <c r="N3172" s="21">
        <f>IFERROR(INDEX(Produtos!$B$2:$B$71,MATCH(C3172,Produtos!$A$2:$A$71,0)),"")</f>
        <v/>
      </c>
      <c r="O3172" s="21">
        <f>IFERROR(INDEX(Produtos!$C$2:$C$71,MATCH(C3172,Produtos!$A$2:$A$71,0)),"")</f>
        <v/>
      </c>
      <c r="P3172" s="21">
        <f>IFERROR(INDEX(Produtos!$D$2:$D$71,MATCH(C3172,Produtos!$A$2:$A$71,0)),0)</f>
        <v/>
      </c>
      <c r="Q3172" s="21">
        <f>IFERROR(INDEX(Produtos!$E$2:$E$71,MATCH(C3172,Produtos!$A$2:$A$71,0)),0)</f>
        <v/>
      </c>
      <c r="R3172" s="23">
        <f>D3172*Q3172</f>
        <v/>
      </c>
      <c r="S3172" s="23">
        <f>R3172*E3172</f>
        <v/>
      </c>
      <c r="T3172" s="23">
        <f>(R3172-S3172)*M3172</f>
        <v/>
      </c>
      <c r="U3172" s="23">
        <f>R3172-S3172-T3172</f>
        <v/>
      </c>
      <c r="V3172" s="23">
        <f>D3172*P3172</f>
        <v/>
      </c>
      <c r="W3172" s="23">
        <f>U3172-V3172</f>
        <v/>
      </c>
      <c r="X3172" s="24">
        <f>IFERROR(W3172/U3172,0)</f>
        <v/>
      </c>
    </row>
    <row r="3173">
      <c r="A3173" s="25">
        <f>ItensPedido!A3173</f>
        <v/>
      </c>
      <c r="B3173" s="25">
        <f>ItensPedido!B3173</f>
        <v/>
      </c>
      <c r="C3173" s="25">
        <f>ItensPedido!C3173</f>
        <v/>
      </c>
      <c r="D3173" s="25">
        <f>ItensPedido!D3173</f>
        <v/>
      </c>
      <c r="E3173" s="26">
        <f>ItensPedido!E3173</f>
        <v/>
      </c>
      <c r="F3173" s="25">
        <f>IFERROR(INDEX(Pedidos!$B$2:$B$1801,MATCH(B3173,Pedidos!$A$2:$A$1801,0)),0)</f>
        <v/>
      </c>
      <c r="G3173" s="25">
        <f>IF(F3173=0,"",YEAR(F3173))</f>
        <v/>
      </c>
      <c r="H3173" s="25">
        <f>IF(F3173=0,"",MONTH(F3173))</f>
        <v/>
      </c>
      <c r="I3173" s="25">
        <f>IFERROR(INDEX(Pedidos!$E$2:$E$1801,MATCH(B3173,Pedidos!$A$2:$A$1801,0)),"")</f>
        <v/>
      </c>
      <c r="J3173" s="25">
        <f>IFERROR(INDEX(Pedidos!$C$2:$C$1801,MATCH(B3173,Pedidos!$A$2:$A$1801,0)),"")</f>
        <v/>
      </c>
      <c r="K3173" s="25">
        <f>IFERROR(INDEX(Pedidos!$D$2:$D$1801,MATCH(B3173,Pedidos!$A$2:$A$1801,0)),"")</f>
        <v/>
      </c>
      <c r="L3173" s="25">
        <f>IFERROR(INDEX(Pedidos!$F$2:$F$1801,MATCH(B3173,Pedidos!$A$2:$A$1801,0)),"")</f>
        <v/>
      </c>
      <c r="M3173" s="26">
        <f>IFERROR(INDEX(Pedidos!$G$2:$G$1801,MATCH(B3173,Pedidos!$A$2:$A$1801,0)),0)</f>
        <v/>
      </c>
      <c r="N3173" s="25">
        <f>IFERROR(INDEX(Produtos!$B$2:$B$71,MATCH(C3173,Produtos!$A$2:$A$71,0)),"")</f>
        <v/>
      </c>
      <c r="O3173" s="25">
        <f>IFERROR(INDEX(Produtos!$C$2:$C$71,MATCH(C3173,Produtos!$A$2:$A$71,0)),"")</f>
        <v/>
      </c>
      <c r="P3173" s="25">
        <f>IFERROR(INDEX(Produtos!$D$2:$D$71,MATCH(C3173,Produtos!$A$2:$A$71,0)),0)</f>
        <v/>
      </c>
      <c r="Q3173" s="25">
        <f>IFERROR(INDEX(Produtos!$E$2:$E$71,MATCH(C3173,Produtos!$A$2:$A$71,0)),0)</f>
        <v/>
      </c>
      <c r="R3173" s="27">
        <f>D3173*Q3173</f>
        <v/>
      </c>
      <c r="S3173" s="27">
        <f>R3173*E3173</f>
        <v/>
      </c>
      <c r="T3173" s="27">
        <f>(R3173-S3173)*M3173</f>
        <v/>
      </c>
      <c r="U3173" s="27">
        <f>R3173-S3173-T3173</f>
        <v/>
      </c>
      <c r="V3173" s="27">
        <f>D3173*P3173</f>
        <v/>
      </c>
      <c r="W3173" s="27">
        <f>U3173-V3173</f>
        <v/>
      </c>
      <c r="X3173" s="28">
        <f>IFERROR(W3173/U3173,0)</f>
        <v/>
      </c>
    </row>
    <row r="3174">
      <c r="A3174" s="21">
        <f>ItensPedido!A3174</f>
        <v/>
      </c>
      <c r="B3174" s="21">
        <f>ItensPedido!B3174</f>
        <v/>
      </c>
      <c r="C3174" s="21">
        <f>ItensPedido!C3174</f>
        <v/>
      </c>
      <c r="D3174" s="21">
        <f>ItensPedido!D3174</f>
        <v/>
      </c>
      <c r="E3174" s="22">
        <f>ItensPedido!E3174</f>
        <v/>
      </c>
      <c r="F3174" s="21">
        <f>IFERROR(INDEX(Pedidos!$B$2:$B$1801,MATCH(B3174,Pedidos!$A$2:$A$1801,0)),0)</f>
        <v/>
      </c>
      <c r="G3174" s="21">
        <f>IF(F3174=0,"",YEAR(F3174))</f>
        <v/>
      </c>
      <c r="H3174" s="21">
        <f>IF(F3174=0,"",MONTH(F3174))</f>
        <v/>
      </c>
      <c r="I3174" s="21">
        <f>IFERROR(INDEX(Pedidos!$E$2:$E$1801,MATCH(B3174,Pedidos!$A$2:$A$1801,0)),"")</f>
        <v/>
      </c>
      <c r="J3174" s="21">
        <f>IFERROR(INDEX(Pedidos!$C$2:$C$1801,MATCH(B3174,Pedidos!$A$2:$A$1801,0)),"")</f>
        <v/>
      </c>
      <c r="K3174" s="21">
        <f>IFERROR(INDEX(Pedidos!$D$2:$D$1801,MATCH(B3174,Pedidos!$A$2:$A$1801,0)),"")</f>
        <v/>
      </c>
      <c r="L3174" s="21">
        <f>IFERROR(INDEX(Pedidos!$F$2:$F$1801,MATCH(B3174,Pedidos!$A$2:$A$1801,0)),"")</f>
        <v/>
      </c>
      <c r="M3174" s="22">
        <f>IFERROR(INDEX(Pedidos!$G$2:$G$1801,MATCH(B3174,Pedidos!$A$2:$A$1801,0)),0)</f>
        <v/>
      </c>
      <c r="N3174" s="21">
        <f>IFERROR(INDEX(Produtos!$B$2:$B$71,MATCH(C3174,Produtos!$A$2:$A$71,0)),"")</f>
        <v/>
      </c>
      <c r="O3174" s="21">
        <f>IFERROR(INDEX(Produtos!$C$2:$C$71,MATCH(C3174,Produtos!$A$2:$A$71,0)),"")</f>
        <v/>
      </c>
      <c r="P3174" s="21">
        <f>IFERROR(INDEX(Produtos!$D$2:$D$71,MATCH(C3174,Produtos!$A$2:$A$71,0)),0)</f>
        <v/>
      </c>
      <c r="Q3174" s="21">
        <f>IFERROR(INDEX(Produtos!$E$2:$E$71,MATCH(C3174,Produtos!$A$2:$A$71,0)),0)</f>
        <v/>
      </c>
      <c r="R3174" s="23">
        <f>D3174*Q3174</f>
        <v/>
      </c>
      <c r="S3174" s="23">
        <f>R3174*E3174</f>
        <v/>
      </c>
      <c r="T3174" s="23">
        <f>(R3174-S3174)*M3174</f>
        <v/>
      </c>
      <c r="U3174" s="23">
        <f>R3174-S3174-T3174</f>
        <v/>
      </c>
      <c r="V3174" s="23">
        <f>D3174*P3174</f>
        <v/>
      </c>
      <c r="W3174" s="23">
        <f>U3174-V3174</f>
        <v/>
      </c>
      <c r="X3174" s="24">
        <f>IFERROR(W3174/U3174,0)</f>
        <v/>
      </c>
    </row>
    <row r="3175">
      <c r="A3175" s="25">
        <f>ItensPedido!A3175</f>
        <v/>
      </c>
      <c r="B3175" s="25">
        <f>ItensPedido!B3175</f>
        <v/>
      </c>
      <c r="C3175" s="25">
        <f>ItensPedido!C3175</f>
        <v/>
      </c>
      <c r="D3175" s="25">
        <f>ItensPedido!D3175</f>
        <v/>
      </c>
      <c r="E3175" s="26">
        <f>ItensPedido!E3175</f>
        <v/>
      </c>
      <c r="F3175" s="25">
        <f>IFERROR(INDEX(Pedidos!$B$2:$B$1801,MATCH(B3175,Pedidos!$A$2:$A$1801,0)),0)</f>
        <v/>
      </c>
      <c r="G3175" s="25">
        <f>IF(F3175=0,"",YEAR(F3175))</f>
        <v/>
      </c>
      <c r="H3175" s="25">
        <f>IF(F3175=0,"",MONTH(F3175))</f>
        <v/>
      </c>
      <c r="I3175" s="25">
        <f>IFERROR(INDEX(Pedidos!$E$2:$E$1801,MATCH(B3175,Pedidos!$A$2:$A$1801,0)),"")</f>
        <v/>
      </c>
      <c r="J3175" s="25">
        <f>IFERROR(INDEX(Pedidos!$C$2:$C$1801,MATCH(B3175,Pedidos!$A$2:$A$1801,0)),"")</f>
        <v/>
      </c>
      <c r="K3175" s="25">
        <f>IFERROR(INDEX(Pedidos!$D$2:$D$1801,MATCH(B3175,Pedidos!$A$2:$A$1801,0)),"")</f>
        <v/>
      </c>
      <c r="L3175" s="25">
        <f>IFERROR(INDEX(Pedidos!$F$2:$F$1801,MATCH(B3175,Pedidos!$A$2:$A$1801,0)),"")</f>
        <v/>
      </c>
      <c r="M3175" s="26">
        <f>IFERROR(INDEX(Pedidos!$G$2:$G$1801,MATCH(B3175,Pedidos!$A$2:$A$1801,0)),0)</f>
        <v/>
      </c>
      <c r="N3175" s="25">
        <f>IFERROR(INDEX(Produtos!$B$2:$B$71,MATCH(C3175,Produtos!$A$2:$A$71,0)),"")</f>
        <v/>
      </c>
      <c r="O3175" s="25">
        <f>IFERROR(INDEX(Produtos!$C$2:$C$71,MATCH(C3175,Produtos!$A$2:$A$71,0)),"")</f>
        <v/>
      </c>
      <c r="P3175" s="25">
        <f>IFERROR(INDEX(Produtos!$D$2:$D$71,MATCH(C3175,Produtos!$A$2:$A$71,0)),0)</f>
        <v/>
      </c>
      <c r="Q3175" s="25">
        <f>IFERROR(INDEX(Produtos!$E$2:$E$71,MATCH(C3175,Produtos!$A$2:$A$71,0)),0)</f>
        <v/>
      </c>
      <c r="R3175" s="27">
        <f>D3175*Q3175</f>
        <v/>
      </c>
      <c r="S3175" s="27">
        <f>R3175*E3175</f>
        <v/>
      </c>
      <c r="T3175" s="27">
        <f>(R3175-S3175)*M3175</f>
        <v/>
      </c>
      <c r="U3175" s="27">
        <f>R3175-S3175-T3175</f>
        <v/>
      </c>
      <c r="V3175" s="27">
        <f>D3175*P3175</f>
        <v/>
      </c>
      <c r="W3175" s="27">
        <f>U3175-V3175</f>
        <v/>
      </c>
      <c r="X3175" s="28">
        <f>IFERROR(W3175/U3175,0)</f>
        <v/>
      </c>
    </row>
    <row r="3176">
      <c r="A3176" s="21">
        <f>ItensPedido!A3176</f>
        <v/>
      </c>
      <c r="B3176" s="21">
        <f>ItensPedido!B3176</f>
        <v/>
      </c>
      <c r="C3176" s="21">
        <f>ItensPedido!C3176</f>
        <v/>
      </c>
      <c r="D3176" s="21">
        <f>ItensPedido!D3176</f>
        <v/>
      </c>
      <c r="E3176" s="22">
        <f>ItensPedido!E3176</f>
        <v/>
      </c>
      <c r="F3176" s="21">
        <f>IFERROR(INDEX(Pedidos!$B$2:$B$1801,MATCH(B3176,Pedidos!$A$2:$A$1801,0)),0)</f>
        <v/>
      </c>
      <c r="G3176" s="21">
        <f>IF(F3176=0,"",YEAR(F3176))</f>
        <v/>
      </c>
      <c r="H3176" s="21">
        <f>IF(F3176=0,"",MONTH(F3176))</f>
        <v/>
      </c>
      <c r="I3176" s="21">
        <f>IFERROR(INDEX(Pedidos!$E$2:$E$1801,MATCH(B3176,Pedidos!$A$2:$A$1801,0)),"")</f>
        <v/>
      </c>
      <c r="J3176" s="21">
        <f>IFERROR(INDEX(Pedidos!$C$2:$C$1801,MATCH(B3176,Pedidos!$A$2:$A$1801,0)),"")</f>
        <v/>
      </c>
      <c r="K3176" s="21">
        <f>IFERROR(INDEX(Pedidos!$D$2:$D$1801,MATCH(B3176,Pedidos!$A$2:$A$1801,0)),"")</f>
        <v/>
      </c>
      <c r="L3176" s="21">
        <f>IFERROR(INDEX(Pedidos!$F$2:$F$1801,MATCH(B3176,Pedidos!$A$2:$A$1801,0)),"")</f>
        <v/>
      </c>
      <c r="M3176" s="22">
        <f>IFERROR(INDEX(Pedidos!$G$2:$G$1801,MATCH(B3176,Pedidos!$A$2:$A$1801,0)),0)</f>
        <v/>
      </c>
      <c r="N3176" s="21">
        <f>IFERROR(INDEX(Produtos!$B$2:$B$71,MATCH(C3176,Produtos!$A$2:$A$71,0)),"")</f>
        <v/>
      </c>
      <c r="O3176" s="21">
        <f>IFERROR(INDEX(Produtos!$C$2:$C$71,MATCH(C3176,Produtos!$A$2:$A$71,0)),"")</f>
        <v/>
      </c>
      <c r="P3176" s="21">
        <f>IFERROR(INDEX(Produtos!$D$2:$D$71,MATCH(C3176,Produtos!$A$2:$A$71,0)),0)</f>
        <v/>
      </c>
      <c r="Q3176" s="21">
        <f>IFERROR(INDEX(Produtos!$E$2:$E$71,MATCH(C3176,Produtos!$A$2:$A$71,0)),0)</f>
        <v/>
      </c>
      <c r="R3176" s="23">
        <f>D3176*Q3176</f>
        <v/>
      </c>
      <c r="S3176" s="23">
        <f>R3176*E3176</f>
        <v/>
      </c>
      <c r="T3176" s="23">
        <f>(R3176-S3176)*M3176</f>
        <v/>
      </c>
      <c r="U3176" s="23">
        <f>R3176-S3176-T3176</f>
        <v/>
      </c>
      <c r="V3176" s="23">
        <f>D3176*P3176</f>
        <v/>
      </c>
      <c r="W3176" s="23">
        <f>U3176-V3176</f>
        <v/>
      </c>
      <c r="X3176" s="24">
        <f>IFERROR(W3176/U3176,0)</f>
        <v/>
      </c>
    </row>
    <row r="3177">
      <c r="A3177" s="25">
        <f>ItensPedido!A3177</f>
        <v/>
      </c>
      <c r="B3177" s="25">
        <f>ItensPedido!B3177</f>
        <v/>
      </c>
      <c r="C3177" s="25">
        <f>ItensPedido!C3177</f>
        <v/>
      </c>
      <c r="D3177" s="25">
        <f>ItensPedido!D3177</f>
        <v/>
      </c>
      <c r="E3177" s="26">
        <f>ItensPedido!E3177</f>
        <v/>
      </c>
      <c r="F3177" s="25">
        <f>IFERROR(INDEX(Pedidos!$B$2:$B$1801,MATCH(B3177,Pedidos!$A$2:$A$1801,0)),0)</f>
        <v/>
      </c>
      <c r="G3177" s="25">
        <f>IF(F3177=0,"",YEAR(F3177))</f>
        <v/>
      </c>
      <c r="H3177" s="25">
        <f>IF(F3177=0,"",MONTH(F3177))</f>
        <v/>
      </c>
      <c r="I3177" s="25">
        <f>IFERROR(INDEX(Pedidos!$E$2:$E$1801,MATCH(B3177,Pedidos!$A$2:$A$1801,0)),"")</f>
        <v/>
      </c>
      <c r="J3177" s="25">
        <f>IFERROR(INDEX(Pedidos!$C$2:$C$1801,MATCH(B3177,Pedidos!$A$2:$A$1801,0)),"")</f>
        <v/>
      </c>
      <c r="K3177" s="25">
        <f>IFERROR(INDEX(Pedidos!$D$2:$D$1801,MATCH(B3177,Pedidos!$A$2:$A$1801,0)),"")</f>
        <v/>
      </c>
      <c r="L3177" s="25">
        <f>IFERROR(INDEX(Pedidos!$F$2:$F$1801,MATCH(B3177,Pedidos!$A$2:$A$1801,0)),"")</f>
        <v/>
      </c>
      <c r="M3177" s="26">
        <f>IFERROR(INDEX(Pedidos!$G$2:$G$1801,MATCH(B3177,Pedidos!$A$2:$A$1801,0)),0)</f>
        <v/>
      </c>
      <c r="N3177" s="25">
        <f>IFERROR(INDEX(Produtos!$B$2:$B$71,MATCH(C3177,Produtos!$A$2:$A$71,0)),"")</f>
        <v/>
      </c>
      <c r="O3177" s="25">
        <f>IFERROR(INDEX(Produtos!$C$2:$C$71,MATCH(C3177,Produtos!$A$2:$A$71,0)),"")</f>
        <v/>
      </c>
      <c r="P3177" s="25">
        <f>IFERROR(INDEX(Produtos!$D$2:$D$71,MATCH(C3177,Produtos!$A$2:$A$71,0)),0)</f>
        <v/>
      </c>
      <c r="Q3177" s="25">
        <f>IFERROR(INDEX(Produtos!$E$2:$E$71,MATCH(C3177,Produtos!$A$2:$A$71,0)),0)</f>
        <v/>
      </c>
      <c r="R3177" s="27">
        <f>D3177*Q3177</f>
        <v/>
      </c>
      <c r="S3177" s="27">
        <f>R3177*E3177</f>
        <v/>
      </c>
      <c r="T3177" s="27">
        <f>(R3177-S3177)*M3177</f>
        <v/>
      </c>
      <c r="U3177" s="27">
        <f>R3177-S3177-T3177</f>
        <v/>
      </c>
      <c r="V3177" s="27">
        <f>D3177*P3177</f>
        <v/>
      </c>
      <c r="W3177" s="27">
        <f>U3177-V3177</f>
        <v/>
      </c>
      <c r="X3177" s="28">
        <f>IFERROR(W3177/U3177,0)</f>
        <v/>
      </c>
    </row>
    <row r="3178">
      <c r="A3178" s="21">
        <f>ItensPedido!A3178</f>
        <v/>
      </c>
      <c r="B3178" s="21">
        <f>ItensPedido!B3178</f>
        <v/>
      </c>
      <c r="C3178" s="21">
        <f>ItensPedido!C3178</f>
        <v/>
      </c>
      <c r="D3178" s="21">
        <f>ItensPedido!D3178</f>
        <v/>
      </c>
      <c r="E3178" s="22">
        <f>ItensPedido!E3178</f>
        <v/>
      </c>
      <c r="F3178" s="21">
        <f>IFERROR(INDEX(Pedidos!$B$2:$B$1801,MATCH(B3178,Pedidos!$A$2:$A$1801,0)),0)</f>
        <v/>
      </c>
      <c r="G3178" s="21">
        <f>IF(F3178=0,"",YEAR(F3178))</f>
        <v/>
      </c>
      <c r="H3178" s="21">
        <f>IF(F3178=0,"",MONTH(F3178))</f>
        <v/>
      </c>
      <c r="I3178" s="21">
        <f>IFERROR(INDEX(Pedidos!$E$2:$E$1801,MATCH(B3178,Pedidos!$A$2:$A$1801,0)),"")</f>
        <v/>
      </c>
      <c r="J3178" s="21">
        <f>IFERROR(INDEX(Pedidos!$C$2:$C$1801,MATCH(B3178,Pedidos!$A$2:$A$1801,0)),"")</f>
        <v/>
      </c>
      <c r="K3178" s="21">
        <f>IFERROR(INDEX(Pedidos!$D$2:$D$1801,MATCH(B3178,Pedidos!$A$2:$A$1801,0)),"")</f>
        <v/>
      </c>
      <c r="L3178" s="21">
        <f>IFERROR(INDEX(Pedidos!$F$2:$F$1801,MATCH(B3178,Pedidos!$A$2:$A$1801,0)),"")</f>
        <v/>
      </c>
      <c r="M3178" s="22">
        <f>IFERROR(INDEX(Pedidos!$G$2:$G$1801,MATCH(B3178,Pedidos!$A$2:$A$1801,0)),0)</f>
        <v/>
      </c>
      <c r="N3178" s="21">
        <f>IFERROR(INDEX(Produtos!$B$2:$B$71,MATCH(C3178,Produtos!$A$2:$A$71,0)),"")</f>
        <v/>
      </c>
      <c r="O3178" s="21">
        <f>IFERROR(INDEX(Produtos!$C$2:$C$71,MATCH(C3178,Produtos!$A$2:$A$71,0)),"")</f>
        <v/>
      </c>
      <c r="P3178" s="21">
        <f>IFERROR(INDEX(Produtos!$D$2:$D$71,MATCH(C3178,Produtos!$A$2:$A$71,0)),0)</f>
        <v/>
      </c>
      <c r="Q3178" s="21">
        <f>IFERROR(INDEX(Produtos!$E$2:$E$71,MATCH(C3178,Produtos!$A$2:$A$71,0)),0)</f>
        <v/>
      </c>
      <c r="R3178" s="23">
        <f>D3178*Q3178</f>
        <v/>
      </c>
      <c r="S3178" s="23">
        <f>R3178*E3178</f>
        <v/>
      </c>
      <c r="T3178" s="23">
        <f>(R3178-S3178)*M3178</f>
        <v/>
      </c>
      <c r="U3178" s="23">
        <f>R3178-S3178-T3178</f>
        <v/>
      </c>
      <c r="V3178" s="23">
        <f>D3178*P3178</f>
        <v/>
      </c>
      <c r="W3178" s="23">
        <f>U3178-V3178</f>
        <v/>
      </c>
      <c r="X3178" s="24">
        <f>IFERROR(W3178/U3178,0)</f>
        <v/>
      </c>
    </row>
    <row r="3179">
      <c r="A3179" s="25">
        <f>ItensPedido!A3179</f>
        <v/>
      </c>
      <c r="B3179" s="25">
        <f>ItensPedido!B3179</f>
        <v/>
      </c>
      <c r="C3179" s="25">
        <f>ItensPedido!C3179</f>
        <v/>
      </c>
      <c r="D3179" s="25">
        <f>ItensPedido!D3179</f>
        <v/>
      </c>
      <c r="E3179" s="26">
        <f>ItensPedido!E3179</f>
        <v/>
      </c>
      <c r="F3179" s="25">
        <f>IFERROR(INDEX(Pedidos!$B$2:$B$1801,MATCH(B3179,Pedidos!$A$2:$A$1801,0)),0)</f>
        <v/>
      </c>
      <c r="G3179" s="25">
        <f>IF(F3179=0,"",YEAR(F3179))</f>
        <v/>
      </c>
      <c r="H3179" s="25">
        <f>IF(F3179=0,"",MONTH(F3179))</f>
        <v/>
      </c>
      <c r="I3179" s="25">
        <f>IFERROR(INDEX(Pedidos!$E$2:$E$1801,MATCH(B3179,Pedidos!$A$2:$A$1801,0)),"")</f>
        <v/>
      </c>
      <c r="J3179" s="25">
        <f>IFERROR(INDEX(Pedidos!$C$2:$C$1801,MATCH(B3179,Pedidos!$A$2:$A$1801,0)),"")</f>
        <v/>
      </c>
      <c r="K3179" s="25">
        <f>IFERROR(INDEX(Pedidos!$D$2:$D$1801,MATCH(B3179,Pedidos!$A$2:$A$1801,0)),"")</f>
        <v/>
      </c>
      <c r="L3179" s="25">
        <f>IFERROR(INDEX(Pedidos!$F$2:$F$1801,MATCH(B3179,Pedidos!$A$2:$A$1801,0)),"")</f>
        <v/>
      </c>
      <c r="M3179" s="26">
        <f>IFERROR(INDEX(Pedidos!$G$2:$G$1801,MATCH(B3179,Pedidos!$A$2:$A$1801,0)),0)</f>
        <v/>
      </c>
      <c r="N3179" s="25">
        <f>IFERROR(INDEX(Produtos!$B$2:$B$71,MATCH(C3179,Produtos!$A$2:$A$71,0)),"")</f>
        <v/>
      </c>
      <c r="O3179" s="25">
        <f>IFERROR(INDEX(Produtos!$C$2:$C$71,MATCH(C3179,Produtos!$A$2:$A$71,0)),"")</f>
        <v/>
      </c>
      <c r="P3179" s="25">
        <f>IFERROR(INDEX(Produtos!$D$2:$D$71,MATCH(C3179,Produtos!$A$2:$A$71,0)),0)</f>
        <v/>
      </c>
      <c r="Q3179" s="25">
        <f>IFERROR(INDEX(Produtos!$E$2:$E$71,MATCH(C3179,Produtos!$A$2:$A$71,0)),0)</f>
        <v/>
      </c>
      <c r="R3179" s="27">
        <f>D3179*Q3179</f>
        <v/>
      </c>
      <c r="S3179" s="27">
        <f>R3179*E3179</f>
        <v/>
      </c>
      <c r="T3179" s="27">
        <f>(R3179-S3179)*M3179</f>
        <v/>
      </c>
      <c r="U3179" s="27">
        <f>R3179-S3179-T3179</f>
        <v/>
      </c>
      <c r="V3179" s="27">
        <f>D3179*P3179</f>
        <v/>
      </c>
      <c r="W3179" s="27">
        <f>U3179-V3179</f>
        <v/>
      </c>
      <c r="X3179" s="28">
        <f>IFERROR(W3179/U3179,0)</f>
        <v/>
      </c>
    </row>
    <row r="3180">
      <c r="A3180" s="21">
        <f>ItensPedido!A3180</f>
        <v/>
      </c>
      <c r="B3180" s="21">
        <f>ItensPedido!B3180</f>
        <v/>
      </c>
      <c r="C3180" s="21">
        <f>ItensPedido!C3180</f>
        <v/>
      </c>
      <c r="D3180" s="21">
        <f>ItensPedido!D3180</f>
        <v/>
      </c>
      <c r="E3180" s="22">
        <f>ItensPedido!E3180</f>
        <v/>
      </c>
      <c r="F3180" s="21">
        <f>IFERROR(INDEX(Pedidos!$B$2:$B$1801,MATCH(B3180,Pedidos!$A$2:$A$1801,0)),0)</f>
        <v/>
      </c>
      <c r="G3180" s="21">
        <f>IF(F3180=0,"",YEAR(F3180))</f>
        <v/>
      </c>
      <c r="H3180" s="21">
        <f>IF(F3180=0,"",MONTH(F3180))</f>
        <v/>
      </c>
      <c r="I3180" s="21">
        <f>IFERROR(INDEX(Pedidos!$E$2:$E$1801,MATCH(B3180,Pedidos!$A$2:$A$1801,0)),"")</f>
        <v/>
      </c>
      <c r="J3180" s="21">
        <f>IFERROR(INDEX(Pedidos!$C$2:$C$1801,MATCH(B3180,Pedidos!$A$2:$A$1801,0)),"")</f>
        <v/>
      </c>
      <c r="K3180" s="21">
        <f>IFERROR(INDEX(Pedidos!$D$2:$D$1801,MATCH(B3180,Pedidos!$A$2:$A$1801,0)),"")</f>
        <v/>
      </c>
      <c r="L3180" s="21">
        <f>IFERROR(INDEX(Pedidos!$F$2:$F$1801,MATCH(B3180,Pedidos!$A$2:$A$1801,0)),"")</f>
        <v/>
      </c>
      <c r="M3180" s="22">
        <f>IFERROR(INDEX(Pedidos!$G$2:$G$1801,MATCH(B3180,Pedidos!$A$2:$A$1801,0)),0)</f>
        <v/>
      </c>
      <c r="N3180" s="21">
        <f>IFERROR(INDEX(Produtos!$B$2:$B$71,MATCH(C3180,Produtos!$A$2:$A$71,0)),"")</f>
        <v/>
      </c>
      <c r="O3180" s="21">
        <f>IFERROR(INDEX(Produtos!$C$2:$C$71,MATCH(C3180,Produtos!$A$2:$A$71,0)),"")</f>
        <v/>
      </c>
      <c r="P3180" s="21">
        <f>IFERROR(INDEX(Produtos!$D$2:$D$71,MATCH(C3180,Produtos!$A$2:$A$71,0)),0)</f>
        <v/>
      </c>
      <c r="Q3180" s="21">
        <f>IFERROR(INDEX(Produtos!$E$2:$E$71,MATCH(C3180,Produtos!$A$2:$A$71,0)),0)</f>
        <v/>
      </c>
      <c r="R3180" s="23">
        <f>D3180*Q3180</f>
        <v/>
      </c>
      <c r="S3180" s="23">
        <f>R3180*E3180</f>
        <v/>
      </c>
      <c r="T3180" s="23">
        <f>(R3180-S3180)*M3180</f>
        <v/>
      </c>
      <c r="U3180" s="23">
        <f>R3180-S3180-T3180</f>
        <v/>
      </c>
      <c r="V3180" s="23">
        <f>D3180*P3180</f>
        <v/>
      </c>
      <c r="W3180" s="23">
        <f>U3180-V3180</f>
        <v/>
      </c>
      <c r="X3180" s="24">
        <f>IFERROR(W3180/U3180,0)</f>
        <v/>
      </c>
    </row>
    <row r="3181">
      <c r="A3181" s="25">
        <f>ItensPedido!A3181</f>
        <v/>
      </c>
      <c r="B3181" s="25">
        <f>ItensPedido!B3181</f>
        <v/>
      </c>
      <c r="C3181" s="25">
        <f>ItensPedido!C3181</f>
        <v/>
      </c>
      <c r="D3181" s="25">
        <f>ItensPedido!D3181</f>
        <v/>
      </c>
      <c r="E3181" s="26">
        <f>ItensPedido!E3181</f>
        <v/>
      </c>
      <c r="F3181" s="25">
        <f>IFERROR(INDEX(Pedidos!$B$2:$B$1801,MATCH(B3181,Pedidos!$A$2:$A$1801,0)),0)</f>
        <v/>
      </c>
      <c r="G3181" s="25">
        <f>IF(F3181=0,"",YEAR(F3181))</f>
        <v/>
      </c>
      <c r="H3181" s="25">
        <f>IF(F3181=0,"",MONTH(F3181))</f>
        <v/>
      </c>
      <c r="I3181" s="25">
        <f>IFERROR(INDEX(Pedidos!$E$2:$E$1801,MATCH(B3181,Pedidos!$A$2:$A$1801,0)),"")</f>
        <v/>
      </c>
      <c r="J3181" s="25">
        <f>IFERROR(INDEX(Pedidos!$C$2:$C$1801,MATCH(B3181,Pedidos!$A$2:$A$1801,0)),"")</f>
        <v/>
      </c>
      <c r="K3181" s="25">
        <f>IFERROR(INDEX(Pedidos!$D$2:$D$1801,MATCH(B3181,Pedidos!$A$2:$A$1801,0)),"")</f>
        <v/>
      </c>
      <c r="L3181" s="25">
        <f>IFERROR(INDEX(Pedidos!$F$2:$F$1801,MATCH(B3181,Pedidos!$A$2:$A$1801,0)),"")</f>
        <v/>
      </c>
      <c r="M3181" s="26">
        <f>IFERROR(INDEX(Pedidos!$G$2:$G$1801,MATCH(B3181,Pedidos!$A$2:$A$1801,0)),0)</f>
        <v/>
      </c>
      <c r="N3181" s="25">
        <f>IFERROR(INDEX(Produtos!$B$2:$B$71,MATCH(C3181,Produtos!$A$2:$A$71,0)),"")</f>
        <v/>
      </c>
      <c r="O3181" s="25">
        <f>IFERROR(INDEX(Produtos!$C$2:$C$71,MATCH(C3181,Produtos!$A$2:$A$71,0)),"")</f>
        <v/>
      </c>
      <c r="P3181" s="25">
        <f>IFERROR(INDEX(Produtos!$D$2:$D$71,MATCH(C3181,Produtos!$A$2:$A$71,0)),0)</f>
        <v/>
      </c>
      <c r="Q3181" s="25">
        <f>IFERROR(INDEX(Produtos!$E$2:$E$71,MATCH(C3181,Produtos!$A$2:$A$71,0)),0)</f>
        <v/>
      </c>
      <c r="R3181" s="27">
        <f>D3181*Q3181</f>
        <v/>
      </c>
      <c r="S3181" s="27">
        <f>R3181*E3181</f>
        <v/>
      </c>
      <c r="T3181" s="27">
        <f>(R3181-S3181)*M3181</f>
        <v/>
      </c>
      <c r="U3181" s="27">
        <f>R3181-S3181-T3181</f>
        <v/>
      </c>
      <c r="V3181" s="27">
        <f>D3181*P3181</f>
        <v/>
      </c>
      <c r="W3181" s="27">
        <f>U3181-V3181</f>
        <v/>
      </c>
      <c r="X3181" s="28">
        <f>IFERROR(W3181/U3181,0)</f>
        <v/>
      </c>
    </row>
    <row r="3182">
      <c r="A3182" s="21">
        <f>ItensPedido!A3182</f>
        <v/>
      </c>
      <c r="B3182" s="21">
        <f>ItensPedido!B3182</f>
        <v/>
      </c>
      <c r="C3182" s="21">
        <f>ItensPedido!C3182</f>
        <v/>
      </c>
      <c r="D3182" s="21">
        <f>ItensPedido!D3182</f>
        <v/>
      </c>
      <c r="E3182" s="22">
        <f>ItensPedido!E3182</f>
        <v/>
      </c>
      <c r="F3182" s="21">
        <f>IFERROR(INDEX(Pedidos!$B$2:$B$1801,MATCH(B3182,Pedidos!$A$2:$A$1801,0)),0)</f>
        <v/>
      </c>
      <c r="G3182" s="21">
        <f>IF(F3182=0,"",YEAR(F3182))</f>
        <v/>
      </c>
      <c r="H3182" s="21">
        <f>IF(F3182=0,"",MONTH(F3182))</f>
        <v/>
      </c>
      <c r="I3182" s="21">
        <f>IFERROR(INDEX(Pedidos!$E$2:$E$1801,MATCH(B3182,Pedidos!$A$2:$A$1801,0)),"")</f>
        <v/>
      </c>
      <c r="J3182" s="21">
        <f>IFERROR(INDEX(Pedidos!$C$2:$C$1801,MATCH(B3182,Pedidos!$A$2:$A$1801,0)),"")</f>
        <v/>
      </c>
      <c r="K3182" s="21">
        <f>IFERROR(INDEX(Pedidos!$D$2:$D$1801,MATCH(B3182,Pedidos!$A$2:$A$1801,0)),"")</f>
        <v/>
      </c>
      <c r="L3182" s="21">
        <f>IFERROR(INDEX(Pedidos!$F$2:$F$1801,MATCH(B3182,Pedidos!$A$2:$A$1801,0)),"")</f>
        <v/>
      </c>
      <c r="M3182" s="22">
        <f>IFERROR(INDEX(Pedidos!$G$2:$G$1801,MATCH(B3182,Pedidos!$A$2:$A$1801,0)),0)</f>
        <v/>
      </c>
      <c r="N3182" s="21">
        <f>IFERROR(INDEX(Produtos!$B$2:$B$71,MATCH(C3182,Produtos!$A$2:$A$71,0)),"")</f>
        <v/>
      </c>
      <c r="O3182" s="21">
        <f>IFERROR(INDEX(Produtos!$C$2:$C$71,MATCH(C3182,Produtos!$A$2:$A$71,0)),"")</f>
        <v/>
      </c>
      <c r="P3182" s="21">
        <f>IFERROR(INDEX(Produtos!$D$2:$D$71,MATCH(C3182,Produtos!$A$2:$A$71,0)),0)</f>
        <v/>
      </c>
      <c r="Q3182" s="21">
        <f>IFERROR(INDEX(Produtos!$E$2:$E$71,MATCH(C3182,Produtos!$A$2:$A$71,0)),0)</f>
        <v/>
      </c>
      <c r="R3182" s="23">
        <f>D3182*Q3182</f>
        <v/>
      </c>
      <c r="S3182" s="23">
        <f>R3182*E3182</f>
        <v/>
      </c>
      <c r="T3182" s="23">
        <f>(R3182-S3182)*M3182</f>
        <v/>
      </c>
      <c r="U3182" s="23">
        <f>R3182-S3182-T3182</f>
        <v/>
      </c>
      <c r="V3182" s="23">
        <f>D3182*P3182</f>
        <v/>
      </c>
      <c r="W3182" s="23">
        <f>U3182-V3182</f>
        <v/>
      </c>
      <c r="X3182" s="24">
        <f>IFERROR(W3182/U3182,0)</f>
        <v/>
      </c>
    </row>
    <row r="3183">
      <c r="A3183" s="25">
        <f>ItensPedido!A3183</f>
        <v/>
      </c>
      <c r="B3183" s="25">
        <f>ItensPedido!B3183</f>
        <v/>
      </c>
      <c r="C3183" s="25">
        <f>ItensPedido!C3183</f>
        <v/>
      </c>
      <c r="D3183" s="25">
        <f>ItensPedido!D3183</f>
        <v/>
      </c>
      <c r="E3183" s="26">
        <f>ItensPedido!E3183</f>
        <v/>
      </c>
      <c r="F3183" s="25">
        <f>IFERROR(INDEX(Pedidos!$B$2:$B$1801,MATCH(B3183,Pedidos!$A$2:$A$1801,0)),0)</f>
        <v/>
      </c>
      <c r="G3183" s="25">
        <f>IF(F3183=0,"",YEAR(F3183))</f>
        <v/>
      </c>
      <c r="H3183" s="25">
        <f>IF(F3183=0,"",MONTH(F3183))</f>
        <v/>
      </c>
      <c r="I3183" s="25">
        <f>IFERROR(INDEX(Pedidos!$E$2:$E$1801,MATCH(B3183,Pedidos!$A$2:$A$1801,0)),"")</f>
        <v/>
      </c>
      <c r="J3183" s="25">
        <f>IFERROR(INDEX(Pedidos!$C$2:$C$1801,MATCH(B3183,Pedidos!$A$2:$A$1801,0)),"")</f>
        <v/>
      </c>
      <c r="K3183" s="25">
        <f>IFERROR(INDEX(Pedidos!$D$2:$D$1801,MATCH(B3183,Pedidos!$A$2:$A$1801,0)),"")</f>
        <v/>
      </c>
      <c r="L3183" s="25">
        <f>IFERROR(INDEX(Pedidos!$F$2:$F$1801,MATCH(B3183,Pedidos!$A$2:$A$1801,0)),"")</f>
        <v/>
      </c>
      <c r="M3183" s="26">
        <f>IFERROR(INDEX(Pedidos!$G$2:$G$1801,MATCH(B3183,Pedidos!$A$2:$A$1801,0)),0)</f>
        <v/>
      </c>
      <c r="N3183" s="25">
        <f>IFERROR(INDEX(Produtos!$B$2:$B$71,MATCH(C3183,Produtos!$A$2:$A$71,0)),"")</f>
        <v/>
      </c>
      <c r="O3183" s="25">
        <f>IFERROR(INDEX(Produtos!$C$2:$C$71,MATCH(C3183,Produtos!$A$2:$A$71,0)),"")</f>
        <v/>
      </c>
      <c r="P3183" s="25">
        <f>IFERROR(INDEX(Produtos!$D$2:$D$71,MATCH(C3183,Produtos!$A$2:$A$71,0)),0)</f>
        <v/>
      </c>
      <c r="Q3183" s="25">
        <f>IFERROR(INDEX(Produtos!$E$2:$E$71,MATCH(C3183,Produtos!$A$2:$A$71,0)),0)</f>
        <v/>
      </c>
      <c r="R3183" s="27">
        <f>D3183*Q3183</f>
        <v/>
      </c>
      <c r="S3183" s="27">
        <f>R3183*E3183</f>
        <v/>
      </c>
      <c r="T3183" s="27">
        <f>(R3183-S3183)*M3183</f>
        <v/>
      </c>
      <c r="U3183" s="27">
        <f>R3183-S3183-T3183</f>
        <v/>
      </c>
      <c r="V3183" s="27">
        <f>D3183*P3183</f>
        <v/>
      </c>
      <c r="W3183" s="27">
        <f>U3183-V3183</f>
        <v/>
      </c>
      <c r="X3183" s="28">
        <f>IFERROR(W3183/U3183,0)</f>
        <v/>
      </c>
    </row>
    <row r="3184">
      <c r="A3184" s="21">
        <f>ItensPedido!A3184</f>
        <v/>
      </c>
      <c r="B3184" s="21">
        <f>ItensPedido!B3184</f>
        <v/>
      </c>
      <c r="C3184" s="21">
        <f>ItensPedido!C3184</f>
        <v/>
      </c>
      <c r="D3184" s="21">
        <f>ItensPedido!D3184</f>
        <v/>
      </c>
      <c r="E3184" s="22">
        <f>ItensPedido!E3184</f>
        <v/>
      </c>
      <c r="F3184" s="21">
        <f>IFERROR(INDEX(Pedidos!$B$2:$B$1801,MATCH(B3184,Pedidos!$A$2:$A$1801,0)),0)</f>
        <v/>
      </c>
      <c r="G3184" s="21">
        <f>IF(F3184=0,"",YEAR(F3184))</f>
        <v/>
      </c>
      <c r="H3184" s="21">
        <f>IF(F3184=0,"",MONTH(F3184))</f>
        <v/>
      </c>
      <c r="I3184" s="21">
        <f>IFERROR(INDEX(Pedidos!$E$2:$E$1801,MATCH(B3184,Pedidos!$A$2:$A$1801,0)),"")</f>
        <v/>
      </c>
      <c r="J3184" s="21">
        <f>IFERROR(INDEX(Pedidos!$C$2:$C$1801,MATCH(B3184,Pedidos!$A$2:$A$1801,0)),"")</f>
        <v/>
      </c>
      <c r="K3184" s="21">
        <f>IFERROR(INDEX(Pedidos!$D$2:$D$1801,MATCH(B3184,Pedidos!$A$2:$A$1801,0)),"")</f>
        <v/>
      </c>
      <c r="L3184" s="21">
        <f>IFERROR(INDEX(Pedidos!$F$2:$F$1801,MATCH(B3184,Pedidos!$A$2:$A$1801,0)),"")</f>
        <v/>
      </c>
      <c r="M3184" s="22">
        <f>IFERROR(INDEX(Pedidos!$G$2:$G$1801,MATCH(B3184,Pedidos!$A$2:$A$1801,0)),0)</f>
        <v/>
      </c>
      <c r="N3184" s="21">
        <f>IFERROR(INDEX(Produtos!$B$2:$B$71,MATCH(C3184,Produtos!$A$2:$A$71,0)),"")</f>
        <v/>
      </c>
      <c r="O3184" s="21">
        <f>IFERROR(INDEX(Produtos!$C$2:$C$71,MATCH(C3184,Produtos!$A$2:$A$71,0)),"")</f>
        <v/>
      </c>
      <c r="P3184" s="21">
        <f>IFERROR(INDEX(Produtos!$D$2:$D$71,MATCH(C3184,Produtos!$A$2:$A$71,0)),0)</f>
        <v/>
      </c>
      <c r="Q3184" s="21">
        <f>IFERROR(INDEX(Produtos!$E$2:$E$71,MATCH(C3184,Produtos!$A$2:$A$71,0)),0)</f>
        <v/>
      </c>
      <c r="R3184" s="23">
        <f>D3184*Q3184</f>
        <v/>
      </c>
      <c r="S3184" s="23">
        <f>R3184*E3184</f>
        <v/>
      </c>
      <c r="T3184" s="23">
        <f>(R3184-S3184)*M3184</f>
        <v/>
      </c>
      <c r="U3184" s="23">
        <f>R3184-S3184-T3184</f>
        <v/>
      </c>
      <c r="V3184" s="23">
        <f>D3184*P3184</f>
        <v/>
      </c>
      <c r="W3184" s="23">
        <f>U3184-V3184</f>
        <v/>
      </c>
      <c r="X3184" s="24">
        <f>IFERROR(W3184/U3184,0)</f>
        <v/>
      </c>
    </row>
    <row r="3185">
      <c r="A3185" s="25">
        <f>ItensPedido!A3185</f>
        <v/>
      </c>
      <c r="B3185" s="25">
        <f>ItensPedido!B3185</f>
        <v/>
      </c>
      <c r="C3185" s="25">
        <f>ItensPedido!C3185</f>
        <v/>
      </c>
      <c r="D3185" s="25">
        <f>ItensPedido!D3185</f>
        <v/>
      </c>
      <c r="E3185" s="26">
        <f>ItensPedido!E3185</f>
        <v/>
      </c>
      <c r="F3185" s="25">
        <f>IFERROR(INDEX(Pedidos!$B$2:$B$1801,MATCH(B3185,Pedidos!$A$2:$A$1801,0)),0)</f>
        <v/>
      </c>
      <c r="G3185" s="25">
        <f>IF(F3185=0,"",YEAR(F3185))</f>
        <v/>
      </c>
      <c r="H3185" s="25">
        <f>IF(F3185=0,"",MONTH(F3185))</f>
        <v/>
      </c>
      <c r="I3185" s="25">
        <f>IFERROR(INDEX(Pedidos!$E$2:$E$1801,MATCH(B3185,Pedidos!$A$2:$A$1801,0)),"")</f>
        <v/>
      </c>
      <c r="J3185" s="25">
        <f>IFERROR(INDEX(Pedidos!$C$2:$C$1801,MATCH(B3185,Pedidos!$A$2:$A$1801,0)),"")</f>
        <v/>
      </c>
      <c r="K3185" s="25">
        <f>IFERROR(INDEX(Pedidos!$D$2:$D$1801,MATCH(B3185,Pedidos!$A$2:$A$1801,0)),"")</f>
        <v/>
      </c>
      <c r="L3185" s="25">
        <f>IFERROR(INDEX(Pedidos!$F$2:$F$1801,MATCH(B3185,Pedidos!$A$2:$A$1801,0)),"")</f>
        <v/>
      </c>
      <c r="M3185" s="26">
        <f>IFERROR(INDEX(Pedidos!$G$2:$G$1801,MATCH(B3185,Pedidos!$A$2:$A$1801,0)),0)</f>
        <v/>
      </c>
      <c r="N3185" s="25">
        <f>IFERROR(INDEX(Produtos!$B$2:$B$71,MATCH(C3185,Produtos!$A$2:$A$71,0)),"")</f>
        <v/>
      </c>
      <c r="O3185" s="25">
        <f>IFERROR(INDEX(Produtos!$C$2:$C$71,MATCH(C3185,Produtos!$A$2:$A$71,0)),"")</f>
        <v/>
      </c>
      <c r="P3185" s="25">
        <f>IFERROR(INDEX(Produtos!$D$2:$D$71,MATCH(C3185,Produtos!$A$2:$A$71,0)),0)</f>
        <v/>
      </c>
      <c r="Q3185" s="25">
        <f>IFERROR(INDEX(Produtos!$E$2:$E$71,MATCH(C3185,Produtos!$A$2:$A$71,0)),0)</f>
        <v/>
      </c>
      <c r="R3185" s="27">
        <f>D3185*Q3185</f>
        <v/>
      </c>
      <c r="S3185" s="27">
        <f>R3185*E3185</f>
        <v/>
      </c>
      <c r="T3185" s="27">
        <f>(R3185-S3185)*M3185</f>
        <v/>
      </c>
      <c r="U3185" s="27">
        <f>R3185-S3185-T3185</f>
        <v/>
      </c>
      <c r="V3185" s="27">
        <f>D3185*P3185</f>
        <v/>
      </c>
      <c r="W3185" s="27">
        <f>U3185-V3185</f>
        <v/>
      </c>
      <c r="X3185" s="28">
        <f>IFERROR(W3185/U3185,0)</f>
        <v/>
      </c>
    </row>
    <row r="3186">
      <c r="A3186" s="21">
        <f>ItensPedido!A3186</f>
        <v/>
      </c>
      <c r="B3186" s="21">
        <f>ItensPedido!B3186</f>
        <v/>
      </c>
      <c r="C3186" s="21">
        <f>ItensPedido!C3186</f>
        <v/>
      </c>
      <c r="D3186" s="21">
        <f>ItensPedido!D3186</f>
        <v/>
      </c>
      <c r="E3186" s="22">
        <f>ItensPedido!E3186</f>
        <v/>
      </c>
      <c r="F3186" s="21">
        <f>IFERROR(INDEX(Pedidos!$B$2:$B$1801,MATCH(B3186,Pedidos!$A$2:$A$1801,0)),0)</f>
        <v/>
      </c>
      <c r="G3186" s="21">
        <f>IF(F3186=0,"",YEAR(F3186))</f>
        <v/>
      </c>
      <c r="H3186" s="21">
        <f>IF(F3186=0,"",MONTH(F3186))</f>
        <v/>
      </c>
      <c r="I3186" s="21">
        <f>IFERROR(INDEX(Pedidos!$E$2:$E$1801,MATCH(B3186,Pedidos!$A$2:$A$1801,0)),"")</f>
        <v/>
      </c>
      <c r="J3186" s="21">
        <f>IFERROR(INDEX(Pedidos!$C$2:$C$1801,MATCH(B3186,Pedidos!$A$2:$A$1801,0)),"")</f>
        <v/>
      </c>
      <c r="K3186" s="21">
        <f>IFERROR(INDEX(Pedidos!$D$2:$D$1801,MATCH(B3186,Pedidos!$A$2:$A$1801,0)),"")</f>
        <v/>
      </c>
      <c r="L3186" s="21">
        <f>IFERROR(INDEX(Pedidos!$F$2:$F$1801,MATCH(B3186,Pedidos!$A$2:$A$1801,0)),"")</f>
        <v/>
      </c>
      <c r="M3186" s="22">
        <f>IFERROR(INDEX(Pedidos!$G$2:$G$1801,MATCH(B3186,Pedidos!$A$2:$A$1801,0)),0)</f>
        <v/>
      </c>
      <c r="N3186" s="21">
        <f>IFERROR(INDEX(Produtos!$B$2:$B$71,MATCH(C3186,Produtos!$A$2:$A$71,0)),"")</f>
        <v/>
      </c>
      <c r="O3186" s="21">
        <f>IFERROR(INDEX(Produtos!$C$2:$C$71,MATCH(C3186,Produtos!$A$2:$A$71,0)),"")</f>
        <v/>
      </c>
      <c r="P3186" s="21">
        <f>IFERROR(INDEX(Produtos!$D$2:$D$71,MATCH(C3186,Produtos!$A$2:$A$71,0)),0)</f>
        <v/>
      </c>
      <c r="Q3186" s="21">
        <f>IFERROR(INDEX(Produtos!$E$2:$E$71,MATCH(C3186,Produtos!$A$2:$A$71,0)),0)</f>
        <v/>
      </c>
      <c r="R3186" s="23">
        <f>D3186*Q3186</f>
        <v/>
      </c>
      <c r="S3186" s="23">
        <f>R3186*E3186</f>
        <v/>
      </c>
      <c r="T3186" s="23">
        <f>(R3186-S3186)*M3186</f>
        <v/>
      </c>
      <c r="U3186" s="23">
        <f>R3186-S3186-T3186</f>
        <v/>
      </c>
      <c r="V3186" s="23">
        <f>D3186*P3186</f>
        <v/>
      </c>
      <c r="W3186" s="23">
        <f>U3186-V3186</f>
        <v/>
      </c>
      <c r="X3186" s="24">
        <f>IFERROR(W3186/U3186,0)</f>
        <v/>
      </c>
    </row>
    <row r="3187">
      <c r="A3187" s="25">
        <f>ItensPedido!A3187</f>
        <v/>
      </c>
      <c r="B3187" s="25">
        <f>ItensPedido!B3187</f>
        <v/>
      </c>
      <c r="C3187" s="25">
        <f>ItensPedido!C3187</f>
        <v/>
      </c>
      <c r="D3187" s="25">
        <f>ItensPedido!D3187</f>
        <v/>
      </c>
      <c r="E3187" s="26">
        <f>ItensPedido!E3187</f>
        <v/>
      </c>
      <c r="F3187" s="25">
        <f>IFERROR(INDEX(Pedidos!$B$2:$B$1801,MATCH(B3187,Pedidos!$A$2:$A$1801,0)),0)</f>
        <v/>
      </c>
      <c r="G3187" s="25">
        <f>IF(F3187=0,"",YEAR(F3187))</f>
        <v/>
      </c>
      <c r="H3187" s="25">
        <f>IF(F3187=0,"",MONTH(F3187))</f>
        <v/>
      </c>
      <c r="I3187" s="25">
        <f>IFERROR(INDEX(Pedidos!$E$2:$E$1801,MATCH(B3187,Pedidos!$A$2:$A$1801,0)),"")</f>
        <v/>
      </c>
      <c r="J3187" s="25">
        <f>IFERROR(INDEX(Pedidos!$C$2:$C$1801,MATCH(B3187,Pedidos!$A$2:$A$1801,0)),"")</f>
        <v/>
      </c>
      <c r="K3187" s="25">
        <f>IFERROR(INDEX(Pedidos!$D$2:$D$1801,MATCH(B3187,Pedidos!$A$2:$A$1801,0)),"")</f>
        <v/>
      </c>
      <c r="L3187" s="25">
        <f>IFERROR(INDEX(Pedidos!$F$2:$F$1801,MATCH(B3187,Pedidos!$A$2:$A$1801,0)),"")</f>
        <v/>
      </c>
      <c r="M3187" s="26">
        <f>IFERROR(INDEX(Pedidos!$G$2:$G$1801,MATCH(B3187,Pedidos!$A$2:$A$1801,0)),0)</f>
        <v/>
      </c>
      <c r="N3187" s="25">
        <f>IFERROR(INDEX(Produtos!$B$2:$B$71,MATCH(C3187,Produtos!$A$2:$A$71,0)),"")</f>
        <v/>
      </c>
      <c r="O3187" s="25">
        <f>IFERROR(INDEX(Produtos!$C$2:$C$71,MATCH(C3187,Produtos!$A$2:$A$71,0)),"")</f>
        <v/>
      </c>
      <c r="P3187" s="25">
        <f>IFERROR(INDEX(Produtos!$D$2:$D$71,MATCH(C3187,Produtos!$A$2:$A$71,0)),0)</f>
        <v/>
      </c>
      <c r="Q3187" s="25">
        <f>IFERROR(INDEX(Produtos!$E$2:$E$71,MATCH(C3187,Produtos!$A$2:$A$71,0)),0)</f>
        <v/>
      </c>
      <c r="R3187" s="27">
        <f>D3187*Q3187</f>
        <v/>
      </c>
      <c r="S3187" s="27">
        <f>R3187*E3187</f>
        <v/>
      </c>
      <c r="T3187" s="27">
        <f>(R3187-S3187)*M3187</f>
        <v/>
      </c>
      <c r="U3187" s="27">
        <f>R3187-S3187-T3187</f>
        <v/>
      </c>
      <c r="V3187" s="27">
        <f>D3187*P3187</f>
        <v/>
      </c>
      <c r="W3187" s="27">
        <f>U3187-V3187</f>
        <v/>
      </c>
      <c r="X3187" s="28">
        <f>IFERROR(W3187/U3187,0)</f>
        <v/>
      </c>
    </row>
    <row r="3188">
      <c r="A3188" s="21">
        <f>ItensPedido!A3188</f>
        <v/>
      </c>
      <c r="B3188" s="21">
        <f>ItensPedido!B3188</f>
        <v/>
      </c>
      <c r="C3188" s="21">
        <f>ItensPedido!C3188</f>
        <v/>
      </c>
      <c r="D3188" s="21">
        <f>ItensPedido!D3188</f>
        <v/>
      </c>
      <c r="E3188" s="22">
        <f>ItensPedido!E3188</f>
        <v/>
      </c>
      <c r="F3188" s="21">
        <f>IFERROR(INDEX(Pedidos!$B$2:$B$1801,MATCH(B3188,Pedidos!$A$2:$A$1801,0)),0)</f>
        <v/>
      </c>
      <c r="G3188" s="21">
        <f>IF(F3188=0,"",YEAR(F3188))</f>
        <v/>
      </c>
      <c r="H3188" s="21">
        <f>IF(F3188=0,"",MONTH(F3188))</f>
        <v/>
      </c>
      <c r="I3188" s="21">
        <f>IFERROR(INDEX(Pedidos!$E$2:$E$1801,MATCH(B3188,Pedidos!$A$2:$A$1801,0)),"")</f>
        <v/>
      </c>
      <c r="J3188" s="21">
        <f>IFERROR(INDEX(Pedidos!$C$2:$C$1801,MATCH(B3188,Pedidos!$A$2:$A$1801,0)),"")</f>
        <v/>
      </c>
      <c r="K3188" s="21">
        <f>IFERROR(INDEX(Pedidos!$D$2:$D$1801,MATCH(B3188,Pedidos!$A$2:$A$1801,0)),"")</f>
        <v/>
      </c>
      <c r="L3188" s="21">
        <f>IFERROR(INDEX(Pedidos!$F$2:$F$1801,MATCH(B3188,Pedidos!$A$2:$A$1801,0)),"")</f>
        <v/>
      </c>
      <c r="M3188" s="22">
        <f>IFERROR(INDEX(Pedidos!$G$2:$G$1801,MATCH(B3188,Pedidos!$A$2:$A$1801,0)),0)</f>
        <v/>
      </c>
      <c r="N3188" s="21">
        <f>IFERROR(INDEX(Produtos!$B$2:$B$71,MATCH(C3188,Produtos!$A$2:$A$71,0)),"")</f>
        <v/>
      </c>
      <c r="O3188" s="21">
        <f>IFERROR(INDEX(Produtos!$C$2:$C$71,MATCH(C3188,Produtos!$A$2:$A$71,0)),"")</f>
        <v/>
      </c>
      <c r="P3188" s="21">
        <f>IFERROR(INDEX(Produtos!$D$2:$D$71,MATCH(C3188,Produtos!$A$2:$A$71,0)),0)</f>
        <v/>
      </c>
      <c r="Q3188" s="21">
        <f>IFERROR(INDEX(Produtos!$E$2:$E$71,MATCH(C3188,Produtos!$A$2:$A$71,0)),0)</f>
        <v/>
      </c>
      <c r="R3188" s="23">
        <f>D3188*Q3188</f>
        <v/>
      </c>
      <c r="S3188" s="23">
        <f>R3188*E3188</f>
        <v/>
      </c>
      <c r="T3188" s="23">
        <f>(R3188-S3188)*M3188</f>
        <v/>
      </c>
      <c r="U3188" s="23">
        <f>R3188-S3188-T3188</f>
        <v/>
      </c>
      <c r="V3188" s="23">
        <f>D3188*P3188</f>
        <v/>
      </c>
      <c r="W3188" s="23">
        <f>U3188-V3188</f>
        <v/>
      </c>
      <c r="X3188" s="24">
        <f>IFERROR(W3188/U3188,0)</f>
        <v/>
      </c>
    </row>
    <row r="3189">
      <c r="A3189" s="25">
        <f>ItensPedido!A3189</f>
        <v/>
      </c>
      <c r="B3189" s="25">
        <f>ItensPedido!B3189</f>
        <v/>
      </c>
      <c r="C3189" s="25">
        <f>ItensPedido!C3189</f>
        <v/>
      </c>
      <c r="D3189" s="25">
        <f>ItensPedido!D3189</f>
        <v/>
      </c>
      <c r="E3189" s="26">
        <f>ItensPedido!E3189</f>
        <v/>
      </c>
      <c r="F3189" s="25">
        <f>IFERROR(INDEX(Pedidos!$B$2:$B$1801,MATCH(B3189,Pedidos!$A$2:$A$1801,0)),0)</f>
        <v/>
      </c>
      <c r="G3189" s="25">
        <f>IF(F3189=0,"",YEAR(F3189))</f>
        <v/>
      </c>
      <c r="H3189" s="25">
        <f>IF(F3189=0,"",MONTH(F3189))</f>
        <v/>
      </c>
      <c r="I3189" s="25">
        <f>IFERROR(INDEX(Pedidos!$E$2:$E$1801,MATCH(B3189,Pedidos!$A$2:$A$1801,0)),"")</f>
        <v/>
      </c>
      <c r="J3189" s="25">
        <f>IFERROR(INDEX(Pedidos!$C$2:$C$1801,MATCH(B3189,Pedidos!$A$2:$A$1801,0)),"")</f>
        <v/>
      </c>
      <c r="K3189" s="25">
        <f>IFERROR(INDEX(Pedidos!$D$2:$D$1801,MATCH(B3189,Pedidos!$A$2:$A$1801,0)),"")</f>
        <v/>
      </c>
      <c r="L3189" s="25">
        <f>IFERROR(INDEX(Pedidos!$F$2:$F$1801,MATCH(B3189,Pedidos!$A$2:$A$1801,0)),"")</f>
        <v/>
      </c>
      <c r="M3189" s="26">
        <f>IFERROR(INDEX(Pedidos!$G$2:$G$1801,MATCH(B3189,Pedidos!$A$2:$A$1801,0)),0)</f>
        <v/>
      </c>
      <c r="N3189" s="25">
        <f>IFERROR(INDEX(Produtos!$B$2:$B$71,MATCH(C3189,Produtos!$A$2:$A$71,0)),"")</f>
        <v/>
      </c>
      <c r="O3189" s="25">
        <f>IFERROR(INDEX(Produtos!$C$2:$C$71,MATCH(C3189,Produtos!$A$2:$A$71,0)),"")</f>
        <v/>
      </c>
      <c r="P3189" s="25">
        <f>IFERROR(INDEX(Produtos!$D$2:$D$71,MATCH(C3189,Produtos!$A$2:$A$71,0)),0)</f>
        <v/>
      </c>
      <c r="Q3189" s="25">
        <f>IFERROR(INDEX(Produtos!$E$2:$E$71,MATCH(C3189,Produtos!$A$2:$A$71,0)),0)</f>
        <v/>
      </c>
      <c r="R3189" s="27">
        <f>D3189*Q3189</f>
        <v/>
      </c>
      <c r="S3189" s="27">
        <f>R3189*E3189</f>
        <v/>
      </c>
      <c r="T3189" s="27">
        <f>(R3189-S3189)*M3189</f>
        <v/>
      </c>
      <c r="U3189" s="27">
        <f>R3189-S3189-T3189</f>
        <v/>
      </c>
      <c r="V3189" s="27">
        <f>D3189*P3189</f>
        <v/>
      </c>
      <c r="W3189" s="27">
        <f>U3189-V3189</f>
        <v/>
      </c>
      <c r="X3189" s="28">
        <f>IFERROR(W3189/U3189,0)</f>
        <v/>
      </c>
    </row>
    <row r="3190">
      <c r="A3190" s="21">
        <f>ItensPedido!A3190</f>
        <v/>
      </c>
      <c r="B3190" s="21">
        <f>ItensPedido!B3190</f>
        <v/>
      </c>
      <c r="C3190" s="21">
        <f>ItensPedido!C3190</f>
        <v/>
      </c>
      <c r="D3190" s="21">
        <f>ItensPedido!D3190</f>
        <v/>
      </c>
      <c r="E3190" s="22">
        <f>ItensPedido!E3190</f>
        <v/>
      </c>
      <c r="F3190" s="21">
        <f>IFERROR(INDEX(Pedidos!$B$2:$B$1801,MATCH(B3190,Pedidos!$A$2:$A$1801,0)),0)</f>
        <v/>
      </c>
      <c r="G3190" s="21">
        <f>IF(F3190=0,"",YEAR(F3190))</f>
        <v/>
      </c>
      <c r="H3190" s="21">
        <f>IF(F3190=0,"",MONTH(F3190))</f>
        <v/>
      </c>
      <c r="I3190" s="21">
        <f>IFERROR(INDEX(Pedidos!$E$2:$E$1801,MATCH(B3190,Pedidos!$A$2:$A$1801,0)),"")</f>
        <v/>
      </c>
      <c r="J3190" s="21">
        <f>IFERROR(INDEX(Pedidos!$C$2:$C$1801,MATCH(B3190,Pedidos!$A$2:$A$1801,0)),"")</f>
        <v/>
      </c>
      <c r="K3190" s="21">
        <f>IFERROR(INDEX(Pedidos!$D$2:$D$1801,MATCH(B3190,Pedidos!$A$2:$A$1801,0)),"")</f>
        <v/>
      </c>
      <c r="L3190" s="21">
        <f>IFERROR(INDEX(Pedidos!$F$2:$F$1801,MATCH(B3190,Pedidos!$A$2:$A$1801,0)),"")</f>
        <v/>
      </c>
      <c r="M3190" s="22">
        <f>IFERROR(INDEX(Pedidos!$G$2:$G$1801,MATCH(B3190,Pedidos!$A$2:$A$1801,0)),0)</f>
        <v/>
      </c>
      <c r="N3190" s="21">
        <f>IFERROR(INDEX(Produtos!$B$2:$B$71,MATCH(C3190,Produtos!$A$2:$A$71,0)),"")</f>
        <v/>
      </c>
      <c r="O3190" s="21">
        <f>IFERROR(INDEX(Produtos!$C$2:$C$71,MATCH(C3190,Produtos!$A$2:$A$71,0)),"")</f>
        <v/>
      </c>
      <c r="P3190" s="21">
        <f>IFERROR(INDEX(Produtos!$D$2:$D$71,MATCH(C3190,Produtos!$A$2:$A$71,0)),0)</f>
        <v/>
      </c>
      <c r="Q3190" s="21">
        <f>IFERROR(INDEX(Produtos!$E$2:$E$71,MATCH(C3190,Produtos!$A$2:$A$71,0)),0)</f>
        <v/>
      </c>
      <c r="R3190" s="23">
        <f>D3190*Q3190</f>
        <v/>
      </c>
      <c r="S3190" s="23">
        <f>R3190*E3190</f>
        <v/>
      </c>
      <c r="T3190" s="23">
        <f>(R3190-S3190)*M3190</f>
        <v/>
      </c>
      <c r="U3190" s="23">
        <f>R3190-S3190-T3190</f>
        <v/>
      </c>
      <c r="V3190" s="23">
        <f>D3190*P3190</f>
        <v/>
      </c>
      <c r="W3190" s="23">
        <f>U3190-V3190</f>
        <v/>
      </c>
      <c r="X3190" s="24">
        <f>IFERROR(W3190/U3190,0)</f>
        <v/>
      </c>
    </row>
    <row r="3191">
      <c r="A3191" s="25">
        <f>ItensPedido!A3191</f>
        <v/>
      </c>
      <c r="B3191" s="25">
        <f>ItensPedido!B3191</f>
        <v/>
      </c>
      <c r="C3191" s="25">
        <f>ItensPedido!C3191</f>
        <v/>
      </c>
      <c r="D3191" s="25">
        <f>ItensPedido!D3191</f>
        <v/>
      </c>
      <c r="E3191" s="26">
        <f>ItensPedido!E3191</f>
        <v/>
      </c>
      <c r="F3191" s="25">
        <f>IFERROR(INDEX(Pedidos!$B$2:$B$1801,MATCH(B3191,Pedidos!$A$2:$A$1801,0)),0)</f>
        <v/>
      </c>
      <c r="G3191" s="25">
        <f>IF(F3191=0,"",YEAR(F3191))</f>
        <v/>
      </c>
      <c r="H3191" s="25">
        <f>IF(F3191=0,"",MONTH(F3191))</f>
        <v/>
      </c>
      <c r="I3191" s="25">
        <f>IFERROR(INDEX(Pedidos!$E$2:$E$1801,MATCH(B3191,Pedidos!$A$2:$A$1801,0)),"")</f>
        <v/>
      </c>
      <c r="J3191" s="25">
        <f>IFERROR(INDEX(Pedidos!$C$2:$C$1801,MATCH(B3191,Pedidos!$A$2:$A$1801,0)),"")</f>
        <v/>
      </c>
      <c r="K3191" s="25">
        <f>IFERROR(INDEX(Pedidos!$D$2:$D$1801,MATCH(B3191,Pedidos!$A$2:$A$1801,0)),"")</f>
        <v/>
      </c>
      <c r="L3191" s="25">
        <f>IFERROR(INDEX(Pedidos!$F$2:$F$1801,MATCH(B3191,Pedidos!$A$2:$A$1801,0)),"")</f>
        <v/>
      </c>
      <c r="M3191" s="26">
        <f>IFERROR(INDEX(Pedidos!$G$2:$G$1801,MATCH(B3191,Pedidos!$A$2:$A$1801,0)),0)</f>
        <v/>
      </c>
      <c r="N3191" s="25">
        <f>IFERROR(INDEX(Produtos!$B$2:$B$71,MATCH(C3191,Produtos!$A$2:$A$71,0)),"")</f>
        <v/>
      </c>
      <c r="O3191" s="25">
        <f>IFERROR(INDEX(Produtos!$C$2:$C$71,MATCH(C3191,Produtos!$A$2:$A$71,0)),"")</f>
        <v/>
      </c>
      <c r="P3191" s="25">
        <f>IFERROR(INDEX(Produtos!$D$2:$D$71,MATCH(C3191,Produtos!$A$2:$A$71,0)),0)</f>
        <v/>
      </c>
      <c r="Q3191" s="25">
        <f>IFERROR(INDEX(Produtos!$E$2:$E$71,MATCH(C3191,Produtos!$A$2:$A$71,0)),0)</f>
        <v/>
      </c>
      <c r="R3191" s="27">
        <f>D3191*Q3191</f>
        <v/>
      </c>
      <c r="S3191" s="27">
        <f>R3191*E3191</f>
        <v/>
      </c>
      <c r="T3191" s="27">
        <f>(R3191-S3191)*M3191</f>
        <v/>
      </c>
      <c r="U3191" s="27">
        <f>R3191-S3191-T3191</f>
        <v/>
      </c>
      <c r="V3191" s="27">
        <f>D3191*P3191</f>
        <v/>
      </c>
      <c r="W3191" s="27">
        <f>U3191-V3191</f>
        <v/>
      </c>
      <c r="X3191" s="28">
        <f>IFERROR(W3191/U3191,0)</f>
        <v/>
      </c>
    </row>
    <row r="3192">
      <c r="A3192" s="21">
        <f>ItensPedido!A3192</f>
        <v/>
      </c>
      <c r="B3192" s="21">
        <f>ItensPedido!B3192</f>
        <v/>
      </c>
      <c r="C3192" s="21">
        <f>ItensPedido!C3192</f>
        <v/>
      </c>
      <c r="D3192" s="21">
        <f>ItensPedido!D3192</f>
        <v/>
      </c>
      <c r="E3192" s="22">
        <f>ItensPedido!E3192</f>
        <v/>
      </c>
      <c r="F3192" s="21">
        <f>IFERROR(INDEX(Pedidos!$B$2:$B$1801,MATCH(B3192,Pedidos!$A$2:$A$1801,0)),0)</f>
        <v/>
      </c>
      <c r="G3192" s="21">
        <f>IF(F3192=0,"",YEAR(F3192))</f>
        <v/>
      </c>
      <c r="H3192" s="21">
        <f>IF(F3192=0,"",MONTH(F3192))</f>
        <v/>
      </c>
      <c r="I3192" s="21">
        <f>IFERROR(INDEX(Pedidos!$E$2:$E$1801,MATCH(B3192,Pedidos!$A$2:$A$1801,0)),"")</f>
        <v/>
      </c>
      <c r="J3192" s="21">
        <f>IFERROR(INDEX(Pedidos!$C$2:$C$1801,MATCH(B3192,Pedidos!$A$2:$A$1801,0)),"")</f>
        <v/>
      </c>
      <c r="K3192" s="21">
        <f>IFERROR(INDEX(Pedidos!$D$2:$D$1801,MATCH(B3192,Pedidos!$A$2:$A$1801,0)),"")</f>
        <v/>
      </c>
      <c r="L3192" s="21">
        <f>IFERROR(INDEX(Pedidos!$F$2:$F$1801,MATCH(B3192,Pedidos!$A$2:$A$1801,0)),"")</f>
        <v/>
      </c>
      <c r="M3192" s="22">
        <f>IFERROR(INDEX(Pedidos!$G$2:$G$1801,MATCH(B3192,Pedidos!$A$2:$A$1801,0)),0)</f>
        <v/>
      </c>
      <c r="N3192" s="21">
        <f>IFERROR(INDEX(Produtos!$B$2:$B$71,MATCH(C3192,Produtos!$A$2:$A$71,0)),"")</f>
        <v/>
      </c>
      <c r="O3192" s="21">
        <f>IFERROR(INDEX(Produtos!$C$2:$C$71,MATCH(C3192,Produtos!$A$2:$A$71,0)),"")</f>
        <v/>
      </c>
      <c r="P3192" s="21">
        <f>IFERROR(INDEX(Produtos!$D$2:$D$71,MATCH(C3192,Produtos!$A$2:$A$71,0)),0)</f>
        <v/>
      </c>
      <c r="Q3192" s="21">
        <f>IFERROR(INDEX(Produtos!$E$2:$E$71,MATCH(C3192,Produtos!$A$2:$A$71,0)),0)</f>
        <v/>
      </c>
      <c r="R3192" s="23">
        <f>D3192*Q3192</f>
        <v/>
      </c>
      <c r="S3192" s="23">
        <f>R3192*E3192</f>
        <v/>
      </c>
      <c r="T3192" s="23">
        <f>(R3192-S3192)*M3192</f>
        <v/>
      </c>
      <c r="U3192" s="23">
        <f>R3192-S3192-T3192</f>
        <v/>
      </c>
      <c r="V3192" s="23">
        <f>D3192*P3192</f>
        <v/>
      </c>
      <c r="W3192" s="23">
        <f>U3192-V3192</f>
        <v/>
      </c>
      <c r="X3192" s="24">
        <f>IFERROR(W3192/U3192,0)</f>
        <v/>
      </c>
    </row>
    <row r="3193">
      <c r="A3193" s="25">
        <f>ItensPedido!A3193</f>
        <v/>
      </c>
      <c r="B3193" s="25">
        <f>ItensPedido!B3193</f>
        <v/>
      </c>
      <c r="C3193" s="25">
        <f>ItensPedido!C3193</f>
        <v/>
      </c>
      <c r="D3193" s="25">
        <f>ItensPedido!D3193</f>
        <v/>
      </c>
      <c r="E3193" s="26">
        <f>ItensPedido!E3193</f>
        <v/>
      </c>
      <c r="F3193" s="25">
        <f>IFERROR(INDEX(Pedidos!$B$2:$B$1801,MATCH(B3193,Pedidos!$A$2:$A$1801,0)),0)</f>
        <v/>
      </c>
      <c r="G3193" s="25">
        <f>IF(F3193=0,"",YEAR(F3193))</f>
        <v/>
      </c>
      <c r="H3193" s="25">
        <f>IF(F3193=0,"",MONTH(F3193))</f>
        <v/>
      </c>
      <c r="I3193" s="25">
        <f>IFERROR(INDEX(Pedidos!$E$2:$E$1801,MATCH(B3193,Pedidos!$A$2:$A$1801,0)),"")</f>
        <v/>
      </c>
      <c r="J3193" s="25">
        <f>IFERROR(INDEX(Pedidos!$C$2:$C$1801,MATCH(B3193,Pedidos!$A$2:$A$1801,0)),"")</f>
        <v/>
      </c>
      <c r="K3193" s="25">
        <f>IFERROR(INDEX(Pedidos!$D$2:$D$1801,MATCH(B3193,Pedidos!$A$2:$A$1801,0)),"")</f>
        <v/>
      </c>
      <c r="L3193" s="25">
        <f>IFERROR(INDEX(Pedidos!$F$2:$F$1801,MATCH(B3193,Pedidos!$A$2:$A$1801,0)),"")</f>
        <v/>
      </c>
      <c r="M3193" s="26">
        <f>IFERROR(INDEX(Pedidos!$G$2:$G$1801,MATCH(B3193,Pedidos!$A$2:$A$1801,0)),0)</f>
        <v/>
      </c>
      <c r="N3193" s="25">
        <f>IFERROR(INDEX(Produtos!$B$2:$B$71,MATCH(C3193,Produtos!$A$2:$A$71,0)),"")</f>
        <v/>
      </c>
      <c r="O3193" s="25">
        <f>IFERROR(INDEX(Produtos!$C$2:$C$71,MATCH(C3193,Produtos!$A$2:$A$71,0)),"")</f>
        <v/>
      </c>
      <c r="P3193" s="25">
        <f>IFERROR(INDEX(Produtos!$D$2:$D$71,MATCH(C3193,Produtos!$A$2:$A$71,0)),0)</f>
        <v/>
      </c>
      <c r="Q3193" s="25">
        <f>IFERROR(INDEX(Produtos!$E$2:$E$71,MATCH(C3193,Produtos!$A$2:$A$71,0)),0)</f>
        <v/>
      </c>
      <c r="R3193" s="27">
        <f>D3193*Q3193</f>
        <v/>
      </c>
      <c r="S3193" s="27">
        <f>R3193*E3193</f>
        <v/>
      </c>
      <c r="T3193" s="27">
        <f>(R3193-S3193)*M3193</f>
        <v/>
      </c>
      <c r="U3193" s="27">
        <f>R3193-S3193-T3193</f>
        <v/>
      </c>
      <c r="V3193" s="27">
        <f>D3193*P3193</f>
        <v/>
      </c>
      <c r="W3193" s="27">
        <f>U3193-V3193</f>
        <v/>
      </c>
      <c r="X3193" s="28">
        <f>IFERROR(W3193/U3193,0)</f>
        <v/>
      </c>
    </row>
    <row r="3194">
      <c r="A3194" s="21">
        <f>ItensPedido!A3194</f>
        <v/>
      </c>
      <c r="B3194" s="21">
        <f>ItensPedido!B3194</f>
        <v/>
      </c>
      <c r="C3194" s="21">
        <f>ItensPedido!C3194</f>
        <v/>
      </c>
      <c r="D3194" s="21">
        <f>ItensPedido!D3194</f>
        <v/>
      </c>
      <c r="E3194" s="22">
        <f>ItensPedido!E3194</f>
        <v/>
      </c>
      <c r="F3194" s="21">
        <f>IFERROR(INDEX(Pedidos!$B$2:$B$1801,MATCH(B3194,Pedidos!$A$2:$A$1801,0)),0)</f>
        <v/>
      </c>
      <c r="G3194" s="21">
        <f>IF(F3194=0,"",YEAR(F3194))</f>
        <v/>
      </c>
      <c r="H3194" s="21">
        <f>IF(F3194=0,"",MONTH(F3194))</f>
        <v/>
      </c>
      <c r="I3194" s="21">
        <f>IFERROR(INDEX(Pedidos!$E$2:$E$1801,MATCH(B3194,Pedidos!$A$2:$A$1801,0)),"")</f>
        <v/>
      </c>
      <c r="J3194" s="21">
        <f>IFERROR(INDEX(Pedidos!$C$2:$C$1801,MATCH(B3194,Pedidos!$A$2:$A$1801,0)),"")</f>
        <v/>
      </c>
      <c r="K3194" s="21">
        <f>IFERROR(INDEX(Pedidos!$D$2:$D$1801,MATCH(B3194,Pedidos!$A$2:$A$1801,0)),"")</f>
        <v/>
      </c>
      <c r="L3194" s="21">
        <f>IFERROR(INDEX(Pedidos!$F$2:$F$1801,MATCH(B3194,Pedidos!$A$2:$A$1801,0)),"")</f>
        <v/>
      </c>
      <c r="M3194" s="22">
        <f>IFERROR(INDEX(Pedidos!$G$2:$G$1801,MATCH(B3194,Pedidos!$A$2:$A$1801,0)),0)</f>
        <v/>
      </c>
      <c r="N3194" s="21">
        <f>IFERROR(INDEX(Produtos!$B$2:$B$71,MATCH(C3194,Produtos!$A$2:$A$71,0)),"")</f>
        <v/>
      </c>
      <c r="O3194" s="21">
        <f>IFERROR(INDEX(Produtos!$C$2:$C$71,MATCH(C3194,Produtos!$A$2:$A$71,0)),"")</f>
        <v/>
      </c>
      <c r="P3194" s="21">
        <f>IFERROR(INDEX(Produtos!$D$2:$D$71,MATCH(C3194,Produtos!$A$2:$A$71,0)),0)</f>
        <v/>
      </c>
      <c r="Q3194" s="21">
        <f>IFERROR(INDEX(Produtos!$E$2:$E$71,MATCH(C3194,Produtos!$A$2:$A$71,0)),0)</f>
        <v/>
      </c>
      <c r="R3194" s="23">
        <f>D3194*Q3194</f>
        <v/>
      </c>
      <c r="S3194" s="23">
        <f>R3194*E3194</f>
        <v/>
      </c>
      <c r="T3194" s="23">
        <f>(R3194-S3194)*M3194</f>
        <v/>
      </c>
      <c r="U3194" s="23">
        <f>R3194-S3194-T3194</f>
        <v/>
      </c>
      <c r="V3194" s="23">
        <f>D3194*P3194</f>
        <v/>
      </c>
      <c r="W3194" s="23">
        <f>U3194-V3194</f>
        <v/>
      </c>
      <c r="X3194" s="24">
        <f>IFERROR(W3194/U3194,0)</f>
        <v/>
      </c>
    </row>
    <row r="3195">
      <c r="A3195" s="25">
        <f>ItensPedido!A3195</f>
        <v/>
      </c>
      <c r="B3195" s="25">
        <f>ItensPedido!B3195</f>
        <v/>
      </c>
      <c r="C3195" s="25">
        <f>ItensPedido!C3195</f>
        <v/>
      </c>
      <c r="D3195" s="25">
        <f>ItensPedido!D3195</f>
        <v/>
      </c>
      <c r="E3195" s="26">
        <f>ItensPedido!E3195</f>
        <v/>
      </c>
      <c r="F3195" s="25">
        <f>IFERROR(INDEX(Pedidos!$B$2:$B$1801,MATCH(B3195,Pedidos!$A$2:$A$1801,0)),0)</f>
        <v/>
      </c>
      <c r="G3195" s="25">
        <f>IF(F3195=0,"",YEAR(F3195))</f>
        <v/>
      </c>
      <c r="H3195" s="25">
        <f>IF(F3195=0,"",MONTH(F3195))</f>
        <v/>
      </c>
      <c r="I3195" s="25">
        <f>IFERROR(INDEX(Pedidos!$E$2:$E$1801,MATCH(B3195,Pedidos!$A$2:$A$1801,0)),"")</f>
        <v/>
      </c>
      <c r="J3195" s="25">
        <f>IFERROR(INDEX(Pedidos!$C$2:$C$1801,MATCH(B3195,Pedidos!$A$2:$A$1801,0)),"")</f>
        <v/>
      </c>
      <c r="K3195" s="25">
        <f>IFERROR(INDEX(Pedidos!$D$2:$D$1801,MATCH(B3195,Pedidos!$A$2:$A$1801,0)),"")</f>
        <v/>
      </c>
      <c r="L3195" s="25">
        <f>IFERROR(INDEX(Pedidos!$F$2:$F$1801,MATCH(B3195,Pedidos!$A$2:$A$1801,0)),"")</f>
        <v/>
      </c>
      <c r="M3195" s="26">
        <f>IFERROR(INDEX(Pedidos!$G$2:$G$1801,MATCH(B3195,Pedidos!$A$2:$A$1801,0)),0)</f>
        <v/>
      </c>
      <c r="N3195" s="25">
        <f>IFERROR(INDEX(Produtos!$B$2:$B$71,MATCH(C3195,Produtos!$A$2:$A$71,0)),"")</f>
        <v/>
      </c>
      <c r="O3195" s="25">
        <f>IFERROR(INDEX(Produtos!$C$2:$C$71,MATCH(C3195,Produtos!$A$2:$A$71,0)),"")</f>
        <v/>
      </c>
      <c r="P3195" s="25">
        <f>IFERROR(INDEX(Produtos!$D$2:$D$71,MATCH(C3195,Produtos!$A$2:$A$71,0)),0)</f>
        <v/>
      </c>
      <c r="Q3195" s="25">
        <f>IFERROR(INDEX(Produtos!$E$2:$E$71,MATCH(C3195,Produtos!$A$2:$A$71,0)),0)</f>
        <v/>
      </c>
      <c r="R3195" s="27">
        <f>D3195*Q3195</f>
        <v/>
      </c>
      <c r="S3195" s="27">
        <f>R3195*E3195</f>
        <v/>
      </c>
      <c r="T3195" s="27">
        <f>(R3195-S3195)*M3195</f>
        <v/>
      </c>
      <c r="U3195" s="27">
        <f>R3195-S3195-T3195</f>
        <v/>
      </c>
      <c r="V3195" s="27">
        <f>D3195*P3195</f>
        <v/>
      </c>
      <c r="W3195" s="27">
        <f>U3195-V3195</f>
        <v/>
      </c>
      <c r="X3195" s="28">
        <f>IFERROR(W3195/U3195,0)</f>
        <v/>
      </c>
    </row>
    <row r="3196">
      <c r="A3196" s="21">
        <f>ItensPedido!A3196</f>
        <v/>
      </c>
      <c r="B3196" s="21">
        <f>ItensPedido!B3196</f>
        <v/>
      </c>
      <c r="C3196" s="21">
        <f>ItensPedido!C3196</f>
        <v/>
      </c>
      <c r="D3196" s="21">
        <f>ItensPedido!D3196</f>
        <v/>
      </c>
      <c r="E3196" s="22">
        <f>ItensPedido!E3196</f>
        <v/>
      </c>
      <c r="F3196" s="21">
        <f>IFERROR(INDEX(Pedidos!$B$2:$B$1801,MATCH(B3196,Pedidos!$A$2:$A$1801,0)),0)</f>
        <v/>
      </c>
      <c r="G3196" s="21">
        <f>IF(F3196=0,"",YEAR(F3196))</f>
        <v/>
      </c>
      <c r="H3196" s="21">
        <f>IF(F3196=0,"",MONTH(F3196))</f>
        <v/>
      </c>
      <c r="I3196" s="21">
        <f>IFERROR(INDEX(Pedidos!$E$2:$E$1801,MATCH(B3196,Pedidos!$A$2:$A$1801,0)),"")</f>
        <v/>
      </c>
      <c r="J3196" s="21">
        <f>IFERROR(INDEX(Pedidos!$C$2:$C$1801,MATCH(B3196,Pedidos!$A$2:$A$1801,0)),"")</f>
        <v/>
      </c>
      <c r="K3196" s="21">
        <f>IFERROR(INDEX(Pedidos!$D$2:$D$1801,MATCH(B3196,Pedidos!$A$2:$A$1801,0)),"")</f>
        <v/>
      </c>
      <c r="L3196" s="21">
        <f>IFERROR(INDEX(Pedidos!$F$2:$F$1801,MATCH(B3196,Pedidos!$A$2:$A$1801,0)),"")</f>
        <v/>
      </c>
      <c r="M3196" s="22">
        <f>IFERROR(INDEX(Pedidos!$G$2:$G$1801,MATCH(B3196,Pedidos!$A$2:$A$1801,0)),0)</f>
        <v/>
      </c>
      <c r="N3196" s="21">
        <f>IFERROR(INDEX(Produtos!$B$2:$B$71,MATCH(C3196,Produtos!$A$2:$A$71,0)),"")</f>
        <v/>
      </c>
      <c r="O3196" s="21">
        <f>IFERROR(INDEX(Produtos!$C$2:$C$71,MATCH(C3196,Produtos!$A$2:$A$71,0)),"")</f>
        <v/>
      </c>
      <c r="P3196" s="21">
        <f>IFERROR(INDEX(Produtos!$D$2:$D$71,MATCH(C3196,Produtos!$A$2:$A$71,0)),0)</f>
        <v/>
      </c>
      <c r="Q3196" s="21">
        <f>IFERROR(INDEX(Produtos!$E$2:$E$71,MATCH(C3196,Produtos!$A$2:$A$71,0)),0)</f>
        <v/>
      </c>
      <c r="R3196" s="23">
        <f>D3196*Q3196</f>
        <v/>
      </c>
      <c r="S3196" s="23">
        <f>R3196*E3196</f>
        <v/>
      </c>
      <c r="T3196" s="23">
        <f>(R3196-S3196)*M3196</f>
        <v/>
      </c>
      <c r="U3196" s="23">
        <f>R3196-S3196-T3196</f>
        <v/>
      </c>
      <c r="V3196" s="23">
        <f>D3196*P3196</f>
        <v/>
      </c>
      <c r="W3196" s="23">
        <f>U3196-V3196</f>
        <v/>
      </c>
      <c r="X3196" s="24">
        <f>IFERROR(W3196/U3196,0)</f>
        <v/>
      </c>
    </row>
    <row r="3197">
      <c r="A3197" s="25">
        <f>ItensPedido!A3197</f>
        <v/>
      </c>
      <c r="B3197" s="25">
        <f>ItensPedido!B3197</f>
        <v/>
      </c>
      <c r="C3197" s="25">
        <f>ItensPedido!C3197</f>
        <v/>
      </c>
      <c r="D3197" s="25">
        <f>ItensPedido!D3197</f>
        <v/>
      </c>
      <c r="E3197" s="26">
        <f>ItensPedido!E3197</f>
        <v/>
      </c>
      <c r="F3197" s="25">
        <f>IFERROR(INDEX(Pedidos!$B$2:$B$1801,MATCH(B3197,Pedidos!$A$2:$A$1801,0)),0)</f>
        <v/>
      </c>
      <c r="G3197" s="25">
        <f>IF(F3197=0,"",YEAR(F3197))</f>
        <v/>
      </c>
      <c r="H3197" s="25">
        <f>IF(F3197=0,"",MONTH(F3197))</f>
        <v/>
      </c>
      <c r="I3197" s="25">
        <f>IFERROR(INDEX(Pedidos!$E$2:$E$1801,MATCH(B3197,Pedidos!$A$2:$A$1801,0)),"")</f>
        <v/>
      </c>
      <c r="J3197" s="25">
        <f>IFERROR(INDEX(Pedidos!$C$2:$C$1801,MATCH(B3197,Pedidos!$A$2:$A$1801,0)),"")</f>
        <v/>
      </c>
      <c r="K3197" s="25">
        <f>IFERROR(INDEX(Pedidos!$D$2:$D$1801,MATCH(B3197,Pedidos!$A$2:$A$1801,0)),"")</f>
        <v/>
      </c>
      <c r="L3197" s="25">
        <f>IFERROR(INDEX(Pedidos!$F$2:$F$1801,MATCH(B3197,Pedidos!$A$2:$A$1801,0)),"")</f>
        <v/>
      </c>
      <c r="M3197" s="26">
        <f>IFERROR(INDEX(Pedidos!$G$2:$G$1801,MATCH(B3197,Pedidos!$A$2:$A$1801,0)),0)</f>
        <v/>
      </c>
      <c r="N3197" s="25">
        <f>IFERROR(INDEX(Produtos!$B$2:$B$71,MATCH(C3197,Produtos!$A$2:$A$71,0)),"")</f>
        <v/>
      </c>
      <c r="O3197" s="25">
        <f>IFERROR(INDEX(Produtos!$C$2:$C$71,MATCH(C3197,Produtos!$A$2:$A$71,0)),"")</f>
        <v/>
      </c>
      <c r="P3197" s="25">
        <f>IFERROR(INDEX(Produtos!$D$2:$D$71,MATCH(C3197,Produtos!$A$2:$A$71,0)),0)</f>
        <v/>
      </c>
      <c r="Q3197" s="25">
        <f>IFERROR(INDEX(Produtos!$E$2:$E$71,MATCH(C3197,Produtos!$A$2:$A$71,0)),0)</f>
        <v/>
      </c>
      <c r="R3197" s="27">
        <f>D3197*Q3197</f>
        <v/>
      </c>
      <c r="S3197" s="27">
        <f>R3197*E3197</f>
        <v/>
      </c>
      <c r="T3197" s="27">
        <f>(R3197-S3197)*M3197</f>
        <v/>
      </c>
      <c r="U3197" s="27">
        <f>R3197-S3197-T3197</f>
        <v/>
      </c>
      <c r="V3197" s="27">
        <f>D3197*P3197</f>
        <v/>
      </c>
      <c r="W3197" s="27">
        <f>U3197-V3197</f>
        <v/>
      </c>
      <c r="X3197" s="28">
        <f>IFERROR(W3197/U3197,0)</f>
        <v/>
      </c>
    </row>
    <row r="3198">
      <c r="A3198" s="21">
        <f>ItensPedido!A3198</f>
        <v/>
      </c>
      <c r="B3198" s="21">
        <f>ItensPedido!B3198</f>
        <v/>
      </c>
      <c r="C3198" s="21">
        <f>ItensPedido!C3198</f>
        <v/>
      </c>
      <c r="D3198" s="21">
        <f>ItensPedido!D3198</f>
        <v/>
      </c>
      <c r="E3198" s="22">
        <f>ItensPedido!E3198</f>
        <v/>
      </c>
      <c r="F3198" s="21">
        <f>IFERROR(INDEX(Pedidos!$B$2:$B$1801,MATCH(B3198,Pedidos!$A$2:$A$1801,0)),0)</f>
        <v/>
      </c>
      <c r="G3198" s="21">
        <f>IF(F3198=0,"",YEAR(F3198))</f>
        <v/>
      </c>
      <c r="H3198" s="21">
        <f>IF(F3198=0,"",MONTH(F3198))</f>
        <v/>
      </c>
      <c r="I3198" s="21">
        <f>IFERROR(INDEX(Pedidos!$E$2:$E$1801,MATCH(B3198,Pedidos!$A$2:$A$1801,0)),"")</f>
        <v/>
      </c>
      <c r="J3198" s="21">
        <f>IFERROR(INDEX(Pedidos!$C$2:$C$1801,MATCH(B3198,Pedidos!$A$2:$A$1801,0)),"")</f>
        <v/>
      </c>
      <c r="K3198" s="21">
        <f>IFERROR(INDEX(Pedidos!$D$2:$D$1801,MATCH(B3198,Pedidos!$A$2:$A$1801,0)),"")</f>
        <v/>
      </c>
      <c r="L3198" s="21">
        <f>IFERROR(INDEX(Pedidos!$F$2:$F$1801,MATCH(B3198,Pedidos!$A$2:$A$1801,0)),"")</f>
        <v/>
      </c>
      <c r="M3198" s="22">
        <f>IFERROR(INDEX(Pedidos!$G$2:$G$1801,MATCH(B3198,Pedidos!$A$2:$A$1801,0)),0)</f>
        <v/>
      </c>
      <c r="N3198" s="21">
        <f>IFERROR(INDEX(Produtos!$B$2:$B$71,MATCH(C3198,Produtos!$A$2:$A$71,0)),"")</f>
        <v/>
      </c>
      <c r="O3198" s="21">
        <f>IFERROR(INDEX(Produtos!$C$2:$C$71,MATCH(C3198,Produtos!$A$2:$A$71,0)),"")</f>
        <v/>
      </c>
      <c r="P3198" s="21">
        <f>IFERROR(INDEX(Produtos!$D$2:$D$71,MATCH(C3198,Produtos!$A$2:$A$71,0)),0)</f>
        <v/>
      </c>
      <c r="Q3198" s="21">
        <f>IFERROR(INDEX(Produtos!$E$2:$E$71,MATCH(C3198,Produtos!$A$2:$A$71,0)),0)</f>
        <v/>
      </c>
      <c r="R3198" s="23">
        <f>D3198*Q3198</f>
        <v/>
      </c>
      <c r="S3198" s="23">
        <f>R3198*E3198</f>
        <v/>
      </c>
      <c r="T3198" s="23">
        <f>(R3198-S3198)*M3198</f>
        <v/>
      </c>
      <c r="U3198" s="23">
        <f>R3198-S3198-T3198</f>
        <v/>
      </c>
      <c r="V3198" s="23">
        <f>D3198*P3198</f>
        <v/>
      </c>
      <c r="W3198" s="23">
        <f>U3198-V3198</f>
        <v/>
      </c>
      <c r="X3198" s="24">
        <f>IFERROR(W3198/U3198,0)</f>
        <v/>
      </c>
    </row>
    <row r="3199">
      <c r="A3199" s="25">
        <f>ItensPedido!A3199</f>
        <v/>
      </c>
      <c r="B3199" s="25">
        <f>ItensPedido!B3199</f>
        <v/>
      </c>
      <c r="C3199" s="25">
        <f>ItensPedido!C3199</f>
        <v/>
      </c>
      <c r="D3199" s="25">
        <f>ItensPedido!D3199</f>
        <v/>
      </c>
      <c r="E3199" s="26">
        <f>ItensPedido!E3199</f>
        <v/>
      </c>
      <c r="F3199" s="25">
        <f>IFERROR(INDEX(Pedidos!$B$2:$B$1801,MATCH(B3199,Pedidos!$A$2:$A$1801,0)),0)</f>
        <v/>
      </c>
      <c r="G3199" s="25">
        <f>IF(F3199=0,"",YEAR(F3199))</f>
        <v/>
      </c>
      <c r="H3199" s="25">
        <f>IF(F3199=0,"",MONTH(F3199))</f>
        <v/>
      </c>
      <c r="I3199" s="25">
        <f>IFERROR(INDEX(Pedidos!$E$2:$E$1801,MATCH(B3199,Pedidos!$A$2:$A$1801,0)),"")</f>
        <v/>
      </c>
      <c r="J3199" s="25">
        <f>IFERROR(INDEX(Pedidos!$C$2:$C$1801,MATCH(B3199,Pedidos!$A$2:$A$1801,0)),"")</f>
        <v/>
      </c>
      <c r="K3199" s="25">
        <f>IFERROR(INDEX(Pedidos!$D$2:$D$1801,MATCH(B3199,Pedidos!$A$2:$A$1801,0)),"")</f>
        <v/>
      </c>
      <c r="L3199" s="25">
        <f>IFERROR(INDEX(Pedidos!$F$2:$F$1801,MATCH(B3199,Pedidos!$A$2:$A$1801,0)),"")</f>
        <v/>
      </c>
      <c r="M3199" s="26">
        <f>IFERROR(INDEX(Pedidos!$G$2:$G$1801,MATCH(B3199,Pedidos!$A$2:$A$1801,0)),0)</f>
        <v/>
      </c>
      <c r="N3199" s="25">
        <f>IFERROR(INDEX(Produtos!$B$2:$B$71,MATCH(C3199,Produtos!$A$2:$A$71,0)),"")</f>
        <v/>
      </c>
      <c r="O3199" s="25">
        <f>IFERROR(INDEX(Produtos!$C$2:$C$71,MATCH(C3199,Produtos!$A$2:$A$71,0)),"")</f>
        <v/>
      </c>
      <c r="P3199" s="25">
        <f>IFERROR(INDEX(Produtos!$D$2:$D$71,MATCH(C3199,Produtos!$A$2:$A$71,0)),0)</f>
        <v/>
      </c>
      <c r="Q3199" s="25">
        <f>IFERROR(INDEX(Produtos!$E$2:$E$71,MATCH(C3199,Produtos!$A$2:$A$71,0)),0)</f>
        <v/>
      </c>
      <c r="R3199" s="27">
        <f>D3199*Q3199</f>
        <v/>
      </c>
      <c r="S3199" s="27">
        <f>R3199*E3199</f>
        <v/>
      </c>
      <c r="T3199" s="27">
        <f>(R3199-S3199)*M3199</f>
        <v/>
      </c>
      <c r="U3199" s="27">
        <f>R3199-S3199-T3199</f>
        <v/>
      </c>
      <c r="V3199" s="27">
        <f>D3199*P3199</f>
        <v/>
      </c>
      <c r="W3199" s="27">
        <f>U3199-V3199</f>
        <v/>
      </c>
      <c r="X3199" s="28">
        <f>IFERROR(W3199/U3199,0)</f>
        <v/>
      </c>
    </row>
    <row r="3200">
      <c r="A3200" s="21">
        <f>ItensPedido!A3200</f>
        <v/>
      </c>
      <c r="B3200" s="21">
        <f>ItensPedido!B3200</f>
        <v/>
      </c>
      <c r="C3200" s="21">
        <f>ItensPedido!C3200</f>
        <v/>
      </c>
      <c r="D3200" s="21">
        <f>ItensPedido!D3200</f>
        <v/>
      </c>
      <c r="E3200" s="22">
        <f>ItensPedido!E3200</f>
        <v/>
      </c>
      <c r="F3200" s="21">
        <f>IFERROR(INDEX(Pedidos!$B$2:$B$1801,MATCH(B3200,Pedidos!$A$2:$A$1801,0)),0)</f>
        <v/>
      </c>
      <c r="G3200" s="21">
        <f>IF(F3200=0,"",YEAR(F3200))</f>
        <v/>
      </c>
      <c r="H3200" s="21">
        <f>IF(F3200=0,"",MONTH(F3200))</f>
        <v/>
      </c>
      <c r="I3200" s="21">
        <f>IFERROR(INDEX(Pedidos!$E$2:$E$1801,MATCH(B3200,Pedidos!$A$2:$A$1801,0)),"")</f>
        <v/>
      </c>
      <c r="J3200" s="21">
        <f>IFERROR(INDEX(Pedidos!$C$2:$C$1801,MATCH(B3200,Pedidos!$A$2:$A$1801,0)),"")</f>
        <v/>
      </c>
      <c r="K3200" s="21">
        <f>IFERROR(INDEX(Pedidos!$D$2:$D$1801,MATCH(B3200,Pedidos!$A$2:$A$1801,0)),"")</f>
        <v/>
      </c>
      <c r="L3200" s="21">
        <f>IFERROR(INDEX(Pedidos!$F$2:$F$1801,MATCH(B3200,Pedidos!$A$2:$A$1801,0)),"")</f>
        <v/>
      </c>
      <c r="M3200" s="22">
        <f>IFERROR(INDEX(Pedidos!$G$2:$G$1801,MATCH(B3200,Pedidos!$A$2:$A$1801,0)),0)</f>
        <v/>
      </c>
      <c r="N3200" s="21">
        <f>IFERROR(INDEX(Produtos!$B$2:$B$71,MATCH(C3200,Produtos!$A$2:$A$71,0)),"")</f>
        <v/>
      </c>
      <c r="O3200" s="21">
        <f>IFERROR(INDEX(Produtos!$C$2:$C$71,MATCH(C3200,Produtos!$A$2:$A$71,0)),"")</f>
        <v/>
      </c>
      <c r="P3200" s="21">
        <f>IFERROR(INDEX(Produtos!$D$2:$D$71,MATCH(C3200,Produtos!$A$2:$A$71,0)),0)</f>
        <v/>
      </c>
      <c r="Q3200" s="21">
        <f>IFERROR(INDEX(Produtos!$E$2:$E$71,MATCH(C3200,Produtos!$A$2:$A$71,0)),0)</f>
        <v/>
      </c>
      <c r="R3200" s="23">
        <f>D3200*Q3200</f>
        <v/>
      </c>
      <c r="S3200" s="23">
        <f>R3200*E3200</f>
        <v/>
      </c>
      <c r="T3200" s="23">
        <f>(R3200-S3200)*M3200</f>
        <v/>
      </c>
      <c r="U3200" s="23">
        <f>R3200-S3200-T3200</f>
        <v/>
      </c>
      <c r="V3200" s="23">
        <f>D3200*P3200</f>
        <v/>
      </c>
      <c r="W3200" s="23">
        <f>U3200-V3200</f>
        <v/>
      </c>
      <c r="X3200" s="24">
        <f>IFERROR(W3200/U3200,0)</f>
        <v/>
      </c>
    </row>
    <row r="3201">
      <c r="A3201" s="25">
        <f>ItensPedido!A3201</f>
        <v/>
      </c>
      <c r="B3201" s="25">
        <f>ItensPedido!B3201</f>
        <v/>
      </c>
      <c r="C3201" s="25">
        <f>ItensPedido!C3201</f>
        <v/>
      </c>
      <c r="D3201" s="25">
        <f>ItensPedido!D3201</f>
        <v/>
      </c>
      <c r="E3201" s="26">
        <f>ItensPedido!E3201</f>
        <v/>
      </c>
      <c r="F3201" s="25">
        <f>IFERROR(INDEX(Pedidos!$B$2:$B$1801,MATCH(B3201,Pedidos!$A$2:$A$1801,0)),0)</f>
        <v/>
      </c>
      <c r="G3201" s="25">
        <f>IF(F3201=0,"",YEAR(F3201))</f>
        <v/>
      </c>
      <c r="H3201" s="25">
        <f>IF(F3201=0,"",MONTH(F3201))</f>
        <v/>
      </c>
      <c r="I3201" s="25">
        <f>IFERROR(INDEX(Pedidos!$E$2:$E$1801,MATCH(B3201,Pedidos!$A$2:$A$1801,0)),"")</f>
        <v/>
      </c>
      <c r="J3201" s="25">
        <f>IFERROR(INDEX(Pedidos!$C$2:$C$1801,MATCH(B3201,Pedidos!$A$2:$A$1801,0)),"")</f>
        <v/>
      </c>
      <c r="K3201" s="25">
        <f>IFERROR(INDEX(Pedidos!$D$2:$D$1801,MATCH(B3201,Pedidos!$A$2:$A$1801,0)),"")</f>
        <v/>
      </c>
      <c r="L3201" s="25">
        <f>IFERROR(INDEX(Pedidos!$F$2:$F$1801,MATCH(B3201,Pedidos!$A$2:$A$1801,0)),"")</f>
        <v/>
      </c>
      <c r="M3201" s="26">
        <f>IFERROR(INDEX(Pedidos!$G$2:$G$1801,MATCH(B3201,Pedidos!$A$2:$A$1801,0)),0)</f>
        <v/>
      </c>
      <c r="N3201" s="25">
        <f>IFERROR(INDEX(Produtos!$B$2:$B$71,MATCH(C3201,Produtos!$A$2:$A$71,0)),"")</f>
        <v/>
      </c>
      <c r="O3201" s="25">
        <f>IFERROR(INDEX(Produtos!$C$2:$C$71,MATCH(C3201,Produtos!$A$2:$A$71,0)),"")</f>
        <v/>
      </c>
      <c r="P3201" s="25">
        <f>IFERROR(INDEX(Produtos!$D$2:$D$71,MATCH(C3201,Produtos!$A$2:$A$71,0)),0)</f>
        <v/>
      </c>
      <c r="Q3201" s="25">
        <f>IFERROR(INDEX(Produtos!$E$2:$E$71,MATCH(C3201,Produtos!$A$2:$A$71,0)),0)</f>
        <v/>
      </c>
      <c r="R3201" s="27">
        <f>D3201*Q3201</f>
        <v/>
      </c>
      <c r="S3201" s="27">
        <f>R3201*E3201</f>
        <v/>
      </c>
      <c r="T3201" s="27">
        <f>(R3201-S3201)*M3201</f>
        <v/>
      </c>
      <c r="U3201" s="27">
        <f>R3201-S3201-T3201</f>
        <v/>
      </c>
      <c r="V3201" s="27">
        <f>D3201*P3201</f>
        <v/>
      </c>
      <c r="W3201" s="27">
        <f>U3201-V3201</f>
        <v/>
      </c>
      <c r="X3201" s="28">
        <f>IFERROR(W3201/U3201,0)</f>
        <v/>
      </c>
    </row>
    <row r="3202">
      <c r="A3202" s="21">
        <f>ItensPedido!A3202</f>
        <v/>
      </c>
      <c r="B3202" s="21">
        <f>ItensPedido!B3202</f>
        <v/>
      </c>
      <c r="C3202" s="21">
        <f>ItensPedido!C3202</f>
        <v/>
      </c>
      <c r="D3202" s="21">
        <f>ItensPedido!D3202</f>
        <v/>
      </c>
      <c r="E3202" s="22">
        <f>ItensPedido!E3202</f>
        <v/>
      </c>
      <c r="F3202" s="21">
        <f>IFERROR(INDEX(Pedidos!$B$2:$B$1801,MATCH(B3202,Pedidos!$A$2:$A$1801,0)),0)</f>
        <v/>
      </c>
      <c r="G3202" s="21">
        <f>IF(F3202=0,"",YEAR(F3202))</f>
        <v/>
      </c>
      <c r="H3202" s="21">
        <f>IF(F3202=0,"",MONTH(F3202))</f>
        <v/>
      </c>
      <c r="I3202" s="21">
        <f>IFERROR(INDEX(Pedidos!$E$2:$E$1801,MATCH(B3202,Pedidos!$A$2:$A$1801,0)),"")</f>
        <v/>
      </c>
      <c r="J3202" s="21">
        <f>IFERROR(INDEX(Pedidos!$C$2:$C$1801,MATCH(B3202,Pedidos!$A$2:$A$1801,0)),"")</f>
        <v/>
      </c>
      <c r="K3202" s="21">
        <f>IFERROR(INDEX(Pedidos!$D$2:$D$1801,MATCH(B3202,Pedidos!$A$2:$A$1801,0)),"")</f>
        <v/>
      </c>
      <c r="L3202" s="21">
        <f>IFERROR(INDEX(Pedidos!$F$2:$F$1801,MATCH(B3202,Pedidos!$A$2:$A$1801,0)),"")</f>
        <v/>
      </c>
      <c r="M3202" s="22">
        <f>IFERROR(INDEX(Pedidos!$G$2:$G$1801,MATCH(B3202,Pedidos!$A$2:$A$1801,0)),0)</f>
        <v/>
      </c>
      <c r="N3202" s="21">
        <f>IFERROR(INDEX(Produtos!$B$2:$B$71,MATCH(C3202,Produtos!$A$2:$A$71,0)),"")</f>
        <v/>
      </c>
      <c r="O3202" s="21">
        <f>IFERROR(INDEX(Produtos!$C$2:$C$71,MATCH(C3202,Produtos!$A$2:$A$71,0)),"")</f>
        <v/>
      </c>
      <c r="P3202" s="21">
        <f>IFERROR(INDEX(Produtos!$D$2:$D$71,MATCH(C3202,Produtos!$A$2:$A$71,0)),0)</f>
        <v/>
      </c>
      <c r="Q3202" s="21">
        <f>IFERROR(INDEX(Produtos!$E$2:$E$71,MATCH(C3202,Produtos!$A$2:$A$71,0)),0)</f>
        <v/>
      </c>
      <c r="R3202" s="23">
        <f>D3202*Q3202</f>
        <v/>
      </c>
      <c r="S3202" s="23">
        <f>R3202*E3202</f>
        <v/>
      </c>
      <c r="T3202" s="23">
        <f>(R3202-S3202)*M3202</f>
        <v/>
      </c>
      <c r="U3202" s="23">
        <f>R3202-S3202-T3202</f>
        <v/>
      </c>
      <c r="V3202" s="23">
        <f>D3202*P3202</f>
        <v/>
      </c>
      <c r="W3202" s="23">
        <f>U3202-V3202</f>
        <v/>
      </c>
      <c r="X3202" s="24">
        <f>IFERROR(W3202/U3202,0)</f>
        <v/>
      </c>
    </row>
    <row r="3203">
      <c r="A3203" s="25">
        <f>ItensPedido!A3203</f>
        <v/>
      </c>
      <c r="B3203" s="25">
        <f>ItensPedido!B3203</f>
        <v/>
      </c>
      <c r="C3203" s="25">
        <f>ItensPedido!C3203</f>
        <v/>
      </c>
      <c r="D3203" s="25">
        <f>ItensPedido!D3203</f>
        <v/>
      </c>
      <c r="E3203" s="26">
        <f>ItensPedido!E3203</f>
        <v/>
      </c>
      <c r="F3203" s="25">
        <f>IFERROR(INDEX(Pedidos!$B$2:$B$1801,MATCH(B3203,Pedidos!$A$2:$A$1801,0)),0)</f>
        <v/>
      </c>
      <c r="G3203" s="25">
        <f>IF(F3203=0,"",YEAR(F3203))</f>
        <v/>
      </c>
      <c r="H3203" s="25">
        <f>IF(F3203=0,"",MONTH(F3203))</f>
        <v/>
      </c>
      <c r="I3203" s="25">
        <f>IFERROR(INDEX(Pedidos!$E$2:$E$1801,MATCH(B3203,Pedidos!$A$2:$A$1801,0)),"")</f>
        <v/>
      </c>
      <c r="J3203" s="25">
        <f>IFERROR(INDEX(Pedidos!$C$2:$C$1801,MATCH(B3203,Pedidos!$A$2:$A$1801,0)),"")</f>
        <v/>
      </c>
      <c r="K3203" s="25">
        <f>IFERROR(INDEX(Pedidos!$D$2:$D$1801,MATCH(B3203,Pedidos!$A$2:$A$1801,0)),"")</f>
        <v/>
      </c>
      <c r="L3203" s="25">
        <f>IFERROR(INDEX(Pedidos!$F$2:$F$1801,MATCH(B3203,Pedidos!$A$2:$A$1801,0)),"")</f>
        <v/>
      </c>
      <c r="M3203" s="26">
        <f>IFERROR(INDEX(Pedidos!$G$2:$G$1801,MATCH(B3203,Pedidos!$A$2:$A$1801,0)),0)</f>
        <v/>
      </c>
      <c r="N3203" s="25">
        <f>IFERROR(INDEX(Produtos!$B$2:$B$71,MATCH(C3203,Produtos!$A$2:$A$71,0)),"")</f>
        <v/>
      </c>
      <c r="O3203" s="25">
        <f>IFERROR(INDEX(Produtos!$C$2:$C$71,MATCH(C3203,Produtos!$A$2:$A$71,0)),"")</f>
        <v/>
      </c>
      <c r="P3203" s="25">
        <f>IFERROR(INDEX(Produtos!$D$2:$D$71,MATCH(C3203,Produtos!$A$2:$A$71,0)),0)</f>
        <v/>
      </c>
      <c r="Q3203" s="25">
        <f>IFERROR(INDEX(Produtos!$E$2:$E$71,MATCH(C3203,Produtos!$A$2:$A$71,0)),0)</f>
        <v/>
      </c>
      <c r="R3203" s="27">
        <f>D3203*Q3203</f>
        <v/>
      </c>
      <c r="S3203" s="27">
        <f>R3203*E3203</f>
        <v/>
      </c>
      <c r="T3203" s="27">
        <f>(R3203-S3203)*M3203</f>
        <v/>
      </c>
      <c r="U3203" s="27">
        <f>R3203-S3203-T3203</f>
        <v/>
      </c>
      <c r="V3203" s="27">
        <f>D3203*P3203</f>
        <v/>
      </c>
      <c r="W3203" s="27">
        <f>U3203-V3203</f>
        <v/>
      </c>
      <c r="X3203" s="28">
        <f>IFERROR(W3203/U3203,0)</f>
        <v/>
      </c>
    </row>
    <row r="3204">
      <c r="A3204" s="21">
        <f>ItensPedido!A3204</f>
        <v/>
      </c>
      <c r="B3204" s="21">
        <f>ItensPedido!B3204</f>
        <v/>
      </c>
      <c r="C3204" s="21">
        <f>ItensPedido!C3204</f>
        <v/>
      </c>
      <c r="D3204" s="21">
        <f>ItensPedido!D3204</f>
        <v/>
      </c>
      <c r="E3204" s="22">
        <f>ItensPedido!E3204</f>
        <v/>
      </c>
      <c r="F3204" s="21">
        <f>IFERROR(INDEX(Pedidos!$B$2:$B$1801,MATCH(B3204,Pedidos!$A$2:$A$1801,0)),0)</f>
        <v/>
      </c>
      <c r="G3204" s="21">
        <f>IF(F3204=0,"",YEAR(F3204))</f>
        <v/>
      </c>
      <c r="H3204" s="21">
        <f>IF(F3204=0,"",MONTH(F3204))</f>
        <v/>
      </c>
      <c r="I3204" s="21">
        <f>IFERROR(INDEX(Pedidos!$E$2:$E$1801,MATCH(B3204,Pedidos!$A$2:$A$1801,0)),"")</f>
        <v/>
      </c>
      <c r="J3204" s="21">
        <f>IFERROR(INDEX(Pedidos!$C$2:$C$1801,MATCH(B3204,Pedidos!$A$2:$A$1801,0)),"")</f>
        <v/>
      </c>
      <c r="K3204" s="21">
        <f>IFERROR(INDEX(Pedidos!$D$2:$D$1801,MATCH(B3204,Pedidos!$A$2:$A$1801,0)),"")</f>
        <v/>
      </c>
      <c r="L3204" s="21">
        <f>IFERROR(INDEX(Pedidos!$F$2:$F$1801,MATCH(B3204,Pedidos!$A$2:$A$1801,0)),"")</f>
        <v/>
      </c>
      <c r="M3204" s="22">
        <f>IFERROR(INDEX(Pedidos!$G$2:$G$1801,MATCH(B3204,Pedidos!$A$2:$A$1801,0)),0)</f>
        <v/>
      </c>
      <c r="N3204" s="21">
        <f>IFERROR(INDEX(Produtos!$B$2:$B$71,MATCH(C3204,Produtos!$A$2:$A$71,0)),"")</f>
        <v/>
      </c>
      <c r="O3204" s="21">
        <f>IFERROR(INDEX(Produtos!$C$2:$C$71,MATCH(C3204,Produtos!$A$2:$A$71,0)),"")</f>
        <v/>
      </c>
      <c r="P3204" s="21">
        <f>IFERROR(INDEX(Produtos!$D$2:$D$71,MATCH(C3204,Produtos!$A$2:$A$71,0)),0)</f>
        <v/>
      </c>
      <c r="Q3204" s="21">
        <f>IFERROR(INDEX(Produtos!$E$2:$E$71,MATCH(C3204,Produtos!$A$2:$A$71,0)),0)</f>
        <v/>
      </c>
      <c r="R3204" s="23">
        <f>D3204*Q3204</f>
        <v/>
      </c>
      <c r="S3204" s="23">
        <f>R3204*E3204</f>
        <v/>
      </c>
      <c r="T3204" s="23">
        <f>(R3204-S3204)*M3204</f>
        <v/>
      </c>
      <c r="U3204" s="23">
        <f>R3204-S3204-T3204</f>
        <v/>
      </c>
      <c r="V3204" s="23">
        <f>D3204*P3204</f>
        <v/>
      </c>
      <c r="W3204" s="23">
        <f>U3204-V3204</f>
        <v/>
      </c>
      <c r="X3204" s="24">
        <f>IFERROR(W3204/U3204,0)</f>
        <v/>
      </c>
    </row>
    <row r="3205">
      <c r="A3205" s="25">
        <f>ItensPedido!A3205</f>
        <v/>
      </c>
      <c r="B3205" s="25">
        <f>ItensPedido!B3205</f>
        <v/>
      </c>
      <c r="C3205" s="25">
        <f>ItensPedido!C3205</f>
        <v/>
      </c>
      <c r="D3205" s="25">
        <f>ItensPedido!D3205</f>
        <v/>
      </c>
      <c r="E3205" s="26">
        <f>ItensPedido!E3205</f>
        <v/>
      </c>
      <c r="F3205" s="25">
        <f>IFERROR(INDEX(Pedidos!$B$2:$B$1801,MATCH(B3205,Pedidos!$A$2:$A$1801,0)),0)</f>
        <v/>
      </c>
      <c r="G3205" s="25">
        <f>IF(F3205=0,"",YEAR(F3205))</f>
        <v/>
      </c>
      <c r="H3205" s="25">
        <f>IF(F3205=0,"",MONTH(F3205))</f>
        <v/>
      </c>
      <c r="I3205" s="25">
        <f>IFERROR(INDEX(Pedidos!$E$2:$E$1801,MATCH(B3205,Pedidos!$A$2:$A$1801,0)),"")</f>
        <v/>
      </c>
      <c r="J3205" s="25">
        <f>IFERROR(INDEX(Pedidos!$C$2:$C$1801,MATCH(B3205,Pedidos!$A$2:$A$1801,0)),"")</f>
        <v/>
      </c>
      <c r="K3205" s="25">
        <f>IFERROR(INDEX(Pedidos!$D$2:$D$1801,MATCH(B3205,Pedidos!$A$2:$A$1801,0)),"")</f>
        <v/>
      </c>
      <c r="L3205" s="25">
        <f>IFERROR(INDEX(Pedidos!$F$2:$F$1801,MATCH(B3205,Pedidos!$A$2:$A$1801,0)),"")</f>
        <v/>
      </c>
      <c r="M3205" s="26">
        <f>IFERROR(INDEX(Pedidos!$G$2:$G$1801,MATCH(B3205,Pedidos!$A$2:$A$1801,0)),0)</f>
        <v/>
      </c>
      <c r="N3205" s="25">
        <f>IFERROR(INDEX(Produtos!$B$2:$B$71,MATCH(C3205,Produtos!$A$2:$A$71,0)),"")</f>
        <v/>
      </c>
      <c r="O3205" s="25">
        <f>IFERROR(INDEX(Produtos!$C$2:$C$71,MATCH(C3205,Produtos!$A$2:$A$71,0)),"")</f>
        <v/>
      </c>
      <c r="P3205" s="25">
        <f>IFERROR(INDEX(Produtos!$D$2:$D$71,MATCH(C3205,Produtos!$A$2:$A$71,0)),0)</f>
        <v/>
      </c>
      <c r="Q3205" s="25">
        <f>IFERROR(INDEX(Produtos!$E$2:$E$71,MATCH(C3205,Produtos!$A$2:$A$71,0)),0)</f>
        <v/>
      </c>
      <c r="R3205" s="27">
        <f>D3205*Q3205</f>
        <v/>
      </c>
      <c r="S3205" s="27">
        <f>R3205*E3205</f>
        <v/>
      </c>
      <c r="T3205" s="27">
        <f>(R3205-S3205)*M3205</f>
        <v/>
      </c>
      <c r="U3205" s="27">
        <f>R3205-S3205-T3205</f>
        <v/>
      </c>
      <c r="V3205" s="27">
        <f>D3205*P3205</f>
        <v/>
      </c>
      <c r="W3205" s="27">
        <f>U3205-V3205</f>
        <v/>
      </c>
      <c r="X3205" s="28">
        <f>IFERROR(W3205/U3205,0)</f>
        <v/>
      </c>
    </row>
    <row r="3206">
      <c r="A3206" s="21">
        <f>ItensPedido!A3206</f>
        <v/>
      </c>
      <c r="B3206" s="21">
        <f>ItensPedido!B3206</f>
        <v/>
      </c>
      <c r="C3206" s="21">
        <f>ItensPedido!C3206</f>
        <v/>
      </c>
      <c r="D3206" s="21">
        <f>ItensPedido!D3206</f>
        <v/>
      </c>
      <c r="E3206" s="22">
        <f>ItensPedido!E3206</f>
        <v/>
      </c>
      <c r="F3206" s="21">
        <f>IFERROR(INDEX(Pedidos!$B$2:$B$1801,MATCH(B3206,Pedidos!$A$2:$A$1801,0)),0)</f>
        <v/>
      </c>
      <c r="G3206" s="21">
        <f>IF(F3206=0,"",YEAR(F3206))</f>
        <v/>
      </c>
      <c r="H3206" s="21">
        <f>IF(F3206=0,"",MONTH(F3206))</f>
        <v/>
      </c>
      <c r="I3206" s="21">
        <f>IFERROR(INDEX(Pedidos!$E$2:$E$1801,MATCH(B3206,Pedidos!$A$2:$A$1801,0)),"")</f>
        <v/>
      </c>
      <c r="J3206" s="21">
        <f>IFERROR(INDEX(Pedidos!$C$2:$C$1801,MATCH(B3206,Pedidos!$A$2:$A$1801,0)),"")</f>
        <v/>
      </c>
      <c r="K3206" s="21">
        <f>IFERROR(INDEX(Pedidos!$D$2:$D$1801,MATCH(B3206,Pedidos!$A$2:$A$1801,0)),"")</f>
        <v/>
      </c>
      <c r="L3206" s="21">
        <f>IFERROR(INDEX(Pedidos!$F$2:$F$1801,MATCH(B3206,Pedidos!$A$2:$A$1801,0)),"")</f>
        <v/>
      </c>
      <c r="M3206" s="22">
        <f>IFERROR(INDEX(Pedidos!$G$2:$G$1801,MATCH(B3206,Pedidos!$A$2:$A$1801,0)),0)</f>
        <v/>
      </c>
      <c r="N3206" s="21">
        <f>IFERROR(INDEX(Produtos!$B$2:$B$71,MATCH(C3206,Produtos!$A$2:$A$71,0)),"")</f>
        <v/>
      </c>
      <c r="O3206" s="21">
        <f>IFERROR(INDEX(Produtos!$C$2:$C$71,MATCH(C3206,Produtos!$A$2:$A$71,0)),"")</f>
        <v/>
      </c>
      <c r="P3206" s="21">
        <f>IFERROR(INDEX(Produtos!$D$2:$D$71,MATCH(C3206,Produtos!$A$2:$A$71,0)),0)</f>
        <v/>
      </c>
      <c r="Q3206" s="21">
        <f>IFERROR(INDEX(Produtos!$E$2:$E$71,MATCH(C3206,Produtos!$A$2:$A$71,0)),0)</f>
        <v/>
      </c>
      <c r="R3206" s="23">
        <f>D3206*Q3206</f>
        <v/>
      </c>
      <c r="S3206" s="23">
        <f>R3206*E3206</f>
        <v/>
      </c>
      <c r="T3206" s="23">
        <f>(R3206-S3206)*M3206</f>
        <v/>
      </c>
      <c r="U3206" s="23">
        <f>R3206-S3206-T3206</f>
        <v/>
      </c>
      <c r="V3206" s="23">
        <f>D3206*P3206</f>
        <v/>
      </c>
      <c r="W3206" s="23">
        <f>U3206-V3206</f>
        <v/>
      </c>
      <c r="X3206" s="24">
        <f>IFERROR(W3206/U3206,0)</f>
        <v/>
      </c>
    </row>
    <row r="3207">
      <c r="A3207" s="25">
        <f>ItensPedido!A3207</f>
        <v/>
      </c>
      <c r="B3207" s="25">
        <f>ItensPedido!B3207</f>
        <v/>
      </c>
      <c r="C3207" s="25">
        <f>ItensPedido!C3207</f>
        <v/>
      </c>
      <c r="D3207" s="25">
        <f>ItensPedido!D3207</f>
        <v/>
      </c>
      <c r="E3207" s="26">
        <f>ItensPedido!E3207</f>
        <v/>
      </c>
      <c r="F3207" s="25">
        <f>IFERROR(INDEX(Pedidos!$B$2:$B$1801,MATCH(B3207,Pedidos!$A$2:$A$1801,0)),0)</f>
        <v/>
      </c>
      <c r="G3207" s="25">
        <f>IF(F3207=0,"",YEAR(F3207))</f>
        <v/>
      </c>
      <c r="H3207" s="25">
        <f>IF(F3207=0,"",MONTH(F3207))</f>
        <v/>
      </c>
      <c r="I3207" s="25">
        <f>IFERROR(INDEX(Pedidos!$E$2:$E$1801,MATCH(B3207,Pedidos!$A$2:$A$1801,0)),"")</f>
        <v/>
      </c>
      <c r="J3207" s="25">
        <f>IFERROR(INDEX(Pedidos!$C$2:$C$1801,MATCH(B3207,Pedidos!$A$2:$A$1801,0)),"")</f>
        <v/>
      </c>
      <c r="K3207" s="25">
        <f>IFERROR(INDEX(Pedidos!$D$2:$D$1801,MATCH(B3207,Pedidos!$A$2:$A$1801,0)),"")</f>
        <v/>
      </c>
      <c r="L3207" s="25">
        <f>IFERROR(INDEX(Pedidos!$F$2:$F$1801,MATCH(B3207,Pedidos!$A$2:$A$1801,0)),"")</f>
        <v/>
      </c>
      <c r="M3207" s="26">
        <f>IFERROR(INDEX(Pedidos!$G$2:$G$1801,MATCH(B3207,Pedidos!$A$2:$A$1801,0)),0)</f>
        <v/>
      </c>
      <c r="N3207" s="25">
        <f>IFERROR(INDEX(Produtos!$B$2:$B$71,MATCH(C3207,Produtos!$A$2:$A$71,0)),"")</f>
        <v/>
      </c>
      <c r="O3207" s="25">
        <f>IFERROR(INDEX(Produtos!$C$2:$C$71,MATCH(C3207,Produtos!$A$2:$A$71,0)),"")</f>
        <v/>
      </c>
      <c r="P3207" s="25">
        <f>IFERROR(INDEX(Produtos!$D$2:$D$71,MATCH(C3207,Produtos!$A$2:$A$71,0)),0)</f>
        <v/>
      </c>
      <c r="Q3207" s="25">
        <f>IFERROR(INDEX(Produtos!$E$2:$E$71,MATCH(C3207,Produtos!$A$2:$A$71,0)),0)</f>
        <v/>
      </c>
      <c r="R3207" s="27">
        <f>D3207*Q3207</f>
        <v/>
      </c>
      <c r="S3207" s="27">
        <f>R3207*E3207</f>
        <v/>
      </c>
      <c r="T3207" s="27">
        <f>(R3207-S3207)*M3207</f>
        <v/>
      </c>
      <c r="U3207" s="27">
        <f>R3207-S3207-T3207</f>
        <v/>
      </c>
      <c r="V3207" s="27">
        <f>D3207*P3207</f>
        <v/>
      </c>
      <c r="W3207" s="27">
        <f>U3207-V3207</f>
        <v/>
      </c>
      <c r="X3207" s="28">
        <f>IFERROR(W3207/U3207,0)</f>
        <v/>
      </c>
    </row>
    <row r="3208">
      <c r="A3208" s="21">
        <f>ItensPedido!A3208</f>
        <v/>
      </c>
      <c r="B3208" s="21">
        <f>ItensPedido!B3208</f>
        <v/>
      </c>
      <c r="C3208" s="21">
        <f>ItensPedido!C3208</f>
        <v/>
      </c>
      <c r="D3208" s="21">
        <f>ItensPedido!D3208</f>
        <v/>
      </c>
      <c r="E3208" s="22">
        <f>ItensPedido!E3208</f>
        <v/>
      </c>
      <c r="F3208" s="21">
        <f>IFERROR(INDEX(Pedidos!$B$2:$B$1801,MATCH(B3208,Pedidos!$A$2:$A$1801,0)),0)</f>
        <v/>
      </c>
      <c r="G3208" s="21">
        <f>IF(F3208=0,"",YEAR(F3208))</f>
        <v/>
      </c>
      <c r="H3208" s="21">
        <f>IF(F3208=0,"",MONTH(F3208))</f>
        <v/>
      </c>
      <c r="I3208" s="21">
        <f>IFERROR(INDEX(Pedidos!$E$2:$E$1801,MATCH(B3208,Pedidos!$A$2:$A$1801,0)),"")</f>
        <v/>
      </c>
      <c r="J3208" s="21">
        <f>IFERROR(INDEX(Pedidos!$C$2:$C$1801,MATCH(B3208,Pedidos!$A$2:$A$1801,0)),"")</f>
        <v/>
      </c>
      <c r="K3208" s="21">
        <f>IFERROR(INDEX(Pedidos!$D$2:$D$1801,MATCH(B3208,Pedidos!$A$2:$A$1801,0)),"")</f>
        <v/>
      </c>
      <c r="L3208" s="21">
        <f>IFERROR(INDEX(Pedidos!$F$2:$F$1801,MATCH(B3208,Pedidos!$A$2:$A$1801,0)),"")</f>
        <v/>
      </c>
      <c r="M3208" s="22">
        <f>IFERROR(INDEX(Pedidos!$G$2:$G$1801,MATCH(B3208,Pedidos!$A$2:$A$1801,0)),0)</f>
        <v/>
      </c>
      <c r="N3208" s="21">
        <f>IFERROR(INDEX(Produtos!$B$2:$B$71,MATCH(C3208,Produtos!$A$2:$A$71,0)),"")</f>
        <v/>
      </c>
      <c r="O3208" s="21">
        <f>IFERROR(INDEX(Produtos!$C$2:$C$71,MATCH(C3208,Produtos!$A$2:$A$71,0)),"")</f>
        <v/>
      </c>
      <c r="P3208" s="21">
        <f>IFERROR(INDEX(Produtos!$D$2:$D$71,MATCH(C3208,Produtos!$A$2:$A$71,0)),0)</f>
        <v/>
      </c>
      <c r="Q3208" s="21">
        <f>IFERROR(INDEX(Produtos!$E$2:$E$71,MATCH(C3208,Produtos!$A$2:$A$71,0)),0)</f>
        <v/>
      </c>
      <c r="R3208" s="23">
        <f>D3208*Q3208</f>
        <v/>
      </c>
      <c r="S3208" s="23">
        <f>R3208*E3208</f>
        <v/>
      </c>
      <c r="T3208" s="23">
        <f>(R3208-S3208)*M3208</f>
        <v/>
      </c>
      <c r="U3208" s="23">
        <f>R3208-S3208-T3208</f>
        <v/>
      </c>
      <c r="V3208" s="23">
        <f>D3208*P3208</f>
        <v/>
      </c>
      <c r="W3208" s="23">
        <f>U3208-V3208</f>
        <v/>
      </c>
      <c r="X3208" s="24">
        <f>IFERROR(W3208/U3208,0)</f>
        <v/>
      </c>
    </row>
    <row r="3209">
      <c r="A3209" s="25">
        <f>ItensPedido!A3209</f>
        <v/>
      </c>
      <c r="B3209" s="25">
        <f>ItensPedido!B3209</f>
        <v/>
      </c>
      <c r="C3209" s="25">
        <f>ItensPedido!C3209</f>
        <v/>
      </c>
      <c r="D3209" s="25">
        <f>ItensPedido!D3209</f>
        <v/>
      </c>
      <c r="E3209" s="26">
        <f>ItensPedido!E3209</f>
        <v/>
      </c>
      <c r="F3209" s="25">
        <f>IFERROR(INDEX(Pedidos!$B$2:$B$1801,MATCH(B3209,Pedidos!$A$2:$A$1801,0)),0)</f>
        <v/>
      </c>
      <c r="G3209" s="25">
        <f>IF(F3209=0,"",YEAR(F3209))</f>
        <v/>
      </c>
      <c r="H3209" s="25">
        <f>IF(F3209=0,"",MONTH(F3209))</f>
        <v/>
      </c>
      <c r="I3209" s="25">
        <f>IFERROR(INDEX(Pedidos!$E$2:$E$1801,MATCH(B3209,Pedidos!$A$2:$A$1801,0)),"")</f>
        <v/>
      </c>
      <c r="J3209" s="25">
        <f>IFERROR(INDEX(Pedidos!$C$2:$C$1801,MATCH(B3209,Pedidos!$A$2:$A$1801,0)),"")</f>
        <v/>
      </c>
      <c r="K3209" s="25">
        <f>IFERROR(INDEX(Pedidos!$D$2:$D$1801,MATCH(B3209,Pedidos!$A$2:$A$1801,0)),"")</f>
        <v/>
      </c>
      <c r="L3209" s="25">
        <f>IFERROR(INDEX(Pedidos!$F$2:$F$1801,MATCH(B3209,Pedidos!$A$2:$A$1801,0)),"")</f>
        <v/>
      </c>
      <c r="M3209" s="26">
        <f>IFERROR(INDEX(Pedidos!$G$2:$G$1801,MATCH(B3209,Pedidos!$A$2:$A$1801,0)),0)</f>
        <v/>
      </c>
      <c r="N3209" s="25">
        <f>IFERROR(INDEX(Produtos!$B$2:$B$71,MATCH(C3209,Produtos!$A$2:$A$71,0)),"")</f>
        <v/>
      </c>
      <c r="O3209" s="25">
        <f>IFERROR(INDEX(Produtos!$C$2:$C$71,MATCH(C3209,Produtos!$A$2:$A$71,0)),"")</f>
        <v/>
      </c>
      <c r="P3209" s="25">
        <f>IFERROR(INDEX(Produtos!$D$2:$D$71,MATCH(C3209,Produtos!$A$2:$A$71,0)),0)</f>
        <v/>
      </c>
      <c r="Q3209" s="25">
        <f>IFERROR(INDEX(Produtos!$E$2:$E$71,MATCH(C3209,Produtos!$A$2:$A$71,0)),0)</f>
        <v/>
      </c>
      <c r="R3209" s="27">
        <f>D3209*Q3209</f>
        <v/>
      </c>
      <c r="S3209" s="27">
        <f>R3209*E3209</f>
        <v/>
      </c>
      <c r="T3209" s="27">
        <f>(R3209-S3209)*M3209</f>
        <v/>
      </c>
      <c r="U3209" s="27">
        <f>R3209-S3209-T3209</f>
        <v/>
      </c>
      <c r="V3209" s="27">
        <f>D3209*P3209</f>
        <v/>
      </c>
      <c r="W3209" s="27">
        <f>U3209-V3209</f>
        <v/>
      </c>
      <c r="X3209" s="28">
        <f>IFERROR(W3209/U3209,0)</f>
        <v/>
      </c>
    </row>
    <row r="3210">
      <c r="A3210" s="21">
        <f>ItensPedido!A3210</f>
        <v/>
      </c>
      <c r="B3210" s="21">
        <f>ItensPedido!B3210</f>
        <v/>
      </c>
      <c r="C3210" s="21">
        <f>ItensPedido!C3210</f>
        <v/>
      </c>
      <c r="D3210" s="21">
        <f>ItensPedido!D3210</f>
        <v/>
      </c>
      <c r="E3210" s="22">
        <f>ItensPedido!E3210</f>
        <v/>
      </c>
      <c r="F3210" s="21">
        <f>IFERROR(INDEX(Pedidos!$B$2:$B$1801,MATCH(B3210,Pedidos!$A$2:$A$1801,0)),0)</f>
        <v/>
      </c>
      <c r="G3210" s="21">
        <f>IF(F3210=0,"",YEAR(F3210))</f>
        <v/>
      </c>
      <c r="H3210" s="21">
        <f>IF(F3210=0,"",MONTH(F3210))</f>
        <v/>
      </c>
      <c r="I3210" s="21">
        <f>IFERROR(INDEX(Pedidos!$E$2:$E$1801,MATCH(B3210,Pedidos!$A$2:$A$1801,0)),"")</f>
        <v/>
      </c>
      <c r="J3210" s="21">
        <f>IFERROR(INDEX(Pedidos!$C$2:$C$1801,MATCH(B3210,Pedidos!$A$2:$A$1801,0)),"")</f>
        <v/>
      </c>
      <c r="K3210" s="21">
        <f>IFERROR(INDEX(Pedidos!$D$2:$D$1801,MATCH(B3210,Pedidos!$A$2:$A$1801,0)),"")</f>
        <v/>
      </c>
      <c r="L3210" s="21">
        <f>IFERROR(INDEX(Pedidos!$F$2:$F$1801,MATCH(B3210,Pedidos!$A$2:$A$1801,0)),"")</f>
        <v/>
      </c>
      <c r="M3210" s="22">
        <f>IFERROR(INDEX(Pedidos!$G$2:$G$1801,MATCH(B3210,Pedidos!$A$2:$A$1801,0)),0)</f>
        <v/>
      </c>
      <c r="N3210" s="21">
        <f>IFERROR(INDEX(Produtos!$B$2:$B$71,MATCH(C3210,Produtos!$A$2:$A$71,0)),"")</f>
        <v/>
      </c>
      <c r="O3210" s="21">
        <f>IFERROR(INDEX(Produtos!$C$2:$C$71,MATCH(C3210,Produtos!$A$2:$A$71,0)),"")</f>
        <v/>
      </c>
      <c r="P3210" s="21">
        <f>IFERROR(INDEX(Produtos!$D$2:$D$71,MATCH(C3210,Produtos!$A$2:$A$71,0)),0)</f>
        <v/>
      </c>
      <c r="Q3210" s="21">
        <f>IFERROR(INDEX(Produtos!$E$2:$E$71,MATCH(C3210,Produtos!$A$2:$A$71,0)),0)</f>
        <v/>
      </c>
      <c r="R3210" s="23">
        <f>D3210*Q3210</f>
        <v/>
      </c>
      <c r="S3210" s="23">
        <f>R3210*E3210</f>
        <v/>
      </c>
      <c r="T3210" s="23">
        <f>(R3210-S3210)*M3210</f>
        <v/>
      </c>
      <c r="U3210" s="23">
        <f>R3210-S3210-T3210</f>
        <v/>
      </c>
      <c r="V3210" s="23">
        <f>D3210*P3210</f>
        <v/>
      </c>
      <c r="W3210" s="23">
        <f>U3210-V3210</f>
        <v/>
      </c>
      <c r="X3210" s="24">
        <f>IFERROR(W3210/U3210,0)</f>
        <v/>
      </c>
    </row>
    <row r="3211">
      <c r="A3211" s="25">
        <f>ItensPedido!A3211</f>
        <v/>
      </c>
      <c r="B3211" s="25">
        <f>ItensPedido!B3211</f>
        <v/>
      </c>
      <c r="C3211" s="25">
        <f>ItensPedido!C3211</f>
        <v/>
      </c>
      <c r="D3211" s="25">
        <f>ItensPedido!D3211</f>
        <v/>
      </c>
      <c r="E3211" s="26">
        <f>ItensPedido!E3211</f>
        <v/>
      </c>
      <c r="F3211" s="25">
        <f>IFERROR(INDEX(Pedidos!$B$2:$B$1801,MATCH(B3211,Pedidos!$A$2:$A$1801,0)),0)</f>
        <v/>
      </c>
      <c r="G3211" s="25">
        <f>IF(F3211=0,"",YEAR(F3211))</f>
        <v/>
      </c>
      <c r="H3211" s="25">
        <f>IF(F3211=0,"",MONTH(F3211))</f>
        <v/>
      </c>
      <c r="I3211" s="25">
        <f>IFERROR(INDEX(Pedidos!$E$2:$E$1801,MATCH(B3211,Pedidos!$A$2:$A$1801,0)),"")</f>
        <v/>
      </c>
      <c r="J3211" s="25">
        <f>IFERROR(INDEX(Pedidos!$C$2:$C$1801,MATCH(B3211,Pedidos!$A$2:$A$1801,0)),"")</f>
        <v/>
      </c>
      <c r="K3211" s="25">
        <f>IFERROR(INDEX(Pedidos!$D$2:$D$1801,MATCH(B3211,Pedidos!$A$2:$A$1801,0)),"")</f>
        <v/>
      </c>
      <c r="L3211" s="25">
        <f>IFERROR(INDEX(Pedidos!$F$2:$F$1801,MATCH(B3211,Pedidos!$A$2:$A$1801,0)),"")</f>
        <v/>
      </c>
      <c r="M3211" s="26">
        <f>IFERROR(INDEX(Pedidos!$G$2:$G$1801,MATCH(B3211,Pedidos!$A$2:$A$1801,0)),0)</f>
        <v/>
      </c>
      <c r="N3211" s="25">
        <f>IFERROR(INDEX(Produtos!$B$2:$B$71,MATCH(C3211,Produtos!$A$2:$A$71,0)),"")</f>
        <v/>
      </c>
      <c r="O3211" s="25">
        <f>IFERROR(INDEX(Produtos!$C$2:$C$71,MATCH(C3211,Produtos!$A$2:$A$71,0)),"")</f>
        <v/>
      </c>
      <c r="P3211" s="25">
        <f>IFERROR(INDEX(Produtos!$D$2:$D$71,MATCH(C3211,Produtos!$A$2:$A$71,0)),0)</f>
        <v/>
      </c>
      <c r="Q3211" s="25">
        <f>IFERROR(INDEX(Produtos!$E$2:$E$71,MATCH(C3211,Produtos!$A$2:$A$71,0)),0)</f>
        <v/>
      </c>
      <c r="R3211" s="27">
        <f>D3211*Q3211</f>
        <v/>
      </c>
      <c r="S3211" s="27">
        <f>R3211*E3211</f>
        <v/>
      </c>
      <c r="T3211" s="27">
        <f>(R3211-S3211)*M3211</f>
        <v/>
      </c>
      <c r="U3211" s="27">
        <f>R3211-S3211-T3211</f>
        <v/>
      </c>
      <c r="V3211" s="27">
        <f>D3211*P3211</f>
        <v/>
      </c>
      <c r="W3211" s="27">
        <f>U3211-V3211</f>
        <v/>
      </c>
      <c r="X3211" s="28">
        <f>IFERROR(W3211/U3211,0)</f>
        <v/>
      </c>
    </row>
    <row r="3212">
      <c r="A3212" s="21">
        <f>ItensPedido!A3212</f>
        <v/>
      </c>
      <c r="B3212" s="21">
        <f>ItensPedido!B3212</f>
        <v/>
      </c>
      <c r="C3212" s="21">
        <f>ItensPedido!C3212</f>
        <v/>
      </c>
      <c r="D3212" s="21">
        <f>ItensPedido!D3212</f>
        <v/>
      </c>
      <c r="E3212" s="22">
        <f>ItensPedido!E3212</f>
        <v/>
      </c>
      <c r="F3212" s="21">
        <f>IFERROR(INDEX(Pedidos!$B$2:$B$1801,MATCH(B3212,Pedidos!$A$2:$A$1801,0)),0)</f>
        <v/>
      </c>
      <c r="G3212" s="21">
        <f>IF(F3212=0,"",YEAR(F3212))</f>
        <v/>
      </c>
      <c r="H3212" s="21">
        <f>IF(F3212=0,"",MONTH(F3212))</f>
        <v/>
      </c>
      <c r="I3212" s="21">
        <f>IFERROR(INDEX(Pedidos!$E$2:$E$1801,MATCH(B3212,Pedidos!$A$2:$A$1801,0)),"")</f>
        <v/>
      </c>
      <c r="J3212" s="21">
        <f>IFERROR(INDEX(Pedidos!$C$2:$C$1801,MATCH(B3212,Pedidos!$A$2:$A$1801,0)),"")</f>
        <v/>
      </c>
      <c r="K3212" s="21">
        <f>IFERROR(INDEX(Pedidos!$D$2:$D$1801,MATCH(B3212,Pedidos!$A$2:$A$1801,0)),"")</f>
        <v/>
      </c>
      <c r="L3212" s="21">
        <f>IFERROR(INDEX(Pedidos!$F$2:$F$1801,MATCH(B3212,Pedidos!$A$2:$A$1801,0)),"")</f>
        <v/>
      </c>
      <c r="M3212" s="22">
        <f>IFERROR(INDEX(Pedidos!$G$2:$G$1801,MATCH(B3212,Pedidos!$A$2:$A$1801,0)),0)</f>
        <v/>
      </c>
      <c r="N3212" s="21">
        <f>IFERROR(INDEX(Produtos!$B$2:$B$71,MATCH(C3212,Produtos!$A$2:$A$71,0)),"")</f>
        <v/>
      </c>
      <c r="O3212" s="21">
        <f>IFERROR(INDEX(Produtos!$C$2:$C$71,MATCH(C3212,Produtos!$A$2:$A$71,0)),"")</f>
        <v/>
      </c>
      <c r="P3212" s="21">
        <f>IFERROR(INDEX(Produtos!$D$2:$D$71,MATCH(C3212,Produtos!$A$2:$A$71,0)),0)</f>
        <v/>
      </c>
      <c r="Q3212" s="21">
        <f>IFERROR(INDEX(Produtos!$E$2:$E$71,MATCH(C3212,Produtos!$A$2:$A$71,0)),0)</f>
        <v/>
      </c>
      <c r="R3212" s="23">
        <f>D3212*Q3212</f>
        <v/>
      </c>
      <c r="S3212" s="23">
        <f>R3212*E3212</f>
        <v/>
      </c>
      <c r="T3212" s="23">
        <f>(R3212-S3212)*M3212</f>
        <v/>
      </c>
      <c r="U3212" s="23">
        <f>R3212-S3212-T3212</f>
        <v/>
      </c>
      <c r="V3212" s="23">
        <f>D3212*P3212</f>
        <v/>
      </c>
      <c r="W3212" s="23">
        <f>U3212-V3212</f>
        <v/>
      </c>
      <c r="X3212" s="24">
        <f>IFERROR(W3212/U3212,0)</f>
        <v/>
      </c>
    </row>
    <row r="3213">
      <c r="A3213" s="25">
        <f>ItensPedido!A3213</f>
        <v/>
      </c>
      <c r="B3213" s="25">
        <f>ItensPedido!B3213</f>
        <v/>
      </c>
      <c r="C3213" s="25">
        <f>ItensPedido!C3213</f>
        <v/>
      </c>
      <c r="D3213" s="25">
        <f>ItensPedido!D3213</f>
        <v/>
      </c>
      <c r="E3213" s="26">
        <f>ItensPedido!E3213</f>
        <v/>
      </c>
      <c r="F3213" s="25">
        <f>IFERROR(INDEX(Pedidos!$B$2:$B$1801,MATCH(B3213,Pedidos!$A$2:$A$1801,0)),0)</f>
        <v/>
      </c>
      <c r="G3213" s="25">
        <f>IF(F3213=0,"",YEAR(F3213))</f>
        <v/>
      </c>
      <c r="H3213" s="25">
        <f>IF(F3213=0,"",MONTH(F3213))</f>
        <v/>
      </c>
      <c r="I3213" s="25">
        <f>IFERROR(INDEX(Pedidos!$E$2:$E$1801,MATCH(B3213,Pedidos!$A$2:$A$1801,0)),"")</f>
        <v/>
      </c>
      <c r="J3213" s="25">
        <f>IFERROR(INDEX(Pedidos!$C$2:$C$1801,MATCH(B3213,Pedidos!$A$2:$A$1801,0)),"")</f>
        <v/>
      </c>
      <c r="K3213" s="25">
        <f>IFERROR(INDEX(Pedidos!$D$2:$D$1801,MATCH(B3213,Pedidos!$A$2:$A$1801,0)),"")</f>
        <v/>
      </c>
      <c r="L3213" s="25">
        <f>IFERROR(INDEX(Pedidos!$F$2:$F$1801,MATCH(B3213,Pedidos!$A$2:$A$1801,0)),"")</f>
        <v/>
      </c>
      <c r="M3213" s="26">
        <f>IFERROR(INDEX(Pedidos!$G$2:$G$1801,MATCH(B3213,Pedidos!$A$2:$A$1801,0)),0)</f>
        <v/>
      </c>
      <c r="N3213" s="25">
        <f>IFERROR(INDEX(Produtos!$B$2:$B$71,MATCH(C3213,Produtos!$A$2:$A$71,0)),"")</f>
        <v/>
      </c>
      <c r="O3213" s="25">
        <f>IFERROR(INDEX(Produtos!$C$2:$C$71,MATCH(C3213,Produtos!$A$2:$A$71,0)),"")</f>
        <v/>
      </c>
      <c r="P3213" s="25">
        <f>IFERROR(INDEX(Produtos!$D$2:$D$71,MATCH(C3213,Produtos!$A$2:$A$71,0)),0)</f>
        <v/>
      </c>
      <c r="Q3213" s="25">
        <f>IFERROR(INDEX(Produtos!$E$2:$E$71,MATCH(C3213,Produtos!$A$2:$A$71,0)),0)</f>
        <v/>
      </c>
      <c r="R3213" s="27">
        <f>D3213*Q3213</f>
        <v/>
      </c>
      <c r="S3213" s="27">
        <f>R3213*E3213</f>
        <v/>
      </c>
      <c r="T3213" s="27">
        <f>(R3213-S3213)*M3213</f>
        <v/>
      </c>
      <c r="U3213" s="27">
        <f>R3213-S3213-T3213</f>
        <v/>
      </c>
      <c r="V3213" s="27">
        <f>D3213*P3213</f>
        <v/>
      </c>
      <c r="W3213" s="27">
        <f>U3213-V3213</f>
        <v/>
      </c>
      <c r="X3213" s="28">
        <f>IFERROR(W3213/U3213,0)</f>
        <v/>
      </c>
    </row>
    <row r="3214">
      <c r="A3214" s="21">
        <f>ItensPedido!A3214</f>
        <v/>
      </c>
      <c r="B3214" s="21">
        <f>ItensPedido!B3214</f>
        <v/>
      </c>
      <c r="C3214" s="21">
        <f>ItensPedido!C3214</f>
        <v/>
      </c>
      <c r="D3214" s="21">
        <f>ItensPedido!D3214</f>
        <v/>
      </c>
      <c r="E3214" s="22">
        <f>ItensPedido!E3214</f>
        <v/>
      </c>
      <c r="F3214" s="21">
        <f>IFERROR(INDEX(Pedidos!$B$2:$B$1801,MATCH(B3214,Pedidos!$A$2:$A$1801,0)),0)</f>
        <v/>
      </c>
      <c r="G3214" s="21">
        <f>IF(F3214=0,"",YEAR(F3214))</f>
        <v/>
      </c>
      <c r="H3214" s="21">
        <f>IF(F3214=0,"",MONTH(F3214))</f>
        <v/>
      </c>
      <c r="I3214" s="21">
        <f>IFERROR(INDEX(Pedidos!$E$2:$E$1801,MATCH(B3214,Pedidos!$A$2:$A$1801,0)),"")</f>
        <v/>
      </c>
      <c r="J3214" s="21">
        <f>IFERROR(INDEX(Pedidos!$C$2:$C$1801,MATCH(B3214,Pedidos!$A$2:$A$1801,0)),"")</f>
        <v/>
      </c>
      <c r="K3214" s="21">
        <f>IFERROR(INDEX(Pedidos!$D$2:$D$1801,MATCH(B3214,Pedidos!$A$2:$A$1801,0)),"")</f>
        <v/>
      </c>
      <c r="L3214" s="21">
        <f>IFERROR(INDEX(Pedidos!$F$2:$F$1801,MATCH(B3214,Pedidos!$A$2:$A$1801,0)),"")</f>
        <v/>
      </c>
      <c r="M3214" s="22">
        <f>IFERROR(INDEX(Pedidos!$G$2:$G$1801,MATCH(B3214,Pedidos!$A$2:$A$1801,0)),0)</f>
        <v/>
      </c>
      <c r="N3214" s="21">
        <f>IFERROR(INDEX(Produtos!$B$2:$B$71,MATCH(C3214,Produtos!$A$2:$A$71,0)),"")</f>
        <v/>
      </c>
      <c r="O3214" s="21">
        <f>IFERROR(INDEX(Produtos!$C$2:$C$71,MATCH(C3214,Produtos!$A$2:$A$71,0)),"")</f>
        <v/>
      </c>
      <c r="P3214" s="21">
        <f>IFERROR(INDEX(Produtos!$D$2:$D$71,MATCH(C3214,Produtos!$A$2:$A$71,0)),0)</f>
        <v/>
      </c>
      <c r="Q3214" s="21">
        <f>IFERROR(INDEX(Produtos!$E$2:$E$71,MATCH(C3214,Produtos!$A$2:$A$71,0)),0)</f>
        <v/>
      </c>
      <c r="R3214" s="23">
        <f>D3214*Q3214</f>
        <v/>
      </c>
      <c r="S3214" s="23">
        <f>R3214*E3214</f>
        <v/>
      </c>
      <c r="T3214" s="23">
        <f>(R3214-S3214)*M3214</f>
        <v/>
      </c>
      <c r="U3214" s="23">
        <f>R3214-S3214-T3214</f>
        <v/>
      </c>
      <c r="V3214" s="23">
        <f>D3214*P3214</f>
        <v/>
      </c>
      <c r="W3214" s="23">
        <f>U3214-V3214</f>
        <v/>
      </c>
      <c r="X3214" s="24">
        <f>IFERROR(W3214/U3214,0)</f>
        <v/>
      </c>
    </row>
    <row r="3215">
      <c r="A3215" s="25">
        <f>ItensPedido!A3215</f>
        <v/>
      </c>
      <c r="B3215" s="25">
        <f>ItensPedido!B3215</f>
        <v/>
      </c>
      <c r="C3215" s="25">
        <f>ItensPedido!C3215</f>
        <v/>
      </c>
      <c r="D3215" s="25">
        <f>ItensPedido!D3215</f>
        <v/>
      </c>
      <c r="E3215" s="26">
        <f>ItensPedido!E3215</f>
        <v/>
      </c>
      <c r="F3215" s="25">
        <f>IFERROR(INDEX(Pedidos!$B$2:$B$1801,MATCH(B3215,Pedidos!$A$2:$A$1801,0)),0)</f>
        <v/>
      </c>
      <c r="G3215" s="25">
        <f>IF(F3215=0,"",YEAR(F3215))</f>
        <v/>
      </c>
      <c r="H3215" s="25">
        <f>IF(F3215=0,"",MONTH(F3215))</f>
        <v/>
      </c>
      <c r="I3215" s="25">
        <f>IFERROR(INDEX(Pedidos!$E$2:$E$1801,MATCH(B3215,Pedidos!$A$2:$A$1801,0)),"")</f>
        <v/>
      </c>
      <c r="J3215" s="25">
        <f>IFERROR(INDEX(Pedidos!$C$2:$C$1801,MATCH(B3215,Pedidos!$A$2:$A$1801,0)),"")</f>
        <v/>
      </c>
      <c r="K3215" s="25">
        <f>IFERROR(INDEX(Pedidos!$D$2:$D$1801,MATCH(B3215,Pedidos!$A$2:$A$1801,0)),"")</f>
        <v/>
      </c>
      <c r="L3215" s="25">
        <f>IFERROR(INDEX(Pedidos!$F$2:$F$1801,MATCH(B3215,Pedidos!$A$2:$A$1801,0)),"")</f>
        <v/>
      </c>
      <c r="M3215" s="26">
        <f>IFERROR(INDEX(Pedidos!$G$2:$G$1801,MATCH(B3215,Pedidos!$A$2:$A$1801,0)),0)</f>
        <v/>
      </c>
      <c r="N3215" s="25">
        <f>IFERROR(INDEX(Produtos!$B$2:$B$71,MATCH(C3215,Produtos!$A$2:$A$71,0)),"")</f>
        <v/>
      </c>
      <c r="O3215" s="25">
        <f>IFERROR(INDEX(Produtos!$C$2:$C$71,MATCH(C3215,Produtos!$A$2:$A$71,0)),"")</f>
        <v/>
      </c>
      <c r="P3215" s="25">
        <f>IFERROR(INDEX(Produtos!$D$2:$D$71,MATCH(C3215,Produtos!$A$2:$A$71,0)),0)</f>
        <v/>
      </c>
      <c r="Q3215" s="25">
        <f>IFERROR(INDEX(Produtos!$E$2:$E$71,MATCH(C3215,Produtos!$A$2:$A$71,0)),0)</f>
        <v/>
      </c>
      <c r="R3215" s="27">
        <f>D3215*Q3215</f>
        <v/>
      </c>
      <c r="S3215" s="27">
        <f>R3215*E3215</f>
        <v/>
      </c>
      <c r="T3215" s="27">
        <f>(R3215-S3215)*M3215</f>
        <v/>
      </c>
      <c r="U3215" s="27">
        <f>R3215-S3215-T3215</f>
        <v/>
      </c>
      <c r="V3215" s="27">
        <f>D3215*P3215</f>
        <v/>
      </c>
      <c r="W3215" s="27">
        <f>U3215-V3215</f>
        <v/>
      </c>
      <c r="X3215" s="28">
        <f>IFERROR(W3215/U3215,0)</f>
        <v/>
      </c>
    </row>
    <row r="3216">
      <c r="A3216" s="21">
        <f>ItensPedido!A3216</f>
        <v/>
      </c>
      <c r="B3216" s="21">
        <f>ItensPedido!B3216</f>
        <v/>
      </c>
      <c r="C3216" s="21">
        <f>ItensPedido!C3216</f>
        <v/>
      </c>
      <c r="D3216" s="21">
        <f>ItensPedido!D3216</f>
        <v/>
      </c>
      <c r="E3216" s="22">
        <f>ItensPedido!E3216</f>
        <v/>
      </c>
      <c r="F3216" s="21">
        <f>IFERROR(INDEX(Pedidos!$B$2:$B$1801,MATCH(B3216,Pedidos!$A$2:$A$1801,0)),0)</f>
        <v/>
      </c>
      <c r="G3216" s="21">
        <f>IF(F3216=0,"",YEAR(F3216))</f>
        <v/>
      </c>
      <c r="H3216" s="21">
        <f>IF(F3216=0,"",MONTH(F3216))</f>
        <v/>
      </c>
      <c r="I3216" s="21">
        <f>IFERROR(INDEX(Pedidos!$E$2:$E$1801,MATCH(B3216,Pedidos!$A$2:$A$1801,0)),"")</f>
        <v/>
      </c>
      <c r="J3216" s="21">
        <f>IFERROR(INDEX(Pedidos!$C$2:$C$1801,MATCH(B3216,Pedidos!$A$2:$A$1801,0)),"")</f>
        <v/>
      </c>
      <c r="K3216" s="21">
        <f>IFERROR(INDEX(Pedidos!$D$2:$D$1801,MATCH(B3216,Pedidos!$A$2:$A$1801,0)),"")</f>
        <v/>
      </c>
      <c r="L3216" s="21">
        <f>IFERROR(INDEX(Pedidos!$F$2:$F$1801,MATCH(B3216,Pedidos!$A$2:$A$1801,0)),"")</f>
        <v/>
      </c>
      <c r="M3216" s="22">
        <f>IFERROR(INDEX(Pedidos!$G$2:$G$1801,MATCH(B3216,Pedidos!$A$2:$A$1801,0)),0)</f>
        <v/>
      </c>
      <c r="N3216" s="21">
        <f>IFERROR(INDEX(Produtos!$B$2:$B$71,MATCH(C3216,Produtos!$A$2:$A$71,0)),"")</f>
        <v/>
      </c>
      <c r="O3216" s="21">
        <f>IFERROR(INDEX(Produtos!$C$2:$C$71,MATCH(C3216,Produtos!$A$2:$A$71,0)),"")</f>
        <v/>
      </c>
      <c r="P3216" s="21">
        <f>IFERROR(INDEX(Produtos!$D$2:$D$71,MATCH(C3216,Produtos!$A$2:$A$71,0)),0)</f>
        <v/>
      </c>
      <c r="Q3216" s="21">
        <f>IFERROR(INDEX(Produtos!$E$2:$E$71,MATCH(C3216,Produtos!$A$2:$A$71,0)),0)</f>
        <v/>
      </c>
      <c r="R3216" s="23">
        <f>D3216*Q3216</f>
        <v/>
      </c>
      <c r="S3216" s="23">
        <f>R3216*E3216</f>
        <v/>
      </c>
      <c r="T3216" s="23">
        <f>(R3216-S3216)*M3216</f>
        <v/>
      </c>
      <c r="U3216" s="23">
        <f>R3216-S3216-T3216</f>
        <v/>
      </c>
      <c r="V3216" s="23">
        <f>D3216*P3216</f>
        <v/>
      </c>
      <c r="W3216" s="23">
        <f>U3216-V3216</f>
        <v/>
      </c>
      <c r="X3216" s="24">
        <f>IFERROR(W3216/U3216,0)</f>
        <v/>
      </c>
    </row>
    <row r="3217">
      <c r="A3217" s="25">
        <f>ItensPedido!A3217</f>
        <v/>
      </c>
      <c r="B3217" s="25">
        <f>ItensPedido!B3217</f>
        <v/>
      </c>
      <c r="C3217" s="25">
        <f>ItensPedido!C3217</f>
        <v/>
      </c>
      <c r="D3217" s="25">
        <f>ItensPedido!D3217</f>
        <v/>
      </c>
      <c r="E3217" s="26">
        <f>ItensPedido!E3217</f>
        <v/>
      </c>
      <c r="F3217" s="25">
        <f>IFERROR(INDEX(Pedidos!$B$2:$B$1801,MATCH(B3217,Pedidos!$A$2:$A$1801,0)),0)</f>
        <v/>
      </c>
      <c r="G3217" s="25">
        <f>IF(F3217=0,"",YEAR(F3217))</f>
        <v/>
      </c>
      <c r="H3217" s="25">
        <f>IF(F3217=0,"",MONTH(F3217))</f>
        <v/>
      </c>
      <c r="I3217" s="25">
        <f>IFERROR(INDEX(Pedidos!$E$2:$E$1801,MATCH(B3217,Pedidos!$A$2:$A$1801,0)),"")</f>
        <v/>
      </c>
      <c r="J3217" s="25">
        <f>IFERROR(INDEX(Pedidos!$C$2:$C$1801,MATCH(B3217,Pedidos!$A$2:$A$1801,0)),"")</f>
        <v/>
      </c>
      <c r="K3217" s="25">
        <f>IFERROR(INDEX(Pedidos!$D$2:$D$1801,MATCH(B3217,Pedidos!$A$2:$A$1801,0)),"")</f>
        <v/>
      </c>
      <c r="L3217" s="25">
        <f>IFERROR(INDEX(Pedidos!$F$2:$F$1801,MATCH(B3217,Pedidos!$A$2:$A$1801,0)),"")</f>
        <v/>
      </c>
      <c r="M3217" s="26">
        <f>IFERROR(INDEX(Pedidos!$G$2:$G$1801,MATCH(B3217,Pedidos!$A$2:$A$1801,0)),0)</f>
        <v/>
      </c>
      <c r="N3217" s="25">
        <f>IFERROR(INDEX(Produtos!$B$2:$B$71,MATCH(C3217,Produtos!$A$2:$A$71,0)),"")</f>
        <v/>
      </c>
      <c r="O3217" s="25">
        <f>IFERROR(INDEX(Produtos!$C$2:$C$71,MATCH(C3217,Produtos!$A$2:$A$71,0)),"")</f>
        <v/>
      </c>
      <c r="P3217" s="25">
        <f>IFERROR(INDEX(Produtos!$D$2:$D$71,MATCH(C3217,Produtos!$A$2:$A$71,0)),0)</f>
        <v/>
      </c>
      <c r="Q3217" s="25">
        <f>IFERROR(INDEX(Produtos!$E$2:$E$71,MATCH(C3217,Produtos!$A$2:$A$71,0)),0)</f>
        <v/>
      </c>
      <c r="R3217" s="27">
        <f>D3217*Q3217</f>
        <v/>
      </c>
      <c r="S3217" s="27">
        <f>R3217*E3217</f>
        <v/>
      </c>
      <c r="T3217" s="27">
        <f>(R3217-S3217)*M3217</f>
        <v/>
      </c>
      <c r="U3217" s="27">
        <f>R3217-S3217-T3217</f>
        <v/>
      </c>
      <c r="V3217" s="27">
        <f>D3217*P3217</f>
        <v/>
      </c>
      <c r="W3217" s="27">
        <f>U3217-V3217</f>
        <v/>
      </c>
      <c r="X3217" s="28">
        <f>IFERROR(W3217/U3217,0)</f>
        <v/>
      </c>
    </row>
    <row r="3218">
      <c r="A3218" s="21">
        <f>ItensPedido!A3218</f>
        <v/>
      </c>
      <c r="B3218" s="21">
        <f>ItensPedido!B3218</f>
        <v/>
      </c>
      <c r="C3218" s="21">
        <f>ItensPedido!C3218</f>
        <v/>
      </c>
      <c r="D3218" s="21">
        <f>ItensPedido!D3218</f>
        <v/>
      </c>
      <c r="E3218" s="22">
        <f>ItensPedido!E3218</f>
        <v/>
      </c>
      <c r="F3218" s="21">
        <f>IFERROR(INDEX(Pedidos!$B$2:$B$1801,MATCH(B3218,Pedidos!$A$2:$A$1801,0)),0)</f>
        <v/>
      </c>
      <c r="G3218" s="21">
        <f>IF(F3218=0,"",YEAR(F3218))</f>
        <v/>
      </c>
      <c r="H3218" s="21">
        <f>IF(F3218=0,"",MONTH(F3218))</f>
        <v/>
      </c>
      <c r="I3218" s="21">
        <f>IFERROR(INDEX(Pedidos!$E$2:$E$1801,MATCH(B3218,Pedidos!$A$2:$A$1801,0)),"")</f>
        <v/>
      </c>
      <c r="J3218" s="21">
        <f>IFERROR(INDEX(Pedidos!$C$2:$C$1801,MATCH(B3218,Pedidos!$A$2:$A$1801,0)),"")</f>
        <v/>
      </c>
      <c r="K3218" s="21">
        <f>IFERROR(INDEX(Pedidos!$D$2:$D$1801,MATCH(B3218,Pedidos!$A$2:$A$1801,0)),"")</f>
        <v/>
      </c>
      <c r="L3218" s="21">
        <f>IFERROR(INDEX(Pedidos!$F$2:$F$1801,MATCH(B3218,Pedidos!$A$2:$A$1801,0)),"")</f>
        <v/>
      </c>
      <c r="M3218" s="22">
        <f>IFERROR(INDEX(Pedidos!$G$2:$G$1801,MATCH(B3218,Pedidos!$A$2:$A$1801,0)),0)</f>
        <v/>
      </c>
      <c r="N3218" s="21">
        <f>IFERROR(INDEX(Produtos!$B$2:$B$71,MATCH(C3218,Produtos!$A$2:$A$71,0)),"")</f>
        <v/>
      </c>
      <c r="O3218" s="21">
        <f>IFERROR(INDEX(Produtos!$C$2:$C$71,MATCH(C3218,Produtos!$A$2:$A$71,0)),"")</f>
        <v/>
      </c>
      <c r="P3218" s="21">
        <f>IFERROR(INDEX(Produtos!$D$2:$D$71,MATCH(C3218,Produtos!$A$2:$A$71,0)),0)</f>
        <v/>
      </c>
      <c r="Q3218" s="21">
        <f>IFERROR(INDEX(Produtos!$E$2:$E$71,MATCH(C3218,Produtos!$A$2:$A$71,0)),0)</f>
        <v/>
      </c>
      <c r="R3218" s="23">
        <f>D3218*Q3218</f>
        <v/>
      </c>
      <c r="S3218" s="23">
        <f>R3218*E3218</f>
        <v/>
      </c>
      <c r="T3218" s="23">
        <f>(R3218-S3218)*M3218</f>
        <v/>
      </c>
      <c r="U3218" s="23">
        <f>R3218-S3218-T3218</f>
        <v/>
      </c>
      <c r="V3218" s="23">
        <f>D3218*P3218</f>
        <v/>
      </c>
      <c r="W3218" s="23">
        <f>U3218-V3218</f>
        <v/>
      </c>
      <c r="X3218" s="24">
        <f>IFERROR(W3218/U3218,0)</f>
        <v/>
      </c>
    </row>
    <row r="3219">
      <c r="A3219" s="25">
        <f>ItensPedido!A3219</f>
        <v/>
      </c>
      <c r="B3219" s="25">
        <f>ItensPedido!B3219</f>
        <v/>
      </c>
      <c r="C3219" s="25">
        <f>ItensPedido!C3219</f>
        <v/>
      </c>
      <c r="D3219" s="25">
        <f>ItensPedido!D3219</f>
        <v/>
      </c>
      <c r="E3219" s="26">
        <f>ItensPedido!E3219</f>
        <v/>
      </c>
      <c r="F3219" s="25">
        <f>IFERROR(INDEX(Pedidos!$B$2:$B$1801,MATCH(B3219,Pedidos!$A$2:$A$1801,0)),0)</f>
        <v/>
      </c>
      <c r="G3219" s="25">
        <f>IF(F3219=0,"",YEAR(F3219))</f>
        <v/>
      </c>
      <c r="H3219" s="25">
        <f>IF(F3219=0,"",MONTH(F3219))</f>
        <v/>
      </c>
      <c r="I3219" s="25">
        <f>IFERROR(INDEX(Pedidos!$E$2:$E$1801,MATCH(B3219,Pedidos!$A$2:$A$1801,0)),"")</f>
        <v/>
      </c>
      <c r="J3219" s="25">
        <f>IFERROR(INDEX(Pedidos!$C$2:$C$1801,MATCH(B3219,Pedidos!$A$2:$A$1801,0)),"")</f>
        <v/>
      </c>
      <c r="K3219" s="25">
        <f>IFERROR(INDEX(Pedidos!$D$2:$D$1801,MATCH(B3219,Pedidos!$A$2:$A$1801,0)),"")</f>
        <v/>
      </c>
      <c r="L3219" s="25">
        <f>IFERROR(INDEX(Pedidos!$F$2:$F$1801,MATCH(B3219,Pedidos!$A$2:$A$1801,0)),"")</f>
        <v/>
      </c>
      <c r="M3219" s="26">
        <f>IFERROR(INDEX(Pedidos!$G$2:$G$1801,MATCH(B3219,Pedidos!$A$2:$A$1801,0)),0)</f>
        <v/>
      </c>
      <c r="N3219" s="25">
        <f>IFERROR(INDEX(Produtos!$B$2:$B$71,MATCH(C3219,Produtos!$A$2:$A$71,0)),"")</f>
        <v/>
      </c>
      <c r="O3219" s="25">
        <f>IFERROR(INDEX(Produtos!$C$2:$C$71,MATCH(C3219,Produtos!$A$2:$A$71,0)),"")</f>
        <v/>
      </c>
      <c r="P3219" s="25">
        <f>IFERROR(INDEX(Produtos!$D$2:$D$71,MATCH(C3219,Produtos!$A$2:$A$71,0)),0)</f>
        <v/>
      </c>
      <c r="Q3219" s="25">
        <f>IFERROR(INDEX(Produtos!$E$2:$E$71,MATCH(C3219,Produtos!$A$2:$A$71,0)),0)</f>
        <v/>
      </c>
      <c r="R3219" s="27">
        <f>D3219*Q3219</f>
        <v/>
      </c>
      <c r="S3219" s="27">
        <f>R3219*E3219</f>
        <v/>
      </c>
      <c r="T3219" s="27">
        <f>(R3219-S3219)*M3219</f>
        <v/>
      </c>
      <c r="U3219" s="27">
        <f>R3219-S3219-T3219</f>
        <v/>
      </c>
      <c r="V3219" s="27">
        <f>D3219*P3219</f>
        <v/>
      </c>
      <c r="W3219" s="27">
        <f>U3219-V3219</f>
        <v/>
      </c>
      <c r="X3219" s="28">
        <f>IFERROR(W3219/U3219,0)</f>
        <v/>
      </c>
    </row>
    <row r="3220">
      <c r="A3220" s="21">
        <f>ItensPedido!A3220</f>
        <v/>
      </c>
      <c r="B3220" s="21">
        <f>ItensPedido!B3220</f>
        <v/>
      </c>
      <c r="C3220" s="21">
        <f>ItensPedido!C3220</f>
        <v/>
      </c>
      <c r="D3220" s="21">
        <f>ItensPedido!D3220</f>
        <v/>
      </c>
      <c r="E3220" s="22">
        <f>ItensPedido!E3220</f>
        <v/>
      </c>
      <c r="F3220" s="21">
        <f>IFERROR(INDEX(Pedidos!$B$2:$B$1801,MATCH(B3220,Pedidos!$A$2:$A$1801,0)),0)</f>
        <v/>
      </c>
      <c r="G3220" s="21">
        <f>IF(F3220=0,"",YEAR(F3220))</f>
        <v/>
      </c>
      <c r="H3220" s="21">
        <f>IF(F3220=0,"",MONTH(F3220))</f>
        <v/>
      </c>
      <c r="I3220" s="21">
        <f>IFERROR(INDEX(Pedidos!$E$2:$E$1801,MATCH(B3220,Pedidos!$A$2:$A$1801,0)),"")</f>
        <v/>
      </c>
      <c r="J3220" s="21">
        <f>IFERROR(INDEX(Pedidos!$C$2:$C$1801,MATCH(B3220,Pedidos!$A$2:$A$1801,0)),"")</f>
        <v/>
      </c>
      <c r="K3220" s="21">
        <f>IFERROR(INDEX(Pedidos!$D$2:$D$1801,MATCH(B3220,Pedidos!$A$2:$A$1801,0)),"")</f>
        <v/>
      </c>
      <c r="L3220" s="21">
        <f>IFERROR(INDEX(Pedidos!$F$2:$F$1801,MATCH(B3220,Pedidos!$A$2:$A$1801,0)),"")</f>
        <v/>
      </c>
      <c r="M3220" s="22">
        <f>IFERROR(INDEX(Pedidos!$G$2:$G$1801,MATCH(B3220,Pedidos!$A$2:$A$1801,0)),0)</f>
        <v/>
      </c>
      <c r="N3220" s="21">
        <f>IFERROR(INDEX(Produtos!$B$2:$B$71,MATCH(C3220,Produtos!$A$2:$A$71,0)),"")</f>
        <v/>
      </c>
      <c r="O3220" s="21">
        <f>IFERROR(INDEX(Produtos!$C$2:$C$71,MATCH(C3220,Produtos!$A$2:$A$71,0)),"")</f>
        <v/>
      </c>
      <c r="P3220" s="21">
        <f>IFERROR(INDEX(Produtos!$D$2:$D$71,MATCH(C3220,Produtos!$A$2:$A$71,0)),0)</f>
        <v/>
      </c>
      <c r="Q3220" s="21">
        <f>IFERROR(INDEX(Produtos!$E$2:$E$71,MATCH(C3220,Produtos!$A$2:$A$71,0)),0)</f>
        <v/>
      </c>
      <c r="R3220" s="23">
        <f>D3220*Q3220</f>
        <v/>
      </c>
      <c r="S3220" s="23">
        <f>R3220*E3220</f>
        <v/>
      </c>
      <c r="T3220" s="23">
        <f>(R3220-S3220)*M3220</f>
        <v/>
      </c>
      <c r="U3220" s="23">
        <f>R3220-S3220-T3220</f>
        <v/>
      </c>
      <c r="V3220" s="23">
        <f>D3220*P3220</f>
        <v/>
      </c>
      <c r="W3220" s="23">
        <f>U3220-V3220</f>
        <v/>
      </c>
      <c r="X3220" s="24">
        <f>IFERROR(W3220/U3220,0)</f>
        <v/>
      </c>
    </row>
    <row r="3221">
      <c r="A3221" s="25">
        <f>ItensPedido!A3221</f>
        <v/>
      </c>
      <c r="B3221" s="25">
        <f>ItensPedido!B3221</f>
        <v/>
      </c>
      <c r="C3221" s="25">
        <f>ItensPedido!C3221</f>
        <v/>
      </c>
      <c r="D3221" s="25">
        <f>ItensPedido!D3221</f>
        <v/>
      </c>
      <c r="E3221" s="26">
        <f>ItensPedido!E3221</f>
        <v/>
      </c>
      <c r="F3221" s="25">
        <f>IFERROR(INDEX(Pedidos!$B$2:$B$1801,MATCH(B3221,Pedidos!$A$2:$A$1801,0)),0)</f>
        <v/>
      </c>
      <c r="G3221" s="25">
        <f>IF(F3221=0,"",YEAR(F3221))</f>
        <v/>
      </c>
      <c r="H3221" s="25">
        <f>IF(F3221=0,"",MONTH(F3221))</f>
        <v/>
      </c>
      <c r="I3221" s="25">
        <f>IFERROR(INDEX(Pedidos!$E$2:$E$1801,MATCH(B3221,Pedidos!$A$2:$A$1801,0)),"")</f>
        <v/>
      </c>
      <c r="J3221" s="25">
        <f>IFERROR(INDEX(Pedidos!$C$2:$C$1801,MATCH(B3221,Pedidos!$A$2:$A$1801,0)),"")</f>
        <v/>
      </c>
      <c r="K3221" s="25">
        <f>IFERROR(INDEX(Pedidos!$D$2:$D$1801,MATCH(B3221,Pedidos!$A$2:$A$1801,0)),"")</f>
        <v/>
      </c>
      <c r="L3221" s="25">
        <f>IFERROR(INDEX(Pedidos!$F$2:$F$1801,MATCH(B3221,Pedidos!$A$2:$A$1801,0)),"")</f>
        <v/>
      </c>
      <c r="M3221" s="26">
        <f>IFERROR(INDEX(Pedidos!$G$2:$G$1801,MATCH(B3221,Pedidos!$A$2:$A$1801,0)),0)</f>
        <v/>
      </c>
      <c r="N3221" s="25">
        <f>IFERROR(INDEX(Produtos!$B$2:$B$71,MATCH(C3221,Produtos!$A$2:$A$71,0)),"")</f>
        <v/>
      </c>
      <c r="O3221" s="25">
        <f>IFERROR(INDEX(Produtos!$C$2:$C$71,MATCH(C3221,Produtos!$A$2:$A$71,0)),"")</f>
        <v/>
      </c>
      <c r="P3221" s="25">
        <f>IFERROR(INDEX(Produtos!$D$2:$D$71,MATCH(C3221,Produtos!$A$2:$A$71,0)),0)</f>
        <v/>
      </c>
      <c r="Q3221" s="25">
        <f>IFERROR(INDEX(Produtos!$E$2:$E$71,MATCH(C3221,Produtos!$A$2:$A$71,0)),0)</f>
        <v/>
      </c>
      <c r="R3221" s="27">
        <f>D3221*Q3221</f>
        <v/>
      </c>
      <c r="S3221" s="27">
        <f>R3221*E3221</f>
        <v/>
      </c>
      <c r="T3221" s="27">
        <f>(R3221-S3221)*M3221</f>
        <v/>
      </c>
      <c r="U3221" s="27">
        <f>R3221-S3221-T3221</f>
        <v/>
      </c>
      <c r="V3221" s="27">
        <f>D3221*P3221</f>
        <v/>
      </c>
      <c r="W3221" s="27">
        <f>U3221-V3221</f>
        <v/>
      </c>
      <c r="X3221" s="28">
        <f>IFERROR(W3221/U3221,0)</f>
        <v/>
      </c>
    </row>
    <row r="3222">
      <c r="A3222" s="21">
        <f>ItensPedido!A3222</f>
        <v/>
      </c>
      <c r="B3222" s="21">
        <f>ItensPedido!B3222</f>
        <v/>
      </c>
      <c r="C3222" s="21">
        <f>ItensPedido!C3222</f>
        <v/>
      </c>
      <c r="D3222" s="21">
        <f>ItensPedido!D3222</f>
        <v/>
      </c>
      <c r="E3222" s="22">
        <f>ItensPedido!E3222</f>
        <v/>
      </c>
      <c r="F3222" s="21">
        <f>IFERROR(INDEX(Pedidos!$B$2:$B$1801,MATCH(B3222,Pedidos!$A$2:$A$1801,0)),0)</f>
        <v/>
      </c>
      <c r="G3222" s="21">
        <f>IF(F3222=0,"",YEAR(F3222))</f>
        <v/>
      </c>
      <c r="H3222" s="21">
        <f>IF(F3222=0,"",MONTH(F3222))</f>
        <v/>
      </c>
      <c r="I3222" s="21">
        <f>IFERROR(INDEX(Pedidos!$E$2:$E$1801,MATCH(B3222,Pedidos!$A$2:$A$1801,0)),"")</f>
        <v/>
      </c>
      <c r="J3222" s="21">
        <f>IFERROR(INDEX(Pedidos!$C$2:$C$1801,MATCH(B3222,Pedidos!$A$2:$A$1801,0)),"")</f>
        <v/>
      </c>
      <c r="K3222" s="21">
        <f>IFERROR(INDEX(Pedidos!$D$2:$D$1801,MATCH(B3222,Pedidos!$A$2:$A$1801,0)),"")</f>
        <v/>
      </c>
      <c r="L3222" s="21">
        <f>IFERROR(INDEX(Pedidos!$F$2:$F$1801,MATCH(B3222,Pedidos!$A$2:$A$1801,0)),"")</f>
        <v/>
      </c>
      <c r="M3222" s="22">
        <f>IFERROR(INDEX(Pedidos!$G$2:$G$1801,MATCH(B3222,Pedidos!$A$2:$A$1801,0)),0)</f>
        <v/>
      </c>
      <c r="N3222" s="21">
        <f>IFERROR(INDEX(Produtos!$B$2:$B$71,MATCH(C3222,Produtos!$A$2:$A$71,0)),"")</f>
        <v/>
      </c>
      <c r="O3222" s="21">
        <f>IFERROR(INDEX(Produtos!$C$2:$C$71,MATCH(C3222,Produtos!$A$2:$A$71,0)),"")</f>
        <v/>
      </c>
      <c r="P3222" s="21">
        <f>IFERROR(INDEX(Produtos!$D$2:$D$71,MATCH(C3222,Produtos!$A$2:$A$71,0)),0)</f>
        <v/>
      </c>
      <c r="Q3222" s="21">
        <f>IFERROR(INDEX(Produtos!$E$2:$E$71,MATCH(C3222,Produtos!$A$2:$A$71,0)),0)</f>
        <v/>
      </c>
      <c r="R3222" s="23">
        <f>D3222*Q3222</f>
        <v/>
      </c>
      <c r="S3222" s="23">
        <f>R3222*E3222</f>
        <v/>
      </c>
      <c r="T3222" s="23">
        <f>(R3222-S3222)*M3222</f>
        <v/>
      </c>
      <c r="U3222" s="23">
        <f>R3222-S3222-T3222</f>
        <v/>
      </c>
      <c r="V3222" s="23">
        <f>D3222*P3222</f>
        <v/>
      </c>
      <c r="W3222" s="23">
        <f>U3222-V3222</f>
        <v/>
      </c>
      <c r="X3222" s="24">
        <f>IFERROR(W3222/U3222,0)</f>
        <v/>
      </c>
    </row>
    <row r="3223">
      <c r="A3223" s="25">
        <f>ItensPedido!A3223</f>
        <v/>
      </c>
      <c r="B3223" s="25">
        <f>ItensPedido!B3223</f>
        <v/>
      </c>
      <c r="C3223" s="25">
        <f>ItensPedido!C3223</f>
        <v/>
      </c>
      <c r="D3223" s="25">
        <f>ItensPedido!D3223</f>
        <v/>
      </c>
      <c r="E3223" s="26">
        <f>ItensPedido!E3223</f>
        <v/>
      </c>
      <c r="F3223" s="25">
        <f>IFERROR(INDEX(Pedidos!$B$2:$B$1801,MATCH(B3223,Pedidos!$A$2:$A$1801,0)),0)</f>
        <v/>
      </c>
      <c r="G3223" s="25">
        <f>IF(F3223=0,"",YEAR(F3223))</f>
        <v/>
      </c>
      <c r="H3223" s="25">
        <f>IF(F3223=0,"",MONTH(F3223))</f>
        <v/>
      </c>
      <c r="I3223" s="25">
        <f>IFERROR(INDEX(Pedidos!$E$2:$E$1801,MATCH(B3223,Pedidos!$A$2:$A$1801,0)),"")</f>
        <v/>
      </c>
      <c r="J3223" s="25">
        <f>IFERROR(INDEX(Pedidos!$C$2:$C$1801,MATCH(B3223,Pedidos!$A$2:$A$1801,0)),"")</f>
        <v/>
      </c>
      <c r="K3223" s="25">
        <f>IFERROR(INDEX(Pedidos!$D$2:$D$1801,MATCH(B3223,Pedidos!$A$2:$A$1801,0)),"")</f>
        <v/>
      </c>
      <c r="L3223" s="25">
        <f>IFERROR(INDEX(Pedidos!$F$2:$F$1801,MATCH(B3223,Pedidos!$A$2:$A$1801,0)),"")</f>
        <v/>
      </c>
      <c r="M3223" s="26">
        <f>IFERROR(INDEX(Pedidos!$G$2:$G$1801,MATCH(B3223,Pedidos!$A$2:$A$1801,0)),0)</f>
        <v/>
      </c>
      <c r="N3223" s="25">
        <f>IFERROR(INDEX(Produtos!$B$2:$B$71,MATCH(C3223,Produtos!$A$2:$A$71,0)),"")</f>
        <v/>
      </c>
      <c r="O3223" s="25">
        <f>IFERROR(INDEX(Produtos!$C$2:$C$71,MATCH(C3223,Produtos!$A$2:$A$71,0)),"")</f>
        <v/>
      </c>
      <c r="P3223" s="25">
        <f>IFERROR(INDEX(Produtos!$D$2:$D$71,MATCH(C3223,Produtos!$A$2:$A$71,0)),0)</f>
        <v/>
      </c>
      <c r="Q3223" s="25">
        <f>IFERROR(INDEX(Produtos!$E$2:$E$71,MATCH(C3223,Produtos!$A$2:$A$71,0)),0)</f>
        <v/>
      </c>
      <c r="R3223" s="27">
        <f>D3223*Q3223</f>
        <v/>
      </c>
      <c r="S3223" s="27">
        <f>R3223*E3223</f>
        <v/>
      </c>
      <c r="T3223" s="27">
        <f>(R3223-S3223)*M3223</f>
        <v/>
      </c>
      <c r="U3223" s="27">
        <f>R3223-S3223-T3223</f>
        <v/>
      </c>
      <c r="V3223" s="27">
        <f>D3223*P3223</f>
        <v/>
      </c>
      <c r="W3223" s="27">
        <f>U3223-V3223</f>
        <v/>
      </c>
      <c r="X3223" s="28">
        <f>IFERROR(W3223/U3223,0)</f>
        <v/>
      </c>
    </row>
    <row r="3224">
      <c r="A3224" s="21">
        <f>ItensPedido!A3224</f>
        <v/>
      </c>
      <c r="B3224" s="21">
        <f>ItensPedido!B3224</f>
        <v/>
      </c>
      <c r="C3224" s="21">
        <f>ItensPedido!C3224</f>
        <v/>
      </c>
      <c r="D3224" s="21">
        <f>ItensPedido!D3224</f>
        <v/>
      </c>
      <c r="E3224" s="22">
        <f>ItensPedido!E3224</f>
        <v/>
      </c>
      <c r="F3224" s="21">
        <f>IFERROR(INDEX(Pedidos!$B$2:$B$1801,MATCH(B3224,Pedidos!$A$2:$A$1801,0)),0)</f>
        <v/>
      </c>
      <c r="G3224" s="21">
        <f>IF(F3224=0,"",YEAR(F3224))</f>
        <v/>
      </c>
      <c r="H3224" s="21">
        <f>IF(F3224=0,"",MONTH(F3224))</f>
        <v/>
      </c>
      <c r="I3224" s="21">
        <f>IFERROR(INDEX(Pedidos!$E$2:$E$1801,MATCH(B3224,Pedidos!$A$2:$A$1801,0)),"")</f>
        <v/>
      </c>
      <c r="J3224" s="21">
        <f>IFERROR(INDEX(Pedidos!$C$2:$C$1801,MATCH(B3224,Pedidos!$A$2:$A$1801,0)),"")</f>
        <v/>
      </c>
      <c r="K3224" s="21">
        <f>IFERROR(INDEX(Pedidos!$D$2:$D$1801,MATCH(B3224,Pedidos!$A$2:$A$1801,0)),"")</f>
        <v/>
      </c>
      <c r="L3224" s="21">
        <f>IFERROR(INDEX(Pedidos!$F$2:$F$1801,MATCH(B3224,Pedidos!$A$2:$A$1801,0)),"")</f>
        <v/>
      </c>
      <c r="M3224" s="22">
        <f>IFERROR(INDEX(Pedidos!$G$2:$G$1801,MATCH(B3224,Pedidos!$A$2:$A$1801,0)),0)</f>
        <v/>
      </c>
      <c r="N3224" s="21">
        <f>IFERROR(INDEX(Produtos!$B$2:$B$71,MATCH(C3224,Produtos!$A$2:$A$71,0)),"")</f>
        <v/>
      </c>
      <c r="O3224" s="21">
        <f>IFERROR(INDEX(Produtos!$C$2:$C$71,MATCH(C3224,Produtos!$A$2:$A$71,0)),"")</f>
        <v/>
      </c>
      <c r="P3224" s="21">
        <f>IFERROR(INDEX(Produtos!$D$2:$D$71,MATCH(C3224,Produtos!$A$2:$A$71,0)),0)</f>
        <v/>
      </c>
      <c r="Q3224" s="21">
        <f>IFERROR(INDEX(Produtos!$E$2:$E$71,MATCH(C3224,Produtos!$A$2:$A$71,0)),0)</f>
        <v/>
      </c>
      <c r="R3224" s="23">
        <f>D3224*Q3224</f>
        <v/>
      </c>
      <c r="S3224" s="23">
        <f>R3224*E3224</f>
        <v/>
      </c>
      <c r="T3224" s="23">
        <f>(R3224-S3224)*M3224</f>
        <v/>
      </c>
      <c r="U3224" s="23">
        <f>R3224-S3224-T3224</f>
        <v/>
      </c>
      <c r="V3224" s="23">
        <f>D3224*P3224</f>
        <v/>
      </c>
      <c r="W3224" s="23">
        <f>U3224-V3224</f>
        <v/>
      </c>
      <c r="X3224" s="24">
        <f>IFERROR(W3224/U3224,0)</f>
        <v/>
      </c>
    </row>
    <row r="3225">
      <c r="A3225" s="25">
        <f>ItensPedido!A3225</f>
        <v/>
      </c>
      <c r="B3225" s="25">
        <f>ItensPedido!B3225</f>
        <v/>
      </c>
      <c r="C3225" s="25">
        <f>ItensPedido!C3225</f>
        <v/>
      </c>
      <c r="D3225" s="25">
        <f>ItensPedido!D3225</f>
        <v/>
      </c>
      <c r="E3225" s="26">
        <f>ItensPedido!E3225</f>
        <v/>
      </c>
      <c r="F3225" s="25">
        <f>IFERROR(INDEX(Pedidos!$B$2:$B$1801,MATCH(B3225,Pedidos!$A$2:$A$1801,0)),0)</f>
        <v/>
      </c>
      <c r="G3225" s="25">
        <f>IF(F3225=0,"",YEAR(F3225))</f>
        <v/>
      </c>
      <c r="H3225" s="25">
        <f>IF(F3225=0,"",MONTH(F3225))</f>
        <v/>
      </c>
      <c r="I3225" s="25">
        <f>IFERROR(INDEX(Pedidos!$E$2:$E$1801,MATCH(B3225,Pedidos!$A$2:$A$1801,0)),"")</f>
        <v/>
      </c>
      <c r="J3225" s="25">
        <f>IFERROR(INDEX(Pedidos!$C$2:$C$1801,MATCH(B3225,Pedidos!$A$2:$A$1801,0)),"")</f>
        <v/>
      </c>
      <c r="K3225" s="25">
        <f>IFERROR(INDEX(Pedidos!$D$2:$D$1801,MATCH(B3225,Pedidos!$A$2:$A$1801,0)),"")</f>
        <v/>
      </c>
      <c r="L3225" s="25">
        <f>IFERROR(INDEX(Pedidos!$F$2:$F$1801,MATCH(B3225,Pedidos!$A$2:$A$1801,0)),"")</f>
        <v/>
      </c>
      <c r="M3225" s="26">
        <f>IFERROR(INDEX(Pedidos!$G$2:$G$1801,MATCH(B3225,Pedidos!$A$2:$A$1801,0)),0)</f>
        <v/>
      </c>
      <c r="N3225" s="25">
        <f>IFERROR(INDEX(Produtos!$B$2:$B$71,MATCH(C3225,Produtos!$A$2:$A$71,0)),"")</f>
        <v/>
      </c>
      <c r="O3225" s="25">
        <f>IFERROR(INDEX(Produtos!$C$2:$C$71,MATCH(C3225,Produtos!$A$2:$A$71,0)),"")</f>
        <v/>
      </c>
      <c r="P3225" s="25">
        <f>IFERROR(INDEX(Produtos!$D$2:$D$71,MATCH(C3225,Produtos!$A$2:$A$71,0)),0)</f>
        <v/>
      </c>
      <c r="Q3225" s="25">
        <f>IFERROR(INDEX(Produtos!$E$2:$E$71,MATCH(C3225,Produtos!$A$2:$A$71,0)),0)</f>
        <v/>
      </c>
      <c r="R3225" s="27">
        <f>D3225*Q3225</f>
        <v/>
      </c>
      <c r="S3225" s="27">
        <f>R3225*E3225</f>
        <v/>
      </c>
      <c r="T3225" s="27">
        <f>(R3225-S3225)*M3225</f>
        <v/>
      </c>
      <c r="U3225" s="27">
        <f>R3225-S3225-T3225</f>
        <v/>
      </c>
      <c r="V3225" s="27">
        <f>D3225*P3225</f>
        <v/>
      </c>
      <c r="W3225" s="27">
        <f>U3225-V3225</f>
        <v/>
      </c>
      <c r="X3225" s="28">
        <f>IFERROR(W3225/U3225,0)</f>
        <v/>
      </c>
    </row>
    <row r="3226">
      <c r="A3226" s="21">
        <f>ItensPedido!A3226</f>
        <v/>
      </c>
      <c r="B3226" s="21">
        <f>ItensPedido!B3226</f>
        <v/>
      </c>
      <c r="C3226" s="21">
        <f>ItensPedido!C3226</f>
        <v/>
      </c>
      <c r="D3226" s="21">
        <f>ItensPedido!D3226</f>
        <v/>
      </c>
      <c r="E3226" s="22">
        <f>ItensPedido!E3226</f>
        <v/>
      </c>
      <c r="F3226" s="21">
        <f>IFERROR(INDEX(Pedidos!$B$2:$B$1801,MATCH(B3226,Pedidos!$A$2:$A$1801,0)),0)</f>
        <v/>
      </c>
      <c r="G3226" s="21">
        <f>IF(F3226=0,"",YEAR(F3226))</f>
        <v/>
      </c>
      <c r="H3226" s="21">
        <f>IF(F3226=0,"",MONTH(F3226))</f>
        <v/>
      </c>
      <c r="I3226" s="21">
        <f>IFERROR(INDEX(Pedidos!$E$2:$E$1801,MATCH(B3226,Pedidos!$A$2:$A$1801,0)),"")</f>
        <v/>
      </c>
      <c r="J3226" s="21">
        <f>IFERROR(INDEX(Pedidos!$C$2:$C$1801,MATCH(B3226,Pedidos!$A$2:$A$1801,0)),"")</f>
        <v/>
      </c>
      <c r="K3226" s="21">
        <f>IFERROR(INDEX(Pedidos!$D$2:$D$1801,MATCH(B3226,Pedidos!$A$2:$A$1801,0)),"")</f>
        <v/>
      </c>
      <c r="L3226" s="21">
        <f>IFERROR(INDEX(Pedidos!$F$2:$F$1801,MATCH(B3226,Pedidos!$A$2:$A$1801,0)),"")</f>
        <v/>
      </c>
      <c r="M3226" s="22">
        <f>IFERROR(INDEX(Pedidos!$G$2:$G$1801,MATCH(B3226,Pedidos!$A$2:$A$1801,0)),0)</f>
        <v/>
      </c>
      <c r="N3226" s="21">
        <f>IFERROR(INDEX(Produtos!$B$2:$B$71,MATCH(C3226,Produtos!$A$2:$A$71,0)),"")</f>
        <v/>
      </c>
      <c r="O3226" s="21">
        <f>IFERROR(INDEX(Produtos!$C$2:$C$71,MATCH(C3226,Produtos!$A$2:$A$71,0)),"")</f>
        <v/>
      </c>
      <c r="P3226" s="21">
        <f>IFERROR(INDEX(Produtos!$D$2:$D$71,MATCH(C3226,Produtos!$A$2:$A$71,0)),0)</f>
        <v/>
      </c>
      <c r="Q3226" s="21">
        <f>IFERROR(INDEX(Produtos!$E$2:$E$71,MATCH(C3226,Produtos!$A$2:$A$71,0)),0)</f>
        <v/>
      </c>
      <c r="R3226" s="23">
        <f>D3226*Q3226</f>
        <v/>
      </c>
      <c r="S3226" s="23">
        <f>R3226*E3226</f>
        <v/>
      </c>
      <c r="T3226" s="23">
        <f>(R3226-S3226)*M3226</f>
        <v/>
      </c>
      <c r="U3226" s="23">
        <f>R3226-S3226-T3226</f>
        <v/>
      </c>
      <c r="V3226" s="23">
        <f>D3226*P3226</f>
        <v/>
      </c>
      <c r="W3226" s="23">
        <f>U3226-V3226</f>
        <v/>
      </c>
      <c r="X3226" s="24">
        <f>IFERROR(W3226/U3226,0)</f>
        <v/>
      </c>
    </row>
    <row r="3227">
      <c r="A3227" s="25">
        <f>ItensPedido!A3227</f>
        <v/>
      </c>
      <c r="B3227" s="25">
        <f>ItensPedido!B3227</f>
        <v/>
      </c>
      <c r="C3227" s="25">
        <f>ItensPedido!C3227</f>
        <v/>
      </c>
      <c r="D3227" s="25">
        <f>ItensPedido!D3227</f>
        <v/>
      </c>
      <c r="E3227" s="26">
        <f>ItensPedido!E3227</f>
        <v/>
      </c>
      <c r="F3227" s="25">
        <f>IFERROR(INDEX(Pedidos!$B$2:$B$1801,MATCH(B3227,Pedidos!$A$2:$A$1801,0)),0)</f>
        <v/>
      </c>
      <c r="G3227" s="25">
        <f>IF(F3227=0,"",YEAR(F3227))</f>
        <v/>
      </c>
      <c r="H3227" s="25">
        <f>IF(F3227=0,"",MONTH(F3227))</f>
        <v/>
      </c>
      <c r="I3227" s="25">
        <f>IFERROR(INDEX(Pedidos!$E$2:$E$1801,MATCH(B3227,Pedidos!$A$2:$A$1801,0)),"")</f>
        <v/>
      </c>
      <c r="J3227" s="25">
        <f>IFERROR(INDEX(Pedidos!$C$2:$C$1801,MATCH(B3227,Pedidos!$A$2:$A$1801,0)),"")</f>
        <v/>
      </c>
      <c r="K3227" s="25">
        <f>IFERROR(INDEX(Pedidos!$D$2:$D$1801,MATCH(B3227,Pedidos!$A$2:$A$1801,0)),"")</f>
        <v/>
      </c>
      <c r="L3227" s="25">
        <f>IFERROR(INDEX(Pedidos!$F$2:$F$1801,MATCH(B3227,Pedidos!$A$2:$A$1801,0)),"")</f>
        <v/>
      </c>
      <c r="M3227" s="26">
        <f>IFERROR(INDEX(Pedidos!$G$2:$G$1801,MATCH(B3227,Pedidos!$A$2:$A$1801,0)),0)</f>
        <v/>
      </c>
      <c r="N3227" s="25">
        <f>IFERROR(INDEX(Produtos!$B$2:$B$71,MATCH(C3227,Produtos!$A$2:$A$71,0)),"")</f>
        <v/>
      </c>
      <c r="O3227" s="25">
        <f>IFERROR(INDEX(Produtos!$C$2:$C$71,MATCH(C3227,Produtos!$A$2:$A$71,0)),"")</f>
        <v/>
      </c>
      <c r="P3227" s="25">
        <f>IFERROR(INDEX(Produtos!$D$2:$D$71,MATCH(C3227,Produtos!$A$2:$A$71,0)),0)</f>
        <v/>
      </c>
      <c r="Q3227" s="25">
        <f>IFERROR(INDEX(Produtos!$E$2:$E$71,MATCH(C3227,Produtos!$A$2:$A$71,0)),0)</f>
        <v/>
      </c>
      <c r="R3227" s="27">
        <f>D3227*Q3227</f>
        <v/>
      </c>
      <c r="S3227" s="27">
        <f>R3227*E3227</f>
        <v/>
      </c>
      <c r="T3227" s="27">
        <f>(R3227-S3227)*M3227</f>
        <v/>
      </c>
      <c r="U3227" s="27">
        <f>R3227-S3227-T3227</f>
        <v/>
      </c>
      <c r="V3227" s="27">
        <f>D3227*P3227</f>
        <v/>
      </c>
      <c r="W3227" s="27">
        <f>U3227-V3227</f>
        <v/>
      </c>
      <c r="X3227" s="28">
        <f>IFERROR(W3227/U3227,0)</f>
        <v/>
      </c>
    </row>
    <row r="3228">
      <c r="A3228" s="21">
        <f>ItensPedido!A3228</f>
        <v/>
      </c>
      <c r="B3228" s="21">
        <f>ItensPedido!B3228</f>
        <v/>
      </c>
      <c r="C3228" s="21">
        <f>ItensPedido!C3228</f>
        <v/>
      </c>
      <c r="D3228" s="21">
        <f>ItensPedido!D3228</f>
        <v/>
      </c>
      <c r="E3228" s="22">
        <f>ItensPedido!E3228</f>
        <v/>
      </c>
      <c r="F3228" s="21">
        <f>IFERROR(INDEX(Pedidos!$B$2:$B$1801,MATCH(B3228,Pedidos!$A$2:$A$1801,0)),0)</f>
        <v/>
      </c>
      <c r="G3228" s="21">
        <f>IF(F3228=0,"",YEAR(F3228))</f>
        <v/>
      </c>
      <c r="H3228" s="21">
        <f>IF(F3228=0,"",MONTH(F3228))</f>
        <v/>
      </c>
      <c r="I3228" s="21">
        <f>IFERROR(INDEX(Pedidos!$E$2:$E$1801,MATCH(B3228,Pedidos!$A$2:$A$1801,0)),"")</f>
        <v/>
      </c>
      <c r="J3228" s="21">
        <f>IFERROR(INDEX(Pedidos!$C$2:$C$1801,MATCH(B3228,Pedidos!$A$2:$A$1801,0)),"")</f>
        <v/>
      </c>
      <c r="K3228" s="21">
        <f>IFERROR(INDEX(Pedidos!$D$2:$D$1801,MATCH(B3228,Pedidos!$A$2:$A$1801,0)),"")</f>
        <v/>
      </c>
      <c r="L3228" s="21">
        <f>IFERROR(INDEX(Pedidos!$F$2:$F$1801,MATCH(B3228,Pedidos!$A$2:$A$1801,0)),"")</f>
        <v/>
      </c>
      <c r="M3228" s="22">
        <f>IFERROR(INDEX(Pedidos!$G$2:$G$1801,MATCH(B3228,Pedidos!$A$2:$A$1801,0)),0)</f>
        <v/>
      </c>
      <c r="N3228" s="21">
        <f>IFERROR(INDEX(Produtos!$B$2:$B$71,MATCH(C3228,Produtos!$A$2:$A$71,0)),"")</f>
        <v/>
      </c>
      <c r="O3228" s="21">
        <f>IFERROR(INDEX(Produtos!$C$2:$C$71,MATCH(C3228,Produtos!$A$2:$A$71,0)),"")</f>
        <v/>
      </c>
      <c r="P3228" s="21">
        <f>IFERROR(INDEX(Produtos!$D$2:$D$71,MATCH(C3228,Produtos!$A$2:$A$71,0)),0)</f>
        <v/>
      </c>
      <c r="Q3228" s="21">
        <f>IFERROR(INDEX(Produtos!$E$2:$E$71,MATCH(C3228,Produtos!$A$2:$A$71,0)),0)</f>
        <v/>
      </c>
      <c r="R3228" s="23">
        <f>D3228*Q3228</f>
        <v/>
      </c>
      <c r="S3228" s="23">
        <f>R3228*E3228</f>
        <v/>
      </c>
      <c r="T3228" s="23">
        <f>(R3228-S3228)*M3228</f>
        <v/>
      </c>
      <c r="U3228" s="23">
        <f>R3228-S3228-T3228</f>
        <v/>
      </c>
      <c r="V3228" s="23">
        <f>D3228*P3228</f>
        <v/>
      </c>
      <c r="W3228" s="23">
        <f>U3228-V3228</f>
        <v/>
      </c>
      <c r="X3228" s="24">
        <f>IFERROR(W3228/U3228,0)</f>
        <v/>
      </c>
    </row>
    <row r="3229">
      <c r="A3229" s="25">
        <f>ItensPedido!A3229</f>
        <v/>
      </c>
      <c r="B3229" s="25">
        <f>ItensPedido!B3229</f>
        <v/>
      </c>
      <c r="C3229" s="25">
        <f>ItensPedido!C3229</f>
        <v/>
      </c>
      <c r="D3229" s="25">
        <f>ItensPedido!D3229</f>
        <v/>
      </c>
      <c r="E3229" s="26">
        <f>ItensPedido!E3229</f>
        <v/>
      </c>
      <c r="F3229" s="25">
        <f>IFERROR(INDEX(Pedidos!$B$2:$B$1801,MATCH(B3229,Pedidos!$A$2:$A$1801,0)),0)</f>
        <v/>
      </c>
      <c r="G3229" s="25">
        <f>IF(F3229=0,"",YEAR(F3229))</f>
        <v/>
      </c>
      <c r="H3229" s="25">
        <f>IF(F3229=0,"",MONTH(F3229))</f>
        <v/>
      </c>
      <c r="I3229" s="25">
        <f>IFERROR(INDEX(Pedidos!$E$2:$E$1801,MATCH(B3229,Pedidos!$A$2:$A$1801,0)),"")</f>
        <v/>
      </c>
      <c r="J3229" s="25">
        <f>IFERROR(INDEX(Pedidos!$C$2:$C$1801,MATCH(B3229,Pedidos!$A$2:$A$1801,0)),"")</f>
        <v/>
      </c>
      <c r="K3229" s="25">
        <f>IFERROR(INDEX(Pedidos!$D$2:$D$1801,MATCH(B3229,Pedidos!$A$2:$A$1801,0)),"")</f>
        <v/>
      </c>
      <c r="L3229" s="25">
        <f>IFERROR(INDEX(Pedidos!$F$2:$F$1801,MATCH(B3229,Pedidos!$A$2:$A$1801,0)),"")</f>
        <v/>
      </c>
      <c r="M3229" s="26">
        <f>IFERROR(INDEX(Pedidos!$G$2:$G$1801,MATCH(B3229,Pedidos!$A$2:$A$1801,0)),0)</f>
        <v/>
      </c>
      <c r="N3229" s="25">
        <f>IFERROR(INDEX(Produtos!$B$2:$B$71,MATCH(C3229,Produtos!$A$2:$A$71,0)),"")</f>
        <v/>
      </c>
      <c r="O3229" s="25">
        <f>IFERROR(INDEX(Produtos!$C$2:$C$71,MATCH(C3229,Produtos!$A$2:$A$71,0)),"")</f>
        <v/>
      </c>
      <c r="P3229" s="25">
        <f>IFERROR(INDEX(Produtos!$D$2:$D$71,MATCH(C3229,Produtos!$A$2:$A$71,0)),0)</f>
        <v/>
      </c>
      <c r="Q3229" s="25">
        <f>IFERROR(INDEX(Produtos!$E$2:$E$71,MATCH(C3229,Produtos!$A$2:$A$71,0)),0)</f>
        <v/>
      </c>
      <c r="R3229" s="27">
        <f>D3229*Q3229</f>
        <v/>
      </c>
      <c r="S3229" s="27">
        <f>R3229*E3229</f>
        <v/>
      </c>
      <c r="T3229" s="27">
        <f>(R3229-S3229)*M3229</f>
        <v/>
      </c>
      <c r="U3229" s="27">
        <f>R3229-S3229-T3229</f>
        <v/>
      </c>
      <c r="V3229" s="27">
        <f>D3229*P3229</f>
        <v/>
      </c>
      <c r="W3229" s="27">
        <f>U3229-V3229</f>
        <v/>
      </c>
      <c r="X3229" s="28">
        <f>IFERROR(W3229/U3229,0)</f>
        <v/>
      </c>
    </row>
    <row r="3230">
      <c r="A3230" s="21">
        <f>ItensPedido!A3230</f>
        <v/>
      </c>
      <c r="B3230" s="21">
        <f>ItensPedido!B3230</f>
        <v/>
      </c>
      <c r="C3230" s="21">
        <f>ItensPedido!C3230</f>
        <v/>
      </c>
      <c r="D3230" s="21">
        <f>ItensPedido!D3230</f>
        <v/>
      </c>
      <c r="E3230" s="22">
        <f>ItensPedido!E3230</f>
        <v/>
      </c>
      <c r="F3230" s="21">
        <f>IFERROR(INDEX(Pedidos!$B$2:$B$1801,MATCH(B3230,Pedidos!$A$2:$A$1801,0)),0)</f>
        <v/>
      </c>
      <c r="G3230" s="21">
        <f>IF(F3230=0,"",YEAR(F3230))</f>
        <v/>
      </c>
      <c r="H3230" s="21">
        <f>IF(F3230=0,"",MONTH(F3230))</f>
        <v/>
      </c>
      <c r="I3230" s="21">
        <f>IFERROR(INDEX(Pedidos!$E$2:$E$1801,MATCH(B3230,Pedidos!$A$2:$A$1801,0)),"")</f>
        <v/>
      </c>
      <c r="J3230" s="21">
        <f>IFERROR(INDEX(Pedidos!$C$2:$C$1801,MATCH(B3230,Pedidos!$A$2:$A$1801,0)),"")</f>
        <v/>
      </c>
      <c r="K3230" s="21">
        <f>IFERROR(INDEX(Pedidos!$D$2:$D$1801,MATCH(B3230,Pedidos!$A$2:$A$1801,0)),"")</f>
        <v/>
      </c>
      <c r="L3230" s="21">
        <f>IFERROR(INDEX(Pedidos!$F$2:$F$1801,MATCH(B3230,Pedidos!$A$2:$A$1801,0)),"")</f>
        <v/>
      </c>
      <c r="M3230" s="22">
        <f>IFERROR(INDEX(Pedidos!$G$2:$G$1801,MATCH(B3230,Pedidos!$A$2:$A$1801,0)),0)</f>
        <v/>
      </c>
      <c r="N3230" s="21">
        <f>IFERROR(INDEX(Produtos!$B$2:$B$71,MATCH(C3230,Produtos!$A$2:$A$71,0)),"")</f>
        <v/>
      </c>
      <c r="O3230" s="21">
        <f>IFERROR(INDEX(Produtos!$C$2:$C$71,MATCH(C3230,Produtos!$A$2:$A$71,0)),"")</f>
        <v/>
      </c>
      <c r="P3230" s="21">
        <f>IFERROR(INDEX(Produtos!$D$2:$D$71,MATCH(C3230,Produtos!$A$2:$A$71,0)),0)</f>
        <v/>
      </c>
      <c r="Q3230" s="21">
        <f>IFERROR(INDEX(Produtos!$E$2:$E$71,MATCH(C3230,Produtos!$A$2:$A$71,0)),0)</f>
        <v/>
      </c>
      <c r="R3230" s="23">
        <f>D3230*Q3230</f>
        <v/>
      </c>
      <c r="S3230" s="23">
        <f>R3230*E3230</f>
        <v/>
      </c>
      <c r="T3230" s="23">
        <f>(R3230-S3230)*M3230</f>
        <v/>
      </c>
      <c r="U3230" s="23">
        <f>R3230-S3230-T3230</f>
        <v/>
      </c>
      <c r="V3230" s="23">
        <f>D3230*P3230</f>
        <v/>
      </c>
      <c r="W3230" s="23">
        <f>U3230-V3230</f>
        <v/>
      </c>
      <c r="X3230" s="24">
        <f>IFERROR(W3230/U3230,0)</f>
        <v/>
      </c>
    </row>
    <row r="3231">
      <c r="A3231" s="25">
        <f>ItensPedido!A3231</f>
        <v/>
      </c>
      <c r="B3231" s="25">
        <f>ItensPedido!B3231</f>
        <v/>
      </c>
      <c r="C3231" s="25">
        <f>ItensPedido!C3231</f>
        <v/>
      </c>
      <c r="D3231" s="25">
        <f>ItensPedido!D3231</f>
        <v/>
      </c>
      <c r="E3231" s="26">
        <f>ItensPedido!E3231</f>
        <v/>
      </c>
      <c r="F3231" s="25">
        <f>IFERROR(INDEX(Pedidos!$B$2:$B$1801,MATCH(B3231,Pedidos!$A$2:$A$1801,0)),0)</f>
        <v/>
      </c>
      <c r="G3231" s="25">
        <f>IF(F3231=0,"",YEAR(F3231))</f>
        <v/>
      </c>
      <c r="H3231" s="25">
        <f>IF(F3231=0,"",MONTH(F3231))</f>
        <v/>
      </c>
      <c r="I3231" s="25">
        <f>IFERROR(INDEX(Pedidos!$E$2:$E$1801,MATCH(B3231,Pedidos!$A$2:$A$1801,0)),"")</f>
        <v/>
      </c>
      <c r="J3231" s="25">
        <f>IFERROR(INDEX(Pedidos!$C$2:$C$1801,MATCH(B3231,Pedidos!$A$2:$A$1801,0)),"")</f>
        <v/>
      </c>
      <c r="K3231" s="25">
        <f>IFERROR(INDEX(Pedidos!$D$2:$D$1801,MATCH(B3231,Pedidos!$A$2:$A$1801,0)),"")</f>
        <v/>
      </c>
      <c r="L3231" s="25">
        <f>IFERROR(INDEX(Pedidos!$F$2:$F$1801,MATCH(B3231,Pedidos!$A$2:$A$1801,0)),"")</f>
        <v/>
      </c>
      <c r="M3231" s="26">
        <f>IFERROR(INDEX(Pedidos!$G$2:$G$1801,MATCH(B3231,Pedidos!$A$2:$A$1801,0)),0)</f>
        <v/>
      </c>
      <c r="N3231" s="25">
        <f>IFERROR(INDEX(Produtos!$B$2:$B$71,MATCH(C3231,Produtos!$A$2:$A$71,0)),"")</f>
        <v/>
      </c>
      <c r="O3231" s="25">
        <f>IFERROR(INDEX(Produtos!$C$2:$C$71,MATCH(C3231,Produtos!$A$2:$A$71,0)),"")</f>
        <v/>
      </c>
      <c r="P3231" s="25">
        <f>IFERROR(INDEX(Produtos!$D$2:$D$71,MATCH(C3231,Produtos!$A$2:$A$71,0)),0)</f>
        <v/>
      </c>
      <c r="Q3231" s="25">
        <f>IFERROR(INDEX(Produtos!$E$2:$E$71,MATCH(C3231,Produtos!$A$2:$A$71,0)),0)</f>
        <v/>
      </c>
      <c r="R3231" s="27">
        <f>D3231*Q3231</f>
        <v/>
      </c>
      <c r="S3231" s="27">
        <f>R3231*E3231</f>
        <v/>
      </c>
      <c r="T3231" s="27">
        <f>(R3231-S3231)*M3231</f>
        <v/>
      </c>
      <c r="U3231" s="27">
        <f>R3231-S3231-T3231</f>
        <v/>
      </c>
      <c r="V3231" s="27">
        <f>D3231*P3231</f>
        <v/>
      </c>
      <c r="W3231" s="27">
        <f>U3231-V3231</f>
        <v/>
      </c>
      <c r="X3231" s="28">
        <f>IFERROR(W3231/U3231,0)</f>
        <v/>
      </c>
    </row>
    <row r="3232">
      <c r="A3232" s="21">
        <f>ItensPedido!A3232</f>
        <v/>
      </c>
      <c r="B3232" s="21">
        <f>ItensPedido!B3232</f>
        <v/>
      </c>
      <c r="C3232" s="21">
        <f>ItensPedido!C3232</f>
        <v/>
      </c>
      <c r="D3232" s="21">
        <f>ItensPedido!D3232</f>
        <v/>
      </c>
      <c r="E3232" s="22">
        <f>ItensPedido!E3232</f>
        <v/>
      </c>
      <c r="F3232" s="21">
        <f>IFERROR(INDEX(Pedidos!$B$2:$B$1801,MATCH(B3232,Pedidos!$A$2:$A$1801,0)),0)</f>
        <v/>
      </c>
      <c r="G3232" s="21">
        <f>IF(F3232=0,"",YEAR(F3232))</f>
        <v/>
      </c>
      <c r="H3232" s="21">
        <f>IF(F3232=0,"",MONTH(F3232))</f>
        <v/>
      </c>
      <c r="I3232" s="21">
        <f>IFERROR(INDEX(Pedidos!$E$2:$E$1801,MATCH(B3232,Pedidos!$A$2:$A$1801,0)),"")</f>
        <v/>
      </c>
      <c r="J3232" s="21">
        <f>IFERROR(INDEX(Pedidos!$C$2:$C$1801,MATCH(B3232,Pedidos!$A$2:$A$1801,0)),"")</f>
        <v/>
      </c>
      <c r="K3232" s="21">
        <f>IFERROR(INDEX(Pedidos!$D$2:$D$1801,MATCH(B3232,Pedidos!$A$2:$A$1801,0)),"")</f>
        <v/>
      </c>
      <c r="L3232" s="21">
        <f>IFERROR(INDEX(Pedidos!$F$2:$F$1801,MATCH(B3232,Pedidos!$A$2:$A$1801,0)),"")</f>
        <v/>
      </c>
      <c r="M3232" s="22">
        <f>IFERROR(INDEX(Pedidos!$G$2:$G$1801,MATCH(B3232,Pedidos!$A$2:$A$1801,0)),0)</f>
        <v/>
      </c>
      <c r="N3232" s="21">
        <f>IFERROR(INDEX(Produtos!$B$2:$B$71,MATCH(C3232,Produtos!$A$2:$A$71,0)),"")</f>
        <v/>
      </c>
      <c r="O3232" s="21">
        <f>IFERROR(INDEX(Produtos!$C$2:$C$71,MATCH(C3232,Produtos!$A$2:$A$71,0)),"")</f>
        <v/>
      </c>
      <c r="P3232" s="21">
        <f>IFERROR(INDEX(Produtos!$D$2:$D$71,MATCH(C3232,Produtos!$A$2:$A$71,0)),0)</f>
        <v/>
      </c>
      <c r="Q3232" s="21">
        <f>IFERROR(INDEX(Produtos!$E$2:$E$71,MATCH(C3232,Produtos!$A$2:$A$71,0)),0)</f>
        <v/>
      </c>
      <c r="R3232" s="23">
        <f>D3232*Q3232</f>
        <v/>
      </c>
      <c r="S3232" s="23">
        <f>R3232*E3232</f>
        <v/>
      </c>
      <c r="T3232" s="23">
        <f>(R3232-S3232)*M3232</f>
        <v/>
      </c>
      <c r="U3232" s="23">
        <f>R3232-S3232-T3232</f>
        <v/>
      </c>
      <c r="V3232" s="23">
        <f>D3232*P3232</f>
        <v/>
      </c>
      <c r="W3232" s="23">
        <f>U3232-V3232</f>
        <v/>
      </c>
      <c r="X3232" s="24">
        <f>IFERROR(W3232/U3232,0)</f>
        <v/>
      </c>
    </row>
    <row r="3233">
      <c r="A3233" s="25">
        <f>ItensPedido!A3233</f>
        <v/>
      </c>
      <c r="B3233" s="25">
        <f>ItensPedido!B3233</f>
        <v/>
      </c>
      <c r="C3233" s="25">
        <f>ItensPedido!C3233</f>
        <v/>
      </c>
      <c r="D3233" s="25">
        <f>ItensPedido!D3233</f>
        <v/>
      </c>
      <c r="E3233" s="26">
        <f>ItensPedido!E3233</f>
        <v/>
      </c>
      <c r="F3233" s="25">
        <f>IFERROR(INDEX(Pedidos!$B$2:$B$1801,MATCH(B3233,Pedidos!$A$2:$A$1801,0)),0)</f>
        <v/>
      </c>
      <c r="G3233" s="25">
        <f>IF(F3233=0,"",YEAR(F3233))</f>
        <v/>
      </c>
      <c r="H3233" s="25">
        <f>IF(F3233=0,"",MONTH(F3233))</f>
        <v/>
      </c>
      <c r="I3233" s="25">
        <f>IFERROR(INDEX(Pedidos!$E$2:$E$1801,MATCH(B3233,Pedidos!$A$2:$A$1801,0)),"")</f>
        <v/>
      </c>
      <c r="J3233" s="25">
        <f>IFERROR(INDEX(Pedidos!$C$2:$C$1801,MATCH(B3233,Pedidos!$A$2:$A$1801,0)),"")</f>
        <v/>
      </c>
      <c r="K3233" s="25">
        <f>IFERROR(INDEX(Pedidos!$D$2:$D$1801,MATCH(B3233,Pedidos!$A$2:$A$1801,0)),"")</f>
        <v/>
      </c>
      <c r="L3233" s="25">
        <f>IFERROR(INDEX(Pedidos!$F$2:$F$1801,MATCH(B3233,Pedidos!$A$2:$A$1801,0)),"")</f>
        <v/>
      </c>
      <c r="M3233" s="26">
        <f>IFERROR(INDEX(Pedidos!$G$2:$G$1801,MATCH(B3233,Pedidos!$A$2:$A$1801,0)),0)</f>
        <v/>
      </c>
      <c r="N3233" s="25">
        <f>IFERROR(INDEX(Produtos!$B$2:$B$71,MATCH(C3233,Produtos!$A$2:$A$71,0)),"")</f>
        <v/>
      </c>
      <c r="O3233" s="25">
        <f>IFERROR(INDEX(Produtos!$C$2:$C$71,MATCH(C3233,Produtos!$A$2:$A$71,0)),"")</f>
        <v/>
      </c>
      <c r="P3233" s="25">
        <f>IFERROR(INDEX(Produtos!$D$2:$D$71,MATCH(C3233,Produtos!$A$2:$A$71,0)),0)</f>
        <v/>
      </c>
      <c r="Q3233" s="25">
        <f>IFERROR(INDEX(Produtos!$E$2:$E$71,MATCH(C3233,Produtos!$A$2:$A$71,0)),0)</f>
        <v/>
      </c>
      <c r="R3233" s="27">
        <f>D3233*Q3233</f>
        <v/>
      </c>
      <c r="S3233" s="27">
        <f>R3233*E3233</f>
        <v/>
      </c>
      <c r="T3233" s="27">
        <f>(R3233-S3233)*M3233</f>
        <v/>
      </c>
      <c r="U3233" s="27">
        <f>R3233-S3233-T3233</f>
        <v/>
      </c>
      <c r="V3233" s="27">
        <f>D3233*P3233</f>
        <v/>
      </c>
      <c r="W3233" s="27">
        <f>U3233-V3233</f>
        <v/>
      </c>
      <c r="X3233" s="28">
        <f>IFERROR(W3233/U3233,0)</f>
        <v/>
      </c>
    </row>
    <row r="3234">
      <c r="A3234" s="21">
        <f>ItensPedido!A3234</f>
        <v/>
      </c>
      <c r="B3234" s="21">
        <f>ItensPedido!B3234</f>
        <v/>
      </c>
      <c r="C3234" s="21">
        <f>ItensPedido!C3234</f>
        <v/>
      </c>
      <c r="D3234" s="21">
        <f>ItensPedido!D3234</f>
        <v/>
      </c>
      <c r="E3234" s="22">
        <f>ItensPedido!E3234</f>
        <v/>
      </c>
      <c r="F3234" s="21">
        <f>IFERROR(INDEX(Pedidos!$B$2:$B$1801,MATCH(B3234,Pedidos!$A$2:$A$1801,0)),0)</f>
        <v/>
      </c>
      <c r="G3234" s="21">
        <f>IF(F3234=0,"",YEAR(F3234))</f>
        <v/>
      </c>
      <c r="H3234" s="21">
        <f>IF(F3234=0,"",MONTH(F3234))</f>
        <v/>
      </c>
      <c r="I3234" s="21">
        <f>IFERROR(INDEX(Pedidos!$E$2:$E$1801,MATCH(B3234,Pedidos!$A$2:$A$1801,0)),"")</f>
        <v/>
      </c>
      <c r="J3234" s="21">
        <f>IFERROR(INDEX(Pedidos!$C$2:$C$1801,MATCH(B3234,Pedidos!$A$2:$A$1801,0)),"")</f>
        <v/>
      </c>
      <c r="K3234" s="21">
        <f>IFERROR(INDEX(Pedidos!$D$2:$D$1801,MATCH(B3234,Pedidos!$A$2:$A$1801,0)),"")</f>
        <v/>
      </c>
      <c r="L3234" s="21">
        <f>IFERROR(INDEX(Pedidos!$F$2:$F$1801,MATCH(B3234,Pedidos!$A$2:$A$1801,0)),"")</f>
        <v/>
      </c>
      <c r="M3234" s="22">
        <f>IFERROR(INDEX(Pedidos!$G$2:$G$1801,MATCH(B3234,Pedidos!$A$2:$A$1801,0)),0)</f>
        <v/>
      </c>
      <c r="N3234" s="21">
        <f>IFERROR(INDEX(Produtos!$B$2:$B$71,MATCH(C3234,Produtos!$A$2:$A$71,0)),"")</f>
        <v/>
      </c>
      <c r="O3234" s="21">
        <f>IFERROR(INDEX(Produtos!$C$2:$C$71,MATCH(C3234,Produtos!$A$2:$A$71,0)),"")</f>
        <v/>
      </c>
      <c r="P3234" s="21">
        <f>IFERROR(INDEX(Produtos!$D$2:$D$71,MATCH(C3234,Produtos!$A$2:$A$71,0)),0)</f>
        <v/>
      </c>
      <c r="Q3234" s="21">
        <f>IFERROR(INDEX(Produtos!$E$2:$E$71,MATCH(C3234,Produtos!$A$2:$A$71,0)),0)</f>
        <v/>
      </c>
      <c r="R3234" s="23">
        <f>D3234*Q3234</f>
        <v/>
      </c>
      <c r="S3234" s="23">
        <f>R3234*E3234</f>
        <v/>
      </c>
      <c r="T3234" s="23">
        <f>(R3234-S3234)*M3234</f>
        <v/>
      </c>
      <c r="U3234" s="23">
        <f>R3234-S3234-T3234</f>
        <v/>
      </c>
      <c r="V3234" s="23">
        <f>D3234*P3234</f>
        <v/>
      </c>
      <c r="W3234" s="23">
        <f>U3234-V3234</f>
        <v/>
      </c>
      <c r="X3234" s="24">
        <f>IFERROR(W3234/U3234,0)</f>
        <v/>
      </c>
    </row>
    <row r="3235">
      <c r="A3235" s="25">
        <f>ItensPedido!A3235</f>
        <v/>
      </c>
      <c r="B3235" s="25">
        <f>ItensPedido!B3235</f>
        <v/>
      </c>
      <c r="C3235" s="25">
        <f>ItensPedido!C3235</f>
        <v/>
      </c>
      <c r="D3235" s="25">
        <f>ItensPedido!D3235</f>
        <v/>
      </c>
      <c r="E3235" s="26">
        <f>ItensPedido!E3235</f>
        <v/>
      </c>
      <c r="F3235" s="25">
        <f>IFERROR(INDEX(Pedidos!$B$2:$B$1801,MATCH(B3235,Pedidos!$A$2:$A$1801,0)),0)</f>
        <v/>
      </c>
      <c r="G3235" s="25">
        <f>IF(F3235=0,"",YEAR(F3235))</f>
        <v/>
      </c>
      <c r="H3235" s="25">
        <f>IF(F3235=0,"",MONTH(F3235))</f>
        <v/>
      </c>
      <c r="I3235" s="25">
        <f>IFERROR(INDEX(Pedidos!$E$2:$E$1801,MATCH(B3235,Pedidos!$A$2:$A$1801,0)),"")</f>
        <v/>
      </c>
      <c r="J3235" s="25">
        <f>IFERROR(INDEX(Pedidos!$C$2:$C$1801,MATCH(B3235,Pedidos!$A$2:$A$1801,0)),"")</f>
        <v/>
      </c>
      <c r="K3235" s="25">
        <f>IFERROR(INDEX(Pedidos!$D$2:$D$1801,MATCH(B3235,Pedidos!$A$2:$A$1801,0)),"")</f>
        <v/>
      </c>
      <c r="L3235" s="25">
        <f>IFERROR(INDEX(Pedidos!$F$2:$F$1801,MATCH(B3235,Pedidos!$A$2:$A$1801,0)),"")</f>
        <v/>
      </c>
      <c r="M3235" s="26">
        <f>IFERROR(INDEX(Pedidos!$G$2:$G$1801,MATCH(B3235,Pedidos!$A$2:$A$1801,0)),0)</f>
        <v/>
      </c>
      <c r="N3235" s="25">
        <f>IFERROR(INDEX(Produtos!$B$2:$B$71,MATCH(C3235,Produtos!$A$2:$A$71,0)),"")</f>
        <v/>
      </c>
      <c r="O3235" s="25">
        <f>IFERROR(INDEX(Produtos!$C$2:$C$71,MATCH(C3235,Produtos!$A$2:$A$71,0)),"")</f>
        <v/>
      </c>
      <c r="P3235" s="25">
        <f>IFERROR(INDEX(Produtos!$D$2:$D$71,MATCH(C3235,Produtos!$A$2:$A$71,0)),0)</f>
        <v/>
      </c>
      <c r="Q3235" s="25">
        <f>IFERROR(INDEX(Produtos!$E$2:$E$71,MATCH(C3235,Produtos!$A$2:$A$71,0)),0)</f>
        <v/>
      </c>
      <c r="R3235" s="27">
        <f>D3235*Q3235</f>
        <v/>
      </c>
      <c r="S3235" s="27">
        <f>R3235*E3235</f>
        <v/>
      </c>
      <c r="T3235" s="27">
        <f>(R3235-S3235)*M3235</f>
        <v/>
      </c>
      <c r="U3235" s="27">
        <f>R3235-S3235-T3235</f>
        <v/>
      </c>
      <c r="V3235" s="27">
        <f>D3235*P3235</f>
        <v/>
      </c>
      <c r="W3235" s="27">
        <f>U3235-V3235</f>
        <v/>
      </c>
      <c r="X3235" s="28">
        <f>IFERROR(W3235/U3235,0)</f>
        <v/>
      </c>
    </row>
    <row r="3236">
      <c r="A3236" s="21">
        <f>ItensPedido!A3236</f>
        <v/>
      </c>
      <c r="B3236" s="21">
        <f>ItensPedido!B3236</f>
        <v/>
      </c>
      <c r="C3236" s="21">
        <f>ItensPedido!C3236</f>
        <v/>
      </c>
      <c r="D3236" s="21">
        <f>ItensPedido!D3236</f>
        <v/>
      </c>
      <c r="E3236" s="22">
        <f>ItensPedido!E3236</f>
        <v/>
      </c>
      <c r="F3236" s="21">
        <f>IFERROR(INDEX(Pedidos!$B$2:$B$1801,MATCH(B3236,Pedidos!$A$2:$A$1801,0)),0)</f>
        <v/>
      </c>
      <c r="G3236" s="21">
        <f>IF(F3236=0,"",YEAR(F3236))</f>
        <v/>
      </c>
      <c r="H3236" s="21">
        <f>IF(F3236=0,"",MONTH(F3236))</f>
        <v/>
      </c>
      <c r="I3236" s="21">
        <f>IFERROR(INDEX(Pedidos!$E$2:$E$1801,MATCH(B3236,Pedidos!$A$2:$A$1801,0)),"")</f>
        <v/>
      </c>
      <c r="J3236" s="21">
        <f>IFERROR(INDEX(Pedidos!$C$2:$C$1801,MATCH(B3236,Pedidos!$A$2:$A$1801,0)),"")</f>
        <v/>
      </c>
      <c r="K3236" s="21">
        <f>IFERROR(INDEX(Pedidos!$D$2:$D$1801,MATCH(B3236,Pedidos!$A$2:$A$1801,0)),"")</f>
        <v/>
      </c>
      <c r="L3236" s="21">
        <f>IFERROR(INDEX(Pedidos!$F$2:$F$1801,MATCH(B3236,Pedidos!$A$2:$A$1801,0)),"")</f>
        <v/>
      </c>
      <c r="M3236" s="22">
        <f>IFERROR(INDEX(Pedidos!$G$2:$G$1801,MATCH(B3236,Pedidos!$A$2:$A$1801,0)),0)</f>
        <v/>
      </c>
      <c r="N3236" s="21">
        <f>IFERROR(INDEX(Produtos!$B$2:$B$71,MATCH(C3236,Produtos!$A$2:$A$71,0)),"")</f>
        <v/>
      </c>
      <c r="O3236" s="21">
        <f>IFERROR(INDEX(Produtos!$C$2:$C$71,MATCH(C3236,Produtos!$A$2:$A$71,0)),"")</f>
        <v/>
      </c>
      <c r="P3236" s="21">
        <f>IFERROR(INDEX(Produtos!$D$2:$D$71,MATCH(C3236,Produtos!$A$2:$A$71,0)),0)</f>
        <v/>
      </c>
      <c r="Q3236" s="21">
        <f>IFERROR(INDEX(Produtos!$E$2:$E$71,MATCH(C3236,Produtos!$A$2:$A$71,0)),0)</f>
        <v/>
      </c>
      <c r="R3236" s="23">
        <f>D3236*Q3236</f>
        <v/>
      </c>
      <c r="S3236" s="23">
        <f>R3236*E3236</f>
        <v/>
      </c>
      <c r="T3236" s="23">
        <f>(R3236-S3236)*M3236</f>
        <v/>
      </c>
      <c r="U3236" s="23">
        <f>R3236-S3236-T3236</f>
        <v/>
      </c>
      <c r="V3236" s="23">
        <f>D3236*P3236</f>
        <v/>
      </c>
      <c r="W3236" s="23">
        <f>U3236-V3236</f>
        <v/>
      </c>
      <c r="X3236" s="24">
        <f>IFERROR(W3236/U3236,0)</f>
        <v/>
      </c>
    </row>
    <row r="3237">
      <c r="A3237" s="25">
        <f>ItensPedido!A3237</f>
        <v/>
      </c>
      <c r="B3237" s="25">
        <f>ItensPedido!B3237</f>
        <v/>
      </c>
      <c r="C3237" s="25">
        <f>ItensPedido!C3237</f>
        <v/>
      </c>
      <c r="D3237" s="25">
        <f>ItensPedido!D3237</f>
        <v/>
      </c>
      <c r="E3237" s="26">
        <f>ItensPedido!E3237</f>
        <v/>
      </c>
      <c r="F3237" s="25">
        <f>IFERROR(INDEX(Pedidos!$B$2:$B$1801,MATCH(B3237,Pedidos!$A$2:$A$1801,0)),0)</f>
        <v/>
      </c>
      <c r="G3237" s="25">
        <f>IF(F3237=0,"",YEAR(F3237))</f>
        <v/>
      </c>
      <c r="H3237" s="25">
        <f>IF(F3237=0,"",MONTH(F3237))</f>
        <v/>
      </c>
      <c r="I3237" s="25">
        <f>IFERROR(INDEX(Pedidos!$E$2:$E$1801,MATCH(B3237,Pedidos!$A$2:$A$1801,0)),"")</f>
        <v/>
      </c>
      <c r="J3237" s="25">
        <f>IFERROR(INDEX(Pedidos!$C$2:$C$1801,MATCH(B3237,Pedidos!$A$2:$A$1801,0)),"")</f>
        <v/>
      </c>
      <c r="K3237" s="25">
        <f>IFERROR(INDEX(Pedidos!$D$2:$D$1801,MATCH(B3237,Pedidos!$A$2:$A$1801,0)),"")</f>
        <v/>
      </c>
      <c r="L3237" s="25">
        <f>IFERROR(INDEX(Pedidos!$F$2:$F$1801,MATCH(B3237,Pedidos!$A$2:$A$1801,0)),"")</f>
        <v/>
      </c>
      <c r="M3237" s="26">
        <f>IFERROR(INDEX(Pedidos!$G$2:$G$1801,MATCH(B3237,Pedidos!$A$2:$A$1801,0)),0)</f>
        <v/>
      </c>
      <c r="N3237" s="25">
        <f>IFERROR(INDEX(Produtos!$B$2:$B$71,MATCH(C3237,Produtos!$A$2:$A$71,0)),"")</f>
        <v/>
      </c>
      <c r="O3237" s="25">
        <f>IFERROR(INDEX(Produtos!$C$2:$C$71,MATCH(C3237,Produtos!$A$2:$A$71,0)),"")</f>
        <v/>
      </c>
      <c r="P3237" s="25">
        <f>IFERROR(INDEX(Produtos!$D$2:$D$71,MATCH(C3237,Produtos!$A$2:$A$71,0)),0)</f>
        <v/>
      </c>
      <c r="Q3237" s="25">
        <f>IFERROR(INDEX(Produtos!$E$2:$E$71,MATCH(C3237,Produtos!$A$2:$A$71,0)),0)</f>
        <v/>
      </c>
      <c r="R3237" s="27">
        <f>D3237*Q3237</f>
        <v/>
      </c>
      <c r="S3237" s="27">
        <f>R3237*E3237</f>
        <v/>
      </c>
      <c r="T3237" s="27">
        <f>(R3237-S3237)*M3237</f>
        <v/>
      </c>
      <c r="U3237" s="27">
        <f>R3237-S3237-T3237</f>
        <v/>
      </c>
      <c r="V3237" s="27">
        <f>D3237*P3237</f>
        <v/>
      </c>
      <c r="W3237" s="27">
        <f>U3237-V3237</f>
        <v/>
      </c>
      <c r="X3237" s="28">
        <f>IFERROR(W3237/U3237,0)</f>
        <v/>
      </c>
    </row>
    <row r="3238">
      <c r="A3238" s="21">
        <f>ItensPedido!A3238</f>
        <v/>
      </c>
      <c r="B3238" s="21">
        <f>ItensPedido!B3238</f>
        <v/>
      </c>
      <c r="C3238" s="21">
        <f>ItensPedido!C3238</f>
        <v/>
      </c>
      <c r="D3238" s="21">
        <f>ItensPedido!D3238</f>
        <v/>
      </c>
      <c r="E3238" s="22">
        <f>ItensPedido!E3238</f>
        <v/>
      </c>
      <c r="F3238" s="21">
        <f>IFERROR(INDEX(Pedidos!$B$2:$B$1801,MATCH(B3238,Pedidos!$A$2:$A$1801,0)),0)</f>
        <v/>
      </c>
      <c r="G3238" s="21">
        <f>IF(F3238=0,"",YEAR(F3238))</f>
        <v/>
      </c>
      <c r="H3238" s="21">
        <f>IF(F3238=0,"",MONTH(F3238))</f>
        <v/>
      </c>
      <c r="I3238" s="21">
        <f>IFERROR(INDEX(Pedidos!$E$2:$E$1801,MATCH(B3238,Pedidos!$A$2:$A$1801,0)),"")</f>
        <v/>
      </c>
      <c r="J3238" s="21">
        <f>IFERROR(INDEX(Pedidos!$C$2:$C$1801,MATCH(B3238,Pedidos!$A$2:$A$1801,0)),"")</f>
        <v/>
      </c>
      <c r="K3238" s="21">
        <f>IFERROR(INDEX(Pedidos!$D$2:$D$1801,MATCH(B3238,Pedidos!$A$2:$A$1801,0)),"")</f>
        <v/>
      </c>
      <c r="L3238" s="21">
        <f>IFERROR(INDEX(Pedidos!$F$2:$F$1801,MATCH(B3238,Pedidos!$A$2:$A$1801,0)),"")</f>
        <v/>
      </c>
      <c r="M3238" s="22">
        <f>IFERROR(INDEX(Pedidos!$G$2:$G$1801,MATCH(B3238,Pedidos!$A$2:$A$1801,0)),0)</f>
        <v/>
      </c>
      <c r="N3238" s="21">
        <f>IFERROR(INDEX(Produtos!$B$2:$B$71,MATCH(C3238,Produtos!$A$2:$A$71,0)),"")</f>
        <v/>
      </c>
      <c r="O3238" s="21">
        <f>IFERROR(INDEX(Produtos!$C$2:$C$71,MATCH(C3238,Produtos!$A$2:$A$71,0)),"")</f>
        <v/>
      </c>
      <c r="P3238" s="21">
        <f>IFERROR(INDEX(Produtos!$D$2:$D$71,MATCH(C3238,Produtos!$A$2:$A$71,0)),0)</f>
        <v/>
      </c>
      <c r="Q3238" s="21">
        <f>IFERROR(INDEX(Produtos!$E$2:$E$71,MATCH(C3238,Produtos!$A$2:$A$71,0)),0)</f>
        <v/>
      </c>
      <c r="R3238" s="23">
        <f>D3238*Q3238</f>
        <v/>
      </c>
      <c r="S3238" s="23">
        <f>R3238*E3238</f>
        <v/>
      </c>
      <c r="T3238" s="23">
        <f>(R3238-S3238)*M3238</f>
        <v/>
      </c>
      <c r="U3238" s="23">
        <f>R3238-S3238-T3238</f>
        <v/>
      </c>
      <c r="V3238" s="23">
        <f>D3238*P3238</f>
        <v/>
      </c>
      <c r="W3238" s="23">
        <f>U3238-V3238</f>
        <v/>
      </c>
      <c r="X3238" s="24">
        <f>IFERROR(W3238/U3238,0)</f>
        <v/>
      </c>
    </row>
    <row r="3239">
      <c r="A3239" s="25">
        <f>ItensPedido!A3239</f>
        <v/>
      </c>
      <c r="B3239" s="25">
        <f>ItensPedido!B3239</f>
        <v/>
      </c>
      <c r="C3239" s="25">
        <f>ItensPedido!C3239</f>
        <v/>
      </c>
      <c r="D3239" s="25">
        <f>ItensPedido!D3239</f>
        <v/>
      </c>
      <c r="E3239" s="26">
        <f>ItensPedido!E3239</f>
        <v/>
      </c>
      <c r="F3239" s="25">
        <f>IFERROR(INDEX(Pedidos!$B$2:$B$1801,MATCH(B3239,Pedidos!$A$2:$A$1801,0)),0)</f>
        <v/>
      </c>
      <c r="G3239" s="25">
        <f>IF(F3239=0,"",YEAR(F3239))</f>
        <v/>
      </c>
      <c r="H3239" s="25">
        <f>IF(F3239=0,"",MONTH(F3239))</f>
        <v/>
      </c>
      <c r="I3239" s="25">
        <f>IFERROR(INDEX(Pedidos!$E$2:$E$1801,MATCH(B3239,Pedidos!$A$2:$A$1801,0)),"")</f>
        <v/>
      </c>
      <c r="J3239" s="25">
        <f>IFERROR(INDEX(Pedidos!$C$2:$C$1801,MATCH(B3239,Pedidos!$A$2:$A$1801,0)),"")</f>
        <v/>
      </c>
      <c r="K3239" s="25">
        <f>IFERROR(INDEX(Pedidos!$D$2:$D$1801,MATCH(B3239,Pedidos!$A$2:$A$1801,0)),"")</f>
        <v/>
      </c>
      <c r="L3239" s="25">
        <f>IFERROR(INDEX(Pedidos!$F$2:$F$1801,MATCH(B3239,Pedidos!$A$2:$A$1801,0)),"")</f>
        <v/>
      </c>
      <c r="M3239" s="26">
        <f>IFERROR(INDEX(Pedidos!$G$2:$G$1801,MATCH(B3239,Pedidos!$A$2:$A$1801,0)),0)</f>
        <v/>
      </c>
      <c r="N3239" s="25">
        <f>IFERROR(INDEX(Produtos!$B$2:$B$71,MATCH(C3239,Produtos!$A$2:$A$71,0)),"")</f>
        <v/>
      </c>
      <c r="O3239" s="25">
        <f>IFERROR(INDEX(Produtos!$C$2:$C$71,MATCH(C3239,Produtos!$A$2:$A$71,0)),"")</f>
        <v/>
      </c>
      <c r="P3239" s="25">
        <f>IFERROR(INDEX(Produtos!$D$2:$D$71,MATCH(C3239,Produtos!$A$2:$A$71,0)),0)</f>
        <v/>
      </c>
      <c r="Q3239" s="25">
        <f>IFERROR(INDEX(Produtos!$E$2:$E$71,MATCH(C3239,Produtos!$A$2:$A$71,0)),0)</f>
        <v/>
      </c>
      <c r="R3239" s="27">
        <f>D3239*Q3239</f>
        <v/>
      </c>
      <c r="S3239" s="27">
        <f>R3239*E3239</f>
        <v/>
      </c>
      <c r="T3239" s="27">
        <f>(R3239-S3239)*M3239</f>
        <v/>
      </c>
      <c r="U3239" s="27">
        <f>R3239-S3239-T3239</f>
        <v/>
      </c>
      <c r="V3239" s="27">
        <f>D3239*P3239</f>
        <v/>
      </c>
      <c r="W3239" s="27">
        <f>U3239-V3239</f>
        <v/>
      </c>
      <c r="X3239" s="28">
        <f>IFERROR(W3239/U3239,0)</f>
        <v/>
      </c>
    </row>
    <row r="3240">
      <c r="A3240" s="21">
        <f>ItensPedido!A3240</f>
        <v/>
      </c>
      <c r="B3240" s="21">
        <f>ItensPedido!B3240</f>
        <v/>
      </c>
      <c r="C3240" s="21">
        <f>ItensPedido!C3240</f>
        <v/>
      </c>
      <c r="D3240" s="21">
        <f>ItensPedido!D3240</f>
        <v/>
      </c>
      <c r="E3240" s="22">
        <f>ItensPedido!E3240</f>
        <v/>
      </c>
      <c r="F3240" s="21">
        <f>IFERROR(INDEX(Pedidos!$B$2:$B$1801,MATCH(B3240,Pedidos!$A$2:$A$1801,0)),0)</f>
        <v/>
      </c>
      <c r="G3240" s="21">
        <f>IF(F3240=0,"",YEAR(F3240))</f>
        <v/>
      </c>
      <c r="H3240" s="21">
        <f>IF(F3240=0,"",MONTH(F3240))</f>
        <v/>
      </c>
      <c r="I3240" s="21">
        <f>IFERROR(INDEX(Pedidos!$E$2:$E$1801,MATCH(B3240,Pedidos!$A$2:$A$1801,0)),"")</f>
        <v/>
      </c>
      <c r="J3240" s="21">
        <f>IFERROR(INDEX(Pedidos!$C$2:$C$1801,MATCH(B3240,Pedidos!$A$2:$A$1801,0)),"")</f>
        <v/>
      </c>
      <c r="K3240" s="21">
        <f>IFERROR(INDEX(Pedidos!$D$2:$D$1801,MATCH(B3240,Pedidos!$A$2:$A$1801,0)),"")</f>
        <v/>
      </c>
      <c r="L3240" s="21">
        <f>IFERROR(INDEX(Pedidos!$F$2:$F$1801,MATCH(B3240,Pedidos!$A$2:$A$1801,0)),"")</f>
        <v/>
      </c>
      <c r="M3240" s="22">
        <f>IFERROR(INDEX(Pedidos!$G$2:$G$1801,MATCH(B3240,Pedidos!$A$2:$A$1801,0)),0)</f>
        <v/>
      </c>
      <c r="N3240" s="21">
        <f>IFERROR(INDEX(Produtos!$B$2:$B$71,MATCH(C3240,Produtos!$A$2:$A$71,0)),"")</f>
        <v/>
      </c>
      <c r="O3240" s="21">
        <f>IFERROR(INDEX(Produtos!$C$2:$C$71,MATCH(C3240,Produtos!$A$2:$A$71,0)),"")</f>
        <v/>
      </c>
      <c r="P3240" s="21">
        <f>IFERROR(INDEX(Produtos!$D$2:$D$71,MATCH(C3240,Produtos!$A$2:$A$71,0)),0)</f>
        <v/>
      </c>
      <c r="Q3240" s="21">
        <f>IFERROR(INDEX(Produtos!$E$2:$E$71,MATCH(C3240,Produtos!$A$2:$A$71,0)),0)</f>
        <v/>
      </c>
      <c r="R3240" s="23">
        <f>D3240*Q3240</f>
        <v/>
      </c>
      <c r="S3240" s="23">
        <f>R3240*E3240</f>
        <v/>
      </c>
      <c r="T3240" s="23">
        <f>(R3240-S3240)*M3240</f>
        <v/>
      </c>
      <c r="U3240" s="23">
        <f>R3240-S3240-T3240</f>
        <v/>
      </c>
      <c r="V3240" s="23">
        <f>D3240*P3240</f>
        <v/>
      </c>
      <c r="W3240" s="23">
        <f>U3240-V3240</f>
        <v/>
      </c>
      <c r="X3240" s="24">
        <f>IFERROR(W3240/U3240,0)</f>
        <v/>
      </c>
    </row>
    <row r="3241">
      <c r="A3241" s="25">
        <f>ItensPedido!A3241</f>
        <v/>
      </c>
      <c r="B3241" s="25">
        <f>ItensPedido!B3241</f>
        <v/>
      </c>
      <c r="C3241" s="25">
        <f>ItensPedido!C3241</f>
        <v/>
      </c>
      <c r="D3241" s="25">
        <f>ItensPedido!D3241</f>
        <v/>
      </c>
      <c r="E3241" s="26">
        <f>ItensPedido!E3241</f>
        <v/>
      </c>
      <c r="F3241" s="25">
        <f>IFERROR(INDEX(Pedidos!$B$2:$B$1801,MATCH(B3241,Pedidos!$A$2:$A$1801,0)),0)</f>
        <v/>
      </c>
      <c r="G3241" s="25">
        <f>IF(F3241=0,"",YEAR(F3241))</f>
        <v/>
      </c>
      <c r="H3241" s="25">
        <f>IF(F3241=0,"",MONTH(F3241))</f>
        <v/>
      </c>
      <c r="I3241" s="25">
        <f>IFERROR(INDEX(Pedidos!$E$2:$E$1801,MATCH(B3241,Pedidos!$A$2:$A$1801,0)),"")</f>
        <v/>
      </c>
      <c r="J3241" s="25">
        <f>IFERROR(INDEX(Pedidos!$C$2:$C$1801,MATCH(B3241,Pedidos!$A$2:$A$1801,0)),"")</f>
        <v/>
      </c>
      <c r="K3241" s="25">
        <f>IFERROR(INDEX(Pedidos!$D$2:$D$1801,MATCH(B3241,Pedidos!$A$2:$A$1801,0)),"")</f>
        <v/>
      </c>
      <c r="L3241" s="25">
        <f>IFERROR(INDEX(Pedidos!$F$2:$F$1801,MATCH(B3241,Pedidos!$A$2:$A$1801,0)),"")</f>
        <v/>
      </c>
      <c r="M3241" s="26">
        <f>IFERROR(INDEX(Pedidos!$G$2:$G$1801,MATCH(B3241,Pedidos!$A$2:$A$1801,0)),0)</f>
        <v/>
      </c>
      <c r="N3241" s="25">
        <f>IFERROR(INDEX(Produtos!$B$2:$B$71,MATCH(C3241,Produtos!$A$2:$A$71,0)),"")</f>
        <v/>
      </c>
      <c r="O3241" s="25">
        <f>IFERROR(INDEX(Produtos!$C$2:$C$71,MATCH(C3241,Produtos!$A$2:$A$71,0)),"")</f>
        <v/>
      </c>
      <c r="P3241" s="25">
        <f>IFERROR(INDEX(Produtos!$D$2:$D$71,MATCH(C3241,Produtos!$A$2:$A$71,0)),0)</f>
        <v/>
      </c>
      <c r="Q3241" s="25">
        <f>IFERROR(INDEX(Produtos!$E$2:$E$71,MATCH(C3241,Produtos!$A$2:$A$71,0)),0)</f>
        <v/>
      </c>
      <c r="R3241" s="27">
        <f>D3241*Q3241</f>
        <v/>
      </c>
      <c r="S3241" s="27">
        <f>R3241*E3241</f>
        <v/>
      </c>
      <c r="T3241" s="27">
        <f>(R3241-S3241)*M3241</f>
        <v/>
      </c>
      <c r="U3241" s="27">
        <f>R3241-S3241-T3241</f>
        <v/>
      </c>
      <c r="V3241" s="27">
        <f>D3241*P3241</f>
        <v/>
      </c>
      <c r="W3241" s="27">
        <f>U3241-V3241</f>
        <v/>
      </c>
      <c r="X3241" s="28">
        <f>IFERROR(W3241/U3241,0)</f>
        <v/>
      </c>
    </row>
    <row r="3242">
      <c r="A3242" s="21">
        <f>ItensPedido!A3242</f>
        <v/>
      </c>
      <c r="B3242" s="21">
        <f>ItensPedido!B3242</f>
        <v/>
      </c>
      <c r="C3242" s="21">
        <f>ItensPedido!C3242</f>
        <v/>
      </c>
      <c r="D3242" s="21">
        <f>ItensPedido!D3242</f>
        <v/>
      </c>
      <c r="E3242" s="22">
        <f>ItensPedido!E3242</f>
        <v/>
      </c>
      <c r="F3242" s="21">
        <f>IFERROR(INDEX(Pedidos!$B$2:$B$1801,MATCH(B3242,Pedidos!$A$2:$A$1801,0)),0)</f>
        <v/>
      </c>
      <c r="G3242" s="21">
        <f>IF(F3242=0,"",YEAR(F3242))</f>
        <v/>
      </c>
      <c r="H3242" s="21">
        <f>IF(F3242=0,"",MONTH(F3242))</f>
        <v/>
      </c>
      <c r="I3242" s="21">
        <f>IFERROR(INDEX(Pedidos!$E$2:$E$1801,MATCH(B3242,Pedidos!$A$2:$A$1801,0)),"")</f>
        <v/>
      </c>
      <c r="J3242" s="21">
        <f>IFERROR(INDEX(Pedidos!$C$2:$C$1801,MATCH(B3242,Pedidos!$A$2:$A$1801,0)),"")</f>
        <v/>
      </c>
      <c r="K3242" s="21">
        <f>IFERROR(INDEX(Pedidos!$D$2:$D$1801,MATCH(B3242,Pedidos!$A$2:$A$1801,0)),"")</f>
        <v/>
      </c>
      <c r="L3242" s="21">
        <f>IFERROR(INDEX(Pedidos!$F$2:$F$1801,MATCH(B3242,Pedidos!$A$2:$A$1801,0)),"")</f>
        <v/>
      </c>
      <c r="M3242" s="22">
        <f>IFERROR(INDEX(Pedidos!$G$2:$G$1801,MATCH(B3242,Pedidos!$A$2:$A$1801,0)),0)</f>
        <v/>
      </c>
      <c r="N3242" s="21">
        <f>IFERROR(INDEX(Produtos!$B$2:$B$71,MATCH(C3242,Produtos!$A$2:$A$71,0)),"")</f>
        <v/>
      </c>
      <c r="O3242" s="21">
        <f>IFERROR(INDEX(Produtos!$C$2:$C$71,MATCH(C3242,Produtos!$A$2:$A$71,0)),"")</f>
        <v/>
      </c>
      <c r="P3242" s="21">
        <f>IFERROR(INDEX(Produtos!$D$2:$D$71,MATCH(C3242,Produtos!$A$2:$A$71,0)),0)</f>
        <v/>
      </c>
      <c r="Q3242" s="21">
        <f>IFERROR(INDEX(Produtos!$E$2:$E$71,MATCH(C3242,Produtos!$A$2:$A$71,0)),0)</f>
        <v/>
      </c>
      <c r="R3242" s="23">
        <f>D3242*Q3242</f>
        <v/>
      </c>
      <c r="S3242" s="23">
        <f>R3242*E3242</f>
        <v/>
      </c>
      <c r="T3242" s="23">
        <f>(R3242-S3242)*M3242</f>
        <v/>
      </c>
      <c r="U3242" s="23">
        <f>R3242-S3242-T3242</f>
        <v/>
      </c>
      <c r="V3242" s="23">
        <f>D3242*P3242</f>
        <v/>
      </c>
      <c r="W3242" s="23">
        <f>U3242-V3242</f>
        <v/>
      </c>
      <c r="X3242" s="24">
        <f>IFERROR(W3242/U3242,0)</f>
        <v/>
      </c>
    </row>
    <row r="3243">
      <c r="A3243" s="25">
        <f>ItensPedido!A3243</f>
        <v/>
      </c>
      <c r="B3243" s="25">
        <f>ItensPedido!B3243</f>
        <v/>
      </c>
      <c r="C3243" s="25">
        <f>ItensPedido!C3243</f>
        <v/>
      </c>
      <c r="D3243" s="25">
        <f>ItensPedido!D3243</f>
        <v/>
      </c>
      <c r="E3243" s="26">
        <f>ItensPedido!E3243</f>
        <v/>
      </c>
      <c r="F3243" s="25">
        <f>IFERROR(INDEX(Pedidos!$B$2:$B$1801,MATCH(B3243,Pedidos!$A$2:$A$1801,0)),0)</f>
        <v/>
      </c>
      <c r="G3243" s="25">
        <f>IF(F3243=0,"",YEAR(F3243))</f>
        <v/>
      </c>
      <c r="H3243" s="25">
        <f>IF(F3243=0,"",MONTH(F3243))</f>
        <v/>
      </c>
      <c r="I3243" s="25">
        <f>IFERROR(INDEX(Pedidos!$E$2:$E$1801,MATCH(B3243,Pedidos!$A$2:$A$1801,0)),"")</f>
        <v/>
      </c>
      <c r="J3243" s="25">
        <f>IFERROR(INDEX(Pedidos!$C$2:$C$1801,MATCH(B3243,Pedidos!$A$2:$A$1801,0)),"")</f>
        <v/>
      </c>
      <c r="K3243" s="25">
        <f>IFERROR(INDEX(Pedidos!$D$2:$D$1801,MATCH(B3243,Pedidos!$A$2:$A$1801,0)),"")</f>
        <v/>
      </c>
      <c r="L3243" s="25">
        <f>IFERROR(INDEX(Pedidos!$F$2:$F$1801,MATCH(B3243,Pedidos!$A$2:$A$1801,0)),"")</f>
        <v/>
      </c>
      <c r="M3243" s="26">
        <f>IFERROR(INDEX(Pedidos!$G$2:$G$1801,MATCH(B3243,Pedidos!$A$2:$A$1801,0)),0)</f>
        <v/>
      </c>
      <c r="N3243" s="25">
        <f>IFERROR(INDEX(Produtos!$B$2:$B$71,MATCH(C3243,Produtos!$A$2:$A$71,0)),"")</f>
        <v/>
      </c>
      <c r="O3243" s="25">
        <f>IFERROR(INDEX(Produtos!$C$2:$C$71,MATCH(C3243,Produtos!$A$2:$A$71,0)),"")</f>
        <v/>
      </c>
      <c r="P3243" s="25">
        <f>IFERROR(INDEX(Produtos!$D$2:$D$71,MATCH(C3243,Produtos!$A$2:$A$71,0)),0)</f>
        <v/>
      </c>
      <c r="Q3243" s="25">
        <f>IFERROR(INDEX(Produtos!$E$2:$E$71,MATCH(C3243,Produtos!$A$2:$A$71,0)),0)</f>
        <v/>
      </c>
      <c r="R3243" s="27">
        <f>D3243*Q3243</f>
        <v/>
      </c>
      <c r="S3243" s="27">
        <f>R3243*E3243</f>
        <v/>
      </c>
      <c r="T3243" s="27">
        <f>(R3243-S3243)*M3243</f>
        <v/>
      </c>
      <c r="U3243" s="27">
        <f>R3243-S3243-T3243</f>
        <v/>
      </c>
      <c r="V3243" s="27">
        <f>D3243*P3243</f>
        <v/>
      </c>
      <c r="W3243" s="27">
        <f>U3243-V3243</f>
        <v/>
      </c>
      <c r="X3243" s="28">
        <f>IFERROR(W3243/U3243,0)</f>
        <v/>
      </c>
    </row>
    <row r="3244">
      <c r="A3244" s="21">
        <f>ItensPedido!A3244</f>
        <v/>
      </c>
      <c r="B3244" s="21">
        <f>ItensPedido!B3244</f>
        <v/>
      </c>
      <c r="C3244" s="21">
        <f>ItensPedido!C3244</f>
        <v/>
      </c>
      <c r="D3244" s="21">
        <f>ItensPedido!D3244</f>
        <v/>
      </c>
      <c r="E3244" s="22">
        <f>ItensPedido!E3244</f>
        <v/>
      </c>
      <c r="F3244" s="21">
        <f>IFERROR(INDEX(Pedidos!$B$2:$B$1801,MATCH(B3244,Pedidos!$A$2:$A$1801,0)),0)</f>
        <v/>
      </c>
      <c r="G3244" s="21">
        <f>IF(F3244=0,"",YEAR(F3244))</f>
        <v/>
      </c>
      <c r="H3244" s="21">
        <f>IF(F3244=0,"",MONTH(F3244))</f>
        <v/>
      </c>
      <c r="I3244" s="21">
        <f>IFERROR(INDEX(Pedidos!$E$2:$E$1801,MATCH(B3244,Pedidos!$A$2:$A$1801,0)),"")</f>
        <v/>
      </c>
      <c r="J3244" s="21">
        <f>IFERROR(INDEX(Pedidos!$C$2:$C$1801,MATCH(B3244,Pedidos!$A$2:$A$1801,0)),"")</f>
        <v/>
      </c>
      <c r="K3244" s="21">
        <f>IFERROR(INDEX(Pedidos!$D$2:$D$1801,MATCH(B3244,Pedidos!$A$2:$A$1801,0)),"")</f>
        <v/>
      </c>
      <c r="L3244" s="21">
        <f>IFERROR(INDEX(Pedidos!$F$2:$F$1801,MATCH(B3244,Pedidos!$A$2:$A$1801,0)),"")</f>
        <v/>
      </c>
      <c r="M3244" s="22">
        <f>IFERROR(INDEX(Pedidos!$G$2:$G$1801,MATCH(B3244,Pedidos!$A$2:$A$1801,0)),0)</f>
        <v/>
      </c>
      <c r="N3244" s="21">
        <f>IFERROR(INDEX(Produtos!$B$2:$B$71,MATCH(C3244,Produtos!$A$2:$A$71,0)),"")</f>
        <v/>
      </c>
      <c r="O3244" s="21">
        <f>IFERROR(INDEX(Produtos!$C$2:$C$71,MATCH(C3244,Produtos!$A$2:$A$71,0)),"")</f>
        <v/>
      </c>
      <c r="P3244" s="21">
        <f>IFERROR(INDEX(Produtos!$D$2:$D$71,MATCH(C3244,Produtos!$A$2:$A$71,0)),0)</f>
        <v/>
      </c>
      <c r="Q3244" s="21">
        <f>IFERROR(INDEX(Produtos!$E$2:$E$71,MATCH(C3244,Produtos!$A$2:$A$71,0)),0)</f>
        <v/>
      </c>
      <c r="R3244" s="23">
        <f>D3244*Q3244</f>
        <v/>
      </c>
      <c r="S3244" s="23">
        <f>R3244*E3244</f>
        <v/>
      </c>
      <c r="T3244" s="23">
        <f>(R3244-S3244)*M3244</f>
        <v/>
      </c>
      <c r="U3244" s="23">
        <f>R3244-S3244-T3244</f>
        <v/>
      </c>
      <c r="V3244" s="23">
        <f>D3244*P3244</f>
        <v/>
      </c>
      <c r="W3244" s="23">
        <f>U3244-V3244</f>
        <v/>
      </c>
      <c r="X3244" s="24">
        <f>IFERROR(W3244/U3244,0)</f>
        <v/>
      </c>
    </row>
    <row r="3245">
      <c r="A3245" s="25">
        <f>ItensPedido!A3245</f>
        <v/>
      </c>
      <c r="B3245" s="25">
        <f>ItensPedido!B3245</f>
        <v/>
      </c>
      <c r="C3245" s="25">
        <f>ItensPedido!C3245</f>
        <v/>
      </c>
      <c r="D3245" s="25">
        <f>ItensPedido!D3245</f>
        <v/>
      </c>
      <c r="E3245" s="26">
        <f>ItensPedido!E3245</f>
        <v/>
      </c>
      <c r="F3245" s="25">
        <f>IFERROR(INDEX(Pedidos!$B$2:$B$1801,MATCH(B3245,Pedidos!$A$2:$A$1801,0)),0)</f>
        <v/>
      </c>
      <c r="G3245" s="25">
        <f>IF(F3245=0,"",YEAR(F3245))</f>
        <v/>
      </c>
      <c r="H3245" s="25">
        <f>IF(F3245=0,"",MONTH(F3245))</f>
        <v/>
      </c>
      <c r="I3245" s="25">
        <f>IFERROR(INDEX(Pedidos!$E$2:$E$1801,MATCH(B3245,Pedidos!$A$2:$A$1801,0)),"")</f>
        <v/>
      </c>
      <c r="J3245" s="25">
        <f>IFERROR(INDEX(Pedidos!$C$2:$C$1801,MATCH(B3245,Pedidos!$A$2:$A$1801,0)),"")</f>
        <v/>
      </c>
      <c r="K3245" s="25">
        <f>IFERROR(INDEX(Pedidos!$D$2:$D$1801,MATCH(B3245,Pedidos!$A$2:$A$1801,0)),"")</f>
        <v/>
      </c>
      <c r="L3245" s="25">
        <f>IFERROR(INDEX(Pedidos!$F$2:$F$1801,MATCH(B3245,Pedidos!$A$2:$A$1801,0)),"")</f>
        <v/>
      </c>
      <c r="M3245" s="26">
        <f>IFERROR(INDEX(Pedidos!$G$2:$G$1801,MATCH(B3245,Pedidos!$A$2:$A$1801,0)),0)</f>
        <v/>
      </c>
      <c r="N3245" s="25">
        <f>IFERROR(INDEX(Produtos!$B$2:$B$71,MATCH(C3245,Produtos!$A$2:$A$71,0)),"")</f>
        <v/>
      </c>
      <c r="O3245" s="25">
        <f>IFERROR(INDEX(Produtos!$C$2:$C$71,MATCH(C3245,Produtos!$A$2:$A$71,0)),"")</f>
        <v/>
      </c>
      <c r="P3245" s="25">
        <f>IFERROR(INDEX(Produtos!$D$2:$D$71,MATCH(C3245,Produtos!$A$2:$A$71,0)),0)</f>
        <v/>
      </c>
      <c r="Q3245" s="25">
        <f>IFERROR(INDEX(Produtos!$E$2:$E$71,MATCH(C3245,Produtos!$A$2:$A$71,0)),0)</f>
        <v/>
      </c>
      <c r="R3245" s="27">
        <f>D3245*Q3245</f>
        <v/>
      </c>
      <c r="S3245" s="27">
        <f>R3245*E3245</f>
        <v/>
      </c>
      <c r="T3245" s="27">
        <f>(R3245-S3245)*M3245</f>
        <v/>
      </c>
      <c r="U3245" s="27">
        <f>R3245-S3245-T3245</f>
        <v/>
      </c>
      <c r="V3245" s="27">
        <f>D3245*P3245</f>
        <v/>
      </c>
      <c r="W3245" s="27">
        <f>U3245-V3245</f>
        <v/>
      </c>
      <c r="X3245" s="28">
        <f>IFERROR(W3245/U3245,0)</f>
        <v/>
      </c>
    </row>
    <row r="3246">
      <c r="A3246" s="21">
        <f>ItensPedido!A3246</f>
        <v/>
      </c>
      <c r="B3246" s="21">
        <f>ItensPedido!B3246</f>
        <v/>
      </c>
      <c r="C3246" s="21">
        <f>ItensPedido!C3246</f>
        <v/>
      </c>
      <c r="D3246" s="21">
        <f>ItensPedido!D3246</f>
        <v/>
      </c>
      <c r="E3246" s="22">
        <f>ItensPedido!E3246</f>
        <v/>
      </c>
      <c r="F3246" s="21">
        <f>IFERROR(INDEX(Pedidos!$B$2:$B$1801,MATCH(B3246,Pedidos!$A$2:$A$1801,0)),0)</f>
        <v/>
      </c>
      <c r="G3246" s="21">
        <f>IF(F3246=0,"",YEAR(F3246))</f>
        <v/>
      </c>
      <c r="H3246" s="21">
        <f>IF(F3246=0,"",MONTH(F3246))</f>
        <v/>
      </c>
      <c r="I3246" s="21">
        <f>IFERROR(INDEX(Pedidos!$E$2:$E$1801,MATCH(B3246,Pedidos!$A$2:$A$1801,0)),"")</f>
        <v/>
      </c>
      <c r="J3246" s="21">
        <f>IFERROR(INDEX(Pedidos!$C$2:$C$1801,MATCH(B3246,Pedidos!$A$2:$A$1801,0)),"")</f>
        <v/>
      </c>
      <c r="K3246" s="21">
        <f>IFERROR(INDEX(Pedidos!$D$2:$D$1801,MATCH(B3246,Pedidos!$A$2:$A$1801,0)),"")</f>
        <v/>
      </c>
      <c r="L3246" s="21">
        <f>IFERROR(INDEX(Pedidos!$F$2:$F$1801,MATCH(B3246,Pedidos!$A$2:$A$1801,0)),"")</f>
        <v/>
      </c>
      <c r="M3246" s="22">
        <f>IFERROR(INDEX(Pedidos!$G$2:$G$1801,MATCH(B3246,Pedidos!$A$2:$A$1801,0)),0)</f>
        <v/>
      </c>
      <c r="N3246" s="21">
        <f>IFERROR(INDEX(Produtos!$B$2:$B$71,MATCH(C3246,Produtos!$A$2:$A$71,0)),"")</f>
        <v/>
      </c>
      <c r="O3246" s="21">
        <f>IFERROR(INDEX(Produtos!$C$2:$C$71,MATCH(C3246,Produtos!$A$2:$A$71,0)),"")</f>
        <v/>
      </c>
      <c r="P3246" s="21">
        <f>IFERROR(INDEX(Produtos!$D$2:$D$71,MATCH(C3246,Produtos!$A$2:$A$71,0)),0)</f>
        <v/>
      </c>
      <c r="Q3246" s="21">
        <f>IFERROR(INDEX(Produtos!$E$2:$E$71,MATCH(C3246,Produtos!$A$2:$A$71,0)),0)</f>
        <v/>
      </c>
      <c r="R3246" s="23">
        <f>D3246*Q3246</f>
        <v/>
      </c>
      <c r="S3246" s="23">
        <f>R3246*E3246</f>
        <v/>
      </c>
      <c r="T3246" s="23">
        <f>(R3246-S3246)*M3246</f>
        <v/>
      </c>
      <c r="U3246" s="23">
        <f>R3246-S3246-T3246</f>
        <v/>
      </c>
      <c r="V3246" s="23">
        <f>D3246*P3246</f>
        <v/>
      </c>
      <c r="W3246" s="23">
        <f>U3246-V3246</f>
        <v/>
      </c>
      <c r="X3246" s="24">
        <f>IFERROR(W3246/U3246,0)</f>
        <v/>
      </c>
    </row>
    <row r="3247">
      <c r="A3247" s="25">
        <f>ItensPedido!A3247</f>
        <v/>
      </c>
      <c r="B3247" s="25">
        <f>ItensPedido!B3247</f>
        <v/>
      </c>
      <c r="C3247" s="25">
        <f>ItensPedido!C3247</f>
        <v/>
      </c>
      <c r="D3247" s="25">
        <f>ItensPedido!D3247</f>
        <v/>
      </c>
      <c r="E3247" s="26">
        <f>ItensPedido!E3247</f>
        <v/>
      </c>
      <c r="F3247" s="25">
        <f>IFERROR(INDEX(Pedidos!$B$2:$B$1801,MATCH(B3247,Pedidos!$A$2:$A$1801,0)),0)</f>
        <v/>
      </c>
      <c r="G3247" s="25">
        <f>IF(F3247=0,"",YEAR(F3247))</f>
        <v/>
      </c>
      <c r="H3247" s="25">
        <f>IF(F3247=0,"",MONTH(F3247))</f>
        <v/>
      </c>
      <c r="I3247" s="25">
        <f>IFERROR(INDEX(Pedidos!$E$2:$E$1801,MATCH(B3247,Pedidos!$A$2:$A$1801,0)),"")</f>
        <v/>
      </c>
      <c r="J3247" s="25">
        <f>IFERROR(INDEX(Pedidos!$C$2:$C$1801,MATCH(B3247,Pedidos!$A$2:$A$1801,0)),"")</f>
        <v/>
      </c>
      <c r="K3247" s="25">
        <f>IFERROR(INDEX(Pedidos!$D$2:$D$1801,MATCH(B3247,Pedidos!$A$2:$A$1801,0)),"")</f>
        <v/>
      </c>
      <c r="L3247" s="25">
        <f>IFERROR(INDEX(Pedidos!$F$2:$F$1801,MATCH(B3247,Pedidos!$A$2:$A$1801,0)),"")</f>
        <v/>
      </c>
      <c r="M3247" s="26">
        <f>IFERROR(INDEX(Pedidos!$G$2:$G$1801,MATCH(B3247,Pedidos!$A$2:$A$1801,0)),0)</f>
        <v/>
      </c>
      <c r="N3247" s="25">
        <f>IFERROR(INDEX(Produtos!$B$2:$B$71,MATCH(C3247,Produtos!$A$2:$A$71,0)),"")</f>
        <v/>
      </c>
      <c r="O3247" s="25">
        <f>IFERROR(INDEX(Produtos!$C$2:$C$71,MATCH(C3247,Produtos!$A$2:$A$71,0)),"")</f>
        <v/>
      </c>
      <c r="P3247" s="25">
        <f>IFERROR(INDEX(Produtos!$D$2:$D$71,MATCH(C3247,Produtos!$A$2:$A$71,0)),0)</f>
        <v/>
      </c>
      <c r="Q3247" s="25">
        <f>IFERROR(INDEX(Produtos!$E$2:$E$71,MATCH(C3247,Produtos!$A$2:$A$71,0)),0)</f>
        <v/>
      </c>
      <c r="R3247" s="27">
        <f>D3247*Q3247</f>
        <v/>
      </c>
      <c r="S3247" s="27">
        <f>R3247*E3247</f>
        <v/>
      </c>
      <c r="T3247" s="27">
        <f>(R3247-S3247)*M3247</f>
        <v/>
      </c>
      <c r="U3247" s="27">
        <f>R3247-S3247-T3247</f>
        <v/>
      </c>
      <c r="V3247" s="27">
        <f>D3247*P3247</f>
        <v/>
      </c>
      <c r="W3247" s="27">
        <f>U3247-V3247</f>
        <v/>
      </c>
      <c r="X3247" s="28">
        <f>IFERROR(W3247/U3247,0)</f>
        <v/>
      </c>
    </row>
    <row r="3248">
      <c r="A3248" s="21">
        <f>ItensPedido!A3248</f>
        <v/>
      </c>
      <c r="B3248" s="21">
        <f>ItensPedido!B3248</f>
        <v/>
      </c>
      <c r="C3248" s="21">
        <f>ItensPedido!C3248</f>
        <v/>
      </c>
      <c r="D3248" s="21">
        <f>ItensPedido!D3248</f>
        <v/>
      </c>
      <c r="E3248" s="22">
        <f>ItensPedido!E3248</f>
        <v/>
      </c>
      <c r="F3248" s="21">
        <f>IFERROR(INDEX(Pedidos!$B$2:$B$1801,MATCH(B3248,Pedidos!$A$2:$A$1801,0)),0)</f>
        <v/>
      </c>
      <c r="G3248" s="21">
        <f>IF(F3248=0,"",YEAR(F3248))</f>
        <v/>
      </c>
      <c r="H3248" s="21">
        <f>IF(F3248=0,"",MONTH(F3248))</f>
        <v/>
      </c>
      <c r="I3248" s="21">
        <f>IFERROR(INDEX(Pedidos!$E$2:$E$1801,MATCH(B3248,Pedidos!$A$2:$A$1801,0)),"")</f>
        <v/>
      </c>
      <c r="J3248" s="21">
        <f>IFERROR(INDEX(Pedidos!$C$2:$C$1801,MATCH(B3248,Pedidos!$A$2:$A$1801,0)),"")</f>
        <v/>
      </c>
      <c r="K3248" s="21">
        <f>IFERROR(INDEX(Pedidos!$D$2:$D$1801,MATCH(B3248,Pedidos!$A$2:$A$1801,0)),"")</f>
        <v/>
      </c>
      <c r="L3248" s="21">
        <f>IFERROR(INDEX(Pedidos!$F$2:$F$1801,MATCH(B3248,Pedidos!$A$2:$A$1801,0)),"")</f>
        <v/>
      </c>
      <c r="M3248" s="22">
        <f>IFERROR(INDEX(Pedidos!$G$2:$G$1801,MATCH(B3248,Pedidos!$A$2:$A$1801,0)),0)</f>
        <v/>
      </c>
      <c r="N3248" s="21">
        <f>IFERROR(INDEX(Produtos!$B$2:$B$71,MATCH(C3248,Produtos!$A$2:$A$71,0)),"")</f>
        <v/>
      </c>
      <c r="O3248" s="21">
        <f>IFERROR(INDEX(Produtos!$C$2:$C$71,MATCH(C3248,Produtos!$A$2:$A$71,0)),"")</f>
        <v/>
      </c>
      <c r="P3248" s="21">
        <f>IFERROR(INDEX(Produtos!$D$2:$D$71,MATCH(C3248,Produtos!$A$2:$A$71,0)),0)</f>
        <v/>
      </c>
      <c r="Q3248" s="21">
        <f>IFERROR(INDEX(Produtos!$E$2:$E$71,MATCH(C3248,Produtos!$A$2:$A$71,0)),0)</f>
        <v/>
      </c>
      <c r="R3248" s="23">
        <f>D3248*Q3248</f>
        <v/>
      </c>
      <c r="S3248" s="23">
        <f>R3248*E3248</f>
        <v/>
      </c>
      <c r="T3248" s="23">
        <f>(R3248-S3248)*M3248</f>
        <v/>
      </c>
      <c r="U3248" s="23">
        <f>R3248-S3248-T3248</f>
        <v/>
      </c>
      <c r="V3248" s="23">
        <f>D3248*P3248</f>
        <v/>
      </c>
      <c r="W3248" s="23">
        <f>U3248-V3248</f>
        <v/>
      </c>
      <c r="X3248" s="24">
        <f>IFERROR(W3248/U3248,0)</f>
        <v/>
      </c>
    </row>
    <row r="3249">
      <c r="A3249" s="25">
        <f>ItensPedido!A3249</f>
        <v/>
      </c>
      <c r="B3249" s="25">
        <f>ItensPedido!B3249</f>
        <v/>
      </c>
      <c r="C3249" s="25">
        <f>ItensPedido!C3249</f>
        <v/>
      </c>
      <c r="D3249" s="25">
        <f>ItensPedido!D3249</f>
        <v/>
      </c>
      <c r="E3249" s="26">
        <f>ItensPedido!E3249</f>
        <v/>
      </c>
      <c r="F3249" s="25">
        <f>IFERROR(INDEX(Pedidos!$B$2:$B$1801,MATCH(B3249,Pedidos!$A$2:$A$1801,0)),0)</f>
        <v/>
      </c>
      <c r="G3249" s="25">
        <f>IF(F3249=0,"",YEAR(F3249))</f>
        <v/>
      </c>
      <c r="H3249" s="25">
        <f>IF(F3249=0,"",MONTH(F3249))</f>
        <v/>
      </c>
      <c r="I3249" s="25">
        <f>IFERROR(INDEX(Pedidos!$E$2:$E$1801,MATCH(B3249,Pedidos!$A$2:$A$1801,0)),"")</f>
        <v/>
      </c>
      <c r="J3249" s="25">
        <f>IFERROR(INDEX(Pedidos!$C$2:$C$1801,MATCH(B3249,Pedidos!$A$2:$A$1801,0)),"")</f>
        <v/>
      </c>
      <c r="K3249" s="25">
        <f>IFERROR(INDEX(Pedidos!$D$2:$D$1801,MATCH(B3249,Pedidos!$A$2:$A$1801,0)),"")</f>
        <v/>
      </c>
      <c r="L3249" s="25">
        <f>IFERROR(INDEX(Pedidos!$F$2:$F$1801,MATCH(B3249,Pedidos!$A$2:$A$1801,0)),"")</f>
        <v/>
      </c>
      <c r="M3249" s="26">
        <f>IFERROR(INDEX(Pedidos!$G$2:$G$1801,MATCH(B3249,Pedidos!$A$2:$A$1801,0)),0)</f>
        <v/>
      </c>
      <c r="N3249" s="25">
        <f>IFERROR(INDEX(Produtos!$B$2:$B$71,MATCH(C3249,Produtos!$A$2:$A$71,0)),"")</f>
        <v/>
      </c>
      <c r="O3249" s="25">
        <f>IFERROR(INDEX(Produtos!$C$2:$C$71,MATCH(C3249,Produtos!$A$2:$A$71,0)),"")</f>
        <v/>
      </c>
      <c r="P3249" s="25">
        <f>IFERROR(INDEX(Produtos!$D$2:$D$71,MATCH(C3249,Produtos!$A$2:$A$71,0)),0)</f>
        <v/>
      </c>
      <c r="Q3249" s="25">
        <f>IFERROR(INDEX(Produtos!$E$2:$E$71,MATCH(C3249,Produtos!$A$2:$A$71,0)),0)</f>
        <v/>
      </c>
      <c r="R3249" s="27">
        <f>D3249*Q3249</f>
        <v/>
      </c>
      <c r="S3249" s="27">
        <f>R3249*E3249</f>
        <v/>
      </c>
      <c r="T3249" s="27">
        <f>(R3249-S3249)*M3249</f>
        <v/>
      </c>
      <c r="U3249" s="27">
        <f>R3249-S3249-T3249</f>
        <v/>
      </c>
      <c r="V3249" s="27">
        <f>D3249*P3249</f>
        <v/>
      </c>
      <c r="W3249" s="27">
        <f>U3249-V3249</f>
        <v/>
      </c>
      <c r="X3249" s="28">
        <f>IFERROR(W3249/U3249,0)</f>
        <v/>
      </c>
    </row>
    <row r="3250">
      <c r="A3250" s="21">
        <f>ItensPedido!A3250</f>
        <v/>
      </c>
      <c r="B3250" s="21">
        <f>ItensPedido!B3250</f>
        <v/>
      </c>
      <c r="C3250" s="21">
        <f>ItensPedido!C3250</f>
        <v/>
      </c>
      <c r="D3250" s="21">
        <f>ItensPedido!D3250</f>
        <v/>
      </c>
      <c r="E3250" s="22">
        <f>ItensPedido!E3250</f>
        <v/>
      </c>
      <c r="F3250" s="21">
        <f>IFERROR(INDEX(Pedidos!$B$2:$B$1801,MATCH(B3250,Pedidos!$A$2:$A$1801,0)),0)</f>
        <v/>
      </c>
      <c r="G3250" s="21">
        <f>IF(F3250=0,"",YEAR(F3250))</f>
        <v/>
      </c>
      <c r="H3250" s="21">
        <f>IF(F3250=0,"",MONTH(F3250))</f>
        <v/>
      </c>
      <c r="I3250" s="21">
        <f>IFERROR(INDEX(Pedidos!$E$2:$E$1801,MATCH(B3250,Pedidos!$A$2:$A$1801,0)),"")</f>
        <v/>
      </c>
      <c r="J3250" s="21">
        <f>IFERROR(INDEX(Pedidos!$C$2:$C$1801,MATCH(B3250,Pedidos!$A$2:$A$1801,0)),"")</f>
        <v/>
      </c>
      <c r="K3250" s="21">
        <f>IFERROR(INDEX(Pedidos!$D$2:$D$1801,MATCH(B3250,Pedidos!$A$2:$A$1801,0)),"")</f>
        <v/>
      </c>
      <c r="L3250" s="21">
        <f>IFERROR(INDEX(Pedidos!$F$2:$F$1801,MATCH(B3250,Pedidos!$A$2:$A$1801,0)),"")</f>
        <v/>
      </c>
      <c r="M3250" s="22">
        <f>IFERROR(INDEX(Pedidos!$G$2:$G$1801,MATCH(B3250,Pedidos!$A$2:$A$1801,0)),0)</f>
        <v/>
      </c>
      <c r="N3250" s="21">
        <f>IFERROR(INDEX(Produtos!$B$2:$B$71,MATCH(C3250,Produtos!$A$2:$A$71,0)),"")</f>
        <v/>
      </c>
      <c r="O3250" s="21">
        <f>IFERROR(INDEX(Produtos!$C$2:$C$71,MATCH(C3250,Produtos!$A$2:$A$71,0)),"")</f>
        <v/>
      </c>
      <c r="P3250" s="21">
        <f>IFERROR(INDEX(Produtos!$D$2:$D$71,MATCH(C3250,Produtos!$A$2:$A$71,0)),0)</f>
        <v/>
      </c>
      <c r="Q3250" s="21">
        <f>IFERROR(INDEX(Produtos!$E$2:$E$71,MATCH(C3250,Produtos!$A$2:$A$71,0)),0)</f>
        <v/>
      </c>
      <c r="R3250" s="23">
        <f>D3250*Q3250</f>
        <v/>
      </c>
      <c r="S3250" s="23">
        <f>R3250*E3250</f>
        <v/>
      </c>
      <c r="T3250" s="23">
        <f>(R3250-S3250)*M3250</f>
        <v/>
      </c>
      <c r="U3250" s="23">
        <f>R3250-S3250-T3250</f>
        <v/>
      </c>
      <c r="V3250" s="23">
        <f>D3250*P3250</f>
        <v/>
      </c>
      <c r="W3250" s="23">
        <f>U3250-V3250</f>
        <v/>
      </c>
      <c r="X3250" s="24">
        <f>IFERROR(W3250/U3250,0)</f>
        <v/>
      </c>
    </row>
    <row r="3251">
      <c r="A3251" s="25">
        <f>ItensPedido!A3251</f>
        <v/>
      </c>
      <c r="B3251" s="25">
        <f>ItensPedido!B3251</f>
        <v/>
      </c>
      <c r="C3251" s="25">
        <f>ItensPedido!C3251</f>
        <v/>
      </c>
      <c r="D3251" s="25">
        <f>ItensPedido!D3251</f>
        <v/>
      </c>
      <c r="E3251" s="26">
        <f>ItensPedido!E3251</f>
        <v/>
      </c>
      <c r="F3251" s="25">
        <f>IFERROR(INDEX(Pedidos!$B$2:$B$1801,MATCH(B3251,Pedidos!$A$2:$A$1801,0)),0)</f>
        <v/>
      </c>
      <c r="G3251" s="25">
        <f>IF(F3251=0,"",YEAR(F3251))</f>
        <v/>
      </c>
      <c r="H3251" s="25">
        <f>IF(F3251=0,"",MONTH(F3251))</f>
        <v/>
      </c>
      <c r="I3251" s="25">
        <f>IFERROR(INDEX(Pedidos!$E$2:$E$1801,MATCH(B3251,Pedidos!$A$2:$A$1801,0)),"")</f>
        <v/>
      </c>
      <c r="J3251" s="25">
        <f>IFERROR(INDEX(Pedidos!$C$2:$C$1801,MATCH(B3251,Pedidos!$A$2:$A$1801,0)),"")</f>
        <v/>
      </c>
      <c r="K3251" s="25">
        <f>IFERROR(INDEX(Pedidos!$D$2:$D$1801,MATCH(B3251,Pedidos!$A$2:$A$1801,0)),"")</f>
        <v/>
      </c>
      <c r="L3251" s="25">
        <f>IFERROR(INDEX(Pedidos!$F$2:$F$1801,MATCH(B3251,Pedidos!$A$2:$A$1801,0)),"")</f>
        <v/>
      </c>
      <c r="M3251" s="26">
        <f>IFERROR(INDEX(Pedidos!$G$2:$G$1801,MATCH(B3251,Pedidos!$A$2:$A$1801,0)),0)</f>
        <v/>
      </c>
      <c r="N3251" s="25">
        <f>IFERROR(INDEX(Produtos!$B$2:$B$71,MATCH(C3251,Produtos!$A$2:$A$71,0)),"")</f>
        <v/>
      </c>
      <c r="O3251" s="25">
        <f>IFERROR(INDEX(Produtos!$C$2:$C$71,MATCH(C3251,Produtos!$A$2:$A$71,0)),"")</f>
        <v/>
      </c>
      <c r="P3251" s="25">
        <f>IFERROR(INDEX(Produtos!$D$2:$D$71,MATCH(C3251,Produtos!$A$2:$A$71,0)),0)</f>
        <v/>
      </c>
      <c r="Q3251" s="25">
        <f>IFERROR(INDEX(Produtos!$E$2:$E$71,MATCH(C3251,Produtos!$A$2:$A$71,0)),0)</f>
        <v/>
      </c>
      <c r="R3251" s="27">
        <f>D3251*Q3251</f>
        <v/>
      </c>
      <c r="S3251" s="27">
        <f>R3251*E3251</f>
        <v/>
      </c>
      <c r="T3251" s="27">
        <f>(R3251-S3251)*M3251</f>
        <v/>
      </c>
      <c r="U3251" s="27">
        <f>R3251-S3251-T3251</f>
        <v/>
      </c>
      <c r="V3251" s="27">
        <f>D3251*P3251</f>
        <v/>
      </c>
      <c r="W3251" s="27">
        <f>U3251-V3251</f>
        <v/>
      </c>
      <c r="X3251" s="28">
        <f>IFERROR(W3251/U3251,0)</f>
        <v/>
      </c>
    </row>
    <row r="3252">
      <c r="A3252" s="21">
        <f>ItensPedido!A3252</f>
        <v/>
      </c>
      <c r="B3252" s="21">
        <f>ItensPedido!B3252</f>
        <v/>
      </c>
      <c r="C3252" s="21">
        <f>ItensPedido!C3252</f>
        <v/>
      </c>
      <c r="D3252" s="21">
        <f>ItensPedido!D3252</f>
        <v/>
      </c>
      <c r="E3252" s="22">
        <f>ItensPedido!E3252</f>
        <v/>
      </c>
      <c r="F3252" s="21">
        <f>IFERROR(INDEX(Pedidos!$B$2:$B$1801,MATCH(B3252,Pedidos!$A$2:$A$1801,0)),0)</f>
        <v/>
      </c>
      <c r="G3252" s="21">
        <f>IF(F3252=0,"",YEAR(F3252))</f>
        <v/>
      </c>
      <c r="H3252" s="21">
        <f>IF(F3252=0,"",MONTH(F3252))</f>
        <v/>
      </c>
      <c r="I3252" s="21">
        <f>IFERROR(INDEX(Pedidos!$E$2:$E$1801,MATCH(B3252,Pedidos!$A$2:$A$1801,0)),"")</f>
        <v/>
      </c>
      <c r="J3252" s="21">
        <f>IFERROR(INDEX(Pedidos!$C$2:$C$1801,MATCH(B3252,Pedidos!$A$2:$A$1801,0)),"")</f>
        <v/>
      </c>
      <c r="K3252" s="21">
        <f>IFERROR(INDEX(Pedidos!$D$2:$D$1801,MATCH(B3252,Pedidos!$A$2:$A$1801,0)),"")</f>
        <v/>
      </c>
      <c r="L3252" s="21">
        <f>IFERROR(INDEX(Pedidos!$F$2:$F$1801,MATCH(B3252,Pedidos!$A$2:$A$1801,0)),"")</f>
        <v/>
      </c>
      <c r="M3252" s="22">
        <f>IFERROR(INDEX(Pedidos!$G$2:$G$1801,MATCH(B3252,Pedidos!$A$2:$A$1801,0)),0)</f>
        <v/>
      </c>
      <c r="N3252" s="21">
        <f>IFERROR(INDEX(Produtos!$B$2:$B$71,MATCH(C3252,Produtos!$A$2:$A$71,0)),"")</f>
        <v/>
      </c>
      <c r="O3252" s="21">
        <f>IFERROR(INDEX(Produtos!$C$2:$C$71,MATCH(C3252,Produtos!$A$2:$A$71,0)),"")</f>
        <v/>
      </c>
      <c r="P3252" s="21">
        <f>IFERROR(INDEX(Produtos!$D$2:$D$71,MATCH(C3252,Produtos!$A$2:$A$71,0)),0)</f>
        <v/>
      </c>
      <c r="Q3252" s="21">
        <f>IFERROR(INDEX(Produtos!$E$2:$E$71,MATCH(C3252,Produtos!$A$2:$A$71,0)),0)</f>
        <v/>
      </c>
      <c r="R3252" s="23">
        <f>D3252*Q3252</f>
        <v/>
      </c>
      <c r="S3252" s="23">
        <f>R3252*E3252</f>
        <v/>
      </c>
      <c r="T3252" s="23">
        <f>(R3252-S3252)*M3252</f>
        <v/>
      </c>
      <c r="U3252" s="23">
        <f>R3252-S3252-T3252</f>
        <v/>
      </c>
      <c r="V3252" s="23">
        <f>D3252*P3252</f>
        <v/>
      </c>
      <c r="W3252" s="23">
        <f>U3252-V3252</f>
        <v/>
      </c>
      <c r="X3252" s="24">
        <f>IFERROR(W3252/U3252,0)</f>
        <v/>
      </c>
    </row>
    <row r="3253">
      <c r="A3253" s="25">
        <f>ItensPedido!A3253</f>
        <v/>
      </c>
      <c r="B3253" s="25">
        <f>ItensPedido!B3253</f>
        <v/>
      </c>
      <c r="C3253" s="25">
        <f>ItensPedido!C3253</f>
        <v/>
      </c>
      <c r="D3253" s="25">
        <f>ItensPedido!D3253</f>
        <v/>
      </c>
      <c r="E3253" s="26">
        <f>ItensPedido!E3253</f>
        <v/>
      </c>
      <c r="F3253" s="25">
        <f>IFERROR(INDEX(Pedidos!$B$2:$B$1801,MATCH(B3253,Pedidos!$A$2:$A$1801,0)),0)</f>
        <v/>
      </c>
      <c r="G3253" s="25">
        <f>IF(F3253=0,"",YEAR(F3253))</f>
        <v/>
      </c>
      <c r="H3253" s="25">
        <f>IF(F3253=0,"",MONTH(F3253))</f>
        <v/>
      </c>
      <c r="I3253" s="25">
        <f>IFERROR(INDEX(Pedidos!$E$2:$E$1801,MATCH(B3253,Pedidos!$A$2:$A$1801,0)),"")</f>
        <v/>
      </c>
      <c r="J3253" s="25">
        <f>IFERROR(INDEX(Pedidos!$C$2:$C$1801,MATCH(B3253,Pedidos!$A$2:$A$1801,0)),"")</f>
        <v/>
      </c>
      <c r="K3253" s="25">
        <f>IFERROR(INDEX(Pedidos!$D$2:$D$1801,MATCH(B3253,Pedidos!$A$2:$A$1801,0)),"")</f>
        <v/>
      </c>
      <c r="L3253" s="25">
        <f>IFERROR(INDEX(Pedidos!$F$2:$F$1801,MATCH(B3253,Pedidos!$A$2:$A$1801,0)),"")</f>
        <v/>
      </c>
      <c r="M3253" s="26">
        <f>IFERROR(INDEX(Pedidos!$G$2:$G$1801,MATCH(B3253,Pedidos!$A$2:$A$1801,0)),0)</f>
        <v/>
      </c>
      <c r="N3253" s="25">
        <f>IFERROR(INDEX(Produtos!$B$2:$B$71,MATCH(C3253,Produtos!$A$2:$A$71,0)),"")</f>
        <v/>
      </c>
      <c r="O3253" s="25">
        <f>IFERROR(INDEX(Produtos!$C$2:$C$71,MATCH(C3253,Produtos!$A$2:$A$71,0)),"")</f>
        <v/>
      </c>
      <c r="P3253" s="25">
        <f>IFERROR(INDEX(Produtos!$D$2:$D$71,MATCH(C3253,Produtos!$A$2:$A$71,0)),0)</f>
        <v/>
      </c>
      <c r="Q3253" s="25">
        <f>IFERROR(INDEX(Produtos!$E$2:$E$71,MATCH(C3253,Produtos!$A$2:$A$71,0)),0)</f>
        <v/>
      </c>
      <c r="R3253" s="27">
        <f>D3253*Q3253</f>
        <v/>
      </c>
      <c r="S3253" s="27">
        <f>R3253*E3253</f>
        <v/>
      </c>
      <c r="T3253" s="27">
        <f>(R3253-S3253)*M3253</f>
        <v/>
      </c>
      <c r="U3253" s="27">
        <f>R3253-S3253-T3253</f>
        <v/>
      </c>
      <c r="V3253" s="27">
        <f>D3253*P3253</f>
        <v/>
      </c>
      <c r="W3253" s="27">
        <f>U3253-V3253</f>
        <v/>
      </c>
      <c r="X3253" s="28">
        <f>IFERROR(W3253/U3253,0)</f>
        <v/>
      </c>
    </row>
    <row r="3254">
      <c r="A3254" s="21">
        <f>ItensPedido!A3254</f>
        <v/>
      </c>
      <c r="B3254" s="21">
        <f>ItensPedido!B3254</f>
        <v/>
      </c>
      <c r="C3254" s="21">
        <f>ItensPedido!C3254</f>
        <v/>
      </c>
      <c r="D3254" s="21">
        <f>ItensPedido!D3254</f>
        <v/>
      </c>
      <c r="E3254" s="22">
        <f>ItensPedido!E3254</f>
        <v/>
      </c>
      <c r="F3254" s="21">
        <f>IFERROR(INDEX(Pedidos!$B$2:$B$1801,MATCH(B3254,Pedidos!$A$2:$A$1801,0)),0)</f>
        <v/>
      </c>
      <c r="G3254" s="21">
        <f>IF(F3254=0,"",YEAR(F3254))</f>
        <v/>
      </c>
      <c r="H3254" s="21">
        <f>IF(F3254=0,"",MONTH(F3254))</f>
        <v/>
      </c>
      <c r="I3254" s="21">
        <f>IFERROR(INDEX(Pedidos!$E$2:$E$1801,MATCH(B3254,Pedidos!$A$2:$A$1801,0)),"")</f>
        <v/>
      </c>
      <c r="J3254" s="21">
        <f>IFERROR(INDEX(Pedidos!$C$2:$C$1801,MATCH(B3254,Pedidos!$A$2:$A$1801,0)),"")</f>
        <v/>
      </c>
      <c r="K3254" s="21">
        <f>IFERROR(INDEX(Pedidos!$D$2:$D$1801,MATCH(B3254,Pedidos!$A$2:$A$1801,0)),"")</f>
        <v/>
      </c>
      <c r="L3254" s="21">
        <f>IFERROR(INDEX(Pedidos!$F$2:$F$1801,MATCH(B3254,Pedidos!$A$2:$A$1801,0)),"")</f>
        <v/>
      </c>
      <c r="M3254" s="22">
        <f>IFERROR(INDEX(Pedidos!$G$2:$G$1801,MATCH(B3254,Pedidos!$A$2:$A$1801,0)),0)</f>
        <v/>
      </c>
      <c r="N3254" s="21">
        <f>IFERROR(INDEX(Produtos!$B$2:$B$71,MATCH(C3254,Produtos!$A$2:$A$71,0)),"")</f>
        <v/>
      </c>
      <c r="O3254" s="21">
        <f>IFERROR(INDEX(Produtos!$C$2:$C$71,MATCH(C3254,Produtos!$A$2:$A$71,0)),"")</f>
        <v/>
      </c>
      <c r="P3254" s="21">
        <f>IFERROR(INDEX(Produtos!$D$2:$D$71,MATCH(C3254,Produtos!$A$2:$A$71,0)),0)</f>
        <v/>
      </c>
      <c r="Q3254" s="21">
        <f>IFERROR(INDEX(Produtos!$E$2:$E$71,MATCH(C3254,Produtos!$A$2:$A$71,0)),0)</f>
        <v/>
      </c>
      <c r="R3254" s="23">
        <f>D3254*Q3254</f>
        <v/>
      </c>
      <c r="S3254" s="23">
        <f>R3254*E3254</f>
        <v/>
      </c>
      <c r="T3254" s="23">
        <f>(R3254-S3254)*M3254</f>
        <v/>
      </c>
      <c r="U3254" s="23">
        <f>R3254-S3254-T3254</f>
        <v/>
      </c>
      <c r="V3254" s="23">
        <f>D3254*P3254</f>
        <v/>
      </c>
      <c r="W3254" s="23">
        <f>U3254-V3254</f>
        <v/>
      </c>
      <c r="X3254" s="24">
        <f>IFERROR(W3254/U3254,0)</f>
        <v/>
      </c>
    </row>
    <row r="3255">
      <c r="A3255" s="25">
        <f>ItensPedido!A3255</f>
        <v/>
      </c>
      <c r="B3255" s="25">
        <f>ItensPedido!B3255</f>
        <v/>
      </c>
      <c r="C3255" s="25">
        <f>ItensPedido!C3255</f>
        <v/>
      </c>
      <c r="D3255" s="25">
        <f>ItensPedido!D3255</f>
        <v/>
      </c>
      <c r="E3255" s="26">
        <f>ItensPedido!E3255</f>
        <v/>
      </c>
      <c r="F3255" s="25">
        <f>IFERROR(INDEX(Pedidos!$B$2:$B$1801,MATCH(B3255,Pedidos!$A$2:$A$1801,0)),0)</f>
        <v/>
      </c>
      <c r="G3255" s="25">
        <f>IF(F3255=0,"",YEAR(F3255))</f>
        <v/>
      </c>
      <c r="H3255" s="25">
        <f>IF(F3255=0,"",MONTH(F3255))</f>
        <v/>
      </c>
      <c r="I3255" s="25">
        <f>IFERROR(INDEX(Pedidos!$E$2:$E$1801,MATCH(B3255,Pedidos!$A$2:$A$1801,0)),"")</f>
        <v/>
      </c>
      <c r="J3255" s="25">
        <f>IFERROR(INDEX(Pedidos!$C$2:$C$1801,MATCH(B3255,Pedidos!$A$2:$A$1801,0)),"")</f>
        <v/>
      </c>
      <c r="K3255" s="25">
        <f>IFERROR(INDEX(Pedidos!$D$2:$D$1801,MATCH(B3255,Pedidos!$A$2:$A$1801,0)),"")</f>
        <v/>
      </c>
      <c r="L3255" s="25">
        <f>IFERROR(INDEX(Pedidos!$F$2:$F$1801,MATCH(B3255,Pedidos!$A$2:$A$1801,0)),"")</f>
        <v/>
      </c>
      <c r="M3255" s="26">
        <f>IFERROR(INDEX(Pedidos!$G$2:$G$1801,MATCH(B3255,Pedidos!$A$2:$A$1801,0)),0)</f>
        <v/>
      </c>
      <c r="N3255" s="25">
        <f>IFERROR(INDEX(Produtos!$B$2:$B$71,MATCH(C3255,Produtos!$A$2:$A$71,0)),"")</f>
        <v/>
      </c>
      <c r="O3255" s="25">
        <f>IFERROR(INDEX(Produtos!$C$2:$C$71,MATCH(C3255,Produtos!$A$2:$A$71,0)),"")</f>
        <v/>
      </c>
      <c r="P3255" s="25">
        <f>IFERROR(INDEX(Produtos!$D$2:$D$71,MATCH(C3255,Produtos!$A$2:$A$71,0)),0)</f>
        <v/>
      </c>
      <c r="Q3255" s="25">
        <f>IFERROR(INDEX(Produtos!$E$2:$E$71,MATCH(C3255,Produtos!$A$2:$A$71,0)),0)</f>
        <v/>
      </c>
      <c r="R3255" s="27">
        <f>D3255*Q3255</f>
        <v/>
      </c>
      <c r="S3255" s="27">
        <f>R3255*E3255</f>
        <v/>
      </c>
      <c r="T3255" s="27">
        <f>(R3255-S3255)*M3255</f>
        <v/>
      </c>
      <c r="U3255" s="27">
        <f>R3255-S3255-T3255</f>
        <v/>
      </c>
      <c r="V3255" s="27">
        <f>D3255*P3255</f>
        <v/>
      </c>
      <c r="W3255" s="27">
        <f>U3255-V3255</f>
        <v/>
      </c>
      <c r="X3255" s="28">
        <f>IFERROR(W3255/U3255,0)</f>
        <v/>
      </c>
    </row>
    <row r="3256">
      <c r="A3256" s="21">
        <f>ItensPedido!A3256</f>
        <v/>
      </c>
      <c r="B3256" s="21">
        <f>ItensPedido!B3256</f>
        <v/>
      </c>
      <c r="C3256" s="21">
        <f>ItensPedido!C3256</f>
        <v/>
      </c>
      <c r="D3256" s="21">
        <f>ItensPedido!D3256</f>
        <v/>
      </c>
      <c r="E3256" s="22">
        <f>ItensPedido!E3256</f>
        <v/>
      </c>
      <c r="F3256" s="21">
        <f>IFERROR(INDEX(Pedidos!$B$2:$B$1801,MATCH(B3256,Pedidos!$A$2:$A$1801,0)),0)</f>
        <v/>
      </c>
      <c r="G3256" s="21">
        <f>IF(F3256=0,"",YEAR(F3256))</f>
        <v/>
      </c>
      <c r="H3256" s="21">
        <f>IF(F3256=0,"",MONTH(F3256))</f>
        <v/>
      </c>
      <c r="I3256" s="21">
        <f>IFERROR(INDEX(Pedidos!$E$2:$E$1801,MATCH(B3256,Pedidos!$A$2:$A$1801,0)),"")</f>
        <v/>
      </c>
      <c r="J3256" s="21">
        <f>IFERROR(INDEX(Pedidos!$C$2:$C$1801,MATCH(B3256,Pedidos!$A$2:$A$1801,0)),"")</f>
        <v/>
      </c>
      <c r="K3256" s="21">
        <f>IFERROR(INDEX(Pedidos!$D$2:$D$1801,MATCH(B3256,Pedidos!$A$2:$A$1801,0)),"")</f>
        <v/>
      </c>
      <c r="L3256" s="21">
        <f>IFERROR(INDEX(Pedidos!$F$2:$F$1801,MATCH(B3256,Pedidos!$A$2:$A$1801,0)),"")</f>
        <v/>
      </c>
      <c r="M3256" s="22">
        <f>IFERROR(INDEX(Pedidos!$G$2:$G$1801,MATCH(B3256,Pedidos!$A$2:$A$1801,0)),0)</f>
        <v/>
      </c>
      <c r="N3256" s="21">
        <f>IFERROR(INDEX(Produtos!$B$2:$B$71,MATCH(C3256,Produtos!$A$2:$A$71,0)),"")</f>
        <v/>
      </c>
      <c r="O3256" s="21">
        <f>IFERROR(INDEX(Produtos!$C$2:$C$71,MATCH(C3256,Produtos!$A$2:$A$71,0)),"")</f>
        <v/>
      </c>
      <c r="P3256" s="21">
        <f>IFERROR(INDEX(Produtos!$D$2:$D$71,MATCH(C3256,Produtos!$A$2:$A$71,0)),0)</f>
        <v/>
      </c>
      <c r="Q3256" s="21">
        <f>IFERROR(INDEX(Produtos!$E$2:$E$71,MATCH(C3256,Produtos!$A$2:$A$71,0)),0)</f>
        <v/>
      </c>
      <c r="R3256" s="23">
        <f>D3256*Q3256</f>
        <v/>
      </c>
      <c r="S3256" s="23">
        <f>R3256*E3256</f>
        <v/>
      </c>
      <c r="T3256" s="23">
        <f>(R3256-S3256)*M3256</f>
        <v/>
      </c>
      <c r="U3256" s="23">
        <f>R3256-S3256-T3256</f>
        <v/>
      </c>
      <c r="V3256" s="23">
        <f>D3256*P3256</f>
        <v/>
      </c>
      <c r="W3256" s="23">
        <f>U3256-V3256</f>
        <v/>
      </c>
      <c r="X3256" s="24">
        <f>IFERROR(W3256/U3256,0)</f>
        <v/>
      </c>
    </row>
    <row r="3257">
      <c r="A3257" s="25">
        <f>ItensPedido!A3257</f>
        <v/>
      </c>
      <c r="B3257" s="25">
        <f>ItensPedido!B3257</f>
        <v/>
      </c>
      <c r="C3257" s="25">
        <f>ItensPedido!C3257</f>
        <v/>
      </c>
      <c r="D3257" s="25">
        <f>ItensPedido!D3257</f>
        <v/>
      </c>
      <c r="E3257" s="26">
        <f>ItensPedido!E3257</f>
        <v/>
      </c>
      <c r="F3257" s="25">
        <f>IFERROR(INDEX(Pedidos!$B$2:$B$1801,MATCH(B3257,Pedidos!$A$2:$A$1801,0)),0)</f>
        <v/>
      </c>
      <c r="G3257" s="25">
        <f>IF(F3257=0,"",YEAR(F3257))</f>
        <v/>
      </c>
      <c r="H3257" s="25">
        <f>IF(F3257=0,"",MONTH(F3257))</f>
        <v/>
      </c>
      <c r="I3257" s="25">
        <f>IFERROR(INDEX(Pedidos!$E$2:$E$1801,MATCH(B3257,Pedidos!$A$2:$A$1801,0)),"")</f>
        <v/>
      </c>
      <c r="J3257" s="25">
        <f>IFERROR(INDEX(Pedidos!$C$2:$C$1801,MATCH(B3257,Pedidos!$A$2:$A$1801,0)),"")</f>
        <v/>
      </c>
      <c r="K3257" s="25">
        <f>IFERROR(INDEX(Pedidos!$D$2:$D$1801,MATCH(B3257,Pedidos!$A$2:$A$1801,0)),"")</f>
        <v/>
      </c>
      <c r="L3257" s="25">
        <f>IFERROR(INDEX(Pedidos!$F$2:$F$1801,MATCH(B3257,Pedidos!$A$2:$A$1801,0)),"")</f>
        <v/>
      </c>
      <c r="M3257" s="26">
        <f>IFERROR(INDEX(Pedidos!$G$2:$G$1801,MATCH(B3257,Pedidos!$A$2:$A$1801,0)),0)</f>
        <v/>
      </c>
      <c r="N3257" s="25">
        <f>IFERROR(INDEX(Produtos!$B$2:$B$71,MATCH(C3257,Produtos!$A$2:$A$71,0)),"")</f>
        <v/>
      </c>
      <c r="O3257" s="25">
        <f>IFERROR(INDEX(Produtos!$C$2:$C$71,MATCH(C3257,Produtos!$A$2:$A$71,0)),"")</f>
        <v/>
      </c>
      <c r="P3257" s="25">
        <f>IFERROR(INDEX(Produtos!$D$2:$D$71,MATCH(C3257,Produtos!$A$2:$A$71,0)),0)</f>
        <v/>
      </c>
      <c r="Q3257" s="25">
        <f>IFERROR(INDEX(Produtos!$E$2:$E$71,MATCH(C3257,Produtos!$A$2:$A$71,0)),0)</f>
        <v/>
      </c>
      <c r="R3257" s="27">
        <f>D3257*Q3257</f>
        <v/>
      </c>
      <c r="S3257" s="27">
        <f>R3257*E3257</f>
        <v/>
      </c>
      <c r="T3257" s="27">
        <f>(R3257-S3257)*M3257</f>
        <v/>
      </c>
      <c r="U3257" s="27">
        <f>R3257-S3257-T3257</f>
        <v/>
      </c>
      <c r="V3257" s="27">
        <f>D3257*P3257</f>
        <v/>
      </c>
      <c r="W3257" s="27">
        <f>U3257-V3257</f>
        <v/>
      </c>
      <c r="X3257" s="28">
        <f>IFERROR(W3257/U3257,0)</f>
        <v/>
      </c>
    </row>
    <row r="3258">
      <c r="A3258" s="21">
        <f>ItensPedido!A3258</f>
        <v/>
      </c>
      <c r="B3258" s="21">
        <f>ItensPedido!B3258</f>
        <v/>
      </c>
      <c r="C3258" s="21">
        <f>ItensPedido!C3258</f>
        <v/>
      </c>
      <c r="D3258" s="21">
        <f>ItensPedido!D3258</f>
        <v/>
      </c>
      <c r="E3258" s="22">
        <f>ItensPedido!E3258</f>
        <v/>
      </c>
      <c r="F3258" s="21">
        <f>IFERROR(INDEX(Pedidos!$B$2:$B$1801,MATCH(B3258,Pedidos!$A$2:$A$1801,0)),0)</f>
        <v/>
      </c>
      <c r="G3258" s="21">
        <f>IF(F3258=0,"",YEAR(F3258))</f>
        <v/>
      </c>
      <c r="H3258" s="21">
        <f>IF(F3258=0,"",MONTH(F3258))</f>
        <v/>
      </c>
      <c r="I3258" s="21">
        <f>IFERROR(INDEX(Pedidos!$E$2:$E$1801,MATCH(B3258,Pedidos!$A$2:$A$1801,0)),"")</f>
        <v/>
      </c>
      <c r="J3258" s="21">
        <f>IFERROR(INDEX(Pedidos!$C$2:$C$1801,MATCH(B3258,Pedidos!$A$2:$A$1801,0)),"")</f>
        <v/>
      </c>
      <c r="K3258" s="21">
        <f>IFERROR(INDEX(Pedidos!$D$2:$D$1801,MATCH(B3258,Pedidos!$A$2:$A$1801,0)),"")</f>
        <v/>
      </c>
      <c r="L3258" s="21">
        <f>IFERROR(INDEX(Pedidos!$F$2:$F$1801,MATCH(B3258,Pedidos!$A$2:$A$1801,0)),"")</f>
        <v/>
      </c>
      <c r="M3258" s="22">
        <f>IFERROR(INDEX(Pedidos!$G$2:$G$1801,MATCH(B3258,Pedidos!$A$2:$A$1801,0)),0)</f>
        <v/>
      </c>
      <c r="N3258" s="21">
        <f>IFERROR(INDEX(Produtos!$B$2:$B$71,MATCH(C3258,Produtos!$A$2:$A$71,0)),"")</f>
        <v/>
      </c>
      <c r="O3258" s="21">
        <f>IFERROR(INDEX(Produtos!$C$2:$C$71,MATCH(C3258,Produtos!$A$2:$A$71,0)),"")</f>
        <v/>
      </c>
      <c r="P3258" s="21">
        <f>IFERROR(INDEX(Produtos!$D$2:$D$71,MATCH(C3258,Produtos!$A$2:$A$71,0)),0)</f>
        <v/>
      </c>
      <c r="Q3258" s="21">
        <f>IFERROR(INDEX(Produtos!$E$2:$E$71,MATCH(C3258,Produtos!$A$2:$A$71,0)),0)</f>
        <v/>
      </c>
      <c r="R3258" s="23">
        <f>D3258*Q3258</f>
        <v/>
      </c>
      <c r="S3258" s="23">
        <f>R3258*E3258</f>
        <v/>
      </c>
      <c r="T3258" s="23">
        <f>(R3258-S3258)*M3258</f>
        <v/>
      </c>
      <c r="U3258" s="23">
        <f>R3258-S3258-T3258</f>
        <v/>
      </c>
      <c r="V3258" s="23">
        <f>D3258*P3258</f>
        <v/>
      </c>
      <c r="W3258" s="23">
        <f>U3258-V3258</f>
        <v/>
      </c>
      <c r="X3258" s="24">
        <f>IFERROR(W3258/U3258,0)</f>
        <v/>
      </c>
    </row>
    <row r="3259">
      <c r="A3259" s="25">
        <f>ItensPedido!A3259</f>
        <v/>
      </c>
      <c r="B3259" s="25">
        <f>ItensPedido!B3259</f>
        <v/>
      </c>
      <c r="C3259" s="25">
        <f>ItensPedido!C3259</f>
        <v/>
      </c>
      <c r="D3259" s="25">
        <f>ItensPedido!D3259</f>
        <v/>
      </c>
      <c r="E3259" s="26">
        <f>ItensPedido!E3259</f>
        <v/>
      </c>
      <c r="F3259" s="25">
        <f>IFERROR(INDEX(Pedidos!$B$2:$B$1801,MATCH(B3259,Pedidos!$A$2:$A$1801,0)),0)</f>
        <v/>
      </c>
      <c r="G3259" s="25">
        <f>IF(F3259=0,"",YEAR(F3259))</f>
        <v/>
      </c>
      <c r="H3259" s="25">
        <f>IF(F3259=0,"",MONTH(F3259))</f>
        <v/>
      </c>
      <c r="I3259" s="25">
        <f>IFERROR(INDEX(Pedidos!$E$2:$E$1801,MATCH(B3259,Pedidos!$A$2:$A$1801,0)),"")</f>
        <v/>
      </c>
      <c r="J3259" s="25">
        <f>IFERROR(INDEX(Pedidos!$C$2:$C$1801,MATCH(B3259,Pedidos!$A$2:$A$1801,0)),"")</f>
        <v/>
      </c>
      <c r="K3259" s="25">
        <f>IFERROR(INDEX(Pedidos!$D$2:$D$1801,MATCH(B3259,Pedidos!$A$2:$A$1801,0)),"")</f>
        <v/>
      </c>
      <c r="L3259" s="25">
        <f>IFERROR(INDEX(Pedidos!$F$2:$F$1801,MATCH(B3259,Pedidos!$A$2:$A$1801,0)),"")</f>
        <v/>
      </c>
      <c r="M3259" s="26">
        <f>IFERROR(INDEX(Pedidos!$G$2:$G$1801,MATCH(B3259,Pedidos!$A$2:$A$1801,0)),0)</f>
        <v/>
      </c>
      <c r="N3259" s="25">
        <f>IFERROR(INDEX(Produtos!$B$2:$B$71,MATCH(C3259,Produtos!$A$2:$A$71,0)),"")</f>
        <v/>
      </c>
      <c r="O3259" s="25">
        <f>IFERROR(INDEX(Produtos!$C$2:$C$71,MATCH(C3259,Produtos!$A$2:$A$71,0)),"")</f>
        <v/>
      </c>
      <c r="P3259" s="25">
        <f>IFERROR(INDEX(Produtos!$D$2:$D$71,MATCH(C3259,Produtos!$A$2:$A$71,0)),0)</f>
        <v/>
      </c>
      <c r="Q3259" s="25">
        <f>IFERROR(INDEX(Produtos!$E$2:$E$71,MATCH(C3259,Produtos!$A$2:$A$71,0)),0)</f>
        <v/>
      </c>
      <c r="R3259" s="27">
        <f>D3259*Q3259</f>
        <v/>
      </c>
      <c r="S3259" s="27">
        <f>R3259*E3259</f>
        <v/>
      </c>
      <c r="T3259" s="27">
        <f>(R3259-S3259)*M3259</f>
        <v/>
      </c>
      <c r="U3259" s="27">
        <f>R3259-S3259-T3259</f>
        <v/>
      </c>
      <c r="V3259" s="27">
        <f>D3259*P3259</f>
        <v/>
      </c>
      <c r="W3259" s="27">
        <f>U3259-V3259</f>
        <v/>
      </c>
      <c r="X3259" s="28">
        <f>IFERROR(W3259/U3259,0)</f>
        <v/>
      </c>
    </row>
    <row r="3260">
      <c r="A3260" s="21">
        <f>ItensPedido!A3260</f>
        <v/>
      </c>
      <c r="B3260" s="21">
        <f>ItensPedido!B3260</f>
        <v/>
      </c>
      <c r="C3260" s="21">
        <f>ItensPedido!C3260</f>
        <v/>
      </c>
      <c r="D3260" s="21">
        <f>ItensPedido!D3260</f>
        <v/>
      </c>
      <c r="E3260" s="22">
        <f>ItensPedido!E3260</f>
        <v/>
      </c>
      <c r="F3260" s="21">
        <f>IFERROR(INDEX(Pedidos!$B$2:$B$1801,MATCH(B3260,Pedidos!$A$2:$A$1801,0)),0)</f>
        <v/>
      </c>
      <c r="G3260" s="21">
        <f>IF(F3260=0,"",YEAR(F3260))</f>
        <v/>
      </c>
      <c r="H3260" s="21">
        <f>IF(F3260=0,"",MONTH(F3260))</f>
        <v/>
      </c>
      <c r="I3260" s="21">
        <f>IFERROR(INDEX(Pedidos!$E$2:$E$1801,MATCH(B3260,Pedidos!$A$2:$A$1801,0)),"")</f>
        <v/>
      </c>
      <c r="J3260" s="21">
        <f>IFERROR(INDEX(Pedidos!$C$2:$C$1801,MATCH(B3260,Pedidos!$A$2:$A$1801,0)),"")</f>
        <v/>
      </c>
      <c r="K3260" s="21">
        <f>IFERROR(INDEX(Pedidos!$D$2:$D$1801,MATCH(B3260,Pedidos!$A$2:$A$1801,0)),"")</f>
        <v/>
      </c>
      <c r="L3260" s="21">
        <f>IFERROR(INDEX(Pedidos!$F$2:$F$1801,MATCH(B3260,Pedidos!$A$2:$A$1801,0)),"")</f>
        <v/>
      </c>
      <c r="M3260" s="22">
        <f>IFERROR(INDEX(Pedidos!$G$2:$G$1801,MATCH(B3260,Pedidos!$A$2:$A$1801,0)),0)</f>
        <v/>
      </c>
      <c r="N3260" s="21">
        <f>IFERROR(INDEX(Produtos!$B$2:$B$71,MATCH(C3260,Produtos!$A$2:$A$71,0)),"")</f>
        <v/>
      </c>
      <c r="O3260" s="21">
        <f>IFERROR(INDEX(Produtos!$C$2:$C$71,MATCH(C3260,Produtos!$A$2:$A$71,0)),"")</f>
        <v/>
      </c>
      <c r="P3260" s="21">
        <f>IFERROR(INDEX(Produtos!$D$2:$D$71,MATCH(C3260,Produtos!$A$2:$A$71,0)),0)</f>
        <v/>
      </c>
      <c r="Q3260" s="21">
        <f>IFERROR(INDEX(Produtos!$E$2:$E$71,MATCH(C3260,Produtos!$A$2:$A$71,0)),0)</f>
        <v/>
      </c>
      <c r="R3260" s="23">
        <f>D3260*Q3260</f>
        <v/>
      </c>
      <c r="S3260" s="23">
        <f>R3260*E3260</f>
        <v/>
      </c>
      <c r="T3260" s="23">
        <f>(R3260-S3260)*M3260</f>
        <v/>
      </c>
      <c r="U3260" s="23">
        <f>R3260-S3260-T3260</f>
        <v/>
      </c>
      <c r="V3260" s="23">
        <f>D3260*P3260</f>
        <v/>
      </c>
      <c r="W3260" s="23">
        <f>U3260-V3260</f>
        <v/>
      </c>
      <c r="X3260" s="24">
        <f>IFERROR(W3260/U3260,0)</f>
        <v/>
      </c>
    </row>
    <row r="3261">
      <c r="A3261" s="25">
        <f>ItensPedido!A3261</f>
        <v/>
      </c>
      <c r="B3261" s="25">
        <f>ItensPedido!B3261</f>
        <v/>
      </c>
      <c r="C3261" s="25">
        <f>ItensPedido!C3261</f>
        <v/>
      </c>
      <c r="D3261" s="25">
        <f>ItensPedido!D3261</f>
        <v/>
      </c>
      <c r="E3261" s="26">
        <f>ItensPedido!E3261</f>
        <v/>
      </c>
      <c r="F3261" s="25">
        <f>IFERROR(INDEX(Pedidos!$B$2:$B$1801,MATCH(B3261,Pedidos!$A$2:$A$1801,0)),0)</f>
        <v/>
      </c>
      <c r="G3261" s="25">
        <f>IF(F3261=0,"",YEAR(F3261))</f>
        <v/>
      </c>
      <c r="H3261" s="25">
        <f>IF(F3261=0,"",MONTH(F3261))</f>
        <v/>
      </c>
      <c r="I3261" s="25">
        <f>IFERROR(INDEX(Pedidos!$E$2:$E$1801,MATCH(B3261,Pedidos!$A$2:$A$1801,0)),"")</f>
        <v/>
      </c>
      <c r="J3261" s="25">
        <f>IFERROR(INDEX(Pedidos!$C$2:$C$1801,MATCH(B3261,Pedidos!$A$2:$A$1801,0)),"")</f>
        <v/>
      </c>
      <c r="K3261" s="25">
        <f>IFERROR(INDEX(Pedidos!$D$2:$D$1801,MATCH(B3261,Pedidos!$A$2:$A$1801,0)),"")</f>
        <v/>
      </c>
      <c r="L3261" s="25">
        <f>IFERROR(INDEX(Pedidos!$F$2:$F$1801,MATCH(B3261,Pedidos!$A$2:$A$1801,0)),"")</f>
        <v/>
      </c>
      <c r="M3261" s="26">
        <f>IFERROR(INDEX(Pedidos!$G$2:$G$1801,MATCH(B3261,Pedidos!$A$2:$A$1801,0)),0)</f>
        <v/>
      </c>
      <c r="N3261" s="25">
        <f>IFERROR(INDEX(Produtos!$B$2:$B$71,MATCH(C3261,Produtos!$A$2:$A$71,0)),"")</f>
        <v/>
      </c>
      <c r="O3261" s="25">
        <f>IFERROR(INDEX(Produtos!$C$2:$C$71,MATCH(C3261,Produtos!$A$2:$A$71,0)),"")</f>
        <v/>
      </c>
      <c r="P3261" s="25">
        <f>IFERROR(INDEX(Produtos!$D$2:$D$71,MATCH(C3261,Produtos!$A$2:$A$71,0)),0)</f>
        <v/>
      </c>
      <c r="Q3261" s="25">
        <f>IFERROR(INDEX(Produtos!$E$2:$E$71,MATCH(C3261,Produtos!$A$2:$A$71,0)),0)</f>
        <v/>
      </c>
      <c r="R3261" s="27">
        <f>D3261*Q3261</f>
        <v/>
      </c>
      <c r="S3261" s="27">
        <f>R3261*E3261</f>
        <v/>
      </c>
      <c r="T3261" s="27">
        <f>(R3261-S3261)*M3261</f>
        <v/>
      </c>
      <c r="U3261" s="27">
        <f>R3261-S3261-T3261</f>
        <v/>
      </c>
      <c r="V3261" s="27">
        <f>D3261*P3261</f>
        <v/>
      </c>
      <c r="W3261" s="27">
        <f>U3261-V3261</f>
        <v/>
      </c>
      <c r="X3261" s="28">
        <f>IFERROR(W3261/U3261,0)</f>
        <v/>
      </c>
    </row>
    <row r="3262">
      <c r="A3262" s="21">
        <f>ItensPedido!A3262</f>
        <v/>
      </c>
      <c r="B3262" s="21">
        <f>ItensPedido!B3262</f>
        <v/>
      </c>
      <c r="C3262" s="21">
        <f>ItensPedido!C3262</f>
        <v/>
      </c>
      <c r="D3262" s="21">
        <f>ItensPedido!D3262</f>
        <v/>
      </c>
      <c r="E3262" s="22">
        <f>ItensPedido!E3262</f>
        <v/>
      </c>
      <c r="F3262" s="21">
        <f>IFERROR(INDEX(Pedidos!$B$2:$B$1801,MATCH(B3262,Pedidos!$A$2:$A$1801,0)),0)</f>
        <v/>
      </c>
      <c r="G3262" s="21">
        <f>IF(F3262=0,"",YEAR(F3262))</f>
        <v/>
      </c>
      <c r="H3262" s="21">
        <f>IF(F3262=0,"",MONTH(F3262))</f>
        <v/>
      </c>
      <c r="I3262" s="21">
        <f>IFERROR(INDEX(Pedidos!$E$2:$E$1801,MATCH(B3262,Pedidos!$A$2:$A$1801,0)),"")</f>
        <v/>
      </c>
      <c r="J3262" s="21">
        <f>IFERROR(INDEX(Pedidos!$C$2:$C$1801,MATCH(B3262,Pedidos!$A$2:$A$1801,0)),"")</f>
        <v/>
      </c>
      <c r="K3262" s="21">
        <f>IFERROR(INDEX(Pedidos!$D$2:$D$1801,MATCH(B3262,Pedidos!$A$2:$A$1801,0)),"")</f>
        <v/>
      </c>
      <c r="L3262" s="21">
        <f>IFERROR(INDEX(Pedidos!$F$2:$F$1801,MATCH(B3262,Pedidos!$A$2:$A$1801,0)),"")</f>
        <v/>
      </c>
      <c r="M3262" s="22">
        <f>IFERROR(INDEX(Pedidos!$G$2:$G$1801,MATCH(B3262,Pedidos!$A$2:$A$1801,0)),0)</f>
        <v/>
      </c>
      <c r="N3262" s="21">
        <f>IFERROR(INDEX(Produtos!$B$2:$B$71,MATCH(C3262,Produtos!$A$2:$A$71,0)),"")</f>
        <v/>
      </c>
      <c r="O3262" s="21">
        <f>IFERROR(INDEX(Produtos!$C$2:$C$71,MATCH(C3262,Produtos!$A$2:$A$71,0)),"")</f>
        <v/>
      </c>
      <c r="P3262" s="21">
        <f>IFERROR(INDEX(Produtos!$D$2:$D$71,MATCH(C3262,Produtos!$A$2:$A$71,0)),0)</f>
        <v/>
      </c>
      <c r="Q3262" s="21">
        <f>IFERROR(INDEX(Produtos!$E$2:$E$71,MATCH(C3262,Produtos!$A$2:$A$71,0)),0)</f>
        <v/>
      </c>
      <c r="R3262" s="23">
        <f>D3262*Q3262</f>
        <v/>
      </c>
      <c r="S3262" s="23">
        <f>R3262*E3262</f>
        <v/>
      </c>
      <c r="T3262" s="23">
        <f>(R3262-S3262)*M3262</f>
        <v/>
      </c>
      <c r="U3262" s="23">
        <f>R3262-S3262-T3262</f>
        <v/>
      </c>
      <c r="V3262" s="23">
        <f>D3262*P3262</f>
        <v/>
      </c>
      <c r="W3262" s="23">
        <f>U3262-V3262</f>
        <v/>
      </c>
      <c r="X3262" s="24">
        <f>IFERROR(W3262/U3262,0)</f>
        <v/>
      </c>
    </row>
    <row r="3263">
      <c r="A3263" s="25">
        <f>ItensPedido!A3263</f>
        <v/>
      </c>
      <c r="B3263" s="25">
        <f>ItensPedido!B3263</f>
        <v/>
      </c>
      <c r="C3263" s="25">
        <f>ItensPedido!C3263</f>
        <v/>
      </c>
      <c r="D3263" s="25">
        <f>ItensPedido!D3263</f>
        <v/>
      </c>
      <c r="E3263" s="26">
        <f>ItensPedido!E3263</f>
        <v/>
      </c>
      <c r="F3263" s="25">
        <f>IFERROR(INDEX(Pedidos!$B$2:$B$1801,MATCH(B3263,Pedidos!$A$2:$A$1801,0)),0)</f>
        <v/>
      </c>
      <c r="G3263" s="25">
        <f>IF(F3263=0,"",YEAR(F3263))</f>
        <v/>
      </c>
      <c r="H3263" s="25">
        <f>IF(F3263=0,"",MONTH(F3263))</f>
        <v/>
      </c>
      <c r="I3263" s="25">
        <f>IFERROR(INDEX(Pedidos!$E$2:$E$1801,MATCH(B3263,Pedidos!$A$2:$A$1801,0)),"")</f>
        <v/>
      </c>
      <c r="J3263" s="25">
        <f>IFERROR(INDEX(Pedidos!$C$2:$C$1801,MATCH(B3263,Pedidos!$A$2:$A$1801,0)),"")</f>
        <v/>
      </c>
      <c r="K3263" s="25">
        <f>IFERROR(INDEX(Pedidos!$D$2:$D$1801,MATCH(B3263,Pedidos!$A$2:$A$1801,0)),"")</f>
        <v/>
      </c>
      <c r="L3263" s="25">
        <f>IFERROR(INDEX(Pedidos!$F$2:$F$1801,MATCH(B3263,Pedidos!$A$2:$A$1801,0)),"")</f>
        <v/>
      </c>
      <c r="M3263" s="26">
        <f>IFERROR(INDEX(Pedidos!$G$2:$G$1801,MATCH(B3263,Pedidos!$A$2:$A$1801,0)),0)</f>
        <v/>
      </c>
      <c r="N3263" s="25">
        <f>IFERROR(INDEX(Produtos!$B$2:$B$71,MATCH(C3263,Produtos!$A$2:$A$71,0)),"")</f>
        <v/>
      </c>
      <c r="O3263" s="25">
        <f>IFERROR(INDEX(Produtos!$C$2:$C$71,MATCH(C3263,Produtos!$A$2:$A$71,0)),"")</f>
        <v/>
      </c>
      <c r="P3263" s="25">
        <f>IFERROR(INDEX(Produtos!$D$2:$D$71,MATCH(C3263,Produtos!$A$2:$A$71,0)),0)</f>
        <v/>
      </c>
      <c r="Q3263" s="25">
        <f>IFERROR(INDEX(Produtos!$E$2:$E$71,MATCH(C3263,Produtos!$A$2:$A$71,0)),0)</f>
        <v/>
      </c>
      <c r="R3263" s="27">
        <f>D3263*Q3263</f>
        <v/>
      </c>
      <c r="S3263" s="27">
        <f>R3263*E3263</f>
        <v/>
      </c>
      <c r="T3263" s="27">
        <f>(R3263-S3263)*M3263</f>
        <v/>
      </c>
      <c r="U3263" s="27">
        <f>R3263-S3263-T3263</f>
        <v/>
      </c>
      <c r="V3263" s="27">
        <f>D3263*P3263</f>
        <v/>
      </c>
      <c r="W3263" s="27">
        <f>U3263-V3263</f>
        <v/>
      </c>
      <c r="X3263" s="28">
        <f>IFERROR(W3263/U3263,0)</f>
        <v/>
      </c>
    </row>
    <row r="3264">
      <c r="A3264" s="21">
        <f>ItensPedido!A3264</f>
        <v/>
      </c>
      <c r="B3264" s="21">
        <f>ItensPedido!B3264</f>
        <v/>
      </c>
      <c r="C3264" s="21">
        <f>ItensPedido!C3264</f>
        <v/>
      </c>
      <c r="D3264" s="21">
        <f>ItensPedido!D3264</f>
        <v/>
      </c>
      <c r="E3264" s="22">
        <f>ItensPedido!E3264</f>
        <v/>
      </c>
      <c r="F3264" s="21">
        <f>IFERROR(INDEX(Pedidos!$B$2:$B$1801,MATCH(B3264,Pedidos!$A$2:$A$1801,0)),0)</f>
        <v/>
      </c>
      <c r="G3264" s="21">
        <f>IF(F3264=0,"",YEAR(F3264))</f>
        <v/>
      </c>
      <c r="H3264" s="21">
        <f>IF(F3264=0,"",MONTH(F3264))</f>
        <v/>
      </c>
      <c r="I3264" s="21">
        <f>IFERROR(INDEX(Pedidos!$E$2:$E$1801,MATCH(B3264,Pedidos!$A$2:$A$1801,0)),"")</f>
        <v/>
      </c>
      <c r="J3264" s="21">
        <f>IFERROR(INDEX(Pedidos!$C$2:$C$1801,MATCH(B3264,Pedidos!$A$2:$A$1801,0)),"")</f>
        <v/>
      </c>
      <c r="K3264" s="21">
        <f>IFERROR(INDEX(Pedidos!$D$2:$D$1801,MATCH(B3264,Pedidos!$A$2:$A$1801,0)),"")</f>
        <v/>
      </c>
      <c r="L3264" s="21">
        <f>IFERROR(INDEX(Pedidos!$F$2:$F$1801,MATCH(B3264,Pedidos!$A$2:$A$1801,0)),"")</f>
        <v/>
      </c>
      <c r="M3264" s="22">
        <f>IFERROR(INDEX(Pedidos!$G$2:$G$1801,MATCH(B3264,Pedidos!$A$2:$A$1801,0)),0)</f>
        <v/>
      </c>
      <c r="N3264" s="21">
        <f>IFERROR(INDEX(Produtos!$B$2:$B$71,MATCH(C3264,Produtos!$A$2:$A$71,0)),"")</f>
        <v/>
      </c>
      <c r="O3264" s="21">
        <f>IFERROR(INDEX(Produtos!$C$2:$C$71,MATCH(C3264,Produtos!$A$2:$A$71,0)),"")</f>
        <v/>
      </c>
      <c r="P3264" s="21">
        <f>IFERROR(INDEX(Produtos!$D$2:$D$71,MATCH(C3264,Produtos!$A$2:$A$71,0)),0)</f>
        <v/>
      </c>
      <c r="Q3264" s="21">
        <f>IFERROR(INDEX(Produtos!$E$2:$E$71,MATCH(C3264,Produtos!$A$2:$A$71,0)),0)</f>
        <v/>
      </c>
      <c r="R3264" s="23">
        <f>D3264*Q3264</f>
        <v/>
      </c>
      <c r="S3264" s="23">
        <f>R3264*E3264</f>
        <v/>
      </c>
      <c r="T3264" s="23">
        <f>(R3264-S3264)*M3264</f>
        <v/>
      </c>
      <c r="U3264" s="23">
        <f>R3264-S3264-T3264</f>
        <v/>
      </c>
      <c r="V3264" s="23">
        <f>D3264*P3264</f>
        <v/>
      </c>
      <c r="W3264" s="23">
        <f>U3264-V3264</f>
        <v/>
      </c>
      <c r="X3264" s="24">
        <f>IFERROR(W3264/U3264,0)</f>
        <v/>
      </c>
    </row>
    <row r="3265">
      <c r="A3265" s="25">
        <f>ItensPedido!A3265</f>
        <v/>
      </c>
      <c r="B3265" s="25">
        <f>ItensPedido!B3265</f>
        <v/>
      </c>
      <c r="C3265" s="25">
        <f>ItensPedido!C3265</f>
        <v/>
      </c>
      <c r="D3265" s="25">
        <f>ItensPedido!D3265</f>
        <v/>
      </c>
      <c r="E3265" s="26">
        <f>ItensPedido!E3265</f>
        <v/>
      </c>
      <c r="F3265" s="25">
        <f>IFERROR(INDEX(Pedidos!$B$2:$B$1801,MATCH(B3265,Pedidos!$A$2:$A$1801,0)),0)</f>
        <v/>
      </c>
      <c r="G3265" s="25">
        <f>IF(F3265=0,"",YEAR(F3265))</f>
        <v/>
      </c>
      <c r="H3265" s="25">
        <f>IF(F3265=0,"",MONTH(F3265))</f>
        <v/>
      </c>
      <c r="I3265" s="25">
        <f>IFERROR(INDEX(Pedidos!$E$2:$E$1801,MATCH(B3265,Pedidos!$A$2:$A$1801,0)),"")</f>
        <v/>
      </c>
      <c r="J3265" s="25">
        <f>IFERROR(INDEX(Pedidos!$C$2:$C$1801,MATCH(B3265,Pedidos!$A$2:$A$1801,0)),"")</f>
        <v/>
      </c>
      <c r="K3265" s="25">
        <f>IFERROR(INDEX(Pedidos!$D$2:$D$1801,MATCH(B3265,Pedidos!$A$2:$A$1801,0)),"")</f>
        <v/>
      </c>
      <c r="L3265" s="25">
        <f>IFERROR(INDEX(Pedidos!$F$2:$F$1801,MATCH(B3265,Pedidos!$A$2:$A$1801,0)),"")</f>
        <v/>
      </c>
      <c r="M3265" s="26">
        <f>IFERROR(INDEX(Pedidos!$G$2:$G$1801,MATCH(B3265,Pedidos!$A$2:$A$1801,0)),0)</f>
        <v/>
      </c>
      <c r="N3265" s="25">
        <f>IFERROR(INDEX(Produtos!$B$2:$B$71,MATCH(C3265,Produtos!$A$2:$A$71,0)),"")</f>
        <v/>
      </c>
      <c r="O3265" s="25">
        <f>IFERROR(INDEX(Produtos!$C$2:$C$71,MATCH(C3265,Produtos!$A$2:$A$71,0)),"")</f>
        <v/>
      </c>
      <c r="P3265" s="25">
        <f>IFERROR(INDEX(Produtos!$D$2:$D$71,MATCH(C3265,Produtos!$A$2:$A$71,0)),0)</f>
        <v/>
      </c>
      <c r="Q3265" s="25">
        <f>IFERROR(INDEX(Produtos!$E$2:$E$71,MATCH(C3265,Produtos!$A$2:$A$71,0)),0)</f>
        <v/>
      </c>
      <c r="R3265" s="27">
        <f>D3265*Q3265</f>
        <v/>
      </c>
      <c r="S3265" s="27">
        <f>R3265*E3265</f>
        <v/>
      </c>
      <c r="T3265" s="27">
        <f>(R3265-S3265)*M3265</f>
        <v/>
      </c>
      <c r="U3265" s="27">
        <f>R3265-S3265-T3265</f>
        <v/>
      </c>
      <c r="V3265" s="27">
        <f>D3265*P3265</f>
        <v/>
      </c>
      <c r="W3265" s="27">
        <f>U3265-V3265</f>
        <v/>
      </c>
      <c r="X3265" s="28">
        <f>IFERROR(W3265/U3265,0)</f>
        <v/>
      </c>
    </row>
    <row r="3266">
      <c r="A3266" s="21">
        <f>ItensPedido!A3266</f>
        <v/>
      </c>
      <c r="B3266" s="21">
        <f>ItensPedido!B3266</f>
        <v/>
      </c>
      <c r="C3266" s="21">
        <f>ItensPedido!C3266</f>
        <v/>
      </c>
      <c r="D3266" s="21">
        <f>ItensPedido!D3266</f>
        <v/>
      </c>
      <c r="E3266" s="22">
        <f>ItensPedido!E3266</f>
        <v/>
      </c>
      <c r="F3266" s="21">
        <f>IFERROR(INDEX(Pedidos!$B$2:$B$1801,MATCH(B3266,Pedidos!$A$2:$A$1801,0)),0)</f>
        <v/>
      </c>
      <c r="G3266" s="21">
        <f>IF(F3266=0,"",YEAR(F3266))</f>
        <v/>
      </c>
      <c r="H3266" s="21">
        <f>IF(F3266=0,"",MONTH(F3266))</f>
        <v/>
      </c>
      <c r="I3266" s="21">
        <f>IFERROR(INDEX(Pedidos!$E$2:$E$1801,MATCH(B3266,Pedidos!$A$2:$A$1801,0)),"")</f>
        <v/>
      </c>
      <c r="J3266" s="21">
        <f>IFERROR(INDEX(Pedidos!$C$2:$C$1801,MATCH(B3266,Pedidos!$A$2:$A$1801,0)),"")</f>
        <v/>
      </c>
      <c r="K3266" s="21">
        <f>IFERROR(INDEX(Pedidos!$D$2:$D$1801,MATCH(B3266,Pedidos!$A$2:$A$1801,0)),"")</f>
        <v/>
      </c>
      <c r="L3266" s="21">
        <f>IFERROR(INDEX(Pedidos!$F$2:$F$1801,MATCH(B3266,Pedidos!$A$2:$A$1801,0)),"")</f>
        <v/>
      </c>
      <c r="M3266" s="22">
        <f>IFERROR(INDEX(Pedidos!$G$2:$G$1801,MATCH(B3266,Pedidos!$A$2:$A$1801,0)),0)</f>
        <v/>
      </c>
      <c r="N3266" s="21">
        <f>IFERROR(INDEX(Produtos!$B$2:$B$71,MATCH(C3266,Produtos!$A$2:$A$71,0)),"")</f>
        <v/>
      </c>
      <c r="O3266" s="21">
        <f>IFERROR(INDEX(Produtos!$C$2:$C$71,MATCH(C3266,Produtos!$A$2:$A$71,0)),"")</f>
        <v/>
      </c>
      <c r="P3266" s="21">
        <f>IFERROR(INDEX(Produtos!$D$2:$D$71,MATCH(C3266,Produtos!$A$2:$A$71,0)),0)</f>
        <v/>
      </c>
      <c r="Q3266" s="21">
        <f>IFERROR(INDEX(Produtos!$E$2:$E$71,MATCH(C3266,Produtos!$A$2:$A$71,0)),0)</f>
        <v/>
      </c>
      <c r="R3266" s="23">
        <f>D3266*Q3266</f>
        <v/>
      </c>
      <c r="S3266" s="23">
        <f>R3266*E3266</f>
        <v/>
      </c>
      <c r="T3266" s="23">
        <f>(R3266-S3266)*M3266</f>
        <v/>
      </c>
      <c r="U3266" s="23">
        <f>R3266-S3266-T3266</f>
        <v/>
      </c>
      <c r="V3266" s="23">
        <f>D3266*P3266</f>
        <v/>
      </c>
      <c r="W3266" s="23">
        <f>U3266-V3266</f>
        <v/>
      </c>
      <c r="X3266" s="24">
        <f>IFERROR(W3266/U3266,0)</f>
        <v/>
      </c>
    </row>
    <row r="3267">
      <c r="A3267" s="25">
        <f>ItensPedido!A3267</f>
        <v/>
      </c>
      <c r="B3267" s="25">
        <f>ItensPedido!B3267</f>
        <v/>
      </c>
      <c r="C3267" s="25">
        <f>ItensPedido!C3267</f>
        <v/>
      </c>
      <c r="D3267" s="25">
        <f>ItensPedido!D3267</f>
        <v/>
      </c>
      <c r="E3267" s="26">
        <f>ItensPedido!E3267</f>
        <v/>
      </c>
      <c r="F3267" s="25">
        <f>IFERROR(INDEX(Pedidos!$B$2:$B$1801,MATCH(B3267,Pedidos!$A$2:$A$1801,0)),0)</f>
        <v/>
      </c>
      <c r="G3267" s="25">
        <f>IF(F3267=0,"",YEAR(F3267))</f>
        <v/>
      </c>
      <c r="H3267" s="25">
        <f>IF(F3267=0,"",MONTH(F3267))</f>
        <v/>
      </c>
      <c r="I3267" s="25">
        <f>IFERROR(INDEX(Pedidos!$E$2:$E$1801,MATCH(B3267,Pedidos!$A$2:$A$1801,0)),"")</f>
        <v/>
      </c>
      <c r="J3267" s="25">
        <f>IFERROR(INDEX(Pedidos!$C$2:$C$1801,MATCH(B3267,Pedidos!$A$2:$A$1801,0)),"")</f>
        <v/>
      </c>
      <c r="K3267" s="25">
        <f>IFERROR(INDEX(Pedidos!$D$2:$D$1801,MATCH(B3267,Pedidos!$A$2:$A$1801,0)),"")</f>
        <v/>
      </c>
      <c r="L3267" s="25">
        <f>IFERROR(INDEX(Pedidos!$F$2:$F$1801,MATCH(B3267,Pedidos!$A$2:$A$1801,0)),"")</f>
        <v/>
      </c>
      <c r="M3267" s="26">
        <f>IFERROR(INDEX(Pedidos!$G$2:$G$1801,MATCH(B3267,Pedidos!$A$2:$A$1801,0)),0)</f>
        <v/>
      </c>
      <c r="N3267" s="25">
        <f>IFERROR(INDEX(Produtos!$B$2:$B$71,MATCH(C3267,Produtos!$A$2:$A$71,0)),"")</f>
        <v/>
      </c>
      <c r="O3267" s="25">
        <f>IFERROR(INDEX(Produtos!$C$2:$C$71,MATCH(C3267,Produtos!$A$2:$A$71,0)),"")</f>
        <v/>
      </c>
      <c r="P3267" s="25">
        <f>IFERROR(INDEX(Produtos!$D$2:$D$71,MATCH(C3267,Produtos!$A$2:$A$71,0)),0)</f>
        <v/>
      </c>
      <c r="Q3267" s="25">
        <f>IFERROR(INDEX(Produtos!$E$2:$E$71,MATCH(C3267,Produtos!$A$2:$A$71,0)),0)</f>
        <v/>
      </c>
      <c r="R3267" s="27">
        <f>D3267*Q3267</f>
        <v/>
      </c>
      <c r="S3267" s="27">
        <f>R3267*E3267</f>
        <v/>
      </c>
      <c r="T3267" s="27">
        <f>(R3267-S3267)*M3267</f>
        <v/>
      </c>
      <c r="U3267" s="27">
        <f>R3267-S3267-T3267</f>
        <v/>
      </c>
      <c r="V3267" s="27">
        <f>D3267*P3267</f>
        <v/>
      </c>
      <c r="W3267" s="27">
        <f>U3267-V3267</f>
        <v/>
      </c>
      <c r="X3267" s="28">
        <f>IFERROR(W3267/U3267,0)</f>
        <v/>
      </c>
    </row>
    <row r="3268">
      <c r="A3268" s="21">
        <f>ItensPedido!A3268</f>
        <v/>
      </c>
      <c r="B3268" s="21">
        <f>ItensPedido!B3268</f>
        <v/>
      </c>
      <c r="C3268" s="21">
        <f>ItensPedido!C3268</f>
        <v/>
      </c>
      <c r="D3268" s="21">
        <f>ItensPedido!D3268</f>
        <v/>
      </c>
      <c r="E3268" s="22">
        <f>ItensPedido!E3268</f>
        <v/>
      </c>
      <c r="F3268" s="21">
        <f>IFERROR(INDEX(Pedidos!$B$2:$B$1801,MATCH(B3268,Pedidos!$A$2:$A$1801,0)),0)</f>
        <v/>
      </c>
      <c r="G3268" s="21">
        <f>IF(F3268=0,"",YEAR(F3268))</f>
        <v/>
      </c>
      <c r="H3268" s="21">
        <f>IF(F3268=0,"",MONTH(F3268))</f>
        <v/>
      </c>
      <c r="I3268" s="21">
        <f>IFERROR(INDEX(Pedidos!$E$2:$E$1801,MATCH(B3268,Pedidos!$A$2:$A$1801,0)),"")</f>
        <v/>
      </c>
      <c r="J3268" s="21">
        <f>IFERROR(INDEX(Pedidos!$C$2:$C$1801,MATCH(B3268,Pedidos!$A$2:$A$1801,0)),"")</f>
        <v/>
      </c>
      <c r="K3268" s="21">
        <f>IFERROR(INDEX(Pedidos!$D$2:$D$1801,MATCH(B3268,Pedidos!$A$2:$A$1801,0)),"")</f>
        <v/>
      </c>
      <c r="L3268" s="21">
        <f>IFERROR(INDEX(Pedidos!$F$2:$F$1801,MATCH(B3268,Pedidos!$A$2:$A$1801,0)),"")</f>
        <v/>
      </c>
      <c r="M3268" s="22">
        <f>IFERROR(INDEX(Pedidos!$G$2:$G$1801,MATCH(B3268,Pedidos!$A$2:$A$1801,0)),0)</f>
        <v/>
      </c>
      <c r="N3268" s="21">
        <f>IFERROR(INDEX(Produtos!$B$2:$B$71,MATCH(C3268,Produtos!$A$2:$A$71,0)),"")</f>
        <v/>
      </c>
      <c r="O3268" s="21">
        <f>IFERROR(INDEX(Produtos!$C$2:$C$71,MATCH(C3268,Produtos!$A$2:$A$71,0)),"")</f>
        <v/>
      </c>
      <c r="P3268" s="21">
        <f>IFERROR(INDEX(Produtos!$D$2:$D$71,MATCH(C3268,Produtos!$A$2:$A$71,0)),0)</f>
        <v/>
      </c>
      <c r="Q3268" s="21">
        <f>IFERROR(INDEX(Produtos!$E$2:$E$71,MATCH(C3268,Produtos!$A$2:$A$71,0)),0)</f>
        <v/>
      </c>
      <c r="R3268" s="23">
        <f>D3268*Q3268</f>
        <v/>
      </c>
      <c r="S3268" s="23">
        <f>R3268*E3268</f>
        <v/>
      </c>
      <c r="T3268" s="23">
        <f>(R3268-S3268)*M3268</f>
        <v/>
      </c>
      <c r="U3268" s="23">
        <f>R3268-S3268-T3268</f>
        <v/>
      </c>
      <c r="V3268" s="23">
        <f>D3268*P3268</f>
        <v/>
      </c>
      <c r="W3268" s="23">
        <f>U3268-V3268</f>
        <v/>
      </c>
      <c r="X3268" s="24">
        <f>IFERROR(W3268/U3268,0)</f>
        <v/>
      </c>
    </row>
    <row r="3269">
      <c r="A3269" s="25">
        <f>ItensPedido!A3269</f>
        <v/>
      </c>
      <c r="B3269" s="25">
        <f>ItensPedido!B3269</f>
        <v/>
      </c>
      <c r="C3269" s="25">
        <f>ItensPedido!C3269</f>
        <v/>
      </c>
      <c r="D3269" s="25">
        <f>ItensPedido!D3269</f>
        <v/>
      </c>
      <c r="E3269" s="26">
        <f>ItensPedido!E3269</f>
        <v/>
      </c>
      <c r="F3269" s="25">
        <f>IFERROR(INDEX(Pedidos!$B$2:$B$1801,MATCH(B3269,Pedidos!$A$2:$A$1801,0)),0)</f>
        <v/>
      </c>
      <c r="G3269" s="25">
        <f>IF(F3269=0,"",YEAR(F3269))</f>
        <v/>
      </c>
      <c r="H3269" s="25">
        <f>IF(F3269=0,"",MONTH(F3269))</f>
        <v/>
      </c>
      <c r="I3269" s="25">
        <f>IFERROR(INDEX(Pedidos!$E$2:$E$1801,MATCH(B3269,Pedidos!$A$2:$A$1801,0)),"")</f>
        <v/>
      </c>
      <c r="J3269" s="25">
        <f>IFERROR(INDEX(Pedidos!$C$2:$C$1801,MATCH(B3269,Pedidos!$A$2:$A$1801,0)),"")</f>
        <v/>
      </c>
      <c r="K3269" s="25">
        <f>IFERROR(INDEX(Pedidos!$D$2:$D$1801,MATCH(B3269,Pedidos!$A$2:$A$1801,0)),"")</f>
        <v/>
      </c>
      <c r="L3269" s="25">
        <f>IFERROR(INDEX(Pedidos!$F$2:$F$1801,MATCH(B3269,Pedidos!$A$2:$A$1801,0)),"")</f>
        <v/>
      </c>
      <c r="M3269" s="26">
        <f>IFERROR(INDEX(Pedidos!$G$2:$G$1801,MATCH(B3269,Pedidos!$A$2:$A$1801,0)),0)</f>
        <v/>
      </c>
      <c r="N3269" s="25">
        <f>IFERROR(INDEX(Produtos!$B$2:$B$71,MATCH(C3269,Produtos!$A$2:$A$71,0)),"")</f>
        <v/>
      </c>
      <c r="O3269" s="25">
        <f>IFERROR(INDEX(Produtos!$C$2:$C$71,MATCH(C3269,Produtos!$A$2:$A$71,0)),"")</f>
        <v/>
      </c>
      <c r="P3269" s="25">
        <f>IFERROR(INDEX(Produtos!$D$2:$D$71,MATCH(C3269,Produtos!$A$2:$A$71,0)),0)</f>
        <v/>
      </c>
      <c r="Q3269" s="25">
        <f>IFERROR(INDEX(Produtos!$E$2:$E$71,MATCH(C3269,Produtos!$A$2:$A$71,0)),0)</f>
        <v/>
      </c>
      <c r="R3269" s="27">
        <f>D3269*Q3269</f>
        <v/>
      </c>
      <c r="S3269" s="27">
        <f>R3269*E3269</f>
        <v/>
      </c>
      <c r="T3269" s="27">
        <f>(R3269-S3269)*M3269</f>
        <v/>
      </c>
      <c r="U3269" s="27">
        <f>R3269-S3269-T3269</f>
        <v/>
      </c>
      <c r="V3269" s="27">
        <f>D3269*P3269</f>
        <v/>
      </c>
      <c r="W3269" s="27">
        <f>U3269-V3269</f>
        <v/>
      </c>
      <c r="X3269" s="28">
        <f>IFERROR(W3269/U3269,0)</f>
        <v/>
      </c>
    </row>
    <row r="3270">
      <c r="A3270" s="21">
        <f>ItensPedido!A3270</f>
        <v/>
      </c>
      <c r="B3270" s="21">
        <f>ItensPedido!B3270</f>
        <v/>
      </c>
      <c r="C3270" s="21">
        <f>ItensPedido!C3270</f>
        <v/>
      </c>
      <c r="D3270" s="21">
        <f>ItensPedido!D3270</f>
        <v/>
      </c>
      <c r="E3270" s="22">
        <f>ItensPedido!E3270</f>
        <v/>
      </c>
      <c r="F3270" s="21">
        <f>IFERROR(INDEX(Pedidos!$B$2:$B$1801,MATCH(B3270,Pedidos!$A$2:$A$1801,0)),0)</f>
        <v/>
      </c>
      <c r="G3270" s="21">
        <f>IF(F3270=0,"",YEAR(F3270))</f>
        <v/>
      </c>
      <c r="H3270" s="21">
        <f>IF(F3270=0,"",MONTH(F3270))</f>
        <v/>
      </c>
      <c r="I3270" s="21">
        <f>IFERROR(INDEX(Pedidos!$E$2:$E$1801,MATCH(B3270,Pedidos!$A$2:$A$1801,0)),"")</f>
        <v/>
      </c>
      <c r="J3270" s="21">
        <f>IFERROR(INDEX(Pedidos!$C$2:$C$1801,MATCH(B3270,Pedidos!$A$2:$A$1801,0)),"")</f>
        <v/>
      </c>
      <c r="K3270" s="21">
        <f>IFERROR(INDEX(Pedidos!$D$2:$D$1801,MATCH(B3270,Pedidos!$A$2:$A$1801,0)),"")</f>
        <v/>
      </c>
      <c r="L3270" s="21">
        <f>IFERROR(INDEX(Pedidos!$F$2:$F$1801,MATCH(B3270,Pedidos!$A$2:$A$1801,0)),"")</f>
        <v/>
      </c>
      <c r="M3270" s="22">
        <f>IFERROR(INDEX(Pedidos!$G$2:$G$1801,MATCH(B3270,Pedidos!$A$2:$A$1801,0)),0)</f>
        <v/>
      </c>
      <c r="N3270" s="21">
        <f>IFERROR(INDEX(Produtos!$B$2:$B$71,MATCH(C3270,Produtos!$A$2:$A$71,0)),"")</f>
        <v/>
      </c>
      <c r="O3270" s="21">
        <f>IFERROR(INDEX(Produtos!$C$2:$C$71,MATCH(C3270,Produtos!$A$2:$A$71,0)),"")</f>
        <v/>
      </c>
      <c r="P3270" s="21">
        <f>IFERROR(INDEX(Produtos!$D$2:$D$71,MATCH(C3270,Produtos!$A$2:$A$71,0)),0)</f>
        <v/>
      </c>
      <c r="Q3270" s="21">
        <f>IFERROR(INDEX(Produtos!$E$2:$E$71,MATCH(C3270,Produtos!$A$2:$A$71,0)),0)</f>
        <v/>
      </c>
      <c r="R3270" s="23">
        <f>D3270*Q3270</f>
        <v/>
      </c>
      <c r="S3270" s="23">
        <f>R3270*E3270</f>
        <v/>
      </c>
      <c r="T3270" s="23">
        <f>(R3270-S3270)*M3270</f>
        <v/>
      </c>
      <c r="U3270" s="23">
        <f>R3270-S3270-T3270</f>
        <v/>
      </c>
      <c r="V3270" s="23">
        <f>D3270*P3270</f>
        <v/>
      </c>
      <c r="W3270" s="23">
        <f>U3270-V3270</f>
        <v/>
      </c>
      <c r="X3270" s="24">
        <f>IFERROR(W3270/U3270,0)</f>
        <v/>
      </c>
    </row>
    <row r="3271">
      <c r="A3271" s="25">
        <f>ItensPedido!A3271</f>
        <v/>
      </c>
      <c r="B3271" s="25">
        <f>ItensPedido!B3271</f>
        <v/>
      </c>
      <c r="C3271" s="25">
        <f>ItensPedido!C3271</f>
        <v/>
      </c>
      <c r="D3271" s="25">
        <f>ItensPedido!D3271</f>
        <v/>
      </c>
      <c r="E3271" s="26">
        <f>ItensPedido!E3271</f>
        <v/>
      </c>
      <c r="F3271" s="25">
        <f>IFERROR(INDEX(Pedidos!$B$2:$B$1801,MATCH(B3271,Pedidos!$A$2:$A$1801,0)),0)</f>
        <v/>
      </c>
      <c r="G3271" s="25">
        <f>IF(F3271=0,"",YEAR(F3271))</f>
        <v/>
      </c>
      <c r="H3271" s="25">
        <f>IF(F3271=0,"",MONTH(F3271))</f>
        <v/>
      </c>
      <c r="I3271" s="25">
        <f>IFERROR(INDEX(Pedidos!$E$2:$E$1801,MATCH(B3271,Pedidos!$A$2:$A$1801,0)),"")</f>
        <v/>
      </c>
      <c r="J3271" s="25">
        <f>IFERROR(INDEX(Pedidos!$C$2:$C$1801,MATCH(B3271,Pedidos!$A$2:$A$1801,0)),"")</f>
        <v/>
      </c>
      <c r="K3271" s="25">
        <f>IFERROR(INDEX(Pedidos!$D$2:$D$1801,MATCH(B3271,Pedidos!$A$2:$A$1801,0)),"")</f>
        <v/>
      </c>
      <c r="L3271" s="25">
        <f>IFERROR(INDEX(Pedidos!$F$2:$F$1801,MATCH(B3271,Pedidos!$A$2:$A$1801,0)),"")</f>
        <v/>
      </c>
      <c r="M3271" s="26">
        <f>IFERROR(INDEX(Pedidos!$G$2:$G$1801,MATCH(B3271,Pedidos!$A$2:$A$1801,0)),0)</f>
        <v/>
      </c>
      <c r="N3271" s="25">
        <f>IFERROR(INDEX(Produtos!$B$2:$B$71,MATCH(C3271,Produtos!$A$2:$A$71,0)),"")</f>
        <v/>
      </c>
      <c r="O3271" s="25">
        <f>IFERROR(INDEX(Produtos!$C$2:$C$71,MATCH(C3271,Produtos!$A$2:$A$71,0)),"")</f>
        <v/>
      </c>
      <c r="P3271" s="25">
        <f>IFERROR(INDEX(Produtos!$D$2:$D$71,MATCH(C3271,Produtos!$A$2:$A$71,0)),0)</f>
        <v/>
      </c>
      <c r="Q3271" s="25">
        <f>IFERROR(INDEX(Produtos!$E$2:$E$71,MATCH(C3271,Produtos!$A$2:$A$71,0)),0)</f>
        <v/>
      </c>
      <c r="R3271" s="27">
        <f>D3271*Q3271</f>
        <v/>
      </c>
      <c r="S3271" s="27">
        <f>R3271*E3271</f>
        <v/>
      </c>
      <c r="T3271" s="27">
        <f>(R3271-S3271)*M3271</f>
        <v/>
      </c>
      <c r="U3271" s="27">
        <f>R3271-S3271-T3271</f>
        <v/>
      </c>
      <c r="V3271" s="27">
        <f>D3271*P3271</f>
        <v/>
      </c>
      <c r="W3271" s="27">
        <f>U3271-V3271</f>
        <v/>
      </c>
      <c r="X3271" s="28">
        <f>IFERROR(W3271/U3271,0)</f>
        <v/>
      </c>
    </row>
    <row r="3272">
      <c r="A3272" s="21">
        <f>ItensPedido!A3272</f>
        <v/>
      </c>
      <c r="B3272" s="21">
        <f>ItensPedido!B3272</f>
        <v/>
      </c>
      <c r="C3272" s="21">
        <f>ItensPedido!C3272</f>
        <v/>
      </c>
      <c r="D3272" s="21">
        <f>ItensPedido!D3272</f>
        <v/>
      </c>
      <c r="E3272" s="22">
        <f>ItensPedido!E3272</f>
        <v/>
      </c>
      <c r="F3272" s="21">
        <f>IFERROR(INDEX(Pedidos!$B$2:$B$1801,MATCH(B3272,Pedidos!$A$2:$A$1801,0)),0)</f>
        <v/>
      </c>
      <c r="G3272" s="21">
        <f>IF(F3272=0,"",YEAR(F3272))</f>
        <v/>
      </c>
      <c r="H3272" s="21">
        <f>IF(F3272=0,"",MONTH(F3272))</f>
        <v/>
      </c>
      <c r="I3272" s="21">
        <f>IFERROR(INDEX(Pedidos!$E$2:$E$1801,MATCH(B3272,Pedidos!$A$2:$A$1801,0)),"")</f>
        <v/>
      </c>
      <c r="J3272" s="21">
        <f>IFERROR(INDEX(Pedidos!$C$2:$C$1801,MATCH(B3272,Pedidos!$A$2:$A$1801,0)),"")</f>
        <v/>
      </c>
      <c r="K3272" s="21">
        <f>IFERROR(INDEX(Pedidos!$D$2:$D$1801,MATCH(B3272,Pedidos!$A$2:$A$1801,0)),"")</f>
        <v/>
      </c>
      <c r="L3272" s="21">
        <f>IFERROR(INDEX(Pedidos!$F$2:$F$1801,MATCH(B3272,Pedidos!$A$2:$A$1801,0)),"")</f>
        <v/>
      </c>
      <c r="M3272" s="22">
        <f>IFERROR(INDEX(Pedidos!$G$2:$G$1801,MATCH(B3272,Pedidos!$A$2:$A$1801,0)),0)</f>
        <v/>
      </c>
      <c r="N3272" s="21">
        <f>IFERROR(INDEX(Produtos!$B$2:$B$71,MATCH(C3272,Produtos!$A$2:$A$71,0)),"")</f>
        <v/>
      </c>
      <c r="O3272" s="21">
        <f>IFERROR(INDEX(Produtos!$C$2:$C$71,MATCH(C3272,Produtos!$A$2:$A$71,0)),"")</f>
        <v/>
      </c>
      <c r="P3272" s="21">
        <f>IFERROR(INDEX(Produtos!$D$2:$D$71,MATCH(C3272,Produtos!$A$2:$A$71,0)),0)</f>
        <v/>
      </c>
      <c r="Q3272" s="21">
        <f>IFERROR(INDEX(Produtos!$E$2:$E$71,MATCH(C3272,Produtos!$A$2:$A$71,0)),0)</f>
        <v/>
      </c>
      <c r="R3272" s="23">
        <f>D3272*Q3272</f>
        <v/>
      </c>
      <c r="S3272" s="23">
        <f>R3272*E3272</f>
        <v/>
      </c>
      <c r="T3272" s="23">
        <f>(R3272-S3272)*M3272</f>
        <v/>
      </c>
      <c r="U3272" s="23">
        <f>R3272-S3272-T3272</f>
        <v/>
      </c>
      <c r="V3272" s="23">
        <f>D3272*P3272</f>
        <v/>
      </c>
      <c r="W3272" s="23">
        <f>U3272-V3272</f>
        <v/>
      </c>
      <c r="X3272" s="24">
        <f>IFERROR(W3272/U3272,0)</f>
        <v/>
      </c>
    </row>
    <row r="3273">
      <c r="A3273" s="25">
        <f>ItensPedido!A3273</f>
        <v/>
      </c>
      <c r="B3273" s="25">
        <f>ItensPedido!B3273</f>
        <v/>
      </c>
      <c r="C3273" s="25">
        <f>ItensPedido!C3273</f>
        <v/>
      </c>
      <c r="D3273" s="25">
        <f>ItensPedido!D3273</f>
        <v/>
      </c>
      <c r="E3273" s="26">
        <f>ItensPedido!E3273</f>
        <v/>
      </c>
      <c r="F3273" s="25">
        <f>IFERROR(INDEX(Pedidos!$B$2:$B$1801,MATCH(B3273,Pedidos!$A$2:$A$1801,0)),0)</f>
        <v/>
      </c>
      <c r="G3273" s="25">
        <f>IF(F3273=0,"",YEAR(F3273))</f>
        <v/>
      </c>
      <c r="H3273" s="25">
        <f>IF(F3273=0,"",MONTH(F3273))</f>
        <v/>
      </c>
      <c r="I3273" s="25">
        <f>IFERROR(INDEX(Pedidos!$E$2:$E$1801,MATCH(B3273,Pedidos!$A$2:$A$1801,0)),"")</f>
        <v/>
      </c>
      <c r="J3273" s="25">
        <f>IFERROR(INDEX(Pedidos!$C$2:$C$1801,MATCH(B3273,Pedidos!$A$2:$A$1801,0)),"")</f>
        <v/>
      </c>
      <c r="K3273" s="25">
        <f>IFERROR(INDEX(Pedidos!$D$2:$D$1801,MATCH(B3273,Pedidos!$A$2:$A$1801,0)),"")</f>
        <v/>
      </c>
      <c r="L3273" s="25">
        <f>IFERROR(INDEX(Pedidos!$F$2:$F$1801,MATCH(B3273,Pedidos!$A$2:$A$1801,0)),"")</f>
        <v/>
      </c>
      <c r="M3273" s="26">
        <f>IFERROR(INDEX(Pedidos!$G$2:$G$1801,MATCH(B3273,Pedidos!$A$2:$A$1801,0)),0)</f>
        <v/>
      </c>
      <c r="N3273" s="25">
        <f>IFERROR(INDEX(Produtos!$B$2:$B$71,MATCH(C3273,Produtos!$A$2:$A$71,0)),"")</f>
        <v/>
      </c>
      <c r="O3273" s="25">
        <f>IFERROR(INDEX(Produtos!$C$2:$C$71,MATCH(C3273,Produtos!$A$2:$A$71,0)),"")</f>
        <v/>
      </c>
      <c r="P3273" s="25">
        <f>IFERROR(INDEX(Produtos!$D$2:$D$71,MATCH(C3273,Produtos!$A$2:$A$71,0)),0)</f>
        <v/>
      </c>
      <c r="Q3273" s="25">
        <f>IFERROR(INDEX(Produtos!$E$2:$E$71,MATCH(C3273,Produtos!$A$2:$A$71,0)),0)</f>
        <v/>
      </c>
      <c r="R3273" s="27">
        <f>D3273*Q3273</f>
        <v/>
      </c>
      <c r="S3273" s="27">
        <f>R3273*E3273</f>
        <v/>
      </c>
      <c r="T3273" s="27">
        <f>(R3273-S3273)*M3273</f>
        <v/>
      </c>
      <c r="U3273" s="27">
        <f>R3273-S3273-T3273</f>
        <v/>
      </c>
      <c r="V3273" s="27">
        <f>D3273*P3273</f>
        <v/>
      </c>
      <c r="W3273" s="27">
        <f>U3273-V3273</f>
        <v/>
      </c>
      <c r="X3273" s="28">
        <f>IFERROR(W3273/U3273,0)</f>
        <v/>
      </c>
    </row>
    <row r="3274">
      <c r="A3274" s="21">
        <f>ItensPedido!A3274</f>
        <v/>
      </c>
      <c r="B3274" s="21">
        <f>ItensPedido!B3274</f>
        <v/>
      </c>
      <c r="C3274" s="21">
        <f>ItensPedido!C3274</f>
        <v/>
      </c>
      <c r="D3274" s="21">
        <f>ItensPedido!D3274</f>
        <v/>
      </c>
      <c r="E3274" s="22">
        <f>ItensPedido!E3274</f>
        <v/>
      </c>
      <c r="F3274" s="21">
        <f>IFERROR(INDEX(Pedidos!$B$2:$B$1801,MATCH(B3274,Pedidos!$A$2:$A$1801,0)),0)</f>
        <v/>
      </c>
      <c r="G3274" s="21">
        <f>IF(F3274=0,"",YEAR(F3274))</f>
        <v/>
      </c>
      <c r="H3274" s="21">
        <f>IF(F3274=0,"",MONTH(F3274))</f>
        <v/>
      </c>
      <c r="I3274" s="21">
        <f>IFERROR(INDEX(Pedidos!$E$2:$E$1801,MATCH(B3274,Pedidos!$A$2:$A$1801,0)),"")</f>
        <v/>
      </c>
      <c r="J3274" s="21">
        <f>IFERROR(INDEX(Pedidos!$C$2:$C$1801,MATCH(B3274,Pedidos!$A$2:$A$1801,0)),"")</f>
        <v/>
      </c>
      <c r="K3274" s="21">
        <f>IFERROR(INDEX(Pedidos!$D$2:$D$1801,MATCH(B3274,Pedidos!$A$2:$A$1801,0)),"")</f>
        <v/>
      </c>
      <c r="L3274" s="21">
        <f>IFERROR(INDEX(Pedidos!$F$2:$F$1801,MATCH(B3274,Pedidos!$A$2:$A$1801,0)),"")</f>
        <v/>
      </c>
      <c r="M3274" s="22">
        <f>IFERROR(INDEX(Pedidos!$G$2:$G$1801,MATCH(B3274,Pedidos!$A$2:$A$1801,0)),0)</f>
        <v/>
      </c>
      <c r="N3274" s="21">
        <f>IFERROR(INDEX(Produtos!$B$2:$B$71,MATCH(C3274,Produtos!$A$2:$A$71,0)),"")</f>
        <v/>
      </c>
      <c r="O3274" s="21">
        <f>IFERROR(INDEX(Produtos!$C$2:$C$71,MATCH(C3274,Produtos!$A$2:$A$71,0)),"")</f>
        <v/>
      </c>
      <c r="P3274" s="21">
        <f>IFERROR(INDEX(Produtos!$D$2:$D$71,MATCH(C3274,Produtos!$A$2:$A$71,0)),0)</f>
        <v/>
      </c>
      <c r="Q3274" s="21">
        <f>IFERROR(INDEX(Produtos!$E$2:$E$71,MATCH(C3274,Produtos!$A$2:$A$71,0)),0)</f>
        <v/>
      </c>
      <c r="R3274" s="23">
        <f>D3274*Q3274</f>
        <v/>
      </c>
      <c r="S3274" s="23">
        <f>R3274*E3274</f>
        <v/>
      </c>
      <c r="T3274" s="23">
        <f>(R3274-S3274)*M3274</f>
        <v/>
      </c>
      <c r="U3274" s="23">
        <f>R3274-S3274-T3274</f>
        <v/>
      </c>
      <c r="V3274" s="23">
        <f>D3274*P3274</f>
        <v/>
      </c>
      <c r="W3274" s="23">
        <f>U3274-V3274</f>
        <v/>
      </c>
      <c r="X3274" s="24">
        <f>IFERROR(W3274/U3274,0)</f>
        <v/>
      </c>
    </row>
    <row r="3275">
      <c r="A3275" s="25">
        <f>ItensPedido!A3275</f>
        <v/>
      </c>
      <c r="B3275" s="25">
        <f>ItensPedido!B3275</f>
        <v/>
      </c>
      <c r="C3275" s="25">
        <f>ItensPedido!C3275</f>
        <v/>
      </c>
      <c r="D3275" s="25">
        <f>ItensPedido!D3275</f>
        <v/>
      </c>
      <c r="E3275" s="26">
        <f>ItensPedido!E3275</f>
        <v/>
      </c>
      <c r="F3275" s="25">
        <f>IFERROR(INDEX(Pedidos!$B$2:$B$1801,MATCH(B3275,Pedidos!$A$2:$A$1801,0)),0)</f>
        <v/>
      </c>
      <c r="G3275" s="25">
        <f>IF(F3275=0,"",YEAR(F3275))</f>
        <v/>
      </c>
      <c r="H3275" s="25">
        <f>IF(F3275=0,"",MONTH(F3275))</f>
        <v/>
      </c>
      <c r="I3275" s="25">
        <f>IFERROR(INDEX(Pedidos!$E$2:$E$1801,MATCH(B3275,Pedidos!$A$2:$A$1801,0)),"")</f>
        <v/>
      </c>
      <c r="J3275" s="25">
        <f>IFERROR(INDEX(Pedidos!$C$2:$C$1801,MATCH(B3275,Pedidos!$A$2:$A$1801,0)),"")</f>
        <v/>
      </c>
      <c r="K3275" s="25">
        <f>IFERROR(INDEX(Pedidos!$D$2:$D$1801,MATCH(B3275,Pedidos!$A$2:$A$1801,0)),"")</f>
        <v/>
      </c>
      <c r="L3275" s="25">
        <f>IFERROR(INDEX(Pedidos!$F$2:$F$1801,MATCH(B3275,Pedidos!$A$2:$A$1801,0)),"")</f>
        <v/>
      </c>
      <c r="M3275" s="26">
        <f>IFERROR(INDEX(Pedidos!$G$2:$G$1801,MATCH(B3275,Pedidos!$A$2:$A$1801,0)),0)</f>
        <v/>
      </c>
      <c r="N3275" s="25">
        <f>IFERROR(INDEX(Produtos!$B$2:$B$71,MATCH(C3275,Produtos!$A$2:$A$71,0)),"")</f>
        <v/>
      </c>
      <c r="O3275" s="25">
        <f>IFERROR(INDEX(Produtos!$C$2:$C$71,MATCH(C3275,Produtos!$A$2:$A$71,0)),"")</f>
        <v/>
      </c>
      <c r="P3275" s="25">
        <f>IFERROR(INDEX(Produtos!$D$2:$D$71,MATCH(C3275,Produtos!$A$2:$A$71,0)),0)</f>
        <v/>
      </c>
      <c r="Q3275" s="25">
        <f>IFERROR(INDEX(Produtos!$E$2:$E$71,MATCH(C3275,Produtos!$A$2:$A$71,0)),0)</f>
        <v/>
      </c>
      <c r="R3275" s="27">
        <f>D3275*Q3275</f>
        <v/>
      </c>
      <c r="S3275" s="27">
        <f>R3275*E3275</f>
        <v/>
      </c>
      <c r="T3275" s="27">
        <f>(R3275-S3275)*M3275</f>
        <v/>
      </c>
      <c r="U3275" s="27">
        <f>R3275-S3275-T3275</f>
        <v/>
      </c>
      <c r="V3275" s="27">
        <f>D3275*P3275</f>
        <v/>
      </c>
      <c r="W3275" s="27">
        <f>U3275-V3275</f>
        <v/>
      </c>
      <c r="X3275" s="28">
        <f>IFERROR(W3275/U3275,0)</f>
        <v/>
      </c>
    </row>
    <row r="3276">
      <c r="A3276" s="21">
        <f>ItensPedido!A3276</f>
        <v/>
      </c>
      <c r="B3276" s="21">
        <f>ItensPedido!B3276</f>
        <v/>
      </c>
      <c r="C3276" s="21">
        <f>ItensPedido!C3276</f>
        <v/>
      </c>
      <c r="D3276" s="21">
        <f>ItensPedido!D3276</f>
        <v/>
      </c>
      <c r="E3276" s="22">
        <f>ItensPedido!E3276</f>
        <v/>
      </c>
      <c r="F3276" s="21">
        <f>IFERROR(INDEX(Pedidos!$B$2:$B$1801,MATCH(B3276,Pedidos!$A$2:$A$1801,0)),0)</f>
        <v/>
      </c>
      <c r="G3276" s="21">
        <f>IF(F3276=0,"",YEAR(F3276))</f>
        <v/>
      </c>
      <c r="H3276" s="21">
        <f>IF(F3276=0,"",MONTH(F3276))</f>
        <v/>
      </c>
      <c r="I3276" s="21">
        <f>IFERROR(INDEX(Pedidos!$E$2:$E$1801,MATCH(B3276,Pedidos!$A$2:$A$1801,0)),"")</f>
        <v/>
      </c>
      <c r="J3276" s="21">
        <f>IFERROR(INDEX(Pedidos!$C$2:$C$1801,MATCH(B3276,Pedidos!$A$2:$A$1801,0)),"")</f>
        <v/>
      </c>
      <c r="K3276" s="21">
        <f>IFERROR(INDEX(Pedidos!$D$2:$D$1801,MATCH(B3276,Pedidos!$A$2:$A$1801,0)),"")</f>
        <v/>
      </c>
      <c r="L3276" s="21">
        <f>IFERROR(INDEX(Pedidos!$F$2:$F$1801,MATCH(B3276,Pedidos!$A$2:$A$1801,0)),"")</f>
        <v/>
      </c>
      <c r="M3276" s="22">
        <f>IFERROR(INDEX(Pedidos!$G$2:$G$1801,MATCH(B3276,Pedidos!$A$2:$A$1801,0)),0)</f>
        <v/>
      </c>
      <c r="N3276" s="21">
        <f>IFERROR(INDEX(Produtos!$B$2:$B$71,MATCH(C3276,Produtos!$A$2:$A$71,0)),"")</f>
        <v/>
      </c>
      <c r="O3276" s="21">
        <f>IFERROR(INDEX(Produtos!$C$2:$C$71,MATCH(C3276,Produtos!$A$2:$A$71,0)),"")</f>
        <v/>
      </c>
      <c r="P3276" s="21">
        <f>IFERROR(INDEX(Produtos!$D$2:$D$71,MATCH(C3276,Produtos!$A$2:$A$71,0)),0)</f>
        <v/>
      </c>
      <c r="Q3276" s="21">
        <f>IFERROR(INDEX(Produtos!$E$2:$E$71,MATCH(C3276,Produtos!$A$2:$A$71,0)),0)</f>
        <v/>
      </c>
      <c r="R3276" s="23">
        <f>D3276*Q3276</f>
        <v/>
      </c>
      <c r="S3276" s="23">
        <f>R3276*E3276</f>
        <v/>
      </c>
      <c r="T3276" s="23">
        <f>(R3276-S3276)*M3276</f>
        <v/>
      </c>
      <c r="U3276" s="23">
        <f>R3276-S3276-T3276</f>
        <v/>
      </c>
      <c r="V3276" s="23">
        <f>D3276*P3276</f>
        <v/>
      </c>
      <c r="W3276" s="23">
        <f>U3276-V3276</f>
        <v/>
      </c>
      <c r="X3276" s="24">
        <f>IFERROR(W3276/U3276,0)</f>
        <v/>
      </c>
    </row>
    <row r="3277">
      <c r="A3277" s="25">
        <f>ItensPedido!A3277</f>
        <v/>
      </c>
      <c r="B3277" s="25">
        <f>ItensPedido!B3277</f>
        <v/>
      </c>
      <c r="C3277" s="25">
        <f>ItensPedido!C3277</f>
        <v/>
      </c>
      <c r="D3277" s="25">
        <f>ItensPedido!D3277</f>
        <v/>
      </c>
      <c r="E3277" s="26">
        <f>ItensPedido!E3277</f>
        <v/>
      </c>
      <c r="F3277" s="25">
        <f>IFERROR(INDEX(Pedidos!$B$2:$B$1801,MATCH(B3277,Pedidos!$A$2:$A$1801,0)),0)</f>
        <v/>
      </c>
      <c r="G3277" s="25">
        <f>IF(F3277=0,"",YEAR(F3277))</f>
        <v/>
      </c>
      <c r="H3277" s="25">
        <f>IF(F3277=0,"",MONTH(F3277))</f>
        <v/>
      </c>
      <c r="I3277" s="25">
        <f>IFERROR(INDEX(Pedidos!$E$2:$E$1801,MATCH(B3277,Pedidos!$A$2:$A$1801,0)),"")</f>
        <v/>
      </c>
      <c r="J3277" s="25">
        <f>IFERROR(INDEX(Pedidos!$C$2:$C$1801,MATCH(B3277,Pedidos!$A$2:$A$1801,0)),"")</f>
        <v/>
      </c>
      <c r="K3277" s="25">
        <f>IFERROR(INDEX(Pedidos!$D$2:$D$1801,MATCH(B3277,Pedidos!$A$2:$A$1801,0)),"")</f>
        <v/>
      </c>
      <c r="L3277" s="25">
        <f>IFERROR(INDEX(Pedidos!$F$2:$F$1801,MATCH(B3277,Pedidos!$A$2:$A$1801,0)),"")</f>
        <v/>
      </c>
      <c r="M3277" s="26">
        <f>IFERROR(INDEX(Pedidos!$G$2:$G$1801,MATCH(B3277,Pedidos!$A$2:$A$1801,0)),0)</f>
        <v/>
      </c>
      <c r="N3277" s="25">
        <f>IFERROR(INDEX(Produtos!$B$2:$B$71,MATCH(C3277,Produtos!$A$2:$A$71,0)),"")</f>
        <v/>
      </c>
      <c r="O3277" s="25">
        <f>IFERROR(INDEX(Produtos!$C$2:$C$71,MATCH(C3277,Produtos!$A$2:$A$71,0)),"")</f>
        <v/>
      </c>
      <c r="P3277" s="25">
        <f>IFERROR(INDEX(Produtos!$D$2:$D$71,MATCH(C3277,Produtos!$A$2:$A$71,0)),0)</f>
        <v/>
      </c>
      <c r="Q3277" s="25">
        <f>IFERROR(INDEX(Produtos!$E$2:$E$71,MATCH(C3277,Produtos!$A$2:$A$71,0)),0)</f>
        <v/>
      </c>
      <c r="R3277" s="27">
        <f>D3277*Q3277</f>
        <v/>
      </c>
      <c r="S3277" s="27">
        <f>R3277*E3277</f>
        <v/>
      </c>
      <c r="T3277" s="27">
        <f>(R3277-S3277)*M3277</f>
        <v/>
      </c>
      <c r="U3277" s="27">
        <f>R3277-S3277-T3277</f>
        <v/>
      </c>
      <c r="V3277" s="27">
        <f>D3277*P3277</f>
        <v/>
      </c>
      <c r="W3277" s="27">
        <f>U3277-V3277</f>
        <v/>
      </c>
      <c r="X3277" s="28">
        <f>IFERROR(W3277/U3277,0)</f>
        <v/>
      </c>
    </row>
    <row r="3278">
      <c r="A3278" s="21">
        <f>ItensPedido!A3278</f>
        <v/>
      </c>
      <c r="B3278" s="21">
        <f>ItensPedido!B3278</f>
        <v/>
      </c>
      <c r="C3278" s="21">
        <f>ItensPedido!C3278</f>
        <v/>
      </c>
      <c r="D3278" s="21">
        <f>ItensPedido!D3278</f>
        <v/>
      </c>
      <c r="E3278" s="22">
        <f>ItensPedido!E3278</f>
        <v/>
      </c>
      <c r="F3278" s="21">
        <f>IFERROR(INDEX(Pedidos!$B$2:$B$1801,MATCH(B3278,Pedidos!$A$2:$A$1801,0)),0)</f>
        <v/>
      </c>
      <c r="G3278" s="21">
        <f>IF(F3278=0,"",YEAR(F3278))</f>
        <v/>
      </c>
      <c r="H3278" s="21">
        <f>IF(F3278=0,"",MONTH(F3278))</f>
        <v/>
      </c>
      <c r="I3278" s="21">
        <f>IFERROR(INDEX(Pedidos!$E$2:$E$1801,MATCH(B3278,Pedidos!$A$2:$A$1801,0)),"")</f>
        <v/>
      </c>
      <c r="J3278" s="21">
        <f>IFERROR(INDEX(Pedidos!$C$2:$C$1801,MATCH(B3278,Pedidos!$A$2:$A$1801,0)),"")</f>
        <v/>
      </c>
      <c r="K3278" s="21">
        <f>IFERROR(INDEX(Pedidos!$D$2:$D$1801,MATCH(B3278,Pedidos!$A$2:$A$1801,0)),"")</f>
        <v/>
      </c>
      <c r="L3278" s="21">
        <f>IFERROR(INDEX(Pedidos!$F$2:$F$1801,MATCH(B3278,Pedidos!$A$2:$A$1801,0)),"")</f>
        <v/>
      </c>
      <c r="M3278" s="22">
        <f>IFERROR(INDEX(Pedidos!$G$2:$G$1801,MATCH(B3278,Pedidos!$A$2:$A$1801,0)),0)</f>
        <v/>
      </c>
      <c r="N3278" s="21">
        <f>IFERROR(INDEX(Produtos!$B$2:$B$71,MATCH(C3278,Produtos!$A$2:$A$71,0)),"")</f>
        <v/>
      </c>
      <c r="O3278" s="21">
        <f>IFERROR(INDEX(Produtos!$C$2:$C$71,MATCH(C3278,Produtos!$A$2:$A$71,0)),"")</f>
        <v/>
      </c>
      <c r="P3278" s="21">
        <f>IFERROR(INDEX(Produtos!$D$2:$D$71,MATCH(C3278,Produtos!$A$2:$A$71,0)),0)</f>
        <v/>
      </c>
      <c r="Q3278" s="21">
        <f>IFERROR(INDEX(Produtos!$E$2:$E$71,MATCH(C3278,Produtos!$A$2:$A$71,0)),0)</f>
        <v/>
      </c>
      <c r="R3278" s="23">
        <f>D3278*Q3278</f>
        <v/>
      </c>
      <c r="S3278" s="23">
        <f>R3278*E3278</f>
        <v/>
      </c>
      <c r="T3278" s="23">
        <f>(R3278-S3278)*M3278</f>
        <v/>
      </c>
      <c r="U3278" s="23">
        <f>R3278-S3278-T3278</f>
        <v/>
      </c>
      <c r="V3278" s="23">
        <f>D3278*P3278</f>
        <v/>
      </c>
      <c r="W3278" s="23">
        <f>U3278-V3278</f>
        <v/>
      </c>
      <c r="X3278" s="24">
        <f>IFERROR(W3278/U3278,0)</f>
        <v/>
      </c>
    </row>
    <row r="3279">
      <c r="A3279" s="25">
        <f>ItensPedido!A3279</f>
        <v/>
      </c>
      <c r="B3279" s="25">
        <f>ItensPedido!B3279</f>
        <v/>
      </c>
      <c r="C3279" s="25">
        <f>ItensPedido!C3279</f>
        <v/>
      </c>
      <c r="D3279" s="25">
        <f>ItensPedido!D3279</f>
        <v/>
      </c>
      <c r="E3279" s="26">
        <f>ItensPedido!E3279</f>
        <v/>
      </c>
      <c r="F3279" s="25">
        <f>IFERROR(INDEX(Pedidos!$B$2:$B$1801,MATCH(B3279,Pedidos!$A$2:$A$1801,0)),0)</f>
        <v/>
      </c>
      <c r="G3279" s="25">
        <f>IF(F3279=0,"",YEAR(F3279))</f>
        <v/>
      </c>
      <c r="H3279" s="25">
        <f>IF(F3279=0,"",MONTH(F3279))</f>
        <v/>
      </c>
      <c r="I3279" s="25">
        <f>IFERROR(INDEX(Pedidos!$E$2:$E$1801,MATCH(B3279,Pedidos!$A$2:$A$1801,0)),"")</f>
        <v/>
      </c>
      <c r="J3279" s="25">
        <f>IFERROR(INDEX(Pedidos!$C$2:$C$1801,MATCH(B3279,Pedidos!$A$2:$A$1801,0)),"")</f>
        <v/>
      </c>
      <c r="K3279" s="25">
        <f>IFERROR(INDEX(Pedidos!$D$2:$D$1801,MATCH(B3279,Pedidos!$A$2:$A$1801,0)),"")</f>
        <v/>
      </c>
      <c r="L3279" s="25">
        <f>IFERROR(INDEX(Pedidos!$F$2:$F$1801,MATCH(B3279,Pedidos!$A$2:$A$1801,0)),"")</f>
        <v/>
      </c>
      <c r="M3279" s="26">
        <f>IFERROR(INDEX(Pedidos!$G$2:$G$1801,MATCH(B3279,Pedidos!$A$2:$A$1801,0)),0)</f>
        <v/>
      </c>
      <c r="N3279" s="25">
        <f>IFERROR(INDEX(Produtos!$B$2:$B$71,MATCH(C3279,Produtos!$A$2:$A$71,0)),"")</f>
        <v/>
      </c>
      <c r="O3279" s="25">
        <f>IFERROR(INDEX(Produtos!$C$2:$C$71,MATCH(C3279,Produtos!$A$2:$A$71,0)),"")</f>
        <v/>
      </c>
      <c r="P3279" s="25">
        <f>IFERROR(INDEX(Produtos!$D$2:$D$71,MATCH(C3279,Produtos!$A$2:$A$71,0)),0)</f>
        <v/>
      </c>
      <c r="Q3279" s="25">
        <f>IFERROR(INDEX(Produtos!$E$2:$E$71,MATCH(C3279,Produtos!$A$2:$A$71,0)),0)</f>
        <v/>
      </c>
      <c r="R3279" s="27">
        <f>D3279*Q3279</f>
        <v/>
      </c>
      <c r="S3279" s="27">
        <f>R3279*E3279</f>
        <v/>
      </c>
      <c r="T3279" s="27">
        <f>(R3279-S3279)*M3279</f>
        <v/>
      </c>
      <c r="U3279" s="27">
        <f>R3279-S3279-T3279</f>
        <v/>
      </c>
      <c r="V3279" s="27">
        <f>D3279*P3279</f>
        <v/>
      </c>
      <c r="W3279" s="27">
        <f>U3279-V3279</f>
        <v/>
      </c>
      <c r="X3279" s="28">
        <f>IFERROR(W3279/U3279,0)</f>
        <v/>
      </c>
    </row>
    <row r="3280">
      <c r="A3280" s="21">
        <f>ItensPedido!A3280</f>
        <v/>
      </c>
      <c r="B3280" s="21">
        <f>ItensPedido!B3280</f>
        <v/>
      </c>
      <c r="C3280" s="21">
        <f>ItensPedido!C3280</f>
        <v/>
      </c>
      <c r="D3280" s="21">
        <f>ItensPedido!D3280</f>
        <v/>
      </c>
      <c r="E3280" s="22">
        <f>ItensPedido!E3280</f>
        <v/>
      </c>
      <c r="F3280" s="21">
        <f>IFERROR(INDEX(Pedidos!$B$2:$B$1801,MATCH(B3280,Pedidos!$A$2:$A$1801,0)),0)</f>
        <v/>
      </c>
      <c r="G3280" s="21">
        <f>IF(F3280=0,"",YEAR(F3280))</f>
        <v/>
      </c>
      <c r="H3280" s="21">
        <f>IF(F3280=0,"",MONTH(F3280))</f>
        <v/>
      </c>
      <c r="I3280" s="21">
        <f>IFERROR(INDEX(Pedidos!$E$2:$E$1801,MATCH(B3280,Pedidos!$A$2:$A$1801,0)),"")</f>
        <v/>
      </c>
      <c r="J3280" s="21">
        <f>IFERROR(INDEX(Pedidos!$C$2:$C$1801,MATCH(B3280,Pedidos!$A$2:$A$1801,0)),"")</f>
        <v/>
      </c>
      <c r="K3280" s="21">
        <f>IFERROR(INDEX(Pedidos!$D$2:$D$1801,MATCH(B3280,Pedidos!$A$2:$A$1801,0)),"")</f>
        <v/>
      </c>
      <c r="L3280" s="21">
        <f>IFERROR(INDEX(Pedidos!$F$2:$F$1801,MATCH(B3280,Pedidos!$A$2:$A$1801,0)),"")</f>
        <v/>
      </c>
      <c r="M3280" s="22">
        <f>IFERROR(INDEX(Pedidos!$G$2:$G$1801,MATCH(B3280,Pedidos!$A$2:$A$1801,0)),0)</f>
        <v/>
      </c>
      <c r="N3280" s="21">
        <f>IFERROR(INDEX(Produtos!$B$2:$B$71,MATCH(C3280,Produtos!$A$2:$A$71,0)),"")</f>
        <v/>
      </c>
      <c r="O3280" s="21">
        <f>IFERROR(INDEX(Produtos!$C$2:$C$71,MATCH(C3280,Produtos!$A$2:$A$71,0)),"")</f>
        <v/>
      </c>
      <c r="P3280" s="21">
        <f>IFERROR(INDEX(Produtos!$D$2:$D$71,MATCH(C3280,Produtos!$A$2:$A$71,0)),0)</f>
        <v/>
      </c>
      <c r="Q3280" s="21">
        <f>IFERROR(INDEX(Produtos!$E$2:$E$71,MATCH(C3280,Produtos!$A$2:$A$71,0)),0)</f>
        <v/>
      </c>
      <c r="R3280" s="23">
        <f>D3280*Q3280</f>
        <v/>
      </c>
      <c r="S3280" s="23">
        <f>R3280*E3280</f>
        <v/>
      </c>
      <c r="T3280" s="23">
        <f>(R3280-S3280)*M3280</f>
        <v/>
      </c>
      <c r="U3280" s="23">
        <f>R3280-S3280-T3280</f>
        <v/>
      </c>
      <c r="V3280" s="23">
        <f>D3280*P3280</f>
        <v/>
      </c>
      <c r="W3280" s="23">
        <f>U3280-V3280</f>
        <v/>
      </c>
      <c r="X3280" s="24">
        <f>IFERROR(W3280/U3280,0)</f>
        <v/>
      </c>
    </row>
    <row r="3281">
      <c r="A3281" s="25">
        <f>ItensPedido!A3281</f>
        <v/>
      </c>
      <c r="B3281" s="25">
        <f>ItensPedido!B3281</f>
        <v/>
      </c>
      <c r="C3281" s="25">
        <f>ItensPedido!C3281</f>
        <v/>
      </c>
      <c r="D3281" s="25">
        <f>ItensPedido!D3281</f>
        <v/>
      </c>
      <c r="E3281" s="26">
        <f>ItensPedido!E3281</f>
        <v/>
      </c>
      <c r="F3281" s="25">
        <f>IFERROR(INDEX(Pedidos!$B$2:$B$1801,MATCH(B3281,Pedidos!$A$2:$A$1801,0)),0)</f>
        <v/>
      </c>
      <c r="G3281" s="25">
        <f>IF(F3281=0,"",YEAR(F3281))</f>
        <v/>
      </c>
      <c r="H3281" s="25">
        <f>IF(F3281=0,"",MONTH(F3281))</f>
        <v/>
      </c>
      <c r="I3281" s="25">
        <f>IFERROR(INDEX(Pedidos!$E$2:$E$1801,MATCH(B3281,Pedidos!$A$2:$A$1801,0)),"")</f>
        <v/>
      </c>
      <c r="J3281" s="25">
        <f>IFERROR(INDEX(Pedidos!$C$2:$C$1801,MATCH(B3281,Pedidos!$A$2:$A$1801,0)),"")</f>
        <v/>
      </c>
      <c r="K3281" s="25">
        <f>IFERROR(INDEX(Pedidos!$D$2:$D$1801,MATCH(B3281,Pedidos!$A$2:$A$1801,0)),"")</f>
        <v/>
      </c>
      <c r="L3281" s="25">
        <f>IFERROR(INDEX(Pedidos!$F$2:$F$1801,MATCH(B3281,Pedidos!$A$2:$A$1801,0)),"")</f>
        <v/>
      </c>
      <c r="M3281" s="26">
        <f>IFERROR(INDEX(Pedidos!$G$2:$G$1801,MATCH(B3281,Pedidos!$A$2:$A$1801,0)),0)</f>
        <v/>
      </c>
      <c r="N3281" s="25">
        <f>IFERROR(INDEX(Produtos!$B$2:$B$71,MATCH(C3281,Produtos!$A$2:$A$71,0)),"")</f>
        <v/>
      </c>
      <c r="O3281" s="25">
        <f>IFERROR(INDEX(Produtos!$C$2:$C$71,MATCH(C3281,Produtos!$A$2:$A$71,0)),"")</f>
        <v/>
      </c>
      <c r="P3281" s="25">
        <f>IFERROR(INDEX(Produtos!$D$2:$D$71,MATCH(C3281,Produtos!$A$2:$A$71,0)),0)</f>
        <v/>
      </c>
      <c r="Q3281" s="25">
        <f>IFERROR(INDEX(Produtos!$E$2:$E$71,MATCH(C3281,Produtos!$A$2:$A$71,0)),0)</f>
        <v/>
      </c>
      <c r="R3281" s="27">
        <f>D3281*Q3281</f>
        <v/>
      </c>
      <c r="S3281" s="27">
        <f>R3281*E3281</f>
        <v/>
      </c>
      <c r="T3281" s="27">
        <f>(R3281-S3281)*M3281</f>
        <v/>
      </c>
      <c r="U3281" s="27">
        <f>R3281-S3281-T3281</f>
        <v/>
      </c>
      <c r="V3281" s="27">
        <f>D3281*P3281</f>
        <v/>
      </c>
      <c r="W3281" s="27">
        <f>U3281-V3281</f>
        <v/>
      </c>
      <c r="X3281" s="28">
        <f>IFERROR(W3281/U3281,0)</f>
        <v/>
      </c>
    </row>
    <row r="3282">
      <c r="A3282" s="21">
        <f>ItensPedido!A3282</f>
        <v/>
      </c>
      <c r="B3282" s="21">
        <f>ItensPedido!B3282</f>
        <v/>
      </c>
      <c r="C3282" s="21">
        <f>ItensPedido!C3282</f>
        <v/>
      </c>
      <c r="D3282" s="21">
        <f>ItensPedido!D3282</f>
        <v/>
      </c>
      <c r="E3282" s="22">
        <f>ItensPedido!E3282</f>
        <v/>
      </c>
      <c r="F3282" s="21">
        <f>IFERROR(INDEX(Pedidos!$B$2:$B$1801,MATCH(B3282,Pedidos!$A$2:$A$1801,0)),0)</f>
        <v/>
      </c>
      <c r="G3282" s="21">
        <f>IF(F3282=0,"",YEAR(F3282))</f>
        <v/>
      </c>
      <c r="H3282" s="21">
        <f>IF(F3282=0,"",MONTH(F3282))</f>
        <v/>
      </c>
      <c r="I3282" s="21">
        <f>IFERROR(INDEX(Pedidos!$E$2:$E$1801,MATCH(B3282,Pedidos!$A$2:$A$1801,0)),"")</f>
        <v/>
      </c>
      <c r="J3282" s="21">
        <f>IFERROR(INDEX(Pedidos!$C$2:$C$1801,MATCH(B3282,Pedidos!$A$2:$A$1801,0)),"")</f>
        <v/>
      </c>
      <c r="K3282" s="21">
        <f>IFERROR(INDEX(Pedidos!$D$2:$D$1801,MATCH(B3282,Pedidos!$A$2:$A$1801,0)),"")</f>
        <v/>
      </c>
      <c r="L3282" s="21">
        <f>IFERROR(INDEX(Pedidos!$F$2:$F$1801,MATCH(B3282,Pedidos!$A$2:$A$1801,0)),"")</f>
        <v/>
      </c>
      <c r="M3282" s="22">
        <f>IFERROR(INDEX(Pedidos!$G$2:$G$1801,MATCH(B3282,Pedidos!$A$2:$A$1801,0)),0)</f>
        <v/>
      </c>
      <c r="N3282" s="21">
        <f>IFERROR(INDEX(Produtos!$B$2:$B$71,MATCH(C3282,Produtos!$A$2:$A$71,0)),"")</f>
        <v/>
      </c>
      <c r="O3282" s="21">
        <f>IFERROR(INDEX(Produtos!$C$2:$C$71,MATCH(C3282,Produtos!$A$2:$A$71,0)),"")</f>
        <v/>
      </c>
      <c r="P3282" s="21">
        <f>IFERROR(INDEX(Produtos!$D$2:$D$71,MATCH(C3282,Produtos!$A$2:$A$71,0)),0)</f>
        <v/>
      </c>
      <c r="Q3282" s="21">
        <f>IFERROR(INDEX(Produtos!$E$2:$E$71,MATCH(C3282,Produtos!$A$2:$A$71,0)),0)</f>
        <v/>
      </c>
      <c r="R3282" s="23">
        <f>D3282*Q3282</f>
        <v/>
      </c>
      <c r="S3282" s="23">
        <f>R3282*E3282</f>
        <v/>
      </c>
      <c r="T3282" s="23">
        <f>(R3282-S3282)*M3282</f>
        <v/>
      </c>
      <c r="U3282" s="23">
        <f>R3282-S3282-T3282</f>
        <v/>
      </c>
      <c r="V3282" s="23">
        <f>D3282*P3282</f>
        <v/>
      </c>
      <c r="W3282" s="23">
        <f>U3282-V3282</f>
        <v/>
      </c>
      <c r="X3282" s="24">
        <f>IFERROR(W3282/U3282,0)</f>
        <v/>
      </c>
    </row>
    <row r="3283">
      <c r="A3283" s="25">
        <f>ItensPedido!A3283</f>
        <v/>
      </c>
      <c r="B3283" s="25">
        <f>ItensPedido!B3283</f>
        <v/>
      </c>
      <c r="C3283" s="25">
        <f>ItensPedido!C3283</f>
        <v/>
      </c>
      <c r="D3283" s="25">
        <f>ItensPedido!D3283</f>
        <v/>
      </c>
      <c r="E3283" s="26">
        <f>ItensPedido!E3283</f>
        <v/>
      </c>
      <c r="F3283" s="25">
        <f>IFERROR(INDEX(Pedidos!$B$2:$B$1801,MATCH(B3283,Pedidos!$A$2:$A$1801,0)),0)</f>
        <v/>
      </c>
      <c r="G3283" s="25">
        <f>IF(F3283=0,"",YEAR(F3283))</f>
        <v/>
      </c>
      <c r="H3283" s="25">
        <f>IF(F3283=0,"",MONTH(F3283))</f>
        <v/>
      </c>
      <c r="I3283" s="25">
        <f>IFERROR(INDEX(Pedidos!$E$2:$E$1801,MATCH(B3283,Pedidos!$A$2:$A$1801,0)),"")</f>
        <v/>
      </c>
      <c r="J3283" s="25">
        <f>IFERROR(INDEX(Pedidos!$C$2:$C$1801,MATCH(B3283,Pedidos!$A$2:$A$1801,0)),"")</f>
        <v/>
      </c>
      <c r="K3283" s="25">
        <f>IFERROR(INDEX(Pedidos!$D$2:$D$1801,MATCH(B3283,Pedidos!$A$2:$A$1801,0)),"")</f>
        <v/>
      </c>
      <c r="L3283" s="25">
        <f>IFERROR(INDEX(Pedidos!$F$2:$F$1801,MATCH(B3283,Pedidos!$A$2:$A$1801,0)),"")</f>
        <v/>
      </c>
      <c r="M3283" s="26">
        <f>IFERROR(INDEX(Pedidos!$G$2:$G$1801,MATCH(B3283,Pedidos!$A$2:$A$1801,0)),0)</f>
        <v/>
      </c>
      <c r="N3283" s="25">
        <f>IFERROR(INDEX(Produtos!$B$2:$B$71,MATCH(C3283,Produtos!$A$2:$A$71,0)),"")</f>
        <v/>
      </c>
      <c r="O3283" s="25">
        <f>IFERROR(INDEX(Produtos!$C$2:$C$71,MATCH(C3283,Produtos!$A$2:$A$71,0)),"")</f>
        <v/>
      </c>
      <c r="P3283" s="25">
        <f>IFERROR(INDEX(Produtos!$D$2:$D$71,MATCH(C3283,Produtos!$A$2:$A$71,0)),0)</f>
        <v/>
      </c>
      <c r="Q3283" s="25">
        <f>IFERROR(INDEX(Produtos!$E$2:$E$71,MATCH(C3283,Produtos!$A$2:$A$71,0)),0)</f>
        <v/>
      </c>
      <c r="R3283" s="27">
        <f>D3283*Q3283</f>
        <v/>
      </c>
      <c r="S3283" s="27">
        <f>R3283*E3283</f>
        <v/>
      </c>
      <c r="T3283" s="27">
        <f>(R3283-S3283)*M3283</f>
        <v/>
      </c>
      <c r="U3283" s="27">
        <f>R3283-S3283-T3283</f>
        <v/>
      </c>
      <c r="V3283" s="27">
        <f>D3283*P3283</f>
        <v/>
      </c>
      <c r="W3283" s="27">
        <f>U3283-V3283</f>
        <v/>
      </c>
      <c r="X3283" s="28">
        <f>IFERROR(W3283/U3283,0)</f>
        <v/>
      </c>
    </row>
    <row r="3284">
      <c r="A3284" s="21">
        <f>ItensPedido!A3284</f>
        <v/>
      </c>
      <c r="B3284" s="21">
        <f>ItensPedido!B3284</f>
        <v/>
      </c>
      <c r="C3284" s="21">
        <f>ItensPedido!C3284</f>
        <v/>
      </c>
      <c r="D3284" s="21">
        <f>ItensPedido!D3284</f>
        <v/>
      </c>
      <c r="E3284" s="22">
        <f>ItensPedido!E3284</f>
        <v/>
      </c>
      <c r="F3284" s="21">
        <f>IFERROR(INDEX(Pedidos!$B$2:$B$1801,MATCH(B3284,Pedidos!$A$2:$A$1801,0)),0)</f>
        <v/>
      </c>
      <c r="G3284" s="21">
        <f>IF(F3284=0,"",YEAR(F3284))</f>
        <v/>
      </c>
      <c r="H3284" s="21">
        <f>IF(F3284=0,"",MONTH(F3284))</f>
        <v/>
      </c>
      <c r="I3284" s="21">
        <f>IFERROR(INDEX(Pedidos!$E$2:$E$1801,MATCH(B3284,Pedidos!$A$2:$A$1801,0)),"")</f>
        <v/>
      </c>
      <c r="J3284" s="21">
        <f>IFERROR(INDEX(Pedidos!$C$2:$C$1801,MATCH(B3284,Pedidos!$A$2:$A$1801,0)),"")</f>
        <v/>
      </c>
      <c r="K3284" s="21">
        <f>IFERROR(INDEX(Pedidos!$D$2:$D$1801,MATCH(B3284,Pedidos!$A$2:$A$1801,0)),"")</f>
        <v/>
      </c>
      <c r="L3284" s="21">
        <f>IFERROR(INDEX(Pedidos!$F$2:$F$1801,MATCH(B3284,Pedidos!$A$2:$A$1801,0)),"")</f>
        <v/>
      </c>
      <c r="M3284" s="22">
        <f>IFERROR(INDEX(Pedidos!$G$2:$G$1801,MATCH(B3284,Pedidos!$A$2:$A$1801,0)),0)</f>
        <v/>
      </c>
      <c r="N3284" s="21">
        <f>IFERROR(INDEX(Produtos!$B$2:$B$71,MATCH(C3284,Produtos!$A$2:$A$71,0)),"")</f>
        <v/>
      </c>
      <c r="O3284" s="21">
        <f>IFERROR(INDEX(Produtos!$C$2:$C$71,MATCH(C3284,Produtos!$A$2:$A$71,0)),"")</f>
        <v/>
      </c>
      <c r="P3284" s="21">
        <f>IFERROR(INDEX(Produtos!$D$2:$D$71,MATCH(C3284,Produtos!$A$2:$A$71,0)),0)</f>
        <v/>
      </c>
      <c r="Q3284" s="21">
        <f>IFERROR(INDEX(Produtos!$E$2:$E$71,MATCH(C3284,Produtos!$A$2:$A$71,0)),0)</f>
        <v/>
      </c>
      <c r="R3284" s="23">
        <f>D3284*Q3284</f>
        <v/>
      </c>
      <c r="S3284" s="23">
        <f>R3284*E3284</f>
        <v/>
      </c>
      <c r="T3284" s="23">
        <f>(R3284-S3284)*M3284</f>
        <v/>
      </c>
      <c r="U3284" s="23">
        <f>R3284-S3284-T3284</f>
        <v/>
      </c>
      <c r="V3284" s="23">
        <f>D3284*P3284</f>
        <v/>
      </c>
      <c r="W3284" s="23">
        <f>U3284-V3284</f>
        <v/>
      </c>
      <c r="X3284" s="24">
        <f>IFERROR(W3284/U3284,0)</f>
        <v/>
      </c>
    </row>
    <row r="3285">
      <c r="A3285" s="25">
        <f>ItensPedido!A3285</f>
        <v/>
      </c>
      <c r="B3285" s="25">
        <f>ItensPedido!B3285</f>
        <v/>
      </c>
      <c r="C3285" s="25">
        <f>ItensPedido!C3285</f>
        <v/>
      </c>
      <c r="D3285" s="25">
        <f>ItensPedido!D3285</f>
        <v/>
      </c>
      <c r="E3285" s="26">
        <f>ItensPedido!E3285</f>
        <v/>
      </c>
      <c r="F3285" s="25">
        <f>IFERROR(INDEX(Pedidos!$B$2:$B$1801,MATCH(B3285,Pedidos!$A$2:$A$1801,0)),0)</f>
        <v/>
      </c>
      <c r="G3285" s="25">
        <f>IF(F3285=0,"",YEAR(F3285))</f>
        <v/>
      </c>
      <c r="H3285" s="25">
        <f>IF(F3285=0,"",MONTH(F3285))</f>
        <v/>
      </c>
      <c r="I3285" s="25">
        <f>IFERROR(INDEX(Pedidos!$E$2:$E$1801,MATCH(B3285,Pedidos!$A$2:$A$1801,0)),"")</f>
        <v/>
      </c>
      <c r="J3285" s="25">
        <f>IFERROR(INDEX(Pedidos!$C$2:$C$1801,MATCH(B3285,Pedidos!$A$2:$A$1801,0)),"")</f>
        <v/>
      </c>
      <c r="K3285" s="25">
        <f>IFERROR(INDEX(Pedidos!$D$2:$D$1801,MATCH(B3285,Pedidos!$A$2:$A$1801,0)),"")</f>
        <v/>
      </c>
      <c r="L3285" s="25">
        <f>IFERROR(INDEX(Pedidos!$F$2:$F$1801,MATCH(B3285,Pedidos!$A$2:$A$1801,0)),"")</f>
        <v/>
      </c>
      <c r="M3285" s="26">
        <f>IFERROR(INDEX(Pedidos!$G$2:$G$1801,MATCH(B3285,Pedidos!$A$2:$A$1801,0)),0)</f>
        <v/>
      </c>
      <c r="N3285" s="25">
        <f>IFERROR(INDEX(Produtos!$B$2:$B$71,MATCH(C3285,Produtos!$A$2:$A$71,0)),"")</f>
        <v/>
      </c>
      <c r="O3285" s="25">
        <f>IFERROR(INDEX(Produtos!$C$2:$C$71,MATCH(C3285,Produtos!$A$2:$A$71,0)),"")</f>
        <v/>
      </c>
      <c r="P3285" s="25">
        <f>IFERROR(INDEX(Produtos!$D$2:$D$71,MATCH(C3285,Produtos!$A$2:$A$71,0)),0)</f>
        <v/>
      </c>
      <c r="Q3285" s="25">
        <f>IFERROR(INDEX(Produtos!$E$2:$E$71,MATCH(C3285,Produtos!$A$2:$A$71,0)),0)</f>
        <v/>
      </c>
      <c r="R3285" s="27">
        <f>D3285*Q3285</f>
        <v/>
      </c>
      <c r="S3285" s="27">
        <f>R3285*E3285</f>
        <v/>
      </c>
      <c r="T3285" s="27">
        <f>(R3285-S3285)*M3285</f>
        <v/>
      </c>
      <c r="U3285" s="27">
        <f>R3285-S3285-T3285</f>
        <v/>
      </c>
      <c r="V3285" s="27">
        <f>D3285*P3285</f>
        <v/>
      </c>
      <c r="W3285" s="27">
        <f>U3285-V3285</f>
        <v/>
      </c>
      <c r="X3285" s="28">
        <f>IFERROR(W3285/U3285,0)</f>
        <v/>
      </c>
    </row>
    <row r="3286">
      <c r="A3286" s="21">
        <f>ItensPedido!A3286</f>
        <v/>
      </c>
      <c r="B3286" s="21">
        <f>ItensPedido!B3286</f>
        <v/>
      </c>
      <c r="C3286" s="21">
        <f>ItensPedido!C3286</f>
        <v/>
      </c>
      <c r="D3286" s="21">
        <f>ItensPedido!D3286</f>
        <v/>
      </c>
      <c r="E3286" s="22">
        <f>ItensPedido!E3286</f>
        <v/>
      </c>
      <c r="F3286" s="21">
        <f>IFERROR(INDEX(Pedidos!$B$2:$B$1801,MATCH(B3286,Pedidos!$A$2:$A$1801,0)),0)</f>
        <v/>
      </c>
      <c r="G3286" s="21">
        <f>IF(F3286=0,"",YEAR(F3286))</f>
        <v/>
      </c>
      <c r="H3286" s="21">
        <f>IF(F3286=0,"",MONTH(F3286))</f>
        <v/>
      </c>
      <c r="I3286" s="21">
        <f>IFERROR(INDEX(Pedidos!$E$2:$E$1801,MATCH(B3286,Pedidos!$A$2:$A$1801,0)),"")</f>
        <v/>
      </c>
      <c r="J3286" s="21">
        <f>IFERROR(INDEX(Pedidos!$C$2:$C$1801,MATCH(B3286,Pedidos!$A$2:$A$1801,0)),"")</f>
        <v/>
      </c>
      <c r="K3286" s="21">
        <f>IFERROR(INDEX(Pedidos!$D$2:$D$1801,MATCH(B3286,Pedidos!$A$2:$A$1801,0)),"")</f>
        <v/>
      </c>
      <c r="L3286" s="21">
        <f>IFERROR(INDEX(Pedidos!$F$2:$F$1801,MATCH(B3286,Pedidos!$A$2:$A$1801,0)),"")</f>
        <v/>
      </c>
      <c r="M3286" s="22">
        <f>IFERROR(INDEX(Pedidos!$G$2:$G$1801,MATCH(B3286,Pedidos!$A$2:$A$1801,0)),0)</f>
        <v/>
      </c>
      <c r="N3286" s="21">
        <f>IFERROR(INDEX(Produtos!$B$2:$B$71,MATCH(C3286,Produtos!$A$2:$A$71,0)),"")</f>
        <v/>
      </c>
      <c r="O3286" s="21">
        <f>IFERROR(INDEX(Produtos!$C$2:$C$71,MATCH(C3286,Produtos!$A$2:$A$71,0)),"")</f>
        <v/>
      </c>
      <c r="P3286" s="21">
        <f>IFERROR(INDEX(Produtos!$D$2:$D$71,MATCH(C3286,Produtos!$A$2:$A$71,0)),0)</f>
        <v/>
      </c>
      <c r="Q3286" s="21">
        <f>IFERROR(INDEX(Produtos!$E$2:$E$71,MATCH(C3286,Produtos!$A$2:$A$71,0)),0)</f>
        <v/>
      </c>
      <c r="R3286" s="23">
        <f>D3286*Q3286</f>
        <v/>
      </c>
      <c r="S3286" s="23">
        <f>R3286*E3286</f>
        <v/>
      </c>
      <c r="T3286" s="23">
        <f>(R3286-S3286)*M3286</f>
        <v/>
      </c>
      <c r="U3286" s="23">
        <f>R3286-S3286-T3286</f>
        <v/>
      </c>
      <c r="V3286" s="23">
        <f>D3286*P3286</f>
        <v/>
      </c>
      <c r="W3286" s="23">
        <f>U3286-V3286</f>
        <v/>
      </c>
      <c r="X3286" s="24">
        <f>IFERROR(W3286/U3286,0)</f>
        <v/>
      </c>
    </row>
    <row r="3287">
      <c r="A3287" s="25">
        <f>ItensPedido!A3287</f>
        <v/>
      </c>
      <c r="B3287" s="25">
        <f>ItensPedido!B3287</f>
        <v/>
      </c>
      <c r="C3287" s="25">
        <f>ItensPedido!C3287</f>
        <v/>
      </c>
      <c r="D3287" s="25">
        <f>ItensPedido!D3287</f>
        <v/>
      </c>
      <c r="E3287" s="26">
        <f>ItensPedido!E3287</f>
        <v/>
      </c>
      <c r="F3287" s="25">
        <f>IFERROR(INDEX(Pedidos!$B$2:$B$1801,MATCH(B3287,Pedidos!$A$2:$A$1801,0)),0)</f>
        <v/>
      </c>
      <c r="G3287" s="25">
        <f>IF(F3287=0,"",YEAR(F3287))</f>
        <v/>
      </c>
      <c r="H3287" s="25">
        <f>IF(F3287=0,"",MONTH(F3287))</f>
        <v/>
      </c>
      <c r="I3287" s="25">
        <f>IFERROR(INDEX(Pedidos!$E$2:$E$1801,MATCH(B3287,Pedidos!$A$2:$A$1801,0)),"")</f>
        <v/>
      </c>
      <c r="J3287" s="25">
        <f>IFERROR(INDEX(Pedidos!$C$2:$C$1801,MATCH(B3287,Pedidos!$A$2:$A$1801,0)),"")</f>
        <v/>
      </c>
      <c r="K3287" s="25">
        <f>IFERROR(INDEX(Pedidos!$D$2:$D$1801,MATCH(B3287,Pedidos!$A$2:$A$1801,0)),"")</f>
        <v/>
      </c>
      <c r="L3287" s="25">
        <f>IFERROR(INDEX(Pedidos!$F$2:$F$1801,MATCH(B3287,Pedidos!$A$2:$A$1801,0)),"")</f>
        <v/>
      </c>
      <c r="M3287" s="26">
        <f>IFERROR(INDEX(Pedidos!$G$2:$G$1801,MATCH(B3287,Pedidos!$A$2:$A$1801,0)),0)</f>
        <v/>
      </c>
      <c r="N3287" s="25">
        <f>IFERROR(INDEX(Produtos!$B$2:$B$71,MATCH(C3287,Produtos!$A$2:$A$71,0)),"")</f>
        <v/>
      </c>
      <c r="O3287" s="25">
        <f>IFERROR(INDEX(Produtos!$C$2:$C$71,MATCH(C3287,Produtos!$A$2:$A$71,0)),"")</f>
        <v/>
      </c>
      <c r="P3287" s="25">
        <f>IFERROR(INDEX(Produtos!$D$2:$D$71,MATCH(C3287,Produtos!$A$2:$A$71,0)),0)</f>
        <v/>
      </c>
      <c r="Q3287" s="25">
        <f>IFERROR(INDEX(Produtos!$E$2:$E$71,MATCH(C3287,Produtos!$A$2:$A$71,0)),0)</f>
        <v/>
      </c>
      <c r="R3287" s="27">
        <f>D3287*Q3287</f>
        <v/>
      </c>
      <c r="S3287" s="27">
        <f>R3287*E3287</f>
        <v/>
      </c>
      <c r="T3287" s="27">
        <f>(R3287-S3287)*M3287</f>
        <v/>
      </c>
      <c r="U3287" s="27">
        <f>R3287-S3287-T3287</f>
        <v/>
      </c>
      <c r="V3287" s="27">
        <f>D3287*P3287</f>
        <v/>
      </c>
      <c r="W3287" s="27">
        <f>U3287-V3287</f>
        <v/>
      </c>
      <c r="X3287" s="28">
        <f>IFERROR(W3287/U3287,0)</f>
        <v/>
      </c>
    </row>
    <row r="3288">
      <c r="A3288" s="21">
        <f>ItensPedido!A3288</f>
        <v/>
      </c>
      <c r="B3288" s="21">
        <f>ItensPedido!B3288</f>
        <v/>
      </c>
      <c r="C3288" s="21">
        <f>ItensPedido!C3288</f>
        <v/>
      </c>
      <c r="D3288" s="21">
        <f>ItensPedido!D3288</f>
        <v/>
      </c>
      <c r="E3288" s="22">
        <f>ItensPedido!E3288</f>
        <v/>
      </c>
      <c r="F3288" s="21">
        <f>IFERROR(INDEX(Pedidos!$B$2:$B$1801,MATCH(B3288,Pedidos!$A$2:$A$1801,0)),0)</f>
        <v/>
      </c>
      <c r="G3288" s="21">
        <f>IF(F3288=0,"",YEAR(F3288))</f>
        <v/>
      </c>
      <c r="H3288" s="21">
        <f>IF(F3288=0,"",MONTH(F3288))</f>
        <v/>
      </c>
      <c r="I3288" s="21">
        <f>IFERROR(INDEX(Pedidos!$E$2:$E$1801,MATCH(B3288,Pedidos!$A$2:$A$1801,0)),"")</f>
        <v/>
      </c>
      <c r="J3288" s="21">
        <f>IFERROR(INDEX(Pedidos!$C$2:$C$1801,MATCH(B3288,Pedidos!$A$2:$A$1801,0)),"")</f>
        <v/>
      </c>
      <c r="K3288" s="21">
        <f>IFERROR(INDEX(Pedidos!$D$2:$D$1801,MATCH(B3288,Pedidos!$A$2:$A$1801,0)),"")</f>
        <v/>
      </c>
      <c r="L3288" s="21">
        <f>IFERROR(INDEX(Pedidos!$F$2:$F$1801,MATCH(B3288,Pedidos!$A$2:$A$1801,0)),"")</f>
        <v/>
      </c>
      <c r="M3288" s="22">
        <f>IFERROR(INDEX(Pedidos!$G$2:$G$1801,MATCH(B3288,Pedidos!$A$2:$A$1801,0)),0)</f>
        <v/>
      </c>
      <c r="N3288" s="21">
        <f>IFERROR(INDEX(Produtos!$B$2:$B$71,MATCH(C3288,Produtos!$A$2:$A$71,0)),"")</f>
        <v/>
      </c>
      <c r="O3288" s="21">
        <f>IFERROR(INDEX(Produtos!$C$2:$C$71,MATCH(C3288,Produtos!$A$2:$A$71,0)),"")</f>
        <v/>
      </c>
      <c r="P3288" s="21">
        <f>IFERROR(INDEX(Produtos!$D$2:$D$71,MATCH(C3288,Produtos!$A$2:$A$71,0)),0)</f>
        <v/>
      </c>
      <c r="Q3288" s="21">
        <f>IFERROR(INDEX(Produtos!$E$2:$E$71,MATCH(C3288,Produtos!$A$2:$A$71,0)),0)</f>
        <v/>
      </c>
      <c r="R3288" s="23">
        <f>D3288*Q3288</f>
        <v/>
      </c>
      <c r="S3288" s="23">
        <f>R3288*E3288</f>
        <v/>
      </c>
      <c r="T3288" s="23">
        <f>(R3288-S3288)*M3288</f>
        <v/>
      </c>
      <c r="U3288" s="23">
        <f>R3288-S3288-T3288</f>
        <v/>
      </c>
      <c r="V3288" s="23">
        <f>D3288*P3288</f>
        <v/>
      </c>
      <c r="W3288" s="23">
        <f>U3288-V3288</f>
        <v/>
      </c>
      <c r="X3288" s="24">
        <f>IFERROR(W3288/U3288,0)</f>
        <v/>
      </c>
    </row>
    <row r="3289">
      <c r="A3289" s="25">
        <f>ItensPedido!A3289</f>
        <v/>
      </c>
      <c r="B3289" s="25">
        <f>ItensPedido!B3289</f>
        <v/>
      </c>
      <c r="C3289" s="25">
        <f>ItensPedido!C3289</f>
        <v/>
      </c>
      <c r="D3289" s="25">
        <f>ItensPedido!D3289</f>
        <v/>
      </c>
      <c r="E3289" s="26">
        <f>ItensPedido!E3289</f>
        <v/>
      </c>
      <c r="F3289" s="25">
        <f>IFERROR(INDEX(Pedidos!$B$2:$B$1801,MATCH(B3289,Pedidos!$A$2:$A$1801,0)),0)</f>
        <v/>
      </c>
      <c r="G3289" s="25">
        <f>IF(F3289=0,"",YEAR(F3289))</f>
        <v/>
      </c>
      <c r="H3289" s="25">
        <f>IF(F3289=0,"",MONTH(F3289))</f>
        <v/>
      </c>
      <c r="I3289" s="25">
        <f>IFERROR(INDEX(Pedidos!$E$2:$E$1801,MATCH(B3289,Pedidos!$A$2:$A$1801,0)),"")</f>
        <v/>
      </c>
      <c r="J3289" s="25">
        <f>IFERROR(INDEX(Pedidos!$C$2:$C$1801,MATCH(B3289,Pedidos!$A$2:$A$1801,0)),"")</f>
        <v/>
      </c>
      <c r="K3289" s="25">
        <f>IFERROR(INDEX(Pedidos!$D$2:$D$1801,MATCH(B3289,Pedidos!$A$2:$A$1801,0)),"")</f>
        <v/>
      </c>
      <c r="L3289" s="25">
        <f>IFERROR(INDEX(Pedidos!$F$2:$F$1801,MATCH(B3289,Pedidos!$A$2:$A$1801,0)),"")</f>
        <v/>
      </c>
      <c r="M3289" s="26">
        <f>IFERROR(INDEX(Pedidos!$G$2:$G$1801,MATCH(B3289,Pedidos!$A$2:$A$1801,0)),0)</f>
        <v/>
      </c>
      <c r="N3289" s="25">
        <f>IFERROR(INDEX(Produtos!$B$2:$B$71,MATCH(C3289,Produtos!$A$2:$A$71,0)),"")</f>
        <v/>
      </c>
      <c r="O3289" s="25">
        <f>IFERROR(INDEX(Produtos!$C$2:$C$71,MATCH(C3289,Produtos!$A$2:$A$71,0)),"")</f>
        <v/>
      </c>
      <c r="P3289" s="25">
        <f>IFERROR(INDEX(Produtos!$D$2:$D$71,MATCH(C3289,Produtos!$A$2:$A$71,0)),0)</f>
        <v/>
      </c>
      <c r="Q3289" s="25">
        <f>IFERROR(INDEX(Produtos!$E$2:$E$71,MATCH(C3289,Produtos!$A$2:$A$71,0)),0)</f>
        <v/>
      </c>
      <c r="R3289" s="27">
        <f>D3289*Q3289</f>
        <v/>
      </c>
      <c r="S3289" s="27">
        <f>R3289*E3289</f>
        <v/>
      </c>
      <c r="T3289" s="27">
        <f>(R3289-S3289)*M3289</f>
        <v/>
      </c>
      <c r="U3289" s="27">
        <f>R3289-S3289-T3289</f>
        <v/>
      </c>
      <c r="V3289" s="27">
        <f>D3289*P3289</f>
        <v/>
      </c>
      <c r="W3289" s="27">
        <f>U3289-V3289</f>
        <v/>
      </c>
      <c r="X3289" s="28">
        <f>IFERROR(W3289/U3289,0)</f>
        <v/>
      </c>
    </row>
    <row r="3290">
      <c r="A3290" s="21">
        <f>ItensPedido!A3290</f>
        <v/>
      </c>
      <c r="B3290" s="21">
        <f>ItensPedido!B3290</f>
        <v/>
      </c>
      <c r="C3290" s="21">
        <f>ItensPedido!C3290</f>
        <v/>
      </c>
      <c r="D3290" s="21">
        <f>ItensPedido!D3290</f>
        <v/>
      </c>
      <c r="E3290" s="22">
        <f>ItensPedido!E3290</f>
        <v/>
      </c>
      <c r="F3290" s="21">
        <f>IFERROR(INDEX(Pedidos!$B$2:$B$1801,MATCH(B3290,Pedidos!$A$2:$A$1801,0)),0)</f>
        <v/>
      </c>
      <c r="G3290" s="21">
        <f>IF(F3290=0,"",YEAR(F3290))</f>
        <v/>
      </c>
      <c r="H3290" s="21">
        <f>IF(F3290=0,"",MONTH(F3290))</f>
        <v/>
      </c>
      <c r="I3290" s="21">
        <f>IFERROR(INDEX(Pedidos!$E$2:$E$1801,MATCH(B3290,Pedidos!$A$2:$A$1801,0)),"")</f>
        <v/>
      </c>
      <c r="J3290" s="21">
        <f>IFERROR(INDEX(Pedidos!$C$2:$C$1801,MATCH(B3290,Pedidos!$A$2:$A$1801,0)),"")</f>
        <v/>
      </c>
      <c r="K3290" s="21">
        <f>IFERROR(INDEX(Pedidos!$D$2:$D$1801,MATCH(B3290,Pedidos!$A$2:$A$1801,0)),"")</f>
        <v/>
      </c>
      <c r="L3290" s="21">
        <f>IFERROR(INDEX(Pedidos!$F$2:$F$1801,MATCH(B3290,Pedidos!$A$2:$A$1801,0)),"")</f>
        <v/>
      </c>
      <c r="M3290" s="22">
        <f>IFERROR(INDEX(Pedidos!$G$2:$G$1801,MATCH(B3290,Pedidos!$A$2:$A$1801,0)),0)</f>
        <v/>
      </c>
      <c r="N3290" s="21">
        <f>IFERROR(INDEX(Produtos!$B$2:$B$71,MATCH(C3290,Produtos!$A$2:$A$71,0)),"")</f>
        <v/>
      </c>
      <c r="O3290" s="21">
        <f>IFERROR(INDEX(Produtos!$C$2:$C$71,MATCH(C3290,Produtos!$A$2:$A$71,0)),"")</f>
        <v/>
      </c>
      <c r="P3290" s="21">
        <f>IFERROR(INDEX(Produtos!$D$2:$D$71,MATCH(C3290,Produtos!$A$2:$A$71,0)),0)</f>
        <v/>
      </c>
      <c r="Q3290" s="21">
        <f>IFERROR(INDEX(Produtos!$E$2:$E$71,MATCH(C3290,Produtos!$A$2:$A$71,0)),0)</f>
        <v/>
      </c>
      <c r="R3290" s="23">
        <f>D3290*Q3290</f>
        <v/>
      </c>
      <c r="S3290" s="23">
        <f>R3290*E3290</f>
        <v/>
      </c>
      <c r="T3290" s="23">
        <f>(R3290-S3290)*M3290</f>
        <v/>
      </c>
      <c r="U3290" s="23">
        <f>R3290-S3290-T3290</f>
        <v/>
      </c>
      <c r="V3290" s="23">
        <f>D3290*P3290</f>
        <v/>
      </c>
      <c r="W3290" s="23">
        <f>U3290-V3290</f>
        <v/>
      </c>
      <c r="X3290" s="24">
        <f>IFERROR(W3290/U3290,0)</f>
        <v/>
      </c>
    </row>
    <row r="3291">
      <c r="A3291" s="25">
        <f>ItensPedido!A3291</f>
        <v/>
      </c>
      <c r="B3291" s="25">
        <f>ItensPedido!B3291</f>
        <v/>
      </c>
      <c r="C3291" s="25">
        <f>ItensPedido!C3291</f>
        <v/>
      </c>
      <c r="D3291" s="25">
        <f>ItensPedido!D3291</f>
        <v/>
      </c>
      <c r="E3291" s="26">
        <f>ItensPedido!E3291</f>
        <v/>
      </c>
      <c r="F3291" s="25">
        <f>IFERROR(INDEX(Pedidos!$B$2:$B$1801,MATCH(B3291,Pedidos!$A$2:$A$1801,0)),0)</f>
        <v/>
      </c>
      <c r="G3291" s="25">
        <f>IF(F3291=0,"",YEAR(F3291))</f>
        <v/>
      </c>
      <c r="H3291" s="25">
        <f>IF(F3291=0,"",MONTH(F3291))</f>
        <v/>
      </c>
      <c r="I3291" s="25">
        <f>IFERROR(INDEX(Pedidos!$E$2:$E$1801,MATCH(B3291,Pedidos!$A$2:$A$1801,0)),"")</f>
        <v/>
      </c>
      <c r="J3291" s="25">
        <f>IFERROR(INDEX(Pedidos!$C$2:$C$1801,MATCH(B3291,Pedidos!$A$2:$A$1801,0)),"")</f>
        <v/>
      </c>
      <c r="K3291" s="25">
        <f>IFERROR(INDEX(Pedidos!$D$2:$D$1801,MATCH(B3291,Pedidos!$A$2:$A$1801,0)),"")</f>
        <v/>
      </c>
      <c r="L3291" s="25">
        <f>IFERROR(INDEX(Pedidos!$F$2:$F$1801,MATCH(B3291,Pedidos!$A$2:$A$1801,0)),"")</f>
        <v/>
      </c>
      <c r="M3291" s="26">
        <f>IFERROR(INDEX(Pedidos!$G$2:$G$1801,MATCH(B3291,Pedidos!$A$2:$A$1801,0)),0)</f>
        <v/>
      </c>
      <c r="N3291" s="25">
        <f>IFERROR(INDEX(Produtos!$B$2:$B$71,MATCH(C3291,Produtos!$A$2:$A$71,0)),"")</f>
        <v/>
      </c>
      <c r="O3291" s="25">
        <f>IFERROR(INDEX(Produtos!$C$2:$C$71,MATCH(C3291,Produtos!$A$2:$A$71,0)),"")</f>
        <v/>
      </c>
      <c r="P3291" s="25">
        <f>IFERROR(INDEX(Produtos!$D$2:$D$71,MATCH(C3291,Produtos!$A$2:$A$71,0)),0)</f>
        <v/>
      </c>
      <c r="Q3291" s="25">
        <f>IFERROR(INDEX(Produtos!$E$2:$E$71,MATCH(C3291,Produtos!$A$2:$A$71,0)),0)</f>
        <v/>
      </c>
      <c r="R3291" s="27">
        <f>D3291*Q3291</f>
        <v/>
      </c>
      <c r="S3291" s="27">
        <f>R3291*E3291</f>
        <v/>
      </c>
      <c r="T3291" s="27">
        <f>(R3291-S3291)*M3291</f>
        <v/>
      </c>
      <c r="U3291" s="27">
        <f>R3291-S3291-T3291</f>
        <v/>
      </c>
      <c r="V3291" s="27">
        <f>D3291*P3291</f>
        <v/>
      </c>
      <c r="W3291" s="27">
        <f>U3291-V3291</f>
        <v/>
      </c>
      <c r="X3291" s="28">
        <f>IFERROR(W3291/U3291,0)</f>
        <v/>
      </c>
    </row>
    <row r="3292">
      <c r="A3292" s="21">
        <f>ItensPedido!A3292</f>
        <v/>
      </c>
      <c r="B3292" s="21">
        <f>ItensPedido!B3292</f>
        <v/>
      </c>
      <c r="C3292" s="21">
        <f>ItensPedido!C3292</f>
        <v/>
      </c>
      <c r="D3292" s="21">
        <f>ItensPedido!D3292</f>
        <v/>
      </c>
      <c r="E3292" s="22">
        <f>ItensPedido!E3292</f>
        <v/>
      </c>
      <c r="F3292" s="21">
        <f>IFERROR(INDEX(Pedidos!$B$2:$B$1801,MATCH(B3292,Pedidos!$A$2:$A$1801,0)),0)</f>
        <v/>
      </c>
      <c r="G3292" s="21">
        <f>IF(F3292=0,"",YEAR(F3292))</f>
        <v/>
      </c>
      <c r="H3292" s="21">
        <f>IF(F3292=0,"",MONTH(F3292))</f>
        <v/>
      </c>
      <c r="I3292" s="21">
        <f>IFERROR(INDEX(Pedidos!$E$2:$E$1801,MATCH(B3292,Pedidos!$A$2:$A$1801,0)),"")</f>
        <v/>
      </c>
      <c r="J3292" s="21">
        <f>IFERROR(INDEX(Pedidos!$C$2:$C$1801,MATCH(B3292,Pedidos!$A$2:$A$1801,0)),"")</f>
        <v/>
      </c>
      <c r="K3292" s="21">
        <f>IFERROR(INDEX(Pedidos!$D$2:$D$1801,MATCH(B3292,Pedidos!$A$2:$A$1801,0)),"")</f>
        <v/>
      </c>
      <c r="L3292" s="21">
        <f>IFERROR(INDEX(Pedidos!$F$2:$F$1801,MATCH(B3292,Pedidos!$A$2:$A$1801,0)),"")</f>
        <v/>
      </c>
      <c r="M3292" s="22">
        <f>IFERROR(INDEX(Pedidos!$G$2:$G$1801,MATCH(B3292,Pedidos!$A$2:$A$1801,0)),0)</f>
        <v/>
      </c>
      <c r="N3292" s="21">
        <f>IFERROR(INDEX(Produtos!$B$2:$B$71,MATCH(C3292,Produtos!$A$2:$A$71,0)),"")</f>
        <v/>
      </c>
      <c r="O3292" s="21">
        <f>IFERROR(INDEX(Produtos!$C$2:$C$71,MATCH(C3292,Produtos!$A$2:$A$71,0)),"")</f>
        <v/>
      </c>
      <c r="P3292" s="21">
        <f>IFERROR(INDEX(Produtos!$D$2:$D$71,MATCH(C3292,Produtos!$A$2:$A$71,0)),0)</f>
        <v/>
      </c>
      <c r="Q3292" s="21">
        <f>IFERROR(INDEX(Produtos!$E$2:$E$71,MATCH(C3292,Produtos!$A$2:$A$71,0)),0)</f>
        <v/>
      </c>
      <c r="R3292" s="23">
        <f>D3292*Q3292</f>
        <v/>
      </c>
      <c r="S3292" s="23">
        <f>R3292*E3292</f>
        <v/>
      </c>
      <c r="T3292" s="23">
        <f>(R3292-S3292)*M3292</f>
        <v/>
      </c>
      <c r="U3292" s="23">
        <f>R3292-S3292-T3292</f>
        <v/>
      </c>
      <c r="V3292" s="23">
        <f>D3292*P3292</f>
        <v/>
      </c>
      <c r="W3292" s="23">
        <f>U3292-V3292</f>
        <v/>
      </c>
      <c r="X3292" s="24">
        <f>IFERROR(W3292/U3292,0)</f>
        <v/>
      </c>
    </row>
    <row r="3293">
      <c r="A3293" s="25">
        <f>ItensPedido!A3293</f>
        <v/>
      </c>
      <c r="B3293" s="25">
        <f>ItensPedido!B3293</f>
        <v/>
      </c>
      <c r="C3293" s="25">
        <f>ItensPedido!C3293</f>
        <v/>
      </c>
      <c r="D3293" s="25">
        <f>ItensPedido!D3293</f>
        <v/>
      </c>
      <c r="E3293" s="26">
        <f>ItensPedido!E3293</f>
        <v/>
      </c>
      <c r="F3293" s="25">
        <f>IFERROR(INDEX(Pedidos!$B$2:$B$1801,MATCH(B3293,Pedidos!$A$2:$A$1801,0)),0)</f>
        <v/>
      </c>
      <c r="G3293" s="25">
        <f>IF(F3293=0,"",YEAR(F3293))</f>
        <v/>
      </c>
      <c r="H3293" s="25">
        <f>IF(F3293=0,"",MONTH(F3293))</f>
        <v/>
      </c>
      <c r="I3293" s="25">
        <f>IFERROR(INDEX(Pedidos!$E$2:$E$1801,MATCH(B3293,Pedidos!$A$2:$A$1801,0)),"")</f>
        <v/>
      </c>
      <c r="J3293" s="25">
        <f>IFERROR(INDEX(Pedidos!$C$2:$C$1801,MATCH(B3293,Pedidos!$A$2:$A$1801,0)),"")</f>
        <v/>
      </c>
      <c r="K3293" s="25">
        <f>IFERROR(INDEX(Pedidos!$D$2:$D$1801,MATCH(B3293,Pedidos!$A$2:$A$1801,0)),"")</f>
        <v/>
      </c>
      <c r="L3293" s="25">
        <f>IFERROR(INDEX(Pedidos!$F$2:$F$1801,MATCH(B3293,Pedidos!$A$2:$A$1801,0)),"")</f>
        <v/>
      </c>
      <c r="M3293" s="26">
        <f>IFERROR(INDEX(Pedidos!$G$2:$G$1801,MATCH(B3293,Pedidos!$A$2:$A$1801,0)),0)</f>
        <v/>
      </c>
      <c r="N3293" s="25">
        <f>IFERROR(INDEX(Produtos!$B$2:$B$71,MATCH(C3293,Produtos!$A$2:$A$71,0)),"")</f>
        <v/>
      </c>
      <c r="O3293" s="25">
        <f>IFERROR(INDEX(Produtos!$C$2:$C$71,MATCH(C3293,Produtos!$A$2:$A$71,0)),"")</f>
        <v/>
      </c>
      <c r="P3293" s="25">
        <f>IFERROR(INDEX(Produtos!$D$2:$D$71,MATCH(C3293,Produtos!$A$2:$A$71,0)),0)</f>
        <v/>
      </c>
      <c r="Q3293" s="25">
        <f>IFERROR(INDEX(Produtos!$E$2:$E$71,MATCH(C3293,Produtos!$A$2:$A$71,0)),0)</f>
        <v/>
      </c>
      <c r="R3293" s="27">
        <f>D3293*Q3293</f>
        <v/>
      </c>
      <c r="S3293" s="27">
        <f>R3293*E3293</f>
        <v/>
      </c>
      <c r="T3293" s="27">
        <f>(R3293-S3293)*M3293</f>
        <v/>
      </c>
      <c r="U3293" s="27">
        <f>R3293-S3293-T3293</f>
        <v/>
      </c>
      <c r="V3293" s="27">
        <f>D3293*P3293</f>
        <v/>
      </c>
      <c r="W3293" s="27">
        <f>U3293-V3293</f>
        <v/>
      </c>
      <c r="X3293" s="28">
        <f>IFERROR(W3293/U3293,0)</f>
        <v/>
      </c>
    </row>
    <row r="3294">
      <c r="A3294" s="21">
        <f>ItensPedido!A3294</f>
        <v/>
      </c>
      <c r="B3294" s="21">
        <f>ItensPedido!B3294</f>
        <v/>
      </c>
      <c r="C3294" s="21">
        <f>ItensPedido!C3294</f>
        <v/>
      </c>
      <c r="D3294" s="21">
        <f>ItensPedido!D3294</f>
        <v/>
      </c>
      <c r="E3294" s="22">
        <f>ItensPedido!E3294</f>
        <v/>
      </c>
      <c r="F3294" s="21">
        <f>IFERROR(INDEX(Pedidos!$B$2:$B$1801,MATCH(B3294,Pedidos!$A$2:$A$1801,0)),0)</f>
        <v/>
      </c>
      <c r="G3294" s="21">
        <f>IF(F3294=0,"",YEAR(F3294))</f>
        <v/>
      </c>
      <c r="H3294" s="21">
        <f>IF(F3294=0,"",MONTH(F3294))</f>
        <v/>
      </c>
      <c r="I3294" s="21">
        <f>IFERROR(INDEX(Pedidos!$E$2:$E$1801,MATCH(B3294,Pedidos!$A$2:$A$1801,0)),"")</f>
        <v/>
      </c>
      <c r="J3294" s="21">
        <f>IFERROR(INDEX(Pedidos!$C$2:$C$1801,MATCH(B3294,Pedidos!$A$2:$A$1801,0)),"")</f>
        <v/>
      </c>
      <c r="K3294" s="21">
        <f>IFERROR(INDEX(Pedidos!$D$2:$D$1801,MATCH(B3294,Pedidos!$A$2:$A$1801,0)),"")</f>
        <v/>
      </c>
      <c r="L3294" s="21">
        <f>IFERROR(INDEX(Pedidos!$F$2:$F$1801,MATCH(B3294,Pedidos!$A$2:$A$1801,0)),"")</f>
        <v/>
      </c>
      <c r="M3294" s="22">
        <f>IFERROR(INDEX(Pedidos!$G$2:$G$1801,MATCH(B3294,Pedidos!$A$2:$A$1801,0)),0)</f>
        <v/>
      </c>
      <c r="N3294" s="21">
        <f>IFERROR(INDEX(Produtos!$B$2:$B$71,MATCH(C3294,Produtos!$A$2:$A$71,0)),"")</f>
        <v/>
      </c>
      <c r="O3294" s="21">
        <f>IFERROR(INDEX(Produtos!$C$2:$C$71,MATCH(C3294,Produtos!$A$2:$A$71,0)),"")</f>
        <v/>
      </c>
      <c r="P3294" s="21">
        <f>IFERROR(INDEX(Produtos!$D$2:$D$71,MATCH(C3294,Produtos!$A$2:$A$71,0)),0)</f>
        <v/>
      </c>
      <c r="Q3294" s="21">
        <f>IFERROR(INDEX(Produtos!$E$2:$E$71,MATCH(C3294,Produtos!$A$2:$A$71,0)),0)</f>
        <v/>
      </c>
      <c r="R3294" s="23">
        <f>D3294*Q3294</f>
        <v/>
      </c>
      <c r="S3294" s="23">
        <f>R3294*E3294</f>
        <v/>
      </c>
      <c r="T3294" s="23">
        <f>(R3294-S3294)*M3294</f>
        <v/>
      </c>
      <c r="U3294" s="23">
        <f>R3294-S3294-T3294</f>
        <v/>
      </c>
      <c r="V3294" s="23">
        <f>D3294*P3294</f>
        <v/>
      </c>
      <c r="W3294" s="23">
        <f>U3294-V3294</f>
        <v/>
      </c>
      <c r="X3294" s="24">
        <f>IFERROR(W3294/U3294,0)</f>
        <v/>
      </c>
    </row>
    <row r="3295">
      <c r="A3295" s="25">
        <f>ItensPedido!A3295</f>
        <v/>
      </c>
      <c r="B3295" s="25">
        <f>ItensPedido!B3295</f>
        <v/>
      </c>
      <c r="C3295" s="25">
        <f>ItensPedido!C3295</f>
        <v/>
      </c>
      <c r="D3295" s="25">
        <f>ItensPedido!D3295</f>
        <v/>
      </c>
      <c r="E3295" s="26">
        <f>ItensPedido!E3295</f>
        <v/>
      </c>
      <c r="F3295" s="25">
        <f>IFERROR(INDEX(Pedidos!$B$2:$B$1801,MATCH(B3295,Pedidos!$A$2:$A$1801,0)),0)</f>
        <v/>
      </c>
      <c r="G3295" s="25">
        <f>IF(F3295=0,"",YEAR(F3295))</f>
        <v/>
      </c>
      <c r="H3295" s="25">
        <f>IF(F3295=0,"",MONTH(F3295))</f>
        <v/>
      </c>
      <c r="I3295" s="25">
        <f>IFERROR(INDEX(Pedidos!$E$2:$E$1801,MATCH(B3295,Pedidos!$A$2:$A$1801,0)),"")</f>
        <v/>
      </c>
      <c r="J3295" s="25">
        <f>IFERROR(INDEX(Pedidos!$C$2:$C$1801,MATCH(B3295,Pedidos!$A$2:$A$1801,0)),"")</f>
        <v/>
      </c>
      <c r="K3295" s="25">
        <f>IFERROR(INDEX(Pedidos!$D$2:$D$1801,MATCH(B3295,Pedidos!$A$2:$A$1801,0)),"")</f>
        <v/>
      </c>
      <c r="L3295" s="25">
        <f>IFERROR(INDEX(Pedidos!$F$2:$F$1801,MATCH(B3295,Pedidos!$A$2:$A$1801,0)),"")</f>
        <v/>
      </c>
      <c r="M3295" s="26">
        <f>IFERROR(INDEX(Pedidos!$G$2:$G$1801,MATCH(B3295,Pedidos!$A$2:$A$1801,0)),0)</f>
        <v/>
      </c>
      <c r="N3295" s="25">
        <f>IFERROR(INDEX(Produtos!$B$2:$B$71,MATCH(C3295,Produtos!$A$2:$A$71,0)),"")</f>
        <v/>
      </c>
      <c r="O3295" s="25">
        <f>IFERROR(INDEX(Produtos!$C$2:$C$71,MATCH(C3295,Produtos!$A$2:$A$71,0)),"")</f>
        <v/>
      </c>
      <c r="P3295" s="25">
        <f>IFERROR(INDEX(Produtos!$D$2:$D$71,MATCH(C3295,Produtos!$A$2:$A$71,0)),0)</f>
        <v/>
      </c>
      <c r="Q3295" s="25">
        <f>IFERROR(INDEX(Produtos!$E$2:$E$71,MATCH(C3295,Produtos!$A$2:$A$71,0)),0)</f>
        <v/>
      </c>
      <c r="R3295" s="27">
        <f>D3295*Q3295</f>
        <v/>
      </c>
      <c r="S3295" s="27">
        <f>R3295*E3295</f>
        <v/>
      </c>
      <c r="T3295" s="27">
        <f>(R3295-S3295)*M3295</f>
        <v/>
      </c>
      <c r="U3295" s="27">
        <f>R3295-S3295-T3295</f>
        <v/>
      </c>
      <c r="V3295" s="27">
        <f>D3295*P3295</f>
        <v/>
      </c>
      <c r="W3295" s="27">
        <f>U3295-V3295</f>
        <v/>
      </c>
      <c r="X3295" s="28">
        <f>IFERROR(W3295/U3295,0)</f>
        <v/>
      </c>
    </row>
    <row r="3296">
      <c r="A3296" s="21">
        <f>ItensPedido!A3296</f>
        <v/>
      </c>
      <c r="B3296" s="21">
        <f>ItensPedido!B3296</f>
        <v/>
      </c>
      <c r="C3296" s="21">
        <f>ItensPedido!C3296</f>
        <v/>
      </c>
      <c r="D3296" s="21">
        <f>ItensPedido!D3296</f>
        <v/>
      </c>
      <c r="E3296" s="22">
        <f>ItensPedido!E3296</f>
        <v/>
      </c>
      <c r="F3296" s="21">
        <f>IFERROR(INDEX(Pedidos!$B$2:$B$1801,MATCH(B3296,Pedidos!$A$2:$A$1801,0)),0)</f>
        <v/>
      </c>
      <c r="G3296" s="21">
        <f>IF(F3296=0,"",YEAR(F3296))</f>
        <v/>
      </c>
      <c r="H3296" s="21">
        <f>IF(F3296=0,"",MONTH(F3296))</f>
        <v/>
      </c>
      <c r="I3296" s="21">
        <f>IFERROR(INDEX(Pedidos!$E$2:$E$1801,MATCH(B3296,Pedidos!$A$2:$A$1801,0)),"")</f>
        <v/>
      </c>
      <c r="J3296" s="21">
        <f>IFERROR(INDEX(Pedidos!$C$2:$C$1801,MATCH(B3296,Pedidos!$A$2:$A$1801,0)),"")</f>
        <v/>
      </c>
      <c r="K3296" s="21">
        <f>IFERROR(INDEX(Pedidos!$D$2:$D$1801,MATCH(B3296,Pedidos!$A$2:$A$1801,0)),"")</f>
        <v/>
      </c>
      <c r="L3296" s="21">
        <f>IFERROR(INDEX(Pedidos!$F$2:$F$1801,MATCH(B3296,Pedidos!$A$2:$A$1801,0)),"")</f>
        <v/>
      </c>
      <c r="M3296" s="22">
        <f>IFERROR(INDEX(Pedidos!$G$2:$G$1801,MATCH(B3296,Pedidos!$A$2:$A$1801,0)),0)</f>
        <v/>
      </c>
      <c r="N3296" s="21">
        <f>IFERROR(INDEX(Produtos!$B$2:$B$71,MATCH(C3296,Produtos!$A$2:$A$71,0)),"")</f>
        <v/>
      </c>
      <c r="O3296" s="21">
        <f>IFERROR(INDEX(Produtos!$C$2:$C$71,MATCH(C3296,Produtos!$A$2:$A$71,0)),"")</f>
        <v/>
      </c>
      <c r="P3296" s="21">
        <f>IFERROR(INDEX(Produtos!$D$2:$D$71,MATCH(C3296,Produtos!$A$2:$A$71,0)),0)</f>
        <v/>
      </c>
      <c r="Q3296" s="21">
        <f>IFERROR(INDEX(Produtos!$E$2:$E$71,MATCH(C3296,Produtos!$A$2:$A$71,0)),0)</f>
        <v/>
      </c>
      <c r="R3296" s="23">
        <f>D3296*Q3296</f>
        <v/>
      </c>
      <c r="S3296" s="23">
        <f>R3296*E3296</f>
        <v/>
      </c>
      <c r="T3296" s="23">
        <f>(R3296-S3296)*M3296</f>
        <v/>
      </c>
      <c r="U3296" s="23">
        <f>R3296-S3296-T3296</f>
        <v/>
      </c>
      <c r="V3296" s="23">
        <f>D3296*P3296</f>
        <v/>
      </c>
      <c r="W3296" s="23">
        <f>U3296-V3296</f>
        <v/>
      </c>
      <c r="X3296" s="24">
        <f>IFERROR(W3296/U3296,0)</f>
        <v/>
      </c>
    </row>
    <row r="3297">
      <c r="A3297" s="25">
        <f>ItensPedido!A3297</f>
        <v/>
      </c>
      <c r="B3297" s="25">
        <f>ItensPedido!B3297</f>
        <v/>
      </c>
      <c r="C3297" s="25">
        <f>ItensPedido!C3297</f>
        <v/>
      </c>
      <c r="D3297" s="25">
        <f>ItensPedido!D3297</f>
        <v/>
      </c>
      <c r="E3297" s="26">
        <f>ItensPedido!E3297</f>
        <v/>
      </c>
      <c r="F3297" s="25">
        <f>IFERROR(INDEX(Pedidos!$B$2:$B$1801,MATCH(B3297,Pedidos!$A$2:$A$1801,0)),0)</f>
        <v/>
      </c>
      <c r="G3297" s="25">
        <f>IF(F3297=0,"",YEAR(F3297))</f>
        <v/>
      </c>
      <c r="H3297" s="25">
        <f>IF(F3297=0,"",MONTH(F3297))</f>
        <v/>
      </c>
      <c r="I3297" s="25">
        <f>IFERROR(INDEX(Pedidos!$E$2:$E$1801,MATCH(B3297,Pedidos!$A$2:$A$1801,0)),"")</f>
        <v/>
      </c>
      <c r="J3297" s="25">
        <f>IFERROR(INDEX(Pedidos!$C$2:$C$1801,MATCH(B3297,Pedidos!$A$2:$A$1801,0)),"")</f>
        <v/>
      </c>
      <c r="K3297" s="25">
        <f>IFERROR(INDEX(Pedidos!$D$2:$D$1801,MATCH(B3297,Pedidos!$A$2:$A$1801,0)),"")</f>
        <v/>
      </c>
      <c r="L3297" s="25">
        <f>IFERROR(INDEX(Pedidos!$F$2:$F$1801,MATCH(B3297,Pedidos!$A$2:$A$1801,0)),"")</f>
        <v/>
      </c>
      <c r="M3297" s="26">
        <f>IFERROR(INDEX(Pedidos!$G$2:$G$1801,MATCH(B3297,Pedidos!$A$2:$A$1801,0)),0)</f>
        <v/>
      </c>
      <c r="N3297" s="25">
        <f>IFERROR(INDEX(Produtos!$B$2:$B$71,MATCH(C3297,Produtos!$A$2:$A$71,0)),"")</f>
        <v/>
      </c>
      <c r="O3297" s="25">
        <f>IFERROR(INDEX(Produtos!$C$2:$C$71,MATCH(C3297,Produtos!$A$2:$A$71,0)),"")</f>
        <v/>
      </c>
      <c r="P3297" s="25">
        <f>IFERROR(INDEX(Produtos!$D$2:$D$71,MATCH(C3297,Produtos!$A$2:$A$71,0)),0)</f>
        <v/>
      </c>
      <c r="Q3297" s="25">
        <f>IFERROR(INDEX(Produtos!$E$2:$E$71,MATCH(C3297,Produtos!$A$2:$A$71,0)),0)</f>
        <v/>
      </c>
      <c r="R3297" s="27">
        <f>D3297*Q3297</f>
        <v/>
      </c>
      <c r="S3297" s="27">
        <f>R3297*E3297</f>
        <v/>
      </c>
      <c r="T3297" s="27">
        <f>(R3297-S3297)*M3297</f>
        <v/>
      </c>
      <c r="U3297" s="27">
        <f>R3297-S3297-T3297</f>
        <v/>
      </c>
      <c r="V3297" s="27">
        <f>D3297*P3297</f>
        <v/>
      </c>
      <c r="W3297" s="27">
        <f>U3297-V3297</f>
        <v/>
      </c>
      <c r="X3297" s="28">
        <f>IFERROR(W3297/U3297,0)</f>
        <v/>
      </c>
    </row>
    <row r="3298">
      <c r="A3298" s="21">
        <f>ItensPedido!A3298</f>
        <v/>
      </c>
      <c r="B3298" s="21">
        <f>ItensPedido!B3298</f>
        <v/>
      </c>
      <c r="C3298" s="21">
        <f>ItensPedido!C3298</f>
        <v/>
      </c>
      <c r="D3298" s="21">
        <f>ItensPedido!D3298</f>
        <v/>
      </c>
      <c r="E3298" s="22">
        <f>ItensPedido!E3298</f>
        <v/>
      </c>
      <c r="F3298" s="21">
        <f>IFERROR(INDEX(Pedidos!$B$2:$B$1801,MATCH(B3298,Pedidos!$A$2:$A$1801,0)),0)</f>
        <v/>
      </c>
      <c r="G3298" s="21">
        <f>IF(F3298=0,"",YEAR(F3298))</f>
        <v/>
      </c>
      <c r="H3298" s="21">
        <f>IF(F3298=0,"",MONTH(F3298))</f>
        <v/>
      </c>
      <c r="I3298" s="21">
        <f>IFERROR(INDEX(Pedidos!$E$2:$E$1801,MATCH(B3298,Pedidos!$A$2:$A$1801,0)),"")</f>
        <v/>
      </c>
      <c r="J3298" s="21">
        <f>IFERROR(INDEX(Pedidos!$C$2:$C$1801,MATCH(B3298,Pedidos!$A$2:$A$1801,0)),"")</f>
        <v/>
      </c>
      <c r="K3298" s="21">
        <f>IFERROR(INDEX(Pedidos!$D$2:$D$1801,MATCH(B3298,Pedidos!$A$2:$A$1801,0)),"")</f>
        <v/>
      </c>
      <c r="L3298" s="21">
        <f>IFERROR(INDEX(Pedidos!$F$2:$F$1801,MATCH(B3298,Pedidos!$A$2:$A$1801,0)),"")</f>
        <v/>
      </c>
      <c r="M3298" s="22">
        <f>IFERROR(INDEX(Pedidos!$G$2:$G$1801,MATCH(B3298,Pedidos!$A$2:$A$1801,0)),0)</f>
        <v/>
      </c>
      <c r="N3298" s="21">
        <f>IFERROR(INDEX(Produtos!$B$2:$B$71,MATCH(C3298,Produtos!$A$2:$A$71,0)),"")</f>
        <v/>
      </c>
      <c r="O3298" s="21">
        <f>IFERROR(INDEX(Produtos!$C$2:$C$71,MATCH(C3298,Produtos!$A$2:$A$71,0)),"")</f>
        <v/>
      </c>
      <c r="P3298" s="21">
        <f>IFERROR(INDEX(Produtos!$D$2:$D$71,MATCH(C3298,Produtos!$A$2:$A$71,0)),0)</f>
        <v/>
      </c>
      <c r="Q3298" s="21">
        <f>IFERROR(INDEX(Produtos!$E$2:$E$71,MATCH(C3298,Produtos!$A$2:$A$71,0)),0)</f>
        <v/>
      </c>
      <c r="R3298" s="23">
        <f>D3298*Q3298</f>
        <v/>
      </c>
      <c r="S3298" s="23">
        <f>R3298*E3298</f>
        <v/>
      </c>
      <c r="T3298" s="23">
        <f>(R3298-S3298)*M3298</f>
        <v/>
      </c>
      <c r="U3298" s="23">
        <f>R3298-S3298-T3298</f>
        <v/>
      </c>
      <c r="V3298" s="23">
        <f>D3298*P3298</f>
        <v/>
      </c>
      <c r="W3298" s="23">
        <f>U3298-V3298</f>
        <v/>
      </c>
      <c r="X3298" s="24">
        <f>IFERROR(W3298/U3298,0)</f>
        <v/>
      </c>
    </row>
    <row r="3299">
      <c r="A3299" s="25">
        <f>ItensPedido!A3299</f>
        <v/>
      </c>
      <c r="B3299" s="25">
        <f>ItensPedido!B3299</f>
        <v/>
      </c>
      <c r="C3299" s="25">
        <f>ItensPedido!C3299</f>
        <v/>
      </c>
      <c r="D3299" s="25">
        <f>ItensPedido!D3299</f>
        <v/>
      </c>
      <c r="E3299" s="26">
        <f>ItensPedido!E3299</f>
        <v/>
      </c>
      <c r="F3299" s="25">
        <f>IFERROR(INDEX(Pedidos!$B$2:$B$1801,MATCH(B3299,Pedidos!$A$2:$A$1801,0)),0)</f>
        <v/>
      </c>
      <c r="G3299" s="25">
        <f>IF(F3299=0,"",YEAR(F3299))</f>
        <v/>
      </c>
      <c r="H3299" s="25">
        <f>IF(F3299=0,"",MONTH(F3299))</f>
        <v/>
      </c>
      <c r="I3299" s="25">
        <f>IFERROR(INDEX(Pedidos!$E$2:$E$1801,MATCH(B3299,Pedidos!$A$2:$A$1801,0)),"")</f>
        <v/>
      </c>
      <c r="J3299" s="25">
        <f>IFERROR(INDEX(Pedidos!$C$2:$C$1801,MATCH(B3299,Pedidos!$A$2:$A$1801,0)),"")</f>
        <v/>
      </c>
      <c r="K3299" s="25">
        <f>IFERROR(INDEX(Pedidos!$D$2:$D$1801,MATCH(B3299,Pedidos!$A$2:$A$1801,0)),"")</f>
        <v/>
      </c>
      <c r="L3299" s="25">
        <f>IFERROR(INDEX(Pedidos!$F$2:$F$1801,MATCH(B3299,Pedidos!$A$2:$A$1801,0)),"")</f>
        <v/>
      </c>
      <c r="M3299" s="26">
        <f>IFERROR(INDEX(Pedidos!$G$2:$G$1801,MATCH(B3299,Pedidos!$A$2:$A$1801,0)),0)</f>
        <v/>
      </c>
      <c r="N3299" s="25">
        <f>IFERROR(INDEX(Produtos!$B$2:$B$71,MATCH(C3299,Produtos!$A$2:$A$71,0)),"")</f>
        <v/>
      </c>
      <c r="O3299" s="25">
        <f>IFERROR(INDEX(Produtos!$C$2:$C$71,MATCH(C3299,Produtos!$A$2:$A$71,0)),"")</f>
        <v/>
      </c>
      <c r="P3299" s="25">
        <f>IFERROR(INDEX(Produtos!$D$2:$D$71,MATCH(C3299,Produtos!$A$2:$A$71,0)),0)</f>
        <v/>
      </c>
      <c r="Q3299" s="25">
        <f>IFERROR(INDEX(Produtos!$E$2:$E$71,MATCH(C3299,Produtos!$A$2:$A$71,0)),0)</f>
        <v/>
      </c>
      <c r="R3299" s="27">
        <f>D3299*Q3299</f>
        <v/>
      </c>
      <c r="S3299" s="27">
        <f>R3299*E3299</f>
        <v/>
      </c>
      <c r="T3299" s="27">
        <f>(R3299-S3299)*M3299</f>
        <v/>
      </c>
      <c r="U3299" s="27">
        <f>R3299-S3299-T3299</f>
        <v/>
      </c>
      <c r="V3299" s="27">
        <f>D3299*P3299</f>
        <v/>
      </c>
      <c r="W3299" s="27">
        <f>U3299-V3299</f>
        <v/>
      </c>
      <c r="X3299" s="28">
        <f>IFERROR(W3299/U3299,0)</f>
        <v/>
      </c>
    </row>
    <row r="3300">
      <c r="A3300" s="21">
        <f>ItensPedido!A3300</f>
        <v/>
      </c>
      <c r="B3300" s="21">
        <f>ItensPedido!B3300</f>
        <v/>
      </c>
      <c r="C3300" s="21">
        <f>ItensPedido!C3300</f>
        <v/>
      </c>
      <c r="D3300" s="21">
        <f>ItensPedido!D3300</f>
        <v/>
      </c>
      <c r="E3300" s="22">
        <f>ItensPedido!E3300</f>
        <v/>
      </c>
      <c r="F3300" s="21">
        <f>IFERROR(INDEX(Pedidos!$B$2:$B$1801,MATCH(B3300,Pedidos!$A$2:$A$1801,0)),0)</f>
        <v/>
      </c>
      <c r="G3300" s="21">
        <f>IF(F3300=0,"",YEAR(F3300))</f>
        <v/>
      </c>
      <c r="H3300" s="21">
        <f>IF(F3300=0,"",MONTH(F3300))</f>
        <v/>
      </c>
      <c r="I3300" s="21">
        <f>IFERROR(INDEX(Pedidos!$E$2:$E$1801,MATCH(B3300,Pedidos!$A$2:$A$1801,0)),"")</f>
        <v/>
      </c>
      <c r="J3300" s="21">
        <f>IFERROR(INDEX(Pedidos!$C$2:$C$1801,MATCH(B3300,Pedidos!$A$2:$A$1801,0)),"")</f>
        <v/>
      </c>
      <c r="K3300" s="21">
        <f>IFERROR(INDEX(Pedidos!$D$2:$D$1801,MATCH(B3300,Pedidos!$A$2:$A$1801,0)),"")</f>
        <v/>
      </c>
      <c r="L3300" s="21">
        <f>IFERROR(INDEX(Pedidos!$F$2:$F$1801,MATCH(B3300,Pedidos!$A$2:$A$1801,0)),"")</f>
        <v/>
      </c>
      <c r="M3300" s="22">
        <f>IFERROR(INDEX(Pedidos!$G$2:$G$1801,MATCH(B3300,Pedidos!$A$2:$A$1801,0)),0)</f>
        <v/>
      </c>
      <c r="N3300" s="21">
        <f>IFERROR(INDEX(Produtos!$B$2:$B$71,MATCH(C3300,Produtos!$A$2:$A$71,0)),"")</f>
        <v/>
      </c>
      <c r="O3300" s="21">
        <f>IFERROR(INDEX(Produtos!$C$2:$C$71,MATCH(C3300,Produtos!$A$2:$A$71,0)),"")</f>
        <v/>
      </c>
      <c r="P3300" s="21">
        <f>IFERROR(INDEX(Produtos!$D$2:$D$71,MATCH(C3300,Produtos!$A$2:$A$71,0)),0)</f>
        <v/>
      </c>
      <c r="Q3300" s="21">
        <f>IFERROR(INDEX(Produtos!$E$2:$E$71,MATCH(C3300,Produtos!$A$2:$A$71,0)),0)</f>
        <v/>
      </c>
      <c r="R3300" s="23">
        <f>D3300*Q3300</f>
        <v/>
      </c>
      <c r="S3300" s="23">
        <f>R3300*E3300</f>
        <v/>
      </c>
      <c r="T3300" s="23">
        <f>(R3300-S3300)*M3300</f>
        <v/>
      </c>
      <c r="U3300" s="23">
        <f>R3300-S3300-T3300</f>
        <v/>
      </c>
      <c r="V3300" s="23">
        <f>D3300*P3300</f>
        <v/>
      </c>
      <c r="W3300" s="23">
        <f>U3300-V3300</f>
        <v/>
      </c>
      <c r="X3300" s="24">
        <f>IFERROR(W3300/U3300,0)</f>
        <v/>
      </c>
    </row>
    <row r="3301">
      <c r="A3301" s="25">
        <f>ItensPedido!A3301</f>
        <v/>
      </c>
      <c r="B3301" s="25">
        <f>ItensPedido!B3301</f>
        <v/>
      </c>
      <c r="C3301" s="25">
        <f>ItensPedido!C3301</f>
        <v/>
      </c>
      <c r="D3301" s="25">
        <f>ItensPedido!D3301</f>
        <v/>
      </c>
      <c r="E3301" s="26">
        <f>ItensPedido!E3301</f>
        <v/>
      </c>
      <c r="F3301" s="25">
        <f>IFERROR(INDEX(Pedidos!$B$2:$B$1801,MATCH(B3301,Pedidos!$A$2:$A$1801,0)),0)</f>
        <v/>
      </c>
      <c r="G3301" s="25">
        <f>IF(F3301=0,"",YEAR(F3301))</f>
        <v/>
      </c>
      <c r="H3301" s="25">
        <f>IF(F3301=0,"",MONTH(F3301))</f>
        <v/>
      </c>
      <c r="I3301" s="25">
        <f>IFERROR(INDEX(Pedidos!$E$2:$E$1801,MATCH(B3301,Pedidos!$A$2:$A$1801,0)),"")</f>
        <v/>
      </c>
      <c r="J3301" s="25">
        <f>IFERROR(INDEX(Pedidos!$C$2:$C$1801,MATCH(B3301,Pedidos!$A$2:$A$1801,0)),"")</f>
        <v/>
      </c>
      <c r="K3301" s="25">
        <f>IFERROR(INDEX(Pedidos!$D$2:$D$1801,MATCH(B3301,Pedidos!$A$2:$A$1801,0)),"")</f>
        <v/>
      </c>
      <c r="L3301" s="25">
        <f>IFERROR(INDEX(Pedidos!$F$2:$F$1801,MATCH(B3301,Pedidos!$A$2:$A$1801,0)),"")</f>
        <v/>
      </c>
      <c r="M3301" s="26">
        <f>IFERROR(INDEX(Pedidos!$G$2:$G$1801,MATCH(B3301,Pedidos!$A$2:$A$1801,0)),0)</f>
        <v/>
      </c>
      <c r="N3301" s="25">
        <f>IFERROR(INDEX(Produtos!$B$2:$B$71,MATCH(C3301,Produtos!$A$2:$A$71,0)),"")</f>
        <v/>
      </c>
      <c r="O3301" s="25">
        <f>IFERROR(INDEX(Produtos!$C$2:$C$71,MATCH(C3301,Produtos!$A$2:$A$71,0)),"")</f>
        <v/>
      </c>
      <c r="P3301" s="25">
        <f>IFERROR(INDEX(Produtos!$D$2:$D$71,MATCH(C3301,Produtos!$A$2:$A$71,0)),0)</f>
        <v/>
      </c>
      <c r="Q3301" s="25">
        <f>IFERROR(INDEX(Produtos!$E$2:$E$71,MATCH(C3301,Produtos!$A$2:$A$71,0)),0)</f>
        <v/>
      </c>
      <c r="R3301" s="27">
        <f>D3301*Q3301</f>
        <v/>
      </c>
      <c r="S3301" s="27">
        <f>R3301*E3301</f>
        <v/>
      </c>
      <c r="T3301" s="27">
        <f>(R3301-S3301)*M3301</f>
        <v/>
      </c>
      <c r="U3301" s="27">
        <f>R3301-S3301-T3301</f>
        <v/>
      </c>
      <c r="V3301" s="27">
        <f>D3301*P3301</f>
        <v/>
      </c>
      <c r="W3301" s="27">
        <f>U3301-V3301</f>
        <v/>
      </c>
      <c r="X3301" s="28">
        <f>IFERROR(W3301/U3301,0)</f>
        <v/>
      </c>
    </row>
    <row r="3302">
      <c r="A3302" s="21">
        <f>ItensPedido!A3302</f>
        <v/>
      </c>
      <c r="B3302" s="21">
        <f>ItensPedido!B3302</f>
        <v/>
      </c>
      <c r="C3302" s="21">
        <f>ItensPedido!C3302</f>
        <v/>
      </c>
      <c r="D3302" s="21">
        <f>ItensPedido!D3302</f>
        <v/>
      </c>
      <c r="E3302" s="22">
        <f>ItensPedido!E3302</f>
        <v/>
      </c>
      <c r="F3302" s="21">
        <f>IFERROR(INDEX(Pedidos!$B$2:$B$1801,MATCH(B3302,Pedidos!$A$2:$A$1801,0)),0)</f>
        <v/>
      </c>
      <c r="G3302" s="21">
        <f>IF(F3302=0,"",YEAR(F3302))</f>
        <v/>
      </c>
      <c r="H3302" s="21">
        <f>IF(F3302=0,"",MONTH(F3302))</f>
        <v/>
      </c>
      <c r="I3302" s="21">
        <f>IFERROR(INDEX(Pedidos!$E$2:$E$1801,MATCH(B3302,Pedidos!$A$2:$A$1801,0)),"")</f>
        <v/>
      </c>
      <c r="J3302" s="21">
        <f>IFERROR(INDEX(Pedidos!$C$2:$C$1801,MATCH(B3302,Pedidos!$A$2:$A$1801,0)),"")</f>
        <v/>
      </c>
      <c r="K3302" s="21">
        <f>IFERROR(INDEX(Pedidos!$D$2:$D$1801,MATCH(B3302,Pedidos!$A$2:$A$1801,0)),"")</f>
        <v/>
      </c>
      <c r="L3302" s="21">
        <f>IFERROR(INDEX(Pedidos!$F$2:$F$1801,MATCH(B3302,Pedidos!$A$2:$A$1801,0)),"")</f>
        <v/>
      </c>
      <c r="M3302" s="22">
        <f>IFERROR(INDEX(Pedidos!$G$2:$G$1801,MATCH(B3302,Pedidos!$A$2:$A$1801,0)),0)</f>
        <v/>
      </c>
      <c r="N3302" s="21">
        <f>IFERROR(INDEX(Produtos!$B$2:$B$71,MATCH(C3302,Produtos!$A$2:$A$71,0)),"")</f>
        <v/>
      </c>
      <c r="O3302" s="21">
        <f>IFERROR(INDEX(Produtos!$C$2:$C$71,MATCH(C3302,Produtos!$A$2:$A$71,0)),"")</f>
        <v/>
      </c>
      <c r="P3302" s="21">
        <f>IFERROR(INDEX(Produtos!$D$2:$D$71,MATCH(C3302,Produtos!$A$2:$A$71,0)),0)</f>
        <v/>
      </c>
      <c r="Q3302" s="21">
        <f>IFERROR(INDEX(Produtos!$E$2:$E$71,MATCH(C3302,Produtos!$A$2:$A$71,0)),0)</f>
        <v/>
      </c>
      <c r="R3302" s="23">
        <f>D3302*Q3302</f>
        <v/>
      </c>
      <c r="S3302" s="23">
        <f>R3302*E3302</f>
        <v/>
      </c>
      <c r="T3302" s="23">
        <f>(R3302-S3302)*M3302</f>
        <v/>
      </c>
      <c r="U3302" s="23">
        <f>R3302-S3302-T3302</f>
        <v/>
      </c>
      <c r="V3302" s="23">
        <f>D3302*P3302</f>
        <v/>
      </c>
      <c r="W3302" s="23">
        <f>U3302-V3302</f>
        <v/>
      </c>
      <c r="X3302" s="24">
        <f>IFERROR(W3302/U3302,0)</f>
        <v/>
      </c>
    </row>
    <row r="3303">
      <c r="A3303" s="25">
        <f>ItensPedido!A3303</f>
        <v/>
      </c>
      <c r="B3303" s="25">
        <f>ItensPedido!B3303</f>
        <v/>
      </c>
      <c r="C3303" s="25">
        <f>ItensPedido!C3303</f>
        <v/>
      </c>
      <c r="D3303" s="25">
        <f>ItensPedido!D3303</f>
        <v/>
      </c>
      <c r="E3303" s="26">
        <f>ItensPedido!E3303</f>
        <v/>
      </c>
      <c r="F3303" s="25">
        <f>IFERROR(INDEX(Pedidos!$B$2:$B$1801,MATCH(B3303,Pedidos!$A$2:$A$1801,0)),0)</f>
        <v/>
      </c>
      <c r="G3303" s="25">
        <f>IF(F3303=0,"",YEAR(F3303))</f>
        <v/>
      </c>
      <c r="H3303" s="25">
        <f>IF(F3303=0,"",MONTH(F3303))</f>
        <v/>
      </c>
      <c r="I3303" s="25">
        <f>IFERROR(INDEX(Pedidos!$E$2:$E$1801,MATCH(B3303,Pedidos!$A$2:$A$1801,0)),"")</f>
        <v/>
      </c>
      <c r="J3303" s="25">
        <f>IFERROR(INDEX(Pedidos!$C$2:$C$1801,MATCH(B3303,Pedidos!$A$2:$A$1801,0)),"")</f>
        <v/>
      </c>
      <c r="K3303" s="25">
        <f>IFERROR(INDEX(Pedidos!$D$2:$D$1801,MATCH(B3303,Pedidos!$A$2:$A$1801,0)),"")</f>
        <v/>
      </c>
      <c r="L3303" s="25">
        <f>IFERROR(INDEX(Pedidos!$F$2:$F$1801,MATCH(B3303,Pedidos!$A$2:$A$1801,0)),"")</f>
        <v/>
      </c>
      <c r="M3303" s="26">
        <f>IFERROR(INDEX(Pedidos!$G$2:$G$1801,MATCH(B3303,Pedidos!$A$2:$A$1801,0)),0)</f>
        <v/>
      </c>
      <c r="N3303" s="25">
        <f>IFERROR(INDEX(Produtos!$B$2:$B$71,MATCH(C3303,Produtos!$A$2:$A$71,0)),"")</f>
        <v/>
      </c>
      <c r="O3303" s="25">
        <f>IFERROR(INDEX(Produtos!$C$2:$C$71,MATCH(C3303,Produtos!$A$2:$A$71,0)),"")</f>
        <v/>
      </c>
      <c r="P3303" s="25">
        <f>IFERROR(INDEX(Produtos!$D$2:$D$71,MATCH(C3303,Produtos!$A$2:$A$71,0)),0)</f>
        <v/>
      </c>
      <c r="Q3303" s="25">
        <f>IFERROR(INDEX(Produtos!$E$2:$E$71,MATCH(C3303,Produtos!$A$2:$A$71,0)),0)</f>
        <v/>
      </c>
      <c r="R3303" s="27">
        <f>D3303*Q3303</f>
        <v/>
      </c>
      <c r="S3303" s="27">
        <f>R3303*E3303</f>
        <v/>
      </c>
      <c r="T3303" s="27">
        <f>(R3303-S3303)*M3303</f>
        <v/>
      </c>
      <c r="U3303" s="27">
        <f>R3303-S3303-T3303</f>
        <v/>
      </c>
      <c r="V3303" s="27">
        <f>D3303*P3303</f>
        <v/>
      </c>
      <c r="W3303" s="27">
        <f>U3303-V3303</f>
        <v/>
      </c>
      <c r="X3303" s="28">
        <f>IFERROR(W3303/U3303,0)</f>
        <v/>
      </c>
    </row>
    <row r="3304">
      <c r="A3304" s="21">
        <f>ItensPedido!A3304</f>
        <v/>
      </c>
      <c r="B3304" s="21">
        <f>ItensPedido!B3304</f>
        <v/>
      </c>
      <c r="C3304" s="21">
        <f>ItensPedido!C3304</f>
        <v/>
      </c>
      <c r="D3304" s="21">
        <f>ItensPedido!D3304</f>
        <v/>
      </c>
      <c r="E3304" s="22">
        <f>ItensPedido!E3304</f>
        <v/>
      </c>
      <c r="F3304" s="21">
        <f>IFERROR(INDEX(Pedidos!$B$2:$B$1801,MATCH(B3304,Pedidos!$A$2:$A$1801,0)),0)</f>
        <v/>
      </c>
      <c r="G3304" s="21">
        <f>IF(F3304=0,"",YEAR(F3304))</f>
        <v/>
      </c>
      <c r="H3304" s="21">
        <f>IF(F3304=0,"",MONTH(F3304))</f>
        <v/>
      </c>
      <c r="I3304" s="21">
        <f>IFERROR(INDEX(Pedidos!$E$2:$E$1801,MATCH(B3304,Pedidos!$A$2:$A$1801,0)),"")</f>
        <v/>
      </c>
      <c r="J3304" s="21">
        <f>IFERROR(INDEX(Pedidos!$C$2:$C$1801,MATCH(B3304,Pedidos!$A$2:$A$1801,0)),"")</f>
        <v/>
      </c>
      <c r="K3304" s="21">
        <f>IFERROR(INDEX(Pedidos!$D$2:$D$1801,MATCH(B3304,Pedidos!$A$2:$A$1801,0)),"")</f>
        <v/>
      </c>
      <c r="L3304" s="21">
        <f>IFERROR(INDEX(Pedidos!$F$2:$F$1801,MATCH(B3304,Pedidos!$A$2:$A$1801,0)),"")</f>
        <v/>
      </c>
      <c r="M3304" s="22">
        <f>IFERROR(INDEX(Pedidos!$G$2:$G$1801,MATCH(B3304,Pedidos!$A$2:$A$1801,0)),0)</f>
        <v/>
      </c>
      <c r="N3304" s="21">
        <f>IFERROR(INDEX(Produtos!$B$2:$B$71,MATCH(C3304,Produtos!$A$2:$A$71,0)),"")</f>
        <v/>
      </c>
      <c r="O3304" s="21">
        <f>IFERROR(INDEX(Produtos!$C$2:$C$71,MATCH(C3304,Produtos!$A$2:$A$71,0)),"")</f>
        <v/>
      </c>
      <c r="P3304" s="21">
        <f>IFERROR(INDEX(Produtos!$D$2:$D$71,MATCH(C3304,Produtos!$A$2:$A$71,0)),0)</f>
        <v/>
      </c>
      <c r="Q3304" s="21">
        <f>IFERROR(INDEX(Produtos!$E$2:$E$71,MATCH(C3304,Produtos!$A$2:$A$71,0)),0)</f>
        <v/>
      </c>
      <c r="R3304" s="23">
        <f>D3304*Q3304</f>
        <v/>
      </c>
      <c r="S3304" s="23">
        <f>R3304*E3304</f>
        <v/>
      </c>
      <c r="T3304" s="23">
        <f>(R3304-S3304)*M3304</f>
        <v/>
      </c>
      <c r="U3304" s="23">
        <f>R3304-S3304-T3304</f>
        <v/>
      </c>
      <c r="V3304" s="23">
        <f>D3304*P3304</f>
        <v/>
      </c>
      <c r="W3304" s="23">
        <f>U3304-V3304</f>
        <v/>
      </c>
      <c r="X3304" s="24">
        <f>IFERROR(W3304/U3304,0)</f>
        <v/>
      </c>
    </row>
    <row r="3305">
      <c r="A3305" s="25">
        <f>ItensPedido!A3305</f>
        <v/>
      </c>
      <c r="B3305" s="25">
        <f>ItensPedido!B3305</f>
        <v/>
      </c>
      <c r="C3305" s="25">
        <f>ItensPedido!C3305</f>
        <v/>
      </c>
      <c r="D3305" s="25">
        <f>ItensPedido!D3305</f>
        <v/>
      </c>
      <c r="E3305" s="26">
        <f>ItensPedido!E3305</f>
        <v/>
      </c>
      <c r="F3305" s="25">
        <f>IFERROR(INDEX(Pedidos!$B$2:$B$1801,MATCH(B3305,Pedidos!$A$2:$A$1801,0)),0)</f>
        <v/>
      </c>
      <c r="G3305" s="25">
        <f>IF(F3305=0,"",YEAR(F3305))</f>
        <v/>
      </c>
      <c r="H3305" s="25">
        <f>IF(F3305=0,"",MONTH(F3305))</f>
        <v/>
      </c>
      <c r="I3305" s="25">
        <f>IFERROR(INDEX(Pedidos!$E$2:$E$1801,MATCH(B3305,Pedidos!$A$2:$A$1801,0)),"")</f>
        <v/>
      </c>
      <c r="J3305" s="25">
        <f>IFERROR(INDEX(Pedidos!$C$2:$C$1801,MATCH(B3305,Pedidos!$A$2:$A$1801,0)),"")</f>
        <v/>
      </c>
      <c r="K3305" s="25">
        <f>IFERROR(INDEX(Pedidos!$D$2:$D$1801,MATCH(B3305,Pedidos!$A$2:$A$1801,0)),"")</f>
        <v/>
      </c>
      <c r="L3305" s="25">
        <f>IFERROR(INDEX(Pedidos!$F$2:$F$1801,MATCH(B3305,Pedidos!$A$2:$A$1801,0)),"")</f>
        <v/>
      </c>
      <c r="M3305" s="26">
        <f>IFERROR(INDEX(Pedidos!$G$2:$G$1801,MATCH(B3305,Pedidos!$A$2:$A$1801,0)),0)</f>
        <v/>
      </c>
      <c r="N3305" s="25">
        <f>IFERROR(INDEX(Produtos!$B$2:$B$71,MATCH(C3305,Produtos!$A$2:$A$71,0)),"")</f>
        <v/>
      </c>
      <c r="O3305" s="25">
        <f>IFERROR(INDEX(Produtos!$C$2:$C$71,MATCH(C3305,Produtos!$A$2:$A$71,0)),"")</f>
        <v/>
      </c>
      <c r="P3305" s="25">
        <f>IFERROR(INDEX(Produtos!$D$2:$D$71,MATCH(C3305,Produtos!$A$2:$A$71,0)),0)</f>
        <v/>
      </c>
      <c r="Q3305" s="25">
        <f>IFERROR(INDEX(Produtos!$E$2:$E$71,MATCH(C3305,Produtos!$A$2:$A$71,0)),0)</f>
        <v/>
      </c>
      <c r="R3305" s="27">
        <f>D3305*Q3305</f>
        <v/>
      </c>
      <c r="S3305" s="27">
        <f>R3305*E3305</f>
        <v/>
      </c>
      <c r="T3305" s="27">
        <f>(R3305-S3305)*M3305</f>
        <v/>
      </c>
      <c r="U3305" s="27">
        <f>R3305-S3305-T3305</f>
        <v/>
      </c>
      <c r="V3305" s="27">
        <f>D3305*P3305</f>
        <v/>
      </c>
      <c r="W3305" s="27">
        <f>U3305-V3305</f>
        <v/>
      </c>
      <c r="X3305" s="28">
        <f>IFERROR(W3305/U3305,0)</f>
        <v/>
      </c>
    </row>
    <row r="3306">
      <c r="A3306" s="21">
        <f>ItensPedido!A3306</f>
        <v/>
      </c>
      <c r="B3306" s="21">
        <f>ItensPedido!B3306</f>
        <v/>
      </c>
      <c r="C3306" s="21">
        <f>ItensPedido!C3306</f>
        <v/>
      </c>
      <c r="D3306" s="21">
        <f>ItensPedido!D3306</f>
        <v/>
      </c>
      <c r="E3306" s="22">
        <f>ItensPedido!E3306</f>
        <v/>
      </c>
      <c r="F3306" s="21">
        <f>IFERROR(INDEX(Pedidos!$B$2:$B$1801,MATCH(B3306,Pedidos!$A$2:$A$1801,0)),0)</f>
        <v/>
      </c>
      <c r="G3306" s="21">
        <f>IF(F3306=0,"",YEAR(F3306))</f>
        <v/>
      </c>
      <c r="H3306" s="21">
        <f>IF(F3306=0,"",MONTH(F3306))</f>
        <v/>
      </c>
      <c r="I3306" s="21">
        <f>IFERROR(INDEX(Pedidos!$E$2:$E$1801,MATCH(B3306,Pedidos!$A$2:$A$1801,0)),"")</f>
        <v/>
      </c>
      <c r="J3306" s="21">
        <f>IFERROR(INDEX(Pedidos!$C$2:$C$1801,MATCH(B3306,Pedidos!$A$2:$A$1801,0)),"")</f>
        <v/>
      </c>
      <c r="K3306" s="21">
        <f>IFERROR(INDEX(Pedidos!$D$2:$D$1801,MATCH(B3306,Pedidos!$A$2:$A$1801,0)),"")</f>
        <v/>
      </c>
      <c r="L3306" s="21">
        <f>IFERROR(INDEX(Pedidos!$F$2:$F$1801,MATCH(B3306,Pedidos!$A$2:$A$1801,0)),"")</f>
        <v/>
      </c>
      <c r="M3306" s="22">
        <f>IFERROR(INDEX(Pedidos!$G$2:$G$1801,MATCH(B3306,Pedidos!$A$2:$A$1801,0)),0)</f>
        <v/>
      </c>
      <c r="N3306" s="21">
        <f>IFERROR(INDEX(Produtos!$B$2:$B$71,MATCH(C3306,Produtos!$A$2:$A$71,0)),"")</f>
        <v/>
      </c>
      <c r="O3306" s="21">
        <f>IFERROR(INDEX(Produtos!$C$2:$C$71,MATCH(C3306,Produtos!$A$2:$A$71,0)),"")</f>
        <v/>
      </c>
      <c r="P3306" s="21">
        <f>IFERROR(INDEX(Produtos!$D$2:$D$71,MATCH(C3306,Produtos!$A$2:$A$71,0)),0)</f>
        <v/>
      </c>
      <c r="Q3306" s="21">
        <f>IFERROR(INDEX(Produtos!$E$2:$E$71,MATCH(C3306,Produtos!$A$2:$A$71,0)),0)</f>
        <v/>
      </c>
      <c r="R3306" s="23">
        <f>D3306*Q3306</f>
        <v/>
      </c>
      <c r="S3306" s="23">
        <f>R3306*E3306</f>
        <v/>
      </c>
      <c r="T3306" s="23">
        <f>(R3306-S3306)*M3306</f>
        <v/>
      </c>
      <c r="U3306" s="23">
        <f>R3306-S3306-T3306</f>
        <v/>
      </c>
      <c r="V3306" s="23">
        <f>D3306*P3306</f>
        <v/>
      </c>
      <c r="W3306" s="23">
        <f>U3306-V3306</f>
        <v/>
      </c>
      <c r="X3306" s="24">
        <f>IFERROR(W3306/U3306,0)</f>
        <v/>
      </c>
    </row>
    <row r="3307">
      <c r="A3307" s="25">
        <f>ItensPedido!A3307</f>
        <v/>
      </c>
      <c r="B3307" s="25">
        <f>ItensPedido!B3307</f>
        <v/>
      </c>
      <c r="C3307" s="25">
        <f>ItensPedido!C3307</f>
        <v/>
      </c>
      <c r="D3307" s="25">
        <f>ItensPedido!D3307</f>
        <v/>
      </c>
      <c r="E3307" s="26">
        <f>ItensPedido!E3307</f>
        <v/>
      </c>
      <c r="F3307" s="25">
        <f>IFERROR(INDEX(Pedidos!$B$2:$B$1801,MATCH(B3307,Pedidos!$A$2:$A$1801,0)),0)</f>
        <v/>
      </c>
      <c r="G3307" s="25">
        <f>IF(F3307=0,"",YEAR(F3307))</f>
        <v/>
      </c>
      <c r="H3307" s="25">
        <f>IF(F3307=0,"",MONTH(F3307))</f>
        <v/>
      </c>
      <c r="I3307" s="25">
        <f>IFERROR(INDEX(Pedidos!$E$2:$E$1801,MATCH(B3307,Pedidos!$A$2:$A$1801,0)),"")</f>
        <v/>
      </c>
      <c r="J3307" s="25">
        <f>IFERROR(INDEX(Pedidos!$C$2:$C$1801,MATCH(B3307,Pedidos!$A$2:$A$1801,0)),"")</f>
        <v/>
      </c>
      <c r="K3307" s="25">
        <f>IFERROR(INDEX(Pedidos!$D$2:$D$1801,MATCH(B3307,Pedidos!$A$2:$A$1801,0)),"")</f>
        <v/>
      </c>
      <c r="L3307" s="25">
        <f>IFERROR(INDEX(Pedidos!$F$2:$F$1801,MATCH(B3307,Pedidos!$A$2:$A$1801,0)),"")</f>
        <v/>
      </c>
      <c r="M3307" s="26">
        <f>IFERROR(INDEX(Pedidos!$G$2:$G$1801,MATCH(B3307,Pedidos!$A$2:$A$1801,0)),0)</f>
        <v/>
      </c>
      <c r="N3307" s="25">
        <f>IFERROR(INDEX(Produtos!$B$2:$B$71,MATCH(C3307,Produtos!$A$2:$A$71,0)),"")</f>
        <v/>
      </c>
      <c r="O3307" s="25">
        <f>IFERROR(INDEX(Produtos!$C$2:$C$71,MATCH(C3307,Produtos!$A$2:$A$71,0)),"")</f>
        <v/>
      </c>
      <c r="P3307" s="25">
        <f>IFERROR(INDEX(Produtos!$D$2:$D$71,MATCH(C3307,Produtos!$A$2:$A$71,0)),0)</f>
        <v/>
      </c>
      <c r="Q3307" s="25">
        <f>IFERROR(INDEX(Produtos!$E$2:$E$71,MATCH(C3307,Produtos!$A$2:$A$71,0)),0)</f>
        <v/>
      </c>
      <c r="R3307" s="27">
        <f>D3307*Q3307</f>
        <v/>
      </c>
      <c r="S3307" s="27">
        <f>R3307*E3307</f>
        <v/>
      </c>
      <c r="T3307" s="27">
        <f>(R3307-S3307)*M3307</f>
        <v/>
      </c>
      <c r="U3307" s="27">
        <f>R3307-S3307-T3307</f>
        <v/>
      </c>
      <c r="V3307" s="27">
        <f>D3307*P3307</f>
        <v/>
      </c>
      <c r="W3307" s="27">
        <f>U3307-V3307</f>
        <v/>
      </c>
      <c r="X3307" s="28">
        <f>IFERROR(W3307/U3307,0)</f>
        <v/>
      </c>
    </row>
    <row r="3308">
      <c r="A3308" s="21">
        <f>ItensPedido!A3308</f>
        <v/>
      </c>
      <c r="B3308" s="21">
        <f>ItensPedido!B3308</f>
        <v/>
      </c>
      <c r="C3308" s="21">
        <f>ItensPedido!C3308</f>
        <v/>
      </c>
      <c r="D3308" s="21">
        <f>ItensPedido!D3308</f>
        <v/>
      </c>
      <c r="E3308" s="22">
        <f>ItensPedido!E3308</f>
        <v/>
      </c>
      <c r="F3308" s="21">
        <f>IFERROR(INDEX(Pedidos!$B$2:$B$1801,MATCH(B3308,Pedidos!$A$2:$A$1801,0)),0)</f>
        <v/>
      </c>
      <c r="G3308" s="21">
        <f>IF(F3308=0,"",YEAR(F3308))</f>
        <v/>
      </c>
      <c r="H3308" s="21">
        <f>IF(F3308=0,"",MONTH(F3308))</f>
        <v/>
      </c>
      <c r="I3308" s="21">
        <f>IFERROR(INDEX(Pedidos!$E$2:$E$1801,MATCH(B3308,Pedidos!$A$2:$A$1801,0)),"")</f>
        <v/>
      </c>
      <c r="J3308" s="21">
        <f>IFERROR(INDEX(Pedidos!$C$2:$C$1801,MATCH(B3308,Pedidos!$A$2:$A$1801,0)),"")</f>
        <v/>
      </c>
      <c r="K3308" s="21">
        <f>IFERROR(INDEX(Pedidos!$D$2:$D$1801,MATCH(B3308,Pedidos!$A$2:$A$1801,0)),"")</f>
        <v/>
      </c>
      <c r="L3308" s="21">
        <f>IFERROR(INDEX(Pedidos!$F$2:$F$1801,MATCH(B3308,Pedidos!$A$2:$A$1801,0)),"")</f>
        <v/>
      </c>
      <c r="M3308" s="22">
        <f>IFERROR(INDEX(Pedidos!$G$2:$G$1801,MATCH(B3308,Pedidos!$A$2:$A$1801,0)),0)</f>
        <v/>
      </c>
      <c r="N3308" s="21">
        <f>IFERROR(INDEX(Produtos!$B$2:$B$71,MATCH(C3308,Produtos!$A$2:$A$71,0)),"")</f>
        <v/>
      </c>
      <c r="O3308" s="21">
        <f>IFERROR(INDEX(Produtos!$C$2:$C$71,MATCH(C3308,Produtos!$A$2:$A$71,0)),"")</f>
        <v/>
      </c>
      <c r="P3308" s="21">
        <f>IFERROR(INDEX(Produtos!$D$2:$D$71,MATCH(C3308,Produtos!$A$2:$A$71,0)),0)</f>
        <v/>
      </c>
      <c r="Q3308" s="21">
        <f>IFERROR(INDEX(Produtos!$E$2:$E$71,MATCH(C3308,Produtos!$A$2:$A$71,0)),0)</f>
        <v/>
      </c>
      <c r="R3308" s="23">
        <f>D3308*Q3308</f>
        <v/>
      </c>
      <c r="S3308" s="23">
        <f>R3308*E3308</f>
        <v/>
      </c>
      <c r="T3308" s="23">
        <f>(R3308-S3308)*M3308</f>
        <v/>
      </c>
      <c r="U3308" s="23">
        <f>R3308-S3308-T3308</f>
        <v/>
      </c>
      <c r="V3308" s="23">
        <f>D3308*P3308</f>
        <v/>
      </c>
      <c r="W3308" s="23">
        <f>U3308-V3308</f>
        <v/>
      </c>
      <c r="X3308" s="24">
        <f>IFERROR(W3308/U3308,0)</f>
        <v/>
      </c>
    </row>
    <row r="3309">
      <c r="A3309" s="25">
        <f>ItensPedido!A3309</f>
        <v/>
      </c>
      <c r="B3309" s="25">
        <f>ItensPedido!B3309</f>
        <v/>
      </c>
      <c r="C3309" s="25">
        <f>ItensPedido!C3309</f>
        <v/>
      </c>
      <c r="D3309" s="25">
        <f>ItensPedido!D3309</f>
        <v/>
      </c>
      <c r="E3309" s="26">
        <f>ItensPedido!E3309</f>
        <v/>
      </c>
      <c r="F3309" s="25">
        <f>IFERROR(INDEX(Pedidos!$B$2:$B$1801,MATCH(B3309,Pedidos!$A$2:$A$1801,0)),0)</f>
        <v/>
      </c>
      <c r="G3309" s="25">
        <f>IF(F3309=0,"",YEAR(F3309))</f>
        <v/>
      </c>
      <c r="H3309" s="25">
        <f>IF(F3309=0,"",MONTH(F3309))</f>
        <v/>
      </c>
      <c r="I3309" s="25">
        <f>IFERROR(INDEX(Pedidos!$E$2:$E$1801,MATCH(B3309,Pedidos!$A$2:$A$1801,0)),"")</f>
        <v/>
      </c>
      <c r="J3309" s="25">
        <f>IFERROR(INDEX(Pedidos!$C$2:$C$1801,MATCH(B3309,Pedidos!$A$2:$A$1801,0)),"")</f>
        <v/>
      </c>
      <c r="K3309" s="25">
        <f>IFERROR(INDEX(Pedidos!$D$2:$D$1801,MATCH(B3309,Pedidos!$A$2:$A$1801,0)),"")</f>
        <v/>
      </c>
      <c r="L3309" s="25">
        <f>IFERROR(INDEX(Pedidos!$F$2:$F$1801,MATCH(B3309,Pedidos!$A$2:$A$1801,0)),"")</f>
        <v/>
      </c>
      <c r="M3309" s="26">
        <f>IFERROR(INDEX(Pedidos!$G$2:$G$1801,MATCH(B3309,Pedidos!$A$2:$A$1801,0)),0)</f>
        <v/>
      </c>
      <c r="N3309" s="25">
        <f>IFERROR(INDEX(Produtos!$B$2:$B$71,MATCH(C3309,Produtos!$A$2:$A$71,0)),"")</f>
        <v/>
      </c>
      <c r="O3309" s="25">
        <f>IFERROR(INDEX(Produtos!$C$2:$C$71,MATCH(C3309,Produtos!$A$2:$A$71,0)),"")</f>
        <v/>
      </c>
      <c r="P3309" s="25">
        <f>IFERROR(INDEX(Produtos!$D$2:$D$71,MATCH(C3309,Produtos!$A$2:$A$71,0)),0)</f>
        <v/>
      </c>
      <c r="Q3309" s="25">
        <f>IFERROR(INDEX(Produtos!$E$2:$E$71,MATCH(C3309,Produtos!$A$2:$A$71,0)),0)</f>
        <v/>
      </c>
      <c r="R3309" s="27">
        <f>D3309*Q3309</f>
        <v/>
      </c>
      <c r="S3309" s="27">
        <f>R3309*E3309</f>
        <v/>
      </c>
      <c r="T3309" s="27">
        <f>(R3309-S3309)*M3309</f>
        <v/>
      </c>
      <c r="U3309" s="27">
        <f>R3309-S3309-T3309</f>
        <v/>
      </c>
      <c r="V3309" s="27">
        <f>D3309*P3309</f>
        <v/>
      </c>
      <c r="W3309" s="27">
        <f>U3309-V3309</f>
        <v/>
      </c>
      <c r="X3309" s="28">
        <f>IFERROR(W3309/U3309,0)</f>
        <v/>
      </c>
    </row>
    <row r="3310">
      <c r="A3310" s="21">
        <f>ItensPedido!A3310</f>
        <v/>
      </c>
      <c r="B3310" s="21">
        <f>ItensPedido!B3310</f>
        <v/>
      </c>
      <c r="C3310" s="21">
        <f>ItensPedido!C3310</f>
        <v/>
      </c>
      <c r="D3310" s="21">
        <f>ItensPedido!D3310</f>
        <v/>
      </c>
      <c r="E3310" s="22">
        <f>ItensPedido!E3310</f>
        <v/>
      </c>
      <c r="F3310" s="21">
        <f>IFERROR(INDEX(Pedidos!$B$2:$B$1801,MATCH(B3310,Pedidos!$A$2:$A$1801,0)),0)</f>
        <v/>
      </c>
      <c r="G3310" s="21">
        <f>IF(F3310=0,"",YEAR(F3310))</f>
        <v/>
      </c>
      <c r="H3310" s="21">
        <f>IF(F3310=0,"",MONTH(F3310))</f>
        <v/>
      </c>
      <c r="I3310" s="21">
        <f>IFERROR(INDEX(Pedidos!$E$2:$E$1801,MATCH(B3310,Pedidos!$A$2:$A$1801,0)),"")</f>
        <v/>
      </c>
      <c r="J3310" s="21">
        <f>IFERROR(INDEX(Pedidos!$C$2:$C$1801,MATCH(B3310,Pedidos!$A$2:$A$1801,0)),"")</f>
        <v/>
      </c>
      <c r="K3310" s="21">
        <f>IFERROR(INDEX(Pedidos!$D$2:$D$1801,MATCH(B3310,Pedidos!$A$2:$A$1801,0)),"")</f>
        <v/>
      </c>
      <c r="L3310" s="21">
        <f>IFERROR(INDEX(Pedidos!$F$2:$F$1801,MATCH(B3310,Pedidos!$A$2:$A$1801,0)),"")</f>
        <v/>
      </c>
      <c r="M3310" s="22">
        <f>IFERROR(INDEX(Pedidos!$G$2:$G$1801,MATCH(B3310,Pedidos!$A$2:$A$1801,0)),0)</f>
        <v/>
      </c>
      <c r="N3310" s="21">
        <f>IFERROR(INDEX(Produtos!$B$2:$B$71,MATCH(C3310,Produtos!$A$2:$A$71,0)),"")</f>
        <v/>
      </c>
      <c r="O3310" s="21">
        <f>IFERROR(INDEX(Produtos!$C$2:$C$71,MATCH(C3310,Produtos!$A$2:$A$71,0)),"")</f>
        <v/>
      </c>
      <c r="P3310" s="21">
        <f>IFERROR(INDEX(Produtos!$D$2:$D$71,MATCH(C3310,Produtos!$A$2:$A$71,0)),0)</f>
        <v/>
      </c>
      <c r="Q3310" s="21">
        <f>IFERROR(INDEX(Produtos!$E$2:$E$71,MATCH(C3310,Produtos!$A$2:$A$71,0)),0)</f>
        <v/>
      </c>
      <c r="R3310" s="23">
        <f>D3310*Q3310</f>
        <v/>
      </c>
      <c r="S3310" s="23">
        <f>R3310*E3310</f>
        <v/>
      </c>
      <c r="T3310" s="23">
        <f>(R3310-S3310)*M3310</f>
        <v/>
      </c>
      <c r="U3310" s="23">
        <f>R3310-S3310-T3310</f>
        <v/>
      </c>
      <c r="V3310" s="23">
        <f>D3310*P3310</f>
        <v/>
      </c>
      <c r="W3310" s="23">
        <f>U3310-V3310</f>
        <v/>
      </c>
      <c r="X3310" s="24">
        <f>IFERROR(W3310/U3310,0)</f>
        <v/>
      </c>
    </row>
    <row r="3311">
      <c r="A3311" s="25">
        <f>ItensPedido!A3311</f>
        <v/>
      </c>
      <c r="B3311" s="25">
        <f>ItensPedido!B3311</f>
        <v/>
      </c>
      <c r="C3311" s="25">
        <f>ItensPedido!C3311</f>
        <v/>
      </c>
      <c r="D3311" s="25">
        <f>ItensPedido!D3311</f>
        <v/>
      </c>
      <c r="E3311" s="26">
        <f>ItensPedido!E3311</f>
        <v/>
      </c>
      <c r="F3311" s="25">
        <f>IFERROR(INDEX(Pedidos!$B$2:$B$1801,MATCH(B3311,Pedidos!$A$2:$A$1801,0)),0)</f>
        <v/>
      </c>
      <c r="G3311" s="25">
        <f>IF(F3311=0,"",YEAR(F3311))</f>
        <v/>
      </c>
      <c r="H3311" s="25">
        <f>IF(F3311=0,"",MONTH(F3311))</f>
        <v/>
      </c>
      <c r="I3311" s="25">
        <f>IFERROR(INDEX(Pedidos!$E$2:$E$1801,MATCH(B3311,Pedidos!$A$2:$A$1801,0)),"")</f>
        <v/>
      </c>
      <c r="J3311" s="25">
        <f>IFERROR(INDEX(Pedidos!$C$2:$C$1801,MATCH(B3311,Pedidos!$A$2:$A$1801,0)),"")</f>
        <v/>
      </c>
      <c r="K3311" s="25">
        <f>IFERROR(INDEX(Pedidos!$D$2:$D$1801,MATCH(B3311,Pedidos!$A$2:$A$1801,0)),"")</f>
        <v/>
      </c>
      <c r="L3311" s="25">
        <f>IFERROR(INDEX(Pedidos!$F$2:$F$1801,MATCH(B3311,Pedidos!$A$2:$A$1801,0)),"")</f>
        <v/>
      </c>
      <c r="M3311" s="26">
        <f>IFERROR(INDEX(Pedidos!$G$2:$G$1801,MATCH(B3311,Pedidos!$A$2:$A$1801,0)),0)</f>
        <v/>
      </c>
      <c r="N3311" s="25">
        <f>IFERROR(INDEX(Produtos!$B$2:$B$71,MATCH(C3311,Produtos!$A$2:$A$71,0)),"")</f>
        <v/>
      </c>
      <c r="O3311" s="25">
        <f>IFERROR(INDEX(Produtos!$C$2:$C$71,MATCH(C3311,Produtos!$A$2:$A$71,0)),"")</f>
        <v/>
      </c>
      <c r="P3311" s="25">
        <f>IFERROR(INDEX(Produtos!$D$2:$D$71,MATCH(C3311,Produtos!$A$2:$A$71,0)),0)</f>
        <v/>
      </c>
      <c r="Q3311" s="25">
        <f>IFERROR(INDEX(Produtos!$E$2:$E$71,MATCH(C3311,Produtos!$A$2:$A$71,0)),0)</f>
        <v/>
      </c>
      <c r="R3311" s="27">
        <f>D3311*Q3311</f>
        <v/>
      </c>
      <c r="S3311" s="27">
        <f>R3311*E3311</f>
        <v/>
      </c>
      <c r="T3311" s="27">
        <f>(R3311-S3311)*M3311</f>
        <v/>
      </c>
      <c r="U3311" s="27">
        <f>R3311-S3311-T3311</f>
        <v/>
      </c>
      <c r="V3311" s="27">
        <f>D3311*P3311</f>
        <v/>
      </c>
      <c r="W3311" s="27">
        <f>U3311-V3311</f>
        <v/>
      </c>
      <c r="X3311" s="28">
        <f>IFERROR(W3311/U3311,0)</f>
        <v/>
      </c>
    </row>
    <row r="3312">
      <c r="A3312" s="21">
        <f>ItensPedido!A3312</f>
        <v/>
      </c>
      <c r="B3312" s="21">
        <f>ItensPedido!B3312</f>
        <v/>
      </c>
      <c r="C3312" s="21">
        <f>ItensPedido!C3312</f>
        <v/>
      </c>
      <c r="D3312" s="21">
        <f>ItensPedido!D3312</f>
        <v/>
      </c>
      <c r="E3312" s="22">
        <f>ItensPedido!E3312</f>
        <v/>
      </c>
      <c r="F3312" s="21">
        <f>IFERROR(INDEX(Pedidos!$B$2:$B$1801,MATCH(B3312,Pedidos!$A$2:$A$1801,0)),0)</f>
        <v/>
      </c>
      <c r="G3312" s="21">
        <f>IF(F3312=0,"",YEAR(F3312))</f>
        <v/>
      </c>
      <c r="H3312" s="21">
        <f>IF(F3312=0,"",MONTH(F3312))</f>
        <v/>
      </c>
      <c r="I3312" s="21">
        <f>IFERROR(INDEX(Pedidos!$E$2:$E$1801,MATCH(B3312,Pedidos!$A$2:$A$1801,0)),"")</f>
        <v/>
      </c>
      <c r="J3312" s="21">
        <f>IFERROR(INDEX(Pedidos!$C$2:$C$1801,MATCH(B3312,Pedidos!$A$2:$A$1801,0)),"")</f>
        <v/>
      </c>
      <c r="K3312" s="21">
        <f>IFERROR(INDEX(Pedidos!$D$2:$D$1801,MATCH(B3312,Pedidos!$A$2:$A$1801,0)),"")</f>
        <v/>
      </c>
      <c r="L3312" s="21">
        <f>IFERROR(INDEX(Pedidos!$F$2:$F$1801,MATCH(B3312,Pedidos!$A$2:$A$1801,0)),"")</f>
        <v/>
      </c>
      <c r="M3312" s="22">
        <f>IFERROR(INDEX(Pedidos!$G$2:$G$1801,MATCH(B3312,Pedidos!$A$2:$A$1801,0)),0)</f>
        <v/>
      </c>
      <c r="N3312" s="21">
        <f>IFERROR(INDEX(Produtos!$B$2:$B$71,MATCH(C3312,Produtos!$A$2:$A$71,0)),"")</f>
        <v/>
      </c>
      <c r="O3312" s="21">
        <f>IFERROR(INDEX(Produtos!$C$2:$C$71,MATCH(C3312,Produtos!$A$2:$A$71,0)),"")</f>
        <v/>
      </c>
      <c r="P3312" s="21">
        <f>IFERROR(INDEX(Produtos!$D$2:$D$71,MATCH(C3312,Produtos!$A$2:$A$71,0)),0)</f>
        <v/>
      </c>
      <c r="Q3312" s="21">
        <f>IFERROR(INDEX(Produtos!$E$2:$E$71,MATCH(C3312,Produtos!$A$2:$A$71,0)),0)</f>
        <v/>
      </c>
      <c r="R3312" s="23">
        <f>D3312*Q3312</f>
        <v/>
      </c>
      <c r="S3312" s="23">
        <f>R3312*E3312</f>
        <v/>
      </c>
      <c r="T3312" s="23">
        <f>(R3312-S3312)*M3312</f>
        <v/>
      </c>
      <c r="U3312" s="23">
        <f>R3312-S3312-T3312</f>
        <v/>
      </c>
      <c r="V3312" s="23">
        <f>D3312*P3312</f>
        <v/>
      </c>
      <c r="W3312" s="23">
        <f>U3312-V3312</f>
        <v/>
      </c>
      <c r="X3312" s="24">
        <f>IFERROR(W3312/U3312,0)</f>
        <v/>
      </c>
    </row>
    <row r="3313">
      <c r="A3313" s="25">
        <f>ItensPedido!A3313</f>
        <v/>
      </c>
      <c r="B3313" s="25">
        <f>ItensPedido!B3313</f>
        <v/>
      </c>
      <c r="C3313" s="25">
        <f>ItensPedido!C3313</f>
        <v/>
      </c>
      <c r="D3313" s="25">
        <f>ItensPedido!D3313</f>
        <v/>
      </c>
      <c r="E3313" s="26">
        <f>ItensPedido!E3313</f>
        <v/>
      </c>
      <c r="F3313" s="25">
        <f>IFERROR(INDEX(Pedidos!$B$2:$B$1801,MATCH(B3313,Pedidos!$A$2:$A$1801,0)),0)</f>
        <v/>
      </c>
      <c r="G3313" s="25">
        <f>IF(F3313=0,"",YEAR(F3313))</f>
        <v/>
      </c>
      <c r="H3313" s="25">
        <f>IF(F3313=0,"",MONTH(F3313))</f>
        <v/>
      </c>
      <c r="I3313" s="25">
        <f>IFERROR(INDEX(Pedidos!$E$2:$E$1801,MATCH(B3313,Pedidos!$A$2:$A$1801,0)),"")</f>
        <v/>
      </c>
      <c r="J3313" s="25">
        <f>IFERROR(INDEX(Pedidos!$C$2:$C$1801,MATCH(B3313,Pedidos!$A$2:$A$1801,0)),"")</f>
        <v/>
      </c>
      <c r="K3313" s="25">
        <f>IFERROR(INDEX(Pedidos!$D$2:$D$1801,MATCH(B3313,Pedidos!$A$2:$A$1801,0)),"")</f>
        <v/>
      </c>
      <c r="L3313" s="25">
        <f>IFERROR(INDEX(Pedidos!$F$2:$F$1801,MATCH(B3313,Pedidos!$A$2:$A$1801,0)),"")</f>
        <v/>
      </c>
      <c r="M3313" s="26">
        <f>IFERROR(INDEX(Pedidos!$G$2:$G$1801,MATCH(B3313,Pedidos!$A$2:$A$1801,0)),0)</f>
        <v/>
      </c>
      <c r="N3313" s="25">
        <f>IFERROR(INDEX(Produtos!$B$2:$B$71,MATCH(C3313,Produtos!$A$2:$A$71,0)),"")</f>
        <v/>
      </c>
      <c r="O3313" s="25">
        <f>IFERROR(INDEX(Produtos!$C$2:$C$71,MATCH(C3313,Produtos!$A$2:$A$71,0)),"")</f>
        <v/>
      </c>
      <c r="P3313" s="25">
        <f>IFERROR(INDEX(Produtos!$D$2:$D$71,MATCH(C3313,Produtos!$A$2:$A$71,0)),0)</f>
        <v/>
      </c>
      <c r="Q3313" s="25">
        <f>IFERROR(INDEX(Produtos!$E$2:$E$71,MATCH(C3313,Produtos!$A$2:$A$71,0)),0)</f>
        <v/>
      </c>
      <c r="R3313" s="27">
        <f>D3313*Q3313</f>
        <v/>
      </c>
      <c r="S3313" s="27">
        <f>R3313*E3313</f>
        <v/>
      </c>
      <c r="T3313" s="27">
        <f>(R3313-S3313)*M3313</f>
        <v/>
      </c>
      <c r="U3313" s="27">
        <f>R3313-S3313-T3313</f>
        <v/>
      </c>
      <c r="V3313" s="27">
        <f>D3313*P3313</f>
        <v/>
      </c>
      <c r="W3313" s="27">
        <f>U3313-V3313</f>
        <v/>
      </c>
      <c r="X3313" s="28">
        <f>IFERROR(W3313/U3313,0)</f>
        <v/>
      </c>
    </row>
    <row r="3314">
      <c r="A3314" s="21">
        <f>ItensPedido!A3314</f>
        <v/>
      </c>
      <c r="B3314" s="21">
        <f>ItensPedido!B3314</f>
        <v/>
      </c>
      <c r="C3314" s="21">
        <f>ItensPedido!C3314</f>
        <v/>
      </c>
      <c r="D3314" s="21">
        <f>ItensPedido!D3314</f>
        <v/>
      </c>
      <c r="E3314" s="22">
        <f>ItensPedido!E3314</f>
        <v/>
      </c>
      <c r="F3314" s="21">
        <f>IFERROR(INDEX(Pedidos!$B$2:$B$1801,MATCH(B3314,Pedidos!$A$2:$A$1801,0)),0)</f>
        <v/>
      </c>
      <c r="G3314" s="21">
        <f>IF(F3314=0,"",YEAR(F3314))</f>
        <v/>
      </c>
      <c r="H3314" s="21">
        <f>IF(F3314=0,"",MONTH(F3314))</f>
        <v/>
      </c>
      <c r="I3314" s="21">
        <f>IFERROR(INDEX(Pedidos!$E$2:$E$1801,MATCH(B3314,Pedidos!$A$2:$A$1801,0)),"")</f>
        <v/>
      </c>
      <c r="J3314" s="21">
        <f>IFERROR(INDEX(Pedidos!$C$2:$C$1801,MATCH(B3314,Pedidos!$A$2:$A$1801,0)),"")</f>
        <v/>
      </c>
      <c r="K3314" s="21">
        <f>IFERROR(INDEX(Pedidos!$D$2:$D$1801,MATCH(B3314,Pedidos!$A$2:$A$1801,0)),"")</f>
        <v/>
      </c>
      <c r="L3314" s="21">
        <f>IFERROR(INDEX(Pedidos!$F$2:$F$1801,MATCH(B3314,Pedidos!$A$2:$A$1801,0)),"")</f>
        <v/>
      </c>
      <c r="M3314" s="22">
        <f>IFERROR(INDEX(Pedidos!$G$2:$G$1801,MATCH(B3314,Pedidos!$A$2:$A$1801,0)),0)</f>
        <v/>
      </c>
      <c r="N3314" s="21">
        <f>IFERROR(INDEX(Produtos!$B$2:$B$71,MATCH(C3314,Produtos!$A$2:$A$71,0)),"")</f>
        <v/>
      </c>
      <c r="O3314" s="21">
        <f>IFERROR(INDEX(Produtos!$C$2:$C$71,MATCH(C3314,Produtos!$A$2:$A$71,0)),"")</f>
        <v/>
      </c>
      <c r="P3314" s="21">
        <f>IFERROR(INDEX(Produtos!$D$2:$D$71,MATCH(C3314,Produtos!$A$2:$A$71,0)),0)</f>
        <v/>
      </c>
      <c r="Q3314" s="21">
        <f>IFERROR(INDEX(Produtos!$E$2:$E$71,MATCH(C3314,Produtos!$A$2:$A$71,0)),0)</f>
        <v/>
      </c>
      <c r="R3314" s="23">
        <f>D3314*Q3314</f>
        <v/>
      </c>
      <c r="S3314" s="23">
        <f>R3314*E3314</f>
        <v/>
      </c>
      <c r="T3314" s="23">
        <f>(R3314-S3314)*M3314</f>
        <v/>
      </c>
      <c r="U3314" s="23">
        <f>R3314-S3314-T3314</f>
        <v/>
      </c>
      <c r="V3314" s="23">
        <f>D3314*P3314</f>
        <v/>
      </c>
      <c r="W3314" s="23">
        <f>U3314-V3314</f>
        <v/>
      </c>
      <c r="X3314" s="24">
        <f>IFERROR(W3314/U3314,0)</f>
        <v/>
      </c>
    </row>
    <row r="3315">
      <c r="A3315" s="25">
        <f>ItensPedido!A3315</f>
        <v/>
      </c>
      <c r="B3315" s="25">
        <f>ItensPedido!B3315</f>
        <v/>
      </c>
      <c r="C3315" s="25">
        <f>ItensPedido!C3315</f>
        <v/>
      </c>
      <c r="D3315" s="25">
        <f>ItensPedido!D3315</f>
        <v/>
      </c>
      <c r="E3315" s="26">
        <f>ItensPedido!E3315</f>
        <v/>
      </c>
      <c r="F3315" s="25">
        <f>IFERROR(INDEX(Pedidos!$B$2:$B$1801,MATCH(B3315,Pedidos!$A$2:$A$1801,0)),0)</f>
        <v/>
      </c>
      <c r="G3315" s="25">
        <f>IF(F3315=0,"",YEAR(F3315))</f>
        <v/>
      </c>
      <c r="H3315" s="25">
        <f>IF(F3315=0,"",MONTH(F3315))</f>
        <v/>
      </c>
      <c r="I3315" s="25">
        <f>IFERROR(INDEX(Pedidos!$E$2:$E$1801,MATCH(B3315,Pedidos!$A$2:$A$1801,0)),"")</f>
        <v/>
      </c>
      <c r="J3315" s="25">
        <f>IFERROR(INDEX(Pedidos!$C$2:$C$1801,MATCH(B3315,Pedidos!$A$2:$A$1801,0)),"")</f>
        <v/>
      </c>
      <c r="K3315" s="25">
        <f>IFERROR(INDEX(Pedidos!$D$2:$D$1801,MATCH(B3315,Pedidos!$A$2:$A$1801,0)),"")</f>
        <v/>
      </c>
      <c r="L3315" s="25">
        <f>IFERROR(INDEX(Pedidos!$F$2:$F$1801,MATCH(B3315,Pedidos!$A$2:$A$1801,0)),"")</f>
        <v/>
      </c>
      <c r="M3315" s="26">
        <f>IFERROR(INDEX(Pedidos!$G$2:$G$1801,MATCH(B3315,Pedidos!$A$2:$A$1801,0)),0)</f>
        <v/>
      </c>
      <c r="N3315" s="25">
        <f>IFERROR(INDEX(Produtos!$B$2:$B$71,MATCH(C3315,Produtos!$A$2:$A$71,0)),"")</f>
        <v/>
      </c>
      <c r="O3315" s="25">
        <f>IFERROR(INDEX(Produtos!$C$2:$C$71,MATCH(C3315,Produtos!$A$2:$A$71,0)),"")</f>
        <v/>
      </c>
      <c r="P3315" s="25">
        <f>IFERROR(INDEX(Produtos!$D$2:$D$71,MATCH(C3315,Produtos!$A$2:$A$71,0)),0)</f>
        <v/>
      </c>
      <c r="Q3315" s="25">
        <f>IFERROR(INDEX(Produtos!$E$2:$E$71,MATCH(C3315,Produtos!$A$2:$A$71,0)),0)</f>
        <v/>
      </c>
      <c r="R3315" s="27">
        <f>D3315*Q3315</f>
        <v/>
      </c>
      <c r="S3315" s="27">
        <f>R3315*E3315</f>
        <v/>
      </c>
      <c r="T3315" s="27">
        <f>(R3315-S3315)*M3315</f>
        <v/>
      </c>
      <c r="U3315" s="27">
        <f>R3315-S3315-T3315</f>
        <v/>
      </c>
      <c r="V3315" s="27">
        <f>D3315*P3315</f>
        <v/>
      </c>
      <c r="W3315" s="27">
        <f>U3315-V3315</f>
        <v/>
      </c>
      <c r="X3315" s="28">
        <f>IFERROR(W3315/U3315,0)</f>
        <v/>
      </c>
    </row>
    <row r="3316">
      <c r="A3316" s="21">
        <f>ItensPedido!A3316</f>
        <v/>
      </c>
      <c r="B3316" s="21">
        <f>ItensPedido!B3316</f>
        <v/>
      </c>
      <c r="C3316" s="21">
        <f>ItensPedido!C3316</f>
        <v/>
      </c>
      <c r="D3316" s="21">
        <f>ItensPedido!D3316</f>
        <v/>
      </c>
      <c r="E3316" s="22">
        <f>ItensPedido!E3316</f>
        <v/>
      </c>
      <c r="F3316" s="21">
        <f>IFERROR(INDEX(Pedidos!$B$2:$B$1801,MATCH(B3316,Pedidos!$A$2:$A$1801,0)),0)</f>
        <v/>
      </c>
      <c r="G3316" s="21">
        <f>IF(F3316=0,"",YEAR(F3316))</f>
        <v/>
      </c>
      <c r="H3316" s="21">
        <f>IF(F3316=0,"",MONTH(F3316))</f>
        <v/>
      </c>
      <c r="I3316" s="21">
        <f>IFERROR(INDEX(Pedidos!$E$2:$E$1801,MATCH(B3316,Pedidos!$A$2:$A$1801,0)),"")</f>
        <v/>
      </c>
      <c r="J3316" s="21">
        <f>IFERROR(INDEX(Pedidos!$C$2:$C$1801,MATCH(B3316,Pedidos!$A$2:$A$1801,0)),"")</f>
        <v/>
      </c>
      <c r="K3316" s="21">
        <f>IFERROR(INDEX(Pedidos!$D$2:$D$1801,MATCH(B3316,Pedidos!$A$2:$A$1801,0)),"")</f>
        <v/>
      </c>
      <c r="L3316" s="21">
        <f>IFERROR(INDEX(Pedidos!$F$2:$F$1801,MATCH(B3316,Pedidos!$A$2:$A$1801,0)),"")</f>
        <v/>
      </c>
      <c r="M3316" s="22">
        <f>IFERROR(INDEX(Pedidos!$G$2:$G$1801,MATCH(B3316,Pedidos!$A$2:$A$1801,0)),0)</f>
        <v/>
      </c>
      <c r="N3316" s="21">
        <f>IFERROR(INDEX(Produtos!$B$2:$B$71,MATCH(C3316,Produtos!$A$2:$A$71,0)),"")</f>
        <v/>
      </c>
      <c r="O3316" s="21">
        <f>IFERROR(INDEX(Produtos!$C$2:$C$71,MATCH(C3316,Produtos!$A$2:$A$71,0)),"")</f>
        <v/>
      </c>
      <c r="P3316" s="21">
        <f>IFERROR(INDEX(Produtos!$D$2:$D$71,MATCH(C3316,Produtos!$A$2:$A$71,0)),0)</f>
        <v/>
      </c>
      <c r="Q3316" s="21">
        <f>IFERROR(INDEX(Produtos!$E$2:$E$71,MATCH(C3316,Produtos!$A$2:$A$71,0)),0)</f>
        <v/>
      </c>
      <c r="R3316" s="23">
        <f>D3316*Q3316</f>
        <v/>
      </c>
      <c r="S3316" s="23">
        <f>R3316*E3316</f>
        <v/>
      </c>
      <c r="T3316" s="23">
        <f>(R3316-S3316)*M3316</f>
        <v/>
      </c>
      <c r="U3316" s="23">
        <f>R3316-S3316-T3316</f>
        <v/>
      </c>
      <c r="V3316" s="23">
        <f>D3316*P3316</f>
        <v/>
      </c>
      <c r="W3316" s="23">
        <f>U3316-V3316</f>
        <v/>
      </c>
      <c r="X3316" s="24">
        <f>IFERROR(W3316/U3316,0)</f>
        <v/>
      </c>
    </row>
    <row r="3317">
      <c r="A3317" s="25">
        <f>ItensPedido!A3317</f>
        <v/>
      </c>
      <c r="B3317" s="25">
        <f>ItensPedido!B3317</f>
        <v/>
      </c>
      <c r="C3317" s="25">
        <f>ItensPedido!C3317</f>
        <v/>
      </c>
      <c r="D3317" s="25">
        <f>ItensPedido!D3317</f>
        <v/>
      </c>
      <c r="E3317" s="26">
        <f>ItensPedido!E3317</f>
        <v/>
      </c>
      <c r="F3317" s="25">
        <f>IFERROR(INDEX(Pedidos!$B$2:$B$1801,MATCH(B3317,Pedidos!$A$2:$A$1801,0)),0)</f>
        <v/>
      </c>
      <c r="G3317" s="25">
        <f>IF(F3317=0,"",YEAR(F3317))</f>
        <v/>
      </c>
      <c r="H3317" s="25">
        <f>IF(F3317=0,"",MONTH(F3317))</f>
        <v/>
      </c>
      <c r="I3317" s="25">
        <f>IFERROR(INDEX(Pedidos!$E$2:$E$1801,MATCH(B3317,Pedidos!$A$2:$A$1801,0)),"")</f>
        <v/>
      </c>
      <c r="J3317" s="25">
        <f>IFERROR(INDEX(Pedidos!$C$2:$C$1801,MATCH(B3317,Pedidos!$A$2:$A$1801,0)),"")</f>
        <v/>
      </c>
      <c r="K3317" s="25">
        <f>IFERROR(INDEX(Pedidos!$D$2:$D$1801,MATCH(B3317,Pedidos!$A$2:$A$1801,0)),"")</f>
        <v/>
      </c>
      <c r="L3317" s="25">
        <f>IFERROR(INDEX(Pedidos!$F$2:$F$1801,MATCH(B3317,Pedidos!$A$2:$A$1801,0)),"")</f>
        <v/>
      </c>
      <c r="M3317" s="26">
        <f>IFERROR(INDEX(Pedidos!$G$2:$G$1801,MATCH(B3317,Pedidos!$A$2:$A$1801,0)),0)</f>
        <v/>
      </c>
      <c r="N3317" s="25">
        <f>IFERROR(INDEX(Produtos!$B$2:$B$71,MATCH(C3317,Produtos!$A$2:$A$71,0)),"")</f>
        <v/>
      </c>
      <c r="O3317" s="25">
        <f>IFERROR(INDEX(Produtos!$C$2:$C$71,MATCH(C3317,Produtos!$A$2:$A$71,0)),"")</f>
        <v/>
      </c>
      <c r="P3317" s="25">
        <f>IFERROR(INDEX(Produtos!$D$2:$D$71,MATCH(C3317,Produtos!$A$2:$A$71,0)),0)</f>
        <v/>
      </c>
      <c r="Q3317" s="25">
        <f>IFERROR(INDEX(Produtos!$E$2:$E$71,MATCH(C3317,Produtos!$A$2:$A$71,0)),0)</f>
        <v/>
      </c>
      <c r="R3317" s="27">
        <f>D3317*Q3317</f>
        <v/>
      </c>
      <c r="S3317" s="27">
        <f>R3317*E3317</f>
        <v/>
      </c>
      <c r="T3317" s="27">
        <f>(R3317-S3317)*M3317</f>
        <v/>
      </c>
      <c r="U3317" s="27">
        <f>R3317-S3317-T3317</f>
        <v/>
      </c>
      <c r="V3317" s="27">
        <f>D3317*P3317</f>
        <v/>
      </c>
      <c r="W3317" s="27">
        <f>U3317-V3317</f>
        <v/>
      </c>
      <c r="X3317" s="28">
        <f>IFERROR(W3317/U3317,0)</f>
        <v/>
      </c>
    </row>
    <row r="3318">
      <c r="A3318" s="21">
        <f>ItensPedido!A3318</f>
        <v/>
      </c>
      <c r="B3318" s="21">
        <f>ItensPedido!B3318</f>
        <v/>
      </c>
      <c r="C3318" s="21">
        <f>ItensPedido!C3318</f>
        <v/>
      </c>
      <c r="D3318" s="21">
        <f>ItensPedido!D3318</f>
        <v/>
      </c>
      <c r="E3318" s="22">
        <f>ItensPedido!E3318</f>
        <v/>
      </c>
      <c r="F3318" s="21">
        <f>IFERROR(INDEX(Pedidos!$B$2:$B$1801,MATCH(B3318,Pedidos!$A$2:$A$1801,0)),0)</f>
        <v/>
      </c>
      <c r="G3318" s="21">
        <f>IF(F3318=0,"",YEAR(F3318))</f>
        <v/>
      </c>
      <c r="H3318" s="21">
        <f>IF(F3318=0,"",MONTH(F3318))</f>
        <v/>
      </c>
      <c r="I3318" s="21">
        <f>IFERROR(INDEX(Pedidos!$E$2:$E$1801,MATCH(B3318,Pedidos!$A$2:$A$1801,0)),"")</f>
        <v/>
      </c>
      <c r="J3318" s="21">
        <f>IFERROR(INDEX(Pedidos!$C$2:$C$1801,MATCH(B3318,Pedidos!$A$2:$A$1801,0)),"")</f>
        <v/>
      </c>
      <c r="K3318" s="21">
        <f>IFERROR(INDEX(Pedidos!$D$2:$D$1801,MATCH(B3318,Pedidos!$A$2:$A$1801,0)),"")</f>
        <v/>
      </c>
      <c r="L3318" s="21">
        <f>IFERROR(INDEX(Pedidos!$F$2:$F$1801,MATCH(B3318,Pedidos!$A$2:$A$1801,0)),"")</f>
        <v/>
      </c>
      <c r="M3318" s="22">
        <f>IFERROR(INDEX(Pedidos!$G$2:$G$1801,MATCH(B3318,Pedidos!$A$2:$A$1801,0)),0)</f>
        <v/>
      </c>
      <c r="N3318" s="21">
        <f>IFERROR(INDEX(Produtos!$B$2:$B$71,MATCH(C3318,Produtos!$A$2:$A$71,0)),"")</f>
        <v/>
      </c>
      <c r="O3318" s="21">
        <f>IFERROR(INDEX(Produtos!$C$2:$C$71,MATCH(C3318,Produtos!$A$2:$A$71,0)),"")</f>
        <v/>
      </c>
      <c r="P3318" s="21">
        <f>IFERROR(INDEX(Produtos!$D$2:$D$71,MATCH(C3318,Produtos!$A$2:$A$71,0)),0)</f>
        <v/>
      </c>
      <c r="Q3318" s="21">
        <f>IFERROR(INDEX(Produtos!$E$2:$E$71,MATCH(C3318,Produtos!$A$2:$A$71,0)),0)</f>
        <v/>
      </c>
      <c r="R3318" s="23">
        <f>D3318*Q3318</f>
        <v/>
      </c>
      <c r="S3318" s="23">
        <f>R3318*E3318</f>
        <v/>
      </c>
      <c r="T3318" s="23">
        <f>(R3318-S3318)*M3318</f>
        <v/>
      </c>
      <c r="U3318" s="23">
        <f>R3318-S3318-T3318</f>
        <v/>
      </c>
      <c r="V3318" s="23">
        <f>D3318*P3318</f>
        <v/>
      </c>
      <c r="W3318" s="23">
        <f>U3318-V3318</f>
        <v/>
      </c>
      <c r="X3318" s="24">
        <f>IFERROR(W3318/U3318,0)</f>
        <v/>
      </c>
    </row>
    <row r="3319">
      <c r="A3319" s="25">
        <f>ItensPedido!A3319</f>
        <v/>
      </c>
      <c r="B3319" s="25">
        <f>ItensPedido!B3319</f>
        <v/>
      </c>
      <c r="C3319" s="25">
        <f>ItensPedido!C3319</f>
        <v/>
      </c>
      <c r="D3319" s="25">
        <f>ItensPedido!D3319</f>
        <v/>
      </c>
      <c r="E3319" s="26">
        <f>ItensPedido!E3319</f>
        <v/>
      </c>
      <c r="F3319" s="25">
        <f>IFERROR(INDEX(Pedidos!$B$2:$B$1801,MATCH(B3319,Pedidos!$A$2:$A$1801,0)),0)</f>
        <v/>
      </c>
      <c r="G3319" s="25">
        <f>IF(F3319=0,"",YEAR(F3319))</f>
        <v/>
      </c>
      <c r="H3319" s="25">
        <f>IF(F3319=0,"",MONTH(F3319))</f>
        <v/>
      </c>
      <c r="I3319" s="25">
        <f>IFERROR(INDEX(Pedidos!$E$2:$E$1801,MATCH(B3319,Pedidos!$A$2:$A$1801,0)),"")</f>
        <v/>
      </c>
      <c r="J3319" s="25">
        <f>IFERROR(INDEX(Pedidos!$C$2:$C$1801,MATCH(B3319,Pedidos!$A$2:$A$1801,0)),"")</f>
        <v/>
      </c>
      <c r="K3319" s="25">
        <f>IFERROR(INDEX(Pedidos!$D$2:$D$1801,MATCH(B3319,Pedidos!$A$2:$A$1801,0)),"")</f>
        <v/>
      </c>
      <c r="L3319" s="25">
        <f>IFERROR(INDEX(Pedidos!$F$2:$F$1801,MATCH(B3319,Pedidos!$A$2:$A$1801,0)),"")</f>
        <v/>
      </c>
      <c r="M3319" s="26">
        <f>IFERROR(INDEX(Pedidos!$G$2:$G$1801,MATCH(B3319,Pedidos!$A$2:$A$1801,0)),0)</f>
        <v/>
      </c>
      <c r="N3319" s="25">
        <f>IFERROR(INDEX(Produtos!$B$2:$B$71,MATCH(C3319,Produtos!$A$2:$A$71,0)),"")</f>
        <v/>
      </c>
      <c r="O3319" s="25">
        <f>IFERROR(INDEX(Produtos!$C$2:$C$71,MATCH(C3319,Produtos!$A$2:$A$71,0)),"")</f>
        <v/>
      </c>
      <c r="P3319" s="25">
        <f>IFERROR(INDEX(Produtos!$D$2:$D$71,MATCH(C3319,Produtos!$A$2:$A$71,0)),0)</f>
        <v/>
      </c>
      <c r="Q3319" s="25">
        <f>IFERROR(INDEX(Produtos!$E$2:$E$71,MATCH(C3319,Produtos!$A$2:$A$71,0)),0)</f>
        <v/>
      </c>
      <c r="R3319" s="27">
        <f>D3319*Q3319</f>
        <v/>
      </c>
      <c r="S3319" s="27">
        <f>R3319*E3319</f>
        <v/>
      </c>
      <c r="T3319" s="27">
        <f>(R3319-S3319)*M3319</f>
        <v/>
      </c>
      <c r="U3319" s="27">
        <f>R3319-S3319-T3319</f>
        <v/>
      </c>
      <c r="V3319" s="27">
        <f>D3319*P3319</f>
        <v/>
      </c>
      <c r="W3319" s="27">
        <f>U3319-V3319</f>
        <v/>
      </c>
      <c r="X3319" s="28">
        <f>IFERROR(W3319/U3319,0)</f>
        <v/>
      </c>
    </row>
    <row r="3320">
      <c r="A3320" s="21">
        <f>ItensPedido!A3320</f>
        <v/>
      </c>
      <c r="B3320" s="21">
        <f>ItensPedido!B3320</f>
        <v/>
      </c>
      <c r="C3320" s="21">
        <f>ItensPedido!C3320</f>
        <v/>
      </c>
      <c r="D3320" s="21">
        <f>ItensPedido!D3320</f>
        <v/>
      </c>
      <c r="E3320" s="22">
        <f>ItensPedido!E3320</f>
        <v/>
      </c>
      <c r="F3320" s="21">
        <f>IFERROR(INDEX(Pedidos!$B$2:$B$1801,MATCH(B3320,Pedidos!$A$2:$A$1801,0)),0)</f>
        <v/>
      </c>
      <c r="G3320" s="21">
        <f>IF(F3320=0,"",YEAR(F3320))</f>
        <v/>
      </c>
      <c r="H3320" s="21">
        <f>IF(F3320=0,"",MONTH(F3320))</f>
        <v/>
      </c>
      <c r="I3320" s="21">
        <f>IFERROR(INDEX(Pedidos!$E$2:$E$1801,MATCH(B3320,Pedidos!$A$2:$A$1801,0)),"")</f>
        <v/>
      </c>
      <c r="J3320" s="21">
        <f>IFERROR(INDEX(Pedidos!$C$2:$C$1801,MATCH(B3320,Pedidos!$A$2:$A$1801,0)),"")</f>
        <v/>
      </c>
      <c r="K3320" s="21">
        <f>IFERROR(INDEX(Pedidos!$D$2:$D$1801,MATCH(B3320,Pedidos!$A$2:$A$1801,0)),"")</f>
        <v/>
      </c>
      <c r="L3320" s="21">
        <f>IFERROR(INDEX(Pedidos!$F$2:$F$1801,MATCH(B3320,Pedidos!$A$2:$A$1801,0)),"")</f>
        <v/>
      </c>
      <c r="M3320" s="22">
        <f>IFERROR(INDEX(Pedidos!$G$2:$G$1801,MATCH(B3320,Pedidos!$A$2:$A$1801,0)),0)</f>
        <v/>
      </c>
      <c r="N3320" s="21">
        <f>IFERROR(INDEX(Produtos!$B$2:$B$71,MATCH(C3320,Produtos!$A$2:$A$71,0)),"")</f>
        <v/>
      </c>
      <c r="O3320" s="21">
        <f>IFERROR(INDEX(Produtos!$C$2:$C$71,MATCH(C3320,Produtos!$A$2:$A$71,0)),"")</f>
        <v/>
      </c>
      <c r="P3320" s="21">
        <f>IFERROR(INDEX(Produtos!$D$2:$D$71,MATCH(C3320,Produtos!$A$2:$A$71,0)),0)</f>
        <v/>
      </c>
      <c r="Q3320" s="21">
        <f>IFERROR(INDEX(Produtos!$E$2:$E$71,MATCH(C3320,Produtos!$A$2:$A$71,0)),0)</f>
        <v/>
      </c>
      <c r="R3320" s="23">
        <f>D3320*Q3320</f>
        <v/>
      </c>
      <c r="S3320" s="23">
        <f>R3320*E3320</f>
        <v/>
      </c>
      <c r="T3320" s="23">
        <f>(R3320-S3320)*M3320</f>
        <v/>
      </c>
      <c r="U3320" s="23">
        <f>R3320-S3320-T3320</f>
        <v/>
      </c>
      <c r="V3320" s="23">
        <f>D3320*P3320</f>
        <v/>
      </c>
      <c r="W3320" s="23">
        <f>U3320-V3320</f>
        <v/>
      </c>
      <c r="X3320" s="24">
        <f>IFERROR(W3320/U3320,0)</f>
        <v/>
      </c>
    </row>
    <row r="3321">
      <c r="A3321" s="25">
        <f>ItensPedido!A3321</f>
        <v/>
      </c>
      <c r="B3321" s="25">
        <f>ItensPedido!B3321</f>
        <v/>
      </c>
      <c r="C3321" s="25">
        <f>ItensPedido!C3321</f>
        <v/>
      </c>
      <c r="D3321" s="25">
        <f>ItensPedido!D3321</f>
        <v/>
      </c>
      <c r="E3321" s="26">
        <f>ItensPedido!E3321</f>
        <v/>
      </c>
      <c r="F3321" s="25">
        <f>IFERROR(INDEX(Pedidos!$B$2:$B$1801,MATCH(B3321,Pedidos!$A$2:$A$1801,0)),0)</f>
        <v/>
      </c>
      <c r="G3321" s="25">
        <f>IF(F3321=0,"",YEAR(F3321))</f>
        <v/>
      </c>
      <c r="H3321" s="25">
        <f>IF(F3321=0,"",MONTH(F3321))</f>
        <v/>
      </c>
      <c r="I3321" s="25">
        <f>IFERROR(INDEX(Pedidos!$E$2:$E$1801,MATCH(B3321,Pedidos!$A$2:$A$1801,0)),"")</f>
        <v/>
      </c>
      <c r="J3321" s="25">
        <f>IFERROR(INDEX(Pedidos!$C$2:$C$1801,MATCH(B3321,Pedidos!$A$2:$A$1801,0)),"")</f>
        <v/>
      </c>
      <c r="K3321" s="25">
        <f>IFERROR(INDEX(Pedidos!$D$2:$D$1801,MATCH(B3321,Pedidos!$A$2:$A$1801,0)),"")</f>
        <v/>
      </c>
      <c r="L3321" s="25">
        <f>IFERROR(INDEX(Pedidos!$F$2:$F$1801,MATCH(B3321,Pedidos!$A$2:$A$1801,0)),"")</f>
        <v/>
      </c>
      <c r="M3321" s="26">
        <f>IFERROR(INDEX(Pedidos!$G$2:$G$1801,MATCH(B3321,Pedidos!$A$2:$A$1801,0)),0)</f>
        <v/>
      </c>
      <c r="N3321" s="25">
        <f>IFERROR(INDEX(Produtos!$B$2:$B$71,MATCH(C3321,Produtos!$A$2:$A$71,0)),"")</f>
        <v/>
      </c>
      <c r="O3321" s="25">
        <f>IFERROR(INDEX(Produtos!$C$2:$C$71,MATCH(C3321,Produtos!$A$2:$A$71,0)),"")</f>
        <v/>
      </c>
      <c r="P3321" s="25">
        <f>IFERROR(INDEX(Produtos!$D$2:$D$71,MATCH(C3321,Produtos!$A$2:$A$71,0)),0)</f>
        <v/>
      </c>
      <c r="Q3321" s="25">
        <f>IFERROR(INDEX(Produtos!$E$2:$E$71,MATCH(C3321,Produtos!$A$2:$A$71,0)),0)</f>
        <v/>
      </c>
      <c r="R3321" s="27">
        <f>D3321*Q3321</f>
        <v/>
      </c>
      <c r="S3321" s="27">
        <f>R3321*E3321</f>
        <v/>
      </c>
      <c r="T3321" s="27">
        <f>(R3321-S3321)*M3321</f>
        <v/>
      </c>
      <c r="U3321" s="27">
        <f>R3321-S3321-T3321</f>
        <v/>
      </c>
      <c r="V3321" s="27">
        <f>D3321*P3321</f>
        <v/>
      </c>
      <c r="W3321" s="27">
        <f>U3321-V3321</f>
        <v/>
      </c>
      <c r="X3321" s="28">
        <f>IFERROR(W3321/U3321,0)</f>
        <v/>
      </c>
    </row>
    <row r="3322">
      <c r="A3322" s="21">
        <f>ItensPedido!A3322</f>
        <v/>
      </c>
      <c r="B3322" s="21">
        <f>ItensPedido!B3322</f>
        <v/>
      </c>
      <c r="C3322" s="21">
        <f>ItensPedido!C3322</f>
        <v/>
      </c>
      <c r="D3322" s="21">
        <f>ItensPedido!D3322</f>
        <v/>
      </c>
      <c r="E3322" s="22">
        <f>ItensPedido!E3322</f>
        <v/>
      </c>
      <c r="F3322" s="21">
        <f>IFERROR(INDEX(Pedidos!$B$2:$B$1801,MATCH(B3322,Pedidos!$A$2:$A$1801,0)),0)</f>
        <v/>
      </c>
      <c r="G3322" s="21">
        <f>IF(F3322=0,"",YEAR(F3322))</f>
        <v/>
      </c>
      <c r="H3322" s="21">
        <f>IF(F3322=0,"",MONTH(F3322))</f>
        <v/>
      </c>
      <c r="I3322" s="21">
        <f>IFERROR(INDEX(Pedidos!$E$2:$E$1801,MATCH(B3322,Pedidos!$A$2:$A$1801,0)),"")</f>
        <v/>
      </c>
      <c r="J3322" s="21">
        <f>IFERROR(INDEX(Pedidos!$C$2:$C$1801,MATCH(B3322,Pedidos!$A$2:$A$1801,0)),"")</f>
        <v/>
      </c>
      <c r="K3322" s="21">
        <f>IFERROR(INDEX(Pedidos!$D$2:$D$1801,MATCH(B3322,Pedidos!$A$2:$A$1801,0)),"")</f>
        <v/>
      </c>
      <c r="L3322" s="21">
        <f>IFERROR(INDEX(Pedidos!$F$2:$F$1801,MATCH(B3322,Pedidos!$A$2:$A$1801,0)),"")</f>
        <v/>
      </c>
      <c r="M3322" s="22">
        <f>IFERROR(INDEX(Pedidos!$G$2:$G$1801,MATCH(B3322,Pedidos!$A$2:$A$1801,0)),0)</f>
        <v/>
      </c>
      <c r="N3322" s="21">
        <f>IFERROR(INDEX(Produtos!$B$2:$B$71,MATCH(C3322,Produtos!$A$2:$A$71,0)),"")</f>
        <v/>
      </c>
      <c r="O3322" s="21">
        <f>IFERROR(INDEX(Produtos!$C$2:$C$71,MATCH(C3322,Produtos!$A$2:$A$71,0)),"")</f>
        <v/>
      </c>
      <c r="P3322" s="21">
        <f>IFERROR(INDEX(Produtos!$D$2:$D$71,MATCH(C3322,Produtos!$A$2:$A$71,0)),0)</f>
        <v/>
      </c>
      <c r="Q3322" s="21">
        <f>IFERROR(INDEX(Produtos!$E$2:$E$71,MATCH(C3322,Produtos!$A$2:$A$71,0)),0)</f>
        <v/>
      </c>
      <c r="R3322" s="23">
        <f>D3322*Q3322</f>
        <v/>
      </c>
      <c r="S3322" s="23">
        <f>R3322*E3322</f>
        <v/>
      </c>
      <c r="T3322" s="23">
        <f>(R3322-S3322)*M3322</f>
        <v/>
      </c>
      <c r="U3322" s="23">
        <f>R3322-S3322-T3322</f>
        <v/>
      </c>
      <c r="V3322" s="23">
        <f>D3322*P3322</f>
        <v/>
      </c>
      <c r="W3322" s="23">
        <f>U3322-V3322</f>
        <v/>
      </c>
      <c r="X3322" s="24">
        <f>IFERROR(W3322/U3322,0)</f>
        <v/>
      </c>
    </row>
    <row r="3323">
      <c r="A3323" s="25">
        <f>ItensPedido!A3323</f>
        <v/>
      </c>
      <c r="B3323" s="25">
        <f>ItensPedido!B3323</f>
        <v/>
      </c>
      <c r="C3323" s="25">
        <f>ItensPedido!C3323</f>
        <v/>
      </c>
      <c r="D3323" s="25">
        <f>ItensPedido!D3323</f>
        <v/>
      </c>
      <c r="E3323" s="26">
        <f>ItensPedido!E3323</f>
        <v/>
      </c>
      <c r="F3323" s="25">
        <f>IFERROR(INDEX(Pedidos!$B$2:$B$1801,MATCH(B3323,Pedidos!$A$2:$A$1801,0)),0)</f>
        <v/>
      </c>
      <c r="G3323" s="25">
        <f>IF(F3323=0,"",YEAR(F3323))</f>
        <v/>
      </c>
      <c r="H3323" s="25">
        <f>IF(F3323=0,"",MONTH(F3323))</f>
        <v/>
      </c>
      <c r="I3323" s="25">
        <f>IFERROR(INDEX(Pedidos!$E$2:$E$1801,MATCH(B3323,Pedidos!$A$2:$A$1801,0)),"")</f>
        <v/>
      </c>
      <c r="J3323" s="25">
        <f>IFERROR(INDEX(Pedidos!$C$2:$C$1801,MATCH(B3323,Pedidos!$A$2:$A$1801,0)),"")</f>
        <v/>
      </c>
      <c r="K3323" s="25">
        <f>IFERROR(INDEX(Pedidos!$D$2:$D$1801,MATCH(B3323,Pedidos!$A$2:$A$1801,0)),"")</f>
        <v/>
      </c>
      <c r="L3323" s="25">
        <f>IFERROR(INDEX(Pedidos!$F$2:$F$1801,MATCH(B3323,Pedidos!$A$2:$A$1801,0)),"")</f>
        <v/>
      </c>
      <c r="M3323" s="26">
        <f>IFERROR(INDEX(Pedidos!$G$2:$G$1801,MATCH(B3323,Pedidos!$A$2:$A$1801,0)),0)</f>
        <v/>
      </c>
      <c r="N3323" s="25">
        <f>IFERROR(INDEX(Produtos!$B$2:$B$71,MATCH(C3323,Produtos!$A$2:$A$71,0)),"")</f>
        <v/>
      </c>
      <c r="O3323" s="25">
        <f>IFERROR(INDEX(Produtos!$C$2:$C$71,MATCH(C3323,Produtos!$A$2:$A$71,0)),"")</f>
        <v/>
      </c>
      <c r="P3323" s="25">
        <f>IFERROR(INDEX(Produtos!$D$2:$D$71,MATCH(C3323,Produtos!$A$2:$A$71,0)),0)</f>
        <v/>
      </c>
      <c r="Q3323" s="25">
        <f>IFERROR(INDEX(Produtos!$E$2:$E$71,MATCH(C3323,Produtos!$A$2:$A$71,0)),0)</f>
        <v/>
      </c>
      <c r="R3323" s="27">
        <f>D3323*Q3323</f>
        <v/>
      </c>
      <c r="S3323" s="27">
        <f>R3323*E3323</f>
        <v/>
      </c>
      <c r="T3323" s="27">
        <f>(R3323-S3323)*M3323</f>
        <v/>
      </c>
      <c r="U3323" s="27">
        <f>R3323-S3323-T3323</f>
        <v/>
      </c>
      <c r="V3323" s="27">
        <f>D3323*P3323</f>
        <v/>
      </c>
      <c r="W3323" s="27">
        <f>U3323-V3323</f>
        <v/>
      </c>
      <c r="X3323" s="28">
        <f>IFERROR(W3323/U3323,0)</f>
        <v/>
      </c>
    </row>
    <row r="3324">
      <c r="A3324" s="21">
        <f>ItensPedido!A3324</f>
        <v/>
      </c>
      <c r="B3324" s="21">
        <f>ItensPedido!B3324</f>
        <v/>
      </c>
      <c r="C3324" s="21">
        <f>ItensPedido!C3324</f>
        <v/>
      </c>
      <c r="D3324" s="21">
        <f>ItensPedido!D3324</f>
        <v/>
      </c>
      <c r="E3324" s="22">
        <f>ItensPedido!E3324</f>
        <v/>
      </c>
      <c r="F3324" s="21">
        <f>IFERROR(INDEX(Pedidos!$B$2:$B$1801,MATCH(B3324,Pedidos!$A$2:$A$1801,0)),0)</f>
        <v/>
      </c>
      <c r="G3324" s="21">
        <f>IF(F3324=0,"",YEAR(F3324))</f>
        <v/>
      </c>
      <c r="H3324" s="21">
        <f>IF(F3324=0,"",MONTH(F3324))</f>
        <v/>
      </c>
      <c r="I3324" s="21">
        <f>IFERROR(INDEX(Pedidos!$E$2:$E$1801,MATCH(B3324,Pedidos!$A$2:$A$1801,0)),"")</f>
        <v/>
      </c>
      <c r="J3324" s="21">
        <f>IFERROR(INDEX(Pedidos!$C$2:$C$1801,MATCH(B3324,Pedidos!$A$2:$A$1801,0)),"")</f>
        <v/>
      </c>
      <c r="K3324" s="21">
        <f>IFERROR(INDEX(Pedidos!$D$2:$D$1801,MATCH(B3324,Pedidos!$A$2:$A$1801,0)),"")</f>
        <v/>
      </c>
      <c r="L3324" s="21">
        <f>IFERROR(INDEX(Pedidos!$F$2:$F$1801,MATCH(B3324,Pedidos!$A$2:$A$1801,0)),"")</f>
        <v/>
      </c>
      <c r="M3324" s="22">
        <f>IFERROR(INDEX(Pedidos!$G$2:$G$1801,MATCH(B3324,Pedidos!$A$2:$A$1801,0)),0)</f>
        <v/>
      </c>
      <c r="N3324" s="21">
        <f>IFERROR(INDEX(Produtos!$B$2:$B$71,MATCH(C3324,Produtos!$A$2:$A$71,0)),"")</f>
        <v/>
      </c>
      <c r="O3324" s="21">
        <f>IFERROR(INDEX(Produtos!$C$2:$C$71,MATCH(C3324,Produtos!$A$2:$A$71,0)),"")</f>
        <v/>
      </c>
      <c r="P3324" s="21">
        <f>IFERROR(INDEX(Produtos!$D$2:$D$71,MATCH(C3324,Produtos!$A$2:$A$71,0)),0)</f>
        <v/>
      </c>
      <c r="Q3324" s="21">
        <f>IFERROR(INDEX(Produtos!$E$2:$E$71,MATCH(C3324,Produtos!$A$2:$A$71,0)),0)</f>
        <v/>
      </c>
      <c r="R3324" s="23">
        <f>D3324*Q3324</f>
        <v/>
      </c>
      <c r="S3324" s="23">
        <f>R3324*E3324</f>
        <v/>
      </c>
      <c r="T3324" s="23">
        <f>(R3324-S3324)*M3324</f>
        <v/>
      </c>
      <c r="U3324" s="23">
        <f>R3324-S3324-T3324</f>
        <v/>
      </c>
      <c r="V3324" s="23">
        <f>D3324*P3324</f>
        <v/>
      </c>
      <c r="W3324" s="23">
        <f>U3324-V3324</f>
        <v/>
      </c>
      <c r="X3324" s="24">
        <f>IFERROR(W3324/U3324,0)</f>
        <v/>
      </c>
    </row>
    <row r="3325">
      <c r="A3325" s="25">
        <f>ItensPedido!A3325</f>
        <v/>
      </c>
      <c r="B3325" s="25">
        <f>ItensPedido!B3325</f>
        <v/>
      </c>
      <c r="C3325" s="25">
        <f>ItensPedido!C3325</f>
        <v/>
      </c>
      <c r="D3325" s="25">
        <f>ItensPedido!D3325</f>
        <v/>
      </c>
      <c r="E3325" s="26">
        <f>ItensPedido!E3325</f>
        <v/>
      </c>
      <c r="F3325" s="25">
        <f>IFERROR(INDEX(Pedidos!$B$2:$B$1801,MATCH(B3325,Pedidos!$A$2:$A$1801,0)),0)</f>
        <v/>
      </c>
      <c r="G3325" s="25">
        <f>IF(F3325=0,"",YEAR(F3325))</f>
        <v/>
      </c>
      <c r="H3325" s="25">
        <f>IF(F3325=0,"",MONTH(F3325))</f>
        <v/>
      </c>
      <c r="I3325" s="25">
        <f>IFERROR(INDEX(Pedidos!$E$2:$E$1801,MATCH(B3325,Pedidos!$A$2:$A$1801,0)),"")</f>
        <v/>
      </c>
      <c r="J3325" s="25">
        <f>IFERROR(INDEX(Pedidos!$C$2:$C$1801,MATCH(B3325,Pedidos!$A$2:$A$1801,0)),"")</f>
        <v/>
      </c>
      <c r="K3325" s="25">
        <f>IFERROR(INDEX(Pedidos!$D$2:$D$1801,MATCH(B3325,Pedidos!$A$2:$A$1801,0)),"")</f>
        <v/>
      </c>
      <c r="L3325" s="25">
        <f>IFERROR(INDEX(Pedidos!$F$2:$F$1801,MATCH(B3325,Pedidos!$A$2:$A$1801,0)),"")</f>
        <v/>
      </c>
      <c r="M3325" s="26">
        <f>IFERROR(INDEX(Pedidos!$G$2:$G$1801,MATCH(B3325,Pedidos!$A$2:$A$1801,0)),0)</f>
        <v/>
      </c>
      <c r="N3325" s="25">
        <f>IFERROR(INDEX(Produtos!$B$2:$B$71,MATCH(C3325,Produtos!$A$2:$A$71,0)),"")</f>
        <v/>
      </c>
      <c r="O3325" s="25">
        <f>IFERROR(INDEX(Produtos!$C$2:$C$71,MATCH(C3325,Produtos!$A$2:$A$71,0)),"")</f>
        <v/>
      </c>
      <c r="P3325" s="25">
        <f>IFERROR(INDEX(Produtos!$D$2:$D$71,MATCH(C3325,Produtos!$A$2:$A$71,0)),0)</f>
        <v/>
      </c>
      <c r="Q3325" s="25">
        <f>IFERROR(INDEX(Produtos!$E$2:$E$71,MATCH(C3325,Produtos!$A$2:$A$71,0)),0)</f>
        <v/>
      </c>
      <c r="R3325" s="27">
        <f>D3325*Q3325</f>
        <v/>
      </c>
      <c r="S3325" s="27">
        <f>R3325*E3325</f>
        <v/>
      </c>
      <c r="T3325" s="27">
        <f>(R3325-S3325)*M3325</f>
        <v/>
      </c>
      <c r="U3325" s="27">
        <f>R3325-S3325-T3325</f>
        <v/>
      </c>
      <c r="V3325" s="27">
        <f>D3325*P3325</f>
        <v/>
      </c>
      <c r="W3325" s="27">
        <f>U3325-V3325</f>
        <v/>
      </c>
      <c r="X3325" s="28">
        <f>IFERROR(W3325/U3325,0)</f>
        <v/>
      </c>
    </row>
    <row r="3326">
      <c r="A3326" s="21">
        <f>ItensPedido!A3326</f>
        <v/>
      </c>
      <c r="B3326" s="21">
        <f>ItensPedido!B3326</f>
        <v/>
      </c>
      <c r="C3326" s="21">
        <f>ItensPedido!C3326</f>
        <v/>
      </c>
      <c r="D3326" s="21">
        <f>ItensPedido!D3326</f>
        <v/>
      </c>
      <c r="E3326" s="22">
        <f>ItensPedido!E3326</f>
        <v/>
      </c>
      <c r="F3326" s="21">
        <f>IFERROR(INDEX(Pedidos!$B$2:$B$1801,MATCH(B3326,Pedidos!$A$2:$A$1801,0)),0)</f>
        <v/>
      </c>
      <c r="G3326" s="21">
        <f>IF(F3326=0,"",YEAR(F3326))</f>
        <v/>
      </c>
      <c r="H3326" s="21">
        <f>IF(F3326=0,"",MONTH(F3326))</f>
        <v/>
      </c>
      <c r="I3326" s="21">
        <f>IFERROR(INDEX(Pedidos!$E$2:$E$1801,MATCH(B3326,Pedidos!$A$2:$A$1801,0)),"")</f>
        <v/>
      </c>
      <c r="J3326" s="21">
        <f>IFERROR(INDEX(Pedidos!$C$2:$C$1801,MATCH(B3326,Pedidos!$A$2:$A$1801,0)),"")</f>
        <v/>
      </c>
      <c r="K3326" s="21">
        <f>IFERROR(INDEX(Pedidos!$D$2:$D$1801,MATCH(B3326,Pedidos!$A$2:$A$1801,0)),"")</f>
        <v/>
      </c>
      <c r="L3326" s="21">
        <f>IFERROR(INDEX(Pedidos!$F$2:$F$1801,MATCH(B3326,Pedidos!$A$2:$A$1801,0)),"")</f>
        <v/>
      </c>
      <c r="M3326" s="22">
        <f>IFERROR(INDEX(Pedidos!$G$2:$G$1801,MATCH(B3326,Pedidos!$A$2:$A$1801,0)),0)</f>
        <v/>
      </c>
      <c r="N3326" s="21">
        <f>IFERROR(INDEX(Produtos!$B$2:$B$71,MATCH(C3326,Produtos!$A$2:$A$71,0)),"")</f>
        <v/>
      </c>
      <c r="O3326" s="21">
        <f>IFERROR(INDEX(Produtos!$C$2:$C$71,MATCH(C3326,Produtos!$A$2:$A$71,0)),"")</f>
        <v/>
      </c>
      <c r="P3326" s="21">
        <f>IFERROR(INDEX(Produtos!$D$2:$D$71,MATCH(C3326,Produtos!$A$2:$A$71,0)),0)</f>
        <v/>
      </c>
      <c r="Q3326" s="21">
        <f>IFERROR(INDEX(Produtos!$E$2:$E$71,MATCH(C3326,Produtos!$A$2:$A$71,0)),0)</f>
        <v/>
      </c>
      <c r="R3326" s="23">
        <f>D3326*Q3326</f>
        <v/>
      </c>
      <c r="S3326" s="23">
        <f>R3326*E3326</f>
        <v/>
      </c>
      <c r="T3326" s="23">
        <f>(R3326-S3326)*M3326</f>
        <v/>
      </c>
      <c r="U3326" s="23">
        <f>R3326-S3326-T3326</f>
        <v/>
      </c>
      <c r="V3326" s="23">
        <f>D3326*P3326</f>
        <v/>
      </c>
      <c r="W3326" s="23">
        <f>U3326-V3326</f>
        <v/>
      </c>
      <c r="X3326" s="24">
        <f>IFERROR(W3326/U3326,0)</f>
        <v/>
      </c>
    </row>
    <row r="3327">
      <c r="A3327" s="25">
        <f>ItensPedido!A3327</f>
        <v/>
      </c>
      <c r="B3327" s="25">
        <f>ItensPedido!B3327</f>
        <v/>
      </c>
      <c r="C3327" s="25">
        <f>ItensPedido!C3327</f>
        <v/>
      </c>
      <c r="D3327" s="25">
        <f>ItensPedido!D3327</f>
        <v/>
      </c>
      <c r="E3327" s="26">
        <f>ItensPedido!E3327</f>
        <v/>
      </c>
      <c r="F3327" s="25">
        <f>IFERROR(INDEX(Pedidos!$B$2:$B$1801,MATCH(B3327,Pedidos!$A$2:$A$1801,0)),0)</f>
        <v/>
      </c>
      <c r="G3327" s="25">
        <f>IF(F3327=0,"",YEAR(F3327))</f>
        <v/>
      </c>
      <c r="H3327" s="25">
        <f>IF(F3327=0,"",MONTH(F3327))</f>
        <v/>
      </c>
      <c r="I3327" s="25">
        <f>IFERROR(INDEX(Pedidos!$E$2:$E$1801,MATCH(B3327,Pedidos!$A$2:$A$1801,0)),"")</f>
        <v/>
      </c>
      <c r="J3327" s="25">
        <f>IFERROR(INDEX(Pedidos!$C$2:$C$1801,MATCH(B3327,Pedidos!$A$2:$A$1801,0)),"")</f>
        <v/>
      </c>
      <c r="K3327" s="25">
        <f>IFERROR(INDEX(Pedidos!$D$2:$D$1801,MATCH(B3327,Pedidos!$A$2:$A$1801,0)),"")</f>
        <v/>
      </c>
      <c r="L3327" s="25">
        <f>IFERROR(INDEX(Pedidos!$F$2:$F$1801,MATCH(B3327,Pedidos!$A$2:$A$1801,0)),"")</f>
        <v/>
      </c>
      <c r="M3327" s="26">
        <f>IFERROR(INDEX(Pedidos!$G$2:$G$1801,MATCH(B3327,Pedidos!$A$2:$A$1801,0)),0)</f>
        <v/>
      </c>
      <c r="N3327" s="25">
        <f>IFERROR(INDEX(Produtos!$B$2:$B$71,MATCH(C3327,Produtos!$A$2:$A$71,0)),"")</f>
        <v/>
      </c>
      <c r="O3327" s="25">
        <f>IFERROR(INDEX(Produtos!$C$2:$C$71,MATCH(C3327,Produtos!$A$2:$A$71,0)),"")</f>
        <v/>
      </c>
      <c r="P3327" s="25">
        <f>IFERROR(INDEX(Produtos!$D$2:$D$71,MATCH(C3327,Produtos!$A$2:$A$71,0)),0)</f>
        <v/>
      </c>
      <c r="Q3327" s="25">
        <f>IFERROR(INDEX(Produtos!$E$2:$E$71,MATCH(C3327,Produtos!$A$2:$A$71,0)),0)</f>
        <v/>
      </c>
      <c r="R3327" s="27">
        <f>D3327*Q3327</f>
        <v/>
      </c>
      <c r="S3327" s="27">
        <f>R3327*E3327</f>
        <v/>
      </c>
      <c r="T3327" s="27">
        <f>(R3327-S3327)*M3327</f>
        <v/>
      </c>
      <c r="U3327" s="27">
        <f>R3327-S3327-T3327</f>
        <v/>
      </c>
      <c r="V3327" s="27">
        <f>D3327*P3327</f>
        <v/>
      </c>
      <c r="W3327" s="27">
        <f>U3327-V3327</f>
        <v/>
      </c>
      <c r="X3327" s="28">
        <f>IFERROR(W3327/U3327,0)</f>
        <v/>
      </c>
    </row>
    <row r="3328">
      <c r="A3328" s="21">
        <f>ItensPedido!A3328</f>
        <v/>
      </c>
      <c r="B3328" s="21">
        <f>ItensPedido!B3328</f>
        <v/>
      </c>
      <c r="C3328" s="21">
        <f>ItensPedido!C3328</f>
        <v/>
      </c>
      <c r="D3328" s="21">
        <f>ItensPedido!D3328</f>
        <v/>
      </c>
      <c r="E3328" s="22">
        <f>ItensPedido!E3328</f>
        <v/>
      </c>
      <c r="F3328" s="21">
        <f>IFERROR(INDEX(Pedidos!$B$2:$B$1801,MATCH(B3328,Pedidos!$A$2:$A$1801,0)),0)</f>
        <v/>
      </c>
      <c r="G3328" s="21">
        <f>IF(F3328=0,"",YEAR(F3328))</f>
        <v/>
      </c>
      <c r="H3328" s="21">
        <f>IF(F3328=0,"",MONTH(F3328))</f>
        <v/>
      </c>
      <c r="I3328" s="21">
        <f>IFERROR(INDEX(Pedidos!$E$2:$E$1801,MATCH(B3328,Pedidos!$A$2:$A$1801,0)),"")</f>
        <v/>
      </c>
      <c r="J3328" s="21">
        <f>IFERROR(INDEX(Pedidos!$C$2:$C$1801,MATCH(B3328,Pedidos!$A$2:$A$1801,0)),"")</f>
        <v/>
      </c>
      <c r="K3328" s="21">
        <f>IFERROR(INDEX(Pedidos!$D$2:$D$1801,MATCH(B3328,Pedidos!$A$2:$A$1801,0)),"")</f>
        <v/>
      </c>
      <c r="L3328" s="21">
        <f>IFERROR(INDEX(Pedidos!$F$2:$F$1801,MATCH(B3328,Pedidos!$A$2:$A$1801,0)),"")</f>
        <v/>
      </c>
      <c r="M3328" s="22">
        <f>IFERROR(INDEX(Pedidos!$G$2:$G$1801,MATCH(B3328,Pedidos!$A$2:$A$1801,0)),0)</f>
        <v/>
      </c>
      <c r="N3328" s="21">
        <f>IFERROR(INDEX(Produtos!$B$2:$B$71,MATCH(C3328,Produtos!$A$2:$A$71,0)),"")</f>
        <v/>
      </c>
      <c r="O3328" s="21">
        <f>IFERROR(INDEX(Produtos!$C$2:$C$71,MATCH(C3328,Produtos!$A$2:$A$71,0)),"")</f>
        <v/>
      </c>
      <c r="P3328" s="21">
        <f>IFERROR(INDEX(Produtos!$D$2:$D$71,MATCH(C3328,Produtos!$A$2:$A$71,0)),0)</f>
        <v/>
      </c>
      <c r="Q3328" s="21">
        <f>IFERROR(INDEX(Produtos!$E$2:$E$71,MATCH(C3328,Produtos!$A$2:$A$71,0)),0)</f>
        <v/>
      </c>
      <c r="R3328" s="23">
        <f>D3328*Q3328</f>
        <v/>
      </c>
      <c r="S3328" s="23">
        <f>R3328*E3328</f>
        <v/>
      </c>
      <c r="T3328" s="23">
        <f>(R3328-S3328)*M3328</f>
        <v/>
      </c>
      <c r="U3328" s="23">
        <f>R3328-S3328-T3328</f>
        <v/>
      </c>
      <c r="V3328" s="23">
        <f>D3328*P3328</f>
        <v/>
      </c>
      <c r="W3328" s="23">
        <f>U3328-V3328</f>
        <v/>
      </c>
      <c r="X3328" s="24">
        <f>IFERROR(W3328/U3328,0)</f>
        <v/>
      </c>
    </row>
    <row r="3329">
      <c r="A3329" s="25">
        <f>ItensPedido!A3329</f>
        <v/>
      </c>
      <c r="B3329" s="25">
        <f>ItensPedido!B3329</f>
        <v/>
      </c>
      <c r="C3329" s="25">
        <f>ItensPedido!C3329</f>
        <v/>
      </c>
      <c r="D3329" s="25">
        <f>ItensPedido!D3329</f>
        <v/>
      </c>
      <c r="E3329" s="26">
        <f>ItensPedido!E3329</f>
        <v/>
      </c>
      <c r="F3329" s="25">
        <f>IFERROR(INDEX(Pedidos!$B$2:$B$1801,MATCH(B3329,Pedidos!$A$2:$A$1801,0)),0)</f>
        <v/>
      </c>
      <c r="G3329" s="25">
        <f>IF(F3329=0,"",YEAR(F3329))</f>
        <v/>
      </c>
      <c r="H3329" s="25">
        <f>IF(F3329=0,"",MONTH(F3329))</f>
        <v/>
      </c>
      <c r="I3329" s="25">
        <f>IFERROR(INDEX(Pedidos!$E$2:$E$1801,MATCH(B3329,Pedidos!$A$2:$A$1801,0)),"")</f>
        <v/>
      </c>
      <c r="J3329" s="25">
        <f>IFERROR(INDEX(Pedidos!$C$2:$C$1801,MATCH(B3329,Pedidos!$A$2:$A$1801,0)),"")</f>
        <v/>
      </c>
      <c r="K3329" s="25">
        <f>IFERROR(INDEX(Pedidos!$D$2:$D$1801,MATCH(B3329,Pedidos!$A$2:$A$1801,0)),"")</f>
        <v/>
      </c>
      <c r="L3329" s="25">
        <f>IFERROR(INDEX(Pedidos!$F$2:$F$1801,MATCH(B3329,Pedidos!$A$2:$A$1801,0)),"")</f>
        <v/>
      </c>
      <c r="M3329" s="26">
        <f>IFERROR(INDEX(Pedidos!$G$2:$G$1801,MATCH(B3329,Pedidos!$A$2:$A$1801,0)),0)</f>
        <v/>
      </c>
      <c r="N3329" s="25">
        <f>IFERROR(INDEX(Produtos!$B$2:$B$71,MATCH(C3329,Produtos!$A$2:$A$71,0)),"")</f>
        <v/>
      </c>
      <c r="O3329" s="25">
        <f>IFERROR(INDEX(Produtos!$C$2:$C$71,MATCH(C3329,Produtos!$A$2:$A$71,0)),"")</f>
        <v/>
      </c>
      <c r="P3329" s="25">
        <f>IFERROR(INDEX(Produtos!$D$2:$D$71,MATCH(C3329,Produtos!$A$2:$A$71,0)),0)</f>
        <v/>
      </c>
      <c r="Q3329" s="25">
        <f>IFERROR(INDEX(Produtos!$E$2:$E$71,MATCH(C3329,Produtos!$A$2:$A$71,0)),0)</f>
        <v/>
      </c>
      <c r="R3329" s="27">
        <f>D3329*Q3329</f>
        <v/>
      </c>
      <c r="S3329" s="27">
        <f>R3329*E3329</f>
        <v/>
      </c>
      <c r="T3329" s="27">
        <f>(R3329-S3329)*M3329</f>
        <v/>
      </c>
      <c r="U3329" s="27">
        <f>R3329-S3329-T3329</f>
        <v/>
      </c>
      <c r="V3329" s="27">
        <f>D3329*P3329</f>
        <v/>
      </c>
      <c r="W3329" s="27">
        <f>U3329-V3329</f>
        <v/>
      </c>
      <c r="X3329" s="28">
        <f>IFERROR(W3329/U3329,0)</f>
        <v/>
      </c>
    </row>
    <row r="3330">
      <c r="A3330" s="21">
        <f>ItensPedido!A3330</f>
        <v/>
      </c>
      <c r="B3330" s="21">
        <f>ItensPedido!B3330</f>
        <v/>
      </c>
      <c r="C3330" s="21">
        <f>ItensPedido!C3330</f>
        <v/>
      </c>
      <c r="D3330" s="21">
        <f>ItensPedido!D3330</f>
        <v/>
      </c>
      <c r="E3330" s="22">
        <f>ItensPedido!E3330</f>
        <v/>
      </c>
      <c r="F3330" s="21">
        <f>IFERROR(INDEX(Pedidos!$B$2:$B$1801,MATCH(B3330,Pedidos!$A$2:$A$1801,0)),0)</f>
        <v/>
      </c>
      <c r="G3330" s="21">
        <f>IF(F3330=0,"",YEAR(F3330))</f>
        <v/>
      </c>
      <c r="H3330" s="21">
        <f>IF(F3330=0,"",MONTH(F3330))</f>
        <v/>
      </c>
      <c r="I3330" s="21">
        <f>IFERROR(INDEX(Pedidos!$E$2:$E$1801,MATCH(B3330,Pedidos!$A$2:$A$1801,0)),"")</f>
        <v/>
      </c>
      <c r="J3330" s="21">
        <f>IFERROR(INDEX(Pedidos!$C$2:$C$1801,MATCH(B3330,Pedidos!$A$2:$A$1801,0)),"")</f>
        <v/>
      </c>
      <c r="K3330" s="21">
        <f>IFERROR(INDEX(Pedidos!$D$2:$D$1801,MATCH(B3330,Pedidos!$A$2:$A$1801,0)),"")</f>
        <v/>
      </c>
      <c r="L3330" s="21">
        <f>IFERROR(INDEX(Pedidos!$F$2:$F$1801,MATCH(B3330,Pedidos!$A$2:$A$1801,0)),"")</f>
        <v/>
      </c>
      <c r="M3330" s="22">
        <f>IFERROR(INDEX(Pedidos!$G$2:$G$1801,MATCH(B3330,Pedidos!$A$2:$A$1801,0)),0)</f>
        <v/>
      </c>
      <c r="N3330" s="21">
        <f>IFERROR(INDEX(Produtos!$B$2:$B$71,MATCH(C3330,Produtos!$A$2:$A$71,0)),"")</f>
        <v/>
      </c>
      <c r="O3330" s="21">
        <f>IFERROR(INDEX(Produtos!$C$2:$C$71,MATCH(C3330,Produtos!$A$2:$A$71,0)),"")</f>
        <v/>
      </c>
      <c r="P3330" s="21">
        <f>IFERROR(INDEX(Produtos!$D$2:$D$71,MATCH(C3330,Produtos!$A$2:$A$71,0)),0)</f>
        <v/>
      </c>
      <c r="Q3330" s="21">
        <f>IFERROR(INDEX(Produtos!$E$2:$E$71,MATCH(C3330,Produtos!$A$2:$A$71,0)),0)</f>
        <v/>
      </c>
      <c r="R3330" s="23">
        <f>D3330*Q3330</f>
        <v/>
      </c>
      <c r="S3330" s="23">
        <f>R3330*E3330</f>
        <v/>
      </c>
      <c r="T3330" s="23">
        <f>(R3330-S3330)*M3330</f>
        <v/>
      </c>
      <c r="U3330" s="23">
        <f>R3330-S3330-T3330</f>
        <v/>
      </c>
      <c r="V3330" s="23">
        <f>D3330*P3330</f>
        <v/>
      </c>
      <c r="W3330" s="23">
        <f>U3330-V3330</f>
        <v/>
      </c>
      <c r="X3330" s="24">
        <f>IFERROR(W3330/U3330,0)</f>
        <v/>
      </c>
    </row>
    <row r="3331">
      <c r="A3331" s="25">
        <f>ItensPedido!A3331</f>
        <v/>
      </c>
      <c r="B3331" s="25">
        <f>ItensPedido!B3331</f>
        <v/>
      </c>
      <c r="C3331" s="25">
        <f>ItensPedido!C3331</f>
        <v/>
      </c>
      <c r="D3331" s="25">
        <f>ItensPedido!D3331</f>
        <v/>
      </c>
      <c r="E3331" s="26">
        <f>ItensPedido!E3331</f>
        <v/>
      </c>
      <c r="F3331" s="25">
        <f>IFERROR(INDEX(Pedidos!$B$2:$B$1801,MATCH(B3331,Pedidos!$A$2:$A$1801,0)),0)</f>
        <v/>
      </c>
      <c r="G3331" s="25">
        <f>IF(F3331=0,"",YEAR(F3331))</f>
        <v/>
      </c>
      <c r="H3331" s="25">
        <f>IF(F3331=0,"",MONTH(F3331))</f>
        <v/>
      </c>
      <c r="I3331" s="25">
        <f>IFERROR(INDEX(Pedidos!$E$2:$E$1801,MATCH(B3331,Pedidos!$A$2:$A$1801,0)),"")</f>
        <v/>
      </c>
      <c r="J3331" s="25">
        <f>IFERROR(INDEX(Pedidos!$C$2:$C$1801,MATCH(B3331,Pedidos!$A$2:$A$1801,0)),"")</f>
        <v/>
      </c>
      <c r="K3331" s="25">
        <f>IFERROR(INDEX(Pedidos!$D$2:$D$1801,MATCH(B3331,Pedidos!$A$2:$A$1801,0)),"")</f>
        <v/>
      </c>
      <c r="L3331" s="25">
        <f>IFERROR(INDEX(Pedidos!$F$2:$F$1801,MATCH(B3331,Pedidos!$A$2:$A$1801,0)),"")</f>
        <v/>
      </c>
      <c r="M3331" s="26">
        <f>IFERROR(INDEX(Pedidos!$G$2:$G$1801,MATCH(B3331,Pedidos!$A$2:$A$1801,0)),0)</f>
        <v/>
      </c>
      <c r="N3331" s="25">
        <f>IFERROR(INDEX(Produtos!$B$2:$B$71,MATCH(C3331,Produtos!$A$2:$A$71,0)),"")</f>
        <v/>
      </c>
      <c r="O3331" s="25">
        <f>IFERROR(INDEX(Produtos!$C$2:$C$71,MATCH(C3331,Produtos!$A$2:$A$71,0)),"")</f>
        <v/>
      </c>
      <c r="P3331" s="25">
        <f>IFERROR(INDEX(Produtos!$D$2:$D$71,MATCH(C3331,Produtos!$A$2:$A$71,0)),0)</f>
        <v/>
      </c>
      <c r="Q3331" s="25">
        <f>IFERROR(INDEX(Produtos!$E$2:$E$71,MATCH(C3331,Produtos!$A$2:$A$71,0)),0)</f>
        <v/>
      </c>
      <c r="R3331" s="27">
        <f>D3331*Q3331</f>
        <v/>
      </c>
      <c r="S3331" s="27">
        <f>R3331*E3331</f>
        <v/>
      </c>
      <c r="T3331" s="27">
        <f>(R3331-S3331)*M3331</f>
        <v/>
      </c>
      <c r="U3331" s="27">
        <f>R3331-S3331-T3331</f>
        <v/>
      </c>
      <c r="V3331" s="27">
        <f>D3331*P3331</f>
        <v/>
      </c>
      <c r="W3331" s="27">
        <f>U3331-V3331</f>
        <v/>
      </c>
      <c r="X3331" s="28">
        <f>IFERROR(W3331/U3331,0)</f>
        <v/>
      </c>
    </row>
    <row r="3332">
      <c r="A3332" s="21">
        <f>ItensPedido!A3332</f>
        <v/>
      </c>
      <c r="B3332" s="21">
        <f>ItensPedido!B3332</f>
        <v/>
      </c>
      <c r="C3332" s="21">
        <f>ItensPedido!C3332</f>
        <v/>
      </c>
      <c r="D3332" s="21">
        <f>ItensPedido!D3332</f>
        <v/>
      </c>
      <c r="E3332" s="22">
        <f>ItensPedido!E3332</f>
        <v/>
      </c>
      <c r="F3332" s="21">
        <f>IFERROR(INDEX(Pedidos!$B$2:$B$1801,MATCH(B3332,Pedidos!$A$2:$A$1801,0)),0)</f>
        <v/>
      </c>
      <c r="G3332" s="21">
        <f>IF(F3332=0,"",YEAR(F3332))</f>
        <v/>
      </c>
      <c r="H3332" s="21">
        <f>IF(F3332=0,"",MONTH(F3332))</f>
        <v/>
      </c>
      <c r="I3332" s="21">
        <f>IFERROR(INDEX(Pedidos!$E$2:$E$1801,MATCH(B3332,Pedidos!$A$2:$A$1801,0)),"")</f>
        <v/>
      </c>
      <c r="J3332" s="21">
        <f>IFERROR(INDEX(Pedidos!$C$2:$C$1801,MATCH(B3332,Pedidos!$A$2:$A$1801,0)),"")</f>
        <v/>
      </c>
      <c r="K3332" s="21">
        <f>IFERROR(INDEX(Pedidos!$D$2:$D$1801,MATCH(B3332,Pedidos!$A$2:$A$1801,0)),"")</f>
        <v/>
      </c>
      <c r="L3332" s="21">
        <f>IFERROR(INDEX(Pedidos!$F$2:$F$1801,MATCH(B3332,Pedidos!$A$2:$A$1801,0)),"")</f>
        <v/>
      </c>
      <c r="M3332" s="22">
        <f>IFERROR(INDEX(Pedidos!$G$2:$G$1801,MATCH(B3332,Pedidos!$A$2:$A$1801,0)),0)</f>
        <v/>
      </c>
      <c r="N3332" s="21">
        <f>IFERROR(INDEX(Produtos!$B$2:$B$71,MATCH(C3332,Produtos!$A$2:$A$71,0)),"")</f>
        <v/>
      </c>
      <c r="O3332" s="21">
        <f>IFERROR(INDEX(Produtos!$C$2:$C$71,MATCH(C3332,Produtos!$A$2:$A$71,0)),"")</f>
        <v/>
      </c>
      <c r="P3332" s="21">
        <f>IFERROR(INDEX(Produtos!$D$2:$D$71,MATCH(C3332,Produtos!$A$2:$A$71,0)),0)</f>
        <v/>
      </c>
      <c r="Q3332" s="21">
        <f>IFERROR(INDEX(Produtos!$E$2:$E$71,MATCH(C3332,Produtos!$A$2:$A$71,0)),0)</f>
        <v/>
      </c>
      <c r="R3332" s="23">
        <f>D3332*Q3332</f>
        <v/>
      </c>
      <c r="S3332" s="23">
        <f>R3332*E3332</f>
        <v/>
      </c>
      <c r="T3332" s="23">
        <f>(R3332-S3332)*M3332</f>
        <v/>
      </c>
      <c r="U3332" s="23">
        <f>R3332-S3332-T3332</f>
        <v/>
      </c>
      <c r="V3332" s="23">
        <f>D3332*P3332</f>
        <v/>
      </c>
      <c r="W3332" s="23">
        <f>U3332-V3332</f>
        <v/>
      </c>
      <c r="X3332" s="24">
        <f>IFERROR(W3332/U3332,0)</f>
        <v/>
      </c>
    </row>
    <row r="3333">
      <c r="A3333" s="25">
        <f>ItensPedido!A3333</f>
        <v/>
      </c>
      <c r="B3333" s="25">
        <f>ItensPedido!B3333</f>
        <v/>
      </c>
      <c r="C3333" s="25">
        <f>ItensPedido!C3333</f>
        <v/>
      </c>
      <c r="D3333" s="25">
        <f>ItensPedido!D3333</f>
        <v/>
      </c>
      <c r="E3333" s="26">
        <f>ItensPedido!E3333</f>
        <v/>
      </c>
      <c r="F3333" s="25">
        <f>IFERROR(INDEX(Pedidos!$B$2:$B$1801,MATCH(B3333,Pedidos!$A$2:$A$1801,0)),0)</f>
        <v/>
      </c>
      <c r="G3333" s="25">
        <f>IF(F3333=0,"",YEAR(F3333))</f>
        <v/>
      </c>
      <c r="H3333" s="25">
        <f>IF(F3333=0,"",MONTH(F3333))</f>
        <v/>
      </c>
      <c r="I3333" s="25">
        <f>IFERROR(INDEX(Pedidos!$E$2:$E$1801,MATCH(B3333,Pedidos!$A$2:$A$1801,0)),"")</f>
        <v/>
      </c>
      <c r="J3333" s="25">
        <f>IFERROR(INDEX(Pedidos!$C$2:$C$1801,MATCH(B3333,Pedidos!$A$2:$A$1801,0)),"")</f>
        <v/>
      </c>
      <c r="K3333" s="25">
        <f>IFERROR(INDEX(Pedidos!$D$2:$D$1801,MATCH(B3333,Pedidos!$A$2:$A$1801,0)),"")</f>
        <v/>
      </c>
      <c r="L3333" s="25">
        <f>IFERROR(INDEX(Pedidos!$F$2:$F$1801,MATCH(B3333,Pedidos!$A$2:$A$1801,0)),"")</f>
        <v/>
      </c>
      <c r="M3333" s="26">
        <f>IFERROR(INDEX(Pedidos!$G$2:$G$1801,MATCH(B3333,Pedidos!$A$2:$A$1801,0)),0)</f>
        <v/>
      </c>
      <c r="N3333" s="25">
        <f>IFERROR(INDEX(Produtos!$B$2:$B$71,MATCH(C3333,Produtos!$A$2:$A$71,0)),"")</f>
        <v/>
      </c>
      <c r="O3333" s="25">
        <f>IFERROR(INDEX(Produtos!$C$2:$C$71,MATCH(C3333,Produtos!$A$2:$A$71,0)),"")</f>
        <v/>
      </c>
      <c r="P3333" s="25">
        <f>IFERROR(INDEX(Produtos!$D$2:$D$71,MATCH(C3333,Produtos!$A$2:$A$71,0)),0)</f>
        <v/>
      </c>
      <c r="Q3333" s="25">
        <f>IFERROR(INDEX(Produtos!$E$2:$E$71,MATCH(C3333,Produtos!$A$2:$A$71,0)),0)</f>
        <v/>
      </c>
      <c r="R3333" s="27">
        <f>D3333*Q3333</f>
        <v/>
      </c>
      <c r="S3333" s="27">
        <f>R3333*E3333</f>
        <v/>
      </c>
      <c r="T3333" s="27">
        <f>(R3333-S3333)*M3333</f>
        <v/>
      </c>
      <c r="U3333" s="27">
        <f>R3333-S3333-T3333</f>
        <v/>
      </c>
      <c r="V3333" s="27">
        <f>D3333*P3333</f>
        <v/>
      </c>
      <c r="W3333" s="27">
        <f>U3333-V3333</f>
        <v/>
      </c>
      <c r="X3333" s="28">
        <f>IFERROR(W3333/U3333,0)</f>
        <v/>
      </c>
    </row>
    <row r="3334">
      <c r="A3334" s="21">
        <f>ItensPedido!A3334</f>
        <v/>
      </c>
      <c r="B3334" s="21">
        <f>ItensPedido!B3334</f>
        <v/>
      </c>
      <c r="C3334" s="21">
        <f>ItensPedido!C3334</f>
        <v/>
      </c>
      <c r="D3334" s="21">
        <f>ItensPedido!D3334</f>
        <v/>
      </c>
      <c r="E3334" s="22">
        <f>ItensPedido!E3334</f>
        <v/>
      </c>
      <c r="F3334" s="21">
        <f>IFERROR(INDEX(Pedidos!$B$2:$B$1801,MATCH(B3334,Pedidos!$A$2:$A$1801,0)),0)</f>
        <v/>
      </c>
      <c r="G3334" s="21">
        <f>IF(F3334=0,"",YEAR(F3334))</f>
        <v/>
      </c>
      <c r="H3334" s="21">
        <f>IF(F3334=0,"",MONTH(F3334))</f>
        <v/>
      </c>
      <c r="I3334" s="21">
        <f>IFERROR(INDEX(Pedidos!$E$2:$E$1801,MATCH(B3334,Pedidos!$A$2:$A$1801,0)),"")</f>
        <v/>
      </c>
      <c r="J3334" s="21">
        <f>IFERROR(INDEX(Pedidos!$C$2:$C$1801,MATCH(B3334,Pedidos!$A$2:$A$1801,0)),"")</f>
        <v/>
      </c>
      <c r="K3334" s="21">
        <f>IFERROR(INDEX(Pedidos!$D$2:$D$1801,MATCH(B3334,Pedidos!$A$2:$A$1801,0)),"")</f>
        <v/>
      </c>
      <c r="L3334" s="21">
        <f>IFERROR(INDEX(Pedidos!$F$2:$F$1801,MATCH(B3334,Pedidos!$A$2:$A$1801,0)),"")</f>
        <v/>
      </c>
      <c r="M3334" s="22">
        <f>IFERROR(INDEX(Pedidos!$G$2:$G$1801,MATCH(B3334,Pedidos!$A$2:$A$1801,0)),0)</f>
        <v/>
      </c>
      <c r="N3334" s="21">
        <f>IFERROR(INDEX(Produtos!$B$2:$B$71,MATCH(C3334,Produtos!$A$2:$A$71,0)),"")</f>
        <v/>
      </c>
      <c r="O3334" s="21">
        <f>IFERROR(INDEX(Produtos!$C$2:$C$71,MATCH(C3334,Produtos!$A$2:$A$71,0)),"")</f>
        <v/>
      </c>
      <c r="P3334" s="21">
        <f>IFERROR(INDEX(Produtos!$D$2:$D$71,MATCH(C3334,Produtos!$A$2:$A$71,0)),0)</f>
        <v/>
      </c>
      <c r="Q3334" s="21">
        <f>IFERROR(INDEX(Produtos!$E$2:$E$71,MATCH(C3334,Produtos!$A$2:$A$71,0)),0)</f>
        <v/>
      </c>
      <c r="R3334" s="23">
        <f>D3334*Q3334</f>
        <v/>
      </c>
      <c r="S3334" s="23">
        <f>R3334*E3334</f>
        <v/>
      </c>
      <c r="T3334" s="23">
        <f>(R3334-S3334)*M3334</f>
        <v/>
      </c>
      <c r="U3334" s="23">
        <f>R3334-S3334-T3334</f>
        <v/>
      </c>
      <c r="V3334" s="23">
        <f>D3334*P3334</f>
        <v/>
      </c>
      <c r="W3334" s="23">
        <f>U3334-V3334</f>
        <v/>
      </c>
      <c r="X3334" s="24">
        <f>IFERROR(W3334/U3334,0)</f>
        <v/>
      </c>
    </row>
    <row r="3335">
      <c r="A3335" s="25">
        <f>ItensPedido!A3335</f>
        <v/>
      </c>
      <c r="B3335" s="25">
        <f>ItensPedido!B3335</f>
        <v/>
      </c>
      <c r="C3335" s="25">
        <f>ItensPedido!C3335</f>
        <v/>
      </c>
      <c r="D3335" s="25">
        <f>ItensPedido!D3335</f>
        <v/>
      </c>
      <c r="E3335" s="26">
        <f>ItensPedido!E3335</f>
        <v/>
      </c>
      <c r="F3335" s="25">
        <f>IFERROR(INDEX(Pedidos!$B$2:$B$1801,MATCH(B3335,Pedidos!$A$2:$A$1801,0)),0)</f>
        <v/>
      </c>
      <c r="G3335" s="25">
        <f>IF(F3335=0,"",YEAR(F3335))</f>
        <v/>
      </c>
      <c r="H3335" s="25">
        <f>IF(F3335=0,"",MONTH(F3335))</f>
        <v/>
      </c>
      <c r="I3335" s="25">
        <f>IFERROR(INDEX(Pedidos!$E$2:$E$1801,MATCH(B3335,Pedidos!$A$2:$A$1801,0)),"")</f>
        <v/>
      </c>
      <c r="J3335" s="25">
        <f>IFERROR(INDEX(Pedidos!$C$2:$C$1801,MATCH(B3335,Pedidos!$A$2:$A$1801,0)),"")</f>
        <v/>
      </c>
      <c r="K3335" s="25">
        <f>IFERROR(INDEX(Pedidos!$D$2:$D$1801,MATCH(B3335,Pedidos!$A$2:$A$1801,0)),"")</f>
        <v/>
      </c>
      <c r="L3335" s="25">
        <f>IFERROR(INDEX(Pedidos!$F$2:$F$1801,MATCH(B3335,Pedidos!$A$2:$A$1801,0)),"")</f>
        <v/>
      </c>
      <c r="M3335" s="26">
        <f>IFERROR(INDEX(Pedidos!$G$2:$G$1801,MATCH(B3335,Pedidos!$A$2:$A$1801,0)),0)</f>
        <v/>
      </c>
      <c r="N3335" s="25">
        <f>IFERROR(INDEX(Produtos!$B$2:$B$71,MATCH(C3335,Produtos!$A$2:$A$71,0)),"")</f>
        <v/>
      </c>
      <c r="O3335" s="25">
        <f>IFERROR(INDEX(Produtos!$C$2:$C$71,MATCH(C3335,Produtos!$A$2:$A$71,0)),"")</f>
        <v/>
      </c>
      <c r="P3335" s="25">
        <f>IFERROR(INDEX(Produtos!$D$2:$D$71,MATCH(C3335,Produtos!$A$2:$A$71,0)),0)</f>
        <v/>
      </c>
      <c r="Q3335" s="25">
        <f>IFERROR(INDEX(Produtos!$E$2:$E$71,MATCH(C3335,Produtos!$A$2:$A$71,0)),0)</f>
        <v/>
      </c>
      <c r="R3335" s="27">
        <f>D3335*Q3335</f>
        <v/>
      </c>
      <c r="S3335" s="27">
        <f>R3335*E3335</f>
        <v/>
      </c>
      <c r="T3335" s="27">
        <f>(R3335-S3335)*M3335</f>
        <v/>
      </c>
      <c r="U3335" s="27">
        <f>R3335-S3335-T3335</f>
        <v/>
      </c>
      <c r="V3335" s="27">
        <f>D3335*P3335</f>
        <v/>
      </c>
      <c r="W3335" s="27">
        <f>U3335-V3335</f>
        <v/>
      </c>
      <c r="X3335" s="28">
        <f>IFERROR(W3335/U3335,0)</f>
        <v/>
      </c>
    </row>
    <row r="3336">
      <c r="A3336" s="21">
        <f>ItensPedido!A3336</f>
        <v/>
      </c>
      <c r="B3336" s="21">
        <f>ItensPedido!B3336</f>
        <v/>
      </c>
      <c r="C3336" s="21">
        <f>ItensPedido!C3336</f>
        <v/>
      </c>
      <c r="D3336" s="21">
        <f>ItensPedido!D3336</f>
        <v/>
      </c>
      <c r="E3336" s="22">
        <f>ItensPedido!E3336</f>
        <v/>
      </c>
      <c r="F3336" s="21">
        <f>IFERROR(INDEX(Pedidos!$B$2:$B$1801,MATCH(B3336,Pedidos!$A$2:$A$1801,0)),0)</f>
        <v/>
      </c>
      <c r="G3336" s="21">
        <f>IF(F3336=0,"",YEAR(F3336))</f>
        <v/>
      </c>
      <c r="H3336" s="21">
        <f>IF(F3336=0,"",MONTH(F3336))</f>
        <v/>
      </c>
      <c r="I3336" s="21">
        <f>IFERROR(INDEX(Pedidos!$E$2:$E$1801,MATCH(B3336,Pedidos!$A$2:$A$1801,0)),"")</f>
        <v/>
      </c>
      <c r="J3336" s="21">
        <f>IFERROR(INDEX(Pedidos!$C$2:$C$1801,MATCH(B3336,Pedidos!$A$2:$A$1801,0)),"")</f>
        <v/>
      </c>
      <c r="K3336" s="21">
        <f>IFERROR(INDEX(Pedidos!$D$2:$D$1801,MATCH(B3336,Pedidos!$A$2:$A$1801,0)),"")</f>
        <v/>
      </c>
      <c r="L3336" s="21">
        <f>IFERROR(INDEX(Pedidos!$F$2:$F$1801,MATCH(B3336,Pedidos!$A$2:$A$1801,0)),"")</f>
        <v/>
      </c>
      <c r="M3336" s="22">
        <f>IFERROR(INDEX(Pedidos!$G$2:$G$1801,MATCH(B3336,Pedidos!$A$2:$A$1801,0)),0)</f>
        <v/>
      </c>
      <c r="N3336" s="21">
        <f>IFERROR(INDEX(Produtos!$B$2:$B$71,MATCH(C3336,Produtos!$A$2:$A$71,0)),"")</f>
        <v/>
      </c>
      <c r="O3336" s="21">
        <f>IFERROR(INDEX(Produtos!$C$2:$C$71,MATCH(C3336,Produtos!$A$2:$A$71,0)),"")</f>
        <v/>
      </c>
      <c r="P3336" s="21">
        <f>IFERROR(INDEX(Produtos!$D$2:$D$71,MATCH(C3336,Produtos!$A$2:$A$71,0)),0)</f>
        <v/>
      </c>
      <c r="Q3336" s="21">
        <f>IFERROR(INDEX(Produtos!$E$2:$E$71,MATCH(C3336,Produtos!$A$2:$A$71,0)),0)</f>
        <v/>
      </c>
      <c r="R3336" s="23">
        <f>D3336*Q3336</f>
        <v/>
      </c>
      <c r="S3336" s="23">
        <f>R3336*E3336</f>
        <v/>
      </c>
      <c r="T3336" s="23">
        <f>(R3336-S3336)*M3336</f>
        <v/>
      </c>
      <c r="U3336" s="23">
        <f>R3336-S3336-T3336</f>
        <v/>
      </c>
      <c r="V3336" s="23">
        <f>D3336*P3336</f>
        <v/>
      </c>
      <c r="W3336" s="23">
        <f>U3336-V3336</f>
        <v/>
      </c>
      <c r="X3336" s="24">
        <f>IFERROR(W3336/U3336,0)</f>
        <v/>
      </c>
    </row>
    <row r="3337">
      <c r="A3337" s="25">
        <f>ItensPedido!A3337</f>
        <v/>
      </c>
      <c r="B3337" s="25">
        <f>ItensPedido!B3337</f>
        <v/>
      </c>
      <c r="C3337" s="25">
        <f>ItensPedido!C3337</f>
        <v/>
      </c>
      <c r="D3337" s="25">
        <f>ItensPedido!D3337</f>
        <v/>
      </c>
      <c r="E3337" s="26">
        <f>ItensPedido!E3337</f>
        <v/>
      </c>
      <c r="F3337" s="25">
        <f>IFERROR(INDEX(Pedidos!$B$2:$B$1801,MATCH(B3337,Pedidos!$A$2:$A$1801,0)),0)</f>
        <v/>
      </c>
      <c r="G3337" s="25">
        <f>IF(F3337=0,"",YEAR(F3337))</f>
        <v/>
      </c>
      <c r="H3337" s="25">
        <f>IF(F3337=0,"",MONTH(F3337))</f>
        <v/>
      </c>
      <c r="I3337" s="25">
        <f>IFERROR(INDEX(Pedidos!$E$2:$E$1801,MATCH(B3337,Pedidos!$A$2:$A$1801,0)),"")</f>
        <v/>
      </c>
      <c r="J3337" s="25">
        <f>IFERROR(INDEX(Pedidos!$C$2:$C$1801,MATCH(B3337,Pedidos!$A$2:$A$1801,0)),"")</f>
        <v/>
      </c>
      <c r="K3337" s="25">
        <f>IFERROR(INDEX(Pedidos!$D$2:$D$1801,MATCH(B3337,Pedidos!$A$2:$A$1801,0)),"")</f>
        <v/>
      </c>
      <c r="L3337" s="25">
        <f>IFERROR(INDEX(Pedidos!$F$2:$F$1801,MATCH(B3337,Pedidos!$A$2:$A$1801,0)),"")</f>
        <v/>
      </c>
      <c r="M3337" s="26">
        <f>IFERROR(INDEX(Pedidos!$G$2:$G$1801,MATCH(B3337,Pedidos!$A$2:$A$1801,0)),0)</f>
        <v/>
      </c>
      <c r="N3337" s="25">
        <f>IFERROR(INDEX(Produtos!$B$2:$B$71,MATCH(C3337,Produtos!$A$2:$A$71,0)),"")</f>
        <v/>
      </c>
      <c r="O3337" s="25">
        <f>IFERROR(INDEX(Produtos!$C$2:$C$71,MATCH(C3337,Produtos!$A$2:$A$71,0)),"")</f>
        <v/>
      </c>
      <c r="P3337" s="25">
        <f>IFERROR(INDEX(Produtos!$D$2:$D$71,MATCH(C3337,Produtos!$A$2:$A$71,0)),0)</f>
        <v/>
      </c>
      <c r="Q3337" s="25">
        <f>IFERROR(INDEX(Produtos!$E$2:$E$71,MATCH(C3337,Produtos!$A$2:$A$71,0)),0)</f>
        <v/>
      </c>
      <c r="R3337" s="27">
        <f>D3337*Q3337</f>
        <v/>
      </c>
      <c r="S3337" s="27">
        <f>R3337*E3337</f>
        <v/>
      </c>
      <c r="T3337" s="27">
        <f>(R3337-S3337)*M3337</f>
        <v/>
      </c>
      <c r="U3337" s="27">
        <f>R3337-S3337-T3337</f>
        <v/>
      </c>
      <c r="V3337" s="27">
        <f>D3337*P3337</f>
        <v/>
      </c>
      <c r="W3337" s="27">
        <f>U3337-V3337</f>
        <v/>
      </c>
      <c r="X3337" s="28">
        <f>IFERROR(W3337/U3337,0)</f>
        <v/>
      </c>
    </row>
    <row r="3338">
      <c r="A3338" s="21">
        <f>ItensPedido!A3338</f>
        <v/>
      </c>
      <c r="B3338" s="21">
        <f>ItensPedido!B3338</f>
        <v/>
      </c>
      <c r="C3338" s="21">
        <f>ItensPedido!C3338</f>
        <v/>
      </c>
      <c r="D3338" s="21">
        <f>ItensPedido!D3338</f>
        <v/>
      </c>
      <c r="E3338" s="22">
        <f>ItensPedido!E3338</f>
        <v/>
      </c>
      <c r="F3338" s="21">
        <f>IFERROR(INDEX(Pedidos!$B$2:$B$1801,MATCH(B3338,Pedidos!$A$2:$A$1801,0)),0)</f>
        <v/>
      </c>
      <c r="G3338" s="21">
        <f>IF(F3338=0,"",YEAR(F3338))</f>
        <v/>
      </c>
      <c r="H3338" s="21">
        <f>IF(F3338=0,"",MONTH(F3338))</f>
        <v/>
      </c>
      <c r="I3338" s="21">
        <f>IFERROR(INDEX(Pedidos!$E$2:$E$1801,MATCH(B3338,Pedidos!$A$2:$A$1801,0)),"")</f>
        <v/>
      </c>
      <c r="J3338" s="21">
        <f>IFERROR(INDEX(Pedidos!$C$2:$C$1801,MATCH(B3338,Pedidos!$A$2:$A$1801,0)),"")</f>
        <v/>
      </c>
      <c r="K3338" s="21">
        <f>IFERROR(INDEX(Pedidos!$D$2:$D$1801,MATCH(B3338,Pedidos!$A$2:$A$1801,0)),"")</f>
        <v/>
      </c>
      <c r="L3338" s="21">
        <f>IFERROR(INDEX(Pedidos!$F$2:$F$1801,MATCH(B3338,Pedidos!$A$2:$A$1801,0)),"")</f>
        <v/>
      </c>
      <c r="M3338" s="22">
        <f>IFERROR(INDEX(Pedidos!$G$2:$G$1801,MATCH(B3338,Pedidos!$A$2:$A$1801,0)),0)</f>
        <v/>
      </c>
      <c r="N3338" s="21">
        <f>IFERROR(INDEX(Produtos!$B$2:$B$71,MATCH(C3338,Produtos!$A$2:$A$71,0)),"")</f>
        <v/>
      </c>
      <c r="O3338" s="21">
        <f>IFERROR(INDEX(Produtos!$C$2:$C$71,MATCH(C3338,Produtos!$A$2:$A$71,0)),"")</f>
        <v/>
      </c>
      <c r="P3338" s="21">
        <f>IFERROR(INDEX(Produtos!$D$2:$D$71,MATCH(C3338,Produtos!$A$2:$A$71,0)),0)</f>
        <v/>
      </c>
      <c r="Q3338" s="21">
        <f>IFERROR(INDEX(Produtos!$E$2:$E$71,MATCH(C3338,Produtos!$A$2:$A$71,0)),0)</f>
        <v/>
      </c>
      <c r="R3338" s="23">
        <f>D3338*Q3338</f>
        <v/>
      </c>
      <c r="S3338" s="23">
        <f>R3338*E3338</f>
        <v/>
      </c>
      <c r="T3338" s="23">
        <f>(R3338-S3338)*M3338</f>
        <v/>
      </c>
      <c r="U3338" s="23">
        <f>R3338-S3338-T3338</f>
        <v/>
      </c>
      <c r="V3338" s="23">
        <f>D3338*P3338</f>
        <v/>
      </c>
      <c r="W3338" s="23">
        <f>U3338-V3338</f>
        <v/>
      </c>
      <c r="X3338" s="24">
        <f>IFERROR(W3338/U3338,0)</f>
        <v/>
      </c>
    </row>
    <row r="3339">
      <c r="A3339" s="25">
        <f>ItensPedido!A3339</f>
        <v/>
      </c>
      <c r="B3339" s="25">
        <f>ItensPedido!B3339</f>
        <v/>
      </c>
      <c r="C3339" s="25">
        <f>ItensPedido!C3339</f>
        <v/>
      </c>
      <c r="D3339" s="25">
        <f>ItensPedido!D3339</f>
        <v/>
      </c>
      <c r="E3339" s="26">
        <f>ItensPedido!E3339</f>
        <v/>
      </c>
      <c r="F3339" s="25">
        <f>IFERROR(INDEX(Pedidos!$B$2:$B$1801,MATCH(B3339,Pedidos!$A$2:$A$1801,0)),0)</f>
        <v/>
      </c>
      <c r="G3339" s="25">
        <f>IF(F3339=0,"",YEAR(F3339))</f>
        <v/>
      </c>
      <c r="H3339" s="25">
        <f>IF(F3339=0,"",MONTH(F3339))</f>
        <v/>
      </c>
      <c r="I3339" s="25">
        <f>IFERROR(INDEX(Pedidos!$E$2:$E$1801,MATCH(B3339,Pedidos!$A$2:$A$1801,0)),"")</f>
        <v/>
      </c>
      <c r="J3339" s="25">
        <f>IFERROR(INDEX(Pedidos!$C$2:$C$1801,MATCH(B3339,Pedidos!$A$2:$A$1801,0)),"")</f>
        <v/>
      </c>
      <c r="K3339" s="25">
        <f>IFERROR(INDEX(Pedidos!$D$2:$D$1801,MATCH(B3339,Pedidos!$A$2:$A$1801,0)),"")</f>
        <v/>
      </c>
      <c r="L3339" s="25">
        <f>IFERROR(INDEX(Pedidos!$F$2:$F$1801,MATCH(B3339,Pedidos!$A$2:$A$1801,0)),"")</f>
        <v/>
      </c>
      <c r="M3339" s="26">
        <f>IFERROR(INDEX(Pedidos!$G$2:$G$1801,MATCH(B3339,Pedidos!$A$2:$A$1801,0)),0)</f>
        <v/>
      </c>
      <c r="N3339" s="25">
        <f>IFERROR(INDEX(Produtos!$B$2:$B$71,MATCH(C3339,Produtos!$A$2:$A$71,0)),"")</f>
        <v/>
      </c>
      <c r="O3339" s="25">
        <f>IFERROR(INDEX(Produtos!$C$2:$C$71,MATCH(C3339,Produtos!$A$2:$A$71,0)),"")</f>
        <v/>
      </c>
      <c r="P3339" s="25">
        <f>IFERROR(INDEX(Produtos!$D$2:$D$71,MATCH(C3339,Produtos!$A$2:$A$71,0)),0)</f>
        <v/>
      </c>
      <c r="Q3339" s="25">
        <f>IFERROR(INDEX(Produtos!$E$2:$E$71,MATCH(C3339,Produtos!$A$2:$A$71,0)),0)</f>
        <v/>
      </c>
      <c r="R3339" s="27">
        <f>D3339*Q3339</f>
        <v/>
      </c>
      <c r="S3339" s="27">
        <f>R3339*E3339</f>
        <v/>
      </c>
      <c r="T3339" s="27">
        <f>(R3339-S3339)*M3339</f>
        <v/>
      </c>
      <c r="U3339" s="27">
        <f>R3339-S3339-T3339</f>
        <v/>
      </c>
      <c r="V3339" s="27">
        <f>D3339*P3339</f>
        <v/>
      </c>
      <c r="W3339" s="27">
        <f>U3339-V3339</f>
        <v/>
      </c>
      <c r="X3339" s="28">
        <f>IFERROR(W3339/U3339,0)</f>
        <v/>
      </c>
    </row>
    <row r="3340">
      <c r="A3340" s="21">
        <f>ItensPedido!A3340</f>
        <v/>
      </c>
      <c r="B3340" s="21">
        <f>ItensPedido!B3340</f>
        <v/>
      </c>
      <c r="C3340" s="21">
        <f>ItensPedido!C3340</f>
        <v/>
      </c>
      <c r="D3340" s="21">
        <f>ItensPedido!D3340</f>
        <v/>
      </c>
      <c r="E3340" s="22">
        <f>ItensPedido!E3340</f>
        <v/>
      </c>
      <c r="F3340" s="21">
        <f>IFERROR(INDEX(Pedidos!$B$2:$B$1801,MATCH(B3340,Pedidos!$A$2:$A$1801,0)),0)</f>
        <v/>
      </c>
      <c r="G3340" s="21">
        <f>IF(F3340=0,"",YEAR(F3340))</f>
        <v/>
      </c>
      <c r="H3340" s="21">
        <f>IF(F3340=0,"",MONTH(F3340))</f>
        <v/>
      </c>
      <c r="I3340" s="21">
        <f>IFERROR(INDEX(Pedidos!$E$2:$E$1801,MATCH(B3340,Pedidos!$A$2:$A$1801,0)),"")</f>
        <v/>
      </c>
      <c r="J3340" s="21">
        <f>IFERROR(INDEX(Pedidos!$C$2:$C$1801,MATCH(B3340,Pedidos!$A$2:$A$1801,0)),"")</f>
        <v/>
      </c>
      <c r="K3340" s="21">
        <f>IFERROR(INDEX(Pedidos!$D$2:$D$1801,MATCH(B3340,Pedidos!$A$2:$A$1801,0)),"")</f>
        <v/>
      </c>
      <c r="L3340" s="21">
        <f>IFERROR(INDEX(Pedidos!$F$2:$F$1801,MATCH(B3340,Pedidos!$A$2:$A$1801,0)),"")</f>
        <v/>
      </c>
      <c r="M3340" s="22">
        <f>IFERROR(INDEX(Pedidos!$G$2:$G$1801,MATCH(B3340,Pedidos!$A$2:$A$1801,0)),0)</f>
        <v/>
      </c>
      <c r="N3340" s="21">
        <f>IFERROR(INDEX(Produtos!$B$2:$B$71,MATCH(C3340,Produtos!$A$2:$A$71,0)),"")</f>
        <v/>
      </c>
      <c r="O3340" s="21">
        <f>IFERROR(INDEX(Produtos!$C$2:$C$71,MATCH(C3340,Produtos!$A$2:$A$71,0)),"")</f>
        <v/>
      </c>
      <c r="P3340" s="21">
        <f>IFERROR(INDEX(Produtos!$D$2:$D$71,MATCH(C3340,Produtos!$A$2:$A$71,0)),0)</f>
        <v/>
      </c>
      <c r="Q3340" s="21">
        <f>IFERROR(INDEX(Produtos!$E$2:$E$71,MATCH(C3340,Produtos!$A$2:$A$71,0)),0)</f>
        <v/>
      </c>
      <c r="R3340" s="23">
        <f>D3340*Q3340</f>
        <v/>
      </c>
      <c r="S3340" s="23">
        <f>R3340*E3340</f>
        <v/>
      </c>
      <c r="T3340" s="23">
        <f>(R3340-S3340)*M3340</f>
        <v/>
      </c>
      <c r="U3340" s="23">
        <f>R3340-S3340-T3340</f>
        <v/>
      </c>
      <c r="V3340" s="23">
        <f>D3340*P3340</f>
        <v/>
      </c>
      <c r="W3340" s="23">
        <f>U3340-V3340</f>
        <v/>
      </c>
      <c r="X3340" s="24">
        <f>IFERROR(W3340/U3340,0)</f>
        <v/>
      </c>
    </row>
    <row r="3341">
      <c r="A3341" s="25">
        <f>ItensPedido!A3341</f>
        <v/>
      </c>
      <c r="B3341" s="25">
        <f>ItensPedido!B3341</f>
        <v/>
      </c>
      <c r="C3341" s="25">
        <f>ItensPedido!C3341</f>
        <v/>
      </c>
      <c r="D3341" s="25">
        <f>ItensPedido!D3341</f>
        <v/>
      </c>
      <c r="E3341" s="26">
        <f>ItensPedido!E3341</f>
        <v/>
      </c>
      <c r="F3341" s="25">
        <f>IFERROR(INDEX(Pedidos!$B$2:$B$1801,MATCH(B3341,Pedidos!$A$2:$A$1801,0)),0)</f>
        <v/>
      </c>
      <c r="G3341" s="25">
        <f>IF(F3341=0,"",YEAR(F3341))</f>
        <v/>
      </c>
      <c r="H3341" s="25">
        <f>IF(F3341=0,"",MONTH(F3341))</f>
        <v/>
      </c>
      <c r="I3341" s="25">
        <f>IFERROR(INDEX(Pedidos!$E$2:$E$1801,MATCH(B3341,Pedidos!$A$2:$A$1801,0)),"")</f>
        <v/>
      </c>
      <c r="J3341" s="25">
        <f>IFERROR(INDEX(Pedidos!$C$2:$C$1801,MATCH(B3341,Pedidos!$A$2:$A$1801,0)),"")</f>
        <v/>
      </c>
      <c r="K3341" s="25">
        <f>IFERROR(INDEX(Pedidos!$D$2:$D$1801,MATCH(B3341,Pedidos!$A$2:$A$1801,0)),"")</f>
        <v/>
      </c>
      <c r="L3341" s="25">
        <f>IFERROR(INDEX(Pedidos!$F$2:$F$1801,MATCH(B3341,Pedidos!$A$2:$A$1801,0)),"")</f>
        <v/>
      </c>
      <c r="M3341" s="26">
        <f>IFERROR(INDEX(Pedidos!$G$2:$G$1801,MATCH(B3341,Pedidos!$A$2:$A$1801,0)),0)</f>
        <v/>
      </c>
      <c r="N3341" s="25">
        <f>IFERROR(INDEX(Produtos!$B$2:$B$71,MATCH(C3341,Produtos!$A$2:$A$71,0)),"")</f>
        <v/>
      </c>
      <c r="O3341" s="25">
        <f>IFERROR(INDEX(Produtos!$C$2:$C$71,MATCH(C3341,Produtos!$A$2:$A$71,0)),"")</f>
        <v/>
      </c>
      <c r="P3341" s="25">
        <f>IFERROR(INDEX(Produtos!$D$2:$D$71,MATCH(C3341,Produtos!$A$2:$A$71,0)),0)</f>
        <v/>
      </c>
      <c r="Q3341" s="25">
        <f>IFERROR(INDEX(Produtos!$E$2:$E$71,MATCH(C3341,Produtos!$A$2:$A$71,0)),0)</f>
        <v/>
      </c>
      <c r="R3341" s="27">
        <f>D3341*Q3341</f>
        <v/>
      </c>
      <c r="S3341" s="27">
        <f>R3341*E3341</f>
        <v/>
      </c>
      <c r="T3341" s="27">
        <f>(R3341-S3341)*M3341</f>
        <v/>
      </c>
      <c r="U3341" s="27">
        <f>R3341-S3341-T3341</f>
        <v/>
      </c>
      <c r="V3341" s="27">
        <f>D3341*P3341</f>
        <v/>
      </c>
      <c r="W3341" s="27">
        <f>U3341-V3341</f>
        <v/>
      </c>
      <c r="X3341" s="28">
        <f>IFERROR(W3341/U3341,0)</f>
        <v/>
      </c>
    </row>
    <row r="3342">
      <c r="A3342" s="21">
        <f>ItensPedido!A3342</f>
        <v/>
      </c>
      <c r="B3342" s="21">
        <f>ItensPedido!B3342</f>
        <v/>
      </c>
      <c r="C3342" s="21">
        <f>ItensPedido!C3342</f>
        <v/>
      </c>
      <c r="D3342" s="21">
        <f>ItensPedido!D3342</f>
        <v/>
      </c>
      <c r="E3342" s="22">
        <f>ItensPedido!E3342</f>
        <v/>
      </c>
      <c r="F3342" s="21">
        <f>IFERROR(INDEX(Pedidos!$B$2:$B$1801,MATCH(B3342,Pedidos!$A$2:$A$1801,0)),0)</f>
        <v/>
      </c>
      <c r="G3342" s="21">
        <f>IF(F3342=0,"",YEAR(F3342))</f>
        <v/>
      </c>
      <c r="H3342" s="21">
        <f>IF(F3342=0,"",MONTH(F3342))</f>
        <v/>
      </c>
      <c r="I3342" s="21">
        <f>IFERROR(INDEX(Pedidos!$E$2:$E$1801,MATCH(B3342,Pedidos!$A$2:$A$1801,0)),"")</f>
        <v/>
      </c>
      <c r="J3342" s="21">
        <f>IFERROR(INDEX(Pedidos!$C$2:$C$1801,MATCH(B3342,Pedidos!$A$2:$A$1801,0)),"")</f>
        <v/>
      </c>
      <c r="K3342" s="21">
        <f>IFERROR(INDEX(Pedidos!$D$2:$D$1801,MATCH(B3342,Pedidos!$A$2:$A$1801,0)),"")</f>
        <v/>
      </c>
      <c r="L3342" s="21">
        <f>IFERROR(INDEX(Pedidos!$F$2:$F$1801,MATCH(B3342,Pedidos!$A$2:$A$1801,0)),"")</f>
        <v/>
      </c>
      <c r="M3342" s="22">
        <f>IFERROR(INDEX(Pedidos!$G$2:$G$1801,MATCH(B3342,Pedidos!$A$2:$A$1801,0)),0)</f>
        <v/>
      </c>
      <c r="N3342" s="21">
        <f>IFERROR(INDEX(Produtos!$B$2:$B$71,MATCH(C3342,Produtos!$A$2:$A$71,0)),"")</f>
        <v/>
      </c>
      <c r="O3342" s="21">
        <f>IFERROR(INDEX(Produtos!$C$2:$C$71,MATCH(C3342,Produtos!$A$2:$A$71,0)),"")</f>
        <v/>
      </c>
      <c r="P3342" s="21">
        <f>IFERROR(INDEX(Produtos!$D$2:$D$71,MATCH(C3342,Produtos!$A$2:$A$71,0)),0)</f>
        <v/>
      </c>
      <c r="Q3342" s="21">
        <f>IFERROR(INDEX(Produtos!$E$2:$E$71,MATCH(C3342,Produtos!$A$2:$A$71,0)),0)</f>
        <v/>
      </c>
      <c r="R3342" s="23">
        <f>D3342*Q3342</f>
        <v/>
      </c>
      <c r="S3342" s="23">
        <f>R3342*E3342</f>
        <v/>
      </c>
      <c r="T3342" s="23">
        <f>(R3342-S3342)*M3342</f>
        <v/>
      </c>
      <c r="U3342" s="23">
        <f>R3342-S3342-T3342</f>
        <v/>
      </c>
      <c r="V3342" s="23">
        <f>D3342*P3342</f>
        <v/>
      </c>
      <c r="W3342" s="23">
        <f>U3342-V3342</f>
        <v/>
      </c>
      <c r="X3342" s="24">
        <f>IFERROR(W3342/U3342,0)</f>
        <v/>
      </c>
    </row>
    <row r="3343">
      <c r="A3343" s="25">
        <f>ItensPedido!A3343</f>
        <v/>
      </c>
      <c r="B3343" s="25">
        <f>ItensPedido!B3343</f>
        <v/>
      </c>
      <c r="C3343" s="25">
        <f>ItensPedido!C3343</f>
        <v/>
      </c>
      <c r="D3343" s="25">
        <f>ItensPedido!D3343</f>
        <v/>
      </c>
      <c r="E3343" s="26">
        <f>ItensPedido!E3343</f>
        <v/>
      </c>
      <c r="F3343" s="25">
        <f>IFERROR(INDEX(Pedidos!$B$2:$B$1801,MATCH(B3343,Pedidos!$A$2:$A$1801,0)),0)</f>
        <v/>
      </c>
      <c r="G3343" s="25">
        <f>IF(F3343=0,"",YEAR(F3343))</f>
        <v/>
      </c>
      <c r="H3343" s="25">
        <f>IF(F3343=0,"",MONTH(F3343))</f>
        <v/>
      </c>
      <c r="I3343" s="25">
        <f>IFERROR(INDEX(Pedidos!$E$2:$E$1801,MATCH(B3343,Pedidos!$A$2:$A$1801,0)),"")</f>
        <v/>
      </c>
      <c r="J3343" s="25">
        <f>IFERROR(INDEX(Pedidos!$C$2:$C$1801,MATCH(B3343,Pedidos!$A$2:$A$1801,0)),"")</f>
        <v/>
      </c>
      <c r="K3343" s="25">
        <f>IFERROR(INDEX(Pedidos!$D$2:$D$1801,MATCH(B3343,Pedidos!$A$2:$A$1801,0)),"")</f>
        <v/>
      </c>
      <c r="L3343" s="25">
        <f>IFERROR(INDEX(Pedidos!$F$2:$F$1801,MATCH(B3343,Pedidos!$A$2:$A$1801,0)),"")</f>
        <v/>
      </c>
      <c r="M3343" s="26">
        <f>IFERROR(INDEX(Pedidos!$G$2:$G$1801,MATCH(B3343,Pedidos!$A$2:$A$1801,0)),0)</f>
        <v/>
      </c>
      <c r="N3343" s="25">
        <f>IFERROR(INDEX(Produtos!$B$2:$B$71,MATCH(C3343,Produtos!$A$2:$A$71,0)),"")</f>
        <v/>
      </c>
      <c r="O3343" s="25">
        <f>IFERROR(INDEX(Produtos!$C$2:$C$71,MATCH(C3343,Produtos!$A$2:$A$71,0)),"")</f>
        <v/>
      </c>
      <c r="P3343" s="25">
        <f>IFERROR(INDEX(Produtos!$D$2:$D$71,MATCH(C3343,Produtos!$A$2:$A$71,0)),0)</f>
        <v/>
      </c>
      <c r="Q3343" s="25">
        <f>IFERROR(INDEX(Produtos!$E$2:$E$71,MATCH(C3343,Produtos!$A$2:$A$71,0)),0)</f>
        <v/>
      </c>
      <c r="R3343" s="27">
        <f>D3343*Q3343</f>
        <v/>
      </c>
      <c r="S3343" s="27">
        <f>R3343*E3343</f>
        <v/>
      </c>
      <c r="T3343" s="27">
        <f>(R3343-S3343)*M3343</f>
        <v/>
      </c>
      <c r="U3343" s="27">
        <f>R3343-S3343-T3343</f>
        <v/>
      </c>
      <c r="V3343" s="27">
        <f>D3343*P3343</f>
        <v/>
      </c>
      <c r="W3343" s="27">
        <f>U3343-V3343</f>
        <v/>
      </c>
      <c r="X3343" s="28">
        <f>IFERROR(W3343/U3343,0)</f>
        <v/>
      </c>
    </row>
    <row r="3344">
      <c r="A3344" s="21">
        <f>ItensPedido!A3344</f>
        <v/>
      </c>
      <c r="B3344" s="21">
        <f>ItensPedido!B3344</f>
        <v/>
      </c>
      <c r="C3344" s="21">
        <f>ItensPedido!C3344</f>
        <v/>
      </c>
      <c r="D3344" s="21">
        <f>ItensPedido!D3344</f>
        <v/>
      </c>
      <c r="E3344" s="22">
        <f>ItensPedido!E3344</f>
        <v/>
      </c>
      <c r="F3344" s="21">
        <f>IFERROR(INDEX(Pedidos!$B$2:$B$1801,MATCH(B3344,Pedidos!$A$2:$A$1801,0)),0)</f>
        <v/>
      </c>
      <c r="G3344" s="21">
        <f>IF(F3344=0,"",YEAR(F3344))</f>
        <v/>
      </c>
      <c r="H3344" s="21">
        <f>IF(F3344=0,"",MONTH(F3344))</f>
        <v/>
      </c>
      <c r="I3344" s="21">
        <f>IFERROR(INDEX(Pedidos!$E$2:$E$1801,MATCH(B3344,Pedidos!$A$2:$A$1801,0)),"")</f>
        <v/>
      </c>
      <c r="J3344" s="21">
        <f>IFERROR(INDEX(Pedidos!$C$2:$C$1801,MATCH(B3344,Pedidos!$A$2:$A$1801,0)),"")</f>
        <v/>
      </c>
      <c r="K3344" s="21">
        <f>IFERROR(INDEX(Pedidos!$D$2:$D$1801,MATCH(B3344,Pedidos!$A$2:$A$1801,0)),"")</f>
        <v/>
      </c>
      <c r="L3344" s="21">
        <f>IFERROR(INDEX(Pedidos!$F$2:$F$1801,MATCH(B3344,Pedidos!$A$2:$A$1801,0)),"")</f>
        <v/>
      </c>
      <c r="M3344" s="22">
        <f>IFERROR(INDEX(Pedidos!$G$2:$G$1801,MATCH(B3344,Pedidos!$A$2:$A$1801,0)),0)</f>
        <v/>
      </c>
      <c r="N3344" s="21">
        <f>IFERROR(INDEX(Produtos!$B$2:$B$71,MATCH(C3344,Produtos!$A$2:$A$71,0)),"")</f>
        <v/>
      </c>
      <c r="O3344" s="21">
        <f>IFERROR(INDEX(Produtos!$C$2:$C$71,MATCH(C3344,Produtos!$A$2:$A$71,0)),"")</f>
        <v/>
      </c>
      <c r="P3344" s="21">
        <f>IFERROR(INDEX(Produtos!$D$2:$D$71,MATCH(C3344,Produtos!$A$2:$A$71,0)),0)</f>
        <v/>
      </c>
      <c r="Q3344" s="21">
        <f>IFERROR(INDEX(Produtos!$E$2:$E$71,MATCH(C3344,Produtos!$A$2:$A$71,0)),0)</f>
        <v/>
      </c>
      <c r="R3344" s="23">
        <f>D3344*Q3344</f>
        <v/>
      </c>
      <c r="S3344" s="23">
        <f>R3344*E3344</f>
        <v/>
      </c>
      <c r="T3344" s="23">
        <f>(R3344-S3344)*M3344</f>
        <v/>
      </c>
      <c r="U3344" s="23">
        <f>R3344-S3344-T3344</f>
        <v/>
      </c>
      <c r="V3344" s="23">
        <f>D3344*P3344</f>
        <v/>
      </c>
      <c r="W3344" s="23">
        <f>U3344-V3344</f>
        <v/>
      </c>
      <c r="X3344" s="24">
        <f>IFERROR(W3344/U3344,0)</f>
        <v/>
      </c>
    </row>
    <row r="3345">
      <c r="A3345" s="25">
        <f>ItensPedido!A3345</f>
        <v/>
      </c>
      <c r="B3345" s="25">
        <f>ItensPedido!B3345</f>
        <v/>
      </c>
      <c r="C3345" s="25">
        <f>ItensPedido!C3345</f>
        <v/>
      </c>
      <c r="D3345" s="25">
        <f>ItensPedido!D3345</f>
        <v/>
      </c>
      <c r="E3345" s="26">
        <f>ItensPedido!E3345</f>
        <v/>
      </c>
      <c r="F3345" s="25">
        <f>IFERROR(INDEX(Pedidos!$B$2:$B$1801,MATCH(B3345,Pedidos!$A$2:$A$1801,0)),0)</f>
        <v/>
      </c>
      <c r="G3345" s="25">
        <f>IF(F3345=0,"",YEAR(F3345))</f>
        <v/>
      </c>
      <c r="H3345" s="25">
        <f>IF(F3345=0,"",MONTH(F3345))</f>
        <v/>
      </c>
      <c r="I3345" s="25">
        <f>IFERROR(INDEX(Pedidos!$E$2:$E$1801,MATCH(B3345,Pedidos!$A$2:$A$1801,0)),"")</f>
        <v/>
      </c>
      <c r="J3345" s="25">
        <f>IFERROR(INDEX(Pedidos!$C$2:$C$1801,MATCH(B3345,Pedidos!$A$2:$A$1801,0)),"")</f>
        <v/>
      </c>
      <c r="K3345" s="25">
        <f>IFERROR(INDEX(Pedidos!$D$2:$D$1801,MATCH(B3345,Pedidos!$A$2:$A$1801,0)),"")</f>
        <v/>
      </c>
      <c r="L3345" s="25">
        <f>IFERROR(INDEX(Pedidos!$F$2:$F$1801,MATCH(B3345,Pedidos!$A$2:$A$1801,0)),"")</f>
        <v/>
      </c>
      <c r="M3345" s="26">
        <f>IFERROR(INDEX(Pedidos!$G$2:$G$1801,MATCH(B3345,Pedidos!$A$2:$A$1801,0)),0)</f>
        <v/>
      </c>
      <c r="N3345" s="25">
        <f>IFERROR(INDEX(Produtos!$B$2:$B$71,MATCH(C3345,Produtos!$A$2:$A$71,0)),"")</f>
        <v/>
      </c>
      <c r="O3345" s="25">
        <f>IFERROR(INDEX(Produtos!$C$2:$C$71,MATCH(C3345,Produtos!$A$2:$A$71,0)),"")</f>
        <v/>
      </c>
      <c r="P3345" s="25">
        <f>IFERROR(INDEX(Produtos!$D$2:$D$71,MATCH(C3345,Produtos!$A$2:$A$71,0)),0)</f>
        <v/>
      </c>
      <c r="Q3345" s="25">
        <f>IFERROR(INDEX(Produtos!$E$2:$E$71,MATCH(C3345,Produtos!$A$2:$A$71,0)),0)</f>
        <v/>
      </c>
      <c r="R3345" s="27">
        <f>D3345*Q3345</f>
        <v/>
      </c>
      <c r="S3345" s="27">
        <f>R3345*E3345</f>
        <v/>
      </c>
      <c r="T3345" s="27">
        <f>(R3345-S3345)*M3345</f>
        <v/>
      </c>
      <c r="U3345" s="27">
        <f>R3345-S3345-T3345</f>
        <v/>
      </c>
      <c r="V3345" s="27">
        <f>D3345*P3345</f>
        <v/>
      </c>
      <c r="W3345" s="27">
        <f>U3345-V3345</f>
        <v/>
      </c>
      <c r="X3345" s="28">
        <f>IFERROR(W3345/U3345,0)</f>
        <v/>
      </c>
    </row>
    <row r="3346">
      <c r="A3346" s="21">
        <f>ItensPedido!A3346</f>
        <v/>
      </c>
      <c r="B3346" s="21">
        <f>ItensPedido!B3346</f>
        <v/>
      </c>
      <c r="C3346" s="21">
        <f>ItensPedido!C3346</f>
        <v/>
      </c>
      <c r="D3346" s="21">
        <f>ItensPedido!D3346</f>
        <v/>
      </c>
      <c r="E3346" s="22">
        <f>ItensPedido!E3346</f>
        <v/>
      </c>
      <c r="F3346" s="21">
        <f>IFERROR(INDEX(Pedidos!$B$2:$B$1801,MATCH(B3346,Pedidos!$A$2:$A$1801,0)),0)</f>
        <v/>
      </c>
      <c r="G3346" s="21">
        <f>IF(F3346=0,"",YEAR(F3346))</f>
        <v/>
      </c>
      <c r="H3346" s="21">
        <f>IF(F3346=0,"",MONTH(F3346))</f>
        <v/>
      </c>
      <c r="I3346" s="21">
        <f>IFERROR(INDEX(Pedidos!$E$2:$E$1801,MATCH(B3346,Pedidos!$A$2:$A$1801,0)),"")</f>
        <v/>
      </c>
      <c r="J3346" s="21">
        <f>IFERROR(INDEX(Pedidos!$C$2:$C$1801,MATCH(B3346,Pedidos!$A$2:$A$1801,0)),"")</f>
        <v/>
      </c>
      <c r="K3346" s="21">
        <f>IFERROR(INDEX(Pedidos!$D$2:$D$1801,MATCH(B3346,Pedidos!$A$2:$A$1801,0)),"")</f>
        <v/>
      </c>
      <c r="L3346" s="21">
        <f>IFERROR(INDEX(Pedidos!$F$2:$F$1801,MATCH(B3346,Pedidos!$A$2:$A$1801,0)),"")</f>
        <v/>
      </c>
      <c r="M3346" s="22">
        <f>IFERROR(INDEX(Pedidos!$G$2:$G$1801,MATCH(B3346,Pedidos!$A$2:$A$1801,0)),0)</f>
        <v/>
      </c>
      <c r="N3346" s="21">
        <f>IFERROR(INDEX(Produtos!$B$2:$B$71,MATCH(C3346,Produtos!$A$2:$A$71,0)),"")</f>
        <v/>
      </c>
      <c r="O3346" s="21">
        <f>IFERROR(INDEX(Produtos!$C$2:$C$71,MATCH(C3346,Produtos!$A$2:$A$71,0)),"")</f>
        <v/>
      </c>
      <c r="P3346" s="21">
        <f>IFERROR(INDEX(Produtos!$D$2:$D$71,MATCH(C3346,Produtos!$A$2:$A$71,0)),0)</f>
        <v/>
      </c>
      <c r="Q3346" s="21">
        <f>IFERROR(INDEX(Produtos!$E$2:$E$71,MATCH(C3346,Produtos!$A$2:$A$71,0)),0)</f>
        <v/>
      </c>
      <c r="R3346" s="23">
        <f>D3346*Q3346</f>
        <v/>
      </c>
      <c r="S3346" s="23">
        <f>R3346*E3346</f>
        <v/>
      </c>
      <c r="T3346" s="23">
        <f>(R3346-S3346)*M3346</f>
        <v/>
      </c>
      <c r="U3346" s="23">
        <f>R3346-S3346-T3346</f>
        <v/>
      </c>
      <c r="V3346" s="23">
        <f>D3346*P3346</f>
        <v/>
      </c>
      <c r="W3346" s="23">
        <f>U3346-V3346</f>
        <v/>
      </c>
      <c r="X3346" s="24">
        <f>IFERROR(W3346/U3346,0)</f>
        <v/>
      </c>
    </row>
    <row r="3347">
      <c r="A3347" s="25">
        <f>ItensPedido!A3347</f>
        <v/>
      </c>
      <c r="B3347" s="25">
        <f>ItensPedido!B3347</f>
        <v/>
      </c>
      <c r="C3347" s="25">
        <f>ItensPedido!C3347</f>
        <v/>
      </c>
      <c r="D3347" s="25">
        <f>ItensPedido!D3347</f>
        <v/>
      </c>
      <c r="E3347" s="26">
        <f>ItensPedido!E3347</f>
        <v/>
      </c>
      <c r="F3347" s="25">
        <f>IFERROR(INDEX(Pedidos!$B$2:$B$1801,MATCH(B3347,Pedidos!$A$2:$A$1801,0)),0)</f>
        <v/>
      </c>
      <c r="G3347" s="25">
        <f>IF(F3347=0,"",YEAR(F3347))</f>
        <v/>
      </c>
      <c r="H3347" s="25">
        <f>IF(F3347=0,"",MONTH(F3347))</f>
        <v/>
      </c>
      <c r="I3347" s="25">
        <f>IFERROR(INDEX(Pedidos!$E$2:$E$1801,MATCH(B3347,Pedidos!$A$2:$A$1801,0)),"")</f>
        <v/>
      </c>
      <c r="J3347" s="25">
        <f>IFERROR(INDEX(Pedidos!$C$2:$C$1801,MATCH(B3347,Pedidos!$A$2:$A$1801,0)),"")</f>
        <v/>
      </c>
      <c r="K3347" s="25">
        <f>IFERROR(INDEX(Pedidos!$D$2:$D$1801,MATCH(B3347,Pedidos!$A$2:$A$1801,0)),"")</f>
        <v/>
      </c>
      <c r="L3347" s="25">
        <f>IFERROR(INDEX(Pedidos!$F$2:$F$1801,MATCH(B3347,Pedidos!$A$2:$A$1801,0)),"")</f>
        <v/>
      </c>
      <c r="M3347" s="26">
        <f>IFERROR(INDEX(Pedidos!$G$2:$G$1801,MATCH(B3347,Pedidos!$A$2:$A$1801,0)),0)</f>
        <v/>
      </c>
      <c r="N3347" s="25">
        <f>IFERROR(INDEX(Produtos!$B$2:$B$71,MATCH(C3347,Produtos!$A$2:$A$71,0)),"")</f>
        <v/>
      </c>
      <c r="O3347" s="25">
        <f>IFERROR(INDEX(Produtos!$C$2:$C$71,MATCH(C3347,Produtos!$A$2:$A$71,0)),"")</f>
        <v/>
      </c>
      <c r="P3347" s="25">
        <f>IFERROR(INDEX(Produtos!$D$2:$D$71,MATCH(C3347,Produtos!$A$2:$A$71,0)),0)</f>
        <v/>
      </c>
      <c r="Q3347" s="25">
        <f>IFERROR(INDEX(Produtos!$E$2:$E$71,MATCH(C3347,Produtos!$A$2:$A$71,0)),0)</f>
        <v/>
      </c>
      <c r="R3347" s="27">
        <f>D3347*Q3347</f>
        <v/>
      </c>
      <c r="S3347" s="27">
        <f>R3347*E3347</f>
        <v/>
      </c>
      <c r="T3347" s="27">
        <f>(R3347-S3347)*M3347</f>
        <v/>
      </c>
      <c r="U3347" s="27">
        <f>R3347-S3347-T3347</f>
        <v/>
      </c>
      <c r="V3347" s="27">
        <f>D3347*P3347</f>
        <v/>
      </c>
      <c r="W3347" s="27">
        <f>U3347-V3347</f>
        <v/>
      </c>
      <c r="X3347" s="28">
        <f>IFERROR(W3347/U3347,0)</f>
        <v/>
      </c>
    </row>
    <row r="3348">
      <c r="A3348" s="21">
        <f>ItensPedido!A3348</f>
        <v/>
      </c>
      <c r="B3348" s="21">
        <f>ItensPedido!B3348</f>
        <v/>
      </c>
      <c r="C3348" s="21">
        <f>ItensPedido!C3348</f>
        <v/>
      </c>
      <c r="D3348" s="21">
        <f>ItensPedido!D3348</f>
        <v/>
      </c>
      <c r="E3348" s="22">
        <f>ItensPedido!E3348</f>
        <v/>
      </c>
      <c r="F3348" s="21">
        <f>IFERROR(INDEX(Pedidos!$B$2:$B$1801,MATCH(B3348,Pedidos!$A$2:$A$1801,0)),0)</f>
        <v/>
      </c>
      <c r="G3348" s="21">
        <f>IF(F3348=0,"",YEAR(F3348))</f>
        <v/>
      </c>
      <c r="H3348" s="21">
        <f>IF(F3348=0,"",MONTH(F3348))</f>
        <v/>
      </c>
      <c r="I3348" s="21">
        <f>IFERROR(INDEX(Pedidos!$E$2:$E$1801,MATCH(B3348,Pedidos!$A$2:$A$1801,0)),"")</f>
        <v/>
      </c>
      <c r="J3348" s="21">
        <f>IFERROR(INDEX(Pedidos!$C$2:$C$1801,MATCH(B3348,Pedidos!$A$2:$A$1801,0)),"")</f>
        <v/>
      </c>
      <c r="K3348" s="21">
        <f>IFERROR(INDEX(Pedidos!$D$2:$D$1801,MATCH(B3348,Pedidos!$A$2:$A$1801,0)),"")</f>
        <v/>
      </c>
      <c r="L3348" s="21">
        <f>IFERROR(INDEX(Pedidos!$F$2:$F$1801,MATCH(B3348,Pedidos!$A$2:$A$1801,0)),"")</f>
        <v/>
      </c>
      <c r="M3348" s="22">
        <f>IFERROR(INDEX(Pedidos!$G$2:$G$1801,MATCH(B3348,Pedidos!$A$2:$A$1801,0)),0)</f>
        <v/>
      </c>
      <c r="N3348" s="21">
        <f>IFERROR(INDEX(Produtos!$B$2:$B$71,MATCH(C3348,Produtos!$A$2:$A$71,0)),"")</f>
        <v/>
      </c>
      <c r="O3348" s="21">
        <f>IFERROR(INDEX(Produtos!$C$2:$C$71,MATCH(C3348,Produtos!$A$2:$A$71,0)),"")</f>
        <v/>
      </c>
      <c r="P3348" s="21">
        <f>IFERROR(INDEX(Produtos!$D$2:$D$71,MATCH(C3348,Produtos!$A$2:$A$71,0)),0)</f>
        <v/>
      </c>
      <c r="Q3348" s="21">
        <f>IFERROR(INDEX(Produtos!$E$2:$E$71,MATCH(C3348,Produtos!$A$2:$A$71,0)),0)</f>
        <v/>
      </c>
      <c r="R3348" s="23">
        <f>D3348*Q3348</f>
        <v/>
      </c>
      <c r="S3348" s="23">
        <f>R3348*E3348</f>
        <v/>
      </c>
      <c r="T3348" s="23">
        <f>(R3348-S3348)*M3348</f>
        <v/>
      </c>
      <c r="U3348" s="23">
        <f>R3348-S3348-T3348</f>
        <v/>
      </c>
      <c r="V3348" s="23">
        <f>D3348*P3348</f>
        <v/>
      </c>
      <c r="W3348" s="23">
        <f>U3348-V3348</f>
        <v/>
      </c>
      <c r="X3348" s="24">
        <f>IFERROR(W3348/U3348,0)</f>
        <v/>
      </c>
    </row>
    <row r="3349">
      <c r="A3349" s="25">
        <f>ItensPedido!A3349</f>
        <v/>
      </c>
      <c r="B3349" s="25">
        <f>ItensPedido!B3349</f>
        <v/>
      </c>
      <c r="C3349" s="25">
        <f>ItensPedido!C3349</f>
        <v/>
      </c>
      <c r="D3349" s="25">
        <f>ItensPedido!D3349</f>
        <v/>
      </c>
      <c r="E3349" s="26">
        <f>ItensPedido!E3349</f>
        <v/>
      </c>
      <c r="F3349" s="25">
        <f>IFERROR(INDEX(Pedidos!$B$2:$B$1801,MATCH(B3349,Pedidos!$A$2:$A$1801,0)),0)</f>
        <v/>
      </c>
      <c r="G3349" s="25">
        <f>IF(F3349=0,"",YEAR(F3349))</f>
        <v/>
      </c>
      <c r="H3349" s="25">
        <f>IF(F3349=0,"",MONTH(F3349))</f>
        <v/>
      </c>
      <c r="I3349" s="25">
        <f>IFERROR(INDEX(Pedidos!$E$2:$E$1801,MATCH(B3349,Pedidos!$A$2:$A$1801,0)),"")</f>
        <v/>
      </c>
      <c r="J3349" s="25">
        <f>IFERROR(INDEX(Pedidos!$C$2:$C$1801,MATCH(B3349,Pedidos!$A$2:$A$1801,0)),"")</f>
        <v/>
      </c>
      <c r="K3349" s="25">
        <f>IFERROR(INDEX(Pedidos!$D$2:$D$1801,MATCH(B3349,Pedidos!$A$2:$A$1801,0)),"")</f>
        <v/>
      </c>
      <c r="L3349" s="25">
        <f>IFERROR(INDEX(Pedidos!$F$2:$F$1801,MATCH(B3349,Pedidos!$A$2:$A$1801,0)),"")</f>
        <v/>
      </c>
      <c r="M3349" s="26">
        <f>IFERROR(INDEX(Pedidos!$G$2:$G$1801,MATCH(B3349,Pedidos!$A$2:$A$1801,0)),0)</f>
        <v/>
      </c>
      <c r="N3349" s="25">
        <f>IFERROR(INDEX(Produtos!$B$2:$B$71,MATCH(C3349,Produtos!$A$2:$A$71,0)),"")</f>
        <v/>
      </c>
      <c r="O3349" s="25">
        <f>IFERROR(INDEX(Produtos!$C$2:$C$71,MATCH(C3349,Produtos!$A$2:$A$71,0)),"")</f>
        <v/>
      </c>
      <c r="P3349" s="25">
        <f>IFERROR(INDEX(Produtos!$D$2:$D$71,MATCH(C3349,Produtos!$A$2:$A$71,0)),0)</f>
        <v/>
      </c>
      <c r="Q3349" s="25">
        <f>IFERROR(INDEX(Produtos!$E$2:$E$71,MATCH(C3349,Produtos!$A$2:$A$71,0)),0)</f>
        <v/>
      </c>
      <c r="R3349" s="27">
        <f>D3349*Q3349</f>
        <v/>
      </c>
      <c r="S3349" s="27">
        <f>R3349*E3349</f>
        <v/>
      </c>
      <c r="T3349" s="27">
        <f>(R3349-S3349)*M3349</f>
        <v/>
      </c>
      <c r="U3349" s="27">
        <f>R3349-S3349-T3349</f>
        <v/>
      </c>
      <c r="V3349" s="27">
        <f>D3349*P3349</f>
        <v/>
      </c>
      <c r="W3349" s="27">
        <f>U3349-V3349</f>
        <v/>
      </c>
      <c r="X3349" s="28">
        <f>IFERROR(W3349/U3349,0)</f>
        <v/>
      </c>
    </row>
    <row r="3350">
      <c r="A3350" s="21">
        <f>ItensPedido!A3350</f>
        <v/>
      </c>
      <c r="B3350" s="21">
        <f>ItensPedido!B3350</f>
        <v/>
      </c>
      <c r="C3350" s="21">
        <f>ItensPedido!C3350</f>
        <v/>
      </c>
      <c r="D3350" s="21">
        <f>ItensPedido!D3350</f>
        <v/>
      </c>
      <c r="E3350" s="22">
        <f>ItensPedido!E3350</f>
        <v/>
      </c>
      <c r="F3350" s="21">
        <f>IFERROR(INDEX(Pedidos!$B$2:$B$1801,MATCH(B3350,Pedidos!$A$2:$A$1801,0)),0)</f>
        <v/>
      </c>
      <c r="G3350" s="21">
        <f>IF(F3350=0,"",YEAR(F3350))</f>
        <v/>
      </c>
      <c r="H3350" s="21">
        <f>IF(F3350=0,"",MONTH(F3350))</f>
        <v/>
      </c>
      <c r="I3350" s="21">
        <f>IFERROR(INDEX(Pedidos!$E$2:$E$1801,MATCH(B3350,Pedidos!$A$2:$A$1801,0)),"")</f>
        <v/>
      </c>
      <c r="J3350" s="21">
        <f>IFERROR(INDEX(Pedidos!$C$2:$C$1801,MATCH(B3350,Pedidos!$A$2:$A$1801,0)),"")</f>
        <v/>
      </c>
      <c r="K3350" s="21">
        <f>IFERROR(INDEX(Pedidos!$D$2:$D$1801,MATCH(B3350,Pedidos!$A$2:$A$1801,0)),"")</f>
        <v/>
      </c>
      <c r="L3350" s="21">
        <f>IFERROR(INDEX(Pedidos!$F$2:$F$1801,MATCH(B3350,Pedidos!$A$2:$A$1801,0)),"")</f>
        <v/>
      </c>
      <c r="M3350" s="22">
        <f>IFERROR(INDEX(Pedidos!$G$2:$G$1801,MATCH(B3350,Pedidos!$A$2:$A$1801,0)),0)</f>
        <v/>
      </c>
      <c r="N3350" s="21">
        <f>IFERROR(INDEX(Produtos!$B$2:$B$71,MATCH(C3350,Produtos!$A$2:$A$71,0)),"")</f>
        <v/>
      </c>
      <c r="O3350" s="21">
        <f>IFERROR(INDEX(Produtos!$C$2:$C$71,MATCH(C3350,Produtos!$A$2:$A$71,0)),"")</f>
        <v/>
      </c>
      <c r="P3350" s="21">
        <f>IFERROR(INDEX(Produtos!$D$2:$D$71,MATCH(C3350,Produtos!$A$2:$A$71,0)),0)</f>
        <v/>
      </c>
      <c r="Q3350" s="21">
        <f>IFERROR(INDEX(Produtos!$E$2:$E$71,MATCH(C3350,Produtos!$A$2:$A$71,0)),0)</f>
        <v/>
      </c>
      <c r="R3350" s="23">
        <f>D3350*Q3350</f>
        <v/>
      </c>
      <c r="S3350" s="23">
        <f>R3350*E3350</f>
        <v/>
      </c>
      <c r="T3350" s="23">
        <f>(R3350-S3350)*M3350</f>
        <v/>
      </c>
      <c r="U3350" s="23">
        <f>R3350-S3350-T3350</f>
        <v/>
      </c>
      <c r="V3350" s="23">
        <f>D3350*P3350</f>
        <v/>
      </c>
      <c r="W3350" s="23">
        <f>U3350-V3350</f>
        <v/>
      </c>
      <c r="X3350" s="24">
        <f>IFERROR(W3350/U3350,0)</f>
        <v/>
      </c>
    </row>
    <row r="3351">
      <c r="A3351" s="25">
        <f>ItensPedido!A3351</f>
        <v/>
      </c>
      <c r="B3351" s="25">
        <f>ItensPedido!B3351</f>
        <v/>
      </c>
      <c r="C3351" s="25">
        <f>ItensPedido!C3351</f>
        <v/>
      </c>
      <c r="D3351" s="25">
        <f>ItensPedido!D3351</f>
        <v/>
      </c>
      <c r="E3351" s="26">
        <f>ItensPedido!E3351</f>
        <v/>
      </c>
      <c r="F3351" s="25">
        <f>IFERROR(INDEX(Pedidos!$B$2:$B$1801,MATCH(B3351,Pedidos!$A$2:$A$1801,0)),0)</f>
        <v/>
      </c>
      <c r="G3351" s="25">
        <f>IF(F3351=0,"",YEAR(F3351))</f>
        <v/>
      </c>
      <c r="H3351" s="25">
        <f>IF(F3351=0,"",MONTH(F3351))</f>
        <v/>
      </c>
      <c r="I3351" s="25">
        <f>IFERROR(INDEX(Pedidos!$E$2:$E$1801,MATCH(B3351,Pedidos!$A$2:$A$1801,0)),"")</f>
        <v/>
      </c>
      <c r="J3351" s="25">
        <f>IFERROR(INDEX(Pedidos!$C$2:$C$1801,MATCH(B3351,Pedidos!$A$2:$A$1801,0)),"")</f>
        <v/>
      </c>
      <c r="K3351" s="25">
        <f>IFERROR(INDEX(Pedidos!$D$2:$D$1801,MATCH(B3351,Pedidos!$A$2:$A$1801,0)),"")</f>
        <v/>
      </c>
      <c r="L3351" s="25">
        <f>IFERROR(INDEX(Pedidos!$F$2:$F$1801,MATCH(B3351,Pedidos!$A$2:$A$1801,0)),"")</f>
        <v/>
      </c>
      <c r="M3351" s="26">
        <f>IFERROR(INDEX(Pedidos!$G$2:$G$1801,MATCH(B3351,Pedidos!$A$2:$A$1801,0)),0)</f>
        <v/>
      </c>
      <c r="N3351" s="25">
        <f>IFERROR(INDEX(Produtos!$B$2:$B$71,MATCH(C3351,Produtos!$A$2:$A$71,0)),"")</f>
        <v/>
      </c>
      <c r="O3351" s="25">
        <f>IFERROR(INDEX(Produtos!$C$2:$C$71,MATCH(C3351,Produtos!$A$2:$A$71,0)),"")</f>
        <v/>
      </c>
      <c r="P3351" s="25">
        <f>IFERROR(INDEX(Produtos!$D$2:$D$71,MATCH(C3351,Produtos!$A$2:$A$71,0)),0)</f>
        <v/>
      </c>
      <c r="Q3351" s="25">
        <f>IFERROR(INDEX(Produtos!$E$2:$E$71,MATCH(C3351,Produtos!$A$2:$A$71,0)),0)</f>
        <v/>
      </c>
      <c r="R3351" s="27">
        <f>D3351*Q3351</f>
        <v/>
      </c>
      <c r="S3351" s="27">
        <f>R3351*E3351</f>
        <v/>
      </c>
      <c r="T3351" s="27">
        <f>(R3351-S3351)*M3351</f>
        <v/>
      </c>
      <c r="U3351" s="27">
        <f>R3351-S3351-T3351</f>
        <v/>
      </c>
      <c r="V3351" s="27">
        <f>D3351*P3351</f>
        <v/>
      </c>
      <c r="W3351" s="27">
        <f>U3351-V3351</f>
        <v/>
      </c>
      <c r="X3351" s="28">
        <f>IFERROR(W3351/U3351,0)</f>
        <v/>
      </c>
    </row>
    <row r="3352">
      <c r="A3352" s="21">
        <f>ItensPedido!A3352</f>
        <v/>
      </c>
      <c r="B3352" s="21">
        <f>ItensPedido!B3352</f>
        <v/>
      </c>
      <c r="C3352" s="21">
        <f>ItensPedido!C3352</f>
        <v/>
      </c>
      <c r="D3352" s="21">
        <f>ItensPedido!D3352</f>
        <v/>
      </c>
      <c r="E3352" s="22">
        <f>ItensPedido!E3352</f>
        <v/>
      </c>
      <c r="F3352" s="21">
        <f>IFERROR(INDEX(Pedidos!$B$2:$B$1801,MATCH(B3352,Pedidos!$A$2:$A$1801,0)),0)</f>
        <v/>
      </c>
      <c r="G3352" s="21">
        <f>IF(F3352=0,"",YEAR(F3352))</f>
        <v/>
      </c>
      <c r="H3352" s="21">
        <f>IF(F3352=0,"",MONTH(F3352))</f>
        <v/>
      </c>
      <c r="I3352" s="21">
        <f>IFERROR(INDEX(Pedidos!$E$2:$E$1801,MATCH(B3352,Pedidos!$A$2:$A$1801,0)),"")</f>
        <v/>
      </c>
      <c r="J3352" s="21">
        <f>IFERROR(INDEX(Pedidos!$C$2:$C$1801,MATCH(B3352,Pedidos!$A$2:$A$1801,0)),"")</f>
        <v/>
      </c>
      <c r="K3352" s="21">
        <f>IFERROR(INDEX(Pedidos!$D$2:$D$1801,MATCH(B3352,Pedidos!$A$2:$A$1801,0)),"")</f>
        <v/>
      </c>
      <c r="L3352" s="21">
        <f>IFERROR(INDEX(Pedidos!$F$2:$F$1801,MATCH(B3352,Pedidos!$A$2:$A$1801,0)),"")</f>
        <v/>
      </c>
      <c r="M3352" s="22">
        <f>IFERROR(INDEX(Pedidos!$G$2:$G$1801,MATCH(B3352,Pedidos!$A$2:$A$1801,0)),0)</f>
        <v/>
      </c>
      <c r="N3352" s="21">
        <f>IFERROR(INDEX(Produtos!$B$2:$B$71,MATCH(C3352,Produtos!$A$2:$A$71,0)),"")</f>
        <v/>
      </c>
      <c r="O3352" s="21">
        <f>IFERROR(INDEX(Produtos!$C$2:$C$71,MATCH(C3352,Produtos!$A$2:$A$71,0)),"")</f>
        <v/>
      </c>
      <c r="P3352" s="21">
        <f>IFERROR(INDEX(Produtos!$D$2:$D$71,MATCH(C3352,Produtos!$A$2:$A$71,0)),0)</f>
        <v/>
      </c>
      <c r="Q3352" s="21">
        <f>IFERROR(INDEX(Produtos!$E$2:$E$71,MATCH(C3352,Produtos!$A$2:$A$71,0)),0)</f>
        <v/>
      </c>
      <c r="R3352" s="23">
        <f>D3352*Q3352</f>
        <v/>
      </c>
      <c r="S3352" s="23">
        <f>R3352*E3352</f>
        <v/>
      </c>
      <c r="T3352" s="23">
        <f>(R3352-S3352)*M3352</f>
        <v/>
      </c>
      <c r="U3352" s="23">
        <f>R3352-S3352-T3352</f>
        <v/>
      </c>
      <c r="V3352" s="23">
        <f>D3352*P3352</f>
        <v/>
      </c>
      <c r="W3352" s="23">
        <f>U3352-V3352</f>
        <v/>
      </c>
      <c r="X3352" s="24">
        <f>IFERROR(W3352/U3352,0)</f>
        <v/>
      </c>
    </row>
    <row r="3353">
      <c r="A3353" s="25">
        <f>ItensPedido!A3353</f>
        <v/>
      </c>
      <c r="B3353" s="25">
        <f>ItensPedido!B3353</f>
        <v/>
      </c>
      <c r="C3353" s="25">
        <f>ItensPedido!C3353</f>
        <v/>
      </c>
      <c r="D3353" s="25">
        <f>ItensPedido!D3353</f>
        <v/>
      </c>
      <c r="E3353" s="26">
        <f>ItensPedido!E3353</f>
        <v/>
      </c>
      <c r="F3353" s="25">
        <f>IFERROR(INDEX(Pedidos!$B$2:$B$1801,MATCH(B3353,Pedidos!$A$2:$A$1801,0)),0)</f>
        <v/>
      </c>
      <c r="G3353" s="25">
        <f>IF(F3353=0,"",YEAR(F3353))</f>
        <v/>
      </c>
      <c r="H3353" s="25">
        <f>IF(F3353=0,"",MONTH(F3353))</f>
        <v/>
      </c>
      <c r="I3353" s="25">
        <f>IFERROR(INDEX(Pedidos!$E$2:$E$1801,MATCH(B3353,Pedidos!$A$2:$A$1801,0)),"")</f>
        <v/>
      </c>
      <c r="J3353" s="25">
        <f>IFERROR(INDEX(Pedidos!$C$2:$C$1801,MATCH(B3353,Pedidos!$A$2:$A$1801,0)),"")</f>
        <v/>
      </c>
      <c r="K3353" s="25">
        <f>IFERROR(INDEX(Pedidos!$D$2:$D$1801,MATCH(B3353,Pedidos!$A$2:$A$1801,0)),"")</f>
        <v/>
      </c>
      <c r="L3353" s="25">
        <f>IFERROR(INDEX(Pedidos!$F$2:$F$1801,MATCH(B3353,Pedidos!$A$2:$A$1801,0)),"")</f>
        <v/>
      </c>
      <c r="M3353" s="26">
        <f>IFERROR(INDEX(Pedidos!$G$2:$G$1801,MATCH(B3353,Pedidos!$A$2:$A$1801,0)),0)</f>
        <v/>
      </c>
      <c r="N3353" s="25">
        <f>IFERROR(INDEX(Produtos!$B$2:$B$71,MATCH(C3353,Produtos!$A$2:$A$71,0)),"")</f>
        <v/>
      </c>
      <c r="O3353" s="25">
        <f>IFERROR(INDEX(Produtos!$C$2:$C$71,MATCH(C3353,Produtos!$A$2:$A$71,0)),"")</f>
        <v/>
      </c>
      <c r="P3353" s="25">
        <f>IFERROR(INDEX(Produtos!$D$2:$D$71,MATCH(C3353,Produtos!$A$2:$A$71,0)),0)</f>
        <v/>
      </c>
      <c r="Q3353" s="25">
        <f>IFERROR(INDEX(Produtos!$E$2:$E$71,MATCH(C3353,Produtos!$A$2:$A$71,0)),0)</f>
        <v/>
      </c>
      <c r="R3353" s="27">
        <f>D3353*Q3353</f>
        <v/>
      </c>
      <c r="S3353" s="27">
        <f>R3353*E3353</f>
        <v/>
      </c>
      <c r="T3353" s="27">
        <f>(R3353-S3353)*M3353</f>
        <v/>
      </c>
      <c r="U3353" s="27">
        <f>R3353-S3353-T3353</f>
        <v/>
      </c>
      <c r="V3353" s="27">
        <f>D3353*P3353</f>
        <v/>
      </c>
      <c r="W3353" s="27">
        <f>U3353-V3353</f>
        <v/>
      </c>
      <c r="X3353" s="28">
        <f>IFERROR(W3353/U3353,0)</f>
        <v/>
      </c>
    </row>
    <row r="3354">
      <c r="A3354" s="21">
        <f>ItensPedido!A3354</f>
        <v/>
      </c>
      <c r="B3354" s="21">
        <f>ItensPedido!B3354</f>
        <v/>
      </c>
      <c r="C3354" s="21">
        <f>ItensPedido!C3354</f>
        <v/>
      </c>
      <c r="D3354" s="21">
        <f>ItensPedido!D3354</f>
        <v/>
      </c>
      <c r="E3354" s="22">
        <f>ItensPedido!E3354</f>
        <v/>
      </c>
      <c r="F3354" s="21">
        <f>IFERROR(INDEX(Pedidos!$B$2:$B$1801,MATCH(B3354,Pedidos!$A$2:$A$1801,0)),0)</f>
        <v/>
      </c>
      <c r="G3354" s="21">
        <f>IF(F3354=0,"",YEAR(F3354))</f>
        <v/>
      </c>
      <c r="H3354" s="21">
        <f>IF(F3354=0,"",MONTH(F3354))</f>
        <v/>
      </c>
      <c r="I3354" s="21">
        <f>IFERROR(INDEX(Pedidos!$E$2:$E$1801,MATCH(B3354,Pedidos!$A$2:$A$1801,0)),"")</f>
        <v/>
      </c>
      <c r="J3354" s="21">
        <f>IFERROR(INDEX(Pedidos!$C$2:$C$1801,MATCH(B3354,Pedidos!$A$2:$A$1801,0)),"")</f>
        <v/>
      </c>
      <c r="K3354" s="21">
        <f>IFERROR(INDEX(Pedidos!$D$2:$D$1801,MATCH(B3354,Pedidos!$A$2:$A$1801,0)),"")</f>
        <v/>
      </c>
      <c r="L3354" s="21">
        <f>IFERROR(INDEX(Pedidos!$F$2:$F$1801,MATCH(B3354,Pedidos!$A$2:$A$1801,0)),"")</f>
        <v/>
      </c>
      <c r="M3354" s="22">
        <f>IFERROR(INDEX(Pedidos!$G$2:$G$1801,MATCH(B3354,Pedidos!$A$2:$A$1801,0)),0)</f>
        <v/>
      </c>
      <c r="N3354" s="21">
        <f>IFERROR(INDEX(Produtos!$B$2:$B$71,MATCH(C3354,Produtos!$A$2:$A$71,0)),"")</f>
        <v/>
      </c>
      <c r="O3354" s="21">
        <f>IFERROR(INDEX(Produtos!$C$2:$C$71,MATCH(C3354,Produtos!$A$2:$A$71,0)),"")</f>
        <v/>
      </c>
      <c r="P3354" s="21">
        <f>IFERROR(INDEX(Produtos!$D$2:$D$71,MATCH(C3354,Produtos!$A$2:$A$71,0)),0)</f>
        <v/>
      </c>
      <c r="Q3354" s="21">
        <f>IFERROR(INDEX(Produtos!$E$2:$E$71,MATCH(C3354,Produtos!$A$2:$A$71,0)),0)</f>
        <v/>
      </c>
      <c r="R3354" s="23">
        <f>D3354*Q3354</f>
        <v/>
      </c>
      <c r="S3354" s="23">
        <f>R3354*E3354</f>
        <v/>
      </c>
      <c r="T3354" s="23">
        <f>(R3354-S3354)*M3354</f>
        <v/>
      </c>
      <c r="U3354" s="23">
        <f>R3354-S3354-T3354</f>
        <v/>
      </c>
      <c r="V3354" s="23">
        <f>D3354*P3354</f>
        <v/>
      </c>
      <c r="W3354" s="23">
        <f>U3354-V3354</f>
        <v/>
      </c>
      <c r="X3354" s="24">
        <f>IFERROR(W3354/U3354,0)</f>
        <v/>
      </c>
    </row>
    <row r="3355">
      <c r="A3355" s="25">
        <f>ItensPedido!A3355</f>
        <v/>
      </c>
      <c r="B3355" s="25">
        <f>ItensPedido!B3355</f>
        <v/>
      </c>
      <c r="C3355" s="25">
        <f>ItensPedido!C3355</f>
        <v/>
      </c>
      <c r="D3355" s="25">
        <f>ItensPedido!D3355</f>
        <v/>
      </c>
      <c r="E3355" s="26">
        <f>ItensPedido!E3355</f>
        <v/>
      </c>
      <c r="F3355" s="25">
        <f>IFERROR(INDEX(Pedidos!$B$2:$B$1801,MATCH(B3355,Pedidos!$A$2:$A$1801,0)),0)</f>
        <v/>
      </c>
      <c r="G3355" s="25">
        <f>IF(F3355=0,"",YEAR(F3355))</f>
        <v/>
      </c>
      <c r="H3355" s="25">
        <f>IF(F3355=0,"",MONTH(F3355))</f>
        <v/>
      </c>
      <c r="I3355" s="25">
        <f>IFERROR(INDEX(Pedidos!$E$2:$E$1801,MATCH(B3355,Pedidos!$A$2:$A$1801,0)),"")</f>
        <v/>
      </c>
      <c r="J3355" s="25">
        <f>IFERROR(INDEX(Pedidos!$C$2:$C$1801,MATCH(B3355,Pedidos!$A$2:$A$1801,0)),"")</f>
        <v/>
      </c>
      <c r="K3355" s="25">
        <f>IFERROR(INDEX(Pedidos!$D$2:$D$1801,MATCH(B3355,Pedidos!$A$2:$A$1801,0)),"")</f>
        <v/>
      </c>
      <c r="L3355" s="25">
        <f>IFERROR(INDEX(Pedidos!$F$2:$F$1801,MATCH(B3355,Pedidos!$A$2:$A$1801,0)),"")</f>
        <v/>
      </c>
      <c r="M3355" s="26">
        <f>IFERROR(INDEX(Pedidos!$G$2:$G$1801,MATCH(B3355,Pedidos!$A$2:$A$1801,0)),0)</f>
        <v/>
      </c>
      <c r="N3355" s="25">
        <f>IFERROR(INDEX(Produtos!$B$2:$B$71,MATCH(C3355,Produtos!$A$2:$A$71,0)),"")</f>
        <v/>
      </c>
      <c r="O3355" s="25">
        <f>IFERROR(INDEX(Produtos!$C$2:$C$71,MATCH(C3355,Produtos!$A$2:$A$71,0)),"")</f>
        <v/>
      </c>
      <c r="P3355" s="25">
        <f>IFERROR(INDEX(Produtos!$D$2:$D$71,MATCH(C3355,Produtos!$A$2:$A$71,0)),0)</f>
        <v/>
      </c>
      <c r="Q3355" s="25">
        <f>IFERROR(INDEX(Produtos!$E$2:$E$71,MATCH(C3355,Produtos!$A$2:$A$71,0)),0)</f>
        <v/>
      </c>
      <c r="R3355" s="27">
        <f>D3355*Q3355</f>
        <v/>
      </c>
      <c r="S3355" s="27">
        <f>R3355*E3355</f>
        <v/>
      </c>
      <c r="T3355" s="27">
        <f>(R3355-S3355)*M3355</f>
        <v/>
      </c>
      <c r="U3355" s="27">
        <f>R3355-S3355-T3355</f>
        <v/>
      </c>
      <c r="V3355" s="27">
        <f>D3355*P3355</f>
        <v/>
      </c>
      <c r="W3355" s="27">
        <f>U3355-V3355</f>
        <v/>
      </c>
      <c r="X3355" s="28">
        <f>IFERROR(W3355/U3355,0)</f>
        <v/>
      </c>
    </row>
    <row r="3356">
      <c r="A3356" s="21">
        <f>ItensPedido!A3356</f>
        <v/>
      </c>
      <c r="B3356" s="21">
        <f>ItensPedido!B3356</f>
        <v/>
      </c>
      <c r="C3356" s="21">
        <f>ItensPedido!C3356</f>
        <v/>
      </c>
      <c r="D3356" s="21">
        <f>ItensPedido!D3356</f>
        <v/>
      </c>
      <c r="E3356" s="22">
        <f>ItensPedido!E3356</f>
        <v/>
      </c>
      <c r="F3356" s="21">
        <f>IFERROR(INDEX(Pedidos!$B$2:$B$1801,MATCH(B3356,Pedidos!$A$2:$A$1801,0)),0)</f>
        <v/>
      </c>
      <c r="G3356" s="21">
        <f>IF(F3356=0,"",YEAR(F3356))</f>
        <v/>
      </c>
      <c r="H3356" s="21">
        <f>IF(F3356=0,"",MONTH(F3356))</f>
        <v/>
      </c>
      <c r="I3356" s="21">
        <f>IFERROR(INDEX(Pedidos!$E$2:$E$1801,MATCH(B3356,Pedidos!$A$2:$A$1801,0)),"")</f>
        <v/>
      </c>
      <c r="J3356" s="21">
        <f>IFERROR(INDEX(Pedidos!$C$2:$C$1801,MATCH(B3356,Pedidos!$A$2:$A$1801,0)),"")</f>
        <v/>
      </c>
      <c r="K3356" s="21">
        <f>IFERROR(INDEX(Pedidos!$D$2:$D$1801,MATCH(B3356,Pedidos!$A$2:$A$1801,0)),"")</f>
        <v/>
      </c>
      <c r="L3356" s="21">
        <f>IFERROR(INDEX(Pedidos!$F$2:$F$1801,MATCH(B3356,Pedidos!$A$2:$A$1801,0)),"")</f>
        <v/>
      </c>
      <c r="M3356" s="22">
        <f>IFERROR(INDEX(Pedidos!$G$2:$G$1801,MATCH(B3356,Pedidos!$A$2:$A$1801,0)),0)</f>
        <v/>
      </c>
      <c r="N3356" s="21">
        <f>IFERROR(INDEX(Produtos!$B$2:$B$71,MATCH(C3356,Produtos!$A$2:$A$71,0)),"")</f>
        <v/>
      </c>
      <c r="O3356" s="21">
        <f>IFERROR(INDEX(Produtos!$C$2:$C$71,MATCH(C3356,Produtos!$A$2:$A$71,0)),"")</f>
        <v/>
      </c>
      <c r="P3356" s="21">
        <f>IFERROR(INDEX(Produtos!$D$2:$D$71,MATCH(C3356,Produtos!$A$2:$A$71,0)),0)</f>
        <v/>
      </c>
      <c r="Q3356" s="21">
        <f>IFERROR(INDEX(Produtos!$E$2:$E$71,MATCH(C3356,Produtos!$A$2:$A$71,0)),0)</f>
        <v/>
      </c>
      <c r="R3356" s="23">
        <f>D3356*Q3356</f>
        <v/>
      </c>
      <c r="S3356" s="23">
        <f>R3356*E3356</f>
        <v/>
      </c>
      <c r="T3356" s="23">
        <f>(R3356-S3356)*M3356</f>
        <v/>
      </c>
      <c r="U3356" s="23">
        <f>R3356-S3356-T3356</f>
        <v/>
      </c>
      <c r="V3356" s="23">
        <f>D3356*P3356</f>
        <v/>
      </c>
      <c r="W3356" s="23">
        <f>U3356-V3356</f>
        <v/>
      </c>
      <c r="X3356" s="24">
        <f>IFERROR(W3356/U3356,0)</f>
        <v/>
      </c>
    </row>
    <row r="3357">
      <c r="A3357" s="25">
        <f>ItensPedido!A3357</f>
        <v/>
      </c>
      <c r="B3357" s="25">
        <f>ItensPedido!B3357</f>
        <v/>
      </c>
      <c r="C3357" s="25">
        <f>ItensPedido!C3357</f>
        <v/>
      </c>
      <c r="D3357" s="25">
        <f>ItensPedido!D3357</f>
        <v/>
      </c>
      <c r="E3357" s="26">
        <f>ItensPedido!E3357</f>
        <v/>
      </c>
      <c r="F3357" s="25">
        <f>IFERROR(INDEX(Pedidos!$B$2:$B$1801,MATCH(B3357,Pedidos!$A$2:$A$1801,0)),0)</f>
        <v/>
      </c>
      <c r="G3357" s="25">
        <f>IF(F3357=0,"",YEAR(F3357))</f>
        <v/>
      </c>
      <c r="H3357" s="25">
        <f>IF(F3357=0,"",MONTH(F3357))</f>
        <v/>
      </c>
      <c r="I3357" s="25">
        <f>IFERROR(INDEX(Pedidos!$E$2:$E$1801,MATCH(B3357,Pedidos!$A$2:$A$1801,0)),"")</f>
        <v/>
      </c>
      <c r="J3357" s="25">
        <f>IFERROR(INDEX(Pedidos!$C$2:$C$1801,MATCH(B3357,Pedidos!$A$2:$A$1801,0)),"")</f>
        <v/>
      </c>
      <c r="K3357" s="25">
        <f>IFERROR(INDEX(Pedidos!$D$2:$D$1801,MATCH(B3357,Pedidos!$A$2:$A$1801,0)),"")</f>
        <v/>
      </c>
      <c r="L3357" s="25">
        <f>IFERROR(INDEX(Pedidos!$F$2:$F$1801,MATCH(B3357,Pedidos!$A$2:$A$1801,0)),"")</f>
        <v/>
      </c>
      <c r="M3357" s="26">
        <f>IFERROR(INDEX(Pedidos!$G$2:$G$1801,MATCH(B3357,Pedidos!$A$2:$A$1801,0)),0)</f>
        <v/>
      </c>
      <c r="N3357" s="25">
        <f>IFERROR(INDEX(Produtos!$B$2:$B$71,MATCH(C3357,Produtos!$A$2:$A$71,0)),"")</f>
        <v/>
      </c>
      <c r="O3357" s="25">
        <f>IFERROR(INDEX(Produtos!$C$2:$C$71,MATCH(C3357,Produtos!$A$2:$A$71,0)),"")</f>
        <v/>
      </c>
      <c r="P3357" s="25">
        <f>IFERROR(INDEX(Produtos!$D$2:$D$71,MATCH(C3357,Produtos!$A$2:$A$71,0)),0)</f>
        <v/>
      </c>
      <c r="Q3357" s="25">
        <f>IFERROR(INDEX(Produtos!$E$2:$E$71,MATCH(C3357,Produtos!$A$2:$A$71,0)),0)</f>
        <v/>
      </c>
      <c r="R3357" s="27">
        <f>D3357*Q3357</f>
        <v/>
      </c>
      <c r="S3357" s="27">
        <f>R3357*E3357</f>
        <v/>
      </c>
      <c r="T3357" s="27">
        <f>(R3357-S3357)*M3357</f>
        <v/>
      </c>
      <c r="U3357" s="27">
        <f>R3357-S3357-T3357</f>
        <v/>
      </c>
      <c r="V3357" s="27">
        <f>D3357*P3357</f>
        <v/>
      </c>
      <c r="W3357" s="27">
        <f>U3357-V3357</f>
        <v/>
      </c>
      <c r="X3357" s="28">
        <f>IFERROR(W3357/U3357,0)</f>
        <v/>
      </c>
    </row>
    <row r="3358">
      <c r="A3358" s="21">
        <f>ItensPedido!A3358</f>
        <v/>
      </c>
      <c r="B3358" s="21">
        <f>ItensPedido!B3358</f>
        <v/>
      </c>
      <c r="C3358" s="21">
        <f>ItensPedido!C3358</f>
        <v/>
      </c>
      <c r="D3358" s="21">
        <f>ItensPedido!D3358</f>
        <v/>
      </c>
      <c r="E3358" s="22">
        <f>ItensPedido!E3358</f>
        <v/>
      </c>
      <c r="F3358" s="21">
        <f>IFERROR(INDEX(Pedidos!$B$2:$B$1801,MATCH(B3358,Pedidos!$A$2:$A$1801,0)),0)</f>
        <v/>
      </c>
      <c r="G3358" s="21">
        <f>IF(F3358=0,"",YEAR(F3358))</f>
        <v/>
      </c>
      <c r="H3358" s="21">
        <f>IF(F3358=0,"",MONTH(F3358))</f>
        <v/>
      </c>
      <c r="I3358" s="21">
        <f>IFERROR(INDEX(Pedidos!$E$2:$E$1801,MATCH(B3358,Pedidos!$A$2:$A$1801,0)),"")</f>
        <v/>
      </c>
      <c r="J3358" s="21">
        <f>IFERROR(INDEX(Pedidos!$C$2:$C$1801,MATCH(B3358,Pedidos!$A$2:$A$1801,0)),"")</f>
        <v/>
      </c>
      <c r="K3358" s="21">
        <f>IFERROR(INDEX(Pedidos!$D$2:$D$1801,MATCH(B3358,Pedidos!$A$2:$A$1801,0)),"")</f>
        <v/>
      </c>
      <c r="L3358" s="21">
        <f>IFERROR(INDEX(Pedidos!$F$2:$F$1801,MATCH(B3358,Pedidos!$A$2:$A$1801,0)),"")</f>
        <v/>
      </c>
      <c r="M3358" s="22">
        <f>IFERROR(INDEX(Pedidos!$G$2:$G$1801,MATCH(B3358,Pedidos!$A$2:$A$1801,0)),0)</f>
        <v/>
      </c>
      <c r="N3358" s="21">
        <f>IFERROR(INDEX(Produtos!$B$2:$B$71,MATCH(C3358,Produtos!$A$2:$A$71,0)),"")</f>
        <v/>
      </c>
      <c r="O3358" s="21">
        <f>IFERROR(INDEX(Produtos!$C$2:$C$71,MATCH(C3358,Produtos!$A$2:$A$71,0)),"")</f>
        <v/>
      </c>
      <c r="P3358" s="21">
        <f>IFERROR(INDEX(Produtos!$D$2:$D$71,MATCH(C3358,Produtos!$A$2:$A$71,0)),0)</f>
        <v/>
      </c>
      <c r="Q3358" s="21">
        <f>IFERROR(INDEX(Produtos!$E$2:$E$71,MATCH(C3358,Produtos!$A$2:$A$71,0)),0)</f>
        <v/>
      </c>
      <c r="R3358" s="23">
        <f>D3358*Q3358</f>
        <v/>
      </c>
      <c r="S3358" s="23">
        <f>R3358*E3358</f>
        <v/>
      </c>
      <c r="T3358" s="23">
        <f>(R3358-S3358)*M3358</f>
        <v/>
      </c>
      <c r="U3358" s="23">
        <f>R3358-S3358-T3358</f>
        <v/>
      </c>
      <c r="V3358" s="23">
        <f>D3358*P3358</f>
        <v/>
      </c>
      <c r="W3358" s="23">
        <f>U3358-V3358</f>
        <v/>
      </c>
      <c r="X3358" s="24">
        <f>IFERROR(W3358/U3358,0)</f>
        <v/>
      </c>
    </row>
    <row r="3359">
      <c r="A3359" s="25">
        <f>ItensPedido!A3359</f>
        <v/>
      </c>
      <c r="B3359" s="25">
        <f>ItensPedido!B3359</f>
        <v/>
      </c>
      <c r="C3359" s="25">
        <f>ItensPedido!C3359</f>
        <v/>
      </c>
      <c r="D3359" s="25">
        <f>ItensPedido!D3359</f>
        <v/>
      </c>
      <c r="E3359" s="26">
        <f>ItensPedido!E3359</f>
        <v/>
      </c>
      <c r="F3359" s="25">
        <f>IFERROR(INDEX(Pedidos!$B$2:$B$1801,MATCH(B3359,Pedidos!$A$2:$A$1801,0)),0)</f>
        <v/>
      </c>
      <c r="G3359" s="25">
        <f>IF(F3359=0,"",YEAR(F3359))</f>
        <v/>
      </c>
      <c r="H3359" s="25">
        <f>IF(F3359=0,"",MONTH(F3359))</f>
        <v/>
      </c>
      <c r="I3359" s="25">
        <f>IFERROR(INDEX(Pedidos!$E$2:$E$1801,MATCH(B3359,Pedidos!$A$2:$A$1801,0)),"")</f>
        <v/>
      </c>
      <c r="J3359" s="25">
        <f>IFERROR(INDEX(Pedidos!$C$2:$C$1801,MATCH(B3359,Pedidos!$A$2:$A$1801,0)),"")</f>
        <v/>
      </c>
      <c r="K3359" s="25">
        <f>IFERROR(INDEX(Pedidos!$D$2:$D$1801,MATCH(B3359,Pedidos!$A$2:$A$1801,0)),"")</f>
        <v/>
      </c>
      <c r="L3359" s="25">
        <f>IFERROR(INDEX(Pedidos!$F$2:$F$1801,MATCH(B3359,Pedidos!$A$2:$A$1801,0)),"")</f>
        <v/>
      </c>
      <c r="M3359" s="26">
        <f>IFERROR(INDEX(Pedidos!$G$2:$G$1801,MATCH(B3359,Pedidos!$A$2:$A$1801,0)),0)</f>
        <v/>
      </c>
      <c r="N3359" s="25">
        <f>IFERROR(INDEX(Produtos!$B$2:$B$71,MATCH(C3359,Produtos!$A$2:$A$71,0)),"")</f>
        <v/>
      </c>
      <c r="O3359" s="25">
        <f>IFERROR(INDEX(Produtos!$C$2:$C$71,MATCH(C3359,Produtos!$A$2:$A$71,0)),"")</f>
        <v/>
      </c>
      <c r="P3359" s="25">
        <f>IFERROR(INDEX(Produtos!$D$2:$D$71,MATCH(C3359,Produtos!$A$2:$A$71,0)),0)</f>
        <v/>
      </c>
      <c r="Q3359" s="25">
        <f>IFERROR(INDEX(Produtos!$E$2:$E$71,MATCH(C3359,Produtos!$A$2:$A$71,0)),0)</f>
        <v/>
      </c>
      <c r="R3359" s="27">
        <f>D3359*Q3359</f>
        <v/>
      </c>
      <c r="S3359" s="27">
        <f>R3359*E3359</f>
        <v/>
      </c>
      <c r="T3359" s="27">
        <f>(R3359-S3359)*M3359</f>
        <v/>
      </c>
      <c r="U3359" s="27">
        <f>R3359-S3359-T3359</f>
        <v/>
      </c>
      <c r="V3359" s="27">
        <f>D3359*P3359</f>
        <v/>
      </c>
      <c r="W3359" s="27">
        <f>U3359-V3359</f>
        <v/>
      </c>
      <c r="X3359" s="28">
        <f>IFERROR(W3359/U3359,0)</f>
        <v/>
      </c>
    </row>
    <row r="3360">
      <c r="A3360" s="21">
        <f>ItensPedido!A3360</f>
        <v/>
      </c>
      <c r="B3360" s="21">
        <f>ItensPedido!B3360</f>
        <v/>
      </c>
      <c r="C3360" s="21">
        <f>ItensPedido!C3360</f>
        <v/>
      </c>
      <c r="D3360" s="21">
        <f>ItensPedido!D3360</f>
        <v/>
      </c>
      <c r="E3360" s="22">
        <f>ItensPedido!E3360</f>
        <v/>
      </c>
      <c r="F3360" s="21">
        <f>IFERROR(INDEX(Pedidos!$B$2:$B$1801,MATCH(B3360,Pedidos!$A$2:$A$1801,0)),0)</f>
        <v/>
      </c>
      <c r="G3360" s="21">
        <f>IF(F3360=0,"",YEAR(F3360))</f>
        <v/>
      </c>
      <c r="H3360" s="21">
        <f>IF(F3360=0,"",MONTH(F3360))</f>
        <v/>
      </c>
      <c r="I3360" s="21">
        <f>IFERROR(INDEX(Pedidos!$E$2:$E$1801,MATCH(B3360,Pedidos!$A$2:$A$1801,0)),"")</f>
        <v/>
      </c>
      <c r="J3360" s="21">
        <f>IFERROR(INDEX(Pedidos!$C$2:$C$1801,MATCH(B3360,Pedidos!$A$2:$A$1801,0)),"")</f>
        <v/>
      </c>
      <c r="K3360" s="21">
        <f>IFERROR(INDEX(Pedidos!$D$2:$D$1801,MATCH(B3360,Pedidos!$A$2:$A$1801,0)),"")</f>
        <v/>
      </c>
      <c r="L3360" s="21">
        <f>IFERROR(INDEX(Pedidos!$F$2:$F$1801,MATCH(B3360,Pedidos!$A$2:$A$1801,0)),"")</f>
        <v/>
      </c>
      <c r="M3360" s="22">
        <f>IFERROR(INDEX(Pedidos!$G$2:$G$1801,MATCH(B3360,Pedidos!$A$2:$A$1801,0)),0)</f>
        <v/>
      </c>
      <c r="N3360" s="21">
        <f>IFERROR(INDEX(Produtos!$B$2:$B$71,MATCH(C3360,Produtos!$A$2:$A$71,0)),"")</f>
        <v/>
      </c>
      <c r="O3360" s="21">
        <f>IFERROR(INDEX(Produtos!$C$2:$C$71,MATCH(C3360,Produtos!$A$2:$A$71,0)),"")</f>
        <v/>
      </c>
      <c r="P3360" s="21">
        <f>IFERROR(INDEX(Produtos!$D$2:$D$71,MATCH(C3360,Produtos!$A$2:$A$71,0)),0)</f>
        <v/>
      </c>
      <c r="Q3360" s="21">
        <f>IFERROR(INDEX(Produtos!$E$2:$E$71,MATCH(C3360,Produtos!$A$2:$A$71,0)),0)</f>
        <v/>
      </c>
      <c r="R3360" s="23">
        <f>D3360*Q3360</f>
        <v/>
      </c>
      <c r="S3360" s="23">
        <f>R3360*E3360</f>
        <v/>
      </c>
      <c r="T3360" s="23">
        <f>(R3360-S3360)*M3360</f>
        <v/>
      </c>
      <c r="U3360" s="23">
        <f>R3360-S3360-T3360</f>
        <v/>
      </c>
      <c r="V3360" s="23">
        <f>D3360*P3360</f>
        <v/>
      </c>
      <c r="W3360" s="23">
        <f>U3360-V3360</f>
        <v/>
      </c>
      <c r="X3360" s="24">
        <f>IFERROR(W3360/U3360,0)</f>
        <v/>
      </c>
    </row>
    <row r="3361">
      <c r="A3361" s="25">
        <f>ItensPedido!A3361</f>
        <v/>
      </c>
      <c r="B3361" s="25">
        <f>ItensPedido!B3361</f>
        <v/>
      </c>
      <c r="C3361" s="25">
        <f>ItensPedido!C3361</f>
        <v/>
      </c>
      <c r="D3361" s="25">
        <f>ItensPedido!D3361</f>
        <v/>
      </c>
      <c r="E3361" s="26">
        <f>ItensPedido!E3361</f>
        <v/>
      </c>
      <c r="F3361" s="25">
        <f>IFERROR(INDEX(Pedidos!$B$2:$B$1801,MATCH(B3361,Pedidos!$A$2:$A$1801,0)),0)</f>
        <v/>
      </c>
      <c r="G3361" s="25">
        <f>IF(F3361=0,"",YEAR(F3361))</f>
        <v/>
      </c>
      <c r="H3361" s="25">
        <f>IF(F3361=0,"",MONTH(F3361))</f>
        <v/>
      </c>
      <c r="I3361" s="25">
        <f>IFERROR(INDEX(Pedidos!$E$2:$E$1801,MATCH(B3361,Pedidos!$A$2:$A$1801,0)),"")</f>
        <v/>
      </c>
      <c r="J3361" s="25">
        <f>IFERROR(INDEX(Pedidos!$C$2:$C$1801,MATCH(B3361,Pedidos!$A$2:$A$1801,0)),"")</f>
        <v/>
      </c>
      <c r="K3361" s="25">
        <f>IFERROR(INDEX(Pedidos!$D$2:$D$1801,MATCH(B3361,Pedidos!$A$2:$A$1801,0)),"")</f>
        <v/>
      </c>
      <c r="L3361" s="25">
        <f>IFERROR(INDEX(Pedidos!$F$2:$F$1801,MATCH(B3361,Pedidos!$A$2:$A$1801,0)),"")</f>
        <v/>
      </c>
      <c r="M3361" s="26">
        <f>IFERROR(INDEX(Pedidos!$G$2:$G$1801,MATCH(B3361,Pedidos!$A$2:$A$1801,0)),0)</f>
        <v/>
      </c>
      <c r="N3361" s="25">
        <f>IFERROR(INDEX(Produtos!$B$2:$B$71,MATCH(C3361,Produtos!$A$2:$A$71,0)),"")</f>
        <v/>
      </c>
      <c r="O3361" s="25">
        <f>IFERROR(INDEX(Produtos!$C$2:$C$71,MATCH(C3361,Produtos!$A$2:$A$71,0)),"")</f>
        <v/>
      </c>
      <c r="P3361" s="25">
        <f>IFERROR(INDEX(Produtos!$D$2:$D$71,MATCH(C3361,Produtos!$A$2:$A$71,0)),0)</f>
        <v/>
      </c>
      <c r="Q3361" s="25">
        <f>IFERROR(INDEX(Produtos!$E$2:$E$71,MATCH(C3361,Produtos!$A$2:$A$71,0)),0)</f>
        <v/>
      </c>
      <c r="R3361" s="27">
        <f>D3361*Q3361</f>
        <v/>
      </c>
      <c r="S3361" s="27">
        <f>R3361*E3361</f>
        <v/>
      </c>
      <c r="T3361" s="27">
        <f>(R3361-S3361)*M3361</f>
        <v/>
      </c>
      <c r="U3361" s="27">
        <f>R3361-S3361-T3361</f>
        <v/>
      </c>
      <c r="V3361" s="27">
        <f>D3361*P3361</f>
        <v/>
      </c>
      <c r="W3361" s="27">
        <f>U3361-V3361</f>
        <v/>
      </c>
      <c r="X3361" s="28">
        <f>IFERROR(W3361/U3361,0)</f>
        <v/>
      </c>
    </row>
    <row r="3362">
      <c r="A3362" s="21">
        <f>ItensPedido!A3362</f>
        <v/>
      </c>
      <c r="B3362" s="21">
        <f>ItensPedido!B3362</f>
        <v/>
      </c>
      <c r="C3362" s="21">
        <f>ItensPedido!C3362</f>
        <v/>
      </c>
      <c r="D3362" s="21">
        <f>ItensPedido!D3362</f>
        <v/>
      </c>
      <c r="E3362" s="22">
        <f>ItensPedido!E3362</f>
        <v/>
      </c>
      <c r="F3362" s="21">
        <f>IFERROR(INDEX(Pedidos!$B$2:$B$1801,MATCH(B3362,Pedidos!$A$2:$A$1801,0)),0)</f>
        <v/>
      </c>
      <c r="G3362" s="21">
        <f>IF(F3362=0,"",YEAR(F3362))</f>
        <v/>
      </c>
      <c r="H3362" s="21">
        <f>IF(F3362=0,"",MONTH(F3362))</f>
        <v/>
      </c>
      <c r="I3362" s="21">
        <f>IFERROR(INDEX(Pedidos!$E$2:$E$1801,MATCH(B3362,Pedidos!$A$2:$A$1801,0)),"")</f>
        <v/>
      </c>
      <c r="J3362" s="21">
        <f>IFERROR(INDEX(Pedidos!$C$2:$C$1801,MATCH(B3362,Pedidos!$A$2:$A$1801,0)),"")</f>
        <v/>
      </c>
      <c r="K3362" s="21">
        <f>IFERROR(INDEX(Pedidos!$D$2:$D$1801,MATCH(B3362,Pedidos!$A$2:$A$1801,0)),"")</f>
        <v/>
      </c>
      <c r="L3362" s="21">
        <f>IFERROR(INDEX(Pedidos!$F$2:$F$1801,MATCH(B3362,Pedidos!$A$2:$A$1801,0)),"")</f>
        <v/>
      </c>
      <c r="M3362" s="22">
        <f>IFERROR(INDEX(Pedidos!$G$2:$G$1801,MATCH(B3362,Pedidos!$A$2:$A$1801,0)),0)</f>
        <v/>
      </c>
      <c r="N3362" s="21">
        <f>IFERROR(INDEX(Produtos!$B$2:$B$71,MATCH(C3362,Produtos!$A$2:$A$71,0)),"")</f>
        <v/>
      </c>
      <c r="O3362" s="21">
        <f>IFERROR(INDEX(Produtos!$C$2:$C$71,MATCH(C3362,Produtos!$A$2:$A$71,0)),"")</f>
        <v/>
      </c>
      <c r="P3362" s="21">
        <f>IFERROR(INDEX(Produtos!$D$2:$D$71,MATCH(C3362,Produtos!$A$2:$A$71,0)),0)</f>
        <v/>
      </c>
      <c r="Q3362" s="21">
        <f>IFERROR(INDEX(Produtos!$E$2:$E$71,MATCH(C3362,Produtos!$A$2:$A$71,0)),0)</f>
        <v/>
      </c>
      <c r="R3362" s="23">
        <f>D3362*Q3362</f>
        <v/>
      </c>
      <c r="S3362" s="23">
        <f>R3362*E3362</f>
        <v/>
      </c>
      <c r="T3362" s="23">
        <f>(R3362-S3362)*M3362</f>
        <v/>
      </c>
      <c r="U3362" s="23">
        <f>R3362-S3362-T3362</f>
        <v/>
      </c>
      <c r="V3362" s="23">
        <f>D3362*P3362</f>
        <v/>
      </c>
      <c r="W3362" s="23">
        <f>U3362-V3362</f>
        <v/>
      </c>
      <c r="X3362" s="24">
        <f>IFERROR(W3362/U3362,0)</f>
        <v/>
      </c>
    </row>
    <row r="3363">
      <c r="A3363" s="25">
        <f>ItensPedido!A3363</f>
        <v/>
      </c>
      <c r="B3363" s="25">
        <f>ItensPedido!B3363</f>
        <v/>
      </c>
      <c r="C3363" s="25">
        <f>ItensPedido!C3363</f>
        <v/>
      </c>
      <c r="D3363" s="25">
        <f>ItensPedido!D3363</f>
        <v/>
      </c>
      <c r="E3363" s="26">
        <f>ItensPedido!E3363</f>
        <v/>
      </c>
      <c r="F3363" s="25">
        <f>IFERROR(INDEX(Pedidos!$B$2:$B$1801,MATCH(B3363,Pedidos!$A$2:$A$1801,0)),0)</f>
        <v/>
      </c>
      <c r="G3363" s="25">
        <f>IF(F3363=0,"",YEAR(F3363))</f>
        <v/>
      </c>
      <c r="H3363" s="25">
        <f>IF(F3363=0,"",MONTH(F3363))</f>
        <v/>
      </c>
      <c r="I3363" s="25">
        <f>IFERROR(INDEX(Pedidos!$E$2:$E$1801,MATCH(B3363,Pedidos!$A$2:$A$1801,0)),"")</f>
        <v/>
      </c>
      <c r="J3363" s="25">
        <f>IFERROR(INDEX(Pedidos!$C$2:$C$1801,MATCH(B3363,Pedidos!$A$2:$A$1801,0)),"")</f>
        <v/>
      </c>
      <c r="K3363" s="25">
        <f>IFERROR(INDEX(Pedidos!$D$2:$D$1801,MATCH(B3363,Pedidos!$A$2:$A$1801,0)),"")</f>
        <v/>
      </c>
      <c r="L3363" s="25">
        <f>IFERROR(INDEX(Pedidos!$F$2:$F$1801,MATCH(B3363,Pedidos!$A$2:$A$1801,0)),"")</f>
        <v/>
      </c>
      <c r="M3363" s="26">
        <f>IFERROR(INDEX(Pedidos!$G$2:$G$1801,MATCH(B3363,Pedidos!$A$2:$A$1801,0)),0)</f>
        <v/>
      </c>
      <c r="N3363" s="25">
        <f>IFERROR(INDEX(Produtos!$B$2:$B$71,MATCH(C3363,Produtos!$A$2:$A$71,0)),"")</f>
        <v/>
      </c>
      <c r="O3363" s="25">
        <f>IFERROR(INDEX(Produtos!$C$2:$C$71,MATCH(C3363,Produtos!$A$2:$A$71,0)),"")</f>
        <v/>
      </c>
      <c r="P3363" s="25">
        <f>IFERROR(INDEX(Produtos!$D$2:$D$71,MATCH(C3363,Produtos!$A$2:$A$71,0)),0)</f>
        <v/>
      </c>
      <c r="Q3363" s="25">
        <f>IFERROR(INDEX(Produtos!$E$2:$E$71,MATCH(C3363,Produtos!$A$2:$A$71,0)),0)</f>
        <v/>
      </c>
      <c r="R3363" s="27">
        <f>D3363*Q3363</f>
        <v/>
      </c>
      <c r="S3363" s="27">
        <f>R3363*E3363</f>
        <v/>
      </c>
      <c r="T3363" s="27">
        <f>(R3363-S3363)*M3363</f>
        <v/>
      </c>
      <c r="U3363" s="27">
        <f>R3363-S3363-T3363</f>
        <v/>
      </c>
      <c r="V3363" s="27">
        <f>D3363*P3363</f>
        <v/>
      </c>
      <c r="W3363" s="27">
        <f>U3363-V3363</f>
        <v/>
      </c>
      <c r="X3363" s="28">
        <f>IFERROR(W3363/U3363,0)</f>
        <v/>
      </c>
    </row>
    <row r="3364">
      <c r="A3364" s="21">
        <f>ItensPedido!A3364</f>
        <v/>
      </c>
      <c r="B3364" s="21">
        <f>ItensPedido!B3364</f>
        <v/>
      </c>
      <c r="C3364" s="21">
        <f>ItensPedido!C3364</f>
        <v/>
      </c>
      <c r="D3364" s="21">
        <f>ItensPedido!D3364</f>
        <v/>
      </c>
      <c r="E3364" s="22">
        <f>ItensPedido!E3364</f>
        <v/>
      </c>
      <c r="F3364" s="21">
        <f>IFERROR(INDEX(Pedidos!$B$2:$B$1801,MATCH(B3364,Pedidos!$A$2:$A$1801,0)),0)</f>
        <v/>
      </c>
      <c r="G3364" s="21">
        <f>IF(F3364=0,"",YEAR(F3364))</f>
        <v/>
      </c>
      <c r="H3364" s="21">
        <f>IF(F3364=0,"",MONTH(F3364))</f>
        <v/>
      </c>
      <c r="I3364" s="21">
        <f>IFERROR(INDEX(Pedidos!$E$2:$E$1801,MATCH(B3364,Pedidos!$A$2:$A$1801,0)),"")</f>
        <v/>
      </c>
      <c r="J3364" s="21">
        <f>IFERROR(INDEX(Pedidos!$C$2:$C$1801,MATCH(B3364,Pedidos!$A$2:$A$1801,0)),"")</f>
        <v/>
      </c>
      <c r="K3364" s="21">
        <f>IFERROR(INDEX(Pedidos!$D$2:$D$1801,MATCH(B3364,Pedidos!$A$2:$A$1801,0)),"")</f>
        <v/>
      </c>
      <c r="L3364" s="21">
        <f>IFERROR(INDEX(Pedidos!$F$2:$F$1801,MATCH(B3364,Pedidos!$A$2:$A$1801,0)),"")</f>
        <v/>
      </c>
      <c r="M3364" s="22">
        <f>IFERROR(INDEX(Pedidos!$G$2:$G$1801,MATCH(B3364,Pedidos!$A$2:$A$1801,0)),0)</f>
        <v/>
      </c>
      <c r="N3364" s="21">
        <f>IFERROR(INDEX(Produtos!$B$2:$B$71,MATCH(C3364,Produtos!$A$2:$A$71,0)),"")</f>
        <v/>
      </c>
      <c r="O3364" s="21">
        <f>IFERROR(INDEX(Produtos!$C$2:$C$71,MATCH(C3364,Produtos!$A$2:$A$71,0)),"")</f>
        <v/>
      </c>
      <c r="P3364" s="21">
        <f>IFERROR(INDEX(Produtos!$D$2:$D$71,MATCH(C3364,Produtos!$A$2:$A$71,0)),0)</f>
        <v/>
      </c>
      <c r="Q3364" s="21">
        <f>IFERROR(INDEX(Produtos!$E$2:$E$71,MATCH(C3364,Produtos!$A$2:$A$71,0)),0)</f>
        <v/>
      </c>
      <c r="R3364" s="23">
        <f>D3364*Q3364</f>
        <v/>
      </c>
      <c r="S3364" s="23">
        <f>R3364*E3364</f>
        <v/>
      </c>
      <c r="T3364" s="23">
        <f>(R3364-S3364)*M3364</f>
        <v/>
      </c>
      <c r="U3364" s="23">
        <f>R3364-S3364-T3364</f>
        <v/>
      </c>
      <c r="V3364" s="23">
        <f>D3364*P3364</f>
        <v/>
      </c>
      <c r="W3364" s="23">
        <f>U3364-V3364</f>
        <v/>
      </c>
      <c r="X3364" s="24">
        <f>IFERROR(W3364/U3364,0)</f>
        <v/>
      </c>
    </row>
    <row r="3365">
      <c r="A3365" s="25">
        <f>ItensPedido!A3365</f>
        <v/>
      </c>
      <c r="B3365" s="25">
        <f>ItensPedido!B3365</f>
        <v/>
      </c>
      <c r="C3365" s="25">
        <f>ItensPedido!C3365</f>
        <v/>
      </c>
      <c r="D3365" s="25">
        <f>ItensPedido!D3365</f>
        <v/>
      </c>
      <c r="E3365" s="26">
        <f>ItensPedido!E3365</f>
        <v/>
      </c>
      <c r="F3365" s="25">
        <f>IFERROR(INDEX(Pedidos!$B$2:$B$1801,MATCH(B3365,Pedidos!$A$2:$A$1801,0)),0)</f>
        <v/>
      </c>
      <c r="G3365" s="25">
        <f>IF(F3365=0,"",YEAR(F3365))</f>
        <v/>
      </c>
      <c r="H3365" s="25">
        <f>IF(F3365=0,"",MONTH(F3365))</f>
        <v/>
      </c>
      <c r="I3365" s="25">
        <f>IFERROR(INDEX(Pedidos!$E$2:$E$1801,MATCH(B3365,Pedidos!$A$2:$A$1801,0)),"")</f>
        <v/>
      </c>
      <c r="J3365" s="25">
        <f>IFERROR(INDEX(Pedidos!$C$2:$C$1801,MATCH(B3365,Pedidos!$A$2:$A$1801,0)),"")</f>
        <v/>
      </c>
      <c r="K3365" s="25">
        <f>IFERROR(INDEX(Pedidos!$D$2:$D$1801,MATCH(B3365,Pedidos!$A$2:$A$1801,0)),"")</f>
        <v/>
      </c>
      <c r="L3365" s="25">
        <f>IFERROR(INDEX(Pedidos!$F$2:$F$1801,MATCH(B3365,Pedidos!$A$2:$A$1801,0)),"")</f>
        <v/>
      </c>
      <c r="M3365" s="26">
        <f>IFERROR(INDEX(Pedidos!$G$2:$G$1801,MATCH(B3365,Pedidos!$A$2:$A$1801,0)),0)</f>
        <v/>
      </c>
      <c r="N3365" s="25">
        <f>IFERROR(INDEX(Produtos!$B$2:$B$71,MATCH(C3365,Produtos!$A$2:$A$71,0)),"")</f>
        <v/>
      </c>
      <c r="O3365" s="25">
        <f>IFERROR(INDEX(Produtos!$C$2:$C$71,MATCH(C3365,Produtos!$A$2:$A$71,0)),"")</f>
        <v/>
      </c>
      <c r="P3365" s="25">
        <f>IFERROR(INDEX(Produtos!$D$2:$D$71,MATCH(C3365,Produtos!$A$2:$A$71,0)),0)</f>
        <v/>
      </c>
      <c r="Q3365" s="25">
        <f>IFERROR(INDEX(Produtos!$E$2:$E$71,MATCH(C3365,Produtos!$A$2:$A$71,0)),0)</f>
        <v/>
      </c>
      <c r="R3365" s="27">
        <f>D3365*Q3365</f>
        <v/>
      </c>
      <c r="S3365" s="27">
        <f>R3365*E3365</f>
        <v/>
      </c>
      <c r="T3365" s="27">
        <f>(R3365-S3365)*M3365</f>
        <v/>
      </c>
      <c r="U3365" s="27">
        <f>R3365-S3365-T3365</f>
        <v/>
      </c>
      <c r="V3365" s="27">
        <f>D3365*P3365</f>
        <v/>
      </c>
      <c r="W3365" s="27">
        <f>U3365-V3365</f>
        <v/>
      </c>
      <c r="X3365" s="28">
        <f>IFERROR(W3365/U3365,0)</f>
        <v/>
      </c>
    </row>
    <row r="3366">
      <c r="A3366" s="21">
        <f>ItensPedido!A3366</f>
        <v/>
      </c>
      <c r="B3366" s="21">
        <f>ItensPedido!B3366</f>
        <v/>
      </c>
      <c r="C3366" s="21">
        <f>ItensPedido!C3366</f>
        <v/>
      </c>
      <c r="D3366" s="21">
        <f>ItensPedido!D3366</f>
        <v/>
      </c>
      <c r="E3366" s="22">
        <f>ItensPedido!E3366</f>
        <v/>
      </c>
      <c r="F3366" s="21">
        <f>IFERROR(INDEX(Pedidos!$B$2:$B$1801,MATCH(B3366,Pedidos!$A$2:$A$1801,0)),0)</f>
        <v/>
      </c>
      <c r="G3366" s="21">
        <f>IF(F3366=0,"",YEAR(F3366))</f>
        <v/>
      </c>
      <c r="H3366" s="21">
        <f>IF(F3366=0,"",MONTH(F3366))</f>
        <v/>
      </c>
      <c r="I3366" s="21">
        <f>IFERROR(INDEX(Pedidos!$E$2:$E$1801,MATCH(B3366,Pedidos!$A$2:$A$1801,0)),"")</f>
        <v/>
      </c>
      <c r="J3366" s="21">
        <f>IFERROR(INDEX(Pedidos!$C$2:$C$1801,MATCH(B3366,Pedidos!$A$2:$A$1801,0)),"")</f>
        <v/>
      </c>
      <c r="K3366" s="21">
        <f>IFERROR(INDEX(Pedidos!$D$2:$D$1801,MATCH(B3366,Pedidos!$A$2:$A$1801,0)),"")</f>
        <v/>
      </c>
      <c r="L3366" s="21">
        <f>IFERROR(INDEX(Pedidos!$F$2:$F$1801,MATCH(B3366,Pedidos!$A$2:$A$1801,0)),"")</f>
        <v/>
      </c>
      <c r="M3366" s="22">
        <f>IFERROR(INDEX(Pedidos!$G$2:$G$1801,MATCH(B3366,Pedidos!$A$2:$A$1801,0)),0)</f>
        <v/>
      </c>
      <c r="N3366" s="21">
        <f>IFERROR(INDEX(Produtos!$B$2:$B$71,MATCH(C3366,Produtos!$A$2:$A$71,0)),"")</f>
        <v/>
      </c>
      <c r="O3366" s="21">
        <f>IFERROR(INDEX(Produtos!$C$2:$C$71,MATCH(C3366,Produtos!$A$2:$A$71,0)),"")</f>
        <v/>
      </c>
      <c r="P3366" s="21">
        <f>IFERROR(INDEX(Produtos!$D$2:$D$71,MATCH(C3366,Produtos!$A$2:$A$71,0)),0)</f>
        <v/>
      </c>
      <c r="Q3366" s="21">
        <f>IFERROR(INDEX(Produtos!$E$2:$E$71,MATCH(C3366,Produtos!$A$2:$A$71,0)),0)</f>
        <v/>
      </c>
      <c r="R3366" s="23">
        <f>D3366*Q3366</f>
        <v/>
      </c>
      <c r="S3366" s="23">
        <f>R3366*E3366</f>
        <v/>
      </c>
      <c r="T3366" s="23">
        <f>(R3366-S3366)*M3366</f>
        <v/>
      </c>
      <c r="U3366" s="23">
        <f>R3366-S3366-T3366</f>
        <v/>
      </c>
      <c r="V3366" s="23">
        <f>D3366*P3366</f>
        <v/>
      </c>
      <c r="W3366" s="23">
        <f>U3366-V3366</f>
        <v/>
      </c>
      <c r="X3366" s="24">
        <f>IFERROR(W3366/U3366,0)</f>
        <v/>
      </c>
    </row>
    <row r="3367">
      <c r="A3367" s="25">
        <f>ItensPedido!A3367</f>
        <v/>
      </c>
      <c r="B3367" s="25">
        <f>ItensPedido!B3367</f>
        <v/>
      </c>
      <c r="C3367" s="25">
        <f>ItensPedido!C3367</f>
        <v/>
      </c>
      <c r="D3367" s="25">
        <f>ItensPedido!D3367</f>
        <v/>
      </c>
      <c r="E3367" s="26">
        <f>ItensPedido!E3367</f>
        <v/>
      </c>
      <c r="F3367" s="25">
        <f>IFERROR(INDEX(Pedidos!$B$2:$B$1801,MATCH(B3367,Pedidos!$A$2:$A$1801,0)),0)</f>
        <v/>
      </c>
      <c r="G3367" s="25">
        <f>IF(F3367=0,"",YEAR(F3367))</f>
        <v/>
      </c>
      <c r="H3367" s="25">
        <f>IF(F3367=0,"",MONTH(F3367))</f>
        <v/>
      </c>
      <c r="I3367" s="25">
        <f>IFERROR(INDEX(Pedidos!$E$2:$E$1801,MATCH(B3367,Pedidos!$A$2:$A$1801,0)),"")</f>
        <v/>
      </c>
      <c r="J3367" s="25">
        <f>IFERROR(INDEX(Pedidos!$C$2:$C$1801,MATCH(B3367,Pedidos!$A$2:$A$1801,0)),"")</f>
        <v/>
      </c>
      <c r="K3367" s="25">
        <f>IFERROR(INDEX(Pedidos!$D$2:$D$1801,MATCH(B3367,Pedidos!$A$2:$A$1801,0)),"")</f>
        <v/>
      </c>
      <c r="L3367" s="25">
        <f>IFERROR(INDEX(Pedidos!$F$2:$F$1801,MATCH(B3367,Pedidos!$A$2:$A$1801,0)),"")</f>
        <v/>
      </c>
      <c r="M3367" s="26">
        <f>IFERROR(INDEX(Pedidos!$G$2:$G$1801,MATCH(B3367,Pedidos!$A$2:$A$1801,0)),0)</f>
        <v/>
      </c>
      <c r="N3367" s="25">
        <f>IFERROR(INDEX(Produtos!$B$2:$B$71,MATCH(C3367,Produtos!$A$2:$A$71,0)),"")</f>
        <v/>
      </c>
      <c r="O3367" s="25">
        <f>IFERROR(INDEX(Produtos!$C$2:$C$71,MATCH(C3367,Produtos!$A$2:$A$71,0)),"")</f>
        <v/>
      </c>
      <c r="P3367" s="25">
        <f>IFERROR(INDEX(Produtos!$D$2:$D$71,MATCH(C3367,Produtos!$A$2:$A$71,0)),0)</f>
        <v/>
      </c>
      <c r="Q3367" s="25">
        <f>IFERROR(INDEX(Produtos!$E$2:$E$71,MATCH(C3367,Produtos!$A$2:$A$71,0)),0)</f>
        <v/>
      </c>
      <c r="R3367" s="27">
        <f>D3367*Q3367</f>
        <v/>
      </c>
      <c r="S3367" s="27">
        <f>R3367*E3367</f>
        <v/>
      </c>
      <c r="T3367" s="27">
        <f>(R3367-S3367)*M3367</f>
        <v/>
      </c>
      <c r="U3367" s="27">
        <f>R3367-S3367-T3367</f>
        <v/>
      </c>
      <c r="V3367" s="27">
        <f>D3367*P3367</f>
        <v/>
      </c>
      <c r="W3367" s="27">
        <f>U3367-V3367</f>
        <v/>
      </c>
      <c r="X3367" s="28">
        <f>IFERROR(W3367/U3367,0)</f>
        <v/>
      </c>
    </row>
    <row r="3368">
      <c r="A3368" s="21">
        <f>ItensPedido!A3368</f>
        <v/>
      </c>
      <c r="B3368" s="21">
        <f>ItensPedido!B3368</f>
        <v/>
      </c>
      <c r="C3368" s="21">
        <f>ItensPedido!C3368</f>
        <v/>
      </c>
      <c r="D3368" s="21">
        <f>ItensPedido!D3368</f>
        <v/>
      </c>
      <c r="E3368" s="22">
        <f>ItensPedido!E3368</f>
        <v/>
      </c>
      <c r="F3368" s="21">
        <f>IFERROR(INDEX(Pedidos!$B$2:$B$1801,MATCH(B3368,Pedidos!$A$2:$A$1801,0)),0)</f>
        <v/>
      </c>
      <c r="G3368" s="21">
        <f>IF(F3368=0,"",YEAR(F3368))</f>
        <v/>
      </c>
      <c r="H3368" s="21">
        <f>IF(F3368=0,"",MONTH(F3368))</f>
        <v/>
      </c>
      <c r="I3368" s="21">
        <f>IFERROR(INDEX(Pedidos!$E$2:$E$1801,MATCH(B3368,Pedidos!$A$2:$A$1801,0)),"")</f>
        <v/>
      </c>
      <c r="J3368" s="21">
        <f>IFERROR(INDEX(Pedidos!$C$2:$C$1801,MATCH(B3368,Pedidos!$A$2:$A$1801,0)),"")</f>
        <v/>
      </c>
      <c r="K3368" s="21">
        <f>IFERROR(INDEX(Pedidos!$D$2:$D$1801,MATCH(B3368,Pedidos!$A$2:$A$1801,0)),"")</f>
        <v/>
      </c>
      <c r="L3368" s="21">
        <f>IFERROR(INDEX(Pedidos!$F$2:$F$1801,MATCH(B3368,Pedidos!$A$2:$A$1801,0)),"")</f>
        <v/>
      </c>
      <c r="M3368" s="22">
        <f>IFERROR(INDEX(Pedidos!$G$2:$G$1801,MATCH(B3368,Pedidos!$A$2:$A$1801,0)),0)</f>
        <v/>
      </c>
      <c r="N3368" s="21">
        <f>IFERROR(INDEX(Produtos!$B$2:$B$71,MATCH(C3368,Produtos!$A$2:$A$71,0)),"")</f>
        <v/>
      </c>
      <c r="O3368" s="21">
        <f>IFERROR(INDEX(Produtos!$C$2:$C$71,MATCH(C3368,Produtos!$A$2:$A$71,0)),"")</f>
        <v/>
      </c>
      <c r="P3368" s="21">
        <f>IFERROR(INDEX(Produtos!$D$2:$D$71,MATCH(C3368,Produtos!$A$2:$A$71,0)),0)</f>
        <v/>
      </c>
      <c r="Q3368" s="21">
        <f>IFERROR(INDEX(Produtos!$E$2:$E$71,MATCH(C3368,Produtos!$A$2:$A$71,0)),0)</f>
        <v/>
      </c>
      <c r="R3368" s="23">
        <f>D3368*Q3368</f>
        <v/>
      </c>
      <c r="S3368" s="23">
        <f>R3368*E3368</f>
        <v/>
      </c>
      <c r="T3368" s="23">
        <f>(R3368-S3368)*M3368</f>
        <v/>
      </c>
      <c r="U3368" s="23">
        <f>R3368-S3368-T3368</f>
        <v/>
      </c>
      <c r="V3368" s="23">
        <f>D3368*P3368</f>
        <v/>
      </c>
      <c r="W3368" s="23">
        <f>U3368-V3368</f>
        <v/>
      </c>
      <c r="X3368" s="24">
        <f>IFERROR(W3368/U3368,0)</f>
        <v/>
      </c>
    </row>
    <row r="3369">
      <c r="A3369" s="25">
        <f>ItensPedido!A3369</f>
        <v/>
      </c>
      <c r="B3369" s="25">
        <f>ItensPedido!B3369</f>
        <v/>
      </c>
      <c r="C3369" s="25">
        <f>ItensPedido!C3369</f>
        <v/>
      </c>
      <c r="D3369" s="25">
        <f>ItensPedido!D3369</f>
        <v/>
      </c>
      <c r="E3369" s="26">
        <f>ItensPedido!E3369</f>
        <v/>
      </c>
      <c r="F3369" s="25">
        <f>IFERROR(INDEX(Pedidos!$B$2:$B$1801,MATCH(B3369,Pedidos!$A$2:$A$1801,0)),0)</f>
        <v/>
      </c>
      <c r="G3369" s="25">
        <f>IF(F3369=0,"",YEAR(F3369))</f>
        <v/>
      </c>
      <c r="H3369" s="25">
        <f>IF(F3369=0,"",MONTH(F3369))</f>
        <v/>
      </c>
      <c r="I3369" s="25">
        <f>IFERROR(INDEX(Pedidos!$E$2:$E$1801,MATCH(B3369,Pedidos!$A$2:$A$1801,0)),"")</f>
        <v/>
      </c>
      <c r="J3369" s="25">
        <f>IFERROR(INDEX(Pedidos!$C$2:$C$1801,MATCH(B3369,Pedidos!$A$2:$A$1801,0)),"")</f>
        <v/>
      </c>
      <c r="K3369" s="25">
        <f>IFERROR(INDEX(Pedidos!$D$2:$D$1801,MATCH(B3369,Pedidos!$A$2:$A$1801,0)),"")</f>
        <v/>
      </c>
      <c r="L3369" s="25">
        <f>IFERROR(INDEX(Pedidos!$F$2:$F$1801,MATCH(B3369,Pedidos!$A$2:$A$1801,0)),"")</f>
        <v/>
      </c>
      <c r="M3369" s="26">
        <f>IFERROR(INDEX(Pedidos!$G$2:$G$1801,MATCH(B3369,Pedidos!$A$2:$A$1801,0)),0)</f>
        <v/>
      </c>
      <c r="N3369" s="25">
        <f>IFERROR(INDEX(Produtos!$B$2:$B$71,MATCH(C3369,Produtos!$A$2:$A$71,0)),"")</f>
        <v/>
      </c>
      <c r="O3369" s="25">
        <f>IFERROR(INDEX(Produtos!$C$2:$C$71,MATCH(C3369,Produtos!$A$2:$A$71,0)),"")</f>
        <v/>
      </c>
      <c r="P3369" s="25">
        <f>IFERROR(INDEX(Produtos!$D$2:$D$71,MATCH(C3369,Produtos!$A$2:$A$71,0)),0)</f>
        <v/>
      </c>
      <c r="Q3369" s="25">
        <f>IFERROR(INDEX(Produtos!$E$2:$E$71,MATCH(C3369,Produtos!$A$2:$A$71,0)),0)</f>
        <v/>
      </c>
      <c r="R3369" s="27">
        <f>D3369*Q3369</f>
        <v/>
      </c>
      <c r="S3369" s="27">
        <f>R3369*E3369</f>
        <v/>
      </c>
      <c r="T3369" s="27">
        <f>(R3369-S3369)*M3369</f>
        <v/>
      </c>
      <c r="U3369" s="27">
        <f>R3369-S3369-T3369</f>
        <v/>
      </c>
      <c r="V3369" s="27">
        <f>D3369*P3369</f>
        <v/>
      </c>
      <c r="W3369" s="27">
        <f>U3369-V3369</f>
        <v/>
      </c>
      <c r="X3369" s="28">
        <f>IFERROR(W3369/U3369,0)</f>
        <v/>
      </c>
    </row>
    <row r="3370">
      <c r="A3370" s="21">
        <f>ItensPedido!A3370</f>
        <v/>
      </c>
      <c r="B3370" s="21">
        <f>ItensPedido!B3370</f>
        <v/>
      </c>
      <c r="C3370" s="21">
        <f>ItensPedido!C3370</f>
        <v/>
      </c>
      <c r="D3370" s="21">
        <f>ItensPedido!D3370</f>
        <v/>
      </c>
      <c r="E3370" s="22">
        <f>ItensPedido!E3370</f>
        <v/>
      </c>
      <c r="F3370" s="21">
        <f>IFERROR(INDEX(Pedidos!$B$2:$B$1801,MATCH(B3370,Pedidos!$A$2:$A$1801,0)),0)</f>
        <v/>
      </c>
      <c r="G3370" s="21">
        <f>IF(F3370=0,"",YEAR(F3370))</f>
        <v/>
      </c>
      <c r="H3370" s="21">
        <f>IF(F3370=0,"",MONTH(F3370))</f>
        <v/>
      </c>
      <c r="I3370" s="21">
        <f>IFERROR(INDEX(Pedidos!$E$2:$E$1801,MATCH(B3370,Pedidos!$A$2:$A$1801,0)),"")</f>
        <v/>
      </c>
      <c r="J3370" s="21">
        <f>IFERROR(INDEX(Pedidos!$C$2:$C$1801,MATCH(B3370,Pedidos!$A$2:$A$1801,0)),"")</f>
        <v/>
      </c>
      <c r="K3370" s="21">
        <f>IFERROR(INDEX(Pedidos!$D$2:$D$1801,MATCH(B3370,Pedidos!$A$2:$A$1801,0)),"")</f>
        <v/>
      </c>
      <c r="L3370" s="21">
        <f>IFERROR(INDEX(Pedidos!$F$2:$F$1801,MATCH(B3370,Pedidos!$A$2:$A$1801,0)),"")</f>
        <v/>
      </c>
      <c r="M3370" s="22">
        <f>IFERROR(INDEX(Pedidos!$G$2:$G$1801,MATCH(B3370,Pedidos!$A$2:$A$1801,0)),0)</f>
        <v/>
      </c>
      <c r="N3370" s="21">
        <f>IFERROR(INDEX(Produtos!$B$2:$B$71,MATCH(C3370,Produtos!$A$2:$A$71,0)),"")</f>
        <v/>
      </c>
      <c r="O3370" s="21">
        <f>IFERROR(INDEX(Produtos!$C$2:$C$71,MATCH(C3370,Produtos!$A$2:$A$71,0)),"")</f>
        <v/>
      </c>
      <c r="P3370" s="21">
        <f>IFERROR(INDEX(Produtos!$D$2:$D$71,MATCH(C3370,Produtos!$A$2:$A$71,0)),0)</f>
        <v/>
      </c>
      <c r="Q3370" s="21">
        <f>IFERROR(INDEX(Produtos!$E$2:$E$71,MATCH(C3370,Produtos!$A$2:$A$71,0)),0)</f>
        <v/>
      </c>
      <c r="R3370" s="23">
        <f>D3370*Q3370</f>
        <v/>
      </c>
      <c r="S3370" s="23">
        <f>R3370*E3370</f>
        <v/>
      </c>
      <c r="T3370" s="23">
        <f>(R3370-S3370)*M3370</f>
        <v/>
      </c>
      <c r="U3370" s="23">
        <f>R3370-S3370-T3370</f>
        <v/>
      </c>
      <c r="V3370" s="23">
        <f>D3370*P3370</f>
        <v/>
      </c>
      <c r="W3370" s="23">
        <f>U3370-V3370</f>
        <v/>
      </c>
      <c r="X3370" s="24">
        <f>IFERROR(W3370/U3370,0)</f>
        <v/>
      </c>
    </row>
    <row r="3371">
      <c r="A3371" s="25">
        <f>ItensPedido!A3371</f>
        <v/>
      </c>
      <c r="B3371" s="25">
        <f>ItensPedido!B3371</f>
        <v/>
      </c>
      <c r="C3371" s="25">
        <f>ItensPedido!C3371</f>
        <v/>
      </c>
      <c r="D3371" s="25">
        <f>ItensPedido!D3371</f>
        <v/>
      </c>
      <c r="E3371" s="26">
        <f>ItensPedido!E3371</f>
        <v/>
      </c>
      <c r="F3371" s="25">
        <f>IFERROR(INDEX(Pedidos!$B$2:$B$1801,MATCH(B3371,Pedidos!$A$2:$A$1801,0)),0)</f>
        <v/>
      </c>
      <c r="G3371" s="25">
        <f>IF(F3371=0,"",YEAR(F3371))</f>
        <v/>
      </c>
      <c r="H3371" s="25">
        <f>IF(F3371=0,"",MONTH(F3371))</f>
        <v/>
      </c>
      <c r="I3371" s="25">
        <f>IFERROR(INDEX(Pedidos!$E$2:$E$1801,MATCH(B3371,Pedidos!$A$2:$A$1801,0)),"")</f>
        <v/>
      </c>
      <c r="J3371" s="25">
        <f>IFERROR(INDEX(Pedidos!$C$2:$C$1801,MATCH(B3371,Pedidos!$A$2:$A$1801,0)),"")</f>
        <v/>
      </c>
      <c r="K3371" s="25">
        <f>IFERROR(INDEX(Pedidos!$D$2:$D$1801,MATCH(B3371,Pedidos!$A$2:$A$1801,0)),"")</f>
        <v/>
      </c>
      <c r="L3371" s="25">
        <f>IFERROR(INDEX(Pedidos!$F$2:$F$1801,MATCH(B3371,Pedidos!$A$2:$A$1801,0)),"")</f>
        <v/>
      </c>
      <c r="M3371" s="26">
        <f>IFERROR(INDEX(Pedidos!$G$2:$G$1801,MATCH(B3371,Pedidos!$A$2:$A$1801,0)),0)</f>
        <v/>
      </c>
      <c r="N3371" s="25">
        <f>IFERROR(INDEX(Produtos!$B$2:$B$71,MATCH(C3371,Produtos!$A$2:$A$71,0)),"")</f>
        <v/>
      </c>
      <c r="O3371" s="25">
        <f>IFERROR(INDEX(Produtos!$C$2:$C$71,MATCH(C3371,Produtos!$A$2:$A$71,0)),"")</f>
        <v/>
      </c>
      <c r="P3371" s="25">
        <f>IFERROR(INDEX(Produtos!$D$2:$D$71,MATCH(C3371,Produtos!$A$2:$A$71,0)),0)</f>
        <v/>
      </c>
      <c r="Q3371" s="25">
        <f>IFERROR(INDEX(Produtos!$E$2:$E$71,MATCH(C3371,Produtos!$A$2:$A$71,0)),0)</f>
        <v/>
      </c>
      <c r="R3371" s="27">
        <f>D3371*Q3371</f>
        <v/>
      </c>
      <c r="S3371" s="27">
        <f>R3371*E3371</f>
        <v/>
      </c>
      <c r="T3371" s="27">
        <f>(R3371-S3371)*M3371</f>
        <v/>
      </c>
      <c r="U3371" s="27">
        <f>R3371-S3371-T3371</f>
        <v/>
      </c>
      <c r="V3371" s="27">
        <f>D3371*P3371</f>
        <v/>
      </c>
      <c r="W3371" s="27">
        <f>U3371-V3371</f>
        <v/>
      </c>
      <c r="X3371" s="28">
        <f>IFERROR(W3371/U3371,0)</f>
        <v/>
      </c>
    </row>
    <row r="3372">
      <c r="A3372" s="21">
        <f>ItensPedido!A3372</f>
        <v/>
      </c>
      <c r="B3372" s="21">
        <f>ItensPedido!B3372</f>
        <v/>
      </c>
      <c r="C3372" s="21">
        <f>ItensPedido!C3372</f>
        <v/>
      </c>
      <c r="D3372" s="21">
        <f>ItensPedido!D3372</f>
        <v/>
      </c>
      <c r="E3372" s="22">
        <f>ItensPedido!E3372</f>
        <v/>
      </c>
      <c r="F3372" s="21">
        <f>IFERROR(INDEX(Pedidos!$B$2:$B$1801,MATCH(B3372,Pedidos!$A$2:$A$1801,0)),0)</f>
        <v/>
      </c>
      <c r="G3372" s="21">
        <f>IF(F3372=0,"",YEAR(F3372))</f>
        <v/>
      </c>
      <c r="H3372" s="21">
        <f>IF(F3372=0,"",MONTH(F3372))</f>
        <v/>
      </c>
      <c r="I3372" s="21">
        <f>IFERROR(INDEX(Pedidos!$E$2:$E$1801,MATCH(B3372,Pedidos!$A$2:$A$1801,0)),"")</f>
        <v/>
      </c>
      <c r="J3372" s="21">
        <f>IFERROR(INDEX(Pedidos!$C$2:$C$1801,MATCH(B3372,Pedidos!$A$2:$A$1801,0)),"")</f>
        <v/>
      </c>
      <c r="K3372" s="21">
        <f>IFERROR(INDEX(Pedidos!$D$2:$D$1801,MATCH(B3372,Pedidos!$A$2:$A$1801,0)),"")</f>
        <v/>
      </c>
      <c r="L3372" s="21">
        <f>IFERROR(INDEX(Pedidos!$F$2:$F$1801,MATCH(B3372,Pedidos!$A$2:$A$1801,0)),"")</f>
        <v/>
      </c>
      <c r="M3372" s="22">
        <f>IFERROR(INDEX(Pedidos!$G$2:$G$1801,MATCH(B3372,Pedidos!$A$2:$A$1801,0)),0)</f>
        <v/>
      </c>
      <c r="N3372" s="21">
        <f>IFERROR(INDEX(Produtos!$B$2:$B$71,MATCH(C3372,Produtos!$A$2:$A$71,0)),"")</f>
        <v/>
      </c>
      <c r="O3372" s="21">
        <f>IFERROR(INDEX(Produtos!$C$2:$C$71,MATCH(C3372,Produtos!$A$2:$A$71,0)),"")</f>
        <v/>
      </c>
      <c r="P3372" s="21">
        <f>IFERROR(INDEX(Produtos!$D$2:$D$71,MATCH(C3372,Produtos!$A$2:$A$71,0)),0)</f>
        <v/>
      </c>
      <c r="Q3372" s="21">
        <f>IFERROR(INDEX(Produtos!$E$2:$E$71,MATCH(C3372,Produtos!$A$2:$A$71,0)),0)</f>
        <v/>
      </c>
      <c r="R3372" s="23">
        <f>D3372*Q3372</f>
        <v/>
      </c>
      <c r="S3372" s="23">
        <f>R3372*E3372</f>
        <v/>
      </c>
      <c r="T3372" s="23">
        <f>(R3372-S3372)*M3372</f>
        <v/>
      </c>
      <c r="U3372" s="23">
        <f>R3372-S3372-T3372</f>
        <v/>
      </c>
      <c r="V3372" s="23">
        <f>D3372*P3372</f>
        <v/>
      </c>
      <c r="W3372" s="23">
        <f>U3372-V3372</f>
        <v/>
      </c>
      <c r="X3372" s="24">
        <f>IFERROR(W3372/U3372,0)</f>
        <v/>
      </c>
    </row>
    <row r="3373">
      <c r="A3373" s="25">
        <f>ItensPedido!A3373</f>
        <v/>
      </c>
      <c r="B3373" s="25">
        <f>ItensPedido!B3373</f>
        <v/>
      </c>
      <c r="C3373" s="25">
        <f>ItensPedido!C3373</f>
        <v/>
      </c>
      <c r="D3373" s="25">
        <f>ItensPedido!D3373</f>
        <v/>
      </c>
      <c r="E3373" s="26">
        <f>ItensPedido!E3373</f>
        <v/>
      </c>
      <c r="F3373" s="25">
        <f>IFERROR(INDEX(Pedidos!$B$2:$B$1801,MATCH(B3373,Pedidos!$A$2:$A$1801,0)),0)</f>
        <v/>
      </c>
      <c r="G3373" s="25">
        <f>IF(F3373=0,"",YEAR(F3373))</f>
        <v/>
      </c>
      <c r="H3373" s="25">
        <f>IF(F3373=0,"",MONTH(F3373))</f>
        <v/>
      </c>
      <c r="I3373" s="25">
        <f>IFERROR(INDEX(Pedidos!$E$2:$E$1801,MATCH(B3373,Pedidos!$A$2:$A$1801,0)),"")</f>
        <v/>
      </c>
      <c r="J3373" s="25">
        <f>IFERROR(INDEX(Pedidos!$C$2:$C$1801,MATCH(B3373,Pedidos!$A$2:$A$1801,0)),"")</f>
        <v/>
      </c>
      <c r="K3373" s="25">
        <f>IFERROR(INDEX(Pedidos!$D$2:$D$1801,MATCH(B3373,Pedidos!$A$2:$A$1801,0)),"")</f>
        <v/>
      </c>
      <c r="L3373" s="25">
        <f>IFERROR(INDEX(Pedidos!$F$2:$F$1801,MATCH(B3373,Pedidos!$A$2:$A$1801,0)),"")</f>
        <v/>
      </c>
      <c r="M3373" s="26">
        <f>IFERROR(INDEX(Pedidos!$G$2:$G$1801,MATCH(B3373,Pedidos!$A$2:$A$1801,0)),0)</f>
        <v/>
      </c>
      <c r="N3373" s="25">
        <f>IFERROR(INDEX(Produtos!$B$2:$B$71,MATCH(C3373,Produtos!$A$2:$A$71,0)),"")</f>
        <v/>
      </c>
      <c r="O3373" s="25">
        <f>IFERROR(INDEX(Produtos!$C$2:$C$71,MATCH(C3373,Produtos!$A$2:$A$71,0)),"")</f>
        <v/>
      </c>
      <c r="P3373" s="25">
        <f>IFERROR(INDEX(Produtos!$D$2:$D$71,MATCH(C3373,Produtos!$A$2:$A$71,0)),0)</f>
        <v/>
      </c>
      <c r="Q3373" s="25">
        <f>IFERROR(INDEX(Produtos!$E$2:$E$71,MATCH(C3373,Produtos!$A$2:$A$71,0)),0)</f>
        <v/>
      </c>
      <c r="R3373" s="27">
        <f>D3373*Q3373</f>
        <v/>
      </c>
      <c r="S3373" s="27">
        <f>R3373*E3373</f>
        <v/>
      </c>
      <c r="T3373" s="27">
        <f>(R3373-S3373)*M3373</f>
        <v/>
      </c>
      <c r="U3373" s="27">
        <f>R3373-S3373-T3373</f>
        <v/>
      </c>
      <c r="V3373" s="27">
        <f>D3373*P3373</f>
        <v/>
      </c>
      <c r="W3373" s="27">
        <f>U3373-V3373</f>
        <v/>
      </c>
      <c r="X3373" s="28">
        <f>IFERROR(W3373/U3373,0)</f>
        <v/>
      </c>
    </row>
    <row r="3374">
      <c r="A3374" s="21">
        <f>ItensPedido!A3374</f>
        <v/>
      </c>
      <c r="B3374" s="21">
        <f>ItensPedido!B3374</f>
        <v/>
      </c>
      <c r="C3374" s="21">
        <f>ItensPedido!C3374</f>
        <v/>
      </c>
      <c r="D3374" s="21">
        <f>ItensPedido!D3374</f>
        <v/>
      </c>
      <c r="E3374" s="22">
        <f>ItensPedido!E3374</f>
        <v/>
      </c>
      <c r="F3374" s="21">
        <f>IFERROR(INDEX(Pedidos!$B$2:$B$1801,MATCH(B3374,Pedidos!$A$2:$A$1801,0)),0)</f>
        <v/>
      </c>
      <c r="G3374" s="21">
        <f>IF(F3374=0,"",YEAR(F3374))</f>
        <v/>
      </c>
      <c r="H3374" s="21">
        <f>IF(F3374=0,"",MONTH(F3374))</f>
        <v/>
      </c>
      <c r="I3374" s="21">
        <f>IFERROR(INDEX(Pedidos!$E$2:$E$1801,MATCH(B3374,Pedidos!$A$2:$A$1801,0)),"")</f>
        <v/>
      </c>
      <c r="J3374" s="21">
        <f>IFERROR(INDEX(Pedidos!$C$2:$C$1801,MATCH(B3374,Pedidos!$A$2:$A$1801,0)),"")</f>
        <v/>
      </c>
      <c r="K3374" s="21">
        <f>IFERROR(INDEX(Pedidos!$D$2:$D$1801,MATCH(B3374,Pedidos!$A$2:$A$1801,0)),"")</f>
        <v/>
      </c>
      <c r="L3374" s="21">
        <f>IFERROR(INDEX(Pedidos!$F$2:$F$1801,MATCH(B3374,Pedidos!$A$2:$A$1801,0)),"")</f>
        <v/>
      </c>
      <c r="M3374" s="22">
        <f>IFERROR(INDEX(Pedidos!$G$2:$G$1801,MATCH(B3374,Pedidos!$A$2:$A$1801,0)),0)</f>
        <v/>
      </c>
      <c r="N3374" s="21">
        <f>IFERROR(INDEX(Produtos!$B$2:$B$71,MATCH(C3374,Produtos!$A$2:$A$71,0)),"")</f>
        <v/>
      </c>
      <c r="O3374" s="21">
        <f>IFERROR(INDEX(Produtos!$C$2:$C$71,MATCH(C3374,Produtos!$A$2:$A$71,0)),"")</f>
        <v/>
      </c>
      <c r="P3374" s="21">
        <f>IFERROR(INDEX(Produtos!$D$2:$D$71,MATCH(C3374,Produtos!$A$2:$A$71,0)),0)</f>
        <v/>
      </c>
      <c r="Q3374" s="21">
        <f>IFERROR(INDEX(Produtos!$E$2:$E$71,MATCH(C3374,Produtos!$A$2:$A$71,0)),0)</f>
        <v/>
      </c>
      <c r="R3374" s="23">
        <f>D3374*Q3374</f>
        <v/>
      </c>
      <c r="S3374" s="23">
        <f>R3374*E3374</f>
        <v/>
      </c>
      <c r="T3374" s="23">
        <f>(R3374-S3374)*M3374</f>
        <v/>
      </c>
      <c r="U3374" s="23">
        <f>R3374-S3374-T3374</f>
        <v/>
      </c>
      <c r="V3374" s="23">
        <f>D3374*P3374</f>
        <v/>
      </c>
      <c r="W3374" s="23">
        <f>U3374-V3374</f>
        <v/>
      </c>
      <c r="X3374" s="24">
        <f>IFERROR(W3374/U3374,0)</f>
        <v/>
      </c>
    </row>
    <row r="3375">
      <c r="A3375" s="25">
        <f>ItensPedido!A3375</f>
        <v/>
      </c>
      <c r="B3375" s="25">
        <f>ItensPedido!B3375</f>
        <v/>
      </c>
      <c r="C3375" s="25">
        <f>ItensPedido!C3375</f>
        <v/>
      </c>
      <c r="D3375" s="25">
        <f>ItensPedido!D3375</f>
        <v/>
      </c>
      <c r="E3375" s="26">
        <f>ItensPedido!E3375</f>
        <v/>
      </c>
      <c r="F3375" s="25">
        <f>IFERROR(INDEX(Pedidos!$B$2:$B$1801,MATCH(B3375,Pedidos!$A$2:$A$1801,0)),0)</f>
        <v/>
      </c>
      <c r="G3375" s="25">
        <f>IF(F3375=0,"",YEAR(F3375))</f>
        <v/>
      </c>
      <c r="H3375" s="25">
        <f>IF(F3375=0,"",MONTH(F3375))</f>
        <v/>
      </c>
      <c r="I3375" s="25">
        <f>IFERROR(INDEX(Pedidos!$E$2:$E$1801,MATCH(B3375,Pedidos!$A$2:$A$1801,0)),"")</f>
        <v/>
      </c>
      <c r="J3375" s="25">
        <f>IFERROR(INDEX(Pedidos!$C$2:$C$1801,MATCH(B3375,Pedidos!$A$2:$A$1801,0)),"")</f>
        <v/>
      </c>
      <c r="K3375" s="25">
        <f>IFERROR(INDEX(Pedidos!$D$2:$D$1801,MATCH(B3375,Pedidos!$A$2:$A$1801,0)),"")</f>
        <v/>
      </c>
      <c r="L3375" s="25">
        <f>IFERROR(INDEX(Pedidos!$F$2:$F$1801,MATCH(B3375,Pedidos!$A$2:$A$1801,0)),"")</f>
        <v/>
      </c>
      <c r="M3375" s="26">
        <f>IFERROR(INDEX(Pedidos!$G$2:$G$1801,MATCH(B3375,Pedidos!$A$2:$A$1801,0)),0)</f>
        <v/>
      </c>
      <c r="N3375" s="25">
        <f>IFERROR(INDEX(Produtos!$B$2:$B$71,MATCH(C3375,Produtos!$A$2:$A$71,0)),"")</f>
        <v/>
      </c>
      <c r="O3375" s="25">
        <f>IFERROR(INDEX(Produtos!$C$2:$C$71,MATCH(C3375,Produtos!$A$2:$A$71,0)),"")</f>
        <v/>
      </c>
      <c r="P3375" s="25">
        <f>IFERROR(INDEX(Produtos!$D$2:$D$71,MATCH(C3375,Produtos!$A$2:$A$71,0)),0)</f>
        <v/>
      </c>
      <c r="Q3375" s="25">
        <f>IFERROR(INDEX(Produtos!$E$2:$E$71,MATCH(C3375,Produtos!$A$2:$A$71,0)),0)</f>
        <v/>
      </c>
      <c r="R3375" s="27">
        <f>D3375*Q3375</f>
        <v/>
      </c>
      <c r="S3375" s="27">
        <f>R3375*E3375</f>
        <v/>
      </c>
      <c r="T3375" s="27">
        <f>(R3375-S3375)*M3375</f>
        <v/>
      </c>
      <c r="U3375" s="27">
        <f>R3375-S3375-T3375</f>
        <v/>
      </c>
      <c r="V3375" s="27">
        <f>D3375*P3375</f>
        <v/>
      </c>
      <c r="W3375" s="27">
        <f>U3375-V3375</f>
        <v/>
      </c>
      <c r="X3375" s="28">
        <f>IFERROR(W3375/U3375,0)</f>
        <v/>
      </c>
    </row>
    <row r="3376">
      <c r="A3376" s="21">
        <f>ItensPedido!A3376</f>
        <v/>
      </c>
      <c r="B3376" s="21">
        <f>ItensPedido!B3376</f>
        <v/>
      </c>
      <c r="C3376" s="21">
        <f>ItensPedido!C3376</f>
        <v/>
      </c>
      <c r="D3376" s="21">
        <f>ItensPedido!D3376</f>
        <v/>
      </c>
      <c r="E3376" s="22">
        <f>ItensPedido!E3376</f>
        <v/>
      </c>
      <c r="F3376" s="21">
        <f>IFERROR(INDEX(Pedidos!$B$2:$B$1801,MATCH(B3376,Pedidos!$A$2:$A$1801,0)),0)</f>
        <v/>
      </c>
      <c r="G3376" s="21">
        <f>IF(F3376=0,"",YEAR(F3376))</f>
        <v/>
      </c>
      <c r="H3376" s="21">
        <f>IF(F3376=0,"",MONTH(F3376))</f>
        <v/>
      </c>
      <c r="I3376" s="21">
        <f>IFERROR(INDEX(Pedidos!$E$2:$E$1801,MATCH(B3376,Pedidos!$A$2:$A$1801,0)),"")</f>
        <v/>
      </c>
      <c r="J3376" s="21">
        <f>IFERROR(INDEX(Pedidos!$C$2:$C$1801,MATCH(B3376,Pedidos!$A$2:$A$1801,0)),"")</f>
        <v/>
      </c>
      <c r="K3376" s="21">
        <f>IFERROR(INDEX(Pedidos!$D$2:$D$1801,MATCH(B3376,Pedidos!$A$2:$A$1801,0)),"")</f>
        <v/>
      </c>
      <c r="L3376" s="21">
        <f>IFERROR(INDEX(Pedidos!$F$2:$F$1801,MATCH(B3376,Pedidos!$A$2:$A$1801,0)),"")</f>
        <v/>
      </c>
      <c r="M3376" s="22">
        <f>IFERROR(INDEX(Pedidos!$G$2:$G$1801,MATCH(B3376,Pedidos!$A$2:$A$1801,0)),0)</f>
        <v/>
      </c>
      <c r="N3376" s="21">
        <f>IFERROR(INDEX(Produtos!$B$2:$B$71,MATCH(C3376,Produtos!$A$2:$A$71,0)),"")</f>
        <v/>
      </c>
      <c r="O3376" s="21">
        <f>IFERROR(INDEX(Produtos!$C$2:$C$71,MATCH(C3376,Produtos!$A$2:$A$71,0)),"")</f>
        <v/>
      </c>
      <c r="P3376" s="21">
        <f>IFERROR(INDEX(Produtos!$D$2:$D$71,MATCH(C3376,Produtos!$A$2:$A$71,0)),0)</f>
        <v/>
      </c>
      <c r="Q3376" s="21">
        <f>IFERROR(INDEX(Produtos!$E$2:$E$71,MATCH(C3376,Produtos!$A$2:$A$71,0)),0)</f>
        <v/>
      </c>
      <c r="R3376" s="23">
        <f>D3376*Q3376</f>
        <v/>
      </c>
      <c r="S3376" s="23">
        <f>R3376*E3376</f>
        <v/>
      </c>
      <c r="T3376" s="23">
        <f>(R3376-S3376)*M3376</f>
        <v/>
      </c>
      <c r="U3376" s="23">
        <f>R3376-S3376-T3376</f>
        <v/>
      </c>
      <c r="V3376" s="23">
        <f>D3376*P3376</f>
        <v/>
      </c>
      <c r="W3376" s="23">
        <f>U3376-V3376</f>
        <v/>
      </c>
      <c r="X3376" s="24">
        <f>IFERROR(W3376/U3376,0)</f>
        <v/>
      </c>
    </row>
    <row r="3377">
      <c r="A3377" s="25">
        <f>ItensPedido!A3377</f>
        <v/>
      </c>
      <c r="B3377" s="25">
        <f>ItensPedido!B3377</f>
        <v/>
      </c>
      <c r="C3377" s="25">
        <f>ItensPedido!C3377</f>
        <v/>
      </c>
      <c r="D3377" s="25">
        <f>ItensPedido!D3377</f>
        <v/>
      </c>
      <c r="E3377" s="26">
        <f>ItensPedido!E3377</f>
        <v/>
      </c>
      <c r="F3377" s="25">
        <f>IFERROR(INDEX(Pedidos!$B$2:$B$1801,MATCH(B3377,Pedidos!$A$2:$A$1801,0)),0)</f>
        <v/>
      </c>
      <c r="G3377" s="25">
        <f>IF(F3377=0,"",YEAR(F3377))</f>
        <v/>
      </c>
      <c r="H3377" s="25">
        <f>IF(F3377=0,"",MONTH(F3377))</f>
        <v/>
      </c>
      <c r="I3377" s="25">
        <f>IFERROR(INDEX(Pedidos!$E$2:$E$1801,MATCH(B3377,Pedidos!$A$2:$A$1801,0)),"")</f>
        <v/>
      </c>
      <c r="J3377" s="25">
        <f>IFERROR(INDEX(Pedidos!$C$2:$C$1801,MATCH(B3377,Pedidos!$A$2:$A$1801,0)),"")</f>
        <v/>
      </c>
      <c r="K3377" s="25">
        <f>IFERROR(INDEX(Pedidos!$D$2:$D$1801,MATCH(B3377,Pedidos!$A$2:$A$1801,0)),"")</f>
        <v/>
      </c>
      <c r="L3377" s="25">
        <f>IFERROR(INDEX(Pedidos!$F$2:$F$1801,MATCH(B3377,Pedidos!$A$2:$A$1801,0)),"")</f>
        <v/>
      </c>
      <c r="M3377" s="26">
        <f>IFERROR(INDEX(Pedidos!$G$2:$G$1801,MATCH(B3377,Pedidos!$A$2:$A$1801,0)),0)</f>
        <v/>
      </c>
      <c r="N3377" s="25">
        <f>IFERROR(INDEX(Produtos!$B$2:$B$71,MATCH(C3377,Produtos!$A$2:$A$71,0)),"")</f>
        <v/>
      </c>
      <c r="O3377" s="25">
        <f>IFERROR(INDEX(Produtos!$C$2:$C$71,MATCH(C3377,Produtos!$A$2:$A$71,0)),"")</f>
        <v/>
      </c>
      <c r="P3377" s="25">
        <f>IFERROR(INDEX(Produtos!$D$2:$D$71,MATCH(C3377,Produtos!$A$2:$A$71,0)),0)</f>
        <v/>
      </c>
      <c r="Q3377" s="25">
        <f>IFERROR(INDEX(Produtos!$E$2:$E$71,MATCH(C3377,Produtos!$A$2:$A$71,0)),0)</f>
        <v/>
      </c>
      <c r="R3377" s="27">
        <f>D3377*Q3377</f>
        <v/>
      </c>
      <c r="S3377" s="27">
        <f>R3377*E3377</f>
        <v/>
      </c>
      <c r="T3377" s="27">
        <f>(R3377-S3377)*M3377</f>
        <v/>
      </c>
      <c r="U3377" s="27">
        <f>R3377-S3377-T3377</f>
        <v/>
      </c>
      <c r="V3377" s="27">
        <f>D3377*P3377</f>
        <v/>
      </c>
      <c r="W3377" s="27">
        <f>U3377-V3377</f>
        <v/>
      </c>
      <c r="X3377" s="28">
        <f>IFERROR(W3377/U3377,0)</f>
        <v/>
      </c>
    </row>
    <row r="3378">
      <c r="A3378" s="21">
        <f>ItensPedido!A3378</f>
        <v/>
      </c>
      <c r="B3378" s="21">
        <f>ItensPedido!B3378</f>
        <v/>
      </c>
      <c r="C3378" s="21">
        <f>ItensPedido!C3378</f>
        <v/>
      </c>
      <c r="D3378" s="21">
        <f>ItensPedido!D3378</f>
        <v/>
      </c>
      <c r="E3378" s="22">
        <f>ItensPedido!E3378</f>
        <v/>
      </c>
      <c r="F3378" s="21">
        <f>IFERROR(INDEX(Pedidos!$B$2:$B$1801,MATCH(B3378,Pedidos!$A$2:$A$1801,0)),0)</f>
        <v/>
      </c>
      <c r="G3378" s="21">
        <f>IF(F3378=0,"",YEAR(F3378))</f>
        <v/>
      </c>
      <c r="H3378" s="21">
        <f>IF(F3378=0,"",MONTH(F3378))</f>
        <v/>
      </c>
      <c r="I3378" s="21">
        <f>IFERROR(INDEX(Pedidos!$E$2:$E$1801,MATCH(B3378,Pedidos!$A$2:$A$1801,0)),"")</f>
        <v/>
      </c>
      <c r="J3378" s="21">
        <f>IFERROR(INDEX(Pedidos!$C$2:$C$1801,MATCH(B3378,Pedidos!$A$2:$A$1801,0)),"")</f>
        <v/>
      </c>
      <c r="K3378" s="21">
        <f>IFERROR(INDEX(Pedidos!$D$2:$D$1801,MATCH(B3378,Pedidos!$A$2:$A$1801,0)),"")</f>
        <v/>
      </c>
      <c r="L3378" s="21">
        <f>IFERROR(INDEX(Pedidos!$F$2:$F$1801,MATCH(B3378,Pedidos!$A$2:$A$1801,0)),"")</f>
        <v/>
      </c>
      <c r="M3378" s="22">
        <f>IFERROR(INDEX(Pedidos!$G$2:$G$1801,MATCH(B3378,Pedidos!$A$2:$A$1801,0)),0)</f>
        <v/>
      </c>
      <c r="N3378" s="21">
        <f>IFERROR(INDEX(Produtos!$B$2:$B$71,MATCH(C3378,Produtos!$A$2:$A$71,0)),"")</f>
        <v/>
      </c>
      <c r="O3378" s="21">
        <f>IFERROR(INDEX(Produtos!$C$2:$C$71,MATCH(C3378,Produtos!$A$2:$A$71,0)),"")</f>
        <v/>
      </c>
      <c r="P3378" s="21">
        <f>IFERROR(INDEX(Produtos!$D$2:$D$71,MATCH(C3378,Produtos!$A$2:$A$71,0)),0)</f>
        <v/>
      </c>
      <c r="Q3378" s="21">
        <f>IFERROR(INDEX(Produtos!$E$2:$E$71,MATCH(C3378,Produtos!$A$2:$A$71,0)),0)</f>
        <v/>
      </c>
      <c r="R3378" s="23">
        <f>D3378*Q3378</f>
        <v/>
      </c>
      <c r="S3378" s="23">
        <f>R3378*E3378</f>
        <v/>
      </c>
      <c r="T3378" s="23">
        <f>(R3378-S3378)*M3378</f>
        <v/>
      </c>
      <c r="U3378" s="23">
        <f>R3378-S3378-T3378</f>
        <v/>
      </c>
      <c r="V3378" s="23">
        <f>D3378*P3378</f>
        <v/>
      </c>
      <c r="W3378" s="23">
        <f>U3378-V3378</f>
        <v/>
      </c>
      <c r="X3378" s="24">
        <f>IFERROR(W3378/U3378,0)</f>
        <v/>
      </c>
    </row>
    <row r="3379">
      <c r="A3379" s="25">
        <f>ItensPedido!A3379</f>
        <v/>
      </c>
      <c r="B3379" s="25">
        <f>ItensPedido!B3379</f>
        <v/>
      </c>
      <c r="C3379" s="25">
        <f>ItensPedido!C3379</f>
        <v/>
      </c>
      <c r="D3379" s="25">
        <f>ItensPedido!D3379</f>
        <v/>
      </c>
      <c r="E3379" s="26">
        <f>ItensPedido!E3379</f>
        <v/>
      </c>
      <c r="F3379" s="25">
        <f>IFERROR(INDEX(Pedidos!$B$2:$B$1801,MATCH(B3379,Pedidos!$A$2:$A$1801,0)),0)</f>
        <v/>
      </c>
      <c r="G3379" s="25">
        <f>IF(F3379=0,"",YEAR(F3379))</f>
        <v/>
      </c>
      <c r="H3379" s="25">
        <f>IF(F3379=0,"",MONTH(F3379))</f>
        <v/>
      </c>
      <c r="I3379" s="25">
        <f>IFERROR(INDEX(Pedidos!$E$2:$E$1801,MATCH(B3379,Pedidos!$A$2:$A$1801,0)),"")</f>
        <v/>
      </c>
      <c r="J3379" s="25">
        <f>IFERROR(INDEX(Pedidos!$C$2:$C$1801,MATCH(B3379,Pedidos!$A$2:$A$1801,0)),"")</f>
        <v/>
      </c>
      <c r="K3379" s="25">
        <f>IFERROR(INDEX(Pedidos!$D$2:$D$1801,MATCH(B3379,Pedidos!$A$2:$A$1801,0)),"")</f>
        <v/>
      </c>
      <c r="L3379" s="25">
        <f>IFERROR(INDEX(Pedidos!$F$2:$F$1801,MATCH(B3379,Pedidos!$A$2:$A$1801,0)),"")</f>
        <v/>
      </c>
      <c r="M3379" s="26">
        <f>IFERROR(INDEX(Pedidos!$G$2:$G$1801,MATCH(B3379,Pedidos!$A$2:$A$1801,0)),0)</f>
        <v/>
      </c>
      <c r="N3379" s="25">
        <f>IFERROR(INDEX(Produtos!$B$2:$B$71,MATCH(C3379,Produtos!$A$2:$A$71,0)),"")</f>
        <v/>
      </c>
      <c r="O3379" s="25">
        <f>IFERROR(INDEX(Produtos!$C$2:$C$71,MATCH(C3379,Produtos!$A$2:$A$71,0)),"")</f>
        <v/>
      </c>
      <c r="P3379" s="25">
        <f>IFERROR(INDEX(Produtos!$D$2:$D$71,MATCH(C3379,Produtos!$A$2:$A$71,0)),0)</f>
        <v/>
      </c>
      <c r="Q3379" s="25">
        <f>IFERROR(INDEX(Produtos!$E$2:$E$71,MATCH(C3379,Produtos!$A$2:$A$71,0)),0)</f>
        <v/>
      </c>
      <c r="R3379" s="27">
        <f>D3379*Q3379</f>
        <v/>
      </c>
      <c r="S3379" s="27">
        <f>R3379*E3379</f>
        <v/>
      </c>
      <c r="T3379" s="27">
        <f>(R3379-S3379)*M3379</f>
        <v/>
      </c>
      <c r="U3379" s="27">
        <f>R3379-S3379-T3379</f>
        <v/>
      </c>
      <c r="V3379" s="27">
        <f>D3379*P3379</f>
        <v/>
      </c>
      <c r="W3379" s="27">
        <f>U3379-V3379</f>
        <v/>
      </c>
      <c r="X3379" s="28">
        <f>IFERROR(W3379/U3379,0)</f>
        <v/>
      </c>
    </row>
    <row r="3380">
      <c r="A3380" s="21">
        <f>ItensPedido!A3380</f>
        <v/>
      </c>
      <c r="B3380" s="21">
        <f>ItensPedido!B3380</f>
        <v/>
      </c>
      <c r="C3380" s="21">
        <f>ItensPedido!C3380</f>
        <v/>
      </c>
      <c r="D3380" s="21">
        <f>ItensPedido!D3380</f>
        <v/>
      </c>
      <c r="E3380" s="22">
        <f>ItensPedido!E3380</f>
        <v/>
      </c>
      <c r="F3380" s="21">
        <f>IFERROR(INDEX(Pedidos!$B$2:$B$1801,MATCH(B3380,Pedidos!$A$2:$A$1801,0)),0)</f>
        <v/>
      </c>
      <c r="G3380" s="21">
        <f>IF(F3380=0,"",YEAR(F3380))</f>
        <v/>
      </c>
      <c r="H3380" s="21">
        <f>IF(F3380=0,"",MONTH(F3380))</f>
        <v/>
      </c>
      <c r="I3380" s="21">
        <f>IFERROR(INDEX(Pedidos!$E$2:$E$1801,MATCH(B3380,Pedidos!$A$2:$A$1801,0)),"")</f>
        <v/>
      </c>
      <c r="J3380" s="21">
        <f>IFERROR(INDEX(Pedidos!$C$2:$C$1801,MATCH(B3380,Pedidos!$A$2:$A$1801,0)),"")</f>
        <v/>
      </c>
      <c r="K3380" s="21">
        <f>IFERROR(INDEX(Pedidos!$D$2:$D$1801,MATCH(B3380,Pedidos!$A$2:$A$1801,0)),"")</f>
        <v/>
      </c>
      <c r="L3380" s="21">
        <f>IFERROR(INDEX(Pedidos!$F$2:$F$1801,MATCH(B3380,Pedidos!$A$2:$A$1801,0)),"")</f>
        <v/>
      </c>
      <c r="M3380" s="22">
        <f>IFERROR(INDEX(Pedidos!$G$2:$G$1801,MATCH(B3380,Pedidos!$A$2:$A$1801,0)),0)</f>
        <v/>
      </c>
      <c r="N3380" s="21">
        <f>IFERROR(INDEX(Produtos!$B$2:$B$71,MATCH(C3380,Produtos!$A$2:$A$71,0)),"")</f>
        <v/>
      </c>
      <c r="O3380" s="21">
        <f>IFERROR(INDEX(Produtos!$C$2:$C$71,MATCH(C3380,Produtos!$A$2:$A$71,0)),"")</f>
        <v/>
      </c>
      <c r="P3380" s="21">
        <f>IFERROR(INDEX(Produtos!$D$2:$D$71,MATCH(C3380,Produtos!$A$2:$A$71,0)),0)</f>
        <v/>
      </c>
      <c r="Q3380" s="21">
        <f>IFERROR(INDEX(Produtos!$E$2:$E$71,MATCH(C3380,Produtos!$A$2:$A$71,0)),0)</f>
        <v/>
      </c>
      <c r="R3380" s="23">
        <f>D3380*Q3380</f>
        <v/>
      </c>
      <c r="S3380" s="23">
        <f>R3380*E3380</f>
        <v/>
      </c>
      <c r="T3380" s="23">
        <f>(R3380-S3380)*M3380</f>
        <v/>
      </c>
      <c r="U3380" s="23">
        <f>R3380-S3380-T3380</f>
        <v/>
      </c>
      <c r="V3380" s="23">
        <f>D3380*P3380</f>
        <v/>
      </c>
      <c r="W3380" s="23">
        <f>U3380-V3380</f>
        <v/>
      </c>
      <c r="X3380" s="24">
        <f>IFERROR(W3380/U3380,0)</f>
        <v/>
      </c>
    </row>
    <row r="3381">
      <c r="A3381" s="25">
        <f>ItensPedido!A3381</f>
        <v/>
      </c>
      <c r="B3381" s="25">
        <f>ItensPedido!B3381</f>
        <v/>
      </c>
      <c r="C3381" s="25">
        <f>ItensPedido!C3381</f>
        <v/>
      </c>
      <c r="D3381" s="25">
        <f>ItensPedido!D3381</f>
        <v/>
      </c>
      <c r="E3381" s="26">
        <f>ItensPedido!E3381</f>
        <v/>
      </c>
      <c r="F3381" s="25">
        <f>IFERROR(INDEX(Pedidos!$B$2:$B$1801,MATCH(B3381,Pedidos!$A$2:$A$1801,0)),0)</f>
        <v/>
      </c>
      <c r="G3381" s="25">
        <f>IF(F3381=0,"",YEAR(F3381))</f>
        <v/>
      </c>
      <c r="H3381" s="25">
        <f>IF(F3381=0,"",MONTH(F3381))</f>
        <v/>
      </c>
      <c r="I3381" s="25">
        <f>IFERROR(INDEX(Pedidos!$E$2:$E$1801,MATCH(B3381,Pedidos!$A$2:$A$1801,0)),"")</f>
        <v/>
      </c>
      <c r="J3381" s="25">
        <f>IFERROR(INDEX(Pedidos!$C$2:$C$1801,MATCH(B3381,Pedidos!$A$2:$A$1801,0)),"")</f>
        <v/>
      </c>
      <c r="K3381" s="25">
        <f>IFERROR(INDEX(Pedidos!$D$2:$D$1801,MATCH(B3381,Pedidos!$A$2:$A$1801,0)),"")</f>
        <v/>
      </c>
      <c r="L3381" s="25">
        <f>IFERROR(INDEX(Pedidos!$F$2:$F$1801,MATCH(B3381,Pedidos!$A$2:$A$1801,0)),"")</f>
        <v/>
      </c>
      <c r="M3381" s="26">
        <f>IFERROR(INDEX(Pedidos!$G$2:$G$1801,MATCH(B3381,Pedidos!$A$2:$A$1801,0)),0)</f>
        <v/>
      </c>
      <c r="N3381" s="25">
        <f>IFERROR(INDEX(Produtos!$B$2:$B$71,MATCH(C3381,Produtos!$A$2:$A$71,0)),"")</f>
        <v/>
      </c>
      <c r="O3381" s="25">
        <f>IFERROR(INDEX(Produtos!$C$2:$C$71,MATCH(C3381,Produtos!$A$2:$A$71,0)),"")</f>
        <v/>
      </c>
      <c r="P3381" s="25">
        <f>IFERROR(INDEX(Produtos!$D$2:$D$71,MATCH(C3381,Produtos!$A$2:$A$71,0)),0)</f>
        <v/>
      </c>
      <c r="Q3381" s="25">
        <f>IFERROR(INDEX(Produtos!$E$2:$E$71,MATCH(C3381,Produtos!$A$2:$A$71,0)),0)</f>
        <v/>
      </c>
      <c r="R3381" s="27">
        <f>D3381*Q3381</f>
        <v/>
      </c>
      <c r="S3381" s="27">
        <f>R3381*E3381</f>
        <v/>
      </c>
      <c r="T3381" s="27">
        <f>(R3381-S3381)*M3381</f>
        <v/>
      </c>
      <c r="U3381" s="27">
        <f>R3381-S3381-T3381</f>
        <v/>
      </c>
      <c r="V3381" s="27">
        <f>D3381*P3381</f>
        <v/>
      </c>
      <c r="W3381" s="27">
        <f>U3381-V3381</f>
        <v/>
      </c>
      <c r="X3381" s="28">
        <f>IFERROR(W3381/U3381,0)</f>
        <v/>
      </c>
    </row>
    <row r="3382">
      <c r="A3382" s="21">
        <f>ItensPedido!A3382</f>
        <v/>
      </c>
      <c r="B3382" s="21">
        <f>ItensPedido!B3382</f>
        <v/>
      </c>
      <c r="C3382" s="21">
        <f>ItensPedido!C3382</f>
        <v/>
      </c>
      <c r="D3382" s="21">
        <f>ItensPedido!D3382</f>
        <v/>
      </c>
      <c r="E3382" s="22">
        <f>ItensPedido!E3382</f>
        <v/>
      </c>
      <c r="F3382" s="21">
        <f>IFERROR(INDEX(Pedidos!$B$2:$B$1801,MATCH(B3382,Pedidos!$A$2:$A$1801,0)),0)</f>
        <v/>
      </c>
      <c r="G3382" s="21">
        <f>IF(F3382=0,"",YEAR(F3382))</f>
        <v/>
      </c>
      <c r="H3382" s="21">
        <f>IF(F3382=0,"",MONTH(F3382))</f>
        <v/>
      </c>
      <c r="I3382" s="21">
        <f>IFERROR(INDEX(Pedidos!$E$2:$E$1801,MATCH(B3382,Pedidos!$A$2:$A$1801,0)),"")</f>
        <v/>
      </c>
      <c r="J3382" s="21">
        <f>IFERROR(INDEX(Pedidos!$C$2:$C$1801,MATCH(B3382,Pedidos!$A$2:$A$1801,0)),"")</f>
        <v/>
      </c>
      <c r="K3382" s="21">
        <f>IFERROR(INDEX(Pedidos!$D$2:$D$1801,MATCH(B3382,Pedidos!$A$2:$A$1801,0)),"")</f>
        <v/>
      </c>
      <c r="L3382" s="21">
        <f>IFERROR(INDEX(Pedidos!$F$2:$F$1801,MATCH(B3382,Pedidos!$A$2:$A$1801,0)),"")</f>
        <v/>
      </c>
      <c r="M3382" s="22">
        <f>IFERROR(INDEX(Pedidos!$G$2:$G$1801,MATCH(B3382,Pedidos!$A$2:$A$1801,0)),0)</f>
        <v/>
      </c>
      <c r="N3382" s="21">
        <f>IFERROR(INDEX(Produtos!$B$2:$B$71,MATCH(C3382,Produtos!$A$2:$A$71,0)),"")</f>
        <v/>
      </c>
      <c r="O3382" s="21">
        <f>IFERROR(INDEX(Produtos!$C$2:$C$71,MATCH(C3382,Produtos!$A$2:$A$71,0)),"")</f>
        <v/>
      </c>
      <c r="P3382" s="21">
        <f>IFERROR(INDEX(Produtos!$D$2:$D$71,MATCH(C3382,Produtos!$A$2:$A$71,0)),0)</f>
        <v/>
      </c>
      <c r="Q3382" s="21">
        <f>IFERROR(INDEX(Produtos!$E$2:$E$71,MATCH(C3382,Produtos!$A$2:$A$71,0)),0)</f>
        <v/>
      </c>
      <c r="R3382" s="23">
        <f>D3382*Q3382</f>
        <v/>
      </c>
      <c r="S3382" s="23">
        <f>R3382*E3382</f>
        <v/>
      </c>
      <c r="T3382" s="23">
        <f>(R3382-S3382)*M3382</f>
        <v/>
      </c>
      <c r="U3382" s="23">
        <f>R3382-S3382-T3382</f>
        <v/>
      </c>
      <c r="V3382" s="23">
        <f>D3382*P3382</f>
        <v/>
      </c>
      <c r="W3382" s="23">
        <f>U3382-V3382</f>
        <v/>
      </c>
      <c r="X3382" s="24">
        <f>IFERROR(W3382/U3382,0)</f>
        <v/>
      </c>
    </row>
    <row r="3383">
      <c r="A3383" s="25">
        <f>ItensPedido!A3383</f>
        <v/>
      </c>
      <c r="B3383" s="25">
        <f>ItensPedido!B3383</f>
        <v/>
      </c>
      <c r="C3383" s="25">
        <f>ItensPedido!C3383</f>
        <v/>
      </c>
      <c r="D3383" s="25">
        <f>ItensPedido!D3383</f>
        <v/>
      </c>
      <c r="E3383" s="26">
        <f>ItensPedido!E3383</f>
        <v/>
      </c>
      <c r="F3383" s="25">
        <f>IFERROR(INDEX(Pedidos!$B$2:$B$1801,MATCH(B3383,Pedidos!$A$2:$A$1801,0)),0)</f>
        <v/>
      </c>
      <c r="G3383" s="25">
        <f>IF(F3383=0,"",YEAR(F3383))</f>
        <v/>
      </c>
      <c r="H3383" s="25">
        <f>IF(F3383=0,"",MONTH(F3383))</f>
        <v/>
      </c>
      <c r="I3383" s="25">
        <f>IFERROR(INDEX(Pedidos!$E$2:$E$1801,MATCH(B3383,Pedidos!$A$2:$A$1801,0)),"")</f>
        <v/>
      </c>
      <c r="J3383" s="25">
        <f>IFERROR(INDEX(Pedidos!$C$2:$C$1801,MATCH(B3383,Pedidos!$A$2:$A$1801,0)),"")</f>
        <v/>
      </c>
      <c r="K3383" s="25">
        <f>IFERROR(INDEX(Pedidos!$D$2:$D$1801,MATCH(B3383,Pedidos!$A$2:$A$1801,0)),"")</f>
        <v/>
      </c>
      <c r="L3383" s="25">
        <f>IFERROR(INDEX(Pedidos!$F$2:$F$1801,MATCH(B3383,Pedidos!$A$2:$A$1801,0)),"")</f>
        <v/>
      </c>
      <c r="M3383" s="26">
        <f>IFERROR(INDEX(Pedidos!$G$2:$G$1801,MATCH(B3383,Pedidos!$A$2:$A$1801,0)),0)</f>
        <v/>
      </c>
      <c r="N3383" s="25">
        <f>IFERROR(INDEX(Produtos!$B$2:$B$71,MATCH(C3383,Produtos!$A$2:$A$71,0)),"")</f>
        <v/>
      </c>
      <c r="O3383" s="25">
        <f>IFERROR(INDEX(Produtos!$C$2:$C$71,MATCH(C3383,Produtos!$A$2:$A$71,0)),"")</f>
        <v/>
      </c>
      <c r="P3383" s="25">
        <f>IFERROR(INDEX(Produtos!$D$2:$D$71,MATCH(C3383,Produtos!$A$2:$A$71,0)),0)</f>
        <v/>
      </c>
      <c r="Q3383" s="25">
        <f>IFERROR(INDEX(Produtos!$E$2:$E$71,MATCH(C3383,Produtos!$A$2:$A$71,0)),0)</f>
        <v/>
      </c>
      <c r="R3383" s="27">
        <f>D3383*Q3383</f>
        <v/>
      </c>
      <c r="S3383" s="27">
        <f>R3383*E3383</f>
        <v/>
      </c>
      <c r="T3383" s="27">
        <f>(R3383-S3383)*M3383</f>
        <v/>
      </c>
      <c r="U3383" s="27">
        <f>R3383-S3383-T3383</f>
        <v/>
      </c>
      <c r="V3383" s="27">
        <f>D3383*P3383</f>
        <v/>
      </c>
      <c r="W3383" s="27">
        <f>U3383-V3383</f>
        <v/>
      </c>
      <c r="X3383" s="28">
        <f>IFERROR(W3383/U3383,0)</f>
        <v/>
      </c>
    </row>
    <row r="3384">
      <c r="A3384" s="21">
        <f>ItensPedido!A3384</f>
        <v/>
      </c>
      <c r="B3384" s="21">
        <f>ItensPedido!B3384</f>
        <v/>
      </c>
      <c r="C3384" s="21">
        <f>ItensPedido!C3384</f>
        <v/>
      </c>
      <c r="D3384" s="21">
        <f>ItensPedido!D3384</f>
        <v/>
      </c>
      <c r="E3384" s="22">
        <f>ItensPedido!E3384</f>
        <v/>
      </c>
      <c r="F3384" s="21">
        <f>IFERROR(INDEX(Pedidos!$B$2:$B$1801,MATCH(B3384,Pedidos!$A$2:$A$1801,0)),0)</f>
        <v/>
      </c>
      <c r="G3384" s="21">
        <f>IF(F3384=0,"",YEAR(F3384))</f>
        <v/>
      </c>
      <c r="H3384" s="21">
        <f>IF(F3384=0,"",MONTH(F3384))</f>
        <v/>
      </c>
      <c r="I3384" s="21">
        <f>IFERROR(INDEX(Pedidos!$E$2:$E$1801,MATCH(B3384,Pedidos!$A$2:$A$1801,0)),"")</f>
        <v/>
      </c>
      <c r="J3384" s="21">
        <f>IFERROR(INDEX(Pedidos!$C$2:$C$1801,MATCH(B3384,Pedidos!$A$2:$A$1801,0)),"")</f>
        <v/>
      </c>
      <c r="K3384" s="21">
        <f>IFERROR(INDEX(Pedidos!$D$2:$D$1801,MATCH(B3384,Pedidos!$A$2:$A$1801,0)),"")</f>
        <v/>
      </c>
      <c r="L3384" s="21">
        <f>IFERROR(INDEX(Pedidos!$F$2:$F$1801,MATCH(B3384,Pedidos!$A$2:$A$1801,0)),"")</f>
        <v/>
      </c>
      <c r="M3384" s="22">
        <f>IFERROR(INDEX(Pedidos!$G$2:$G$1801,MATCH(B3384,Pedidos!$A$2:$A$1801,0)),0)</f>
        <v/>
      </c>
      <c r="N3384" s="21">
        <f>IFERROR(INDEX(Produtos!$B$2:$B$71,MATCH(C3384,Produtos!$A$2:$A$71,0)),"")</f>
        <v/>
      </c>
      <c r="O3384" s="21">
        <f>IFERROR(INDEX(Produtos!$C$2:$C$71,MATCH(C3384,Produtos!$A$2:$A$71,0)),"")</f>
        <v/>
      </c>
      <c r="P3384" s="21">
        <f>IFERROR(INDEX(Produtos!$D$2:$D$71,MATCH(C3384,Produtos!$A$2:$A$71,0)),0)</f>
        <v/>
      </c>
      <c r="Q3384" s="21">
        <f>IFERROR(INDEX(Produtos!$E$2:$E$71,MATCH(C3384,Produtos!$A$2:$A$71,0)),0)</f>
        <v/>
      </c>
      <c r="R3384" s="23">
        <f>D3384*Q3384</f>
        <v/>
      </c>
      <c r="S3384" s="23">
        <f>R3384*E3384</f>
        <v/>
      </c>
      <c r="T3384" s="23">
        <f>(R3384-S3384)*M3384</f>
        <v/>
      </c>
      <c r="U3384" s="23">
        <f>R3384-S3384-T3384</f>
        <v/>
      </c>
      <c r="V3384" s="23">
        <f>D3384*P3384</f>
        <v/>
      </c>
      <c r="W3384" s="23">
        <f>U3384-V3384</f>
        <v/>
      </c>
      <c r="X3384" s="24">
        <f>IFERROR(W3384/U3384,0)</f>
        <v/>
      </c>
    </row>
    <row r="3385">
      <c r="A3385" s="25">
        <f>ItensPedido!A3385</f>
        <v/>
      </c>
      <c r="B3385" s="25">
        <f>ItensPedido!B3385</f>
        <v/>
      </c>
      <c r="C3385" s="25">
        <f>ItensPedido!C3385</f>
        <v/>
      </c>
      <c r="D3385" s="25">
        <f>ItensPedido!D3385</f>
        <v/>
      </c>
      <c r="E3385" s="26">
        <f>ItensPedido!E3385</f>
        <v/>
      </c>
      <c r="F3385" s="25">
        <f>IFERROR(INDEX(Pedidos!$B$2:$B$1801,MATCH(B3385,Pedidos!$A$2:$A$1801,0)),0)</f>
        <v/>
      </c>
      <c r="G3385" s="25">
        <f>IF(F3385=0,"",YEAR(F3385))</f>
        <v/>
      </c>
      <c r="H3385" s="25">
        <f>IF(F3385=0,"",MONTH(F3385))</f>
        <v/>
      </c>
      <c r="I3385" s="25">
        <f>IFERROR(INDEX(Pedidos!$E$2:$E$1801,MATCH(B3385,Pedidos!$A$2:$A$1801,0)),"")</f>
        <v/>
      </c>
      <c r="J3385" s="25">
        <f>IFERROR(INDEX(Pedidos!$C$2:$C$1801,MATCH(B3385,Pedidos!$A$2:$A$1801,0)),"")</f>
        <v/>
      </c>
      <c r="K3385" s="25">
        <f>IFERROR(INDEX(Pedidos!$D$2:$D$1801,MATCH(B3385,Pedidos!$A$2:$A$1801,0)),"")</f>
        <v/>
      </c>
      <c r="L3385" s="25">
        <f>IFERROR(INDEX(Pedidos!$F$2:$F$1801,MATCH(B3385,Pedidos!$A$2:$A$1801,0)),"")</f>
        <v/>
      </c>
      <c r="M3385" s="26">
        <f>IFERROR(INDEX(Pedidos!$G$2:$G$1801,MATCH(B3385,Pedidos!$A$2:$A$1801,0)),0)</f>
        <v/>
      </c>
      <c r="N3385" s="25">
        <f>IFERROR(INDEX(Produtos!$B$2:$B$71,MATCH(C3385,Produtos!$A$2:$A$71,0)),"")</f>
        <v/>
      </c>
      <c r="O3385" s="25">
        <f>IFERROR(INDEX(Produtos!$C$2:$C$71,MATCH(C3385,Produtos!$A$2:$A$71,0)),"")</f>
        <v/>
      </c>
      <c r="P3385" s="25">
        <f>IFERROR(INDEX(Produtos!$D$2:$D$71,MATCH(C3385,Produtos!$A$2:$A$71,0)),0)</f>
        <v/>
      </c>
      <c r="Q3385" s="25">
        <f>IFERROR(INDEX(Produtos!$E$2:$E$71,MATCH(C3385,Produtos!$A$2:$A$71,0)),0)</f>
        <v/>
      </c>
      <c r="R3385" s="27">
        <f>D3385*Q3385</f>
        <v/>
      </c>
      <c r="S3385" s="27">
        <f>R3385*E3385</f>
        <v/>
      </c>
      <c r="T3385" s="27">
        <f>(R3385-S3385)*M3385</f>
        <v/>
      </c>
      <c r="U3385" s="27">
        <f>R3385-S3385-T3385</f>
        <v/>
      </c>
      <c r="V3385" s="27">
        <f>D3385*P3385</f>
        <v/>
      </c>
      <c r="W3385" s="27">
        <f>U3385-V3385</f>
        <v/>
      </c>
      <c r="X3385" s="28">
        <f>IFERROR(W3385/U3385,0)</f>
        <v/>
      </c>
    </row>
    <row r="3386">
      <c r="A3386" s="21">
        <f>ItensPedido!A3386</f>
        <v/>
      </c>
      <c r="B3386" s="21">
        <f>ItensPedido!B3386</f>
        <v/>
      </c>
      <c r="C3386" s="21">
        <f>ItensPedido!C3386</f>
        <v/>
      </c>
      <c r="D3386" s="21">
        <f>ItensPedido!D3386</f>
        <v/>
      </c>
      <c r="E3386" s="22">
        <f>ItensPedido!E3386</f>
        <v/>
      </c>
      <c r="F3386" s="21">
        <f>IFERROR(INDEX(Pedidos!$B$2:$B$1801,MATCH(B3386,Pedidos!$A$2:$A$1801,0)),0)</f>
        <v/>
      </c>
      <c r="G3386" s="21">
        <f>IF(F3386=0,"",YEAR(F3386))</f>
        <v/>
      </c>
      <c r="H3386" s="21">
        <f>IF(F3386=0,"",MONTH(F3386))</f>
        <v/>
      </c>
      <c r="I3386" s="21">
        <f>IFERROR(INDEX(Pedidos!$E$2:$E$1801,MATCH(B3386,Pedidos!$A$2:$A$1801,0)),"")</f>
        <v/>
      </c>
      <c r="J3386" s="21">
        <f>IFERROR(INDEX(Pedidos!$C$2:$C$1801,MATCH(B3386,Pedidos!$A$2:$A$1801,0)),"")</f>
        <v/>
      </c>
      <c r="K3386" s="21">
        <f>IFERROR(INDEX(Pedidos!$D$2:$D$1801,MATCH(B3386,Pedidos!$A$2:$A$1801,0)),"")</f>
        <v/>
      </c>
      <c r="L3386" s="21">
        <f>IFERROR(INDEX(Pedidos!$F$2:$F$1801,MATCH(B3386,Pedidos!$A$2:$A$1801,0)),"")</f>
        <v/>
      </c>
      <c r="M3386" s="22">
        <f>IFERROR(INDEX(Pedidos!$G$2:$G$1801,MATCH(B3386,Pedidos!$A$2:$A$1801,0)),0)</f>
        <v/>
      </c>
      <c r="N3386" s="21">
        <f>IFERROR(INDEX(Produtos!$B$2:$B$71,MATCH(C3386,Produtos!$A$2:$A$71,0)),"")</f>
        <v/>
      </c>
      <c r="O3386" s="21">
        <f>IFERROR(INDEX(Produtos!$C$2:$C$71,MATCH(C3386,Produtos!$A$2:$A$71,0)),"")</f>
        <v/>
      </c>
      <c r="P3386" s="21">
        <f>IFERROR(INDEX(Produtos!$D$2:$D$71,MATCH(C3386,Produtos!$A$2:$A$71,0)),0)</f>
        <v/>
      </c>
      <c r="Q3386" s="21">
        <f>IFERROR(INDEX(Produtos!$E$2:$E$71,MATCH(C3386,Produtos!$A$2:$A$71,0)),0)</f>
        <v/>
      </c>
      <c r="R3386" s="23">
        <f>D3386*Q3386</f>
        <v/>
      </c>
      <c r="S3386" s="23">
        <f>R3386*E3386</f>
        <v/>
      </c>
      <c r="T3386" s="23">
        <f>(R3386-S3386)*M3386</f>
        <v/>
      </c>
      <c r="U3386" s="23">
        <f>R3386-S3386-T3386</f>
        <v/>
      </c>
      <c r="V3386" s="23">
        <f>D3386*P3386</f>
        <v/>
      </c>
      <c r="W3386" s="23">
        <f>U3386-V3386</f>
        <v/>
      </c>
      <c r="X3386" s="24">
        <f>IFERROR(W3386/U3386,0)</f>
        <v/>
      </c>
    </row>
    <row r="3387">
      <c r="A3387" s="25">
        <f>ItensPedido!A3387</f>
        <v/>
      </c>
      <c r="B3387" s="25">
        <f>ItensPedido!B3387</f>
        <v/>
      </c>
      <c r="C3387" s="25">
        <f>ItensPedido!C3387</f>
        <v/>
      </c>
      <c r="D3387" s="25">
        <f>ItensPedido!D3387</f>
        <v/>
      </c>
      <c r="E3387" s="26">
        <f>ItensPedido!E3387</f>
        <v/>
      </c>
      <c r="F3387" s="25">
        <f>IFERROR(INDEX(Pedidos!$B$2:$B$1801,MATCH(B3387,Pedidos!$A$2:$A$1801,0)),0)</f>
        <v/>
      </c>
      <c r="G3387" s="25">
        <f>IF(F3387=0,"",YEAR(F3387))</f>
        <v/>
      </c>
      <c r="H3387" s="25">
        <f>IF(F3387=0,"",MONTH(F3387))</f>
        <v/>
      </c>
      <c r="I3387" s="25">
        <f>IFERROR(INDEX(Pedidos!$E$2:$E$1801,MATCH(B3387,Pedidos!$A$2:$A$1801,0)),"")</f>
        <v/>
      </c>
      <c r="J3387" s="25">
        <f>IFERROR(INDEX(Pedidos!$C$2:$C$1801,MATCH(B3387,Pedidos!$A$2:$A$1801,0)),"")</f>
        <v/>
      </c>
      <c r="K3387" s="25">
        <f>IFERROR(INDEX(Pedidos!$D$2:$D$1801,MATCH(B3387,Pedidos!$A$2:$A$1801,0)),"")</f>
        <v/>
      </c>
      <c r="L3387" s="25">
        <f>IFERROR(INDEX(Pedidos!$F$2:$F$1801,MATCH(B3387,Pedidos!$A$2:$A$1801,0)),"")</f>
        <v/>
      </c>
      <c r="M3387" s="26">
        <f>IFERROR(INDEX(Pedidos!$G$2:$G$1801,MATCH(B3387,Pedidos!$A$2:$A$1801,0)),0)</f>
        <v/>
      </c>
      <c r="N3387" s="25">
        <f>IFERROR(INDEX(Produtos!$B$2:$B$71,MATCH(C3387,Produtos!$A$2:$A$71,0)),"")</f>
        <v/>
      </c>
      <c r="O3387" s="25">
        <f>IFERROR(INDEX(Produtos!$C$2:$C$71,MATCH(C3387,Produtos!$A$2:$A$71,0)),"")</f>
        <v/>
      </c>
      <c r="P3387" s="25">
        <f>IFERROR(INDEX(Produtos!$D$2:$D$71,MATCH(C3387,Produtos!$A$2:$A$71,0)),0)</f>
        <v/>
      </c>
      <c r="Q3387" s="25">
        <f>IFERROR(INDEX(Produtos!$E$2:$E$71,MATCH(C3387,Produtos!$A$2:$A$71,0)),0)</f>
        <v/>
      </c>
      <c r="R3387" s="27">
        <f>D3387*Q3387</f>
        <v/>
      </c>
      <c r="S3387" s="27">
        <f>R3387*E3387</f>
        <v/>
      </c>
      <c r="T3387" s="27">
        <f>(R3387-S3387)*M3387</f>
        <v/>
      </c>
      <c r="U3387" s="27">
        <f>R3387-S3387-T3387</f>
        <v/>
      </c>
      <c r="V3387" s="27">
        <f>D3387*P3387</f>
        <v/>
      </c>
      <c r="W3387" s="27">
        <f>U3387-V3387</f>
        <v/>
      </c>
      <c r="X3387" s="28">
        <f>IFERROR(W3387/U3387,0)</f>
        <v/>
      </c>
    </row>
    <row r="3388">
      <c r="A3388" s="21">
        <f>ItensPedido!A3388</f>
        <v/>
      </c>
      <c r="B3388" s="21">
        <f>ItensPedido!B3388</f>
        <v/>
      </c>
      <c r="C3388" s="21">
        <f>ItensPedido!C3388</f>
        <v/>
      </c>
      <c r="D3388" s="21">
        <f>ItensPedido!D3388</f>
        <v/>
      </c>
      <c r="E3388" s="22">
        <f>ItensPedido!E3388</f>
        <v/>
      </c>
      <c r="F3388" s="21">
        <f>IFERROR(INDEX(Pedidos!$B$2:$B$1801,MATCH(B3388,Pedidos!$A$2:$A$1801,0)),0)</f>
        <v/>
      </c>
      <c r="G3388" s="21">
        <f>IF(F3388=0,"",YEAR(F3388))</f>
        <v/>
      </c>
      <c r="H3388" s="21">
        <f>IF(F3388=0,"",MONTH(F3388))</f>
        <v/>
      </c>
      <c r="I3388" s="21">
        <f>IFERROR(INDEX(Pedidos!$E$2:$E$1801,MATCH(B3388,Pedidos!$A$2:$A$1801,0)),"")</f>
        <v/>
      </c>
      <c r="J3388" s="21">
        <f>IFERROR(INDEX(Pedidos!$C$2:$C$1801,MATCH(B3388,Pedidos!$A$2:$A$1801,0)),"")</f>
        <v/>
      </c>
      <c r="K3388" s="21">
        <f>IFERROR(INDEX(Pedidos!$D$2:$D$1801,MATCH(B3388,Pedidos!$A$2:$A$1801,0)),"")</f>
        <v/>
      </c>
      <c r="L3388" s="21">
        <f>IFERROR(INDEX(Pedidos!$F$2:$F$1801,MATCH(B3388,Pedidos!$A$2:$A$1801,0)),"")</f>
        <v/>
      </c>
      <c r="M3388" s="22">
        <f>IFERROR(INDEX(Pedidos!$G$2:$G$1801,MATCH(B3388,Pedidos!$A$2:$A$1801,0)),0)</f>
        <v/>
      </c>
      <c r="N3388" s="21">
        <f>IFERROR(INDEX(Produtos!$B$2:$B$71,MATCH(C3388,Produtos!$A$2:$A$71,0)),"")</f>
        <v/>
      </c>
      <c r="O3388" s="21">
        <f>IFERROR(INDEX(Produtos!$C$2:$C$71,MATCH(C3388,Produtos!$A$2:$A$71,0)),"")</f>
        <v/>
      </c>
      <c r="P3388" s="21">
        <f>IFERROR(INDEX(Produtos!$D$2:$D$71,MATCH(C3388,Produtos!$A$2:$A$71,0)),0)</f>
        <v/>
      </c>
      <c r="Q3388" s="21">
        <f>IFERROR(INDEX(Produtos!$E$2:$E$71,MATCH(C3388,Produtos!$A$2:$A$71,0)),0)</f>
        <v/>
      </c>
      <c r="R3388" s="23">
        <f>D3388*Q3388</f>
        <v/>
      </c>
      <c r="S3388" s="23">
        <f>R3388*E3388</f>
        <v/>
      </c>
      <c r="T3388" s="23">
        <f>(R3388-S3388)*M3388</f>
        <v/>
      </c>
      <c r="U3388" s="23">
        <f>R3388-S3388-T3388</f>
        <v/>
      </c>
      <c r="V3388" s="23">
        <f>D3388*P3388</f>
        <v/>
      </c>
      <c r="W3388" s="23">
        <f>U3388-V3388</f>
        <v/>
      </c>
      <c r="X3388" s="24">
        <f>IFERROR(W3388/U3388,0)</f>
        <v/>
      </c>
    </row>
    <row r="3389">
      <c r="A3389" s="25">
        <f>ItensPedido!A3389</f>
        <v/>
      </c>
      <c r="B3389" s="25">
        <f>ItensPedido!B3389</f>
        <v/>
      </c>
      <c r="C3389" s="25">
        <f>ItensPedido!C3389</f>
        <v/>
      </c>
      <c r="D3389" s="25">
        <f>ItensPedido!D3389</f>
        <v/>
      </c>
      <c r="E3389" s="26">
        <f>ItensPedido!E3389</f>
        <v/>
      </c>
      <c r="F3389" s="25">
        <f>IFERROR(INDEX(Pedidos!$B$2:$B$1801,MATCH(B3389,Pedidos!$A$2:$A$1801,0)),0)</f>
        <v/>
      </c>
      <c r="G3389" s="25">
        <f>IF(F3389=0,"",YEAR(F3389))</f>
        <v/>
      </c>
      <c r="H3389" s="25">
        <f>IF(F3389=0,"",MONTH(F3389))</f>
        <v/>
      </c>
      <c r="I3389" s="25">
        <f>IFERROR(INDEX(Pedidos!$E$2:$E$1801,MATCH(B3389,Pedidos!$A$2:$A$1801,0)),"")</f>
        <v/>
      </c>
      <c r="J3389" s="25">
        <f>IFERROR(INDEX(Pedidos!$C$2:$C$1801,MATCH(B3389,Pedidos!$A$2:$A$1801,0)),"")</f>
        <v/>
      </c>
      <c r="K3389" s="25">
        <f>IFERROR(INDEX(Pedidos!$D$2:$D$1801,MATCH(B3389,Pedidos!$A$2:$A$1801,0)),"")</f>
        <v/>
      </c>
      <c r="L3389" s="25">
        <f>IFERROR(INDEX(Pedidos!$F$2:$F$1801,MATCH(B3389,Pedidos!$A$2:$A$1801,0)),"")</f>
        <v/>
      </c>
      <c r="M3389" s="26">
        <f>IFERROR(INDEX(Pedidos!$G$2:$G$1801,MATCH(B3389,Pedidos!$A$2:$A$1801,0)),0)</f>
        <v/>
      </c>
      <c r="N3389" s="25">
        <f>IFERROR(INDEX(Produtos!$B$2:$B$71,MATCH(C3389,Produtos!$A$2:$A$71,0)),"")</f>
        <v/>
      </c>
      <c r="O3389" s="25">
        <f>IFERROR(INDEX(Produtos!$C$2:$C$71,MATCH(C3389,Produtos!$A$2:$A$71,0)),"")</f>
        <v/>
      </c>
      <c r="P3389" s="25">
        <f>IFERROR(INDEX(Produtos!$D$2:$D$71,MATCH(C3389,Produtos!$A$2:$A$71,0)),0)</f>
        <v/>
      </c>
      <c r="Q3389" s="25">
        <f>IFERROR(INDEX(Produtos!$E$2:$E$71,MATCH(C3389,Produtos!$A$2:$A$71,0)),0)</f>
        <v/>
      </c>
      <c r="R3389" s="27">
        <f>D3389*Q3389</f>
        <v/>
      </c>
      <c r="S3389" s="27">
        <f>R3389*E3389</f>
        <v/>
      </c>
      <c r="T3389" s="27">
        <f>(R3389-S3389)*M3389</f>
        <v/>
      </c>
      <c r="U3389" s="27">
        <f>R3389-S3389-T3389</f>
        <v/>
      </c>
      <c r="V3389" s="27">
        <f>D3389*P3389</f>
        <v/>
      </c>
      <c r="W3389" s="27">
        <f>U3389-V3389</f>
        <v/>
      </c>
      <c r="X3389" s="28">
        <f>IFERROR(W3389/U3389,0)</f>
        <v/>
      </c>
    </row>
    <row r="3390">
      <c r="A3390" s="21">
        <f>ItensPedido!A3390</f>
        <v/>
      </c>
      <c r="B3390" s="21">
        <f>ItensPedido!B3390</f>
        <v/>
      </c>
      <c r="C3390" s="21">
        <f>ItensPedido!C3390</f>
        <v/>
      </c>
      <c r="D3390" s="21">
        <f>ItensPedido!D3390</f>
        <v/>
      </c>
      <c r="E3390" s="22">
        <f>ItensPedido!E3390</f>
        <v/>
      </c>
      <c r="F3390" s="21">
        <f>IFERROR(INDEX(Pedidos!$B$2:$B$1801,MATCH(B3390,Pedidos!$A$2:$A$1801,0)),0)</f>
        <v/>
      </c>
      <c r="G3390" s="21">
        <f>IF(F3390=0,"",YEAR(F3390))</f>
        <v/>
      </c>
      <c r="H3390" s="21">
        <f>IF(F3390=0,"",MONTH(F3390))</f>
        <v/>
      </c>
      <c r="I3390" s="21">
        <f>IFERROR(INDEX(Pedidos!$E$2:$E$1801,MATCH(B3390,Pedidos!$A$2:$A$1801,0)),"")</f>
        <v/>
      </c>
      <c r="J3390" s="21">
        <f>IFERROR(INDEX(Pedidos!$C$2:$C$1801,MATCH(B3390,Pedidos!$A$2:$A$1801,0)),"")</f>
        <v/>
      </c>
      <c r="K3390" s="21">
        <f>IFERROR(INDEX(Pedidos!$D$2:$D$1801,MATCH(B3390,Pedidos!$A$2:$A$1801,0)),"")</f>
        <v/>
      </c>
      <c r="L3390" s="21">
        <f>IFERROR(INDEX(Pedidos!$F$2:$F$1801,MATCH(B3390,Pedidos!$A$2:$A$1801,0)),"")</f>
        <v/>
      </c>
      <c r="M3390" s="22">
        <f>IFERROR(INDEX(Pedidos!$G$2:$G$1801,MATCH(B3390,Pedidos!$A$2:$A$1801,0)),0)</f>
        <v/>
      </c>
      <c r="N3390" s="21">
        <f>IFERROR(INDEX(Produtos!$B$2:$B$71,MATCH(C3390,Produtos!$A$2:$A$71,0)),"")</f>
        <v/>
      </c>
      <c r="O3390" s="21">
        <f>IFERROR(INDEX(Produtos!$C$2:$C$71,MATCH(C3390,Produtos!$A$2:$A$71,0)),"")</f>
        <v/>
      </c>
      <c r="P3390" s="21">
        <f>IFERROR(INDEX(Produtos!$D$2:$D$71,MATCH(C3390,Produtos!$A$2:$A$71,0)),0)</f>
        <v/>
      </c>
      <c r="Q3390" s="21">
        <f>IFERROR(INDEX(Produtos!$E$2:$E$71,MATCH(C3390,Produtos!$A$2:$A$71,0)),0)</f>
        <v/>
      </c>
      <c r="R3390" s="23">
        <f>D3390*Q3390</f>
        <v/>
      </c>
      <c r="S3390" s="23">
        <f>R3390*E3390</f>
        <v/>
      </c>
      <c r="T3390" s="23">
        <f>(R3390-S3390)*M3390</f>
        <v/>
      </c>
      <c r="U3390" s="23">
        <f>R3390-S3390-T3390</f>
        <v/>
      </c>
      <c r="V3390" s="23">
        <f>D3390*P3390</f>
        <v/>
      </c>
      <c r="W3390" s="23">
        <f>U3390-V3390</f>
        <v/>
      </c>
      <c r="X3390" s="24">
        <f>IFERROR(W3390/U3390,0)</f>
        <v/>
      </c>
    </row>
    <row r="3391">
      <c r="A3391" s="25">
        <f>ItensPedido!A3391</f>
        <v/>
      </c>
      <c r="B3391" s="25">
        <f>ItensPedido!B3391</f>
        <v/>
      </c>
      <c r="C3391" s="25">
        <f>ItensPedido!C3391</f>
        <v/>
      </c>
      <c r="D3391" s="25">
        <f>ItensPedido!D3391</f>
        <v/>
      </c>
      <c r="E3391" s="26">
        <f>ItensPedido!E3391</f>
        <v/>
      </c>
      <c r="F3391" s="25">
        <f>IFERROR(INDEX(Pedidos!$B$2:$B$1801,MATCH(B3391,Pedidos!$A$2:$A$1801,0)),0)</f>
        <v/>
      </c>
      <c r="G3391" s="25">
        <f>IF(F3391=0,"",YEAR(F3391))</f>
        <v/>
      </c>
      <c r="H3391" s="25">
        <f>IF(F3391=0,"",MONTH(F3391))</f>
        <v/>
      </c>
      <c r="I3391" s="25">
        <f>IFERROR(INDEX(Pedidos!$E$2:$E$1801,MATCH(B3391,Pedidos!$A$2:$A$1801,0)),"")</f>
        <v/>
      </c>
      <c r="J3391" s="25">
        <f>IFERROR(INDEX(Pedidos!$C$2:$C$1801,MATCH(B3391,Pedidos!$A$2:$A$1801,0)),"")</f>
        <v/>
      </c>
      <c r="K3391" s="25">
        <f>IFERROR(INDEX(Pedidos!$D$2:$D$1801,MATCH(B3391,Pedidos!$A$2:$A$1801,0)),"")</f>
        <v/>
      </c>
      <c r="L3391" s="25">
        <f>IFERROR(INDEX(Pedidos!$F$2:$F$1801,MATCH(B3391,Pedidos!$A$2:$A$1801,0)),"")</f>
        <v/>
      </c>
      <c r="M3391" s="26">
        <f>IFERROR(INDEX(Pedidos!$G$2:$G$1801,MATCH(B3391,Pedidos!$A$2:$A$1801,0)),0)</f>
        <v/>
      </c>
      <c r="N3391" s="25">
        <f>IFERROR(INDEX(Produtos!$B$2:$B$71,MATCH(C3391,Produtos!$A$2:$A$71,0)),"")</f>
        <v/>
      </c>
      <c r="O3391" s="25">
        <f>IFERROR(INDEX(Produtos!$C$2:$C$71,MATCH(C3391,Produtos!$A$2:$A$71,0)),"")</f>
        <v/>
      </c>
      <c r="P3391" s="25">
        <f>IFERROR(INDEX(Produtos!$D$2:$D$71,MATCH(C3391,Produtos!$A$2:$A$71,0)),0)</f>
        <v/>
      </c>
      <c r="Q3391" s="25">
        <f>IFERROR(INDEX(Produtos!$E$2:$E$71,MATCH(C3391,Produtos!$A$2:$A$71,0)),0)</f>
        <v/>
      </c>
      <c r="R3391" s="27">
        <f>D3391*Q3391</f>
        <v/>
      </c>
      <c r="S3391" s="27">
        <f>R3391*E3391</f>
        <v/>
      </c>
      <c r="T3391" s="27">
        <f>(R3391-S3391)*M3391</f>
        <v/>
      </c>
      <c r="U3391" s="27">
        <f>R3391-S3391-T3391</f>
        <v/>
      </c>
      <c r="V3391" s="27">
        <f>D3391*P3391</f>
        <v/>
      </c>
      <c r="W3391" s="27">
        <f>U3391-V3391</f>
        <v/>
      </c>
      <c r="X3391" s="28">
        <f>IFERROR(W3391/U3391,0)</f>
        <v/>
      </c>
    </row>
    <row r="3392">
      <c r="A3392" s="21">
        <f>ItensPedido!A3392</f>
        <v/>
      </c>
      <c r="B3392" s="21">
        <f>ItensPedido!B3392</f>
        <v/>
      </c>
      <c r="C3392" s="21">
        <f>ItensPedido!C3392</f>
        <v/>
      </c>
      <c r="D3392" s="21">
        <f>ItensPedido!D3392</f>
        <v/>
      </c>
      <c r="E3392" s="22">
        <f>ItensPedido!E3392</f>
        <v/>
      </c>
      <c r="F3392" s="21">
        <f>IFERROR(INDEX(Pedidos!$B$2:$B$1801,MATCH(B3392,Pedidos!$A$2:$A$1801,0)),0)</f>
        <v/>
      </c>
      <c r="G3392" s="21">
        <f>IF(F3392=0,"",YEAR(F3392))</f>
        <v/>
      </c>
      <c r="H3392" s="21">
        <f>IF(F3392=0,"",MONTH(F3392))</f>
        <v/>
      </c>
      <c r="I3392" s="21">
        <f>IFERROR(INDEX(Pedidos!$E$2:$E$1801,MATCH(B3392,Pedidos!$A$2:$A$1801,0)),"")</f>
        <v/>
      </c>
      <c r="J3392" s="21">
        <f>IFERROR(INDEX(Pedidos!$C$2:$C$1801,MATCH(B3392,Pedidos!$A$2:$A$1801,0)),"")</f>
        <v/>
      </c>
      <c r="K3392" s="21">
        <f>IFERROR(INDEX(Pedidos!$D$2:$D$1801,MATCH(B3392,Pedidos!$A$2:$A$1801,0)),"")</f>
        <v/>
      </c>
      <c r="L3392" s="21">
        <f>IFERROR(INDEX(Pedidos!$F$2:$F$1801,MATCH(B3392,Pedidos!$A$2:$A$1801,0)),"")</f>
        <v/>
      </c>
      <c r="M3392" s="22">
        <f>IFERROR(INDEX(Pedidos!$G$2:$G$1801,MATCH(B3392,Pedidos!$A$2:$A$1801,0)),0)</f>
        <v/>
      </c>
      <c r="N3392" s="21">
        <f>IFERROR(INDEX(Produtos!$B$2:$B$71,MATCH(C3392,Produtos!$A$2:$A$71,0)),"")</f>
        <v/>
      </c>
      <c r="O3392" s="21">
        <f>IFERROR(INDEX(Produtos!$C$2:$C$71,MATCH(C3392,Produtos!$A$2:$A$71,0)),"")</f>
        <v/>
      </c>
      <c r="P3392" s="21">
        <f>IFERROR(INDEX(Produtos!$D$2:$D$71,MATCH(C3392,Produtos!$A$2:$A$71,0)),0)</f>
        <v/>
      </c>
      <c r="Q3392" s="21">
        <f>IFERROR(INDEX(Produtos!$E$2:$E$71,MATCH(C3392,Produtos!$A$2:$A$71,0)),0)</f>
        <v/>
      </c>
      <c r="R3392" s="23">
        <f>D3392*Q3392</f>
        <v/>
      </c>
      <c r="S3392" s="23">
        <f>R3392*E3392</f>
        <v/>
      </c>
      <c r="T3392" s="23">
        <f>(R3392-S3392)*M3392</f>
        <v/>
      </c>
      <c r="U3392" s="23">
        <f>R3392-S3392-T3392</f>
        <v/>
      </c>
      <c r="V3392" s="23">
        <f>D3392*P3392</f>
        <v/>
      </c>
      <c r="W3392" s="23">
        <f>U3392-V3392</f>
        <v/>
      </c>
      <c r="X3392" s="24">
        <f>IFERROR(W3392/U3392,0)</f>
        <v/>
      </c>
    </row>
    <row r="3393">
      <c r="A3393" s="25">
        <f>ItensPedido!A3393</f>
        <v/>
      </c>
      <c r="B3393" s="25">
        <f>ItensPedido!B3393</f>
        <v/>
      </c>
      <c r="C3393" s="25">
        <f>ItensPedido!C3393</f>
        <v/>
      </c>
      <c r="D3393" s="25">
        <f>ItensPedido!D3393</f>
        <v/>
      </c>
      <c r="E3393" s="26">
        <f>ItensPedido!E3393</f>
        <v/>
      </c>
      <c r="F3393" s="25">
        <f>IFERROR(INDEX(Pedidos!$B$2:$B$1801,MATCH(B3393,Pedidos!$A$2:$A$1801,0)),0)</f>
        <v/>
      </c>
      <c r="G3393" s="25">
        <f>IF(F3393=0,"",YEAR(F3393))</f>
        <v/>
      </c>
      <c r="H3393" s="25">
        <f>IF(F3393=0,"",MONTH(F3393))</f>
        <v/>
      </c>
      <c r="I3393" s="25">
        <f>IFERROR(INDEX(Pedidos!$E$2:$E$1801,MATCH(B3393,Pedidos!$A$2:$A$1801,0)),"")</f>
        <v/>
      </c>
      <c r="J3393" s="25">
        <f>IFERROR(INDEX(Pedidos!$C$2:$C$1801,MATCH(B3393,Pedidos!$A$2:$A$1801,0)),"")</f>
        <v/>
      </c>
      <c r="K3393" s="25">
        <f>IFERROR(INDEX(Pedidos!$D$2:$D$1801,MATCH(B3393,Pedidos!$A$2:$A$1801,0)),"")</f>
        <v/>
      </c>
      <c r="L3393" s="25">
        <f>IFERROR(INDEX(Pedidos!$F$2:$F$1801,MATCH(B3393,Pedidos!$A$2:$A$1801,0)),"")</f>
        <v/>
      </c>
      <c r="M3393" s="26">
        <f>IFERROR(INDEX(Pedidos!$G$2:$G$1801,MATCH(B3393,Pedidos!$A$2:$A$1801,0)),0)</f>
        <v/>
      </c>
      <c r="N3393" s="25">
        <f>IFERROR(INDEX(Produtos!$B$2:$B$71,MATCH(C3393,Produtos!$A$2:$A$71,0)),"")</f>
        <v/>
      </c>
      <c r="O3393" s="25">
        <f>IFERROR(INDEX(Produtos!$C$2:$C$71,MATCH(C3393,Produtos!$A$2:$A$71,0)),"")</f>
        <v/>
      </c>
      <c r="P3393" s="25">
        <f>IFERROR(INDEX(Produtos!$D$2:$D$71,MATCH(C3393,Produtos!$A$2:$A$71,0)),0)</f>
        <v/>
      </c>
      <c r="Q3393" s="25">
        <f>IFERROR(INDEX(Produtos!$E$2:$E$71,MATCH(C3393,Produtos!$A$2:$A$71,0)),0)</f>
        <v/>
      </c>
      <c r="R3393" s="27">
        <f>D3393*Q3393</f>
        <v/>
      </c>
      <c r="S3393" s="27">
        <f>R3393*E3393</f>
        <v/>
      </c>
      <c r="T3393" s="27">
        <f>(R3393-S3393)*M3393</f>
        <v/>
      </c>
      <c r="U3393" s="27">
        <f>R3393-S3393-T3393</f>
        <v/>
      </c>
      <c r="V3393" s="27">
        <f>D3393*P3393</f>
        <v/>
      </c>
      <c r="W3393" s="27">
        <f>U3393-V3393</f>
        <v/>
      </c>
      <c r="X3393" s="28">
        <f>IFERROR(W3393/U3393,0)</f>
        <v/>
      </c>
    </row>
    <row r="3394">
      <c r="A3394" s="21">
        <f>ItensPedido!A3394</f>
        <v/>
      </c>
      <c r="B3394" s="21">
        <f>ItensPedido!B3394</f>
        <v/>
      </c>
      <c r="C3394" s="21">
        <f>ItensPedido!C3394</f>
        <v/>
      </c>
      <c r="D3394" s="21">
        <f>ItensPedido!D3394</f>
        <v/>
      </c>
      <c r="E3394" s="22">
        <f>ItensPedido!E3394</f>
        <v/>
      </c>
      <c r="F3394" s="21">
        <f>IFERROR(INDEX(Pedidos!$B$2:$B$1801,MATCH(B3394,Pedidos!$A$2:$A$1801,0)),0)</f>
        <v/>
      </c>
      <c r="G3394" s="21">
        <f>IF(F3394=0,"",YEAR(F3394))</f>
        <v/>
      </c>
      <c r="H3394" s="21">
        <f>IF(F3394=0,"",MONTH(F3394))</f>
        <v/>
      </c>
      <c r="I3394" s="21">
        <f>IFERROR(INDEX(Pedidos!$E$2:$E$1801,MATCH(B3394,Pedidos!$A$2:$A$1801,0)),"")</f>
        <v/>
      </c>
      <c r="J3394" s="21">
        <f>IFERROR(INDEX(Pedidos!$C$2:$C$1801,MATCH(B3394,Pedidos!$A$2:$A$1801,0)),"")</f>
        <v/>
      </c>
      <c r="K3394" s="21">
        <f>IFERROR(INDEX(Pedidos!$D$2:$D$1801,MATCH(B3394,Pedidos!$A$2:$A$1801,0)),"")</f>
        <v/>
      </c>
      <c r="L3394" s="21">
        <f>IFERROR(INDEX(Pedidos!$F$2:$F$1801,MATCH(B3394,Pedidos!$A$2:$A$1801,0)),"")</f>
        <v/>
      </c>
      <c r="M3394" s="22">
        <f>IFERROR(INDEX(Pedidos!$G$2:$G$1801,MATCH(B3394,Pedidos!$A$2:$A$1801,0)),0)</f>
        <v/>
      </c>
      <c r="N3394" s="21">
        <f>IFERROR(INDEX(Produtos!$B$2:$B$71,MATCH(C3394,Produtos!$A$2:$A$71,0)),"")</f>
        <v/>
      </c>
      <c r="O3394" s="21">
        <f>IFERROR(INDEX(Produtos!$C$2:$C$71,MATCH(C3394,Produtos!$A$2:$A$71,0)),"")</f>
        <v/>
      </c>
      <c r="P3394" s="21">
        <f>IFERROR(INDEX(Produtos!$D$2:$D$71,MATCH(C3394,Produtos!$A$2:$A$71,0)),0)</f>
        <v/>
      </c>
      <c r="Q3394" s="21">
        <f>IFERROR(INDEX(Produtos!$E$2:$E$71,MATCH(C3394,Produtos!$A$2:$A$71,0)),0)</f>
        <v/>
      </c>
      <c r="R3394" s="23">
        <f>D3394*Q3394</f>
        <v/>
      </c>
      <c r="S3394" s="23">
        <f>R3394*E3394</f>
        <v/>
      </c>
      <c r="T3394" s="23">
        <f>(R3394-S3394)*M3394</f>
        <v/>
      </c>
      <c r="U3394" s="23">
        <f>R3394-S3394-T3394</f>
        <v/>
      </c>
      <c r="V3394" s="23">
        <f>D3394*P3394</f>
        <v/>
      </c>
      <c r="W3394" s="23">
        <f>U3394-V3394</f>
        <v/>
      </c>
      <c r="X3394" s="24">
        <f>IFERROR(W3394/U3394,0)</f>
        <v/>
      </c>
    </row>
    <row r="3395">
      <c r="A3395" s="25">
        <f>ItensPedido!A3395</f>
        <v/>
      </c>
      <c r="B3395" s="25">
        <f>ItensPedido!B3395</f>
        <v/>
      </c>
      <c r="C3395" s="25">
        <f>ItensPedido!C3395</f>
        <v/>
      </c>
      <c r="D3395" s="25">
        <f>ItensPedido!D3395</f>
        <v/>
      </c>
      <c r="E3395" s="26">
        <f>ItensPedido!E3395</f>
        <v/>
      </c>
      <c r="F3395" s="25">
        <f>IFERROR(INDEX(Pedidos!$B$2:$B$1801,MATCH(B3395,Pedidos!$A$2:$A$1801,0)),0)</f>
        <v/>
      </c>
      <c r="G3395" s="25">
        <f>IF(F3395=0,"",YEAR(F3395))</f>
        <v/>
      </c>
      <c r="H3395" s="25">
        <f>IF(F3395=0,"",MONTH(F3395))</f>
        <v/>
      </c>
      <c r="I3395" s="25">
        <f>IFERROR(INDEX(Pedidos!$E$2:$E$1801,MATCH(B3395,Pedidos!$A$2:$A$1801,0)),"")</f>
        <v/>
      </c>
      <c r="J3395" s="25">
        <f>IFERROR(INDEX(Pedidos!$C$2:$C$1801,MATCH(B3395,Pedidos!$A$2:$A$1801,0)),"")</f>
        <v/>
      </c>
      <c r="K3395" s="25">
        <f>IFERROR(INDEX(Pedidos!$D$2:$D$1801,MATCH(B3395,Pedidos!$A$2:$A$1801,0)),"")</f>
        <v/>
      </c>
      <c r="L3395" s="25">
        <f>IFERROR(INDEX(Pedidos!$F$2:$F$1801,MATCH(B3395,Pedidos!$A$2:$A$1801,0)),"")</f>
        <v/>
      </c>
      <c r="M3395" s="26">
        <f>IFERROR(INDEX(Pedidos!$G$2:$G$1801,MATCH(B3395,Pedidos!$A$2:$A$1801,0)),0)</f>
        <v/>
      </c>
      <c r="N3395" s="25">
        <f>IFERROR(INDEX(Produtos!$B$2:$B$71,MATCH(C3395,Produtos!$A$2:$A$71,0)),"")</f>
        <v/>
      </c>
      <c r="O3395" s="25">
        <f>IFERROR(INDEX(Produtos!$C$2:$C$71,MATCH(C3395,Produtos!$A$2:$A$71,0)),"")</f>
        <v/>
      </c>
      <c r="P3395" s="25">
        <f>IFERROR(INDEX(Produtos!$D$2:$D$71,MATCH(C3395,Produtos!$A$2:$A$71,0)),0)</f>
        <v/>
      </c>
      <c r="Q3395" s="25">
        <f>IFERROR(INDEX(Produtos!$E$2:$E$71,MATCH(C3395,Produtos!$A$2:$A$71,0)),0)</f>
        <v/>
      </c>
      <c r="R3395" s="27">
        <f>D3395*Q3395</f>
        <v/>
      </c>
      <c r="S3395" s="27">
        <f>R3395*E3395</f>
        <v/>
      </c>
      <c r="T3395" s="27">
        <f>(R3395-S3395)*M3395</f>
        <v/>
      </c>
      <c r="U3395" s="27">
        <f>R3395-S3395-T3395</f>
        <v/>
      </c>
      <c r="V3395" s="27">
        <f>D3395*P3395</f>
        <v/>
      </c>
      <c r="W3395" s="27">
        <f>U3395-V3395</f>
        <v/>
      </c>
      <c r="X3395" s="28">
        <f>IFERROR(W3395/U3395,0)</f>
        <v/>
      </c>
    </row>
    <row r="3396">
      <c r="A3396" s="21">
        <f>ItensPedido!A3396</f>
        <v/>
      </c>
      <c r="B3396" s="21">
        <f>ItensPedido!B3396</f>
        <v/>
      </c>
      <c r="C3396" s="21">
        <f>ItensPedido!C3396</f>
        <v/>
      </c>
      <c r="D3396" s="21">
        <f>ItensPedido!D3396</f>
        <v/>
      </c>
      <c r="E3396" s="22">
        <f>ItensPedido!E3396</f>
        <v/>
      </c>
      <c r="F3396" s="21">
        <f>IFERROR(INDEX(Pedidos!$B$2:$B$1801,MATCH(B3396,Pedidos!$A$2:$A$1801,0)),0)</f>
        <v/>
      </c>
      <c r="G3396" s="21">
        <f>IF(F3396=0,"",YEAR(F3396))</f>
        <v/>
      </c>
      <c r="H3396" s="21">
        <f>IF(F3396=0,"",MONTH(F3396))</f>
        <v/>
      </c>
      <c r="I3396" s="21">
        <f>IFERROR(INDEX(Pedidos!$E$2:$E$1801,MATCH(B3396,Pedidos!$A$2:$A$1801,0)),"")</f>
        <v/>
      </c>
      <c r="J3396" s="21">
        <f>IFERROR(INDEX(Pedidos!$C$2:$C$1801,MATCH(B3396,Pedidos!$A$2:$A$1801,0)),"")</f>
        <v/>
      </c>
      <c r="K3396" s="21">
        <f>IFERROR(INDEX(Pedidos!$D$2:$D$1801,MATCH(B3396,Pedidos!$A$2:$A$1801,0)),"")</f>
        <v/>
      </c>
      <c r="L3396" s="21">
        <f>IFERROR(INDEX(Pedidos!$F$2:$F$1801,MATCH(B3396,Pedidos!$A$2:$A$1801,0)),"")</f>
        <v/>
      </c>
      <c r="M3396" s="22">
        <f>IFERROR(INDEX(Pedidos!$G$2:$G$1801,MATCH(B3396,Pedidos!$A$2:$A$1801,0)),0)</f>
        <v/>
      </c>
      <c r="N3396" s="21">
        <f>IFERROR(INDEX(Produtos!$B$2:$B$71,MATCH(C3396,Produtos!$A$2:$A$71,0)),"")</f>
        <v/>
      </c>
      <c r="O3396" s="21">
        <f>IFERROR(INDEX(Produtos!$C$2:$C$71,MATCH(C3396,Produtos!$A$2:$A$71,0)),"")</f>
        <v/>
      </c>
      <c r="P3396" s="21">
        <f>IFERROR(INDEX(Produtos!$D$2:$D$71,MATCH(C3396,Produtos!$A$2:$A$71,0)),0)</f>
        <v/>
      </c>
      <c r="Q3396" s="21">
        <f>IFERROR(INDEX(Produtos!$E$2:$E$71,MATCH(C3396,Produtos!$A$2:$A$71,0)),0)</f>
        <v/>
      </c>
      <c r="R3396" s="23">
        <f>D3396*Q3396</f>
        <v/>
      </c>
      <c r="S3396" s="23">
        <f>R3396*E3396</f>
        <v/>
      </c>
      <c r="T3396" s="23">
        <f>(R3396-S3396)*M3396</f>
        <v/>
      </c>
      <c r="U3396" s="23">
        <f>R3396-S3396-T3396</f>
        <v/>
      </c>
      <c r="V3396" s="23">
        <f>D3396*P3396</f>
        <v/>
      </c>
      <c r="W3396" s="23">
        <f>U3396-V3396</f>
        <v/>
      </c>
      <c r="X3396" s="24">
        <f>IFERROR(W3396/U3396,0)</f>
        <v/>
      </c>
    </row>
    <row r="3397">
      <c r="A3397" s="25">
        <f>ItensPedido!A3397</f>
        <v/>
      </c>
      <c r="B3397" s="25">
        <f>ItensPedido!B3397</f>
        <v/>
      </c>
      <c r="C3397" s="25">
        <f>ItensPedido!C3397</f>
        <v/>
      </c>
      <c r="D3397" s="25">
        <f>ItensPedido!D3397</f>
        <v/>
      </c>
      <c r="E3397" s="26">
        <f>ItensPedido!E3397</f>
        <v/>
      </c>
      <c r="F3397" s="25">
        <f>IFERROR(INDEX(Pedidos!$B$2:$B$1801,MATCH(B3397,Pedidos!$A$2:$A$1801,0)),0)</f>
        <v/>
      </c>
      <c r="G3397" s="25">
        <f>IF(F3397=0,"",YEAR(F3397))</f>
        <v/>
      </c>
      <c r="H3397" s="25">
        <f>IF(F3397=0,"",MONTH(F3397))</f>
        <v/>
      </c>
      <c r="I3397" s="25">
        <f>IFERROR(INDEX(Pedidos!$E$2:$E$1801,MATCH(B3397,Pedidos!$A$2:$A$1801,0)),"")</f>
        <v/>
      </c>
      <c r="J3397" s="25">
        <f>IFERROR(INDEX(Pedidos!$C$2:$C$1801,MATCH(B3397,Pedidos!$A$2:$A$1801,0)),"")</f>
        <v/>
      </c>
      <c r="K3397" s="25">
        <f>IFERROR(INDEX(Pedidos!$D$2:$D$1801,MATCH(B3397,Pedidos!$A$2:$A$1801,0)),"")</f>
        <v/>
      </c>
      <c r="L3397" s="25">
        <f>IFERROR(INDEX(Pedidos!$F$2:$F$1801,MATCH(B3397,Pedidos!$A$2:$A$1801,0)),"")</f>
        <v/>
      </c>
      <c r="M3397" s="26">
        <f>IFERROR(INDEX(Pedidos!$G$2:$G$1801,MATCH(B3397,Pedidos!$A$2:$A$1801,0)),0)</f>
        <v/>
      </c>
      <c r="N3397" s="25">
        <f>IFERROR(INDEX(Produtos!$B$2:$B$71,MATCH(C3397,Produtos!$A$2:$A$71,0)),"")</f>
        <v/>
      </c>
      <c r="O3397" s="25">
        <f>IFERROR(INDEX(Produtos!$C$2:$C$71,MATCH(C3397,Produtos!$A$2:$A$71,0)),"")</f>
        <v/>
      </c>
      <c r="P3397" s="25">
        <f>IFERROR(INDEX(Produtos!$D$2:$D$71,MATCH(C3397,Produtos!$A$2:$A$71,0)),0)</f>
        <v/>
      </c>
      <c r="Q3397" s="25">
        <f>IFERROR(INDEX(Produtos!$E$2:$E$71,MATCH(C3397,Produtos!$A$2:$A$71,0)),0)</f>
        <v/>
      </c>
      <c r="R3397" s="27">
        <f>D3397*Q3397</f>
        <v/>
      </c>
      <c r="S3397" s="27">
        <f>R3397*E3397</f>
        <v/>
      </c>
      <c r="T3397" s="27">
        <f>(R3397-S3397)*M3397</f>
        <v/>
      </c>
      <c r="U3397" s="27">
        <f>R3397-S3397-T3397</f>
        <v/>
      </c>
      <c r="V3397" s="27">
        <f>D3397*P3397</f>
        <v/>
      </c>
      <c r="W3397" s="27">
        <f>U3397-V3397</f>
        <v/>
      </c>
      <c r="X3397" s="28">
        <f>IFERROR(W3397/U3397,0)</f>
        <v/>
      </c>
    </row>
    <row r="3398">
      <c r="A3398" s="21">
        <f>ItensPedido!A3398</f>
        <v/>
      </c>
      <c r="B3398" s="21">
        <f>ItensPedido!B3398</f>
        <v/>
      </c>
      <c r="C3398" s="21">
        <f>ItensPedido!C3398</f>
        <v/>
      </c>
      <c r="D3398" s="21">
        <f>ItensPedido!D3398</f>
        <v/>
      </c>
      <c r="E3398" s="22">
        <f>ItensPedido!E3398</f>
        <v/>
      </c>
      <c r="F3398" s="21">
        <f>IFERROR(INDEX(Pedidos!$B$2:$B$1801,MATCH(B3398,Pedidos!$A$2:$A$1801,0)),0)</f>
        <v/>
      </c>
      <c r="G3398" s="21">
        <f>IF(F3398=0,"",YEAR(F3398))</f>
        <v/>
      </c>
      <c r="H3398" s="21">
        <f>IF(F3398=0,"",MONTH(F3398))</f>
        <v/>
      </c>
      <c r="I3398" s="21">
        <f>IFERROR(INDEX(Pedidos!$E$2:$E$1801,MATCH(B3398,Pedidos!$A$2:$A$1801,0)),"")</f>
        <v/>
      </c>
      <c r="J3398" s="21">
        <f>IFERROR(INDEX(Pedidos!$C$2:$C$1801,MATCH(B3398,Pedidos!$A$2:$A$1801,0)),"")</f>
        <v/>
      </c>
      <c r="K3398" s="21">
        <f>IFERROR(INDEX(Pedidos!$D$2:$D$1801,MATCH(B3398,Pedidos!$A$2:$A$1801,0)),"")</f>
        <v/>
      </c>
      <c r="L3398" s="21">
        <f>IFERROR(INDEX(Pedidos!$F$2:$F$1801,MATCH(B3398,Pedidos!$A$2:$A$1801,0)),"")</f>
        <v/>
      </c>
      <c r="M3398" s="22">
        <f>IFERROR(INDEX(Pedidos!$G$2:$G$1801,MATCH(B3398,Pedidos!$A$2:$A$1801,0)),0)</f>
        <v/>
      </c>
      <c r="N3398" s="21">
        <f>IFERROR(INDEX(Produtos!$B$2:$B$71,MATCH(C3398,Produtos!$A$2:$A$71,0)),"")</f>
        <v/>
      </c>
      <c r="O3398" s="21">
        <f>IFERROR(INDEX(Produtos!$C$2:$C$71,MATCH(C3398,Produtos!$A$2:$A$71,0)),"")</f>
        <v/>
      </c>
      <c r="P3398" s="21">
        <f>IFERROR(INDEX(Produtos!$D$2:$D$71,MATCH(C3398,Produtos!$A$2:$A$71,0)),0)</f>
        <v/>
      </c>
      <c r="Q3398" s="21">
        <f>IFERROR(INDEX(Produtos!$E$2:$E$71,MATCH(C3398,Produtos!$A$2:$A$71,0)),0)</f>
        <v/>
      </c>
      <c r="R3398" s="23">
        <f>D3398*Q3398</f>
        <v/>
      </c>
      <c r="S3398" s="23">
        <f>R3398*E3398</f>
        <v/>
      </c>
      <c r="T3398" s="23">
        <f>(R3398-S3398)*M3398</f>
        <v/>
      </c>
      <c r="U3398" s="23">
        <f>R3398-S3398-T3398</f>
        <v/>
      </c>
      <c r="V3398" s="23">
        <f>D3398*P3398</f>
        <v/>
      </c>
      <c r="W3398" s="23">
        <f>U3398-V3398</f>
        <v/>
      </c>
      <c r="X3398" s="24">
        <f>IFERROR(W3398/U3398,0)</f>
        <v/>
      </c>
    </row>
    <row r="3399">
      <c r="A3399" s="25">
        <f>ItensPedido!A3399</f>
        <v/>
      </c>
      <c r="B3399" s="25">
        <f>ItensPedido!B3399</f>
        <v/>
      </c>
      <c r="C3399" s="25">
        <f>ItensPedido!C3399</f>
        <v/>
      </c>
      <c r="D3399" s="25">
        <f>ItensPedido!D3399</f>
        <v/>
      </c>
      <c r="E3399" s="26">
        <f>ItensPedido!E3399</f>
        <v/>
      </c>
      <c r="F3399" s="25">
        <f>IFERROR(INDEX(Pedidos!$B$2:$B$1801,MATCH(B3399,Pedidos!$A$2:$A$1801,0)),0)</f>
        <v/>
      </c>
      <c r="G3399" s="25">
        <f>IF(F3399=0,"",YEAR(F3399))</f>
        <v/>
      </c>
      <c r="H3399" s="25">
        <f>IF(F3399=0,"",MONTH(F3399))</f>
        <v/>
      </c>
      <c r="I3399" s="25">
        <f>IFERROR(INDEX(Pedidos!$E$2:$E$1801,MATCH(B3399,Pedidos!$A$2:$A$1801,0)),"")</f>
        <v/>
      </c>
      <c r="J3399" s="25">
        <f>IFERROR(INDEX(Pedidos!$C$2:$C$1801,MATCH(B3399,Pedidos!$A$2:$A$1801,0)),"")</f>
        <v/>
      </c>
      <c r="K3399" s="25">
        <f>IFERROR(INDEX(Pedidos!$D$2:$D$1801,MATCH(B3399,Pedidos!$A$2:$A$1801,0)),"")</f>
        <v/>
      </c>
      <c r="L3399" s="25">
        <f>IFERROR(INDEX(Pedidos!$F$2:$F$1801,MATCH(B3399,Pedidos!$A$2:$A$1801,0)),"")</f>
        <v/>
      </c>
      <c r="M3399" s="26">
        <f>IFERROR(INDEX(Pedidos!$G$2:$G$1801,MATCH(B3399,Pedidos!$A$2:$A$1801,0)),0)</f>
        <v/>
      </c>
      <c r="N3399" s="25">
        <f>IFERROR(INDEX(Produtos!$B$2:$B$71,MATCH(C3399,Produtos!$A$2:$A$71,0)),"")</f>
        <v/>
      </c>
      <c r="O3399" s="25">
        <f>IFERROR(INDEX(Produtos!$C$2:$C$71,MATCH(C3399,Produtos!$A$2:$A$71,0)),"")</f>
        <v/>
      </c>
      <c r="P3399" s="25">
        <f>IFERROR(INDEX(Produtos!$D$2:$D$71,MATCH(C3399,Produtos!$A$2:$A$71,0)),0)</f>
        <v/>
      </c>
      <c r="Q3399" s="25">
        <f>IFERROR(INDEX(Produtos!$E$2:$E$71,MATCH(C3399,Produtos!$A$2:$A$71,0)),0)</f>
        <v/>
      </c>
      <c r="R3399" s="27">
        <f>D3399*Q3399</f>
        <v/>
      </c>
      <c r="S3399" s="27">
        <f>R3399*E3399</f>
        <v/>
      </c>
      <c r="T3399" s="27">
        <f>(R3399-S3399)*M3399</f>
        <v/>
      </c>
      <c r="U3399" s="27">
        <f>R3399-S3399-T3399</f>
        <v/>
      </c>
      <c r="V3399" s="27">
        <f>D3399*P3399</f>
        <v/>
      </c>
      <c r="W3399" s="27">
        <f>U3399-V3399</f>
        <v/>
      </c>
      <c r="X3399" s="28">
        <f>IFERROR(W3399/U3399,0)</f>
        <v/>
      </c>
    </row>
    <row r="3400">
      <c r="A3400" s="21">
        <f>ItensPedido!A3400</f>
        <v/>
      </c>
      <c r="B3400" s="21">
        <f>ItensPedido!B3400</f>
        <v/>
      </c>
      <c r="C3400" s="21">
        <f>ItensPedido!C3400</f>
        <v/>
      </c>
      <c r="D3400" s="21">
        <f>ItensPedido!D3400</f>
        <v/>
      </c>
      <c r="E3400" s="22">
        <f>ItensPedido!E3400</f>
        <v/>
      </c>
      <c r="F3400" s="21">
        <f>IFERROR(INDEX(Pedidos!$B$2:$B$1801,MATCH(B3400,Pedidos!$A$2:$A$1801,0)),0)</f>
        <v/>
      </c>
      <c r="G3400" s="21">
        <f>IF(F3400=0,"",YEAR(F3400))</f>
        <v/>
      </c>
      <c r="H3400" s="21">
        <f>IF(F3400=0,"",MONTH(F3400))</f>
        <v/>
      </c>
      <c r="I3400" s="21">
        <f>IFERROR(INDEX(Pedidos!$E$2:$E$1801,MATCH(B3400,Pedidos!$A$2:$A$1801,0)),"")</f>
        <v/>
      </c>
      <c r="J3400" s="21">
        <f>IFERROR(INDEX(Pedidos!$C$2:$C$1801,MATCH(B3400,Pedidos!$A$2:$A$1801,0)),"")</f>
        <v/>
      </c>
      <c r="K3400" s="21">
        <f>IFERROR(INDEX(Pedidos!$D$2:$D$1801,MATCH(B3400,Pedidos!$A$2:$A$1801,0)),"")</f>
        <v/>
      </c>
      <c r="L3400" s="21">
        <f>IFERROR(INDEX(Pedidos!$F$2:$F$1801,MATCH(B3400,Pedidos!$A$2:$A$1801,0)),"")</f>
        <v/>
      </c>
      <c r="M3400" s="22">
        <f>IFERROR(INDEX(Pedidos!$G$2:$G$1801,MATCH(B3400,Pedidos!$A$2:$A$1801,0)),0)</f>
        <v/>
      </c>
      <c r="N3400" s="21">
        <f>IFERROR(INDEX(Produtos!$B$2:$B$71,MATCH(C3400,Produtos!$A$2:$A$71,0)),"")</f>
        <v/>
      </c>
      <c r="O3400" s="21">
        <f>IFERROR(INDEX(Produtos!$C$2:$C$71,MATCH(C3400,Produtos!$A$2:$A$71,0)),"")</f>
        <v/>
      </c>
      <c r="P3400" s="21">
        <f>IFERROR(INDEX(Produtos!$D$2:$D$71,MATCH(C3400,Produtos!$A$2:$A$71,0)),0)</f>
        <v/>
      </c>
      <c r="Q3400" s="21">
        <f>IFERROR(INDEX(Produtos!$E$2:$E$71,MATCH(C3400,Produtos!$A$2:$A$71,0)),0)</f>
        <v/>
      </c>
      <c r="R3400" s="23">
        <f>D3400*Q3400</f>
        <v/>
      </c>
      <c r="S3400" s="23">
        <f>R3400*E3400</f>
        <v/>
      </c>
      <c r="T3400" s="23">
        <f>(R3400-S3400)*M3400</f>
        <v/>
      </c>
      <c r="U3400" s="23">
        <f>R3400-S3400-T3400</f>
        <v/>
      </c>
      <c r="V3400" s="23">
        <f>D3400*P3400</f>
        <v/>
      </c>
      <c r="W3400" s="23">
        <f>U3400-V3400</f>
        <v/>
      </c>
      <c r="X3400" s="24">
        <f>IFERROR(W3400/U3400,0)</f>
        <v/>
      </c>
    </row>
    <row r="3401">
      <c r="A3401" s="25">
        <f>ItensPedido!A3401</f>
        <v/>
      </c>
      <c r="B3401" s="25">
        <f>ItensPedido!B3401</f>
        <v/>
      </c>
      <c r="C3401" s="25">
        <f>ItensPedido!C3401</f>
        <v/>
      </c>
      <c r="D3401" s="25">
        <f>ItensPedido!D3401</f>
        <v/>
      </c>
      <c r="E3401" s="26">
        <f>ItensPedido!E3401</f>
        <v/>
      </c>
      <c r="F3401" s="25">
        <f>IFERROR(INDEX(Pedidos!$B$2:$B$1801,MATCH(B3401,Pedidos!$A$2:$A$1801,0)),0)</f>
        <v/>
      </c>
      <c r="G3401" s="25">
        <f>IF(F3401=0,"",YEAR(F3401))</f>
        <v/>
      </c>
      <c r="H3401" s="25">
        <f>IF(F3401=0,"",MONTH(F3401))</f>
        <v/>
      </c>
      <c r="I3401" s="25">
        <f>IFERROR(INDEX(Pedidos!$E$2:$E$1801,MATCH(B3401,Pedidos!$A$2:$A$1801,0)),"")</f>
        <v/>
      </c>
      <c r="J3401" s="25">
        <f>IFERROR(INDEX(Pedidos!$C$2:$C$1801,MATCH(B3401,Pedidos!$A$2:$A$1801,0)),"")</f>
        <v/>
      </c>
      <c r="K3401" s="25">
        <f>IFERROR(INDEX(Pedidos!$D$2:$D$1801,MATCH(B3401,Pedidos!$A$2:$A$1801,0)),"")</f>
        <v/>
      </c>
      <c r="L3401" s="25">
        <f>IFERROR(INDEX(Pedidos!$F$2:$F$1801,MATCH(B3401,Pedidos!$A$2:$A$1801,0)),"")</f>
        <v/>
      </c>
      <c r="M3401" s="26">
        <f>IFERROR(INDEX(Pedidos!$G$2:$G$1801,MATCH(B3401,Pedidos!$A$2:$A$1801,0)),0)</f>
        <v/>
      </c>
      <c r="N3401" s="25">
        <f>IFERROR(INDEX(Produtos!$B$2:$B$71,MATCH(C3401,Produtos!$A$2:$A$71,0)),"")</f>
        <v/>
      </c>
      <c r="O3401" s="25">
        <f>IFERROR(INDEX(Produtos!$C$2:$C$71,MATCH(C3401,Produtos!$A$2:$A$71,0)),"")</f>
        <v/>
      </c>
      <c r="P3401" s="25">
        <f>IFERROR(INDEX(Produtos!$D$2:$D$71,MATCH(C3401,Produtos!$A$2:$A$71,0)),0)</f>
        <v/>
      </c>
      <c r="Q3401" s="25">
        <f>IFERROR(INDEX(Produtos!$E$2:$E$71,MATCH(C3401,Produtos!$A$2:$A$71,0)),0)</f>
        <v/>
      </c>
      <c r="R3401" s="27">
        <f>D3401*Q3401</f>
        <v/>
      </c>
      <c r="S3401" s="27">
        <f>R3401*E3401</f>
        <v/>
      </c>
      <c r="T3401" s="27">
        <f>(R3401-S3401)*M3401</f>
        <v/>
      </c>
      <c r="U3401" s="27">
        <f>R3401-S3401-T3401</f>
        <v/>
      </c>
      <c r="V3401" s="27">
        <f>D3401*P3401</f>
        <v/>
      </c>
      <c r="W3401" s="27">
        <f>U3401-V3401</f>
        <v/>
      </c>
      <c r="X3401" s="28">
        <f>IFERROR(W3401/U3401,0)</f>
        <v/>
      </c>
    </row>
    <row r="3402">
      <c r="A3402" s="21">
        <f>ItensPedido!A3402</f>
        <v/>
      </c>
      <c r="B3402" s="21">
        <f>ItensPedido!B3402</f>
        <v/>
      </c>
      <c r="C3402" s="21">
        <f>ItensPedido!C3402</f>
        <v/>
      </c>
      <c r="D3402" s="21">
        <f>ItensPedido!D3402</f>
        <v/>
      </c>
      <c r="E3402" s="22">
        <f>ItensPedido!E3402</f>
        <v/>
      </c>
      <c r="F3402" s="21">
        <f>IFERROR(INDEX(Pedidos!$B$2:$B$1801,MATCH(B3402,Pedidos!$A$2:$A$1801,0)),0)</f>
        <v/>
      </c>
      <c r="G3402" s="21">
        <f>IF(F3402=0,"",YEAR(F3402))</f>
        <v/>
      </c>
      <c r="H3402" s="21">
        <f>IF(F3402=0,"",MONTH(F3402))</f>
        <v/>
      </c>
      <c r="I3402" s="21">
        <f>IFERROR(INDEX(Pedidos!$E$2:$E$1801,MATCH(B3402,Pedidos!$A$2:$A$1801,0)),"")</f>
        <v/>
      </c>
      <c r="J3402" s="21">
        <f>IFERROR(INDEX(Pedidos!$C$2:$C$1801,MATCH(B3402,Pedidos!$A$2:$A$1801,0)),"")</f>
        <v/>
      </c>
      <c r="K3402" s="21">
        <f>IFERROR(INDEX(Pedidos!$D$2:$D$1801,MATCH(B3402,Pedidos!$A$2:$A$1801,0)),"")</f>
        <v/>
      </c>
      <c r="L3402" s="21">
        <f>IFERROR(INDEX(Pedidos!$F$2:$F$1801,MATCH(B3402,Pedidos!$A$2:$A$1801,0)),"")</f>
        <v/>
      </c>
      <c r="M3402" s="22">
        <f>IFERROR(INDEX(Pedidos!$G$2:$G$1801,MATCH(B3402,Pedidos!$A$2:$A$1801,0)),0)</f>
        <v/>
      </c>
      <c r="N3402" s="21">
        <f>IFERROR(INDEX(Produtos!$B$2:$B$71,MATCH(C3402,Produtos!$A$2:$A$71,0)),"")</f>
        <v/>
      </c>
      <c r="O3402" s="21">
        <f>IFERROR(INDEX(Produtos!$C$2:$C$71,MATCH(C3402,Produtos!$A$2:$A$71,0)),"")</f>
        <v/>
      </c>
      <c r="P3402" s="21">
        <f>IFERROR(INDEX(Produtos!$D$2:$D$71,MATCH(C3402,Produtos!$A$2:$A$71,0)),0)</f>
        <v/>
      </c>
      <c r="Q3402" s="21">
        <f>IFERROR(INDEX(Produtos!$E$2:$E$71,MATCH(C3402,Produtos!$A$2:$A$71,0)),0)</f>
        <v/>
      </c>
      <c r="R3402" s="23">
        <f>D3402*Q3402</f>
        <v/>
      </c>
      <c r="S3402" s="23">
        <f>R3402*E3402</f>
        <v/>
      </c>
      <c r="T3402" s="23">
        <f>(R3402-S3402)*M3402</f>
        <v/>
      </c>
      <c r="U3402" s="23">
        <f>R3402-S3402-T3402</f>
        <v/>
      </c>
      <c r="V3402" s="23">
        <f>D3402*P3402</f>
        <v/>
      </c>
      <c r="W3402" s="23">
        <f>U3402-V3402</f>
        <v/>
      </c>
      <c r="X3402" s="24">
        <f>IFERROR(W3402/U3402,0)</f>
        <v/>
      </c>
    </row>
    <row r="3403">
      <c r="A3403" s="25">
        <f>ItensPedido!A3403</f>
        <v/>
      </c>
      <c r="B3403" s="25">
        <f>ItensPedido!B3403</f>
        <v/>
      </c>
      <c r="C3403" s="25">
        <f>ItensPedido!C3403</f>
        <v/>
      </c>
      <c r="D3403" s="25">
        <f>ItensPedido!D3403</f>
        <v/>
      </c>
      <c r="E3403" s="26">
        <f>ItensPedido!E3403</f>
        <v/>
      </c>
      <c r="F3403" s="25">
        <f>IFERROR(INDEX(Pedidos!$B$2:$B$1801,MATCH(B3403,Pedidos!$A$2:$A$1801,0)),0)</f>
        <v/>
      </c>
      <c r="G3403" s="25">
        <f>IF(F3403=0,"",YEAR(F3403))</f>
        <v/>
      </c>
      <c r="H3403" s="25">
        <f>IF(F3403=0,"",MONTH(F3403))</f>
        <v/>
      </c>
      <c r="I3403" s="25">
        <f>IFERROR(INDEX(Pedidos!$E$2:$E$1801,MATCH(B3403,Pedidos!$A$2:$A$1801,0)),"")</f>
        <v/>
      </c>
      <c r="J3403" s="25">
        <f>IFERROR(INDEX(Pedidos!$C$2:$C$1801,MATCH(B3403,Pedidos!$A$2:$A$1801,0)),"")</f>
        <v/>
      </c>
      <c r="K3403" s="25">
        <f>IFERROR(INDEX(Pedidos!$D$2:$D$1801,MATCH(B3403,Pedidos!$A$2:$A$1801,0)),"")</f>
        <v/>
      </c>
      <c r="L3403" s="25">
        <f>IFERROR(INDEX(Pedidos!$F$2:$F$1801,MATCH(B3403,Pedidos!$A$2:$A$1801,0)),"")</f>
        <v/>
      </c>
      <c r="M3403" s="26">
        <f>IFERROR(INDEX(Pedidos!$G$2:$G$1801,MATCH(B3403,Pedidos!$A$2:$A$1801,0)),0)</f>
        <v/>
      </c>
      <c r="N3403" s="25">
        <f>IFERROR(INDEX(Produtos!$B$2:$B$71,MATCH(C3403,Produtos!$A$2:$A$71,0)),"")</f>
        <v/>
      </c>
      <c r="O3403" s="25">
        <f>IFERROR(INDEX(Produtos!$C$2:$C$71,MATCH(C3403,Produtos!$A$2:$A$71,0)),"")</f>
        <v/>
      </c>
      <c r="P3403" s="25">
        <f>IFERROR(INDEX(Produtos!$D$2:$D$71,MATCH(C3403,Produtos!$A$2:$A$71,0)),0)</f>
        <v/>
      </c>
      <c r="Q3403" s="25">
        <f>IFERROR(INDEX(Produtos!$E$2:$E$71,MATCH(C3403,Produtos!$A$2:$A$71,0)),0)</f>
        <v/>
      </c>
      <c r="R3403" s="27">
        <f>D3403*Q3403</f>
        <v/>
      </c>
      <c r="S3403" s="27">
        <f>R3403*E3403</f>
        <v/>
      </c>
      <c r="T3403" s="27">
        <f>(R3403-S3403)*M3403</f>
        <v/>
      </c>
      <c r="U3403" s="27">
        <f>R3403-S3403-T3403</f>
        <v/>
      </c>
      <c r="V3403" s="27">
        <f>D3403*P3403</f>
        <v/>
      </c>
      <c r="W3403" s="27">
        <f>U3403-V3403</f>
        <v/>
      </c>
      <c r="X3403" s="28">
        <f>IFERROR(W3403/U3403,0)</f>
        <v/>
      </c>
    </row>
    <row r="3404">
      <c r="A3404" s="21">
        <f>ItensPedido!A3404</f>
        <v/>
      </c>
      <c r="B3404" s="21">
        <f>ItensPedido!B3404</f>
        <v/>
      </c>
      <c r="C3404" s="21">
        <f>ItensPedido!C3404</f>
        <v/>
      </c>
      <c r="D3404" s="21">
        <f>ItensPedido!D3404</f>
        <v/>
      </c>
      <c r="E3404" s="22">
        <f>ItensPedido!E3404</f>
        <v/>
      </c>
      <c r="F3404" s="21">
        <f>IFERROR(INDEX(Pedidos!$B$2:$B$1801,MATCH(B3404,Pedidos!$A$2:$A$1801,0)),0)</f>
        <v/>
      </c>
      <c r="G3404" s="21">
        <f>IF(F3404=0,"",YEAR(F3404))</f>
        <v/>
      </c>
      <c r="H3404" s="21">
        <f>IF(F3404=0,"",MONTH(F3404))</f>
        <v/>
      </c>
      <c r="I3404" s="21">
        <f>IFERROR(INDEX(Pedidos!$E$2:$E$1801,MATCH(B3404,Pedidos!$A$2:$A$1801,0)),"")</f>
        <v/>
      </c>
      <c r="J3404" s="21">
        <f>IFERROR(INDEX(Pedidos!$C$2:$C$1801,MATCH(B3404,Pedidos!$A$2:$A$1801,0)),"")</f>
        <v/>
      </c>
      <c r="K3404" s="21">
        <f>IFERROR(INDEX(Pedidos!$D$2:$D$1801,MATCH(B3404,Pedidos!$A$2:$A$1801,0)),"")</f>
        <v/>
      </c>
      <c r="L3404" s="21">
        <f>IFERROR(INDEX(Pedidos!$F$2:$F$1801,MATCH(B3404,Pedidos!$A$2:$A$1801,0)),"")</f>
        <v/>
      </c>
      <c r="M3404" s="22">
        <f>IFERROR(INDEX(Pedidos!$G$2:$G$1801,MATCH(B3404,Pedidos!$A$2:$A$1801,0)),0)</f>
        <v/>
      </c>
      <c r="N3404" s="21">
        <f>IFERROR(INDEX(Produtos!$B$2:$B$71,MATCH(C3404,Produtos!$A$2:$A$71,0)),"")</f>
        <v/>
      </c>
      <c r="O3404" s="21">
        <f>IFERROR(INDEX(Produtos!$C$2:$C$71,MATCH(C3404,Produtos!$A$2:$A$71,0)),"")</f>
        <v/>
      </c>
      <c r="P3404" s="21">
        <f>IFERROR(INDEX(Produtos!$D$2:$D$71,MATCH(C3404,Produtos!$A$2:$A$71,0)),0)</f>
        <v/>
      </c>
      <c r="Q3404" s="21">
        <f>IFERROR(INDEX(Produtos!$E$2:$E$71,MATCH(C3404,Produtos!$A$2:$A$71,0)),0)</f>
        <v/>
      </c>
      <c r="R3404" s="23">
        <f>D3404*Q3404</f>
        <v/>
      </c>
      <c r="S3404" s="23">
        <f>R3404*E3404</f>
        <v/>
      </c>
      <c r="T3404" s="23">
        <f>(R3404-S3404)*M3404</f>
        <v/>
      </c>
      <c r="U3404" s="23">
        <f>R3404-S3404-T3404</f>
        <v/>
      </c>
      <c r="V3404" s="23">
        <f>D3404*P3404</f>
        <v/>
      </c>
      <c r="W3404" s="23">
        <f>U3404-V3404</f>
        <v/>
      </c>
      <c r="X3404" s="24">
        <f>IFERROR(W3404/U3404,0)</f>
        <v/>
      </c>
    </row>
    <row r="3405">
      <c r="A3405" s="25">
        <f>ItensPedido!A3405</f>
        <v/>
      </c>
      <c r="B3405" s="25">
        <f>ItensPedido!B3405</f>
        <v/>
      </c>
      <c r="C3405" s="25">
        <f>ItensPedido!C3405</f>
        <v/>
      </c>
      <c r="D3405" s="25">
        <f>ItensPedido!D3405</f>
        <v/>
      </c>
      <c r="E3405" s="26">
        <f>ItensPedido!E3405</f>
        <v/>
      </c>
      <c r="F3405" s="25">
        <f>IFERROR(INDEX(Pedidos!$B$2:$B$1801,MATCH(B3405,Pedidos!$A$2:$A$1801,0)),0)</f>
        <v/>
      </c>
      <c r="G3405" s="25">
        <f>IF(F3405=0,"",YEAR(F3405))</f>
        <v/>
      </c>
      <c r="H3405" s="25">
        <f>IF(F3405=0,"",MONTH(F3405))</f>
        <v/>
      </c>
      <c r="I3405" s="25">
        <f>IFERROR(INDEX(Pedidos!$E$2:$E$1801,MATCH(B3405,Pedidos!$A$2:$A$1801,0)),"")</f>
        <v/>
      </c>
      <c r="J3405" s="25">
        <f>IFERROR(INDEX(Pedidos!$C$2:$C$1801,MATCH(B3405,Pedidos!$A$2:$A$1801,0)),"")</f>
        <v/>
      </c>
      <c r="K3405" s="25">
        <f>IFERROR(INDEX(Pedidos!$D$2:$D$1801,MATCH(B3405,Pedidos!$A$2:$A$1801,0)),"")</f>
        <v/>
      </c>
      <c r="L3405" s="25">
        <f>IFERROR(INDEX(Pedidos!$F$2:$F$1801,MATCH(B3405,Pedidos!$A$2:$A$1801,0)),"")</f>
        <v/>
      </c>
      <c r="M3405" s="26">
        <f>IFERROR(INDEX(Pedidos!$G$2:$G$1801,MATCH(B3405,Pedidos!$A$2:$A$1801,0)),0)</f>
        <v/>
      </c>
      <c r="N3405" s="25">
        <f>IFERROR(INDEX(Produtos!$B$2:$B$71,MATCH(C3405,Produtos!$A$2:$A$71,0)),"")</f>
        <v/>
      </c>
      <c r="O3405" s="25">
        <f>IFERROR(INDEX(Produtos!$C$2:$C$71,MATCH(C3405,Produtos!$A$2:$A$71,0)),"")</f>
        <v/>
      </c>
      <c r="P3405" s="25">
        <f>IFERROR(INDEX(Produtos!$D$2:$D$71,MATCH(C3405,Produtos!$A$2:$A$71,0)),0)</f>
        <v/>
      </c>
      <c r="Q3405" s="25">
        <f>IFERROR(INDEX(Produtos!$E$2:$E$71,MATCH(C3405,Produtos!$A$2:$A$71,0)),0)</f>
        <v/>
      </c>
      <c r="R3405" s="27">
        <f>D3405*Q3405</f>
        <v/>
      </c>
      <c r="S3405" s="27">
        <f>R3405*E3405</f>
        <v/>
      </c>
      <c r="T3405" s="27">
        <f>(R3405-S3405)*M3405</f>
        <v/>
      </c>
      <c r="U3405" s="27">
        <f>R3405-S3405-T3405</f>
        <v/>
      </c>
      <c r="V3405" s="27">
        <f>D3405*P3405</f>
        <v/>
      </c>
      <c r="W3405" s="27">
        <f>U3405-V3405</f>
        <v/>
      </c>
      <c r="X3405" s="28">
        <f>IFERROR(W3405/U3405,0)</f>
        <v/>
      </c>
    </row>
    <row r="3406">
      <c r="A3406" s="21">
        <f>ItensPedido!A3406</f>
        <v/>
      </c>
      <c r="B3406" s="21">
        <f>ItensPedido!B3406</f>
        <v/>
      </c>
      <c r="C3406" s="21">
        <f>ItensPedido!C3406</f>
        <v/>
      </c>
      <c r="D3406" s="21">
        <f>ItensPedido!D3406</f>
        <v/>
      </c>
      <c r="E3406" s="22">
        <f>ItensPedido!E3406</f>
        <v/>
      </c>
      <c r="F3406" s="21">
        <f>IFERROR(INDEX(Pedidos!$B$2:$B$1801,MATCH(B3406,Pedidos!$A$2:$A$1801,0)),0)</f>
        <v/>
      </c>
      <c r="G3406" s="21">
        <f>IF(F3406=0,"",YEAR(F3406))</f>
        <v/>
      </c>
      <c r="H3406" s="21">
        <f>IF(F3406=0,"",MONTH(F3406))</f>
        <v/>
      </c>
      <c r="I3406" s="21">
        <f>IFERROR(INDEX(Pedidos!$E$2:$E$1801,MATCH(B3406,Pedidos!$A$2:$A$1801,0)),"")</f>
        <v/>
      </c>
      <c r="J3406" s="21">
        <f>IFERROR(INDEX(Pedidos!$C$2:$C$1801,MATCH(B3406,Pedidos!$A$2:$A$1801,0)),"")</f>
        <v/>
      </c>
      <c r="K3406" s="21">
        <f>IFERROR(INDEX(Pedidos!$D$2:$D$1801,MATCH(B3406,Pedidos!$A$2:$A$1801,0)),"")</f>
        <v/>
      </c>
      <c r="L3406" s="21">
        <f>IFERROR(INDEX(Pedidos!$F$2:$F$1801,MATCH(B3406,Pedidos!$A$2:$A$1801,0)),"")</f>
        <v/>
      </c>
      <c r="M3406" s="22">
        <f>IFERROR(INDEX(Pedidos!$G$2:$G$1801,MATCH(B3406,Pedidos!$A$2:$A$1801,0)),0)</f>
        <v/>
      </c>
      <c r="N3406" s="21">
        <f>IFERROR(INDEX(Produtos!$B$2:$B$71,MATCH(C3406,Produtos!$A$2:$A$71,0)),"")</f>
        <v/>
      </c>
      <c r="O3406" s="21">
        <f>IFERROR(INDEX(Produtos!$C$2:$C$71,MATCH(C3406,Produtos!$A$2:$A$71,0)),"")</f>
        <v/>
      </c>
      <c r="P3406" s="21">
        <f>IFERROR(INDEX(Produtos!$D$2:$D$71,MATCH(C3406,Produtos!$A$2:$A$71,0)),0)</f>
        <v/>
      </c>
      <c r="Q3406" s="21">
        <f>IFERROR(INDEX(Produtos!$E$2:$E$71,MATCH(C3406,Produtos!$A$2:$A$71,0)),0)</f>
        <v/>
      </c>
      <c r="R3406" s="23">
        <f>D3406*Q3406</f>
        <v/>
      </c>
      <c r="S3406" s="23">
        <f>R3406*E3406</f>
        <v/>
      </c>
      <c r="T3406" s="23">
        <f>(R3406-S3406)*M3406</f>
        <v/>
      </c>
      <c r="U3406" s="23">
        <f>R3406-S3406-T3406</f>
        <v/>
      </c>
      <c r="V3406" s="23">
        <f>D3406*P3406</f>
        <v/>
      </c>
      <c r="W3406" s="23">
        <f>U3406-V3406</f>
        <v/>
      </c>
      <c r="X3406" s="24">
        <f>IFERROR(W3406/U3406,0)</f>
        <v/>
      </c>
    </row>
    <row r="3407">
      <c r="A3407" s="25">
        <f>ItensPedido!A3407</f>
        <v/>
      </c>
      <c r="B3407" s="25">
        <f>ItensPedido!B3407</f>
        <v/>
      </c>
      <c r="C3407" s="25">
        <f>ItensPedido!C3407</f>
        <v/>
      </c>
      <c r="D3407" s="25">
        <f>ItensPedido!D3407</f>
        <v/>
      </c>
      <c r="E3407" s="26">
        <f>ItensPedido!E3407</f>
        <v/>
      </c>
      <c r="F3407" s="25">
        <f>IFERROR(INDEX(Pedidos!$B$2:$B$1801,MATCH(B3407,Pedidos!$A$2:$A$1801,0)),0)</f>
        <v/>
      </c>
      <c r="G3407" s="25">
        <f>IF(F3407=0,"",YEAR(F3407))</f>
        <v/>
      </c>
      <c r="H3407" s="25">
        <f>IF(F3407=0,"",MONTH(F3407))</f>
        <v/>
      </c>
      <c r="I3407" s="25">
        <f>IFERROR(INDEX(Pedidos!$E$2:$E$1801,MATCH(B3407,Pedidos!$A$2:$A$1801,0)),"")</f>
        <v/>
      </c>
      <c r="J3407" s="25">
        <f>IFERROR(INDEX(Pedidos!$C$2:$C$1801,MATCH(B3407,Pedidos!$A$2:$A$1801,0)),"")</f>
        <v/>
      </c>
      <c r="K3407" s="25">
        <f>IFERROR(INDEX(Pedidos!$D$2:$D$1801,MATCH(B3407,Pedidos!$A$2:$A$1801,0)),"")</f>
        <v/>
      </c>
      <c r="L3407" s="25">
        <f>IFERROR(INDEX(Pedidos!$F$2:$F$1801,MATCH(B3407,Pedidos!$A$2:$A$1801,0)),"")</f>
        <v/>
      </c>
      <c r="M3407" s="26">
        <f>IFERROR(INDEX(Pedidos!$G$2:$G$1801,MATCH(B3407,Pedidos!$A$2:$A$1801,0)),0)</f>
        <v/>
      </c>
      <c r="N3407" s="25">
        <f>IFERROR(INDEX(Produtos!$B$2:$B$71,MATCH(C3407,Produtos!$A$2:$A$71,0)),"")</f>
        <v/>
      </c>
      <c r="O3407" s="25">
        <f>IFERROR(INDEX(Produtos!$C$2:$C$71,MATCH(C3407,Produtos!$A$2:$A$71,0)),"")</f>
        <v/>
      </c>
      <c r="P3407" s="25">
        <f>IFERROR(INDEX(Produtos!$D$2:$D$71,MATCH(C3407,Produtos!$A$2:$A$71,0)),0)</f>
        <v/>
      </c>
      <c r="Q3407" s="25">
        <f>IFERROR(INDEX(Produtos!$E$2:$E$71,MATCH(C3407,Produtos!$A$2:$A$71,0)),0)</f>
        <v/>
      </c>
      <c r="R3407" s="27">
        <f>D3407*Q3407</f>
        <v/>
      </c>
      <c r="S3407" s="27">
        <f>R3407*E3407</f>
        <v/>
      </c>
      <c r="T3407" s="27">
        <f>(R3407-S3407)*M3407</f>
        <v/>
      </c>
      <c r="U3407" s="27">
        <f>R3407-S3407-T3407</f>
        <v/>
      </c>
      <c r="V3407" s="27">
        <f>D3407*P3407</f>
        <v/>
      </c>
      <c r="W3407" s="27">
        <f>U3407-V3407</f>
        <v/>
      </c>
      <c r="X3407" s="28">
        <f>IFERROR(W3407/U3407,0)</f>
        <v/>
      </c>
    </row>
    <row r="3408">
      <c r="A3408" s="21">
        <f>ItensPedido!A3408</f>
        <v/>
      </c>
      <c r="B3408" s="21">
        <f>ItensPedido!B3408</f>
        <v/>
      </c>
      <c r="C3408" s="21">
        <f>ItensPedido!C3408</f>
        <v/>
      </c>
      <c r="D3408" s="21">
        <f>ItensPedido!D3408</f>
        <v/>
      </c>
      <c r="E3408" s="22">
        <f>ItensPedido!E3408</f>
        <v/>
      </c>
      <c r="F3408" s="21">
        <f>IFERROR(INDEX(Pedidos!$B$2:$B$1801,MATCH(B3408,Pedidos!$A$2:$A$1801,0)),0)</f>
        <v/>
      </c>
      <c r="G3408" s="21">
        <f>IF(F3408=0,"",YEAR(F3408))</f>
        <v/>
      </c>
      <c r="H3408" s="21">
        <f>IF(F3408=0,"",MONTH(F3408))</f>
        <v/>
      </c>
      <c r="I3408" s="21">
        <f>IFERROR(INDEX(Pedidos!$E$2:$E$1801,MATCH(B3408,Pedidos!$A$2:$A$1801,0)),"")</f>
        <v/>
      </c>
      <c r="J3408" s="21">
        <f>IFERROR(INDEX(Pedidos!$C$2:$C$1801,MATCH(B3408,Pedidos!$A$2:$A$1801,0)),"")</f>
        <v/>
      </c>
      <c r="K3408" s="21">
        <f>IFERROR(INDEX(Pedidos!$D$2:$D$1801,MATCH(B3408,Pedidos!$A$2:$A$1801,0)),"")</f>
        <v/>
      </c>
      <c r="L3408" s="21">
        <f>IFERROR(INDEX(Pedidos!$F$2:$F$1801,MATCH(B3408,Pedidos!$A$2:$A$1801,0)),"")</f>
        <v/>
      </c>
      <c r="M3408" s="22">
        <f>IFERROR(INDEX(Pedidos!$G$2:$G$1801,MATCH(B3408,Pedidos!$A$2:$A$1801,0)),0)</f>
        <v/>
      </c>
      <c r="N3408" s="21">
        <f>IFERROR(INDEX(Produtos!$B$2:$B$71,MATCH(C3408,Produtos!$A$2:$A$71,0)),"")</f>
        <v/>
      </c>
      <c r="O3408" s="21">
        <f>IFERROR(INDEX(Produtos!$C$2:$C$71,MATCH(C3408,Produtos!$A$2:$A$71,0)),"")</f>
        <v/>
      </c>
      <c r="P3408" s="21">
        <f>IFERROR(INDEX(Produtos!$D$2:$D$71,MATCH(C3408,Produtos!$A$2:$A$71,0)),0)</f>
        <v/>
      </c>
      <c r="Q3408" s="21">
        <f>IFERROR(INDEX(Produtos!$E$2:$E$71,MATCH(C3408,Produtos!$A$2:$A$71,0)),0)</f>
        <v/>
      </c>
      <c r="R3408" s="23">
        <f>D3408*Q3408</f>
        <v/>
      </c>
      <c r="S3408" s="23">
        <f>R3408*E3408</f>
        <v/>
      </c>
      <c r="T3408" s="23">
        <f>(R3408-S3408)*M3408</f>
        <v/>
      </c>
      <c r="U3408" s="23">
        <f>R3408-S3408-T3408</f>
        <v/>
      </c>
      <c r="V3408" s="23">
        <f>D3408*P3408</f>
        <v/>
      </c>
      <c r="W3408" s="23">
        <f>U3408-V3408</f>
        <v/>
      </c>
      <c r="X3408" s="24">
        <f>IFERROR(W3408/U3408,0)</f>
        <v/>
      </c>
    </row>
    <row r="3409">
      <c r="A3409" s="25">
        <f>ItensPedido!A3409</f>
        <v/>
      </c>
      <c r="B3409" s="25">
        <f>ItensPedido!B3409</f>
        <v/>
      </c>
      <c r="C3409" s="25">
        <f>ItensPedido!C3409</f>
        <v/>
      </c>
      <c r="D3409" s="25">
        <f>ItensPedido!D3409</f>
        <v/>
      </c>
      <c r="E3409" s="26">
        <f>ItensPedido!E3409</f>
        <v/>
      </c>
      <c r="F3409" s="25">
        <f>IFERROR(INDEX(Pedidos!$B$2:$B$1801,MATCH(B3409,Pedidos!$A$2:$A$1801,0)),0)</f>
        <v/>
      </c>
      <c r="G3409" s="25">
        <f>IF(F3409=0,"",YEAR(F3409))</f>
        <v/>
      </c>
      <c r="H3409" s="25">
        <f>IF(F3409=0,"",MONTH(F3409))</f>
        <v/>
      </c>
      <c r="I3409" s="25">
        <f>IFERROR(INDEX(Pedidos!$E$2:$E$1801,MATCH(B3409,Pedidos!$A$2:$A$1801,0)),"")</f>
        <v/>
      </c>
      <c r="J3409" s="25">
        <f>IFERROR(INDEX(Pedidos!$C$2:$C$1801,MATCH(B3409,Pedidos!$A$2:$A$1801,0)),"")</f>
        <v/>
      </c>
      <c r="K3409" s="25">
        <f>IFERROR(INDEX(Pedidos!$D$2:$D$1801,MATCH(B3409,Pedidos!$A$2:$A$1801,0)),"")</f>
        <v/>
      </c>
      <c r="L3409" s="25">
        <f>IFERROR(INDEX(Pedidos!$F$2:$F$1801,MATCH(B3409,Pedidos!$A$2:$A$1801,0)),"")</f>
        <v/>
      </c>
      <c r="M3409" s="26">
        <f>IFERROR(INDEX(Pedidos!$G$2:$G$1801,MATCH(B3409,Pedidos!$A$2:$A$1801,0)),0)</f>
        <v/>
      </c>
      <c r="N3409" s="25">
        <f>IFERROR(INDEX(Produtos!$B$2:$B$71,MATCH(C3409,Produtos!$A$2:$A$71,0)),"")</f>
        <v/>
      </c>
      <c r="O3409" s="25">
        <f>IFERROR(INDEX(Produtos!$C$2:$C$71,MATCH(C3409,Produtos!$A$2:$A$71,0)),"")</f>
        <v/>
      </c>
      <c r="P3409" s="25">
        <f>IFERROR(INDEX(Produtos!$D$2:$D$71,MATCH(C3409,Produtos!$A$2:$A$71,0)),0)</f>
        <v/>
      </c>
      <c r="Q3409" s="25">
        <f>IFERROR(INDEX(Produtos!$E$2:$E$71,MATCH(C3409,Produtos!$A$2:$A$71,0)),0)</f>
        <v/>
      </c>
      <c r="R3409" s="27">
        <f>D3409*Q3409</f>
        <v/>
      </c>
      <c r="S3409" s="27">
        <f>R3409*E3409</f>
        <v/>
      </c>
      <c r="T3409" s="27">
        <f>(R3409-S3409)*M3409</f>
        <v/>
      </c>
      <c r="U3409" s="27">
        <f>R3409-S3409-T3409</f>
        <v/>
      </c>
      <c r="V3409" s="27">
        <f>D3409*P3409</f>
        <v/>
      </c>
      <c r="W3409" s="27">
        <f>U3409-V3409</f>
        <v/>
      </c>
      <c r="X3409" s="28">
        <f>IFERROR(W3409/U3409,0)</f>
        <v/>
      </c>
    </row>
    <row r="3410">
      <c r="A3410" s="21">
        <f>ItensPedido!A3410</f>
        <v/>
      </c>
      <c r="B3410" s="21">
        <f>ItensPedido!B3410</f>
        <v/>
      </c>
      <c r="C3410" s="21">
        <f>ItensPedido!C3410</f>
        <v/>
      </c>
      <c r="D3410" s="21">
        <f>ItensPedido!D3410</f>
        <v/>
      </c>
      <c r="E3410" s="22">
        <f>ItensPedido!E3410</f>
        <v/>
      </c>
      <c r="F3410" s="21">
        <f>IFERROR(INDEX(Pedidos!$B$2:$B$1801,MATCH(B3410,Pedidos!$A$2:$A$1801,0)),0)</f>
        <v/>
      </c>
      <c r="G3410" s="21">
        <f>IF(F3410=0,"",YEAR(F3410))</f>
        <v/>
      </c>
      <c r="H3410" s="21">
        <f>IF(F3410=0,"",MONTH(F3410))</f>
        <v/>
      </c>
      <c r="I3410" s="21">
        <f>IFERROR(INDEX(Pedidos!$E$2:$E$1801,MATCH(B3410,Pedidos!$A$2:$A$1801,0)),"")</f>
        <v/>
      </c>
      <c r="J3410" s="21">
        <f>IFERROR(INDEX(Pedidos!$C$2:$C$1801,MATCH(B3410,Pedidos!$A$2:$A$1801,0)),"")</f>
        <v/>
      </c>
      <c r="K3410" s="21">
        <f>IFERROR(INDEX(Pedidos!$D$2:$D$1801,MATCH(B3410,Pedidos!$A$2:$A$1801,0)),"")</f>
        <v/>
      </c>
      <c r="L3410" s="21">
        <f>IFERROR(INDEX(Pedidos!$F$2:$F$1801,MATCH(B3410,Pedidos!$A$2:$A$1801,0)),"")</f>
        <v/>
      </c>
      <c r="M3410" s="22">
        <f>IFERROR(INDEX(Pedidos!$G$2:$G$1801,MATCH(B3410,Pedidos!$A$2:$A$1801,0)),0)</f>
        <v/>
      </c>
      <c r="N3410" s="21">
        <f>IFERROR(INDEX(Produtos!$B$2:$B$71,MATCH(C3410,Produtos!$A$2:$A$71,0)),"")</f>
        <v/>
      </c>
      <c r="O3410" s="21">
        <f>IFERROR(INDEX(Produtos!$C$2:$C$71,MATCH(C3410,Produtos!$A$2:$A$71,0)),"")</f>
        <v/>
      </c>
      <c r="P3410" s="21">
        <f>IFERROR(INDEX(Produtos!$D$2:$D$71,MATCH(C3410,Produtos!$A$2:$A$71,0)),0)</f>
        <v/>
      </c>
      <c r="Q3410" s="21">
        <f>IFERROR(INDEX(Produtos!$E$2:$E$71,MATCH(C3410,Produtos!$A$2:$A$71,0)),0)</f>
        <v/>
      </c>
      <c r="R3410" s="23">
        <f>D3410*Q3410</f>
        <v/>
      </c>
      <c r="S3410" s="23">
        <f>R3410*E3410</f>
        <v/>
      </c>
      <c r="T3410" s="23">
        <f>(R3410-S3410)*M3410</f>
        <v/>
      </c>
      <c r="U3410" s="23">
        <f>R3410-S3410-T3410</f>
        <v/>
      </c>
      <c r="V3410" s="23">
        <f>D3410*P3410</f>
        <v/>
      </c>
      <c r="W3410" s="23">
        <f>U3410-V3410</f>
        <v/>
      </c>
      <c r="X3410" s="24">
        <f>IFERROR(W3410/U3410,0)</f>
        <v/>
      </c>
    </row>
    <row r="3411">
      <c r="A3411" s="25">
        <f>ItensPedido!A3411</f>
        <v/>
      </c>
      <c r="B3411" s="25">
        <f>ItensPedido!B3411</f>
        <v/>
      </c>
      <c r="C3411" s="25">
        <f>ItensPedido!C3411</f>
        <v/>
      </c>
      <c r="D3411" s="25">
        <f>ItensPedido!D3411</f>
        <v/>
      </c>
      <c r="E3411" s="26">
        <f>ItensPedido!E3411</f>
        <v/>
      </c>
      <c r="F3411" s="25">
        <f>IFERROR(INDEX(Pedidos!$B$2:$B$1801,MATCH(B3411,Pedidos!$A$2:$A$1801,0)),0)</f>
        <v/>
      </c>
      <c r="G3411" s="25">
        <f>IF(F3411=0,"",YEAR(F3411))</f>
        <v/>
      </c>
      <c r="H3411" s="25">
        <f>IF(F3411=0,"",MONTH(F3411))</f>
        <v/>
      </c>
      <c r="I3411" s="25">
        <f>IFERROR(INDEX(Pedidos!$E$2:$E$1801,MATCH(B3411,Pedidos!$A$2:$A$1801,0)),"")</f>
        <v/>
      </c>
      <c r="J3411" s="25">
        <f>IFERROR(INDEX(Pedidos!$C$2:$C$1801,MATCH(B3411,Pedidos!$A$2:$A$1801,0)),"")</f>
        <v/>
      </c>
      <c r="K3411" s="25">
        <f>IFERROR(INDEX(Pedidos!$D$2:$D$1801,MATCH(B3411,Pedidos!$A$2:$A$1801,0)),"")</f>
        <v/>
      </c>
      <c r="L3411" s="25">
        <f>IFERROR(INDEX(Pedidos!$F$2:$F$1801,MATCH(B3411,Pedidos!$A$2:$A$1801,0)),"")</f>
        <v/>
      </c>
      <c r="M3411" s="26">
        <f>IFERROR(INDEX(Pedidos!$G$2:$G$1801,MATCH(B3411,Pedidos!$A$2:$A$1801,0)),0)</f>
        <v/>
      </c>
      <c r="N3411" s="25">
        <f>IFERROR(INDEX(Produtos!$B$2:$B$71,MATCH(C3411,Produtos!$A$2:$A$71,0)),"")</f>
        <v/>
      </c>
      <c r="O3411" s="25">
        <f>IFERROR(INDEX(Produtos!$C$2:$C$71,MATCH(C3411,Produtos!$A$2:$A$71,0)),"")</f>
        <v/>
      </c>
      <c r="P3411" s="25">
        <f>IFERROR(INDEX(Produtos!$D$2:$D$71,MATCH(C3411,Produtos!$A$2:$A$71,0)),0)</f>
        <v/>
      </c>
      <c r="Q3411" s="25">
        <f>IFERROR(INDEX(Produtos!$E$2:$E$71,MATCH(C3411,Produtos!$A$2:$A$71,0)),0)</f>
        <v/>
      </c>
      <c r="R3411" s="27">
        <f>D3411*Q3411</f>
        <v/>
      </c>
      <c r="S3411" s="27">
        <f>R3411*E3411</f>
        <v/>
      </c>
      <c r="T3411" s="27">
        <f>(R3411-S3411)*M3411</f>
        <v/>
      </c>
      <c r="U3411" s="27">
        <f>R3411-S3411-T3411</f>
        <v/>
      </c>
      <c r="V3411" s="27">
        <f>D3411*P3411</f>
        <v/>
      </c>
      <c r="W3411" s="27">
        <f>U3411-V3411</f>
        <v/>
      </c>
      <c r="X3411" s="28">
        <f>IFERROR(W3411/U3411,0)</f>
        <v/>
      </c>
    </row>
    <row r="3412">
      <c r="A3412" s="21">
        <f>ItensPedido!A3412</f>
        <v/>
      </c>
      <c r="B3412" s="21">
        <f>ItensPedido!B3412</f>
        <v/>
      </c>
      <c r="C3412" s="21">
        <f>ItensPedido!C3412</f>
        <v/>
      </c>
      <c r="D3412" s="21">
        <f>ItensPedido!D3412</f>
        <v/>
      </c>
      <c r="E3412" s="22">
        <f>ItensPedido!E3412</f>
        <v/>
      </c>
      <c r="F3412" s="21">
        <f>IFERROR(INDEX(Pedidos!$B$2:$B$1801,MATCH(B3412,Pedidos!$A$2:$A$1801,0)),0)</f>
        <v/>
      </c>
      <c r="G3412" s="21">
        <f>IF(F3412=0,"",YEAR(F3412))</f>
        <v/>
      </c>
      <c r="H3412" s="21">
        <f>IF(F3412=0,"",MONTH(F3412))</f>
        <v/>
      </c>
      <c r="I3412" s="21">
        <f>IFERROR(INDEX(Pedidos!$E$2:$E$1801,MATCH(B3412,Pedidos!$A$2:$A$1801,0)),"")</f>
        <v/>
      </c>
      <c r="J3412" s="21">
        <f>IFERROR(INDEX(Pedidos!$C$2:$C$1801,MATCH(B3412,Pedidos!$A$2:$A$1801,0)),"")</f>
        <v/>
      </c>
      <c r="K3412" s="21">
        <f>IFERROR(INDEX(Pedidos!$D$2:$D$1801,MATCH(B3412,Pedidos!$A$2:$A$1801,0)),"")</f>
        <v/>
      </c>
      <c r="L3412" s="21">
        <f>IFERROR(INDEX(Pedidos!$F$2:$F$1801,MATCH(B3412,Pedidos!$A$2:$A$1801,0)),"")</f>
        <v/>
      </c>
      <c r="M3412" s="22">
        <f>IFERROR(INDEX(Pedidos!$G$2:$G$1801,MATCH(B3412,Pedidos!$A$2:$A$1801,0)),0)</f>
        <v/>
      </c>
      <c r="N3412" s="21">
        <f>IFERROR(INDEX(Produtos!$B$2:$B$71,MATCH(C3412,Produtos!$A$2:$A$71,0)),"")</f>
        <v/>
      </c>
      <c r="O3412" s="21">
        <f>IFERROR(INDEX(Produtos!$C$2:$C$71,MATCH(C3412,Produtos!$A$2:$A$71,0)),"")</f>
        <v/>
      </c>
      <c r="P3412" s="21">
        <f>IFERROR(INDEX(Produtos!$D$2:$D$71,MATCH(C3412,Produtos!$A$2:$A$71,0)),0)</f>
        <v/>
      </c>
      <c r="Q3412" s="21">
        <f>IFERROR(INDEX(Produtos!$E$2:$E$71,MATCH(C3412,Produtos!$A$2:$A$71,0)),0)</f>
        <v/>
      </c>
      <c r="R3412" s="23">
        <f>D3412*Q3412</f>
        <v/>
      </c>
      <c r="S3412" s="23">
        <f>R3412*E3412</f>
        <v/>
      </c>
      <c r="T3412" s="23">
        <f>(R3412-S3412)*M3412</f>
        <v/>
      </c>
      <c r="U3412" s="23">
        <f>R3412-S3412-T3412</f>
        <v/>
      </c>
      <c r="V3412" s="23">
        <f>D3412*P3412</f>
        <v/>
      </c>
      <c r="W3412" s="23">
        <f>U3412-V3412</f>
        <v/>
      </c>
      <c r="X3412" s="24">
        <f>IFERROR(W3412/U3412,0)</f>
        <v/>
      </c>
    </row>
    <row r="3413">
      <c r="A3413" s="25">
        <f>ItensPedido!A3413</f>
        <v/>
      </c>
      <c r="B3413" s="25">
        <f>ItensPedido!B3413</f>
        <v/>
      </c>
      <c r="C3413" s="25">
        <f>ItensPedido!C3413</f>
        <v/>
      </c>
      <c r="D3413" s="25">
        <f>ItensPedido!D3413</f>
        <v/>
      </c>
      <c r="E3413" s="26">
        <f>ItensPedido!E3413</f>
        <v/>
      </c>
      <c r="F3413" s="25">
        <f>IFERROR(INDEX(Pedidos!$B$2:$B$1801,MATCH(B3413,Pedidos!$A$2:$A$1801,0)),0)</f>
        <v/>
      </c>
      <c r="G3413" s="25">
        <f>IF(F3413=0,"",YEAR(F3413))</f>
        <v/>
      </c>
      <c r="H3413" s="25">
        <f>IF(F3413=0,"",MONTH(F3413))</f>
        <v/>
      </c>
      <c r="I3413" s="25">
        <f>IFERROR(INDEX(Pedidos!$E$2:$E$1801,MATCH(B3413,Pedidos!$A$2:$A$1801,0)),"")</f>
        <v/>
      </c>
      <c r="J3413" s="25">
        <f>IFERROR(INDEX(Pedidos!$C$2:$C$1801,MATCH(B3413,Pedidos!$A$2:$A$1801,0)),"")</f>
        <v/>
      </c>
      <c r="K3413" s="25">
        <f>IFERROR(INDEX(Pedidos!$D$2:$D$1801,MATCH(B3413,Pedidos!$A$2:$A$1801,0)),"")</f>
        <v/>
      </c>
      <c r="L3413" s="25">
        <f>IFERROR(INDEX(Pedidos!$F$2:$F$1801,MATCH(B3413,Pedidos!$A$2:$A$1801,0)),"")</f>
        <v/>
      </c>
      <c r="M3413" s="26">
        <f>IFERROR(INDEX(Pedidos!$G$2:$G$1801,MATCH(B3413,Pedidos!$A$2:$A$1801,0)),0)</f>
        <v/>
      </c>
      <c r="N3413" s="25">
        <f>IFERROR(INDEX(Produtos!$B$2:$B$71,MATCH(C3413,Produtos!$A$2:$A$71,0)),"")</f>
        <v/>
      </c>
      <c r="O3413" s="25">
        <f>IFERROR(INDEX(Produtos!$C$2:$C$71,MATCH(C3413,Produtos!$A$2:$A$71,0)),"")</f>
        <v/>
      </c>
      <c r="P3413" s="25">
        <f>IFERROR(INDEX(Produtos!$D$2:$D$71,MATCH(C3413,Produtos!$A$2:$A$71,0)),0)</f>
        <v/>
      </c>
      <c r="Q3413" s="25">
        <f>IFERROR(INDEX(Produtos!$E$2:$E$71,MATCH(C3413,Produtos!$A$2:$A$71,0)),0)</f>
        <v/>
      </c>
      <c r="R3413" s="27">
        <f>D3413*Q3413</f>
        <v/>
      </c>
      <c r="S3413" s="27">
        <f>R3413*E3413</f>
        <v/>
      </c>
      <c r="T3413" s="27">
        <f>(R3413-S3413)*M3413</f>
        <v/>
      </c>
      <c r="U3413" s="27">
        <f>R3413-S3413-T3413</f>
        <v/>
      </c>
      <c r="V3413" s="27">
        <f>D3413*P3413</f>
        <v/>
      </c>
      <c r="W3413" s="27">
        <f>U3413-V3413</f>
        <v/>
      </c>
      <c r="X3413" s="28">
        <f>IFERROR(W3413/U3413,0)</f>
        <v/>
      </c>
    </row>
    <row r="3414">
      <c r="A3414" s="21">
        <f>ItensPedido!A3414</f>
        <v/>
      </c>
      <c r="B3414" s="21">
        <f>ItensPedido!B3414</f>
        <v/>
      </c>
      <c r="C3414" s="21">
        <f>ItensPedido!C3414</f>
        <v/>
      </c>
      <c r="D3414" s="21">
        <f>ItensPedido!D3414</f>
        <v/>
      </c>
      <c r="E3414" s="22">
        <f>ItensPedido!E3414</f>
        <v/>
      </c>
      <c r="F3414" s="21">
        <f>IFERROR(INDEX(Pedidos!$B$2:$B$1801,MATCH(B3414,Pedidos!$A$2:$A$1801,0)),0)</f>
        <v/>
      </c>
      <c r="G3414" s="21">
        <f>IF(F3414=0,"",YEAR(F3414))</f>
        <v/>
      </c>
      <c r="H3414" s="21">
        <f>IF(F3414=0,"",MONTH(F3414))</f>
        <v/>
      </c>
      <c r="I3414" s="21">
        <f>IFERROR(INDEX(Pedidos!$E$2:$E$1801,MATCH(B3414,Pedidos!$A$2:$A$1801,0)),"")</f>
        <v/>
      </c>
      <c r="J3414" s="21">
        <f>IFERROR(INDEX(Pedidos!$C$2:$C$1801,MATCH(B3414,Pedidos!$A$2:$A$1801,0)),"")</f>
        <v/>
      </c>
      <c r="K3414" s="21">
        <f>IFERROR(INDEX(Pedidos!$D$2:$D$1801,MATCH(B3414,Pedidos!$A$2:$A$1801,0)),"")</f>
        <v/>
      </c>
      <c r="L3414" s="21">
        <f>IFERROR(INDEX(Pedidos!$F$2:$F$1801,MATCH(B3414,Pedidos!$A$2:$A$1801,0)),"")</f>
        <v/>
      </c>
      <c r="M3414" s="22">
        <f>IFERROR(INDEX(Pedidos!$G$2:$G$1801,MATCH(B3414,Pedidos!$A$2:$A$1801,0)),0)</f>
        <v/>
      </c>
      <c r="N3414" s="21">
        <f>IFERROR(INDEX(Produtos!$B$2:$B$71,MATCH(C3414,Produtos!$A$2:$A$71,0)),"")</f>
        <v/>
      </c>
      <c r="O3414" s="21">
        <f>IFERROR(INDEX(Produtos!$C$2:$C$71,MATCH(C3414,Produtos!$A$2:$A$71,0)),"")</f>
        <v/>
      </c>
      <c r="P3414" s="21">
        <f>IFERROR(INDEX(Produtos!$D$2:$D$71,MATCH(C3414,Produtos!$A$2:$A$71,0)),0)</f>
        <v/>
      </c>
      <c r="Q3414" s="21">
        <f>IFERROR(INDEX(Produtos!$E$2:$E$71,MATCH(C3414,Produtos!$A$2:$A$71,0)),0)</f>
        <v/>
      </c>
      <c r="R3414" s="23">
        <f>D3414*Q3414</f>
        <v/>
      </c>
      <c r="S3414" s="23">
        <f>R3414*E3414</f>
        <v/>
      </c>
      <c r="T3414" s="23">
        <f>(R3414-S3414)*M3414</f>
        <v/>
      </c>
      <c r="U3414" s="23">
        <f>R3414-S3414-T3414</f>
        <v/>
      </c>
      <c r="V3414" s="23">
        <f>D3414*P3414</f>
        <v/>
      </c>
      <c r="W3414" s="23">
        <f>U3414-V3414</f>
        <v/>
      </c>
      <c r="X3414" s="24">
        <f>IFERROR(W3414/U3414,0)</f>
        <v/>
      </c>
    </row>
    <row r="3415">
      <c r="A3415" s="25">
        <f>ItensPedido!A3415</f>
        <v/>
      </c>
      <c r="B3415" s="25">
        <f>ItensPedido!B3415</f>
        <v/>
      </c>
      <c r="C3415" s="25">
        <f>ItensPedido!C3415</f>
        <v/>
      </c>
      <c r="D3415" s="25">
        <f>ItensPedido!D3415</f>
        <v/>
      </c>
      <c r="E3415" s="26">
        <f>ItensPedido!E3415</f>
        <v/>
      </c>
      <c r="F3415" s="25">
        <f>IFERROR(INDEX(Pedidos!$B$2:$B$1801,MATCH(B3415,Pedidos!$A$2:$A$1801,0)),0)</f>
        <v/>
      </c>
      <c r="G3415" s="25">
        <f>IF(F3415=0,"",YEAR(F3415))</f>
        <v/>
      </c>
      <c r="H3415" s="25">
        <f>IF(F3415=0,"",MONTH(F3415))</f>
        <v/>
      </c>
      <c r="I3415" s="25">
        <f>IFERROR(INDEX(Pedidos!$E$2:$E$1801,MATCH(B3415,Pedidos!$A$2:$A$1801,0)),"")</f>
        <v/>
      </c>
      <c r="J3415" s="25">
        <f>IFERROR(INDEX(Pedidos!$C$2:$C$1801,MATCH(B3415,Pedidos!$A$2:$A$1801,0)),"")</f>
        <v/>
      </c>
      <c r="K3415" s="25">
        <f>IFERROR(INDEX(Pedidos!$D$2:$D$1801,MATCH(B3415,Pedidos!$A$2:$A$1801,0)),"")</f>
        <v/>
      </c>
      <c r="L3415" s="25">
        <f>IFERROR(INDEX(Pedidos!$F$2:$F$1801,MATCH(B3415,Pedidos!$A$2:$A$1801,0)),"")</f>
        <v/>
      </c>
      <c r="M3415" s="26">
        <f>IFERROR(INDEX(Pedidos!$G$2:$G$1801,MATCH(B3415,Pedidos!$A$2:$A$1801,0)),0)</f>
        <v/>
      </c>
      <c r="N3415" s="25">
        <f>IFERROR(INDEX(Produtos!$B$2:$B$71,MATCH(C3415,Produtos!$A$2:$A$71,0)),"")</f>
        <v/>
      </c>
      <c r="O3415" s="25">
        <f>IFERROR(INDEX(Produtos!$C$2:$C$71,MATCH(C3415,Produtos!$A$2:$A$71,0)),"")</f>
        <v/>
      </c>
      <c r="P3415" s="25">
        <f>IFERROR(INDEX(Produtos!$D$2:$D$71,MATCH(C3415,Produtos!$A$2:$A$71,0)),0)</f>
        <v/>
      </c>
      <c r="Q3415" s="25">
        <f>IFERROR(INDEX(Produtos!$E$2:$E$71,MATCH(C3415,Produtos!$A$2:$A$71,0)),0)</f>
        <v/>
      </c>
      <c r="R3415" s="27">
        <f>D3415*Q3415</f>
        <v/>
      </c>
      <c r="S3415" s="27">
        <f>R3415*E3415</f>
        <v/>
      </c>
      <c r="T3415" s="27">
        <f>(R3415-S3415)*M3415</f>
        <v/>
      </c>
      <c r="U3415" s="27">
        <f>R3415-S3415-T3415</f>
        <v/>
      </c>
      <c r="V3415" s="27">
        <f>D3415*P3415</f>
        <v/>
      </c>
      <c r="W3415" s="27">
        <f>U3415-V3415</f>
        <v/>
      </c>
      <c r="X3415" s="28">
        <f>IFERROR(W3415/U3415,0)</f>
        <v/>
      </c>
    </row>
    <row r="3416">
      <c r="A3416" s="21">
        <f>ItensPedido!A3416</f>
        <v/>
      </c>
      <c r="B3416" s="21">
        <f>ItensPedido!B3416</f>
        <v/>
      </c>
      <c r="C3416" s="21">
        <f>ItensPedido!C3416</f>
        <v/>
      </c>
      <c r="D3416" s="21">
        <f>ItensPedido!D3416</f>
        <v/>
      </c>
      <c r="E3416" s="22">
        <f>ItensPedido!E3416</f>
        <v/>
      </c>
      <c r="F3416" s="21">
        <f>IFERROR(INDEX(Pedidos!$B$2:$B$1801,MATCH(B3416,Pedidos!$A$2:$A$1801,0)),0)</f>
        <v/>
      </c>
      <c r="G3416" s="21">
        <f>IF(F3416=0,"",YEAR(F3416))</f>
        <v/>
      </c>
      <c r="H3416" s="21">
        <f>IF(F3416=0,"",MONTH(F3416))</f>
        <v/>
      </c>
      <c r="I3416" s="21">
        <f>IFERROR(INDEX(Pedidos!$E$2:$E$1801,MATCH(B3416,Pedidos!$A$2:$A$1801,0)),"")</f>
        <v/>
      </c>
      <c r="J3416" s="21">
        <f>IFERROR(INDEX(Pedidos!$C$2:$C$1801,MATCH(B3416,Pedidos!$A$2:$A$1801,0)),"")</f>
        <v/>
      </c>
      <c r="K3416" s="21">
        <f>IFERROR(INDEX(Pedidos!$D$2:$D$1801,MATCH(B3416,Pedidos!$A$2:$A$1801,0)),"")</f>
        <v/>
      </c>
      <c r="L3416" s="21">
        <f>IFERROR(INDEX(Pedidos!$F$2:$F$1801,MATCH(B3416,Pedidos!$A$2:$A$1801,0)),"")</f>
        <v/>
      </c>
      <c r="M3416" s="22">
        <f>IFERROR(INDEX(Pedidos!$G$2:$G$1801,MATCH(B3416,Pedidos!$A$2:$A$1801,0)),0)</f>
        <v/>
      </c>
      <c r="N3416" s="21">
        <f>IFERROR(INDEX(Produtos!$B$2:$B$71,MATCH(C3416,Produtos!$A$2:$A$71,0)),"")</f>
        <v/>
      </c>
      <c r="O3416" s="21">
        <f>IFERROR(INDEX(Produtos!$C$2:$C$71,MATCH(C3416,Produtos!$A$2:$A$71,0)),"")</f>
        <v/>
      </c>
      <c r="P3416" s="21">
        <f>IFERROR(INDEX(Produtos!$D$2:$D$71,MATCH(C3416,Produtos!$A$2:$A$71,0)),0)</f>
        <v/>
      </c>
      <c r="Q3416" s="21">
        <f>IFERROR(INDEX(Produtos!$E$2:$E$71,MATCH(C3416,Produtos!$A$2:$A$71,0)),0)</f>
        <v/>
      </c>
      <c r="R3416" s="23">
        <f>D3416*Q3416</f>
        <v/>
      </c>
      <c r="S3416" s="23">
        <f>R3416*E3416</f>
        <v/>
      </c>
      <c r="T3416" s="23">
        <f>(R3416-S3416)*M3416</f>
        <v/>
      </c>
      <c r="U3416" s="23">
        <f>R3416-S3416-T3416</f>
        <v/>
      </c>
      <c r="V3416" s="23">
        <f>D3416*P3416</f>
        <v/>
      </c>
      <c r="W3416" s="23">
        <f>U3416-V3416</f>
        <v/>
      </c>
      <c r="X3416" s="24">
        <f>IFERROR(W3416/U3416,0)</f>
        <v/>
      </c>
    </row>
    <row r="3417">
      <c r="A3417" s="25">
        <f>ItensPedido!A3417</f>
        <v/>
      </c>
      <c r="B3417" s="25">
        <f>ItensPedido!B3417</f>
        <v/>
      </c>
      <c r="C3417" s="25">
        <f>ItensPedido!C3417</f>
        <v/>
      </c>
      <c r="D3417" s="25">
        <f>ItensPedido!D3417</f>
        <v/>
      </c>
      <c r="E3417" s="26">
        <f>ItensPedido!E3417</f>
        <v/>
      </c>
      <c r="F3417" s="25">
        <f>IFERROR(INDEX(Pedidos!$B$2:$B$1801,MATCH(B3417,Pedidos!$A$2:$A$1801,0)),0)</f>
        <v/>
      </c>
      <c r="G3417" s="25">
        <f>IF(F3417=0,"",YEAR(F3417))</f>
        <v/>
      </c>
      <c r="H3417" s="25">
        <f>IF(F3417=0,"",MONTH(F3417))</f>
        <v/>
      </c>
      <c r="I3417" s="25">
        <f>IFERROR(INDEX(Pedidos!$E$2:$E$1801,MATCH(B3417,Pedidos!$A$2:$A$1801,0)),"")</f>
        <v/>
      </c>
      <c r="J3417" s="25">
        <f>IFERROR(INDEX(Pedidos!$C$2:$C$1801,MATCH(B3417,Pedidos!$A$2:$A$1801,0)),"")</f>
        <v/>
      </c>
      <c r="K3417" s="25">
        <f>IFERROR(INDEX(Pedidos!$D$2:$D$1801,MATCH(B3417,Pedidos!$A$2:$A$1801,0)),"")</f>
        <v/>
      </c>
      <c r="L3417" s="25">
        <f>IFERROR(INDEX(Pedidos!$F$2:$F$1801,MATCH(B3417,Pedidos!$A$2:$A$1801,0)),"")</f>
        <v/>
      </c>
      <c r="M3417" s="26">
        <f>IFERROR(INDEX(Pedidos!$G$2:$G$1801,MATCH(B3417,Pedidos!$A$2:$A$1801,0)),0)</f>
        <v/>
      </c>
      <c r="N3417" s="25">
        <f>IFERROR(INDEX(Produtos!$B$2:$B$71,MATCH(C3417,Produtos!$A$2:$A$71,0)),"")</f>
        <v/>
      </c>
      <c r="O3417" s="25">
        <f>IFERROR(INDEX(Produtos!$C$2:$C$71,MATCH(C3417,Produtos!$A$2:$A$71,0)),"")</f>
        <v/>
      </c>
      <c r="P3417" s="25">
        <f>IFERROR(INDEX(Produtos!$D$2:$D$71,MATCH(C3417,Produtos!$A$2:$A$71,0)),0)</f>
        <v/>
      </c>
      <c r="Q3417" s="25">
        <f>IFERROR(INDEX(Produtos!$E$2:$E$71,MATCH(C3417,Produtos!$A$2:$A$71,0)),0)</f>
        <v/>
      </c>
      <c r="R3417" s="27">
        <f>D3417*Q3417</f>
        <v/>
      </c>
      <c r="S3417" s="27">
        <f>R3417*E3417</f>
        <v/>
      </c>
      <c r="T3417" s="27">
        <f>(R3417-S3417)*M3417</f>
        <v/>
      </c>
      <c r="U3417" s="27">
        <f>R3417-S3417-T3417</f>
        <v/>
      </c>
      <c r="V3417" s="27">
        <f>D3417*P3417</f>
        <v/>
      </c>
      <c r="W3417" s="27">
        <f>U3417-V3417</f>
        <v/>
      </c>
      <c r="X3417" s="28">
        <f>IFERROR(W3417/U3417,0)</f>
        <v/>
      </c>
    </row>
    <row r="3418">
      <c r="A3418" s="21">
        <f>ItensPedido!A3418</f>
        <v/>
      </c>
      <c r="B3418" s="21">
        <f>ItensPedido!B3418</f>
        <v/>
      </c>
      <c r="C3418" s="21">
        <f>ItensPedido!C3418</f>
        <v/>
      </c>
      <c r="D3418" s="21">
        <f>ItensPedido!D3418</f>
        <v/>
      </c>
      <c r="E3418" s="22">
        <f>ItensPedido!E3418</f>
        <v/>
      </c>
      <c r="F3418" s="21">
        <f>IFERROR(INDEX(Pedidos!$B$2:$B$1801,MATCH(B3418,Pedidos!$A$2:$A$1801,0)),0)</f>
        <v/>
      </c>
      <c r="G3418" s="21">
        <f>IF(F3418=0,"",YEAR(F3418))</f>
        <v/>
      </c>
      <c r="H3418" s="21">
        <f>IF(F3418=0,"",MONTH(F3418))</f>
        <v/>
      </c>
      <c r="I3418" s="21">
        <f>IFERROR(INDEX(Pedidos!$E$2:$E$1801,MATCH(B3418,Pedidos!$A$2:$A$1801,0)),"")</f>
        <v/>
      </c>
      <c r="J3418" s="21">
        <f>IFERROR(INDEX(Pedidos!$C$2:$C$1801,MATCH(B3418,Pedidos!$A$2:$A$1801,0)),"")</f>
        <v/>
      </c>
      <c r="K3418" s="21">
        <f>IFERROR(INDEX(Pedidos!$D$2:$D$1801,MATCH(B3418,Pedidos!$A$2:$A$1801,0)),"")</f>
        <v/>
      </c>
      <c r="L3418" s="21">
        <f>IFERROR(INDEX(Pedidos!$F$2:$F$1801,MATCH(B3418,Pedidos!$A$2:$A$1801,0)),"")</f>
        <v/>
      </c>
      <c r="M3418" s="22">
        <f>IFERROR(INDEX(Pedidos!$G$2:$G$1801,MATCH(B3418,Pedidos!$A$2:$A$1801,0)),0)</f>
        <v/>
      </c>
      <c r="N3418" s="21">
        <f>IFERROR(INDEX(Produtos!$B$2:$B$71,MATCH(C3418,Produtos!$A$2:$A$71,0)),"")</f>
        <v/>
      </c>
      <c r="O3418" s="21">
        <f>IFERROR(INDEX(Produtos!$C$2:$C$71,MATCH(C3418,Produtos!$A$2:$A$71,0)),"")</f>
        <v/>
      </c>
      <c r="P3418" s="21">
        <f>IFERROR(INDEX(Produtos!$D$2:$D$71,MATCH(C3418,Produtos!$A$2:$A$71,0)),0)</f>
        <v/>
      </c>
      <c r="Q3418" s="21">
        <f>IFERROR(INDEX(Produtos!$E$2:$E$71,MATCH(C3418,Produtos!$A$2:$A$71,0)),0)</f>
        <v/>
      </c>
      <c r="R3418" s="23">
        <f>D3418*Q3418</f>
        <v/>
      </c>
      <c r="S3418" s="23">
        <f>R3418*E3418</f>
        <v/>
      </c>
      <c r="T3418" s="23">
        <f>(R3418-S3418)*M3418</f>
        <v/>
      </c>
      <c r="U3418" s="23">
        <f>R3418-S3418-T3418</f>
        <v/>
      </c>
      <c r="V3418" s="23">
        <f>D3418*P3418</f>
        <v/>
      </c>
      <c r="W3418" s="23">
        <f>U3418-V3418</f>
        <v/>
      </c>
      <c r="X3418" s="24">
        <f>IFERROR(W3418/U3418,0)</f>
        <v/>
      </c>
    </row>
    <row r="3419">
      <c r="A3419" s="25">
        <f>ItensPedido!A3419</f>
        <v/>
      </c>
      <c r="B3419" s="25">
        <f>ItensPedido!B3419</f>
        <v/>
      </c>
      <c r="C3419" s="25">
        <f>ItensPedido!C3419</f>
        <v/>
      </c>
      <c r="D3419" s="25">
        <f>ItensPedido!D3419</f>
        <v/>
      </c>
      <c r="E3419" s="26">
        <f>ItensPedido!E3419</f>
        <v/>
      </c>
      <c r="F3419" s="25">
        <f>IFERROR(INDEX(Pedidos!$B$2:$B$1801,MATCH(B3419,Pedidos!$A$2:$A$1801,0)),0)</f>
        <v/>
      </c>
      <c r="G3419" s="25">
        <f>IF(F3419=0,"",YEAR(F3419))</f>
        <v/>
      </c>
      <c r="H3419" s="25">
        <f>IF(F3419=0,"",MONTH(F3419))</f>
        <v/>
      </c>
      <c r="I3419" s="25">
        <f>IFERROR(INDEX(Pedidos!$E$2:$E$1801,MATCH(B3419,Pedidos!$A$2:$A$1801,0)),"")</f>
        <v/>
      </c>
      <c r="J3419" s="25">
        <f>IFERROR(INDEX(Pedidos!$C$2:$C$1801,MATCH(B3419,Pedidos!$A$2:$A$1801,0)),"")</f>
        <v/>
      </c>
      <c r="K3419" s="25">
        <f>IFERROR(INDEX(Pedidos!$D$2:$D$1801,MATCH(B3419,Pedidos!$A$2:$A$1801,0)),"")</f>
        <v/>
      </c>
      <c r="L3419" s="25">
        <f>IFERROR(INDEX(Pedidos!$F$2:$F$1801,MATCH(B3419,Pedidos!$A$2:$A$1801,0)),"")</f>
        <v/>
      </c>
      <c r="M3419" s="26">
        <f>IFERROR(INDEX(Pedidos!$G$2:$G$1801,MATCH(B3419,Pedidos!$A$2:$A$1801,0)),0)</f>
        <v/>
      </c>
      <c r="N3419" s="25">
        <f>IFERROR(INDEX(Produtos!$B$2:$B$71,MATCH(C3419,Produtos!$A$2:$A$71,0)),"")</f>
        <v/>
      </c>
      <c r="O3419" s="25">
        <f>IFERROR(INDEX(Produtos!$C$2:$C$71,MATCH(C3419,Produtos!$A$2:$A$71,0)),"")</f>
        <v/>
      </c>
      <c r="P3419" s="25">
        <f>IFERROR(INDEX(Produtos!$D$2:$D$71,MATCH(C3419,Produtos!$A$2:$A$71,0)),0)</f>
        <v/>
      </c>
      <c r="Q3419" s="25">
        <f>IFERROR(INDEX(Produtos!$E$2:$E$71,MATCH(C3419,Produtos!$A$2:$A$71,0)),0)</f>
        <v/>
      </c>
      <c r="R3419" s="27">
        <f>D3419*Q3419</f>
        <v/>
      </c>
      <c r="S3419" s="27">
        <f>R3419*E3419</f>
        <v/>
      </c>
      <c r="T3419" s="27">
        <f>(R3419-S3419)*M3419</f>
        <v/>
      </c>
      <c r="U3419" s="27">
        <f>R3419-S3419-T3419</f>
        <v/>
      </c>
      <c r="V3419" s="27">
        <f>D3419*P3419</f>
        <v/>
      </c>
      <c r="W3419" s="27">
        <f>U3419-V3419</f>
        <v/>
      </c>
      <c r="X3419" s="28">
        <f>IFERROR(W3419/U3419,0)</f>
        <v/>
      </c>
    </row>
    <row r="3420">
      <c r="A3420" s="21">
        <f>ItensPedido!A3420</f>
        <v/>
      </c>
      <c r="B3420" s="21">
        <f>ItensPedido!B3420</f>
        <v/>
      </c>
      <c r="C3420" s="21">
        <f>ItensPedido!C3420</f>
        <v/>
      </c>
      <c r="D3420" s="21">
        <f>ItensPedido!D3420</f>
        <v/>
      </c>
      <c r="E3420" s="22">
        <f>ItensPedido!E3420</f>
        <v/>
      </c>
      <c r="F3420" s="21">
        <f>IFERROR(INDEX(Pedidos!$B$2:$B$1801,MATCH(B3420,Pedidos!$A$2:$A$1801,0)),0)</f>
        <v/>
      </c>
      <c r="G3420" s="21">
        <f>IF(F3420=0,"",YEAR(F3420))</f>
        <v/>
      </c>
      <c r="H3420" s="21">
        <f>IF(F3420=0,"",MONTH(F3420))</f>
        <v/>
      </c>
      <c r="I3420" s="21">
        <f>IFERROR(INDEX(Pedidos!$E$2:$E$1801,MATCH(B3420,Pedidos!$A$2:$A$1801,0)),"")</f>
        <v/>
      </c>
      <c r="J3420" s="21">
        <f>IFERROR(INDEX(Pedidos!$C$2:$C$1801,MATCH(B3420,Pedidos!$A$2:$A$1801,0)),"")</f>
        <v/>
      </c>
      <c r="K3420" s="21">
        <f>IFERROR(INDEX(Pedidos!$D$2:$D$1801,MATCH(B3420,Pedidos!$A$2:$A$1801,0)),"")</f>
        <v/>
      </c>
      <c r="L3420" s="21">
        <f>IFERROR(INDEX(Pedidos!$F$2:$F$1801,MATCH(B3420,Pedidos!$A$2:$A$1801,0)),"")</f>
        <v/>
      </c>
      <c r="M3420" s="22">
        <f>IFERROR(INDEX(Pedidos!$G$2:$G$1801,MATCH(B3420,Pedidos!$A$2:$A$1801,0)),0)</f>
        <v/>
      </c>
      <c r="N3420" s="21">
        <f>IFERROR(INDEX(Produtos!$B$2:$B$71,MATCH(C3420,Produtos!$A$2:$A$71,0)),"")</f>
        <v/>
      </c>
      <c r="O3420" s="21">
        <f>IFERROR(INDEX(Produtos!$C$2:$C$71,MATCH(C3420,Produtos!$A$2:$A$71,0)),"")</f>
        <v/>
      </c>
      <c r="P3420" s="21">
        <f>IFERROR(INDEX(Produtos!$D$2:$D$71,MATCH(C3420,Produtos!$A$2:$A$71,0)),0)</f>
        <v/>
      </c>
      <c r="Q3420" s="21">
        <f>IFERROR(INDEX(Produtos!$E$2:$E$71,MATCH(C3420,Produtos!$A$2:$A$71,0)),0)</f>
        <v/>
      </c>
      <c r="R3420" s="23">
        <f>D3420*Q3420</f>
        <v/>
      </c>
      <c r="S3420" s="23">
        <f>R3420*E3420</f>
        <v/>
      </c>
      <c r="T3420" s="23">
        <f>(R3420-S3420)*M3420</f>
        <v/>
      </c>
      <c r="U3420" s="23">
        <f>R3420-S3420-T3420</f>
        <v/>
      </c>
      <c r="V3420" s="23">
        <f>D3420*P3420</f>
        <v/>
      </c>
      <c r="W3420" s="23">
        <f>U3420-V3420</f>
        <v/>
      </c>
      <c r="X3420" s="24">
        <f>IFERROR(W3420/U3420,0)</f>
        <v/>
      </c>
    </row>
    <row r="3421">
      <c r="A3421" s="25">
        <f>ItensPedido!A3421</f>
        <v/>
      </c>
      <c r="B3421" s="25">
        <f>ItensPedido!B3421</f>
        <v/>
      </c>
      <c r="C3421" s="25">
        <f>ItensPedido!C3421</f>
        <v/>
      </c>
      <c r="D3421" s="25">
        <f>ItensPedido!D3421</f>
        <v/>
      </c>
      <c r="E3421" s="26">
        <f>ItensPedido!E3421</f>
        <v/>
      </c>
      <c r="F3421" s="25">
        <f>IFERROR(INDEX(Pedidos!$B$2:$B$1801,MATCH(B3421,Pedidos!$A$2:$A$1801,0)),0)</f>
        <v/>
      </c>
      <c r="G3421" s="25">
        <f>IF(F3421=0,"",YEAR(F3421))</f>
        <v/>
      </c>
      <c r="H3421" s="25">
        <f>IF(F3421=0,"",MONTH(F3421))</f>
        <v/>
      </c>
      <c r="I3421" s="25">
        <f>IFERROR(INDEX(Pedidos!$E$2:$E$1801,MATCH(B3421,Pedidos!$A$2:$A$1801,0)),"")</f>
        <v/>
      </c>
      <c r="J3421" s="25">
        <f>IFERROR(INDEX(Pedidos!$C$2:$C$1801,MATCH(B3421,Pedidos!$A$2:$A$1801,0)),"")</f>
        <v/>
      </c>
      <c r="K3421" s="25">
        <f>IFERROR(INDEX(Pedidos!$D$2:$D$1801,MATCH(B3421,Pedidos!$A$2:$A$1801,0)),"")</f>
        <v/>
      </c>
      <c r="L3421" s="25">
        <f>IFERROR(INDEX(Pedidos!$F$2:$F$1801,MATCH(B3421,Pedidos!$A$2:$A$1801,0)),"")</f>
        <v/>
      </c>
      <c r="M3421" s="26">
        <f>IFERROR(INDEX(Pedidos!$G$2:$G$1801,MATCH(B3421,Pedidos!$A$2:$A$1801,0)),0)</f>
        <v/>
      </c>
      <c r="N3421" s="25">
        <f>IFERROR(INDEX(Produtos!$B$2:$B$71,MATCH(C3421,Produtos!$A$2:$A$71,0)),"")</f>
        <v/>
      </c>
      <c r="O3421" s="25">
        <f>IFERROR(INDEX(Produtos!$C$2:$C$71,MATCH(C3421,Produtos!$A$2:$A$71,0)),"")</f>
        <v/>
      </c>
      <c r="P3421" s="25">
        <f>IFERROR(INDEX(Produtos!$D$2:$D$71,MATCH(C3421,Produtos!$A$2:$A$71,0)),0)</f>
        <v/>
      </c>
      <c r="Q3421" s="25">
        <f>IFERROR(INDEX(Produtos!$E$2:$E$71,MATCH(C3421,Produtos!$A$2:$A$71,0)),0)</f>
        <v/>
      </c>
      <c r="R3421" s="27">
        <f>D3421*Q3421</f>
        <v/>
      </c>
      <c r="S3421" s="27">
        <f>R3421*E3421</f>
        <v/>
      </c>
      <c r="T3421" s="27">
        <f>(R3421-S3421)*M3421</f>
        <v/>
      </c>
      <c r="U3421" s="27">
        <f>R3421-S3421-T3421</f>
        <v/>
      </c>
      <c r="V3421" s="27">
        <f>D3421*P3421</f>
        <v/>
      </c>
      <c r="W3421" s="27">
        <f>U3421-V3421</f>
        <v/>
      </c>
      <c r="X3421" s="28">
        <f>IFERROR(W3421/U3421,0)</f>
        <v/>
      </c>
    </row>
    <row r="3422">
      <c r="A3422" s="21">
        <f>ItensPedido!A3422</f>
        <v/>
      </c>
      <c r="B3422" s="21">
        <f>ItensPedido!B3422</f>
        <v/>
      </c>
      <c r="C3422" s="21">
        <f>ItensPedido!C3422</f>
        <v/>
      </c>
      <c r="D3422" s="21">
        <f>ItensPedido!D3422</f>
        <v/>
      </c>
      <c r="E3422" s="22">
        <f>ItensPedido!E3422</f>
        <v/>
      </c>
      <c r="F3422" s="21">
        <f>IFERROR(INDEX(Pedidos!$B$2:$B$1801,MATCH(B3422,Pedidos!$A$2:$A$1801,0)),0)</f>
        <v/>
      </c>
      <c r="G3422" s="21">
        <f>IF(F3422=0,"",YEAR(F3422))</f>
        <v/>
      </c>
      <c r="H3422" s="21">
        <f>IF(F3422=0,"",MONTH(F3422))</f>
        <v/>
      </c>
      <c r="I3422" s="21">
        <f>IFERROR(INDEX(Pedidos!$E$2:$E$1801,MATCH(B3422,Pedidos!$A$2:$A$1801,0)),"")</f>
        <v/>
      </c>
      <c r="J3422" s="21">
        <f>IFERROR(INDEX(Pedidos!$C$2:$C$1801,MATCH(B3422,Pedidos!$A$2:$A$1801,0)),"")</f>
        <v/>
      </c>
      <c r="K3422" s="21">
        <f>IFERROR(INDEX(Pedidos!$D$2:$D$1801,MATCH(B3422,Pedidos!$A$2:$A$1801,0)),"")</f>
        <v/>
      </c>
      <c r="L3422" s="21">
        <f>IFERROR(INDEX(Pedidos!$F$2:$F$1801,MATCH(B3422,Pedidos!$A$2:$A$1801,0)),"")</f>
        <v/>
      </c>
      <c r="M3422" s="22">
        <f>IFERROR(INDEX(Pedidos!$G$2:$G$1801,MATCH(B3422,Pedidos!$A$2:$A$1801,0)),0)</f>
        <v/>
      </c>
      <c r="N3422" s="21">
        <f>IFERROR(INDEX(Produtos!$B$2:$B$71,MATCH(C3422,Produtos!$A$2:$A$71,0)),"")</f>
        <v/>
      </c>
      <c r="O3422" s="21">
        <f>IFERROR(INDEX(Produtos!$C$2:$C$71,MATCH(C3422,Produtos!$A$2:$A$71,0)),"")</f>
        <v/>
      </c>
      <c r="P3422" s="21">
        <f>IFERROR(INDEX(Produtos!$D$2:$D$71,MATCH(C3422,Produtos!$A$2:$A$71,0)),0)</f>
        <v/>
      </c>
      <c r="Q3422" s="21">
        <f>IFERROR(INDEX(Produtos!$E$2:$E$71,MATCH(C3422,Produtos!$A$2:$A$71,0)),0)</f>
        <v/>
      </c>
      <c r="R3422" s="23">
        <f>D3422*Q3422</f>
        <v/>
      </c>
      <c r="S3422" s="23">
        <f>R3422*E3422</f>
        <v/>
      </c>
      <c r="T3422" s="23">
        <f>(R3422-S3422)*M3422</f>
        <v/>
      </c>
      <c r="U3422" s="23">
        <f>R3422-S3422-T3422</f>
        <v/>
      </c>
      <c r="V3422" s="23">
        <f>D3422*P3422</f>
        <v/>
      </c>
      <c r="W3422" s="23">
        <f>U3422-V3422</f>
        <v/>
      </c>
      <c r="X3422" s="24">
        <f>IFERROR(W3422/U3422,0)</f>
        <v/>
      </c>
    </row>
    <row r="3423">
      <c r="A3423" s="25">
        <f>ItensPedido!A3423</f>
        <v/>
      </c>
      <c r="B3423" s="25">
        <f>ItensPedido!B3423</f>
        <v/>
      </c>
      <c r="C3423" s="25">
        <f>ItensPedido!C3423</f>
        <v/>
      </c>
      <c r="D3423" s="25">
        <f>ItensPedido!D3423</f>
        <v/>
      </c>
      <c r="E3423" s="26">
        <f>ItensPedido!E3423</f>
        <v/>
      </c>
      <c r="F3423" s="25">
        <f>IFERROR(INDEX(Pedidos!$B$2:$B$1801,MATCH(B3423,Pedidos!$A$2:$A$1801,0)),0)</f>
        <v/>
      </c>
      <c r="G3423" s="25">
        <f>IF(F3423=0,"",YEAR(F3423))</f>
        <v/>
      </c>
      <c r="H3423" s="25">
        <f>IF(F3423=0,"",MONTH(F3423))</f>
        <v/>
      </c>
      <c r="I3423" s="25">
        <f>IFERROR(INDEX(Pedidos!$E$2:$E$1801,MATCH(B3423,Pedidos!$A$2:$A$1801,0)),"")</f>
        <v/>
      </c>
      <c r="J3423" s="25">
        <f>IFERROR(INDEX(Pedidos!$C$2:$C$1801,MATCH(B3423,Pedidos!$A$2:$A$1801,0)),"")</f>
        <v/>
      </c>
      <c r="K3423" s="25">
        <f>IFERROR(INDEX(Pedidos!$D$2:$D$1801,MATCH(B3423,Pedidos!$A$2:$A$1801,0)),"")</f>
        <v/>
      </c>
      <c r="L3423" s="25">
        <f>IFERROR(INDEX(Pedidos!$F$2:$F$1801,MATCH(B3423,Pedidos!$A$2:$A$1801,0)),"")</f>
        <v/>
      </c>
      <c r="M3423" s="26">
        <f>IFERROR(INDEX(Pedidos!$G$2:$G$1801,MATCH(B3423,Pedidos!$A$2:$A$1801,0)),0)</f>
        <v/>
      </c>
      <c r="N3423" s="25">
        <f>IFERROR(INDEX(Produtos!$B$2:$B$71,MATCH(C3423,Produtos!$A$2:$A$71,0)),"")</f>
        <v/>
      </c>
      <c r="O3423" s="25">
        <f>IFERROR(INDEX(Produtos!$C$2:$C$71,MATCH(C3423,Produtos!$A$2:$A$71,0)),"")</f>
        <v/>
      </c>
      <c r="P3423" s="25">
        <f>IFERROR(INDEX(Produtos!$D$2:$D$71,MATCH(C3423,Produtos!$A$2:$A$71,0)),0)</f>
        <v/>
      </c>
      <c r="Q3423" s="25">
        <f>IFERROR(INDEX(Produtos!$E$2:$E$71,MATCH(C3423,Produtos!$A$2:$A$71,0)),0)</f>
        <v/>
      </c>
      <c r="R3423" s="27">
        <f>D3423*Q3423</f>
        <v/>
      </c>
      <c r="S3423" s="27">
        <f>R3423*E3423</f>
        <v/>
      </c>
      <c r="T3423" s="27">
        <f>(R3423-S3423)*M3423</f>
        <v/>
      </c>
      <c r="U3423" s="27">
        <f>R3423-S3423-T3423</f>
        <v/>
      </c>
      <c r="V3423" s="27">
        <f>D3423*P3423</f>
        <v/>
      </c>
      <c r="W3423" s="27">
        <f>U3423-V3423</f>
        <v/>
      </c>
      <c r="X3423" s="28">
        <f>IFERROR(W3423/U3423,0)</f>
        <v/>
      </c>
    </row>
    <row r="3424">
      <c r="A3424" s="21">
        <f>ItensPedido!A3424</f>
        <v/>
      </c>
      <c r="B3424" s="21">
        <f>ItensPedido!B3424</f>
        <v/>
      </c>
      <c r="C3424" s="21">
        <f>ItensPedido!C3424</f>
        <v/>
      </c>
      <c r="D3424" s="21">
        <f>ItensPedido!D3424</f>
        <v/>
      </c>
      <c r="E3424" s="22">
        <f>ItensPedido!E3424</f>
        <v/>
      </c>
      <c r="F3424" s="21">
        <f>IFERROR(INDEX(Pedidos!$B$2:$B$1801,MATCH(B3424,Pedidos!$A$2:$A$1801,0)),0)</f>
        <v/>
      </c>
      <c r="G3424" s="21">
        <f>IF(F3424=0,"",YEAR(F3424))</f>
        <v/>
      </c>
      <c r="H3424" s="21">
        <f>IF(F3424=0,"",MONTH(F3424))</f>
        <v/>
      </c>
      <c r="I3424" s="21">
        <f>IFERROR(INDEX(Pedidos!$E$2:$E$1801,MATCH(B3424,Pedidos!$A$2:$A$1801,0)),"")</f>
        <v/>
      </c>
      <c r="J3424" s="21">
        <f>IFERROR(INDEX(Pedidos!$C$2:$C$1801,MATCH(B3424,Pedidos!$A$2:$A$1801,0)),"")</f>
        <v/>
      </c>
      <c r="K3424" s="21">
        <f>IFERROR(INDEX(Pedidos!$D$2:$D$1801,MATCH(B3424,Pedidos!$A$2:$A$1801,0)),"")</f>
        <v/>
      </c>
      <c r="L3424" s="21">
        <f>IFERROR(INDEX(Pedidos!$F$2:$F$1801,MATCH(B3424,Pedidos!$A$2:$A$1801,0)),"")</f>
        <v/>
      </c>
      <c r="M3424" s="22">
        <f>IFERROR(INDEX(Pedidos!$G$2:$G$1801,MATCH(B3424,Pedidos!$A$2:$A$1801,0)),0)</f>
        <v/>
      </c>
      <c r="N3424" s="21">
        <f>IFERROR(INDEX(Produtos!$B$2:$B$71,MATCH(C3424,Produtos!$A$2:$A$71,0)),"")</f>
        <v/>
      </c>
      <c r="O3424" s="21">
        <f>IFERROR(INDEX(Produtos!$C$2:$C$71,MATCH(C3424,Produtos!$A$2:$A$71,0)),"")</f>
        <v/>
      </c>
      <c r="P3424" s="21">
        <f>IFERROR(INDEX(Produtos!$D$2:$D$71,MATCH(C3424,Produtos!$A$2:$A$71,0)),0)</f>
        <v/>
      </c>
      <c r="Q3424" s="21">
        <f>IFERROR(INDEX(Produtos!$E$2:$E$71,MATCH(C3424,Produtos!$A$2:$A$71,0)),0)</f>
        <v/>
      </c>
      <c r="R3424" s="23">
        <f>D3424*Q3424</f>
        <v/>
      </c>
      <c r="S3424" s="23">
        <f>R3424*E3424</f>
        <v/>
      </c>
      <c r="T3424" s="23">
        <f>(R3424-S3424)*M3424</f>
        <v/>
      </c>
      <c r="U3424" s="23">
        <f>R3424-S3424-T3424</f>
        <v/>
      </c>
      <c r="V3424" s="23">
        <f>D3424*P3424</f>
        <v/>
      </c>
      <c r="W3424" s="23">
        <f>U3424-V3424</f>
        <v/>
      </c>
      <c r="X3424" s="24">
        <f>IFERROR(W3424/U3424,0)</f>
        <v/>
      </c>
    </row>
    <row r="3425">
      <c r="A3425" s="25">
        <f>ItensPedido!A3425</f>
        <v/>
      </c>
      <c r="B3425" s="25">
        <f>ItensPedido!B3425</f>
        <v/>
      </c>
      <c r="C3425" s="25">
        <f>ItensPedido!C3425</f>
        <v/>
      </c>
      <c r="D3425" s="25">
        <f>ItensPedido!D3425</f>
        <v/>
      </c>
      <c r="E3425" s="26">
        <f>ItensPedido!E3425</f>
        <v/>
      </c>
      <c r="F3425" s="25">
        <f>IFERROR(INDEX(Pedidos!$B$2:$B$1801,MATCH(B3425,Pedidos!$A$2:$A$1801,0)),0)</f>
        <v/>
      </c>
      <c r="G3425" s="25">
        <f>IF(F3425=0,"",YEAR(F3425))</f>
        <v/>
      </c>
      <c r="H3425" s="25">
        <f>IF(F3425=0,"",MONTH(F3425))</f>
        <v/>
      </c>
      <c r="I3425" s="25">
        <f>IFERROR(INDEX(Pedidos!$E$2:$E$1801,MATCH(B3425,Pedidos!$A$2:$A$1801,0)),"")</f>
        <v/>
      </c>
      <c r="J3425" s="25">
        <f>IFERROR(INDEX(Pedidos!$C$2:$C$1801,MATCH(B3425,Pedidos!$A$2:$A$1801,0)),"")</f>
        <v/>
      </c>
      <c r="K3425" s="25">
        <f>IFERROR(INDEX(Pedidos!$D$2:$D$1801,MATCH(B3425,Pedidos!$A$2:$A$1801,0)),"")</f>
        <v/>
      </c>
      <c r="L3425" s="25">
        <f>IFERROR(INDEX(Pedidos!$F$2:$F$1801,MATCH(B3425,Pedidos!$A$2:$A$1801,0)),"")</f>
        <v/>
      </c>
      <c r="M3425" s="26">
        <f>IFERROR(INDEX(Pedidos!$G$2:$G$1801,MATCH(B3425,Pedidos!$A$2:$A$1801,0)),0)</f>
        <v/>
      </c>
      <c r="N3425" s="25">
        <f>IFERROR(INDEX(Produtos!$B$2:$B$71,MATCH(C3425,Produtos!$A$2:$A$71,0)),"")</f>
        <v/>
      </c>
      <c r="O3425" s="25">
        <f>IFERROR(INDEX(Produtos!$C$2:$C$71,MATCH(C3425,Produtos!$A$2:$A$71,0)),"")</f>
        <v/>
      </c>
      <c r="P3425" s="25">
        <f>IFERROR(INDEX(Produtos!$D$2:$D$71,MATCH(C3425,Produtos!$A$2:$A$71,0)),0)</f>
        <v/>
      </c>
      <c r="Q3425" s="25">
        <f>IFERROR(INDEX(Produtos!$E$2:$E$71,MATCH(C3425,Produtos!$A$2:$A$71,0)),0)</f>
        <v/>
      </c>
      <c r="R3425" s="27">
        <f>D3425*Q3425</f>
        <v/>
      </c>
      <c r="S3425" s="27">
        <f>R3425*E3425</f>
        <v/>
      </c>
      <c r="T3425" s="27">
        <f>(R3425-S3425)*M3425</f>
        <v/>
      </c>
      <c r="U3425" s="27">
        <f>R3425-S3425-T3425</f>
        <v/>
      </c>
      <c r="V3425" s="27">
        <f>D3425*P3425</f>
        <v/>
      </c>
      <c r="W3425" s="27">
        <f>U3425-V3425</f>
        <v/>
      </c>
      <c r="X3425" s="28">
        <f>IFERROR(W3425/U3425,0)</f>
        <v/>
      </c>
    </row>
    <row r="3426">
      <c r="A3426" s="21">
        <f>ItensPedido!A3426</f>
        <v/>
      </c>
      <c r="B3426" s="21">
        <f>ItensPedido!B3426</f>
        <v/>
      </c>
      <c r="C3426" s="21">
        <f>ItensPedido!C3426</f>
        <v/>
      </c>
      <c r="D3426" s="21">
        <f>ItensPedido!D3426</f>
        <v/>
      </c>
      <c r="E3426" s="22">
        <f>ItensPedido!E3426</f>
        <v/>
      </c>
      <c r="F3426" s="21">
        <f>IFERROR(INDEX(Pedidos!$B$2:$B$1801,MATCH(B3426,Pedidos!$A$2:$A$1801,0)),0)</f>
        <v/>
      </c>
      <c r="G3426" s="21">
        <f>IF(F3426=0,"",YEAR(F3426))</f>
        <v/>
      </c>
      <c r="H3426" s="21">
        <f>IF(F3426=0,"",MONTH(F3426))</f>
        <v/>
      </c>
      <c r="I3426" s="21">
        <f>IFERROR(INDEX(Pedidos!$E$2:$E$1801,MATCH(B3426,Pedidos!$A$2:$A$1801,0)),"")</f>
        <v/>
      </c>
      <c r="J3426" s="21">
        <f>IFERROR(INDEX(Pedidos!$C$2:$C$1801,MATCH(B3426,Pedidos!$A$2:$A$1801,0)),"")</f>
        <v/>
      </c>
      <c r="K3426" s="21">
        <f>IFERROR(INDEX(Pedidos!$D$2:$D$1801,MATCH(B3426,Pedidos!$A$2:$A$1801,0)),"")</f>
        <v/>
      </c>
      <c r="L3426" s="21">
        <f>IFERROR(INDEX(Pedidos!$F$2:$F$1801,MATCH(B3426,Pedidos!$A$2:$A$1801,0)),"")</f>
        <v/>
      </c>
      <c r="M3426" s="22">
        <f>IFERROR(INDEX(Pedidos!$G$2:$G$1801,MATCH(B3426,Pedidos!$A$2:$A$1801,0)),0)</f>
        <v/>
      </c>
      <c r="N3426" s="21">
        <f>IFERROR(INDEX(Produtos!$B$2:$B$71,MATCH(C3426,Produtos!$A$2:$A$71,0)),"")</f>
        <v/>
      </c>
      <c r="O3426" s="21">
        <f>IFERROR(INDEX(Produtos!$C$2:$C$71,MATCH(C3426,Produtos!$A$2:$A$71,0)),"")</f>
        <v/>
      </c>
      <c r="P3426" s="21">
        <f>IFERROR(INDEX(Produtos!$D$2:$D$71,MATCH(C3426,Produtos!$A$2:$A$71,0)),0)</f>
        <v/>
      </c>
      <c r="Q3426" s="21">
        <f>IFERROR(INDEX(Produtos!$E$2:$E$71,MATCH(C3426,Produtos!$A$2:$A$71,0)),0)</f>
        <v/>
      </c>
      <c r="R3426" s="23">
        <f>D3426*Q3426</f>
        <v/>
      </c>
      <c r="S3426" s="23">
        <f>R3426*E3426</f>
        <v/>
      </c>
      <c r="T3426" s="23">
        <f>(R3426-S3426)*M3426</f>
        <v/>
      </c>
      <c r="U3426" s="23">
        <f>R3426-S3426-T3426</f>
        <v/>
      </c>
      <c r="V3426" s="23">
        <f>D3426*P3426</f>
        <v/>
      </c>
      <c r="W3426" s="23">
        <f>U3426-V3426</f>
        <v/>
      </c>
      <c r="X3426" s="24">
        <f>IFERROR(W3426/U3426,0)</f>
        <v/>
      </c>
    </row>
    <row r="3427">
      <c r="A3427" s="25">
        <f>ItensPedido!A3427</f>
        <v/>
      </c>
      <c r="B3427" s="25">
        <f>ItensPedido!B3427</f>
        <v/>
      </c>
      <c r="C3427" s="25">
        <f>ItensPedido!C3427</f>
        <v/>
      </c>
      <c r="D3427" s="25">
        <f>ItensPedido!D3427</f>
        <v/>
      </c>
      <c r="E3427" s="26">
        <f>ItensPedido!E3427</f>
        <v/>
      </c>
      <c r="F3427" s="25">
        <f>IFERROR(INDEX(Pedidos!$B$2:$B$1801,MATCH(B3427,Pedidos!$A$2:$A$1801,0)),0)</f>
        <v/>
      </c>
      <c r="G3427" s="25">
        <f>IF(F3427=0,"",YEAR(F3427))</f>
        <v/>
      </c>
      <c r="H3427" s="25">
        <f>IF(F3427=0,"",MONTH(F3427))</f>
        <v/>
      </c>
      <c r="I3427" s="25">
        <f>IFERROR(INDEX(Pedidos!$E$2:$E$1801,MATCH(B3427,Pedidos!$A$2:$A$1801,0)),"")</f>
        <v/>
      </c>
      <c r="J3427" s="25">
        <f>IFERROR(INDEX(Pedidos!$C$2:$C$1801,MATCH(B3427,Pedidos!$A$2:$A$1801,0)),"")</f>
        <v/>
      </c>
      <c r="K3427" s="25">
        <f>IFERROR(INDEX(Pedidos!$D$2:$D$1801,MATCH(B3427,Pedidos!$A$2:$A$1801,0)),"")</f>
        <v/>
      </c>
      <c r="L3427" s="25">
        <f>IFERROR(INDEX(Pedidos!$F$2:$F$1801,MATCH(B3427,Pedidos!$A$2:$A$1801,0)),"")</f>
        <v/>
      </c>
      <c r="M3427" s="26">
        <f>IFERROR(INDEX(Pedidos!$G$2:$G$1801,MATCH(B3427,Pedidos!$A$2:$A$1801,0)),0)</f>
        <v/>
      </c>
      <c r="N3427" s="25">
        <f>IFERROR(INDEX(Produtos!$B$2:$B$71,MATCH(C3427,Produtos!$A$2:$A$71,0)),"")</f>
        <v/>
      </c>
      <c r="O3427" s="25">
        <f>IFERROR(INDEX(Produtos!$C$2:$C$71,MATCH(C3427,Produtos!$A$2:$A$71,0)),"")</f>
        <v/>
      </c>
      <c r="P3427" s="25">
        <f>IFERROR(INDEX(Produtos!$D$2:$D$71,MATCH(C3427,Produtos!$A$2:$A$71,0)),0)</f>
        <v/>
      </c>
      <c r="Q3427" s="25">
        <f>IFERROR(INDEX(Produtos!$E$2:$E$71,MATCH(C3427,Produtos!$A$2:$A$71,0)),0)</f>
        <v/>
      </c>
      <c r="R3427" s="27">
        <f>D3427*Q3427</f>
        <v/>
      </c>
      <c r="S3427" s="27">
        <f>R3427*E3427</f>
        <v/>
      </c>
      <c r="T3427" s="27">
        <f>(R3427-S3427)*M3427</f>
        <v/>
      </c>
      <c r="U3427" s="27">
        <f>R3427-S3427-T3427</f>
        <v/>
      </c>
      <c r="V3427" s="27">
        <f>D3427*P3427</f>
        <v/>
      </c>
      <c r="W3427" s="27">
        <f>U3427-V3427</f>
        <v/>
      </c>
      <c r="X3427" s="28">
        <f>IFERROR(W3427/U3427,0)</f>
        <v/>
      </c>
    </row>
    <row r="3428">
      <c r="A3428" s="21">
        <f>ItensPedido!A3428</f>
        <v/>
      </c>
      <c r="B3428" s="21">
        <f>ItensPedido!B3428</f>
        <v/>
      </c>
      <c r="C3428" s="21">
        <f>ItensPedido!C3428</f>
        <v/>
      </c>
      <c r="D3428" s="21">
        <f>ItensPedido!D3428</f>
        <v/>
      </c>
      <c r="E3428" s="22">
        <f>ItensPedido!E3428</f>
        <v/>
      </c>
      <c r="F3428" s="21">
        <f>IFERROR(INDEX(Pedidos!$B$2:$B$1801,MATCH(B3428,Pedidos!$A$2:$A$1801,0)),0)</f>
        <v/>
      </c>
      <c r="G3428" s="21">
        <f>IF(F3428=0,"",YEAR(F3428))</f>
        <v/>
      </c>
      <c r="H3428" s="21">
        <f>IF(F3428=0,"",MONTH(F3428))</f>
        <v/>
      </c>
      <c r="I3428" s="21">
        <f>IFERROR(INDEX(Pedidos!$E$2:$E$1801,MATCH(B3428,Pedidos!$A$2:$A$1801,0)),"")</f>
        <v/>
      </c>
      <c r="J3428" s="21">
        <f>IFERROR(INDEX(Pedidos!$C$2:$C$1801,MATCH(B3428,Pedidos!$A$2:$A$1801,0)),"")</f>
        <v/>
      </c>
      <c r="K3428" s="21">
        <f>IFERROR(INDEX(Pedidos!$D$2:$D$1801,MATCH(B3428,Pedidos!$A$2:$A$1801,0)),"")</f>
        <v/>
      </c>
      <c r="L3428" s="21">
        <f>IFERROR(INDEX(Pedidos!$F$2:$F$1801,MATCH(B3428,Pedidos!$A$2:$A$1801,0)),"")</f>
        <v/>
      </c>
      <c r="M3428" s="22">
        <f>IFERROR(INDEX(Pedidos!$G$2:$G$1801,MATCH(B3428,Pedidos!$A$2:$A$1801,0)),0)</f>
        <v/>
      </c>
      <c r="N3428" s="21">
        <f>IFERROR(INDEX(Produtos!$B$2:$B$71,MATCH(C3428,Produtos!$A$2:$A$71,0)),"")</f>
        <v/>
      </c>
      <c r="O3428" s="21">
        <f>IFERROR(INDEX(Produtos!$C$2:$C$71,MATCH(C3428,Produtos!$A$2:$A$71,0)),"")</f>
        <v/>
      </c>
      <c r="P3428" s="21">
        <f>IFERROR(INDEX(Produtos!$D$2:$D$71,MATCH(C3428,Produtos!$A$2:$A$71,0)),0)</f>
        <v/>
      </c>
      <c r="Q3428" s="21">
        <f>IFERROR(INDEX(Produtos!$E$2:$E$71,MATCH(C3428,Produtos!$A$2:$A$71,0)),0)</f>
        <v/>
      </c>
      <c r="R3428" s="23">
        <f>D3428*Q3428</f>
        <v/>
      </c>
      <c r="S3428" s="23">
        <f>R3428*E3428</f>
        <v/>
      </c>
      <c r="T3428" s="23">
        <f>(R3428-S3428)*M3428</f>
        <v/>
      </c>
      <c r="U3428" s="23">
        <f>R3428-S3428-T3428</f>
        <v/>
      </c>
      <c r="V3428" s="23">
        <f>D3428*P3428</f>
        <v/>
      </c>
      <c r="W3428" s="23">
        <f>U3428-V3428</f>
        <v/>
      </c>
      <c r="X3428" s="24">
        <f>IFERROR(W3428/U3428,0)</f>
        <v/>
      </c>
    </row>
    <row r="3429">
      <c r="A3429" s="25">
        <f>ItensPedido!A3429</f>
        <v/>
      </c>
      <c r="B3429" s="25">
        <f>ItensPedido!B3429</f>
        <v/>
      </c>
      <c r="C3429" s="25">
        <f>ItensPedido!C3429</f>
        <v/>
      </c>
      <c r="D3429" s="25">
        <f>ItensPedido!D3429</f>
        <v/>
      </c>
      <c r="E3429" s="26">
        <f>ItensPedido!E3429</f>
        <v/>
      </c>
      <c r="F3429" s="25">
        <f>IFERROR(INDEX(Pedidos!$B$2:$B$1801,MATCH(B3429,Pedidos!$A$2:$A$1801,0)),0)</f>
        <v/>
      </c>
      <c r="G3429" s="25">
        <f>IF(F3429=0,"",YEAR(F3429))</f>
        <v/>
      </c>
      <c r="H3429" s="25">
        <f>IF(F3429=0,"",MONTH(F3429))</f>
        <v/>
      </c>
      <c r="I3429" s="25">
        <f>IFERROR(INDEX(Pedidos!$E$2:$E$1801,MATCH(B3429,Pedidos!$A$2:$A$1801,0)),"")</f>
        <v/>
      </c>
      <c r="J3429" s="25">
        <f>IFERROR(INDEX(Pedidos!$C$2:$C$1801,MATCH(B3429,Pedidos!$A$2:$A$1801,0)),"")</f>
        <v/>
      </c>
      <c r="K3429" s="25">
        <f>IFERROR(INDEX(Pedidos!$D$2:$D$1801,MATCH(B3429,Pedidos!$A$2:$A$1801,0)),"")</f>
        <v/>
      </c>
      <c r="L3429" s="25">
        <f>IFERROR(INDEX(Pedidos!$F$2:$F$1801,MATCH(B3429,Pedidos!$A$2:$A$1801,0)),"")</f>
        <v/>
      </c>
      <c r="M3429" s="26">
        <f>IFERROR(INDEX(Pedidos!$G$2:$G$1801,MATCH(B3429,Pedidos!$A$2:$A$1801,0)),0)</f>
        <v/>
      </c>
      <c r="N3429" s="25">
        <f>IFERROR(INDEX(Produtos!$B$2:$B$71,MATCH(C3429,Produtos!$A$2:$A$71,0)),"")</f>
        <v/>
      </c>
      <c r="O3429" s="25">
        <f>IFERROR(INDEX(Produtos!$C$2:$C$71,MATCH(C3429,Produtos!$A$2:$A$71,0)),"")</f>
        <v/>
      </c>
      <c r="P3429" s="25">
        <f>IFERROR(INDEX(Produtos!$D$2:$D$71,MATCH(C3429,Produtos!$A$2:$A$71,0)),0)</f>
        <v/>
      </c>
      <c r="Q3429" s="25">
        <f>IFERROR(INDEX(Produtos!$E$2:$E$71,MATCH(C3429,Produtos!$A$2:$A$71,0)),0)</f>
        <v/>
      </c>
      <c r="R3429" s="27">
        <f>D3429*Q3429</f>
        <v/>
      </c>
      <c r="S3429" s="27">
        <f>R3429*E3429</f>
        <v/>
      </c>
      <c r="T3429" s="27">
        <f>(R3429-S3429)*M3429</f>
        <v/>
      </c>
      <c r="U3429" s="27">
        <f>R3429-S3429-T3429</f>
        <v/>
      </c>
      <c r="V3429" s="27">
        <f>D3429*P3429</f>
        <v/>
      </c>
      <c r="W3429" s="27">
        <f>U3429-V3429</f>
        <v/>
      </c>
      <c r="X3429" s="28">
        <f>IFERROR(W3429/U3429,0)</f>
        <v/>
      </c>
    </row>
    <row r="3430">
      <c r="A3430" s="21">
        <f>ItensPedido!A3430</f>
        <v/>
      </c>
      <c r="B3430" s="21">
        <f>ItensPedido!B3430</f>
        <v/>
      </c>
      <c r="C3430" s="21">
        <f>ItensPedido!C3430</f>
        <v/>
      </c>
      <c r="D3430" s="21">
        <f>ItensPedido!D3430</f>
        <v/>
      </c>
      <c r="E3430" s="22">
        <f>ItensPedido!E3430</f>
        <v/>
      </c>
      <c r="F3430" s="21">
        <f>IFERROR(INDEX(Pedidos!$B$2:$B$1801,MATCH(B3430,Pedidos!$A$2:$A$1801,0)),0)</f>
        <v/>
      </c>
      <c r="G3430" s="21">
        <f>IF(F3430=0,"",YEAR(F3430))</f>
        <v/>
      </c>
      <c r="H3430" s="21">
        <f>IF(F3430=0,"",MONTH(F3430))</f>
        <v/>
      </c>
      <c r="I3430" s="21">
        <f>IFERROR(INDEX(Pedidos!$E$2:$E$1801,MATCH(B3430,Pedidos!$A$2:$A$1801,0)),"")</f>
        <v/>
      </c>
      <c r="J3430" s="21">
        <f>IFERROR(INDEX(Pedidos!$C$2:$C$1801,MATCH(B3430,Pedidos!$A$2:$A$1801,0)),"")</f>
        <v/>
      </c>
      <c r="K3430" s="21">
        <f>IFERROR(INDEX(Pedidos!$D$2:$D$1801,MATCH(B3430,Pedidos!$A$2:$A$1801,0)),"")</f>
        <v/>
      </c>
      <c r="L3430" s="21">
        <f>IFERROR(INDEX(Pedidos!$F$2:$F$1801,MATCH(B3430,Pedidos!$A$2:$A$1801,0)),"")</f>
        <v/>
      </c>
      <c r="M3430" s="22">
        <f>IFERROR(INDEX(Pedidos!$G$2:$G$1801,MATCH(B3430,Pedidos!$A$2:$A$1801,0)),0)</f>
        <v/>
      </c>
      <c r="N3430" s="21">
        <f>IFERROR(INDEX(Produtos!$B$2:$B$71,MATCH(C3430,Produtos!$A$2:$A$71,0)),"")</f>
        <v/>
      </c>
      <c r="O3430" s="21">
        <f>IFERROR(INDEX(Produtos!$C$2:$C$71,MATCH(C3430,Produtos!$A$2:$A$71,0)),"")</f>
        <v/>
      </c>
      <c r="P3430" s="21">
        <f>IFERROR(INDEX(Produtos!$D$2:$D$71,MATCH(C3430,Produtos!$A$2:$A$71,0)),0)</f>
        <v/>
      </c>
      <c r="Q3430" s="21">
        <f>IFERROR(INDEX(Produtos!$E$2:$E$71,MATCH(C3430,Produtos!$A$2:$A$71,0)),0)</f>
        <v/>
      </c>
      <c r="R3430" s="23">
        <f>D3430*Q3430</f>
        <v/>
      </c>
      <c r="S3430" s="23">
        <f>R3430*E3430</f>
        <v/>
      </c>
      <c r="T3430" s="23">
        <f>(R3430-S3430)*M3430</f>
        <v/>
      </c>
      <c r="U3430" s="23">
        <f>R3430-S3430-T3430</f>
        <v/>
      </c>
      <c r="V3430" s="23">
        <f>D3430*P3430</f>
        <v/>
      </c>
      <c r="W3430" s="23">
        <f>U3430-V3430</f>
        <v/>
      </c>
      <c r="X3430" s="24">
        <f>IFERROR(W3430/U3430,0)</f>
        <v/>
      </c>
    </row>
    <row r="3431">
      <c r="A3431" s="25">
        <f>ItensPedido!A3431</f>
        <v/>
      </c>
      <c r="B3431" s="25">
        <f>ItensPedido!B3431</f>
        <v/>
      </c>
      <c r="C3431" s="25">
        <f>ItensPedido!C3431</f>
        <v/>
      </c>
      <c r="D3431" s="25">
        <f>ItensPedido!D3431</f>
        <v/>
      </c>
      <c r="E3431" s="26">
        <f>ItensPedido!E3431</f>
        <v/>
      </c>
      <c r="F3431" s="25">
        <f>IFERROR(INDEX(Pedidos!$B$2:$B$1801,MATCH(B3431,Pedidos!$A$2:$A$1801,0)),0)</f>
        <v/>
      </c>
      <c r="G3431" s="25">
        <f>IF(F3431=0,"",YEAR(F3431))</f>
        <v/>
      </c>
      <c r="H3431" s="25">
        <f>IF(F3431=0,"",MONTH(F3431))</f>
        <v/>
      </c>
      <c r="I3431" s="25">
        <f>IFERROR(INDEX(Pedidos!$E$2:$E$1801,MATCH(B3431,Pedidos!$A$2:$A$1801,0)),"")</f>
        <v/>
      </c>
      <c r="J3431" s="25">
        <f>IFERROR(INDEX(Pedidos!$C$2:$C$1801,MATCH(B3431,Pedidos!$A$2:$A$1801,0)),"")</f>
        <v/>
      </c>
      <c r="K3431" s="25">
        <f>IFERROR(INDEX(Pedidos!$D$2:$D$1801,MATCH(B3431,Pedidos!$A$2:$A$1801,0)),"")</f>
        <v/>
      </c>
      <c r="L3431" s="25">
        <f>IFERROR(INDEX(Pedidos!$F$2:$F$1801,MATCH(B3431,Pedidos!$A$2:$A$1801,0)),"")</f>
        <v/>
      </c>
      <c r="M3431" s="26">
        <f>IFERROR(INDEX(Pedidos!$G$2:$G$1801,MATCH(B3431,Pedidos!$A$2:$A$1801,0)),0)</f>
        <v/>
      </c>
      <c r="N3431" s="25">
        <f>IFERROR(INDEX(Produtos!$B$2:$B$71,MATCH(C3431,Produtos!$A$2:$A$71,0)),"")</f>
        <v/>
      </c>
      <c r="O3431" s="25">
        <f>IFERROR(INDEX(Produtos!$C$2:$C$71,MATCH(C3431,Produtos!$A$2:$A$71,0)),"")</f>
        <v/>
      </c>
      <c r="P3431" s="25">
        <f>IFERROR(INDEX(Produtos!$D$2:$D$71,MATCH(C3431,Produtos!$A$2:$A$71,0)),0)</f>
        <v/>
      </c>
      <c r="Q3431" s="25">
        <f>IFERROR(INDEX(Produtos!$E$2:$E$71,MATCH(C3431,Produtos!$A$2:$A$71,0)),0)</f>
        <v/>
      </c>
      <c r="R3431" s="27">
        <f>D3431*Q3431</f>
        <v/>
      </c>
      <c r="S3431" s="27">
        <f>R3431*E3431</f>
        <v/>
      </c>
      <c r="T3431" s="27">
        <f>(R3431-S3431)*M3431</f>
        <v/>
      </c>
      <c r="U3431" s="27">
        <f>R3431-S3431-T3431</f>
        <v/>
      </c>
      <c r="V3431" s="27">
        <f>D3431*P3431</f>
        <v/>
      </c>
      <c r="W3431" s="27">
        <f>U3431-V3431</f>
        <v/>
      </c>
      <c r="X3431" s="28">
        <f>IFERROR(W3431/U3431,0)</f>
        <v/>
      </c>
    </row>
    <row r="3432">
      <c r="A3432" s="21">
        <f>ItensPedido!A3432</f>
        <v/>
      </c>
      <c r="B3432" s="21">
        <f>ItensPedido!B3432</f>
        <v/>
      </c>
      <c r="C3432" s="21">
        <f>ItensPedido!C3432</f>
        <v/>
      </c>
      <c r="D3432" s="21">
        <f>ItensPedido!D3432</f>
        <v/>
      </c>
      <c r="E3432" s="22">
        <f>ItensPedido!E3432</f>
        <v/>
      </c>
      <c r="F3432" s="21">
        <f>IFERROR(INDEX(Pedidos!$B$2:$B$1801,MATCH(B3432,Pedidos!$A$2:$A$1801,0)),0)</f>
        <v/>
      </c>
      <c r="G3432" s="21">
        <f>IF(F3432=0,"",YEAR(F3432))</f>
        <v/>
      </c>
      <c r="H3432" s="21">
        <f>IF(F3432=0,"",MONTH(F3432))</f>
        <v/>
      </c>
      <c r="I3432" s="21">
        <f>IFERROR(INDEX(Pedidos!$E$2:$E$1801,MATCH(B3432,Pedidos!$A$2:$A$1801,0)),"")</f>
        <v/>
      </c>
      <c r="J3432" s="21">
        <f>IFERROR(INDEX(Pedidos!$C$2:$C$1801,MATCH(B3432,Pedidos!$A$2:$A$1801,0)),"")</f>
        <v/>
      </c>
      <c r="K3432" s="21">
        <f>IFERROR(INDEX(Pedidos!$D$2:$D$1801,MATCH(B3432,Pedidos!$A$2:$A$1801,0)),"")</f>
        <v/>
      </c>
      <c r="L3432" s="21">
        <f>IFERROR(INDEX(Pedidos!$F$2:$F$1801,MATCH(B3432,Pedidos!$A$2:$A$1801,0)),"")</f>
        <v/>
      </c>
      <c r="M3432" s="22">
        <f>IFERROR(INDEX(Pedidos!$G$2:$G$1801,MATCH(B3432,Pedidos!$A$2:$A$1801,0)),0)</f>
        <v/>
      </c>
      <c r="N3432" s="21">
        <f>IFERROR(INDEX(Produtos!$B$2:$B$71,MATCH(C3432,Produtos!$A$2:$A$71,0)),"")</f>
        <v/>
      </c>
      <c r="O3432" s="21">
        <f>IFERROR(INDEX(Produtos!$C$2:$C$71,MATCH(C3432,Produtos!$A$2:$A$71,0)),"")</f>
        <v/>
      </c>
      <c r="P3432" s="21">
        <f>IFERROR(INDEX(Produtos!$D$2:$D$71,MATCH(C3432,Produtos!$A$2:$A$71,0)),0)</f>
        <v/>
      </c>
      <c r="Q3432" s="21">
        <f>IFERROR(INDEX(Produtos!$E$2:$E$71,MATCH(C3432,Produtos!$A$2:$A$71,0)),0)</f>
        <v/>
      </c>
      <c r="R3432" s="23">
        <f>D3432*Q3432</f>
        <v/>
      </c>
      <c r="S3432" s="23">
        <f>R3432*E3432</f>
        <v/>
      </c>
      <c r="T3432" s="23">
        <f>(R3432-S3432)*M3432</f>
        <v/>
      </c>
      <c r="U3432" s="23">
        <f>R3432-S3432-T3432</f>
        <v/>
      </c>
      <c r="V3432" s="23">
        <f>D3432*P3432</f>
        <v/>
      </c>
      <c r="W3432" s="23">
        <f>U3432-V3432</f>
        <v/>
      </c>
      <c r="X3432" s="24">
        <f>IFERROR(W3432/U3432,0)</f>
        <v/>
      </c>
    </row>
    <row r="3433">
      <c r="A3433" s="25">
        <f>ItensPedido!A3433</f>
        <v/>
      </c>
      <c r="B3433" s="25">
        <f>ItensPedido!B3433</f>
        <v/>
      </c>
      <c r="C3433" s="25">
        <f>ItensPedido!C3433</f>
        <v/>
      </c>
      <c r="D3433" s="25">
        <f>ItensPedido!D3433</f>
        <v/>
      </c>
      <c r="E3433" s="26">
        <f>ItensPedido!E3433</f>
        <v/>
      </c>
      <c r="F3433" s="25">
        <f>IFERROR(INDEX(Pedidos!$B$2:$B$1801,MATCH(B3433,Pedidos!$A$2:$A$1801,0)),0)</f>
        <v/>
      </c>
      <c r="G3433" s="25">
        <f>IF(F3433=0,"",YEAR(F3433))</f>
        <v/>
      </c>
      <c r="H3433" s="25">
        <f>IF(F3433=0,"",MONTH(F3433))</f>
        <v/>
      </c>
      <c r="I3433" s="25">
        <f>IFERROR(INDEX(Pedidos!$E$2:$E$1801,MATCH(B3433,Pedidos!$A$2:$A$1801,0)),"")</f>
        <v/>
      </c>
      <c r="J3433" s="25">
        <f>IFERROR(INDEX(Pedidos!$C$2:$C$1801,MATCH(B3433,Pedidos!$A$2:$A$1801,0)),"")</f>
        <v/>
      </c>
      <c r="K3433" s="25">
        <f>IFERROR(INDEX(Pedidos!$D$2:$D$1801,MATCH(B3433,Pedidos!$A$2:$A$1801,0)),"")</f>
        <v/>
      </c>
      <c r="L3433" s="25">
        <f>IFERROR(INDEX(Pedidos!$F$2:$F$1801,MATCH(B3433,Pedidos!$A$2:$A$1801,0)),"")</f>
        <v/>
      </c>
      <c r="M3433" s="26">
        <f>IFERROR(INDEX(Pedidos!$G$2:$G$1801,MATCH(B3433,Pedidos!$A$2:$A$1801,0)),0)</f>
        <v/>
      </c>
      <c r="N3433" s="25">
        <f>IFERROR(INDEX(Produtos!$B$2:$B$71,MATCH(C3433,Produtos!$A$2:$A$71,0)),"")</f>
        <v/>
      </c>
      <c r="O3433" s="25">
        <f>IFERROR(INDEX(Produtos!$C$2:$C$71,MATCH(C3433,Produtos!$A$2:$A$71,0)),"")</f>
        <v/>
      </c>
      <c r="P3433" s="25">
        <f>IFERROR(INDEX(Produtos!$D$2:$D$71,MATCH(C3433,Produtos!$A$2:$A$71,0)),0)</f>
        <v/>
      </c>
      <c r="Q3433" s="25">
        <f>IFERROR(INDEX(Produtos!$E$2:$E$71,MATCH(C3433,Produtos!$A$2:$A$71,0)),0)</f>
        <v/>
      </c>
      <c r="R3433" s="27">
        <f>D3433*Q3433</f>
        <v/>
      </c>
      <c r="S3433" s="27">
        <f>R3433*E3433</f>
        <v/>
      </c>
      <c r="T3433" s="27">
        <f>(R3433-S3433)*M3433</f>
        <v/>
      </c>
      <c r="U3433" s="27">
        <f>R3433-S3433-T3433</f>
        <v/>
      </c>
      <c r="V3433" s="27">
        <f>D3433*P3433</f>
        <v/>
      </c>
      <c r="W3433" s="27">
        <f>U3433-V3433</f>
        <v/>
      </c>
      <c r="X3433" s="28">
        <f>IFERROR(W3433/U3433,0)</f>
        <v/>
      </c>
    </row>
    <row r="3434">
      <c r="A3434" s="21">
        <f>ItensPedido!A3434</f>
        <v/>
      </c>
      <c r="B3434" s="21">
        <f>ItensPedido!B3434</f>
        <v/>
      </c>
      <c r="C3434" s="21">
        <f>ItensPedido!C3434</f>
        <v/>
      </c>
      <c r="D3434" s="21">
        <f>ItensPedido!D3434</f>
        <v/>
      </c>
      <c r="E3434" s="22">
        <f>ItensPedido!E3434</f>
        <v/>
      </c>
      <c r="F3434" s="21">
        <f>IFERROR(INDEX(Pedidos!$B$2:$B$1801,MATCH(B3434,Pedidos!$A$2:$A$1801,0)),0)</f>
        <v/>
      </c>
      <c r="G3434" s="21">
        <f>IF(F3434=0,"",YEAR(F3434))</f>
        <v/>
      </c>
      <c r="H3434" s="21">
        <f>IF(F3434=0,"",MONTH(F3434))</f>
        <v/>
      </c>
      <c r="I3434" s="21">
        <f>IFERROR(INDEX(Pedidos!$E$2:$E$1801,MATCH(B3434,Pedidos!$A$2:$A$1801,0)),"")</f>
        <v/>
      </c>
      <c r="J3434" s="21">
        <f>IFERROR(INDEX(Pedidos!$C$2:$C$1801,MATCH(B3434,Pedidos!$A$2:$A$1801,0)),"")</f>
        <v/>
      </c>
      <c r="K3434" s="21">
        <f>IFERROR(INDEX(Pedidos!$D$2:$D$1801,MATCH(B3434,Pedidos!$A$2:$A$1801,0)),"")</f>
        <v/>
      </c>
      <c r="L3434" s="21">
        <f>IFERROR(INDEX(Pedidos!$F$2:$F$1801,MATCH(B3434,Pedidos!$A$2:$A$1801,0)),"")</f>
        <v/>
      </c>
      <c r="M3434" s="22">
        <f>IFERROR(INDEX(Pedidos!$G$2:$G$1801,MATCH(B3434,Pedidos!$A$2:$A$1801,0)),0)</f>
        <v/>
      </c>
      <c r="N3434" s="21">
        <f>IFERROR(INDEX(Produtos!$B$2:$B$71,MATCH(C3434,Produtos!$A$2:$A$71,0)),"")</f>
        <v/>
      </c>
      <c r="O3434" s="21">
        <f>IFERROR(INDEX(Produtos!$C$2:$C$71,MATCH(C3434,Produtos!$A$2:$A$71,0)),"")</f>
        <v/>
      </c>
      <c r="P3434" s="21">
        <f>IFERROR(INDEX(Produtos!$D$2:$D$71,MATCH(C3434,Produtos!$A$2:$A$71,0)),0)</f>
        <v/>
      </c>
      <c r="Q3434" s="21">
        <f>IFERROR(INDEX(Produtos!$E$2:$E$71,MATCH(C3434,Produtos!$A$2:$A$71,0)),0)</f>
        <v/>
      </c>
      <c r="R3434" s="23">
        <f>D3434*Q3434</f>
        <v/>
      </c>
      <c r="S3434" s="23">
        <f>R3434*E3434</f>
        <v/>
      </c>
      <c r="T3434" s="23">
        <f>(R3434-S3434)*M3434</f>
        <v/>
      </c>
      <c r="U3434" s="23">
        <f>R3434-S3434-T3434</f>
        <v/>
      </c>
      <c r="V3434" s="23">
        <f>D3434*P3434</f>
        <v/>
      </c>
      <c r="W3434" s="23">
        <f>U3434-V3434</f>
        <v/>
      </c>
      <c r="X3434" s="24">
        <f>IFERROR(W3434/U3434,0)</f>
        <v/>
      </c>
    </row>
    <row r="3435">
      <c r="A3435" s="25">
        <f>ItensPedido!A3435</f>
        <v/>
      </c>
      <c r="B3435" s="25">
        <f>ItensPedido!B3435</f>
        <v/>
      </c>
      <c r="C3435" s="25">
        <f>ItensPedido!C3435</f>
        <v/>
      </c>
      <c r="D3435" s="25">
        <f>ItensPedido!D3435</f>
        <v/>
      </c>
      <c r="E3435" s="26">
        <f>ItensPedido!E3435</f>
        <v/>
      </c>
      <c r="F3435" s="25">
        <f>IFERROR(INDEX(Pedidos!$B$2:$B$1801,MATCH(B3435,Pedidos!$A$2:$A$1801,0)),0)</f>
        <v/>
      </c>
      <c r="G3435" s="25">
        <f>IF(F3435=0,"",YEAR(F3435))</f>
        <v/>
      </c>
      <c r="H3435" s="25">
        <f>IF(F3435=0,"",MONTH(F3435))</f>
        <v/>
      </c>
      <c r="I3435" s="25">
        <f>IFERROR(INDEX(Pedidos!$E$2:$E$1801,MATCH(B3435,Pedidos!$A$2:$A$1801,0)),"")</f>
        <v/>
      </c>
      <c r="J3435" s="25">
        <f>IFERROR(INDEX(Pedidos!$C$2:$C$1801,MATCH(B3435,Pedidos!$A$2:$A$1801,0)),"")</f>
        <v/>
      </c>
      <c r="K3435" s="25">
        <f>IFERROR(INDEX(Pedidos!$D$2:$D$1801,MATCH(B3435,Pedidos!$A$2:$A$1801,0)),"")</f>
        <v/>
      </c>
      <c r="L3435" s="25">
        <f>IFERROR(INDEX(Pedidos!$F$2:$F$1801,MATCH(B3435,Pedidos!$A$2:$A$1801,0)),"")</f>
        <v/>
      </c>
      <c r="M3435" s="26">
        <f>IFERROR(INDEX(Pedidos!$G$2:$G$1801,MATCH(B3435,Pedidos!$A$2:$A$1801,0)),0)</f>
        <v/>
      </c>
      <c r="N3435" s="25">
        <f>IFERROR(INDEX(Produtos!$B$2:$B$71,MATCH(C3435,Produtos!$A$2:$A$71,0)),"")</f>
        <v/>
      </c>
      <c r="O3435" s="25">
        <f>IFERROR(INDEX(Produtos!$C$2:$C$71,MATCH(C3435,Produtos!$A$2:$A$71,0)),"")</f>
        <v/>
      </c>
      <c r="P3435" s="25">
        <f>IFERROR(INDEX(Produtos!$D$2:$D$71,MATCH(C3435,Produtos!$A$2:$A$71,0)),0)</f>
        <v/>
      </c>
      <c r="Q3435" s="25">
        <f>IFERROR(INDEX(Produtos!$E$2:$E$71,MATCH(C3435,Produtos!$A$2:$A$71,0)),0)</f>
        <v/>
      </c>
      <c r="R3435" s="27">
        <f>D3435*Q3435</f>
        <v/>
      </c>
      <c r="S3435" s="27">
        <f>R3435*E3435</f>
        <v/>
      </c>
      <c r="T3435" s="27">
        <f>(R3435-S3435)*M3435</f>
        <v/>
      </c>
      <c r="U3435" s="27">
        <f>R3435-S3435-T3435</f>
        <v/>
      </c>
      <c r="V3435" s="27">
        <f>D3435*P3435</f>
        <v/>
      </c>
      <c r="W3435" s="27">
        <f>U3435-V3435</f>
        <v/>
      </c>
      <c r="X3435" s="28">
        <f>IFERROR(W3435/U3435,0)</f>
        <v/>
      </c>
    </row>
    <row r="3436">
      <c r="A3436" s="21">
        <f>ItensPedido!A3436</f>
        <v/>
      </c>
      <c r="B3436" s="21">
        <f>ItensPedido!B3436</f>
        <v/>
      </c>
      <c r="C3436" s="21">
        <f>ItensPedido!C3436</f>
        <v/>
      </c>
      <c r="D3436" s="21">
        <f>ItensPedido!D3436</f>
        <v/>
      </c>
      <c r="E3436" s="22">
        <f>ItensPedido!E3436</f>
        <v/>
      </c>
      <c r="F3436" s="21">
        <f>IFERROR(INDEX(Pedidos!$B$2:$B$1801,MATCH(B3436,Pedidos!$A$2:$A$1801,0)),0)</f>
        <v/>
      </c>
      <c r="G3436" s="21">
        <f>IF(F3436=0,"",YEAR(F3436))</f>
        <v/>
      </c>
      <c r="H3436" s="21">
        <f>IF(F3436=0,"",MONTH(F3436))</f>
        <v/>
      </c>
      <c r="I3436" s="21">
        <f>IFERROR(INDEX(Pedidos!$E$2:$E$1801,MATCH(B3436,Pedidos!$A$2:$A$1801,0)),"")</f>
        <v/>
      </c>
      <c r="J3436" s="21">
        <f>IFERROR(INDEX(Pedidos!$C$2:$C$1801,MATCH(B3436,Pedidos!$A$2:$A$1801,0)),"")</f>
        <v/>
      </c>
      <c r="K3436" s="21">
        <f>IFERROR(INDEX(Pedidos!$D$2:$D$1801,MATCH(B3436,Pedidos!$A$2:$A$1801,0)),"")</f>
        <v/>
      </c>
      <c r="L3436" s="21">
        <f>IFERROR(INDEX(Pedidos!$F$2:$F$1801,MATCH(B3436,Pedidos!$A$2:$A$1801,0)),"")</f>
        <v/>
      </c>
      <c r="M3436" s="22">
        <f>IFERROR(INDEX(Pedidos!$G$2:$G$1801,MATCH(B3436,Pedidos!$A$2:$A$1801,0)),0)</f>
        <v/>
      </c>
      <c r="N3436" s="21">
        <f>IFERROR(INDEX(Produtos!$B$2:$B$71,MATCH(C3436,Produtos!$A$2:$A$71,0)),"")</f>
        <v/>
      </c>
      <c r="O3436" s="21">
        <f>IFERROR(INDEX(Produtos!$C$2:$C$71,MATCH(C3436,Produtos!$A$2:$A$71,0)),"")</f>
        <v/>
      </c>
      <c r="P3436" s="21">
        <f>IFERROR(INDEX(Produtos!$D$2:$D$71,MATCH(C3436,Produtos!$A$2:$A$71,0)),0)</f>
        <v/>
      </c>
      <c r="Q3436" s="21">
        <f>IFERROR(INDEX(Produtos!$E$2:$E$71,MATCH(C3436,Produtos!$A$2:$A$71,0)),0)</f>
        <v/>
      </c>
      <c r="R3436" s="23">
        <f>D3436*Q3436</f>
        <v/>
      </c>
      <c r="S3436" s="23">
        <f>R3436*E3436</f>
        <v/>
      </c>
      <c r="T3436" s="23">
        <f>(R3436-S3436)*M3436</f>
        <v/>
      </c>
      <c r="U3436" s="23">
        <f>R3436-S3436-T3436</f>
        <v/>
      </c>
      <c r="V3436" s="23">
        <f>D3436*P3436</f>
        <v/>
      </c>
      <c r="W3436" s="23">
        <f>U3436-V3436</f>
        <v/>
      </c>
      <c r="X3436" s="24">
        <f>IFERROR(W3436/U3436,0)</f>
        <v/>
      </c>
    </row>
    <row r="3437">
      <c r="A3437" s="25">
        <f>ItensPedido!A3437</f>
        <v/>
      </c>
      <c r="B3437" s="25">
        <f>ItensPedido!B3437</f>
        <v/>
      </c>
      <c r="C3437" s="25">
        <f>ItensPedido!C3437</f>
        <v/>
      </c>
      <c r="D3437" s="25">
        <f>ItensPedido!D3437</f>
        <v/>
      </c>
      <c r="E3437" s="26">
        <f>ItensPedido!E3437</f>
        <v/>
      </c>
      <c r="F3437" s="25">
        <f>IFERROR(INDEX(Pedidos!$B$2:$B$1801,MATCH(B3437,Pedidos!$A$2:$A$1801,0)),0)</f>
        <v/>
      </c>
      <c r="G3437" s="25">
        <f>IF(F3437=0,"",YEAR(F3437))</f>
        <v/>
      </c>
      <c r="H3437" s="25">
        <f>IF(F3437=0,"",MONTH(F3437))</f>
        <v/>
      </c>
      <c r="I3437" s="25">
        <f>IFERROR(INDEX(Pedidos!$E$2:$E$1801,MATCH(B3437,Pedidos!$A$2:$A$1801,0)),"")</f>
        <v/>
      </c>
      <c r="J3437" s="25">
        <f>IFERROR(INDEX(Pedidos!$C$2:$C$1801,MATCH(B3437,Pedidos!$A$2:$A$1801,0)),"")</f>
        <v/>
      </c>
      <c r="K3437" s="25">
        <f>IFERROR(INDEX(Pedidos!$D$2:$D$1801,MATCH(B3437,Pedidos!$A$2:$A$1801,0)),"")</f>
        <v/>
      </c>
      <c r="L3437" s="25">
        <f>IFERROR(INDEX(Pedidos!$F$2:$F$1801,MATCH(B3437,Pedidos!$A$2:$A$1801,0)),"")</f>
        <v/>
      </c>
      <c r="M3437" s="26">
        <f>IFERROR(INDEX(Pedidos!$G$2:$G$1801,MATCH(B3437,Pedidos!$A$2:$A$1801,0)),0)</f>
        <v/>
      </c>
      <c r="N3437" s="25">
        <f>IFERROR(INDEX(Produtos!$B$2:$B$71,MATCH(C3437,Produtos!$A$2:$A$71,0)),"")</f>
        <v/>
      </c>
      <c r="O3437" s="25">
        <f>IFERROR(INDEX(Produtos!$C$2:$C$71,MATCH(C3437,Produtos!$A$2:$A$71,0)),"")</f>
        <v/>
      </c>
      <c r="P3437" s="25">
        <f>IFERROR(INDEX(Produtos!$D$2:$D$71,MATCH(C3437,Produtos!$A$2:$A$71,0)),0)</f>
        <v/>
      </c>
      <c r="Q3437" s="25">
        <f>IFERROR(INDEX(Produtos!$E$2:$E$71,MATCH(C3437,Produtos!$A$2:$A$71,0)),0)</f>
        <v/>
      </c>
      <c r="R3437" s="27">
        <f>D3437*Q3437</f>
        <v/>
      </c>
      <c r="S3437" s="27">
        <f>R3437*E3437</f>
        <v/>
      </c>
      <c r="T3437" s="27">
        <f>(R3437-S3437)*M3437</f>
        <v/>
      </c>
      <c r="U3437" s="27">
        <f>R3437-S3437-T3437</f>
        <v/>
      </c>
      <c r="V3437" s="27">
        <f>D3437*P3437</f>
        <v/>
      </c>
      <c r="W3437" s="27">
        <f>U3437-V3437</f>
        <v/>
      </c>
      <c r="X3437" s="28">
        <f>IFERROR(W3437/U3437,0)</f>
        <v/>
      </c>
    </row>
    <row r="3438">
      <c r="A3438" s="21">
        <f>ItensPedido!A3438</f>
        <v/>
      </c>
      <c r="B3438" s="21">
        <f>ItensPedido!B3438</f>
        <v/>
      </c>
      <c r="C3438" s="21">
        <f>ItensPedido!C3438</f>
        <v/>
      </c>
      <c r="D3438" s="21">
        <f>ItensPedido!D3438</f>
        <v/>
      </c>
      <c r="E3438" s="22">
        <f>ItensPedido!E3438</f>
        <v/>
      </c>
      <c r="F3438" s="21">
        <f>IFERROR(INDEX(Pedidos!$B$2:$B$1801,MATCH(B3438,Pedidos!$A$2:$A$1801,0)),0)</f>
        <v/>
      </c>
      <c r="G3438" s="21">
        <f>IF(F3438=0,"",YEAR(F3438))</f>
        <v/>
      </c>
      <c r="H3438" s="21">
        <f>IF(F3438=0,"",MONTH(F3438))</f>
        <v/>
      </c>
      <c r="I3438" s="21">
        <f>IFERROR(INDEX(Pedidos!$E$2:$E$1801,MATCH(B3438,Pedidos!$A$2:$A$1801,0)),"")</f>
        <v/>
      </c>
      <c r="J3438" s="21">
        <f>IFERROR(INDEX(Pedidos!$C$2:$C$1801,MATCH(B3438,Pedidos!$A$2:$A$1801,0)),"")</f>
        <v/>
      </c>
      <c r="K3438" s="21">
        <f>IFERROR(INDEX(Pedidos!$D$2:$D$1801,MATCH(B3438,Pedidos!$A$2:$A$1801,0)),"")</f>
        <v/>
      </c>
      <c r="L3438" s="21">
        <f>IFERROR(INDEX(Pedidos!$F$2:$F$1801,MATCH(B3438,Pedidos!$A$2:$A$1801,0)),"")</f>
        <v/>
      </c>
      <c r="M3438" s="22">
        <f>IFERROR(INDEX(Pedidos!$G$2:$G$1801,MATCH(B3438,Pedidos!$A$2:$A$1801,0)),0)</f>
        <v/>
      </c>
      <c r="N3438" s="21">
        <f>IFERROR(INDEX(Produtos!$B$2:$B$71,MATCH(C3438,Produtos!$A$2:$A$71,0)),"")</f>
        <v/>
      </c>
      <c r="O3438" s="21">
        <f>IFERROR(INDEX(Produtos!$C$2:$C$71,MATCH(C3438,Produtos!$A$2:$A$71,0)),"")</f>
        <v/>
      </c>
      <c r="P3438" s="21">
        <f>IFERROR(INDEX(Produtos!$D$2:$D$71,MATCH(C3438,Produtos!$A$2:$A$71,0)),0)</f>
        <v/>
      </c>
      <c r="Q3438" s="21">
        <f>IFERROR(INDEX(Produtos!$E$2:$E$71,MATCH(C3438,Produtos!$A$2:$A$71,0)),0)</f>
        <v/>
      </c>
      <c r="R3438" s="23">
        <f>D3438*Q3438</f>
        <v/>
      </c>
      <c r="S3438" s="23">
        <f>R3438*E3438</f>
        <v/>
      </c>
      <c r="T3438" s="23">
        <f>(R3438-S3438)*M3438</f>
        <v/>
      </c>
      <c r="U3438" s="23">
        <f>R3438-S3438-T3438</f>
        <v/>
      </c>
      <c r="V3438" s="23">
        <f>D3438*P3438</f>
        <v/>
      </c>
      <c r="W3438" s="23">
        <f>U3438-V3438</f>
        <v/>
      </c>
      <c r="X3438" s="24">
        <f>IFERROR(W3438/U3438,0)</f>
        <v/>
      </c>
    </row>
    <row r="3439">
      <c r="A3439" s="25">
        <f>ItensPedido!A3439</f>
        <v/>
      </c>
      <c r="B3439" s="25">
        <f>ItensPedido!B3439</f>
        <v/>
      </c>
      <c r="C3439" s="25">
        <f>ItensPedido!C3439</f>
        <v/>
      </c>
      <c r="D3439" s="25">
        <f>ItensPedido!D3439</f>
        <v/>
      </c>
      <c r="E3439" s="26">
        <f>ItensPedido!E3439</f>
        <v/>
      </c>
      <c r="F3439" s="25">
        <f>IFERROR(INDEX(Pedidos!$B$2:$B$1801,MATCH(B3439,Pedidos!$A$2:$A$1801,0)),0)</f>
        <v/>
      </c>
      <c r="G3439" s="25">
        <f>IF(F3439=0,"",YEAR(F3439))</f>
        <v/>
      </c>
      <c r="H3439" s="25">
        <f>IF(F3439=0,"",MONTH(F3439))</f>
        <v/>
      </c>
      <c r="I3439" s="25">
        <f>IFERROR(INDEX(Pedidos!$E$2:$E$1801,MATCH(B3439,Pedidos!$A$2:$A$1801,0)),"")</f>
        <v/>
      </c>
      <c r="J3439" s="25">
        <f>IFERROR(INDEX(Pedidos!$C$2:$C$1801,MATCH(B3439,Pedidos!$A$2:$A$1801,0)),"")</f>
        <v/>
      </c>
      <c r="K3439" s="25">
        <f>IFERROR(INDEX(Pedidos!$D$2:$D$1801,MATCH(B3439,Pedidos!$A$2:$A$1801,0)),"")</f>
        <v/>
      </c>
      <c r="L3439" s="25">
        <f>IFERROR(INDEX(Pedidos!$F$2:$F$1801,MATCH(B3439,Pedidos!$A$2:$A$1801,0)),"")</f>
        <v/>
      </c>
      <c r="M3439" s="26">
        <f>IFERROR(INDEX(Pedidos!$G$2:$G$1801,MATCH(B3439,Pedidos!$A$2:$A$1801,0)),0)</f>
        <v/>
      </c>
      <c r="N3439" s="25">
        <f>IFERROR(INDEX(Produtos!$B$2:$B$71,MATCH(C3439,Produtos!$A$2:$A$71,0)),"")</f>
        <v/>
      </c>
      <c r="O3439" s="25">
        <f>IFERROR(INDEX(Produtos!$C$2:$C$71,MATCH(C3439,Produtos!$A$2:$A$71,0)),"")</f>
        <v/>
      </c>
      <c r="P3439" s="25">
        <f>IFERROR(INDEX(Produtos!$D$2:$D$71,MATCH(C3439,Produtos!$A$2:$A$71,0)),0)</f>
        <v/>
      </c>
      <c r="Q3439" s="25">
        <f>IFERROR(INDEX(Produtos!$E$2:$E$71,MATCH(C3439,Produtos!$A$2:$A$71,0)),0)</f>
        <v/>
      </c>
      <c r="R3439" s="27">
        <f>D3439*Q3439</f>
        <v/>
      </c>
      <c r="S3439" s="27">
        <f>R3439*E3439</f>
        <v/>
      </c>
      <c r="T3439" s="27">
        <f>(R3439-S3439)*M3439</f>
        <v/>
      </c>
      <c r="U3439" s="27">
        <f>R3439-S3439-T3439</f>
        <v/>
      </c>
      <c r="V3439" s="27">
        <f>D3439*P3439</f>
        <v/>
      </c>
      <c r="W3439" s="27">
        <f>U3439-V3439</f>
        <v/>
      </c>
      <c r="X3439" s="28">
        <f>IFERROR(W3439/U3439,0)</f>
        <v/>
      </c>
    </row>
    <row r="3440">
      <c r="A3440" s="21">
        <f>ItensPedido!A3440</f>
        <v/>
      </c>
      <c r="B3440" s="21">
        <f>ItensPedido!B3440</f>
        <v/>
      </c>
      <c r="C3440" s="21">
        <f>ItensPedido!C3440</f>
        <v/>
      </c>
      <c r="D3440" s="21">
        <f>ItensPedido!D3440</f>
        <v/>
      </c>
      <c r="E3440" s="22">
        <f>ItensPedido!E3440</f>
        <v/>
      </c>
      <c r="F3440" s="21">
        <f>IFERROR(INDEX(Pedidos!$B$2:$B$1801,MATCH(B3440,Pedidos!$A$2:$A$1801,0)),0)</f>
        <v/>
      </c>
      <c r="G3440" s="21">
        <f>IF(F3440=0,"",YEAR(F3440))</f>
        <v/>
      </c>
      <c r="H3440" s="21">
        <f>IF(F3440=0,"",MONTH(F3440))</f>
        <v/>
      </c>
      <c r="I3440" s="21">
        <f>IFERROR(INDEX(Pedidos!$E$2:$E$1801,MATCH(B3440,Pedidos!$A$2:$A$1801,0)),"")</f>
        <v/>
      </c>
      <c r="J3440" s="21">
        <f>IFERROR(INDEX(Pedidos!$C$2:$C$1801,MATCH(B3440,Pedidos!$A$2:$A$1801,0)),"")</f>
        <v/>
      </c>
      <c r="K3440" s="21">
        <f>IFERROR(INDEX(Pedidos!$D$2:$D$1801,MATCH(B3440,Pedidos!$A$2:$A$1801,0)),"")</f>
        <v/>
      </c>
      <c r="L3440" s="21">
        <f>IFERROR(INDEX(Pedidos!$F$2:$F$1801,MATCH(B3440,Pedidos!$A$2:$A$1801,0)),"")</f>
        <v/>
      </c>
      <c r="M3440" s="22">
        <f>IFERROR(INDEX(Pedidos!$G$2:$G$1801,MATCH(B3440,Pedidos!$A$2:$A$1801,0)),0)</f>
        <v/>
      </c>
      <c r="N3440" s="21">
        <f>IFERROR(INDEX(Produtos!$B$2:$B$71,MATCH(C3440,Produtos!$A$2:$A$71,0)),"")</f>
        <v/>
      </c>
      <c r="O3440" s="21">
        <f>IFERROR(INDEX(Produtos!$C$2:$C$71,MATCH(C3440,Produtos!$A$2:$A$71,0)),"")</f>
        <v/>
      </c>
      <c r="P3440" s="21">
        <f>IFERROR(INDEX(Produtos!$D$2:$D$71,MATCH(C3440,Produtos!$A$2:$A$71,0)),0)</f>
        <v/>
      </c>
      <c r="Q3440" s="21">
        <f>IFERROR(INDEX(Produtos!$E$2:$E$71,MATCH(C3440,Produtos!$A$2:$A$71,0)),0)</f>
        <v/>
      </c>
      <c r="R3440" s="23">
        <f>D3440*Q3440</f>
        <v/>
      </c>
      <c r="S3440" s="23">
        <f>R3440*E3440</f>
        <v/>
      </c>
      <c r="T3440" s="23">
        <f>(R3440-S3440)*M3440</f>
        <v/>
      </c>
      <c r="U3440" s="23">
        <f>R3440-S3440-T3440</f>
        <v/>
      </c>
      <c r="V3440" s="23">
        <f>D3440*P3440</f>
        <v/>
      </c>
      <c r="W3440" s="23">
        <f>U3440-V3440</f>
        <v/>
      </c>
      <c r="X3440" s="24">
        <f>IFERROR(W3440/U3440,0)</f>
        <v/>
      </c>
    </row>
    <row r="3441">
      <c r="A3441" s="25">
        <f>ItensPedido!A3441</f>
        <v/>
      </c>
      <c r="B3441" s="25">
        <f>ItensPedido!B3441</f>
        <v/>
      </c>
      <c r="C3441" s="25">
        <f>ItensPedido!C3441</f>
        <v/>
      </c>
      <c r="D3441" s="25">
        <f>ItensPedido!D3441</f>
        <v/>
      </c>
      <c r="E3441" s="26">
        <f>ItensPedido!E3441</f>
        <v/>
      </c>
      <c r="F3441" s="25">
        <f>IFERROR(INDEX(Pedidos!$B$2:$B$1801,MATCH(B3441,Pedidos!$A$2:$A$1801,0)),0)</f>
        <v/>
      </c>
      <c r="G3441" s="25">
        <f>IF(F3441=0,"",YEAR(F3441))</f>
        <v/>
      </c>
      <c r="H3441" s="25">
        <f>IF(F3441=0,"",MONTH(F3441))</f>
        <v/>
      </c>
      <c r="I3441" s="25">
        <f>IFERROR(INDEX(Pedidos!$E$2:$E$1801,MATCH(B3441,Pedidos!$A$2:$A$1801,0)),"")</f>
        <v/>
      </c>
      <c r="J3441" s="25">
        <f>IFERROR(INDEX(Pedidos!$C$2:$C$1801,MATCH(B3441,Pedidos!$A$2:$A$1801,0)),"")</f>
        <v/>
      </c>
      <c r="K3441" s="25">
        <f>IFERROR(INDEX(Pedidos!$D$2:$D$1801,MATCH(B3441,Pedidos!$A$2:$A$1801,0)),"")</f>
        <v/>
      </c>
      <c r="L3441" s="25">
        <f>IFERROR(INDEX(Pedidos!$F$2:$F$1801,MATCH(B3441,Pedidos!$A$2:$A$1801,0)),"")</f>
        <v/>
      </c>
      <c r="M3441" s="26">
        <f>IFERROR(INDEX(Pedidos!$G$2:$G$1801,MATCH(B3441,Pedidos!$A$2:$A$1801,0)),0)</f>
        <v/>
      </c>
      <c r="N3441" s="25">
        <f>IFERROR(INDEX(Produtos!$B$2:$B$71,MATCH(C3441,Produtos!$A$2:$A$71,0)),"")</f>
        <v/>
      </c>
      <c r="O3441" s="25">
        <f>IFERROR(INDEX(Produtos!$C$2:$C$71,MATCH(C3441,Produtos!$A$2:$A$71,0)),"")</f>
        <v/>
      </c>
      <c r="P3441" s="25">
        <f>IFERROR(INDEX(Produtos!$D$2:$D$71,MATCH(C3441,Produtos!$A$2:$A$71,0)),0)</f>
        <v/>
      </c>
      <c r="Q3441" s="25">
        <f>IFERROR(INDEX(Produtos!$E$2:$E$71,MATCH(C3441,Produtos!$A$2:$A$71,0)),0)</f>
        <v/>
      </c>
      <c r="R3441" s="27">
        <f>D3441*Q3441</f>
        <v/>
      </c>
      <c r="S3441" s="27">
        <f>R3441*E3441</f>
        <v/>
      </c>
      <c r="T3441" s="27">
        <f>(R3441-S3441)*M3441</f>
        <v/>
      </c>
      <c r="U3441" s="27">
        <f>R3441-S3441-T3441</f>
        <v/>
      </c>
      <c r="V3441" s="27">
        <f>D3441*P3441</f>
        <v/>
      </c>
      <c r="W3441" s="27">
        <f>U3441-V3441</f>
        <v/>
      </c>
      <c r="X3441" s="28">
        <f>IFERROR(W3441/U3441,0)</f>
        <v/>
      </c>
    </row>
    <row r="3442">
      <c r="A3442" s="21">
        <f>ItensPedido!A3442</f>
        <v/>
      </c>
      <c r="B3442" s="21">
        <f>ItensPedido!B3442</f>
        <v/>
      </c>
      <c r="C3442" s="21">
        <f>ItensPedido!C3442</f>
        <v/>
      </c>
      <c r="D3442" s="21">
        <f>ItensPedido!D3442</f>
        <v/>
      </c>
      <c r="E3442" s="22">
        <f>ItensPedido!E3442</f>
        <v/>
      </c>
      <c r="F3442" s="21">
        <f>IFERROR(INDEX(Pedidos!$B$2:$B$1801,MATCH(B3442,Pedidos!$A$2:$A$1801,0)),0)</f>
        <v/>
      </c>
      <c r="G3442" s="21">
        <f>IF(F3442=0,"",YEAR(F3442))</f>
        <v/>
      </c>
      <c r="H3442" s="21">
        <f>IF(F3442=0,"",MONTH(F3442))</f>
        <v/>
      </c>
      <c r="I3442" s="21">
        <f>IFERROR(INDEX(Pedidos!$E$2:$E$1801,MATCH(B3442,Pedidos!$A$2:$A$1801,0)),"")</f>
        <v/>
      </c>
      <c r="J3442" s="21">
        <f>IFERROR(INDEX(Pedidos!$C$2:$C$1801,MATCH(B3442,Pedidos!$A$2:$A$1801,0)),"")</f>
        <v/>
      </c>
      <c r="K3442" s="21">
        <f>IFERROR(INDEX(Pedidos!$D$2:$D$1801,MATCH(B3442,Pedidos!$A$2:$A$1801,0)),"")</f>
        <v/>
      </c>
      <c r="L3442" s="21">
        <f>IFERROR(INDEX(Pedidos!$F$2:$F$1801,MATCH(B3442,Pedidos!$A$2:$A$1801,0)),"")</f>
        <v/>
      </c>
      <c r="M3442" s="22">
        <f>IFERROR(INDEX(Pedidos!$G$2:$G$1801,MATCH(B3442,Pedidos!$A$2:$A$1801,0)),0)</f>
        <v/>
      </c>
      <c r="N3442" s="21">
        <f>IFERROR(INDEX(Produtos!$B$2:$B$71,MATCH(C3442,Produtos!$A$2:$A$71,0)),"")</f>
        <v/>
      </c>
      <c r="O3442" s="21">
        <f>IFERROR(INDEX(Produtos!$C$2:$C$71,MATCH(C3442,Produtos!$A$2:$A$71,0)),"")</f>
        <v/>
      </c>
      <c r="P3442" s="21">
        <f>IFERROR(INDEX(Produtos!$D$2:$D$71,MATCH(C3442,Produtos!$A$2:$A$71,0)),0)</f>
        <v/>
      </c>
      <c r="Q3442" s="21">
        <f>IFERROR(INDEX(Produtos!$E$2:$E$71,MATCH(C3442,Produtos!$A$2:$A$71,0)),0)</f>
        <v/>
      </c>
      <c r="R3442" s="23">
        <f>D3442*Q3442</f>
        <v/>
      </c>
      <c r="S3442" s="23">
        <f>R3442*E3442</f>
        <v/>
      </c>
      <c r="T3442" s="23">
        <f>(R3442-S3442)*M3442</f>
        <v/>
      </c>
      <c r="U3442" s="23">
        <f>R3442-S3442-T3442</f>
        <v/>
      </c>
      <c r="V3442" s="23">
        <f>D3442*P3442</f>
        <v/>
      </c>
      <c r="W3442" s="23">
        <f>U3442-V3442</f>
        <v/>
      </c>
      <c r="X3442" s="24">
        <f>IFERROR(W3442/U3442,0)</f>
        <v/>
      </c>
    </row>
    <row r="3443">
      <c r="A3443" s="25">
        <f>ItensPedido!A3443</f>
        <v/>
      </c>
      <c r="B3443" s="25">
        <f>ItensPedido!B3443</f>
        <v/>
      </c>
      <c r="C3443" s="25">
        <f>ItensPedido!C3443</f>
        <v/>
      </c>
      <c r="D3443" s="25">
        <f>ItensPedido!D3443</f>
        <v/>
      </c>
      <c r="E3443" s="26">
        <f>ItensPedido!E3443</f>
        <v/>
      </c>
      <c r="F3443" s="25">
        <f>IFERROR(INDEX(Pedidos!$B$2:$B$1801,MATCH(B3443,Pedidos!$A$2:$A$1801,0)),0)</f>
        <v/>
      </c>
      <c r="G3443" s="25">
        <f>IF(F3443=0,"",YEAR(F3443))</f>
        <v/>
      </c>
      <c r="H3443" s="25">
        <f>IF(F3443=0,"",MONTH(F3443))</f>
        <v/>
      </c>
      <c r="I3443" s="25">
        <f>IFERROR(INDEX(Pedidos!$E$2:$E$1801,MATCH(B3443,Pedidos!$A$2:$A$1801,0)),"")</f>
        <v/>
      </c>
      <c r="J3443" s="25">
        <f>IFERROR(INDEX(Pedidos!$C$2:$C$1801,MATCH(B3443,Pedidos!$A$2:$A$1801,0)),"")</f>
        <v/>
      </c>
      <c r="K3443" s="25">
        <f>IFERROR(INDEX(Pedidos!$D$2:$D$1801,MATCH(B3443,Pedidos!$A$2:$A$1801,0)),"")</f>
        <v/>
      </c>
      <c r="L3443" s="25">
        <f>IFERROR(INDEX(Pedidos!$F$2:$F$1801,MATCH(B3443,Pedidos!$A$2:$A$1801,0)),"")</f>
        <v/>
      </c>
      <c r="M3443" s="26">
        <f>IFERROR(INDEX(Pedidos!$G$2:$G$1801,MATCH(B3443,Pedidos!$A$2:$A$1801,0)),0)</f>
        <v/>
      </c>
      <c r="N3443" s="25">
        <f>IFERROR(INDEX(Produtos!$B$2:$B$71,MATCH(C3443,Produtos!$A$2:$A$71,0)),"")</f>
        <v/>
      </c>
      <c r="O3443" s="25">
        <f>IFERROR(INDEX(Produtos!$C$2:$C$71,MATCH(C3443,Produtos!$A$2:$A$71,0)),"")</f>
        <v/>
      </c>
      <c r="P3443" s="25">
        <f>IFERROR(INDEX(Produtos!$D$2:$D$71,MATCH(C3443,Produtos!$A$2:$A$71,0)),0)</f>
        <v/>
      </c>
      <c r="Q3443" s="25">
        <f>IFERROR(INDEX(Produtos!$E$2:$E$71,MATCH(C3443,Produtos!$A$2:$A$71,0)),0)</f>
        <v/>
      </c>
      <c r="R3443" s="27">
        <f>D3443*Q3443</f>
        <v/>
      </c>
      <c r="S3443" s="27">
        <f>R3443*E3443</f>
        <v/>
      </c>
      <c r="T3443" s="27">
        <f>(R3443-S3443)*M3443</f>
        <v/>
      </c>
      <c r="U3443" s="27">
        <f>R3443-S3443-T3443</f>
        <v/>
      </c>
      <c r="V3443" s="27">
        <f>D3443*P3443</f>
        <v/>
      </c>
      <c r="W3443" s="27">
        <f>U3443-V3443</f>
        <v/>
      </c>
      <c r="X3443" s="28">
        <f>IFERROR(W3443/U3443,0)</f>
        <v/>
      </c>
    </row>
    <row r="3444">
      <c r="A3444" s="21">
        <f>ItensPedido!A3444</f>
        <v/>
      </c>
      <c r="B3444" s="21">
        <f>ItensPedido!B3444</f>
        <v/>
      </c>
      <c r="C3444" s="21">
        <f>ItensPedido!C3444</f>
        <v/>
      </c>
      <c r="D3444" s="21">
        <f>ItensPedido!D3444</f>
        <v/>
      </c>
      <c r="E3444" s="22">
        <f>ItensPedido!E3444</f>
        <v/>
      </c>
      <c r="F3444" s="21">
        <f>IFERROR(INDEX(Pedidos!$B$2:$B$1801,MATCH(B3444,Pedidos!$A$2:$A$1801,0)),0)</f>
        <v/>
      </c>
      <c r="G3444" s="21">
        <f>IF(F3444=0,"",YEAR(F3444))</f>
        <v/>
      </c>
      <c r="H3444" s="21">
        <f>IF(F3444=0,"",MONTH(F3444))</f>
        <v/>
      </c>
      <c r="I3444" s="21">
        <f>IFERROR(INDEX(Pedidos!$E$2:$E$1801,MATCH(B3444,Pedidos!$A$2:$A$1801,0)),"")</f>
        <v/>
      </c>
      <c r="J3444" s="21">
        <f>IFERROR(INDEX(Pedidos!$C$2:$C$1801,MATCH(B3444,Pedidos!$A$2:$A$1801,0)),"")</f>
        <v/>
      </c>
      <c r="K3444" s="21">
        <f>IFERROR(INDEX(Pedidos!$D$2:$D$1801,MATCH(B3444,Pedidos!$A$2:$A$1801,0)),"")</f>
        <v/>
      </c>
      <c r="L3444" s="21">
        <f>IFERROR(INDEX(Pedidos!$F$2:$F$1801,MATCH(B3444,Pedidos!$A$2:$A$1801,0)),"")</f>
        <v/>
      </c>
      <c r="M3444" s="22">
        <f>IFERROR(INDEX(Pedidos!$G$2:$G$1801,MATCH(B3444,Pedidos!$A$2:$A$1801,0)),0)</f>
        <v/>
      </c>
      <c r="N3444" s="21">
        <f>IFERROR(INDEX(Produtos!$B$2:$B$71,MATCH(C3444,Produtos!$A$2:$A$71,0)),"")</f>
        <v/>
      </c>
      <c r="O3444" s="21">
        <f>IFERROR(INDEX(Produtos!$C$2:$C$71,MATCH(C3444,Produtos!$A$2:$A$71,0)),"")</f>
        <v/>
      </c>
      <c r="P3444" s="21">
        <f>IFERROR(INDEX(Produtos!$D$2:$D$71,MATCH(C3444,Produtos!$A$2:$A$71,0)),0)</f>
        <v/>
      </c>
      <c r="Q3444" s="21">
        <f>IFERROR(INDEX(Produtos!$E$2:$E$71,MATCH(C3444,Produtos!$A$2:$A$71,0)),0)</f>
        <v/>
      </c>
      <c r="R3444" s="23">
        <f>D3444*Q3444</f>
        <v/>
      </c>
      <c r="S3444" s="23">
        <f>R3444*E3444</f>
        <v/>
      </c>
      <c r="T3444" s="23">
        <f>(R3444-S3444)*M3444</f>
        <v/>
      </c>
      <c r="U3444" s="23">
        <f>R3444-S3444-T3444</f>
        <v/>
      </c>
      <c r="V3444" s="23">
        <f>D3444*P3444</f>
        <v/>
      </c>
      <c r="W3444" s="23">
        <f>U3444-V3444</f>
        <v/>
      </c>
      <c r="X3444" s="24">
        <f>IFERROR(W3444/U3444,0)</f>
        <v/>
      </c>
    </row>
    <row r="3445">
      <c r="A3445" s="25">
        <f>ItensPedido!A3445</f>
        <v/>
      </c>
      <c r="B3445" s="25">
        <f>ItensPedido!B3445</f>
        <v/>
      </c>
      <c r="C3445" s="25">
        <f>ItensPedido!C3445</f>
        <v/>
      </c>
      <c r="D3445" s="25">
        <f>ItensPedido!D3445</f>
        <v/>
      </c>
      <c r="E3445" s="26">
        <f>ItensPedido!E3445</f>
        <v/>
      </c>
      <c r="F3445" s="25">
        <f>IFERROR(INDEX(Pedidos!$B$2:$B$1801,MATCH(B3445,Pedidos!$A$2:$A$1801,0)),0)</f>
        <v/>
      </c>
      <c r="G3445" s="25">
        <f>IF(F3445=0,"",YEAR(F3445))</f>
        <v/>
      </c>
      <c r="H3445" s="25">
        <f>IF(F3445=0,"",MONTH(F3445))</f>
        <v/>
      </c>
      <c r="I3445" s="25">
        <f>IFERROR(INDEX(Pedidos!$E$2:$E$1801,MATCH(B3445,Pedidos!$A$2:$A$1801,0)),"")</f>
        <v/>
      </c>
      <c r="J3445" s="25">
        <f>IFERROR(INDEX(Pedidos!$C$2:$C$1801,MATCH(B3445,Pedidos!$A$2:$A$1801,0)),"")</f>
        <v/>
      </c>
      <c r="K3445" s="25">
        <f>IFERROR(INDEX(Pedidos!$D$2:$D$1801,MATCH(B3445,Pedidos!$A$2:$A$1801,0)),"")</f>
        <v/>
      </c>
      <c r="L3445" s="25">
        <f>IFERROR(INDEX(Pedidos!$F$2:$F$1801,MATCH(B3445,Pedidos!$A$2:$A$1801,0)),"")</f>
        <v/>
      </c>
      <c r="M3445" s="26">
        <f>IFERROR(INDEX(Pedidos!$G$2:$G$1801,MATCH(B3445,Pedidos!$A$2:$A$1801,0)),0)</f>
        <v/>
      </c>
      <c r="N3445" s="25">
        <f>IFERROR(INDEX(Produtos!$B$2:$B$71,MATCH(C3445,Produtos!$A$2:$A$71,0)),"")</f>
        <v/>
      </c>
      <c r="O3445" s="25">
        <f>IFERROR(INDEX(Produtos!$C$2:$C$71,MATCH(C3445,Produtos!$A$2:$A$71,0)),"")</f>
        <v/>
      </c>
      <c r="P3445" s="25">
        <f>IFERROR(INDEX(Produtos!$D$2:$D$71,MATCH(C3445,Produtos!$A$2:$A$71,0)),0)</f>
        <v/>
      </c>
      <c r="Q3445" s="25">
        <f>IFERROR(INDEX(Produtos!$E$2:$E$71,MATCH(C3445,Produtos!$A$2:$A$71,0)),0)</f>
        <v/>
      </c>
      <c r="R3445" s="27">
        <f>D3445*Q3445</f>
        <v/>
      </c>
      <c r="S3445" s="27">
        <f>R3445*E3445</f>
        <v/>
      </c>
      <c r="T3445" s="27">
        <f>(R3445-S3445)*M3445</f>
        <v/>
      </c>
      <c r="U3445" s="27">
        <f>R3445-S3445-T3445</f>
        <v/>
      </c>
      <c r="V3445" s="27">
        <f>D3445*P3445</f>
        <v/>
      </c>
      <c r="W3445" s="27">
        <f>U3445-V3445</f>
        <v/>
      </c>
      <c r="X3445" s="28">
        <f>IFERROR(W3445/U3445,0)</f>
        <v/>
      </c>
    </row>
    <row r="3446">
      <c r="A3446" s="21">
        <f>ItensPedido!A3446</f>
        <v/>
      </c>
      <c r="B3446" s="21">
        <f>ItensPedido!B3446</f>
        <v/>
      </c>
      <c r="C3446" s="21">
        <f>ItensPedido!C3446</f>
        <v/>
      </c>
      <c r="D3446" s="21">
        <f>ItensPedido!D3446</f>
        <v/>
      </c>
      <c r="E3446" s="22">
        <f>ItensPedido!E3446</f>
        <v/>
      </c>
      <c r="F3446" s="21">
        <f>IFERROR(INDEX(Pedidos!$B$2:$B$1801,MATCH(B3446,Pedidos!$A$2:$A$1801,0)),0)</f>
        <v/>
      </c>
      <c r="G3446" s="21">
        <f>IF(F3446=0,"",YEAR(F3446))</f>
        <v/>
      </c>
      <c r="H3446" s="21">
        <f>IF(F3446=0,"",MONTH(F3446))</f>
        <v/>
      </c>
      <c r="I3446" s="21">
        <f>IFERROR(INDEX(Pedidos!$E$2:$E$1801,MATCH(B3446,Pedidos!$A$2:$A$1801,0)),"")</f>
        <v/>
      </c>
      <c r="J3446" s="21">
        <f>IFERROR(INDEX(Pedidos!$C$2:$C$1801,MATCH(B3446,Pedidos!$A$2:$A$1801,0)),"")</f>
        <v/>
      </c>
      <c r="K3446" s="21">
        <f>IFERROR(INDEX(Pedidos!$D$2:$D$1801,MATCH(B3446,Pedidos!$A$2:$A$1801,0)),"")</f>
        <v/>
      </c>
      <c r="L3446" s="21">
        <f>IFERROR(INDEX(Pedidos!$F$2:$F$1801,MATCH(B3446,Pedidos!$A$2:$A$1801,0)),"")</f>
        <v/>
      </c>
      <c r="M3446" s="22">
        <f>IFERROR(INDEX(Pedidos!$G$2:$G$1801,MATCH(B3446,Pedidos!$A$2:$A$1801,0)),0)</f>
        <v/>
      </c>
      <c r="N3446" s="21">
        <f>IFERROR(INDEX(Produtos!$B$2:$B$71,MATCH(C3446,Produtos!$A$2:$A$71,0)),"")</f>
        <v/>
      </c>
      <c r="O3446" s="21">
        <f>IFERROR(INDEX(Produtos!$C$2:$C$71,MATCH(C3446,Produtos!$A$2:$A$71,0)),"")</f>
        <v/>
      </c>
      <c r="P3446" s="21">
        <f>IFERROR(INDEX(Produtos!$D$2:$D$71,MATCH(C3446,Produtos!$A$2:$A$71,0)),0)</f>
        <v/>
      </c>
      <c r="Q3446" s="21">
        <f>IFERROR(INDEX(Produtos!$E$2:$E$71,MATCH(C3446,Produtos!$A$2:$A$71,0)),0)</f>
        <v/>
      </c>
      <c r="R3446" s="23">
        <f>D3446*Q3446</f>
        <v/>
      </c>
      <c r="S3446" s="23">
        <f>R3446*E3446</f>
        <v/>
      </c>
      <c r="T3446" s="23">
        <f>(R3446-S3446)*M3446</f>
        <v/>
      </c>
      <c r="U3446" s="23">
        <f>R3446-S3446-T3446</f>
        <v/>
      </c>
      <c r="V3446" s="23">
        <f>D3446*P3446</f>
        <v/>
      </c>
      <c r="W3446" s="23">
        <f>U3446-V3446</f>
        <v/>
      </c>
      <c r="X3446" s="24">
        <f>IFERROR(W3446/U3446,0)</f>
        <v/>
      </c>
    </row>
    <row r="3447">
      <c r="A3447" s="25">
        <f>ItensPedido!A3447</f>
        <v/>
      </c>
      <c r="B3447" s="25">
        <f>ItensPedido!B3447</f>
        <v/>
      </c>
      <c r="C3447" s="25">
        <f>ItensPedido!C3447</f>
        <v/>
      </c>
      <c r="D3447" s="25">
        <f>ItensPedido!D3447</f>
        <v/>
      </c>
      <c r="E3447" s="26">
        <f>ItensPedido!E3447</f>
        <v/>
      </c>
      <c r="F3447" s="25">
        <f>IFERROR(INDEX(Pedidos!$B$2:$B$1801,MATCH(B3447,Pedidos!$A$2:$A$1801,0)),0)</f>
        <v/>
      </c>
      <c r="G3447" s="25">
        <f>IF(F3447=0,"",YEAR(F3447))</f>
        <v/>
      </c>
      <c r="H3447" s="25">
        <f>IF(F3447=0,"",MONTH(F3447))</f>
        <v/>
      </c>
      <c r="I3447" s="25">
        <f>IFERROR(INDEX(Pedidos!$E$2:$E$1801,MATCH(B3447,Pedidos!$A$2:$A$1801,0)),"")</f>
        <v/>
      </c>
      <c r="J3447" s="25">
        <f>IFERROR(INDEX(Pedidos!$C$2:$C$1801,MATCH(B3447,Pedidos!$A$2:$A$1801,0)),"")</f>
        <v/>
      </c>
      <c r="K3447" s="25">
        <f>IFERROR(INDEX(Pedidos!$D$2:$D$1801,MATCH(B3447,Pedidos!$A$2:$A$1801,0)),"")</f>
        <v/>
      </c>
      <c r="L3447" s="25">
        <f>IFERROR(INDEX(Pedidos!$F$2:$F$1801,MATCH(B3447,Pedidos!$A$2:$A$1801,0)),"")</f>
        <v/>
      </c>
      <c r="M3447" s="26">
        <f>IFERROR(INDEX(Pedidos!$G$2:$G$1801,MATCH(B3447,Pedidos!$A$2:$A$1801,0)),0)</f>
        <v/>
      </c>
      <c r="N3447" s="25">
        <f>IFERROR(INDEX(Produtos!$B$2:$B$71,MATCH(C3447,Produtos!$A$2:$A$71,0)),"")</f>
        <v/>
      </c>
      <c r="O3447" s="25">
        <f>IFERROR(INDEX(Produtos!$C$2:$C$71,MATCH(C3447,Produtos!$A$2:$A$71,0)),"")</f>
        <v/>
      </c>
      <c r="P3447" s="25">
        <f>IFERROR(INDEX(Produtos!$D$2:$D$71,MATCH(C3447,Produtos!$A$2:$A$71,0)),0)</f>
        <v/>
      </c>
      <c r="Q3447" s="25">
        <f>IFERROR(INDEX(Produtos!$E$2:$E$71,MATCH(C3447,Produtos!$A$2:$A$71,0)),0)</f>
        <v/>
      </c>
      <c r="R3447" s="27">
        <f>D3447*Q3447</f>
        <v/>
      </c>
      <c r="S3447" s="27">
        <f>R3447*E3447</f>
        <v/>
      </c>
      <c r="T3447" s="27">
        <f>(R3447-S3447)*M3447</f>
        <v/>
      </c>
      <c r="U3447" s="27">
        <f>R3447-S3447-T3447</f>
        <v/>
      </c>
      <c r="V3447" s="27">
        <f>D3447*P3447</f>
        <v/>
      </c>
      <c r="W3447" s="27">
        <f>U3447-V3447</f>
        <v/>
      </c>
      <c r="X3447" s="28">
        <f>IFERROR(W3447/U3447,0)</f>
        <v/>
      </c>
    </row>
    <row r="3448">
      <c r="A3448" s="21">
        <f>ItensPedido!A3448</f>
        <v/>
      </c>
      <c r="B3448" s="21">
        <f>ItensPedido!B3448</f>
        <v/>
      </c>
      <c r="C3448" s="21">
        <f>ItensPedido!C3448</f>
        <v/>
      </c>
      <c r="D3448" s="21">
        <f>ItensPedido!D3448</f>
        <v/>
      </c>
      <c r="E3448" s="22">
        <f>ItensPedido!E3448</f>
        <v/>
      </c>
      <c r="F3448" s="21">
        <f>IFERROR(INDEX(Pedidos!$B$2:$B$1801,MATCH(B3448,Pedidos!$A$2:$A$1801,0)),0)</f>
        <v/>
      </c>
      <c r="G3448" s="21">
        <f>IF(F3448=0,"",YEAR(F3448))</f>
        <v/>
      </c>
      <c r="H3448" s="21">
        <f>IF(F3448=0,"",MONTH(F3448))</f>
        <v/>
      </c>
      <c r="I3448" s="21">
        <f>IFERROR(INDEX(Pedidos!$E$2:$E$1801,MATCH(B3448,Pedidos!$A$2:$A$1801,0)),"")</f>
        <v/>
      </c>
      <c r="J3448" s="21">
        <f>IFERROR(INDEX(Pedidos!$C$2:$C$1801,MATCH(B3448,Pedidos!$A$2:$A$1801,0)),"")</f>
        <v/>
      </c>
      <c r="K3448" s="21">
        <f>IFERROR(INDEX(Pedidos!$D$2:$D$1801,MATCH(B3448,Pedidos!$A$2:$A$1801,0)),"")</f>
        <v/>
      </c>
      <c r="L3448" s="21">
        <f>IFERROR(INDEX(Pedidos!$F$2:$F$1801,MATCH(B3448,Pedidos!$A$2:$A$1801,0)),"")</f>
        <v/>
      </c>
      <c r="M3448" s="22">
        <f>IFERROR(INDEX(Pedidos!$G$2:$G$1801,MATCH(B3448,Pedidos!$A$2:$A$1801,0)),0)</f>
        <v/>
      </c>
      <c r="N3448" s="21">
        <f>IFERROR(INDEX(Produtos!$B$2:$B$71,MATCH(C3448,Produtos!$A$2:$A$71,0)),"")</f>
        <v/>
      </c>
      <c r="O3448" s="21">
        <f>IFERROR(INDEX(Produtos!$C$2:$C$71,MATCH(C3448,Produtos!$A$2:$A$71,0)),"")</f>
        <v/>
      </c>
      <c r="P3448" s="21">
        <f>IFERROR(INDEX(Produtos!$D$2:$D$71,MATCH(C3448,Produtos!$A$2:$A$71,0)),0)</f>
        <v/>
      </c>
      <c r="Q3448" s="21">
        <f>IFERROR(INDEX(Produtos!$E$2:$E$71,MATCH(C3448,Produtos!$A$2:$A$71,0)),0)</f>
        <v/>
      </c>
      <c r="R3448" s="23">
        <f>D3448*Q3448</f>
        <v/>
      </c>
      <c r="S3448" s="23">
        <f>R3448*E3448</f>
        <v/>
      </c>
      <c r="T3448" s="23">
        <f>(R3448-S3448)*M3448</f>
        <v/>
      </c>
      <c r="U3448" s="23">
        <f>R3448-S3448-T3448</f>
        <v/>
      </c>
      <c r="V3448" s="23">
        <f>D3448*P3448</f>
        <v/>
      </c>
      <c r="W3448" s="23">
        <f>U3448-V3448</f>
        <v/>
      </c>
      <c r="X3448" s="24">
        <f>IFERROR(W3448/U3448,0)</f>
        <v/>
      </c>
    </row>
    <row r="3449">
      <c r="A3449" s="25">
        <f>ItensPedido!A3449</f>
        <v/>
      </c>
      <c r="B3449" s="25">
        <f>ItensPedido!B3449</f>
        <v/>
      </c>
      <c r="C3449" s="25">
        <f>ItensPedido!C3449</f>
        <v/>
      </c>
      <c r="D3449" s="25">
        <f>ItensPedido!D3449</f>
        <v/>
      </c>
      <c r="E3449" s="26">
        <f>ItensPedido!E3449</f>
        <v/>
      </c>
      <c r="F3449" s="25">
        <f>IFERROR(INDEX(Pedidos!$B$2:$B$1801,MATCH(B3449,Pedidos!$A$2:$A$1801,0)),0)</f>
        <v/>
      </c>
      <c r="G3449" s="25">
        <f>IF(F3449=0,"",YEAR(F3449))</f>
        <v/>
      </c>
      <c r="H3449" s="25">
        <f>IF(F3449=0,"",MONTH(F3449))</f>
        <v/>
      </c>
      <c r="I3449" s="25">
        <f>IFERROR(INDEX(Pedidos!$E$2:$E$1801,MATCH(B3449,Pedidos!$A$2:$A$1801,0)),"")</f>
        <v/>
      </c>
      <c r="J3449" s="25">
        <f>IFERROR(INDEX(Pedidos!$C$2:$C$1801,MATCH(B3449,Pedidos!$A$2:$A$1801,0)),"")</f>
        <v/>
      </c>
      <c r="K3449" s="25">
        <f>IFERROR(INDEX(Pedidos!$D$2:$D$1801,MATCH(B3449,Pedidos!$A$2:$A$1801,0)),"")</f>
        <v/>
      </c>
      <c r="L3449" s="25">
        <f>IFERROR(INDEX(Pedidos!$F$2:$F$1801,MATCH(B3449,Pedidos!$A$2:$A$1801,0)),"")</f>
        <v/>
      </c>
      <c r="M3449" s="26">
        <f>IFERROR(INDEX(Pedidos!$G$2:$G$1801,MATCH(B3449,Pedidos!$A$2:$A$1801,0)),0)</f>
        <v/>
      </c>
      <c r="N3449" s="25">
        <f>IFERROR(INDEX(Produtos!$B$2:$B$71,MATCH(C3449,Produtos!$A$2:$A$71,0)),"")</f>
        <v/>
      </c>
      <c r="O3449" s="25">
        <f>IFERROR(INDEX(Produtos!$C$2:$C$71,MATCH(C3449,Produtos!$A$2:$A$71,0)),"")</f>
        <v/>
      </c>
      <c r="P3449" s="25">
        <f>IFERROR(INDEX(Produtos!$D$2:$D$71,MATCH(C3449,Produtos!$A$2:$A$71,0)),0)</f>
        <v/>
      </c>
      <c r="Q3449" s="25">
        <f>IFERROR(INDEX(Produtos!$E$2:$E$71,MATCH(C3449,Produtos!$A$2:$A$71,0)),0)</f>
        <v/>
      </c>
      <c r="R3449" s="27">
        <f>D3449*Q3449</f>
        <v/>
      </c>
      <c r="S3449" s="27">
        <f>R3449*E3449</f>
        <v/>
      </c>
      <c r="T3449" s="27">
        <f>(R3449-S3449)*M3449</f>
        <v/>
      </c>
      <c r="U3449" s="27">
        <f>R3449-S3449-T3449</f>
        <v/>
      </c>
      <c r="V3449" s="27">
        <f>D3449*P3449</f>
        <v/>
      </c>
      <c r="W3449" s="27">
        <f>U3449-V3449</f>
        <v/>
      </c>
      <c r="X3449" s="28">
        <f>IFERROR(W3449/U3449,0)</f>
        <v/>
      </c>
    </row>
    <row r="3450">
      <c r="A3450" s="21">
        <f>ItensPedido!A3450</f>
        <v/>
      </c>
      <c r="B3450" s="21">
        <f>ItensPedido!B3450</f>
        <v/>
      </c>
      <c r="C3450" s="21">
        <f>ItensPedido!C3450</f>
        <v/>
      </c>
      <c r="D3450" s="21">
        <f>ItensPedido!D3450</f>
        <v/>
      </c>
      <c r="E3450" s="22">
        <f>ItensPedido!E3450</f>
        <v/>
      </c>
      <c r="F3450" s="21">
        <f>IFERROR(INDEX(Pedidos!$B$2:$B$1801,MATCH(B3450,Pedidos!$A$2:$A$1801,0)),0)</f>
        <v/>
      </c>
      <c r="G3450" s="21">
        <f>IF(F3450=0,"",YEAR(F3450))</f>
        <v/>
      </c>
      <c r="H3450" s="21">
        <f>IF(F3450=0,"",MONTH(F3450))</f>
        <v/>
      </c>
      <c r="I3450" s="21">
        <f>IFERROR(INDEX(Pedidos!$E$2:$E$1801,MATCH(B3450,Pedidos!$A$2:$A$1801,0)),"")</f>
        <v/>
      </c>
      <c r="J3450" s="21">
        <f>IFERROR(INDEX(Pedidos!$C$2:$C$1801,MATCH(B3450,Pedidos!$A$2:$A$1801,0)),"")</f>
        <v/>
      </c>
      <c r="K3450" s="21">
        <f>IFERROR(INDEX(Pedidos!$D$2:$D$1801,MATCH(B3450,Pedidos!$A$2:$A$1801,0)),"")</f>
        <v/>
      </c>
      <c r="L3450" s="21">
        <f>IFERROR(INDEX(Pedidos!$F$2:$F$1801,MATCH(B3450,Pedidos!$A$2:$A$1801,0)),"")</f>
        <v/>
      </c>
      <c r="M3450" s="22">
        <f>IFERROR(INDEX(Pedidos!$G$2:$G$1801,MATCH(B3450,Pedidos!$A$2:$A$1801,0)),0)</f>
        <v/>
      </c>
      <c r="N3450" s="21">
        <f>IFERROR(INDEX(Produtos!$B$2:$B$71,MATCH(C3450,Produtos!$A$2:$A$71,0)),"")</f>
        <v/>
      </c>
      <c r="O3450" s="21">
        <f>IFERROR(INDEX(Produtos!$C$2:$C$71,MATCH(C3450,Produtos!$A$2:$A$71,0)),"")</f>
        <v/>
      </c>
      <c r="P3450" s="21">
        <f>IFERROR(INDEX(Produtos!$D$2:$D$71,MATCH(C3450,Produtos!$A$2:$A$71,0)),0)</f>
        <v/>
      </c>
      <c r="Q3450" s="21">
        <f>IFERROR(INDEX(Produtos!$E$2:$E$71,MATCH(C3450,Produtos!$A$2:$A$71,0)),0)</f>
        <v/>
      </c>
      <c r="R3450" s="23">
        <f>D3450*Q3450</f>
        <v/>
      </c>
      <c r="S3450" s="23">
        <f>R3450*E3450</f>
        <v/>
      </c>
      <c r="T3450" s="23">
        <f>(R3450-S3450)*M3450</f>
        <v/>
      </c>
      <c r="U3450" s="23">
        <f>R3450-S3450-T3450</f>
        <v/>
      </c>
      <c r="V3450" s="23">
        <f>D3450*P3450</f>
        <v/>
      </c>
      <c r="W3450" s="23">
        <f>U3450-V3450</f>
        <v/>
      </c>
      <c r="X3450" s="24">
        <f>IFERROR(W3450/U3450,0)</f>
        <v/>
      </c>
    </row>
    <row r="3451">
      <c r="A3451" s="25">
        <f>ItensPedido!A3451</f>
        <v/>
      </c>
      <c r="B3451" s="25">
        <f>ItensPedido!B3451</f>
        <v/>
      </c>
      <c r="C3451" s="25">
        <f>ItensPedido!C3451</f>
        <v/>
      </c>
      <c r="D3451" s="25">
        <f>ItensPedido!D3451</f>
        <v/>
      </c>
      <c r="E3451" s="26">
        <f>ItensPedido!E3451</f>
        <v/>
      </c>
      <c r="F3451" s="25">
        <f>IFERROR(INDEX(Pedidos!$B$2:$B$1801,MATCH(B3451,Pedidos!$A$2:$A$1801,0)),0)</f>
        <v/>
      </c>
      <c r="G3451" s="25">
        <f>IF(F3451=0,"",YEAR(F3451))</f>
        <v/>
      </c>
      <c r="H3451" s="25">
        <f>IF(F3451=0,"",MONTH(F3451))</f>
        <v/>
      </c>
      <c r="I3451" s="25">
        <f>IFERROR(INDEX(Pedidos!$E$2:$E$1801,MATCH(B3451,Pedidos!$A$2:$A$1801,0)),"")</f>
        <v/>
      </c>
      <c r="J3451" s="25">
        <f>IFERROR(INDEX(Pedidos!$C$2:$C$1801,MATCH(B3451,Pedidos!$A$2:$A$1801,0)),"")</f>
        <v/>
      </c>
      <c r="K3451" s="25">
        <f>IFERROR(INDEX(Pedidos!$D$2:$D$1801,MATCH(B3451,Pedidos!$A$2:$A$1801,0)),"")</f>
        <v/>
      </c>
      <c r="L3451" s="25">
        <f>IFERROR(INDEX(Pedidos!$F$2:$F$1801,MATCH(B3451,Pedidos!$A$2:$A$1801,0)),"")</f>
        <v/>
      </c>
      <c r="M3451" s="26">
        <f>IFERROR(INDEX(Pedidos!$G$2:$G$1801,MATCH(B3451,Pedidos!$A$2:$A$1801,0)),0)</f>
        <v/>
      </c>
      <c r="N3451" s="25">
        <f>IFERROR(INDEX(Produtos!$B$2:$B$71,MATCH(C3451,Produtos!$A$2:$A$71,0)),"")</f>
        <v/>
      </c>
      <c r="O3451" s="25">
        <f>IFERROR(INDEX(Produtos!$C$2:$C$71,MATCH(C3451,Produtos!$A$2:$A$71,0)),"")</f>
        <v/>
      </c>
      <c r="P3451" s="25">
        <f>IFERROR(INDEX(Produtos!$D$2:$D$71,MATCH(C3451,Produtos!$A$2:$A$71,0)),0)</f>
        <v/>
      </c>
      <c r="Q3451" s="25">
        <f>IFERROR(INDEX(Produtos!$E$2:$E$71,MATCH(C3451,Produtos!$A$2:$A$71,0)),0)</f>
        <v/>
      </c>
      <c r="R3451" s="27">
        <f>D3451*Q3451</f>
        <v/>
      </c>
      <c r="S3451" s="27">
        <f>R3451*E3451</f>
        <v/>
      </c>
      <c r="T3451" s="27">
        <f>(R3451-S3451)*M3451</f>
        <v/>
      </c>
      <c r="U3451" s="27">
        <f>R3451-S3451-T3451</f>
        <v/>
      </c>
      <c r="V3451" s="27">
        <f>D3451*P3451</f>
        <v/>
      </c>
      <c r="W3451" s="27">
        <f>U3451-V3451</f>
        <v/>
      </c>
      <c r="X3451" s="28">
        <f>IFERROR(W3451/U3451,0)</f>
        <v/>
      </c>
    </row>
    <row r="3452">
      <c r="A3452" s="21">
        <f>ItensPedido!A3452</f>
        <v/>
      </c>
      <c r="B3452" s="21">
        <f>ItensPedido!B3452</f>
        <v/>
      </c>
      <c r="C3452" s="21">
        <f>ItensPedido!C3452</f>
        <v/>
      </c>
      <c r="D3452" s="21">
        <f>ItensPedido!D3452</f>
        <v/>
      </c>
      <c r="E3452" s="22">
        <f>ItensPedido!E3452</f>
        <v/>
      </c>
      <c r="F3452" s="21">
        <f>IFERROR(INDEX(Pedidos!$B$2:$B$1801,MATCH(B3452,Pedidos!$A$2:$A$1801,0)),0)</f>
        <v/>
      </c>
      <c r="G3452" s="21">
        <f>IF(F3452=0,"",YEAR(F3452))</f>
        <v/>
      </c>
      <c r="H3452" s="21">
        <f>IF(F3452=0,"",MONTH(F3452))</f>
        <v/>
      </c>
      <c r="I3452" s="21">
        <f>IFERROR(INDEX(Pedidos!$E$2:$E$1801,MATCH(B3452,Pedidos!$A$2:$A$1801,0)),"")</f>
        <v/>
      </c>
      <c r="J3452" s="21">
        <f>IFERROR(INDEX(Pedidos!$C$2:$C$1801,MATCH(B3452,Pedidos!$A$2:$A$1801,0)),"")</f>
        <v/>
      </c>
      <c r="K3452" s="21">
        <f>IFERROR(INDEX(Pedidos!$D$2:$D$1801,MATCH(B3452,Pedidos!$A$2:$A$1801,0)),"")</f>
        <v/>
      </c>
      <c r="L3452" s="21">
        <f>IFERROR(INDEX(Pedidos!$F$2:$F$1801,MATCH(B3452,Pedidos!$A$2:$A$1801,0)),"")</f>
        <v/>
      </c>
      <c r="M3452" s="22">
        <f>IFERROR(INDEX(Pedidos!$G$2:$G$1801,MATCH(B3452,Pedidos!$A$2:$A$1801,0)),0)</f>
        <v/>
      </c>
      <c r="N3452" s="21">
        <f>IFERROR(INDEX(Produtos!$B$2:$B$71,MATCH(C3452,Produtos!$A$2:$A$71,0)),"")</f>
        <v/>
      </c>
      <c r="O3452" s="21">
        <f>IFERROR(INDEX(Produtos!$C$2:$C$71,MATCH(C3452,Produtos!$A$2:$A$71,0)),"")</f>
        <v/>
      </c>
      <c r="P3452" s="21">
        <f>IFERROR(INDEX(Produtos!$D$2:$D$71,MATCH(C3452,Produtos!$A$2:$A$71,0)),0)</f>
        <v/>
      </c>
      <c r="Q3452" s="21">
        <f>IFERROR(INDEX(Produtos!$E$2:$E$71,MATCH(C3452,Produtos!$A$2:$A$71,0)),0)</f>
        <v/>
      </c>
      <c r="R3452" s="23">
        <f>D3452*Q3452</f>
        <v/>
      </c>
      <c r="S3452" s="23">
        <f>R3452*E3452</f>
        <v/>
      </c>
      <c r="T3452" s="23">
        <f>(R3452-S3452)*M3452</f>
        <v/>
      </c>
      <c r="U3452" s="23">
        <f>R3452-S3452-T3452</f>
        <v/>
      </c>
      <c r="V3452" s="23">
        <f>D3452*P3452</f>
        <v/>
      </c>
      <c r="W3452" s="23">
        <f>U3452-V3452</f>
        <v/>
      </c>
      <c r="X3452" s="24">
        <f>IFERROR(W3452/U3452,0)</f>
        <v/>
      </c>
    </row>
    <row r="3453">
      <c r="A3453" s="25">
        <f>ItensPedido!A3453</f>
        <v/>
      </c>
      <c r="B3453" s="25">
        <f>ItensPedido!B3453</f>
        <v/>
      </c>
      <c r="C3453" s="25">
        <f>ItensPedido!C3453</f>
        <v/>
      </c>
      <c r="D3453" s="25">
        <f>ItensPedido!D3453</f>
        <v/>
      </c>
      <c r="E3453" s="26">
        <f>ItensPedido!E3453</f>
        <v/>
      </c>
      <c r="F3453" s="25">
        <f>IFERROR(INDEX(Pedidos!$B$2:$B$1801,MATCH(B3453,Pedidos!$A$2:$A$1801,0)),0)</f>
        <v/>
      </c>
      <c r="G3453" s="25">
        <f>IF(F3453=0,"",YEAR(F3453))</f>
        <v/>
      </c>
      <c r="H3453" s="25">
        <f>IF(F3453=0,"",MONTH(F3453))</f>
        <v/>
      </c>
      <c r="I3453" s="25">
        <f>IFERROR(INDEX(Pedidos!$E$2:$E$1801,MATCH(B3453,Pedidos!$A$2:$A$1801,0)),"")</f>
        <v/>
      </c>
      <c r="J3453" s="25">
        <f>IFERROR(INDEX(Pedidos!$C$2:$C$1801,MATCH(B3453,Pedidos!$A$2:$A$1801,0)),"")</f>
        <v/>
      </c>
      <c r="K3453" s="25">
        <f>IFERROR(INDEX(Pedidos!$D$2:$D$1801,MATCH(B3453,Pedidos!$A$2:$A$1801,0)),"")</f>
        <v/>
      </c>
      <c r="L3453" s="25">
        <f>IFERROR(INDEX(Pedidos!$F$2:$F$1801,MATCH(B3453,Pedidos!$A$2:$A$1801,0)),"")</f>
        <v/>
      </c>
      <c r="M3453" s="26">
        <f>IFERROR(INDEX(Pedidos!$G$2:$G$1801,MATCH(B3453,Pedidos!$A$2:$A$1801,0)),0)</f>
        <v/>
      </c>
      <c r="N3453" s="25">
        <f>IFERROR(INDEX(Produtos!$B$2:$B$71,MATCH(C3453,Produtos!$A$2:$A$71,0)),"")</f>
        <v/>
      </c>
      <c r="O3453" s="25">
        <f>IFERROR(INDEX(Produtos!$C$2:$C$71,MATCH(C3453,Produtos!$A$2:$A$71,0)),"")</f>
        <v/>
      </c>
      <c r="P3453" s="25">
        <f>IFERROR(INDEX(Produtos!$D$2:$D$71,MATCH(C3453,Produtos!$A$2:$A$71,0)),0)</f>
        <v/>
      </c>
      <c r="Q3453" s="25">
        <f>IFERROR(INDEX(Produtos!$E$2:$E$71,MATCH(C3453,Produtos!$A$2:$A$71,0)),0)</f>
        <v/>
      </c>
      <c r="R3453" s="27">
        <f>D3453*Q3453</f>
        <v/>
      </c>
      <c r="S3453" s="27">
        <f>R3453*E3453</f>
        <v/>
      </c>
      <c r="T3453" s="27">
        <f>(R3453-S3453)*M3453</f>
        <v/>
      </c>
      <c r="U3453" s="27">
        <f>R3453-S3453-T3453</f>
        <v/>
      </c>
      <c r="V3453" s="27">
        <f>D3453*P3453</f>
        <v/>
      </c>
      <c r="W3453" s="27">
        <f>U3453-V3453</f>
        <v/>
      </c>
      <c r="X3453" s="28">
        <f>IFERROR(W3453/U3453,0)</f>
        <v/>
      </c>
    </row>
    <row r="3454">
      <c r="A3454" s="21">
        <f>ItensPedido!A3454</f>
        <v/>
      </c>
      <c r="B3454" s="21">
        <f>ItensPedido!B3454</f>
        <v/>
      </c>
      <c r="C3454" s="21">
        <f>ItensPedido!C3454</f>
        <v/>
      </c>
      <c r="D3454" s="21">
        <f>ItensPedido!D3454</f>
        <v/>
      </c>
      <c r="E3454" s="22">
        <f>ItensPedido!E3454</f>
        <v/>
      </c>
      <c r="F3454" s="21">
        <f>IFERROR(INDEX(Pedidos!$B$2:$B$1801,MATCH(B3454,Pedidos!$A$2:$A$1801,0)),0)</f>
        <v/>
      </c>
      <c r="G3454" s="21">
        <f>IF(F3454=0,"",YEAR(F3454))</f>
        <v/>
      </c>
      <c r="H3454" s="21">
        <f>IF(F3454=0,"",MONTH(F3454))</f>
        <v/>
      </c>
      <c r="I3454" s="21">
        <f>IFERROR(INDEX(Pedidos!$E$2:$E$1801,MATCH(B3454,Pedidos!$A$2:$A$1801,0)),"")</f>
        <v/>
      </c>
      <c r="J3454" s="21">
        <f>IFERROR(INDEX(Pedidos!$C$2:$C$1801,MATCH(B3454,Pedidos!$A$2:$A$1801,0)),"")</f>
        <v/>
      </c>
      <c r="K3454" s="21">
        <f>IFERROR(INDEX(Pedidos!$D$2:$D$1801,MATCH(B3454,Pedidos!$A$2:$A$1801,0)),"")</f>
        <v/>
      </c>
      <c r="L3454" s="21">
        <f>IFERROR(INDEX(Pedidos!$F$2:$F$1801,MATCH(B3454,Pedidos!$A$2:$A$1801,0)),"")</f>
        <v/>
      </c>
      <c r="M3454" s="22">
        <f>IFERROR(INDEX(Pedidos!$G$2:$G$1801,MATCH(B3454,Pedidos!$A$2:$A$1801,0)),0)</f>
        <v/>
      </c>
      <c r="N3454" s="21">
        <f>IFERROR(INDEX(Produtos!$B$2:$B$71,MATCH(C3454,Produtos!$A$2:$A$71,0)),"")</f>
        <v/>
      </c>
      <c r="O3454" s="21">
        <f>IFERROR(INDEX(Produtos!$C$2:$C$71,MATCH(C3454,Produtos!$A$2:$A$71,0)),"")</f>
        <v/>
      </c>
      <c r="P3454" s="21">
        <f>IFERROR(INDEX(Produtos!$D$2:$D$71,MATCH(C3454,Produtos!$A$2:$A$71,0)),0)</f>
        <v/>
      </c>
      <c r="Q3454" s="21">
        <f>IFERROR(INDEX(Produtos!$E$2:$E$71,MATCH(C3454,Produtos!$A$2:$A$71,0)),0)</f>
        <v/>
      </c>
      <c r="R3454" s="23">
        <f>D3454*Q3454</f>
        <v/>
      </c>
      <c r="S3454" s="23">
        <f>R3454*E3454</f>
        <v/>
      </c>
      <c r="T3454" s="23">
        <f>(R3454-S3454)*M3454</f>
        <v/>
      </c>
      <c r="U3454" s="23">
        <f>R3454-S3454-T3454</f>
        <v/>
      </c>
      <c r="V3454" s="23">
        <f>D3454*P3454</f>
        <v/>
      </c>
      <c r="W3454" s="23">
        <f>U3454-V3454</f>
        <v/>
      </c>
      <c r="X3454" s="24">
        <f>IFERROR(W3454/U3454,0)</f>
        <v/>
      </c>
    </row>
    <row r="3455">
      <c r="A3455" s="25">
        <f>ItensPedido!A3455</f>
        <v/>
      </c>
      <c r="B3455" s="25">
        <f>ItensPedido!B3455</f>
        <v/>
      </c>
      <c r="C3455" s="25">
        <f>ItensPedido!C3455</f>
        <v/>
      </c>
      <c r="D3455" s="25">
        <f>ItensPedido!D3455</f>
        <v/>
      </c>
      <c r="E3455" s="26">
        <f>ItensPedido!E3455</f>
        <v/>
      </c>
      <c r="F3455" s="25">
        <f>IFERROR(INDEX(Pedidos!$B$2:$B$1801,MATCH(B3455,Pedidos!$A$2:$A$1801,0)),0)</f>
        <v/>
      </c>
      <c r="G3455" s="25">
        <f>IF(F3455=0,"",YEAR(F3455))</f>
        <v/>
      </c>
      <c r="H3455" s="25">
        <f>IF(F3455=0,"",MONTH(F3455))</f>
        <v/>
      </c>
      <c r="I3455" s="25">
        <f>IFERROR(INDEX(Pedidos!$E$2:$E$1801,MATCH(B3455,Pedidos!$A$2:$A$1801,0)),"")</f>
        <v/>
      </c>
      <c r="J3455" s="25">
        <f>IFERROR(INDEX(Pedidos!$C$2:$C$1801,MATCH(B3455,Pedidos!$A$2:$A$1801,0)),"")</f>
        <v/>
      </c>
      <c r="K3455" s="25">
        <f>IFERROR(INDEX(Pedidos!$D$2:$D$1801,MATCH(B3455,Pedidos!$A$2:$A$1801,0)),"")</f>
        <v/>
      </c>
      <c r="L3455" s="25">
        <f>IFERROR(INDEX(Pedidos!$F$2:$F$1801,MATCH(B3455,Pedidos!$A$2:$A$1801,0)),"")</f>
        <v/>
      </c>
      <c r="M3455" s="26">
        <f>IFERROR(INDEX(Pedidos!$G$2:$G$1801,MATCH(B3455,Pedidos!$A$2:$A$1801,0)),0)</f>
        <v/>
      </c>
      <c r="N3455" s="25">
        <f>IFERROR(INDEX(Produtos!$B$2:$B$71,MATCH(C3455,Produtos!$A$2:$A$71,0)),"")</f>
        <v/>
      </c>
      <c r="O3455" s="25">
        <f>IFERROR(INDEX(Produtos!$C$2:$C$71,MATCH(C3455,Produtos!$A$2:$A$71,0)),"")</f>
        <v/>
      </c>
      <c r="P3455" s="25">
        <f>IFERROR(INDEX(Produtos!$D$2:$D$71,MATCH(C3455,Produtos!$A$2:$A$71,0)),0)</f>
        <v/>
      </c>
      <c r="Q3455" s="25">
        <f>IFERROR(INDEX(Produtos!$E$2:$E$71,MATCH(C3455,Produtos!$A$2:$A$71,0)),0)</f>
        <v/>
      </c>
      <c r="R3455" s="27">
        <f>D3455*Q3455</f>
        <v/>
      </c>
      <c r="S3455" s="27">
        <f>R3455*E3455</f>
        <v/>
      </c>
      <c r="T3455" s="27">
        <f>(R3455-S3455)*M3455</f>
        <v/>
      </c>
      <c r="U3455" s="27">
        <f>R3455-S3455-T3455</f>
        <v/>
      </c>
      <c r="V3455" s="27">
        <f>D3455*P3455</f>
        <v/>
      </c>
      <c r="W3455" s="27">
        <f>U3455-V3455</f>
        <v/>
      </c>
      <c r="X3455" s="28">
        <f>IFERROR(W3455/U3455,0)</f>
        <v/>
      </c>
    </row>
    <row r="3456">
      <c r="A3456" s="21">
        <f>ItensPedido!A3456</f>
        <v/>
      </c>
      <c r="B3456" s="21">
        <f>ItensPedido!B3456</f>
        <v/>
      </c>
      <c r="C3456" s="21">
        <f>ItensPedido!C3456</f>
        <v/>
      </c>
      <c r="D3456" s="21">
        <f>ItensPedido!D3456</f>
        <v/>
      </c>
      <c r="E3456" s="22">
        <f>ItensPedido!E3456</f>
        <v/>
      </c>
      <c r="F3456" s="21">
        <f>IFERROR(INDEX(Pedidos!$B$2:$B$1801,MATCH(B3456,Pedidos!$A$2:$A$1801,0)),0)</f>
        <v/>
      </c>
      <c r="G3456" s="21">
        <f>IF(F3456=0,"",YEAR(F3456))</f>
        <v/>
      </c>
      <c r="H3456" s="21">
        <f>IF(F3456=0,"",MONTH(F3456))</f>
        <v/>
      </c>
      <c r="I3456" s="21">
        <f>IFERROR(INDEX(Pedidos!$E$2:$E$1801,MATCH(B3456,Pedidos!$A$2:$A$1801,0)),"")</f>
        <v/>
      </c>
      <c r="J3456" s="21">
        <f>IFERROR(INDEX(Pedidos!$C$2:$C$1801,MATCH(B3456,Pedidos!$A$2:$A$1801,0)),"")</f>
        <v/>
      </c>
      <c r="K3456" s="21">
        <f>IFERROR(INDEX(Pedidos!$D$2:$D$1801,MATCH(B3456,Pedidos!$A$2:$A$1801,0)),"")</f>
        <v/>
      </c>
      <c r="L3456" s="21">
        <f>IFERROR(INDEX(Pedidos!$F$2:$F$1801,MATCH(B3456,Pedidos!$A$2:$A$1801,0)),"")</f>
        <v/>
      </c>
      <c r="M3456" s="22">
        <f>IFERROR(INDEX(Pedidos!$G$2:$G$1801,MATCH(B3456,Pedidos!$A$2:$A$1801,0)),0)</f>
        <v/>
      </c>
      <c r="N3456" s="21">
        <f>IFERROR(INDEX(Produtos!$B$2:$B$71,MATCH(C3456,Produtos!$A$2:$A$71,0)),"")</f>
        <v/>
      </c>
      <c r="O3456" s="21">
        <f>IFERROR(INDEX(Produtos!$C$2:$C$71,MATCH(C3456,Produtos!$A$2:$A$71,0)),"")</f>
        <v/>
      </c>
      <c r="P3456" s="21">
        <f>IFERROR(INDEX(Produtos!$D$2:$D$71,MATCH(C3456,Produtos!$A$2:$A$71,0)),0)</f>
        <v/>
      </c>
      <c r="Q3456" s="21">
        <f>IFERROR(INDEX(Produtos!$E$2:$E$71,MATCH(C3456,Produtos!$A$2:$A$71,0)),0)</f>
        <v/>
      </c>
      <c r="R3456" s="23">
        <f>D3456*Q3456</f>
        <v/>
      </c>
      <c r="S3456" s="23">
        <f>R3456*E3456</f>
        <v/>
      </c>
      <c r="T3456" s="23">
        <f>(R3456-S3456)*M3456</f>
        <v/>
      </c>
      <c r="U3456" s="23">
        <f>R3456-S3456-T3456</f>
        <v/>
      </c>
      <c r="V3456" s="23">
        <f>D3456*P3456</f>
        <v/>
      </c>
      <c r="W3456" s="23">
        <f>U3456-V3456</f>
        <v/>
      </c>
      <c r="X3456" s="24">
        <f>IFERROR(W3456/U3456,0)</f>
        <v/>
      </c>
    </row>
    <row r="3457">
      <c r="A3457" s="25">
        <f>ItensPedido!A3457</f>
        <v/>
      </c>
      <c r="B3457" s="25">
        <f>ItensPedido!B3457</f>
        <v/>
      </c>
      <c r="C3457" s="25">
        <f>ItensPedido!C3457</f>
        <v/>
      </c>
      <c r="D3457" s="25">
        <f>ItensPedido!D3457</f>
        <v/>
      </c>
      <c r="E3457" s="26">
        <f>ItensPedido!E3457</f>
        <v/>
      </c>
      <c r="F3457" s="25">
        <f>IFERROR(INDEX(Pedidos!$B$2:$B$1801,MATCH(B3457,Pedidos!$A$2:$A$1801,0)),0)</f>
        <v/>
      </c>
      <c r="G3457" s="25">
        <f>IF(F3457=0,"",YEAR(F3457))</f>
        <v/>
      </c>
      <c r="H3457" s="25">
        <f>IF(F3457=0,"",MONTH(F3457))</f>
        <v/>
      </c>
      <c r="I3457" s="25">
        <f>IFERROR(INDEX(Pedidos!$E$2:$E$1801,MATCH(B3457,Pedidos!$A$2:$A$1801,0)),"")</f>
        <v/>
      </c>
      <c r="J3457" s="25">
        <f>IFERROR(INDEX(Pedidos!$C$2:$C$1801,MATCH(B3457,Pedidos!$A$2:$A$1801,0)),"")</f>
        <v/>
      </c>
      <c r="K3457" s="25">
        <f>IFERROR(INDEX(Pedidos!$D$2:$D$1801,MATCH(B3457,Pedidos!$A$2:$A$1801,0)),"")</f>
        <v/>
      </c>
      <c r="L3457" s="25">
        <f>IFERROR(INDEX(Pedidos!$F$2:$F$1801,MATCH(B3457,Pedidos!$A$2:$A$1801,0)),"")</f>
        <v/>
      </c>
      <c r="M3457" s="26">
        <f>IFERROR(INDEX(Pedidos!$G$2:$G$1801,MATCH(B3457,Pedidos!$A$2:$A$1801,0)),0)</f>
        <v/>
      </c>
      <c r="N3457" s="25">
        <f>IFERROR(INDEX(Produtos!$B$2:$B$71,MATCH(C3457,Produtos!$A$2:$A$71,0)),"")</f>
        <v/>
      </c>
      <c r="O3457" s="25">
        <f>IFERROR(INDEX(Produtos!$C$2:$C$71,MATCH(C3457,Produtos!$A$2:$A$71,0)),"")</f>
        <v/>
      </c>
      <c r="P3457" s="25">
        <f>IFERROR(INDEX(Produtos!$D$2:$D$71,MATCH(C3457,Produtos!$A$2:$A$71,0)),0)</f>
        <v/>
      </c>
      <c r="Q3457" s="25">
        <f>IFERROR(INDEX(Produtos!$E$2:$E$71,MATCH(C3457,Produtos!$A$2:$A$71,0)),0)</f>
        <v/>
      </c>
      <c r="R3457" s="27">
        <f>D3457*Q3457</f>
        <v/>
      </c>
      <c r="S3457" s="27">
        <f>R3457*E3457</f>
        <v/>
      </c>
      <c r="T3457" s="27">
        <f>(R3457-S3457)*M3457</f>
        <v/>
      </c>
      <c r="U3457" s="27">
        <f>R3457-S3457-T3457</f>
        <v/>
      </c>
      <c r="V3457" s="27">
        <f>D3457*P3457</f>
        <v/>
      </c>
      <c r="W3457" s="27">
        <f>U3457-V3457</f>
        <v/>
      </c>
      <c r="X3457" s="28">
        <f>IFERROR(W3457/U3457,0)</f>
        <v/>
      </c>
    </row>
    <row r="3458">
      <c r="A3458" s="21">
        <f>ItensPedido!A3458</f>
        <v/>
      </c>
      <c r="B3458" s="21">
        <f>ItensPedido!B3458</f>
        <v/>
      </c>
      <c r="C3458" s="21">
        <f>ItensPedido!C3458</f>
        <v/>
      </c>
      <c r="D3458" s="21">
        <f>ItensPedido!D3458</f>
        <v/>
      </c>
      <c r="E3458" s="22">
        <f>ItensPedido!E3458</f>
        <v/>
      </c>
      <c r="F3458" s="21">
        <f>IFERROR(INDEX(Pedidos!$B$2:$B$1801,MATCH(B3458,Pedidos!$A$2:$A$1801,0)),0)</f>
        <v/>
      </c>
      <c r="G3458" s="21">
        <f>IF(F3458=0,"",YEAR(F3458))</f>
        <v/>
      </c>
      <c r="H3458" s="21">
        <f>IF(F3458=0,"",MONTH(F3458))</f>
        <v/>
      </c>
      <c r="I3458" s="21">
        <f>IFERROR(INDEX(Pedidos!$E$2:$E$1801,MATCH(B3458,Pedidos!$A$2:$A$1801,0)),"")</f>
        <v/>
      </c>
      <c r="J3458" s="21">
        <f>IFERROR(INDEX(Pedidos!$C$2:$C$1801,MATCH(B3458,Pedidos!$A$2:$A$1801,0)),"")</f>
        <v/>
      </c>
      <c r="K3458" s="21">
        <f>IFERROR(INDEX(Pedidos!$D$2:$D$1801,MATCH(B3458,Pedidos!$A$2:$A$1801,0)),"")</f>
        <v/>
      </c>
      <c r="L3458" s="21">
        <f>IFERROR(INDEX(Pedidos!$F$2:$F$1801,MATCH(B3458,Pedidos!$A$2:$A$1801,0)),"")</f>
        <v/>
      </c>
      <c r="M3458" s="22">
        <f>IFERROR(INDEX(Pedidos!$G$2:$G$1801,MATCH(B3458,Pedidos!$A$2:$A$1801,0)),0)</f>
        <v/>
      </c>
      <c r="N3458" s="21">
        <f>IFERROR(INDEX(Produtos!$B$2:$B$71,MATCH(C3458,Produtos!$A$2:$A$71,0)),"")</f>
        <v/>
      </c>
      <c r="O3458" s="21">
        <f>IFERROR(INDEX(Produtos!$C$2:$C$71,MATCH(C3458,Produtos!$A$2:$A$71,0)),"")</f>
        <v/>
      </c>
      <c r="P3458" s="21">
        <f>IFERROR(INDEX(Produtos!$D$2:$D$71,MATCH(C3458,Produtos!$A$2:$A$71,0)),0)</f>
        <v/>
      </c>
      <c r="Q3458" s="21">
        <f>IFERROR(INDEX(Produtos!$E$2:$E$71,MATCH(C3458,Produtos!$A$2:$A$71,0)),0)</f>
        <v/>
      </c>
      <c r="R3458" s="23">
        <f>D3458*Q3458</f>
        <v/>
      </c>
      <c r="S3458" s="23">
        <f>R3458*E3458</f>
        <v/>
      </c>
      <c r="T3458" s="23">
        <f>(R3458-S3458)*M3458</f>
        <v/>
      </c>
      <c r="U3458" s="23">
        <f>R3458-S3458-T3458</f>
        <v/>
      </c>
      <c r="V3458" s="23">
        <f>D3458*P3458</f>
        <v/>
      </c>
      <c r="W3458" s="23">
        <f>U3458-V3458</f>
        <v/>
      </c>
      <c r="X3458" s="24">
        <f>IFERROR(W3458/U3458,0)</f>
        <v/>
      </c>
    </row>
    <row r="3459">
      <c r="A3459" s="25">
        <f>ItensPedido!A3459</f>
        <v/>
      </c>
      <c r="B3459" s="25">
        <f>ItensPedido!B3459</f>
        <v/>
      </c>
      <c r="C3459" s="25">
        <f>ItensPedido!C3459</f>
        <v/>
      </c>
      <c r="D3459" s="25">
        <f>ItensPedido!D3459</f>
        <v/>
      </c>
      <c r="E3459" s="26">
        <f>ItensPedido!E3459</f>
        <v/>
      </c>
      <c r="F3459" s="25">
        <f>IFERROR(INDEX(Pedidos!$B$2:$B$1801,MATCH(B3459,Pedidos!$A$2:$A$1801,0)),0)</f>
        <v/>
      </c>
      <c r="G3459" s="25">
        <f>IF(F3459=0,"",YEAR(F3459))</f>
        <v/>
      </c>
      <c r="H3459" s="25">
        <f>IF(F3459=0,"",MONTH(F3459))</f>
        <v/>
      </c>
      <c r="I3459" s="25">
        <f>IFERROR(INDEX(Pedidos!$E$2:$E$1801,MATCH(B3459,Pedidos!$A$2:$A$1801,0)),"")</f>
        <v/>
      </c>
      <c r="J3459" s="25">
        <f>IFERROR(INDEX(Pedidos!$C$2:$C$1801,MATCH(B3459,Pedidos!$A$2:$A$1801,0)),"")</f>
        <v/>
      </c>
      <c r="K3459" s="25">
        <f>IFERROR(INDEX(Pedidos!$D$2:$D$1801,MATCH(B3459,Pedidos!$A$2:$A$1801,0)),"")</f>
        <v/>
      </c>
      <c r="L3459" s="25">
        <f>IFERROR(INDEX(Pedidos!$F$2:$F$1801,MATCH(B3459,Pedidos!$A$2:$A$1801,0)),"")</f>
        <v/>
      </c>
      <c r="M3459" s="26">
        <f>IFERROR(INDEX(Pedidos!$G$2:$G$1801,MATCH(B3459,Pedidos!$A$2:$A$1801,0)),0)</f>
        <v/>
      </c>
      <c r="N3459" s="25">
        <f>IFERROR(INDEX(Produtos!$B$2:$B$71,MATCH(C3459,Produtos!$A$2:$A$71,0)),"")</f>
        <v/>
      </c>
      <c r="O3459" s="25">
        <f>IFERROR(INDEX(Produtos!$C$2:$C$71,MATCH(C3459,Produtos!$A$2:$A$71,0)),"")</f>
        <v/>
      </c>
      <c r="P3459" s="25">
        <f>IFERROR(INDEX(Produtos!$D$2:$D$71,MATCH(C3459,Produtos!$A$2:$A$71,0)),0)</f>
        <v/>
      </c>
      <c r="Q3459" s="25">
        <f>IFERROR(INDEX(Produtos!$E$2:$E$71,MATCH(C3459,Produtos!$A$2:$A$71,0)),0)</f>
        <v/>
      </c>
      <c r="R3459" s="27">
        <f>D3459*Q3459</f>
        <v/>
      </c>
      <c r="S3459" s="27">
        <f>R3459*E3459</f>
        <v/>
      </c>
      <c r="T3459" s="27">
        <f>(R3459-S3459)*M3459</f>
        <v/>
      </c>
      <c r="U3459" s="27">
        <f>R3459-S3459-T3459</f>
        <v/>
      </c>
      <c r="V3459" s="27">
        <f>D3459*P3459</f>
        <v/>
      </c>
      <c r="W3459" s="27">
        <f>U3459-V3459</f>
        <v/>
      </c>
      <c r="X3459" s="28">
        <f>IFERROR(W3459/U3459,0)</f>
        <v/>
      </c>
    </row>
    <row r="3460">
      <c r="A3460" s="21">
        <f>ItensPedido!A3460</f>
        <v/>
      </c>
      <c r="B3460" s="21">
        <f>ItensPedido!B3460</f>
        <v/>
      </c>
      <c r="C3460" s="21">
        <f>ItensPedido!C3460</f>
        <v/>
      </c>
      <c r="D3460" s="21">
        <f>ItensPedido!D3460</f>
        <v/>
      </c>
      <c r="E3460" s="22">
        <f>ItensPedido!E3460</f>
        <v/>
      </c>
      <c r="F3460" s="21">
        <f>IFERROR(INDEX(Pedidos!$B$2:$B$1801,MATCH(B3460,Pedidos!$A$2:$A$1801,0)),0)</f>
        <v/>
      </c>
      <c r="G3460" s="21">
        <f>IF(F3460=0,"",YEAR(F3460))</f>
        <v/>
      </c>
      <c r="H3460" s="21">
        <f>IF(F3460=0,"",MONTH(F3460))</f>
        <v/>
      </c>
      <c r="I3460" s="21">
        <f>IFERROR(INDEX(Pedidos!$E$2:$E$1801,MATCH(B3460,Pedidos!$A$2:$A$1801,0)),"")</f>
        <v/>
      </c>
      <c r="J3460" s="21">
        <f>IFERROR(INDEX(Pedidos!$C$2:$C$1801,MATCH(B3460,Pedidos!$A$2:$A$1801,0)),"")</f>
        <v/>
      </c>
      <c r="K3460" s="21">
        <f>IFERROR(INDEX(Pedidos!$D$2:$D$1801,MATCH(B3460,Pedidos!$A$2:$A$1801,0)),"")</f>
        <v/>
      </c>
      <c r="L3460" s="21">
        <f>IFERROR(INDEX(Pedidos!$F$2:$F$1801,MATCH(B3460,Pedidos!$A$2:$A$1801,0)),"")</f>
        <v/>
      </c>
      <c r="M3460" s="22">
        <f>IFERROR(INDEX(Pedidos!$G$2:$G$1801,MATCH(B3460,Pedidos!$A$2:$A$1801,0)),0)</f>
        <v/>
      </c>
      <c r="N3460" s="21">
        <f>IFERROR(INDEX(Produtos!$B$2:$B$71,MATCH(C3460,Produtos!$A$2:$A$71,0)),"")</f>
        <v/>
      </c>
      <c r="O3460" s="21">
        <f>IFERROR(INDEX(Produtos!$C$2:$C$71,MATCH(C3460,Produtos!$A$2:$A$71,0)),"")</f>
        <v/>
      </c>
      <c r="P3460" s="21">
        <f>IFERROR(INDEX(Produtos!$D$2:$D$71,MATCH(C3460,Produtos!$A$2:$A$71,0)),0)</f>
        <v/>
      </c>
      <c r="Q3460" s="21">
        <f>IFERROR(INDEX(Produtos!$E$2:$E$71,MATCH(C3460,Produtos!$A$2:$A$71,0)),0)</f>
        <v/>
      </c>
      <c r="R3460" s="23">
        <f>D3460*Q3460</f>
        <v/>
      </c>
      <c r="S3460" s="23">
        <f>R3460*E3460</f>
        <v/>
      </c>
      <c r="T3460" s="23">
        <f>(R3460-S3460)*M3460</f>
        <v/>
      </c>
      <c r="U3460" s="23">
        <f>R3460-S3460-T3460</f>
        <v/>
      </c>
      <c r="V3460" s="23">
        <f>D3460*P3460</f>
        <v/>
      </c>
      <c r="W3460" s="23">
        <f>U3460-V3460</f>
        <v/>
      </c>
      <c r="X3460" s="24">
        <f>IFERROR(W3460/U3460,0)</f>
        <v/>
      </c>
    </row>
    <row r="3461">
      <c r="A3461" s="25">
        <f>ItensPedido!A3461</f>
        <v/>
      </c>
      <c r="B3461" s="25">
        <f>ItensPedido!B3461</f>
        <v/>
      </c>
      <c r="C3461" s="25">
        <f>ItensPedido!C3461</f>
        <v/>
      </c>
      <c r="D3461" s="25">
        <f>ItensPedido!D3461</f>
        <v/>
      </c>
      <c r="E3461" s="26">
        <f>ItensPedido!E3461</f>
        <v/>
      </c>
      <c r="F3461" s="25">
        <f>IFERROR(INDEX(Pedidos!$B$2:$B$1801,MATCH(B3461,Pedidos!$A$2:$A$1801,0)),0)</f>
        <v/>
      </c>
      <c r="G3461" s="25">
        <f>IF(F3461=0,"",YEAR(F3461))</f>
        <v/>
      </c>
      <c r="H3461" s="25">
        <f>IF(F3461=0,"",MONTH(F3461))</f>
        <v/>
      </c>
      <c r="I3461" s="25">
        <f>IFERROR(INDEX(Pedidos!$E$2:$E$1801,MATCH(B3461,Pedidos!$A$2:$A$1801,0)),"")</f>
        <v/>
      </c>
      <c r="J3461" s="25">
        <f>IFERROR(INDEX(Pedidos!$C$2:$C$1801,MATCH(B3461,Pedidos!$A$2:$A$1801,0)),"")</f>
        <v/>
      </c>
      <c r="K3461" s="25">
        <f>IFERROR(INDEX(Pedidos!$D$2:$D$1801,MATCH(B3461,Pedidos!$A$2:$A$1801,0)),"")</f>
        <v/>
      </c>
      <c r="L3461" s="25">
        <f>IFERROR(INDEX(Pedidos!$F$2:$F$1801,MATCH(B3461,Pedidos!$A$2:$A$1801,0)),"")</f>
        <v/>
      </c>
      <c r="M3461" s="26">
        <f>IFERROR(INDEX(Pedidos!$G$2:$G$1801,MATCH(B3461,Pedidos!$A$2:$A$1801,0)),0)</f>
        <v/>
      </c>
      <c r="N3461" s="25">
        <f>IFERROR(INDEX(Produtos!$B$2:$B$71,MATCH(C3461,Produtos!$A$2:$A$71,0)),"")</f>
        <v/>
      </c>
      <c r="O3461" s="25">
        <f>IFERROR(INDEX(Produtos!$C$2:$C$71,MATCH(C3461,Produtos!$A$2:$A$71,0)),"")</f>
        <v/>
      </c>
      <c r="P3461" s="25">
        <f>IFERROR(INDEX(Produtos!$D$2:$D$71,MATCH(C3461,Produtos!$A$2:$A$71,0)),0)</f>
        <v/>
      </c>
      <c r="Q3461" s="25">
        <f>IFERROR(INDEX(Produtos!$E$2:$E$71,MATCH(C3461,Produtos!$A$2:$A$71,0)),0)</f>
        <v/>
      </c>
      <c r="R3461" s="27">
        <f>D3461*Q3461</f>
        <v/>
      </c>
      <c r="S3461" s="27">
        <f>R3461*E3461</f>
        <v/>
      </c>
      <c r="T3461" s="27">
        <f>(R3461-S3461)*M3461</f>
        <v/>
      </c>
      <c r="U3461" s="27">
        <f>R3461-S3461-T3461</f>
        <v/>
      </c>
      <c r="V3461" s="27">
        <f>D3461*P3461</f>
        <v/>
      </c>
      <c r="W3461" s="27">
        <f>U3461-V3461</f>
        <v/>
      </c>
      <c r="X3461" s="28">
        <f>IFERROR(W3461/U3461,0)</f>
        <v/>
      </c>
    </row>
    <row r="3462">
      <c r="A3462" s="21">
        <f>ItensPedido!A3462</f>
        <v/>
      </c>
      <c r="B3462" s="21">
        <f>ItensPedido!B3462</f>
        <v/>
      </c>
      <c r="C3462" s="21">
        <f>ItensPedido!C3462</f>
        <v/>
      </c>
      <c r="D3462" s="21">
        <f>ItensPedido!D3462</f>
        <v/>
      </c>
      <c r="E3462" s="22">
        <f>ItensPedido!E3462</f>
        <v/>
      </c>
      <c r="F3462" s="21">
        <f>IFERROR(INDEX(Pedidos!$B$2:$B$1801,MATCH(B3462,Pedidos!$A$2:$A$1801,0)),0)</f>
        <v/>
      </c>
      <c r="G3462" s="21">
        <f>IF(F3462=0,"",YEAR(F3462))</f>
        <v/>
      </c>
      <c r="H3462" s="21">
        <f>IF(F3462=0,"",MONTH(F3462))</f>
        <v/>
      </c>
      <c r="I3462" s="21">
        <f>IFERROR(INDEX(Pedidos!$E$2:$E$1801,MATCH(B3462,Pedidos!$A$2:$A$1801,0)),"")</f>
        <v/>
      </c>
      <c r="J3462" s="21">
        <f>IFERROR(INDEX(Pedidos!$C$2:$C$1801,MATCH(B3462,Pedidos!$A$2:$A$1801,0)),"")</f>
        <v/>
      </c>
      <c r="K3462" s="21">
        <f>IFERROR(INDEX(Pedidos!$D$2:$D$1801,MATCH(B3462,Pedidos!$A$2:$A$1801,0)),"")</f>
        <v/>
      </c>
      <c r="L3462" s="21">
        <f>IFERROR(INDEX(Pedidos!$F$2:$F$1801,MATCH(B3462,Pedidos!$A$2:$A$1801,0)),"")</f>
        <v/>
      </c>
      <c r="M3462" s="22">
        <f>IFERROR(INDEX(Pedidos!$G$2:$G$1801,MATCH(B3462,Pedidos!$A$2:$A$1801,0)),0)</f>
        <v/>
      </c>
      <c r="N3462" s="21">
        <f>IFERROR(INDEX(Produtos!$B$2:$B$71,MATCH(C3462,Produtos!$A$2:$A$71,0)),"")</f>
        <v/>
      </c>
      <c r="O3462" s="21">
        <f>IFERROR(INDEX(Produtos!$C$2:$C$71,MATCH(C3462,Produtos!$A$2:$A$71,0)),"")</f>
        <v/>
      </c>
      <c r="P3462" s="21">
        <f>IFERROR(INDEX(Produtos!$D$2:$D$71,MATCH(C3462,Produtos!$A$2:$A$71,0)),0)</f>
        <v/>
      </c>
      <c r="Q3462" s="21">
        <f>IFERROR(INDEX(Produtos!$E$2:$E$71,MATCH(C3462,Produtos!$A$2:$A$71,0)),0)</f>
        <v/>
      </c>
      <c r="R3462" s="23">
        <f>D3462*Q3462</f>
        <v/>
      </c>
      <c r="S3462" s="23">
        <f>R3462*E3462</f>
        <v/>
      </c>
      <c r="T3462" s="23">
        <f>(R3462-S3462)*M3462</f>
        <v/>
      </c>
      <c r="U3462" s="23">
        <f>R3462-S3462-T3462</f>
        <v/>
      </c>
      <c r="V3462" s="23">
        <f>D3462*P3462</f>
        <v/>
      </c>
      <c r="W3462" s="23">
        <f>U3462-V3462</f>
        <v/>
      </c>
      <c r="X3462" s="24">
        <f>IFERROR(W3462/U3462,0)</f>
        <v/>
      </c>
    </row>
    <row r="3463">
      <c r="A3463" s="25">
        <f>ItensPedido!A3463</f>
        <v/>
      </c>
      <c r="B3463" s="25">
        <f>ItensPedido!B3463</f>
        <v/>
      </c>
      <c r="C3463" s="25">
        <f>ItensPedido!C3463</f>
        <v/>
      </c>
      <c r="D3463" s="25">
        <f>ItensPedido!D3463</f>
        <v/>
      </c>
      <c r="E3463" s="26">
        <f>ItensPedido!E3463</f>
        <v/>
      </c>
      <c r="F3463" s="25">
        <f>IFERROR(INDEX(Pedidos!$B$2:$B$1801,MATCH(B3463,Pedidos!$A$2:$A$1801,0)),0)</f>
        <v/>
      </c>
      <c r="G3463" s="25">
        <f>IF(F3463=0,"",YEAR(F3463))</f>
        <v/>
      </c>
      <c r="H3463" s="25">
        <f>IF(F3463=0,"",MONTH(F3463))</f>
        <v/>
      </c>
      <c r="I3463" s="25">
        <f>IFERROR(INDEX(Pedidos!$E$2:$E$1801,MATCH(B3463,Pedidos!$A$2:$A$1801,0)),"")</f>
        <v/>
      </c>
      <c r="J3463" s="25">
        <f>IFERROR(INDEX(Pedidos!$C$2:$C$1801,MATCH(B3463,Pedidos!$A$2:$A$1801,0)),"")</f>
        <v/>
      </c>
      <c r="K3463" s="25">
        <f>IFERROR(INDEX(Pedidos!$D$2:$D$1801,MATCH(B3463,Pedidos!$A$2:$A$1801,0)),"")</f>
        <v/>
      </c>
      <c r="L3463" s="25">
        <f>IFERROR(INDEX(Pedidos!$F$2:$F$1801,MATCH(B3463,Pedidos!$A$2:$A$1801,0)),"")</f>
        <v/>
      </c>
      <c r="M3463" s="26">
        <f>IFERROR(INDEX(Pedidos!$G$2:$G$1801,MATCH(B3463,Pedidos!$A$2:$A$1801,0)),0)</f>
        <v/>
      </c>
      <c r="N3463" s="25">
        <f>IFERROR(INDEX(Produtos!$B$2:$B$71,MATCH(C3463,Produtos!$A$2:$A$71,0)),"")</f>
        <v/>
      </c>
      <c r="O3463" s="25">
        <f>IFERROR(INDEX(Produtos!$C$2:$C$71,MATCH(C3463,Produtos!$A$2:$A$71,0)),"")</f>
        <v/>
      </c>
      <c r="P3463" s="25">
        <f>IFERROR(INDEX(Produtos!$D$2:$D$71,MATCH(C3463,Produtos!$A$2:$A$71,0)),0)</f>
        <v/>
      </c>
      <c r="Q3463" s="25">
        <f>IFERROR(INDEX(Produtos!$E$2:$E$71,MATCH(C3463,Produtos!$A$2:$A$71,0)),0)</f>
        <v/>
      </c>
      <c r="R3463" s="27">
        <f>D3463*Q3463</f>
        <v/>
      </c>
      <c r="S3463" s="27">
        <f>R3463*E3463</f>
        <v/>
      </c>
      <c r="T3463" s="27">
        <f>(R3463-S3463)*M3463</f>
        <v/>
      </c>
      <c r="U3463" s="27">
        <f>R3463-S3463-T3463</f>
        <v/>
      </c>
      <c r="V3463" s="27">
        <f>D3463*P3463</f>
        <v/>
      </c>
      <c r="W3463" s="27">
        <f>U3463-V3463</f>
        <v/>
      </c>
      <c r="X3463" s="28">
        <f>IFERROR(W3463/U3463,0)</f>
        <v/>
      </c>
    </row>
    <row r="3464">
      <c r="A3464" s="21">
        <f>ItensPedido!A3464</f>
        <v/>
      </c>
      <c r="B3464" s="21">
        <f>ItensPedido!B3464</f>
        <v/>
      </c>
      <c r="C3464" s="21">
        <f>ItensPedido!C3464</f>
        <v/>
      </c>
      <c r="D3464" s="21">
        <f>ItensPedido!D3464</f>
        <v/>
      </c>
      <c r="E3464" s="22">
        <f>ItensPedido!E3464</f>
        <v/>
      </c>
      <c r="F3464" s="21">
        <f>IFERROR(INDEX(Pedidos!$B$2:$B$1801,MATCH(B3464,Pedidos!$A$2:$A$1801,0)),0)</f>
        <v/>
      </c>
      <c r="G3464" s="21">
        <f>IF(F3464=0,"",YEAR(F3464))</f>
        <v/>
      </c>
      <c r="H3464" s="21">
        <f>IF(F3464=0,"",MONTH(F3464))</f>
        <v/>
      </c>
      <c r="I3464" s="21">
        <f>IFERROR(INDEX(Pedidos!$E$2:$E$1801,MATCH(B3464,Pedidos!$A$2:$A$1801,0)),"")</f>
        <v/>
      </c>
      <c r="J3464" s="21">
        <f>IFERROR(INDEX(Pedidos!$C$2:$C$1801,MATCH(B3464,Pedidos!$A$2:$A$1801,0)),"")</f>
        <v/>
      </c>
      <c r="K3464" s="21">
        <f>IFERROR(INDEX(Pedidos!$D$2:$D$1801,MATCH(B3464,Pedidos!$A$2:$A$1801,0)),"")</f>
        <v/>
      </c>
      <c r="L3464" s="21">
        <f>IFERROR(INDEX(Pedidos!$F$2:$F$1801,MATCH(B3464,Pedidos!$A$2:$A$1801,0)),"")</f>
        <v/>
      </c>
      <c r="M3464" s="22">
        <f>IFERROR(INDEX(Pedidos!$G$2:$G$1801,MATCH(B3464,Pedidos!$A$2:$A$1801,0)),0)</f>
        <v/>
      </c>
      <c r="N3464" s="21">
        <f>IFERROR(INDEX(Produtos!$B$2:$B$71,MATCH(C3464,Produtos!$A$2:$A$71,0)),"")</f>
        <v/>
      </c>
      <c r="O3464" s="21">
        <f>IFERROR(INDEX(Produtos!$C$2:$C$71,MATCH(C3464,Produtos!$A$2:$A$71,0)),"")</f>
        <v/>
      </c>
      <c r="P3464" s="21">
        <f>IFERROR(INDEX(Produtos!$D$2:$D$71,MATCH(C3464,Produtos!$A$2:$A$71,0)),0)</f>
        <v/>
      </c>
      <c r="Q3464" s="21">
        <f>IFERROR(INDEX(Produtos!$E$2:$E$71,MATCH(C3464,Produtos!$A$2:$A$71,0)),0)</f>
        <v/>
      </c>
      <c r="R3464" s="23">
        <f>D3464*Q3464</f>
        <v/>
      </c>
      <c r="S3464" s="23">
        <f>R3464*E3464</f>
        <v/>
      </c>
      <c r="T3464" s="23">
        <f>(R3464-S3464)*M3464</f>
        <v/>
      </c>
      <c r="U3464" s="23">
        <f>R3464-S3464-T3464</f>
        <v/>
      </c>
      <c r="V3464" s="23">
        <f>D3464*P3464</f>
        <v/>
      </c>
      <c r="W3464" s="23">
        <f>U3464-V3464</f>
        <v/>
      </c>
      <c r="X3464" s="24">
        <f>IFERROR(W3464/U3464,0)</f>
        <v/>
      </c>
    </row>
    <row r="3465">
      <c r="A3465" s="25">
        <f>ItensPedido!A3465</f>
        <v/>
      </c>
      <c r="B3465" s="25">
        <f>ItensPedido!B3465</f>
        <v/>
      </c>
      <c r="C3465" s="25">
        <f>ItensPedido!C3465</f>
        <v/>
      </c>
      <c r="D3465" s="25">
        <f>ItensPedido!D3465</f>
        <v/>
      </c>
      <c r="E3465" s="26">
        <f>ItensPedido!E3465</f>
        <v/>
      </c>
      <c r="F3465" s="25">
        <f>IFERROR(INDEX(Pedidos!$B$2:$B$1801,MATCH(B3465,Pedidos!$A$2:$A$1801,0)),0)</f>
        <v/>
      </c>
      <c r="G3465" s="25">
        <f>IF(F3465=0,"",YEAR(F3465))</f>
        <v/>
      </c>
      <c r="H3465" s="25">
        <f>IF(F3465=0,"",MONTH(F3465))</f>
        <v/>
      </c>
      <c r="I3465" s="25">
        <f>IFERROR(INDEX(Pedidos!$E$2:$E$1801,MATCH(B3465,Pedidos!$A$2:$A$1801,0)),"")</f>
        <v/>
      </c>
      <c r="J3465" s="25">
        <f>IFERROR(INDEX(Pedidos!$C$2:$C$1801,MATCH(B3465,Pedidos!$A$2:$A$1801,0)),"")</f>
        <v/>
      </c>
      <c r="K3465" s="25">
        <f>IFERROR(INDEX(Pedidos!$D$2:$D$1801,MATCH(B3465,Pedidos!$A$2:$A$1801,0)),"")</f>
        <v/>
      </c>
      <c r="L3465" s="25">
        <f>IFERROR(INDEX(Pedidos!$F$2:$F$1801,MATCH(B3465,Pedidos!$A$2:$A$1801,0)),"")</f>
        <v/>
      </c>
      <c r="M3465" s="26">
        <f>IFERROR(INDEX(Pedidos!$G$2:$G$1801,MATCH(B3465,Pedidos!$A$2:$A$1801,0)),0)</f>
        <v/>
      </c>
      <c r="N3465" s="25">
        <f>IFERROR(INDEX(Produtos!$B$2:$B$71,MATCH(C3465,Produtos!$A$2:$A$71,0)),"")</f>
        <v/>
      </c>
      <c r="O3465" s="25">
        <f>IFERROR(INDEX(Produtos!$C$2:$C$71,MATCH(C3465,Produtos!$A$2:$A$71,0)),"")</f>
        <v/>
      </c>
      <c r="P3465" s="25">
        <f>IFERROR(INDEX(Produtos!$D$2:$D$71,MATCH(C3465,Produtos!$A$2:$A$71,0)),0)</f>
        <v/>
      </c>
      <c r="Q3465" s="25">
        <f>IFERROR(INDEX(Produtos!$E$2:$E$71,MATCH(C3465,Produtos!$A$2:$A$71,0)),0)</f>
        <v/>
      </c>
      <c r="R3465" s="27">
        <f>D3465*Q3465</f>
        <v/>
      </c>
      <c r="S3465" s="27">
        <f>R3465*E3465</f>
        <v/>
      </c>
      <c r="T3465" s="27">
        <f>(R3465-S3465)*M3465</f>
        <v/>
      </c>
      <c r="U3465" s="27">
        <f>R3465-S3465-T3465</f>
        <v/>
      </c>
      <c r="V3465" s="27">
        <f>D3465*P3465</f>
        <v/>
      </c>
      <c r="W3465" s="27">
        <f>U3465-V3465</f>
        <v/>
      </c>
      <c r="X3465" s="28">
        <f>IFERROR(W3465/U3465,0)</f>
        <v/>
      </c>
    </row>
    <row r="3466">
      <c r="A3466" s="21">
        <f>ItensPedido!A3466</f>
        <v/>
      </c>
      <c r="B3466" s="21">
        <f>ItensPedido!B3466</f>
        <v/>
      </c>
      <c r="C3466" s="21">
        <f>ItensPedido!C3466</f>
        <v/>
      </c>
      <c r="D3466" s="21">
        <f>ItensPedido!D3466</f>
        <v/>
      </c>
      <c r="E3466" s="22">
        <f>ItensPedido!E3466</f>
        <v/>
      </c>
      <c r="F3466" s="21">
        <f>IFERROR(INDEX(Pedidos!$B$2:$B$1801,MATCH(B3466,Pedidos!$A$2:$A$1801,0)),0)</f>
        <v/>
      </c>
      <c r="G3466" s="21">
        <f>IF(F3466=0,"",YEAR(F3466))</f>
        <v/>
      </c>
      <c r="H3466" s="21">
        <f>IF(F3466=0,"",MONTH(F3466))</f>
        <v/>
      </c>
      <c r="I3466" s="21">
        <f>IFERROR(INDEX(Pedidos!$E$2:$E$1801,MATCH(B3466,Pedidos!$A$2:$A$1801,0)),"")</f>
        <v/>
      </c>
      <c r="J3466" s="21">
        <f>IFERROR(INDEX(Pedidos!$C$2:$C$1801,MATCH(B3466,Pedidos!$A$2:$A$1801,0)),"")</f>
        <v/>
      </c>
      <c r="K3466" s="21">
        <f>IFERROR(INDEX(Pedidos!$D$2:$D$1801,MATCH(B3466,Pedidos!$A$2:$A$1801,0)),"")</f>
        <v/>
      </c>
      <c r="L3466" s="21">
        <f>IFERROR(INDEX(Pedidos!$F$2:$F$1801,MATCH(B3466,Pedidos!$A$2:$A$1801,0)),"")</f>
        <v/>
      </c>
      <c r="M3466" s="22">
        <f>IFERROR(INDEX(Pedidos!$G$2:$G$1801,MATCH(B3466,Pedidos!$A$2:$A$1801,0)),0)</f>
        <v/>
      </c>
      <c r="N3466" s="21">
        <f>IFERROR(INDEX(Produtos!$B$2:$B$71,MATCH(C3466,Produtos!$A$2:$A$71,0)),"")</f>
        <v/>
      </c>
      <c r="O3466" s="21">
        <f>IFERROR(INDEX(Produtos!$C$2:$C$71,MATCH(C3466,Produtos!$A$2:$A$71,0)),"")</f>
        <v/>
      </c>
      <c r="P3466" s="21">
        <f>IFERROR(INDEX(Produtos!$D$2:$D$71,MATCH(C3466,Produtos!$A$2:$A$71,0)),0)</f>
        <v/>
      </c>
      <c r="Q3466" s="21">
        <f>IFERROR(INDEX(Produtos!$E$2:$E$71,MATCH(C3466,Produtos!$A$2:$A$71,0)),0)</f>
        <v/>
      </c>
      <c r="R3466" s="23">
        <f>D3466*Q3466</f>
        <v/>
      </c>
      <c r="S3466" s="23">
        <f>R3466*E3466</f>
        <v/>
      </c>
      <c r="T3466" s="23">
        <f>(R3466-S3466)*M3466</f>
        <v/>
      </c>
      <c r="U3466" s="23">
        <f>R3466-S3466-T3466</f>
        <v/>
      </c>
      <c r="V3466" s="23">
        <f>D3466*P3466</f>
        <v/>
      </c>
      <c r="W3466" s="23">
        <f>U3466-V3466</f>
        <v/>
      </c>
      <c r="X3466" s="24">
        <f>IFERROR(W3466/U3466,0)</f>
        <v/>
      </c>
    </row>
    <row r="3467">
      <c r="A3467" s="25">
        <f>ItensPedido!A3467</f>
        <v/>
      </c>
      <c r="B3467" s="25">
        <f>ItensPedido!B3467</f>
        <v/>
      </c>
      <c r="C3467" s="25">
        <f>ItensPedido!C3467</f>
        <v/>
      </c>
      <c r="D3467" s="25">
        <f>ItensPedido!D3467</f>
        <v/>
      </c>
      <c r="E3467" s="26">
        <f>ItensPedido!E3467</f>
        <v/>
      </c>
      <c r="F3467" s="25">
        <f>IFERROR(INDEX(Pedidos!$B$2:$B$1801,MATCH(B3467,Pedidos!$A$2:$A$1801,0)),0)</f>
        <v/>
      </c>
      <c r="G3467" s="25">
        <f>IF(F3467=0,"",YEAR(F3467))</f>
        <v/>
      </c>
      <c r="H3467" s="25">
        <f>IF(F3467=0,"",MONTH(F3467))</f>
        <v/>
      </c>
      <c r="I3467" s="25">
        <f>IFERROR(INDEX(Pedidos!$E$2:$E$1801,MATCH(B3467,Pedidos!$A$2:$A$1801,0)),"")</f>
        <v/>
      </c>
      <c r="J3467" s="25">
        <f>IFERROR(INDEX(Pedidos!$C$2:$C$1801,MATCH(B3467,Pedidos!$A$2:$A$1801,0)),"")</f>
        <v/>
      </c>
      <c r="K3467" s="25">
        <f>IFERROR(INDEX(Pedidos!$D$2:$D$1801,MATCH(B3467,Pedidos!$A$2:$A$1801,0)),"")</f>
        <v/>
      </c>
      <c r="L3467" s="25">
        <f>IFERROR(INDEX(Pedidos!$F$2:$F$1801,MATCH(B3467,Pedidos!$A$2:$A$1801,0)),"")</f>
        <v/>
      </c>
      <c r="M3467" s="26">
        <f>IFERROR(INDEX(Pedidos!$G$2:$G$1801,MATCH(B3467,Pedidos!$A$2:$A$1801,0)),0)</f>
        <v/>
      </c>
      <c r="N3467" s="25">
        <f>IFERROR(INDEX(Produtos!$B$2:$B$71,MATCH(C3467,Produtos!$A$2:$A$71,0)),"")</f>
        <v/>
      </c>
      <c r="O3467" s="25">
        <f>IFERROR(INDEX(Produtos!$C$2:$C$71,MATCH(C3467,Produtos!$A$2:$A$71,0)),"")</f>
        <v/>
      </c>
      <c r="P3467" s="25">
        <f>IFERROR(INDEX(Produtos!$D$2:$D$71,MATCH(C3467,Produtos!$A$2:$A$71,0)),0)</f>
        <v/>
      </c>
      <c r="Q3467" s="25">
        <f>IFERROR(INDEX(Produtos!$E$2:$E$71,MATCH(C3467,Produtos!$A$2:$A$71,0)),0)</f>
        <v/>
      </c>
      <c r="R3467" s="27">
        <f>D3467*Q3467</f>
        <v/>
      </c>
      <c r="S3467" s="27">
        <f>R3467*E3467</f>
        <v/>
      </c>
      <c r="T3467" s="27">
        <f>(R3467-S3467)*M3467</f>
        <v/>
      </c>
      <c r="U3467" s="27">
        <f>R3467-S3467-T3467</f>
        <v/>
      </c>
      <c r="V3467" s="27">
        <f>D3467*P3467</f>
        <v/>
      </c>
      <c r="W3467" s="27">
        <f>U3467-V3467</f>
        <v/>
      </c>
      <c r="X3467" s="28">
        <f>IFERROR(W3467/U3467,0)</f>
        <v/>
      </c>
    </row>
    <row r="3468">
      <c r="A3468" s="21">
        <f>ItensPedido!A3468</f>
        <v/>
      </c>
      <c r="B3468" s="21">
        <f>ItensPedido!B3468</f>
        <v/>
      </c>
      <c r="C3468" s="21">
        <f>ItensPedido!C3468</f>
        <v/>
      </c>
      <c r="D3468" s="21">
        <f>ItensPedido!D3468</f>
        <v/>
      </c>
      <c r="E3468" s="22">
        <f>ItensPedido!E3468</f>
        <v/>
      </c>
      <c r="F3468" s="21">
        <f>IFERROR(INDEX(Pedidos!$B$2:$B$1801,MATCH(B3468,Pedidos!$A$2:$A$1801,0)),0)</f>
        <v/>
      </c>
      <c r="G3468" s="21">
        <f>IF(F3468=0,"",YEAR(F3468))</f>
        <v/>
      </c>
      <c r="H3468" s="21">
        <f>IF(F3468=0,"",MONTH(F3468))</f>
        <v/>
      </c>
      <c r="I3468" s="21">
        <f>IFERROR(INDEX(Pedidos!$E$2:$E$1801,MATCH(B3468,Pedidos!$A$2:$A$1801,0)),"")</f>
        <v/>
      </c>
      <c r="J3468" s="21">
        <f>IFERROR(INDEX(Pedidos!$C$2:$C$1801,MATCH(B3468,Pedidos!$A$2:$A$1801,0)),"")</f>
        <v/>
      </c>
      <c r="K3468" s="21">
        <f>IFERROR(INDEX(Pedidos!$D$2:$D$1801,MATCH(B3468,Pedidos!$A$2:$A$1801,0)),"")</f>
        <v/>
      </c>
      <c r="L3468" s="21">
        <f>IFERROR(INDEX(Pedidos!$F$2:$F$1801,MATCH(B3468,Pedidos!$A$2:$A$1801,0)),"")</f>
        <v/>
      </c>
      <c r="M3468" s="22">
        <f>IFERROR(INDEX(Pedidos!$G$2:$G$1801,MATCH(B3468,Pedidos!$A$2:$A$1801,0)),0)</f>
        <v/>
      </c>
      <c r="N3468" s="21">
        <f>IFERROR(INDEX(Produtos!$B$2:$B$71,MATCH(C3468,Produtos!$A$2:$A$71,0)),"")</f>
        <v/>
      </c>
      <c r="O3468" s="21">
        <f>IFERROR(INDEX(Produtos!$C$2:$C$71,MATCH(C3468,Produtos!$A$2:$A$71,0)),"")</f>
        <v/>
      </c>
      <c r="P3468" s="21">
        <f>IFERROR(INDEX(Produtos!$D$2:$D$71,MATCH(C3468,Produtos!$A$2:$A$71,0)),0)</f>
        <v/>
      </c>
      <c r="Q3468" s="21">
        <f>IFERROR(INDEX(Produtos!$E$2:$E$71,MATCH(C3468,Produtos!$A$2:$A$71,0)),0)</f>
        <v/>
      </c>
      <c r="R3468" s="23">
        <f>D3468*Q3468</f>
        <v/>
      </c>
      <c r="S3468" s="23">
        <f>R3468*E3468</f>
        <v/>
      </c>
      <c r="T3468" s="23">
        <f>(R3468-S3468)*M3468</f>
        <v/>
      </c>
      <c r="U3468" s="23">
        <f>R3468-S3468-T3468</f>
        <v/>
      </c>
      <c r="V3468" s="23">
        <f>D3468*P3468</f>
        <v/>
      </c>
      <c r="W3468" s="23">
        <f>U3468-V3468</f>
        <v/>
      </c>
      <c r="X3468" s="24">
        <f>IFERROR(W3468/U3468,0)</f>
        <v/>
      </c>
    </row>
    <row r="3469">
      <c r="A3469" s="25">
        <f>ItensPedido!A3469</f>
        <v/>
      </c>
      <c r="B3469" s="25">
        <f>ItensPedido!B3469</f>
        <v/>
      </c>
      <c r="C3469" s="25">
        <f>ItensPedido!C3469</f>
        <v/>
      </c>
      <c r="D3469" s="25">
        <f>ItensPedido!D3469</f>
        <v/>
      </c>
      <c r="E3469" s="26">
        <f>ItensPedido!E3469</f>
        <v/>
      </c>
      <c r="F3469" s="25">
        <f>IFERROR(INDEX(Pedidos!$B$2:$B$1801,MATCH(B3469,Pedidos!$A$2:$A$1801,0)),0)</f>
        <v/>
      </c>
      <c r="G3469" s="25">
        <f>IF(F3469=0,"",YEAR(F3469))</f>
        <v/>
      </c>
      <c r="H3469" s="25">
        <f>IF(F3469=0,"",MONTH(F3469))</f>
        <v/>
      </c>
      <c r="I3469" s="25">
        <f>IFERROR(INDEX(Pedidos!$E$2:$E$1801,MATCH(B3469,Pedidos!$A$2:$A$1801,0)),"")</f>
        <v/>
      </c>
      <c r="J3469" s="25">
        <f>IFERROR(INDEX(Pedidos!$C$2:$C$1801,MATCH(B3469,Pedidos!$A$2:$A$1801,0)),"")</f>
        <v/>
      </c>
      <c r="K3469" s="25">
        <f>IFERROR(INDEX(Pedidos!$D$2:$D$1801,MATCH(B3469,Pedidos!$A$2:$A$1801,0)),"")</f>
        <v/>
      </c>
      <c r="L3469" s="25">
        <f>IFERROR(INDEX(Pedidos!$F$2:$F$1801,MATCH(B3469,Pedidos!$A$2:$A$1801,0)),"")</f>
        <v/>
      </c>
      <c r="M3469" s="26">
        <f>IFERROR(INDEX(Pedidos!$G$2:$G$1801,MATCH(B3469,Pedidos!$A$2:$A$1801,0)),0)</f>
        <v/>
      </c>
      <c r="N3469" s="25">
        <f>IFERROR(INDEX(Produtos!$B$2:$B$71,MATCH(C3469,Produtos!$A$2:$A$71,0)),"")</f>
        <v/>
      </c>
      <c r="O3469" s="25">
        <f>IFERROR(INDEX(Produtos!$C$2:$C$71,MATCH(C3469,Produtos!$A$2:$A$71,0)),"")</f>
        <v/>
      </c>
      <c r="P3469" s="25">
        <f>IFERROR(INDEX(Produtos!$D$2:$D$71,MATCH(C3469,Produtos!$A$2:$A$71,0)),0)</f>
        <v/>
      </c>
      <c r="Q3469" s="25">
        <f>IFERROR(INDEX(Produtos!$E$2:$E$71,MATCH(C3469,Produtos!$A$2:$A$71,0)),0)</f>
        <v/>
      </c>
      <c r="R3469" s="27">
        <f>D3469*Q3469</f>
        <v/>
      </c>
      <c r="S3469" s="27">
        <f>R3469*E3469</f>
        <v/>
      </c>
      <c r="T3469" s="27">
        <f>(R3469-S3469)*M3469</f>
        <v/>
      </c>
      <c r="U3469" s="27">
        <f>R3469-S3469-T3469</f>
        <v/>
      </c>
      <c r="V3469" s="27">
        <f>D3469*P3469</f>
        <v/>
      </c>
      <c r="W3469" s="27">
        <f>U3469-V3469</f>
        <v/>
      </c>
      <c r="X3469" s="28">
        <f>IFERROR(W3469/U3469,0)</f>
        <v/>
      </c>
    </row>
    <row r="3470">
      <c r="A3470" s="21">
        <f>ItensPedido!A3470</f>
        <v/>
      </c>
      <c r="B3470" s="21">
        <f>ItensPedido!B3470</f>
        <v/>
      </c>
      <c r="C3470" s="21">
        <f>ItensPedido!C3470</f>
        <v/>
      </c>
      <c r="D3470" s="21">
        <f>ItensPedido!D3470</f>
        <v/>
      </c>
      <c r="E3470" s="22">
        <f>ItensPedido!E3470</f>
        <v/>
      </c>
      <c r="F3470" s="21">
        <f>IFERROR(INDEX(Pedidos!$B$2:$B$1801,MATCH(B3470,Pedidos!$A$2:$A$1801,0)),0)</f>
        <v/>
      </c>
      <c r="G3470" s="21">
        <f>IF(F3470=0,"",YEAR(F3470))</f>
        <v/>
      </c>
      <c r="H3470" s="21">
        <f>IF(F3470=0,"",MONTH(F3470))</f>
        <v/>
      </c>
      <c r="I3470" s="21">
        <f>IFERROR(INDEX(Pedidos!$E$2:$E$1801,MATCH(B3470,Pedidos!$A$2:$A$1801,0)),"")</f>
        <v/>
      </c>
      <c r="J3470" s="21">
        <f>IFERROR(INDEX(Pedidos!$C$2:$C$1801,MATCH(B3470,Pedidos!$A$2:$A$1801,0)),"")</f>
        <v/>
      </c>
      <c r="K3470" s="21">
        <f>IFERROR(INDEX(Pedidos!$D$2:$D$1801,MATCH(B3470,Pedidos!$A$2:$A$1801,0)),"")</f>
        <v/>
      </c>
      <c r="L3470" s="21">
        <f>IFERROR(INDEX(Pedidos!$F$2:$F$1801,MATCH(B3470,Pedidos!$A$2:$A$1801,0)),"")</f>
        <v/>
      </c>
      <c r="M3470" s="22">
        <f>IFERROR(INDEX(Pedidos!$G$2:$G$1801,MATCH(B3470,Pedidos!$A$2:$A$1801,0)),0)</f>
        <v/>
      </c>
      <c r="N3470" s="21">
        <f>IFERROR(INDEX(Produtos!$B$2:$B$71,MATCH(C3470,Produtos!$A$2:$A$71,0)),"")</f>
        <v/>
      </c>
      <c r="O3470" s="21">
        <f>IFERROR(INDEX(Produtos!$C$2:$C$71,MATCH(C3470,Produtos!$A$2:$A$71,0)),"")</f>
        <v/>
      </c>
      <c r="P3470" s="21">
        <f>IFERROR(INDEX(Produtos!$D$2:$D$71,MATCH(C3470,Produtos!$A$2:$A$71,0)),0)</f>
        <v/>
      </c>
      <c r="Q3470" s="21">
        <f>IFERROR(INDEX(Produtos!$E$2:$E$71,MATCH(C3470,Produtos!$A$2:$A$71,0)),0)</f>
        <v/>
      </c>
      <c r="R3470" s="23">
        <f>D3470*Q3470</f>
        <v/>
      </c>
      <c r="S3470" s="23">
        <f>R3470*E3470</f>
        <v/>
      </c>
      <c r="T3470" s="23">
        <f>(R3470-S3470)*M3470</f>
        <v/>
      </c>
      <c r="U3470" s="23">
        <f>R3470-S3470-T3470</f>
        <v/>
      </c>
      <c r="V3470" s="23">
        <f>D3470*P3470</f>
        <v/>
      </c>
      <c r="W3470" s="23">
        <f>U3470-V3470</f>
        <v/>
      </c>
      <c r="X3470" s="24">
        <f>IFERROR(W3470/U3470,0)</f>
        <v/>
      </c>
    </row>
    <row r="3471">
      <c r="A3471" s="25">
        <f>ItensPedido!A3471</f>
        <v/>
      </c>
      <c r="B3471" s="25">
        <f>ItensPedido!B3471</f>
        <v/>
      </c>
      <c r="C3471" s="25">
        <f>ItensPedido!C3471</f>
        <v/>
      </c>
      <c r="D3471" s="25">
        <f>ItensPedido!D3471</f>
        <v/>
      </c>
      <c r="E3471" s="26">
        <f>ItensPedido!E3471</f>
        <v/>
      </c>
      <c r="F3471" s="25">
        <f>IFERROR(INDEX(Pedidos!$B$2:$B$1801,MATCH(B3471,Pedidos!$A$2:$A$1801,0)),0)</f>
        <v/>
      </c>
      <c r="G3471" s="25">
        <f>IF(F3471=0,"",YEAR(F3471))</f>
        <v/>
      </c>
      <c r="H3471" s="25">
        <f>IF(F3471=0,"",MONTH(F3471))</f>
        <v/>
      </c>
      <c r="I3471" s="25">
        <f>IFERROR(INDEX(Pedidos!$E$2:$E$1801,MATCH(B3471,Pedidos!$A$2:$A$1801,0)),"")</f>
        <v/>
      </c>
      <c r="J3471" s="25">
        <f>IFERROR(INDEX(Pedidos!$C$2:$C$1801,MATCH(B3471,Pedidos!$A$2:$A$1801,0)),"")</f>
        <v/>
      </c>
      <c r="K3471" s="25">
        <f>IFERROR(INDEX(Pedidos!$D$2:$D$1801,MATCH(B3471,Pedidos!$A$2:$A$1801,0)),"")</f>
        <v/>
      </c>
      <c r="L3471" s="25">
        <f>IFERROR(INDEX(Pedidos!$F$2:$F$1801,MATCH(B3471,Pedidos!$A$2:$A$1801,0)),"")</f>
        <v/>
      </c>
      <c r="M3471" s="26">
        <f>IFERROR(INDEX(Pedidos!$G$2:$G$1801,MATCH(B3471,Pedidos!$A$2:$A$1801,0)),0)</f>
        <v/>
      </c>
      <c r="N3471" s="25">
        <f>IFERROR(INDEX(Produtos!$B$2:$B$71,MATCH(C3471,Produtos!$A$2:$A$71,0)),"")</f>
        <v/>
      </c>
      <c r="O3471" s="25">
        <f>IFERROR(INDEX(Produtos!$C$2:$C$71,MATCH(C3471,Produtos!$A$2:$A$71,0)),"")</f>
        <v/>
      </c>
      <c r="P3471" s="25">
        <f>IFERROR(INDEX(Produtos!$D$2:$D$71,MATCH(C3471,Produtos!$A$2:$A$71,0)),0)</f>
        <v/>
      </c>
      <c r="Q3471" s="25">
        <f>IFERROR(INDEX(Produtos!$E$2:$E$71,MATCH(C3471,Produtos!$A$2:$A$71,0)),0)</f>
        <v/>
      </c>
      <c r="R3471" s="27">
        <f>D3471*Q3471</f>
        <v/>
      </c>
      <c r="S3471" s="27">
        <f>R3471*E3471</f>
        <v/>
      </c>
      <c r="T3471" s="27">
        <f>(R3471-S3471)*M3471</f>
        <v/>
      </c>
      <c r="U3471" s="27">
        <f>R3471-S3471-T3471</f>
        <v/>
      </c>
      <c r="V3471" s="27">
        <f>D3471*P3471</f>
        <v/>
      </c>
      <c r="W3471" s="27">
        <f>U3471-V3471</f>
        <v/>
      </c>
      <c r="X3471" s="28">
        <f>IFERROR(W3471/U3471,0)</f>
        <v/>
      </c>
    </row>
    <row r="3472">
      <c r="A3472" s="21">
        <f>ItensPedido!A3472</f>
        <v/>
      </c>
      <c r="B3472" s="21">
        <f>ItensPedido!B3472</f>
        <v/>
      </c>
      <c r="C3472" s="21">
        <f>ItensPedido!C3472</f>
        <v/>
      </c>
      <c r="D3472" s="21">
        <f>ItensPedido!D3472</f>
        <v/>
      </c>
      <c r="E3472" s="22">
        <f>ItensPedido!E3472</f>
        <v/>
      </c>
      <c r="F3472" s="21">
        <f>IFERROR(INDEX(Pedidos!$B$2:$B$1801,MATCH(B3472,Pedidos!$A$2:$A$1801,0)),0)</f>
        <v/>
      </c>
      <c r="G3472" s="21">
        <f>IF(F3472=0,"",YEAR(F3472))</f>
        <v/>
      </c>
      <c r="H3472" s="21">
        <f>IF(F3472=0,"",MONTH(F3472))</f>
        <v/>
      </c>
      <c r="I3472" s="21">
        <f>IFERROR(INDEX(Pedidos!$E$2:$E$1801,MATCH(B3472,Pedidos!$A$2:$A$1801,0)),"")</f>
        <v/>
      </c>
      <c r="J3472" s="21">
        <f>IFERROR(INDEX(Pedidos!$C$2:$C$1801,MATCH(B3472,Pedidos!$A$2:$A$1801,0)),"")</f>
        <v/>
      </c>
      <c r="K3472" s="21">
        <f>IFERROR(INDEX(Pedidos!$D$2:$D$1801,MATCH(B3472,Pedidos!$A$2:$A$1801,0)),"")</f>
        <v/>
      </c>
      <c r="L3472" s="21">
        <f>IFERROR(INDEX(Pedidos!$F$2:$F$1801,MATCH(B3472,Pedidos!$A$2:$A$1801,0)),"")</f>
        <v/>
      </c>
      <c r="M3472" s="22">
        <f>IFERROR(INDEX(Pedidos!$G$2:$G$1801,MATCH(B3472,Pedidos!$A$2:$A$1801,0)),0)</f>
        <v/>
      </c>
      <c r="N3472" s="21">
        <f>IFERROR(INDEX(Produtos!$B$2:$B$71,MATCH(C3472,Produtos!$A$2:$A$71,0)),"")</f>
        <v/>
      </c>
      <c r="O3472" s="21">
        <f>IFERROR(INDEX(Produtos!$C$2:$C$71,MATCH(C3472,Produtos!$A$2:$A$71,0)),"")</f>
        <v/>
      </c>
      <c r="P3472" s="21">
        <f>IFERROR(INDEX(Produtos!$D$2:$D$71,MATCH(C3472,Produtos!$A$2:$A$71,0)),0)</f>
        <v/>
      </c>
      <c r="Q3472" s="21">
        <f>IFERROR(INDEX(Produtos!$E$2:$E$71,MATCH(C3472,Produtos!$A$2:$A$71,0)),0)</f>
        <v/>
      </c>
      <c r="R3472" s="23">
        <f>D3472*Q3472</f>
        <v/>
      </c>
      <c r="S3472" s="23">
        <f>R3472*E3472</f>
        <v/>
      </c>
      <c r="T3472" s="23">
        <f>(R3472-S3472)*M3472</f>
        <v/>
      </c>
      <c r="U3472" s="23">
        <f>R3472-S3472-T3472</f>
        <v/>
      </c>
      <c r="V3472" s="23">
        <f>D3472*P3472</f>
        <v/>
      </c>
      <c r="W3472" s="23">
        <f>U3472-V3472</f>
        <v/>
      </c>
      <c r="X3472" s="24">
        <f>IFERROR(W3472/U3472,0)</f>
        <v/>
      </c>
    </row>
    <row r="3473">
      <c r="A3473" s="25">
        <f>ItensPedido!A3473</f>
        <v/>
      </c>
      <c r="B3473" s="25">
        <f>ItensPedido!B3473</f>
        <v/>
      </c>
      <c r="C3473" s="25">
        <f>ItensPedido!C3473</f>
        <v/>
      </c>
      <c r="D3473" s="25">
        <f>ItensPedido!D3473</f>
        <v/>
      </c>
      <c r="E3473" s="26">
        <f>ItensPedido!E3473</f>
        <v/>
      </c>
      <c r="F3473" s="25">
        <f>IFERROR(INDEX(Pedidos!$B$2:$B$1801,MATCH(B3473,Pedidos!$A$2:$A$1801,0)),0)</f>
        <v/>
      </c>
      <c r="G3473" s="25">
        <f>IF(F3473=0,"",YEAR(F3473))</f>
        <v/>
      </c>
      <c r="H3473" s="25">
        <f>IF(F3473=0,"",MONTH(F3473))</f>
        <v/>
      </c>
      <c r="I3473" s="25">
        <f>IFERROR(INDEX(Pedidos!$E$2:$E$1801,MATCH(B3473,Pedidos!$A$2:$A$1801,0)),"")</f>
        <v/>
      </c>
      <c r="J3473" s="25">
        <f>IFERROR(INDEX(Pedidos!$C$2:$C$1801,MATCH(B3473,Pedidos!$A$2:$A$1801,0)),"")</f>
        <v/>
      </c>
      <c r="K3473" s="25">
        <f>IFERROR(INDEX(Pedidos!$D$2:$D$1801,MATCH(B3473,Pedidos!$A$2:$A$1801,0)),"")</f>
        <v/>
      </c>
      <c r="L3473" s="25">
        <f>IFERROR(INDEX(Pedidos!$F$2:$F$1801,MATCH(B3473,Pedidos!$A$2:$A$1801,0)),"")</f>
        <v/>
      </c>
      <c r="M3473" s="26">
        <f>IFERROR(INDEX(Pedidos!$G$2:$G$1801,MATCH(B3473,Pedidos!$A$2:$A$1801,0)),0)</f>
        <v/>
      </c>
      <c r="N3473" s="25">
        <f>IFERROR(INDEX(Produtos!$B$2:$B$71,MATCH(C3473,Produtos!$A$2:$A$71,0)),"")</f>
        <v/>
      </c>
      <c r="O3473" s="25">
        <f>IFERROR(INDEX(Produtos!$C$2:$C$71,MATCH(C3473,Produtos!$A$2:$A$71,0)),"")</f>
        <v/>
      </c>
      <c r="P3473" s="25">
        <f>IFERROR(INDEX(Produtos!$D$2:$D$71,MATCH(C3473,Produtos!$A$2:$A$71,0)),0)</f>
        <v/>
      </c>
      <c r="Q3473" s="25">
        <f>IFERROR(INDEX(Produtos!$E$2:$E$71,MATCH(C3473,Produtos!$A$2:$A$71,0)),0)</f>
        <v/>
      </c>
      <c r="R3473" s="27">
        <f>D3473*Q3473</f>
        <v/>
      </c>
      <c r="S3473" s="27">
        <f>R3473*E3473</f>
        <v/>
      </c>
      <c r="T3473" s="27">
        <f>(R3473-S3473)*M3473</f>
        <v/>
      </c>
      <c r="U3473" s="27">
        <f>R3473-S3473-T3473</f>
        <v/>
      </c>
      <c r="V3473" s="27">
        <f>D3473*P3473</f>
        <v/>
      </c>
      <c r="W3473" s="27">
        <f>U3473-V3473</f>
        <v/>
      </c>
      <c r="X3473" s="28">
        <f>IFERROR(W3473/U3473,0)</f>
        <v/>
      </c>
    </row>
    <row r="3474">
      <c r="A3474" s="21">
        <f>ItensPedido!A3474</f>
        <v/>
      </c>
      <c r="B3474" s="21">
        <f>ItensPedido!B3474</f>
        <v/>
      </c>
      <c r="C3474" s="21">
        <f>ItensPedido!C3474</f>
        <v/>
      </c>
      <c r="D3474" s="21">
        <f>ItensPedido!D3474</f>
        <v/>
      </c>
      <c r="E3474" s="22">
        <f>ItensPedido!E3474</f>
        <v/>
      </c>
      <c r="F3474" s="21">
        <f>IFERROR(INDEX(Pedidos!$B$2:$B$1801,MATCH(B3474,Pedidos!$A$2:$A$1801,0)),0)</f>
        <v/>
      </c>
      <c r="G3474" s="21">
        <f>IF(F3474=0,"",YEAR(F3474))</f>
        <v/>
      </c>
      <c r="H3474" s="21">
        <f>IF(F3474=0,"",MONTH(F3474))</f>
        <v/>
      </c>
      <c r="I3474" s="21">
        <f>IFERROR(INDEX(Pedidos!$E$2:$E$1801,MATCH(B3474,Pedidos!$A$2:$A$1801,0)),"")</f>
        <v/>
      </c>
      <c r="J3474" s="21">
        <f>IFERROR(INDEX(Pedidos!$C$2:$C$1801,MATCH(B3474,Pedidos!$A$2:$A$1801,0)),"")</f>
        <v/>
      </c>
      <c r="K3474" s="21">
        <f>IFERROR(INDEX(Pedidos!$D$2:$D$1801,MATCH(B3474,Pedidos!$A$2:$A$1801,0)),"")</f>
        <v/>
      </c>
      <c r="L3474" s="21">
        <f>IFERROR(INDEX(Pedidos!$F$2:$F$1801,MATCH(B3474,Pedidos!$A$2:$A$1801,0)),"")</f>
        <v/>
      </c>
      <c r="M3474" s="22">
        <f>IFERROR(INDEX(Pedidos!$G$2:$G$1801,MATCH(B3474,Pedidos!$A$2:$A$1801,0)),0)</f>
        <v/>
      </c>
      <c r="N3474" s="21">
        <f>IFERROR(INDEX(Produtos!$B$2:$B$71,MATCH(C3474,Produtos!$A$2:$A$71,0)),"")</f>
        <v/>
      </c>
      <c r="O3474" s="21">
        <f>IFERROR(INDEX(Produtos!$C$2:$C$71,MATCH(C3474,Produtos!$A$2:$A$71,0)),"")</f>
        <v/>
      </c>
      <c r="P3474" s="21">
        <f>IFERROR(INDEX(Produtos!$D$2:$D$71,MATCH(C3474,Produtos!$A$2:$A$71,0)),0)</f>
        <v/>
      </c>
      <c r="Q3474" s="21">
        <f>IFERROR(INDEX(Produtos!$E$2:$E$71,MATCH(C3474,Produtos!$A$2:$A$71,0)),0)</f>
        <v/>
      </c>
      <c r="R3474" s="23">
        <f>D3474*Q3474</f>
        <v/>
      </c>
      <c r="S3474" s="23">
        <f>R3474*E3474</f>
        <v/>
      </c>
      <c r="T3474" s="23">
        <f>(R3474-S3474)*M3474</f>
        <v/>
      </c>
      <c r="U3474" s="23">
        <f>R3474-S3474-T3474</f>
        <v/>
      </c>
      <c r="V3474" s="23">
        <f>D3474*P3474</f>
        <v/>
      </c>
      <c r="W3474" s="23">
        <f>U3474-V3474</f>
        <v/>
      </c>
      <c r="X3474" s="24">
        <f>IFERROR(W3474/U3474,0)</f>
        <v/>
      </c>
    </row>
    <row r="3475">
      <c r="A3475" s="25">
        <f>ItensPedido!A3475</f>
        <v/>
      </c>
      <c r="B3475" s="25">
        <f>ItensPedido!B3475</f>
        <v/>
      </c>
      <c r="C3475" s="25">
        <f>ItensPedido!C3475</f>
        <v/>
      </c>
      <c r="D3475" s="25">
        <f>ItensPedido!D3475</f>
        <v/>
      </c>
      <c r="E3475" s="26">
        <f>ItensPedido!E3475</f>
        <v/>
      </c>
      <c r="F3475" s="25">
        <f>IFERROR(INDEX(Pedidos!$B$2:$B$1801,MATCH(B3475,Pedidos!$A$2:$A$1801,0)),0)</f>
        <v/>
      </c>
      <c r="G3475" s="25">
        <f>IF(F3475=0,"",YEAR(F3475))</f>
        <v/>
      </c>
      <c r="H3475" s="25">
        <f>IF(F3475=0,"",MONTH(F3475))</f>
        <v/>
      </c>
      <c r="I3475" s="25">
        <f>IFERROR(INDEX(Pedidos!$E$2:$E$1801,MATCH(B3475,Pedidos!$A$2:$A$1801,0)),"")</f>
        <v/>
      </c>
      <c r="J3475" s="25">
        <f>IFERROR(INDEX(Pedidos!$C$2:$C$1801,MATCH(B3475,Pedidos!$A$2:$A$1801,0)),"")</f>
        <v/>
      </c>
      <c r="K3475" s="25">
        <f>IFERROR(INDEX(Pedidos!$D$2:$D$1801,MATCH(B3475,Pedidos!$A$2:$A$1801,0)),"")</f>
        <v/>
      </c>
      <c r="L3475" s="25">
        <f>IFERROR(INDEX(Pedidos!$F$2:$F$1801,MATCH(B3475,Pedidos!$A$2:$A$1801,0)),"")</f>
        <v/>
      </c>
      <c r="M3475" s="26">
        <f>IFERROR(INDEX(Pedidos!$G$2:$G$1801,MATCH(B3475,Pedidos!$A$2:$A$1801,0)),0)</f>
        <v/>
      </c>
      <c r="N3475" s="25">
        <f>IFERROR(INDEX(Produtos!$B$2:$B$71,MATCH(C3475,Produtos!$A$2:$A$71,0)),"")</f>
        <v/>
      </c>
      <c r="O3475" s="25">
        <f>IFERROR(INDEX(Produtos!$C$2:$C$71,MATCH(C3475,Produtos!$A$2:$A$71,0)),"")</f>
        <v/>
      </c>
      <c r="P3475" s="25">
        <f>IFERROR(INDEX(Produtos!$D$2:$D$71,MATCH(C3475,Produtos!$A$2:$A$71,0)),0)</f>
        <v/>
      </c>
      <c r="Q3475" s="25">
        <f>IFERROR(INDEX(Produtos!$E$2:$E$71,MATCH(C3475,Produtos!$A$2:$A$71,0)),0)</f>
        <v/>
      </c>
      <c r="R3475" s="27">
        <f>D3475*Q3475</f>
        <v/>
      </c>
      <c r="S3475" s="27">
        <f>R3475*E3475</f>
        <v/>
      </c>
      <c r="T3475" s="27">
        <f>(R3475-S3475)*M3475</f>
        <v/>
      </c>
      <c r="U3475" s="27">
        <f>R3475-S3475-T3475</f>
        <v/>
      </c>
      <c r="V3475" s="27">
        <f>D3475*P3475</f>
        <v/>
      </c>
      <c r="W3475" s="27">
        <f>U3475-V3475</f>
        <v/>
      </c>
      <c r="X3475" s="28">
        <f>IFERROR(W3475/U3475,0)</f>
        <v/>
      </c>
    </row>
    <row r="3476">
      <c r="A3476" s="21">
        <f>ItensPedido!A3476</f>
        <v/>
      </c>
      <c r="B3476" s="21">
        <f>ItensPedido!B3476</f>
        <v/>
      </c>
      <c r="C3476" s="21">
        <f>ItensPedido!C3476</f>
        <v/>
      </c>
      <c r="D3476" s="21">
        <f>ItensPedido!D3476</f>
        <v/>
      </c>
      <c r="E3476" s="22">
        <f>ItensPedido!E3476</f>
        <v/>
      </c>
      <c r="F3476" s="21">
        <f>IFERROR(INDEX(Pedidos!$B$2:$B$1801,MATCH(B3476,Pedidos!$A$2:$A$1801,0)),0)</f>
        <v/>
      </c>
      <c r="G3476" s="21">
        <f>IF(F3476=0,"",YEAR(F3476))</f>
        <v/>
      </c>
      <c r="H3476" s="21">
        <f>IF(F3476=0,"",MONTH(F3476))</f>
        <v/>
      </c>
      <c r="I3476" s="21">
        <f>IFERROR(INDEX(Pedidos!$E$2:$E$1801,MATCH(B3476,Pedidos!$A$2:$A$1801,0)),"")</f>
        <v/>
      </c>
      <c r="J3476" s="21">
        <f>IFERROR(INDEX(Pedidos!$C$2:$C$1801,MATCH(B3476,Pedidos!$A$2:$A$1801,0)),"")</f>
        <v/>
      </c>
      <c r="K3476" s="21">
        <f>IFERROR(INDEX(Pedidos!$D$2:$D$1801,MATCH(B3476,Pedidos!$A$2:$A$1801,0)),"")</f>
        <v/>
      </c>
      <c r="L3476" s="21">
        <f>IFERROR(INDEX(Pedidos!$F$2:$F$1801,MATCH(B3476,Pedidos!$A$2:$A$1801,0)),"")</f>
        <v/>
      </c>
      <c r="M3476" s="22">
        <f>IFERROR(INDEX(Pedidos!$G$2:$G$1801,MATCH(B3476,Pedidos!$A$2:$A$1801,0)),0)</f>
        <v/>
      </c>
      <c r="N3476" s="21">
        <f>IFERROR(INDEX(Produtos!$B$2:$B$71,MATCH(C3476,Produtos!$A$2:$A$71,0)),"")</f>
        <v/>
      </c>
      <c r="O3476" s="21">
        <f>IFERROR(INDEX(Produtos!$C$2:$C$71,MATCH(C3476,Produtos!$A$2:$A$71,0)),"")</f>
        <v/>
      </c>
      <c r="P3476" s="21">
        <f>IFERROR(INDEX(Produtos!$D$2:$D$71,MATCH(C3476,Produtos!$A$2:$A$71,0)),0)</f>
        <v/>
      </c>
      <c r="Q3476" s="21">
        <f>IFERROR(INDEX(Produtos!$E$2:$E$71,MATCH(C3476,Produtos!$A$2:$A$71,0)),0)</f>
        <v/>
      </c>
      <c r="R3476" s="23">
        <f>D3476*Q3476</f>
        <v/>
      </c>
      <c r="S3476" s="23">
        <f>R3476*E3476</f>
        <v/>
      </c>
      <c r="T3476" s="23">
        <f>(R3476-S3476)*M3476</f>
        <v/>
      </c>
      <c r="U3476" s="23">
        <f>R3476-S3476-T3476</f>
        <v/>
      </c>
      <c r="V3476" s="23">
        <f>D3476*P3476</f>
        <v/>
      </c>
      <c r="W3476" s="23">
        <f>U3476-V3476</f>
        <v/>
      </c>
      <c r="X3476" s="24">
        <f>IFERROR(W3476/U3476,0)</f>
        <v/>
      </c>
    </row>
    <row r="3477">
      <c r="A3477" s="25">
        <f>ItensPedido!A3477</f>
        <v/>
      </c>
      <c r="B3477" s="25">
        <f>ItensPedido!B3477</f>
        <v/>
      </c>
      <c r="C3477" s="25">
        <f>ItensPedido!C3477</f>
        <v/>
      </c>
      <c r="D3477" s="25">
        <f>ItensPedido!D3477</f>
        <v/>
      </c>
      <c r="E3477" s="26">
        <f>ItensPedido!E3477</f>
        <v/>
      </c>
      <c r="F3477" s="25">
        <f>IFERROR(INDEX(Pedidos!$B$2:$B$1801,MATCH(B3477,Pedidos!$A$2:$A$1801,0)),0)</f>
        <v/>
      </c>
      <c r="G3477" s="25">
        <f>IF(F3477=0,"",YEAR(F3477))</f>
        <v/>
      </c>
      <c r="H3477" s="25">
        <f>IF(F3477=0,"",MONTH(F3477))</f>
        <v/>
      </c>
      <c r="I3477" s="25">
        <f>IFERROR(INDEX(Pedidos!$E$2:$E$1801,MATCH(B3477,Pedidos!$A$2:$A$1801,0)),"")</f>
        <v/>
      </c>
      <c r="J3477" s="25">
        <f>IFERROR(INDEX(Pedidos!$C$2:$C$1801,MATCH(B3477,Pedidos!$A$2:$A$1801,0)),"")</f>
        <v/>
      </c>
      <c r="K3477" s="25">
        <f>IFERROR(INDEX(Pedidos!$D$2:$D$1801,MATCH(B3477,Pedidos!$A$2:$A$1801,0)),"")</f>
        <v/>
      </c>
      <c r="L3477" s="25">
        <f>IFERROR(INDEX(Pedidos!$F$2:$F$1801,MATCH(B3477,Pedidos!$A$2:$A$1801,0)),"")</f>
        <v/>
      </c>
      <c r="M3477" s="26">
        <f>IFERROR(INDEX(Pedidos!$G$2:$G$1801,MATCH(B3477,Pedidos!$A$2:$A$1801,0)),0)</f>
        <v/>
      </c>
      <c r="N3477" s="25">
        <f>IFERROR(INDEX(Produtos!$B$2:$B$71,MATCH(C3477,Produtos!$A$2:$A$71,0)),"")</f>
        <v/>
      </c>
      <c r="O3477" s="25">
        <f>IFERROR(INDEX(Produtos!$C$2:$C$71,MATCH(C3477,Produtos!$A$2:$A$71,0)),"")</f>
        <v/>
      </c>
      <c r="P3477" s="25">
        <f>IFERROR(INDEX(Produtos!$D$2:$D$71,MATCH(C3477,Produtos!$A$2:$A$71,0)),0)</f>
        <v/>
      </c>
      <c r="Q3477" s="25">
        <f>IFERROR(INDEX(Produtos!$E$2:$E$71,MATCH(C3477,Produtos!$A$2:$A$71,0)),0)</f>
        <v/>
      </c>
      <c r="R3477" s="27">
        <f>D3477*Q3477</f>
        <v/>
      </c>
      <c r="S3477" s="27">
        <f>R3477*E3477</f>
        <v/>
      </c>
      <c r="T3477" s="27">
        <f>(R3477-S3477)*M3477</f>
        <v/>
      </c>
      <c r="U3477" s="27">
        <f>R3477-S3477-T3477</f>
        <v/>
      </c>
      <c r="V3477" s="27">
        <f>D3477*P3477</f>
        <v/>
      </c>
      <c r="W3477" s="27">
        <f>U3477-V3477</f>
        <v/>
      </c>
      <c r="X3477" s="28">
        <f>IFERROR(W3477/U3477,0)</f>
        <v/>
      </c>
    </row>
    <row r="3478">
      <c r="A3478" s="21">
        <f>ItensPedido!A3478</f>
        <v/>
      </c>
      <c r="B3478" s="21">
        <f>ItensPedido!B3478</f>
        <v/>
      </c>
      <c r="C3478" s="21">
        <f>ItensPedido!C3478</f>
        <v/>
      </c>
      <c r="D3478" s="21">
        <f>ItensPedido!D3478</f>
        <v/>
      </c>
      <c r="E3478" s="22">
        <f>ItensPedido!E3478</f>
        <v/>
      </c>
      <c r="F3478" s="21">
        <f>IFERROR(INDEX(Pedidos!$B$2:$B$1801,MATCH(B3478,Pedidos!$A$2:$A$1801,0)),0)</f>
        <v/>
      </c>
      <c r="G3478" s="21">
        <f>IF(F3478=0,"",YEAR(F3478))</f>
        <v/>
      </c>
      <c r="H3478" s="21">
        <f>IF(F3478=0,"",MONTH(F3478))</f>
        <v/>
      </c>
      <c r="I3478" s="21">
        <f>IFERROR(INDEX(Pedidos!$E$2:$E$1801,MATCH(B3478,Pedidos!$A$2:$A$1801,0)),"")</f>
        <v/>
      </c>
      <c r="J3478" s="21">
        <f>IFERROR(INDEX(Pedidos!$C$2:$C$1801,MATCH(B3478,Pedidos!$A$2:$A$1801,0)),"")</f>
        <v/>
      </c>
      <c r="K3478" s="21">
        <f>IFERROR(INDEX(Pedidos!$D$2:$D$1801,MATCH(B3478,Pedidos!$A$2:$A$1801,0)),"")</f>
        <v/>
      </c>
      <c r="L3478" s="21">
        <f>IFERROR(INDEX(Pedidos!$F$2:$F$1801,MATCH(B3478,Pedidos!$A$2:$A$1801,0)),"")</f>
        <v/>
      </c>
      <c r="M3478" s="22">
        <f>IFERROR(INDEX(Pedidos!$G$2:$G$1801,MATCH(B3478,Pedidos!$A$2:$A$1801,0)),0)</f>
        <v/>
      </c>
      <c r="N3478" s="21">
        <f>IFERROR(INDEX(Produtos!$B$2:$B$71,MATCH(C3478,Produtos!$A$2:$A$71,0)),"")</f>
        <v/>
      </c>
      <c r="O3478" s="21">
        <f>IFERROR(INDEX(Produtos!$C$2:$C$71,MATCH(C3478,Produtos!$A$2:$A$71,0)),"")</f>
        <v/>
      </c>
      <c r="P3478" s="21">
        <f>IFERROR(INDEX(Produtos!$D$2:$D$71,MATCH(C3478,Produtos!$A$2:$A$71,0)),0)</f>
        <v/>
      </c>
      <c r="Q3478" s="21">
        <f>IFERROR(INDEX(Produtos!$E$2:$E$71,MATCH(C3478,Produtos!$A$2:$A$71,0)),0)</f>
        <v/>
      </c>
      <c r="R3478" s="23">
        <f>D3478*Q3478</f>
        <v/>
      </c>
      <c r="S3478" s="23">
        <f>R3478*E3478</f>
        <v/>
      </c>
      <c r="T3478" s="23">
        <f>(R3478-S3478)*M3478</f>
        <v/>
      </c>
      <c r="U3478" s="23">
        <f>R3478-S3478-T3478</f>
        <v/>
      </c>
      <c r="V3478" s="23">
        <f>D3478*P3478</f>
        <v/>
      </c>
      <c r="W3478" s="23">
        <f>U3478-V3478</f>
        <v/>
      </c>
      <c r="X3478" s="24">
        <f>IFERROR(W3478/U3478,0)</f>
        <v/>
      </c>
    </row>
    <row r="3479">
      <c r="A3479" s="25">
        <f>ItensPedido!A3479</f>
        <v/>
      </c>
      <c r="B3479" s="25">
        <f>ItensPedido!B3479</f>
        <v/>
      </c>
      <c r="C3479" s="25">
        <f>ItensPedido!C3479</f>
        <v/>
      </c>
      <c r="D3479" s="25">
        <f>ItensPedido!D3479</f>
        <v/>
      </c>
      <c r="E3479" s="26">
        <f>ItensPedido!E3479</f>
        <v/>
      </c>
      <c r="F3479" s="25">
        <f>IFERROR(INDEX(Pedidos!$B$2:$B$1801,MATCH(B3479,Pedidos!$A$2:$A$1801,0)),0)</f>
        <v/>
      </c>
      <c r="G3479" s="25">
        <f>IF(F3479=0,"",YEAR(F3479))</f>
        <v/>
      </c>
      <c r="H3479" s="25">
        <f>IF(F3479=0,"",MONTH(F3479))</f>
        <v/>
      </c>
      <c r="I3479" s="25">
        <f>IFERROR(INDEX(Pedidos!$E$2:$E$1801,MATCH(B3479,Pedidos!$A$2:$A$1801,0)),"")</f>
        <v/>
      </c>
      <c r="J3479" s="25">
        <f>IFERROR(INDEX(Pedidos!$C$2:$C$1801,MATCH(B3479,Pedidos!$A$2:$A$1801,0)),"")</f>
        <v/>
      </c>
      <c r="K3479" s="25">
        <f>IFERROR(INDEX(Pedidos!$D$2:$D$1801,MATCH(B3479,Pedidos!$A$2:$A$1801,0)),"")</f>
        <v/>
      </c>
      <c r="L3479" s="25">
        <f>IFERROR(INDEX(Pedidos!$F$2:$F$1801,MATCH(B3479,Pedidos!$A$2:$A$1801,0)),"")</f>
        <v/>
      </c>
      <c r="M3479" s="26">
        <f>IFERROR(INDEX(Pedidos!$G$2:$G$1801,MATCH(B3479,Pedidos!$A$2:$A$1801,0)),0)</f>
        <v/>
      </c>
      <c r="N3479" s="25">
        <f>IFERROR(INDEX(Produtos!$B$2:$B$71,MATCH(C3479,Produtos!$A$2:$A$71,0)),"")</f>
        <v/>
      </c>
      <c r="O3479" s="25">
        <f>IFERROR(INDEX(Produtos!$C$2:$C$71,MATCH(C3479,Produtos!$A$2:$A$71,0)),"")</f>
        <v/>
      </c>
      <c r="P3479" s="25">
        <f>IFERROR(INDEX(Produtos!$D$2:$D$71,MATCH(C3479,Produtos!$A$2:$A$71,0)),0)</f>
        <v/>
      </c>
      <c r="Q3479" s="25">
        <f>IFERROR(INDEX(Produtos!$E$2:$E$71,MATCH(C3479,Produtos!$A$2:$A$71,0)),0)</f>
        <v/>
      </c>
      <c r="R3479" s="27">
        <f>D3479*Q3479</f>
        <v/>
      </c>
      <c r="S3479" s="27">
        <f>R3479*E3479</f>
        <v/>
      </c>
      <c r="T3479" s="27">
        <f>(R3479-S3479)*M3479</f>
        <v/>
      </c>
      <c r="U3479" s="27">
        <f>R3479-S3479-T3479</f>
        <v/>
      </c>
      <c r="V3479" s="27">
        <f>D3479*P3479</f>
        <v/>
      </c>
      <c r="W3479" s="27">
        <f>U3479-V3479</f>
        <v/>
      </c>
      <c r="X3479" s="28">
        <f>IFERROR(W3479/U3479,0)</f>
        <v/>
      </c>
    </row>
    <row r="3480">
      <c r="A3480" s="21">
        <f>ItensPedido!A3480</f>
        <v/>
      </c>
      <c r="B3480" s="21">
        <f>ItensPedido!B3480</f>
        <v/>
      </c>
      <c r="C3480" s="21">
        <f>ItensPedido!C3480</f>
        <v/>
      </c>
      <c r="D3480" s="21">
        <f>ItensPedido!D3480</f>
        <v/>
      </c>
      <c r="E3480" s="22">
        <f>ItensPedido!E3480</f>
        <v/>
      </c>
      <c r="F3480" s="21">
        <f>IFERROR(INDEX(Pedidos!$B$2:$B$1801,MATCH(B3480,Pedidos!$A$2:$A$1801,0)),0)</f>
        <v/>
      </c>
      <c r="G3480" s="21">
        <f>IF(F3480=0,"",YEAR(F3480))</f>
        <v/>
      </c>
      <c r="H3480" s="21">
        <f>IF(F3480=0,"",MONTH(F3480))</f>
        <v/>
      </c>
      <c r="I3480" s="21">
        <f>IFERROR(INDEX(Pedidos!$E$2:$E$1801,MATCH(B3480,Pedidos!$A$2:$A$1801,0)),"")</f>
        <v/>
      </c>
      <c r="J3480" s="21">
        <f>IFERROR(INDEX(Pedidos!$C$2:$C$1801,MATCH(B3480,Pedidos!$A$2:$A$1801,0)),"")</f>
        <v/>
      </c>
      <c r="K3480" s="21">
        <f>IFERROR(INDEX(Pedidos!$D$2:$D$1801,MATCH(B3480,Pedidos!$A$2:$A$1801,0)),"")</f>
        <v/>
      </c>
      <c r="L3480" s="21">
        <f>IFERROR(INDEX(Pedidos!$F$2:$F$1801,MATCH(B3480,Pedidos!$A$2:$A$1801,0)),"")</f>
        <v/>
      </c>
      <c r="M3480" s="22">
        <f>IFERROR(INDEX(Pedidos!$G$2:$G$1801,MATCH(B3480,Pedidos!$A$2:$A$1801,0)),0)</f>
        <v/>
      </c>
      <c r="N3480" s="21">
        <f>IFERROR(INDEX(Produtos!$B$2:$B$71,MATCH(C3480,Produtos!$A$2:$A$71,0)),"")</f>
        <v/>
      </c>
      <c r="O3480" s="21">
        <f>IFERROR(INDEX(Produtos!$C$2:$C$71,MATCH(C3480,Produtos!$A$2:$A$71,0)),"")</f>
        <v/>
      </c>
      <c r="P3480" s="21">
        <f>IFERROR(INDEX(Produtos!$D$2:$D$71,MATCH(C3480,Produtos!$A$2:$A$71,0)),0)</f>
        <v/>
      </c>
      <c r="Q3480" s="21">
        <f>IFERROR(INDEX(Produtos!$E$2:$E$71,MATCH(C3480,Produtos!$A$2:$A$71,0)),0)</f>
        <v/>
      </c>
      <c r="R3480" s="23">
        <f>D3480*Q3480</f>
        <v/>
      </c>
      <c r="S3480" s="23">
        <f>R3480*E3480</f>
        <v/>
      </c>
      <c r="T3480" s="23">
        <f>(R3480-S3480)*M3480</f>
        <v/>
      </c>
      <c r="U3480" s="23">
        <f>R3480-S3480-T3480</f>
        <v/>
      </c>
      <c r="V3480" s="23">
        <f>D3480*P3480</f>
        <v/>
      </c>
      <c r="W3480" s="23">
        <f>U3480-V3480</f>
        <v/>
      </c>
      <c r="X3480" s="24">
        <f>IFERROR(W3480/U3480,0)</f>
        <v/>
      </c>
    </row>
    <row r="3481">
      <c r="A3481" s="25">
        <f>ItensPedido!A3481</f>
        <v/>
      </c>
      <c r="B3481" s="25">
        <f>ItensPedido!B3481</f>
        <v/>
      </c>
      <c r="C3481" s="25">
        <f>ItensPedido!C3481</f>
        <v/>
      </c>
      <c r="D3481" s="25">
        <f>ItensPedido!D3481</f>
        <v/>
      </c>
      <c r="E3481" s="26">
        <f>ItensPedido!E3481</f>
        <v/>
      </c>
      <c r="F3481" s="25">
        <f>IFERROR(INDEX(Pedidos!$B$2:$B$1801,MATCH(B3481,Pedidos!$A$2:$A$1801,0)),0)</f>
        <v/>
      </c>
      <c r="G3481" s="25">
        <f>IF(F3481=0,"",YEAR(F3481))</f>
        <v/>
      </c>
      <c r="H3481" s="25">
        <f>IF(F3481=0,"",MONTH(F3481))</f>
        <v/>
      </c>
      <c r="I3481" s="25">
        <f>IFERROR(INDEX(Pedidos!$E$2:$E$1801,MATCH(B3481,Pedidos!$A$2:$A$1801,0)),"")</f>
        <v/>
      </c>
      <c r="J3481" s="25">
        <f>IFERROR(INDEX(Pedidos!$C$2:$C$1801,MATCH(B3481,Pedidos!$A$2:$A$1801,0)),"")</f>
        <v/>
      </c>
      <c r="K3481" s="25">
        <f>IFERROR(INDEX(Pedidos!$D$2:$D$1801,MATCH(B3481,Pedidos!$A$2:$A$1801,0)),"")</f>
        <v/>
      </c>
      <c r="L3481" s="25">
        <f>IFERROR(INDEX(Pedidos!$F$2:$F$1801,MATCH(B3481,Pedidos!$A$2:$A$1801,0)),"")</f>
        <v/>
      </c>
      <c r="M3481" s="26">
        <f>IFERROR(INDEX(Pedidos!$G$2:$G$1801,MATCH(B3481,Pedidos!$A$2:$A$1801,0)),0)</f>
        <v/>
      </c>
      <c r="N3481" s="25">
        <f>IFERROR(INDEX(Produtos!$B$2:$B$71,MATCH(C3481,Produtos!$A$2:$A$71,0)),"")</f>
        <v/>
      </c>
      <c r="O3481" s="25">
        <f>IFERROR(INDEX(Produtos!$C$2:$C$71,MATCH(C3481,Produtos!$A$2:$A$71,0)),"")</f>
        <v/>
      </c>
      <c r="P3481" s="25">
        <f>IFERROR(INDEX(Produtos!$D$2:$D$71,MATCH(C3481,Produtos!$A$2:$A$71,0)),0)</f>
        <v/>
      </c>
      <c r="Q3481" s="25">
        <f>IFERROR(INDEX(Produtos!$E$2:$E$71,MATCH(C3481,Produtos!$A$2:$A$71,0)),0)</f>
        <v/>
      </c>
      <c r="R3481" s="27">
        <f>D3481*Q3481</f>
        <v/>
      </c>
      <c r="S3481" s="27">
        <f>R3481*E3481</f>
        <v/>
      </c>
      <c r="T3481" s="27">
        <f>(R3481-S3481)*M3481</f>
        <v/>
      </c>
      <c r="U3481" s="27">
        <f>R3481-S3481-T3481</f>
        <v/>
      </c>
      <c r="V3481" s="27">
        <f>D3481*P3481</f>
        <v/>
      </c>
      <c r="W3481" s="27">
        <f>U3481-V3481</f>
        <v/>
      </c>
      <c r="X3481" s="28">
        <f>IFERROR(W3481/U3481,0)</f>
        <v/>
      </c>
    </row>
    <row r="3482">
      <c r="A3482" s="21">
        <f>ItensPedido!A3482</f>
        <v/>
      </c>
      <c r="B3482" s="21">
        <f>ItensPedido!B3482</f>
        <v/>
      </c>
      <c r="C3482" s="21">
        <f>ItensPedido!C3482</f>
        <v/>
      </c>
      <c r="D3482" s="21">
        <f>ItensPedido!D3482</f>
        <v/>
      </c>
      <c r="E3482" s="22">
        <f>ItensPedido!E3482</f>
        <v/>
      </c>
      <c r="F3482" s="21">
        <f>IFERROR(INDEX(Pedidos!$B$2:$B$1801,MATCH(B3482,Pedidos!$A$2:$A$1801,0)),0)</f>
        <v/>
      </c>
      <c r="G3482" s="21">
        <f>IF(F3482=0,"",YEAR(F3482))</f>
        <v/>
      </c>
      <c r="H3482" s="21">
        <f>IF(F3482=0,"",MONTH(F3482))</f>
        <v/>
      </c>
      <c r="I3482" s="21">
        <f>IFERROR(INDEX(Pedidos!$E$2:$E$1801,MATCH(B3482,Pedidos!$A$2:$A$1801,0)),"")</f>
        <v/>
      </c>
      <c r="J3482" s="21">
        <f>IFERROR(INDEX(Pedidos!$C$2:$C$1801,MATCH(B3482,Pedidos!$A$2:$A$1801,0)),"")</f>
        <v/>
      </c>
      <c r="K3482" s="21">
        <f>IFERROR(INDEX(Pedidos!$D$2:$D$1801,MATCH(B3482,Pedidos!$A$2:$A$1801,0)),"")</f>
        <v/>
      </c>
      <c r="L3482" s="21">
        <f>IFERROR(INDEX(Pedidos!$F$2:$F$1801,MATCH(B3482,Pedidos!$A$2:$A$1801,0)),"")</f>
        <v/>
      </c>
      <c r="M3482" s="22">
        <f>IFERROR(INDEX(Pedidos!$G$2:$G$1801,MATCH(B3482,Pedidos!$A$2:$A$1801,0)),0)</f>
        <v/>
      </c>
      <c r="N3482" s="21">
        <f>IFERROR(INDEX(Produtos!$B$2:$B$71,MATCH(C3482,Produtos!$A$2:$A$71,0)),"")</f>
        <v/>
      </c>
      <c r="O3482" s="21">
        <f>IFERROR(INDEX(Produtos!$C$2:$C$71,MATCH(C3482,Produtos!$A$2:$A$71,0)),"")</f>
        <v/>
      </c>
      <c r="P3482" s="21">
        <f>IFERROR(INDEX(Produtos!$D$2:$D$71,MATCH(C3482,Produtos!$A$2:$A$71,0)),0)</f>
        <v/>
      </c>
      <c r="Q3482" s="21">
        <f>IFERROR(INDEX(Produtos!$E$2:$E$71,MATCH(C3482,Produtos!$A$2:$A$71,0)),0)</f>
        <v/>
      </c>
      <c r="R3482" s="23">
        <f>D3482*Q3482</f>
        <v/>
      </c>
      <c r="S3482" s="23">
        <f>R3482*E3482</f>
        <v/>
      </c>
      <c r="T3482" s="23">
        <f>(R3482-S3482)*M3482</f>
        <v/>
      </c>
      <c r="U3482" s="23">
        <f>R3482-S3482-T3482</f>
        <v/>
      </c>
      <c r="V3482" s="23">
        <f>D3482*P3482</f>
        <v/>
      </c>
      <c r="W3482" s="23">
        <f>U3482-V3482</f>
        <v/>
      </c>
      <c r="X3482" s="24">
        <f>IFERROR(W3482/U3482,0)</f>
        <v/>
      </c>
    </row>
    <row r="3483">
      <c r="A3483" s="25">
        <f>ItensPedido!A3483</f>
        <v/>
      </c>
      <c r="B3483" s="25">
        <f>ItensPedido!B3483</f>
        <v/>
      </c>
      <c r="C3483" s="25">
        <f>ItensPedido!C3483</f>
        <v/>
      </c>
      <c r="D3483" s="25">
        <f>ItensPedido!D3483</f>
        <v/>
      </c>
      <c r="E3483" s="26">
        <f>ItensPedido!E3483</f>
        <v/>
      </c>
      <c r="F3483" s="25">
        <f>IFERROR(INDEX(Pedidos!$B$2:$B$1801,MATCH(B3483,Pedidos!$A$2:$A$1801,0)),0)</f>
        <v/>
      </c>
      <c r="G3483" s="25">
        <f>IF(F3483=0,"",YEAR(F3483))</f>
        <v/>
      </c>
      <c r="H3483" s="25">
        <f>IF(F3483=0,"",MONTH(F3483))</f>
        <v/>
      </c>
      <c r="I3483" s="25">
        <f>IFERROR(INDEX(Pedidos!$E$2:$E$1801,MATCH(B3483,Pedidos!$A$2:$A$1801,0)),"")</f>
        <v/>
      </c>
      <c r="J3483" s="25">
        <f>IFERROR(INDEX(Pedidos!$C$2:$C$1801,MATCH(B3483,Pedidos!$A$2:$A$1801,0)),"")</f>
        <v/>
      </c>
      <c r="K3483" s="25">
        <f>IFERROR(INDEX(Pedidos!$D$2:$D$1801,MATCH(B3483,Pedidos!$A$2:$A$1801,0)),"")</f>
        <v/>
      </c>
      <c r="L3483" s="25">
        <f>IFERROR(INDEX(Pedidos!$F$2:$F$1801,MATCH(B3483,Pedidos!$A$2:$A$1801,0)),"")</f>
        <v/>
      </c>
      <c r="M3483" s="26">
        <f>IFERROR(INDEX(Pedidos!$G$2:$G$1801,MATCH(B3483,Pedidos!$A$2:$A$1801,0)),0)</f>
        <v/>
      </c>
      <c r="N3483" s="25">
        <f>IFERROR(INDEX(Produtos!$B$2:$B$71,MATCH(C3483,Produtos!$A$2:$A$71,0)),"")</f>
        <v/>
      </c>
      <c r="O3483" s="25">
        <f>IFERROR(INDEX(Produtos!$C$2:$C$71,MATCH(C3483,Produtos!$A$2:$A$71,0)),"")</f>
        <v/>
      </c>
      <c r="P3483" s="25">
        <f>IFERROR(INDEX(Produtos!$D$2:$D$71,MATCH(C3483,Produtos!$A$2:$A$71,0)),0)</f>
        <v/>
      </c>
      <c r="Q3483" s="25">
        <f>IFERROR(INDEX(Produtos!$E$2:$E$71,MATCH(C3483,Produtos!$A$2:$A$71,0)),0)</f>
        <v/>
      </c>
      <c r="R3483" s="27">
        <f>D3483*Q3483</f>
        <v/>
      </c>
      <c r="S3483" s="27">
        <f>R3483*E3483</f>
        <v/>
      </c>
      <c r="T3483" s="27">
        <f>(R3483-S3483)*M3483</f>
        <v/>
      </c>
      <c r="U3483" s="27">
        <f>R3483-S3483-T3483</f>
        <v/>
      </c>
      <c r="V3483" s="27">
        <f>D3483*P3483</f>
        <v/>
      </c>
      <c r="W3483" s="27">
        <f>U3483-V3483</f>
        <v/>
      </c>
      <c r="X3483" s="28">
        <f>IFERROR(W3483/U3483,0)</f>
        <v/>
      </c>
    </row>
    <row r="3484">
      <c r="A3484" s="21">
        <f>ItensPedido!A3484</f>
        <v/>
      </c>
      <c r="B3484" s="21">
        <f>ItensPedido!B3484</f>
        <v/>
      </c>
      <c r="C3484" s="21">
        <f>ItensPedido!C3484</f>
        <v/>
      </c>
      <c r="D3484" s="21">
        <f>ItensPedido!D3484</f>
        <v/>
      </c>
      <c r="E3484" s="22">
        <f>ItensPedido!E3484</f>
        <v/>
      </c>
      <c r="F3484" s="21">
        <f>IFERROR(INDEX(Pedidos!$B$2:$B$1801,MATCH(B3484,Pedidos!$A$2:$A$1801,0)),0)</f>
        <v/>
      </c>
      <c r="G3484" s="21">
        <f>IF(F3484=0,"",YEAR(F3484))</f>
        <v/>
      </c>
      <c r="H3484" s="21">
        <f>IF(F3484=0,"",MONTH(F3484))</f>
        <v/>
      </c>
      <c r="I3484" s="21">
        <f>IFERROR(INDEX(Pedidos!$E$2:$E$1801,MATCH(B3484,Pedidos!$A$2:$A$1801,0)),"")</f>
        <v/>
      </c>
      <c r="J3484" s="21">
        <f>IFERROR(INDEX(Pedidos!$C$2:$C$1801,MATCH(B3484,Pedidos!$A$2:$A$1801,0)),"")</f>
        <v/>
      </c>
      <c r="K3484" s="21">
        <f>IFERROR(INDEX(Pedidos!$D$2:$D$1801,MATCH(B3484,Pedidos!$A$2:$A$1801,0)),"")</f>
        <v/>
      </c>
      <c r="L3484" s="21">
        <f>IFERROR(INDEX(Pedidos!$F$2:$F$1801,MATCH(B3484,Pedidos!$A$2:$A$1801,0)),"")</f>
        <v/>
      </c>
      <c r="M3484" s="22">
        <f>IFERROR(INDEX(Pedidos!$G$2:$G$1801,MATCH(B3484,Pedidos!$A$2:$A$1801,0)),0)</f>
        <v/>
      </c>
      <c r="N3484" s="21">
        <f>IFERROR(INDEX(Produtos!$B$2:$B$71,MATCH(C3484,Produtos!$A$2:$A$71,0)),"")</f>
        <v/>
      </c>
      <c r="O3484" s="21">
        <f>IFERROR(INDEX(Produtos!$C$2:$C$71,MATCH(C3484,Produtos!$A$2:$A$71,0)),"")</f>
        <v/>
      </c>
      <c r="P3484" s="21">
        <f>IFERROR(INDEX(Produtos!$D$2:$D$71,MATCH(C3484,Produtos!$A$2:$A$71,0)),0)</f>
        <v/>
      </c>
      <c r="Q3484" s="21">
        <f>IFERROR(INDEX(Produtos!$E$2:$E$71,MATCH(C3484,Produtos!$A$2:$A$71,0)),0)</f>
        <v/>
      </c>
      <c r="R3484" s="23">
        <f>D3484*Q3484</f>
        <v/>
      </c>
      <c r="S3484" s="23">
        <f>R3484*E3484</f>
        <v/>
      </c>
      <c r="T3484" s="23">
        <f>(R3484-S3484)*M3484</f>
        <v/>
      </c>
      <c r="U3484" s="23">
        <f>R3484-S3484-T3484</f>
        <v/>
      </c>
      <c r="V3484" s="23">
        <f>D3484*P3484</f>
        <v/>
      </c>
      <c r="W3484" s="23">
        <f>U3484-V3484</f>
        <v/>
      </c>
      <c r="X3484" s="24">
        <f>IFERROR(W3484/U3484,0)</f>
        <v/>
      </c>
    </row>
    <row r="3485">
      <c r="A3485" s="25">
        <f>ItensPedido!A3485</f>
        <v/>
      </c>
      <c r="B3485" s="25">
        <f>ItensPedido!B3485</f>
        <v/>
      </c>
      <c r="C3485" s="25">
        <f>ItensPedido!C3485</f>
        <v/>
      </c>
      <c r="D3485" s="25">
        <f>ItensPedido!D3485</f>
        <v/>
      </c>
      <c r="E3485" s="26">
        <f>ItensPedido!E3485</f>
        <v/>
      </c>
      <c r="F3485" s="25">
        <f>IFERROR(INDEX(Pedidos!$B$2:$B$1801,MATCH(B3485,Pedidos!$A$2:$A$1801,0)),0)</f>
        <v/>
      </c>
      <c r="G3485" s="25">
        <f>IF(F3485=0,"",YEAR(F3485))</f>
        <v/>
      </c>
      <c r="H3485" s="25">
        <f>IF(F3485=0,"",MONTH(F3485))</f>
        <v/>
      </c>
      <c r="I3485" s="25">
        <f>IFERROR(INDEX(Pedidos!$E$2:$E$1801,MATCH(B3485,Pedidos!$A$2:$A$1801,0)),"")</f>
        <v/>
      </c>
      <c r="J3485" s="25">
        <f>IFERROR(INDEX(Pedidos!$C$2:$C$1801,MATCH(B3485,Pedidos!$A$2:$A$1801,0)),"")</f>
        <v/>
      </c>
      <c r="K3485" s="25">
        <f>IFERROR(INDEX(Pedidos!$D$2:$D$1801,MATCH(B3485,Pedidos!$A$2:$A$1801,0)),"")</f>
        <v/>
      </c>
      <c r="L3485" s="25">
        <f>IFERROR(INDEX(Pedidos!$F$2:$F$1801,MATCH(B3485,Pedidos!$A$2:$A$1801,0)),"")</f>
        <v/>
      </c>
      <c r="M3485" s="26">
        <f>IFERROR(INDEX(Pedidos!$G$2:$G$1801,MATCH(B3485,Pedidos!$A$2:$A$1801,0)),0)</f>
        <v/>
      </c>
      <c r="N3485" s="25">
        <f>IFERROR(INDEX(Produtos!$B$2:$B$71,MATCH(C3485,Produtos!$A$2:$A$71,0)),"")</f>
        <v/>
      </c>
      <c r="O3485" s="25">
        <f>IFERROR(INDEX(Produtos!$C$2:$C$71,MATCH(C3485,Produtos!$A$2:$A$71,0)),"")</f>
        <v/>
      </c>
      <c r="P3485" s="25">
        <f>IFERROR(INDEX(Produtos!$D$2:$D$71,MATCH(C3485,Produtos!$A$2:$A$71,0)),0)</f>
        <v/>
      </c>
      <c r="Q3485" s="25">
        <f>IFERROR(INDEX(Produtos!$E$2:$E$71,MATCH(C3485,Produtos!$A$2:$A$71,0)),0)</f>
        <v/>
      </c>
      <c r="R3485" s="27">
        <f>D3485*Q3485</f>
        <v/>
      </c>
      <c r="S3485" s="27">
        <f>R3485*E3485</f>
        <v/>
      </c>
      <c r="T3485" s="27">
        <f>(R3485-S3485)*M3485</f>
        <v/>
      </c>
      <c r="U3485" s="27">
        <f>R3485-S3485-T3485</f>
        <v/>
      </c>
      <c r="V3485" s="27">
        <f>D3485*P3485</f>
        <v/>
      </c>
      <c r="W3485" s="27">
        <f>U3485-V3485</f>
        <v/>
      </c>
      <c r="X3485" s="28">
        <f>IFERROR(W3485/U3485,0)</f>
        <v/>
      </c>
    </row>
    <row r="3486">
      <c r="A3486" s="21">
        <f>ItensPedido!A3486</f>
        <v/>
      </c>
      <c r="B3486" s="21">
        <f>ItensPedido!B3486</f>
        <v/>
      </c>
      <c r="C3486" s="21">
        <f>ItensPedido!C3486</f>
        <v/>
      </c>
      <c r="D3486" s="21">
        <f>ItensPedido!D3486</f>
        <v/>
      </c>
      <c r="E3486" s="22">
        <f>ItensPedido!E3486</f>
        <v/>
      </c>
      <c r="F3486" s="21">
        <f>IFERROR(INDEX(Pedidos!$B$2:$B$1801,MATCH(B3486,Pedidos!$A$2:$A$1801,0)),0)</f>
        <v/>
      </c>
      <c r="G3486" s="21">
        <f>IF(F3486=0,"",YEAR(F3486))</f>
        <v/>
      </c>
      <c r="H3486" s="21">
        <f>IF(F3486=0,"",MONTH(F3486))</f>
        <v/>
      </c>
      <c r="I3486" s="21">
        <f>IFERROR(INDEX(Pedidos!$E$2:$E$1801,MATCH(B3486,Pedidos!$A$2:$A$1801,0)),"")</f>
        <v/>
      </c>
      <c r="J3486" s="21">
        <f>IFERROR(INDEX(Pedidos!$C$2:$C$1801,MATCH(B3486,Pedidos!$A$2:$A$1801,0)),"")</f>
        <v/>
      </c>
      <c r="K3486" s="21">
        <f>IFERROR(INDEX(Pedidos!$D$2:$D$1801,MATCH(B3486,Pedidos!$A$2:$A$1801,0)),"")</f>
        <v/>
      </c>
      <c r="L3486" s="21">
        <f>IFERROR(INDEX(Pedidos!$F$2:$F$1801,MATCH(B3486,Pedidos!$A$2:$A$1801,0)),"")</f>
        <v/>
      </c>
      <c r="M3486" s="22">
        <f>IFERROR(INDEX(Pedidos!$G$2:$G$1801,MATCH(B3486,Pedidos!$A$2:$A$1801,0)),0)</f>
        <v/>
      </c>
      <c r="N3486" s="21">
        <f>IFERROR(INDEX(Produtos!$B$2:$B$71,MATCH(C3486,Produtos!$A$2:$A$71,0)),"")</f>
        <v/>
      </c>
      <c r="O3486" s="21">
        <f>IFERROR(INDEX(Produtos!$C$2:$C$71,MATCH(C3486,Produtos!$A$2:$A$71,0)),"")</f>
        <v/>
      </c>
      <c r="P3486" s="21">
        <f>IFERROR(INDEX(Produtos!$D$2:$D$71,MATCH(C3486,Produtos!$A$2:$A$71,0)),0)</f>
        <v/>
      </c>
      <c r="Q3486" s="21">
        <f>IFERROR(INDEX(Produtos!$E$2:$E$71,MATCH(C3486,Produtos!$A$2:$A$71,0)),0)</f>
        <v/>
      </c>
      <c r="R3486" s="23">
        <f>D3486*Q3486</f>
        <v/>
      </c>
      <c r="S3486" s="23">
        <f>R3486*E3486</f>
        <v/>
      </c>
      <c r="T3486" s="23">
        <f>(R3486-S3486)*M3486</f>
        <v/>
      </c>
      <c r="U3486" s="23">
        <f>R3486-S3486-T3486</f>
        <v/>
      </c>
      <c r="V3486" s="23">
        <f>D3486*P3486</f>
        <v/>
      </c>
      <c r="W3486" s="23">
        <f>U3486-V3486</f>
        <v/>
      </c>
      <c r="X3486" s="24">
        <f>IFERROR(W3486/U3486,0)</f>
        <v/>
      </c>
    </row>
    <row r="3487">
      <c r="A3487" s="25">
        <f>ItensPedido!A3487</f>
        <v/>
      </c>
      <c r="B3487" s="25">
        <f>ItensPedido!B3487</f>
        <v/>
      </c>
      <c r="C3487" s="25">
        <f>ItensPedido!C3487</f>
        <v/>
      </c>
      <c r="D3487" s="25">
        <f>ItensPedido!D3487</f>
        <v/>
      </c>
      <c r="E3487" s="26">
        <f>ItensPedido!E3487</f>
        <v/>
      </c>
      <c r="F3487" s="25">
        <f>IFERROR(INDEX(Pedidos!$B$2:$B$1801,MATCH(B3487,Pedidos!$A$2:$A$1801,0)),0)</f>
        <v/>
      </c>
      <c r="G3487" s="25">
        <f>IF(F3487=0,"",YEAR(F3487))</f>
        <v/>
      </c>
      <c r="H3487" s="25">
        <f>IF(F3487=0,"",MONTH(F3487))</f>
        <v/>
      </c>
      <c r="I3487" s="25">
        <f>IFERROR(INDEX(Pedidos!$E$2:$E$1801,MATCH(B3487,Pedidos!$A$2:$A$1801,0)),"")</f>
        <v/>
      </c>
      <c r="J3487" s="25">
        <f>IFERROR(INDEX(Pedidos!$C$2:$C$1801,MATCH(B3487,Pedidos!$A$2:$A$1801,0)),"")</f>
        <v/>
      </c>
      <c r="K3487" s="25">
        <f>IFERROR(INDEX(Pedidos!$D$2:$D$1801,MATCH(B3487,Pedidos!$A$2:$A$1801,0)),"")</f>
        <v/>
      </c>
      <c r="L3487" s="25">
        <f>IFERROR(INDEX(Pedidos!$F$2:$F$1801,MATCH(B3487,Pedidos!$A$2:$A$1801,0)),"")</f>
        <v/>
      </c>
      <c r="M3487" s="26">
        <f>IFERROR(INDEX(Pedidos!$G$2:$G$1801,MATCH(B3487,Pedidos!$A$2:$A$1801,0)),0)</f>
        <v/>
      </c>
      <c r="N3487" s="25">
        <f>IFERROR(INDEX(Produtos!$B$2:$B$71,MATCH(C3487,Produtos!$A$2:$A$71,0)),"")</f>
        <v/>
      </c>
      <c r="O3487" s="25">
        <f>IFERROR(INDEX(Produtos!$C$2:$C$71,MATCH(C3487,Produtos!$A$2:$A$71,0)),"")</f>
        <v/>
      </c>
      <c r="P3487" s="25">
        <f>IFERROR(INDEX(Produtos!$D$2:$D$71,MATCH(C3487,Produtos!$A$2:$A$71,0)),0)</f>
        <v/>
      </c>
      <c r="Q3487" s="25">
        <f>IFERROR(INDEX(Produtos!$E$2:$E$71,MATCH(C3487,Produtos!$A$2:$A$71,0)),0)</f>
        <v/>
      </c>
      <c r="R3487" s="27">
        <f>D3487*Q3487</f>
        <v/>
      </c>
      <c r="S3487" s="27">
        <f>R3487*E3487</f>
        <v/>
      </c>
      <c r="T3487" s="27">
        <f>(R3487-S3487)*M3487</f>
        <v/>
      </c>
      <c r="U3487" s="27">
        <f>R3487-S3487-T3487</f>
        <v/>
      </c>
      <c r="V3487" s="27">
        <f>D3487*P3487</f>
        <v/>
      </c>
      <c r="W3487" s="27">
        <f>U3487-V3487</f>
        <v/>
      </c>
      <c r="X3487" s="28">
        <f>IFERROR(W3487/U3487,0)</f>
        <v/>
      </c>
    </row>
    <row r="3488">
      <c r="A3488" s="21">
        <f>ItensPedido!A3488</f>
        <v/>
      </c>
      <c r="B3488" s="21">
        <f>ItensPedido!B3488</f>
        <v/>
      </c>
      <c r="C3488" s="21">
        <f>ItensPedido!C3488</f>
        <v/>
      </c>
      <c r="D3488" s="21">
        <f>ItensPedido!D3488</f>
        <v/>
      </c>
      <c r="E3488" s="22">
        <f>ItensPedido!E3488</f>
        <v/>
      </c>
      <c r="F3488" s="21">
        <f>IFERROR(INDEX(Pedidos!$B$2:$B$1801,MATCH(B3488,Pedidos!$A$2:$A$1801,0)),0)</f>
        <v/>
      </c>
      <c r="G3488" s="21">
        <f>IF(F3488=0,"",YEAR(F3488))</f>
        <v/>
      </c>
      <c r="H3488" s="21">
        <f>IF(F3488=0,"",MONTH(F3488))</f>
        <v/>
      </c>
      <c r="I3488" s="21">
        <f>IFERROR(INDEX(Pedidos!$E$2:$E$1801,MATCH(B3488,Pedidos!$A$2:$A$1801,0)),"")</f>
        <v/>
      </c>
      <c r="J3488" s="21">
        <f>IFERROR(INDEX(Pedidos!$C$2:$C$1801,MATCH(B3488,Pedidos!$A$2:$A$1801,0)),"")</f>
        <v/>
      </c>
      <c r="K3488" s="21">
        <f>IFERROR(INDEX(Pedidos!$D$2:$D$1801,MATCH(B3488,Pedidos!$A$2:$A$1801,0)),"")</f>
        <v/>
      </c>
      <c r="L3488" s="21">
        <f>IFERROR(INDEX(Pedidos!$F$2:$F$1801,MATCH(B3488,Pedidos!$A$2:$A$1801,0)),"")</f>
        <v/>
      </c>
      <c r="M3488" s="22">
        <f>IFERROR(INDEX(Pedidos!$G$2:$G$1801,MATCH(B3488,Pedidos!$A$2:$A$1801,0)),0)</f>
        <v/>
      </c>
      <c r="N3488" s="21">
        <f>IFERROR(INDEX(Produtos!$B$2:$B$71,MATCH(C3488,Produtos!$A$2:$A$71,0)),"")</f>
        <v/>
      </c>
      <c r="O3488" s="21">
        <f>IFERROR(INDEX(Produtos!$C$2:$C$71,MATCH(C3488,Produtos!$A$2:$A$71,0)),"")</f>
        <v/>
      </c>
      <c r="P3488" s="21">
        <f>IFERROR(INDEX(Produtos!$D$2:$D$71,MATCH(C3488,Produtos!$A$2:$A$71,0)),0)</f>
        <v/>
      </c>
      <c r="Q3488" s="21">
        <f>IFERROR(INDEX(Produtos!$E$2:$E$71,MATCH(C3488,Produtos!$A$2:$A$71,0)),0)</f>
        <v/>
      </c>
      <c r="R3488" s="23">
        <f>D3488*Q3488</f>
        <v/>
      </c>
      <c r="S3488" s="23">
        <f>R3488*E3488</f>
        <v/>
      </c>
      <c r="T3488" s="23">
        <f>(R3488-S3488)*M3488</f>
        <v/>
      </c>
      <c r="U3488" s="23">
        <f>R3488-S3488-T3488</f>
        <v/>
      </c>
      <c r="V3488" s="23">
        <f>D3488*P3488</f>
        <v/>
      </c>
      <c r="W3488" s="23">
        <f>U3488-V3488</f>
        <v/>
      </c>
      <c r="X3488" s="24">
        <f>IFERROR(W3488/U3488,0)</f>
        <v/>
      </c>
    </row>
    <row r="3489">
      <c r="A3489" s="25">
        <f>ItensPedido!A3489</f>
        <v/>
      </c>
      <c r="B3489" s="25">
        <f>ItensPedido!B3489</f>
        <v/>
      </c>
      <c r="C3489" s="25">
        <f>ItensPedido!C3489</f>
        <v/>
      </c>
      <c r="D3489" s="25">
        <f>ItensPedido!D3489</f>
        <v/>
      </c>
      <c r="E3489" s="26">
        <f>ItensPedido!E3489</f>
        <v/>
      </c>
      <c r="F3489" s="25">
        <f>IFERROR(INDEX(Pedidos!$B$2:$B$1801,MATCH(B3489,Pedidos!$A$2:$A$1801,0)),0)</f>
        <v/>
      </c>
      <c r="G3489" s="25">
        <f>IF(F3489=0,"",YEAR(F3489))</f>
        <v/>
      </c>
      <c r="H3489" s="25">
        <f>IF(F3489=0,"",MONTH(F3489))</f>
        <v/>
      </c>
      <c r="I3489" s="25">
        <f>IFERROR(INDEX(Pedidos!$E$2:$E$1801,MATCH(B3489,Pedidos!$A$2:$A$1801,0)),"")</f>
        <v/>
      </c>
      <c r="J3489" s="25">
        <f>IFERROR(INDEX(Pedidos!$C$2:$C$1801,MATCH(B3489,Pedidos!$A$2:$A$1801,0)),"")</f>
        <v/>
      </c>
      <c r="K3489" s="25">
        <f>IFERROR(INDEX(Pedidos!$D$2:$D$1801,MATCH(B3489,Pedidos!$A$2:$A$1801,0)),"")</f>
        <v/>
      </c>
      <c r="L3489" s="25">
        <f>IFERROR(INDEX(Pedidos!$F$2:$F$1801,MATCH(B3489,Pedidos!$A$2:$A$1801,0)),"")</f>
        <v/>
      </c>
      <c r="M3489" s="26">
        <f>IFERROR(INDEX(Pedidos!$G$2:$G$1801,MATCH(B3489,Pedidos!$A$2:$A$1801,0)),0)</f>
        <v/>
      </c>
      <c r="N3489" s="25">
        <f>IFERROR(INDEX(Produtos!$B$2:$B$71,MATCH(C3489,Produtos!$A$2:$A$71,0)),"")</f>
        <v/>
      </c>
      <c r="O3489" s="25">
        <f>IFERROR(INDEX(Produtos!$C$2:$C$71,MATCH(C3489,Produtos!$A$2:$A$71,0)),"")</f>
        <v/>
      </c>
      <c r="P3489" s="25">
        <f>IFERROR(INDEX(Produtos!$D$2:$D$71,MATCH(C3489,Produtos!$A$2:$A$71,0)),0)</f>
        <v/>
      </c>
      <c r="Q3489" s="25">
        <f>IFERROR(INDEX(Produtos!$E$2:$E$71,MATCH(C3489,Produtos!$A$2:$A$71,0)),0)</f>
        <v/>
      </c>
      <c r="R3489" s="27">
        <f>D3489*Q3489</f>
        <v/>
      </c>
      <c r="S3489" s="27">
        <f>R3489*E3489</f>
        <v/>
      </c>
      <c r="T3489" s="27">
        <f>(R3489-S3489)*M3489</f>
        <v/>
      </c>
      <c r="U3489" s="27">
        <f>R3489-S3489-T3489</f>
        <v/>
      </c>
      <c r="V3489" s="27">
        <f>D3489*P3489</f>
        <v/>
      </c>
      <c r="W3489" s="27">
        <f>U3489-V3489</f>
        <v/>
      </c>
      <c r="X3489" s="28">
        <f>IFERROR(W3489/U3489,0)</f>
        <v/>
      </c>
    </row>
    <row r="3490">
      <c r="A3490" s="21">
        <f>ItensPedido!A3490</f>
        <v/>
      </c>
      <c r="B3490" s="21">
        <f>ItensPedido!B3490</f>
        <v/>
      </c>
      <c r="C3490" s="21">
        <f>ItensPedido!C3490</f>
        <v/>
      </c>
      <c r="D3490" s="21">
        <f>ItensPedido!D3490</f>
        <v/>
      </c>
      <c r="E3490" s="22">
        <f>ItensPedido!E3490</f>
        <v/>
      </c>
      <c r="F3490" s="21">
        <f>IFERROR(INDEX(Pedidos!$B$2:$B$1801,MATCH(B3490,Pedidos!$A$2:$A$1801,0)),0)</f>
        <v/>
      </c>
      <c r="G3490" s="21">
        <f>IF(F3490=0,"",YEAR(F3490))</f>
        <v/>
      </c>
      <c r="H3490" s="21">
        <f>IF(F3490=0,"",MONTH(F3490))</f>
        <v/>
      </c>
      <c r="I3490" s="21">
        <f>IFERROR(INDEX(Pedidos!$E$2:$E$1801,MATCH(B3490,Pedidos!$A$2:$A$1801,0)),"")</f>
        <v/>
      </c>
      <c r="J3490" s="21">
        <f>IFERROR(INDEX(Pedidos!$C$2:$C$1801,MATCH(B3490,Pedidos!$A$2:$A$1801,0)),"")</f>
        <v/>
      </c>
      <c r="K3490" s="21">
        <f>IFERROR(INDEX(Pedidos!$D$2:$D$1801,MATCH(B3490,Pedidos!$A$2:$A$1801,0)),"")</f>
        <v/>
      </c>
      <c r="L3490" s="21">
        <f>IFERROR(INDEX(Pedidos!$F$2:$F$1801,MATCH(B3490,Pedidos!$A$2:$A$1801,0)),"")</f>
        <v/>
      </c>
      <c r="M3490" s="22">
        <f>IFERROR(INDEX(Pedidos!$G$2:$G$1801,MATCH(B3490,Pedidos!$A$2:$A$1801,0)),0)</f>
        <v/>
      </c>
      <c r="N3490" s="21">
        <f>IFERROR(INDEX(Produtos!$B$2:$B$71,MATCH(C3490,Produtos!$A$2:$A$71,0)),"")</f>
        <v/>
      </c>
      <c r="O3490" s="21">
        <f>IFERROR(INDEX(Produtos!$C$2:$C$71,MATCH(C3490,Produtos!$A$2:$A$71,0)),"")</f>
        <v/>
      </c>
      <c r="P3490" s="21">
        <f>IFERROR(INDEX(Produtos!$D$2:$D$71,MATCH(C3490,Produtos!$A$2:$A$71,0)),0)</f>
        <v/>
      </c>
      <c r="Q3490" s="21">
        <f>IFERROR(INDEX(Produtos!$E$2:$E$71,MATCH(C3490,Produtos!$A$2:$A$71,0)),0)</f>
        <v/>
      </c>
      <c r="R3490" s="23">
        <f>D3490*Q3490</f>
        <v/>
      </c>
      <c r="S3490" s="23">
        <f>R3490*E3490</f>
        <v/>
      </c>
      <c r="T3490" s="23">
        <f>(R3490-S3490)*M3490</f>
        <v/>
      </c>
      <c r="U3490" s="23">
        <f>R3490-S3490-T3490</f>
        <v/>
      </c>
      <c r="V3490" s="23">
        <f>D3490*P3490</f>
        <v/>
      </c>
      <c r="W3490" s="23">
        <f>U3490-V3490</f>
        <v/>
      </c>
      <c r="X3490" s="24">
        <f>IFERROR(W3490/U3490,0)</f>
        <v/>
      </c>
    </row>
    <row r="3491">
      <c r="A3491" s="25">
        <f>ItensPedido!A3491</f>
        <v/>
      </c>
      <c r="B3491" s="25">
        <f>ItensPedido!B3491</f>
        <v/>
      </c>
      <c r="C3491" s="25">
        <f>ItensPedido!C3491</f>
        <v/>
      </c>
      <c r="D3491" s="25">
        <f>ItensPedido!D3491</f>
        <v/>
      </c>
      <c r="E3491" s="26">
        <f>ItensPedido!E3491</f>
        <v/>
      </c>
      <c r="F3491" s="25">
        <f>IFERROR(INDEX(Pedidos!$B$2:$B$1801,MATCH(B3491,Pedidos!$A$2:$A$1801,0)),0)</f>
        <v/>
      </c>
      <c r="G3491" s="25">
        <f>IF(F3491=0,"",YEAR(F3491))</f>
        <v/>
      </c>
      <c r="H3491" s="25">
        <f>IF(F3491=0,"",MONTH(F3491))</f>
        <v/>
      </c>
      <c r="I3491" s="25">
        <f>IFERROR(INDEX(Pedidos!$E$2:$E$1801,MATCH(B3491,Pedidos!$A$2:$A$1801,0)),"")</f>
        <v/>
      </c>
      <c r="J3491" s="25">
        <f>IFERROR(INDEX(Pedidos!$C$2:$C$1801,MATCH(B3491,Pedidos!$A$2:$A$1801,0)),"")</f>
        <v/>
      </c>
      <c r="K3491" s="25">
        <f>IFERROR(INDEX(Pedidos!$D$2:$D$1801,MATCH(B3491,Pedidos!$A$2:$A$1801,0)),"")</f>
        <v/>
      </c>
      <c r="L3491" s="25">
        <f>IFERROR(INDEX(Pedidos!$F$2:$F$1801,MATCH(B3491,Pedidos!$A$2:$A$1801,0)),"")</f>
        <v/>
      </c>
      <c r="M3491" s="26">
        <f>IFERROR(INDEX(Pedidos!$G$2:$G$1801,MATCH(B3491,Pedidos!$A$2:$A$1801,0)),0)</f>
        <v/>
      </c>
      <c r="N3491" s="25">
        <f>IFERROR(INDEX(Produtos!$B$2:$B$71,MATCH(C3491,Produtos!$A$2:$A$71,0)),"")</f>
        <v/>
      </c>
      <c r="O3491" s="25">
        <f>IFERROR(INDEX(Produtos!$C$2:$C$71,MATCH(C3491,Produtos!$A$2:$A$71,0)),"")</f>
        <v/>
      </c>
      <c r="P3491" s="25">
        <f>IFERROR(INDEX(Produtos!$D$2:$D$71,MATCH(C3491,Produtos!$A$2:$A$71,0)),0)</f>
        <v/>
      </c>
      <c r="Q3491" s="25">
        <f>IFERROR(INDEX(Produtos!$E$2:$E$71,MATCH(C3491,Produtos!$A$2:$A$71,0)),0)</f>
        <v/>
      </c>
      <c r="R3491" s="27">
        <f>D3491*Q3491</f>
        <v/>
      </c>
      <c r="S3491" s="27">
        <f>R3491*E3491</f>
        <v/>
      </c>
      <c r="T3491" s="27">
        <f>(R3491-S3491)*M3491</f>
        <v/>
      </c>
      <c r="U3491" s="27">
        <f>R3491-S3491-T3491</f>
        <v/>
      </c>
      <c r="V3491" s="27">
        <f>D3491*P3491</f>
        <v/>
      </c>
      <c r="W3491" s="27">
        <f>U3491-V3491</f>
        <v/>
      </c>
      <c r="X3491" s="28">
        <f>IFERROR(W3491/U3491,0)</f>
        <v/>
      </c>
    </row>
    <row r="3492">
      <c r="A3492" s="21">
        <f>ItensPedido!A3492</f>
        <v/>
      </c>
      <c r="B3492" s="21">
        <f>ItensPedido!B3492</f>
        <v/>
      </c>
      <c r="C3492" s="21">
        <f>ItensPedido!C3492</f>
        <v/>
      </c>
      <c r="D3492" s="21">
        <f>ItensPedido!D3492</f>
        <v/>
      </c>
      <c r="E3492" s="22">
        <f>ItensPedido!E3492</f>
        <v/>
      </c>
      <c r="F3492" s="21">
        <f>IFERROR(INDEX(Pedidos!$B$2:$B$1801,MATCH(B3492,Pedidos!$A$2:$A$1801,0)),0)</f>
        <v/>
      </c>
      <c r="G3492" s="21">
        <f>IF(F3492=0,"",YEAR(F3492))</f>
        <v/>
      </c>
      <c r="H3492" s="21">
        <f>IF(F3492=0,"",MONTH(F3492))</f>
        <v/>
      </c>
      <c r="I3492" s="21">
        <f>IFERROR(INDEX(Pedidos!$E$2:$E$1801,MATCH(B3492,Pedidos!$A$2:$A$1801,0)),"")</f>
        <v/>
      </c>
      <c r="J3492" s="21">
        <f>IFERROR(INDEX(Pedidos!$C$2:$C$1801,MATCH(B3492,Pedidos!$A$2:$A$1801,0)),"")</f>
        <v/>
      </c>
      <c r="K3492" s="21">
        <f>IFERROR(INDEX(Pedidos!$D$2:$D$1801,MATCH(B3492,Pedidos!$A$2:$A$1801,0)),"")</f>
        <v/>
      </c>
      <c r="L3492" s="21">
        <f>IFERROR(INDEX(Pedidos!$F$2:$F$1801,MATCH(B3492,Pedidos!$A$2:$A$1801,0)),"")</f>
        <v/>
      </c>
      <c r="M3492" s="22">
        <f>IFERROR(INDEX(Pedidos!$G$2:$G$1801,MATCH(B3492,Pedidos!$A$2:$A$1801,0)),0)</f>
        <v/>
      </c>
      <c r="N3492" s="21">
        <f>IFERROR(INDEX(Produtos!$B$2:$B$71,MATCH(C3492,Produtos!$A$2:$A$71,0)),"")</f>
        <v/>
      </c>
      <c r="O3492" s="21">
        <f>IFERROR(INDEX(Produtos!$C$2:$C$71,MATCH(C3492,Produtos!$A$2:$A$71,0)),"")</f>
        <v/>
      </c>
      <c r="P3492" s="21">
        <f>IFERROR(INDEX(Produtos!$D$2:$D$71,MATCH(C3492,Produtos!$A$2:$A$71,0)),0)</f>
        <v/>
      </c>
      <c r="Q3492" s="21">
        <f>IFERROR(INDEX(Produtos!$E$2:$E$71,MATCH(C3492,Produtos!$A$2:$A$71,0)),0)</f>
        <v/>
      </c>
      <c r="R3492" s="23">
        <f>D3492*Q3492</f>
        <v/>
      </c>
      <c r="S3492" s="23">
        <f>R3492*E3492</f>
        <v/>
      </c>
      <c r="T3492" s="23">
        <f>(R3492-S3492)*M3492</f>
        <v/>
      </c>
      <c r="U3492" s="23">
        <f>R3492-S3492-T3492</f>
        <v/>
      </c>
      <c r="V3492" s="23">
        <f>D3492*P3492</f>
        <v/>
      </c>
      <c r="W3492" s="23">
        <f>U3492-V3492</f>
        <v/>
      </c>
      <c r="X3492" s="24">
        <f>IFERROR(W3492/U3492,0)</f>
        <v/>
      </c>
    </row>
    <row r="3493">
      <c r="A3493" s="25">
        <f>ItensPedido!A3493</f>
        <v/>
      </c>
      <c r="B3493" s="25">
        <f>ItensPedido!B3493</f>
        <v/>
      </c>
      <c r="C3493" s="25">
        <f>ItensPedido!C3493</f>
        <v/>
      </c>
      <c r="D3493" s="25">
        <f>ItensPedido!D3493</f>
        <v/>
      </c>
      <c r="E3493" s="26">
        <f>ItensPedido!E3493</f>
        <v/>
      </c>
      <c r="F3493" s="25">
        <f>IFERROR(INDEX(Pedidos!$B$2:$B$1801,MATCH(B3493,Pedidos!$A$2:$A$1801,0)),0)</f>
        <v/>
      </c>
      <c r="G3493" s="25">
        <f>IF(F3493=0,"",YEAR(F3493))</f>
        <v/>
      </c>
      <c r="H3493" s="25">
        <f>IF(F3493=0,"",MONTH(F3493))</f>
        <v/>
      </c>
      <c r="I3493" s="25">
        <f>IFERROR(INDEX(Pedidos!$E$2:$E$1801,MATCH(B3493,Pedidos!$A$2:$A$1801,0)),"")</f>
        <v/>
      </c>
      <c r="J3493" s="25">
        <f>IFERROR(INDEX(Pedidos!$C$2:$C$1801,MATCH(B3493,Pedidos!$A$2:$A$1801,0)),"")</f>
        <v/>
      </c>
      <c r="K3493" s="25">
        <f>IFERROR(INDEX(Pedidos!$D$2:$D$1801,MATCH(B3493,Pedidos!$A$2:$A$1801,0)),"")</f>
        <v/>
      </c>
      <c r="L3493" s="25">
        <f>IFERROR(INDEX(Pedidos!$F$2:$F$1801,MATCH(B3493,Pedidos!$A$2:$A$1801,0)),"")</f>
        <v/>
      </c>
      <c r="M3493" s="26">
        <f>IFERROR(INDEX(Pedidos!$G$2:$G$1801,MATCH(B3493,Pedidos!$A$2:$A$1801,0)),0)</f>
        <v/>
      </c>
      <c r="N3493" s="25">
        <f>IFERROR(INDEX(Produtos!$B$2:$B$71,MATCH(C3493,Produtos!$A$2:$A$71,0)),"")</f>
        <v/>
      </c>
      <c r="O3493" s="25">
        <f>IFERROR(INDEX(Produtos!$C$2:$C$71,MATCH(C3493,Produtos!$A$2:$A$71,0)),"")</f>
        <v/>
      </c>
      <c r="P3493" s="25">
        <f>IFERROR(INDEX(Produtos!$D$2:$D$71,MATCH(C3493,Produtos!$A$2:$A$71,0)),0)</f>
        <v/>
      </c>
      <c r="Q3493" s="25">
        <f>IFERROR(INDEX(Produtos!$E$2:$E$71,MATCH(C3493,Produtos!$A$2:$A$71,0)),0)</f>
        <v/>
      </c>
      <c r="R3493" s="27">
        <f>D3493*Q3493</f>
        <v/>
      </c>
      <c r="S3493" s="27">
        <f>R3493*E3493</f>
        <v/>
      </c>
      <c r="T3493" s="27">
        <f>(R3493-S3493)*M3493</f>
        <v/>
      </c>
      <c r="U3493" s="27">
        <f>R3493-S3493-T3493</f>
        <v/>
      </c>
      <c r="V3493" s="27">
        <f>D3493*P3493</f>
        <v/>
      </c>
      <c r="W3493" s="27">
        <f>U3493-V3493</f>
        <v/>
      </c>
      <c r="X3493" s="28">
        <f>IFERROR(W3493/U3493,0)</f>
        <v/>
      </c>
    </row>
    <row r="3494">
      <c r="A3494" s="21">
        <f>ItensPedido!A3494</f>
        <v/>
      </c>
      <c r="B3494" s="21">
        <f>ItensPedido!B3494</f>
        <v/>
      </c>
      <c r="C3494" s="21">
        <f>ItensPedido!C3494</f>
        <v/>
      </c>
      <c r="D3494" s="21">
        <f>ItensPedido!D3494</f>
        <v/>
      </c>
      <c r="E3494" s="22">
        <f>ItensPedido!E3494</f>
        <v/>
      </c>
      <c r="F3494" s="21">
        <f>IFERROR(INDEX(Pedidos!$B$2:$B$1801,MATCH(B3494,Pedidos!$A$2:$A$1801,0)),0)</f>
        <v/>
      </c>
      <c r="G3494" s="21">
        <f>IF(F3494=0,"",YEAR(F3494))</f>
        <v/>
      </c>
      <c r="H3494" s="21">
        <f>IF(F3494=0,"",MONTH(F3494))</f>
        <v/>
      </c>
      <c r="I3494" s="21">
        <f>IFERROR(INDEX(Pedidos!$E$2:$E$1801,MATCH(B3494,Pedidos!$A$2:$A$1801,0)),"")</f>
        <v/>
      </c>
      <c r="J3494" s="21">
        <f>IFERROR(INDEX(Pedidos!$C$2:$C$1801,MATCH(B3494,Pedidos!$A$2:$A$1801,0)),"")</f>
        <v/>
      </c>
      <c r="K3494" s="21">
        <f>IFERROR(INDEX(Pedidos!$D$2:$D$1801,MATCH(B3494,Pedidos!$A$2:$A$1801,0)),"")</f>
        <v/>
      </c>
      <c r="L3494" s="21">
        <f>IFERROR(INDEX(Pedidos!$F$2:$F$1801,MATCH(B3494,Pedidos!$A$2:$A$1801,0)),"")</f>
        <v/>
      </c>
      <c r="M3494" s="22">
        <f>IFERROR(INDEX(Pedidos!$G$2:$G$1801,MATCH(B3494,Pedidos!$A$2:$A$1801,0)),0)</f>
        <v/>
      </c>
      <c r="N3494" s="21">
        <f>IFERROR(INDEX(Produtos!$B$2:$B$71,MATCH(C3494,Produtos!$A$2:$A$71,0)),"")</f>
        <v/>
      </c>
      <c r="O3494" s="21">
        <f>IFERROR(INDEX(Produtos!$C$2:$C$71,MATCH(C3494,Produtos!$A$2:$A$71,0)),"")</f>
        <v/>
      </c>
      <c r="P3494" s="21">
        <f>IFERROR(INDEX(Produtos!$D$2:$D$71,MATCH(C3494,Produtos!$A$2:$A$71,0)),0)</f>
        <v/>
      </c>
      <c r="Q3494" s="21">
        <f>IFERROR(INDEX(Produtos!$E$2:$E$71,MATCH(C3494,Produtos!$A$2:$A$71,0)),0)</f>
        <v/>
      </c>
      <c r="R3494" s="23">
        <f>D3494*Q3494</f>
        <v/>
      </c>
      <c r="S3494" s="23">
        <f>R3494*E3494</f>
        <v/>
      </c>
      <c r="T3494" s="23">
        <f>(R3494-S3494)*M3494</f>
        <v/>
      </c>
      <c r="U3494" s="23">
        <f>R3494-S3494-T3494</f>
        <v/>
      </c>
      <c r="V3494" s="23">
        <f>D3494*P3494</f>
        <v/>
      </c>
      <c r="W3494" s="23">
        <f>U3494-V3494</f>
        <v/>
      </c>
      <c r="X3494" s="24">
        <f>IFERROR(W3494/U3494,0)</f>
        <v/>
      </c>
    </row>
    <row r="3495">
      <c r="A3495" s="25">
        <f>ItensPedido!A3495</f>
        <v/>
      </c>
      <c r="B3495" s="25">
        <f>ItensPedido!B3495</f>
        <v/>
      </c>
      <c r="C3495" s="25">
        <f>ItensPedido!C3495</f>
        <v/>
      </c>
      <c r="D3495" s="25">
        <f>ItensPedido!D3495</f>
        <v/>
      </c>
      <c r="E3495" s="26">
        <f>ItensPedido!E3495</f>
        <v/>
      </c>
      <c r="F3495" s="25">
        <f>IFERROR(INDEX(Pedidos!$B$2:$B$1801,MATCH(B3495,Pedidos!$A$2:$A$1801,0)),0)</f>
        <v/>
      </c>
      <c r="G3495" s="25">
        <f>IF(F3495=0,"",YEAR(F3495))</f>
        <v/>
      </c>
      <c r="H3495" s="25">
        <f>IF(F3495=0,"",MONTH(F3495))</f>
        <v/>
      </c>
      <c r="I3495" s="25">
        <f>IFERROR(INDEX(Pedidos!$E$2:$E$1801,MATCH(B3495,Pedidos!$A$2:$A$1801,0)),"")</f>
        <v/>
      </c>
      <c r="J3495" s="25">
        <f>IFERROR(INDEX(Pedidos!$C$2:$C$1801,MATCH(B3495,Pedidos!$A$2:$A$1801,0)),"")</f>
        <v/>
      </c>
      <c r="K3495" s="25">
        <f>IFERROR(INDEX(Pedidos!$D$2:$D$1801,MATCH(B3495,Pedidos!$A$2:$A$1801,0)),"")</f>
        <v/>
      </c>
      <c r="L3495" s="25">
        <f>IFERROR(INDEX(Pedidos!$F$2:$F$1801,MATCH(B3495,Pedidos!$A$2:$A$1801,0)),"")</f>
        <v/>
      </c>
      <c r="M3495" s="26">
        <f>IFERROR(INDEX(Pedidos!$G$2:$G$1801,MATCH(B3495,Pedidos!$A$2:$A$1801,0)),0)</f>
        <v/>
      </c>
      <c r="N3495" s="25">
        <f>IFERROR(INDEX(Produtos!$B$2:$B$71,MATCH(C3495,Produtos!$A$2:$A$71,0)),"")</f>
        <v/>
      </c>
      <c r="O3495" s="25">
        <f>IFERROR(INDEX(Produtos!$C$2:$C$71,MATCH(C3495,Produtos!$A$2:$A$71,0)),"")</f>
        <v/>
      </c>
      <c r="P3495" s="25">
        <f>IFERROR(INDEX(Produtos!$D$2:$D$71,MATCH(C3495,Produtos!$A$2:$A$71,0)),0)</f>
        <v/>
      </c>
      <c r="Q3495" s="25">
        <f>IFERROR(INDEX(Produtos!$E$2:$E$71,MATCH(C3495,Produtos!$A$2:$A$71,0)),0)</f>
        <v/>
      </c>
      <c r="R3495" s="27">
        <f>D3495*Q3495</f>
        <v/>
      </c>
      <c r="S3495" s="27">
        <f>R3495*E3495</f>
        <v/>
      </c>
      <c r="T3495" s="27">
        <f>(R3495-S3495)*M3495</f>
        <v/>
      </c>
      <c r="U3495" s="27">
        <f>R3495-S3495-T3495</f>
        <v/>
      </c>
      <c r="V3495" s="27">
        <f>D3495*P3495</f>
        <v/>
      </c>
      <c r="W3495" s="27">
        <f>U3495-V3495</f>
        <v/>
      </c>
      <c r="X3495" s="28">
        <f>IFERROR(W3495/U3495,0)</f>
        <v/>
      </c>
    </row>
    <row r="3496">
      <c r="A3496" s="21">
        <f>ItensPedido!A3496</f>
        <v/>
      </c>
      <c r="B3496" s="21">
        <f>ItensPedido!B3496</f>
        <v/>
      </c>
      <c r="C3496" s="21">
        <f>ItensPedido!C3496</f>
        <v/>
      </c>
      <c r="D3496" s="21">
        <f>ItensPedido!D3496</f>
        <v/>
      </c>
      <c r="E3496" s="22">
        <f>ItensPedido!E3496</f>
        <v/>
      </c>
      <c r="F3496" s="21">
        <f>IFERROR(INDEX(Pedidos!$B$2:$B$1801,MATCH(B3496,Pedidos!$A$2:$A$1801,0)),0)</f>
        <v/>
      </c>
      <c r="G3496" s="21">
        <f>IF(F3496=0,"",YEAR(F3496))</f>
        <v/>
      </c>
      <c r="H3496" s="21">
        <f>IF(F3496=0,"",MONTH(F3496))</f>
        <v/>
      </c>
      <c r="I3496" s="21">
        <f>IFERROR(INDEX(Pedidos!$E$2:$E$1801,MATCH(B3496,Pedidos!$A$2:$A$1801,0)),"")</f>
        <v/>
      </c>
      <c r="J3496" s="21">
        <f>IFERROR(INDEX(Pedidos!$C$2:$C$1801,MATCH(B3496,Pedidos!$A$2:$A$1801,0)),"")</f>
        <v/>
      </c>
      <c r="K3496" s="21">
        <f>IFERROR(INDEX(Pedidos!$D$2:$D$1801,MATCH(B3496,Pedidos!$A$2:$A$1801,0)),"")</f>
        <v/>
      </c>
      <c r="L3496" s="21">
        <f>IFERROR(INDEX(Pedidos!$F$2:$F$1801,MATCH(B3496,Pedidos!$A$2:$A$1801,0)),"")</f>
        <v/>
      </c>
      <c r="M3496" s="22">
        <f>IFERROR(INDEX(Pedidos!$G$2:$G$1801,MATCH(B3496,Pedidos!$A$2:$A$1801,0)),0)</f>
        <v/>
      </c>
      <c r="N3496" s="21">
        <f>IFERROR(INDEX(Produtos!$B$2:$B$71,MATCH(C3496,Produtos!$A$2:$A$71,0)),"")</f>
        <v/>
      </c>
      <c r="O3496" s="21">
        <f>IFERROR(INDEX(Produtos!$C$2:$C$71,MATCH(C3496,Produtos!$A$2:$A$71,0)),"")</f>
        <v/>
      </c>
      <c r="P3496" s="21">
        <f>IFERROR(INDEX(Produtos!$D$2:$D$71,MATCH(C3496,Produtos!$A$2:$A$71,0)),0)</f>
        <v/>
      </c>
      <c r="Q3496" s="21">
        <f>IFERROR(INDEX(Produtos!$E$2:$E$71,MATCH(C3496,Produtos!$A$2:$A$71,0)),0)</f>
        <v/>
      </c>
      <c r="R3496" s="23">
        <f>D3496*Q3496</f>
        <v/>
      </c>
      <c r="S3496" s="23">
        <f>R3496*E3496</f>
        <v/>
      </c>
      <c r="T3496" s="23">
        <f>(R3496-S3496)*M3496</f>
        <v/>
      </c>
      <c r="U3496" s="23">
        <f>R3496-S3496-T3496</f>
        <v/>
      </c>
      <c r="V3496" s="23">
        <f>D3496*P3496</f>
        <v/>
      </c>
      <c r="W3496" s="23">
        <f>U3496-V3496</f>
        <v/>
      </c>
      <c r="X3496" s="24">
        <f>IFERROR(W3496/U3496,0)</f>
        <v/>
      </c>
    </row>
    <row r="3497">
      <c r="A3497" s="25">
        <f>ItensPedido!A3497</f>
        <v/>
      </c>
      <c r="B3497" s="25">
        <f>ItensPedido!B3497</f>
        <v/>
      </c>
      <c r="C3497" s="25">
        <f>ItensPedido!C3497</f>
        <v/>
      </c>
      <c r="D3497" s="25">
        <f>ItensPedido!D3497</f>
        <v/>
      </c>
      <c r="E3497" s="26">
        <f>ItensPedido!E3497</f>
        <v/>
      </c>
      <c r="F3497" s="25">
        <f>IFERROR(INDEX(Pedidos!$B$2:$B$1801,MATCH(B3497,Pedidos!$A$2:$A$1801,0)),0)</f>
        <v/>
      </c>
      <c r="G3497" s="25">
        <f>IF(F3497=0,"",YEAR(F3497))</f>
        <v/>
      </c>
      <c r="H3497" s="25">
        <f>IF(F3497=0,"",MONTH(F3497))</f>
        <v/>
      </c>
      <c r="I3497" s="25">
        <f>IFERROR(INDEX(Pedidos!$E$2:$E$1801,MATCH(B3497,Pedidos!$A$2:$A$1801,0)),"")</f>
        <v/>
      </c>
      <c r="J3497" s="25">
        <f>IFERROR(INDEX(Pedidos!$C$2:$C$1801,MATCH(B3497,Pedidos!$A$2:$A$1801,0)),"")</f>
        <v/>
      </c>
      <c r="K3497" s="25">
        <f>IFERROR(INDEX(Pedidos!$D$2:$D$1801,MATCH(B3497,Pedidos!$A$2:$A$1801,0)),"")</f>
        <v/>
      </c>
      <c r="L3497" s="25">
        <f>IFERROR(INDEX(Pedidos!$F$2:$F$1801,MATCH(B3497,Pedidos!$A$2:$A$1801,0)),"")</f>
        <v/>
      </c>
      <c r="M3497" s="26">
        <f>IFERROR(INDEX(Pedidos!$G$2:$G$1801,MATCH(B3497,Pedidos!$A$2:$A$1801,0)),0)</f>
        <v/>
      </c>
      <c r="N3497" s="25">
        <f>IFERROR(INDEX(Produtos!$B$2:$B$71,MATCH(C3497,Produtos!$A$2:$A$71,0)),"")</f>
        <v/>
      </c>
      <c r="O3497" s="25">
        <f>IFERROR(INDEX(Produtos!$C$2:$C$71,MATCH(C3497,Produtos!$A$2:$A$71,0)),"")</f>
        <v/>
      </c>
      <c r="P3497" s="25">
        <f>IFERROR(INDEX(Produtos!$D$2:$D$71,MATCH(C3497,Produtos!$A$2:$A$71,0)),0)</f>
        <v/>
      </c>
      <c r="Q3497" s="25">
        <f>IFERROR(INDEX(Produtos!$E$2:$E$71,MATCH(C3497,Produtos!$A$2:$A$71,0)),0)</f>
        <v/>
      </c>
      <c r="R3497" s="27">
        <f>D3497*Q3497</f>
        <v/>
      </c>
      <c r="S3497" s="27">
        <f>R3497*E3497</f>
        <v/>
      </c>
      <c r="T3497" s="27">
        <f>(R3497-S3497)*M3497</f>
        <v/>
      </c>
      <c r="U3497" s="27">
        <f>R3497-S3497-T3497</f>
        <v/>
      </c>
      <c r="V3497" s="27">
        <f>D3497*P3497</f>
        <v/>
      </c>
      <c r="W3497" s="27">
        <f>U3497-V3497</f>
        <v/>
      </c>
      <c r="X3497" s="28">
        <f>IFERROR(W3497/U3497,0)</f>
        <v/>
      </c>
    </row>
    <row r="3498">
      <c r="A3498" s="21">
        <f>ItensPedido!A3498</f>
        <v/>
      </c>
      <c r="B3498" s="21">
        <f>ItensPedido!B3498</f>
        <v/>
      </c>
      <c r="C3498" s="21">
        <f>ItensPedido!C3498</f>
        <v/>
      </c>
      <c r="D3498" s="21">
        <f>ItensPedido!D3498</f>
        <v/>
      </c>
      <c r="E3498" s="22">
        <f>ItensPedido!E3498</f>
        <v/>
      </c>
      <c r="F3498" s="21">
        <f>IFERROR(INDEX(Pedidos!$B$2:$B$1801,MATCH(B3498,Pedidos!$A$2:$A$1801,0)),0)</f>
        <v/>
      </c>
      <c r="G3498" s="21">
        <f>IF(F3498=0,"",YEAR(F3498))</f>
        <v/>
      </c>
      <c r="H3498" s="21">
        <f>IF(F3498=0,"",MONTH(F3498))</f>
        <v/>
      </c>
      <c r="I3498" s="21">
        <f>IFERROR(INDEX(Pedidos!$E$2:$E$1801,MATCH(B3498,Pedidos!$A$2:$A$1801,0)),"")</f>
        <v/>
      </c>
      <c r="J3498" s="21">
        <f>IFERROR(INDEX(Pedidos!$C$2:$C$1801,MATCH(B3498,Pedidos!$A$2:$A$1801,0)),"")</f>
        <v/>
      </c>
      <c r="K3498" s="21">
        <f>IFERROR(INDEX(Pedidos!$D$2:$D$1801,MATCH(B3498,Pedidos!$A$2:$A$1801,0)),"")</f>
        <v/>
      </c>
      <c r="L3498" s="21">
        <f>IFERROR(INDEX(Pedidos!$F$2:$F$1801,MATCH(B3498,Pedidos!$A$2:$A$1801,0)),"")</f>
        <v/>
      </c>
      <c r="M3498" s="22">
        <f>IFERROR(INDEX(Pedidos!$G$2:$G$1801,MATCH(B3498,Pedidos!$A$2:$A$1801,0)),0)</f>
        <v/>
      </c>
      <c r="N3498" s="21">
        <f>IFERROR(INDEX(Produtos!$B$2:$B$71,MATCH(C3498,Produtos!$A$2:$A$71,0)),"")</f>
        <v/>
      </c>
      <c r="O3498" s="21">
        <f>IFERROR(INDEX(Produtos!$C$2:$C$71,MATCH(C3498,Produtos!$A$2:$A$71,0)),"")</f>
        <v/>
      </c>
      <c r="P3498" s="21">
        <f>IFERROR(INDEX(Produtos!$D$2:$D$71,MATCH(C3498,Produtos!$A$2:$A$71,0)),0)</f>
        <v/>
      </c>
      <c r="Q3498" s="21">
        <f>IFERROR(INDEX(Produtos!$E$2:$E$71,MATCH(C3498,Produtos!$A$2:$A$71,0)),0)</f>
        <v/>
      </c>
      <c r="R3498" s="23">
        <f>D3498*Q3498</f>
        <v/>
      </c>
      <c r="S3498" s="23">
        <f>R3498*E3498</f>
        <v/>
      </c>
      <c r="T3498" s="23">
        <f>(R3498-S3498)*M3498</f>
        <v/>
      </c>
      <c r="U3498" s="23">
        <f>R3498-S3498-T3498</f>
        <v/>
      </c>
      <c r="V3498" s="23">
        <f>D3498*P3498</f>
        <v/>
      </c>
      <c r="W3498" s="23">
        <f>U3498-V3498</f>
        <v/>
      </c>
      <c r="X3498" s="24">
        <f>IFERROR(W3498/U3498,0)</f>
        <v/>
      </c>
    </row>
    <row r="3499">
      <c r="A3499" s="25">
        <f>ItensPedido!A3499</f>
        <v/>
      </c>
      <c r="B3499" s="25">
        <f>ItensPedido!B3499</f>
        <v/>
      </c>
      <c r="C3499" s="25">
        <f>ItensPedido!C3499</f>
        <v/>
      </c>
      <c r="D3499" s="25">
        <f>ItensPedido!D3499</f>
        <v/>
      </c>
      <c r="E3499" s="26">
        <f>ItensPedido!E3499</f>
        <v/>
      </c>
      <c r="F3499" s="25">
        <f>IFERROR(INDEX(Pedidos!$B$2:$B$1801,MATCH(B3499,Pedidos!$A$2:$A$1801,0)),0)</f>
        <v/>
      </c>
      <c r="G3499" s="25">
        <f>IF(F3499=0,"",YEAR(F3499))</f>
        <v/>
      </c>
      <c r="H3499" s="25">
        <f>IF(F3499=0,"",MONTH(F3499))</f>
        <v/>
      </c>
      <c r="I3499" s="25">
        <f>IFERROR(INDEX(Pedidos!$E$2:$E$1801,MATCH(B3499,Pedidos!$A$2:$A$1801,0)),"")</f>
        <v/>
      </c>
      <c r="J3499" s="25">
        <f>IFERROR(INDEX(Pedidos!$C$2:$C$1801,MATCH(B3499,Pedidos!$A$2:$A$1801,0)),"")</f>
        <v/>
      </c>
      <c r="K3499" s="25">
        <f>IFERROR(INDEX(Pedidos!$D$2:$D$1801,MATCH(B3499,Pedidos!$A$2:$A$1801,0)),"")</f>
        <v/>
      </c>
      <c r="L3499" s="25">
        <f>IFERROR(INDEX(Pedidos!$F$2:$F$1801,MATCH(B3499,Pedidos!$A$2:$A$1801,0)),"")</f>
        <v/>
      </c>
      <c r="M3499" s="26">
        <f>IFERROR(INDEX(Pedidos!$G$2:$G$1801,MATCH(B3499,Pedidos!$A$2:$A$1801,0)),0)</f>
        <v/>
      </c>
      <c r="N3499" s="25">
        <f>IFERROR(INDEX(Produtos!$B$2:$B$71,MATCH(C3499,Produtos!$A$2:$A$71,0)),"")</f>
        <v/>
      </c>
      <c r="O3499" s="25">
        <f>IFERROR(INDEX(Produtos!$C$2:$C$71,MATCH(C3499,Produtos!$A$2:$A$71,0)),"")</f>
        <v/>
      </c>
      <c r="P3499" s="25">
        <f>IFERROR(INDEX(Produtos!$D$2:$D$71,MATCH(C3499,Produtos!$A$2:$A$71,0)),0)</f>
        <v/>
      </c>
      <c r="Q3499" s="25">
        <f>IFERROR(INDEX(Produtos!$E$2:$E$71,MATCH(C3499,Produtos!$A$2:$A$71,0)),0)</f>
        <v/>
      </c>
      <c r="R3499" s="27">
        <f>D3499*Q3499</f>
        <v/>
      </c>
      <c r="S3499" s="27">
        <f>R3499*E3499</f>
        <v/>
      </c>
      <c r="T3499" s="27">
        <f>(R3499-S3499)*M3499</f>
        <v/>
      </c>
      <c r="U3499" s="27">
        <f>R3499-S3499-T3499</f>
        <v/>
      </c>
      <c r="V3499" s="27">
        <f>D3499*P3499</f>
        <v/>
      </c>
      <c r="W3499" s="27">
        <f>U3499-V3499</f>
        <v/>
      </c>
      <c r="X3499" s="28">
        <f>IFERROR(W3499/U3499,0)</f>
        <v/>
      </c>
    </row>
    <row r="3500">
      <c r="A3500" s="21">
        <f>ItensPedido!A3500</f>
        <v/>
      </c>
      <c r="B3500" s="21">
        <f>ItensPedido!B3500</f>
        <v/>
      </c>
      <c r="C3500" s="21">
        <f>ItensPedido!C3500</f>
        <v/>
      </c>
      <c r="D3500" s="21">
        <f>ItensPedido!D3500</f>
        <v/>
      </c>
      <c r="E3500" s="22">
        <f>ItensPedido!E3500</f>
        <v/>
      </c>
      <c r="F3500" s="21">
        <f>IFERROR(INDEX(Pedidos!$B$2:$B$1801,MATCH(B3500,Pedidos!$A$2:$A$1801,0)),0)</f>
        <v/>
      </c>
      <c r="G3500" s="21">
        <f>IF(F3500=0,"",YEAR(F3500))</f>
        <v/>
      </c>
      <c r="H3500" s="21">
        <f>IF(F3500=0,"",MONTH(F3500))</f>
        <v/>
      </c>
      <c r="I3500" s="21">
        <f>IFERROR(INDEX(Pedidos!$E$2:$E$1801,MATCH(B3500,Pedidos!$A$2:$A$1801,0)),"")</f>
        <v/>
      </c>
      <c r="J3500" s="21">
        <f>IFERROR(INDEX(Pedidos!$C$2:$C$1801,MATCH(B3500,Pedidos!$A$2:$A$1801,0)),"")</f>
        <v/>
      </c>
      <c r="K3500" s="21">
        <f>IFERROR(INDEX(Pedidos!$D$2:$D$1801,MATCH(B3500,Pedidos!$A$2:$A$1801,0)),"")</f>
        <v/>
      </c>
      <c r="L3500" s="21">
        <f>IFERROR(INDEX(Pedidos!$F$2:$F$1801,MATCH(B3500,Pedidos!$A$2:$A$1801,0)),"")</f>
        <v/>
      </c>
      <c r="M3500" s="22">
        <f>IFERROR(INDEX(Pedidos!$G$2:$G$1801,MATCH(B3500,Pedidos!$A$2:$A$1801,0)),0)</f>
        <v/>
      </c>
      <c r="N3500" s="21">
        <f>IFERROR(INDEX(Produtos!$B$2:$B$71,MATCH(C3500,Produtos!$A$2:$A$71,0)),"")</f>
        <v/>
      </c>
      <c r="O3500" s="21">
        <f>IFERROR(INDEX(Produtos!$C$2:$C$71,MATCH(C3500,Produtos!$A$2:$A$71,0)),"")</f>
        <v/>
      </c>
      <c r="P3500" s="21">
        <f>IFERROR(INDEX(Produtos!$D$2:$D$71,MATCH(C3500,Produtos!$A$2:$A$71,0)),0)</f>
        <v/>
      </c>
      <c r="Q3500" s="21">
        <f>IFERROR(INDEX(Produtos!$E$2:$E$71,MATCH(C3500,Produtos!$A$2:$A$71,0)),0)</f>
        <v/>
      </c>
      <c r="R3500" s="23">
        <f>D3500*Q3500</f>
        <v/>
      </c>
      <c r="S3500" s="23">
        <f>R3500*E3500</f>
        <v/>
      </c>
      <c r="T3500" s="23">
        <f>(R3500-S3500)*M3500</f>
        <v/>
      </c>
      <c r="U3500" s="23">
        <f>R3500-S3500-T3500</f>
        <v/>
      </c>
      <c r="V3500" s="23">
        <f>D3500*P3500</f>
        <v/>
      </c>
      <c r="W3500" s="23">
        <f>U3500-V3500</f>
        <v/>
      </c>
      <c r="X3500" s="24">
        <f>IFERROR(W3500/U3500,0)</f>
        <v/>
      </c>
    </row>
    <row r="3501">
      <c r="A3501" s="25">
        <f>ItensPedido!A3501</f>
        <v/>
      </c>
      <c r="B3501" s="25">
        <f>ItensPedido!B3501</f>
        <v/>
      </c>
      <c r="C3501" s="25">
        <f>ItensPedido!C3501</f>
        <v/>
      </c>
      <c r="D3501" s="25">
        <f>ItensPedido!D3501</f>
        <v/>
      </c>
      <c r="E3501" s="26">
        <f>ItensPedido!E3501</f>
        <v/>
      </c>
      <c r="F3501" s="25">
        <f>IFERROR(INDEX(Pedidos!$B$2:$B$1801,MATCH(B3501,Pedidos!$A$2:$A$1801,0)),0)</f>
        <v/>
      </c>
      <c r="G3501" s="25">
        <f>IF(F3501=0,"",YEAR(F3501))</f>
        <v/>
      </c>
      <c r="H3501" s="25">
        <f>IF(F3501=0,"",MONTH(F3501))</f>
        <v/>
      </c>
      <c r="I3501" s="25">
        <f>IFERROR(INDEX(Pedidos!$E$2:$E$1801,MATCH(B3501,Pedidos!$A$2:$A$1801,0)),"")</f>
        <v/>
      </c>
      <c r="J3501" s="25">
        <f>IFERROR(INDEX(Pedidos!$C$2:$C$1801,MATCH(B3501,Pedidos!$A$2:$A$1801,0)),"")</f>
        <v/>
      </c>
      <c r="K3501" s="25">
        <f>IFERROR(INDEX(Pedidos!$D$2:$D$1801,MATCH(B3501,Pedidos!$A$2:$A$1801,0)),"")</f>
        <v/>
      </c>
      <c r="L3501" s="25">
        <f>IFERROR(INDEX(Pedidos!$F$2:$F$1801,MATCH(B3501,Pedidos!$A$2:$A$1801,0)),"")</f>
        <v/>
      </c>
      <c r="M3501" s="26">
        <f>IFERROR(INDEX(Pedidos!$G$2:$G$1801,MATCH(B3501,Pedidos!$A$2:$A$1801,0)),0)</f>
        <v/>
      </c>
      <c r="N3501" s="25">
        <f>IFERROR(INDEX(Produtos!$B$2:$B$71,MATCH(C3501,Produtos!$A$2:$A$71,0)),"")</f>
        <v/>
      </c>
      <c r="O3501" s="25">
        <f>IFERROR(INDEX(Produtos!$C$2:$C$71,MATCH(C3501,Produtos!$A$2:$A$71,0)),"")</f>
        <v/>
      </c>
      <c r="P3501" s="25">
        <f>IFERROR(INDEX(Produtos!$D$2:$D$71,MATCH(C3501,Produtos!$A$2:$A$71,0)),0)</f>
        <v/>
      </c>
      <c r="Q3501" s="25">
        <f>IFERROR(INDEX(Produtos!$E$2:$E$71,MATCH(C3501,Produtos!$A$2:$A$71,0)),0)</f>
        <v/>
      </c>
      <c r="R3501" s="27">
        <f>D3501*Q3501</f>
        <v/>
      </c>
      <c r="S3501" s="27">
        <f>R3501*E3501</f>
        <v/>
      </c>
      <c r="T3501" s="27">
        <f>(R3501-S3501)*M3501</f>
        <v/>
      </c>
      <c r="U3501" s="27">
        <f>R3501-S3501-T3501</f>
        <v/>
      </c>
      <c r="V3501" s="27">
        <f>D3501*P3501</f>
        <v/>
      </c>
      <c r="W3501" s="27">
        <f>U3501-V3501</f>
        <v/>
      </c>
      <c r="X3501" s="28">
        <f>IFERROR(W3501/U3501,0)</f>
        <v/>
      </c>
    </row>
    <row r="3502">
      <c r="A3502" s="21">
        <f>ItensPedido!A3502</f>
        <v/>
      </c>
      <c r="B3502" s="21">
        <f>ItensPedido!B3502</f>
        <v/>
      </c>
      <c r="C3502" s="21">
        <f>ItensPedido!C3502</f>
        <v/>
      </c>
      <c r="D3502" s="21">
        <f>ItensPedido!D3502</f>
        <v/>
      </c>
      <c r="E3502" s="22">
        <f>ItensPedido!E3502</f>
        <v/>
      </c>
      <c r="F3502" s="21">
        <f>IFERROR(INDEX(Pedidos!$B$2:$B$1801,MATCH(B3502,Pedidos!$A$2:$A$1801,0)),0)</f>
        <v/>
      </c>
      <c r="G3502" s="21">
        <f>IF(F3502=0,"",YEAR(F3502))</f>
        <v/>
      </c>
      <c r="H3502" s="21">
        <f>IF(F3502=0,"",MONTH(F3502))</f>
        <v/>
      </c>
      <c r="I3502" s="21">
        <f>IFERROR(INDEX(Pedidos!$E$2:$E$1801,MATCH(B3502,Pedidos!$A$2:$A$1801,0)),"")</f>
        <v/>
      </c>
      <c r="J3502" s="21">
        <f>IFERROR(INDEX(Pedidos!$C$2:$C$1801,MATCH(B3502,Pedidos!$A$2:$A$1801,0)),"")</f>
        <v/>
      </c>
      <c r="K3502" s="21">
        <f>IFERROR(INDEX(Pedidos!$D$2:$D$1801,MATCH(B3502,Pedidos!$A$2:$A$1801,0)),"")</f>
        <v/>
      </c>
      <c r="L3502" s="21">
        <f>IFERROR(INDEX(Pedidos!$F$2:$F$1801,MATCH(B3502,Pedidos!$A$2:$A$1801,0)),"")</f>
        <v/>
      </c>
      <c r="M3502" s="22">
        <f>IFERROR(INDEX(Pedidos!$G$2:$G$1801,MATCH(B3502,Pedidos!$A$2:$A$1801,0)),0)</f>
        <v/>
      </c>
      <c r="N3502" s="21">
        <f>IFERROR(INDEX(Produtos!$B$2:$B$71,MATCH(C3502,Produtos!$A$2:$A$71,0)),"")</f>
        <v/>
      </c>
      <c r="O3502" s="21">
        <f>IFERROR(INDEX(Produtos!$C$2:$C$71,MATCH(C3502,Produtos!$A$2:$A$71,0)),"")</f>
        <v/>
      </c>
      <c r="P3502" s="21">
        <f>IFERROR(INDEX(Produtos!$D$2:$D$71,MATCH(C3502,Produtos!$A$2:$A$71,0)),0)</f>
        <v/>
      </c>
      <c r="Q3502" s="21">
        <f>IFERROR(INDEX(Produtos!$E$2:$E$71,MATCH(C3502,Produtos!$A$2:$A$71,0)),0)</f>
        <v/>
      </c>
      <c r="R3502" s="23">
        <f>D3502*Q3502</f>
        <v/>
      </c>
      <c r="S3502" s="23">
        <f>R3502*E3502</f>
        <v/>
      </c>
      <c r="T3502" s="23">
        <f>(R3502-S3502)*M3502</f>
        <v/>
      </c>
      <c r="U3502" s="23">
        <f>R3502-S3502-T3502</f>
        <v/>
      </c>
      <c r="V3502" s="23">
        <f>D3502*P3502</f>
        <v/>
      </c>
      <c r="W3502" s="23">
        <f>U3502-V3502</f>
        <v/>
      </c>
      <c r="X3502" s="24">
        <f>IFERROR(W3502/U3502,0)</f>
        <v/>
      </c>
    </row>
    <row r="3503">
      <c r="A3503" s="25">
        <f>ItensPedido!A3503</f>
        <v/>
      </c>
      <c r="B3503" s="25">
        <f>ItensPedido!B3503</f>
        <v/>
      </c>
      <c r="C3503" s="25">
        <f>ItensPedido!C3503</f>
        <v/>
      </c>
      <c r="D3503" s="25">
        <f>ItensPedido!D3503</f>
        <v/>
      </c>
      <c r="E3503" s="26">
        <f>ItensPedido!E3503</f>
        <v/>
      </c>
      <c r="F3503" s="25">
        <f>IFERROR(INDEX(Pedidos!$B$2:$B$1801,MATCH(B3503,Pedidos!$A$2:$A$1801,0)),0)</f>
        <v/>
      </c>
      <c r="G3503" s="25">
        <f>IF(F3503=0,"",YEAR(F3503))</f>
        <v/>
      </c>
      <c r="H3503" s="25">
        <f>IF(F3503=0,"",MONTH(F3503))</f>
        <v/>
      </c>
      <c r="I3503" s="25">
        <f>IFERROR(INDEX(Pedidos!$E$2:$E$1801,MATCH(B3503,Pedidos!$A$2:$A$1801,0)),"")</f>
        <v/>
      </c>
      <c r="J3503" s="25">
        <f>IFERROR(INDEX(Pedidos!$C$2:$C$1801,MATCH(B3503,Pedidos!$A$2:$A$1801,0)),"")</f>
        <v/>
      </c>
      <c r="K3503" s="25">
        <f>IFERROR(INDEX(Pedidos!$D$2:$D$1801,MATCH(B3503,Pedidos!$A$2:$A$1801,0)),"")</f>
        <v/>
      </c>
      <c r="L3503" s="25">
        <f>IFERROR(INDEX(Pedidos!$F$2:$F$1801,MATCH(B3503,Pedidos!$A$2:$A$1801,0)),"")</f>
        <v/>
      </c>
      <c r="M3503" s="26">
        <f>IFERROR(INDEX(Pedidos!$G$2:$G$1801,MATCH(B3503,Pedidos!$A$2:$A$1801,0)),0)</f>
        <v/>
      </c>
      <c r="N3503" s="25">
        <f>IFERROR(INDEX(Produtos!$B$2:$B$71,MATCH(C3503,Produtos!$A$2:$A$71,0)),"")</f>
        <v/>
      </c>
      <c r="O3503" s="25">
        <f>IFERROR(INDEX(Produtos!$C$2:$C$71,MATCH(C3503,Produtos!$A$2:$A$71,0)),"")</f>
        <v/>
      </c>
      <c r="P3503" s="25">
        <f>IFERROR(INDEX(Produtos!$D$2:$D$71,MATCH(C3503,Produtos!$A$2:$A$71,0)),0)</f>
        <v/>
      </c>
      <c r="Q3503" s="25">
        <f>IFERROR(INDEX(Produtos!$E$2:$E$71,MATCH(C3503,Produtos!$A$2:$A$71,0)),0)</f>
        <v/>
      </c>
      <c r="R3503" s="27">
        <f>D3503*Q3503</f>
        <v/>
      </c>
      <c r="S3503" s="27">
        <f>R3503*E3503</f>
        <v/>
      </c>
      <c r="T3503" s="27">
        <f>(R3503-S3503)*M3503</f>
        <v/>
      </c>
      <c r="U3503" s="27">
        <f>R3503-S3503-T3503</f>
        <v/>
      </c>
      <c r="V3503" s="27">
        <f>D3503*P3503</f>
        <v/>
      </c>
      <c r="W3503" s="27">
        <f>U3503-V3503</f>
        <v/>
      </c>
      <c r="X3503" s="28">
        <f>IFERROR(W3503/U3503,0)</f>
        <v/>
      </c>
    </row>
    <row r="3504">
      <c r="A3504" s="21">
        <f>ItensPedido!A3504</f>
        <v/>
      </c>
      <c r="B3504" s="21">
        <f>ItensPedido!B3504</f>
        <v/>
      </c>
      <c r="C3504" s="21">
        <f>ItensPedido!C3504</f>
        <v/>
      </c>
      <c r="D3504" s="21">
        <f>ItensPedido!D3504</f>
        <v/>
      </c>
      <c r="E3504" s="22">
        <f>ItensPedido!E3504</f>
        <v/>
      </c>
      <c r="F3504" s="21">
        <f>IFERROR(INDEX(Pedidos!$B$2:$B$1801,MATCH(B3504,Pedidos!$A$2:$A$1801,0)),0)</f>
        <v/>
      </c>
      <c r="G3504" s="21">
        <f>IF(F3504=0,"",YEAR(F3504))</f>
        <v/>
      </c>
      <c r="H3504" s="21">
        <f>IF(F3504=0,"",MONTH(F3504))</f>
        <v/>
      </c>
      <c r="I3504" s="21">
        <f>IFERROR(INDEX(Pedidos!$E$2:$E$1801,MATCH(B3504,Pedidos!$A$2:$A$1801,0)),"")</f>
        <v/>
      </c>
      <c r="J3504" s="21">
        <f>IFERROR(INDEX(Pedidos!$C$2:$C$1801,MATCH(B3504,Pedidos!$A$2:$A$1801,0)),"")</f>
        <v/>
      </c>
      <c r="K3504" s="21">
        <f>IFERROR(INDEX(Pedidos!$D$2:$D$1801,MATCH(B3504,Pedidos!$A$2:$A$1801,0)),"")</f>
        <v/>
      </c>
      <c r="L3504" s="21">
        <f>IFERROR(INDEX(Pedidos!$F$2:$F$1801,MATCH(B3504,Pedidos!$A$2:$A$1801,0)),"")</f>
        <v/>
      </c>
      <c r="M3504" s="22">
        <f>IFERROR(INDEX(Pedidos!$G$2:$G$1801,MATCH(B3504,Pedidos!$A$2:$A$1801,0)),0)</f>
        <v/>
      </c>
      <c r="N3504" s="21">
        <f>IFERROR(INDEX(Produtos!$B$2:$B$71,MATCH(C3504,Produtos!$A$2:$A$71,0)),"")</f>
        <v/>
      </c>
      <c r="O3504" s="21">
        <f>IFERROR(INDEX(Produtos!$C$2:$C$71,MATCH(C3504,Produtos!$A$2:$A$71,0)),"")</f>
        <v/>
      </c>
      <c r="P3504" s="21">
        <f>IFERROR(INDEX(Produtos!$D$2:$D$71,MATCH(C3504,Produtos!$A$2:$A$71,0)),0)</f>
        <v/>
      </c>
      <c r="Q3504" s="21">
        <f>IFERROR(INDEX(Produtos!$E$2:$E$71,MATCH(C3504,Produtos!$A$2:$A$71,0)),0)</f>
        <v/>
      </c>
      <c r="R3504" s="23">
        <f>D3504*Q3504</f>
        <v/>
      </c>
      <c r="S3504" s="23">
        <f>R3504*E3504</f>
        <v/>
      </c>
      <c r="T3504" s="23">
        <f>(R3504-S3504)*M3504</f>
        <v/>
      </c>
      <c r="U3504" s="23">
        <f>R3504-S3504-T3504</f>
        <v/>
      </c>
      <c r="V3504" s="23">
        <f>D3504*P3504</f>
        <v/>
      </c>
      <c r="W3504" s="23">
        <f>U3504-V3504</f>
        <v/>
      </c>
      <c r="X3504" s="24">
        <f>IFERROR(W3504/U3504,0)</f>
        <v/>
      </c>
    </row>
    <row r="3505">
      <c r="A3505" s="25">
        <f>ItensPedido!A3505</f>
        <v/>
      </c>
      <c r="B3505" s="25">
        <f>ItensPedido!B3505</f>
        <v/>
      </c>
      <c r="C3505" s="25">
        <f>ItensPedido!C3505</f>
        <v/>
      </c>
      <c r="D3505" s="25">
        <f>ItensPedido!D3505</f>
        <v/>
      </c>
      <c r="E3505" s="26">
        <f>ItensPedido!E3505</f>
        <v/>
      </c>
      <c r="F3505" s="25">
        <f>IFERROR(INDEX(Pedidos!$B$2:$B$1801,MATCH(B3505,Pedidos!$A$2:$A$1801,0)),0)</f>
        <v/>
      </c>
      <c r="G3505" s="25">
        <f>IF(F3505=0,"",YEAR(F3505))</f>
        <v/>
      </c>
      <c r="H3505" s="25">
        <f>IF(F3505=0,"",MONTH(F3505))</f>
        <v/>
      </c>
      <c r="I3505" s="25">
        <f>IFERROR(INDEX(Pedidos!$E$2:$E$1801,MATCH(B3505,Pedidos!$A$2:$A$1801,0)),"")</f>
        <v/>
      </c>
      <c r="J3505" s="25">
        <f>IFERROR(INDEX(Pedidos!$C$2:$C$1801,MATCH(B3505,Pedidos!$A$2:$A$1801,0)),"")</f>
        <v/>
      </c>
      <c r="K3505" s="25">
        <f>IFERROR(INDEX(Pedidos!$D$2:$D$1801,MATCH(B3505,Pedidos!$A$2:$A$1801,0)),"")</f>
        <v/>
      </c>
      <c r="L3505" s="25">
        <f>IFERROR(INDEX(Pedidos!$F$2:$F$1801,MATCH(B3505,Pedidos!$A$2:$A$1801,0)),"")</f>
        <v/>
      </c>
      <c r="M3505" s="26">
        <f>IFERROR(INDEX(Pedidos!$G$2:$G$1801,MATCH(B3505,Pedidos!$A$2:$A$1801,0)),0)</f>
        <v/>
      </c>
      <c r="N3505" s="25">
        <f>IFERROR(INDEX(Produtos!$B$2:$B$71,MATCH(C3505,Produtos!$A$2:$A$71,0)),"")</f>
        <v/>
      </c>
      <c r="O3505" s="25">
        <f>IFERROR(INDEX(Produtos!$C$2:$C$71,MATCH(C3505,Produtos!$A$2:$A$71,0)),"")</f>
        <v/>
      </c>
      <c r="P3505" s="25">
        <f>IFERROR(INDEX(Produtos!$D$2:$D$71,MATCH(C3505,Produtos!$A$2:$A$71,0)),0)</f>
        <v/>
      </c>
      <c r="Q3505" s="25">
        <f>IFERROR(INDEX(Produtos!$E$2:$E$71,MATCH(C3505,Produtos!$A$2:$A$71,0)),0)</f>
        <v/>
      </c>
      <c r="R3505" s="27">
        <f>D3505*Q3505</f>
        <v/>
      </c>
      <c r="S3505" s="27">
        <f>R3505*E3505</f>
        <v/>
      </c>
      <c r="T3505" s="27">
        <f>(R3505-S3505)*M3505</f>
        <v/>
      </c>
      <c r="U3505" s="27">
        <f>R3505-S3505-T3505</f>
        <v/>
      </c>
      <c r="V3505" s="27">
        <f>D3505*P3505</f>
        <v/>
      </c>
      <c r="W3505" s="27">
        <f>U3505-V3505</f>
        <v/>
      </c>
      <c r="X3505" s="28">
        <f>IFERROR(W3505/U3505,0)</f>
        <v/>
      </c>
    </row>
    <row r="3506">
      <c r="A3506" s="21">
        <f>ItensPedido!A3506</f>
        <v/>
      </c>
      <c r="B3506" s="21">
        <f>ItensPedido!B3506</f>
        <v/>
      </c>
      <c r="C3506" s="21">
        <f>ItensPedido!C3506</f>
        <v/>
      </c>
      <c r="D3506" s="21">
        <f>ItensPedido!D3506</f>
        <v/>
      </c>
      <c r="E3506" s="22">
        <f>ItensPedido!E3506</f>
        <v/>
      </c>
      <c r="F3506" s="21">
        <f>IFERROR(INDEX(Pedidos!$B$2:$B$1801,MATCH(B3506,Pedidos!$A$2:$A$1801,0)),0)</f>
        <v/>
      </c>
      <c r="G3506" s="21">
        <f>IF(F3506=0,"",YEAR(F3506))</f>
        <v/>
      </c>
      <c r="H3506" s="21">
        <f>IF(F3506=0,"",MONTH(F3506))</f>
        <v/>
      </c>
      <c r="I3506" s="21">
        <f>IFERROR(INDEX(Pedidos!$E$2:$E$1801,MATCH(B3506,Pedidos!$A$2:$A$1801,0)),"")</f>
        <v/>
      </c>
      <c r="J3506" s="21">
        <f>IFERROR(INDEX(Pedidos!$C$2:$C$1801,MATCH(B3506,Pedidos!$A$2:$A$1801,0)),"")</f>
        <v/>
      </c>
      <c r="K3506" s="21">
        <f>IFERROR(INDEX(Pedidos!$D$2:$D$1801,MATCH(B3506,Pedidos!$A$2:$A$1801,0)),"")</f>
        <v/>
      </c>
      <c r="L3506" s="21">
        <f>IFERROR(INDEX(Pedidos!$F$2:$F$1801,MATCH(B3506,Pedidos!$A$2:$A$1801,0)),"")</f>
        <v/>
      </c>
      <c r="M3506" s="22">
        <f>IFERROR(INDEX(Pedidos!$G$2:$G$1801,MATCH(B3506,Pedidos!$A$2:$A$1801,0)),0)</f>
        <v/>
      </c>
      <c r="N3506" s="21">
        <f>IFERROR(INDEX(Produtos!$B$2:$B$71,MATCH(C3506,Produtos!$A$2:$A$71,0)),"")</f>
        <v/>
      </c>
      <c r="O3506" s="21">
        <f>IFERROR(INDEX(Produtos!$C$2:$C$71,MATCH(C3506,Produtos!$A$2:$A$71,0)),"")</f>
        <v/>
      </c>
      <c r="P3506" s="21">
        <f>IFERROR(INDEX(Produtos!$D$2:$D$71,MATCH(C3506,Produtos!$A$2:$A$71,0)),0)</f>
        <v/>
      </c>
      <c r="Q3506" s="21">
        <f>IFERROR(INDEX(Produtos!$E$2:$E$71,MATCH(C3506,Produtos!$A$2:$A$71,0)),0)</f>
        <v/>
      </c>
      <c r="R3506" s="23">
        <f>D3506*Q3506</f>
        <v/>
      </c>
      <c r="S3506" s="23">
        <f>R3506*E3506</f>
        <v/>
      </c>
      <c r="T3506" s="23">
        <f>(R3506-S3506)*M3506</f>
        <v/>
      </c>
      <c r="U3506" s="23">
        <f>R3506-S3506-T3506</f>
        <v/>
      </c>
      <c r="V3506" s="23">
        <f>D3506*P3506</f>
        <v/>
      </c>
      <c r="W3506" s="23">
        <f>U3506-V3506</f>
        <v/>
      </c>
      <c r="X3506" s="24">
        <f>IFERROR(W3506/U3506,0)</f>
        <v/>
      </c>
    </row>
    <row r="3507">
      <c r="A3507" s="25">
        <f>ItensPedido!A3507</f>
        <v/>
      </c>
      <c r="B3507" s="25">
        <f>ItensPedido!B3507</f>
        <v/>
      </c>
      <c r="C3507" s="25">
        <f>ItensPedido!C3507</f>
        <v/>
      </c>
      <c r="D3507" s="25">
        <f>ItensPedido!D3507</f>
        <v/>
      </c>
      <c r="E3507" s="26">
        <f>ItensPedido!E3507</f>
        <v/>
      </c>
      <c r="F3507" s="25">
        <f>IFERROR(INDEX(Pedidos!$B$2:$B$1801,MATCH(B3507,Pedidos!$A$2:$A$1801,0)),0)</f>
        <v/>
      </c>
      <c r="G3507" s="25">
        <f>IF(F3507=0,"",YEAR(F3507))</f>
        <v/>
      </c>
      <c r="H3507" s="25">
        <f>IF(F3507=0,"",MONTH(F3507))</f>
        <v/>
      </c>
      <c r="I3507" s="25">
        <f>IFERROR(INDEX(Pedidos!$E$2:$E$1801,MATCH(B3507,Pedidos!$A$2:$A$1801,0)),"")</f>
        <v/>
      </c>
      <c r="J3507" s="25">
        <f>IFERROR(INDEX(Pedidos!$C$2:$C$1801,MATCH(B3507,Pedidos!$A$2:$A$1801,0)),"")</f>
        <v/>
      </c>
      <c r="K3507" s="25">
        <f>IFERROR(INDEX(Pedidos!$D$2:$D$1801,MATCH(B3507,Pedidos!$A$2:$A$1801,0)),"")</f>
        <v/>
      </c>
      <c r="L3507" s="25">
        <f>IFERROR(INDEX(Pedidos!$F$2:$F$1801,MATCH(B3507,Pedidos!$A$2:$A$1801,0)),"")</f>
        <v/>
      </c>
      <c r="M3507" s="26">
        <f>IFERROR(INDEX(Pedidos!$G$2:$G$1801,MATCH(B3507,Pedidos!$A$2:$A$1801,0)),0)</f>
        <v/>
      </c>
      <c r="N3507" s="25">
        <f>IFERROR(INDEX(Produtos!$B$2:$B$71,MATCH(C3507,Produtos!$A$2:$A$71,0)),"")</f>
        <v/>
      </c>
      <c r="O3507" s="25">
        <f>IFERROR(INDEX(Produtos!$C$2:$C$71,MATCH(C3507,Produtos!$A$2:$A$71,0)),"")</f>
        <v/>
      </c>
      <c r="P3507" s="25">
        <f>IFERROR(INDEX(Produtos!$D$2:$D$71,MATCH(C3507,Produtos!$A$2:$A$71,0)),0)</f>
        <v/>
      </c>
      <c r="Q3507" s="25">
        <f>IFERROR(INDEX(Produtos!$E$2:$E$71,MATCH(C3507,Produtos!$A$2:$A$71,0)),0)</f>
        <v/>
      </c>
      <c r="R3507" s="27">
        <f>D3507*Q3507</f>
        <v/>
      </c>
      <c r="S3507" s="27">
        <f>R3507*E3507</f>
        <v/>
      </c>
      <c r="T3507" s="27">
        <f>(R3507-S3507)*M3507</f>
        <v/>
      </c>
      <c r="U3507" s="27">
        <f>R3507-S3507-T3507</f>
        <v/>
      </c>
      <c r="V3507" s="27">
        <f>D3507*P3507</f>
        <v/>
      </c>
      <c r="W3507" s="27">
        <f>U3507-V3507</f>
        <v/>
      </c>
      <c r="X3507" s="28">
        <f>IFERROR(W3507/U3507,0)</f>
        <v/>
      </c>
    </row>
    <row r="3508">
      <c r="A3508" s="21">
        <f>ItensPedido!A3508</f>
        <v/>
      </c>
      <c r="B3508" s="21">
        <f>ItensPedido!B3508</f>
        <v/>
      </c>
      <c r="C3508" s="21">
        <f>ItensPedido!C3508</f>
        <v/>
      </c>
      <c r="D3508" s="21">
        <f>ItensPedido!D3508</f>
        <v/>
      </c>
      <c r="E3508" s="22">
        <f>ItensPedido!E3508</f>
        <v/>
      </c>
      <c r="F3508" s="21">
        <f>IFERROR(INDEX(Pedidos!$B$2:$B$1801,MATCH(B3508,Pedidos!$A$2:$A$1801,0)),0)</f>
        <v/>
      </c>
      <c r="G3508" s="21">
        <f>IF(F3508=0,"",YEAR(F3508))</f>
        <v/>
      </c>
      <c r="H3508" s="21">
        <f>IF(F3508=0,"",MONTH(F3508))</f>
        <v/>
      </c>
      <c r="I3508" s="21">
        <f>IFERROR(INDEX(Pedidos!$E$2:$E$1801,MATCH(B3508,Pedidos!$A$2:$A$1801,0)),"")</f>
        <v/>
      </c>
      <c r="J3508" s="21">
        <f>IFERROR(INDEX(Pedidos!$C$2:$C$1801,MATCH(B3508,Pedidos!$A$2:$A$1801,0)),"")</f>
        <v/>
      </c>
      <c r="K3508" s="21">
        <f>IFERROR(INDEX(Pedidos!$D$2:$D$1801,MATCH(B3508,Pedidos!$A$2:$A$1801,0)),"")</f>
        <v/>
      </c>
      <c r="L3508" s="21">
        <f>IFERROR(INDEX(Pedidos!$F$2:$F$1801,MATCH(B3508,Pedidos!$A$2:$A$1801,0)),"")</f>
        <v/>
      </c>
      <c r="M3508" s="22">
        <f>IFERROR(INDEX(Pedidos!$G$2:$G$1801,MATCH(B3508,Pedidos!$A$2:$A$1801,0)),0)</f>
        <v/>
      </c>
      <c r="N3508" s="21">
        <f>IFERROR(INDEX(Produtos!$B$2:$B$71,MATCH(C3508,Produtos!$A$2:$A$71,0)),"")</f>
        <v/>
      </c>
      <c r="O3508" s="21">
        <f>IFERROR(INDEX(Produtos!$C$2:$C$71,MATCH(C3508,Produtos!$A$2:$A$71,0)),"")</f>
        <v/>
      </c>
      <c r="P3508" s="21">
        <f>IFERROR(INDEX(Produtos!$D$2:$D$71,MATCH(C3508,Produtos!$A$2:$A$71,0)),0)</f>
        <v/>
      </c>
      <c r="Q3508" s="21">
        <f>IFERROR(INDEX(Produtos!$E$2:$E$71,MATCH(C3508,Produtos!$A$2:$A$71,0)),0)</f>
        <v/>
      </c>
      <c r="R3508" s="23">
        <f>D3508*Q3508</f>
        <v/>
      </c>
      <c r="S3508" s="23">
        <f>R3508*E3508</f>
        <v/>
      </c>
      <c r="T3508" s="23">
        <f>(R3508-S3508)*M3508</f>
        <v/>
      </c>
      <c r="U3508" s="23">
        <f>R3508-S3508-T3508</f>
        <v/>
      </c>
      <c r="V3508" s="23">
        <f>D3508*P3508</f>
        <v/>
      </c>
      <c r="W3508" s="23">
        <f>U3508-V3508</f>
        <v/>
      </c>
      <c r="X3508" s="24">
        <f>IFERROR(W3508/U3508,0)</f>
        <v/>
      </c>
    </row>
    <row r="3509">
      <c r="A3509" s="25">
        <f>ItensPedido!A3509</f>
        <v/>
      </c>
      <c r="B3509" s="25">
        <f>ItensPedido!B3509</f>
        <v/>
      </c>
      <c r="C3509" s="25">
        <f>ItensPedido!C3509</f>
        <v/>
      </c>
      <c r="D3509" s="25">
        <f>ItensPedido!D3509</f>
        <v/>
      </c>
      <c r="E3509" s="26">
        <f>ItensPedido!E3509</f>
        <v/>
      </c>
      <c r="F3509" s="25">
        <f>IFERROR(INDEX(Pedidos!$B$2:$B$1801,MATCH(B3509,Pedidos!$A$2:$A$1801,0)),0)</f>
        <v/>
      </c>
      <c r="G3509" s="25">
        <f>IF(F3509=0,"",YEAR(F3509))</f>
        <v/>
      </c>
      <c r="H3509" s="25">
        <f>IF(F3509=0,"",MONTH(F3509))</f>
        <v/>
      </c>
      <c r="I3509" s="25">
        <f>IFERROR(INDEX(Pedidos!$E$2:$E$1801,MATCH(B3509,Pedidos!$A$2:$A$1801,0)),"")</f>
        <v/>
      </c>
      <c r="J3509" s="25">
        <f>IFERROR(INDEX(Pedidos!$C$2:$C$1801,MATCH(B3509,Pedidos!$A$2:$A$1801,0)),"")</f>
        <v/>
      </c>
      <c r="K3509" s="25">
        <f>IFERROR(INDEX(Pedidos!$D$2:$D$1801,MATCH(B3509,Pedidos!$A$2:$A$1801,0)),"")</f>
        <v/>
      </c>
      <c r="L3509" s="25">
        <f>IFERROR(INDEX(Pedidos!$F$2:$F$1801,MATCH(B3509,Pedidos!$A$2:$A$1801,0)),"")</f>
        <v/>
      </c>
      <c r="M3509" s="26">
        <f>IFERROR(INDEX(Pedidos!$G$2:$G$1801,MATCH(B3509,Pedidos!$A$2:$A$1801,0)),0)</f>
        <v/>
      </c>
      <c r="N3509" s="25">
        <f>IFERROR(INDEX(Produtos!$B$2:$B$71,MATCH(C3509,Produtos!$A$2:$A$71,0)),"")</f>
        <v/>
      </c>
      <c r="O3509" s="25">
        <f>IFERROR(INDEX(Produtos!$C$2:$C$71,MATCH(C3509,Produtos!$A$2:$A$71,0)),"")</f>
        <v/>
      </c>
      <c r="P3509" s="25">
        <f>IFERROR(INDEX(Produtos!$D$2:$D$71,MATCH(C3509,Produtos!$A$2:$A$71,0)),0)</f>
        <v/>
      </c>
      <c r="Q3509" s="25">
        <f>IFERROR(INDEX(Produtos!$E$2:$E$71,MATCH(C3509,Produtos!$A$2:$A$71,0)),0)</f>
        <v/>
      </c>
      <c r="R3509" s="27">
        <f>D3509*Q3509</f>
        <v/>
      </c>
      <c r="S3509" s="27">
        <f>R3509*E3509</f>
        <v/>
      </c>
      <c r="T3509" s="27">
        <f>(R3509-S3509)*M3509</f>
        <v/>
      </c>
      <c r="U3509" s="27">
        <f>R3509-S3509-T3509</f>
        <v/>
      </c>
      <c r="V3509" s="27">
        <f>D3509*P3509</f>
        <v/>
      </c>
      <c r="W3509" s="27">
        <f>U3509-V3509</f>
        <v/>
      </c>
      <c r="X3509" s="28">
        <f>IFERROR(W3509/U3509,0)</f>
        <v/>
      </c>
    </row>
    <row r="3510">
      <c r="A3510" s="21">
        <f>ItensPedido!A3510</f>
        <v/>
      </c>
      <c r="B3510" s="21">
        <f>ItensPedido!B3510</f>
        <v/>
      </c>
      <c r="C3510" s="21">
        <f>ItensPedido!C3510</f>
        <v/>
      </c>
      <c r="D3510" s="21">
        <f>ItensPedido!D3510</f>
        <v/>
      </c>
      <c r="E3510" s="22">
        <f>ItensPedido!E3510</f>
        <v/>
      </c>
      <c r="F3510" s="21">
        <f>IFERROR(INDEX(Pedidos!$B$2:$B$1801,MATCH(B3510,Pedidos!$A$2:$A$1801,0)),0)</f>
        <v/>
      </c>
      <c r="G3510" s="21">
        <f>IF(F3510=0,"",YEAR(F3510))</f>
        <v/>
      </c>
      <c r="H3510" s="21">
        <f>IF(F3510=0,"",MONTH(F3510))</f>
        <v/>
      </c>
      <c r="I3510" s="21">
        <f>IFERROR(INDEX(Pedidos!$E$2:$E$1801,MATCH(B3510,Pedidos!$A$2:$A$1801,0)),"")</f>
        <v/>
      </c>
      <c r="J3510" s="21">
        <f>IFERROR(INDEX(Pedidos!$C$2:$C$1801,MATCH(B3510,Pedidos!$A$2:$A$1801,0)),"")</f>
        <v/>
      </c>
      <c r="K3510" s="21">
        <f>IFERROR(INDEX(Pedidos!$D$2:$D$1801,MATCH(B3510,Pedidos!$A$2:$A$1801,0)),"")</f>
        <v/>
      </c>
      <c r="L3510" s="21">
        <f>IFERROR(INDEX(Pedidos!$F$2:$F$1801,MATCH(B3510,Pedidos!$A$2:$A$1801,0)),"")</f>
        <v/>
      </c>
      <c r="M3510" s="22">
        <f>IFERROR(INDEX(Pedidos!$G$2:$G$1801,MATCH(B3510,Pedidos!$A$2:$A$1801,0)),0)</f>
        <v/>
      </c>
      <c r="N3510" s="21">
        <f>IFERROR(INDEX(Produtos!$B$2:$B$71,MATCH(C3510,Produtos!$A$2:$A$71,0)),"")</f>
        <v/>
      </c>
      <c r="O3510" s="21">
        <f>IFERROR(INDEX(Produtos!$C$2:$C$71,MATCH(C3510,Produtos!$A$2:$A$71,0)),"")</f>
        <v/>
      </c>
      <c r="P3510" s="21">
        <f>IFERROR(INDEX(Produtos!$D$2:$D$71,MATCH(C3510,Produtos!$A$2:$A$71,0)),0)</f>
        <v/>
      </c>
      <c r="Q3510" s="21">
        <f>IFERROR(INDEX(Produtos!$E$2:$E$71,MATCH(C3510,Produtos!$A$2:$A$71,0)),0)</f>
        <v/>
      </c>
      <c r="R3510" s="23">
        <f>D3510*Q3510</f>
        <v/>
      </c>
      <c r="S3510" s="23">
        <f>R3510*E3510</f>
        <v/>
      </c>
      <c r="T3510" s="23">
        <f>(R3510-S3510)*M3510</f>
        <v/>
      </c>
      <c r="U3510" s="23">
        <f>R3510-S3510-T3510</f>
        <v/>
      </c>
      <c r="V3510" s="23">
        <f>D3510*P3510</f>
        <v/>
      </c>
      <c r="W3510" s="23">
        <f>U3510-V3510</f>
        <v/>
      </c>
      <c r="X3510" s="24">
        <f>IFERROR(W3510/U3510,0)</f>
        <v/>
      </c>
    </row>
    <row r="3511">
      <c r="A3511" s="25">
        <f>ItensPedido!A3511</f>
        <v/>
      </c>
      <c r="B3511" s="25">
        <f>ItensPedido!B3511</f>
        <v/>
      </c>
      <c r="C3511" s="25">
        <f>ItensPedido!C3511</f>
        <v/>
      </c>
      <c r="D3511" s="25">
        <f>ItensPedido!D3511</f>
        <v/>
      </c>
      <c r="E3511" s="26">
        <f>ItensPedido!E3511</f>
        <v/>
      </c>
      <c r="F3511" s="25">
        <f>IFERROR(INDEX(Pedidos!$B$2:$B$1801,MATCH(B3511,Pedidos!$A$2:$A$1801,0)),0)</f>
        <v/>
      </c>
      <c r="G3511" s="25">
        <f>IF(F3511=0,"",YEAR(F3511))</f>
        <v/>
      </c>
      <c r="H3511" s="25">
        <f>IF(F3511=0,"",MONTH(F3511))</f>
        <v/>
      </c>
      <c r="I3511" s="25">
        <f>IFERROR(INDEX(Pedidos!$E$2:$E$1801,MATCH(B3511,Pedidos!$A$2:$A$1801,0)),"")</f>
        <v/>
      </c>
      <c r="J3511" s="25">
        <f>IFERROR(INDEX(Pedidos!$C$2:$C$1801,MATCH(B3511,Pedidos!$A$2:$A$1801,0)),"")</f>
        <v/>
      </c>
      <c r="K3511" s="25">
        <f>IFERROR(INDEX(Pedidos!$D$2:$D$1801,MATCH(B3511,Pedidos!$A$2:$A$1801,0)),"")</f>
        <v/>
      </c>
      <c r="L3511" s="25">
        <f>IFERROR(INDEX(Pedidos!$F$2:$F$1801,MATCH(B3511,Pedidos!$A$2:$A$1801,0)),"")</f>
        <v/>
      </c>
      <c r="M3511" s="26">
        <f>IFERROR(INDEX(Pedidos!$G$2:$G$1801,MATCH(B3511,Pedidos!$A$2:$A$1801,0)),0)</f>
        <v/>
      </c>
      <c r="N3511" s="25">
        <f>IFERROR(INDEX(Produtos!$B$2:$B$71,MATCH(C3511,Produtos!$A$2:$A$71,0)),"")</f>
        <v/>
      </c>
      <c r="O3511" s="25">
        <f>IFERROR(INDEX(Produtos!$C$2:$C$71,MATCH(C3511,Produtos!$A$2:$A$71,0)),"")</f>
        <v/>
      </c>
      <c r="P3511" s="25">
        <f>IFERROR(INDEX(Produtos!$D$2:$D$71,MATCH(C3511,Produtos!$A$2:$A$71,0)),0)</f>
        <v/>
      </c>
      <c r="Q3511" s="25">
        <f>IFERROR(INDEX(Produtos!$E$2:$E$71,MATCH(C3511,Produtos!$A$2:$A$71,0)),0)</f>
        <v/>
      </c>
      <c r="R3511" s="27">
        <f>D3511*Q3511</f>
        <v/>
      </c>
      <c r="S3511" s="27">
        <f>R3511*E3511</f>
        <v/>
      </c>
      <c r="T3511" s="27">
        <f>(R3511-S3511)*M3511</f>
        <v/>
      </c>
      <c r="U3511" s="27">
        <f>R3511-S3511-T3511</f>
        <v/>
      </c>
      <c r="V3511" s="27">
        <f>D3511*P3511</f>
        <v/>
      </c>
      <c r="W3511" s="27">
        <f>U3511-V3511</f>
        <v/>
      </c>
      <c r="X3511" s="28">
        <f>IFERROR(W3511/U3511,0)</f>
        <v/>
      </c>
    </row>
    <row r="3512">
      <c r="A3512" s="21">
        <f>ItensPedido!A3512</f>
        <v/>
      </c>
      <c r="B3512" s="21">
        <f>ItensPedido!B3512</f>
        <v/>
      </c>
      <c r="C3512" s="21">
        <f>ItensPedido!C3512</f>
        <v/>
      </c>
      <c r="D3512" s="21">
        <f>ItensPedido!D3512</f>
        <v/>
      </c>
      <c r="E3512" s="22">
        <f>ItensPedido!E3512</f>
        <v/>
      </c>
      <c r="F3512" s="21">
        <f>IFERROR(INDEX(Pedidos!$B$2:$B$1801,MATCH(B3512,Pedidos!$A$2:$A$1801,0)),0)</f>
        <v/>
      </c>
      <c r="G3512" s="21">
        <f>IF(F3512=0,"",YEAR(F3512))</f>
        <v/>
      </c>
      <c r="H3512" s="21">
        <f>IF(F3512=0,"",MONTH(F3512))</f>
        <v/>
      </c>
      <c r="I3512" s="21">
        <f>IFERROR(INDEX(Pedidos!$E$2:$E$1801,MATCH(B3512,Pedidos!$A$2:$A$1801,0)),"")</f>
        <v/>
      </c>
      <c r="J3512" s="21">
        <f>IFERROR(INDEX(Pedidos!$C$2:$C$1801,MATCH(B3512,Pedidos!$A$2:$A$1801,0)),"")</f>
        <v/>
      </c>
      <c r="K3512" s="21">
        <f>IFERROR(INDEX(Pedidos!$D$2:$D$1801,MATCH(B3512,Pedidos!$A$2:$A$1801,0)),"")</f>
        <v/>
      </c>
      <c r="L3512" s="21">
        <f>IFERROR(INDEX(Pedidos!$F$2:$F$1801,MATCH(B3512,Pedidos!$A$2:$A$1801,0)),"")</f>
        <v/>
      </c>
      <c r="M3512" s="22">
        <f>IFERROR(INDEX(Pedidos!$G$2:$G$1801,MATCH(B3512,Pedidos!$A$2:$A$1801,0)),0)</f>
        <v/>
      </c>
      <c r="N3512" s="21">
        <f>IFERROR(INDEX(Produtos!$B$2:$B$71,MATCH(C3512,Produtos!$A$2:$A$71,0)),"")</f>
        <v/>
      </c>
      <c r="O3512" s="21">
        <f>IFERROR(INDEX(Produtos!$C$2:$C$71,MATCH(C3512,Produtos!$A$2:$A$71,0)),"")</f>
        <v/>
      </c>
      <c r="P3512" s="21">
        <f>IFERROR(INDEX(Produtos!$D$2:$D$71,MATCH(C3512,Produtos!$A$2:$A$71,0)),0)</f>
        <v/>
      </c>
      <c r="Q3512" s="21">
        <f>IFERROR(INDEX(Produtos!$E$2:$E$71,MATCH(C3512,Produtos!$A$2:$A$71,0)),0)</f>
        <v/>
      </c>
      <c r="R3512" s="23">
        <f>D3512*Q3512</f>
        <v/>
      </c>
      <c r="S3512" s="23">
        <f>R3512*E3512</f>
        <v/>
      </c>
      <c r="T3512" s="23">
        <f>(R3512-S3512)*M3512</f>
        <v/>
      </c>
      <c r="U3512" s="23">
        <f>R3512-S3512-T3512</f>
        <v/>
      </c>
      <c r="V3512" s="23">
        <f>D3512*P3512</f>
        <v/>
      </c>
      <c r="W3512" s="23">
        <f>U3512-V3512</f>
        <v/>
      </c>
      <c r="X3512" s="24">
        <f>IFERROR(W3512/U3512,0)</f>
        <v/>
      </c>
    </row>
    <row r="3513">
      <c r="A3513" s="25">
        <f>ItensPedido!A3513</f>
        <v/>
      </c>
      <c r="B3513" s="25">
        <f>ItensPedido!B3513</f>
        <v/>
      </c>
      <c r="C3513" s="25">
        <f>ItensPedido!C3513</f>
        <v/>
      </c>
      <c r="D3513" s="25">
        <f>ItensPedido!D3513</f>
        <v/>
      </c>
      <c r="E3513" s="26">
        <f>ItensPedido!E3513</f>
        <v/>
      </c>
      <c r="F3513" s="25">
        <f>IFERROR(INDEX(Pedidos!$B$2:$B$1801,MATCH(B3513,Pedidos!$A$2:$A$1801,0)),0)</f>
        <v/>
      </c>
      <c r="G3513" s="25">
        <f>IF(F3513=0,"",YEAR(F3513))</f>
        <v/>
      </c>
      <c r="H3513" s="25">
        <f>IF(F3513=0,"",MONTH(F3513))</f>
        <v/>
      </c>
      <c r="I3513" s="25">
        <f>IFERROR(INDEX(Pedidos!$E$2:$E$1801,MATCH(B3513,Pedidos!$A$2:$A$1801,0)),"")</f>
        <v/>
      </c>
      <c r="J3513" s="25">
        <f>IFERROR(INDEX(Pedidos!$C$2:$C$1801,MATCH(B3513,Pedidos!$A$2:$A$1801,0)),"")</f>
        <v/>
      </c>
      <c r="K3513" s="25">
        <f>IFERROR(INDEX(Pedidos!$D$2:$D$1801,MATCH(B3513,Pedidos!$A$2:$A$1801,0)),"")</f>
        <v/>
      </c>
      <c r="L3513" s="25">
        <f>IFERROR(INDEX(Pedidos!$F$2:$F$1801,MATCH(B3513,Pedidos!$A$2:$A$1801,0)),"")</f>
        <v/>
      </c>
      <c r="M3513" s="26">
        <f>IFERROR(INDEX(Pedidos!$G$2:$G$1801,MATCH(B3513,Pedidos!$A$2:$A$1801,0)),0)</f>
        <v/>
      </c>
      <c r="N3513" s="25">
        <f>IFERROR(INDEX(Produtos!$B$2:$B$71,MATCH(C3513,Produtos!$A$2:$A$71,0)),"")</f>
        <v/>
      </c>
      <c r="O3513" s="25">
        <f>IFERROR(INDEX(Produtos!$C$2:$C$71,MATCH(C3513,Produtos!$A$2:$A$71,0)),"")</f>
        <v/>
      </c>
      <c r="P3513" s="25">
        <f>IFERROR(INDEX(Produtos!$D$2:$D$71,MATCH(C3513,Produtos!$A$2:$A$71,0)),0)</f>
        <v/>
      </c>
      <c r="Q3513" s="25">
        <f>IFERROR(INDEX(Produtos!$E$2:$E$71,MATCH(C3513,Produtos!$A$2:$A$71,0)),0)</f>
        <v/>
      </c>
      <c r="R3513" s="27">
        <f>D3513*Q3513</f>
        <v/>
      </c>
      <c r="S3513" s="27">
        <f>R3513*E3513</f>
        <v/>
      </c>
      <c r="T3513" s="27">
        <f>(R3513-S3513)*M3513</f>
        <v/>
      </c>
      <c r="U3513" s="27">
        <f>R3513-S3513-T3513</f>
        <v/>
      </c>
      <c r="V3513" s="27">
        <f>D3513*P3513</f>
        <v/>
      </c>
      <c r="W3513" s="27">
        <f>U3513-V3513</f>
        <v/>
      </c>
      <c r="X3513" s="28">
        <f>IFERROR(W3513/U3513,0)</f>
        <v/>
      </c>
    </row>
    <row r="3514">
      <c r="A3514" s="21">
        <f>ItensPedido!A3514</f>
        <v/>
      </c>
      <c r="B3514" s="21">
        <f>ItensPedido!B3514</f>
        <v/>
      </c>
      <c r="C3514" s="21">
        <f>ItensPedido!C3514</f>
        <v/>
      </c>
      <c r="D3514" s="21">
        <f>ItensPedido!D3514</f>
        <v/>
      </c>
      <c r="E3514" s="22">
        <f>ItensPedido!E3514</f>
        <v/>
      </c>
      <c r="F3514" s="21">
        <f>IFERROR(INDEX(Pedidos!$B$2:$B$1801,MATCH(B3514,Pedidos!$A$2:$A$1801,0)),0)</f>
        <v/>
      </c>
      <c r="G3514" s="21">
        <f>IF(F3514=0,"",YEAR(F3514))</f>
        <v/>
      </c>
      <c r="H3514" s="21">
        <f>IF(F3514=0,"",MONTH(F3514))</f>
        <v/>
      </c>
      <c r="I3514" s="21">
        <f>IFERROR(INDEX(Pedidos!$E$2:$E$1801,MATCH(B3514,Pedidos!$A$2:$A$1801,0)),"")</f>
        <v/>
      </c>
      <c r="J3514" s="21">
        <f>IFERROR(INDEX(Pedidos!$C$2:$C$1801,MATCH(B3514,Pedidos!$A$2:$A$1801,0)),"")</f>
        <v/>
      </c>
      <c r="K3514" s="21">
        <f>IFERROR(INDEX(Pedidos!$D$2:$D$1801,MATCH(B3514,Pedidos!$A$2:$A$1801,0)),"")</f>
        <v/>
      </c>
      <c r="L3514" s="21">
        <f>IFERROR(INDEX(Pedidos!$F$2:$F$1801,MATCH(B3514,Pedidos!$A$2:$A$1801,0)),"")</f>
        <v/>
      </c>
      <c r="M3514" s="22">
        <f>IFERROR(INDEX(Pedidos!$G$2:$G$1801,MATCH(B3514,Pedidos!$A$2:$A$1801,0)),0)</f>
        <v/>
      </c>
      <c r="N3514" s="21">
        <f>IFERROR(INDEX(Produtos!$B$2:$B$71,MATCH(C3514,Produtos!$A$2:$A$71,0)),"")</f>
        <v/>
      </c>
      <c r="O3514" s="21">
        <f>IFERROR(INDEX(Produtos!$C$2:$C$71,MATCH(C3514,Produtos!$A$2:$A$71,0)),"")</f>
        <v/>
      </c>
      <c r="P3514" s="21">
        <f>IFERROR(INDEX(Produtos!$D$2:$D$71,MATCH(C3514,Produtos!$A$2:$A$71,0)),0)</f>
        <v/>
      </c>
      <c r="Q3514" s="21">
        <f>IFERROR(INDEX(Produtos!$E$2:$E$71,MATCH(C3514,Produtos!$A$2:$A$71,0)),0)</f>
        <v/>
      </c>
      <c r="R3514" s="23">
        <f>D3514*Q3514</f>
        <v/>
      </c>
      <c r="S3514" s="23">
        <f>R3514*E3514</f>
        <v/>
      </c>
      <c r="T3514" s="23">
        <f>(R3514-S3514)*M3514</f>
        <v/>
      </c>
      <c r="U3514" s="23">
        <f>R3514-S3514-T3514</f>
        <v/>
      </c>
      <c r="V3514" s="23">
        <f>D3514*P3514</f>
        <v/>
      </c>
      <c r="W3514" s="23">
        <f>U3514-V3514</f>
        <v/>
      </c>
      <c r="X3514" s="24">
        <f>IFERROR(W3514/U3514,0)</f>
        <v/>
      </c>
    </row>
    <row r="3515">
      <c r="A3515" s="25">
        <f>ItensPedido!A3515</f>
        <v/>
      </c>
      <c r="B3515" s="25">
        <f>ItensPedido!B3515</f>
        <v/>
      </c>
      <c r="C3515" s="25">
        <f>ItensPedido!C3515</f>
        <v/>
      </c>
      <c r="D3515" s="25">
        <f>ItensPedido!D3515</f>
        <v/>
      </c>
      <c r="E3515" s="26">
        <f>ItensPedido!E3515</f>
        <v/>
      </c>
      <c r="F3515" s="25">
        <f>IFERROR(INDEX(Pedidos!$B$2:$B$1801,MATCH(B3515,Pedidos!$A$2:$A$1801,0)),0)</f>
        <v/>
      </c>
      <c r="G3515" s="25">
        <f>IF(F3515=0,"",YEAR(F3515))</f>
        <v/>
      </c>
      <c r="H3515" s="25">
        <f>IF(F3515=0,"",MONTH(F3515))</f>
        <v/>
      </c>
      <c r="I3515" s="25">
        <f>IFERROR(INDEX(Pedidos!$E$2:$E$1801,MATCH(B3515,Pedidos!$A$2:$A$1801,0)),"")</f>
        <v/>
      </c>
      <c r="J3515" s="25">
        <f>IFERROR(INDEX(Pedidos!$C$2:$C$1801,MATCH(B3515,Pedidos!$A$2:$A$1801,0)),"")</f>
        <v/>
      </c>
      <c r="K3515" s="25">
        <f>IFERROR(INDEX(Pedidos!$D$2:$D$1801,MATCH(B3515,Pedidos!$A$2:$A$1801,0)),"")</f>
        <v/>
      </c>
      <c r="L3515" s="25">
        <f>IFERROR(INDEX(Pedidos!$F$2:$F$1801,MATCH(B3515,Pedidos!$A$2:$A$1801,0)),"")</f>
        <v/>
      </c>
      <c r="M3515" s="26">
        <f>IFERROR(INDEX(Pedidos!$G$2:$G$1801,MATCH(B3515,Pedidos!$A$2:$A$1801,0)),0)</f>
        <v/>
      </c>
      <c r="N3515" s="25">
        <f>IFERROR(INDEX(Produtos!$B$2:$B$71,MATCH(C3515,Produtos!$A$2:$A$71,0)),"")</f>
        <v/>
      </c>
      <c r="O3515" s="25">
        <f>IFERROR(INDEX(Produtos!$C$2:$C$71,MATCH(C3515,Produtos!$A$2:$A$71,0)),"")</f>
        <v/>
      </c>
      <c r="P3515" s="25">
        <f>IFERROR(INDEX(Produtos!$D$2:$D$71,MATCH(C3515,Produtos!$A$2:$A$71,0)),0)</f>
        <v/>
      </c>
      <c r="Q3515" s="25">
        <f>IFERROR(INDEX(Produtos!$E$2:$E$71,MATCH(C3515,Produtos!$A$2:$A$71,0)),0)</f>
        <v/>
      </c>
      <c r="R3515" s="27">
        <f>D3515*Q3515</f>
        <v/>
      </c>
      <c r="S3515" s="27">
        <f>R3515*E3515</f>
        <v/>
      </c>
      <c r="T3515" s="27">
        <f>(R3515-S3515)*M3515</f>
        <v/>
      </c>
      <c r="U3515" s="27">
        <f>R3515-S3515-T3515</f>
        <v/>
      </c>
      <c r="V3515" s="27">
        <f>D3515*P3515</f>
        <v/>
      </c>
      <c r="W3515" s="27">
        <f>U3515-V3515</f>
        <v/>
      </c>
      <c r="X3515" s="28">
        <f>IFERROR(W3515/U3515,0)</f>
        <v/>
      </c>
    </row>
    <row r="3516">
      <c r="A3516" s="21">
        <f>ItensPedido!A3516</f>
        <v/>
      </c>
      <c r="B3516" s="21">
        <f>ItensPedido!B3516</f>
        <v/>
      </c>
      <c r="C3516" s="21">
        <f>ItensPedido!C3516</f>
        <v/>
      </c>
      <c r="D3516" s="21">
        <f>ItensPedido!D3516</f>
        <v/>
      </c>
      <c r="E3516" s="22">
        <f>ItensPedido!E3516</f>
        <v/>
      </c>
      <c r="F3516" s="21">
        <f>IFERROR(INDEX(Pedidos!$B$2:$B$1801,MATCH(B3516,Pedidos!$A$2:$A$1801,0)),0)</f>
        <v/>
      </c>
      <c r="G3516" s="21">
        <f>IF(F3516=0,"",YEAR(F3516))</f>
        <v/>
      </c>
      <c r="H3516" s="21">
        <f>IF(F3516=0,"",MONTH(F3516))</f>
        <v/>
      </c>
      <c r="I3516" s="21">
        <f>IFERROR(INDEX(Pedidos!$E$2:$E$1801,MATCH(B3516,Pedidos!$A$2:$A$1801,0)),"")</f>
        <v/>
      </c>
      <c r="J3516" s="21">
        <f>IFERROR(INDEX(Pedidos!$C$2:$C$1801,MATCH(B3516,Pedidos!$A$2:$A$1801,0)),"")</f>
        <v/>
      </c>
      <c r="K3516" s="21">
        <f>IFERROR(INDEX(Pedidos!$D$2:$D$1801,MATCH(B3516,Pedidos!$A$2:$A$1801,0)),"")</f>
        <v/>
      </c>
      <c r="L3516" s="21">
        <f>IFERROR(INDEX(Pedidos!$F$2:$F$1801,MATCH(B3516,Pedidos!$A$2:$A$1801,0)),"")</f>
        <v/>
      </c>
      <c r="M3516" s="22">
        <f>IFERROR(INDEX(Pedidos!$G$2:$G$1801,MATCH(B3516,Pedidos!$A$2:$A$1801,0)),0)</f>
        <v/>
      </c>
      <c r="N3516" s="21">
        <f>IFERROR(INDEX(Produtos!$B$2:$B$71,MATCH(C3516,Produtos!$A$2:$A$71,0)),"")</f>
        <v/>
      </c>
      <c r="O3516" s="21">
        <f>IFERROR(INDEX(Produtos!$C$2:$C$71,MATCH(C3516,Produtos!$A$2:$A$71,0)),"")</f>
        <v/>
      </c>
      <c r="P3516" s="21">
        <f>IFERROR(INDEX(Produtos!$D$2:$D$71,MATCH(C3516,Produtos!$A$2:$A$71,0)),0)</f>
        <v/>
      </c>
      <c r="Q3516" s="21">
        <f>IFERROR(INDEX(Produtos!$E$2:$E$71,MATCH(C3516,Produtos!$A$2:$A$71,0)),0)</f>
        <v/>
      </c>
      <c r="R3516" s="23">
        <f>D3516*Q3516</f>
        <v/>
      </c>
      <c r="S3516" s="23">
        <f>R3516*E3516</f>
        <v/>
      </c>
      <c r="T3516" s="23">
        <f>(R3516-S3516)*M3516</f>
        <v/>
      </c>
      <c r="U3516" s="23">
        <f>R3516-S3516-T3516</f>
        <v/>
      </c>
      <c r="V3516" s="23">
        <f>D3516*P3516</f>
        <v/>
      </c>
      <c r="W3516" s="23">
        <f>U3516-V3516</f>
        <v/>
      </c>
      <c r="X3516" s="24">
        <f>IFERROR(W3516/U3516,0)</f>
        <v/>
      </c>
    </row>
    <row r="3517">
      <c r="A3517" s="25">
        <f>ItensPedido!A3517</f>
        <v/>
      </c>
      <c r="B3517" s="25">
        <f>ItensPedido!B3517</f>
        <v/>
      </c>
      <c r="C3517" s="25">
        <f>ItensPedido!C3517</f>
        <v/>
      </c>
      <c r="D3517" s="25">
        <f>ItensPedido!D3517</f>
        <v/>
      </c>
      <c r="E3517" s="26">
        <f>ItensPedido!E3517</f>
        <v/>
      </c>
      <c r="F3517" s="25">
        <f>IFERROR(INDEX(Pedidos!$B$2:$B$1801,MATCH(B3517,Pedidos!$A$2:$A$1801,0)),0)</f>
        <v/>
      </c>
      <c r="G3517" s="25">
        <f>IF(F3517=0,"",YEAR(F3517))</f>
        <v/>
      </c>
      <c r="H3517" s="25">
        <f>IF(F3517=0,"",MONTH(F3517))</f>
        <v/>
      </c>
      <c r="I3517" s="25">
        <f>IFERROR(INDEX(Pedidos!$E$2:$E$1801,MATCH(B3517,Pedidos!$A$2:$A$1801,0)),"")</f>
        <v/>
      </c>
      <c r="J3517" s="25">
        <f>IFERROR(INDEX(Pedidos!$C$2:$C$1801,MATCH(B3517,Pedidos!$A$2:$A$1801,0)),"")</f>
        <v/>
      </c>
      <c r="K3517" s="25">
        <f>IFERROR(INDEX(Pedidos!$D$2:$D$1801,MATCH(B3517,Pedidos!$A$2:$A$1801,0)),"")</f>
        <v/>
      </c>
      <c r="L3517" s="25">
        <f>IFERROR(INDEX(Pedidos!$F$2:$F$1801,MATCH(B3517,Pedidos!$A$2:$A$1801,0)),"")</f>
        <v/>
      </c>
      <c r="M3517" s="26">
        <f>IFERROR(INDEX(Pedidos!$G$2:$G$1801,MATCH(B3517,Pedidos!$A$2:$A$1801,0)),0)</f>
        <v/>
      </c>
      <c r="N3517" s="25">
        <f>IFERROR(INDEX(Produtos!$B$2:$B$71,MATCH(C3517,Produtos!$A$2:$A$71,0)),"")</f>
        <v/>
      </c>
      <c r="O3517" s="25">
        <f>IFERROR(INDEX(Produtos!$C$2:$C$71,MATCH(C3517,Produtos!$A$2:$A$71,0)),"")</f>
        <v/>
      </c>
      <c r="P3517" s="25">
        <f>IFERROR(INDEX(Produtos!$D$2:$D$71,MATCH(C3517,Produtos!$A$2:$A$71,0)),0)</f>
        <v/>
      </c>
      <c r="Q3517" s="25">
        <f>IFERROR(INDEX(Produtos!$E$2:$E$71,MATCH(C3517,Produtos!$A$2:$A$71,0)),0)</f>
        <v/>
      </c>
      <c r="R3517" s="27">
        <f>D3517*Q3517</f>
        <v/>
      </c>
      <c r="S3517" s="27">
        <f>R3517*E3517</f>
        <v/>
      </c>
      <c r="T3517" s="27">
        <f>(R3517-S3517)*M3517</f>
        <v/>
      </c>
      <c r="U3517" s="27">
        <f>R3517-S3517-T3517</f>
        <v/>
      </c>
      <c r="V3517" s="27">
        <f>D3517*P3517</f>
        <v/>
      </c>
      <c r="W3517" s="27">
        <f>U3517-V3517</f>
        <v/>
      </c>
      <c r="X3517" s="28">
        <f>IFERROR(W3517/U3517,0)</f>
        <v/>
      </c>
    </row>
    <row r="3518">
      <c r="A3518" s="21">
        <f>ItensPedido!A3518</f>
        <v/>
      </c>
      <c r="B3518" s="21">
        <f>ItensPedido!B3518</f>
        <v/>
      </c>
      <c r="C3518" s="21">
        <f>ItensPedido!C3518</f>
        <v/>
      </c>
      <c r="D3518" s="21">
        <f>ItensPedido!D3518</f>
        <v/>
      </c>
      <c r="E3518" s="22">
        <f>ItensPedido!E3518</f>
        <v/>
      </c>
      <c r="F3518" s="21">
        <f>IFERROR(INDEX(Pedidos!$B$2:$B$1801,MATCH(B3518,Pedidos!$A$2:$A$1801,0)),0)</f>
        <v/>
      </c>
      <c r="G3518" s="21">
        <f>IF(F3518=0,"",YEAR(F3518))</f>
        <v/>
      </c>
      <c r="H3518" s="21">
        <f>IF(F3518=0,"",MONTH(F3518))</f>
        <v/>
      </c>
      <c r="I3518" s="21">
        <f>IFERROR(INDEX(Pedidos!$E$2:$E$1801,MATCH(B3518,Pedidos!$A$2:$A$1801,0)),"")</f>
        <v/>
      </c>
      <c r="J3518" s="21">
        <f>IFERROR(INDEX(Pedidos!$C$2:$C$1801,MATCH(B3518,Pedidos!$A$2:$A$1801,0)),"")</f>
        <v/>
      </c>
      <c r="K3518" s="21">
        <f>IFERROR(INDEX(Pedidos!$D$2:$D$1801,MATCH(B3518,Pedidos!$A$2:$A$1801,0)),"")</f>
        <v/>
      </c>
      <c r="L3518" s="21">
        <f>IFERROR(INDEX(Pedidos!$F$2:$F$1801,MATCH(B3518,Pedidos!$A$2:$A$1801,0)),"")</f>
        <v/>
      </c>
      <c r="M3518" s="22">
        <f>IFERROR(INDEX(Pedidos!$G$2:$G$1801,MATCH(B3518,Pedidos!$A$2:$A$1801,0)),0)</f>
        <v/>
      </c>
      <c r="N3518" s="21">
        <f>IFERROR(INDEX(Produtos!$B$2:$B$71,MATCH(C3518,Produtos!$A$2:$A$71,0)),"")</f>
        <v/>
      </c>
      <c r="O3518" s="21">
        <f>IFERROR(INDEX(Produtos!$C$2:$C$71,MATCH(C3518,Produtos!$A$2:$A$71,0)),"")</f>
        <v/>
      </c>
      <c r="P3518" s="21">
        <f>IFERROR(INDEX(Produtos!$D$2:$D$71,MATCH(C3518,Produtos!$A$2:$A$71,0)),0)</f>
        <v/>
      </c>
      <c r="Q3518" s="21">
        <f>IFERROR(INDEX(Produtos!$E$2:$E$71,MATCH(C3518,Produtos!$A$2:$A$71,0)),0)</f>
        <v/>
      </c>
      <c r="R3518" s="23">
        <f>D3518*Q3518</f>
        <v/>
      </c>
      <c r="S3518" s="23">
        <f>R3518*E3518</f>
        <v/>
      </c>
      <c r="T3518" s="23">
        <f>(R3518-S3518)*M3518</f>
        <v/>
      </c>
      <c r="U3518" s="23">
        <f>R3518-S3518-T3518</f>
        <v/>
      </c>
      <c r="V3518" s="23">
        <f>D3518*P3518</f>
        <v/>
      </c>
      <c r="W3518" s="23">
        <f>U3518-V3518</f>
        <v/>
      </c>
      <c r="X3518" s="24">
        <f>IFERROR(W3518/U3518,0)</f>
        <v/>
      </c>
    </row>
    <row r="3519">
      <c r="A3519" s="25">
        <f>ItensPedido!A3519</f>
        <v/>
      </c>
      <c r="B3519" s="25">
        <f>ItensPedido!B3519</f>
        <v/>
      </c>
      <c r="C3519" s="25">
        <f>ItensPedido!C3519</f>
        <v/>
      </c>
      <c r="D3519" s="25">
        <f>ItensPedido!D3519</f>
        <v/>
      </c>
      <c r="E3519" s="26">
        <f>ItensPedido!E3519</f>
        <v/>
      </c>
      <c r="F3519" s="25">
        <f>IFERROR(INDEX(Pedidos!$B$2:$B$1801,MATCH(B3519,Pedidos!$A$2:$A$1801,0)),0)</f>
        <v/>
      </c>
      <c r="G3519" s="25">
        <f>IF(F3519=0,"",YEAR(F3519))</f>
        <v/>
      </c>
      <c r="H3519" s="25">
        <f>IF(F3519=0,"",MONTH(F3519))</f>
        <v/>
      </c>
      <c r="I3519" s="25">
        <f>IFERROR(INDEX(Pedidos!$E$2:$E$1801,MATCH(B3519,Pedidos!$A$2:$A$1801,0)),"")</f>
        <v/>
      </c>
      <c r="J3519" s="25">
        <f>IFERROR(INDEX(Pedidos!$C$2:$C$1801,MATCH(B3519,Pedidos!$A$2:$A$1801,0)),"")</f>
        <v/>
      </c>
      <c r="K3519" s="25">
        <f>IFERROR(INDEX(Pedidos!$D$2:$D$1801,MATCH(B3519,Pedidos!$A$2:$A$1801,0)),"")</f>
        <v/>
      </c>
      <c r="L3519" s="25">
        <f>IFERROR(INDEX(Pedidos!$F$2:$F$1801,MATCH(B3519,Pedidos!$A$2:$A$1801,0)),"")</f>
        <v/>
      </c>
      <c r="M3519" s="26">
        <f>IFERROR(INDEX(Pedidos!$G$2:$G$1801,MATCH(B3519,Pedidos!$A$2:$A$1801,0)),0)</f>
        <v/>
      </c>
      <c r="N3519" s="25">
        <f>IFERROR(INDEX(Produtos!$B$2:$B$71,MATCH(C3519,Produtos!$A$2:$A$71,0)),"")</f>
        <v/>
      </c>
      <c r="O3519" s="25">
        <f>IFERROR(INDEX(Produtos!$C$2:$C$71,MATCH(C3519,Produtos!$A$2:$A$71,0)),"")</f>
        <v/>
      </c>
      <c r="P3519" s="25">
        <f>IFERROR(INDEX(Produtos!$D$2:$D$71,MATCH(C3519,Produtos!$A$2:$A$71,0)),0)</f>
        <v/>
      </c>
      <c r="Q3519" s="25">
        <f>IFERROR(INDEX(Produtos!$E$2:$E$71,MATCH(C3519,Produtos!$A$2:$A$71,0)),0)</f>
        <v/>
      </c>
      <c r="R3519" s="27">
        <f>D3519*Q3519</f>
        <v/>
      </c>
      <c r="S3519" s="27">
        <f>R3519*E3519</f>
        <v/>
      </c>
      <c r="T3519" s="27">
        <f>(R3519-S3519)*M3519</f>
        <v/>
      </c>
      <c r="U3519" s="27">
        <f>R3519-S3519-T3519</f>
        <v/>
      </c>
      <c r="V3519" s="27">
        <f>D3519*P3519</f>
        <v/>
      </c>
      <c r="W3519" s="27">
        <f>U3519-V3519</f>
        <v/>
      </c>
      <c r="X3519" s="28">
        <f>IFERROR(W3519/U3519,0)</f>
        <v/>
      </c>
    </row>
    <row r="3520">
      <c r="A3520" s="21">
        <f>ItensPedido!A3520</f>
        <v/>
      </c>
      <c r="B3520" s="21">
        <f>ItensPedido!B3520</f>
        <v/>
      </c>
      <c r="C3520" s="21">
        <f>ItensPedido!C3520</f>
        <v/>
      </c>
      <c r="D3520" s="21">
        <f>ItensPedido!D3520</f>
        <v/>
      </c>
      <c r="E3520" s="22">
        <f>ItensPedido!E3520</f>
        <v/>
      </c>
      <c r="F3520" s="21">
        <f>IFERROR(INDEX(Pedidos!$B$2:$B$1801,MATCH(B3520,Pedidos!$A$2:$A$1801,0)),0)</f>
        <v/>
      </c>
      <c r="G3520" s="21">
        <f>IF(F3520=0,"",YEAR(F3520))</f>
        <v/>
      </c>
      <c r="H3520" s="21">
        <f>IF(F3520=0,"",MONTH(F3520))</f>
        <v/>
      </c>
      <c r="I3520" s="21">
        <f>IFERROR(INDEX(Pedidos!$E$2:$E$1801,MATCH(B3520,Pedidos!$A$2:$A$1801,0)),"")</f>
        <v/>
      </c>
      <c r="J3520" s="21">
        <f>IFERROR(INDEX(Pedidos!$C$2:$C$1801,MATCH(B3520,Pedidos!$A$2:$A$1801,0)),"")</f>
        <v/>
      </c>
      <c r="K3520" s="21">
        <f>IFERROR(INDEX(Pedidos!$D$2:$D$1801,MATCH(B3520,Pedidos!$A$2:$A$1801,0)),"")</f>
        <v/>
      </c>
      <c r="L3520" s="21">
        <f>IFERROR(INDEX(Pedidos!$F$2:$F$1801,MATCH(B3520,Pedidos!$A$2:$A$1801,0)),"")</f>
        <v/>
      </c>
      <c r="M3520" s="22">
        <f>IFERROR(INDEX(Pedidos!$G$2:$G$1801,MATCH(B3520,Pedidos!$A$2:$A$1801,0)),0)</f>
        <v/>
      </c>
      <c r="N3520" s="21">
        <f>IFERROR(INDEX(Produtos!$B$2:$B$71,MATCH(C3520,Produtos!$A$2:$A$71,0)),"")</f>
        <v/>
      </c>
      <c r="O3520" s="21">
        <f>IFERROR(INDEX(Produtos!$C$2:$C$71,MATCH(C3520,Produtos!$A$2:$A$71,0)),"")</f>
        <v/>
      </c>
      <c r="P3520" s="21">
        <f>IFERROR(INDEX(Produtos!$D$2:$D$71,MATCH(C3520,Produtos!$A$2:$A$71,0)),0)</f>
        <v/>
      </c>
      <c r="Q3520" s="21">
        <f>IFERROR(INDEX(Produtos!$E$2:$E$71,MATCH(C3520,Produtos!$A$2:$A$71,0)),0)</f>
        <v/>
      </c>
      <c r="R3520" s="23">
        <f>D3520*Q3520</f>
        <v/>
      </c>
      <c r="S3520" s="23">
        <f>R3520*E3520</f>
        <v/>
      </c>
      <c r="T3520" s="23">
        <f>(R3520-S3520)*M3520</f>
        <v/>
      </c>
      <c r="U3520" s="23">
        <f>R3520-S3520-T3520</f>
        <v/>
      </c>
      <c r="V3520" s="23">
        <f>D3520*P3520</f>
        <v/>
      </c>
      <c r="W3520" s="23">
        <f>U3520-V3520</f>
        <v/>
      </c>
      <c r="X3520" s="24">
        <f>IFERROR(W3520/U3520,0)</f>
        <v/>
      </c>
    </row>
    <row r="3521">
      <c r="A3521" s="25">
        <f>ItensPedido!A3521</f>
        <v/>
      </c>
      <c r="B3521" s="25">
        <f>ItensPedido!B3521</f>
        <v/>
      </c>
      <c r="C3521" s="25">
        <f>ItensPedido!C3521</f>
        <v/>
      </c>
      <c r="D3521" s="25">
        <f>ItensPedido!D3521</f>
        <v/>
      </c>
      <c r="E3521" s="26">
        <f>ItensPedido!E3521</f>
        <v/>
      </c>
      <c r="F3521" s="25">
        <f>IFERROR(INDEX(Pedidos!$B$2:$B$1801,MATCH(B3521,Pedidos!$A$2:$A$1801,0)),0)</f>
        <v/>
      </c>
      <c r="G3521" s="25">
        <f>IF(F3521=0,"",YEAR(F3521))</f>
        <v/>
      </c>
      <c r="H3521" s="25">
        <f>IF(F3521=0,"",MONTH(F3521))</f>
        <v/>
      </c>
      <c r="I3521" s="25">
        <f>IFERROR(INDEX(Pedidos!$E$2:$E$1801,MATCH(B3521,Pedidos!$A$2:$A$1801,0)),"")</f>
        <v/>
      </c>
      <c r="J3521" s="25">
        <f>IFERROR(INDEX(Pedidos!$C$2:$C$1801,MATCH(B3521,Pedidos!$A$2:$A$1801,0)),"")</f>
        <v/>
      </c>
      <c r="K3521" s="25">
        <f>IFERROR(INDEX(Pedidos!$D$2:$D$1801,MATCH(B3521,Pedidos!$A$2:$A$1801,0)),"")</f>
        <v/>
      </c>
      <c r="L3521" s="25">
        <f>IFERROR(INDEX(Pedidos!$F$2:$F$1801,MATCH(B3521,Pedidos!$A$2:$A$1801,0)),"")</f>
        <v/>
      </c>
      <c r="M3521" s="26">
        <f>IFERROR(INDEX(Pedidos!$G$2:$G$1801,MATCH(B3521,Pedidos!$A$2:$A$1801,0)),0)</f>
        <v/>
      </c>
      <c r="N3521" s="25">
        <f>IFERROR(INDEX(Produtos!$B$2:$B$71,MATCH(C3521,Produtos!$A$2:$A$71,0)),"")</f>
        <v/>
      </c>
      <c r="O3521" s="25">
        <f>IFERROR(INDEX(Produtos!$C$2:$C$71,MATCH(C3521,Produtos!$A$2:$A$71,0)),"")</f>
        <v/>
      </c>
      <c r="P3521" s="25">
        <f>IFERROR(INDEX(Produtos!$D$2:$D$71,MATCH(C3521,Produtos!$A$2:$A$71,0)),0)</f>
        <v/>
      </c>
      <c r="Q3521" s="25">
        <f>IFERROR(INDEX(Produtos!$E$2:$E$71,MATCH(C3521,Produtos!$A$2:$A$71,0)),0)</f>
        <v/>
      </c>
      <c r="R3521" s="27">
        <f>D3521*Q3521</f>
        <v/>
      </c>
      <c r="S3521" s="27">
        <f>R3521*E3521</f>
        <v/>
      </c>
      <c r="T3521" s="27">
        <f>(R3521-S3521)*M3521</f>
        <v/>
      </c>
      <c r="U3521" s="27">
        <f>R3521-S3521-T3521</f>
        <v/>
      </c>
      <c r="V3521" s="27">
        <f>D3521*P3521</f>
        <v/>
      </c>
      <c r="W3521" s="27">
        <f>U3521-V3521</f>
        <v/>
      </c>
      <c r="X3521" s="28">
        <f>IFERROR(W3521/U3521,0)</f>
        <v/>
      </c>
    </row>
    <row r="3522">
      <c r="A3522" s="21">
        <f>ItensPedido!A3522</f>
        <v/>
      </c>
      <c r="B3522" s="21">
        <f>ItensPedido!B3522</f>
        <v/>
      </c>
      <c r="C3522" s="21">
        <f>ItensPedido!C3522</f>
        <v/>
      </c>
      <c r="D3522" s="21">
        <f>ItensPedido!D3522</f>
        <v/>
      </c>
      <c r="E3522" s="22">
        <f>ItensPedido!E3522</f>
        <v/>
      </c>
      <c r="F3522" s="21">
        <f>IFERROR(INDEX(Pedidos!$B$2:$B$1801,MATCH(B3522,Pedidos!$A$2:$A$1801,0)),0)</f>
        <v/>
      </c>
      <c r="G3522" s="21">
        <f>IF(F3522=0,"",YEAR(F3522))</f>
        <v/>
      </c>
      <c r="H3522" s="21">
        <f>IF(F3522=0,"",MONTH(F3522))</f>
        <v/>
      </c>
      <c r="I3522" s="21">
        <f>IFERROR(INDEX(Pedidos!$E$2:$E$1801,MATCH(B3522,Pedidos!$A$2:$A$1801,0)),"")</f>
        <v/>
      </c>
      <c r="J3522" s="21">
        <f>IFERROR(INDEX(Pedidos!$C$2:$C$1801,MATCH(B3522,Pedidos!$A$2:$A$1801,0)),"")</f>
        <v/>
      </c>
      <c r="K3522" s="21">
        <f>IFERROR(INDEX(Pedidos!$D$2:$D$1801,MATCH(B3522,Pedidos!$A$2:$A$1801,0)),"")</f>
        <v/>
      </c>
      <c r="L3522" s="21">
        <f>IFERROR(INDEX(Pedidos!$F$2:$F$1801,MATCH(B3522,Pedidos!$A$2:$A$1801,0)),"")</f>
        <v/>
      </c>
      <c r="M3522" s="22">
        <f>IFERROR(INDEX(Pedidos!$G$2:$G$1801,MATCH(B3522,Pedidos!$A$2:$A$1801,0)),0)</f>
        <v/>
      </c>
      <c r="N3522" s="21">
        <f>IFERROR(INDEX(Produtos!$B$2:$B$71,MATCH(C3522,Produtos!$A$2:$A$71,0)),"")</f>
        <v/>
      </c>
      <c r="O3522" s="21">
        <f>IFERROR(INDEX(Produtos!$C$2:$C$71,MATCH(C3522,Produtos!$A$2:$A$71,0)),"")</f>
        <v/>
      </c>
      <c r="P3522" s="21">
        <f>IFERROR(INDEX(Produtos!$D$2:$D$71,MATCH(C3522,Produtos!$A$2:$A$71,0)),0)</f>
        <v/>
      </c>
      <c r="Q3522" s="21">
        <f>IFERROR(INDEX(Produtos!$E$2:$E$71,MATCH(C3522,Produtos!$A$2:$A$71,0)),0)</f>
        <v/>
      </c>
      <c r="R3522" s="23">
        <f>D3522*Q3522</f>
        <v/>
      </c>
      <c r="S3522" s="23">
        <f>R3522*E3522</f>
        <v/>
      </c>
      <c r="T3522" s="23">
        <f>(R3522-S3522)*M3522</f>
        <v/>
      </c>
      <c r="U3522" s="23">
        <f>R3522-S3522-T3522</f>
        <v/>
      </c>
      <c r="V3522" s="23">
        <f>D3522*P3522</f>
        <v/>
      </c>
      <c r="W3522" s="23">
        <f>U3522-V3522</f>
        <v/>
      </c>
      <c r="X3522" s="24">
        <f>IFERROR(W3522/U3522,0)</f>
        <v/>
      </c>
    </row>
    <row r="3523">
      <c r="A3523" s="25">
        <f>ItensPedido!A3523</f>
        <v/>
      </c>
      <c r="B3523" s="25">
        <f>ItensPedido!B3523</f>
        <v/>
      </c>
      <c r="C3523" s="25">
        <f>ItensPedido!C3523</f>
        <v/>
      </c>
      <c r="D3523" s="25">
        <f>ItensPedido!D3523</f>
        <v/>
      </c>
      <c r="E3523" s="26">
        <f>ItensPedido!E3523</f>
        <v/>
      </c>
      <c r="F3523" s="25">
        <f>IFERROR(INDEX(Pedidos!$B$2:$B$1801,MATCH(B3523,Pedidos!$A$2:$A$1801,0)),0)</f>
        <v/>
      </c>
      <c r="G3523" s="25">
        <f>IF(F3523=0,"",YEAR(F3523))</f>
        <v/>
      </c>
      <c r="H3523" s="25">
        <f>IF(F3523=0,"",MONTH(F3523))</f>
        <v/>
      </c>
      <c r="I3523" s="25">
        <f>IFERROR(INDEX(Pedidos!$E$2:$E$1801,MATCH(B3523,Pedidos!$A$2:$A$1801,0)),"")</f>
        <v/>
      </c>
      <c r="J3523" s="25">
        <f>IFERROR(INDEX(Pedidos!$C$2:$C$1801,MATCH(B3523,Pedidos!$A$2:$A$1801,0)),"")</f>
        <v/>
      </c>
      <c r="K3523" s="25">
        <f>IFERROR(INDEX(Pedidos!$D$2:$D$1801,MATCH(B3523,Pedidos!$A$2:$A$1801,0)),"")</f>
        <v/>
      </c>
      <c r="L3523" s="25">
        <f>IFERROR(INDEX(Pedidos!$F$2:$F$1801,MATCH(B3523,Pedidos!$A$2:$A$1801,0)),"")</f>
        <v/>
      </c>
      <c r="M3523" s="26">
        <f>IFERROR(INDEX(Pedidos!$G$2:$G$1801,MATCH(B3523,Pedidos!$A$2:$A$1801,0)),0)</f>
        <v/>
      </c>
      <c r="N3523" s="25">
        <f>IFERROR(INDEX(Produtos!$B$2:$B$71,MATCH(C3523,Produtos!$A$2:$A$71,0)),"")</f>
        <v/>
      </c>
      <c r="O3523" s="25">
        <f>IFERROR(INDEX(Produtos!$C$2:$C$71,MATCH(C3523,Produtos!$A$2:$A$71,0)),"")</f>
        <v/>
      </c>
      <c r="P3523" s="25">
        <f>IFERROR(INDEX(Produtos!$D$2:$D$71,MATCH(C3523,Produtos!$A$2:$A$71,0)),0)</f>
        <v/>
      </c>
      <c r="Q3523" s="25">
        <f>IFERROR(INDEX(Produtos!$E$2:$E$71,MATCH(C3523,Produtos!$A$2:$A$71,0)),0)</f>
        <v/>
      </c>
      <c r="R3523" s="27">
        <f>D3523*Q3523</f>
        <v/>
      </c>
      <c r="S3523" s="27">
        <f>R3523*E3523</f>
        <v/>
      </c>
      <c r="T3523" s="27">
        <f>(R3523-S3523)*M3523</f>
        <v/>
      </c>
      <c r="U3523" s="27">
        <f>R3523-S3523-T3523</f>
        <v/>
      </c>
      <c r="V3523" s="27">
        <f>D3523*P3523</f>
        <v/>
      </c>
      <c r="W3523" s="27">
        <f>U3523-V3523</f>
        <v/>
      </c>
      <c r="X3523" s="28">
        <f>IFERROR(W3523/U3523,0)</f>
        <v/>
      </c>
    </row>
    <row r="3524">
      <c r="A3524" s="21">
        <f>ItensPedido!A3524</f>
        <v/>
      </c>
      <c r="B3524" s="21">
        <f>ItensPedido!B3524</f>
        <v/>
      </c>
      <c r="C3524" s="21">
        <f>ItensPedido!C3524</f>
        <v/>
      </c>
      <c r="D3524" s="21">
        <f>ItensPedido!D3524</f>
        <v/>
      </c>
      <c r="E3524" s="22">
        <f>ItensPedido!E3524</f>
        <v/>
      </c>
      <c r="F3524" s="21">
        <f>IFERROR(INDEX(Pedidos!$B$2:$B$1801,MATCH(B3524,Pedidos!$A$2:$A$1801,0)),0)</f>
        <v/>
      </c>
      <c r="G3524" s="21">
        <f>IF(F3524=0,"",YEAR(F3524))</f>
        <v/>
      </c>
      <c r="H3524" s="21">
        <f>IF(F3524=0,"",MONTH(F3524))</f>
        <v/>
      </c>
      <c r="I3524" s="21">
        <f>IFERROR(INDEX(Pedidos!$E$2:$E$1801,MATCH(B3524,Pedidos!$A$2:$A$1801,0)),"")</f>
        <v/>
      </c>
      <c r="J3524" s="21">
        <f>IFERROR(INDEX(Pedidos!$C$2:$C$1801,MATCH(B3524,Pedidos!$A$2:$A$1801,0)),"")</f>
        <v/>
      </c>
      <c r="K3524" s="21">
        <f>IFERROR(INDEX(Pedidos!$D$2:$D$1801,MATCH(B3524,Pedidos!$A$2:$A$1801,0)),"")</f>
        <v/>
      </c>
      <c r="L3524" s="21">
        <f>IFERROR(INDEX(Pedidos!$F$2:$F$1801,MATCH(B3524,Pedidos!$A$2:$A$1801,0)),"")</f>
        <v/>
      </c>
      <c r="M3524" s="22">
        <f>IFERROR(INDEX(Pedidos!$G$2:$G$1801,MATCH(B3524,Pedidos!$A$2:$A$1801,0)),0)</f>
        <v/>
      </c>
      <c r="N3524" s="21">
        <f>IFERROR(INDEX(Produtos!$B$2:$B$71,MATCH(C3524,Produtos!$A$2:$A$71,0)),"")</f>
        <v/>
      </c>
      <c r="O3524" s="21">
        <f>IFERROR(INDEX(Produtos!$C$2:$C$71,MATCH(C3524,Produtos!$A$2:$A$71,0)),"")</f>
        <v/>
      </c>
      <c r="P3524" s="21">
        <f>IFERROR(INDEX(Produtos!$D$2:$D$71,MATCH(C3524,Produtos!$A$2:$A$71,0)),0)</f>
        <v/>
      </c>
      <c r="Q3524" s="21">
        <f>IFERROR(INDEX(Produtos!$E$2:$E$71,MATCH(C3524,Produtos!$A$2:$A$71,0)),0)</f>
        <v/>
      </c>
      <c r="R3524" s="23">
        <f>D3524*Q3524</f>
        <v/>
      </c>
      <c r="S3524" s="23">
        <f>R3524*E3524</f>
        <v/>
      </c>
      <c r="T3524" s="23">
        <f>(R3524-S3524)*M3524</f>
        <v/>
      </c>
      <c r="U3524" s="23">
        <f>R3524-S3524-T3524</f>
        <v/>
      </c>
      <c r="V3524" s="23">
        <f>D3524*P3524</f>
        <v/>
      </c>
      <c r="W3524" s="23">
        <f>U3524-V3524</f>
        <v/>
      </c>
      <c r="X3524" s="24">
        <f>IFERROR(W3524/U3524,0)</f>
        <v/>
      </c>
    </row>
    <row r="3525">
      <c r="A3525" s="25">
        <f>ItensPedido!A3525</f>
        <v/>
      </c>
      <c r="B3525" s="25">
        <f>ItensPedido!B3525</f>
        <v/>
      </c>
      <c r="C3525" s="25">
        <f>ItensPedido!C3525</f>
        <v/>
      </c>
      <c r="D3525" s="25">
        <f>ItensPedido!D3525</f>
        <v/>
      </c>
      <c r="E3525" s="26">
        <f>ItensPedido!E3525</f>
        <v/>
      </c>
      <c r="F3525" s="25">
        <f>IFERROR(INDEX(Pedidos!$B$2:$B$1801,MATCH(B3525,Pedidos!$A$2:$A$1801,0)),0)</f>
        <v/>
      </c>
      <c r="G3525" s="25">
        <f>IF(F3525=0,"",YEAR(F3525))</f>
        <v/>
      </c>
      <c r="H3525" s="25">
        <f>IF(F3525=0,"",MONTH(F3525))</f>
        <v/>
      </c>
      <c r="I3525" s="25">
        <f>IFERROR(INDEX(Pedidos!$E$2:$E$1801,MATCH(B3525,Pedidos!$A$2:$A$1801,0)),"")</f>
        <v/>
      </c>
      <c r="J3525" s="25">
        <f>IFERROR(INDEX(Pedidos!$C$2:$C$1801,MATCH(B3525,Pedidos!$A$2:$A$1801,0)),"")</f>
        <v/>
      </c>
      <c r="K3525" s="25">
        <f>IFERROR(INDEX(Pedidos!$D$2:$D$1801,MATCH(B3525,Pedidos!$A$2:$A$1801,0)),"")</f>
        <v/>
      </c>
      <c r="L3525" s="25">
        <f>IFERROR(INDEX(Pedidos!$F$2:$F$1801,MATCH(B3525,Pedidos!$A$2:$A$1801,0)),"")</f>
        <v/>
      </c>
      <c r="M3525" s="26">
        <f>IFERROR(INDEX(Pedidos!$G$2:$G$1801,MATCH(B3525,Pedidos!$A$2:$A$1801,0)),0)</f>
        <v/>
      </c>
      <c r="N3525" s="25">
        <f>IFERROR(INDEX(Produtos!$B$2:$B$71,MATCH(C3525,Produtos!$A$2:$A$71,0)),"")</f>
        <v/>
      </c>
      <c r="O3525" s="25">
        <f>IFERROR(INDEX(Produtos!$C$2:$C$71,MATCH(C3525,Produtos!$A$2:$A$71,0)),"")</f>
        <v/>
      </c>
      <c r="P3525" s="25">
        <f>IFERROR(INDEX(Produtos!$D$2:$D$71,MATCH(C3525,Produtos!$A$2:$A$71,0)),0)</f>
        <v/>
      </c>
      <c r="Q3525" s="25">
        <f>IFERROR(INDEX(Produtos!$E$2:$E$71,MATCH(C3525,Produtos!$A$2:$A$71,0)),0)</f>
        <v/>
      </c>
      <c r="R3525" s="27">
        <f>D3525*Q3525</f>
        <v/>
      </c>
      <c r="S3525" s="27">
        <f>R3525*E3525</f>
        <v/>
      </c>
      <c r="T3525" s="27">
        <f>(R3525-S3525)*M3525</f>
        <v/>
      </c>
      <c r="U3525" s="27">
        <f>R3525-S3525-T3525</f>
        <v/>
      </c>
      <c r="V3525" s="27">
        <f>D3525*P3525</f>
        <v/>
      </c>
      <c r="W3525" s="27">
        <f>U3525-V3525</f>
        <v/>
      </c>
      <c r="X3525" s="28">
        <f>IFERROR(W3525/U3525,0)</f>
        <v/>
      </c>
    </row>
    <row r="3526">
      <c r="A3526" s="21">
        <f>ItensPedido!A3526</f>
        <v/>
      </c>
      <c r="B3526" s="21">
        <f>ItensPedido!B3526</f>
        <v/>
      </c>
      <c r="C3526" s="21">
        <f>ItensPedido!C3526</f>
        <v/>
      </c>
      <c r="D3526" s="21">
        <f>ItensPedido!D3526</f>
        <v/>
      </c>
      <c r="E3526" s="22">
        <f>ItensPedido!E3526</f>
        <v/>
      </c>
      <c r="F3526" s="21">
        <f>IFERROR(INDEX(Pedidos!$B$2:$B$1801,MATCH(B3526,Pedidos!$A$2:$A$1801,0)),0)</f>
        <v/>
      </c>
      <c r="G3526" s="21">
        <f>IF(F3526=0,"",YEAR(F3526))</f>
        <v/>
      </c>
      <c r="H3526" s="21">
        <f>IF(F3526=0,"",MONTH(F3526))</f>
        <v/>
      </c>
      <c r="I3526" s="21">
        <f>IFERROR(INDEX(Pedidos!$E$2:$E$1801,MATCH(B3526,Pedidos!$A$2:$A$1801,0)),"")</f>
        <v/>
      </c>
      <c r="J3526" s="21">
        <f>IFERROR(INDEX(Pedidos!$C$2:$C$1801,MATCH(B3526,Pedidos!$A$2:$A$1801,0)),"")</f>
        <v/>
      </c>
      <c r="K3526" s="21">
        <f>IFERROR(INDEX(Pedidos!$D$2:$D$1801,MATCH(B3526,Pedidos!$A$2:$A$1801,0)),"")</f>
        <v/>
      </c>
      <c r="L3526" s="21">
        <f>IFERROR(INDEX(Pedidos!$F$2:$F$1801,MATCH(B3526,Pedidos!$A$2:$A$1801,0)),"")</f>
        <v/>
      </c>
      <c r="M3526" s="22">
        <f>IFERROR(INDEX(Pedidos!$G$2:$G$1801,MATCH(B3526,Pedidos!$A$2:$A$1801,0)),0)</f>
        <v/>
      </c>
      <c r="N3526" s="21">
        <f>IFERROR(INDEX(Produtos!$B$2:$B$71,MATCH(C3526,Produtos!$A$2:$A$71,0)),"")</f>
        <v/>
      </c>
      <c r="O3526" s="21">
        <f>IFERROR(INDEX(Produtos!$C$2:$C$71,MATCH(C3526,Produtos!$A$2:$A$71,0)),"")</f>
        <v/>
      </c>
      <c r="P3526" s="21">
        <f>IFERROR(INDEX(Produtos!$D$2:$D$71,MATCH(C3526,Produtos!$A$2:$A$71,0)),0)</f>
        <v/>
      </c>
      <c r="Q3526" s="21">
        <f>IFERROR(INDEX(Produtos!$E$2:$E$71,MATCH(C3526,Produtos!$A$2:$A$71,0)),0)</f>
        <v/>
      </c>
      <c r="R3526" s="23">
        <f>D3526*Q3526</f>
        <v/>
      </c>
      <c r="S3526" s="23">
        <f>R3526*E3526</f>
        <v/>
      </c>
      <c r="T3526" s="23">
        <f>(R3526-S3526)*M3526</f>
        <v/>
      </c>
      <c r="U3526" s="23">
        <f>R3526-S3526-T3526</f>
        <v/>
      </c>
      <c r="V3526" s="23">
        <f>D3526*P3526</f>
        <v/>
      </c>
      <c r="W3526" s="23">
        <f>U3526-V3526</f>
        <v/>
      </c>
      <c r="X3526" s="24">
        <f>IFERROR(W3526/U3526,0)</f>
        <v/>
      </c>
    </row>
    <row r="3527">
      <c r="A3527" s="25">
        <f>ItensPedido!A3527</f>
        <v/>
      </c>
      <c r="B3527" s="25">
        <f>ItensPedido!B3527</f>
        <v/>
      </c>
      <c r="C3527" s="25">
        <f>ItensPedido!C3527</f>
        <v/>
      </c>
      <c r="D3527" s="25">
        <f>ItensPedido!D3527</f>
        <v/>
      </c>
      <c r="E3527" s="26">
        <f>ItensPedido!E3527</f>
        <v/>
      </c>
      <c r="F3527" s="25">
        <f>IFERROR(INDEX(Pedidos!$B$2:$B$1801,MATCH(B3527,Pedidos!$A$2:$A$1801,0)),0)</f>
        <v/>
      </c>
      <c r="G3527" s="25">
        <f>IF(F3527=0,"",YEAR(F3527))</f>
        <v/>
      </c>
      <c r="H3527" s="25">
        <f>IF(F3527=0,"",MONTH(F3527))</f>
        <v/>
      </c>
      <c r="I3527" s="25">
        <f>IFERROR(INDEX(Pedidos!$E$2:$E$1801,MATCH(B3527,Pedidos!$A$2:$A$1801,0)),"")</f>
        <v/>
      </c>
      <c r="J3527" s="25">
        <f>IFERROR(INDEX(Pedidos!$C$2:$C$1801,MATCH(B3527,Pedidos!$A$2:$A$1801,0)),"")</f>
        <v/>
      </c>
      <c r="K3527" s="25">
        <f>IFERROR(INDEX(Pedidos!$D$2:$D$1801,MATCH(B3527,Pedidos!$A$2:$A$1801,0)),"")</f>
        <v/>
      </c>
      <c r="L3527" s="25">
        <f>IFERROR(INDEX(Pedidos!$F$2:$F$1801,MATCH(B3527,Pedidos!$A$2:$A$1801,0)),"")</f>
        <v/>
      </c>
      <c r="M3527" s="26">
        <f>IFERROR(INDEX(Pedidos!$G$2:$G$1801,MATCH(B3527,Pedidos!$A$2:$A$1801,0)),0)</f>
        <v/>
      </c>
      <c r="N3527" s="25">
        <f>IFERROR(INDEX(Produtos!$B$2:$B$71,MATCH(C3527,Produtos!$A$2:$A$71,0)),"")</f>
        <v/>
      </c>
      <c r="O3527" s="25">
        <f>IFERROR(INDEX(Produtos!$C$2:$C$71,MATCH(C3527,Produtos!$A$2:$A$71,0)),"")</f>
        <v/>
      </c>
      <c r="P3527" s="25">
        <f>IFERROR(INDEX(Produtos!$D$2:$D$71,MATCH(C3527,Produtos!$A$2:$A$71,0)),0)</f>
        <v/>
      </c>
      <c r="Q3527" s="25">
        <f>IFERROR(INDEX(Produtos!$E$2:$E$71,MATCH(C3527,Produtos!$A$2:$A$71,0)),0)</f>
        <v/>
      </c>
      <c r="R3527" s="27">
        <f>D3527*Q3527</f>
        <v/>
      </c>
      <c r="S3527" s="27">
        <f>R3527*E3527</f>
        <v/>
      </c>
      <c r="T3527" s="27">
        <f>(R3527-S3527)*M3527</f>
        <v/>
      </c>
      <c r="U3527" s="27">
        <f>R3527-S3527-T3527</f>
        <v/>
      </c>
      <c r="V3527" s="27">
        <f>D3527*P3527</f>
        <v/>
      </c>
      <c r="W3527" s="27">
        <f>U3527-V3527</f>
        <v/>
      </c>
      <c r="X3527" s="28">
        <f>IFERROR(W3527/U3527,0)</f>
        <v/>
      </c>
    </row>
    <row r="3528">
      <c r="A3528" s="21">
        <f>ItensPedido!A3528</f>
        <v/>
      </c>
      <c r="B3528" s="21">
        <f>ItensPedido!B3528</f>
        <v/>
      </c>
      <c r="C3528" s="21">
        <f>ItensPedido!C3528</f>
        <v/>
      </c>
      <c r="D3528" s="21">
        <f>ItensPedido!D3528</f>
        <v/>
      </c>
      <c r="E3528" s="22">
        <f>ItensPedido!E3528</f>
        <v/>
      </c>
      <c r="F3528" s="21">
        <f>IFERROR(INDEX(Pedidos!$B$2:$B$1801,MATCH(B3528,Pedidos!$A$2:$A$1801,0)),0)</f>
        <v/>
      </c>
      <c r="G3528" s="21">
        <f>IF(F3528=0,"",YEAR(F3528))</f>
        <v/>
      </c>
      <c r="H3528" s="21">
        <f>IF(F3528=0,"",MONTH(F3528))</f>
        <v/>
      </c>
      <c r="I3528" s="21">
        <f>IFERROR(INDEX(Pedidos!$E$2:$E$1801,MATCH(B3528,Pedidos!$A$2:$A$1801,0)),"")</f>
        <v/>
      </c>
      <c r="J3528" s="21">
        <f>IFERROR(INDEX(Pedidos!$C$2:$C$1801,MATCH(B3528,Pedidos!$A$2:$A$1801,0)),"")</f>
        <v/>
      </c>
      <c r="K3528" s="21">
        <f>IFERROR(INDEX(Pedidos!$D$2:$D$1801,MATCH(B3528,Pedidos!$A$2:$A$1801,0)),"")</f>
        <v/>
      </c>
      <c r="L3528" s="21">
        <f>IFERROR(INDEX(Pedidos!$F$2:$F$1801,MATCH(B3528,Pedidos!$A$2:$A$1801,0)),"")</f>
        <v/>
      </c>
      <c r="M3528" s="22">
        <f>IFERROR(INDEX(Pedidos!$G$2:$G$1801,MATCH(B3528,Pedidos!$A$2:$A$1801,0)),0)</f>
        <v/>
      </c>
      <c r="N3528" s="21">
        <f>IFERROR(INDEX(Produtos!$B$2:$B$71,MATCH(C3528,Produtos!$A$2:$A$71,0)),"")</f>
        <v/>
      </c>
      <c r="O3528" s="21">
        <f>IFERROR(INDEX(Produtos!$C$2:$C$71,MATCH(C3528,Produtos!$A$2:$A$71,0)),"")</f>
        <v/>
      </c>
      <c r="P3528" s="21">
        <f>IFERROR(INDEX(Produtos!$D$2:$D$71,MATCH(C3528,Produtos!$A$2:$A$71,0)),0)</f>
        <v/>
      </c>
      <c r="Q3528" s="21">
        <f>IFERROR(INDEX(Produtos!$E$2:$E$71,MATCH(C3528,Produtos!$A$2:$A$71,0)),0)</f>
        <v/>
      </c>
      <c r="R3528" s="23">
        <f>D3528*Q3528</f>
        <v/>
      </c>
      <c r="S3528" s="23">
        <f>R3528*E3528</f>
        <v/>
      </c>
      <c r="T3528" s="23">
        <f>(R3528-S3528)*M3528</f>
        <v/>
      </c>
      <c r="U3528" s="23">
        <f>R3528-S3528-T3528</f>
        <v/>
      </c>
      <c r="V3528" s="23">
        <f>D3528*P3528</f>
        <v/>
      </c>
      <c r="W3528" s="23">
        <f>U3528-V3528</f>
        <v/>
      </c>
      <c r="X3528" s="24">
        <f>IFERROR(W3528/U3528,0)</f>
        <v/>
      </c>
    </row>
    <row r="3529">
      <c r="A3529" s="25">
        <f>ItensPedido!A3529</f>
        <v/>
      </c>
      <c r="B3529" s="25">
        <f>ItensPedido!B3529</f>
        <v/>
      </c>
      <c r="C3529" s="25">
        <f>ItensPedido!C3529</f>
        <v/>
      </c>
      <c r="D3529" s="25">
        <f>ItensPedido!D3529</f>
        <v/>
      </c>
      <c r="E3529" s="26">
        <f>ItensPedido!E3529</f>
        <v/>
      </c>
      <c r="F3529" s="25">
        <f>IFERROR(INDEX(Pedidos!$B$2:$B$1801,MATCH(B3529,Pedidos!$A$2:$A$1801,0)),0)</f>
        <v/>
      </c>
      <c r="G3529" s="25">
        <f>IF(F3529=0,"",YEAR(F3529))</f>
        <v/>
      </c>
      <c r="H3529" s="25">
        <f>IF(F3529=0,"",MONTH(F3529))</f>
        <v/>
      </c>
      <c r="I3529" s="25">
        <f>IFERROR(INDEX(Pedidos!$E$2:$E$1801,MATCH(B3529,Pedidos!$A$2:$A$1801,0)),"")</f>
        <v/>
      </c>
      <c r="J3529" s="25">
        <f>IFERROR(INDEX(Pedidos!$C$2:$C$1801,MATCH(B3529,Pedidos!$A$2:$A$1801,0)),"")</f>
        <v/>
      </c>
      <c r="K3529" s="25">
        <f>IFERROR(INDEX(Pedidos!$D$2:$D$1801,MATCH(B3529,Pedidos!$A$2:$A$1801,0)),"")</f>
        <v/>
      </c>
      <c r="L3529" s="25">
        <f>IFERROR(INDEX(Pedidos!$F$2:$F$1801,MATCH(B3529,Pedidos!$A$2:$A$1801,0)),"")</f>
        <v/>
      </c>
      <c r="M3529" s="26">
        <f>IFERROR(INDEX(Pedidos!$G$2:$G$1801,MATCH(B3529,Pedidos!$A$2:$A$1801,0)),0)</f>
        <v/>
      </c>
      <c r="N3529" s="25">
        <f>IFERROR(INDEX(Produtos!$B$2:$B$71,MATCH(C3529,Produtos!$A$2:$A$71,0)),"")</f>
        <v/>
      </c>
      <c r="O3529" s="25">
        <f>IFERROR(INDEX(Produtos!$C$2:$C$71,MATCH(C3529,Produtos!$A$2:$A$71,0)),"")</f>
        <v/>
      </c>
      <c r="P3529" s="25">
        <f>IFERROR(INDEX(Produtos!$D$2:$D$71,MATCH(C3529,Produtos!$A$2:$A$71,0)),0)</f>
        <v/>
      </c>
      <c r="Q3529" s="25">
        <f>IFERROR(INDEX(Produtos!$E$2:$E$71,MATCH(C3529,Produtos!$A$2:$A$71,0)),0)</f>
        <v/>
      </c>
      <c r="R3529" s="27">
        <f>D3529*Q3529</f>
        <v/>
      </c>
      <c r="S3529" s="27">
        <f>R3529*E3529</f>
        <v/>
      </c>
      <c r="T3529" s="27">
        <f>(R3529-S3529)*M3529</f>
        <v/>
      </c>
      <c r="U3529" s="27">
        <f>R3529-S3529-T3529</f>
        <v/>
      </c>
      <c r="V3529" s="27">
        <f>D3529*P3529</f>
        <v/>
      </c>
      <c r="W3529" s="27">
        <f>U3529-V3529</f>
        <v/>
      </c>
      <c r="X3529" s="28">
        <f>IFERROR(W3529/U3529,0)</f>
        <v/>
      </c>
    </row>
    <row r="3530">
      <c r="A3530" s="21">
        <f>ItensPedido!A3530</f>
        <v/>
      </c>
      <c r="B3530" s="21">
        <f>ItensPedido!B3530</f>
        <v/>
      </c>
      <c r="C3530" s="21">
        <f>ItensPedido!C3530</f>
        <v/>
      </c>
      <c r="D3530" s="21">
        <f>ItensPedido!D3530</f>
        <v/>
      </c>
      <c r="E3530" s="22">
        <f>ItensPedido!E3530</f>
        <v/>
      </c>
      <c r="F3530" s="21">
        <f>IFERROR(INDEX(Pedidos!$B$2:$B$1801,MATCH(B3530,Pedidos!$A$2:$A$1801,0)),0)</f>
        <v/>
      </c>
      <c r="G3530" s="21">
        <f>IF(F3530=0,"",YEAR(F3530))</f>
        <v/>
      </c>
      <c r="H3530" s="21">
        <f>IF(F3530=0,"",MONTH(F3530))</f>
        <v/>
      </c>
      <c r="I3530" s="21">
        <f>IFERROR(INDEX(Pedidos!$E$2:$E$1801,MATCH(B3530,Pedidos!$A$2:$A$1801,0)),"")</f>
        <v/>
      </c>
      <c r="J3530" s="21">
        <f>IFERROR(INDEX(Pedidos!$C$2:$C$1801,MATCH(B3530,Pedidos!$A$2:$A$1801,0)),"")</f>
        <v/>
      </c>
      <c r="K3530" s="21">
        <f>IFERROR(INDEX(Pedidos!$D$2:$D$1801,MATCH(B3530,Pedidos!$A$2:$A$1801,0)),"")</f>
        <v/>
      </c>
      <c r="L3530" s="21">
        <f>IFERROR(INDEX(Pedidos!$F$2:$F$1801,MATCH(B3530,Pedidos!$A$2:$A$1801,0)),"")</f>
        <v/>
      </c>
      <c r="M3530" s="22">
        <f>IFERROR(INDEX(Pedidos!$G$2:$G$1801,MATCH(B3530,Pedidos!$A$2:$A$1801,0)),0)</f>
        <v/>
      </c>
      <c r="N3530" s="21">
        <f>IFERROR(INDEX(Produtos!$B$2:$B$71,MATCH(C3530,Produtos!$A$2:$A$71,0)),"")</f>
        <v/>
      </c>
      <c r="O3530" s="21">
        <f>IFERROR(INDEX(Produtos!$C$2:$C$71,MATCH(C3530,Produtos!$A$2:$A$71,0)),"")</f>
        <v/>
      </c>
      <c r="P3530" s="21">
        <f>IFERROR(INDEX(Produtos!$D$2:$D$71,MATCH(C3530,Produtos!$A$2:$A$71,0)),0)</f>
        <v/>
      </c>
      <c r="Q3530" s="21">
        <f>IFERROR(INDEX(Produtos!$E$2:$E$71,MATCH(C3530,Produtos!$A$2:$A$71,0)),0)</f>
        <v/>
      </c>
      <c r="R3530" s="23">
        <f>D3530*Q3530</f>
        <v/>
      </c>
      <c r="S3530" s="23">
        <f>R3530*E3530</f>
        <v/>
      </c>
      <c r="T3530" s="23">
        <f>(R3530-S3530)*M3530</f>
        <v/>
      </c>
      <c r="U3530" s="23">
        <f>R3530-S3530-T3530</f>
        <v/>
      </c>
      <c r="V3530" s="23">
        <f>D3530*P3530</f>
        <v/>
      </c>
      <c r="W3530" s="23">
        <f>U3530-V3530</f>
        <v/>
      </c>
      <c r="X3530" s="24">
        <f>IFERROR(W3530/U3530,0)</f>
        <v/>
      </c>
    </row>
    <row r="3531">
      <c r="A3531" s="25">
        <f>ItensPedido!A3531</f>
        <v/>
      </c>
      <c r="B3531" s="25">
        <f>ItensPedido!B3531</f>
        <v/>
      </c>
      <c r="C3531" s="25">
        <f>ItensPedido!C3531</f>
        <v/>
      </c>
      <c r="D3531" s="25">
        <f>ItensPedido!D3531</f>
        <v/>
      </c>
      <c r="E3531" s="26">
        <f>ItensPedido!E3531</f>
        <v/>
      </c>
      <c r="F3531" s="25">
        <f>IFERROR(INDEX(Pedidos!$B$2:$B$1801,MATCH(B3531,Pedidos!$A$2:$A$1801,0)),0)</f>
        <v/>
      </c>
      <c r="G3531" s="25">
        <f>IF(F3531=0,"",YEAR(F3531))</f>
        <v/>
      </c>
      <c r="H3531" s="25">
        <f>IF(F3531=0,"",MONTH(F3531))</f>
        <v/>
      </c>
      <c r="I3531" s="25">
        <f>IFERROR(INDEX(Pedidos!$E$2:$E$1801,MATCH(B3531,Pedidos!$A$2:$A$1801,0)),"")</f>
        <v/>
      </c>
      <c r="J3531" s="25">
        <f>IFERROR(INDEX(Pedidos!$C$2:$C$1801,MATCH(B3531,Pedidos!$A$2:$A$1801,0)),"")</f>
        <v/>
      </c>
      <c r="K3531" s="25">
        <f>IFERROR(INDEX(Pedidos!$D$2:$D$1801,MATCH(B3531,Pedidos!$A$2:$A$1801,0)),"")</f>
        <v/>
      </c>
      <c r="L3531" s="25">
        <f>IFERROR(INDEX(Pedidos!$F$2:$F$1801,MATCH(B3531,Pedidos!$A$2:$A$1801,0)),"")</f>
        <v/>
      </c>
      <c r="M3531" s="26">
        <f>IFERROR(INDEX(Pedidos!$G$2:$G$1801,MATCH(B3531,Pedidos!$A$2:$A$1801,0)),0)</f>
        <v/>
      </c>
      <c r="N3531" s="25">
        <f>IFERROR(INDEX(Produtos!$B$2:$B$71,MATCH(C3531,Produtos!$A$2:$A$71,0)),"")</f>
        <v/>
      </c>
      <c r="O3531" s="25">
        <f>IFERROR(INDEX(Produtos!$C$2:$C$71,MATCH(C3531,Produtos!$A$2:$A$71,0)),"")</f>
        <v/>
      </c>
      <c r="P3531" s="25">
        <f>IFERROR(INDEX(Produtos!$D$2:$D$71,MATCH(C3531,Produtos!$A$2:$A$71,0)),0)</f>
        <v/>
      </c>
      <c r="Q3531" s="25">
        <f>IFERROR(INDEX(Produtos!$E$2:$E$71,MATCH(C3531,Produtos!$A$2:$A$71,0)),0)</f>
        <v/>
      </c>
      <c r="R3531" s="27">
        <f>D3531*Q3531</f>
        <v/>
      </c>
      <c r="S3531" s="27">
        <f>R3531*E3531</f>
        <v/>
      </c>
      <c r="T3531" s="27">
        <f>(R3531-S3531)*M3531</f>
        <v/>
      </c>
      <c r="U3531" s="27">
        <f>R3531-S3531-T3531</f>
        <v/>
      </c>
      <c r="V3531" s="27">
        <f>D3531*P3531</f>
        <v/>
      </c>
      <c r="W3531" s="27">
        <f>U3531-V3531</f>
        <v/>
      </c>
      <c r="X3531" s="28">
        <f>IFERROR(W3531/U3531,0)</f>
        <v/>
      </c>
    </row>
    <row r="3532">
      <c r="A3532" s="21">
        <f>ItensPedido!A3532</f>
        <v/>
      </c>
      <c r="B3532" s="21">
        <f>ItensPedido!B3532</f>
        <v/>
      </c>
      <c r="C3532" s="21">
        <f>ItensPedido!C3532</f>
        <v/>
      </c>
      <c r="D3532" s="21">
        <f>ItensPedido!D3532</f>
        <v/>
      </c>
      <c r="E3532" s="22">
        <f>ItensPedido!E3532</f>
        <v/>
      </c>
      <c r="F3532" s="21">
        <f>IFERROR(INDEX(Pedidos!$B$2:$B$1801,MATCH(B3532,Pedidos!$A$2:$A$1801,0)),0)</f>
        <v/>
      </c>
      <c r="G3532" s="21">
        <f>IF(F3532=0,"",YEAR(F3532))</f>
        <v/>
      </c>
      <c r="H3532" s="21">
        <f>IF(F3532=0,"",MONTH(F3532))</f>
        <v/>
      </c>
      <c r="I3532" s="21">
        <f>IFERROR(INDEX(Pedidos!$E$2:$E$1801,MATCH(B3532,Pedidos!$A$2:$A$1801,0)),"")</f>
        <v/>
      </c>
      <c r="J3532" s="21">
        <f>IFERROR(INDEX(Pedidos!$C$2:$C$1801,MATCH(B3532,Pedidos!$A$2:$A$1801,0)),"")</f>
        <v/>
      </c>
      <c r="K3532" s="21">
        <f>IFERROR(INDEX(Pedidos!$D$2:$D$1801,MATCH(B3532,Pedidos!$A$2:$A$1801,0)),"")</f>
        <v/>
      </c>
      <c r="L3532" s="21">
        <f>IFERROR(INDEX(Pedidos!$F$2:$F$1801,MATCH(B3532,Pedidos!$A$2:$A$1801,0)),"")</f>
        <v/>
      </c>
      <c r="M3532" s="22">
        <f>IFERROR(INDEX(Pedidos!$G$2:$G$1801,MATCH(B3532,Pedidos!$A$2:$A$1801,0)),0)</f>
        <v/>
      </c>
      <c r="N3532" s="21">
        <f>IFERROR(INDEX(Produtos!$B$2:$B$71,MATCH(C3532,Produtos!$A$2:$A$71,0)),"")</f>
        <v/>
      </c>
      <c r="O3532" s="21">
        <f>IFERROR(INDEX(Produtos!$C$2:$C$71,MATCH(C3532,Produtos!$A$2:$A$71,0)),"")</f>
        <v/>
      </c>
      <c r="P3532" s="21">
        <f>IFERROR(INDEX(Produtos!$D$2:$D$71,MATCH(C3532,Produtos!$A$2:$A$71,0)),0)</f>
        <v/>
      </c>
      <c r="Q3532" s="21">
        <f>IFERROR(INDEX(Produtos!$E$2:$E$71,MATCH(C3532,Produtos!$A$2:$A$71,0)),0)</f>
        <v/>
      </c>
      <c r="R3532" s="23">
        <f>D3532*Q3532</f>
        <v/>
      </c>
      <c r="S3532" s="23">
        <f>R3532*E3532</f>
        <v/>
      </c>
      <c r="T3532" s="23">
        <f>(R3532-S3532)*M3532</f>
        <v/>
      </c>
      <c r="U3532" s="23">
        <f>R3532-S3532-T3532</f>
        <v/>
      </c>
      <c r="V3532" s="23">
        <f>D3532*P3532</f>
        <v/>
      </c>
      <c r="W3532" s="23">
        <f>U3532-V3532</f>
        <v/>
      </c>
      <c r="X3532" s="24">
        <f>IFERROR(W3532/U3532,0)</f>
        <v/>
      </c>
    </row>
    <row r="3533">
      <c r="A3533" s="25">
        <f>ItensPedido!A3533</f>
        <v/>
      </c>
      <c r="B3533" s="25">
        <f>ItensPedido!B3533</f>
        <v/>
      </c>
      <c r="C3533" s="25">
        <f>ItensPedido!C3533</f>
        <v/>
      </c>
      <c r="D3533" s="25">
        <f>ItensPedido!D3533</f>
        <v/>
      </c>
      <c r="E3533" s="26">
        <f>ItensPedido!E3533</f>
        <v/>
      </c>
      <c r="F3533" s="25">
        <f>IFERROR(INDEX(Pedidos!$B$2:$B$1801,MATCH(B3533,Pedidos!$A$2:$A$1801,0)),0)</f>
        <v/>
      </c>
      <c r="G3533" s="25">
        <f>IF(F3533=0,"",YEAR(F3533))</f>
        <v/>
      </c>
      <c r="H3533" s="25">
        <f>IF(F3533=0,"",MONTH(F3533))</f>
        <v/>
      </c>
      <c r="I3533" s="25">
        <f>IFERROR(INDEX(Pedidos!$E$2:$E$1801,MATCH(B3533,Pedidos!$A$2:$A$1801,0)),"")</f>
        <v/>
      </c>
      <c r="J3533" s="25">
        <f>IFERROR(INDEX(Pedidos!$C$2:$C$1801,MATCH(B3533,Pedidos!$A$2:$A$1801,0)),"")</f>
        <v/>
      </c>
      <c r="K3533" s="25">
        <f>IFERROR(INDEX(Pedidos!$D$2:$D$1801,MATCH(B3533,Pedidos!$A$2:$A$1801,0)),"")</f>
        <v/>
      </c>
      <c r="L3533" s="25">
        <f>IFERROR(INDEX(Pedidos!$F$2:$F$1801,MATCH(B3533,Pedidos!$A$2:$A$1801,0)),"")</f>
        <v/>
      </c>
      <c r="M3533" s="26">
        <f>IFERROR(INDEX(Pedidos!$G$2:$G$1801,MATCH(B3533,Pedidos!$A$2:$A$1801,0)),0)</f>
        <v/>
      </c>
      <c r="N3533" s="25">
        <f>IFERROR(INDEX(Produtos!$B$2:$B$71,MATCH(C3533,Produtos!$A$2:$A$71,0)),"")</f>
        <v/>
      </c>
      <c r="O3533" s="25">
        <f>IFERROR(INDEX(Produtos!$C$2:$C$71,MATCH(C3533,Produtos!$A$2:$A$71,0)),"")</f>
        <v/>
      </c>
      <c r="P3533" s="25">
        <f>IFERROR(INDEX(Produtos!$D$2:$D$71,MATCH(C3533,Produtos!$A$2:$A$71,0)),0)</f>
        <v/>
      </c>
      <c r="Q3533" s="25">
        <f>IFERROR(INDEX(Produtos!$E$2:$E$71,MATCH(C3533,Produtos!$A$2:$A$71,0)),0)</f>
        <v/>
      </c>
      <c r="R3533" s="27">
        <f>D3533*Q3533</f>
        <v/>
      </c>
      <c r="S3533" s="27">
        <f>R3533*E3533</f>
        <v/>
      </c>
      <c r="T3533" s="27">
        <f>(R3533-S3533)*M3533</f>
        <v/>
      </c>
      <c r="U3533" s="27">
        <f>R3533-S3533-T3533</f>
        <v/>
      </c>
      <c r="V3533" s="27">
        <f>D3533*P3533</f>
        <v/>
      </c>
      <c r="W3533" s="27">
        <f>U3533-V3533</f>
        <v/>
      </c>
      <c r="X3533" s="28">
        <f>IFERROR(W3533/U3533,0)</f>
        <v/>
      </c>
    </row>
    <row r="3534">
      <c r="A3534" s="21">
        <f>ItensPedido!A3534</f>
        <v/>
      </c>
      <c r="B3534" s="21">
        <f>ItensPedido!B3534</f>
        <v/>
      </c>
      <c r="C3534" s="21">
        <f>ItensPedido!C3534</f>
        <v/>
      </c>
      <c r="D3534" s="21">
        <f>ItensPedido!D3534</f>
        <v/>
      </c>
      <c r="E3534" s="22">
        <f>ItensPedido!E3534</f>
        <v/>
      </c>
      <c r="F3534" s="21">
        <f>IFERROR(INDEX(Pedidos!$B$2:$B$1801,MATCH(B3534,Pedidos!$A$2:$A$1801,0)),0)</f>
        <v/>
      </c>
      <c r="G3534" s="21">
        <f>IF(F3534=0,"",YEAR(F3534))</f>
        <v/>
      </c>
      <c r="H3534" s="21">
        <f>IF(F3534=0,"",MONTH(F3534))</f>
        <v/>
      </c>
      <c r="I3534" s="21">
        <f>IFERROR(INDEX(Pedidos!$E$2:$E$1801,MATCH(B3534,Pedidos!$A$2:$A$1801,0)),"")</f>
        <v/>
      </c>
      <c r="J3534" s="21">
        <f>IFERROR(INDEX(Pedidos!$C$2:$C$1801,MATCH(B3534,Pedidos!$A$2:$A$1801,0)),"")</f>
        <v/>
      </c>
      <c r="K3534" s="21">
        <f>IFERROR(INDEX(Pedidos!$D$2:$D$1801,MATCH(B3534,Pedidos!$A$2:$A$1801,0)),"")</f>
        <v/>
      </c>
      <c r="L3534" s="21">
        <f>IFERROR(INDEX(Pedidos!$F$2:$F$1801,MATCH(B3534,Pedidos!$A$2:$A$1801,0)),"")</f>
        <v/>
      </c>
      <c r="M3534" s="22">
        <f>IFERROR(INDEX(Pedidos!$G$2:$G$1801,MATCH(B3534,Pedidos!$A$2:$A$1801,0)),0)</f>
        <v/>
      </c>
      <c r="N3534" s="21">
        <f>IFERROR(INDEX(Produtos!$B$2:$B$71,MATCH(C3534,Produtos!$A$2:$A$71,0)),"")</f>
        <v/>
      </c>
      <c r="O3534" s="21">
        <f>IFERROR(INDEX(Produtos!$C$2:$C$71,MATCH(C3534,Produtos!$A$2:$A$71,0)),"")</f>
        <v/>
      </c>
      <c r="P3534" s="21">
        <f>IFERROR(INDEX(Produtos!$D$2:$D$71,MATCH(C3534,Produtos!$A$2:$A$71,0)),0)</f>
        <v/>
      </c>
      <c r="Q3534" s="21">
        <f>IFERROR(INDEX(Produtos!$E$2:$E$71,MATCH(C3534,Produtos!$A$2:$A$71,0)),0)</f>
        <v/>
      </c>
      <c r="R3534" s="23">
        <f>D3534*Q3534</f>
        <v/>
      </c>
      <c r="S3534" s="23">
        <f>R3534*E3534</f>
        <v/>
      </c>
      <c r="T3534" s="23">
        <f>(R3534-S3534)*M3534</f>
        <v/>
      </c>
      <c r="U3534" s="23">
        <f>R3534-S3534-T3534</f>
        <v/>
      </c>
      <c r="V3534" s="23">
        <f>D3534*P3534</f>
        <v/>
      </c>
      <c r="W3534" s="23">
        <f>U3534-V3534</f>
        <v/>
      </c>
      <c r="X3534" s="24">
        <f>IFERROR(W3534/U3534,0)</f>
        <v/>
      </c>
    </row>
    <row r="3535">
      <c r="A3535" s="25">
        <f>ItensPedido!A3535</f>
        <v/>
      </c>
      <c r="B3535" s="25">
        <f>ItensPedido!B3535</f>
        <v/>
      </c>
      <c r="C3535" s="25">
        <f>ItensPedido!C3535</f>
        <v/>
      </c>
      <c r="D3535" s="25">
        <f>ItensPedido!D3535</f>
        <v/>
      </c>
      <c r="E3535" s="26">
        <f>ItensPedido!E3535</f>
        <v/>
      </c>
      <c r="F3535" s="25">
        <f>IFERROR(INDEX(Pedidos!$B$2:$B$1801,MATCH(B3535,Pedidos!$A$2:$A$1801,0)),0)</f>
        <v/>
      </c>
      <c r="G3535" s="25">
        <f>IF(F3535=0,"",YEAR(F3535))</f>
        <v/>
      </c>
      <c r="H3535" s="25">
        <f>IF(F3535=0,"",MONTH(F3535))</f>
        <v/>
      </c>
      <c r="I3535" s="25">
        <f>IFERROR(INDEX(Pedidos!$E$2:$E$1801,MATCH(B3535,Pedidos!$A$2:$A$1801,0)),"")</f>
        <v/>
      </c>
      <c r="J3535" s="25">
        <f>IFERROR(INDEX(Pedidos!$C$2:$C$1801,MATCH(B3535,Pedidos!$A$2:$A$1801,0)),"")</f>
        <v/>
      </c>
      <c r="K3535" s="25">
        <f>IFERROR(INDEX(Pedidos!$D$2:$D$1801,MATCH(B3535,Pedidos!$A$2:$A$1801,0)),"")</f>
        <v/>
      </c>
      <c r="L3535" s="25">
        <f>IFERROR(INDEX(Pedidos!$F$2:$F$1801,MATCH(B3535,Pedidos!$A$2:$A$1801,0)),"")</f>
        <v/>
      </c>
      <c r="M3535" s="26">
        <f>IFERROR(INDEX(Pedidos!$G$2:$G$1801,MATCH(B3535,Pedidos!$A$2:$A$1801,0)),0)</f>
        <v/>
      </c>
      <c r="N3535" s="25">
        <f>IFERROR(INDEX(Produtos!$B$2:$B$71,MATCH(C3535,Produtos!$A$2:$A$71,0)),"")</f>
        <v/>
      </c>
      <c r="O3535" s="25">
        <f>IFERROR(INDEX(Produtos!$C$2:$C$71,MATCH(C3535,Produtos!$A$2:$A$71,0)),"")</f>
        <v/>
      </c>
      <c r="P3535" s="25">
        <f>IFERROR(INDEX(Produtos!$D$2:$D$71,MATCH(C3535,Produtos!$A$2:$A$71,0)),0)</f>
        <v/>
      </c>
      <c r="Q3535" s="25">
        <f>IFERROR(INDEX(Produtos!$E$2:$E$71,MATCH(C3535,Produtos!$A$2:$A$71,0)),0)</f>
        <v/>
      </c>
      <c r="R3535" s="27">
        <f>D3535*Q3535</f>
        <v/>
      </c>
      <c r="S3535" s="27">
        <f>R3535*E3535</f>
        <v/>
      </c>
      <c r="T3535" s="27">
        <f>(R3535-S3535)*M3535</f>
        <v/>
      </c>
      <c r="U3535" s="27">
        <f>R3535-S3535-T3535</f>
        <v/>
      </c>
      <c r="V3535" s="27">
        <f>D3535*P3535</f>
        <v/>
      </c>
      <c r="W3535" s="27">
        <f>U3535-V3535</f>
        <v/>
      </c>
      <c r="X3535" s="28">
        <f>IFERROR(W3535/U3535,0)</f>
        <v/>
      </c>
    </row>
    <row r="3536">
      <c r="A3536" s="21">
        <f>ItensPedido!A3536</f>
        <v/>
      </c>
      <c r="B3536" s="21">
        <f>ItensPedido!B3536</f>
        <v/>
      </c>
      <c r="C3536" s="21">
        <f>ItensPedido!C3536</f>
        <v/>
      </c>
      <c r="D3536" s="21">
        <f>ItensPedido!D3536</f>
        <v/>
      </c>
      <c r="E3536" s="22">
        <f>ItensPedido!E3536</f>
        <v/>
      </c>
      <c r="F3536" s="21">
        <f>IFERROR(INDEX(Pedidos!$B$2:$B$1801,MATCH(B3536,Pedidos!$A$2:$A$1801,0)),0)</f>
        <v/>
      </c>
      <c r="G3536" s="21">
        <f>IF(F3536=0,"",YEAR(F3536))</f>
        <v/>
      </c>
      <c r="H3536" s="21">
        <f>IF(F3536=0,"",MONTH(F3536))</f>
        <v/>
      </c>
      <c r="I3536" s="21">
        <f>IFERROR(INDEX(Pedidos!$E$2:$E$1801,MATCH(B3536,Pedidos!$A$2:$A$1801,0)),"")</f>
        <v/>
      </c>
      <c r="J3536" s="21">
        <f>IFERROR(INDEX(Pedidos!$C$2:$C$1801,MATCH(B3536,Pedidos!$A$2:$A$1801,0)),"")</f>
        <v/>
      </c>
      <c r="K3536" s="21">
        <f>IFERROR(INDEX(Pedidos!$D$2:$D$1801,MATCH(B3536,Pedidos!$A$2:$A$1801,0)),"")</f>
        <v/>
      </c>
      <c r="L3536" s="21">
        <f>IFERROR(INDEX(Pedidos!$F$2:$F$1801,MATCH(B3536,Pedidos!$A$2:$A$1801,0)),"")</f>
        <v/>
      </c>
      <c r="M3536" s="22">
        <f>IFERROR(INDEX(Pedidos!$G$2:$G$1801,MATCH(B3536,Pedidos!$A$2:$A$1801,0)),0)</f>
        <v/>
      </c>
      <c r="N3536" s="21">
        <f>IFERROR(INDEX(Produtos!$B$2:$B$71,MATCH(C3536,Produtos!$A$2:$A$71,0)),"")</f>
        <v/>
      </c>
      <c r="O3536" s="21">
        <f>IFERROR(INDEX(Produtos!$C$2:$C$71,MATCH(C3536,Produtos!$A$2:$A$71,0)),"")</f>
        <v/>
      </c>
      <c r="P3536" s="21">
        <f>IFERROR(INDEX(Produtos!$D$2:$D$71,MATCH(C3536,Produtos!$A$2:$A$71,0)),0)</f>
        <v/>
      </c>
      <c r="Q3536" s="21">
        <f>IFERROR(INDEX(Produtos!$E$2:$E$71,MATCH(C3536,Produtos!$A$2:$A$71,0)),0)</f>
        <v/>
      </c>
      <c r="R3536" s="23">
        <f>D3536*Q3536</f>
        <v/>
      </c>
      <c r="S3536" s="23">
        <f>R3536*E3536</f>
        <v/>
      </c>
      <c r="T3536" s="23">
        <f>(R3536-S3536)*M3536</f>
        <v/>
      </c>
      <c r="U3536" s="23">
        <f>R3536-S3536-T3536</f>
        <v/>
      </c>
      <c r="V3536" s="23">
        <f>D3536*P3536</f>
        <v/>
      </c>
      <c r="W3536" s="23">
        <f>U3536-V3536</f>
        <v/>
      </c>
      <c r="X3536" s="24">
        <f>IFERROR(W3536/U3536,0)</f>
        <v/>
      </c>
    </row>
    <row r="3537">
      <c r="A3537" s="25">
        <f>ItensPedido!A3537</f>
        <v/>
      </c>
      <c r="B3537" s="25">
        <f>ItensPedido!B3537</f>
        <v/>
      </c>
      <c r="C3537" s="25">
        <f>ItensPedido!C3537</f>
        <v/>
      </c>
      <c r="D3537" s="25">
        <f>ItensPedido!D3537</f>
        <v/>
      </c>
      <c r="E3537" s="26">
        <f>ItensPedido!E3537</f>
        <v/>
      </c>
      <c r="F3537" s="25">
        <f>IFERROR(INDEX(Pedidos!$B$2:$B$1801,MATCH(B3537,Pedidos!$A$2:$A$1801,0)),0)</f>
        <v/>
      </c>
      <c r="G3537" s="25">
        <f>IF(F3537=0,"",YEAR(F3537))</f>
        <v/>
      </c>
      <c r="H3537" s="25">
        <f>IF(F3537=0,"",MONTH(F3537))</f>
        <v/>
      </c>
      <c r="I3537" s="25">
        <f>IFERROR(INDEX(Pedidos!$E$2:$E$1801,MATCH(B3537,Pedidos!$A$2:$A$1801,0)),"")</f>
        <v/>
      </c>
      <c r="J3537" s="25">
        <f>IFERROR(INDEX(Pedidos!$C$2:$C$1801,MATCH(B3537,Pedidos!$A$2:$A$1801,0)),"")</f>
        <v/>
      </c>
      <c r="K3537" s="25">
        <f>IFERROR(INDEX(Pedidos!$D$2:$D$1801,MATCH(B3537,Pedidos!$A$2:$A$1801,0)),"")</f>
        <v/>
      </c>
      <c r="L3537" s="25">
        <f>IFERROR(INDEX(Pedidos!$F$2:$F$1801,MATCH(B3537,Pedidos!$A$2:$A$1801,0)),"")</f>
        <v/>
      </c>
      <c r="M3537" s="26">
        <f>IFERROR(INDEX(Pedidos!$G$2:$G$1801,MATCH(B3537,Pedidos!$A$2:$A$1801,0)),0)</f>
        <v/>
      </c>
      <c r="N3537" s="25">
        <f>IFERROR(INDEX(Produtos!$B$2:$B$71,MATCH(C3537,Produtos!$A$2:$A$71,0)),"")</f>
        <v/>
      </c>
      <c r="O3537" s="25">
        <f>IFERROR(INDEX(Produtos!$C$2:$C$71,MATCH(C3537,Produtos!$A$2:$A$71,0)),"")</f>
        <v/>
      </c>
      <c r="P3537" s="25">
        <f>IFERROR(INDEX(Produtos!$D$2:$D$71,MATCH(C3537,Produtos!$A$2:$A$71,0)),0)</f>
        <v/>
      </c>
      <c r="Q3537" s="25">
        <f>IFERROR(INDEX(Produtos!$E$2:$E$71,MATCH(C3537,Produtos!$A$2:$A$71,0)),0)</f>
        <v/>
      </c>
      <c r="R3537" s="27">
        <f>D3537*Q3537</f>
        <v/>
      </c>
      <c r="S3537" s="27">
        <f>R3537*E3537</f>
        <v/>
      </c>
      <c r="T3537" s="27">
        <f>(R3537-S3537)*M3537</f>
        <v/>
      </c>
      <c r="U3537" s="27">
        <f>R3537-S3537-T3537</f>
        <v/>
      </c>
      <c r="V3537" s="27">
        <f>D3537*P3537</f>
        <v/>
      </c>
      <c r="W3537" s="27">
        <f>U3537-V3537</f>
        <v/>
      </c>
      <c r="X3537" s="28">
        <f>IFERROR(W3537/U3537,0)</f>
        <v/>
      </c>
    </row>
    <row r="3538">
      <c r="A3538" s="21">
        <f>ItensPedido!A3538</f>
        <v/>
      </c>
      <c r="B3538" s="21">
        <f>ItensPedido!B3538</f>
        <v/>
      </c>
      <c r="C3538" s="21">
        <f>ItensPedido!C3538</f>
        <v/>
      </c>
      <c r="D3538" s="21">
        <f>ItensPedido!D3538</f>
        <v/>
      </c>
      <c r="E3538" s="22">
        <f>ItensPedido!E3538</f>
        <v/>
      </c>
      <c r="F3538" s="21">
        <f>IFERROR(INDEX(Pedidos!$B$2:$B$1801,MATCH(B3538,Pedidos!$A$2:$A$1801,0)),0)</f>
        <v/>
      </c>
      <c r="G3538" s="21">
        <f>IF(F3538=0,"",YEAR(F3538))</f>
        <v/>
      </c>
      <c r="H3538" s="21">
        <f>IF(F3538=0,"",MONTH(F3538))</f>
        <v/>
      </c>
      <c r="I3538" s="21">
        <f>IFERROR(INDEX(Pedidos!$E$2:$E$1801,MATCH(B3538,Pedidos!$A$2:$A$1801,0)),"")</f>
        <v/>
      </c>
      <c r="J3538" s="21">
        <f>IFERROR(INDEX(Pedidos!$C$2:$C$1801,MATCH(B3538,Pedidos!$A$2:$A$1801,0)),"")</f>
        <v/>
      </c>
      <c r="K3538" s="21">
        <f>IFERROR(INDEX(Pedidos!$D$2:$D$1801,MATCH(B3538,Pedidos!$A$2:$A$1801,0)),"")</f>
        <v/>
      </c>
      <c r="L3538" s="21">
        <f>IFERROR(INDEX(Pedidos!$F$2:$F$1801,MATCH(B3538,Pedidos!$A$2:$A$1801,0)),"")</f>
        <v/>
      </c>
      <c r="M3538" s="22">
        <f>IFERROR(INDEX(Pedidos!$G$2:$G$1801,MATCH(B3538,Pedidos!$A$2:$A$1801,0)),0)</f>
        <v/>
      </c>
      <c r="N3538" s="21">
        <f>IFERROR(INDEX(Produtos!$B$2:$B$71,MATCH(C3538,Produtos!$A$2:$A$71,0)),"")</f>
        <v/>
      </c>
      <c r="O3538" s="21">
        <f>IFERROR(INDEX(Produtos!$C$2:$C$71,MATCH(C3538,Produtos!$A$2:$A$71,0)),"")</f>
        <v/>
      </c>
      <c r="P3538" s="21">
        <f>IFERROR(INDEX(Produtos!$D$2:$D$71,MATCH(C3538,Produtos!$A$2:$A$71,0)),0)</f>
        <v/>
      </c>
      <c r="Q3538" s="21">
        <f>IFERROR(INDEX(Produtos!$E$2:$E$71,MATCH(C3538,Produtos!$A$2:$A$71,0)),0)</f>
        <v/>
      </c>
      <c r="R3538" s="23">
        <f>D3538*Q3538</f>
        <v/>
      </c>
      <c r="S3538" s="23">
        <f>R3538*E3538</f>
        <v/>
      </c>
      <c r="T3538" s="23">
        <f>(R3538-S3538)*M3538</f>
        <v/>
      </c>
      <c r="U3538" s="23">
        <f>R3538-S3538-T3538</f>
        <v/>
      </c>
      <c r="V3538" s="23">
        <f>D3538*P3538</f>
        <v/>
      </c>
      <c r="W3538" s="23">
        <f>U3538-V3538</f>
        <v/>
      </c>
      <c r="X3538" s="24">
        <f>IFERROR(W3538/U3538,0)</f>
        <v/>
      </c>
    </row>
    <row r="3539">
      <c r="A3539" s="25">
        <f>ItensPedido!A3539</f>
        <v/>
      </c>
      <c r="B3539" s="25">
        <f>ItensPedido!B3539</f>
        <v/>
      </c>
      <c r="C3539" s="25">
        <f>ItensPedido!C3539</f>
        <v/>
      </c>
      <c r="D3539" s="25">
        <f>ItensPedido!D3539</f>
        <v/>
      </c>
      <c r="E3539" s="26">
        <f>ItensPedido!E3539</f>
        <v/>
      </c>
      <c r="F3539" s="25">
        <f>IFERROR(INDEX(Pedidos!$B$2:$B$1801,MATCH(B3539,Pedidos!$A$2:$A$1801,0)),0)</f>
        <v/>
      </c>
      <c r="G3539" s="25">
        <f>IF(F3539=0,"",YEAR(F3539))</f>
        <v/>
      </c>
      <c r="H3539" s="25">
        <f>IF(F3539=0,"",MONTH(F3539))</f>
        <v/>
      </c>
      <c r="I3539" s="25">
        <f>IFERROR(INDEX(Pedidos!$E$2:$E$1801,MATCH(B3539,Pedidos!$A$2:$A$1801,0)),"")</f>
        <v/>
      </c>
      <c r="J3539" s="25">
        <f>IFERROR(INDEX(Pedidos!$C$2:$C$1801,MATCH(B3539,Pedidos!$A$2:$A$1801,0)),"")</f>
        <v/>
      </c>
      <c r="K3539" s="25">
        <f>IFERROR(INDEX(Pedidos!$D$2:$D$1801,MATCH(B3539,Pedidos!$A$2:$A$1801,0)),"")</f>
        <v/>
      </c>
      <c r="L3539" s="25">
        <f>IFERROR(INDEX(Pedidos!$F$2:$F$1801,MATCH(B3539,Pedidos!$A$2:$A$1801,0)),"")</f>
        <v/>
      </c>
      <c r="M3539" s="26">
        <f>IFERROR(INDEX(Pedidos!$G$2:$G$1801,MATCH(B3539,Pedidos!$A$2:$A$1801,0)),0)</f>
        <v/>
      </c>
      <c r="N3539" s="25">
        <f>IFERROR(INDEX(Produtos!$B$2:$B$71,MATCH(C3539,Produtos!$A$2:$A$71,0)),"")</f>
        <v/>
      </c>
      <c r="O3539" s="25">
        <f>IFERROR(INDEX(Produtos!$C$2:$C$71,MATCH(C3539,Produtos!$A$2:$A$71,0)),"")</f>
        <v/>
      </c>
      <c r="P3539" s="25">
        <f>IFERROR(INDEX(Produtos!$D$2:$D$71,MATCH(C3539,Produtos!$A$2:$A$71,0)),0)</f>
        <v/>
      </c>
      <c r="Q3539" s="25">
        <f>IFERROR(INDEX(Produtos!$E$2:$E$71,MATCH(C3539,Produtos!$A$2:$A$71,0)),0)</f>
        <v/>
      </c>
      <c r="R3539" s="27">
        <f>D3539*Q3539</f>
        <v/>
      </c>
      <c r="S3539" s="27">
        <f>R3539*E3539</f>
        <v/>
      </c>
      <c r="T3539" s="27">
        <f>(R3539-S3539)*M3539</f>
        <v/>
      </c>
      <c r="U3539" s="27">
        <f>R3539-S3539-T3539</f>
        <v/>
      </c>
      <c r="V3539" s="27">
        <f>D3539*P3539</f>
        <v/>
      </c>
      <c r="W3539" s="27">
        <f>U3539-V3539</f>
        <v/>
      </c>
      <c r="X3539" s="28">
        <f>IFERROR(W3539/U3539,0)</f>
        <v/>
      </c>
    </row>
    <row r="3540">
      <c r="A3540" s="21">
        <f>ItensPedido!A3540</f>
        <v/>
      </c>
      <c r="B3540" s="21">
        <f>ItensPedido!B3540</f>
        <v/>
      </c>
      <c r="C3540" s="21">
        <f>ItensPedido!C3540</f>
        <v/>
      </c>
      <c r="D3540" s="21">
        <f>ItensPedido!D3540</f>
        <v/>
      </c>
      <c r="E3540" s="22">
        <f>ItensPedido!E3540</f>
        <v/>
      </c>
      <c r="F3540" s="21">
        <f>IFERROR(INDEX(Pedidos!$B$2:$B$1801,MATCH(B3540,Pedidos!$A$2:$A$1801,0)),0)</f>
        <v/>
      </c>
      <c r="G3540" s="21">
        <f>IF(F3540=0,"",YEAR(F3540))</f>
        <v/>
      </c>
      <c r="H3540" s="21">
        <f>IF(F3540=0,"",MONTH(F3540))</f>
        <v/>
      </c>
      <c r="I3540" s="21">
        <f>IFERROR(INDEX(Pedidos!$E$2:$E$1801,MATCH(B3540,Pedidos!$A$2:$A$1801,0)),"")</f>
        <v/>
      </c>
      <c r="J3540" s="21">
        <f>IFERROR(INDEX(Pedidos!$C$2:$C$1801,MATCH(B3540,Pedidos!$A$2:$A$1801,0)),"")</f>
        <v/>
      </c>
      <c r="K3540" s="21">
        <f>IFERROR(INDEX(Pedidos!$D$2:$D$1801,MATCH(B3540,Pedidos!$A$2:$A$1801,0)),"")</f>
        <v/>
      </c>
      <c r="L3540" s="21">
        <f>IFERROR(INDEX(Pedidos!$F$2:$F$1801,MATCH(B3540,Pedidos!$A$2:$A$1801,0)),"")</f>
        <v/>
      </c>
      <c r="M3540" s="22">
        <f>IFERROR(INDEX(Pedidos!$G$2:$G$1801,MATCH(B3540,Pedidos!$A$2:$A$1801,0)),0)</f>
        <v/>
      </c>
      <c r="N3540" s="21">
        <f>IFERROR(INDEX(Produtos!$B$2:$B$71,MATCH(C3540,Produtos!$A$2:$A$71,0)),"")</f>
        <v/>
      </c>
      <c r="O3540" s="21">
        <f>IFERROR(INDEX(Produtos!$C$2:$C$71,MATCH(C3540,Produtos!$A$2:$A$71,0)),"")</f>
        <v/>
      </c>
      <c r="P3540" s="21">
        <f>IFERROR(INDEX(Produtos!$D$2:$D$71,MATCH(C3540,Produtos!$A$2:$A$71,0)),0)</f>
        <v/>
      </c>
      <c r="Q3540" s="21">
        <f>IFERROR(INDEX(Produtos!$E$2:$E$71,MATCH(C3540,Produtos!$A$2:$A$71,0)),0)</f>
        <v/>
      </c>
      <c r="R3540" s="23">
        <f>D3540*Q3540</f>
        <v/>
      </c>
      <c r="S3540" s="23">
        <f>R3540*E3540</f>
        <v/>
      </c>
      <c r="T3540" s="23">
        <f>(R3540-S3540)*M3540</f>
        <v/>
      </c>
      <c r="U3540" s="23">
        <f>R3540-S3540-T3540</f>
        <v/>
      </c>
      <c r="V3540" s="23">
        <f>D3540*P3540</f>
        <v/>
      </c>
      <c r="W3540" s="23">
        <f>U3540-V3540</f>
        <v/>
      </c>
      <c r="X3540" s="24">
        <f>IFERROR(W3540/U3540,0)</f>
        <v/>
      </c>
    </row>
    <row r="3541">
      <c r="A3541" s="25">
        <f>ItensPedido!A3541</f>
        <v/>
      </c>
      <c r="B3541" s="25">
        <f>ItensPedido!B3541</f>
        <v/>
      </c>
      <c r="C3541" s="25">
        <f>ItensPedido!C3541</f>
        <v/>
      </c>
      <c r="D3541" s="25">
        <f>ItensPedido!D3541</f>
        <v/>
      </c>
      <c r="E3541" s="26">
        <f>ItensPedido!E3541</f>
        <v/>
      </c>
      <c r="F3541" s="25">
        <f>IFERROR(INDEX(Pedidos!$B$2:$B$1801,MATCH(B3541,Pedidos!$A$2:$A$1801,0)),0)</f>
        <v/>
      </c>
      <c r="G3541" s="25">
        <f>IF(F3541=0,"",YEAR(F3541))</f>
        <v/>
      </c>
      <c r="H3541" s="25">
        <f>IF(F3541=0,"",MONTH(F3541))</f>
        <v/>
      </c>
      <c r="I3541" s="25">
        <f>IFERROR(INDEX(Pedidos!$E$2:$E$1801,MATCH(B3541,Pedidos!$A$2:$A$1801,0)),"")</f>
        <v/>
      </c>
      <c r="J3541" s="25">
        <f>IFERROR(INDEX(Pedidos!$C$2:$C$1801,MATCH(B3541,Pedidos!$A$2:$A$1801,0)),"")</f>
        <v/>
      </c>
      <c r="K3541" s="25">
        <f>IFERROR(INDEX(Pedidos!$D$2:$D$1801,MATCH(B3541,Pedidos!$A$2:$A$1801,0)),"")</f>
        <v/>
      </c>
      <c r="L3541" s="25">
        <f>IFERROR(INDEX(Pedidos!$F$2:$F$1801,MATCH(B3541,Pedidos!$A$2:$A$1801,0)),"")</f>
        <v/>
      </c>
      <c r="M3541" s="26">
        <f>IFERROR(INDEX(Pedidos!$G$2:$G$1801,MATCH(B3541,Pedidos!$A$2:$A$1801,0)),0)</f>
        <v/>
      </c>
      <c r="N3541" s="25">
        <f>IFERROR(INDEX(Produtos!$B$2:$B$71,MATCH(C3541,Produtos!$A$2:$A$71,0)),"")</f>
        <v/>
      </c>
      <c r="O3541" s="25">
        <f>IFERROR(INDEX(Produtos!$C$2:$C$71,MATCH(C3541,Produtos!$A$2:$A$71,0)),"")</f>
        <v/>
      </c>
      <c r="P3541" s="25">
        <f>IFERROR(INDEX(Produtos!$D$2:$D$71,MATCH(C3541,Produtos!$A$2:$A$71,0)),0)</f>
        <v/>
      </c>
      <c r="Q3541" s="25">
        <f>IFERROR(INDEX(Produtos!$E$2:$E$71,MATCH(C3541,Produtos!$A$2:$A$71,0)),0)</f>
        <v/>
      </c>
      <c r="R3541" s="27">
        <f>D3541*Q3541</f>
        <v/>
      </c>
      <c r="S3541" s="27">
        <f>R3541*E3541</f>
        <v/>
      </c>
      <c r="T3541" s="27">
        <f>(R3541-S3541)*M3541</f>
        <v/>
      </c>
      <c r="U3541" s="27">
        <f>R3541-S3541-T3541</f>
        <v/>
      </c>
      <c r="V3541" s="27">
        <f>D3541*P3541</f>
        <v/>
      </c>
      <c r="W3541" s="27">
        <f>U3541-V3541</f>
        <v/>
      </c>
      <c r="X3541" s="28">
        <f>IFERROR(W3541/U3541,0)</f>
        <v/>
      </c>
    </row>
    <row r="3542">
      <c r="A3542" s="21">
        <f>ItensPedido!A3542</f>
        <v/>
      </c>
      <c r="B3542" s="21">
        <f>ItensPedido!B3542</f>
        <v/>
      </c>
      <c r="C3542" s="21">
        <f>ItensPedido!C3542</f>
        <v/>
      </c>
      <c r="D3542" s="21">
        <f>ItensPedido!D3542</f>
        <v/>
      </c>
      <c r="E3542" s="22">
        <f>ItensPedido!E3542</f>
        <v/>
      </c>
      <c r="F3542" s="21">
        <f>IFERROR(INDEX(Pedidos!$B$2:$B$1801,MATCH(B3542,Pedidos!$A$2:$A$1801,0)),0)</f>
        <v/>
      </c>
      <c r="G3542" s="21">
        <f>IF(F3542=0,"",YEAR(F3542))</f>
        <v/>
      </c>
      <c r="H3542" s="21">
        <f>IF(F3542=0,"",MONTH(F3542))</f>
        <v/>
      </c>
      <c r="I3542" s="21">
        <f>IFERROR(INDEX(Pedidos!$E$2:$E$1801,MATCH(B3542,Pedidos!$A$2:$A$1801,0)),"")</f>
        <v/>
      </c>
      <c r="J3542" s="21">
        <f>IFERROR(INDEX(Pedidos!$C$2:$C$1801,MATCH(B3542,Pedidos!$A$2:$A$1801,0)),"")</f>
        <v/>
      </c>
      <c r="K3542" s="21">
        <f>IFERROR(INDEX(Pedidos!$D$2:$D$1801,MATCH(B3542,Pedidos!$A$2:$A$1801,0)),"")</f>
        <v/>
      </c>
      <c r="L3542" s="21">
        <f>IFERROR(INDEX(Pedidos!$F$2:$F$1801,MATCH(B3542,Pedidos!$A$2:$A$1801,0)),"")</f>
        <v/>
      </c>
      <c r="M3542" s="22">
        <f>IFERROR(INDEX(Pedidos!$G$2:$G$1801,MATCH(B3542,Pedidos!$A$2:$A$1801,0)),0)</f>
        <v/>
      </c>
      <c r="N3542" s="21">
        <f>IFERROR(INDEX(Produtos!$B$2:$B$71,MATCH(C3542,Produtos!$A$2:$A$71,0)),"")</f>
        <v/>
      </c>
      <c r="O3542" s="21">
        <f>IFERROR(INDEX(Produtos!$C$2:$C$71,MATCH(C3542,Produtos!$A$2:$A$71,0)),"")</f>
        <v/>
      </c>
      <c r="P3542" s="21">
        <f>IFERROR(INDEX(Produtos!$D$2:$D$71,MATCH(C3542,Produtos!$A$2:$A$71,0)),0)</f>
        <v/>
      </c>
      <c r="Q3542" s="21">
        <f>IFERROR(INDEX(Produtos!$E$2:$E$71,MATCH(C3542,Produtos!$A$2:$A$71,0)),0)</f>
        <v/>
      </c>
      <c r="R3542" s="23">
        <f>D3542*Q3542</f>
        <v/>
      </c>
      <c r="S3542" s="23">
        <f>R3542*E3542</f>
        <v/>
      </c>
      <c r="T3542" s="23">
        <f>(R3542-S3542)*M3542</f>
        <v/>
      </c>
      <c r="U3542" s="23">
        <f>R3542-S3542-T3542</f>
        <v/>
      </c>
      <c r="V3542" s="23">
        <f>D3542*P3542</f>
        <v/>
      </c>
      <c r="W3542" s="23">
        <f>U3542-V3542</f>
        <v/>
      </c>
      <c r="X3542" s="24">
        <f>IFERROR(W3542/U3542,0)</f>
        <v/>
      </c>
    </row>
    <row r="3543">
      <c r="A3543" s="25">
        <f>ItensPedido!A3543</f>
        <v/>
      </c>
      <c r="B3543" s="25">
        <f>ItensPedido!B3543</f>
        <v/>
      </c>
      <c r="C3543" s="25">
        <f>ItensPedido!C3543</f>
        <v/>
      </c>
      <c r="D3543" s="25">
        <f>ItensPedido!D3543</f>
        <v/>
      </c>
      <c r="E3543" s="26">
        <f>ItensPedido!E3543</f>
        <v/>
      </c>
      <c r="F3543" s="25">
        <f>IFERROR(INDEX(Pedidos!$B$2:$B$1801,MATCH(B3543,Pedidos!$A$2:$A$1801,0)),0)</f>
        <v/>
      </c>
      <c r="G3543" s="25">
        <f>IF(F3543=0,"",YEAR(F3543))</f>
        <v/>
      </c>
      <c r="H3543" s="25">
        <f>IF(F3543=0,"",MONTH(F3543))</f>
        <v/>
      </c>
      <c r="I3543" s="25">
        <f>IFERROR(INDEX(Pedidos!$E$2:$E$1801,MATCH(B3543,Pedidos!$A$2:$A$1801,0)),"")</f>
        <v/>
      </c>
      <c r="J3543" s="25">
        <f>IFERROR(INDEX(Pedidos!$C$2:$C$1801,MATCH(B3543,Pedidos!$A$2:$A$1801,0)),"")</f>
        <v/>
      </c>
      <c r="K3543" s="25">
        <f>IFERROR(INDEX(Pedidos!$D$2:$D$1801,MATCH(B3543,Pedidos!$A$2:$A$1801,0)),"")</f>
        <v/>
      </c>
      <c r="L3543" s="25">
        <f>IFERROR(INDEX(Pedidos!$F$2:$F$1801,MATCH(B3543,Pedidos!$A$2:$A$1801,0)),"")</f>
        <v/>
      </c>
      <c r="M3543" s="26">
        <f>IFERROR(INDEX(Pedidos!$G$2:$G$1801,MATCH(B3543,Pedidos!$A$2:$A$1801,0)),0)</f>
        <v/>
      </c>
      <c r="N3543" s="25">
        <f>IFERROR(INDEX(Produtos!$B$2:$B$71,MATCH(C3543,Produtos!$A$2:$A$71,0)),"")</f>
        <v/>
      </c>
      <c r="O3543" s="25">
        <f>IFERROR(INDEX(Produtos!$C$2:$C$71,MATCH(C3543,Produtos!$A$2:$A$71,0)),"")</f>
        <v/>
      </c>
      <c r="P3543" s="25">
        <f>IFERROR(INDEX(Produtos!$D$2:$D$71,MATCH(C3543,Produtos!$A$2:$A$71,0)),0)</f>
        <v/>
      </c>
      <c r="Q3543" s="25">
        <f>IFERROR(INDEX(Produtos!$E$2:$E$71,MATCH(C3543,Produtos!$A$2:$A$71,0)),0)</f>
        <v/>
      </c>
      <c r="R3543" s="27">
        <f>D3543*Q3543</f>
        <v/>
      </c>
      <c r="S3543" s="27">
        <f>R3543*E3543</f>
        <v/>
      </c>
      <c r="T3543" s="27">
        <f>(R3543-S3543)*M3543</f>
        <v/>
      </c>
      <c r="U3543" s="27">
        <f>R3543-S3543-T3543</f>
        <v/>
      </c>
      <c r="V3543" s="27">
        <f>D3543*P3543</f>
        <v/>
      </c>
      <c r="W3543" s="27">
        <f>U3543-V3543</f>
        <v/>
      </c>
      <c r="X3543" s="28">
        <f>IFERROR(W3543/U3543,0)</f>
        <v/>
      </c>
    </row>
    <row r="3544">
      <c r="A3544" s="21">
        <f>ItensPedido!A3544</f>
        <v/>
      </c>
      <c r="B3544" s="21">
        <f>ItensPedido!B3544</f>
        <v/>
      </c>
      <c r="C3544" s="21">
        <f>ItensPedido!C3544</f>
        <v/>
      </c>
      <c r="D3544" s="21">
        <f>ItensPedido!D3544</f>
        <v/>
      </c>
      <c r="E3544" s="22">
        <f>ItensPedido!E3544</f>
        <v/>
      </c>
      <c r="F3544" s="21">
        <f>IFERROR(INDEX(Pedidos!$B$2:$B$1801,MATCH(B3544,Pedidos!$A$2:$A$1801,0)),0)</f>
        <v/>
      </c>
      <c r="G3544" s="21">
        <f>IF(F3544=0,"",YEAR(F3544))</f>
        <v/>
      </c>
      <c r="H3544" s="21">
        <f>IF(F3544=0,"",MONTH(F3544))</f>
        <v/>
      </c>
      <c r="I3544" s="21">
        <f>IFERROR(INDEX(Pedidos!$E$2:$E$1801,MATCH(B3544,Pedidos!$A$2:$A$1801,0)),"")</f>
        <v/>
      </c>
      <c r="J3544" s="21">
        <f>IFERROR(INDEX(Pedidos!$C$2:$C$1801,MATCH(B3544,Pedidos!$A$2:$A$1801,0)),"")</f>
        <v/>
      </c>
      <c r="K3544" s="21">
        <f>IFERROR(INDEX(Pedidos!$D$2:$D$1801,MATCH(B3544,Pedidos!$A$2:$A$1801,0)),"")</f>
        <v/>
      </c>
      <c r="L3544" s="21">
        <f>IFERROR(INDEX(Pedidos!$F$2:$F$1801,MATCH(B3544,Pedidos!$A$2:$A$1801,0)),"")</f>
        <v/>
      </c>
      <c r="M3544" s="22">
        <f>IFERROR(INDEX(Pedidos!$G$2:$G$1801,MATCH(B3544,Pedidos!$A$2:$A$1801,0)),0)</f>
        <v/>
      </c>
      <c r="N3544" s="21">
        <f>IFERROR(INDEX(Produtos!$B$2:$B$71,MATCH(C3544,Produtos!$A$2:$A$71,0)),"")</f>
        <v/>
      </c>
      <c r="O3544" s="21">
        <f>IFERROR(INDEX(Produtos!$C$2:$C$71,MATCH(C3544,Produtos!$A$2:$A$71,0)),"")</f>
        <v/>
      </c>
      <c r="P3544" s="21">
        <f>IFERROR(INDEX(Produtos!$D$2:$D$71,MATCH(C3544,Produtos!$A$2:$A$71,0)),0)</f>
        <v/>
      </c>
      <c r="Q3544" s="21">
        <f>IFERROR(INDEX(Produtos!$E$2:$E$71,MATCH(C3544,Produtos!$A$2:$A$71,0)),0)</f>
        <v/>
      </c>
      <c r="R3544" s="23">
        <f>D3544*Q3544</f>
        <v/>
      </c>
      <c r="S3544" s="23">
        <f>R3544*E3544</f>
        <v/>
      </c>
      <c r="T3544" s="23">
        <f>(R3544-S3544)*M3544</f>
        <v/>
      </c>
      <c r="U3544" s="23">
        <f>R3544-S3544-T3544</f>
        <v/>
      </c>
      <c r="V3544" s="23">
        <f>D3544*P3544</f>
        <v/>
      </c>
      <c r="W3544" s="23">
        <f>U3544-V3544</f>
        <v/>
      </c>
      <c r="X3544" s="24">
        <f>IFERROR(W3544/U3544,0)</f>
        <v/>
      </c>
    </row>
    <row r="3545">
      <c r="A3545" s="25">
        <f>ItensPedido!A3545</f>
        <v/>
      </c>
      <c r="B3545" s="25">
        <f>ItensPedido!B3545</f>
        <v/>
      </c>
      <c r="C3545" s="25">
        <f>ItensPedido!C3545</f>
        <v/>
      </c>
      <c r="D3545" s="25">
        <f>ItensPedido!D3545</f>
        <v/>
      </c>
      <c r="E3545" s="26">
        <f>ItensPedido!E3545</f>
        <v/>
      </c>
      <c r="F3545" s="25">
        <f>IFERROR(INDEX(Pedidos!$B$2:$B$1801,MATCH(B3545,Pedidos!$A$2:$A$1801,0)),0)</f>
        <v/>
      </c>
      <c r="G3545" s="25">
        <f>IF(F3545=0,"",YEAR(F3545))</f>
        <v/>
      </c>
      <c r="H3545" s="25">
        <f>IF(F3545=0,"",MONTH(F3545))</f>
        <v/>
      </c>
      <c r="I3545" s="25">
        <f>IFERROR(INDEX(Pedidos!$E$2:$E$1801,MATCH(B3545,Pedidos!$A$2:$A$1801,0)),"")</f>
        <v/>
      </c>
      <c r="J3545" s="25">
        <f>IFERROR(INDEX(Pedidos!$C$2:$C$1801,MATCH(B3545,Pedidos!$A$2:$A$1801,0)),"")</f>
        <v/>
      </c>
      <c r="K3545" s="25">
        <f>IFERROR(INDEX(Pedidos!$D$2:$D$1801,MATCH(B3545,Pedidos!$A$2:$A$1801,0)),"")</f>
        <v/>
      </c>
      <c r="L3545" s="25">
        <f>IFERROR(INDEX(Pedidos!$F$2:$F$1801,MATCH(B3545,Pedidos!$A$2:$A$1801,0)),"")</f>
        <v/>
      </c>
      <c r="M3545" s="26">
        <f>IFERROR(INDEX(Pedidos!$G$2:$G$1801,MATCH(B3545,Pedidos!$A$2:$A$1801,0)),0)</f>
        <v/>
      </c>
      <c r="N3545" s="25">
        <f>IFERROR(INDEX(Produtos!$B$2:$B$71,MATCH(C3545,Produtos!$A$2:$A$71,0)),"")</f>
        <v/>
      </c>
      <c r="O3545" s="25">
        <f>IFERROR(INDEX(Produtos!$C$2:$C$71,MATCH(C3545,Produtos!$A$2:$A$71,0)),"")</f>
        <v/>
      </c>
      <c r="P3545" s="25">
        <f>IFERROR(INDEX(Produtos!$D$2:$D$71,MATCH(C3545,Produtos!$A$2:$A$71,0)),0)</f>
        <v/>
      </c>
      <c r="Q3545" s="25">
        <f>IFERROR(INDEX(Produtos!$E$2:$E$71,MATCH(C3545,Produtos!$A$2:$A$71,0)),0)</f>
        <v/>
      </c>
      <c r="R3545" s="27">
        <f>D3545*Q3545</f>
        <v/>
      </c>
      <c r="S3545" s="27">
        <f>R3545*E3545</f>
        <v/>
      </c>
      <c r="T3545" s="27">
        <f>(R3545-S3545)*M3545</f>
        <v/>
      </c>
      <c r="U3545" s="27">
        <f>R3545-S3545-T3545</f>
        <v/>
      </c>
      <c r="V3545" s="27">
        <f>D3545*P3545</f>
        <v/>
      </c>
      <c r="W3545" s="27">
        <f>U3545-V3545</f>
        <v/>
      </c>
      <c r="X3545" s="28">
        <f>IFERROR(W3545/U3545,0)</f>
        <v/>
      </c>
    </row>
    <row r="3546">
      <c r="A3546" s="21">
        <f>ItensPedido!A3546</f>
        <v/>
      </c>
      <c r="B3546" s="21">
        <f>ItensPedido!B3546</f>
        <v/>
      </c>
      <c r="C3546" s="21">
        <f>ItensPedido!C3546</f>
        <v/>
      </c>
      <c r="D3546" s="21">
        <f>ItensPedido!D3546</f>
        <v/>
      </c>
      <c r="E3546" s="22">
        <f>ItensPedido!E3546</f>
        <v/>
      </c>
      <c r="F3546" s="21">
        <f>IFERROR(INDEX(Pedidos!$B$2:$B$1801,MATCH(B3546,Pedidos!$A$2:$A$1801,0)),0)</f>
        <v/>
      </c>
      <c r="G3546" s="21">
        <f>IF(F3546=0,"",YEAR(F3546))</f>
        <v/>
      </c>
      <c r="H3546" s="21">
        <f>IF(F3546=0,"",MONTH(F3546))</f>
        <v/>
      </c>
      <c r="I3546" s="21">
        <f>IFERROR(INDEX(Pedidos!$E$2:$E$1801,MATCH(B3546,Pedidos!$A$2:$A$1801,0)),"")</f>
        <v/>
      </c>
      <c r="J3546" s="21">
        <f>IFERROR(INDEX(Pedidos!$C$2:$C$1801,MATCH(B3546,Pedidos!$A$2:$A$1801,0)),"")</f>
        <v/>
      </c>
      <c r="K3546" s="21">
        <f>IFERROR(INDEX(Pedidos!$D$2:$D$1801,MATCH(B3546,Pedidos!$A$2:$A$1801,0)),"")</f>
        <v/>
      </c>
      <c r="L3546" s="21">
        <f>IFERROR(INDEX(Pedidos!$F$2:$F$1801,MATCH(B3546,Pedidos!$A$2:$A$1801,0)),"")</f>
        <v/>
      </c>
      <c r="M3546" s="22">
        <f>IFERROR(INDEX(Pedidos!$G$2:$G$1801,MATCH(B3546,Pedidos!$A$2:$A$1801,0)),0)</f>
        <v/>
      </c>
      <c r="N3546" s="21">
        <f>IFERROR(INDEX(Produtos!$B$2:$B$71,MATCH(C3546,Produtos!$A$2:$A$71,0)),"")</f>
        <v/>
      </c>
      <c r="O3546" s="21">
        <f>IFERROR(INDEX(Produtos!$C$2:$C$71,MATCH(C3546,Produtos!$A$2:$A$71,0)),"")</f>
        <v/>
      </c>
      <c r="P3546" s="21">
        <f>IFERROR(INDEX(Produtos!$D$2:$D$71,MATCH(C3546,Produtos!$A$2:$A$71,0)),0)</f>
        <v/>
      </c>
      <c r="Q3546" s="21">
        <f>IFERROR(INDEX(Produtos!$E$2:$E$71,MATCH(C3546,Produtos!$A$2:$A$71,0)),0)</f>
        <v/>
      </c>
      <c r="R3546" s="23">
        <f>D3546*Q3546</f>
        <v/>
      </c>
      <c r="S3546" s="23">
        <f>R3546*E3546</f>
        <v/>
      </c>
      <c r="T3546" s="23">
        <f>(R3546-S3546)*M3546</f>
        <v/>
      </c>
      <c r="U3546" s="23">
        <f>R3546-S3546-T3546</f>
        <v/>
      </c>
      <c r="V3546" s="23">
        <f>D3546*P3546</f>
        <v/>
      </c>
      <c r="W3546" s="23">
        <f>U3546-V3546</f>
        <v/>
      </c>
      <c r="X3546" s="24">
        <f>IFERROR(W3546/U3546,0)</f>
        <v/>
      </c>
    </row>
    <row r="3547">
      <c r="A3547" s="25">
        <f>ItensPedido!A3547</f>
        <v/>
      </c>
      <c r="B3547" s="25">
        <f>ItensPedido!B3547</f>
        <v/>
      </c>
      <c r="C3547" s="25">
        <f>ItensPedido!C3547</f>
        <v/>
      </c>
      <c r="D3547" s="25">
        <f>ItensPedido!D3547</f>
        <v/>
      </c>
      <c r="E3547" s="26">
        <f>ItensPedido!E3547</f>
        <v/>
      </c>
      <c r="F3547" s="25">
        <f>IFERROR(INDEX(Pedidos!$B$2:$B$1801,MATCH(B3547,Pedidos!$A$2:$A$1801,0)),0)</f>
        <v/>
      </c>
      <c r="G3547" s="25">
        <f>IF(F3547=0,"",YEAR(F3547))</f>
        <v/>
      </c>
      <c r="H3547" s="25">
        <f>IF(F3547=0,"",MONTH(F3547))</f>
        <v/>
      </c>
      <c r="I3547" s="25">
        <f>IFERROR(INDEX(Pedidos!$E$2:$E$1801,MATCH(B3547,Pedidos!$A$2:$A$1801,0)),"")</f>
        <v/>
      </c>
      <c r="J3547" s="25">
        <f>IFERROR(INDEX(Pedidos!$C$2:$C$1801,MATCH(B3547,Pedidos!$A$2:$A$1801,0)),"")</f>
        <v/>
      </c>
      <c r="K3547" s="25">
        <f>IFERROR(INDEX(Pedidos!$D$2:$D$1801,MATCH(B3547,Pedidos!$A$2:$A$1801,0)),"")</f>
        <v/>
      </c>
      <c r="L3547" s="25">
        <f>IFERROR(INDEX(Pedidos!$F$2:$F$1801,MATCH(B3547,Pedidos!$A$2:$A$1801,0)),"")</f>
        <v/>
      </c>
      <c r="M3547" s="26">
        <f>IFERROR(INDEX(Pedidos!$G$2:$G$1801,MATCH(B3547,Pedidos!$A$2:$A$1801,0)),0)</f>
        <v/>
      </c>
      <c r="N3547" s="25">
        <f>IFERROR(INDEX(Produtos!$B$2:$B$71,MATCH(C3547,Produtos!$A$2:$A$71,0)),"")</f>
        <v/>
      </c>
      <c r="O3547" s="25">
        <f>IFERROR(INDEX(Produtos!$C$2:$C$71,MATCH(C3547,Produtos!$A$2:$A$71,0)),"")</f>
        <v/>
      </c>
      <c r="P3547" s="25">
        <f>IFERROR(INDEX(Produtos!$D$2:$D$71,MATCH(C3547,Produtos!$A$2:$A$71,0)),0)</f>
        <v/>
      </c>
      <c r="Q3547" s="25">
        <f>IFERROR(INDEX(Produtos!$E$2:$E$71,MATCH(C3547,Produtos!$A$2:$A$71,0)),0)</f>
        <v/>
      </c>
      <c r="R3547" s="27">
        <f>D3547*Q3547</f>
        <v/>
      </c>
      <c r="S3547" s="27">
        <f>R3547*E3547</f>
        <v/>
      </c>
      <c r="T3547" s="27">
        <f>(R3547-S3547)*M3547</f>
        <v/>
      </c>
      <c r="U3547" s="27">
        <f>R3547-S3547-T3547</f>
        <v/>
      </c>
      <c r="V3547" s="27">
        <f>D3547*P3547</f>
        <v/>
      </c>
      <c r="W3547" s="27">
        <f>U3547-V3547</f>
        <v/>
      </c>
      <c r="X3547" s="28">
        <f>IFERROR(W3547/U3547,0)</f>
        <v/>
      </c>
    </row>
    <row r="3548">
      <c r="A3548" s="21">
        <f>ItensPedido!A3548</f>
        <v/>
      </c>
      <c r="B3548" s="21">
        <f>ItensPedido!B3548</f>
        <v/>
      </c>
      <c r="C3548" s="21">
        <f>ItensPedido!C3548</f>
        <v/>
      </c>
      <c r="D3548" s="21">
        <f>ItensPedido!D3548</f>
        <v/>
      </c>
      <c r="E3548" s="22">
        <f>ItensPedido!E3548</f>
        <v/>
      </c>
      <c r="F3548" s="21">
        <f>IFERROR(INDEX(Pedidos!$B$2:$B$1801,MATCH(B3548,Pedidos!$A$2:$A$1801,0)),0)</f>
        <v/>
      </c>
      <c r="G3548" s="21">
        <f>IF(F3548=0,"",YEAR(F3548))</f>
        <v/>
      </c>
      <c r="H3548" s="21">
        <f>IF(F3548=0,"",MONTH(F3548))</f>
        <v/>
      </c>
      <c r="I3548" s="21">
        <f>IFERROR(INDEX(Pedidos!$E$2:$E$1801,MATCH(B3548,Pedidos!$A$2:$A$1801,0)),"")</f>
        <v/>
      </c>
      <c r="J3548" s="21">
        <f>IFERROR(INDEX(Pedidos!$C$2:$C$1801,MATCH(B3548,Pedidos!$A$2:$A$1801,0)),"")</f>
        <v/>
      </c>
      <c r="K3548" s="21">
        <f>IFERROR(INDEX(Pedidos!$D$2:$D$1801,MATCH(B3548,Pedidos!$A$2:$A$1801,0)),"")</f>
        <v/>
      </c>
      <c r="L3548" s="21">
        <f>IFERROR(INDEX(Pedidos!$F$2:$F$1801,MATCH(B3548,Pedidos!$A$2:$A$1801,0)),"")</f>
        <v/>
      </c>
      <c r="M3548" s="22">
        <f>IFERROR(INDEX(Pedidos!$G$2:$G$1801,MATCH(B3548,Pedidos!$A$2:$A$1801,0)),0)</f>
        <v/>
      </c>
      <c r="N3548" s="21">
        <f>IFERROR(INDEX(Produtos!$B$2:$B$71,MATCH(C3548,Produtos!$A$2:$A$71,0)),"")</f>
        <v/>
      </c>
      <c r="O3548" s="21">
        <f>IFERROR(INDEX(Produtos!$C$2:$C$71,MATCH(C3548,Produtos!$A$2:$A$71,0)),"")</f>
        <v/>
      </c>
      <c r="P3548" s="21">
        <f>IFERROR(INDEX(Produtos!$D$2:$D$71,MATCH(C3548,Produtos!$A$2:$A$71,0)),0)</f>
        <v/>
      </c>
      <c r="Q3548" s="21">
        <f>IFERROR(INDEX(Produtos!$E$2:$E$71,MATCH(C3548,Produtos!$A$2:$A$71,0)),0)</f>
        <v/>
      </c>
      <c r="R3548" s="23">
        <f>D3548*Q3548</f>
        <v/>
      </c>
      <c r="S3548" s="23">
        <f>R3548*E3548</f>
        <v/>
      </c>
      <c r="T3548" s="23">
        <f>(R3548-S3548)*M3548</f>
        <v/>
      </c>
      <c r="U3548" s="23">
        <f>R3548-S3548-T3548</f>
        <v/>
      </c>
      <c r="V3548" s="23">
        <f>D3548*P3548</f>
        <v/>
      </c>
      <c r="W3548" s="23">
        <f>U3548-V3548</f>
        <v/>
      </c>
      <c r="X3548" s="24">
        <f>IFERROR(W3548/U3548,0)</f>
        <v/>
      </c>
    </row>
    <row r="3549">
      <c r="A3549" s="25">
        <f>ItensPedido!A3549</f>
        <v/>
      </c>
      <c r="B3549" s="25">
        <f>ItensPedido!B3549</f>
        <v/>
      </c>
      <c r="C3549" s="25">
        <f>ItensPedido!C3549</f>
        <v/>
      </c>
      <c r="D3549" s="25">
        <f>ItensPedido!D3549</f>
        <v/>
      </c>
      <c r="E3549" s="26">
        <f>ItensPedido!E3549</f>
        <v/>
      </c>
      <c r="F3549" s="25">
        <f>IFERROR(INDEX(Pedidos!$B$2:$B$1801,MATCH(B3549,Pedidos!$A$2:$A$1801,0)),0)</f>
        <v/>
      </c>
      <c r="G3549" s="25">
        <f>IF(F3549=0,"",YEAR(F3549))</f>
        <v/>
      </c>
      <c r="H3549" s="25">
        <f>IF(F3549=0,"",MONTH(F3549))</f>
        <v/>
      </c>
      <c r="I3549" s="25">
        <f>IFERROR(INDEX(Pedidos!$E$2:$E$1801,MATCH(B3549,Pedidos!$A$2:$A$1801,0)),"")</f>
        <v/>
      </c>
      <c r="J3549" s="25">
        <f>IFERROR(INDEX(Pedidos!$C$2:$C$1801,MATCH(B3549,Pedidos!$A$2:$A$1801,0)),"")</f>
        <v/>
      </c>
      <c r="K3549" s="25">
        <f>IFERROR(INDEX(Pedidos!$D$2:$D$1801,MATCH(B3549,Pedidos!$A$2:$A$1801,0)),"")</f>
        <v/>
      </c>
      <c r="L3549" s="25">
        <f>IFERROR(INDEX(Pedidos!$F$2:$F$1801,MATCH(B3549,Pedidos!$A$2:$A$1801,0)),"")</f>
        <v/>
      </c>
      <c r="M3549" s="26">
        <f>IFERROR(INDEX(Pedidos!$G$2:$G$1801,MATCH(B3549,Pedidos!$A$2:$A$1801,0)),0)</f>
        <v/>
      </c>
      <c r="N3549" s="25">
        <f>IFERROR(INDEX(Produtos!$B$2:$B$71,MATCH(C3549,Produtos!$A$2:$A$71,0)),"")</f>
        <v/>
      </c>
      <c r="O3549" s="25">
        <f>IFERROR(INDEX(Produtos!$C$2:$C$71,MATCH(C3549,Produtos!$A$2:$A$71,0)),"")</f>
        <v/>
      </c>
      <c r="P3549" s="25">
        <f>IFERROR(INDEX(Produtos!$D$2:$D$71,MATCH(C3549,Produtos!$A$2:$A$71,0)),0)</f>
        <v/>
      </c>
      <c r="Q3549" s="25">
        <f>IFERROR(INDEX(Produtos!$E$2:$E$71,MATCH(C3549,Produtos!$A$2:$A$71,0)),0)</f>
        <v/>
      </c>
      <c r="R3549" s="27">
        <f>D3549*Q3549</f>
        <v/>
      </c>
      <c r="S3549" s="27">
        <f>R3549*E3549</f>
        <v/>
      </c>
      <c r="T3549" s="27">
        <f>(R3549-S3549)*M3549</f>
        <v/>
      </c>
      <c r="U3549" s="27">
        <f>R3549-S3549-T3549</f>
        <v/>
      </c>
      <c r="V3549" s="27">
        <f>D3549*P3549</f>
        <v/>
      </c>
      <c r="W3549" s="27">
        <f>U3549-V3549</f>
        <v/>
      </c>
      <c r="X3549" s="28">
        <f>IFERROR(W3549/U3549,0)</f>
        <v/>
      </c>
    </row>
    <row r="3550">
      <c r="A3550" s="21">
        <f>ItensPedido!A3550</f>
        <v/>
      </c>
      <c r="B3550" s="21">
        <f>ItensPedido!B3550</f>
        <v/>
      </c>
      <c r="C3550" s="21">
        <f>ItensPedido!C3550</f>
        <v/>
      </c>
      <c r="D3550" s="21">
        <f>ItensPedido!D3550</f>
        <v/>
      </c>
      <c r="E3550" s="22">
        <f>ItensPedido!E3550</f>
        <v/>
      </c>
      <c r="F3550" s="21">
        <f>IFERROR(INDEX(Pedidos!$B$2:$B$1801,MATCH(B3550,Pedidos!$A$2:$A$1801,0)),0)</f>
        <v/>
      </c>
      <c r="G3550" s="21">
        <f>IF(F3550=0,"",YEAR(F3550))</f>
        <v/>
      </c>
      <c r="H3550" s="21">
        <f>IF(F3550=0,"",MONTH(F3550))</f>
        <v/>
      </c>
      <c r="I3550" s="21">
        <f>IFERROR(INDEX(Pedidos!$E$2:$E$1801,MATCH(B3550,Pedidos!$A$2:$A$1801,0)),"")</f>
        <v/>
      </c>
      <c r="J3550" s="21">
        <f>IFERROR(INDEX(Pedidos!$C$2:$C$1801,MATCH(B3550,Pedidos!$A$2:$A$1801,0)),"")</f>
        <v/>
      </c>
      <c r="K3550" s="21">
        <f>IFERROR(INDEX(Pedidos!$D$2:$D$1801,MATCH(B3550,Pedidos!$A$2:$A$1801,0)),"")</f>
        <v/>
      </c>
      <c r="L3550" s="21">
        <f>IFERROR(INDEX(Pedidos!$F$2:$F$1801,MATCH(B3550,Pedidos!$A$2:$A$1801,0)),"")</f>
        <v/>
      </c>
      <c r="M3550" s="22">
        <f>IFERROR(INDEX(Pedidos!$G$2:$G$1801,MATCH(B3550,Pedidos!$A$2:$A$1801,0)),0)</f>
        <v/>
      </c>
      <c r="N3550" s="21">
        <f>IFERROR(INDEX(Produtos!$B$2:$B$71,MATCH(C3550,Produtos!$A$2:$A$71,0)),"")</f>
        <v/>
      </c>
      <c r="O3550" s="21">
        <f>IFERROR(INDEX(Produtos!$C$2:$C$71,MATCH(C3550,Produtos!$A$2:$A$71,0)),"")</f>
        <v/>
      </c>
      <c r="P3550" s="21">
        <f>IFERROR(INDEX(Produtos!$D$2:$D$71,MATCH(C3550,Produtos!$A$2:$A$71,0)),0)</f>
        <v/>
      </c>
      <c r="Q3550" s="21">
        <f>IFERROR(INDEX(Produtos!$E$2:$E$71,MATCH(C3550,Produtos!$A$2:$A$71,0)),0)</f>
        <v/>
      </c>
      <c r="R3550" s="23">
        <f>D3550*Q3550</f>
        <v/>
      </c>
      <c r="S3550" s="23">
        <f>R3550*E3550</f>
        <v/>
      </c>
      <c r="T3550" s="23">
        <f>(R3550-S3550)*M3550</f>
        <v/>
      </c>
      <c r="U3550" s="23">
        <f>R3550-S3550-T3550</f>
        <v/>
      </c>
      <c r="V3550" s="23">
        <f>D3550*P3550</f>
        <v/>
      </c>
      <c r="W3550" s="23">
        <f>U3550-V3550</f>
        <v/>
      </c>
      <c r="X3550" s="24">
        <f>IFERROR(W3550/U3550,0)</f>
        <v/>
      </c>
    </row>
    <row r="3551">
      <c r="A3551" s="25">
        <f>ItensPedido!A3551</f>
        <v/>
      </c>
      <c r="B3551" s="25">
        <f>ItensPedido!B3551</f>
        <v/>
      </c>
      <c r="C3551" s="25">
        <f>ItensPedido!C3551</f>
        <v/>
      </c>
      <c r="D3551" s="25">
        <f>ItensPedido!D3551</f>
        <v/>
      </c>
      <c r="E3551" s="26">
        <f>ItensPedido!E3551</f>
        <v/>
      </c>
      <c r="F3551" s="25">
        <f>IFERROR(INDEX(Pedidos!$B$2:$B$1801,MATCH(B3551,Pedidos!$A$2:$A$1801,0)),0)</f>
        <v/>
      </c>
      <c r="G3551" s="25">
        <f>IF(F3551=0,"",YEAR(F3551))</f>
        <v/>
      </c>
      <c r="H3551" s="25">
        <f>IF(F3551=0,"",MONTH(F3551))</f>
        <v/>
      </c>
      <c r="I3551" s="25">
        <f>IFERROR(INDEX(Pedidos!$E$2:$E$1801,MATCH(B3551,Pedidos!$A$2:$A$1801,0)),"")</f>
        <v/>
      </c>
      <c r="J3551" s="25">
        <f>IFERROR(INDEX(Pedidos!$C$2:$C$1801,MATCH(B3551,Pedidos!$A$2:$A$1801,0)),"")</f>
        <v/>
      </c>
      <c r="K3551" s="25">
        <f>IFERROR(INDEX(Pedidos!$D$2:$D$1801,MATCH(B3551,Pedidos!$A$2:$A$1801,0)),"")</f>
        <v/>
      </c>
      <c r="L3551" s="25">
        <f>IFERROR(INDEX(Pedidos!$F$2:$F$1801,MATCH(B3551,Pedidos!$A$2:$A$1801,0)),"")</f>
        <v/>
      </c>
      <c r="M3551" s="26">
        <f>IFERROR(INDEX(Pedidos!$G$2:$G$1801,MATCH(B3551,Pedidos!$A$2:$A$1801,0)),0)</f>
        <v/>
      </c>
      <c r="N3551" s="25">
        <f>IFERROR(INDEX(Produtos!$B$2:$B$71,MATCH(C3551,Produtos!$A$2:$A$71,0)),"")</f>
        <v/>
      </c>
      <c r="O3551" s="25">
        <f>IFERROR(INDEX(Produtos!$C$2:$C$71,MATCH(C3551,Produtos!$A$2:$A$71,0)),"")</f>
        <v/>
      </c>
      <c r="P3551" s="25">
        <f>IFERROR(INDEX(Produtos!$D$2:$D$71,MATCH(C3551,Produtos!$A$2:$A$71,0)),0)</f>
        <v/>
      </c>
      <c r="Q3551" s="25">
        <f>IFERROR(INDEX(Produtos!$E$2:$E$71,MATCH(C3551,Produtos!$A$2:$A$71,0)),0)</f>
        <v/>
      </c>
      <c r="R3551" s="27">
        <f>D3551*Q3551</f>
        <v/>
      </c>
      <c r="S3551" s="27">
        <f>R3551*E3551</f>
        <v/>
      </c>
      <c r="T3551" s="27">
        <f>(R3551-S3551)*M3551</f>
        <v/>
      </c>
      <c r="U3551" s="27">
        <f>R3551-S3551-T3551</f>
        <v/>
      </c>
      <c r="V3551" s="27">
        <f>D3551*P3551</f>
        <v/>
      </c>
      <c r="W3551" s="27">
        <f>U3551-V3551</f>
        <v/>
      </c>
      <c r="X3551" s="28">
        <f>IFERROR(W3551/U3551,0)</f>
        <v/>
      </c>
    </row>
    <row r="3552">
      <c r="A3552" s="21">
        <f>ItensPedido!A3552</f>
        <v/>
      </c>
      <c r="B3552" s="21">
        <f>ItensPedido!B3552</f>
        <v/>
      </c>
      <c r="C3552" s="21">
        <f>ItensPedido!C3552</f>
        <v/>
      </c>
      <c r="D3552" s="21">
        <f>ItensPedido!D3552</f>
        <v/>
      </c>
      <c r="E3552" s="22">
        <f>ItensPedido!E3552</f>
        <v/>
      </c>
      <c r="F3552" s="21">
        <f>IFERROR(INDEX(Pedidos!$B$2:$B$1801,MATCH(B3552,Pedidos!$A$2:$A$1801,0)),0)</f>
        <v/>
      </c>
      <c r="G3552" s="21">
        <f>IF(F3552=0,"",YEAR(F3552))</f>
        <v/>
      </c>
      <c r="H3552" s="21">
        <f>IF(F3552=0,"",MONTH(F3552))</f>
        <v/>
      </c>
      <c r="I3552" s="21">
        <f>IFERROR(INDEX(Pedidos!$E$2:$E$1801,MATCH(B3552,Pedidos!$A$2:$A$1801,0)),"")</f>
        <v/>
      </c>
      <c r="J3552" s="21">
        <f>IFERROR(INDEX(Pedidos!$C$2:$C$1801,MATCH(B3552,Pedidos!$A$2:$A$1801,0)),"")</f>
        <v/>
      </c>
      <c r="K3552" s="21">
        <f>IFERROR(INDEX(Pedidos!$D$2:$D$1801,MATCH(B3552,Pedidos!$A$2:$A$1801,0)),"")</f>
        <v/>
      </c>
      <c r="L3552" s="21">
        <f>IFERROR(INDEX(Pedidos!$F$2:$F$1801,MATCH(B3552,Pedidos!$A$2:$A$1801,0)),"")</f>
        <v/>
      </c>
      <c r="M3552" s="22">
        <f>IFERROR(INDEX(Pedidos!$G$2:$G$1801,MATCH(B3552,Pedidos!$A$2:$A$1801,0)),0)</f>
        <v/>
      </c>
      <c r="N3552" s="21">
        <f>IFERROR(INDEX(Produtos!$B$2:$B$71,MATCH(C3552,Produtos!$A$2:$A$71,0)),"")</f>
        <v/>
      </c>
      <c r="O3552" s="21">
        <f>IFERROR(INDEX(Produtos!$C$2:$C$71,MATCH(C3552,Produtos!$A$2:$A$71,0)),"")</f>
        <v/>
      </c>
      <c r="P3552" s="21">
        <f>IFERROR(INDEX(Produtos!$D$2:$D$71,MATCH(C3552,Produtos!$A$2:$A$71,0)),0)</f>
        <v/>
      </c>
      <c r="Q3552" s="21">
        <f>IFERROR(INDEX(Produtos!$E$2:$E$71,MATCH(C3552,Produtos!$A$2:$A$71,0)),0)</f>
        <v/>
      </c>
      <c r="R3552" s="23">
        <f>D3552*Q3552</f>
        <v/>
      </c>
      <c r="S3552" s="23">
        <f>R3552*E3552</f>
        <v/>
      </c>
      <c r="T3552" s="23">
        <f>(R3552-S3552)*M3552</f>
        <v/>
      </c>
      <c r="U3552" s="23">
        <f>R3552-S3552-T3552</f>
        <v/>
      </c>
      <c r="V3552" s="23">
        <f>D3552*P3552</f>
        <v/>
      </c>
      <c r="W3552" s="23">
        <f>U3552-V3552</f>
        <v/>
      </c>
      <c r="X3552" s="24">
        <f>IFERROR(W3552/U3552,0)</f>
        <v/>
      </c>
    </row>
    <row r="3553">
      <c r="A3553" s="25">
        <f>ItensPedido!A3553</f>
        <v/>
      </c>
      <c r="B3553" s="25">
        <f>ItensPedido!B3553</f>
        <v/>
      </c>
      <c r="C3553" s="25">
        <f>ItensPedido!C3553</f>
        <v/>
      </c>
      <c r="D3553" s="25">
        <f>ItensPedido!D3553</f>
        <v/>
      </c>
      <c r="E3553" s="26">
        <f>ItensPedido!E3553</f>
        <v/>
      </c>
      <c r="F3553" s="25">
        <f>IFERROR(INDEX(Pedidos!$B$2:$B$1801,MATCH(B3553,Pedidos!$A$2:$A$1801,0)),0)</f>
        <v/>
      </c>
      <c r="G3553" s="25">
        <f>IF(F3553=0,"",YEAR(F3553))</f>
        <v/>
      </c>
      <c r="H3553" s="25">
        <f>IF(F3553=0,"",MONTH(F3553))</f>
        <v/>
      </c>
      <c r="I3553" s="25">
        <f>IFERROR(INDEX(Pedidos!$E$2:$E$1801,MATCH(B3553,Pedidos!$A$2:$A$1801,0)),"")</f>
        <v/>
      </c>
      <c r="J3553" s="25">
        <f>IFERROR(INDEX(Pedidos!$C$2:$C$1801,MATCH(B3553,Pedidos!$A$2:$A$1801,0)),"")</f>
        <v/>
      </c>
      <c r="K3553" s="25">
        <f>IFERROR(INDEX(Pedidos!$D$2:$D$1801,MATCH(B3553,Pedidos!$A$2:$A$1801,0)),"")</f>
        <v/>
      </c>
      <c r="L3553" s="25">
        <f>IFERROR(INDEX(Pedidos!$F$2:$F$1801,MATCH(B3553,Pedidos!$A$2:$A$1801,0)),"")</f>
        <v/>
      </c>
      <c r="M3553" s="26">
        <f>IFERROR(INDEX(Pedidos!$G$2:$G$1801,MATCH(B3553,Pedidos!$A$2:$A$1801,0)),0)</f>
        <v/>
      </c>
      <c r="N3553" s="25">
        <f>IFERROR(INDEX(Produtos!$B$2:$B$71,MATCH(C3553,Produtos!$A$2:$A$71,0)),"")</f>
        <v/>
      </c>
      <c r="O3553" s="25">
        <f>IFERROR(INDEX(Produtos!$C$2:$C$71,MATCH(C3553,Produtos!$A$2:$A$71,0)),"")</f>
        <v/>
      </c>
      <c r="P3553" s="25">
        <f>IFERROR(INDEX(Produtos!$D$2:$D$71,MATCH(C3553,Produtos!$A$2:$A$71,0)),0)</f>
        <v/>
      </c>
      <c r="Q3553" s="25">
        <f>IFERROR(INDEX(Produtos!$E$2:$E$71,MATCH(C3553,Produtos!$A$2:$A$71,0)),0)</f>
        <v/>
      </c>
      <c r="R3553" s="27">
        <f>D3553*Q3553</f>
        <v/>
      </c>
      <c r="S3553" s="27">
        <f>R3553*E3553</f>
        <v/>
      </c>
      <c r="T3553" s="27">
        <f>(R3553-S3553)*M3553</f>
        <v/>
      </c>
      <c r="U3553" s="27">
        <f>R3553-S3553-T3553</f>
        <v/>
      </c>
      <c r="V3553" s="27">
        <f>D3553*P3553</f>
        <v/>
      </c>
      <c r="W3553" s="27">
        <f>U3553-V3553</f>
        <v/>
      </c>
      <c r="X3553" s="28">
        <f>IFERROR(W3553/U3553,0)</f>
        <v/>
      </c>
    </row>
    <row r="3554">
      <c r="A3554" s="21">
        <f>ItensPedido!A3554</f>
        <v/>
      </c>
      <c r="B3554" s="21">
        <f>ItensPedido!B3554</f>
        <v/>
      </c>
      <c r="C3554" s="21">
        <f>ItensPedido!C3554</f>
        <v/>
      </c>
      <c r="D3554" s="21">
        <f>ItensPedido!D3554</f>
        <v/>
      </c>
      <c r="E3554" s="22">
        <f>ItensPedido!E3554</f>
        <v/>
      </c>
      <c r="F3554" s="21">
        <f>IFERROR(INDEX(Pedidos!$B$2:$B$1801,MATCH(B3554,Pedidos!$A$2:$A$1801,0)),0)</f>
        <v/>
      </c>
      <c r="G3554" s="21">
        <f>IF(F3554=0,"",YEAR(F3554))</f>
        <v/>
      </c>
      <c r="H3554" s="21">
        <f>IF(F3554=0,"",MONTH(F3554))</f>
        <v/>
      </c>
      <c r="I3554" s="21">
        <f>IFERROR(INDEX(Pedidos!$E$2:$E$1801,MATCH(B3554,Pedidos!$A$2:$A$1801,0)),"")</f>
        <v/>
      </c>
      <c r="J3554" s="21">
        <f>IFERROR(INDEX(Pedidos!$C$2:$C$1801,MATCH(B3554,Pedidos!$A$2:$A$1801,0)),"")</f>
        <v/>
      </c>
      <c r="K3554" s="21">
        <f>IFERROR(INDEX(Pedidos!$D$2:$D$1801,MATCH(B3554,Pedidos!$A$2:$A$1801,0)),"")</f>
        <v/>
      </c>
      <c r="L3554" s="21">
        <f>IFERROR(INDEX(Pedidos!$F$2:$F$1801,MATCH(B3554,Pedidos!$A$2:$A$1801,0)),"")</f>
        <v/>
      </c>
      <c r="M3554" s="22">
        <f>IFERROR(INDEX(Pedidos!$G$2:$G$1801,MATCH(B3554,Pedidos!$A$2:$A$1801,0)),0)</f>
        <v/>
      </c>
      <c r="N3554" s="21">
        <f>IFERROR(INDEX(Produtos!$B$2:$B$71,MATCH(C3554,Produtos!$A$2:$A$71,0)),"")</f>
        <v/>
      </c>
      <c r="O3554" s="21">
        <f>IFERROR(INDEX(Produtos!$C$2:$C$71,MATCH(C3554,Produtos!$A$2:$A$71,0)),"")</f>
        <v/>
      </c>
      <c r="P3554" s="21">
        <f>IFERROR(INDEX(Produtos!$D$2:$D$71,MATCH(C3554,Produtos!$A$2:$A$71,0)),0)</f>
        <v/>
      </c>
      <c r="Q3554" s="21">
        <f>IFERROR(INDEX(Produtos!$E$2:$E$71,MATCH(C3554,Produtos!$A$2:$A$71,0)),0)</f>
        <v/>
      </c>
      <c r="R3554" s="23">
        <f>D3554*Q3554</f>
        <v/>
      </c>
      <c r="S3554" s="23">
        <f>R3554*E3554</f>
        <v/>
      </c>
      <c r="T3554" s="23">
        <f>(R3554-S3554)*M3554</f>
        <v/>
      </c>
      <c r="U3554" s="23">
        <f>R3554-S3554-T3554</f>
        <v/>
      </c>
      <c r="V3554" s="23">
        <f>D3554*P3554</f>
        <v/>
      </c>
      <c r="W3554" s="23">
        <f>U3554-V3554</f>
        <v/>
      </c>
      <c r="X3554" s="24">
        <f>IFERROR(W3554/U3554,0)</f>
        <v/>
      </c>
    </row>
    <row r="3555">
      <c r="A3555" s="25">
        <f>ItensPedido!A3555</f>
        <v/>
      </c>
      <c r="B3555" s="25">
        <f>ItensPedido!B3555</f>
        <v/>
      </c>
      <c r="C3555" s="25">
        <f>ItensPedido!C3555</f>
        <v/>
      </c>
      <c r="D3555" s="25">
        <f>ItensPedido!D3555</f>
        <v/>
      </c>
      <c r="E3555" s="26">
        <f>ItensPedido!E3555</f>
        <v/>
      </c>
      <c r="F3555" s="25">
        <f>IFERROR(INDEX(Pedidos!$B$2:$B$1801,MATCH(B3555,Pedidos!$A$2:$A$1801,0)),0)</f>
        <v/>
      </c>
      <c r="G3555" s="25">
        <f>IF(F3555=0,"",YEAR(F3555))</f>
        <v/>
      </c>
      <c r="H3555" s="25">
        <f>IF(F3555=0,"",MONTH(F3555))</f>
        <v/>
      </c>
      <c r="I3555" s="25">
        <f>IFERROR(INDEX(Pedidos!$E$2:$E$1801,MATCH(B3555,Pedidos!$A$2:$A$1801,0)),"")</f>
        <v/>
      </c>
      <c r="J3555" s="25">
        <f>IFERROR(INDEX(Pedidos!$C$2:$C$1801,MATCH(B3555,Pedidos!$A$2:$A$1801,0)),"")</f>
        <v/>
      </c>
      <c r="K3555" s="25">
        <f>IFERROR(INDEX(Pedidos!$D$2:$D$1801,MATCH(B3555,Pedidos!$A$2:$A$1801,0)),"")</f>
        <v/>
      </c>
      <c r="L3555" s="25">
        <f>IFERROR(INDEX(Pedidos!$F$2:$F$1801,MATCH(B3555,Pedidos!$A$2:$A$1801,0)),"")</f>
        <v/>
      </c>
      <c r="M3555" s="26">
        <f>IFERROR(INDEX(Pedidos!$G$2:$G$1801,MATCH(B3555,Pedidos!$A$2:$A$1801,0)),0)</f>
        <v/>
      </c>
      <c r="N3555" s="25">
        <f>IFERROR(INDEX(Produtos!$B$2:$B$71,MATCH(C3555,Produtos!$A$2:$A$71,0)),"")</f>
        <v/>
      </c>
      <c r="O3555" s="25">
        <f>IFERROR(INDEX(Produtos!$C$2:$C$71,MATCH(C3555,Produtos!$A$2:$A$71,0)),"")</f>
        <v/>
      </c>
      <c r="P3555" s="25">
        <f>IFERROR(INDEX(Produtos!$D$2:$D$71,MATCH(C3555,Produtos!$A$2:$A$71,0)),0)</f>
        <v/>
      </c>
      <c r="Q3555" s="25">
        <f>IFERROR(INDEX(Produtos!$E$2:$E$71,MATCH(C3555,Produtos!$A$2:$A$71,0)),0)</f>
        <v/>
      </c>
      <c r="R3555" s="27">
        <f>D3555*Q3555</f>
        <v/>
      </c>
      <c r="S3555" s="27">
        <f>R3555*E3555</f>
        <v/>
      </c>
      <c r="T3555" s="27">
        <f>(R3555-S3555)*M3555</f>
        <v/>
      </c>
      <c r="U3555" s="27">
        <f>R3555-S3555-T3555</f>
        <v/>
      </c>
      <c r="V3555" s="27">
        <f>D3555*P3555</f>
        <v/>
      </c>
      <c r="W3555" s="27">
        <f>U3555-V3555</f>
        <v/>
      </c>
      <c r="X3555" s="28">
        <f>IFERROR(W3555/U3555,0)</f>
        <v/>
      </c>
    </row>
    <row r="3556">
      <c r="A3556" s="21">
        <f>ItensPedido!A3556</f>
        <v/>
      </c>
      <c r="B3556" s="21">
        <f>ItensPedido!B3556</f>
        <v/>
      </c>
      <c r="C3556" s="21">
        <f>ItensPedido!C3556</f>
        <v/>
      </c>
      <c r="D3556" s="21">
        <f>ItensPedido!D3556</f>
        <v/>
      </c>
      <c r="E3556" s="22">
        <f>ItensPedido!E3556</f>
        <v/>
      </c>
      <c r="F3556" s="21">
        <f>IFERROR(INDEX(Pedidos!$B$2:$B$1801,MATCH(B3556,Pedidos!$A$2:$A$1801,0)),0)</f>
        <v/>
      </c>
      <c r="G3556" s="21">
        <f>IF(F3556=0,"",YEAR(F3556))</f>
        <v/>
      </c>
      <c r="H3556" s="21">
        <f>IF(F3556=0,"",MONTH(F3556))</f>
        <v/>
      </c>
      <c r="I3556" s="21">
        <f>IFERROR(INDEX(Pedidos!$E$2:$E$1801,MATCH(B3556,Pedidos!$A$2:$A$1801,0)),"")</f>
        <v/>
      </c>
      <c r="J3556" s="21">
        <f>IFERROR(INDEX(Pedidos!$C$2:$C$1801,MATCH(B3556,Pedidos!$A$2:$A$1801,0)),"")</f>
        <v/>
      </c>
      <c r="K3556" s="21">
        <f>IFERROR(INDEX(Pedidos!$D$2:$D$1801,MATCH(B3556,Pedidos!$A$2:$A$1801,0)),"")</f>
        <v/>
      </c>
      <c r="L3556" s="21">
        <f>IFERROR(INDEX(Pedidos!$F$2:$F$1801,MATCH(B3556,Pedidos!$A$2:$A$1801,0)),"")</f>
        <v/>
      </c>
      <c r="M3556" s="22">
        <f>IFERROR(INDEX(Pedidos!$G$2:$G$1801,MATCH(B3556,Pedidos!$A$2:$A$1801,0)),0)</f>
        <v/>
      </c>
      <c r="N3556" s="21">
        <f>IFERROR(INDEX(Produtos!$B$2:$B$71,MATCH(C3556,Produtos!$A$2:$A$71,0)),"")</f>
        <v/>
      </c>
      <c r="O3556" s="21">
        <f>IFERROR(INDEX(Produtos!$C$2:$C$71,MATCH(C3556,Produtos!$A$2:$A$71,0)),"")</f>
        <v/>
      </c>
      <c r="P3556" s="21">
        <f>IFERROR(INDEX(Produtos!$D$2:$D$71,MATCH(C3556,Produtos!$A$2:$A$71,0)),0)</f>
        <v/>
      </c>
      <c r="Q3556" s="21">
        <f>IFERROR(INDEX(Produtos!$E$2:$E$71,MATCH(C3556,Produtos!$A$2:$A$71,0)),0)</f>
        <v/>
      </c>
      <c r="R3556" s="23">
        <f>D3556*Q3556</f>
        <v/>
      </c>
      <c r="S3556" s="23">
        <f>R3556*E3556</f>
        <v/>
      </c>
      <c r="T3556" s="23">
        <f>(R3556-S3556)*M3556</f>
        <v/>
      </c>
      <c r="U3556" s="23">
        <f>R3556-S3556-T3556</f>
        <v/>
      </c>
      <c r="V3556" s="23">
        <f>D3556*P3556</f>
        <v/>
      </c>
      <c r="W3556" s="23">
        <f>U3556-V3556</f>
        <v/>
      </c>
      <c r="X3556" s="24">
        <f>IFERROR(W3556/U3556,0)</f>
        <v/>
      </c>
    </row>
    <row r="3557">
      <c r="A3557" s="25">
        <f>ItensPedido!A3557</f>
        <v/>
      </c>
      <c r="B3557" s="25">
        <f>ItensPedido!B3557</f>
        <v/>
      </c>
      <c r="C3557" s="25">
        <f>ItensPedido!C3557</f>
        <v/>
      </c>
      <c r="D3557" s="25">
        <f>ItensPedido!D3557</f>
        <v/>
      </c>
      <c r="E3557" s="26">
        <f>ItensPedido!E3557</f>
        <v/>
      </c>
      <c r="F3557" s="25">
        <f>IFERROR(INDEX(Pedidos!$B$2:$B$1801,MATCH(B3557,Pedidos!$A$2:$A$1801,0)),0)</f>
        <v/>
      </c>
      <c r="G3557" s="25">
        <f>IF(F3557=0,"",YEAR(F3557))</f>
        <v/>
      </c>
      <c r="H3557" s="25">
        <f>IF(F3557=0,"",MONTH(F3557))</f>
        <v/>
      </c>
      <c r="I3557" s="25">
        <f>IFERROR(INDEX(Pedidos!$E$2:$E$1801,MATCH(B3557,Pedidos!$A$2:$A$1801,0)),"")</f>
        <v/>
      </c>
      <c r="J3557" s="25">
        <f>IFERROR(INDEX(Pedidos!$C$2:$C$1801,MATCH(B3557,Pedidos!$A$2:$A$1801,0)),"")</f>
        <v/>
      </c>
      <c r="K3557" s="25">
        <f>IFERROR(INDEX(Pedidos!$D$2:$D$1801,MATCH(B3557,Pedidos!$A$2:$A$1801,0)),"")</f>
        <v/>
      </c>
      <c r="L3557" s="25">
        <f>IFERROR(INDEX(Pedidos!$F$2:$F$1801,MATCH(B3557,Pedidos!$A$2:$A$1801,0)),"")</f>
        <v/>
      </c>
      <c r="M3557" s="26">
        <f>IFERROR(INDEX(Pedidos!$G$2:$G$1801,MATCH(B3557,Pedidos!$A$2:$A$1801,0)),0)</f>
        <v/>
      </c>
      <c r="N3557" s="25">
        <f>IFERROR(INDEX(Produtos!$B$2:$B$71,MATCH(C3557,Produtos!$A$2:$A$71,0)),"")</f>
        <v/>
      </c>
      <c r="O3557" s="25">
        <f>IFERROR(INDEX(Produtos!$C$2:$C$71,MATCH(C3557,Produtos!$A$2:$A$71,0)),"")</f>
        <v/>
      </c>
      <c r="P3557" s="25">
        <f>IFERROR(INDEX(Produtos!$D$2:$D$71,MATCH(C3557,Produtos!$A$2:$A$71,0)),0)</f>
        <v/>
      </c>
      <c r="Q3557" s="25">
        <f>IFERROR(INDEX(Produtos!$E$2:$E$71,MATCH(C3557,Produtos!$A$2:$A$71,0)),0)</f>
        <v/>
      </c>
      <c r="R3557" s="27">
        <f>D3557*Q3557</f>
        <v/>
      </c>
      <c r="S3557" s="27">
        <f>R3557*E3557</f>
        <v/>
      </c>
      <c r="T3557" s="27">
        <f>(R3557-S3557)*M3557</f>
        <v/>
      </c>
      <c r="U3557" s="27">
        <f>R3557-S3557-T3557</f>
        <v/>
      </c>
      <c r="V3557" s="27">
        <f>D3557*P3557</f>
        <v/>
      </c>
      <c r="W3557" s="27">
        <f>U3557-V3557</f>
        <v/>
      </c>
      <c r="X3557" s="28">
        <f>IFERROR(W3557/U3557,0)</f>
        <v/>
      </c>
    </row>
    <row r="3558">
      <c r="A3558" s="21">
        <f>ItensPedido!A3558</f>
        <v/>
      </c>
      <c r="B3558" s="21">
        <f>ItensPedido!B3558</f>
        <v/>
      </c>
      <c r="C3558" s="21">
        <f>ItensPedido!C3558</f>
        <v/>
      </c>
      <c r="D3558" s="21">
        <f>ItensPedido!D3558</f>
        <v/>
      </c>
      <c r="E3558" s="22">
        <f>ItensPedido!E3558</f>
        <v/>
      </c>
      <c r="F3558" s="21">
        <f>IFERROR(INDEX(Pedidos!$B$2:$B$1801,MATCH(B3558,Pedidos!$A$2:$A$1801,0)),0)</f>
        <v/>
      </c>
      <c r="G3558" s="21">
        <f>IF(F3558=0,"",YEAR(F3558))</f>
        <v/>
      </c>
      <c r="H3558" s="21">
        <f>IF(F3558=0,"",MONTH(F3558))</f>
        <v/>
      </c>
      <c r="I3558" s="21">
        <f>IFERROR(INDEX(Pedidos!$E$2:$E$1801,MATCH(B3558,Pedidos!$A$2:$A$1801,0)),"")</f>
        <v/>
      </c>
      <c r="J3558" s="21">
        <f>IFERROR(INDEX(Pedidos!$C$2:$C$1801,MATCH(B3558,Pedidos!$A$2:$A$1801,0)),"")</f>
        <v/>
      </c>
      <c r="K3558" s="21">
        <f>IFERROR(INDEX(Pedidos!$D$2:$D$1801,MATCH(B3558,Pedidos!$A$2:$A$1801,0)),"")</f>
        <v/>
      </c>
      <c r="L3558" s="21">
        <f>IFERROR(INDEX(Pedidos!$F$2:$F$1801,MATCH(B3558,Pedidos!$A$2:$A$1801,0)),"")</f>
        <v/>
      </c>
      <c r="M3558" s="22">
        <f>IFERROR(INDEX(Pedidos!$G$2:$G$1801,MATCH(B3558,Pedidos!$A$2:$A$1801,0)),0)</f>
        <v/>
      </c>
      <c r="N3558" s="21">
        <f>IFERROR(INDEX(Produtos!$B$2:$B$71,MATCH(C3558,Produtos!$A$2:$A$71,0)),"")</f>
        <v/>
      </c>
      <c r="O3558" s="21">
        <f>IFERROR(INDEX(Produtos!$C$2:$C$71,MATCH(C3558,Produtos!$A$2:$A$71,0)),"")</f>
        <v/>
      </c>
      <c r="P3558" s="21">
        <f>IFERROR(INDEX(Produtos!$D$2:$D$71,MATCH(C3558,Produtos!$A$2:$A$71,0)),0)</f>
        <v/>
      </c>
      <c r="Q3558" s="21">
        <f>IFERROR(INDEX(Produtos!$E$2:$E$71,MATCH(C3558,Produtos!$A$2:$A$71,0)),0)</f>
        <v/>
      </c>
      <c r="R3558" s="23">
        <f>D3558*Q3558</f>
        <v/>
      </c>
      <c r="S3558" s="23">
        <f>R3558*E3558</f>
        <v/>
      </c>
      <c r="T3558" s="23">
        <f>(R3558-S3558)*M3558</f>
        <v/>
      </c>
      <c r="U3558" s="23">
        <f>R3558-S3558-T3558</f>
        <v/>
      </c>
      <c r="V3558" s="23">
        <f>D3558*P3558</f>
        <v/>
      </c>
      <c r="W3558" s="23">
        <f>U3558-V3558</f>
        <v/>
      </c>
      <c r="X3558" s="24">
        <f>IFERROR(W3558/U3558,0)</f>
        <v/>
      </c>
    </row>
    <row r="3559">
      <c r="A3559" s="25">
        <f>ItensPedido!A3559</f>
        <v/>
      </c>
      <c r="B3559" s="25">
        <f>ItensPedido!B3559</f>
        <v/>
      </c>
      <c r="C3559" s="25">
        <f>ItensPedido!C3559</f>
        <v/>
      </c>
      <c r="D3559" s="25">
        <f>ItensPedido!D3559</f>
        <v/>
      </c>
      <c r="E3559" s="26">
        <f>ItensPedido!E3559</f>
        <v/>
      </c>
      <c r="F3559" s="25">
        <f>IFERROR(INDEX(Pedidos!$B$2:$B$1801,MATCH(B3559,Pedidos!$A$2:$A$1801,0)),0)</f>
        <v/>
      </c>
      <c r="G3559" s="25">
        <f>IF(F3559=0,"",YEAR(F3559))</f>
        <v/>
      </c>
      <c r="H3559" s="25">
        <f>IF(F3559=0,"",MONTH(F3559))</f>
        <v/>
      </c>
      <c r="I3559" s="25">
        <f>IFERROR(INDEX(Pedidos!$E$2:$E$1801,MATCH(B3559,Pedidos!$A$2:$A$1801,0)),"")</f>
        <v/>
      </c>
      <c r="J3559" s="25">
        <f>IFERROR(INDEX(Pedidos!$C$2:$C$1801,MATCH(B3559,Pedidos!$A$2:$A$1801,0)),"")</f>
        <v/>
      </c>
      <c r="K3559" s="25">
        <f>IFERROR(INDEX(Pedidos!$D$2:$D$1801,MATCH(B3559,Pedidos!$A$2:$A$1801,0)),"")</f>
        <v/>
      </c>
      <c r="L3559" s="25">
        <f>IFERROR(INDEX(Pedidos!$F$2:$F$1801,MATCH(B3559,Pedidos!$A$2:$A$1801,0)),"")</f>
        <v/>
      </c>
      <c r="M3559" s="26">
        <f>IFERROR(INDEX(Pedidos!$G$2:$G$1801,MATCH(B3559,Pedidos!$A$2:$A$1801,0)),0)</f>
        <v/>
      </c>
      <c r="N3559" s="25">
        <f>IFERROR(INDEX(Produtos!$B$2:$B$71,MATCH(C3559,Produtos!$A$2:$A$71,0)),"")</f>
        <v/>
      </c>
      <c r="O3559" s="25">
        <f>IFERROR(INDEX(Produtos!$C$2:$C$71,MATCH(C3559,Produtos!$A$2:$A$71,0)),"")</f>
        <v/>
      </c>
      <c r="P3559" s="25">
        <f>IFERROR(INDEX(Produtos!$D$2:$D$71,MATCH(C3559,Produtos!$A$2:$A$71,0)),0)</f>
        <v/>
      </c>
      <c r="Q3559" s="25">
        <f>IFERROR(INDEX(Produtos!$E$2:$E$71,MATCH(C3559,Produtos!$A$2:$A$71,0)),0)</f>
        <v/>
      </c>
      <c r="R3559" s="27">
        <f>D3559*Q3559</f>
        <v/>
      </c>
      <c r="S3559" s="27">
        <f>R3559*E3559</f>
        <v/>
      </c>
      <c r="T3559" s="27">
        <f>(R3559-S3559)*M3559</f>
        <v/>
      </c>
      <c r="U3559" s="27">
        <f>R3559-S3559-T3559</f>
        <v/>
      </c>
      <c r="V3559" s="27">
        <f>D3559*P3559</f>
        <v/>
      </c>
      <c r="W3559" s="27">
        <f>U3559-V3559</f>
        <v/>
      </c>
      <c r="X3559" s="28">
        <f>IFERROR(W3559/U3559,0)</f>
        <v/>
      </c>
    </row>
    <row r="3560">
      <c r="A3560" s="21">
        <f>ItensPedido!A3560</f>
        <v/>
      </c>
      <c r="B3560" s="21">
        <f>ItensPedido!B3560</f>
        <v/>
      </c>
      <c r="C3560" s="21">
        <f>ItensPedido!C3560</f>
        <v/>
      </c>
      <c r="D3560" s="21">
        <f>ItensPedido!D3560</f>
        <v/>
      </c>
      <c r="E3560" s="22">
        <f>ItensPedido!E3560</f>
        <v/>
      </c>
      <c r="F3560" s="21">
        <f>IFERROR(INDEX(Pedidos!$B$2:$B$1801,MATCH(B3560,Pedidos!$A$2:$A$1801,0)),0)</f>
        <v/>
      </c>
      <c r="G3560" s="21">
        <f>IF(F3560=0,"",YEAR(F3560))</f>
        <v/>
      </c>
      <c r="H3560" s="21">
        <f>IF(F3560=0,"",MONTH(F3560))</f>
        <v/>
      </c>
      <c r="I3560" s="21">
        <f>IFERROR(INDEX(Pedidos!$E$2:$E$1801,MATCH(B3560,Pedidos!$A$2:$A$1801,0)),"")</f>
        <v/>
      </c>
      <c r="J3560" s="21">
        <f>IFERROR(INDEX(Pedidos!$C$2:$C$1801,MATCH(B3560,Pedidos!$A$2:$A$1801,0)),"")</f>
        <v/>
      </c>
      <c r="K3560" s="21">
        <f>IFERROR(INDEX(Pedidos!$D$2:$D$1801,MATCH(B3560,Pedidos!$A$2:$A$1801,0)),"")</f>
        <v/>
      </c>
      <c r="L3560" s="21">
        <f>IFERROR(INDEX(Pedidos!$F$2:$F$1801,MATCH(B3560,Pedidos!$A$2:$A$1801,0)),"")</f>
        <v/>
      </c>
      <c r="M3560" s="22">
        <f>IFERROR(INDEX(Pedidos!$G$2:$G$1801,MATCH(B3560,Pedidos!$A$2:$A$1801,0)),0)</f>
        <v/>
      </c>
      <c r="N3560" s="21">
        <f>IFERROR(INDEX(Produtos!$B$2:$B$71,MATCH(C3560,Produtos!$A$2:$A$71,0)),"")</f>
        <v/>
      </c>
      <c r="O3560" s="21">
        <f>IFERROR(INDEX(Produtos!$C$2:$C$71,MATCH(C3560,Produtos!$A$2:$A$71,0)),"")</f>
        <v/>
      </c>
      <c r="P3560" s="21">
        <f>IFERROR(INDEX(Produtos!$D$2:$D$71,MATCH(C3560,Produtos!$A$2:$A$71,0)),0)</f>
        <v/>
      </c>
      <c r="Q3560" s="21">
        <f>IFERROR(INDEX(Produtos!$E$2:$E$71,MATCH(C3560,Produtos!$A$2:$A$71,0)),0)</f>
        <v/>
      </c>
      <c r="R3560" s="23">
        <f>D3560*Q3560</f>
        <v/>
      </c>
      <c r="S3560" s="23">
        <f>R3560*E3560</f>
        <v/>
      </c>
      <c r="T3560" s="23">
        <f>(R3560-S3560)*M3560</f>
        <v/>
      </c>
      <c r="U3560" s="23">
        <f>R3560-S3560-T3560</f>
        <v/>
      </c>
      <c r="V3560" s="23">
        <f>D3560*P3560</f>
        <v/>
      </c>
      <c r="W3560" s="23">
        <f>U3560-V3560</f>
        <v/>
      </c>
      <c r="X3560" s="24">
        <f>IFERROR(W3560/U3560,0)</f>
        <v/>
      </c>
    </row>
    <row r="3561">
      <c r="A3561" s="25">
        <f>ItensPedido!A3561</f>
        <v/>
      </c>
      <c r="B3561" s="25">
        <f>ItensPedido!B3561</f>
        <v/>
      </c>
      <c r="C3561" s="25">
        <f>ItensPedido!C3561</f>
        <v/>
      </c>
      <c r="D3561" s="25">
        <f>ItensPedido!D3561</f>
        <v/>
      </c>
      <c r="E3561" s="26">
        <f>ItensPedido!E3561</f>
        <v/>
      </c>
      <c r="F3561" s="25">
        <f>IFERROR(INDEX(Pedidos!$B$2:$B$1801,MATCH(B3561,Pedidos!$A$2:$A$1801,0)),0)</f>
        <v/>
      </c>
      <c r="G3561" s="25">
        <f>IF(F3561=0,"",YEAR(F3561))</f>
        <v/>
      </c>
      <c r="H3561" s="25">
        <f>IF(F3561=0,"",MONTH(F3561))</f>
        <v/>
      </c>
      <c r="I3561" s="25">
        <f>IFERROR(INDEX(Pedidos!$E$2:$E$1801,MATCH(B3561,Pedidos!$A$2:$A$1801,0)),"")</f>
        <v/>
      </c>
      <c r="J3561" s="25">
        <f>IFERROR(INDEX(Pedidos!$C$2:$C$1801,MATCH(B3561,Pedidos!$A$2:$A$1801,0)),"")</f>
        <v/>
      </c>
      <c r="K3561" s="25">
        <f>IFERROR(INDEX(Pedidos!$D$2:$D$1801,MATCH(B3561,Pedidos!$A$2:$A$1801,0)),"")</f>
        <v/>
      </c>
      <c r="L3561" s="25">
        <f>IFERROR(INDEX(Pedidos!$F$2:$F$1801,MATCH(B3561,Pedidos!$A$2:$A$1801,0)),"")</f>
        <v/>
      </c>
      <c r="M3561" s="26">
        <f>IFERROR(INDEX(Pedidos!$G$2:$G$1801,MATCH(B3561,Pedidos!$A$2:$A$1801,0)),0)</f>
        <v/>
      </c>
      <c r="N3561" s="25">
        <f>IFERROR(INDEX(Produtos!$B$2:$B$71,MATCH(C3561,Produtos!$A$2:$A$71,0)),"")</f>
        <v/>
      </c>
      <c r="O3561" s="25">
        <f>IFERROR(INDEX(Produtos!$C$2:$C$71,MATCH(C3561,Produtos!$A$2:$A$71,0)),"")</f>
        <v/>
      </c>
      <c r="P3561" s="25">
        <f>IFERROR(INDEX(Produtos!$D$2:$D$71,MATCH(C3561,Produtos!$A$2:$A$71,0)),0)</f>
        <v/>
      </c>
      <c r="Q3561" s="25">
        <f>IFERROR(INDEX(Produtos!$E$2:$E$71,MATCH(C3561,Produtos!$A$2:$A$71,0)),0)</f>
        <v/>
      </c>
      <c r="R3561" s="27">
        <f>D3561*Q3561</f>
        <v/>
      </c>
      <c r="S3561" s="27">
        <f>R3561*E3561</f>
        <v/>
      </c>
      <c r="T3561" s="27">
        <f>(R3561-S3561)*M3561</f>
        <v/>
      </c>
      <c r="U3561" s="27">
        <f>R3561-S3561-T3561</f>
        <v/>
      </c>
      <c r="V3561" s="27">
        <f>D3561*P3561</f>
        <v/>
      </c>
      <c r="W3561" s="27">
        <f>U3561-V3561</f>
        <v/>
      </c>
      <c r="X3561" s="28">
        <f>IFERROR(W3561/U3561,0)</f>
        <v/>
      </c>
    </row>
    <row r="3562">
      <c r="A3562" s="21">
        <f>ItensPedido!A3562</f>
        <v/>
      </c>
      <c r="B3562" s="21">
        <f>ItensPedido!B3562</f>
        <v/>
      </c>
      <c r="C3562" s="21">
        <f>ItensPedido!C3562</f>
        <v/>
      </c>
      <c r="D3562" s="21">
        <f>ItensPedido!D3562</f>
        <v/>
      </c>
      <c r="E3562" s="22">
        <f>ItensPedido!E3562</f>
        <v/>
      </c>
      <c r="F3562" s="21">
        <f>IFERROR(INDEX(Pedidos!$B$2:$B$1801,MATCH(B3562,Pedidos!$A$2:$A$1801,0)),0)</f>
        <v/>
      </c>
      <c r="G3562" s="21">
        <f>IF(F3562=0,"",YEAR(F3562))</f>
        <v/>
      </c>
      <c r="H3562" s="21">
        <f>IF(F3562=0,"",MONTH(F3562))</f>
        <v/>
      </c>
      <c r="I3562" s="21">
        <f>IFERROR(INDEX(Pedidos!$E$2:$E$1801,MATCH(B3562,Pedidos!$A$2:$A$1801,0)),"")</f>
        <v/>
      </c>
      <c r="J3562" s="21">
        <f>IFERROR(INDEX(Pedidos!$C$2:$C$1801,MATCH(B3562,Pedidos!$A$2:$A$1801,0)),"")</f>
        <v/>
      </c>
      <c r="K3562" s="21">
        <f>IFERROR(INDEX(Pedidos!$D$2:$D$1801,MATCH(B3562,Pedidos!$A$2:$A$1801,0)),"")</f>
        <v/>
      </c>
      <c r="L3562" s="21">
        <f>IFERROR(INDEX(Pedidos!$F$2:$F$1801,MATCH(B3562,Pedidos!$A$2:$A$1801,0)),"")</f>
        <v/>
      </c>
      <c r="M3562" s="22">
        <f>IFERROR(INDEX(Pedidos!$G$2:$G$1801,MATCH(B3562,Pedidos!$A$2:$A$1801,0)),0)</f>
        <v/>
      </c>
      <c r="N3562" s="21">
        <f>IFERROR(INDEX(Produtos!$B$2:$B$71,MATCH(C3562,Produtos!$A$2:$A$71,0)),"")</f>
        <v/>
      </c>
      <c r="O3562" s="21">
        <f>IFERROR(INDEX(Produtos!$C$2:$C$71,MATCH(C3562,Produtos!$A$2:$A$71,0)),"")</f>
        <v/>
      </c>
      <c r="P3562" s="21">
        <f>IFERROR(INDEX(Produtos!$D$2:$D$71,MATCH(C3562,Produtos!$A$2:$A$71,0)),0)</f>
        <v/>
      </c>
      <c r="Q3562" s="21">
        <f>IFERROR(INDEX(Produtos!$E$2:$E$71,MATCH(C3562,Produtos!$A$2:$A$71,0)),0)</f>
        <v/>
      </c>
      <c r="R3562" s="23">
        <f>D3562*Q3562</f>
        <v/>
      </c>
      <c r="S3562" s="23">
        <f>R3562*E3562</f>
        <v/>
      </c>
      <c r="T3562" s="23">
        <f>(R3562-S3562)*M3562</f>
        <v/>
      </c>
      <c r="U3562" s="23">
        <f>R3562-S3562-T3562</f>
        <v/>
      </c>
      <c r="V3562" s="23">
        <f>D3562*P3562</f>
        <v/>
      </c>
      <c r="W3562" s="23">
        <f>U3562-V3562</f>
        <v/>
      </c>
      <c r="X3562" s="24">
        <f>IFERROR(W3562/U3562,0)</f>
        <v/>
      </c>
    </row>
    <row r="3563">
      <c r="A3563" s="25">
        <f>ItensPedido!A3563</f>
        <v/>
      </c>
      <c r="B3563" s="25">
        <f>ItensPedido!B3563</f>
        <v/>
      </c>
      <c r="C3563" s="25">
        <f>ItensPedido!C3563</f>
        <v/>
      </c>
      <c r="D3563" s="25">
        <f>ItensPedido!D3563</f>
        <v/>
      </c>
      <c r="E3563" s="26">
        <f>ItensPedido!E3563</f>
        <v/>
      </c>
      <c r="F3563" s="25">
        <f>IFERROR(INDEX(Pedidos!$B$2:$B$1801,MATCH(B3563,Pedidos!$A$2:$A$1801,0)),0)</f>
        <v/>
      </c>
      <c r="G3563" s="25">
        <f>IF(F3563=0,"",YEAR(F3563))</f>
        <v/>
      </c>
      <c r="H3563" s="25">
        <f>IF(F3563=0,"",MONTH(F3563))</f>
        <v/>
      </c>
      <c r="I3563" s="25">
        <f>IFERROR(INDEX(Pedidos!$E$2:$E$1801,MATCH(B3563,Pedidos!$A$2:$A$1801,0)),"")</f>
        <v/>
      </c>
      <c r="J3563" s="25">
        <f>IFERROR(INDEX(Pedidos!$C$2:$C$1801,MATCH(B3563,Pedidos!$A$2:$A$1801,0)),"")</f>
        <v/>
      </c>
      <c r="K3563" s="25">
        <f>IFERROR(INDEX(Pedidos!$D$2:$D$1801,MATCH(B3563,Pedidos!$A$2:$A$1801,0)),"")</f>
        <v/>
      </c>
      <c r="L3563" s="25">
        <f>IFERROR(INDEX(Pedidos!$F$2:$F$1801,MATCH(B3563,Pedidos!$A$2:$A$1801,0)),"")</f>
        <v/>
      </c>
      <c r="M3563" s="26">
        <f>IFERROR(INDEX(Pedidos!$G$2:$G$1801,MATCH(B3563,Pedidos!$A$2:$A$1801,0)),0)</f>
        <v/>
      </c>
      <c r="N3563" s="25">
        <f>IFERROR(INDEX(Produtos!$B$2:$B$71,MATCH(C3563,Produtos!$A$2:$A$71,0)),"")</f>
        <v/>
      </c>
      <c r="O3563" s="25">
        <f>IFERROR(INDEX(Produtos!$C$2:$C$71,MATCH(C3563,Produtos!$A$2:$A$71,0)),"")</f>
        <v/>
      </c>
      <c r="P3563" s="25">
        <f>IFERROR(INDEX(Produtos!$D$2:$D$71,MATCH(C3563,Produtos!$A$2:$A$71,0)),0)</f>
        <v/>
      </c>
      <c r="Q3563" s="25">
        <f>IFERROR(INDEX(Produtos!$E$2:$E$71,MATCH(C3563,Produtos!$A$2:$A$71,0)),0)</f>
        <v/>
      </c>
      <c r="R3563" s="27">
        <f>D3563*Q3563</f>
        <v/>
      </c>
      <c r="S3563" s="27">
        <f>R3563*E3563</f>
        <v/>
      </c>
      <c r="T3563" s="27">
        <f>(R3563-S3563)*M3563</f>
        <v/>
      </c>
      <c r="U3563" s="27">
        <f>R3563-S3563-T3563</f>
        <v/>
      </c>
      <c r="V3563" s="27">
        <f>D3563*P3563</f>
        <v/>
      </c>
      <c r="W3563" s="27">
        <f>U3563-V3563</f>
        <v/>
      </c>
      <c r="X3563" s="28">
        <f>IFERROR(W3563/U3563,0)</f>
        <v/>
      </c>
    </row>
    <row r="3564">
      <c r="A3564" s="21">
        <f>ItensPedido!A3564</f>
        <v/>
      </c>
      <c r="B3564" s="21">
        <f>ItensPedido!B3564</f>
        <v/>
      </c>
      <c r="C3564" s="21">
        <f>ItensPedido!C3564</f>
        <v/>
      </c>
      <c r="D3564" s="21">
        <f>ItensPedido!D3564</f>
        <v/>
      </c>
      <c r="E3564" s="22">
        <f>ItensPedido!E3564</f>
        <v/>
      </c>
      <c r="F3564" s="21">
        <f>IFERROR(INDEX(Pedidos!$B$2:$B$1801,MATCH(B3564,Pedidos!$A$2:$A$1801,0)),0)</f>
        <v/>
      </c>
      <c r="G3564" s="21">
        <f>IF(F3564=0,"",YEAR(F3564))</f>
        <v/>
      </c>
      <c r="H3564" s="21">
        <f>IF(F3564=0,"",MONTH(F3564))</f>
        <v/>
      </c>
      <c r="I3564" s="21">
        <f>IFERROR(INDEX(Pedidos!$E$2:$E$1801,MATCH(B3564,Pedidos!$A$2:$A$1801,0)),"")</f>
        <v/>
      </c>
      <c r="J3564" s="21">
        <f>IFERROR(INDEX(Pedidos!$C$2:$C$1801,MATCH(B3564,Pedidos!$A$2:$A$1801,0)),"")</f>
        <v/>
      </c>
      <c r="K3564" s="21">
        <f>IFERROR(INDEX(Pedidos!$D$2:$D$1801,MATCH(B3564,Pedidos!$A$2:$A$1801,0)),"")</f>
        <v/>
      </c>
      <c r="L3564" s="21">
        <f>IFERROR(INDEX(Pedidos!$F$2:$F$1801,MATCH(B3564,Pedidos!$A$2:$A$1801,0)),"")</f>
        <v/>
      </c>
      <c r="M3564" s="22">
        <f>IFERROR(INDEX(Pedidos!$G$2:$G$1801,MATCH(B3564,Pedidos!$A$2:$A$1801,0)),0)</f>
        <v/>
      </c>
      <c r="N3564" s="21">
        <f>IFERROR(INDEX(Produtos!$B$2:$B$71,MATCH(C3564,Produtos!$A$2:$A$71,0)),"")</f>
        <v/>
      </c>
      <c r="O3564" s="21">
        <f>IFERROR(INDEX(Produtos!$C$2:$C$71,MATCH(C3564,Produtos!$A$2:$A$71,0)),"")</f>
        <v/>
      </c>
      <c r="P3564" s="21">
        <f>IFERROR(INDEX(Produtos!$D$2:$D$71,MATCH(C3564,Produtos!$A$2:$A$71,0)),0)</f>
        <v/>
      </c>
      <c r="Q3564" s="21">
        <f>IFERROR(INDEX(Produtos!$E$2:$E$71,MATCH(C3564,Produtos!$A$2:$A$71,0)),0)</f>
        <v/>
      </c>
      <c r="R3564" s="23">
        <f>D3564*Q3564</f>
        <v/>
      </c>
      <c r="S3564" s="23">
        <f>R3564*E3564</f>
        <v/>
      </c>
      <c r="T3564" s="23">
        <f>(R3564-S3564)*M3564</f>
        <v/>
      </c>
      <c r="U3564" s="23">
        <f>R3564-S3564-T3564</f>
        <v/>
      </c>
      <c r="V3564" s="23">
        <f>D3564*P3564</f>
        <v/>
      </c>
      <c r="W3564" s="23">
        <f>U3564-V3564</f>
        <v/>
      </c>
      <c r="X3564" s="24">
        <f>IFERROR(W3564/U3564,0)</f>
        <v/>
      </c>
    </row>
    <row r="3565">
      <c r="A3565" s="25">
        <f>ItensPedido!A3565</f>
        <v/>
      </c>
      <c r="B3565" s="25">
        <f>ItensPedido!B3565</f>
        <v/>
      </c>
      <c r="C3565" s="25">
        <f>ItensPedido!C3565</f>
        <v/>
      </c>
      <c r="D3565" s="25">
        <f>ItensPedido!D3565</f>
        <v/>
      </c>
      <c r="E3565" s="26">
        <f>ItensPedido!E3565</f>
        <v/>
      </c>
      <c r="F3565" s="25">
        <f>IFERROR(INDEX(Pedidos!$B$2:$B$1801,MATCH(B3565,Pedidos!$A$2:$A$1801,0)),0)</f>
        <v/>
      </c>
      <c r="G3565" s="25">
        <f>IF(F3565=0,"",YEAR(F3565))</f>
        <v/>
      </c>
      <c r="H3565" s="25">
        <f>IF(F3565=0,"",MONTH(F3565))</f>
        <v/>
      </c>
      <c r="I3565" s="25">
        <f>IFERROR(INDEX(Pedidos!$E$2:$E$1801,MATCH(B3565,Pedidos!$A$2:$A$1801,0)),"")</f>
        <v/>
      </c>
      <c r="J3565" s="25">
        <f>IFERROR(INDEX(Pedidos!$C$2:$C$1801,MATCH(B3565,Pedidos!$A$2:$A$1801,0)),"")</f>
        <v/>
      </c>
      <c r="K3565" s="25">
        <f>IFERROR(INDEX(Pedidos!$D$2:$D$1801,MATCH(B3565,Pedidos!$A$2:$A$1801,0)),"")</f>
        <v/>
      </c>
      <c r="L3565" s="25">
        <f>IFERROR(INDEX(Pedidos!$F$2:$F$1801,MATCH(B3565,Pedidos!$A$2:$A$1801,0)),"")</f>
        <v/>
      </c>
      <c r="M3565" s="26">
        <f>IFERROR(INDEX(Pedidos!$G$2:$G$1801,MATCH(B3565,Pedidos!$A$2:$A$1801,0)),0)</f>
        <v/>
      </c>
      <c r="N3565" s="25">
        <f>IFERROR(INDEX(Produtos!$B$2:$B$71,MATCH(C3565,Produtos!$A$2:$A$71,0)),"")</f>
        <v/>
      </c>
      <c r="O3565" s="25">
        <f>IFERROR(INDEX(Produtos!$C$2:$C$71,MATCH(C3565,Produtos!$A$2:$A$71,0)),"")</f>
        <v/>
      </c>
      <c r="P3565" s="25">
        <f>IFERROR(INDEX(Produtos!$D$2:$D$71,MATCH(C3565,Produtos!$A$2:$A$71,0)),0)</f>
        <v/>
      </c>
      <c r="Q3565" s="25">
        <f>IFERROR(INDEX(Produtos!$E$2:$E$71,MATCH(C3565,Produtos!$A$2:$A$71,0)),0)</f>
        <v/>
      </c>
      <c r="R3565" s="27">
        <f>D3565*Q3565</f>
        <v/>
      </c>
      <c r="S3565" s="27">
        <f>R3565*E3565</f>
        <v/>
      </c>
      <c r="T3565" s="27">
        <f>(R3565-S3565)*M3565</f>
        <v/>
      </c>
      <c r="U3565" s="27">
        <f>R3565-S3565-T3565</f>
        <v/>
      </c>
      <c r="V3565" s="27">
        <f>D3565*P3565</f>
        <v/>
      </c>
      <c r="W3565" s="27">
        <f>U3565-V3565</f>
        <v/>
      </c>
      <c r="X3565" s="28">
        <f>IFERROR(W3565/U3565,0)</f>
        <v/>
      </c>
    </row>
    <row r="3566">
      <c r="A3566" s="21">
        <f>ItensPedido!A3566</f>
        <v/>
      </c>
      <c r="B3566" s="21">
        <f>ItensPedido!B3566</f>
        <v/>
      </c>
      <c r="C3566" s="21">
        <f>ItensPedido!C3566</f>
        <v/>
      </c>
      <c r="D3566" s="21">
        <f>ItensPedido!D3566</f>
        <v/>
      </c>
      <c r="E3566" s="22">
        <f>ItensPedido!E3566</f>
        <v/>
      </c>
      <c r="F3566" s="21">
        <f>IFERROR(INDEX(Pedidos!$B$2:$B$1801,MATCH(B3566,Pedidos!$A$2:$A$1801,0)),0)</f>
        <v/>
      </c>
      <c r="G3566" s="21">
        <f>IF(F3566=0,"",YEAR(F3566))</f>
        <v/>
      </c>
      <c r="H3566" s="21">
        <f>IF(F3566=0,"",MONTH(F3566))</f>
        <v/>
      </c>
      <c r="I3566" s="21">
        <f>IFERROR(INDEX(Pedidos!$E$2:$E$1801,MATCH(B3566,Pedidos!$A$2:$A$1801,0)),"")</f>
        <v/>
      </c>
      <c r="J3566" s="21">
        <f>IFERROR(INDEX(Pedidos!$C$2:$C$1801,MATCH(B3566,Pedidos!$A$2:$A$1801,0)),"")</f>
        <v/>
      </c>
      <c r="K3566" s="21">
        <f>IFERROR(INDEX(Pedidos!$D$2:$D$1801,MATCH(B3566,Pedidos!$A$2:$A$1801,0)),"")</f>
        <v/>
      </c>
      <c r="L3566" s="21">
        <f>IFERROR(INDEX(Pedidos!$F$2:$F$1801,MATCH(B3566,Pedidos!$A$2:$A$1801,0)),"")</f>
        <v/>
      </c>
      <c r="M3566" s="22">
        <f>IFERROR(INDEX(Pedidos!$G$2:$G$1801,MATCH(B3566,Pedidos!$A$2:$A$1801,0)),0)</f>
        <v/>
      </c>
      <c r="N3566" s="21">
        <f>IFERROR(INDEX(Produtos!$B$2:$B$71,MATCH(C3566,Produtos!$A$2:$A$71,0)),"")</f>
        <v/>
      </c>
      <c r="O3566" s="21">
        <f>IFERROR(INDEX(Produtos!$C$2:$C$71,MATCH(C3566,Produtos!$A$2:$A$71,0)),"")</f>
        <v/>
      </c>
      <c r="P3566" s="21">
        <f>IFERROR(INDEX(Produtos!$D$2:$D$71,MATCH(C3566,Produtos!$A$2:$A$71,0)),0)</f>
        <v/>
      </c>
      <c r="Q3566" s="21">
        <f>IFERROR(INDEX(Produtos!$E$2:$E$71,MATCH(C3566,Produtos!$A$2:$A$71,0)),0)</f>
        <v/>
      </c>
      <c r="R3566" s="23">
        <f>D3566*Q3566</f>
        <v/>
      </c>
      <c r="S3566" s="23">
        <f>R3566*E3566</f>
        <v/>
      </c>
      <c r="T3566" s="23">
        <f>(R3566-S3566)*M3566</f>
        <v/>
      </c>
      <c r="U3566" s="23">
        <f>R3566-S3566-T3566</f>
        <v/>
      </c>
      <c r="V3566" s="23">
        <f>D3566*P3566</f>
        <v/>
      </c>
      <c r="W3566" s="23">
        <f>U3566-V3566</f>
        <v/>
      </c>
      <c r="X3566" s="24">
        <f>IFERROR(W3566/U3566,0)</f>
        <v/>
      </c>
    </row>
    <row r="3567">
      <c r="A3567" s="25">
        <f>ItensPedido!A3567</f>
        <v/>
      </c>
      <c r="B3567" s="25">
        <f>ItensPedido!B3567</f>
        <v/>
      </c>
      <c r="C3567" s="25">
        <f>ItensPedido!C3567</f>
        <v/>
      </c>
      <c r="D3567" s="25">
        <f>ItensPedido!D3567</f>
        <v/>
      </c>
      <c r="E3567" s="26">
        <f>ItensPedido!E3567</f>
        <v/>
      </c>
      <c r="F3567" s="25">
        <f>IFERROR(INDEX(Pedidos!$B$2:$B$1801,MATCH(B3567,Pedidos!$A$2:$A$1801,0)),0)</f>
        <v/>
      </c>
      <c r="G3567" s="25">
        <f>IF(F3567=0,"",YEAR(F3567))</f>
        <v/>
      </c>
      <c r="H3567" s="25">
        <f>IF(F3567=0,"",MONTH(F3567))</f>
        <v/>
      </c>
      <c r="I3567" s="25">
        <f>IFERROR(INDEX(Pedidos!$E$2:$E$1801,MATCH(B3567,Pedidos!$A$2:$A$1801,0)),"")</f>
        <v/>
      </c>
      <c r="J3567" s="25">
        <f>IFERROR(INDEX(Pedidos!$C$2:$C$1801,MATCH(B3567,Pedidos!$A$2:$A$1801,0)),"")</f>
        <v/>
      </c>
      <c r="K3567" s="25">
        <f>IFERROR(INDEX(Pedidos!$D$2:$D$1801,MATCH(B3567,Pedidos!$A$2:$A$1801,0)),"")</f>
        <v/>
      </c>
      <c r="L3567" s="25">
        <f>IFERROR(INDEX(Pedidos!$F$2:$F$1801,MATCH(B3567,Pedidos!$A$2:$A$1801,0)),"")</f>
        <v/>
      </c>
      <c r="M3567" s="26">
        <f>IFERROR(INDEX(Pedidos!$G$2:$G$1801,MATCH(B3567,Pedidos!$A$2:$A$1801,0)),0)</f>
        <v/>
      </c>
      <c r="N3567" s="25">
        <f>IFERROR(INDEX(Produtos!$B$2:$B$71,MATCH(C3567,Produtos!$A$2:$A$71,0)),"")</f>
        <v/>
      </c>
      <c r="O3567" s="25">
        <f>IFERROR(INDEX(Produtos!$C$2:$C$71,MATCH(C3567,Produtos!$A$2:$A$71,0)),"")</f>
        <v/>
      </c>
      <c r="P3567" s="25">
        <f>IFERROR(INDEX(Produtos!$D$2:$D$71,MATCH(C3567,Produtos!$A$2:$A$71,0)),0)</f>
        <v/>
      </c>
      <c r="Q3567" s="25">
        <f>IFERROR(INDEX(Produtos!$E$2:$E$71,MATCH(C3567,Produtos!$A$2:$A$71,0)),0)</f>
        <v/>
      </c>
      <c r="R3567" s="27">
        <f>D3567*Q3567</f>
        <v/>
      </c>
      <c r="S3567" s="27">
        <f>R3567*E3567</f>
        <v/>
      </c>
      <c r="T3567" s="27">
        <f>(R3567-S3567)*M3567</f>
        <v/>
      </c>
      <c r="U3567" s="27">
        <f>R3567-S3567-T3567</f>
        <v/>
      </c>
      <c r="V3567" s="27">
        <f>D3567*P3567</f>
        <v/>
      </c>
      <c r="W3567" s="27">
        <f>U3567-V3567</f>
        <v/>
      </c>
      <c r="X3567" s="28">
        <f>IFERROR(W3567/U3567,0)</f>
        <v/>
      </c>
    </row>
    <row r="3568">
      <c r="A3568" s="21">
        <f>ItensPedido!A3568</f>
        <v/>
      </c>
      <c r="B3568" s="21">
        <f>ItensPedido!B3568</f>
        <v/>
      </c>
      <c r="C3568" s="21">
        <f>ItensPedido!C3568</f>
        <v/>
      </c>
      <c r="D3568" s="21">
        <f>ItensPedido!D3568</f>
        <v/>
      </c>
      <c r="E3568" s="22">
        <f>ItensPedido!E3568</f>
        <v/>
      </c>
      <c r="F3568" s="21">
        <f>IFERROR(INDEX(Pedidos!$B$2:$B$1801,MATCH(B3568,Pedidos!$A$2:$A$1801,0)),0)</f>
        <v/>
      </c>
      <c r="G3568" s="21">
        <f>IF(F3568=0,"",YEAR(F3568))</f>
        <v/>
      </c>
      <c r="H3568" s="21">
        <f>IF(F3568=0,"",MONTH(F3568))</f>
        <v/>
      </c>
      <c r="I3568" s="21">
        <f>IFERROR(INDEX(Pedidos!$E$2:$E$1801,MATCH(B3568,Pedidos!$A$2:$A$1801,0)),"")</f>
        <v/>
      </c>
      <c r="J3568" s="21">
        <f>IFERROR(INDEX(Pedidos!$C$2:$C$1801,MATCH(B3568,Pedidos!$A$2:$A$1801,0)),"")</f>
        <v/>
      </c>
      <c r="K3568" s="21">
        <f>IFERROR(INDEX(Pedidos!$D$2:$D$1801,MATCH(B3568,Pedidos!$A$2:$A$1801,0)),"")</f>
        <v/>
      </c>
      <c r="L3568" s="21">
        <f>IFERROR(INDEX(Pedidos!$F$2:$F$1801,MATCH(B3568,Pedidos!$A$2:$A$1801,0)),"")</f>
        <v/>
      </c>
      <c r="M3568" s="22">
        <f>IFERROR(INDEX(Pedidos!$G$2:$G$1801,MATCH(B3568,Pedidos!$A$2:$A$1801,0)),0)</f>
        <v/>
      </c>
      <c r="N3568" s="21">
        <f>IFERROR(INDEX(Produtos!$B$2:$B$71,MATCH(C3568,Produtos!$A$2:$A$71,0)),"")</f>
        <v/>
      </c>
      <c r="O3568" s="21">
        <f>IFERROR(INDEX(Produtos!$C$2:$C$71,MATCH(C3568,Produtos!$A$2:$A$71,0)),"")</f>
        <v/>
      </c>
      <c r="P3568" s="21">
        <f>IFERROR(INDEX(Produtos!$D$2:$D$71,MATCH(C3568,Produtos!$A$2:$A$71,0)),0)</f>
        <v/>
      </c>
      <c r="Q3568" s="21">
        <f>IFERROR(INDEX(Produtos!$E$2:$E$71,MATCH(C3568,Produtos!$A$2:$A$71,0)),0)</f>
        <v/>
      </c>
      <c r="R3568" s="23">
        <f>D3568*Q3568</f>
        <v/>
      </c>
      <c r="S3568" s="23">
        <f>R3568*E3568</f>
        <v/>
      </c>
      <c r="T3568" s="23">
        <f>(R3568-S3568)*M3568</f>
        <v/>
      </c>
      <c r="U3568" s="23">
        <f>R3568-S3568-T3568</f>
        <v/>
      </c>
      <c r="V3568" s="23">
        <f>D3568*P3568</f>
        <v/>
      </c>
      <c r="W3568" s="23">
        <f>U3568-V3568</f>
        <v/>
      </c>
      <c r="X3568" s="24">
        <f>IFERROR(W3568/U3568,0)</f>
        <v/>
      </c>
    </row>
    <row r="3569">
      <c r="A3569" s="25">
        <f>ItensPedido!A3569</f>
        <v/>
      </c>
      <c r="B3569" s="25">
        <f>ItensPedido!B3569</f>
        <v/>
      </c>
      <c r="C3569" s="25">
        <f>ItensPedido!C3569</f>
        <v/>
      </c>
      <c r="D3569" s="25">
        <f>ItensPedido!D3569</f>
        <v/>
      </c>
      <c r="E3569" s="26">
        <f>ItensPedido!E3569</f>
        <v/>
      </c>
      <c r="F3569" s="25">
        <f>IFERROR(INDEX(Pedidos!$B$2:$B$1801,MATCH(B3569,Pedidos!$A$2:$A$1801,0)),0)</f>
        <v/>
      </c>
      <c r="G3569" s="25">
        <f>IF(F3569=0,"",YEAR(F3569))</f>
        <v/>
      </c>
      <c r="H3569" s="25">
        <f>IF(F3569=0,"",MONTH(F3569))</f>
        <v/>
      </c>
      <c r="I3569" s="25">
        <f>IFERROR(INDEX(Pedidos!$E$2:$E$1801,MATCH(B3569,Pedidos!$A$2:$A$1801,0)),"")</f>
        <v/>
      </c>
      <c r="J3569" s="25">
        <f>IFERROR(INDEX(Pedidos!$C$2:$C$1801,MATCH(B3569,Pedidos!$A$2:$A$1801,0)),"")</f>
        <v/>
      </c>
      <c r="K3569" s="25">
        <f>IFERROR(INDEX(Pedidos!$D$2:$D$1801,MATCH(B3569,Pedidos!$A$2:$A$1801,0)),"")</f>
        <v/>
      </c>
      <c r="L3569" s="25">
        <f>IFERROR(INDEX(Pedidos!$F$2:$F$1801,MATCH(B3569,Pedidos!$A$2:$A$1801,0)),"")</f>
        <v/>
      </c>
      <c r="M3569" s="26">
        <f>IFERROR(INDEX(Pedidos!$G$2:$G$1801,MATCH(B3569,Pedidos!$A$2:$A$1801,0)),0)</f>
        <v/>
      </c>
      <c r="N3569" s="25">
        <f>IFERROR(INDEX(Produtos!$B$2:$B$71,MATCH(C3569,Produtos!$A$2:$A$71,0)),"")</f>
        <v/>
      </c>
      <c r="O3569" s="25">
        <f>IFERROR(INDEX(Produtos!$C$2:$C$71,MATCH(C3569,Produtos!$A$2:$A$71,0)),"")</f>
        <v/>
      </c>
      <c r="P3569" s="25">
        <f>IFERROR(INDEX(Produtos!$D$2:$D$71,MATCH(C3569,Produtos!$A$2:$A$71,0)),0)</f>
        <v/>
      </c>
      <c r="Q3569" s="25">
        <f>IFERROR(INDEX(Produtos!$E$2:$E$71,MATCH(C3569,Produtos!$A$2:$A$71,0)),0)</f>
        <v/>
      </c>
      <c r="R3569" s="27">
        <f>D3569*Q3569</f>
        <v/>
      </c>
      <c r="S3569" s="27">
        <f>R3569*E3569</f>
        <v/>
      </c>
      <c r="T3569" s="27">
        <f>(R3569-S3569)*M3569</f>
        <v/>
      </c>
      <c r="U3569" s="27">
        <f>R3569-S3569-T3569</f>
        <v/>
      </c>
      <c r="V3569" s="27">
        <f>D3569*P3569</f>
        <v/>
      </c>
      <c r="W3569" s="27">
        <f>U3569-V3569</f>
        <v/>
      </c>
      <c r="X3569" s="28">
        <f>IFERROR(W3569/U3569,0)</f>
        <v/>
      </c>
    </row>
    <row r="3570">
      <c r="A3570" s="21">
        <f>ItensPedido!A3570</f>
        <v/>
      </c>
      <c r="B3570" s="21">
        <f>ItensPedido!B3570</f>
        <v/>
      </c>
      <c r="C3570" s="21">
        <f>ItensPedido!C3570</f>
        <v/>
      </c>
      <c r="D3570" s="21">
        <f>ItensPedido!D3570</f>
        <v/>
      </c>
      <c r="E3570" s="22">
        <f>ItensPedido!E3570</f>
        <v/>
      </c>
      <c r="F3570" s="21">
        <f>IFERROR(INDEX(Pedidos!$B$2:$B$1801,MATCH(B3570,Pedidos!$A$2:$A$1801,0)),0)</f>
        <v/>
      </c>
      <c r="G3570" s="21">
        <f>IF(F3570=0,"",YEAR(F3570))</f>
        <v/>
      </c>
      <c r="H3570" s="21">
        <f>IF(F3570=0,"",MONTH(F3570))</f>
        <v/>
      </c>
      <c r="I3570" s="21">
        <f>IFERROR(INDEX(Pedidos!$E$2:$E$1801,MATCH(B3570,Pedidos!$A$2:$A$1801,0)),"")</f>
        <v/>
      </c>
      <c r="J3570" s="21">
        <f>IFERROR(INDEX(Pedidos!$C$2:$C$1801,MATCH(B3570,Pedidos!$A$2:$A$1801,0)),"")</f>
        <v/>
      </c>
      <c r="K3570" s="21">
        <f>IFERROR(INDEX(Pedidos!$D$2:$D$1801,MATCH(B3570,Pedidos!$A$2:$A$1801,0)),"")</f>
        <v/>
      </c>
      <c r="L3570" s="21">
        <f>IFERROR(INDEX(Pedidos!$F$2:$F$1801,MATCH(B3570,Pedidos!$A$2:$A$1801,0)),"")</f>
        <v/>
      </c>
      <c r="M3570" s="22">
        <f>IFERROR(INDEX(Pedidos!$G$2:$G$1801,MATCH(B3570,Pedidos!$A$2:$A$1801,0)),0)</f>
        <v/>
      </c>
      <c r="N3570" s="21">
        <f>IFERROR(INDEX(Produtos!$B$2:$B$71,MATCH(C3570,Produtos!$A$2:$A$71,0)),"")</f>
        <v/>
      </c>
      <c r="O3570" s="21">
        <f>IFERROR(INDEX(Produtos!$C$2:$C$71,MATCH(C3570,Produtos!$A$2:$A$71,0)),"")</f>
        <v/>
      </c>
      <c r="P3570" s="21">
        <f>IFERROR(INDEX(Produtos!$D$2:$D$71,MATCH(C3570,Produtos!$A$2:$A$71,0)),0)</f>
        <v/>
      </c>
      <c r="Q3570" s="21">
        <f>IFERROR(INDEX(Produtos!$E$2:$E$71,MATCH(C3570,Produtos!$A$2:$A$71,0)),0)</f>
        <v/>
      </c>
      <c r="R3570" s="23">
        <f>D3570*Q3570</f>
        <v/>
      </c>
      <c r="S3570" s="23">
        <f>R3570*E3570</f>
        <v/>
      </c>
      <c r="T3570" s="23">
        <f>(R3570-S3570)*M3570</f>
        <v/>
      </c>
      <c r="U3570" s="23">
        <f>R3570-S3570-T3570</f>
        <v/>
      </c>
      <c r="V3570" s="23">
        <f>D3570*P3570</f>
        <v/>
      </c>
      <c r="W3570" s="23">
        <f>U3570-V3570</f>
        <v/>
      </c>
      <c r="X3570" s="24">
        <f>IFERROR(W3570/U3570,0)</f>
        <v/>
      </c>
    </row>
    <row r="3571">
      <c r="A3571" s="25">
        <f>ItensPedido!A3571</f>
        <v/>
      </c>
      <c r="B3571" s="25">
        <f>ItensPedido!B3571</f>
        <v/>
      </c>
      <c r="C3571" s="25">
        <f>ItensPedido!C3571</f>
        <v/>
      </c>
      <c r="D3571" s="25">
        <f>ItensPedido!D3571</f>
        <v/>
      </c>
      <c r="E3571" s="26">
        <f>ItensPedido!E3571</f>
        <v/>
      </c>
      <c r="F3571" s="25">
        <f>IFERROR(INDEX(Pedidos!$B$2:$B$1801,MATCH(B3571,Pedidos!$A$2:$A$1801,0)),0)</f>
        <v/>
      </c>
      <c r="G3571" s="25">
        <f>IF(F3571=0,"",YEAR(F3571))</f>
        <v/>
      </c>
      <c r="H3571" s="25">
        <f>IF(F3571=0,"",MONTH(F3571))</f>
        <v/>
      </c>
      <c r="I3571" s="25">
        <f>IFERROR(INDEX(Pedidos!$E$2:$E$1801,MATCH(B3571,Pedidos!$A$2:$A$1801,0)),"")</f>
        <v/>
      </c>
      <c r="J3571" s="25">
        <f>IFERROR(INDEX(Pedidos!$C$2:$C$1801,MATCH(B3571,Pedidos!$A$2:$A$1801,0)),"")</f>
        <v/>
      </c>
      <c r="K3571" s="25">
        <f>IFERROR(INDEX(Pedidos!$D$2:$D$1801,MATCH(B3571,Pedidos!$A$2:$A$1801,0)),"")</f>
        <v/>
      </c>
      <c r="L3571" s="25">
        <f>IFERROR(INDEX(Pedidos!$F$2:$F$1801,MATCH(B3571,Pedidos!$A$2:$A$1801,0)),"")</f>
        <v/>
      </c>
      <c r="M3571" s="26">
        <f>IFERROR(INDEX(Pedidos!$G$2:$G$1801,MATCH(B3571,Pedidos!$A$2:$A$1801,0)),0)</f>
        <v/>
      </c>
      <c r="N3571" s="25">
        <f>IFERROR(INDEX(Produtos!$B$2:$B$71,MATCH(C3571,Produtos!$A$2:$A$71,0)),"")</f>
        <v/>
      </c>
      <c r="O3571" s="25">
        <f>IFERROR(INDEX(Produtos!$C$2:$C$71,MATCH(C3571,Produtos!$A$2:$A$71,0)),"")</f>
        <v/>
      </c>
      <c r="P3571" s="25">
        <f>IFERROR(INDEX(Produtos!$D$2:$D$71,MATCH(C3571,Produtos!$A$2:$A$71,0)),0)</f>
        <v/>
      </c>
      <c r="Q3571" s="25">
        <f>IFERROR(INDEX(Produtos!$E$2:$E$71,MATCH(C3571,Produtos!$A$2:$A$71,0)),0)</f>
        <v/>
      </c>
      <c r="R3571" s="27">
        <f>D3571*Q3571</f>
        <v/>
      </c>
      <c r="S3571" s="27">
        <f>R3571*E3571</f>
        <v/>
      </c>
      <c r="T3571" s="27">
        <f>(R3571-S3571)*M3571</f>
        <v/>
      </c>
      <c r="U3571" s="27">
        <f>R3571-S3571-T3571</f>
        <v/>
      </c>
      <c r="V3571" s="27">
        <f>D3571*P3571</f>
        <v/>
      </c>
      <c r="W3571" s="27">
        <f>U3571-V3571</f>
        <v/>
      </c>
      <c r="X3571" s="28">
        <f>IFERROR(W3571/U3571,0)</f>
        <v/>
      </c>
    </row>
    <row r="3572">
      <c r="A3572" s="21">
        <f>ItensPedido!A3572</f>
        <v/>
      </c>
      <c r="B3572" s="21">
        <f>ItensPedido!B3572</f>
        <v/>
      </c>
      <c r="C3572" s="21">
        <f>ItensPedido!C3572</f>
        <v/>
      </c>
      <c r="D3572" s="21">
        <f>ItensPedido!D3572</f>
        <v/>
      </c>
      <c r="E3572" s="22">
        <f>ItensPedido!E3572</f>
        <v/>
      </c>
      <c r="F3572" s="21">
        <f>IFERROR(INDEX(Pedidos!$B$2:$B$1801,MATCH(B3572,Pedidos!$A$2:$A$1801,0)),0)</f>
        <v/>
      </c>
      <c r="G3572" s="21">
        <f>IF(F3572=0,"",YEAR(F3572))</f>
        <v/>
      </c>
      <c r="H3572" s="21">
        <f>IF(F3572=0,"",MONTH(F3572))</f>
        <v/>
      </c>
      <c r="I3572" s="21">
        <f>IFERROR(INDEX(Pedidos!$E$2:$E$1801,MATCH(B3572,Pedidos!$A$2:$A$1801,0)),"")</f>
        <v/>
      </c>
      <c r="J3572" s="21">
        <f>IFERROR(INDEX(Pedidos!$C$2:$C$1801,MATCH(B3572,Pedidos!$A$2:$A$1801,0)),"")</f>
        <v/>
      </c>
      <c r="K3572" s="21">
        <f>IFERROR(INDEX(Pedidos!$D$2:$D$1801,MATCH(B3572,Pedidos!$A$2:$A$1801,0)),"")</f>
        <v/>
      </c>
      <c r="L3572" s="21">
        <f>IFERROR(INDEX(Pedidos!$F$2:$F$1801,MATCH(B3572,Pedidos!$A$2:$A$1801,0)),"")</f>
        <v/>
      </c>
      <c r="M3572" s="22">
        <f>IFERROR(INDEX(Pedidos!$G$2:$G$1801,MATCH(B3572,Pedidos!$A$2:$A$1801,0)),0)</f>
        <v/>
      </c>
      <c r="N3572" s="21">
        <f>IFERROR(INDEX(Produtos!$B$2:$B$71,MATCH(C3572,Produtos!$A$2:$A$71,0)),"")</f>
        <v/>
      </c>
      <c r="O3572" s="21">
        <f>IFERROR(INDEX(Produtos!$C$2:$C$71,MATCH(C3572,Produtos!$A$2:$A$71,0)),"")</f>
        <v/>
      </c>
      <c r="P3572" s="21">
        <f>IFERROR(INDEX(Produtos!$D$2:$D$71,MATCH(C3572,Produtos!$A$2:$A$71,0)),0)</f>
        <v/>
      </c>
      <c r="Q3572" s="21">
        <f>IFERROR(INDEX(Produtos!$E$2:$E$71,MATCH(C3572,Produtos!$A$2:$A$71,0)),0)</f>
        <v/>
      </c>
      <c r="R3572" s="23">
        <f>D3572*Q3572</f>
        <v/>
      </c>
      <c r="S3572" s="23">
        <f>R3572*E3572</f>
        <v/>
      </c>
      <c r="T3572" s="23">
        <f>(R3572-S3572)*M3572</f>
        <v/>
      </c>
      <c r="U3572" s="23">
        <f>R3572-S3572-T3572</f>
        <v/>
      </c>
      <c r="V3572" s="23">
        <f>D3572*P3572</f>
        <v/>
      </c>
      <c r="W3572" s="23">
        <f>U3572-V3572</f>
        <v/>
      </c>
      <c r="X3572" s="24">
        <f>IFERROR(W3572/U3572,0)</f>
        <v/>
      </c>
    </row>
    <row r="3573">
      <c r="A3573" s="25">
        <f>ItensPedido!A3573</f>
        <v/>
      </c>
      <c r="B3573" s="25">
        <f>ItensPedido!B3573</f>
        <v/>
      </c>
      <c r="C3573" s="25">
        <f>ItensPedido!C3573</f>
        <v/>
      </c>
      <c r="D3573" s="25">
        <f>ItensPedido!D3573</f>
        <v/>
      </c>
      <c r="E3573" s="26">
        <f>ItensPedido!E3573</f>
        <v/>
      </c>
      <c r="F3573" s="25">
        <f>IFERROR(INDEX(Pedidos!$B$2:$B$1801,MATCH(B3573,Pedidos!$A$2:$A$1801,0)),0)</f>
        <v/>
      </c>
      <c r="G3573" s="25">
        <f>IF(F3573=0,"",YEAR(F3573))</f>
        <v/>
      </c>
      <c r="H3573" s="25">
        <f>IF(F3573=0,"",MONTH(F3573))</f>
        <v/>
      </c>
      <c r="I3573" s="25">
        <f>IFERROR(INDEX(Pedidos!$E$2:$E$1801,MATCH(B3573,Pedidos!$A$2:$A$1801,0)),"")</f>
        <v/>
      </c>
      <c r="J3573" s="25">
        <f>IFERROR(INDEX(Pedidos!$C$2:$C$1801,MATCH(B3573,Pedidos!$A$2:$A$1801,0)),"")</f>
        <v/>
      </c>
      <c r="K3573" s="25">
        <f>IFERROR(INDEX(Pedidos!$D$2:$D$1801,MATCH(B3573,Pedidos!$A$2:$A$1801,0)),"")</f>
        <v/>
      </c>
      <c r="L3573" s="25">
        <f>IFERROR(INDEX(Pedidos!$F$2:$F$1801,MATCH(B3573,Pedidos!$A$2:$A$1801,0)),"")</f>
        <v/>
      </c>
      <c r="M3573" s="26">
        <f>IFERROR(INDEX(Pedidos!$G$2:$G$1801,MATCH(B3573,Pedidos!$A$2:$A$1801,0)),0)</f>
        <v/>
      </c>
      <c r="N3573" s="25">
        <f>IFERROR(INDEX(Produtos!$B$2:$B$71,MATCH(C3573,Produtos!$A$2:$A$71,0)),"")</f>
        <v/>
      </c>
      <c r="O3573" s="25">
        <f>IFERROR(INDEX(Produtos!$C$2:$C$71,MATCH(C3573,Produtos!$A$2:$A$71,0)),"")</f>
        <v/>
      </c>
      <c r="P3573" s="25">
        <f>IFERROR(INDEX(Produtos!$D$2:$D$71,MATCH(C3573,Produtos!$A$2:$A$71,0)),0)</f>
        <v/>
      </c>
      <c r="Q3573" s="25">
        <f>IFERROR(INDEX(Produtos!$E$2:$E$71,MATCH(C3573,Produtos!$A$2:$A$71,0)),0)</f>
        <v/>
      </c>
      <c r="R3573" s="27">
        <f>D3573*Q3573</f>
        <v/>
      </c>
      <c r="S3573" s="27">
        <f>R3573*E3573</f>
        <v/>
      </c>
      <c r="T3573" s="27">
        <f>(R3573-S3573)*M3573</f>
        <v/>
      </c>
      <c r="U3573" s="27">
        <f>R3573-S3573-T3573</f>
        <v/>
      </c>
      <c r="V3573" s="27">
        <f>D3573*P3573</f>
        <v/>
      </c>
      <c r="W3573" s="27">
        <f>U3573-V3573</f>
        <v/>
      </c>
      <c r="X3573" s="28">
        <f>IFERROR(W3573/U3573,0)</f>
        <v/>
      </c>
    </row>
    <row r="3574">
      <c r="A3574" s="21">
        <f>ItensPedido!A3574</f>
        <v/>
      </c>
      <c r="B3574" s="21">
        <f>ItensPedido!B3574</f>
        <v/>
      </c>
      <c r="C3574" s="21">
        <f>ItensPedido!C3574</f>
        <v/>
      </c>
      <c r="D3574" s="21">
        <f>ItensPedido!D3574</f>
        <v/>
      </c>
      <c r="E3574" s="22">
        <f>ItensPedido!E3574</f>
        <v/>
      </c>
      <c r="F3574" s="21">
        <f>IFERROR(INDEX(Pedidos!$B$2:$B$1801,MATCH(B3574,Pedidos!$A$2:$A$1801,0)),0)</f>
        <v/>
      </c>
      <c r="G3574" s="21">
        <f>IF(F3574=0,"",YEAR(F3574))</f>
        <v/>
      </c>
      <c r="H3574" s="21">
        <f>IF(F3574=0,"",MONTH(F3574))</f>
        <v/>
      </c>
      <c r="I3574" s="21">
        <f>IFERROR(INDEX(Pedidos!$E$2:$E$1801,MATCH(B3574,Pedidos!$A$2:$A$1801,0)),"")</f>
        <v/>
      </c>
      <c r="J3574" s="21">
        <f>IFERROR(INDEX(Pedidos!$C$2:$C$1801,MATCH(B3574,Pedidos!$A$2:$A$1801,0)),"")</f>
        <v/>
      </c>
      <c r="K3574" s="21">
        <f>IFERROR(INDEX(Pedidos!$D$2:$D$1801,MATCH(B3574,Pedidos!$A$2:$A$1801,0)),"")</f>
        <v/>
      </c>
      <c r="L3574" s="21">
        <f>IFERROR(INDEX(Pedidos!$F$2:$F$1801,MATCH(B3574,Pedidos!$A$2:$A$1801,0)),"")</f>
        <v/>
      </c>
      <c r="M3574" s="22">
        <f>IFERROR(INDEX(Pedidos!$G$2:$G$1801,MATCH(B3574,Pedidos!$A$2:$A$1801,0)),0)</f>
        <v/>
      </c>
      <c r="N3574" s="21">
        <f>IFERROR(INDEX(Produtos!$B$2:$B$71,MATCH(C3574,Produtos!$A$2:$A$71,0)),"")</f>
        <v/>
      </c>
      <c r="O3574" s="21">
        <f>IFERROR(INDEX(Produtos!$C$2:$C$71,MATCH(C3574,Produtos!$A$2:$A$71,0)),"")</f>
        <v/>
      </c>
      <c r="P3574" s="21">
        <f>IFERROR(INDEX(Produtos!$D$2:$D$71,MATCH(C3574,Produtos!$A$2:$A$71,0)),0)</f>
        <v/>
      </c>
      <c r="Q3574" s="21">
        <f>IFERROR(INDEX(Produtos!$E$2:$E$71,MATCH(C3574,Produtos!$A$2:$A$71,0)),0)</f>
        <v/>
      </c>
      <c r="R3574" s="23">
        <f>D3574*Q3574</f>
        <v/>
      </c>
      <c r="S3574" s="23">
        <f>R3574*E3574</f>
        <v/>
      </c>
      <c r="T3574" s="23">
        <f>(R3574-S3574)*M3574</f>
        <v/>
      </c>
      <c r="U3574" s="23">
        <f>R3574-S3574-T3574</f>
        <v/>
      </c>
      <c r="V3574" s="23">
        <f>D3574*P3574</f>
        <v/>
      </c>
      <c r="W3574" s="23">
        <f>U3574-V3574</f>
        <v/>
      </c>
      <c r="X3574" s="24">
        <f>IFERROR(W3574/U3574,0)</f>
        <v/>
      </c>
    </row>
    <row r="3575">
      <c r="A3575" s="25">
        <f>ItensPedido!A3575</f>
        <v/>
      </c>
      <c r="B3575" s="25">
        <f>ItensPedido!B3575</f>
        <v/>
      </c>
      <c r="C3575" s="25">
        <f>ItensPedido!C3575</f>
        <v/>
      </c>
      <c r="D3575" s="25">
        <f>ItensPedido!D3575</f>
        <v/>
      </c>
      <c r="E3575" s="26">
        <f>ItensPedido!E3575</f>
        <v/>
      </c>
      <c r="F3575" s="25">
        <f>IFERROR(INDEX(Pedidos!$B$2:$B$1801,MATCH(B3575,Pedidos!$A$2:$A$1801,0)),0)</f>
        <v/>
      </c>
      <c r="G3575" s="25">
        <f>IF(F3575=0,"",YEAR(F3575))</f>
        <v/>
      </c>
      <c r="H3575" s="25">
        <f>IF(F3575=0,"",MONTH(F3575))</f>
        <v/>
      </c>
      <c r="I3575" s="25">
        <f>IFERROR(INDEX(Pedidos!$E$2:$E$1801,MATCH(B3575,Pedidos!$A$2:$A$1801,0)),"")</f>
        <v/>
      </c>
      <c r="J3575" s="25">
        <f>IFERROR(INDEX(Pedidos!$C$2:$C$1801,MATCH(B3575,Pedidos!$A$2:$A$1801,0)),"")</f>
        <v/>
      </c>
      <c r="K3575" s="25">
        <f>IFERROR(INDEX(Pedidos!$D$2:$D$1801,MATCH(B3575,Pedidos!$A$2:$A$1801,0)),"")</f>
        <v/>
      </c>
      <c r="L3575" s="25">
        <f>IFERROR(INDEX(Pedidos!$F$2:$F$1801,MATCH(B3575,Pedidos!$A$2:$A$1801,0)),"")</f>
        <v/>
      </c>
      <c r="M3575" s="26">
        <f>IFERROR(INDEX(Pedidos!$G$2:$G$1801,MATCH(B3575,Pedidos!$A$2:$A$1801,0)),0)</f>
        <v/>
      </c>
      <c r="N3575" s="25">
        <f>IFERROR(INDEX(Produtos!$B$2:$B$71,MATCH(C3575,Produtos!$A$2:$A$71,0)),"")</f>
        <v/>
      </c>
      <c r="O3575" s="25">
        <f>IFERROR(INDEX(Produtos!$C$2:$C$71,MATCH(C3575,Produtos!$A$2:$A$71,0)),"")</f>
        <v/>
      </c>
      <c r="P3575" s="25">
        <f>IFERROR(INDEX(Produtos!$D$2:$D$71,MATCH(C3575,Produtos!$A$2:$A$71,0)),0)</f>
        <v/>
      </c>
      <c r="Q3575" s="25">
        <f>IFERROR(INDEX(Produtos!$E$2:$E$71,MATCH(C3575,Produtos!$A$2:$A$71,0)),0)</f>
        <v/>
      </c>
      <c r="R3575" s="27">
        <f>D3575*Q3575</f>
        <v/>
      </c>
      <c r="S3575" s="27">
        <f>R3575*E3575</f>
        <v/>
      </c>
      <c r="T3575" s="27">
        <f>(R3575-S3575)*M3575</f>
        <v/>
      </c>
      <c r="U3575" s="27">
        <f>R3575-S3575-T3575</f>
        <v/>
      </c>
      <c r="V3575" s="27">
        <f>D3575*P3575</f>
        <v/>
      </c>
      <c r="W3575" s="27">
        <f>U3575-V3575</f>
        <v/>
      </c>
      <c r="X3575" s="28">
        <f>IFERROR(W3575/U3575,0)</f>
        <v/>
      </c>
    </row>
    <row r="3576">
      <c r="A3576" s="21">
        <f>ItensPedido!A3576</f>
        <v/>
      </c>
      <c r="B3576" s="21">
        <f>ItensPedido!B3576</f>
        <v/>
      </c>
      <c r="C3576" s="21">
        <f>ItensPedido!C3576</f>
        <v/>
      </c>
      <c r="D3576" s="21">
        <f>ItensPedido!D3576</f>
        <v/>
      </c>
      <c r="E3576" s="22">
        <f>ItensPedido!E3576</f>
        <v/>
      </c>
      <c r="F3576" s="21">
        <f>IFERROR(INDEX(Pedidos!$B$2:$B$1801,MATCH(B3576,Pedidos!$A$2:$A$1801,0)),0)</f>
        <v/>
      </c>
      <c r="G3576" s="21">
        <f>IF(F3576=0,"",YEAR(F3576))</f>
        <v/>
      </c>
      <c r="H3576" s="21">
        <f>IF(F3576=0,"",MONTH(F3576))</f>
        <v/>
      </c>
      <c r="I3576" s="21">
        <f>IFERROR(INDEX(Pedidos!$E$2:$E$1801,MATCH(B3576,Pedidos!$A$2:$A$1801,0)),"")</f>
        <v/>
      </c>
      <c r="J3576" s="21">
        <f>IFERROR(INDEX(Pedidos!$C$2:$C$1801,MATCH(B3576,Pedidos!$A$2:$A$1801,0)),"")</f>
        <v/>
      </c>
      <c r="K3576" s="21">
        <f>IFERROR(INDEX(Pedidos!$D$2:$D$1801,MATCH(B3576,Pedidos!$A$2:$A$1801,0)),"")</f>
        <v/>
      </c>
      <c r="L3576" s="21">
        <f>IFERROR(INDEX(Pedidos!$F$2:$F$1801,MATCH(B3576,Pedidos!$A$2:$A$1801,0)),"")</f>
        <v/>
      </c>
      <c r="M3576" s="22">
        <f>IFERROR(INDEX(Pedidos!$G$2:$G$1801,MATCH(B3576,Pedidos!$A$2:$A$1801,0)),0)</f>
        <v/>
      </c>
      <c r="N3576" s="21">
        <f>IFERROR(INDEX(Produtos!$B$2:$B$71,MATCH(C3576,Produtos!$A$2:$A$71,0)),"")</f>
        <v/>
      </c>
      <c r="O3576" s="21">
        <f>IFERROR(INDEX(Produtos!$C$2:$C$71,MATCH(C3576,Produtos!$A$2:$A$71,0)),"")</f>
        <v/>
      </c>
      <c r="P3576" s="21">
        <f>IFERROR(INDEX(Produtos!$D$2:$D$71,MATCH(C3576,Produtos!$A$2:$A$71,0)),0)</f>
        <v/>
      </c>
      <c r="Q3576" s="21">
        <f>IFERROR(INDEX(Produtos!$E$2:$E$71,MATCH(C3576,Produtos!$A$2:$A$71,0)),0)</f>
        <v/>
      </c>
      <c r="R3576" s="23">
        <f>D3576*Q3576</f>
        <v/>
      </c>
      <c r="S3576" s="23">
        <f>R3576*E3576</f>
        <v/>
      </c>
      <c r="T3576" s="23">
        <f>(R3576-S3576)*M3576</f>
        <v/>
      </c>
      <c r="U3576" s="23">
        <f>R3576-S3576-T3576</f>
        <v/>
      </c>
      <c r="V3576" s="23">
        <f>D3576*P3576</f>
        <v/>
      </c>
      <c r="W3576" s="23">
        <f>U3576-V3576</f>
        <v/>
      </c>
      <c r="X3576" s="24">
        <f>IFERROR(W3576/U3576,0)</f>
        <v/>
      </c>
    </row>
    <row r="3577">
      <c r="A3577" s="25">
        <f>ItensPedido!A3577</f>
        <v/>
      </c>
      <c r="B3577" s="25">
        <f>ItensPedido!B3577</f>
        <v/>
      </c>
      <c r="C3577" s="25">
        <f>ItensPedido!C3577</f>
        <v/>
      </c>
      <c r="D3577" s="25">
        <f>ItensPedido!D3577</f>
        <v/>
      </c>
      <c r="E3577" s="26">
        <f>ItensPedido!E3577</f>
        <v/>
      </c>
      <c r="F3577" s="25">
        <f>IFERROR(INDEX(Pedidos!$B$2:$B$1801,MATCH(B3577,Pedidos!$A$2:$A$1801,0)),0)</f>
        <v/>
      </c>
      <c r="G3577" s="25">
        <f>IF(F3577=0,"",YEAR(F3577))</f>
        <v/>
      </c>
      <c r="H3577" s="25">
        <f>IF(F3577=0,"",MONTH(F3577))</f>
        <v/>
      </c>
      <c r="I3577" s="25">
        <f>IFERROR(INDEX(Pedidos!$E$2:$E$1801,MATCH(B3577,Pedidos!$A$2:$A$1801,0)),"")</f>
        <v/>
      </c>
      <c r="J3577" s="25">
        <f>IFERROR(INDEX(Pedidos!$C$2:$C$1801,MATCH(B3577,Pedidos!$A$2:$A$1801,0)),"")</f>
        <v/>
      </c>
      <c r="K3577" s="25">
        <f>IFERROR(INDEX(Pedidos!$D$2:$D$1801,MATCH(B3577,Pedidos!$A$2:$A$1801,0)),"")</f>
        <v/>
      </c>
      <c r="L3577" s="25">
        <f>IFERROR(INDEX(Pedidos!$F$2:$F$1801,MATCH(B3577,Pedidos!$A$2:$A$1801,0)),"")</f>
        <v/>
      </c>
      <c r="M3577" s="26">
        <f>IFERROR(INDEX(Pedidos!$G$2:$G$1801,MATCH(B3577,Pedidos!$A$2:$A$1801,0)),0)</f>
        <v/>
      </c>
      <c r="N3577" s="25">
        <f>IFERROR(INDEX(Produtos!$B$2:$B$71,MATCH(C3577,Produtos!$A$2:$A$71,0)),"")</f>
        <v/>
      </c>
      <c r="O3577" s="25">
        <f>IFERROR(INDEX(Produtos!$C$2:$C$71,MATCH(C3577,Produtos!$A$2:$A$71,0)),"")</f>
        <v/>
      </c>
      <c r="P3577" s="25">
        <f>IFERROR(INDEX(Produtos!$D$2:$D$71,MATCH(C3577,Produtos!$A$2:$A$71,0)),0)</f>
        <v/>
      </c>
      <c r="Q3577" s="25">
        <f>IFERROR(INDEX(Produtos!$E$2:$E$71,MATCH(C3577,Produtos!$A$2:$A$71,0)),0)</f>
        <v/>
      </c>
      <c r="R3577" s="27">
        <f>D3577*Q3577</f>
        <v/>
      </c>
      <c r="S3577" s="27">
        <f>R3577*E3577</f>
        <v/>
      </c>
      <c r="T3577" s="27">
        <f>(R3577-S3577)*M3577</f>
        <v/>
      </c>
      <c r="U3577" s="27">
        <f>R3577-S3577-T3577</f>
        <v/>
      </c>
      <c r="V3577" s="27">
        <f>D3577*P3577</f>
        <v/>
      </c>
      <c r="W3577" s="27">
        <f>U3577-V3577</f>
        <v/>
      </c>
      <c r="X3577" s="28">
        <f>IFERROR(W3577/U3577,0)</f>
        <v/>
      </c>
    </row>
    <row r="3578">
      <c r="A3578" s="21">
        <f>ItensPedido!A3578</f>
        <v/>
      </c>
      <c r="B3578" s="21">
        <f>ItensPedido!B3578</f>
        <v/>
      </c>
      <c r="C3578" s="21">
        <f>ItensPedido!C3578</f>
        <v/>
      </c>
      <c r="D3578" s="21">
        <f>ItensPedido!D3578</f>
        <v/>
      </c>
      <c r="E3578" s="22">
        <f>ItensPedido!E3578</f>
        <v/>
      </c>
      <c r="F3578" s="21">
        <f>IFERROR(INDEX(Pedidos!$B$2:$B$1801,MATCH(B3578,Pedidos!$A$2:$A$1801,0)),0)</f>
        <v/>
      </c>
      <c r="G3578" s="21">
        <f>IF(F3578=0,"",YEAR(F3578))</f>
        <v/>
      </c>
      <c r="H3578" s="21">
        <f>IF(F3578=0,"",MONTH(F3578))</f>
        <v/>
      </c>
      <c r="I3578" s="21">
        <f>IFERROR(INDEX(Pedidos!$E$2:$E$1801,MATCH(B3578,Pedidos!$A$2:$A$1801,0)),"")</f>
        <v/>
      </c>
      <c r="J3578" s="21">
        <f>IFERROR(INDEX(Pedidos!$C$2:$C$1801,MATCH(B3578,Pedidos!$A$2:$A$1801,0)),"")</f>
        <v/>
      </c>
      <c r="K3578" s="21">
        <f>IFERROR(INDEX(Pedidos!$D$2:$D$1801,MATCH(B3578,Pedidos!$A$2:$A$1801,0)),"")</f>
        <v/>
      </c>
      <c r="L3578" s="21">
        <f>IFERROR(INDEX(Pedidos!$F$2:$F$1801,MATCH(B3578,Pedidos!$A$2:$A$1801,0)),"")</f>
        <v/>
      </c>
      <c r="M3578" s="22">
        <f>IFERROR(INDEX(Pedidos!$G$2:$G$1801,MATCH(B3578,Pedidos!$A$2:$A$1801,0)),0)</f>
        <v/>
      </c>
      <c r="N3578" s="21">
        <f>IFERROR(INDEX(Produtos!$B$2:$B$71,MATCH(C3578,Produtos!$A$2:$A$71,0)),"")</f>
        <v/>
      </c>
      <c r="O3578" s="21">
        <f>IFERROR(INDEX(Produtos!$C$2:$C$71,MATCH(C3578,Produtos!$A$2:$A$71,0)),"")</f>
        <v/>
      </c>
      <c r="P3578" s="21">
        <f>IFERROR(INDEX(Produtos!$D$2:$D$71,MATCH(C3578,Produtos!$A$2:$A$71,0)),0)</f>
        <v/>
      </c>
      <c r="Q3578" s="21">
        <f>IFERROR(INDEX(Produtos!$E$2:$E$71,MATCH(C3578,Produtos!$A$2:$A$71,0)),0)</f>
        <v/>
      </c>
      <c r="R3578" s="23">
        <f>D3578*Q3578</f>
        <v/>
      </c>
      <c r="S3578" s="23">
        <f>R3578*E3578</f>
        <v/>
      </c>
      <c r="T3578" s="23">
        <f>(R3578-S3578)*M3578</f>
        <v/>
      </c>
      <c r="U3578" s="23">
        <f>R3578-S3578-T3578</f>
        <v/>
      </c>
      <c r="V3578" s="23">
        <f>D3578*P3578</f>
        <v/>
      </c>
      <c r="W3578" s="23">
        <f>U3578-V3578</f>
        <v/>
      </c>
      <c r="X3578" s="24">
        <f>IFERROR(W3578/U3578,0)</f>
        <v/>
      </c>
    </row>
    <row r="3579">
      <c r="A3579" s="25">
        <f>ItensPedido!A3579</f>
        <v/>
      </c>
      <c r="B3579" s="25">
        <f>ItensPedido!B3579</f>
        <v/>
      </c>
      <c r="C3579" s="25">
        <f>ItensPedido!C3579</f>
        <v/>
      </c>
      <c r="D3579" s="25">
        <f>ItensPedido!D3579</f>
        <v/>
      </c>
      <c r="E3579" s="26">
        <f>ItensPedido!E3579</f>
        <v/>
      </c>
      <c r="F3579" s="25">
        <f>IFERROR(INDEX(Pedidos!$B$2:$B$1801,MATCH(B3579,Pedidos!$A$2:$A$1801,0)),0)</f>
        <v/>
      </c>
      <c r="G3579" s="25">
        <f>IF(F3579=0,"",YEAR(F3579))</f>
        <v/>
      </c>
      <c r="H3579" s="25">
        <f>IF(F3579=0,"",MONTH(F3579))</f>
        <v/>
      </c>
      <c r="I3579" s="25">
        <f>IFERROR(INDEX(Pedidos!$E$2:$E$1801,MATCH(B3579,Pedidos!$A$2:$A$1801,0)),"")</f>
        <v/>
      </c>
      <c r="J3579" s="25">
        <f>IFERROR(INDEX(Pedidos!$C$2:$C$1801,MATCH(B3579,Pedidos!$A$2:$A$1801,0)),"")</f>
        <v/>
      </c>
      <c r="K3579" s="25">
        <f>IFERROR(INDEX(Pedidos!$D$2:$D$1801,MATCH(B3579,Pedidos!$A$2:$A$1801,0)),"")</f>
        <v/>
      </c>
      <c r="L3579" s="25">
        <f>IFERROR(INDEX(Pedidos!$F$2:$F$1801,MATCH(B3579,Pedidos!$A$2:$A$1801,0)),"")</f>
        <v/>
      </c>
      <c r="M3579" s="26">
        <f>IFERROR(INDEX(Pedidos!$G$2:$G$1801,MATCH(B3579,Pedidos!$A$2:$A$1801,0)),0)</f>
        <v/>
      </c>
      <c r="N3579" s="25">
        <f>IFERROR(INDEX(Produtos!$B$2:$B$71,MATCH(C3579,Produtos!$A$2:$A$71,0)),"")</f>
        <v/>
      </c>
      <c r="O3579" s="25">
        <f>IFERROR(INDEX(Produtos!$C$2:$C$71,MATCH(C3579,Produtos!$A$2:$A$71,0)),"")</f>
        <v/>
      </c>
      <c r="P3579" s="25">
        <f>IFERROR(INDEX(Produtos!$D$2:$D$71,MATCH(C3579,Produtos!$A$2:$A$71,0)),0)</f>
        <v/>
      </c>
      <c r="Q3579" s="25">
        <f>IFERROR(INDEX(Produtos!$E$2:$E$71,MATCH(C3579,Produtos!$A$2:$A$71,0)),0)</f>
        <v/>
      </c>
      <c r="R3579" s="27">
        <f>D3579*Q3579</f>
        <v/>
      </c>
      <c r="S3579" s="27">
        <f>R3579*E3579</f>
        <v/>
      </c>
      <c r="T3579" s="27">
        <f>(R3579-S3579)*M3579</f>
        <v/>
      </c>
      <c r="U3579" s="27">
        <f>R3579-S3579-T3579</f>
        <v/>
      </c>
      <c r="V3579" s="27">
        <f>D3579*P3579</f>
        <v/>
      </c>
      <c r="W3579" s="27">
        <f>U3579-V3579</f>
        <v/>
      </c>
      <c r="X3579" s="28">
        <f>IFERROR(W3579/U3579,0)</f>
        <v/>
      </c>
    </row>
    <row r="3580">
      <c r="A3580" s="21">
        <f>ItensPedido!A3580</f>
        <v/>
      </c>
      <c r="B3580" s="21">
        <f>ItensPedido!B3580</f>
        <v/>
      </c>
      <c r="C3580" s="21">
        <f>ItensPedido!C3580</f>
        <v/>
      </c>
      <c r="D3580" s="21">
        <f>ItensPedido!D3580</f>
        <v/>
      </c>
      <c r="E3580" s="22">
        <f>ItensPedido!E3580</f>
        <v/>
      </c>
      <c r="F3580" s="21">
        <f>IFERROR(INDEX(Pedidos!$B$2:$B$1801,MATCH(B3580,Pedidos!$A$2:$A$1801,0)),0)</f>
        <v/>
      </c>
      <c r="G3580" s="21">
        <f>IF(F3580=0,"",YEAR(F3580))</f>
        <v/>
      </c>
      <c r="H3580" s="21">
        <f>IF(F3580=0,"",MONTH(F3580))</f>
        <v/>
      </c>
      <c r="I3580" s="21">
        <f>IFERROR(INDEX(Pedidos!$E$2:$E$1801,MATCH(B3580,Pedidos!$A$2:$A$1801,0)),"")</f>
        <v/>
      </c>
      <c r="J3580" s="21">
        <f>IFERROR(INDEX(Pedidos!$C$2:$C$1801,MATCH(B3580,Pedidos!$A$2:$A$1801,0)),"")</f>
        <v/>
      </c>
      <c r="K3580" s="21">
        <f>IFERROR(INDEX(Pedidos!$D$2:$D$1801,MATCH(B3580,Pedidos!$A$2:$A$1801,0)),"")</f>
        <v/>
      </c>
      <c r="L3580" s="21">
        <f>IFERROR(INDEX(Pedidos!$F$2:$F$1801,MATCH(B3580,Pedidos!$A$2:$A$1801,0)),"")</f>
        <v/>
      </c>
      <c r="M3580" s="22">
        <f>IFERROR(INDEX(Pedidos!$G$2:$G$1801,MATCH(B3580,Pedidos!$A$2:$A$1801,0)),0)</f>
        <v/>
      </c>
      <c r="N3580" s="21">
        <f>IFERROR(INDEX(Produtos!$B$2:$B$71,MATCH(C3580,Produtos!$A$2:$A$71,0)),"")</f>
        <v/>
      </c>
      <c r="O3580" s="21">
        <f>IFERROR(INDEX(Produtos!$C$2:$C$71,MATCH(C3580,Produtos!$A$2:$A$71,0)),"")</f>
        <v/>
      </c>
      <c r="P3580" s="21">
        <f>IFERROR(INDEX(Produtos!$D$2:$D$71,MATCH(C3580,Produtos!$A$2:$A$71,0)),0)</f>
        <v/>
      </c>
      <c r="Q3580" s="21">
        <f>IFERROR(INDEX(Produtos!$E$2:$E$71,MATCH(C3580,Produtos!$A$2:$A$71,0)),0)</f>
        <v/>
      </c>
      <c r="R3580" s="23">
        <f>D3580*Q3580</f>
        <v/>
      </c>
      <c r="S3580" s="23">
        <f>R3580*E3580</f>
        <v/>
      </c>
      <c r="T3580" s="23">
        <f>(R3580-S3580)*M3580</f>
        <v/>
      </c>
      <c r="U3580" s="23">
        <f>R3580-S3580-T3580</f>
        <v/>
      </c>
      <c r="V3580" s="23">
        <f>D3580*P3580</f>
        <v/>
      </c>
      <c r="W3580" s="23">
        <f>U3580-V3580</f>
        <v/>
      </c>
      <c r="X3580" s="24">
        <f>IFERROR(W3580/U3580,0)</f>
        <v/>
      </c>
    </row>
    <row r="3581">
      <c r="A3581" s="25">
        <f>ItensPedido!A3581</f>
        <v/>
      </c>
      <c r="B3581" s="25">
        <f>ItensPedido!B3581</f>
        <v/>
      </c>
      <c r="C3581" s="25">
        <f>ItensPedido!C3581</f>
        <v/>
      </c>
      <c r="D3581" s="25">
        <f>ItensPedido!D3581</f>
        <v/>
      </c>
      <c r="E3581" s="26">
        <f>ItensPedido!E3581</f>
        <v/>
      </c>
      <c r="F3581" s="25">
        <f>IFERROR(INDEX(Pedidos!$B$2:$B$1801,MATCH(B3581,Pedidos!$A$2:$A$1801,0)),0)</f>
        <v/>
      </c>
      <c r="G3581" s="25">
        <f>IF(F3581=0,"",YEAR(F3581))</f>
        <v/>
      </c>
      <c r="H3581" s="25">
        <f>IF(F3581=0,"",MONTH(F3581))</f>
        <v/>
      </c>
      <c r="I3581" s="25">
        <f>IFERROR(INDEX(Pedidos!$E$2:$E$1801,MATCH(B3581,Pedidos!$A$2:$A$1801,0)),"")</f>
        <v/>
      </c>
      <c r="J3581" s="25">
        <f>IFERROR(INDEX(Pedidos!$C$2:$C$1801,MATCH(B3581,Pedidos!$A$2:$A$1801,0)),"")</f>
        <v/>
      </c>
      <c r="K3581" s="25">
        <f>IFERROR(INDEX(Pedidos!$D$2:$D$1801,MATCH(B3581,Pedidos!$A$2:$A$1801,0)),"")</f>
        <v/>
      </c>
      <c r="L3581" s="25">
        <f>IFERROR(INDEX(Pedidos!$F$2:$F$1801,MATCH(B3581,Pedidos!$A$2:$A$1801,0)),"")</f>
        <v/>
      </c>
      <c r="M3581" s="26">
        <f>IFERROR(INDEX(Pedidos!$G$2:$G$1801,MATCH(B3581,Pedidos!$A$2:$A$1801,0)),0)</f>
        <v/>
      </c>
      <c r="N3581" s="25">
        <f>IFERROR(INDEX(Produtos!$B$2:$B$71,MATCH(C3581,Produtos!$A$2:$A$71,0)),"")</f>
        <v/>
      </c>
      <c r="O3581" s="25">
        <f>IFERROR(INDEX(Produtos!$C$2:$C$71,MATCH(C3581,Produtos!$A$2:$A$71,0)),"")</f>
        <v/>
      </c>
      <c r="P3581" s="25">
        <f>IFERROR(INDEX(Produtos!$D$2:$D$71,MATCH(C3581,Produtos!$A$2:$A$71,0)),0)</f>
        <v/>
      </c>
      <c r="Q3581" s="25">
        <f>IFERROR(INDEX(Produtos!$E$2:$E$71,MATCH(C3581,Produtos!$A$2:$A$71,0)),0)</f>
        <v/>
      </c>
      <c r="R3581" s="27">
        <f>D3581*Q3581</f>
        <v/>
      </c>
      <c r="S3581" s="27">
        <f>R3581*E3581</f>
        <v/>
      </c>
      <c r="T3581" s="27">
        <f>(R3581-S3581)*M3581</f>
        <v/>
      </c>
      <c r="U3581" s="27">
        <f>R3581-S3581-T3581</f>
        <v/>
      </c>
      <c r="V3581" s="27">
        <f>D3581*P3581</f>
        <v/>
      </c>
      <c r="W3581" s="27">
        <f>U3581-V3581</f>
        <v/>
      </c>
      <c r="X3581" s="28">
        <f>IFERROR(W3581/U3581,0)</f>
        <v/>
      </c>
    </row>
    <row r="3582">
      <c r="A3582" s="21">
        <f>ItensPedido!A3582</f>
        <v/>
      </c>
      <c r="B3582" s="21">
        <f>ItensPedido!B3582</f>
        <v/>
      </c>
      <c r="C3582" s="21">
        <f>ItensPedido!C3582</f>
        <v/>
      </c>
      <c r="D3582" s="21">
        <f>ItensPedido!D3582</f>
        <v/>
      </c>
      <c r="E3582" s="22">
        <f>ItensPedido!E3582</f>
        <v/>
      </c>
      <c r="F3582" s="21">
        <f>IFERROR(INDEX(Pedidos!$B$2:$B$1801,MATCH(B3582,Pedidos!$A$2:$A$1801,0)),0)</f>
        <v/>
      </c>
      <c r="G3582" s="21">
        <f>IF(F3582=0,"",YEAR(F3582))</f>
        <v/>
      </c>
      <c r="H3582" s="21">
        <f>IF(F3582=0,"",MONTH(F3582))</f>
        <v/>
      </c>
      <c r="I3582" s="21">
        <f>IFERROR(INDEX(Pedidos!$E$2:$E$1801,MATCH(B3582,Pedidos!$A$2:$A$1801,0)),"")</f>
        <v/>
      </c>
      <c r="J3582" s="21">
        <f>IFERROR(INDEX(Pedidos!$C$2:$C$1801,MATCH(B3582,Pedidos!$A$2:$A$1801,0)),"")</f>
        <v/>
      </c>
      <c r="K3582" s="21">
        <f>IFERROR(INDEX(Pedidos!$D$2:$D$1801,MATCH(B3582,Pedidos!$A$2:$A$1801,0)),"")</f>
        <v/>
      </c>
      <c r="L3582" s="21">
        <f>IFERROR(INDEX(Pedidos!$F$2:$F$1801,MATCH(B3582,Pedidos!$A$2:$A$1801,0)),"")</f>
        <v/>
      </c>
      <c r="M3582" s="22">
        <f>IFERROR(INDEX(Pedidos!$G$2:$G$1801,MATCH(B3582,Pedidos!$A$2:$A$1801,0)),0)</f>
        <v/>
      </c>
      <c r="N3582" s="21">
        <f>IFERROR(INDEX(Produtos!$B$2:$B$71,MATCH(C3582,Produtos!$A$2:$A$71,0)),"")</f>
        <v/>
      </c>
      <c r="O3582" s="21">
        <f>IFERROR(INDEX(Produtos!$C$2:$C$71,MATCH(C3582,Produtos!$A$2:$A$71,0)),"")</f>
        <v/>
      </c>
      <c r="P3582" s="21">
        <f>IFERROR(INDEX(Produtos!$D$2:$D$71,MATCH(C3582,Produtos!$A$2:$A$71,0)),0)</f>
        <v/>
      </c>
      <c r="Q3582" s="21">
        <f>IFERROR(INDEX(Produtos!$E$2:$E$71,MATCH(C3582,Produtos!$A$2:$A$71,0)),0)</f>
        <v/>
      </c>
      <c r="R3582" s="23">
        <f>D3582*Q3582</f>
        <v/>
      </c>
      <c r="S3582" s="23">
        <f>R3582*E3582</f>
        <v/>
      </c>
      <c r="T3582" s="23">
        <f>(R3582-S3582)*M3582</f>
        <v/>
      </c>
      <c r="U3582" s="23">
        <f>R3582-S3582-T3582</f>
        <v/>
      </c>
      <c r="V3582" s="23">
        <f>D3582*P3582</f>
        <v/>
      </c>
      <c r="W3582" s="23">
        <f>U3582-V3582</f>
        <v/>
      </c>
      <c r="X3582" s="24">
        <f>IFERROR(W3582/U3582,0)</f>
        <v/>
      </c>
    </row>
    <row r="3583">
      <c r="A3583" s="25">
        <f>ItensPedido!A3583</f>
        <v/>
      </c>
      <c r="B3583" s="25">
        <f>ItensPedido!B3583</f>
        <v/>
      </c>
      <c r="C3583" s="25">
        <f>ItensPedido!C3583</f>
        <v/>
      </c>
      <c r="D3583" s="25">
        <f>ItensPedido!D3583</f>
        <v/>
      </c>
      <c r="E3583" s="26">
        <f>ItensPedido!E3583</f>
        <v/>
      </c>
      <c r="F3583" s="25">
        <f>IFERROR(INDEX(Pedidos!$B$2:$B$1801,MATCH(B3583,Pedidos!$A$2:$A$1801,0)),0)</f>
        <v/>
      </c>
      <c r="G3583" s="25">
        <f>IF(F3583=0,"",YEAR(F3583))</f>
        <v/>
      </c>
      <c r="H3583" s="25">
        <f>IF(F3583=0,"",MONTH(F3583))</f>
        <v/>
      </c>
      <c r="I3583" s="25">
        <f>IFERROR(INDEX(Pedidos!$E$2:$E$1801,MATCH(B3583,Pedidos!$A$2:$A$1801,0)),"")</f>
        <v/>
      </c>
      <c r="J3583" s="25">
        <f>IFERROR(INDEX(Pedidos!$C$2:$C$1801,MATCH(B3583,Pedidos!$A$2:$A$1801,0)),"")</f>
        <v/>
      </c>
      <c r="K3583" s="25">
        <f>IFERROR(INDEX(Pedidos!$D$2:$D$1801,MATCH(B3583,Pedidos!$A$2:$A$1801,0)),"")</f>
        <v/>
      </c>
      <c r="L3583" s="25">
        <f>IFERROR(INDEX(Pedidos!$F$2:$F$1801,MATCH(B3583,Pedidos!$A$2:$A$1801,0)),"")</f>
        <v/>
      </c>
      <c r="M3583" s="26">
        <f>IFERROR(INDEX(Pedidos!$G$2:$G$1801,MATCH(B3583,Pedidos!$A$2:$A$1801,0)),0)</f>
        <v/>
      </c>
      <c r="N3583" s="25">
        <f>IFERROR(INDEX(Produtos!$B$2:$B$71,MATCH(C3583,Produtos!$A$2:$A$71,0)),"")</f>
        <v/>
      </c>
      <c r="O3583" s="25">
        <f>IFERROR(INDEX(Produtos!$C$2:$C$71,MATCH(C3583,Produtos!$A$2:$A$71,0)),"")</f>
        <v/>
      </c>
      <c r="P3583" s="25">
        <f>IFERROR(INDEX(Produtos!$D$2:$D$71,MATCH(C3583,Produtos!$A$2:$A$71,0)),0)</f>
        <v/>
      </c>
      <c r="Q3583" s="25">
        <f>IFERROR(INDEX(Produtos!$E$2:$E$71,MATCH(C3583,Produtos!$A$2:$A$71,0)),0)</f>
        <v/>
      </c>
      <c r="R3583" s="27">
        <f>D3583*Q3583</f>
        <v/>
      </c>
      <c r="S3583" s="27">
        <f>R3583*E3583</f>
        <v/>
      </c>
      <c r="T3583" s="27">
        <f>(R3583-S3583)*M3583</f>
        <v/>
      </c>
      <c r="U3583" s="27">
        <f>R3583-S3583-T3583</f>
        <v/>
      </c>
      <c r="V3583" s="27">
        <f>D3583*P3583</f>
        <v/>
      </c>
      <c r="W3583" s="27">
        <f>U3583-V3583</f>
        <v/>
      </c>
      <c r="X3583" s="28">
        <f>IFERROR(W3583/U3583,0)</f>
        <v/>
      </c>
    </row>
    <row r="3584">
      <c r="A3584" s="21">
        <f>ItensPedido!A3584</f>
        <v/>
      </c>
      <c r="B3584" s="21">
        <f>ItensPedido!B3584</f>
        <v/>
      </c>
      <c r="C3584" s="21">
        <f>ItensPedido!C3584</f>
        <v/>
      </c>
      <c r="D3584" s="21">
        <f>ItensPedido!D3584</f>
        <v/>
      </c>
      <c r="E3584" s="22">
        <f>ItensPedido!E3584</f>
        <v/>
      </c>
      <c r="F3584" s="21">
        <f>IFERROR(INDEX(Pedidos!$B$2:$B$1801,MATCH(B3584,Pedidos!$A$2:$A$1801,0)),0)</f>
        <v/>
      </c>
      <c r="G3584" s="21">
        <f>IF(F3584=0,"",YEAR(F3584))</f>
        <v/>
      </c>
      <c r="H3584" s="21">
        <f>IF(F3584=0,"",MONTH(F3584))</f>
        <v/>
      </c>
      <c r="I3584" s="21">
        <f>IFERROR(INDEX(Pedidos!$E$2:$E$1801,MATCH(B3584,Pedidos!$A$2:$A$1801,0)),"")</f>
        <v/>
      </c>
      <c r="J3584" s="21">
        <f>IFERROR(INDEX(Pedidos!$C$2:$C$1801,MATCH(B3584,Pedidos!$A$2:$A$1801,0)),"")</f>
        <v/>
      </c>
      <c r="K3584" s="21">
        <f>IFERROR(INDEX(Pedidos!$D$2:$D$1801,MATCH(B3584,Pedidos!$A$2:$A$1801,0)),"")</f>
        <v/>
      </c>
      <c r="L3584" s="21">
        <f>IFERROR(INDEX(Pedidos!$F$2:$F$1801,MATCH(B3584,Pedidos!$A$2:$A$1801,0)),"")</f>
        <v/>
      </c>
      <c r="M3584" s="22">
        <f>IFERROR(INDEX(Pedidos!$G$2:$G$1801,MATCH(B3584,Pedidos!$A$2:$A$1801,0)),0)</f>
        <v/>
      </c>
      <c r="N3584" s="21">
        <f>IFERROR(INDEX(Produtos!$B$2:$B$71,MATCH(C3584,Produtos!$A$2:$A$71,0)),"")</f>
        <v/>
      </c>
      <c r="O3584" s="21">
        <f>IFERROR(INDEX(Produtos!$C$2:$C$71,MATCH(C3584,Produtos!$A$2:$A$71,0)),"")</f>
        <v/>
      </c>
      <c r="P3584" s="21">
        <f>IFERROR(INDEX(Produtos!$D$2:$D$71,MATCH(C3584,Produtos!$A$2:$A$71,0)),0)</f>
        <v/>
      </c>
      <c r="Q3584" s="21">
        <f>IFERROR(INDEX(Produtos!$E$2:$E$71,MATCH(C3584,Produtos!$A$2:$A$71,0)),0)</f>
        <v/>
      </c>
      <c r="R3584" s="23">
        <f>D3584*Q3584</f>
        <v/>
      </c>
      <c r="S3584" s="23">
        <f>R3584*E3584</f>
        <v/>
      </c>
      <c r="T3584" s="23">
        <f>(R3584-S3584)*M3584</f>
        <v/>
      </c>
      <c r="U3584" s="23">
        <f>R3584-S3584-T3584</f>
        <v/>
      </c>
      <c r="V3584" s="23">
        <f>D3584*P3584</f>
        <v/>
      </c>
      <c r="W3584" s="23">
        <f>U3584-V3584</f>
        <v/>
      </c>
      <c r="X3584" s="24">
        <f>IFERROR(W3584/U3584,0)</f>
        <v/>
      </c>
    </row>
    <row r="3585">
      <c r="A3585" s="25">
        <f>ItensPedido!A3585</f>
        <v/>
      </c>
      <c r="B3585" s="25">
        <f>ItensPedido!B3585</f>
        <v/>
      </c>
      <c r="C3585" s="25">
        <f>ItensPedido!C3585</f>
        <v/>
      </c>
      <c r="D3585" s="25">
        <f>ItensPedido!D3585</f>
        <v/>
      </c>
      <c r="E3585" s="26">
        <f>ItensPedido!E3585</f>
        <v/>
      </c>
      <c r="F3585" s="25">
        <f>IFERROR(INDEX(Pedidos!$B$2:$B$1801,MATCH(B3585,Pedidos!$A$2:$A$1801,0)),0)</f>
        <v/>
      </c>
      <c r="G3585" s="25">
        <f>IF(F3585=0,"",YEAR(F3585))</f>
        <v/>
      </c>
      <c r="H3585" s="25">
        <f>IF(F3585=0,"",MONTH(F3585))</f>
        <v/>
      </c>
      <c r="I3585" s="25">
        <f>IFERROR(INDEX(Pedidos!$E$2:$E$1801,MATCH(B3585,Pedidos!$A$2:$A$1801,0)),"")</f>
        <v/>
      </c>
      <c r="J3585" s="25">
        <f>IFERROR(INDEX(Pedidos!$C$2:$C$1801,MATCH(B3585,Pedidos!$A$2:$A$1801,0)),"")</f>
        <v/>
      </c>
      <c r="K3585" s="25">
        <f>IFERROR(INDEX(Pedidos!$D$2:$D$1801,MATCH(B3585,Pedidos!$A$2:$A$1801,0)),"")</f>
        <v/>
      </c>
      <c r="L3585" s="25">
        <f>IFERROR(INDEX(Pedidos!$F$2:$F$1801,MATCH(B3585,Pedidos!$A$2:$A$1801,0)),"")</f>
        <v/>
      </c>
      <c r="M3585" s="26">
        <f>IFERROR(INDEX(Pedidos!$G$2:$G$1801,MATCH(B3585,Pedidos!$A$2:$A$1801,0)),0)</f>
        <v/>
      </c>
      <c r="N3585" s="25">
        <f>IFERROR(INDEX(Produtos!$B$2:$B$71,MATCH(C3585,Produtos!$A$2:$A$71,0)),"")</f>
        <v/>
      </c>
      <c r="O3585" s="25">
        <f>IFERROR(INDEX(Produtos!$C$2:$C$71,MATCH(C3585,Produtos!$A$2:$A$71,0)),"")</f>
        <v/>
      </c>
      <c r="P3585" s="25">
        <f>IFERROR(INDEX(Produtos!$D$2:$D$71,MATCH(C3585,Produtos!$A$2:$A$71,0)),0)</f>
        <v/>
      </c>
      <c r="Q3585" s="25">
        <f>IFERROR(INDEX(Produtos!$E$2:$E$71,MATCH(C3585,Produtos!$A$2:$A$71,0)),0)</f>
        <v/>
      </c>
      <c r="R3585" s="27">
        <f>D3585*Q3585</f>
        <v/>
      </c>
      <c r="S3585" s="27">
        <f>R3585*E3585</f>
        <v/>
      </c>
      <c r="T3585" s="27">
        <f>(R3585-S3585)*M3585</f>
        <v/>
      </c>
      <c r="U3585" s="27">
        <f>R3585-S3585-T3585</f>
        <v/>
      </c>
      <c r="V3585" s="27">
        <f>D3585*P3585</f>
        <v/>
      </c>
      <c r="W3585" s="27">
        <f>U3585-V3585</f>
        <v/>
      </c>
      <c r="X3585" s="28">
        <f>IFERROR(W3585/U3585,0)</f>
        <v/>
      </c>
    </row>
    <row r="3586">
      <c r="A3586" s="21">
        <f>ItensPedido!A3586</f>
        <v/>
      </c>
      <c r="B3586" s="21">
        <f>ItensPedido!B3586</f>
        <v/>
      </c>
      <c r="C3586" s="21">
        <f>ItensPedido!C3586</f>
        <v/>
      </c>
      <c r="D3586" s="21">
        <f>ItensPedido!D3586</f>
        <v/>
      </c>
      <c r="E3586" s="22">
        <f>ItensPedido!E3586</f>
        <v/>
      </c>
      <c r="F3586" s="21">
        <f>IFERROR(INDEX(Pedidos!$B$2:$B$1801,MATCH(B3586,Pedidos!$A$2:$A$1801,0)),0)</f>
        <v/>
      </c>
      <c r="G3586" s="21">
        <f>IF(F3586=0,"",YEAR(F3586))</f>
        <v/>
      </c>
      <c r="H3586" s="21">
        <f>IF(F3586=0,"",MONTH(F3586))</f>
        <v/>
      </c>
      <c r="I3586" s="21">
        <f>IFERROR(INDEX(Pedidos!$E$2:$E$1801,MATCH(B3586,Pedidos!$A$2:$A$1801,0)),"")</f>
        <v/>
      </c>
      <c r="J3586" s="21">
        <f>IFERROR(INDEX(Pedidos!$C$2:$C$1801,MATCH(B3586,Pedidos!$A$2:$A$1801,0)),"")</f>
        <v/>
      </c>
      <c r="K3586" s="21">
        <f>IFERROR(INDEX(Pedidos!$D$2:$D$1801,MATCH(B3586,Pedidos!$A$2:$A$1801,0)),"")</f>
        <v/>
      </c>
      <c r="L3586" s="21">
        <f>IFERROR(INDEX(Pedidos!$F$2:$F$1801,MATCH(B3586,Pedidos!$A$2:$A$1801,0)),"")</f>
        <v/>
      </c>
      <c r="M3586" s="22">
        <f>IFERROR(INDEX(Pedidos!$G$2:$G$1801,MATCH(B3586,Pedidos!$A$2:$A$1801,0)),0)</f>
        <v/>
      </c>
      <c r="N3586" s="21">
        <f>IFERROR(INDEX(Produtos!$B$2:$B$71,MATCH(C3586,Produtos!$A$2:$A$71,0)),"")</f>
        <v/>
      </c>
      <c r="O3586" s="21">
        <f>IFERROR(INDEX(Produtos!$C$2:$C$71,MATCH(C3586,Produtos!$A$2:$A$71,0)),"")</f>
        <v/>
      </c>
      <c r="P3586" s="21">
        <f>IFERROR(INDEX(Produtos!$D$2:$D$71,MATCH(C3586,Produtos!$A$2:$A$71,0)),0)</f>
        <v/>
      </c>
      <c r="Q3586" s="21">
        <f>IFERROR(INDEX(Produtos!$E$2:$E$71,MATCH(C3586,Produtos!$A$2:$A$71,0)),0)</f>
        <v/>
      </c>
      <c r="R3586" s="23">
        <f>D3586*Q3586</f>
        <v/>
      </c>
      <c r="S3586" s="23">
        <f>R3586*E3586</f>
        <v/>
      </c>
      <c r="T3586" s="23">
        <f>(R3586-S3586)*M3586</f>
        <v/>
      </c>
      <c r="U3586" s="23">
        <f>R3586-S3586-T3586</f>
        <v/>
      </c>
      <c r="V3586" s="23">
        <f>D3586*P3586</f>
        <v/>
      </c>
      <c r="W3586" s="23">
        <f>U3586-V3586</f>
        <v/>
      </c>
      <c r="X3586" s="24">
        <f>IFERROR(W3586/U3586,0)</f>
        <v/>
      </c>
    </row>
    <row r="3587">
      <c r="A3587" s="25">
        <f>ItensPedido!A3587</f>
        <v/>
      </c>
      <c r="B3587" s="25">
        <f>ItensPedido!B3587</f>
        <v/>
      </c>
      <c r="C3587" s="25">
        <f>ItensPedido!C3587</f>
        <v/>
      </c>
      <c r="D3587" s="25">
        <f>ItensPedido!D3587</f>
        <v/>
      </c>
      <c r="E3587" s="26">
        <f>ItensPedido!E3587</f>
        <v/>
      </c>
      <c r="F3587" s="25">
        <f>IFERROR(INDEX(Pedidos!$B$2:$B$1801,MATCH(B3587,Pedidos!$A$2:$A$1801,0)),0)</f>
        <v/>
      </c>
      <c r="G3587" s="25">
        <f>IF(F3587=0,"",YEAR(F3587))</f>
        <v/>
      </c>
      <c r="H3587" s="25">
        <f>IF(F3587=0,"",MONTH(F3587))</f>
        <v/>
      </c>
      <c r="I3587" s="25">
        <f>IFERROR(INDEX(Pedidos!$E$2:$E$1801,MATCH(B3587,Pedidos!$A$2:$A$1801,0)),"")</f>
        <v/>
      </c>
      <c r="J3587" s="25">
        <f>IFERROR(INDEX(Pedidos!$C$2:$C$1801,MATCH(B3587,Pedidos!$A$2:$A$1801,0)),"")</f>
        <v/>
      </c>
      <c r="K3587" s="25">
        <f>IFERROR(INDEX(Pedidos!$D$2:$D$1801,MATCH(B3587,Pedidos!$A$2:$A$1801,0)),"")</f>
        <v/>
      </c>
      <c r="L3587" s="25">
        <f>IFERROR(INDEX(Pedidos!$F$2:$F$1801,MATCH(B3587,Pedidos!$A$2:$A$1801,0)),"")</f>
        <v/>
      </c>
      <c r="M3587" s="26">
        <f>IFERROR(INDEX(Pedidos!$G$2:$G$1801,MATCH(B3587,Pedidos!$A$2:$A$1801,0)),0)</f>
        <v/>
      </c>
      <c r="N3587" s="25">
        <f>IFERROR(INDEX(Produtos!$B$2:$B$71,MATCH(C3587,Produtos!$A$2:$A$71,0)),"")</f>
        <v/>
      </c>
      <c r="O3587" s="25">
        <f>IFERROR(INDEX(Produtos!$C$2:$C$71,MATCH(C3587,Produtos!$A$2:$A$71,0)),"")</f>
        <v/>
      </c>
      <c r="P3587" s="25">
        <f>IFERROR(INDEX(Produtos!$D$2:$D$71,MATCH(C3587,Produtos!$A$2:$A$71,0)),0)</f>
        <v/>
      </c>
      <c r="Q3587" s="25">
        <f>IFERROR(INDEX(Produtos!$E$2:$E$71,MATCH(C3587,Produtos!$A$2:$A$71,0)),0)</f>
        <v/>
      </c>
      <c r="R3587" s="27">
        <f>D3587*Q3587</f>
        <v/>
      </c>
      <c r="S3587" s="27">
        <f>R3587*E3587</f>
        <v/>
      </c>
      <c r="T3587" s="27">
        <f>(R3587-S3587)*M3587</f>
        <v/>
      </c>
      <c r="U3587" s="27">
        <f>R3587-S3587-T3587</f>
        <v/>
      </c>
      <c r="V3587" s="27">
        <f>D3587*P3587</f>
        <v/>
      </c>
      <c r="W3587" s="27">
        <f>U3587-V3587</f>
        <v/>
      </c>
      <c r="X3587" s="28">
        <f>IFERROR(W3587/U3587,0)</f>
        <v/>
      </c>
    </row>
    <row r="3588">
      <c r="A3588" s="21">
        <f>ItensPedido!A3588</f>
        <v/>
      </c>
      <c r="B3588" s="21">
        <f>ItensPedido!B3588</f>
        <v/>
      </c>
      <c r="C3588" s="21">
        <f>ItensPedido!C3588</f>
        <v/>
      </c>
      <c r="D3588" s="21">
        <f>ItensPedido!D3588</f>
        <v/>
      </c>
      <c r="E3588" s="22">
        <f>ItensPedido!E3588</f>
        <v/>
      </c>
      <c r="F3588" s="21">
        <f>IFERROR(INDEX(Pedidos!$B$2:$B$1801,MATCH(B3588,Pedidos!$A$2:$A$1801,0)),0)</f>
        <v/>
      </c>
      <c r="G3588" s="21">
        <f>IF(F3588=0,"",YEAR(F3588))</f>
        <v/>
      </c>
      <c r="H3588" s="21">
        <f>IF(F3588=0,"",MONTH(F3588))</f>
        <v/>
      </c>
      <c r="I3588" s="21">
        <f>IFERROR(INDEX(Pedidos!$E$2:$E$1801,MATCH(B3588,Pedidos!$A$2:$A$1801,0)),"")</f>
        <v/>
      </c>
      <c r="J3588" s="21">
        <f>IFERROR(INDEX(Pedidos!$C$2:$C$1801,MATCH(B3588,Pedidos!$A$2:$A$1801,0)),"")</f>
        <v/>
      </c>
      <c r="K3588" s="21">
        <f>IFERROR(INDEX(Pedidos!$D$2:$D$1801,MATCH(B3588,Pedidos!$A$2:$A$1801,0)),"")</f>
        <v/>
      </c>
      <c r="L3588" s="21">
        <f>IFERROR(INDEX(Pedidos!$F$2:$F$1801,MATCH(B3588,Pedidos!$A$2:$A$1801,0)),"")</f>
        <v/>
      </c>
      <c r="M3588" s="22">
        <f>IFERROR(INDEX(Pedidos!$G$2:$G$1801,MATCH(B3588,Pedidos!$A$2:$A$1801,0)),0)</f>
        <v/>
      </c>
      <c r="N3588" s="21">
        <f>IFERROR(INDEX(Produtos!$B$2:$B$71,MATCH(C3588,Produtos!$A$2:$A$71,0)),"")</f>
        <v/>
      </c>
      <c r="O3588" s="21">
        <f>IFERROR(INDEX(Produtos!$C$2:$C$71,MATCH(C3588,Produtos!$A$2:$A$71,0)),"")</f>
        <v/>
      </c>
      <c r="P3588" s="21">
        <f>IFERROR(INDEX(Produtos!$D$2:$D$71,MATCH(C3588,Produtos!$A$2:$A$71,0)),0)</f>
        <v/>
      </c>
      <c r="Q3588" s="21">
        <f>IFERROR(INDEX(Produtos!$E$2:$E$71,MATCH(C3588,Produtos!$A$2:$A$71,0)),0)</f>
        <v/>
      </c>
      <c r="R3588" s="23">
        <f>D3588*Q3588</f>
        <v/>
      </c>
      <c r="S3588" s="23">
        <f>R3588*E3588</f>
        <v/>
      </c>
      <c r="T3588" s="23">
        <f>(R3588-S3588)*M3588</f>
        <v/>
      </c>
      <c r="U3588" s="23">
        <f>R3588-S3588-T3588</f>
        <v/>
      </c>
      <c r="V3588" s="23">
        <f>D3588*P3588</f>
        <v/>
      </c>
      <c r="W3588" s="23">
        <f>U3588-V3588</f>
        <v/>
      </c>
      <c r="X3588" s="24">
        <f>IFERROR(W3588/U3588,0)</f>
        <v/>
      </c>
    </row>
    <row r="3589">
      <c r="A3589" s="25">
        <f>ItensPedido!A3589</f>
        <v/>
      </c>
      <c r="B3589" s="25">
        <f>ItensPedido!B3589</f>
        <v/>
      </c>
      <c r="C3589" s="25">
        <f>ItensPedido!C3589</f>
        <v/>
      </c>
      <c r="D3589" s="25">
        <f>ItensPedido!D3589</f>
        <v/>
      </c>
      <c r="E3589" s="26">
        <f>ItensPedido!E3589</f>
        <v/>
      </c>
      <c r="F3589" s="25">
        <f>IFERROR(INDEX(Pedidos!$B$2:$B$1801,MATCH(B3589,Pedidos!$A$2:$A$1801,0)),0)</f>
        <v/>
      </c>
      <c r="G3589" s="25">
        <f>IF(F3589=0,"",YEAR(F3589))</f>
        <v/>
      </c>
      <c r="H3589" s="25">
        <f>IF(F3589=0,"",MONTH(F3589))</f>
        <v/>
      </c>
      <c r="I3589" s="25">
        <f>IFERROR(INDEX(Pedidos!$E$2:$E$1801,MATCH(B3589,Pedidos!$A$2:$A$1801,0)),"")</f>
        <v/>
      </c>
      <c r="J3589" s="25">
        <f>IFERROR(INDEX(Pedidos!$C$2:$C$1801,MATCH(B3589,Pedidos!$A$2:$A$1801,0)),"")</f>
        <v/>
      </c>
      <c r="K3589" s="25">
        <f>IFERROR(INDEX(Pedidos!$D$2:$D$1801,MATCH(B3589,Pedidos!$A$2:$A$1801,0)),"")</f>
        <v/>
      </c>
      <c r="L3589" s="25">
        <f>IFERROR(INDEX(Pedidos!$F$2:$F$1801,MATCH(B3589,Pedidos!$A$2:$A$1801,0)),"")</f>
        <v/>
      </c>
      <c r="M3589" s="26">
        <f>IFERROR(INDEX(Pedidos!$G$2:$G$1801,MATCH(B3589,Pedidos!$A$2:$A$1801,0)),0)</f>
        <v/>
      </c>
      <c r="N3589" s="25">
        <f>IFERROR(INDEX(Produtos!$B$2:$B$71,MATCH(C3589,Produtos!$A$2:$A$71,0)),"")</f>
        <v/>
      </c>
      <c r="O3589" s="25">
        <f>IFERROR(INDEX(Produtos!$C$2:$C$71,MATCH(C3589,Produtos!$A$2:$A$71,0)),"")</f>
        <v/>
      </c>
      <c r="P3589" s="25">
        <f>IFERROR(INDEX(Produtos!$D$2:$D$71,MATCH(C3589,Produtos!$A$2:$A$71,0)),0)</f>
        <v/>
      </c>
      <c r="Q3589" s="25">
        <f>IFERROR(INDEX(Produtos!$E$2:$E$71,MATCH(C3589,Produtos!$A$2:$A$71,0)),0)</f>
        <v/>
      </c>
      <c r="R3589" s="27">
        <f>D3589*Q3589</f>
        <v/>
      </c>
      <c r="S3589" s="27">
        <f>R3589*E3589</f>
        <v/>
      </c>
      <c r="T3589" s="27">
        <f>(R3589-S3589)*M3589</f>
        <v/>
      </c>
      <c r="U3589" s="27">
        <f>R3589-S3589-T3589</f>
        <v/>
      </c>
      <c r="V3589" s="27">
        <f>D3589*P3589</f>
        <v/>
      </c>
      <c r="W3589" s="27">
        <f>U3589-V3589</f>
        <v/>
      </c>
      <c r="X3589" s="28">
        <f>IFERROR(W3589/U3589,0)</f>
        <v/>
      </c>
    </row>
    <row r="3590">
      <c r="A3590" s="21">
        <f>ItensPedido!A3590</f>
        <v/>
      </c>
      <c r="B3590" s="21">
        <f>ItensPedido!B3590</f>
        <v/>
      </c>
      <c r="C3590" s="21">
        <f>ItensPedido!C3590</f>
        <v/>
      </c>
      <c r="D3590" s="21">
        <f>ItensPedido!D3590</f>
        <v/>
      </c>
      <c r="E3590" s="22">
        <f>ItensPedido!E3590</f>
        <v/>
      </c>
      <c r="F3590" s="21">
        <f>IFERROR(INDEX(Pedidos!$B$2:$B$1801,MATCH(B3590,Pedidos!$A$2:$A$1801,0)),0)</f>
        <v/>
      </c>
      <c r="G3590" s="21">
        <f>IF(F3590=0,"",YEAR(F3590))</f>
        <v/>
      </c>
      <c r="H3590" s="21">
        <f>IF(F3590=0,"",MONTH(F3590))</f>
        <v/>
      </c>
      <c r="I3590" s="21">
        <f>IFERROR(INDEX(Pedidos!$E$2:$E$1801,MATCH(B3590,Pedidos!$A$2:$A$1801,0)),"")</f>
        <v/>
      </c>
      <c r="J3590" s="21">
        <f>IFERROR(INDEX(Pedidos!$C$2:$C$1801,MATCH(B3590,Pedidos!$A$2:$A$1801,0)),"")</f>
        <v/>
      </c>
      <c r="K3590" s="21">
        <f>IFERROR(INDEX(Pedidos!$D$2:$D$1801,MATCH(B3590,Pedidos!$A$2:$A$1801,0)),"")</f>
        <v/>
      </c>
      <c r="L3590" s="21">
        <f>IFERROR(INDEX(Pedidos!$F$2:$F$1801,MATCH(B3590,Pedidos!$A$2:$A$1801,0)),"")</f>
        <v/>
      </c>
      <c r="M3590" s="22">
        <f>IFERROR(INDEX(Pedidos!$G$2:$G$1801,MATCH(B3590,Pedidos!$A$2:$A$1801,0)),0)</f>
        <v/>
      </c>
      <c r="N3590" s="21">
        <f>IFERROR(INDEX(Produtos!$B$2:$B$71,MATCH(C3590,Produtos!$A$2:$A$71,0)),"")</f>
        <v/>
      </c>
      <c r="O3590" s="21">
        <f>IFERROR(INDEX(Produtos!$C$2:$C$71,MATCH(C3590,Produtos!$A$2:$A$71,0)),"")</f>
        <v/>
      </c>
      <c r="P3590" s="21">
        <f>IFERROR(INDEX(Produtos!$D$2:$D$71,MATCH(C3590,Produtos!$A$2:$A$71,0)),0)</f>
        <v/>
      </c>
      <c r="Q3590" s="21">
        <f>IFERROR(INDEX(Produtos!$E$2:$E$71,MATCH(C3590,Produtos!$A$2:$A$71,0)),0)</f>
        <v/>
      </c>
      <c r="R3590" s="23">
        <f>D3590*Q3590</f>
        <v/>
      </c>
      <c r="S3590" s="23">
        <f>R3590*E3590</f>
        <v/>
      </c>
      <c r="T3590" s="23">
        <f>(R3590-S3590)*M3590</f>
        <v/>
      </c>
      <c r="U3590" s="23">
        <f>R3590-S3590-T3590</f>
        <v/>
      </c>
      <c r="V3590" s="23">
        <f>D3590*P3590</f>
        <v/>
      </c>
      <c r="W3590" s="23">
        <f>U3590-V3590</f>
        <v/>
      </c>
      <c r="X3590" s="24">
        <f>IFERROR(W3590/U3590,0)</f>
        <v/>
      </c>
    </row>
    <row r="3591">
      <c r="A3591" s="25">
        <f>ItensPedido!A3591</f>
        <v/>
      </c>
      <c r="B3591" s="25">
        <f>ItensPedido!B3591</f>
        <v/>
      </c>
      <c r="C3591" s="25">
        <f>ItensPedido!C3591</f>
        <v/>
      </c>
      <c r="D3591" s="25">
        <f>ItensPedido!D3591</f>
        <v/>
      </c>
      <c r="E3591" s="26">
        <f>ItensPedido!E3591</f>
        <v/>
      </c>
      <c r="F3591" s="25">
        <f>IFERROR(INDEX(Pedidos!$B$2:$B$1801,MATCH(B3591,Pedidos!$A$2:$A$1801,0)),0)</f>
        <v/>
      </c>
      <c r="G3591" s="25">
        <f>IF(F3591=0,"",YEAR(F3591))</f>
        <v/>
      </c>
      <c r="H3591" s="25">
        <f>IF(F3591=0,"",MONTH(F3591))</f>
        <v/>
      </c>
      <c r="I3591" s="25">
        <f>IFERROR(INDEX(Pedidos!$E$2:$E$1801,MATCH(B3591,Pedidos!$A$2:$A$1801,0)),"")</f>
        <v/>
      </c>
      <c r="J3591" s="25">
        <f>IFERROR(INDEX(Pedidos!$C$2:$C$1801,MATCH(B3591,Pedidos!$A$2:$A$1801,0)),"")</f>
        <v/>
      </c>
      <c r="K3591" s="25">
        <f>IFERROR(INDEX(Pedidos!$D$2:$D$1801,MATCH(B3591,Pedidos!$A$2:$A$1801,0)),"")</f>
        <v/>
      </c>
      <c r="L3591" s="25">
        <f>IFERROR(INDEX(Pedidos!$F$2:$F$1801,MATCH(B3591,Pedidos!$A$2:$A$1801,0)),"")</f>
        <v/>
      </c>
      <c r="M3591" s="26">
        <f>IFERROR(INDEX(Pedidos!$G$2:$G$1801,MATCH(B3591,Pedidos!$A$2:$A$1801,0)),0)</f>
        <v/>
      </c>
      <c r="N3591" s="25">
        <f>IFERROR(INDEX(Produtos!$B$2:$B$71,MATCH(C3591,Produtos!$A$2:$A$71,0)),"")</f>
        <v/>
      </c>
      <c r="O3591" s="25">
        <f>IFERROR(INDEX(Produtos!$C$2:$C$71,MATCH(C3591,Produtos!$A$2:$A$71,0)),"")</f>
        <v/>
      </c>
      <c r="P3591" s="25">
        <f>IFERROR(INDEX(Produtos!$D$2:$D$71,MATCH(C3591,Produtos!$A$2:$A$71,0)),0)</f>
        <v/>
      </c>
      <c r="Q3591" s="25">
        <f>IFERROR(INDEX(Produtos!$E$2:$E$71,MATCH(C3591,Produtos!$A$2:$A$71,0)),0)</f>
        <v/>
      </c>
      <c r="R3591" s="27">
        <f>D3591*Q3591</f>
        <v/>
      </c>
      <c r="S3591" s="27">
        <f>R3591*E3591</f>
        <v/>
      </c>
      <c r="T3591" s="27">
        <f>(R3591-S3591)*M3591</f>
        <v/>
      </c>
      <c r="U3591" s="27">
        <f>R3591-S3591-T3591</f>
        <v/>
      </c>
      <c r="V3591" s="27">
        <f>D3591*P3591</f>
        <v/>
      </c>
      <c r="W3591" s="27">
        <f>U3591-V3591</f>
        <v/>
      </c>
      <c r="X3591" s="28">
        <f>IFERROR(W3591/U3591,0)</f>
        <v/>
      </c>
    </row>
    <row r="3592">
      <c r="A3592" s="21">
        <f>ItensPedido!A3592</f>
        <v/>
      </c>
      <c r="B3592" s="21">
        <f>ItensPedido!B3592</f>
        <v/>
      </c>
      <c r="C3592" s="21">
        <f>ItensPedido!C3592</f>
        <v/>
      </c>
      <c r="D3592" s="21">
        <f>ItensPedido!D3592</f>
        <v/>
      </c>
      <c r="E3592" s="22">
        <f>ItensPedido!E3592</f>
        <v/>
      </c>
      <c r="F3592" s="21">
        <f>IFERROR(INDEX(Pedidos!$B$2:$B$1801,MATCH(B3592,Pedidos!$A$2:$A$1801,0)),0)</f>
        <v/>
      </c>
      <c r="G3592" s="21">
        <f>IF(F3592=0,"",YEAR(F3592))</f>
        <v/>
      </c>
      <c r="H3592" s="21">
        <f>IF(F3592=0,"",MONTH(F3592))</f>
        <v/>
      </c>
      <c r="I3592" s="21">
        <f>IFERROR(INDEX(Pedidos!$E$2:$E$1801,MATCH(B3592,Pedidos!$A$2:$A$1801,0)),"")</f>
        <v/>
      </c>
      <c r="J3592" s="21">
        <f>IFERROR(INDEX(Pedidos!$C$2:$C$1801,MATCH(B3592,Pedidos!$A$2:$A$1801,0)),"")</f>
        <v/>
      </c>
      <c r="K3592" s="21">
        <f>IFERROR(INDEX(Pedidos!$D$2:$D$1801,MATCH(B3592,Pedidos!$A$2:$A$1801,0)),"")</f>
        <v/>
      </c>
      <c r="L3592" s="21">
        <f>IFERROR(INDEX(Pedidos!$F$2:$F$1801,MATCH(B3592,Pedidos!$A$2:$A$1801,0)),"")</f>
        <v/>
      </c>
      <c r="M3592" s="22">
        <f>IFERROR(INDEX(Pedidos!$G$2:$G$1801,MATCH(B3592,Pedidos!$A$2:$A$1801,0)),0)</f>
        <v/>
      </c>
      <c r="N3592" s="21">
        <f>IFERROR(INDEX(Produtos!$B$2:$B$71,MATCH(C3592,Produtos!$A$2:$A$71,0)),"")</f>
        <v/>
      </c>
      <c r="O3592" s="21">
        <f>IFERROR(INDEX(Produtos!$C$2:$C$71,MATCH(C3592,Produtos!$A$2:$A$71,0)),"")</f>
        <v/>
      </c>
      <c r="P3592" s="21">
        <f>IFERROR(INDEX(Produtos!$D$2:$D$71,MATCH(C3592,Produtos!$A$2:$A$71,0)),0)</f>
        <v/>
      </c>
      <c r="Q3592" s="21">
        <f>IFERROR(INDEX(Produtos!$E$2:$E$71,MATCH(C3592,Produtos!$A$2:$A$71,0)),0)</f>
        <v/>
      </c>
      <c r="R3592" s="23">
        <f>D3592*Q3592</f>
        <v/>
      </c>
      <c r="S3592" s="23">
        <f>R3592*E3592</f>
        <v/>
      </c>
      <c r="T3592" s="23">
        <f>(R3592-S3592)*M3592</f>
        <v/>
      </c>
      <c r="U3592" s="23">
        <f>R3592-S3592-T3592</f>
        <v/>
      </c>
      <c r="V3592" s="23">
        <f>D3592*P3592</f>
        <v/>
      </c>
      <c r="W3592" s="23">
        <f>U3592-V3592</f>
        <v/>
      </c>
      <c r="X3592" s="24">
        <f>IFERROR(W3592/U3592,0)</f>
        <v/>
      </c>
    </row>
    <row r="3593">
      <c r="A3593" s="25">
        <f>ItensPedido!A3593</f>
        <v/>
      </c>
      <c r="B3593" s="25">
        <f>ItensPedido!B3593</f>
        <v/>
      </c>
      <c r="C3593" s="25">
        <f>ItensPedido!C3593</f>
        <v/>
      </c>
      <c r="D3593" s="25">
        <f>ItensPedido!D3593</f>
        <v/>
      </c>
      <c r="E3593" s="26">
        <f>ItensPedido!E3593</f>
        <v/>
      </c>
      <c r="F3593" s="25">
        <f>IFERROR(INDEX(Pedidos!$B$2:$B$1801,MATCH(B3593,Pedidos!$A$2:$A$1801,0)),0)</f>
        <v/>
      </c>
      <c r="G3593" s="25">
        <f>IF(F3593=0,"",YEAR(F3593))</f>
        <v/>
      </c>
      <c r="H3593" s="25">
        <f>IF(F3593=0,"",MONTH(F3593))</f>
        <v/>
      </c>
      <c r="I3593" s="25">
        <f>IFERROR(INDEX(Pedidos!$E$2:$E$1801,MATCH(B3593,Pedidos!$A$2:$A$1801,0)),"")</f>
        <v/>
      </c>
      <c r="J3593" s="25">
        <f>IFERROR(INDEX(Pedidos!$C$2:$C$1801,MATCH(B3593,Pedidos!$A$2:$A$1801,0)),"")</f>
        <v/>
      </c>
      <c r="K3593" s="25">
        <f>IFERROR(INDEX(Pedidos!$D$2:$D$1801,MATCH(B3593,Pedidos!$A$2:$A$1801,0)),"")</f>
        <v/>
      </c>
      <c r="L3593" s="25">
        <f>IFERROR(INDEX(Pedidos!$F$2:$F$1801,MATCH(B3593,Pedidos!$A$2:$A$1801,0)),"")</f>
        <v/>
      </c>
      <c r="M3593" s="26">
        <f>IFERROR(INDEX(Pedidos!$G$2:$G$1801,MATCH(B3593,Pedidos!$A$2:$A$1801,0)),0)</f>
        <v/>
      </c>
      <c r="N3593" s="25">
        <f>IFERROR(INDEX(Produtos!$B$2:$B$71,MATCH(C3593,Produtos!$A$2:$A$71,0)),"")</f>
        <v/>
      </c>
      <c r="O3593" s="25">
        <f>IFERROR(INDEX(Produtos!$C$2:$C$71,MATCH(C3593,Produtos!$A$2:$A$71,0)),"")</f>
        <v/>
      </c>
      <c r="P3593" s="25">
        <f>IFERROR(INDEX(Produtos!$D$2:$D$71,MATCH(C3593,Produtos!$A$2:$A$71,0)),0)</f>
        <v/>
      </c>
      <c r="Q3593" s="25">
        <f>IFERROR(INDEX(Produtos!$E$2:$E$71,MATCH(C3593,Produtos!$A$2:$A$71,0)),0)</f>
        <v/>
      </c>
      <c r="R3593" s="27">
        <f>D3593*Q3593</f>
        <v/>
      </c>
      <c r="S3593" s="27">
        <f>R3593*E3593</f>
        <v/>
      </c>
      <c r="T3593" s="27">
        <f>(R3593-S3593)*M3593</f>
        <v/>
      </c>
      <c r="U3593" s="27">
        <f>R3593-S3593-T3593</f>
        <v/>
      </c>
      <c r="V3593" s="27">
        <f>D3593*P3593</f>
        <v/>
      </c>
      <c r="W3593" s="27">
        <f>U3593-V3593</f>
        <v/>
      </c>
      <c r="X3593" s="28">
        <f>IFERROR(W3593/U3593,0)</f>
        <v/>
      </c>
    </row>
    <row r="3594">
      <c r="A3594" s="21">
        <f>ItensPedido!A3594</f>
        <v/>
      </c>
      <c r="B3594" s="21">
        <f>ItensPedido!B3594</f>
        <v/>
      </c>
      <c r="C3594" s="21">
        <f>ItensPedido!C3594</f>
        <v/>
      </c>
      <c r="D3594" s="21">
        <f>ItensPedido!D3594</f>
        <v/>
      </c>
      <c r="E3594" s="22">
        <f>ItensPedido!E3594</f>
        <v/>
      </c>
      <c r="F3594" s="21">
        <f>IFERROR(INDEX(Pedidos!$B$2:$B$1801,MATCH(B3594,Pedidos!$A$2:$A$1801,0)),0)</f>
        <v/>
      </c>
      <c r="G3594" s="21">
        <f>IF(F3594=0,"",YEAR(F3594))</f>
        <v/>
      </c>
      <c r="H3594" s="21">
        <f>IF(F3594=0,"",MONTH(F3594))</f>
        <v/>
      </c>
      <c r="I3594" s="21">
        <f>IFERROR(INDEX(Pedidos!$E$2:$E$1801,MATCH(B3594,Pedidos!$A$2:$A$1801,0)),"")</f>
        <v/>
      </c>
      <c r="J3594" s="21">
        <f>IFERROR(INDEX(Pedidos!$C$2:$C$1801,MATCH(B3594,Pedidos!$A$2:$A$1801,0)),"")</f>
        <v/>
      </c>
      <c r="K3594" s="21">
        <f>IFERROR(INDEX(Pedidos!$D$2:$D$1801,MATCH(B3594,Pedidos!$A$2:$A$1801,0)),"")</f>
        <v/>
      </c>
      <c r="L3594" s="21">
        <f>IFERROR(INDEX(Pedidos!$F$2:$F$1801,MATCH(B3594,Pedidos!$A$2:$A$1801,0)),"")</f>
        <v/>
      </c>
      <c r="M3594" s="22">
        <f>IFERROR(INDEX(Pedidos!$G$2:$G$1801,MATCH(B3594,Pedidos!$A$2:$A$1801,0)),0)</f>
        <v/>
      </c>
      <c r="N3594" s="21">
        <f>IFERROR(INDEX(Produtos!$B$2:$B$71,MATCH(C3594,Produtos!$A$2:$A$71,0)),"")</f>
        <v/>
      </c>
      <c r="O3594" s="21">
        <f>IFERROR(INDEX(Produtos!$C$2:$C$71,MATCH(C3594,Produtos!$A$2:$A$71,0)),"")</f>
        <v/>
      </c>
      <c r="P3594" s="21">
        <f>IFERROR(INDEX(Produtos!$D$2:$D$71,MATCH(C3594,Produtos!$A$2:$A$71,0)),0)</f>
        <v/>
      </c>
      <c r="Q3594" s="21">
        <f>IFERROR(INDEX(Produtos!$E$2:$E$71,MATCH(C3594,Produtos!$A$2:$A$71,0)),0)</f>
        <v/>
      </c>
      <c r="R3594" s="23">
        <f>D3594*Q3594</f>
        <v/>
      </c>
      <c r="S3594" s="23">
        <f>R3594*E3594</f>
        <v/>
      </c>
      <c r="T3594" s="23">
        <f>(R3594-S3594)*M3594</f>
        <v/>
      </c>
      <c r="U3594" s="23">
        <f>R3594-S3594-T3594</f>
        <v/>
      </c>
      <c r="V3594" s="23">
        <f>D3594*P3594</f>
        <v/>
      </c>
      <c r="W3594" s="23">
        <f>U3594-V3594</f>
        <v/>
      </c>
      <c r="X3594" s="24">
        <f>IFERROR(W3594/U3594,0)</f>
        <v/>
      </c>
    </row>
    <row r="3595">
      <c r="A3595" s="25">
        <f>ItensPedido!A3595</f>
        <v/>
      </c>
      <c r="B3595" s="25">
        <f>ItensPedido!B3595</f>
        <v/>
      </c>
      <c r="C3595" s="25">
        <f>ItensPedido!C3595</f>
        <v/>
      </c>
      <c r="D3595" s="25">
        <f>ItensPedido!D3595</f>
        <v/>
      </c>
      <c r="E3595" s="26">
        <f>ItensPedido!E3595</f>
        <v/>
      </c>
      <c r="F3595" s="25">
        <f>IFERROR(INDEX(Pedidos!$B$2:$B$1801,MATCH(B3595,Pedidos!$A$2:$A$1801,0)),0)</f>
        <v/>
      </c>
      <c r="G3595" s="25">
        <f>IF(F3595=0,"",YEAR(F3595))</f>
        <v/>
      </c>
      <c r="H3595" s="25">
        <f>IF(F3595=0,"",MONTH(F3595))</f>
        <v/>
      </c>
      <c r="I3595" s="25">
        <f>IFERROR(INDEX(Pedidos!$E$2:$E$1801,MATCH(B3595,Pedidos!$A$2:$A$1801,0)),"")</f>
        <v/>
      </c>
      <c r="J3595" s="25">
        <f>IFERROR(INDEX(Pedidos!$C$2:$C$1801,MATCH(B3595,Pedidos!$A$2:$A$1801,0)),"")</f>
        <v/>
      </c>
      <c r="K3595" s="25">
        <f>IFERROR(INDEX(Pedidos!$D$2:$D$1801,MATCH(B3595,Pedidos!$A$2:$A$1801,0)),"")</f>
        <v/>
      </c>
      <c r="L3595" s="25">
        <f>IFERROR(INDEX(Pedidos!$F$2:$F$1801,MATCH(B3595,Pedidos!$A$2:$A$1801,0)),"")</f>
        <v/>
      </c>
      <c r="M3595" s="26">
        <f>IFERROR(INDEX(Pedidos!$G$2:$G$1801,MATCH(B3595,Pedidos!$A$2:$A$1801,0)),0)</f>
        <v/>
      </c>
      <c r="N3595" s="25">
        <f>IFERROR(INDEX(Produtos!$B$2:$B$71,MATCH(C3595,Produtos!$A$2:$A$71,0)),"")</f>
        <v/>
      </c>
      <c r="O3595" s="25">
        <f>IFERROR(INDEX(Produtos!$C$2:$C$71,MATCH(C3595,Produtos!$A$2:$A$71,0)),"")</f>
        <v/>
      </c>
      <c r="P3595" s="25">
        <f>IFERROR(INDEX(Produtos!$D$2:$D$71,MATCH(C3595,Produtos!$A$2:$A$71,0)),0)</f>
        <v/>
      </c>
      <c r="Q3595" s="25">
        <f>IFERROR(INDEX(Produtos!$E$2:$E$71,MATCH(C3595,Produtos!$A$2:$A$71,0)),0)</f>
        <v/>
      </c>
      <c r="R3595" s="27">
        <f>D3595*Q3595</f>
        <v/>
      </c>
      <c r="S3595" s="27">
        <f>R3595*E3595</f>
        <v/>
      </c>
      <c r="T3595" s="27">
        <f>(R3595-S3595)*M3595</f>
        <v/>
      </c>
      <c r="U3595" s="27">
        <f>R3595-S3595-T3595</f>
        <v/>
      </c>
      <c r="V3595" s="27">
        <f>D3595*P3595</f>
        <v/>
      </c>
      <c r="W3595" s="27">
        <f>U3595-V3595</f>
        <v/>
      </c>
      <c r="X3595" s="28">
        <f>IFERROR(W3595/U3595,0)</f>
        <v/>
      </c>
    </row>
    <row r="3596">
      <c r="A3596" s="21">
        <f>ItensPedido!A3596</f>
        <v/>
      </c>
      <c r="B3596" s="21">
        <f>ItensPedido!B3596</f>
        <v/>
      </c>
      <c r="C3596" s="21">
        <f>ItensPedido!C3596</f>
        <v/>
      </c>
      <c r="D3596" s="21">
        <f>ItensPedido!D3596</f>
        <v/>
      </c>
      <c r="E3596" s="22">
        <f>ItensPedido!E3596</f>
        <v/>
      </c>
      <c r="F3596" s="21">
        <f>IFERROR(INDEX(Pedidos!$B$2:$B$1801,MATCH(B3596,Pedidos!$A$2:$A$1801,0)),0)</f>
        <v/>
      </c>
      <c r="G3596" s="21">
        <f>IF(F3596=0,"",YEAR(F3596))</f>
        <v/>
      </c>
      <c r="H3596" s="21">
        <f>IF(F3596=0,"",MONTH(F3596))</f>
        <v/>
      </c>
      <c r="I3596" s="21">
        <f>IFERROR(INDEX(Pedidos!$E$2:$E$1801,MATCH(B3596,Pedidos!$A$2:$A$1801,0)),"")</f>
        <v/>
      </c>
      <c r="J3596" s="21">
        <f>IFERROR(INDEX(Pedidos!$C$2:$C$1801,MATCH(B3596,Pedidos!$A$2:$A$1801,0)),"")</f>
        <v/>
      </c>
      <c r="K3596" s="21">
        <f>IFERROR(INDEX(Pedidos!$D$2:$D$1801,MATCH(B3596,Pedidos!$A$2:$A$1801,0)),"")</f>
        <v/>
      </c>
      <c r="L3596" s="21">
        <f>IFERROR(INDEX(Pedidos!$F$2:$F$1801,MATCH(B3596,Pedidos!$A$2:$A$1801,0)),"")</f>
        <v/>
      </c>
      <c r="M3596" s="22">
        <f>IFERROR(INDEX(Pedidos!$G$2:$G$1801,MATCH(B3596,Pedidos!$A$2:$A$1801,0)),0)</f>
        <v/>
      </c>
      <c r="N3596" s="21">
        <f>IFERROR(INDEX(Produtos!$B$2:$B$71,MATCH(C3596,Produtos!$A$2:$A$71,0)),"")</f>
        <v/>
      </c>
      <c r="O3596" s="21">
        <f>IFERROR(INDEX(Produtos!$C$2:$C$71,MATCH(C3596,Produtos!$A$2:$A$71,0)),"")</f>
        <v/>
      </c>
      <c r="P3596" s="21">
        <f>IFERROR(INDEX(Produtos!$D$2:$D$71,MATCH(C3596,Produtos!$A$2:$A$71,0)),0)</f>
        <v/>
      </c>
      <c r="Q3596" s="21">
        <f>IFERROR(INDEX(Produtos!$E$2:$E$71,MATCH(C3596,Produtos!$A$2:$A$71,0)),0)</f>
        <v/>
      </c>
      <c r="R3596" s="23">
        <f>D3596*Q3596</f>
        <v/>
      </c>
      <c r="S3596" s="23">
        <f>R3596*E3596</f>
        <v/>
      </c>
      <c r="T3596" s="23">
        <f>(R3596-S3596)*M3596</f>
        <v/>
      </c>
      <c r="U3596" s="23">
        <f>R3596-S3596-T3596</f>
        <v/>
      </c>
      <c r="V3596" s="23">
        <f>D3596*P3596</f>
        <v/>
      </c>
      <c r="W3596" s="23">
        <f>U3596-V3596</f>
        <v/>
      </c>
      <c r="X3596" s="24">
        <f>IFERROR(W3596/U3596,0)</f>
        <v/>
      </c>
    </row>
    <row r="3597">
      <c r="A3597" s="25">
        <f>ItensPedido!A3597</f>
        <v/>
      </c>
      <c r="B3597" s="25">
        <f>ItensPedido!B3597</f>
        <v/>
      </c>
      <c r="C3597" s="25">
        <f>ItensPedido!C3597</f>
        <v/>
      </c>
      <c r="D3597" s="25">
        <f>ItensPedido!D3597</f>
        <v/>
      </c>
      <c r="E3597" s="26">
        <f>ItensPedido!E3597</f>
        <v/>
      </c>
      <c r="F3597" s="25">
        <f>IFERROR(INDEX(Pedidos!$B$2:$B$1801,MATCH(B3597,Pedidos!$A$2:$A$1801,0)),0)</f>
        <v/>
      </c>
      <c r="G3597" s="25">
        <f>IF(F3597=0,"",YEAR(F3597))</f>
        <v/>
      </c>
      <c r="H3597" s="25">
        <f>IF(F3597=0,"",MONTH(F3597))</f>
        <v/>
      </c>
      <c r="I3597" s="25">
        <f>IFERROR(INDEX(Pedidos!$E$2:$E$1801,MATCH(B3597,Pedidos!$A$2:$A$1801,0)),"")</f>
        <v/>
      </c>
      <c r="J3597" s="25">
        <f>IFERROR(INDEX(Pedidos!$C$2:$C$1801,MATCH(B3597,Pedidos!$A$2:$A$1801,0)),"")</f>
        <v/>
      </c>
      <c r="K3597" s="25">
        <f>IFERROR(INDEX(Pedidos!$D$2:$D$1801,MATCH(B3597,Pedidos!$A$2:$A$1801,0)),"")</f>
        <v/>
      </c>
      <c r="L3597" s="25">
        <f>IFERROR(INDEX(Pedidos!$F$2:$F$1801,MATCH(B3597,Pedidos!$A$2:$A$1801,0)),"")</f>
        <v/>
      </c>
      <c r="M3597" s="26">
        <f>IFERROR(INDEX(Pedidos!$G$2:$G$1801,MATCH(B3597,Pedidos!$A$2:$A$1801,0)),0)</f>
        <v/>
      </c>
      <c r="N3597" s="25">
        <f>IFERROR(INDEX(Produtos!$B$2:$B$71,MATCH(C3597,Produtos!$A$2:$A$71,0)),"")</f>
        <v/>
      </c>
      <c r="O3597" s="25">
        <f>IFERROR(INDEX(Produtos!$C$2:$C$71,MATCH(C3597,Produtos!$A$2:$A$71,0)),"")</f>
        <v/>
      </c>
      <c r="P3597" s="25">
        <f>IFERROR(INDEX(Produtos!$D$2:$D$71,MATCH(C3597,Produtos!$A$2:$A$71,0)),0)</f>
        <v/>
      </c>
      <c r="Q3597" s="25">
        <f>IFERROR(INDEX(Produtos!$E$2:$E$71,MATCH(C3597,Produtos!$A$2:$A$71,0)),0)</f>
        <v/>
      </c>
      <c r="R3597" s="27">
        <f>D3597*Q3597</f>
        <v/>
      </c>
      <c r="S3597" s="27">
        <f>R3597*E3597</f>
        <v/>
      </c>
      <c r="T3597" s="27">
        <f>(R3597-S3597)*M3597</f>
        <v/>
      </c>
      <c r="U3597" s="27">
        <f>R3597-S3597-T3597</f>
        <v/>
      </c>
      <c r="V3597" s="27">
        <f>D3597*P3597</f>
        <v/>
      </c>
      <c r="W3597" s="27">
        <f>U3597-V3597</f>
        <v/>
      </c>
      <c r="X3597" s="28">
        <f>IFERROR(W3597/U3597,0)</f>
        <v/>
      </c>
    </row>
    <row r="3598">
      <c r="A3598" s="21">
        <f>ItensPedido!A3598</f>
        <v/>
      </c>
      <c r="B3598" s="21">
        <f>ItensPedido!B3598</f>
        <v/>
      </c>
      <c r="C3598" s="21">
        <f>ItensPedido!C3598</f>
        <v/>
      </c>
      <c r="D3598" s="21">
        <f>ItensPedido!D3598</f>
        <v/>
      </c>
      <c r="E3598" s="22">
        <f>ItensPedido!E3598</f>
        <v/>
      </c>
      <c r="F3598" s="21">
        <f>IFERROR(INDEX(Pedidos!$B$2:$B$1801,MATCH(B3598,Pedidos!$A$2:$A$1801,0)),0)</f>
        <v/>
      </c>
      <c r="G3598" s="21">
        <f>IF(F3598=0,"",YEAR(F3598))</f>
        <v/>
      </c>
      <c r="H3598" s="21">
        <f>IF(F3598=0,"",MONTH(F3598))</f>
        <v/>
      </c>
      <c r="I3598" s="21">
        <f>IFERROR(INDEX(Pedidos!$E$2:$E$1801,MATCH(B3598,Pedidos!$A$2:$A$1801,0)),"")</f>
        <v/>
      </c>
      <c r="J3598" s="21">
        <f>IFERROR(INDEX(Pedidos!$C$2:$C$1801,MATCH(B3598,Pedidos!$A$2:$A$1801,0)),"")</f>
        <v/>
      </c>
      <c r="K3598" s="21">
        <f>IFERROR(INDEX(Pedidos!$D$2:$D$1801,MATCH(B3598,Pedidos!$A$2:$A$1801,0)),"")</f>
        <v/>
      </c>
      <c r="L3598" s="21">
        <f>IFERROR(INDEX(Pedidos!$F$2:$F$1801,MATCH(B3598,Pedidos!$A$2:$A$1801,0)),"")</f>
        <v/>
      </c>
      <c r="M3598" s="22">
        <f>IFERROR(INDEX(Pedidos!$G$2:$G$1801,MATCH(B3598,Pedidos!$A$2:$A$1801,0)),0)</f>
        <v/>
      </c>
      <c r="N3598" s="21">
        <f>IFERROR(INDEX(Produtos!$B$2:$B$71,MATCH(C3598,Produtos!$A$2:$A$71,0)),"")</f>
        <v/>
      </c>
      <c r="O3598" s="21">
        <f>IFERROR(INDEX(Produtos!$C$2:$C$71,MATCH(C3598,Produtos!$A$2:$A$71,0)),"")</f>
        <v/>
      </c>
      <c r="P3598" s="21">
        <f>IFERROR(INDEX(Produtos!$D$2:$D$71,MATCH(C3598,Produtos!$A$2:$A$71,0)),0)</f>
        <v/>
      </c>
      <c r="Q3598" s="21">
        <f>IFERROR(INDEX(Produtos!$E$2:$E$71,MATCH(C3598,Produtos!$A$2:$A$71,0)),0)</f>
        <v/>
      </c>
      <c r="R3598" s="23">
        <f>D3598*Q3598</f>
        <v/>
      </c>
      <c r="S3598" s="23">
        <f>R3598*E3598</f>
        <v/>
      </c>
      <c r="T3598" s="23">
        <f>(R3598-S3598)*M3598</f>
        <v/>
      </c>
      <c r="U3598" s="23">
        <f>R3598-S3598-T3598</f>
        <v/>
      </c>
      <c r="V3598" s="23">
        <f>D3598*P3598</f>
        <v/>
      </c>
      <c r="W3598" s="23">
        <f>U3598-V3598</f>
        <v/>
      </c>
      <c r="X3598" s="24">
        <f>IFERROR(W3598/U3598,0)</f>
        <v/>
      </c>
    </row>
    <row r="3599">
      <c r="A3599" s="25">
        <f>ItensPedido!A3599</f>
        <v/>
      </c>
      <c r="B3599" s="25">
        <f>ItensPedido!B3599</f>
        <v/>
      </c>
      <c r="C3599" s="25">
        <f>ItensPedido!C3599</f>
        <v/>
      </c>
      <c r="D3599" s="25">
        <f>ItensPedido!D3599</f>
        <v/>
      </c>
      <c r="E3599" s="26">
        <f>ItensPedido!E3599</f>
        <v/>
      </c>
      <c r="F3599" s="25">
        <f>IFERROR(INDEX(Pedidos!$B$2:$B$1801,MATCH(B3599,Pedidos!$A$2:$A$1801,0)),0)</f>
        <v/>
      </c>
      <c r="G3599" s="25">
        <f>IF(F3599=0,"",YEAR(F3599))</f>
        <v/>
      </c>
      <c r="H3599" s="25">
        <f>IF(F3599=0,"",MONTH(F3599))</f>
        <v/>
      </c>
      <c r="I3599" s="25">
        <f>IFERROR(INDEX(Pedidos!$E$2:$E$1801,MATCH(B3599,Pedidos!$A$2:$A$1801,0)),"")</f>
        <v/>
      </c>
      <c r="J3599" s="25">
        <f>IFERROR(INDEX(Pedidos!$C$2:$C$1801,MATCH(B3599,Pedidos!$A$2:$A$1801,0)),"")</f>
        <v/>
      </c>
      <c r="K3599" s="25">
        <f>IFERROR(INDEX(Pedidos!$D$2:$D$1801,MATCH(B3599,Pedidos!$A$2:$A$1801,0)),"")</f>
        <v/>
      </c>
      <c r="L3599" s="25">
        <f>IFERROR(INDEX(Pedidos!$F$2:$F$1801,MATCH(B3599,Pedidos!$A$2:$A$1801,0)),"")</f>
        <v/>
      </c>
      <c r="M3599" s="26">
        <f>IFERROR(INDEX(Pedidos!$G$2:$G$1801,MATCH(B3599,Pedidos!$A$2:$A$1801,0)),0)</f>
        <v/>
      </c>
      <c r="N3599" s="25">
        <f>IFERROR(INDEX(Produtos!$B$2:$B$71,MATCH(C3599,Produtos!$A$2:$A$71,0)),"")</f>
        <v/>
      </c>
      <c r="O3599" s="25">
        <f>IFERROR(INDEX(Produtos!$C$2:$C$71,MATCH(C3599,Produtos!$A$2:$A$71,0)),"")</f>
        <v/>
      </c>
      <c r="P3599" s="25">
        <f>IFERROR(INDEX(Produtos!$D$2:$D$71,MATCH(C3599,Produtos!$A$2:$A$71,0)),0)</f>
        <v/>
      </c>
      <c r="Q3599" s="25">
        <f>IFERROR(INDEX(Produtos!$E$2:$E$71,MATCH(C3599,Produtos!$A$2:$A$71,0)),0)</f>
        <v/>
      </c>
      <c r="R3599" s="27">
        <f>D3599*Q3599</f>
        <v/>
      </c>
      <c r="S3599" s="27">
        <f>R3599*E3599</f>
        <v/>
      </c>
      <c r="T3599" s="27">
        <f>(R3599-S3599)*M3599</f>
        <v/>
      </c>
      <c r="U3599" s="27">
        <f>R3599-S3599-T3599</f>
        <v/>
      </c>
      <c r="V3599" s="27">
        <f>D3599*P3599</f>
        <v/>
      </c>
      <c r="W3599" s="27">
        <f>U3599-V3599</f>
        <v/>
      </c>
      <c r="X3599" s="28">
        <f>IFERROR(W3599/U3599,0)</f>
        <v/>
      </c>
    </row>
    <row r="3600">
      <c r="A3600" s="21">
        <f>ItensPedido!A3600</f>
        <v/>
      </c>
      <c r="B3600" s="21">
        <f>ItensPedido!B3600</f>
        <v/>
      </c>
      <c r="C3600" s="21">
        <f>ItensPedido!C3600</f>
        <v/>
      </c>
      <c r="D3600" s="21">
        <f>ItensPedido!D3600</f>
        <v/>
      </c>
      <c r="E3600" s="22">
        <f>ItensPedido!E3600</f>
        <v/>
      </c>
      <c r="F3600" s="21">
        <f>IFERROR(INDEX(Pedidos!$B$2:$B$1801,MATCH(B3600,Pedidos!$A$2:$A$1801,0)),0)</f>
        <v/>
      </c>
      <c r="G3600" s="21">
        <f>IF(F3600=0,"",YEAR(F3600))</f>
        <v/>
      </c>
      <c r="H3600" s="21">
        <f>IF(F3600=0,"",MONTH(F3600))</f>
        <v/>
      </c>
      <c r="I3600" s="21">
        <f>IFERROR(INDEX(Pedidos!$E$2:$E$1801,MATCH(B3600,Pedidos!$A$2:$A$1801,0)),"")</f>
        <v/>
      </c>
      <c r="J3600" s="21">
        <f>IFERROR(INDEX(Pedidos!$C$2:$C$1801,MATCH(B3600,Pedidos!$A$2:$A$1801,0)),"")</f>
        <v/>
      </c>
      <c r="K3600" s="21">
        <f>IFERROR(INDEX(Pedidos!$D$2:$D$1801,MATCH(B3600,Pedidos!$A$2:$A$1801,0)),"")</f>
        <v/>
      </c>
      <c r="L3600" s="21">
        <f>IFERROR(INDEX(Pedidos!$F$2:$F$1801,MATCH(B3600,Pedidos!$A$2:$A$1801,0)),"")</f>
        <v/>
      </c>
      <c r="M3600" s="22">
        <f>IFERROR(INDEX(Pedidos!$G$2:$G$1801,MATCH(B3600,Pedidos!$A$2:$A$1801,0)),0)</f>
        <v/>
      </c>
      <c r="N3600" s="21">
        <f>IFERROR(INDEX(Produtos!$B$2:$B$71,MATCH(C3600,Produtos!$A$2:$A$71,0)),"")</f>
        <v/>
      </c>
      <c r="O3600" s="21">
        <f>IFERROR(INDEX(Produtos!$C$2:$C$71,MATCH(C3600,Produtos!$A$2:$A$71,0)),"")</f>
        <v/>
      </c>
      <c r="P3600" s="21">
        <f>IFERROR(INDEX(Produtos!$D$2:$D$71,MATCH(C3600,Produtos!$A$2:$A$71,0)),0)</f>
        <v/>
      </c>
      <c r="Q3600" s="21">
        <f>IFERROR(INDEX(Produtos!$E$2:$E$71,MATCH(C3600,Produtos!$A$2:$A$71,0)),0)</f>
        <v/>
      </c>
      <c r="R3600" s="23">
        <f>D3600*Q3600</f>
        <v/>
      </c>
      <c r="S3600" s="23">
        <f>R3600*E3600</f>
        <v/>
      </c>
      <c r="T3600" s="23">
        <f>(R3600-S3600)*M3600</f>
        <v/>
      </c>
      <c r="U3600" s="23">
        <f>R3600-S3600-T3600</f>
        <v/>
      </c>
      <c r="V3600" s="23">
        <f>D3600*P3600</f>
        <v/>
      </c>
      <c r="W3600" s="23">
        <f>U3600-V3600</f>
        <v/>
      </c>
      <c r="X3600" s="24">
        <f>IFERROR(W3600/U3600,0)</f>
        <v/>
      </c>
    </row>
    <row r="3601">
      <c r="A3601" s="25">
        <f>ItensPedido!A3601</f>
        <v/>
      </c>
      <c r="B3601" s="25">
        <f>ItensPedido!B3601</f>
        <v/>
      </c>
      <c r="C3601" s="25">
        <f>ItensPedido!C3601</f>
        <v/>
      </c>
      <c r="D3601" s="25">
        <f>ItensPedido!D3601</f>
        <v/>
      </c>
      <c r="E3601" s="26">
        <f>ItensPedido!E3601</f>
        <v/>
      </c>
      <c r="F3601" s="25">
        <f>IFERROR(INDEX(Pedidos!$B$2:$B$1801,MATCH(B3601,Pedidos!$A$2:$A$1801,0)),0)</f>
        <v/>
      </c>
      <c r="G3601" s="25">
        <f>IF(F3601=0,"",YEAR(F3601))</f>
        <v/>
      </c>
      <c r="H3601" s="25">
        <f>IF(F3601=0,"",MONTH(F3601))</f>
        <v/>
      </c>
      <c r="I3601" s="25">
        <f>IFERROR(INDEX(Pedidos!$E$2:$E$1801,MATCH(B3601,Pedidos!$A$2:$A$1801,0)),"")</f>
        <v/>
      </c>
      <c r="J3601" s="25">
        <f>IFERROR(INDEX(Pedidos!$C$2:$C$1801,MATCH(B3601,Pedidos!$A$2:$A$1801,0)),"")</f>
        <v/>
      </c>
      <c r="K3601" s="25">
        <f>IFERROR(INDEX(Pedidos!$D$2:$D$1801,MATCH(B3601,Pedidos!$A$2:$A$1801,0)),"")</f>
        <v/>
      </c>
      <c r="L3601" s="25">
        <f>IFERROR(INDEX(Pedidos!$F$2:$F$1801,MATCH(B3601,Pedidos!$A$2:$A$1801,0)),"")</f>
        <v/>
      </c>
      <c r="M3601" s="26">
        <f>IFERROR(INDEX(Pedidos!$G$2:$G$1801,MATCH(B3601,Pedidos!$A$2:$A$1801,0)),0)</f>
        <v/>
      </c>
      <c r="N3601" s="25">
        <f>IFERROR(INDEX(Produtos!$B$2:$B$71,MATCH(C3601,Produtos!$A$2:$A$71,0)),"")</f>
        <v/>
      </c>
      <c r="O3601" s="25">
        <f>IFERROR(INDEX(Produtos!$C$2:$C$71,MATCH(C3601,Produtos!$A$2:$A$71,0)),"")</f>
        <v/>
      </c>
      <c r="P3601" s="25">
        <f>IFERROR(INDEX(Produtos!$D$2:$D$71,MATCH(C3601,Produtos!$A$2:$A$71,0)),0)</f>
        <v/>
      </c>
      <c r="Q3601" s="25">
        <f>IFERROR(INDEX(Produtos!$E$2:$E$71,MATCH(C3601,Produtos!$A$2:$A$71,0)),0)</f>
        <v/>
      </c>
      <c r="R3601" s="27">
        <f>D3601*Q3601</f>
        <v/>
      </c>
      <c r="S3601" s="27">
        <f>R3601*E3601</f>
        <v/>
      </c>
      <c r="T3601" s="27">
        <f>(R3601-S3601)*M3601</f>
        <v/>
      </c>
      <c r="U3601" s="27">
        <f>R3601-S3601-T3601</f>
        <v/>
      </c>
      <c r="V3601" s="27">
        <f>D3601*P3601</f>
        <v/>
      </c>
      <c r="W3601" s="27">
        <f>U3601-V3601</f>
        <v/>
      </c>
      <c r="X3601" s="28">
        <f>IFERROR(W3601/U3601,0)</f>
        <v/>
      </c>
    </row>
    <row r="3602">
      <c r="A3602" s="21">
        <f>ItensPedido!A3602</f>
        <v/>
      </c>
      <c r="B3602" s="21">
        <f>ItensPedido!B3602</f>
        <v/>
      </c>
      <c r="C3602" s="21">
        <f>ItensPedido!C3602</f>
        <v/>
      </c>
      <c r="D3602" s="21">
        <f>ItensPedido!D3602</f>
        <v/>
      </c>
      <c r="E3602" s="22">
        <f>ItensPedido!E3602</f>
        <v/>
      </c>
      <c r="F3602" s="21">
        <f>IFERROR(INDEX(Pedidos!$B$2:$B$1801,MATCH(B3602,Pedidos!$A$2:$A$1801,0)),0)</f>
        <v/>
      </c>
      <c r="G3602" s="21">
        <f>IF(F3602=0,"",YEAR(F3602))</f>
        <v/>
      </c>
      <c r="H3602" s="21">
        <f>IF(F3602=0,"",MONTH(F3602))</f>
        <v/>
      </c>
      <c r="I3602" s="21">
        <f>IFERROR(INDEX(Pedidos!$E$2:$E$1801,MATCH(B3602,Pedidos!$A$2:$A$1801,0)),"")</f>
        <v/>
      </c>
      <c r="J3602" s="21">
        <f>IFERROR(INDEX(Pedidos!$C$2:$C$1801,MATCH(B3602,Pedidos!$A$2:$A$1801,0)),"")</f>
        <v/>
      </c>
      <c r="K3602" s="21">
        <f>IFERROR(INDEX(Pedidos!$D$2:$D$1801,MATCH(B3602,Pedidos!$A$2:$A$1801,0)),"")</f>
        <v/>
      </c>
      <c r="L3602" s="21">
        <f>IFERROR(INDEX(Pedidos!$F$2:$F$1801,MATCH(B3602,Pedidos!$A$2:$A$1801,0)),"")</f>
        <v/>
      </c>
      <c r="M3602" s="22">
        <f>IFERROR(INDEX(Pedidos!$G$2:$G$1801,MATCH(B3602,Pedidos!$A$2:$A$1801,0)),0)</f>
        <v/>
      </c>
      <c r="N3602" s="21">
        <f>IFERROR(INDEX(Produtos!$B$2:$B$71,MATCH(C3602,Produtos!$A$2:$A$71,0)),"")</f>
        <v/>
      </c>
      <c r="O3602" s="21">
        <f>IFERROR(INDEX(Produtos!$C$2:$C$71,MATCH(C3602,Produtos!$A$2:$A$71,0)),"")</f>
        <v/>
      </c>
      <c r="P3602" s="21">
        <f>IFERROR(INDEX(Produtos!$D$2:$D$71,MATCH(C3602,Produtos!$A$2:$A$71,0)),0)</f>
        <v/>
      </c>
      <c r="Q3602" s="21">
        <f>IFERROR(INDEX(Produtos!$E$2:$E$71,MATCH(C3602,Produtos!$A$2:$A$71,0)),0)</f>
        <v/>
      </c>
      <c r="R3602" s="23">
        <f>D3602*Q3602</f>
        <v/>
      </c>
      <c r="S3602" s="23">
        <f>R3602*E3602</f>
        <v/>
      </c>
      <c r="T3602" s="23">
        <f>(R3602-S3602)*M3602</f>
        <v/>
      </c>
      <c r="U3602" s="23">
        <f>R3602-S3602-T3602</f>
        <v/>
      </c>
      <c r="V3602" s="23">
        <f>D3602*P3602</f>
        <v/>
      </c>
      <c r="W3602" s="23">
        <f>U3602-V3602</f>
        <v/>
      </c>
      <c r="X3602" s="24">
        <f>IFERROR(W3602/U3602,0)</f>
        <v/>
      </c>
    </row>
    <row r="3603">
      <c r="A3603" s="25">
        <f>ItensPedido!A3603</f>
        <v/>
      </c>
      <c r="B3603" s="25">
        <f>ItensPedido!B3603</f>
        <v/>
      </c>
      <c r="C3603" s="25">
        <f>ItensPedido!C3603</f>
        <v/>
      </c>
      <c r="D3603" s="25">
        <f>ItensPedido!D3603</f>
        <v/>
      </c>
      <c r="E3603" s="26">
        <f>ItensPedido!E3603</f>
        <v/>
      </c>
      <c r="F3603" s="25">
        <f>IFERROR(INDEX(Pedidos!$B$2:$B$1801,MATCH(B3603,Pedidos!$A$2:$A$1801,0)),0)</f>
        <v/>
      </c>
      <c r="G3603" s="25">
        <f>IF(F3603=0,"",YEAR(F3603))</f>
        <v/>
      </c>
      <c r="H3603" s="25">
        <f>IF(F3603=0,"",MONTH(F3603))</f>
        <v/>
      </c>
      <c r="I3603" s="25">
        <f>IFERROR(INDEX(Pedidos!$E$2:$E$1801,MATCH(B3603,Pedidos!$A$2:$A$1801,0)),"")</f>
        <v/>
      </c>
      <c r="J3603" s="25">
        <f>IFERROR(INDEX(Pedidos!$C$2:$C$1801,MATCH(B3603,Pedidos!$A$2:$A$1801,0)),"")</f>
        <v/>
      </c>
      <c r="K3603" s="25">
        <f>IFERROR(INDEX(Pedidos!$D$2:$D$1801,MATCH(B3603,Pedidos!$A$2:$A$1801,0)),"")</f>
        <v/>
      </c>
      <c r="L3603" s="25">
        <f>IFERROR(INDEX(Pedidos!$F$2:$F$1801,MATCH(B3603,Pedidos!$A$2:$A$1801,0)),"")</f>
        <v/>
      </c>
      <c r="M3603" s="26">
        <f>IFERROR(INDEX(Pedidos!$G$2:$G$1801,MATCH(B3603,Pedidos!$A$2:$A$1801,0)),0)</f>
        <v/>
      </c>
      <c r="N3603" s="25">
        <f>IFERROR(INDEX(Produtos!$B$2:$B$71,MATCH(C3603,Produtos!$A$2:$A$71,0)),"")</f>
        <v/>
      </c>
      <c r="O3603" s="25">
        <f>IFERROR(INDEX(Produtos!$C$2:$C$71,MATCH(C3603,Produtos!$A$2:$A$71,0)),"")</f>
        <v/>
      </c>
      <c r="P3603" s="25">
        <f>IFERROR(INDEX(Produtos!$D$2:$D$71,MATCH(C3603,Produtos!$A$2:$A$71,0)),0)</f>
        <v/>
      </c>
      <c r="Q3603" s="25">
        <f>IFERROR(INDEX(Produtos!$E$2:$E$71,MATCH(C3603,Produtos!$A$2:$A$71,0)),0)</f>
        <v/>
      </c>
      <c r="R3603" s="27">
        <f>D3603*Q3603</f>
        <v/>
      </c>
      <c r="S3603" s="27">
        <f>R3603*E3603</f>
        <v/>
      </c>
      <c r="T3603" s="27">
        <f>(R3603-S3603)*M3603</f>
        <v/>
      </c>
      <c r="U3603" s="27">
        <f>R3603-S3603-T3603</f>
        <v/>
      </c>
      <c r="V3603" s="27">
        <f>D3603*P3603</f>
        <v/>
      </c>
      <c r="W3603" s="27">
        <f>U3603-V3603</f>
        <v/>
      </c>
      <c r="X3603" s="28">
        <f>IFERROR(W3603/U3603,0)</f>
        <v/>
      </c>
    </row>
    <row r="3604">
      <c r="A3604" s="21">
        <f>ItensPedido!A3604</f>
        <v/>
      </c>
      <c r="B3604" s="21">
        <f>ItensPedido!B3604</f>
        <v/>
      </c>
      <c r="C3604" s="21">
        <f>ItensPedido!C3604</f>
        <v/>
      </c>
      <c r="D3604" s="21">
        <f>ItensPedido!D3604</f>
        <v/>
      </c>
      <c r="E3604" s="22">
        <f>ItensPedido!E3604</f>
        <v/>
      </c>
      <c r="F3604" s="21">
        <f>IFERROR(INDEX(Pedidos!$B$2:$B$1801,MATCH(B3604,Pedidos!$A$2:$A$1801,0)),0)</f>
        <v/>
      </c>
      <c r="G3604" s="21">
        <f>IF(F3604=0,"",YEAR(F3604))</f>
        <v/>
      </c>
      <c r="H3604" s="21">
        <f>IF(F3604=0,"",MONTH(F3604))</f>
        <v/>
      </c>
      <c r="I3604" s="21">
        <f>IFERROR(INDEX(Pedidos!$E$2:$E$1801,MATCH(B3604,Pedidos!$A$2:$A$1801,0)),"")</f>
        <v/>
      </c>
      <c r="J3604" s="21">
        <f>IFERROR(INDEX(Pedidos!$C$2:$C$1801,MATCH(B3604,Pedidos!$A$2:$A$1801,0)),"")</f>
        <v/>
      </c>
      <c r="K3604" s="21">
        <f>IFERROR(INDEX(Pedidos!$D$2:$D$1801,MATCH(B3604,Pedidos!$A$2:$A$1801,0)),"")</f>
        <v/>
      </c>
      <c r="L3604" s="21">
        <f>IFERROR(INDEX(Pedidos!$F$2:$F$1801,MATCH(B3604,Pedidos!$A$2:$A$1801,0)),"")</f>
        <v/>
      </c>
      <c r="M3604" s="22">
        <f>IFERROR(INDEX(Pedidos!$G$2:$G$1801,MATCH(B3604,Pedidos!$A$2:$A$1801,0)),0)</f>
        <v/>
      </c>
      <c r="N3604" s="21">
        <f>IFERROR(INDEX(Produtos!$B$2:$B$71,MATCH(C3604,Produtos!$A$2:$A$71,0)),"")</f>
        <v/>
      </c>
      <c r="O3604" s="21">
        <f>IFERROR(INDEX(Produtos!$C$2:$C$71,MATCH(C3604,Produtos!$A$2:$A$71,0)),"")</f>
        <v/>
      </c>
      <c r="P3604" s="21">
        <f>IFERROR(INDEX(Produtos!$D$2:$D$71,MATCH(C3604,Produtos!$A$2:$A$71,0)),0)</f>
        <v/>
      </c>
      <c r="Q3604" s="21">
        <f>IFERROR(INDEX(Produtos!$E$2:$E$71,MATCH(C3604,Produtos!$A$2:$A$71,0)),0)</f>
        <v/>
      </c>
      <c r="R3604" s="23">
        <f>D3604*Q3604</f>
        <v/>
      </c>
      <c r="S3604" s="23">
        <f>R3604*E3604</f>
        <v/>
      </c>
      <c r="T3604" s="23">
        <f>(R3604-S3604)*M3604</f>
        <v/>
      </c>
      <c r="U3604" s="23">
        <f>R3604-S3604-T3604</f>
        <v/>
      </c>
      <c r="V3604" s="23">
        <f>D3604*P3604</f>
        <v/>
      </c>
      <c r="W3604" s="23">
        <f>U3604-V3604</f>
        <v/>
      </c>
      <c r="X3604" s="24">
        <f>IFERROR(W3604/U3604,0)</f>
        <v/>
      </c>
    </row>
    <row r="3605">
      <c r="A3605" s="25">
        <f>ItensPedido!A3605</f>
        <v/>
      </c>
      <c r="B3605" s="25">
        <f>ItensPedido!B3605</f>
        <v/>
      </c>
      <c r="C3605" s="25">
        <f>ItensPedido!C3605</f>
        <v/>
      </c>
      <c r="D3605" s="25">
        <f>ItensPedido!D3605</f>
        <v/>
      </c>
      <c r="E3605" s="26">
        <f>ItensPedido!E3605</f>
        <v/>
      </c>
      <c r="F3605" s="25">
        <f>IFERROR(INDEX(Pedidos!$B$2:$B$1801,MATCH(B3605,Pedidos!$A$2:$A$1801,0)),0)</f>
        <v/>
      </c>
      <c r="G3605" s="25">
        <f>IF(F3605=0,"",YEAR(F3605))</f>
        <v/>
      </c>
      <c r="H3605" s="25">
        <f>IF(F3605=0,"",MONTH(F3605))</f>
        <v/>
      </c>
      <c r="I3605" s="25">
        <f>IFERROR(INDEX(Pedidos!$E$2:$E$1801,MATCH(B3605,Pedidos!$A$2:$A$1801,0)),"")</f>
        <v/>
      </c>
      <c r="J3605" s="25">
        <f>IFERROR(INDEX(Pedidos!$C$2:$C$1801,MATCH(B3605,Pedidos!$A$2:$A$1801,0)),"")</f>
        <v/>
      </c>
      <c r="K3605" s="25">
        <f>IFERROR(INDEX(Pedidos!$D$2:$D$1801,MATCH(B3605,Pedidos!$A$2:$A$1801,0)),"")</f>
        <v/>
      </c>
      <c r="L3605" s="25">
        <f>IFERROR(INDEX(Pedidos!$F$2:$F$1801,MATCH(B3605,Pedidos!$A$2:$A$1801,0)),"")</f>
        <v/>
      </c>
      <c r="M3605" s="26">
        <f>IFERROR(INDEX(Pedidos!$G$2:$G$1801,MATCH(B3605,Pedidos!$A$2:$A$1801,0)),0)</f>
        <v/>
      </c>
      <c r="N3605" s="25">
        <f>IFERROR(INDEX(Produtos!$B$2:$B$71,MATCH(C3605,Produtos!$A$2:$A$71,0)),"")</f>
        <v/>
      </c>
      <c r="O3605" s="25">
        <f>IFERROR(INDEX(Produtos!$C$2:$C$71,MATCH(C3605,Produtos!$A$2:$A$71,0)),"")</f>
        <v/>
      </c>
      <c r="P3605" s="25">
        <f>IFERROR(INDEX(Produtos!$D$2:$D$71,MATCH(C3605,Produtos!$A$2:$A$71,0)),0)</f>
        <v/>
      </c>
      <c r="Q3605" s="25">
        <f>IFERROR(INDEX(Produtos!$E$2:$E$71,MATCH(C3605,Produtos!$A$2:$A$71,0)),0)</f>
        <v/>
      </c>
      <c r="R3605" s="27">
        <f>D3605*Q3605</f>
        <v/>
      </c>
      <c r="S3605" s="27">
        <f>R3605*E3605</f>
        <v/>
      </c>
      <c r="T3605" s="27">
        <f>(R3605-S3605)*M3605</f>
        <v/>
      </c>
      <c r="U3605" s="27">
        <f>R3605-S3605-T3605</f>
        <v/>
      </c>
      <c r="V3605" s="27">
        <f>D3605*P3605</f>
        <v/>
      </c>
      <c r="W3605" s="27">
        <f>U3605-V3605</f>
        <v/>
      </c>
      <c r="X3605" s="28">
        <f>IFERROR(W3605/U3605,0)</f>
        <v/>
      </c>
    </row>
    <row r="3606">
      <c r="A3606" s="21">
        <f>ItensPedido!A3606</f>
        <v/>
      </c>
      <c r="B3606" s="21">
        <f>ItensPedido!B3606</f>
        <v/>
      </c>
      <c r="C3606" s="21">
        <f>ItensPedido!C3606</f>
        <v/>
      </c>
      <c r="D3606" s="21">
        <f>ItensPedido!D3606</f>
        <v/>
      </c>
      <c r="E3606" s="22">
        <f>ItensPedido!E3606</f>
        <v/>
      </c>
      <c r="F3606" s="21">
        <f>IFERROR(INDEX(Pedidos!$B$2:$B$1801,MATCH(B3606,Pedidos!$A$2:$A$1801,0)),0)</f>
        <v/>
      </c>
      <c r="G3606" s="21">
        <f>IF(F3606=0,"",YEAR(F3606))</f>
        <v/>
      </c>
      <c r="H3606" s="21">
        <f>IF(F3606=0,"",MONTH(F3606))</f>
        <v/>
      </c>
      <c r="I3606" s="21">
        <f>IFERROR(INDEX(Pedidos!$E$2:$E$1801,MATCH(B3606,Pedidos!$A$2:$A$1801,0)),"")</f>
        <v/>
      </c>
      <c r="J3606" s="21">
        <f>IFERROR(INDEX(Pedidos!$C$2:$C$1801,MATCH(B3606,Pedidos!$A$2:$A$1801,0)),"")</f>
        <v/>
      </c>
      <c r="K3606" s="21">
        <f>IFERROR(INDEX(Pedidos!$D$2:$D$1801,MATCH(B3606,Pedidos!$A$2:$A$1801,0)),"")</f>
        <v/>
      </c>
      <c r="L3606" s="21">
        <f>IFERROR(INDEX(Pedidos!$F$2:$F$1801,MATCH(B3606,Pedidos!$A$2:$A$1801,0)),"")</f>
        <v/>
      </c>
      <c r="M3606" s="22">
        <f>IFERROR(INDEX(Pedidos!$G$2:$G$1801,MATCH(B3606,Pedidos!$A$2:$A$1801,0)),0)</f>
        <v/>
      </c>
      <c r="N3606" s="21">
        <f>IFERROR(INDEX(Produtos!$B$2:$B$71,MATCH(C3606,Produtos!$A$2:$A$71,0)),"")</f>
        <v/>
      </c>
      <c r="O3606" s="21">
        <f>IFERROR(INDEX(Produtos!$C$2:$C$71,MATCH(C3606,Produtos!$A$2:$A$71,0)),"")</f>
        <v/>
      </c>
      <c r="P3606" s="21">
        <f>IFERROR(INDEX(Produtos!$D$2:$D$71,MATCH(C3606,Produtos!$A$2:$A$71,0)),0)</f>
        <v/>
      </c>
      <c r="Q3606" s="21">
        <f>IFERROR(INDEX(Produtos!$E$2:$E$71,MATCH(C3606,Produtos!$A$2:$A$71,0)),0)</f>
        <v/>
      </c>
      <c r="R3606" s="23">
        <f>D3606*Q3606</f>
        <v/>
      </c>
      <c r="S3606" s="23">
        <f>R3606*E3606</f>
        <v/>
      </c>
      <c r="T3606" s="23">
        <f>(R3606-S3606)*M3606</f>
        <v/>
      </c>
      <c r="U3606" s="23">
        <f>R3606-S3606-T3606</f>
        <v/>
      </c>
      <c r="V3606" s="23">
        <f>D3606*P3606</f>
        <v/>
      </c>
      <c r="W3606" s="23">
        <f>U3606-V3606</f>
        <v/>
      </c>
      <c r="X3606" s="24">
        <f>IFERROR(W3606/U3606,0)</f>
        <v/>
      </c>
    </row>
    <row r="3607">
      <c r="A3607" s="25">
        <f>ItensPedido!A3607</f>
        <v/>
      </c>
      <c r="B3607" s="25">
        <f>ItensPedido!B3607</f>
        <v/>
      </c>
      <c r="C3607" s="25">
        <f>ItensPedido!C3607</f>
        <v/>
      </c>
      <c r="D3607" s="25">
        <f>ItensPedido!D3607</f>
        <v/>
      </c>
      <c r="E3607" s="26">
        <f>ItensPedido!E3607</f>
        <v/>
      </c>
      <c r="F3607" s="25">
        <f>IFERROR(INDEX(Pedidos!$B$2:$B$1801,MATCH(B3607,Pedidos!$A$2:$A$1801,0)),0)</f>
        <v/>
      </c>
      <c r="G3607" s="25">
        <f>IF(F3607=0,"",YEAR(F3607))</f>
        <v/>
      </c>
      <c r="H3607" s="25">
        <f>IF(F3607=0,"",MONTH(F3607))</f>
        <v/>
      </c>
      <c r="I3607" s="25">
        <f>IFERROR(INDEX(Pedidos!$E$2:$E$1801,MATCH(B3607,Pedidos!$A$2:$A$1801,0)),"")</f>
        <v/>
      </c>
      <c r="J3607" s="25">
        <f>IFERROR(INDEX(Pedidos!$C$2:$C$1801,MATCH(B3607,Pedidos!$A$2:$A$1801,0)),"")</f>
        <v/>
      </c>
      <c r="K3607" s="25">
        <f>IFERROR(INDEX(Pedidos!$D$2:$D$1801,MATCH(B3607,Pedidos!$A$2:$A$1801,0)),"")</f>
        <v/>
      </c>
      <c r="L3607" s="25">
        <f>IFERROR(INDEX(Pedidos!$F$2:$F$1801,MATCH(B3607,Pedidos!$A$2:$A$1801,0)),"")</f>
        <v/>
      </c>
      <c r="M3607" s="26">
        <f>IFERROR(INDEX(Pedidos!$G$2:$G$1801,MATCH(B3607,Pedidos!$A$2:$A$1801,0)),0)</f>
        <v/>
      </c>
      <c r="N3607" s="25">
        <f>IFERROR(INDEX(Produtos!$B$2:$B$71,MATCH(C3607,Produtos!$A$2:$A$71,0)),"")</f>
        <v/>
      </c>
      <c r="O3607" s="25">
        <f>IFERROR(INDEX(Produtos!$C$2:$C$71,MATCH(C3607,Produtos!$A$2:$A$71,0)),"")</f>
        <v/>
      </c>
      <c r="P3607" s="25">
        <f>IFERROR(INDEX(Produtos!$D$2:$D$71,MATCH(C3607,Produtos!$A$2:$A$71,0)),0)</f>
        <v/>
      </c>
      <c r="Q3607" s="25">
        <f>IFERROR(INDEX(Produtos!$E$2:$E$71,MATCH(C3607,Produtos!$A$2:$A$71,0)),0)</f>
        <v/>
      </c>
      <c r="R3607" s="27">
        <f>D3607*Q3607</f>
        <v/>
      </c>
      <c r="S3607" s="27">
        <f>R3607*E3607</f>
        <v/>
      </c>
      <c r="T3607" s="27">
        <f>(R3607-S3607)*M3607</f>
        <v/>
      </c>
      <c r="U3607" s="27">
        <f>R3607-S3607-T3607</f>
        <v/>
      </c>
      <c r="V3607" s="27">
        <f>D3607*P3607</f>
        <v/>
      </c>
      <c r="W3607" s="27">
        <f>U3607-V3607</f>
        <v/>
      </c>
      <c r="X3607" s="28">
        <f>IFERROR(W3607/U3607,0)</f>
        <v/>
      </c>
    </row>
    <row r="3608">
      <c r="A3608" s="21">
        <f>ItensPedido!A3608</f>
        <v/>
      </c>
      <c r="B3608" s="21">
        <f>ItensPedido!B3608</f>
        <v/>
      </c>
      <c r="C3608" s="21">
        <f>ItensPedido!C3608</f>
        <v/>
      </c>
      <c r="D3608" s="21">
        <f>ItensPedido!D3608</f>
        <v/>
      </c>
      <c r="E3608" s="22">
        <f>ItensPedido!E3608</f>
        <v/>
      </c>
      <c r="F3608" s="21">
        <f>IFERROR(INDEX(Pedidos!$B$2:$B$1801,MATCH(B3608,Pedidos!$A$2:$A$1801,0)),0)</f>
        <v/>
      </c>
      <c r="G3608" s="21">
        <f>IF(F3608=0,"",YEAR(F3608))</f>
        <v/>
      </c>
      <c r="H3608" s="21">
        <f>IF(F3608=0,"",MONTH(F3608))</f>
        <v/>
      </c>
      <c r="I3608" s="21">
        <f>IFERROR(INDEX(Pedidos!$E$2:$E$1801,MATCH(B3608,Pedidos!$A$2:$A$1801,0)),"")</f>
        <v/>
      </c>
      <c r="J3608" s="21">
        <f>IFERROR(INDEX(Pedidos!$C$2:$C$1801,MATCH(B3608,Pedidos!$A$2:$A$1801,0)),"")</f>
        <v/>
      </c>
      <c r="K3608" s="21">
        <f>IFERROR(INDEX(Pedidos!$D$2:$D$1801,MATCH(B3608,Pedidos!$A$2:$A$1801,0)),"")</f>
        <v/>
      </c>
      <c r="L3608" s="21">
        <f>IFERROR(INDEX(Pedidos!$F$2:$F$1801,MATCH(B3608,Pedidos!$A$2:$A$1801,0)),"")</f>
        <v/>
      </c>
      <c r="M3608" s="22">
        <f>IFERROR(INDEX(Pedidos!$G$2:$G$1801,MATCH(B3608,Pedidos!$A$2:$A$1801,0)),0)</f>
        <v/>
      </c>
      <c r="N3608" s="21">
        <f>IFERROR(INDEX(Produtos!$B$2:$B$71,MATCH(C3608,Produtos!$A$2:$A$71,0)),"")</f>
        <v/>
      </c>
      <c r="O3608" s="21">
        <f>IFERROR(INDEX(Produtos!$C$2:$C$71,MATCH(C3608,Produtos!$A$2:$A$71,0)),"")</f>
        <v/>
      </c>
      <c r="P3608" s="21">
        <f>IFERROR(INDEX(Produtos!$D$2:$D$71,MATCH(C3608,Produtos!$A$2:$A$71,0)),0)</f>
        <v/>
      </c>
      <c r="Q3608" s="21">
        <f>IFERROR(INDEX(Produtos!$E$2:$E$71,MATCH(C3608,Produtos!$A$2:$A$71,0)),0)</f>
        <v/>
      </c>
      <c r="R3608" s="23">
        <f>D3608*Q3608</f>
        <v/>
      </c>
      <c r="S3608" s="23">
        <f>R3608*E3608</f>
        <v/>
      </c>
      <c r="T3608" s="23">
        <f>(R3608-S3608)*M3608</f>
        <v/>
      </c>
      <c r="U3608" s="23">
        <f>R3608-S3608-T3608</f>
        <v/>
      </c>
      <c r="V3608" s="23">
        <f>D3608*P3608</f>
        <v/>
      </c>
      <c r="W3608" s="23">
        <f>U3608-V3608</f>
        <v/>
      </c>
      <c r="X3608" s="24">
        <f>IFERROR(W3608/U3608,0)</f>
        <v/>
      </c>
    </row>
    <row r="3609">
      <c r="A3609" s="25">
        <f>ItensPedido!A3609</f>
        <v/>
      </c>
      <c r="B3609" s="25">
        <f>ItensPedido!B3609</f>
        <v/>
      </c>
      <c r="C3609" s="25">
        <f>ItensPedido!C3609</f>
        <v/>
      </c>
      <c r="D3609" s="25">
        <f>ItensPedido!D3609</f>
        <v/>
      </c>
      <c r="E3609" s="26">
        <f>ItensPedido!E3609</f>
        <v/>
      </c>
      <c r="F3609" s="25">
        <f>IFERROR(INDEX(Pedidos!$B$2:$B$1801,MATCH(B3609,Pedidos!$A$2:$A$1801,0)),0)</f>
        <v/>
      </c>
      <c r="G3609" s="25">
        <f>IF(F3609=0,"",YEAR(F3609))</f>
        <v/>
      </c>
      <c r="H3609" s="25">
        <f>IF(F3609=0,"",MONTH(F3609))</f>
        <v/>
      </c>
      <c r="I3609" s="25">
        <f>IFERROR(INDEX(Pedidos!$E$2:$E$1801,MATCH(B3609,Pedidos!$A$2:$A$1801,0)),"")</f>
        <v/>
      </c>
      <c r="J3609" s="25">
        <f>IFERROR(INDEX(Pedidos!$C$2:$C$1801,MATCH(B3609,Pedidos!$A$2:$A$1801,0)),"")</f>
        <v/>
      </c>
      <c r="K3609" s="25">
        <f>IFERROR(INDEX(Pedidos!$D$2:$D$1801,MATCH(B3609,Pedidos!$A$2:$A$1801,0)),"")</f>
        <v/>
      </c>
      <c r="L3609" s="25">
        <f>IFERROR(INDEX(Pedidos!$F$2:$F$1801,MATCH(B3609,Pedidos!$A$2:$A$1801,0)),"")</f>
        <v/>
      </c>
      <c r="M3609" s="26">
        <f>IFERROR(INDEX(Pedidos!$G$2:$G$1801,MATCH(B3609,Pedidos!$A$2:$A$1801,0)),0)</f>
        <v/>
      </c>
      <c r="N3609" s="25">
        <f>IFERROR(INDEX(Produtos!$B$2:$B$71,MATCH(C3609,Produtos!$A$2:$A$71,0)),"")</f>
        <v/>
      </c>
      <c r="O3609" s="25">
        <f>IFERROR(INDEX(Produtos!$C$2:$C$71,MATCH(C3609,Produtos!$A$2:$A$71,0)),"")</f>
        <v/>
      </c>
      <c r="P3609" s="25">
        <f>IFERROR(INDEX(Produtos!$D$2:$D$71,MATCH(C3609,Produtos!$A$2:$A$71,0)),0)</f>
        <v/>
      </c>
      <c r="Q3609" s="25">
        <f>IFERROR(INDEX(Produtos!$E$2:$E$71,MATCH(C3609,Produtos!$A$2:$A$71,0)),0)</f>
        <v/>
      </c>
      <c r="R3609" s="27">
        <f>D3609*Q3609</f>
        <v/>
      </c>
      <c r="S3609" s="27">
        <f>R3609*E3609</f>
        <v/>
      </c>
      <c r="T3609" s="27">
        <f>(R3609-S3609)*M3609</f>
        <v/>
      </c>
      <c r="U3609" s="27">
        <f>R3609-S3609-T3609</f>
        <v/>
      </c>
      <c r="V3609" s="27">
        <f>D3609*P3609</f>
        <v/>
      </c>
      <c r="W3609" s="27">
        <f>U3609-V3609</f>
        <v/>
      </c>
      <c r="X3609" s="28">
        <f>IFERROR(W3609/U3609,0)</f>
        <v/>
      </c>
    </row>
    <row r="3610">
      <c r="A3610" s="21">
        <f>ItensPedido!A3610</f>
        <v/>
      </c>
      <c r="B3610" s="21">
        <f>ItensPedido!B3610</f>
        <v/>
      </c>
      <c r="C3610" s="21">
        <f>ItensPedido!C3610</f>
        <v/>
      </c>
      <c r="D3610" s="21">
        <f>ItensPedido!D3610</f>
        <v/>
      </c>
      <c r="E3610" s="22">
        <f>ItensPedido!E3610</f>
        <v/>
      </c>
      <c r="F3610" s="21">
        <f>IFERROR(INDEX(Pedidos!$B$2:$B$1801,MATCH(B3610,Pedidos!$A$2:$A$1801,0)),0)</f>
        <v/>
      </c>
      <c r="G3610" s="21">
        <f>IF(F3610=0,"",YEAR(F3610))</f>
        <v/>
      </c>
      <c r="H3610" s="21">
        <f>IF(F3610=0,"",MONTH(F3610))</f>
        <v/>
      </c>
      <c r="I3610" s="21">
        <f>IFERROR(INDEX(Pedidos!$E$2:$E$1801,MATCH(B3610,Pedidos!$A$2:$A$1801,0)),"")</f>
        <v/>
      </c>
      <c r="J3610" s="21">
        <f>IFERROR(INDEX(Pedidos!$C$2:$C$1801,MATCH(B3610,Pedidos!$A$2:$A$1801,0)),"")</f>
        <v/>
      </c>
      <c r="K3610" s="21">
        <f>IFERROR(INDEX(Pedidos!$D$2:$D$1801,MATCH(B3610,Pedidos!$A$2:$A$1801,0)),"")</f>
        <v/>
      </c>
      <c r="L3610" s="21">
        <f>IFERROR(INDEX(Pedidos!$F$2:$F$1801,MATCH(B3610,Pedidos!$A$2:$A$1801,0)),"")</f>
        <v/>
      </c>
      <c r="M3610" s="22">
        <f>IFERROR(INDEX(Pedidos!$G$2:$G$1801,MATCH(B3610,Pedidos!$A$2:$A$1801,0)),0)</f>
        <v/>
      </c>
      <c r="N3610" s="21">
        <f>IFERROR(INDEX(Produtos!$B$2:$B$71,MATCH(C3610,Produtos!$A$2:$A$71,0)),"")</f>
        <v/>
      </c>
      <c r="O3610" s="21">
        <f>IFERROR(INDEX(Produtos!$C$2:$C$71,MATCH(C3610,Produtos!$A$2:$A$71,0)),"")</f>
        <v/>
      </c>
      <c r="P3610" s="21">
        <f>IFERROR(INDEX(Produtos!$D$2:$D$71,MATCH(C3610,Produtos!$A$2:$A$71,0)),0)</f>
        <v/>
      </c>
      <c r="Q3610" s="21">
        <f>IFERROR(INDEX(Produtos!$E$2:$E$71,MATCH(C3610,Produtos!$A$2:$A$71,0)),0)</f>
        <v/>
      </c>
      <c r="R3610" s="23">
        <f>D3610*Q3610</f>
        <v/>
      </c>
      <c r="S3610" s="23">
        <f>R3610*E3610</f>
        <v/>
      </c>
      <c r="T3610" s="23">
        <f>(R3610-S3610)*M3610</f>
        <v/>
      </c>
      <c r="U3610" s="23">
        <f>R3610-S3610-T3610</f>
        <v/>
      </c>
      <c r="V3610" s="23">
        <f>D3610*P3610</f>
        <v/>
      </c>
      <c r="W3610" s="23">
        <f>U3610-V3610</f>
        <v/>
      </c>
      <c r="X3610" s="24">
        <f>IFERROR(W3610/U3610,0)</f>
        <v/>
      </c>
    </row>
    <row r="3611">
      <c r="A3611" s="25">
        <f>ItensPedido!A3611</f>
        <v/>
      </c>
      <c r="B3611" s="25">
        <f>ItensPedido!B3611</f>
        <v/>
      </c>
      <c r="C3611" s="25">
        <f>ItensPedido!C3611</f>
        <v/>
      </c>
      <c r="D3611" s="25">
        <f>ItensPedido!D3611</f>
        <v/>
      </c>
      <c r="E3611" s="26">
        <f>ItensPedido!E3611</f>
        <v/>
      </c>
      <c r="F3611" s="25">
        <f>IFERROR(INDEX(Pedidos!$B$2:$B$1801,MATCH(B3611,Pedidos!$A$2:$A$1801,0)),0)</f>
        <v/>
      </c>
      <c r="G3611" s="25">
        <f>IF(F3611=0,"",YEAR(F3611))</f>
        <v/>
      </c>
      <c r="H3611" s="25">
        <f>IF(F3611=0,"",MONTH(F3611))</f>
        <v/>
      </c>
      <c r="I3611" s="25">
        <f>IFERROR(INDEX(Pedidos!$E$2:$E$1801,MATCH(B3611,Pedidos!$A$2:$A$1801,0)),"")</f>
        <v/>
      </c>
      <c r="J3611" s="25">
        <f>IFERROR(INDEX(Pedidos!$C$2:$C$1801,MATCH(B3611,Pedidos!$A$2:$A$1801,0)),"")</f>
        <v/>
      </c>
      <c r="K3611" s="25">
        <f>IFERROR(INDEX(Pedidos!$D$2:$D$1801,MATCH(B3611,Pedidos!$A$2:$A$1801,0)),"")</f>
        <v/>
      </c>
      <c r="L3611" s="25">
        <f>IFERROR(INDEX(Pedidos!$F$2:$F$1801,MATCH(B3611,Pedidos!$A$2:$A$1801,0)),"")</f>
        <v/>
      </c>
      <c r="M3611" s="26">
        <f>IFERROR(INDEX(Pedidos!$G$2:$G$1801,MATCH(B3611,Pedidos!$A$2:$A$1801,0)),0)</f>
        <v/>
      </c>
      <c r="N3611" s="25">
        <f>IFERROR(INDEX(Produtos!$B$2:$B$71,MATCH(C3611,Produtos!$A$2:$A$71,0)),"")</f>
        <v/>
      </c>
      <c r="O3611" s="25">
        <f>IFERROR(INDEX(Produtos!$C$2:$C$71,MATCH(C3611,Produtos!$A$2:$A$71,0)),"")</f>
        <v/>
      </c>
      <c r="P3611" s="25">
        <f>IFERROR(INDEX(Produtos!$D$2:$D$71,MATCH(C3611,Produtos!$A$2:$A$71,0)),0)</f>
        <v/>
      </c>
      <c r="Q3611" s="25">
        <f>IFERROR(INDEX(Produtos!$E$2:$E$71,MATCH(C3611,Produtos!$A$2:$A$71,0)),0)</f>
        <v/>
      </c>
      <c r="R3611" s="27">
        <f>D3611*Q3611</f>
        <v/>
      </c>
      <c r="S3611" s="27">
        <f>R3611*E3611</f>
        <v/>
      </c>
      <c r="T3611" s="27">
        <f>(R3611-S3611)*M3611</f>
        <v/>
      </c>
      <c r="U3611" s="27">
        <f>R3611-S3611-T3611</f>
        <v/>
      </c>
      <c r="V3611" s="27">
        <f>D3611*P3611</f>
        <v/>
      </c>
      <c r="W3611" s="27">
        <f>U3611-V3611</f>
        <v/>
      </c>
      <c r="X3611" s="28">
        <f>IFERROR(W3611/U3611,0)</f>
        <v/>
      </c>
    </row>
    <row r="3612">
      <c r="A3612" s="21">
        <f>ItensPedido!A3612</f>
        <v/>
      </c>
      <c r="B3612" s="21">
        <f>ItensPedido!B3612</f>
        <v/>
      </c>
      <c r="C3612" s="21">
        <f>ItensPedido!C3612</f>
        <v/>
      </c>
      <c r="D3612" s="21">
        <f>ItensPedido!D3612</f>
        <v/>
      </c>
      <c r="E3612" s="22">
        <f>ItensPedido!E3612</f>
        <v/>
      </c>
      <c r="F3612" s="21">
        <f>IFERROR(INDEX(Pedidos!$B$2:$B$1801,MATCH(B3612,Pedidos!$A$2:$A$1801,0)),0)</f>
        <v/>
      </c>
      <c r="G3612" s="21">
        <f>IF(F3612=0,"",YEAR(F3612))</f>
        <v/>
      </c>
      <c r="H3612" s="21">
        <f>IF(F3612=0,"",MONTH(F3612))</f>
        <v/>
      </c>
      <c r="I3612" s="21">
        <f>IFERROR(INDEX(Pedidos!$E$2:$E$1801,MATCH(B3612,Pedidos!$A$2:$A$1801,0)),"")</f>
        <v/>
      </c>
      <c r="J3612" s="21">
        <f>IFERROR(INDEX(Pedidos!$C$2:$C$1801,MATCH(B3612,Pedidos!$A$2:$A$1801,0)),"")</f>
        <v/>
      </c>
      <c r="K3612" s="21">
        <f>IFERROR(INDEX(Pedidos!$D$2:$D$1801,MATCH(B3612,Pedidos!$A$2:$A$1801,0)),"")</f>
        <v/>
      </c>
      <c r="L3612" s="21">
        <f>IFERROR(INDEX(Pedidos!$F$2:$F$1801,MATCH(B3612,Pedidos!$A$2:$A$1801,0)),"")</f>
        <v/>
      </c>
      <c r="M3612" s="22">
        <f>IFERROR(INDEX(Pedidos!$G$2:$G$1801,MATCH(B3612,Pedidos!$A$2:$A$1801,0)),0)</f>
        <v/>
      </c>
      <c r="N3612" s="21">
        <f>IFERROR(INDEX(Produtos!$B$2:$B$71,MATCH(C3612,Produtos!$A$2:$A$71,0)),"")</f>
        <v/>
      </c>
      <c r="O3612" s="21">
        <f>IFERROR(INDEX(Produtos!$C$2:$C$71,MATCH(C3612,Produtos!$A$2:$A$71,0)),"")</f>
        <v/>
      </c>
      <c r="P3612" s="21">
        <f>IFERROR(INDEX(Produtos!$D$2:$D$71,MATCH(C3612,Produtos!$A$2:$A$71,0)),0)</f>
        <v/>
      </c>
      <c r="Q3612" s="21">
        <f>IFERROR(INDEX(Produtos!$E$2:$E$71,MATCH(C3612,Produtos!$A$2:$A$71,0)),0)</f>
        <v/>
      </c>
      <c r="R3612" s="23">
        <f>D3612*Q3612</f>
        <v/>
      </c>
      <c r="S3612" s="23">
        <f>R3612*E3612</f>
        <v/>
      </c>
      <c r="T3612" s="23">
        <f>(R3612-S3612)*M3612</f>
        <v/>
      </c>
      <c r="U3612" s="23">
        <f>R3612-S3612-T3612</f>
        <v/>
      </c>
      <c r="V3612" s="23">
        <f>D3612*P3612</f>
        <v/>
      </c>
      <c r="W3612" s="23">
        <f>U3612-V3612</f>
        <v/>
      </c>
      <c r="X3612" s="24">
        <f>IFERROR(W3612/U3612,0)</f>
        <v/>
      </c>
    </row>
    <row r="3613">
      <c r="A3613" s="25">
        <f>ItensPedido!A3613</f>
        <v/>
      </c>
      <c r="B3613" s="25">
        <f>ItensPedido!B3613</f>
        <v/>
      </c>
      <c r="C3613" s="25">
        <f>ItensPedido!C3613</f>
        <v/>
      </c>
      <c r="D3613" s="25">
        <f>ItensPedido!D3613</f>
        <v/>
      </c>
      <c r="E3613" s="26">
        <f>ItensPedido!E3613</f>
        <v/>
      </c>
      <c r="F3613" s="25">
        <f>IFERROR(INDEX(Pedidos!$B$2:$B$1801,MATCH(B3613,Pedidos!$A$2:$A$1801,0)),0)</f>
        <v/>
      </c>
      <c r="G3613" s="25">
        <f>IF(F3613=0,"",YEAR(F3613))</f>
        <v/>
      </c>
      <c r="H3613" s="25">
        <f>IF(F3613=0,"",MONTH(F3613))</f>
        <v/>
      </c>
      <c r="I3613" s="25">
        <f>IFERROR(INDEX(Pedidos!$E$2:$E$1801,MATCH(B3613,Pedidos!$A$2:$A$1801,0)),"")</f>
        <v/>
      </c>
      <c r="J3613" s="25">
        <f>IFERROR(INDEX(Pedidos!$C$2:$C$1801,MATCH(B3613,Pedidos!$A$2:$A$1801,0)),"")</f>
        <v/>
      </c>
      <c r="K3613" s="25">
        <f>IFERROR(INDEX(Pedidos!$D$2:$D$1801,MATCH(B3613,Pedidos!$A$2:$A$1801,0)),"")</f>
        <v/>
      </c>
      <c r="L3613" s="25">
        <f>IFERROR(INDEX(Pedidos!$F$2:$F$1801,MATCH(B3613,Pedidos!$A$2:$A$1801,0)),"")</f>
        <v/>
      </c>
      <c r="M3613" s="26">
        <f>IFERROR(INDEX(Pedidos!$G$2:$G$1801,MATCH(B3613,Pedidos!$A$2:$A$1801,0)),0)</f>
        <v/>
      </c>
      <c r="N3613" s="25">
        <f>IFERROR(INDEX(Produtos!$B$2:$B$71,MATCH(C3613,Produtos!$A$2:$A$71,0)),"")</f>
        <v/>
      </c>
      <c r="O3613" s="25">
        <f>IFERROR(INDEX(Produtos!$C$2:$C$71,MATCH(C3613,Produtos!$A$2:$A$71,0)),"")</f>
        <v/>
      </c>
      <c r="P3613" s="25">
        <f>IFERROR(INDEX(Produtos!$D$2:$D$71,MATCH(C3613,Produtos!$A$2:$A$71,0)),0)</f>
        <v/>
      </c>
      <c r="Q3613" s="25">
        <f>IFERROR(INDEX(Produtos!$E$2:$E$71,MATCH(C3613,Produtos!$A$2:$A$71,0)),0)</f>
        <v/>
      </c>
      <c r="R3613" s="27">
        <f>D3613*Q3613</f>
        <v/>
      </c>
      <c r="S3613" s="27">
        <f>R3613*E3613</f>
        <v/>
      </c>
      <c r="T3613" s="27">
        <f>(R3613-S3613)*M3613</f>
        <v/>
      </c>
      <c r="U3613" s="27">
        <f>R3613-S3613-T3613</f>
        <v/>
      </c>
      <c r="V3613" s="27">
        <f>D3613*P3613</f>
        <v/>
      </c>
      <c r="W3613" s="27">
        <f>U3613-V3613</f>
        <v/>
      </c>
      <c r="X3613" s="28">
        <f>IFERROR(W3613/U3613,0)</f>
        <v/>
      </c>
    </row>
    <row r="3614">
      <c r="A3614" s="21">
        <f>ItensPedido!A3614</f>
        <v/>
      </c>
      <c r="B3614" s="21">
        <f>ItensPedido!B3614</f>
        <v/>
      </c>
      <c r="C3614" s="21">
        <f>ItensPedido!C3614</f>
        <v/>
      </c>
      <c r="D3614" s="21">
        <f>ItensPedido!D3614</f>
        <v/>
      </c>
      <c r="E3614" s="22">
        <f>ItensPedido!E3614</f>
        <v/>
      </c>
      <c r="F3614" s="21">
        <f>IFERROR(INDEX(Pedidos!$B$2:$B$1801,MATCH(B3614,Pedidos!$A$2:$A$1801,0)),0)</f>
        <v/>
      </c>
      <c r="G3614" s="21">
        <f>IF(F3614=0,"",YEAR(F3614))</f>
        <v/>
      </c>
      <c r="H3614" s="21">
        <f>IF(F3614=0,"",MONTH(F3614))</f>
        <v/>
      </c>
      <c r="I3614" s="21">
        <f>IFERROR(INDEX(Pedidos!$E$2:$E$1801,MATCH(B3614,Pedidos!$A$2:$A$1801,0)),"")</f>
        <v/>
      </c>
      <c r="J3614" s="21">
        <f>IFERROR(INDEX(Pedidos!$C$2:$C$1801,MATCH(B3614,Pedidos!$A$2:$A$1801,0)),"")</f>
        <v/>
      </c>
      <c r="K3614" s="21">
        <f>IFERROR(INDEX(Pedidos!$D$2:$D$1801,MATCH(B3614,Pedidos!$A$2:$A$1801,0)),"")</f>
        <v/>
      </c>
      <c r="L3614" s="21">
        <f>IFERROR(INDEX(Pedidos!$F$2:$F$1801,MATCH(B3614,Pedidos!$A$2:$A$1801,0)),"")</f>
        <v/>
      </c>
      <c r="M3614" s="22">
        <f>IFERROR(INDEX(Pedidos!$G$2:$G$1801,MATCH(B3614,Pedidos!$A$2:$A$1801,0)),0)</f>
        <v/>
      </c>
      <c r="N3614" s="21">
        <f>IFERROR(INDEX(Produtos!$B$2:$B$71,MATCH(C3614,Produtos!$A$2:$A$71,0)),"")</f>
        <v/>
      </c>
      <c r="O3614" s="21">
        <f>IFERROR(INDEX(Produtos!$C$2:$C$71,MATCH(C3614,Produtos!$A$2:$A$71,0)),"")</f>
        <v/>
      </c>
      <c r="P3614" s="21">
        <f>IFERROR(INDEX(Produtos!$D$2:$D$71,MATCH(C3614,Produtos!$A$2:$A$71,0)),0)</f>
        <v/>
      </c>
      <c r="Q3614" s="21">
        <f>IFERROR(INDEX(Produtos!$E$2:$E$71,MATCH(C3614,Produtos!$A$2:$A$71,0)),0)</f>
        <v/>
      </c>
      <c r="R3614" s="23">
        <f>D3614*Q3614</f>
        <v/>
      </c>
      <c r="S3614" s="23">
        <f>R3614*E3614</f>
        <v/>
      </c>
      <c r="T3614" s="23">
        <f>(R3614-S3614)*M3614</f>
        <v/>
      </c>
      <c r="U3614" s="23">
        <f>R3614-S3614-T3614</f>
        <v/>
      </c>
      <c r="V3614" s="23">
        <f>D3614*P3614</f>
        <v/>
      </c>
      <c r="W3614" s="23">
        <f>U3614-V3614</f>
        <v/>
      </c>
      <c r="X3614" s="24">
        <f>IFERROR(W3614/U3614,0)</f>
        <v/>
      </c>
    </row>
    <row r="3615">
      <c r="A3615" s="25">
        <f>ItensPedido!A3615</f>
        <v/>
      </c>
      <c r="B3615" s="25">
        <f>ItensPedido!B3615</f>
        <v/>
      </c>
      <c r="C3615" s="25">
        <f>ItensPedido!C3615</f>
        <v/>
      </c>
      <c r="D3615" s="25">
        <f>ItensPedido!D3615</f>
        <v/>
      </c>
      <c r="E3615" s="26">
        <f>ItensPedido!E3615</f>
        <v/>
      </c>
      <c r="F3615" s="25">
        <f>IFERROR(INDEX(Pedidos!$B$2:$B$1801,MATCH(B3615,Pedidos!$A$2:$A$1801,0)),0)</f>
        <v/>
      </c>
      <c r="G3615" s="25">
        <f>IF(F3615=0,"",YEAR(F3615))</f>
        <v/>
      </c>
      <c r="H3615" s="25">
        <f>IF(F3615=0,"",MONTH(F3615))</f>
        <v/>
      </c>
      <c r="I3615" s="25">
        <f>IFERROR(INDEX(Pedidos!$E$2:$E$1801,MATCH(B3615,Pedidos!$A$2:$A$1801,0)),"")</f>
        <v/>
      </c>
      <c r="J3615" s="25">
        <f>IFERROR(INDEX(Pedidos!$C$2:$C$1801,MATCH(B3615,Pedidos!$A$2:$A$1801,0)),"")</f>
        <v/>
      </c>
      <c r="K3615" s="25">
        <f>IFERROR(INDEX(Pedidos!$D$2:$D$1801,MATCH(B3615,Pedidos!$A$2:$A$1801,0)),"")</f>
        <v/>
      </c>
      <c r="L3615" s="25">
        <f>IFERROR(INDEX(Pedidos!$F$2:$F$1801,MATCH(B3615,Pedidos!$A$2:$A$1801,0)),"")</f>
        <v/>
      </c>
      <c r="M3615" s="26">
        <f>IFERROR(INDEX(Pedidos!$G$2:$G$1801,MATCH(B3615,Pedidos!$A$2:$A$1801,0)),0)</f>
        <v/>
      </c>
      <c r="N3615" s="25">
        <f>IFERROR(INDEX(Produtos!$B$2:$B$71,MATCH(C3615,Produtos!$A$2:$A$71,0)),"")</f>
        <v/>
      </c>
      <c r="O3615" s="25">
        <f>IFERROR(INDEX(Produtos!$C$2:$C$71,MATCH(C3615,Produtos!$A$2:$A$71,0)),"")</f>
        <v/>
      </c>
      <c r="P3615" s="25">
        <f>IFERROR(INDEX(Produtos!$D$2:$D$71,MATCH(C3615,Produtos!$A$2:$A$71,0)),0)</f>
        <v/>
      </c>
      <c r="Q3615" s="25">
        <f>IFERROR(INDEX(Produtos!$E$2:$E$71,MATCH(C3615,Produtos!$A$2:$A$71,0)),0)</f>
        <v/>
      </c>
      <c r="R3615" s="27">
        <f>D3615*Q3615</f>
        <v/>
      </c>
      <c r="S3615" s="27">
        <f>R3615*E3615</f>
        <v/>
      </c>
      <c r="T3615" s="27">
        <f>(R3615-S3615)*M3615</f>
        <v/>
      </c>
      <c r="U3615" s="27">
        <f>R3615-S3615-T3615</f>
        <v/>
      </c>
      <c r="V3615" s="27">
        <f>D3615*P3615</f>
        <v/>
      </c>
      <c r="W3615" s="27">
        <f>U3615-V3615</f>
        <v/>
      </c>
      <c r="X3615" s="28">
        <f>IFERROR(W3615/U3615,0)</f>
        <v/>
      </c>
    </row>
    <row r="3616">
      <c r="A3616" s="21">
        <f>ItensPedido!A3616</f>
        <v/>
      </c>
      <c r="B3616" s="21">
        <f>ItensPedido!B3616</f>
        <v/>
      </c>
      <c r="C3616" s="21">
        <f>ItensPedido!C3616</f>
        <v/>
      </c>
      <c r="D3616" s="21">
        <f>ItensPedido!D3616</f>
        <v/>
      </c>
      <c r="E3616" s="22">
        <f>ItensPedido!E3616</f>
        <v/>
      </c>
      <c r="F3616" s="21">
        <f>IFERROR(INDEX(Pedidos!$B$2:$B$1801,MATCH(B3616,Pedidos!$A$2:$A$1801,0)),0)</f>
        <v/>
      </c>
      <c r="G3616" s="21">
        <f>IF(F3616=0,"",YEAR(F3616))</f>
        <v/>
      </c>
      <c r="H3616" s="21">
        <f>IF(F3616=0,"",MONTH(F3616))</f>
        <v/>
      </c>
      <c r="I3616" s="21">
        <f>IFERROR(INDEX(Pedidos!$E$2:$E$1801,MATCH(B3616,Pedidos!$A$2:$A$1801,0)),"")</f>
        <v/>
      </c>
      <c r="J3616" s="21">
        <f>IFERROR(INDEX(Pedidos!$C$2:$C$1801,MATCH(B3616,Pedidos!$A$2:$A$1801,0)),"")</f>
        <v/>
      </c>
      <c r="K3616" s="21">
        <f>IFERROR(INDEX(Pedidos!$D$2:$D$1801,MATCH(B3616,Pedidos!$A$2:$A$1801,0)),"")</f>
        <v/>
      </c>
      <c r="L3616" s="21">
        <f>IFERROR(INDEX(Pedidos!$F$2:$F$1801,MATCH(B3616,Pedidos!$A$2:$A$1801,0)),"")</f>
        <v/>
      </c>
      <c r="M3616" s="22">
        <f>IFERROR(INDEX(Pedidos!$G$2:$G$1801,MATCH(B3616,Pedidos!$A$2:$A$1801,0)),0)</f>
        <v/>
      </c>
      <c r="N3616" s="21">
        <f>IFERROR(INDEX(Produtos!$B$2:$B$71,MATCH(C3616,Produtos!$A$2:$A$71,0)),"")</f>
        <v/>
      </c>
      <c r="O3616" s="21">
        <f>IFERROR(INDEX(Produtos!$C$2:$C$71,MATCH(C3616,Produtos!$A$2:$A$71,0)),"")</f>
        <v/>
      </c>
      <c r="P3616" s="21">
        <f>IFERROR(INDEX(Produtos!$D$2:$D$71,MATCH(C3616,Produtos!$A$2:$A$71,0)),0)</f>
        <v/>
      </c>
      <c r="Q3616" s="21">
        <f>IFERROR(INDEX(Produtos!$E$2:$E$71,MATCH(C3616,Produtos!$A$2:$A$71,0)),0)</f>
        <v/>
      </c>
      <c r="R3616" s="23">
        <f>D3616*Q3616</f>
        <v/>
      </c>
      <c r="S3616" s="23">
        <f>R3616*E3616</f>
        <v/>
      </c>
      <c r="T3616" s="23">
        <f>(R3616-S3616)*M3616</f>
        <v/>
      </c>
      <c r="U3616" s="23">
        <f>R3616-S3616-T3616</f>
        <v/>
      </c>
      <c r="V3616" s="23">
        <f>D3616*P3616</f>
        <v/>
      </c>
      <c r="W3616" s="23">
        <f>U3616-V3616</f>
        <v/>
      </c>
      <c r="X3616" s="24">
        <f>IFERROR(W3616/U3616,0)</f>
        <v/>
      </c>
    </row>
    <row r="3617">
      <c r="A3617" s="25">
        <f>ItensPedido!A3617</f>
        <v/>
      </c>
      <c r="B3617" s="25">
        <f>ItensPedido!B3617</f>
        <v/>
      </c>
      <c r="C3617" s="25">
        <f>ItensPedido!C3617</f>
        <v/>
      </c>
      <c r="D3617" s="25">
        <f>ItensPedido!D3617</f>
        <v/>
      </c>
      <c r="E3617" s="26">
        <f>ItensPedido!E3617</f>
        <v/>
      </c>
      <c r="F3617" s="25">
        <f>IFERROR(INDEX(Pedidos!$B$2:$B$1801,MATCH(B3617,Pedidos!$A$2:$A$1801,0)),0)</f>
        <v/>
      </c>
      <c r="G3617" s="25">
        <f>IF(F3617=0,"",YEAR(F3617))</f>
        <v/>
      </c>
      <c r="H3617" s="25">
        <f>IF(F3617=0,"",MONTH(F3617))</f>
        <v/>
      </c>
      <c r="I3617" s="25">
        <f>IFERROR(INDEX(Pedidos!$E$2:$E$1801,MATCH(B3617,Pedidos!$A$2:$A$1801,0)),"")</f>
        <v/>
      </c>
      <c r="J3617" s="25">
        <f>IFERROR(INDEX(Pedidos!$C$2:$C$1801,MATCH(B3617,Pedidos!$A$2:$A$1801,0)),"")</f>
        <v/>
      </c>
      <c r="K3617" s="25">
        <f>IFERROR(INDEX(Pedidos!$D$2:$D$1801,MATCH(B3617,Pedidos!$A$2:$A$1801,0)),"")</f>
        <v/>
      </c>
      <c r="L3617" s="25">
        <f>IFERROR(INDEX(Pedidos!$F$2:$F$1801,MATCH(B3617,Pedidos!$A$2:$A$1801,0)),"")</f>
        <v/>
      </c>
      <c r="M3617" s="26">
        <f>IFERROR(INDEX(Pedidos!$G$2:$G$1801,MATCH(B3617,Pedidos!$A$2:$A$1801,0)),0)</f>
        <v/>
      </c>
      <c r="N3617" s="25">
        <f>IFERROR(INDEX(Produtos!$B$2:$B$71,MATCH(C3617,Produtos!$A$2:$A$71,0)),"")</f>
        <v/>
      </c>
      <c r="O3617" s="25">
        <f>IFERROR(INDEX(Produtos!$C$2:$C$71,MATCH(C3617,Produtos!$A$2:$A$71,0)),"")</f>
        <v/>
      </c>
      <c r="P3617" s="25">
        <f>IFERROR(INDEX(Produtos!$D$2:$D$71,MATCH(C3617,Produtos!$A$2:$A$71,0)),0)</f>
        <v/>
      </c>
      <c r="Q3617" s="25">
        <f>IFERROR(INDEX(Produtos!$E$2:$E$71,MATCH(C3617,Produtos!$A$2:$A$71,0)),0)</f>
        <v/>
      </c>
      <c r="R3617" s="27">
        <f>D3617*Q3617</f>
        <v/>
      </c>
      <c r="S3617" s="27">
        <f>R3617*E3617</f>
        <v/>
      </c>
      <c r="T3617" s="27">
        <f>(R3617-S3617)*M3617</f>
        <v/>
      </c>
      <c r="U3617" s="27">
        <f>R3617-S3617-T3617</f>
        <v/>
      </c>
      <c r="V3617" s="27">
        <f>D3617*P3617</f>
        <v/>
      </c>
      <c r="W3617" s="27">
        <f>U3617-V3617</f>
        <v/>
      </c>
      <c r="X3617" s="28">
        <f>IFERROR(W3617/U3617,0)</f>
        <v/>
      </c>
    </row>
    <row r="3618">
      <c r="A3618" s="21">
        <f>ItensPedido!A3618</f>
        <v/>
      </c>
      <c r="B3618" s="21">
        <f>ItensPedido!B3618</f>
        <v/>
      </c>
      <c r="C3618" s="21">
        <f>ItensPedido!C3618</f>
        <v/>
      </c>
      <c r="D3618" s="21">
        <f>ItensPedido!D3618</f>
        <v/>
      </c>
      <c r="E3618" s="22">
        <f>ItensPedido!E3618</f>
        <v/>
      </c>
      <c r="F3618" s="21">
        <f>IFERROR(INDEX(Pedidos!$B$2:$B$1801,MATCH(B3618,Pedidos!$A$2:$A$1801,0)),0)</f>
        <v/>
      </c>
      <c r="G3618" s="21">
        <f>IF(F3618=0,"",YEAR(F3618))</f>
        <v/>
      </c>
      <c r="H3618" s="21">
        <f>IF(F3618=0,"",MONTH(F3618))</f>
        <v/>
      </c>
      <c r="I3618" s="21">
        <f>IFERROR(INDEX(Pedidos!$E$2:$E$1801,MATCH(B3618,Pedidos!$A$2:$A$1801,0)),"")</f>
        <v/>
      </c>
      <c r="J3618" s="21">
        <f>IFERROR(INDEX(Pedidos!$C$2:$C$1801,MATCH(B3618,Pedidos!$A$2:$A$1801,0)),"")</f>
        <v/>
      </c>
      <c r="K3618" s="21">
        <f>IFERROR(INDEX(Pedidos!$D$2:$D$1801,MATCH(B3618,Pedidos!$A$2:$A$1801,0)),"")</f>
        <v/>
      </c>
      <c r="L3618" s="21">
        <f>IFERROR(INDEX(Pedidos!$F$2:$F$1801,MATCH(B3618,Pedidos!$A$2:$A$1801,0)),"")</f>
        <v/>
      </c>
      <c r="M3618" s="22">
        <f>IFERROR(INDEX(Pedidos!$G$2:$G$1801,MATCH(B3618,Pedidos!$A$2:$A$1801,0)),0)</f>
        <v/>
      </c>
      <c r="N3618" s="21">
        <f>IFERROR(INDEX(Produtos!$B$2:$B$71,MATCH(C3618,Produtos!$A$2:$A$71,0)),"")</f>
        <v/>
      </c>
      <c r="O3618" s="21">
        <f>IFERROR(INDEX(Produtos!$C$2:$C$71,MATCH(C3618,Produtos!$A$2:$A$71,0)),"")</f>
        <v/>
      </c>
      <c r="P3618" s="21">
        <f>IFERROR(INDEX(Produtos!$D$2:$D$71,MATCH(C3618,Produtos!$A$2:$A$71,0)),0)</f>
        <v/>
      </c>
      <c r="Q3618" s="21">
        <f>IFERROR(INDEX(Produtos!$E$2:$E$71,MATCH(C3618,Produtos!$A$2:$A$71,0)),0)</f>
        <v/>
      </c>
      <c r="R3618" s="23">
        <f>D3618*Q3618</f>
        <v/>
      </c>
      <c r="S3618" s="23">
        <f>R3618*E3618</f>
        <v/>
      </c>
      <c r="T3618" s="23">
        <f>(R3618-S3618)*M3618</f>
        <v/>
      </c>
      <c r="U3618" s="23">
        <f>R3618-S3618-T3618</f>
        <v/>
      </c>
      <c r="V3618" s="23">
        <f>D3618*P3618</f>
        <v/>
      </c>
      <c r="W3618" s="23">
        <f>U3618-V3618</f>
        <v/>
      </c>
      <c r="X3618" s="24">
        <f>IFERROR(W3618/U3618,0)</f>
        <v/>
      </c>
    </row>
    <row r="3619">
      <c r="A3619" s="25">
        <f>ItensPedido!A3619</f>
        <v/>
      </c>
      <c r="B3619" s="25">
        <f>ItensPedido!B3619</f>
        <v/>
      </c>
      <c r="C3619" s="25">
        <f>ItensPedido!C3619</f>
        <v/>
      </c>
      <c r="D3619" s="25">
        <f>ItensPedido!D3619</f>
        <v/>
      </c>
      <c r="E3619" s="26">
        <f>ItensPedido!E3619</f>
        <v/>
      </c>
      <c r="F3619" s="25">
        <f>IFERROR(INDEX(Pedidos!$B$2:$B$1801,MATCH(B3619,Pedidos!$A$2:$A$1801,0)),0)</f>
        <v/>
      </c>
      <c r="G3619" s="25">
        <f>IF(F3619=0,"",YEAR(F3619))</f>
        <v/>
      </c>
      <c r="H3619" s="25">
        <f>IF(F3619=0,"",MONTH(F3619))</f>
        <v/>
      </c>
      <c r="I3619" s="25">
        <f>IFERROR(INDEX(Pedidos!$E$2:$E$1801,MATCH(B3619,Pedidos!$A$2:$A$1801,0)),"")</f>
        <v/>
      </c>
      <c r="J3619" s="25">
        <f>IFERROR(INDEX(Pedidos!$C$2:$C$1801,MATCH(B3619,Pedidos!$A$2:$A$1801,0)),"")</f>
        <v/>
      </c>
      <c r="K3619" s="25">
        <f>IFERROR(INDEX(Pedidos!$D$2:$D$1801,MATCH(B3619,Pedidos!$A$2:$A$1801,0)),"")</f>
        <v/>
      </c>
      <c r="L3619" s="25">
        <f>IFERROR(INDEX(Pedidos!$F$2:$F$1801,MATCH(B3619,Pedidos!$A$2:$A$1801,0)),"")</f>
        <v/>
      </c>
      <c r="M3619" s="26">
        <f>IFERROR(INDEX(Pedidos!$G$2:$G$1801,MATCH(B3619,Pedidos!$A$2:$A$1801,0)),0)</f>
        <v/>
      </c>
      <c r="N3619" s="25">
        <f>IFERROR(INDEX(Produtos!$B$2:$B$71,MATCH(C3619,Produtos!$A$2:$A$71,0)),"")</f>
        <v/>
      </c>
      <c r="O3619" s="25">
        <f>IFERROR(INDEX(Produtos!$C$2:$C$71,MATCH(C3619,Produtos!$A$2:$A$71,0)),"")</f>
        <v/>
      </c>
      <c r="P3619" s="25">
        <f>IFERROR(INDEX(Produtos!$D$2:$D$71,MATCH(C3619,Produtos!$A$2:$A$71,0)),0)</f>
        <v/>
      </c>
      <c r="Q3619" s="25">
        <f>IFERROR(INDEX(Produtos!$E$2:$E$71,MATCH(C3619,Produtos!$A$2:$A$71,0)),0)</f>
        <v/>
      </c>
      <c r="R3619" s="27">
        <f>D3619*Q3619</f>
        <v/>
      </c>
      <c r="S3619" s="27">
        <f>R3619*E3619</f>
        <v/>
      </c>
      <c r="T3619" s="27">
        <f>(R3619-S3619)*M3619</f>
        <v/>
      </c>
      <c r="U3619" s="27">
        <f>R3619-S3619-T3619</f>
        <v/>
      </c>
      <c r="V3619" s="27">
        <f>D3619*P3619</f>
        <v/>
      </c>
      <c r="W3619" s="27">
        <f>U3619-V3619</f>
        <v/>
      </c>
      <c r="X3619" s="28">
        <f>IFERROR(W3619/U3619,0)</f>
        <v/>
      </c>
    </row>
    <row r="3620">
      <c r="A3620" s="21">
        <f>ItensPedido!A3620</f>
        <v/>
      </c>
      <c r="B3620" s="21">
        <f>ItensPedido!B3620</f>
        <v/>
      </c>
      <c r="C3620" s="21">
        <f>ItensPedido!C3620</f>
        <v/>
      </c>
      <c r="D3620" s="21">
        <f>ItensPedido!D3620</f>
        <v/>
      </c>
      <c r="E3620" s="22">
        <f>ItensPedido!E3620</f>
        <v/>
      </c>
      <c r="F3620" s="21">
        <f>IFERROR(INDEX(Pedidos!$B$2:$B$1801,MATCH(B3620,Pedidos!$A$2:$A$1801,0)),0)</f>
        <v/>
      </c>
      <c r="G3620" s="21">
        <f>IF(F3620=0,"",YEAR(F3620))</f>
        <v/>
      </c>
      <c r="H3620" s="21">
        <f>IF(F3620=0,"",MONTH(F3620))</f>
        <v/>
      </c>
      <c r="I3620" s="21">
        <f>IFERROR(INDEX(Pedidos!$E$2:$E$1801,MATCH(B3620,Pedidos!$A$2:$A$1801,0)),"")</f>
        <v/>
      </c>
      <c r="J3620" s="21">
        <f>IFERROR(INDEX(Pedidos!$C$2:$C$1801,MATCH(B3620,Pedidos!$A$2:$A$1801,0)),"")</f>
        <v/>
      </c>
      <c r="K3620" s="21">
        <f>IFERROR(INDEX(Pedidos!$D$2:$D$1801,MATCH(B3620,Pedidos!$A$2:$A$1801,0)),"")</f>
        <v/>
      </c>
      <c r="L3620" s="21">
        <f>IFERROR(INDEX(Pedidos!$F$2:$F$1801,MATCH(B3620,Pedidos!$A$2:$A$1801,0)),"")</f>
        <v/>
      </c>
      <c r="M3620" s="22">
        <f>IFERROR(INDEX(Pedidos!$G$2:$G$1801,MATCH(B3620,Pedidos!$A$2:$A$1801,0)),0)</f>
        <v/>
      </c>
      <c r="N3620" s="21">
        <f>IFERROR(INDEX(Produtos!$B$2:$B$71,MATCH(C3620,Produtos!$A$2:$A$71,0)),"")</f>
        <v/>
      </c>
      <c r="O3620" s="21">
        <f>IFERROR(INDEX(Produtos!$C$2:$C$71,MATCH(C3620,Produtos!$A$2:$A$71,0)),"")</f>
        <v/>
      </c>
      <c r="P3620" s="21">
        <f>IFERROR(INDEX(Produtos!$D$2:$D$71,MATCH(C3620,Produtos!$A$2:$A$71,0)),0)</f>
        <v/>
      </c>
      <c r="Q3620" s="21">
        <f>IFERROR(INDEX(Produtos!$E$2:$E$71,MATCH(C3620,Produtos!$A$2:$A$71,0)),0)</f>
        <v/>
      </c>
      <c r="R3620" s="23">
        <f>D3620*Q3620</f>
        <v/>
      </c>
      <c r="S3620" s="23">
        <f>R3620*E3620</f>
        <v/>
      </c>
      <c r="T3620" s="23">
        <f>(R3620-S3620)*M3620</f>
        <v/>
      </c>
      <c r="U3620" s="23">
        <f>R3620-S3620-T3620</f>
        <v/>
      </c>
      <c r="V3620" s="23">
        <f>D3620*P3620</f>
        <v/>
      </c>
      <c r="W3620" s="23">
        <f>U3620-V3620</f>
        <v/>
      </c>
      <c r="X3620" s="24">
        <f>IFERROR(W3620/U3620,0)</f>
        <v/>
      </c>
    </row>
    <row r="3621">
      <c r="A3621" s="25">
        <f>ItensPedido!A3621</f>
        <v/>
      </c>
      <c r="B3621" s="25">
        <f>ItensPedido!B3621</f>
        <v/>
      </c>
      <c r="C3621" s="25">
        <f>ItensPedido!C3621</f>
        <v/>
      </c>
      <c r="D3621" s="25">
        <f>ItensPedido!D3621</f>
        <v/>
      </c>
      <c r="E3621" s="26">
        <f>ItensPedido!E3621</f>
        <v/>
      </c>
      <c r="F3621" s="25">
        <f>IFERROR(INDEX(Pedidos!$B$2:$B$1801,MATCH(B3621,Pedidos!$A$2:$A$1801,0)),0)</f>
        <v/>
      </c>
      <c r="G3621" s="25">
        <f>IF(F3621=0,"",YEAR(F3621))</f>
        <v/>
      </c>
      <c r="H3621" s="25">
        <f>IF(F3621=0,"",MONTH(F3621))</f>
        <v/>
      </c>
      <c r="I3621" s="25">
        <f>IFERROR(INDEX(Pedidos!$E$2:$E$1801,MATCH(B3621,Pedidos!$A$2:$A$1801,0)),"")</f>
        <v/>
      </c>
      <c r="J3621" s="25">
        <f>IFERROR(INDEX(Pedidos!$C$2:$C$1801,MATCH(B3621,Pedidos!$A$2:$A$1801,0)),"")</f>
        <v/>
      </c>
      <c r="K3621" s="25">
        <f>IFERROR(INDEX(Pedidos!$D$2:$D$1801,MATCH(B3621,Pedidos!$A$2:$A$1801,0)),"")</f>
        <v/>
      </c>
      <c r="L3621" s="25">
        <f>IFERROR(INDEX(Pedidos!$F$2:$F$1801,MATCH(B3621,Pedidos!$A$2:$A$1801,0)),"")</f>
        <v/>
      </c>
      <c r="M3621" s="26">
        <f>IFERROR(INDEX(Pedidos!$G$2:$G$1801,MATCH(B3621,Pedidos!$A$2:$A$1801,0)),0)</f>
        <v/>
      </c>
      <c r="N3621" s="25">
        <f>IFERROR(INDEX(Produtos!$B$2:$B$71,MATCH(C3621,Produtos!$A$2:$A$71,0)),"")</f>
        <v/>
      </c>
      <c r="O3621" s="25">
        <f>IFERROR(INDEX(Produtos!$C$2:$C$71,MATCH(C3621,Produtos!$A$2:$A$71,0)),"")</f>
        <v/>
      </c>
      <c r="P3621" s="25">
        <f>IFERROR(INDEX(Produtos!$D$2:$D$71,MATCH(C3621,Produtos!$A$2:$A$71,0)),0)</f>
        <v/>
      </c>
      <c r="Q3621" s="25">
        <f>IFERROR(INDEX(Produtos!$E$2:$E$71,MATCH(C3621,Produtos!$A$2:$A$71,0)),0)</f>
        <v/>
      </c>
      <c r="R3621" s="27">
        <f>D3621*Q3621</f>
        <v/>
      </c>
      <c r="S3621" s="27">
        <f>R3621*E3621</f>
        <v/>
      </c>
      <c r="T3621" s="27">
        <f>(R3621-S3621)*M3621</f>
        <v/>
      </c>
      <c r="U3621" s="27">
        <f>R3621-S3621-T3621</f>
        <v/>
      </c>
      <c r="V3621" s="27">
        <f>D3621*P3621</f>
        <v/>
      </c>
      <c r="W3621" s="27">
        <f>U3621-V3621</f>
        <v/>
      </c>
      <c r="X3621" s="28">
        <f>IFERROR(W3621/U3621,0)</f>
        <v/>
      </c>
    </row>
    <row r="3622">
      <c r="A3622" s="21">
        <f>ItensPedido!A3622</f>
        <v/>
      </c>
      <c r="B3622" s="21">
        <f>ItensPedido!B3622</f>
        <v/>
      </c>
      <c r="C3622" s="21">
        <f>ItensPedido!C3622</f>
        <v/>
      </c>
      <c r="D3622" s="21">
        <f>ItensPedido!D3622</f>
        <v/>
      </c>
      <c r="E3622" s="22">
        <f>ItensPedido!E3622</f>
        <v/>
      </c>
      <c r="F3622" s="21">
        <f>IFERROR(INDEX(Pedidos!$B$2:$B$1801,MATCH(B3622,Pedidos!$A$2:$A$1801,0)),0)</f>
        <v/>
      </c>
      <c r="G3622" s="21">
        <f>IF(F3622=0,"",YEAR(F3622))</f>
        <v/>
      </c>
      <c r="H3622" s="21">
        <f>IF(F3622=0,"",MONTH(F3622))</f>
        <v/>
      </c>
      <c r="I3622" s="21">
        <f>IFERROR(INDEX(Pedidos!$E$2:$E$1801,MATCH(B3622,Pedidos!$A$2:$A$1801,0)),"")</f>
        <v/>
      </c>
      <c r="J3622" s="21">
        <f>IFERROR(INDEX(Pedidos!$C$2:$C$1801,MATCH(B3622,Pedidos!$A$2:$A$1801,0)),"")</f>
        <v/>
      </c>
      <c r="K3622" s="21">
        <f>IFERROR(INDEX(Pedidos!$D$2:$D$1801,MATCH(B3622,Pedidos!$A$2:$A$1801,0)),"")</f>
        <v/>
      </c>
      <c r="L3622" s="21">
        <f>IFERROR(INDEX(Pedidos!$F$2:$F$1801,MATCH(B3622,Pedidos!$A$2:$A$1801,0)),"")</f>
        <v/>
      </c>
      <c r="M3622" s="22">
        <f>IFERROR(INDEX(Pedidos!$G$2:$G$1801,MATCH(B3622,Pedidos!$A$2:$A$1801,0)),0)</f>
        <v/>
      </c>
      <c r="N3622" s="21">
        <f>IFERROR(INDEX(Produtos!$B$2:$B$71,MATCH(C3622,Produtos!$A$2:$A$71,0)),"")</f>
        <v/>
      </c>
      <c r="O3622" s="21">
        <f>IFERROR(INDEX(Produtos!$C$2:$C$71,MATCH(C3622,Produtos!$A$2:$A$71,0)),"")</f>
        <v/>
      </c>
      <c r="P3622" s="21">
        <f>IFERROR(INDEX(Produtos!$D$2:$D$71,MATCH(C3622,Produtos!$A$2:$A$71,0)),0)</f>
        <v/>
      </c>
      <c r="Q3622" s="21">
        <f>IFERROR(INDEX(Produtos!$E$2:$E$71,MATCH(C3622,Produtos!$A$2:$A$71,0)),0)</f>
        <v/>
      </c>
      <c r="R3622" s="23">
        <f>D3622*Q3622</f>
        <v/>
      </c>
      <c r="S3622" s="23">
        <f>R3622*E3622</f>
        <v/>
      </c>
      <c r="T3622" s="23">
        <f>(R3622-S3622)*M3622</f>
        <v/>
      </c>
      <c r="U3622" s="23">
        <f>R3622-S3622-T3622</f>
        <v/>
      </c>
      <c r="V3622" s="23">
        <f>D3622*P3622</f>
        <v/>
      </c>
      <c r="W3622" s="23">
        <f>U3622-V3622</f>
        <v/>
      </c>
      <c r="X3622" s="24">
        <f>IFERROR(W3622/U3622,0)</f>
        <v/>
      </c>
    </row>
    <row r="3623">
      <c r="A3623" s="25">
        <f>ItensPedido!A3623</f>
        <v/>
      </c>
      <c r="B3623" s="25">
        <f>ItensPedido!B3623</f>
        <v/>
      </c>
      <c r="C3623" s="25">
        <f>ItensPedido!C3623</f>
        <v/>
      </c>
      <c r="D3623" s="25">
        <f>ItensPedido!D3623</f>
        <v/>
      </c>
      <c r="E3623" s="26">
        <f>ItensPedido!E3623</f>
        <v/>
      </c>
      <c r="F3623" s="25">
        <f>IFERROR(INDEX(Pedidos!$B$2:$B$1801,MATCH(B3623,Pedidos!$A$2:$A$1801,0)),0)</f>
        <v/>
      </c>
      <c r="G3623" s="25">
        <f>IF(F3623=0,"",YEAR(F3623))</f>
        <v/>
      </c>
      <c r="H3623" s="25">
        <f>IF(F3623=0,"",MONTH(F3623))</f>
        <v/>
      </c>
      <c r="I3623" s="25">
        <f>IFERROR(INDEX(Pedidos!$E$2:$E$1801,MATCH(B3623,Pedidos!$A$2:$A$1801,0)),"")</f>
        <v/>
      </c>
      <c r="J3623" s="25">
        <f>IFERROR(INDEX(Pedidos!$C$2:$C$1801,MATCH(B3623,Pedidos!$A$2:$A$1801,0)),"")</f>
        <v/>
      </c>
      <c r="K3623" s="25">
        <f>IFERROR(INDEX(Pedidos!$D$2:$D$1801,MATCH(B3623,Pedidos!$A$2:$A$1801,0)),"")</f>
        <v/>
      </c>
      <c r="L3623" s="25">
        <f>IFERROR(INDEX(Pedidos!$F$2:$F$1801,MATCH(B3623,Pedidos!$A$2:$A$1801,0)),"")</f>
        <v/>
      </c>
      <c r="M3623" s="26">
        <f>IFERROR(INDEX(Pedidos!$G$2:$G$1801,MATCH(B3623,Pedidos!$A$2:$A$1801,0)),0)</f>
        <v/>
      </c>
      <c r="N3623" s="25">
        <f>IFERROR(INDEX(Produtos!$B$2:$B$71,MATCH(C3623,Produtos!$A$2:$A$71,0)),"")</f>
        <v/>
      </c>
      <c r="O3623" s="25">
        <f>IFERROR(INDEX(Produtos!$C$2:$C$71,MATCH(C3623,Produtos!$A$2:$A$71,0)),"")</f>
        <v/>
      </c>
      <c r="P3623" s="25">
        <f>IFERROR(INDEX(Produtos!$D$2:$D$71,MATCH(C3623,Produtos!$A$2:$A$71,0)),0)</f>
        <v/>
      </c>
      <c r="Q3623" s="25">
        <f>IFERROR(INDEX(Produtos!$E$2:$E$71,MATCH(C3623,Produtos!$A$2:$A$71,0)),0)</f>
        <v/>
      </c>
      <c r="R3623" s="27">
        <f>D3623*Q3623</f>
        <v/>
      </c>
      <c r="S3623" s="27">
        <f>R3623*E3623</f>
        <v/>
      </c>
      <c r="T3623" s="27">
        <f>(R3623-S3623)*M3623</f>
        <v/>
      </c>
      <c r="U3623" s="27">
        <f>R3623-S3623-T3623</f>
        <v/>
      </c>
      <c r="V3623" s="27">
        <f>D3623*P3623</f>
        <v/>
      </c>
      <c r="W3623" s="27">
        <f>U3623-V3623</f>
        <v/>
      </c>
      <c r="X3623" s="28">
        <f>IFERROR(W3623/U3623,0)</f>
        <v/>
      </c>
    </row>
    <row r="3624">
      <c r="A3624" s="21">
        <f>ItensPedido!A3624</f>
        <v/>
      </c>
      <c r="B3624" s="21">
        <f>ItensPedido!B3624</f>
        <v/>
      </c>
      <c r="C3624" s="21">
        <f>ItensPedido!C3624</f>
        <v/>
      </c>
      <c r="D3624" s="21">
        <f>ItensPedido!D3624</f>
        <v/>
      </c>
      <c r="E3624" s="22">
        <f>ItensPedido!E3624</f>
        <v/>
      </c>
      <c r="F3624" s="21">
        <f>IFERROR(INDEX(Pedidos!$B$2:$B$1801,MATCH(B3624,Pedidos!$A$2:$A$1801,0)),0)</f>
        <v/>
      </c>
      <c r="G3624" s="21">
        <f>IF(F3624=0,"",YEAR(F3624))</f>
        <v/>
      </c>
      <c r="H3624" s="21">
        <f>IF(F3624=0,"",MONTH(F3624))</f>
        <v/>
      </c>
      <c r="I3624" s="21">
        <f>IFERROR(INDEX(Pedidos!$E$2:$E$1801,MATCH(B3624,Pedidos!$A$2:$A$1801,0)),"")</f>
        <v/>
      </c>
      <c r="J3624" s="21">
        <f>IFERROR(INDEX(Pedidos!$C$2:$C$1801,MATCH(B3624,Pedidos!$A$2:$A$1801,0)),"")</f>
        <v/>
      </c>
      <c r="K3624" s="21">
        <f>IFERROR(INDEX(Pedidos!$D$2:$D$1801,MATCH(B3624,Pedidos!$A$2:$A$1801,0)),"")</f>
        <v/>
      </c>
      <c r="L3624" s="21">
        <f>IFERROR(INDEX(Pedidos!$F$2:$F$1801,MATCH(B3624,Pedidos!$A$2:$A$1801,0)),"")</f>
        <v/>
      </c>
      <c r="M3624" s="22">
        <f>IFERROR(INDEX(Pedidos!$G$2:$G$1801,MATCH(B3624,Pedidos!$A$2:$A$1801,0)),0)</f>
        <v/>
      </c>
      <c r="N3624" s="21">
        <f>IFERROR(INDEX(Produtos!$B$2:$B$71,MATCH(C3624,Produtos!$A$2:$A$71,0)),"")</f>
        <v/>
      </c>
      <c r="O3624" s="21">
        <f>IFERROR(INDEX(Produtos!$C$2:$C$71,MATCH(C3624,Produtos!$A$2:$A$71,0)),"")</f>
        <v/>
      </c>
      <c r="P3624" s="21">
        <f>IFERROR(INDEX(Produtos!$D$2:$D$71,MATCH(C3624,Produtos!$A$2:$A$71,0)),0)</f>
        <v/>
      </c>
      <c r="Q3624" s="21">
        <f>IFERROR(INDEX(Produtos!$E$2:$E$71,MATCH(C3624,Produtos!$A$2:$A$71,0)),0)</f>
        <v/>
      </c>
      <c r="R3624" s="23">
        <f>D3624*Q3624</f>
        <v/>
      </c>
      <c r="S3624" s="23">
        <f>R3624*E3624</f>
        <v/>
      </c>
      <c r="T3624" s="23">
        <f>(R3624-S3624)*M3624</f>
        <v/>
      </c>
      <c r="U3624" s="23">
        <f>R3624-S3624-T3624</f>
        <v/>
      </c>
      <c r="V3624" s="23">
        <f>D3624*P3624</f>
        <v/>
      </c>
      <c r="W3624" s="23">
        <f>U3624-V3624</f>
        <v/>
      </c>
      <c r="X3624" s="24">
        <f>IFERROR(W3624/U3624,0)</f>
        <v/>
      </c>
    </row>
    <row r="3625">
      <c r="A3625" s="25">
        <f>ItensPedido!A3625</f>
        <v/>
      </c>
      <c r="B3625" s="25">
        <f>ItensPedido!B3625</f>
        <v/>
      </c>
      <c r="C3625" s="25">
        <f>ItensPedido!C3625</f>
        <v/>
      </c>
      <c r="D3625" s="25">
        <f>ItensPedido!D3625</f>
        <v/>
      </c>
      <c r="E3625" s="26">
        <f>ItensPedido!E3625</f>
        <v/>
      </c>
      <c r="F3625" s="25">
        <f>IFERROR(INDEX(Pedidos!$B$2:$B$1801,MATCH(B3625,Pedidos!$A$2:$A$1801,0)),0)</f>
        <v/>
      </c>
      <c r="G3625" s="25">
        <f>IF(F3625=0,"",YEAR(F3625))</f>
        <v/>
      </c>
      <c r="H3625" s="25">
        <f>IF(F3625=0,"",MONTH(F3625))</f>
        <v/>
      </c>
      <c r="I3625" s="25">
        <f>IFERROR(INDEX(Pedidos!$E$2:$E$1801,MATCH(B3625,Pedidos!$A$2:$A$1801,0)),"")</f>
        <v/>
      </c>
      <c r="J3625" s="25">
        <f>IFERROR(INDEX(Pedidos!$C$2:$C$1801,MATCH(B3625,Pedidos!$A$2:$A$1801,0)),"")</f>
        <v/>
      </c>
      <c r="K3625" s="25">
        <f>IFERROR(INDEX(Pedidos!$D$2:$D$1801,MATCH(B3625,Pedidos!$A$2:$A$1801,0)),"")</f>
        <v/>
      </c>
      <c r="L3625" s="25">
        <f>IFERROR(INDEX(Pedidos!$F$2:$F$1801,MATCH(B3625,Pedidos!$A$2:$A$1801,0)),"")</f>
        <v/>
      </c>
      <c r="M3625" s="26">
        <f>IFERROR(INDEX(Pedidos!$G$2:$G$1801,MATCH(B3625,Pedidos!$A$2:$A$1801,0)),0)</f>
        <v/>
      </c>
      <c r="N3625" s="25">
        <f>IFERROR(INDEX(Produtos!$B$2:$B$71,MATCH(C3625,Produtos!$A$2:$A$71,0)),"")</f>
        <v/>
      </c>
      <c r="O3625" s="25">
        <f>IFERROR(INDEX(Produtos!$C$2:$C$71,MATCH(C3625,Produtos!$A$2:$A$71,0)),"")</f>
        <v/>
      </c>
      <c r="P3625" s="25">
        <f>IFERROR(INDEX(Produtos!$D$2:$D$71,MATCH(C3625,Produtos!$A$2:$A$71,0)),0)</f>
        <v/>
      </c>
      <c r="Q3625" s="25">
        <f>IFERROR(INDEX(Produtos!$E$2:$E$71,MATCH(C3625,Produtos!$A$2:$A$71,0)),0)</f>
        <v/>
      </c>
      <c r="R3625" s="27">
        <f>D3625*Q3625</f>
        <v/>
      </c>
      <c r="S3625" s="27">
        <f>R3625*E3625</f>
        <v/>
      </c>
      <c r="T3625" s="27">
        <f>(R3625-S3625)*M3625</f>
        <v/>
      </c>
      <c r="U3625" s="27">
        <f>R3625-S3625-T3625</f>
        <v/>
      </c>
      <c r="V3625" s="27">
        <f>D3625*P3625</f>
        <v/>
      </c>
      <c r="W3625" s="27">
        <f>U3625-V3625</f>
        <v/>
      </c>
      <c r="X3625" s="28">
        <f>IFERROR(W3625/U3625,0)</f>
        <v/>
      </c>
    </row>
    <row r="3626">
      <c r="A3626" s="21">
        <f>ItensPedido!A3626</f>
        <v/>
      </c>
      <c r="B3626" s="21">
        <f>ItensPedido!B3626</f>
        <v/>
      </c>
      <c r="C3626" s="21">
        <f>ItensPedido!C3626</f>
        <v/>
      </c>
      <c r="D3626" s="21">
        <f>ItensPedido!D3626</f>
        <v/>
      </c>
      <c r="E3626" s="22">
        <f>ItensPedido!E3626</f>
        <v/>
      </c>
      <c r="F3626" s="21">
        <f>IFERROR(INDEX(Pedidos!$B$2:$B$1801,MATCH(B3626,Pedidos!$A$2:$A$1801,0)),0)</f>
        <v/>
      </c>
      <c r="G3626" s="21">
        <f>IF(F3626=0,"",YEAR(F3626))</f>
        <v/>
      </c>
      <c r="H3626" s="21">
        <f>IF(F3626=0,"",MONTH(F3626))</f>
        <v/>
      </c>
      <c r="I3626" s="21">
        <f>IFERROR(INDEX(Pedidos!$E$2:$E$1801,MATCH(B3626,Pedidos!$A$2:$A$1801,0)),"")</f>
        <v/>
      </c>
      <c r="J3626" s="21">
        <f>IFERROR(INDEX(Pedidos!$C$2:$C$1801,MATCH(B3626,Pedidos!$A$2:$A$1801,0)),"")</f>
        <v/>
      </c>
      <c r="K3626" s="21">
        <f>IFERROR(INDEX(Pedidos!$D$2:$D$1801,MATCH(B3626,Pedidos!$A$2:$A$1801,0)),"")</f>
        <v/>
      </c>
      <c r="L3626" s="21">
        <f>IFERROR(INDEX(Pedidos!$F$2:$F$1801,MATCH(B3626,Pedidos!$A$2:$A$1801,0)),"")</f>
        <v/>
      </c>
      <c r="M3626" s="22">
        <f>IFERROR(INDEX(Pedidos!$G$2:$G$1801,MATCH(B3626,Pedidos!$A$2:$A$1801,0)),0)</f>
        <v/>
      </c>
      <c r="N3626" s="21">
        <f>IFERROR(INDEX(Produtos!$B$2:$B$71,MATCH(C3626,Produtos!$A$2:$A$71,0)),"")</f>
        <v/>
      </c>
      <c r="O3626" s="21">
        <f>IFERROR(INDEX(Produtos!$C$2:$C$71,MATCH(C3626,Produtos!$A$2:$A$71,0)),"")</f>
        <v/>
      </c>
      <c r="P3626" s="21">
        <f>IFERROR(INDEX(Produtos!$D$2:$D$71,MATCH(C3626,Produtos!$A$2:$A$71,0)),0)</f>
        <v/>
      </c>
      <c r="Q3626" s="21">
        <f>IFERROR(INDEX(Produtos!$E$2:$E$71,MATCH(C3626,Produtos!$A$2:$A$71,0)),0)</f>
        <v/>
      </c>
      <c r="R3626" s="23">
        <f>D3626*Q3626</f>
        <v/>
      </c>
      <c r="S3626" s="23">
        <f>R3626*E3626</f>
        <v/>
      </c>
      <c r="T3626" s="23">
        <f>(R3626-S3626)*M3626</f>
        <v/>
      </c>
      <c r="U3626" s="23">
        <f>R3626-S3626-T3626</f>
        <v/>
      </c>
      <c r="V3626" s="23">
        <f>D3626*P3626</f>
        <v/>
      </c>
      <c r="W3626" s="23">
        <f>U3626-V3626</f>
        <v/>
      </c>
      <c r="X3626" s="24">
        <f>IFERROR(W3626/U3626,0)</f>
        <v/>
      </c>
    </row>
    <row r="3627">
      <c r="A3627" s="25">
        <f>ItensPedido!A3627</f>
        <v/>
      </c>
      <c r="B3627" s="25">
        <f>ItensPedido!B3627</f>
        <v/>
      </c>
      <c r="C3627" s="25">
        <f>ItensPedido!C3627</f>
        <v/>
      </c>
      <c r="D3627" s="25">
        <f>ItensPedido!D3627</f>
        <v/>
      </c>
      <c r="E3627" s="26">
        <f>ItensPedido!E3627</f>
        <v/>
      </c>
      <c r="F3627" s="25">
        <f>IFERROR(INDEX(Pedidos!$B$2:$B$1801,MATCH(B3627,Pedidos!$A$2:$A$1801,0)),0)</f>
        <v/>
      </c>
      <c r="G3627" s="25">
        <f>IF(F3627=0,"",YEAR(F3627))</f>
        <v/>
      </c>
      <c r="H3627" s="25">
        <f>IF(F3627=0,"",MONTH(F3627))</f>
        <v/>
      </c>
      <c r="I3627" s="25">
        <f>IFERROR(INDEX(Pedidos!$E$2:$E$1801,MATCH(B3627,Pedidos!$A$2:$A$1801,0)),"")</f>
        <v/>
      </c>
      <c r="J3627" s="25">
        <f>IFERROR(INDEX(Pedidos!$C$2:$C$1801,MATCH(B3627,Pedidos!$A$2:$A$1801,0)),"")</f>
        <v/>
      </c>
      <c r="K3627" s="25">
        <f>IFERROR(INDEX(Pedidos!$D$2:$D$1801,MATCH(B3627,Pedidos!$A$2:$A$1801,0)),"")</f>
        <v/>
      </c>
      <c r="L3627" s="25">
        <f>IFERROR(INDEX(Pedidos!$F$2:$F$1801,MATCH(B3627,Pedidos!$A$2:$A$1801,0)),"")</f>
        <v/>
      </c>
      <c r="M3627" s="26">
        <f>IFERROR(INDEX(Pedidos!$G$2:$G$1801,MATCH(B3627,Pedidos!$A$2:$A$1801,0)),0)</f>
        <v/>
      </c>
      <c r="N3627" s="25">
        <f>IFERROR(INDEX(Produtos!$B$2:$B$71,MATCH(C3627,Produtos!$A$2:$A$71,0)),"")</f>
        <v/>
      </c>
      <c r="O3627" s="25">
        <f>IFERROR(INDEX(Produtos!$C$2:$C$71,MATCH(C3627,Produtos!$A$2:$A$71,0)),"")</f>
        <v/>
      </c>
      <c r="P3627" s="25">
        <f>IFERROR(INDEX(Produtos!$D$2:$D$71,MATCH(C3627,Produtos!$A$2:$A$71,0)),0)</f>
        <v/>
      </c>
      <c r="Q3627" s="25">
        <f>IFERROR(INDEX(Produtos!$E$2:$E$71,MATCH(C3627,Produtos!$A$2:$A$71,0)),0)</f>
        <v/>
      </c>
      <c r="R3627" s="27">
        <f>D3627*Q3627</f>
        <v/>
      </c>
      <c r="S3627" s="27">
        <f>R3627*E3627</f>
        <v/>
      </c>
      <c r="T3627" s="27">
        <f>(R3627-S3627)*M3627</f>
        <v/>
      </c>
      <c r="U3627" s="27">
        <f>R3627-S3627-T3627</f>
        <v/>
      </c>
      <c r="V3627" s="27">
        <f>D3627*P3627</f>
        <v/>
      </c>
      <c r="W3627" s="27">
        <f>U3627-V3627</f>
        <v/>
      </c>
      <c r="X3627" s="28">
        <f>IFERROR(W3627/U3627,0)</f>
        <v/>
      </c>
    </row>
    <row r="3628">
      <c r="A3628" s="21">
        <f>ItensPedido!A3628</f>
        <v/>
      </c>
      <c r="B3628" s="21">
        <f>ItensPedido!B3628</f>
        <v/>
      </c>
      <c r="C3628" s="21">
        <f>ItensPedido!C3628</f>
        <v/>
      </c>
      <c r="D3628" s="21">
        <f>ItensPedido!D3628</f>
        <v/>
      </c>
      <c r="E3628" s="22">
        <f>ItensPedido!E3628</f>
        <v/>
      </c>
      <c r="F3628" s="21">
        <f>IFERROR(INDEX(Pedidos!$B$2:$B$1801,MATCH(B3628,Pedidos!$A$2:$A$1801,0)),0)</f>
        <v/>
      </c>
      <c r="G3628" s="21">
        <f>IF(F3628=0,"",YEAR(F3628))</f>
        <v/>
      </c>
      <c r="H3628" s="21">
        <f>IF(F3628=0,"",MONTH(F3628))</f>
        <v/>
      </c>
      <c r="I3628" s="21">
        <f>IFERROR(INDEX(Pedidos!$E$2:$E$1801,MATCH(B3628,Pedidos!$A$2:$A$1801,0)),"")</f>
        <v/>
      </c>
      <c r="J3628" s="21">
        <f>IFERROR(INDEX(Pedidos!$C$2:$C$1801,MATCH(B3628,Pedidos!$A$2:$A$1801,0)),"")</f>
        <v/>
      </c>
      <c r="K3628" s="21">
        <f>IFERROR(INDEX(Pedidos!$D$2:$D$1801,MATCH(B3628,Pedidos!$A$2:$A$1801,0)),"")</f>
        <v/>
      </c>
      <c r="L3628" s="21">
        <f>IFERROR(INDEX(Pedidos!$F$2:$F$1801,MATCH(B3628,Pedidos!$A$2:$A$1801,0)),"")</f>
        <v/>
      </c>
      <c r="M3628" s="22">
        <f>IFERROR(INDEX(Pedidos!$G$2:$G$1801,MATCH(B3628,Pedidos!$A$2:$A$1801,0)),0)</f>
        <v/>
      </c>
      <c r="N3628" s="21">
        <f>IFERROR(INDEX(Produtos!$B$2:$B$71,MATCH(C3628,Produtos!$A$2:$A$71,0)),"")</f>
        <v/>
      </c>
      <c r="O3628" s="21">
        <f>IFERROR(INDEX(Produtos!$C$2:$C$71,MATCH(C3628,Produtos!$A$2:$A$71,0)),"")</f>
        <v/>
      </c>
      <c r="P3628" s="21">
        <f>IFERROR(INDEX(Produtos!$D$2:$D$71,MATCH(C3628,Produtos!$A$2:$A$71,0)),0)</f>
        <v/>
      </c>
      <c r="Q3628" s="21">
        <f>IFERROR(INDEX(Produtos!$E$2:$E$71,MATCH(C3628,Produtos!$A$2:$A$71,0)),0)</f>
        <v/>
      </c>
      <c r="R3628" s="23">
        <f>D3628*Q3628</f>
        <v/>
      </c>
      <c r="S3628" s="23">
        <f>R3628*E3628</f>
        <v/>
      </c>
      <c r="T3628" s="23">
        <f>(R3628-S3628)*M3628</f>
        <v/>
      </c>
      <c r="U3628" s="23">
        <f>R3628-S3628-T3628</f>
        <v/>
      </c>
      <c r="V3628" s="23">
        <f>D3628*P3628</f>
        <v/>
      </c>
      <c r="W3628" s="23">
        <f>U3628-V3628</f>
        <v/>
      </c>
      <c r="X3628" s="24">
        <f>IFERROR(W3628/U3628,0)</f>
        <v/>
      </c>
    </row>
    <row r="3629">
      <c r="A3629" s="25">
        <f>ItensPedido!A3629</f>
        <v/>
      </c>
      <c r="B3629" s="25">
        <f>ItensPedido!B3629</f>
        <v/>
      </c>
      <c r="C3629" s="25">
        <f>ItensPedido!C3629</f>
        <v/>
      </c>
      <c r="D3629" s="25">
        <f>ItensPedido!D3629</f>
        <v/>
      </c>
      <c r="E3629" s="26">
        <f>ItensPedido!E3629</f>
        <v/>
      </c>
      <c r="F3629" s="25">
        <f>IFERROR(INDEX(Pedidos!$B$2:$B$1801,MATCH(B3629,Pedidos!$A$2:$A$1801,0)),0)</f>
        <v/>
      </c>
      <c r="G3629" s="25">
        <f>IF(F3629=0,"",YEAR(F3629))</f>
        <v/>
      </c>
      <c r="H3629" s="25">
        <f>IF(F3629=0,"",MONTH(F3629))</f>
        <v/>
      </c>
      <c r="I3629" s="25">
        <f>IFERROR(INDEX(Pedidos!$E$2:$E$1801,MATCH(B3629,Pedidos!$A$2:$A$1801,0)),"")</f>
        <v/>
      </c>
      <c r="J3629" s="25">
        <f>IFERROR(INDEX(Pedidos!$C$2:$C$1801,MATCH(B3629,Pedidos!$A$2:$A$1801,0)),"")</f>
        <v/>
      </c>
      <c r="K3629" s="25">
        <f>IFERROR(INDEX(Pedidos!$D$2:$D$1801,MATCH(B3629,Pedidos!$A$2:$A$1801,0)),"")</f>
        <v/>
      </c>
      <c r="L3629" s="25">
        <f>IFERROR(INDEX(Pedidos!$F$2:$F$1801,MATCH(B3629,Pedidos!$A$2:$A$1801,0)),"")</f>
        <v/>
      </c>
      <c r="M3629" s="26">
        <f>IFERROR(INDEX(Pedidos!$G$2:$G$1801,MATCH(B3629,Pedidos!$A$2:$A$1801,0)),0)</f>
        <v/>
      </c>
      <c r="N3629" s="25">
        <f>IFERROR(INDEX(Produtos!$B$2:$B$71,MATCH(C3629,Produtos!$A$2:$A$71,0)),"")</f>
        <v/>
      </c>
      <c r="O3629" s="25">
        <f>IFERROR(INDEX(Produtos!$C$2:$C$71,MATCH(C3629,Produtos!$A$2:$A$71,0)),"")</f>
        <v/>
      </c>
      <c r="P3629" s="25">
        <f>IFERROR(INDEX(Produtos!$D$2:$D$71,MATCH(C3629,Produtos!$A$2:$A$71,0)),0)</f>
        <v/>
      </c>
      <c r="Q3629" s="25">
        <f>IFERROR(INDEX(Produtos!$E$2:$E$71,MATCH(C3629,Produtos!$A$2:$A$71,0)),0)</f>
        <v/>
      </c>
      <c r="R3629" s="27">
        <f>D3629*Q3629</f>
        <v/>
      </c>
      <c r="S3629" s="27">
        <f>R3629*E3629</f>
        <v/>
      </c>
      <c r="T3629" s="27">
        <f>(R3629-S3629)*M3629</f>
        <v/>
      </c>
      <c r="U3629" s="27">
        <f>R3629-S3629-T3629</f>
        <v/>
      </c>
      <c r="V3629" s="27">
        <f>D3629*P3629</f>
        <v/>
      </c>
      <c r="W3629" s="27">
        <f>U3629-V3629</f>
        <v/>
      </c>
      <c r="X3629" s="28">
        <f>IFERROR(W3629/U3629,0)</f>
        <v/>
      </c>
    </row>
    <row r="3630">
      <c r="A3630" s="21">
        <f>ItensPedido!A3630</f>
        <v/>
      </c>
      <c r="B3630" s="21">
        <f>ItensPedido!B3630</f>
        <v/>
      </c>
      <c r="C3630" s="21">
        <f>ItensPedido!C3630</f>
        <v/>
      </c>
      <c r="D3630" s="21">
        <f>ItensPedido!D3630</f>
        <v/>
      </c>
      <c r="E3630" s="22">
        <f>ItensPedido!E3630</f>
        <v/>
      </c>
      <c r="F3630" s="21">
        <f>IFERROR(INDEX(Pedidos!$B$2:$B$1801,MATCH(B3630,Pedidos!$A$2:$A$1801,0)),0)</f>
        <v/>
      </c>
      <c r="G3630" s="21">
        <f>IF(F3630=0,"",YEAR(F3630))</f>
        <v/>
      </c>
      <c r="H3630" s="21">
        <f>IF(F3630=0,"",MONTH(F3630))</f>
        <v/>
      </c>
      <c r="I3630" s="21">
        <f>IFERROR(INDEX(Pedidos!$E$2:$E$1801,MATCH(B3630,Pedidos!$A$2:$A$1801,0)),"")</f>
        <v/>
      </c>
      <c r="J3630" s="21">
        <f>IFERROR(INDEX(Pedidos!$C$2:$C$1801,MATCH(B3630,Pedidos!$A$2:$A$1801,0)),"")</f>
        <v/>
      </c>
      <c r="K3630" s="21">
        <f>IFERROR(INDEX(Pedidos!$D$2:$D$1801,MATCH(B3630,Pedidos!$A$2:$A$1801,0)),"")</f>
        <v/>
      </c>
      <c r="L3630" s="21">
        <f>IFERROR(INDEX(Pedidos!$F$2:$F$1801,MATCH(B3630,Pedidos!$A$2:$A$1801,0)),"")</f>
        <v/>
      </c>
      <c r="M3630" s="22">
        <f>IFERROR(INDEX(Pedidos!$G$2:$G$1801,MATCH(B3630,Pedidos!$A$2:$A$1801,0)),0)</f>
        <v/>
      </c>
      <c r="N3630" s="21">
        <f>IFERROR(INDEX(Produtos!$B$2:$B$71,MATCH(C3630,Produtos!$A$2:$A$71,0)),"")</f>
        <v/>
      </c>
      <c r="O3630" s="21">
        <f>IFERROR(INDEX(Produtos!$C$2:$C$71,MATCH(C3630,Produtos!$A$2:$A$71,0)),"")</f>
        <v/>
      </c>
      <c r="P3630" s="21">
        <f>IFERROR(INDEX(Produtos!$D$2:$D$71,MATCH(C3630,Produtos!$A$2:$A$71,0)),0)</f>
        <v/>
      </c>
      <c r="Q3630" s="21">
        <f>IFERROR(INDEX(Produtos!$E$2:$E$71,MATCH(C3630,Produtos!$A$2:$A$71,0)),0)</f>
        <v/>
      </c>
      <c r="R3630" s="23">
        <f>D3630*Q3630</f>
        <v/>
      </c>
      <c r="S3630" s="23">
        <f>R3630*E3630</f>
        <v/>
      </c>
      <c r="T3630" s="23">
        <f>(R3630-S3630)*M3630</f>
        <v/>
      </c>
      <c r="U3630" s="23">
        <f>R3630-S3630-T3630</f>
        <v/>
      </c>
      <c r="V3630" s="23">
        <f>D3630*P3630</f>
        <v/>
      </c>
      <c r="W3630" s="23">
        <f>U3630-V3630</f>
        <v/>
      </c>
      <c r="X3630" s="24">
        <f>IFERROR(W3630/U3630,0)</f>
        <v/>
      </c>
    </row>
    <row r="3631">
      <c r="A3631" s="25">
        <f>ItensPedido!A3631</f>
        <v/>
      </c>
      <c r="B3631" s="25">
        <f>ItensPedido!B3631</f>
        <v/>
      </c>
      <c r="C3631" s="25">
        <f>ItensPedido!C3631</f>
        <v/>
      </c>
      <c r="D3631" s="25">
        <f>ItensPedido!D3631</f>
        <v/>
      </c>
      <c r="E3631" s="26">
        <f>ItensPedido!E3631</f>
        <v/>
      </c>
      <c r="F3631" s="25">
        <f>IFERROR(INDEX(Pedidos!$B$2:$B$1801,MATCH(B3631,Pedidos!$A$2:$A$1801,0)),0)</f>
        <v/>
      </c>
      <c r="G3631" s="25">
        <f>IF(F3631=0,"",YEAR(F3631))</f>
        <v/>
      </c>
      <c r="H3631" s="25">
        <f>IF(F3631=0,"",MONTH(F3631))</f>
        <v/>
      </c>
      <c r="I3631" s="25">
        <f>IFERROR(INDEX(Pedidos!$E$2:$E$1801,MATCH(B3631,Pedidos!$A$2:$A$1801,0)),"")</f>
        <v/>
      </c>
      <c r="J3631" s="25">
        <f>IFERROR(INDEX(Pedidos!$C$2:$C$1801,MATCH(B3631,Pedidos!$A$2:$A$1801,0)),"")</f>
        <v/>
      </c>
      <c r="K3631" s="25">
        <f>IFERROR(INDEX(Pedidos!$D$2:$D$1801,MATCH(B3631,Pedidos!$A$2:$A$1801,0)),"")</f>
        <v/>
      </c>
      <c r="L3631" s="25">
        <f>IFERROR(INDEX(Pedidos!$F$2:$F$1801,MATCH(B3631,Pedidos!$A$2:$A$1801,0)),"")</f>
        <v/>
      </c>
      <c r="M3631" s="26">
        <f>IFERROR(INDEX(Pedidos!$G$2:$G$1801,MATCH(B3631,Pedidos!$A$2:$A$1801,0)),0)</f>
        <v/>
      </c>
      <c r="N3631" s="25">
        <f>IFERROR(INDEX(Produtos!$B$2:$B$71,MATCH(C3631,Produtos!$A$2:$A$71,0)),"")</f>
        <v/>
      </c>
      <c r="O3631" s="25">
        <f>IFERROR(INDEX(Produtos!$C$2:$C$71,MATCH(C3631,Produtos!$A$2:$A$71,0)),"")</f>
        <v/>
      </c>
      <c r="P3631" s="25">
        <f>IFERROR(INDEX(Produtos!$D$2:$D$71,MATCH(C3631,Produtos!$A$2:$A$71,0)),0)</f>
        <v/>
      </c>
      <c r="Q3631" s="25">
        <f>IFERROR(INDEX(Produtos!$E$2:$E$71,MATCH(C3631,Produtos!$A$2:$A$71,0)),0)</f>
        <v/>
      </c>
      <c r="R3631" s="27">
        <f>D3631*Q3631</f>
        <v/>
      </c>
      <c r="S3631" s="27">
        <f>R3631*E3631</f>
        <v/>
      </c>
      <c r="T3631" s="27">
        <f>(R3631-S3631)*M3631</f>
        <v/>
      </c>
      <c r="U3631" s="27">
        <f>R3631-S3631-T3631</f>
        <v/>
      </c>
      <c r="V3631" s="27">
        <f>D3631*P3631</f>
        <v/>
      </c>
      <c r="W3631" s="27">
        <f>U3631-V3631</f>
        <v/>
      </c>
      <c r="X3631" s="28">
        <f>IFERROR(W3631/U3631,0)</f>
        <v/>
      </c>
    </row>
    <row r="3632">
      <c r="A3632" s="21">
        <f>ItensPedido!A3632</f>
        <v/>
      </c>
      <c r="B3632" s="21">
        <f>ItensPedido!B3632</f>
        <v/>
      </c>
      <c r="C3632" s="21">
        <f>ItensPedido!C3632</f>
        <v/>
      </c>
      <c r="D3632" s="21">
        <f>ItensPedido!D3632</f>
        <v/>
      </c>
      <c r="E3632" s="22">
        <f>ItensPedido!E3632</f>
        <v/>
      </c>
      <c r="F3632" s="21">
        <f>IFERROR(INDEX(Pedidos!$B$2:$B$1801,MATCH(B3632,Pedidos!$A$2:$A$1801,0)),0)</f>
        <v/>
      </c>
      <c r="G3632" s="21">
        <f>IF(F3632=0,"",YEAR(F3632))</f>
        <v/>
      </c>
      <c r="H3632" s="21">
        <f>IF(F3632=0,"",MONTH(F3632))</f>
        <v/>
      </c>
      <c r="I3632" s="21">
        <f>IFERROR(INDEX(Pedidos!$E$2:$E$1801,MATCH(B3632,Pedidos!$A$2:$A$1801,0)),"")</f>
        <v/>
      </c>
      <c r="J3632" s="21">
        <f>IFERROR(INDEX(Pedidos!$C$2:$C$1801,MATCH(B3632,Pedidos!$A$2:$A$1801,0)),"")</f>
        <v/>
      </c>
      <c r="K3632" s="21">
        <f>IFERROR(INDEX(Pedidos!$D$2:$D$1801,MATCH(B3632,Pedidos!$A$2:$A$1801,0)),"")</f>
        <v/>
      </c>
      <c r="L3632" s="21">
        <f>IFERROR(INDEX(Pedidos!$F$2:$F$1801,MATCH(B3632,Pedidos!$A$2:$A$1801,0)),"")</f>
        <v/>
      </c>
      <c r="M3632" s="22">
        <f>IFERROR(INDEX(Pedidos!$G$2:$G$1801,MATCH(B3632,Pedidos!$A$2:$A$1801,0)),0)</f>
        <v/>
      </c>
      <c r="N3632" s="21">
        <f>IFERROR(INDEX(Produtos!$B$2:$B$71,MATCH(C3632,Produtos!$A$2:$A$71,0)),"")</f>
        <v/>
      </c>
      <c r="O3632" s="21">
        <f>IFERROR(INDEX(Produtos!$C$2:$C$71,MATCH(C3632,Produtos!$A$2:$A$71,0)),"")</f>
        <v/>
      </c>
      <c r="P3632" s="21">
        <f>IFERROR(INDEX(Produtos!$D$2:$D$71,MATCH(C3632,Produtos!$A$2:$A$71,0)),0)</f>
        <v/>
      </c>
      <c r="Q3632" s="21">
        <f>IFERROR(INDEX(Produtos!$E$2:$E$71,MATCH(C3632,Produtos!$A$2:$A$71,0)),0)</f>
        <v/>
      </c>
      <c r="R3632" s="23">
        <f>D3632*Q3632</f>
        <v/>
      </c>
      <c r="S3632" s="23">
        <f>R3632*E3632</f>
        <v/>
      </c>
      <c r="T3632" s="23">
        <f>(R3632-S3632)*M3632</f>
        <v/>
      </c>
      <c r="U3632" s="23">
        <f>R3632-S3632-T3632</f>
        <v/>
      </c>
      <c r="V3632" s="23">
        <f>D3632*P3632</f>
        <v/>
      </c>
      <c r="W3632" s="23">
        <f>U3632-V3632</f>
        <v/>
      </c>
      <c r="X3632" s="24">
        <f>IFERROR(W3632/U3632,0)</f>
        <v/>
      </c>
    </row>
    <row r="3633">
      <c r="A3633" s="25">
        <f>ItensPedido!A3633</f>
        <v/>
      </c>
      <c r="B3633" s="25">
        <f>ItensPedido!B3633</f>
        <v/>
      </c>
      <c r="C3633" s="25">
        <f>ItensPedido!C3633</f>
        <v/>
      </c>
      <c r="D3633" s="25">
        <f>ItensPedido!D3633</f>
        <v/>
      </c>
      <c r="E3633" s="26">
        <f>ItensPedido!E3633</f>
        <v/>
      </c>
      <c r="F3633" s="25">
        <f>IFERROR(INDEX(Pedidos!$B$2:$B$1801,MATCH(B3633,Pedidos!$A$2:$A$1801,0)),0)</f>
        <v/>
      </c>
      <c r="G3633" s="25">
        <f>IF(F3633=0,"",YEAR(F3633))</f>
        <v/>
      </c>
      <c r="H3633" s="25">
        <f>IF(F3633=0,"",MONTH(F3633))</f>
        <v/>
      </c>
      <c r="I3633" s="25">
        <f>IFERROR(INDEX(Pedidos!$E$2:$E$1801,MATCH(B3633,Pedidos!$A$2:$A$1801,0)),"")</f>
        <v/>
      </c>
      <c r="J3633" s="25">
        <f>IFERROR(INDEX(Pedidos!$C$2:$C$1801,MATCH(B3633,Pedidos!$A$2:$A$1801,0)),"")</f>
        <v/>
      </c>
      <c r="K3633" s="25">
        <f>IFERROR(INDEX(Pedidos!$D$2:$D$1801,MATCH(B3633,Pedidos!$A$2:$A$1801,0)),"")</f>
        <v/>
      </c>
      <c r="L3633" s="25">
        <f>IFERROR(INDEX(Pedidos!$F$2:$F$1801,MATCH(B3633,Pedidos!$A$2:$A$1801,0)),"")</f>
        <v/>
      </c>
      <c r="M3633" s="26">
        <f>IFERROR(INDEX(Pedidos!$G$2:$G$1801,MATCH(B3633,Pedidos!$A$2:$A$1801,0)),0)</f>
        <v/>
      </c>
      <c r="N3633" s="25">
        <f>IFERROR(INDEX(Produtos!$B$2:$B$71,MATCH(C3633,Produtos!$A$2:$A$71,0)),"")</f>
        <v/>
      </c>
      <c r="O3633" s="25">
        <f>IFERROR(INDEX(Produtos!$C$2:$C$71,MATCH(C3633,Produtos!$A$2:$A$71,0)),"")</f>
        <v/>
      </c>
      <c r="P3633" s="25">
        <f>IFERROR(INDEX(Produtos!$D$2:$D$71,MATCH(C3633,Produtos!$A$2:$A$71,0)),0)</f>
        <v/>
      </c>
      <c r="Q3633" s="25">
        <f>IFERROR(INDEX(Produtos!$E$2:$E$71,MATCH(C3633,Produtos!$A$2:$A$71,0)),0)</f>
        <v/>
      </c>
      <c r="R3633" s="27">
        <f>D3633*Q3633</f>
        <v/>
      </c>
      <c r="S3633" s="27">
        <f>R3633*E3633</f>
        <v/>
      </c>
      <c r="T3633" s="27">
        <f>(R3633-S3633)*M3633</f>
        <v/>
      </c>
      <c r="U3633" s="27">
        <f>R3633-S3633-T3633</f>
        <v/>
      </c>
      <c r="V3633" s="27">
        <f>D3633*P3633</f>
        <v/>
      </c>
      <c r="W3633" s="27">
        <f>U3633-V3633</f>
        <v/>
      </c>
      <c r="X3633" s="28">
        <f>IFERROR(W3633/U3633,0)</f>
        <v/>
      </c>
    </row>
    <row r="3634">
      <c r="A3634" s="21">
        <f>ItensPedido!A3634</f>
        <v/>
      </c>
      <c r="B3634" s="21">
        <f>ItensPedido!B3634</f>
        <v/>
      </c>
      <c r="C3634" s="21">
        <f>ItensPedido!C3634</f>
        <v/>
      </c>
      <c r="D3634" s="21">
        <f>ItensPedido!D3634</f>
        <v/>
      </c>
      <c r="E3634" s="22">
        <f>ItensPedido!E3634</f>
        <v/>
      </c>
      <c r="F3634" s="21">
        <f>IFERROR(INDEX(Pedidos!$B$2:$B$1801,MATCH(B3634,Pedidos!$A$2:$A$1801,0)),0)</f>
        <v/>
      </c>
      <c r="G3634" s="21">
        <f>IF(F3634=0,"",YEAR(F3634))</f>
        <v/>
      </c>
      <c r="H3634" s="21">
        <f>IF(F3634=0,"",MONTH(F3634))</f>
        <v/>
      </c>
      <c r="I3634" s="21">
        <f>IFERROR(INDEX(Pedidos!$E$2:$E$1801,MATCH(B3634,Pedidos!$A$2:$A$1801,0)),"")</f>
        <v/>
      </c>
      <c r="J3634" s="21">
        <f>IFERROR(INDEX(Pedidos!$C$2:$C$1801,MATCH(B3634,Pedidos!$A$2:$A$1801,0)),"")</f>
        <v/>
      </c>
      <c r="K3634" s="21">
        <f>IFERROR(INDEX(Pedidos!$D$2:$D$1801,MATCH(B3634,Pedidos!$A$2:$A$1801,0)),"")</f>
        <v/>
      </c>
      <c r="L3634" s="21">
        <f>IFERROR(INDEX(Pedidos!$F$2:$F$1801,MATCH(B3634,Pedidos!$A$2:$A$1801,0)),"")</f>
        <v/>
      </c>
      <c r="M3634" s="22">
        <f>IFERROR(INDEX(Pedidos!$G$2:$G$1801,MATCH(B3634,Pedidos!$A$2:$A$1801,0)),0)</f>
        <v/>
      </c>
      <c r="N3634" s="21">
        <f>IFERROR(INDEX(Produtos!$B$2:$B$71,MATCH(C3634,Produtos!$A$2:$A$71,0)),"")</f>
        <v/>
      </c>
      <c r="O3634" s="21">
        <f>IFERROR(INDEX(Produtos!$C$2:$C$71,MATCH(C3634,Produtos!$A$2:$A$71,0)),"")</f>
        <v/>
      </c>
      <c r="P3634" s="21">
        <f>IFERROR(INDEX(Produtos!$D$2:$D$71,MATCH(C3634,Produtos!$A$2:$A$71,0)),0)</f>
        <v/>
      </c>
      <c r="Q3634" s="21">
        <f>IFERROR(INDEX(Produtos!$E$2:$E$71,MATCH(C3634,Produtos!$A$2:$A$71,0)),0)</f>
        <v/>
      </c>
      <c r="R3634" s="23">
        <f>D3634*Q3634</f>
        <v/>
      </c>
      <c r="S3634" s="23">
        <f>R3634*E3634</f>
        <v/>
      </c>
      <c r="T3634" s="23">
        <f>(R3634-S3634)*M3634</f>
        <v/>
      </c>
      <c r="U3634" s="23">
        <f>R3634-S3634-T3634</f>
        <v/>
      </c>
      <c r="V3634" s="23">
        <f>D3634*P3634</f>
        <v/>
      </c>
      <c r="W3634" s="23">
        <f>U3634-V3634</f>
        <v/>
      </c>
      <c r="X3634" s="24">
        <f>IFERROR(W3634/U3634,0)</f>
        <v/>
      </c>
    </row>
    <row r="3635">
      <c r="A3635" s="25">
        <f>ItensPedido!A3635</f>
        <v/>
      </c>
      <c r="B3635" s="25">
        <f>ItensPedido!B3635</f>
        <v/>
      </c>
      <c r="C3635" s="25">
        <f>ItensPedido!C3635</f>
        <v/>
      </c>
      <c r="D3635" s="25">
        <f>ItensPedido!D3635</f>
        <v/>
      </c>
      <c r="E3635" s="26">
        <f>ItensPedido!E3635</f>
        <v/>
      </c>
      <c r="F3635" s="25">
        <f>IFERROR(INDEX(Pedidos!$B$2:$B$1801,MATCH(B3635,Pedidos!$A$2:$A$1801,0)),0)</f>
        <v/>
      </c>
      <c r="G3635" s="25">
        <f>IF(F3635=0,"",YEAR(F3635))</f>
        <v/>
      </c>
      <c r="H3635" s="25">
        <f>IF(F3635=0,"",MONTH(F3635))</f>
        <v/>
      </c>
      <c r="I3635" s="25">
        <f>IFERROR(INDEX(Pedidos!$E$2:$E$1801,MATCH(B3635,Pedidos!$A$2:$A$1801,0)),"")</f>
        <v/>
      </c>
      <c r="J3635" s="25">
        <f>IFERROR(INDEX(Pedidos!$C$2:$C$1801,MATCH(B3635,Pedidos!$A$2:$A$1801,0)),"")</f>
        <v/>
      </c>
      <c r="K3635" s="25">
        <f>IFERROR(INDEX(Pedidos!$D$2:$D$1801,MATCH(B3635,Pedidos!$A$2:$A$1801,0)),"")</f>
        <v/>
      </c>
      <c r="L3635" s="25">
        <f>IFERROR(INDEX(Pedidos!$F$2:$F$1801,MATCH(B3635,Pedidos!$A$2:$A$1801,0)),"")</f>
        <v/>
      </c>
      <c r="M3635" s="26">
        <f>IFERROR(INDEX(Pedidos!$G$2:$G$1801,MATCH(B3635,Pedidos!$A$2:$A$1801,0)),0)</f>
        <v/>
      </c>
      <c r="N3635" s="25">
        <f>IFERROR(INDEX(Produtos!$B$2:$B$71,MATCH(C3635,Produtos!$A$2:$A$71,0)),"")</f>
        <v/>
      </c>
      <c r="O3635" s="25">
        <f>IFERROR(INDEX(Produtos!$C$2:$C$71,MATCH(C3635,Produtos!$A$2:$A$71,0)),"")</f>
        <v/>
      </c>
      <c r="P3635" s="25">
        <f>IFERROR(INDEX(Produtos!$D$2:$D$71,MATCH(C3635,Produtos!$A$2:$A$71,0)),0)</f>
        <v/>
      </c>
      <c r="Q3635" s="25">
        <f>IFERROR(INDEX(Produtos!$E$2:$E$71,MATCH(C3635,Produtos!$A$2:$A$71,0)),0)</f>
        <v/>
      </c>
      <c r="R3635" s="27">
        <f>D3635*Q3635</f>
        <v/>
      </c>
      <c r="S3635" s="27">
        <f>R3635*E3635</f>
        <v/>
      </c>
      <c r="T3635" s="27">
        <f>(R3635-S3635)*M3635</f>
        <v/>
      </c>
      <c r="U3635" s="27">
        <f>R3635-S3635-T3635</f>
        <v/>
      </c>
      <c r="V3635" s="27">
        <f>D3635*P3635</f>
        <v/>
      </c>
      <c r="W3635" s="27">
        <f>U3635-V3635</f>
        <v/>
      </c>
      <c r="X3635" s="28">
        <f>IFERROR(W3635/U3635,0)</f>
        <v/>
      </c>
    </row>
    <row r="3636">
      <c r="A3636" s="21">
        <f>ItensPedido!A3636</f>
        <v/>
      </c>
      <c r="B3636" s="21">
        <f>ItensPedido!B3636</f>
        <v/>
      </c>
      <c r="C3636" s="21">
        <f>ItensPedido!C3636</f>
        <v/>
      </c>
      <c r="D3636" s="21">
        <f>ItensPedido!D3636</f>
        <v/>
      </c>
      <c r="E3636" s="22">
        <f>ItensPedido!E3636</f>
        <v/>
      </c>
      <c r="F3636" s="21">
        <f>IFERROR(INDEX(Pedidos!$B$2:$B$1801,MATCH(B3636,Pedidos!$A$2:$A$1801,0)),0)</f>
        <v/>
      </c>
      <c r="G3636" s="21">
        <f>IF(F3636=0,"",YEAR(F3636))</f>
        <v/>
      </c>
      <c r="H3636" s="21">
        <f>IF(F3636=0,"",MONTH(F3636))</f>
        <v/>
      </c>
      <c r="I3636" s="21">
        <f>IFERROR(INDEX(Pedidos!$E$2:$E$1801,MATCH(B3636,Pedidos!$A$2:$A$1801,0)),"")</f>
        <v/>
      </c>
      <c r="J3636" s="21">
        <f>IFERROR(INDEX(Pedidos!$C$2:$C$1801,MATCH(B3636,Pedidos!$A$2:$A$1801,0)),"")</f>
        <v/>
      </c>
      <c r="K3636" s="21">
        <f>IFERROR(INDEX(Pedidos!$D$2:$D$1801,MATCH(B3636,Pedidos!$A$2:$A$1801,0)),"")</f>
        <v/>
      </c>
      <c r="L3636" s="21">
        <f>IFERROR(INDEX(Pedidos!$F$2:$F$1801,MATCH(B3636,Pedidos!$A$2:$A$1801,0)),"")</f>
        <v/>
      </c>
      <c r="M3636" s="22">
        <f>IFERROR(INDEX(Pedidos!$G$2:$G$1801,MATCH(B3636,Pedidos!$A$2:$A$1801,0)),0)</f>
        <v/>
      </c>
      <c r="N3636" s="21">
        <f>IFERROR(INDEX(Produtos!$B$2:$B$71,MATCH(C3636,Produtos!$A$2:$A$71,0)),"")</f>
        <v/>
      </c>
      <c r="O3636" s="21">
        <f>IFERROR(INDEX(Produtos!$C$2:$C$71,MATCH(C3636,Produtos!$A$2:$A$71,0)),"")</f>
        <v/>
      </c>
      <c r="P3636" s="21">
        <f>IFERROR(INDEX(Produtos!$D$2:$D$71,MATCH(C3636,Produtos!$A$2:$A$71,0)),0)</f>
        <v/>
      </c>
      <c r="Q3636" s="21">
        <f>IFERROR(INDEX(Produtos!$E$2:$E$71,MATCH(C3636,Produtos!$A$2:$A$71,0)),0)</f>
        <v/>
      </c>
      <c r="R3636" s="23">
        <f>D3636*Q3636</f>
        <v/>
      </c>
      <c r="S3636" s="23">
        <f>R3636*E3636</f>
        <v/>
      </c>
      <c r="T3636" s="23">
        <f>(R3636-S3636)*M3636</f>
        <v/>
      </c>
      <c r="U3636" s="23">
        <f>R3636-S3636-T3636</f>
        <v/>
      </c>
      <c r="V3636" s="23">
        <f>D3636*P3636</f>
        <v/>
      </c>
      <c r="W3636" s="23">
        <f>U3636-V3636</f>
        <v/>
      </c>
      <c r="X3636" s="24">
        <f>IFERROR(W3636/U3636,0)</f>
        <v/>
      </c>
    </row>
    <row r="3637">
      <c r="A3637" s="25">
        <f>ItensPedido!A3637</f>
        <v/>
      </c>
      <c r="B3637" s="25">
        <f>ItensPedido!B3637</f>
        <v/>
      </c>
      <c r="C3637" s="25">
        <f>ItensPedido!C3637</f>
        <v/>
      </c>
      <c r="D3637" s="25">
        <f>ItensPedido!D3637</f>
        <v/>
      </c>
      <c r="E3637" s="26">
        <f>ItensPedido!E3637</f>
        <v/>
      </c>
      <c r="F3637" s="25">
        <f>IFERROR(INDEX(Pedidos!$B$2:$B$1801,MATCH(B3637,Pedidos!$A$2:$A$1801,0)),0)</f>
        <v/>
      </c>
      <c r="G3637" s="25">
        <f>IF(F3637=0,"",YEAR(F3637))</f>
        <v/>
      </c>
      <c r="H3637" s="25">
        <f>IF(F3637=0,"",MONTH(F3637))</f>
        <v/>
      </c>
      <c r="I3637" s="25">
        <f>IFERROR(INDEX(Pedidos!$E$2:$E$1801,MATCH(B3637,Pedidos!$A$2:$A$1801,0)),"")</f>
        <v/>
      </c>
      <c r="J3637" s="25">
        <f>IFERROR(INDEX(Pedidos!$C$2:$C$1801,MATCH(B3637,Pedidos!$A$2:$A$1801,0)),"")</f>
        <v/>
      </c>
      <c r="K3637" s="25">
        <f>IFERROR(INDEX(Pedidos!$D$2:$D$1801,MATCH(B3637,Pedidos!$A$2:$A$1801,0)),"")</f>
        <v/>
      </c>
      <c r="L3637" s="25">
        <f>IFERROR(INDEX(Pedidos!$F$2:$F$1801,MATCH(B3637,Pedidos!$A$2:$A$1801,0)),"")</f>
        <v/>
      </c>
      <c r="M3637" s="26">
        <f>IFERROR(INDEX(Pedidos!$G$2:$G$1801,MATCH(B3637,Pedidos!$A$2:$A$1801,0)),0)</f>
        <v/>
      </c>
      <c r="N3637" s="25">
        <f>IFERROR(INDEX(Produtos!$B$2:$B$71,MATCH(C3637,Produtos!$A$2:$A$71,0)),"")</f>
        <v/>
      </c>
      <c r="O3637" s="25">
        <f>IFERROR(INDEX(Produtos!$C$2:$C$71,MATCH(C3637,Produtos!$A$2:$A$71,0)),"")</f>
        <v/>
      </c>
      <c r="P3637" s="25">
        <f>IFERROR(INDEX(Produtos!$D$2:$D$71,MATCH(C3637,Produtos!$A$2:$A$71,0)),0)</f>
        <v/>
      </c>
      <c r="Q3637" s="25">
        <f>IFERROR(INDEX(Produtos!$E$2:$E$71,MATCH(C3637,Produtos!$A$2:$A$71,0)),0)</f>
        <v/>
      </c>
      <c r="R3637" s="27">
        <f>D3637*Q3637</f>
        <v/>
      </c>
      <c r="S3637" s="27">
        <f>R3637*E3637</f>
        <v/>
      </c>
      <c r="T3637" s="27">
        <f>(R3637-S3637)*M3637</f>
        <v/>
      </c>
      <c r="U3637" s="27">
        <f>R3637-S3637-T3637</f>
        <v/>
      </c>
      <c r="V3637" s="27">
        <f>D3637*P3637</f>
        <v/>
      </c>
      <c r="W3637" s="27">
        <f>U3637-V3637</f>
        <v/>
      </c>
      <c r="X3637" s="28">
        <f>IFERROR(W3637/U3637,0)</f>
        <v/>
      </c>
    </row>
    <row r="3638">
      <c r="A3638" s="21">
        <f>ItensPedido!A3638</f>
        <v/>
      </c>
      <c r="B3638" s="21">
        <f>ItensPedido!B3638</f>
        <v/>
      </c>
      <c r="C3638" s="21">
        <f>ItensPedido!C3638</f>
        <v/>
      </c>
      <c r="D3638" s="21">
        <f>ItensPedido!D3638</f>
        <v/>
      </c>
      <c r="E3638" s="22">
        <f>ItensPedido!E3638</f>
        <v/>
      </c>
      <c r="F3638" s="21">
        <f>IFERROR(INDEX(Pedidos!$B$2:$B$1801,MATCH(B3638,Pedidos!$A$2:$A$1801,0)),0)</f>
        <v/>
      </c>
      <c r="G3638" s="21">
        <f>IF(F3638=0,"",YEAR(F3638))</f>
        <v/>
      </c>
      <c r="H3638" s="21">
        <f>IF(F3638=0,"",MONTH(F3638))</f>
        <v/>
      </c>
      <c r="I3638" s="21">
        <f>IFERROR(INDEX(Pedidos!$E$2:$E$1801,MATCH(B3638,Pedidos!$A$2:$A$1801,0)),"")</f>
        <v/>
      </c>
      <c r="J3638" s="21">
        <f>IFERROR(INDEX(Pedidos!$C$2:$C$1801,MATCH(B3638,Pedidos!$A$2:$A$1801,0)),"")</f>
        <v/>
      </c>
      <c r="K3638" s="21">
        <f>IFERROR(INDEX(Pedidos!$D$2:$D$1801,MATCH(B3638,Pedidos!$A$2:$A$1801,0)),"")</f>
        <v/>
      </c>
      <c r="L3638" s="21">
        <f>IFERROR(INDEX(Pedidos!$F$2:$F$1801,MATCH(B3638,Pedidos!$A$2:$A$1801,0)),"")</f>
        <v/>
      </c>
      <c r="M3638" s="22">
        <f>IFERROR(INDEX(Pedidos!$G$2:$G$1801,MATCH(B3638,Pedidos!$A$2:$A$1801,0)),0)</f>
        <v/>
      </c>
      <c r="N3638" s="21">
        <f>IFERROR(INDEX(Produtos!$B$2:$B$71,MATCH(C3638,Produtos!$A$2:$A$71,0)),"")</f>
        <v/>
      </c>
      <c r="O3638" s="21">
        <f>IFERROR(INDEX(Produtos!$C$2:$C$71,MATCH(C3638,Produtos!$A$2:$A$71,0)),"")</f>
        <v/>
      </c>
      <c r="P3638" s="21">
        <f>IFERROR(INDEX(Produtos!$D$2:$D$71,MATCH(C3638,Produtos!$A$2:$A$71,0)),0)</f>
        <v/>
      </c>
      <c r="Q3638" s="21">
        <f>IFERROR(INDEX(Produtos!$E$2:$E$71,MATCH(C3638,Produtos!$A$2:$A$71,0)),0)</f>
        <v/>
      </c>
      <c r="R3638" s="23">
        <f>D3638*Q3638</f>
        <v/>
      </c>
      <c r="S3638" s="23">
        <f>R3638*E3638</f>
        <v/>
      </c>
      <c r="T3638" s="23">
        <f>(R3638-S3638)*M3638</f>
        <v/>
      </c>
      <c r="U3638" s="23">
        <f>R3638-S3638-T3638</f>
        <v/>
      </c>
      <c r="V3638" s="23">
        <f>D3638*P3638</f>
        <v/>
      </c>
      <c r="W3638" s="23">
        <f>U3638-V3638</f>
        <v/>
      </c>
      <c r="X3638" s="24">
        <f>IFERROR(W3638/U3638,0)</f>
        <v/>
      </c>
    </row>
    <row r="3639">
      <c r="A3639" s="25">
        <f>ItensPedido!A3639</f>
        <v/>
      </c>
      <c r="B3639" s="25">
        <f>ItensPedido!B3639</f>
        <v/>
      </c>
      <c r="C3639" s="25">
        <f>ItensPedido!C3639</f>
        <v/>
      </c>
      <c r="D3639" s="25">
        <f>ItensPedido!D3639</f>
        <v/>
      </c>
      <c r="E3639" s="26">
        <f>ItensPedido!E3639</f>
        <v/>
      </c>
      <c r="F3639" s="25">
        <f>IFERROR(INDEX(Pedidos!$B$2:$B$1801,MATCH(B3639,Pedidos!$A$2:$A$1801,0)),0)</f>
        <v/>
      </c>
      <c r="G3639" s="25">
        <f>IF(F3639=0,"",YEAR(F3639))</f>
        <v/>
      </c>
      <c r="H3639" s="25">
        <f>IF(F3639=0,"",MONTH(F3639))</f>
        <v/>
      </c>
      <c r="I3639" s="25">
        <f>IFERROR(INDEX(Pedidos!$E$2:$E$1801,MATCH(B3639,Pedidos!$A$2:$A$1801,0)),"")</f>
        <v/>
      </c>
      <c r="J3639" s="25">
        <f>IFERROR(INDEX(Pedidos!$C$2:$C$1801,MATCH(B3639,Pedidos!$A$2:$A$1801,0)),"")</f>
        <v/>
      </c>
      <c r="K3639" s="25">
        <f>IFERROR(INDEX(Pedidos!$D$2:$D$1801,MATCH(B3639,Pedidos!$A$2:$A$1801,0)),"")</f>
        <v/>
      </c>
      <c r="L3639" s="25">
        <f>IFERROR(INDEX(Pedidos!$F$2:$F$1801,MATCH(B3639,Pedidos!$A$2:$A$1801,0)),"")</f>
        <v/>
      </c>
      <c r="M3639" s="26">
        <f>IFERROR(INDEX(Pedidos!$G$2:$G$1801,MATCH(B3639,Pedidos!$A$2:$A$1801,0)),0)</f>
        <v/>
      </c>
      <c r="N3639" s="25">
        <f>IFERROR(INDEX(Produtos!$B$2:$B$71,MATCH(C3639,Produtos!$A$2:$A$71,0)),"")</f>
        <v/>
      </c>
      <c r="O3639" s="25">
        <f>IFERROR(INDEX(Produtos!$C$2:$C$71,MATCH(C3639,Produtos!$A$2:$A$71,0)),"")</f>
        <v/>
      </c>
      <c r="P3639" s="25">
        <f>IFERROR(INDEX(Produtos!$D$2:$D$71,MATCH(C3639,Produtos!$A$2:$A$71,0)),0)</f>
        <v/>
      </c>
      <c r="Q3639" s="25">
        <f>IFERROR(INDEX(Produtos!$E$2:$E$71,MATCH(C3639,Produtos!$A$2:$A$71,0)),0)</f>
        <v/>
      </c>
      <c r="R3639" s="27">
        <f>D3639*Q3639</f>
        <v/>
      </c>
      <c r="S3639" s="27">
        <f>R3639*E3639</f>
        <v/>
      </c>
      <c r="T3639" s="27">
        <f>(R3639-S3639)*M3639</f>
        <v/>
      </c>
      <c r="U3639" s="27">
        <f>R3639-S3639-T3639</f>
        <v/>
      </c>
      <c r="V3639" s="27">
        <f>D3639*P3639</f>
        <v/>
      </c>
      <c r="W3639" s="27">
        <f>U3639-V3639</f>
        <v/>
      </c>
      <c r="X3639" s="28">
        <f>IFERROR(W3639/U3639,0)</f>
        <v/>
      </c>
    </row>
    <row r="3640">
      <c r="A3640" s="21">
        <f>ItensPedido!A3640</f>
        <v/>
      </c>
      <c r="B3640" s="21">
        <f>ItensPedido!B3640</f>
        <v/>
      </c>
      <c r="C3640" s="21">
        <f>ItensPedido!C3640</f>
        <v/>
      </c>
      <c r="D3640" s="21">
        <f>ItensPedido!D3640</f>
        <v/>
      </c>
      <c r="E3640" s="22">
        <f>ItensPedido!E3640</f>
        <v/>
      </c>
      <c r="F3640" s="21">
        <f>IFERROR(INDEX(Pedidos!$B$2:$B$1801,MATCH(B3640,Pedidos!$A$2:$A$1801,0)),0)</f>
        <v/>
      </c>
      <c r="G3640" s="21">
        <f>IF(F3640=0,"",YEAR(F3640))</f>
        <v/>
      </c>
      <c r="H3640" s="21">
        <f>IF(F3640=0,"",MONTH(F3640))</f>
        <v/>
      </c>
      <c r="I3640" s="21">
        <f>IFERROR(INDEX(Pedidos!$E$2:$E$1801,MATCH(B3640,Pedidos!$A$2:$A$1801,0)),"")</f>
        <v/>
      </c>
      <c r="J3640" s="21">
        <f>IFERROR(INDEX(Pedidos!$C$2:$C$1801,MATCH(B3640,Pedidos!$A$2:$A$1801,0)),"")</f>
        <v/>
      </c>
      <c r="K3640" s="21">
        <f>IFERROR(INDEX(Pedidos!$D$2:$D$1801,MATCH(B3640,Pedidos!$A$2:$A$1801,0)),"")</f>
        <v/>
      </c>
      <c r="L3640" s="21">
        <f>IFERROR(INDEX(Pedidos!$F$2:$F$1801,MATCH(B3640,Pedidos!$A$2:$A$1801,0)),"")</f>
        <v/>
      </c>
      <c r="M3640" s="22">
        <f>IFERROR(INDEX(Pedidos!$G$2:$G$1801,MATCH(B3640,Pedidos!$A$2:$A$1801,0)),0)</f>
        <v/>
      </c>
      <c r="N3640" s="21">
        <f>IFERROR(INDEX(Produtos!$B$2:$B$71,MATCH(C3640,Produtos!$A$2:$A$71,0)),"")</f>
        <v/>
      </c>
      <c r="O3640" s="21">
        <f>IFERROR(INDEX(Produtos!$C$2:$C$71,MATCH(C3640,Produtos!$A$2:$A$71,0)),"")</f>
        <v/>
      </c>
      <c r="P3640" s="21">
        <f>IFERROR(INDEX(Produtos!$D$2:$D$71,MATCH(C3640,Produtos!$A$2:$A$71,0)),0)</f>
        <v/>
      </c>
      <c r="Q3640" s="21">
        <f>IFERROR(INDEX(Produtos!$E$2:$E$71,MATCH(C3640,Produtos!$A$2:$A$71,0)),0)</f>
        <v/>
      </c>
      <c r="R3640" s="23">
        <f>D3640*Q3640</f>
        <v/>
      </c>
      <c r="S3640" s="23">
        <f>R3640*E3640</f>
        <v/>
      </c>
      <c r="T3640" s="23">
        <f>(R3640-S3640)*M3640</f>
        <v/>
      </c>
      <c r="U3640" s="23">
        <f>R3640-S3640-T3640</f>
        <v/>
      </c>
      <c r="V3640" s="23">
        <f>D3640*P3640</f>
        <v/>
      </c>
      <c r="W3640" s="23">
        <f>U3640-V3640</f>
        <v/>
      </c>
      <c r="X3640" s="24">
        <f>IFERROR(W3640/U3640,0)</f>
        <v/>
      </c>
    </row>
    <row r="3641">
      <c r="A3641" s="25">
        <f>ItensPedido!A3641</f>
        <v/>
      </c>
      <c r="B3641" s="25">
        <f>ItensPedido!B3641</f>
        <v/>
      </c>
      <c r="C3641" s="25">
        <f>ItensPedido!C3641</f>
        <v/>
      </c>
      <c r="D3641" s="25">
        <f>ItensPedido!D3641</f>
        <v/>
      </c>
      <c r="E3641" s="26">
        <f>ItensPedido!E3641</f>
        <v/>
      </c>
      <c r="F3641" s="25">
        <f>IFERROR(INDEX(Pedidos!$B$2:$B$1801,MATCH(B3641,Pedidos!$A$2:$A$1801,0)),0)</f>
        <v/>
      </c>
      <c r="G3641" s="25">
        <f>IF(F3641=0,"",YEAR(F3641))</f>
        <v/>
      </c>
      <c r="H3641" s="25">
        <f>IF(F3641=0,"",MONTH(F3641))</f>
        <v/>
      </c>
      <c r="I3641" s="25">
        <f>IFERROR(INDEX(Pedidos!$E$2:$E$1801,MATCH(B3641,Pedidos!$A$2:$A$1801,0)),"")</f>
        <v/>
      </c>
      <c r="J3641" s="25">
        <f>IFERROR(INDEX(Pedidos!$C$2:$C$1801,MATCH(B3641,Pedidos!$A$2:$A$1801,0)),"")</f>
        <v/>
      </c>
      <c r="K3641" s="25">
        <f>IFERROR(INDEX(Pedidos!$D$2:$D$1801,MATCH(B3641,Pedidos!$A$2:$A$1801,0)),"")</f>
        <v/>
      </c>
      <c r="L3641" s="25">
        <f>IFERROR(INDEX(Pedidos!$F$2:$F$1801,MATCH(B3641,Pedidos!$A$2:$A$1801,0)),"")</f>
        <v/>
      </c>
      <c r="M3641" s="26">
        <f>IFERROR(INDEX(Pedidos!$G$2:$G$1801,MATCH(B3641,Pedidos!$A$2:$A$1801,0)),0)</f>
        <v/>
      </c>
      <c r="N3641" s="25">
        <f>IFERROR(INDEX(Produtos!$B$2:$B$71,MATCH(C3641,Produtos!$A$2:$A$71,0)),"")</f>
        <v/>
      </c>
      <c r="O3641" s="25">
        <f>IFERROR(INDEX(Produtos!$C$2:$C$71,MATCH(C3641,Produtos!$A$2:$A$71,0)),"")</f>
        <v/>
      </c>
      <c r="P3641" s="25">
        <f>IFERROR(INDEX(Produtos!$D$2:$D$71,MATCH(C3641,Produtos!$A$2:$A$71,0)),0)</f>
        <v/>
      </c>
      <c r="Q3641" s="25">
        <f>IFERROR(INDEX(Produtos!$E$2:$E$71,MATCH(C3641,Produtos!$A$2:$A$71,0)),0)</f>
        <v/>
      </c>
      <c r="R3641" s="27">
        <f>D3641*Q3641</f>
        <v/>
      </c>
      <c r="S3641" s="27">
        <f>R3641*E3641</f>
        <v/>
      </c>
      <c r="T3641" s="27">
        <f>(R3641-S3641)*M3641</f>
        <v/>
      </c>
      <c r="U3641" s="27">
        <f>R3641-S3641-T3641</f>
        <v/>
      </c>
      <c r="V3641" s="27">
        <f>D3641*P3641</f>
        <v/>
      </c>
      <c r="W3641" s="27">
        <f>U3641-V3641</f>
        <v/>
      </c>
      <c r="X3641" s="28">
        <f>IFERROR(W3641/U3641,0)</f>
        <v/>
      </c>
    </row>
    <row r="3642">
      <c r="A3642" s="21">
        <f>ItensPedido!A3642</f>
        <v/>
      </c>
      <c r="B3642" s="21">
        <f>ItensPedido!B3642</f>
        <v/>
      </c>
      <c r="C3642" s="21">
        <f>ItensPedido!C3642</f>
        <v/>
      </c>
      <c r="D3642" s="21">
        <f>ItensPedido!D3642</f>
        <v/>
      </c>
      <c r="E3642" s="22">
        <f>ItensPedido!E3642</f>
        <v/>
      </c>
      <c r="F3642" s="21">
        <f>IFERROR(INDEX(Pedidos!$B$2:$B$1801,MATCH(B3642,Pedidos!$A$2:$A$1801,0)),0)</f>
        <v/>
      </c>
      <c r="G3642" s="21">
        <f>IF(F3642=0,"",YEAR(F3642))</f>
        <v/>
      </c>
      <c r="H3642" s="21">
        <f>IF(F3642=0,"",MONTH(F3642))</f>
        <v/>
      </c>
      <c r="I3642" s="21">
        <f>IFERROR(INDEX(Pedidos!$E$2:$E$1801,MATCH(B3642,Pedidos!$A$2:$A$1801,0)),"")</f>
        <v/>
      </c>
      <c r="J3642" s="21">
        <f>IFERROR(INDEX(Pedidos!$C$2:$C$1801,MATCH(B3642,Pedidos!$A$2:$A$1801,0)),"")</f>
        <v/>
      </c>
      <c r="K3642" s="21">
        <f>IFERROR(INDEX(Pedidos!$D$2:$D$1801,MATCH(B3642,Pedidos!$A$2:$A$1801,0)),"")</f>
        <v/>
      </c>
      <c r="L3642" s="21">
        <f>IFERROR(INDEX(Pedidos!$F$2:$F$1801,MATCH(B3642,Pedidos!$A$2:$A$1801,0)),"")</f>
        <v/>
      </c>
      <c r="M3642" s="22">
        <f>IFERROR(INDEX(Pedidos!$G$2:$G$1801,MATCH(B3642,Pedidos!$A$2:$A$1801,0)),0)</f>
        <v/>
      </c>
      <c r="N3642" s="21">
        <f>IFERROR(INDEX(Produtos!$B$2:$B$71,MATCH(C3642,Produtos!$A$2:$A$71,0)),"")</f>
        <v/>
      </c>
      <c r="O3642" s="21">
        <f>IFERROR(INDEX(Produtos!$C$2:$C$71,MATCH(C3642,Produtos!$A$2:$A$71,0)),"")</f>
        <v/>
      </c>
      <c r="P3642" s="21">
        <f>IFERROR(INDEX(Produtos!$D$2:$D$71,MATCH(C3642,Produtos!$A$2:$A$71,0)),0)</f>
        <v/>
      </c>
      <c r="Q3642" s="21">
        <f>IFERROR(INDEX(Produtos!$E$2:$E$71,MATCH(C3642,Produtos!$A$2:$A$71,0)),0)</f>
        <v/>
      </c>
      <c r="R3642" s="23">
        <f>D3642*Q3642</f>
        <v/>
      </c>
      <c r="S3642" s="23">
        <f>R3642*E3642</f>
        <v/>
      </c>
      <c r="T3642" s="23">
        <f>(R3642-S3642)*M3642</f>
        <v/>
      </c>
      <c r="U3642" s="23">
        <f>R3642-S3642-T3642</f>
        <v/>
      </c>
      <c r="V3642" s="23">
        <f>D3642*P3642</f>
        <v/>
      </c>
      <c r="W3642" s="23">
        <f>U3642-V3642</f>
        <v/>
      </c>
      <c r="X3642" s="24">
        <f>IFERROR(W3642/U3642,0)</f>
        <v/>
      </c>
    </row>
    <row r="3643">
      <c r="A3643" s="25">
        <f>ItensPedido!A3643</f>
        <v/>
      </c>
      <c r="B3643" s="25">
        <f>ItensPedido!B3643</f>
        <v/>
      </c>
      <c r="C3643" s="25">
        <f>ItensPedido!C3643</f>
        <v/>
      </c>
      <c r="D3643" s="25">
        <f>ItensPedido!D3643</f>
        <v/>
      </c>
      <c r="E3643" s="26">
        <f>ItensPedido!E3643</f>
        <v/>
      </c>
      <c r="F3643" s="25">
        <f>IFERROR(INDEX(Pedidos!$B$2:$B$1801,MATCH(B3643,Pedidos!$A$2:$A$1801,0)),0)</f>
        <v/>
      </c>
      <c r="G3643" s="25">
        <f>IF(F3643=0,"",YEAR(F3643))</f>
        <v/>
      </c>
      <c r="H3643" s="25">
        <f>IF(F3643=0,"",MONTH(F3643))</f>
        <v/>
      </c>
      <c r="I3643" s="25">
        <f>IFERROR(INDEX(Pedidos!$E$2:$E$1801,MATCH(B3643,Pedidos!$A$2:$A$1801,0)),"")</f>
        <v/>
      </c>
      <c r="J3643" s="25">
        <f>IFERROR(INDEX(Pedidos!$C$2:$C$1801,MATCH(B3643,Pedidos!$A$2:$A$1801,0)),"")</f>
        <v/>
      </c>
      <c r="K3643" s="25">
        <f>IFERROR(INDEX(Pedidos!$D$2:$D$1801,MATCH(B3643,Pedidos!$A$2:$A$1801,0)),"")</f>
        <v/>
      </c>
      <c r="L3643" s="25">
        <f>IFERROR(INDEX(Pedidos!$F$2:$F$1801,MATCH(B3643,Pedidos!$A$2:$A$1801,0)),"")</f>
        <v/>
      </c>
      <c r="M3643" s="26">
        <f>IFERROR(INDEX(Pedidos!$G$2:$G$1801,MATCH(B3643,Pedidos!$A$2:$A$1801,0)),0)</f>
        <v/>
      </c>
      <c r="N3643" s="25">
        <f>IFERROR(INDEX(Produtos!$B$2:$B$71,MATCH(C3643,Produtos!$A$2:$A$71,0)),"")</f>
        <v/>
      </c>
      <c r="O3643" s="25">
        <f>IFERROR(INDEX(Produtos!$C$2:$C$71,MATCH(C3643,Produtos!$A$2:$A$71,0)),"")</f>
        <v/>
      </c>
      <c r="P3643" s="25">
        <f>IFERROR(INDEX(Produtos!$D$2:$D$71,MATCH(C3643,Produtos!$A$2:$A$71,0)),0)</f>
        <v/>
      </c>
      <c r="Q3643" s="25">
        <f>IFERROR(INDEX(Produtos!$E$2:$E$71,MATCH(C3643,Produtos!$A$2:$A$71,0)),0)</f>
        <v/>
      </c>
      <c r="R3643" s="27">
        <f>D3643*Q3643</f>
        <v/>
      </c>
      <c r="S3643" s="27">
        <f>R3643*E3643</f>
        <v/>
      </c>
      <c r="T3643" s="27">
        <f>(R3643-S3643)*M3643</f>
        <v/>
      </c>
      <c r="U3643" s="27">
        <f>R3643-S3643-T3643</f>
        <v/>
      </c>
      <c r="V3643" s="27">
        <f>D3643*P3643</f>
        <v/>
      </c>
      <c r="W3643" s="27">
        <f>U3643-V3643</f>
        <v/>
      </c>
      <c r="X3643" s="28">
        <f>IFERROR(W3643/U3643,0)</f>
        <v/>
      </c>
    </row>
    <row r="3644">
      <c r="A3644" s="21">
        <f>ItensPedido!A3644</f>
        <v/>
      </c>
      <c r="B3644" s="21">
        <f>ItensPedido!B3644</f>
        <v/>
      </c>
      <c r="C3644" s="21">
        <f>ItensPedido!C3644</f>
        <v/>
      </c>
      <c r="D3644" s="21">
        <f>ItensPedido!D3644</f>
        <v/>
      </c>
      <c r="E3644" s="22">
        <f>ItensPedido!E3644</f>
        <v/>
      </c>
      <c r="F3644" s="21">
        <f>IFERROR(INDEX(Pedidos!$B$2:$B$1801,MATCH(B3644,Pedidos!$A$2:$A$1801,0)),0)</f>
        <v/>
      </c>
      <c r="G3644" s="21">
        <f>IF(F3644=0,"",YEAR(F3644))</f>
        <v/>
      </c>
      <c r="H3644" s="21">
        <f>IF(F3644=0,"",MONTH(F3644))</f>
        <v/>
      </c>
      <c r="I3644" s="21">
        <f>IFERROR(INDEX(Pedidos!$E$2:$E$1801,MATCH(B3644,Pedidos!$A$2:$A$1801,0)),"")</f>
        <v/>
      </c>
      <c r="J3644" s="21">
        <f>IFERROR(INDEX(Pedidos!$C$2:$C$1801,MATCH(B3644,Pedidos!$A$2:$A$1801,0)),"")</f>
        <v/>
      </c>
      <c r="K3644" s="21">
        <f>IFERROR(INDEX(Pedidos!$D$2:$D$1801,MATCH(B3644,Pedidos!$A$2:$A$1801,0)),"")</f>
        <v/>
      </c>
      <c r="L3644" s="21">
        <f>IFERROR(INDEX(Pedidos!$F$2:$F$1801,MATCH(B3644,Pedidos!$A$2:$A$1801,0)),"")</f>
        <v/>
      </c>
      <c r="M3644" s="22">
        <f>IFERROR(INDEX(Pedidos!$G$2:$G$1801,MATCH(B3644,Pedidos!$A$2:$A$1801,0)),0)</f>
        <v/>
      </c>
      <c r="N3644" s="21">
        <f>IFERROR(INDEX(Produtos!$B$2:$B$71,MATCH(C3644,Produtos!$A$2:$A$71,0)),"")</f>
        <v/>
      </c>
      <c r="O3644" s="21">
        <f>IFERROR(INDEX(Produtos!$C$2:$C$71,MATCH(C3644,Produtos!$A$2:$A$71,0)),"")</f>
        <v/>
      </c>
      <c r="P3644" s="21">
        <f>IFERROR(INDEX(Produtos!$D$2:$D$71,MATCH(C3644,Produtos!$A$2:$A$71,0)),0)</f>
        <v/>
      </c>
      <c r="Q3644" s="21">
        <f>IFERROR(INDEX(Produtos!$E$2:$E$71,MATCH(C3644,Produtos!$A$2:$A$71,0)),0)</f>
        <v/>
      </c>
      <c r="R3644" s="23">
        <f>D3644*Q3644</f>
        <v/>
      </c>
      <c r="S3644" s="23">
        <f>R3644*E3644</f>
        <v/>
      </c>
      <c r="T3644" s="23">
        <f>(R3644-S3644)*M3644</f>
        <v/>
      </c>
      <c r="U3644" s="23">
        <f>R3644-S3644-T3644</f>
        <v/>
      </c>
      <c r="V3644" s="23">
        <f>D3644*P3644</f>
        <v/>
      </c>
      <c r="W3644" s="23">
        <f>U3644-V3644</f>
        <v/>
      </c>
      <c r="X3644" s="24">
        <f>IFERROR(W3644/U3644,0)</f>
        <v/>
      </c>
    </row>
    <row r="3645">
      <c r="A3645" s="25">
        <f>ItensPedido!A3645</f>
        <v/>
      </c>
      <c r="B3645" s="25">
        <f>ItensPedido!B3645</f>
        <v/>
      </c>
      <c r="C3645" s="25">
        <f>ItensPedido!C3645</f>
        <v/>
      </c>
      <c r="D3645" s="25">
        <f>ItensPedido!D3645</f>
        <v/>
      </c>
      <c r="E3645" s="26">
        <f>ItensPedido!E3645</f>
        <v/>
      </c>
      <c r="F3645" s="25">
        <f>IFERROR(INDEX(Pedidos!$B$2:$B$1801,MATCH(B3645,Pedidos!$A$2:$A$1801,0)),0)</f>
        <v/>
      </c>
      <c r="G3645" s="25">
        <f>IF(F3645=0,"",YEAR(F3645))</f>
        <v/>
      </c>
      <c r="H3645" s="25">
        <f>IF(F3645=0,"",MONTH(F3645))</f>
        <v/>
      </c>
      <c r="I3645" s="25">
        <f>IFERROR(INDEX(Pedidos!$E$2:$E$1801,MATCH(B3645,Pedidos!$A$2:$A$1801,0)),"")</f>
        <v/>
      </c>
      <c r="J3645" s="25">
        <f>IFERROR(INDEX(Pedidos!$C$2:$C$1801,MATCH(B3645,Pedidos!$A$2:$A$1801,0)),"")</f>
        <v/>
      </c>
      <c r="K3645" s="25">
        <f>IFERROR(INDEX(Pedidos!$D$2:$D$1801,MATCH(B3645,Pedidos!$A$2:$A$1801,0)),"")</f>
        <v/>
      </c>
      <c r="L3645" s="25">
        <f>IFERROR(INDEX(Pedidos!$F$2:$F$1801,MATCH(B3645,Pedidos!$A$2:$A$1801,0)),"")</f>
        <v/>
      </c>
      <c r="M3645" s="26">
        <f>IFERROR(INDEX(Pedidos!$G$2:$G$1801,MATCH(B3645,Pedidos!$A$2:$A$1801,0)),0)</f>
        <v/>
      </c>
      <c r="N3645" s="25">
        <f>IFERROR(INDEX(Produtos!$B$2:$B$71,MATCH(C3645,Produtos!$A$2:$A$71,0)),"")</f>
        <v/>
      </c>
      <c r="O3645" s="25">
        <f>IFERROR(INDEX(Produtos!$C$2:$C$71,MATCH(C3645,Produtos!$A$2:$A$71,0)),"")</f>
        <v/>
      </c>
      <c r="P3645" s="25">
        <f>IFERROR(INDEX(Produtos!$D$2:$D$71,MATCH(C3645,Produtos!$A$2:$A$71,0)),0)</f>
        <v/>
      </c>
      <c r="Q3645" s="25">
        <f>IFERROR(INDEX(Produtos!$E$2:$E$71,MATCH(C3645,Produtos!$A$2:$A$71,0)),0)</f>
        <v/>
      </c>
      <c r="R3645" s="27">
        <f>D3645*Q3645</f>
        <v/>
      </c>
      <c r="S3645" s="27">
        <f>R3645*E3645</f>
        <v/>
      </c>
      <c r="T3645" s="27">
        <f>(R3645-S3645)*M3645</f>
        <v/>
      </c>
      <c r="U3645" s="27">
        <f>R3645-S3645-T3645</f>
        <v/>
      </c>
      <c r="V3645" s="27">
        <f>D3645*P3645</f>
        <v/>
      </c>
      <c r="W3645" s="27">
        <f>U3645-V3645</f>
        <v/>
      </c>
      <c r="X3645" s="28">
        <f>IFERROR(W3645/U3645,0)</f>
        <v/>
      </c>
    </row>
    <row r="3646">
      <c r="A3646" s="21">
        <f>ItensPedido!A3646</f>
        <v/>
      </c>
      <c r="B3646" s="21">
        <f>ItensPedido!B3646</f>
        <v/>
      </c>
      <c r="C3646" s="21">
        <f>ItensPedido!C3646</f>
        <v/>
      </c>
      <c r="D3646" s="21">
        <f>ItensPedido!D3646</f>
        <v/>
      </c>
      <c r="E3646" s="22">
        <f>ItensPedido!E3646</f>
        <v/>
      </c>
      <c r="F3646" s="21">
        <f>IFERROR(INDEX(Pedidos!$B$2:$B$1801,MATCH(B3646,Pedidos!$A$2:$A$1801,0)),0)</f>
        <v/>
      </c>
      <c r="G3646" s="21">
        <f>IF(F3646=0,"",YEAR(F3646))</f>
        <v/>
      </c>
      <c r="H3646" s="21">
        <f>IF(F3646=0,"",MONTH(F3646))</f>
        <v/>
      </c>
      <c r="I3646" s="21">
        <f>IFERROR(INDEX(Pedidos!$E$2:$E$1801,MATCH(B3646,Pedidos!$A$2:$A$1801,0)),"")</f>
        <v/>
      </c>
      <c r="J3646" s="21">
        <f>IFERROR(INDEX(Pedidos!$C$2:$C$1801,MATCH(B3646,Pedidos!$A$2:$A$1801,0)),"")</f>
        <v/>
      </c>
      <c r="K3646" s="21">
        <f>IFERROR(INDEX(Pedidos!$D$2:$D$1801,MATCH(B3646,Pedidos!$A$2:$A$1801,0)),"")</f>
        <v/>
      </c>
      <c r="L3646" s="21">
        <f>IFERROR(INDEX(Pedidos!$F$2:$F$1801,MATCH(B3646,Pedidos!$A$2:$A$1801,0)),"")</f>
        <v/>
      </c>
      <c r="M3646" s="22">
        <f>IFERROR(INDEX(Pedidos!$G$2:$G$1801,MATCH(B3646,Pedidos!$A$2:$A$1801,0)),0)</f>
        <v/>
      </c>
      <c r="N3646" s="21">
        <f>IFERROR(INDEX(Produtos!$B$2:$B$71,MATCH(C3646,Produtos!$A$2:$A$71,0)),"")</f>
        <v/>
      </c>
      <c r="O3646" s="21">
        <f>IFERROR(INDEX(Produtos!$C$2:$C$71,MATCH(C3646,Produtos!$A$2:$A$71,0)),"")</f>
        <v/>
      </c>
      <c r="P3646" s="21">
        <f>IFERROR(INDEX(Produtos!$D$2:$D$71,MATCH(C3646,Produtos!$A$2:$A$71,0)),0)</f>
        <v/>
      </c>
      <c r="Q3646" s="21">
        <f>IFERROR(INDEX(Produtos!$E$2:$E$71,MATCH(C3646,Produtos!$A$2:$A$71,0)),0)</f>
        <v/>
      </c>
      <c r="R3646" s="23">
        <f>D3646*Q3646</f>
        <v/>
      </c>
      <c r="S3646" s="23">
        <f>R3646*E3646</f>
        <v/>
      </c>
      <c r="T3646" s="23">
        <f>(R3646-S3646)*M3646</f>
        <v/>
      </c>
      <c r="U3646" s="23">
        <f>R3646-S3646-T3646</f>
        <v/>
      </c>
      <c r="V3646" s="23">
        <f>D3646*P3646</f>
        <v/>
      </c>
      <c r="W3646" s="23">
        <f>U3646-V3646</f>
        <v/>
      </c>
      <c r="X3646" s="24">
        <f>IFERROR(W3646/U3646,0)</f>
        <v/>
      </c>
    </row>
    <row r="3647">
      <c r="A3647" s="25">
        <f>ItensPedido!A3647</f>
        <v/>
      </c>
      <c r="B3647" s="25">
        <f>ItensPedido!B3647</f>
        <v/>
      </c>
      <c r="C3647" s="25">
        <f>ItensPedido!C3647</f>
        <v/>
      </c>
      <c r="D3647" s="25">
        <f>ItensPedido!D3647</f>
        <v/>
      </c>
      <c r="E3647" s="26">
        <f>ItensPedido!E3647</f>
        <v/>
      </c>
      <c r="F3647" s="25">
        <f>IFERROR(INDEX(Pedidos!$B$2:$B$1801,MATCH(B3647,Pedidos!$A$2:$A$1801,0)),0)</f>
        <v/>
      </c>
      <c r="G3647" s="25">
        <f>IF(F3647=0,"",YEAR(F3647))</f>
        <v/>
      </c>
      <c r="H3647" s="25">
        <f>IF(F3647=0,"",MONTH(F3647))</f>
        <v/>
      </c>
      <c r="I3647" s="25">
        <f>IFERROR(INDEX(Pedidos!$E$2:$E$1801,MATCH(B3647,Pedidos!$A$2:$A$1801,0)),"")</f>
        <v/>
      </c>
      <c r="J3647" s="25">
        <f>IFERROR(INDEX(Pedidos!$C$2:$C$1801,MATCH(B3647,Pedidos!$A$2:$A$1801,0)),"")</f>
        <v/>
      </c>
      <c r="K3647" s="25">
        <f>IFERROR(INDEX(Pedidos!$D$2:$D$1801,MATCH(B3647,Pedidos!$A$2:$A$1801,0)),"")</f>
        <v/>
      </c>
      <c r="L3647" s="25">
        <f>IFERROR(INDEX(Pedidos!$F$2:$F$1801,MATCH(B3647,Pedidos!$A$2:$A$1801,0)),"")</f>
        <v/>
      </c>
      <c r="M3647" s="26">
        <f>IFERROR(INDEX(Pedidos!$G$2:$G$1801,MATCH(B3647,Pedidos!$A$2:$A$1801,0)),0)</f>
        <v/>
      </c>
      <c r="N3647" s="25">
        <f>IFERROR(INDEX(Produtos!$B$2:$B$71,MATCH(C3647,Produtos!$A$2:$A$71,0)),"")</f>
        <v/>
      </c>
      <c r="O3647" s="25">
        <f>IFERROR(INDEX(Produtos!$C$2:$C$71,MATCH(C3647,Produtos!$A$2:$A$71,0)),"")</f>
        <v/>
      </c>
      <c r="P3647" s="25">
        <f>IFERROR(INDEX(Produtos!$D$2:$D$71,MATCH(C3647,Produtos!$A$2:$A$71,0)),0)</f>
        <v/>
      </c>
      <c r="Q3647" s="25">
        <f>IFERROR(INDEX(Produtos!$E$2:$E$71,MATCH(C3647,Produtos!$A$2:$A$71,0)),0)</f>
        <v/>
      </c>
      <c r="R3647" s="27">
        <f>D3647*Q3647</f>
        <v/>
      </c>
      <c r="S3647" s="27">
        <f>R3647*E3647</f>
        <v/>
      </c>
      <c r="T3647" s="27">
        <f>(R3647-S3647)*M3647</f>
        <v/>
      </c>
      <c r="U3647" s="27">
        <f>R3647-S3647-T3647</f>
        <v/>
      </c>
      <c r="V3647" s="27">
        <f>D3647*P3647</f>
        <v/>
      </c>
      <c r="W3647" s="27">
        <f>U3647-V3647</f>
        <v/>
      </c>
      <c r="X3647" s="28">
        <f>IFERROR(W3647/U3647,0)</f>
        <v/>
      </c>
    </row>
    <row r="3648">
      <c r="A3648" s="21">
        <f>ItensPedido!A3648</f>
        <v/>
      </c>
      <c r="B3648" s="21">
        <f>ItensPedido!B3648</f>
        <v/>
      </c>
      <c r="C3648" s="21">
        <f>ItensPedido!C3648</f>
        <v/>
      </c>
      <c r="D3648" s="21">
        <f>ItensPedido!D3648</f>
        <v/>
      </c>
      <c r="E3648" s="22">
        <f>ItensPedido!E3648</f>
        <v/>
      </c>
      <c r="F3648" s="21">
        <f>IFERROR(INDEX(Pedidos!$B$2:$B$1801,MATCH(B3648,Pedidos!$A$2:$A$1801,0)),0)</f>
        <v/>
      </c>
      <c r="G3648" s="21">
        <f>IF(F3648=0,"",YEAR(F3648))</f>
        <v/>
      </c>
      <c r="H3648" s="21">
        <f>IF(F3648=0,"",MONTH(F3648))</f>
        <v/>
      </c>
      <c r="I3648" s="21">
        <f>IFERROR(INDEX(Pedidos!$E$2:$E$1801,MATCH(B3648,Pedidos!$A$2:$A$1801,0)),"")</f>
        <v/>
      </c>
      <c r="J3648" s="21">
        <f>IFERROR(INDEX(Pedidos!$C$2:$C$1801,MATCH(B3648,Pedidos!$A$2:$A$1801,0)),"")</f>
        <v/>
      </c>
      <c r="K3648" s="21">
        <f>IFERROR(INDEX(Pedidos!$D$2:$D$1801,MATCH(B3648,Pedidos!$A$2:$A$1801,0)),"")</f>
        <v/>
      </c>
      <c r="L3648" s="21">
        <f>IFERROR(INDEX(Pedidos!$F$2:$F$1801,MATCH(B3648,Pedidos!$A$2:$A$1801,0)),"")</f>
        <v/>
      </c>
      <c r="M3648" s="22">
        <f>IFERROR(INDEX(Pedidos!$G$2:$G$1801,MATCH(B3648,Pedidos!$A$2:$A$1801,0)),0)</f>
        <v/>
      </c>
      <c r="N3648" s="21">
        <f>IFERROR(INDEX(Produtos!$B$2:$B$71,MATCH(C3648,Produtos!$A$2:$A$71,0)),"")</f>
        <v/>
      </c>
      <c r="O3648" s="21">
        <f>IFERROR(INDEX(Produtos!$C$2:$C$71,MATCH(C3648,Produtos!$A$2:$A$71,0)),"")</f>
        <v/>
      </c>
      <c r="P3648" s="21">
        <f>IFERROR(INDEX(Produtos!$D$2:$D$71,MATCH(C3648,Produtos!$A$2:$A$71,0)),0)</f>
        <v/>
      </c>
      <c r="Q3648" s="21">
        <f>IFERROR(INDEX(Produtos!$E$2:$E$71,MATCH(C3648,Produtos!$A$2:$A$71,0)),0)</f>
        <v/>
      </c>
      <c r="R3648" s="23">
        <f>D3648*Q3648</f>
        <v/>
      </c>
      <c r="S3648" s="23">
        <f>R3648*E3648</f>
        <v/>
      </c>
      <c r="T3648" s="23">
        <f>(R3648-S3648)*M3648</f>
        <v/>
      </c>
      <c r="U3648" s="23">
        <f>R3648-S3648-T3648</f>
        <v/>
      </c>
      <c r="V3648" s="23">
        <f>D3648*P3648</f>
        <v/>
      </c>
      <c r="W3648" s="23">
        <f>U3648-V3648</f>
        <v/>
      </c>
      <c r="X3648" s="24">
        <f>IFERROR(W3648/U3648,0)</f>
        <v/>
      </c>
    </row>
    <row r="3649">
      <c r="A3649" s="25">
        <f>ItensPedido!A3649</f>
        <v/>
      </c>
      <c r="B3649" s="25">
        <f>ItensPedido!B3649</f>
        <v/>
      </c>
      <c r="C3649" s="25">
        <f>ItensPedido!C3649</f>
        <v/>
      </c>
      <c r="D3649" s="25">
        <f>ItensPedido!D3649</f>
        <v/>
      </c>
      <c r="E3649" s="26">
        <f>ItensPedido!E3649</f>
        <v/>
      </c>
      <c r="F3649" s="25">
        <f>IFERROR(INDEX(Pedidos!$B$2:$B$1801,MATCH(B3649,Pedidos!$A$2:$A$1801,0)),0)</f>
        <v/>
      </c>
      <c r="G3649" s="25">
        <f>IF(F3649=0,"",YEAR(F3649))</f>
        <v/>
      </c>
      <c r="H3649" s="25">
        <f>IF(F3649=0,"",MONTH(F3649))</f>
        <v/>
      </c>
      <c r="I3649" s="25">
        <f>IFERROR(INDEX(Pedidos!$E$2:$E$1801,MATCH(B3649,Pedidos!$A$2:$A$1801,0)),"")</f>
        <v/>
      </c>
      <c r="J3649" s="25">
        <f>IFERROR(INDEX(Pedidos!$C$2:$C$1801,MATCH(B3649,Pedidos!$A$2:$A$1801,0)),"")</f>
        <v/>
      </c>
      <c r="K3649" s="25">
        <f>IFERROR(INDEX(Pedidos!$D$2:$D$1801,MATCH(B3649,Pedidos!$A$2:$A$1801,0)),"")</f>
        <v/>
      </c>
      <c r="L3649" s="25">
        <f>IFERROR(INDEX(Pedidos!$F$2:$F$1801,MATCH(B3649,Pedidos!$A$2:$A$1801,0)),"")</f>
        <v/>
      </c>
      <c r="M3649" s="26">
        <f>IFERROR(INDEX(Pedidos!$G$2:$G$1801,MATCH(B3649,Pedidos!$A$2:$A$1801,0)),0)</f>
        <v/>
      </c>
      <c r="N3649" s="25">
        <f>IFERROR(INDEX(Produtos!$B$2:$B$71,MATCH(C3649,Produtos!$A$2:$A$71,0)),"")</f>
        <v/>
      </c>
      <c r="O3649" s="25">
        <f>IFERROR(INDEX(Produtos!$C$2:$C$71,MATCH(C3649,Produtos!$A$2:$A$71,0)),"")</f>
        <v/>
      </c>
      <c r="P3649" s="25">
        <f>IFERROR(INDEX(Produtos!$D$2:$D$71,MATCH(C3649,Produtos!$A$2:$A$71,0)),0)</f>
        <v/>
      </c>
      <c r="Q3649" s="25">
        <f>IFERROR(INDEX(Produtos!$E$2:$E$71,MATCH(C3649,Produtos!$A$2:$A$71,0)),0)</f>
        <v/>
      </c>
      <c r="R3649" s="27">
        <f>D3649*Q3649</f>
        <v/>
      </c>
      <c r="S3649" s="27">
        <f>R3649*E3649</f>
        <v/>
      </c>
      <c r="T3649" s="27">
        <f>(R3649-S3649)*M3649</f>
        <v/>
      </c>
      <c r="U3649" s="27">
        <f>R3649-S3649-T3649</f>
        <v/>
      </c>
      <c r="V3649" s="27">
        <f>D3649*P3649</f>
        <v/>
      </c>
      <c r="W3649" s="27">
        <f>U3649-V3649</f>
        <v/>
      </c>
      <c r="X3649" s="28">
        <f>IFERROR(W3649/U3649,0)</f>
        <v/>
      </c>
    </row>
    <row r="3650">
      <c r="A3650" s="21">
        <f>ItensPedido!A3650</f>
        <v/>
      </c>
      <c r="B3650" s="21">
        <f>ItensPedido!B3650</f>
        <v/>
      </c>
      <c r="C3650" s="21">
        <f>ItensPedido!C3650</f>
        <v/>
      </c>
      <c r="D3650" s="21">
        <f>ItensPedido!D3650</f>
        <v/>
      </c>
      <c r="E3650" s="22">
        <f>ItensPedido!E3650</f>
        <v/>
      </c>
      <c r="F3650" s="21">
        <f>IFERROR(INDEX(Pedidos!$B$2:$B$1801,MATCH(B3650,Pedidos!$A$2:$A$1801,0)),0)</f>
        <v/>
      </c>
      <c r="G3650" s="21">
        <f>IF(F3650=0,"",YEAR(F3650))</f>
        <v/>
      </c>
      <c r="H3650" s="21">
        <f>IF(F3650=0,"",MONTH(F3650))</f>
        <v/>
      </c>
      <c r="I3650" s="21">
        <f>IFERROR(INDEX(Pedidos!$E$2:$E$1801,MATCH(B3650,Pedidos!$A$2:$A$1801,0)),"")</f>
        <v/>
      </c>
      <c r="J3650" s="21">
        <f>IFERROR(INDEX(Pedidos!$C$2:$C$1801,MATCH(B3650,Pedidos!$A$2:$A$1801,0)),"")</f>
        <v/>
      </c>
      <c r="K3650" s="21">
        <f>IFERROR(INDEX(Pedidos!$D$2:$D$1801,MATCH(B3650,Pedidos!$A$2:$A$1801,0)),"")</f>
        <v/>
      </c>
      <c r="L3650" s="21">
        <f>IFERROR(INDEX(Pedidos!$F$2:$F$1801,MATCH(B3650,Pedidos!$A$2:$A$1801,0)),"")</f>
        <v/>
      </c>
      <c r="M3650" s="22">
        <f>IFERROR(INDEX(Pedidos!$G$2:$G$1801,MATCH(B3650,Pedidos!$A$2:$A$1801,0)),0)</f>
        <v/>
      </c>
      <c r="N3650" s="21">
        <f>IFERROR(INDEX(Produtos!$B$2:$B$71,MATCH(C3650,Produtos!$A$2:$A$71,0)),"")</f>
        <v/>
      </c>
      <c r="O3650" s="21">
        <f>IFERROR(INDEX(Produtos!$C$2:$C$71,MATCH(C3650,Produtos!$A$2:$A$71,0)),"")</f>
        <v/>
      </c>
      <c r="P3650" s="21">
        <f>IFERROR(INDEX(Produtos!$D$2:$D$71,MATCH(C3650,Produtos!$A$2:$A$71,0)),0)</f>
        <v/>
      </c>
      <c r="Q3650" s="21">
        <f>IFERROR(INDEX(Produtos!$E$2:$E$71,MATCH(C3650,Produtos!$A$2:$A$71,0)),0)</f>
        <v/>
      </c>
      <c r="R3650" s="23">
        <f>D3650*Q3650</f>
        <v/>
      </c>
      <c r="S3650" s="23">
        <f>R3650*E3650</f>
        <v/>
      </c>
      <c r="T3650" s="23">
        <f>(R3650-S3650)*M3650</f>
        <v/>
      </c>
      <c r="U3650" s="23">
        <f>R3650-S3650-T3650</f>
        <v/>
      </c>
      <c r="V3650" s="23">
        <f>D3650*P3650</f>
        <v/>
      </c>
      <c r="W3650" s="23">
        <f>U3650-V3650</f>
        <v/>
      </c>
      <c r="X3650" s="24">
        <f>IFERROR(W3650/U3650,0)</f>
        <v/>
      </c>
    </row>
    <row r="3651">
      <c r="A3651" s="25">
        <f>ItensPedido!A3651</f>
        <v/>
      </c>
      <c r="B3651" s="25">
        <f>ItensPedido!B3651</f>
        <v/>
      </c>
      <c r="C3651" s="25">
        <f>ItensPedido!C3651</f>
        <v/>
      </c>
      <c r="D3651" s="25">
        <f>ItensPedido!D3651</f>
        <v/>
      </c>
      <c r="E3651" s="26">
        <f>ItensPedido!E3651</f>
        <v/>
      </c>
      <c r="F3651" s="25">
        <f>IFERROR(INDEX(Pedidos!$B$2:$B$1801,MATCH(B3651,Pedidos!$A$2:$A$1801,0)),0)</f>
        <v/>
      </c>
      <c r="G3651" s="25">
        <f>IF(F3651=0,"",YEAR(F3651))</f>
        <v/>
      </c>
      <c r="H3651" s="25">
        <f>IF(F3651=0,"",MONTH(F3651))</f>
        <v/>
      </c>
      <c r="I3651" s="25">
        <f>IFERROR(INDEX(Pedidos!$E$2:$E$1801,MATCH(B3651,Pedidos!$A$2:$A$1801,0)),"")</f>
        <v/>
      </c>
      <c r="J3651" s="25">
        <f>IFERROR(INDEX(Pedidos!$C$2:$C$1801,MATCH(B3651,Pedidos!$A$2:$A$1801,0)),"")</f>
        <v/>
      </c>
      <c r="K3651" s="25">
        <f>IFERROR(INDEX(Pedidos!$D$2:$D$1801,MATCH(B3651,Pedidos!$A$2:$A$1801,0)),"")</f>
        <v/>
      </c>
      <c r="L3651" s="25">
        <f>IFERROR(INDEX(Pedidos!$F$2:$F$1801,MATCH(B3651,Pedidos!$A$2:$A$1801,0)),"")</f>
        <v/>
      </c>
      <c r="M3651" s="26">
        <f>IFERROR(INDEX(Pedidos!$G$2:$G$1801,MATCH(B3651,Pedidos!$A$2:$A$1801,0)),0)</f>
        <v/>
      </c>
      <c r="N3651" s="25">
        <f>IFERROR(INDEX(Produtos!$B$2:$B$71,MATCH(C3651,Produtos!$A$2:$A$71,0)),"")</f>
        <v/>
      </c>
      <c r="O3651" s="25">
        <f>IFERROR(INDEX(Produtos!$C$2:$C$71,MATCH(C3651,Produtos!$A$2:$A$71,0)),"")</f>
        <v/>
      </c>
      <c r="P3651" s="25">
        <f>IFERROR(INDEX(Produtos!$D$2:$D$71,MATCH(C3651,Produtos!$A$2:$A$71,0)),0)</f>
        <v/>
      </c>
      <c r="Q3651" s="25">
        <f>IFERROR(INDEX(Produtos!$E$2:$E$71,MATCH(C3651,Produtos!$A$2:$A$71,0)),0)</f>
        <v/>
      </c>
      <c r="R3651" s="27">
        <f>D3651*Q3651</f>
        <v/>
      </c>
      <c r="S3651" s="27">
        <f>R3651*E3651</f>
        <v/>
      </c>
      <c r="T3651" s="27">
        <f>(R3651-S3651)*M3651</f>
        <v/>
      </c>
      <c r="U3651" s="27">
        <f>R3651-S3651-T3651</f>
        <v/>
      </c>
      <c r="V3651" s="27">
        <f>D3651*P3651</f>
        <v/>
      </c>
      <c r="W3651" s="27">
        <f>U3651-V3651</f>
        <v/>
      </c>
      <c r="X3651" s="28">
        <f>IFERROR(W3651/U3651,0)</f>
        <v/>
      </c>
    </row>
    <row r="3652">
      <c r="A3652" s="21">
        <f>ItensPedido!A3652</f>
        <v/>
      </c>
      <c r="B3652" s="21">
        <f>ItensPedido!B3652</f>
        <v/>
      </c>
      <c r="C3652" s="21">
        <f>ItensPedido!C3652</f>
        <v/>
      </c>
      <c r="D3652" s="21">
        <f>ItensPedido!D3652</f>
        <v/>
      </c>
      <c r="E3652" s="22">
        <f>ItensPedido!E3652</f>
        <v/>
      </c>
      <c r="F3652" s="21">
        <f>IFERROR(INDEX(Pedidos!$B$2:$B$1801,MATCH(B3652,Pedidos!$A$2:$A$1801,0)),0)</f>
        <v/>
      </c>
      <c r="G3652" s="21">
        <f>IF(F3652=0,"",YEAR(F3652))</f>
        <v/>
      </c>
      <c r="H3652" s="21">
        <f>IF(F3652=0,"",MONTH(F3652))</f>
        <v/>
      </c>
      <c r="I3652" s="21">
        <f>IFERROR(INDEX(Pedidos!$E$2:$E$1801,MATCH(B3652,Pedidos!$A$2:$A$1801,0)),"")</f>
        <v/>
      </c>
      <c r="J3652" s="21">
        <f>IFERROR(INDEX(Pedidos!$C$2:$C$1801,MATCH(B3652,Pedidos!$A$2:$A$1801,0)),"")</f>
        <v/>
      </c>
      <c r="K3652" s="21">
        <f>IFERROR(INDEX(Pedidos!$D$2:$D$1801,MATCH(B3652,Pedidos!$A$2:$A$1801,0)),"")</f>
        <v/>
      </c>
      <c r="L3652" s="21">
        <f>IFERROR(INDEX(Pedidos!$F$2:$F$1801,MATCH(B3652,Pedidos!$A$2:$A$1801,0)),"")</f>
        <v/>
      </c>
      <c r="M3652" s="22">
        <f>IFERROR(INDEX(Pedidos!$G$2:$G$1801,MATCH(B3652,Pedidos!$A$2:$A$1801,0)),0)</f>
        <v/>
      </c>
      <c r="N3652" s="21">
        <f>IFERROR(INDEX(Produtos!$B$2:$B$71,MATCH(C3652,Produtos!$A$2:$A$71,0)),"")</f>
        <v/>
      </c>
      <c r="O3652" s="21">
        <f>IFERROR(INDEX(Produtos!$C$2:$C$71,MATCH(C3652,Produtos!$A$2:$A$71,0)),"")</f>
        <v/>
      </c>
      <c r="P3652" s="21">
        <f>IFERROR(INDEX(Produtos!$D$2:$D$71,MATCH(C3652,Produtos!$A$2:$A$71,0)),0)</f>
        <v/>
      </c>
      <c r="Q3652" s="21">
        <f>IFERROR(INDEX(Produtos!$E$2:$E$71,MATCH(C3652,Produtos!$A$2:$A$71,0)),0)</f>
        <v/>
      </c>
      <c r="R3652" s="23">
        <f>D3652*Q3652</f>
        <v/>
      </c>
      <c r="S3652" s="23">
        <f>R3652*E3652</f>
        <v/>
      </c>
      <c r="T3652" s="23">
        <f>(R3652-S3652)*M3652</f>
        <v/>
      </c>
      <c r="U3652" s="23">
        <f>R3652-S3652-T3652</f>
        <v/>
      </c>
      <c r="V3652" s="23">
        <f>D3652*P3652</f>
        <v/>
      </c>
      <c r="W3652" s="23">
        <f>U3652-V3652</f>
        <v/>
      </c>
      <c r="X3652" s="24">
        <f>IFERROR(W3652/U3652,0)</f>
        <v/>
      </c>
    </row>
    <row r="3653">
      <c r="A3653" s="25">
        <f>ItensPedido!A3653</f>
        <v/>
      </c>
      <c r="B3653" s="25">
        <f>ItensPedido!B3653</f>
        <v/>
      </c>
      <c r="C3653" s="25">
        <f>ItensPedido!C3653</f>
        <v/>
      </c>
      <c r="D3653" s="25">
        <f>ItensPedido!D3653</f>
        <v/>
      </c>
      <c r="E3653" s="26">
        <f>ItensPedido!E3653</f>
        <v/>
      </c>
      <c r="F3653" s="25">
        <f>IFERROR(INDEX(Pedidos!$B$2:$B$1801,MATCH(B3653,Pedidos!$A$2:$A$1801,0)),0)</f>
        <v/>
      </c>
      <c r="G3653" s="25">
        <f>IF(F3653=0,"",YEAR(F3653))</f>
        <v/>
      </c>
      <c r="H3653" s="25">
        <f>IF(F3653=0,"",MONTH(F3653))</f>
        <v/>
      </c>
      <c r="I3653" s="25">
        <f>IFERROR(INDEX(Pedidos!$E$2:$E$1801,MATCH(B3653,Pedidos!$A$2:$A$1801,0)),"")</f>
        <v/>
      </c>
      <c r="J3653" s="25">
        <f>IFERROR(INDEX(Pedidos!$C$2:$C$1801,MATCH(B3653,Pedidos!$A$2:$A$1801,0)),"")</f>
        <v/>
      </c>
      <c r="K3653" s="25">
        <f>IFERROR(INDEX(Pedidos!$D$2:$D$1801,MATCH(B3653,Pedidos!$A$2:$A$1801,0)),"")</f>
        <v/>
      </c>
      <c r="L3653" s="25">
        <f>IFERROR(INDEX(Pedidos!$F$2:$F$1801,MATCH(B3653,Pedidos!$A$2:$A$1801,0)),"")</f>
        <v/>
      </c>
      <c r="M3653" s="26">
        <f>IFERROR(INDEX(Pedidos!$G$2:$G$1801,MATCH(B3653,Pedidos!$A$2:$A$1801,0)),0)</f>
        <v/>
      </c>
      <c r="N3653" s="25">
        <f>IFERROR(INDEX(Produtos!$B$2:$B$71,MATCH(C3653,Produtos!$A$2:$A$71,0)),"")</f>
        <v/>
      </c>
      <c r="O3653" s="25">
        <f>IFERROR(INDEX(Produtos!$C$2:$C$71,MATCH(C3653,Produtos!$A$2:$A$71,0)),"")</f>
        <v/>
      </c>
      <c r="P3653" s="25">
        <f>IFERROR(INDEX(Produtos!$D$2:$D$71,MATCH(C3653,Produtos!$A$2:$A$71,0)),0)</f>
        <v/>
      </c>
      <c r="Q3653" s="25">
        <f>IFERROR(INDEX(Produtos!$E$2:$E$71,MATCH(C3653,Produtos!$A$2:$A$71,0)),0)</f>
        <v/>
      </c>
      <c r="R3653" s="27">
        <f>D3653*Q3653</f>
        <v/>
      </c>
      <c r="S3653" s="27">
        <f>R3653*E3653</f>
        <v/>
      </c>
      <c r="T3653" s="27">
        <f>(R3653-S3653)*M3653</f>
        <v/>
      </c>
      <c r="U3653" s="27">
        <f>R3653-S3653-T3653</f>
        <v/>
      </c>
      <c r="V3653" s="27">
        <f>D3653*P3653</f>
        <v/>
      </c>
      <c r="W3653" s="27">
        <f>U3653-V3653</f>
        <v/>
      </c>
      <c r="X3653" s="28">
        <f>IFERROR(W3653/U3653,0)</f>
        <v/>
      </c>
    </row>
    <row r="3654">
      <c r="A3654" s="21">
        <f>ItensPedido!A3654</f>
        <v/>
      </c>
      <c r="B3654" s="21">
        <f>ItensPedido!B3654</f>
        <v/>
      </c>
      <c r="C3654" s="21">
        <f>ItensPedido!C3654</f>
        <v/>
      </c>
      <c r="D3654" s="21">
        <f>ItensPedido!D3654</f>
        <v/>
      </c>
      <c r="E3654" s="22">
        <f>ItensPedido!E3654</f>
        <v/>
      </c>
      <c r="F3654" s="21">
        <f>IFERROR(INDEX(Pedidos!$B$2:$B$1801,MATCH(B3654,Pedidos!$A$2:$A$1801,0)),0)</f>
        <v/>
      </c>
      <c r="G3654" s="21">
        <f>IF(F3654=0,"",YEAR(F3654))</f>
        <v/>
      </c>
      <c r="H3654" s="21">
        <f>IF(F3654=0,"",MONTH(F3654))</f>
        <v/>
      </c>
      <c r="I3654" s="21">
        <f>IFERROR(INDEX(Pedidos!$E$2:$E$1801,MATCH(B3654,Pedidos!$A$2:$A$1801,0)),"")</f>
        <v/>
      </c>
      <c r="J3654" s="21">
        <f>IFERROR(INDEX(Pedidos!$C$2:$C$1801,MATCH(B3654,Pedidos!$A$2:$A$1801,0)),"")</f>
        <v/>
      </c>
      <c r="K3654" s="21">
        <f>IFERROR(INDEX(Pedidos!$D$2:$D$1801,MATCH(B3654,Pedidos!$A$2:$A$1801,0)),"")</f>
        <v/>
      </c>
      <c r="L3654" s="21">
        <f>IFERROR(INDEX(Pedidos!$F$2:$F$1801,MATCH(B3654,Pedidos!$A$2:$A$1801,0)),"")</f>
        <v/>
      </c>
      <c r="M3654" s="22">
        <f>IFERROR(INDEX(Pedidos!$G$2:$G$1801,MATCH(B3654,Pedidos!$A$2:$A$1801,0)),0)</f>
        <v/>
      </c>
      <c r="N3654" s="21">
        <f>IFERROR(INDEX(Produtos!$B$2:$B$71,MATCH(C3654,Produtos!$A$2:$A$71,0)),"")</f>
        <v/>
      </c>
      <c r="O3654" s="21">
        <f>IFERROR(INDEX(Produtos!$C$2:$C$71,MATCH(C3654,Produtos!$A$2:$A$71,0)),"")</f>
        <v/>
      </c>
      <c r="P3654" s="21">
        <f>IFERROR(INDEX(Produtos!$D$2:$D$71,MATCH(C3654,Produtos!$A$2:$A$71,0)),0)</f>
        <v/>
      </c>
      <c r="Q3654" s="21">
        <f>IFERROR(INDEX(Produtos!$E$2:$E$71,MATCH(C3654,Produtos!$A$2:$A$71,0)),0)</f>
        <v/>
      </c>
      <c r="R3654" s="23">
        <f>D3654*Q3654</f>
        <v/>
      </c>
      <c r="S3654" s="23">
        <f>R3654*E3654</f>
        <v/>
      </c>
      <c r="T3654" s="23">
        <f>(R3654-S3654)*M3654</f>
        <v/>
      </c>
      <c r="U3654" s="23">
        <f>R3654-S3654-T3654</f>
        <v/>
      </c>
      <c r="V3654" s="23">
        <f>D3654*P3654</f>
        <v/>
      </c>
      <c r="W3654" s="23">
        <f>U3654-V3654</f>
        <v/>
      </c>
      <c r="X3654" s="24">
        <f>IFERROR(W3654/U3654,0)</f>
        <v/>
      </c>
    </row>
    <row r="3655">
      <c r="A3655" s="25">
        <f>ItensPedido!A3655</f>
        <v/>
      </c>
      <c r="B3655" s="25">
        <f>ItensPedido!B3655</f>
        <v/>
      </c>
      <c r="C3655" s="25">
        <f>ItensPedido!C3655</f>
        <v/>
      </c>
      <c r="D3655" s="25">
        <f>ItensPedido!D3655</f>
        <v/>
      </c>
      <c r="E3655" s="26">
        <f>ItensPedido!E3655</f>
        <v/>
      </c>
      <c r="F3655" s="25">
        <f>IFERROR(INDEX(Pedidos!$B$2:$B$1801,MATCH(B3655,Pedidos!$A$2:$A$1801,0)),0)</f>
        <v/>
      </c>
      <c r="G3655" s="25">
        <f>IF(F3655=0,"",YEAR(F3655))</f>
        <v/>
      </c>
      <c r="H3655" s="25">
        <f>IF(F3655=0,"",MONTH(F3655))</f>
        <v/>
      </c>
      <c r="I3655" s="25">
        <f>IFERROR(INDEX(Pedidos!$E$2:$E$1801,MATCH(B3655,Pedidos!$A$2:$A$1801,0)),"")</f>
        <v/>
      </c>
      <c r="J3655" s="25">
        <f>IFERROR(INDEX(Pedidos!$C$2:$C$1801,MATCH(B3655,Pedidos!$A$2:$A$1801,0)),"")</f>
        <v/>
      </c>
      <c r="K3655" s="25">
        <f>IFERROR(INDEX(Pedidos!$D$2:$D$1801,MATCH(B3655,Pedidos!$A$2:$A$1801,0)),"")</f>
        <v/>
      </c>
      <c r="L3655" s="25">
        <f>IFERROR(INDEX(Pedidos!$F$2:$F$1801,MATCH(B3655,Pedidos!$A$2:$A$1801,0)),"")</f>
        <v/>
      </c>
      <c r="M3655" s="26">
        <f>IFERROR(INDEX(Pedidos!$G$2:$G$1801,MATCH(B3655,Pedidos!$A$2:$A$1801,0)),0)</f>
        <v/>
      </c>
      <c r="N3655" s="25">
        <f>IFERROR(INDEX(Produtos!$B$2:$B$71,MATCH(C3655,Produtos!$A$2:$A$71,0)),"")</f>
        <v/>
      </c>
      <c r="O3655" s="25">
        <f>IFERROR(INDEX(Produtos!$C$2:$C$71,MATCH(C3655,Produtos!$A$2:$A$71,0)),"")</f>
        <v/>
      </c>
      <c r="P3655" s="25">
        <f>IFERROR(INDEX(Produtos!$D$2:$D$71,MATCH(C3655,Produtos!$A$2:$A$71,0)),0)</f>
        <v/>
      </c>
      <c r="Q3655" s="25">
        <f>IFERROR(INDEX(Produtos!$E$2:$E$71,MATCH(C3655,Produtos!$A$2:$A$71,0)),0)</f>
        <v/>
      </c>
      <c r="R3655" s="27">
        <f>D3655*Q3655</f>
        <v/>
      </c>
      <c r="S3655" s="27">
        <f>R3655*E3655</f>
        <v/>
      </c>
      <c r="T3655" s="27">
        <f>(R3655-S3655)*M3655</f>
        <v/>
      </c>
      <c r="U3655" s="27">
        <f>R3655-S3655-T3655</f>
        <v/>
      </c>
      <c r="V3655" s="27">
        <f>D3655*P3655</f>
        <v/>
      </c>
      <c r="W3655" s="27">
        <f>U3655-V3655</f>
        <v/>
      </c>
      <c r="X3655" s="28">
        <f>IFERROR(W3655/U3655,0)</f>
        <v/>
      </c>
    </row>
    <row r="3656">
      <c r="A3656" s="21">
        <f>ItensPedido!A3656</f>
        <v/>
      </c>
      <c r="B3656" s="21">
        <f>ItensPedido!B3656</f>
        <v/>
      </c>
      <c r="C3656" s="21">
        <f>ItensPedido!C3656</f>
        <v/>
      </c>
      <c r="D3656" s="21">
        <f>ItensPedido!D3656</f>
        <v/>
      </c>
      <c r="E3656" s="22">
        <f>ItensPedido!E3656</f>
        <v/>
      </c>
      <c r="F3656" s="21">
        <f>IFERROR(INDEX(Pedidos!$B$2:$B$1801,MATCH(B3656,Pedidos!$A$2:$A$1801,0)),0)</f>
        <v/>
      </c>
      <c r="G3656" s="21">
        <f>IF(F3656=0,"",YEAR(F3656))</f>
        <v/>
      </c>
      <c r="H3656" s="21">
        <f>IF(F3656=0,"",MONTH(F3656))</f>
        <v/>
      </c>
      <c r="I3656" s="21">
        <f>IFERROR(INDEX(Pedidos!$E$2:$E$1801,MATCH(B3656,Pedidos!$A$2:$A$1801,0)),"")</f>
        <v/>
      </c>
      <c r="J3656" s="21">
        <f>IFERROR(INDEX(Pedidos!$C$2:$C$1801,MATCH(B3656,Pedidos!$A$2:$A$1801,0)),"")</f>
        <v/>
      </c>
      <c r="K3656" s="21">
        <f>IFERROR(INDEX(Pedidos!$D$2:$D$1801,MATCH(B3656,Pedidos!$A$2:$A$1801,0)),"")</f>
        <v/>
      </c>
      <c r="L3656" s="21">
        <f>IFERROR(INDEX(Pedidos!$F$2:$F$1801,MATCH(B3656,Pedidos!$A$2:$A$1801,0)),"")</f>
        <v/>
      </c>
      <c r="M3656" s="22">
        <f>IFERROR(INDEX(Pedidos!$G$2:$G$1801,MATCH(B3656,Pedidos!$A$2:$A$1801,0)),0)</f>
        <v/>
      </c>
      <c r="N3656" s="21">
        <f>IFERROR(INDEX(Produtos!$B$2:$B$71,MATCH(C3656,Produtos!$A$2:$A$71,0)),"")</f>
        <v/>
      </c>
      <c r="O3656" s="21">
        <f>IFERROR(INDEX(Produtos!$C$2:$C$71,MATCH(C3656,Produtos!$A$2:$A$71,0)),"")</f>
        <v/>
      </c>
      <c r="P3656" s="21">
        <f>IFERROR(INDEX(Produtos!$D$2:$D$71,MATCH(C3656,Produtos!$A$2:$A$71,0)),0)</f>
        <v/>
      </c>
      <c r="Q3656" s="21">
        <f>IFERROR(INDEX(Produtos!$E$2:$E$71,MATCH(C3656,Produtos!$A$2:$A$71,0)),0)</f>
        <v/>
      </c>
      <c r="R3656" s="23">
        <f>D3656*Q3656</f>
        <v/>
      </c>
      <c r="S3656" s="23">
        <f>R3656*E3656</f>
        <v/>
      </c>
      <c r="T3656" s="23">
        <f>(R3656-S3656)*M3656</f>
        <v/>
      </c>
      <c r="U3656" s="23">
        <f>R3656-S3656-T3656</f>
        <v/>
      </c>
      <c r="V3656" s="23">
        <f>D3656*P3656</f>
        <v/>
      </c>
      <c r="W3656" s="23">
        <f>U3656-V3656</f>
        <v/>
      </c>
      <c r="X3656" s="24">
        <f>IFERROR(W3656/U3656,0)</f>
        <v/>
      </c>
    </row>
    <row r="3657">
      <c r="A3657" s="25">
        <f>ItensPedido!A3657</f>
        <v/>
      </c>
      <c r="B3657" s="25">
        <f>ItensPedido!B3657</f>
        <v/>
      </c>
      <c r="C3657" s="25">
        <f>ItensPedido!C3657</f>
        <v/>
      </c>
      <c r="D3657" s="25">
        <f>ItensPedido!D3657</f>
        <v/>
      </c>
      <c r="E3657" s="26">
        <f>ItensPedido!E3657</f>
        <v/>
      </c>
      <c r="F3657" s="25">
        <f>IFERROR(INDEX(Pedidos!$B$2:$B$1801,MATCH(B3657,Pedidos!$A$2:$A$1801,0)),0)</f>
        <v/>
      </c>
      <c r="G3657" s="25">
        <f>IF(F3657=0,"",YEAR(F3657))</f>
        <v/>
      </c>
      <c r="H3657" s="25">
        <f>IF(F3657=0,"",MONTH(F3657))</f>
        <v/>
      </c>
      <c r="I3657" s="25">
        <f>IFERROR(INDEX(Pedidos!$E$2:$E$1801,MATCH(B3657,Pedidos!$A$2:$A$1801,0)),"")</f>
        <v/>
      </c>
      <c r="J3657" s="25">
        <f>IFERROR(INDEX(Pedidos!$C$2:$C$1801,MATCH(B3657,Pedidos!$A$2:$A$1801,0)),"")</f>
        <v/>
      </c>
      <c r="K3657" s="25">
        <f>IFERROR(INDEX(Pedidos!$D$2:$D$1801,MATCH(B3657,Pedidos!$A$2:$A$1801,0)),"")</f>
        <v/>
      </c>
      <c r="L3657" s="25">
        <f>IFERROR(INDEX(Pedidos!$F$2:$F$1801,MATCH(B3657,Pedidos!$A$2:$A$1801,0)),"")</f>
        <v/>
      </c>
      <c r="M3657" s="26">
        <f>IFERROR(INDEX(Pedidos!$G$2:$G$1801,MATCH(B3657,Pedidos!$A$2:$A$1801,0)),0)</f>
        <v/>
      </c>
      <c r="N3657" s="25">
        <f>IFERROR(INDEX(Produtos!$B$2:$B$71,MATCH(C3657,Produtos!$A$2:$A$71,0)),"")</f>
        <v/>
      </c>
      <c r="O3657" s="25">
        <f>IFERROR(INDEX(Produtos!$C$2:$C$71,MATCH(C3657,Produtos!$A$2:$A$71,0)),"")</f>
        <v/>
      </c>
      <c r="P3657" s="25">
        <f>IFERROR(INDEX(Produtos!$D$2:$D$71,MATCH(C3657,Produtos!$A$2:$A$71,0)),0)</f>
        <v/>
      </c>
      <c r="Q3657" s="25">
        <f>IFERROR(INDEX(Produtos!$E$2:$E$71,MATCH(C3657,Produtos!$A$2:$A$71,0)),0)</f>
        <v/>
      </c>
      <c r="R3657" s="27">
        <f>D3657*Q3657</f>
        <v/>
      </c>
      <c r="S3657" s="27">
        <f>R3657*E3657</f>
        <v/>
      </c>
      <c r="T3657" s="27">
        <f>(R3657-S3657)*M3657</f>
        <v/>
      </c>
      <c r="U3657" s="27">
        <f>R3657-S3657-T3657</f>
        <v/>
      </c>
      <c r="V3657" s="27">
        <f>D3657*P3657</f>
        <v/>
      </c>
      <c r="W3657" s="27">
        <f>U3657-V3657</f>
        <v/>
      </c>
      <c r="X3657" s="28">
        <f>IFERROR(W3657/U3657,0)</f>
        <v/>
      </c>
    </row>
    <row r="3658">
      <c r="A3658" s="21">
        <f>ItensPedido!A3658</f>
        <v/>
      </c>
      <c r="B3658" s="21">
        <f>ItensPedido!B3658</f>
        <v/>
      </c>
      <c r="C3658" s="21">
        <f>ItensPedido!C3658</f>
        <v/>
      </c>
      <c r="D3658" s="21">
        <f>ItensPedido!D3658</f>
        <v/>
      </c>
      <c r="E3658" s="22">
        <f>ItensPedido!E3658</f>
        <v/>
      </c>
      <c r="F3658" s="21">
        <f>IFERROR(INDEX(Pedidos!$B$2:$B$1801,MATCH(B3658,Pedidos!$A$2:$A$1801,0)),0)</f>
        <v/>
      </c>
      <c r="G3658" s="21">
        <f>IF(F3658=0,"",YEAR(F3658))</f>
        <v/>
      </c>
      <c r="H3658" s="21">
        <f>IF(F3658=0,"",MONTH(F3658))</f>
        <v/>
      </c>
      <c r="I3658" s="21">
        <f>IFERROR(INDEX(Pedidos!$E$2:$E$1801,MATCH(B3658,Pedidos!$A$2:$A$1801,0)),"")</f>
        <v/>
      </c>
      <c r="J3658" s="21">
        <f>IFERROR(INDEX(Pedidos!$C$2:$C$1801,MATCH(B3658,Pedidos!$A$2:$A$1801,0)),"")</f>
        <v/>
      </c>
      <c r="K3658" s="21">
        <f>IFERROR(INDEX(Pedidos!$D$2:$D$1801,MATCH(B3658,Pedidos!$A$2:$A$1801,0)),"")</f>
        <v/>
      </c>
      <c r="L3658" s="21">
        <f>IFERROR(INDEX(Pedidos!$F$2:$F$1801,MATCH(B3658,Pedidos!$A$2:$A$1801,0)),"")</f>
        <v/>
      </c>
      <c r="M3658" s="22">
        <f>IFERROR(INDEX(Pedidos!$G$2:$G$1801,MATCH(B3658,Pedidos!$A$2:$A$1801,0)),0)</f>
        <v/>
      </c>
      <c r="N3658" s="21">
        <f>IFERROR(INDEX(Produtos!$B$2:$B$71,MATCH(C3658,Produtos!$A$2:$A$71,0)),"")</f>
        <v/>
      </c>
      <c r="O3658" s="21">
        <f>IFERROR(INDEX(Produtos!$C$2:$C$71,MATCH(C3658,Produtos!$A$2:$A$71,0)),"")</f>
        <v/>
      </c>
      <c r="P3658" s="21">
        <f>IFERROR(INDEX(Produtos!$D$2:$D$71,MATCH(C3658,Produtos!$A$2:$A$71,0)),0)</f>
        <v/>
      </c>
      <c r="Q3658" s="21">
        <f>IFERROR(INDEX(Produtos!$E$2:$E$71,MATCH(C3658,Produtos!$A$2:$A$71,0)),0)</f>
        <v/>
      </c>
      <c r="R3658" s="23">
        <f>D3658*Q3658</f>
        <v/>
      </c>
      <c r="S3658" s="23">
        <f>R3658*E3658</f>
        <v/>
      </c>
      <c r="T3658" s="23">
        <f>(R3658-S3658)*M3658</f>
        <v/>
      </c>
      <c r="U3658" s="23">
        <f>R3658-S3658-T3658</f>
        <v/>
      </c>
      <c r="V3658" s="23">
        <f>D3658*P3658</f>
        <v/>
      </c>
      <c r="W3658" s="23">
        <f>U3658-V3658</f>
        <v/>
      </c>
      <c r="X3658" s="24">
        <f>IFERROR(W3658/U3658,0)</f>
        <v/>
      </c>
    </row>
    <row r="3659">
      <c r="A3659" s="25">
        <f>ItensPedido!A3659</f>
        <v/>
      </c>
      <c r="B3659" s="25">
        <f>ItensPedido!B3659</f>
        <v/>
      </c>
      <c r="C3659" s="25">
        <f>ItensPedido!C3659</f>
        <v/>
      </c>
      <c r="D3659" s="25">
        <f>ItensPedido!D3659</f>
        <v/>
      </c>
      <c r="E3659" s="26">
        <f>ItensPedido!E3659</f>
        <v/>
      </c>
      <c r="F3659" s="25">
        <f>IFERROR(INDEX(Pedidos!$B$2:$B$1801,MATCH(B3659,Pedidos!$A$2:$A$1801,0)),0)</f>
        <v/>
      </c>
      <c r="G3659" s="25">
        <f>IF(F3659=0,"",YEAR(F3659))</f>
        <v/>
      </c>
      <c r="H3659" s="25">
        <f>IF(F3659=0,"",MONTH(F3659))</f>
        <v/>
      </c>
      <c r="I3659" s="25">
        <f>IFERROR(INDEX(Pedidos!$E$2:$E$1801,MATCH(B3659,Pedidos!$A$2:$A$1801,0)),"")</f>
        <v/>
      </c>
      <c r="J3659" s="25">
        <f>IFERROR(INDEX(Pedidos!$C$2:$C$1801,MATCH(B3659,Pedidos!$A$2:$A$1801,0)),"")</f>
        <v/>
      </c>
      <c r="K3659" s="25">
        <f>IFERROR(INDEX(Pedidos!$D$2:$D$1801,MATCH(B3659,Pedidos!$A$2:$A$1801,0)),"")</f>
        <v/>
      </c>
      <c r="L3659" s="25">
        <f>IFERROR(INDEX(Pedidos!$F$2:$F$1801,MATCH(B3659,Pedidos!$A$2:$A$1801,0)),"")</f>
        <v/>
      </c>
      <c r="M3659" s="26">
        <f>IFERROR(INDEX(Pedidos!$G$2:$G$1801,MATCH(B3659,Pedidos!$A$2:$A$1801,0)),0)</f>
        <v/>
      </c>
      <c r="N3659" s="25">
        <f>IFERROR(INDEX(Produtos!$B$2:$B$71,MATCH(C3659,Produtos!$A$2:$A$71,0)),"")</f>
        <v/>
      </c>
      <c r="O3659" s="25">
        <f>IFERROR(INDEX(Produtos!$C$2:$C$71,MATCH(C3659,Produtos!$A$2:$A$71,0)),"")</f>
        <v/>
      </c>
      <c r="P3659" s="25">
        <f>IFERROR(INDEX(Produtos!$D$2:$D$71,MATCH(C3659,Produtos!$A$2:$A$71,0)),0)</f>
        <v/>
      </c>
      <c r="Q3659" s="25">
        <f>IFERROR(INDEX(Produtos!$E$2:$E$71,MATCH(C3659,Produtos!$A$2:$A$71,0)),0)</f>
        <v/>
      </c>
      <c r="R3659" s="27">
        <f>D3659*Q3659</f>
        <v/>
      </c>
      <c r="S3659" s="27">
        <f>R3659*E3659</f>
        <v/>
      </c>
      <c r="T3659" s="27">
        <f>(R3659-S3659)*M3659</f>
        <v/>
      </c>
      <c r="U3659" s="27">
        <f>R3659-S3659-T3659</f>
        <v/>
      </c>
      <c r="V3659" s="27">
        <f>D3659*P3659</f>
        <v/>
      </c>
      <c r="W3659" s="27">
        <f>U3659-V3659</f>
        <v/>
      </c>
      <c r="X3659" s="28">
        <f>IFERROR(W3659/U3659,0)</f>
        <v/>
      </c>
    </row>
    <row r="3660">
      <c r="A3660" s="21">
        <f>ItensPedido!A3660</f>
        <v/>
      </c>
      <c r="B3660" s="21">
        <f>ItensPedido!B3660</f>
        <v/>
      </c>
      <c r="C3660" s="21">
        <f>ItensPedido!C3660</f>
        <v/>
      </c>
      <c r="D3660" s="21">
        <f>ItensPedido!D3660</f>
        <v/>
      </c>
      <c r="E3660" s="22">
        <f>ItensPedido!E3660</f>
        <v/>
      </c>
      <c r="F3660" s="21">
        <f>IFERROR(INDEX(Pedidos!$B$2:$B$1801,MATCH(B3660,Pedidos!$A$2:$A$1801,0)),0)</f>
        <v/>
      </c>
      <c r="G3660" s="21">
        <f>IF(F3660=0,"",YEAR(F3660))</f>
        <v/>
      </c>
      <c r="H3660" s="21">
        <f>IF(F3660=0,"",MONTH(F3660))</f>
        <v/>
      </c>
      <c r="I3660" s="21">
        <f>IFERROR(INDEX(Pedidos!$E$2:$E$1801,MATCH(B3660,Pedidos!$A$2:$A$1801,0)),"")</f>
        <v/>
      </c>
      <c r="J3660" s="21">
        <f>IFERROR(INDEX(Pedidos!$C$2:$C$1801,MATCH(B3660,Pedidos!$A$2:$A$1801,0)),"")</f>
        <v/>
      </c>
      <c r="K3660" s="21">
        <f>IFERROR(INDEX(Pedidos!$D$2:$D$1801,MATCH(B3660,Pedidos!$A$2:$A$1801,0)),"")</f>
        <v/>
      </c>
      <c r="L3660" s="21">
        <f>IFERROR(INDEX(Pedidos!$F$2:$F$1801,MATCH(B3660,Pedidos!$A$2:$A$1801,0)),"")</f>
        <v/>
      </c>
      <c r="M3660" s="22">
        <f>IFERROR(INDEX(Pedidos!$G$2:$G$1801,MATCH(B3660,Pedidos!$A$2:$A$1801,0)),0)</f>
        <v/>
      </c>
      <c r="N3660" s="21">
        <f>IFERROR(INDEX(Produtos!$B$2:$B$71,MATCH(C3660,Produtos!$A$2:$A$71,0)),"")</f>
        <v/>
      </c>
      <c r="O3660" s="21">
        <f>IFERROR(INDEX(Produtos!$C$2:$C$71,MATCH(C3660,Produtos!$A$2:$A$71,0)),"")</f>
        <v/>
      </c>
      <c r="P3660" s="21">
        <f>IFERROR(INDEX(Produtos!$D$2:$D$71,MATCH(C3660,Produtos!$A$2:$A$71,0)),0)</f>
        <v/>
      </c>
      <c r="Q3660" s="21">
        <f>IFERROR(INDEX(Produtos!$E$2:$E$71,MATCH(C3660,Produtos!$A$2:$A$71,0)),0)</f>
        <v/>
      </c>
      <c r="R3660" s="23">
        <f>D3660*Q3660</f>
        <v/>
      </c>
      <c r="S3660" s="23">
        <f>R3660*E3660</f>
        <v/>
      </c>
      <c r="T3660" s="23">
        <f>(R3660-S3660)*M3660</f>
        <v/>
      </c>
      <c r="U3660" s="23">
        <f>R3660-S3660-T3660</f>
        <v/>
      </c>
      <c r="V3660" s="23">
        <f>D3660*P3660</f>
        <v/>
      </c>
      <c r="W3660" s="23">
        <f>U3660-V3660</f>
        <v/>
      </c>
      <c r="X3660" s="24">
        <f>IFERROR(W3660/U3660,0)</f>
        <v/>
      </c>
    </row>
    <row r="3661">
      <c r="A3661" s="25">
        <f>ItensPedido!A3661</f>
        <v/>
      </c>
      <c r="B3661" s="25">
        <f>ItensPedido!B3661</f>
        <v/>
      </c>
      <c r="C3661" s="25">
        <f>ItensPedido!C3661</f>
        <v/>
      </c>
      <c r="D3661" s="25">
        <f>ItensPedido!D3661</f>
        <v/>
      </c>
      <c r="E3661" s="26">
        <f>ItensPedido!E3661</f>
        <v/>
      </c>
      <c r="F3661" s="25">
        <f>IFERROR(INDEX(Pedidos!$B$2:$B$1801,MATCH(B3661,Pedidos!$A$2:$A$1801,0)),0)</f>
        <v/>
      </c>
      <c r="G3661" s="25">
        <f>IF(F3661=0,"",YEAR(F3661))</f>
        <v/>
      </c>
      <c r="H3661" s="25">
        <f>IF(F3661=0,"",MONTH(F3661))</f>
        <v/>
      </c>
      <c r="I3661" s="25">
        <f>IFERROR(INDEX(Pedidos!$E$2:$E$1801,MATCH(B3661,Pedidos!$A$2:$A$1801,0)),"")</f>
        <v/>
      </c>
      <c r="J3661" s="25">
        <f>IFERROR(INDEX(Pedidos!$C$2:$C$1801,MATCH(B3661,Pedidos!$A$2:$A$1801,0)),"")</f>
        <v/>
      </c>
      <c r="K3661" s="25">
        <f>IFERROR(INDEX(Pedidos!$D$2:$D$1801,MATCH(B3661,Pedidos!$A$2:$A$1801,0)),"")</f>
        <v/>
      </c>
      <c r="L3661" s="25">
        <f>IFERROR(INDEX(Pedidos!$F$2:$F$1801,MATCH(B3661,Pedidos!$A$2:$A$1801,0)),"")</f>
        <v/>
      </c>
      <c r="M3661" s="26">
        <f>IFERROR(INDEX(Pedidos!$G$2:$G$1801,MATCH(B3661,Pedidos!$A$2:$A$1801,0)),0)</f>
        <v/>
      </c>
      <c r="N3661" s="25">
        <f>IFERROR(INDEX(Produtos!$B$2:$B$71,MATCH(C3661,Produtos!$A$2:$A$71,0)),"")</f>
        <v/>
      </c>
      <c r="O3661" s="25">
        <f>IFERROR(INDEX(Produtos!$C$2:$C$71,MATCH(C3661,Produtos!$A$2:$A$71,0)),"")</f>
        <v/>
      </c>
      <c r="P3661" s="25">
        <f>IFERROR(INDEX(Produtos!$D$2:$D$71,MATCH(C3661,Produtos!$A$2:$A$71,0)),0)</f>
        <v/>
      </c>
      <c r="Q3661" s="25">
        <f>IFERROR(INDEX(Produtos!$E$2:$E$71,MATCH(C3661,Produtos!$A$2:$A$71,0)),0)</f>
        <v/>
      </c>
      <c r="R3661" s="27">
        <f>D3661*Q3661</f>
        <v/>
      </c>
      <c r="S3661" s="27">
        <f>R3661*E3661</f>
        <v/>
      </c>
      <c r="T3661" s="27">
        <f>(R3661-S3661)*M3661</f>
        <v/>
      </c>
      <c r="U3661" s="27">
        <f>R3661-S3661-T3661</f>
        <v/>
      </c>
      <c r="V3661" s="27">
        <f>D3661*P3661</f>
        <v/>
      </c>
      <c r="W3661" s="27">
        <f>U3661-V3661</f>
        <v/>
      </c>
      <c r="X3661" s="28">
        <f>IFERROR(W3661/U3661,0)</f>
        <v/>
      </c>
    </row>
    <row r="3662">
      <c r="A3662" s="21">
        <f>ItensPedido!A3662</f>
        <v/>
      </c>
      <c r="B3662" s="21">
        <f>ItensPedido!B3662</f>
        <v/>
      </c>
      <c r="C3662" s="21">
        <f>ItensPedido!C3662</f>
        <v/>
      </c>
      <c r="D3662" s="21">
        <f>ItensPedido!D3662</f>
        <v/>
      </c>
      <c r="E3662" s="22">
        <f>ItensPedido!E3662</f>
        <v/>
      </c>
      <c r="F3662" s="21">
        <f>IFERROR(INDEX(Pedidos!$B$2:$B$1801,MATCH(B3662,Pedidos!$A$2:$A$1801,0)),0)</f>
        <v/>
      </c>
      <c r="G3662" s="21">
        <f>IF(F3662=0,"",YEAR(F3662))</f>
        <v/>
      </c>
      <c r="H3662" s="21">
        <f>IF(F3662=0,"",MONTH(F3662))</f>
        <v/>
      </c>
      <c r="I3662" s="21">
        <f>IFERROR(INDEX(Pedidos!$E$2:$E$1801,MATCH(B3662,Pedidos!$A$2:$A$1801,0)),"")</f>
        <v/>
      </c>
      <c r="J3662" s="21">
        <f>IFERROR(INDEX(Pedidos!$C$2:$C$1801,MATCH(B3662,Pedidos!$A$2:$A$1801,0)),"")</f>
        <v/>
      </c>
      <c r="K3662" s="21">
        <f>IFERROR(INDEX(Pedidos!$D$2:$D$1801,MATCH(B3662,Pedidos!$A$2:$A$1801,0)),"")</f>
        <v/>
      </c>
      <c r="L3662" s="21">
        <f>IFERROR(INDEX(Pedidos!$F$2:$F$1801,MATCH(B3662,Pedidos!$A$2:$A$1801,0)),"")</f>
        <v/>
      </c>
      <c r="M3662" s="22">
        <f>IFERROR(INDEX(Pedidos!$G$2:$G$1801,MATCH(B3662,Pedidos!$A$2:$A$1801,0)),0)</f>
        <v/>
      </c>
      <c r="N3662" s="21">
        <f>IFERROR(INDEX(Produtos!$B$2:$B$71,MATCH(C3662,Produtos!$A$2:$A$71,0)),"")</f>
        <v/>
      </c>
      <c r="O3662" s="21">
        <f>IFERROR(INDEX(Produtos!$C$2:$C$71,MATCH(C3662,Produtos!$A$2:$A$71,0)),"")</f>
        <v/>
      </c>
      <c r="P3662" s="21">
        <f>IFERROR(INDEX(Produtos!$D$2:$D$71,MATCH(C3662,Produtos!$A$2:$A$71,0)),0)</f>
        <v/>
      </c>
      <c r="Q3662" s="21">
        <f>IFERROR(INDEX(Produtos!$E$2:$E$71,MATCH(C3662,Produtos!$A$2:$A$71,0)),0)</f>
        <v/>
      </c>
      <c r="R3662" s="23">
        <f>D3662*Q3662</f>
        <v/>
      </c>
      <c r="S3662" s="23">
        <f>R3662*E3662</f>
        <v/>
      </c>
      <c r="T3662" s="23">
        <f>(R3662-S3662)*M3662</f>
        <v/>
      </c>
      <c r="U3662" s="23">
        <f>R3662-S3662-T3662</f>
        <v/>
      </c>
      <c r="V3662" s="23">
        <f>D3662*P3662</f>
        <v/>
      </c>
      <c r="W3662" s="23">
        <f>U3662-V3662</f>
        <v/>
      </c>
      <c r="X3662" s="24">
        <f>IFERROR(W3662/U3662,0)</f>
        <v/>
      </c>
    </row>
    <row r="3663">
      <c r="A3663" s="25">
        <f>ItensPedido!A3663</f>
        <v/>
      </c>
      <c r="B3663" s="25">
        <f>ItensPedido!B3663</f>
        <v/>
      </c>
      <c r="C3663" s="25">
        <f>ItensPedido!C3663</f>
        <v/>
      </c>
      <c r="D3663" s="25">
        <f>ItensPedido!D3663</f>
        <v/>
      </c>
      <c r="E3663" s="26">
        <f>ItensPedido!E3663</f>
        <v/>
      </c>
      <c r="F3663" s="25">
        <f>IFERROR(INDEX(Pedidos!$B$2:$B$1801,MATCH(B3663,Pedidos!$A$2:$A$1801,0)),0)</f>
        <v/>
      </c>
      <c r="G3663" s="25">
        <f>IF(F3663=0,"",YEAR(F3663))</f>
        <v/>
      </c>
      <c r="H3663" s="25">
        <f>IF(F3663=0,"",MONTH(F3663))</f>
        <v/>
      </c>
      <c r="I3663" s="25">
        <f>IFERROR(INDEX(Pedidos!$E$2:$E$1801,MATCH(B3663,Pedidos!$A$2:$A$1801,0)),"")</f>
        <v/>
      </c>
      <c r="J3663" s="25">
        <f>IFERROR(INDEX(Pedidos!$C$2:$C$1801,MATCH(B3663,Pedidos!$A$2:$A$1801,0)),"")</f>
        <v/>
      </c>
      <c r="K3663" s="25">
        <f>IFERROR(INDEX(Pedidos!$D$2:$D$1801,MATCH(B3663,Pedidos!$A$2:$A$1801,0)),"")</f>
        <v/>
      </c>
      <c r="L3663" s="25">
        <f>IFERROR(INDEX(Pedidos!$F$2:$F$1801,MATCH(B3663,Pedidos!$A$2:$A$1801,0)),"")</f>
        <v/>
      </c>
      <c r="M3663" s="26">
        <f>IFERROR(INDEX(Pedidos!$G$2:$G$1801,MATCH(B3663,Pedidos!$A$2:$A$1801,0)),0)</f>
        <v/>
      </c>
      <c r="N3663" s="25">
        <f>IFERROR(INDEX(Produtos!$B$2:$B$71,MATCH(C3663,Produtos!$A$2:$A$71,0)),"")</f>
        <v/>
      </c>
      <c r="O3663" s="25">
        <f>IFERROR(INDEX(Produtos!$C$2:$C$71,MATCH(C3663,Produtos!$A$2:$A$71,0)),"")</f>
        <v/>
      </c>
      <c r="P3663" s="25">
        <f>IFERROR(INDEX(Produtos!$D$2:$D$71,MATCH(C3663,Produtos!$A$2:$A$71,0)),0)</f>
        <v/>
      </c>
      <c r="Q3663" s="25">
        <f>IFERROR(INDEX(Produtos!$E$2:$E$71,MATCH(C3663,Produtos!$A$2:$A$71,0)),0)</f>
        <v/>
      </c>
      <c r="R3663" s="27">
        <f>D3663*Q3663</f>
        <v/>
      </c>
      <c r="S3663" s="27">
        <f>R3663*E3663</f>
        <v/>
      </c>
      <c r="T3663" s="27">
        <f>(R3663-S3663)*M3663</f>
        <v/>
      </c>
      <c r="U3663" s="27">
        <f>R3663-S3663-T3663</f>
        <v/>
      </c>
      <c r="V3663" s="27">
        <f>D3663*P3663</f>
        <v/>
      </c>
      <c r="W3663" s="27">
        <f>U3663-V3663</f>
        <v/>
      </c>
      <c r="X3663" s="28">
        <f>IFERROR(W3663/U3663,0)</f>
        <v/>
      </c>
    </row>
    <row r="3664">
      <c r="A3664" s="21">
        <f>ItensPedido!A3664</f>
        <v/>
      </c>
      <c r="B3664" s="21">
        <f>ItensPedido!B3664</f>
        <v/>
      </c>
      <c r="C3664" s="21">
        <f>ItensPedido!C3664</f>
        <v/>
      </c>
      <c r="D3664" s="21">
        <f>ItensPedido!D3664</f>
        <v/>
      </c>
      <c r="E3664" s="22">
        <f>ItensPedido!E3664</f>
        <v/>
      </c>
      <c r="F3664" s="21">
        <f>IFERROR(INDEX(Pedidos!$B$2:$B$1801,MATCH(B3664,Pedidos!$A$2:$A$1801,0)),0)</f>
        <v/>
      </c>
      <c r="G3664" s="21">
        <f>IF(F3664=0,"",YEAR(F3664))</f>
        <v/>
      </c>
      <c r="H3664" s="21">
        <f>IF(F3664=0,"",MONTH(F3664))</f>
        <v/>
      </c>
      <c r="I3664" s="21">
        <f>IFERROR(INDEX(Pedidos!$E$2:$E$1801,MATCH(B3664,Pedidos!$A$2:$A$1801,0)),"")</f>
        <v/>
      </c>
      <c r="J3664" s="21">
        <f>IFERROR(INDEX(Pedidos!$C$2:$C$1801,MATCH(B3664,Pedidos!$A$2:$A$1801,0)),"")</f>
        <v/>
      </c>
      <c r="K3664" s="21">
        <f>IFERROR(INDEX(Pedidos!$D$2:$D$1801,MATCH(B3664,Pedidos!$A$2:$A$1801,0)),"")</f>
        <v/>
      </c>
      <c r="L3664" s="21">
        <f>IFERROR(INDEX(Pedidos!$F$2:$F$1801,MATCH(B3664,Pedidos!$A$2:$A$1801,0)),"")</f>
        <v/>
      </c>
      <c r="M3664" s="22">
        <f>IFERROR(INDEX(Pedidos!$G$2:$G$1801,MATCH(B3664,Pedidos!$A$2:$A$1801,0)),0)</f>
        <v/>
      </c>
      <c r="N3664" s="21">
        <f>IFERROR(INDEX(Produtos!$B$2:$B$71,MATCH(C3664,Produtos!$A$2:$A$71,0)),"")</f>
        <v/>
      </c>
      <c r="O3664" s="21">
        <f>IFERROR(INDEX(Produtos!$C$2:$C$71,MATCH(C3664,Produtos!$A$2:$A$71,0)),"")</f>
        <v/>
      </c>
      <c r="P3664" s="21">
        <f>IFERROR(INDEX(Produtos!$D$2:$D$71,MATCH(C3664,Produtos!$A$2:$A$71,0)),0)</f>
        <v/>
      </c>
      <c r="Q3664" s="21">
        <f>IFERROR(INDEX(Produtos!$E$2:$E$71,MATCH(C3664,Produtos!$A$2:$A$71,0)),0)</f>
        <v/>
      </c>
      <c r="R3664" s="23">
        <f>D3664*Q3664</f>
        <v/>
      </c>
      <c r="S3664" s="23">
        <f>R3664*E3664</f>
        <v/>
      </c>
      <c r="T3664" s="23">
        <f>(R3664-S3664)*M3664</f>
        <v/>
      </c>
      <c r="U3664" s="23">
        <f>R3664-S3664-T3664</f>
        <v/>
      </c>
      <c r="V3664" s="23">
        <f>D3664*P3664</f>
        <v/>
      </c>
      <c r="W3664" s="23">
        <f>U3664-V3664</f>
        <v/>
      </c>
      <c r="X3664" s="24">
        <f>IFERROR(W3664/U3664,0)</f>
        <v/>
      </c>
    </row>
    <row r="3665">
      <c r="A3665" s="25">
        <f>ItensPedido!A3665</f>
        <v/>
      </c>
      <c r="B3665" s="25">
        <f>ItensPedido!B3665</f>
        <v/>
      </c>
      <c r="C3665" s="25">
        <f>ItensPedido!C3665</f>
        <v/>
      </c>
      <c r="D3665" s="25">
        <f>ItensPedido!D3665</f>
        <v/>
      </c>
      <c r="E3665" s="26">
        <f>ItensPedido!E3665</f>
        <v/>
      </c>
      <c r="F3665" s="25">
        <f>IFERROR(INDEX(Pedidos!$B$2:$B$1801,MATCH(B3665,Pedidos!$A$2:$A$1801,0)),0)</f>
        <v/>
      </c>
      <c r="G3665" s="25">
        <f>IF(F3665=0,"",YEAR(F3665))</f>
        <v/>
      </c>
      <c r="H3665" s="25">
        <f>IF(F3665=0,"",MONTH(F3665))</f>
        <v/>
      </c>
      <c r="I3665" s="25">
        <f>IFERROR(INDEX(Pedidos!$E$2:$E$1801,MATCH(B3665,Pedidos!$A$2:$A$1801,0)),"")</f>
        <v/>
      </c>
      <c r="J3665" s="25">
        <f>IFERROR(INDEX(Pedidos!$C$2:$C$1801,MATCH(B3665,Pedidos!$A$2:$A$1801,0)),"")</f>
        <v/>
      </c>
      <c r="K3665" s="25">
        <f>IFERROR(INDEX(Pedidos!$D$2:$D$1801,MATCH(B3665,Pedidos!$A$2:$A$1801,0)),"")</f>
        <v/>
      </c>
      <c r="L3665" s="25">
        <f>IFERROR(INDEX(Pedidos!$F$2:$F$1801,MATCH(B3665,Pedidos!$A$2:$A$1801,0)),"")</f>
        <v/>
      </c>
      <c r="M3665" s="26">
        <f>IFERROR(INDEX(Pedidos!$G$2:$G$1801,MATCH(B3665,Pedidos!$A$2:$A$1801,0)),0)</f>
        <v/>
      </c>
      <c r="N3665" s="25">
        <f>IFERROR(INDEX(Produtos!$B$2:$B$71,MATCH(C3665,Produtos!$A$2:$A$71,0)),"")</f>
        <v/>
      </c>
      <c r="O3665" s="25">
        <f>IFERROR(INDEX(Produtos!$C$2:$C$71,MATCH(C3665,Produtos!$A$2:$A$71,0)),"")</f>
        <v/>
      </c>
      <c r="P3665" s="25">
        <f>IFERROR(INDEX(Produtos!$D$2:$D$71,MATCH(C3665,Produtos!$A$2:$A$71,0)),0)</f>
        <v/>
      </c>
      <c r="Q3665" s="25">
        <f>IFERROR(INDEX(Produtos!$E$2:$E$71,MATCH(C3665,Produtos!$A$2:$A$71,0)),0)</f>
        <v/>
      </c>
      <c r="R3665" s="27">
        <f>D3665*Q3665</f>
        <v/>
      </c>
      <c r="S3665" s="27">
        <f>R3665*E3665</f>
        <v/>
      </c>
      <c r="T3665" s="27">
        <f>(R3665-S3665)*M3665</f>
        <v/>
      </c>
      <c r="U3665" s="27">
        <f>R3665-S3665-T3665</f>
        <v/>
      </c>
      <c r="V3665" s="27">
        <f>D3665*P3665</f>
        <v/>
      </c>
      <c r="W3665" s="27">
        <f>U3665-V3665</f>
        <v/>
      </c>
      <c r="X3665" s="28">
        <f>IFERROR(W3665/U3665,0)</f>
        <v/>
      </c>
    </row>
    <row r="3666">
      <c r="A3666" s="21">
        <f>ItensPedido!A3666</f>
        <v/>
      </c>
      <c r="B3666" s="21">
        <f>ItensPedido!B3666</f>
        <v/>
      </c>
      <c r="C3666" s="21">
        <f>ItensPedido!C3666</f>
        <v/>
      </c>
      <c r="D3666" s="21">
        <f>ItensPedido!D3666</f>
        <v/>
      </c>
      <c r="E3666" s="22">
        <f>ItensPedido!E3666</f>
        <v/>
      </c>
      <c r="F3666" s="21">
        <f>IFERROR(INDEX(Pedidos!$B$2:$B$1801,MATCH(B3666,Pedidos!$A$2:$A$1801,0)),0)</f>
        <v/>
      </c>
      <c r="G3666" s="21">
        <f>IF(F3666=0,"",YEAR(F3666))</f>
        <v/>
      </c>
      <c r="H3666" s="21">
        <f>IF(F3666=0,"",MONTH(F3666))</f>
        <v/>
      </c>
      <c r="I3666" s="21">
        <f>IFERROR(INDEX(Pedidos!$E$2:$E$1801,MATCH(B3666,Pedidos!$A$2:$A$1801,0)),"")</f>
        <v/>
      </c>
      <c r="J3666" s="21">
        <f>IFERROR(INDEX(Pedidos!$C$2:$C$1801,MATCH(B3666,Pedidos!$A$2:$A$1801,0)),"")</f>
        <v/>
      </c>
      <c r="K3666" s="21">
        <f>IFERROR(INDEX(Pedidos!$D$2:$D$1801,MATCH(B3666,Pedidos!$A$2:$A$1801,0)),"")</f>
        <v/>
      </c>
      <c r="L3666" s="21">
        <f>IFERROR(INDEX(Pedidos!$F$2:$F$1801,MATCH(B3666,Pedidos!$A$2:$A$1801,0)),"")</f>
        <v/>
      </c>
      <c r="M3666" s="22">
        <f>IFERROR(INDEX(Pedidos!$G$2:$G$1801,MATCH(B3666,Pedidos!$A$2:$A$1801,0)),0)</f>
        <v/>
      </c>
      <c r="N3666" s="21">
        <f>IFERROR(INDEX(Produtos!$B$2:$B$71,MATCH(C3666,Produtos!$A$2:$A$71,0)),"")</f>
        <v/>
      </c>
      <c r="O3666" s="21">
        <f>IFERROR(INDEX(Produtos!$C$2:$C$71,MATCH(C3666,Produtos!$A$2:$A$71,0)),"")</f>
        <v/>
      </c>
      <c r="P3666" s="21">
        <f>IFERROR(INDEX(Produtos!$D$2:$D$71,MATCH(C3666,Produtos!$A$2:$A$71,0)),0)</f>
        <v/>
      </c>
      <c r="Q3666" s="21">
        <f>IFERROR(INDEX(Produtos!$E$2:$E$71,MATCH(C3666,Produtos!$A$2:$A$71,0)),0)</f>
        <v/>
      </c>
      <c r="R3666" s="23">
        <f>D3666*Q3666</f>
        <v/>
      </c>
      <c r="S3666" s="23">
        <f>R3666*E3666</f>
        <v/>
      </c>
      <c r="T3666" s="23">
        <f>(R3666-S3666)*M3666</f>
        <v/>
      </c>
      <c r="U3666" s="23">
        <f>R3666-S3666-T3666</f>
        <v/>
      </c>
      <c r="V3666" s="23">
        <f>D3666*P3666</f>
        <v/>
      </c>
      <c r="W3666" s="23">
        <f>U3666-V3666</f>
        <v/>
      </c>
      <c r="X3666" s="24">
        <f>IFERROR(W3666/U3666,0)</f>
        <v/>
      </c>
    </row>
    <row r="3667">
      <c r="A3667" s="25">
        <f>ItensPedido!A3667</f>
        <v/>
      </c>
      <c r="B3667" s="25">
        <f>ItensPedido!B3667</f>
        <v/>
      </c>
      <c r="C3667" s="25">
        <f>ItensPedido!C3667</f>
        <v/>
      </c>
      <c r="D3667" s="25">
        <f>ItensPedido!D3667</f>
        <v/>
      </c>
      <c r="E3667" s="26">
        <f>ItensPedido!E3667</f>
        <v/>
      </c>
      <c r="F3667" s="25">
        <f>IFERROR(INDEX(Pedidos!$B$2:$B$1801,MATCH(B3667,Pedidos!$A$2:$A$1801,0)),0)</f>
        <v/>
      </c>
      <c r="G3667" s="25">
        <f>IF(F3667=0,"",YEAR(F3667))</f>
        <v/>
      </c>
      <c r="H3667" s="25">
        <f>IF(F3667=0,"",MONTH(F3667))</f>
        <v/>
      </c>
      <c r="I3667" s="25">
        <f>IFERROR(INDEX(Pedidos!$E$2:$E$1801,MATCH(B3667,Pedidos!$A$2:$A$1801,0)),"")</f>
        <v/>
      </c>
      <c r="J3667" s="25">
        <f>IFERROR(INDEX(Pedidos!$C$2:$C$1801,MATCH(B3667,Pedidos!$A$2:$A$1801,0)),"")</f>
        <v/>
      </c>
      <c r="K3667" s="25">
        <f>IFERROR(INDEX(Pedidos!$D$2:$D$1801,MATCH(B3667,Pedidos!$A$2:$A$1801,0)),"")</f>
        <v/>
      </c>
      <c r="L3667" s="25">
        <f>IFERROR(INDEX(Pedidos!$F$2:$F$1801,MATCH(B3667,Pedidos!$A$2:$A$1801,0)),"")</f>
        <v/>
      </c>
      <c r="M3667" s="26">
        <f>IFERROR(INDEX(Pedidos!$G$2:$G$1801,MATCH(B3667,Pedidos!$A$2:$A$1801,0)),0)</f>
        <v/>
      </c>
      <c r="N3667" s="25">
        <f>IFERROR(INDEX(Produtos!$B$2:$B$71,MATCH(C3667,Produtos!$A$2:$A$71,0)),"")</f>
        <v/>
      </c>
      <c r="O3667" s="25">
        <f>IFERROR(INDEX(Produtos!$C$2:$C$71,MATCH(C3667,Produtos!$A$2:$A$71,0)),"")</f>
        <v/>
      </c>
      <c r="P3667" s="25">
        <f>IFERROR(INDEX(Produtos!$D$2:$D$71,MATCH(C3667,Produtos!$A$2:$A$71,0)),0)</f>
        <v/>
      </c>
      <c r="Q3667" s="25">
        <f>IFERROR(INDEX(Produtos!$E$2:$E$71,MATCH(C3667,Produtos!$A$2:$A$71,0)),0)</f>
        <v/>
      </c>
      <c r="R3667" s="27">
        <f>D3667*Q3667</f>
        <v/>
      </c>
      <c r="S3667" s="27">
        <f>R3667*E3667</f>
        <v/>
      </c>
      <c r="T3667" s="27">
        <f>(R3667-S3667)*M3667</f>
        <v/>
      </c>
      <c r="U3667" s="27">
        <f>R3667-S3667-T3667</f>
        <v/>
      </c>
      <c r="V3667" s="27">
        <f>D3667*P3667</f>
        <v/>
      </c>
      <c r="W3667" s="27">
        <f>U3667-V3667</f>
        <v/>
      </c>
      <c r="X3667" s="28">
        <f>IFERROR(W3667/U3667,0)</f>
        <v/>
      </c>
    </row>
    <row r="3668">
      <c r="A3668" s="21">
        <f>ItensPedido!A3668</f>
        <v/>
      </c>
      <c r="B3668" s="21">
        <f>ItensPedido!B3668</f>
        <v/>
      </c>
      <c r="C3668" s="21">
        <f>ItensPedido!C3668</f>
        <v/>
      </c>
      <c r="D3668" s="21">
        <f>ItensPedido!D3668</f>
        <v/>
      </c>
      <c r="E3668" s="22">
        <f>ItensPedido!E3668</f>
        <v/>
      </c>
      <c r="F3668" s="21">
        <f>IFERROR(INDEX(Pedidos!$B$2:$B$1801,MATCH(B3668,Pedidos!$A$2:$A$1801,0)),0)</f>
        <v/>
      </c>
      <c r="G3668" s="21">
        <f>IF(F3668=0,"",YEAR(F3668))</f>
        <v/>
      </c>
      <c r="H3668" s="21">
        <f>IF(F3668=0,"",MONTH(F3668))</f>
        <v/>
      </c>
      <c r="I3668" s="21">
        <f>IFERROR(INDEX(Pedidos!$E$2:$E$1801,MATCH(B3668,Pedidos!$A$2:$A$1801,0)),"")</f>
        <v/>
      </c>
      <c r="J3668" s="21">
        <f>IFERROR(INDEX(Pedidos!$C$2:$C$1801,MATCH(B3668,Pedidos!$A$2:$A$1801,0)),"")</f>
        <v/>
      </c>
      <c r="K3668" s="21">
        <f>IFERROR(INDEX(Pedidos!$D$2:$D$1801,MATCH(B3668,Pedidos!$A$2:$A$1801,0)),"")</f>
        <v/>
      </c>
      <c r="L3668" s="21">
        <f>IFERROR(INDEX(Pedidos!$F$2:$F$1801,MATCH(B3668,Pedidos!$A$2:$A$1801,0)),"")</f>
        <v/>
      </c>
      <c r="M3668" s="22">
        <f>IFERROR(INDEX(Pedidos!$G$2:$G$1801,MATCH(B3668,Pedidos!$A$2:$A$1801,0)),0)</f>
        <v/>
      </c>
      <c r="N3668" s="21">
        <f>IFERROR(INDEX(Produtos!$B$2:$B$71,MATCH(C3668,Produtos!$A$2:$A$71,0)),"")</f>
        <v/>
      </c>
      <c r="O3668" s="21">
        <f>IFERROR(INDEX(Produtos!$C$2:$C$71,MATCH(C3668,Produtos!$A$2:$A$71,0)),"")</f>
        <v/>
      </c>
      <c r="P3668" s="21">
        <f>IFERROR(INDEX(Produtos!$D$2:$D$71,MATCH(C3668,Produtos!$A$2:$A$71,0)),0)</f>
        <v/>
      </c>
      <c r="Q3668" s="21">
        <f>IFERROR(INDEX(Produtos!$E$2:$E$71,MATCH(C3668,Produtos!$A$2:$A$71,0)),0)</f>
        <v/>
      </c>
      <c r="R3668" s="23">
        <f>D3668*Q3668</f>
        <v/>
      </c>
      <c r="S3668" s="23">
        <f>R3668*E3668</f>
        <v/>
      </c>
      <c r="T3668" s="23">
        <f>(R3668-S3668)*M3668</f>
        <v/>
      </c>
      <c r="U3668" s="23">
        <f>R3668-S3668-T3668</f>
        <v/>
      </c>
      <c r="V3668" s="23">
        <f>D3668*P3668</f>
        <v/>
      </c>
      <c r="W3668" s="23">
        <f>U3668-V3668</f>
        <v/>
      </c>
      <c r="X3668" s="24">
        <f>IFERROR(W3668/U3668,0)</f>
        <v/>
      </c>
    </row>
    <row r="3669">
      <c r="A3669" s="25">
        <f>ItensPedido!A3669</f>
        <v/>
      </c>
      <c r="B3669" s="25">
        <f>ItensPedido!B3669</f>
        <v/>
      </c>
      <c r="C3669" s="25">
        <f>ItensPedido!C3669</f>
        <v/>
      </c>
      <c r="D3669" s="25">
        <f>ItensPedido!D3669</f>
        <v/>
      </c>
      <c r="E3669" s="26">
        <f>ItensPedido!E3669</f>
        <v/>
      </c>
      <c r="F3669" s="25">
        <f>IFERROR(INDEX(Pedidos!$B$2:$B$1801,MATCH(B3669,Pedidos!$A$2:$A$1801,0)),0)</f>
        <v/>
      </c>
      <c r="G3669" s="25">
        <f>IF(F3669=0,"",YEAR(F3669))</f>
        <v/>
      </c>
      <c r="H3669" s="25">
        <f>IF(F3669=0,"",MONTH(F3669))</f>
        <v/>
      </c>
      <c r="I3669" s="25">
        <f>IFERROR(INDEX(Pedidos!$E$2:$E$1801,MATCH(B3669,Pedidos!$A$2:$A$1801,0)),"")</f>
        <v/>
      </c>
      <c r="J3669" s="25">
        <f>IFERROR(INDEX(Pedidos!$C$2:$C$1801,MATCH(B3669,Pedidos!$A$2:$A$1801,0)),"")</f>
        <v/>
      </c>
      <c r="K3669" s="25">
        <f>IFERROR(INDEX(Pedidos!$D$2:$D$1801,MATCH(B3669,Pedidos!$A$2:$A$1801,0)),"")</f>
        <v/>
      </c>
      <c r="L3669" s="25">
        <f>IFERROR(INDEX(Pedidos!$F$2:$F$1801,MATCH(B3669,Pedidos!$A$2:$A$1801,0)),"")</f>
        <v/>
      </c>
      <c r="M3669" s="26">
        <f>IFERROR(INDEX(Pedidos!$G$2:$G$1801,MATCH(B3669,Pedidos!$A$2:$A$1801,0)),0)</f>
        <v/>
      </c>
      <c r="N3669" s="25">
        <f>IFERROR(INDEX(Produtos!$B$2:$B$71,MATCH(C3669,Produtos!$A$2:$A$71,0)),"")</f>
        <v/>
      </c>
      <c r="O3669" s="25">
        <f>IFERROR(INDEX(Produtos!$C$2:$C$71,MATCH(C3669,Produtos!$A$2:$A$71,0)),"")</f>
        <v/>
      </c>
      <c r="P3669" s="25">
        <f>IFERROR(INDEX(Produtos!$D$2:$D$71,MATCH(C3669,Produtos!$A$2:$A$71,0)),0)</f>
        <v/>
      </c>
      <c r="Q3669" s="25">
        <f>IFERROR(INDEX(Produtos!$E$2:$E$71,MATCH(C3669,Produtos!$A$2:$A$71,0)),0)</f>
        <v/>
      </c>
      <c r="R3669" s="27">
        <f>D3669*Q3669</f>
        <v/>
      </c>
      <c r="S3669" s="27">
        <f>R3669*E3669</f>
        <v/>
      </c>
      <c r="T3669" s="27">
        <f>(R3669-S3669)*M3669</f>
        <v/>
      </c>
      <c r="U3669" s="27">
        <f>R3669-S3669-T3669</f>
        <v/>
      </c>
      <c r="V3669" s="27">
        <f>D3669*P3669</f>
        <v/>
      </c>
      <c r="W3669" s="27">
        <f>U3669-V3669</f>
        <v/>
      </c>
      <c r="X3669" s="28">
        <f>IFERROR(W3669/U3669,0)</f>
        <v/>
      </c>
    </row>
    <row r="3670">
      <c r="A3670" s="21">
        <f>ItensPedido!A3670</f>
        <v/>
      </c>
      <c r="B3670" s="21">
        <f>ItensPedido!B3670</f>
        <v/>
      </c>
      <c r="C3670" s="21">
        <f>ItensPedido!C3670</f>
        <v/>
      </c>
      <c r="D3670" s="21">
        <f>ItensPedido!D3670</f>
        <v/>
      </c>
      <c r="E3670" s="22">
        <f>ItensPedido!E3670</f>
        <v/>
      </c>
      <c r="F3670" s="21">
        <f>IFERROR(INDEX(Pedidos!$B$2:$B$1801,MATCH(B3670,Pedidos!$A$2:$A$1801,0)),0)</f>
        <v/>
      </c>
      <c r="G3670" s="21">
        <f>IF(F3670=0,"",YEAR(F3670))</f>
        <v/>
      </c>
      <c r="H3670" s="21">
        <f>IF(F3670=0,"",MONTH(F3670))</f>
        <v/>
      </c>
      <c r="I3670" s="21">
        <f>IFERROR(INDEX(Pedidos!$E$2:$E$1801,MATCH(B3670,Pedidos!$A$2:$A$1801,0)),"")</f>
        <v/>
      </c>
      <c r="J3670" s="21">
        <f>IFERROR(INDEX(Pedidos!$C$2:$C$1801,MATCH(B3670,Pedidos!$A$2:$A$1801,0)),"")</f>
        <v/>
      </c>
      <c r="K3670" s="21">
        <f>IFERROR(INDEX(Pedidos!$D$2:$D$1801,MATCH(B3670,Pedidos!$A$2:$A$1801,0)),"")</f>
        <v/>
      </c>
      <c r="L3670" s="21">
        <f>IFERROR(INDEX(Pedidos!$F$2:$F$1801,MATCH(B3670,Pedidos!$A$2:$A$1801,0)),"")</f>
        <v/>
      </c>
      <c r="M3670" s="22">
        <f>IFERROR(INDEX(Pedidos!$G$2:$G$1801,MATCH(B3670,Pedidos!$A$2:$A$1801,0)),0)</f>
        <v/>
      </c>
      <c r="N3670" s="21">
        <f>IFERROR(INDEX(Produtos!$B$2:$B$71,MATCH(C3670,Produtos!$A$2:$A$71,0)),"")</f>
        <v/>
      </c>
      <c r="O3670" s="21">
        <f>IFERROR(INDEX(Produtos!$C$2:$C$71,MATCH(C3670,Produtos!$A$2:$A$71,0)),"")</f>
        <v/>
      </c>
      <c r="P3670" s="21">
        <f>IFERROR(INDEX(Produtos!$D$2:$D$71,MATCH(C3670,Produtos!$A$2:$A$71,0)),0)</f>
        <v/>
      </c>
      <c r="Q3670" s="21">
        <f>IFERROR(INDEX(Produtos!$E$2:$E$71,MATCH(C3670,Produtos!$A$2:$A$71,0)),0)</f>
        <v/>
      </c>
      <c r="R3670" s="23">
        <f>D3670*Q3670</f>
        <v/>
      </c>
      <c r="S3670" s="23">
        <f>R3670*E3670</f>
        <v/>
      </c>
      <c r="T3670" s="23">
        <f>(R3670-S3670)*M3670</f>
        <v/>
      </c>
      <c r="U3670" s="23">
        <f>R3670-S3670-T3670</f>
        <v/>
      </c>
      <c r="V3670" s="23">
        <f>D3670*P3670</f>
        <v/>
      </c>
      <c r="W3670" s="23">
        <f>U3670-V3670</f>
        <v/>
      </c>
      <c r="X3670" s="24">
        <f>IFERROR(W3670/U3670,0)</f>
        <v/>
      </c>
    </row>
    <row r="3671">
      <c r="A3671" s="25">
        <f>ItensPedido!A3671</f>
        <v/>
      </c>
      <c r="B3671" s="25">
        <f>ItensPedido!B3671</f>
        <v/>
      </c>
      <c r="C3671" s="25">
        <f>ItensPedido!C3671</f>
        <v/>
      </c>
      <c r="D3671" s="25">
        <f>ItensPedido!D3671</f>
        <v/>
      </c>
      <c r="E3671" s="26">
        <f>ItensPedido!E3671</f>
        <v/>
      </c>
      <c r="F3671" s="25">
        <f>IFERROR(INDEX(Pedidos!$B$2:$B$1801,MATCH(B3671,Pedidos!$A$2:$A$1801,0)),0)</f>
        <v/>
      </c>
      <c r="G3671" s="25">
        <f>IF(F3671=0,"",YEAR(F3671))</f>
        <v/>
      </c>
      <c r="H3671" s="25">
        <f>IF(F3671=0,"",MONTH(F3671))</f>
        <v/>
      </c>
      <c r="I3671" s="25">
        <f>IFERROR(INDEX(Pedidos!$E$2:$E$1801,MATCH(B3671,Pedidos!$A$2:$A$1801,0)),"")</f>
        <v/>
      </c>
      <c r="J3671" s="25">
        <f>IFERROR(INDEX(Pedidos!$C$2:$C$1801,MATCH(B3671,Pedidos!$A$2:$A$1801,0)),"")</f>
        <v/>
      </c>
      <c r="K3671" s="25">
        <f>IFERROR(INDEX(Pedidos!$D$2:$D$1801,MATCH(B3671,Pedidos!$A$2:$A$1801,0)),"")</f>
        <v/>
      </c>
      <c r="L3671" s="25">
        <f>IFERROR(INDEX(Pedidos!$F$2:$F$1801,MATCH(B3671,Pedidos!$A$2:$A$1801,0)),"")</f>
        <v/>
      </c>
      <c r="M3671" s="26">
        <f>IFERROR(INDEX(Pedidos!$G$2:$G$1801,MATCH(B3671,Pedidos!$A$2:$A$1801,0)),0)</f>
        <v/>
      </c>
      <c r="N3671" s="25">
        <f>IFERROR(INDEX(Produtos!$B$2:$B$71,MATCH(C3671,Produtos!$A$2:$A$71,0)),"")</f>
        <v/>
      </c>
      <c r="O3671" s="25">
        <f>IFERROR(INDEX(Produtos!$C$2:$C$71,MATCH(C3671,Produtos!$A$2:$A$71,0)),"")</f>
        <v/>
      </c>
      <c r="P3671" s="25">
        <f>IFERROR(INDEX(Produtos!$D$2:$D$71,MATCH(C3671,Produtos!$A$2:$A$71,0)),0)</f>
        <v/>
      </c>
      <c r="Q3671" s="25">
        <f>IFERROR(INDEX(Produtos!$E$2:$E$71,MATCH(C3671,Produtos!$A$2:$A$71,0)),0)</f>
        <v/>
      </c>
      <c r="R3671" s="27">
        <f>D3671*Q3671</f>
        <v/>
      </c>
      <c r="S3671" s="27">
        <f>R3671*E3671</f>
        <v/>
      </c>
      <c r="T3671" s="27">
        <f>(R3671-S3671)*M3671</f>
        <v/>
      </c>
      <c r="U3671" s="27">
        <f>R3671-S3671-T3671</f>
        <v/>
      </c>
      <c r="V3671" s="27">
        <f>D3671*P3671</f>
        <v/>
      </c>
      <c r="W3671" s="27">
        <f>U3671-V3671</f>
        <v/>
      </c>
      <c r="X3671" s="28">
        <f>IFERROR(W3671/U3671,0)</f>
        <v/>
      </c>
    </row>
    <row r="3672">
      <c r="A3672" s="21">
        <f>ItensPedido!A3672</f>
        <v/>
      </c>
      <c r="B3672" s="21">
        <f>ItensPedido!B3672</f>
        <v/>
      </c>
      <c r="C3672" s="21">
        <f>ItensPedido!C3672</f>
        <v/>
      </c>
      <c r="D3672" s="21">
        <f>ItensPedido!D3672</f>
        <v/>
      </c>
      <c r="E3672" s="22">
        <f>ItensPedido!E3672</f>
        <v/>
      </c>
      <c r="F3672" s="21">
        <f>IFERROR(INDEX(Pedidos!$B$2:$B$1801,MATCH(B3672,Pedidos!$A$2:$A$1801,0)),0)</f>
        <v/>
      </c>
      <c r="G3672" s="21">
        <f>IF(F3672=0,"",YEAR(F3672))</f>
        <v/>
      </c>
      <c r="H3672" s="21">
        <f>IF(F3672=0,"",MONTH(F3672))</f>
        <v/>
      </c>
      <c r="I3672" s="21">
        <f>IFERROR(INDEX(Pedidos!$E$2:$E$1801,MATCH(B3672,Pedidos!$A$2:$A$1801,0)),"")</f>
        <v/>
      </c>
      <c r="J3672" s="21">
        <f>IFERROR(INDEX(Pedidos!$C$2:$C$1801,MATCH(B3672,Pedidos!$A$2:$A$1801,0)),"")</f>
        <v/>
      </c>
      <c r="K3672" s="21">
        <f>IFERROR(INDEX(Pedidos!$D$2:$D$1801,MATCH(B3672,Pedidos!$A$2:$A$1801,0)),"")</f>
        <v/>
      </c>
      <c r="L3672" s="21">
        <f>IFERROR(INDEX(Pedidos!$F$2:$F$1801,MATCH(B3672,Pedidos!$A$2:$A$1801,0)),"")</f>
        <v/>
      </c>
      <c r="M3672" s="22">
        <f>IFERROR(INDEX(Pedidos!$G$2:$G$1801,MATCH(B3672,Pedidos!$A$2:$A$1801,0)),0)</f>
        <v/>
      </c>
      <c r="N3672" s="21">
        <f>IFERROR(INDEX(Produtos!$B$2:$B$71,MATCH(C3672,Produtos!$A$2:$A$71,0)),"")</f>
        <v/>
      </c>
      <c r="O3672" s="21">
        <f>IFERROR(INDEX(Produtos!$C$2:$C$71,MATCH(C3672,Produtos!$A$2:$A$71,0)),"")</f>
        <v/>
      </c>
      <c r="P3672" s="21">
        <f>IFERROR(INDEX(Produtos!$D$2:$D$71,MATCH(C3672,Produtos!$A$2:$A$71,0)),0)</f>
        <v/>
      </c>
      <c r="Q3672" s="21">
        <f>IFERROR(INDEX(Produtos!$E$2:$E$71,MATCH(C3672,Produtos!$A$2:$A$71,0)),0)</f>
        <v/>
      </c>
      <c r="R3672" s="23">
        <f>D3672*Q3672</f>
        <v/>
      </c>
      <c r="S3672" s="23">
        <f>R3672*E3672</f>
        <v/>
      </c>
      <c r="T3672" s="23">
        <f>(R3672-S3672)*M3672</f>
        <v/>
      </c>
      <c r="U3672" s="23">
        <f>R3672-S3672-T3672</f>
        <v/>
      </c>
      <c r="V3672" s="23">
        <f>D3672*P3672</f>
        <v/>
      </c>
      <c r="W3672" s="23">
        <f>U3672-V3672</f>
        <v/>
      </c>
      <c r="X3672" s="24">
        <f>IFERROR(W3672/U3672,0)</f>
        <v/>
      </c>
    </row>
    <row r="3673">
      <c r="A3673" s="25">
        <f>ItensPedido!A3673</f>
        <v/>
      </c>
      <c r="B3673" s="25">
        <f>ItensPedido!B3673</f>
        <v/>
      </c>
      <c r="C3673" s="25">
        <f>ItensPedido!C3673</f>
        <v/>
      </c>
      <c r="D3673" s="25">
        <f>ItensPedido!D3673</f>
        <v/>
      </c>
      <c r="E3673" s="26">
        <f>ItensPedido!E3673</f>
        <v/>
      </c>
      <c r="F3673" s="25">
        <f>IFERROR(INDEX(Pedidos!$B$2:$B$1801,MATCH(B3673,Pedidos!$A$2:$A$1801,0)),0)</f>
        <v/>
      </c>
      <c r="G3673" s="25">
        <f>IF(F3673=0,"",YEAR(F3673))</f>
        <v/>
      </c>
      <c r="H3673" s="25">
        <f>IF(F3673=0,"",MONTH(F3673))</f>
        <v/>
      </c>
      <c r="I3673" s="25">
        <f>IFERROR(INDEX(Pedidos!$E$2:$E$1801,MATCH(B3673,Pedidos!$A$2:$A$1801,0)),"")</f>
        <v/>
      </c>
      <c r="J3673" s="25">
        <f>IFERROR(INDEX(Pedidos!$C$2:$C$1801,MATCH(B3673,Pedidos!$A$2:$A$1801,0)),"")</f>
        <v/>
      </c>
      <c r="K3673" s="25">
        <f>IFERROR(INDEX(Pedidos!$D$2:$D$1801,MATCH(B3673,Pedidos!$A$2:$A$1801,0)),"")</f>
        <v/>
      </c>
      <c r="L3673" s="25">
        <f>IFERROR(INDEX(Pedidos!$F$2:$F$1801,MATCH(B3673,Pedidos!$A$2:$A$1801,0)),"")</f>
        <v/>
      </c>
      <c r="M3673" s="26">
        <f>IFERROR(INDEX(Pedidos!$G$2:$G$1801,MATCH(B3673,Pedidos!$A$2:$A$1801,0)),0)</f>
        <v/>
      </c>
      <c r="N3673" s="25">
        <f>IFERROR(INDEX(Produtos!$B$2:$B$71,MATCH(C3673,Produtos!$A$2:$A$71,0)),"")</f>
        <v/>
      </c>
      <c r="O3673" s="25">
        <f>IFERROR(INDEX(Produtos!$C$2:$C$71,MATCH(C3673,Produtos!$A$2:$A$71,0)),"")</f>
        <v/>
      </c>
      <c r="P3673" s="25">
        <f>IFERROR(INDEX(Produtos!$D$2:$D$71,MATCH(C3673,Produtos!$A$2:$A$71,0)),0)</f>
        <v/>
      </c>
      <c r="Q3673" s="25">
        <f>IFERROR(INDEX(Produtos!$E$2:$E$71,MATCH(C3673,Produtos!$A$2:$A$71,0)),0)</f>
        <v/>
      </c>
      <c r="R3673" s="27">
        <f>D3673*Q3673</f>
        <v/>
      </c>
      <c r="S3673" s="27">
        <f>R3673*E3673</f>
        <v/>
      </c>
      <c r="T3673" s="27">
        <f>(R3673-S3673)*M3673</f>
        <v/>
      </c>
      <c r="U3673" s="27">
        <f>R3673-S3673-T3673</f>
        <v/>
      </c>
      <c r="V3673" s="27">
        <f>D3673*P3673</f>
        <v/>
      </c>
      <c r="W3673" s="27">
        <f>U3673-V3673</f>
        <v/>
      </c>
      <c r="X3673" s="28">
        <f>IFERROR(W3673/U3673,0)</f>
        <v/>
      </c>
    </row>
    <row r="3674">
      <c r="A3674" s="21">
        <f>ItensPedido!A3674</f>
        <v/>
      </c>
      <c r="B3674" s="21">
        <f>ItensPedido!B3674</f>
        <v/>
      </c>
      <c r="C3674" s="21">
        <f>ItensPedido!C3674</f>
        <v/>
      </c>
      <c r="D3674" s="21">
        <f>ItensPedido!D3674</f>
        <v/>
      </c>
      <c r="E3674" s="22">
        <f>ItensPedido!E3674</f>
        <v/>
      </c>
      <c r="F3674" s="21">
        <f>IFERROR(INDEX(Pedidos!$B$2:$B$1801,MATCH(B3674,Pedidos!$A$2:$A$1801,0)),0)</f>
        <v/>
      </c>
      <c r="G3674" s="21">
        <f>IF(F3674=0,"",YEAR(F3674))</f>
        <v/>
      </c>
      <c r="H3674" s="21">
        <f>IF(F3674=0,"",MONTH(F3674))</f>
        <v/>
      </c>
      <c r="I3674" s="21">
        <f>IFERROR(INDEX(Pedidos!$E$2:$E$1801,MATCH(B3674,Pedidos!$A$2:$A$1801,0)),"")</f>
        <v/>
      </c>
      <c r="J3674" s="21">
        <f>IFERROR(INDEX(Pedidos!$C$2:$C$1801,MATCH(B3674,Pedidos!$A$2:$A$1801,0)),"")</f>
        <v/>
      </c>
      <c r="K3674" s="21">
        <f>IFERROR(INDEX(Pedidos!$D$2:$D$1801,MATCH(B3674,Pedidos!$A$2:$A$1801,0)),"")</f>
        <v/>
      </c>
      <c r="L3674" s="21">
        <f>IFERROR(INDEX(Pedidos!$F$2:$F$1801,MATCH(B3674,Pedidos!$A$2:$A$1801,0)),"")</f>
        <v/>
      </c>
      <c r="M3674" s="22">
        <f>IFERROR(INDEX(Pedidos!$G$2:$G$1801,MATCH(B3674,Pedidos!$A$2:$A$1801,0)),0)</f>
        <v/>
      </c>
      <c r="N3674" s="21">
        <f>IFERROR(INDEX(Produtos!$B$2:$B$71,MATCH(C3674,Produtos!$A$2:$A$71,0)),"")</f>
        <v/>
      </c>
      <c r="O3674" s="21">
        <f>IFERROR(INDEX(Produtos!$C$2:$C$71,MATCH(C3674,Produtos!$A$2:$A$71,0)),"")</f>
        <v/>
      </c>
      <c r="P3674" s="21">
        <f>IFERROR(INDEX(Produtos!$D$2:$D$71,MATCH(C3674,Produtos!$A$2:$A$71,0)),0)</f>
        <v/>
      </c>
      <c r="Q3674" s="21">
        <f>IFERROR(INDEX(Produtos!$E$2:$E$71,MATCH(C3674,Produtos!$A$2:$A$71,0)),0)</f>
        <v/>
      </c>
      <c r="R3674" s="23">
        <f>D3674*Q3674</f>
        <v/>
      </c>
      <c r="S3674" s="23">
        <f>R3674*E3674</f>
        <v/>
      </c>
      <c r="T3674" s="23">
        <f>(R3674-S3674)*M3674</f>
        <v/>
      </c>
      <c r="U3674" s="23">
        <f>R3674-S3674-T3674</f>
        <v/>
      </c>
      <c r="V3674" s="23">
        <f>D3674*P3674</f>
        <v/>
      </c>
      <c r="W3674" s="23">
        <f>U3674-V3674</f>
        <v/>
      </c>
      <c r="X3674" s="24">
        <f>IFERROR(W3674/U3674,0)</f>
        <v/>
      </c>
    </row>
    <row r="3675">
      <c r="A3675" s="25">
        <f>ItensPedido!A3675</f>
        <v/>
      </c>
      <c r="B3675" s="25">
        <f>ItensPedido!B3675</f>
        <v/>
      </c>
      <c r="C3675" s="25">
        <f>ItensPedido!C3675</f>
        <v/>
      </c>
      <c r="D3675" s="25">
        <f>ItensPedido!D3675</f>
        <v/>
      </c>
      <c r="E3675" s="26">
        <f>ItensPedido!E3675</f>
        <v/>
      </c>
      <c r="F3675" s="25">
        <f>IFERROR(INDEX(Pedidos!$B$2:$B$1801,MATCH(B3675,Pedidos!$A$2:$A$1801,0)),0)</f>
        <v/>
      </c>
      <c r="G3675" s="25">
        <f>IF(F3675=0,"",YEAR(F3675))</f>
        <v/>
      </c>
      <c r="H3675" s="25">
        <f>IF(F3675=0,"",MONTH(F3675))</f>
        <v/>
      </c>
      <c r="I3675" s="25">
        <f>IFERROR(INDEX(Pedidos!$E$2:$E$1801,MATCH(B3675,Pedidos!$A$2:$A$1801,0)),"")</f>
        <v/>
      </c>
      <c r="J3675" s="25">
        <f>IFERROR(INDEX(Pedidos!$C$2:$C$1801,MATCH(B3675,Pedidos!$A$2:$A$1801,0)),"")</f>
        <v/>
      </c>
      <c r="K3675" s="25">
        <f>IFERROR(INDEX(Pedidos!$D$2:$D$1801,MATCH(B3675,Pedidos!$A$2:$A$1801,0)),"")</f>
        <v/>
      </c>
      <c r="L3675" s="25">
        <f>IFERROR(INDEX(Pedidos!$F$2:$F$1801,MATCH(B3675,Pedidos!$A$2:$A$1801,0)),"")</f>
        <v/>
      </c>
      <c r="M3675" s="26">
        <f>IFERROR(INDEX(Pedidos!$G$2:$G$1801,MATCH(B3675,Pedidos!$A$2:$A$1801,0)),0)</f>
        <v/>
      </c>
      <c r="N3675" s="25">
        <f>IFERROR(INDEX(Produtos!$B$2:$B$71,MATCH(C3675,Produtos!$A$2:$A$71,0)),"")</f>
        <v/>
      </c>
      <c r="O3675" s="25">
        <f>IFERROR(INDEX(Produtos!$C$2:$C$71,MATCH(C3675,Produtos!$A$2:$A$71,0)),"")</f>
        <v/>
      </c>
      <c r="P3675" s="25">
        <f>IFERROR(INDEX(Produtos!$D$2:$D$71,MATCH(C3675,Produtos!$A$2:$A$71,0)),0)</f>
        <v/>
      </c>
      <c r="Q3675" s="25">
        <f>IFERROR(INDEX(Produtos!$E$2:$E$71,MATCH(C3675,Produtos!$A$2:$A$71,0)),0)</f>
        <v/>
      </c>
      <c r="R3675" s="27">
        <f>D3675*Q3675</f>
        <v/>
      </c>
      <c r="S3675" s="27">
        <f>R3675*E3675</f>
        <v/>
      </c>
      <c r="T3675" s="27">
        <f>(R3675-S3675)*M3675</f>
        <v/>
      </c>
      <c r="U3675" s="27">
        <f>R3675-S3675-T3675</f>
        <v/>
      </c>
      <c r="V3675" s="27">
        <f>D3675*P3675</f>
        <v/>
      </c>
      <c r="W3675" s="27">
        <f>U3675-V3675</f>
        <v/>
      </c>
      <c r="X3675" s="28">
        <f>IFERROR(W3675/U3675,0)</f>
        <v/>
      </c>
    </row>
    <row r="3676">
      <c r="A3676" s="21">
        <f>ItensPedido!A3676</f>
        <v/>
      </c>
      <c r="B3676" s="21">
        <f>ItensPedido!B3676</f>
        <v/>
      </c>
      <c r="C3676" s="21">
        <f>ItensPedido!C3676</f>
        <v/>
      </c>
      <c r="D3676" s="21">
        <f>ItensPedido!D3676</f>
        <v/>
      </c>
      <c r="E3676" s="22">
        <f>ItensPedido!E3676</f>
        <v/>
      </c>
      <c r="F3676" s="21">
        <f>IFERROR(INDEX(Pedidos!$B$2:$B$1801,MATCH(B3676,Pedidos!$A$2:$A$1801,0)),0)</f>
        <v/>
      </c>
      <c r="G3676" s="21">
        <f>IF(F3676=0,"",YEAR(F3676))</f>
        <v/>
      </c>
      <c r="H3676" s="21">
        <f>IF(F3676=0,"",MONTH(F3676))</f>
        <v/>
      </c>
      <c r="I3676" s="21">
        <f>IFERROR(INDEX(Pedidos!$E$2:$E$1801,MATCH(B3676,Pedidos!$A$2:$A$1801,0)),"")</f>
        <v/>
      </c>
      <c r="J3676" s="21">
        <f>IFERROR(INDEX(Pedidos!$C$2:$C$1801,MATCH(B3676,Pedidos!$A$2:$A$1801,0)),"")</f>
        <v/>
      </c>
      <c r="K3676" s="21">
        <f>IFERROR(INDEX(Pedidos!$D$2:$D$1801,MATCH(B3676,Pedidos!$A$2:$A$1801,0)),"")</f>
        <v/>
      </c>
      <c r="L3676" s="21">
        <f>IFERROR(INDEX(Pedidos!$F$2:$F$1801,MATCH(B3676,Pedidos!$A$2:$A$1801,0)),"")</f>
        <v/>
      </c>
      <c r="M3676" s="22">
        <f>IFERROR(INDEX(Pedidos!$G$2:$G$1801,MATCH(B3676,Pedidos!$A$2:$A$1801,0)),0)</f>
        <v/>
      </c>
      <c r="N3676" s="21">
        <f>IFERROR(INDEX(Produtos!$B$2:$B$71,MATCH(C3676,Produtos!$A$2:$A$71,0)),"")</f>
        <v/>
      </c>
      <c r="O3676" s="21">
        <f>IFERROR(INDEX(Produtos!$C$2:$C$71,MATCH(C3676,Produtos!$A$2:$A$71,0)),"")</f>
        <v/>
      </c>
      <c r="P3676" s="21">
        <f>IFERROR(INDEX(Produtos!$D$2:$D$71,MATCH(C3676,Produtos!$A$2:$A$71,0)),0)</f>
        <v/>
      </c>
      <c r="Q3676" s="21">
        <f>IFERROR(INDEX(Produtos!$E$2:$E$71,MATCH(C3676,Produtos!$A$2:$A$71,0)),0)</f>
        <v/>
      </c>
      <c r="R3676" s="23">
        <f>D3676*Q3676</f>
        <v/>
      </c>
      <c r="S3676" s="23">
        <f>R3676*E3676</f>
        <v/>
      </c>
      <c r="T3676" s="23">
        <f>(R3676-S3676)*M3676</f>
        <v/>
      </c>
      <c r="U3676" s="23">
        <f>R3676-S3676-T3676</f>
        <v/>
      </c>
      <c r="V3676" s="23">
        <f>D3676*P3676</f>
        <v/>
      </c>
      <c r="W3676" s="23">
        <f>U3676-V3676</f>
        <v/>
      </c>
      <c r="X3676" s="24">
        <f>IFERROR(W3676/U3676,0)</f>
        <v/>
      </c>
    </row>
    <row r="3677">
      <c r="A3677" s="25">
        <f>ItensPedido!A3677</f>
        <v/>
      </c>
      <c r="B3677" s="25">
        <f>ItensPedido!B3677</f>
        <v/>
      </c>
      <c r="C3677" s="25">
        <f>ItensPedido!C3677</f>
        <v/>
      </c>
      <c r="D3677" s="25">
        <f>ItensPedido!D3677</f>
        <v/>
      </c>
      <c r="E3677" s="26">
        <f>ItensPedido!E3677</f>
        <v/>
      </c>
      <c r="F3677" s="25">
        <f>IFERROR(INDEX(Pedidos!$B$2:$B$1801,MATCH(B3677,Pedidos!$A$2:$A$1801,0)),0)</f>
        <v/>
      </c>
      <c r="G3677" s="25">
        <f>IF(F3677=0,"",YEAR(F3677))</f>
        <v/>
      </c>
      <c r="H3677" s="25">
        <f>IF(F3677=0,"",MONTH(F3677))</f>
        <v/>
      </c>
      <c r="I3677" s="25">
        <f>IFERROR(INDEX(Pedidos!$E$2:$E$1801,MATCH(B3677,Pedidos!$A$2:$A$1801,0)),"")</f>
        <v/>
      </c>
      <c r="J3677" s="25">
        <f>IFERROR(INDEX(Pedidos!$C$2:$C$1801,MATCH(B3677,Pedidos!$A$2:$A$1801,0)),"")</f>
        <v/>
      </c>
      <c r="K3677" s="25">
        <f>IFERROR(INDEX(Pedidos!$D$2:$D$1801,MATCH(B3677,Pedidos!$A$2:$A$1801,0)),"")</f>
        <v/>
      </c>
      <c r="L3677" s="25">
        <f>IFERROR(INDEX(Pedidos!$F$2:$F$1801,MATCH(B3677,Pedidos!$A$2:$A$1801,0)),"")</f>
        <v/>
      </c>
      <c r="M3677" s="26">
        <f>IFERROR(INDEX(Pedidos!$G$2:$G$1801,MATCH(B3677,Pedidos!$A$2:$A$1801,0)),0)</f>
        <v/>
      </c>
      <c r="N3677" s="25">
        <f>IFERROR(INDEX(Produtos!$B$2:$B$71,MATCH(C3677,Produtos!$A$2:$A$71,0)),"")</f>
        <v/>
      </c>
      <c r="O3677" s="25">
        <f>IFERROR(INDEX(Produtos!$C$2:$C$71,MATCH(C3677,Produtos!$A$2:$A$71,0)),"")</f>
        <v/>
      </c>
      <c r="P3677" s="25">
        <f>IFERROR(INDEX(Produtos!$D$2:$D$71,MATCH(C3677,Produtos!$A$2:$A$71,0)),0)</f>
        <v/>
      </c>
      <c r="Q3677" s="25">
        <f>IFERROR(INDEX(Produtos!$E$2:$E$71,MATCH(C3677,Produtos!$A$2:$A$71,0)),0)</f>
        <v/>
      </c>
      <c r="R3677" s="27">
        <f>D3677*Q3677</f>
        <v/>
      </c>
      <c r="S3677" s="27">
        <f>R3677*E3677</f>
        <v/>
      </c>
      <c r="T3677" s="27">
        <f>(R3677-S3677)*M3677</f>
        <v/>
      </c>
      <c r="U3677" s="27">
        <f>R3677-S3677-T3677</f>
        <v/>
      </c>
      <c r="V3677" s="27">
        <f>D3677*P3677</f>
        <v/>
      </c>
      <c r="W3677" s="27">
        <f>U3677-V3677</f>
        <v/>
      </c>
      <c r="X3677" s="28">
        <f>IFERROR(W3677/U3677,0)</f>
        <v/>
      </c>
    </row>
    <row r="3678">
      <c r="A3678" s="21">
        <f>ItensPedido!A3678</f>
        <v/>
      </c>
      <c r="B3678" s="21">
        <f>ItensPedido!B3678</f>
        <v/>
      </c>
      <c r="C3678" s="21">
        <f>ItensPedido!C3678</f>
        <v/>
      </c>
      <c r="D3678" s="21">
        <f>ItensPedido!D3678</f>
        <v/>
      </c>
      <c r="E3678" s="22">
        <f>ItensPedido!E3678</f>
        <v/>
      </c>
      <c r="F3678" s="21">
        <f>IFERROR(INDEX(Pedidos!$B$2:$B$1801,MATCH(B3678,Pedidos!$A$2:$A$1801,0)),0)</f>
        <v/>
      </c>
      <c r="G3678" s="21">
        <f>IF(F3678=0,"",YEAR(F3678))</f>
        <v/>
      </c>
      <c r="H3678" s="21">
        <f>IF(F3678=0,"",MONTH(F3678))</f>
        <v/>
      </c>
      <c r="I3678" s="21">
        <f>IFERROR(INDEX(Pedidos!$E$2:$E$1801,MATCH(B3678,Pedidos!$A$2:$A$1801,0)),"")</f>
        <v/>
      </c>
      <c r="J3678" s="21">
        <f>IFERROR(INDEX(Pedidos!$C$2:$C$1801,MATCH(B3678,Pedidos!$A$2:$A$1801,0)),"")</f>
        <v/>
      </c>
      <c r="K3678" s="21">
        <f>IFERROR(INDEX(Pedidos!$D$2:$D$1801,MATCH(B3678,Pedidos!$A$2:$A$1801,0)),"")</f>
        <v/>
      </c>
      <c r="L3678" s="21">
        <f>IFERROR(INDEX(Pedidos!$F$2:$F$1801,MATCH(B3678,Pedidos!$A$2:$A$1801,0)),"")</f>
        <v/>
      </c>
      <c r="M3678" s="22">
        <f>IFERROR(INDEX(Pedidos!$G$2:$G$1801,MATCH(B3678,Pedidos!$A$2:$A$1801,0)),0)</f>
        <v/>
      </c>
      <c r="N3678" s="21">
        <f>IFERROR(INDEX(Produtos!$B$2:$B$71,MATCH(C3678,Produtos!$A$2:$A$71,0)),"")</f>
        <v/>
      </c>
      <c r="O3678" s="21">
        <f>IFERROR(INDEX(Produtos!$C$2:$C$71,MATCH(C3678,Produtos!$A$2:$A$71,0)),"")</f>
        <v/>
      </c>
      <c r="P3678" s="21">
        <f>IFERROR(INDEX(Produtos!$D$2:$D$71,MATCH(C3678,Produtos!$A$2:$A$71,0)),0)</f>
        <v/>
      </c>
      <c r="Q3678" s="21">
        <f>IFERROR(INDEX(Produtos!$E$2:$E$71,MATCH(C3678,Produtos!$A$2:$A$71,0)),0)</f>
        <v/>
      </c>
      <c r="R3678" s="23">
        <f>D3678*Q3678</f>
        <v/>
      </c>
      <c r="S3678" s="23">
        <f>R3678*E3678</f>
        <v/>
      </c>
      <c r="T3678" s="23">
        <f>(R3678-S3678)*M3678</f>
        <v/>
      </c>
      <c r="U3678" s="23">
        <f>R3678-S3678-T3678</f>
        <v/>
      </c>
      <c r="V3678" s="23">
        <f>D3678*P3678</f>
        <v/>
      </c>
      <c r="W3678" s="23">
        <f>U3678-V3678</f>
        <v/>
      </c>
      <c r="X3678" s="24">
        <f>IFERROR(W3678/U3678,0)</f>
        <v/>
      </c>
    </row>
    <row r="3679">
      <c r="A3679" s="25">
        <f>ItensPedido!A3679</f>
        <v/>
      </c>
      <c r="B3679" s="25">
        <f>ItensPedido!B3679</f>
        <v/>
      </c>
      <c r="C3679" s="25">
        <f>ItensPedido!C3679</f>
        <v/>
      </c>
      <c r="D3679" s="25">
        <f>ItensPedido!D3679</f>
        <v/>
      </c>
      <c r="E3679" s="26">
        <f>ItensPedido!E3679</f>
        <v/>
      </c>
      <c r="F3679" s="25">
        <f>IFERROR(INDEX(Pedidos!$B$2:$B$1801,MATCH(B3679,Pedidos!$A$2:$A$1801,0)),0)</f>
        <v/>
      </c>
      <c r="G3679" s="25">
        <f>IF(F3679=0,"",YEAR(F3679))</f>
        <v/>
      </c>
      <c r="H3679" s="25">
        <f>IF(F3679=0,"",MONTH(F3679))</f>
        <v/>
      </c>
      <c r="I3679" s="25">
        <f>IFERROR(INDEX(Pedidos!$E$2:$E$1801,MATCH(B3679,Pedidos!$A$2:$A$1801,0)),"")</f>
        <v/>
      </c>
      <c r="J3679" s="25">
        <f>IFERROR(INDEX(Pedidos!$C$2:$C$1801,MATCH(B3679,Pedidos!$A$2:$A$1801,0)),"")</f>
        <v/>
      </c>
      <c r="K3679" s="25">
        <f>IFERROR(INDEX(Pedidos!$D$2:$D$1801,MATCH(B3679,Pedidos!$A$2:$A$1801,0)),"")</f>
        <v/>
      </c>
      <c r="L3679" s="25">
        <f>IFERROR(INDEX(Pedidos!$F$2:$F$1801,MATCH(B3679,Pedidos!$A$2:$A$1801,0)),"")</f>
        <v/>
      </c>
      <c r="M3679" s="26">
        <f>IFERROR(INDEX(Pedidos!$G$2:$G$1801,MATCH(B3679,Pedidos!$A$2:$A$1801,0)),0)</f>
        <v/>
      </c>
      <c r="N3679" s="25">
        <f>IFERROR(INDEX(Produtos!$B$2:$B$71,MATCH(C3679,Produtos!$A$2:$A$71,0)),"")</f>
        <v/>
      </c>
      <c r="O3679" s="25">
        <f>IFERROR(INDEX(Produtos!$C$2:$C$71,MATCH(C3679,Produtos!$A$2:$A$71,0)),"")</f>
        <v/>
      </c>
      <c r="P3679" s="25">
        <f>IFERROR(INDEX(Produtos!$D$2:$D$71,MATCH(C3679,Produtos!$A$2:$A$71,0)),0)</f>
        <v/>
      </c>
      <c r="Q3679" s="25">
        <f>IFERROR(INDEX(Produtos!$E$2:$E$71,MATCH(C3679,Produtos!$A$2:$A$71,0)),0)</f>
        <v/>
      </c>
      <c r="R3679" s="27">
        <f>D3679*Q3679</f>
        <v/>
      </c>
      <c r="S3679" s="27">
        <f>R3679*E3679</f>
        <v/>
      </c>
      <c r="T3679" s="27">
        <f>(R3679-S3679)*M3679</f>
        <v/>
      </c>
      <c r="U3679" s="27">
        <f>R3679-S3679-T3679</f>
        <v/>
      </c>
      <c r="V3679" s="27">
        <f>D3679*P3679</f>
        <v/>
      </c>
      <c r="W3679" s="27">
        <f>U3679-V3679</f>
        <v/>
      </c>
      <c r="X3679" s="28">
        <f>IFERROR(W3679/U3679,0)</f>
        <v/>
      </c>
    </row>
    <row r="3680">
      <c r="A3680" s="21">
        <f>ItensPedido!A3680</f>
        <v/>
      </c>
      <c r="B3680" s="21">
        <f>ItensPedido!B3680</f>
        <v/>
      </c>
      <c r="C3680" s="21">
        <f>ItensPedido!C3680</f>
        <v/>
      </c>
      <c r="D3680" s="21">
        <f>ItensPedido!D3680</f>
        <v/>
      </c>
      <c r="E3680" s="22">
        <f>ItensPedido!E3680</f>
        <v/>
      </c>
      <c r="F3680" s="21">
        <f>IFERROR(INDEX(Pedidos!$B$2:$B$1801,MATCH(B3680,Pedidos!$A$2:$A$1801,0)),0)</f>
        <v/>
      </c>
      <c r="G3680" s="21">
        <f>IF(F3680=0,"",YEAR(F3680))</f>
        <v/>
      </c>
      <c r="H3680" s="21">
        <f>IF(F3680=0,"",MONTH(F3680))</f>
        <v/>
      </c>
      <c r="I3680" s="21">
        <f>IFERROR(INDEX(Pedidos!$E$2:$E$1801,MATCH(B3680,Pedidos!$A$2:$A$1801,0)),"")</f>
        <v/>
      </c>
      <c r="J3680" s="21">
        <f>IFERROR(INDEX(Pedidos!$C$2:$C$1801,MATCH(B3680,Pedidos!$A$2:$A$1801,0)),"")</f>
        <v/>
      </c>
      <c r="K3680" s="21">
        <f>IFERROR(INDEX(Pedidos!$D$2:$D$1801,MATCH(B3680,Pedidos!$A$2:$A$1801,0)),"")</f>
        <v/>
      </c>
      <c r="L3680" s="21">
        <f>IFERROR(INDEX(Pedidos!$F$2:$F$1801,MATCH(B3680,Pedidos!$A$2:$A$1801,0)),"")</f>
        <v/>
      </c>
      <c r="M3680" s="22">
        <f>IFERROR(INDEX(Pedidos!$G$2:$G$1801,MATCH(B3680,Pedidos!$A$2:$A$1801,0)),0)</f>
        <v/>
      </c>
      <c r="N3680" s="21">
        <f>IFERROR(INDEX(Produtos!$B$2:$B$71,MATCH(C3680,Produtos!$A$2:$A$71,0)),"")</f>
        <v/>
      </c>
      <c r="O3680" s="21">
        <f>IFERROR(INDEX(Produtos!$C$2:$C$71,MATCH(C3680,Produtos!$A$2:$A$71,0)),"")</f>
        <v/>
      </c>
      <c r="P3680" s="21">
        <f>IFERROR(INDEX(Produtos!$D$2:$D$71,MATCH(C3680,Produtos!$A$2:$A$71,0)),0)</f>
        <v/>
      </c>
      <c r="Q3680" s="21">
        <f>IFERROR(INDEX(Produtos!$E$2:$E$71,MATCH(C3680,Produtos!$A$2:$A$71,0)),0)</f>
        <v/>
      </c>
      <c r="R3680" s="23">
        <f>D3680*Q3680</f>
        <v/>
      </c>
      <c r="S3680" s="23">
        <f>R3680*E3680</f>
        <v/>
      </c>
      <c r="T3680" s="23">
        <f>(R3680-S3680)*M3680</f>
        <v/>
      </c>
      <c r="U3680" s="23">
        <f>R3680-S3680-T3680</f>
        <v/>
      </c>
      <c r="V3680" s="23">
        <f>D3680*P3680</f>
        <v/>
      </c>
      <c r="W3680" s="23">
        <f>U3680-V3680</f>
        <v/>
      </c>
      <c r="X3680" s="24">
        <f>IFERROR(W3680/U3680,0)</f>
        <v/>
      </c>
    </row>
    <row r="3681">
      <c r="A3681" s="25">
        <f>ItensPedido!A3681</f>
        <v/>
      </c>
      <c r="B3681" s="25">
        <f>ItensPedido!B3681</f>
        <v/>
      </c>
      <c r="C3681" s="25">
        <f>ItensPedido!C3681</f>
        <v/>
      </c>
      <c r="D3681" s="25">
        <f>ItensPedido!D3681</f>
        <v/>
      </c>
      <c r="E3681" s="26">
        <f>ItensPedido!E3681</f>
        <v/>
      </c>
      <c r="F3681" s="25">
        <f>IFERROR(INDEX(Pedidos!$B$2:$B$1801,MATCH(B3681,Pedidos!$A$2:$A$1801,0)),0)</f>
        <v/>
      </c>
      <c r="G3681" s="25">
        <f>IF(F3681=0,"",YEAR(F3681))</f>
        <v/>
      </c>
      <c r="H3681" s="25">
        <f>IF(F3681=0,"",MONTH(F3681))</f>
        <v/>
      </c>
      <c r="I3681" s="25">
        <f>IFERROR(INDEX(Pedidos!$E$2:$E$1801,MATCH(B3681,Pedidos!$A$2:$A$1801,0)),"")</f>
        <v/>
      </c>
      <c r="J3681" s="25">
        <f>IFERROR(INDEX(Pedidos!$C$2:$C$1801,MATCH(B3681,Pedidos!$A$2:$A$1801,0)),"")</f>
        <v/>
      </c>
      <c r="K3681" s="25">
        <f>IFERROR(INDEX(Pedidos!$D$2:$D$1801,MATCH(B3681,Pedidos!$A$2:$A$1801,0)),"")</f>
        <v/>
      </c>
      <c r="L3681" s="25">
        <f>IFERROR(INDEX(Pedidos!$F$2:$F$1801,MATCH(B3681,Pedidos!$A$2:$A$1801,0)),"")</f>
        <v/>
      </c>
      <c r="M3681" s="26">
        <f>IFERROR(INDEX(Pedidos!$G$2:$G$1801,MATCH(B3681,Pedidos!$A$2:$A$1801,0)),0)</f>
        <v/>
      </c>
      <c r="N3681" s="25">
        <f>IFERROR(INDEX(Produtos!$B$2:$B$71,MATCH(C3681,Produtos!$A$2:$A$71,0)),"")</f>
        <v/>
      </c>
      <c r="O3681" s="25">
        <f>IFERROR(INDEX(Produtos!$C$2:$C$71,MATCH(C3681,Produtos!$A$2:$A$71,0)),"")</f>
        <v/>
      </c>
      <c r="P3681" s="25">
        <f>IFERROR(INDEX(Produtos!$D$2:$D$71,MATCH(C3681,Produtos!$A$2:$A$71,0)),0)</f>
        <v/>
      </c>
      <c r="Q3681" s="25">
        <f>IFERROR(INDEX(Produtos!$E$2:$E$71,MATCH(C3681,Produtos!$A$2:$A$71,0)),0)</f>
        <v/>
      </c>
      <c r="R3681" s="27">
        <f>D3681*Q3681</f>
        <v/>
      </c>
      <c r="S3681" s="27">
        <f>R3681*E3681</f>
        <v/>
      </c>
      <c r="T3681" s="27">
        <f>(R3681-S3681)*M3681</f>
        <v/>
      </c>
      <c r="U3681" s="27">
        <f>R3681-S3681-T3681</f>
        <v/>
      </c>
      <c r="V3681" s="27">
        <f>D3681*P3681</f>
        <v/>
      </c>
      <c r="W3681" s="27">
        <f>U3681-V3681</f>
        <v/>
      </c>
      <c r="X3681" s="28">
        <f>IFERROR(W3681/U3681,0)</f>
        <v/>
      </c>
    </row>
    <row r="3682">
      <c r="A3682" s="21">
        <f>ItensPedido!A3682</f>
        <v/>
      </c>
      <c r="B3682" s="21">
        <f>ItensPedido!B3682</f>
        <v/>
      </c>
      <c r="C3682" s="21">
        <f>ItensPedido!C3682</f>
        <v/>
      </c>
      <c r="D3682" s="21">
        <f>ItensPedido!D3682</f>
        <v/>
      </c>
      <c r="E3682" s="22">
        <f>ItensPedido!E3682</f>
        <v/>
      </c>
      <c r="F3682" s="21">
        <f>IFERROR(INDEX(Pedidos!$B$2:$B$1801,MATCH(B3682,Pedidos!$A$2:$A$1801,0)),0)</f>
        <v/>
      </c>
      <c r="G3682" s="21">
        <f>IF(F3682=0,"",YEAR(F3682))</f>
        <v/>
      </c>
      <c r="H3682" s="21">
        <f>IF(F3682=0,"",MONTH(F3682))</f>
        <v/>
      </c>
      <c r="I3682" s="21">
        <f>IFERROR(INDEX(Pedidos!$E$2:$E$1801,MATCH(B3682,Pedidos!$A$2:$A$1801,0)),"")</f>
        <v/>
      </c>
      <c r="J3682" s="21">
        <f>IFERROR(INDEX(Pedidos!$C$2:$C$1801,MATCH(B3682,Pedidos!$A$2:$A$1801,0)),"")</f>
        <v/>
      </c>
      <c r="K3682" s="21">
        <f>IFERROR(INDEX(Pedidos!$D$2:$D$1801,MATCH(B3682,Pedidos!$A$2:$A$1801,0)),"")</f>
        <v/>
      </c>
      <c r="L3682" s="21">
        <f>IFERROR(INDEX(Pedidos!$F$2:$F$1801,MATCH(B3682,Pedidos!$A$2:$A$1801,0)),"")</f>
        <v/>
      </c>
      <c r="M3682" s="22">
        <f>IFERROR(INDEX(Pedidos!$G$2:$G$1801,MATCH(B3682,Pedidos!$A$2:$A$1801,0)),0)</f>
        <v/>
      </c>
      <c r="N3682" s="21">
        <f>IFERROR(INDEX(Produtos!$B$2:$B$71,MATCH(C3682,Produtos!$A$2:$A$71,0)),"")</f>
        <v/>
      </c>
      <c r="O3682" s="21">
        <f>IFERROR(INDEX(Produtos!$C$2:$C$71,MATCH(C3682,Produtos!$A$2:$A$71,0)),"")</f>
        <v/>
      </c>
      <c r="P3682" s="21">
        <f>IFERROR(INDEX(Produtos!$D$2:$D$71,MATCH(C3682,Produtos!$A$2:$A$71,0)),0)</f>
        <v/>
      </c>
      <c r="Q3682" s="21">
        <f>IFERROR(INDEX(Produtos!$E$2:$E$71,MATCH(C3682,Produtos!$A$2:$A$71,0)),0)</f>
        <v/>
      </c>
      <c r="R3682" s="23">
        <f>D3682*Q3682</f>
        <v/>
      </c>
      <c r="S3682" s="23">
        <f>R3682*E3682</f>
        <v/>
      </c>
      <c r="T3682" s="23">
        <f>(R3682-S3682)*M3682</f>
        <v/>
      </c>
      <c r="U3682" s="23">
        <f>R3682-S3682-T3682</f>
        <v/>
      </c>
      <c r="V3682" s="23">
        <f>D3682*P3682</f>
        <v/>
      </c>
      <c r="W3682" s="23">
        <f>U3682-V3682</f>
        <v/>
      </c>
      <c r="X3682" s="24">
        <f>IFERROR(W3682/U3682,0)</f>
        <v/>
      </c>
    </row>
    <row r="3683">
      <c r="A3683" s="25">
        <f>ItensPedido!A3683</f>
        <v/>
      </c>
      <c r="B3683" s="25">
        <f>ItensPedido!B3683</f>
        <v/>
      </c>
      <c r="C3683" s="25">
        <f>ItensPedido!C3683</f>
        <v/>
      </c>
      <c r="D3683" s="25">
        <f>ItensPedido!D3683</f>
        <v/>
      </c>
      <c r="E3683" s="26">
        <f>ItensPedido!E3683</f>
        <v/>
      </c>
      <c r="F3683" s="25">
        <f>IFERROR(INDEX(Pedidos!$B$2:$B$1801,MATCH(B3683,Pedidos!$A$2:$A$1801,0)),0)</f>
        <v/>
      </c>
      <c r="G3683" s="25">
        <f>IF(F3683=0,"",YEAR(F3683))</f>
        <v/>
      </c>
      <c r="H3683" s="25">
        <f>IF(F3683=0,"",MONTH(F3683))</f>
        <v/>
      </c>
      <c r="I3683" s="25">
        <f>IFERROR(INDEX(Pedidos!$E$2:$E$1801,MATCH(B3683,Pedidos!$A$2:$A$1801,0)),"")</f>
        <v/>
      </c>
      <c r="J3683" s="25">
        <f>IFERROR(INDEX(Pedidos!$C$2:$C$1801,MATCH(B3683,Pedidos!$A$2:$A$1801,0)),"")</f>
        <v/>
      </c>
      <c r="K3683" s="25">
        <f>IFERROR(INDEX(Pedidos!$D$2:$D$1801,MATCH(B3683,Pedidos!$A$2:$A$1801,0)),"")</f>
        <v/>
      </c>
      <c r="L3683" s="25">
        <f>IFERROR(INDEX(Pedidos!$F$2:$F$1801,MATCH(B3683,Pedidos!$A$2:$A$1801,0)),"")</f>
        <v/>
      </c>
      <c r="M3683" s="26">
        <f>IFERROR(INDEX(Pedidos!$G$2:$G$1801,MATCH(B3683,Pedidos!$A$2:$A$1801,0)),0)</f>
        <v/>
      </c>
      <c r="N3683" s="25">
        <f>IFERROR(INDEX(Produtos!$B$2:$B$71,MATCH(C3683,Produtos!$A$2:$A$71,0)),"")</f>
        <v/>
      </c>
      <c r="O3683" s="25">
        <f>IFERROR(INDEX(Produtos!$C$2:$C$71,MATCH(C3683,Produtos!$A$2:$A$71,0)),"")</f>
        <v/>
      </c>
      <c r="P3683" s="25">
        <f>IFERROR(INDEX(Produtos!$D$2:$D$71,MATCH(C3683,Produtos!$A$2:$A$71,0)),0)</f>
        <v/>
      </c>
      <c r="Q3683" s="25">
        <f>IFERROR(INDEX(Produtos!$E$2:$E$71,MATCH(C3683,Produtos!$A$2:$A$71,0)),0)</f>
        <v/>
      </c>
      <c r="R3683" s="27">
        <f>D3683*Q3683</f>
        <v/>
      </c>
      <c r="S3683" s="27">
        <f>R3683*E3683</f>
        <v/>
      </c>
      <c r="T3683" s="27">
        <f>(R3683-S3683)*M3683</f>
        <v/>
      </c>
      <c r="U3683" s="27">
        <f>R3683-S3683-T3683</f>
        <v/>
      </c>
      <c r="V3683" s="27">
        <f>D3683*P3683</f>
        <v/>
      </c>
      <c r="W3683" s="27">
        <f>U3683-V3683</f>
        <v/>
      </c>
      <c r="X3683" s="28">
        <f>IFERROR(W3683/U3683,0)</f>
        <v/>
      </c>
    </row>
    <row r="3684">
      <c r="A3684" s="21">
        <f>ItensPedido!A3684</f>
        <v/>
      </c>
      <c r="B3684" s="21">
        <f>ItensPedido!B3684</f>
        <v/>
      </c>
      <c r="C3684" s="21">
        <f>ItensPedido!C3684</f>
        <v/>
      </c>
      <c r="D3684" s="21">
        <f>ItensPedido!D3684</f>
        <v/>
      </c>
      <c r="E3684" s="22">
        <f>ItensPedido!E3684</f>
        <v/>
      </c>
      <c r="F3684" s="21">
        <f>IFERROR(INDEX(Pedidos!$B$2:$B$1801,MATCH(B3684,Pedidos!$A$2:$A$1801,0)),0)</f>
        <v/>
      </c>
      <c r="G3684" s="21">
        <f>IF(F3684=0,"",YEAR(F3684))</f>
        <v/>
      </c>
      <c r="H3684" s="21">
        <f>IF(F3684=0,"",MONTH(F3684))</f>
        <v/>
      </c>
      <c r="I3684" s="21">
        <f>IFERROR(INDEX(Pedidos!$E$2:$E$1801,MATCH(B3684,Pedidos!$A$2:$A$1801,0)),"")</f>
        <v/>
      </c>
      <c r="J3684" s="21">
        <f>IFERROR(INDEX(Pedidos!$C$2:$C$1801,MATCH(B3684,Pedidos!$A$2:$A$1801,0)),"")</f>
        <v/>
      </c>
      <c r="K3684" s="21">
        <f>IFERROR(INDEX(Pedidos!$D$2:$D$1801,MATCH(B3684,Pedidos!$A$2:$A$1801,0)),"")</f>
        <v/>
      </c>
      <c r="L3684" s="21">
        <f>IFERROR(INDEX(Pedidos!$F$2:$F$1801,MATCH(B3684,Pedidos!$A$2:$A$1801,0)),"")</f>
        <v/>
      </c>
      <c r="M3684" s="22">
        <f>IFERROR(INDEX(Pedidos!$G$2:$G$1801,MATCH(B3684,Pedidos!$A$2:$A$1801,0)),0)</f>
        <v/>
      </c>
      <c r="N3684" s="21">
        <f>IFERROR(INDEX(Produtos!$B$2:$B$71,MATCH(C3684,Produtos!$A$2:$A$71,0)),"")</f>
        <v/>
      </c>
      <c r="O3684" s="21">
        <f>IFERROR(INDEX(Produtos!$C$2:$C$71,MATCH(C3684,Produtos!$A$2:$A$71,0)),"")</f>
        <v/>
      </c>
      <c r="P3684" s="21">
        <f>IFERROR(INDEX(Produtos!$D$2:$D$71,MATCH(C3684,Produtos!$A$2:$A$71,0)),0)</f>
        <v/>
      </c>
      <c r="Q3684" s="21">
        <f>IFERROR(INDEX(Produtos!$E$2:$E$71,MATCH(C3684,Produtos!$A$2:$A$71,0)),0)</f>
        <v/>
      </c>
      <c r="R3684" s="23">
        <f>D3684*Q3684</f>
        <v/>
      </c>
      <c r="S3684" s="23">
        <f>R3684*E3684</f>
        <v/>
      </c>
      <c r="T3684" s="23">
        <f>(R3684-S3684)*M3684</f>
        <v/>
      </c>
      <c r="U3684" s="23">
        <f>R3684-S3684-T3684</f>
        <v/>
      </c>
      <c r="V3684" s="23">
        <f>D3684*P3684</f>
        <v/>
      </c>
      <c r="W3684" s="23">
        <f>U3684-V3684</f>
        <v/>
      </c>
      <c r="X3684" s="24">
        <f>IFERROR(W3684/U3684,0)</f>
        <v/>
      </c>
    </row>
    <row r="3685">
      <c r="A3685" s="25">
        <f>ItensPedido!A3685</f>
        <v/>
      </c>
      <c r="B3685" s="25">
        <f>ItensPedido!B3685</f>
        <v/>
      </c>
      <c r="C3685" s="25">
        <f>ItensPedido!C3685</f>
        <v/>
      </c>
      <c r="D3685" s="25">
        <f>ItensPedido!D3685</f>
        <v/>
      </c>
      <c r="E3685" s="26">
        <f>ItensPedido!E3685</f>
        <v/>
      </c>
      <c r="F3685" s="25">
        <f>IFERROR(INDEX(Pedidos!$B$2:$B$1801,MATCH(B3685,Pedidos!$A$2:$A$1801,0)),0)</f>
        <v/>
      </c>
      <c r="G3685" s="25">
        <f>IF(F3685=0,"",YEAR(F3685))</f>
        <v/>
      </c>
      <c r="H3685" s="25">
        <f>IF(F3685=0,"",MONTH(F3685))</f>
        <v/>
      </c>
      <c r="I3685" s="25">
        <f>IFERROR(INDEX(Pedidos!$E$2:$E$1801,MATCH(B3685,Pedidos!$A$2:$A$1801,0)),"")</f>
        <v/>
      </c>
      <c r="J3685" s="25">
        <f>IFERROR(INDEX(Pedidos!$C$2:$C$1801,MATCH(B3685,Pedidos!$A$2:$A$1801,0)),"")</f>
        <v/>
      </c>
      <c r="K3685" s="25">
        <f>IFERROR(INDEX(Pedidos!$D$2:$D$1801,MATCH(B3685,Pedidos!$A$2:$A$1801,0)),"")</f>
        <v/>
      </c>
      <c r="L3685" s="25">
        <f>IFERROR(INDEX(Pedidos!$F$2:$F$1801,MATCH(B3685,Pedidos!$A$2:$A$1801,0)),"")</f>
        <v/>
      </c>
      <c r="M3685" s="26">
        <f>IFERROR(INDEX(Pedidos!$G$2:$G$1801,MATCH(B3685,Pedidos!$A$2:$A$1801,0)),0)</f>
        <v/>
      </c>
      <c r="N3685" s="25">
        <f>IFERROR(INDEX(Produtos!$B$2:$B$71,MATCH(C3685,Produtos!$A$2:$A$71,0)),"")</f>
        <v/>
      </c>
      <c r="O3685" s="25">
        <f>IFERROR(INDEX(Produtos!$C$2:$C$71,MATCH(C3685,Produtos!$A$2:$A$71,0)),"")</f>
        <v/>
      </c>
      <c r="P3685" s="25">
        <f>IFERROR(INDEX(Produtos!$D$2:$D$71,MATCH(C3685,Produtos!$A$2:$A$71,0)),0)</f>
        <v/>
      </c>
      <c r="Q3685" s="25">
        <f>IFERROR(INDEX(Produtos!$E$2:$E$71,MATCH(C3685,Produtos!$A$2:$A$71,0)),0)</f>
        <v/>
      </c>
      <c r="R3685" s="27">
        <f>D3685*Q3685</f>
        <v/>
      </c>
      <c r="S3685" s="27">
        <f>R3685*E3685</f>
        <v/>
      </c>
      <c r="T3685" s="27">
        <f>(R3685-S3685)*M3685</f>
        <v/>
      </c>
      <c r="U3685" s="27">
        <f>R3685-S3685-T3685</f>
        <v/>
      </c>
      <c r="V3685" s="27">
        <f>D3685*P3685</f>
        <v/>
      </c>
      <c r="W3685" s="27">
        <f>U3685-V3685</f>
        <v/>
      </c>
      <c r="X3685" s="28">
        <f>IFERROR(W3685/U3685,0)</f>
        <v/>
      </c>
    </row>
    <row r="3686">
      <c r="A3686" s="21">
        <f>ItensPedido!A3686</f>
        <v/>
      </c>
      <c r="B3686" s="21">
        <f>ItensPedido!B3686</f>
        <v/>
      </c>
      <c r="C3686" s="21">
        <f>ItensPedido!C3686</f>
        <v/>
      </c>
      <c r="D3686" s="21">
        <f>ItensPedido!D3686</f>
        <v/>
      </c>
      <c r="E3686" s="22">
        <f>ItensPedido!E3686</f>
        <v/>
      </c>
      <c r="F3686" s="21">
        <f>IFERROR(INDEX(Pedidos!$B$2:$B$1801,MATCH(B3686,Pedidos!$A$2:$A$1801,0)),0)</f>
        <v/>
      </c>
      <c r="G3686" s="21">
        <f>IF(F3686=0,"",YEAR(F3686))</f>
        <v/>
      </c>
      <c r="H3686" s="21">
        <f>IF(F3686=0,"",MONTH(F3686))</f>
        <v/>
      </c>
      <c r="I3686" s="21">
        <f>IFERROR(INDEX(Pedidos!$E$2:$E$1801,MATCH(B3686,Pedidos!$A$2:$A$1801,0)),"")</f>
        <v/>
      </c>
      <c r="J3686" s="21">
        <f>IFERROR(INDEX(Pedidos!$C$2:$C$1801,MATCH(B3686,Pedidos!$A$2:$A$1801,0)),"")</f>
        <v/>
      </c>
      <c r="K3686" s="21">
        <f>IFERROR(INDEX(Pedidos!$D$2:$D$1801,MATCH(B3686,Pedidos!$A$2:$A$1801,0)),"")</f>
        <v/>
      </c>
      <c r="L3686" s="21">
        <f>IFERROR(INDEX(Pedidos!$F$2:$F$1801,MATCH(B3686,Pedidos!$A$2:$A$1801,0)),"")</f>
        <v/>
      </c>
      <c r="M3686" s="22">
        <f>IFERROR(INDEX(Pedidos!$G$2:$G$1801,MATCH(B3686,Pedidos!$A$2:$A$1801,0)),0)</f>
        <v/>
      </c>
      <c r="N3686" s="21">
        <f>IFERROR(INDEX(Produtos!$B$2:$B$71,MATCH(C3686,Produtos!$A$2:$A$71,0)),"")</f>
        <v/>
      </c>
      <c r="O3686" s="21">
        <f>IFERROR(INDEX(Produtos!$C$2:$C$71,MATCH(C3686,Produtos!$A$2:$A$71,0)),"")</f>
        <v/>
      </c>
      <c r="P3686" s="21">
        <f>IFERROR(INDEX(Produtos!$D$2:$D$71,MATCH(C3686,Produtos!$A$2:$A$71,0)),0)</f>
        <v/>
      </c>
      <c r="Q3686" s="21">
        <f>IFERROR(INDEX(Produtos!$E$2:$E$71,MATCH(C3686,Produtos!$A$2:$A$71,0)),0)</f>
        <v/>
      </c>
      <c r="R3686" s="23">
        <f>D3686*Q3686</f>
        <v/>
      </c>
      <c r="S3686" s="23">
        <f>R3686*E3686</f>
        <v/>
      </c>
      <c r="T3686" s="23">
        <f>(R3686-S3686)*M3686</f>
        <v/>
      </c>
      <c r="U3686" s="23">
        <f>R3686-S3686-T3686</f>
        <v/>
      </c>
      <c r="V3686" s="23">
        <f>D3686*P3686</f>
        <v/>
      </c>
      <c r="W3686" s="23">
        <f>U3686-V3686</f>
        <v/>
      </c>
      <c r="X3686" s="24">
        <f>IFERROR(W3686/U3686,0)</f>
        <v/>
      </c>
    </row>
    <row r="3687">
      <c r="A3687" s="25">
        <f>ItensPedido!A3687</f>
        <v/>
      </c>
      <c r="B3687" s="25">
        <f>ItensPedido!B3687</f>
        <v/>
      </c>
      <c r="C3687" s="25">
        <f>ItensPedido!C3687</f>
        <v/>
      </c>
      <c r="D3687" s="25">
        <f>ItensPedido!D3687</f>
        <v/>
      </c>
      <c r="E3687" s="26">
        <f>ItensPedido!E3687</f>
        <v/>
      </c>
      <c r="F3687" s="25">
        <f>IFERROR(INDEX(Pedidos!$B$2:$B$1801,MATCH(B3687,Pedidos!$A$2:$A$1801,0)),0)</f>
        <v/>
      </c>
      <c r="G3687" s="25">
        <f>IF(F3687=0,"",YEAR(F3687))</f>
        <v/>
      </c>
      <c r="H3687" s="25">
        <f>IF(F3687=0,"",MONTH(F3687))</f>
        <v/>
      </c>
      <c r="I3687" s="25">
        <f>IFERROR(INDEX(Pedidos!$E$2:$E$1801,MATCH(B3687,Pedidos!$A$2:$A$1801,0)),"")</f>
        <v/>
      </c>
      <c r="J3687" s="25">
        <f>IFERROR(INDEX(Pedidos!$C$2:$C$1801,MATCH(B3687,Pedidos!$A$2:$A$1801,0)),"")</f>
        <v/>
      </c>
      <c r="K3687" s="25">
        <f>IFERROR(INDEX(Pedidos!$D$2:$D$1801,MATCH(B3687,Pedidos!$A$2:$A$1801,0)),"")</f>
        <v/>
      </c>
      <c r="L3687" s="25">
        <f>IFERROR(INDEX(Pedidos!$F$2:$F$1801,MATCH(B3687,Pedidos!$A$2:$A$1801,0)),"")</f>
        <v/>
      </c>
      <c r="M3687" s="26">
        <f>IFERROR(INDEX(Pedidos!$G$2:$G$1801,MATCH(B3687,Pedidos!$A$2:$A$1801,0)),0)</f>
        <v/>
      </c>
      <c r="N3687" s="25">
        <f>IFERROR(INDEX(Produtos!$B$2:$B$71,MATCH(C3687,Produtos!$A$2:$A$71,0)),"")</f>
        <v/>
      </c>
      <c r="O3687" s="25">
        <f>IFERROR(INDEX(Produtos!$C$2:$C$71,MATCH(C3687,Produtos!$A$2:$A$71,0)),"")</f>
        <v/>
      </c>
      <c r="P3687" s="25">
        <f>IFERROR(INDEX(Produtos!$D$2:$D$71,MATCH(C3687,Produtos!$A$2:$A$71,0)),0)</f>
        <v/>
      </c>
      <c r="Q3687" s="25">
        <f>IFERROR(INDEX(Produtos!$E$2:$E$71,MATCH(C3687,Produtos!$A$2:$A$71,0)),0)</f>
        <v/>
      </c>
      <c r="R3687" s="27">
        <f>D3687*Q3687</f>
        <v/>
      </c>
      <c r="S3687" s="27">
        <f>R3687*E3687</f>
        <v/>
      </c>
      <c r="T3687" s="27">
        <f>(R3687-S3687)*M3687</f>
        <v/>
      </c>
      <c r="U3687" s="27">
        <f>R3687-S3687-T3687</f>
        <v/>
      </c>
      <c r="V3687" s="27">
        <f>D3687*P3687</f>
        <v/>
      </c>
      <c r="W3687" s="27">
        <f>U3687-V3687</f>
        <v/>
      </c>
      <c r="X3687" s="28">
        <f>IFERROR(W3687/U3687,0)</f>
        <v/>
      </c>
    </row>
    <row r="3688">
      <c r="A3688" s="21">
        <f>ItensPedido!A3688</f>
        <v/>
      </c>
      <c r="B3688" s="21">
        <f>ItensPedido!B3688</f>
        <v/>
      </c>
      <c r="C3688" s="21">
        <f>ItensPedido!C3688</f>
        <v/>
      </c>
      <c r="D3688" s="21">
        <f>ItensPedido!D3688</f>
        <v/>
      </c>
      <c r="E3688" s="22">
        <f>ItensPedido!E3688</f>
        <v/>
      </c>
      <c r="F3688" s="21">
        <f>IFERROR(INDEX(Pedidos!$B$2:$B$1801,MATCH(B3688,Pedidos!$A$2:$A$1801,0)),0)</f>
        <v/>
      </c>
      <c r="G3688" s="21">
        <f>IF(F3688=0,"",YEAR(F3688))</f>
        <v/>
      </c>
      <c r="H3688" s="21">
        <f>IF(F3688=0,"",MONTH(F3688))</f>
        <v/>
      </c>
      <c r="I3688" s="21">
        <f>IFERROR(INDEX(Pedidos!$E$2:$E$1801,MATCH(B3688,Pedidos!$A$2:$A$1801,0)),"")</f>
        <v/>
      </c>
      <c r="J3688" s="21">
        <f>IFERROR(INDEX(Pedidos!$C$2:$C$1801,MATCH(B3688,Pedidos!$A$2:$A$1801,0)),"")</f>
        <v/>
      </c>
      <c r="K3688" s="21">
        <f>IFERROR(INDEX(Pedidos!$D$2:$D$1801,MATCH(B3688,Pedidos!$A$2:$A$1801,0)),"")</f>
        <v/>
      </c>
      <c r="L3688" s="21">
        <f>IFERROR(INDEX(Pedidos!$F$2:$F$1801,MATCH(B3688,Pedidos!$A$2:$A$1801,0)),"")</f>
        <v/>
      </c>
      <c r="M3688" s="22">
        <f>IFERROR(INDEX(Pedidos!$G$2:$G$1801,MATCH(B3688,Pedidos!$A$2:$A$1801,0)),0)</f>
        <v/>
      </c>
      <c r="N3688" s="21">
        <f>IFERROR(INDEX(Produtos!$B$2:$B$71,MATCH(C3688,Produtos!$A$2:$A$71,0)),"")</f>
        <v/>
      </c>
      <c r="O3688" s="21">
        <f>IFERROR(INDEX(Produtos!$C$2:$C$71,MATCH(C3688,Produtos!$A$2:$A$71,0)),"")</f>
        <v/>
      </c>
      <c r="P3688" s="21">
        <f>IFERROR(INDEX(Produtos!$D$2:$D$71,MATCH(C3688,Produtos!$A$2:$A$71,0)),0)</f>
        <v/>
      </c>
      <c r="Q3688" s="21">
        <f>IFERROR(INDEX(Produtos!$E$2:$E$71,MATCH(C3688,Produtos!$A$2:$A$71,0)),0)</f>
        <v/>
      </c>
      <c r="R3688" s="23">
        <f>D3688*Q3688</f>
        <v/>
      </c>
      <c r="S3688" s="23">
        <f>R3688*E3688</f>
        <v/>
      </c>
      <c r="T3688" s="23">
        <f>(R3688-S3688)*M3688</f>
        <v/>
      </c>
      <c r="U3688" s="23">
        <f>R3688-S3688-T3688</f>
        <v/>
      </c>
      <c r="V3688" s="23">
        <f>D3688*P3688</f>
        <v/>
      </c>
      <c r="W3688" s="23">
        <f>U3688-V3688</f>
        <v/>
      </c>
      <c r="X3688" s="24">
        <f>IFERROR(W3688/U3688,0)</f>
        <v/>
      </c>
    </row>
    <row r="3689">
      <c r="A3689" s="25">
        <f>ItensPedido!A3689</f>
        <v/>
      </c>
      <c r="B3689" s="25">
        <f>ItensPedido!B3689</f>
        <v/>
      </c>
      <c r="C3689" s="25">
        <f>ItensPedido!C3689</f>
        <v/>
      </c>
      <c r="D3689" s="25">
        <f>ItensPedido!D3689</f>
        <v/>
      </c>
      <c r="E3689" s="26">
        <f>ItensPedido!E3689</f>
        <v/>
      </c>
      <c r="F3689" s="25">
        <f>IFERROR(INDEX(Pedidos!$B$2:$B$1801,MATCH(B3689,Pedidos!$A$2:$A$1801,0)),0)</f>
        <v/>
      </c>
      <c r="G3689" s="25">
        <f>IF(F3689=0,"",YEAR(F3689))</f>
        <v/>
      </c>
      <c r="H3689" s="25">
        <f>IF(F3689=0,"",MONTH(F3689))</f>
        <v/>
      </c>
      <c r="I3689" s="25">
        <f>IFERROR(INDEX(Pedidos!$E$2:$E$1801,MATCH(B3689,Pedidos!$A$2:$A$1801,0)),"")</f>
        <v/>
      </c>
      <c r="J3689" s="25">
        <f>IFERROR(INDEX(Pedidos!$C$2:$C$1801,MATCH(B3689,Pedidos!$A$2:$A$1801,0)),"")</f>
        <v/>
      </c>
      <c r="K3689" s="25">
        <f>IFERROR(INDEX(Pedidos!$D$2:$D$1801,MATCH(B3689,Pedidos!$A$2:$A$1801,0)),"")</f>
        <v/>
      </c>
      <c r="L3689" s="25">
        <f>IFERROR(INDEX(Pedidos!$F$2:$F$1801,MATCH(B3689,Pedidos!$A$2:$A$1801,0)),"")</f>
        <v/>
      </c>
      <c r="M3689" s="26">
        <f>IFERROR(INDEX(Pedidos!$G$2:$G$1801,MATCH(B3689,Pedidos!$A$2:$A$1801,0)),0)</f>
        <v/>
      </c>
      <c r="N3689" s="25">
        <f>IFERROR(INDEX(Produtos!$B$2:$B$71,MATCH(C3689,Produtos!$A$2:$A$71,0)),"")</f>
        <v/>
      </c>
      <c r="O3689" s="25">
        <f>IFERROR(INDEX(Produtos!$C$2:$C$71,MATCH(C3689,Produtos!$A$2:$A$71,0)),"")</f>
        <v/>
      </c>
      <c r="P3689" s="25">
        <f>IFERROR(INDEX(Produtos!$D$2:$D$71,MATCH(C3689,Produtos!$A$2:$A$71,0)),0)</f>
        <v/>
      </c>
      <c r="Q3689" s="25">
        <f>IFERROR(INDEX(Produtos!$E$2:$E$71,MATCH(C3689,Produtos!$A$2:$A$71,0)),0)</f>
        <v/>
      </c>
      <c r="R3689" s="27">
        <f>D3689*Q3689</f>
        <v/>
      </c>
      <c r="S3689" s="27">
        <f>R3689*E3689</f>
        <v/>
      </c>
      <c r="T3689" s="27">
        <f>(R3689-S3689)*M3689</f>
        <v/>
      </c>
      <c r="U3689" s="27">
        <f>R3689-S3689-T3689</f>
        <v/>
      </c>
      <c r="V3689" s="27">
        <f>D3689*P3689</f>
        <v/>
      </c>
      <c r="W3689" s="27">
        <f>U3689-V3689</f>
        <v/>
      </c>
      <c r="X3689" s="28">
        <f>IFERROR(W3689/U3689,0)</f>
        <v/>
      </c>
    </row>
    <row r="3690">
      <c r="A3690" s="21">
        <f>ItensPedido!A3690</f>
        <v/>
      </c>
      <c r="B3690" s="21">
        <f>ItensPedido!B3690</f>
        <v/>
      </c>
      <c r="C3690" s="21">
        <f>ItensPedido!C3690</f>
        <v/>
      </c>
      <c r="D3690" s="21">
        <f>ItensPedido!D3690</f>
        <v/>
      </c>
      <c r="E3690" s="22">
        <f>ItensPedido!E3690</f>
        <v/>
      </c>
      <c r="F3690" s="21">
        <f>IFERROR(INDEX(Pedidos!$B$2:$B$1801,MATCH(B3690,Pedidos!$A$2:$A$1801,0)),0)</f>
        <v/>
      </c>
      <c r="G3690" s="21">
        <f>IF(F3690=0,"",YEAR(F3690))</f>
        <v/>
      </c>
      <c r="H3690" s="21">
        <f>IF(F3690=0,"",MONTH(F3690))</f>
        <v/>
      </c>
      <c r="I3690" s="21">
        <f>IFERROR(INDEX(Pedidos!$E$2:$E$1801,MATCH(B3690,Pedidos!$A$2:$A$1801,0)),"")</f>
        <v/>
      </c>
      <c r="J3690" s="21">
        <f>IFERROR(INDEX(Pedidos!$C$2:$C$1801,MATCH(B3690,Pedidos!$A$2:$A$1801,0)),"")</f>
        <v/>
      </c>
      <c r="K3690" s="21">
        <f>IFERROR(INDEX(Pedidos!$D$2:$D$1801,MATCH(B3690,Pedidos!$A$2:$A$1801,0)),"")</f>
        <v/>
      </c>
      <c r="L3690" s="21">
        <f>IFERROR(INDEX(Pedidos!$F$2:$F$1801,MATCH(B3690,Pedidos!$A$2:$A$1801,0)),"")</f>
        <v/>
      </c>
      <c r="M3690" s="22">
        <f>IFERROR(INDEX(Pedidos!$G$2:$G$1801,MATCH(B3690,Pedidos!$A$2:$A$1801,0)),0)</f>
        <v/>
      </c>
      <c r="N3690" s="21">
        <f>IFERROR(INDEX(Produtos!$B$2:$B$71,MATCH(C3690,Produtos!$A$2:$A$71,0)),"")</f>
        <v/>
      </c>
      <c r="O3690" s="21">
        <f>IFERROR(INDEX(Produtos!$C$2:$C$71,MATCH(C3690,Produtos!$A$2:$A$71,0)),"")</f>
        <v/>
      </c>
      <c r="P3690" s="21">
        <f>IFERROR(INDEX(Produtos!$D$2:$D$71,MATCH(C3690,Produtos!$A$2:$A$71,0)),0)</f>
        <v/>
      </c>
      <c r="Q3690" s="21">
        <f>IFERROR(INDEX(Produtos!$E$2:$E$71,MATCH(C3690,Produtos!$A$2:$A$71,0)),0)</f>
        <v/>
      </c>
      <c r="R3690" s="23">
        <f>D3690*Q3690</f>
        <v/>
      </c>
      <c r="S3690" s="23">
        <f>R3690*E3690</f>
        <v/>
      </c>
      <c r="T3690" s="23">
        <f>(R3690-S3690)*M3690</f>
        <v/>
      </c>
      <c r="U3690" s="23">
        <f>R3690-S3690-T3690</f>
        <v/>
      </c>
      <c r="V3690" s="23">
        <f>D3690*P3690</f>
        <v/>
      </c>
      <c r="W3690" s="23">
        <f>U3690-V3690</f>
        <v/>
      </c>
      <c r="X3690" s="24">
        <f>IFERROR(W3690/U3690,0)</f>
        <v/>
      </c>
    </row>
    <row r="3691">
      <c r="A3691" s="25">
        <f>ItensPedido!A3691</f>
        <v/>
      </c>
      <c r="B3691" s="25">
        <f>ItensPedido!B3691</f>
        <v/>
      </c>
      <c r="C3691" s="25">
        <f>ItensPedido!C3691</f>
        <v/>
      </c>
      <c r="D3691" s="25">
        <f>ItensPedido!D3691</f>
        <v/>
      </c>
      <c r="E3691" s="26">
        <f>ItensPedido!E3691</f>
        <v/>
      </c>
      <c r="F3691" s="25">
        <f>IFERROR(INDEX(Pedidos!$B$2:$B$1801,MATCH(B3691,Pedidos!$A$2:$A$1801,0)),0)</f>
        <v/>
      </c>
      <c r="G3691" s="25">
        <f>IF(F3691=0,"",YEAR(F3691))</f>
        <v/>
      </c>
      <c r="H3691" s="25">
        <f>IF(F3691=0,"",MONTH(F3691))</f>
        <v/>
      </c>
      <c r="I3691" s="25">
        <f>IFERROR(INDEX(Pedidos!$E$2:$E$1801,MATCH(B3691,Pedidos!$A$2:$A$1801,0)),"")</f>
        <v/>
      </c>
      <c r="J3691" s="25">
        <f>IFERROR(INDEX(Pedidos!$C$2:$C$1801,MATCH(B3691,Pedidos!$A$2:$A$1801,0)),"")</f>
        <v/>
      </c>
      <c r="K3691" s="25">
        <f>IFERROR(INDEX(Pedidos!$D$2:$D$1801,MATCH(B3691,Pedidos!$A$2:$A$1801,0)),"")</f>
        <v/>
      </c>
      <c r="L3691" s="25">
        <f>IFERROR(INDEX(Pedidos!$F$2:$F$1801,MATCH(B3691,Pedidos!$A$2:$A$1801,0)),"")</f>
        <v/>
      </c>
      <c r="M3691" s="26">
        <f>IFERROR(INDEX(Pedidos!$G$2:$G$1801,MATCH(B3691,Pedidos!$A$2:$A$1801,0)),0)</f>
        <v/>
      </c>
      <c r="N3691" s="25">
        <f>IFERROR(INDEX(Produtos!$B$2:$B$71,MATCH(C3691,Produtos!$A$2:$A$71,0)),"")</f>
        <v/>
      </c>
      <c r="O3691" s="25">
        <f>IFERROR(INDEX(Produtos!$C$2:$C$71,MATCH(C3691,Produtos!$A$2:$A$71,0)),"")</f>
        <v/>
      </c>
      <c r="P3691" s="25">
        <f>IFERROR(INDEX(Produtos!$D$2:$D$71,MATCH(C3691,Produtos!$A$2:$A$71,0)),0)</f>
        <v/>
      </c>
      <c r="Q3691" s="25">
        <f>IFERROR(INDEX(Produtos!$E$2:$E$71,MATCH(C3691,Produtos!$A$2:$A$71,0)),0)</f>
        <v/>
      </c>
      <c r="R3691" s="27">
        <f>D3691*Q3691</f>
        <v/>
      </c>
      <c r="S3691" s="27">
        <f>R3691*E3691</f>
        <v/>
      </c>
      <c r="T3691" s="27">
        <f>(R3691-S3691)*M3691</f>
        <v/>
      </c>
      <c r="U3691" s="27">
        <f>R3691-S3691-T3691</f>
        <v/>
      </c>
      <c r="V3691" s="27">
        <f>D3691*P3691</f>
        <v/>
      </c>
      <c r="W3691" s="27">
        <f>U3691-V3691</f>
        <v/>
      </c>
      <c r="X3691" s="28">
        <f>IFERROR(W3691/U3691,0)</f>
        <v/>
      </c>
    </row>
    <row r="3692">
      <c r="A3692" s="21">
        <f>ItensPedido!A3692</f>
        <v/>
      </c>
      <c r="B3692" s="21">
        <f>ItensPedido!B3692</f>
        <v/>
      </c>
      <c r="C3692" s="21">
        <f>ItensPedido!C3692</f>
        <v/>
      </c>
      <c r="D3692" s="21">
        <f>ItensPedido!D3692</f>
        <v/>
      </c>
      <c r="E3692" s="22">
        <f>ItensPedido!E3692</f>
        <v/>
      </c>
      <c r="F3692" s="21">
        <f>IFERROR(INDEX(Pedidos!$B$2:$B$1801,MATCH(B3692,Pedidos!$A$2:$A$1801,0)),0)</f>
        <v/>
      </c>
      <c r="G3692" s="21">
        <f>IF(F3692=0,"",YEAR(F3692))</f>
        <v/>
      </c>
      <c r="H3692" s="21">
        <f>IF(F3692=0,"",MONTH(F3692))</f>
        <v/>
      </c>
      <c r="I3692" s="21">
        <f>IFERROR(INDEX(Pedidos!$E$2:$E$1801,MATCH(B3692,Pedidos!$A$2:$A$1801,0)),"")</f>
        <v/>
      </c>
      <c r="J3692" s="21">
        <f>IFERROR(INDEX(Pedidos!$C$2:$C$1801,MATCH(B3692,Pedidos!$A$2:$A$1801,0)),"")</f>
        <v/>
      </c>
      <c r="K3692" s="21">
        <f>IFERROR(INDEX(Pedidos!$D$2:$D$1801,MATCH(B3692,Pedidos!$A$2:$A$1801,0)),"")</f>
        <v/>
      </c>
      <c r="L3692" s="21">
        <f>IFERROR(INDEX(Pedidos!$F$2:$F$1801,MATCH(B3692,Pedidos!$A$2:$A$1801,0)),"")</f>
        <v/>
      </c>
      <c r="M3692" s="22">
        <f>IFERROR(INDEX(Pedidos!$G$2:$G$1801,MATCH(B3692,Pedidos!$A$2:$A$1801,0)),0)</f>
        <v/>
      </c>
      <c r="N3692" s="21">
        <f>IFERROR(INDEX(Produtos!$B$2:$B$71,MATCH(C3692,Produtos!$A$2:$A$71,0)),"")</f>
        <v/>
      </c>
      <c r="O3692" s="21">
        <f>IFERROR(INDEX(Produtos!$C$2:$C$71,MATCH(C3692,Produtos!$A$2:$A$71,0)),"")</f>
        <v/>
      </c>
      <c r="P3692" s="21">
        <f>IFERROR(INDEX(Produtos!$D$2:$D$71,MATCH(C3692,Produtos!$A$2:$A$71,0)),0)</f>
        <v/>
      </c>
      <c r="Q3692" s="21">
        <f>IFERROR(INDEX(Produtos!$E$2:$E$71,MATCH(C3692,Produtos!$A$2:$A$71,0)),0)</f>
        <v/>
      </c>
      <c r="R3692" s="23">
        <f>D3692*Q3692</f>
        <v/>
      </c>
      <c r="S3692" s="23">
        <f>R3692*E3692</f>
        <v/>
      </c>
      <c r="T3692" s="23">
        <f>(R3692-S3692)*M3692</f>
        <v/>
      </c>
      <c r="U3692" s="23">
        <f>R3692-S3692-T3692</f>
        <v/>
      </c>
      <c r="V3692" s="23">
        <f>D3692*P3692</f>
        <v/>
      </c>
      <c r="W3692" s="23">
        <f>U3692-V3692</f>
        <v/>
      </c>
      <c r="X3692" s="24">
        <f>IFERROR(W3692/U3692,0)</f>
        <v/>
      </c>
    </row>
    <row r="3693">
      <c r="A3693" s="25">
        <f>ItensPedido!A3693</f>
        <v/>
      </c>
      <c r="B3693" s="25">
        <f>ItensPedido!B3693</f>
        <v/>
      </c>
      <c r="C3693" s="25">
        <f>ItensPedido!C3693</f>
        <v/>
      </c>
      <c r="D3693" s="25">
        <f>ItensPedido!D3693</f>
        <v/>
      </c>
      <c r="E3693" s="26">
        <f>ItensPedido!E3693</f>
        <v/>
      </c>
      <c r="F3693" s="25">
        <f>IFERROR(INDEX(Pedidos!$B$2:$B$1801,MATCH(B3693,Pedidos!$A$2:$A$1801,0)),0)</f>
        <v/>
      </c>
      <c r="G3693" s="25">
        <f>IF(F3693=0,"",YEAR(F3693))</f>
        <v/>
      </c>
      <c r="H3693" s="25">
        <f>IF(F3693=0,"",MONTH(F3693))</f>
        <v/>
      </c>
      <c r="I3693" s="25">
        <f>IFERROR(INDEX(Pedidos!$E$2:$E$1801,MATCH(B3693,Pedidos!$A$2:$A$1801,0)),"")</f>
        <v/>
      </c>
      <c r="J3693" s="25">
        <f>IFERROR(INDEX(Pedidos!$C$2:$C$1801,MATCH(B3693,Pedidos!$A$2:$A$1801,0)),"")</f>
        <v/>
      </c>
      <c r="K3693" s="25">
        <f>IFERROR(INDEX(Pedidos!$D$2:$D$1801,MATCH(B3693,Pedidos!$A$2:$A$1801,0)),"")</f>
        <v/>
      </c>
      <c r="L3693" s="25">
        <f>IFERROR(INDEX(Pedidos!$F$2:$F$1801,MATCH(B3693,Pedidos!$A$2:$A$1801,0)),"")</f>
        <v/>
      </c>
      <c r="M3693" s="26">
        <f>IFERROR(INDEX(Pedidos!$G$2:$G$1801,MATCH(B3693,Pedidos!$A$2:$A$1801,0)),0)</f>
        <v/>
      </c>
      <c r="N3693" s="25">
        <f>IFERROR(INDEX(Produtos!$B$2:$B$71,MATCH(C3693,Produtos!$A$2:$A$71,0)),"")</f>
        <v/>
      </c>
      <c r="O3693" s="25">
        <f>IFERROR(INDEX(Produtos!$C$2:$C$71,MATCH(C3693,Produtos!$A$2:$A$71,0)),"")</f>
        <v/>
      </c>
      <c r="P3693" s="25">
        <f>IFERROR(INDEX(Produtos!$D$2:$D$71,MATCH(C3693,Produtos!$A$2:$A$71,0)),0)</f>
        <v/>
      </c>
      <c r="Q3693" s="25">
        <f>IFERROR(INDEX(Produtos!$E$2:$E$71,MATCH(C3693,Produtos!$A$2:$A$71,0)),0)</f>
        <v/>
      </c>
      <c r="R3693" s="27">
        <f>D3693*Q3693</f>
        <v/>
      </c>
      <c r="S3693" s="27">
        <f>R3693*E3693</f>
        <v/>
      </c>
      <c r="T3693" s="27">
        <f>(R3693-S3693)*M3693</f>
        <v/>
      </c>
      <c r="U3693" s="27">
        <f>R3693-S3693-T3693</f>
        <v/>
      </c>
      <c r="V3693" s="27">
        <f>D3693*P3693</f>
        <v/>
      </c>
      <c r="W3693" s="27">
        <f>U3693-V3693</f>
        <v/>
      </c>
      <c r="X3693" s="28">
        <f>IFERROR(W3693/U3693,0)</f>
        <v/>
      </c>
    </row>
    <row r="3694">
      <c r="A3694" s="21">
        <f>ItensPedido!A3694</f>
        <v/>
      </c>
      <c r="B3694" s="21">
        <f>ItensPedido!B3694</f>
        <v/>
      </c>
      <c r="C3694" s="21">
        <f>ItensPedido!C3694</f>
        <v/>
      </c>
      <c r="D3694" s="21">
        <f>ItensPedido!D3694</f>
        <v/>
      </c>
      <c r="E3694" s="22">
        <f>ItensPedido!E3694</f>
        <v/>
      </c>
      <c r="F3694" s="21">
        <f>IFERROR(INDEX(Pedidos!$B$2:$B$1801,MATCH(B3694,Pedidos!$A$2:$A$1801,0)),0)</f>
        <v/>
      </c>
      <c r="G3694" s="21">
        <f>IF(F3694=0,"",YEAR(F3694))</f>
        <v/>
      </c>
      <c r="H3694" s="21">
        <f>IF(F3694=0,"",MONTH(F3694))</f>
        <v/>
      </c>
      <c r="I3694" s="21">
        <f>IFERROR(INDEX(Pedidos!$E$2:$E$1801,MATCH(B3694,Pedidos!$A$2:$A$1801,0)),"")</f>
        <v/>
      </c>
      <c r="J3694" s="21">
        <f>IFERROR(INDEX(Pedidos!$C$2:$C$1801,MATCH(B3694,Pedidos!$A$2:$A$1801,0)),"")</f>
        <v/>
      </c>
      <c r="K3694" s="21">
        <f>IFERROR(INDEX(Pedidos!$D$2:$D$1801,MATCH(B3694,Pedidos!$A$2:$A$1801,0)),"")</f>
        <v/>
      </c>
      <c r="L3694" s="21">
        <f>IFERROR(INDEX(Pedidos!$F$2:$F$1801,MATCH(B3694,Pedidos!$A$2:$A$1801,0)),"")</f>
        <v/>
      </c>
      <c r="M3694" s="22">
        <f>IFERROR(INDEX(Pedidos!$G$2:$G$1801,MATCH(B3694,Pedidos!$A$2:$A$1801,0)),0)</f>
        <v/>
      </c>
      <c r="N3694" s="21">
        <f>IFERROR(INDEX(Produtos!$B$2:$B$71,MATCH(C3694,Produtos!$A$2:$A$71,0)),"")</f>
        <v/>
      </c>
      <c r="O3694" s="21">
        <f>IFERROR(INDEX(Produtos!$C$2:$C$71,MATCH(C3694,Produtos!$A$2:$A$71,0)),"")</f>
        <v/>
      </c>
      <c r="P3694" s="21">
        <f>IFERROR(INDEX(Produtos!$D$2:$D$71,MATCH(C3694,Produtos!$A$2:$A$71,0)),0)</f>
        <v/>
      </c>
      <c r="Q3694" s="21">
        <f>IFERROR(INDEX(Produtos!$E$2:$E$71,MATCH(C3694,Produtos!$A$2:$A$71,0)),0)</f>
        <v/>
      </c>
      <c r="R3694" s="23">
        <f>D3694*Q3694</f>
        <v/>
      </c>
      <c r="S3694" s="23">
        <f>R3694*E3694</f>
        <v/>
      </c>
      <c r="T3694" s="23">
        <f>(R3694-S3694)*M3694</f>
        <v/>
      </c>
      <c r="U3694" s="23">
        <f>R3694-S3694-T3694</f>
        <v/>
      </c>
      <c r="V3694" s="23">
        <f>D3694*P3694</f>
        <v/>
      </c>
      <c r="W3694" s="23">
        <f>U3694-V3694</f>
        <v/>
      </c>
      <c r="X3694" s="24">
        <f>IFERROR(W3694/U3694,0)</f>
        <v/>
      </c>
    </row>
    <row r="3695">
      <c r="A3695" s="25">
        <f>ItensPedido!A3695</f>
        <v/>
      </c>
      <c r="B3695" s="25">
        <f>ItensPedido!B3695</f>
        <v/>
      </c>
      <c r="C3695" s="25">
        <f>ItensPedido!C3695</f>
        <v/>
      </c>
      <c r="D3695" s="25">
        <f>ItensPedido!D3695</f>
        <v/>
      </c>
      <c r="E3695" s="26">
        <f>ItensPedido!E3695</f>
        <v/>
      </c>
      <c r="F3695" s="25">
        <f>IFERROR(INDEX(Pedidos!$B$2:$B$1801,MATCH(B3695,Pedidos!$A$2:$A$1801,0)),0)</f>
        <v/>
      </c>
      <c r="G3695" s="25">
        <f>IF(F3695=0,"",YEAR(F3695))</f>
        <v/>
      </c>
      <c r="H3695" s="25">
        <f>IF(F3695=0,"",MONTH(F3695))</f>
        <v/>
      </c>
      <c r="I3695" s="25">
        <f>IFERROR(INDEX(Pedidos!$E$2:$E$1801,MATCH(B3695,Pedidos!$A$2:$A$1801,0)),"")</f>
        <v/>
      </c>
      <c r="J3695" s="25">
        <f>IFERROR(INDEX(Pedidos!$C$2:$C$1801,MATCH(B3695,Pedidos!$A$2:$A$1801,0)),"")</f>
        <v/>
      </c>
      <c r="K3695" s="25">
        <f>IFERROR(INDEX(Pedidos!$D$2:$D$1801,MATCH(B3695,Pedidos!$A$2:$A$1801,0)),"")</f>
        <v/>
      </c>
      <c r="L3695" s="25">
        <f>IFERROR(INDEX(Pedidos!$F$2:$F$1801,MATCH(B3695,Pedidos!$A$2:$A$1801,0)),"")</f>
        <v/>
      </c>
      <c r="M3695" s="26">
        <f>IFERROR(INDEX(Pedidos!$G$2:$G$1801,MATCH(B3695,Pedidos!$A$2:$A$1801,0)),0)</f>
        <v/>
      </c>
      <c r="N3695" s="25">
        <f>IFERROR(INDEX(Produtos!$B$2:$B$71,MATCH(C3695,Produtos!$A$2:$A$71,0)),"")</f>
        <v/>
      </c>
      <c r="O3695" s="25">
        <f>IFERROR(INDEX(Produtos!$C$2:$C$71,MATCH(C3695,Produtos!$A$2:$A$71,0)),"")</f>
        <v/>
      </c>
      <c r="P3695" s="25">
        <f>IFERROR(INDEX(Produtos!$D$2:$D$71,MATCH(C3695,Produtos!$A$2:$A$71,0)),0)</f>
        <v/>
      </c>
      <c r="Q3695" s="25">
        <f>IFERROR(INDEX(Produtos!$E$2:$E$71,MATCH(C3695,Produtos!$A$2:$A$71,0)),0)</f>
        <v/>
      </c>
      <c r="R3695" s="27">
        <f>D3695*Q3695</f>
        <v/>
      </c>
      <c r="S3695" s="27">
        <f>R3695*E3695</f>
        <v/>
      </c>
      <c r="T3695" s="27">
        <f>(R3695-S3695)*M3695</f>
        <v/>
      </c>
      <c r="U3695" s="27">
        <f>R3695-S3695-T3695</f>
        <v/>
      </c>
      <c r="V3695" s="27">
        <f>D3695*P3695</f>
        <v/>
      </c>
      <c r="W3695" s="27">
        <f>U3695-V3695</f>
        <v/>
      </c>
      <c r="X3695" s="28">
        <f>IFERROR(W3695/U3695,0)</f>
        <v/>
      </c>
    </row>
    <row r="3696">
      <c r="A3696" s="21">
        <f>ItensPedido!A3696</f>
        <v/>
      </c>
      <c r="B3696" s="21">
        <f>ItensPedido!B3696</f>
        <v/>
      </c>
      <c r="C3696" s="21">
        <f>ItensPedido!C3696</f>
        <v/>
      </c>
      <c r="D3696" s="21">
        <f>ItensPedido!D3696</f>
        <v/>
      </c>
      <c r="E3696" s="22">
        <f>ItensPedido!E3696</f>
        <v/>
      </c>
      <c r="F3696" s="21">
        <f>IFERROR(INDEX(Pedidos!$B$2:$B$1801,MATCH(B3696,Pedidos!$A$2:$A$1801,0)),0)</f>
        <v/>
      </c>
      <c r="G3696" s="21">
        <f>IF(F3696=0,"",YEAR(F3696))</f>
        <v/>
      </c>
      <c r="H3696" s="21">
        <f>IF(F3696=0,"",MONTH(F3696))</f>
        <v/>
      </c>
      <c r="I3696" s="21">
        <f>IFERROR(INDEX(Pedidos!$E$2:$E$1801,MATCH(B3696,Pedidos!$A$2:$A$1801,0)),"")</f>
        <v/>
      </c>
      <c r="J3696" s="21">
        <f>IFERROR(INDEX(Pedidos!$C$2:$C$1801,MATCH(B3696,Pedidos!$A$2:$A$1801,0)),"")</f>
        <v/>
      </c>
      <c r="K3696" s="21">
        <f>IFERROR(INDEX(Pedidos!$D$2:$D$1801,MATCH(B3696,Pedidos!$A$2:$A$1801,0)),"")</f>
        <v/>
      </c>
      <c r="L3696" s="21">
        <f>IFERROR(INDEX(Pedidos!$F$2:$F$1801,MATCH(B3696,Pedidos!$A$2:$A$1801,0)),"")</f>
        <v/>
      </c>
      <c r="M3696" s="22">
        <f>IFERROR(INDEX(Pedidos!$G$2:$G$1801,MATCH(B3696,Pedidos!$A$2:$A$1801,0)),0)</f>
        <v/>
      </c>
      <c r="N3696" s="21">
        <f>IFERROR(INDEX(Produtos!$B$2:$B$71,MATCH(C3696,Produtos!$A$2:$A$71,0)),"")</f>
        <v/>
      </c>
      <c r="O3696" s="21">
        <f>IFERROR(INDEX(Produtos!$C$2:$C$71,MATCH(C3696,Produtos!$A$2:$A$71,0)),"")</f>
        <v/>
      </c>
      <c r="P3696" s="21">
        <f>IFERROR(INDEX(Produtos!$D$2:$D$71,MATCH(C3696,Produtos!$A$2:$A$71,0)),0)</f>
        <v/>
      </c>
      <c r="Q3696" s="21">
        <f>IFERROR(INDEX(Produtos!$E$2:$E$71,MATCH(C3696,Produtos!$A$2:$A$71,0)),0)</f>
        <v/>
      </c>
      <c r="R3696" s="23">
        <f>D3696*Q3696</f>
        <v/>
      </c>
      <c r="S3696" s="23">
        <f>R3696*E3696</f>
        <v/>
      </c>
      <c r="T3696" s="23">
        <f>(R3696-S3696)*M3696</f>
        <v/>
      </c>
      <c r="U3696" s="23">
        <f>R3696-S3696-T3696</f>
        <v/>
      </c>
      <c r="V3696" s="23">
        <f>D3696*P3696</f>
        <v/>
      </c>
      <c r="W3696" s="23">
        <f>U3696-V3696</f>
        <v/>
      </c>
      <c r="X3696" s="24">
        <f>IFERROR(W3696/U3696,0)</f>
        <v/>
      </c>
    </row>
    <row r="3697">
      <c r="A3697" s="25">
        <f>ItensPedido!A3697</f>
        <v/>
      </c>
      <c r="B3697" s="25">
        <f>ItensPedido!B3697</f>
        <v/>
      </c>
      <c r="C3697" s="25">
        <f>ItensPedido!C3697</f>
        <v/>
      </c>
      <c r="D3697" s="25">
        <f>ItensPedido!D3697</f>
        <v/>
      </c>
      <c r="E3697" s="26">
        <f>ItensPedido!E3697</f>
        <v/>
      </c>
      <c r="F3697" s="25">
        <f>IFERROR(INDEX(Pedidos!$B$2:$B$1801,MATCH(B3697,Pedidos!$A$2:$A$1801,0)),0)</f>
        <v/>
      </c>
      <c r="G3697" s="25">
        <f>IF(F3697=0,"",YEAR(F3697))</f>
        <v/>
      </c>
      <c r="H3697" s="25">
        <f>IF(F3697=0,"",MONTH(F3697))</f>
        <v/>
      </c>
      <c r="I3697" s="25">
        <f>IFERROR(INDEX(Pedidos!$E$2:$E$1801,MATCH(B3697,Pedidos!$A$2:$A$1801,0)),"")</f>
        <v/>
      </c>
      <c r="J3697" s="25">
        <f>IFERROR(INDEX(Pedidos!$C$2:$C$1801,MATCH(B3697,Pedidos!$A$2:$A$1801,0)),"")</f>
        <v/>
      </c>
      <c r="K3697" s="25">
        <f>IFERROR(INDEX(Pedidos!$D$2:$D$1801,MATCH(B3697,Pedidos!$A$2:$A$1801,0)),"")</f>
        <v/>
      </c>
      <c r="L3697" s="25">
        <f>IFERROR(INDEX(Pedidos!$F$2:$F$1801,MATCH(B3697,Pedidos!$A$2:$A$1801,0)),"")</f>
        <v/>
      </c>
      <c r="M3697" s="26">
        <f>IFERROR(INDEX(Pedidos!$G$2:$G$1801,MATCH(B3697,Pedidos!$A$2:$A$1801,0)),0)</f>
        <v/>
      </c>
      <c r="N3697" s="25">
        <f>IFERROR(INDEX(Produtos!$B$2:$B$71,MATCH(C3697,Produtos!$A$2:$A$71,0)),"")</f>
        <v/>
      </c>
      <c r="O3697" s="25">
        <f>IFERROR(INDEX(Produtos!$C$2:$C$71,MATCH(C3697,Produtos!$A$2:$A$71,0)),"")</f>
        <v/>
      </c>
      <c r="P3697" s="25">
        <f>IFERROR(INDEX(Produtos!$D$2:$D$71,MATCH(C3697,Produtos!$A$2:$A$71,0)),0)</f>
        <v/>
      </c>
      <c r="Q3697" s="25">
        <f>IFERROR(INDEX(Produtos!$E$2:$E$71,MATCH(C3697,Produtos!$A$2:$A$71,0)),0)</f>
        <v/>
      </c>
      <c r="R3697" s="27">
        <f>D3697*Q3697</f>
        <v/>
      </c>
      <c r="S3697" s="27">
        <f>R3697*E3697</f>
        <v/>
      </c>
      <c r="T3697" s="27">
        <f>(R3697-S3697)*M3697</f>
        <v/>
      </c>
      <c r="U3697" s="27">
        <f>R3697-S3697-T3697</f>
        <v/>
      </c>
      <c r="V3697" s="27">
        <f>D3697*P3697</f>
        <v/>
      </c>
      <c r="W3697" s="27">
        <f>U3697-V3697</f>
        <v/>
      </c>
      <c r="X3697" s="28">
        <f>IFERROR(W3697/U3697,0)</f>
        <v/>
      </c>
    </row>
    <row r="3698">
      <c r="A3698" s="21">
        <f>ItensPedido!A3698</f>
        <v/>
      </c>
      <c r="B3698" s="21">
        <f>ItensPedido!B3698</f>
        <v/>
      </c>
      <c r="C3698" s="21">
        <f>ItensPedido!C3698</f>
        <v/>
      </c>
      <c r="D3698" s="21">
        <f>ItensPedido!D3698</f>
        <v/>
      </c>
      <c r="E3698" s="22">
        <f>ItensPedido!E3698</f>
        <v/>
      </c>
      <c r="F3698" s="21">
        <f>IFERROR(INDEX(Pedidos!$B$2:$B$1801,MATCH(B3698,Pedidos!$A$2:$A$1801,0)),0)</f>
        <v/>
      </c>
      <c r="G3698" s="21">
        <f>IF(F3698=0,"",YEAR(F3698))</f>
        <v/>
      </c>
      <c r="H3698" s="21">
        <f>IF(F3698=0,"",MONTH(F3698))</f>
        <v/>
      </c>
      <c r="I3698" s="21">
        <f>IFERROR(INDEX(Pedidos!$E$2:$E$1801,MATCH(B3698,Pedidos!$A$2:$A$1801,0)),"")</f>
        <v/>
      </c>
      <c r="J3698" s="21">
        <f>IFERROR(INDEX(Pedidos!$C$2:$C$1801,MATCH(B3698,Pedidos!$A$2:$A$1801,0)),"")</f>
        <v/>
      </c>
      <c r="K3698" s="21">
        <f>IFERROR(INDEX(Pedidos!$D$2:$D$1801,MATCH(B3698,Pedidos!$A$2:$A$1801,0)),"")</f>
        <v/>
      </c>
      <c r="L3698" s="21">
        <f>IFERROR(INDEX(Pedidos!$F$2:$F$1801,MATCH(B3698,Pedidos!$A$2:$A$1801,0)),"")</f>
        <v/>
      </c>
      <c r="M3698" s="22">
        <f>IFERROR(INDEX(Pedidos!$G$2:$G$1801,MATCH(B3698,Pedidos!$A$2:$A$1801,0)),0)</f>
        <v/>
      </c>
      <c r="N3698" s="21">
        <f>IFERROR(INDEX(Produtos!$B$2:$B$71,MATCH(C3698,Produtos!$A$2:$A$71,0)),"")</f>
        <v/>
      </c>
      <c r="O3698" s="21">
        <f>IFERROR(INDEX(Produtos!$C$2:$C$71,MATCH(C3698,Produtos!$A$2:$A$71,0)),"")</f>
        <v/>
      </c>
      <c r="P3698" s="21">
        <f>IFERROR(INDEX(Produtos!$D$2:$D$71,MATCH(C3698,Produtos!$A$2:$A$71,0)),0)</f>
        <v/>
      </c>
      <c r="Q3698" s="21">
        <f>IFERROR(INDEX(Produtos!$E$2:$E$71,MATCH(C3698,Produtos!$A$2:$A$71,0)),0)</f>
        <v/>
      </c>
      <c r="R3698" s="23">
        <f>D3698*Q3698</f>
        <v/>
      </c>
      <c r="S3698" s="23">
        <f>R3698*E3698</f>
        <v/>
      </c>
      <c r="T3698" s="23">
        <f>(R3698-S3698)*M3698</f>
        <v/>
      </c>
      <c r="U3698" s="23">
        <f>R3698-S3698-T3698</f>
        <v/>
      </c>
      <c r="V3698" s="23">
        <f>D3698*P3698</f>
        <v/>
      </c>
      <c r="W3698" s="23">
        <f>U3698-V3698</f>
        <v/>
      </c>
      <c r="X3698" s="24">
        <f>IFERROR(W3698/U3698,0)</f>
        <v/>
      </c>
    </row>
    <row r="3699">
      <c r="A3699" s="25">
        <f>ItensPedido!A3699</f>
        <v/>
      </c>
      <c r="B3699" s="25">
        <f>ItensPedido!B3699</f>
        <v/>
      </c>
      <c r="C3699" s="25">
        <f>ItensPedido!C3699</f>
        <v/>
      </c>
      <c r="D3699" s="25">
        <f>ItensPedido!D3699</f>
        <v/>
      </c>
      <c r="E3699" s="26">
        <f>ItensPedido!E3699</f>
        <v/>
      </c>
      <c r="F3699" s="25">
        <f>IFERROR(INDEX(Pedidos!$B$2:$B$1801,MATCH(B3699,Pedidos!$A$2:$A$1801,0)),0)</f>
        <v/>
      </c>
      <c r="G3699" s="25">
        <f>IF(F3699=0,"",YEAR(F3699))</f>
        <v/>
      </c>
      <c r="H3699" s="25">
        <f>IF(F3699=0,"",MONTH(F3699))</f>
        <v/>
      </c>
      <c r="I3699" s="25">
        <f>IFERROR(INDEX(Pedidos!$E$2:$E$1801,MATCH(B3699,Pedidos!$A$2:$A$1801,0)),"")</f>
        <v/>
      </c>
      <c r="J3699" s="25">
        <f>IFERROR(INDEX(Pedidos!$C$2:$C$1801,MATCH(B3699,Pedidos!$A$2:$A$1801,0)),"")</f>
        <v/>
      </c>
      <c r="K3699" s="25">
        <f>IFERROR(INDEX(Pedidos!$D$2:$D$1801,MATCH(B3699,Pedidos!$A$2:$A$1801,0)),"")</f>
        <v/>
      </c>
      <c r="L3699" s="25">
        <f>IFERROR(INDEX(Pedidos!$F$2:$F$1801,MATCH(B3699,Pedidos!$A$2:$A$1801,0)),"")</f>
        <v/>
      </c>
      <c r="M3699" s="26">
        <f>IFERROR(INDEX(Pedidos!$G$2:$G$1801,MATCH(B3699,Pedidos!$A$2:$A$1801,0)),0)</f>
        <v/>
      </c>
      <c r="N3699" s="25">
        <f>IFERROR(INDEX(Produtos!$B$2:$B$71,MATCH(C3699,Produtos!$A$2:$A$71,0)),"")</f>
        <v/>
      </c>
      <c r="O3699" s="25">
        <f>IFERROR(INDEX(Produtos!$C$2:$C$71,MATCH(C3699,Produtos!$A$2:$A$71,0)),"")</f>
        <v/>
      </c>
      <c r="P3699" s="25">
        <f>IFERROR(INDEX(Produtos!$D$2:$D$71,MATCH(C3699,Produtos!$A$2:$A$71,0)),0)</f>
        <v/>
      </c>
      <c r="Q3699" s="25">
        <f>IFERROR(INDEX(Produtos!$E$2:$E$71,MATCH(C3699,Produtos!$A$2:$A$71,0)),0)</f>
        <v/>
      </c>
      <c r="R3699" s="27">
        <f>D3699*Q3699</f>
        <v/>
      </c>
      <c r="S3699" s="27">
        <f>R3699*E3699</f>
        <v/>
      </c>
      <c r="T3699" s="27">
        <f>(R3699-S3699)*M3699</f>
        <v/>
      </c>
      <c r="U3699" s="27">
        <f>R3699-S3699-T3699</f>
        <v/>
      </c>
      <c r="V3699" s="27">
        <f>D3699*P3699</f>
        <v/>
      </c>
      <c r="W3699" s="27">
        <f>U3699-V3699</f>
        <v/>
      </c>
      <c r="X3699" s="28">
        <f>IFERROR(W3699/U3699,0)</f>
        <v/>
      </c>
    </row>
    <row r="3700">
      <c r="A3700" s="21">
        <f>ItensPedido!A3700</f>
        <v/>
      </c>
      <c r="B3700" s="21">
        <f>ItensPedido!B3700</f>
        <v/>
      </c>
      <c r="C3700" s="21">
        <f>ItensPedido!C3700</f>
        <v/>
      </c>
      <c r="D3700" s="21">
        <f>ItensPedido!D3700</f>
        <v/>
      </c>
      <c r="E3700" s="22">
        <f>ItensPedido!E3700</f>
        <v/>
      </c>
      <c r="F3700" s="21">
        <f>IFERROR(INDEX(Pedidos!$B$2:$B$1801,MATCH(B3700,Pedidos!$A$2:$A$1801,0)),0)</f>
        <v/>
      </c>
      <c r="G3700" s="21">
        <f>IF(F3700=0,"",YEAR(F3700))</f>
        <v/>
      </c>
      <c r="H3700" s="21">
        <f>IF(F3700=0,"",MONTH(F3700))</f>
        <v/>
      </c>
      <c r="I3700" s="21">
        <f>IFERROR(INDEX(Pedidos!$E$2:$E$1801,MATCH(B3700,Pedidos!$A$2:$A$1801,0)),"")</f>
        <v/>
      </c>
      <c r="J3700" s="21">
        <f>IFERROR(INDEX(Pedidos!$C$2:$C$1801,MATCH(B3700,Pedidos!$A$2:$A$1801,0)),"")</f>
        <v/>
      </c>
      <c r="K3700" s="21">
        <f>IFERROR(INDEX(Pedidos!$D$2:$D$1801,MATCH(B3700,Pedidos!$A$2:$A$1801,0)),"")</f>
        <v/>
      </c>
      <c r="L3700" s="21">
        <f>IFERROR(INDEX(Pedidos!$F$2:$F$1801,MATCH(B3700,Pedidos!$A$2:$A$1801,0)),"")</f>
        <v/>
      </c>
      <c r="M3700" s="22">
        <f>IFERROR(INDEX(Pedidos!$G$2:$G$1801,MATCH(B3700,Pedidos!$A$2:$A$1801,0)),0)</f>
        <v/>
      </c>
      <c r="N3700" s="21">
        <f>IFERROR(INDEX(Produtos!$B$2:$B$71,MATCH(C3700,Produtos!$A$2:$A$71,0)),"")</f>
        <v/>
      </c>
      <c r="O3700" s="21">
        <f>IFERROR(INDEX(Produtos!$C$2:$C$71,MATCH(C3700,Produtos!$A$2:$A$71,0)),"")</f>
        <v/>
      </c>
      <c r="P3700" s="21">
        <f>IFERROR(INDEX(Produtos!$D$2:$D$71,MATCH(C3700,Produtos!$A$2:$A$71,0)),0)</f>
        <v/>
      </c>
      <c r="Q3700" s="21">
        <f>IFERROR(INDEX(Produtos!$E$2:$E$71,MATCH(C3700,Produtos!$A$2:$A$71,0)),0)</f>
        <v/>
      </c>
      <c r="R3700" s="23">
        <f>D3700*Q3700</f>
        <v/>
      </c>
      <c r="S3700" s="23">
        <f>R3700*E3700</f>
        <v/>
      </c>
      <c r="T3700" s="23">
        <f>(R3700-S3700)*M3700</f>
        <v/>
      </c>
      <c r="U3700" s="23">
        <f>R3700-S3700-T3700</f>
        <v/>
      </c>
      <c r="V3700" s="23">
        <f>D3700*P3700</f>
        <v/>
      </c>
      <c r="W3700" s="23">
        <f>U3700-V3700</f>
        <v/>
      </c>
      <c r="X3700" s="24">
        <f>IFERROR(W3700/U3700,0)</f>
        <v/>
      </c>
    </row>
    <row r="3701">
      <c r="A3701" s="25">
        <f>ItensPedido!A3701</f>
        <v/>
      </c>
      <c r="B3701" s="25">
        <f>ItensPedido!B3701</f>
        <v/>
      </c>
      <c r="C3701" s="25">
        <f>ItensPedido!C3701</f>
        <v/>
      </c>
      <c r="D3701" s="25">
        <f>ItensPedido!D3701</f>
        <v/>
      </c>
      <c r="E3701" s="26">
        <f>ItensPedido!E3701</f>
        <v/>
      </c>
      <c r="F3701" s="25">
        <f>IFERROR(INDEX(Pedidos!$B$2:$B$1801,MATCH(B3701,Pedidos!$A$2:$A$1801,0)),0)</f>
        <v/>
      </c>
      <c r="G3701" s="25">
        <f>IF(F3701=0,"",YEAR(F3701))</f>
        <v/>
      </c>
      <c r="H3701" s="25">
        <f>IF(F3701=0,"",MONTH(F3701))</f>
        <v/>
      </c>
      <c r="I3701" s="25">
        <f>IFERROR(INDEX(Pedidos!$E$2:$E$1801,MATCH(B3701,Pedidos!$A$2:$A$1801,0)),"")</f>
        <v/>
      </c>
      <c r="J3701" s="25">
        <f>IFERROR(INDEX(Pedidos!$C$2:$C$1801,MATCH(B3701,Pedidos!$A$2:$A$1801,0)),"")</f>
        <v/>
      </c>
      <c r="K3701" s="25">
        <f>IFERROR(INDEX(Pedidos!$D$2:$D$1801,MATCH(B3701,Pedidos!$A$2:$A$1801,0)),"")</f>
        <v/>
      </c>
      <c r="L3701" s="25">
        <f>IFERROR(INDEX(Pedidos!$F$2:$F$1801,MATCH(B3701,Pedidos!$A$2:$A$1801,0)),"")</f>
        <v/>
      </c>
      <c r="M3701" s="26">
        <f>IFERROR(INDEX(Pedidos!$G$2:$G$1801,MATCH(B3701,Pedidos!$A$2:$A$1801,0)),0)</f>
        <v/>
      </c>
      <c r="N3701" s="25">
        <f>IFERROR(INDEX(Produtos!$B$2:$B$71,MATCH(C3701,Produtos!$A$2:$A$71,0)),"")</f>
        <v/>
      </c>
      <c r="O3701" s="25">
        <f>IFERROR(INDEX(Produtos!$C$2:$C$71,MATCH(C3701,Produtos!$A$2:$A$71,0)),"")</f>
        <v/>
      </c>
      <c r="P3701" s="25">
        <f>IFERROR(INDEX(Produtos!$D$2:$D$71,MATCH(C3701,Produtos!$A$2:$A$71,0)),0)</f>
        <v/>
      </c>
      <c r="Q3701" s="25">
        <f>IFERROR(INDEX(Produtos!$E$2:$E$71,MATCH(C3701,Produtos!$A$2:$A$71,0)),0)</f>
        <v/>
      </c>
      <c r="R3701" s="27">
        <f>D3701*Q3701</f>
        <v/>
      </c>
      <c r="S3701" s="27">
        <f>R3701*E3701</f>
        <v/>
      </c>
      <c r="T3701" s="27">
        <f>(R3701-S3701)*M3701</f>
        <v/>
      </c>
      <c r="U3701" s="27">
        <f>R3701-S3701-T3701</f>
        <v/>
      </c>
      <c r="V3701" s="27">
        <f>D3701*P3701</f>
        <v/>
      </c>
      <c r="W3701" s="27">
        <f>U3701-V3701</f>
        <v/>
      </c>
      <c r="X3701" s="28">
        <f>IFERROR(W3701/U3701,0)</f>
        <v/>
      </c>
    </row>
    <row r="3702">
      <c r="A3702" s="21">
        <f>ItensPedido!A3702</f>
        <v/>
      </c>
      <c r="B3702" s="21">
        <f>ItensPedido!B3702</f>
        <v/>
      </c>
      <c r="C3702" s="21">
        <f>ItensPedido!C3702</f>
        <v/>
      </c>
      <c r="D3702" s="21">
        <f>ItensPedido!D3702</f>
        <v/>
      </c>
      <c r="E3702" s="22">
        <f>ItensPedido!E3702</f>
        <v/>
      </c>
      <c r="F3702" s="21">
        <f>IFERROR(INDEX(Pedidos!$B$2:$B$1801,MATCH(B3702,Pedidos!$A$2:$A$1801,0)),0)</f>
        <v/>
      </c>
      <c r="G3702" s="21">
        <f>IF(F3702=0,"",YEAR(F3702))</f>
        <v/>
      </c>
      <c r="H3702" s="21">
        <f>IF(F3702=0,"",MONTH(F3702))</f>
        <v/>
      </c>
      <c r="I3702" s="21">
        <f>IFERROR(INDEX(Pedidos!$E$2:$E$1801,MATCH(B3702,Pedidos!$A$2:$A$1801,0)),"")</f>
        <v/>
      </c>
      <c r="J3702" s="21">
        <f>IFERROR(INDEX(Pedidos!$C$2:$C$1801,MATCH(B3702,Pedidos!$A$2:$A$1801,0)),"")</f>
        <v/>
      </c>
      <c r="K3702" s="21">
        <f>IFERROR(INDEX(Pedidos!$D$2:$D$1801,MATCH(B3702,Pedidos!$A$2:$A$1801,0)),"")</f>
        <v/>
      </c>
      <c r="L3702" s="21">
        <f>IFERROR(INDEX(Pedidos!$F$2:$F$1801,MATCH(B3702,Pedidos!$A$2:$A$1801,0)),"")</f>
        <v/>
      </c>
      <c r="M3702" s="22">
        <f>IFERROR(INDEX(Pedidos!$G$2:$G$1801,MATCH(B3702,Pedidos!$A$2:$A$1801,0)),0)</f>
        <v/>
      </c>
      <c r="N3702" s="21">
        <f>IFERROR(INDEX(Produtos!$B$2:$B$71,MATCH(C3702,Produtos!$A$2:$A$71,0)),"")</f>
        <v/>
      </c>
      <c r="O3702" s="21">
        <f>IFERROR(INDEX(Produtos!$C$2:$C$71,MATCH(C3702,Produtos!$A$2:$A$71,0)),"")</f>
        <v/>
      </c>
      <c r="P3702" s="21">
        <f>IFERROR(INDEX(Produtos!$D$2:$D$71,MATCH(C3702,Produtos!$A$2:$A$71,0)),0)</f>
        <v/>
      </c>
      <c r="Q3702" s="21">
        <f>IFERROR(INDEX(Produtos!$E$2:$E$71,MATCH(C3702,Produtos!$A$2:$A$71,0)),0)</f>
        <v/>
      </c>
      <c r="R3702" s="23">
        <f>D3702*Q3702</f>
        <v/>
      </c>
      <c r="S3702" s="23">
        <f>R3702*E3702</f>
        <v/>
      </c>
      <c r="T3702" s="23">
        <f>(R3702-S3702)*M3702</f>
        <v/>
      </c>
      <c r="U3702" s="23">
        <f>R3702-S3702-T3702</f>
        <v/>
      </c>
      <c r="V3702" s="23">
        <f>D3702*P3702</f>
        <v/>
      </c>
      <c r="W3702" s="23">
        <f>U3702-V3702</f>
        <v/>
      </c>
      <c r="X3702" s="24">
        <f>IFERROR(W3702/U3702,0)</f>
        <v/>
      </c>
    </row>
    <row r="3703">
      <c r="A3703" s="25">
        <f>ItensPedido!A3703</f>
        <v/>
      </c>
      <c r="B3703" s="25">
        <f>ItensPedido!B3703</f>
        <v/>
      </c>
      <c r="C3703" s="25">
        <f>ItensPedido!C3703</f>
        <v/>
      </c>
      <c r="D3703" s="25">
        <f>ItensPedido!D3703</f>
        <v/>
      </c>
      <c r="E3703" s="26">
        <f>ItensPedido!E3703</f>
        <v/>
      </c>
      <c r="F3703" s="25">
        <f>IFERROR(INDEX(Pedidos!$B$2:$B$1801,MATCH(B3703,Pedidos!$A$2:$A$1801,0)),0)</f>
        <v/>
      </c>
      <c r="G3703" s="25">
        <f>IF(F3703=0,"",YEAR(F3703))</f>
        <v/>
      </c>
      <c r="H3703" s="25">
        <f>IF(F3703=0,"",MONTH(F3703))</f>
        <v/>
      </c>
      <c r="I3703" s="25">
        <f>IFERROR(INDEX(Pedidos!$E$2:$E$1801,MATCH(B3703,Pedidos!$A$2:$A$1801,0)),"")</f>
        <v/>
      </c>
      <c r="J3703" s="25">
        <f>IFERROR(INDEX(Pedidos!$C$2:$C$1801,MATCH(B3703,Pedidos!$A$2:$A$1801,0)),"")</f>
        <v/>
      </c>
      <c r="K3703" s="25">
        <f>IFERROR(INDEX(Pedidos!$D$2:$D$1801,MATCH(B3703,Pedidos!$A$2:$A$1801,0)),"")</f>
        <v/>
      </c>
      <c r="L3703" s="25">
        <f>IFERROR(INDEX(Pedidos!$F$2:$F$1801,MATCH(B3703,Pedidos!$A$2:$A$1801,0)),"")</f>
        <v/>
      </c>
      <c r="M3703" s="26">
        <f>IFERROR(INDEX(Pedidos!$G$2:$G$1801,MATCH(B3703,Pedidos!$A$2:$A$1801,0)),0)</f>
        <v/>
      </c>
      <c r="N3703" s="25">
        <f>IFERROR(INDEX(Produtos!$B$2:$B$71,MATCH(C3703,Produtos!$A$2:$A$71,0)),"")</f>
        <v/>
      </c>
      <c r="O3703" s="25">
        <f>IFERROR(INDEX(Produtos!$C$2:$C$71,MATCH(C3703,Produtos!$A$2:$A$71,0)),"")</f>
        <v/>
      </c>
      <c r="P3703" s="25">
        <f>IFERROR(INDEX(Produtos!$D$2:$D$71,MATCH(C3703,Produtos!$A$2:$A$71,0)),0)</f>
        <v/>
      </c>
      <c r="Q3703" s="25">
        <f>IFERROR(INDEX(Produtos!$E$2:$E$71,MATCH(C3703,Produtos!$A$2:$A$71,0)),0)</f>
        <v/>
      </c>
      <c r="R3703" s="27">
        <f>D3703*Q3703</f>
        <v/>
      </c>
      <c r="S3703" s="27">
        <f>R3703*E3703</f>
        <v/>
      </c>
      <c r="T3703" s="27">
        <f>(R3703-S3703)*M3703</f>
        <v/>
      </c>
      <c r="U3703" s="27">
        <f>R3703-S3703-T3703</f>
        <v/>
      </c>
      <c r="V3703" s="27">
        <f>D3703*P3703</f>
        <v/>
      </c>
      <c r="W3703" s="27">
        <f>U3703-V3703</f>
        <v/>
      </c>
      <c r="X3703" s="28">
        <f>IFERROR(W3703/U3703,0)</f>
        <v/>
      </c>
    </row>
    <row r="3704">
      <c r="A3704" s="21">
        <f>ItensPedido!A3704</f>
        <v/>
      </c>
      <c r="B3704" s="21">
        <f>ItensPedido!B3704</f>
        <v/>
      </c>
      <c r="C3704" s="21">
        <f>ItensPedido!C3704</f>
        <v/>
      </c>
      <c r="D3704" s="21">
        <f>ItensPedido!D3704</f>
        <v/>
      </c>
      <c r="E3704" s="22">
        <f>ItensPedido!E3704</f>
        <v/>
      </c>
      <c r="F3704" s="21">
        <f>IFERROR(INDEX(Pedidos!$B$2:$B$1801,MATCH(B3704,Pedidos!$A$2:$A$1801,0)),0)</f>
        <v/>
      </c>
      <c r="G3704" s="21">
        <f>IF(F3704=0,"",YEAR(F3704))</f>
        <v/>
      </c>
      <c r="H3704" s="21">
        <f>IF(F3704=0,"",MONTH(F3704))</f>
        <v/>
      </c>
      <c r="I3704" s="21">
        <f>IFERROR(INDEX(Pedidos!$E$2:$E$1801,MATCH(B3704,Pedidos!$A$2:$A$1801,0)),"")</f>
        <v/>
      </c>
      <c r="J3704" s="21">
        <f>IFERROR(INDEX(Pedidos!$C$2:$C$1801,MATCH(B3704,Pedidos!$A$2:$A$1801,0)),"")</f>
        <v/>
      </c>
      <c r="K3704" s="21">
        <f>IFERROR(INDEX(Pedidos!$D$2:$D$1801,MATCH(B3704,Pedidos!$A$2:$A$1801,0)),"")</f>
        <v/>
      </c>
      <c r="L3704" s="21">
        <f>IFERROR(INDEX(Pedidos!$F$2:$F$1801,MATCH(B3704,Pedidos!$A$2:$A$1801,0)),"")</f>
        <v/>
      </c>
      <c r="M3704" s="22">
        <f>IFERROR(INDEX(Pedidos!$G$2:$G$1801,MATCH(B3704,Pedidos!$A$2:$A$1801,0)),0)</f>
        <v/>
      </c>
      <c r="N3704" s="21">
        <f>IFERROR(INDEX(Produtos!$B$2:$B$71,MATCH(C3704,Produtos!$A$2:$A$71,0)),"")</f>
        <v/>
      </c>
      <c r="O3704" s="21">
        <f>IFERROR(INDEX(Produtos!$C$2:$C$71,MATCH(C3704,Produtos!$A$2:$A$71,0)),"")</f>
        <v/>
      </c>
      <c r="P3704" s="21">
        <f>IFERROR(INDEX(Produtos!$D$2:$D$71,MATCH(C3704,Produtos!$A$2:$A$71,0)),0)</f>
        <v/>
      </c>
      <c r="Q3704" s="21">
        <f>IFERROR(INDEX(Produtos!$E$2:$E$71,MATCH(C3704,Produtos!$A$2:$A$71,0)),0)</f>
        <v/>
      </c>
      <c r="R3704" s="23">
        <f>D3704*Q3704</f>
        <v/>
      </c>
      <c r="S3704" s="23">
        <f>R3704*E3704</f>
        <v/>
      </c>
      <c r="T3704" s="23">
        <f>(R3704-S3704)*M3704</f>
        <v/>
      </c>
      <c r="U3704" s="23">
        <f>R3704-S3704-T3704</f>
        <v/>
      </c>
      <c r="V3704" s="23">
        <f>D3704*P3704</f>
        <v/>
      </c>
      <c r="W3704" s="23">
        <f>U3704-V3704</f>
        <v/>
      </c>
      <c r="X3704" s="24">
        <f>IFERROR(W3704/U3704,0)</f>
        <v/>
      </c>
    </row>
    <row r="3705">
      <c r="A3705" s="25">
        <f>ItensPedido!A3705</f>
        <v/>
      </c>
      <c r="B3705" s="25">
        <f>ItensPedido!B3705</f>
        <v/>
      </c>
      <c r="C3705" s="25">
        <f>ItensPedido!C3705</f>
        <v/>
      </c>
      <c r="D3705" s="25">
        <f>ItensPedido!D3705</f>
        <v/>
      </c>
      <c r="E3705" s="26">
        <f>ItensPedido!E3705</f>
        <v/>
      </c>
      <c r="F3705" s="25">
        <f>IFERROR(INDEX(Pedidos!$B$2:$B$1801,MATCH(B3705,Pedidos!$A$2:$A$1801,0)),0)</f>
        <v/>
      </c>
      <c r="G3705" s="25">
        <f>IF(F3705=0,"",YEAR(F3705))</f>
        <v/>
      </c>
      <c r="H3705" s="25">
        <f>IF(F3705=0,"",MONTH(F3705))</f>
        <v/>
      </c>
      <c r="I3705" s="25">
        <f>IFERROR(INDEX(Pedidos!$E$2:$E$1801,MATCH(B3705,Pedidos!$A$2:$A$1801,0)),"")</f>
        <v/>
      </c>
      <c r="J3705" s="25">
        <f>IFERROR(INDEX(Pedidos!$C$2:$C$1801,MATCH(B3705,Pedidos!$A$2:$A$1801,0)),"")</f>
        <v/>
      </c>
      <c r="K3705" s="25">
        <f>IFERROR(INDEX(Pedidos!$D$2:$D$1801,MATCH(B3705,Pedidos!$A$2:$A$1801,0)),"")</f>
        <v/>
      </c>
      <c r="L3705" s="25">
        <f>IFERROR(INDEX(Pedidos!$F$2:$F$1801,MATCH(B3705,Pedidos!$A$2:$A$1801,0)),"")</f>
        <v/>
      </c>
      <c r="M3705" s="26">
        <f>IFERROR(INDEX(Pedidos!$G$2:$G$1801,MATCH(B3705,Pedidos!$A$2:$A$1801,0)),0)</f>
        <v/>
      </c>
      <c r="N3705" s="25">
        <f>IFERROR(INDEX(Produtos!$B$2:$B$71,MATCH(C3705,Produtos!$A$2:$A$71,0)),"")</f>
        <v/>
      </c>
      <c r="O3705" s="25">
        <f>IFERROR(INDEX(Produtos!$C$2:$C$71,MATCH(C3705,Produtos!$A$2:$A$71,0)),"")</f>
        <v/>
      </c>
      <c r="P3705" s="25">
        <f>IFERROR(INDEX(Produtos!$D$2:$D$71,MATCH(C3705,Produtos!$A$2:$A$71,0)),0)</f>
        <v/>
      </c>
      <c r="Q3705" s="25">
        <f>IFERROR(INDEX(Produtos!$E$2:$E$71,MATCH(C3705,Produtos!$A$2:$A$71,0)),0)</f>
        <v/>
      </c>
      <c r="R3705" s="27">
        <f>D3705*Q3705</f>
        <v/>
      </c>
      <c r="S3705" s="27">
        <f>R3705*E3705</f>
        <v/>
      </c>
      <c r="T3705" s="27">
        <f>(R3705-S3705)*M3705</f>
        <v/>
      </c>
      <c r="U3705" s="27">
        <f>R3705-S3705-T3705</f>
        <v/>
      </c>
      <c r="V3705" s="27">
        <f>D3705*P3705</f>
        <v/>
      </c>
      <c r="W3705" s="27">
        <f>U3705-V3705</f>
        <v/>
      </c>
      <c r="X3705" s="28">
        <f>IFERROR(W3705/U3705,0)</f>
        <v/>
      </c>
    </row>
    <row r="3706">
      <c r="A3706" s="21">
        <f>ItensPedido!A3706</f>
        <v/>
      </c>
      <c r="B3706" s="21">
        <f>ItensPedido!B3706</f>
        <v/>
      </c>
      <c r="C3706" s="21">
        <f>ItensPedido!C3706</f>
        <v/>
      </c>
      <c r="D3706" s="21">
        <f>ItensPedido!D3706</f>
        <v/>
      </c>
      <c r="E3706" s="22">
        <f>ItensPedido!E3706</f>
        <v/>
      </c>
      <c r="F3706" s="21">
        <f>IFERROR(INDEX(Pedidos!$B$2:$B$1801,MATCH(B3706,Pedidos!$A$2:$A$1801,0)),0)</f>
        <v/>
      </c>
      <c r="G3706" s="21">
        <f>IF(F3706=0,"",YEAR(F3706))</f>
        <v/>
      </c>
      <c r="H3706" s="21">
        <f>IF(F3706=0,"",MONTH(F3706))</f>
        <v/>
      </c>
      <c r="I3706" s="21">
        <f>IFERROR(INDEX(Pedidos!$E$2:$E$1801,MATCH(B3706,Pedidos!$A$2:$A$1801,0)),"")</f>
        <v/>
      </c>
      <c r="J3706" s="21">
        <f>IFERROR(INDEX(Pedidos!$C$2:$C$1801,MATCH(B3706,Pedidos!$A$2:$A$1801,0)),"")</f>
        <v/>
      </c>
      <c r="K3706" s="21">
        <f>IFERROR(INDEX(Pedidos!$D$2:$D$1801,MATCH(B3706,Pedidos!$A$2:$A$1801,0)),"")</f>
        <v/>
      </c>
      <c r="L3706" s="21">
        <f>IFERROR(INDEX(Pedidos!$F$2:$F$1801,MATCH(B3706,Pedidos!$A$2:$A$1801,0)),"")</f>
        <v/>
      </c>
      <c r="M3706" s="22">
        <f>IFERROR(INDEX(Pedidos!$G$2:$G$1801,MATCH(B3706,Pedidos!$A$2:$A$1801,0)),0)</f>
        <v/>
      </c>
      <c r="N3706" s="21">
        <f>IFERROR(INDEX(Produtos!$B$2:$B$71,MATCH(C3706,Produtos!$A$2:$A$71,0)),"")</f>
        <v/>
      </c>
      <c r="O3706" s="21">
        <f>IFERROR(INDEX(Produtos!$C$2:$C$71,MATCH(C3706,Produtos!$A$2:$A$71,0)),"")</f>
        <v/>
      </c>
      <c r="P3706" s="21">
        <f>IFERROR(INDEX(Produtos!$D$2:$D$71,MATCH(C3706,Produtos!$A$2:$A$71,0)),0)</f>
        <v/>
      </c>
      <c r="Q3706" s="21">
        <f>IFERROR(INDEX(Produtos!$E$2:$E$71,MATCH(C3706,Produtos!$A$2:$A$71,0)),0)</f>
        <v/>
      </c>
      <c r="R3706" s="23">
        <f>D3706*Q3706</f>
        <v/>
      </c>
      <c r="S3706" s="23">
        <f>R3706*E3706</f>
        <v/>
      </c>
      <c r="T3706" s="23">
        <f>(R3706-S3706)*M3706</f>
        <v/>
      </c>
      <c r="U3706" s="23">
        <f>R3706-S3706-T3706</f>
        <v/>
      </c>
      <c r="V3706" s="23">
        <f>D3706*P3706</f>
        <v/>
      </c>
      <c r="W3706" s="23">
        <f>U3706-V3706</f>
        <v/>
      </c>
      <c r="X3706" s="24">
        <f>IFERROR(W3706/U3706,0)</f>
        <v/>
      </c>
    </row>
    <row r="3707">
      <c r="A3707" s="25">
        <f>ItensPedido!A3707</f>
        <v/>
      </c>
      <c r="B3707" s="25">
        <f>ItensPedido!B3707</f>
        <v/>
      </c>
      <c r="C3707" s="25">
        <f>ItensPedido!C3707</f>
        <v/>
      </c>
      <c r="D3707" s="25">
        <f>ItensPedido!D3707</f>
        <v/>
      </c>
      <c r="E3707" s="26">
        <f>ItensPedido!E3707</f>
        <v/>
      </c>
      <c r="F3707" s="25">
        <f>IFERROR(INDEX(Pedidos!$B$2:$B$1801,MATCH(B3707,Pedidos!$A$2:$A$1801,0)),0)</f>
        <v/>
      </c>
      <c r="G3707" s="25">
        <f>IF(F3707=0,"",YEAR(F3707))</f>
        <v/>
      </c>
      <c r="H3707" s="25">
        <f>IF(F3707=0,"",MONTH(F3707))</f>
        <v/>
      </c>
      <c r="I3707" s="25">
        <f>IFERROR(INDEX(Pedidos!$E$2:$E$1801,MATCH(B3707,Pedidos!$A$2:$A$1801,0)),"")</f>
        <v/>
      </c>
      <c r="J3707" s="25">
        <f>IFERROR(INDEX(Pedidos!$C$2:$C$1801,MATCH(B3707,Pedidos!$A$2:$A$1801,0)),"")</f>
        <v/>
      </c>
      <c r="K3707" s="25">
        <f>IFERROR(INDEX(Pedidos!$D$2:$D$1801,MATCH(B3707,Pedidos!$A$2:$A$1801,0)),"")</f>
        <v/>
      </c>
      <c r="L3707" s="25">
        <f>IFERROR(INDEX(Pedidos!$F$2:$F$1801,MATCH(B3707,Pedidos!$A$2:$A$1801,0)),"")</f>
        <v/>
      </c>
      <c r="M3707" s="26">
        <f>IFERROR(INDEX(Pedidos!$G$2:$G$1801,MATCH(B3707,Pedidos!$A$2:$A$1801,0)),0)</f>
        <v/>
      </c>
      <c r="N3707" s="25">
        <f>IFERROR(INDEX(Produtos!$B$2:$B$71,MATCH(C3707,Produtos!$A$2:$A$71,0)),"")</f>
        <v/>
      </c>
      <c r="O3707" s="25">
        <f>IFERROR(INDEX(Produtos!$C$2:$C$71,MATCH(C3707,Produtos!$A$2:$A$71,0)),"")</f>
        <v/>
      </c>
      <c r="P3707" s="25">
        <f>IFERROR(INDEX(Produtos!$D$2:$D$71,MATCH(C3707,Produtos!$A$2:$A$71,0)),0)</f>
        <v/>
      </c>
      <c r="Q3707" s="25">
        <f>IFERROR(INDEX(Produtos!$E$2:$E$71,MATCH(C3707,Produtos!$A$2:$A$71,0)),0)</f>
        <v/>
      </c>
      <c r="R3707" s="27">
        <f>D3707*Q3707</f>
        <v/>
      </c>
      <c r="S3707" s="27">
        <f>R3707*E3707</f>
        <v/>
      </c>
      <c r="T3707" s="27">
        <f>(R3707-S3707)*M3707</f>
        <v/>
      </c>
      <c r="U3707" s="27">
        <f>R3707-S3707-T3707</f>
        <v/>
      </c>
      <c r="V3707" s="27">
        <f>D3707*P3707</f>
        <v/>
      </c>
      <c r="W3707" s="27">
        <f>U3707-V3707</f>
        <v/>
      </c>
      <c r="X3707" s="28">
        <f>IFERROR(W3707/U3707,0)</f>
        <v/>
      </c>
    </row>
    <row r="3708">
      <c r="A3708" s="21">
        <f>ItensPedido!A3708</f>
        <v/>
      </c>
      <c r="B3708" s="21">
        <f>ItensPedido!B3708</f>
        <v/>
      </c>
      <c r="C3708" s="21">
        <f>ItensPedido!C3708</f>
        <v/>
      </c>
      <c r="D3708" s="21">
        <f>ItensPedido!D3708</f>
        <v/>
      </c>
      <c r="E3708" s="22">
        <f>ItensPedido!E3708</f>
        <v/>
      </c>
      <c r="F3708" s="21">
        <f>IFERROR(INDEX(Pedidos!$B$2:$B$1801,MATCH(B3708,Pedidos!$A$2:$A$1801,0)),0)</f>
        <v/>
      </c>
      <c r="G3708" s="21">
        <f>IF(F3708=0,"",YEAR(F3708))</f>
        <v/>
      </c>
      <c r="H3708" s="21">
        <f>IF(F3708=0,"",MONTH(F3708))</f>
        <v/>
      </c>
      <c r="I3708" s="21">
        <f>IFERROR(INDEX(Pedidos!$E$2:$E$1801,MATCH(B3708,Pedidos!$A$2:$A$1801,0)),"")</f>
        <v/>
      </c>
      <c r="J3708" s="21">
        <f>IFERROR(INDEX(Pedidos!$C$2:$C$1801,MATCH(B3708,Pedidos!$A$2:$A$1801,0)),"")</f>
        <v/>
      </c>
      <c r="K3708" s="21">
        <f>IFERROR(INDEX(Pedidos!$D$2:$D$1801,MATCH(B3708,Pedidos!$A$2:$A$1801,0)),"")</f>
        <v/>
      </c>
      <c r="L3708" s="21">
        <f>IFERROR(INDEX(Pedidos!$F$2:$F$1801,MATCH(B3708,Pedidos!$A$2:$A$1801,0)),"")</f>
        <v/>
      </c>
      <c r="M3708" s="22">
        <f>IFERROR(INDEX(Pedidos!$G$2:$G$1801,MATCH(B3708,Pedidos!$A$2:$A$1801,0)),0)</f>
        <v/>
      </c>
      <c r="N3708" s="21">
        <f>IFERROR(INDEX(Produtos!$B$2:$B$71,MATCH(C3708,Produtos!$A$2:$A$71,0)),"")</f>
        <v/>
      </c>
      <c r="O3708" s="21">
        <f>IFERROR(INDEX(Produtos!$C$2:$C$71,MATCH(C3708,Produtos!$A$2:$A$71,0)),"")</f>
        <v/>
      </c>
      <c r="P3708" s="21">
        <f>IFERROR(INDEX(Produtos!$D$2:$D$71,MATCH(C3708,Produtos!$A$2:$A$71,0)),0)</f>
        <v/>
      </c>
      <c r="Q3708" s="21">
        <f>IFERROR(INDEX(Produtos!$E$2:$E$71,MATCH(C3708,Produtos!$A$2:$A$71,0)),0)</f>
        <v/>
      </c>
      <c r="R3708" s="23">
        <f>D3708*Q3708</f>
        <v/>
      </c>
      <c r="S3708" s="23">
        <f>R3708*E3708</f>
        <v/>
      </c>
      <c r="T3708" s="23">
        <f>(R3708-S3708)*M3708</f>
        <v/>
      </c>
      <c r="U3708" s="23">
        <f>R3708-S3708-T3708</f>
        <v/>
      </c>
      <c r="V3708" s="23">
        <f>D3708*P3708</f>
        <v/>
      </c>
      <c r="W3708" s="23">
        <f>U3708-V3708</f>
        <v/>
      </c>
      <c r="X3708" s="24">
        <f>IFERROR(W3708/U3708,0)</f>
        <v/>
      </c>
    </row>
    <row r="3709">
      <c r="A3709" s="25">
        <f>ItensPedido!A3709</f>
        <v/>
      </c>
      <c r="B3709" s="25">
        <f>ItensPedido!B3709</f>
        <v/>
      </c>
      <c r="C3709" s="25">
        <f>ItensPedido!C3709</f>
        <v/>
      </c>
      <c r="D3709" s="25">
        <f>ItensPedido!D3709</f>
        <v/>
      </c>
      <c r="E3709" s="26">
        <f>ItensPedido!E3709</f>
        <v/>
      </c>
      <c r="F3709" s="25">
        <f>IFERROR(INDEX(Pedidos!$B$2:$B$1801,MATCH(B3709,Pedidos!$A$2:$A$1801,0)),0)</f>
        <v/>
      </c>
      <c r="G3709" s="25">
        <f>IF(F3709=0,"",YEAR(F3709))</f>
        <v/>
      </c>
      <c r="H3709" s="25">
        <f>IF(F3709=0,"",MONTH(F3709))</f>
        <v/>
      </c>
      <c r="I3709" s="25">
        <f>IFERROR(INDEX(Pedidos!$E$2:$E$1801,MATCH(B3709,Pedidos!$A$2:$A$1801,0)),"")</f>
        <v/>
      </c>
      <c r="J3709" s="25">
        <f>IFERROR(INDEX(Pedidos!$C$2:$C$1801,MATCH(B3709,Pedidos!$A$2:$A$1801,0)),"")</f>
        <v/>
      </c>
      <c r="K3709" s="25">
        <f>IFERROR(INDEX(Pedidos!$D$2:$D$1801,MATCH(B3709,Pedidos!$A$2:$A$1801,0)),"")</f>
        <v/>
      </c>
      <c r="L3709" s="25">
        <f>IFERROR(INDEX(Pedidos!$F$2:$F$1801,MATCH(B3709,Pedidos!$A$2:$A$1801,0)),"")</f>
        <v/>
      </c>
      <c r="M3709" s="26">
        <f>IFERROR(INDEX(Pedidos!$G$2:$G$1801,MATCH(B3709,Pedidos!$A$2:$A$1801,0)),0)</f>
        <v/>
      </c>
      <c r="N3709" s="25">
        <f>IFERROR(INDEX(Produtos!$B$2:$B$71,MATCH(C3709,Produtos!$A$2:$A$71,0)),"")</f>
        <v/>
      </c>
      <c r="O3709" s="25">
        <f>IFERROR(INDEX(Produtos!$C$2:$C$71,MATCH(C3709,Produtos!$A$2:$A$71,0)),"")</f>
        <v/>
      </c>
      <c r="P3709" s="25">
        <f>IFERROR(INDEX(Produtos!$D$2:$D$71,MATCH(C3709,Produtos!$A$2:$A$71,0)),0)</f>
        <v/>
      </c>
      <c r="Q3709" s="25">
        <f>IFERROR(INDEX(Produtos!$E$2:$E$71,MATCH(C3709,Produtos!$A$2:$A$71,0)),0)</f>
        <v/>
      </c>
      <c r="R3709" s="27">
        <f>D3709*Q3709</f>
        <v/>
      </c>
      <c r="S3709" s="27">
        <f>R3709*E3709</f>
        <v/>
      </c>
      <c r="T3709" s="27">
        <f>(R3709-S3709)*M3709</f>
        <v/>
      </c>
      <c r="U3709" s="27">
        <f>R3709-S3709-T3709</f>
        <v/>
      </c>
      <c r="V3709" s="27">
        <f>D3709*P3709</f>
        <v/>
      </c>
      <c r="W3709" s="27">
        <f>U3709-V3709</f>
        <v/>
      </c>
      <c r="X3709" s="28">
        <f>IFERROR(W3709/U3709,0)</f>
        <v/>
      </c>
    </row>
    <row r="3710">
      <c r="A3710" s="21">
        <f>ItensPedido!A3710</f>
        <v/>
      </c>
      <c r="B3710" s="21">
        <f>ItensPedido!B3710</f>
        <v/>
      </c>
      <c r="C3710" s="21">
        <f>ItensPedido!C3710</f>
        <v/>
      </c>
      <c r="D3710" s="21">
        <f>ItensPedido!D3710</f>
        <v/>
      </c>
      <c r="E3710" s="22">
        <f>ItensPedido!E3710</f>
        <v/>
      </c>
      <c r="F3710" s="21">
        <f>IFERROR(INDEX(Pedidos!$B$2:$B$1801,MATCH(B3710,Pedidos!$A$2:$A$1801,0)),0)</f>
        <v/>
      </c>
      <c r="G3710" s="21">
        <f>IF(F3710=0,"",YEAR(F3710))</f>
        <v/>
      </c>
      <c r="H3710" s="21">
        <f>IF(F3710=0,"",MONTH(F3710))</f>
        <v/>
      </c>
      <c r="I3710" s="21">
        <f>IFERROR(INDEX(Pedidos!$E$2:$E$1801,MATCH(B3710,Pedidos!$A$2:$A$1801,0)),"")</f>
        <v/>
      </c>
      <c r="J3710" s="21">
        <f>IFERROR(INDEX(Pedidos!$C$2:$C$1801,MATCH(B3710,Pedidos!$A$2:$A$1801,0)),"")</f>
        <v/>
      </c>
      <c r="K3710" s="21">
        <f>IFERROR(INDEX(Pedidos!$D$2:$D$1801,MATCH(B3710,Pedidos!$A$2:$A$1801,0)),"")</f>
        <v/>
      </c>
      <c r="L3710" s="21">
        <f>IFERROR(INDEX(Pedidos!$F$2:$F$1801,MATCH(B3710,Pedidos!$A$2:$A$1801,0)),"")</f>
        <v/>
      </c>
      <c r="M3710" s="22">
        <f>IFERROR(INDEX(Pedidos!$G$2:$G$1801,MATCH(B3710,Pedidos!$A$2:$A$1801,0)),0)</f>
        <v/>
      </c>
      <c r="N3710" s="21">
        <f>IFERROR(INDEX(Produtos!$B$2:$B$71,MATCH(C3710,Produtos!$A$2:$A$71,0)),"")</f>
        <v/>
      </c>
      <c r="O3710" s="21">
        <f>IFERROR(INDEX(Produtos!$C$2:$C$71,MATCH(C3710,Produtos!$A$2:$A$71,0)),"")</f>
        <v/>
      </c>
      <c r="P3710" s="21">
        <f>IFERROR(INDEX(Produtos!$D$2:$D$71,MATCH(C3710,Produtos!$A$2:$A$71,0)),0)</f>
        <v/>
      </c>
      <c r="Q3710" s="21">
        <f>IFERROR(INDEX(Produtos!$E$2:$E$71,MATCH(C3710,Produtos!$A$2:$A$71,0)),0)</f>
        <v/>
      </c>
      <c r="R3710" s="23">
        <f>D3710*Q3710</f>
        <v/>
      </c>
      <c r="S3710" s="23">
        <f>R3710*E3710</f>
        <v/>
      </c>
      <c r="T3710" s="23">
        <f>(R3710-S3710)*M3710</f>
        <v/>
      </c>
      <c r="U3710" s="23">
        <f>R3710-S3710-T3710</f>
        <v/>
      </c>
      <c r="V3710" s="23">
        <f>D3710*P3710</f>
        <v/>
      </c>
      <c r="W3710" s="23">
        <f>U3710-V3710</f>
        <v/>
      </c>
      <c r="X3710" s="24">
        <f>IFERROR(W3710/U3710,0)</f>
        <v/>
      </c>
    </row>
    <row r="3711">
      <c r="A3711" s="25">
        <f>ItensPedido!A3711</f>
        <v/>
      </c>
      <c r="B3711" s="25">
        <f>ItensPedido!B3711</f>
        <v/>
      </c>
      <c r="C3711" s="25">
        <f>ItensPedido!C3711</f>
        <v/>
      </c>
      <c r="D3711" s="25">
        <f>ItensPedido!D3711</f>
        <v/>
      </c>
      <c r="E3711" s="26">
        <f>ItensPedido!E3711</f>
        <v/>
      </c>
      <c r="F3711" s="25">
        <f>IFERROR(INDEX(Pedidos!$B$2:$B$1801,MATCH(B3711,Pedidos!$A$2:$A$1801,0)),0)</f>
        <v/>
      </c>
      <c r="G3711" s="25">
        <f>IF(F3711=0,"",YEAR(F3711))</f>
        <v/>
      </c>
      <c r="H3711" s="25">
        <f>IF(F3711=0,"",MONTH(F3711))</f>
        <v/>
      </c>
      <c r="I3711" s="25">
        <f>IFERROR(INDEX(Pedidos!$E$2:$E$1801,MATCH(B3711,Pedidos!$A$2:$A$1801,0)),"")</f>
        <v/>
      </c>
      <c r="J3711" s="25">
        <f>IFERROR(INDEX(Pedidos!$C$2:$C$1801,MATCH(B3711,Pedidos!$A$2:$A$1801,0)),"")</f>
        <v/>
      </c>
      <c r="K3711" s="25">
        <f>IFERROR(INDEX(Pedidos!$D$2:$D$1801,MATCH(B3711,Pedidos!$A$2:$A$1801,0)),"")</f>
        <v/>
      </c>
      <c r="L3711" s="25">
        <f>IFERROR(INDEX(Pedidos!$F$2:$F$1801,MATCH(B3711,Pedidos!$A$2:$A$1801,0)),"")</f>
        <v/>
      </c>
      <c r="M3711" s="26">
        <f>IFERROR(INDEX(Pedidos!$G$2:$G$1801,MATCH(B3711,Pedidos!$A$2:$A$1801,0)),0)</f>
        <v/>
      </c>
      <c r="N3711" s="25">
        <f>IFERROR(INDEX(Produtos!$B$2:$B$71,MATCH(C3711,Produtos!$A$2:$A$71,0)),"")</f>
        <v/>
      </c>
      <c r="O3711" s="25">
        <f>IFERROR(INDEX(Produtos!$C$2:$C$71,MATCH(C3711,Produtos!$A$2:$A$71,0)),"")</f>
        <v/>
      </c>
      <c r="P3711" s="25">
        <f>IFERROR(INDEX(Produtos!$D$2:$D$71,MATCH(C3711,Produtos!$A$2:$A$71,0)),0)</f>
        <v/>
      </c>
      <c r="Q3711" s="25">
        <f>IFERROR(INDEX(Produtos!$E$2:$E$71,MATCH(C3711,Produtos!$A$2:$A$71,0)),0)</f>
        <v/>
      </c>
      <c r="R3711" s="27">
        <f>D3711*Q3711</f>
        <v/>
      </c>
      <c r="S3711" s="27">
        <f>R3711*E3711</f>
        <v/>
      </c>
      <c r="T3711" s="27">
        <f>(R3711-S3711)*M3711</f>
        <v/>
      </c>
      <c r="U3711" s="27">
        <f>R3711-S3711-T3711</f>
        <v/>
      </c>
      <c r="V3711" s="27">
        <f>D3711*P3711</f>
        <v/>
      </c>
      <c r="W3711" s="27">
        <f>U3711-V3711</f>
        <v/>
      </c>
      <c r="X3711" s="28">
        <f>IFERROR(W3711/U3711,0)</f>
        <v/>
      </c>
    </row>
    <row r="3712">
      <c r="A3712" s="21">
        <f>ItensPedido!A3712</f>
        <v/>
      </c>
      <c r="B3712" s="21">
        <f>ItensPedido!B3712</f>
        <v/>
      </c>
      <c r="C3712" s="21">
        <f>ItensPedido!C3712</f>
        <v/>
      </c>
      <c r="D3712" s="21">
        <f>ItensPedido!D3712</f>
        <v/>
      </c>
      <c r="E3712" s="22">
        <f>ItensPedido!E3712</f>
        <v/>
      </c>
      <c r="F3712" s="21">
        <f>IFERROR(INDEX(Pedidos!$B$2:$B$1801,MATCH(B3712,Pedidos!$A$2:$A$1801,0)),0)</f>
        <v/>
      </c>
      <c r="G3712" s="21">
        <f>IF(F3712=0,"",YEAR(F3712))</f>
        <v/>
      </c>
      <c r="H3712" s="21">
        <f>IF(F3712=0,"",MONTH(F3712))</f>
        <v/>
      </c>
      <c r="I3712" s="21">
        <f>IFERROR(INDEX(Pedidos!$E$2:$E$1801,MATCH(B3712,Pedidos!$A$2:$A$1801,0)),"")</f>
        <v/>
      </c>
      <c r="J3712" s="21">
        <f>IFERROR(INDEX(Pedidos!$C$2:$C$1801,MATCH(B3712,Pedidos!$A$2:$A$1801,0)),"")</f>
        <v/>
      </c>
      <c r="K3712" s="21">
        <f>IFERROR(INDEX(Pedidos!$D$2:$D$1801,MATCH(B3712,Pedidos!$A$2:$A$1801,0)),"")</f>
        <v/>
      </c>
      <c r="L3712" s="21">
        <f>IFERROR(INDEX(Pedidos!$F$2:$F$1801,MATCH(B3712,Pedidos!$A$2:$A$1801,0)),"")</f>
        <v/>
      </c>
      <c r="M3712" s="22">
        <f>IFERROR(INDEX(Pedidos!$G$2:$G$1801,MATCH(B3712,Pedidos!$A$2:$A$1801,0)),0)</f>
        <v/>
      </c>
      <c r="N3712" s="21">
        <f>IFERROR(INDEX(Produtos!$B$2:$B$71,MATCH(C3712,Produtos!$A$2:$A$71,0)),"")</f>
        <v/>
      </c>
      <c r="O3712" s="21">
        <f>IFERROR(INDEX(Produtos!$C$2:$C$71,MATCH(C3712,Produtos!$A$2:$A$71,0)),"")</f>
        <v/>
      </c>
      <c r="P3712" s="21">
        <f>IFERROR(INDEX(Produtos!$D$2:$D$71,MATCH(C3712,Produtos!$A$2:$A$71,0)),0)</f>
        <v/>
      </c>
      <c r="Q3712" s="21">
        <f>IFERROR(INDEX(Produtos!$E$2:$E$71,MATCH(C3712,Produtos!$A$2:$A$71,0)),0)</f>
        <v/>
      </c>
      <c r="R3712" s="23">
        <f>D3712*Q3712</f>
        <v/>
      </c>
      <c r="S3712" s="23">
        <f>R3712*E3712</f>
        <v/>
      </c>
      <c r="T3712" s="23">
        <f>(R3712-S3712)*M3712</f>
        <v/>
      </c>
      <c r="U3712" s="23">
        <f>R3712-S3712-T3712</f>
        <v/>
      </c>
      <c r="V3712" s="23">
        <f>D3712*P3712</f>
        <v/>
      </c>
      <c r="W3712" s="23">
        <f>U3712-V3712</f>
        <v/>
      </c>
      <c r="X3712" s="24">
        <f>IFERROR(W3712/U3712,0)</f>
        <v/>
      </c>
    </row>
    <row r="3713">
      <c r="A3713" s="25">
        <f>ItensPedido!A3713</f>
        <v/>
      </c>
      <c r="B3713" s="25">
        <f>ItensPedido!B3713</f>
        <v/>
      </c>
      <c r="C3713" s="25">
        <f>ItensPedido!C3713</f>
        <v/>
      </c>
      <c r="D3713" s="25">
        <f>ItensPedido!D3713</f>
        <v/>
      </c>
      <c r="E3713" s="26">
        <f>ItensPedido!E3713</f>
        <v/>
      </c>
      <c r="F3713" s="25">
        <f>IFERROR(INDEX(Pedidos!$B$2:$B$1801,MATCH(B3713,Pedidos!$A$2:$A$1801,0)),0)</f>
        <v/>
      </c>
      <c r="G3713" s="25">
        <f>IF(F3713=0,"",YEAR(F3713))</f>
        <v/>
      </c>
      <c r="H3713" s="25">
        <f>IF(F3713=0,"",MONTH(F3713))</f>
        <v/>
      </c>
      <c r="I3713" s="25">
        <f>IFERROR(INDEX(Pedidos!$E$2:$E$1801,MATCH(B3713,Pedidos!$A$2:$A$1801,0)),"")</f>
        <v/>
      </c>
      <c r="J3713" s="25">
        <f>IFERROR(INDEX(Pedidos!$C$2:$C$1801,MATCH(B3713,Pedidos!$A$2:$A$1801,0)),"")</f>
        <v/>
      </c>
      <c r="K3713" s="25">
        <f>IFERROR(INDEX(Pedidos!$D$2:$D$1801,MATCH(B3713,Pedidos!$A$2:$A$1801,0)),"")</f>
        <v/>
      </c>
      <c r="L3713" s="25">
        <f>IFERROR(INDEX(Pedidos!$F$2:$F$1801,MATCH(B3713,Pedidos!$A$2:$A$1801,0)),"")</f>
        <v/>
      </c>
      <c r="M3713" s="26">
        <f>IFERROR(INDEX(Pedidos!$G$2:$G$1801,MATCH(B3713,Pedidos!$A$2:$A$1801,0)),0)</f>
        <v/>
      </c>
      <c r="N3713" s="25">
        <f>IFERROR(INDEX(Produtos!$B$2:$B$71,MATCH(C3713,Produtos!$A$2:$A$71,0)),"")</f>
        <v/>
      </c>
      <c r="O3713" s="25">
        <f>IFERROR(INDEX(Produtos!$C$2:$C$71,MATCH(C3713,Produtos!$A$2:$A$71,0)),"")</f>
        <v/>
      </c>
      <c r="P3713" s="25">
        <f>IFERROR(INDEX(Produtos!$D$2:$D$71,MATCH(C3713,Produtos!$A$2:$A$71,0)),0)</f>
        <v/>
      </c>
      <c r="Q3713" s="25">
        <f>IFERROR(INDEX(Produtos!$E$2:$E$71,MATCH(C3713,Produtos!$A$2:$A$71,0)),0)</f>
        <v/>
      </c>
      <c r="R3713" s="27">
        <f>D3713*Q3713</f>
        <v/>
      </c>
      <c r="S3713" s="27">
        <f>R3713*E3713</f>
        <v/>
      </c>
      <c r="T3713" s="27">
        <f>(R3713-S3713)*M3713</f>
        <v/>
      </c>
      <c r="U3713" s="27">
        <f>R3713-S3713-T3713</f>
        <v/>
      </c>
      <c r="V3713" s="27">
        <f>D3713*P3713</f>
        <v/>
      </c>
      <c r="W3713" s="27">
        <f>U3713-V3713</f>
        <v/>
      </c>
      <c r="X3713" s="28">
        <f>IFERROR(W3713/U3713,0)</f>
        <v/>
      </c>
    </row>
    <row r="3714">
      <c r="A3714" s="21">
        <f>ItensPedido!A3714</f>
        <v/>
      </c>
      <c r="B3714" s="21">
        <f>ItensPedido!B3714</f>
        <v/>
      </c>
      <c r="C3714" s="21">
        <f>ItensPedido!C3714</f>
        <v/>
      </c>
      <c r="D3714" s="21">
        <f>ItensPedido!D3714</f>
        <v/>
      </c>
      <c r="E3714" s="22">
        <f>ItensPedido!E3714</f>
        <v/>
      </c>
      <c r="F3714" s="21">
        <f>IFERROR(INDEX(Pedidos!$B$2:$B$1801,MATCH(B3714,Pedidos!$A$2:$A$1801,0)),0)</f>
        <v/>
      </c>
      <c r="G3714" s="21">
        <f>IF(F3714=0,"",YEAR(F3714))</f>
        <v/>
      </c>
      <c r="H3714" s="21">
        <f>IF(F3714=0,"",MONTH(F3714))</f>
        <v/>
      </c>
      <c r="I3714" s="21">
        <f>IFERROR(INDEX(Pedidos!$E$2:$E$1801,MATCH(B3714,Pedidos!$A$2:$A$1801,0)),"")</f>
        <v/>
      </c>
      <c r="J3714" s="21">
        <f>IFERROR(INDEX(Pedidos!$C$2:$C$1801,MATCH(B3714,Pedidos!$A$2:$A$1801,0)),"")</f>
        <v/>
      </c>
      <c r="K3714" s="21">
        <f>IFERROR(INDEX(Pedidos!$D$2:$D$1801,MATCH(B3714,Pedidos!$A$2:$A$1801,0)),"")</f>
        <v/>
      </c>
      <c r="L3714" s="21">
        <f>IFERROR(INDEX(Pedidos!$F$2:$F$1801,MATCH(B3714,Pedidos!$A$2:$A$1801,0)),"")</f>
        <v/>
      </c>
      <c r="M3714" s="22">
        <f>IFERROR(INDEX(Pedidos!$G$2:$G$1801,MATCH(B3714,Pedidos!$A$2:$A$1801,0)),0)</f>
        <v/>
      </c>
      <c r="N3714" s="21">
        <f>IFERROR(INDEX(Produtos!$B$2:$B$71,MATCH(C3714,Produtos!$A$2:$A$71,0)),"")</f>
        <v/>
      </c>
      <c r="O3714" s="21">
        <f>IFERROR(INDEX(Produtos!$C$2:$C$71,MATCH(C3714,Produtos!$A$2:$A$71,0)),"")</f>
        <v/>
      </c>
      <c r="P3714" s="21">
        <f>IFERROR(INDEX(Produtos!$D$2:$D$71,MATCH(C3714,Produtos!$A$2:$A$71,0)),0)</f>
        <v/>
      </c>
      <c r="Q3714" s="21">
        <f>IFERROR(INDEX(Produtos!$E$2:$E$71,MATCH(C3714,Produtos!$A$2:$A$71,0)),0)</f>
        <v/>
      </c>
      <c r="R3714" s="23">
        <f>D3714*Q3714</f>
        <v/>
      </c>
      <c r="S3714" s="23">
        <f>R3714*E3714</f>
        <v/>
      </c>
      <c r="T3714" s="23">
        <f>(R3714-S3714)*M3714</f>
        <v/>
      </c>
      <c r="U3714" s="23">
        <f>R3714-S3714-T3714</f>
        <v/>
      </c>
      <c r="V3714" s="23">
        <f>D3714*P3714</f>
        <v/>
      </c>
      <c r="W3714" s="23">
        <f>U3714-V3714</f>
        <v/>
      </c>
      <c r="X3714" s="24">
        <f>IFERROR(W3714/U3714,0)</f>
        <v/>
      </c>
    </row>
    <row r="3715">
      <c r="A3715" s="25">
        <f>ItensPedido!A3715</f>
        <v/>
      </c>
      <c r="B3715" s="25">
        <f>ItensPedido!B3715</f>
        <v/>
      </c>
      <c r="C3715" s="25">
        <f>ItensPedido!C3715</f>
        <v/>
      </c>
      <c r="D3715" s="25">
        <f>ItensPedido!D3715</f>
        <v/>
      </c>
      <c r="E3715" s="26">
        <f>ItensPedido!E3715</f>
        <v/>
      </c>
      <c r="F3715" s="25">
        <f>IFERROR(INDEX(Pedidos!$B$2:$B$1801,MATCH(B3715,Pedidos!$A$2:$A$1801,0)),0)</f>
        <v/>
      </c>
      <c r="G3715" s="25">
        <f>IF(F3715=0,"",YEAR(F3715))</f>
        <v/>
      </c>
      <c r="H3715" s="25">
        <f>IF(F3715=0,"",MONTH(F3715))</f>
        <v/>
      </c>
      <c r="I3715" s="25">
        <f>IFERROR(INDEX(Pedidos!$E$2:$E$1801,MATCH(B3715,Pedidos!$A$2:$A$1801,0)),"")</f>
        <v/>
      </c>
      <c r="J3715" s="25">
        <f>IFERROR(INDEX(Pedidos!$C$2:$C$1801,MATCH(B3715,Pedidos!$A$2:$A$1801,0)),"")</f>
        <v/>
      </c>
      <c r="K3715" s="25">
        <f>IFERROR(INDEX(Pedidos!$D$2:$D$1801,MATCH(B3715,Pedidos!$A$2:$A$1801,0)),"")</f>
        <v/>
      </c>
      <c r="L3715" s="25">
        <f>IFERROR(INDEX(Pedidos!$F$2:$F$1801,MATCH(B3715,Pedidos!$A$2:$A$1801,0)),"")</f>
        <v/>
      </c>
      <c r="M3715" s="26">
        <f>IFERROR(INDEX(Pedidos!$G$2:$G$1801,MATCH(B3715,Pedidos!$A$2:$A$1801,0)),0)</f>
        <v/>
      </c>
      <c r="N3715" s="25">
        <f>IFERROR(INDEX(Produtos!$B$2:$B$71,MATCH(C3715,Produtos!$A$2:$A$71,0)),"")</f>
        <v/>
      </c>
      <c r="O3715" s="25">
        <f>IFERROR(INDEX(Produtos!$C$2:$C$71,MATCH(C3715,Produtos!$A$2:$A$71,0)),"")</f>
        <v/>
      </c>
      <c r="P3715" s="25">
        <f>IFERROR(INDEX(Produtos!$D$2:$D$71,MATCH(C3715,Produtos!$A$2:$A$71,0)),0)</f>
        <v/>
      </c>
      <c r="Q3715" s="25">
        <f>IFERROR(INDEX(Produtos!$E$2:$E$71,MATCH(C3715,Produtos!$A$2:$A$71,0)),0)</f>
        <v/>
      </c>
      <c r="R3715" s="27">
        <f>D3715*Q3715</f>
        <v/>
      </c>
      <c r="S3715" s="27">
        <f>R3715*E3715</f>
        <v/>
      </c>
      <c r="T3715" s="27">
        <f>(R3715-S3715)*M3715</f>
        <v/>
      </c>
      <c r="U3715" s="27">
        <f>R3715-S3715-T3715</f>
        <v/>
      </c>
      <c r="V3715" s="27">
        <f>D3715*P3715</f>
        <v/>
      </c>
      <c r="W3715" s="27">
        <f>U3715-V3715</f>
        <v/>
      </c>
      <c r="X3715" s="28">
        <f>IFERROR(W3715/U3715,0)</f>
        <v/>
      </c>
    </row>
    <row r="3716">
      <c r="A3716" s="21">
        <f>ItensPedido!A3716</f>
        <v/>
      </c>
      <c r="B3716" s="21">
        <f>ItensPedido!B3716</f>
        <v/>
      </c>
      <c r="C3716" s="21">
        <f>ItensPedido!C3716</f>
        <v/>
      </c>
      <c r="D3716" s="21">
        <f>ItensPedido!D3716</f>
        <v/>
      </c>
      <c r="E3716" s="22">
        <f>ItensPedido!E3716</f>
        <v/>
      </c>
      <c r="F3716" s="21">
        <f>IFERROR(INDEX(Pedidos!$B$2:$B$1801,MATCH(B3716,Pedidos!$A$2:$A$1801,0)),0)</f>
        <v/>
      </c>
      <c r="G3716" s="21">
        <f>IF(F3716=0,"",YEAR(F3716))</f>
        <v/>
      </c>
      <c r="H3716" s="21">
        <f>IF(F3716=0,"",MONTH(F3716))</f>
        <v/>
      </c>
      <c r="I3716" s="21">
        <f>IFERROR(INDEX(Pedidos!$E$2:$E$1801,MATCH(B3716,Pedidos!$A$2:$A$1801,0)),"")</f>
        <v/>
      </c>
      <c r="J3716" s="21">
        <f>IFERROR(INDEX(Pedidos!$C$2:$C$1801,MATCH(B3716,Pedidos!$A$2:$A$1801,0)),"")</f>
        <v/>
      </c>
      <c r="K3716" s="21">
        <f>IFERROR(INDEX(Pedidos!$D$2:$D$1801,MATCH(B3716,Pedidos!$A$2:$A$1801,0)),"")</f>
        <v/>
      </c>
      <c r="L3716" s="21">
        <f>IFERROR(INDEX(Pedidos!$F$2:$F$1801,MATCH(B3716,Pedidos!$A$2:$A$1801,0)),"")</f>
        <v/>
      </c>
      <c r="M3716" s="22">
        <f>IFERROR(INDEX(Pedidos!$G$2:$G$1801,MATCH(B3716,Pedidos!$A$2:$A$1801,0)),0)</f>
        <v/>
      </c>
      <c r="N3716" s="21">
        <f>IFERROR(INDEX(Produtos!$B$2:$B$71,MATCH(C3716,Produtos!$A$2:$A$71,0)),"")</f>
        <v/>
      </c>
      <c r="O3716" s="21">
        <f>IFERROR(INDEX(Produtos!$C$2:$C$71,MATCH(C3716,Produtos!$A$2:$A$71,0)),"")</f>
        <v/>
      </c>
      <c r="P3716" s="21">
        <f>IFERROR(INDEX(Produtos!$D$2:$D$71,MATCH(C3716,Produtos!$A$2:$A$71,0)),0)</f>
        <v/>
      </c>
      <c r="Q3716" s="21">
        <f>IFERROR(INDEX(Produtos!$E$2:$E$71,MATCH(C3716,Produtos!$A$2:$A$71,0)),0)</f>
        <v/>
      </c>
      <c r="R3716" s="23">
        <f>D3716*Q3716</f>
        <v/>
      </c>
      <c r="S3716" s="23">
        <f>R3716*E3716</f>
        <v/>
      </c>
      <c r="T3716" s="23">
        <f>(R3716-S3716)*M3716</f>
        <v/>
      </c>
      <c r="U3716" s="23">
        <f>R3716-S3716-T3716</f>
        <v/>
      </c>
      <c r="V3716" s="23">
        <f>D3716*P3716</f>
        <v/>
      </c>
      <c r="W3716" s="23">
        <f>U3716-V3716</f>
        <v/>
      </c>
      <c r="X3716" s="24">
        <f>IFERROR(W3716/U3716,0)</f>
        <v/>
      </c>
    </row>
    <row r="3717">
      <c r="A3717" s="25">
        <f>ItensPedido!A3717</f>
        <v/>
      </c>
      <c r="B3717" s="25">
        <f>ItensPedido!B3717</f>
        <v/>
      </c>
      <c r="C3717" s="25">
        <f>ItensPedido!C3717</f>
        <v/>
      </c>
      <c r="D3717" s="25">
        <f>ItensPedido!D3717</f>
        <v/>
      </c>
      <c r="E3717" s="26">
        <f>ItensPedido!E3717</f>
        <v/>
      </c>
      <c r="F3717" s="25">
        <f>IFERROR(INDEX(Pedidos!$B$2:$B$1801,MATCH(B3717,Pedidos!$A$2:$A$1801,0)),0)</f>
        <v/>
      </c>
      <c r="G3717" s="25">
        <f>IF(F3717=0,"",YEAR(F3717))</f>
        <v/>
      </c>
      <c r="H3717" s="25">
        <f>IF(F3717=0,"",MONTH(F3717))</f>
        <v/>
      </c>
      <c r="I3717" s="25">
        <f>IFERROR(INDEX(Pedidos!$E$2:$E$1801,MATCH(B3717,Pedidos!$A$2:$A$1801,0)),"")</f>
        <v/>
      </c>
      <c r="J3717" s="25">
        <f>IFERROR(INDEX(Pedidos!$C$2:$C$1801,MATCH(B3717,Pedidos!$A$2:$A$1801,0)),"")</f>
        <v/>
      </c>
      <c r="K3717" s="25">
        <f>IFERROR(INDEX(Pedidos!$D$2:$D$1801,MATCH(B3717,Pedidos!$A$2:$A$1801,0)),"")</f>
        <v/>
      </c>
      <c r="L3717" s="25">
        <f>IFERROR(INDEX(Pedidos!$F$2:$F$1801,MATCH(B3717,Pedidos!$A$2:$A$1801,0)),"")</f>
        <v/>
      </c>
      <c r="M3717" s="26">
        <f>IFERROR(INDEX(Pedidos!$G$2:$G$1801,MATCH(B3717,Pedidos!$A$2:$A$1801,0)),0)</f>
        <v/>
      </c>
      <c r="N3717" s="25">
        <f>IFERROR(INDEX(Produtos!$B$2:$B$71,MATCH(C3717,Produtos!$A$2:$A$71,0)),"")</f>
        <v/>
      </c>
      <c r="O3717" s="25">
        <f>IFERROR(INDEX(Produtos!$C$2:$C$71,MATCH(C3717,Produtos!$A$2:$A$71,0)),"")</f>
        <v/>
      </c>
      <c r="P3717" s="25">
        <f>IFERROR(INDEX(Produtos!$D$2:$D$71,MATCH(C3717,Produtos!$A$2:$A$71,0)),0)</f>
        <v/>
      </c>
      <c r="Q3717" s="25">
        <f>IFERROR(INDEX(Produtos!$E$2:$E$71,MATCH(C3717,Produtos!$A$2:$A$71,0)),0)</f>
        <v/>
      </c>
      <c r="R3717" s="27">
        <f>D3717*Q3717</f>
        <v/>
      </c>
      <c r="S3717" s="27">
        <f>R3717*E3717</f>
        <v/>
      </c>
      <c r="T3717" s="27">
        <f>(R3717-S3717)*M3717</f>
        <v/>
      </c>
      <c r="U3717" s="27">
        <f>R3717-S3717-T3717</f>
        <v/>
      </c>
      <c r="V3717" s="27">
        <f>D3717*P3717</f>
        <v/>
      </c>
      <c r="W3717" s="27">
        <f>U3717-V3717</f>
        <v/>
      </c>
      <c r="X3717" s="28">
        <f>IFERROR(W3717/U3717,0)</f>
        <v/>
      </c>
    </row>
    <row r="3718">
      <c r="A3718" s="21">
        <f>ItensPedido!A3718</f>
        <v/>
      </c>
      <c r="B3718" s="21">
        <f>ItensPedido!B3718</f>
        <v/>
      </c>
      <c r="C3718" s="21">
        <f>ItensPedido!C3718</f>
        <v/>
      </c>
      <c r="D3718" s="21">
        <f>ItensPedido!D3718</f>
        <v/>
      </c>
      <c r="E3718" s="22">
        <f>ItensPedido!E3718</f>
        <v/>
      </c>
      <c r="F3718" s="21">
        <f>IFERROR(INDEX(Pedidos!$B$2:$B$1801,MATCH(B3718,Pedidos!$A$2:$A$1801,0)),0)</f>
        <v/>
      </c>
      <c r="G3718" s="21">
        <f>IF(F3718=0,"",YEAR(F3718))</f>
        <v/>
      </c>
      <c r="H3718" s="21">
        <f>IF(F3718=0,"",MONTH(F3718))</f>
        <v/>
      </c>
      <c r="I3718" s="21">
        <f>IFERROR(INDEX(Pedidos!$E$2:$E$1801,MATCH(B3718,Pedidos!$A$2:$A$1801,0)),"")</f>
        <v/>
      </c>
      <c r="J3718" s="21">
        <f>IFERROR(INDEX(Pedidos!$C$2:$C$1801,MATCH(B3718,Pedidos!$A$2:$A$1801,0)),"")</f>
        <v/>
      </c>
      <c r="K3718" s="21">
        <f>IFERROR(INDEX(Pedidos!$D$2:$D$1801,MATCH(B3718,Pedidos!$A$2:$A$1801,0)),"")</f>
        <v/>
      </c>
      <c r="L3718" s="21">
        <f>IFERROR(INDEX(Pedidos!$F$2:$F$1801,MATCH(B3718,Pedidos!$A$2:$A$1801,0)),"")</f>
        <v/>
      </c>
      <c r="M3718" s="22">
        <f>IFERROR(INDEX(Pedidos!$G$2:$G$1801,MATCH(B3718,Pedidos!$A$2:$A$1801,0)),0)</f>
        <v/>
      </c>
      <c r="N3718" s="21">
        <f>IFERROR(INDEX(Produtos!$B$2:$B$71,MATCH(C3718,Produtos!$A$2:$A$71,0)),"")</f>
        <v/>
      </c>
      <c r="O3718" s="21">
        <f>IFERROR(INDEX(Produtos!$C$2:$C$71,MATCH(C3718,Produtos!$A$2:$A$71,0)),"")</f>
        <v/>
      </c>
      <c r="P3718" s="21">
        <f>IFERROR(INDEX(Produtos!$D$2:$D$71,MATCH(C3718,Produtos!$A$2:$A$71,0)),0)</f>
        <v/>
      </c>
      <c r="Q3718" s="21">
        <f>IFERROR(INDEX(Produtos!$E$2:$E$71,MATCH(C3718,Produtos!$A$2:$A$71,0)),0)</f>
        <v/>
      </c>
      <c r="R3718" s="23">
        <f>D3718*Q3718</f>
        <v/>
      </c>
      <c r="S3718" s="23">
        <f>R3718*E3718</f>
        <v/>
      </c>
      <c r="T3718" s="23">
        <f>(R3718-S3718)*M3718</f>
        <v/>
      </c>
      <c r="U3718" s="23">
        <f>R3718-S3718-T3718</f>
        <v/>
      </c>
      <c r="V3718" s="23">
        <f>D3718*P3718</f>
        <v/>
      </c>
      <c r="W3718" s="23">
        <f>U3718-V3718</f>
        <v/>
      </c>
      <c r="X3718" s="24">
        <f>IFERROR(W3718/U3718,0)</f>
        <v/>
      </c>
    </row>
    <row r="3719">
      <c r="A3719" s="25">
        <f>ItensPedido!A3719</f>
        <v/>
      </c>
      <c r="B3719" s="25">
        <f>ItensPedido!B3719</f>
        <v/>
      </c>
      <c r="C3719" s="25">
        <f>ItensPedido!C3719</f>
        <v/>
      </c>
      <c r="D3719" s="25">
        <f>ItensPedido!D3719</f>
        <v/>
      </c>
      <c r="E3719" s="26">
        <f>ItensPedido!E3719</f>
        <v/>
      </c>
      <c r="F3719" s="25">
        <f>IFERROR(INDEX(Pedidos!$B$2:$B$1801,MATCH(B3719,Pedidos!$A$2:$A$1801,0)),0)</f>
        <v/>
      </c>
      <c r="G3719" s="25">
        <f>IF(F3719=0,"",YEAR(F3719))</f>
        <v/>
      </c>
      <c r="H3719" s="25">
        <f>IF(F3719=0,"",MONTH(F3719))</f>
        <v/>
      </c>
      <c r="I3719" s="25">
        <f>IFERROR(INDEX(Pedidos!$E$2:$E$1801,MATCH(B3719,Pedidos!$A$2:$A$1801,0)),"")</f>
        <v/>
      </c>
      <c r="J3719" s="25">
        <f>IFERROR(INDEX(Pedidos!$C$2:$C$1801,MATCH(B3719,Pedidos!$A$2:$A$1801,0)),"")</f>
        <v/>
      </c>
      <c r="K3719" s="25">
        <f>IFERROR(INDEX(Pedidos!$D$2:$D$1801,MATCH(B3719,Pedidos!$A$2:$A$1801,0)),"")</f>
        <v/>
      </c>
      <c r="L3719" s="25">
        <f>IFERROR(INDEX(Pedidos!$F$2:$F$1801,MATCH(B3719,Pedidos!$A$2:$A$1801,0)),"")</f>
        <v/>
      </c>
      <c r="M3719" s="26">
        <f>IFERROR(INDEX(Pedidos!$G$2:$G$1801,MATCH(B3719,Pedidos!$A$2:$A$1801,0)),0)</f>
        <v/>
      </c>
      <c r="N3719" s="25">
        <f>IFERROR(INDEX(Produtos!$B$2:$B$71,MATCH(C3719,Produtos!$A$2:$A$71,0)),"")</f>
        <v/>
      </c>
      <c r="O3719" s="25">
        <f>IFERROR(INDEX(Produtos!$C$2:$C$71,MATCH(C3719,Produtos!$A$2:$A$71,0)),"")</f>
        <v/>
      </c>
      <c r="P3719" s="25">
        <f>IFERROR(INDEX(Produtos!$D$2:$D$71,MATCH(C3719,Produtos!$A$2:$A$71,0)),0)</f>
        <v/>
      </c>
      <c r="Q3719" s="25">
        <f>IFERROR(INDEX(Produtos!$E$2:$E$71,MATCH(C3719,Produtos!$A$2:$A$71,0)),0)</f>
        <v/>
      </c>
      <c r="R3719" s="27">
        <f>D3719*Q3719</f>
        <v/>
      </c>
      <c r="S3719" s="27">
        <f>R3719*E3719</f>
        <v/>
      </c>
      <c r="T3719" s="27">
        <f>(R3719-S3719)*M3719</f>
        <v/>
      </c>
      <c r="U3719" s="27">
        <f>R3719-S3719-T3719</f>
        <v/>
      </c>
      <c r="V3719" s="27">
        <f>D3719*P3719</f>
        <v/>
      </c>
      <c r="W3719" s="27">
        <f>U3719-V3719</f>
        <v/>
      </c>
      <c r="X3719" s="28">
        <f>IFERROR(W3719/U3719,0)</f>
        <v/>
      </c>
    </row>
    <row r="3720">
      <c r="A3720" s="21">
        <f>ItensPedido!A3720</f>
        <v/>
      </c>
      <c r="B3720" s="21">
        <f>ItensPedido!B3720</f>
        <v/>
      </c>
      <c r="C3720" s="21">
        <f>ItensPedido!C3720</f>
        <v/>
      </c>
      <c r="D3720" s="21">
        <f>ItensPedido!D3720</f>
        <v/>
      </c>
      <c r="E3720" s="22">
        <f>ItensPedido!E3720</f>
        <v/>
      </c>
      <c r="F3720" s="21">
        <f>IFERROR(INDEX(Pedidos!$B$2:$B$1801,MATCH(B3720,Pedidos!$A$2:$A$1801,0)),0)</f>
        <v/>
      </c>
      <c r="G3720" s="21">
        <f>IF(F3720=0,"",YEAR(F3720))</f>
        <v/>
      </c>
      <c r="H3720" s="21">
        <f>IF(F3720=0,"",MONTH(F3720))</f>
        <v/>
      </c>
      <c r="I3720" s="21">
        <f>IFERROR(INDEX(Pedidos!$E$2:$E$1801,MATCH(B3720,Pedidos!$A$2:$A$1801,0)),"")</f>
        <v/>
      </c>
      <c r="J3720" s="21">
        <f>IFERROR(INDEX(Pedidos!$C$2:$C$1801,MATCH(B3720,Pedidos!$A$2:$A$1801,0)),"")</f>
        <v/>
      </c>
      <c r="K3720" s="21">
        <f>IFERROR(INDEX(Pedidos!$D$2:$D$1801,MATCH(B3720,Pedidos!$A$2:$A$1801,0)),"")</f>
        <v/>
      </c>
      <c r="L3720" s="21">
        <f>IFERROR(INDEX(Pedidos!$F$2:$F$1801,MATCH(B3720,Pedidos!$A$2:$A$1801,0)),"")</f>
        <v/>
      </c>
      <c r="M3720" s="22">
        <f>IFERROR(INDEX(Pedidos!$G$2:$G$1801,MATCH(B3720,Pedidos!$A$2:$A$1801,0)),0)</f>
        <v/>
      </c>
      <c r="N3720" s="21">
        <f>IFERROR(INDEX(Produtos!$B$2:$B$71,MATCH(C3720,Produtos!$A$2:$A$71,0)),"")</f>
        <v/>
      </c>
      <c r="O3720" s="21">
        <f>IFERROR(INDEX(Produtos!$C$2:$C$71,MATCH(C3720,Produtos!$A$2:$A$71,0)),"")</f>
        <v/>
      </c>
      <c r="P3720" s="21">
        <f>IFERROR(INDEX(Produtos!$D$2:$D$71,MATCH(C3720,Produtos!$A$2:$A$71,0)),0)</f>
        <v/>
      </c>
      <c r="Q3720" s="21">
        <f>IFERROR(INDEX(Produtos!$E$2:$E$71,MATCH(C3720,Produtos!$A$2:$A$71,0)),0)</f>
        <v/>
      </c>
      <c r="R3720" s="23">
        <f>D3720*Q3720</f>
        <v/>
      </c>
      <c r="S3720" s="23">
        <f>R3720*E3720</f>
        <v/>
      </c>
      <c r="T3720" s="23">
        <f>(R3720-S3720)*M3720</f>
        <v/>
      </c>
      <c r="U3720" s="23">
        <f>R3720-S3720-T3720</f>
        <v/>
      </c>
      <c r="V3720" s="23">
        <f>D3720*P3720</f>
        <v/>
      </c>
      <c r="W3720" s="23">
        <f>U3720-V3720</f>
        <v/>
      </c>
      <c r="X3720" s="24">
        <f>IFERROR(W3720/U3720,0)</f>
        <v/>
      </c>
    </row>
    <row r="3721">
      <c r="A3721" s="25">
        <f>ItensPedido!A3721</f>
        <v/>
      </c>
      <c r="B3721" s="25">
        <f>ItensPedido!B3721</f>
        <v/>
      </c>
      <c r="C3721" s="25">
        <f>ItensPedido!C3721</f>
        <v/>
      </c>
      <c r="D3721" s="25">
        <f>ItensPedido!D3721</f>
        <v/>
      </c>
      <c r="E3721" s="26">
        <f>ItensPedido!E3721</f>
        <v/>
      </c>
      <c r="F3721" s="25">
        <f>IFERROR(INDEX(Pedidos!$B$2:$B$1801,MATCH(B3721,Pedidos!$A$2:$A$1801,0)),0)</f>
        <v/>
      </c>
      <c r="G3721" s="25">
        <f>IF(F3721=0,"",YEAR(F3721))</f>
        <v/>
      </c>
      <c r="H3721" s="25">
        <f>IF(F3721=0,"",MONTH(F3721))</f>
        <v/>
      </c>
      <c r="I3721" s="25">
        <f>IFERROR(INDEX(Pedidos!$E$2:$E$1801,MATCH(B3721,Pedidos!$A$2:$A$1801,0)),"")</f>
        <v/>
      </c>
      <c r="J3721" s="25">
        <f>IFERROR(INDEX(Pedidos!$C$2:$C$1801,MATCH(B3721,Pedidos!$A$2:$A$1801,0)),"")</f>
        <v/>
      </c>
      <c r="K3721" s="25">
        <f>IFERROR(INDEX(Pedidos!$D$2:$D$1801,MATCH(B3721,Pedidos!$A$2:$A$1801,0)),"")</f>
        <v/>
      </c>
      <c r="L3721" s="25">
        <f>IFERROR(INDEX(Pedidos!$F$2:$F$1801,MATCH(B3721,Pedidos!$A$2:$A$1801,0)),"")</f>
        <v/>
      </c>
      <c r="M3721" s="26">
        <f>IFERROR(INDEX(Pedidos!$G$2:$G$1801,MATCH(B3721,Pedidos!$A$2:$A$1801,0)),0)</f>
        <v/>
      </c>
      <c r="N3721" s="25">
        <f>IFERROR(INDEX(Produtos!$B$2:$B$71,MATCH(C3721,Produtos!$A$2:$A$71,0)),"")</f>
        <v/>
      </c>
      <c r="O3721" s="25">
        <f>IFERROR(INDEX(Produtos!$C$2:$C$71,MATCH(C3721,Produtos!$A$2:$A$71,0)),"")</f>
        <v/>
      </c>
      <c r="P3721" s="25">
        <f>IFERROR(INDEX(Produtos!$D$2:$D$71,MATCH(C3721,Produtos!$A$2:$A$71,0)),0)</f>
        <v/>
      </c>
      <c r="Q3721" s="25">
        <f>IFERROR(INDEX(Produtos!$E$2:$E$71,MATCH(C3721,Produtos!$A$2:$A$71,0)),0)</f>
        <v/>
      </c>
      <c r="R3721" s="27">
        <f>D3721*Q3721</f>
        <v/>
      </c>
      <c r="S3721" s="27">
        <f>R3721*E3721</f>
        <v/>
      </c>
      <c r="T3721" s="27">
        <f>(R3721-S3721)*M3721</f>
        <v/>
      </c>
      <c r="U3721" s="27">
        <f>R3721-S3721-T3721</f>
        <v/>
      </c>
      <c r="V3721" s="27">
        <f>D3721*P3721</f>
        <v/>
      </c>
      <c r="W3721" s="27">
        <f>U3721-V3721</f>
        <v/>
      </c>
      <c r="X3721" s="28">
        <f>IFERROR(W3721/U3721,0)</f>
        <v/>
      </c>
    </row>
    <row r="3722">
      <c r="A3722" s="21">
        <f>ItensPedido!A3722</f>
        <v/>
      </c>
      <c r="B3722" s="21">
        <f>ItensPedido!B3722</f>
        <v/>
      </c>
      <c r="C3722" s="21">
        <f>ItensPedido!C3722</f>
        <v/>
      </c>
      <c r="D3722" s="21">
        <f>ItensPedido!D3722</f>
        <v/>
      </c>
      <c r="E3722" s="22">
        <f>ItensPedido!E3722</f>
        <v/>
      </c>
      <c r="F3722" s="21">
        <f>IFERROR(INDEX(Pedidos!$B$2:$B$1801,MATCH(B3722,Pedidos!$A$2:$A$1801,0)),0)</f>
        <v/>
      </c>
      <c r="G3722" s="21">
        <f>IF(F3722=0,"",YEAR(F3722))</f>
        <v/>
      </c>
      <c r="H3722" s="21">
        <f>IF(F3722=0,"",MONTH(F3722))</f>
        <v/>
      </c>
      <c r="I3722" s="21">
        <f>IFERROR(INDEX(Pedidos!$E$2:$E$1801,MATCH(B3722,Pedidos!$A$2:$A$1801,0)),"")</f>
        <v/>
      </c>
      <c r="J3722" s="21">
        <f>IFERROR(INDEX(Pedidos!$C$2:$C$1801,MATCH(B3722,Pedidos!$A$2:$A$1801,0)),"")</f>
        <v/>
      </c>
      <c r="K3722" s="21">
        <f>IFERROR(INDEX(Pedidos!$D$2:$D$1801,MATCH(B3722,Pedidos!$A$2:$A$1801,0)),"")</f>
        <v/>
      </c>
      <c r="L3722" s="21">
        <f>IFERROR(INDEX(Pedidos!$F$2:$F$1801,MATCH(B3722,Pedidos!$A$2:$A$1801,0)),"")</f>
        <v/>
      </c>
      <c r="M3722" s="22">
        <f>IFERROR(INDEX(Pedidos!$G$2:$G$1801,MATCH(B3722,Pedidos!$A$2:$A$1801,0)),0)</f>
        <v/>
      </c>
      <c r="N3722" s="21">
        <f>IFERROR(INDEX(Produtos!$B$2:$B$71,MATCH(C3722,Produtos!$A$2:$A$71,0)),"")</f>
        <v/>
      </c>
      <c r="O3722" s="21">
        <f>IFERROR(INDEX(Produtos!$C$2:$C$71,MATCH(C3722,Produtos!$A$2:$A$71,0)),"")</f>
        <v/>
      </c>
      <c r="P3722" s="21">
        <f>IFERROR(INDEX(Produtos!$D$2:$D$71,MATCH(C3722,Produtos!$A$2:$A$71,0)),0)</f>
        <v/>
      </c>
      <c r="Q3722" s="21">
        <f>IFERROR(INDEX(Produtos!$E$2:$E$71,MATCH(C3722,Produtos!$A$2:$A$71,0)),0)</f>
        <v/>
      </c>
      <c r="R3722" s="23">
        <f>D3722*Q3722</f>
        <v/>
      </c>
      <c r="S3722" s="23">
        <f>R3722*E3722</f>
        <v/>
      </c>
      <c r="T3722" s="23">
        <f>(R3722-S3722)*M3722</f>
        <v/>
      </c>
      <c r="U3722" s="23">
        <f>R3722-S3722-T3722</f>
        <v/>
      </c>
      <c r="V3722" s="23">
        <f>D3722*P3722</f>
        <v/>
      </c>
      <c r="W3722" s="23">
        <f>U3722-V3722</f>
        <v/>
      </c>
      <c r="X3722" s="24">
        <f>IFERROR(W3722/U3722,0)</f>
        <v/>
      </c>
    </row>
    <row r="3723">
      <c r="A3723" s="25">
        <f>ItensPedido!A3723</f>
        <v/>
      </c>
      <c r="B3723" s="25">
        <f>ItensPedido!B3723</f>
        <v/>
      </c>
      <c r="C3723" s="25">
        <f>ItensPedido!C3723</f>
        <v/>
      </c>
      <c r="D3723" s="25">
        <f>ItensPedido!D3723</f>
        <v/>
      </c>
      <c r="E3723" s="26">
        <f>ItensPedido!E3723</f>
        <v/>
      </c>
      <c r="F3723" s="25">
        <f>IFERROR(INDEX(Pedidos!$B$2:$B$1801,MATCH(B3723,Pedidos!$A$2:$A$1801,0)),0)</f>
        <v/>
      </c>
      <c r="G3723" s="25">
        <f>IF(F3723=0,"",YEAR(F3723))</f>
        <v/>
      </c>
      <c r="H3723" s="25">
        <f>IF(F3723=0,"",MONTH(F3723))</f>
        <v/>
      </c>
      <c r="I3723" s="25">
        <f>IFERROR(INDEX(Pedidos!$E$2:$E$1801,MATCH(B3723,Pedidos!$A$2:$A$1801,0)),"")</f>
        <v/>
      </c>
      <c r="J3723" s="25">
        <f>IFERROR(INDEX(Pedidos!$C$2:$C$1801,MATCH(B3723,Pedidos!$A$2:$A$1801,0)),"")</f>
        <v/>
      </c>
      <c r="K3723" s="25">
        <f>IFERROR(INDEX(Pedidos!$D$2:$D$1801,MATCH(B3723,Pedidos!$A$2:$A$1801,0)),"")</f>
        <v/>
      </c>
      <c r="L3723" s="25">
        <f>IFERROR(INDEX(Pedidos!$F$2:$F$1801,MATCH(B3723,Pedidos!$A$2:$A$1801,0)),"")</f>
        <v/>
      </c>
      <c r="M3723" s="26">
        <f>IFERROR(INDEX(Pedidos!$G$2:$G$1801,MATCH(B3723,Pedidos!$A$2:$A$1801,0)),0)</f>
        <v/>
      </c>
      <c r="N3723" s="25">
        <f>IFERROR(INDEX(Produtos!$B$2:$B$71,MATCH(C3723,Produtos!$A$2:$A$71,0)),"")</f>
        <v/>
      </c>
      <c r="O3723" s="25">
        <f>IFERROR(INDEX(Produtos!$C$2:$C$71,MATCH(C3723,Produtos!$A$2:$A$71,0)),"")</f>
        <v/>
      </c>
      <c r="P3723" s="25">
        <f>IFERROR(INDEX(Produtos!$D$2:$D$71,MATCH(C3723,Produtos!$A$2:$A$71,0)),0)</f>
        <v/>
      </c>
      <c r="Q3723" s="25">
        <f>IFERROR(INDEX(Produtos!$E$2:$E$71,MATCH(C3723,Produtos!$A$2:$A$71,0)),0)</f>
        <v/>
      </c>
      <c r="R3723" s="27">
        <f>D3723*Q3723</f>
        <v/>
      </c>
      <c r="S3723" s="27">
        <f>R3723*E3723</f>
        <v/>
      </c>
      <c r="T3723" s="27">
        <f>(R3723-S3723)*M3723</f>
        <v/>
      </c>
      <c r="U3723" s="27">
        <f>R3723-S3723-T3723</f>
        <v/>
      </c>
      <c r="V3723" s="27">
        <f>D3723*P3723</f>
        <v/>
      </c>
      <c r="W3723" s="27">
        <f>U3723-V3723</f>
        <v/>
      </c>
      <c r="X3723" s="28">
        <f>IFERROR(W3723/U3723,0)</f>
        <v/>
      </c>
    </row>
    <row r="3724">
      <c r="A3724" s="21">
        <f>ItensPedido!A3724</f>
        <v/>
      </c>
      <c r="B3724" s="21">
        <f>ItensPedido!B3724</f>
        <v/>
      </c>
      <c r="C3724" s="21">
        <f>ItensPedido!C3724</f>
        <v/>
      </c>
      <c r="D3724" s="21">
        <f>ItensPedido!D3724</f>
        <v/>
      </c>
      <c r="E3724" s="22">
        <f>ItensPedido!E3724</f>
        <v/>
      </c>
      <c r="F3724" s="21">
        <f>IFERROR(INDEX(Pedidos!$B$2:$B$1801,MATCH(B3724,Pedidos!$A$2:$A$1801,0)),0)</f>
        <v/>
      </c>
      <c r="G3724" s="21">
        <f>IF(F3724=0,"",YEAR(F3724))</f>
        <v/>
      </c>
      <c r="H3724" s="21">
        <f>IF(F3724=0,"",MONTH(F3724))</f>
        <v/>
      </c>
      <c r="I3724" s="21">
        <f>IFERROR(INDEX(Pedidos!$E$2:$E$1801,MATCH(B3724,Pedidos!$A$2:$A$1801,0)),"")</f>
        <v/>
      </c>
      <c r="J3724" s="21">
        <f>IFERROR(INDEX(Pedidos!$C$2:$C$1801,MATCH(B3724,Pedidos!$A$2:$A$1801,0)),"")</f>
        <v/>
      </c>
      <c r="K3724" s="21">
        <f>IFERROR(INDEX(Pedidos!$D$2:$D$1801,MATCH(B3724,Pedidos!$A$2:$A$1801,0)),"")</f>
        <v/>
      </c>
      <c r="L3724" s="21">
        <f>IFERROR(INDEX(Pedidos!$F$2:$F$1801,MATCH(B3724,Pedidos!$A$2:$A$1801,0)),"")</f>
        <v/>
      </c>
      <c r="M3724" s="22">
        <f>IFERROR(INDEX(Pedidos!$G$2:$G$1801,MATCH(B3724,Pedidos!$A$2:$A$1801,0)),0)</f>
        <v/>
      </c>
      <c r="N3724" s="21">
        <f>IFERROR(INDEX(Produtos!$B$2:$B$71,MATCH(C3724,Produtos!$A$2:$A$71,0)),"")</f>
        <v/>
      </c>
      <c r="O3724" s="21">
        <f>IFERROR(INDEX(Produtos!$C$2:$C$71,MATCH(C3724,Produtos!$A$2:$A$71,0)),"")</f>
        <v/>
      </c>
      <c r="P3724" s="21">
        <f>IFERROR(INDEX(Produtos!$D$2:$D$71,MATCH(C3724,Produtos!$A$2:$A$71,0)),0)</f>
        <v/>
      </c>
      <c r="Q3724" s="21">
        <f>IFERROR(INDEX(Produtos!$E$2:$E$71,MATCH(C3724,Produtos!$A$2:$A$71,0)),0)</f>
        <v/>
      </c>
      <c r="R3724" s="23">
        <f>D3724*Q3724</f>
        <v/>
      </c>
      <c r="S3724" s="23">
        <f>R3724*E3724</f>
        <v/>
      </c>
      <c r="T3724" s="23">
        <f>(R3724-S3724)*M3724</f>
        <v/>
      </c>
      <c r="U3724" s="23">
        <f>R3724-S3724-T3724</f>
        <v/>
      </c>
      <c r="V3724" s="23">
        <f>D3724*P3724</f>
        <v/>
      </c>
      <c r="W3724" s="23">
        <f>U3724-V3724</f>
        <v/>
      </c>
      <c r="X3724" s="24">
        <f>IFERROR(W3724/U3724,0)</f>
        <v/>
      </c>
    </row>
    <row r="3725">
      <c r="A3725" s="25">
        <f>ItensPedido!A3725</f>
        <v/>
      </c>
      <c r="B3725" s="25">
        <f>ItensPedido!B3725</f>
        <v/>
      </c>
      <c r="C3725" s="25">
        <f>ItensPedido!C3725</f>
        <v/>
      </c>
      <c r="D3725" s="25">
        <f>ItensPedido!D3725</f>
        <v/>
      </c>
      <c r="E3725" s="26">
        <f>ItensPedido!E3725</f>
        <v/>
      </c>
      <c r="F3725" s="25">
        <f>IFERROR(INDEX(Pedidos!$B$2:$B$1801,MATCH(B3725,Pedidos!$A$2:$A$1801,0)),0)</f>
        <v/>
      </c>
      <c r="G3725" s="25">
        <f>IF(F3725=0,"",YEAR(F3725))</f>
        <v/>
      </c>
      <c r="H3725" s="25">
        <f>IF(F3725=0,"",MONTH(F3725))</f>
        <v/>
      </c>
      <c r="I3725" s="25">
        <f>IFERROR(INDEX(Pedidos!$E$2:$E$1801,MATCH(B3725,Pedidos!$A$2:$A$1801,0)),"")</f>
        <v/>
      </c>
      <c r="J3725" s="25">
        <f>IFERROR(INDEX(Pedidos!$C$2:$C$1801,MATCH(B3725,Pedidos!$A$2:$A$1801,0)),"")</f>
        <v/>
      </c>
      <c r="K3725" s="25">
        <f>IFERROR(INDEX(Pedidos!$D$2:$D$1801,MATCH(B3725,Pedidos!$A$2:$A$1801,0)),"")</f>
        <v/>
      </c>
      <c r="L3725" s="25">
        <f>IFERROR(INDEX(Pedidos!$F$2:$F$1801,MATCH(B3725,Pedidos!$A$2:$A$1801,0)),"")</f>
        <v/>
      </c>
      <c r="M3725" s="26">
        <f>IFERROR(INDEX(Pedidos!$G$2:$G$1801,MATCH(B3725,Pedidos!$A$2:$A$1801,0)),0)</f>
        <v/>
      </c>
      <c r="N3725" s="25">
        <f>IFERROR(INDEX(Produtos!$B$2:$B$71,MATCH(C3725,Produtos!$A$2:$A$71,0)),"")</f>
        <v/>
      </c>
      <c r="O3725" s="25">
        <f>IFERROR(INDEX(Produtos!$C$2:$C$71,MATCH(C3725,Produtos!$A$2:$A$71,0)),"")</f>
        <v/>
      </c>
      <c r="P3725" s="25">
        <f>IFERROR(INDEX(Produtos!$D$2:$D$71,MATCH(C3725,Produtos!$A$2:$A$71,0)),0)</f>
        <v/>
      </c>
      <c r="Q3725" s="25">
        <f>IFERROR(INDEX(Produtos!$E$2:$E$71,MATCH(C3725,Produtos!$A$2:$A$71,0)),0)</f>
        <v/>
      </c>
      <c r="R3725" s="27">
        <f>D3725*Q3725</f>
        <v/>
      </c>
      <c r="S3725" s="27">
        <f>R3725*E3725</f>
        <v/>
      </c>
      <c r="T3725" s="27">
        <f>(R3725-S3725)*M3725</f>
        <v/>
      </c>
      <c r="U3725" s="27">
        <f>R3725-S3725-T3725</f>
        <v/>
      </c>
      <c r="V3725" s="27">
        <f>D3725*P3725</f>
        <v/>
      </c>
      <c r="W3725" s="27">
        <f>U3725-V3725</f>
        <v/>
      </c>
      <c r="X3725" s="28">
        <f>IFERROR(W3725/U3725,0)</f>
        <v/>
      </c>
    </row>
    <row r="3726">
      <c r="A3726" s="21">
        <f>ItensPedido!A3726</f>
        <v/>
      </c>
      <c r="B3726" s="21">
        <f>ItensPedido!B3726</f>
        <v/>
      </c>
      <c r="C3726" s="21">
        <f>ItensPedido!C3726</f>
        <v/>
      </c>
      <c r="D3726" s="21">
        <f>ItensPedido!D3726</f>
        <v/>
      </c>
      <c r="E3726" s="22">
        <f>ItensPedido!E3726</f>
        <v/>
      </c>
      <c r="F3726" s="21">
        <f>IFERROR(INDEX(Pedidos!$B$2:$B$1801,MATCH(B3726,Pedidos!$A$2:$A$1801,0)),0)</f>
        <v/>
      </c>
      <c r="G3726" s="21">
        <f>IF(F3726=0,"",YEAR(F3726))</f>
        <v/>
      </c>
      <c r="H3726" s="21">
        <f>IF(F3726=0,"",MONTH(F3726))</f>
        <v/>
      </c>
      <c r="I3726" s="21">
        <f>IFERROR(INDEX(Pedidos!$E$2:$E$1801,MATCH(B3726,Pedidos!$A$2:$A$1801,0)),"")</f>
        <v/>
      </c>
      <c r="J3726" s="21">
        <f>IFERROR(INDEX(Pedidos!$C$2:$C$1801,MATCH(B3726,Pedidos!$A$2:$A$1801,0)),"")</f>
        <v/>
      </c>
      <c r="K3726" s="21">
        <f>IFERROR(INDEX(Pedidos!$D$2:$D$1801,MATCH(B3726,Pedidos!$A$2:$A$1801,0)),"")</f>
        <v/>
      </c>
      <c r="L3726" s="21">
        <f>IFERROR(INDEX(Pedidos!$F$2:$F$1801,MATCH(B3726,Pedidos!$A$2:$A$1801,0)),"")</f>
        <v/>
      </c>
      <c r="M3726" s="22">
        <f>IFERROR(INDEX(Pedidos!$G$2:$G$1801,MATCH(B3726,Pedidos!$A$2:$A$1801,0)),0)</f>
        <v/>
      </c>
      <c r="N3726" s="21">
        <f>IFERROR(INDEX(Produtos!$B$2:$B$71,MATCH(C3726,Produtos!$A$2:$A$71,0)),"")</f>
        <v/>
      </c>
      <c r="O3726" s="21">
        <f>IFERROR(INDEX(Produtos!$C$2:$C$71,MATCH(C3726,Produtos!$A$2:$A$71,0)),"")</f>
        <v/>
      </c>
      <c r="P3726" s="21">
        <f>IFERROR(INDEX(Produtos!$D$2:$D$71,MATCH(C3726,Produtos!$A$2:$A$71,0)),0)</f>
        <v/>
      </c>
      <c r="Q3726" s="21">
        <f>IFERROR(INDEX(Produtos!$E$2:$E$71,MATCH(C3726,Produtos!$A$2:$A$71,0)),0)</f>
        <v/>
      </c>
      <c r="R3726" s="23">
        <f>D3726*Q3726</f>
        <v/>
      </c>
      <c r="S3726" s="23">
        <f>R3726*E3726</f>
        <v/>
      </c>
      <c r="T3726" s="23">
        <f>(R3726-S3726)*M3726</f>
        <v/>
      </c>
      <c r="U3726" s="23">
        <f>R3726-S3726-T3726</f>
        <v/>
      </c>
      <c r="V3726" s="23">
        <f>D3726*P3726</f>
        <v/>
      </c>
      <c r="W3726" s="23">
        <f>U3726-V3726</f>
        <v/>
      </c>
      <c r="X3726" s="24">
        <f>IFERROR(W3726/U3726,0)</f>
        <v/>
      </c>
    </row>
    <row r="3727">
      <c r="A3727" s="25">
        <f>ItensPedido!A3727</f>
        <v/>
      </c>
      <c r="B3727" s="25">
        <f>ItensPedido!B3727</f>
        <v/>
      </c>
      <c r="C3727" s="25">
        <f>ItensPedido!C3727</f>
        <v/>
      </c>
      <c r="D3727" s="25">
        <f>ItensPedido!D3727</f>
        <v/>
      </c>
      <c r="E3727" s="26">
        <f>ItensPedido!E3727</f>
        <v/>
      </c>
      <c r="F3727" s="25">
        <f>IFERROR(INDEX(Pedidos!$B$2:$B$1801,MATCH(B3727,Pedidos!$A$2:$A$1801,0)),0)</f>
        <v/>
      </c>
      <c r="G3727" s="25">
        <f>IF(F3727=0,"",YEAR(F3727))</f>
        <v/>
      </c>
      <c r="H3727" s="25">
        <f>IF(F3727=0,"",MONTH(F3727))</f>
        <v/>
      </c>
      <c r="I3727" s="25">
        <f>IFERROR(INDEX(Pedidos!$E$2:$E$1801,MATCH(B3727,Pedidos!$A$2:$A$1801,0)),"")</f>
        <v/>
      </c>
      <c r="J3727" s="25">
        <f>IFERROR(INDEX(Pedidos!$C$2:$C$1801,MATCH(B3727,Pedidos!$A$2:$A$1801,0)),"")</f>
        <v/>
      </c>
      <c r="K3727" s="25">
        <f>IFERROR(INDEX(Pedidos!$D$2:$D$1801,MATCH(B3727,Pedidos!$A$2:$A$1801,0)),"")</f>
        <v/>
      </c>
      <c r="L3727" s="25">
        <f>IFERROR(INDEX(Pedidos!$F$2:$F$1801,MATCH(B3727,Pedidos!$A$2:$A$1801,0)),"")</f>
        <v/>
      </c>
      <c r="M3727" s="26">
        <f>IFERROR(INDEX(Pedidos!$G$2:$G$1801,MATCH(B3727,Pedidos!$A$2:$A$1801,0)),0)</f>
        <v/>
      </c>
      <c r="N3727" s="25">
        <f>IFERROR(INDEX(Produtos!$B$2:$B$71,MATCH(C3727,Produtos!$A$2:$A$71,0)),"")</f>
        <v/>
      </c>
      <c r="O3727" s="25">
        <f>IFERROR(INDEX(Produtos!$C$2:$C$71,MATCH(C3727,Produtos!$A$2:$A$71,0)),"")</f>
        <v/>
      </c>
      <c r="P3727" s="25">
        <f>IFERROR(INDEX(Produtos!$D$2:$D$71,MATCH(C3727,Produtos!$A$2:$A$71,0)),0)</f>
        <v/>
      </c>
      <c r="Q3727" s="25">
        <f>IFERROR(INDEX(Produtos!$E$2:$E$71,MATCH(C3727,Produtos!$A$2:$A$71,0)),0)</f>
        <v/>
      </c>
      <c r="R3727" s="27">
        <f>D3727*Q3727</f>
        <v/>
      </c>
      <c r="S3727" s="27">
        <f>R3727*E3727</f>
        <v/>
      </c>
      <c r="T3727" s="27">
        <f>(R3727-S3727)*M3727</f>
        <v/>
      </c>
      <c r="U3727" s="27">
        <f>R3727-S3727-T3727</f>
        <v/>
      </c>
      <c r="V3727" s="27">
        <f>D3727*P3727</f>
        <v/>
      </c>
      <c r="W3727" s="27">
        <f>U3727-V3727</f>
        <v/>
      </c>
      <c r="X3727" s="28">
        <f>IFERROR(W3727/U3727,0)</f>
        <v/>
      </c>
    </row>
    <row r="3728">
      <c r="A3728" s="21">
        <f>ItensPedido!A3728</f>
        <v/>
      </c>
      <c r="B3728" s="21">
        <f>ItensPedido!B3728</f>
        <v/>
      </c>
      <c r="C3728" s="21">
        <f>ItensPedido!C3728</f>
        <v/>
      </c>
      <c r="D3728" s="21">
        <f>ItensPedido!D3728</f>
        <v/>
      </c>
      <c r="E3728" s="22">
        <f>ItensPedido!E3728</f>
        <v/>
      </c>
      <c r="F3728" s="21">
        <f>IFERROR(INDEX(Pedidos!$B$2:$B$1801,MATCH(B3728,Pedidos!$A$2:$A$1801,0)),0)</f>
        <v/>
      </c>
      <c r="G3728" s="21">
        <f>IF(F3728=0,"",YEAR(F3728))</f>
        <v/>
      </c>
      <c r="H3728" s="21">
        <f>IF(F3728=0,"",MONTH(F3728))</f>
        <v/>
      </c>
      <c r="I3728" s="21">
        <f>IFERROR(INDEX(Pedidos!$E$2:$E$1801,MATCH(B3728,Pedidos!$A$2:$A$1801,0)),"")</f>
        <v/>
      </c>
      <c r="J3728" s="21">
        <f>IFERROR(INDEX(Pedidos!$C$2:$C$1801,MATCH(B3728,Pedidos!$A$2:$A$1801,0)),"")</f>
        <v/>
      </c>
      <c r="K3728" s="21">
        <f>IFERROR(INDEX(Pedidos!$D$2:$D$1801,MATCH(B3728,Pedidos!$A$2:$A$1801,0)),"")</f>
        <v/>
      </c>
      <c r="L3728" s="21">
        <f>IFERROR(INDEX(Pedidos!$F$2:$F$1801,MATCH(B3728,Pedidos!$A$2:$A$1801,0)),"")</f>
        <v/>
      </c>
      <c r="M3728" s="22">
        <f>IFERROR(INDEX(Pedidos!$G$2:$G$1801,MATCH(B3728,Pedidos!$A$2:$A$1801,0)),0)</f>
        <v/>
      </c>
      <c r="N3728" s="21">
        <f>IFERROR(INDEX(Produtos!$B$2:$B$71,MATCH(C3728,Produtos!$A$2:$A$71,0)),"")</f>
        <v/>
      </c>
      <c r="O3728" s="21">
        <f>IFERROR(INDEX(Produtos!$C$2:$C$71,MATCH(C3728,Produtos!$A$2:$A$71,0)),"")</f>
        <v/>
      </c>
      <c r="P3728" s="21">
        <f>IFERROR(INDEX(Produtos!$D$2:$D$71,MATCH(C3728,Produtos!$A$2:$A$71,0)),0)</f>
        <v/>
      </c>
      <c r="Q3728" s="21">
        <f>IFERROR(INDEX(Produtos!$E$2:$E$71,MATCH(C3728,Produtos!$A$2:$A$71,0)),0)</f>
        <v/>
      </c>
      <c r="R3728" s="23">
        <f>D3728*Q3728</f>
        <v/>
      </c>
      <c r="S3728" s="23">
        <f>R3728*E3728</f>
        <v/>
      </c>
      <c r="T3728" s="23">
        <f>(R3728-S3728)*M3728</f>
        <v/>
      </c>
      <c r="U3728" s="23">
        <f>R3728-S3728-T3728</f>
        <v/>
      </c>
      <c r="V3728" s="23">
        <f>D3728*P3728</f>
        <v/>
      </c>
      <c r="W3728" s="23">
        <f>U3728-V3728</f>
        <v/>
      </c>
      <c r="X3728" s="24">
        <f>IFERROR(W3728/U3728,0)</f>
        <v/>
      </c>
    </row>
    <row r="3729">
      <c r="A3729" s="25">
        <f>ItensPedido!A3729</f>
        <v/>
      </c>
      <c r="B3729" s="25">
        <f>ItensPedido!B3729</f>
        <v/>
      </c>
      <c r="C3729" s="25">
        <f>ItensPedido!C3729</f>
        <v/>
      </c>
      <c r="D3729" s="25">
        <f>ItensPedido!D3729</f>
        <v/>
      </c>
      <c r="E3729" s="26">
        <f>ItensPedido!E3729</f>
        <v/>
      </c>
      <c r="F3729" s="25">
        <f>IFERROR(INDEX(Pedidos!$B$2:$B$1801,MATCH(B3729,Pedidos!$A$2:$A$1801,0)),0)</f>
        <v/>
      </c>
      <c r="G3729" s="25">
        <f>IF(F3729=0,"",YEAR(F3729))</f>
        <v/>
      </c>
      <c r="H3729" s="25">
        <f>IF(F3729=0,"",MONTH(F3729))</f>
        <v/>
      </c>
      <c r="I3729" s="25">
        <f>IFERROR(INDEX(Pedidos!$E$2:$E$1801,MATCH(B3729,Pedidos!$A$2:$A$1801,0)),"")</f>
        <v/>
      </c>
      <c r="J3729" s="25">
        <f>IFERROR(INDEX(Pedidos!$C$2:$C$1801,MATCH(B3729,Pedidos!$A$2:$A$1801,0)),"")</f>
        <v/>
      </c>
      <c r="K3729" s="25">
        <f>IFERROR(INDEX(Pedidos!$D$2:$D$1801,MATCH(B3729,Pedidos!$A$2:$A$1801,0)),"")</f>
        <v/>
      </c>
      <c r="L3729" s="25">
        <f>IFERROR(INDEX(Pedidos!$F$2:$F$1801,MATCH(B3729,Pedidos!$A$2:$A$1801,0)),"")</f>
        <v/>
      </c>
      <c r="M3729" s="26">
        <f>IFERROR(INDEX(Pedidos!$G$2:$G$1801,MATCH(B3729,Pedidos!$A$2:$A$1801,0)),0)</f>
        <v/>
      </c>
      <c r="N3729" s="25">
        <f>IFERROR(INDEX(Produtos!$B$2:$B$71,MATCH(C3729,Produtos!$A$2:$A$71,0)),"")</f>
        <v/>
      </c>
      <c r="O3729" s="25">
        <f>IFERROR(INDEX(Produtos!$C$2:$C$71,MATCH(C3729,Produtos!$A$2:$A$71,0)),"")</f>
        <v/>
      </c>
      <c r="P3729" s="25">
        <f>IFERROR(INDEX(Produtos!$D$2:$D$71,MATCH(C3729,Produtos!$A$2:$A$71,0)),0)</f>
        <v/>
      </c>
      <c r="Q3729" s="25">
        <f>IFERROR(INDEX(Produtos!$E$2:$E$71,MATCH(C3729,Produtos!$A$2:$A$71,0)),0)</f>
        <v/>
      </c>
      <c r="R3729" s="27">
        <f>D3729*Q3729</f>
        <v/>
      </c>
      <c r="S3729" s="27">
        <f>R3729*E3729</f>
        <v/>
      </c>
      <c r="T3729" s="27">
        <f>(R3729-S3729)*M3729</f>
        <v/>
      </c>
      <c r="U3729" s="27">
        <f>R3729-S3729-T3729</f>
        <v/>
      </c>
      <c r="V3729" s="27">
        <f>D3729*P3729</f>
        <v/>
      </c>
      <c r="W3729" s="27">
        <f>U3729-V3729</f>
        <v/>
      </c>
      <c r="X3729" s="28">
        <f>IFERROR(W3729/U3729,0)</f>
        <v/>
      </c>
    </row>
    <row r="3730">
      <c r="A3730" s="21">
        <f>ItensPedido!A3730</f>
        <v/>
      </c>
      <c r="B3730" s="21">
        <f>ItensPedido!B3730</f>
        <v/>
      </c>
      <c r="C3730" s="21">
        <f>ItensPedido!C3730</f>
        <v/>
      </c>
      <c r="D3730" s="21">
        <f>ItensPedido!D3730</f>
        <v/>
      </c>
      <c r="E3730" s="22">
        <f>ItensPedido!E3730</f>
        <v/>
      </c>
      <c r="F3730" s="21">
        <f>IFERROR(INDEX(Pedidos!$B$2:$B$1801,MATCH(B3730,Pedidos!$A$2:$A$1801,0)),0)</f>
        <v/>
      </c>
      <c r="G3730" s="21">
        <f>IF(F3730=0,"",YEAR(F3730))</f>
        <v/>
      </c>
      <c r="H3730" s="21">
        <f>IF(F3730=0,"",MONTH(F3730))</f>
        <v/>
      </c>
      <c r="I3730" s="21">
        <f>IFERROR(INDEX(Pedidos!$E$2:$E$1801,MATCH(B3730,Pedidos!$A$2:$A$1801,0)),"")</f>
        <v/>
      </c>
      <c r="J3730" s="21">
        <f>IFERROR(INDEX(Pedidos!$C$2:$C$1801,MATCH(B3730,Pedidos!$A$2:$A$1801,0)),"")</f>
        <v/>
      </c>
      <c r="K3730" s="21">
        <f>IFERROR(INDEX(Pedidos!$D$2:$D$1801,MATCH(B3730,Pedidos!$A$2:$A$1801,0)),"")</f>
        <v/>
      </c>
      <c r="L3730" s="21">
        <f>IFERROR(INDEX(Pedidos!$F$2:$F$1801,MATCH(B3730,Pedidos!$A$2:$A$1801,0)),"")</f>
        <v/>
      </c>
      <c r="M3730" s="22">
        <f>IFERROR(INDEX(Pedidos!$G$2:$G$1801,MATCH(B3730,Pedidos!$A$2:$A$1801,0)),0)</f>
        <v/>
      </c>
      <c r="N3730" s="21">
        <f>IFERROR(INDEX(Produtos!$B$2:$B$71,MATCH(C3730,Produtos!$A$2:$A$71,0)),"")</f>
        <v/>
      </c>
      <c r="O3730" s="21">
        <f>IFERROR(INDEX(Produtos!$C$2:$C$71,MATCH(C3730,Produtos!$A$2:$A$71,0)),"")</f>
        <v/>
      </c>
      <c r="P3730" s="21">
        <f>IFERROR(INDEX(Produtos!$D$2:$D$71,MATCH(C3730,Produtos!$A$2:$A$71,0)),0)</f>
        <v/>
      </c>
      <c r="Q3730" s="21">
        <f>IFERROR(INDEX(Produtos!$E$2:$E$71,MATCH(C3730,Produtos!$A$2:$A$71,0)),0)</f>
        <v/>
      </c>
      <c r="R3730" s="23">
        <f>D3730*Q3730</f>
        <v/>
      </c>
      <c r="S3730" s="23">
        <f>R3730*E3730</f>
        <v/>
      </c>
      <c r="T3730" s="23">
        <f>(R3730-S3730)*M3730</f>
        <v/>
      </c>
      <c r="U3730" s="23">
        <f>R3730-S3730-T3730</f>
        <v/>
      </c>
      <c r="V3730" s="23">
        <f>D3730*P3730</f>
        <v/>
      </c>
      <c r="W3730" s="23">
        <f>U3730-V3730</f>
        <v/>
      </c>
      <c r="X3730" s="24">
        <f>IFERROR(W3730/U3730,0)</f>
        <v/>
      </c>
    </row>
    <row r="3731">
      <c r="A3731" s="25">
        <f>ItensPedido!A3731</f>
        <v/>
      </c>
      <c r="B3731" s="25">
        <f>ItensPedido!B3731</f>
        <v/>
      </c>
      <c r="C3731" s="25">
        <f>ItensPedido!C3731</f>
        <v/>
      </c>
      <c r="D3731" s="25">
        <f>ItensPedido!D3731</f>
        <v/>
      </c>
      <c r="E3731" s="26">
        <f>ItensPedido!E3731</f>
        <v/>
      </c>
      <c r="F3731" s="25">
        <f>IFERROR(INDEX(Pedidos!$B$2:$B$1801,MATCH(B3731,Pedidos!$A$2:$A$1801,0)),0)</f>
        <v/>
      </c>
      <c r="G3731" s="25">
        <f>IF(F3731=0,"",YEAR(F3731))</f>
        <v/>
      </c>
      <c r="H3731" s="25">
        <f>IF(F3731=0,"",MONTH(F3731))</f>
        <v/>
      </c>
      <c r="I3731" s="25">
        <f>IFERROR(INDEX(Pedidos!$E$2:$E$1801,MATCH(B3731,Pedidos!$A$2:$A$1801,0)),"")</f>
        <v/>
      </c>
      <c r="J3731" s="25">
        <f>IFERROR(INDEX(Pedidos!$C$2:$C$1801,MATCH(B3731,Pedidos!$A$2:$A$1801,0)),"")</f>
        <v/>
      </c>
      <c r="K3731" s="25">
        <f>IFERROR(INDEX(Pedidos!$D$2:$D$1801,MATCH(B3731,Pedidos!$A$2:$A$1801,0)),"")</f>
        <v/>
      </c>
      <c r="L3731" s="25">
        <f>IFERROR(INDEX(Pedidos!$F$2:$F$1801,MATCH(B3731,Pedidos!$A$2:$A$1801,0)),"")</f>
        <v/>
      </c>
      <c r="M3731" s="26">
        <f>IFERROR(INDEX(Pedidos!$G$2:$G$1801,MATCH(B3731,Pedidos!$A$2:$A$1801,0)),0)</f>
        <v/>
      </c>
      <c r="N3731" s="25">
        <f>IFERROR(INDEX(Produtos!$B$2:$B$71,MATCH(C3731,Produtos!$A$2:$A$71,0)),"")</f>
        <v/>
      </c>
      <c r="O3731" s="25">
        <f>IFERROR(INDEX(Produtos!$C$2:$C$71,MATCH(C3731,Produtos!$A$2:$A$71,0)),"")</f>
        <v/>
      </c>
      <c r="P3731" s="25">
        <f>IFERROR(INDEX(Produtos!$D$2:$D$71,MATCH(C3731,Produtos!$A$2:$A$71,0)),0)</f>
        <v/>
      </c>
      <c r="Q3731" s="25">
        <f>IFERROR(INDEX(Produtos!$E$2:$E$71,MATCH(C3731,Produtos!$A$2:$A$71,0)),0)</f>
        <v/>
      </c>
      <c r="R3731" s="27">
        <f>D3731*Q3731</f>
        <v/>
      </c>
      <c r="S3731" s="27">
        <f>R3731*E3731</f>
        <v/>
      </c>
      <c r="T3731" s="27">
        <f>(R3731-S3731)*M3731</f>
        <v/>
      </c>
      <c r="U3731" s="27">
        <f>R3731-S3731-T3731</f>
        <v/>
      </c>
      <c r="V3731" s="27">
        <f>D3731*P3731</f>
        <v/>
      </c>
      <c r="W3731" s="27">
        <f>U3731-V3731</f>
        <v/>
      </c>
      <c r="X3731" s="28">
        <f>IFERROR(W3731/U3731,0)</f>
        <v/>
      </c>
    </row>
    <row r="3732">
      <c r="A3732" s="21">
        <f>ItensPedido!A3732</f>
        <v/>
      </c>
      <c r="B3732" s="21">
        <f>ItensPedido!B3732</f>
        <v/>
      </c>
      <c r="C3732" s="21">
        <f>ItensPedido!C3732</f>
        <v/>
      </c>
      <c r="D3732" s="21">
        <f>ItensPedido!D3732</f>
        <v/>
      </c>
      <c r="E3732" s="22">
        <f>ItensPedido!E3732</f>
        <v/>
      </c>
      <c r="F3732" s="21">
        <f>IFERROR(INDEX(Pedidos!$B$2:$B$1801,MATCH(B3732,Pedidos!$A$2:$A$1801,0)),0)</f>
        <v/>
      </c>
      <c r="G3732" s="21">
        <f>IF(F3732=0,"",YEAR(F3732))</f>
        <v/>
      </c>
      <c r="H3732" s="21">
        <f>IF(F3732=0,"",MONTH(F3732))</f>
        <v/>
      </c>
      <c r="I3732" s="21">
        <f>IFERROR(INDEX(Pedidos!$E$2:$E$1801,MATCH(B3732,Pedidos!$A$2:$A$1801,0)),"")</f>
        <v/>
      </c>
      <c r="J3732" s="21">
        <f>IFERROR(INDEX(Pedidos!$C$2:$C$1801,MATCH(B3732,Pedidos!$A$2:$A$1801,0)),"")</f>
        <v/>
      </c>
      <c r="K3732" s="21">
        <f>IFERROR(INDEX(Pedidos!$D$2:$D$1801,MATCH(B3732,Pedidos!$A$2:$A$1801,0)),"")</f>
        <v/>
      </c>
      <c r="L3732" s="21">
        <f>IFERROR(INDEX(Pedidos!$F$2:$F$1801,MATCH(B3732,Pedidos!$A$2:$A$1801,0)),"")</f>
        <v/>
      </c>
      <c r="M3732" s="22">
        <f>IFERROR(INDEX(Pedidos!$G$2:$G$1801,MATCH(B3732,Pedidos!$A$2:$A$1801,0)),0)</f>
        <v/>
      </c>
      <c r="N3732" s="21">
        <f>IFERROR(INDEX(Produtos!$B$2:$B$71,MATCH(C3732,Produtos!$A$2:$A$71,0)),"")</f>
        <v/>
      </c>
      <c r="O3732" s="21">
        <f>IFERROR(INDEX(Produtos!$C$2:$C$71,MATCH(C3732,Produtos!$A$2:$A$71,0)),"")</f>
        <v/>
      </c>
      <c r="P3732" s="21">
        <f>IFERROR(INDEX(Produtos!$D$2:$D$71,MATCH(C3732,Produtos!$A$2:$A$71,0)),0)</f>
        <v/>
      </c>
      <c r="Q3732" s="21">
        <f>IFERROR(INDEX(Produtos!$E$2:$E$71,MATCH(C3732,Produtos!$A$2:$A$71,0)),0)</f>
        <v/>
      </c>
      <c r="R3732" s="23">
        <f>D3732*Q3732</f>
        <v/>
      </c>
      <c r="S3732" s="23">
        <f>R3732*E3732</f>
        <v/>
      </c>
      <c r="T3732" s="23">
        <f>(R3732-S3732)*M3732</f>
        <v/>
      </c>
      <c r="U3732" s="23">
        <f>R3732-S3732-T3732</f>
        <v/>
      </c>
      <c r="V3732" s="23">
        <f>D3732*P3732</f>
        <v/>
      </c>
      <c r="W3732" s="23">
        <f>U3732-V3732</f>
        <v/>
      </c>
      <c r="X3732" s="24">
        <f>IFERROR(W3732/U3732,0)</f>
        <v/>
      </c>
    </row>
    <row r="3733">
      <c r="A3733" s="25">
        <f>ItensPedido!A3733</f>
        <v/>
      </c>
      <c r="B3733" s="25">
        <f>ItensPedido!B3733</f>
        <v/>
      </c>
      <c r="C3733" s="25">
        <f>ItensPedido!C3733</f>
        <v/>
      </c>
      <c r="D3733" s="25">
        <f>ItensPedido!D3733</f>
        <v/>
      </c>
      <c r="E3733" s="26">
        <f>ItensPedido!E3733</f>
        <v/>
      </c>
      <c r="F3733" s="25">
        <f>IFERROR(INDEX(Pedidos!$B$2:$B$1801,MATCH(B3733,Pedidos!$A$2:$A$1801,0)),0)</f>
        <v/>
      </c>
      <c r="G3733" s="25">
        <f>IF(F3733=0,"",YEAR(F3733))</f>
        <v/>
      </c>
      <c r="H3733" s="25">
        <f>IF(F3733=0,"",MONTH(F3733))</f>
        <v/>
      </c>
      <c r="I3733" s="25">
        <f>IFERROR(INDEX(Pedidos!$E$2:$E$1801,MATCH(B3733,Pedidos!$A$2:$A$1801,0)),"")</f>
        <v/>
      </c>
      <c r="J3733" s="25">
        <f>IFERROR(INDEX(Pedidos!$C$2:$C$1801,MATCH(B3733,Pedidos!$A$2:$A$1801,0)),"")</f>
        <v/>
      </c>
      <c r="K3733" s="25">
        <f>IFERROR(INDEX(Pedidos!$D$2:$D$1801,MATCH(B3733,Pedidos!$A$2:$A$1801,0)),"")</f>
        <v/>
      </c>
      <c r="L3733" s="25">
        <f>IFERROR(INDEX(Pedidos!$F$2:$F$1801,MATCH(B3733,Pedidos!$A$2:$A$1801,0)),"")</f>
        <v/>
      </c>
      <c r="M3733" s="26">
        <f>IFERROR(INDEX(Pedidos!$G$2:$G$1801,MATCH(B3733,Pedidos!$A$2:$A$1801,0)),0)</f>
        <v/>
      </c>
      <c r="N3733" s="25">
        <f>IFERROR(INDEX(Produtos!$B$2:$B$71,MATCH(C3733,Produtos!$A$2:$A$71,0)),"")</f>
        <v/>
      </c>
      <c r="O3733" s="25">
        <f>IFERROR(INDEX(Produtos!$C$2:$C$71,MATCH(C3733,Produtos!$A$2:$A$71,0)),"")</f>
        <v/>
      </c>
      <c r="P3733" s="25">
        <f>IFERROR(INDEX(Produtos!$D$2:$D$71,MATCH(C3733,Produtos!$A$2:$A$71,0)),0)</f>
        <v/>
      </c>
      <c r="Q3733" s="25">
        <f>IFERROR(INDEX(Produtos!$E$2:$E$71,MATCH(C3733,Produtos!$A$2:$A$71,0)),0)</f>
        <v/>
      </c>
      <c r="R3733" s="27">
        <f>D3733*Q3733</f>
        <v/>
      </c>
      <c r="S3733" s="27">
        <f>R3733*E3733</f>
        <v/>
      </c>
      <c r="T3733" s="27">
        <f>(R3733-S3733)*M3733</f>
        <v/>
      </c>
      <c r="U3733" s="27">
        <f>R3733-S3733-T3733</f>
        <v/>
      </c>
      <c r="V3733" s="27">
        <f>D3733*P3733</f>
        <v/>
      </c>
      <c r="W3733" s="27">
        <f>U3733-V3733</f>
        <v/>
      </c>
      <c r="X3733" s="28">
        <f>IFERROR(W3733/U3733,0)</f>
        <v/>
      </c>
    </row>
    <row r="3734">
      <c r="A3734" s="21">
        <f>ItensPedido!A3734</f>
        <v/>
      </c>
      <c r="B3734" s="21">
        <f>ItensPedido!B3734</f>
        <v/>
      </c>
      <c r="C3734" s="21">
        <f>ItensPedido!C3734</f>
        <v/>
      </c>
      <c r="D3734" s="21">
        <f>ItensPedido!D3734</f>
        <v/>
      </c>
      <c r="E3734" s="22">
        <f>ItensPedido!E3734</f>
        <v/>
      </c>
      <c r="F3734" s="21">
        <f>IFERROR(INDEX(Pedidos!$B$2:$B$1801,MATCH(B3734,Pedidos!$A$2:$A$1801,0)),0)</f>
        <v/>
      </c>
      <c r="G3734" s="21">
        <f>IF(F3734=0,"",YEAR(F3734))</f>
        <v/>
      </c>
      <c r="H3734" s="21">
        <f>IF(F3734=0,"",MONTH(F3734))</f>
        <v/>
      </c>
      <c r="I3734" s="21">
        <f>IFERROR(INDEX(Pedidos!$E$2:$E$1801,MATCH(B3734,Pedidos!$A$2:$A$1801,0)),"")</f>
        <v/>
      </c>
      <c r="J3734" s="21">
        <f>IFERROR(INDEX(Pedidos!$C$2:$C$1801,MATCH(B3734,Pedidos!$A$2:$A$1801,0)),"")</f>
        <v/>
      </c>
      <c r="K3734" s="21">
        <f>IFERROR(INDEX(Pedidos!$D$2:$D$1801,MATCH(B3734,Pedidos!$A$2:$A$1801,0)),"")</f>
        <v/>
      </c>
      <c r="L3734" s="21">
        <f>IFERROR(INDEX(Pedidos!$F$2:$F$1801,MATCH(B3734,Pedidos!$A$2:$A$1801,0)),"")</f>
        <v/>
      </c>
      <c r="M3734" s="22">
        <f>IFERROR(INDEX(Pedidos!$G$2:$G$1801,MATCH(B3734,Pedidos!$A$2:$A$1801,0)),0)</f>
        <v/>
      </c>
      <c r="N3734" s="21">
        <f>IFERROR(INDEX(Produtos!$B$2:$B$71,MATCH(C3734,Produtos!$A$2:$A$71,0)),"")</f>
        <v/>
      </c>
      <c r="O3734" s="21">
        <f>IFERROR(INDEX(Produtos!$C$2:$C$71,MATCH(C3734,Produtos!$A$2:$A$71,0)),"")</f>
        <v/>
      </c>
      <c r="P3734" s="21">
        <f>IFERROR(INDEX(Produtos!$D$2:$D$71,MATCH(C3734,Produtos!$A$2:$A$71,0)),0)</f>
        <v/>
      </c>
      <c r="Q3734" s="21">
        <f>IFERROR(INDEX(Produtos!$E$2:$E$71,MATCH(C3734,Produtos!$A$2:$A$71,0)),0)</f>
        <v/>
      </c>
      <c r="R3734" s="23">
        <f>D3734*Q3734</f>
        <v/>
      </c>
      <c r="S3734" s="23">
        <f>R3734*E3734</f>
        <v/>
      </c>
      <c r="T3734" s="23">
        <f>(R3734-S3734)*M3734</f>
        <v/>
      </c>
      <c r="U3734" s="23">
        <f>R3734-S3734-T3734</f>
        <v/>
      </c>
      <c r="V3734" s="23">
        <f>D3734*P3734</f>
        <v/>
      </c>
      <c r="W3734" s="23">
        <f>U3734-V3734</f>
        <v/>
      </c>
      <c r="X3734" s="24">
        <f>IFERROR(W3734/U3734,0)</f>
        <v/>
      </c>
    </row>
    <row r="3735">
      <c r="A3735" s="25">
        <f>ItensPedido!A3735</f>
        <v/>
      </c>
      <c r="B3735" s="25">
        <f>ItensPedido!B3735</f>
        <v/>
      </c>
      <c r="C3735" s="25">
        <f>ItensPedido!C3735</f>
        <v/>
      </c>
      <c r="D3735" s="25">
        <f>ItensPedido!D3735</f>
        <v/>
      </c>
      <c r="E3735" s="26">
        <f>ItensPedido!E3735</f>
        <v/>
      </c>
      <c r="F3735" s="25">
        <f>IFERROR(INDEX(Pedidos!$B$2:$B$1801,MATCH(B3735,Pedidos!$A$2:$A$1801,0)),0)</f>
        <v/>
      </c>
      <c r="G3735" s="25">
        <f>IF(F3735=0,"",YEAR(F3735))</f>
        <v/>
      </c>
      <c r="H3735" s="25">
        <f>IF(F3735=0,"",MONTH(F3735))</f>
        <v/>
      </c>
      <c r="I3735" s="25">
        <f>IFERROR(INDEX(Pedidos!$E$2:$E$1801,MATCH(B3735,Pedidos!$A$2:$A$1801,0)),"")</f>
        <v/>
      </c>
      <c r="J3735" s="25">
        <f>IFERROR(INDEX(Pedidos!$C$2:$C$1801,MATCH(B3735,Pedidos!$A$2:$A$1801,0)),"")</f>
        <v/>
      </c>
      <c r="K3735" s="25">
        <f>IFERROR(INDEX(Pedidos!$D$2:$D$1801,MATCH(B3735,Pedidos!$A$2:$A$1801,0)),"")</f>
        <v/>
      </c>
      <c r="L3735" s="25">
        <f>IFERROR(INDEX(Pedidos!$F$2:$F$1801,MATCH(B3735,Pedidos!$A$2:$A$1801,0)),"")</f>
        <v/>
      </c>
      <c r="M3735" s="26">
        <f>IFERROR(INDEX(Pedidos!$G$2:$G$1801,MATCH(B3735,Pedidos!$A$2:$A$1801,0)),0)</f>
        <v/>
      </c>
      <c r="N3735" s="25">
        <f>IFERROR(INDEX(Produtos!$B$2:$B$71,MATCH(C3735,Produtos!$A$2:$A$71,0)),"")</f>
        <v/>
      </c>
      <c r="O3735" s="25">
        <f>IFERROR(INDEX(Produtos!$C$2:$C$71,MATCH(C3735,Produtos!$A$2:$A$71,0)),"")</f>
        <v/>
      </c>
      <c r="P3735" s="25">
        <f>IFERROR(INDEX(Produtos!$D$2:$D$71,MATCH(C3735,Produtos!$A$2:$A$71,0)),0)</f>
        <v/>
      </c>
      <c r="Q3735" s="25">
        <f>IFERROR(INDEX(Produtos!$E$2:$E$71,MATCH(C3735,Produtos!$A$2:$A$71,0)),0)</f>
        <v/>
      </c>
      <c r="R3735" s="27">
        <f>D3735*Q3735</f>
        <v/>
      </c>
      <c r="S3735" s="27">
        <f>R3735*E3735</f>
        <v/>
      </c>
      <c r="T3735" s="27">
        <f>(R3735-S3735)*M3735</f>
        <v/>
      </c>
      <c r="U3735" s="27">
        <f>R3735-S3735-T3735</f>
        <v/>
      </c>
      <c r="V3735" s="27">
        <f>D3735*P3735</f>
        <v/>
      </c>
      <c r="W3735" s="27">
        <f>U3735-V3735</f>
        <v/>
      </c>
      <c r="X3735" s="28">
        <f>IFERROR(W3735/U3735,0)</f>
        <v/>
      </c>
    </row>
    <row r="3736">
      <c r="A3736" s="21">
        <f>ItensPedido!A3736</f>
        <v/>
      </c>
      <c r="B3736" s="21">
        <f>ItensPedido!B3736</f>
        <v/>
      </c>
      <c r="C3736" s="21">
        <f>ItensPedido!C3736</f>
        <v/>
      </c>
      <c r="D3736" s="21">
        <f>ItensPedido!D3736</f>
        <v/>
      </c>
      <c r="E3736" s="22">
        <f>ItensPedido!E3736</f>
        <v/>
      </c>
      <c r="F3736" s="21">
        <f>IFERROR(INDEX(Pedidos!$B$2:$B$1801,MATCH(B3736,Pedidos!$A$2:$A$1801,0)),0)</f>
        <v/>
      </c>
      <c r="G3736" s="21">
        <f>IF(F3736=0,"",YEAR(F3736))</f>
        <v/>
      </c>
      <c r="H3736" s="21">
        <f>IF(F3736=0,"",MONTH(F3736))</f>
        <v/>
      </c>
      <c r="I3736" s="21">
        <f>IFERROR(INDEX(Pedidos!$E$2:$E$1801,MATCH(B3736,Pedidos!$A$2:$A$1801,0)),"")</f>
        <v/>
      </c>
      <c r="J3736" s="21">
        <f>IFERROR(INDEX(Pedidos!$C$2:$C$1801,MATCH(B3736,Pedidos!$A$2:$A$1801,0)),"")</f>
        <v/>
      </c>
      <c r="K3736" s="21">
        <f>IFERROR(INDEX(Pedidos!$D$2:$D$1801,MATCH(B3736,Pedidos!$A$2:$A$1801,0)),"")</f>
        <v/>
      </c>
      <c r="L3736" s="21">
        <f>IFERROR(INDEX(Pedidos!$F$2:$F$1801,MATCH(B3736,Pedidos!$A$2:$A$1801,0)),"")</f>
        <v/>
      </c>
      <c r="M3736" s="22">
        <f>IFERROR(INDEX(Pedidos!$G$2:$G$1801,MATCH(B3736,Pedidos!$A$2:$A$1801,0)),0)</f>
        <v/>
      </c>
      <c r="N3736" s="21">
        <f>IFERROR(INDEX(Produtos!$B$2:$B$71,MATCH(C3736,Produtos!$A$2:$A$71,0)),"")</f>
        <v/>
      </c>
      <c r="O3736" s="21">
        <f>IFERROR(INDEX(Produtos!$C$2:$C$71,MATCH(C3736,Produtos!$A$2:$A$71,0)),"")</f>
        <v/>
      </c>
      <c r="P3736" s="21">
        <f>IFERROR(INDEX(Produtos!$D$2:$D$71,MATCH(C3736,Produtos!$A$2:$A$71,0)),0)</f>
        <v/>
      </c>
      <c r="Q3736" s="21">
        <f>IFERROR(INDEX(Produtos!$E$2:$E$71,MATCH(C3736,Produtos!$A$2:$A$71,0)),0)</f>
        <v/>
      </c>
      <c r="R3736" s="23">
        <f>D3736*Q3736</f>
        <v/>
      </c>
      <c r="S3736" s="23">
        <f>R3736*E3736</f>
        <v/>
      </c>
      <c r="T3736" s="23">
        <f>(R3736-S3736)*M3736</f>
        <v/>
      </c>
      <c r="U3736" s="23">
        <f>R3736-S3736-T3736</f>
        <v/>
      </c>
      <c r="V3736" s="23">
        <f>D3736*P3736</f>
        <v/>
      </c>
      <c r="W3736" s="23">
        <f>U3736-V3736</f>
        <v/>
      </c>
      <c r="X3736" s="24">
        <f>IFERROR(W3736/U3736,0)</f>
        <v/>
      </c>
    </row>
    <row r="3737">
      <c r="A3737" s="25">
        <f>ItensPedido!A3737</f>
        <v/>
      </c>
      <c r="B3737" s="25">
        <f>ItensPedido!B3737</f>
        <v/>
      </c>
      <c r="C3737" s="25">
        <f>ItensPedido!C3737</f>
        <v/>
      </c>
      <c r="D3737" s="25">
        <f>ItensPedido!D3737</f>
        <v/>
      </c>
      <c r="E3737" s="26">
        <f>ItensPedido!E3737</f>
        <v/>
      </c>
      <c r="F3737" s="25">
        <f>IFERROR(INDEX(Pedidos!$B$2:$B$1801,MATCH(B3737,Pedidos!$A$2:$A$1801,0)),0)</f>
        <v/>
      </c>
      <c r="G3737" s="25">
        <f>IF(F3737=0,"",YEAR(F3737))</f>
        <v/>
      </c>
      <c r="H3737" s="25">
        <f>IF(F3737=0,"",MONTH(F3737))</f>
        <v/>
      </c>
      <c r="I3737" s="25">
        <f>IFERROR(INDEX(Pedidos!$E$2:$E$1801,MATCH(B3737,Pedidos!$A$2:$A$1801,0)),"")</f>
        <v/>
      </c>
      <c r="J3737" s="25">
        <f>IFERROR(INDEX(Pedidos!$C$2:$C$1801,MATCH(B3737,Pedidos!$A$2:$A$1801,0)),"")</f>
        <v/>
      </c>
      <c r="K3737" s="25">
        <f>IFERROR(INDEX(Pedidos!$D$2:$D$1801,MATCH(B3737,Pedidos!$A$2:$A$1801,0)),"")</f>
        <v/>
      </c>
      <c r="L3737" s="25">
        <f>IFERROR(INDEX(Pedidos!$F$2:$F$1801,MATCH(B3737,Pedidos!$A$2:$A$1801,0)),"")</f>
        <v/>
      </c>
      <c r="M3737" s="26">
        <f>IFERROR(INDEX(Pedidos!$G$2:$G$1801,MATCH(B3737,Pedidos!$A$2:$A$1801,0)),0)</f>
        <v/>
      </c>
      <c r="N3737" s="25">
        <f>IFERROR(INDEX(Produtos!$B$2:$B$71,MATCH(C3737,Produtos!$A$2:$A$71,0)),"")</f>
        <v/>
      </c>
      <c r="O3737" s="25">
        <f>IFERROR(INDEX(Produtos!$C$2:$C$71,MATCH(C3737,Produtos!$A$2:$A$71,0)),"")</f>
        <v/>
      </c>
      <c r="P3737" s="25">
        <f>IFERROR(INDEX(Produtos!$D$2:$D$71,MATCH(C3737,Produtos!$A$2:$A$71,0)),0)</f>
        <v/>
      </c>
      <c r="Q3737" s="25">
        <f>IFERROR(INDEX(Produtos!$E$2:$E$71,MATCH(C3737,Produtos!$A$2:$A$71,0)),0)</f>
        <v/>
      </c>
      <c r="R3737" s="27">
        <f>D3737*Q3737</f>
        <v/>
      </c>
      <c r="S3737" s="27">
        <f>R3737*E3737</f>
        <v/>
      </c>
      <c r="T3737" s="27">
        <f>(R3737-S3737)*M3737</f>
        <v/>
      </c>
      <c r="U3737" s="27">
        <f>R3737-S3737-T3737</f>
        <v/>
      </c>
      <c r="V3737" s="27">
        <f>D3737*P3737</f>
        <v/>
      </c>
      <c r="W3737" s="27">
        <f>U3737-V3737</f>
        <v/>
      </c>
      <c r="X3737" s="28">
        <f>IFERROR(W3737/U3737,0)</f>
        <v/>
      </c>
    </row>
    <row r="3738">
      <c r="A3738" s="21">
        <f>ItensPedido!A3738</f>
        <v/>
      </c>
      <c r="B3738" s="21">
        <f>ItensPedido!B3738</f>
        <v/>
      </c>
      <c r="C3738" s="21">
        <f>ItensPedido!C3738</f>
        <v/>
      </c>
      <c r="D3738" s="21">
        <f>ItensPedido!D3738</f>
        <v/>
      </c>
      <c r="E3738" s="22">
        <f>ItensPedido!E3738</f>
        <v/>
      </c>
      <c r="F3738" s="21">
        <f>IFERROR(INDEX(Pedidos!$B$2:$B$1801,MATCH(B3738,Pedidos!$A$2:$A$1801,0)),0)</f>
        <v/>
      </c>
      <c r="G3738" s="21">
        <f>IF(F3738=0,"",YEAR(F3738))</f>
        <v/>
      </c>
      <c r="H3738" s="21">
        <f>IF(F3738=0,"",MONTH(F3738))</f>
        <v/>
      </c>
      <c r="I3738" s="21">
        <f>IFERROR(INDEX(Pedidos!$E$2:$E$1801,MATCH(B3738,Pedidos!$A$2:$A$1801,0)),"")</f>
        <v/>
      </c>
      <c r="J3738" s="21">
        <f>IFERROR(INDEX(Pedidos!$C$2:$C$1801,MATCH(B3738,Pedidos!$A$2:$A$1801,0)),"")</f>
        <v/>
      </c>
      <c r="K3738" s="21">
        <f>IFERROR(INDEX(Pedidos!$D$2:$D$1801,MATCH(B3738,Pedidos!$A$2:$A$1801,0)),"")</f>
        <v/>
      </c>
      <c r="L3738" s="21">
        <f>IFERROR(INDEX(Pedidos!$F$2:$F$1801,MATCH(B3738,Pedidos!$A$2:$A$1801,0)),"")</f>
        <v/>
      </c>
      <c r="M3738" s="22">
        <f>IFERROR(INDEX(Pedidos!$G$2:$G$1801,MATCH(B3738,Pedidos!$A$2:$A$1801,0)),0)</f>
        <v/>
      </c>
      <c r="N3738" s="21">
        <f>IFERROR(INDEX(Produtos!$B$2:$B$71,MATCH(C3738,Produtos!$A$2:$A$71,0)),"")</f>
        <v/>
      </c>
      <c r="O3738" s="21">
        <f>IFERROR(INDEX(Produtos!$C$2:$C$71,MATCH(C3738,Produtos!$A$2:$A$71,0)),"")</f>
        <v/>
      </c>
      <c r="P3738" s="21">
        <f>IFERROR(INDEX(Produtos!$D$2:$D$71,MATCH(C3738,Produtos!$A$2:$A$71,0)),0)</f>
        <v/>
      </c>
      <c r="Q3738" s="21">
        <f>IFERROR(INDEX(Produtos!$E$2:$E$71,MATCH(C3738,Produtos!$A$2:$A$71,0)),0)</f>
        <v/>
      </c>
      <c r="R3738" s="23">
        <f>D3738*Q3738</f>
        <v/>
      </c>
      <c r="S3738" s="23">
        <f>R3738*E3738</f>
        <v/>
      </c>
      <c r="T3738" s="23">
        <f>(R3738-S3738)*M3738</f>
        <v/>
      </c>
      <c r="U3738" s="23">
        <f>R3738-S3738-T3738</f>
        <v/>
      </c>
      <c r="V3738" s="23">
        <f>D3738*P3738</f>
        <v/>
      </c>
      <c r="W3738" s="23">
        <f>U3738-V3738</f>
        <v/>
      </c>
      <c r="X3738" s="24">
        <f>IFERROR(W3738/U3738,0)</f>
        <v/>
      </c>
    </row>
    <row r="3739">
      <c r="A3739" s="25">
        <f>ItensPedido!A3739</f>
        <v/>
      </c>
      <c r="B3739" s="25">
        <f>ItensPedido!B3739</f>
        <v/>
      </c>
      <c r="C3739" s="25">
        <f>ItensPedido!C3739</f>
        <v/>
      </c>
      <c r="D3739" s="25">
        <f>ItensPedido!D3739</f>
        <v/>
      </c>
      <c r="E3739" s="26">
        <f>ItensPedido!E3739</f>
        <v/>
      </c>
      <c r="F3739" s="25">
        <f>IFERROR(INDEX(Pedidos!$B$2:$B$1801,MATCH(B3739,Pedidos!$A$2:$A$1801,0)),0)</f>
        <v/>
      </c>
      <c r="G3739" s="25">
        <f>IF(F3739=0,"",YEAR(F3739))</f>
        <v/>
      </c>
      <c r="H3739" s="25">
        <f>IF(F3739=0,"",MONTH(F3739))</f>
        <v/>
      </c>
      <c r="I3739" s="25">
        <f>IFERROR(INDEX(Pedidos!$E$2:$E$1801,MATCH(B3739,Pedidos!$A$2:$A$1801,0)),"")</f>
        <v/>
      </c>
      <c r="J3739" s="25">
        <f>IFERROR(INDEX(Pedidos!$C$2:$C$1801,MATCH(B3739,Pedidos!$A$2:$A$1801,0)),"")</f>
        <v/>
      </c>
      <c r="K3739" s="25">
        <f>IFERROR(INDEX(Pedidos!$D$2:$D$1801,MATCH(B3739,Pedidos!$A$2:$A$1801,0)),"")</f>
        <v/>
      </c>
      <c r="L3739" s="25">
        <f>IFERROR(INDEX(Pedidos!$F$2:$F$1801,MATCH(B3739,Pedidos!$A$2:$A$1801,0)),"")</f>
        <v/>
      </c>
      <c r="M3739" s="26">
        <f>IFERROR(INDEX(Pedidos!$G$2:$G$1801,MATCH(B3739,Pedidos!$A$2:$A$1801,0)),0)</f>
        <v/>
      </c>
      <c r="N3739" s="25">
        <f>IFERROR(INDEX(Produtos!$B$2:$B$71,MATCH(C3739,Produtos!$A$2:$A$71,0)),"")</f>
        <v/>
      </c>
      <c r="O3739" s="25">
        <f>IFERROR(INDEX(Produtos!$C$2:$C$71,MATCH(C3739,Produtos!$A$2:$A$71,0)),"")</f>
        <v/>
      </c>
      <c r="P3739" s="25">
        <f>IFERROR(INDEX(Produtos!$D$2:$D$71,MATCH(C3739,Produtos!$A$2:$A$71,0)),0)</f>
        <v/>
      </c>
      <c r="Q3739" s="25">
        <f>IFERROR(INDEX(Produtos!$E$2:$E$71,MATCH(C3739,Produtos!$A$2:$A$71,0)),0)</f>
        <v/>
      </c>
      <c r="R3739" s="27">
        <f>D3739*Q3739</f>
        <v/>
      </c>
      <c r="S3739" s="27">
        <f>R3739*E3739</f>
        <v/>
      </c>
      <c r="T3739" s="27">
        <f>(R3739-S3739)*M3739</f>
        <v/>
      </c>
      <c r="U3739" s="27">
        <f>R3739-S3739-T3739</f>
        <v/>
      </c>
      <c r="V3739" s="27">
        <f>D3739*P3739</f>
        <v/>
      </c>
      <c r="W3739" s="27">
        <f>U3739-V3739</f>
        <v/>
      </c>
      <c r="X3739" s="28">
        <f>IFERROR(W3739/U3739,0)</f>
        <v/>
      </c>
    </row>
    <row r="3740">
      <c r="A3740" s="21">
        <f>ItensPedido!A3740</f>
        <v/>
      </c>
      <c r="B3740" s="21">
        <f>ItensPedido!B3740</f>
        <v/>
      </c>
      <c r="C3740" s="21">
        <f>ItensPedido!C3740</f>
        <v/>
      </c>
      <c r="D3740" s="21">
        <f>ItensPedido!D3740</f>
        <v/>
      </c>
      <c r="E3740" s="22">
        <f>ItensPedido!E3740</f>
        <v/>
      </c>
      <c r="F3740" s="21">
        <f>IFERROR(INDEX(Pedidos!$B$2:$B$1801,MATCH(B3740,Pedidos!$A$2:$A$1801,0)),0)</f>
        <v/>
      </c>
      <c r="G3740" s="21">
        <f>IF(F3740=0,"",YEAR(F3740))</f>
        <v/>
      </c>
      <c r="H3740" s="21">
        <f>IF(F3740=0,"",MONTH(F3740))</f>
        <v/>
      </c>
      <c r="I3740" s="21">
        <f>IFERROR(INDEX(Pedidos!$E$2:$E$1801,MATCH(B3740,Pedidos!$A$2:$A$1801,0)),"")</f>
        <v/>
      </c>
      <c r="J3740" s="21">
        <f>IFERROR(INDEX(Pedidos!$C$2:$C$1801,MATCH(B3740,Pedidos!$A$2:$A$1801,0)),"")</f>
        <v/>
      </c>
      <c r="K3740" s="21">
        <f>IFERROR(INDEX(Pedidos!$D$2:$D$1801,MATCH(B3740,Pedidos!$A$2:$A$1801,0)),"")</f>
        <v/>
      </c>
      <c r="L3740" s="21">
        <f>IFERROR(INDEX(Pedidos!$F$2:$F$1801,MATCH(B3740,Pedidos!$A$2:$A$1801,0)),"")</f>
        <v/>
      </c>
      <c r="M3740" s="22">
        <f>IFERROR(INDEX(Pedidos!$G$2:$G$1801,MATCH(B3740,Pedidos!$A$2:$A$1801,0)),0)</f>
        <v/>
      </c>
      <c r="N3740" s="21">
        <f>IFERROR(INDEX(Produtos!$B$2:$B$71,MATCH(C3740,Produtos!$A$2:$A$71,0)),"")</f>
        <v/>
      </c>
      <c r="O3740" s="21">
        <f>IFERROR(INDEX(Produtos!$C$2:$C$71,MATCH(C3740,Produtos!$A$2:$A$71,0)),"")</f>
        <v/>
      </c>
      <c r="P3740" s="21">
        <f>IFERROR(INDEX(Produtos!$D$2:$D$71,MATCH(C3740,Produtos!$A$2:$A$71,0)),0)</f>
        <v/>
      </c>
      <c r="Q3740" s="21">
        <f>IFERROR(INDEX(Produtos!$E$2:$E$71,MATCH(C3740,Produtos!$A$2:$A$71,0)),0)</f>
        <v/>
      </c>
      <c r="R3740" s="23">
        <f>D3740*Q3740</f>
        <v/>
      </c>
      <c r="S3740" s="23">
        <f>R3740*E3740</f>
        <v/>
      </c>
      <c r="T3740" s="23">
        <f>(R3740-S3740)*M3740</f>
        <v/>
      </c>
      <c r="U3740" s="23">
        <f>R3740-S3740-T3740</f>
        <v/>
      </c>
      <c r="V3740" s="23">
        <f>D3740*P3740</f>
        <v/>
      </c>
      <c r="W3740" s="23">
        <f>U3740-V3740</f>
        <v/>
      </c>
      <c r="X3740" s="24">
        <f>IFERROR(W3740/U3740,0)</f>
        <v/>
      </c>
    </row>
    <row r="3741">
      <c r="A3741" s="25">
        <f>ItensPedido!A3741</f>
        <v/>
      </c>
      <c r="B3741" s="25">
        <f>ItensPedido!B3741</f>
        <v/>
      </c>
      <c r="C3741" s="25">
        <f>ItensPedido!C3741</f>
        <v/>
      </c>
      <c r="D3741" s="25">
        <f>ItensPedido!D3741</f>
        <v/>
      </c>
      <c r="E3741" s="26">
        <f>ItensPedido!E3741</f>
        <v/>
      </c>
      <c r="F3741" s="25">
        <f>IFERROR(INDEX(Pedidos!$B$2:$B$1801,MATCH(B3741,Pedidos!$A$2:$A$1801,0)),0)</f>
        <v/>
      </c>
      <c r="G3741" s="25">
        <f>IF(F3741=0,"",YEAR(F3741))</f>
        <v/>
      </c>
      <c r="H3741" s="25">
        <f>IF(F3741=0,"",MONTH(F3741))</f>
        <v/>
      </c>
      <c r="I3741" s="25">
        <f>IFERROR(INDEX(Pedidos!$E$2:$E$1801,MATCH(B3741,Pedidos!$A$2:$A$1801,0)),"")</f>
        <v/>
      </c>
      <c r="J3741" s="25">
        <f>IFERROR(INDEX(Pedidos!$C$2:$C$1801,MATCH(B3741,Pedidos!$A$2:$A$1801,0)),"")</f>
        <v/>
      </c>
      <c r="K3741" s="25">
        <f>IFERROR(INDEX(Pedidos!$D$2:$D$1801,MATCH(B3741,Pedidos!$A$2:$A$1801,0)),"")</f>
        <v/>
      </c>
      <c r="L3741" s="25">
        <f>IFERROR(INDEX(Pedidos!$F$2:$F$1801,MATCH(B3741,Pedidos!$A$2:$A$1801,0)),"")</f>
        <v/>
      </c>
      <c r="M3741" s="26">
        <f>IFERROR(INDEX(Pedidos!$G$2:$G$1801,MATCH(B3741,Pedidos!$A$2:$A$1801,0)),0)</f>
        <v/>
      </c>
      <c r="N3741" s="25">
        <f>IFERROR(INDEX(Produtos!$B$2:$B$71,MATCH(C3741,Produtos!$A$2:$A$71,0)),"")</f>
        <v/>
      </c>
      <c r="O3741" s="25">
        <f>IFERROR(INDEX(Produtos!$C$2:$C$71,MATCH(C3741,Produtos!$A$2:$A$71,0)),"")</f>
        <v/>
      </c>
      <c r="P3741" s="25">
        <f>IFERROR(INDEX(Produtos!$D$2:$D$71,MATCH(C3741,Produtos!$A$2:$A$71,0)),0)</f>
        <v/>
      </c>
      <c r="Q3741" s="25">
        <f>IFERROR(INDEX(Produtos!$E$2:$E$71,MATCH(C3741,Produtos!$A$2:$A$71,0)),0)</f>
        <v/>
      </c>
      <c r="R3741" s="27">
        <f>D3741*Q3741</f>
        <v/>
      </c>
      <c r="S3741" s="27">
        <f>R3741*E3741</f>
        <v/>
      </c>
      <c r="T3741" s="27">
        <f>(R3741-S3741)*M3741</f>
        <v/>
      </c>
      <c r="U3741" s="27">
        <f>R3741-S3741-T3741</f>
        <v/>
      </c>
      <c r="V3741" s="27">
        <f>D3741*P3741</f>
        <v/>
      </c>
      <c r="W3741" s="27">
        <f>U3741-V3741</f>
        <v/>
      </c>
      <c r="X3741" s="28">
        <f>IFERROR(W3741/U3741,0)</f>
        <v/>
      </c>
    </row>
    <row r="3742">
      <c r="A3742" s="21">
        <f>ItensPedido!A3742</f>
        <v/>
      </c>
      <c r="B3742" s="21">
        <f>ItensPedido!B3742</f>
        <v/>
      </c>
      <c r="C3742" s="21">
        <f>ItensPedido!C3742</f>
        <v/>
      </c>
      <c r="D3742" s="21">
        <f>ItensPedido!D3742</f>
        <v/>
      </c>
      <c r="E3742" s="22">
        <f>ItensPedido!E3742</f>
        <v/>
      </c>
      <c r="F3742" s="21">
        <f>IFERROR(INDEX(Pedidos!$B$2:$B$1801,MATCH(B3742,Pedidos!$A$2:$A$1801,0)),0)</f>
        <v/>
      </c>
      <c r="G3742" s="21">
        <f>IF(F3742=0,"",YEAR(F3742))</f>
        <v/>
      </c>
      <c r="H3742" s="21">
        <f>IF(F3742=0,"",MONTH(F3742))</f>
        <v/>
      </c>
      <c r="I3742" s="21">
        <f>IFERROR(INDEX(Pedidos!$E$2:$E$1801,MATCH(B3742,Pedidos!$A$2:$A$1801,0)),"")</f>
        <v/>
      </c>
      <c r="J3742" s="21">
        <f>IFERROR(INDEX(Pedidos!$C$2:$C$1801,MATCH(B3742,Pedidos!$A$2:$A$1801,0)),"")</f>
        <v/>
      </c>
      <c r="K3742" s="21">
        <f>IFERROR(INDEX(Pedidos!$D$2:$D$1801,MATCH(B3742,Pedidos!$A$2:$A$1801,0)),"")</f>
        <v/>
      </c>
      <c r="L3742" s="21">
        <f>IFERROR(INDEX(Pedidos!$F$2:$F$1801,MATCH(B3742,Pedidos!$A$2:$A$1801,0)),"")</f>
        <v/>
      </c>
      <c r="M3742" s="22">
        <f>IFERROR(INDEX(Pedidos!$G$2:$G$1801,MATCH(B3742,Pedidos!$A$2:$A$1801,0)),0)</f>
        <v/>
      </c>
      <c r="N3742" s="21">
        <f>IFERROR(INDEX(Produtos!$B$2:$B$71,MATCH(C3742,Produtos!$A$2:$A$71,0)),"")</f>
        <v/>
      </c>
      <c r="O3742" s="21">
        <f>IFERROR(INDEX(Produtos!$C$2:$C$71,MATCH(C3742,Produtos!$A$2:$A$71,0)),"")</f>
        <v/>
      </c>
      <c r="P3742" s="21">
        <f>IFERROR(INDEX(Produtos!$D$2:$D$71,MATCH(C3742,Produtos!$A$2:$A$71,0)),0)</f>
        <v/>
      </c>
      <c r="Q3742" s="21">
        <f>IFERROR(INDEX(Produtos!$E$2:$E$71,MATCH(C3742,Produtos!$A$2:$A$71,0)),0)</f>
        <v/>
      </c>
      <c r="R3742" s="23">
        <f>D3742*Q3742</f>
        <v/>
      </c>
      <c r="S3742" s="23">
        <f>R3742*E3742</f>
        <v/>
      </c>
      <c r="T3742" s="23">
        <f>(R3742-S3742)*M3742</f>
        <v/>
      </c>
      <c r="U3742" s="23">
        <f>R3742-S3742-T3742</f>
        <v/>
      </c>
      <c r="V3742" s="23">
        <f>D3742*P3742</f>
        <v/>
      </c>
      <c r="W3742" s="23">
        <f>U3742-V3742</f>
        <v/>
      </c>
      <c r="X3742" s="24">
        <f>IFERROR(W3742/U3742,0)</f>
        <v/>
      </c>
    </row>
    <row r="3743">
      <c r="A3743" s="25">
        <f>ItensPedido!A3743</f>
        <v/>
      </c>
      <c r="B3743" s="25">
        <f>ItensPedido!B3743</f>
        <v/>
      </c>
      <c r="C3743" s="25">
        <f>ItensPedido!C3743</f>
        <v/>
      </c>
      <c r="D3743" s="25">
        <f>ItensPedido!D3743</f>
        <v/>
      </c>
      <c r="E3743" s="26">
        <f>ItensPedido!E3743</f>
        <v/>
      </c>
      <c r="F3743" s="25">
        <f>IFERROR(INDEX(Pedidos!$B$2:$B$1801,MATCH(B3743,Pedidos!$A$2:$A$1801,0)),0)</f>
        <v/>
      </c>
      <c r="G3743" s="25">
        <f>IF(F3743=0,"",YEAR(F3743))</f>
        <v/>
      </c>
      <c r="H3743" s="25">
        <f>IF(F3743=0,"",MONTH(F3743))</f>
        <v/>
      </c>
      <c r="I3743" s="25">
        <f>IFERROR(INDEX(Pedidos!$E$2:$E$1801,MATCH(B3743,Pedidos!$A$2:$A$1801,0)),"")</f>
        <v/>
      </c>
      <c r="J3743" s="25">
        <f>IFERROR(INDEX(Pedidos!$C$2:$C$1801,MATCH(B3743,Pedidos!$A$2:$A$1801,0)),"")</f>
        <v/>
      </c>
      <c r="K3743" s="25">
        <f>IFERROR(INDEX(Pedidos!$D$2:$D$1801,MATCH(B3743,Pedidos!$A$2:$A$1801,0)),"")</f>
        <v/>
      </c>
      <c r="L3743" s="25">
        <f>IFERROR(INDEX(Pedidos!$F$2:$F$1801,MATCH(B3743,Pedidos!$A$2:$A$1801,0)),"")</f>
        <v/>
      </c>
      <c r="M3743" s="26">
        <f>IFERROR(INDEX(Pedidos!$G$2:$G$1801,MATCH(B3743,Pedidos!$A$2:$A$1801,0)),0)</f>
        <v/>
      </c>
      <c r="N3743" s="25">
        <f>IFERROR(INDEX(Produtos!$B$2:$B$71,MATCH(C3743,Produtos!$A$2:$A$71,0)),"")</f>
        <v/>
      </c>
      <c r="O3743" s="25">
        <f>IFERROR(INDEX(Produtos!$C$2:$C$71,MATCH(C3743,Produtos!$A$2:$A$71,0)),"")</f>
        <v/>
      </c>
      <c r="P3743" s="25">
        <f>IFERROR(INDEX(Produtos!$D$2:$D$71,MATCH(C3743,Produtos!$A$2:$A$71,0)),0)</f>
        <v/>
      </c>
      <c r="Q3743" s="25">
        <f>IFERROR(INDEX(Produtos!$E$2:$E$71,MATCH(C3743,Produtos!$A$2:$A$71,0)),0)</f>
        <v/>
      </c>
      <c r="R3743" s="27">
        <f>D3743*Q3743</f>
        <v/>
      </c>
      <c r="S3743" s="27">
        <f>R3743*E3743</f>
        <v/>
      </c>
      <c r="T3743" s="27">
        <f>(R3743-S3743)*M3743</f>
        <v/>
      </c>
      <c r="U3743" s="27">
        <f>R3743-S3743-T3743</f>
        <v/>
      </c>
      <c r="V3743" s="27">
        <f>D3743*P3743</f>
        <v/>
      </c>
      <c r="W3743" s="27">
        <f>U3743-V3743</f>
        <v/>
      </c>
      <c r="X3743" s="28">
        <f>IFERROR(W3743/U3743,0)</f>
        <v/>
      </c>
    </row>
    <row r="3744">
      <c r="A3744" s="21">
        <f>ItensPedido!A3744</f>
        <v/>
      </c>
      <c r="B3744" s="21">
        <f>ItensPedido!B3744</f>
        <v/>
      </c>
      <c r="C3744" s="21">
        <f>ItensPedido!C3744</f>
        <v/>
      </c>
      <c r="D3744" s="21">
        <f>ItensPedido!D3744</f>
        <v/>
      </c>
      <c r="E3744" s="22">
        <f>ItensPedido!E3744</f>
        <v/>
      </c>
      <c r="F3744" s="21">
        <f>IFERROR(INDEX(Pedidos!$B$2:$B$1801,MATCH(B3744,Pedidos!$A$2:$A$1801,0)),0)</f>
        <v/>
      </c>
      <c r="G3744" s="21">
        <f>IF(F3744=0,"",YEAR(F3744))</f>
        <v/>
      </c>
      <c r="H3744" s="21">
        <f>IF(F3744=0,"",MONTH(F3744))</f>
        <v/>
      </c>
      <c r="I3744" s="21">
        <f>IFERROR(INDEX(Pedidos!$E$2:$E$1801,MATCH(B3744,Pedidos!$A$2:$A$1801,0)),"")</f>
        <v/>
      </c>
      <c r="J3744" s="21">
        <f>IFERROR(INDEX(Pedidos!$C$2:$C$1801,MATCH(B3744,Pedidos!$A$2:$A$1801,0)),"")</f>
        <v/>
      </c>
      <c r="K3744" s="21">
        <f>IFERROR(INDEX(Pedidos!$D$2:$D$1801,MATCH(B3744,Pedidos!$A$2:$A$1801,0)),"")</f>
        <v/>
      </c>
      <c r="L3744" s="21">
        <f>IFERROR(INDEX(Pedidos!$F$2:$F$1801,MATCH(B3744,Pedidos!$A$2:$A$1801,0)),"")</f>
        <v/>
      </c>
      <c r="M3744" s="22">
        <f>IFERROR(INDEX(Pedidos!$G$2:$G$1801,MATCH(B3744,Pedidos!$A$2:$A$1801,0)),0)</f>
        <v/>
      </c>
      <c r="N3744" s="21">
        <f>IFERROR(INDEX(Produtos!$B$2:$B$71,MATCH(C3744,Produtos!$A$2:$A$71,0)),"")</f>
        <v/>
      </c>
      <c r="O3744" s="21">
        <f>IFERROR(INDEX(Produtos!$C$2:$C$71,MATCH(C3744,Produtos!$A$2:$A$71,0)),"")</f>
        <v/>
      </c>
      <c r="P3744" s="21">
        <f>IFERROR(INDEX(Produtos!$D$2:$D$71,MATCH(C3744,Produtos!$A$2:$A$71,0)),0)</f>
        <v/>
      </c>
      <c r="Q3744" s="21">
        <f>IFERROR(INDEX(Produtos!$E$2:$E$71,MATCH(C3744,Produtos!$A$2:$A$71,0)),0)</f>
        <v/>
      </c>
      <c r="R3744" s="23">
        <f>D3744*Q3744</f>
        <v/>
      </c>
      <c r="S3744" s="23">
        <f>R3744*E3744</f>
        <v/>
      </c>
      <c r="T3744" s="23">
        <f>(R3744-S3744)*M3744</f>
        <v/>
      </c>
      <c r="U3744" s="23">
        <f>R3744-S3744-T3744</f>
        <v/>
      </c>
      <c r="V3744" s="23">
        <f>D3744*P3744</f>
        <v/>
      </c>
      <c r="W3744" s="23">
        <f>U3744-V3744</f>
        <v/>
      </c>
      <c r="X3744" s="24">
        <f>IFERROR(W3744/U3744,0)</f>
        <v/>
      </c>
    </row>
    <row r="3745">
      <c r="A3745" s="25">
        <f>ItensPedido!A3745</f>
        <v/>
      </c>
      <c r="B3745" s="25">
        <f>ItensPedido!B3745</f>
        <v/>
      </c>
      <c r="C3745" s="25">
        <f>ItensPedido!C3745</f>
        <v/>
      </c>
      <c r="D3745" s="25">
        <f>ItensPedido!D3745</f>
        <v/>
      </c>
      <c r="E3745" s="26">
        <f>ItensPedido!E3745</f>
        <v/>
      </c>
      <c r="F3745" s="25">
        <f>IFERROR(INDEX(Pedidos!$B$2:$B$1801,MATCH(B3745,Pedidos!$A$2:$A$1801,0)),0)</f>
        <v/>
      </c>
      <c r="G3745" s="25">
        <f>IF(F3745=0,"",YEAR(F3745))</f>
        <v/>
      </c>
      <c r="H3745" s="25">
        <f>IF(F3745=0,"",MONTH(F3745))</f>
        <v/>
      </c>
      <c r="I3745" s="25">
        <f>IFERROR(INDEX(Pedidos!$E$2:$E$1801,MATCH(B3745,Pedidos!$A$2:$A$1801,0)),"")</f>
        <v/>
      </c>
      <c r="J3745" s="25">
        <f>IFERROR(INDEX(Pedidos!$C$2:$C$1801,MATCH(B3745,Pedidos!$A$2:$A$1801,0)),"")</f>
        <v/>
      </c>
      <c r="K3745" s="25">
        <f>IFERROR(INDEX(Pedidos!$D$2:$D$1801,MATCH(B3745,Pedidos!$A$2:$A$1801,0)),"")</f>
        <v/>
      </c>
      <c r="L3745" s="25">
        <f>IFERROR(INDEX(Pedidos!$F$2:$F$1801,MATCH(B3745,Pedidos!$A$2:$A$1801,0)),"")</f>
        <v/>
      </c>
      <c r="M3745" s="26">
        <f>IFERROR(INDEX(Pedidos!$G$2:$G$1801,MATCH(B3745,Pedidos!$A$2:$A$1801,0)),0)</f>
        <v/>
      </c>
      <c r="N3745" s="25">
        <f>IFERROR(INDEX(Produtos!$B$2:$B$71,MATCH(C3745,Produtos!$A$2:$A$71,0)),"")</f>
        <v/>
      </c>
      <c r="O3745" s="25">
        <f>IFERROR(INDEX(Produtos!$C$2:$C$71,MATCH(C3745,Produtos!$A$2:$A$71,0)),"")</f>
        <v/>
      </c>
      <c r="P3745" s="25">
        <f>IFERROR(INDEX(Produtos!$D$2:$D$71,MATCH(C3745,Produtos!$A$2:$A$71,0)),0)</f>
        <v/>
      </c>
      <c r="Q3745" s="25">
        <f>IFERROR(INDEX(Produtos!$E$2:$E$71,MATCH(C3745,Produtos!$A$2:$A$71,0)),0)</f>
        <v/>
      </c>
      <c r="R3745" s="27">
        <f>D3745*Q3745</f>
        <v/>
      </c>
      <c r="S3745" s="27">
        <f>R3745*E3745</f>
        <v/>
      </c>
      <c r="T3745" s="27">
        <f>(R3745-S3745)*M3745</f>
        <v/>
      </c>
      <c r="U3745" s="27">
        <f>R3745-S3745-T3745</f>
        <v/>
      </c>
      <c r="V3745" s="27">
        <f>D3745*P3745</f>
        <v/>
      </c>
      <c r="W3745" s="27">
        <f>U3745-V3745</f>
        <v/>
      </c>
      <c r="X3745" s="28">
        <f>IFERROR(W3745/U3745,0)</f>
        <v/>
      </c>
    </row>
    <row r="3746">
      <c r="A3746" s="21">
        <f>ItensPedido!A3746</f>
        <v/>
      </c>
      <c r="B3746" s="21">
        <f>ItensPedido!B3746</f>
        <v/>
      </c>
      <c r="C3746" s="21">
        <f>ItensPedido!C3746</f>
        <v/>
      </c>
      <c r="D3746" s="21">
        <f>ItensPedido!D3746</f>
        <v/>
      </c>
      <c r="E3746" s="22">
        <f>ItensPedido!E3746</f>
        <v/>
      </c>
      <c r="F3746" s="21">
        <f>IFERROR(INDEX(Pedidos!$B$2:$B$1801,MATCH(B3746,Pedidos!$A$2:$A$1801,0)),0)</f>
        <v/>
      </c>
      <c r="G3746" s="21">
        <f>IF(F3746=0,"",YEAR(F3746))</f>
        <v/>
      </c>
      <c r="H3746" s="21">
        <f>IF(F3746=0,"",MONTH(F3746))</f>
        <v/>
      </c>
      <c r="I3746" s="21">
        <f>IFERROR(INDEX(Pedidos!$E$2:$E$1801,MATCH(B3746,Pedidos!$A$2:$A$1801,0)),"")</f>
        <v/>
      </c>
      <c r="J3746" s="21">
        <f>IFERROR(INDEX(Pedidos!$C$2:$C$1801,MATCH(B3746,Pedidos!$A$2:$A$1801,0)),"")</f>
        <v/>
      </c>
      <c r="K3746" s="21">
        <f>IFERROR(INDEX(Pedidos!$D$2:$D$1801,MATCH(B3746,Pedidos!$A$2:$A$1801,0)),"")</f>
        <v/>
      </c>
      <c r="L3746" s="21">
        <f>IFERROR(INDEX(Pedidos!$F$2:$F$1801,MATCH(B3746,Pedidos!$A$2:$A$1801,0)),"")</f>
        <v/>
      </c>
      <c r="M3746" s="22">
        <f>IFERROR(INDEX(Pedidos!$G$2:$G$1801,MATCH(B3746,Pedidos!$A$2:$A$1801,0)),0)</f>
        <v/>
      </c>
      <c r="N3746" s="21">
        <f>IFERROR(INDEX(Produtos!$B$2:$B$71,MATCH(C3746,Produtos!$A$2:$A$71,0)),"")</f>
        <v/>
      </c>
      <c r="O3746" s="21">
        <f>IFERROR(INDEX(Produtos!$C$2:$C$71,MATCH(C3746,Produtos!$A$2:$A$71,0)),"")</f>
        <v/>
      </c>
      <c r="P3746" s="21">
        <f>IFERROR(INDEX(Produtos!$D$2:$D$71,MATCH(C3746,Produtos!$A$2:$A$71,0)),0)</f>
        <v/>
      </c>
      <c r="Q3746" s="21">
        <f>IFERROR(INDEX(Produtos!$E$2:$E$71,MATCH(C3746,Produtos!$A$2:$A$71,0)),0)</f>
        <v/>
      </c>
      <c r="R3746" s="23">
        <f>D3746*Q3746</f>
        <v/>
      </c>
      <c r="S3746" s="23">
        <f>R3746*E3746</f>
        <v/>
      </c>
      <c r="T3746" s="23">
        <f>(R3746-S3746)*M3746</f>
        <v/>
      </c>
      <c r="U3746" s="23">
        <f>R3746-S3746-T3746</f>
        <v/>
      </c>
      <c r="V3746" s="23">
        <f>D3746*P3746</f>
        <v/>
      </c>
      <c r="W3746" s="23">
        <f>U3746-V3746</f>
        <v/>
      </c>
      <c r="X3746" s="24">
        <f>IFERROR(W3746/U3746,0)</f>
        <v/>
      </c>
    </row>
    <row r="3747">
      <c r="A3747" s="25">
        <f>ItensPedido!A3747</f>
        <v/>
      </c>
      <c r="B3747" s="25">
        <f>ItensPedido!B3747</f>
        <v/>
      </c>
      <c r="C3747" s="25">
        <f>ItensPedido!C3747</f>
        <v/>
      </c>
      <c r="D3747" s="25">
        <f>ItensPedido!D3747</f>
        <v/>
      </c>
      <c r="E3747" s="26">
        <f>ItensPedido!E3747</f>
        <v/>
      </c>
      <c r="F3747" s="25">
        <f>IFERROR(INDEX(Pedidos!$B$2:$B$1801,MATCH(B3747,Pedidos!$A$2:$A$1801,0)),0)</f>
        <v/>
      </c>
      <c r="G3747" s="25">
        <f>IF(F3747=0,"",YEAR(F3747))</f>
        <v/>
      </c>
      <c r="H3747" s="25">
        <f>IF(F3747=0,"",MONTH(F3747))</f>
        <v/>
      </c>
      <c r="I3747" s="25">
        <f>IFERROR(INDEX(Pedidos!$E$2:$E$1801,MATCH(B3747,Pedidos!$A$2:$A$1801,0)),"")</f>
        <v/>
      </c>
      <c r="J3747" s="25">
        <f>IFERROR(INDEX(Pedidos!$C$2:$C$1801,MATCH(B3747,Pedidos!$A$2:$A$1801,0)),"")</f>
        <v/>
      </c>
      <c r="K3747" s="25">
        <f>IFERROR(INDEX(Pedidos!$D$2:$D$1801,MATCH(B3747,Pedidos!$A$2:$A$1801,0)),"")</f>
        <v/>
      </c>
      <c r="L3747" s="25">
        <f>IFERROR(INDEX(Pedidos!$F$2:$F$1801,MATCH(B3747,Pedidos!$A$2:$A$1801,0)),"")</f>
        <v/>
      </c>
      <c r="M3747" s="26">
        <f>IFERROR(INDEX(Pedidos!$G$2:$G$1801,MATCH(B3747,Pedidos!$A$2:$A$1801,0)),0)</f>
        <v/>
      </c>
      <c r="N3747" s="25">
        <f>IFERROR(INDEX(Produtos!$B$2:$B$71,MATCH(C3747,Produtos!$A$2:$A$71,0)),"")</f>
        <v/>
      </c>
      <c r="O3747" s="25">
        <f>IFERROR(INDEX(Produtos!$C$2:$C$71,MATCH(C3747,Produtos!$A$2:$A$71,0)),"")</f>
        <v/>
      </c>
      <c r="P3747" s="25">
        <f>IFERROR(INDEX(Produtos!$D$2:$D$71,MATCH(C3747,Produtos!$A$2:$A$71,0)),0)</f>
        <v/>
      </c>
      <c r="Q3747" s="25">
        <f>IFERROR(INDEX(Produtos!$E$2:$E$71,MATCH(C3747,Produtos!$A$2:$A$71,0)),0)</f>
        <v/>
      </c>
      <c r="R3747" s="27">
        <f>D3747*Q3747</f>
        <v/>
      </c>
      <c r="S3747" s="27">
        <f>R3747*E3747</f>
        <v/>
      </c>
      <c r="T3747" s="27">
        <f>(R3747-S3747)*M3747</f>
        <v/>
      </c>
      <c r="U3747" s="27">
        <f>R3747-S3747-T3747</f>
        <v/>
      </c>
      <c r="V3747" s="27">
        <f>D3747*P3747</f>
        <v/>
      </c>
      <c r="W3747" s="27">
        <f>U3747-V3747</f>
        <v/>
      </c>
      <c r="X3747" s="28">
        <f>IFERROR(W3747/U3747,0)</f>
        <v/>
      </c>
    </row>
    <row r="3748">
      <c r="A3748" s="21">
        <f>ItensPedido!A3748</f>
        <v/>
      </c>
      <c r="B3748" s="21">
        <f>ItensPedido!B3748</f>
        <v/>
      </c>
      <c r="C3748" s="21">
        <f>ItensPedido!C3748</f>
        <v/>
      </c>
      <c r="D3748" s="21">
        <f>ItensPedido!D3748</f>
        <v/>
      </c>
      <c r="E3748" s="22">
        <f>ItensPedido!E3748</f>
        <v/>
      </c>
      <c r="F3748" s="21">
        <f>IFERROR(INDEX(Pedidos!$B$2:$B$1801,MATCH(B3748,Pedidos!$A$2:$A$1801,0)),0)</f>
        <v/>
      </c>
      <c r="G3748" s="21">
        <f>IF(F3748=0,"",YEAR(F3748))</f>
        <v/>
      </c>
      <c r="H3748" s="21">
        <f>IF(F3748=0,"",MONTH(F3748))</f>
        <v/>
      </c>
      <c r="I3748" s="21">
        <f>IFERROR(INDEX(Pedidos!$E$2:$E$1801,MATCH(B3748,Pedidos!$A$2:$A$1801,0)),"")</f>
        <v/>
      </c>
      <c r="J3748" s="21">
        <f>IFERROR(INDEX(Pedidos!$C$2:$C$1801,MATCH(B3748,Pedidos!$A$2:$A$1801,0)),"")</f>
        <v/>
      </c>
      <c r="K3748" s="21">
        <f>IFERROR(INDEX(Pedidos!$D$2:$D$1801,MATCH(B3748,Pedidos!$A$2:$A$1801,0)),"")</f>
        <v/>
      </c>
      <c r="L3748" s="21">
        <f>IFERROR(INDEX(Pedidos!$F$2:$F$1801,MATCH(B3748,Pedidos!$A$2:$A$1801,0)),"")</f>
        <v/>
      </c>
      <c r="M3748" s="22">
        <f>IFERROR(INDEX(Pedidos!$G$2:$G$1801,MATCH(B3748,Pedidos!$A$2:$A$1801,0)),0)</f>
        <v/>
      </c>
      <c r="N3748" s="21">
        <f>IFERROR(INDEX(Produtos!$B$2:$B$71,MATCH(C3748,Produtos!$A$2:$A$71,0)),"")</f>
        <v/>
      </c>
      <c r="O3748" s="21">
        <f>IFERROR(INDEX(Produtos!$C$2:$C$71,MATCH(C3748,Produtos!$A$2:$A$71,0)),"")</f>
        <v/>
      </c>
      <c r="P3748" s="21">
        <f>IFERROR(INDEX(Produtos!$D$2:$D$71,MATCH(C3748,Produtos!$A$2:$A$71,0)),0)</f>
        <v/>
      </c>
      <c r="Q3748" s="21">
        <f>IFERROR(INDEX(Produtos!$E$2:$E$71,MATCH(C3748,Produtos!$A$2:$A$71,0)),0)</f>
        <v/>
      </c>
      <c r="R3748" s="23">
        <f>D3748*Q3748</f>
        <v/>
      </c>
      <c r="S3748" s="23">
        <f>R3748*E3748</f>
        <v/>
      </c>
      <c r="T3748" s="23">
        <f>(R3748-S3748)*M3748</f>
        <v/>
      </c>
      <c r="U3748" s="23">
        <f>R3748-S3748-T3748</f>
        <v/>
      </c>
      <c r="V3748" s="23">
        <f>D3748*P3748</f>
        <v/>
      </c>
      <c r="W3748" s="23">
        <f>U3748-V3748</f>
        <v/>
      </c>
      <c r="X3748" s="24">
        <f>IFERROR(W3748/U3748,0)</f>
        <v/>
      </c>
    </row>
    <row r="3749">
      <c r="A3749" s="25">
        <f>ItensPedido!A3749</f>
        <v/>
      </c>
      <c r="B3749" s="25">
        <f>ItensPedido!B3749</f>
        <v/>
      </c>
      <c r="C3749" s="25">
        <f>ItensPedido!C3749</f>
        <v/>
      </c>
      <c r="D3749" s="25">
        <f>ItensPedido!D3749</f>
        <v/>
      </c>
      <c r="E3749" s="26">
        <f>ItensPedido!E3749</f>
        <v/>
      </c>
      <c r="F3749" s="25">
        <f>IFERROR(INDEX(Pedidos!$B$2:$B$1801,MATCH(B3749,Pedidos!$A$2:$A$1801,0)),0)</f>
        <v/>
      </c>
      <c r="G3749" s="25">
        <f>IF(F3749=0,"",YEAR(F3749))</f>
        <v/>
      </c>
      <c r="H3749" s="25">
        <f>IF(F3749=0,"",MONTH(F3749))</f>
        <v/>
      </c>
      <c r="I3749" s="25">
        <f>IFERROR(INDEX(Pedidos!$E$2:$E$1801,MATCH(B3749,Pedidos!$A$2:$A$1801,0)),"")</f>
        <v/>
      </c>
      <c r="J3749" s="25">
        <f>IFERROR(INDEX(Pedidos!$C$2:$C$1801,MATCH(B3749,Pedidos!$A$2:$A$1801,0)),"")</f>
        <v/>
      </c>
      <c r="K3749" s="25">
        <f>IFERROR(INDEX(Pedidos!$D$2:$D$1801,MATCH(B3749,Pedidos!$A$2:$A$1801,0)),"")</f>
        <v/>
      </c>
      <c r="L3749" s="25">
        <f>IFERROR(INDEX(Pedidos!$F$2:$F$1801,MATCH(B3749,Pedidos!$A$2:$A$1801,0)),"")</f>
        <v/>
      </c>
      <c r="M3749" s="26">
        <f>IFERROR(INDEX(Pedidos!$G$2:$G$1801,MATCH(B3749,Pedidos!$A$2:$A$1801,0)),0)</f>
        <v/>
      </c>
      <c r="N3749" s="25">
        <f>IFERROR(INDEX(Produtos!$B$2:$B$71,MATCH(C3749,Produtos!$A$2:$A$71,0)),"")</f>
        <v/>
      </c>
      <c r="O3749" s="25">
        <f>IFERROR(INDEX(Produtos!$C$2:$C$71,MATCH(C3749,Produtos!$A$2:$A$71,0)),"")</f>
        <v/>
      </c>
      <c r="P3749" s="25">
        <f>IFERROR(INDEX(Produtos!$D$2:$D$71,MATCH(C3749,Produtos!$A$2:$A$71,0)),0)</f>
        <v/>
      </c>
      <c r="Q3749" s="25">
        <f>IFERROR(INDEX(Produtos!$E$2:$E$71,MATCH(C3749,Produtos!$A$2:$A$71,0)),0)</f>
        <v/>
      </c>
      <c r="R3749" s="27">
        <f>D3749*Q3749</f>
        <v/>
      </c>
      <c r="S3749" s="27">
        <f>R3749*E3749</f>
        <v/>
      </c>
      <c r="T3749" s="27">
        <f>(R3749-S3749)*M3749</f>
        <v/>
      </c>
      <c r="U3749" s="27">
        <f>R3749-S3749-T3749</f>
        <v/>
      </c>
      <c r="V3749" s="27">
        <f>D3749*P3749</f>
        <v/>
      </c>
      <c r="W3749" s="27">
        <f>U3749-V3749</f>
        <v/>
      </c>
      <c r="X3749" s="28">
        <f>IFERROR(W3749/U3749,0)</f>
        <v/>
      </c>
    </row>
    <row r="3750">
      <c r="A3750" s="21">
        <f>ItensPedido!A3750</f>
        <v/>
      </c>
      <c r="B3750" s="21">
        <f>ItensPedido!B3750</f>
        <v/>
      </c>
      <c r="C3750" s="21">
        <f>ItensPedido!C3750</f>
        <v/>
      </c>
      <c r="D3750" s="21">
        <f>ItensPedido!D3750</f>
        <v/>
      </c>
      <c r="E3750" s="22">
        <f>ItensPedido!E3750</f>
        <v/>
      </c>
      <c r="F3750" s="21">
        <f>IFERROR(INDEX(Pedidos!$B$2:$B$1801,MATCH(B3750,Pedidos!$A$2:$A$1801,0)),0)</f>
        <v/>
      </c>
      <c r="G3750" s="21">
        <f>IF(F3750=0,"",YEAR(F3750))</f>
        <v/>
      </c>
      <c r="H3750" s="21">
        <f>IF(F3750=0,"",MONTH(F3750))</f>
        <v/>
      </c>
      <c r="I3750" s="21">
        <f>IFERROR(INDEX(Pedidos!$E$2:$E$1801,MATCH(B3750,Pedidos!$A$2:$A$1801,0)),"")</f>
        <v/>
      </c>
      <c r="J3750" s="21">
        <f>IFERROR(INDEX(Pedidos!$C$2:$C$1801,MATCH(B3750,Pedidos!$A$2:$A$1801,0)),"")</f>
        <v/>
      </c>
      <c r="K3750" s="21">
        <f>IFERROR(INDEX(Pedidos!$D$2:$D$1801,MATCH(B3750,Pedidos!$A$2:$A$1801,0)),"")</f>
        <v/>
      </c>
      <c r="L3750" s="21">
        <f>IFERROR(INDEX(Pedidos!$F$2:$F$1801,MATCH(B3750,Pedidos!$A$2:$A$1801,0)),"")</f>
        <v/>
      </c>
      <c r="M3750" s="22">
        <f>IFERROR(INDEX(Pedidos!$G$2:$G$1801,MATCH(B3750,Pedidos!$A$2:$A$1801,0)),0)</f>
        <v/>
      </c>
      <c r="N3750" s="21">
        <f>IFERROR(INDEX(Produtos!$B$2:$B$71,MATCH(C3750,Produtos!$A$2:$A$71,0)),"")</f>
        <v/>
      </c>
      <c r="O3750" s="21">
        <f>IFERROR(INDEX(Produtos!$C$2:$C$71,MATCH(C3750,Produtos!$A$2:$A$71,0)),"")</f>
        <v/>
      </c>
      <c r="P3750" s="21">
        <f>IFERROR(INDEX(Produtos!$D$2:$D$71,MATCH(C3750,Produtos!$A$2:$A$71,0)),0)</f>
        <v/>
      </c>
      <c r="Q3750" s="21">
        <f>IFERROR(INDEX(Produtos!$E$2:$E$71,MATCH(C3750,Produtos!$A$2:$A$71,0)),0)</f>
        <v/>
      </c>
      <c r="R3750" s="23">
        <f>D3750*Q3750</f>
        <v/>
      </c>
      <c r="S3750" s="23">
        <f>R3750*E3750</f>
        <v/>
      </c>
      <c r="T3750" s="23">
        <f>(R3750-S3750)*M3750</f>
        <v/>
      </c>
      <c r="U3750" s="23">
        <f>R3750-S3750-T3750</f>
        <v/>
      </c>
      <c r="V3750" s="23">
        <f>D3750*P3750</f>
        <v/>
      </c>
      <c r="W3750" s="23">
        <f>U3750-V3750</f>
        <v/>
      </c>
      <c r="X3750" s="24">
        <f>IFERROR(W3750/U3750,0)</f>
        <v/>
      </c>
    </row>
    <row r="3751">
      <c r="A3751" s="25">
        <f>ItensPedido!A3751</f>
        <v/>
      </c>
      <c r="B3751" s="25">
        <f>ItensPedido!B3751</f>
        <v/>
      </c>
      <c r="C3751" s="25">
        <f>ItensPedido!C3751</f>
        <v/>
      </c>
      <c r="D3751" s="25">
        <f>ItensPedido!D3751</f>
        <v/>
      </c>
      <c r="E3751" s="26">
        <f>ItensPedido!E3751</f>
        <v/>
      </c>
      <c r="F3751" s="25">
        <f>IFERROR(INDEX(Pedidos!$B$2:$B$1801,MATCH(B3751,Pedidos!$A$2:$A$1801,0)),0)</f>
        <v/>
      </c>
      <c r="G3751" s="25">
        <f>IF(F3751=0,"",YEAR(F3751))</f>
        <v/>
      </c>
      <c r="H3751" s="25">
        <f>IF(F3751=0,"",MONTH(F3751))</f>
        <v/>
      </c>
      <c r="I3751" s="25">
        <f>IFERROR(INDEX(Pedidos!$E$2:$E$1801,MATCH(B3751,Pedidos!$A$2:$A$1801,0)),"")</f>
        <v/>
      </c>
      <c r="J3751" s="25">
        <f>IFERROR(INDEX(Pedidos!$C$2:$C$1801,MATCH(B3751,Pedidos!$A$2:$A$1801,0)),"")</f>
        <v/>
      </c>
      <c r="K3751" s="25">
        <f>IFERROR(INDEX(Pedidos!$D$2:$D$1801,MATCH(B3751,Pedidos!$A$2:$A$1801,0)),"")</f>
        <v/>
      </c>
      <c r="L3751" s="25">
        <f>IFERROR(INDEX(Pedidos!$F$2:$F$1801,MATCH(B3751,Pedidos!$A$2:$A$1801,0)),"")</f>
        <v/>
      </c>
      <c r="M3751" s="26">
        <f>IFERROR(INDEX(Pedidos!$G$2:$G$1801,MATCH(B3751,Pedidos!$A$2:$A$1801,0)),0)</f>
        <v/>
      </c>
      <c r="N3751" s="25">
        <f>IFERROR(INDEX(Produtos!$B$2:$B$71,MATCH(C3751,Produtos!$A$2:$A$71,0)),"")</f>
        <v/>
      </c>
      <c r="O3751" s="25">
        <f>IFERROR(INDEX(Produtos!$C$2:$C$71,MATCH(C3751,Produtos!$A$2:$A$71,0)),"")</f>
        <v/>
      </c>
      <c r="P3751" s="25">
        <f>IFERROR(INDEX(Produtos!$D$2:$D$71,MATCH(C3751,Produtos!$A$2:$A$71,0)),0)</f>
        <v/>
      </c>
      <c r="Q3751" s="25">
        <f>IFERROR(INDEX(Produtos!$E$2:$E$71,MATCH(C3751,Produtos!$A$2:$A$71,0)),0)</f>
        <v/>
      </c>
      <c r="R3751" s="27">
        <f>D3751*Q3751</f>
        <v/>
      </c>
      <c r="S3751" s="27">
        <f>R3751*E3751</f>
        <v/>
      </c>
      <c r="T3751" s="27">
        <f>(R3751-S3751)*M3751</f>
        <v/>
      </c>
      <c r="U3751" s="27">
        <f>R3751-S3751-T3751</f>
        <v/>
      </c>
      <c r="V3751" s="27">
        <f>D3751*P3751</f>
        <v/>
      </c>
      <c r="W3751" s="27">
        <f>U3751-V3751</f>
        <v/>
      </c>
      <c r="X3751" s="28">
        <f>IFERROR(W3751/U3751,0)</f>
        <v/>
      </c>
    </row>
    <row r="3752">
      <c r="A3752" s="21">
        <f>ItensPedido!A3752</f>
        <v/>
      </c>
      <c r="B3752" s="21">
        <f>ItensPedido!B3752</f>
        <v/>
      </c>
      <c r="C3752" s="21">
        <f>ItensPedido!C3752</f>
        <v/>
      </c>
      <c r="D3752" s="21">
        <f>ItensPedido!D3752</f>
        <v/>
      </c>
      <c r="E3752" s="22">
        <f>ItensPedido!E3752</f>
        <v/>
      </c>
      <c r="F3752" s="21">
        <f>IFERROR(INDEX(Pedidos!$B$2:$B$1801,MATCH(B3752,Pedidos!$A$2:$A$1801,0)),0)</f>
        <v/>
      </c>
      <c r="G3752" s="21">
        <f>IF(F3752=0,"",YEAR(F3752))</f>
        <v/>
      </c>
      <c r="H3752" s="21">
        <f>IF(F3752=0,"",MONTH(F3752))</f>
        <v/>
      </c>
      <c r="I3752" s="21">
        <f>IFERROR(INDEX(Pedidos!$E$2:$E$1801,MATCH(B3752,Pedidos!$A$2:$A$1801,0)),"")</f>
        <v/>
      </c>
      <c r="J3752" s="21">
        <f>IFERROR(INDEX(Pedidos!$C$2:$C$1801,MATCH(B3752,Pedidos!$A$2:$A$1801,0)),"")</f>
        <v/>
      </c>
      <c r="K3752" s="21">
        <f>IFERROR(INDEX(Pedidos!$D$2:$D$1801,MATCH(B3752,Pedidos!$A$2:$A$1801,0)),"")</f>
        <v/>
      </c>
      <c r="L3752" s="21">
        <f>IFERROR(INDEX(Pedidos!$F$2:$F$1801,MATCH(B3752,Pedidos!$A$2:$A$1801,0)),"")</f>
        <v/>
      </c>
      <c r="M3752" s="22">
        <f>IFERROR(INDEX(Pedidos!$G$2:$G$1801,MATCH(B3752,Pedidos!$A$2:$A$1801,0)),0)</f>
        <v/>
      </c>
      <c r="N3752" s="21">
        <f>IFERROR(INDEX(Produtos!$B$2:$B$71,MATCH(C3752,Produtos!$A$2:$A$71,0)),"")</f>
        <v/>
      </c>
      <c r="O3752" s="21">
        <f>IFERROR(INDEX(Produtos!$C$2:$C$71,MATCH(C3752,Produtos!$A$2:$A$71,0)),"")</f>
        <v/>
      </c>
      <c r="P3752" s="21">
        <f>IFERROR(INDEX(Produtos!$D$2:$D$71,MATCH(C3752,Produtos!$A$2:$A$71,0)),0)</f>
        <v/>
      </c>
      <c r="Q3752" s="21">
        <f>IFERROR(INDEX(Produtos!$E$2:$E$71,MATCH(C3752,Produtos!$A$2:$A$71,0)),0)</f>
        <v/>
      </c>
      <c r="R3752" s="23">
        <f>D3752*Q3752</f>
        <v/>
      </c>
      <c r="S3752" s="23">
        <f>R3752*E3752</f>
        <v/>
      </c>
      <c r="T3752" s="23">
        <f>(R3752-S3752)*M3752</f>
        <v/>
      </c>
      <c r="U3752" s="23">
        <f>R3752-S3752-T3752</f>
        <v/>
      </c>
      <c r="V3752" s="23">
        <f>D3752*P3752</f>
        <v/>
      </c>
      <c r="W3752" s="23">
        <f>U3752-V3752</f>
        <v/>
      </c>
      <c r="X3752" s="24">
        <f>IFERROR(W3752/U3752,0)</f>
        <v/>
      </c>
    </row>
    <row r="3753">
      <c r="A3753" s="25">
        <f>ItensPedido!A3753</f>
        <v/>
      </c>
      <c r="B3753" s="25">
        <f>ItensPedido!B3753</f>
        <v/>
      </c>
      <c r="C3753" s="25">
        <f>ItensPedido!C3753</f>
        <v/>
      </c>
      <c r="D3753" s="25">
        <f>ItensPedido!D3753</f>
        <v/>
      </c>
      <c r="E3753" s="26">
        <f>ItensPedido!E3753</f>
        <v/>
      </c>
      <c r="F3753" s="25">
        <f>IFERROR(INDEX(Pedidos!$B$2:$B$1801,MATCH(B3753,Pedidos!$A$2:$A$1801,0)),0)</f>
        <v/>
      </c>
      <c r="G3753" s="25">
        <f>IF(F3753=0,"",YEAR(F3753))</f>
        <v/>
      </c>
      <c r="H3753" s="25">
        <f>IF(F3753=0,"",MONTH(F3753))</f>
        <v/>
      </c>
      <c r="I3753" s="25">
        <f>IFERROR(INDEX(Pedidos!$E$2:$E$1801,MATCH(B3753,Pedidos!$A$2:$A$1801,0)),"")</f>
        <v/>
      </c>
      <c r="J3753" s="25">
        <f>IFERROR(INDEX(Pedidos!$C$2:$C$1801,MATCH(B3753,Pedidos!$A$2:$A$1801,0)),"")</f>
        <v/>
      </c>
      <c r="K3753" s="25">
        <f>IFERROR(INDEX(Pedidos!$D$2:$D$1801,MATCH(B3753,Pedidos!$A$2:$A$1801,0)),"")</f>
        <v/>
      </c>
      <c r="L3753" s="25">
        <f>IFERROR(INDEX(Pedidos!$F$2:$F$1801,MATCH(B3753,Pedidos!$A$2:$A$1801,0)),"")</f>
        <v/>
      </c>
      <c r="M3753" s="26">
        <f>IFERROR(INDEX(Pedidos!$G$2:$G$1801,MATCH(B3753,Pedidos!$A$2:$A$1801,0)),0)</f>
        <v/>
      </c>
      <c r="N3753" s="25">
        <f>IFERROR(INDEX(Produtos!$B$2:$B$71,MATCH(C3753,Produtos!$A$2:$A$71,0)),"")</f>
        <v/>
      </c>
      <c r="O3753" s="25">
        <f>IFERROR(INDEX(Produtos!$C$2:$C$71,MATCH(C3753,Produtos!$A$2:$A$71,0)),"")</f>
        <v/>
      </c>
      <c r="P3753" s="25">
        <f>IFERROR(INDEX(Produtos!$D$2:$D$71,MATCH(C3753,Produtos!$A$2:$A$71,0)),0)</f>
        <v/>
      </c>
      <c r="Q3753" s="25">
        <f>IFERROR(INDEX(Produtos!$E$2:$E$71,MATCH(C3753,Produtos!$A$2:$A$71,0)),0)</f>
        <v/>
      </c>
      <c r="R3753" s="27">
        <f>D3753*Q3753</f>
        <v/>
      </c>
      <c r="S3753" s="27">
        <f>R3753*E3753</f>
        <v/>
      </c>
      <c r="T3753" s="27">
        <f>(R3753-S3753)*M3753</f>
        <v/>
      </c>
      <c r="U3753" s="27">
        <f>R3753-S3753-T3753</f>
        <v/>
      </c>
      <c r="V3753" s="27">
        <f>D3753*P3753</f>
        <v/>
      </c>
      <c r="W3753" s="27">
        <f>U3753-V3753</f>
        <v/>
      </c>
      <c r="X3753" s="28">
        <f>IFERROR(W3753/U3753,0)</f>
        <v/>
      </c>
    </row>
    <row r="3754">
      <c r="A3754" s="21">
        <f>ItensPedido!A3754</f>
        <v/>
      </c>
      <c r="B3754" s="21">
        <f>ItensPedido!B3754</f>
        <v/>
      </c>
      <c r="C3754" s="21">
        <f>ItensPedido!C3754</f>
        <v/>
      </c>
      <c r="D3754" s="21">
        <f>ItensPedido!D3754</f>
        <v/>
      </c>
      <c r="E3754" s="22">
        <f>ItensPedido!E3754</f>
        <v/>
      </c>
      <c r="F3754" s="21">
        <f>IFERROR(INDEX(Pedidos!$B$2:$B$1801,MATCH(B3754,Pedidos!$A$2:$A$1801,0)),0)</f>
        <v/>
      </c>
      <c r="G3754" s="21">
        <f>IF(F3754=0,"",YEAR(F3754))</f>
        <v/>
      </c>
      <c r="H3754" s="21">
        <f>IF(F3754=0,"",MONTH(F3754))</f>
        <v/>
      </c>
      <c r="I3754" s="21">
        <f>IFERROR(INDEX(Pedidos!$E$2:$E$1801,MATCH(B3754,Pedidos!$A$2:$A$1801,0)),"")</f>
        <v/>
      </c>
      <c r="J3754" s="21">
        <f>IFERROR(INDEX(Pedidos!$C$2:$C$1801,MATCH(B3754,Pedidos!$A$2:$A$1801,0)),"")</f>
        <v/>
      </c>
      <c r="K3754" s="21">
        <f>IFERROR(INDEX(Pedidos!$D$2:$D$1801,MATCH(B3754,Pedidos!$A$2:$A$1801,0)),"")</f>
        <v/>
      </c>
      <c r="L3754" s="21">
        <f>IFERROR(INDEX(Pedidos!$F$2:$F$1801,MATCH(B3754,Pedidos!$A$2:$A$1801,0)),"")</f>
        <v/>
      </c>
      <c r="M3754" s="22">
        <f>IFERROR(INDEX(Pedidos!$G$2:$G$1801,MATCH(B3754,Pedidos!$A$2:$A$1801,0)),0)</f>
        <v/>
      </c>
      <c r="N3754" s="21">
        <f>IFERROR(INDEX(Produtos!$B$2:$B$71,MATCH(C3754,Produtos!$A$2:$A$71,0)),"")</f>
        <v/>
      </c>
      <c r="O3754" s="21">
        <f>IFERROR(INDEX(Produtos!$C$2:$C$71,MATCH(C3754,Produtos!$A$2:$A$71,0)),"")</f>
        <v/>
      </c>
      <c r="P3754" s="21">
        <f>IFERROR(INDEX(Produtos!$D$2:$D$71,MATCH(C3754,Produtos!$A$2:$A$71,0)),0)</f>
        <v/>
      </c>
      <c r="Q3754" s="21">
        <f>IFERROR(INDEX(Produtos!$E$2:$E$71,MATCH(C3754,Produtos!$A$2:$A$71,0)),0)</f>
        <v/>
      </c>
      <c r="R3754" s="23">
        <f>D3754*Q3754</f>
        <v/>
      </c>
      <c r="S3754" s="23">
        <f>R3754*E3754</f>
        <v/>
      </c>
      <c r="T3754" s="23">
        <f>(R3754-S3754)*M3754</f>
        <v/>
      </c>
      <c r="U3754" s="23">
        <f>R3754-S3754-T3754</f>
        <v/>
      </c>
      <c r="V3754" s="23">
        <f>D3754*P3754</f>
        <v/>
      </c>
      <c r="W3754" s="23">
        <f>U3754-V3754</f>
        <v/>
      </c>
      <c r="X3754" s="24">
        <f>IFERROR(W3754/U3754,0)</f>
        <v/>
      </c>
    </row>
    <row r="3755">
      <c r="A3755" s="25">
        <f>ItensPedido!A3755</f>
        <v/>
      </c>
      <c r="B3755" s="25">
        <f>ItensPedido!B3755</f>
        <v/>
      </c>
      <c r="C3755" s="25">
        <f>ItensPedido!C3755</f>
        <v/>
      </c>
      <c r="D3755" s="25">
        <f>ItensPedido!D3755</f>
        <v/>
      </c>
      <c r="E3755" s="26">
        <f>ItensPedido!E3755</f>
        <v/>
      </c>
      <c r="F3755" s="25">
        <f>IFERROR(INDEX(Pedidos!$B$2:$B$1801,MATCH(B3755,Pedidos!$A$2:$A$1801,0)),0)</f>
        <v/>
      </c>
      <c r="G3755" s="25">
        <f>IF(F3755=0,"",YEAR(F3755))</f>
        <v/>
      </c>
      <c r="H3755" s="25">
        <f>IF(F3755=0,"",MONTH(F3755))</f>
        <v/>
      </c>
      <c r="I3755" s="25">
        <f>IFERROR(INDEX(Pedidos!$E$2:$E$1801,MATCH(B3755,Pedidos!$A$2:$A$1801,0)),"")</f>
        <v/>
      </c>
      <c r="J3755" s="25">
        <f>IFERROR(INDEX(Pedidos!$C$2:$C$1801,MATCH(B3755,Pedidos!$A$2:$A$1801,0)),"")</f>
        <v/>
      </c>
      <c r="K3755" s="25">
        <f>IFERROR(INDEX(Pedidos!$D$2:$D$1801,MATCH(B3755,Pedidos!$A$2:$A$1801,0)),"")</f>
        <v/>
      </c>
      <c r="L3755" s="25">
        <f>IFERROR(INDEX(Pedidos!$F$2:$F$1801,MATCH(B3755,Pedidos!$A$2:$A$1801,0)),"")</f>
        <v/>
      </c>
      <c r="M3755" s="26">
        <f>IFERROR(INDEX(Pedidos!$G$2:$G$1801,MATCH(B3755,Pedidos!$A$2:$A$1801,0)),0)</f>
        <v/>
      </c>
      <c r="N3755" s="25">
        <f>IFERROR(INDEX(Produtos!$B$2:$B$71,MATCH(C3755,Produtos!$A$2:$A$71,0)),"")</f>
        <v/>
      </c>
      <c r="O3755" s="25">
        <f>IFERROR(INDEX(Produtos!$C$2:$C$71,MATCH(C3755,Produtos!$A$2:$A$71,0)),"")</f>
        <v/>
      </c>
      <c r="P3755" s="25">
        <f>IFERROR(INDEX(Produtos!$D$2:$D$71,MATCH(C3755,Produtos!$A$2:$A$71,0)),0)</f>
        <v/>
      </c>
      <c r="Q3755" s="25">
        <f>IFERROR(INDEX(Produtos!$E$2:$E$71,MATCH(C3755,Produtos!$A$2:$A$71,0)),0)</f>
        <v/>
      </c>
      <c r="R3755" s="27">
        <f>D3755*Q3755</f>
        <v/>
      </c>
      <c r="S3755" s="27">
        <f>R3755*E3755</f>
        <v/>
      </c>
      <c r="T3755" s="27">
        <f>(R3755-S3755)*M3755</f>
        <v/>
      </c>
      <c r="U3755" s="27">
        <f>R3755-S3755-T3755</f>
        <v/>
      </c>
      <c r="V3755" s="27">
        <f>D3755*P3755</f>
        <v/>
      </c>
      <c r="W3755" s="27">
        <f>U3755-V3755</f>
        <v/>
      </c>
      <c r="X3755" s="28">
        <f>IFERROR(W3755/U3755,0)</f>
        <v/>
      </c>
    </row>
    <row r="3756">
      <c r="A3756" s="21">
        <f>ItensPedido!A3756</f>
        <v/>
      </c>
      <c r="B3756" s="21">
        <f>ItensPedido!B3756</f>
        <v/>
      </c>
      <c r="C3756" s="21">
        <f>ItensPedido!C3756</f>
        <v/>
      </c>
      <c r="D3756" s="21">
        <f>ItensPedido!D3756</f>
        <v/>
      </c>
      <c r="E3756" s="22">
        <f>ItensPedido!E3756</f>
        <v/>
      </c>
      <c r="F3756" s="21">
        <f>IFERROR(INDEX(Pedidos!$B$2:$B$1801,MATCH(B3756,Pedidos!$A$2:$A$1801,0)),0)</f>
        <v/>
      </c>
      <c r="G3756" s="21">
        <f>IF(F3756=0,"",YEAR(F3756))</f>
        <v/>
      </c>
      <c r="H3756" s="21">
        <f>IF(F3756=0,"",MONTH(F3756))</f>
        <v/>
      </c>
      <c r="I3756" s="21">
        <f>IFERROR(INDEX(Pedidos!$E$2:$E$1801,MATCH(B3756,Pedidos!$A$2:$A$1801,0)),"")</f>
        <v/>
      </c>
      <c r="J3756" s="21">
        <f>IFERROR(INDEX(Pedidos!$C$2:$C$1801,MATCH(B3756,Pedidos!$A$2:$A$1801,0)),"")</f>
        <v/>
      </c>
      <c r="K3756" s="21">
        <f>IFERROR(INDEX(Pedidos!$D$2:$D$1801,MATCH(B3756,Pedidos!$A$2:$A$1801,0)),"")</f>
        <v/>
      </c>
      <c r="L3756" s="21">
        <f>IFERROR(INDEX(Pedidos!$F$2:$F$1801,MATCH(B3756,Pedidos!$A$2:$A$1801,0)),"")</f>
        <v/>
      </c>
      <c r="M3756" s="22">
        <f>IFERROR(INDEX(Pedidos!$G$2:$G$1801,MATCH(B3756,Pedidos!$A$2:$A$1801,0)),0)</f>
        <v/>
      </c>
      <c r="N3756" s="21">
        <f>IFERROR(INDEX(Produtos!$B$2:$B$71,MATCH(C3756,Produtos!$A$2:$A$71,0)),"")</f>
        <v/>
      </c>
      <c r="O3756" s="21">
        <f>IFERROR(INDEX(Produtos!$C$2:$C$71,MATCH(C3756,Produtos!$A$2:$A$71,0)),"")</f>
        <v/>
      </c>
      <c r="P3756" s="21">
        <f>IFERROR(INDEX(Produtos!$D$2:$D$71,MATCH(C3756,Produtos!$A$2:$A$71,0)),0)</f>
        <v/>
      </c>
      <c r="Q3756" s="21">
        <f>IFERROR(INDEX(Produtos!$E$2:$E$71,MATCH(C3756,Produtos!$A$2:$A$71,0)),0)</f>
        <v/>
      </c>
      <c r="R3756" s="23">
        <f>D3756*Q3756</f>
        <v/>
      </c>
      <c r="S3756" s="23">
        <f>R3756*E3756</f>
        <v/>
      </c>
      <c r="T3756" s="23">
        <f>(R3756-S3756)*M3756</f>
        <v/>
      </c>
      <c r="U3756" s="23">
        <f>R3756-S3756-T3756</f>
        <v/>
      </c>
      <c r="V3756" s="23">
        <f>D3756*P3756</f>
        <v/>
      </c>
      <c r="W3756" s="23">
        <f>U3756-V3756</f>
        <v/>
      </c>
      <c r="X3756" s="24">
        <f>IFERROR(W3756/U3756,0)</f>
        <v/>
      </c>
    </row>
    <row r="3757">
      <c r="A3757" s="25">
        <f>ItensPedido!A3757</f>
        <v/>
      </c>
      <c r="B3757" s="25">
        <f>ItensPedido!B3757</f>
        <v/>
      </c>
      <c r="C3757" s="25">
        <f>ItensPedido!C3757</f>
        <v/>
      </c>
      <c r="D3757" s="25">
        <f>ItensPedido!D3757</f>
        <v/>
      </c>
      <c r="E3757" s="26">
        <f>ItensPedido!E3757</f>
        <v/>
      </c>
      <c r="F3757" s="25">
        <f>IFERROR(INDEX(Pedidos!$B$2:$B$1801,MATCH(B3757,Pedidos!$A$2:$A$1801,0)),0)</f>
        <v/>
      </c>
      <c r="G3757" s="25">
        <f>IF(F3757=0,"",YEAR(F3757))</f>
        <v/>
      </c>
      <c r="H3757" s="25">
        <f>IF(F3757=0,"",MONTH(F3757))</f>
        <v/>
      </c>
      <c r="I3757" s="25">
        <f>IFERROR(INDEX(Pedidos!$E$2:$E$1801,MATCH(B3757,Pedidos!$A$2:$A$1801,0)),"")</f>
        <v/>
      </c>
      <c r="J3757" s="25">
        <f>IFERROR(INDEX(Pedidos!$C$2:$C$1801,MATCH(B3757,Pedidos!$A$2:$A$1801,0)),"")</f>
        <v/>
      </c>
      <c r="K3757" s="25">
        <f>IFERROR(INDEX(Pedidos!$D$2:$D$1801,MATCH(B3757,Pedidos!$A$2:$A$1801,0)),"")</f>
        <v/>
      </c>
      <c r="L3757" s="25">
        <f>IFERROR(INDEX(Pedidos!$F$2:$F$1801,MATCH(B3757,Pedidos!$A$2:$A$1801,0)),"")</f>
        <v/>
      </c>
      <c r="M3757" s="26">
        <f>IFERROR(INDEX(Pedidos!$G$2:$G$1801,MATCH(B3757,Pedidos!$A$2:$A$1801,0)),0)</f>
        <v/>
      </c>
      <c r="N3757" s="25">
        <f>IFERROR(INDEX(Produtos!$B$2:$B$71,MATCH(C3757,Produtos!$A$2:$A$71,0)),"")</f>
        <v/>
      </c>
      <c r="O3757" s="25">
        <f>IFERROR(INDEX(Produtos!$C$2:$C$71,MATCH(C3757,Produtos!$A$2:$A$71,0)),"")</f>
        <v/>
      </c>
      <c r="P3757" s="25">
        <f>IFERROR(INDEX(Produtos!$D$2:$D$71,MATCH(C3757,Produtos!$A$2:$A$71,0)),0)</f>
        <v/>
      </c>
      <c r="Q3757" s="25">
        <f>IFERROR(INDEX(Produtos!$E$2:$E$71,MATCH(C3757,Produtos!$A$2:$A$71,0)),0)</f>
        <v/>
      </c>
      <c r="R3757" s="27">
        <f>D3757*Q3757</f>
        <v/>
      </c>
      <c r="S3757" s="27">
        <f>R3757*E3757</f>
        <v/>
      </c>
      <c r="T3757" s="27">
        <f>(R3757-S3757)*M3757</f>
        <v/>
      </c>
      <c r="U3757" s="27">
        <f>R3757-S3757-T3757</f>
        <v/>
      </c>
      <c r="V3757" s="27">
        <f>D3757*P3757</f>
        <v/>
      </c>
      <c r="W3757" s="27">
        <f>U3757-V3757</f>
        <v/>
      </c>
      <c r="X3757" s="28">
        <f>IFERROR(W3757/U3757,0)</f>
        <v/>
      </c>
    </row>
    <row r="3758">
      <c r="A3758" s="21">
        <f>ItensPedido!A3758</f>
        <v/>
      </c>
      <c r="B3758" s="21">
        <f>ItensPedido!B3758</f>
        <v/>
      </c>
      <c r="C3758" s="21">
        <f>ItensPedido!C3758</f>
        <v/>
      </c>
      <c r="D3758" s="21">
        <f>ItensPedido!D3758</f>
        <v/>
      </c>
      <c r="E3758" s="22">
        <f>ItensPedido!E3758</f>
        <v/>
      </c>
      <c r="F3758" s="21">
        <f>IFERROR(INDEX(Pedidos!$B$2:$B$1801,MATCH(B3758,Pedidos!$A$2:$A$1801,0)),0)</f>
        <v/>
      </c>
      <c r="G3758" s="21">
        <f>IF(F3758=0,"",YEAR(F3758))</f>
        <v/>
      </c>
      <c r="H3758" s="21">
        <f>IF(F3758=0,"",MONTH(F3758))</f>
        <v/>
      </c>
      <c r="I3758" s="21">
        <f>IFERROR(INDEX(Pedidos!$E$2:$E$1801,MATCH(B3758,Pedidos!$A$2:$A$1801,0)),"")</f>
        <v/>
      </c>
      <c r="J3758" s="21">
        <f>IFERROR(INDEX(Pedidos!$C$2:$C$1801,MATCH(B3758,Pedidos!$A$2:$A$1801,0)),"")</f>
        <v/>
      </c>
      <c r="K3758" s="21">
        <f>IFERROR(INDEX(Pedidos!$D$2:$D$1801,MATCH(B3758,Pedidos!$A$2:$A$1801,0)),"")</f>
        <v/>
      </c>
      <c r="L3758" s="21">
        <f>IFERROR(INDEX(Pedidos!$F$2:$F$1801,MATCH(B3758,Pedidos!$A$2:$A$1801,0)),"")</f>
        <v/>
      </c>
      <c r="M3758" s="22">
        <f>IFERROR(INDEX(Pedidos!$G$2:$G$1801,MATCH(B3758,Pedidos!$A$2:$A$1801,0)),0)</f>
        <v/>
      </c>
      <c r="N3758" s="21">
        <f>IFERROR(INDEX(Produtos!$B$2:$B$71,MATCH(C3758,Produtos!$A$2:$A$71,0)),"")</f>
        <v/>
      </c>
      <c r="O3758" s="21">
        <f>IFERROR(INDEX(Produtos!$C$2:$C$71,MATCH(C3758,Produtos!$A$2:$A$71,0)),"")</f>
        <v/>
      </c>
      <c r="P3758" s="21">
        <f>IFERROR(INDEX(Produtos!$D$2:$D$71,MATCH(C3758,Produtos!$A$2:$A$71,0)),0)</f>
        <v/>
      </c>
      <c r="Q3758" s="21">
        <f>IFERROR(INDEX(Produtos!$E$2:$E$71,MATCH(C3758,Produtos!$A$2:$A$71,0)),0)</f>
        <v/>
      </c>
      <c r="R3758" s="23">
        <f>D3758*Q3758</f>
        <v/>
      </c>
      <c r="S3758" s="23">
        <f>R3758*E3758</f>
        <v/>
      </c>
      <c r="T3758" s="23">
        <f>(R3758-S3758)*M3758</f>
        <v/>
      </c>
      <c r="U3758" s="23">
        <f>R3758-S3758-T3758</f>
        <v/>
      </c>
      <c r="V3758" s="23">
        <f>D3758*P3758</f>
        <v/>
      </c>
      <c r="W3758" s="23">
        <f>U3758-V3758</f>
        <v/>
      </c>
      <c r="X3758" s="24">
        <f>IFERROR(W3758/U3758,0)</f>
        <v/>
      </c>
    </row>
    <row r="3759">
      <c r="A3759" s="25">
        <f>ItensPedido!A3759</f>
        <v/>
      </c>
      <c r="B3759" s="25">
        <f>ItensPedido!B3759</f>
        <v/>
      </c>
      <c r="C3759" s="25">
        <f>ItensPedido!C3759</f>
        <v/>
      </c>
      <c r="D3759" s="25">
        <f>ItensPedido!D3759</f>
        <v/>
      </c>
      <c r="E3759" s="26">
        <f>ItensPedido!E3759</f>
        <v/>
      </c>
      <c r="F3759" s="25">
        <f>IFERROR(INDEX(Pedidos!$B$2:$B$1801,MATCH(B3759,Pedidos!$A$2:$A$1801,0)),0)</f>
        <v/>
      </c>
      <c r="G3759" s="25">
        <f>IF(F3759=0,"",YEAR(F3759))</f>
        <v/>
      </c>
      <c r="H3759" s="25">
        <f>IF(F3759=0,"",MONTH(F3759))</f>
        <v/>
      </c>
      <c r="I3759" s="25">
        <f>IFERROR(INDEX(Pedidos!$E$2:$E$1801,MATCH(B3759,Pedidos!$A$2:$A$1801,0)),"")</f>
        <v/>
      </c>
      <c r="J3759" s="25">
        <f>IFERROR(INDEX(Pedidos!$C$2:$C$1801,MATCH(B3759,Pedidos!$A$2:$A$1801,0)),"")</f>
        <v/>
      </c>
      <c r="K3759" s="25">
        <f>IFERROR(INDEX(Pedidos!$D$2:$D$1801,MATCH(B3759,Pedidos!$A$2:$A$1801,0)),"")</f>
        <v/>
      </c>
      <c r="L3759" s="25">
        <f>IFERROR(INDEX(Pedidos!$F$2:$F$1801,MATCH(B3759,Pedidos!$A$2:$A$1801,0)),"")</f>
        <v/>
      </c>
      <c r="M3759" s="26">
        <f>IFERROR(INDEX(Pedidos!$G$2:$G$1801,MATCH(B3759,Pedidos!$A$2:$A$1801,0)),0)</f>
        <v/>
      </c>
      <c r="N3759" s="25">
        <f>IFERROR(INDEX(Produtos!$B$2:$B$71,MATCH(C3759,Produtos!$A$2:$A$71,0)),"")</f>
        <v/>
      </c>
      <c r="O3759" s="25">
        <f>IFERROR(INDEX(Produtos!$C$2:$C$71,MATCH(C3759,Produtos!$A$2:$A$71,0)),"")</f>
        <v/>
      </c>
      <c r="P3759" s="25">
        <f>IFERROR(INDEX(Produtos!$D$2:$D$71,MATCH(C3759,Produtos!$A$2:$A$71,0)),0)</f>
        <v/>
      </c>
      <c r="Q3759" s="25">
        <f>IFERROR(INDEX(Produtos!$E$2:$E$71,MATCH(C3759,Produtos!$A$2:$A$71,0)),0)</f>
        <v/>
      </c>
      <c r="R3759" s="27">
        <f>D3759*Q3759</f>
        <v/>
      </c>
      <c r="S3759" s="27">
        <f>R3759*E3759</f>
        <v/>
      </c>
      <c r="T3759" s="27">
        <f>(R3759-S3759)*M3759</f>
        <v/>
      </c>
      <c r="U3759" s="27">
        <f>R3759-S3759-T3759</f>
        <v/>
      </c>
      <c r="V3759" s="27">
        <f>D3759*P3759</f>
        <v/>
      </c>
      <c r="W3759" s="27">
        <f>U3759-V3759</f>
        <v/>
      </c>
      <c r="X3759" s="28">
        <f>IFERROR(W3759/U3759,0)</f>
        <v/>
      </c>
    </row>
    <row r="3760">
      <c r="A3760" s="21">
        <f>ItensPedido!A3760</f>
        <v/>
      </c>
      <c r="B3760" s="21">
        <f>ItensPedido!B3760</f>
        <v/>
      </c>
      <c r="C3760" s="21">
        <f>ItensPedido!C3760</f>
        <v/>
      </c>
      <c r="D3760" s="21">
        <f>ItensPedido!D3760</f>
        <v/>
      </c>
      <c r="E3760" s="22">
        <f>ItensPedido!E3760</f>
        <v/>
      </c>
      <c r="F3760" s="21">
        <f>IFERROR(INDEX(Pedidos!$B$2:$B$1801,MATCH(B3760,Pedidos!$A$2:$A$1801,0)),0)</f>
        <v/>
      </c>
      <c r="G3760" s="21">
        <f>IF(F3760=0,"",YEAR(F3760))</f>
        <v/>
      </c>
      <c r="H3760" s="21">
        <f>IF(F3760=0,"",MONTH(F3760))</f>
        <v/>
      </c>
      <c r="I3760" s="21">
        <f>IFERROR(INDEX(Pedidos!$E$2:$E$1801,MATCH(B3760,Pedidos!$A$2:$A$1801,0)),"")</f>
        <v/>
      </c>
      <c r="J3760" s="21">
        <f>IFERROR(INDEX(Pedidos!$C$2:$C$1801,MATCH(B3760,Pedidos!$A$2:$A$1801,0)),"")</f>
        <v/>
      </c>
      <c r="K3760" s="21">
        <f>IFERROR(INDEX(Pedidos!$D$2:$D$1801,MATCH(B3760,Pedidos!$A$2:$A$1801,0)),"")</f>
        <v/>
      </c>
      <c r="L3760" s="21">
        <f>IFERROR(INDEX(Pedidos!$F$2:$F$1801,MATCH(B3760,Pedidos!$A$2:$A$1801,0)),"")</f>
        <v/>
      </c>
      <c r="M3760" s="22">
        <f>IFERROR(INDEX(Pedidos!$G$2:$G$1801,MATCH(B3760,Pedidos!$A$2:$A$1801,0)),0)</f>
        <v/>
      </c>
      <c r="N3760" s="21">
        <f>IFERROR(INDEX(Produtos!$B$2:$B$71,MATCH(C3760,Produtos!$A$2:$A$71,0)),"")</f>
        <v/>
      </c>
      <c r="O3760" s="21">
        <f>IFERROR(INDEX(Produtos!$C$2:$C$71,MATCH(C3760,Produtos!$A$2:$A$71,0)),"")</f>
        <v/>
      </c>
      <c r="P3760" s="21">
        <f>IFERROR(INDEX(Produtos!$D$2:$D$71,MATCH(C3760,Produtos!$A$2:$A$71,0)),0)</f>
        <v/>
      </c>
      <c r="Q3760" s="21">
        <f>IFERROR(INDEX(Produtos!$E$2:$E$71,MATCH(C3760,Produtos!$A$2:$A$71,0)),0)</f>
        <v/>
      </c>
      <c r="R3760" s="23">
        <f>D3760*Q3760</f>
        <v/>
      </c>
      <c r="S3760" s="23">
        <f>R3760*E3760</f>
        <v/>
      </c>
      <c r="T3760" s="23">
        <f>(R3760-S3760)*M3760</f>
        <v/>
      </c>
      <c r="U3760" s="23">
        <f>R3760-S3760-T3760</f>
        <v/>
      </c>
      <c r="V3760" s="23">
        <f>D3760*P3760</f>
        <v/>
      </c>
      <c r="W3760" s="23">
        <f>U3760-V3760</f>
        <v/>
      </c>
      <c r="X3760" s="24">
        <f>IFERROR(W3760/U3760,0)</f>
        <v/>
      </c>
    </row>
    <row r="3761">
      <c r="A3761" s="25">
        <f>ItensPedido!A3761</f>
        <v/>
      </c>
      <c r="B3761" s="25">
        <f>ItensPedido!B3761</f>
        <v/>
      </c>
      <c r="C3761" s="25">
        <f>ItensPedido!C3761</f>
        <v/>
      </c>
      <c r="D3761" s="25">
        <f>ItensPedido!D3761</f>
        <v/>
      </c>
      <c r="E3761" s="26">
        <f>ItensPedido!E3761</f>
        <v/>
      </c>
      <c r="F3761" s="25">
        <f>IFERROR(INDEX(Pedidos!$B$2:$B$1801,MATCH(B3761,Pedidos!$A$2:$A$1801,0)),0)</f>
        <v/>
      </c>
      <c r="G3761" s="25">
        <f>IF(F3761=0,"",YEAR(F3761))</f>
        <v/>
      </c>
      <c r="H3761" s="25">
        <f>IF(F3761=0,"",MONTH(F3761))</f>
        <v/>
      </c>
      <c r="I3761" s="25">
        <f>IFERROR(INDEX(Pedidos!$E$2:$E$1801,MATCH(B3761,Pedidos!$A$2:$A$1801,0)),"")</f>
        <v/>
      </c>
      <c r="J3761" s="25">
        <f>IFERROR(INDEX(Pedidos!$C$2:$C$1801,MATCH(B3761,Pedidos!$A$2:$A$1801,0)),"")</f>
        <v/>
      </c>
      <c r="K3761" s="25">
        <f>IFERROR(INDEX(Pedidos!$D$2:$D$1801,MATCH(B3761,Pedidos!$A$2:$A$1801,0)),"")</f>
        <v/>
      </c>
      <c r="L3761" s="25">
        <f>IFERROR(INDEX(Pedidos!$F$2:$F$1801,MATCH(B3761,Pedidos!$A$2:$A$1801,0)),"")</f>
        <v/>
      </c>
      <c r="M3761" s="26">
        <f>IFERROR(INDEX(Pedidos!$G$2:$G$1801,MATCH(B3761,Pedidos!$A$2:$A$1801,0)),0)</f>
        <v/>
      </c>
      <c r="N3761" s="25">
        <f>IFERROR(INDEX(Produtos!$B$2:$B$71,MATCH(C3761,Produtos!$A$2:$A$71,0)),"")</f>
        <v/>
      </c>
      <c r="O3761" s="25">
        <f>IFERROR(INDEX(Produtos!$C$2:$C$71,MATCH(C3761,Produtos!$A$2:$A$71,0)),"")</f>
        <v/>
      </c>
      <c r="P3761" s="25">
        <f>IFERROR(INDEX(Produtos!$D$2:$D$71,MATCH(C3761,Produtos!$A$2:$A$71,0)),0)</f>
        <v/>
      </c>
      <c r="Q3761" s="25">
        <f>IFERROR(INDEX(Produtos!$E$2:$E$71,MATCH(C3761,Produtos!$A$2:$A$71,0)),0)</f>
        <v/>
      </c>
      <c r="R3761" s="27">
        <f>D3761*Q3761</f>
        <v/>
      </c>
      <c r="S3761" s="27">
        <f>R3761*E3761</f>
        <v/>
      </c>
      <c r="T3761" s="27">
        <f>(R3761-S3761)*M3761</f>
        <v/>
      </c>
      <c r="U3761" s="27">
        <f>R3761-S3761-T3761</f>
        <v/>
      </c>
      <c r="V3761" s="27">
        <f>D3761*P3761</f>
        <v/>
      </c>
      <c r="W3761" s="27">
        <f>U3761-V3761</f>
        <v/>
      </c>
      <c r="X3761" s="28">
        <f>IFERROR(W3761/U3761,0)</f>
        <v/>
      </c>
    </row>
    <row r="3762">
      <c r="A3762" s="21">
        <f>ItensPedido!A3762</f>
        <v/>
      </c>
      <c r="B3762" s="21">
        <f>ItensPedido!B3762</f>
        <v/>
      </c>
      <c r="C3762" s="21">
        <f>ItensPedido!C3762</f>
        <v/>
      </c>
      <c r="D3762" s="21">
        <f>ItensPedido!D3762</f>
        <v/>
      </c>
      <c r="E3762" s="22">
        <f>ItensPedido!E3762</f>
        <v/>
      </c>
      <c r="F3762" s="21">
        <f>IFERROR(INDEX(Pedidos!$B$2:$B$1801,MATCH(B3762,Pedidos!$A$2:$A$1801,0)),0)</f>
        <v/>
      </c>
      <c r="G3762" s="21">
        <f>IF(F3762=0,"",YEAR(F3762))</f>
        <v/>
      </c>
      <c r="H3762" s="21">
        <f>IF(F3762=0,"",MONTH(F3762))</f>
        <v/>
      </c>
      <c r="I3762" s="21">
        <f>IFERROR(INDEX(Pedidos!$E$2:$E$1801,MATCH(B3762,Pedidos!$A$2:$A$1801,0)),"")</f>
        <v/>
      </c>
      <c r="J3762" s="21">
        <f>IFERROR(INDEX(Pedidos!$C$2:$C$1801,MATCH(B3762,Pedidos!$A$2:$A$1801,0)),"")</f>
        <v/>
      </c>
      <c r="K3762" s="21">
        <f>IFERROR(INDEX(Pedidos!$D$2:$D$1801,MATCH(B3762,Pedidos!$A$2:$A$1801,0)),"")</f>
        <v/>
      </c>
      <c r="L3762" s="21">
        <f>IFERROR(INDEX(Pedidos!$F$2:$F$1801,MATCH(B3762,Pedidos!$A$2:$A$1801,0)),"")</f>
        <v/>
      </c>
      <c r="M3762" s="22">
        <f>IFERROR(INDEX(Pedidos!$G$2:$G$1801,MATCH(B3762,Pedidos!$A$2:$A$1801,0)),0)</f>
        <v/>
      </c>
      <c r="N3762" s="21">
        <f>IFERROR(INDEX(Produtos!$B$2:$B$71,MATCH(C3762,Produtos!$A$2:$A$71,0)),"")</f>
        <v/>
      </c>
      <c r="O3762" s="21">
        <f>IFERROR(INDEX(Produtos!$C$2:$C$71,MATCH(C3762,Produtos!$A$2:$A$71,0)),"")</f>
        <v/>
      </c>
      <c r="P3762" s="21">
        <f>IFERROR(INDEX(Produtos!$D$2:$D$71,MATCH(C3762,Produtos!$A$2:$A$71,0)),0)</f>
        <v/>
      </c>
      <c r="Q3762" s="21">
        <f>IFERROR(INDEX(Produtos!$E$2:$E$71,MATCH(C3762,Produtos!$A$2:$A$71,0)),0)</f>
        <v/>
      </c>
      <c r="R3762" s="23">
        <f>D3762*Q3762</f>
        <v/>
      </c>
      <c r="S3762" s="23">
        <f>R3762*E3762</f>
        <v/>
      </c>
      <c r="T3762" s="23">
        <f>(R3762-S3762)*M3762</f>
        <v/>
      </c>
      <c r="U3762" s="23">
        <f>R3762-S3762-T3762</f>
        <v/>
      </c>
      <c r="V3762" s="23">
        <f>D3762*P3762</f>
        <v/>
      </c>
      <c r="W3762" s="23">
        <f>U3762-V3762</f>
        <v/>
      </c>
      <c r="X3762" s="24">
        <f>IFERROR(W3762/U3762,0)</f>
        <v/>
      </c>
    </row>
    <row r="3763">
      <c r="A3763" s="25">
        <f>ItensPedido!A3763</f>
        <v/>
      </c>
      <c r="B3763" s="25">
        <f>ItensPedido!B3763</f>
        <v/>
      </c>
      <c r="C3763" s="25">
        <f>ItensPedido!C3763</f>
        <v/>
      </c>
      <c r="D3763" s="25">
        <f>ItensPedido!D3763</f>
        <v/>
      </c>
      <c r="E3763" s="26">
        <f>ItensPedido!E3763</f>
        <v/>
      </c>
      <c r="F3763" s="25">
        <f>IFERROR(INDEX(Pedidos!$B$2:$B$1801,MATCH(B3763,Pedidos!$A$2:$A$1801,0)),0)</f>
        <v/>
      </c>
      <c r="G3763" s="25">
        <f>IF(F3763=0,"",YEAR(F3763))</f>
        <v/>
      </c>
      <c r="H3763" s="25">
        <f>IF(F3763=0,"",MONTH(F3763))</f>
        <v/>
      </c>
      <c r="I3763" s="25">
        <f>IFERROR(INDEX(Pedidos!$E$2:$E$1801,MATCH(B3763,Pedidos!$A$2:$A$1801,0)),"")</f>
        <v/>
      </c>
      <c r="J3763" s="25">
        <f>IFERROR(INDEX(Pedidos!$C$2:$C$1801,MATCH(B3763,Pedidos!$A$2:$A$1801,0)),"")</f>
        <v/>
      </c>
      <c r="K3763" s="25">
        <f>IFERROR(INDEX(Pedidos!$D$2:$D$1801,MATCH(B3763,Pedidos!$A$2:$A$1801,0)),"")</f>
        <v/>
      </c>
      <c r="L3763" s="25">
        <f>IFERROR(INDEX(Pedidos!$F$2:$F$1801,MATCH(B3763,Pedidos!$A$2:$A$1801,0)),"")</f>
        <v/>
      </c>
      <c r="M3763" s="26">
        <f>IFERROR(INDEX(Pedidos!$G$2:$G$1801,MATCH(B3763,Pedidos!$A$2:$A$1801,0)),0)</f>
        <v/>
      </c>
      <c r="N3763" s="25">
        <f>IFERROR(INDEX(Produtos!$B$2:$B$71,MATCH(C3763,Produtos!$A$2:$A$71,0)),"")</f>
        <v/>
      </c>
      <c r="O3763" s="25">
        <f>IFERROR(INDEX(Produtos!$C$2:$C$71,MATCH(C3763,Produtos!$A$2:$A$71,0)),"")</f>
        <v/>
      </c>
      <c r="P3763" s="25">
        <f>IFERROR(INDEX(Produtos!$D$2:$D$71,MATCH(C3763,Produtos!$A$2:$A$71,0)),0)</f>
        <v/>
      </c>
      <c r="Q3763" s="25">
        <f>IFERROR(INDEX(Produtos!$E$2:$E$71,MATCH(C3763,Produtos!$A$2:$A$71,0)),0)</f>
        <v/>
      </c>
      <c r="R3763" s="27">
        <f>D3763*Q3763</f>
        <v/>
      </c>
      <c r="S3763" s="27">
        <f>R3763*E3763</f>
        <v/>
      </c>
      <c r="T3763" s="27">
        <f>(R3763-S3763)*M3763</f>
        <v/>
      </c>
      <c r="U3763" s="27">
        <f>R3763-S3763-T3763</f>
        <v/>
      </c>
      <c r="V3763" s="27">
        <f>D3763*P3763</f>
        <v/>
      </c>
      <c r="W3763" s="27">
        <f>U3763-V3763</f>
        <v/>
      </c>
      <c r="X3763" s="28">
        <f>IFERROR(W3763/U3763,0)</f>
        <v/>
      </c>
    </row>
    <row r="3764">
      <c r="A3764" s="21">
        <f>ItensPedido!A3764</f>
        <v/>
      </c>
      <c r="B3764" s="21">
        <f>ItensPedido!B3764</f>
        <v/>
      </c>
      <c r="C3764" s="21">
        <f>ItensPedido!C3764</f>
        <v/>
      </c>
      <c r="D3764" s="21">
        <f>ItensPedido!D3764</f>
        <v/>
      </c>
      <c r="E3764" s="22">
        <f>ItensPedido!E3764</f>
        <v/>
      </c>
      <c r="F3764" s="21">
        <f>IFERROR(INDEX(Pedidos!$B$2:$B$1801,MATCH(B3764,Pedidos!$A$2:$A$1801,0)),0)</f>
        <v/>
      </c>
      <c r="G3764" s="21">
        <f>IF(F3764=0,"",YEAR(F3764))</f>
        <v/>
      </c>
      <c r="H3764" s="21">
        <f>IF(F3764=0,"",MONTH(F3764))</f>
        <v/>
      </c>
      <c r="I3764" s="21">
        <f>IFERROR(INDEX(Pedidos!$E$2:$E$1801,MATCH(B3764,Pedidos!$A$2:$A$1801,0)),"")</f>
        <v/>
      </c>
      <c r="J3764" s="21">
        <f>IFERROR(INDEX(Pedidos!$C$2:$C$1801,MATCH(B3764,Pedidos!$A$2:$A$1801,0)),"")</f>
        <v/>
      </c>
      <c r="K3764" s="21">
        <f>IFERROR(INDEX(Pedidos!$D$2:$D$1801,MATCH(B3764,Pedidos!$A$2:$A$1801,0)),"")</f>
        <v/>
      </c>
      <c r="L3764" s="21">
        <f>IFERROR(INDEX(Pedidos!$F$2:$F$1801,MATCH(B3764,Pedidos!$A$2:$A$1801,0)),"")</f>
        <v/>
      </c>
      <c r="M3764" s="22">
        <f>IFERROR(INDEX(Pedidos!$G$2:$G$1801,MATCH(B3764,Pedidos!$A$2:$A$1801,0)),0)</f>
        <v/>
      </c>
      <c r="N3764" s="21">
        <f>IFERROR(INDEX(Produtos!$B$2:$B$71,MATCH(C3764,Produtos!$A$2:$A$71,0)),"")</f>
        <v/>
      </c>
      <c r="O3764" s="21">
        <f>IFERROR(INDEX(Produtos!$C$2:$C$71,MATCH(C3764,Produtos!$A$2:$A$71,0)),"")</f>
        <v/>
      </c>
      <c r="P3764" s="21">
        <f>IFERROR(INDEX(Produtos!$D$2:$D$71,MATCH(C3764,Produtos!$A$2:$A$71,0)),0)</f>
        <v/>
      </c>
      <c r="Q3764" s="21">
        <f>IFERROR(INDEX(Produtos!$E$2:$E$71,MATCH(C3764,Produtos!$A$2:$A$71,0)),0)</f>
        <v/>
      </c>
      <c r="R3764" s="23">
        <f>D3764*Q3764</f>
        <v/>
      </c>
      <c r="S3764" s="23">
        <f>R3764*E3764</f>
        <v/>
      </c>
      <c r="T3764" s="23">
        <f>(R3764-S3764)*M3764</f>
        <v/>
      </c>
      <c r="U3764" s="23">
        <f>R3764-S3764-T3764</f>
        <v/>
      </c>
      <c r="V3764" s="23">
        <f>D3764*P3764</f>
        <v/>
      </c>
      <c r="W3764" s="23">
        <f>U3764-V3764</f>
        <v/>
      </c>
      <c r="X3764" s="24">
        <f>IFERROR(W3764/U3764,0)</f>
        <v/>
      </c>
    </row>
    <row r="3765">
      <c r="A3765" s="25">
        <f>ItensPedido!A3765</f>
        <v/>
      </c>
      <c r="B3765" s="25">
        <f>ItensPedido!B3765</f>
        <v/>
      </c>
      <c r="C3765" s="25">
        <f>ItensPedido!C3765</f>
        <v/>
      </c>
      <c r="D3765" s="25">
        <f>ItensPedido!D3765</f>
        <v/>
      </c>
      <c r="E3765" s="26">
        <f>ItensPedido!E3765</f>
        <v/>
      </c>
      <c r="F3765" s="25">
        <f>IFERROR(INDEX(Pedidos!$B$2:$B$1801,MATCH(B3765,Pedidos!$A$2:$A$1801,0)),0)</f>
        <v/>
      </c>
      <c r="G3765" s="25">
        <f>IF(F3765=0,"",YEAR(F3765))</f>
        <v/>
      </c>
      <c r="H3765" s="25">
        <f>IF(F3765=0,"",MONTH(F3765))</f>
        <v/>
      </c>
      <c r="I3765" s="25">
        <f>IFERROR(INDEX(Pedidos!$E$2:$E$1801,MATCH(B3765,Pedidos!$A$2:$A$1801,0)),"")</f>
        <v/>
      </c>
      <c r="J3765" s="25">
        <f>IFERROR(INDEX(Pedidos!$C$2:$C$1801,MATCH(B3765,Pedidos!$A$2:$A$1801,0)),"")</f>
        <v/>
      </c>
      <c r="K3765" s="25">
        <f>IFERROR(INDEX(Pedidos!$D$2:$D$1801,MATCH(B3765,Pedidos!$A$2:$A$1801,0)),"")</f>
        <v/>
      </c>
      <c r="L3765" s="25">
        <f>IFERROR(INDEX(Pedidos!$F$2:$F$1801,MATCH(B3765,Pedidos!$A$2:$A$1801,0)),"")</f>
        <v/>
      </c>
      <c r="M3765" s="26">
        <f>IFERROR(INDEX(Pedidos!$G$2:$G$1801,MATCH(B3765,Pedidos!$A$2:$A$1801,0)),0)</f>
        <v/>
      </c>
      <c r="N3765" s="25">
        <f>IFERROR(INDEX(Produtos!$B$2:$B$71,MATCH(C3765,Produtos!$A$2:$A$71,0)),"")</f>
        <v/>
      </c>
      <c r="O3765" s="25">
        <f>IFERROR(INDEX(Produtos!$C$2:$C$71,MATCH(C3765,Produtos!$A$2:$A$71,0)),"")</f>
        <v/>
      </c>
      <c r="P3765" s="25">
        <f>IFERROR(INDEX(Produtos!$D$2:$D$71,MATCH(C3765,Produtos!$A$2:$A$71,0)),0)</f>
        <v/>
      </c>
      <c r="Q3765" s="25">
        <f>IFERROR(INDEX(Produtos!$E$2:$E$71,MATCH(C3765,Produtos!$A$2:$A$71,0)),0)</f>
        <v/>
      </c>
      <c r="R3765" s="27">
        <f>D3765*Q3765</f>
        <v/>
      </c>
      <c r="S3765" s="27">
        <f>R3765*E3765</f>
        <v/>
      </c>
      <c r="T3765" s="27">
        <f>(R3765-S3765)*M3765</f>
        <v/>
      </c>
      <c r="U3765" s="27">
        <f>R3765-S3765-T3765</f>
        <v/>
      </c>
      <c r="V3765" s="27">
        <f>D3765*P3765</f>
        <v/>
      </c>
      <c r="W3765" s="27">
        <f>U3765-V3765</f>
        <v/>
      </c>
      <c r="X3765" s="28">
        <f>IFERROR(W3765/U3765,0)</f>
        <v/>
      </c>
    </row>
    <row r="3766">
      <c r="A3766" s="21">
        <f>ItensPedido!A3766</f>
        <v/>
      </c>
      <c r="B3766" s="21">
        <f>ItensPedido!B3766</f>
        <v/>
      </c>
      <c r="C3766" s="21">
        <f>ItensPedido!C3766</f>
        <v/>
      </c>
      <c r="D3766" s="21">
        <f>ItensPedido!D3766</f>
        <v/>
      </c>
      <c r="E3766" s="22">
        <f>ItensPedido!E3766</f>
        <v/>
      </c>
      <c r="F3766" s="21">
        <f>IFERROR(INDEX(Pedidos!$B$2:$B$1801,MATCH(B3766,Pedidos!$A$2:$A$1801,0)),0)</f>
        <v/>
      </c>
      <c r="G3766" s="21">
        <f>IF(F3766=0,"",YEAR(F3766))</f>
        <v/>
      </c>
      <c r="H3766" s="21">
        <f>IF(F3766=0,"",MONTH(F3766))</f>
        <v/>
      </c>
      <c r="I3766" s="21">
        <f>IFERROR(INDEX(Pedidos!$E$2:$E$1801,MATCH(B3766,Pedidos!$A$2:$A$1801,0)),"")</f>
        <v/>
      </c>
      <c r="J3766" s="21">
        <f>IFERROR(INDEX(Pedidos!$C$2:$C$1801,MATCH(B3766,Pedidos!$A$2:$A$1801,0)),"")</f>
        <v/>
      </c>
      <c r="K3766" s="21">
        <f>IFERROR(INDEX(Pedidos!$D$2:$D$1801,MATCH(B3766,Pedidos!$A$2:$A$1801,0)),"")</f>
        <v/>
      </c>
      <c r="L3766" s="21">
        <f>IFERROR(INDEX(Pedidos!$F$2:$F$1801,MATCH(B3766,Pedidos!$A$2:$A$1801,0)),"")</f>
        <v/>
      </c>
      <c r="M3766" s="22">
        <f>IFERROR(INDEX(Pedidos!$G$2:$G$1801,MATCH(B3766,Pedidos!$A$2:$A$1801,0)),0)</f>
        <v/>
      </c>
      <c r="N3766" s="21">
        <f>IFERROR(INDEX(Produtos!$B$2:$B$71,MATCH(C3766,Produtos!$A$2:$A$71,0)),"")</f>
        <v/>
      </c>
      <c r="O3766" s="21">
        <f>IFERROR(INDEX(Produtos!$C$2:$C$71,MATCH(C3766,Produtos!$A$2:$A$71,0)),"")</f>
        <v/>
      </c>
      <c r="P3766" s="21">
        <f>IFERROR(INDEX(Produtos!$D$2:$D$71,MATCH(C3766,Produtos!$A$2:$A$71,0)),0)</f>
        <v/>
      </c>
      <c r="Q3766" s="21">
        <f>IFERROR(INDEX(Produtos!$E$2:$E$71,MATCH(C3766,Produtos!$A$2:$A$71,0)),0)</f>
        <v/>
      </c>
      <c r="R3766" s="23">
        <f>D3766*Q3766</f>
        <v/>
      </c>
      <c r="S3766" s="23">
        <f>R3766*E3766</f>
        <v/>
      </c>
      <c r="T3766" s="23">
        <f>(R3766-S3766)*M3766</f>
        <v/>
      </c>
      <c r="U3766" s="23">
        <f>R3766-S3766-T3766</f>
        <v/>
      </c>
      <c r="V3766" s="23">
        <f>D3766*P3766</f>
        <v/>
      </c>
      <c r="W3766" s="23">
        <f>U3766-V3766</f>
        <v/>
      </c>
      <c r="X3766" s="24">
        <f>IFERROR(W3766/U3766,0)</f>
        <v/>
      </c>
    </row>
    <row r="3767">
      <c r="A3767" s="25">
        <f>ItensPedido!A3767</f>
        <v/>
      </c>
      <c r="B3767" s="25">
        <f>ItensPedido!B3767</f>
        <v/>
      </c>
      <c r="C3767" s="25">
        <f>ItensPedido!C3767</f>
        <v/>
      </c>
      <c r="D3767" s="25">
        <f>ItensPedido!D3767</f>
        <v/>
      </c>
      <c r="E3767" s="26">
        <f>ItensPedido!E3767</f>
        <v/>
      </c>
      <c r="F3767" s="25">
        <f>IFERROR(INDEX(Pedidos!$B$2:$B$1801,MATCH(B3767,Pedidos!$A$2:$A$1801,0)),0)</f>
        <v/>
      </c>
      <c r="G3767" s="25">
        <f>IF(F3767=0,"",YEAR(F3767))</f>
        <v/>
      </c>
      <c r="H3767" s="25">
        <f>IF(F3767=0,"",MONTH(F3767))</f>
        <v/>
      </c>
      <c r="I3767" s="25">
        <f>IFERROR(INDEX(Pedidos!$E$2:$E$1801,MATCH(B3767,Pedidos!$A$2:$A$1801,0)),"")</f>
        <v/>
      </c>
      <c r="J3767" s="25">
        <f>IFERROR(INDEX(Pedidos!$C$2:$C$1801,MATCH(B3767,Pedidos!$A$2:$A$1801,0)),"")</f>
        <v/>
      </c>
      <c r="K3767" s="25">
        <f>IFERROR(INDEX(Pedidos!$D$2:$D$1801,MATCH(B3767,Pedidos!$A$2:$A$1801,0)),"")</f>
        <v/>
      </c>
      <c r="L3767" s="25">
        <f>IFERROR(INDEX(Pedidos!$F$2:$F$1801,MATCH(B3767,Pedidos!$A$2:$A$1801,0)),"")</f>
        <v/>
      </c>
      <c r="M3767" s="26">
        <f>IFERROR(INDEX(Pedidos!$G$2:$G$1801,MATCH(B3767,Pedidos!$A$2:$A$1801,0)),0)</f>
        <v/>
      </c>
      <c r="N3767" s="25">
        <f>IFERROR(INDEX(Produtos!$B$2:$B$71,MATCH(C3767,Produtos!$A$2:$A$71,0)),"")</f>
        <v/>
      </c>
      <c r="O3767" s="25">
        <f>IFERROR(INDEX(Produtos!$C$2:$C$71,MATCH(C3767,Produtos!$A$2:$A$71,0)),"")</f>
        <v/>
      </c>
      <c r="P3767" s="25">
        <f>IFERROR(INDEX(Produtos!$D$2:$D$71,MATCH(C3767,Produtos!$A$2:$A$71,0)),0)</f>
        <v/>
      </c>
      <c r="Q3767" s="25">
        <f>IFERROR(INDEX(Produtos!$E$2:$E$71,MATCH(C3767,Produtos!$A$2:$A$71,0)),0)</f>
        <v/>
      </c>
      <c r="R3767" s="27">
        <f>D3767*Q3767</f>
        <v/>
      </c>
      <c r="S3767" s="27">
        <f>R3767*E3767</f>
        <v/>
      </c>
      <c r="T3767" s="27">
        <f>(R3767-S3767)*M3767</f>
        <v/>
      </c>
      <c r="U3767" s="27">
        <f>R3767-S3767-T3767</f>
        <v/>
      </c>
      <c r="V3767" s="27">
        <f>D3767*P3767</f>
        <v/>
      </c>
      <c r="W3767" s="27">
        <f>U3767-V3767</f>
        <v/>
      </c>
      <c r="X3767" s="28">
        <f>IFERROR(W3767/U3767,0)</f>
        <v/>
      </c>
    </row>
    <row r="3768">
      <c r="A3768" s="21">
        <f>ItensPedido!A3768</f>
        <v/>
      </c>
      <c r="B3768" s="21">
        <f>ItensPedido!B3768</f>
        <v/>
      </c>
      <c r="C3768" s="21">
        <f>ItensPedido!C3768</f>
        <v/>
      </c>
      <c r="D3768" s="21">
        <f>ItensPedido!D3768</f>
        <v/>
      </c>
      <c r="E3768" s="22">
        <f>ItensPedido!E3768</f>
        <v/>
      </c>
      <c r="F3768" s="21">
        <f>IFERROR(INDEX(Pedidos!$B$2:$B$1801,MATCH(B3768,Pedidos!$A$2:$A$1801,0)),0)</f>
        <v/>
      </c>
      <c r="G3768" s="21">
        <f>IF(F3768=0,"",YEAR(F3768))</f>
        <v/>
      </c>
      <c r="H3768" s="21">
        <f>IF(F3768=0,"",MONTH(F3768))</f>
        <v/>
      </c>
      <c r="I3768" s="21">
        <f>IFERROR(INDEX(Pedidos!$E$2:$E$1801,MATCH(B3768,Pedidos!$A$2:$A$1801,0)),"")</f>
        <v/>
      </c>
      <c r="J3768" s="21">
        <f>IFERROR(INDEX(Pedidos!$C$2:$C$1801,MATCH(B3768,Pedidos!$A$2:$A$1801,0)),"")</f>
        <v/>
      </c>
      <c r="K3768" s="21">
        <f>IFERROR(INDEX(Pedidos!$D$2:$D$1801,MATCH(B3768,Pedidos!$A$2:$A$1801,0)),"")</f>
        <v/>
      </c>
      <c r="L3768" s="21">
        <f>IFERROR(INDEX(Pedidos!$F$2:$F$1801,MATCH(B3768,Pedidos!$A$2:$A$1801,0)),"")</f>
        <v/>
      </c>
      <c r="M3768" s="22">
        <f>IFERROR(INDEX(Pedidos!$G$2:$G$1801,MATCH(B3768,Pedidos!$A$2:$A$1801,0)),0)</f>
        <v/>
      </c>
      <c r="N3768" s="21">
        <f>IFERROR(INDEX(Produtos!$B$2:$B$71,MATCH(C3768,Produtos!$A$2:$A$71,0)),"")</f>
        <v/>
      </c>
      <c r="O3768" s="21">
        <f>IFERROR(INDEX(Produtos!$C$2:$C$71,MATCH(C3768,Produtos!$A$2:$A$71,0)),"")</f>
        <v/>
      </c>
      <c r="P3768" s="21">
        <f>IFERROR(INDEX(Produtos!$D$2:$D$71,MATCH(C3768,Produtos!$A$2:$A$71,0)),0)</f>
        <v/>
      </c>
      <c r="Q3768" s="21">
        <f>IFERROR(INDEX(Produtos!$E$2:$E$71,MATCH(C3768,Produtos!$A$2:$A$71,0)),0)</f>
        <v/>
      </c>
      <c r="R3768" s="23">
        <f>D3768*Q3768</f>
        <v/>
      </c>
      <c r="S3768" s="23">
        <f>R3768*E3768</f>
        <v/>
      </c>
      <c r="T3768" s="23">
        <f>(R3768-S3768)*M3768</f>
        <v/>
      </c>
      <c r="U3768" s="23">
        <f>R3768-S3768-T3768</f>
        <v/>
      </c>
      <c r="V3768" s="23">
        <f>D3768*P3768</f>
        <v/>
      </c>
      <c r="W3768" s="23">
        <f>U3768-V3768</f>
        <v/>
      </c>
      <c r="X3768" s="24">
        <f>IFERROR(W3768/U3768,0)</f>
        <v/>
      </c>
    </row>
    <row r="3769">
      <c r="A3769" s="25">
        <f>ItensPedido!A3769</f>
        <v/>
      </c>
      <c r="B3769" s="25">
        <f>ItensPedido!B3769</f>
        <v/>
      </c>
      <c r="C3769" s="25">
        <f>ItensPedido!C3769</f>
        <v/>
      </c>
      <c r="D3769" s="25">
        <f>ItensPedido!D3769</f>
        <v/>
      </c>
      <c r="E3769" s="26">
        <f>ItensPedido!E3769</f>
        <v/>
      </c>
      <c r="F3769" s="25">
        <f>IFERROR(INDEX(Pedidos!$B$2:$B$1801,MATCH(B3769,Pedidos!$A$2:$A$1801,0)),0)</f>
        <v/>
      </c>
      <c r="G3769" s="25">
        <f>IF(F3769=0,"",YEAR(F3769))</f>
        <v/>
      </c>
      <c r="H3769" s="25">
        <f>IF(F3769=0,"",MONTH(F3769))</f>
        <v/>
      </c>
      <c r="I3769" s="25">
        <f>IFERROR(INDEX(Pedidos!$E$2:$E$1801,MATCH(B3769,Pedidos!$A$2:$A$1801,0)),"")</f>
        <v/>
      </c>
      <c r="J3769" s="25">
        <f>IFERROR(INDEX(Pedidos!$C$2:$C$1801,MATCH(B3769,Pedidos!$A$2:$A$1801,0)),"")</f>
        <v/>
      </c>
      <c r="K3769" s="25">
        <f>IFERROR(INDEX(Pedidos!$D$2:$D$1801,MATCH(B3769,Pedidos!$A$2:$A$1801,0)),"")</f>
        <v/>
      </c>
      <c r="L3769" s="25">
        <f>IFERROR(INDEX(Pedidos!$F$2:$F$1801,MATCH(B3769,Pedidos!$A$2:$A$1801,0)),"")</f>
        <v/>
      </c>
      <c r="M3769" s="26">
        <f>IFERROR(INDEX(Pedidos!$G$2:$G$1801,MATCH(B3769,Pedidos!$A$2:$A$1801,0)),0)</f>
        <v/>
      </c>
      <c r="N3769" s="25">
        <f>IFERROR(INDEX(Produtos!$B$2:$B$71,MATCH(C3769,Produtos!$A$2:$A$71,0)),"")</f>
        <v/>
      </c>
      <c r="O3769" s="25">
        <f>IFERROR(INDEX(Produtos!$C$2:$C$71,MATCH(C3769,Produtos!$A$2:$A$71,0)),"")</f>
        <v/>
      </c>
      <c r="P3769" s="25">
        <f>IFERROR(INDEX(Produtos!$D$2:$D$71,MATCH(C3769,Produtos!$A$2:$A$71,0)),0)</f>
        <v/>
      </c>
      <c r="Q3769" s="25">
        <f>IFERROR(INDEX(Produtos!$E$2:$E$71,MATCH(C3769,Produtos!$A$2:$A$71,0)),0)</f>
        <v/>
      </c>
      <c r="R3769" s="27">
        <f>D3769*Q3769</f>
        <v/>
      </c>
      <c r="S3769" s="27">
        <f>R3769*E3769</f>
        <v/>
      </c>
      <c r="T3769" s="27">
        <f>(R3769-S3769)*M3769</f>
        <v/>
      </c>
      <c r="U3769" s="27">
        <f>R3769-S3769-T3769</f>
        <v/>
      </c>
      <c r="V3769" s="27">
        <f>D3769*P3769</f>
        <v/>
      </c>
      <c r="W3769" s="27">
        <f>U3769-V3769</f>
        <v/>
      </c>
      <c r="X3769" s="28">
        <f>IFERROR(W3769/U3769,0)</f>
        <v/>
      </c>
    </row>
    <row r="3770">
      <c r="A3770" s="21">
        <f>ItensPedido!A3770</f>
        <v/>
      </c>
      <c r="B3770" s="21">
        <f>ItensPedido!B3770</f>
        <v/>
      </c>
      <c r="C3770" s="21">
        <f>ItensPedido!C3770</f>
        <v/>
      </c>
      <c r="D3770" s="21">
        <f>ItensPedido!D3770</f>
        <v/>
      </c>
      <c r="E3770" s="22">
        <f>ItensPedido!E3770</f>
        <v/>
      </c>
      <c r="F3770" s="21">
        <f>IFERROR(INDEX(Pedidos!$B$2:$B$1801,MATCH(B3770,Pedidos!$A$2:$A$1801,0)),0)</f>
        <v/>
      </c>
      <c r="G3770" s="21">
        <f>IF(F3770=0,"",YEAR(F3770))</f>
        <v/>
      </c>
      <c r="H3770" s="21">
        <f>IF(F3770=0,"",MONTH(F3770))</f>
        <v/>
      </c>
      <c r="I3770" s="21">
        <f>IFERROR(INDEX(Pedidos!$E$2:$E$1801,MATCH(B3770,Pedidos!$A$2:$A$1801,0)),"")</f>
        <v/>
      </c>
      <c r="J3770" s="21">
        <f>IFERROR(INDEX(Pedidos!$C$2:$C$1801,MATCH(B3770,Pedidos!$A$2:$A$1801,0)),"")</f>
        <v/>
      </c>
      <c r="K3770" s="21">
        <f>IFERROR(INDEX(Pedidos!$D$2:$D$1801,MATCH(B3770,Pedidos!$A$2:$A$1801,0)),"")</f>
        <v/>
      </c>
      <c r="L3770" s="21">
        <f>IFERROR(INDEX(Pedidos!$F$2:$F$1801,MATCH(B3770,Pedidos!$A$2:$A$1801,0)),"")</f>
        <v/>
      </c>
      <c r="M3770" s="22">
        <f>IFERROR(INDEX(Pedidos!$G$2:$G$1801,MATCH(B3770,Pedidos!$A$2:$A$1801,0)),0)</f>
        <v/>
      </c>
      <c r="N3770" s="21">
        <f>IFERROR(INDEX(Produtos!$B$2:$B$71,MATCH(C3770,Produtos!$A$2:$A$71,0)),"")</f>
        <v/>
      </c>
      <c r="O3770" s="21">
        <f>IFERROR(INDEX(Produtos!$C$2:$C$71,MATCH(C3770,Produtos!$A$2:$A$71,0)),"")</f>
        <v/>
      </c>
      <c r="P3770" s="21">
        <f>IFERROR(INDEX(Produtos!$D$2:$D$71,MATCH(C3770,Produtos!$A$2:$A$71,0)),0)</f>
        <v/>
      </c>
      <c r="Q3770" s="21">
        <f>IFERROR(INDEX(Produtos!$E$2:$E$71,MATCH(C3770,Produtos!$A$2:$A$71,0)),0)</f>
        <v/>
      </c>
      <c r="R3770" s="23">
        <f>D3770*Q3770</f>
        <v/>
      </c>
      <c r="S3770" s="23">
        <f>R3770*E3770</f>
        <v/>
      </c>
      <c r="T3770" s="23">
        <f>(R3770-S3770)*M3770</f>
        <v/>
      </c>
      <c r="U3770" s="23">
        <f>R3770-S3770-T3770</f>
        <v/>
      </c>
      <c r="V3770" s="23">
        <f>D3770*P3770</f>
        <v/>
      </c>
      <c r="W3770" s="23">
        <f>U3770-V3770</f>
        <v/>
      </c>
      <c r="X3770" s="24">
        <f>IFERROR(W3770/U3770,0)</f>
        <v/>
      </c>
    </row>
    <row r="3771">
      <c r="A3771" s="25">
        <f>ItensPedido!A3771</f>
        <v/>
      </c>
      <c r="B3771" s="25">
        <f>ItensPedido!B3771</f>
        <v/>
      </c>
      <c r="C3771" s="25">
        <f>ItensPedido!C3771</f>
        <v/>
      </c>
      <c r="D3771" s="25">
        <f>ItensPedido!D3771</f>
        <v/>
      </c>
      <c r="E3771" s="26">
        <f>ItensPedido!E3771</f>
        <v/>
      </c>
      <c r="F3771" s="25">
        <f>IFERROR(INDEX(Pedidos!$B$2:$B$1801,MATCH(B3771,Pedidos!$A$2:$A$1801,0)),0)</f>
        <v/>
      </c>
      <c r="G3771" s="25">
        <f>IF(F3771=0,"",YEAR(F3771))</f>
        <v/>
      </c>
      <c r="H3771" s="25">
        <f>IF(F3771=0,"",MONTH(F3771))</f>
        <v/>
      </c>
      <c r="I3771" s="25">
        <f>IFERROR(INDEX(Pedidos!$E$2:$E$1801,MATCH(B3771,Pedidos!$A$2:$A$1801,0)),"")</f>
        <v/>
      </c>
      <c r="J3771" s="25">
        <f>IFERROR(INDEX(Pedidos!$C$2:$C$1801,MATCH(B3771,Pedidos!$A$2:$A$1801,0)),"")</f>
        <v/>
      </c>
      <c r="K3771" s="25">
        <f>IFERROR(INDEX(Pedidos!$D$2:$D$1801,MATCH(B3771,Pedidos!$A$2:$A$1801,0)),"")</f>
        <v/>
      </c>
      <c r="L3771" s="25">
        <f>IFERROR(INDEX(Pedidos!$F$2:$F$1801,MATCH(B3771,Pedidos!$A$2:$A$1801,0)),"")</f>
        <v/>
      </c>
      <c r="M3771" s="26">
        <f>IFERROR(INDEX(Pedidos!$G$2:$G$1801,MATCH(B3771,Pedidos!$A$2:$A$1801,0)),0)</f>
        <v/>
      </c>
      <c r="N3771" s="25">
        <f>IFERROR(INDEX(Produtos!$B$2:$B$71,MATCH(C3771,Produtos!$A$2:$A$71,0)),"")</f>
        <v/>
      </c>
      <c r="O3771" s="25">
        <f>IFERROR(INDEX(Produtos!$C$2:$C$71,MATCH(C3771,Produtos!$A$2:$A$71,0)),"")</f>
        <v/>
      </c>
      <c r="P3771" s="25">
        <f>IFERROR(INDEX(Produtos!$D$2:$D$71,MATCH(C3771,Produtos!$A$2:$A$71,0)),0)</f>
        <v/>
      </c>
      <c r="Q3771" s="25">
        <f>IFERROR(INDEX(Produtos!$E$2:$E$71,MATCH(C3771,Produtos!$A$2:$A$71,0)),0)</f>
        <v/>
      </c>
      <c r="R3771" s="27">
        <f>D3771*Q3771</f>
        <v/>
      </c>
      <c r="S3771" s="27">
        <f>R3771*E3771</f>
        <v/>
      </c>
      <c r="T3771" s="27">
        <f>(R3771-S3771)*M3771</f>
        <v/>
      </c>
      <c r="U3771" s="27">
        <f>R3771-S3771-T3771</f>
        <v/>
      </c>
      <c r="V3771" s="27">
        <f>D3771*P3771</f>
        <v/>
      </c>
      <c r="W3771" s="27">
        <f>U3771-V3771</f>
        <v/>
      </c>
      <c r="X3771" s="28">
        <f>IFERROR(W3771/U3771,0)</f>
        <v/>
      </c>
    </row>
    <row r="3772">
      <c r="A3772" s="21">
        <f>ItensPedido!A3772</f>
        <v/>
      </c>
      <c r="B3772" s="21">
        <f>ItensPedido!B3772</f>
        <v/>
      </c>
      <c r="C3772" s="21">
        <f>ItensPedido!C3772</f>
        <v/>
      </c>
      <c r="D3772" s="21">
        <f>ItensPedido!D3772</f>
        <v/>
      </c>
      <c r="E3772" s="22">
        <f>ItensPedido!E3772</f>
        <v/>
      </c>
      <c r="F3772" s="21">
        <f>IFERROR(INDEX(Pedidos!$B$2:$B$1801,MATCH(B3772,Pedidos!$A$2:$A$1801,0)),0)</f>
        <v/>
      </c>
      <c r="G3772" s="21">
        <f>IF(F3772=0,"",YEAR(F3772))</f>
        <v/>
      </c>
      <c r="H3772" s="21">
        <f>IF(F3772=0,"",MONTH(F3772))</f>
        <v/>
      </c>
      <c r="I3772" s="21">
        <f>IFERROR(INDEX(Pedidos!$E$2:$E$1801,MATCH(B3772,Pedidos!$A$2:$A$1801,0)),"")</f>
        <v/>
      </c>
      <c r="J3772" s="21">
        <f>IFERROR(INDEX(Pedidos!$C$2:$C$1801,MATCH(B3772,Pedidos!$A$2:$A$1801,0)),"")</f>
        <v/>
      </c>
      <c r="K3772" s="21">
        <f>IFERROR(INDEX(Pedidos!$D$2:$D$1801,MATCH(B3772,Pedidos!$A$2:$A$1801,0)),"")</f>
        <v/>
      </c>
      <c r="L3772" s="21">
        <f>IFERROR(INDEX(Pedidos!$F$2:$F$1801,MATCH(B3772,Pedidos!$A$2:$A$1801,0)),"")</f>
        <v/>
      </c>
      <c r="M3772" s="22">
        <f>IFERROR(INDEX(Pedidos!$G$2:$G$1801,MATCH(B3772,Pedidos!$A$2:$A$1801,0)),0)</f>
        <v/>
      </c>
      <c r="N3772" s="21">
        <f>IFERROR(INDEX(Produtos!$B$2:$B$71,MATCH(C3772,Produtos!$A$2:$A$71,0)),"")</f>
        <v/>
      </c>
      <c r="O3772" s="21">
        <f>IFERROR(INDEX(Produtos!$C$2:$C$71,MATCH(C3772,Produtos!$A$2:$A$71,0)),"")</f>
        <v/>
      </c>
      <c r="P3772" s="21">
        <f>IFERROR(INDEX(Produtos!$D$2:$D$71,MATCH(C3772,Produtos!$A$2:$A$71,0)),0)</f>
        <v/>
      </c>
      <c r="Q3772" s="21">
        <f>IFERROR(INDEX(Produtos!$E$2:$E$71,MATCH(C3772,Produtos!$A$2:$A$71,0)),0)</f>
        <v/>
      </c>
      <c r="R3772" s="23">
        <f>D3772*Q3772</f>
        <v/>
      </c>
      <c r="S3772" s="23">
        <f>R3772*E3772</f>
        <v/>
      </c>
      <c r="T3772" s="23">
        <f>(R3772-S3772)*M3772</f>
        <v/>
      </c>
      <c r="U3772" s="23">
        <f>R3772-S3772-T3772</f>
        <v/>
      </c>
      <c r="V3772" s="23">
        <f>D3772*P3772</f>
        <v/>
      </c>
      <c r="W3772" s="23">
        <f>U3772-V3772</f>
        <v/>
      </c>
      <c r="X3772" s="24">
        <f>IFERROR(W3772/U3772,0)</f>
        <v/>
      </c>
    </row>
    <row r="3773">
      <c r="A3773" s="25">
        <f>ItensPedido!A3773</f>
        <v/>
      </c>
      <c r="B3773" s="25">
        <f>ItensPedido!B3773</f>
        <v/>
      </c>
      <c r="C3773" s="25">
        <f>ItensPedido!C3773</f>
        <v/>
      </c>
      <c r="D3773" s="25">
        <f>ItensPedido!D3773</f>
        <v/>
      </c>
      <c r="E3773" s="26">
        <f>ItensPedido!E3773</f>
        <v/>
      </c>
      <c r="F3773" s="25">
        <f>IFERROR(INDEX(Pedidos!$B$2:$B$1801,MATCH(B3773,Pedidos!$A$2:$A$1801,0)),0)</f>
        <v/>
      </c>
      <c r="G3773" s="25">
        <f>IF(F3773=0,"",YEAR(F3773))</f>
        <v/>
      </c>
      <c r="H3773" s="25">
        <f>IF(F3773=0,"",MONTH(F3773))</f>
        <v/>
      </c>
      <c r="I3773" s="25">
        <f>IFERROR(INDEX(Pedidos!$E$2:$E$1801,MATCH(B3773,Pedidos!$A$2:$A$1801,0)),"")</f>
        <v/>
      </c>
      <c r="J3773" s="25">
        <f>IFERROR(INDEX(Pedidos!$C$2:$C$1801,MATCH(B3773,Pedidos!$A$2:$A$1801,0)),"")</f>
        <v/>
      </c>
      <c r="K3773" s="25">
        <f>IFERROR(INDEX(Pedidos!$D$2:$D$1801,MATCH(B3773,Pedidos!$A$2:$A$1801,0)),"")</f>
        <v/>
      </c>
      <c r="L3773" s="25">
        <f>IFERROR(INDEX(Pedidos!$F$2:$F$1801,MATCH(B3773,Pedidos!$A$2:$A$1801,0)),"")</f>
        <v/>
      </c>
      <c r="M3773" s="26">
        <f>IFERROR(INDEX(Pedidos!$G$2:$G$1801,MATCH(B3773,Pedidos!$A$2:$A$1801,0)),0)</f>
        <v/>
      </c>
      <c r="N3773" s="25">
        <f>IFERROR(INDEX(Produtos!$B$2:$B$71,MATCH(C3773,Produtos!$A$2:$A$71,0)),"")</f>
        <v/>
      </c>
      <c r="O3773" s="25">
        <f>IFERROR(INDEX(Produtos!$C$2:$C$71,MATCH(C3773,Produtos!$A$2:$A$71,0)),"")</f>
        <v/>
      </c>
      <c r="P3773" s="25">
        <f>IFERROR(INDEX(Produtos!$D$2:$D$71,MATCH(C3773,Produtos!$A$2:$A$71,0)),0)</f>
        <v/>
      </c>
      <c r="Q3773" s="25">
        <f>IFERROR(INDEX(Produtos!$E$2:$E$71,MATCH(C3773,Produtos!$A$2:$A$71,0)),0)</f>
        <v/>
      </c>
      <c r="R3773" s="27">
        <f>D3773*Q3773</f>
        <v/>
      </c>
      <c r="S3773" s="27">
        <f>R3773*E3773</f>
        <v/>
      </c>
      <c r="T3773" s="27">
        <f>(R3773-S3773)*M3773</f>
        <v/>
      </c>
      <c r="U3773" s="27">
        <f>R3773-S3773-T3773</f>
        <v/>
      </c>
      <c r="V3773" s="27">
        <f>D3773*P3773</f>
        <v/>
      </c>
      <c r="W3773" s="27">
        <f>U3773-V3773</f>
        <v/>
      </c>
      <c r="X3773" s="28">
        <f>IFERROR(W3773/U3773,0)</f>
        <v/>
      </c>
    </row>
    <row r="3774">
      <c r="A3774" s="21">
        <f>ItensPedido!A3774</f>
        <v/>
      </c>
      <c r="B3774" s="21">
        <f>ItensPedido!B3774</f>
        <v/>
      </c>
      <c r="C3774" s="21">
        <f>ItensPedido!C3774</f>
        <v/>
      </c>
      <c r="D3774" s="21">
        <f>ItensPedido!D3774</f>
        <v/>
      </c>
      <c r="E3774" s="22">
        <f>ItensPedido!E3774</f>
        <v/>
      </c>
      <c r="F3774" s="21">
        <f>IFERROR(INDEX(Pedidos!$B$2:$B$1801,MATCH(B3774,Pedidos!$A$2:$A$1801,0)),0)</f>
        <v/>
      </c>
      <c r="G3774" s="21">
        <f>IF(F3774=0,"",YEAR(F3774))</f>
        <v/>
      </c>
      <c r="H3774" s="21">
        <f>IF(F3774=0,"",MONTH(F3774))</f>
        <v/>
      </c>
      <c r="I3774" s="21">
        <f>IFERROR(INDEX(Pedidos!$E$2:$E$1801,MATCH(B3774,Pedidos!$A$2:$A$1801,0)),"")</f>
        <v/>
      </c>
      <c r="J3774" s="21">
        <f>IFERROR(INDEX(Pedidos!$C$2:$C$1801,MATCH(B3774,Pedidos!$A$2:$A$1801,0)),"")</f>
        <v/>
      </c>
      <c r="K3774" s="21">
        <f>IFERROR(INDEX(Pedidos!$D$2:$D$1801,MATCH(B3774,Pedidos!$A$2:$A$1801,0)),"")</f>
        <v/>
      </c>
      <c r="L3774" s="21">
        <f>IFERROR(INDEX(Pedidos!$F$2:$F$1801,MATCH(B3774,Pedidos!$A$2:$A$1801,0)),"")</f>
        <v/>
      </c>
      <c r="M3774" s="22">
        <f>IFERROR(INDEX(Pedidos!$G$2:$G$1801,MATCH(B3774,Pedidos!$A$2:$A$1801,0)),0)</f>
        <v/>
      </c>
      <c r="N3774" s="21">
        <f>IFERROR(INDEX(Produtos!$B$2:$B$71,MATCH(C3774,Produtos!$A$2:$A$71,0)),"")</f>
        <v/>
      </c>
      <c r="O3774" s="21">
        <f>IFERROR(INDEX(Produtos!$C$2:$C$71,MATCH(C3774,Produtos!$A$2:$A$71,0)),"")</f>
        <v/>
      </c>
      <c r="P3774" s="21">
        <f>IFERROR(INDEX(Produtos!$D$2:$D$71,MATCH(C3774,Produtos!$A$2:$A$71,0)),0)</f>
        <v/>
      </c>
      <c r="Q3774" s="21">
        <f>IFERROR(INDEX(Produtos!$E$2:$E$71,MATCH(C3774,Produtos!$A$2:$A$71,0)),0)</f>
        <v/>
      </c>
      <c r="R3774" s="23">
        <f>D3774*Q3774</f>
        <v/>
      </c>
      <c r="S3774" s="23">
        <f>R3774*E3774</f>
        <v/>
      </c>
      <c r="T3774" s="23">
        <f>(R3774-S3774)*M3774</f>
        <v/>
      </c>
      <c r="U3774" s="23">
        <f>R3774-S3774-T3774</f>
        <v/>
      </c>
      <c r="V3774" s="23">
        <f>D3774*P3774</f>
        <v/>
      </c>
      <c r="W3774" s="23">
        <f>U3774-V3774</f>
        <v/>
      </c>
      <c r="X3774" s="24">
        <f>IFERROR(W3774/U3774,0)</f>
        <v/>
      </c>
    </row>
    <row r="3775">
      <c r="A3775" s="25">
        <f>ItensPedido!A3775</f>
        <v/>
      </c>
      <c r="B3775" s="25">
        <f>ItensPedido!B3775</f>
        <v/>
      </c>
      <c r="C3775" s="25">
        <f>ItensPedido!C3775</f>
        <v/>
      </c>
      <c r="D3775" s="25">
        <f>ItensPedido!D3775</f>
        <v/>
      </c>
      <c r="E3775" s="26">
        <f>ItensPedido!E3775</f>
        <v/>
      </c>
      <c r="F3775" s="25">
        <f>IFERROR(INDEX(Pedidos!$B$2:$B$1801,MATCH(B3775,Pedidos!$A$2:$A$1801,0)),0)</f>
        <v/>
      </c>
      <c r="G3775" s="25">
        <f>IF(F3775=0,"",YEAR(F3775))</f>
        <v/>
      </c>
      <c r="H3775" s="25">
        <f>IF(F3775=0,"",MONTH(F3775))</f>
        <v/>
      </c>
      <c r="I3775" s="25">
        <f>IFERROR(INDEX(Pedidos!$E$2:$E$1801,MATCH(B3775,Pedidos!$A$2:$A$1801,0)),"")</f>
        <v/>
      </c>
      <c r="J3775" s="25">
        <f>IFERROR(INDEX(Pedidos!$C$2:$C$1801,MATCH(B3775,Pedidos!$A$2:$A$1801,0)),"")</f>
        <v/>
      </c>
      <c r="K3775" s="25">
        <f>IFERROR(INDEX(Pedidos!$D$2:$D$1801,MATCH(B3775,Pedidos!$A$2:$A$1801,0)),"")</f>
        <v/>
      </c>
      <c r="L3775" s="25">
        <f>IFERROR(INDEX(Pedidos!$F$2:$F$1801,MATCH(B3775,Pedidos!$A$2:$A$1801,0)),"")</f>
        <v/>
      </c>
      <c r="M3775" s="26">
        <f>IFERROR(INDEX(Pedidos!$G$2:$G$1801,MATCH(B3775,Pedidos!$A$2:$A$1801,0)),0)</f>
        <v/>
      </c>
      <c r="N3775" s="25">
        <f>IFERROR(INDEX(Produtos!$B$2:$B$71,MATCH(C3775,Produtos!$A$2:$A$71,0)),"")</f>
        <v/>
      </c>
      <c r="O3775" s="25">
        <f>IFERROR(INDEX(Produtos!$C$2:$C$71,MATCH(C3775,Produtos!$A$2:$A$71,0)),"")</f>
        <v/>
      </c>
      <c r="P3775" s="25">
        <f>IFERROR(INDEX(Produtos!$D$2:$D$71,MATCH(C3775,Produtos!$A$2:$A$71,0)),0)</f>
        <v/>
      </c>
      <c r="Q3775" s="25">
        <f>IFERROR(INDEX(Produtos!$E$2:$E$71,MATCH(C3775,Produtos!$A$2:$A$71,0)),0)</f>
        <v/>
      </c>
      <c r="R3775" s="27">
        <f>D3775*Q3775</f>
        <v/>
      </c>
      <c r="S3775" s="27">
        <f>R3775*E3775</f>
        <v/>
      </c>
      <c r="T3775" s="27">
        <f>(R3775-S3775)*M3775</f>
        <v/>
      </c>
      <c r="U3775" s="27">
        <f>R3775-S3775-T3775</f>
        <v/>
      </c>
      <c r="V3775" s="27">
        <f>D3775*P3775</f>
        <v/>
      </c>
      <c r="W3775" s="27">
        <f>U3775-V3775</f>
        <v/>
      </c>
      <c r="X3775" s="28">
        <f>IFERROR(W3775/U3775,0)</f>
        <v/>
      </c>
    </row>
    <row r="3776">
      <c r="A3776" s="21">
        <f>ItensPedido!A3776</f>
        <v/>
      </c>
      <c r="B3776" s="21">
        <f>ItensPedido!B3776</f>
        <v/>
      </c>
      <c r="C3776" s="21">
        <f>ItensPedido!C3776</f>
        <v/>
      </c>
      <c r="D3776" s="21">
        <f>ItensPedido!D3776</f>
        <v/>
      </c>
      <c r="E3776" s="22">
        <f>ItensPedido!E3776</f>
        <v/>
      </c>
      <c r="F3776" s="21">
        <f>IFERROR(INDEX(Pedidos!$B$2:$B$1801,MATCH(B3776,Pedidos!$A$2:$A$1801,0)),0)</f>
        <v/>
      </c>
      <c r="G3776" s="21">
        <f>IF(F3776=0,"",YEAR(F3776))</f>
        <v/>
      </c>
      <c r="H3776" s="21">
        <f>IF(F3776=0,"",MONTH(F3776))</f>
        <v/>
      </c>
      <c r="I3776" s="21">
        <f>IFERROR(INDEX(Pedidos!$E$2:$E$1801,MATCH(B3776,Pedidos!$A$2:$A$1801,0)),"")</f>
        <v/>
      </c>
      <c r="J3776" s="21">
        <f>IFERROR(INDEX(Pedidos!$C$2:$C$1801,MATCH(B3776,Pedidos!$A$2:$A$1801,0)),"")</f>
        <v/>
      </c>
      <c r="K3776" s="21">
        <f>IFERROR(INDEX(Pedidos!$D$2:$D$1801,MATCH(B3776,Pedidos!$A$2:$A$1801,0)),"")</f>
        <v/>
      </c>
      <c r="L3776" s="21">
        <f>IFERROR(INDEX(Pedidos!$F$2:$F$1801,MATCH(B3776,Pedidos!$A$2:$A$1801,0)),"")</f>
        <v/>
      </c>
      <c r="M3776" s="22">
        <f>IFERROR(INDEX(Pedidos!$G$2:$G$1801,MATCH(B3776,Pedidos!$A$2:$A$1801,0)),0)</f>
        <v/>
      </c>
      <c r="N3776" s="21">
        <f>IFERROR(INDEX(Produtos!$B$2:$B$71,MATCH(C3776,Produtos!$A$2:$A$71,0)),"")</f>
        <v/>
      </c>
      <c r="O3776" s="21">
        <f>IFERROR(INDEX(Produtos!$C$2:$C$71,MATCH(C3776,Produtos!$A$2:$A$71,0)),"")</f>
        <v/>
      </c>
      <c r="P3776" s="21">
        <f>IFERROR(INDEX(Produtos!$D$2:$D$71,MATCH(C3776,Produtos!$A$2:$A$71,0)),0)</f>
        <v/>
      </c>
      <c r="Q3776" s="21">
        <f>IFERROR(INDEX(Produtos!$E$2:$E$71,MATCH(C3776,Produtos!$A$2:$A$71,0)),0)</f>
        <v/>
      </c>
      <c r="R3776" s="23">
        <f>D3776*Q3776</f>
        <v/>
      </c>
      <c r="S3776" s="23">
        <f>R3776*E3776</f>
        <v/>
      </c>
      <c r="T3776" s="23">
        <f>(R3776-S3776)*M3776</f>
        <v/>
      </c>
      <c r="U3776" s="23">
        <f>R3776-S3776-T3776</f>
        <v/>
      </c>
      <c r="V3776" s="23">
        <f>D3776*P3776</f>
        <v/>
      </c>
      <c r="W3776" s="23">
        <f>U3776-V3776</f>
        <v/>
      </c>
      <c r="X3776" s="24">
        <f>IFERROR(W3776/U3776,0)</f>
        <v/>
      </c>
    </row>
    <row r="3777">
      <c r="A3777" s="25">
        <f>ItensPedido!A3777</f>
        <v/>
      </c>
      <c r="B3777" s="25">
        <f>ItensPedido!B3777</f>
        <v/>
      </c>
      <c r="C3777" s="25">
        <f>ItensPedido!C3777</f>
        <v/>
      </c>
      <c r="D3777" s="25">
        <f>ItensPedido!D3777</f>
        <v/>
      </c>
      <c r="E3777" s="26">
        <f>ItensPedido!E3777</f>
        <v/>
      </c>
      <c r="F3777" s="25">
        <f>IFERROR(INDEX(Pedidos!$B$2:$B$1801,MATCH(B3777,Pedidos!$A$2:$A$1801,0)),0)</f>
        <v/>
      </c>
      <c r="G3777" s="25">
        <f>IF(F3777=0,"",YEAR(F3777))</f>
        <v/>
      </c>
      <c r="H3777" s="25">
        <f>IF(F3777=0,"",MONTH(F3777))</f>
        <v/>
      </c>
      <c r="I3777" s="25">
        <f>IFERROR(INDEX(Pedidos!$E$2:$E$1801,MATCH(B3777,Pedidos!$A$2:$A$1801,0)),"")</f>
        <v/>
      </c>
      <c r="J3777" s="25">
        <f>IFERROR(INDEX(Pedidos!$C$2:$C$1801,MATCH(B3777,Pedidos!$A$2:$A$1801,0)),"")</f>
        <v/>
      </c>
      <c r="K3777" s="25">
        <f>IFERROR(INDEX(Pedidos!$D$2:$D$1801,MATCH(B3777,Pedidos!$A$2:$A$1801,0)),"")</f>
        <v/>
      </c>
      <c r="L3777" s="25">
        <f>IFERROR(INDEX(Pedidos!$F$2:$F$1801,MATCH(B3777,Pedidos!$A$2:$A$1801,0)),"")</f>
        <v/>
      </c>
      <c r="M3777" s="26">
        <f>IFERROR(INDEX(Pedidos!$G$2:$G$1801,MATCH(B3777,Pedidos!$A$2:$A$1801,0)),0)</f>
        <v/>
      </c>
      <c r="N3777" s="25">
        <f>IFERROR(INDEX(Produtos!$B$2:$B$71,MATCH(C3777,Produtos!$A$2:$A$71,0)),"")</f>
        <v/>
      </c>
      <c r="O3777" s="25">
        <f>IFERROR(INDEX(Produtos!$C$2:$C$71,MATCH(C3777,Produtos!$A$2:$A$71,0)),"")</f>
        <v/>
      </c>
      <c r="P3777" s="25">
        <f>IFERROR(INDEX(Produtos!$D$2:$D$71,MATCH(C3777,Produtos!$A$2:$A$71,0)),0)</f>
        <v/>
      </c>
      <c r="Q3777" s="25">
        <f>IFERROR(INDEX(Produtos!$E$2:$E$71,MATCH(C3777,Produtos!$A$2:$A$71,0)),0)</f>
        <v/>
      </c>
      <c r="R3777" s="27">
        <f>D3777*Q3777</f>
        <v/>
      </c>
      <c r="S3777" s="27">
        <f>R3777*E3777</f>
        <v/>
      </c>
      <c r="T3777" s="27">
        <f>(R3777-S3777)*M3777</f>
        <v/>
      </c>
      <c r="U3777" s="27">
        <f>R3777-S3777-T3777</f>
        <v/>
      </c>
      <c r="V3777" s="27">
        <f>D3777*P3777</f>
        <v/>
      </c>
      <c r="W3777" s="27">
        <f>U3777-V3777</f>
        <v/>
      </c>
      <c r="X3777" s="28">
        <f>IFERROR(W3777/U3777,0)</f>
        <v/>
      </c>
    </row>
    <row r="3778">
      <c r="A3778" s="21">
        <f>ItensPedido!A3778</f>
        <v/>
      </c>
      <c r="B3778" s="21">
        <f>ItensPedido!B3778</f>
        <v/>
      </c>
      <c r="C3778" s="21">
        <f>ItensPedido!C3778</f>
        <v/>
      </c>
      <c r="D3778" s="21">
        <f>ItensPedido!D3778</f>
        <v/>
      </c>
      <c r="E3778" s="22">
        <f>ItensPedido!E3778</f>
        <v/>
      </c>
      <c r="F3778" s="21">
        <f>IFERROR(INDEX(Pedidos!$B$2:$B$1801,MATCH(B3778,Pedidos!$A$2:$A$1801,0)),0)</f>
        <v/>
      </c>
      <c r="G3778" s="21">
        <f>IF(F3778=0,"",YEAR(F3778))</f>
        <v/>
      </c>
      <c r="H3778" s="21">
        <f>IF(F3778=0,"",MONTH(F3778))</f>
        <v/>
      </c>
      <c r="I3778" s="21">
        <f>IFERROR(INDEX(Pedidos!$E$2:$E$1801,MATCH(B3778,Pedidos!$A$2:$A$1801,0)),"")</f>
        <v/>
      </c>
      <c r="J3778" s="21">
        <f>IFERROR(INDEX(Pedidos!$C$2:$C$1801,MATCH(B3778,Pedidos!$A$2:$A$1801,0)),"")</f>
        <v/>
      </c>
      <c r="K3778" s="21">
        <f>IFERROR(INDEX(Pedidos!$D$2:$D$1801,MATCH(B3778,Pedidos!$A$2:$A$1801,0)),"")</f>
        <v/>
      </c>
      <c r="L3778" s="21">
        <f>IFERROR(INDEX(Pedidos!$F$2:$F$1801,MATCH(B3778,Pedidos!$A$2:$A$1801,0)),"")</f>
        <v/>
      </c>
      <c r="M3778" s="22">
        <f>IFERROR(INDEX(Pedidos!$G$2:$G$1801,MATCH(B3778,Pedidos!$A$2:$A$1801,0)),0)</f>
        <v/>
      </c>
      <c r="N3778" s="21">
        <f>IFERROR(INDEX(Produtos!$B$2:$B$71,MATCH(C3778,Produtos!$A$2:$A$71,0)),"")</f>
        <v/>
      </c>
      <c r="O3778" s="21">
        <f>IFERROR(INDEX(Produtos!$C$2:$C$71,MATCH(C3778,Produtos!$A$2:$A$71,0)),"")</f>
        <v/>
      </c>
      <c r="P3778" s="21">
        <f>IFERROR(INDEX(Produtos!$D$2:$D$71,MATCH(C3778,Produtos!$A$2:$A$71,0)),0)</f>
        <v/>
      </c>
      <c r="Q3778" s="21">
        <f>IFERROR(INDEX(Produtos!$E$2:$E$71,MATCH(C3778,Produtos!$A$2:$A$71,0)),0)</f>
        <v/>
      </c>
      <c r="R3778" s="23">
        <f>D3778*Q3778</f>
        <v/>
      </c>
      <c r="S3778" s="23">
        <f>R3778*E3778</f>
        <v/>
      </c>
      <c r="T3778" s="23">
        <f>(R3778-S3778)*M3778</f>
        <v/>
      </c>
      <c r="U3778" s="23">
        <f>R3778-S3778-T3778</f>
        <v/>
      </c>
      <c r="V3778" s="23">
        <f>D3778*P3778</f>
        <v/>
      </c>
      <c r="W3778" s="23">
        <f>U3778-V3778</f>
        <v/>
      </c>
      <c r="X3778" s="24">
        <f>IFERROR(W3778/U3778,0)</f>
        <v/>
      </c>
    </row>
    <row r="3779">
      <c r="A3779" s="25">
        <f>ItensPedido!A3779</f>
        <v/>
      </c>
      <c r="B3779" s="25">
        <f>ItensPedido!B3779</f>
        <v/>
      </c>
      <c r="C3779" s="25">
        <f>ItensPedido!C3779</f>
        <v/>
      </c>
      <c r="D3779" s="25">
        <f>ItensPedido!D3779</f>
        <v/>
      </c>
      <c r="E3779" s="26">
        <f>ItensPedido!E3779</f>
        <v/>
      </c>
      <c r="F3779" s="25">
        <f>IFERROR(INDEX(Pedidos!$B$2:$B$1801,MATCH(B3779,Pedidos!$A$2:$A$1801,0)),0)</f>
        <v/>
      </c>
      <c r="G3779" s="25">
        <f>IF(F3779=0,"",YEAR(F3779))</f>
        <v/>
      </c>
      <c r="H3779" s="25">
        <f>IF(F3779=0,"",MONTH(F3779))</f>
        <v/>
      </c>
      <c r="I3779" s="25">
        <f>IFERROR(INDEX(Pedidos!$E$2:$E$1801,MATCH(B3779,Pedidos!$A$2:$A$1801,0)),"")</f>
        <v/>
      </c>
      <c r="J3779" s="25">
        <f>IFERROR(INDEX(Pedidos!$C$2:$C$1801,MATCH(B3779,Pedidos!$A$2:$A$1801,0)),"")</f>
        <v/>
      </c>
      <c r="K3779" s="25">
        <f>IFERROR(INDEX(Pedidos!$D$2:$D$1801,MATCH(B3779,Pedidos!$A$2:$A$1801,0)),"")</f>
        <v/>
      </c>
      <c r="L3779" s="25">
        <f>IFERROR(INDEX(Pedidos!$F$2:$F$1801,MATCH(B3779,Pedidos!$A$2:$A$1801,0)),"")</f>
        <v/>
      </c>
      <c r="M3779" s="26">
        <f>IFERROR(INDEX(Pedidos!$G$2:$G$1801,MATCH(B3779,Pedidos!$A$2:$A$1801,0)),0)</f>
        <v/>
      </c>
      <c r="N3779" s="25">
        <f>IFERROR(INDEX(Produtos!$B$2:$B$71,MATCH(C3779,Produtos!$A$2:$A$71,0)),"")</f>
        <v/>
      </c>
      <c r="O3779" s="25">
        <f>IFERROR(INDEX(Produtos!$C$2:$C$71,MATCH(C3779,Produtos!$A$2:$A$71,0)),"")</f>
        <v/>
      </c>
      <c r="P3779" s="25">
        <f>IFERROR(INDEX(Produtos!$D$2:$D$71,MATCH(C3779,Produtos!$A$2:$A$71,0)),0)</f>
        <v/>
      </c>
      <c r="Q3779" s="25">
        <f>IFERROR(INDEX(Produtos!$E$2:$E$71,MATCH(C3779,Produtos!$A$2:$A$71,0)),0)</f>
        <v/>
      </c>
      <c r="R3779" s="27">
        <f>D3779*Q3779</f>
        <v/>
      </c>
      <c r="S3779" s="27">
        <f>R3779*E3779</f>
        <v/>
      </c>
      <c r="T3779" s="27">
        <f>(R3779-S3779)*M3779</f>
        <v/>
      </c>
      <c r="U3779" s="27">
        <f>R3779-S3779-T3779</f>
        <v/>
      </c>
      <c r="V3779" s="27">
        <f>D3779*P3779</f>
        <v/>
      </c>
      <c r="W3779" s="27">
        <f>U3779-V3779</f>
        <v/>
      </c>
      <c r="X3779" s="28">
        <f>IFERROR(W3779/U3779,0)</f>
        <v/>
      </c>
    </row>
    <row r="3780">
      <c r="A3780" s="21">
        <f>ItensPedido!A3780</f>
        <v/>
      </c>
      <c r="B3780" s="21">
        <f>ItensPedido!B3780</f>
        <v/>
      </c>
      <c r="C3780" s="21">
        <f>ItensPedido!C3780</f>
        <v/>
      </c>
      <c r="D3780" s="21">
        <f>ItensPedido!D3780</f>
        <v/>
      </c>
      <c r="E3780" s="22">
        <f>ItensPedido!E3780</f>
        <v/>
      </c>
      <c r="F3780" s="21">
        <f>IFERROR(INDEX(Pedidos!$B$2:$B$1801,MATCH(B3780,Pedidos!$A$2:$A$1801,0)),0)</f>
        <v/>
      </c>
      <c r="G3780" s="21">
        <f>IF(F3780=0,"",YEAR(F3780))</f>
        <v/>
      </c>
      <c r="H3780" s="21">
        <f>IF(F3780=0,"",MONTH(F3780))</f>
        <v/>
      </c>
      <c r="I3780" s="21">
        <f>IFERROR(INDEX(Pedidos!$E$2:$E$1801,MATCH(B3780,Pedidos!$A$2:$A$1801,0)),"")</f>
        <v/>
      </c>
      <c r="J3780" s="21">
        <f>IFERROR(INDEX(Pedidos!$C$2:$C$1801,MATCH(B3780,Pedidos!$A$2:$A$1801,0)),"")</f>
        <v/>
      </c>
      <c r="K3780" s="21">
        <f>IFERROR(INDEX(Pedidos!$D$2:$D$1801,MATCH(B3780,Pedidos!$A$2:$A$1801,0)),"")</f>
        <v/>
      </c>
      <c r="L3780" s="21">
        <f>IFERROR(INDEX(Pedidos!$F$2:$F$1801,MATCH(B3780,Pedidos!$A$2:$A$1801,0)),"")</f>
        <v/>
      </c>
      <c r="M3780" s="22">
        <f>IFERROR(INDEX(Pedidos!$G$2:$G$1801,MATCH(B3780,Pedidos!$A$2:$A$1801,0)),0)</f>
        <v/>
      </c>
      <c r="N3780" s="21">
        <f>IFERROR(INDEX(Produtos!$B$2:$B$71,MATCH(C3780,Produtos!$A$2:$A$71,0)),"")</f>
        <v/>
      </c>
      <c r="O3780" s="21">
        <f>IFERROR(INDEX(Produtos!$C$2:$C$71,MATCH(C3780,Produtos!$A$2:$A$71,0)),"")</f>
        <v/>
      </c>
      <c r="P3780" s="21">
        <f>IFERROR(INDEX(Produtos!$D$2:$D$71,MATCH(C3780,Produtos!$A$2:$A$71,0)),0)</f>
        <v/>
      </c>
      <c r="Q3780" s="21">
        <f>IFERROR(INDEX(Produtos!$E$2:$E$71,MATCH(C3780,Produtos!$A$2:$A$71,0)),0)</f>
        <v/>
      </c>
      <c r="R3780" s="23">
        <f>D3780*Q3780</f>
        <v/>
      </c>
      <c r="S3780" s="23">
        <f>R3780*E3780</f>
        <v/>
      </c>
      <c r="T3780" s="23">
        <f>(R3780-S3780)*M3780</f>
        <v/>
      </c>
      <c r="U3780" s="23">
        <f>R3780-S3780-T3780</f>
        <v/>
      </c>
      <c r="V3780" s="23">
        <f>D3780*P3780</f>
        <v/>
      </c>
      <c r="W3780" s="23">
        <f>U3780-V3780</f>
        <v/>
      </c>
      <c r="X3780" s="24">
        <f>IFERROR(W3780/U3780,0)</f>
        <v/>
      </c>
    </row>
    <row r="3781">
      <c r="A3781" s="25">
        <f>ItensPedido!A3781</f>
        <v/>
      </c>
      <c r="B3781" s="25">
        <f>ItensPedido!B3781</f>
        <v/>
      </c>
      <c r="C3781" s="25">
        <f>ItensPedido!C3781</f>
        <v/>
      </c>
      <c r="D3781" s="25">
        <f>ItensPedido!D3781</f>
        <v/>
      </c>
      <c r="E3781" s="26">
        <f>ItensPedido!E3781</f>
        <v/>
      </c>
      <c r="F3781" s="25">
        <f>IFERROR(INDEX(Pedidos!$B$2:$B$1801,MATCH(B3781,Pedidos!$A$2:$A$1801,0)),0)</f>
        <v/>
      </c>
      <c r="G3781" s="25">
        <f>IF(F3781=0,"",YEAR(F3781))</f>
        <v/>
      </c>
      <c r="H3781" s="25">
        <f>IF(F3781=0,"",MONTH(F3781))</f>
        <v/>
      </c>
      <c r="I3781" s="25">
        <f>IFERROR(INDEX(Pedidos!$E$2:$E$1801,MATCH(B3781,Pedidos!$A$2:$A$1801,0)),"")</f>
        <v/>
      </c>
      <c r="J3781" s="25">
        <f>IFERROR(INDEX(Pedidos!$C$2:$C$1801,MATCH(B3781,Pedidos!$A$2:$A$1801,0)),"")</f>
        <v/>
      </c>
      <c r="K3781" s="25">
        <f>IFERROR(INDEX(Pedidos!$D$2:$D$1801,MATCH(B3781,Pedidos!$A$2:$A$1801,0)),"")</f>
        <v/>
      </c>
      <c r="L3781" s="25">
        <f>IFERROR(INDEX(Pedidos!$F$2:$F$1801,MATCH(B3781,Pedidos!$A$2:$A$1801,0)),"")</f>
        <v/>
      </c>
      <c r="M3781" s="26">
        <f>IFERROR(INDEX(Pedidos!$G$2:$G$1801,MATCH(B3781,Pedidos!$A$2:$A$1801,0)),0)</f>
        <v/>
      </c>
      <c r="N3781" s="25">
        <f>IFERROR(INDEX(Produtos!$B$2:$B$71,MATCH(C3781,Produtos!$A$2:$A$71,0)),"")</f>
        <v/>
      </c>
      <c r="O3781" s="25">
        <f>IFERROR(INDEX(Produtos!$C$2:$C$71,MATCH(C3781,Produtos!$A$2:$A$71,0)),"")</f>
        <v/>
      </c>
      <c r="P3781" s="25">
        <f>IFERROR(INDEX(Produtos!$D$2:$D$71,MATCH(C3781,Produtos!$A$2:$A$71,0)),0)</f>
        <v/>
      </c>
      <c r="Q3781" s="25">
        <f>IFERROR(INDEX(Produtos!$E$2:$E$71,MATCH(C3781,Produtos!$A$2:$A$71,0)),0)</f>
        <v/>
      </c>
      <c r="R3781" s="27">
        <f>D3781*Q3781</f>
        <v/>
      </c>
      <c r="S3781" s="27">
        <f>R3781*E3781</f>
        <v/>
      </c>
      <c r="T3781" s="27">
        <f>(R3781-S3781)*M3781</f>
        <v/>
      </c>
      <c r="U3781" s="27">
        <f>R3781-S3781-T3781</f>
        <v/>
      </c>
      <c r="V3781" s="27">
        <f>D3781*P3781</f>
        <v/>
      </c>
      <c r="W3781" s="27">
        <f>U3781-V3781</f>
        <v/>
      </c>
      <c r="X3781" s="28">
        <f>IFERROR(W3781/U3781,0)</f>
        <v/>
      </c>
    </row>
    <row r="3782">
      <c r="A3782" s="21">
        <f>ItensPedido!A3782</f>
        <v/>
      </c>
      <c r="B3782" s="21">
        <f>ItensPedido!B3782</f>
        <v/>
      </c>
      <c r="C3782" s="21">
        <f>ItensPedido!C3782</f>
        <v/>
      </c>
      <c r="D3782" s="21">
        <f>ItensPedido!D3782</f>
        <v/>
      </c>
      <c r="E3782" s="22">
        <f>ItensPedido!E3782</f>
        <v/>
      </c>
      <c r="F3782" s="21">
        <f>IFERROR(INDEX(Pedidos!$B$2:$B$1801,MATCH(B3782,Pedidos!$A$2:$A$1801,0)),0)</f>
        <v/>
      </c>
      <c r="G3782" s="21">
        <f>IF(F3782=0,"",YEAR(F3782))</f>
        <v/>
      </c>
      <c r="H3782" s="21">
        <f>IF(F3782=0,"",MONTH(F3782))</f>
        <v/>
      </c>
      <c r="I3782" s="21">
        <f>IFERROR(INDEX(Pedidos!$E$2:$E$1801,MATCH(B3782,Pedidos!$A$2:$A$1801,0)),"")</f>
        <v/>
      </c>
      <c r="J3782" s="21">
        <f>IFERROR(INDEX(Pedidos!$C$2:$C$1801,MATCH(B3782,Pedidos!$A$2:$A$1801,0)),"")</f>
        <v/>
      </c>
      <c r="K3782" s="21">
        <f>IFERROR(INDEX(Pedidos!$D$2:$D$1801,MATCH(B3782,Pedidos!$A$2:$A$1801,0)),"")</f>
        <v/>
      </c>
      <c r="L3782" s="21">
        <f>IFERROR(INDEX(Pedidos!$F$2:$F$1801,MATCH(B3782,Pedidos!$A$2:$A$1801,0)),"")</f>
        <v/>
      </c>
      <c r="M3782" s="22">
        <f>IFERROR(INDEX(Pedidos!$G$2:$G$1801,MATCH(B3782,Pedidos!$A$2:$A$1801,0)),0)</f>
        <v/>
      </c>
      <c r="N3782" s="21">
        <f>IFERROR(INDEX(Produtos!$B$2:$B$71,MATCH(C3782,Produtos!$A$2:$A$71,0)),"")</f>
        <v/>
      </c>
      <c r="O3782" s="21">
        <f>IFERROR(INDEX(Produtos!$C$2:$C$71,MATCH(C3782,Produtos!$A$2:$A$71,0)),"")</f>
        <v/>
      </c>
      <c r="P3782" s="21">
        <f>IFERROR(INDEX(Produtos!$D$2:$D$71,MATCH(C3782,Produtos!$A$2:$A$71,0)),0)</f>
        <v/>
      </c>
      <c r="Q3782" s="21">
        <f>IFERROR(INDEX(Produtos!$E$2:$E$71,MATCH(C3782,Produtos!$A$2:$A$71,0)),0)</f>
        <v/>
      </c>
      <c r="R3782" s="23">
        <f>D3782*Q3782</f>
        <v/>
      </c>
      <c r="S3782" s="23">
        <f>R3782*E3782</f>
        <v/>
      </c>
      <c r="T3782" s="23">
        <f>(R3782-S3782)*M3782</f>
        <v/>
      </c>
      <c r="U3782" s="23">
        <f>R3782-S3782-T3782</f>
        <v/>
      </c>
      <c r="V3782" s="23">
        <f>D3782*P3782</f>
        <v/>
      </c>
      <c r="W3782" s="23">
        <f>U3782-V3782</f>
        <v/>
      </c>
      <c r="X3782" s="24">
        <f>IFERROR(W3782/U3782,0)</f>
        <v/>
      </c>
    </row>
    <row r="3783">
      <c r="A3783" s="25">
        <f>ItensPedido!A3783</f>
        <v/>
      </c>
      <c r="B3783" s="25">
        <f>ItensPedido!B3783</f>
        <v/>
      </c>
      <c r="C3783" s="25">
        <f>ItensPedido!C3783</f>
        <v/>
      </c>
      <c r="D3783" s="25">
        <f>ItensPedido!D3783</f>
        <v/>
      </c>
      <c r="E3783" s="26">
        <f>ItensPedido!E3783</f>
        <v/>
      </c>
      <c r="F3783" s="25">
        <f>IFERROR(INDEX(Pedidos!$B$2:$B$1801,MATCH(B3783,Pedidos!$A$2:$A$1801,0)),0)</f>
        <v/>
      </c>
      <c r="G3783" s="25">
        <f>IF(F3783=0,"",YEAR(F3783))</f>
        <v/>
      </c>
      <c r="H3783" s="25">
        <f>IF(F3783=0,"",MONTH(F3783))</f>
        <v/>
      </c>
      <c r="I3783" s="25">
        <f>IFERROR(INDEX(Pedidos!$E$2:$E$1801,MATCH(B3783,Pedidos!$A$2:$A$1801,0)),"")</f>
        <v/>
      </c>
      <c r="J3783" s="25">
        <f>IFERROR(INDEX(Pedidos!$C$2:$C$1801,MATCH(B3783,Pedidos!$A$2:$A$1801,0)),"")</f>
        <v/>
      </c>
      <c r="K3783" s="25">
        <f>IFERROR(INDEX(Pedidos!$D$2:$D$1801,MATCH(B3783,Pedidos!$A$2:$A$1801,0)),"")</f>
        <v/>
      </c>
      <c r="L3783" s="25">
        <f>IFERROR(INDEX(Pedidos!$F$2:$F$1801,MATCH(B3783,Pedidos!$A$2:$A$1801,0)),"")</f>
        <v/>
      </c>
      <c r="M3783" s="26">
        <f>IFERROR(INDEX(Pedidos!$G$2:$G$1801,MATCH(B3783,Pedidos!$A$2:$A$1801,0)),0)</f>
        <v/>
      </c>
      <c r="N3783" s="25">
        <f>IFERROR(INDEX(Produtos!$B$2:$B$71,MATCH(C3783,Produtos!$A$2:$A$71,0)),"")</f>
        <v/>
      </c>
      <c r="O3783" s="25">
        <f>IFERROR(INDEX(Produtos!$C$2:$C$71,MATCH(C3783,Produtos!$A$2:$A$71,0)),"")</f>
        <v/>
      </c>
      <c r="P3783" s="25">
        <f>IFERROR(INDEX(Produtos!$D$2:$D$71,MATCH(C3783,Produtos!$A$2:$A$71,0)),0)</f>
        <v/>
      </c>
      <c r="Q3783" s="25">
        <f>IFERROR(INDEX(Produtos!$E$2:$E$71,MATCH(C3783,Produtos!$A$2:$A$71,0)),0)</f>
        <v/>
      </c>
      <c r="R3783" s="27">
        <f>D3783*Q3783</f>
        <v/>
      </c>
      <c r="S3783" s="27">
        <f>R3783*E3783</f>
        <v/>
      </c>
      <c r="T3783" s="27">
        <f>(R3783-S3783)*M3783</f>
        <v/>
      </c>
      <c r="U3783" s="27">
        <f>R3783-S3783-T3783</f>
        <v/>
      </c>
      <c r="V3783" s="27">
        <f>D3783*P3783</f>
        <v/>
      </c>
      <c r="W3783" s="27">
        <f>U3783-V3783</f>
        <v/>
      </c>
      <c r="X3783" s="28">
        <f>IFERROR(W3783/U3783,0)</f>
        <v/>
      </c>
    </row>
    <row r="3784">
      <c r="A3784" s="21">
        <f>ItensPedido!A3784</f>
        <v/>
      </c>
      <c r="B3784" s="21">
        <f>ItensPedido!B3784</f>
        <v/>
      </c>
      <c r="C3784" s="21">
        <f>ItensPedido!C3784</f>
        <v/>
      </c>
      <c r="D3784" s="21">
        <f>ItensPedido!D3784</f>
        <v/>
      </c>
      <c r="E3784" s="22">
        <f>ItensPedido!E3784</f>
        <v/>
      </c>
      <c r="F3784" s="21">
        <f>IFERROR(INDEX(Pedidos!$B$2:$B$1801,MATCH(B3784,Pedidos!$A$2:$A$1801,0)),0)</f>
        <v/>
      </c>
      <c r="G3784" s="21">
        <f>IF(F3784=0,"",YEAR(F3784))</f>
        <v/>
      </c>
      <c r="H3784" s="21">
        <f>IF(F3784=0,"",MONTH(F3784))</f>
        <v/>
      </c>
      <c r="I3784" s="21">
        <f>IFERROR(INDEX(Pedidos!$E$2:$E$1801,MATCH(B3784,Pedidos!$A$2:$A$1801,0)),"")</f>
        <v/>
      </c>
      <c r="J3784" s="21">
        <f>IFERROR(INDEX(Pedidos!$C$2:$C$1801,MATCH(B3784,Pedidos!$A$2:$A$1801,0)),"")</f>
        <v/>
      </c>
      <c r="K3784" s="21">
        <f>IFERROR(INDEX(Pedidos!$D$2:$D$1801,MATCH(B3784,Pedidos!$A$2:$A$1801,0)),"")</f>
        <v/>
      </c>
      <c r="L3784" s="21">
        <f>IFERROR(INDEX(Pedidos!$F$2:$F$1801,MATCH(B3784,Pedidos!$A$2:$A$1801,0)),"")</f>
        <v/>
      </c>
      <c r="M3784" s="22">
        <f>IFERROR(INDEX(Pedidos!$G$2:$G$1801,MATCH(B3784,Pedidos!$A$2:$A$1801,0)),0)</f>
        <v/>
      </c>
      <c r="N3784" s="21">
        <f>IFERROR(INDEX(Produtos!$B$2:$B$71,MATCH(C3784,Produtos!$A$2:$A$71,0)),"")</f>
        <v/>
      </c>
      <c r="O3784" s="21">
        <f>IFERROR(INDEX(Produtos!$C$2:$C$71,MATCH(C3784,Produtos!$A$2:$A$71,0)),"")</f>
        <v/>
      </c>
      <c r="P3784" s="21">
        <f>IFERROR(INDEX(Produtos!$D$2:$D$71,MATCH(C3784,Produtos!$A$2:$A$71,0)),0)</f>
        <v/>
      </c>
      <c r="Q3784" s="21">
        <f>IFERROR(INDEX(Produtos!$E$2:$E$71,MATCH(C3784,Produtos!$A$2:$A$71,0)),0)</f>
        <v/>
      </c>
      <c r="R3784" s="23">
        <f>D3784*Q3784</f>
        <v/>
      </c>
      <c r="S3784" s="23">
        <f>R3784*E3784</f>
        <v/>
      </c>
      <c r="T3784" s="23">
        <f>(R3784-S3784)*M3784</f>
        <v/>
      </c>
      <c r="U3784" s="23">
        <f>R3784-S3784-T3784</f>
        <v/>
      </c>
      <c r="V3784" s="23">
        <f>D3784*P3784</f>
        <v/>
      </c>
      <c r="W3784" s="23">
        <f>U3784-V3784</f>
        <v/>
      </c>
      <c r="X3784" s="24">
        <f>IFERROR(W3784/U3784,0)</f>
        <v/>
      </c>
    </row>
    <row r="3785">
      <c r="A3785" s="25">
        <f>ItensPedido!A3785</f>
        <v/>
      </c>
      <c r="B3785" s="25">
        <f>ItensPedido!B3785</f>
        <v/>
      </c>
      <c r="C3785" s="25">
        <f>ItensPedido!C3785</f>
        <v/>
      </c>
      <c r="D3785" s="25">
        <f>ItensPedido!D3785</f>
        <v/>
      </c>
      <c r="E3785" s="26">
        <f>ItensPedido!E3785</f>
        <v/>
      </c>
      <c r="F3785" s="25">
        <f>IFERROR(INDEX(Pedidos!$B$2:$B$1801,MATCH(B3785,Pedidos!$A$2:$A$1801,0)),0)</f>
        <v/>
      </c>
      <c r="G3785" s="25">
        <f>IF(F3785=0,"",YEAR(F3785))</f>
        <v/>
      </c>
      <c r="H3785" s="25">
        <f>IF(F3785=0,"",MONTH(F3785))</f>
        <v/>
      </c>
      <c r="I3785" s="25">
        <f>IFERROR(INDEX(Pedidos!$E$2:$E$1801,MATCH(B3785,Pedidos!$A$2:$A$1801,0)),"")</f>
        <v/>
      </c>
      <c r="J3785" s="25">
        <f>IFERROR(INDEX(Pedidos!$C$2:$C$1801,MATCH(B3785,Pedidos!$A$2:$A$1801,0)),"")</f>
        <v/>
      </c>
      <c r="K3785" s="25">
        <f>IFERROR(INDEX(Pedidos!$D$2:$D$1801,MATCH(B3785,Pedidos!$A$2:$A$1801,0)),"")</f>
        <v/>
      </c>
      <c r="L3785" s="25">
        <f>IFERROR(INDEX(Pedidos!$F$2:$F$1801,MATCH(B3785,Pedidos!$A$2:$A$1801,0)),"")</f>
        <v/>
      </c>
      <c r="M3785" s="26">
        <f>IFERROR(INDEX(Pedidos!$G$2:$G$1801,MATCH(B3785,Pedidos!$A$2:$A$1801,0)),0)</f>
        <v/>
      </c>
      <c r="N3785" s="25">
        <f>IFERROR(INDEX(Produtos!$B$2:$B$71,MATCH(C3785,Produtos!$A$2:$A$71,0)),"")</f>
        <v/>
      </c>
      <c r="O3785" s="25">
        <f>IFERROR(INDEX(Produtos!$C$2:$C$71,MATCH(C3785,Produtos!$A$2:$A$71,0)),"")</f>
        <v/>
      </c>
      <c r="P3785" s="25">
        <f>IFERROR(INDEX(Produtos!$D$2:$D$71,MATCH(C3785,Produtos!$A$2:$A$71,0)),0)</f>
        <v/>
      </c>
      <c r="Q3785" s="25">
        <f>IFERROR(INDEX(Produtos!$E$2:$E$71,MATCH(C3785,Produtos!$A$2:$A$71,0)),0)</f>
        <v/>
      </c>
      <c r="R3785" s="27">
        <f>D3785*Q3785</f>
        <v/>
      </c>
      <c r="S3785" s="27">
        <f>R3785*E3785</f>
        <v/>
      </c>
      <c r="T3785" s="27">
        <f>(R3785-S3785)*M3785</f>
        <v/>
      </c>
      <c r="U3785" s="27">
        <f>R3785-S3785-T3785</f>
        <v/>
      </c>
      <c r="V3785" s="27">
        <f>D3785*P3785</f>
        <v/>
      </c>
      <c r="W3785" s="27">
        <f>U3785-V3785</f>
        <v/>
      </c>
      <c r="X3785" s="28">
        <f>IFERROR(W3785/U3785,0)</f>
        <v/>
      </c>
    </row>
    <row r="3786">
      <c r="A3786" s="21">
        <f>ItensPedido!A3786</f>
        <v/>
      </c>
      <c r="B3786" s="21">
        <f>ItensPedido!B3786</f>
        <v/>
      </c>
      <c r="C3786" s="21">
        <f>ItensPedido!C3786</f>
        <v/>
      </c>
      <c r="D3786" s="21">
        <f>ItensPedido!D3786</f>
        <v/>
      </c>
      <c r="E3786" s="22">
        <f>ItensPedido!E3786</f>
        <v/>
      </c>
      <c r="F3786" s="21">
        <f>IFERROR(INDEX(Pedidos!$B$2:$B$1801,MATCH(B3786,Pedidos!$A$2:$A$1801,0)),0)</f>
        <v/>
      </c>
      <c r="G3786" s="21">
        <f>IF(F3786=0,"",YEAR(F3786))</f>
        <v/>
      </c>
      <c r="H3786" s="21">
        <f>IF(F3786=0,"",MONTH(F3786))</f>
        <v/>
      </c>
      <c r="I3786" s="21">
        <f>IFERROR(INDEX(Pedidos!$E$2:$E$1801,MATCH(B3786,Pedidos!$A$2:$A$1801,0)),"")</f>
        <v/>
      </c>
      <c r="J3786" s="21">
        <f>IFERROR(INDEX(Pedidos!$C$2:$C$1801,MATCH(B3786,Pedidos!$A$2:$A$1801,0)),"")</f>
        <v/>
      </c>
      <c r="K3786" s="21">
        <f>IFERROR(INDEX(Pedidos!$D$2:$D$1801,MATCH(B3786,Pedidos!$A$2:$A$1801,0)),"")</f>
        <v/>
      </c>
      <c r="L3786" s="21">
        <f>IFERROR(INDEX(Pedidos!$F$2:$F$1801,MATCH(B3786,Pedidos!$A$2:$A$1801,0)),"")</f>
        <v/>
      </c>
      <c r="M3786" s="22">
        <f>IFERROR(INDEX(Pedidos!$G$2:$G$1801,MATCH(B3786,Pedidos!$A$2:$A$1801,0)),0)</f>
        <v/>
      </c>
      <c r="N3786" s="21">
        <f>IFERROR(INDEX(Produtos!$B$2:$B$71,MATCH(C3786,Produtos!$A$2:$A$71,0)),"")</f>
        <v/>
      </c>
      <c r="O3786" s="21">
        <f>IFERROR(INDEX(Produtos!$C$2:$C$71,MATCH(C3786,Produtos!$A$2:$A$71,0)),"")</f>
        <v/>
      </c>
      <c r="P3786" s="21">
        <f>IFERROR(INDEX(Produtos!$D$2:$D$71,MATCH(C3786,Produtos!$A$2:$A$71,0)),0)</f>
        <v/>
      </c>
      <c r="Q3786" s="21">
        <f>IFERROR(INDEX(Produtos!$E$2:$E$71,MATCH(C3786,Produtos!$A$2:$A$71,0)),0)</f>
        <v/>
      </c>
      <c r="R3786" s="23">
        <f>D3786*Q3786</f>
        <v/>
      </c>
      <c r="S3786" s="23">
        <f>R3786*E3786</f>
        <v/>
      </c>
      <c r="T3786" s="23">
        <f>(R3786-S3786)*M3786</f>
        <v/>
      </c>
      <c r="U3786" s="23">
        <f>R3786-S3786-T3786</f>
        <v/>
      </c>
      <c r="V3786" s="23">
        <f>D3786*P3786</f>
        <v/>
      </c>
      <c r="W3786" s="23">
        <f>U3786-V3786</f>
        <v/>
      </c>
      <c r="X3786" s="24">
        <f>IFERROR(W3786/U3786,0)</f>
        <v/>
      </c>
    </row>
    <row r="3787">
      <c r="A3787" s="25">
        <f>ItensPedido!A3787</f>
        <v/>
      </c>
      <c r="B3787" s="25">
        <f>ItensPedido!B3787</f>
        <v/>
      </c>
      <c r="C3787" s="25">
        <f>ItensPedido!C3787</f>
        <v/>
      </c>
      <c r="D3787" s="25">
        <f>ItensPedido!D3787</f>
        <v/>
      </c>
      <c r="E3787" s="26">
        <f>ItensPedido!E3787</f>
        <v/>
      </c>
      <c r="F3787" s="25">
        <f>IFERROR(INDEX(Pedidos!$B$2:$B$1801,MATCH(B3787,Pedidos!$A$2:$A$1801,0)),0)</f>
        <v/>
      </c>
      <c r="G3787" s="25">
        <f>IF(F3787=0,"",YEAR(F3787))</f>
        <v/>
      </c>
      <c r="H3787" s="25">
        <f>IF(F3787=0,"",MONTH(F3787))</f>
        <v/>
      </c>
      <c r="I3787" s="25">
        <f>IFERROR(INDEX(Pedidos!$E$2:$E$1801,MATCH(B3787,Pedidos!$A$2:$A$1801,0)),"")</f>
        <v/>
      </c>
      <c r="J3787" s="25">
        <f>IFERROR(INDEX(Pedidos!$C$2:$C$1801,MATCH(B3787,Pedidos!$A$2:$A$1801,0)),"")</f>
        <v/>
      </c>
      <c r="K3787" s="25">
        <f>IFERROR(INDEX(Pedidos!$D$2:$D$1801,MATCH(B3787,Pedidos!$A$2:$A$1801,0)),"")</f>
        <v/>
      </c>
      <c r="L3787" s="25">
        <f>IFERROR(INDEX(Pedidos!$F$2:$F$1801,MATCH(B3787,Pedidos!$A$2:$A$1801,0)),"")</f>
        <v/>
      </c>
      <c r="M3787" s="26">
        <f>IFERROR(INDEX(Pedidos!$G$2:$G$1801,MATCH(B3787,Pedidos!$A$2:$A$1801,0)),0)</f>
        <v/>
      </c>
      <c r="N3787" s="25">
        <f>IFERROR(INDEX(Produtos!$B$2:$B$71,MATCH(C3787,Produtos!$A$2:$A$71,0)),"")</f>
        <v/>
      </c>
      <c r="O3787" s="25">
        <f>IFERROR(INDEX(Produtos!$C$2:$C$71,MATCH(C3787,Produtos!$A$2:$A$71,0)),"")</f>
        <v/>
      </c>
      <c r="P3787" s="25">
        <f>IFERROR(INDEX(Produtos!$D$2:$D$71,MATCH(C3787,Produtos!$A$2:$A$71,0)),0)</f>
        <v/>
      </c>
      <c r="Q3787" s="25">
        <f>IFERROR(INDEX(Produtos!$E$2:$E$71,MATCH(C3787,Produtos!$A$2:$A$71,0)),0)</f>
        <v/>
      </c>
      <c r="R3787" s="27">
        <f>D3787*Q3787</f>
        <v/>
      </c>
      <c r="S3787" s="27">
        <f>R3787*E3787</f>
        <v/>
      </c>
      <c r="T3787" s="27">
        <f>(R3787-S3787)*M3787</f>
        <v/>
      </c>
      <c r="U3787" s="27">
        <f>R3787-S3787-T3787</f>
        <v/>
      </c>
      <c r="V3787" s="27">
        <f>D3787*P3787</f>
        <v/>
      </c>
      <c r="W3787" s="27">
        <f>U3787-V3787</f>
        <v/>
      </c>
      <c r="X3787" s="28">
        <f>IFERROR(W3787/U3787,0)</f>
        <v/>
      </c>
    </row>
    <row r="3788">
      <c r="A3788" s="21">
        <f>ItensPedido!A3788</f>
        <v/>
      </c>
      <c r="B3788" s="21">
        <f>ItensPedido!B3788</f>
        <v/>
      </c>
      <c r="C3788" s="21">
        <f>ItensPedido!C3788</f>
        <v/>
      </c>
      <c r="D3788" s="21">
        <f>ItensPedido!D3788</f>
        <v/>
      </c>
      <c r="E3788" s="22">
        <f>ItensPedido!E3788</f>
        <v/>
      </c>
      <c r="F3788" s="21">
        <f>IFERROR(INDEX(Pedidos!$B$2:$B$1801,MATCH(B3788,Pedidos!$A$2:$A$1801,0)),0)</f>
        <v/>
      </c>
      <c r="G3788" s="21">
        <f>IF(F3788=0,"",YEAR(F3788))</f>
        <v/>
      </c>
      <c r="H3788" s="21">
        <f>IF(F3788=0,"",MONTH(F3788))</f>
        <v/>
      </c>
      <c r="I3788" s="21">
        <f>IFERROR(INDEX(Pedidos!$E$2:$E$1801,MATCH(B3788,Pedidos!$A$2:$A$1801,0)),"")</f>
        <v/>
      </c>
      <c r="J3788" s="21">
        <f>IFERROR(INDEX(Pedidos!$C$2:$C$1801,MATCH(B3788,Pedidos!$A$2:$A$1801,0)),"")</f>
        <v/>
      </c>
      <c r="K3788" s="21">
        <f>IFERROR(INDEX(Pedidos!$D$2:$D$1801,MATCH(B3788,Pedidos!$A$2:$A$1801,0)),"")</f>
        <v/>
      </c>
      <c r="L3788" s="21">
        <f>IFERROR(INDEX(Pedidos!$F$2:$F$1801,MATCH(B3788,Pedidos!$A$2:$A$1801,0)),"")</f>
        <v/>
      </c>
      <c r="M3788" s="22">
        <f>IFERROR(INDEX(Pedidos!$G$2:$G$1801,MATCH(B3788,Pedidos!$A$2:$A$1801,0)),0)</f>
        <v/>
      </c>
      <c r="N3788" s="21">
        <f>IFERROR(INDEX(Produtos!$B$2:$B$71,MATCH(C3788,Produtos!$A$2:$A$71,0)),"")</f>
        <v/>
      </c>
      <c r="O3788" s="21">
        <f>IFERROR(INDEX(Produtos!$C$2:$C$71,MATCH(C3788,Produtos!$A$2:$A$71,0)),"")</f>
        <v/>
      </c>
      <c r="P3788" s="21">
        <f>IFERROR(INDEX(Produtos!$D$2:$D$71,MATCH(C3788,Produtos!$A$2:$A$71,0)),0)</f>
        <v/>
      </c>
      <c r="Q3788" s="21">
        <f>IFERROR(INDEX(Produtos!$E$2:$E$71,MATCH(C3788,Produtos!$A$2:$A$71,0)),0)</f>
        <v/>
      </c>
      <c r="R3788" s="23">
        <f>D3788*Q3788</f>
        <v/>
      </c>
      <c r="S3788" s="23">
        <f>R3788*E3788</f>
        <v/>
      </c>
      <c r="T3788" s="23">
        <f>(R3788-S3788)*M3788</f>
        <v/>
      </c>
      <c r="U3788" s="23">
        <f>R3788-S3788-T3788</f>
        <v/>
      </c>
      <c r="V3788" s="23">
        <f>D3788*P3788</f>
        <v/>
      </c>
      <c r="W3788" s="23">
        <f>U3788-V3788</f>
        <v/>
      </c>
      <c r="X3788" s="24">
        <f>IFERROR(W3788/U3788,0)</f>
        <v/>
      </c>
    </row>
    <row r="3789">
      <c r="A3789" s="25">
        <f>ItensPedido!A3789</f>
        <v/>
      </c>
      <c r="B3789" s="25">
        <f>ItensPedido!B3789</f>
        <v/>
      </c>
      <c r="C3789" s="25">
        <f>ItensPedido!C3789</f>
        <v/>
      </c>
      <c r="D3789" s="25">
        <f>ItensPedido!D3789</f>
        <v/>
      </c>
      <c r="E3789" s="26">
        <f>ItensPedido!E3789</f>
        <v/>
      </c>
      <c r="F3789" s="25">
        <f>IFERROR(INDEX(Pedidos!$B$2:$B$1801,MATCH(B3789,Pedidos!$A$2:$A$1801,0)),0)</f>
        <v/>
      </c>
      <c r="G3789" s="25">
        <f>IF(F3789=0,"",YEAR(F3789))</f>
        <v/>
      </c>
      <c r="H3789" s="25">
        <f>IF(F3789=0,"",MONTH(F3789))</f>
        <v/>
      </c>
      <c r="I3789" s="25">
        <f>IFERROR(INDEX(Pedidos!$E$2:$E$1801,MATCH(B3789,Pedidos!$A$2:$A$1801,0)),"")</f>
        <v/>
      </c>
      <c r="J3789" s="25">
        <f>IFERROR(INDEX(Pedidos!$C$2:$C$1801,MATCH(B3789,Pedidos!$A$2:$A$1801,0)),"")</f>
        <v/>
      </c>
      <c r="K3789" s="25">
        <f>IFERROR(INDEX(Pedidos!$D$2:$D$1801,MATCH(B3789,Pedidos!$A$2:$A$1801,0)),"")</f>
        <v/>
      </c>
      <c r="L3789" s="25">
        <f>IFERROR(INDEX(Pedidos!$F$2:$F$1801,MATCH(B3789,Pedidos!$A$2:$A$1801,0)),"")</f>
        <v/>
      </c>
      <c r="M3789" s="26">
        <f>IFERROR(INDEX(Pedidos!$G$2:$G$1801,MATCH(B3789,Pedidos!$A$2:$A$1801,0)),0)</f>
        <v/>
      </c>
      <c r="N3789" s="25">
        <f>IFERROR(INDEX(Produtos!$B$2:$B$71,MATCH(C3789,Produtos!$A$2:$A$71,0)),"")</f>
        <v/>
      </c>
      <c r="O3789" s="25">
        <f>IFERROR(INDEX(Produtos!$C$2:$C$71,MATCH(C3789,Produtos!$A$2:$A$71,0)),"")</f>
        <v/>
      </c>
      <c r="P3789" s="25">
        <f>IFERROR(INDEX(Produtos!$D$2:$D$71,MATCH(C3789,Produtos!$A$2:$A$71,0)),0)</f>
        <v/>
      </c>
      <c r="Q3789" s="25">
        <f>IFERROR(INDEX(Produtos!$E$2:$E$71,MATCH(C3789,Produtos!$A$2:$A$71,0)),0)</f>
        <v/>
      </c>
      <c r="R3789" s="27">
        <f>D3789*Q3789</f>
        <v/>
      </c>
      <c r="S3789" s="27">
        <f>R3789*E3789</f>
        <v/>
      </c>
      <c r="T3789" s="27">
        <f>(R3789-S3789)*M3789</f>
        <v/>
      </c>
      <c r="U3789" s="27">
        <f>R3789-S3789-T3789</f>
        <v/>
      </c>
      <c r="V3789" s="27">
        <f>D3789*P3789</f>
        <v/>
      </c>
      <c r="W3789" s="27">
        <f>U3789-V3789</f>
        <v/>
      </c>
      <c r="X3789" s="28">
        <f>IFERROR(W3789/U3789,0)</f>
        <v/>
      </c>
    </row>
    <row r="3790">
      <c r="A3790" s="21">
        <f>ItensPedido!A3790</f>
        <v/>
      </c>
      <c r="B3790" s="21">
        <f>ItensPedido!B3790</f>
        <v/>
      </c>
      <c r="C3790" s="21">
        <f>ItensPedido!C3790</f>
        <v/>
      </c>
      <c r="D3790" s="21">
        <f>ItensPedido!D3790</f>
        <v/>
      </c>
      <c r="E3790" s="22">
        <f>ItensPedido!E3790</f>
        <v/>
      </c>
      <c r="F3790" s="21">
        <f>IFERROR(INDEX(Pedidos!$B$2:$B$1801,MATCH(B3790,Pedidos!$A$2:$A$1801,0)),0)</f>
        <v/>
      </c>
      <c r="G3790" s="21">
        <f>IF(F3790=0,"",YEAR(F3790))</f>
        <v/>
      </c>
      <c r="H3790" s="21">
        <f>IF(F3790=0,"",MONTH(F3790))</f>
        <v/>
      </c>
      <c r="I3790" s="21">
        <f>IFERROR(INDEX(Pedidos!$E$2:$E$1801,MATCH(B3790,Pedidos!$A$2:$A$1801,0)),"")</f>
        <v/>
      </c>
      <c r="J3790" s="21">
        <f>IFERROR(INDEX(Pedidos!$C$2:$C$1801,MATCH(B3790,Pedidos!$A$2:$A$1801,0)),"")</f>
        <v/>
      </c>
      <c r="K3790" s="21">
        <f>IFERROR(INDEX(Pedidos!$D$2:$D$1801,MATCH(B3790,Pedidos!$A$2:$A$1801,0)),"")</f>
        <v/>
      </c>
      <c r="L3790" s="21">
        <f>IFERROR(INDEX(Pedidos!$F$2:$F$1801,MATCH(B3790,Pedidos!$A$2:$A$1801,0)),"")</f>
        <v/>
      </c>
      <c r="M3790" s="22">
        <f>IFERROR(INDEX(Pedidos!$G$2:$G$1801,MATCH(B3790,Pedidos!$A$2:$A$1801,0)),0)</f>
        <v/>
      </c>
      <c r="N3790" s="21">
        <f>IFERROR(INDEX(Produtos!$B$2:$B$71,MATCH(C3790,Produtos!$A$2:$A$71,0)),"")</f>
        <v/>
      </c>
      <c r="O3790" s="21">
        <f>IFERROR(INDEX(Produtos!$C$2:$C$71,MATCH(C3790,Produtos!$A$2:$A$71,0)),"")</f>
        <v/>
      </c>
      <c r="P3790" s="21">
        <f>IFERROR(INDEX(Produtos!$D$2:$D$71,MATCH(C3790,Produtos!$A$2:$A$71,0)),0)</f>
        <v/>
      </c>
      <c r="Q3790" s="21">
        <f>IFERROR(INDEX(Produtos!$E$2:$E$71,MATCH(C3790,Produtos!$A$2:$A$71,0)),0)</f>
        <v/>
      </c>
      <c r="R3790" s="23">
        <f>D3790*Q3790</f>
        <v/>
      </c>
      <c r="S3790" s="23">
        <f>R3790*E3790</f>
        <v/>
      </c>
      <c r="T3790" s="23">
        <f>(R3790-S3790)*M3790</f>
        <v/>
      </c>
      <c r="U3790" s="23">
        <f>R3790-S3790-T3790</f>
        <v/>
      </c>
      <c r="V3790" s="23">
        <f>D3790*P3790</f>
        <v/>
      </c>
      <c r="W3790" s="23">
        <f>U3790-V3790</f>
        <v/>
      </c>
      <c r="X3790" s="24">
        <f>IFERROR(W3790/U3790,0)</f>
        <v/>
      </c>
    </row>
    <row r="3791">
      <c r="A3791" s="25">
        <f>ItensPedido!A3791</f>
        <v/>
      </c>
      <c r="B3791" s="25">
        <f>ItensPedido!B3791</f>
        <v/>
      </c>
      <c r="C3791" s="25">
        <f>ItensPedido!C3791</f>
        <v/>
      </c>
      <c r="D3791" s="25">
        <f>ItensPedido!D3791</f>
        <v/>
      </c>
      <c r="E3791" s="26">
        <f>ItensPedido!E3791</f>
        <v/>
      </c>
      <c r="F3791" s="25">
        <f>IFERROR(INDEX(Pedidos!$B$2:$B$1801,MATCH(B3791,Pedidos!$A$2:$A$1801,0)),0)</f>
        <v/>
      </c>
      <c r="G3791" s="25">
        <f>IF(F3791=0,"",YEAR(F3791))</f>
        <v/>
      </c>
      <c r="H3791" s="25">
        <f>IF(F3791=0,"",MONTH(F3791))</f>
        <v/>
      </c>
      <c r="I3791" s="25">
        <f>IFERROR(INDEX(Pedidos!$E$2:$E$1801,MATCH(B3791,Pedidos!$A$2:$A$1801,0)),"")</f>
        <v/>
      </c>
      <c r="J3791" s="25">
        <f>IFERROR(INDEX(Pedidos!$C$2:$C$1801,MATCH(B3791,Pedidos!$A$2:$A$1801,0)),"")</f>
        <v/>
      </c>
      <c r="K3791" s="25">
        <f>IFERROR(INDEX(Pedidos!$D$2:$D$1801,MATCH(B3791,Pedidos!$A$2:$A$1801,0)),"")</f>
        <v/>
      </c>
      <c r="L3791" s="25">
        <f>IFERROR(INDEX(Pedidos!$F$2:$F$1801,MATCH(B3791,Pedidos!$A$2:$A$1801,0)),"")</f>
        <v/>
      </c>
      <c r="M3791" s="26">
        <f>IFERROR(INDEX(Pedidos!$G$2:$G$1801,MATCH(B3791,Pedidos!$A$2:$A$1801,0)),0)</f>
        <v/>
      </c>
      <c r="N3791" s="25">
        <f>IFERROR(INDEX(Produtos!$B$2:$B$71,MATCH(C3791,Produtos!$A$2:$A$71,0)),"")</f>
        <v/>
      </c>
      <c r="O3791" s="25">
        <f>IFERROR(INDEX(Produtos!$C$2:$C$71,MATCH(C3791,Produtos!$A$2:$A$71,0)),"")</f>
        <v/>
      </c>
      <c r="P3791" s="25">
        <f>IFERROR(INDEX(Produtos!$D$2:$D$71,MATCH(C3791,Produtos!$A$2:$A$71,0)),0)</f>
        <v/>
      </c>
      <c r="Q3791" s="25">
        <f>IFERROR(INDEX(Produtos!$E$2:$E$71,MATCH(C3791,Produtos!$A$2:$A$71,0)),0)</f>
        <v/>
      </c>
      <c r="R3791" s="27">
        <f>D3791*Q3791</f>
        <v/>
      </c>
      <c r="S3791" s="27">
        <f>R3791*E3791</f>
        <v/>
      </c>
      <c r="T3791" s="27">
        <f>(R3791-S3791)*M3791</f>
        <v/>
      </c>
      <c r="U3791" s="27">
        <f>R3791-S3791-T3791</f>
        <v/>
      </c>
      <c r="V3791" s="27">
        <f>D3791*P3791</f>
        <v/>
      </c>
      <c r="W3791" s="27">
        <f>U3791-V3791</f>
        <v/>
      </c>
      <c r="X3791" s="28">
        <f>IFERROR(W3791/U3791,0)</f>
        <v/>
      </c>
    </row>
    <row r="3792">
      <c r="A3792" s="21">
        <f>ItensPedido!A3792</f>
        <v/>
      </c>
      <c r="B3792" s="21">
        <f>ItensPedido!B3792</f>
        <v/>
      </c>
      <c r="C3792" s="21">
        <f>ItensPedido!C3792</f>
        <v/>
      </c>
      <c r="D3792" s="21">
        <f>ItensPedido!D3792</f>
        <v/>
      </c>
      <c r="E3792" s="22">
        <f>ItensPedido!E3792</f>
        <v/>
      </c>
      <c r="F3792" s="21">
        <f>IFERROR(INDEX(Pedidos!$B$2:$B$1801,MATCH(B3792,Pedidos!$A$2:$A$1801,0)),0)</f>
        <v/>
      </c>
      <c r="G3792" s="21">
        <f>IF(F3792=0,"",YEAR(F3792))</f>
        <v/>
      </c>
      <c r="H3792" s="21">
        <f>IF(F3792=0,"",MONTH(F3792))</f>
        <v/>
      </c>
      <c r="I3792" s="21">
        <f>IFERROR(INDEX(Pedidos!$E$2:$E$1801,MATCH(B3792,Pedidos!$A$2:$A$1801,0)),"")</f>
        <v/>
      </c>
      <c r="J3792" s="21">
        <f>IFERROR(INDEX(Pedidos!$C$2:$C$1801,MATCH(B3792,Pedidos!$A$2:$A$1801,0)),"")</f>
        <v/>
      </c>
      <c r="K3792" s="21">
        <f>IFERROR(INDEX(Pedidos!$D$2:$D$1801,MATCH(B3792,Pedidos!$A$2:$A$1801,0)),"")</f>
        <v/>
      </c>
      <c r="L3792" s="21">
        <f>IFERROR(INDEX(Pedidos!$F$2:$F$1801,MATCH(B3792,Pedidos!$A$2:$A$1801,0)),"")</f>
        <v/>
      </c>
      <c r="M3792" s="22">
        <f>IFERROR(INDEX(Pedidos!$G$2:$G$1801,MATCH(B3792,Pedidos!$A$2:$A$1801,0)),0)</f>
        <v/>
      </c>
      <c r="N3792" s="21">
        <f>IFERROR(INDEX(Produtos!$B$2:$B$71,MATCH(C3792,Produtos!$A$2:$A$71,0)),"")</f>
        <v/>
      </c>
      <c r="O3792" s="21">
        <f>IFERROR(INDEX(Produtos!$C$2:$C$71,MATCH(C3792,Produtos!$A$2:$A$71,0)),"")</f>
        <v/>
      </c>
      <c r="P3792" s="21">
        <f>IFERROR(INDEX(Produtos!$D$2:$D$71,MATCH(C3792,Produtos!$A$2:$A$71,0)),0)</f>
        <v/>
      </c>
      <c r="Q3792" s="21">
        <f>IFERROR(INDEX(Produtos!$E$2:$E$71,MATCH(C3792,Produtos!$A$2:$A$71,0)),0)</f>
        <v/>
      </c>
      <c r="R3792" s="23">
        <f>D3792*Q3792</f>
        <v/>
      </c>
      <c r="S3792" s="23">
        <f>R3792*E3792</f>
        <v/>
      </c>
      <c r="T3792" s="23">
        <f>(R3792-S3792)*M3792</f>
        <v/>
      </c>
      <c r="U3792" s="23">
        <f>R3792-S3792-T3792</f>
        <v/>
      </c>
      <c r="V3792" s="23">
        <f>D3792*P3792</f>
        <v/>
      </c>
      <c r="W3792" s="23">
        <f>U3792-V3792</f>
        <v/>
      </c>
      <c r="X3792" s="24">
        <f>IFERROR(W3792/U3792,0)</f>
        <v/>
      </c>
    </row>
    <row r="3793">
      <c r="A3793" s="25">
        <f>ItensPedido!A3793</f>
        <v/>
      </c>
      <c r="B3793" s="25">
        <f>ItensPedido!B3793</f>
        <v/>
      </c>
      <c r="C3793" s="25">
        <f>ItensPedido!C3793</f>
        <v/>
      </c>
      <c r="D3793" s="25">
        <f>ItensPedido!D3793</f>
        <v/>
      </c>
      <c r="E3793" s="26">
        <f>ItensPedido!E3793</f>
        <v/>
      </c>
      <c r="F3793" s="25">
        <f>IFERROR(INDEX(Pedidos!$B$2:$B$1801,MATCH(B3793,Pedidos!$A$2:$A$1801,0)),0)</f>
        <v/>
      </c>
      <c r="G3793" s="25">
        <f>IF(F3793=0,"",YEAR(F3793))</f>
        <v/>
      </c>
      <c r="H3793" s="25">
        <f>IF(F3793=0,"",MONTH(F3793))</f>
        <v/>
      </c>
      <c r="I3793" s="25">
        <f>IFERROR(INDEX(Pedidos!$E$2:$E$1801,MATCH(B3793,Pedidos!$A$2:$A$1801,0)),"")</f>
        <v/>
      </c>
      <c r="J3793" s="25">
        <f>IFERROR(INDEX(Pedidos!$C$2:$C$1801,MATCH(B3793,Pedidos!$A$2:$A$1801,0)),"")</f>
        <v/>
      </c>
      <c r="K3793" s="25">
        <f>IFERROR(INDEX(Pedidos!$D$2:$D$1801,MATCH(B3793,Pedidos!$A$2:$A$1801,0)),"")</f>
        <v/>
      </c>
      <c r="L3793" s="25">
        <f>IFERROR(INDEX(Pedidos!$F$2:$F$1801,MATCH(B3793,Pedidos!$A$2:$A$1801,0)),"")</f>
        <v/>
      </c>
      <c r="M3793" s="26">
        <f>IFERROR(INDEX(Pedidos!$G$2:$G$1801,MATCH(B3793,Pedidos!$A$2:$A$1801,0)),0)</f>
        <v/>
      </c>
      <c r="N3793" s="25">
        <f>IFERROR(INDEX(Produtos!$B$2:$B$71,MATCH(C3793,Produtos!$A$2:$A$71,0)),"")</f>
        <v/>
      </c>
      <c r="O3793" s="25">
        <f>IFERROR(INDEX(Produtos!$C$2:$C$71,MATCH(C3793,Produtos!$A$2:$A$71,0)),"")</f>
        <v/>
      </c>
      <c r="P3793" s="25">
        <f>IFERROR(INDEX(Produtos!$D$2:$D$71,MATCH(C3793,Produtos!$A$2:$A$71,0)),0)</f>
        <v/>
      </c>
      <c r="Q3793" s="25">
        <f>IFERROR(INDEX(Produtos!$E$2:$E$71,MATCH(C3793,Produtos!$A$2:$A$71,0)),0)</f>
        <v/>
      </c>
      <c r="R3793" s="27">
        <f>D3793*Q3793</f>
        <v/>
      </c>
      <c r="S3793" s="27">
        <f>R3793*E3793</f>
        <v/>
      </c>
      <c r="T3793" s="27">
        <f>(R3793-S3793)*M3793</f>
        <v/>
      </c>
      <c r="U3793" s="27">
        <f>R3793-S3793-T3793</f>
        <v/>
      </c>
      <c r="V3793" s="27">
        <f>D3793*P3793</f>
        <v/>
      </c>
      <c r="W3793" s="27">
        <f>U3793-V3793</f>
        <v/>
      </c>
      <c r="X3793" s="28">
        <f>IFERROR(W3793/U3793,0)</f>
        <v/>
      </c>
    </row>
    <row r="3794">
      <c r="A3794" s="21">
        <f>ItensPedido!A3794</f>
        <v/>
      </c>
      <c r="B3794" s="21">
        <f>ItensPedido!B3794</f>
        <v/>
      </c>
      <c r="C3794" s="21">
        <f>ItensPedido!C3794</f>
        <v/>
      </c>
      <c r="D3794" s="21">
        <f>ItensPedido!D3794</f>
        <v/>
      </c>
      <c r="E3794" s="22">
        <f>ItensPedido!E3794</f>
        <v/>
      </c>
      <c r="F3794" s="21">
        <f>IFERROR(INDEX(Pedidos!$B$2:$B$1801,MATCH(B3794,Pedidos!$A$2:$A$1801,0)),0)</f>
        <v/>
      </c>
      <c r="G3794" s="21">
        <f>IF(F3794=0,"",YEAR(F3794))</f>
        <v/>
      </c>
      <c r="H3794" s="21">
        <f>IF(F3794=0,"",MONTH(F3794))</f>
        <v/>
      </c>
      <c r="I3794" s="21">
        <f>IFERROR(INDEX(Pedidos!$E$2:$E$1801,MATCH(B3794,Pedidos!$A$2:$A$1801,0)),"")</f>
        <v/>
      </c>
      <c r="J3794" s="21">
        <f>IFERROR(INDEX(Pedidos!$C$2:$C$1801,MATCH(B3794,Pedidos!$A$2:$A$1801,0)),"")</f>
        <v/>
      </c>
      <c r="K3794" s="21">
        <f>IFERROR(INDEX(Pedidos!$D$2:$D$1801,MATCH(B3794,Pedidos!$A$2:$A$1801,0)),"")</f>
        <v/>
      </c>
      <c r="L3794" s="21">
        <f>IFERROR(INDEX(Pedidos!$F$2:$F$1801,MATCH(B3794,Pedidos!$A$2:$A$1801,0)),"")</f>
        <v/>
      </c>
      <c r="M3794" s="22">
        <f>IFERROR(INDEX(Pedidos!$G$2:$G$1801,MATCH(B3794,Pedidos!$A$2:$A$1801,0)),0)</f>
        <v/>
      </c>
      <c r="N3794" s="21">
        <f>IFERROR(INDEX(Produtos!$B$2:$B$71,MATCH(C3794,Produtos!$A$2:$A$71,0)),"")</f>
        <v/>
      </c>
      <c r="O3794" s="21">
        <f>IFERROR(INDEX(Produtos!$C$2:$C$71,MATCH(C3794,Produtos!$A$2:$A$71,0)),"")</f>
        <v/>
      </c>
      <c r="P3794" s="21">
        <f>IFERROR(INDEX(Produtos!$D$2:$D$71,MATCH(C3794,Produtos!$A$2:$A$71,0)),0)</f>
        <v/>
      </c>
      <c r="Q3794" s="21">
        <f>IFERROR(INDEX(Produtos!$E$2:$E$71,MATCH(C3794,Produtos!$A$2:$A$71,0)),0)</f>
        <v/>
      </c>
      <c r="R3794" s="23">
        <f>D3794*Q3794</f>
        <v/>
      </c>
      <c r="S3794" s="23">
        <f>R3794*E3794</f>
        <v/>
      </c>
      <c r="T3794" s="23">
        <f>(R3794-S3794)*M3794</f>
        <v/>
      </c>
      <c r="U3794" s="23">
        <f>R3794-S3794-T3794</f>
        <v/>
      </c>
      <c r="V3794" s="23">
        <f>D3794*P3794</f>
        <v/>
      </c>
      <c r="W3794" s="23">
        <f>U3794-V3794</f>
        <v/>
      </c>
      <c r="X3794" s="24">
        <f>IFERROR(W3794/U3794,0)</f>
        <v/>
      </c>
    </row>
    <row r="3795">
      <c r="A3795" s="25">
        <f>ItensPedido!A3795</f>
        <v/>
      </c>
      <c r="B3795" s="25">
        <f>ItensPedido!B3795</f>
        <v/>
      </c>
      <c r="C3795" s="25">
        <f>ItensPedido!C3795</f>
        <v/>
      </c>
      <c r="D3795" s="25">
        <f>ItensPedido!D3795</f>
        <v/>
      </c>
      <c r="E3795" s="26">
        <f>ItensPedido!E3795</f>
        <v/>
      </c>
      <c r="F3795" s="25">
        <f>IFERROR(INDEX(Pedidos!$B$2:$B$1801,MATCH(B3795,Pedidos!$A$2:$A$1801,0)),0)</f>
        <v/>
      </c>
      <c r="G3795" s="25">
        <f>IF(F3795=0,"",YEAR(F3795))</f>
        <v/>
      </c>
      <c r="H3795" s="25">
        <f>IF(F3795=0,"",MONTH(F3795))</f>
        <v/>
      </c>
      <c r="I3795" s="25">
        <f>IFERROR(INDEX(Pedidos!$E$2:$E$1801,MATCH(B3795,Pedidos!$A$2:$A$1801,0)),"")</f>
        <v/>
      </c>
      <c r="J3795" s="25">
        <f>IFERROR(INDEX(Pedidos!$C$2:$C$1801,MATCH(B3795,Pedidos!$A$2:$A$1801,0)),"")</f>
        <v/>
      </c>
      <c r="K3795" s="25">
        <f>IFERROR(INDEX(Pedidos!$D$2:$D$1801,MATCH(B3795,Pedidos!$A$2:$A$1801,0)),"")</f>
        <v/>
      </c>
      <c r="L3795" s="25">
        <f>IFERROR(INDEX(Pedidos!$F$2:$F$1801,MATCH(B3795,Pedidos!$A$2:$A$1801,0)),"")</f>
        <v/>
      </c>
      <c r="M3795" s="26">
        <f>IFERROR(INDEX(Pedidos!$G$2:$G$1801,MATCH(B3795,Pedidos!$A$2:$A$1801,0)),0)</f>
        <v/>
      </c>
      <c r="N3795" s="25">
        <f>IFERROR(INDEX(Produtos!$B$2:$B$71,MATCH(C3795,Produtos!$A$2:$A$71,0)),"")</f>
        <v/>
      </c>
      <c r="O3795" s="25">
        <f>IFERROR(INDEX(Produtos!$C$2:$C$71,MATCH(C3795,Produtos!$A$2:$A$71,0)),"")</f>
        <v/>
      </c>
      <c r="P3795" s="25">
        <f>IFERROR(INDEX(Produtos!$D$2:$D$71,MATCH(C3795,Produtos!$A$2:$A$71,0)),0)</f>
        <v/>
      </c>
      <c r="Q3795" s="25">
        <f>IFERROR(INDEX(Produtos!$E$2:$E$71,MATCH(C3795,Produtos!$A$2:$A$71,0)),0)</f>
        <v/>
      </c>
      <c r="R3795" s="27">
        <f>D3795*Q3795</f>
        <v/>
      </c>
      <c r="S3795" s="27">
        <f>R3795*E3795</f>
        <v/>
      </c>
      <c r="T3795" s="27">
        <f>(R3795-S3795)*M3795</f>
        <v/>
      </c>
      <c r="U3795" s="27">
        <f>R3795-S3795-T3795</f>
        <v/>
      </c>
      <c r="V3795" s="27">
        <f>D3795*P3795</f>
        <v/>
      </c>
      <c r="W3795" s="27">
        <f>U3795-V3795</f>
        <v/>
      </c>
      <c r="X3795" s="28">
        <f>IFERROR(W3795/U3795,0)</f>
        <v/>
      </c>
    </row>
    <row r="3796">
      <c r="A3796" s="21">
        <f>ItensPedido!A3796</f>
        <v/>
      </c>
      <c r="B3796" s="21">
        <f>ItensPedido!B3796</f>
        <v/>
      </c>
      <c r="C3796" s="21">
        <f>ItensPedido!C3796</f>
        <v/>
      </c>
      <c r="D3796" s="21">
        <f>ItensPedido!D3796</f>
        <v/>
      </c>
      <c r="E3796" s="22">
        <f>ItensPedido!E3796</f>
        <v/>
      </c>
      <c r="F3796" s="21">
        <f>IFERROR(INDEX(Pedidos!$B$2:$B$1801,MATCH(B3796,Pedidos!$A$2:$A$1801,0)),0)</f>
        <v/>
      </c>
      <c r="G3796" s="21">
        <f>IF(F3796=0,"",YEAR(F3796))</f>
        <v/>
      </c>
      <c r="H3796" s="21">
        <f>IF(F3796=0,"",MONTH(F3796))</f>
        <v/>
      </c>
      <c r="I3796" s="21">
        <f>IFERROR(INDEX(Pedidos!$E$2:$E$1801,MATCH(B3796,Pedidos!$A$2:$A$1801,0)),"")</f>
        <v/>
      </c>
      <c r="J3796" s="21">
        <f>IFERROR(INDEX(Pedidos!$C$2:$C$1801,MATCH(B3796,Pedidos!$A$2:$A$1801,0)),"")</f>
        <v/>
      </c>
      <c r="K3796" s="21">
        <f>IFERROR(INDEX(Pedidos!$D$2:$D$1801,MATCH(B3796,Pedidos!$A$2:$A$1801,0)),"")</f>
        <v/>
      </c>
      <c r="L3796" s="21">
        <f>IFERROR(INDEX(Pedidos!$F$2:$F$1801,MATCH(B3796,Pedidos!$A$2:$A$1801,0)),"")</f>
        <v/>
      </c>
      <c r="M3796" s="22">
        <f>IFERROR(INDEX(Pedidos!$G$2:$G$1801,MATCH(B3796,Pedidos!$A$2:$A$1801,0)),0)</f>
        <v/>
      </c>
      <c r="N3796" s="21">
        <f>IFERROR(INDEX(Produtos!$B$2:$B$71,MATCH(C3796,Produtos!$A$2:$A$71,0)),"")</f>
        <v/>
      </c>
      <c r="O3796" s="21">
        <f>IFERROR(INDEX(Produtos!$C$2:$C$71,MATCH(C3796,Produtos!$A$2:$A$71,0)),"")</f>
        <v/>
      </c>
      <c r="P3796" s="21">
        <f>IFERROR(INDEX(Produtos!$D$2:$D$71,MATCH(C3796,Produtos!$A$2:$A$71,0)),0)</f>
        <v/>
      </c>
      <c r="Q3796" s="21">
        <f>IFERROR(INDEX(Produtos!$E$2:$E$71,MATCH(C3796,Produtos!$A$2:$A$71,0)),0)</f>
        <v/>
      </c>
      <c r="R3796" s="23">
        <f>D3796*Q3796</f>
        <v/>
      </c>
      <c r="S3796" s="23">
        <f>R3796*E3796</f>
        <v/>
      </c>
      <c r="T3796" s="23">
        <f>(R3796-S3796)*M3796</f>
        <v/>
      </c>
      <c r="U3796" s="23">
        <f>R3796-S3796-T3796</f>
        <v/>
      </c>
      <c r="V3796" s="23">
        <f>D3796*P3796</f>
        <v/>
      </c>
      <c r="W3796" s="23">
        <f>U3796-V3796</f>
        <v/>
      </c>
      <c r="X3796" s="24">
        <f>IFERROR(W3796/U3796,0)</f>
        <v/>
      </c>
    </row>
    <row r="3797">
      <c r="A3797" s="25">
        <f>ItensPedido!A3797</f>
        <v/>
      </c>
      <c r="B3797" s="25">
        <f>ItensPedido!B3797</f>
        <v/>
      </c>
      <c r="C3797" s="25">
        <f>ItensPedido!C3797</f>
        <v/>
      </c>
      <c r="D3797" s="25">
        <f>ItensPedido!D3797</f>
        <v/>
      </c>
      <c r="E3797" s="26">
        <f>ItensPedido!E3797</f>
        <v/>
      </c>
      <c r="F3797" s="25">
        <f>IFERROR(INDEX(Pedidos!$B$2:$B$1801,MATCH(B3797,Pedidos!$A$2:$A$1801,0)),0)</f>
        <v/>
      </c>
      <c r="G3797" s="25">
        <f>IF(F3797=0,"",YEAR(F3797))</f>
        <v/>
      </c>
      <c r="H3797" s="25">
        <f>IF(F3797=0,"",MONTH(F3797))</f>
        <v/>
      </c>
      <c r="I3797" s="25">
        <f>IFERROR(INDEX(Pedidos!$E$2:$E$1801,MATCH(B3797,Pedidos!$A$2:$A$1801,0)),"")</f>
        <v/>
      </c>
      <c r="J3797" s="25">
        <f>IFERROR(INDEX(Pedidos!$C$2:$C$1801,MATCH(B3797,Pedidos!$A$2:$A$1801,0)),"")</f>
        <v/>
      </c>
      <c r="K3797" s="25">
        <f>IFERROR(INDEX(Pedidos!$D$2:$D$1801,MATCH(B3797,Pedidos!$A$2:$A$1801,0)),"")</f>
        <v/>
      </c>
      <c r="L3797" s="25">
        <f>IFERROR(INDEX(Pedidos!$F$2:$F$1801,MATCH(B3797,Pedidos!$A$2:$A$1801,0)),"")</f>
        <v/>
      </c>
      <c r="M3797" s="26">
        <f>IFERROR(INDEX(Pedidos!$G$2:$G$1801,MATCH(B3797,Pedidos!$A$2:$A$1801,0)),0)</f>
        <v/>
      </c>
      <c r="N3797" s="25">
        <f>IFERROR(INDEX(Produtos!$B$2:$B$71,MATCH(C3797,Produtos!$A$2:$A$71,0)),"")</f>
        <v/>
      </c>
      <c r="O3797" s="25">
        <f>IFERROR(INDEX(Produtos!$C$2:$C$71,MATCH(C3797,Produtos!$A$2:$A$71,0)),"")</f>
        <v/>
      </c>
      <c r="P3797" s="25">
        <f>IFERROR(INDEX(Produtos!$D$2:$D$71,MATCH(C3797,Produtos!$A$2:$A$71,0)),0)</f>
        <v/>
      </c>
      <c r="Q3797" s="25">
        <f>IFERROR(INDEX(Produtos!$E$2:$E$71,MATCH(C3797,Produtos!$A$2:$A$71,0)),0)</f>
        <v/>
      </c>
      <c r="R3797" s="27">
        <f>D3797*Q3797</f>
        <v/>
      </c>
      <c r="S3797" s="27">
        <f>R3797*E3797</f>
        <v/>
      </c>
      <c r="T3797" s="27">
        <f>(R3797-S3797)*M3797</f>
        <v/>
      </c>
      <c r="U3797" s="27">
        <f>R3797-S3797-T3797</f>
        <v/>
      </c>
      <c r="V3797" s="27">
        <f>D3797*P3797</f>
        <v/>
      </c>
      <c r="W3797" s="27">
        <f>U3797-V3797</f>
        <v/>
      </c>
      <c r="X3797" s="28">
        <f>IFERROR(W3797/U3797,0)</f>
        <v/>
      </c>
    </row>
    <row r="3798">
      <c r="A3798" s="21">
        <f>ItensPedido!A3798</f>
        <v/>
      </c>
      <c r="B3798" s="21">
        <f>ItensPedido!B3798</f>
        <v/>
      </c>
      <c r="C3798" s="21">
        <f>ItensPedido!C3798</f>
        <v/>
      </c>
      <c r="D3798" s="21">
        <f>ItensPedido!D3798</f>
        <v/>
      </c>
      <c r="E3798" s="22">
        <f>ItensPedido!E3798</f>
        <v/>
      </c>
      <c r="F3798" s="21">
        <f>IFERROR(INDEX(Pedidos!$B$2:$B$1801,MATCH(B3798,Pedidos!$A$2:$A$1801,0)),0)</f>
        <v/>
      </c>
      <c r="G3798" s="21">
        <f>IF(F3798=0,"",YEAR(F3798))</f>
        <v/>
      </c>
      <c r="H3798" s="21">
        <f>IF(F3798=0,"",MONTH(F3798))</f>
        <v/>
      </c>
      <c r="I3798" s="21">
        <f>IFERROR(INDEX(Pedidos!$E$2:$E$1801,MATCH(B3798,Pedidos!$A$2:$A$1801,0)),"")</f>
        <v/>
      </c>
      <c r="J3798" s="21">
        <f>IFERROR(INDEX(Pedidos!$C$2:$C$1801,MATCH(B3798,Pedidos!$A$2:$A$1801,0)),"")</f>
        <v/>
      </c>
      <c r="K3798" s="21">
        <f>IFERROR(INDEX(Pedidos!$D$2:$D$1801,MATCH(B3798,Pedidos!$A$2:$A$1801,0)),"")</f>
        <v/>
      </c>
      <c r="L3798" s="21">
        <f>IFERROR(INDEX(Pedidos!$F$2:$F$1801,MATCH(B3798,Pedidos!$A$2:$A$1801,0)),"")</f>
        <v/>
      </c>
      <c r="M3798" s="22">
        <f>IFERROR(INDEX(Pedidos!$G$2:$G$1801,MATCH(B3798,Pedidos!$A$2:$A$1801,0)),0)</f>
        <v/>
      </c>
      <c r="N3798" s="21">
        <f>IFERROR(INDEX(Produtos!$B$2:$B$71,MATCH(C3798,Produtos!$A$2:$A$71,0)),"")</f>
        <v/>
      </c>
      <c r="O3798" s="21">
        <f>IFERROR(INDEX(Produtos!$C$2:$C$71,MATCH(C3798,Produtos!$A$2:$A$71,0)),"")</f>
        <v/>
      </c>
      <c r="P3798" s="21">
        <f>IFERROR(INDEX(Produtos!$D$2:$D$71,MATCH(C3798,Produtos!$A$2:$A$71,0)),0)</f>
        <v/>
      </c>
      <c r="Q3798" s="21">
        <f>IFERROR(INDEX(Produtos!$E$2:$E$71,MATCH(C3798,Produtos!$A$2:$A$71,0)),0)</f>
        <v/>
      </c>
      <c r="R3798" s="23">
        <f>D3798*Q3798</f>
        <v/>
      </c>
      <c r="S3798" s="23">
        <f>R3798*E3798</f>
        <v/>
      </c>
      <c r="T3798" s="23">
        <f>(R3798-S3798)*M3798</f>
        <v/>
      </c>
      <c r="U3798" s="23">
        <f>R3798-S3798-T3798</f>
        <v/>
      </c>
      <c r="V3798" s="23">
        <f>D3798*P3798</f>
        <v/>
      </c>
      <c r="W3798" s="23">
        <f>U3798-V3798</f>
        <v/>
      </c>
      <c r="X3798" s="24">
        <f>IFERROR(W3798/U3798,0)</f>
        <v/>
      </c>
    </row>
    <row r="3799">
      <c r="A3799" s="25">
        <f>ItensPedido!A3799</f>
        <v/>
      </c>
      <c r="B3799" s="25">
        <f>ItensPedido!B3799</f>
        <v/>
      </c>
      <c r="C3799" s="25">
        <f>ItensPedido!C3799</f>
        <v/>
      </c>
      <c r="D3799" s="25">
        <f>ItensPedido!D3799</f>
        <v/>
      </c>
      <c r="E3799" s="26">
        <f>ItensPedido!E3799</f>
        <v/>
      </c>
      <c r="F3799" s="25">
        <f>IFERROR(INDEX(Pedidos!$B$2:$B$1801,MATCH(B3799,Pedidos!$A$2:$A$1801,0)),0)</f>
        <v/>
      </c>
      <c r="G3799" s="25">
        <f>IF(F3799=0,"",YEAR(F3799))</f>
        <v/>
      </c>
      <c r="H3799" s="25">
        <f>IF(F3799=0,"",MONTH(F3799))</f>
        <v/>
      </c>
      <c r="I3799" s="25">
        <f>IFERROR(INDEX(Pedidos!$E$2:$E$1801,MATCH(B3799,Pedidos!$A$2:$A$1801,0)),"")</f>
        <v/>
      </c>
      <c r="J3799" s="25">
        <f>IFERROR(INDEX(Pedidos!$C$2:$C$1801,MATCH(B3799,Pedidos!$A$2:$A$1801,0)),"")</f>
        <v/>
      </c>
      <c r="K3799" s="25">
        <f>IFERROR(INDEX(Pedidos!$D$2:$D$1801,MATCH(B3799,Pedidos!$A$2:$A$1801,0)),"")</f>
        <v/>
      </c>
      <c r="L3799" s="25">
        <f>IFERROR(INDEX(Pedidos!$F$2:$F$1801,MATCH(B3799,Pedidos!$A$2:$A$1801,0)),"")</f>
        <v/>
      </c>
      <c r="M3799" s="26">
        <f>IFERROR(INDEX(Pedidos!$G$2:$G$1801,MATCH(B3799,Pedidos!$A$2:$A$1801,0)),0)</f>
        <v/>
      </c>
      <c r="N3799" s="25">
        <f>IFERROR(INDEX(Produtos!$B$2:$B$71,MATCH(C3799,Produtos!$A$2:$A$71,0)),"")</f>
        <v/>
      </c>
      <c r="O3799" s="25">
        <f>IFERROR(INDEX(Produtos!$C$2:$C$71,MATCH(C3799,Produtos!$A$2:$A$71,0)),"")</f>
        <v/>
      </c>
      <c r="P3799" s="25">
        <f>IFERROR(INDEX(Produtos!$D$2:$D$71,MATCH(C3799,Produtos!$A$2:$A$71,0)),0)</f>
        <v/>
      </c>
      <c r="Q3799" s="25">
        <f>IFERROR(INDEX(Produtos!$E$2:$E$71,MATCH(C3799,Produtos!$A$2:$A$71,0)),0)</f>
        <v/>
      </c>
      <c r="R3799" s="27">
        <f>D3799*Q3799</f>
        <v/>
      </c>
      <c r="S3799" s="27">
        <f>R3799*E3799</f>
        <v/>
      </c>
      <c r="T3799" s="27">
        <f>(R3799-S3799)*M3799</f>
        <v/>
      </c>
      <c r="U3799" s="27">
        <f>R3799-S3799-T3799</f>
        <v/>
      </c>
      <c r="V3799" s="27">
        <f>D3799*P3799</f>
        <v/>
      </c>
      <c r="W3799" s="27">
        <f>U3799-V3799</f>
        <v/>
      </c>
      <c r="X3799" s="28">
        <f>IFERROR(W3799/U3799,0)</f>
        <v/>
      </c>
    </row>
    <row r="3800">
      <c r="A3800" s="21">
        <f>ItensPedido!A3800</f>
        <v/>
      </c>
      <c r="B3800" s="21">
        <f>ItensPedido!B3800</f>
        <v/>
      </c>
      <c r="C3800" s="21">
        <f>ItensPedido!C3800</f>
        <v/>
      </c>
      <c r="D3800" s="21">
        <f>ItensPedido!D3800</f>
        <v/>
      </c>
      <c r="E3800" s="22">
        <f>ItensPedido!E3800</f>
        <v/>
      </c>
      <c r="F3800" s="21">
        <f>IFERROR(INDEX(Pedidos!$B$2:$B$1801,MATCH(B3800,Pedidos!$A$2:$A$1801,0)),0)</f>
        <v/>
      </c>
      <c r="G3800" s="21">
        <f>IF(F3800=0,"",YEAR(F3800))</f>
        <v/>
      </c>
      <c r="H3800" s="21">
        <f>IF(F3800=0,"",MONTH(F3800))</f>
        <v/>
      </c>
      <c r="I3800" s="21">
        <f>IFERROR(INDEX(Pedidos!$E$2:$E$1801,MATCH(B3800,Pedidos!$A$2:$A$1801,0)),"")</f>
        <v/>
      </c>
      <c r="J3800" s="21">
        <f>IFERROR(INDEX(Pedidos!$C$2:$C$1801,MATCH(B3800,Pedidos!$A$2:$A$1801,0)),"")</f>
        <v/>
      </c>
      <c r="K3800" s="21">
        <f>IFERROR(INDEX(Pedidos!$D$2:$D$1801,MATCH(B3800,Pedidos!$A$2:$A$1801,0)),"")</f>
        <v/>
      </c>
      <c r="L3800" s="21">
        <f>IFERROR(INDEX(Pedidos!$F$2:$F$1801,MATCH(B3800,Pedidos!$A$2:$A$1801,0)),"")</f>
        <v/>
      </c>
      <c r="M3800" s="22">
        <f>IFERROR(INDEX(Pedidos!$G$2:$G$1801,MATCH(B3800,Pedidos!$A$2:$A$1801,0)),0)</f>
        <v/>
      </c>
      <c r="N3800" s="21">
        <f>IFERROR(INDEX(Produtos!$B$2:$B$71,MATCH(C3800,Produtos!$A$2:$A$71,0)),"")</f>
        <v/>
      </c>
      <c r="O3800" s="21">
        <f>IFERROR(INDEX(Produtos!$C$2:$C$71,MATCH(C3800,Produtos!$A$2:$A$71,0)),"")</f>
        <v/>
      </c>
      <c r="P3800" s="21">
        <f>IFERROR(INDEX(Produtos!$D$2:$D$71,MATCH(C3800,Produtos!$A$2:$A$71,0)),0)</f>
        <v/>
      </c>
      <c r="Q3800" s="21">
        <f>IFERROR(INDEX(Produtos!$E$2:$E$71,MATCH(C3800,Produtos!$A$2:$A$71,0)),0)</f>
        <v/>
      </c>
      <c r="R3800" s="23">
        <f>D3800*Q3800</f>
        <v/>
      </c>
      <c r="S3800" s="23">
        <f>R3800*E3800</f>
        <v/>
      </c>
      <c r="T3800" s="23">
        <f>(R3800-S3800)*M3800</f>
        <v/>
      </c>
      <c r="U3800" s="23">
        <f>R3800-S3800-T3800</f>
        <v/>
      </c>
      <c r="V3800" s="23">
        <f>D3800*P3800</f>
        <v/>
      </c>
      <c r="W3800" s="23">
        <f>U3800-V3800</f>
        <v/>
      </c>
      <c r="X3800" s="24">
        <f>IFERROR(W3800/U3800,0)</f>
        <v/>
      </c>
    </row>
    <row r="3801">
      <c r="A3801" s="25">
        <f>ItensPedido!A3801</f>
        <v/>
      </c>
      <c r="B3801" s="25">
        <f>ItensPedido!B3801</f>
        <v/>
      </c>
      <c r="C3801" s="25">
        <f>ItensPedido!C3801</f>
        <v/>
      </c>
      <c r="D3801" s="25">
        <f>ItensPedido!D3801</f>
        <v/>
      </c>
      <c r="E3801" s="26">
        <f>ItensPedido!E3801</f>
        <v/>
      </c>
      <c r="F3801" s="25">
        <f>IFERROR(INDEX(Pedidos!$B$2:$B$1801,MATCH(B3801,Pedidos!$A$2:$A$1801,0)),0)</f>
        <v/>
      </c>
      <c r="G3801" s="25">
        <f>IF(F3801=0,"",YEAR(F3801))</f>
        <v/>
      </c>
      <c r="H3801" s="25">
        <f>IF(F3801=0,"",MONTH(F3801))</f>
        <v/>
      </c>
      <c r="I3801" s="25">
        <f>IFERROR(INDEX(Pedidos!$E$2:$E$1801,MATCH(B3801,Pedidos!$A$2:$A$1801,0)),"")</f>
        <v/>
      </c>
      <c r="J3801" s="25">
        <f>IFERROR(INDEX(Pedidos!$C$2:$C$1801,MATCH(B3801,Pedidos!$A$2:$A$1801,0)),"")</f>
        <v/>
      </c>
      <c r="K3801" s="25">
        <f>IFERROR(INDEX(Pedidos!$D$2:$D$1801,MATCH(B3801,Pedidos!$A$2:$A$1801,0)),"")</f>
        <v/>
      </c>
      <c r="L3801" s="25">
        <f>IFERROR(INDEX(Pedidos!$F$2:$F$1801,MATCH(B3801,Pedidos!$A$2:$A$1801,0)),"")</f>
        <v/>
      </c>
      <c r="M3801" s="26">
        <f>IFERROR(INDEX(Pedidos!$G$2:$G$1801,MATCH(B3801,Pedidos!$A$2:$A$1801,0)),0)</f>
        <v/>
      </c>
      <c r="N3801" s="25">
        <f>IFERROR(INDEX(Produtos!$B$2:$B$71,MATCH(C3801,Produtos!$A$2:$A$71,0)),"")</f>
        <v/>
      </c>
      <c r="O3801" s="25">
        <f>IFERROR(INDEX(Produtos!$C$2:$C$71,MATCH(C3801,Produtos!$A$2:$A$71,0)),"")</f>
        <v/>
      </c>
      <c r="P3801" s="25">
        <f>IFERROR(INDEX(Produtos!$D$2:$D$71,MATCH(C3801,Produtos!$A$2:$A$71,0)),0)</f>
        <v/>
      </c>
      <c r="Q3801" s="25">
        <f>IFERROR(INDEX(Produtos!$E$2:$E$71,MATCH(C3801,Produtos!$A$2:$A$71,0)),0)</f>
        <v/>
      </c>
      <c r="R3801" s="27">
        <f>D3801*Q3801</f>
        <v/>
      </c>
      <c r="S3801" s="27">
        <f>R3801*E3801</f>
        <v/>
      </c>
      <c r="T3801" s="27">
        <f>(R3801-S3801)*M3801</f>
        <v/>
      </c>
      <c r="U3801" s="27">
        <f>R3801-S3801-T3801</f>
        <v/>
      </c>
      <c r="V3801" s="27">
        <f>D3801*P3801</f>
        <v/>
      </c>
      <c r="W3801" s="27">
        <f>U3801-V3801</f>
        <v/>
      </c>
      <c r="X3801" s="28">
        <f>IFERROR(W3801/U3801,0)</f>
        <v/>
      </c>
    </row>
    <row r="3802">
      <c r="A3802" s="21">
        <f>ItensPedido!A3802</f>
        <v/>
      </c>
      <c r="B3802" s="21">
        <f>ItensPedido!B3802</f>
        <v/>
      </c>
      <c r="C3802" s="21">
        <f>ItensPedido!C3802</f>
        <v/>
      </c>
      <c r="D3802" s="21">
        <f>ItensPedido!D3802</f>
        <v/>
      </c>
      <c r="E3802" s="22">
        <f>ItensPedido!E3802</f>
        <v/>
      </c>
      <c r="F3802" s="21">
        <f>IFERROR(INDEX(Pedidos!$B$2:$B$1801,MATCH(B3802,Pedidos!$A$2:$A$1801,0)),0)</f>
        <v/>
      </c>
      <c r="G3802" s="21">
        <f>IF(F3802=0,"",YEAR(F3802))</f>
        <v/>
      </c>
      <c r="H3802" s="21">
        <f>IF(F3802=0,"",MONTH(F3802))</f>
        <v/>
      </c>
      <c r="I3802" s="21">
        <f>IFERROR(INDEX(Pedidos!$E$2:$E$1801,MATCH(B3802,Pedidos!$A$2:$A$1801,0)),"")</f>
        <v/>
      </c>
      <c r="J3802" s="21">
        <f>IFERROR(INDEX(Pedidos!$C$2:$C$1801,MATCH(B3802,Pedidos!$A$2:$A$1801,0)),"")</f>
        <v/>
      </c>
      <c r="K3802" s="21">
        <f>IFERROR(INDEX(Pedidos!$D$2:$D$1801,MATCH(B3802,Pedidos!$A$2:$A$1801,0)),"")</f>
        <v/>
      </c>
      <c r="L3802" s="21">
        <f>IFERROR(INDEX(Pedidos!$F$2:$F$1801,MATCH(B3802,Pedidos!$A$2:$A$1801,0)),"")</f>
        <v/>
      </c>
      <c r="M3802" s="22">
        <f>IFERROR(INDEX(Pedidos!$G$2:$G$1801,MATCH(B3802,Pedidos!$A$2:$A$1801,0)),0)</f>
        <v/>
      </c>
      <c r="N3802" s="21">
        <f>IFERROR(INDEX(Produtos!$B$2:$B$71,MATCH(C3802,Produtos!$A$2:$A$71,0)),"")</f>
        <v/>
      </c>
      <c r="O3802" s="21">
        <f>IFERROR(INDEX(Produtos!$C$2:$C$71,MATCH(C3802,Produtos!$A$2:$A$71,0)),"")</f>
        <v/>
      </c>
      <c r="P3802" s="21">
        <f>IFERROR(INDEX(Produtos!$D$2:$D$71,MATCH(C3802,Produtos!$A$2:$A$71,0)),0)</f>
        <v/>
      </c>
      <c r="Q3802" s="21">
        <f>IFERROR(INDEX(Produtos!$E$2:$E$71,MATCH(C3802,Produtos!$A$2:$A$71,0)),0)</f>
        <v/>
      </c>
      <c r="R3802" s="23">
        <f>D3802*Q3802</f>
        <v/>
      </c>
      <c r="S3802" s="23">
        <f>R3802*E3802</f>
        <v/>
      </c>
      <c r="T3802" s="23">
        <f>(R3802-S3802)*M3802</f>
        <v/>
      </c>
      <c r="U3802" s="23">
        <f>R3802-S3802-T3802</f>
        <v/>
      </c>
      <c r="V3802" s="23">
        <f>D3802*P3802</f>
        <v/>
      </c>
      <c r="W3802" s="23">
        <f>U3802-V3802</f>
        <v/>
      </c>
      <c r="X3802" s="24">
        <f>IFERROR(W3802/U3802,0)</f>
        <v/>
      </c>
    </row>
    <row r="3803">
      <c r="A3803" s="25">
        <f>ItensPedido!A3803</f>
        <v/>
      </c>
      <c r="B3803" s="25">
        <f>ItensPedido!B3803</f>
        <v/>
      </c>
      <c r="C3803" s="25">
        <f>ItensPedido!C3803</f>
        <v/>
      </c>
      <c r="D3803" s="25">
        <f>ItensPedido!D3803</f>
        <v/>
      </c>
      <c r="E3803" s="26">
        <f>ItensPedido!E3803</f>
        <v/>
      </c>
      <c r="F3803" s="25">
        <f>IFERROR(INDEX(Pedidos!$B$2:$B$1801,MATCH(B3803,Pedidos!$A$2:$A$1801,0)),0)</f>
        <v/>
      </c>
      <c r="G3803" s="25">
        <f>IF(F3803=0,"",YEAR(F3803))</f>
        <v/>
      </c>
      <c r="H3803" s="25">
        <f>IF(F3803=0,"",MONTH(F3803))</f>
        <v/>
      </c>
      <c r="I3803" s="25">
        <f>IFERROR(INDEX(Pedidos!$E$2:$E$1801,MATCH(B3803,Pedidos!$A$2:$A$1801,0)),"")</f>
        <v/>
      </c>
      <c r="J3803" s="25">
        <f>IFERROR(INDEX(Pedidos!$C$2:$C$1801,MATCH(B3803,Pedidos!$A$2:$A$1801,0)),"")</f>
        <v/>
      </c>
      <c r="K3803" s="25">
        <f>IFERROR(INDEX(Pedidos!$D$2:$D$1801,MATCH(B3803,Pedidos!$A$2:$A$1801,0)),"")</f>
        <v/>
      </c>
      <c r="L3803" s="25">
        <f>IFERROR(INDEX(Pedidos!$F$2:$F$1801,MATCH(B3803,Pedidos!$A$2:$A$1801,0)),"")</f>
        <v/>
      </c>
      <c r="M3803" s="26">
        <f>IFERROR(INDEX(Pedidos!$G$2:$G$1801,MATCH(B3803,Pedidos!$A$2:$A$1801,0)),0)</f>
        <v/>
      </c>
      <c r="N3803" s="25">
        <f>IFERROR(INDEX(Produtos!$B$2:$B$71,MATCH(C3803,Produtos!$A$2:$A$71,0)),"")</f>
        <v/>
      </c>
      <c r="O3803" s="25">
        <f>IFERROR(INDEX(Produtos!$C$2:$C$71,MATCH(C3803,Produtos!$A$2:$A$71,0)),"")</f>
        <v/>
      </c>
      <c r="P3803" s="25">
        <f>IFERROR(INDEX(Produtos!$D$2:$D$71,MATCH(C3803,Produtos!$A$2:$A$71,0)),0)</f>
        <v/>
      </c>
      <c r="Q3803" s="25">
        <f>IFERROR(INDEX(Produtos!$E$2:$E$71,MATCH(C3803,Produtos!$A$2:$A$71,0)),0)</f>
        <v/>
      </c>
      <c r="R3803" s="27">
        <f>D3803*Q3803</f>
        <v/>
      </c>
      <c r="S3803" s="27">
        <f>R3803*E3803</f>
        <v/>
      </c>
      <c r="T3803" s="27">
        <f>(R3803-S3803)*M3803</f>
        <v/>
      </c>
      <c r="U3803" s="27">
        <f>R3803-S3803-T3803</f>
        <v/>
      </c>
      <c r="V3803" s="27">
        <f>D3803*P3803</f>
        <v/>
      </c>
      <c r="W3803" s="27">
        <f>U3803-V3803</f>
        <v/>
      </c>
      <c r="X3803" s="28">
        <f>IFERROR(W3803/U3803,0)</f>
        <v/>
      </c>
    </row>
    <row r="3804">
      <c r="A3804" s="21">
        <f>ItensPedido!A3804</f>
        <v/>
      </c>
      <c r="B3804" s="21">
        <f>ItensPedido!B3804</f>
        <v/>
      </c>
      <c r="C3804" s="21">
        <f>ItensPedido!C3804</f>
        <v/>
      </c>
      <c r="D3804" s="21">
        <f>ItensPedido!D3804</f>
        <v/>
      </c>
      <c r="E3804" s="22">
        <f>ItensPedido!E3804</f>
        <v/>
      </c>
      <c r="F3804" s="21">
        <f>IFERROR(INDEX(Pedidos!$B$2:$B$1801,MATCH(B3804,Pedidos!$A$2:$A$1801,0)),0)</f>
        <v/>
      </c>
      <c r="G3804" s="21">
        <f>IF(F3804=0,"",YEAR(F3804))</f>
        <v/>
      </c>
      <c r="H3804" s="21">
        <f>IF(F3804=0,"",MONTH(F3804))</f>
        <v/>
      </c>
      <c r="I3804" s="21">
        <f>IFERROR(INDEX(Pedidos!$E$2:$E$1801,MATCH(B3804,Pedidos!$A$2:$A$1801,0)),"")</f>
        <v/>
      </c>
      <c r="J3804" s="21">
        <f>IFERROR(INDEX(Pedidos!$C$2:$C$1801,MATCH(B3804,Pedidos!$A$2:$A$1801,0)),"")</f>
        <v/>
      </c>
      <c r="K3804" s="21">
        <f>IFERROR(INDEX(Pedidos!$D$2:$D$1801,MATCH(B3804,Pedidos!$A$2:$A$1801,0)),"")</f>
        <v/>
      </c>
      <c r="L3804" s="21">
        <f>IFERROR(INDEX(Pedidos!$F$2:$F$1801,MATCH(B3804,Pedidos!$A$2:$A$1801,0)),"")</f>
        <v/>
      </c>
      <c r="M3804" s="22">
        <f>IFERROR(INDEX(Pedidos!$G$2:$G$1801,MATCH(B3804,Pedidos!$A$2:$A$1801,0)),0)</f>
        <v/>
      </c>
      <c r="N3804" s="21">
        <f>IFERROR(INDEX(Produtos!$B$2:$B$71,MATCH(C3804,Produtos!$A$2:$A$71,0)),"")</f>
        <v/>
      </c>
      <c r="O3804" s="21">
        <f>IFERROR(INDEX(Produtos!$C$2:$C$71,MATCH(C3804,Produtos!$A$2:$A$71,0)),"")</f>
        <v/>
      </c>
      <c r="P3804" s="21">
        <f>IFERROR(INDEX(Produtos!$D$2:$D$71,MATCH(C3804,Produtos!$A$2:$A$71,0)),0)</f>
        <v/>
      </c>
      <c r="Q3804" s="21">
        <f>IFERROR(INDEX(Produtos!$E$2:$E$71,MATCH(C3804,Produtos!$A$2:$A$71,0)),0)</f>
        <v/>
      </c>
      <c r="R3804" s="23">
        <f>D3804*Q3804</f>
        <v/>
      </c>
      <c r="S3804" s="23">
        <f>R3804*E3804</f>
        <v/>
      </c>
      <c r="T3804" s="23">
        <f>(R3804-S3804)*M3804</f>
        <v/>
      </c>
      <c r="U3804" s="23">
        <f>R3804-S3804-T3804</f>
        <v/>
      </c>
      <c r="V3804" s="23">
        <f>D3804*P3804</f>
        <v/>
      </c>
      <c r="W3804" s="23">
        <f>U3804-V3804</f>
        <v/>
      </c>
      <c r="X3804" s="24">
        <f>IFERROR(W3804/U3804,0)</f>
        <v/>
      </c>
    </row>
    <row r="3805">
      <c r="A3805" s="25">
        <f>ItensPedido!A3805</f>
        <v/>
      </c>
      <c r="B3805" s="25">
        <f>ItensPedido!B3805</f>
        <v/>
      </c>
      <c r="C3805" s="25">
        <f>ItensPedido!C3805</f>
        <v/>
      </c>
      <c r="D3805" s="25">
        <f>ItensPedido!D3805</f>
        <v/>
      </c>
      <c r="E3805" s="26">
        <f>ItensPedido!E3805</f>
        <v/>
      </c>
      <c r="F3805" s="25">
        <f>IFERROR(INDEX(Pedidos!$B$2:$B$1801,MATCH(B3805,Pedidos!$A$2:$A$1801,0)),0)</f>
        <v/>
      </c>
      <c r="G3805" s="25">
        <f>IF(F3805=0,"",YEAR(F3805))</f>
        <v/>
      </c>
      <c r="H3805" s="25">
        <f>IF(F3805=0,"",MONTH(F3805))</f>
        <v/>
      </c>
      <c r="I3805" s="25">
        <f>IFERROR(INDEX(Pedidos!$E$2:$E$1801,MATCH(B3805,Pedidos!$A$2:$A$1801,0)),"")</f>
        <v/>
      </c>
      <c r="J3805" s="25">
        <f>IFERROR(INDEX(Pedidos!$C$2:$C$1801,MATCH(B3805,Pedidos!$A$2:$A$1801,0)),"")</f>
        <v/>
      </c>
      <c r="K3805" s="25">
        <f>IFERROR(INDEX(Pedidos!$D$2:$D$1801,MATCH(B3805,Pedidos!$A$2:$A$1801,0)),"")</f>
        <v/>
      </c>
      <c r="L3805" s="25">
        <f>IFERROR(INDEX(Pedidos!$F$2:$F$1801,MATCH(B3805,Pedidos!$A$2:$A$1801,0)),"")</f>
        <v/>
      </c>
      <c r="M3805" s="26">
        <f>IFERROR(INDEX(Pedidos!$G$2:$G$1801,MATCH(B3805,Pedidos!$A$2:$A$1801,0)),0)</f>
        <v/>
      </c>
      <c r="N3805" s="25">
        <f>IFERROR(INDEX(Produtos!$B$2:$B$71,MATCH(C3805,Produtos!$A$2:$A$71,0)),"")</f>
        <v/>
      </c>
      <c r="O3805" s="25">
        <f>IFERROR(INDEX(Produtos!$C$2:$C$71,MATCH(C3805,Produtos!$A$2:$A$71,0)),"")</f>
        <v/>
      </c>
      <c r="P3805" s="25">
        <f>IFERROR(INDEX(Produtos!$D$2:$D$71,MATCH(C3805,Produtos!$A$2:$A$71,0)),0)</f>
        <v/>
      </c>
      <c r="Q3805" s="25">
        <f>IFERROR(INDEX(Produtos!$E$2:$E$71,MATCH(C3805,Produtos!$A$2:$A$71,0)),0)</f>
        <v/>
      </c>
      <c r="R3805" s="27">
        <f>D3805*Q3805</f>
        <v/>
      </c>
      <c r="S3805" s="27">
        <f>R3805*E3805</f>
        <v/>
      </c>
      <c r="T3805" s="27">
        <f>(R3805-S3805)*M3805</f>
        <v/>
      </c>
      <c r="U3805" s="27">
        <f>R3805-S3805-T3805</f>
        <v/>
      </c>
      <c r="V3805" s="27">
        <f>D3805*P3805</f>
        <v/>
      </c>
      <c r="W3805" s="27">
        <f>U3805-V3805</f>
        <v/>
      </c>
      <c r="X3805" s="28">
        <f>IFERROR(W3805/U3805,0)</f>
        <v/>
      </c>
    </row>
    <row r="3806">
      <c r="A3806" s="21">
        <f>ItensPedido!A3806</f>
        <v/>
      </c>
      <c r="B3806" s="21">
        <f>ItensPedido!B3806</f>
        <v/>
      </c>
      <c r="C3806" s="21">
        <f>ItensPedido!C3806</f>
        <v/>
      </c>
      <c r="D3806" s="21">
        <f>ItensPedido!D3806</f>
        <v/>
      </c>
      <c r="E3806" s="22">
        <f>ItensPedido!E3806</f>
        <v/>
      </c>
      <c r="F3806" s="21">
        <f>IFERROR(INDEX(Pedidos!$B$2:$B$1801,MATCH(B3806,Pedidos!$A$2:$A$1801,0)),0)</f>
        <v/>
      </c>
      <c r="G3806" s="21">
        <f>IF(F3806=0,"",YEAR(F3806))</f>
        <v/>
      </c>
      <c r="H3806" s="21">
        <f>IF(F3806=0,"",MONTH(F3806))</f>
        <v/>
      </c>
      <c r="I3806" s="21">
        <f>IFERROR(INDEX(Pedidos!$E$2:$E$1801,MATCH(B3806,Pedidos!$A$2:$A$1801,0)),"")</f>
        <v/>
      </c>
      <c r="J3806" s="21">
        <f>IFERROR(INDEX(Pedidos!$C$2:$C$1801,MATCH(B3806,Pedidos!$A$2:$A$1801,0)),"")</f>
        <v/>
      </c>
      <c r="K3806" s="21">
        <f>IFERROR(INDEX(Pedidos!$D$2:$D$1801,MATCH(B3806,Pedidos!$A$2:$A$1801,0)),"")</f>
        <v/>
      </c>
      <c r="L3806" s="21">
        <f>IFERROR(INDEX(Pedidos!$F$2:$F$1801,MATCH(B3806,Pedidos!$A$2:$A$1801,0)),"")</f>
        <v/>
      </c>
      <c r="M3806" s="22">
        <f>IFERROR(INDEX(Pedidos!$G$2:$G$1801,MATCH(B3806,Pedidos!$A$2:$A$1801,0)),0)</f>
        <v/>
      </c>
      <c r="N3806" s="21">
        <f>IFERROR(INDEX(Produtos!$B$2:$B$71,MATCH(C3806,Produtos!$A$2:$A$71,0)),"")</f>
        <v/>
      </c>
      <c r="O3806" s="21">
        <f>IFERROR(INDEX(Produtos!$C$2:$C$71,MATCH(C3806,Produtos!$A$2:$A$71,0)),"")</f>
        <v/>
      </c>
      <c r="P3806" s="21">
        <f>IFERROR(INDEX(Produtos!$D$2:$D$71,MATCH(C3806,Produtos!$A$2:$A$71,0)),0)</f>
        <v/>
      </c>
      <c r="Q3806" s="21">
        <f>IFERROR(INDEX(Produtos!$E$2:$E$71,MATCH(C3806,Produtos!$A$2:$A$71,0)),0)</f>
        <v/>
      </c>
      <c r="R3806" s="23">
        <f>D3806*Q3806</f>
        <v/>
      </c>
      <c r="S3806" s="23">
        <f>R3806*E3806</f>
        <v/>
      </c>
      <c r="T3806" s="23">
        <f>(R3806-S3806)*M3806</f>
        <v/>
      </c>
      <c r="U3806" s="23">
        <f>R3806-S3806-T3806</f>
        <v/>
      </c>
      <c r="V3806" s="23">
        <f>D3806*P3806</f>
        <v/>
      </c>
      <c r="W3806" s="23">
        <f>U3806-V3806</f>
        <v/>
      </c>
      <c r="X3806" s="24">
        <f>IFERROR(W3806/U3806,0)</f>
        <v/>
      </c>
    </row>
    <row r="3807">
      <c r="A3807" s="25">
        <f>ItensPedido!A3807</f>
        <v/>
      </c>
      <c r="B3807" s="25">
        <f>ItensPedido!B3807</f>
        <v/>
      </c>
      <c r="C3807" s="25">
        <f>ItensPedido!C3807</f>
        <v/>
      </c>
      <c r="D3807" s="25">
        <f>ItensPedido!D3807</f>
        <v/>
      </c>
      <c r="E3807" s="26">
        <f>ItensPedido!E3807</f>
        <v/>
      </c>
      <c r="F3807" s="25">
        <f>IFERROR(INDEX(Pedidos!$B$2:$B$1801,MATCH(B3807,Pedidos!$A$2:$A$1801,0)),0)</f>
        <v/>
      </c>
      <c r="G3807" s="25">
        <f>IF(F3807=0,"",YEAR(F3807))</f>
        <v/>
      </c>
      <c r="H3807" s="25">
        <f>IF(F3807=0,"",MONTH(F3807))</f>
        <v/>
      </c>
      <c r="I3807" s="25">
        <f>IFERROR(INDEX(Pedidos!$E$2:$E$1801,MATCH(B3807,Pedidos!$A$2:$A$1801,0)),"")</f>
        <v/>
      </c>
      <c r="J3807" s="25">
        <f>IFERROR(INDEX(Pedidos!$C$2:$C$1801,MATCH(B3807,Pedidos!$A$2:$A$1801,0)),"")</f>
        <v/>
      </c>
      <c r="K3807" s="25">
        <f>IFERROR(INDEX(Pedidos!$D$2:$D$1801,MATCH(B3807,Pedidos!$A$2:$A$1801,0)),"")</f>
        <v/>
      </c>
      <c r="L3807" s="25">
        <f>IFERROR(INDEX(Pedidos!$F$2:$F$1801,MATCH(B3807,Pedidos!$A$2:$A$1801,0)),"")</f>
        <v/>
      </c>
      <c r="M3807" s="26">
        <f>IFERROR(INDEX(Pedidos!$G$2:$G$1801,MATCH(B3807,Pedidos!$A$2:$A$1801,0)),0)</f>
        <v/>
      </c>
      <c r="N3807" s="25">
        <f>IFERROR(INDEX(Produtos!$B$2:$B$71,MATCH(C3807,Produtos!$A$2:$A$71,0)),"")</f>
        <v/>
      </c>
      <c r="O3807" s="25">
        <f>IFERROR(INDEX(Produtos!$C$2:$C$71,MATCH(C3807,Produtos!$A$2:$A$71,0)),"")</f>
        <v/>
      </c>
      <c r="P3807" s="25">
        <f>IFERROR(INDEX(Produtos!$D$2:$D$71,MATCH(C3807,Produtos!$A$2:$A$71,0)),0)</f>
        <v/>
      </c>
      <c r="Q3807" s="25">
        <f>IFERROR(INDEX(Produtos!$E$2:$E$71,MATCH(C3807,Produtos!$A$2:$A$71,0)),0)</f>
        <v/>
      </c>
      <c r="R3807" s="27">
        <f>D3807*Q3807</f>
        <v/>
      </c>
      <c r="S3807" s="27">
        <f>R3807*E3807</f>
        <v/>
      </c>
      <c r="T3807" s="27">
        <f>(R3807-S3807)*M3807</f>
        <v/>
      </c>
      <c r="U3807" s="27">
        <f>R3807-S3807-T3807</f>
        <v/>
      </c>
      <c r="V3807" s="27">
        <f>D3807*P3807</f>
        <v/>
      </c>
      <c r="W3807" s="27">
        <f>U3807-V3807</f>
        <v/>
      </c>
      <c r="X3807" s="28">
        <f>IFERROR(W3807/U3807,0)</f>
        <v/>
      </c>
    </row>
    <row r="3808">
      <c r="A3808" s="21">
        <f>ItensPedido!A3808</f>
        <v/>
      </c>
      <c r="B3808" s="21">
        <f>ItensPedido!B3808</f>
        <v/>
      </c>
      <c r="C3808" s="21">
        <f>ItensPedido!C3808</f>
        <v/>
      </c>
      <c r="D3808" s="21">
        <f>ItensPedido!D3808</f>
        <v/>
      </c>
      <c r="E3808" s="22">
        <f>ItensPedido!E3808</f>
        <v/>
      </c>
      <c r="F3808" s="21">
        <f>IFERROR(INDEX(Pedidos!$B$2:$B$1801,MATCH(B3808,Pedidos!$A$2:$A$1801,0)),0)</f>
        <v/>
      </c>
      <c r="G3808" s="21">
        <f>IF(F3808=0,"",YEAR(F3808))</f>
        <v/>
      </c>
      <c r="H3808" s="21">
        <f>IF(F3808=0,"",MONTH(F3808))</f>
        <v/>
      </c>
      <c r="I3808" s="21">
        <f>IFERROR(INDEX(Pedidos!$E$2:$E$1801,MATCH(B3808,Pedidos!$A$2:$A$1801,0)),"")</f>
        <v/>
      </c>
      <c r="J3808" s="21">
        <f>IFERROR(INDEX(Pedidos!$C$2:$C$1801,MATCH(B3808,Pedidos!$A$2:$A$1801,0)),"")</f>
        <v/>
      </c>
      <c r="K3808" s="21">
        <f>IFERROR(INDEX(Pedidos!$D$2:$D$1801,MATCH(B3808,Pedidos!$A$2:$A$1801,0)),"")</f>
        <v/>
      </c>
      <c r="L3808" s="21">
        <f>IFERROR(INDEX(Pedidos!$F$2:$F$1801,MATCH(B3808,Pedidos!$A$2:$A$1801,0)),"")</f>
        <v/>
      </c>
      <c r="M3808" s="22">
        <f>IFERROR(INDEX(Pedidos!$G$2:$G$1801,MATCH(B3808,Pedidos!$A$2:$A$1801,0)),0)</f>
        <v/>
      </c>
      <c r="N3808" s="21">
        <f>IFERROR(INDEX(Produtos!$B$2:$B$71,MATCH(C3808,Produtos!$A$2:$A$71,0)),"")</f>
        <v/>
      </c>
      <c r="O3808" s="21">
        <f>IFERROR(INDEX(Produtos!$C$2:$C$71,MATCH(C3808,Produtos!$A$2:$A$71,0)),"")</f>
        <v/>
      </c>
      <c r="P3808" s="21">
        <f>IFERROR(INDEX(Produtos!$D$2:$D$71,MATCH(C3808,Produtos!$A$2:$A$71,0)),0)</f>
        <v/>
      </c>
      <c r="Q3808" s="21">
        <f>IFERROR(INDEX(Produtos!$E$2:$E$71,MATCH(C3808,Produtos!$A$2:$A$71,0)),0)</f>
        <v/>
      </c>
      <c r="R3808" s="23">
        <f>D3808*Q3808</f>
        <v/>
      </c>
      <c r="S3808" s="23">
        <f>R3808*E3808</f>
        <v/>
      </c>
      <c r="T3808" s="23">
        <f>(R3808-S3808)*M3808</f>
        <v/>
      </c>
      <c r="U3808" s="23">
        <f>R3808-S3808-T3808</f>
        <v/>
      </c>
      <c r="V3808" s="23">
        <f>D3808*P3808</f>
        <v/>
      </c>
      <c r="W3808" s="23">
        <f>U3808-V3808</f>
        <v/>
      </c>
      <c r="X3808" s="24">
        <f>IFERROR(W3808/U3808,0)</f>
        <v/>
      </c>
    </row>
    <row r="3809">
      <c r="A3809" s="25">
        <f>ItensPedido!A3809</f>
        <v/>
      </c>
      <c r="B3809" s="25">
        <f>ItensPedido!B3809</f>
        <v/>
      </c>
      <c r="C3809" s="25">
        <f>ItensPedido!C3809</f>
        <v/>
      </c>
      <c r="D3809" s="25">
        <f>ItensPedido!D3809</f>
        <v/>
      </c>
      <c r="E3809" s="26">
        <f>ItensPedido!E3809</f>
        <v/>
      </c>
      <c r="F3809" s="25">
        <f>IFERROR(INDEX(Pedidos!$B$2:$B$1801,MATCH(B3809,Pedidos!$A$2:$A$1801,0)),0)</f>
        <v/>
      </c>
      <c r="G3809" s="25">
        <f>IF(F3809=0,"",YEAR(F3809))</f>
        <v/>
      </c>
      <c r="H3809" s="25">
        <f>IF(F3809=0,"",MONTH(F3809))</f>
        <v/>
      </c>
      <c r="I3809" s="25">
        <f>IFERROR(INDEX(Pedidos!$E$2:$E$1801,MATCH(B3809,Pedidos!$A$2:$A$1801,0)),"")</f>
        <v/>
      </c>
      <c r="J3809" s="25">
        <f>IFERROR(INDEX(Pedidos!$C$2:$C$1801,MATCH(B3809,Pedidos!$A$2:$A$1801,0)),"")</f>
        <v/>
      </c>
      <c r="K3809" s="25">
        <f>IFERROR(INDEX(Pedidos!$D$2:$D$1801,MATCH(B3809,Pedidos!$A$2:$A$1801,0)),"")</f>
        <v/>
      </c>
      <c r="L3809" s="25">
        <f>IFERROR(INDEX(Pedidos!$F$2:$F$1801,MATCH(B3809,Pedidos!$A$2:$A$1801,0)),"")</f>
        <v/>
      </c>
      <c r="M3809" s="26">
        <f>IFERROR(INDEX(Pedidos!$G$2:$G$1801,MATCH(B3809,Pedidos!$A$2:$A$1801,0)),0)</f>
        <v/>
      </c>
      <c r="N3809" s="25">
        <f>IFERROR(INDEX(Produtos!$B$2:$B$71,MATCH(C3809,Produtos!$A$2:$A$71,0)),"")</f>
        <v/>
      </c>
      <c r="O3809" s="25">
        <f>IFERROR(INDEX(Produtos!$C$2:$C$71,MATCH(C3809,Produtos!$A$2:$A$71,0)),"")</f>
        <v/>
      </c>
      <c r="P3809" s="25">
        <f>IFERROR(INDEX(Produtos!$D$2:$D$71,MATCH(C3809,Produtos!$A$2:$A$71,0)),0)</f>
        <v/>
      </c>
      <c r="Q3809" s="25">
        <f>IFERROR(INDEX(Produtos!$E$2:$E$71,MATCH(C3809,Produtos!$A$2:$A$71,0)),0)</f>
        <v/>
      </c>
      <c r="R3809" s="27">
        <f>D3809*Q3809</f>
        <v/>
      </c>
      <c r="S3809" s="27">
        <f>R3809*E3809</f>
        <v/>
      </c>
      <c r="T3809" s="27">
        <f>(R3809-S3809)*M3809</f>
        <v/>
      </c>
      <c r="U3809" s="27">
        <f>R3809-S3809-T3809</f>
        <v/>
      </c>
      <c r="V3809" s="27">
        <f>D3809*P3809</f>
        <v/>
      </c>
      <c r="W3809" s="27">
        <f>U3809-V3809</f>
        <v/>
      </c>
      <c r="X3809" s="28">
        <f>IFERROR(W3809/U3809,0)</f>
        <v/>
      </c>
    </row>
    <row r="3810">
      <c r="A3810" s="21">
        <f>ItensPedido!A3810</f>
        <v/>
      </c>
      <c r="B3810" s="21">
        <f>ItensPedido!B3810</f>
        <v/>
      </c>
      <c r="C3810" s="21">
        <f>ItensPedido!C3810</f>
        <v/>
      </c>
      <c r="D3810" s="21">
        <f>ItensPedido!D3810</f>
        <v/>
      </c>
      <c r="E3810" s="22">
        <f>ItensPedido!E3810</f>
        <v/>
      </c>
      <c r="F3810" s="21">
        <f>IFERROR(INDEX(Pedidos!$B$2:$B$1801,MATCH(B3810,Pedidos!$A$2:$A$1801,0)),0)</f>
        <v/>
      </c>
      <c r="G3810" s="21">
        <f>IF(F3810=0,"",YEAR(F3810))</f>
        <v/>
      </c>
      <c r="H3810" s="21">
        <f>IF(F3810=0,"",MONTH(F3810))</f>
        <v/>
      </c>
      <c r="I3810" s="21">
        <f>IFERROR(INDEX(Pedidos!$E$2:$E$1801,MATCH(B3810,Pedidos!$A$2:$A$1801,0)),"")</f>
        <v/>
      </c>
      <c r="J3810" s="21">
        <f>IFERROR(INDEX(Pedidos!$C$2:$C$1801,MATCH(B3810,Pedidos!$A$2:$A$1801,0)),"")</f>
        <v/>
      </c>
      <c r="K3810" s="21">
        <f>IFERROR(INDEX(Pedidos!$D$2:$D$1801,MATCH(B3810,Pedidos!$A$2:$A$1801,0)),"")</f>
        <v/>
      </c>
      <c r="L3810" s="21">
        <f>IFERROR(INDEX(Pedidos!$F$2:$F$1801,MATCH(B3810,Pedidos!$A$2:$A$1801,0)),"")</f>
        <v/>
      </c>
      <c r="M3810" s="22">
        <f>IFERROR(INDEX(Pedidos!$G$2:$G$1801,MATCH(B3810,Pedidos!$A$2:$A$1801,0)),0)</f>
        <v/>
      </c>
      <c r="N3810" s="21">
        <f>IFERROR(INDEX(Produtos!$B$2:$B$71,MATCH(C3810,Produtos!$A$2:$A$71,0)),"")</f>
        <v/>
      </c>
      <c r="O3810" s="21">
        <f>IFERROR(INDEX(Produtos!$C$2:$C$71,MATCH(C3810,Produtos!$A$2:$A$71,0)),"")</f>
        <v/>
      </c>
      <c r="P3810" s="21">
        <f>IFERROR(INDEX(Produtos!$D$2:$D$71,MATCH(C3810,Produtos!$A$2:$A$71,0)),0)</f>
        <v/>
      </c>
      <c r="Q3810" s="21">
        <f>IFERROR(INDEX(Produtos!$E$2:$E$71,MATCH(C3810,Produtos!$A$2:$A$71,0)),0)</f>
        <v/>
      </c>
      <c r="R3810" s="23">
        <f>D3810*Q3810</f>
        <v/>
      </c>
      <c r="S3810" s="23">
        <f>R3810*E3810</f>
        <v/>
      </c>
      <c r="T3810" s="23">
        <f>(R3810-S3810)*M3810</f>
        <v/>
      </c>
      <c r="U3810" s="23">
        <f>R3810-S3810-T3810</f>
        <v/>
      </c>
      <c r="V3810" s="23">
        <f>D3810*P3810</f>
        <v/>
      </c>
      <c r="W3810" s="23">
        <f>U3810-V3810</f>
        <v/>
      </c>
      <c r="X3810" s="24">
        <f>IFERROR(W3810/U3810,0)</f>
        <v/>
      </c>
    </row>
    <row r="3811">
      <c r="A3811" s="25">
        <f>ItensPedido!A3811</f>
        <v/>
      </c>
      <c r="B3811" s="25">
        <f>ItensPedido!B3811</f>
        <v/>
      </c>
      <c r="C3811" s="25">
        <f>ItensPedido!C3811</f>
        <v/>
      </c>
      <c r="D3811" s="25">
        <f>ItensPedido!D3811</f>
        <v/>
      </c>
      <c r="E3811" s="26">
        <f>ItensPedido!E3811</f>
        <v/>
      </c>
      <c r="F3811" s="25">
        <f>IFERROR(INDEX(Pedidos!$B$2:$B$1801,MATCH(B3811,Pedidos!$A$2:$A$1801,0)),0)</f>
        <v/>
      </c>
      <c r="G3811" s="25">
        <f>IF(F3811=0,"",YEAR(F3811))</f>
        <v/>
      </c>
      <c r="H3811" s="25">
        <f>IF(F3811=0,"",MONTH(F3811))</f>
        <v/>
      </c>
      <c r="I3811" s="25">
        <f>IFERROR(INDEX(Pedidos!$E$2:$E$1801,MATCH(B3811,Pedidos!$A$2:$A$1801,0)),"")</f>
        <v/>
      </c>
      <c r="J3811" s="25">
        <f>IFERROR(INDEX(Pedidos!$C$2:$C$1801,MATCH(B3811,Pedidos!$A$2:$A$1801,0)),"")</f>
        <v/>
      </c>
      <c r="K3811" s="25">
        <f>IFERROR(INDEX(Pedidos!$D$2:$D$1801,MATCH(B3811,Pedidos!$A$2:$A$1801,0)),"")</f>
        <v/>
      </c>
      <c r="L3811" s="25">
        <f>IFERROR(INDEX(Pedidos!$F$2:$F$1801,MATCH(B3811,Pedidos!$A$2:$A$1801,0)),"")</f>
        <v/>
      </c>
      <c r="M3811" s="26">
        <f>IFERROR(INDEX(Pedidos!$G$2:$G$1801,MATCH(B3811,Pedidos!$A$2:$A$1801,0)),0)</f>
        <v/>
      </c>
      <c r="N3811" s="25">
        <f>IFERROR(INDEX(Produtos!$B$2:$B$71,MATCH(C3811,Produtos!$A$2:$A$71,0)),"")</f>
        <v/>
      </c>
      <c r="O3811" s="25">
        <f>IFERROR(INDEX(Produtos!$C$2:$C$71,MATCH(C3811,Produtos!$A$2:$A$71,0)),"")</f>
        <v/>
      </c>
      <c r="P3811" s="25">
        <f>IFERROR(INDEX(Produtos!$D$2:$D$71,MATCH(C3811,Produtos!$A$2:$A$71,0)),0)</f>
        <v/>
      </c>
      <c r="Q3811" s="25">
        <f>IFERROR(INDEX(Produtos!$E$2:$E$71,MATCH(C3811,Produtos!$A$2:$A$71,0)),0)</f>
        <v/>
      </c>
      <c r="R3811" s="27">
        <f>D3811*Q3811</f>
        <v/>
      </c>
      <c r="S3811" s="27">
        <f>R3811*E3811</f>
        <v/>
      </c>
      <c r="T3811" s="27">
        <f>(R3811-S3811)*M3811</f>
        <v/>
      </c>
      <c r="U3811" s="27">
        <f>R3811-S3811-T3811</f>
        <v/>
      </c>
      <c r="V3811" s="27">
        <f>D3811*P3811</f>
        <v/>
      </c>
      <c r="W3811" s="27">
        <f>U3811-V3811</f>
        <v/>
      </c>
      <c r="X3811" s="28">
        <f>IFERROR(W3811/U3811,0)</f>
        <v/>
      </c>
    </row>
    <row r="3812">
      <c r="A3812" s="21">
        <f>ItensPedido!A3812</f>
        <v/>
      </c>
      <c r="B3812" s="21">
        <f>ItensPedido!B3812</f>
        <v/>
      </c>
      <c r="C3812" s="21">
        <f>ItensPedido!C3812</f>
        <v/>
      </c>
      <c r="D3812" s="21">
        <f>ItensPedido!D3812</f>
        <v/>
      </c>
      <c r="E3812" s="22">
        <f>ItensPedido!E3812</f>
        <v/>
      </c>
      <c r="F3812" s="21">
        <f>IFERROR(INDEX(Pedidos!$B$2:$B$1801,MATCH(B3812,Pedidos!$A$2:$A$1801,0)),0)</f>
        <v/>
      </c>
      <c r="G3812" s="21">
        <f>IF(F3812=0,"",YEAR(F3812))</f>
        <v/>
      </c>
      <c r="H3812" s="21">
        <f>IF(F3812=0,"",MONTH(F3812))</f>
        <v/>
      </c>
      <c r="I3812" s="21">
        <f>IFERROR(INDEX(Pedidos!$E$2:$E$1801,MATCH(B3812,Pedidos!$A$2:$A$1801,0)),"")</f>
        <v/>
      </c>
      <c r="J3812" s="21">
        <f>IFERROR(INDEX(Pedidos!$C$2:$C$1801,MATCH(B3812,Pedidos!$A$2:$A$1801,0)),"")</f>
        <v/>
      </c>
      <c r="K3812" s="21">
        <f>IFERROR(INDEX(Pedidos!$D$2:$D$1801,MATCH(B3812,Pedidos!$A$2:$A$1801,0)),"")</f>
        <v/>
      </c>
      <c r="L3812" s="21">
        <f>IFERROR(INDEX(Pedidos!$F$2:$F$1801,MATCH(B3812,Pedidos!$A$2:$A$1801,0)),"")</f>
        <v/>
      </c>
      <c r="M3812" s="22">
        <f>IFERROR(INDEX(Pedidos!$G$2:$G$1801,MATCH(B3812,Pedidos!$A$2:$A$1801,0)),0)</f>
        <v/>
      </c>
      <c r="N3812" s="21">
        <f>IFERROR(INDEX(Produtos!$B$2:$B$71,MATCH(C3812,Produtos!$A$2:$A$71,0)),"")</f>
        <v/>
      </c>
      <c r="O3812" s="21">
        <f>IFERROR(INDEX(Produtos!$C$2:$C$71,MATCH(C3812,Produtos!$A$2:$A$71,0)),"")</f>
        <v/>
      </c>
      <c r="P3812" s="21">
        <f>IFERROR(INDEX(Produtos!$D$2:$D$71,MATCH(C3812,Produtos!$A$2:$A$71,0)),0)</f>
        <v/>
      </c>
      <c r="Q3812" s="21">
        <f>IFERROR(INDEX(Produtos!$E$2:$E$71,MATCH(C3812,Produtos!$A$2:$A$71,0)),0)</f>
        <v/>
      </c>
      <c r="R3812" s="23">
        <f>D3812*Q3812</f>
        <v/>
      </c>
      <c r="S3812" s="23">
        <f>R3812*E3812</f>
        <v/>
      </c>
      <c r="T3812" s="23">
        <f>(R3812-S3812)*M3812</f>
        <v/>
      </c>
      <c r="U3812" s="23">
        <f>R3812-S3812-T3812</f>
        <v/>
      </c>
      <c r="V3812" s="23">
        <f>D3812*P3812</f>
        <v/>
      </c>
      <c r="W3812" s="23">
        <f>U3812-V3812</f>
        <v/>
      </c>
      <c r="X3812" s="24">
        <f>IFERROR(W3812/U3812,0)</f>
        <v/>
      </c>
    </row>
    <row r="3813">
      <c r="A3813" s="25">
        <f>ItensPedido!A3813</f>
        <v/>
      </c>
      <c r="B3813" s="25">
        <f>ItensPedido!B3813</f>
        <v/>
      </c>
      <c r="C3813" s="25">
        <f>ItensPedido!C3813</f>
        <v/>
      </c>
      <c r="D3813" s="25">
        <f>ItensPedido!D3813</f>
        <v/>
      </c>
      <c r="E3813" s="26">
        <f>ItensPedido!E3813</f>
        <v/>
      </c>
      <c r="F3813" s="25">
        <f>IFERROR(INDEX(Pedidos!$B$2:$B$1801,MATCH(B3813,Pedidos!$A$2:$A$1801,0)),0)</f>
        <v/>
      </c>
      <c r="G3813" s="25">
        <f>IF(F3813=0,"",YEAR(F3813))</f>
        <v/>
      </c>
      <c r="H3813" s="25">
        <f>IF(F3813=0,"",MONTH(F3813))</f>
        <v/>
      </c>
      <c r="I3813" s="25">
        <f>IFERROR(INDEX(Pedidos!$E$2:$E$1801,MATCH(B3813,Pedidos!$A$2:$A$1801,0)),"")</f>
        <v/>
      </c>
      <c r="J3813" s="25">
        <f>IFERROR(INDEX(Pedidos!$C$2:$C$1801,MATCH(B3813,Pedidos!$A$2:$A$1801,0)),"")</f>
        <v/>
      </c>
      <c r="K3813" s="25">
        <f>IFERROR(INDEX(Pedidos!$D$2:$D$1801,MATCH(B3813,Pedidos!$A$2:$A$1801,0)),"")</f>
        <v/>
      </c>
      <c r="L3813" s="25">
        <f>IFERROR(INDEX(Pedidos!$F$2:$F$1801,MATCH(B3813,Pedidos!$A$2:$A$1801,0)),"")</f>
        <v/>
      </c>
      <c r="M3813" s="26">
        <f>IFERROR(INDEX(Pedidos!$G$2:$G$1801,MATCH(B3813,Pedidos!$A$2:$A$1801,0)),0)</f>
        <v/>
      </c>
      <c r="N3813" s="25">
        <f>IFERROR(INDEX(Produtos!$B$2:$B$71,MATCH(C3813,Produtos!$A$2:$A$71,0)),"")</f>
        <v/>
      </c>
      <c r="O3813" s="25">
        <f>IFERROR(INDEX(Produtos!$C$2:$C$71,MATCH(C3813,Produtos!$A$2:$A$71,0)),"")</f>
        <v/>
      </c>
      <c r="P3813" s="25">
        <f>IFERROR(INDEX(Produtos!$D$2:$D$71,MATCH(C3813,Produtos!$A$2:$A$71,0)),0)</f>
        <v/>
      </c>
      <c r="Q3813" s="25">
        <f>IFERROR(INDEX(Produtos!$E$2:$E$71,MATCH(C3813,Produtos!$A$2:$A$71,0)),0)</f>
        <v/>
      </c>
      <c r="R3813" s="27">
        <f>D3813*Q3813</f>
        <v/>
      </c>
      <c r="S3813" s="27">
        <f>R3813*E3813</f>
        <v/>
      </c>
      <c r="T3813" s="27">
        <f>(R3813-S3813)*M3813</f>
        <v/>
      </c>
      <c r="U3813" s="27">
        <f>R3813-S3813-T3813</f>
        <v/>
      </c>
      <c r="V3813" s="27">
        <f>D3813*P3813</f>
        <v/>
      </c>
      <c r="W3813" s="27">
        <f>U3813-V3813</f>
        <v/>
      </c>
      <c r="X3813" s="28">
        <f>IFERROR(W3813/U3813,0)</f>
        <v/>
      </c>
    </row>
    <row r="3814">
      <c r="A3814" s="21">
        <f>ItensPedido!A3814</f>
        <v/>
      </c>
      <c r="B3814" s="21">
        <f>ItensPedido!B3814</f>
        <v/>
      </c>
      <c r="C3814" s="21">
        <f>ItensPedido!C3814</f>
        <v/>
      </c>
      <c r="D3814" s="21">
        <f>ItensPedido!D3814</f>
        <v/>
      </c>
      <c r="E3814" s="22">
        <f>ItensPedido!E3814</f>
        <v/>
      </c>
      <c r="F3814" s="21">
        <f>IFERROR(INDEX(Pedidos!$B$2:$B$1801,MATCH(B3814,Pedidos!$A$2:$A$1801,0)),0)</f>
        <v/>
      </c>
      <c r="G3814" s="21">
        <f>IF(F3814=0,"",YEAR(F3814))</f>
        <v/>
      </c>
      <c r="H3814" s="21">
        <f>IF(F3814=0,"",MONTH(F3814))</f>
        <v/>
      </c>
      <c r="I3814" s="21">
        <f>IFERROR(INDEX(Pedidos!$E$2:$E$1801,MATCH(B3814,Pedidos!$A$2:$A$1801,0)),"")</f>
        <v/>
      </c>
      <c r="J3814" s="21">
        <f>IFERROR(INDEX(Pedidos!$C$2:$C$1801,MATCH(B3814,Pedidos!$A$2:$A$1801,0)),"")</f>
        <v/>
      </c>
      <c r="K3814" s="21">
        <f>IFERROR(INDEX(Pedidos!$D$2:$D$1801,MATCH(B3814,Pedidos!$A$2:$A$1801,0)),"")</f>
        <v/>
      </c>
      <c r="L3814" s="21">
        <f>IFERROR(INDEX(Pedidos!$F$2:$F$1801,MATCH(B3814,Pedidos!$A$2:$A$1801,0)),"")</f>
        <v/>
      </c>
      <c r="M3814" s="22">
        <f>IFERROR(INDEX(Pedidos!$G$2:$G$1801,MATCH(B3814,Pedidos!$A$2:$A$1801,0)),0)</f>
        <v/>
      </c>
      <c r="N3814" s="21">
        <f>IFERROR(INDEX(Produtos!$B$2:$B$71,MATCH(C3814,Produtos!$A$2:$A$71,0)),"")</f>
        <v/>
      </c>
      <c r="O3814" s="21">
        <f>IFERROR(INDEX(Produtos!$C$2:$C$71,MATCH(C3814,Produtos!$A$2:$A$71,0)),"")</f>
        <v/>
      </c>
      <c r="P3814" s="21">
        <f>IFERROR(INDEX(Produtos!$D$2:$D$71,MATCH(C3814,Produtos!$A$2:$A$71,0)),0)</f>
        <v/>
      </c>
      <c r="Q3814" s="21">
        <f>IFERROR(INDEX(Produtos!$E$2:$E$71,MATCH(C3814,Produtos!$A$2:$A$71,0)),0)</f>
        <v/>
      </c>
      <c r="R3814" s="23">
        <f>D3814*Q3814</f>
        <v/>
      </c>
      <c r="S3814" s="23">
        <f>R3814*E3814</f>
        <v/>
      </c>
      <c r="T3814" s="23">
        <f>(R3814-S3814)*M3814</f>
        <v/>
      </c>
      <c r="U3814" s="23">
        <f>R3814-S3814-T3814</f>
        <v/>
      </c>
      <c r="V3814" s="23">
        <f>D3814*P3814</f>
        <v/>
      </c>
      <c r="W3814" s="23">
        <f>U3814-V3814</f>
        <v/>
      </c>
      <c r="X3814" s="24">
        <f>IFERROR(W3814/U3814,0)</f>
        <v/>
      </c>
    </row>
    <row r="3815">
      <c r="A3815" s="25">
        <f>ItensPedido!A3815</f>
        <v/>
      </c>
      <c r="B3815" s="25">
        <f>ItensPedido!B3815</f>
        <v/>
      </c>
      <c r="C3815" s="25">
        <f>ItensPedido!C3815</f>
        <v/>
      </c>
      <c r="D3815" s="25">
        <f>ItensPedido!D3815</f>
        <v/>
      </c>
      <c r="E3815" s="26">
        <f>ItensPedido!E3815</f>
        <v/>
      </c>
      <c r="F3815" s="25">
        <f>IFERROR(INDEX(Pedidos!$B$2:$B$1801,MATCH(B3815,Pedidos!$A$2:$A$1801,0)),0)</f>
        <v/>
      </c>
      <c r="G3815" s="25">
        <f>IF(F3815=0,"",YEAR(F3815))</f>
        <v/>
      </c>
      <c r="H3815" s="25">
        <f>IF(F3815=0,"",MONTH(F3815))</f>
        <v/>
      </c>
      <c r="I3815" s="25">
        <f>IFERROR(INDEX(Pedidos!$E$2:$E$1801,MATCH(B3815,Pedidos!$A$2:$A$1801,0)),"")</f>
        <v/>
      </c>
      <c r="J3815" s="25">
        <f>IFERROR(INDEX(Pedidos!$C$2:$C$1801,MATCH(B3815,Pedidos!$A$2:$A$1801,0)),"")</f>
        <v/>
      </c>
      <c r="K3815" s="25">
        <f>IFERROR(INDEX(Pedidos!$D$2:$D$1801,MATCH(B3815,Pedidos!$A$2:$A$1801,0)),"")</f>
        <v/>
      </c>
      <c r="L3815" s="25">
        <f>IFERROR(INDEX(Pedidos!$F$2:$F$1801,MATCH(B3815,Pedidos!$A$2:$A$1801,0)),"")</f>
        <v/>
      </c>
      <c r="M3815" s="26">
        <f>IFERROR(INDEX(Pedidos!$G$2:$G$1801,MATCH(B3815,Pedidos!$A$2:$A$1801,0)),0)</f>
        <v/>
      </c>
      <c r="N3815" s="25">
        <f>IFERROR(INDEX(Produtos!$B$2:$B$71,MATCH(C3815,Produtos!$A$2:$A$71,0)),"")</f>
        <v/>
      </c>
      <c r="O3815" s="25">
        <f>IFERROR(INDEX(Produtos!$C$2:$C$71,MATCH(C3815,Produtos!$A$2:$A$71,0)),"")</f>
        <v/>
      </c>
      <c r="P3815" s="25">
        <f>IFERROR(INDEX(Produtos!$D$2:$D$71,MATCH(C3815,Produtos!$A$2:$A$71,0)),0)</f>
        <v/>
      </c>
      <c r="Q3815" s="25">
        <f>IFERROR(INDEX(Produtos!$E$2:$E$71,MATCH(C3815,Produtos!$A$2:$A$71,0)),0)</f>
        <v/>
      </c>
      <c r="R3815" s="27">
        <f>D3815*Q3815</f>
        <v/>
      </c>
      <c r="S3815" s="27">
        <f>R3815*E3815</f>
        <v/>
      </c>
      <c r="T3815" s="27">
        <f>(R3815-S3815)*M3815</f>
        <v/>
      </c>
      <c r="U3815" s="27">
        <f>R3815-S3815-T3815</f>
        <v/>
      </c>
      <c r="V3815" s="27">
        <f>D3815*P3815</f>
        <v/>
      </c>
      <c r="W3815" s="27">
        <f>U3815-V3815</f>
        <v/>
      </c>
      <c r="X3815" s="28">
        <f>IFERROR(W3815/U3815,0)</f>
        <v/>
      </c>
    </row>
    <row r="3816">
      <c r="A3816" s="21">
        <f>ItensPedido!A3816</f>
        <v/>
      </c>
      <c r="B3816" s="21">
        <f>ItensPedido!B3816</f>
        <v/>
      </c>
      <c r="C3816" s="21">
        <f>ItensPedido!C3816</f>
        <v/>
      </c>
      <c r="D3816" s="21">
        <f>ItensPedido!D3816</f>
        <v/>
      </c>
      <c r="E3816" s="22">
        <f>ItensPedido!E3816</f>
        <v/>
      </c>
      <c r="F3816" s="21">
        <f>IFERROR(INDEX(Pedidos!$B$2:$B$1801,MATCH(B3816,Pedidos!$A$2:$A$1801,0)),0)</f>
        <v/>
      </c>
      <c r="G3816" s="21">
        <f>IF(F3816=0,"",YEAR(F3816))</f>
        <v/>
      </c>
      <c r="H3816" s="21">
        <f>IF(F3816=0,"",MONTH(F3816))</f>
        <v/>
      </c>
      <c r="I3816" s="21">
        <f>IFERROR(INDEX(Pedidos!$E$2:$E$1801,MATCH(B3816,Pedidos!$A$2:$A$1801,0)),"")</f>
        <v/>
      </c>
      <c r="J3816" s="21">
        <f>IFERROR(INDEX(Pedidos!$C$2:$C$1801,MATCH(B3816,Pedidos!$A$2:$A$1801,0)),"")</f>
        <v/>
      </c>
      <c r="K3816" s="21">
        <f>IFERROR(INDEX(Pedidos!$D$2:$D$1801,MATCH(B3816,Pedidos!$A$2:$A$1801,0)),"")</f>
        <v/>
      </c>
      <c r="L3816" s="21">
        <f>IFERROR(INDEX(Pedidos!$F$2:$F$1801,MATCH(B3816,Pedidos!$A$2:$A$1801,0)),"")</f>
        <v/>
      </c>
      <c r="M3816" s="22">
        <f>IFERROR(INDEX(Pedidos!$G$2:$G$1801,MATCH(B3816,Pedidos!$A$2:$A$1801,0)),0)</f>
        <v/>
      </c>
      <c r="N3816" s="21">
        <f>IFERROR(INDEX(Produtos!$B$2:$B$71,MATCH(C3816,Produtos!$A$2:$A$71,0)),"")</f>
        <v/>
      </c>
      <c r="O3816" s="21">
        <f>IFERROR(INDEX(Produtos!$C$2:$C$71,MATCH(C3816,Produtos!$A$2:$A$71,0)),"")</f>
        <v/>
      </c>
      <c r="P3816" s="21">
        <f>IFERROR(INDEX(Produtos!$D$2:$D$71,MATCH(C3816,Produtos!$A$2:$A$71,0)),0)</f>
        <v/>
      </c>
      <c r="Q3816" s="21">
        <f>IFERROR(INDEX(Produtos!$E$2:$E$71,MATCH(C3816,Produtos!$A$2:$A$71,0)),0)</f>
        <v/>
      </c>
      <c r="R3816" s="23">
        <f>D3816*Q3816</f>
        <v/>
      </c>
      <c r="S3816" s="23">
        <f>R3816*E3816</f>
        <v/>
      </c>
      <c r="T3816" s="23">
        <f>(R3816-S3816)*M3816</f>
        <v/>
      </c>
      <c r="U3816" s="23">
        <f>R3816-S3816-T3816</f>
        <v/>
      </c>
      <c r="V3816" s="23">
        <f>D3816*P3816</f>
        <v/>
      </c>
      <c r="W3816" s="23">
        <f>U3816-V3816</f>
        <v/>
      </c>
      <c r="X3816" s="24">
        <f>IFERROR(W3816/U3816,0)</f>
        <v/>
      </c>
    </row>
    <row r="3817">
      <c r="A3817" s="25">
        <f>ItensPedido!A3817</f>
        <v/>
      </c>
      <c r="B3817" s="25">
        <f>ItensPedido!B3817</f>
        <v/>
      </c>
      <c r="C3817" s="25">
        <f>ItensPedido!C3817</f>
        <v/>
      </c>
      <c r="D3817" s="25">
        <f>ItensPedido!D3817</f>
        <v/>
      </c>
      <c r="E3817" s="26">
        <f>ItensPedido!E3817</f>
        <v/>
      </c>
      <c r="F3817" s="25">
        <f>IFERROR(INDEX(Pedidos!$B$2:$B$1801,MATCH(B3817,Pedidos!$A$2:$A$1801,0)),0)</f>
        <v/>
      </c>
      <c r="G3817" s="25">
        <f>IF(F3817=0,"",YEAR(F3817))</f>
        <v/>
      </c>
      <c r="H3817" s="25">
        <f>IF(F3817=0,"",MONTH(F3817))</f>
        <v/>
      </c>
      <c r="I3817" s="25">
        <f>IFERROR(INDEX(Pedidos!$E$2:$E$1801,MATCH(B3817,Pedidos!$A$2:$A$1801,0)),"")</f>
        <v/>
      </c>
      <c r="J3817" s="25">
        <f>IFERROR(INDEX(Pedidos!$C$2:$C$1801,MATCH(B3817,Pedidos!$A$2:$A$1801,0)),"")</f>
        <v/>
      </c>
      <c r="K3817" s="25">
        <f>IFERROR(INDEX(Pedidos!$D$2:$D$1801,MATCH(B3817,Pedidos!$A$2:$A$1801,0)),"")</f>
        <v/>
      </c>
      <c r="L3817" s="25">
        <f>IFERROR(INDEX(Pedidos!$F$2:$F$1801,MATCH(B3817,Pedidos!$A$2:$A$1801,0)),"")</f>
        <v/>
      </c>
      <c r="M3817" s="26">
        <f>IFERROR(INDEX(Pedidos!$G$2:$G$1801,MATCH(B3817,Pedidos!$A$2:$A$1801,0)),0)</f>
        <v/>
      </c>
      <c r="N3817" s="25">
        <f>IFERROR(INDEX(Produtos!$B$2:$B$71,MATCH(C3817,Produtos!$A$2:$A$71,0)),"")</f>
        <v/>
      </c>
      <c r="O3817" s="25">
        <f>IFERROR(INDEX(Produtos!$C$2:$C$71,MATCH(C3817,Produtos!$A$2:$A$71,0)),"")</f>
        <v/>
      </c>
      <c r="P3817" s="25">
        <f>IFERROR(INDEX(Produtos!$D$2:$D$71,MATCH(C3817,Produtos!$A$2:$A$71,0)),0)</f>
        <v/>
      </c>
      <c r="Q3817" s="25">
        <f>IFERROR(INDEX(Produtos!$E$2:$E$71,MATCH(C3817,Produtos!$A$2:$A$71,0)),0)</f>
        <v/>
      </c>
      <c r="R3817" s="27">
        <f>D3817*Q3817</f>
        <v/>
      </c>
      <c r="S3817" s="27">
        <f>R3817*E3817</f>
        <v/>
      </c>
      <c r="T3817" s="27">
        <f>(R3817-S3817)*M3817</f>
        <v/>
      </c>
      <c r="U3817" s="27">
        <f>R3817-S3817-T3817</f>
        <v/>
      </c>
      <c r="V3817" s="27">
        <f>D3817*P3817</f>
        <v/>
      </c>
      <c r="W3817" s="27">
        <f>U3817-V3817</f>
        <v/>
      </c>
      <c r="X3817" s="28">
        <f>IFERROR(W3817/U3817,0)</f>
        <v/>
      </c>
    </row>
    <row r="3818">
      <c r="A3818" s="21">
        <f>ItensPedido!A3818</f>
        <v/>
      </c>
      <c r="B3818" s="21">
        <f>ItensPedido!B3818</f>
        <v/>
      </c>
      <c r="C3818" s="21">
        <f>ItensPedido!C3818</f>
        <v/>
      </c>
      <c r="D3818" s="21">
        <f>ItensPedido!D3818</f>
        <v/>
      </c>
      <c r="E3818" s="22">
        <f>ItensPedido!E3818</f>
        <v/>
      </c>
      <c r="F3818" s="21">
        <f>IFERROR(INDEX(Pedidos!$B$2:$B$1801,MATCH(B3818,Pedidos!$A$2:$A$1801,0)),0)</f>
        <v/>
      </c>
      <c r="G3818" s="21">
        <f>IF(F3818=0,"",YEAR(F3818))</f>
        <v/>
      </c>
      <c r="H3818" s="21">
        <f>IF(F3818=0,"",MONTH(F3818))</f>
        <v/>
      </c>
      <c r="I3818" s="21">
        <f>IFERROR(INDEX(Pedidos!$E$2:$E$1801,MATCH(B3818,Pedidos!$A$2:$A$1801,0)),"")</f>
        <v/>
      </c>
      <c r="J3818" s="21">
        <f>IFERROR(INDEX(Pedidos!$C$2:$C$1801,MATCH(B3818,Pedidos!$A$2:$A$1801,0)),"")</f>
        <v/>
      </c>
      <c r="K3818" s="21">
        <f>IFERROR(INDEX(Pedidos!$D$2:$D$1801,MATCH(B3818,Pedidos!$A$2:$A$1801,0)),"")</f>
        <v/>
      </c>
      <c r="L3818" s="21">
        <f>IFERROR(INDEX(Pedidos!$F$2:$F$1801,MATCH(B3818,Pedidos!$A$2:$A$1801,0)),"")</f>
        <v/>
      </c>
      <c r="M3818" s="22">
        <f>IFERROR(INDEX(Pedidos!$G$2:$G$1801,MATCH(B3818,Pedidos!$A$2:$A$1801,0)),0)</f>
        <v/>
      </c>
      <c r="N3818" s="21">
        <f>IFERROR(INDEX(Produtos!$B$2:$B$71,MATCH(C3818,Produtos!$A$2:$A$71,0)),"")</f>
        <v/>
      </c>
      <c r="O3818" s="21">
        <f>IFERROR(INDEX(Produtos!$C$2:$C$71,MATCH(C3818,Produtos!$A$2:$A$71,0)),"")</f>
        <v/>
      </c>
      <c r="P3818" s="21">
        <f>IFERROR(INDEX(Produtos!$D$2:$D$71,MATCH(C3818,Produtos!$A$2:$A$71,0)),0)</f>
        <v/>
      </c>
      <c r="Q3818" s="21">
        <f>IFERROR(INDEX(Produtos!$E$2:$E$71,MATCH(C3818,Produtos!$A$2:$A$71,0)),0)</f>
        <v/>
      </c>
      <c r="R3818" s="23">
        <f>D3818*Q3818</f>
        <v/>
      </c>
      <c r="S3818" s="23">
        <f>R3818*E3818</f>
        <v/>
      </c>
      <c r="T3818" s="23">
        <f>(R3818-S3818)*M3818</f>
        <v/>
      </c>
      <c r="U3818" s="23">
        <f>R3818-S3818-T3818</f>
        <v/>
      </c>
      <c r="V3818" s="23">
        <f>D3818*P3818</f>
        <v/>
      </c>
      <c r="W3818" s="23">
        <f>U3818-V3818</f>
        <v/>
      </c>
      <c r="X3818" s="24">
        <f>IFERROR(W3818/U3818,0)</f>
        <v/>
      </c>
    </row>
    <row r="3819">
      <c r="A3819" s="25">
        <f>ItensPedido!A3819</f>
        <v/>
      </c>
      <c r="B3819" s="25">
        <f>ItensPedido!B3819</f>
        <v/>
      </c>
      <c r="C3819" s="25">
        <f>ItensPedido!C3819</f>
        <v/>
      </c>
      <c r="D3819" s="25">
        <f>ItensPedido!D3819</f>
        <v/>
      </c>
      <c r="E3819" s="26">
        <f>ItensPedido!E3819</f>
        <v/>
      </c>
      <c r="F3819" s="25">
        <f>IFERROR(INDEX(Pedidos!$B$2:$B$1801,MATCH(B3819,Pedidos!$A$2:$A$1801,0)),0)</f>
        <v/>
      </c>
      <c r="G3819" s="25">
        <f>IF(F3819=0,"",YEAR(F3819))</f>
        <v/>
      </c>
      <c r="H3819" s="25">
        <f>IF(F3819=0,"",MONTH(F3819))</f>
        <v/>
      </c>
      <c r="I3819" s="25">
        <f>IFERROR(INDEX(Pedidos!$E$2:$E$1801,MATCH(B3819,Pedidos!$A$2:$A$1801,0)),"")</f>
        <v/>
      </c>
      <c r="J3819" s="25">
        <f>IFERROR(INDEX(Pedidos!$C$2:$C$1801,MATCH(B3819,Pedidos!$A$2:$A$1801,0)),"")</f>
        <v/>
      </c>
      <c r="K3819" s="25">
        <f>IFERROR(INDEX(Pedidos!$D$2:$D$1801,MATCH(B3819,Pedidos!$A$2:$A$1801,0)),"")</f>
        <v/>
      </c>
      <c r="L3819" s="25">
        <f>IFERROR(INDEX(Pedidos!$F$2:$F$1801,MATCH(B3819,Pedidos!$A$2:$A$1801,0)),"")</f>
        <v/>
      </c>
      <c r="M3819" s="26">
        <f>IFERROR(INDEX(Pedidos!$G$2:$G$1801,MATCH(B3819,Pedidos!$A$2:$A$1801,0)),0)</f>
        <v/>
      </c>
      <c r="N3819" s="25">
        <f>IFERROR(INDEX(Produtos!$B$2:$B$71,MATCH(C3819,Produtos!$A$2:$A$71,0)),"")</f>
        <v/>
      </c>
      <c r="O3819" s="25">
        <f>IFERROR(INDEX(Produtos!$C$2:$C$71,MATCH(C3819,Produtos!$A$2:$A$71,0)),"")</f>
        <v/>
      </c>
      <c r="P3819" s="25">
        <f>IFERROR(INDEX(Produtos!$D$2:$D$71,MATCH(C3819,Produtos!$A$2:$A$71,0)),0)</f>
        <v/>
      </c>
      <c r="Q3819" s="25">
        <f>IFERROR(INDEX(Produtos!$E$2:$E$71,MATCH(C3819,Produtos!$A$2:$A$71,0)),0)</f>
        <v/>
      </c>
      <c r="R3819" s="27">
        <f>D3819*Q3819</f>
        <v/>
      </c>
      <c r="S3819" s="27">
        <f>R3819*E3819</f>
        <v/>
      </c>
      <c r="T3819" s="27">
        <f>(R3819-S3819)*M3819</f>
        <v/>
      </c>
      <c r="U3819" s="27">
        <f>R3819-S3819-T3819</f>
        <v/>
      </c>
      <c r="V3819" s="27">
        <f>D3819*P3819</f>
        <v/>
      </c>
      <c r="W3819" s="27">
        <f>U3819-V3819</f>
        <v/>
      </c>
      <c r="X3819" s="28">
        <f>IFERROR(W3819/U3819,0)</f>
        <v/>
      </c>
    </row>
    <row r="3820">
      <c r="A3820" s="21">
        <f>ItensPedido!A3820</f>
        <v/>
      </c>
      <c r="B3820" s="21">
        <f>ItensPedido!B3820</f>
        <v/>
      </c>
      <c r="C3820" s="21">
        <f>ItensPedido!C3820</f>
        <v/>
      </c>
      <c r="D3820" s="21">
        <f>ItensPedido!D3820</f>
        <v/>
      </c>
      <c r="E3820" s="22">
        <f>ItensPedido!E3820</f>
        <v/>
      </c>
      <c r="F3820" s="21">
        <f>IFERROR(INDEX(Pedidos!$B$2:$B$1801,MATCH(B3820,Pedidos!$A$2:$A$1801,0)),0)</f>
        <v/>
      </c>
      <c r="G3820" s="21">
        <f>IF(F3820=0,"",YEAR(F3820))</f>
        <v/>
      </c>
      <c r="H3820" s="21">
        <f>IF(F3820=0,"",MONTH(F3820))</f>
        <v/>
      </c>
      <c r="I3820" s="21">
        <f>IFERROR(INDEX(Pedidos!$E$2:$E$1801,MATCH(B3820,Pedidos!$A$2:$A$1801,0)),"")</f>
        <v/>
      </c>
      <c r="J3820" s="21">
        <f>IFERROR(INDEX(Pedidos!$C$2:$C$1801,MATCH(B3820,Pedidos!$A$2:$A$1801,0)),"")</f>
        <v/>
      </c>
      <c r="K3820" s="21">
        <f>IFERROR(INDEX(Pedidos!$D$2:$D$1801,MATCH(B3820,Pedidos!$A$2:$A$1801,0)),"")</f>
        <v/>
      </c>
      <c r="L3820" s="21">
        <f>IFERROR(INDEX(Pedidos!$F$2:$F$1801,MATCH(B3820,Pedidos!$A$2:$A$1801,0)),"")</f>
        <v/>
      </c>
      <c r="M3820" s="22">
        <f>IFERROR(INDEX(Pedidos!$G$2:$G$1801,MATCH(B3820,Pedidos!$A$2:$A$1801,0)),0)</f>
        <v/>
      </c>
      <c r="N3820" s="21">
        <f>IFERROR(INDEX(Produtos!$B$2:$B$71,MATCH(C3820,Produtos!$A$2:$A$71,0)),"")</f>
        <v/>
      </c>
      <c r="O3820" s="21">
        <f>IFERROR(INDEX(Produtos!$C$2:$C$71,MATCH(C3820,Produtos!$A$2:$A$71,0)),"")</f>
        <v/>
      </c>
      <c r="P3820" s="21">
        <f>IFERROR(INDEX(Produtos!$D$2:$D$71,MATCH(C3820,Produtos!$A$2:$A$71,0)),0)</f>
        <v/>
      </c>
      <c r="Q3820" s="21">
        <f>IFERROR(INDEX(Produtos!$E$2:$E$71,MATCH(C3820,Produtos!$A$2:$A$71,0)),0)</f>
        <v/>
      </c>
      <c r="R3820" s="23">
        <f>D3820*Q3820</f>
        <v/>
      </c>
      <c r="S3820" s="23">
        <f>R3820*E3820</f>
        <v/>
      </c>
      <c r="T3820" s="23">
        <f>(R3820-S3820)*M3820</f>
        <v/>
      </c>
      <c r="U3820" s="23">
        <f>R3820-S3820-T3820</f>
        <v/>
      </c>
      <c r="V3820" s="23">
        <f>D3820*P3820</f>
        <v/>
      </c>
      <c r="W3820" s="23">
        <f>U3820-V3820</f>
        <v/>
      </c>
      <c r="X3820" s="24">
        <f>IFERROR(W3820/U3820,0)</f>
        <v/>
      </c>
    </row>
    <row r="3821">
      <c r="A3821" s="25">
        <f>ItensPedido!A3821</f>
        <v/>
      </c>
      <c r="B3821" s="25">
        <f>ItensPedido!B3821</f>
        <v/>
      </c>
      <c r="C3821" s="25">
        <f>ItensPedido!C3821</f>
        <v/>
      </c>
      <c r="D3821" s="25">
        <f>ItensPedido!D3821</f>
        <v/>
      </c>
      <c r="E3821" s="26">
        <f>ItensPedido!E3821</f>
        <v/>
      </c>
      <c r="F3821" s="25">
        <f>IFERROR(INDEX(Pedidos!$B$2:$B$1801,MATCH(B3821,Pedidos!$A$2:$A$1801,0)),0)</f>
        <v/>
      </c>
      <c r="G3821" s="25">
        <f>IF(F3821=0,"",YEAR(F3821))</f>
        <v/>
      </c>
      <c r="H3821" s="25">
        <f>IF(F3821=0,"",MONTH(F3821))</f>
        <v/>
      </c>
      <c r="I3821" s="25">
        <f>IFERROR(INDEX(Pedidos!$E$2:$E$1801,MATCH(B3821,Pedidos!$A$2:$A$1801,0)),"")</f>
        <v/>
      </c>
      <c r="J3821" s="25">
        <f>IFERROR(INDEX(Pedidos!$C$2:$C$1801,MATCH(B3821,Pedidos!$A$2:$A$1801,0)),"")</f>
        <v/>
      </c>
      <c r="K3821" s="25">
        <f>IFERROR(INDEX(Pedidos!$D$2:$D$1801,MATCH(B3821,Pedidos!$A$2:$A$1801,0)),"")</f>
        <v/>
      </c>
      <c r="L3821" s="25">
        <f>IFERROR(INDEX(Pedidos!$F$2:$F$1801,MATCH(B3821,Pedidos!$A$2:$A$1801,0)),"")</f>
        <v/>
      </c>
      <c r="M3821" s="26">
        <f>IFERROR(INDEX(Pedidos!$G$2:$G$1801,MATCH(B3821,Pedidos!$A$2:$A$1801,0)),0)</f>
        <v/>
      </c>
      <c r="N3821" s="25">
        <f>IFERROR(INDEX(Produtos!$B$2:$B$71,MATCH(C3821,Produtos!$A$2:$A$71,0)),"")</f>
        <v/>
      </c>
      <c r="O3821" s="25">
        <f>IFERROR(INDEX(Produtos!$C$2:$C$71,MATCH(C3821,Produtos!$A$2:$A$71,0)),"")</f>
        <v/>
      </c>
      <c r="P3821" s="25">
        <f>IFERROR(INDEX(Produtos!$D$2:$D$71,MATCH(C3821,Produtos!$A$2:$A$71,0)),0)</f>
        <v/>
      </c>
      <c r="Q3821" s="25">
        <f>IFERROR(INDEX(Produtos!$E$2:$E$71,MATCH(C3821,Produtos!$A$2:$A$71,0)),0)</f>
        <v/>
      </c>
      <c r="R3821" s="27">
        <f>D3821*Q3821</f>
        <v/>
      </c>
      <c r="S3821" s="27">
        <f>R3821*E3821</f>
        <v/>
      </c>
      <c r="T3821" s="27">
        <f>(R3821-S3821)*M3821</f>
        <v/>
      </c>
      <c r="U3821" s="27">
        <f>R3821-S3821-T3821</f>
        <v/>
      </c>
      <c r="V3821" s="27">
        <f>D3821*P3821</f>
        <v/>
      </c>
      <c r="W3821" s="27">
        <f>U3821-V3821</f>
        <v/>
      </c>
      <c r="X3821" s="28">
        <f>IFERROR(W3821/U3821,0)</f>
        <v/>
      </c>
    </row>
    <row r="3822">
      <c r="A3822" s="21">
        <f>ItensPedido!A3822</f>
        <v/>
      </c>
      <c r="B3822" s="21">
        <f>ItensPedido!B3822</f>
        <v/>
      </c>
      <c r="C3822" s="21">
        <f>ItensPedido!C3822</f>
        <v/>
      </c>
      <c r="D3822" s="21">
        <f>ItensPedido!D3822</f>
        <v/>
      </c>
      <c r="E3822" s="22">
        <f>ItensPedido!E3822</f>
        <v/>
      </c>
      <c r="F3822" s="21">
        <f>IFERROR(INDEX(Pedidos!$B$2:$B$1801,MATCH(B3822,Pedidos!$A$2:$A$1801,0)),0)</f>
        <v/>
      </c>
      <c r="G3822" s="21">
        <f>IF(F3822=0,"",YEAR(F3822))</f>
        <v/>
      </c>
      <c r="H3822" s="21">
        <f>IF(F3822=0,"",MONTH(F3822))</f>
        <v/>
      </c>
      <c r="I3822" s="21">
        <f>IFERROR(INDEX(Pedidos!$E$2:$E$1801,MATCH(B3822,Pedidos!$A$2:$A$1801,0)),"")</f>
        <v/>
      </c>
      <c r="J3822" s="21">
        <f>IFERROR(INDEX(Pedidos!$C$2:$C$1801,MATCH(B3822,Pedidos!$A$2:$A$1801,0)),"")</f>
        <v/>
      </c>
      <c r="K3822" s="21">
        <f>IFERROR(INDEX(Pedidos!$D$2:$D$1801,MATCH(B3822,Pedidos!$A$2:$A$1801,0)),"")</f>
        <v/>
      </c>
      <c r="L3822" s="21">
        <f>IFERROR(INDEX(Pedidos!$F$2:$F$1801,MATCH(B3822,Pedidos!$A$2:$A$1801,0)),"")</f>
        <v/>
      </c>
      <c r="M3822" s="22">
        <f>IFERROR(INDEX(Pedidos!$G$2:$G$1801,MATCH(B3822,Pedidos!$A$2:$A$1801,0)),0)</f>
        <v/>
      </c>
      <c r="N3822" s="21">
        <f>IFERROR(INDEX(Produtos!$B$2:$B$71,MATCH(C3822,Produtos!$A$2:$A$71,0)),"")</f>
        <v/>
      </c>
      <c r="O3822" s="21">
        <f>IFERROR(INDEX(Produtos!$C$2:$C$71,MATCH(C3822,Produtos!$A$2:$A$71,0)),"")</f>
        <v/>
      </c>
      <c r="P3822" s="21">
        <f>IFERROR(INDEX(Produtos!$D$2:$D$71,MATCH(C3822,Produtos!$A$2:$A$71,0)),0)</f>
        <v/>
      </c>
      <c r="Q3822" s="21">
        <f>IFERROR(INDEX(Produtos!$E$2:$E$71,MATCH(C3822,Produtos!$A$2:$A$71,0)),0)</f>
        <v/>
      </c>
      <c r="R3822" s="23">
        <f>D3822*Q3822</f>
        <v/>
      </c>
      <c r="S3822" s="23">
        <f>R3822*E3822</f>
        <v/>
      </c>
      <c r="T3822" s="23">
        <f>(R3822-S3822)*M3822</f>
        <v/>
      </c>
      <c r="U3822" s="23">
        <f>R3822-S3822-T3822</f>
        <v/>
      </c>
      <c r="V3822" s="23">
        <f>D3822*P3822</f>
        <v/>
      </c>
      <c r="W3822" s="23">
        <f>U3822-V3822</f>
        <v/>
      </c>
      <c r="X3822" s="24">
        <f>IFERROR(W3822/U3822,0)</f>
        <v/>
      </c>
    </row>
    <row r="3823">
      <c r="A3823" s="25">
        <f>ItensPedido!A3823</f>
        <v/>
      </c>
      <c r="B3823" s="25">
        <f>ItensPedido!B3823</f>
        <v/>
      </c>
      <c r="C3823" s="25">
        <f>ItensPedido!C3823</f>
        <v/>
      </c>
      <c r="D3823" s="25">
        <f>ItensPedido!D3823</f>
        <v/>
      </c>
      <c r="E3823" s="26">
        <f>ItensPedido!E3823</f>
        <v/>
      </c>
      <c r="F3823" s="25">
        <f>IFERROR(INDEX(Pedidos!$B$2:$B$1801,MATCH(B3823,Pedidos!$A$2:$A$1801,0)),0)</f>
        <v/>
      </c>
      <c r="G3823" s="25">
        <f>IF(F3823=0,"",YEAR(F3823))</f>
        <v/>
      </c>
      <c r="H3823" s="25">
        <f>IF(F3823=0,"",MONTH(F3823))</f>
        <v/>
      </c>
      <c r="I3823" s="25">
        <f>IFERROR(INDEX(Pedidos!$E$2:$E$1801,MATCH(B3823,Pedidos!$A$2:$A$1801,0)),"")</f>
        <v/>
      </c>
      <c r="J3823" s="25">
        <f>IFERROR(INDEX(Pedidos!$C$2:$C$1801,MATCH(B3823,Pedidos!$A$2:$A$1801,0)),"")</f>
        <v/>
      </c>
      <c r="K3823" s="25">
        <f>IFERROR(INDEX(Pedidos!$D$2:$D$1801,MATCH(B3823,Pedidos!$A$2:$A$1801,0)),"")</f>
        <v/>
      </c>
      <c r="L3823" s="25">
        <f>IFERROR(INDEX(Pedidos!$F$2:$F$1801,MATCH(B3823,Pedidos!$A$2:$A$1801,0)),"")</f>
        <v/>
      </c>
      <c r="M3823" s="26">
        <f>IFERROR(INDEX(Pedidos!$G$2:$G$1801,MATCH(B3823,Pedidos!$A$2:$A$1801,0)),0)</f>
        <v/>
      </c>
      <c r="N3823" s="25">
        <f>IFERROR(INDEX(Produtos!$B$2:$B$71,MATCH(C3823,Produtos!$A$2:$A$71,0)),"")</f>
        <v/>
      </c>
      <c r="O3823" s="25">
        <f>IFERROR(INDEX(Produtos!$C$2:$C$71,MATCH(C3823,Produtos!$A$2:$A$71,0)),"")</f>
        <v/>
      </c>
      <c r="P3823" s="25">
        <f>IFERROR(INDEX(Produtos!$D$2:$D$71,MATCH(C3823,Produtos!$A$2:$A$71,0)),0)</f>
        <v/>
      </c>
      <c r="Q3823" s="25">
        <f>IFERROR(INDEX(Produtos!$E$2:$E$71,MATCH(C3823,Produtos!$A$2:$A$71,0)),0)</f>
        <v/>
      </c>
      <c r="R3823" s="27">
        <f>D3823*Q3823</f>
        <v/>
      </c>
      <c r="S3823" s="27">
        <f>R3823*E3823</f>
        <v/>
      </c>
      <c r="T3823" s="27">
        <f>(R3823-S3823)*M3823</f>
        <v/>
      </c>
      <c r="U3823" s="27">
        <f>R3823-S3823-T3823</f>
        <v/>
      </c>
      <c r="V3823" s="27">
        <f>D3823*P3823</f>
        <v/>
      </c>
      <c r="W3823" s="27">
        <f>U3823-V3823</f>
        <v/>
      </c>
      <c r="X3823" s="28">
        <f>IFERROR(W3823/U3823,0)</f>
        <v/>
      </c>
    </row>
    <row r="3824">
      <c r="A3824" s="21">
        <f>ItensPedido!A3824</f>
        <v/>
      </c>
      <c r="B3824" s="21">
        <f>ItensPedido!B3824</f>
        <v/>
      </c>
      <c r="C3824" s="21">
        <f>ItensPedido!C3824</f>
        <v/>
      </c>
      <c r="D3824" s="21">
        <f>ItensPedido!D3824</f>
        <v/>
      </c>
      <c r="E3824" s="22">
        <f>ItensPedido!E3824</f>
        <v/>
      </c>
      <c r="F3824" s="21">
        <f>IFERROR(INDEX(Pedidos!$B$2:$B$1801,MATCH(B3824,Pedidos!$A$2:$A$1801,0)),0)</f>
        <v/>
      </c>
      <c r="G3824" s="21">
        <f>IF(F3824=0,"",YEAR(F3824))</f>
        <v/>
      </c>
      <c r="H3824" s="21">
        <f>IF(F3824=0,"",MONTH(F3824))</f>
        <v/>
      </c>
      <c r="I3824" s="21">
        <f>IFERROR(INDEX(Pedidos!$E$2:$E$1801,MATCH(B3824,Pedidos!$A$2:$A$1801,0)),"")</f>
        <v/>
      </c>
      <c r="J3824" s="21">
        <f>IFERROR(INDEX(Pedidos!$C$2:$C$1801,MATCH(B3824,Pedidos!$A$2:$A$1801,0)),"")</f>
        <v/>
      </c>
      <c r="K3824" s="21">
        <f>IFERROR(INDEX(Pedidos!$D$2:$D$1801,MATCH(B3824,Pedidos!$A$2:$A$1801,0)),"")</f>
        <v/>
      </c>
      <c r="L3824" s="21">
        <f>IFERROR(INDEX(Pedidos!$F$2:$F$1801,MATCH(B3824,Pedidos!$A$2:$A$1801,0)),"")</f>
        <v/>
      </c>
      <c r="M3824" s="22">
        <f>IFERROR(INDEX(Pedidos!$G$2:$G$1801,MATCH(B3824,Pedidos!$A$2:$A$1801,0)),0)</f>
        <v/>
      </c>
      <c r="N3824" s="21">
        <f>IFERROR(INDEX(Produtos!$B$2:$B$71,MATCH(C3824,Produtos!$A$2:$A$71,0)),"")</f>
        <v/>
      </c>
      <c r="O3824" s="21">
        <f>IFERROR(INDEX(Produtos!$C$2:$C$71,MATCH(C3824,Produtos!$A$2:$A$71,0)),"")</f>
        <v/>
      </c>
      <c r="P3824" s="21">
        <f>IFERROR(INDEX(Produtos!$D$2:$D$71,MATCH(C3824,Produtos!$A$2:$A$71,0)),0)</f>
        <v/>
      </c>
      <c r="Q3824" s="21">
        <f>IFERROR(INDEX(Produtos!$E$2:$E$71,MATCH(C3824,Produtos!$A$2:$A$71,0)),0)</f>
        <v/>
      </c>
      <c r="R3824" s="23">
        <f>D3824*Q3824</f>
        <v/>
      </c>
      <c r="S3824" s="23">
        <f>R3824*E3824</f>
        <v/>
      </c>
      <c r="T3824" s="23">
        <f>(R3824-S3824)*M3824</f>
        <v/>
      </c>
      <c r="U3824" s="23">
        <f>R3824-S3824-T3824</f>
        <v/>
      </c>
      <c r="V3824" s="23">
        <f>D3824*P3824</f>
        <v/>
      </c>
      <c r="W3824" s="23">
        <f>U3824-V3824</f>
        <v/>
      </c>
      <c r="X3824" s="24">
        <f>IFERROR(W3824/U3824,0)</f>
        <v/>
      </c>
    </row>
    <row r="3825">
      <c r="A3825" s="25">
        <f>ItensPedido!A3825</f>
        <v/>
      </c>
      <c r="B3825" s="25">
        <f>ItensPedido!B3825</f>
        <v/>
      </c>
      <c r="C3825" s="25">
        <f>ItensPedido!C3825</f>
        <v/>
      </c>
      <c r="D3825" s="25">
        <f>ItensPedido!D3825</f>
        <v/>
      </c>
      <c r="E3825" s="26">
        <f>ItensPedido!E3825</f>
        <v/>
      </c>
      <c r="F3825" s="25">
        <f>IFERROR(INDEX(Pedidos!$B$2:$B$1801,MATCH(B3825,Pedidos!$A$2:$A$1801,0)),0)</f>
        <v/>
      </c>
      <c r="G3825" s="25">
        <f>IF(F3825=0,"",YEAR(F3825))</f>
        <v/>
      </c>
      <c r="H3825" s="25">
        <f>IF(F3825=0,"",MONTH(F3825))</f>
        <v/>
      </c>
      <c r="I3825" s="25">
        <f>IFERROR(INDEX(Pedidos!$E$2:$E$1801,MATCH(B3825,Pedidos!$A$2:$A$1801,0)),"")</f>
        <v/>
      </c>
      <c r="J3825" s="25">
        <f>IFERROR(INDEX(Pedidos!$C$2:$C$1801,MATCH(B3825,Pedidos!$A$2:$A$1801,0)),"")</f>
        <v/>
      </c>
      <c r="K3825" s="25">
        <f>IFERROR(INDEX(Pedidos!$D$2:$D$1801,MATCH(B3825,Pedidos!$A$2:$A$1801,0)),"")</f>
        <v/>
      </c>
      <c r="L3825" s="25">
        <f>IFERROR(INDEX(Pedidos!$F$2:$F$1801,MATCH(B3825,Pedidos!$A$2:$A$1801,0)),"")</f>
        <v/>
      </c>
      <c r="M3825" s="26">
        <f>IFERROR(INDEX(Pedidos!$G$2:$G$1801,MATCH(B3825,Pedidos!$A$2:$A$1801,0)),0)</f>
        <v/>
      </c>
      <c r="N3825" s="25">
        <f>IFERROR(INDEX(Produtos!$B$2:$B$71,MATCH(C3825,Produtos!$A$2:$A$71,0)),"")</f>
        <v/>
      </c>
      <c r="O3825" s="25">
        <f>IFERROR(INDEX(Produtos!$C$2:$C$71,MATCH(C3825,Produtos!$A$2:$A$71,0)),"")</f>
        <v/>
      </c>
      <c r="P3825" s="25">
        <f>IFERROR(INDEX(Produtos!$D$2:$D$71,MATCH(C3825,Produtos!$A$2:$A$71,0)),0)</f>
        <v/>
      </c>
      <c r="Q3825" s="25">
        <f>IFERROR(INDEX(Produtos!$E$2:$E$71,MATCH(C3825,Produtos!$A$2:$A$71,0)),0)</f>
        <v/>
      </c>
      <c r="R3825" s="27">
        <f>D3825*Q3825</f>
        <v/>
      </c>
      <c r="S3825" s="27">
        <f>R3825*E3825</f>
        <v/>
      </c>
      <c r="T3825" s="27">
        <f>(R3825-S3825)*M3825</f>
        <v/>
      </c>
      <c r="U3825" s="27">
        <f>R3825-S3825-T3825</f>
        <v/>
      </c>
      <c r="V3825" s="27">
        <f>D3825*P3825</f>
        <v/>
      </c>
      <c r="W3825" s="27">
        <f>U3825-V3825</f>
        <v/>
      </c>
      <c r="X3825" s="28">
        <f>IFERROR(W3825/U3825,0)</f>
        <v/>
      </c>
    </row>
    <row r="3826">
      <c r="A3826" s="21">
        <f>ItensPedido!A3826</f>
        <v/>
      </c>
      <c r="B3826" s="21">
        <f>ItensPedido!B3826</f>
        <v/>
      </c>
      <c r="C3826" s="21">
        <f>ItensPedido!C3826</f>
        <v/>
      </c>
      <c r="D3826" s="21">
        <f>ItensPedido!D3826</f>
        <v/>
      </c>
      <c r="E3826" s="22">
        <f>ItensPedido!E3826</f>
        <v/>
      </c>
      <c r="F3826" s="21">
        <f>IFERROR(INDEX(Pedidos!$B$2:$B$1801,MATCH(B3826,Pedidos!$A$2:$A$1801,0)),0)</f>
        <v/>
      </c>
      <c r="G3826" s="21">
        <f>IF(F3826=0,"",YEAR(F3826))</f>
        <v/>
      </c>
      <c r="H3826" s="21">
        <f>IF(F3826=0,"",MONTH(F3826))</f>
        <v/>
      </c>
      <c r="I3826" s="21">
        <f>IFERROR(INDEX(Pedidos!$E$2:$E$1801,MATCH(B3826,Pedidos!$A$2:$A$1801,0)),"")</f>
        <v/>
      </c>
      <c r="J3826" s="21">
        <f>IFERROR(INDEX(Pedidos!$C$2:$C$1801,MATCH(B3826,Pedidos!$A$2:$A$1801,0)),"")</f>
        <v/>
      </c>
      <c r="K3826" s="21">
        <f>IFERROR(INDEX(Pedidos!$D$2:$D$1801,MATCH(B3826,Pedidos!$A$2:$A$1801,0)),"")</f>
        <v/>
      </c>
      <c r="L3826" s="21">
        <f>IFERROR(INDEX(Pedidos!$F$2:$F$1801,MATCH(B3826,Pedidos!$A$2:$A$1801,0)),"")</f>
        <v/>
      </c>
      <c r="M3826" s="22">
        <f>IFERROR(INDEX(Pedidos!$G$2:$G$1801,MATCH(B3826,Pedidos!$A$2:$A$1801,0)),0)</f>
        <v/>
      </c>
      <c r="N3826" s="21">
        <f>IFERROR(INDEX(Produtos!$B$2:$B$71,MATCH(C3826,Produtos!$A$2:$A$71,0)),"")</f>
        <v/>
      </c>
      <c r="O3826" s="21">
        <f>IFERROR(INDEX(Produtos!$C$2:$C$71,MATCH(C3826,Produtos!$A$2:$A$71,0)),"")</f>
        <v/>
      </c>
      <c r="P3826" s="21">
        <f>IFERROR(INDEX(Produtos!$D$2:$D$71,MATCH(C3826,Produtos!$A$2:$A$71,0)),0)</f>
        <v/>
      </c>
      <c r="Q3826" s="21">
        <f>IFERROR(INDEX(Produtos!$E$2:$E$71,MATCH(C3826,Produtos!$A$2:$A$71,0)),0)</f>
        <v/>
      </c>
      <c r="R3826" s="23">
        <f>D3826*Q3826</f>
        <v/>
      </c>
      <c r="S3826" s="23">
        <f>R3826*E3826</f>
        <v/>
      </c>
      <c r="T3826" s="23">
        <f>(R3826-S3826)*M3826</f>
        <v/>
      </c>
      <c r="U3826" s="23">
        <f>R3826-S3826-T3826</f>
        <v/>
      </c>
      <c r="V3826" s="23">
        <f>D3826*P3826</f>
        <v/>
      </c>
      <c r="W3826" s="23">
        <f>U3826-V3826</f>
        <v/>
      </c>
      <c r="X3826" s="24">
        <f>IFERROR(W3826/U3826,0)</f>
        <v/>
      </c>
    </row>
    <row r="3827">
      <c r="A3827" s="25">
        <f>ItensPedido!A3827</f>
        <v/>
      </c>
      <c r="B3827" s="25">
        <f>ItensPedido!B3827</f>
        <v/>
      </c>
      <c r="C3827" s="25">
        <f>ItensPedido!C3827</f>
        <v/>
      </c>
      <c r="D3827" s="25">
        <f>ItensPedido!D3827</f>
        <v/>
      </c>
      <c r="E3827" s="26">
        <f>ItensPedido!E3827</f>
        <v/>
      </c>
      <c r="F3827" s="25">
        <f>IFERROR(INDEX(Pedidos!$B$2:$B$1801,MATCH(B3827,Pedidos!$A$2:$A$1801,0)),0)</f>
        <v/>
      </c>
      <c r="G3827" s="25">
        <f>IF(F3827=0,"",YEAR(F3827))</f>
        <v/>
      </c>
      <c r="H3827" s="25">
        <f>IF(F3827=0,"",MONTH(F3827))</f>
        <v/>
      </c>
      <c r="I3827" s="25">
        <f>IFERROR(INDEX(Pedidos!$E$2:$E$1801,MATCH(B3827,Pedidos!$A$2:$A$1801,0)),"")</f>
        <v/>
      </c>
      <c r="J3827" s="25">
        <f>IFERROR(INDEX(Pedidos!$C$2:$C$1801,MATCH(B3827,Pedidos!$A$2:$A$1801,0)),"")</f>
        <v/>
      </c>
      <c r="K3827" s="25">
        <f>IFERROR(INDEX(Pedidos!$D$2:$D$1801,MATCH(B3827,Pedidos!$A$2:$A$1801,0)),"")</f>
        <v/>
      </c>
      <c r="L3827" s="25">
        <f>IFERROR(INDEX(Pedidos!$F$2:$F$1801,MATCH(B3827,Pedidos!$A$2:$A$1801,0)),"")</f>
        <v/>
      </c>
      <c r="M3827" s="26">
        <f>IFERROR(INDEX(Pedidos!$G$2:$G$1801,MATCH(B3827,Pedidos!$A$2:$A$1801,0)),0)</f>
        <v/>
      </c>
      <c r="N3827" s="25">
        <f>IFERROR(INDEX(Produtos!$B$2:$B$71,MATCH(C3827,Produtos!$A$2:$A$71,0)),"")</f>
        <v/>
      </c>
      <c r="O3827" s="25">
        <f>IFERROR(INDEX(Produtos!$C$2:$C$71,MATCH(C3827,Produtos!$A$2:$A$71,0)),"")</f>
        <v/>
      </c>
      <c r="P3827" s="25">
        <f>IFERROR(INDEX(Produtos!$D$2:$D$71,MATCH(C3827,Produtos!$A$2:$A$71,0)),0)</f>
        <v/>
      </c>
      <c r="Q3827" s="25">
        <f>IFERROR(INDEX(Produtos!$E$2:$E$71,MATCH(C3827,Produtos!$A$2:$A$71,0)),0)</f>
        <v/>
      </c>
      <c r="R3827" s="27">
        <f>D3827*Q3827</f>
        <v/>
      </c>
      <c r="S3827" s="27">
        <f>R3827*E3827</f>
        <v/>
      </c>
      <c r="T3827" s="27">
        <f>(R3827-S3827)*M3827</f>
        <v/>
      </c>
      <c r="U3827" s="27">
        <f>R3827-S3827-T3827</f>
        <v/>
      </c>
      <c r="V3827" s="27">
        <f>D3827*P3827</f>
        <v/>
      </c>
      <c r="W3827" s="27">
        <f>U3827-V3827</f>
        <v/>
      </c>
      <c r="X3827" s="28">
        <f>IFERROR(W3827/U3827,0)</f>
        <v/>
      </c>
    </row>
    <row r="3828">
      <c r="A3828" s="21">
        <f>ItensPedido!A3828</f>
        <v/>
      </c>
      <c r="B3828" s="21">
        <f>ItensPedido!B3828</f>
        <v/>
      </c>
      <c r="C3828" s="21">
        <f>ItensPedido!C3828</f>
        <v/>
      </c>
      <c r="D3828" s="21">
        <f>ItensPedido!D3828</f>
        <v/>
      </c>
      <c r="E3828" s="22">
        <f>ItensPedido!E3828</f>
        <v/>
      </c>
      <c r="F3828" s="21">
        <f>IFERROR(INDEX(Pedidos!$B$2:$B$1801,MATCH(B3828,Pedidos!$A$2:$A$1801,0)),0)</f>
        <v/>
      </c>
      <c r="G3828" s="21">
        <f>IF(F3828=0,"",YEAR(F3828))</f>
        <v/>
      </c>
      <c r="H3828" s="21">
        <f>IF(F3828=0,"",MONTH(F3828))</f>
        <v/>
      </c>
      <c r="I3828" s="21">
        <f>IFERROR(INDEX(Pedidos!$E$2:$E$1801,MATCH(B3828,Pedidos!$A$2:$A$1801,0)),"")</f>
        <v/>
      </c>
      <c r="J3828" s="21">
        <f>IFERROR(INDEX(Pedidos!$C$2:$C$1801,MATCH(B3828,Pedidos!$A$2:$A$1801,0)),"")</f>
        <v/>
      </c>
      <c r="K3828" s="21">
        <f>IFERROR(INDEX(Pedidos!$D$2:$D$1801,MATCH(B3828,Pedidos!$A$2:$A$1801,0)),"")</f>
        <v/>
      </c>
      <c r="L3828" s="21">
        <f>IFERROR(INDEX(Pedidos!$F$2:$F$1801,MATCH(B3828,Pedidos!$A$2:$A$1801,0)),"")</f>
        <v/>
      </c>
      <c r="M3828" s="22">
        <f>IFERROR(INDEX(Pedidos!$G$2:$G$1801,MATCH(B3828,Pedidos!$A$2:$A$1801,0)),0)</f>
        <v/>
      </c>
      <c r="N3828" s="21">
        <f>IFERROR(INDEX(Produtos!$B$2:$B$71,MATCH(C3828,Produtos!$A$2:$A$71,0)),"")</f>
        <v/>
      </c>
      <c r="O3828" s="21">
        <f>IFERROR(INDEX(Produtos!$C$2:$C$71,MATCH(C3828,Produtos!$A$2:$A$71,0)),"")</f>
        <v/>
      </c>
      <c r="P3828" s="21">
        <f>IFERROR(INDEX(Produtos!$D$2:$D$71,MATCH(C3828,Produtos!$A$2:$A$71,0)),0)</f>
        <v/>
      </c>
      <c r="Q3828" s="21">
        <f>IFERROR(INDEX(Produtos!$E$2:$E$71,MATCH(C3828,Produtos!$A$2:$A$71,0)),0)</f>
        <v/>
      </c>
      <c r="R3828" s="23">
        <f>D3828*Q3828</f>
        <v/>
      </c>
      <c r="S3828" s="23">
        <f>R3828*E3828</f>
        <v/>
      </c>
      <c r="T3828" s="23">
        <f>(R3828-S3828)*M3828</f>
        <v/>
      </c>
      <c r="U3828" s="23">
        <f>R3828-S3828-T3828</f>
        <v/>
      </c>
      <c r="V3828" s="23">
        <f>D3828*P3828</f>
        <v/>
      </c>
      <c r="W3828" s="23">
        <f>U3828-V3828</f>
        <v/>
      </c>
      <c r="X3828" s="24">
        <f>IFERROR(W3828/U3828,0)</f>
        <v/>
      </c>
    </row>
    <row r="3829">
      <c r="A3829" s="25">
        <f>ItensPedido!A3829</f>
        <v/>
      </c>
      <c r="B3829" s="25">
        <f>ItensPedido!B3829</f>
        <v/>
      </c>
      <c r="C3829" s="25">
        <f>ItensPedido!C3829</f>
        <v/>
      </c>
      <c r="D3829" s="25">
        <f>ItensPedido!D3829</f>
        <v/>
      </c>
      <c r="E3829" s="26">
        <f>ItensPedido!E3829</f>
        <v/>
      </c>
      <c r="F3829" s="25">
        <f>IFERROR(INDEX(Pedidos!$B$2:$B$1801,MATCH(B3829,Pedidos!$A$2:$A$1801,0)),0)</f>
        <v/>
      </c>
      <c r="G3829" s="25">
        <f>IF(F3829=0,"",YEAR(F3829))</f>
        <v/>
      </c>
      <c r="H3829" s="25">
        <f>IF(F3829=0,"",MONTH(F3829))</f>
        <v/>
      </c>
      <c r="I3829" s="25">
        <f>IFERROR(INDEX(Pedidos!$E$2:$E$1801,MATCH(B3829,Pedidos!$A$2:$A$1801,0)),"")</f>
        <v/>
      </c>
      <c r="J3829" s="25">
        <f>IFERROR(INDEX(Pedidos!$C$2:$C$1801,MATCH(B3829,Pedidos!$A$2:$A$1801,0)),"")</f>
        <v/>
      </c>
      <c r="K3829" s="25">
        <f>IFERROR(INDEX(Pedidos!$D$2:$D$1801,MATCH(B3829,Pedidos!$A$2:$A$1801,0)),"")</f>
        <v/>
      </c>
      <c r="L3829" s="25">
        <f>IFERROR(INDEX(Pedidos!$F$2:$F$1801,MATCH(B3829,Pedidos!$A$2:$A$1801,0)),"")</f>
        <v/>
      </c>
      <c r="M3829" s="26">
        <f>IFERROR(INDEX(Pedidos!$G$2:$G$1801,MATCH(B3829,Pedidos!$A$2:$A$1801,0)),0)</f>
        <v/>
      </c>
      <c r="N3829" s="25">
        <f>IFERROR(INDEX(Produtos!$B$2:$B$71,MATCH(C3829,Produtos!$A$2:$A$71,0)),"")</f>
        <v/>
      </c>
      <c r="O3829" s="25">
        <f>IFERROR(INDEX(Produtos!$C$2:$C$71,MATCH(C3829,Produtos!$A$2:$A$71,0)),"")</f>
        <v/>
      </c>
      <c r="P3829" s="25">
        <f>IFERROR(INDEX(Produtos!$D$2:$D$71,MATCH(C3829,Produtos!$A$2:$A$71,0)),0)</f>
        <v/>
      </c>
      <c r="Q3829" s="25">
        <f>IFERROR(INDEX(Produtos!$E$2:$E$71,MATCH(C3829,Produtos!$A$2:$A$71,0)),0)</f>
        <v/>
      </c>
      <c r="R3829" s="27">
        <f>D3829*Q3829</f>
        <v/>
      </c>
      <c r="S3829" s="27">
        <f>R3829*E3829</f>
        <v/>
      </c>
      <c r="T3829" s="27">
        <f>(R3829-S3829)*M3829</f>
        <v/>
      </c>
      <c r="U3829" s="27">
        <f>R3829-S3829-T3829</f>
        <v/>
      </c>
      <c r="V3829" s="27">
        <f>D3829*P3829</f>
        <v/>
      </c>
      <c r="W3829" s="27">
        <f>U3829-V3829</f>
        <v/>
      </c>
      <c r="X3829" s="28">
        <f>IFERROR(W3829/U3829,0)</f>
        <v/>
      </c>
    </row>
    <row r="3830">
      <c r="A3830" s="21">
        <f>ItensPedido!A3830</f>
        <v/>
      </c>
      <c r="B3830" s="21">
        <f>ItensPedido!B3830</f>
        <v/>
      </c>
      <c r="C3830" s="21">
        <f>ItensPedido!C3830</f>
        <v/>
      </c>
      <c r="D3830" s="21">
        <f>ItensPedido!D3830</f>
        <v/>
      </c>
      <c r="E3830" s="22">
        <f>ItensPedido!E3830</f>
        <v/>
      </c>
      <c r="F3830" s="21">
        <f>IFERROR(INDEX(Pedidos!$B$2:$B$1801,MATCH(B3830,Pedidos!$A$2:$A$1801,0)),0)</f>
        <v/>
      </c>
      <c r="G3830" s="21">
        <f>IF(F3830=0,"",YEAR(F3830))</f>
        <v/>
      </c>
      <c r="H3830" s="21">
        <f>IF(F3830=0,"",MONTH(F3830))</f>
        <v/>
      </c>
      <c r="I3830" s="21">
        <f>IFERROR(INDEX(Pedidos!$E$2:$E$1801,MATCH(B3830,Pedidos!$A$2:$A$1801,0)),"")</f>
        <v/>
      </c>
      <c r="J3830" s="21">
        <f>IFERROR(INDEX(Pedidos!$C$2:$C$1801,MATCH(B3830,Pedidos!$A$2:$A$1801,0)),"")</f>
        <v/>
      </c>
      <c r="K3830" s="21">
        <f>IFERROR(INDEX(Pedidos!$D$2:$D$1801,MATCH(B3830,Pedidos!$A$2:$A$1801,0)),"")</f>
        <v/>
      </c>
      <c r="L3830" s="21">
        <f>IFERROR(INDEX(Pedidos!$F$2:$F$1801,MATCH(B3830,Pedidos!$A$2:$A$1801,0)),"")</f>
        <v/>
      </c>
      <c r="M3830" s="22">
        <f>IFERROR(INDEX(Pedidos!$G$2:$G$1801,MATCH(B3830,Pedidos!$A$2:$A$1801,0)),0)</f>
        <v/>
      </c>
      <c r="N3830" s="21">
        <f>IFERROR(INDEX(Produtos!$B$2:$B$71,MATCH(C3830,Produtos!$A$2:$A$71,0)),"")</f>
        <v/>
      </c>
      <c r="O3830" s="21">
        <f>IFERROR(INDEX(Produtos!$C$2:$C$71,MATCH(C3830,Produtos!$A$2:$A$71,0)),"")</f>
        <v/>
      </c>
      <c r="P3830" s="21">
        <f>IFERROR(INDEX(Produtos!$D$2:$D$71,MATCH(C3830,Produtos!$A$2:$A$71,0)),0)</f>
        <v/>
      </c>
      <c r="Q3830" s="21">
        <f>IFERROR(INDEX(Produtos!$E$2:$E$71,MATCH(C3830,Produtos!$A$2:$A$71,0)),0)</f>
        <v/>
      </c>
      <c r="R3830" s="23">
        <f>D3830*Q3830</f>
        <v/>
      </c>
      <c r="S3830" s="23">
        <f>R3830*E3830</f>
        <v/>
      </c>
      <c r="T3830" s="23">
        <f>(R3830-S3830)*M3830</f>
        <v/>
      </c>
      <c r="U3830" s="23">
        <f>R3830-S3830-T3830</f>
        <v/>
      </c>
      <c r="V3830" s="23">
        <f>D3830*P3830</f>
        <v/>
      </c>
      <c r="W3830" s="23">
        <f>U3830-V3830</f>
        <v/>
      </c>
      <c r="X3830" s="24">
        <f>IFERROR(W3830/U3830,0)</f>
        <v/>
      </c>
    </row>
    <row r="3831">
      <c r="A3831" s="25">
        <f>ItensPedido!A3831</f>
        <v/>
      </c>
      <c r="B3831" s="25">
        <f>ItensPedido!B3831</f>
        <v/>
      </c>
      <c r="C3831" s="25">
        <f>ItensPedido!C3831</f>
        <v/>
      </c>
      <c r="D3831" s="25">
        <f>ItensPedido!D3831</f>
        <v/>
      </c>
      <c r="E3831" s="26">
        <f>ItensPedido!E3831</f>
        <v/>
      </c>
      <c r="F3831" s="25">
        <f>IFERROR(INDEX(Pedidos!$B$2:$B$1801,MATCH(B3831,Pedidos!$A$2:$A$1801,0)),0)</f>
        <v/>
      </c>
      <c r="G3831" s="25">
        <f>IF(F3831=0,"",YEAR(F3831))</f>
        <v/>
      </c>
      <c r="H3831" s="25">
        <f>IF(F3831=0,"",MONTH(F3831))</f>
        <v/>
      </c>
      <c r="I3831" s="25">
        <f>IFERROR(INDEX(Pedidos!$E$2:$E$1801,MATCH(B3831,Pedidos!$A$2:$A$1801,0)),"")</f>
        <v/>
      </c>
      <c r="J3831" s="25">
        <f>IFERROR(INDEX(Pedidos!$C$2:$C$1801,MATCH(B3831,Pedidos!$A$2:$A$1801,0)),"")</f>
        <v/>
      </c>
      <c r="K3831" s="25">
        <f>IFERROR(INDEX(Pedidos!$D$2:$D$1801,MATCH(B3831,Pedidos!$A$2:$A$1801,0)),"")</f>
        <v/>
      </c>
      <c r="L3831" s="25">
        <f>IFERROR(INDEX(Pedidos!$F$2:$F$1801,MATCH(B3831,Pedidos!$A$2:$A$1801,0)),"")</f>
        <v/>
      </c>
      <c r="M3831" s="26">
        <f>IFERROR(INDEX(Pedidos!$G$2:$G$1801,MATCH(B3831,Pedidos!$A$2:$A$1801,0)),0)</f>
        <v/>
      </c>
      <c r="N3831" s="25">
        <f>IFERROR(INDEX(Produtos!$B$2:$B$71,MATCH(C3831,Produtos!$A$2:$A$71,0)),"")</f>
        <v/>
      </c>
      <c r="O3831" s="25">
        <f>IFERROR(INDEX(Produtos!$C$2:$C$71,MATCH(C3831,Produtos!$A$2:$A$71,0)),"")</f>
        <v/>
      </c>
      <c r="P3831" s="25">
        <f>IFERROR(INDEX(Produtos!$D$2:$D$71,MATCH(C3831,Produtos!$A$2:$A$71,0)),0)</f>
        <v/>
      </c>
      <c r="Q3831" s="25">
        <f>IFERROR(INDEX(Produtos!$E$2:$E$71,MATCH(C3831,Produtos!$A$2:$A$71,0)),0)</f>
        <v/>
      </c>
      <c r="R3831" s="27">
        <f>D3831*Q3831</f>
        <v/>
      </c>
      <c r="S3831" s="27">
        <f>R3831*E3831</f>
        <v/>
      </c>
      <c r="T3831" s="27">
        <f>(R3831-S3831)*M3831</f>
        <v/>
      </c>
      <c r="U3831" s="27">
        <f>R3831-S3831-T3831</f>
        <v/>
      </c>
      <c r="V3831" s="27">
        <f>D3831*P3831</f>
        <v/>
      </c>
      <c r="W3831" s="27">
        <f>U3831-V3831</f>
        <v/>
      </c>
      <c r="X3831" s="28">
        <f>IFERROR(W3831/U3831,0)</f>
        <v/>
      </c>
    </row>
    <row r="3832">
      <c r="A3832" s="21">
        <f>ItensPedido!A3832</f>
        <v/>
      </c>
      <c r="B3832" s="21">
        <f>ItensPedido!B3832</f>
        <v/>
      </c>
      <c r="C3832" s="21">
        <f>ItensPedido!C3832</f>
        <v/>
      </c>
      <c r="D3832" s="21">
        <f>ItensPedido!D3832</f>
        <v/>
      </c>
      <c r="E3832" s="22">
        <f>ItensPedido!E3832</f>
        <v/>
      </c>
      <c r="F3832" s="21">
        <f>IFERROR(INDEX(Pedidos!$B$2:$B$1801,MATCH(B3832,Pedidos!$A$2:$A$1801,0)),0)</f>
        <v/>
      </c>
      <c r="G3832" s="21">
        <f>IF(F3832=0,"",YEAR(F3832))</f>
        <v/>
      </c>
      <c r="H3832" s="21">
        <f>IF(F3832=0,"",MONTH(F3832))</f>
        <v/>
      </c>
      <c r="I3832" s="21">
        <f>IFERROR(INDEX(Pedidos!$E$2:$E$1801,MATCH(B3832,Pedidos!$A$2:$A$1801,0)),"")</f>
        <v/>
      </c>
      <c r="J3832" s="21">
        <f>IFERROR(INDEX(Pedidos!$C$2:$C$1801,MATCH(B3832,Pedidos!$A$2:$A$1801,0)),"")</f>
        <v/>
      </c>
      <c r="K3832" s="21">
        <f>IFERROR(INDEX(Pedidos!$D$2:$D$1801,MATCH(B3832,Pedidos!$A$2:$A$1801,0)),"")</f>
        <v/>
      </c>
      <c r="L3832" s="21">
        <f>IFERROR(INDEX(Pedidos!$F$2:$F$1801,MATCH(B3832,Pedidos!$A$2:$A$1801,0)),"")</f>
        <v/>
      </c>
      <c r="M3832" s="22">
        <f>IFERROR(INDEX(Pedidos!$G$2:$G$1801,MATCH(B3832,Pedidos!$A$2:$A$1801,0)),0)</f>
        <v/>
      </c>
      <c r="N3832" s="21">
        <f>IFERROR(INDEX(Produtos!$B$2:$B$71,MATCH(C3832,Produtos!$A$2:$A$71,0)),"")</f>
        <v/>
      </c>
      <c r="O3832" s="21">
        <f>IFERROR(INDEX(Produtos!$C$2:$C$71,MATCH(C3832,Produtos!$A$2:$A$71,0)),"")</f>
        <v/>
      </c>
      <c r="P3832" s="21">
        <f>IFERROR(INDEX(Produtos!$D$2:$D$71,MATCH(C3832,Produtos!$A$2:$A$71,0)),0)</f>
        <v/>
      </c>
      <c r="Q3832" s="21">
        <f>IFERROR(INDEX(Produtos!$E$2:$E$71,MATCH(C3832,Produtos!$A$2:$A$71,0)),0)</f>
        <v/>
      </c>
      <c r="R3832" s="23">
        <f>D3832*Q3832</f>
        <v/>
      </c>
      <c r="S3832" s="23">
        <f>R3832*E3832</f>
        <v/>
      </c>
      <c r="T3832" s="23">
        <f>(R3832-S3832)*M3832</f>
        <v/>
      </c>
      <c r="U3832" s="23">
        <f>R3832-S3832-T3832</f>
        <v/>
      </c>
      <c r="V3832" s="23">
        <f>D3832*P3832</f>
        <v/>
      </c>
      <c r="W3832" s="23">
        <f>U3832-V3832</f>
        <v/>
      </c>
      <c r="X3832" s="24">
        <f>IFERROR(W3832/U3832,0)</f>
        <v/>
      </c>
    </row>
    <row r="3833">
      <c r="A3833" s="25">
        <f>ItensPedido!A3833</f>
        <v/>
      </c>
      <c r="B3833" s="25">
        <f>ItensPedido!B3833</f>
        <v/>
      </c>
      <c r="C3833" s="25">
        <f>ItensPedido!C3833</f>
        <v/>
      </c>
      <c r="D3833" s="25">
        <f>ItensPedido!D3833</f>
        <v/>
      </c>
      <c r="E3833" s="26">
        <f>ItensPedido!E3833</f>
        <v/>
      </c>
      <c r="F3833" s="25">
        <f>IFERROR(INDEX(Pedidos!$B$2:$B$1801,MATCH(B3833,Pedidos!$A$2:$A$1801,0)),0)</f>
        <v/>
      </c>
      <c r="G3833" s="25">
        <f>IF(F3833=0,"",YEAR(F3833))</f>
        <v/>
      </c>
      <c r="H3833" s="25">
        <f>IF(F3833=0,"",MONTH(F3833))</f>
        <v/>
      </c>
      <c r="I3833" s="25">
        <f>IFERROR(INDEX(Pedidos!$E$2:$E$1801,MATCH(B3833,Pedidos!$A$2:$A$1801,0)),"")</f>
        <v/>
      </c>
      <c r="J3833" s="25">
        <f>IFERROR(INDEX(Pedidos!$C$2:$C$1801,MATCH(B3833,Pedidos!$A$2:$A$1801,0)),"")</f>
        <v/>
      </c>
      <c r="K3833" s="25">
        <f>IFERROR(INDEX(Pedidos!$D$2:$D$1801,MATCH(B3833,Pedidos!$A$2:$A$1801,0)),"")</f>
        <v/>
      </c>
      <c r="L3833" s="25">
        <f>IFERROR(INDEX(Pedidos!$F$2:$F$1801,MATCH(B3833,Pedidos!$A$2:$A$1801,0)),"")</f>
        <v/>
      </c>
      <c r="M3833" s="26">
        <f>IFERROR(INDEX(Pedidos!$G$2:$G$1801,MATCH(B3833,Pedidos!$A$2:$A$1801,0)),0)</f>
        <v/>
      </c>
      <c r="N3833" s="25">
        <f>IFERROR(INDEX(Produtos!$B$2:$B$71,MATCH(C3833,Produtos!$A$2:$A$71,0)),"")</f>
        <v/>
      </c>
      <c r="O3833" s="25">
        <f>IFERROR(INDEX(Produtos!$C$2:$C$71,MATCH(C3833,Produtos!$A$2:$A$71,0)),"")</f>
        <v/>
      </c>
      <c r="P3833" s="25">
        <f>IFERROR(INDEX(Produtos!$D$2:$D$71,MATCH(C3833,Produtos!$A$2:$A$71,0)),0)</f>
        <v/>
      </c>
      <c r="Q3833" s="25">
        <f>IFERROR(INDEX(Produtos!$E$2:$E$71,MATCH(C3833,Produtos!$A$2:$A$71,0)),0)</f>
        <v/>
      </c>
      <c r="R3833" s="27">
        <f>D3833*Q3833</f>
        <v/>
      </c>
      <c r="S3833" s="27">
        <f>R3833*E3833</f>
        <v/>
      </c>
      <c r="T3833" s="27">
        <f>(R3833-S3833)*M3833</f>
        <v/>
      </c>
      <c r="U3833" s="27">
        <f>R3833-S3833-T3833</f>
        <v/>
      </c>
      <c r="V3833" s="27">
        <f>D3833*P3833</f>
        <v/>
      </c>
      <c r="W3833" s="27">
        <f>U3833-V3833</f>
        <v/>
      </c>
      <c r="X3833" s="28">
        <f>IFERROR(W3833/U3833,0)</f>
        <v/>
      </c>
    </row>
    <row r="3834">
      <c r="A3834" s="21">
        <f>ItensPedido!A3834</f>
        <v/>
      </c>
      <c r="B3834" s="21">
        <f>ItensPedido!B3834</f>
        <v/>
      </c>
      <c r="C3834" s="21">
        <f>ItensPedido!C3834</f>
        <v/>
      </c>
      <c r="D3834" s="21">
        <f>ItensPedido!D3834</f>
        <v/>
      </c>
      <c r="E3834" s="22">
        <f>ItensPedido!E3834</f>
        <v/>
      </c>
      <c r="F3834" s="21">
        <f>IFERROR(INDEX(Pedidos!$B$2:$B$1801,MATCH(B3834,Pedidos!$A$2:$A$1801,0)),0)</f>
        <v/>
      </c>
      <c r="G3834" s="21">
        <f>IF(F3834=0,"",YEAR(F3834))</f>
        <v/>
      </c>
      <c r="H3834" s="21">
        <f>IF(F3834=0,"",MONTH(F3834))</f>
        <v/>
      </c>
      <c r="I3834" s="21">
        <f>IFERROR(INDEX(Pedidos!$E$2:$E$1801,MATCH(B3834,Pedidos!$A$2:$A$1801,0)),"")</f>
        <v/>
      </c>
      <c r="J3834" s="21">
        <f>IFERROR(INDEX(Pedidos!$C$2:$C$1801,MATCH(B3834,Pedidos!$A$2:$A$1801,0)),"")</f>
        <v/>
      </c>
      <c r="K3834" s="21">
        <f>IFERROR(INDEX(Pedidos!$D$2:$D$1801,MATCH(B3834,Pedidos!$A$2:$A$1801,0)),"")</f>
        <v/>
      </c>
      <c r="L3834" s="21">
        <f>IFERROR(INDEX(Pedidos!$F$2:$F$1801,MATCH(B3834,Pedidos!$A$2:$A$1801,0)),"")</f>
        <v/>
      </c>
      <c r="M3834" s="22">
        <f>IFERROR(INDEX(Pedidos!$G$2:$G$1801,MATCH(B3834,Pedidos!$A$2:$A$1801,0)),0)</f>
        <v/>
      </c>
      <c r="N3834" s="21">
        <f>IFERROR(INDEX(Produtos!$B$2:$B$71,MATCH(C3834,Produtos!$A$2:$A$71,0)),"")</f>
        <v/>
      </c>
      <c r="O3834" s="21">
        <f>IFERROR(INDEX(Produtos!$C$2:$C$71,MATCH(C3834,Produtos!$A$2:$A$71,0)),"")</f>
        <v/>
      </c>
      <c r="P3834" s="21">
        <f>IFERROR(INDEX(Produtos!$D$2:$D$71,MATCH(C3834,Produtos!$A$2:$A$71,0)),0)</f>
        <v/>
      </c>
      <c r="Q3834" s="21">
        <f>IFERROR(INDEX(Produtos!$E$2:$E$71,MATCH(C3834,Produtos!$A$2:$A$71,0)),0)</f>
        <v/>
      </c>
      <c r="R3834" s="23">
        <f>D3834*Q3834</f>
        <v/>
      </c>
      <c r="S3834" s="23">
        <f>R3834*E3834</f>
        <v/>
      </c>
      <c r="T3834" s="23">
        <f>(R3834-S3834)*M3834</f>
        <v/>
      </c>
      <c r="U3834" s="23">
        <f>R3834-S3834-T3834</f>
        <v/>
      </c>
      <c r="V3834" s="23">
        <f>D3834*P3834</f>
        <v/>
      </c>
      <c r="W3834" s="23">
        <f>U3834-V3834</f>
        <v/>
      </c>
      <c r="X3834" s="24">
        <f>IFERROR(W3834/U3834,0)</f>
        <v/>
      </c>
    </row>
    <row r="3835">
      <c r="A3835" s="25">
        <f>ItensPedido!A3835</f>
        <v/>
      </c>
      <c r="B3835" s="25">
        <f>ItensPedido!B3835</f>
        <v/>
      </c>
      <c r="C3835" s="25">
        <f>ItensPedido!C3835</f>
        <v/>
      </c>
      <c r="D3835" s="25">
        <f>ItensPedido!D3835</f>
        <v/>
      </c>
      <c r="E3835" s="26">
        <f>ItensPedido!E3835</f>
        <v/>
      </c>
      <c r="F3835" s="25">
        <f>IFERROR(INDEX(Pedidos!$B$2:$B$1801,MATCH(B3835,Pedidos!$A$2:$A$1801,0)),0)</f>
        <v/>
      </c>
      <c r="G3835" s="25">
        <f>IF(F3835=0,"",YEAR(F3835))</f>
        <v/>
      </c>
      <c r="H3835" s="25">
        <f>IF(F3835=0,"",MONTH(F3835))</f>
        <v/>
      </c>
      <c r="I3835" s="25">
        <f>IFERROR(INDEX(Pedidos!$E$2:$E$1801,MATCH(B3835,Pedidos!$A$2:$A$1801,0)),"")</f>
        <v/>
      </c>
      <c r="J3835" s="25">
        <f>IFERROR(INDEX(Pedidos!$C$2:$C$1801,MATCH(B3835,Pedidos!$A$2:$A$1801,0)),"")</f>
        <v/>
      </c>
      <c r="K3835" s="25">
        <f>IFERROR(INDEX(Pedidos!$D$2:$D$1801,MATCH(B3835,Pedidos!$A$2:$A$1801,0)),"")</f>
        <v/>
      </c>
      <c r="L3835" s="25">
        <f>IFERROR(INDEX(Pedidos!$F$2:$F$1801,MATCH(B3835,Pedidos!$A$2:$A$1801,0)),"")</f>
        <v/>
      </c>
      <c r="M3835" s="26">
        <f>IFERROR(INDEX(Pedidos!$G$2:$G$1801,MATCH(B3835,Pedidos!$A$2:$A$1801,0)),0)</f>
        <v/>
      </c>
      <c r="N3835" s="25">
        <f>IFERROR(INDEX(Produtos!$B$2:$B$71,MATCH(C3835,Produtos!$A$2:$A$71,0)),"")</f>
        <v/>
      </c>
      <c r="O3835" s="25">
        <f>IFERROR(INDEX(Produtos!$C$2:$C$71,MATCH(C3835,Produtos!$A$2:$A$71,0)),"")</f>
        <v/>
      </c>
      <c r="P3835" s="25">
        <f>IFERROR(INDEX(Produtos!$D$2:$D$71,MATCH(C3835,Produtos!$A$2:$A$71,0)),0)</f>
        <v/>
      </c>
      <c r="Q3835" s="25">
        <f>IFERROR(INDEX(Produtos!$E$2:$E$71,MATCH(C3835,Produtos!$A$2:$A$71,0)),0)</f>
        <v/>
      </c>
      <c r="R3835" s="27">
        <f>D3835*Q3835</f>
        <v/>
      </c>
      <c r="S3835" s="27">
        <f>R3835*E3835</f>
        <v/>
      </c>
      <c r="T3835" s="27">
        <f>(R3835-S3835)*M3835</f>
        <v/>
      </c>
      <c r="U3835" s="27">
        <f>R3835-S3835-T3835</f>
        <v/>
      </c>
      <c r="V3835" s="27">
        <f>D3835*P3835</f>
        <v/>
      </c>
      <c r="W3835" s="27">
        <f>U3835-V3835</f>
        <v/>
      </c>
      <c r="X3835" s="28">
        <f>IFERROR(W3835/U3835,0)</f>
        <v/>
      </c>
    </row>
    <row r="3836">
      <c r="A3836" s="21">
        <f>ItensPedido!A3836</f>
        <v/>
      </c>
      <c r="B3836" s="21">
        <f>ItensPedido!B3836</f>
        <v/>
      </c>
      <c r="C3836" s="21">
        <f>ItensPedido!C3836</f>
        <v/>
      </c>
      <c r="D3836" s="21">
        <f>ItensPedido!D3836</f>
        <v/>
      </c>
      <c r="E3836" s="22">
        <f>ItensPedido!E3836</f>
        <v/>
      </c>
      <c r="F3836" s="21">
        <f>IFERROR(INDEX(Pedidos!$B$2:$B$1801,MATCH(B3836,Pedidos!$A$2:$A$1801,0)),0)</f>
        <v/>
      </c>
      <c r="G3836" s="21">
        <f>IF(F3836=0,"",YEAR(F3836))</f>
        <v/>
      </c>
      <c r="H3836" s="21">
        <f>IF(F3836=0,"",MONTH(F3836))</f>
        <v/>
      </c>
      <c r="I3836" s="21">
        <f>IFERROR(INDEX(Pedidos!$E$2:$E$1801,MATCH(B3836,Pedidos!$A$2:$A$1801,0)),"")</f>
        <v/>
      </c>
      <c r="J3836" s="21">
        <f>IFERROR(INDEX(Pedidos!$C$2:$C$1801,MATCH(B3836,Pedidos!$A$2:$A$1801,0)),"")</f>
        <v/>
      </c>
      <c r="K3836" s="21">
        <f>IFERROR(INDEX(Pedidos!$D$2:$D$1801,MATCH(B3836,Pedidos!$A$2:$A$1801,0)),"")</f>
        <v/>
      </c>
      <c r="L3836" s="21">
        <f>IFERROR(INDEX(Pedidos!$F$2:$F$1801,MATCH(B3836,Pedidos!$A$2:$A$1801,0)),"")</f>
        <v/>
      </c>
      <c r="M3836" s="22">
        <f>IFERROR(INDEX(Pedidos!$G$2:$G$1801,MATCH(B3836,Pedidos!$A$2:$A$1801,0)),0)</f>
        <v/>
      </c>
      <c r="N3836" s="21">
        <f>IFERROR(INDEX(Produtos!$B$2:$B$71,MATCH(C3836,Produtos!$A$2:$A$71,0)),"")</f>
        <v/>
      </c>
      <c r="O3836" s="21">
        <f>IFERROR(INDEX(Produtos!$C$2:$C$71,MATCH(C3836,Produtos!$A$2:$A$71,0)),"")</f>
        <v/>
      </c>
      <c r="P3836" s="21">
        <f>IFERROR(INDEX(Produtos!$D$2:$D$71,MATCH(C3836,Produtos!$A$2:$A$71,0)),0)</f>
        <v/>
      </c>
      <c r="Q3836" s="21">
        <f>IFERROR(INDEX(Produtos!$E$2:$E$71,MATCH(C3836,Produtos!$A$2:$A$71,0)),0)</f>
        <v/>
      </c>
      <c r="R3836" s="23">
        <f>D3836*Q3836</f>
        <v/>
      </c>
      <c r="S3836" s="23">
        <f>R3836*E3836</f>
        <v/>
      </c>
      <c r="T3836" s="23">
        <f>(R3836-S3836)*M3836</f>
        <v/>
      </c>
      <c r="U3836" s="23">
        <f>R3836-S3836-T3836</f>
        <v/>
      </c>
      <c r="V3836" s="23">
        <f>D3836*P3836</f>
        <v/>
      </c>
      <c r="W3836" s="23">
        <f>U3836-V3836</f>
        <v/>
      </c>
      <c r="X3836" s="24">
        <f>IFERROR(W3836/U3836,0)</f>
        <v/>
      </c>
    </row>
    <row r="3837">
      <c r="A3837" s="25">
        <f>ItensPedido!A3837</f>
        <v/>
      </c>
      <c r="B3837" s="25">
        <f>ItensPedido!B3837</f>
        <v/>
      </c>
      <c r="C3837" s="25">
        <f>ItensPedido!C3837</f>
        <v/>
      </c>
      <c r="D3837" s="25">
        <f>ItensPedido!D3837</f>
        <v/>
      </c>
      <c r="E3837" s="26">
        <f>ItensPedido!E3837</f>
        <v/>
      </c>
      <c r="F3837" s="25">
        <f>IFERROR(INDEX(Pedidos!$B$2:$B$1801,MATCH(B3837,Pedidos!$A$2:$A$1801,0)),0)</f>
        <v/>
      </c>
      <c r="G3837" s="25">
        <f>IF(F3837=0,"",YEAR(F3837))</f>
        <v/>
      </c>
      <c r="H3837" s="25">
        <f>IF(F3837=0,"",MONTH(F3837))</f>
        <v/>
      </c>
      <c r="I3837" s="25">
        <f>IFERROR(INDEX(Pedidos!$E$2:$E$1801,MATCH(B3837,Pedidos!$A$2:$A$1801,0)),"")</f>
        <v/>
      </c>
      <c r="J3837" s="25">
        <f>IFERROR(INDEX(Pedidos!$C$2:$C$1801,MATCH(B3837,Pedidos!$A$2:$A$1801,0)),"")</f>
        <v/>
      </c>
      <c r="K3837" s="25">
        <f>IFERROR(INDEX(Pedidos!$D$2:$D$1801,MATCH(B3837,Pedidos!$A$2:$A$1801,0)),"")</f>
        <v/>
      </c>
      <c r="L3837" s="25">
        <f>IFERROR(INDEX(Pedidos!$F$2:$F$1801,MATCH(B3837,Pedidos!$A$2:$A$1801,0)),"")</f>
        <v/>
      </c>
      <c r="M3837" s="26">
        <f>IFERROR(INDEX(Pedidos!$G$2:$G$1801,MATCH(B3837,Pedidos!$A$2:$A$1801,0)),0)</f>
        <v/>
      </c>
      <c r="N3837" s="25">
        <f>IFERROR(INDEX(Produtos!$B$2:$B$71,MATCH(C3837,Produtos!$A$2:$A$71,0)),"")</f>
        <v/>
      </c>
      <c r="O3837" s="25">
        <f>IFERROR(INDEX(Produtos!$C$2:$C$71,MATCH(C3837,Produtos!$A$2:$A$71,0)),"")</f>
        <v/>
      </c>
      <c r="P3837" s="25">
        <f>IFERROR(INDEX(Produtos!$D$2:$D$71,MATCH(C3837,Produtos!$A$2:$A$71,0)),0)</f>
        <v/>
      </c>
      <c r="Q3837" s="25">
        <f>IFERROR(INDEX(Produtos!$E$2:$E$71,MATCH(C3837,Produtos!$A$2:$A$71,0)),0)</f>
        <v/>
      </c>
      <c r="R3837" s="27">
        <f>D3837*Q3837</f>
        <v/>
      </c>
      <c r="S3837" s="27">
        <f>R3837*E3837</f>
        <v/>
      </c>
      <c r="T3837" s="27">
        <f>(R3837-S3837)*M3837</f>
        <v/>
      </c>
      <c r="U3837" s="27">
        <f>R3837-S3837-T3837</f>
        <v/>
      </c>
      <c r="V3837" s="27">
        <f>D3837*P3837</f>
        <v/>
      </c>
      <c r="W3837" s="27">
        <f>U3837-V3837</f>
        <v/>
      </c>
      <c r="X3837" s="28">
        <f>IFERROR(W3837/U3837,0)</f>
        <v/>
      </c>
    </row>
    <row r="3838">
      <c r="A3838" s="21">
        <f>ItensPedido!A3838</f>
        <v/>
      </c>
      <c r="B3838" s="21">
        <f>ItensPedido!B3838</f>
        <v/>
      </c>
      <c r="C3838" s="21">
        <f>ItensPedido!C3838</f>
        <v/>
      </c>
      <c r="D3838" s="21">
        <f>ItensPedido!D3838</f>
        <v/>
      </c>
      <c r="E3838" s="22">
        <f>ItensPedido!E3838</f>
        <v/>
      </c>
      <c r="F3838" s="21">
        <f>IFERROR(INDEX(Pedidos!$B$2:$B$1801,MATCH(B3838,Pedidos!$A$2:$A$1801,0)),0)</f>
        <v/>
      </c>
      <c r="G3838" s="21">
        <f>IF(F3838=0,"",YEAR(F3838))</f>
        <v/>
      </c>
      <c r="H3838" s="21">
        <f>IF(F3838=0,"",MONTH(F3838))</f>
        <v/>
      </c>
      <c r="I3838" s="21">
        <f>IFERROR(INDEX(Pedidos!$E$2:$E$1801,MATCH(B3838,Pedidos!$A$2:$A$1801,0)),"")</f>
        <v/>
      </c>
      <c r="J3838" s="21">
        <f>IFERROR(INDEX(Pedidos!$C$2:$C$1801,MATCH(B3838,Pedidos!$A$2:$A$1801,0)),"")</f>
        <v/>
      </c>
      <c r="K3838" s="21">
        <f>IFERROR(INDEX(Pedidos!$D$2:$D$1801,MATCH(B3838,Pedidos!$A$2:$A$1801,0)),"")</f>
        <v/>
      </c>
      <c r="L3838" s="21">
        <f>IFERROR(INDEX(Pedidos!$F$2:$F$1801,MATCH(B3838,Pedidos!$A$2:$A$1801,0)),"")</f>
        <v/>
      </c>
      <c r="M3838" s="22">
        <f>IFERROR(INDEX(Pedidos!$G$2:$G$1801,MATCH(B3838,Pedidos!$A$2:$A$1801,0)),0)</f>
        <v/>
      </c>
      <c r="N3838" s="21">
        <f>IFERROR(INDEX(Produtos!$B$2:$B$71,MATCH(C3838,Produtos!$A$2:$A$71,0)),"")</f>
        <v/>
      </c>
      <c r="O3838" s="21">
        <f>IFERROR(INDEX(Produtos!$C$2:$C$71,MATCH(C3838,Produtos!$A$2:$A$71,0)),"")</f>
        <v/>
      </c>
      <c r="P3838" s="21">
        <f>IFERROR(INDEX(Produtos!$D$2:$D$71,MATCH(C3838,Produtos!$A$2:$A$71,0)),0)</f>
        <v/>
      </c>
      <c r="Q3838" s="21">
        <f>IFERROR(INDEX(Produtos!$E$2:$E$71,MATCH(C3838,Produtos!$A$2:$A$71,0)),0)</f>
        <v/>
      </c>
      <c r="R3838" s="23">
        <f>D3838*Q3838</f>
        <v/>
      </c>
      <c r="S3838" s="23">
        <f>R3838*E3838</f>
        <v/>
      </c>
      <c r="T3838" s="23">
        <f>(R3838-S3838)*M3838</f>
        <v/>
      </c>
      <c r="U3838" s="23">
        <f>R3838-S3838-T3838</f>
        <v/>
      </c>
      <c r="V3838" s="23">
        <f>D3838*P3838</f>
        <v/>
      </c>
      <c r="W3838" s="23">
        <f>U3838-V3838</f>
        <v/>
      </c>
      <c r="X3838" s="24">
        <f>IFERROR(W3838/U3838,0)</f>
        <v/>
      </c>
    </row>
    <row r="3839">
      <c r="A3839" s="25">
        <f>ItensPedido!A3839</f>
        <v/>
      </c>
      <c r="B3839" s="25">
        <f>ItensPedido!B3839</f>
        <v/>
      </c>
      <c r="C3839" s="25">
        <f>ItensPedido!C3839</f>
        <v/>
      </c>
      <c r="D3839" s="25">
        <f>ItensPedido!D3839</f>
        <v/>
      </c>
      <c r="E3839" s="26">
        <f>ItensPedido!E3839</f>
        <v/>
      </c>
      <c r="F3839" s="25">
        <f>IFERROR(INDEX(Pedidos!$B$2:$B$1801,MATCH(B3839,Pedidos!$A$2:$A$1801,0)),0)</f>
        <v/>
      </c>
      <c r="G3839" s="25">
        <f>IF(F3839=0,"",YEAR(F3839))</f>
        <v/>
      </c>
      <c r="H3839" s="25">
        <f>IF(F3839=0,"",MONTH(F3839))</f>
        <v/>
      </c>
      <c r="I3839" s="25">
        <f>IFERROR(INDEX(Pedidos!$E$2:$E$1801,MATCH(B3839,Pedidos!$A$2:$A$1801,0)),"")</f>
        <v/>
      </c>
      <c r="J3839" s="25">
        <f>IFERROR(INDEX(Pedidos!$C$2:$C$1801,MATCH(B3839,Pedidos!$A$2:$A$1801,0)),"")</f>
        <v/>
      </c>
      <c r="K3839" s="25">
        <f>IFERROR(INDEX(Pedidos!$D$2:$D$1801,MATCH(B3839,Pedidos!$A$2:$A$1801,0)),"")</f>
        <v/>
      </c>
      <c r="L3839" s="25">
        <f>IFERROR(INDEX(Pedidos!$F$2:$F$1801,MATCH(B3839,Pedidos!$A$2:$A$1801,0)),"")</f>
        <v/>
      </c>
      <c r="M3839" s="26">
        <f>IFERROR(INDEX(Pedidos!$G$2:$G$1801,MATCH(B3839,Pedidos!$A$2:$A$1801,0)),0)</f>
        <v/>
      </c>
      <c r="N3839" s="25">
        <f>IFERROR(INDEX(Produtos!$B$2:$B$71,MATCH(C3839,Produtos!$A$2:$A$71,0)),"")</f>
        <v/>
      </c>
      <c r="O3839" s="25">
        <f>IFERROR(INDEX(Produtos!$C$2:$C$71,MATCH(C3839,Produtos!$A$2:$A$71,0)),"")</f>
        <v/>
      </c>
      <c r="P3839" s="25">
        <f>IFERROR(INDEX(Produtos!$D$2:$D$71,MATCH(C3839,Produtos!$A$2:$A$71,0)),0)</f>
        <v/>
      </c>
      <c r="Q3839" s="25">
        <f>IFERROR(INDEX(Produtos!$E$2:$E$71,MATCH(C3839,Produtos!$A$2:$A$71,0)),0)</f>
        <v/>
      </c>
      <c r="R3839" s="27">
        <f>D3839*Q3839</f>
        <v/>
      </c>
      <c r="S3839" s="27">
        <f>R3839*E3839</f>
        <v/>
      </c>
      <c r="T3839" s="27">
        <f>(R3839-S3839)*M3839</f>
        <v/>
      </c>
      <c r="U3839" s="27">
        <f>R3839-S3839-T3839</f>
        <v/>
      </c>
      <c r="V3839" s="27">
        <f>D3839*P3839</f>
        <v/>
      </c>
      <c r="W3839" s="27">
        <f>U3839-V3839</f>
        <v/>
      </c>
      <c r="X3839" s="28">
        <f>IFERROR(W3839/U3839,0)</f>
        <v/>
      </c>
    </row>
    <row r="3840">
      <c r="A3840" s="21">
        <f>ItensPedido!A3840</f>
        <v/>
      </c>
      <c r="B3840" s="21">
        <f>ItensPedido!B3840</f>
        <v/>
      </c>
      <c r="C3840" s="21">
        <f>ItensPedido!C3840</f>
        <v/>
      </c>
      <c r="D3840" s="21">
        <f>ItensPedido!D3840</f>
        <v/>
      </c>
      <c r="E3840" s="22">
        <f>ItensPedido!E3840</f>
        <v/>
      </c>
      <c r="F3840" s="21">
        <f>IFERROR(INDEX(Pedidos!$B$2:$B$1801,MATCH(B3840,Pedidos!$A$2:$A$1801,0)),0)</f>
        <v/>
      </c>
      <c r="G3840" s="21">
        <f>IF(F3840=0,"",YEAR(F3840))</f>
        <v/>
      </c>
      <c r="H3840" s="21">
        <f>IF(F3840=0,"",MONTH(F3840))</f>
        <v/>
      </c>
      <c r="I3840" s="21">
        <f>IFERROR(INDEX(Pedidos!$E$2:$E$1801,MATCH(B3840,Pedidos!$A$2:$A$1801,0)),"")</f>
        <v/>
      </c>
      <c r="J3840" s="21">
        <f>IFERROR(INDEX(Pedidos!$C$2:$C$1801,MATCH(B3840,Pedidos!$A$2:$A$1801,0)),"")</f>
        <v/>
      </c>
      <c r="K3840" s="21">
        <f>IFERROR(INDEX(Pedidos!$D$2:$D$1801,MATCH(B3840,Pedidos!$A$2:$A$1801,0)),"")</f>
        <v/>
      </c>
      <c r="L3840" s="21">
        <f>IFERROR(INDEX(Pedidos!$F$2:$F$1801,MATCH(B3840,Pedidos!$A$2:$A$1801,0)),"")</f>
        <v/>
      </c>
      <c r="M3840" s="22">
        <f>IFERROR(INDEX(Pedidos!$G$2:$G$1801,MATCH(B3840,Pedidos!$A$2:$A$1801,0)),0)</f>
        <v/>
      </c>
      <c r="N3840" s="21">
        <f>IFERROR(INDEX(Produtos!$B$2:$B$71,MATCH(C3840,Produtos!$A$2:$A$71,0)),"")</f>
        <v/>
      </c>
      <c r="O3840" s="21">
        <f>IFERROR(INDEX(Produtos!$C$2:$C$71,MATCH(C3840,Produtos!$A$2:$A$71,0)),"")</f>
        <v/>
      </c>
      <c r="P3840" s="21">
        <f>IFERROR(INDEX(Produtos!$D$2:$D$71,MATCH(C3840,Produtos!$A$2:$A$71,0)),0)</f>
        <v/>
      </c>
      <c r="Q3840" s="21">
        <f>IFERROR(INDEX(Produtos!$E$2:$E$71,MATCH(C3840,Produtos!$A$2:$A$71,0)),0)</f>
        <v/>
      </c>
      <c r="R3840" s="23">
        <f>D3840*Q3840</f>
        <v/>
      </c>
      <c r="S3840" s="23">
        <f>R3840*E3840</f>
        <v/>
      </c>
      <c r="T3840" s="23">
        <f>(R3840-S3840)*M3840</f>
        <v/>
      </c>
      <c r="U3840" s="23">
        <f>R3840-S3840-T3840</f>
        <v/>
      </c>
      <c r="V3840" s="23">
        <f>D3840*P3840</f>
        <v/>
      </c>
      <c r="W3840" s="23">
        <f>U3840-V3840</f>
        <v/>
      </c>
      <c r="X3840" s="24">
        <f>IFERROR(W3840/U3840,0)</f>
        <v/>
      </c>
    </row>
    <row r="3841">
      <c r="A3841" s="25">
        <f>ItensPedido!A3841</f>
        <v/>
      </c>
      <c r="B3841" s="25">
        <f>ItensPedido!B3841</f>
        <v/>
      </c>
      <c r="C3841" s="25">
        <f>ItensPedido!C3841</f>
        <v/>
      </c>
      <c r="D3841" s="25">
        <f>ItensPedido!D3841</f>
        <v/>
      </c>
      <c r="E3841" s="26">
        <f>ItensPedido!E3841</f>
        <v/>
      </c>
      <c r="F3841" s="25">
        <f>IFERROR(INDEX(Pedidos!$B$2:$B$1801,MATCH(B3841,Pedidos!$A$2:$A$1801,0)),0)</f>
        <v/>
      </c>
      <c r="G3841" s="25">
        <f>IF(F3841=0,"",YEAR(F3841))</f>
        <v/>
      </c>
      <c r="H3841" s="25">
        <f>IF(F3841=0,"",MONTH(F3841))</f>
        <v/>
      </c>
      <c r="I3841" s="25">
        <f>IFERROR(INDEX(Pedidos!$E$2:$E$1801,MATCH(B3841,Pedidos!$A$2:$A$1801,0)),"")</f>
        <v/>
      </c>
      <c r="J3841" s="25">
        <f>IFERROR(INDEX(Pedidos!$C$2:$C$1801,MATCH(B3841,Pedidos!$A$2:$A$1801,0)),"")</f>
        <v/>
      </c>
      <c r="K3841" s="25">
        <f>IFERROR(INDEX(Pedidos!$D$2:$D$1801,MATCH(B3841,Pedidos!$A$2:$A$1801,0)),"")</f>
        <v/>
      </c>
      <c r="L3841" s="25">
        <f>IFERROR(INDEX(Pedidos!$F$2:$F$1801,MATCH(B3841,Pedidos!$A$2:$A$1801,0)),"")</f>
        <v/>
      </c>
      <c r="M3841" s="26">
        <f>IFERROR(INDEX(Pedidos!$G$2:$G$1801,MATCH(B3841,Pedidos!$A$2:$A$1801,0)),0)</f>
        <v/>
      </c>
      <c r="N3841" s="25">
        <f>IFERROR(INDEX(Produtos!$B$2:$B$71,MATCH(C3841,Produtos!$A$2:$A$71,0)),"")</f>
        <v/>
      </c>
      <c r="O3841" s="25">
        <f>IFERROR(INDEX(Produtos!$C$2:$C$71,MATCH(C3841,Produtos!$A$2:$A$71,0)),"")</f>
        <v/>
      </c>
      <c r="P3841" s="25">
        <f>IFERROR(INDEX(Produtos!$D$2:$D$71,MATCH(C3841,Produtos!$A$2:$A$71,0)),0)</f>
        <v/>
      </c>
      <c r="Q3841" s="25">
        <f>IFERROR(INDEX(Produtos!$E$2:$E$71,MATCH(C3841,Produtos!$A$2:$A$71,0)),0)</f>
        <v/>
      </c>
      <c r="R3841" s="27">
        <f>D3841*Q3841</f>
        <v/>
      </c>
      <c r="S3841" s="27">
        <f>R3841*E3841</f>
        <v/>
      </c>
      <c r="T3841" s="27">
        <f>(R3841-S3841)*M3841</f>
        <v/>
      </c>
      <c r="U3841" s="27">
        <f>R3841-S3841-T3841</f>
        <v/>
      </c>
      <c r="V3841" s="27">
        <f>D3841*P3841</f>
        <v/>
      </c>
      <c r="W3841" s="27">
        <f>U3841-V3841</f>
        <v/>
      </c>
      <c r="X3841" s="28">
        <f>IFERROR(W3841/U3841,0)</f>
        <v/>
      </c>
    </row>
    <row r="3842">
      <c r="A3842" s="21">
        <f>ItensPedido!A3842</f>
        <v/>
      </c>
      <c r="B3842" s="21">
        <f>ItensPedido!B3842</f>
        <v/>
      </c>
      <c r="C3842" s="21">
        <f>ItensPedido!C3842</f>
        <v/>
      </c>
      <c r="D3842" s="21">
        <f>ItensPedido!D3842</f>
        <v/>
      </c>
      <c r="E3842" s="22">
        <f>ItensPedido!E3842</f>
        <v/>
      </c>
      <c r="F3842" s="21">
        <f>IFERROR(INDEX(Pedidos!$B$2:$B$1801,MATCH(B3842,Pedidos!$A$2:$A$1801,0)),0)</f>
        <v/>
      </c>
      <c r="G3842" s="21">
        <f>IF(F3842=0,"",YEAR(F3842))</f>
        <v/>
      </c>
      <c r="H3842" s="21">
        <f>IF(F3842=0,"",MONTH(F3842))</f>
        <v/>
      </c>
      <c r="I3842" s="21">
        <f>IFERROR(INDEX(Pedidos!$E$2:$E$1801,MATCH(B3842,Pedidos!$A$2:$A$1801,0)),"")</f>
        <v/>
      </c>
      <c r="J3842" s="21">
        <f>IFERROR(INDEX(Pedidos!$C$2:$C$1801,MATCH(B3842,Pedidos!$A$2:$A$1801,0)),"")</f>
        <v/>
      </c>
      <c r="K3842" s="21">
        <f>IFERROR(INDEX(Pedidos!$D$2:$D$1801,MATCH(B3842,Pedidos!$A$2:$A$1801,0)),"")</f>
        <v/>
      </c>
      <c r="L3842" s="21">
        <f>IFERROR(INDEX(Pedidos!$F$2:$F$1801,MATCH(B3842,Pedidos!$A$2:$A$1801,0)),"")</f>
        <v/>
      </c>
      <c r="M3842" s="22">
        <f>IFERROR(INDEX(Pedidos!$G$2:$G$1801,MATCH(B3842,Pedidos!$A$2:$A$1801,0)),0)</f>
        <v/>
      </c>
      <c r="N3842" s="21">
        <f>IFERROR(INDEX(Produtos!$B$2:$B$71,MATCH(C3842,Produtos!$A$2:$A$71,0)),"")</f>
        <v/>
      </c>
      <c r="O3842" s="21">
        <f>IFERROR(INDEX(Produtos!$C$2:$C$71,MATCH(C3842,Produtos!$A$2:$A$71,0)),"")</f>
        <v/>
      </c>
      <c r="P3842" s="21">
        <f>IFERROR(INDEX(Produtos!$D$2:$D$71,MATCH(C3842,Produtos!$A$2:$A$71,0)),0)</f>
        <v/>
      </c>
      <c r="Q3842" s="21">
        <f>IFERROR(INDEX(Produtos!$E$2:$E$71,MATCH(C3842,Produtos!$A$2:$A$71,0)),0)</f>
        <v/>
      </c>
      <c r="R3842" s="23">
        <f>D3842*Q3842</f>
        <v/>
      </c>
      <c r="S3842" s="23">
        <f>R3842*E3842</f>
        <v/>
      </c>
      <c r="T3842" s="23">
        <f>(R3842-S3842)*M3842</f>
        <v/>
      </c>
      <c r="U3842" s="23">
        <f>R3842-S3842-T3842</f>
        <v/>
      </c>
      <c r="V3842" s="23">
        <f>D3842*P3842</f>
        <v/>
      </c>
      <c r="W3842" s="23">
        <f>U3842-V3842</f>
        <v/>
      </c>
      <c r="X3842" s="24">
        <f>IFERROR(W3842/U3842,0)</f>
        <v/>
      </c>
    </row>
    <row r="3843">
      <c r="A3843" s="25">
        <f>ItensPedido!A3843</f>
        <v/>
      </c>
      <c r="B3843" s="25">
        <f>ItensPedido!B3843</f>
        <v/>
      </c>
      <c r="C3843" s="25">
        <f>ItensPedido!C3843</f>
        <v/>
      </c>
      <c r="D3843" s="25">
        <f>ItensPedido!D3843</f>
        <v/>
      </c>
      <c r="E3843" s="26">
        <f>ItensPedido!E3843</f>
        <v/>
      </c>
      <c r="F3843" s="25">
        <f>IFERROR(INDEX(Pedidos!$B$2:$B$1801,MATCH(B3843,Pedidos!$A$2:$A$1801,0)),0)</f>
        <v/>
      </c>
      <c r="G3843" s="25">
        <f>IF(F3843=0,"",YEAR(F3843))</f>
        <v/>
      </c>
      <c r="H3843" s="25">
        <f>IF(F3843=0,"",MONTH(F3843))</f>
        <v/>
      </c>
      <c r="I3843" s="25">
        <f>IFERROR(INDEX(Pedidos!$E$2:$E$1801,MATCH(B3843,Pedidos!$A$2:$A$1801,0)),"")</f>
        <v/>
      </c>
      <c r="J3843" s="25">
        <f>IFERROR(INDEX(Pedidos!$C$2:$C$1801,MATCH(B3843,Pedidos!$A$2:$A$1801,0)),"")</f>
        <v/>
      </c>
      <c r="K3843" s="25">
        <f>IFERROR(INDEX(Pedidos!$D$2:$D$1801,MATCH(B3843,Pedidos!$A$2:$A$1801,0)),"")</f>
        <v/>
      </c>
      <c r="L3843" s="25">
        <f>IFERROR(INDEX(Pedidos!$F$2:$F$1801,MATCH(B3843,Pedidos!$A$2:$A$1801,0)),"")</f>
        <v/>
      </c>
      <c r="M3843" s="26">
        <f>IFERROR(INDEX(Pedidos!$G$2:$G$1801,MATCH(B3843,Pedidos!$A$2:$A$1801,0)),0)</f>
        <v/>
      </c>
      <c r="N3843" s="25">
        <f>IFERROR(INDEX(Produtos!$B$2:$B$71,MATCH(C3843,Produtos!$A$2:$A$71,0)),"")</f>
        <v/>
      </c>
      <c r="O3843" s="25">
        <f>IFERROR(INDEX(Produtos!$C$2:$C$71,MATCH(C3843,Produtos!$A$2:$A$71,0)),"")</f>
        <v/>
      </c>
      <c r="P3843" s="25">
        <f>IFERROR(INDEX(Produtos!$D$2:$D$71,MATCH(C3843,Produtos!$A$2:$A$71,0)),0)</f>
        <v/>
      </c>
      <c r="Q3843" s="25">
        <f>IFERROR(INDEX(Produtos!$E$2:$E$71,MATCH(C3843,Produtos!$A$2:$A$71,0)),0)</f>
        <v/>
      </c>
      <c r="R3843" s="27">
        <f>D3843*Q3843</f>
        <v/>
      </c>
      <c r="S3843" s="27">
        <f>R3843*E3843</f>
        <v/>
      </c>
      <c r="T3843" s="27">
        <f>(R3843-S3843)*M3843</f>
        <v/>
      </c>
      <c r="U3843" s="27">
        <f>R3843-S3843-T3843</f>
        <v/>
      </c>
      <c r="V3843" s="27">
        <f>D3843*P3843</f>
        <v/>
      </c>
      <c r="W3843" s="27">
        <f>U3843-V3843</f>
        <v/>
      </c>
      <c r="X3843" s="28">
        <f>IFERROR(W3843/U3843,0)</f>
        <v/>
      </c>
    </row>
    <row r="3844">
      <c r="A3844" s="21">
        <f>ItensPedido!A3844</f>
        <v/>
      </c>
      <c r="B3844" s="21">
        <f>ItensPedido!B3844</f>
        <v/>
      </c>
      <c r="C3844" s="21">
        <f>ItensPedido!C3844</f>
        <v/>
      </c>
      <c r="D3844" s="21">
        <f>ItensPedido!D3844</f>
        <v/>
      </c>
      <c r="E3844" s="22">
        <f>ItensPedido!E3844</f>
        <v/>
      </c>
      <c r="F3844" s="21">
        <f>IFERROR(INDEX(Pedidos!$B$2:$B$1801,MATCH(B3844,Pedidos!$A$2:$A$1801,0)),0)</f>
        <v/>
      </c>
      <c r="G3844" s="21">
        <f>IF(F3844=0,"",YEAR(F3844))</f>
        <v/>
      </c>
      <c r="H3844" s="21">
        <f>IF(F3844=0,"",MONTH(F3844))</f>
        <v/>
      </c>
      <c r="I3844" s="21">
        <f>IFERROR(INDEX(Pedidos!$E$2:$E$1801,MATCH(B3844,Pedidos!$A$2:$A$1801,0)),"")</f>
        <v/>
      </c>
      <c r="J3844" s="21">
        <f>IFERROR(INDEX(Pedidos!$C$2:$C$1801,MATCH(B3844,Pedidos!$A$2:$A$1801,0)),"")</f>
        <v/>
      </c>
      <c r="K3844" s="21">
        <f>IFERROR(INDEX(Pedidos!$D$2:$D$1801,MATCH(B3844,Pedidos!$A$2:$A$1801,0)),"")</f>
        <v/>
      </c>
      <c r="L3844" s="21">
        <f>IFERROR(INDEX(Pedidos!$F$2:$F$1801,MATCH(B3844,Pedidos!$A$2:$A$1801,0)),"")</f>
        <v/>
      </c>
      <c r="M3844" s="22">
        <f>IFERROR(INDEX(Pedidos!$G$2:$G$1801,MATCH(B3844,Pedidos!$A$2:$A$1801,0)),0)</f>
        <v/>
      </c>
      <c r="N3844" s="21">
        <f>IFERROR(INDEX(Produtos!$B$2:$B$71,MATCH(C3844,Produtos!$A$2:$A$71,0)),"")</f>
        <v/>
      </c>
      <c r="O3844" s="21">
        <f>IFERROR(INDEX(Produtos!$C$2:$C$71,MATCH(C3844,Produtos!$A$2:$A$71,0)),"")</f>
        <v/>
      </c>
      <c r="P3844" s="21">
        <f>IFERROR(INDEX(Produtos!$D$2:$D$71,MATCH(C3844,Produtos!$A$2:$A$71,0)),0)</f>
        <v/>
      </c>
      <c r="Q3844" s="21">
        <f>IFERROR(INDEX(Produtos!$E$2:$E$71,MATCH(C3844,Produtos!$A$2:$A$71,0)),0)</f>
        <v/>
      </c>
      <c r="R3844" s="23">
        <f>D3844*Q3844</f>
        <v/>
      </c>
      <c r="S3844" s="23">
        <f>R3844*E3844</f>
        <v/>
      </c>
      <c r="T3844" s="23">
        <f>(R3844-S3844)*M3844</f>
        <v/>
      </c>
      <c r="U3844" s="23">
        <f>R3844-S3844-T3844</f>
        <v/>
      </c>
      <c r="V3844" s="23">
        <f>D3844*P3844</f>
        <v/>
      </c>
      <c r="W3844" s="23">
        <f>U3844-V3844</f>
        <v/>
      </c>
      <c r="X3844" s="24">
        <f>IFERROR(W3844/U3844,0)</f>
        <v/>
      </c>
    </row>
    <row r="3845">
      <c r="A3845" s="25">
        <f>ItensPedido!A3845</f>
        <v/>
      </c>
      <c r="B3845" s="25">
        <f>ItensPedido!B3845</f>
        <v/>
      </c>
      <c r="C3845" s="25">
        <f>ItensPedido!C3845</f>
        <v/>
      </c>
      <c r="D3845" s="25">
        <f>ItensPedido!D3845</f>
        <v/>
      </c>
      <c r="E3845" s="26">
        <f>ItensPedido!E3845</f>
        <v/>
      </c>
      <c r="F3845" s="25">
        <f>IFERROR(INDEX(Pedidos!$B$2:$B$1801,MATCH(B3845,Pedidos!$A$2:$A$1801,0)),0)</f>
        <v/>
      </c>
      <c r="G3845" s="25">
        <f>IF(F3845=0,"",YEAR(F3845))</f>
        <v/>
      </c>
      <c r="H3845" s="25">
        <f>IF(F3845=0,"",MONTH(F3845))</f>
        <v/>
      </c>
      <c r="I3845" s="25">
        <f>IFERROR(INDEX(Pedidos!$E$2:$E$1801,MATCH(B3845,Pedidos!$A$2:$A$1801,0)),"")</f>
        <v/>
      </c>
      <c r="J3845" s="25">
        <f>IFERROR(INDEX(Pedidos!$C$2:$C$1801,MATCH(B3845,Pedidos!$A$2:$A$1801,0)),"")</f>
        <v/>
      </c>
      <c r="K3845" s="25">
        <f>IFERROR(INDEX(Pedidos!$D$2:$D$1801,MATCH(B3845,Pedidos!$A$2:$A$1801,0)),"")</f>
        <v/>
      </c>
      <c r="L3845" s="25">
        <f>IFERROR(INDEX(Pedidos!$F$2:$F$1801,MATCH(B3845,Pedidos!$A$2:$A$1801,0)),"")</f>
        <v/>
      </c>
      <c r="M3845" s="26">
        <f>IFERROR(INDEX(Pedidos!$G$2:$G$1801,MATCH(B3845,Pedidos!$A$2:$A$1801,0)),0)</f>
        <v/>
      </c>
      <c r="N3845" s="25">
        <f>IFERROR(INDEX(Produtos!$B$2:$B$71,MATCH(C3845,Produtos!$A$2:$A$71,0)),"")</f>
        <v/>
      </c>
      <c r="O3845" s="25">
        <f>IFERROR(INDEX(Produtos!$C$2:$C$71,MATCH(C3845,Produtos!$A$2:$A$71,0)),"")</f>
        <v/>
      </c>
      <c r="P3845" s="25">
        <f>IFERROR(INDEX(Produtos!$D$2:$D$71,MATCH(C3845,Produtos!$A$2:$A$71,0)),0)</f>
        <v/>
      </c>
      <c r="Q3845" s="25">
        <f>IFERROR(INDEX(Produtos!$E$2:$E$71,MATCH(C3845,Produtos!$A$2:$A$71,0)),0)</f>
        <v/>
      </c>
      <c r="R3845" s="27">
        <f>D3845*Q3845</f>
        <v/>
      </c>
      <c r="S3845" s="27">
        <f>R3845*E3845</f>
        <v/>
      </c>
      <c r="T3845" s="27">
        <f>(R3845-S3845)*M3845</f>
        <v/>
      </c>
      <c r="U3845" s="27">
        <f>R3845-S3845-T3845</f>
        <v/>
      </c>
      <c r="V3845" s="27">
        <f>D3845*P3845</f>
        <v/>
      </c>
      <c r="W3845" s="27">
        <f>U3845-V3845</f>
        <v/>
      </c>
      <c r="X3845" s="28">
        <f>IFERROR(W3845/U3845,0)</f>
        <v/>
      </c>
    </row>
    <row r="3846">
      <c r="A3846" s="21">
        <f>ItensPedido!A3846</f>
        <v/>
      </c>
      <c r="B3846" s="21">
        <f>ItensPedido!B3846</f>
        <v/>
      </c>
      <c r="C3846" s="21">
        <f>ItensPedido!C3846</f>
        <v/>
      </c>
      <c r="D3846" s="21">
        <f>ItensPedido!D3846</f>
        <v/>
      </c>
      <c r="E3846" s="22">
        <f>ItensPedido!E3846</f>
        <v/>
      </c>
      <c r="F3846" s="21">
        <f>IFERROR(INDEX(Pedidos!$B$2:$B$1801,MATCH(B3846,Pedidos!$A$2:$A$1801,0)),0)</f>
        <v/>
      </c>
      <c r="G3846" s="21">
        <f>IF(F3846=0,"",YEAR(F3846))</f>
        <v/>
      </c>
      <c r="H3846" s="21">
        <f>IF(F3846=0,"",MONTH(F3846))</f>
        <v/>
      </c>
      <c r="I3846" s="21">
        <f>IFERROR(INDEX(Pedidos!$E$2:$E$1801,MATCH(B3846,Pedidos!$A$2:$A$1801,0)),"")</f>
        <v/>
      </c>
      <c r="J3846" s="21">
        <f>IFERROR(INDEX(Pedidos!$C$2:$C$1801,MATCH(B3846,Pedidos!$A$2:$A$1801,0)),"")</f>
        <v/>
      </c>
      <c r="K3846" s="21">
        <f>IFERROR(INDEX(Pedidos!$D$2:$D$1801,MATCH(B3846,Pedidos!$A$2:$A$1801,0)),"")</f>
        <v/>
      </c>
      <c r="L3846" s="21">
        <f>IFERROR(INDEX(Pedidos!$F$2:$F$1801,MATCH(B3846,Pedidos!$A$2:$A$1801,0)),"")</f>
        <v/>
      </c>
      <c r="M3846" s="22">
        <f>IFERROR(INDEX(Pedidos!$G$2:$G$1801,MATCH(B3846,Pedidos!$A$2:$A$1801,0)),0)</f>
        <v/>
      </c>
      <c r="N3846" s="21">
        <f>IFERROR(INDEX(Produtos!$B$2:$B$71,MATCH(C3846,Produtos!$A$2:$A$71,0)),"")</f>
        <v/>
      </c>
      <c r="O3846" s="21">
        <f>IFERROR(INDEX(Produtos!$C$2:$C$71,MATCH(C3846,Produtos!$A$2:$A$71,0)),"")</f>
        <v/>
      </c>
      <c r="P3846" s="21">
        <f>IFERROR(INDEX(Produtos!$D$2:$D$71,MATCH(C3846,Produtos!$A$2:$A$71,0)),0)</f>
        <v/>
      </c>
      <c r="Q3846" s="21">
        <f>IFERROR(INDEX(Produtos!$E$2:$E$71,MATCH(C3846,Produtos!$A$2:$A$71,0)),0)</f>
        <v/>
      </c>
      <c r="R3846" s="23">
        <f>D3846*Q3846</f>
        <v/>
      </c>
      <c r="S3846" s="23">
        <f>R3846*E3846</f>
        <v/>
      </c>
      <c r="T3846" s="23">
        <f>(R3846-S3846)*M3846</f>
        <v/>
      </c>
      <c r="U3846" s="23">
        <f>R3846-S3846-T3846</f>
        <v/>
      </c>
      <c r="V3846" s="23">
        <f>D3846*P3846</f>
        <v/>
      </c>
      <c r="W3846" s="23">
        <f>U3846-V3846</f>
        <v/>
      </c>
      <c r="X3846" s="24">
        <f>IFERROR(W3846/U3846,0)</f>
        <v/>
      </c>
    </row>
    <row r="3847">
      <c r="A3847" s="25">
        <f>ItensPedido!A3847</f>
        <v/>
      </c>
      <c r="B3847" s="25">
        <f>ItensPedido!B3847</f>
        <v/>
      </c>
      <c r="C3847" s="25">
        <f>ItensPedido!C3847</f>
        <v/>
      </c>
      <c r="D3847" s="25">
        <f>ItensPedido!D3847</f>
        <v/>
      </c>
      <c r="E3847" s="26">
        <f>ItensPedido!E3847</f>
        <v/>
      </c>
      <c r="F3847" s="25">
        <f>IFERROR(INDEX(Pedidos!$B$2:$B$1801,MATCH(B3847,Pedidos!$A$2:$A$1801,0)),0)</f>
        <v/>
      </c>
      <c r="G3847" s="25">
        <f>IF(F3847=0,"",YEAR(F3847))</f>
        <v/>
      </c>
      <c r="H3847" s="25">
        <f>IF(F3847=0,"",MONTH(F3847))</f>
        <v/>
      </c>
      <c r="I3847" s="25">
        <f>IFERROR(INDEX(Pedidos!$E$2:$E$1801,MATCH(B3847,Pedidos!$A$2:$A$1801,0)),"")</f>
        <v/>
      </c>
      <c r="J3847" s="25">
        <f>IFERROR(INDEX(Pedidos!$C$2:$C$1801,MATCH(B3847,Pedidos!$A$2:$A$1801,0)),"")</f>
        <v/>
      </c>
      <c r="K3847" s="25">
        <f>IFERROR(INDEX(Pedidos!$D$2:$D$1801,MATCH(B3847,Pedidos!$A$2:$A$1801,0)),"")</f>
        <v/>
      </c>
      <c r="L3847" s="25">
        <f>IFERROR(INDEX(Pedidos!$F$2:$F$1801,MATCH(B3847,Pedidos!$A$2:$A$1801,0)),"")</f>
        <v/>
      </c>
      <c r="M3847" s="26">
        <f>IFERROR(INDEX(Pedidos!$G$2:$G$1801,MATCH(B3847,Pedidos!$A$2:$A$1801,0)),0)</f>
        <v/>
      </c>
      <c r="N3847" s="25">
        <f>IFERROR(INDEX(Produtos!$B$2:$B$71,MATCH(C3847,Produtos!$A$2:$A$71,0)),"")</f>
        <v/>
      </c>
      <c r="O3847" s="25">
        <f>IFERROR(INDEX(Produtos!$C$2:$C$71,MATCH(C3847,Produtos!$A$2:$A$71,0)),"")</f>
        <v/>
      </c>
      <c r="P3847" s="25">
        <f>IFERROR(INDEX(Produtos!$D$2:$D$71,MATCH(C3847,Produtos!$A$2:$A$71,0)),0)</f>
        <v/>
      </c>
      <c r="Q3847" s="25">
        <f>IFERROR(INDEX(Produtos!$E$2:$E$71,MATCH(C3847,Produtos!$A$2:$A$71,0)),0)</f>
        <v/>
      </c>
      <c r="R3847" s="27">
        <f>D3847*Q3847</f>
        <v/>
      </c>
      <c r="S3847" s="27">
        <f>R3847*E3847</f>
        <v/>
      </c>
      <c r="T3847" s="27">
        <f>(R3847-S3847)*M3847</f>
        <v/>
      </c>
      <c r="U3847" s="27">
        <f>R3847-S3847-T3847</f>
        <v/>
      </c>
      <c r="V3847" s="27">
        <f>D3847*P3847</f>
        <v/>
      </c>
      <c r="W3847" s="27">
        <f>U3847-V3847</f>
        <v/>
      </c>
      <c r="X3847" s="28">
        <f>IFERROR(W3847/U3847,0)</f>
        <v/>
      </c>
    </row>
    <row r="3848">
      <c r="A3848" s="21">
        <f>ItensPedido!A3848</f>
        <v/>
      </c>
      <c r="B3848" s="21">
        <f>ItensPedido!B3848</f>
        <v/>
      </c>
      <c r="C3848" s="21">
        <f>ItensPedido!C3848</f>
        <v/>
      </c>
      <c r="D3848" s="21">
        <f>ItensPedido!D3848</f>
        <v/>
      </c>
      <c r="E3848" s="22">
        <f>ItensPedido!E3848</f>
        <v/>
      </c>
      <c r="F3848" s="21">
        <f>IFERROR(INDEX(Pedidos!$B$2:$B$1801,MATCH(B3848,Pedidos!$A$2:$A$1801,0)),0)</f>
        <v/>
      </c>
      <c r="G3848" s="21">
        <f>IF(F3848=0,"",YEAR(F3848))</f>
        <v/>
      </c>
      <c r="H3848" s="21">
        <f>IF(F3848=0,"",MONTH(F3848))</f>
        <v/>
      </c>
      <c r="I3848" s="21">
        <f>IFERROR(INDEX(Pedidos!$E$2:$E$1801,MATCH(B3848,Pedidos!$A$2:$A$1801,0)),"")</f>
        <v/>
      </c>
      <c r="J3848" s="21">
        <f>IFERROR(INDEX(Pedidos!$C$2:$C$1801,MATCH(B3848,Pedidos!$A$2:$A$1801,0)),"")</f>
        <v/>
      </c>
      <c r="K3848" s="21">
        <f>IFERROR(INDEX(Pedidos!$D$2:$D$1801,MATCH(B3848,Pedidos!$A$2:$A$1801,0)),"")</f>
        <v/>
      </c>
      <c r="L3848" s="21">
        <f>IFERROR(INDEX(Pedidos!$F$2:$F$1801,MATCH(B3848,Pedidos!$A$2:$A$1801,0)),"")</f>
        <v/>
      </c>
      <c r="M3848" s="22">
        <f>IFERROR(INDEX(Pedidos!$G$2:$G$1801,MATCH(B3848,Pedidos!$A$2:$A$1801,0)),0)</f>
        <v/>
      </c>
      <c r="N3848" s="21">
        <f>IFERROR(INDEX(Produtos!$B$2:$B$71,MATCH(C3848,Produtos!$A$2:$A$71,0)),"")</f>
        <v/>
      </c>
      <c r="O3848" s="21">
        <f>IFERROR(INDEX(Produtos!$C$2:$C$71,MATCH(C3848,Produtos!$A$2:$A$71,0)),"")</f>
        <v/>
      </c>
      <c r="P3848" s="21">
        <f>IFERROR(INDEX(Produtos!$D$2:$D$71,MATCH(C3848,Produtos!$A$2:$A$71,0)),0)</f>
        <v/>
      </c>
      <c r="Q3848" s="21">
        <f>IFERROR(INDEX(Produtos!$E$2:$E$71,MATCH(C3848,Produtos!$A$2:$A$71,0)),0)</f>
        <v/>
      </c>
      <c r="R3848" s="23">
        <f>D3848*Q3848</f>
        <v/>
      </c>
      <c r="S3848" s="23">
        <f>R3848*E3848</f>
        <v/>
      </c>
      <c r="T3848" s="23">
        <f>(R3848-S3848)*M3848</f>
        <v/>
      </c>
      <c r="U3848" s="23">
        <f>R3848-S3848-T3848</f>
        <v/>
      </c>
      <c r="V3848" s="23">
        <f>D3848*P3848</f>
        <v/>
      </c>
      <c r="W3848" s="23">
        <f>U3848-V3848</f>
        <v/>
      </c>
      <c r="X3848" s="24">
        <f>IFERROR(W3848/U3848,0)</f>
        <v/>
      </c>
    </row>
    <row r="3849">
      <c r="A3849" s="25">
        <f>ItensPedido!A3849</f>
        <v/>
      </c>
      <c r="B3849" s="25">
        <f>ItensPedido!B3849</f>
        <v/>
      </c>
      <c r="C3849" s="25">
        <f>ItensPedido!C3849</f>
        <v/>
      </c>
      <c r="D3849" s="25">
        <f>ItensPedido!D3849</f>
        <v/>
      </c>
      <c r="E3849" s="26">
        <f>ItensPedido!E3849</f>
        <v/>
      </c>
      <c r="F3849" s="25">
        <f>IFERROR(INDEX(Pedidos!$B$2:$B$1801,MATCH(B3849,Pedidos!$A$2:$A$1801,0)),0)</f>
        <v/>
      </c>
      <c r="G3849" s="25">
        <f>IF(F3849=0,"",YEAR(F3849))</f>
        <v/>
      </c>
      <c r="H3849" s="25">
        <f>IF(F3849=0,"",MONTH(F3849))</f>
        <v/>
      </c>
      <c r="I3849" s="25">
        <f>IFERROR(INDEX(Pedidos!$E$2:$E$1801,MATCH(B3849,Pedidos!$A$2:$A$1801,0)),"")</f>
        <v/>
      </c>
      <c r="J3849" s="25">
        <f>IFERROR(INDEX(Pedidos!$C$2:$C$1801,MATCH(B3849,Pedidos!$A$2:$A$1801,0)),"")</f>
        <v/>
      </c>
      <c r="K3849" s="25">
        <f>IFERROR(INDEX(Pedidos!$D$2:$D$1801,MATCH(B3849,Pedidos!$A$2:$A$1801,0)),"")</f>
        <v/>
      </c>
      <c r="L3849" s="25">
        <f>IFERROR(INDEX(Pedidos!$F$2:$F$1801,MATCH(B3849,Pedidos!$A$2:$A$1801,0)),"")</f>
        <v/>
      </c>
      <c r="M3849" s="26">
        <f>IFERROR(INDEX(Pedidos!$G$2:$G$1801,MATCH(B3849,Pedidos!$A$2:$A$1801,0)),0)</f>
        <v/>
      </c>
      <c r="N3849" s="25">
        <f>IFERROR(INDEX(Produtos!$B$2:$B$71,MATCH(C3849,Produtos!$A$2:$A$71,0)),"")</f>
        <v/>
      </c>
      <c r="O3849" s="25">
        <f>IFERROR(INDEX(Produtos!$C$2:$C$71,MATCH(C3849,Produtos!$A$2:$A$71,0)),"")</f>
        <v/>
      </c>
      <c r="P3849" s="25">
        <f>IFERROR(INDEX(Produtos!$D$2:$D$71,MATCH(C3849,Produtos!$A$2:$A$71,0)),0)</f>
        <v/>
      </c>
      <c r="Q3849" s="25">
        <f>IFERROR(INDEX(Produtos!$E$2:$E$71,MATCH(C3849,Produtos!$A$2:$A$71,0)),0)</f>
        <v/>
      </c>
      <c r="R3849" s="27">
        <f>D3849*Q3849</f>
        <v/>
      </c>
      <c r="S3849" s="27">
        <f>R3849*E3849</f>
        <v/>
      </c>
      <c r="T3849" s="27">
        <f>(R3849-S3849)*M3849</f>
        <v/>
      </c>
      <c r="U3849" s="27">
        <f>R3849-S3849-T3849</f>
        <v/>
      </c>
      <c r="V3849" s="27">
        <f>D3849*P3849</f>
        <v/>
      </c>
      <c r="W3849" s="27">
        <f>U3849-V3849</f>
        <v/>
      </c>
      <c r="X3849" s="28">
        <f>IFERROR(W3849/U3849,0)</f>
        <v/>
      </c>
    </row>
    <row r="3850">
      <c r="A3850" s="21">
        <f>ItensPedido!A3850</f>
        <v/>
      </c>
      <c r="B3850" s="21">
        <f>ItensPedido!B3850</f>
        <v/>
      </c>
      <c r="C3850" s="21">
        <f>ItensPedido!C3850</f>
        <v/>
      </c>
      <c r="D3850" s="21">
        <f>ItensPedido!D3850</f>
        <v/>
      </c>
      <c r="E3850" s="22">
        <f>ItensPedido!E3850</f>
        <v/>
      </c>
      <c r="F3850" s="21">
        <f>IFERROR(INDEX(Pedidos!$B$2:$B$1801,MATCH(B3850,Pedidos!$A$2:$A$1801,0)),0)</f>
        <v/>
      </c>
      <c r="G3850" s="21">
        <f>IF(F3850=0,"",YEAR(F3850))</f>
        <v/>
      </c>
      <c r="H3850" s="21">
        <f>IF(F3850=0,"",MONTH(F3850))</f>
        <v/>
      </c>
      <c r="I3850" s="21">
        <f>IFERROR(INDEX(Pedidos!$E$2:$E$1801,MATCH(B3850,Pedidos!$A$2:$A$1801,0)),"")</f>
        <v/>
      </c>
      <c r="J3850" s="21">
        <f>IFERROR(INDEX(Pedidos!$C$2:$C$1801,MATCH(B3850,Pedidos!$A$2:$A$1801,0)),"")</f>
        <v/>
      </c>
      <c r="K3850" s="21">
        <f>IFERROR(INDEX(Pedidos!$D$2:$D$1801,MATCH(B3850,Pedidos!$A$2:$A$1801,0)),"")</f>
        <v/>
      </c>
      <c r="L3850" s="21">
        <f>IFERROR(INDEX(Pedidos!$F$2:$F$1801,MATCH(B3850,Pedidos!$A$2:$A$1801,0)),"")</f>
        <v/>
      </c>
      <c r="M3850" s="22">
        <f>IFERROR(INDEX(Pedidos!$G$2:$G$1801,MATCH(B3850,Pedidos!$A$2:$A$1801,0)),0)</f>
        <v/>
      </c>
      <c r="N3850" s="21">
        <f>IFERROR(INDEX(Produtos!$B$2:$B$71,MATCH(C3850,Produtos!$A$2:$A$71,0)),"")</f>
        <v/>
      </c>
      <c r="O3850" s="21">
        <f>IFERROR(INDEX(Produtos!$C$2:$C$71,MATCH(C3850,Produtos!$A$2:$A$71,0)),"")</f>
        <v/>
      </c>
      <c r="P3850" s="21">
        <f>IFERROR(INDEX(Produtos!$D$2:$D$71,MATCH(C3850,Produtos!$A$2:$A$71,0)),0)</f>
        <v/>
      </c>
      <c r="Q3850" s="21">
        <f>IFERROR(INDEX(Produtos!$E$2:$E$71,MATCH(C3850,Produtos!$A$2:$A$71,0)),0)</f>
        <v/>
      </c>
      <c r="R3850" s="23">
        <f>D3850*Q3850</f>
        <v/>
      </c>
      <c r="S3850" s="23">
        <f>R3850*E3850</f>
        <v/>
      </c>
      <c r="T3850" s="23">
        <f>(R3850-S3850)*M3850</f>
        <v/>
      </c>
      <c r="U3850" s="23">
        <f>R3850-S3850-T3850</f>
        <v/>
      </c>
      <c r="V3850" s="23">
        <f>D3850*P3850</f>
        <v/>
      </c>
      <c r="W3850" s="23">
        <f>U3850-V3850</f>
        <v/>
      </c>
      <c r="X3850" s="24">
        <f>IFERROR(W3850/U3850,0)</f>
        <v/>
      </c>
    </row>
    <row r="3851">
      <c r="A3851" s="25">
        <f>ItensPedido!A3851</f>
        <v/>
      </c>
      <c r="B3851" s="25">
        <f>ItensPedido!B3851</f>
        <v/>
      </c>
      <c r="C3851" s="25">
        <f>ItensPedido!C3851</f>
        <v/>
      </c>
      <c r="D3851" s="25">
        <f>ItensPedido!D3851</f>
        <v/>
      </c>
      <c r="E3851" s="26">
        <f>ItensPedido!E3851</f>
        <v/>
      </c>
      <c r="F3851" s="25">
        <f>IFERROR(INDEX(Pedidos!$B$2:$B$1801,MATCH(B3851,Pedidos!$A$2:$A$1801,0)),0)</f>
        <v/>
      </c>
      <c r="G3851" s="25">
        <f>IF(F3851=0,"",YEAR(F3851))</f>
        <v/>
      </c>
      <c r="H3851" s="25">
        <f>IF(F3851=0,"",MONTH(F3851))</f>
        <v/>
      </c>
      <c r="I3851" s="25">
        <f>IFERROR(INDEX(Pedidos!$E$2:$E$1801,MATCH(B3851,Pedidos!$A$2:$A$1801,0)),"")</f>
        <v/>
      </c>
      <c r="J3851" s="25">
        <f>IFERROR(INDEX(Pedidos!$C$2:$C$1801,MATCH(B3851,Pedidos!$A$2:$A$1801,0)),"")</f>
        <v/>
      </c>
      <c r="K3851" s="25">
        <f>IFERROR(INDEX(Pedidos!$D$2:$D$1801,MATCH(B3851,Pedidos!$A$2:$A$1801,0)),"")</f>
        <v/>
      </c>
      <c r="L3851" s="25">
        <f>IFERROR(INDEX(Pedidos!$F$2:$F$1801,MATCH(B3851,Pedidos!$A$2:$A$1801,0)),"")</f>
        <v/>
      </c>
      <c r="M3851" s="26">
        <f>IFERROR(INDEX(Pedidos!$G$2:$G$1801,MATCH(B3851,Pedidos!$A$2:$A$1801,0)),0)</f>
        <v/>
      </c>
      <c r="N3851" s="25">
        <f>IFERROR(INDEX(Produtos!$B$2:$B$71,MATCH(C3851,Produtos!$A$2:$A$71,0)),"")</f>
        <v/>
      </c>
      <c r="O3851" s="25">
        <f>IFERROR(INDEX(Produtos!$C$2:$C$71,MATCH(C3851,Produtos!$A$2:$A$71,0)),"")</f>
        <v/>
      </c>
      <c r="P3851" s="25">
        <f>IFERROR(INDEX(Produtos!$D$2:$D$71,MATCH(C3851,Produtos!$A$2:$A$71,0)),0)</f>
        <v/>
      </c>
      <c r="Q3851" s="25">
        <f>IFERROR(INDEX(Produtos!$E$2:$E$71,MATCH(C3851,Produtos!$A$2:$A$71,0)),0)</f>
        <v/>
      </c>
      <c r="R3851" s="27">
        <f>D3851*Q3851</f>
        <v/>
      </c>
      <c r="S3851" s="27">
        <f>R3851*E3851</f>
        <v/>
      </c>
      <c r="T3851" s="27">
        <f>(R3851-S3851)*M3851</f>
        <v/>
      </c>
      <c r="U3851" s="27">
        <f>R3851-S3851-T3851</f>
        <v/>
      </c>
      <c r="V3851" s="27">
        <f>D3851*P3851</f>
        <v/>
      </c>
      <c r="W3851" s="27">
        <f>U3851-V3851</f>
        <v/>
      </c>
      <c r="X3851" s="28">
        <f>IFERROR(W3851/U3851,0)</f>
        <v/>
      </c>
    </row>
    <row r="3852">
      <c r="A3852" s="21">
        <f>ItensPedido!A3852</f>
        <v/>
      </c>
      <c r="B3852" s="21">
        <f>ItensPedido!B3852</f>
        <v/>
      </c>
      <c r="C3852" s="21">
        <f>ItensPedido!C3852</f>
        <v/>
      </c>
      <c r="D3852" s="21">
        <f>ItensPedido!D3852</f>
        <v/>
      </c>
      <c r="E3852" s="22">
        <f>ItensPedido!E3852</f>
        <v/>
      </c>
      <c r="F3852" s="21">
        <f>IFERROR(INDEX(Pedidos!$B$2:$B$1801,MATCH(B3852,Pedidos!$A$2:$A$1801,0)),0)</f>
        <v/>
      </c>
      <c r="G3852" s="21">
        <f>IF(F3852=0,"",YEAR(F3852))</f>
        <v/>
      </c>
      <c r="H3852" s="21">
        <f>IF(F3852=0,"",MONTH(F3852))</f>
        <v/>
      </c>
      <c r="I3852" s="21">
        <f>IFERROR(INDEX(Pedidos!$E$2:$E$1801,MATCH(B3852,Pedidos!$A$2:$A$1801,0)),"")</f>
        <v/>
      </c>
      <c r="J3852" s="21">
        <f>IFERROR(INDEX(Pedidos!$C$2:$C$1801,MATCH(B3852,Pedidos!$A$2:$A$1801,0)),"")</f>
        <v/>
      </c>
      <c r="K3852" s="21">
        <f>IFERROR(INDEX(Pedidos!$D$2:$D$1801,MATCH(B3852,Pedidos!$A$2:$A$1801,0)),"")</f>
        <v/>
      </c>
      <c r="L3852" s="21">
        <f>IFERROR(INDEX(Pedidos!$F$2:$F$1801,MATCH(B3852,Pedidos!$A$2:$A$1801,0)),"")</f>
        <v/>
      </c>
      <c r="M3852" s="22">
        <f>IFERROR(INDEX(Pedidos!$G$2:$G$1801,MATCH(B3852,Pedidos!$A$2:$A$1801,0)),0)</f>
        <v/>
      </c>
      <c r="N3852" s="21">
        <f>IFERROR(INDEX(Produtos!$B$2:$B$71,MATCH(C3852,Produtos!$A$2:$A$71,0)),"")</f>
        <v/>
      </c>
      <c r="O3852" s="21">
        <f>IFERROR(INDEX(Produtos!$C$2:$C$71,MATCH(C3852,Produtos!$A$2:$A$71,0)),"")</f>
        <v/>
      </c>
      <c r="P3852" s="21">
        <f>IFERROR(INDEX(Produtos!$D$2:$D$71,MATCH(C3852,Produtos!$A$2:$A$71,0)),0)</f>
        <v/>
      </c>
      <c r="Q3852" s="21">
        <f>IFERROR(INDEX(Produtos!$E$2:$E$71,MATCH(C3852,Produtos!$A$2:$A$71,0)),0)</f>
        <v/>
      </c>
      <c r="R3852" s="23">
        <f>D3852*Q3852</f>
        <v/>
      </c>
      <c r="S3852" s="23">
        <f>R3852*E3852</f>
        <v/>
      </c>
      <c r="T3852" s="23">
        <f>(R3852-S3852)*M3852</f>
        <v/>
      </c>
      <c r="U3852" s="23">
        <f>R3852-S3852-T3852</f>
        <v/>
      </c>
      <c r="V3852" s="23">
        <f>D3852*P3852</f>
        <v/>
      </c>
      <c r="W3852" s="23">
        <f>U3852-V3852</f>
        <v/>
      </c>
      <c r="X3852" s="24">
        <f>IFERROR(W3852/U3852,0)</f>
        <v/>
      </c>
    </row>
    <row r="3853">
      <c r="A3853" s="25">
        <f>ItensPedido!A3853</f>
        <v/>
      </c>
      <c r="B3853" s="25">
        <f>ItensPedido!B3853</f>
        <v/>
      </c>
      <c r="C3853" s="25">
        <f>ItensPedido!C3853</f>
        <v/>
      </c>
      <c r="D3853" s="25">
        <f>ItensPedido!D3853</f>
        <v/>
      </c>
      <c r="E3853" s="26">
        <f>ItensPedido!E3853</f>
        <v/>
      </c>
      <c r="F3853" s="25">
        <f>IFERROR(INDEX(Pedidos!$B$2:$B$1801,MATCH(B3853,Pedidos!$A$2:$A$1801,0)),0)</f>
        <v/>
      </c>
      <c r="G3853" s="25">
        <f>IF(F3853=0,"",YEAR(F3853))</f>
        <v/>
      </c>
      <c r="H3853" s="25">
        <f>IF(F3853=0,"",MONTH(F3853))</f>
        <v/>
      </c>
      <c r="I3853" s="25">
        <f>IFERROR(INDEX(Pedidos!$E$2:$E$1801,MATCH(B3853,Pedidos!$A$2:$A$1801,0)),"")</f>
        <v/>
      </c>
      <c r="J3853" s="25">
        <f>IFERROR(INDEX(Pedidos!$C$2:$C$1801,MATCH(B3853,Pedidos!$A$2:$A$1801,0)),"")</f>
        <v/>
      </c>
      <c r="K3853" s="25">
        <f>IFERROR(INDEX(Pedidos!$D$2:$D$1801,MATCH(B3853,Pedidos!$A$2:$A$1801,0)),"")</f>
        <v/>
      </c>
      <c r="L3853" s="25">
        <f>IFERROR(INDEX(Pedidos!$F$2:$F$1801,MATCH(B3853,Pedidos!$A$2:$A$1801,0)),"")</f>
        <v/>
      </c>
      <c r="M3853" s="26">
        <f>IFERROR(INDEX(Pedidos!$G$2:$G$1801,MATCH(B3853,Pedidos!$A$2:$A$1801,0)),0)</f>
        <v/>
      </c>
      <c r="N3853" s="25">
        <f>IFERROR(INDEX(Produtos!$B$2:$B$71,MATCH(C3853,Produtos!$A$2:$A$71,0)),"")</f>
        <v/>
      </c>
      <c r="O3853" s="25">
        <f>IFERROR(INDEX(Produtos!$C$2:$C$71,MATCH(C3853,Produtos!$A$2:$A$71,0)),"")</f>
        <v/>
      </c>
      <c r="P3853" s="25">
        <f>IFERROR(INDEX(Produtos!$D$2:$D$71,MATCH(C3853,Produtos!$A$2:$A$71,0)),0)</f>
        <v/>
      </c>
      <c r="Q3853" s="25">
        <f>IFERROR(INDEX(Produtos!$E$2:$E$71,MATCH(C3853,Produtos!$A$2:$A$71,0)),0)</f>
        <v/>
      </c>
      <c r="R3853" s="27">
        <f>D3853*Q3853</f>
        <v/>
      </c>
      <c r="S3853" s="27">
        <f>R3853*E3853</f>
        <v/>
      </c>
      <c r="T3853" s="27">
        <f>(R3853-S3853)*M3853</f>
        <v/>
      </c>
      <c r="U3853" s="27">
        <f>R3853-S3853-T3853</f>
        <v/>
      </c>
      <c r="V3853" s="27">
        <f>D3853*P3853</f>
        <v/>
      </c>
      <c r="W3853" s="27">
        <f>U3853-V3853</f>
        <v/>
      </c>
      <c r="X3853" s="28">
        <f>IFERROR(W3853/U3853,0)</f>
        <v/>
      </c>
    </row>
    <row r="3854">
      <c r="A3854" s="21">
        <f>ItensPedido!A3854</f>
        <v/>
      </c>
      <c r="B3854" s="21">
        <f>ItensPedido!B3854</f>
        <v/>
      </c>
      <c r="C3854" s="21">
        <f>ItensPedido!C3854</f>
        <v/>
      </c>
      <c r="D3854" s="21">
        <f>ItensPedido!D3854</f>
        <v/>
      </c>
      <c r="E3854" s="22">
        <f>ItensPedido!E3854</f>
        <v/>
      </c>
      <c r="F3854" s="21">
        <f>IFERROR(INDEX(Pedidos!$B$2:$B$1801,MATCH(B3854,Pedidos!$A$2:$A$1801,0)),0)</f>
        <v/>
      </c>
      <c r="G3854" s="21">
        <f>IF(F3854=0,"",YEAR(F3854))</f>
        <v/>
      </c>
      <c r="H3854" s="21">
        <f>IF(F3854=0,"",MONTH(F3854))</f>
        <v/>
      </c>
      <c r="I3854" s="21">
        <f>IFERROR(INDEX(Pedidos!$E$2:$E$1801,MATCH(B3854,Pedidos!$A$2:$A$1801,0)),"")</f>
        <v/>
      </c>
      <c r="J3854" s="21">
        <f>IFERROR(INDEX(Pedidos!$C$2:$C$1801,MATCH(B3854,Pedidos!$A$2:$A$1801,0)),"")</f>
        <v/>
      </c>
      <c r="K3854" s="21">
        <f>IFERROR(INDEX(Pedidos!$D$2:$D$1801,MATCH(B3854,Pedidos!$A$2:$A$1801,0)),"")</f>
        <v/>
      </c>
      <c r="L3854" s="21">
        <f>IFERROR(INDEX(Pedidos!$F$2:$F$1801,MATCH(B3854,Pedidos!$A$2:$A$1801,0)),"")</f>
        <v/>
      </c>
      <c r="M3854" s="22">
        <f>IFERROR(INDEX(Pedidos!$G$2:$G$1801,MATCH(B3854,Pedidos!$A$2:$A$1801,0)),0)</f>
        <v/>
      </c>
      <c r="N3854" s="21">
        <f>IFERROR(INDEX(Produtos!$B$2:$B$71,MATCH(C3854,Produtos!$A$2:$A$71,0)),"")</f>
        <v/>
      </c>
      <c r="O3854" s="21">
        <f>IFERROR(INDEX(Produtos!$C$2:$C$71,MATCH(C3854,Produtos!$A$2:$A$71,0)),"")</f>
        <v/>
      </c>
      <c r="P3854" s="21">
        <f>IFERROR(INDEX(Produtos!$D$2:$D$71,MATCH(C3854,Produtos!$A$2:$A$71,0)),0)</f>
        <v/>
      </c>
      <c r="Q3854" s="21">
        <f>IFERROR(INDEX(Produtos!$E$2:$E$71,MATCH(C3854,Produtos!$A$2:$A$71,0)),0)</f>
        <v/>
      </c>
      <c r="R3854" s="23">
        <f>D3854*Q3854</f>
        <v/>
      </c>
      <c r="S3854" s="23">
        <f>R3854*E3854</f>
        <v/>
      </c>
      <c r="T3854" s="23">
        <f>(R3854-S3854)*M3854</f>
        <v/>
      </c>
      <c r="U3854" s="23">
        <f>R3854-S3854-T3854</f>
        <v/>
      </c>
      <c r="V3854" s="23">
        <f>D3854*P3854</f>
        <v/>
      </c>
      <c r="W3854" s="23">
        <f>U3854-V3854</f>
        <v/>
      </c>
      <c r="X3854" s="24">
        <f>IFERROR(W3854/U3854,0)</f>
        <v/>
      </c>
    </row>
    <row r="3855">
      <c r="A3855" s="25">
        <f>ItensPedido!A3855</f>
        <v/>
      </c>
      <c r="B3855" s="25">
        <f>ItensPedido!B3855</f>
        <v/>
      </c>
      <c r="C3855" s="25">
        <f>ItensPedido!C3855</f>
        <v/>
      </c>
      <c r="D3855" s="25">
        <f>ItensPedido!D3855</f>
        <v/>
      </c>
      <c r="E3855" s="26">
        <f>ItensPedido!E3855</f>
        <v/>
      </c>
      <c r="F3855" s="25">
        <f>IFERROR(INDEX(Pedidos!$B$2:$B$1801,MATCH(B3855,Pedidos!$A$2:$A$1801,0)),0)</f>
        <v/>
      </c>
      <c r="G3855" s="25">
        <f>IF(F3855=0,"",YEAR(F3855))</f>
        <v/>
      </c>
      <c r="H3855" s="25">
        <f>IF(F3855=0,"",MONTH(F3855))</f>
        <v/>
      </c>
      <c r="I3855" s="25">
        <f>IFERROR(INDEX(Pedidos!$E$2:$E$1801,MATCH(B3855,Pedidos!$A$2:$A$1801,0)),"")</f>
        <v/>
      </c>
      <c r="J3855" s="25">
        <f>IFERROR(INDEX(Pedidos!$C$2:$C$1801,MATCH(B3855,Pedidos!$A$2:$A$1801,0)),"")</f>
        <v/>
      </c>
      <c r="K3855" s="25">
        <f>IFERROR(INDEX(Pedidos!$D$2:$D$1801,MATCH(B3855,Pedidos!$A$2:$A$1801,0)),"")</f>
        <v/>
      </c>
      <c r="L3855" s="25">
        <f>IFERROR(INDEX(Pedidos!$F$2:$F$1801,MATCH(B3855,Pedidos!$A$2:$A$1801,0)),"")</f>
        <v/>
      </c>
      <c r="M3855" s="26">
        <f>IFERROR(INDEX(Pedidos!$G$2:$G$1801,MATCH(B3855,Pedidos!$A$2:$A$1801,0)),0)</f>
        <v/>
      </c>
      <c r="N3855" s="25">
        <f>IFERROR(INDEX(Produtos!$B$2:$B$71,MATCH(C3855,Produtos!$A$2:$A$71,0)),"")</f>
        <v/>
      </c>
      <c r="O3855" s="25">
        <f>IFERROR(INDEX(Produtos!$C$2:$C$71,MATCH(C3855,Produtos!$A$2:$A$71,0)),"")</f>
        <v/>
      </c>
      <c r="P3855" s="25">
        <f>IFERROR(INDEX(Produtos!$D$2:$D$71,MATCH(C3855,Produtos!$A$2:$A$71,0)),0)</f>
        <v/>
      </c>
      <c r="Q3855" s="25">
        <f>IFERROR(INDEX(Produtos!$E$2:$E$71,MATCH(C3855,Produtos!$A$2:$A$71,0)),0)</f>
        <v/>
      </c>
      <c r="R3855" s="27">
        <f>D3855*Q3855</f>
        <v/>
      </c>
      <c r="S3855" s="27">
        <f>R3855*E3855</f>
        <v/>
      </c>
      <c r="T3855" s="27">
        <f>(R3855-S3855)*M3855</f>
        <v/>
      </c>
      <c r="U3855" s="27">
        <f>R3855-S3855-T3855</f>
        <v/>
      </c>
      <c r="V3855" s="27">
        <f>D3855*P3855</f>
        <v/>
      </c>
      <c r="W3855" s="27">
        <f>U3855-V3855</f>
        <v/>
      </c>
      <c r="X3855" s="28">
        <f>IFERROR(W3855/U3855,0)</f>
        <v/>
      </c>
    </row>
    <row r="3856">
      <c r="A3856" s="21">
        <f>ItensPedido!A3856</f>
        <v/>
      </c>
      <c r="B3856" s="21">
        <f>ItensPedido!B3856</f>
        <v/>
      </c>
      <c r="C3856" s="21">
        <f>ItensPedido!C3856</f>
        <v/>
      </c>
      <c r="D3856" s="21">
        <f>ItensPedido!D3856</f>
        <v/>
      </c>
      <c r="E3856" s="22">
        <f>ItensPedido!E3856</f>
        <v/>
      </c>
      <c r="F3856" s="21">
        <f>IFERROR(INDEX(Pedidos!$B$2:$B$1801,MATCH(B3856,Pedidos!$A$2:$A$1801,0)),0)</f>
        <v/>
      </c>
      <c r="G3856" s="21">
        <f>IF(F3856=0,"",YEAR(F3856))</f>
        <v/>
      </c>
      <c r="H3856" s="21">
        <f>IF(F3856=0,"",MONTH(F3856))</f>
        <v/>
      </c>
      <c r="I3856" s="21">
        <f>IFERROR(INDEX(Pedidos!$E$2:$E$1801,MATCH(B3856,Pedidos!$A$2:$A$1801,0)),"")</f>
        <v/>
      </c>
      <c r="J3856" s="21">
        <f>IFERROR(INDEX(Pedidos!$C$2:$C$1801,MATCH(B3856,Pedidos!$A$2:$A$1801,0)),"")</f>
        <v/>
      </c>
      <c r="K3856" s="21">
        <f>IFERROR(INDEX(Pedidos!$D$2:$D$1801,MATCH(B3856,Pedidos!$A$2:$A$1801,0)),"")</f>
        <v/>
      </c>
      <c r="L3856" s="21">
        <f>IFERROR(INDEX(Pedidos!$F$2:$F$1801,MATCH(B3856,Pedidos!$A$2:$A$1801,0)),"")</f>
        <v/>
      </c>
      <c r="M3856" s="22">
        <f>IFERROR(INDEX(Pedidos!$G$2:$G$1801,MATCH(B3856,Pedidos!$A$2:$A$1801,0)),0)</f>
        <v/>
      </c>
      <c r="N3856" s="21">
        <f>IFERROR(INDEX(Produtos!$B$2:$B$71,MATCH(C3856,Produtos!$A$2:$A$71,0)),"")</f>
        <v/>
      </c>
      <c r="O3856" s="21">
        <f>IFERROR(INDEX(Produtos!$C$2:$C$71,MATCH(C3856,Produtos!$A$2:$A$71,0)),"")</f>
        <v/>
      </c>
      <c r="P3856" s="21">
        <f>IFERROR(INDEX(Produtos!$D$2:$D$71,MATCH(C3856,Produtos!$A$2:$A$71,0)),0)</f>
        <v/>
      </c>
      <c r="Q3856" s="21">
        <f>IFERROR(INDEX(Produtos!$E$2:$E$71,MATCH(C3856,Produtos!$A$2:$A$71,0)),0)</f>
        <v/>
      </c>
      <c r="R3856" s="23">
        <f>D3856*Q3856</f>
        <v/>
      </c>
      <c r="S3856" s="23">
        <f>R3856*E3856</f>
        <v/>
      </c>
      <c r="T3856" s="23">
        <f>(R3856-S3856)*M3856</f>
        <v/>
      </c>
      <c r="U3856" s="23">
        <f>R3856-S3856-T3856</f>
        <v/>
      </c>
      <c r="V3856" s="23">
        <f>D3856*P3856</f>
        <v/>
      </c>
      <c r="W3856" s="23">
        <f>U3856-V3856</f>
        <v/>
      </c>
      <c r="X3856" s="24">
        <f>IFERROR(W3856/U3856,0)</f>
        <v/>
      </c>
    </row>
    <row r="3857">
      <c r="A3857" s="25">
        <f>ItensPedido!A3857</f>
        <v/>
      </c>
      <c r="B3857" s="25">
        <f>ItensPedido!B3857</f>
        <v/>
      </c>
      <c r="C3857" s="25">
        <f>ItensPedido!C3857</f>
        <v/>
      </c>
      <c r="D3857" s="25">
        <f>ItensPedido!D3857</f>
        <v/>
      </c>
      <c r="E3857" s="26">
        <f>ItensPedido!E3857</f>
        <v/>
      </c>
      <c r="F3857" s="25">
        <f>IFERROR(INDEX(Pedidos!$B$2:$B$1801,MATCH(B3857,Pedidos!$A$2:$A$1801,0)),0)</f>
        <v/>
      </c>
      <c r="G3857" s="25">
        <f>IF(F3857=0,"",YEAR(F3857))</f>
        <v/>
      </c>
      <c r="H3857" s="25">
        <f>IF(F3857=0,"",MONTH(F3857))</f>
        <v/>
      </c>
      <c r="I3857" s="25">
        <f>IFERROR(INDEX(Pedidos!$E$2:$E$1801,MATCH(B3857,Pedidos!$A$2:$A$1801,0)),"")</f>
        <v/>
      </c>
      <c r="J3857" s="25">
        <f>IFERROR(INDEX(Pedidos!$C$2:$C$1801,MATCH(B3857,Pedidos!$A$2:$A$1801,0)),"")</f>
        <v/>
      </c>
      <c r="K3857" s="25">
        <f>IFERROR(INDEX(Pedidos!$D$2:$D$1801,MATCH(B3857,Pedidos!$A$2:$A$1801,0)),"")</f>
        <v/>
      </c>
      <c r="L3857" s="25">
        <f>IFERROR(INDEX(Pedidos!$F$2:$F$1801,MATCH(B3857,Pedidos!$A$2:$A$1801,0)),"")</f>
        <v/>
      </c>
      <c r="M3857" s="26">
        <f>IFERROR(INDEX(Pedidos!$G$2:$G$1801,MATCH(B3857,Pedidos!$A$2:$A$1801,0)),0)</f>
        <v/>
      </c>
      <c r="N3857" s="25">
        <f>IFERROR(INDEX(Produtos!$B$2:$B$71,MATCH(C3857,Produtos!$A$2:$A$71,0)),"")</f>
        <v/>
      </c>
      <c r="O3857" s="25">
        <f>IFERROR(INDEX(Produtos!$C$2:$C$71,MATCH(C3857,Produtos!$A$2:$A$71,0)),"")</f>
        <v/>
      </c>
      <c r="P3857" s="25">
        <f>IFERROR(INDEX(Produtos!$D$2:$D$71,MATCH(C3857,Produtos!$A$2:$A$71,0)),0)</f>
        <v/>
      </c>
      <c r="Q3857" s="25">
        <f>IFERROR(INDEX(Produtos!$E$2:$E$71,MATCH(C3857,Produtos!$A$2:$A$71,0)),0)</f>
        <v/>
      </c>
      <c r="R3857" s="27">
        <f>D3857*Q3857</f>
        <v/>
      </c>
      <c r="S3857" s="27">
        <f>R3857*E3857</f>
        <v/>
      </c>
      <c r="T3857" s="27">
        <f>(R3857-S3857)*M3857</f>
        <v/>
      </c>
      <c r="U3857" s="27">
        <f>R3857-S3857-T3857</f>
        <v/>
      </c>
      <c r="V3857" s="27">
        <f>D3857*P3857</f>
        <v/>
      </c>
      <c r="W3857" s="27">
        <f>U3857-V3857</f>
        <v/>
      </c>
      <c r="X3857" s="28">
        <f>IFERROR(W3857/U3857,0)</f>
        <v/>
      </c>
    </row>
    <row r="3858">
      <c r="A3858" s="21">
        <f>ItensPedido!A3858</f>
        <v/>
      </c>
      <c r="B3858" s="21">
        <f>ItensPedido!B3858</f>
        <v/>
      </c>
      <c r="C3858" s="21">
        <f>ItensPedido!C3858</f>
        <v/>
      </c>
      <c r="D3858" s="21">
        <f>ItensPedido!D3858</f>
        <v/>
      </c>
      <c r="E3858" s="22">
        <f>ItensPedido!E3858</f>
        <v/>
      </c>
      <c r="F3858" s="21">
        <f>IFERROR(INDEX(Pedidos!$B$2:$B$1801,MATCH(B3858,Pedidos!$A$2:$A$1801,0)),0)</f>
        <v/>
      </c>
      <c r="G3858" s="21">
        <f>IF(F3858=0,"",YEAR(F3858))</f>
        <v/>
      </c>
      <c r="H3858" s="21">
        <f>IF(F3858=0,"",MONTH(F3858))</f>
        <v/>
      </c>
      <c r="I3858" s="21">
        <f>IFERROR(INDEX(Pedidos!$E$2:$E$1801,MATCH(B3858,Pedidos!$A$2:$A$1801,0)),"")</f>
        <v/>
      </c>
      <c r="J3858" s="21">
        <f>IFERROR(INDEX(Pedidos!$C$2:$C$1801,MATCH(B3858,Pedidos!$A$2:$A$1801,0)),"")</f>
        <v/>
      </c>
      <c r="K3858" s="21">
        <f>IFERROR(INDEX(Pedidos!$D$2:$D$1801,MATCH(B3858,Pedidos!$A$2:$A$1801,0)),"")</f>
        <v/>
      </c>
      <c r="L3858" s="21">
        <f>IFERROR(INDEX(Pedidos!$F$2:$F$1801,MATCH(B3858,Pedidos!$A$2:$A$1801,0)),"")</f>
        <v/>
      </c>
      <c r="M3858" s="22">
        <f>IFERROR(INDEX(Pedidos!$G$2:$G$1801,MATCH(B3858,Pedidos!$A$2:$A$1801,0)),0)</f>
        <v/>
      </c>
      <c r="N3858" s="21">
        <f>IFERROR(INDEX(Produtos!$B$2:$B$71,MATCH(C3858,Produtos!$A$2:$A$71,0)),"")</f>
        <v/>
      </c>
      <c r="O3858" s="21">
        <f>IFERROR(INDEX(Produtos!$C$2:$C$71,MATCH(C3858,Produtos!$A$2:$A$71,0)),"")</f>
        <v/>
      </c>
      <c r="P3858" s="21">
        <f>IFERROR(INDEX(Produtos!$D$2:$D$71,MATCH(C3858,Produtos!$A$2:$A$71,0)),0)</f>
        <v/>
      </c>
      <c r="Q3858" s="21">
        <f>IFERROR(INDEX(Produtos!$E$2:$E$71,MATCH(C3858,Produtos!$A$2:$A$71,0)),0)</f>
        <v/>
      </c>
      <c r="R3858" s="23">
        <f>D3858*Q3858</f>
        <v/>
      </c>
      <c r="S3858" s="23">
        <f>R3858*E3858</f>
        <v/>
      </c>
      <c r="T3858" s="23">
        <f>(R3858-S3858)*M3858</f>
        <v/>
      </c>
      <c r="U3858" s="23">
        <f>R3858-S3858-T3858</f>
        <v/>
      </c>
      <c r="V3858" s="23">
        <f>D3858*P3858</f>
        <v/>
      </c>
      <c r="W3858" s="23">
        <f>U3858-V3858</f>
        <v/>
      </c>
      <c r="X3858" s="24">
        <f>IFERROR(W3858/U3858,0)</f>
        <v/>
      </c>
    </row>
    <row r="3859">
      <c r="A3859" s="25">
        <f>ItensPedido!A3859</f>
        <v/>
      </c>
      <c r="B3859" s="25">
        <f>ItensPedido!B3859</f>
        <v/>
      </c>
      <c r="C3859" s="25">
        <f>ItensPedido!C3859</f>
        <v/>
      </c>
      <c r="D3859" s="25">
        <f>ItensPedido!D3859</f>
        <v/>
      </c>
      <c r="E3859" s="26">
        <f>ItensPedido!E3859</f>
        <v/>
      </c>
      <c r="F3859" s="25">
        <f>IFERROR(INDEX(Pedidos!$B$2:$B$1801,MATCH(B3859,Pedidos!$A$2:$A$1801,0)),0)</f>
        <v/>
      </c>
      <c r="G3859" s="25">
        <f>IF(F3859=0,"",YEAR(F3859))</f>
        <v/>
      </c>
      <c r="H3859" s="25">
        <f>IF(F3859=0,"",MONTH(F3859))</f>
        <v/>
      </c>
      <c r="I3859" s="25">
        <f>IFERROR(INDEX(Pedidos!$E$2:$E$1801,MATCH(B3859,Pedidos!$A$2:$A$1801,0)),"")</f>
        <v/>
      </c>
      <c r="J3859" s="25">
        <f>IFERROR(INDEX(Pedidos!$C$2:$C$1801,MATCH(B3859,Pedidos!$A$2:$A$1801,0)),"")</f>
        <v/>
      </c>
      <c r="K3859" s="25">
        <f>IFERROR(INDEX(Pedidos!$D$2:$D$1801,MATCH(B3859,Pedidos!$A$2:$A$1801,0)),"")</f>
        <v/>
      </c>
      <c r="L3859" s="25">
        <f>IFERROR(INDEX(Pedidos!$F$2:$F$1801,MATCH(B3859,Pedidos!$A$2:$A$1801,0)),"")</f>
        <v/>
      </c>
      <c r="M3859" s="26">
        <f>IFERROR(INDEX(Pedidos!$G$2:$G$1801,MATCH(B3859,Pedidos!$A$2:$A$1801,0)),0)</f>
        <v/>
      </c>
      <c r="N3859" s="25">
        <f>IFERROR(INDEX(Produtos!$B$2:$B$71,MATCH(C3859,Produtos!$A$2:$A$71,0)),"")</f>
        <v/>
      </c>
      <c r="O3859" s="25">
        <f>IFERROR(INDEX(Produtos!$C$2:$C$71,MATCH(C3859,Produtos!$A$2:$A$71,0)),"")</f>
        <v/>
      </c>
      <c r="P3859" s="25">
        <f>IFERROR(INDEX(Produtos!$D$2:$D$71,MATCH(C3859,Produtos!$A$2:$A$71,0)),0)</f>
        <v/>
      </c>
      <c r="Q3859" s="25">
        <f>IFERROR(INDEX(Produtos!$E$2:$E$71,MATCH(C3859,Produtos!$A$2:$A$71,0)),0)</f>
        <v/>
      </c>
      <c r="R3859" s="27">
        <f>D3859*Q3859</f>
        <v/>
      </c>
      <c r="S3859" s="27">
        <f>R3859*E3859</f>
        <v/>
      </c>
      <c r="T3859" s="27">
        <f>(R3859-S3859)*M3859</f>
        <v/>
      </c>
      <c r="U3859" s="27">
        <f>R3859-S3859-T3859</f>
        <v/>
      </c>
      <c r="V3859" s="27">
        <f>D3859*P3859</f>
        <v/>
      </c>
      <c r="W3859" s="27">
        <f>U3859-V3859</f>
        <v/>
      </c>
      <c r="X3859" s="28">
        <f>IFERROR(W3859/U3859,0)</f>
        <v/>
      </c>
    </row>
    <row r="3860">
      <c r="A3860" s="21">
        <f>ItensPedido!A3860</f>
        <v/>
      </c>
      <c r="B3860" s="21">
        <f>ItensPedido!B3860</f>
        <v/>
      </c>
      <c r="C3860" s="21">
        <f>ItensPedido!C3860</f>
        <v/>
      </c>
      <c r="D3860" s="21">
        <f>ItensPedido!D3860</f>
        <v/>
      </c>
      <c r="E3860" s="22">
        <f>ItensPedido!E3860</f>
        <v/>
      </c>
      <c r="F3860" s="21">
        <f>IFERROR(INDEX(Pedidos!$B$2:$B$1801,MATCH(B3860,Pedidos!$A$2:$A$1801,0)),0)</f>
        <v/>
      </c>
      <c r="G3860" s="21">
        <f>IF(F3860=0,"",YEAR(F3860))</f>
        <v/>
      </c>
      <c r="H3860" s="21">
        <f>IF(F3860=0,"",MONTH(F3860))</f>
        <v/>
      </c>
      <c r="I3860" s="21">
        <f>IFERROR(INDEX(Pedidos!$E$2:$E$1801,MATCH(B3860,Pedidos!$A$2:$A$1801,0)),"")</f>
        <v/>
      </c>
      <c r="J3860" s="21">
        <f>IFERROR(INDEX(Pedidos!$C$2:$C$1801,MATCH(B3860,Pedidos!$A$2:$A$1801,0)),"")</f>
        <v/>
      </c>
      <c r="K3860" s="21">
        <f>IFERROR(INDEX(Pedidos!$D$2:$D$1801,MATCH(B3860,Pedidos!$A$2:$A$1801,0)),"")</f>
        <v/>
      </c>
      <c r="L3860" s="21">
        <f>IFERROR(INDEX(Pedidos!$F$2:$F$1801,MATCH(B3860,Pedidos!$A$2:$A$1801,0)),"")</f>
        <v/>
      </c>
      <c r="M3860" s="22">
        <f>IFERROR(INDEX(Pedidos!$G$2:$G$1801,MATCH(B3860,Pedidos!$A$2:$A$1801,0)),0)</f>
        <v/>
      </c>
      <c r="N3860" s="21">
        <f>IFERROR(INDEX(Produtos!$B$2:$B$71,MATCH(C3860,Produtos!$A$2:$A$71,0)),"")</f>
        <v/>
      </c>
      <c r="O3860" s="21">
        <f>IFERROR(INDEX(Produtos!$C$2:$C$71,MATCH(C3860,Produtos!$A$2:$A$71,0)),"")</f>
        <v/>
      </c>
      <c r="P3860" s="21">
        <f>IFERROR(INDEX(Produtos!$D$2:$D$71,MATCH(C3860,Produtos!$A$2:$A$71,0)),0)</f>
        <v/>
      </c>
      <c r="Q3860" s="21">
        <f>IFERROR(INDEX(Produtos!$E$2:$E$71,MATCH(C3860,Produtos!$A$2:$A$71,0)),0)</f>
        <v/>
      </c>
      <c r="R3860" s="23">
        <f>D3860*Q3860</f>
        <v/>
      </c>
      <c r="S3860" s="23">
        <f>R3860*E3860</f>
        <v/>
      </c>
      <c r="T3860" s="23">
        <f>(R3860-S3860)*M3860</f>
        <v/>
      </c>
      <c r="U3860" s="23">
        <f>R3860-S3860-T3860</f>
        <v/>
      </c>
      <c r="V3860" s="23">
        <f>D3860*P3860</f>
        <v/>
      </c>
      <c r="W3860" s="23">
        <f>U3860-V3860</f>
        <v/>
      </c>
      <c r="X3860" s="24">
        <f>IFERROR(W3860/U3860,0)</f>
        <v/>
      </c>
    </row>
    <row r="3861">
      <c r="A3861" s="25">
        <f>ItensPedido!A3861</f>
        <v/>
      </c>
      <c r="B3861" s="25">
        <f>ItensPedido!B3861</f>
        <v/>
      </c>
      <c r="C3861" s="25">
        <f>ItensPedido!C3861</f>
        <v/>
      </c>
      <c r="D3861" s="25">
        <f>ItensPedido!D3861</f>
        <v/>
      </c>
      <c r="E3861" s="26">
        <f>ItensPedido!E3861</f>
        <v/>
      </c>
      <c r="F3861" s="25">
        <f>IFERROR(INDEX(Pedidos!$B$2:$B$1801,MATCH(B3861,Pedidos!$A$2:$A$1801,0)),0)</f>
        <v/>
      </c>
      <c r="G3861" s="25">
        <f>IF(F3861=0,"",YEAR(F3861))</f>
        <v/>
      </c>
      <c r="H3861" s="25">
        <f>IF(F3861=0,"",MONTH(F3861))</f>
        <v/>
      </c>
      <c r="I3861" s="25">
        <f>IFERROR(INDEX(Pedidos!$E$2:$E$1801,MATCH(B3861,Pedidos!$A$2:$A$1801,0)),"")</f>
        <v/>
      </c>
      <c r="J3861" s="25">
        <f>IFERROR(INDEX(Pedidos!$C$2:$C$1801,MATCH(B3861,Pedidos!$A$2:$A$1801,0)),"")</f>
        <v/>
      </c>
      <c r="K3861" s="25">
        <f>IFERROR(INDEX(Pedidos!$D$2:$D$1801,MATCH(B3861,Pedidos!$A$2:$A$1801,0)),"")</f>
        <v/>
      </c>
      <c r="L3861" s="25">
        <f>IFERROR(INDEX(Pedidos!$F$2:$F$1801,MATCH(B3861,Pedidos!$A$2:$A$1801,0)),"")</f>
        <v/>
      </c>
      <c r="M3861" s="26">
        <f>IFERROR(INDEX(Pedidos!$G$2:$G$1801,MATCH(B3861,Pedidos!$A$2:$A$1801,0)),0)</f>
        <v/>
      </c>
      <c r="N3861" s="25">
        <f>IFERROR(INDEX(Produtos!$B$2:$B$71,MATCH(C3861,Produtos!$A$2:$A$71,0)),"")</f>
        <v/>
      </c>
      <c r="O3861" s="25">
        <f>IFERROR(INDEX(Produtos!$C$2:$C$71,MATCH(C3861,Produtos!$A$2:$A$71,0)),"")</f>
        <v/>
      </c>
      <c r="P3861" s="25">
        <f>IFERROR(INDEX(Produtos!$D$2:$D$71,MATCH(C3861,Produtos!$A$2:$A$71,0)),0)</f>
        <v/>
      </c>
      <c r="Q3861" s="25">
        <f>IFERROR(INDEX(Produtos!$E$2:$E$71,MATCH(C3861,Produtos!$A$2:$A$71,0)),0)</f>
        <v/>
      </c>
      <c r="R3861" s="27">
        <f>D3861*Q3861</f>
        <v/>
      </c>
      <c r="S3861" s="27">
        <f>R3861*E3861</f>
        <v/>
      </c>
      <c r="T3861" s="27">
        <f>(R3861-S3861)*M3861</f>
        <v/>
      </c>
      <c r="U3861" s="27">
        <f>R3861-S3861-T3861</f>
        <v/>
      </c>
      <c r="V3861" s="27">
        <f>D3861*P3861</f>
        <v/>
      </c>
      <c r="W3861" s="27">
        <f>U3861-V3861</f>
        <v/>
      </c>
      <c r="X3861" s="28">
        <f>IFERROR(W3861/U3861,0)</f>
        <v/>
      </c>
    </row>
    <row r="3862">
      <c r="A3862" s="21">
        <f>ItensPedido!A3862</f>
        <v/>
      </c>
      <c r="B3862" s="21">
        <f>ItensPedido!B3862</f>
        <v/>
      </c>
      <c r="C3862" s="21">
        <f>ItensPedido!C3862</f>
        <v/>
      </c>
      <c r="D3862" s="21">
        <f>ItensPedido!D3862</f>
        <v/>
      </c>
      <c r="E3862" s="22">
        <f>ItensPedido!E3862</f>
        <v/>
      </c>
      <c r="F3862" s="21">
        <f>IFERROR(INDEX(Pedidos!$B$2:$B$1801,MATCH(B3862,Pedidos!$A$2:$A$1801,0)),0)</f>
        <v/>
      </c>
      <c r="G3862" s="21">
        <f>IF(F3862=0,"",YEAR(F3862))</f>
        <v/>
      </c>
      <c r="H3862" s="21">
        <f>IF(F3862=0,"",MONTH(F3862))</f>
        <v/>
      </c>
      <c r="I3862" s="21">
        <f>IFERROR(INDEX(Pedidos!$E$2:$E$1801,MATCH(B3862,Pedidos!$A$2:$A$1801,0)),"")</f>
        <v/>
      </c>
      <c r="J3862" s="21">
        <f>IFERROR(INDEX(Pedidos!$C$2:$C$1801,MATCH(B3862,Pedidos!$A$2:$A$1801,0)),"")</f>
        <v/>
      </c>
      <c r="K3862" s="21">
        <f>IFERROR(INDEX(Pedidos!$D$2:$D$1801,MATCH(B3862,Pedidos!$A$2:$A$1801,0)),"")</f>
        <v/>
      </c>
      <c r="L3862" s="21">
        <f>IFERROR(INDEX(Pedidos!$F$2:$F$1801,MATCH(B3862,Pedidos!$A$2:$A$1801,0)),"")</f>
        <v/>
      </c>
      <c r="M3862" s="22">
        <f>IFERROR(INDEX(Pedidos!$G$2:$G$1801,MATCH(B3862,Pedidos!$A$2:$A$1801,0)),0)</f>
        <v/>
      </c>
      <c r="N3862" s="21">
        <f>IFERROR(INDEX(Produtos!$B$2:$B$71,MATCH(C3862,Produtos!$A$2:$A$71,0)),"")</f>
        <v/>
      </c>
      <c r="O3862" s="21">
        <f>IFERROR(INDEX(Produtos!$C$2:$C$71,MATCH(C3862,Produtos!$A$2:$A$71,0)),"")</f>
        <v/>
      </c>
      <c r="P3862" s="21">
        <f>IFERROR(INDEX(Produtos!$D$2:$D$71,MATCH(C3862,Produtos!$A$2:$A$71,0)),0)</f>
        <v/>
      </c>
      <c r="Q3862" s="21">
        <f>IFERROR(INDEX(Produtos!$E$2:$E$71,MATCH(C3862,Produtos!$A$2:$A$71,0)),0)</f>
        <v/>
      </c>
      <c r="R3862" s="23">
        <f>D3862*Q3862</f>
        <v/>
      </c>
      <c r="S3862" s="23">
        <f>R3862*E3862</f>
        <v/>
      </c>
      <c r="T3862" s="23">
        <f>(R3862-S3862)*M3862</f>
        <v/>
      </c>
      <c r="U3862" s="23">
        <f>R3862-S3862-T3862</f>
        <v/>
      </c>
      <c r="V3862" s="23">
        <f>D3862*P3862</f>
        <v/>
      </c>
      <c r="W3862" s="23">
        <f>U3862-V3862</f>
        <v/>
      </c>
      <c r="X3862" s="24">
        <f>IFERROR(W3862/U3862,0)</f>
        <v/>
      </c>
    </row>
    <row r="3863">
      <c r="A3863" s="25">
        <f>ItensPedido!A3863</f>
        <v/>
      </c>
      <c r="B3863" s="25">
        <f>ItensPedido!B3863</f>
        <v/>
      </c>
      <c r="C3863" s="25">
        <f>ItensPedido!C3863</f>
        <v/>
      </c>
      <c r="D3863" s="25">
        <f>ItensPedido!D3863</f>
        <v/>
      </c>
      <c r="E3863" s="26">
        <f>ItensPedido!E3863</f>
        <v/>
      </c>
      <c r="F3863" s="25">
        <f>IFERROR(INDEX(Pedidos!$B$2:$B$1801,MATCH(B3863,Pedidos!$A$2:$A$1801,0)),0)</f>
        <v/>
      </c>
      <c r="G3863" s="25">
        <f>IF(F3863=0,"",YEAR(F3863))</f>
        <v/>
      </c>
      <c r="H3863" s="25">
        <f>IF(F3863=0,"",MONTH(F3863))</f>
        <v/>
      </c>
      <c r="I3863" s="25">
        <f>IFERROR(INDEX(Pedidos!$E$2:$E$1801,MATCH(B3863,Pedidos!$A$2:$A$1801,0)),"")</f>
        <v/>
      </c>
      <c r="J3863" s="25">
        <f>IFERROR(INDEX(Pedidos!$C$2:$C$1801,MATCH(B3863,Pedidos!$A$2:$A$1801,0)),"")</f>
        <v/>
      </c>
      <c r="K3863" s="25">
        <f>IFERROR(INDEX(Pedidos!$D$2:$D$1801,MATCH(B3863,Pedidos!$A$2:$A$1801,0)),"")</f>
        <v/>
      </c>
      <c r="L3863" s="25">
        <f>IFERROR(INDEX(Pedidos!$F$2:$F$1801,MATCH(B3863,Pedidos!$A$2:$A$1801,0)),"")</f>
        <v/>
      </c>
      <c r="M3863" s="26">
        <f>IFERROR(INDEX(Pedidos!$G$2:$G$1801,MATCH(B3863,Pedidos!$A$2:$A$1801,0)),0)</f>
        <v/>
      </c>
      <c r="N3863" s="25">
        <f>IFERROR(INDEX(Produtos!$B$2:$B$71,MATCH(C3863,Produtos!$A$2:$A$71,0)),"")</f>
        <v/>
      </c>
      <c r="O3863" s="25">
        <f>IFERROR(INDEX(Produtos!$C$2:$C$71,MATCH(C3863,Produtos!$A$2:$A$71,0)),"")</f>
        <v/>
      </c>
      <c r="P3863" s="25">
        <f>IFERROR(INDEX(Produtos!$D$2:$D$71,MATCH(C3863,Produtos!$A$2:$A$71,0)),0)</f>
        <v/>
      </c>
      <c r="Q3863" s="25">
        <f>IFERROR(INDEX(Produtos!$E$2:$E$71,MATCH(C3863,Produtos!$A$2:$A$71,0)),0)</f>
        <v/>
      </c>
      <c r="R3863" s="27">
        <f>D3863*Q3863</f>
        <v/>
      </c>
      <c r="S3863" s="27">
        <f>R3863*E3863</f>
        <v/>
      </c>
      <c r="T3863" s="27">
        <f>(R3863-S3863)*M3863</f>
        <v/>
      </c>
      <c r="U3863" s="27">
        <f>R3863-S3863-T3863</f>
        <v/>
      </c>
      <c r="V3863" s="27">
        <f>D3863*P3863</f>
        <v/>
      </c>
      <c r="W3863" s="27">
        <f>U3863-V3863</f>
        <v/>
      </c>
      <c r="X3863" s="28">
        <f>IFERROR(W3863/U3863,0)</f>
        <v/>
      </c>
    </row>
    <row r="3864">
      <c r="A3864" s="21">
        <f>ItensPedido!A3864</f>
        <v/>
      </c>
      <c r="B3864" s="21">
        <f>ItensPedido!B3864</f>
        <v/>
      </c>
      <c r="C3864" s="21">
        <f>ItensPedido!C3864</f>
        <v/>
      </c>
      <c r="D3864" s="21">
        <f>ItensPedido!D3864</f>
        <v/>
      </c>
      <c r="E3864" s="22">
        <f>ItensPedido!E3864</f>
        <v/>
      </c>
      <c r="F3864" s="21">
        <f>IFERROR(INDEX(Pedidos!$B$2:$B$1801,MATCH(B3864,Pedidos!$A$2:$A$1801,0)),0)</f>
        <v/>
      </c>
      <c r="G3864" s="21">
        <f>IF(F3864=0,"",YEAR(F3864))</f>
        <v/>
      </c>
      <c r="H3864" s="21">
        <f>IF(F3864=0,"",MONTH(F3864))</f>
        <v/>
      </c>
      <c r="I3864" s="21">
        <f>IFERROR(INDEX(Pedidos!$E$2:$E$1801,MATCH(B3864,Pedidos!$A$2:$A$1801,0)),"")</f>
        <v/>
      </c>
      <c r="J3864" s="21">
        <f>IFERROR(INDEX(Pedidos!$C$2:$C$1801,MATCH(B3864,Pedidos!$A$2:$A$1801,0)),"")</f>
        <v/>
      </c>
      <c r="K3864" s="21">
        <f>IFERROR(INDEX(Pedidos!$D$2:$D$1801,MATCH(B3864,Pedidos!$A$2:$A$1801,0)),"")</f>
        <v/>
      </c>
      <c r="L3864" s="21">
        <f>IFERROR(INDEX(Pedidos!$F$2:$F$1801,MATCH(B3864,Pedidos!$A$2:$A$1801,0)),"")</f>
        <v/>
      </c>
      <c r="M3864" s="22">
        <f>IFERROR(INDEX(Pedidos!$G$2:$G$1801,MATCH(B3864,Pedidos!$A$2:$A$1801,0)),0)</f>
        <v/>
      </c>
      <c r="N3864" s="21">
        <f>IFERROR(INDEX(Produtos!$B$2:$B$71,MATCH(C3864,Produtos!$A$2:$A$71,0)),"")</f>
        <v/>
      </c>
      <c r="O3864" s="21">
        <f>IFERROR(INDEX(Produtos!$C$2:$C$71,MATCH(C3864,Produtos!$A$2:$A$71,0)),"")</f>
        <v/>
      </c>
      <c r="P3864" s="21">
        <f>IFERROR(INDEX(Produtos!$D$2:$D$71,MATCH(C3864,Produtos!$A$2:$A$71,0)),0)</f>
        <v/>
      </c>
      <c r="Q3864" s="21">
        <f>IFERROR(INDEX(Produtos!$E$2:$E$71,MATCH(C3864,Produtos!$A$2:$A$71,0)),0)</f>
        <v/>
      </c>
      <c r="R3864" s="23">
        <f>D3864*Q3864</f>
        <v/>
      </c>
      <c r="S3864" s="23">
        <f>R3864*E3864</f>
        <v/>
      </c>
      <c r="T3864" s="23">
        <f>(R3864-S3864)*M3864</f>
        <v/>
      </c>
      <c r="U3864" s="23">
        <f>R3864-S3864-T3864</f>
        <v/>
      </c>
      <c r="V3864" s="23">
        <f>D3864*P3864</f>
        <v/>
      </c>
      <c r="W3864" s="23">
        <f>U3864-V3864</f>
        <v/>
      </c>
      <c r="X3864" s="24">
        <f>IFERROR(W3864/U3864,0)</f>
        <v/>
      </c>
    </row>
    <row r="3865">
      <c r="A3865" s="25">
        <f>ItensPedido!A3865</f>
        <v/>
      </c>
      <c r="B3865" s="25">
        <f>ItensPedido!B3865</f>
        <v/>
      </c>
      <c r="C3865" s="25">
        <f>ItensPedido!C3865</f>
        <v/>
      </c>
      <c r="D3865" s="25">
        <f>ItensPedido!D3865</f>
        <v/>
      </c>
      <c r="E3865" s="26">
        <f>ItensPedido!E3865</f>
        <v/>
      </c>
      <c r="F3865" s="25">
        <f>IFERROR(INDEX(Pedidos!$B$2:$B$1801,MATCH(B3865,Pedidos!$A$2:$A$1801,0)),0)</f>
        <v/>
      </c>
      <c r="G3865" s="25">
        <f>IF(F3865=0,"",YEAR(F3865))</f>
        <v/>
      </c>
      <c r="H3865" s="25">
        <f>IF(F3865=0,"",MONTH(F3865))</f>
        <v/>
      </c>
      <c r="I3865" s="25">
        <f>IFERROR(INDEX(Pedidos!$E$2:$E$1801,MATCH(B3865,Pedidos!$A$2:$A$1801,0)),"")</f>
        <v/>
      </c>
      <c r="J3865" s="25">
        <f>IFERROR(INDEX(Pedidos!$C$2:$C$1801,MATCH(B3865,Pedidos!$A$2:$A$1801,0)),"")</f>
        <v/>
      </c>
      <c r="K3865" s="25">
        <f>IFERROR(INDEX(Pedidos!$D$2:$D$1801,MATCH(B3865,Pedidos!$A$2:$A$1801,0)),"")</f>
        <v/>
      </c>
      <c r="L3865" s="25">
        <f>IFERROR(INDEX(Pedidos!$F$2:$F$1801,MATCH(B3865,Pedidos!$A$2:$A$1801,0)),"")</f>
        <v/>
      </c>
      <c r="M3865" s="26">
        <f>IFERROR(INDEX(Pedidos!$G$2:$G$1801,MATCH(B3865,Pedidos!$A$2:$A$1801,0)),0)</f>
        <v/>
      </c>
      <c r="N3865" s="25">
        <f>IFERROR(INDEX(Produtos!$B$2:$B$71,MATCH(C3865,Produtos!$A$2:$A$71,0)),"")</f>
        <v/>
      </c>
      <c r="O3865" s="25">
        <f>IFERROR(INDEX(Produtos!$C$2:$C$71,MATCH(C3865,Produtos!$A$2:$A$71,0)),"")</f>
        <v/>
      </c>
      <c r="P3865" s="25">
        <f>IFERROR(INDEX(Produtos!$D$2:$D$71,MATCH(C3865,Produtos!$A$2:$A$71,0)),0)</f>
        <v/>
      </c>
      <c r="Q3865" s="25">
        <f>IFERROR(INDEX(Produtos!$E$2:$E$71,MATCH(C3865,Produtos!$A$2:$A$71,0)),0)</f>
        <v/>
      </c>
      <c r="R3865" s="27">
        <f>D3865*Q3865</f>
        <v/>
      </c>
      <c r="S3865" s="27">
        <f>R3865*E3865</f>
        <v/>
      </c>
      <c r="T3865" s="27">
        <f>(R3865-S3865)*M3865</f>
        <v/>
      </c>
      <c r="U3865" s="27">
        <f>R3865-S3865-T3865</f>
        <v/>
      </c>
      <c r="V3865" s="27">
        <f>D3865*P3865</f>
        <v/>
      </c>
      <c r="W3865" s="27">
        <f>U3865-V3865</f>
        <v/>
      </c>
      <c r="X3865" s="28">
        <f>IFERROR(W3865/U3865,0)</f>
        <v/>
      </c>
    </row>
    <row r="3866">
      <c r="A3866" s="21">
        <f>ItensPedido!A3866</f>
        <v/>
      </c>
      <c r="B3866" s="21">
        <f>ItensPedido!B3866</f>
        <v/>
      </c>
      <c r="C3866" s="21">
        <f>ItensPedido!C3866</f>
        <v/>
      </c>
      <c r="D3866" s="21">
        <f>ItensPedido!D3866</f>
        <v/>
      </c>
      <c r="E3866" s="22">
        <f>ItensPedido!E3866</f>
        <v/>
      </c>
      <c r="F3866" s="21">
        <f>IFERROR(INDEX(Pedidos!$B$2:$B$1801,MATCH(B3866,Pedidos!$A$2:$A$1801,0)),0)</f>
        <v/>
      </c>
      <c r="G3866" s="21">
        <f>IF(F3866=0,"",YEAR(F3866))</f>
        <v/>
      </c>
      <c r="H3866" s="21">
        <f>IF(F3866=0,"",MONTH(F3866))</f>
        <v/>
      </c>
      <c r="I3866" s="21">
        <f>IFERROR(INDEX(Pedidos!$E$2:$E$1801,MATCH(B3866,Pedidos!$A$2:$A$1801,0)),"")</f>
        <v/>
      </c>
      <c r="J3866" s="21">
        <f>IFERROR(INDEX(Pedidos!$C$2:$C$1801,MATCH(B3866,Pedidos!$A$2:$A$1801,0)),"")</f>
        <v/>
      </c>
      <c r="K3866" s="21">
        <f>IFERROR(INDEX(Pedidos!$D$2:$D$1801,MATCH(B3866,Pedidos!$A$2:$A$1801,0)),"")</f>
        <v/>
      </c>
      <c r="L3866" s="21">
        <f>IFERROR(INDEX(Pedidos!$F$2:$F$1801,MATCH(B3866,Pedidos!$A$2:$A$1801,0)),"")</f>
        <v/>
      </c>
      <c r="M3866" s="22">
        <f>IFERROR(INDEX(Pedidos!$G$2:$G$1801,MATCH(B3866,Pedidos!$A$2:$A$1801,0)),0)</f>
        <v/>
      </c>
      <c r="N3866" s="21">
        <f>IFERROR(INDEX(Produtos!$B$2:$B$71,MATCH(C3866,Produtos!$A$2:$A$71,0)),"")</f>
        <v/>
      </c>
      <c r="O3866" s="21">
        <f>IFERROR(INDEX(Produtos!$C$2:$C$71,MATCH(C3866,Produtos!$A$2:$A$71,0)),"")</f>
        <v/>
      </c>
      <c r="P3866" s="21">
        <f>IFERROR(INDEX(Produtos!$D$2:$D$71,MATCH(C3866,Produtos!$A$2:$A$71,0)),0)</f>
        <v/>
      </c>
      <c r="Q3866" s="21">
        <f>IFERROR(INDEX(Produtos!$E$2:$E$71,MATCH(C3866,Produtos!$A$2:$A$71,0)),0)</f>
        <v/>
      </c>
      <c r="R3866" s="23">
        <f>D3866*Q3866</f>
        <v/>
      </c>
      <c r="S3866" s="23">
        <f>R3866*E3866</f>
        <v/>
      </c>
      <c r="T3866" s="23">
        <f>(R3866-S3866)*M3866</f>
        <v/>
      </c>
      <c r="U3866" s="23">
        <f>R3866-S3866-T3866</f>
        <v/>
      </c>
      <c r="V3866" s="23">
        <f>D3866*P3866</f>
        <v/>
      </c>
      <c r="W3866" s="23">
        <f>U3866-V3866</f>
        <v/>
      </c>
      <c r="X3866" s="24">
        <f>IFERROR(W3866/U3866,0)</f>
        <v/>
      </c>
    </row>
    <row r="3867">
      <c r="A3867" s="25">
        <f>ItensPedido!A3867</f>
        <v/>
      </c>
      <c r="B3867" s="25">
        <f>ItensPedido!B3867</f>
        <v/>
      </c>
      <c r="C3867" s="25">
        <f>ItensPedido!C3867</f>
        <v/>
      </c>
      <c r="D3867" s="25">
        <f>ItensPedido!D3867</f>
        <v/>
      </c>
      <c r="E3867" s="26">
        <f>ItensPedido!E3867</f>
        <v/>
      </c>
      <c r="F3867" s="25">
        <f>IFERROR(INDEX(Pedidos!$B$2:$B$1801,MATCH(B3867,Pedidos!$A$2:$A$1801,0)),0)</f>
        <v/>
      </c>
      <c r="G3867" s="25">
        <f>IF(F3867=0,"",YEAR(F3867))</f>
        <v/>
      </c>
      <c r="H3867" s="25">
        <f>IF(F3867=0,"",MONTH(F3867))</f>
        <v/>
      </c>
      <c r="I3867" s="25">
        <f>IFERROR(INDEX(Pedidos!$E$2:$E$1801,MATCH(B3867,Pedidos!$A$2:$A$1801,0)),"")</f>
        <v/>
      </c>
      <c r="J3867" s="25">
        <f>IFERROR(INDEX(Pedidos!$C$2:$C$1801,MATCH(B3867,Pedidos!$A$2:$A$1801,0)),"")</f>
        <v/>
      </c>
      <c r="K3867" s="25">
        <f>IFERROR(INDEX(Pedidos!$D$2:$D$1801,MATCH(B3867,Pedidos!$A$2:$A$1801,0)),"")</f>
        <v/>
      </c>
      <c r="L3867" s="25">
        <f>IFERROR(INDEX(Pedidos!$F$2:$F$1801,MATCH(B3867,Pedidos!$A$2:$A$1801,0)),"")</f>
        <v/>
      </c>
      <c r="M3867" s="26">
        <f>IFERROR(INDEX(Pedidos!$G$2:$G$1801,MATCH(B3867,Pedidos!$A$2:$A$1801,0)),0)</f>
        <v/>
      </c>
      <c r="N3867" s="25">
        <f>IFERROR(INDEX(Produtos!$B$2:$B$71,MATCH(C3867,Produtos!$A$2:$A$71,0)),"")</f>
        <v/>
      </c>
      <c r="O3867" s="25">
        <f>IFERROR(INDEX(Produtos!$C$2:$C$71,MATCH(C3867,Produtos!$A$2:$A$71,0)),"")</f>
        <v/>
      </c>
      <c r="P3867" s="25">
        <f>IFERROR(INDEX(Produtos!$D$2:$D$71,MATCH(C3867,Produtos!$A$2:$A$71,0)),0)</f>
        <v/>
      </c>
      <c r="Q3867" s="25">
        <f>IFERROR(INDEX(Produtos!$E$2:$E$71,MATCH(C3867,Produtos!$A$2:$A$71,0)),0)</f>
        <v/>
      </c>
      <c r="R3867" s="27">
        <f>D3867*Q3867</f>
        <v/>
      </c>
      <c r="S3867" s="27">
        <f>R3867*E3867</f>
        <v/>
      </c>
      <c r="T3867" s="27">
        <f>(R3867-S3867)*M3867</f>
        <v/>
      </c>
      <c r="U3867" s="27">
        <f>R3867-S3867-T3867</f>
        <v/>
      </c>
      <c r="V3867" s="27">
        <f>D3867*P3867</f>
        <v/>
      </c>
      <c r="W3867" s="27">
        <f>U3867-V3867</f>
        <v/>
      </c>
      <c r="X3867" s="28">
        <f>IFERROR(W3867/U3867,0)</f>
        <v/>
      </c>
    </row>
    <row r="3868">
      <c r="A3868" s="21">
        <f>ItensPedido!A3868</f>
        <v/>
      </c>
      <c r="B3868" s="21">
        <f>ItensPedido!B3868</f>
        <v/>
      </c>
      <c r="C3868" s="21">
        <f>ItensPedido!C3868</f>
        <v/>
      </c>
      <c r="D3868" s="21">
        <f>ItensPedido!D3868</f>
        <v/>
      </c>
      <c r="E3868" s="22">
        <f>ItensPedido!E3868</f>
        <v/>
      </c>
      <c r="F3868" s="21">
        <f>IFERROR(INDEX(Pedidos!$B$2:$B$1801,MATCH(B3868,Pedidos!$A$2:$A$1801,0)),0)</f>
        <v/>
      </c>
      <c r="G3868" s="21">
        <f>IF(F3868=0,"",YEAR(F3868))</f>
        <v/>
      </c>
      <c r="H3868" s="21">
        <f>IF(F3868=0,"",MONTH(F3868))</f>
        <v/>
      </c>
      <c r="I3868" s="21">
        <f>IFERROR(INDEX(Pedidos!$E$2:$E$1801,MATCH(B3868,Pedidos!$A$2:$A$1801,0)),"")</f>
        <v/>
      </c>
      <c r="J3868" s="21">
        <f>IFERROR(INDEX(Pedidos!$C$2:$C$1801,MATCH(B3868,Pedidos!$A$2:$A$1801,0)),"")</f>
        <v/>
      </c>
      <c r="K3868" s="21">
        <f>IFERROR(INDEX(Pedidos!$D$2:$D$1801,MATCH(B3868,Pedidos!$A$2:$A$1801,0)),"")</f>
        <v/>
      </c>
      <c r="L3868" s="21">
        <f>IFERROR(INDEX(Pedidos!$F$2:$F$1801,MATCH(B3868,Pedidos!$A$2:$A$1801,0)),"")</f>
        <v/>
      </c>
      <c r="M3868" s="22">
        <f>IFERROR(INDEX(Pedidos!$G$2:$G$1801,MATCH(B3868,Pedidos!$A$2:$A$1801,0)),0)</f>
        <v/>
      </c>
      <c r="N3868" s="21">
        <f>IFERROR(INDEX(Produtos!$B$2:$B$71,MATCH(C3868,Produtos!$A$2:$A$71,0)),"")</f>
        <v/>
      </c>
      <c r="O3868" s="21">
        <f>IFERROR(INDEX(Produtos!$C$2:$C$71,MATCH(C3868,Produtos!$A$2:$A$71,0)),"")</f>
        <v/>
      </c>
      <c r="P3868" s="21">
        <f>IFERROR(INDEX(Produtos!$D$2:$D$71,MATCH(C3868,Produtos!$A$2:$A$71,0)),0)</f>
        <v/>
      </c>
      <c r="Q3868" s="21">
        <f>IFERROR(INDEX(Produtos!$E$2:$E$71,MATCH(C3868,Produtos!$A$2:$A$71,0)),0)</f>
        <v/>
      </c>
      <c r="R3868" s="23">
        <f>D3868*Q3868</f>
        <v/>
      </c>
      <c r="S3868" s="23">
        <f>R3868*E3868</f>
        <v/>
      </c>
      <c r="T3868" s="23">
        <f>(R3868-S3868)*M3868</f>
        <v/>
      </c>
      <c r="U3868" s="23">
        <f>R3868-S3868-T3868</f>
        <v/>
      </c>
      <c r="V3868" s="23">
        <f>D3868*P3868</f>
        <v/>
      </c>
      <c r="W3868" s="23">
        <f>U3868-V3868</f>
        <v/>
      </c>
      <c r="X3868" s="24">
        <f>IFERROR(W3868/U3868,0)</f>
        <v/>
      </c>
    </row>
    <row r="3869">
      <c r="A3869" s="25">
        <f>ItensPedido!A3869</f>
        <v/>
      </c>
      <c r="B3869" s="25">
        <f>ItensPedido!B3869</f>
        <v/>
      </c>
      <c r="C3869" s="25">
        <f>ItensPedido!C3869</f>
        <v/>
      </c>
      <c r="D3869" s="25">
        <f>ItensPedido!D3869</f>
        <v/>
      </c>
      <c r="E3869" s="26">
        <f>ItensPedido!E3869</f>
        <v/>
      </c>
      <c r="F3869" s="25">
        <f>IFERROR(INDEX(Pedidos!$B$2:$B$1801,MATCH(B3869,Pedidos!$A$2:$A$1801,0)),0)</f>
        <v/>
      </c>
      <c r="G3869" s="25">
        <f>IF(F3869=0,"",YEAR(F3869))</f>
        <v/>
      </c>
      <c r="H3869" s="25">
        <f>IF(F3869=0,"",MONTH(F3869))</f>
        <v/>
      </c>
      <c r="I3869" s="25">
        <f>IFERROR(INDEX(Pedidos!$E$2:$E$1801,MATCH(B3869,Pedidos!$A$2:$A$1801,0)),"")</f>
        <v/>
      </c>
      <c r="J3869" s="25">
        <f>IFERROR(INDEX(Pedidos!$C$2:$C$1801,MATCH(B3869,Pedidos!$A$2:$A$1801,0)),"")</f>
        <v/>
      </c>
      <c r="K3869" s="25">
        <f>IFERROR(INDEX(Pedidos!$D$2:$D$1801,MATCH(B3869,Pedidos!$A$2:$A$1801,0)),"")</f>
        <v/>
      </c>
      <c r="L3869" s="25">
        <f>IFERROR(INDEX(Pedidos!$F$2:$F$1801,MATCH(B3869,Pedidos!$A$2:$A$1801,0)),"")</f>
        <v/>
      </c>
      <c r="M3869" s="26">
        <f>IFERROR(INDEX(Pedidos!$G$2:$G$1801,MATCH(B3869,Pedidos!$A$2:$A$1801,0)),0)</f>
        <v/>
      </c>
      <c r="N3869" s="25">
        <f>IFERROR(INDEX(Produtos!$B$2:$B$71,MATCH(C3869,Produtos!$A$2:$A$71,0)),"")</f>
        <v/>
      </c>
      <c r="O3869" s="25">
        <f>IFERROR(INDEX(Produtos!$C$2:$C$71,MATCH(C3869,Produtos!$A$2:$A$71,0)),"")</f>
        <v/>
      </c>
      <c r="P3869" s="25">
        <f>IFERROR(INDEX(Produtos!$D$2:$D$71,MATCH(C3869,Produtos!$A$2:$A$71,0)),0)</f>
        <v/>
      </c>
      <c r="Q3869" s="25">
        <f>IFERROR(INDEX(Produtos!$E$2:$E$71,MATCH(C3869,Produtos!$A$2:$A$71,0)),0)</f>
        <v/>
      </c>
      <c r="R3869" s="27">
        <f>D3869*Q3869</f>
        <v/>
      </c>
      <c r="S3869" s="27">
        <f>R3869*E3869</f>
        <v/>
      </c>
      <c r="T3869" s="27">
        <f>(R3869-S3869)*M3869</f>
        <v/>
      </c>
      <c r="U3869" s="27">
        <f>R3869-S3869-T3869</f>
        <v/>
      </c>
      <c r="V3869" s="27">
        <f>D3869*P3869</f>
        <v/>
      </c>
      <c r="W3869" s="27">
        <f>U3869-V3869</f>
        <v/>
      </c>
      <c r="X3869" s="28">
        <f>IFERROR(W3869/U3869,0)</f>
        <v/>
      </c>
    </row>
    <row r="3870">
      <c r="A3870" s="21">
        <f>ItensPedido!A3870</f>
        <v/>
      </c>
      <c r="B3870" s="21">
        <f>ItensPedido!B3870</f>
        <v/>
      </c>
      <c r="C3870" s="21">
        <f>ItensPedido!C3870</f>
        <v/>
      </c>
      <c r="D3870" s="21">
        <f>ItensPedido!D3870</f>
        <v/>
      </c>
      <c r="E3870" s="22">
        <f>ItensPedido!E3870</f>
        <v/>
      </c>
      <c r="F3870" s="21">
        <f>IFERROR(INDEX(Pedidos!$B$2:$B$1801,MATCH(B3870,Pedidos!$A$2:$A$1801,0)),0)</f>
        <v/>
      </c>
      <c r="G3870" s="21">
        <f>IF(F3870=0,"",YEAR(F3870))</f>
        <v/>
      </c>
      <c r="H3870" s="21">
        <f>IF(F3870=0,"",MONTH(F3870))</f>
        <v/>
      </c>
      <c r="I3870" s="21">
        <f>IFERROR(INDEX(Pedidos!$E$2:$E$1801,MATCH(B3870,Pedidos!$A$2:$A$1801,0)),"")</f>
        <v/>
      </c>
      <c r="J3870" s="21">
        <f>IFERROR(INDEX(Pedidos!$C$2:$C$1801,MATCH(B3870,Pedidos!$A$2:$A$1801,0)),"")</f>
        <v/>
      </c>
      <c r="K3870" s="21">
        <f>IFERROR(INDEX(Pedidos!$D$2:$D$1801,MATCH(B3870,Pedidos!$A$2:$A$1801,0)),"")</f>
        <v/>
      </c>
      <c r="L3870" s="21">
        <f>IFERROR(INDEX(Pedidos!$F$2:$F$1801,MATCH(B3870,Pedidos!$A$2:$A$1801,0)),"")</f>
        <v/>
      </c>
      <c r="M3870" s="22">
        <f>IFERROR(INDEX(Pedidos!$G$2:$G$1801,MATCH(B3870,Pedidos!$A$2:$A$1801,0)),0)</f>
        <v/>
      </c>
      <c r="N3870" s="21">
        <f>IFERROR(INDEX(Produtos!$B$2:$B$71,MATCH(C3870,Produtos!$A$2:$A$71,0)),"")</f>
        <v/>
      </c>
      <c r="O3870" s="21">
        <f>IFERROR(INDEX(Produtos!$C$2:$C$71,MATCH(C3870,Produtos!$A$2:$A$71,0)),"")</f>
        <v/>
      </c>
      <c r="P3870" s="21">
        <f>IFERROR(INDEX(Produtos!$D$2:$D$71,MATCH(C3870,Produtos!$A$2:$A$71,0)),0)</f>
        <v/>
      </c>
      <c r="Q3870" s="21">
        <f>IFERROR(INDEX(Produtos!$E$2:$E$71,MATCH(C3870,Produtos!$A$2:$A$71,0)),0)</f>
        <v/>
      </c>
      <c r="R3870" s="23">
        <f>D3870*Q3870</f>
        <v/>
      </c>
      <c r="S3870" s="23">
        <f>R3870*E3870</f>
        <v/>
      </c>
      <c r="T3870" s="23">
        <f>(R3870-S3870)*M3870</f>
        <v/>
      </c>
      <c r="U3870" s="23">
        <f>R3870-S3870-T3870</f>
        <v/>
      </c>
      <c r="V3870" s="23">
        <f>D3870*P3870</f>
        <v/>
      </c>
      <c r="W3870" s="23">
        <f>U3870-V3870</f>
        <v/>
      </c>
      <c r="X3870" s="24">
        <f>IFERROR(W3870/U3870,0)</f>
        <v/>
      </c>
    </row>
    <row r="3871">
      <c r="A3871" s="25">
        <f>ItensPedido!A3871</f>
        <v/>
      </c>
      <c r="B3871" s="25">
        <f>ItensPedido!B3871</f>
        <v/>
      </c>
      <c r="C3871" s="25">
        <f>ItensPedido!C3871</f>
        <v/>
      </c>
      <c r="D3871" s="25">
        <f>ItensPedido!D3871</f>
        <v/>
      </c>
      <c r="E3871" s="26">
        <f>ItensPedido!E3871</f>
        <v/>
      </c>
      <c r="F3871" s="25">
        <f>IFERROR(INDEX(Pedidos!$B$2:$B$1801,MATCH(B3871,Pedidos!$A$2:$A$1801,0)),0)</f>
        <v/>
      </c>
      <c r="G3871" s="25">
        <f>IF(F3871=0,"",YEAR(F3871))</f>
        <v/>
      </c>
      <c r="H3871" s="25">
        <f>IF(F3871=0,"",MONTH(F3871))</f>
        <v/>
      </c>
      <c r="I3871" s="25">
        <f>IFERROR(INDEX(Pedidos!$E$2:$E$1801,MATCH(B3871,Pedidos!$A$2:$A$1801,0)),"")</f>
        <v/>
      </c>
      <c r="J3871" s="25">
        <f>IFERROR(INDEX(Pedidos!$C$2:$C$1801,MATCH(B3871,Pedidos!$A$2:$A$1801,0)),"")</f>
        <v/>
      </c>
      <c r="K3871" s="25">
        <f>IFERROR(INDEX(Pedidos!$D$2:$D$1801,MATCH(B3871,Pedidos!$A$2:$A$1801,0)),"")</f>
        <v/>
      </c>
      <c r="L3871" s="25">
        <f>IFERROR(INDEX(Pedidos!$F$2:$F$1801,MATCH(B3871,Pedidos!$A$2:$A$1801,0)),"")</f>
        <v/>
      </c>
      <c r="M3871" s="26">
        <f>IFERROR(INDEX(Pedidos!$G$2:$G$1801,MATCH(B3871,Pedidos!$A$2:$A$1801,0)),0)</f>
        <v/>
      </c>
      <c r="N3871" s="25">
        <f>IFERROR(INDEX(Produtos!$B$2:$B$71,MATCH(C3871,Produtos!$A$2:$A$71,0)),"")</f>
        <v/>
      </c>
      <c r="O3871" s="25">
        <f>IFERROR(INDEX(Produtos!$C$2:$C$71,MATCH(C3871,Produtos!$A$2:$A$71,0)),"")</f>
        <v/>
      </c>
      <c r="P3871" s="25">
        <f>IFERROR(INDEX(Produtos!$D$2:$D$71,MATCH(C3871,Produtos!$A$2:$A$71,0)),0)</f>
        <v/>
      </c>
      <c r="Q3871" s="25">
        <f>IFERROR(INDEX(Produtos!$E$2:$E$71,MATCH(C3871,Produtos!$A$2:$A$71,0)),0)</f>
        <v/>
      </c>
      <c r="R3871" s="27">
        <f>D3871*Q3871</f>
        <v/>
      </c>
      <c r="S3871" s="27">
        <f>R3871*E3871</f>
        <v/>
      </c>
      <c r="T3871" s="27">
        <f>(R3871-S3871)*M3871</f>
        <v/>
      </c>
      <c r="U3871" s="27">
        <f>R3871-S3871-T3871</f>
        <v/>
      </c>
      <c r="V3871" s="27">
        <f>D3871*P3871</f>
        <v/>
      </c>
      <c r="W3871" s="27">
        <f>U3871-V3871</f>
        <v/>
      </c>
      <c r="X3871" s="28">
        <f>IFERROR(W3871/U3871,0)</f>
        <v/>
      </c>
    </row>
    <row r="3872">
      <c r="A3872" s="21">
        <f>ItensPedido!A3872</f>
        <v/>
      </c>
      <c r="B3872" s="21">
        <f>ItensPedido!B3872</f>
        <v/>
      </c>
      <c r="C3872" s="21">
        <f>ItensPedido!C3872</f>
        <v/>
      </c>
      <c r="D3872" s="21">
        <f>ItensPedido!D3872</f>
        <v/>
      </c>
      <c r="E3872" s="22">
        <f>ItensPedido!E3872</f>
        <v/>
      </c>
      <c r="F3872" s="21">
        <f>IFERROR(INDEX(Pedidos!$B$2:$B$1801,MATCH(B3872,Pedidos!$A$2:$A$1801,0)),0)</f>
        <v/>
      </c>
      <c r="G3872" s="21">
        <f>IF(F3872=0,"",YEAR(F3872))</f>
        <v/>
      </c>
      <c r="H3872" s="21">
        <f>IF(F3872=0,"",MONTH(F3872))</f>
        <v/>
      </c>
      <c r="I3872" s="21">
        <f>IFERROR(INDEX(Pedidos!$E$2:$E$1801,MATCH(B3872,Pedidos!$A$2:$A$1801,0)),"")</f>
        <v/>
      </c>
      <c r="J3872" s="21">
        <f>IFERROR(INDEX(Pedidos!$C$2:$C$1801,MATCH(B3872,Pedidos!$A$2:$A$1801,0)),"")</f>
        <v/>
      </c>
      <c r="K3872" s="21">
        <f>IFERROR(INDEX(Pedidos!$D$2:$D$1801,MATCH(B3872,Pedidos!$A$2:$A$1801,0)),"")</f>
        <v/>
      </c>
      <c r="L3872" s="21">
        <f>IFERROR(INDEX(Pedidos!$F$2:$F$1801,MATCH(B3872,Pedidos!$A$2:$A$1801,0)),"")</f>
        <v/>
      </c>
      <c r="M3872" s="22">
        <f>IFERROR(INDEX(Pedidos!$G$2:$G$1801,MATCH(B3872,Pedidos!$A$2:$A$1801,0)),0)</f>
        <v/>
      </c>
      <c r="N3872" s="21">
        <f>IFERROR(INDEX(Produtos!$B$2:$B$71,MATCH(C3872,Produtos!$A$2:$A$71,0)),"")</f>
        <v/>
      </c>
      <c r="O3872" s="21">
        <f>IFERROR(INDEX(Produtos!$C$2:$C$71,MATCH(C3872,Produtos!$A$2:$A$71,0)),"")</f>
        <v/>
      </c>
      <c r="P3872" s="21">
        <f>IFERROR(INDEX(Produtos!$D$2:$D$71,MATCH(C3872,Produtos!$A$2:$A$71,0)),0)</f>
        <v/>
      </c>
      <c r="Q3872" s="21">
        <f>IFERROR(INDEX(Produtos!$E$2:$E$71,MATCH(C3872,Produtos!$A$2:$A$71,0)),0)</f>
        <v/>
      </c>
      <c r="R3872" s="23">
        <f>D3872*Q3872</f>
        <v/>
      </c>
      <c r="S3872" s="23">
        <f>R3872*E3872</f>
        <v/>
      </c>
      <c r="T3872" s="23">
        <f>(R3872-S3872)*M3872</f>
        <v/>
      </c>
      <c r="U3872" s="23">
        <f>R3872-S3872-T3872</f>
        <v/>
      </c>
      <c r="V3872" s="23">
        <f>D3872*P3872</f>
        <v/>
      </c>
      <c r="W3872" s="23">
        <f>U3872-V3872</f>
        <v/>
      </c>
      <c r="X3872" s="24">
        <f>IFERROR(W3872/U3872,0)</f>
        <v/>
      </c>
    </row>
    <row r="3873">
      <c r="A3873" s="25">
        <f>ItensPedido!A3873</f>
        <v/>
      </c>
      <c r="B3873" s="25">
        <f>ItensPedido!B3873</f>
        <v/>
      </c>
      <c r="C3873" s="25">
        <f>ItensPedido!C3873</f>
        <v/>
      </c>
      <c r="D3873" s="25">
        <f>ItensPedido!D3873</f>
        <v/>
      </c>
      <c r="E3873" s="26">
        <f>ItensPedido!E3873</f>
        <v/>
      </c>
      <c r="F3873" s="25">
        <f>IFERROR(INDEX(Pedidos!$B$2:$B$1801,MATCH(B3873,Pedidos!$A$2:$A$1801,0)),0)</f>
        <v/>
      </c>
      <c r="G3873" s="25">
        <f>IF(F3873=0,"",YEAR(F3873))</f>
        <v/>
      </c>
      <c r="H3873" s="25">
        <f>IF(F3873=0,"",MONTH(F3873))</f>
        <v/>
      </c>
      <c r="I3873" s="25">
        <f>IFERROR(INDEX(Pedidos!$E$2:$E$1801,MATCH(B3873,Pedidos!$A$2:$A$1801,0)),"")</f>
        <v/>
      </c>
      <c r="J3873" s="25">
        <f>IFERROR(INDEX(Pedidos!$C$2:$C$1801,MATCH(B3873,Pedidos!$A$2:$A$1801,0)),"")</f>
        <v/>
      </c>
      <c r="K3873" s="25">
        <f>IFERROR(INDEX(Pedidos!$D$2:$D$1801,MATCH(B3873,Pedidos!$A$2:$A$1801,0)),"")</f>
        <v/>
      </c>
      <c r="L3873" s="25">
        <f>IFERROR(INDEX(Pedidos!$F$2:$F$1801,MATCH(B3873,Pedidos!$A$2:$A$1801,0)),"")</f>
        <v/>
      </c>
      <c r="M3873" s="26">
        <f>IFERROR(INDEX(Pedidos!$G$2:$G$1801,MATCH(B3873,Pedidos!$A$2:$A$1801,0)),0)</f>
        <v/>
      </c>
      <c r="N3873" s="25">
        <f>IFERROR(INDEX(Produtos!$B$2:$B$71,MATCH(C3873,Produtos!$A$2:$A$71,0)),"")</f>
        <v/>
      </c>
      <c r="O3873" s="25">
        <f>IFERROR(INDEX(Produtos!$C$2:$C$71,MATCH(C3873,Produtos!$A$2:$A$71,0)),"")</f>
        <v/>
      </c>
      <c r="P3873" s="25">
        <f>IFERROR(INDEX(Produtos!$D$2:$D$71,MATCH(C3873,Produtos!$A$2:$A$71,0)),0)</f>
        <v/>
      </c>
      <c r="Q3873" s="25">
        <f>IFERROR(INDEX(Produtos!$E$2:$E$71,MATCH(C3873,Produtos!$A$2:$A$71,0)),0)</f>
        <v/>
      </c>
      <c r="R3873" s="27">
        <f>D3873*Q3873</f>
        <v/>
      </c>
      <c r="S3873" s="27">
        <f>R3873*E3873</f>
        <v/>
      </c>
      <c r="T3873" s="27">
        <f>(R3873-S3873)*M3873</f>
        <v/>
      </c>
      <c r="U3873" s="27">
        <f>R3873-S3873-T3873</f>
        <v/>
      </c>
      <c r="V3873" s="27">
        <f>D3873*P3873</f>
        <v/>
      </c>
      <c r="W3873" s="27">
        <f>U3873-V3873</f>
        <v/>
      </c>
      <c r="X3873" s="28">
        <f>IFERROR(W3873/U3873,0)</f>
        <v/>
      </c>
    </row>
    <row r="3874">
      <c r="A3874" s="21">
        <f>ItensPedido!A3874</f>
        <v/>
      </c>
      <c r="B3874" s="21">
        <f>ItensPedido!B3874</f>
        <v/>
      </c>
      <c r="C3874" s="21">
        <f>ItensPedido!C3874</f>
        <v/>
      </c>
      <c r="D3874" s="21">
        <f>ItensPedido!D3874</f>
        <v/>
      </c>
      <c r="E3874" s="22">
        <f>ItensPedido!E3874</f>
        <v/>
      </c>
      <c r="F3874" s="21">
        <f>IFERROR(INDEX(Pedidos!$B$2:$B$1801,MATCH(B3874,Pedidos!$A$2:$A$1801,0)),0)</f>
        <v/>
      </c>
      <c r="G3874" s="21">
        <f>IF(F3874=0,"",YEAR(F3874))</f>
        <v/>
      </c>
      <c r="H3874" s="21">
        <f>IF(F3874=0,"",MONTH(F3874))</f>
        <v/>
      </c>
      <c r="I3874" s="21">
        <f>IFERROR(INDEX(Pedidos!$E$2:$E$1801,MATCH(B3874,Pedidos!$A$2:$A$1801,0)),"")</f>
        <v/>
      </c>
      <c r="J3874" s="21">
        <f>IFERROR(INDEX(Pedidos!$C$2:$C$1801,MATCH(B3874,Pedidos!$A$2:$A$1801,0)),"")</f>
        <v/>
      </c>
      <c r="K3874" s="21">
        <f>IFERROR(INDEX(Pedidos!$D$2:$D$1801,MATCH(B3874,Pedidos!$A$2:$A$1801,0)),"")</f>
        <v/>
      </c>
      <c r="L3874" s="21">
        <f>IFERROR(INDEX(Pedidos!$F$2:$F$1801,MATCH(B3874,Pedidos!$A$2:$A$1801,0)),"")</f>
        <v/>
      </c>
      <c r="M3874" s="22">
        <f>IFERROR(INDEX(Pedidos!$G$2:$G$1801,MATCH(B3874,Pedidos!$A$2:$A$1801,0)),0)</f>
        <v/>
      </c>
      <c r="N3874" s="21">
        <f>IFERROR(INDEX(Produtos!$B$2:$B$71,MATCH(C3874,Produtos!$A$2:$A$71,0)),"")</f>
        <v/>
      </c>
      <c r="O3874" s="21">
        <f>IFERROR(INDEX(Produtos!$C$2:$C$71,MATCH(C3874,Produtos!$A$2:$A$71,0)),"")</f>
        <v/>
      </c>
      <c r="P3874" s="21">
        <f>IFERROR(INDEX(Produtos!$D$2:$D$71,MATCH(C3874,Produtos!$A$2:$A$71,0)),0)</f>
        <v/>
      </c>
      <c r="Q3874" s="21">
        <f>IFERROR(INDEX(Produtos!$E$2:$E$71,MATCH(C3874,Produtos!$A$2:$A$71,0)),0)</f>
        <v/>
      </c>
      <c r="R3874" s="23">
        <f>D3874*Q3874</f>
        <v/>
      </c>
      <c r="S3874" s="23">
        <f>R3874*E3874</f>
        <v/>
      </c>
      <c r="T3874" s="23">
        <f>(R3874-S3874)*M3874</f>
        <v/>
      </c>
      <c r="U3874" s="23">
        <f>R3874-S3874-T3874</f>
        <v/>
      </c>
      <c r="V3874" s="23">
        <f>D3874*P3874</f>
        <v/>
      </c>
      <c r="W3874" s="23">
        <f>U3874-V3874</f>
        <v/>
      </c>
      <c r="X3874" s="24">
        <f>IFERROR(W3874/U3874,0)</f>
        <v/>
      </c>
    </row>
    <row r="3875">
      <c r="A3875" s="25">
        <f>ItensPedido!A3875</f>
        <v/>
      </c>
      <c r="B3875" s="25">
        <f>ItensPedido!B3875</f>
        <v/>
      </c>
      <c r="C3875" s="25">
        <f>ItensPedido!C3875</f>
        <v/>
      </c>
      <c r="D3875" s="25">
        <f>ItensPedido!D3875</f>
        <v/>
      </c>
      <c r="E3875" s="26">
        <f>ItensPedido!E3875</f>
        <v/>
      </c>
      <c r="F3875" s="25">
        <f>IFERROR(INDEX(Pedidos!$B$2:$B$1801,MATCH(B3875,Pedidos!$A$2:$A$1801,0)),0)</f>
        <v/>
      </c>
      <c r="G3875" s="25">
        <f>IF(F3875=0,"",YEAR(F3875))</f>
        <v/>
      </c>
      <c r="H3875" s="25">
        <f>IF(F3875=0,"",MONTH(F3875))</f>
        <v/>
      </c>
      <c r="I3875" s="25">
        <f>IFERROR(INDEX(Pedidos!$E$2:$E$1801,MATCH(B3875,Pedidos!$A$2:$A$1801,0)),"")</f>
        <v/>
      </c>
      <c r="J3875" s="25">
        <f>IFERROR(INDEX(Pedidos!$C$2:$C$1801,MATCH(B3875,Pedidos!$A$2:$A$1801,0)),"")</f>
        <v/>
      </c>
      <c r="K3875" s="25">
        <f>IFERROR(INDEX(Pedidos!$D$2:$D$1801,MATCH(B3875,Pedidos!$A$2:$A$1801,0)),"")</f>
        <v/>
      </c>
      <c r="L3875" s="25">
        <f>IFERROR(INDEX(Pedidos!$F$2:$F$1801,MATCH(B3875,Pedidos!$A$2:$A$1801,0)),"")</f>
        <v/>
      </c>
      <c r="M3875" s="26">
        <f>IFERROR(INDEX(Pedidos!$G$2:$G$1801,MATCH(B3875,Pedidos!$A$2:$A$1801,0)),0)</f>
        <v/>
      </c>
      <c r="N3875" s="25">
        <f>IFERROR(INDEX(Produtos!$B$2:$B$71,MATCH(C3875,Produtos!$A$2:$A$71,0)),"")</f>
        <v/>
      </c>
      <c r="O3875" s="25">
        <f>IFERROR(INDEX(Produtos!$C$2:$C$71,MATCH(C3875,Produtos!$A$2:$A$71,0)),"")</f>
        <v/>
      </c>
      <c r="P3875" s="25">
        <f>IFERROR(INDEX(Produtos!$D$2:$D$71,MATCH(C3875,Produtos!$A$2:$A$71,0)),0)</f>
        <v/>
      </c>
      <c r="Q3875" s="25">
        <f>IFERROR(INDEX(Produtos!$E$2:$E$71,MATCH(C3875,Produtos!$A$2:$A$71,0)),0)</f>
        <v/>
      </c>
      <c r="R3875" s="27">
        <f>D3875*Q3875</f>
        <v/>
      </c>
      <c r="S3875" s="27">
        <f>R3875*E3875</f>
        <v/>
      </c>
      <c r="T3875" s="27">
        <f>(R3875-S3875)*M3875</f>
        <v/>
      </c>
      <c r="U3875" s="27">
        <f>R3875-S3875-T3875</f>
        <v/>
      </c>
      <c r="V3875" s="27">
        <f>D3875*P3875</f>
        <v/>
      </c>
      <c r="W3875" s="27">
        <f>U3875-V3875</f>
        <v/>
      </c>
      <c r="X3875" s="28">
        <f>IFERROR(W3875/U3875,0)</f>
        <v/>
      </c>
    </row>
    <row r="3876">
      <c r="A3876" s="21">
        <f>ItensPedido!A3876</f>
        <v/>
      </c>
      <c r="B3876" s="21">
        <f>ItensPedido!B3876</f>
        <v/>
      </c>
      <c r="C3876" s="21">
        <f>ItensPedido!C3876</f>
        <v/>
      </c>
      <c r="D3876" s="21">
        <f>ItensPedido!D3876</f>
        <v/>
      </c>
      <c r="E3876" s="22">
        <f>ItensPedido!E3876</f>
        <v/>
      </c>
      <c r="F3876" s="21">
        <f>IFERROR(INDEX(Pedidos!$B$2:$B$1801,MATCH(B3876,Pedidos!$A$2:$A$1801,0)),0)</f>
        <v/>
      </c>
      <c r="G3876" s="21">
        <f>IF(F3876=0,"",YEAR(F3876))</f>
        <v/>
      </c>
      <c r="H3876" s="21">
        <f>IF(F3876=0,"",MONTH(F3876))</f>
        <v/>
      </c>
      <c r="I3876" s="21">
        <f>IFERROR(INDEX(Pedidos!$E$2:$E$1801,MATCH(B3876,Pedidos!$A$2:$A$1801,0)),"")</f>
        <v/>
      </c>
      <c r="J3876" s="21">
        <f>IFERROR(INDEX(Pedidos!$C$2:$C$1801,MATCH(B3876,Pedidos!$A$2:$A$1801,0)),"")</f>
        <v/>
      </c>
      <c r="K3876" s="21">
        <f>IFERROR(INDEX(Pedidos!$D$2:$D$1801,MATCH(B3876,Pedidos!$A$2:$A$1801,0)),"")</f>
        <v/>
      </c>
      <c r="L3876" s="21">
        <f>IFERROR(INDEX(Pedidos!$F$2:$F$1801,MATCH(B3876,Pedidos!$A$2:$A$1801,0)),"")</f>
        <v/>
      </c>
      <c r="M3876" s="22">
        <f>IFERROR(INDEX(Pedidos!$G$2:$G$1801,MATCH(B3876,Pedidos!$A$2:$A$1801,0)),0)</f>
        <v/>
      </c>
      <c r="N3876" s="21">
        <f>IFERROR(INDEX(Produtos!$B$2:$B$71,MATCH(C3876,Produtos!$A$2:$A$71,0)),"")</f>
        <v/>
      </c>
      <c r="O3876" s="21">
        <f>IFERROR(INDEX(Produtos!$C$2:$C$71,MATCH(C3876,Produtos!$A$2:$A$71,0)),"")</f>
        <v/>
      </c>
      <c r="P3876" s="21">
        <f>IFERROR(INDEX(Produtos!$D$2:$D$71,MATCH(C3876,Produtos!$A$2:$A$71,0)),0)</f>
        <v/>
      </c>
      <c r="Q3876" s="21">
        <f>IFERROR(INDEX(Produtos!$E$2:$E$71,MATCH(C3876,Produtos!$A$2:$A$71,0)),0)</f>
        <v/>
      </c>
      <c r="R3876" s="23">
        <f>D3876*Q3876</f>
        <v/>
      </c>
      <c r="S3876" s="23">
        <f>R3876*E3876</f>
        <v/>
      </c>
      <c r="T3876" s="23">
        <f>(R3876-S3876)*M3876</f>
        <v/>
      </c>
      <c r="U3876" s="23">
        <f>R3876-S3876-T3876</f>
        <v/>
      </c>
      <c r="V3876" s="23">
        <f>D3876*P3876</f>
        <v/>
      </c>
      <c r="W3876" s="23">
        <f>U3876-V3876</f>
        <v/>
      </c>
      <c r="X3876" s="24">
        <f>IFERROR(W3876/U3876,0)</f>
        <v/>
      </c>
    </row>
    <row r="3877">
      <c r="A3877" s="25">
        <f>ItensPedido!A3877</f>
        <v/>
      </c>
      <c r="B3877" s="25">
        <f>ItensPedido!B3877</f>
        <v/>
      </c>
      <c r="C3877" s="25">
        <f>ItensPedido!C3877</f>
        <v/>
      </c>
      <c r="D3877" s="25">
        <f>ItensPedido!D3877</f>
        <v/>
      </c>
      <c r="E3877" s="26">
        <f>ItensPedido!E3877</f>
        <v/>
      </c>
      <c r="F3877" s="25">
        <f>IFERROR(INDEX(Pedidos!$B$2:$B$1801,MATCH(B3877,Pedidos!$A$2:$A$1801,0)),0)</f>
        <v/>
      </c>
      <c r="G3877" s="25">
        <f>IF(F3877=0,"",YEAR(F3877))</f>
        <v/>
      </c>
      <c r="H3877" s="25">
        <f>IF(F3877=0,"",MONTH(F3877))</f>
        <v/>
      </c>
      <c r="I3877" s="25">
        <f>IFERROR(INDEX(Pedidos!$E$2:$E$1801,MATCH(B3877,Pedidos!$A$2:$A$1801,0)),"")</f>
        <v/>
      </c>
      <c r="J3877" s="25">
        <f>IFERROR(INDEX(Pedidos!$C$2:$C$1801,MATCH(B3877,Pedidos!$A$2:$A$1801,0)),"")</f>
        <v/>
      </c>
      <c r="K3877" s="25">
        <f>IFERROR(INDEX(Pedidos!$D$2:$D$1801,MATCH(B3877,Pedidos!$A$2:$A$1801,0)),"")</f>
        <v/>
      </c>
      <c r="L3877" s="25">
        <f>IFERROR(INDEX(Pedidos!$F$2:$F$1801,MATCH(B3877,Pedidos!$A$2:$A$1801,0)),"")</f>
        <v/>
      </c>
      <c r="M3877" s="26">
        <f>IFERROR(INDEX(Pedidos!$G$2:$G$1801,MATCH(B3877,Pedidos!$A$2:$A$1801,0)),0)</f>
        <v/>
      </c>
      <c r="N3877" s="25">
        <f>IFERROR(INDEX(Produtos!$B$2:$B$71,MATCH(C3877,Produtos!$A$2:$A$71,0)),"")</f>
        <v/>
      </c>
      <c r="O3877" s="25">
        <f>IFERROR(INDEX(Produtos!$C$2:$C$71,MATCH(C3877,Produtos!$A$2:$A$71,0)),"")</f>
        <v/>
      </c>
      <c r="P3877" s="25">
        <f>IFERROR(INDEX(Produtos!$D$2:$D$71,MATCH(C3877,Produtos!$A$2:$A$71,0)),0)</f>
        <v/>
      </c>
      <c r="Q3877" s="25">
        <f>IFERROR(INDEX(Produtos!$E$2:$E$71,MATCH(C3877,Produtos!$A$2:$A$71,0)),0)</f>
        <v/>
      </c>
      <c r="R3877" s="27">
        <f>D3877*Q3877</f>
        <v/>
      </c>
      <c r="S3877" s="27">
        <f>R3877*E3877</f>
        <v/>
      </c>
      <c r="T3877" s="27">
        <f>(R3877-S3877)*M3877</f>
        <v/>
      </c>
      <c r="U3877" s="27">
        <f>R3877-S3877-T3877</f>
        <v/>
      </c>
      <c r="V3877" s="27">
        <f>D3877*P3877</f>
        <v/>
      </c>
      <c r="W3877" s="27">
        <f>U3877-V3877</f>
        <v/>
      </c>
      <c r="X3877" s="28">
        <f>IFERROR(W3877/U3877,0)</f>
        <v/>
      </c>
    </row>
    <row r="3878">
      <c r="A3878" s="21">
        <f>ItensPedido!A3878</f>
        <v/>
      </c>
      <c r="B3878" s="21">
        <f>ItensPedido!B3878</f>
        <v/>
      </c>
      <c r="C3878" s="21">
        <f>ItensPedido!C3878</f>
        <v/>
      </c>
      <c r="D3878" s="21">
        <f>ItensPedido!D3878</f>
        <v/>
      </c>
      <c r="E3878" s="22">
        <f>ItensPedido!E3878</f>
        <v/>
      </c>
      <c r="F3878" s="21">
        <f>IFERROR(INDEX(Pedidos!$B$2:$B$1801,MATCH(B3878,Pedidos!$A$2:$A$1801,0)),0)</f>
        <v/>
      </c>
      <c r="G3878" s="21">
        <f>IF(F3878=0,"",YEAR(F3878))</f>
        <v/>
      </c>
      <c r="H3878" s="21">
        <f>IF(F3878=0,"",MONTH(F3878))</f>
        <v/>
      </c>
      <c r="I3878" s="21">
        <f>IFERROR(INDEX(Pedidos!$E$2:$E$1801,MATCH(B3878,Pedidos!$A$2:$A$1801,0)),"")</f>
        <v/>
      </c>
      <c r="J3878" s="21">
        <f>IFERROR(INDEX(Pedidos!$C$2:$C$1801,MATCH(B3878,Pedidos!$A$2:$A$1801,0)),"")</f>
        <v/>
      </c>
      <c r="K3878" s="21">
        <f>IFERROR(INDEX(Pedidos!$D$2:$D$1801,MATCH(B3878,Pedidos!$A$2:$A$1801,0)),"")</f>
        <v/>
      </c>
      <c r="L3878" s="21">
        <f>IFERROR(INDEX(Pedidos!$F$2:$F$1801,MATCH(B3878,Pedidos!$A$2:$A$1801,0)),"")</f>
        <v/>
      </c>
      <c r="M3878" s="22">
        <f>IFERROR(INDEX(Pedidos!$G$2:$G$1801,MATCH(B3878,Pedidos!$A$2:$A$1801,0)),0)</f>
        <v/>
      </c>
      <c r="N3878" s="21">
        <f>IFERROR(INDEX(Produtos!$B$2:$B$71,MATCH(C3878,Produtos!$A$2:$A$71,0)),"")</f>
        <v/>
      </c>
      <c r="O3878" s="21">
        <f>IFERROR(INDEX(Produtos!$C$2:$C$71,MATCH(C3878,Produtos!$A$2:$A$71,0)),"")</f>
        <v/>
      </c>
      <c r="P3878" s="21">
        <f>IFERROR(INDEX(Produtos!$D$2:$D$71,MATCH(C3878,Produtos!$A$2:$A$71,0)),0)</f>
        <v/>
      </c>
      <c r="Q3878" s="21">
        <f>IFERROR(INDEX(Produtos!$E$2:$E$71,MATCH(C3878,Produtos!$A$2:$A$71,0)),0)</f>
        <v/>
      </c>
      <c r="R3878" s="23">
        <f>D3878*Q3878</f>
        <v/>
      </c>
      <c r="S3878" s="23">
        <f>R3878*E3878</f>
        <v/>
      </c>
      <c r="T3878" s="23">
        <f>(R3878-S3878)*M3878</f>
        <v/>
      </c>
      <c r="U3878" s="23">
        <f>R3878-S3878-T3878</f>
        <v/>
      </c>
      <c r="V3878" s="23">
        <f>D3878*P3878</f>
        <v/>
      </c>
      <c r="W3878" s="23">
        <f>U3878-V3878</f>
        <v/>
      </c>
      <c r="X3878" s="24">
        <f>IFERROR(W3878/U3878,0)</f>
        <v/>
      </c>
    </row>
    <row r="3879">
      <c r="A3879" s="25">
        <f>ItensPedido!A3879</f>
        <v/>
      </c>
      <c r="B3879" s="25">
        <f>ItensPedido!B3879</f>
        <v/>
      </c>
      <c r="C3879" s="25">
        <f>ItensPedido!C3879</f>
        <v/>
      </c>
      <c r="D3879" s="25">
        <f>ItensPedido!D3879</f>
        <v/>
      </c>
      <c r="E3879" s="26">
        <f>ItensPedido!E3879</f>
        <v/>
      </c>
      <c r="F3879" s="25">
        <f>IFERROR(INDEX(Pedidos!$B$2:$B$1801,MATCH(B3879,Pedidos!$A$2:$A$1801,0)),0)</f>
        <v/>
      </c>
      <c r="G3879" s="25">
        <f>IF(F3879=0,"",YEAR(F3879))</f>
        <v/>
      </c>
      <c r="H3879" s="25">
        <f>IF(F3879=0,"",MONTH(F3879))</f>
        <v/>
      </c>
      <c r="I3879" s="25">
        <f>IFERROR(INDEX(Pedidos!$E$2:$E$1801,MATCH(B3879,Pedidos!$A$2:$A$1801,0)),"")</f>
        <v/>
      </c>
      <c r="J3879" s="25">
        <f>IFERROR(INDEX(Pedidos!$C$2:$C$1801,MATCH(B3879,Pedidos!$A$2:$A$1801,0)),"")</f>
        <v/>
      </c>
      <c r="K3879" s="25">
        <f>IFERROR(INDEX(Pedidos!$D$2:$D$1801,MATCH(B3879,Pedidos!$A$2:$A$1801,0)),"")</f>
        <v/>
      </c>
      <c r="L3879" s="25">
        <f>IFERROR(INDEX(Pedidos!$F$2:$F$1801,MATCH(B3879,Pedidos!$A$2:$A$1801,0)),"")</f>
        <v/>
      </c>
      <c r="M3879" s="26">
        <f>IFERROR(INDEX(Pedidos!$G$2:$G$1801,MATCH(B3879,Pedidos!$A$2:$A$1801,0)),0)</f>
        <v/>
      </c>
      <c r="N3879" s="25">
        <f>IFERROR(INDEX(Produtos!$B$2:$B$71,MATCH(C3879,Produtos!$A$2:$A$71,0)),"")</f>
        <v/>
      </c>
      <c r="O3879" s="25">
        <f>IFERROR(INDEX(Produtos!$C$2:$C$71,MATCH(C3879,Produtos!$A$2:$A$71,0)),"")</f>
        <v/>
      </c>
      <c r="P3879" s="25">
        <f>IFERROR(INDEX(Produtos!$D$2:$D$71,MATCH(C3879,Produtos!$A$2:$A$71,0)),0)</f>
        <v/>
      </c>
      <c r="Q3879" s="25">
        <f>IFERROR(INDEX(Produtos!$E$2:$E$71,MATCH(C3879,Produtos!$A$2:$A$71,0)),0)</f>
        <v/>
      </c>
      <c r="R3879" s="27">
        <f>D3879*Q3879</f>
        <v/>
      </c>
      <c r="S3879" s="27">
        <f>R3879*E3879</f>
        <v/>
      </c>
      <c r="T3879" s="27">
        <f>(R3879-S3879)*M3879</f>
        <v/>
      </c>
      <c r="U3879" s="27">
        <f>R3879-S3879-T3879</f>
        <v/>
      </c>
      <c r="V3879" s="27">
        <f>D3879*P3879</f>
        <v/>
      </c>
      <c r="W3879" s="27">
        <f>U3879-V3879</f>
        <v/>
      </c>
      <c r="X3879" s="28">
        <f>IFERROR(W3879/U3879,0)</f>
        <v/>
      </c>
    </row>
    <row r="3880">
      <c r="A3880" s="21">
        <f>ItensPedido!A3880</f>
        <v/>
      </c>
      <c r="B3880" s="21">
        <f>ItensPedido!B3880</f>
        <v/>
      </c>
      <c r="C3880" s="21">
        <f>ItensPedido!C3880</f>
        <v/>
      </c>
      <c r="D3880" s="21">
        <f>ItensPedido!D3880</f>
        <v/>
      </c>
      <c r="E3880" s="22">
        <f>ItensPedido!E3880</f>
        <v/>
      </c>
      <c r="F3880" s="21">
        <f>IFERROR(INDEX(Pedidos!$B$2:$B$1801,MATCH(B3880,Pedidos!$A$2:$A$1801,0)),0)</f>
        <v/>
      </c>
      <c r="G3880" s="21">
        <f>IF(F3880=0,"",YEAR(F3880))</f>
        <v/>
      </c>
      <c r="H3880" s="21">
        <f>IF(F3880=0,"",MONTH(F3880))</f>
        <v/>
      </c>
      <c r="I3880" s="21">
        <f>IFERROR(INDEX(Pedidos!$E$2:$E$1801,MATCH(B3880,Pedidos!$A$2:$A$1801,0)),"")</f>
        <v/>
      </c>
      <c r="J3880" s="21">
        <f>IFERROR(INDEX(Pedidos!$C$2:$C$1801,MATCH(B3880,Pedidos!$A$2:$A$1801,0)),"")</f>
        <v/>
      </c>
      <c r="K3880" s="21">
        <f>IFERROR(INDEX(Pedidos!$D$2:$D$1801,MATCH(B3880,Pedidos!$A$2:$A$1801,0)),"")</f>
        <v/>
      </c>
      <c r="L3880" s="21">
        <f>IFERROR(INDEX(Pedidos!$F$2:$F$1801,MATCH(B3880,Pedidos!$A$2:$A$1801,0)),"")</f>
        <v/>
      </c>
      <c r="M3880" s="22">
        <f>IFERROR(INDEX(Pedidos!$G$2:$G$1801,MATCH(B3880,Pedidos!$A$2:$A$1801,0)),0)</f>
        <v/>
      </c>
      <c r="N3880" s="21">
        <f>IFERROR(INDEX(Produtos!$B$2:$B$71,MATCH(C3880,Produtos!$A$2:$A$71,0)),"")</f>
        <v/>
      </c>
      <c r="O3880" s="21">
        <f>IFERROR(INDEX(Produtos!$C$2:$C$71,MATCH(C3880,Produtos!$A$2:$A$71,0)),"")</f>
        <v/>
      </c>
      <c r="P3880" s="21">
        <f>IFERROR(INDEX(Produtos!$D$2:$D$71,MATCH(C3880,Produtos!$A$2:$A$71,0)),0)</f>
        <v/>
      </c>
      <c r="Q3880" s="21">
        <f>IFERROR(INDEX(Produtos!$E$2:$E$71,MATCH(C3880,Produtos!$A$2:$A$71,0)),0)</f>
        <v/>
      </c>
      <c r="R3880" s="23">
        <f>D3880*Q3880</f>
        <v/>
      </c>
      <c r="S3880" s="23">
        <f>R3880*E3880</f>
        <v/>
      </c>
      <c r="T3880" s="23">
        <f>(R3880-S3880)*M3880</f>
        <v/>
      </c>
      <c r="U3880" s="23">
        <f>R3880-S3880-T3880</f>
        <v/>
      </c>
      <c r="V3880" s="23">
        <f>D3880*P3880</f>
        <v/>
      </c>
      <c r="W3880" s="23">
        <f>U3880-V3880</f>
        <v/>
      </c>
      <c r="X3880" s="24">
        <f>IFERROR(W3880/U3880,0)</f>
        <v/>
      </c>
    </row>
    <row r="3881">
      <c r="A3881" s="25">
        <f>ItensPedido!A3881</f>
        <v/>
      </c>
      <c r="B3881" s="25">
        <f>ItensPedido!B3881</f>
        <v/>
      </c>
      <c r="C3881" s="25">
        <f>ItensPedido!C3881</f>
        <v/>
      </c>
      <c r="D3881" s="25">
        <f>ItensPedido!D3881</f>
        <v/>
      </c>
      <c r="E3881" s="26">
        <f>ItensPedido!E3881</f>
        <v/>
      </c>
      <c r="F3881" s="25">
        <f>IFERROR(INDEX(Pedidos!$B$2:$B$1801,MATCH(B3881,Pedidos!$A$2:$A$1801,0)),0)</f>
        <v/>
      </c>
      <c r="G3881" s="25">
        <f>IF(F3881=0,"",YEAR(F3881))</f>
        <v/>
      </c>
      <c r="H3881" s="25">
        <f>IF(F3881=0,"",MONTH(F3881))</f>
        <v/>
      </c>
      <c r="I3881" s="25">
        <f>IFERROR(INDEX(Pedidos!$E$2:$E$1801,MATCH(B3881,Pedidos!$A$2:$A$1801,0)),"")</f>
        <v/>
      </c>
      <c r="J3881" s="25">
        <f>IFERROR(INDEX(Pedidos!$C$2:$C$1801,MATCH(B3881,Pedidos!$A$2:$A$1801,0)),"")</f>
        <v/>
      </c>
      <c r="K3881" s="25">
        <f>IFERROR(INDEX(Pedidos!$D$2:$D$1801,MATCH(B3881,Pedidos!$A$2:$A$1801,0)),"")</f>
        <v/>
      </c>
      <c r="L3881" s="25">
        <f>IFERROR(INDEX(Pedidos!$F$2:$F$1801,MATCH(B3881,Pedidos!$A$2:$A$1801,0)),"")</f>
        <v/>
      </c>
      <c r="M3881" s="26">
        <f>IFERROR(INDEX(Pedidos!$G$2:$G$1801,MATCH(B3881,Pedidos!$A$2:$A$1801,0)),0)</f>
        <v/>
      </c>
      <c r="N3881" s="25">
        <f>IFERROR(INDEX(Produtos!$B$2:$B$71,MATCH(C3881,Produtos!$A$2:$A$71,0)),"")</f>
        <v/>
      </c>
      <c r="O3881" s="25">
        <f>IFERROR(INDEX(Produtos!$C$2:$C$71,MATCH(C3881,Produtos!$A$2:$A$71,0)),"")</f>
        <v/>
      </c>
      <c r="P3881" s="25">
        <f>IFERROR(INDEX(Produtos!$D$2:$D$71,MATCH(C3881,Produtos!$A$2:$A$71,0)),0)</f>
        <v/>
      </c>
      <c r="Q3881" s="25">
        <f>IFERROR(INDEX(Produtos!$E$2:$E$71,MATCH(C3881,Produtos!$A$2:$A$71,0)),0)</f>
        <v/>
      </c>
      <c r="R3881" s="27">
        <f>D3881*Q3881</f>
        <v/>
      </c>
      <c r="S3881" s="27">
        <f>R3881*E3881</f>
        <v/>
      </c>
      <c r="T3881" s="27">
        <f>(R3881-S3881)*M3881</f>
        <v/>
      </c>
      <c r="U3881" s="27">
        <f>R3881-S3881-T3881</f>
        <v/>
      </c>
      <c r="V3881" s="27">
        <f>D3881*P3881</f>
        <v/>
      </c>
      <c r="W3881" s="27">
        <f>U3881-V3881</f>
        <v/>
      </c>
      <c r="X3881" s="28">
        <f>IFERROR(W3881/U3881,0)</f>
        <v/>
      </c>
    </row>
    <row r="3882">
      <c r="A3882" s="21">
        <f>ItensPedido!A3882</f>
        <v/>
      </c>
      <c r="B3882" s="21">
        <f>ItensPedido!B3882</f>
        <v/>
      </c>
      <c r="C3882" s="21">
        <f>ItensPedido!C3882</f>
        <v/>
      </c>
      <c r="D3882" s="21">
        <f>ItensPedido!D3882</f>
        <v/>
      </c>
      <c r="E3882" s="22">
        <f>ItensPedido!E3882</f>
        <v/>
      </c>
      <c r="F3882" s="21">
        <f>IFERROR(INDEX(Pedidos!$B$2:$B$1801,MATCH(B3882,Pedidos!$A$2:$A$1801,0)),0)</f>
        <v/>
      </c>
      <c r="G3882" s="21">
        <f>IF(F3882=0,"",YEAR(F3882))</f>
        <v/>
      </c>
      <c r="H3882" s="21">
        <f>IF(F3882=0,"",MONTH(F3882))</f>
        <v/>
      </c>
      <c r="I3882" s="21">
        <f>IFERROR(INDEX(Pedidos!$E$2:$E$1801,MATCH(B3882,Pedidos!$A$2:$A$1801,0)),"")</f>
        <v/>
      </c>
      <c r="J3882" s="21">
        <f>IFERROR(INDEX(Pedidos!$C$2:$C$1801,MATCH(B3882,Pedidos!$A$2:$A$1801,0)),"")</f>
        <v/>
      </c>
      <c r="K3882" s="21">
        <f>IFERROR(INDEX(Pedidos!$D$2:$D$1801,MATCH(B3882,Pedidos!$A$2:$A$1801,0)),"")</f>
        <v/>
      </c>
      <c r="L3882" s="21">
        <f>IFERROR(INDEX(Pedidos!$F$2:$F$1801,MATCH(B3882,Pedidos!$A$2:$A$1801,0)),"")</f>
        <v/>
      </c>
      <c r="M3882" s="22">
        <f>IFERROR(INDEX(Pedidos!$G$2:$G$1801,MATCH(B3882,Pedidos!$A$2:$A$1801,0)),0)</f>
        <v/>
      </c>
      <c r="N3882" s="21">
        <f>IFERROR(INDEX(Produtos!$B$2:$B$71,MATCH(C3882,Produtos!$A$2:$A$71,0)),"")</f>
        <v/>
      </c>
      <c r="O3882" s="21">
        <f>IFERROR(INDEX(Produtos!$C$2:$C$71,MATCH(C3882,Produtos!$A$2:$A$71,0)),"")</f>
        <v/>
      </c>
      <c r="P3882" s="21">
        <f>IFERROR(INDEX(Produtos!$D$2:$D$71,MATCH(C3882,Produtos!$A$2:$A$71,0)),0)</f>
        <v/>
      </c>
      <c r="Q3882" s="21">
        <f>IFERROR(INDEX(Produtos!$E$2:$E$71,MATCH(C3882,Produtos!$A$2:$A$71,0)),0)</f>
        <v/>
      </c>
      <c r="R3882" s="23">
        <f>D3882*Q3882</f>
        <v/>
      </c>
      <c r="S3882" s="23">
        <f>R3882*E3882</f>
        <v/>
      </c>
      <c r="T3882" s="23">
        <f>(R3882-S3882)*M3882</f>
        <v/>
      </c>
      <c r="U3882" s="23">
        <f>R3882-S3882-T3882</f>
        <v/>
      </c>
      <c r="V3882" s="23">
        <f>D3882*P3882</f>
        <v/>
      </c>
      <c r="W3882" s="23">
        <f>U3882-V3882</f>
        <v/>
      </c>
      <c r="X3882" s="24">
        <f>IFERROR(W3882/U3882,0)</f>
        <v/>
      </c>
    </row>
    <row r="3883">
      <c r="A3883" s="25">
        <f>ItensPedido!A3883</f>
        <v/>
      </c>
      <c r="B3883" s="25">
        <f>ItensPedido!B3883</f>
        <v/>
      </c>
      <c r="C3883" s="25">
        <f>ItensPedido!C3883</f>
        <v/>
      </c>
      <c r="D3883" s="25">
        <f>ItensPedido!D3883</f>
        <v/>
      </c>
      <c r="E3883" s="26">
        <f>ItensPedido!E3883</f>
        <v/>
      </c>
      <c r="F3883" s="25">
        <f>IFERROR(INDEX(Pedidos!$B$2:$B$1801,MATCH(B3883,Pedidos!$A$2:$A$1801,0)),0)</f>
        <v/>
      </c>
      <c r="G3883" s="25">
        <f>IF(F3883=0,"",YEAR(F3883))</f>
        <v/>
      </c>
      <c r="H3883" s="25">
        <f>IF(F3883=0,"",MONTH(F3883))</f>
        <v/>
      </c>
      <c r="I3883" s="25">
        <f>IFERROR(INDEX(Pedidos!$E$2:$E$1801,MATCH(B3883,Pedidos!$A$2:$A$1801,0)),"")</f>
        <v/>
      </c>
      <c r="J3883" s="25">
        <f>IFERROR(INDEX(Pedidos!$C$2:$C$1801,MATCH(B3883,Pedidos!$A$2:$A$1801,0)),"")</f>
        <v/>
      </c>
      <c r="K3883" s="25">
        <f>IFERROR(INDEX(Pedidos!$D$2:$D$1801,MATCH(B3883,Pedidos!$A$2:$A$1801,0)),"")</f>
        <v/>
      </c>
      <c r="L3883" s="25">
        <f>IFERROR(INDEX(Pedidos!$F$2:$F$1801,MATCH(B3883,Pedidos!$A$2:$A$1801,0)),"")</f>
        <v/>
      </c>
      <c r="M3883" s="26">
        <f>IFERROR(INDEX(Pedidos!$G$2:$G$1801,MATCH(B3883,Pedidos!$A$2:$A$1801,0)),0)</f>
        <v/>
      </c>
      <c r="N3883" s="25">
        <f>IFERROR(INDEX(Produtos!$B$2:$B$71,MATCH(C3883,Produtos!$A$2:$A$71,0)),"")</f>
        <v/>
      </c>
      <c r="O3883" s="25">
        <f>IFERROR(INDEX(Produtos!$C$2:$C$71,MATCH(C3883,Produtos!$A$2:$A$71,0)),"")</f>
        <v/>
      </c>
      <c r="P3883" s="25">
        <f>IFERROR(INDEX(Produtos!$D$2:$D$71,MATCH(C3883,Produtos!$A$2:$A$71,0)),0)</f>
        <v/>
      </c>
      <c r="Q3883" s="25">
        <f>IFERROR(INDEX(Produtos!$E$2:$E$71,MATCH(C3883,Produtos!$A$2:$A$71,0)),0)</f>
        <v/>
      </c>
      <c r="R3883" s="27">
        <f>D3883*Q3883</f>
        <v/>
      </c>
      <c r="S3883" s="27">
        <f>R3883*E3883</f>
        <v/>
      </c>
      <c r="T3883" s="27">
        <f>(R3883-S3883)*M3883</f>
        <v/>
      </c>
      <c r="U3883" s="27">
        <f>R3883-S3883-T3883</f>
        <v/>
      </c>
      <c r="V3883" s="27">
        <f>D3883*P3883</f>
        <v/>
      </c>
      <c r="W3883" s="27">
        <f>U3883-V3883</f>
        <v/>
      </c>
      <c r="X3883" s="28">
        <f>IFERROR(W3883/U3883,0)</f>
        <v/>
      </c>
    </row>
    <row r="3884">
      <c r="A3884" s="21">
        <f>ItensPedido!A3884</f>
        <v/>
      </c>
      <c r="B3884" s="21">
        <f>ItensPedido!B3884</f>
        <v/>
      </c>
      <c r="C3884" s="21">
        <f>ItensPedido!C3884</f>
        <v/>
      </c>
      <c r="D3884" s="21">
        <f>ItensPedido!D3884</f>
        <v/>
      </c>
      <c r="E3884" s="22">
        <f>ItensPedido!E3884</f>
        <v/>
      </c>
      <c r="F3884" s="21">
        <f>IFERROR(INDEX(Pedidos!$B$2:$B$1801,MATCH(B3884,Pedidos!$A$2:$A$1801,0)),0)</f>
        <v/>
      </c>
      <c r="G3884" s="21">
        <f>IF(F3884=0,"",YEAR(F3884))</f>
        <v/>
      </c>
      <c r="H3884" s="21">
        <f>IF(F3884=0,"",MONTH(F3884))</f>
        <v/>
      </c>
      <c r="I3884" s="21">
        <f>IFERROR(INDEX(Pedidos!$E$2:$E$1801,MATCH(B3884,Pedidos!$A$2:$A$1801,0)),"")</f>
        <v/>
      </c>
      <c r="J3884" s="21">
        <f>IFERROR(INDEX(Pedidos!$C$2:$C$1801,MATCH(B3884,Pedidos!$A$2:$A$1801,0)),"")</f>
        <v/>
      </c>
      <c r="K3884" s="21">
        <f>IFERROR(INDEX(Pedidos!$D$2:$D$1801,MATCH(B3884,Pedidos!$A$2:$A$1801,0)),"")</f>
        <v/>
      </c>
      <c r="L3884" s="21">
        <f>IFERROR(INDEX(Pedidos!$F$2:$F$1801,MATCH(B3884,Pedidos!$A$2:$A$1801,0)),"")</f>
        <v/>
      </c>
      <c r="M3884" s="22">
        <f>IFERROR(INDEX(Pedidos!$G$2:$G$1801,MATCH(B3884,Pedidos!$A$2:$A$1801,0)),0)</f>
        <v/>
      </c>
      <c r="N3884" s="21">
        <f>IFERROR(INDEX(Produtos!$B$2:$B$71,MATCH(C3884,Produtos!$A$2:$A$71,0)),"")</f>
        <v/>
      </c>
      <c r="O3884" s="21">
        <f>IFERROR(INDEX(Produtos!$C$2:$C$71,MATCH(C3884,Produtos!$A$2:$A$71,0)),"")</f>
        <v/>
      </c>
      <c r="P3884" s="21">
        <f>IFERROR(INDEX(Produtos!$D$2:$D$71,MATCH(C3884,Produtos!$A$2:$A$71,0)),0)</f>
        <v/>
      </c>
      <c r="Q3884" s="21">
        <f>IFERROR(INDEX(Produtos!$E$2:$E$71,MATCH(C3884,Produtos!$A$2:$A$71,0)),0)</f>
        <v/>
      </c>
      <c r="R3884" s="23">
        <f>D3884*Q3884</f>
        <v/>
      </c>
      <c r="S3884" s="23">
        <f>R3884*E3884</f>
        <v/>
      </c>
      <c r="T3884" s="23">
        <f>(R3884-S3884)*M3884</f>
        <v/>
      </c>
      <c r="U3884" s="23">
        <f>R3884-S3884-T3884</f>
        <v/>
      </c>
      <c r="V3884" s="23">
        <f>D3884*P3884</f>
        <v/>
      </c>
      <c r="W3884" s="23">
        <f>U3884-V3884</f>
        <v/>
      </c>
      <c r="X3884" s="24">
        <f>IFERROR(W3884/U3884,0)</f>
        <v/>
      </c>
    </row>
    <row r="3885">
      <c r="A3885" s="25">
        <f>ItensPedido!A3885</f>
        <v/>
      </c>
      <c r="B3885" s="25">
        <f>ItensPedido!B3885</f>
        <v/>
      </c>
      <c r="C3885" s="25">
        <f>ItensPedido!C3885</f>
        <v/>
      </c>
      <c r="D3885" s="25">
        <f>ItensPedido!D3885</f>
        <v/>
      </c>
      <c r="E3885" s="26">
        <f>ItensPedido!E3885</f>
        <v/>
      </c>
      <c r="F3885" s="25">
        <f>IFERROR(INDEX(Pedidos!$B$2:$B$1801,MATCH(B3885,Pedidos!$A$2:$A$1801,0)),0)</f>
        <v/>
      </c>
      <c r="G3885" s="25">
        <f>IF(F3885=0,"",YEAR(F3885))</f>
        <v/>
      </c>
      <c r="H3885" s="25">
        <f>IF(F3885=0,"",MONTH(F3885))</f>
        <v/>
      </c>
      <c r="I3885" s="25">
        <f>IFERROR(INDEX(Pedidos!$E$2:$E$1801,MATCH(B3885,Pedidos!$A$2:$A$1801,0)),"")</f>
        <v/>
      </c>
      <c r="J3885" s="25">
        <f>IFERROR(INDEX(Pedidos!$C$2:$C$1801,MATCH(B3885,Pedidos!$A$2:$A$1801,0)),"")</f>
        <v/>
      </c>
      <c r="K3885" s="25">
        <f>IFERROR(INDEX(Pedidos!$D$2:$D$1801,MATCH(B3885,Pedidos!$A$2:$A$1801,0)),"")</f>
        <v/>
      </c>
      <c r="L3885" s="25">
        <f>IFERROR(INDEX(Pedidos!$F$2:$F$1801,MATCH(B3885,Pedidos!$A$2:$A$1801,0)),"")</f>
        <v/>
      </c>
      <c r="M3885" s="26">
        <f>IFERROR(INDEX(Pedidos!$G$2:$G$1801,MATCH(B3885,Pedidos!$A$2:$A$1801,0)),0)</f>
        <v/>
      </c>
      <c r="N3885" s="25">
        <f>IFERROR(INDEX(Produtos!$B$2:$B$71,MATCH(C3885,Produtos!$A$2:$A$71,0)),"")</f>
        <v/>
      </c>
      <c r="O3885" s="25">
        <f>IFERROR(INDEX(Produtos!$C$2:$C$71,MATCH(C3885,Produtos!$A$2:$A$71,0)),"")</f>
        <v/>
      </c>
      <c r="P3885" s="25">
        <f>IFERROR(INDEX(Produtos!$D$2:$D$71,MATCH(C3885,Produtos!$A$2:$A$71,0)),0)</f>
        <v/>
      </c>
      <c r="Q3885" s="25">
        <f>IFERROR(INDEX(Produtos!$E$2:$E$71,MATCH(C3885,Produtos!$A$2:$A$71,0)),0)</f>
        <v/>
      </c>
      <c r="R3885" s="27">
        <f>D3885*Q3885</f>
        <v/>
      </c>
      <c r="S3885" s="27">
        <f>R3885*E3885</f>
        <v/>
      </c>
      <c r="T3885" s="27">
        <f>(R3885-S3885)*M3885</f>
        <v/>
      </c>
      <c r="U3885" s="27">
        <f>R3885-S3885-T3885</f>
        <v/>
      </c>
      <c r="V3885" s="27">
        <f>D3885*P3885</f>
        <v/>
      </c>
      <c r="W3885" s="27">
        <f>U3885-V3885</f>
        <v/>
      </c>
      <c r="X3885" s="28">
        <f>IFERROR(W3885/U3885,0)</f>
        <v/>
      </c>
    </row>
    <row r="3886">
      <c r="A3886" s="21">
        <f>ItensPedido!A3886</f>
        <v/>
      </c>
      <c r="B3886" s="21">
        <f>ItensPedido!B3886</f>
        <v/>
      </c>
      <c r="C3886" s="21">
        <f>ItensPedido!C3886</f>
        <v/>
      </c>
      <c r="D3886" s="21">
        <f>ItensPedido!D3886</f>
        <v/>
      </c>
      <c r="E3886" s="22">
        <f>ItensPedido!E3886</f>
        <v/>
      </c>
      <c r="F3886" s="21">
        <f>IFERROR(INDEX(Pedidos!$B$2:$B$1801,MATCH(B3886,Pedidos!$A$2:$A$1801,0)),0)</f>
        <v/>
      </c>
      <c r="G3886" s="21">
        <f>IF(F3886=0,"",YEAR(F3886))</f>
        <v/>
      </c>
      <c r="H3886" s="21">
        <f>IF(F3886=0,"",MONTH(F3886))</f>
        <v/>
      </c>
      <c r="I3886" s="21">
        <f>IFERROR(INDEX(Pedidos!$E$2:$E$1801,MATCH(B3886,Pedidos!$A$2:$A$1801,0)),"")</f>
        <v/>
      </c>
      <c r="J3886" s="21">
        <f>IFERROR(INDEX(Pedidos!$C$2:$C$1801,MATCH(B3886,Pedidos!$A$2:$A$1801,0)),"")</f>
        <v/>
      </c>
      <c r="K3886" s="21">
        <f>IFERROR(INDEX(Pedidos!$D$2:$D$1801,MATCH(B3886,Pedidos!$A$2:$A$1801,0)),"")</f>
        <v/>
      </c>
      <c r="L3886" s="21">
        <f>IFERROR(INDEX(Pedidos!$F$2:$F$1801,MATCH(B3886,Pedidos!$A$2:$A$1801,0)),"")</f>
        <v/>
      </c>
      <c r="M3886" s="22">
        <f>IFERROR(INDEX(Pedidos!$G$2:$G$1801,MATCH(B3886,Pedidos!$A$2:$A$1801,0)),0)</f>
        <v/>
      </c>
      <c r="N3886" s="21">
        <f>IFERROR(INDEX(Produtos!$B$2:$B$71,MATCH(C3886,Produtos!$A$2:$A$71,0)),"")</f>
        <v/>
      </c>
      <c r="O3886" s="21">
        <f>IFERROR(INDEX(Produtos!$C$2:$C$71,MATCH(C3886,Produtos!$A$2:$A$71,0)),"")</f>
        <v/>
      </c>
      <c r="P3886" s="21">
        <f>IFERROR(INDEX(Produtos!$D$2:$D$71,MATCH(C3886,Produtos!$A$2:$A$71,0)),0)</f>
        <v/>
      </c>
      <c r="Q3886" s="21">
        <f>IFERROR(INDEX(Produtos!$E$2:$E$71,MATCH(C3886,Produtos!$A$2:$A$71,0)),0)</f>
        <v/>
      </c>
      <c r="R3886" s="23">
        <f>D3886*Q3886</f>
        <v/>
      </c>
      <c r="S3886" s="23">
        <f>R3886*E3886</f>
        <v/>
      </c>
      <c r="T3886" s="23">
        <f>(R3886-S3886)*M3886</f>
        <v/>
      </c>
      <c r="U3886" s="23">
        <f>R3886-S3886-T3886</f>
        <v/>
      </c>
      <c r="V3886" s="23">
        <f>D3886*P3886</f>
        <v/>
      </c>
      <c r="W3886" s="23">
        <f>U3886-V3886</f>
        <v/>
      </c>
      <c r="X3886" s="24">
        <f>IFERROR(W3886/U3886,0)</f>
        <v/>
      </c>
    </row>
    <row r="3887">
      <c r="A3887" s="25">
        <f>ItensPedido!A3887</f>
        <v/>
      </c>
      <c r="B3887" s="25">
        <f>ItensPedido!B3887</f>
        <v/>
      </c>
      <c r="C3887" s="25">
        <f>ItensPedido!C3887</f>
        <v/>
      </c>
      <c r="D3887" s="25">
        <f>ItensPedido!D3887</f>
        <v/>
      </c>
      <c r="E3887" s="26">
        <f>ItensPedido!E3887</f>
        <v/>
      </c>
      <c r="F3887" s="25">
        <f>IFERROR(INDEX(Pedidos!$B$2:$B$1801,MATCH(B3887,Pedidos!$A$2:$A$1801,0)),0)</f>
        <v/>
      </c>
      <c r="G3887" s="25">
        <f>IF(F3887=0,"",YEAR(F3887))</f>
        <v/>
      </c>
      <c r="H3887" s="25">
        <f>IF(F3887=0,"",MONTH(F3887))</f>
        <v/>
      </c>
      <c r="I3887" s="25">
        <f>IFERROR(INDEX(Pedidos!$E$2:$E$1801,MATCH(B3887,Pedidos!$A$2:$A$1801,0)),"")</f>
        <v/>
      </c>
      <c r="J3887" s="25">
        <f>IFERROR(INDEX(Pedidos!$C$2:$C$1801,MATCH(B3887,Pedidos!$A$2:$A$1801,0)),"")</f>
        <v/>
      </c>
      <c r="K3887" s="25">
        <f>IFERROR(INDEX(Pedidos!$D$2:$D$1801,MATCH(B3887,Pedidos!$A$2:$A$1801,0)),"")</f>
        <v/>
      </c>
      <c r="L3887" s="25">
        <f>IFERROR(INDEX(Pedidos!$F$2:$F$1801,MATCH(B3887,Pedidos!$A$2:$A$1801,0)),"")</f>
        <v/>
      </c>
      <c r="M3887" s="26">
        <f>IFERROR(INDEX(Pedidos!$G$2:$G$1801,MATCH(B3887,Pedidos!$A$2:$A$1801,0)),0)</f>
        <v/>
      </c>
      <c r="N3887" s="25">
        <f>IFERROR(INDEX(Produtos!$B$2:$B$71,MATCH(C3887,Produtos!$A$2:$A$71,0)),"")</f>
        <v/>
      </c>
      <c r="O3887" s="25">
        <f>IFERROR(INDEX(Produtos!$C$2:$C$71,MATCH(C3887,Produtos!$A$2:$A$71,0)),"")</f>
        <v/>
      </c>
      <c r="P3887" s="25">
        <f>IFERROR(INDEX(Produtos!$D$2:$D$71,MATCH(C3887,Produtos!$A$2:$A$71,0)),0)</f>
        <v/>
      </c>
      <c r="Q3887" s="25">
        <f>IFERROR(INDEX(Produtos!$E$2:$E$71,MATCH(C3887,Produtos!$A$2:$A$71,0)),0)</f>
        <v/>
      </c>
      <c r="R3887" s="27">
        <f>D3887*Q3887</f>
        <v/>
      </c>
      <c r="S3887" s="27">
        <f>R3887*E3887</f>
        <v/>
      </c>
      <c r="T3887" s="27">
        <f>(R3887-S3887)*M3887</f>
        <v/>
      </c>
      <c r="U3887" s="27">
        <f>R3887-S3887-T3887</f>
        <v/>
      </c>
      <c r="V3887" s="27">
        <f>D3887*P3887</f>
        <v/>
      </c>
      <c r="W3887" s="27">
        <f>U3887-V3887</f>
        <v/>
      </c>
      <c r="X3887" s="28">
        <f>IFERROR(W3887/U3887,0)</f>
        <v/>
      </c>
    </row>
    <row r="3888">
      <c r="A3888" s="21">
        <f>ItensPedido!A3888</f>
        <v/>
      </c>
      <c r="B3888" s="21">
        <f>ItensPedido!B3888</f>
        <v/>
      </c>
      <c r="C3888" s="21">
        <f>ItensPedido!C3888</f>
        <v/>
      </c>
      <c r="D3888" s="21">
        <f>ItensPedido!D3888</f>
        <v/>
      </c>
      <c r="E3888" s="22">
        <f>ItensPedido!E3888</f>
        <v/>
      </c>
      <c r="F3888" s="21">
        <f>IFERROR(INDEX(Pedidos!$B$2:$B$1801,MATCH(B3888,Pedidos!$A$2:$A$1801,0)),0)</f>
        <v/>
      </c>
      <c r="G3888" s="21">
        <f>IF(F3888=0,"",YEAR(F3888))</f>
        <v/>
      </c>
      <c r="H3888" s="21">
        <f>IF(F3888=0,"",MONTH(F3888))</f>
        <v/>
      </c>
      <c r="I3888" s="21">
        <f>IFERROR(INDEX(Pedidos!$E$2:$E$1801,MATCH(B3888,Pedidos!$A$2:$A$1801,0)),"")</f>
        <v/>
      </c>
      <c r="J3888" s="21">
        <f>IFERROR(INDEX(Pedidos!$C$2:$C$1801,MATCH(B3888,Pedidos!$A$2:$A$1801,0)),"")</f>
        <v/>
      </c>
      <c r="K3888" s="21">
        <f>IFERROR(INDEX(Pedidos!$D$2:$D$1801,MATCH(B3888,Pedidos!$A$2:$A$1801,0)),"")</f>
        <v/>
      </c>
      <c r="L3888" s="21">
        <f>IFERROR(INDEX(Pedidos!$F$2:$F$1801,MATCH(B3888,Pedidos!$A$2:$A$1801,0)),"")</f>
        <v/>
      </c>
      <c r="M3888" s="22">
        <f>IFERROR(INDEX(Pedidos!$G$2:$G$1801,MATCH(B3888,Pedidos!$A$2:$A$1801,0)),0)</f>
        <v/>
      </c>
      <c r="N3888" s="21">
        <f>IFERROR(INDEX(Produtos!$B$2:$B$71,MATCH(C3888,Produtos!$A$2:$A$71,0)),"")</f>
        <v/>
      </c>
      <c r="O3888" s="21">
        <f>IFERROR(INDEX(Produtos!$C$2:$C$71,MATCH(C3888,Produtos!$A$2:$A$71,0)),"")</f>
        <v/>
      </c>
      <c r="P3888" s="21">
        <f>IFERROR(INDEX(Produtos!$D$2:$D$71,MATCH(C3888,Produtos!$A$2:$A$71,0)),0)</f>
        <v/>
      </c>
      <c r="Q3888" s="21">
        <f>IFERROR(INDEX(Produtos!$E$2:$E$71,MATCH(C3888,Produtos!$A$2:$A$71,0)),0)</f>
        <v/>
      </c>
      <c r="R3888" s="23">
        <f>D3888*Q3888</f>
        <v/>
      </c>
      <c r="S3888" s="23">
        <f>R3888*E3888</f>
        <v/>
      </c>
      <c r="T3888" s="23">
        <f>(R3888-S3888)*M3888</f>
        <v/>
      </c>
      <c r="U3888" s="23">
        <f>R3888-S3888-T3888</f>
        <v/>
      </c>
      <c r="V3888" s="23">
        <f>D3888*P3888</f>
        <v/>
      </c>
      <c r="W3888" s="23">
        <f>U3888-V3888</f>
        <v/>
      </c>
      <c r="X3888" s="24">
        <f>IFERROR(W3888/U3888,0)</f>
        <v/>
      </c>
    </row>
    <row r="3889">
      <c r="A3889" s="25">
        <f>ItensPedido!A3889</f>
        <v/>
      </c>
      <c r="B3889" s="25">
        <f>ItensPedido!B3889</f>
        <v/>
      </c>
      <c r="C3889" s="25">
        <f>ItensPedido!C3889</f>
        <v/>
      </c>
      <c r="D3889" s="25">
        <f>ItensPedido!D3889</f>
        <v/>
      </c>
      <c r="E3889" s="26">
        <f>ItensPedido!E3889</f>
        <v/>
      </c>
      <c r="F3889" s="25">
        <f>IFERROR(INDEX(Pedidos!$B$2:$B$1801,MATCH(B3889,Pedidos!$A$2:$A$1801,0)),0)</f>
        <v/>
      </c>
      <c r="G3889" s="25">
        <f>IF(F3889=0,"",YEAR(F3889))</f>
        <v/>
      </c>
      <c r="H3889" s="25">
        <f>IF(F3889=0,"",MONTH(F3889))</f>
        <v/>
      </c>
      <c r="I3889" s="25">
        <f>IFERROR(INDEX(Pedidos!$E$2:$E$1801,MATCH(B3889,Pedidos!$A$2:$A$1801,0)),"")</f>
        <v/>
      </c>
      <c r="J3889" s="25">
        <f>IFERROR(INDEX(Pedidos!$C$2:$C$1801,MATCH(B3889,Pedidos!$A$2:$A$1801,0)),"")</f>
        <v/>
      </c>
      <c r="K3889" s="25">
        <f>IFERROR(INDEX(Pedidos!$D$2:$D$1801,MATCH(B3889,Pedidos!$A$2:$A$1801,0)),"")</f>
        <v/>
      </c>
      <c r="L3889" s="25">
        <f>IFERROR(INDEX(Pedidos!$F$2:$F$1801,MATCH(B3889,Pedidos!$A$2:$A$1801,0)),"")</f>
        <v/>
      </c>
      <c r="M3889" s="26">
        <f>IFERROR(INDEX(Pedidos!$G$2:$G$1801,MATCH(B3889,Pedidos!$A$2:$A$1801,0)),0)</f>
        <v/>
      </c>
      <c r="N3889" s="25">
        <f>IFERROR(INDEX(Produtos!$B$2:$B$71,MATCH(C3889,Produtos!$A$2:$A$71,0)),"")</f>
        <v/>
      </c>
      <c r="O3889" s="25">
        <f>IFERROR(INDEX(Produtos!$C$2:$C$71,MATCH(C3889,Produtos!$A$2:$A$71,0)),"")</f>
        <v/>
      </c>
      <c r="P3889" s="25">
        <f>IFERROR(INDEX(Produtos!$D$2:$D$71,MATCH(C3889,Produtos!$A$2:$A$71,0)),0)</f>
        <v/>
      </c>
      <c r="Q3889" s="25">
        <f>IFERROR(INDEX(Produtos!$E$2:$E$71,MATCH(C3889,Produtos!$A$2:$A$71,0)),0)</f>
        <v/>
      </c>
      <c r="R3889" s="27">
        <f>D3889*Q3889</f>
        <v/>
      </c>
      <c r="S3889" s="27">
        <f>R3889*E3889</f>
        <v/>
      </c>
      <c r="T3889" s="27">
        <f>(R3889-S3889)*M3889</f>
        <v/>
      </c>
      <c r="U3889" s="27">
        <f>R3889-S3889-T3889</f>
        <v/>
      </c>
      <c r="V3889" s="27">
        <f>D3889*P3889</f>
        <v/>
      </c>
      <c r="W3889" s="27">
        <f>U3889-V3889</f>
        <v/>
      </c>
      <c r="X3889" s="28">
        <f>IFERROR(W3889/U3889,0)</f>
        <v/>
      </c>
    </row>
    <row r="3890">
      <c r="A3890" s="21">
        <f>ItensPedido!A3890</f>
        <v/>
      </c>
      <c r="B3890" s="21">
        <f>ItensPedido!B3890</f>
        <v/>
      </c>
      <c r="C3890" s="21">
        <f>ItensPedido!C3890</f>
        <v/>
      </c>
      <c r="D3890" s="21">
        <f>ItensPedido!D3890</f>
        <v/>
      </c>
      <c r="E3890" s="22">
        <f>ItensPedido!E3890</f>
        <v/>
      </c>
      <c r="F3890" s="21">
        <f>IFERROR(INDEX(Pedidos!$B$2:$B$1801,MATCH(B3890,Pedidos!$A$2:$A$1801,0)),0)</f>
        <v/>
      </c>
      <c r="G3890" s="21">
        <f>IF(F3890=0,"",YEAR(F3890))</f>
        <v/>
      </c>
      <c r="H3890" s="21">
        <f>IF(F3890=0,"",MONTH(F3890))</f>
        <v/>
      </c>
      <c r="I3890" s="21">
        <f>IFERROR(INDEX(Pedidos!$E$2:$E$1801,MATCH(B3890,Pedidos!$A$2:$A$1801,0)),"")</f>
        <v/>
      </c>
      <c r="J3890" s="21">
        <f>IFERROR(INDEX(Pedidos!$C$2:$C$1801,MATCH(B3890,Pedidos!$A$2:$A$1801,0)),"")</f>
        <v/>
      </c>
      <c r="K3890" s="21">
        <f>IFERROR(INDEX(Pedidos!$D$2:$D$1801,MATCH(B3890,Pedidos!$A$2:$A$1801,0)),"")</f>
        <v/>
      </c>
      <c r="L3890" s="21">
        <f>IFERROR(INDEX(Pedidos!$F$2:$F$1801,MATCH(B3890,Pedidos!$A$2:$A$1801,0)),"")</f>
        <v/>
      </c>
      <c r="M3890" s="22">
        <f>IFERROR(INDEX(Pedidos!$G$2:$G$1801,MATCH(B3890,Pedidos!$A$2:$A$1801,0)),0)</f>
        <v/>
      </c>
      <c r="N3890" s="21">
        <f>IFERROR(INDEX(Produtos!$B$2:$B$71,MATCH(C3890,Produtos!$A$2:$A$71,0)),"")</f>
        <v/>
      </c>
      <c r="O3890" s="21">
        <f>IFERROR(INDEX(Produtos!$C$2:$C$71,MATCH(C3890,Produtos!$A$2:$A$71,0)),"")</f>
        <v/>
      </c>
      <c r="P3890" s="21">
        <f>IFERROR(INDEX(Produtos!$D$2:$D$71,MATCH(C3890,Produtos!$A$2:$A$71,0)),0)</f>
        <v/>
      </c>
      <c r="Q3890" s="21">
        <f>IFERROR(INDEX(Produtos!$E$2:$E$71,MATCH(C3890,Produtos!$A$2:$A$71,0)),0)</f>
        <v/>
      </c>
      <c r="R3890" s="23">
        <f>D3890*Q3890</f>
        <v/>
      </c>
      <c r="S3890" s="23">
        <f>R3890*E3890</f>
        <v/>
      </c>
      <c r="T3890" s="23">
        <f>(R3890-S3890)*M3890</f>
        <v/>
      </c>
      <c r="U3890" s="23">
        <f>R3890-S3890-T3890</f>
        <v/>
      </c>
      <c r="V3890" s="23">
        <f>D3890*P3890</f>
        <v/>
      </c>
      <c r="W3890" s="23">
        <f>U3890-V3890</f>
        <v/>
      </c>
      <c r="X3890" s="24">
        <f>IFERROR(W3890/U3890,0)</f>
        <v/>
      </c>
    </row>
    <row r="3891">
      <c r="A3891" s="25">
        <f>ItensPedido!A3891</f>
        <v/>
      </c>
      <c r="B3891" s="25">
        <f>ItensPedido!B3891</f>
        <v/>
      </c>
      <c r="C3891" s="25">
        <f>ItensPedido!C3891</f>
        <v/>
      </c>
      <c r="D3891" s="25">
        <f>ItensPedido!D3891</f>
        <v/>
      </c>
      <c r="E3891" s="26">
        <f>ItensPedido!E3891</f>
        <v/>
      </c>
      <c r="F3891" s="25">
        <f>IFERROR(INDEX(Pedidos!$B$2:$B$1801,MATCH(B3891,Pedidos!$A$2:$A$1801,0)),0)</f>
        <v/>
      </c>
      <c r="G3891" s="25">
        <f>IF(F3891=0,"",YEAR(F3891))</f>
        <v/>
      </c>
      <c r="H3891" s="25">
        <f>IF(F3891=0,"",MONTH(F3891))</f>
        <v/>
      </c>
      <c r="I3891" s="25">
        <f>IFERROR(INDEX(Pedidos!$E$2:$E$1801,MATCH(B3891,Pedidos!$A$2:$A$1801,0)),"")</f>
        <v/>
      </c>
      <c r="J3891" s="25">
        <f>IFERROR(INDEX(Pedidos!$C$2:$C$1801,MATCH(B3891,Pedidos!$A$2:$A$1801,0)),"")</f>
        <v/>
      </c>
      <c r="K3891" s="25">
        <f>IFERROR(INDEX(Pedidos!$D$2:$D$1801,MATCH(B3891,Pedidos!$A$2:$A$1801,0)),"")</f>
        <v/>
      </c>
      <c r="L3891" s="25">
        <f>IFERROR(INDEX(Pedidos!$F$2:$F$1801,MATCH(B3891,Pedidos!$A$2:$A$1801,0)),"")</f>
        <v/>
      </c>
      <c r="M3891" s="26">
        <f>IFERROR(INDEX(Pedidos!$G$2:$G$1801,MATCH(B3891,Pedidos!$A$2:$A$1801,0)),0)</f>
        <v/>
      </c>
      <c r="N3891" s="25">
        <f>IFERROR(INDEX(Produtos!$B$2:$B$71,MATCH(C3891,Produtos!$A$2:$A$71,0)),"")</f>
        <v/>
      </c>
      <c r="O3891" s="25">
        <f>IFERROR(INDEX(Produtos!$C$2:$C$71,MATCH(C3891,Produtos!$A$2:$A$71,0)),"")</f>
        <v/>
      </c>
      <c r="P3891" s="25">
        <f>IFERROR(INDEX(Produtos!$D$2:$D$71,MATCH(C3891,Produtos!$A$2:$A$71,0)),0)</f>
        <v/>
      </c>
      <c r="Q3891" s="25">
        <f>IFERROR(INDEX(Produtos!$E$2:$E$71,MATCH(C3891,Produtos!$A$2:$A$71,0)),0)</f>
        <v/>
      </c>
      <c r="R3891" s="27">
        <f>D3891*Q3891</f>
        <v/>
      </c>
      <c r="S3891" s="27">
        <f>R3891*E3891</f>
        <v/>
      </c>
      <c r="T3891" s="27">
        <f>(R3891-S3891)*M3891</f>
        <v/>
      </c>
      <c r="U3891" s="27">
        <f>R3891-S3891-T3891</f>
        <v/>
      </c>
      <c r="V3891" s="27">
        <f>D3891*P3891</f>
        <v/>
      </c>
      <c r="W3891" s="27">
        <f>U3891-V3891</f>
        <v/>
      </c>
      <c r="X3891" s="28">
        <f>IFERROR(W3891/U3891,0)</f>
        <v/>
      </c>
    </row>
    <row r="3892">
      <c r="A3892" s="21">
        <f>ItensPedido!A3892</f>
        <v/>
      </c>
      <c r="B3892" s="21">
        <f>ItensPedido!B3892</f>
        <v/>
      </c>
      <c r="C3892" s="21">
        <f>ItensPedido!C3892</f>
        <v/>
      </c>
      <c r="D3892" s="21">
        <f>ItensPedido!D3892</f>
        <v/>
      </c>
      <c r="E3892" s="22">
        <f>ItensPedido!E3892</f>
        <v/>
      </c>
      <c r="F3892" s="21">
        <f>IFERROR(INDEX(Pedidos!$B$2:$B$1801,MATCH(B3892,Pedidos!$A$2:$A$1801,0)),0)</f>
        <v/>
      </c>
      <c r="G3892" s="21">
        <f>IF(F3892=0,"",YEAR(F3892))</f>
        <v/>
      </c>
      <c r="H3892" s="21">
        <f>IF(F3892=0,"",MONTH(F3892))</f>
        <v/>
      </c>
      <c r="I3892" s="21">
        <f>IFERROR(INDEX(Pedidos!$E$2:$E$1801,MATCH(B3892,Pedidos!$A$2:$A$1801,0)),"")</f>
        <v/>
      </c>
      <c r="J3892" s="21">
        <f>IFERROR(INDEX(Pedidos!$C$2:$C$1801,MATCH(B3892,Pedidos!$A$2:$A$1801,0)),"")</f>
        <v/>
      </c>
      <c r="K3892" s="21">
        <f>IFERROR(INDEX(Pedidos!$D$2:$D$1801,MATCH(B3892,Pedidos!$A$2:$A$1801,0)),"")</f>
        <v/>
      </c>
      <c r="L3892" s="21">
        <f>IFERROR(INDEX(Pedidos!$F$2:$F$1801,MATCH(B3892,Pedidos!$A$2:$A$1801,0)),"")</f>
        <v/>
      </c>
      <c r="M3892" s="22">
        <f>IFERROR(INDEX(Pedidos!$G$2:$G$1801,MATCH(B3892,Pedidos!$A$2:$A$1801,0)),0)</f>
        <v/>
      </c>
      <c r="N3892" s="21">
        <f>IFERROR(INDEX(Produtos!$B$2:$B$71,MATCH(C3892,Produtos!$A$2:$A$71,0)),"")</f>
        <v/>
      </c>
      <c r="O3892" s="21">
        <f>IFERROR(INDEX(Produtos!$C$2:$C$71,MATCH(C3892,Produtos!$A$2:$A$71,0)),"")</f>
        <v/>
      </c>
      <c r="P3892" s="21">
        <f>IFERROR(INDEX(Produtos!$D$2:$D$71,MATCH(C3892,Produtos!$A$2:$A$71,0)),0)</f>
        <v/>
      </c>
      <c r="Q3892" s="21">
        <f>IFERROR(INDEX(Produtos!$E$2:$E$71,MATCH(C3892,Produtos!$A$2:$A$71,0)),0)</f>
        <v/>
      </c>
      <c r="R3892" s="23">
        <f>D3892*Q3892</f>
        <v/>
      </c>
      <c r="S3892" s="23">
        <f>R3892*E3892</f>
        <v/>
      </c>
      <c r="T3892" s="23">
        <f>(R3892-S3892)*M3892</f>
        <v/>
      </c>
      <c r="U3892" s="23">
        <f>R3892-S3892-T3892</f>
        <v/>
      </c>
      <c r="V3892" s="23">
        <f>D3892*P3892</f>
        <v/>
      </c>
      <c r="W3892" s="23">
        <f>U3892-V3892</f>
        <v/>
      </c>
      <c r="X3892" s="24">
        <f>IFERROR(W3892/U3892,0)</f>
        <v/>
      </c>
    </row>
    <row r="3893">
      <c r="A3893" s="25">
        <f>ItensPedido!A3893</f>
        <v/>
      </c>
      <c r="B3893" s="25">
        <f>ItensPedido!B3893</f>
        <v/>
      </c>
      <c r="C3893" s="25">
        <f>ItensPedido!C3893</f>
        <v/>
      </c>
      <c r="D3893" s="25">
        <f>ItensPedido!D3893</f>
        <v/>
      </c>
      <c r="E3893" s="26">
        <f>ItensPedido!E3893</f>
        <v/>
      </c>
      <c r="F3893" s="25">
        <f>IFERROR(INDEX(Pedidos!$B$2:$B$1801,MATCH(B3893,Pedidos!$A$2:$A$1801,0)),0)</f>
        <v/>
      </c>
      <c r="G3893" s="25">
        <f>IF(F3893=0,"",YEAR(F3893))</f>
        <v/>
      </c>
      <c r="H3893" s="25">
        <f>IF(F3893=0,"",MONTH(F3893))</f>
        <v/>
      </c>
      <c r="I3893" s="25">
        <f>IFERROR(INDEX(Pedidos!$E$2:$E$1801,MATCH(B3893,Pedidos!$A$2:$A$1801,0)),"")</f>
        <v/>
      </c>
      <c r="J3893" s="25">
        <f>IFERROR(INDEX(Pedidos!$C$2:$C$1801,MATCH(B3893,Pedidos!$A$2:$A$1801,0)),"")</f>
        <v/>
      </c>
      <c r="K3893" s="25">
        <f>IFERROR(INDEX(Pedidos!$D$2:$D$1801,MATCH(B3893,Pedidos!$A$2:$A$1801,0)),"")</f>
        <v/>
      </c>
      <c r="L3893" s="25">
        <f>IFERROR(INDEX(Pedidos!$F$2:$F$1801,MATCH(B3893,Pedidos!$A$2:$A$1801,0)),"")</f>
        <v/>
      </c>
      <c r="M3893" s="26">
        <f>IFERROR(INDEX(Pedidos!$G$2:$G$1801,MATCH(B3893,Pedidos!$A$2:$A$1801,0)),0)</f>
        <v/>
      </c>
      <c r="N3893" s="25">
        <f>IFERROR(INDEX(Produtos!$B$2:$B$71,MATCH(C3893,Produtos!$A$2:$A$71,0)),"")</f>
        <v/>
      </c>
      <c r="O3893" s="25">
        <f>IFERROR(INDEX(Produtos!$C$2:$C$71,MATCH(C3893,Produtos!$A$2:$A$71,0)),"")</f>
        <v/>
      </c>
      <c r="P3893" s="25">
        <f>IFERROR(INDEX(Produtos!$D$2:$D$71,MATCH(C3893,Produtos!$A$2:$A$71,0)),0)</f>
        <v/>
      </c>
      <c r="Q3893" s="25">
        <f>IFERROR(INDEX(Produtos!$E$2:$E$71,MATCH(C3893,Produtos!$A$2:$A$71,0)),0)</f>
        <v/>
      </c>
      <c r="R3893" s="27">
        <f>D3893*Q3893</f>
        <v/>
      </c>
      <c r="S3893" s="27">
        <f>R3893*E3893</f>
        <v/>
      </c>
      <c r="T3893" s="27">
        <f>(R3893-S3893)*M3893</f>
        <v/>
      </c>
      <c r="U3893" s="27">
        <f>R3893-S3893-T3893</f>
        <v/>
      </c>
      <c r="V3893" s="27">
        <f>D3893*P3893</f>
        <v/>
      </c>
      <c r="W3893" s="27">
        <f>U3893-V3893</f>
        <v/>
      </c>
      <c r="X3893" s="28">
        <f>IFERROR(W3893/U3893,0)</f>
        <v/>
      </c>
    </row>
    <row r="3894">
      <c r="A3894" s="21">
        <f>ItensPedido!A3894</f>
        <v/>
      </c>
      <c r="B3894" s="21">
        <f>ItensPedido!B3894</f>
        <v/>
      </c>
      <c r="C3894" s="21">
        <f>ItensPedido!C3894</f>
        <v/>
      </c>
      <c r="D3894" s="21">
        <f>ItensPedido!D3894</f>
        <v/>
      </c>
      <c r="E3894" s="22">
        <f>ItensPedido!E3894</f>
        <v/>
      </c>
      <c r="F3894" s="21">
        <f>IFERROR(INDEX(Pedidos!$B$2:$B$1801,MATCH(B3894,Pedidos!$A$2:$A$1801,0)),0)</f>
        <v/>
      </c>
      <c r="G3894" s="21">
        <f>IF(F3894=0,"",YEAR(F3894))</f>
        <v/>
      </c>
      <c r="H3894" s="21">
        <f>IF(F3894=0,"",MONTH(F3894))</f>
        <v/>
      </c>
      <c r="I3894" s="21">
        <f>IFERROR(INDEX(Pedidos!$E$2:$E$1801,MATCH(B3894,Pedidos!$A$2:$A$1801,0)),"")</f>
        <v/>
      </c>
      <c r="J3894" s="21">
        <f>IFERROR(INDEX(Pedidos!$C$2:$C$1801,MATCH(B3894,Pedidos!$A$2:$A$1801,0)),"")</f>
        <v/>
      </c>
      <c r="K3894" s="21">
        <f>IFERROR(INDEX(Pedidos!$D$2:$D$1801,MATCH(B3894,Pedidos!$A$2:$A$1801,0)),"")</f>
        <v/>
      </c>
      <c r="L3894" s="21">
        <f>IFERROR(INDEX(Pedidos!$F$2:$F$1801,MATCH(B3894,Pedidos!$A$2:$A$1801,0)),"")</f>
        <v/>
      </c>
      <c r="M3894" s="22">
        <f>IFERROR(INDEX(Pedidos!$G$2:$G$1801,MATCH(B3894,Pedidos!$A$2:$A$1801,0)),0)</f>
        <v/>
      </c>
      <c r="N3894" s="21">
        <f>IFERROR(INDEX(Produtos!$B$2:$B$71,MATCH(C3894,Produtos!$A$2:$A$71,0)),"")</f>
        <v/>
      </c>
      <c r="O3894" s="21">
        <f>IFERROR(INDEX(Produtos!$C$2:$C$71,MATCH(C3894,Produtos!$A$2:$A$71,0)),"")</f>
        <v/>
      </c>
      <c r="P3894" s="21">
        <f>IFERROR(INDEX(Produtos!$D$2:$D$71,MATCH(C3894,Produtos!$A$2:$A$71,0)),0)</f>
        <v/>
      </c>
      <c r="Q3894" s="21">
        <f>IFERROR(INDEX(Produtos!$E$2:$E$71,MATCH(C3894,Produtos!$A$2:$A$71,0)),0)</f>
        <v/>
      </c>
      <c r="R3894" s="23">
        <f>D3894*Q3894</f>
        <v/>
      </c>
      <c r="S3894" s="23">
        <f>R3894*E3894</f>
        <v/>
      </c>
      <c r="T3894" s="23">
        <f>(R3894-S3894)*M3894</f>
        <v/>
      </c>
      <c r="U3894" s="23">
        <f>R3894-S3894-T3894</f>
        <v/>
      </c>
      <c r="V3894" s="23">
        <f>D3894*P3894</f>
        <v/>
      </c>
      <c r="W3894" s="23">
        <f>U3894-V3894</f>
        <v/>
      </c>
      <c r="X3894" s="24">
        <f>IFERROR(W3894/U3894,0)</f>
        <v/>
      </c>
    </row>
    <row r="3895">
      <c r="A3895" s="25">
        <f>ItensPedido!A3895</f>
        <v/>
      </c>
      <c r="B3895" s="25">
        <f>ItensPedido!B3895</f>
        <v/>
      </c>
      <c r="C3895" s="25">
        <f>ItensPedido!C3895</f>
        <v/>
      </c>
      <c r="D3895" s="25">
        <f>ItensPedido!D3895</f>
        <v/>
      </c>
      <c r="E3895" s="26">
        <f>ItensPedido!E3895</f>
        <v/>
      </c>
      <c r="F3895" s="25">
        <f>IFERROR(INDEX(Pedidos!$B$2:$B$1801,MATCH(B3895,Pedidos!$A$2:$A$1801,0)),0)</f>
        <v/>
      </c>
      <c r="G3895" s="25">
        <f>IF(F3895=0,"",YEAR(F3895))</f>
        <v/>
      </c>
      <c r="H3895" s="25">
        <f>IF(F3895=0,"",MONTH(F3895))</f>
        <v/>
      </c>
      <c r="I3895" s="25">
        <f>IFERROR(INDEX(Pedidos!$E$2:$E$1801,MATCH(B3895,Pedidos!$A$2:$A$1801,0)),"")</f>
        <v/>
      </c>
      <c r="J3895" s="25">
        <f>IFERROR(INDEX(Pedidos!$C$2:$C$1801,MATCH(B3895,Pedidos!$A$2:$A$1801,0)),"")</f>
        <v/>
      </c>
      <c r="K3895" s="25">
        <f>IFERROR(INDEX(Pedidos!$D$2:$D$1801,MATCH(B3895,Pedidos!$A$2:$A$1801,0)),"")</f>
        <v/>
      </c>
      <c r="L3895" s="25">
        <f>IFERROR(INDEX(Pedidos!$F$2:$F$1801,MATCH(B3895,Pedidos!$A$2:$A$1801,0)),"")</f>
        <v/>
      </c>
      <c r="M3895" s="26">
        <f>IFERROR(INDEX(Pedidos!$G$2:$G$1801,MATCH(B3895,Pedidos!$A$2:$A$1801,0)),0)</f>
        <v/>
      </c>
      <c r="N3895" s="25">
        <f>IFERROR(INDEX(Produtos!$B$2:$B$71,MATCH(C3895,Produtos!$A$2:$A$71,0)),"")</f>
        <v/>
      </c>
      <c r="O3895" s="25">
        <f>IFERROR(INDEX(Produtos!$C$2:$C$71,MATCH(C3895,Produtos!$A$2:$A$71,0)),"")</f>
        <v/>
      </c>
      <c r="P3895" s="25">
        <f>IFERROR(INDEX(Produtos!$D$2:$D$71,MATCH(C3895,Produtos!$A$2:$A$71,0)),0)</f>
        <v/>
      </c>
      <c r="Q3895" s="25">
        <f>IFERROR(INDEX(Produtos!$E$2:$E$71,MATCH(C3895,Produtos!$A$2:$A$71,0)),0)</f>
        <v/>
      </c>
      <c r="R3895" s="27">
        <f>D3895*Q3895</f>
        <v/>
      </c>
      <c r="S3895" s="27">
        <f>R3895*E3895</f>
        <v/>
      </c>
      <c r="T3895" s="27">
        <f>(R3895-S3895)*M3895</f>
        <v/>
      </c>
      <c r="U3895" s="27">
        <f>R3895-S3895-T3895</f>
        <v/>
      </c>
      <c r="V3895" s="27">
        <f>D3895*P3895</f>
        <v/>
      </c>
      <c r="W3895" s="27">
        <f>U3895-V3895</f>
        <v/>
      </c>
      <c r="X3895" s="28">
        <f>IFERROR(W3895/U3895,0)</f>
        <v/>
      </c>
    </row>
    <row r="3896">
      <c r="A3896" s="21">
        <f>ItensPedido!A3896</f>
        <v/>
      </c>
      <c r="B3896" s="21">
        <f>ItensPedido!B3896</f>
        <v/>
      </c>
      <c r="C3896" s="21">
        <f>ItensPedido!C3896</f>
        <v/>
      </c>
      <c r="D3896" s="21">
        <f>ItensPedido!D3896</f>
        <v/>
      </c>
      <c r="E3896" s="22">
        <f>ItensPedido!E3896</f>
        <v/>
      </c>
      <c r="F3896" s="21">
        <f>IFERROR(INDEX(Pedidos!$B$2:$B$1801,MATCH(B3896,Pedidos!$A$2:$A$1801,0)),0)</f>
        <v/>
      </c>
      <c r="G3896" s="21">
        <f>IF(F3896=0,"",YEAR(F3896))</f>
        <v/>
      </c>
      <c r="H3896" s="21">
        <f>IF(F3896=0,"",MONTH(F3896))</f>
        <v/>
      </c>
      <c r="I3896" s="21">
        <f>IFERROR(INDEX(Pedidos!$E$2:$E$1801,MATCH(B3896,Pedidos!$A$2:$A$1801,0)),"")</f>
        <v/>
      </c>
      <c r="J3896" s="21">
        <f>IFERROR(INDEX(Pedidos!$C$2:$C$1801,MATCH(B3896,Pedidos!$A$2:$A$1801,0)),"")</f>
        <v/>
      </c>
      <c r="K3896" s="21">
        <f>IFERROR(INDEX(Pedidos!$D$2:$D$1801,MATCH(B3896,Pedidos!$A$2:$A$1801,0)),"")</f>
        <v/>
      </c>
      <c r="L3896" s="21">
        <f>IFERROR(INDEX(Pedidos!$F$2:$F$1801,MATCH(B3896,Pedidos!$A$2:$A$1801,0)),"")</f>
        <v/>
      </c>
      <c r="M3896" s="22">
        <f>IFERROR(INDEX(Pedidos!$G$2:$G$1801,MATCH(B3896,Pedidos!$A$2:$A$1801,0)),0)</f>
        <v/>
      </c>
      <c r="N3896" s="21">
        <f>IFERROR(INDEX(Produtos!$B$2:$B$71,MATCH(C3896,Produtos!$A$2:$A$71,0)),"")</f>
        <v/>
      </c>
      <c r="O3896" s="21">
        <f>IFERROR(INDEX(Produtos!$C$2:$C$71,MATCH(C3896,Produtos!$A$2:$A$71,0)),"")</f>
        <v/>
      </c>
      <c r="P3896" s="21">
        <f>IFERROR(INDEX(Produtos!$D$2:$D$71,MATCH(C3896,Produtos!$A$2:$A$71,0)),0)</f>
        <v/>
      </c>
      <c r="Q3896" s="21">
        <f>IFERROR(INDEX(Produtos!$E$2:$E$71,MATCH(C3896,Produtos!$A$2:$A$71,0)),0)</f>
        <v/>
      </c>
      <c r="R3896" s="23">
        <f>D3896*Q3896</f>
        <v/>
      </c>
      <c r="S3896" s="23">
        <f>R3896*E3896</f>
        <v/>
      </c>
      <c r="T3896" s="23">
        <f>(R3896-S3896)*M3896</f>
        <v/>
      </c>
      <c r="U3896" s="23">
        <f>R3896-S3896-T3896</f>
        <v/>
      </c>
      <c r="V3896" s="23">
        <f>D3896*P3896</f>
        <v/>
      </c>
      <c r="W3896" s="23">
        <f>U3896-V3896</f>
        <v/>
      </c>
      <c r="X3896" s="24">
        <f>IFERROR(W3896/U3896,0)</f>
        <v/>
      </c>
    </row>
    <row r="3897">
      <c r="A3897" s="25">
        <f>ItensPedido!A3897</f>
        <v/>
      </c>
      <c r="B3897" s="25">
        <f>ItensPedido!B3897</f>
        <v/>
      </c>
      <c r="C3897" s="25">
        <f>ItensPedido!C3897</f>
        <v/>
      </c>
      <c r="D3897" s="25">
        <f>ItensPedido!D3897</f>
        <v/>
      </c>
      <c r="E3897" s="26">
        <f>ItensPedido!E3897</f>
        <v/>
      </c>
      <c r="F3897" s="25">
        <f>IFERROR(INDEX(Pedidos!$B$2:$B$1801,MATCH(B3897,Pedidos!$A$2:$A$1801,0)),0)</f>
        <v/>
      </c>
      <c r="G3897" s="25">
        <f>IF(F3897=0,"",YEAR(F3897))</f>
        <v/>
      </c>
      <c r="H3897" s="25">
        <f>IF(F3897=0,"",MONTH(F3897))</f>
        <v/>
      </c>
      <c r="I3897" s="25">
        <f>IFERROR(INDEX(Pedidos!$E$2:$E$1801,MATCH(B3897,Pedidos!$A$2:$A$1801,0)),"")</f>
        <v/>
      </c>
      <c r="J3897" s="25">
        <f>IFERROR(INDEX(Pedidos!$C$2:$C$1801,MATCH(B3897,Pedidos!$A$2:$A$1801,0)),"")</f>
        <v/>
      </c>
      <c r="K3897" s="25">
        <f>IFERROR(INDEX(Pedidos!$D$2:$D$1801,MATCH(B3897,Pedidos!$A$2:$A$1801,0)),"")</f>
        <v/>
      </c>
      <c r="L3897" s="25">
        <f>IFERROR(INDEX(Pedidos!$F$2:$F$1801,MATCH(B3897,Pedidos!$A$2:$A$1801,0)),"")</f>
        <v/>
      </c>
      <c r="M3897" s="26">
        <f>IFERROR(INDEX(Pedidos!$G$2:$G$1801,MATCH(B3897,Pedidos!$A$2:$A$1801,0)),0)</f>
        <v/>
      </c>
      <c r="N3897" s="25">
        <f>IFERROR(INDEX(Produtos!$B$2:$B$71,MATCH(C3897,Produtos!$A$2:$A$71,0)),"")</f>
        <v/>
      </c>
      <c r="O3897" s="25">
        <f>IFERROR(INDEX(Produtos!$C$2:$C$71,MATCH(C3897,Produtos!$A$2:$A$71,0)),"")</f>
        <v/>
      </c>
      <c r="P3897" s="25">
        <f>IFERROR(INDEX(Produtos!$D$2:$D$71,MATCH(C3897,Produtos!$A$2:$A$71,0)),0)</f>
        <v/>
      </c>
      <c r="Q3897" s="25">
        <f>IFERROR(INDEX(Produtos!$E$2:$E$71,MATCH(C3897,Produtos!$A$2:$A$71,0)),0)</f>
        <v/>
      </c>
      <c r="R3897" s="27">
        <f>D3897*Q3897</f>
        <v/>
      </c>
      <c r="S3897" s="27">
        <f>R3897*E3897</f>
        <v/>
      </c>
      <c r="T3897" s="27">
        <f>(R3897-S3897)*M3897</f>
        <v/>
      </c>
      <c r="U3897" s="27">
        <f>R3897-S3897-T3897</f>
        <v/>
      </c>
      <c r="V3897" s="27">
        <f>D3897*P3897</f>
        <v/>
      </c>
      <c r="W3897" s="27">
        <f>U3897-V3897</f>
        <v/>
      </c>
      <c r="X3897" s="28">
        <f>IFERROR(W3897/U3897,0)</f>
        <v/>
      </c>
    </row>
    <row r="3898">
      <c r="A3898" s="21">
        <f>ItensPedido!A3898</f>
        <v/>
      </c>
      <c r="B3898" s="21">
        <f>ItensPedido!B3898</f>
        <v/>
      </c>
      <c r="C3898" s="21">
        <f>ItensPedido!C3898</f>
        <v/>
      </c>
      <c r="D3898" s="21">
        <f>ItensPedido!D3898</f>
        <v/>
      </c>
      <c r="E3898" s="22">
        <f>ItensPedido!E3898</f>
        <v/>
      </c>
      <c r="F3898" s="21">
        <f>IFERROR(INDEX(Pedidos!$B$2:$B$1801,MATCH(B3898,Pedidos!$A$2:$A$1801,0)),0)</f>
        <v/>
      </c>
      <c r="G3898" s="21">
        <f>IF(F3898=0,"",YEAR(F3898))</f>
        <v/>
      </c>
      <c r="H3898" s="21">
        <f>IF(F3898=0,"",MONTH(F3898))</f>
        <v/>
      </c>
      <c r="I3898" s="21">
        <f>IFERROR(INDEX(Pedidos!$E$2:$E$1801,MATCH(B3898,Pedidos!$A$2:$A$1801,0)),"")</f>
        <v/>
      </c>
      <c r="J3898" s="21">
        <f>IFERROR(INDEX(Pedidos!$C$2:$C$1801,MATCH(B3898,Pedidos!$A$2:$A$1801,0)),"")</f>
        <v/>
      </c>
      <c r="K3898" s="21">
        <f>IFERROR(INDEX(Pedidos!$D$2:$D$1801,MATCH(B3898,Pedidos!$A$2:$A$1801,0)),"")</f>
        <v/>
      </c>
      <c r="L3898" s="21">
        <f>IFERROR(INDEX(Pedidos!$F$2:$F$1801,MATCH(B3898,Pedidos!$A$2:$A$1801,0)),"")</f>
        <v/>
      </c>
      <c r="M3898" s="22">
        <f>IFERROR(INDEX(Pedidos!$G$2:$G$1801,MATCH(B3898,Pedidos!$A$2:$A$1801,0)),0)</f>
        <v/>
      </c>
      <c r="N3898" s="21">
        <f>IFERROR(INDEX(Produtos!$B$2:$B$71,MATCH(C3898,Produtos!$A$2:$A$71,0)),"")</f>
        <v/>
      </c>
      <c r="O3898" s="21">
        <f>IFERROR(INDEX(Produtos!$C$2:$C$71,MATCH(C3898,Produtos!$A$2:$A$71,0)),"")</f>
        <v/>
      </c>
      <c r="P3898" s="21">
        <f>IFERROR(INDEX(Produtos!$D$2:$D$71,MATCH(C3898,Produtos!$A$2:$A$71,0)),0)</f>
        <v/>
      </c>
      <c r="Q3898" s="21">
        <f>IFERROR(INDEX(Produtos!$E$2:$E$71,MATCH(C3898,Produtos!$A$2:$A$71,0)),0)</f>
        <v/>
      </c>
      <c r="R3898" s="23">
        <f>D3898*Q3898</f>
        <v/>
      </c>
      <c r="S3898" s="23">
        <f>R3898*E3898</f>
        <v/>
      </c>
      <c r="T3898" s="23">
        <f>(R3898-S3898)*M3898</f>
        <v/>
      </c>
      <c r="U3898" s="23">
        <f>R3898-S3898-T3898</f>
        <v/>
      </c>
      <c r="V3898" s="23">
        <f>D3898*P3898</f>
        <v/>
      </c>
      <c r="W3898" s="23">
        <f>U3898-V3898</f>
        <v/>
      </c>
      <c r="X3898" s="24">
        <f>IFERROR(W3898/U3898,0)</f>
        <v/>
      </c>
    </row>
    <row r="3899">
      <c r="A3899" s="25">
        <f>ItensPedido!A3899</f>
        <v/>
      </c>
      <c r="B3899" s="25">
        <f>ItensPedido!B3899</f>
        <v/>
      </c>
      <c r="C3899" s="25">
        <f>ItensPedido!C3899</f>
        <v/>
      </c>
      <c r="D3899" s="25">
        <f>ItensPedido!D3899</f>
        <v/>
      </c>
      <c r="E3899" s="26">
        <f>ItensPedido!E3899</f>
        <v/>
      </c>
      <c r="F3899" s="25">
        <f>IFERROR(INDEX(Pedidos!$B$2:$B$1801,MATCH(B3899,Pedidos!$A$2:$A$1801,0)),0)</f>
        <v/>
      </c>
      <c r="G3899" s="25">
        <f>IF(F3899=0,"",YEAR(F3899))</f>
        <v/>
      </c>
      <c r="H3899" s="25">
        <f>IF(F3899=0,"",MONTH(F3899))</f>
        <v/>
      </c>
      <c r="I3899" s="25">
        <f>IFERROR(INDEX(Pedidos!$E$2:$E$1801,MATCH(B3899,Pedidos!$A$2:$A$1801,0)),"")</f>
        <v/>
      </c>
      <c r="J3899" s="25">
        <f>IFERROR(INDEX(Pedidos!$C$2:$C$1801,MATCH(B3899,Pedidos!$A$2:$A$1801,0)),"")</f>
        <v/>
      </c>
      <c r="K3899" s="25">
        <f>IFERROR(INDEX(Pedidos!$D$2:$D$1801,MATCH(B3899,Pedidos!$A$2:$A$1801,0)),"")</f>
        <v/>
      </c>
      <c r="L3899" s="25">
        <f>IFERROR(INDEX(Pedidos!$F$2:$F$1801,MATCH(B3899,Pedidos!$A$2:$A$1801,0)),"")</f>
        <v/>
      </c>
      <c r="M3899" s="26">
        <f>IFERROR(INDEX(Pedidos!$G$2:$G$1801,MATCH(B3899,Pedidos!$A$2:$A$1801,0)),0)</f>
        <v/>
      </c>
      <c r="N3899" s="25">
        <f>IFERROR(INDEX(Produtos!$B$2:$B$71,MATCH(C3899,Produtos!$A$2:$A$71,0)),"")</f>
        <v/>
      </c>
      <c r="O3899" s="25">
        <f>IFERROR(INDEX(Produtos!$C$2:$C$71,MATCH(C3899,Produtos!$A$2:$A$71,0)),"")</f>
        <v/>
      </c>
      <c r="P3899" s="25">
        <f>IFERROR(INDEX(Produtos!$D$2:$D$71,MATCH(C3899,Produtos!$A$2:$A$71,0)),0)</f>
        <v/>
      </c>
      <c r="Q3899" s="25">
        <f>IFERROR(INDEX(Produtos!$E$2:$E$71,MATCH(C3899,Produtos!$A$2:$A$71,0)),0)</f>
        <v/>
      </c>
      <c r="R3899" s="27">
        <f>D3899*Q3899</f>
        <v/>
      </c>
      <c r="S3899" s="27">
        <f>R3899*E3899</f>
        <v/>
      </c>
      <c r="T3899" s="27">
        <f>(R3899-S3899)*M3899</f>
        <v/>
      </c>
      <c r="U3899" s="27">
        <f>R3899-S3899-T3899</f>
        <v/>
      </c>
      <c r="V3899" s="27">
        <f>D3899*P3899</f>
        <v/>
      </c>
      <c r="W3899" s="27">
        <f>U3899-V3899</f>
        <v/>
      </c>
      <c r="X3899" s="28">
        <f>IFERROR(W3899/U3899,0)</f>
        <v/>
      </c>
    </row>
    <row r="3900">
      <c r="A3900" s="21">
        <f>ItensPedido!A3900</f>
        <v/>
      </c>
      <c r="B3900" s="21">
        <f>ItensPedido!B3900</f>
        <v/>
      </c>
      <c r="C3900" s="21">
        <f>ItensPedido!C3900</f>
        <v/>
      </c>
      <c r="D3900" s="21">
        <f>ItensPedido!D3900</f>
        <v/>
      </c>
      <c r="E3900" s="22">
        <f>ItensPedido!E3900</f>
        <v/>
      </c>
      <c r="F3900" s="21">
        <f>IFERROR(INDEX(Pedidos!$B$2:$B$1801,MATCH(B3900,Pedidos!$A$2:$A$1801,0)),0)</f>
        <v/>
      </c>
      <c r="G3900" s="21">
        <f>IF(F3900=0,"",YEAR(F3900))</f>
        <v/>
      </c>
      <c r="H3900" s="21">
        <f>IF(F3900=0,"",MONTH(F3900))</f>
        <v/>
      </c>
      <c r="I3900" s="21">
        <f>IFERROR(INDEX(Pedidos!$E$2:$E$1801,MATCH(B3900,Pedidos!$A$2:$A$1801,0)),"")</f>
        <v/>
      </c>
      <c r="J3900" s="21">
        <f>IFERROR(INDEX(Pedidos!$C$2:$C$1801,MATCH(B3900,Pedidos!$A$2:$A$1801,0)),"")</f>
        <v/>
      </c>
      <c r="K3900" s="21">
        <f>IFERROR(INDEX(Pedidos!$D$2:$D$1801,MATCH(B3900,Pedidos!$A$2:$A$1801,0)),"")</f>
        <v/>
      </c>
      <c r="L3900" s="21">
        <f>IFERROR(INDEX(Pedidos!$F$2:$F$1801,MATCH(B3900,Pedidos!$A$2:$A$1801,0)),"")</f>
        <v/>
      </c>
      <c r="M3900" s="22">
        <f>IFERROR(INDEX(Pedidos!$G$2:$G$1801,MATCH(B3900,Pedidos!$A$2:$A$1801,0)),0)</f>
        <v/>
      </c>
      <c r="N3900" s="21">
        <f>IFERROR(INDEX(Produtos!$B$2:$B$71,MATCH(C3900,Produtos!$A$2:$A$71,0)),"")</f>
        <v/>
      </c>
      <c r="O3900" s="21">
        <f>IFERROR(INDEX(Produtos!$C$2:$C$71,MATCH(C3900,Produtos!$A$2:$A$71,0)),"")</f>
        <v/>
      </c>
      <c r="P3900" s="21">
        <f>IFERROR(INDEX(Produtos!$D$2:$D$71,MATCH(C3900,Produtos!$A$2:$A$71,0)),0)</f>
        <v/>
      </c>
      <c r="Q3900" s="21">
        <f>IFERROR(INDEX(Produtos!$E$2:$E$71,MATCH(C3900,Produtos!$A$2:$A$71,0)),0)</f>
        <v/>
      </c>
      <c r="R3900" s="23">
        <f>D3900*Q3900</f>
        <v/>
      </c>
      <c r="S3900" s="23">
        <f>R3900*E3900</f>
        <v/>
      </c>
      <c r="T3900" s="23">
        <f>(R3900-S3900)*M3900</f>
        <v/>
      </c>
      <c r="U3900" s="23">
        <f>R3900-S3900-T3900</f>
        <v/>
      </c>
      <c r="V3900" s="23">
        <f>D3900*P3900</f>
        <v/>
      </c>
      <c r="W3900" s="23">
        <f>U3900-V3900</f>
        <v/>
      </c>
      <c r="X3900" s="24">
        <f>IFERROR(W3900/U3900,0)</f>
        <v/>
      </c>
    </row>
    <row r="3901">
      <c r="A3901" s="25">
        <f>ItensPedido!A3901</f>
        <v/>
      </c>
      <c r="B3901" s="25">
        <f>ItensPedido!B3901</f>
        <v/>
      </c>
      <c r="C3901" s="25">
        <f>ItensPedido!C3901</f>
        <v/>
      </c>
      <c r="D3901" s="25">
        <f>ItensPedido!D3901</f>
        <v/>
      </c>
      <c r="E3901" s="26">
        <f>ItensPedido!E3901</f>
        <v/>
      </c>
      <c r="F3901" s="25">
        <f>IFERROR(INDEX(Pedidos!$B$2:$B$1801,MATCH(B3901,Pedidos!$A$2:$A$1801,0)),0)</f>
        <v/>
      </c>
      <c r="G3901" s="25">
        <f>IF(F3901=0,"",YEAR(F3901))</f>
        <v/>
      </c>
      <c r="H3901" s="25">
        <f>IF(F3901=0,"",MONTH(F3901))</f>
        <v/>
      </c>
      <c r="I3901" s="25">
        <f>IFERROR(INDEX(Pedidos!$E$2:$E$1801,MATCH(B3901,Pedidos!$A$2:$A$1801,0)),"")</f>
        <v/>
      </c>
      <c r="J3901" s="25">
        <f>IFERROR(INDEX(Pedidos!$C$2:$C$1801,MATCH(B3901,Pedidos!$A$2:$A$1801,0)),"")</f>
        <v/>
      </c>
      <c r="K3901" s="25">
        <f>IFERROR(INDEX(Pedidos!$D$2:$D$1801,MATCH(B3901,Pedidos!$A$2:$A$1801,0)),"")</f>
        <v/>
      </c>
      <c r="L3901" s="25">
        <f>IFERROR(INDEX(Pedidos!$F$2:$F$1801,MATCH(B3901,Pedidos!$A$2:$A$1801,0)),"")</f>
        <v/>
      </c>
      <c r="M3901" s="26">
        <f>IFERROR(INDEX(Pedidos!$G$2:$G$1801,MATCH(B3901,Pedidos!$A$2:$A$1801,0)),0)</f>
        <v/>
      </c>
      <c r="N3901" s="25">
        <f>IFERROR(INDEX(Produtos!$B$2:$B$71,MATCH(C3901,Produtos!$A$2:$A$71,0)),"")</f>
        <v/>
      </c>
      <c r="O3901" s="25">
        <f>IFERROR(INDEX(Produtos!$C$2:$C$71,MATCH(C3901,Produtos!$A$2:$A$71,0)),"")</f>
        <v/>
      </c>
      <c r="P3901" s="25">
        <f>IFERROR(INDEX(Produtos!$D$2:$D$71,MATCH(C3901,Produtos!$A$2:$A$71,0)),0)</f>
        <v/>
      </c>
      <c r="Q3901" s="25">
        <f>IFERROR(INDEX(Produtos!$E$2:$E$71,MATCH(C3901,Produtos!$A$2:$A$71,0)),0)</f>
        <v/>
      </c>
      <c r="R3901" s="27">
        <f>D3901*Q3901</f>
        <v/>
      </c>
      <c r="S3901" s="27">
        <f>R3901*E3901</f>
        <v/>
      </c>
      <c r="T3901" s="27">
        <f>(R3901-S3901)*M3901</f>
        <v/>
      </c>
      <c r="U3901" s="27">
        <f>R3901-S3901-T3901</f>
        <v/>
      </c>
      <c r="V3901" s="27">
        <f>D3901*P3901</f>
        <v/>
      </c>
      <c r="W3901" s="27">
        <f>U3901-V3901</f>
        <v/>
      </c>
      <c r="X3901" s="28">
        <f>IFERROR(W3901/U3901,0)</f>
        <v/>
      </c>
    </row>
    <row r="3902">
      <c r="A3902" s="21">
        <f>ItensPedido!A3902</f>
        <v/>
      </c>
      <c r="B3902" s="21">
        <f>ItensPedido!B3902</f>
        <v/>
      </c>
      <c r="C3902" s="21">
        <f>ItensPedido!C3902</f>
        <v/>
      </c>
      <c r="D3902" s="21">
        <f>ItensPedido!D3902</f>
        <v/>
      </c>
      <c r="E3902" s="22">
        <f>ItensPedido!E3902</f>
        <v/>
      </c>
      <c r="F3902" s="21">
        <f>IFERROR(INDEX(Pedidos!$B$2:$B$1801,MATCH(B3902,Pedidos!$A$2:$A$1801,0)),0)</f>
        <v/>
      </c>
      <c r="G3902" s="21">
        <f>IF(F3902=0,"",YEAR(F3902))</f>
        <v/>
      </c>
      <c r="H3902" s="21">
        <f>IF(F3902=0,"",MONTH(F3902))</f>
        <v/>
      </c>
      <c r="I3902" s="21">
        <f>IFERROR(INDEX(Pedidos!$E$2:$E$1801,MATCH(B3902,Pedidos!$A$2:$A$1801,0)),"")</f>
        <v/>
      </c>
      <c r="J3902" s="21">
        <f>IFERROR(INDEX(Pedidos!$C$2:$C$1801,MATCH(B3902,Pedidos!$A$2:$A$1801,0)),"")</f>
        <v/>
      </c>
      <c r="K3902" s="21">
        <f>IFERROR(INDEX(Pedidos!$D$2:$D$1801,MATCH(B3902,Pedidos!$A$2:$A$1801,0)),"")</f>
        <v/>
      </c>
      <c r="L3902" s="21">
        <f>IFERROR(INDEX(Pedidos!$F$2:$F$1801,MATCH(B3902,Pedidos!$A$2:$A$1801,0)),"")</f>
        <v/>
      </c>
      <c r="M3902" s="22">
        <f>IFERROR(INDEX(Pedidos!$G$2:$G$1801,MATCH(B3902,Pedidos!$A$2:$A$1801,0)),0)</f>
        <v/>
      </c>
      <c r="N3902" s="21">
        <f>IFERROR(INDEX(Produtos!$B$2:$B$71,MATCH(C3902,Produtos!$A$2:$A$71,0)),"")</f>
        <v/>
      </c>
      <c r="O3902" s="21">
        <f>IFERROR(INDEX(Produtos!$C$2:$C$71,MATCH(C3902,Produtos!$A$2:$A$71,0)),"")</f>
        <v/>
      </c>
      <c r="P3902" s="21">
        <f>IFERROR(INDEX(Produtos!$D$2:$D$71,MATCH(C3902,Produtos!$A$2:$A$71,0)),0)</f>
        <v/>
      </c>
      <c r="Q3902" s="21">
        <f>IFERROR(INDEX(Produtos!$E$2:$E$71,MATCH(C3902,Produtos!$A$2:$A$71,0)),0)</f>
        <v/>
      </c>
      <c r="R3902" s="23">
        <f>D3902*Q3902</f>
        <v/>
      </c>
      <c r="S3902" s="23">
        <f>R3902*E3902</f>
        <v/>
      </c>
      <c r="T3902" s="23">
        <f>(R3902-S3902)*M3902</f>
        <v/>
      </c>
      <c r="U3902" s="23">
        <f>R3902-S3902-T3902</f>
        <v/>
      </c>
      <c r="V3902" s="23">
        <f>D3902*P3902</f>
        <v/>
      </c>
      <c r="W3902" s="23">
        <f>U3902-V3902</f>
        <v/>
      </c>
      <c r="X3902" s="24">
        <f>IFERROR(W3902/U3902,0)</f>
        <v/>
      </c>
    </row>
    <row r="3903">
      <c r="A3903" s="25">
        <f>ItensPedido!A3903</f>
        <v/>
      </c>
      <c r="B3903" s="25">
        <f>ItensPedido!B3903</f>
        <v/>
      </c>
      <c r="C3903" s="25">
        <f>ItensPedido!C3903</f>
        <v/>
      </c>
      <c r="D3903" s="25">
        <f>ItensPedido!D3903</f>
        <v/>
      </c>
      <c r="E3903" s="26">
        <f>ItensPedido!E3903</f>
        <v/>
      </c>
      <c r="F3903" s="25">
        <f>IFERROR(INDEX(Pedidos!$B$2:$B$1801,MATCH(B3903,Pedidos!$A$2:$A$1801,0)),0)</f>
        <v/>
      </c>
      <c r="G3903" s="25">
        <f>IF(F3903=0,"",YEAR(F3903))</f>
        <v/>
      </c>
      <c r="H3903" s="25">
        <f>IF(F3903=0,"",MONTH(F3903))</f>
        <v/>
      </c>
      <c r="I3903" s="25">
        <f>IFERROR(INDEX(Pedidos!$E$2:$E$1801,MATCH(B3903,Pedidos!$A$2:$A$1801,0)),"")</f>
        <v/>
      </c>
      <c r="J3903" s="25">
        <f>IFERROR(INDEX(Pedidos!$C$2:$C$1801,MATCH(B3903,Pedidos!$A$2:$A$1801,0)),"")</f>
        <v/>
      </c>
      <c r="K3903" s="25">
        <f>IFERROR(INDEX(Pedidos!$D$2:$D$1801,MATCH(B3903,Pedidos!$A$2:$A$1801,0)),"")</f>
        <v/>
      </c>
      <c r="L3903" s="25">
        <f>IFERROR(INDEX(Pedidos!$F$2:$F$1801,MATCH(B3903,Pedidos!$A$2:$A$1801,0)),"")</f>
        <v/>
      </c>
      <c r="M3903" s="26">
        <f>IFERROR(INDEX(Pedidos!$G$2:$G$1801,MATCH(B3903,Pedidos!$A$2:$A$1801,0)),0)</f>
        <v/>
      </c>
      <c r="N3903" s="25">
        <f>IFERROR(INDEX(Produtos!$B$2:$B$71,MATCH(C3903,Produtos!$A$2:$A$71,0)),"")</f>
        <v/>
      </c>
      <c r="O3903" s="25">
        <f>IFERROR(INDEX(Produtos!$C$2:$C$71,MATCH(C3903,Produtos!$A$2:$A$71,0)),"")</f>
        <v/>
      </c>
      <c r="P3903" s="25">
        <f>IFERROR(INDEX(Produtos!$D$2:$D$71,MATCH(C3903,Produtos!$A$2:$A$71,0)),0)</f>
        <v/>
      </c>
      <c r="Q3903" s="25">
        <f>IFERROR(INDEX(Produtos!$E$2:$E$71,MATCH(C3903,Produtos!$A$2:$A$71,0)),0)</f>
        <v/>
      </c>
      <c r="R3903" s="27">
        <f>D3903*Q3903</f>
        <v/>
      </c>
      <c r="S3903" s="27">
        <f>R3903*E3903</f>
        <v/>
      </c>
      <c r="T3903" s="27">
        <f>(R3903-S3903)*M3903</f>
        <v/>
      </c>
      <c r="U3903" s="27">
        <f>R3903-S3903-T3903</f>
        <v/>
      </c>
      <c r="V3903" s="27">
        <f>D3903*P3903</f>
        <v/>
      </c>
      <c r="W3903" s="27">
        <f>U3903-V3903</f>
        <v/>
      </c>
      <c r="X3903" s="28">
        <f>IFERROR(W3903/U3903,0)</f>
        <v/>
      </c>
    </row>
    <row r="3904">
      <c r="A3904" s="21">
        <f>ItensPedido!A3904</f>
        <v/>
      </c>
      <c r="B3904" s="21">
        <f>ItensPedido!B3904</f>
        <v/>
      </c>
      <c r="C3904" s="21">
        <f>ItensPedido!C3904</f>
        <v/>
      </c>
      <c r="D3904" s="21">
        <f>ItensPedido!D3904</f>
        <v/>
      </c>
      <c r="E3904" s="22">
        <f>ItensPedido!E3904</f>
        <v/>
      </c>
      <c r="F3904" s="21">
        <f>IFERROR(INDEX(Pedidos!$B$2:$B$1801,MATCH(B3904,Pedidos!$A$2:$A$1801,0)),0)</f>
        <v/>
      </c>
      <c r="G3904" s="21">
        <f>IF(F3904=0,"",YEAR(F3904))</f>
        <v/>
      </c>
      <c r="H3904" s="21">
        <f>IF(F3904=0,"",MONTH(F3904))</f>
        <v/>
      </c>
      <c r="I3904" s="21">
        <f>IFERROR(INDEX(Pedidos!$E$2:$E$1801,MATCH(B3904,Pedidos!$A$2:$A$1801,0)),"")</f>
        <v/>
      </c>
      <c r="J3904" s="21">
        <f>IFERROR(INDEX(Pedidos!$C$2:$C$1801,MATCH(B3904,Pedidos!$A$2:$A$1801,0)),"")</f>
        <v/>
      </c>
      <c r="K3904" s="21">
        <f>IFERROR(INDEX(Pedidos!$D$2:$D$1801,MATCH(B3904,Pedidos!$A$2:$A$1801,0)),"")</f>
        <v/>
      </c>
      <c r="L3904" s="21">
        <f>IFERROR(INDEX(Pedidos!$F$2:$F$1801,MATCH(B3904,Pedidos!$A$2:$A$1801,0)),"")</f>
        <v/>
      </c>
      <c r="M3904" s="22">
        <f>IFERROR(INDEX(Pedidos!$G$2:$G$1801,MATCH(B3904,Pedidos!$A$2:$A$1801,0)),0)</f>
        <v/>
      </c>
      <c r="N3904" s="21">
        <f>IFERROR(INDEX(Produtos!$B$2:$B$71,MATCH(C3904,Produtos!$A$2:$A$71,0)),"")</f>
        <v/>
      </c>
      <c r="O3904" s="21">
        <f>IFERROR(INDEX(Produtos!$C$2:$C$71,MATCH(C3904,Produtos!$A$2:$A$71,0)),"")</f>
        <v/>
      </c>
      <c r="P3904" s="21">
        <f>IFERROR(INDEX(Produtos!$D$2:$D$71,MATCH(C3904,Produtos!$A$2:$A$71,0)),0)</f>
        <v/>
      </c>
      <c r="Q3904" s="21">
        <f>IFERROR(INDEX(Produtos!$E$2:$E$71,MATCH(C3904,Produtos!$A$2:$A$71,0)),0)</f>
        <v/>
      </c>
      <c r="R3904" s="23">
        <f>D3904*Q3904</f>
        <v/>
      </c>
      <c r="S3904" s="23">
        <f>R3904*E3904</f>
        <v/>
      </c>
      <c r="T3904" s="23">
        <f>(R3904-S3904)*M3904</f>
        <v/>
      </c>
      <c r="U3904" s="23">
        <f>R3904-S3904-T3904</f>
        <v/>
      </c>
      <c r="V3904" s="23">
        <f>D3904*P3904</f>
        <v/>
      </c>
      <c r="W3904" s="23">
        <f>U3904-V3904</f>
        <v/>
      </c>
      <c r="X3904" s="24">
        <f>IFERROR(W3904/U3904,0)</f>
        <v/>
      </c>
    </row>
    <row r="3905">
      <c r="A3905" s="25">
        <f>ItensPedido!A3905</f>
        <v/>
      </c>
      <c r="B3905" s="25">
        <f>ItensPedido!B3905</f>
        <v/>
      </c>
      <c r="C3905" s="25">
        <f>ItensPedido!C3905</f>
        <v/>
      </c>
      <c r="D3905" s="25">
        <f>ItensPedido!D3905</f>
        <v/>
      </c>
      <c r="E3905" s="26">
        <f>ItensPedido!E3905</f>
        <v/>
      </c>
      <c r="F3905" s="25">
        <f>IFERROR(INDEX(Pedidos!$B$2:$B$1801,MATCH(B3905,Pedidos!$A$2:$A$1801,0)),0)</f>
        <v/>
      </c>
      <c r="G3905" s="25">
        <f>IF(F3905=0,"",YEAR(F3905))</f>
        <v/>
      </c>
      <c r="H3905" s="25">
        <f>IF(F3905=0,"",MONTH(F3905))</f>
        <v/>
      </c>
      <c r="I3905" s="25">
        <f>IFERROR(INDEX(Pedidos!$E$2:$E$1801,MATCH(B3905,Pedidos!$A$2:$A$1801,0)),"")</f>
        <v/>
      </c>
      <c r="J3905" s="25">
        <f>IFERROR(INDEX(Pedidos!$C$2:$C$1801,MATCH(B3905,Pedidos!$A$2:$A$1801,0)),"")</f>
        <v/>
      </c>
      <c r="K3905" s="25">
        <f>IFERROR(INDEX(Pedidos!$D$2:$D$1801,MATCH(B3905,Pedidos!$A$2:$A$1801,0)),"")</f>
        <v/>
      </c>
      <c r="L3905" s="25">
        <f>IFERROR(INDEX(Pedidos!$F$2:$F$1801,MATCH(B3905,Pedidos!$A$2:$A$1801,0)),"")</f>
        <v/>
      </c>
      <c r="M3905" s="26">
        <f>IFERROR(INDEX(Pedidos!$G$2:$G$1801,MATCH(B3905,Pedidos!$A$2:$A$1801,0)),0)</f>
        <v/>
      </c>
      <c r="N3905" s="25">
        <f>IFERROR(INDEX(Produtos!$B$2:$B$71,MATCH(C3905,Produtos!$A$2:$A$71,0)),"")</f>
        <v/>
      </c>
      <c r="O3905" s="25">
        <f>IFERROR(INDEX(Produtos!$C$2:$C$71,MATCH(C3905,Produtos!$A$2:$A$71,0)),"")</f>
        <v/>
      </c>
      <c r="P3905" s="25">
        <f>IFERROR(INDEX(Produtos!$D$2:$D$71,MATCH(C3905,Produtos!$A$2:$A$71,0)),0)</f>
        <v/>
      </c>
      <c r="Q3905" s="25">
        <f>IFERROR(INDEX(Produtos!$E$2:$E$71,MATCH(C3905,Produtos!$A$2:$A$71,0)),0)</f>
        <v/>
      </c>
      <c r="R3905" s="27">
        <f>D3905*Q3905</f>
        <v/>
      </c>
      <c r="S3905" s="27">
        <f>R3905*E3905</f>
        <v/>
      </c>
      <c r="T3905" s="27">
        <f>(R3905-S3905)*M3905</f>
        <v/>
      </c>
      <c r="U3905" s="27">
        <f>R3905-S3905-T3905</f>
        <v/>
      </c>
      <c r="V3905" s="27">
        <f>D3905*P3905</f>
        <v/>
      </c>
      <c r="W3905" s="27">
        <f>U3905-V3905</f>
        <v/>
      </c>
      <c r="X3905" s="28">
        <f>IFERROR(W3905/U3905,0)</f>
        <v/>
      </c>
    </row>
    <row r="3906">
      <c r="A3906" s="21">
        <f>ItensPedido!A3906</f>
        <v/>
      </c>
      <c r="B3906" s="21">
        <f>ItensPedido!B3906</f>
        <v/>
      </c>
      <c r="C3906" s="21">
        <f>ItensPedido!C3906</f>
        <v/>
      </c>
      <c r="D3906" s="21">
        <f>ItensPedido!D3906</f>
        <v/>
      </c>
      <c r="E3906" s="22">
        <f>ItensPedido!E3906</f>
        <v/>
      </c>
      <c r="F3906" s="21">
        <f>IFERROR(INDEX(Pedidos!$B$2:$B$1801,MATCH(B3906,Pedidos!$A$2:$A$1801,0)),0)</f>
        <v/>
      </c>
      <c r="G3906" s="21">
        <f>IF(F3906=0,"",YEAR(F3906))</f>
        <v/>
      </c>
      <c r="H3906" s="21">
        <f>IF(F3906=0,"",MONTH(F3906))</f>
        <v/>
      </c>
      <c r="I3906" s="21">
        <f>IFERROR(INDEX(Pedidos!$E$2:$E$1801,MATCH(B3906,Pedidos!$A$2:$A$1801,0)),"")</f>
        <v/>
      </c>
      <c r="J3906" s="21">
        <f>IFERROR(INDEX(Pedidos!$C$2:$C$1801,MATCH(B3906,Pedidos!$A$2:$A$1801,0)),"")</f>
        <v/>
      </c>
      <c r="K3906" s="21">
        <f>IFERROR(INDEX(Pedidos!$D$2:$D$1801,MATCH(B3906,Pedidos!$A$2:$A$1801,0)),"")</f>
        <v/>
      </c>
      <c r="L3906" s="21">
        <f>IFERROR(INDEX(Pedidos!$F$2:$F$1801,MATCH(B3906,Pedidos!$A$2:$A$1801,0)),"")</f>
        <v/>
      </c>
      <c r="M3906" s="22">
        <f>IFERROR(INDEX(Pedidos!$G$2:$G$1801,MATCH(B3906,Pedidos!$A$2:$A$1801,0)),0)</f>
        <v/>
      </c>
      <c r="N3906" s="21">
        <f>IFERROR(INDEX(Produtos!$B$2:$B$71,MATCH(C3906,Produtos!$A$2:$A$71,0)),"")</f>
        <v/>
      </c>
      <c r="O3906" s="21">
        <f>IFERROR(INDEX(Produtos!$C$2:$C$71,MATCH(C3906,Produtos!$A$2:$A$71,0)),"")</f>
        <v/>
      </c>
      <c r="P3906" s="21">
        <f>IFERROR(INDEX(Produtos!$D$2:$D$71,MATCH(C3906,Produtos!$A$2:$A$71,0)),0)</f>
        <v/>
      </c>
      <c r="Q3906" s="21">
        <f>IFERROR(INDEX(Produtos!$E$2:$E$71,MATCH(C3906,Produtos!$A$2:$A$71,0)),0)</f>
        <v/>
      </c>
      <c r="R3906" s="23">
        <f>D3906*Q3906</f>
        <v/>
      </c>
      <c r="S3906" s="23">
        <f>R3906*E3906</f>
        <v/>
      </c>
      <c r="T3906" s="23">
        <f>(R3906-S3906)*M3906</f>
        <v/>
      </c>
      <c r="U3906" s="23">
        <f>R3906-S3906-T3906</f>
        <v/>
      </c>
      <c r="V3906" s="23">
        <f>D3906*P3906</f>
        <v/>
      </c>
      <c r="W3906" s="23">
        <f>U3906-V3906</f>
        <v/>
      </c>
      <c r="X3906" s="24">
        <f>IFERROR(W3906/U3906,0)</f>
        <v/>
      </c>
    </row>
    <row r="3907">
      <c r="A3907" s="25">
        <f>ItensPedido!A3907</f>
        <v/>
      </c>
      <c r="B3907" s="25">
        <f>ItensPedido!B3907</f>
        <v/>
      </c>
      <c r="C3907" s="25">
        <f>ItensPedido!C3907</f>
        <v/>
      </c>
      <c r="D3907" s="25">
        <f>ItensPedido!D3907</f>
        <v/>
      </c>
      <c r="E3907" s="26">
        <f>ItensPedido!E3907</f>
        <v/>
      </c>
      <c r="F3907" s="25">
        <f>IFERROR(INDEX(Pedidos!$B$2:$B$1801,MATCH(B3907,Pedidos!$A$2:$A$1801,0)),0)</f>
        <v/>
      </c>
      <c r="G3907" s="25">
        <f>IF(F3907=0,"",YEAR(F3907))</f>
        <v/>
      </c>
      <c r="H3907" s="25">
        <f>IF(F3907=0,"",MONTH(F3907))</f>
        <v/>
      </c>
      <c r="I3907" s="25">
        <f>IFERROR(INDEX(Pedidos!$E$2:$E$1801,MATCH(B3907,Pedidos!$A$2:$A$1801,0)),"")</f>
        <v/>
      </c>
      <c r="J3907" s="25">
        <f>IFERROR(INDEX(Pedidos!$C$2:$C$1801,MATCH(B3907,Pedidos!$A$2:$A$1801,0)),"")</f>
        <v/>
      </c>
      <c r="K3907" s="25">
        <f>IFERROR(INDEX(Pedidos!$D$2:$D$1801,MATCH(B3907,Pedidos!$A$2:$A$1801,0)),"")</f>
        <v/>
      </c>
      <c r="L3907" s="25">
        <f>IFERROR(INDEX(Pedidos!$F$2:$F$1801,MATCH(B3907,Pedidos!$A$2:$A$1801,0)),"")</f>
        <v/>
      </c>
      <c r="M3907" s="26">
        <f>IFERROR(INDEX(Pedidos!$G$2:$G$1801,MATCH(B3907,Pedidos!$A$2:$A$1801,0)),0)</f>
        <v/>
      </c>
      <c r="N3907" s="25">
        <f>IFERROR(INDEX(Produtos!$B$2:$B$71,MATCH(C3907,Produtos!$A$2:$A$71,0)),"")</f>
        <v/>
      </c>
      <c r="O3907" s="25">
        <f>IFERROR(INDEX(Produtos!$C$2:$C$71,MATCH(C3907,Produtos!$A$2:$A$71,0)),"")</f>
        <v/>
      </c>
      <c r="P3907" s="25">
        <f>IFERROR(INDEX(Produtos!$D$2:$D$71,MATCH(C3907,Produtos!$A$2:$A$71,0)),0)</f>
        <v/>
      </c>
      <c r="Q3907" s="25">
        <f>IFERROR(INDEX(Produtos!$E$2:$E$71,MATCH(C3907,Produtos!$A$2:$A$71,0)),0)</f>
        <v/>
      </c>
      <c r="R3907" s="27">
        <f>D3907*Q3907</f>
        <v/>
      </c>
      <c r="S3907" s="27">
        <f>R3907*E3907</f>
        <v/>
      </c>
      <c r="T3907" s="27">
        <f>(R3907-S3907)*M3907</f>
        <v/>
      </c>
      <c r="U3907" s="27">
        <f>R3907-S3907-T3907</f>
        <v/>
      </c>
      <c r="V3907" s="27">
        <f>D3907*P3907</f>
        <v/>
      </c>
      <c r="W3907" s="27">
        <f>U3907-V3907</f>
        <v/>
      </c>
      <c r="X3907" s="28">
        <f>IFERROR(W3907/U3907,0)</f>
        <v/>
      </c>
    </row>
    <row r="3908">
      <c r="A3908" s="21">
        <f>ItensPedido!A3908</f>
        <v/>
      </c>
      <c r="B3908" s="21">
        <f>ItensPedido!B3908</f>
        <v/>
      </c>
      <c r="C3908" s="21">
        <f>ItensPedido!C3908</f>
        <v/>
      </c>
      <c r="D3908" s="21">
        <f>ItensPedido!D3908</f>
        <v/>
      </c>
      <c r="E3908" s="22">
        <f>ItensPedido!E3908</f>
        <v/>
      </c>
      <c r="F3908" s="21">
        <f>IFERROR(INDEX(Pedidos!$B$2:$B$1801,MATCH(B3908,Pedidos!$A$2:$A$1801,0)),0)</f>
        <v/>
      </c>
      <c r="G3908" s="21">
        <f>IF(F3908=0,"",YEAR(F3908))</f>
        <v/>
      </c>
      <c r="H3908" s="21">
        <f>IF(F3908=0,"",MONTH(F3908))</f>
        <v/>
      </c>
      <c r="I3908" s="21">
        <f>IFERROR(INDEX(Pedidos!$E$2:$E$1801,MATCH(B3908,Pedidos!$A$2:$A$1801,0)),"")</f>
        <v/>
      </c>
      <c r="J3908" s="21">
        <f>IFERROR(INDEX(Pedidos!$C$2:$C$1801,MATCH(B3908,Pedidos!$A$2:$A$1801,0)),"")</f>
        <v/>
      </c>
      <c r="K3908" s="21">
        <f>IFERROR(INDEX(Pedidos!$D$2:$D$1801,MATCH(B3908,Pedidos!$A$2:$A$1801,0)),"")</f>
        <v/>
      </c>
      <c r="L3908" s="21">
        <f>IFERROR(INDEX(Pedidos!$F$2:$F$1801,MATCH(B3908,Pedidos!$A$2:$A$1801,0)),"")</f>
        <v/>
      </c>
      <c r="M3908" s="22">
        <f>IFERROR(INDEX(Pedidos!$G$2:$G$1801,MATCH(B3908,Pedidos!$A$2:$A$1801,0)),0)</f>
        <v/>
      </c>
      <c r="N3908" s="21">
        <f>IFERROR(INDEX(Produtos!$B$2:$B$71,MATCH(C3908,Produtos!$A$2:$A$71,0)),"")</f>
        <v/>
      </c>
      <c r="O3908" s="21">
        <f>IFERROR(INDEX(Produtos!$C$2:$C$71,MATCH(C3908,Produtos!$A$2:$A$71,0)),"")</f>
        <v/>
      </c>
      <c r="P3908" s="21">
        <f>IFERROR(INDEX(Produtos!$D$2:$D$71,MATCH(C3908,Produtos!$A$2:$A$71,0)),0)</f>
        <v/>
      </c>
      <c r="Q3908" s="21">
        <f>IFERROR(INDEX(Produtos!$E$2:$E$71,MATCH(C3908,Produtos!$A$2:$A$71,0)),0)</f>
        <v/>
      </c>
      <c r="R3908" s="23">
        <f>D3908*Q3908</f>
        <v/>
      </c>
      <c r="S3908" s="23">
        <f>R3908*E3908</f>
        <v/>
      </c>
      <c r="T3908" s="23">
        <f>(R3908-S3908)*M3908</f>
        <v/>
      </c>
      <c r="U3908" s="23">
        <f>R3908-S3908-T3908</f>
        <v/>
      </c>
      <c r="V3908" s="23">
        <f>D3908*P3908</f>
        <v/>
      </c>
      <c r="W3908" s="23">
        <f>U3908-V3908</f>
        <v/>
      </c>
      <c r="X3908" s="24">
        <f>IFERROR(W3908/U3908,0)</f>
        <v/>
      </c>
    </row>
    <row r="3909">
      <c r="A3909" s="25">
        <f>ItensPedido!A3909</f>
        <v/>
      </c>
      <c r="B3909" s="25">
        <f>ItensPedido!B3909</f>
        <v/>
      </c>
      <c r="C3909" s="25">
        <f>ItensPedido!C3909</f>
        <v/>
      </c>
      <c r="D3909" s="25">
        <f>ItensPedido!D3909</f>
        <v/>
      </c>
      <c r="E3909" s="26">
        <f>ItensPedido!E3909</f>
        <v/>
      </c>
      <c r="F3909" s="25">
        <f>IFERROR(INDEX(Pedidos!$B$2:$B$1801,MATCH(B3909,Pedidos!$A$2:$A$1801,0)),0)</f>
        <v/>
      </c>
      <c r="G3909" s="25">
        <f>IF(F3909=0,"",YEAR(F3909))</f>
        <v/>
      </c>
      <c r="H3909" s="25">
        <f>IF(F3909=0,"",MONTH(F3909))</f>
        <v/>
      </c>
      <c r="I3909" s="25">
        <f>IFERROR(INDEX(Pedidos!$E$2:$E$1801,MATCH(B3909,Pedidos!$A$2:$A$1801,0)),"")</f>
        <v/>
      </c>
      <c r="J3909" s="25">
        <f>IFERROR(INDEX(Pedidos!$C$2:$C$1801,MATCH(B3909,Pedidos!$A$2:$A$1801,0)),"")</f>
        <v/>
      </c>
      <c r="K3909" s="25">
        <f>IFERROR(INDEX(Pedidos!$D$2:$D$1801,MATCH(B3909,Pedidos!$A$2:$A$1801,0)),"")</f>
        <v/>
      </c>
      <c r="L3909" s="25">
        <f>IFERROR(INDEX(Pedidos!$F$2:$F$1801,MATCH(B3909,Pedidos!$A$2:$A$1801,0)),"")</f>
        <v/>
      </c>
      <c r="M3909" s="26">
        <f>IFERROR(INDEX(Pedidos!$G$2:$G$1801,MATCH(B3909,Pedidos!$A$2:$A$1801,0)),0)</f>
        <v/>
      </c>
      <c r="N3909" s="25">
        <f>IFERROR(INDEX(Produtos!$B$2:$B$71,MATCH(C3909,Produtos!$A$2:$A$71,0)),"")</f>
        <v/>
      </c>
      <c r="O3909" s="25">
        <f>IFERROR(INDEX(Produtos!$C$2:$C$71,MATCH(C3909,Produtos!$A$2:$A$71,0)),"")</f>
        <v/>
      </c>
      <c r="P3909" s="25">
        <f>IFERROR(INDEX(Produtos!$D$2:$D$71,MATCH(C3909,Produtos!$A$2:$A$71,0)),0)</f>
        <v/>
      </c>
      <c r="Q3909" s="25">
        <f>IFERROR(INDEX(Produtos!$E$2:$E$71,MATCH(C3909,Produtos!$A$2:$A$71,0)),0)</f>
        <v/>
      </c>
      <c r="R3909" s="27">
        <f>D3909*Q3909</f>
        <v/>
      </c>
      <c r="S3909" s="27">
        <f>R3909*E3909</f>
        <v/>
      </c>
      <c r="T3909" s="27">
        <f>(R3909-S3909)*M3909</f>
        <v/>
      </c>
      <c r="U3909" s="27">
        <f>R3909-S3909-T3909</f>
        <v/>
      </c>
      <c r="V3909" s="27">
        <f>D3909*P3909</f>
        <v/>
      </c>
      <c r="W3909" s="27">
        <f>U3909-V3909</f>
        <v/>
      </c>
      <c r="X3909" s="28">
        <f>IFERROR(W3909/U3909,0)</f>
        <v/>
      </c>
    </row>
    <row r="3910">
      <c r="A3910" s="21">
        <f>ItensPedido!A3910</f>
        <v/>
      </c>
      <c r="B3910" s="21">
        <f>ItensPedido!B3910</f>
        <v/>
      </c>
      <c r="C3910" s="21">
        <f>ItensPedido!C3910</f>
        <v/>
      </c>
      <c r="D3910" s="21">
        <f>ItensPedido!D3910</f>
        <v/>
      </c>
      <c r="E3910" s="22">
        <f>ItensPedido!E3910</f>
        <v/>
      </c>
      <c r="F3910" s="21">
        <f>IFERROR(INDEX(Pedidos!$B$2:$B$1801,MATCH(B3910,Pedidos!$A$2:$A$1801,0)),0)</f>
        <v/>
      </c>
      <c r="G3910" s="21">
        <f>IF(F3910=0,"",YEAR(F3910))</f>
        <v/>
      </c>
      <c r="H3910" s="21">
        <f>IF(F3910=0,"",MONTH(F3910))</f>
        <v/>
      </c>
      <c r="I3910" s="21">
        <f>IFERROR(INDEX(Pedidos!$E$2:$E$1801,MATCH(B3910,Pedidos!$A$2:$A$1801,0)),"")</f>
        <v/>
      </c>
      <c r="J3910" s="21">
        <f>IFERROR(INDEX(Pedidos!$C$2:$C$1801,MATCH(B3910,Pedidos!$A$2:$A$1801,0)),"")</f>
        <v/>
      </c>
      <c r="K3910" s="21">
        <f>IFERROR(INDEX(Pedidos!$D$2:$D$1801,MATCH(B3910,Pedidos!$A$2:$A$1801,0)),"")</f>
        <v/>
      </c>
      <c r="L3910" s="21">
        <f>IFERROR(INDEX(Pedidos!$F$2:$F$1801,MATCH(B3910,Pedidos!$A$2:$A$1801,0)),"")</f>
        <v/>
      </c>
      <c r="M3910" s="22">
        <f>IFERROR(INDEX(Pedidos!$G$2:$G$1801,MATCH(B3910,Pedidos!$A$2:$A$1801,0)),0)</f>
        <v/>
      </c>
      <c r="N3910" s="21">
        <f>IFERROR(INDEX(Produtos!$B$2:$B$71,MATCH(C3910,Produtos!$A$2:$A$71,0)),"")</f>
        <v/>
      </c>
      <c r="O3910" s="21">
        <f>IFERROR(INDEX(Produtos!$C$2:$C$71,MATCH(C3910,Produtos!$A$2:$A$71,0)),"")</f>
        <v/>
      </c>
      <c r="P3910" s="21">
        <f>IFERROR(INDEX(Produtos!$D$2:$D$71,MATCH(C3910,Produtos!$A$2:$A$71,0)),0)</f>
        <v/>
      </c>
      <c r="Q3910" s="21">
        <f>IFERROR(INDEX(Produtos!$E$2:$E$71,MATCH(C3910,Produtos!$A$2:$A$71,0)),0)</f>
        <v/>
      </c>
      <c r="R3910" s="23">
        <f>D3910*Q3910</f>
        <v/>
      </c>
      <c r="S3910" s="23">
        <f>R3910*E3910</f>
        <v/>
      </c>
      <c r="T3910" s="23">
        <f>(R3910-S3910)*M3910</f>
        <v/>
      </c>
      <c r="U3910" s="23">
        <f>R3910-S3910-T3910</f>
        <v/>
      </c>
      <c r="V3910" s="23">
        <f>D3910*P3910</f>
        <v/>
      </c>
      <c r="W3910" s="23">
        <f>U3910-V3910</f>
        <v/>
      </c>
      <c r="X3910" s="24">
        <f>IFERROR(W3910/U3910,0)</f>
        <v/>
      </c>
    </row>
    <row r="3911">
      <c r="A3911" s="25">
        <f>ItensPedido!A3911</f>
        <v/>
      </c>
      <c r="B3911" s="25">
        <f>ItensPedido!B3911</f>
        <v/>
      </c>
      <c r="C3911" s="25">
        <f>ItensPedido!C3911</f>
        <v/>
      </c>
      <c r="D3911" s="25">
        <f>ItensPedido!D3911</f>
        <v/>
      </c>
      <c r="E3911" s="26">
        <f>ItensPedido!E3911</f>
        <v/>
      </c>
      <c r="F3911" s="25">
        <f>IFERROR(INDEX(Pedidos!$B$2:$B$1801,MATCH(B3911,Pedidos!$A$2:$A$1801,0)),0)</f>
        <v/>
      </c>
      <c r="G3911" s="25">
        <f>IF(F3911=0,"",YEAR(F3911))</f>
        <v/>
      </c>
      <c r="H3911" s="25">
        <f>IF(F3911=0,"",MONTH(F3911))</f>
        <v/>
      </c>
      <c r="I3911" s="25">
        <f>IFERROR(INDEX(Pedidos!$E$2:$E$1801,MATCH(B3911,Pedidos!$A$2:$A$1801,0)),"")</f>
        <v/>
      </c>
      <c r="J3911" s="25">
        <f>IFERROR(INDEX(Pedidos!$C$2:$C$1801,MATCH(B3911,Pedidos!$A$2:$A$1801,0)),"")</f>
        <v/>
      </c>
      <c r="K3911" s="25">
        <f>IFERROR(INDEX(Pedidos!$D$2:$D$1801,MATCH(B3911,Pedidos!$A$2:$A$1801,0)),"")</f>
        <v/>
      </c>
      <c r="L3911" s="25">
        <f>IFERROR(INDEX(Pedidos!$F$2:$F$1801,MATCH(B3911,Pedidos!$A$2:$A$1801,0)),"")</f>
        <v/>
      </c>
      <c r="M3911" s="26">
        <f>IFERROR(INDEX(Pedidos!$G$2:$G$1801,MATCH(B3911,Pedidos!$A$2:$A$1801,0)),0)</f>
        <v/>
      </c>
      <c r="N3911" s="25">
        <f>IFERROR(INDEX(Produtos!$B$2:$B$71,MATCH(C3911,Produtos!$A$2:$A$71,0)),"")</f>
        <v/>
      </c>
      <c r="O3911" s="25">
        <f>IFERROR(INDEX(Produtos!$C$2:$C$71,MATCH(C3911,Produtos!$A$2:$A$71,0)),"")</f>
        <v/>
      </c>
      <c r="P3911" s="25">
        <f>IFERROR(INDEX(Produtos!$D$2:$D$71,MATCH(C3911,Produtos!$A$2:$A$71,0)),0)</f>
        <v/>
      </c>
      <c r="Q3911" s="25">
        <f>IFERROR(INDEX(Produtos!$E$2:$E$71,MATCH(C3911,Produtos!$A$2:$A$71,0)),0)</f>
        <v/>
      </c>
      <c r="R3911" s="27">
        <f>D3911*Q3911</f>
        <v/>
      </c>
      <c r="S3911" s="27">
        <f>R3911*E3911</f>
        <v/>
      </c>
      <c r="T3911" s="27">
        <f>(R3911-S3911)*M3911</f>
        <v/>
      </c>
      <c r="U3911" s="27">
        <f>R3911-S3911-T3911</f>
        <v/>
      </c>
      <c r="V3911" s="27">
        <f>D3911*P3911</f>
        <v/>
      </c>
      <c r="W3911" s="27">
        <f>U3911-V3911</f>
        <v/>
      </c>
      <c r="X3911" s="28">
        <f>IFERROR(W3911/U3911,0)</f>
        <v/>
      </c>
    </row>
    <row r="3912">
      <c r="A3912" s="21">
        <f>ItensPedido!A3912</f>
        <v/>
      </c>
      <c r="B3912" s="21">
        <f>ItensPedido!B3912</f>
        <v/>
      </c>
      <c r="C3912" s="21">
        <f>ItensPedido!C3912</f>
        <v/>
      </c>
      <c r="D3912" s="21">
        <f>ItensPedido!D3912</f>
        <v/>
      </c>
      <c r="E3912" s="22">
        <f>ItensPedido!E3912</f>
        <v/>
      </c>
      <c r="F3912" s="21">
        <f>IFERROR(INDEX(Pedidos!$B$2:$B$1801,MATCH(B3912,Pedidos!$A$2:$A$1801,0)),0)</f>
        <v/>
      </c>
      <c r="G3912" s="21">
        <f>IF(F3912=0,"",YEAR(F3912))</f>
        <v/>
      </c>
      <c r="H3912" s="21">
        <f>IF(F3912=0,"",MONTH(F3912))</f>
        <v/>
      </c>
      <c r="I3912" s="21">
        <f>IFERROR(INDEX(Pedidos!$E$2:$E$1801,MATCH(B3912,Pedidos!$A$2:$A$1801,0)),"")</f>
        <v/>
      </c>
      <c r="J3912" s="21">
        <f>IFERROR(INDEX(Pedidos!$C$2:$C$1801,MATCH(B3912,Pedidos!$A$2:$A$1801,0)),"")</f>
        <v/>
      </c>
      <c r="K3912" s="21">
        <f>IFERROR(INDEX(Pedidos!$D$2:$D$1801,MATCH(B3912,Pedidos!$A$2:$A$1801,0)),"")</f>
        <v/>
      </c>
      <c r="L3912" s="21">
        <f>IFERROR(INDEX(Pedidos!$F$2:$F$1801,MATCH(B3912,Pedidos!$A$2:$A$1801,0)),"")</f>
        <v/>
      </c>
      <c r="M3912" s="22">
        <f>IFERROR(INDEX(Pedidos!$G$2:$G$1801,MATCH(B3912,Pedidos!$A$2:$A$1801,0)),0)</f>
        <v/>
      </c>
      <c r="N3912" s="21">
        <f>IFERROR(INDEX(Produtos!$B$2:$B$71,MATCH(C3912,Produtos!$A$2:$A$71,0)),"")</f>
        <v/>
      </c>
      <c r="O3912" s="21">
        <f>IFERROR(INDEX(Produtos!$C$2:$C$71,MATCH(C3912,Produtos!$A$2:$A$71,0)),"")</f>
        <v/>
      </c>
      <c r="P3912" s="21">
        <f>IFERROR(INDEX(Produtos!$D$2:$D$71,MATCH(C3912,Produtos!$A$2:$A$71,0)),0)</f>
        <v/>
      </c>
      <c r="Q3912" s="21">
        <f>IFERROR(INDEX(Produtos!$E$2:$E$71,MATCH(C3912,Produtos!$A$2:$A$71,0)),0)</f>
        <v/>
      </c>
      <c r="R3912" s="23">
        <f>D3912*Q3912</f>
        <v/>
      </c>
      <c r="S3912" s="23">
        <f>R3912*E3912</f>
        <v/>
      </c>
      <c r="T3912" s="23">
        <f>(R3912-S3912)*M3912</f>
        <v/>
      </c>
      <c r="U3912" s="23">
        <f>R3912-S3912-T3912</f>
        <v/>
      </c>
      <c r="V3912" s="23">
        <f>D3912*P3912</f>
        <v/>
      </c>
      <c r="W3912" s="23">
        <f>U3912-V3912</f>
        <v/>
      </c>
      <c r="X3912" s="24">
        <f>IFERROR(W3912/U3912,0)</f>
        <v/>
      </c>
    </row>
    <row r="3913">
      <c r="A3913" s="25">
        <f>ItensPedido!A3913</f>
        <v/>
      </c>
      <c r="B3913" s="25">
        <f>ItensPedido!B3913</f>
        <v/>
      </c>
      <c r="C3913" s="25">
        <f>ItensPedido!C3913</f>
        <v/>
      </c>
      <c r="D3913" s="25">
        <f>ItensPedido!D3913</f>
        <v/>
      </c>
      <c r="E3913" s="26">
        <f>ItensPedido!E3913</f>
        <v/>
      </c>
      <c r="F3913" s="25">
        <f>IFERROR(INDEX(Pedidos!$B$2:$B$1801,MATCH(B3913,Pedidos!$A$2:$A$1801,0)),0)</f>
        <v/>
      </c>
      <c r="G3913" s="25">
        <f>IF(F3913=0,"",YEAR(F3913))</f>
        <v/>
      </c>
      <c r="H3913" s="25">
        <f>IF(F3913=0,"",MONTH(F3913))</f>
        <v/>
      </c>
      <c r="I3913" s="25">
        <f>IFERROR(INDEX(Pedidos!$E$2:$E$1801,MATCH(B3913,Pedidos!$A$2:$A$1801,0)),"")</f>
        <v/>
      </c>
      <c r="J3913" s="25">
        <f>IFERROR(INDEX(Pedidos!$C$2:$C$1801,MATCH(B3913,Pedidos!$A$2:$A$1801,0)),"")</f>
        <v/>
      </c>
      <c r="K3913" s="25">
        <f>IFERROR(INDEX(Pedidos!$D$2:$D$1801,MATCH(B3913,Pedidos!$A$2:$A$1801,0)),"")</f>
        <v/>
      </c>
      <c r="L3913" s="25">
        <f>IFERROR(INDEX(Pedidos!$F$2:$F$1801,MATCH(B3913,Pedidos!$A$2:$A$1801,0)),"")</f>
        <v/>
      </c>
      <c r="M3913" s="26">
        <f>IFERROR(INDEX(Pedidos!$G$2:$G$1801,MATCH(B3913,Pedidos!$A$2:$A$1801,0)),0)</f>
        <v/>
      </c>
      <c r="N3913" s="25">
        <f>IFERROR(INDEX(Produtos!$B$2:$B$71,MATCH(C3913,Produtos!$A$2:$A$71,0)),"")</f>
        <v/>
      </c>
      <c r="O3913" s="25">
        <f>IFERROR(INDEX(Produtos!$C$2:$C$71,MATCH(C3913,Produtos!$A$2:$A$71,0)),"")</f>
        <v/>
      </c>
      <c r="P3913" s="25">
        <f>IFERROR(INDEX(Produtos!$D$2:$D$71,MATCH(C3913,Produtos!$A$2:$A$71,0)),0)</f>
        <v/>
      </c>
      <c r="Q3913" s="25">
        <f>IFERROR(INDEX(Produtos!$E$2:$E$71,MATCH(C3913,Produtos!$A$2:$A$71,0)),0)</f>
        <v/>
      </c>
      <c r="R3913" s="27">
        <f>D3913*Q3913</f>
        <v/>
      </c>
      <c r="S3913" s="27">
        <f>R3913*E3913</f>
        <v/>
      </c>
      <c r="T3913" s="27">
        <f>(R3913-S3913)*M3913</f>
        <v/>
      </c>
      <c r="U3913" s="27">
        <f>R3913-S3913-T3913</f>
        <v/>
      </c>
      <c r="V3913" s="27">
        <f>D3913*P3913</f>
        <v/>
      </c>
      <c r="W3913" s="27">
        <f>U3913-V3913</f>
        <v/>
      </c>
      <c r="X3913" s="28">
        <f>IFERROR(W3913/U3913,0)</f>
        <v/>
      </c>
    </row>
    <row r="3914">
      <c r="A3914" s="21">
        <f>ItensPedido!A3914</f>
        <v/>
      </c>
      <c r="B3914" s="21">
        <f>ItensPedido!B3914</f>
        <v/>
      </c>
      <c r="C3914" s="21">
        <f>ItensPedido!C3914</f>
        <v/>
      </c>
      <c r="D3914" s="21">
        <f>ItensPedido!D3914</f>
        <v/>
      </c>
      <c r="E3914" s="22">
        <f>ItensPedido!E3914</f>
        <v/>
      </c>
      <c r="F3914" s="21">
        <f>IFERROR(INDEX(Pedidos!$B$2:$B$1801,MATCH(B3914,Pedidos!$A$2:$A$1801,0)),0)</f>
        <v/>
      </c>
      <c r="G3914" s="21">
        <f>IF(F3914=0,"",YEAR(F3914))</f>
        <v/>
      </c>
      <c r="H3914" s="21">
        <f>IF(F3914=0,"",MONTH(F3914))</f>
        <v/>
      </c>
      <c r="I3914" s="21">
        <f>IFERROR(INDEX(Pedidos!$E$2:$E$1801,MATCH(B3914,Pedidos!$A$2:$A$1801,0)),"")</f>
        <v/>
      </c>
      <c r="J3914" s="21">
        <f>IFERROR(INDEX(Pedidos!$C$2:$C$1801,MATCH(B3914,Pedidos!$A$2:$A$1801,0)),"")</f>
        <v/>
      </c>
      <c r="K3914" s="21">
        <f>IFERROR(INDEX(Pedidos!$D$2:$D$1801,MATCH(B3914,Pedidos!$A$2:$A$1801,0)),"")</f>
        <v/>
      </c>
      <c r="L3914" s="21">
        <f>IFERROR(INDEX(Pedidos!$F$2:$F$1801,MATCH(B3914,Pedidos!$A$2:$A$1801,0)),"")</f>
        <v/>
      </c>
      <c r="M3914" s="22">
        <f>IFERROR(INDEX(Pedidos!$G$2:$G$1801,MATCH(B3914,Pedidos!$A$2:$A$1801,0)),0)</f>
        <v/>
      </c>
      <c r="N3914" s="21">
        <f>IFERROR(INDEX(Produtos!$B$2:$B$71,MATCH(C3914,Produtos!$A$2:$A$71,0)),"")</f>
        <v/>
      </c>
      <c r="O3914" s="21">
        <f>IFERROR(INDEX(Produtos!$C$2:$C$71,MATCH(C3914,Produtos!$A$2:$A$71,0)),"")</f>
        <v/>
      </c>
      <c r="P3914" s="21">
        <f>IFERROR(INDEX(Produtos!$D$2:$D$71,MATCH(C3914,Produtos!$A$2:$A$71,0)),0)</f>
        <v/>
      </c>
      <c r="Q3914" s="21">
        <f>IFERROR(INDEX(Produtos!$E$2:$E$71,MATCH(C3914,Produtos!$A$2:$A$71,0)),0)</f>
        <v/>
      </c>
      <c r="R3914" s="23">
        <f>D3914*Q3914</f>
        <v/>
      </c>
      <c r="S3914" s="23">
        <f>R3914*E3914</f>
        <v/>
      </c>
      <c r="T3914" s="23">
        <f>(R3914-S3914)*M3914</f>
        <v/>
      </c>
      <c r="U3914" s="23">
        <f>R3914-S3914-T3914</f>
        <v/>
      </c>
      <c r="V3914" s="23">
        <f>D3914*P3914</f>
        <v/>
      </c>
      <c r="W3914" s="23">
        <f>U3914-V3914</f>
        <v/>
      </c>
      <c r="X3914" s="24">
        <f>IFERROR(W3914/U3914,0)</f>
        <v/>
      </c>
    </row>
    <row r="3915">
      <c r="A3915" s="25">
        <f>ItensPedido!A3915</f>
        <v/>
      </c>
      <c r="B3915" s="25">
        <f>ItensPedido!B3915</f>
        <v/>
      </c>
      <c r="C3915" s="25">
        <f>ItensPedido!C3915</f>
        <v/>
      </c>
      <c r="D3915" s="25">
        <f>ItensPedido!D3915</f>
        <v/>
      </c>
      <c r="E3915" s="26">
        <f>ItensPedido!E3915</f>
        <v/>
      </c>
      <c r="F3915" s="25">
        <f>IFERROR(INDEX(Pedidos!$B$2:$B$1801,MATCH(B3915,Pedidos!$A$2:$A$1801,0)),0)</f>
        <v/>
      </c>
      <c r="G3915" s="25">
        <f>IF(F3915=0,"",YEAR(F3915))</f>
        <v/>
      </c>
      <c r="H3915" s="25">
        <f>IF(F3915=0,"",MONTH(F3915))</f>
        <v/>
      </c>
      <c r="I3915" s="25">
        <f>IFERROR(INDEX(Pedidos!$E$2:$E$1801,MATCH(B3915,Pedidos!$A$2:$A$1801,0)),"")</f>
        <v/>
      </c>
      <c r="J3915" s="25">
        <f>IFERROR(INDEX(Pedidos!$C$2:$C$1801,MATCH(B3915,Pedidos!$A$2:$A$1801,0)),"")</f>
        <v/>
      </c>
      <c r="K3915" s="25">
        <f>IFERROR(INDEX(Pedidos!$D$2:$D$1801,MATCH(B3915,Pedidos!$A$2:$A$1801,0)),"")</f>
        <v/>
      </c>
      <c r="L3915" s="25">
        <f>IFERROR(INDEX(Pedidos!$F$2:$F$1801,MATCH(B3915,Pedidos!$A$2:$A$1801,0)),"")</f>
        <v/>
      </c>
      <c r="M3915" s="26">
        <f>IFERROR(INDEX(Pedidos!$G$2:$G$1801,MATCH(B3915,Pedidos!$A$2:$A$1801,0)),0)</f>
        <v/>
      </c>
      <c r="N3915" s="25">
        <f>IFERROR(INDEX(Produtos!$B$2:$B$71,MATCH(C3915,Produtos!$A$2:$A$71,0)),"")</f>
        <v/>
      </c>
      <c r="O3915" s="25">
        <f>IFERROR(INDEX(Produtos!$C$2:$C$71,MATCH(C3915,Produtos!$A$2:$A$71,0)),"")</f>
        <v/>
      </c>
      <c r="P3915" s="25">
        <f>IFERROR(INDEX(Produtos!$D$2:$D$71,MATCH(C3915,Produtos!$A$2:$A$71,0)),0)</f>
        <v/>
      </c>
      <c r="Q3915" s="25">
        <f>IFERROR(INDEX(Produtos!$E$2:$E$71,MATCH(C3915,Produtos!$A$2:$A$71,0)),0)</f>
        <v/>
      </c>
      <c r="R3915" s="27">
        <f>D3915*Q3915</f>
        <v/>
      </c>
      <c r="S3915" s="27">
        <f>R3915*E3915</f>
        <v/>
      </c>
      <c r="T3915" s="27">
        <f>(R3915-S3915)*M3915</f>
        <v/>
      </c>
      <c r="U3915" s="27">
        <f>R3915-S3915-T3915</f>
        <v/>
      </c>
      <c r="V3915" s="27">
        <f>D3915*P3915</f>
        <v/>
      </c>
      <c r="W3915" s="27">
        <f>U3915-V3915</f>
        <v/>
      </c>
      <c r="X3915" s="28">
        <f>IFERROR(W3915/U3915,0)</f>
        <v/>
      </c>
    </row>
    <row r="3916">
      <c r="A3916" s="21">
        <f>ItensPedido!A3916</f>
        <v/>
      </c>
      <c r="B3916" s="21">
        <f>ItensPedido!B3916</f>
        <v/>
      </c>
      <c r="C3916" s="21">
        <f>ItensPedido!C3916</f>
        <v/>
      </c>
      <c r="D3916" s="21">
        <f>ItensPedido!D3916</f>
        <v/>
      </c>
      <c r="E3916" s="22">
        <f>ItensPedido!E3916</f>
        <v/>
      </c>
      <c r="F3916" s="21">
        <f>IFERROR(INDEX(Pedidos!$B$2:$B$1801,MATCH(B3916,Pedidos!$A$2:$A$1801,0)),0)</f>
        <v/>
      </c>
      <c r="G3916" s="21">
        <f>IF(F3916=0,"",YEAR(F3916))</f>
        <v/>
      </c>
      <c r="H3916" s="21">
        <f>IF(F3916=0,"",MONTH(F3916))</f>
        <v/>
      </c>
      <c r="I3916" s="21">
        <f>IFERROR(INDEX(Pedidos!$E$2:$E$1801,MATCH(B3916,Pedidos!$A$2:$A$1801,0)),"")</f>
        <v/>
      </c>
      <c r="J3916" s="21">
        <f>IFERROR(INDEX(Pedidos!$C$2:$C$1801,MATCH(B3916,Pedidos!$A$2:$A$1801,0)),"")</f>
        <v/>
      </c>
      <c r="K3916" s="21">
        <f>IFERROR(INDEX(Pedidos!$D$2:$D$1801,MATCH(B3916,Pedidos!$A$2:$A$1801,0)),"")</f>
        <v/>
      </c>
      <c r="L3916" s="21">
        <f>IFERROR(INDEX(Pedidos!$F$2:$F$1801,MATCH(B3916,Pedidos!$A$2:$A$1801,0)),"")</f>
        <v/>
      </c>
      <c r="M3916" s="22">
        <f>IFERROR(INDEX(Pedidos!$G$2:$G$1801,MATCH(B3916,Pedidos!$A$2:$A$1801,0)),0)</f>
        <v/>
      </c>
      <c r="N3916" s="21">
        <f>IFERROR(INDEX(Produtos!$B$2:$B$71,MATCH(C3916,Produtos!$A$2:$A$71,0)),"")</f>
        <v/>
      </c>
      <c r="O3916" s="21">
        <f>IFERROR(INDEX(Produtos!$C$2:$C$71,MATCH(C3916,Produtos!$A$2:$A$71,0)),"")</f>
        <v/>
      </c>
      <c r="P3916" s="21">
        <f>IFERROR(INDEX(Produtos!$D$2:$D$71,MATCH(C3916,Produtos!$A$2:$A$71,0)),0)</f>
        <v/>
      </c>
      <c r="Q3916" s="21">
        <f>IFERROR(INDEX(Produtos!$E$2:$E$71,MATCH(C3916,Produtos!$A$2:$A$71,0)),0)</f>
        <v/>
      </c>
      <c r="R3916" s="23">
        <f>D3916*Q3916</f>
        <v/>
      </c>
      <c r="S3916" s="23">
        <f>R3916*E3916</f>
        <v/>
      </c>
      <c r="T3916" s="23">
        <f>(R3916-S3916)*M3916</f>
        <v/>
      </c>
      <c r="U3916" s="23">
        <f>R3916-S3916-T3916</f>
        <v/>
      </c>
      <c r="V3916" s="23">
        <f>D3916*P3916</f>
        <v/>
      </c>
      <c r="W3916" s="23">
        <f>U3916-V3916</f>
        <v/>
      </c>
      <c r="X3916" s="24">
        <f>IFERROR(W3916/U3916,0)</f>
        <v/>
      </c>
    </row>
    <row r="3917">
      <c r="A3917" s="25">
        <f>ItensPedido!A3917</f>
        <v/>
      </c>
      <c r="B3917" s="25">
        <f>ItensPedido!B3917</f>
        <v/>
      </c>
      <c r="C3917" s="25">
        <f>ItensPedido!C3917</f>
        <v/>
      </c>
      <c r="D3917" s="25">
        <f>ItensPedido!D3917</f>
        <v/>
      </c>
      <c r="E3917" s="26">
        <f>ItensPedido!E3917</f>
        <v/>
      </c>
      <c r="F3917" s="25">
        <f>IFERROR(INDEX(Pedidos!$B$2:$B$1801,MATCH(B3917,Pedidos!$A$2:$A$1801,0)),0)</f>
        <v/>
      </c>
      <c r="G3917" s="25">
        <f>IF(F3917=0,"",YEAR(F3917))</f>
        <v/>
      </c>
      <c r="H3917" s="25">
        <f>IF(F3917=0,"",MONTH(F3917))</f>
        <v/>
      </c>
      <c r="I3917" s="25">
        <f>IFERROR(INDEX(Pedidos!$E$2:$E$1801,MATCH(B3917,Pedidos!$A$2:$A$1801,0)),"")</f>
        <v/>
      </c>
      <c r="J3917" s="25">
        <f>IFERROR(INDEX(Pedidos!$C$2:$C$1801,MATCH(B3917,Pedidos!$A$2:$A$1801,0)),"")</f>
        <v/>
      </c>
      <c r="K3917" s="25">
        <f>IFERROR(INDEX(Pedidos!$D$2:$D$1801,MATCH(B3917,Pedidos!$A$2:$A$1801,0)),"")</f>
        <v/>
      </c>
      <c r="L3917" s="25">
        <f>IFERROR(INDEX(Pedidos!$F$2:$F$1801,MATCH(B3917,Pedidos!$A$2:$A$1801,0)),"")</f>
        <v/>
      </c>
      <c r="M3917" s="26">
        <f>IFERROR(INDEX(Pedidos!$G$2:$G$1801,MATCH(B3917,Pedidos!$A$2:$A$1801,0)),0)</f>
        <v/>
      </c>
      <c r="N3917" s="25">
        <f>IFERROR(INDEX(Produtos!$B$2:$B$71,MATCH(C3917,Produtos!$A$2:$A$71,0)),"")</f>
        <v/>
      </c>
      <c r="O3917" s="25">
        <f>IFERROR(INDEX(Produtos!$C$2:$C$71,MATCH(C3917,Produtos!$A$2:$A$71,0)),"")</f>
        <v/>
      </c>
      <c r="P3917" s="25">
        <f>IFERROR(INDEX(Produtos!$D$2:$D$71,MATCH(C3917,Produtos!$A$2:$A$71,0)),0)</f>
        <v/>
      </c>
      <c r="Q3917" s="25">
        <f>IFERROR(INDEX(Produtos!$E$2:$E$71,MATCH(C3917,Produtos!$A$2:$A$71,0)),0)</f>
        <v/>
      </c>
      <c r="R3917" s="27">
        <f>D3917*Q3917</f>
        <v/>
      </c>
      <c r="S3917" s="27">
        <f>R3917*E3917</f>
        <v/>
      </c>
      <c r="T3917" s="27">
        <f>(R3917-S3917)*M3917</f>
        <v/>
      </c>
      <c r="U3917" s="27">
        <f>R3917-S3917-T3917</f>
        <v/>
      </c>
      <c r="V3917" s="27">
        <f>D3917*P3917</f>
        <v/>
      </c>
      <c r="W3917" s="27">
        <f>U3917-V3917</f>
        <v/>
      </c>
      <c r="X3917" s="28">
        <f>IFERROR(W3917/U3917,0)</f>
        <v/>
      </c>
    </row>
    <row r="3918">
      <c r="A3918" s="21">
        <f>ItensPedido!A3918</f>
        <v/>
      </c>
      <c r="B3918" s="21">
        <f>ItensPedido!B3918</f>
        <v/>
      </c>
      <c r="C3918" s="21">
        <f>ItensPedido!C3918</f>
        <v/>
      </c>
      <c r="D3918" s="21">
        <f>ItensPedido!D3918</f>
        <v/>
      </c>
      <c r="E3918" s="22">
        <f>ItensPedido!E3918</f>
        <v/>
      </c>
      <c r="F3918" s="21">
        <f>IFERROR(INDEX(Pedidos!$B$2:$B$1801,MATCH(B3918,Pedidos!$A$2:$A$1801,0)),0)</f>
        <v/>
      </c>
      <c r="G3918" s="21">
        <f>IF(F3918=0,"",YEAR(F3918))</f>
        <v/>
      </c>
      <c r="H3918" s="21">
        <f>IF(F3918=0,"",MONTH(F3918))</f>
        <v/>
      </c>
      <c r="I3918" s="21">
        <f>IFERROR(INDEX(Pedidos!$E$2:$E$1801,MATCH(B3918,Pedidos!$A$2:$A$1801,0)),"")</f>
        <v/>
      </c>
      <c r="J3918" s="21">
        <f>IFERROR(INDEX(Pedidos!$C$2:$C$1801,MATCH(B3918,Pedidos!$A$2:$A$1801,0)),"")</f>
        <v/>
      </c>
      <c r="K3918" s="21">
        <f>IFERROR(INDEX(Pedidos!$D$2:$D$1801,MATCH(B3918,Pedidos!$A$2:$A$1801,0)),"")</f>
        <v/>
      </c>
      <c r="L3918" s="21">
        <f>IFERROR(INDEX(Pedidos!$F$2:$F$1801,MATCH(B3918,Pedidos!$A$2:$A$1801,0)),"")</f>
        <v/>
      </c>
      <c r="M3918" s="22">
        <f>IFERROR(INDEX(Pedidos!$G$2:$G$1801,MATCH(B3918,Pedidos!$A$2:$A$1801,0)),0)</f>
        <v/>
      </c>
      <c r="N3918" s="21">
        <f>IFERROR(INDEX(Produtos!$B$2:$B$71,MATCH(C3918,Produtos!$A$2:$A$71,0)),"")</f>
        <v/>
      </c>
      <c r="O3918" s="21">
        <f>IFERROR(INDEX(Produtos!$C$2:$C$71,MATCH(C3918,Produtos!$A$2:$A$71,0)),"")</f>
        <v/>
      </c>
      <c r="P3918" s="21">
        <f>IFERROR(INDEX(Produtos!$D$2:$D$71,MATCH(C3918,Produtos!$A$2:$A$71,0)),0)</f>
        <v/>
      </c>
      <c r="Q3918" s="21">
        <f>IFERROR(INDEX(Produtos!$E$2:$E$71,MATCH(C3918,Produtos!$A$2:$A$71,0)),0)</f>
        <v/>
      </c>
      <c r="R3918" s="23">
        <f>D3918*Q3918</f>
        <v/>
      </c>
      <c r="S3918" s="23">
        <f>R3918*E3918</f>
        <v/>
      </c>
      <c r="T3918" s="23">
        <f>(R3918-S3918)*M3918</f>
        <v/>
      </c>
      <c r="U3918" s="23">
        <f>R3918-S3918-T3918</f>
        <v/>
      </c>
      <c r="V3918" s="23">
        <f>D3918*P3918</f>
        <v/>
      </c>
      <c r="W3918" s="23">
        <f>U3918-V3918</f>
        <v/>
      </c>
      <c r="X3918" s="24">
        <f>IFERROR(W3918/U3918,0)</f>
        <v/>
      </c>
    </row>
    <row r="3919">
      <c r="A3919" s="25">
        <f>ItensPedido!A3919</f>
        <v/>
      </c>
      <c r="B3919" s="25">
        <f>ItensPedido!B3919</f>
        <v/>
      </c>
      <c r="C3919" s="25">
        <f>ItensPedido!C3919</f>
        <v/>
      </c>
      <c r="D3919" s="25">
        <f>ItensPedido!D3919</f>
        <v/>
      </c>
      <c r="E3919" s="26">
        <f>ItensPedido!E3919</f>
        <v/>
      </c>
      <c r="F3919" s="25">
        <f>IFERROR(INDEX(Pedidos!$B$2:$B$1801,MATCH(B3919,Pedidos!$A$2:$A$1801,0)),0)</f>
        <v/>
      </c>
      <c r="G3919" s="25">
        <f>IF(F3919=0,"",YEAR(F3919))</f>
        <v/>
      </c>
      <c r="H3919" s="25">
        <f>IF(F3919=0,"",MONTH(F3919))</f>
        <v/>
      </c>
      <c r="I3919" s="25">
        <f>IFERROR(INDEX(Pedidos!$E$2:$E$1801,MATCH(B3919,Pedidos!$A$2:$A$1801,0)),"")</f>
        <v/>
      </c>
      <c r="J3919" s="25">
        <f>IFERROR(INDEX(Pedidos!$C$2:$C$1801,MATCH(B3919,Pedidos!$A$2:$A$1801,0)),"")</f>
        <v/>
      </c>
      <c r="K3919" s="25">
        <f>IFERROR(INDEX(Pedidos!$D$2:$D$1801,MATCH(B3919,Pedidos!$A$2:$A$1801,0)),"")</f>
        <v/>
      </c>
      <c r="L3919" s="25">
        <f>IFERROR(INDEX(Pedidos!$F$2:$F$1801,MATCH(B3919,Pedidos!$A$2:$A$1801,0)),"")</f>
        <v/>
      </c>
      <c r="M3919" s="26">
        <f>IFERROR(INDEX(Pedidos!$G$2:$G$1801,MATCH(B3919,Pedidos!$A$2:$A$1801,0)),0)</f>
        <v/>
      </c>
      <c r="N3919" s="25">
        <f>IFERROR(INDEX(Produtos!$B$2:$B$71,MATCH(C3919,Produtos!$A$2:$A$71,0)),"")</f>
        <v/>
      </c>
      <c r="O3919" s="25">
        <f>IFERROR(INDEX(Produtos!$C$2:$C$71,MATCH(C3919,Produtos!$A$2:$A$71,0)),"")</f>
        <v/>
      </c>
      <c r="P3919" s="25">
        <f>IFERROR(INDEX(Produtos!$D$2:$D$71,MATCH(C3919,Produtos!$A$2:$A$71,0)),0)</f>
        <v/>
      </c>
      <c r="Q3919" s="25">
        <f>IFERROR(INDEX(Produtos!$E$2:$E$71,MATCH(C3919,Produtos!$A$2:$A$71,0)),0)</f>
        <v/>
      </c>
      <c r="R3919" s="27">
        <f>D3919*Q3919</f>
        <v/>
      </c>
      <c r="S3919" s="27">
        <f>R3919*E3919</f>
        <v/>
      </c>
      <c r="T3919" s="27">
        <f>(R3919-S3919)*M3919</f>
        <v/>
      </c>
      <c r="U3919" s="27">
        <f>R3919-S3919-T3919</f>
        <v/>
      </c>
      <c r="V3919" s="27">
        <f>D3919*P3919</f>
        <v/>
      </c>
      <c r="W3919" s="27">
        <f>U3919-V3919</f>
        <v/>
      </c>
      <c r="X3919" s="28">
        <f>IFERROR(W3919/U3919,0)</f>
        <v/>
      </c>
    </row>
    <row r="3920">
      <c r="A3920" s="21">
        <f>ItensPedido!A3920</f>
        <v/>
      </c>
      <c r="B3920" s="21">
        <f>ItensPedido!B3920</f>
        <v/>
      </c>
      <c r="C3920" s="21">
        <f>ItensPedido!C3920</f>
        <v/>
      </c>
      <c r="D3920" s="21">
        <f>ItensPedido!D3920</f>
        <v/>
      </c>
      <c r="E3920" s="22">
        <f>ItensPedido!E3920</f>
        <v/>
      </c>
      <c r="F3920" s="21">
        <f>IFERROR(INDEX(Pedidos!$B$2:$B$1801,MATCH(B3920,Pedidos!$A$2:$A$1801,0)),0)</f>
        <v/>
      </c>
      <c r="G3920" s="21">
        <f>IF(F3920=0,"",YEAR(F3920))</f>
        <v/>
      </c>
      <c r="H3920" s="21">
        <f>IF(F3920=0,"",MONTH(F3920))</f>
        <v/>
      </c>
      <c r="I3920" s="21">
        <f>IFERROR(INDEX(Pedidos!$E$2:$E$1801,MATCH(B3920,Pedidos!$A$2:$A$1801,0)),"")</f>
        <v/>
      </c>
      <c r="J3920" s="21">
        <f>IFERROR(INDEX(Pedidos!$C$2:$C$1801,MATCH(B3920,Pedidos!$A$2:$A$1801,0)),"")</f>
        <v/>
      </c>
      <c r="K3920" s="21">
        <f>IFERROR(INDEX(Pedidos!$D$2:$D$1801,MATCH(B3920,Pedidos!$A$2:$A$1801,0)),"")</f>
        <v/>
      </c>
      <c r="L3920" s="21">
        <f>IFERROR(INDEX(Pedidos!$F$2:$F$1801,MATCH(B3920,Pedidos!$A$2:$A$1801,0)),"")</f>
        <v/>
      </c>
      <c r="M3920" s="22">
        <f>IFERROR(INDEX(Pedidos!$G$2:$G$1801,MATCH(B3920,Pedidos!$A$2:$A$1801,0)),0)</f>
        <v/>
      </c>
      <c r="N3920" s="21">
        <f>IFERROR(INDEX(Produtos!$B$2:$B$71,MATCH(C3920,Produtos!$A$2:$A$71,0)),"")</f>
        <v/>
      </c>
      <c r="O3920" s="21">
        <f>IFERROR(INDEX(Produtos!$C$2:$C$71,MATCH(C3920,Produtos!$A$2:$A$71,0)),"")</f>
        <v/>
      </c>
      <c r="P3920" s="21">
        <f>IFERROR(INDEX(Produtos!$D$2:$D$71,MATCH(C3920,Produtos!$A$2:$A$71,0)),0)</f>
        <v/>
      </c>
      <c r="Q3920" s="21">
        <f>IFERROR(INDEX(Produtos!$E$2:$E$71,MATCH(C3920,Produtos!$A$2:$A$71,0)),0)</f>
        <v/>
      </c>
      <c r="R3920" s="23">
        <f>D3920*Q3920</f>
        <v/>
      </c>
      <c r="S3920" s="23">
        <f>R3920*E3920</f>
        <v/>
      </c>
      <c r="T3920" s="23">
        <f>(R3920-S3920)*M3920</f>
        <v/>
      </c>
      <c r="U3920" s="23">
        <f>R3920-S3920-T3920</f>
        <v/>
      </c>
      <c r="V3920" s="23">
        <f>D3920*P3920</f>
        <v/>
      </c>
      <c r="W3920" s="23">
        <f>U3920-V3920</f>
        <v/>
      </c>
      <c r="X3920" s="24">
        <f>IFERROR(W3920/U3920,0)</f>
        <v/>
      </c>
    </row>
    <row r="3921">
      <c r="A3921" s="25">
        <f>ItensPedido!A3921</f>
        <v/>
      </c>
      <c r="B3921" s="25">
        <f>ItensPedido!B3921</f>
        <v/>
      </c>
      <c r="C3921" s="25">
        <f>ItensPedido!C3921</f>
        <v/>
      </c>
      <c r="D3921" s="25">
        <f>ItensPedido!D3921</f>
        <v/>
      </c>
      <c r="E3921" s="26">
        <f>ItensPedido!E3921</f>
        <v/>
      </c>
      <c r="F3921" s="25">
        <f>IFERROR(INDEX(Pedidos!$B$2:$B$1801,MATCH(B3921,Pedidos!$A$2:$A$1801,0)),0)</f>
        <v/>
      </c>
      <c r="G3921" s="25">
        <f>IF(F3921=0,"",YEAR(F3921))</f>
        <v/>
      </c>
      <c r="H3921" s="25">
        <f>IF(F3921=0,"",MONTH(F3921))</f>
        <v/>
      </c>
      <c r="I3921" s="25">
        <f>IFERROR(INDEX(Pedidos!$E$2:$E$1801,MATCH(B3921,Pedidos!$A$2:$A$1801,0)),"")</f>
        <v/>
      </c>
      <c r="J3921" s="25">
        <f>IFERROR(INDEX(Pedidos!$C$2:$C$1801,MATCH(B3921,Pedidos!$A$2:$A$1801,0)),"")</f>
        <v/>
      </c>
      <c r="K3921" s="25">
        <f>IFERROR(INDEX(Pedidos!$D$2:$D$1801,MATCH(B3921,Pedidos!$A$2:$A$1801,0)),"")</f>
        <v/>
      </c>
      <c r="L3921" s="25">
        <f>IFERROR(INDEX(Pedidos!$F$2:$F$1801,MATCH(B3921,Pedidos!$A$2:$A$1801,0)),"")</f>
        <v/>
      </c>
      <c r="M3921" s="26">
        <f>IFERROR(INDEX(Pedidos!$G$2:$G$1801,MATCH(B3921,Pedidos!$A$2:$A$1801,0)),0)</f>
        <v/>
      </c>
      <c r="N3921" s="25">
        <f>IFERROR(INDEX(Produtos!$B$2:$B$71,MATCH(C3921,Produtos!$A$2:$A$71,0)),"")</f>
        <v/>
      </c>
      <c r="O3921" s="25">
        <f>IFERROR(INDEX(Produtos!$C$2:$C$71,MATCH(C3921,Produtos!$A$2:$A$71,0)),"")</f>
        <v/>
      </c>
      <c r="P3921" s="25">
        <f>IFERROR(INDEX(Produtos!$D$2:$D$71,MATCH(C3921,Produtos!$A$2:$A$71,0)),0)</f>
        <v/>
      </c>
      <c r="Q3921" s="25">
        <f>IFERROR(INDEX(Produtos!$E$2:$E$71,MATCH(C3921,Produtos!$A$2:$A$71,0)),0)</f>
        <v/>
      </c>
      <c r="R3921" s="27">
        <f>D3921*Q3921</f>
        <v/>
      </c>
      <c r="S3921" s="27">
        <f>R3921*E3921</f>
        <v/>
      </c>
      <c r="T3921" s="27">
        <f>(R3921-S3921)*M3921</f>
        <v/>
      </c>
      <c r="U3921" s="27">
        <f>R3921-S3921-T3921</f>
        <v/>
      </c>
      <c r="V3921" s="27">
        <f>D3921*P3921</f>
        <v/>
      </c>
      <c r="W3921" s="27">
        <f>U3921-V3921</f>
        <v/>
      </c>
      <c r="X3921" s="28">
        <f>IFERROR(W3921/U3921,0)</f>
        <v/>
      </c>
    </row>
    <row r="3922">
      <c r="A3922" s="21">
        <f>ItensPedido!A3922</f>
        <v/>
      </c>
      <c r="B3922" s="21">
        <f>ItensPedido!B3922</f>
        <v/>
      </c>
      <c r="C3922" s="21">
        <f>ItensPedido!C3922</f>
        <v/>
      </c>
      <c r="D3922" s="21">
        <f>ItensPedido!D3922</f>
        <v/>
      </c>
      <c r="E3922" s="22">
        <f>ItensPedido!E3922</f>
        <v/>
      </c>
      <c r="F3922" s="21">
        <f>IFERROR(INDEX(Pedidos!$B$2:$B$1801,MATCH(B3922,Pedidos!$A$2:$A$1801,0)),0)</f>
        <v/>
      </c>
      <c r="G3922" s="21">
        <f>IF(F3922=0,"",YEAR(F3922))</f>
        <v/>
      </c>
      <c r="H3922" s="21">
        <f>IF(F3922=0,"",MONTH(F3922))</f>
        <v/>
      </c>
      <c r="I3922" s="21">
        <f>IFERROR(INDEX(Pedidos!$E$2:$E$1801,MATCH(B3922,Pedidos!$A$2:$A$1801,0)),"")</f>
        <v/>
      </c>
      <c r="J3922" s="21">
        <f>IFERROR(INDEX(Pedidos!$C$2:$C$1801,MATCH(B3922,Pedidos!$A$2:$A$1801,0)),"")</f>
        <v/>
      </c>
      <c r="K3922" s="21">
        <f>IFERROR(INDEX(Pedidos!$D$2:$D$1801,MATCH(B3922,Pedidos!$A$2:$A$1801,0)),"")</f>
        <v/>
      </c>
      <c r="L3922" s="21">
        <f>IFERROR(INDEX(Pedidos!$F$2:$F$1801,MATCH(B3922,Pedidos!$A$2:$A$1801,0)),"")</f>
        <v/>
      </c>
      <c r="M3922" s="22">
        <f>IFERROR(INDEX(Pedidos!$G$2:$G$1801,MATCH(B3922,Pedidos!$A$2:$A$1801,0)),0)</f>
        <v/>
      </c>
      <c r="N3922" s="21">
        <f>IFERROR(INDEX(Produtos!$B$2:$B$71,MATCH(C3922,Produtos!$A$2:$A$71,0)),"")</f>
        <v/>
      </c>
      <c r="O3922" s="21">
        <f>IFERROR(INDEX(Produtos!$C$2:$C$71,MATCH(C3922,Produtos!$A$2:$A$71,0)),"")</f>
        <v/>
      </c>
      <c r="P3922" s="21">
        <f>IFERROR(INDEX(Produtos!$D$2:$D$71,MATCH(C3922,Produtos!$A$2:$A$71,0)),0)</f>
        <v/>
      </c>
      <c r="Q3922" s="21">
        <f>IFERROR(INDEX(Produtos!$E$2:$E$71,MATCH(C3922,Produtos!$A$2:$A$71,0)),0)</f>
        <v/>
      </c>
      <c r="R3922" s="23">
        <f>D3922*Q3922</f>
        <v/>
      </c>
      <c r="S3922" s="23">
        <f>R3922*E3922</f>
        <v/>
      </c>
      <c r="T3922" s="23">
        <f>(R3922-S3922)*M3922</f>
        <v/>
      </c>
      <c r="U3922" s="23">
        <f>R3922-S3922-T3922</f>
        <v/>
      </c>
      <c r="V3922" s="23">
        <f>D3922*P3922</f>
        <v/>
      </c>
      <c r="W3922" s="23">
        <f>U3922-V3922</f>
        <v/>
      </c>
      <c r="X3922" s="24">
        <f>IFERROR(W3922/U3922,0)</f>
        <v/>
      </c>
    </row>
    <row r="3923">
      <c r="A3923" s="25">
        <f>ItensPedido!A3923</f>
        <v/>
      </c>
      <c r="B3923" s="25">
        <f>ItensPedido!B3923</f>
        <v/>
      </c>
      <c r="C3923" s="25">
        <f>ItensPedido!C3923</f>
        <v/>
      </c>
      <c r="D3923" s="25">
        <f>ItensPedido!D3923</f>
        <v/>
      </c>
      <c r="E3923" s="26">
        <f>ItensPedido!E3923</f>
        <v/>
      </c>
      <c r="F3923" s="25">
        <f>IFERROR(INDEX(Pedidos!$B$2:$B$1801,MATCH(B3923,Pedidos!$A$2:$A$1801,0)),0)</f>
        <v/>
      </c>
      <c r="G3923" s="25">
        <f>IF(F3923=0,"",YEAR(F3923))</f>
        <v/>
      </c>
      <c r="H3923" s="25">
        <f>IF(F3923=0,"",MONTH(F3923))</f>
        <v/>
      </c>
      <c r="I3923" s="25">
        <f>IFERROR(INDEX(Pedidos!$E$2:$E$1801,MATCH(B3923,Pedidos!$A$2:$A$1801,0)),"")</f>
        <v/>
      </c>
      <c r="J3923" s="25">
        <f>IFERROR(INDEX(Pedidos!$C$2:$C$1801,MATCH(B3923,Pedidos!$A$2:$A$1801,0)),"")</f>
        <v/>
      </c>
      <c r="K3923" s="25">
        <f>IFERROR(INDEX(Pedidos!$D$2:$D$1801,MATCH(B3923,Pedidos!$A$2:$A$1801,0)),"")</f>
        <v/>
      </c>
      <c r="L3923" s="25">
        <f>IFERROR(INDEX(Pedidos!$F$2:$F$1801,MATCH(B3923,Pedidos!$A$2:$A$1801,0)),"")</f>
        <v/>
      </c>
      <c r="M3923" s="26">
        <f>IFERROR(INDEX(Pedidos!$G$2:$G$1801,MATCH(B3923,Pedidos!$A$2:$A$1801,0)),0)</f>
        <v/>
      </c>
      <c r="N3923" s="25">
        <f>IFERROR(INDEX(Produtos!$B$2:$B$71,MATCH(C3923,Produtos!$A$2:$A$71,0)),"")</f>
        <v/>
      </c>
      <c r="O3923" s="25">
        <f>IFERROR(INDEX(Produtos!$C$2:$C$71,MATCH(C3923,Produtos!$A$2:$A$71,0)),"")</f>
        <v/>
      </c>
      <c r="P3923" s="25">
        <f>IFERROR(INDEX(Produtos!$D$2:$D$71,MATCH(C3923,Produtos!$A$2:$A$71,0)),0)</f>
        <v/>
      </c>
      <c r="Q3923" s="25">
        <f>IFERROR(INDEX(Produtos!$E$2:$E$71,MATCH(C3923,Produtos!$A$2:$A$71,0)),0)</f>
        <v/>
      </c>
      <c r="R3923" s="27">
        <f>D3923*Q3923</f>
        <v/>
      </c>
      <c r="S3923" s="27">
        <f>R3923*E3923</f>
        <v/>
      </c>
      <c r="T3923" s="27">
        <f>(R3923-S3923)*M3923</f>
        <v/>
      </c>
      <c r="U3923" s="27">
        <f>R3923-S3923-T3923</f>
        <v/>
      </c>
      <c r="V3923" s="27">
        <f>D3923*P3923</f>
        <v/>
      </c>
      <c r="W3923" s="27">
        <f>U3923-V3923</f>
        <v/>
      </c>
      <c r="X3923" s="28">
        <f>IFERROR(W3923/U3923,0)</f>
        <v/>
      </c>
    </row>
    <row r="3924">
      <c r="A3924" s="21">
        <f>ItensPedido!A3924</f>
        <v/>
      </c>
      <c r="B3924" s="21">
        <f>ItensPedido!B3924</f>
        <v/>
      </c>
      <c r="C3924" s="21">
        <f>ItensPedido!C3924</f>
        <v/>
      </c>
      <c r="D3924" s="21">
        <f>ItensPedido!D3924</f>
        <v/>
      </c>
      <c r="E3924" s="22">
        <f>ItensPedido!E3924</f>
        <v/>
      </c>
      <c r="F3924" s="21">
        <f>IFERROR(INDEX(Pedidos!$B$2:$B$1801,MATCH(B3924,Pedidos!$A$2:$A$1801,0)),0)</f>
        <v/>
      </c>
      <c r="G3924" s="21">
        <f>IF(F3924=0,"",YEAR(F3924))</f>
        <v/>
      </c>
      <c r="H3924" s="21">
        <f>IF(F3924=0,"",MONTH(F3924))</f>
        <v/>
      </c>
      <c r="I3924" s="21">
        <f>IFERROR(INDEX(Pedidos!$E$2:$E$1801,MATCH(B3924,Pedidos!$A$2:$A$1801,0)),"")</f>
        <v/>
      </c>
      <c r="J3924" s="21">
        <f>IFERROR(INDEX(Pedidos!$C$2:$C$1801,MATCH(B3924,Pedidos!$A$2:$A$1801,0)),"")</f>
        <v/>
      </c>
      <c r="K3924" s="21">
        <f>IFERROR(INDEX(Pedidos!$D$2:$D$1801,MATCH(B3924,Pedidos!$A$2:$A$1801,0)),"")</f>
        <v/>
      </c>
      <c r="L3924" s="21">
        <f>IFERROR(INDEX(Pedidos!$F$2:$F$1801,MATCH(B3924,Pedidos!$A$2:$A$1801,0)),"")</f>
        <v/>
      </c>
      <c r="M3924" s="22">
        <f>IFERROR(INDEX(Pedidos!$G$2:$G$1801,MATCH(B3924,Pedidos!$A$2:$A$1801,0)),0)</f>
        <v/>
      </c>
      <c r="N3924" s="21">
        <f>IFERROR(INDEX(Produtos!$B$2:$B$71,MATCH(C3924,Produtos!$A$2:$A$71,0)),"")</f>
        <v/>
      </c>
      <c r="O3924" s="21">
        <f>IFERROR(INDEX(Produtos!$C$2:$C$71,MATCH(C3924,Produtos!$A$2:$A$71,0)),"")</f>
        <v/>
      </c>
      <c r="P3924" s="21">
        <f>IFERROR(INDEX(Produtos!$D$2:$D$71,MATCH(C3924,Produtos!$A$2:$A$71,0)),0)</f>
        <v/>
      </c>
      <c r="Q3924" s="21">
        <f>IFERROR(INDEX(Produtos!$E$2:$E$71,MATCH(C3924,Produtos!$A$2:$A$71,0)),0)</f>
        <v/>
      </c>
      <c r="R3924" s="23">
        <f>D3924*Q3924</f>
        <v/>
      </c>
      <c r="S3924" s="23">
        <f>R3924*E3924</f>
        <v/>
      </c>
      <c r="T3924" s="23">
        <f>(R3924-S3924)*M3924</f>
        <v/>
      </c>
      <c r="U3924" s="23">
        <f>R3924-S3924-T3924</f>
        <v/>
      </c>
      <c r="V3924" s="23">
        <f>D3924*P3924</f>
        <v/>
      </c>
      <c r="W3924" s="23">
        <f>U3924-V3924</f>
        <v/>
      </c>
      <c r="X3924" s="24">
        <f>IFERROR(W3924/U3924,0)</f>
        <v/>
      </c>
    </row>
    <row r="3925">
      <c r="A3925" s="25">
        <f>ItensPedido!A3925</f>
        <v/>
      </c>
      <c r="B3925" s="25">
        <f>ItensPedido!B3925</f>
        <v/>
      </c>
      <c r="C3925" s="25">
        <f>ItensPedido!C3925</f>
        <v/>
      </c>
      <c r="D3925" s="25">
        <f>ItensPedido!D3925</f>
        <v/>
      </c>
      <c r="E3925" s="26">
        <f>ItensPedido!E3925</f>
        <v/>
      </c>
      <c r="F3925" s="25">
        <f>IFERROR(INDEX(Pedidos!$B$2:$B$1801,MATCH(B3925,Pedidos!$A$2:$A$1801,0)),0)</f>
        <v/>
      </c>
      <c r="G3925" s="25">
        <f>IF(F3925=0,"",YEAR(F3925))</f>
        <v/>
      </c>
      <c r="H3925" s="25">
        <f>IF(F3925=0,"",MONTH(F3925))</f>
        <v/>
      </c>
      <c r="I3925" s="25">
        <f>IFERROR(INDEX(Pedidos!$E$2:$E$1801,MATCH(B3925,Pedidos!$A$2:$A$1801,0)),"")</f>
        <v/>
      </c>
      <c r="J3925" s="25">
        <f>IFERROR(INDEX(Pedidos!$C$2:$C$1801,MATCH(B3925,Pedidos!$A$2:$A$1801,0)),"")</f>
        <v/>
      </c>
      <c r="K3925" s="25">
        <f>IFERROR(INDEX(Pedidos!$D$2:$D$1801,MATCH(B3925,Pedidos!$A$2:$A$1801,0)),"")</f>
        <v/>
      </c>
      <c r="L3925" s="25">
        <f>IFERROR(INDEX(Pedidos!$F$2:$F$1801,MATCH(B3925,Pedidos!$A$2:$A$1801,0)),"")</f>
        <v/>
      </c>
      <c r="M3925" s="26">
        <f>IFERROR(INDEX(Pedidos!$G$2:$G$1801,MATCH(B3925,Pedidos!$A$2:$A$1801,0)),0)</f>
        <v/>
      </c>
      <c r="N3925" s="25">
        <f>IFERROR(INDEX(Produtos!$B$2:$B$71,MATCH(C3925,Produtos!$A$2:$A$71,0)),"")</f>
        <v/>
      </c>
      <c r="O3925" s="25">
        <f>IFERROR(INDEX(Produtos!$C$2:$C$71,MATCH(C3925,Produtos!$A$2:$A$71,0)),"")</f>
        <v/>
      </c>
      <c r="P3925" s="25">
        <f>IFERROR(INDEX(Produtos!$D$2:$D$71,MATCH(C3925,Produtos!$A$2:$A$71,0)),0)</f>
        <v/>
      </c>
      <c r="Q3925" s="25">
        <f>IFERROR(INDEX(Produtos!$E$2:$E$71,MATCH(C3925,Produtos!$A$2:$A$71,0)),0)</f>
        <v/>
      </c>
      <c r="R3925" s="27">
        <f>D3925*Q3925</f>
        <v/>
      </c>
      <c r="S3925" s="27">
        <f>R3925*E3925</f>
        <v/>
      </c>
      <c r="T3925" s="27">
        <f>(R3925-S3925)*M3925</f>
        <v/>
      </c>
      <c r="U3925" s="27">
        <f>R3925-S3925-T3925</f>
        <v/>
      </c>
      <c r="V3925" s="27">
        <f>D3925*P3925</f>
        <v/>
      </c>
      <c r="W3925" s="27">
        <f>U3925-V3925</f>
        <v/>
      </c>
      <c r="X3925" s="28">
        <f>IFERROR(W3925/U3925,0)</f>
        <v/>
      </c>
    </row>
    <row r="3926">
      <c r="A3926" s="21">
        <f>ItensPedido!A3926</f>
        <v/>
      </c>
      <c r="B3926" s="21">
        <f>ItensPedido!B3926</f>
        <v/>
      </c>
      <c r="C3926" s="21">
        <f>ItensPedido!C3926</f>
        <v/>
      </c>
      <c r="D3926" s="21">
        <f>ItensPedido!D3926</f>
        <v/>
      </c>
      <c r="E3926" s="22">
        <f>ItensPedido!E3926</f>
        <v/>
      </c>
      <c r="F3926" s="21">
        <f>IFERROR(INDEX(Pedidos!$B$2:$B$1801,MATCH(B3926,Pedidos!$A$2:$A$1801,0)),0)</f>
        <v/>
      </c>
      <c r="G3926" s="21">
        <f>IF(F3926=0,"",YEAR(F3926))</f>
        <v/>
      </c>
      <c r="H3926" s="21">
        <f>IF(F3926=0,"",MONTH(F3926))</f>
        <v/>
      </c>
      <c r="I3926" s="21">
        <f>IFERROR(INDEX(Pedidos!$E$2:$E$1801,MATCH(B3926,Pedidos!$A$2:$A$1801,0)),"")</f>
        <v/>
      </c>
      <c r="J3926" s="21">
        <f>IFERROR(INDEX(Pedidos!$C$2:$C$1801,MATCH(B3926,Pedidos!$A$2:$A$1801,0)),"")</f>
        <v/>
      </c>
      <c r="K3926" s="21">
        <f>IFERROR(INDEX(Pedidos!$D$2:$D$1801,MATCH(B3926,Pedidos!$A$2:$A$1801,0)),"")</f>
        <v/>
      </c>
      <c r="L3926" s="21">
        <f>IFERROR(INDEX(Pedidos!$F$2:$F$1801,MATCH(B3926,Pedidos!$A$2:$A$1801,0)),"")</f>
        <v/>
      </c>
      <c r="M3926" s="22">
        <f>IFERROR(INDEX(Pedidos!$G$2:$G$1801,MATCH(B3926,Pedidos!$A$2:$A$1801,0)),0)</f>
        <v/>
      </c>
      <c r="N3926" s="21">
        <f>IFERROR(INDEX(Produtos!$B$2:$B$71,MATCH(C3926,Produtos!$A$2:$A$71,0)),"")</f>
        <v/>
      </c>
      <c r="O3926" s="21">
        <f>IFERROR(INDEX(Produtos!$C$2:$C$71,MATCH(C3926,Produtos!$A$2:$A$71,0)),"")</f>
        <v/>
      </c>
      <c r="P3926" s="21">
        <f>IFERROR(INDEX(Produtos!$D$2:$D$71,MATCH(C3926,Produtos!$A$2:$A$71,0)),0)</f>
        <v/>
      </c>
      <c r="Q3926" s="21">
        <f>IFERROR(INDEX(Produtos!$E$2:$E$71,MATCH(C3926,Produtos!$A$2:$A$71,0)),0)</f>
        <v/>
      </c>
      <c r="R3926" s="23">
        <f>D3926*Q3926</f>
        <v/>
      </c>
      <c r="S3926" s="23">
        <f>R3926*E3926</f>
        <v/>
      </c>
      <c r="T3926" s="23">
        <f>(R3926-S3926)*M3926</f>
        <v/>
      </c>
      <c r="U3926" s="23">
        <f>R3926-S3926-T3926</f>
        <v/>
      </c>
      <c r="V3926" s="23">
        <f>D3926*P3926</f>
        <v/>
      </c>
      <c r="W3926" s="23">
        <f>U3926-V3926</f>
        <v/>
      </c>
      <c r="X3926" s="24">
        <f>IFERROR(W3926/U3926,0)</f>
        <v/>
      </c>
    </row>
    <row r="3927">
      <c r="A3927" s="25">
        <f>ItensPedido!A3927</f>
        <v/>
      </c>
      <c r="B3927" s="25">
        <f>ItensPedido!B3927</f>
        <v/>
      </c>
      <c r="C3927" s="25">
        <f>ItensPedido!C3927</f>
        <v/>
      </c>
      <c r="D3927" s="25">
        <f>ItensPedido!D3927</f>
        <v/>
      </c>
      <c r="E3927" s="26">
        <f>ItensPedido!E3927</f>
        <v/>
      </c>
      <c r="F3927" s="25">
        <f>IFERROR(INDEX(Pedidos!$B$2:$B$1801,MATCH(B3927,Pedidos!$A$2:$A$1801,0)),0)</f>
        <v/>
      </c>
      <c r="G3927" s="25">
        <f>IF(F3927=0,"",YEAR(F3927))</f>
        <v/>
      </c>
      <c r="H3927" s="25">
        <f>IF(F3927=0,"",MONTH(F3927))</f>
        <v/>
      </c>
      <c r="I3927" s="25">
        <f>IFERROR(INDEX(Pedidos!$E$2:$E$1801,MATCH(B3927,Pedidos!$A$2:$A$1801,0)),"")</f>
        <v/>
      </c>
      <c r="J3927" s="25">
        <f>IFERROR(INDEX(Pedidos!$C$2:$C$1801,MATCH(B3927,Pedidos!$A$2:$A$1801,0)),"")</f>
        <v/>
      </c>
      <c r="K3927" s="25">
        <f>IFERROR(INDEX(Pedidos!$D$2:$D$1801,MATCH(B3927,Pedidos!$A$2:$A$1801,0)),"")</f>
        <v/>
      </c>
      <c r="L3927" s="25">
        <f>IFERROR(INDEX(Pedidos!$F$2:$F$1801,MATCH(B3927,Pedidos!$A$2:$A$1801,0)),"")</f>
        <v/>
      </c>
      <c r="M3927" s="26">
        <f>IFERROR(INDEX(Pedidos!$G$2:$G$1801,MATCH(B3927,Pedidos!$A$2:$A$1801,0)),0)</f>
        <v/>
      </c>
      <c r="N3927" s="25">
        <f>IFERROR(INDEX(Produtos!$B$2:$B$71,MATCH(C3927,Produtos!$A$2:$A$71,0)),"")</f>
        <v/>
      </c>
      <c r="O3927" s="25">
        <f>IFERROR(INDEX(Produtos!$C$2:$C$71,MATCH(C3927,Produtos!$A$2:$A$71,0)),"")</f>
        <v/>
      </c>
      <c r="P3927" s="25">
        <f>IFERROR(INDEX(Produtos!$D$2:$D$71,MATCH(C3927,Produtos!$A$2:$A$71,0)),0)</f>
        <v/>
      </c>
      <c r="Q3927" s="25">
        <f>IFERROR(INDEX(Produtos!$E$2:$E$71,MATCH(C3927,Produtos!$A$2:$A$71,0)),0)</f>
        <v/>
      </c>
      <c r="R3927" s="27">
        <f>D3927*Q3927</f>
        <v/>
      </c>
      <c r="S3927" s="27">
        <f>R3927*E3927</f>
        <v/>
      </c>
      <c r="T3927" s="27">
        <f>(R3927-S3927)*M3927</f>
        <v/>
      </c>
      <c r="U3927" s="27">
        <f>R3927-S3927-T3927</f>
        <v/>
      </c>
      <c r="V3927" s="27">
        <f>D3927*P3927</f>
        <v/>
      </c>
      <c r="W3927" s="27">
        <f>U3927-V3927</f>
        <v/>
      </c>
      <c r="X3927" s="28">
        <f>IFERROR(W3927/U3927,0)</f>
        <v/>
      </c>
    </row>
    <row r="3928">
      <c r="A3928" s="21">
        <f>ItensPedido!A3928</f>
        <v/>
      </c>
      <c r="B3928" s="21">
        <f>ItensPedido!B3928</f>
        <v/>
      </c>
      <c r="C3928" s="21">
        <f>ItensPedido!C3928</f>
        <v/>
      </c>
      <c r="D3928" s="21">
        <f>ItensPedido!D3928</f>
        <v/>
      </c>
      <c r="E3928" s="22">
        <f>ItensPedido!E3928</f>
        <v/>
      </c>
      <c r="F3928" s="21">
        <f>IFERROR(INDEX(Pedidos!$B$2:$B$1801,MATCH(B3928,Pedidos!$A$2:$A$1801,0)),0)</f>
        <v/>
      </c>
      <c r="G3928" s="21">
        <f>IF(F3928=0,"",YEAR(F3928))</f>
        <v/>
      </c>
      <c r="H3928" s="21">
        <f>IF(F3928=0,"",MONTH(F3928))</f>
        <v/>
      </c>
      <c r="I3928" s="21">
        <f>IFERROR(INDEX(Pedidos!$E$2:$E$1801,MATCH(B3928,Pedidos!$A$2:$A$1801,0)),"")</f>
        <v/>
      </c>
      <c r="J3928" s="21">
        <f>IFERROR(INDEX(Pedidos!$C$2:$C$1801,MATCH(B3928,Pedidos!$A$2:$A$1801,0)),"")</f>
        <v/>
      </c>
      <c r="K3928" s="21">
        <f>IFERROR(INDEX(Pedidos!$D$2:$D$1801,MATCH(B3928,Pedidos!$A$2:$A$1801,0)),"")</f>
        <v/>
      </c>
      <c r="L3928" s="21">
        <f>IFERROR(INDEX(Pedidos!$F$2:$F$1801,MATCH(B3928,Pedidos!$A$2:$A$1801,0)),"")</f>
        <v/>
      </c>
      <c r="M3928" s="22">
        <f>IFERROR(INDEX(Pedidos!$G$2:$G$1801,MATCH(B3928,Pedidos!$A$2:$A$1801,0)),0)</f>
        <v/>
      </c>
      <c r="N3928" s="21">
        <f>IFERROR(INDEX(Produtos!$B$2:$B$71,MATCH(C3928,Produtos!$A$2:$A$71,0)),"")</f>
        <v/>
      </c>
      <c r="O3928" s="21">
        <f>IFERROR(INDEX(Produtos!$C$2:$C$71,MATCH(C3928,Produtos!$A$2:$A$71,0)),"")</f>
        <v/>
      </c>
      <c r="P3928" s="21">
        <f>IFERROR(INDEX(Produtos!$D$2:$D$71,MATCH(C3928,Produtos!$A$2:$A$71,0)),0)</f>
        <v/>
      </c>
      <c r="Q3928" s="21">
        <f>IFERROR(INDEX(Produtos!$E$2:$E$71,MATCH(C3928,Produtos!$A$2:$A$71,0)),0)</f>
        <v/>
      </c>
      <c r="R3928" s="23">
        <f>D3928*Q3928</f>
        <v/>
      </c>
      <c r="S3928" s="23">
        <f>R3928*E3928</f>
        <v/>
      </c>
      <c r="T3928" s="23">
        <f>(R3928-S3928)*M3928</f>
        <v/>
      </c>
      <c r="U3928" s="23">
        <f>R3928-S3928-T3928</f>
        <v/>
      </c>
      <c r="V3928" s="23">
        <f>D3928*P3928</f>
        <v/>
      </c>
      <c r="W3928" s="23">
        <f>U3928-V3928</f>
        <v/>
      </c>
      <c r="X3928" s="24">
        <f>IFERROR(W3928/U3928,0)</f>
        <v/>
      </c>
    </row>
    <row r="3929">
      <c r="A3929" s="25">
        <f>ItensPedido!A3929</f>
        <v/>
      </c>
      <c r="B3929" s="25">
        <f>ItensPedido!B3929</f>
        <v/>
      </c>
      <c r="C3929" s="25">
        <f>ItensPedido!C3929</f>
        <v/>
      </c>
      <c r="D3929" s="25">
        <f>ItensPedido!D3929</f>
        <v/>
      </c>
      <c r="E3929" s="26">
        <f>ItensPedido!E3929</f>
        <v/>
      </c>
      <c r="F3929" s="25">
        <f>IFERROR(INDEX(Pedidos!$B$2:$B$1801,MATCH(B3929,Pedidos!$A$2:$A$1801,0)),0)</f>
        <v/>
      </c>
      <c r="G3929" s="25">
        <f>IF(F3929=0,"",YEAR(F3929))</f>
        <v/>
      </c>
      <c r="H3929" s="25">
        <f>IF(F3929=0,"",MONTH(F3929))</f>
        <v/>
      </c>
      <c r="I3929" s="25">
        <f>IFERROR(INDEX(Pedidos!$E$2:$E$1801,MATCH(B3929,Pedidos!$A$2:$A$1801,0)),"")</f>
        <v/>
      </c>
      <c r="J3929" s="25">
        <f>IFERROR(INDEX(Pedidos!$C$2:$C$1801,MATCH(B3929,Pedidos!$A$2:$A$1801,0)),"")</f>
        <v/>
      </c>
      <c r="K3929" s="25">
        <f>IFERROR(INDEX(Pedidos!$D$2:$D$1801,MATCH(B3929,Pedidos!$A$2:$A$1801,0)),"")</f>
        <v/>
      </c>
      <c r="L3929" s="25">
        <f>IFERROR(INDEX(Pedidos!$F$2:$F$1801,MATCH(B3929,Pedidos!$A$2:$A$1801,0)),"")</f>
        <v/>
      </c>
      <c r="M3929" s="26">
        <f>IFERROR(INDEX(Pedidos!$G$2:$G$1801,MATCH(B3929,Pedidos!$A$2:$A$1801,0)),0)</f>
        <v/>
      </c>
      <c r="N3929" s="25">
        <f>IFERROR(INDEX(Produtos!$B$2:$B$71,MATCH(C3929,Produtos!$A$2:$A$71,0)),"")</f>
        <v/>
      </c>
      <c r="O3929" s="25">
        <f>IFERROR(INDEX(Produtos!$C$2:$C$71,MATCH(C3929,Produtos!$A$2:$A$71,0)),"")</f>
        <v/>
      </c>
      <c r="P3929" s="25">
        <f>IFERROR(INDEX(Produtos!$D$2:$D$71,MATCH(C3929,Produtos!$A$2:$A$71,0)),0)</f>
        <v/>
      </c>
      <c r="Q3929" s="25">
        <f>IFERROR(INDEX(Produtos!$E$2:$E$71,MATCH(C3929,Produtos!$A$2:$A$71,0)),0)</f>
        <v/>
      </c>
      <c r="R3929" s="27">
        <f>D3929*Q3929</f>
        <v/>
      </c>
      <c r="S3929" s="27">
        <f>R3929*E3929</f>
        <v/>
      </c>
      <c r="T3929" s="27">
        <f>(R3929-S3929)*M3929</f>
        <v/>
      </c>
      <c r="U3929" s="27">
        <f>R3929-S3929-T3929</f>
        <v/>
      </c>
      <c r="V3929" s="27">
        <f>D3929*P3929</f>
        <v/>
      </c>
      <c r="W3929" s="27">
        <f>U3929-V3929</f>
        <v/>
      </c>
      <c r="X3929" s="28">
        <f>IFERROR(W3929/U3929,0)</f>
        <v/>
      </c>
    </row>
    <row r="3930">
      <c r="A3930" s="21">
        <f>ItensPedido!A3930</f>
        <v/>
      </c>
      <c r="B3930" s="21">
        <f>ItensPedido!B3930</f>
        <v/>
      </c>
      <c r="C3930" s="21">
        <f>ItensPedido!C3930</f>
        <v/>
      </c>
      <c r="D3930" s="21">
        <f>ItensPedido!D3930</f>
        <v/>
      </c>
      <c r="E3930" s="22">
        <f>ItensPedido!E3930</f>
        <v/>
      </c>
      <c r="F3930" s="21">
        <f>IFERROR(INDEX(Pedidos!$B$2:$B$1801,MATCH(B3930,Pedidos!$A$2:$A$1801,0)),0)</f>
        <v/>
      </c>
      <c r="G3930" s="21">
        <f>IF(F3930=0,"",YEAR(F3930))</f>
        <v/>
      </c>
      <c r="H3930" s="21">
        <f>IF(F3930=0,"",MONTH(F3930))</f>
        <v/>
      </c>
      <c r="I3930" s="21">
        <f>IFERROR(INDEX(Pedidos!$E$2:$E$1801,MATCH(B3930,Pedidos!$A$2:$A$1801,0)),"")</f>
        <v/>
      </c>
      <c r="J3930" s="21">
        <f>IFERROR(INDEX(Pedidos!$C$2:$C$1801,MATCH(B3930,Pedidos!$A$2:$A$1801,0)),"")</f>
        <v/>
      </c>
      <c r="K3930" s="21">
        <f>IFERROR(INDEX(Pedidos!$D$2:$D$1801,MATCH(B3930,Pedidos!$A$2:$A$1801,0)),"")</f>
        <v/>
      </c>
      <c r="L3930" s="21">
        <f>IFERROR(INDEX(Pedidos!$F$2:$F$1801,MATCH(B3930,Pedidos!$A$2:$A$1801,0)),"")</f>
        <v/>
      </c>
      <c r="M3930" s="22">
        <f>IFERROR(INDEX(Pedidos!$G$2:$G$1801,MATCH(B3930,Pedidos!$A$2:$A$1801,0)),0)</f>
        <v/>
      </c>
      <c r="N3930" s="21">
        <f>IFERROR(INDEX(Produtos!$B$2:$B$71,MATCH(C3930,Produtos!$A$2:$A$71,0)),"")</f>
        <v/>
      </c>
      <c r="O3930" s="21">
        <f>IFERROR(INDEX(Produtos!$C$2:$C$71,MATCH(C3930,Produtos!$A$2:$A$71,0)),"")</f>
        <v/>
      </c>
      <c r="P3930" s="21">
        <f>IFERROR(INDEX(Produtos!$D$2:$D$71,MATCH(C3930,Produtos!$A$2:$A$71,0)),0)</f>
        <v/>
      </c>
      <c r="Q3930" s="21">
        <f>IFERROR(INDEX(Produtos!$E$2:$E$71,MATCH(C3930,Produtos!$A$2:$A$71,0)),0)</f>
        <v/>
      </c>
      <c r="R3930" s="23">
        <f>D3930*Q3930</f>
        <v/>
      </c>
      <c r="S3930" s="23">
        <f>R3930*E3930</f>
        <v/>
      </c>
      <c r="T3930" s="23">
        <f>(R3930-S3930)*M3930</f>
        <v/>
      </c>
      <c r="U3930" s="23">
        <f>R3930-S3930-T3930</f>
        <v/>
      </c>
      <c r="V3930" s="23">
        <f>D3930*P3930</f>
        <v/>
      </c>
      <c r="W3930" s="23">
        <f>U3930-V3930</f>
        <v/>
      </c>
      <c r="X3930" s="24">
        <f>IFERROR(W3930/U3930,0)</f>
        <v/>
      </c>
    </row>
    <row r="3931">
      <c r="A3931" s="25">
        <f>ItensPedido!A3931</f>
        <v/>
      </c>
      <c r="B3931" s="25">
        <f>ItensPedido!B3931</f>
        <v/>
      </c>
      <c r="C3931" s="25">
        <f>ItensPedido!C3931</f>
        <v/>
      </c>
      <c r="D3931" s="25">
        <f>ItensPedido!D3931</f>
        <v/>
      </c>
      <c r="E3931" s="26">
        <f>ItensPedido!E3931</f>
        <v/>
      </c>
      <c r="F3931" s="25">
        <f>IFERROR(INDEX(Pedidos!$B$2:$B$1801,MATCH(B3931,Pedidos!$A$2:$A$1801,0)),0)</f>
        <v/>
      </c>
      <c r="G3931" s="25">
        <f>IF(F3931=0,"",YEAR(F3931))</f>
        <v/>
      </c>
      <c r="H3931" s="25">
        <f>IF(F3931=0,"",MONTH(F3931))</f>
        <v/>
      </c>
      <c r="I3931" s="25">
        <f>IFERROR(INDEX(Pedidos!$E$2:$E$1801,MATCH(B3931,Pedidos!$A$2:$A$1801,0)),"")</f>
        <v/>
      </c>
      <c r="J3931" s="25">
        <f>IFERROR(INDEX(Pedidos!$C$2:$C$1801,MATCH(B3931,Pedidos!$A$2:$A$1801,0)),"")</f>
        <v/>
      </c>
      <c r="K3931" s="25">
        <f>IFERROR(INDEX(Pedidos!$D$2:$D$1801,MATCH(B3931,Pedidos!$A$2:$A$1801,0)),"")</f>
        <v/>
      </c>
      <c r="L3931" s="25">
        <f>IFERROR(INDEX(Pedidos!$F$2:$F$1801,MATCH(B3931,Pedidos!$A$2:$A$1801,0)),"")</f>
        <v/>
      </c>
      <c r="M3931" s="26">
        <f>IFERROR(INDEX(Pedidos!$G$2:$G$1801,MATCH(B3931,Pedidos!$A$2:$A$1801,0)),0)</f>
        <v/>
      </c>
      <c r="N3931" s="25">
        <f>IFERROR(INDEX(Produtos!$B$2:$B$71,MATCH(C3931,Produtos!$A$2:$A$71,0)),"")</f>
        <v/>
      </c>
      <c r="O3931" s="25">
        <f>IFERROR(INDEX(Produtos!$C$2:$C$71,MATCH(C3931,Produtos!$A$2:$A$71,0)),"")</f>
        <v/>
      </c>
      <c r="P3931" s="25">
        <f>IFERROR(INDEX(Produtos!$D$2:$D$71,MATCH(C3931,Produtos!$A$2:$A$71,0)),0)</f>
        <v/>
      </c>
      <c r="Q3931" s="25">
        <f>IFERROR(INDEX(Produtos!$E$2:$E$71,MATCH(C3931,Produtos!$A$2:$A$71,0)),0)</f>
        <v/>
      </c>
      <c r="R3931" s="27">
        <f>D3931*Q3931</f>
        <v/>
      </c>
      <c r="S3931" s="27">
        <f>R3931*E3931</f>
        <v/>
      </c>
      <c r="T3931" s="27">
        <f>(R3931-S3931)*M3931</f>
        <v/>
      </c>
      <c r="U3931" s="27">
        <f>R3931-S3931-T3931</f>
        <v/>
      </c>
      <c r="V3931" s="27">
        <f>D3931*P3931</f>
        <v/>
      </c>
      <c r="W3931" s="27">
        <f>U3931-V3931</f>
        <v/>
      </c>
      <c r="X3931" s="28">
        <f>IFERROR(W3931/U3931,0)</f>
        <v/>
      </c>
    </row>
    <row r="3932">
      <c r="A3932" s="21">
        <f>ItensPedido!A3932</f>
        <v/>
      </c>
      <c r="B3932" s="21">
        <f>ItensPedido!B3932</f>
        <v/>
      </c>
      <c r="C3932" s="21">
        <f>ItensPedido!C3932</f>
        <v/>
      </c>
      <c r="D3932" s="21">
        <f>ItensPedido!D3932</f>
        <v/>
      </c>
      <c r="E3932" s="22">
        <f>ItensPedido!E3932</f>
        <v/>
      </c>
      <c r="F3932" s="21">
        <f>IFERROR(INDEX(Pedidos!$B$2:$B$1801,MATCH(B3932,Pedidos!$A$2:$A$1801,0)),0)</f>
        <v/>
      </c>
      <c r="G3932" s="21">
        <f>IF(F3932=0,"",YEAR(F3932))</f>
        <v/>
      </c>
      <c r="H3932" s="21">
        <f>IF(F3932=0,"",MONTH(F3932))</f>
        <v/>
      </c>
      <c r="I3932" s="21">
        <f>IFERROR(INDEX(Pedidos!$E$2:$E$1801,MATCH(B3932,Pedidos!$A$2:$A$1801,0)),"")</f>
        <v/>
      </c>
      <c r="J3932" s="21">
        <f>IFERROR(INDEX(Pedidos!$C$2:$C$1801,MATCH(B3932,Pedidos!$A$2:$A$1801,0)),"")</f>
        <v/>
      </c>
      <c r="K3932" s="21">
        <f>IFERROR(INDEX(Pedidos!$D$2:$D$1801,MATCH(B3932,Pedidos!$A$2:$A$1801,0)),"")</f>
        <v/>
      </c>
      <c r="L3932" s="21">
        <f>IFERROR(INDEX(Pedidos!$F$2:$F$1801,MATCH(B3932,Pedidos!$A$2:$A$1801,0)),"")</f>
        <v/>
      </c>
      <c r="M3932" s="22">
        <f>IFERROR(INDEX(Pedidos!$G$2:$G$1801,MATCH(B3932,Pedidos!$A$2:$A$1801,0)),0)</f>
        <v/>
      </c>
      <c r="N3932" s="21">
        <f>IFERROR(INDEX(Produtos!$B$2:$B$71,MATCH(C3932,Produtos!$A$2:$A$71,0)),"")</f>
        <v/>
      </c>
      <c r="O3932" s="21">
        <f>IFERROR(INDEX(Produtos!$C$2:$C$71,MATCH(C3932,Produtos!$A$2:$A$71,0)),"")</f>
        <v/>
      </c>
      <c r="P3932" s="21">
        <f>IFERROR(INDEX(Produtos!$D$2:$D$71,MATCH(C3932,Produtos!$A$2:$A$71,0)),0)</f>
        <v/>
      </c>
      <c r="Q3932" s="21">
        <f>IFERROR(INDEX(Produtos!$E$2:$E$71,MATCH(C3932,Produtos!$A$2:$A$71,0)),0)</f>
        <v/>
      </c>
      <c r="R3932" s="23">
        <f>D3932*Q3932</f>
        <v/>
      </c>
      <c r="S3932" s="23">
        <f>R3932*E3932</f>
        <v/>
      </c>
      <c r="T3932" s="23">
        <f>(R3932-S3932)*M3932</f>
        <v/>
      </c>
      <c r="U3932" s="23">
        <f>R3932-S3932-T3932</f>
        <v/>
      </c>
      <c r="V3932" s="23">
        <f>D3932*P3932</f>
        <v/>
      </c>
      <c r="W3932" s="23">
        <f>U3932-V3932</f>
        <v/>
      </c>
      <c r="X3932" s="24">
        <f>IFERROR(W3932/U3932,0)</f>
        <v/>
      </c>
    </row>
    <row r="3933">
      <c r="A3933" s="25">
        <f>ItensPedido!A3933</f>
        <v/>
      </c>
      <c r="B3933" s="25">
        <f>ItensPedido!B3933</f>
        <v/>
      </c>
      <c r="C3933" s="25">
        <f>ItensPedido!C3933</f>
        <v/>
      </c>
      <c r="D3933" s="25">
        <f>ItensPedido!D3933</f>
        <v/>
      </c>
      <c r="E3933" s="26">
        <f>ItensPedido!E3933</f>
        <v/>
      </c>
      <c r="F3933" s="25">
        <f>IFERROR(INDEX(Pedidos!$B$2:$B$1801,MATCH(B3933,Pedidos!$A$2:$A$1801,0)),0)</f>
        <v/>
      </c>
      <c r="G3933" s="25">
        <f>IF(F3933=0,"",YEAR(F3933))</f>
        <v/>
      </c>
      <c r="H3933" s="25">
        <f>IF(F3933=0,"",MONTH(F3933))</f>
        <v/>
      </c>
      <c r="I3933" s="25">
        <f>IFERROR(INDEX(Pedidos!$E$2:$E$1801,MATCH(B3933,Pedidos!$A$2:$A$1801,0)),"")</f>
        <v/>
      </c>
      <c r="J3933" s="25">
        <f>IFERROR(INDEX(Pedidos!$C$2:$C$1801,MATCH(B3933,Pedidos!$A$2:$A$1801,0)),"")</f>
        <v/>
      </c>
      <c r="K3933" s="25">
        <f>IFERROR(INDEX(Pedidos!$D$2:$D$1801,MATCH(B3933,Pedidos!$A$2:$A$1801,0)),"")</f>
        <v/>
      </c>
      <c r="L3933" s="25">
        <f>IFERROR(INDEX(Pedidos!$F$2:$F$1801,MATCH(B3933,Pedidos!$A$2:$A$1801,0)),"")</f>
        <v/>
      </c>
      <c r="M3933" s="26">
        <f>IFERROR(INDEX(Pedidos!$G$2:$G$1801,MATCH(B3933,Pedidos!$A$2:$A$1801,0)),0)</f>
        <v/>
      </c>
      <c r="N3933" s="25">
        <f>IFERROR(INDEX(Produtos!$B$2:$B$71,MATCH(C3933,Produtos!$A$2:$A$71,0)),"")</f>
        <v/>
      </c>
      <c r="O3933" s="25">
        <f>IFERROR(INDEX(Produtos!$C$2:$C$71,MATCH(C3933,Produtos!$A$2:$A$71,0)),"")</f>
        <v/>
      </c>
      <c r="P3933" s="25">
        <f>IFERROR(INDEX(Produtos!$D$2:$D$71,MATCH(C3933,Produtos!$A$2:$A$71,0)),0)</f>
        <v/>
      </c>
      <c r="Q3933" s="25">
        <f>IFERROR(INDEX(Produtos!$E$2:$E$71,MATCH(C3933,Produtos!$A$2:$A$71,0)),0)</f>
        <v/>
      </c>
      <c r="R3933" s="27">
        <f>D3933*Q3933</f>
        <v/>
      </c>
      <c r="S3933" s="27">
        <f>R3933*E3933</f>
        <v/>
      </c>
      <c r="T3933" s="27">
        <f>(R3933-S3933)*M3933</f>
        <v/>
      </c>
      <c r="U3933" s="27">
        <f>R3933-S3933-T3933</f>
        <v/>
      </c>
      <c r="V3933" s="27">
        <f>D3933*P3933</f>
        <v/>
      </c>
      <c r="W3933" s="27">
        <f>U3933-V3933</f>
        <v/>
      </c>
      <c r="X3933" s="28">
        <f>IFERROR(W3933/U3933,0)</f>
        <v/>
      </c>
    </row>
    <row r="3934">
      <c r="A3934" s="21">
        <f>ItensPedido!A3934</f>
        <v/>
      </c>
      <c r="B3934" s="21">
        <f>ItensPedido!B3934</f>
        <v/>
      </c>
      <c r="C3934" s="21">
        <f>ItensPedido!C3934</f>
        <v/>
      </c>
      <c r="D3934" s="21">
        <f>ItensPedido!D3934</f>
        <v/>
      </c>
      <c r="E3934" s="22">
        <f>ItensPedido!E3934</f>
        <v/>
      </c>
      <c r="F3934" s="21">
        <f>IFERROR(INDEX(Pedidos!$B$2:$B$1801,MATCH(B3934,Pedidos!$A$2:$A$1801,0)),0)</f>
        <v/>
      </c>
      <c r="G3934" s="21">
        <f>IF(F3934=0,"",YEAR(F3934))</f>
        <v/>
      </c>
      <c r="H3934" s="21">
        <f>IF(F3934=0,"",MONTH(F3934))</f>
        <v/>
      </c>
      <c r="I3934" s="21">
        <f>IFERROR(INDEX(Pedidos!$E$2:$E$1801,MATCH(B3934,Pedidos!$A$2:$A$1801,0)),"")</f>
        <v/>
      </c>
      <c r="J3934" s="21">
        <f>IFERROR(INDEX(Pedidos!$C$2:$C$1801,MATCH(B3934,Pedidos!$A$2:$A$1801,0)),"")</f>
        <v/>
      </c>
      <c r="K3934" s="21">
        <f>IFERROR(INDEX(Pedidos!$D$2:$D$1801,MATCH(B3934,Pedidos!$A$2:$A$1801,0)),"")</f>
        <v/>
      </c>
      <c r="L3934" s="21">
        <f>IFERROR(INDEX(Pedidos!$F$2:$F$1801,MATCH(B3934,Pedidos!$A$2:$A$1801,0)),"")</f>
        <v/>
      </c>
      <c r="M3934" s="22">
        <f>IFERROR(INDEX(Pedidos!$G$2:$G$1801,MATCH(B3934,Pedidos!$A$2:$A$1801,0)),0)</f>
        <v/>
      </c>
      <c r="N3934" s="21">
        <f>IFERROR(INDEX(Produtos!$B$2:$B$71,MATCH(C3934,Produtos!$A$2:$A$71,0)),"")</f>
        <v/>
      </c>
      <c r="O3934" s="21">
        <f>IFERROR(INDEX(Produtos!$C$2:$C$71,MATCH(C3934,Produtos!$A$2:$A$71,0)),"")</f>
        <v/>
      </c>
      <c r="P3934" s="21">
        <f>IFERROR(INDEX(Produtos!$D$2:$D$71,MATCH(C3934,Produtos!$A$2:$A$71,0)),0)</f>
        <v/>
      </c>
      <c r="Q3934" s="21">
        <f>IFERROR(INDEX(Produtos!$E$2:$E$71,MATCH(C3934,Produtos!$A$2:$A$71,0)),0)</f>
        <v/>
      </c>
      <c r="R3934" s="23">
        <f>D3934*Q3934</f>
        <v/>
      </c>
      <c r="S3934" s="23">
        <f>R3934*E3934</f>
        <v/>
      </c>
      <c r="T3934" s="23">
        <f>(R3934-S3934)*M3934</f>
        <v/>
      </c>
      <c r="U3934" s="23">
        <f>R3934-S3934-T3934</f>
        <v/>
      </c>
      <c r="V3934" s="23">
        <f>D3934*P3934</f>
        <v/>
      </c>
      <c r="W3934" s="23">
        <f>U3934-V3934</f>
        <v/>
      </c>
      <c r="X3934" s="24">
        <f>IFERROR(W3934/U3934,0)</f>
        <v/>
      </c>
    </row>
    <row r="3935">
      <c r="A3935" s="25">
        <f>ItensPedido!A3935</f>
        <v/>
      </c>
      <c r="B3935" s="25">
        <f>ItensPedido!B3935</f>
        <v/>
      </c>
      <c r="C3935" s="25">
        <f>ItensPedido!C3935</f>
        <v/>
      </c>
      <c r="D3935" s="25">
        <f>ItensPedido!D3935</f>
        <v/>
      </c>
      <c r="E3935" s="26">
        <f>ItensPedido!E3935</f>
        <v/>
      </c>
      <c r="F3935" s="25">
        <f>IFERROR(INDEX(Pedidos!$B$2:$B$1801,MATCH(B3935,Pedidos!$A$2:$A$1801,0)),0)</f>
        <v/>
      </c>
      <c r="G3935" s="25">
        <f>IF(F3935=0,"",YEAR(F3935))</f>
        <v/>
      </c>
      <c r="H3935" s="25">
        <f>IF(F3935=0,"",MONTH(F3935))</f>
        <v/>
      </c>
      <c r="I3935" s="25">
        <f>IFERROR(INDEX(Pedidos!$E$2:$E$1801,MATCH(B3935,Pedidos!$A$2:$A$1801,0)),"")</f>
        <v/>
      </c>
      <c r="J3935" s="25">
        <f>IFERROR(INDEX(Pedidos!$C$2:$C$1801,MATCH(B3935,Pedidos!$A$2:$A$1801,0)),"")</f>
        <v/>
      </c>
      <c r="K3935" s="25">
        <f>IFERROR(INDEX(Pedidos!$D$2:$D$1801,MATCH(B3935,Pedidos!$A$2:$A$1801,0)),"")</f>
        <v/>
      </c>
      <c r="L3935" s="25">
        <f>IFERROR(INDEX(Pedidos!$F$2:$F$1801,MATCH(B3935,Pedidos!$A$2:$A$1801,0)),"")</f>
        <v/>
      </c>
      <c r="M3935" s="26">
        <f>IFERROR(INDEX(Pedidos!$G$2:$G$1801,MATCH(B3935,Pedidos!$A$2:$A$1801,0)),0)</f>
        <v/>
      </c>
      <c r="N3935" s="25">
        <f>IFERROR(INDEX(Produtos!$B$2:$B$71,MATCH(C3935,Produtos!$A$2:$A$71,0)),"")</f>
        <v/>
      </c>
      <c r="O3935" s="25">
        <f>IFERROR(INDEX(Produtos!$C$2:$C$71,MATCH(C3935,Produtos!$A$2:$A$71,0)),"")</f>
        <v/>
      </c>
      <c r="P3935" s="25">
        <f>IFERROR(INDEX(Produtos!$D$2:$D$71,MATCH(C3935,Produtos!$A$2:$A$71,0)),0)</f>
        <v/>
      </c>
      <c r="Q3935" s="25">
        <f>IFERROR(INDEX(Produtos!$E$2:$E$71,MATCH(C3935,Produtos!$A$2:$A$71,0)),0)</f>
        <v/>
      </c>
      <c r="R3935" s="27">
        <f>D3935*Q3935</f>
        <v/>
      </c>
      <c r="S3935" s="27">
        <f>R3935*E3935</f>
        <v/>
      </c>
      <c r="T3935" s="27">
        <f>(R3935-S3935)*M3935</f>
        <v/>
      </c>
      <c r="U3935" s="27">
        <f>R3935-S3935-T3935</f>
        <v/>
      </c>
      <c r="V3935" s="27">
        <f>D3935*P3935</f>
        <v/>
      </c>
      <c r="W3935" s="27">
        <f>U3935-V3935</f>
        <v/>
      </c>
      <c r="X3935" s="28">
        <f>IFERROR(W3935/U3935,0)</f>
        <v/>
      </c>
    </row>
    <row r="3936">
      <c r="A3936" s="21">
        <f>ItensPedido!A3936</f>
        <v/>
      </c>
      <c r="B3936" s="21">
        <f>ItensPedido!B3936</f>
        <v/>
      </c>
      <c r="C3936" s="21">
        <f>ItensPedido!C3936</f>
        <v/>
      </c>
      <c r="D3936" s="21">
        <f>ItensPedido!D3936</f>
        <v/>
      </c>
      <c r="E3936" s="22">
        <f>ItensPedido!E3936</f>
        <v/>
      </c>
      <c r="F3936" s="21">
        <f>IFERROR(INDEX(Pedidos!$B$2:$B$1801,MATCH(B3936,Pedidos!$A$2:$A$1801,0)),0)</f>
        <v/>
      </c>
      <c r="G3936" s="21">
        <f>IF(F3936=0,"",YEAR(F3936))</f>
        <v/>
      </c>
      <c r="H3936" s="21">
        <f>IF(F3936=0,"",MONTH(F3936))</f>
        <v/>
      </c>
      <c r="I3936" s="21">
        <f>IFERROR(INDEX(Pedidos!$E$2:$E$1801,MATCH(B3936,Pedidos!$A$2:$A$1801,0)),"")</f>
        <v/>
      </c>
      <c r="J3936" s="21">
        <f>IFERROR(INDEX(Pedidos!$C$2:$C$1801,MATCH(B3936,Pedidos!$A$2:$A$1801,0)),"")</f>
        <v/>
      </c>
      <c r="K3936" s="21">
        <f>IFERROR(INDEX(Pedidos!$D$2:$D$1801,MATCH(B3936,Pedidos!$A$2:$A$1801,0)),"")</f>
        <v/>
      </c>
      <c r="L3936" s="21">
        <f>IFERROR(INDEX(Pedidos!$F$2:$F$1801,MATCH(B3936,Pedidos!$A$2:$A$1801,0)),"")</f>
        <v/>
      </c>
      <c r="M3936" s="22">
        <f>IFERROR(INDEX(Pedidos!$G$2:$G$1801,MATCH(B3936,Pedidos!$A$2:$A$1801,0)),0)</f>
        <v/>
      </c>
      <c r="N3936" s="21">
        <f>IFERROR(INDEX(Produtos!$B$2:$B$71,MATCH(C3936,Produtos!$A$2:$A$71,0)),"")</f>
        <v/>
      </c>
      <c r="O3936" s="21">
        <f>IFERROR(INDEX(Produtos!$C$2:$C$71,MATCH(C3936,Produtos!$A$2:$A$71,0)),"")</f>
        <v/>
      </c>
      <c r="P3936" s="21">
        <f>IFERROR(INDEX(Produtos!$D$2:$D$71,MATCH(C3936,Produtos!$A$2:$A$71,0)),0)</f>
        <v/>
      </c>
      <c r="Q3936" s="21">
        <f>IFERROR(INDEX(Produtos!$E$2:$E$71,MATCH(C3936,Produtos!$A$2:$A$71,0)),0)</f>
        <v/>
      </c>
      <c r="R3936" s="23">
        <f>D3936*Q3936</f>
        <v/>
      </c>
      <c r="S3936" s="23">
        <f>R3936*E3936</f>
        <v/>
      </c>
      <c r="T3936" s="23">
        <f>(R3936-S3936)*M3936</f>
        <v/>
      </c>
      <c r="U3936" s="23">
        <f>R3936-S3936-T3936</f>
        <v/>
      </c>
      <c r="V3936" s="23">
        <f>D3936*P3936</f>
        <v/>
      </c>
      <c r="W3936" s="23">
        <f>U3936-V3936</f>
        <v/>
      </c>
      <c r="X3936" s="24">
        <f>IFERROR(W3936/U3936,0)</f>
        <v/>
      </c>
    </row>
    <row r="3937">
      <c r="A3937" s="25">
        <f>ItensPedido!A3937</f>
        <v/>
      </c>
      <c r="B3937" s="25">
        <f>ItensPedido!B3937</f>
        <v/>
      </c>
      <c r="C3937" s="25">
        <f>ItensPedido!C3937</f>
        <v/>
      </c>
      <c r="D3937" s="25">
        <f>ItensPedido!D3937</f>
        <v/>
      </c>
      <c r="E3937" s="26">
        <f>ItensPedido!E3937</f>
        <v/>
      </c>
      <c r="F3937" s="25">
        <f>IFERROR(INDEX(Pedidos!$B$2:$B$1801,MATCH(B3937,Pedidos!$A$2:$A$1801,0)),0)</f>
        <v/>
      </c>
      <c r="G3937" s="25">
        <f>IF(F3937=0,"",YEAR(F3937))</f>
        <v/>
      </c>
      <c r="H3937" s="25">
        <f>IF(F3937=0,"",MONTH(F3937))</f>
        <v/>
      </c>
      <c r="I3937" s="25">
        <f>IFERROR(INDEX(Pedidos!$E$2:$E$1801,MATCH(B3937,Pedidos!$A$2:$A$1801,0)),"")</f>
        <v/>
      </c>
      <c r="J3937" s="25">
        <f>IFERROR(INDEX(Pedidos!$C$2:$C$1801,MATCH(B3937,Pedidos!$A$2:$A$1801,0)),"")</f>
        <v/>
      </c>
      <c r="K3937" s="25">
        <f>IFERROR(INDEX(Pedidos!$D$2:$D$1801,MATCH(B3937,Pedidos!$A$2:$A$1801,0)),"")</f>
        <v/>
      </c>
      <c r="L3937" s="25">
        <f>IFERROR(INDEX(Pedidos!$F$2:$F$1801,MATCH(B3937,Pedidos!$A$2:$A$1801,0)),"")</f>
        <v/>
      </c>
      <c r="M3937" s="26">
        <f>IFERROR(INDEX(Pedidos!$G$2:$G$1801,MATCH(B3937,Pedidos!$A$2:$A$1801,0)),0)</f>
        <v/>
      </c>
      <c r="N3937" s="25">
        <f>IFERROR(INDEX(Produtos!$B$2:$B$71,MATCH(C3937,Produtos!$A$2:$A$71,0)),"")</f>
        <v/>
      </c>
      <c r="O3937" s="25">
        <f>IFERROR(INDEX(Produtos!$C$2:$C$71,MATCH(C3937,Produtos!$A$2:$A$71,0)),"")</f>
        <v/>
      </c>
      <c r="P3937" s="25">
        <f>IFERROR(INDEX(Produtos!$D$2:$D$71,MATCH(C3937,Produtos!$A$2:$A$71,0)),0)</f>
        <v/>
      </c>
      <c r="Q3937" s="25">
        <f>IFERROR(INDEX(Produtos!$E$2:$E$71,MATCH(C3937,Produtos!$A$2:$A$71,0)),0)</f>
        <v/>
      </c>
      <c r="R3937" s="27">
        <f>D3937*Q3937</f>
        <v/>
      </c>
      <c r="S3937" s="27">
        <f>R3937*E3937</f>
        <v/>
      </c>
      <c r="T3937" s="27">
        <f>(R3937-S3937)*M3937</f>
        <v/>
      </c>
      <c r="U3937" s="27">
        <f>R3937-S3937-T3937</f>
        <v/>
      </c>
      <c r="V3937" s="27">
        <f>D3937*P3937</f>
        <v/>
      </c>
      <c r="W3937" s="27">
        <f>U3937-V3937</f>
        <v/>
      </c>
      <c r="X3937" s="28">
        <f>IFERROR(W3937/U3937,0)</f>
        <v/>
      </c>
    </row>
    <row r="3938">
      <c r="A3938" s="21">
        <f>ItensPedido!A3938</f>
        <v/>
      </c>
      <c r="B3938" s="21">
        <f>ItensPedido!B3938</f>
        <v/>
      </c>
      <c r="C3938" s="21">
        <f>ItensPedido!C3938</f>
        <v/>
      </c>
      <c r="D3938" s="21">
        <f>ItensPedido!D3938</f>
        <v/>
      </c>
      <c r="E3938" s="22">
        <f>ItensPedido!E3938</f>
        <v/>
      </c>
      <c r="F3938" s="21">
        <f>IFERROR(INDEX(Pedidos!$B$2:$B$1801,MATCH(B3938,Pedidos!$A$2:$A$1801,0)),0)</f>
        <v/>
      </c>
      <c r="G3938" s="21">
        <f>IF(F3938=0,"",YEAR(F3938))</f>
        <v/>
      </c>
      <c r="H3938" s="21">
        <f>IF(F3938=0,"",MONTH(F3938))</f>
        <v/>
      </c>
      <c r="I3938" s="21">
        <f>IFERROR(INDEX(Pedidos!$E$2:$E$1801,MATCH(B3938,Pedidos!$A$2:$A$1801,0)),"")</f>
        <v/>
      </c>
      <c r="J3938" s="21">
        <f>IFERROR(INDEX(Pedidos!$C$2:$C$1801,MATCH(B3938,Pedidos!$A$2:$A$1801,0)),"")</f>
        <v/>
      </c>
      <c r="K3938" s="21">
        <f>IFERROR(INDEX(Pedidos!$D$2:$D$1801,MATCH(B3938,Pedidos!$A$2:$A$1801,0)),"")</f>
        <v/>
      </c>
      <c r="L3938" s="21">
        <f>IFERROR(INDEX(Pedidos!$F$2:$F$1801,MATCH(B3938,Pedidos!$A$2:$A$1801,0)),"")</f>
        <v/>
      </c>
      <c r="M3938" s="22">
        <f>IFERROR(INDEX(Pedidos!$G$2:$G$1801,MATCH(B3938,Pedidos!$A$2:$A$1801,0)),0)</f>
        <v/>
      </c>
      <c r="N3938" s="21">
        <f>IFERROR(INDEX(Produtos!$B$2:$B$71,MATCH(C3938,Produtos!$A$2:$A$71,0)),"")</f>
        <v/>
      </c>
      <c r="O3938" s="21">
        <f>IFERROR(INDEX(Produtos!$C$2:$C$71,MATCH(C3938,Produtos!$A$2:$A$71,0)),"")</f>
        <v/>
      </c>
      <c r="P3938" s="21">
        <f>IFERROR(INDEX(Produtos!$D$2:$D$71,MATCH(C3938,Produtos!$A$2:$A$71,0)),0)</f>
        <v/>
      </c>
      <c r="Q3938" s="21">
        <f>IFERROR(INDEX(Produtos!$E$2:$E$71,MATCH(C3938,Produtos!$A$2:$A$71,0)),0)</f>
        <v/>
      </c>
      <c r="R3938" s="23">
        <f>D3938*Q3938</f>
        <v/>
      </c>
      <c r="S3938" s="23">
        <f>R3938*E3938</f>
        <v/>
      </c>
      <c r="T3938" s="23">
        <f>(R3938-S3938)*M3938</f>
        <v/>
      </c>
      <c r="U3938" s="23">
        <f>R3938-S3938-T3938</f>
        <v/>
      </c>
      <c r="V3938" s="23">
        <f>D3938*P3938</f>
        <v/>
      </c>
      <c r="W3938" s="23">
        <f>U3938-V3938</f>
        <v/>
      </c>
      <c r="X3938" s="24">
        <f>IFERROR(W3938/U3938,0)</f>
        <v/>
      </c>
    </row>
    <row r="3939">
      <c r="A3939" s="25">
        <f>ItensPedido!A3939</f>
        <v/>
      </c>
      <c r="B3939" s="25">
        <f>ItensPedido!B3939</f>
        <v/>
      </c>
      <c r="C3939" s="25">
        <f>ItensPedido!C3939</f>
        <v/>
      </c>
      <c r="D3939" s="25">
        <f>ItensPedido!D3939</f>
        <v/>
      </c>
      <c r="E3939" s="26">
        <f>ItensPedido!E3939</f>
        <v/>
      </c>
      <c r="F3939" s="25">
        <f>IFERROR(INDEX(Pedidos!$B$2:$B$1801,MATCH(B3939,Pedidos!$A$2:$A$1801,0)),0)</f>
        <v/>
      </c>
      <c r="G3939" s="25">
        <f>IF(F3939=0,"",YEAR(F3939))</f>
        <v/>
      </c>
      <c r="H3939" s="25">
        <f>IF(F3939=0,"",MONTH(F3939))</f>
        <v/>
      </c>
      <c r="I3939" s="25">
        <f>IFERROR(INDEX(Pedidos!$E$2:$E$1801,MATCH(B3939,Pedidos!$A$2:$A$1801,0)),"")</f>
        <v/>
      </c>
      <c r="J3939" s="25">
        <f>IFERROR(INDEX(Pedidos!$C$2:$C$1801,MATCH(B3939,Pedidos!$A$2:$A$1801,0)),"")</f>
        <v/>
      </c>
      <c r="K3939" s="25">
        <f>IFERROR(INDEX(Pedidos!$D$2:$D$1801,MATCH(B3939,Pedidos!$A$2:$A$1801,0)),"")</f>
        <v/>
      </c>
      <c r="L3939" s="25">
        <f>IFERROR(INDEX(Pedidos!$F$2:$F$1801,MATCH(B3939,Pedidos!$A$2:$A$1801,0)),"")</f>
        <v/>
      </c>
      <c r="M3939" s="26">
        <f>IFERROR(INDEX(Pedidos!$G$2:$G$1801,MATCH(B3939,Pedidos!$A$2:$A$1801,0)),0)</f>
        <v/>
      </c>
      <c r="N3939" s="25">
        <f>IFERROR(INDEX(Produtos!$B$2:$B$71,MATCH(C3939,Produtos!$A$2:$A$71,0)),"")</f>
        <v/>
      </c>
      <c r="O3939" s="25">
        <f>IFERROR(INDEX(Produtos!$C$2:$C$71,MATCH(C3939,Produtos!$A$2:$A$71,0)),"")</f>
        <v/>
      </c>
      <c r="P3939" s="25">
        <f>IFERROR(INDEX(Produtos!$D$2:$D$71,MATCH(C3939,Produtos!$A$2:$A$71,0)),0)</f>
        <v/>
      </c>
      <c r="Q3939" s="25">
        <f>IFERROR(INDEX(Produtos!$E$2:$E$71,MATCH(C3939,Produtos!$A$2:$A$71,0)),0)</f>
        <v/>
      </c>
      <c r="R3939" s="27">
        <f>D3939*Q3939</f>
        <v/>
      </c>
      <c r="S3939" s="27">
        <f>R3939*E3939</f>
        <v/>
      </c>
      <c r="T3939" s="27">
        <f>(R3939-S3939)*M3939</f>
        <v/>
      </c>
      <c r="U3939" s="27">
        <f>R3939-S3939-T3939</f>
        <v/>
      </c>
      <c r="V3939" s="27">
        <f>D3939*P3939</f>
        <v/>
      </c>
      <c r="W3939" s="27">
        <f>U3939-V3939</f>
        <v/>
      </c>
      <c r="X3939" s="28">
        <f>IFERROR(W3939/U3939,0)</f>
        <v/>
      </c>
    </row>
    <row r="3940">
      <c r="A3940" s="21">
        <f>ItensPedido!A3940</f>
        <v/>
      </c>
      <c r="B3940" s="21">
        <f>ItensPedido!B3940</f>
        <v/>
      </c>
      <c r="C3940" s="21">
        <f>ItensPedido!C3940</f>
        <v/>
      </c>
      <c r="D3940" s="21">
        <f>ItensPedido!D3940</f>
        <v/>
      </c>
      <c r="E3940" s="22">
        <f>ItensPedido!E3940</f>
        <v/>
      </c>
      <c r="F3940" s="21">
        <f>IFERROR(INDEX(Pedidos!$B$2:$B$1801,MATCH(B3940,Pedidos!$A$2:$A$1801,0)),0)</f>
        <v/>
      </c>
      <c r="G3940" s="21">
        <f>IF(F3940=0,"",YEAR(F3940))</f>
        <v/>
      </c>
      <c r="H3940" s="21">
        <f>IF(F3940=0,"",MONTH(F3940))</f>
        <v/>
      </c>
      <c r="I3940" s="21">
        <f>IFERROR(INDEX(Pedidos!$E$2:$E$1801,MATCH(B3940,Pedidos!$A$2:$A$1801,0)),"")</f>
        <v/>
      </c>
      <c r="J3940" s="21">
        <f>IFERROR(INDEX(Pedidos!$C$2:$C$1801,MATCH(B3940,Pedidos!$A$2:$A$1801,0)),"")</f>
        <v/>
      </c>
      <c r="K3940" s="21">
        <f>IFERROR(INDEX(Pedidos!$D$2:$D$1801,MATCH(B3940,Pedidos!$A$2:$A$1801,0)),"")</f>
        <v/>
      </c>
      <c r="L3940" s="21">
        <f>IFERROR(INDEX(Pedidos!$F$2:$F$1801,MATCH(B3940,Pedidos!$A$2:$A$1801,0)),"")</f>
        <v/>
      </c>
      <c r="M3940" s="22">
        <f>IFERROR(INDEX(Pedidos!$G$2:$G$1801,MATCH(B3940,Pedidos!$A$2:$A$1801,0)),0)</f>
        <v/>
      </c>
      <c r="N3940" s="21">
        <f>IFERROR(INDEX(Produtos!$B$2:$B$71,MATCH(C3940,Produtos!$A$2:$A$71,0)),"")</f>
        <v/>
      </c>
      <c r="O3940" s="21">
        <f>IFERROR(INDEX(Produtos!$C$2:$C$71,MATCH(C3940,Produtos!$A$2:$A$71,0)),"")</f>
        <v/>
      </c>
      <c r="P3940" s="21">
        <f>IFERROR(INDEX(Produtos!$D$2:$D$71,MATCH(C3940,Produtos!$A$2:$A$71,0)),0)</f>
        <v/>
      </c>
      <c r="Q3940" s="21">
        <f>IFERROR(INDEX(Produtos!$E$2:$E$71,MATCH(C3940,Produtos!$A$2:$A$71,0)),0)</f>
        <v/>
      </c>
      <c r="R3940" s="23">
        <f>D3940*Q3940</f>
        <v/>
      </c>
      <c r="S3940" s="23">
        <f>R3940*E3940</f>
        <v/>
      </c>
      <c r="T3940" s="23">
        <f>(R3940-S3940)*M3940</f>
        <v/>
      </c>
      <c r="U3940" s="23">
        <f>R3940-S3940-T3940</f>
        <v/>
      </c>
      <c r="V3940" s="23">
        <f>D3940*P3940</f>
        <v/>
      </c>
      <c r="W3940" s="23">
        <f>U3940-V3940</f>
        <v/>
      </c>
      <c r="X3940" s="24">
        <f>IFERROR(W3940/U3940,0)</f>
        <v/>
      </c>
    </row>
    <row r="3941">
      <c r="A3941" s="25">
        <f>ItensPedido!A3941</f>
        <v/>
      </c>
      <c r="B3941" s="25">
        <f>ItensPedido!B3941</f>
        <v/>
      </c>
      <c r="C3941" s="25">
        <f>ItensPedido!C3941</f>
        <v/>
      </c>
      <c r="D3941" s="25">
        <f>ItensPedido!D3941</f>
        <v/>
      </c>
      <c r="E3941" s="26">
        <f>ItensPedido!E3941</f>
        <v/>
      </c>
      <c r="F3941" s="25">
        <f>IFERROR(INDEX(Pedidos!$B$2:$B$1801,MATCH(B3941,Pedidos!$A$2:$A$1801,0)),0)</f>
        <v/>
      </c>
      <c r="G3941" s="25">
        <f>IF(F3941=0,"",YEAR(F3941))</f>
        <v/>
      </c>
      <c r="H3941" s="25">
        <f>IF(F3941=0,"",MONTH(F3941))</f>
        <v/>
      </c>
      <c r="I3941" s="25">
        <f>IFERROR(INDEX(Pedidos!$E$2:$E$1801,MATCH(B3941,Pedidos!$A$2:$A$1801,0)),"")</f>
        <v/>
      </c>
      <c r="J3941" s="25">
        <f>IFERROR(INDEX(Pedidos!$C$2:$C$1801,MATCH(B3941,Pedidos!$A$2:$A$1801,0)),"")</f>
        <v/>
      </c>
      <c r="K3941" s="25">
        <f>IFERROR(INDEX(Pedidos!$D$2:$D$1801,MATCH(B3941,Pedidos!$A$2:$A$1801,0)),"")</f>
        <v/>
      </c>
      <c r="L3941" s="25">
        <f>IFERROR(INDEX(Pedidos!$F$2:$F$1801,MATCH(B3941,Pedidos!$A$2:$A$1801,0)),"")</f>
        <v/>
      </c>
      <c r="M3941" s="26">
        <f>IFERROR(INDEX(Pedidos!$G$2:$G$1801,MATCH(B3941,Pedidos!$A$2:$A$1801,0)),0)</f>
        <v/>
      </c>
      <c r="N3941" s="25">
        <f>IFERROR(INDEX(Produtos!$B$2:$B$71,MATCH(C3941,Produtos!$A$2:$A$71,0)),"")</f>
        <v/>
      </c>
      <c r="O3941" s="25">
        <f>IFERROR(INDEX(Produtos!$C$2:$C$71,MATCH(C3941,Produtos!$A$2:$A$71,0)),"")</f>
        <v/>
      </c>
      <c r="P3941" s="25">
        <f>IFERROR(INDEX(Produtos!$D$2:$D$71,MATCH(C3941,Produtos!$A$2:$A$71,0)),0)</f>
        <v/>
      </c>
      <c r="Q3941" s="25">
        <f>IFERROR(INDEX(Produtos!$E$2:$E$71,MATCH(C3941,Produtos!$A$2:$A$71,0)),0)</f>
        <v/>
      </c>
      <c r="R3941" s="27">
        <f>D3941*Q3941</f>
        <v/>
      </c>
      <c r="S3941" s="27">
        <f>R3941*E3941</f>
        <v/>
      </c>
      <c r="T3941" s="27">
        <f>(R3941-S3941)*M3941</f>
        <v/>
      </c>
      <c r="U3941" s="27">
        <f>R3941-S3941-T3941</f>
        <v/>
      </c>
      <c r="V3941" s="27">
        <f>D3941*P3941</f>
        <v/>
      </c>
      <c r="W3941" s="27">
        <f>U3941-V3941</f>
        <v/>
      </c>
      <c r="X3941" s="28">
        <f>IFERROR(W3941/U3941,0)</f>
        <v/>
      </c>
    </row>
    <row r="3942">
      <c r="A3942" s="21">
        <f>ItensPedido!A3942</f>
        <v/>
      </c>
      <c r="B3942" s="21">
        <f>ItensPedido!B3942</f>
        <v/>
      </c>
      <c r="C3942" s="21">
        <f>ItensPedido!C3942</f>
        <v/>
      </c>
      <c r="D3942" s="21">
        <f>ItensPedido!D3942</f>
        <v/>
      </c>
      <c r="E3942" s="22">
        <f>ItensPedido!E3942</f>
        <v/>
      </c>
      <c r="F3942" s="21">
        <f>IFERROR(INDEX(Pedidos!$B$2:$B$1801,MATCH(B3942,Pedidos!$A$2:$A$1801,0)),0)</f>
        <v/>
      </c>
      <c r="G3942" s="21">
        <f>IF(F3942=0,"",YEAR(F3942))</f>
        <v/>
      </c>
      <c r="H3942" s="21">
        <f>IF(F3942=0,"",MONTH(F3942))</f>
        <v/>
      </c>
      <c r="I3942" s="21">
        <f>IFERROR(INDEX(Pedidos!$E$2:$E$1801,MATCH(B3942,Pedidos!$A$2:$A$1801,0)),"")</f>
        <v/>
      </c>
      <c r="J3942" s="21">
        <f>IFERROR(INDEX(Pedidos!$C$2:$C$1801,MATCH(B3942,Pedidos!$A$2:$A$1801,0)),"")</f>
        <v/>
      </c>
      <c r="K3942" s="21">
        <f>IFERROR(INDEX(Pedidos!$D$2:$D$1801,MATCH(B3942,Pedidos!$A$2:$A$1801,0)),"")</f>
        <v/>
      </c>
      <c r="L3942" s="21">
        <f>IFERROR(INDEX(Pedidos!$F$2:$F$1801,MATCH(B3942,Pedidos!$A$2:$A$1801,0)),"")</f>
        <v/>
      </c>
      <c r="M3942" s="22">
        <f>IFERROR(INDEX(Pedidos!$G$2:$G$1801,MATCH(B3942,Pedidos!$A$2:$A$1801,0)),0)</f>
        <v/>
      </c>
      <c r="N3942" s="21">
        <f>IFERROR(INDEX(Produtos!$B$2:$B$71,MATCH(C3942,Produtos!$A$2:$A$71,0)),"")</f>
        <v/>
      </c>
      <c r="O3942" s="21">
        <f>IFERROR(INDEX(Produtos!$C$2:$C$71,MATCH(C3942,Produtos!$A$2:$A$71,0)),"")</f>
        <v/>
      </c>
      <c r="P3942" s="21">
        <f>IFERROR(INDEX(Produtos!$D$2:$D$71,MATCH(C3942,Produtos!$A$2:$A$71,0)),0)</f>
        <v/>
      </c>
      <c r="Q3942" s="21">
        <f>IFERROR(INDEX(Produtos!$E$2:$E$71,MATCH(C3942,Produtos!$A$2:$A$71,0)),0)</f>
        <v/>
      </c>
      <c r="R3942" s="23">
        <f>D3942*Q3942</f>
        <v/>
      </c>
      <c r="S3942" s="23">
        <f>R3942*E3942</f>
        <v/>
      </c>
      <c r="T3942" s="23">
        <f>(R3942-S3942)*M3942</f>
        <v/>
      </c>
      <c r="U3942" s="23">
        <f>R3942-S3942-T3942</f>
        <v/>
      </c>
      <c r="V3942" s="23">
        <f>D3942*P3942</f>
        <v/>
      </c>
      <c r="W3942" s="23">
        <f>U3942-V3942</f>
        <v/>
      </c>
      <c r="X3942" s="24">
        <f>IFERROR(W3942/U3942,0)</f>
        <v/>
      </c>
    </row>
    <row r="3943">
      <c r="A3943" s="25">
        <f>ItensPedido!A3943</f>
        <v/>
      </c>
      <c r="B3943" s="25">
        <f>ItensPedido!B3943</f>
        <v/>
      </c>
      <c r="C3943" s="25">
        <f>ItensPedido!C3943</f>
        <v/>
      </c>
      <c r="D3943" s="25">
        <f>ItensPedido!D3943</f>
        <v/>
      </c>
      <c r="E3943" s="26">
        <f>ItensPedido!E3943</f>
        <v/>
      </c>
      <c r="F3943" s="25">
        <f>IFERROR(INDEX(Pedidos!$B$2:$B$1801,MATCH(B3943,Pedidos!$A$2:$A$1801,0)),0)</f>
        <v/>
      </c>
      <c r="G3943" s="25">
        <f>IF(F3943=0,"",YEAR(F3943))</f>
        <v/>
      </c>
      <c r="H3943" s="25">
        <f>IF(F3943=0,"",MONTH(F3943))</f>
        <v/>
      </c>
      <c r="I3943" s="25">
        <f>IFERROR(INDEX(Pedidos!$E$2:$E$1801,MATCH(B3943,Pedidos!$A$2:$A$1801,0)),"")</f>
        <v/>
      </c>
      <c r="J3943" s="25">
        <f>IFERROR(INDEX(Pedidos!$C$2:$C$1801,MATCH(B3943,Pedidos!$A$2:$A$1801,0)),"")</f>
        <v/>
      </c>
      <c r="K3943" s="25">
        <f>IFERROR(INDEX(Pedidos!$D$2:$D$1801,MATCH(B3943,Pedidos!$A$2:$A$1801,0)),"")</f>
        <v/>
      </c>
      <c r="L3943" s="25">
        <f>IFERROR(INDEX(Pedidos!$F$2:$F$1801,MATCH(B3943,Pedidos!$A$2:$A$1801,0)),"")</f>
        <v/>
      </c>
      <c r="M3943" s="26">
        <f>IFERROR(INDEX(Pedidos!$G$2:$G$1801,MATCH(B3943,Pedidos!$A$2:$A$1801,0)),0)</f>
        <v/>
      </c>
      <c r="N3943" s="25">
        <f>IFERROR(INDEX(Produtos!$B$2:$B$71,MATCH(C3943,Produtos!$A$2:$A$71,0)),"")</f>
        <v/>
      </c>
      <c r="O3943" s="25">
        <f>IFERROR(INDEX(Produtos!$C$2:$C$71,MATCH(C3943,Produtos!$A$2:$A$71,0)),"")</f>
        <v/>
      </c>
      <c r="P3943" s="25">
        <f>IFERROR(INDEX(Produtos!$D$2:$D$71,MATCH(C3943,Produtos!$A$2:$A$71,0)),0)</f>
        <v/>
      </c>
      <c r="Q3943" s="25">
        <f>IFERROR(INDEX(Produtos!$E$2:$E$71,MATCH(C3943,Produtos!$A$2:$A$71,0)),0)</f>
        <v/>
      </c>
      <c r="R3943" s="27">
        <f>D3943*Q3943</f>
        <v/>
      </c>
      <c r="S3943" s="27">
        <f>R3943*E3943</f>
        <v/>
      </c>
      <c r="T3943" s="27">
        <f>(R3943-S3943)*M3943</f>
        <v/>
      </c>
      <c r="U3943" s="27">
        <f>R3943-S3943-T3943</f>
        <v/>
      </c>
      <c r="V3943" s="27">
        <f>D3943*P3943</f>
        <v/>
      </c>
      <c r="W3943" s="27">
        <f>U3943-V3943</f>
        <v/>
      </c>
      <c r="X3943" s="28">
        <f>IFERROR(W3943/U3943,0)</f>
        <v/>
      </c>
    </row>
    <row r="3944">
      <c r="A3944" s="21">
        <f>ItensPedido!A3944</f>
        <v/>
      </c>
      <c r="B3944" s="21">
        <f>ItensPedido!B3944</f>
        <v/>
      </c>
      <c r="C3944" s="21">
        <f>ItensPedido!C3944</f>
        <v/>
      </c>
      <c r="D3944" s="21">
        <f>ItensPedido!D3944</f>
        <v/>
      </c>
      <c r="E3944" s="22">
        <f>ItensPedido!E3944</f>
        <v/>
      </c>
      <c r="F3944" s="21">
        <f>IFERROR(INDEX(Pedidos!$B$2:$B$1801,MATCH(B3944,Pedidos!$A$2:$A$1801,0)),0)</f>
        <v/>
      </c>
      <c r="G3944" s="21">
        <f>IF(F3944=0,"",YEAR(F3944))</f>
        <v/>
      </c>
      <c r="H3944" s="21">
        <f>IF(F3944=0,"",MONTH(F3944))</f>
        <v/>
      </c>
      <c r="I3944" s="21">
        <f>IFERROR(INDEX(Pedidos!$E$2:$E$1801,MATCH(B3944,Pedidos!$A$2:$A$1801,0)),"")</f>
        <v/>
      </c>
      <c r="J3944" s="21">
        <f>IFERROR(INDEX(Pedidos!$C$2:$C$1801,MATCH(B3944,Pedidos!$A$2:$A$1801,0)),"")</f>
        <v/>
      </c>
      <c r="K3944" s="21">
        <f>IFERROR(INDEX(Pedidos!$D$2:$D$1801,MATCH(B3944,Pedidos!$A$2:$A$1801,0)),"")</f>
        <v/>
      </c>
      <c r="L3944" s="21">
        <f>IFERROR(INDEX(Pedidos!$F$2:$F$1801,MATCH(B3944,Pedidos!$A$2:$A$1801,0)),"")</f>
        <v/>
      </c>
      <c r="M3944" s="22">
        <f>IFERROR(INDEX(Pedidos!$G$2:$G$1801,MATCH(B3944,Pedidos!$A$2:$A$1801,0)),0)</f>
        <v/>
      </c>
      <c r="N3944" s="21">
        <f>IFERROR(INDEX(Produtos!$B$2:$B$71,MATCH(C3944,Produtos!$A$2:$A$71,0)),"")</f>
        <v/>
      </c>
      <c r="O3944" s="21">
        <f>IFERROR(INDEX(Produtos!$C$2:$C$71,MATCH(C3944,Produtos!$A$2:$A$71,0)),"")</f>
        <v/>
      </c>
      <c r="P3944" s="21">
        <f>IFERROR(INDEX(Produtos!$D$2:$D$71,MATCH(C3944,Produtos!$A$2:$A$71,0)),0)</f>
        <v/>
      </c>
      <c r="Q3944" s="21">
        <f>IFERROR(INDEX(Produtos!$E$2:$E$71,MATCH(C3944,Produtos!$A$2:$A$71,0)),0)</f>
        <v/>
      </c>
      <c r="R3944" s="23">
        <f>D3944*Q3944</f>
        <v/>
      </c>
      <c r="S3944" s="23">
        <f>R3944*E3944</f>
        <v/>
      </c>
      <c r="T3944" s="23">
        <f>(R3944-S3944)*M3944</f>
        <v/>
      </c>
      <c r="U3944" s="23">
        <f>R3944-S3944-T3944</f>
        <v/>
      </c>
      <c r="V3944" s="23">
        <f>D3944*P3944</f>
        <v/>
      </c>
      <c r="W3944" s="23">
        <f>U3944-V3944</f>
        <v/>
      </c>
      <c r="X3944" s="24">
        <f>IFERROR(W3944/U3944,0)</f>
        <v/>
      </c>
    </row>
    <row r="3945">
      <c r="A3945" s="25">
        <f>ItensPedido!A3945</f>
        <v/>
      </c>
      <c r="B3945" s="25">
        <f>ItensPedido!B3945</f>
        <v/>
      </c>
      <c r="C3945" s="25">
        <f>ItensPedido!C3945</f>
        <v/>
      </c>
      <c r="D3945" s="25">
        <f>ItensPedido!D3945</f>
        <v/>
      </c>
      <c r="E3945" s="26">
        <f>ItensPedido!E3945</f>
        <v/>
      </c>
      <c r="F3945" s="25">
        <f>IFERROR(INDEX(Pedidos!$B$2:$B$1801,MATCH(B3945,Pedidos!$A$2:$A$1801,0)),0)</f>
        <v/>
      </c>
      <c r="G3945" s="25">
        <f>IF(F3945=0,"",YEAR(F3945))</f>
        <v/>
      </c>
      <c r="H3945" s="25">
        <f>IF(F3945=0,"",MONTH(F3945))</f>
        <v/>
      </c>
      <c r="I3945" s="25">
        <f>IFERROR(INDEX(Pedidos!$E$2:$E$1801,MATCH(B3945,Pedidos!$A$2:$A$1801,0)),"")</f>
        <v/>
      </c>
      <c r="J3945" s="25">
        <f>IFERROR(INDEX(Pedidos!$C$2:$C$1801,MATCH(B3945,Pedidos!$A$2:$A$1801,0)),"")</f>
        <v/>
      </c>
      <c r="K3945" s="25">
        <f>IFERROR(INDEX(Pedidos!$D$2:$D$1801,MATCH(B3945,Pedidos!$A$2:$A$1801,0)),"")</f>
        <v/>
      </c>
      <c r="L3945" s="25">
        <f>IFERROR(INDEX(Pedidos!$F$2:$F$1801,MATCH(B3945,Pedidos!$A$2:$A$1801,0)),"")</f>
        <v/>
      </c>
      <c r="M3945" s="26">
        <f>IFERROR(INDEX(Pedidos!$G$2:$G$1801,MATCH(B3945,Pedidos!$A$2:$A$1801,0)),0)</f>
        <v/>
      </c>
      <c r="N3945" s="25">
        <f>IFERROR(INDEX(Produtos!$B$2:$B$71,MATCH(C3945,Produtos!$A$2:$A$71,0)),"")</f>
        <v/>
      </c>
      <c r="O3945" s="25">
        <f>IFERROR(INDEX(Produtos!$C$2:$C$71,MATCH(C3945,Produtos!$A$2:$A$71,0)),"")</f>
        <v/>
      </c>
      <c r="P3945" s="25">
        <f>IFERROR(INDEX(Produtos!$D$2:$D$71,MATCH(C3945,Produtos!$A$2:$A$71,0)),0)</f>
        <v/>
      </c>
      <c r="Q3945" s="25">
        <f>IFERROR(INDEX(Produtos!$E$2:$E$71,MATCH(C3945,Produtos!$A$2:$A$71,0)),0)</f>
        <v/>
      </c>
      <c r="R3945" s="27">
        <f>D3945*Q3945</f>
        <v/>
      </c>
      <c r="S3945" s="27">
        <f>R3945*E3945</f>
        <v/>
      </c>
      <c r="T3945" s="27">
        <f>(R3945-S3945)*M3945</f>
        <v/>
      </c>
      <c r="U3945" s="27">
        <f>R3945-S3945-T3945</f>
        <v/>
      </c>
      <c r="V3945" s="27">
        <f>D3945*P3945</f>
        <v/>
      </c>
      <c r="W3945" s="27">
        <f>U3945-V3945</f>
        <v/>
      </c>
      <c r="X3945" s="28">
        <f>IFERROR(W3945/U3945,0)</f>
        <v/>
      </c>
    </row>
    <row r="3946">
      <c r="A3946" s="21">
        <f>ItensPedido!A3946</f>
        <v/>
      </c>
      <c r="B3946" s="21">
        <f>ItensPedido!B3946</f>
        <v/>
      </c>
      <c r="C3946" s="21">
        <f>ItensPedido!C3946</f>
        <v/>
      </c>
      <c r="D3946" s="21">
        <f>ItensPedido!D3946</f>
        <v/>
      </c>
      <c r="E3946" s="22">
        <f>ItensPedido!E3946</f>
        <v/>
      </c>
      <c r="F3946" s="21">
        <f>IFERROR(INDEX(Pedidos!$B$2:$B$1801,MATCH(B3946,Pedidos!$A$2:$A$1801,0)),0)</f>
        <v/>
      </c>
      <c r="G3946" s="21">
        <f>IF(F3946=0,"",YEAR(F3946))</f>
        <v/>
      </c>
      <c r="H3946" s="21">
        <f>IF(F3946=0,"",MONTH(F3946))</f>
        <v/>
      </c>
      <c r="I3946" s="21">
        <f>IFERROR(INDEX(Pedidos!$E$2:$E$1801,MATCH(B3946,Pedidos!$A$2:$A$1801,0)),"")</f>
        <v/>
      </c>
      <c r="J3946" s="21">
        <f>IFERROR(INDEX(Pedidos!$C$2:$C$1801,MATCH(B3946,Pedidos!$A$2:$A$1801,0)),"")</f>
        <v/>
      </c>
      <c r="K3946" s="21">
        <f>IFERROR(INDEX(Pedidos!$D$2:$D$1801,MATCH(B3946,Pedidos!$A$2:$A$1801,0)),"")</f>
        <v/>
      </c>
      <c r="L3946" s="21">
        <f>IFERROR(INDEX(Pedidos!$F$2:$F$1801,MATCH(B3946,Pedidos!$A$2:$A$1801,0)),"")</f>
        <v/>
      </c>
      <c r="M3946" s="22">
        <f>IFERROR(INDEX(Pedidos!$G$2:$G$1801,MATCH(B3946,Pedidos!$A$2:$A$1801,0)),0)</f>
        <v/>
      </c>
      <c r="N3946" s="21">
        <f>IFERROR(INDEX(Produtos!$B$2:$B$71,MATCH(C3946,Produtos!$A$2:$A$71,0)),"")</f>
        <v/>
      </c>
      <c r="O3946" s="21">
        <f>IFERROR(INDEX(Produtos!$C$2:$C$71,MATCH(C3946,Produtos!$A$2:$A$71,0)),"")</f>
        <v/>
      </c>
      <c r="P3946" s="21">
        <f>IFERROR(INDEX(Produtos!$D$2:$D$71,MATCH(C3946,Produtos!$A$2:$A$71,0)),0)</f>
        <v/>
      </c>
      <c r="Q3946" s="21">
        <f>IFERROR(INDEX(Produtos!$E$2:$E$71,MATCH(C3946,Produtos!$A$2:$A$71,0)),0)</f>
        <v/>
      </c>
      <c r="R3946" s="23">
        <f>D3946*Q3946</f>
        <v/>
      </c>
      <c r="S3946" s="23">
        <f>R3946*E3946</f>
        <v/>
      </c>
      <c r="T3946" s="23">
        <f>(R3946-S3946)*M3946</f>
        <v/>
      </c>
      <c r="U3946" s="23">
        <f>R3946-S3946-T3946</f>
        <v/>
      </c>
      <c r="V3946" s="23">
        <f>D3946*P3946</f>
        <v/>
      </c>
      <c r="W3946" s="23">
        <f>U3946-V3946</f>
        <v/>
      </c>
      <c r="X3946" s="24">
        <f>IFERROR(W3946/U3946,0)</f>
        <v/>
      </c>
    </row>
    <row r="3947">
      <c r="A3947" s="25">
        <f>ItensPedido!A3947</f>
        <v/>
      </c>
      <c r="B3947" s="25">
        <f>ItensPedido!B3947</f>
        <v/>
      </c>
      <c r="C3947" s="25">
        <f>ItensPedido!C3947</f>
        <v/>
      </c>
      <c r="D3947" s="25">
        <f>ItensPedido!D3947</f>
        <v/>
      </c>
      <c r="E3947" s="26">
        <f>ItensPedido!E3947</f>
        <v/>
      </c>
      <c r="F3947" s="25">
        <f>IFERROR(INDEX(Pedidos!$B$2:$B$1801,MATCH(B3947,Pedidos!$A$2:$A$1801,0)),0)</f>
        <v/>
      </c>
      <c r="G3947" s="25">
        <f>IF(F3947=0,"",YEAR(F3947))</f>
        <v/>
      </c>
      <c r="H3947" s="25">
        <f>IF(F3947=0,"",MONTH(F3947))</f>
        <v/>
      </c>
      <c r="I3947" s="25">
        <f>IFERROR(INDEX(Pedidos!$E$2:$E$1801,MATCH(B3947,Pedidos!$A$2:$A$1801,0)),"")</f>
        <v/>
      </c>
      <c r="J3947" s="25">
        <f>IFERROR(INDEX(Pedidos!$C$2:$C$1801,MATCH(B3947,Pedidos!$A$2:$A$1801,0)),"")</f>
        <v/>
      </c>
      <c r="K3947" s="25">
        <f>IFERROR(INDEX(Pedidos!$D$2:$D$1801,MATCH(B3947,Pedidos!$A$2:$A$1801,0)),"")</f>
        <v/>
      </c>
      <c r="L3947" s="25">
        <f>IFERROR(INDEX(Pedidos!$F$2:$F$1801,MATCH(B3947,Pedidos!$A$2:$A$1801,0)),"")</f>
        <v/>
      </c>
      <c r="M3947" s="26">
        <f>IFERROR(INDEX(Pedidos!$G$2:$G$1801,MATCH(B3947,Pedidos!$A$2:$A$1801,0)),0)</f>
        <v/>
      </c>
      <c r="N3947" s="25">
        <f>IFERROR(INDEX(Produtos!$B$2:$B$71,MATCH(C3947,Produtos!$A$2:$A$71,0)),"")</f>
        <v/>
      </c>
      <c r="O3947" s="25">
        <f>IFERROR(INDEX(Produtos!$C$2:$C$71,MATCH(C3947,Produtos!$A$2:$A$71,0)),"")</f>
        <v/>
      </c>
      <c r="P3947" s="25">
        <f>IFERROR(INDEX(Produtos!$D$2:$D$71,MATCH(C3947,Produtos!$A$2:$A$71,0)),0)</f>
        <v/>
      </c>
      <c r="Q3947" s="25">
        <f>IFERROR(INDEX(Produtos!$E$2:$E$71,MATCH(C3947,Produtos!$A$2:$A$71,0)),0)</f>
        <v/>
      </c>
      <c r="R3947" s="27">
        <f>D3947*Q3947</f>
        <v/>
      </c>
      <c r="S3947" s="27">
        <f>R3947*E3947</f>
        <v/>
      </c>
      <c r="T3947" s="27">
        <f>(R3947-S3947)*M3947</f>
        <v/>
      </c>
      <c r="U3947" s="27">
        <f>R3947-S3947-T3947</f>
        <v/>
      </c>
      <c r="V3947" s="27">
        <f>D3947*P3947</f>
        <v/>
      </c>
      <c r="W3947" s="27">
        <f>U3947-V3947</f>
        <v/>
      </c>
      <c r="X3947" s="28">
        <f>IFERROR(W3947/U3947,0)</f>
        <v/>
      </c>
    </row>
    <row r="3948">
      <c r="A3948" s="21">
        <f>ItensPedido!A3948</f>
        <v/>
      </c>
      <c r="B3948" s="21">
        <f>ItensPedido!B3948</f>
        <v/>
      </c>
      <c r="C3948" s="21">
        <f>ItensPedido!C3948</f>
        <v/>
      </c>
      <c r="D3948" s="21">
        <f>ItensPedido!D3948</f>
        <v/>
      </c>
      <c r="E3948" s="22">
        <f>ItensPedido!E3948</f>
        <v/>
      </c>
      <c r="F3948" s="21">
        <f>IFERROR(INDEX(Pedidos!$B$2:$B$1801,MATCH(B3948,Pedidos!$A$2:$A$1801,0)),0)</f>
        <v/>
      </c>
      <c r="G3948" s="21">
        <f>IF(F3948=0,"",YEAR(F3948))</f>
        <v/>
      </c>
      <c r="H3948" s="21">
        <f>IF(F3948=0,"",MONTH(F3948))</f>
        <v/>
      </c>
      <c r="I3948" s="21">
        <f>IFERROR(INDEX(Pedidos!$E$2:$E$1801,MATCH(B3948,Pedidos!$A$2:$A$1801,0)),"")</f>
        <v/>
      </c>
      <c r="J3948" s="21">
        <f>IFERROR(INDEX(Pedidos!$C$2:$C$1801,MATCH(B3948,Pedidos!$A$2:$A$1801,0)),"")</f>
        <v/>
      </c>
      <c r="K3948" s="21">
        <f>IFERROR(INDEX(Pedidos!$D$2:$D$1801,MATCH(B3948,Pedidos!$A$2:$A$1801,0)),"")</f>
        <v/>
      </c>
      <c r="L3948" s="21">
        <f>IFERROR(INDEX(Pedidos!$F$2:$F$1801,MATCH(B3948,Pedidos!$A$2:$A$1801,0)),"")</f>
        <v/>
      </c>
      <c r="M3948" s="22">
        <f>IFERROR(INDEX(Pedidos!$G$2:$G$1801,MATCH(B3948,Pedidos!$A$2:$A$1801,0)),0)</f>
        <v/>
      </c>
      <c r="N3948" s="21">
        <f>IFERROR(INDEX(Produtos!$B$2:$B$71,MATCH(C3948,Produtos!$A$2:$A$71,0)),"")</f>
        <v/>
      </c>
      <c r="O3948" s="21">
        <f>IFERROR(INDEX(Produtos!$C$2:$C$71,MATCH(C3948,Produtos!$A$2:$A$71,0)),"")</f>
        <v/>
      </c>
      <c r="P3948" s="21">
        <f>IFERROR(INDEX(Produtos!$D$2:$D$71,MATCH(C3948,Produtos!$A$2:$A$71,0)),0)</f>
        <v/>
      </c>
      <c r="Q3948" s="21">
        <f>IFERROR(INDEX(Produtos!$E$2:$E$71,MATCH(C3948,Produtos!$A$2:$A$71,0)),0)</f>
        <v/>
      </c>
      <c r="R3948" s="23">
        <f>D3948*Q3948</f>
        <v/>
      </c>
      <c r="S3948" s="23">
        <f>R3948*E3948</f>
        <v/>
      </c>
      <c r="T3948" s="23">
        <f>(R3948-S3948)*M3948</f>
        <v/>
      </c>
      <c r="U3948" s="23">
        <f>R3948-S3948-T3948</f>
        <v/>
      </c>
      <c r="V3948" s="23">
        <f>D3948*P3948</f>
        <v/>
      </c>
      <c r="W3948" s="23">
        <f>U3948-V3948</f>
        <v/>
      </c>
      <c r="X3948" s="24">
        <f>IFERROR(W3948/U3948,0)</f>
        <v/>
      </c>
    </row>
    <row r="3949">
      <c r="A3949" s="25">
        <f>ItensPedido!A3949</f>
        <v/>
      </c>
      <c r="B3949" s="25">
        <f>ItensPedido!B3949</f>
        <v/>
      </c>
      <c r="C3949" s="25">
        <f>ItensPedido!C3949</f>
        <v/>
      </c>
      <c r="D3949" s="25">
        <f>ItensPedido!D3949</f>
        <v/>
      </c>
      <c r="E3949" s="26">
        <f>ItensPedido!E3949</f>
        <v/>
      </c>
      <c r="F3949" s="25">
        <f>IFERROR(INDEX(Pedidos!$B$2:$B$1801,MATCH(B3949,Pedidos!$A$2:$A$1801,0)),0)</f>
        <v/>
      </c>
      <c r="G3949" s="25">
        <f>IF(F3949=0,"",YEAR(F3949))</f>
        <v/>
      </c>
      <c r="H3949" s="25">
        <f>IF(F3949=0,"",MONTH(F3949))</f>
        <v/>
      </c>
      <c r="I3949" s="25">
        <f>IFERROR(INDEX(Pedidos!$E$2:$E$1801,MATCH(B3949,Pedidos!$A$2:$A$1801,0)),"")</f>
        <v/>
      </c>
      <c r="J3949" s="25">
        <f>IFERROR(INDEX(Pedidos!$C$2:$C$1801,MATCH(B3949,Pedidos!$A$2:$A$1801,0)),"")</f>
        <v/>
      </c>
      <c r="K3949" s="25">
        <f>IFERROR(INDEX(Pedidos!$D$2:$D$1801,MATCH(B3949,Pedidos!$A$2:$A$1801,0)),"")</f>
        <v/>
      </c>
      <c r="L3949" s="25">
        <f>IFERROR(INDEX(Pedidos!$F$2:$F$1801,MATCH(B3949,Pedidos!$A$2:$A$1801,0)),"")</f>
        <v/>
      </c>
      <c r="M3949" s="26">
        <f>IFERROR(INDEX(Pedidos!$G$2:$G$1801,MATCH(B3949,Pedidos!$A$2:$A$1801,0)),0)</f>
        <v/>
      </c>
      <c r="N3949" s="25">
        <f>IFERROR(INDEX(Produtos!$B$2:$B$71,MATCH(C3949,Produtos!$A$2:$A$71,0)),"")</f>
        <v/>
      </c>
      <c r="O3949" s="25">
        <f>IFERROR(INDEX(Produtos!$C$2:$C$71,MATCH(C3949,Produtos!$A$2:$A$71,0)),"")</f>
        <v/>
      </c>
      <c r="P3949" s="25">
        <f>IFERROR(INDEX(Produtos!$D$2:$D$71,MATCH(C3949,Produtos!$A$2:$A$71,0)),0)</f>
        <v/>
      </c>
      <c r="Q3949" s="25">
        <f>IFERROR(INDEX(Produtos!$E$2:$E$71,MATCH(C3949,Produtos!$A$2:$A$71,0)),0)</f>
        <v/>
      </c>
      <c r="R3949" s="27">
        <f>D3949*Q3949</f>
        <v/>
      </c>
      <c r="S3949" s="27">
        <f>R3949*E3949</f>
        <v/>
      </c>
      <c r="T3949" s="27">
        <f>(R3949-S3949)*M3949</f>
        <v/>
      </c>
      <c r="U3949" s="27">
        <f>R3949-S3949-T3949</f>
        <v/>
      </c>
      <c r="V3949" s="27">
        <f>D3949*P3949</f>
        <v/>
      </c>
      <c r="W3949" s="27">
        <f>U3949-V3949</f>
        <v/>
      </c>
      <c r="X3949" s="28">
        <f>IFERROR(W3949/U3949,0)</f>
        <v/>
      </c>
    </row>
    <row r="3950">
      <c r="A3950" s="21">
        <f>ItensPedido!A3950</f>
        <v/>
      </c>
      <c r="B3950" s="21">
        <f>ItensPedido!B3950</f>
        <v/>
      </c>
      <c r="C3950" s="21">
        <f>ItensPedido!C3950</f>
        <v/>
      </c>
      <c r="D3950" s="21">
        <f>ItensPedido!D3950</f>
        <v/>
      </c>
      <c r="E3950" s="22">
        <f>ItensPedido!E3950</f>
        <v/>
      </c>
      <c r="F3950" s="21">
        <f>IFERROR(INDEX(Pedidos!$B$2:$B$1801,MATCH(B3950,Pedidos!$A$2:$A$1801,0)),0)</f>
        <v/>
      </c>
      <c r="G3950" s="21">
        <f>IF(F3950=0,"",YEAR(F3950))</f>
        <v/>
      </c>
      <c r="H3950" s="21">
        <f>IF(F3950=0,"",MONTH(F3950))</f>
        <v/>
      </c>
      <c r="I3950" s="21">
        <f>IFERROR(INDEX(Pedidos!$E$2:$E$1801,MATCH(B3950,Pedidos!$A$2:$A$1801,0)),"")</f>
        <v/>
      </c>
      <c r="J3950" s="21">
        <f>IFERROR(INDEX(Pedidos!$C$2:$C$1801,MATCH(B3950,Pedidos!$A$2:$A$1801,0)),"")</f>
        <v/>
      </c>
      <c r="K3950" s="21">
        <f>IFERROR(INDEX(Pedidos!$D$2:$D$1801,MATCH(B3950,Pedidos!$A$2:$A$1801,0)),"")</f>
        <v/>
      </c>
      <c r="L3950" s="21">
        <f>IFERROR(INDEX(Pedidos!$F$2:$F$1801,MATCH(B3950,Pedidos!$A$2:$A$1801,0)),"")</f>
        <v/>
      </c>
      <c r="M3950" s="22">
        <f>IFERROR(INDEX(Pedidos!$G$2:$G$1801,MATCH(B3950,Pedidos!$A$2:$A$1801,0)),0)</f>
        <v/>
      </c>
      <c r="N3950" s="21">
        <f>IFERROR(INDEX(Produtos!$B$2:$B$71,MATCH(C3950,Produtos!$A$2:$A$71,0)),"")</f>
        <v/>
      </c>
      <c r="O3950" s="21">
        <f>IFERROR(INDEX(Produtos!$C$2:$C$71,MATCH(C3950,Produtos!$A$2:$A$71,0)),"")</f>
        <v/>
      </c>
      <c r="P3950" s="21">
        <f>IFERROR(INDEX(Produtos!$D$2:$D$71,MATCH(C3950,Produtos!$A$2:$A$71,0)),0)</f>
        <v/>
      </c>
      <c r="Q3950" s="21">
        <f>IFERROR(INDEX(Produtos!$E$2:$E$71,MATCH(C3950,Produtos!$A$2:$A$71,0)),0)</f>
        <v/>
      </c>
      <c r="R3950" s="23">
        <f>D3950*Q3950</f>
        <v/>
      </c>
      <c r="S3950" s="23">
        <f>R3950*E3950</f>
        <v/>
      </c>
      <c r="T3950" s="23">
        <f>(R3950-S3950)*M3950</f>
        <v/>
      </c>
      <c r="U3950" s="23">
        <f>R3950-S3950-T3950</f>
        <v/>
      </c>
      <c r="V3950" s="23">
        <f>D3950*P3950</f>
        <v/>
      </c>
      <c r="W3950" s="23">
        <f>U3950-V3950</f>
        <v/>
      </c>
      <c r="X3950" s="24">
        <f>IFERROR(W3950/U3950,0)</f>
        <v/>
      </c>
    </row>
    <row r="3951">
      <c r="A3951" s="25">
        <f>ItensPedido!A3951</f>
        <v/>
      </c>
      <c r="B3951" s="25">
        <f>ItensPedido!B3951</f>
        <v/>
      </c>
      <c r="C3951" s="25">
        <f>ItensPedido!C3951</f>
        <v/>
      </c>
      <c r="D3951" s="25">
        <f>ItensPedido!D3951</f>
        <v/>
      </c>
      <c r="E3951" s="26">
        <f>ItensPedido!E3951</f>
        <v/>
      </c>
      <c r="F3951" s="25">
        <f>IFERROR(INDEX(Pedidos!$B$2:$B$1801,MATCH(B3951,Pedidos!$A$2:$A$1801,0)),0)</f>
        <v/>
      </c>
      <c r="G3951" s="25">
        <f>IF(F3951=0,"",YEAR(F3951))</f>
        <v/>
      </c>
      <c r="H3951" s="25">
        <f>IF(F3951=0,"",MONTH(F3951))</f>
        <v/>
      </c>
      <c r="I3951" s="25">
        <f>IFERROR(INDEX(Pedidos!$E$2:$E$1801,MATCH(B3951,Pedidos!$A$2:$A$1801,0)),"")</f>
        <v/>
      </c>
      <c r="J3951" s="25">
        <f>IFERROR(INDEX(Pedidos!$C$2:$C$1801,MATCH(B3951,Pedidos!$A$2:$A$1801,0)),"")</f>
        <v/>
      </c>
      <c r="K3951" s="25">
        <f>IFERROR(INDEX(Pedidos!$D$2:$D$1801,MATCH(B3951,Pedidos!$A$2:$A$1801,0)),"")</f>
        <v/>
      </c>
      <c r="L3951" s="25">
        <f>IFERROR(INDEX(Pedidos!$F$2:$F$1801,MATCH(B3951,Pedidos!$A$2:$A$1801,0)),"")</f>
        <v/>
      </c>
      <c r="M3951" s="26">
        <f>IFERROR(INDEX(Pedidos!$G$2:$G$1801,MATCH(B3951,Pedidos!$A$2:$A$1801,0)),0)</f>
        <v/>
      </c>
      <c r="N3951" s="25">
        <f>IFERROR(INDEX(Produtos!$B$2:$B$71,MATCH(C3951,Produtos!$A$2:$A$71,0)),"")</f>
        <v/>
      </c>
      <c r="O3951" s="25">
        <f>IFERROR(INDEX(Produtos!$C$2:$C$71,MATCH(C3951,Produtos!$A$2:$A$71,0)),"")</f>
        <v/>
      </c>
      <c r="P3951" s="25">
        <f>IFERROR(INDEX(Produtos!$D$2:$D$71,MATCH(C3951,Produtos!$A$2:$A$71,0)),0)</f>
        <v/>
      </c>
      <c r="Q3951" s="25">
        <f>IFERROR(INDEX(Produtos!$E$2:$E$71,MATCH(C3951,Produtos!$A$2:$A$71,0)),0)</f>
        <v/>
      </c>
      <c r="R3951" s="27">
        <f>D3951*Q3951</f>
        <v/>
      </c>
      <c r="S3951" s="27">
        <f>R3951*E3951</f>
        <v/>
      </c>
      <c r="T3951" s="27">
        <f>(R3951-S3951)*M3951</f>
        <v/>
      </c>
      <c r="U3951" s="27">
        <f>R3951-S3951-T3951</f>
        <v/>
      </c>
      <c r="V3951" s="27">
        <f>D3951*P3951</f>
        <v/>
      </c>
      <c r="W3951" s="27">
        <f>U3951-V3951</f>
        <v/>
      </c>
      <c r="X3951" s="28">
        <f>IFERROR(W3951/U3951,0)</f>
        <v/>
      </c>
    </row>
    <row r="3952">
      <c r="A3952" s="21">
        <f>ItensPedido!A3952</f>
        <v/>
      </c>
      <c r="B3952" s="21">
        <f>ItensPedido!B3952</f>
        <v/>
      </c>
      <c r="C3952" s="21">
        <f>ItensPedido!C3952</f>
        <v/>
      </c>
      <c r="D3952" s="21">
        <f>ItensPedido!D3952</f>
        <v/>
      </c>
      <c r="E3952" s="22">
        <f>ItensPedido!E3952</f>
        <v/>
      </c>
      <c r="F3952" s="21">
        <f>IFERROR(INDEX(Pedidos!$B$2:$B$1801,MATCH(B3952,Pedidos!$A$2:$A$1801,0)),0)</f>
        <v/>
      </c>
      <c r="G3952" s="21">
        <f>IF(F3952=0,"",YEAR(F3952))</f>
        <v/>
      </c>
      <c r="H3952" s="21">
        <f>IF(F3952=0,"",MONTH(F3952))</f>
        <v/>
      </c>
      <c r="I3952" s="21">
        <f>IFERROR(INDEX(Pedidos!$E$2:$E$1801,MATCH(B3952,Pedidos!$A$2:$A$1801,0)),"")</f>
        <v/>
      </c>
      <c r="J3952" s="21">
        <f>IFERROR(INDEX(Pedidos!$C$2:$C$1801,MATCH(B3952,Pedidos!$A$2:$A$1801,0)),"")</f>
        <v/>
      </c>
      <c r="K3952" s="21">
        <f>IFERROR(INDEX(Pedidos!$D$2:$D$1801,MATCH(B3952,Pedidos!$A$2:$A$1801,0)),"")</f>
        <v/>
      </c>
      <c r="L3952" s="21">
        <f>IFERROR(INDEX(Pedidos!$F$2:$F$1801,MATCH(B3952,Pedidos!$A$2:$A$1801,0)),"")</f>
        <v/>
      </c>
      <c r="M3952" s="22">
        <f>IFERROR(INDEX(Pedidos!$G$2:$G$1801,MATCH(B3952,Pedidos!$A$2:$A$1801,0)),0)</f>
        <v/>
      </c>
      <c r="N3952" s="21">
        <f>IFERROR(INDEX(Produtos!$B$2:$B$71,MATCH(C3952,Produtos!$A$2:$A$71,0)),"")</f>
        <v/>
      </c>
      <c r="O3952" s="21">
        <f>IFERROR(INDEX(Produtos!$C$2:$C$71,MATCH(C3952,Produtos!$A$2:$A$71,0)),"")</f>
        <v/>
      </c>
      <c r="P3952" s="21">
        <f>IFERROR(INDEX(Produtos!$D$2:$D$71,MATCH(C3952,Produtos!$A$2:$A$71,0)),0)</f>
        <v/>
      </c>
      <c r="Q3952" s="21">
        <f>IFERROR(INDEX(Produtos!$E$2:$E$71,MATCH(C3952,Produtos!$A$2:$A$71,0)),0)</f>
        <v/>
      </c>
      <c r="R3952" s="23">
        <f>D3952*Q3952</f>
        <v/>
      </c>
      <c r="S3952" s="23">
        <f>R3952*E3952</f>
        <v/>
      </c>
      <c r="T3952" s="23">
        <f>(R3952-S3952)*M3952</f>
        <v/>
      </c>
      <c r="U3952" s="23">
        <f>R3952-S3952-T3952</f>
        <v/>
      </c>
      <c r="V3952" s="23">
        <f>D3952*P3952</f>
        <v/>
      </c>
      <c r="W3952" s="23">
        <f>U3952-V3952</f>
        <v/>
      </c>
      <c r="X3952" s="24">
        <f>IFERROR(W3952/U3952,0)</f>
        <v/>
      </c>
    </row>
    <row r="3953">
      <c r="A3953" s="25">
        <f>ItensPedido!A3953</f>
        <v/>
      </c>
      <c r="B3953" s="25">
        <f>ItensPedido!B3953</f>
        <v/>
      </c>
      <c r="C3953" s="25">
        <f>ItensPedido!C3953</f>
        <v/>
      </c>
      <c r="D3953" s="25">
        <f>ItensPedido!D3953</f>
        <v/>
      </c>
      <c r="E3953" s="26">
        <f>ItensPedido!E3953</f>
        <v/>
      </c>
      <c r="F3953" s="25">
        <f>IFERROR(INDEX(Pedidos!$B$2:$B$1801,MATCH(B3953,Pedidos!$A$2:$A$1801,0)),0)</f>
        <v/>
      </c>
      <c r="G3953" s="25">
        <f>IF(F3953=0,"",YEAR(F3953))</f>
        <v/>
      </c>
      <c r="H3953" s="25">
        <f>IF(F3953=0,"",MONTH(F3953))</f>
        <v/>
      </c>
      <c r="I3953" s="25">
        <f>IFERROR(INDEX(Pedidos!$E$2:$E$1801,MATCH(B3953,Pedidos!$A$2:$A$1801,0)),"")</f>
        <v/>
      </c>
      <c r="J3953" s="25">
        <f>IFERROR(INDEX(Pedidos!$C$2:$C$1801,MATCH(B3953,Pedidos!$A$2:$A$1801,0)),"")</f>
        <v/>
      </c>
      <c r="K3953" s="25">
        <f>IFERROR(INDEX(Pedidos!$D$2:$D$1801,MATCH(B3953,Pedidos!$A$2:$A$1801,0)),"")</f>
        <v/>
      </c>
      <c r="L3953" s="25">
        <f>IFERROR(INDEX(Pedidos!$F$2:$F$1801,MATCH(B3953,Pedidos!$A$2:$A$1801,0)),"")</f>
        <v/>
      </c>
      <c r="M3953" s="26">
        <f>IFERROR(INDEX(Pedidos!$G$2:$G$1801,MATCH(B3953,Pedidos!$A$2:$A$1801,0)),0)</f>
        <v/>
      </c>
      <c r="N3953" s="25">
        <f>IFERROR(INDEX(Produtos!$B$2:$B$71,MATCH(C3953,Produtos!$A$2:$A$71,0)),"")</f>
        <v/>
      </c>
      <c r="O3953" s="25">
        <f>IFERROR(INDEX(Produtos!$C$2:$C$71,MATCH(C3953,Produtos!$A$2:$A$71,0)),"")</f>
        <v/>
      </c>
      <c r="P3953" s="25">
        <f>IFERROR(INDEX(Produtos!$D$2:$D$71,MATCH(C3953,Produtos!$A$2:$A$71,0)),0)</f>
        <v/>
      </c>
      <c r="Q3953" s="25">
        <f>IFERROR(INDEX(Produtos!$E$2:$E$71,MATCH(C3953,Produtos!$A$2:$A$71,0)),0)</f>
        <v/>
      </c>
      <c r="R3953" s="27">
        <f>D3953*Q3953</f>
        <v/>
      </c>
      <c r="S3953" s="27">
        <f>R3953*E3953</f>
        <v/>
      </c>
      <c r="T3953" s="27">
        <f>(R3953-S3953)*M3953</f>
        <v/>
      </c>
      <c r="U3953" s="27">
        <f>R3953-S3953-T3953</f>
        <v/>
      </c>
      <c r="V3953" s="27">
        <f>D3953*P3953</f>
        <v/>
      </c>
      <c r="W3953" s="27">
        <f>U3953-V3953</f>
        <v/>
      </c>
      <c r="X3953" s="28">
        <f>IFERROR(W3953/U3953,0)</f>
        <v/>
      </c>
    </row>
    <row r="3954">
      <c r="A3954" s="21">
        <f>ItensPedido!A3954</f>
        <v/>
      </c>
      <c r="B3954" s="21">
        <f>ItensPedido!B3954</f>
        <v/>
      </c>
      <c r="C3954" s="21">
        <f>ItensPedido!C3954</f>
        <v/>
      </c>
      <c r="D3954" s="21">
        <f>ItensPedido!D3954</f>
        <v/>
      </c>
      <c r="E3954" s="22">
        <f>ItensPedido!E3954</f>
        <v/>
      </c>
      <c r="F3954" s="21">
        <f>IFERROR(INDEX(Pedidos!$B$2:$B$1801,MATCH(B3954,Pedidos!$A$2:$A$1801,0)),0)</f>
        <v/>
      </c>
      <c r="G3954" s="21">
        <f>IF(F3954=0,"",YEAR(F3954))</f>
        <v/>
      </c>
      <c r="H3954" s="21">
        <f>IF(F3954=0,"",MONTH(F3954))</f>
        <v/>
      </c>
      <c r="I3954" s="21">
        <f>IFERROR(INDEX(Pedidos!$E$2:$E$1801,MATCH(B3954,Pedidos!$A$2:$A$1801,0)),"")</f>
        <v/>
      </c>
      <c r="J3954" s="21">
        <f>IFERROR(INDEX(Pedidos!$C$2:$C$1801,MATCH(B3954,Pedidos!$A$2:$A$1801,0)),"")</f>
        <v/>
      </c>
      <c r="K3954" s="21">
        <f>IFERROR(INDEX(Pedidos!$D$2:$D$1801,MATCH(B3954,Pedidos!$A$2:$A$1801,0)),"")</f>
        <v/>
      </c>
      <c r="L3954" s="21">
        <f>IFERROR(INDEX(Pedidos!$F$2:$F$1801,MATCH(B3954,Pedidos!$A$2:$A$1801,0)),"")</f>
        <v/>
      </c>
      <c r="M3954" s="22">
        <f>IFERROR(INDEX(Pedidos!$G$2:$G$1801,MATCH(B3954,Pedidos!$A$2:$A$1801,0)),0)</f>
        <v/>
      </c>
      <c r="N3954" s="21">
        <f>IFERROR(INDEX(Produtos!$B$2:$B$71,MATCH(C3954,Produtos!$A$2:$A$71,0)),"")</f>
        <v/>
      </c>
      <c r="O3954" s="21">
        <f>IFERROR(INDEX(Produtos!$C$2:$C$71,MATCH(C3954,Produtos!$A$2:$A$71,0)),"")</f>
        <v/>
      </c>
      <c r="P3954" s="21">
        <f>IFERROR(INDEX(Produtos!$D$2:$D$71,MATCH(C3954,Produtos!$A$2:$A$71,0)),0)</f>
        <v/>
      </c>
      <c r="Q3954" s="21">
        <f>IFERROR(INDEX(Produtos!$E$2:$E$71,MATCH(C3954,Produtos!$A$2:$A$71,0)),0)</f>
        <v/>
      </c>
      <c r="R3954" s="23">
        <f>D3954*Q3954</f>
        <v/>
      </c>
      <c r="S3954" s="23">
        <f>R3954*E3954</f>
        <v/>
      </c>
      <c r="T3954" s="23">
        <f>(R3954-S3954)*M3954</f>
        <v/>
      </c>
      <c r="U3954" s="23">
        <f>R3954-S3954-T3954</f>
        <v/>
      </c>
      <c r="V3954" s="23">
        <f>D3954*P3954</f>
        <v/>
      </c>
      <c r="W3954" s="23">
        <f>U3954-V3954</f>
        <v/>
      </c>
      <c r="X3954" s="24">
        <f>IFERROR(W3954/U3954,0)</f>
        <v/>
      </c>
    </row>
    <row r="3955">
      <c r="A3955" s="25">
        <f>ItensPedido!A3955</f>
        <v/>
      </c>
      <c r="B3955" s="25">
        <f>ItensPedido!B3955</f>
        <v/>
      </c>
      <c r="C3955" s="25">
        <f>ItensPedido!C3955</f>
        <v/>
      </c>
      <c r="D3955" s="25">
        <f>ItensPedido!D3955</f>
        <v/>
      </c>
      <c r="E3955" s="26">
        <f>ItensPedido!E3955</f>
        <v/>
      </c>
      <c r="F3955" s="25">
        <f>IFERROR(INDEX(Pedidos!$B$2:$B$1801,MATCH(B3955,Pedidos!$A$2:$A$1801,0)),0)</f>
        <v/>
      </c>
      <c r="G3955" s="25">
        <f>IF(F3955=0,"",YEAR(F3955))</f>
        <v/>
      </c>
      <c r="H3955" s="25">
        <f>IF(F3955=0,"",MONTH(F3955))</f>
        <v/>
      </c>
      <c r="I3955" s="25">
        <f>IFERROR(INDEX(Pedidos!$E$2:$E$1801,MATCH(B3955,Pedidos!$A$2:$A$1801,0)),"")</f>
        <v/>
      </c>
      <c r="J3955" s="25">
        <f>IFERROR(INDEX(Pedidos!$C$2:$C$1801,MATCH(B3955,Pedidos!$A$2:$A$1801,0)),"")</f>
        <v/>
      </c>
      <c r="K3955" s="25">
        <f>IFERROR(INDEX(Pedidos!$D$2:$D$1801,MATCH(B3955,Pedidos!$A$2:$A$1801,0)),"")</f>
        <v/>
      </c>
      <c r="L3955" s="25">
        <f>IFERROR(INDEX(Pedidos!$F$2:$F$1801,MATCH(B3955,Pedidos!$A$2:$A$1801,0)),"")</f>
        <v/>
      </c>
      <c r="M3955" s="26">
        <f>IFERROR(INDEX(Pedidos!$G$2:$G$1801,MATCH(B3955,Pedidos!$A$2:$A$1801,0)),0)</f>
        <v/>
      </c>
      <c r="N3955" s="25">
        <f>IFERROR(INDEX(Produtos!$B$2:$B$71,MATCH(C3955,Produtos!$A$2:$A$71,0)),"")</f>
        <v/>
      </c>
      <c r="O3955" s="25">
        <f>IFERROR(INDEX(Produtos!$C$2:$C$71,MATCH(C3955,Produtos!$A$2:$A$71,0)),"")</f>
        <v/>
      </c>
      <c r="P3955" s="25">
        <f>IFERROR(INDEX(Produtos!$D$2:$D$71,MATCH(C3955,Produtos!$A$2:$A$71,0)),0)</f>
        <v/>
      </c>
      <c r="Q3955" s="25">
        <f>IFERROR(INDEX(Produtos!$E$2:$E$71,MATCH(C3955,Produtos!$A$2:$A$71,0)),0)</f>
        <v/>
      </c>
      <c r="R3955" s="27">
        <f>D3955*Q3955</f>
        <v/>
      </c>
      <c r="S3955" s="27">
        <f>R3955*E3955</f>
        <v/>
      </c>
      <c r="T3955" s="27">
        <f>(R3955-S3955)*M3955</f>
        <v/>
      </c>
      <c r="U3955" s="27">
        <f>R3955-S3955-T3955</f>
        <v/>
      </c>
      <c r="V3955" s="27">
        <f>D3955*P3955</f>
        <v/>
      </c>
      <c r="W3955" s="27">
        <f>U3955-V3955</f>
        <v/>
      </c>
      <c r="X3955" s="28">
        <f>IFERROR(W3955/U3955,0)</f>
        <v/>
      </c>
    </row>
    <row r="3956">
      <c r="A3956" s="21">
        <f>ItensPedido!A3956</f>
        <v/>
      </c>
      <c r="B3956" s="21">
        <f>ItensPedido!B3956</f>
        <v/>
      </c>
      <c r="C3956" s="21">
        <f>ItensPedido!C3956</f>
        <v/>
      </c>
      <c r="D3956" s="21">
        <f>ItensPedido!D3956</f>
        <v/>
      </c>
      <c r="E3956" s="22">
        <f>ItensPedido!E3956</f>
        <v/>
      </c>
      <c r="F3956" s="21">
        <f>IFERROR(INDEX(Pedidos!$B$2:$B$1801,MATCH(B3956,Pedidos!$A$2:$A$1801,0)),0)</f>
        <v/>
      </c>
      <c r="G3956" s="21">
        <f>IF(F3956=0,"",YEAR(F3956))</f>
        <v/>
      </c>
      <c r="H3956" s="21">
        <f>IF(F3956=0,"",MONTH(F3956))</f>
        <v/>
      </c>
      <c r="I3956" s="21">
        <f>IFERROR(INDEX(Pedidos!$E$2:$E$1801,MATCH(B3956,Pedidos!$A$2:$A$1801,0)),"")</f>
        <v/>
      </c>
      <c r="J3956" s="21">
        <f>IFERROR(INDEX(Pedidos!$C$2:$C$1801,MATCH(B3956,Pedidos!$A$2:$A$1801,0)),"")</f>
        <v/>
      </c>
      <c r="K3956" s="21">
        <f>IFERROR(INDEX(Pedidos!$D$2:$D$1801,MATCH(B3956,Pedidos!$A$2:$A$1801,0)),"")</f>
        <v/>
      </c>
      <c r="L3956" s="21">
        <f>IFERROR(INDEX(Pedidos!$F$2:$F$1801,MATCH(B3956,Pedidos!$A$2:$A$1801,0)),"")</f>
        <v/>
      </c>
      <c r="M3956" s="22">
        <f>IFERROR(INDEX(Pedidos!$G$2:$G$1801,MATCH(B3956,Pedidos!$A$2:$A$1801,0)),0)</f>
        <v/>
      </c>
      <c r="N3956" s="21">
        <f>IFERROR(INDEX(Produtos!$B$2:$B$71,MATCH(C3956,Produtos!$A$2:$A$71,0)),"")</f>
        <v/>
      </c>
      <c r="O3956" s="21">
        <f>IFERROR(INDEX(Produtos!$C$2:$C$71,MATCH(C3956,Produtos!$A$2:$A$71,0)),"")</f>
        <v/>
      </c>
      <c r="P3956" s="21">
        <f>IFERROR(INDEX(Produtos!$D$2:$D$71,MATCH(C3956,Produtos!$A$2:$A$71,0)),0)</f>
        <v/>
      </c>
      <c r="Q3956" s="21">
        <f>IFERROR(INDEX(Produtos!$E$2:$E$71,MATCH(C3956,Produtos!$A$2:$A$71,0)),0)</f>
        <v/>
      </c>
      <c r="R3956" s="23">
        <f>D3956*Q3956</f>
        <v/>
      </c>
      <c r="S3956" s="23">
        <f>R3956*E3956</f>
        <v/>
      </c>
      <c r="T3956" s="23">
        <f>(R3956-S3956)*M3956</f>
        <v/>
      </c>
      <c r="U3956" s="23">
        <f>R3956-S3956-T3956</f>
        <v/>
      </c>
      <c r="V3956" s="23">
        <f>D3956*P3956</f>
        <v/>
      </c>
      <c r="W3956" s="23">
        <f>U3956-V3956</f>
        <v/>
      </c>
      <c r="X3956" s="24">
        <f>IFERROR(W3956/U3956,0)</f>
        <v/>
      </c>
    </row>
    <row r="3957">
      <c r="A3957" s="25">
        <f>ItensPedido!A3957</f>
        <v/>
      </c>
      <c r="B3957" s="25">
        <f>ItensPedido!B3957</f>
        <v/>
      </c>
      <c r="C3957" s="25">
        <f>ItensPedido!C3957</f>
        <v/>
      </c>
      <c r="D3957" s="25">
        <f>ItensPedido!D3957</f>
        <v/>
      </c>
      <c r="E3957" s="26">
        <f>ItensPedido!E3957</f>
        <v/>
      </c>
      <c r="F3957" s="25">
        <f>IFERROR(INDEX(Pedidos!$B$2:$B$1801,MATCH(B3957,Pedidos!$A$2:$A$1801,0)),0)</f>
        <v/>
      </c>
      <c r="G3957" s="25">
        <f>IF(F3957=0,"",YEAR(F3957))</f>
        <v/>
      </c>
      <c r="H3957" s="25">
        <f>IF(F3957=0,"",MONTH(F3957))</f>
        <v/>
      </c>
      <c r="I3957" s="25">
        <f>IFERROR(INDEX(Pedidos!$E$2:$E$1801,MATCH(B3957,Pedidos!$A$2:$A$1801,0)),"")</f>
        <v/>
      </c>
      <c r="J3957" s="25">
        <f>IFERROR(INDEX(Pedidos!$C$2:$C$1801,MATCH(B3957,Pedidos!$A$2:$A$1801,0)),"")</f>
        <v/>
      </c>
      <c r="K3957" s="25">
        <f>IFERROR(INDEX(Pedidos!$D$2:$D$1801,MATCH(B3957,Pedidos!$A$2:$A$1801,0)),"")</f>
        <v/>
      </c>
      <c r="L3957" s="25">
        <f>IFERROR(INDEX(Pedidos!$F$2:$F$1801,MATCH(B3957,Pedidos!$A$2:$A$1801,0)),"")</f>
        <v/>
      </c>
      <c r="M3957" s="26">
        <f>IFERROR(INDEX(Pedidos!$G$2:$G$1801,MATCH(B3957,Pedidos!$A$2:$A$1801,0)),0)</f>
        <v/>
      </c>
      <c r="N3957" s="25">
        <f>IFERROR(INDEX(Produtos!$B$2:$B$71,MATCH(C3957,Produtos!$A$2:$A$71,0)),"")</f>
        <v/>
      </c>
      <c r="O3957" s="25">
        <f>IFERROR(INDEX(Produtos!$C$2:$C$71,MATCH(C3957,Produtos!$A$2:$A$71,0)),"")</f>
        <v/>
      </c>
      <c r="P3957" s="25">
        <f>IFERROR(INDEX(Produtos!$D$2:$D$71,MATCH(C3957,Produtos!$A$2:$A$71,0)),0)</f>
        <v/>
      </c>
      <c r="Q3957" s="25">
        <f>IFERROR(INDEX(Produtos!$E$2:$E$71,MATCH(C3957,Produtos!$A$2:$A$71,0)),0)</f>
        <v/>
      </c>
      <c r="R3957" s="27">
        <f>D3957*Q3957</f>
        <v/>
      </c>
      <c r="S3957" s="27">
        <f>R3957*E3957</f>
        <v/>
      </c>
      <c r="T3957" s="27">
        <f>(R3957-S3957)*M3957</f>
        <v/>
      </c>
      <c r="U3957" s="27">
        <f>R3957-S3957-T3957</f>
        <v/>
      </c>
      <c r="V3957" s="27">
        <f>D3957*P3957</f>
        <v/>
      </c>
      <c r="W3957" s="27">
        <f>U3957-V3957</f>
        <v/>
      </c>
      <c r="X3957" s="28">
        <f>IFERROR(W3957/U3957,0)</f>
        <v/>
      </c>
    </row>
    <row r="3958">
      <c r="A3958" s="21">
        <f>ItensPedido!A3958</f>
        <v/>
      </c>
      <c r="B3958" s="21">
        <f>ItensPedido!B3958</f>
        <v/>
      </c>
      <c r="C3958" s="21">
        <f>ItensPedido!C3958</f>
        <v/>
      </c>
      <c r="D3958" s="21">
        <f>ItensPedido!D3958</f>
        <v/>
      </c>
      <c r="E3958" s="22">
        <f>ItensPedido!E3958</f>
        <v/>
      </c>
      <c r="F3958" s="21">
        <f>IFERROR(INDEX(Pedidos!$B$2:$B$1801,MATCH(B3958,Pedidos!$A$2:$A$1801,0)),0)</f>
        <v/>
      </c>
      <c r="G3958" s="21">
        <f>IF(F3958=0,"",YEAR(F3958))</f>
        <v/>
      </c>
      <c r="H3958" s="21">
        <f>IF(F3958=0,"",MONTH(F3958))</f>
        <v/>
      </c>
      <c r="I3958" s="21">
        <f>IFERROR(INDEX(Pedidos!$E$2:$E$1801,MATCH(B3958,Pedidos!$A$2:$A$1801,0)),"")</f>
        <v/>
      </c>
      <c r="J3958" s="21">
        <f>IFERROR(INDEX(Pedidos!$C$2:$C$1801,MATCH(B3958,Pedidos!$A$2:$A$1801,0)),"")</f>
        <v/>
      </c>
      <c r="K3958" s="21">
        <f>IFERROR(INDEX(Pedidos!$D$2:$D$1801,MATCH(B3958,Pedidos!$A$2:$A$1801,0)),"")</f>
        <v/>
      </c>
      <c r="L3958" s="21">
        <f>IFERROR(INDEX(Pedidos!$F$2:$F$1801,MATCH(B3958,Pedidos!$A$2:$A$1801,0)),"")</f>
        <v/>
      </c>
      <c r="M3958" s="22">
        <f>IFERROR(INDEX(Pedidos!$G$2:$G$1801,MATCH(B3958,Pedidos!$A$2:$A$1801,0)),0)</f>
        <v/>
      </c>
      <c r="N3958" s="21">
        <f>IFERROR(INDEX(Produtos!$B$2:$B$71,MATCH(C3958,Produtos!$A$2:$A$71,0)),"")</f>
        <v/>
      </c>
      <c r="O3958" s="21">
        <f>IFERROR(INDEX(Produtos!$C$2:$C$71,MATCH(C3958,Produtos!$A$2:$A$71,0)),"")</f>
        <v/>
      </c>
      <c r="P3958" s="21">
        <f>IFERROR(INDEX(Produtos!$D$2:$D$71,MATCH(C3958,Produtos!$A$2:$A$71,0)),0)</f>
        <v/>
      </c>
      <c r="Q3958" s="21">
        <f>IFERROR(INDEX(Produtos!$E$2:$E$71,MATCH(C3958,Produtos!$A$2:$A$71,0)),0)</f>
        <v/>
      </c>
      <c r="R3958" s="23">
        <f>D3958*Q3958</f>
        <v/>
      </c>
      <c r="S3958" s="23">
        <f>R3958*E3958</f>
        <v/>
      </c>
      <c r="T3958" s="23">
        <f>(R3958-S3958)*M3958</f>
        <v/>
      </c>
      <c r="U3958" s="23">
        <f>R3958-S3958-T3958</f>
        <v/>
      </c>
      <c r="V3958" s="23">
        <f>D3958*P3958</f>
        <v/>
      </c>
      <c r="W3958" s="23">
        <f>U3958-V3958</f>
        <v/>
      </c>
      <c r="X3958" s="24">
        <f>IFERROR(W3958/U3958,0)</f>
        <v/>
      </c>
    </row>
    <row r="3959">
      <c r="A3959" s="25">
        <f>ItensPedido!A3959</f>
        <v/>
      </c>
      <c r="B3959" s="25">
        <f>ItensPedido!B3959</f>
        <v/>
      </c>
      <c r="C3959" s="25">
        <f>ItensPedido!C3959</f>
        <v/>
      </c>
      <c r="D3959" s="25">
        <f>ItensPedido!D3959</f>
        <v/>
      </c>
      <c r="E3959" s="26">
        <f>ItensPedido!E3959</f>
        <v/>
      </c>
      <c r="F3959" s="25">
        <f>IFERROR(INDEX(Pedidos!$B$2:$B$1801,MATCH(B3959,Pedidos!$A$2:$A$1801,0)),0)</f>
        <v/>
      </c>
      <c r="G3959" s="25">
        <f>IF(F3959=0,"",YEAR(F3959))</f>
        <v/>
      </c>
      <c r="H3959" s="25">
        <f>IF(F3959=0,"",MONTH(F3959))</f>
        <v/>
      </c>
      <c r="I3959" s="25">
        <f>IFERROR(INDEX(Pedidos!$E$2:$E$1801,MATCH(B3959,Pedidos!$A$2:$A$1801,0)),"")</f>
        <v/>
      </c>
      <c r="J3959" s="25">
        <f>IFERROR(INDEX(Pedidos!$C$2:$C$1801,MATCH(B3959,Pedidos!$A$2:$A$1801,0)),"")</f>
        <v/>
      </c>
      <c r="K3959" s="25">
        <f>IFERROR(INDEX(Pedidos!$D$2:$D$1801,MATCH(B3959,Pedidos!$A$2:$A$1801,0)),"")</f>
        <v/>
      </c>
      <c r="L3959" s="25">
        <f>IFERROR(INDEX(Pedidos!$F$2:$F$1801,MATCH(B3959,Pedidos!$A$2:$A$1801,0)),"")</f>
        <v/>
      </c>
      <c r="M3959" s="26">
        <f>IFERROR(INDEX(Pedidos!$G$2:$G$1801,MATCH(B3959,Pedidos!$A$2:$A$1801,0)),0)</f>
        <v/>
      </c>
      <c r="N3959" s="25">
        <f>IFERROR(INDEX(Produtos!$B$2:$B$71,MATCH(C3959,Produtos!$A$2:$A$71,0)),"")</f>
        <v/>
      </c>
      <c r="O3959" s="25">
        <f>IFERROR(INDEX(Produtos!$C$2:$C$71,MATCH(C3959,Produtos!$A$2:$A$71,0)),"")</f>
        <v/>
      </c>
      <c r="P3959" s="25">
        <f>IFERROR(INDEX(Produtos!$D$2:$D$71,MATCH(C3959,Produtos!$A$2:$A$71,0)),0)</f>
        <v/>
      </c>
      <c r="Q3959" s="25">
        <f>IFERROR(INDEX(Produtos!$E$2:$E$71,MATCH(C3959,Produtos!$A$2:$A$71,0)),0)</f>
        <v/>
      </c>
      <c r="R3959" s="27">
        <f>D3959*Q3959</f>
        <v/>
      </c>
      <c r="S3959" s="27">
        <f>R3959*E3959</f>
        <v/>
      </c>
      <c r="T3959" s="27">
        <f>(R3959-S3959)*M3959</f>
        <v/>
      </c>
      <c r="U3959" s="27">
        <f>R3959-S3959-T3959</f>
        <v/>
      </c>
      <c r="V3959" s="27">
        <f>D3959*P3959</f>
        <v/>
      </c>
      <c r="W3959" s="27">
        <f>U3959-V3959</f>
        <v/>
      </c>
      <c r="X3959" s="28">
        <f>IFERROR(W3959/U3959,0)</f>
        <v/>
      </c>
    </row>
    <row r="3960">
      <c r="A3960" s="21">
        <f>ItensPedido!A3960</f>
        <v/>
      </c>
      <c r="B3960" s="21">
        <f>ItensPedido!B3960</f>
        <v/>
      </c>
      <c r="C3960" s="21">
        <f>ItensPedido!C3960</f>
        <v/>
      </c>
      <c r="D3960" s="21">
        <f>ItensPedido!D3960</f>
        <v/>
      </c>
      <c r="E3960" s="22">
        <f>ItensPedido!E3960</f>
        <v/>
      </c>
      <c r="F3960" s="21">
        <f>IFERROR(INDEX(Pedidos!$B$2:$B$1801,MATCH(B3960,Pedidos!$A$2:$A$1801,0)),0)</f>
        <v/>
      </c>
      <c r="G3960" s="21">
        <f>IF(F3960=0,"",YEAR(F3960))</f>
        <v/>
      </c>
      <c r="H3960" s="21">
        <f>IF(F3960=0,"",MONTH(F3960))</f>
        <v/>
      </c>
      <c r="I3960" s="21">
        <f>IFERROR(INDEX(Pedidos!$E$2:$E$1801,MATCH(B3960,Pedidos!$A$2:$A$1801,0)),"")</f>
        <v/>
      </c>
      <c r="J3960" s="21">
        <f>IFERROR(INDEX(Pedidos!$C$2:$C$1801,MATCH(B3960,Pedidos!$A$2:$A$1801,0)),"")</f>
        <v/>
      </c>
      <c r="K3960" s="21">
        <f>IFERROR(INDEX(Pedidos!$D$2:$D$1801,MATCH(B3960,Pedidos!$A$2:$A$1801,0)),"")</f>
        <v/>
      </c>
      <c r="L3960" s="21">
        <f>IFERROR(INDEX(Pedidos!$F$2:$F$1801,MATCH(B3960,Pedidos!$A$2:$A$1801,0)),"")</f>
        <v/>
      </c>
      <c r="M3960" s="22">
        <f>IFERROR(INDEX(Pedidos!$G$2:$G$1801,MATCH(B3960,Pedidos!$A$2:$A$1801,0)),0)</f>
        <v/>
      </c>
      <c r="N3960" s="21">
        <f>IFERROR(INDEX(Produtos!$B$2:$B$71,MATCH(C3960,Produtos!$A$2:$A$71,0)),"")</f>
        <v/>
      </c>
      <c r="O3960" s="21">
        <f>IFERROR(INDEX(Produtos!$C$2:$C$71,MATCH(C3960,Produtos!$A$2:$A$71,0)),"")</f>
        <v/>
      </c>
      <c r="P3960" s="21">
        <f>IFERROR(INDEX(Produtos!$D$2:$D$71,MATCH(C3960,Produtos!$A$2:$A$71,0)),0)</f>
        <v/>
      </c>
      <c r="Q3960" s="21">
        <f>IFERROR(INDEX(Produtos!$E$2:$E$71,MATCH(C3960,Produtos!$A$2:$A$71,0)),0)</f>
        <v/>
      </c>
      <c r="R3960" s="23">
        <f>D3960*Q3960</f>
        <v/>
      </c>
      <c r="S3960" s="23">
        <f>R3960*E3960</f>
        <v/>
      </c>
      <c r="T3960" s="23">
        <f>(R3960-S3960)*M3960</f>
        <v/>
      </c>
      <c r="U3960" s="23">
        <f>R3960-S3960-T3960</f>
        <v/>
      </c>
      <c r="V3960" s="23">
        <f>D3960*P3960</f>
        <v/>
      </c>
      <c r="W3960" s="23">
        <f>U3960-V3960</f>
        <v/>
      </c>
      <c r="X3960" s="24">
        <f>IFERROR(W3960/U3960,0)</f>
        <v/>
      </c>
    </row>
    <row r="3961">
      <c r="A3961" s="25">
        <f>ItensPedido!A3961</f>
        <v/>
      </c>
      <c r="B3961" s="25">
        <f>ItensPedido!B3961</f>
        <v/>
      </c>
      <c r="C3961" s="25">
        <f>ItensPedido!C3961</f>
        <v/>
      </c>
      <c r="D3961" s="25">
        <f>ItensPedido!D3961</f>
        <v/>
      </c>
      <c r="E3961" s="26">
        <f>ItensPedido!E3961</f>
        <v/>
      </c>
      <c r="F3961" s="25">
        <f>IFERROR(INDEX(Pedidos!$B$2:$B$1801,MATCH(B3961,Pedidos!$A$2:$A$1801,0)),0)</f>
        <v/>
      </c>
      <c r="G3961" s="25">
        <f>IF(F3961=0,"",YEAR(F3961))</f>
        <v/>
      </c>
      <c r="H3961" s="25">
        <f>IF(F3961=0,"",MONTH(F3961))</f>
        <v/>
      </c>
      <c r="I3961" s="25">
        <f>IFERROR(INDEX(Pedidos!$E$2:$E$1801,MATCH(B3961,Pedidos!$A$2:$A$1801,0)),"")</f>
        <v/>
      </c>
      <c r="J3961" s="25">
        <f>IFERROR(INDEX(Pedidos!$C$2:$C$1801,MATCH(B3961,Pedidos!$A$2:$A$1801,0)),"")</f>
        <v/>
      </c>
      <c r="K3961" s="25">
        <f>IFERROR(INDEX(Pedidos!$D$2:$D$1801,MATCH(B3961,Pedidos!$A$2:$A$1801,0)),"")</f>
        <v/>
      </c>
      <c r="L3961" s="25">
        <f>IFERROR(INDEX(Pedidos!$F$2:$F$1801,MATCH(B3961,Pedidos!$A$2:$A$1801,0)),"")</f>
        <v/>
      </c>
      <c r="M3961" s="26">
        <f>IFERROR(INDEX(Pedidos!$G$2:$G$1801,MATCH(B3961,Pedidos!$A$2:$A$1801,0)),0)</f>
        <v/>
      </c>
      <c r="N3961" s="25">
        <f>IFERROR(INDEX(Produtos!$B$2:$B$71,MATCH(C3961,Produtos!$A$2:$A$71,0)),"")</f>
        <v/>
      </c>
      <c r="O3961" s="25">
        <f>IFERROR(INDEX(Produtos!$C$2:$C$71,MATCH(C3961,Produtos!$A$2:$A$71,0)),"")</f>
        <v/>
      </c>
      <c r="P3961" s="25">
        <f>IFERROR(INDEX(Produtos!$D$2:$D$71,MATCH(C3961,Produtos!$A$2:$A$71,0)),0)</f>
        <v/>
      </c>
      <c r="Q3961" s="25">
        <f>IFERROR(INDEX(Produtos!$E$2:$E$71,MATCH(C3961,Produtos!$A$2:$A$71,0)),0)</f>
        <v/>
      </c>
      <c r="R3961" s="27">
        <f>D3961*Q3961</f>
        <v/>
      </c>
      <c r="S3961" s="27">
        <f>R3961*E3961</f>
        <v/>
      </c>
      <c r="T3961" s="27">
        <f>(R3961-S3961)*M3961</f>
        <v/>
      </c>
      <c r="U3961" s="27">
        <f>R3961-S3961-T3961</f>
        <v/>
      </c>
      <c r="V3961" s="27">
        <f>D3961*P3961</f>
        <v/>
      </c>
      <c r="W3961" s="27">
        <f>U3961-V3961</f>
        <v/>
      </c>
      <c r="X3961" s="28">
        <f>IFERROR(W3961/U3961,0)</f>
        <v/>
      </c>
    </row>
    <row r="3962">
      <c r="A3962" s="21">
        <f>ItensPedido!A3962</f>
        <v/>
      </c>
      <c r="B3962" s="21">
        <f>ItensPedido!B3962</f>
        <v/>
      </c>
      <c r="C3962" s="21">
        <f>ItensPedido!C3962</f>
        <v/>
      </c>
      <c r="D3962" s="21">
        <f>ItensPedido!D3962</f>
        <v/>
      </c>
      <c r="E3962" s="22">
        <f>ItensPedido!E3962</f>
        <v/>
      </c>
      <c r="F3962" s="21">
        <f>IFERROR(INDEX(Pedidos!$B$2:$B$1801,MATCH(B3962,Pedidos!$A$2:$A$1801,0)),0)</f>
        <v/>
      </c>
      <c r="G3962" s="21">
        <f>IF(F3962=0,"",YEAR(F3962))</f>
        <v/>
      </c>
      <c r="H3962" s="21">
        <f>IF(F3962=0,"",MONTH(F3962))</f>
        <v/>
      </c>
      <c r="I3962" s="21">
        <f>IFERROR(INDEX(Pedidos!$E$2:$E$1801,MATCH(B3962,Pedidos!$A$2:$A$1801,0)),"")</f>
        <v/>
      </c>
      <c r="J3962" s="21">
        <f>IFERROR(INDEX(Pedidos!$C$2:$C$1801,MATCH(B3962,Pedidos!$A$2:$A$1801,0)),"")</f>
        <v/>
      </c>
      <c r="K3962" s="21">
        <f>IFERROR(INDEX(Pedidos!$D$2:$D$1801,MATCH(B3962,Pedidos!$A$2:$A$1801,0)),"")</f>
        <v/>
      </c>
      <c r="L3962" s="21">
        <f>IFERROR(INDEX(Pedidos!$F$2:$F$1801,MATCH(B3962,Pedidos!$A$2:$A$1801,0)),"")</f>
        <v/>
      </c>
      <c r="M3962" s="22">
        <f>IFERROR(INDEX(Pedidos!$G$2:$G$1801,MATCH(B3962,Pedidos!$A$2:$A$1801,0)),0)</f>
        <v/>
      </c>
      <c r="N3962" s="21">
        <f>IFERROR(INDEX(Produtos!$B$2:$B$71,MATCH(C3962,Produtos!$A$2:$A$71,0)),"")</f>
        <v/>
      </c>
      <c r="O3962" s="21">
        <f>IFERROR(INDEX(Produtos!$C$2:$C$71,MATCH(C3962,Produtos!$A$2:$A$71,0)),"")</f>
        <v/>
      </c>
      <c r="P3962" s="21">
        <f>IFERROR(INDEX(Produtos!$D$2:$D$71,MATCH(C3962,Produtos!$A$2:$A$71,0)),0)</f>
        <v/>
      </c>
      <c r="Q3962" s="21">
        <f>IFERROR(INDEX(Produtos!$E$2:$E$71,MATCH(C3962,Produtos!$A$2:$A$71,0)),0)</f>
        <v/>
      </c>
      <c r="R3962" s="23">
        <f>D3962*Q3962</f>
        <v/>
      </c>
      <c r="S3962" s="23">
        <f>R3962*E3962</f>
        <v/>
      </c>
      <c r="T3962" s="23">
        <f>(R3962-S3962)*M3962</f>
        <v/>
      </c>
      <c r="U3962" s="23">
        <f>R3962-S3962-T3962</f>
        <v/>
      </c>
      <c r="V3962" s="23">
        <f>D3962*P3962</f>
        <v/>
      </c>
      <c r="W3962" s="23">
        <f>U3962-V3962</f>
        <v/>
      </c>
      <c r="X3962" s="24">
        <f>IFERROR(W3962/U3962,0)</f>
        <v/>
      </c>
    </row>
    <row r="3963">
      <c r="A3963" s="25">
        <f>ItensPedido!A3963</f>
        <v/>
      </c>
      <c r="B3963" s="25">
        <f>ItensPedido!B3963</f>
        <v/>
      </c>
      <c r="C3963" s="25">
        <f>ItensPedido!C3963</f>
        <v/>
      </c>
      <c r="D3963" s="25">
        <f>ItensPedido!D3963</f>
        <v/>
      </c>
      <c r="E3963" s="26">
        <f>ItensPedido!E3963</f>
        <v/>
      </c>
      <c r="F3963" s="25">
        <f>IFERROR(INDEX(Pedidos!$B$2:$B$1801,MATCH(B3963,Pedidos!$A$2:$A$1801,0)),0)</f>
        <v/>
      </c>
      <c r="G3963" s="25">
        <f>IF(F3963=0,"",YEAR(F3963))</f>
        <v/>
      </c>
      <c r="H3963" s="25">
        <f>IF(F3963=0,"",MONTH(F3963))</f>
        <v/>
      </c>
      <c r="I3963" s="25">
        <f>IFERROR(INDEX(Pedidos!$E$2:$E$1801,MATCH(B3963,Pedidos!$A$2:$A$1801,0)),"")</f>
        <v/>
      </c>
      <c r="J3963" s="25">
        <f>IFERROR(INDEX(Pedidos!$C$2:$C$1801,MATCH(B3963,Pedidos!$A$2:$A$1801,0)),"")</f>
        <v/>
      </c>
      <c r="K3963" s="25">
        <f>IFERROR(INDEX(Pedidos!$D$2:$D$1801,MATCH(B3963,Pedidos!$A$2:$A$1801,0)),"")</f>
        <v/>
      </c>
      <c r="L3963" s="25">
        <f>IFERROR(INDEX(Pedidos!$F$2:$F$1801,MATCH(B3963,Pedidos!$A$2:$A$1801,0)),"")</f>
        <v/>
      </c>
      <c r="M3963" s="26">
        <f>IFERROR(INDEX(Pedidos!$G$2:$G$1801,MATCH(B3963,Pedidos!$A$2:$A$1801,0)),0)</f>
        <v/>
      </c>
      <c r="N3963" s="25">
        <f>IFERROR(INDEX(Produtos!$B$2:$B$71,MATCH(C3963,Produtos!$A$2:$A$71,0)),"")</f>
        <v/>
      </c>
      <c r="O3963" s="25">
        <f>IFERROR(INDEX(Produtos!$C$2:$C$71,MATCH(C3963,Produtos!$A$2:$A$71,0)),"")</f>
        <v/>
      </c>
      <c r="P3963" s="25">
        <f>IFERROR(INDEX(Produtos!$D$2:$D$71,MATCH(C3963,Produtos!$A$2:$A$71,0)),0)</f>
        <v/>
      </c>
      <c r="Q3963" s="25">
        <f>IFERROR(INDEX(Produtos!$E$2:$E$71,MATCH(C3963,Produtos!$A$2:$A$71,0)),0)</f>
        <v/>
      </c>
      <c r="R3963" s="27">
        <f>D3963*Q3963</f>
        <v/>
      </c>
      <c r="S3963" s="27">
        <f>R3963*E3963</f>
        <v/>
      </c>
      <c r="T3963" s="27">
        <f>(R3963-S3963)*M3963</f>
        <v/>
      </c>
      <c r="U3963" s="27">
        <f>R3963-S3963-T3963</f>
        <v/>
      </c>
      <c r="V3963" s="27">
        <f>D3963*P3963</f>
        <v/>
      </c>
      <c r="W3963" s="27">
        <f>U3963-V3963</f>
        <v/>
      </c>
      <c r="X3963" s="28">
        <f>IFERROR(W3963/U3963,0)</f>
        <v/>
      </c>
    </row>
    <row r="3964">
      <c r="A3964" s="21">
        <f>ItensPedido!A3964</f>
        <v/>
      </c>
      <c r="B3964" s="21">
        <f>ItensPedido!B3964</f>
        <v/>
      </c>
      <c r="C3964" s="21">
        <f>ItensPedido!C3964</f>
        <v/>
      </c>
      <c r="D3964" s="21">
        <f>ItensPedido!D3964</f>
        <v/>
      </c>
      <c r="E3964" s="22">
        <f>ItensPedido!E3964</f>
        <v/>
      </c>
      <c r="F3964" s="21">
        <f>IFERROR(INDEX(Pedidos!$B$2:$B$1801,MATCH(B3964,Pedidos!$A$2:$A$1801,0)),0)</f>
        <v/>
      </c>
      <c r="G3964" s="21">
        <f>IF(F3964=0,"",YEAR(F3964))</f>
        <v/>
      </c>
      <c r="H3964" s="21">
        <f>IF(F3964=0,"",MONTH(F3964))</f>
        <v/>
      </c>
      <c r="I3964" s="21">
        <f>IFERROR(INDEX(Pedidos!$E$2:$E$1801,MATCH(B3964,Pedidos!$A$2:$A$1801,0)),"")</f>
        <v/>
      </c>
      <c r="J3964" s="21">
        <f>IFERROR(INDEX(Pedidos!$C$2:$C$1801,MATCH(B3964,Pedidos!$A$2:$A$1801,0)),"")</f>
        <v/>
      </c>
      <c r="K3964" s="21">
        <f>IFERROR(INDEX(Pedidos!$D$2:$D$1801,MATCH(B3964,Pedidos!$A$2:$A$1801,0)),"")</f>
        <v/>
      </c>
      <c r="L3964" s="21">
        <f>IFERROR(INDEX(Pedidos!$F$2:$F$1801,MATCH(B3964,Pedidos!$A$2:$A$1801,0)),"")</f>
        <v/>
      </c>
      <c r="M3964" s="22">
        <f>IFERROR(INDEX(Pedidos!$G$2:$G$1801,MATCH(B3964,Pedidos!$A$2:$A$1801,0)),0)</f>
        <v/>
      </c>
      <c r="N3964" s="21">
        <f>IFERROR(INDEX(Produtos!$B$2:$B$71,MATCH(C3964,Produtos!$A$2:$A$71,0)),"")</f>
        <v/>
      </c>
      <c r="O3964" s="21">
        <f>IFERROR(INDEX(Produtos!$C$2:$C$71,MATCH(C3964,Produtos!$A$2:$A$71,0)),"")</f>
        <v/>
      </c>
      <c r="P3964" s="21">
        <f>IFERROR(INDEX(Produtos!$D$2:$D$71,MATCH(C3964,Produtos!$A$2:$A$71,0)),0)</f>
        <v/>
      </c>
      <c r="Q3964" s="21">
        <f>IFERROR(INDEX(Produtos!$E$2:$E$71,MATCH(C3964,Produtos!$A$2:$A$71,0)),0)</f>
        <v/>
      </c>
      <c r="R3964" s="23">
        <f>D3964*Q3964</f>
        <v/>
      </c>
      <c r="S3964" s="23">
        <f>R3964*E3964</f>
        <v/>
      </c>
      <c r="T3964" s="23">
        <f>(R3964-S3964)*M3964</f>
        <v/>
      </c>
      <c r="U3964" s="23">
        <f>R3964-S3964-T3964</f>
        <v/>
      </c>
      <c r="V3964" s="23">
        <f>D3964*P3964</f>
        <v/>
      </c>
      <c r="W3964" s="23">
        <f>U3964-V3964</f>
        <v/>
      </c>
      <c r="X3964" s="24">
        <f>IFERROR(W3964/U3964,0)</f>
        <v/>
      </c>
    </row>
    <row r="3965">
      <c r="A3965" s="25">
        <f>ItensPedido!A3965</f>
        <v/>
      </c>
      <c r="B3965" s="25">
        <f>ItensPedido!B3965</f>
        <v/>
      </c>
      <c r="C3965" s="25">
        <f>ItensPedido!C3965</f>
        <v/>
      </c>
      <c r="D3965" s="25">
        <f>ItensPedido!D3965</f>
        <v/>
      </c>
      <c r="E3965" s="26">
        <f>ItensPedido!E3965</f>
        <v/>
      </c>
      <c r="F3965" s="25">
        <f>IFERROR(INDEX(Pedidos!$B$2:$B$1801,MATCH(B3965,Pedidos!$A$2:$A$1801,0)),0)</f>
        <v/>
      </c>
      <c r="G3965" s="25">
        <f>IF(F3965=0,"",YEAR(F3965))</f>
        <v/>
      </c>
      <c r="H3965" s="25">
        <f>IF(F3965=0,"",MONTH(F3965))</f>
        <v/>
      </c>
      <c r="I3965" s="25">
        <f>IFERROR(INDEX(Pedidos!$E$2:$E$1801,MATCH(B3965,Pedidos!$A$2:$A$1801,0)),"")</f>
        <v/>
      </c>
      <c r="J3965" s="25">
        <f>IFERROR(INDEX(Pedidos!$C$2:$C$1801,MATCH(B3965,Pedidos!$A$2:$A$1801,0)),"")</f>
        <v/>
      </c>
      <c r="K3965" s="25">
        <f>IFERROR(INDEX(Pedidos!$D$2:$D$1801,MATCH(B3965,Pedidos!$A$2:$A$1801,0)),"")</f>
        <v/>
      </c>
      <c r="L3965" s="25">
        <f>IFERROR(INDEX(Pedidos!$F$2:$F$1801,MATCH(B3965,Pedidos!$A$2:$A$1801,0)),"")</f>
        <v/>
      </c>
      <c r="M3965" s="26">
        <f>IFERROR(INDEX(Pedidos!$G$2:$G$1801,MATCH(B3965,Pedidos!$A$2:$A$1801,0)),0)</f>
        <v/>
      </c>
      <c r="N3965" s="25">
        <f>IFERROR(INDEX(Produtos!$B$2:$B$71,MATCH(C3965,Produtos!$A$2:$A$71,0)),"")</f>
        <v/>
      </c>
      <c r="O3965" s="25">
        <f>IFERROR(INDEX(Produtos!$C$2:$C$71,MATCH(C3965,Produtos!$A$2:$A$71,0)),"")</f>
        <v/>
      </c>
      <c r="P3965" s="25">
        <f>IFERROR(INDEX(Produtos!$D$2:$D$71,MATCH(C3965,Produtos!$A$2:$A$71,0)),0)</f>
        <v/>
      </c>
      <c r="Q3965" s="25">
        <f>IFERROR(INDEX(Produtos!$E$2:$E$71,MATCH(C3965,Produtos!$A$2:$A$71,0)),0)</f>
        <v/>
      </c>
      <c r="R3965" s="27">
        <f>D3965*Q3965</f>
        <v/>
      </c>
      <c r="S3965" s="27">
        <f>R3965*E3965</f>
        <v/>
      </c>
      <c r="T3965" s="27">
        <f>(R3965-S3965)*M3965</f>
        <v/>
      </c>
      <c r="U3965" s="27">
        <f>R3965-S3965-T3965</f>
        <v/>
      </c>
      <c r="V3965" s="27">
        <f>D3965*P3965</f>
        <v/>
      </c>
      <c r="W3965" s="27">
        <f>U3965-V3965</f>
        <v/>
      </c>
      <c r="X3965" s="28">
        <f>IFERROR(W3965/U3965,0)</f>
        <v/>
      </c>
    </row>
    <row r="3966">
      <c r="A3966" s="21">
        <f>ItensPedido!A3966</f>
        <v/>
      </c>
      <c r="B3966" s="21">
        <f>ItensPedido!B3966</f>
        <v/>
      </c>
      <c r="C3966" s="21">
        <f>ItensPedido!C3966</f>
        <v/>
      </c>
      <c r="D3966" s="21">
        <f>ItensPedido!D3966</f>
        <v/>
      </c>
      <c r="E3966" s="22">
        <f>ItensPedido!E3966</f>
        <v/>
      </c>
      <c r="F3966" s="21">
        <f>IFERROR(INDEX(Pedidos!$B$2:$B$1801,MATCH(B3966,Pedidos!$A$2:$A$1801,0)),0)</f>
        <v/>
      </c>
      <c r="G3966" s="21">
        <f>IF(F3966=0,"",YEAR(F3966))</f>
        <v/>
      </c>
      <c r="H3966" s="21">
        <f>IF(F3966=0,"",MONTH(F3966))</f>
        <v/>
      </c>
      <c r="I3966" s="21">
        <f>IFERROR(INDEX(Pedidos!$E$2:$E$1801,MATCH(B3966,Pedidos!$A$2:$A$1801,0)),"")</f>
        <v/>
      </c>
      <c r="J3966" s="21">
        <f>IFERROR(INDEX(Pedidos!$C$2:$C$1801,MATCH(B3966,Pedidos!$A$2:$A$1801,0)),"")</f>
        <v/>
      </c>
      <c r="K3966" s="21">
        <f>IFERROR(INDEX(Pedidos!$D$2:$D$1801,MATCH(B3966,Pedidos!$A$2:$A$1801,0)),"")</f>
        <v/>
      </c>
      <c r="L3966" s="21">
        <f>IFERROR(INDEX(Pedidos!$F$2:$F$1801,MATCH(B3966,Pedidos!$A$2:$A$1801,0)),"")</f>
        <v/>
      </c>
      <c r="M3966" s="22">
        <f>IFERROR(INDEX(Pedidos!$G$2:$G$1801,MATCH(B3966,Pedidos!$A$2:$A$1801,0)),0)</f>
        <v/>
      </c>
      <c r="N3966" s="21">
        <f>IFERROR(INDEX(Produtos!$B$2:$B$71,MATCH(C3966,Produtos!$A$2:$A$71,0)),"")</f>
        <v/>
      </c>
      <c r="O3966" s="21">
        <f>IFERROR(INDEX(Produtos!$C$2:$C$71,MATCH(C3966,Produtos!$A$2:$A$71,0)),"")</f>
        <v/>
      </c>
      <c r="P3966" s="21">
        <f>IFERROR(INDEX(Produtos!$D$2:$D$71,MATCH(C3966,Produtos!$A$2:$A$71,0)),0)</f>
        <v/>
      </c>
      <c r="Q3966" s="21">
        <f>IFERROR(INDEX(Produtos!$E$2:$E$71,MATCH(C3966,Produtos!$A$2:$A$71,0)),0)</f>
        <v/>
      </c>
      <c r="R3966" s="23">
        <f>D3966*Q3966</f>
        <v/>
      </c>
      <c r="S3966" s="23">
        <f>R3966*E3966</f>
        <v/>
      </c>
      <c r="T3966" s="23">
        <f>(R3966-S3966)*M3966</f>
        <v/>
      </c>
      <c r="U3966" s="23">
        <f>R3966-S3966-T3966</f>
        <v/>
      </c>
      <c r="V3966" s="23">
        <f>D3966*P3966</f>
        <v/>
      </c>
      <c r="W3966" s="23">
        <f>U3966-V3966</f>
        <v/>
      </c>
      <c r="X3966" s="24">
        <f>IFERROR(W3966/U3966,0)</f>
        <v/>
      </c>
    </row>
    <row r="3967">
      <c r="A3967" s="25">
        <f>ItensPedido!A3967</f>
        <v/>
      </c>
      <c r="B3967" s="25">
        <f>ItensPedido!B3967</f>
        <v/>
      </c>
      <c r="C3967" s="25">
        <f>ItensPedido!C3967</f>
        <v/>
      </c>
      <c r="D3967" s="25">
        <f>ItensPedido!D3967</f>
        <v/>
      </c>
      <c r="E3967" s="26">
        <f>ItensPedido!E3967</f>
        <v/>
      </c>
      <c r="F3967" s="25">
        <f>IFERROR(INDEX(Pedidos!$B$2:$B$1801,MATCH(B3967,Pedidos!$A$2:$A$1801,0)),0)</f>
        <v/>
      </c>
      <c r="G3967" s="25">
        <f>IF(F3967=0,"",YEAR(F3967))</f>
        <v/>
      </c>
      <c r="H3967" s="25">
        <f>IF(F3967=0,"",MONTH(F3967))</f>
        <v/>
      </c>
      <c r="I3967" s="25">
        <f>IFERROR(INDEX(Pedidos!$E$2:$E$1801,MATCH(B3967,Pedidos!$A$2:$A$1801,0)),"")</f>
        <v/>
      </c>
      <c r="J3967" s="25">
        <f>IFERROR(INDEX(Pedidos!$C$2:$C$1801,MATCH(B3967,Pedidos!$A$2:$A$1801,0)),"")</f>
        <v/>
      </c>
      <c r="K3967" s="25">
        <f>IFERROR(INDEX(Pedidos!$D$2:$D$1801,MATCH(B3967,Pedidos!$A$2:$A$1801,0)),"")</f>
        <v/>
      </c>
      <c r="L3967" s="25">
        <f>IFERROR(INDEX(Pedidos!$F$2:$F$1801,MATCH(B3967,Pedidos!$A$2:$A$1801,0)),"")</f>
        <v/>
      </c>
      <c r="M3967" s="26">
        <f>IFERROR(INDEX(Pedidos!$G$2:$G$1801,MATCH(B3967,Pedidos!$A$2:$A$1801,0)),0)</f>
        <v/>
      </c>
      <c r="N3967" s="25">
        <f>IFERROR(INDEX(Produtos!$B$2:$B$71,MATCH(C3967,Produtos!$A$2:$A$71,0)),"")</f>
        <v/>
      </c>
      <c r="O3967" s="25">
        <f>IFERROR(INDEX(Produtos!$C$2:$C$71,MATCH(C3967,Produtos!$A$2:$A$71,0)),"")</f>
        <v/>
      </c>
      <c r="P3967" s="25">
        <f>IFERROR(INDEX(Produtos!$D$2:$D$71,MATCH(C3967,Produtos!$A$2:$A$71,0)),0)</f>
        <v/>
      </c>
      <c r="Q3967" s="25">
        <f>IFERROR(INDEX(Produtos!$E$2:$E$71,MATCH(C3967,Produtos!$A$2:$A$71,0)),0)</f>
        <v/>
      </c>
      <c r="R3967" s="27">
        <f>D3967*Q3967</f>
        <v/>
      </c>
      <c r="S3967" s="27">
        <f>R3967*E3967</f>
        <v/>
      </c>
      <c r="T3967" s="27">
        <f>(R3967-S3967)*M3967</f>
        <v/>
      </c>
      <c r="U3967" s="27">
        <f>R3967-S3967-T3967</f>
        <v/>
      </c>
      <c r="V3967" s="27">
        <f>D3967*P3967</f>
        <v/>
      </c>
      <c r="W3967" s="27">
        <f>U3967-V3967</f>
        <v/>
      </c>
      <c r="X3967" s="28">
        <f>IFERROR(W3967/U3967,0)</f>
        <v/>
      </c>
    </row>
    <row r="3968">
      <c r="A3968" s="21">
        <f>ItensPedido!A3968</f>
        <v/>
      </c>
      <c r="B3968" s="21">
        <f>ItensPedido!B3968</f>
        <v/>
      </c>
      <c r="C3968" s="21">
        <f>ItensPedido!C3968</f>
        <v/>
      </c>
      <c r="D3968" s="21">
        <f>ItensPedido!D3968</f>
        <v/>
      </c>
      <c r="E3968" s="22">
        <f>ItensPedido!E3968</f>
        <v/>
      </c>
      <c r="F3968" s="21">
        <f>IFERROR(INDEX(Pedidos!$B$2:$B$1801,MATCH(B3968,Pedidos!$A$2:$A$1801,0)),0)</f>
        <v/>
      </c>
      <c r="G3968" s="21">
        <f>IF(F3968=0,"",YEAR(F3968))</f>
        <v/>
      </c>
      <c r="H3968" s="21">
        <f>IF(F3968=0,"",MONTH(F3968))</f>
        <v/>
      </c>
      <c r="I3968" s="21">
        <f>IFERROR(INDEX(Pedidos!$E$2:$E$1801,MATCH(B3968,Pedidos!$A$2:$A$1801,0)),"")</f>
        <v/>
      </c>
      <c r="J3968" s="21">
        <f>IFERROR(INDEX(Pedidos!$C$2:$C$1801,MATCH(B3968,Pedidos!$A$2:$A$1801,0)),"")</f>
        <v/>
      </c>
      <c r="K3968" s="21">
        <f>IFERROR(INDEX(Pedidos!$D$2:$D$1801,MATCH(B3968,Pedidos!$A$2:$A$1801,0)),"")</f>
        <v/>
      </c>
      <c r="L3968" s="21">
        <f>IFERROR(INDEX(Pedidos!$F$2:$F$1801,MATCH(B3968,Pedidos!$A$2:$A$1801,0)),"")</f>
        <v/>
      </c>
      <c r="M3968" s="22">
        <f>IFERROR(INDEX(Pedidos!$G$2:$G$1801,MATCH(B3968,Pedidos!$A$2:$A$1801,0)),0)</f>
        <v/>
      </c>
      <c r="N3968" s="21">
        <f>IFERROR(INDEX(Produtos!$B$2:$B$71,MATCH(C3968,Produtos!$A$2:$A$71,0)),"")</f>
        <v/>
      </c>
      <c r="O3968" s="21">
        <f>IFERROR(INDEX(Produtos!$C$2:$C$71,MATCH(C3968,Produtos!$A$2:$A$71,0)),"")</f>
        <v/>
      </c>
      <c r="P3968" s="21">
        <f>IFERROR(INDEX(Produtos!$D$2:$D$71,MATCH(C3968,Produtos!$A$2:$A$71,0)),0)</f>
        <v/>
      </c>
      <c r="Q3968" s="21">
        <f>IFERROR(INDEX(Produtos!$E$2:$E$71,MATCH(C3968,Produtos!$A$2:$A$71,0)),0)</f>
        <v/>
      </c>
      <c r="R3968" s="23">
        <f>D3968*Q3968</f>
        <v/>
      </c>
      <c r="S3968" s="23">
        <f>R3968*E3968</f>
        <v/>
      </c>
      <c r="T3968" s="23">
        <f>(R3968-S3968)*M3968</f>
        <v/>
      </c>
      <c r="U3968" s="23">
        <f>R3968-S3968-T3968</f>
        <v/>
      </c>
      <c r="V3968" s="23">
        <f>D3968*P3968</f>
        <v/>
      </c>
      <c r="W3968" s="23">
        <f>U3968-V3968</f>
        <v/>
      </c>
      <c r="X3968" s="24">
        <f>IFERROR(W3968/U3968,0)</f>
        <v/>
      </c>
    </row>
    <row r="3969">
      <c r="A3969" s="25">
        <f>ItensPedido!A3969</f>
        <v/>
      </c>
      <c r="B3969" s="25">
        <f>ItensPedido!B3969</f>
        <v/>
      </c>
      <c r="C3969" s="25">
        <f>ItensPedido!C3969</f>
        <v/>
      </c>
      <c r="D3969" s="25">
        <f>ItensPedido!D3969</f>
        <v/>
      </c>
      <c r="E3969" s="26">
        <f>ItensPedido!E3969</f>
        <v/>
      </c>
      <c r="F3969" s="25">
        <f>IFERROR(INDEX(Pedidos!$B$2:$B$1801,MATCH(B3969,Pedidos!$A$2:$A$1801,0)),0)</f>
        <v/>
      </c>
      <c r="G3969" s="25">
        <f>IF(F3969=0,"",YEAR(F3969))</f>
        <v/>
      </c>
      <c r="H3969" s="25">
        <f>IF(F3969=0,"",MONTH(F3969))</f>
        <v/>
      </c>
      <c r="I3969" s="25">
        <f>IFERROR(INDEX(Pedidos!$E$2:$E$1801,MATCH(B3969,Pedidos!$A$2:$A$1801,0)),"")</f>
        <v/>
      </c>
      <c r="J3969" s="25">
        <f>IFERROR(INDEX(Pedidos!$C$2:$C$1801,MATCH(B3969,Pedidos!$A$2:$A$1801,0)),"")</f>
        <v/>
      </c>
      <c r="K3969" s="25">
        <f>IFERROR(INDEX(Pedidos!$D$2:$D$1801,MATCH(B3969,Pedidos!$A$2:$A$1801,0)),"")</f>
        <v/>
      </c>
      <c r="L3969" s="25">
        <f>IFERROR(INDEX(Pedidos!$F$2:$F$1801,MATCH(B3969,Pedidos!$A$2:$A$1801,0)),"")</f>
        <v/>
      </c>
      <c r="M3969" s="26">
        <f>IFERROR(INDEX(Pedidos!$G$2:$G$1801,MATCH(B3969,Pedidos!$A$2:$A$1801,0)),0)</f>
        <v/>
      </c>
      <c r="N3969" s="25">
        <f>IFERROR(INDEX(Produtos!$B$2:$B$71,MATCH(C3969,Produtos!$A$2:$A$71,0)),"")</f>
        <v/>
      </c>
      <c r="O3969" s="25">
        <f>IFERROR(INDEX(Produtos!$C$2:$C$71,MATCH(C3969,Produtos!$A$2:$A$71,0)),"")</f>
        <v/>
      </c>
      <c r="P3969" s="25">
        <f>IFERROR(INDEX(Produtos!$D$2:$D$71,MATCH(C3969,Produtos!$A$2:$A$71,0)),0)</f>
        <v/>
      </c>
      <c r="Q3969" s="25">
        <f>IFERROR(INDEX(Produtos!$E$2:$E$71,MATCH(C3969,Produtos!$A$2:$A$71,0)),0)</f>
        <v/>
      </c>
      <c r="R3969" s="27">
        <f>D3969*Q3969</f>
        <v/>
      </c>
      <c r="S3969" s="27">
        <f>R3969*E3969</f>
        <v/>
      </c>
      <c r="T3969" s="27">
        <f>(R3969-S3969)*M3969</f>
        <v/>
      </c>
      <c r="U3969" s="27">
        <f>R3969-S3969-T3969</f>
        <v/>
      </c>
      <c r="V3969" s="27">
        <f>D3969*P3969</f>
        <v/>
      </c>
      <c r="W3969" s="27">
        <f>U3969-V3969</f>
        <v/>
      </c>
      <c r="X3969" s="28">
        <f>IFERROR(W3969/U3969,0)</f>
        <v/>
      </c>
    </row>
    <row r="3970">
      <c r="A3970" s="21">
        <f>ItensPedido!A3970</f>
        <v/>
      </c>
      <c r="B3970" s="21">
        <f>ItensPedido!B3970</f>
        <v/>
      </c>
      <c r="C3970" s="21">
        <f>ItensPedido!C3970</f>
        <v/>
      </c>
      <c r="D3970" s="21">
        <f>ItensPedido!D3970</f>
        <v/>
      </c>
      <c r="E3970" s="22">
        <f>ItensPedido!E3970</f>
        <v/>
      </c>
      <c r="F3970" s="21">
        <f>IFERROR(INDEX(Pedidos!$B$2:$B$1801,MATCH(B3970,Pedidos!$A$2:$A$1801,0)),0)</f>
        <v/>
      </c>
      <c r="G3970" s="21">
        <f>IF(F3970=0,"",YEAR(F3970))</f>
        <v/>
      </c>
      <c r="H3970" s="21">
        <f>IF(F3970=0,"",MONTH(F3970))</f>
        <v/>
      </c>
      <c r="I3970" s="21">
        <f>IFERROR(INDEX(Pedidos!$E$2:$E$1801,MATCH(B3970,Pedidos!$A$2:$A$1801,0)),"")</f>
        <v/>
      </c>
      <c r="J3970" s="21">
        <f>IFERROR(INDEX(Pedidos!$C$2:$C$1801,MATCH(B3970,Pedidos!$A$2:$A$1801,0)),"")</f>
        <v/>
      </c>
      <c r="K3970" s="21">
        <f>IFERROR(INDEX(Pedidos!$D$2:$D$1801,MATCH(B3970,Pedidos!$A$2:$A$1801,0)),"")</f>
        <v/>
      </c>
      <c r="L3970" s="21">
        <f>IFERROR(INDEX(Pedidos!$F$2:$F$1801,MATCH(B3970,Pedidos!$A$2:$A$1801,0)),"")</f>
        <v/>
      </c>
      <c r="M3970" s="22">
        <f>IFERROR(INDEX(Pedidos!$G$2:$G$1801,MATCH(B3970,Pedidos!$A$2:$A$1801,0)),0)</f>
        <v/>
      </c>
      <c r="N3970" s="21">
        <f>IFERROR(INDEX(Produtos!$B$2:$B$71,MATCH(C3970,Produtos!$A$2:$A$71,0)),"")</f>
        <v/>
      </c>
      <c r="O3970" s="21">
        <f>IFERROR(INDEX(Produtos!$C$2:$C$71,MATCH(C3970,Produtos!$A$2:$A$71,0)),"")</f>
        <v/>
      </c>
      <c r="P3970" s="21">
        <f>IFERROR(INDEX(Produtos!$D$2:$D$71,MATCH(C3970,Produtos!$A$2:$A$71,0)),0)</f>
        <v/>
      </c>
      <c r="Q3970" s="21">
        <f>IFERROR(INDEX(Produtos!$E$2:$E$71,MATCH(C3970,Produtos!$A$2:$A$71,0)),0)</f>
        <v/>
      </c>
      <c r="R3970" s="23">
        <f>D3970*Q3970</f>
        <v/>
      </c>
      <c r="S3970" s="23">
        <f>R3970*E3970</f>
        <v/>
      </c>
      <c r="T3970" s="23">
        <f>(R3970-S3970)*M3970</f>
        <v/>
      </c>
      <c r="U3970" s="23">
        <f>R3970-S3970-T3970</f>
        <v/>
      </c>
      <c r="V3970" s="23">
        <f>D3970*P3970</f>
        <v/>
      </c>
      <c r="W3970" s="23">
        <f>U3970-V3970</f>
        <v/>
      </c>
      <c r="X3970" s="24">
        <f>IFERROR(W3970/U3970,0)</f>
        <v/>
      </c>
    </row>
    <row r="3971">
      <c r="A3971" s="25">
        <f>ItensPedido!A3971</f>
        <v/>
      </c>
      <c r="B3971" s="25">
        <f>ItensPedido!B3971</f>
        <v/>
      </c>
      <c r="C3971" s="25">
        <f>ItensPedido!C3971</f>
        <v/>
      </c>
      <c r="D3971" s="25">
        <f>ItensPedido!D3971</f>
        <v/>
      </c>
      <c r="E3971" s="26">
        <f>ItensPedido!E3971</f>
        <v/>
      </c>
      <c r="F3971" s="25">
        <f>IFERROR(INDEX(Pedidos!$B$2:$B$1801,MATCH(B3971,Pedidos!$A$2:$A$1801,0)),0)</f>
        <v/>
      </c>
      <c r="G3971" s="25">
        <f>IF(F3971=0,"",YEAR(F3971))</f>
        <v/>
      </c>
      <c r="H3971" s="25">
        <f>IF(F3971=0,"",MONTH(F3971))</f>
        <v/>
      </c>
      <c r="I3971" s="25">
        <f>IFERROR(INDEX(Pedidos!$E$2:$E$1801,MATCH(B3971,Pedidos!$A$2:$A$1801,0)),"")</f>
        <v/>
      </c>
      <c r="J3971" s="25">
        <f>IFERROR(INDEX(Pedidos!$C$2:$C$1801,MATCH(B3971,Pedidos!$A$2:$A$1801,0)),"")</f>
        <v/>
      </c>
      <c r="K3971" s="25">
        <f>IFERROR(INDEX(Pedidos!$D$2:$D$1801,MATCH(B3971,Pedidos!$A$2:$A$1801,0)),"")</f>
        <v/>
      </c>
      <c r="L3971" s="25">
        <f>IFERROR(INDEX(Pedidos!$F$2:$F$1801,MATCH(B3971,Pedidos!$A$2:$A$1801,0)),"")</f>
        <v/>
      </c>
      <c r="M3971" s="26">
        <f>IFERROR(INDEX(Pedidos!$G$2:$G$1801,MATCH(B3971,Pedidos!$A$2:$A$1801,0)),0)</f>
        <v/>
      </c>
      <c r="N3971" s="25">
        <f>IFERROR(INDEX(Produtos!$B$2:$B$71,MATCH(C3971,Produtos!$A$2:$A$71,0)),"")</f>
        <v/>
      </c>
      <c r="O3971" s="25">
        <f>IFERROR(INDEX(Produtos!$C$2:$C$71,MATCH(C3971,Produtos!$A$2:$A$71,0)),"")</f>
        <v/>
      </c>
      <c r="P3971" s="25">
        <f>IFERROR(INDEX(Produtos!$D$2:$D$71,MATCH(C3971,Produtos!$A$2:$A$71,0)),0)</f>
        <v/>
      </c>
      <c r="Q3971" s="25">
        <f>IFERROR(INDEX(Produtos!$E$2:$E$71,MATCH(C3971,Produtos!$A$2:$A$71,0)),0)</f>
        <v/>
      </c>
      <c r="R3971" s="27">
        <f>D3971*Q3971</f>
        <v/>
      </c>
      <c r="S3971" s="27">
        <f>R3971*E3971</f>
        <v/>
      </c>
      <c r="T3971" s="27">
        <f>(R3971-S3971)*M3971</f>
        <v/>
      </c>
      <c r="U3971" s="27">
        <f>R3971-S3971-T3971</f>
        <v/>
      </c>
      <c r="V3971" s="27">
        <f>D3971*P3971</f>
        <v/>
      </c>
      <c r="W3971" s="27">
        <f>U3971-V3971</f>
        <v/>
      </c>
      <c r="X3971" s="28">
        <f>IFERROR(W3971/U3971,0)</f>
        <v/>
      </c>
    </row>
    <row r="3972">
      <c r="A3972" s="21">
        <f>ItensPedido!A3972</f>
        <v/>
      </c>
      <c r="B3972" s="21">
        <f>ItensPedido!B3972</f>
        <v/>
      </c>
      <c r="C3972" s="21">
        <f>ItensPedido!C3972</f>
        <v/>
      </c>
      <c r="D3972" s="21">
        <f>ItensPedido!D3972</f>
        <v/>
      </c>
      <c r="E3972" s="22">
        <f>ItensPedido!E3972</f>
        <v/>
      </c>
      <c r="F3972" s="21">
        <f>IFERROR(INDEX(Pedidos!$B$2:$B$1801,MATCH(B3972,Pedidos!$A$2:$A$1801,0)),0)</f>
        <v/>
      </c>
      <c r="G3972" s="21">
        <f>IF(F3972=0,"",YEAR(F3972))</f>
        <v/>
      </c>
      <c r="H3972" s="21">
        <f>IF(F3972=0,"",MONTH(F3972))</f>
        <v/>
      </c>
      <c r="I3972" s="21">
        <f>IFERROR(INDEX(Pedidos!$E$2:$E$1801,MATCH(B3972,Pedidos!$A$2:$A$1801,0)),"")</f>
        <v/>
      </c>
      <c r="J3972" s="21">
        <f>IFERROR(INDEX(Pedidos!$C$2:$C$1801,MATCH(B3972,Pedidos!$A$2:$A$1801,0)),"")</f>
        <v/>
      </c>
      <c r="K3972" s="21">
        <f>IFERROR(INDEX(Pedidos!$D$2:$D$1801,MATCH(B3972,Pedidos!$A$2:$A$1801,0)),"")</f>
        <v/>
      </c>
      <c r="L3972" s="21">
        <f>IFERROR(INDEX(Pedidos!$F$2:$F$1801,MATCH(B3972,Pedidos!$A$2:$A$1801,0)),"")</f>
        <v/>
      </c>
      <c r="M3972" s="22">
        <f>IFERROR(INDEX(Pedidos!$G$2:$G$1801,MATCH(B3972,Pedidos!$A$2:$A$1801,0)),0)</f>
        <v/>
      </c>
      <c r="N3972" s="21">
        <f>IFERROR(INDEX(Produtos!$B$2:$B$71,MATCH(C3972,Produtos!$A$2:$A$71,0)),"")</f>
        <v/>
      </c>
      <c r="O3972" s="21">
        <f>IFERROR(INDEX(Produtos!$C$2:$C$71,MATCH(C3972,Produtos!$A$2:$A$71,0)),"")</f>
        <v/>
      </c>
      <c r="P3972" s="21">
        <f>IFERROR(INDEX(Produtos!$D$2:$D$71,MATCH(C3972,Produtos!$A$2:$A$71,0)),0)</f>
        <v/>
      </c>
      <c r="Q3972" s="21">
        <f>IFERROR(INDEX(Produtos!$E$2:$E$71,MATCH(C3972,Produtos!$A$2:$A$71,0)),0)</f>
        <v/>
      </c>
      <c r="R3972" s="23">
        <f>D3972*Q3972</f>
        <v/>
      </c>
      <c r="S3972" s="23">
        <f>R3972*E3972</f>
        <v/>
      </c>
      <c r="T3972" s="23">
        <f>(R3972-S3972)*M3972</f>
        <v/>
      </c>
      <c r="U3972" s="23">
        <f>R3972-S3972-T3972</f>
        <v/>
      </c>
      <c r="V3972" s="23">
        <f>D3972*P3972</f>
        <v/>
      </c>
      <c r="W3972" s="23">
        <f>U3972-V3972</f>
        <v/>
      </c>
      <c r="X3972" s="24">
        <f>IFERROR(W3972/U3972,0)</f>
        <v/>
      </c>
    </row>
    <row r="3973">
      <c r="A3973" s="25">
        <f>ItensPedido!A3973</f>
        <v/>
      </c>
      <c r="B3973" s="25">
        <f>ItensPedido!B3973</f>
        <v/>
      </c>
      <c r="C3973" s="25">
        <f>ItensPedido!C3973</f>
        <v/>
      </c>
      <c r="D3973" s="25">
        <f>ItensPedido!D3973</f>
        <v/>
      </c>
      <c r="E3973" s="26">
        <f>ItensPedido!E3973</f>
        <v/>
      </c>
      <c r="F3973" s="25">
        <f>IFERROR(INDEX(Pedidos!$B$2:$B$1801,MATCH(B3973,Pedidos!$A$2:$A$1801,0)),0)</f>
        <v/>
      </c>
      <c r="G3973" s="25">
        <f>IF(F3973=0,"",YEAR(F3973))</f>
        <v/>
      </c>
      <c r="H3973" s="25">
        <f>IF(F3973=0,"",MONTH(F3973))</f>
        <v/>
      </c>
      <c r="I3973" s="25">
        <f>IFERROR(INDEX(Pedidos!$E$2:$E$1801,MATCH(B3973,Pedidos!$A$2:$A$1801,0)),"")</f>
        <v/>
      </c>
      <c r="J3973" s="25">
        <f>IFERROR(INDEX(Pedidos!$C$2:$C$1801,MATCH(B3973,Pedidos!$A$2:$A$1801,0)),"")</f>
        <v/>
      </c>
      <c r="K3973" s="25">
        <f>IFERROR(INDEX(Pedidos!$D$2:$D$1801,MATCH(B3973,Pedidos!$A$2:$A$1801,0)),"")</f>
        <v/>
      </c>
      <c r="L3973" s="25">
        <f>IFERROR(INDEX(Pedidos!$F$2:$F$1801,MATCH(B3973,Pedidos!$A$2:$A$1801,0)),"")</f>
        <v/>
      </c>
      <c r="M3973" s="26">
        <f>IFERROR(INDEX(Pedidos!$G$2:$G$1801,MATCH(B3973,Pedidos!$A$2:$A$1801,0)),0)</f>
        <v/>
      </c>
      <c r="N3973" s="25">
        <f>IFERROR(INDEX(Produtos!$B$2:$B$71,MATCH(C3973,Produtos!$A$2:$A$71,0)),"")</f>
        <v/>
      </c>
      <c r="O3973" s="25">
        <f>IFERROR(INDEX(Produtos!$C$2:$C$71,MATCH(C3973,Produtos!$A$2:$A$71,0)),"")</f>
        <v/>
      </c>
      <c r="P3973" s="25">
        <f>IFERROR(INDEX(Produtos!$D$2:$D$71,MATCH(C3973,Produtos!$A$2:$A$71,0)),0)</f>
        <v/>
      </c>
      <c r="Q3973" s="25">
        <f>IFERROR(INDEX(Produtos!$E$2:$E$71,MATCH(C3973,Produtos!$A$2:$A$71,0)),0)</f>
        <v/>
      </c>
      <c r="R3973" s="27">
        <f>D3973*Q3973</f>
        <v/>
      </c>
      <c r="S3973" s="27">
        <f>R3973*E3973</f>
        <v/>
      </c>
      <c r="T3973" s="27">
        <f>(R3973-S3973)*M3973</f>
        <v/>
      </c>
      <c r="U3973" s="27">
        <f>R3973-S3973-T3973</f>
        <v/>
      </c>
      <c r="V3973" s="27">
        <f>D3973*P3973</f>
        <v/>
      </c>
      <c r="W3973" s="27">
        <f>U3973-V3973</f>
        <v/>
      </c>
      <c r="X3973" s="28">
        <f>IFERROR(W3973/U3973,0)</f>
        <v/>
      </c>
    </row>
    <row r="3974">
      <c r="A3974" s="21">
        <f>ItensPedido!A3974</f>
        <v/>
      </c>
      <c r="B3974" s="21">
        <f>ItensPedido!B3974</f>
        <v/>
      </c>
      <c r="C3974" s="21">
        <f>ItensPedido!C3974</f>
        <v/>
      </c>
      <c r="D3974" s="21">
        <f>ItensPedido!D3974</f>
        <v/>
      </c>
      <c r="E3974" s="22">
        <f>ItensPedido!E3974</f>
        <v/>
      </c>
      <c r="F3974" s="21">
        <f>IFERROR(INDEX(Pedidos!$B$2:$B$1801,MATCH(B3974,Pedidos!$A$2:$A$1801,0)),0)</f>
        <v/>
      </c>
      <c r="G3974" s="21">
        <f>IF(F3974=0,"",YEAR(F3974))</f>
        <v/>
      </c>
      <c r="H3974" s="21">
        <f>IF(F3974=0,"",MONTH(F3974))</f>
        <v/>
      </c>
      <c r="I3974" s="21">
        <f>IFERROR(INDEX(Pedidos!$E$2:$E$1801,MATCH(B3974,Pedidos!$A$2:$A$1801,0)),"")</f>
        <v/>
      </c>
      <c r="J3974" s="21">
        <f>IFERROR(INDEX(Pedidos!$C$2:$C$1801,MATCH(B3974,Pedidos!$A$2:$A$1801,0)),"")</f>
        <v/>
      </c>
      <c r="K3974" s="21">
        <f>IFERROR(INDEX(Pedidos!$D$2:$D$1801,MATCH(B3974,Pedidos!$A$2:$A$1801,0)),"")</f>
        <v/>
      </c>
      <c r="L3974" s="21">
        <f>IFERROR(INDEX(Pedidos!$F$2:$F$1801,MATCH(B3974,Pedidos!$A$2:$A$1801,0)),"")</f>
        <v/>
      </c>
      <c r="M3974" s="22">
        <f>IFERROR(INDEX(Pedidos!$G$2:$G$1801,MATCH(B3974,Pedidos!$A$2:$A$1801,0)),0)</f>
        <v/>
      </c>
      <c r="N3974" s="21">
        <f>IFERROR(INDEX(Produtos!$B$2:$B$71,MATCH(C3974,Produtos!$A$2:$A$71,0)),"")</f>
        <v/>
      </c>
      <c r="O3974" s="21">
        <f>IFERROR(INDEX(Produtos!$C$2:$C$71,MATCH(C3974,Produtos!$A$2:$A$71,0)),"")</f>
        <v/>
      </c>
      <c r="P3974" s="21">
        <f>IFERROR(INDEX(Produtos!$D$2:$D$71,MATCH(C3974,Produtos!$A$2:$A$71,0)),0)</f>
        <v/>
      </c>
      <c r="Q3974" s="21">
        <f>IFERROR(INDEX(Produtos!$E$2:$E$71,MATCH(C3974,Produtos!$A$2:$A$71,0)),0)</f>
        <v/>
      </c>
      <c r="R3974" s="23">
        <f>D3974*Q3974</f>
        <v/>
      </c>
      <c r="S3974" s="23">
        <f>R3974*E3974</f>
        <v/>
      </c>
      <c r="T3974" s="23">
        <f>(R3974-S3974)*M3974</f>
        <v/>
      </c>
      <c r="U3974" s="23">
        <f>R3974-S3974-T3974</f>
        <v/>
      </c>
      <c r="V3974" s="23">
        <f>D3974*P3974</f>
        <v/>
      </c>
      <c r="W3974" s="23">
        <f>U3974-V3974</f>
        <v/>
      </c>
      <c r="X3974" s="24">
        <f>IFERROR(W3974/U3974,0)</f>
        <v/>
      </c>
    </row>
    <row r="3975">
      <c r="A3975" s="25">
        <f>ItensPedido!A3975</f>
        <v/>
      </c>
      <c r="B3975" s="25">
        <f>ItensPedido!B3975</f>
        <v/>
      </c>
      <c r="C3975" s="25">
        <f>ItensPedido!C3975</f>
        <v/>
      </c>
      <c r="D3975" s="25">
        <f>ItensPedido!D3975</f>
        <v/>
      </c>
      <c r="E3975" s="26">
        <f>ItensPedido!E3975</f>
        <v/>
      </c>
      <c r="F3975" s="25">
        <f>IFERROR(INDEX(Pedidos!$B$2:$B$1801,MATCH(B3975,Pedidos!$A$2:$A$1801,0)),0)</f>
        <v/>
      </c>
      <c r="G3975" s="25">
        <f>IF(F3975=0,"",YEAR(F3975))</f>
        <v/>
      </c>
      <c r="H3975" s="25">
        <f>IF(F3975=0,"",MONTH(F3975))</f>
        <v/>
      </c>
      <c r="I3975" s="25">
        <f>IFERROR(INDEX(Pedidos!$E$2:$E$1801,MATCH(B3975,Pedidos!$A$2:$A$1801,0)),"")</f>
        <v/>
      </c>
      <c r="J3975" s="25">
        <f>IFERROR(INDEX(Pedidos!$C$2:$C$1801,MATCH(B3975,Pedidos!$A$2:$A$1801,0)),"")</f>
        <v/>
      </c>
      <c r="K3975" s="25">
        <f>IFERROR(INDEX(Pedidos!$D$2:$D$1801,MATCH(B3975,Pedidos!$A$2:$A$1801,0)),"")</f>
        <v/>
      </c>
      <c r="L3975" s="25">
        <f>IFERROR(INDEX(Pedidos!$F$2:$F$1801,MATCH(B3975,Pedidos!$A$2:$A$1801,0)),"")</f>
        <v/>
      </c>
      <c r="M3975" s="26">
        <f>IFERROR(INDEX(Pedidos!$G$2:$G$1801,MATCH(B3975,Pedidos!$A$2:$A$1801,0)),0)</f>
        <v/>
      </c>
      <c r="N3975" s="25">
        <f>IFERROR(INDEX(Produtos!$B$2:$B$71,MATCH(C3975,Produtos!$A$2:$A$71,0)),"")</f>
        <v/>
      </c>
      <c r="O3975" s="25">
        <f>IFERROR(INDEX(Produtos!$C$2:$C$71,MATCH(C3975,Produtos!$A$2:$A$71,0)),"")</f>
        <v/>
      </c>
      <c r="P3975" s="25">
        <f>IFERROR(INDEX(Produtos!$D$2:$D$71,MATCH(C3975,Produtos!$A$2:$A$71,0)),0)</f>
        <v/>
      </c>
      <c r="Q3975" s="25">
        <f>IFERROR(INDEX(Produtos!$E$2:$E$71,MATCH(C3975,Produtos!$A$2:$A$71,0)),0)</f>
        <v/>
      </c>
      <c r="R3975" s="27">
        <f>D3975*Q3975</f>
        <v/>
      </c>
      <c r="S3975" s="27">
        <f>R3975*E3975</f>
        <v/>
      </c>
      <c r="T3975" s="27">
        <f>(R3975-S3975)*M3975</f>
        <v/>
      </c>
      <c r="U3975" s="27">
        <f>R3975-S3975-T3975</f>
        <v/>
      </c>
      <c r="V3975" s="27">
        <f>D3975*P3975</f>
        <v/>
      </c>
      <c r="W3975" s="27">
        <f>U3975-V3975</f>
        <v/>
      </c>
      <c r="X3975" s="28">
        <f>IFERROR(W3975/U3975,0)</f>
        <v/>
      </c>
    </row>
    <row r="3976">
      <c r="A3976" s="21">
        <f>ItensPedido!A3976</f>
        <v/>
      </c>
      <c r="B3976" s="21">
        <f>ItensPedido!B3976</f>
        <v/>
      </c>
      <c r="C3976" s="21">
        <f>ItensPedido!C3976</f>
        <v/>
      </c>
      <c r="D3976" s="21">
        <f>ItensPedido!D3976</f>
        <v/>
      </c>
      <c r="E3976" s="22">
        <f>ItensPedido!E3976</f>
        <v/>
      </c>
      <c r="F3976" s="21">
        <f>IFERROR(INDEX(Pedidos!$B$2:$B$1801,MATCH(B3976,Pedidos!$A$2:$A$1801,0)),0)</f>
        <v/>
      </c>
      <c r="G3976" s="21">
        <f>IF(F3976=0,"",YEAR(F3976))</f>
        <v/>
      </c>
      <c r="H3976" s="21">
        <f>IF(F3976=0,"",MONTH(F3976))</f>
        <v/>
      </c>
      <c r="I3976" s="21">
        <f>IFERROR(INDEX(Pedidos!$E$2:$E$1801,MATCH(B3976,Pedidos!$A$2:$A$1801,0)),"")</f>
        <v/>
      </c>
      <c r="J3976" s="21">
        <f>IFERROR(INDEX(Pedidos!$C$2:$C$1801,MATCH(B3976,Pedidos!$A$2:$A$1801,0)),"")</f>
        <v/>
      </c>
      <c r="K3976" s="21">
        <f>IFERROR(INDEX(Pedidos!$D$2:$D$1801,MATCH(B3976,Pedidos!$A$2:$A$1801,0)),"")</f>
        <v/>
      </c>
      <c r="L3976" s="21">
        <f>IFERROR(INDEX(Pedidos!$F$2:$F$1801,MATCH(B3976,Pedidos!$A$2:$A$1801,0)),"")</f>
        <v/>
      </c>
      <c r="M3976" s="22">
        <f>IFERROR(INDEX(Pedidos!$G$2:$G$1801,MATCH(B3976,Pedidos!$A$2:$A$1801,0)),0)</f>
        <v/>
      </c>
      <c r="N3976" s="21">
        <f>IFERROR(INDEX(Produtos!$B$2:$B$71,MATCH(C3976,Produtos!$A$2:$A$71,0)),"")</f>
        <v/>
      </c>
      <c r="O3976" s="21">
        <f>IFERROR(INDEX(Produtos!$C$2:$C$71,MATCH(C3976,Produtos!$A$2:$A$71,0)),"")</f>
        <v/>
      </c>
      <c r="P3976" s="21">
        <f>IFERROR(INDEX(Produtos!$D$2:$D$71,MATCH(C3976,Produtos!$A$2:$A$71,0)),0)</f>
        <v/>
      </c>
      <c r="Q3976" s="21">
        <f>IFERROR(INDEX(Produtos!$E$2:$E$71,MATCH(C3976,Produtos!$A$2:$A$71,0)),0)</f>
        <v/>
      </c>
      <c r="R3976" s="23">
        <f>D3976*Q3976</f>
        <v/>
      </c>
      <c r="S3976" s="23">
        <f>R3976*E3976</f>
        <v/>
      </c>
      <c r="T3976" s="23">
        <f>(R3976-S3976)*M3976</f>
        <v/>
      </c>
      <c r="U3976" s="23">
        <f>R3976-S3976-T3976</f>
        <v/>
      </c>
      <c r="V3976" s="23">
        <f>D3976*P3976</f>
        <v/>
      </c>
      <c r="W3976" s="23">
        <f>U3976-V3976</f>
        <v/>
      </c>
      <c r="X3976" s="24">
        <f>IFERROR(W3976/U3976,0)</f>
        <v/>
      </c>
    </row>
    <row r="3977">
      <c r="A3977" s="25">
        <f>ItensPedido!A3977</f>
        <v/>
      </c>
      <c r="B3977" s="25">
        <f>ItensPedido!B3977</f>
        <v/>
      </c>
      <c r="C3977" s="25">
        <f>ItensPedido!C3977</f>
        <v/>
      </c>
      <c r="D3977" s="25">
        <f>ItensPedido!D3977</f>
        <v/>
      </c>
      <c r="E3977" s="26">
        <f>ItensPedido!E3977</f>
        <v/>
      </c>
      <c r="F3977" s="25">
        <f>IFERROR(INDEX(Pedidos!$B$2:$B$1801,MATCH(B3977,Pedidos!$A$2:$A$1801,0)),0)</f>
        <v/>
      </c>
      <c r="G3977" s="25">
        <f>IF(F3977=0,"",YEAR(F3977))</f>
        <v/>
      </c>
      <c r="H3977" s="25">
        <f>IF(F3977=0,"",MONTH(F3977))</f>
        <v/>
      </c>
      <c r="I3977" s="25">
        <f>IFERROR(INDEX(Pedidos!$E$2:$E$1801,MATCH(B3977,Pedidos!$A$2:$A$1801,0)),"")</f>
        <v/>
      </c>
      <c r="J3977" s="25">
        <f>IFERROR(INDEX(Pedidos!$C$2:$C$1801,MATCH(B3977,Pedidos!$A$2:$A$1801,0)),"")</f>
        <v/>
      </c>
      <c r="K3977" s="25">
        <f>IFERROR(INDEX(Pedidos!$D$2:$D$1801,MATCH(B3977,Pedidos!$A$2:$A$1801,0)),"")</f>
        <v/>
      </c>
      <c r="L3977" s="25">
        <f>IFERROR(INDEX(Pedidos!$F$2:$F$1801,MATCH(B3977,Pedidos!$A$2:$A$1801,0)),"")</f>
        <v/>
      </c>
      <c r="M3977" s="26">
        <f>IFERROR(INDEX(Pedidos!$G$2:$G$1801,MATCH(B3977,Pedidos!$A$2:$A$1801,0)),0)</f>
        <v/>
      </c>
      <c r="N3977" s="25">
        <f>IFERROR(INDEX(Produtos!$B$2:$B$71,MATCH(C3977,Produtos!$A$2:$A$71,0)),"")</f>
        <v/>
      </c>
      <c r="O3977" s="25">
        <f>IFERROR(INDEX(Produtos!$C$2:$C$71,MATCH(C3977,Produtos!$A$2:$A$71,0)),"")</f>
        <v/>
      </c>
      <c r="P3977" s="25">
        <f>IFERROR(INDEX(Produtos!$D$2:$D$71,MATCH(C3977,Produtos!$A$2:$A$71,0)),0)</f>
        <v/>
      </c>
      <c r="Q3977" s="25">
        <f>IFERROR(INDEX(Produtos!$E$2:$E$71,MATCH(C3977,Produtos!$A$2:$A$71,0)),0)</f>
        <v/>
      </c>
      <c r="R3977" s="27">
        <f>D3977*Q3977</f>
        <v/>
      </c>
      <c r="S3977" s="27">
        <f>R3977*E3977</f>
        <v/>
      </c>
      <c r="T3977" s="27">
        <f>(R3977-S3977)*M3977</f>
        <v/>
      </c>
      <c r="U3977" s="27">
        <f>R3977-S3977-T3977</f>
        <v/>
      </c>
      <c r="V3977" s="27">
        <f>D3977*P3977</f>
        <v/>
      </c>
      <c r="W3977" s="27">
        <f>U3977-V3977</f>
        <v/>
      </c>
      <c r="X3977" s="28">
        <f>IFERROR(W3977/U3977,0)</f>
        <v/>
      </c>
    </row>
    <row r="3978">
      <c r="A3978" s="21">
        <f>ItensPedido!A3978</f>
        <v/>
      </c>
      <c r="B3978" s="21">
        <f>ItensPedido!B3978</f>
        <v/>
      </c>
      <c r="C3978" s="21">
        <f>ItensPedido!C3978</f>
        <v/>
      </c>
      <c r="D3978" s="21">
        <f>ItensPedido!D3978</f>
        <v/>
      </c>
      <c r="E3978" s="22">
        <f>ItensPedido!E3978</f>
        <v/>
      </c>
      <c r="F3978" s="21">
        <f>IFERROR(INDEX(Pedidos!$B$2:$B$1801,MATCH(B3978,Pedidos!$A$2:$A$1801,0)),0)</f>
        <v/>
      </c>
      <c r="G3978" s="21">
        <f>IF(F3978=0,"",YEAR(F3978))</f>
        <v/>
      </c>
      <c r="H3978" s="21">
        <f>IF(F3978=0,"",MONTH(F3978))</f>
        <v/>
      </c>
      <c r="I3978" s="21">
        <f>IFERROR(INDEX(Pedidos!$E$2:$E$1801,MATCH(B3978,Pedidos!$A$2:$A$1801,0)),"")</f>
        <v/>
      </c>
      <c r="J3978" s="21">
        <f>IFERROR(INDEX(Pedidos!$C$2:$C$1801,MATCH(B3978,Pedidos!$A$2:$A$1801,0)),"")</f>
        <v/>
      </c>
      <c r="K3978" s="21">
        <f>IFERROR(INDEX(Pedidos!$D$2:$D$1801,MATCH(B3978,Pedidos!$A$2:$A$1801,0)),"")</f>
        <v/>
      </c>
      <c r="L3978" s="21">
        <f>IFERROR(INDEX(Pedidos!$F$2:$F$1801,MATCH(B3978,Pedidos!$A$2:$A$1801,0)),"")</f>
        <v/>
      </c>
      <c r="M3978" s="22">
        <f>IFERROR(INDEX(Pedidos!$G$2:$G$1801,MATCH(B3978,Pedidos!$A$2:$A$1801,0)),0)</f>
        <v/>
      </c>
      <c r="N3978" s="21">
        <f>IFERROR(INDEX(Produtos!$B$2:$B$71,MATCH(C3978,Produtos!$A$2:$A$71,0)),"")</f>
        <v/>
      </c>
      <c r="O3978" s="21">
        <f>IFERROR(INDEX(Produtos!$C$2:$C$71,MATCH(C3978,Produtos!$A$2:$A$71,0)),"")</f>
        <v/>
      </c>
      <c r="P3978" s="21">
        <f>IFERROR(INDEX(Produtos!$D$2:$D$71,MATCH(C3978,Produtos!$A$2:$A$71,0)),0)</f>
        <v/>
      </c>
      <c r="Q3978" s="21">
        <f>IFERROR(INDEX(Produtos!$E$2:$E$71,MATCH(C3978,Produtos!$A$2:$A$71,0)),0)</f>
        <v/>
      </c>
      <c r="R3978" s="23">
        <f>D3978*Q3978</f>
        <v/>
      </c>
      <c r="S3978" s="23">
        <f>R3978*E3978</f>
        <v/>
      </c>
      <c r="T3978" s="23">
        <f>(R3978-S3978)*M3978</f>
        <v/>
      </c>
      <c r="U3978" s="23">
        <f>R3978-S3978-T3978</f>
        <v/>
      </c>
      <c r="V3978" s="23">
        <f>D3978*P3978</f>
        <v/>
      </c>
      <c r="W3978" s="23">
        <f>U3978-V3978</f>
        <v/>
      </c>
      <c r="X3978" s="24">
        <f>IFERROR(W3978/U3978,0)</f>
        <v/>
      </c>
    </row>
    <row r="3979">
      <c r="A3979" s="25">
        <f>ItensPedido!A3979</f>
        <v/>
      </c>
      <c r="B3979" s="25">
        <f>ItensPedido!B3979</f>
        <v/>
      </c>
      <c r="C3979" s="25">
        <f>ItensPedido!C3979</f>
        <v/>
      </c>
      <c r="D3979" s="25">
        <f>ItensPedido!D3979</f>
        <v/>
      </c>
      <c r="E3979" s="26">
        <f>ItensPedido!E3979</f>
        <v/>
      </c>
      <c r="F3979" s="25">
        <f>IFERROR(INDEX(Pedidos!$B$2:$B$1801,MATCH(B3979,Pedidos!$A$2:$A$1801,0)),0)</f>
        <v/>
      </c>
      <c r="G3979" s="25">
        <f>IF(F3979=0,"",YEAR(F3979))</f>
        <v/>
      </c>
      <c r="H3979" s="25">
        <f>IF(F3979=0,"",MONTH(F3979))</f>
        <v/>
      </c>
      <c r="I3979" s="25">
        <f>IFERROR(INDEX(Pedidos!$E$2:$E$1801,MATCH(B3979,Pedidos!$A$2:$A$1801,0)),"")</f>
        <v/>
      </c>
      <c r="J3979" s="25">
        <f>IFERROR(INDEX(Pedidos!$C$2:$C$1801,MATCH(B3979,Pedidos!$A$2:$A$1801,0)),"")</f>
        <v/>
      </c>
      <c r="K3979" s="25">
        <f>IFERROR(INDEX(Pedidos!$D$2:$D$1801,MATCH(B3979,Pedidos!$A$2:$A$1801,0)),"")</f>
        <v/>
      </c>
      <c r="L3979" s="25">
        <f>IFERROR(INDEX(Pedidos!$F$2:$F$1801,MATCH(B3979,Pedidos!$A$2:$A$1801,0)),"")</f>
        <v/>
      </c>
      <c r="M3979" s="26">
        <f>IFERROR(INDEX(Pedidos!$G$2:$G$1801,MATCH(B3979,Pedidos!$A$2:$A$1801,0)),0)</f>
        <v/>
      </c>
      <c r="N3979" s="25">
        <f>IFERROR(INDEX(Produtos!$B$2:$B$71,MATCH(C3979,Produtos!$A$2:$A$71,0)),"")</f>
        <v/>
      </c>
      <c r="O3979" s="25">
        <f>IFERROR(INDEX(Produtos!$C$2:$C$71,MATCH(C3979,Produtos!$A$2:$A$71,0)),"")</f>
        <v/>
      </c>
      <c r="P3979" s="25">
        <f>IFERROR(INDEX(Produtos!$D$2:$D$71,MATCH(C3979,Produtos!$A$2:$A$71,0)),0)</f>
        <v/>
      </c>
      <c r="Q3979" s="25">
        <f>IFERROR(INDEX(Produtos!$E$2:$E$71,MATCH(C3979,Produtos!$A$2:$A$71,0)),0)</f>
        <v/>
      </c>
      <c r="R3979" s="27">
        <f>D3979*Q3979</f>
        <v/>
      </c>
      <c r="S3979" s="27">
        <f>R3979*E3979</f>
        <v/>
      </c>
      <c r="T3979" s="27">
        <f>(R3979-S3979)*M3979</f>
        <v/>
      </c>
      <c r="U3979" s="27">
        <f>R3979-S3979-T3979</f>
        <v/>
      </c>
      <c r="V3979" s="27">
        <f>D3979*P3979</f>
        <v/>
      </c>
      <c r="W3979" s="27">
        <f>U3979-V3979</f>
        <v/>
      </c>
      <c r="X3979" s="28">
        <f>IFERROR(W3979/U3979,0)</f>
        <v/>
      </c>
    </row>
    <row r="3980">
      <c r="A3980" s="21">
        <f>ItensPedido!A3980</f>
        <v/>
      </c>
      <c r="B3980" s="21">
        <f>ItensPedido!B3980</f>
        <v/>
      </c>
      <c r="C3980" s="21">
        <f>ItensPedido!C3980</f>
        <v/>
      </c>
      <c r="D3980" s="21">
        <f>ItensPedido!D3980</f>
        <v/>
      </c>
      <c r="E3980" s="22">
        <f>ItensPedido!E3980</f>
        <v/>
      </c>
      <c r="F3980" s="21">
        <f>IFERROR(INDEX(Pedidos!$B$2:$B$1801,MATCH(B3980,Pedidos!$A$2:$A$1801,0)),0)</f>
        <v/>
      </c>
      <c r="G3980" s="21">
        <f>IF(F3980=0,"",YEAR(F3980))</f>
        <v/>
      </c>
      <c r="H3980" s="21">
        <f>IF(F3980=0,"",MONTH(F3980))</f>
        <v/>
      </c>
      <c r="I3980" s="21">
        <f>IFERROR(INDEX(Pedidos!$E$2:$E$1801,MATCH(B3980,Pedidos!$A$2:$A$1801,0)),"")</f>
        <v/>
      </c>
      <c r="J3980" s="21">
        <f>IFERROR(INDEX(Pedidos!$C$2:$C$1801,MATCH(B3980,Pedidos!$A$2:$A$1801,0)),"")</f>
        <v/>
      </c>
      <c r="K3980" s="21">
        <f>IFERROR(INDEX(Pedidos!$D$2:$D$1801,MATCH(B3980,Pedidos!$A$2:$A$1801,0)),"")</f>
        <v/>
      </c>
      <c r="L3980" s="21">
        <f>IFERROR(INDEX(Pedidos!$F$2:$F$1801,MATCH(B3980,Pedidos!$A$2:$A$1801,0)),"")</f>
        <v/>
      </c>
      <c r="M3980" s="22">
        <f>IFERROR(INDEX(Pedidos!$G$2:$G$1801,MATCH(B3980,Pedidos!$A$2:$A$1801,0)),0)</f>
        <v/>
      </c>
      <c r="N3980" s="21">
        <f>IFERROR(INDEX(Produtos!$B$2:$B$71,MATCH(C3980,Produtos!$A$2:$A$71,0)),"")</f>
        <v/>
      </c>
      <c r="O3980" s="21">
        <f>IFERROR(INDEX(Produtos!$C$2:$C$71,MATCH(C3980,Produtos!$A$2:$A$71,0)),"")</f>
        <v/>
      </c>
      <c r="P3980" s="21">
        <f>IFERROR(INDEX(Produtos!$D$2:$D$71,MATCH(C3980,Produtos!$A$2:$A$71,0)),0)</f>
        <v/>
      </c>
      <c r="Q3980" s="21">
        <f>IFERROR(INDEX(Produtos!$E$2:$E$71,MATCH(C3980,Produtos!$A$2:$A$71,0)),0)</f>
        <v/>
      </c>
      <c r="R3980" s="23">
        <f>D3980*Q3980</f>
        <v/>
      </c>
      <c r="S3980" s="23">
        <f>R3980*E3980</f>
        <v/>
      </c>
      <c r="T3980" s="23">
        <f>(R3980-S3980)*M3980</f>
        <v/>
      </c>
      <c r="U3980" s="23">
        <f>R3980-S3980-T3980</f>
        <v/>
      </c>
      <c r="V3980" s="23">
        <f>D3980*P3980</f>
        <v/>
      </c>
      <c r="W3980" s="23">
        <f>U3980-V3980</f>
        <v/>
      </c>
      <c r="X3980" s="24">
        <f>IFERROR(W3980/U3980,0)</f>
        <v/>
      </c>
    </row>
    <row r="3981">
      <c r="A3981" s="25">
        <f>ItensPedido!A3981</f>
        <v/>
      </c>
      <c r="B3981" s="25">
        <f>ItensPedido!B3981</f>
        <v/>
      </c>
      <c r="C3981" s="25">
        <f>ItensPedido!C3981</f>
        <v/>
      </c>
      <c r="D3981" s="25">
        <f>ItensPedido!D3981</f>
        <v/>
      </c>
      <c r="E3981" s="26">
        <f>ItensPedido!E3981</f>
        <v/>
      </c>
      <c r="F3981" s="25">
        <f>IFERROR(INDEX(Pedidos!$B$2:$B$1801,MATCH(B3981,Pedidos!$A$2:$A$1801,0)),0)</f>
        <v/>
      </c>
      <c r="G3981" s="25">
        <f>IF(F3981=0,"",YEAR(F3981))</f>
        <v/>
      </c>
      <c r="H3981" s="25">
        <f>IF(F3981=0,"",MONTH(F3981))</f>
        <v/>
      </c>
      <c r="I3981" s="25">
        <f>IFERROR(INDEX(Pedidos!$E$2:$E$1801,MATCH(B3981,Pedidos!$A$2:$A$1801,0)),"")</f>
        <v/>
      </c>
      <c r="J3981" s="25">
        <f>IFERROR(INDEX(Pedidos!$C$2:$C$1801,MATCH(B3981,Pedidos!$A$2:$A$1801,0)),"")</f>
        <v/>
      </c>
      <c r="K3981" s="25">
        <f>IFERROR(INDEX(Pedidos!$D$2:$D$1801,MATCH(B3981,Pedidos!$A$2:$A$1801,0)),"")</f>
        <v/>
      </c>
      <c r="L3981" s="25">
        <f>IFERROR(INDEX(Pedidos!$F$2:$F$1801,MATCH(B3981,Pedidos!$A$2:$A$1801,0)),"")</f>
        <v/>
      </c>
      <c r="M3981" s="26">
        <f>IFERROR(INDEX(Pedidos!$G$2:$G$1801,MATCH(B3981,Pedidos!$A$2:$A$1801,0)),0)</f>
        <v/>
      </c>
      <c r="N3981" s="25">
        <f>IFERROR(INDEX(Produtos!$B$2:$B$71,MATCH(C3981,Produtos!$A$2:$A$71,0)),"")</f>
        <v/>
      </c>
      <c r="O3981" s="25">
        <f>IFERROR(INDEX(Produtos!$C$2:$C$71,MATCH(C3981,Produtos!$A$2:$A$71,0)),"")</f>
        <v/>
      </c>
      <c r="P3981" s="25">
        <f>IFERROR(INDEX(Produtos!$D$2:$D$71,MATCH(C3981,Produtos!$A$2:$A$71,0)),0)</f>
        <v/>
      </c>
      <c r="Q3981" s="25">
        <f>IFERROR(INDEX(Produtos!$E$2:$E$71,MATCH(C3981,Produtos!$A$2:$A$71,0)),0)</f>
        <v/>
      </c>
      <c r="R3981" s="27">
        <f>D3981*Q3981</f>
        <v/>
      </c>
      <c r="S3981" s="27">
        <f>R3981*E3981</f>
        <v/>
      </c>
      <c r="T3981" s="27">
        <f>(R3981-S3981)*M3981</f>
        <v/>
      </c>
      <c r="U3981" s="27">
        <f>R3981-S3981-T3981</f>
        <v/>
      </c>
      <c r="V3981" s="27">
        <f>D3981*P3981</f>
        <v/>
      </c>
      <c r="W3981" s="27">
        <f>U3981-V3981</f>
        <v/>
      </c>
      <c r="X3981" s="28">
        <f>IFERROR(W3981/U3981,0)</f>
        <v/>
      </c>
    </row>
    <row r="3982">
      <c r="A3982" s="21">
        <f>ItensPedido!A3982</f>
        <v/>
      </c>
      <c r="B3982" s="21">
        <f>ItensPedido!B3982</f>
        <v/>
      </c>
      <c r="C3982" s="21">
        <f>ItensPedido!C3982</f>
        <v/>
      </c>
      <c r="D3982" s="21">
        <f>ItensPedido!D3982</f>
        <v/>
      </c>
      <c r="E3982" s="22">
        <f>ItensPedido!E3982</f>
        <v/>
      </c>
      <c r="F3982" s="21">
        <f>IFERROR(INDEX(Pedidos!$B$2:$B$1801,MATCH(B3982,Pedidos!$A$2:$A$1801,0)),0)</f>
        <v/>
      </c>
      <c r="G3982" s="21">
        <f>IF(F3982=0,"",YEAR(F3982))</f>
        <v/>
      </c>
      <c r="H3982" s="21">
        <f>IF(F3982=0,"",MONTH(F3982))</f>
        <v/>
      </c>
      <c r="I3982" s="21">
        <f>IFERROR(INDEX(Pedidos!$E$2:$E$1801,MATCH(B3982,Pedidos!$A$2:$A$1801,0)),"")</f>
        <v/>
      </c>
      <c r="J3982" s="21">
        <f>IFERROR(INDEX(Pedidos!$C$2:$C$1801,MATCH(B3982,Pedidos!$A$2:$A$1801,0)),"")</f>
        <v/>
      </c>
      <c r="K3982" s="21">
        <f>IFERROR(INDEX(Pedidos!$D$2:$D$1801,MATCH(B3982,Pedidos!$A$2:$A$1801,0)),"")</f>
        <v/>
      </c>
      <c r="L3982" s="21">
        <f>IFERROR(INDEX(Pedidos!$F$2:$F$1801,MATCH(B3982,Pedidos!$A$2:$A$1801,0)),"")</f>
        <v/>
      </c>
      <c r="M3982" s="22">
        <f>IFERROR(INDEX(Pedidos!$G$2:$G$1801,MATCH(B3982,Pedidos!$A$2:$A$1801,0)),0)</f>
        <v/>
      </c>
      <c r="N3982" s="21">
        <f>IFERROR(INDEX(Produtos!$B$2:$B$71,MATCH(C3982,Produtos!$A$2:$A$71,0)),"")</f>
        <v/>
      </c>
      <c r="O3982" s="21">
        <f>IFERROR(INDEX(Produtos!$C$2:$C$71,MATCH(C3982,Produtos!$A$2:$A$71,0)),"")</f>
        <v/>
      </c>
      <c r="P3982" s="21">
        <f>IFERROR(INDEX(Produtos!$D$2:$D$71,MATCH(C3982,Produtos!$A$2:$A$71,0)),0)</f>
        <v/>
      </c>
      <c r="Q3982" s="21">
        <f>IFERROR(INDEX(Produtos!$E$2:$E$71,MATCH(C3982,Produtos!$A$2:$A$71,0)),0)</f>
        <v/>
      </c>
      <c r="R3982" s="23">
        <f>D3982*Q3982</f>
        <v/>
      </c>
      <c r="S3982" s="23">
        <f>R3982*E3982</f>
        <v/>
      </c>
      <c r="T3982" s="23">
        <f>(R3982-S3982)*M3982</f>
        <v/>
      </c>
      <c r="U3982" s="23">
        <f>R3982-S3982-T3982</f>
        <v/>
      </c>
      <c r="V3982" s="23">
        <f>D3982*P3982</f>
        <v/>
      </c>
      <c r="W3982" s="23">
        <f>U3982-V3982</f>
        <v/>
      </c>
      <c r="X3982" s="24">
        <f>IFERROR(W3982/U3982,0)</f>
        <v/>
      </c>
    </row>
    <row r="3983">
      <c r="A3983" s="25">
        <f>ItensPedido!A3983</f>
        <v/>
      </c>
      <c r="B3983" s="25">
        <f>ItensPedido!B3983</f>
        <v/>
      </c>
      <c r="C3983" s="25">
        <f>ItensPedido!C3983</f>
        <v/>
      </c>
      <c r="D3983" s="25">
        <f>ItensPedido!D3983</f>
        <v/>
      </c>
      <c r="E3983" s="26">
        <f>ItensPedido!E3983</f>
        <v/>
      </c>
      <c r="F3983" s="25">
        <f>IFERROR(INDEX(Pedidos!$B$2:$B$1801,MATCH(B3983,Pedidos!$A$2:$A$1801,0)),0)</f>
        <v/>
      </c>
      <c r="G3983" s="25">
        <f>IF(F3983=0,"",YEAR(F3983))</f>
        <v/>
      </c>
      <c r="H3983" s="25">
        <f>IF(F3983=0,"",MONTH(F3983))</f>
        <v/>
      </c>
      <c r="I3983" s="25">
        <f>IFERROR(INDEX(Pedidos!$E$2:$E$1801,MATCH(B3983,Pedidos!$A$2:$A$1801,0)),"")</f>
        <v/>
      </c>
      <c r="J3983" s="25">
        <f>IFERROR(INDEX(Pedidos!$C$2:$C$1801,MATCH(B3983,Pedidos!$A$2:$A$1801,0)),"")</f>
        <v/>
      </c>
      <c r="K3983" s="25">
        <f>IFERROR(INDEX(Pedidos!$D$2:$D$1801,MATCH(B3983,Pedidos!$A$2:$A$1801,0)),"")</f>
        <v/>
      </c>
      <c r="L3983" s="25">
        <f>IFERROR(INDEX(Pedidos!$F$2:$F$1801,MATCH(B3983,Pedidos!$A$2:$A$1801,0)),"")</f>
        <v/>
      </c>
      <c r="M3983" s="26">
        <f>IFERROR(INDEX(Pedidos!$G$2:$G$1801,MATCH(B3983,Pedidos!$A$2:$A$1801,0)),0)</f>
        <v/>
      </c>
      <c r="N3983" s="25">
        <f>IFERROR(INDEX(Produtos!$B$2:$B$71,MATCH(C3983,Produtos!$A$2:$A$71,0)),"")</f>
        <v/>
      </c>
      <c r="O3983" s="25">
        <f>IFERROR(INDEX(Produtos!$C$2:$C$71,MATCH(C3983,Produtos!$A$2:$A$71,0)),"")</f>
        <v/>
      </c>
      <c r="P3983" s="25">
        <f>IFERROR(INDEX(Produtos!$D$2:$D$71,MATCH(C3983,Produtos!$A$2:$A$71,0)),0)</f>
        <v/>
      </c>
      <c r="Q3983" s="25">
        <f>IFERROR(INDEX(Produtos!$E$2:$E$71,MATCH(C3983,Produtos!$A$2:$A$71,0)),0)</f>
        <v/>
      </c>
      <c r="R3983" s="27">
        <f>D3983*Q3983</f>
        <v/>
      </c>
      <c r="S3983" s="27">
        <f>R3983*E3983</f>
        <v/>
      </c>
      <c r="T3983" s="27">
        <f>(R3983-S3983)*M3983</f>
        <v/>
      </c>
      <c r="U3983" s="27">
        <f>R3983-S3983-T3983</f>
        <v/>
      </c>
      <c r="V3983" s="27">
        <f>D3983*P3983</f>
        <v/>
      </c>
      <c r="W3983" s="27">
        <f>U3983-V3983</f>
        <v/>
      </c>
      <c r="X3983" s="28">
        <f>IFERROR(W3983/U3983,0)</f>
        <v/>
      </c>
    </row>
    <row r="3984">
      <c r="A3984" s="21">
        <f>ItensPedido!A3984</f>
        <v/>
      </c>
      <c r="B3984" s="21">
        <f>ItensPedido!B3984</f>
        <v/>
      </c>
      <c r="C3984" s="21">
        <f>ItensPedido!C3984</f>
        <v/>
      </c>
      <c r="D3984" s="21">
        <f>ItensPedido!D3984</f>
        <v/>
      </c>
      <c r="E3984" s="22">
        <f>ItensPedido!E3984</f>
        <v/>
      </c>
      <c r="F3984" s="21">
        <f>IFERROR(INDEX(Pedidos!$B$2:$B$1801,MATCH(B3984,Pedidos!$A$2:$A$1801,0)),0)</f>
        <v/>
      </c>
      <c r="G3984" s="21">
        <f>IF(F3984=0,"",YEAR(F3984))</f>
        <v/>
      </c>
      <c r="H3984" s="21">
        <f>IF(F3984=0,"",MONTH(F3984))</f>
        <v/>
      </c>
      <c r="I3984" s="21">
        <f>IFERROR(INDEX(Pedidos!$E$2:$E$1801,MATCH(B3984,Pedidos!$A$2:$A$1801,0)),"")</f>
        <v/>
      </c>
      <c r="J3984" s="21">
        <f>IFERROR(INDEX(Pedidos!$C$2:$C$1801,MATCH(B3984,Pedidos!$A$2:$A$1801,0)),"")</f>
        <v/>
      </c>
      <c r="K3984" s="21">
        <f>IFERROR(INDEX(Pedidos!$D$2:$D$1801,MATCH(B3984,Pedidos!$A$2:$A$1801,0)),"")</f>
        <v/>
      </c>
      <c r="L3984" s="21">
        <f>IFERROR(INDEX(Pedidos!$F$2:$F$1801,MATCH(B3984,Pedidos!$A$2:$A$1801,0)),"")</f>
        <v/>
      </c>
      <c r="M3984" s="22">
        <f>IFERROR(INDEX(Pedidos!$G$2:$G$1801,MATCH(B3984,Pedidos!$A$2:$A$1801,0)),0)</f>
        <v/>
      </c>
      <c r="N3984" s="21">
        <f>IFERROR(INDEX(Produtos!$B$2:$B$71,MATCH(C3984,Produtos!$A$2:$A$71,0)),"")</f>
        <v/>
      </c>
      <c r="O3984" s="21">
        <f>IFERROR(INDEX(Produtos!$C$2:$C$71,MATCH(C3984,Produtos!$A$2:$A$71,0)),"")</f>
        <v/>
      </c>
      <c r="P3984" s="21">
        <f>IFERROR(INDEX(Produtos!$D$2:$D$71,MATCH(C3984,Produtos!$A$2:$A$71,0)),0)</f>
        <v/>
      </c>
      <c r="Q3984" s="21">
        <f>IFERROR(INDEX(Produtos!$E$2:$E$71,MATCH(C3984,Produtos!$A$2:$A$71,0)),0)</f>
        <v/>
      </c>
      <c r="R3984" s="23">
        <f>D3984*Q3984</f>
        <v/>
      </c>
      <c r="S3984" s="23">
        <f>R3984*E3984</f>
        <v/>
      </c>
      <c r="T3984" s="23">
        <f>(R3984-S3984)*M3984</f>
        <v/>
      </c>
      <c r="U3984" s="23">
        <f>R3984-S3984-T3984</f>
        <v/>
      </c>
      <c r="V3984" s="23">
        <f>D3984*P3984</f>
        <v/>
      </c>
      <c r="W3984" s="23">
        <f>U3984-V3984</f>
        <v/>
      </c>
      <c r="X3984" s="24">
        <f>IFERROR(W3984/U3984,0)</f>
        <v/>
      </c>
    </row>
    <row r="3985">
      <c r="A3985" s="25">
        <f>ItensPedido!A3985</f>
        <v/>
      </c>
      <c r="B3985" s="25">
        <f>ItensPedido!B3985</f>
        <v/>
      </c>
      <c r="C3985" s="25">
        <f>ItensPedido!C3985</f>
        <v/>
      </c>
      <c r="D3985" s="25">
        <f>ItensPedido!D3985</f>
        <v/>
      </c>
      <c r="E3985" s="26">
        <f>ItensPedido!E3985</f>
        <v/>
      </c>
      <c r="F3985" s="25">
        <f>IFERROR(INDEX(Pedidos!$B$2:$B$1801,MATCH(B3985,Pedidos!$A$2:$A$1801,0)),0)</f>
        <v/>
      </c>
      <c r="G3985" s="25">
        <f>IF(F3985=0,"",YEAR(F3985))</f>
        <v/>
      </c>
      <c r="H3985" s="25">
        <f>IF(F3985=0,"",MONTH(F3985))</f>
        <v/>
      </c>
      <c r="I3985" s="25">
        <f>IFERROR(INDEX(Pedidos!$E$2:$E$1801,MATCH(B3985,Pedidos!$A$2:$A$1801,0)),"")</f>
        <v/>
      </c>
      <c r="J3985" s="25">
        <f>IFERROR(INDEX(Pedidos!$C$2:$C$1801,MATCH(B3985,Pedidos!$A$2:$A$1801,0)),"")</f>
        <v/>
      </c>
      <c r="K3985" s="25">
        <f>IFERROR(INDEX(Pedidos!$D$2:$D$1801,MATCH(B3985,Pedidos!$A$2:$A$1801,0)),"")</f>
        <v/>
      </c>
      <c r="L3985" s="25">
        <f>IFERROR(INDEX(Pedidos!$F$2:$F$1801,MATCH(B3985,Pedidos!$A$2:$A$1801,0)),"")</f>
        <v/>
      </c>
      <c r="M3985" s="26">
        <f>IFERROR(INDEX(Pedidos!$G$2:$G$1801,MATCH(B3985,Pedidos!$A$2:$A$1801,0)),0)</f>
        <v/>
      </c>
      <c r="N3985" s="25">
        <f>IFERROR(INDEX(Produtos!$B$2:$B$71,MATCH(C3985,Produtos!$A$2:$A$71,0)),"")</f>
        <v/>
      </c>
      <c r="O3985" s="25">
        <f>IFERROR(INDEX(Produtos!$C$2:$C$71,MATCH(C3985,Produtos!$A$2:$A$71,0)),"")</f>
        <v/>
      </c>
      <c r="P3985" s="25">
        <f>IFERROR(INDEX(Produtos!$D$2:$D$71,MATCH(C3985,Produtos!$A$2:$A$71,0)),0)</f>
        <v/>
      </c>
      <c r="Q3985" s="25">
        <f>IFERROR(INDEX(Produtos!$E$2:$E$71,MATCH(C3985,Produtos!$A$2:$A$71,0)),0)</f>
        <v/>
      </c>
      <c r="R3985" s="27">
        <f>D3985*Q3985</f>
        <v/>
      </c>
      <c r="S3985" s="27">
        <f>R3985*E3985</f>
        <v/>
      </c>
      <c r="T3985" s="27">
        <f>(R3985-S3985)*M3985</f>
        <v/>
      </c>
      <c r="U3985" s="27">
        <f>R3985-S3985-T3985</f>
        <v/>
      </c>
      <c r="V3985" s="27">
        <f>D3985*P3985</f>
        <v/>
      </c>
      <c r="W3985" s="27">
        <f>U3985-V3985</f>
        <v/>
      </c>
      <c r="X3985" s="28">
        <f>IFERROR(W3985/U3985,0)</f>
        <v/>
      </c>
    </row>
    <row r="3986">
      <c r="A3986" s="21">
        <f>ItensPedido!A3986</f>
        <v/>
      </c>
      <c r="B3986" s="21">
        <f>ItensPedido!B3986</f>
        <v/>
      </c>
      <c r="C3986" s="21">
        <f>ItensPedido!C3986</f>
        <v/>
      </c>
      <c r="D3986" s="21">
        <f>ItensPedido!D3986</f>
        <v/>
      </c>
      <c r="E3986" s="22">
        <f>ItensPedido!E3986</f>
        <v/>
      </c>
      <c r="F3986" s="21">
        <f>IFERROR(INDEX(Pedidos!$B$2:$B$1801,MATCH(B3986,Pedidos!$A$2:$A$1801,0)),0)</f>
        <v/>
      </c>
      <c r="G3986" s="21">
        <f>IF(F3986=0,"",YEAR(F3986))</f>
        <v/>
      </c>
      <c r="H3986" s="21">
        <f>IF(F3986=0,"",MONTH(F3986))</f>
        <v/>
      </c>
      <c r="I3986" s="21">
        <f>IFERROR(INDEX(Pedidos!$E$2:$E$1801,MATCH(B3986,Pedidos!$A$2:$A$1801,0)),"")</f>
        <v/>
      </c>
      <c r="J3986" s="21">
        <f>IFERROR(INDEX(Pedidos!$C$2:$C$1801,MATCH(B3986,Pedidos!$A$2:$A$1801,0)),"")</f>
        <v/>
      </c>
      <c r="K3986" s="21">
        <f>IFERROR(INDEX(Pedidos!$D$2:$D$1801,MATCH(B3986,Pedidos!$A$2:$A$1801,0)),"")</f>
        <v/>
      </c>
      <c r="L3986" s="21">
        <f>IFERROR(INDEX(Pedidos!$F$2:$F$1801,MATCH(B3986,Pedidos!$A$2:$A$1801,0)),"")</f>
        <v/>
      </c>
      <c r="M3986" s="22">
        <f>IFERROR(INDEX(Pedidos!$G$2:$G$1801,MATCH(B3986,Pedidos!$A$2:$A$1801,0)),0)</f>
        <v/>
      </c>
      <c r="N3986" s="21">
        <f>IFERROR(INDEX(Produtos!$B$2:$B$71,MATCH(C3986,Produtos!$A$2:$A$71,0)),"")</f>
        <v/>
      </c>
      <c r="O3986" s="21">
        <f>IFERROR(INDEX(Produtos!$C$2:$C$71,MATCH(C3986,Produtos!$A$2:$A$71,0)),"")</f>
        <v/>
      </c>
      <c r="P3986" s="21">
        <f>IFERROR(INDEX(Produtos!$D$2:$D$71,MATCH(C3986,Produtos!$A$2:$A$71,0)),0)</f>
        <v/>
      </c>
      <c r="Q3986" s="21">
        <f>IFERROR(INDEX(Produtos!$E$2:$E$71,MATCH(C3986,Produtos!$A$2:$A$71,0)),0)</f>
        <v/>
      </c>
      <c r="R3986" s="23">
        <f>D3986*Q3986</f>
        <v/>
      </c>
      <c r="S3986" s="23">
        <f>R3986*E3986</f>
        <v/>
      </c>
      <c r="T3986" s="23">
        <f>(R3986-S3986)*M3986</f>
        <v/>
      </c>
      <c r="U3986" s="23">
        <f>R3986-S3986-T3986</f>
        <v/>
      </c>
      <c r="V3986" s="23">
        <f>D3986*P3986</f>
        <v/>
      </c>
      <c r="W3986" s="23">
        <f>U3986-V3986</f>
        <v/>
      </c>
      <c r="X3986" s="24">
        <f>IFERROR(W3986/U3986,0)</f>
        <v/>
      </c>
    </row>
    <row r="3987">
      <c r="A3987" s="25">
        <f>ItensPedido!A3987</f>
        <v/>
      </c>
      <c r="B3987" s="25">
        <f>ItensPedido!B3987</f>
        <v/>
      </c>
      <c r="C3987" s="25">
        <f>ItensPedido!C3987</f>
        <v/>
      </c>
      <c r="D3987" s="25">
        <f>ItensPedido!D3987</f>
        <v/>
      </c>
      <c r="E3987" s="26">
        <f>ItensPedido!E3987</f>
        <v/>
      </c>
      <c r="F3987" s="25">
        <f>IFERROR(INDEX(Pedidos!$B$2:$B$1801,MATCH(B3987,Pedidos!$A$2:$A$1801,0)),0)</f>
        <v/>
      </c>
      <c r="G3987" s="25">
        <f>IF(F3987=0,"",YEAR(F3987))</f>
        <v/>
      </c>
      <c r="H3987" s="25">
        <f>IF(F3987=0,"",MONTH(F3987))</f>
        <v/>
      </c>
      <c r="I3987" s="25">
        <f>IFERROR(INDEX(Pedidos!$E$2:$E$1801,MATCH(B3987,Pedidos!$A$2:$A$1801,0)),"")</f>
        <v/>
      </c>
      <c r="J3987" s="25">
        <f>IFERROR(INDEX(Pedidos!$C$2:$C$1801,MATCH(B3987,Pedidos!$A$2:$A$1801,0)),"")</f>
        <v/>
      </c>
      <c r="K3987" s="25">
        <f>IFERROR(INDEX(Pedidos!$D$2:$D$1801,MATCH(B3987,Pedidos!$A$2:$A$1801,0)),"")</f>
        <v/>
      </c>
      <c r="L3987" s="25">
        <f>IFERROR(INDEX(Pedidos!$F$2:$F$1801,MATCH(B3987,Pedidos!$A$2:$A$1801,0)),"")</f>
        <v/>
      </c>
      <c r="M3987" s="26">
        <f>IFERROR(INDEX(Pedidos!$G$2:$G$1801,MATCH(B3987,Pedidos!$A$2:$A$1801,0)),0)</f>
        <v/>
      </c>
      <c r="N3987" s="25">
        <f>IFERROR(INDEX(Produtos!$B$2:$B$71,MATCH(C3987,Produtos!$A$2:$A$71,0)),"")</f>
        <v/>
      </c>
      <c r="O3987" s="25">
        <f>IFERROR(INDEX(Produtos!$C$2:$C$71,MATCH(C3987,Produtos!$A$2:$A$71,0)),"")</f>
        <v/>
      </c>
      <c r="P3987" s="25">
        <f>IFERROR(INDEX(Produtos!$D$2:$D$71,MATCH(C3987,Produtos!$A$2:$A$71,0)),0)</f>
        <v/>
      </c>
      <c r="Q3987" s="25">
        <f>IFERROR(INDEX(Produtos!$E$2:$E$71,MATCH(C3987,Produtos!$A$2:$A$71,0)),0)</f>
        <v/>
      </c>
      <c r="R3987" s="27">
        <f>D3987*Q3987</f>
        <v/>
      </c>
      <c r="S3987" s="27">
        <f>R3987*E3987</f>
        <v/>
      </c>
      <c r="T3987" s="27">
        <f>(R3987-S3987)*M3987</f>
        <v/>
      </c>
      <c r="U3987" s="27">
        <f>R3987-S3987-T3987</f>
        <v/>
      </c>
      <c r="V3987" s="27">
        <f>D3987*P3987</f>
        <v/>
      </c>
      <c r="W3987" s="27">
        <f>U3987-V3987</f>
        <v/>
      </c>
      <c r="X3987" s="28">
        <f>IFERROR(W3987/U3987,0)</f>
        <v/>
      </c>
    </row>
    <row r="3988">
      <c r="A3988" s="21">
        <f>ItensPedido!A3988</f>
        <v/>
      </c>
      <c r="B3988" s="21">
        <f>ItensPedido!B3988</f>
        <v/>
      </c>
      <c r="C3988" s="21">
        <f>ItensPedido!C3988</f>
        <v/>
      </c>
      <c r="D3988" s="21">
        <f>ItensPedido!D3988</f>
        <v/>
      </c>
      <c r="E3988" s="22">
        <f>ItensPedido!E3988</f>
        <v/>
      </c>
      <c r="F3988" s="21">
        <f>IFERROR(INDEX(Pedidos!$B$2:$B$1801,MATCH(B3988,Pedidos!$A$2:$A$1801,0)),0)</f>
        <v/>
      </c>
      <c r="G3988" s="21">
        <f>IF(F3988=0,"",YEAR(F3988))</f>
        <v/>
      </c>
      <c r="H3988" s="21">
        <f>IF(F3988=0,"",MONTH(F3988))</f>
        <v/>
      </c>
      <c r="I3988" s="21">
        <f>IFERROR(INDEX(Pedidos!$E$2:$E$1801,MATCH(B3988,Pedidos!$A$2:$A$1801,0)),"")</f>
        <v/>
      </c>
      <c r="J3988" s="21">
        <f>IFERROR(INDEX(Pedidos!$C$2:$C$1801,MATCH(B3988,Pedidos!$A$2:$A$1801,0)),"")</f>
        <v/>
      </c>
      <c r="K3988" s="21">
        <f>IFERROR(INDEX(Pedidos!$D$2:$D$1801,MATCH(B3988,Pedidos!$A$2:$A$1801,0)),"")</f>
        <v/>
      </c>
      <c r="L3988" s="21">
        <f>IFERROR(INDEX(Pedidos!$F$2:$F$1801,MATCH(B3988,Pedidos!$A$2:$A$1801,0)),"")</f>
        <v/>
      </c>
      <c r="M3988" s="22">
        <f>IFERROR(INDEX(Pedidos!$G$2:$G$1801,MATCH(B3988,Pedidos!$A$2:$A$1801,0)),0)</f>
        <v/>
      </c>
      <c r="N3988" s="21">
        <f>IFERROR(INDEX(Produtos!$B$2:$B$71,MATCH(C3988,Produtos!$A$2:$A$71,0)),"")</f>
        <v/>
      </c>
      <c r="O3988" s="21">
        <f>IFERROR(INDEX(Produtos!$C$2:$C$71,MATCH(C3988,Produtos!$A$2:$A$71,0)),"")</f>
        <v/>
      </c>
      <c r="P3988" s="21">
        <f>IFERROR(INDEX(Produtos!$D$2:$D$71,MATCH(C3988,Produtos!$A$2:$A$71,0)),0)</f>
        <v/>
      </c>
      <c r="Q3988" s="21">
        <f>IFERROR(INDEX(Produtos!$E$2:$E$71,MATCH(C3988,Produtos!$A$2:$A$71,0)),0)</f>
        <v/>
      </c>
      <c r="R3988" s="23">
        <f>D3988*Q3988</f>
        <v/>
      </c>
      <c r="S3988" s="23">
        <f>R3988*E3988</f>
        <v/>
      </c>
      <c r="T3988" s="23">
        <f>(R3988-S3988)*M3988</f>
        <v/>
      </c>
      <c r="U3988" s="23">
        <f>R3988-S3988-T3988</f>
        <v/>
      </c>
      <c r="V3988" s="23">
        <f>D3988*P3988</f>
        <v/>
      </c>
      <c r="W3988" s="23">
        <f>U3988-V3988</f>
        <v/>
      </c>
      <c r="X3988" s="24">
        <f>IFERROR(W3988/U3988,0)</f>
        <v/>
      </c>
    </row>
    <row r="3989">
      <c r="A3989" s="25">
        <f>ItensPedido!A3989</f>
        <v/>
      </c>
      <c r="B3989" s="25">
        <f>ItensPedido!B3989</f>
        <v/>
      </c>
      <c r="C3989" s="25">
        <f>ItensPedido!C3989</f>
        <v/>
      </c>
      <c r="D3989" s="25">
        <f>ItensPedido!D3989</f>
        <v/>
      </c>
      <c r="E3989" s="26">
        <f>ItensPedido!E3989</f>
        <v/>
      </c>
      <c r="F3989" s="25">
        <f>IFERROR(INDEX(Pedidos!$B$2:$B$1801,MATCH(B3989,Pedidos!$A$2:$A$1801,0)),0)</f>
        <v/>
      </c>
      <c r="G3989" s="25">
        <f>IF(F3989=0,"",YEAR(F3989))</f>
        <v/>
      </c>
      <c r="H3989" s="25">
        <f>IF(F3989=0,"",MONTH(F3989))</f>
        <v/>
      </c>
      <c r="I3989" s="25">
        <f>IFERROR(INDEX(Pedidos!$E$2:$E$1801,MATCH(B3989,Pedidos!$A$2:$A$1801,0)),"")</f>
        <v/>
      </c>
      <c r="J3989" s="25">
        <f>IFERROR(INDEX(Pedidos!$C$2:$C$1801,MATCH(B3989,Pedidos!$A$2:$A$1801,0)),"")</f>
        <v/>
      </c>
      <c r="K3989" s="25">
        <f>IFERROR(INDEX(Pedidos!$D$2:$D$1801,MATCH(B3989,Pedidos!$A$2:$A$1801,0)),"")</f>
        <v/>
      </c>
      <c r="L3989" s="25">
        <f>IFERROR(INDEX(Pedidos!$F$2:$F$1801,MATCH(B3989,Pedidos!$A$2:$A$1801,0)),"")</f>
        <v/>
      </c>
      <c r="M3989" s="26">
        <f>IFERROR(INDEX(Pedidos!$G$2:$G$1801,MATCH(B3989,Pedidos!$A$2:$A$1801,0)),0)</f>
        <v/>
      </c>
      <c r="N3989" s="25">
        <f>IFERROR(INDEX(Produtos!$B$2:$B$71,MATCH(C3989,Produtos!$A$2:$A$71,0)),"")</f>
        <v/>
      </c>
      <c r="O3989" s="25">
        <f>IFERROR(INDEX(Produtos!$C$2:$C$71,MATCH(C3989,Produtos!$A$2:$A$71,0)),"")</f>
        <v/>
      </c>
      <c r="P3989" s="25">
        <f>IFERROR(INDEX(Produtos!$D$2:$D$71,MATCH(C3989,Produtos!$A$2:$A$71,0)),0)</f>
        <v/>
      </c>
      <c r="Q3989" s="25">
        <f>IFERROR(INDEX(Produtos!$E$2:$E$71,MATCH(C3989,Produtos!$A$2:$A$71,0)),0)</f>
        <v/>
      </c>
      <c r="R3989" s="27">
        <f>D3989*Q3989</f>
        <v/>
      </c>
      <c r="S3989" s="27">
        <f>R3989*E3989</f>
        <v/>
      </c>
      <c r="T3989" s="27">
        <f>(R3989-S3989)*M3989</f>
        <v/>
      </c>
      <c r="U3989" s="27">
        <f>R3989-S3989-T3989</f>
        <v/>
      </c>
      <c r="V3989" s="27">
        <f>D3989*P3989</f>
        <v/>
      </c>
      <c r="W3989" s="27">
        <f>U3989-V3989</f>
        <v/>
      </c>
      <c r="X3989" s="28">
        <f>IFERROR(W3989/U3989,0)</f>
        <v/>
      </c>
    </row>
    <row r="3990">
      <c r="A3990" s="21">
        <f>ItensPedido!A3990</f>
        <v/>
      </c>
      <c r="B3990" s="21">
        <f>ItensPedido!B3990</f>
        <v/>
      </c>
      <c r="C3990" s="21">
        <f>ItensPedido!C3990</f>
        <v/>
      </c>
      <c r="D3990" s="21">
        <f>ItensPedido!D3990</f>
        <v/>
      </c>
      <c r="E3990" s="22">
        <f>ItensPedido!E3990</f>
        <v/>
      </c>
      <c r="F3990" s="21">
        <f>IFERROR(INDEX(Pedidos!$B$2:$B$1801,MATCH(B3990,Pedidos!$A$2:$A$1801,0)),0)</f>
        <v/>
      </c>
      <c r="G3990" s="21">
        <f>IF(F3990=0,"",YEAR(F3990))</f>
        <v/>
      </c>
      <c r="H3990" s="21">
        <f>IF(F3990=0,"",MONTH(F3990))</f>
        <v/>
      </c>
      <c r="I3990" s="21">
        <f>IFERROR(INDEX(Pedidos!$E$2:$E$1801,MATCH(B3990,Pedidos!$A$2:$A$1801,0)),"")</f>
        <v/>
      </c>
      <c r="J3990" s="21">
        <f>IFERROR(INDEX(Pedidos!$C$2:$C$1801,MATCH(B3990,Pedidos!$A$2:$A$1801,0)),"")</f>
        <v/>
      </c>
      <c r="K3990" s="21">
        <f>IFERROR(INDEX(Pedidos!$D$2:$D$1801,MATCH(B3990,Pedidos!$A$2:$A$1801,0)),"")</f>
        <v/>
      </c>
      <c r="L3990" s="21">
        <f>IFERROR(INDEX(Pedidos!$F$2:$F$1801,MATCH(B3990,Pedidos!$A$2:$A$1801,0)),"")</f>
        <v/>
      </c>
      <c r="M3990" s="22">
        <f>IFERROR(INDEX(Pedidos!$G$2:$G$1801,MATCH(B3990,Pedidos!$A$2:$A$1801,0)),0)</f>
        <v/>
      </c>
      <c r="N3990" s="21">
        <f>IFERROR(INDEX(Produtos!$B$2:$B$71,MATCH(C3990,Produtos!$A$2:$A$71,0)),"")</f>
        <v/>
      </c>
      <c r="O3990" s="21">
        <f>IFERROR(INDEX(Produtos!$C$2:$C$71,MATCH(C3990,Produtos!$A$2:$A$71,0)),"")</f>
        <v/>
      </c>
      <c r="P3990" s="21">
        <f>IFERROR(INDEX(Produtos!$D$2:$D$71,MATCH(C3990,Produtos!$A$2:$A$71,0)),0)</f>
        <v/>
      </c>
      <c r="Q3990" s="21">
        <f>IFERROR(INDEX(Produtos!$E$2:$E$71,MATCH(C3990,Produtos!$A$2:$A$71,0)),0)</f>
        <v/>
      </c>
      <c r="R3990" s="23">
        <f>D3990*Q3990</f>
        <v/>
      </c>
      <c r="S3990" s="23">
        <f>R3990*E3990</f>
        <v/>
      </c>
      <c r="T3990" s="23">
        <f>(R3990-S3990)*M3990</f>
        <v/>
      </c>
      <c r="U3990" s="23">
        <f>R3990-S3990-T3990</f>
        <v/>
      </c>
      <c r="V3990" s="23">
        <f>D3990*P3990</f>
        <v/>
      </c>
      <c r="W3990" s="23">
        <f>U3990-V3990</f>
        <v/>
      </c>
      <c r="X3990" s="24">
        <f>IFERROR(W3990/U3990,0)</f>
        <v/>
      </c>
    </row>
    <row r="3991">
      <c r="A3991" s="25">
        <f>ItensPedido!A3991</f>
        <v/>
      </c>
      <c r="B3991" s="25">
        <f>ItensPedido!B3991</f>
        <v/>
      </c>
      <c r="C3991" s="25">
        <f>ItensPedido!C3991</f>
        <v/>
      </c>
      <c r="D3991" s="25">
        <f>ItensPedido!D3991</f>
        <v/>
      </c>
      <c r="E3991" s="26">
        <f>ItensPedido!E3991</f>
        <v/>
      </c>
      <c r="F3991" s="25">
        <f>IFERROR(INDEX(Pedidos!$B$2:$B$1801,MATCH(B3991,Pedidos!$A$2:$A$1801,0)),0)</f>
        <v/>
      </c>
      <c r="G3991" s="25">
        <f>IF(F3991=0,"",YEAR(F3991))</f>
        <v/>
      </c>
      <c r="H3991" s="25">
        <f>IF(F3991=0,"",MONTH(F3991))</f>
        <v/>
      </c>
      <c r="I3991" s="25">
        <f>IFERROR(INDEX(Pedidos!$E$2:$E$1801,MATCH(B3991,Pedidos!$A$2:$A$1801,0)),"")</f>
        <v/>
      </c>
      <c r="J3991" s="25">
        <f>IFERROR(INDEX(Pedidos!$C$2:$C$1801,MATCH(B3991,Pedidos!$A$2:$A$1801,0)),"")</f>
        <v/>
      </c>
      <c r="K3991" s="25">
        <f>IFERROR(INDEX(Pedidos!$D$2:$D$1801,MATCH(B3991,Pedidos!$A$2:$A$1801,0)),"")</f>
        <v/>
      </c>
      <c r="L3991" s="25">
        <f>IFERROR(INDEX(Pedidos!$F$2:$F$1801,MATCH(B3991,Pedidos!$A$2:$A$1801,0)),"")</f>
        <v/>
      </c>
      <c r="M3991" s="26">
        <f>IFERROR(INDEX(Pedidos!$G$2:$G$1801,MATCH(B3991,Pedidos!$A$2:$A$1801,0)),0)</f>
        <v/>
      </c>
      <c r="N3991" s="25">
        <f>IFERROR(INDEX(Produtos!$B$2:$B$71,MATCH(C3991,Produtos!$A$2:$A$71,0)),"")</f>
        <v/>
      </c>
      <c r="O3991" s="25">
        <f>IFERROR(INDEX(Produtos!$C$2:$C$71,MATCH(C3991,Produtos!$A$2:$A$71,0)),"")</f>
        <v/>
      </c>
      <c r="P3991" s="25">
        <f>IFERROR(INDEX(Produtos!$D$2:$D$71,MATCH(C3991,Produtos!$A$2:$A$71,0)),0)</f>
        <v/>
      </c>
      <c r="Q3991" s="25">
        <f>IFERROR(INDEX(Produtos!$E$2:$E$71,MATCH(C3991,Produtos!$A$2:$A$71,0)),0)</f>
        <v/>
      </c>
      <c r="R3991" s="27">
        <f>D3991*Q3991</f>
        <v/>
      </c>
      <c r="S3991" s="27">
        <f>R3991*E3991</f>
        <v/>
      </c>
      <c r="T3991" s="27">
        <f>(R3991-S3991)*M3991</f>
        <v/>
      </c>
      <c r="U3991" s="27">
        <f>R3991-S3991-T3991</f>
        <v/>
      </c>
      <c r="V3991" s="27">
        <f>D3991*P3991</f>
        <v/>
      </c>
      <c r="W3991" s="27">
        <f>U3991-V3991</f>
        <v/>
      </c>
      <c r="X3991" s="28">
        <f>IFERROR(W3991/U3991,0)</f>
        <v/>
      </c>
    </row>
    <row r="3992">
      <c r="A3992" s="21">
        <f>ItensPedido!A3992</f>
        <v/>
      </c>
      <c r="B3992" s="21">
        <f>ItensPedido!B3992</f>
        <v/>
      </c>
      <c r="C3992" s="21">
        <f>ItensPedido!C3992</f>
        <v/>
      </c>
      <c r="D3992" s="21">
        <f>ItensPedido!D3992</f>
        <v/>
      </c>
      <c r="E3992" s="22">
        <f>ItensPedido!E3992</f>
        <v/>
      </c>
      <c r="F3992" s="21">
        <f>IFERROR(INDEX(Pedidos!$B$2:$B$1801,MATCH(B3992,Pedidos!$A$2:$A$1801,0)),0)</f>
        <v/>
      </c>
      <c r="G3992" s="21">
        <f>IF(F3992=0,"",YEAR(F3992))</f>
        <v/>
      </c>
      <c r="H3992" s="21">
        <f>IF(F3992=0,"",MONTH(F3992))</f>
        <v/>
      </c>
      <c r="I3992" s="21">
        <f>IFERROR(INDEX(Pedidos!$E$2:$E$1801,MATCH(B3992,Pedidos!$A$2:$A$1801,0)),"")</f>
        <v/>
      </c>
      <c r="J3992" s="21">
        <f>IFERROR(INDEX(Pedidos!$C$2:$C$1801,MATCH(B3992,Pedidos!$A$2:$A$1801,0)),"")</f>
        <v/>
      </c>
      <c r="K3992" s="21">
        <f>IFERROR(INDEX(Pedidos!$D$2:$D$1801,MATCH(B3992,Pedidos!$A$2:$A$1801,0)),"")</f>
        <v/>
      </c>
      <c r="L3992" s="21">
        <f>IFERROR(INDEX(Pedidos!$F$2:$F$1801,MATCH(B3992,Pedidos!$A$2:$A$1801,0)),"")</f>
        <v/>
      </c>
      <c r="M3992" s="22">
        <f>IFERROR(INDEX(Pedidos!$G$2:$G$1801,MATCH(B3992,Pedidos!$A$2:$A$1801,0)),0)</f>
        <v/>
      </c>
      <c r="N3992" s="21">
        <f>IFERROR(INDEX(Produtos!$B$2:$B$71,MATCH(C3992,Produtos!$A$2:$A$71,0)),"")</f>
        <v/>
      </c>
      <c r="O3992" s="21">
        <f>IFERROR(INDEX(Produtos!$C$2:$C$71,MATCH(C3992,Produtos!$A$2:$A$71,0)),"")</f>
        <v/>
      </c>
      <c r="P3992" s="21">
        <f>IFERROR(INDEX(Produtos!$D$2:$D$71,MATCH(C3992,Produtos!$A$2:$A$71,0)),0)</f>
        <v/>
      </c>
      <c r="Q3992" s="21">
        <f>IFERROR(INDEX(Produtos!$E$2:$E$71,MATCH(C3992,Produtos!$A$2:$A$71,0)),0)</f>
        <v/>
      </c>
      <c r="R3992" s="23">
        <f>D3992*Q3992</f>
        <v/>
      </c>
      <c r="S3992" s="23">
        <f>R3992*E3992</f>
        <v/>
      </c>
      <c r="T3992" s="23">
        <f>(R3992-S3992)*M3992</f>
        <v/>
      </c>
      <c r="U3992" s="23">
        <f>R3992-S3992-T3992</f>
        <v/>
      </c>
      <c r="V3992" s="23">
        <f>D3992*P3992</f>
        <v/>
      </c>
      <c r="W3992" s="23">
        <f>U3992-V3992</f>
        <v/>
      </c>
      <c r="X3992" s="24">
        <f>IFERROR(W3992/U3992,0)</f>
        <v/>
      </c>
    </row>
    <row r="3993">
      <c r="A3993" s="25">
        <f>ItensPedido!A3993</f>
        <v/>
      </c>
      <c r="B3993" s="25">
        <f>ItensPedido!B3993</f>
        <v/>
      </c>
      <c r="C3993" s="25">
        <f>ItensPedido!C3993</f>
        <v/>
      </c>
      <c r="D3993" s="25">
        <f>ItensPedido!D3993</f>
        <v/>
      </c>
      <c r="E3993" s="26">
        <f>ItensPedido!E3993</f>
        <v/>
      </c>
      <c r="F3993" s="25">
        <f>IFERROR(INDEX(Pedidos!$B$2:$B$1801,MATCH(B3993,Pedidos!$A$2:$A$1801,0)),0)</f>
        <v/>
      </c>
      <c r="G3993" s="25">
        <f>IF(F3993=0,"",YEAR(F3993))</f>
        <v/>
      </c>
      <c r="H3993" s="25">
        <f>IF(F3993=0,"",MONTH(F3993))</f>
        <v/>
      </c>
      <c r="I3993" s="25">
        <f>IFERROR(INDEX(Pedidos!$E$2:$E$1801,MATCH(B3993,Pedidos!$A$2:$A$1801,0)),"")</f>
        <v/>
      </c>
      <c r="J3993" s="25">
        <f>IFERROR(INDEX(Pedidos!$C$2:$C$1801,MATCH(B3993,Pedidos!$A$2:$A$1801,0)),"")</f>
        <v/>
      </c>
      <c r="K3993" s="25">
        <f>IFERROR(INDEX(Pedidos!$D$2:$D$1801,MATCH(B3993,Pedidos!$A$2:$A$1801,0)),"")</f>
        <v/>
      </c>
      <c r="L3993" s="25">
        <f>IFERROR(INDEX(Pedidos!$F$2:$F$1801,MATCH(B3993,Pedidos!$A$2:$A$1801,0)),"")</f>
        <v/>
      </c>
      <c r="M3993" s="26">
        <f>IFERROR(INDEX(Pedidos!$G$2:$G$1801,MATCH(B3993,Pedidos!$A$2:$A$1801,0)),0)</f>
        <v/>
      </c>
      <c r="N3993" s="25">
        <f>IFERROR(INDEX(Produtos!$B$2:$B$71,MATCH(C3993,Produtos!$A$2:$A$71,0)),"")</f>
        <v/>
      </c>
      <c r="O3993" s="25">
        <f>IFERROR(INDEX(Produtos!$C$2:$C$71,MATCH(C3993,Produtos!$A$2:$A$71,0)),"")</f>
        <v/>
      </c>
      <c r="P3993" s="25">
        <f>IFERROR(INDEX(Produtos!$D$2:$D$71,MATCH(C3993,Produtos!$A$2:$A$71,0)),0)</f>
        <v/>
      </c>
      <c r="Q3993" s="25">
        <f>IFERROR(INDEX(Produtos!$E$2:$E$71,MATCH(C3993,Produtos!$A$2:$A$71,0)),0)</f>
        <v/>
      </c>
      <c r="R3993" s="27">
        <f>D3993*Q3993</f>
        <v/>
      </c>
      <c r="S3993" s="27">
        <f>R3993*E3993</f>
        <v/>
      </c>
      <c r="T3993" s="27">
        <f>(R3993-S3993)*M3993</f>
        <v/>
      </c>
      <c r="U3993" s="27">
        <f>R3993-S3993-T3993</f>
        <v/>
      </c>
      <c r="V3993" s="27">
        <f>D3993*P3993</f>
        <v/>
      </c>
      <c r="W3993" s="27">
        <f>U3993-V3993</f>
        <v/>
      </c>
      <c r="X3993" s="28">
        <f>IFERROR(W3993/U3993,0)</f>
        <v/>
      </c>
    </row>
    <row r="3994">
      <c r="A3994" s="21">
        <f>ItensPedido!A3994</f>
        <v/>
      </c>
      <c r="B3994" s="21">
        <f>ItensPedido!B3994</f>
        <v/>
      </c>
      <c r="C3994" s="21">
        <f>ItensPedido!C3994</f>
        <v/>
      </c>
      <c r="D3994" s="21">
        <f>ItensPedido!D3994</f>
        <v/>
      </c>
      <c r="E3994" s="22">
        <f>ItensPedido!E3994</f>
        <v/>
      </c>
      <c r="F3994" s="21">
        <f>IFERROR(INDEX(Pedidos!$B$2:$B$1801,MATCH(B3994,Pedidos!$A$2:$A$1801,0)),0)</f>
        <v/>
      </c>
      <c r="G3994" s="21">
        <f>IF(F3994=0,"",YEAR(F3994))</f>
        <v/>
      </c>
      <c r="H3994" s="21">
        <f>IF(F3994=0,"",MONTH(F3994))</f>
        <v/>
      </c>
      <c r="I3994" s="21">
        <f>IFERROR(INDEX(Pedidos!$E$2:$E$1801,MATCH(B3994,Pedidos!$A$2:$A$1801,0)),"")</f>
        <v/>
      </c>
      <c r="J3994" s="21">
        <f>IFERROR(INDEX(Pedidos!$C$2:$C$1801,MATCH(B3994,Pedidos!$A$2:$A$1801,0)),"")</f>
        <v/>
      </c>
      <c r="K3994" s="21">
        <f>IFERROR(INDEX(Pedidos!$D$2:$D$1801,MATCH(B3994,Pedidos!$A$2:$A$1801,0)),"")</f>
        <v/>
      </c>
      <c r="L3994" s="21">
        <f>IFERROR(INDEX(Pedidos!$F$2:$F$1801,MATCH(B3994,Pedidos!$A$2:$A$1801,0)),"")</f>
        <v/>
      </c>
      <c r="M3994" s="22">
        <f>IFERROR(INDEX(Pedidos!$G$2:$G$1801,MATCH(B3994,Pedidos!$A$2:$A$1801,0)),0)</f>
        <v/>
      </c>
      <c r="N3994" s="21">
        <f>IFERROR(INDEX(Produtos!$B$2:$B$71,MATCH(C3994,Produtos!$A$2:$A$71,0)),"")</f>
        <v/>
      </c>
      <c r="O3994" s="21">
        <f>IFERROR(INDEX(Produtos!$C$2:$C$71,MATCH(C3994,Produtos!$A$2:$A$71,0)),"")</f>
        <v/>
      </c>
      <c r="P3994" s="21">
        <f>IFERROR(INDEX(Produtos!$D$2:$D$71,MATCH(C3994,Produtos!$A$2:$A$71,0)),0)</f>
        <v/>
      </c>
      <c r="Q3994" s="21">
        <f>IFERROR(INDEX(Produtos!$E$2:$E$71,MATCH(C3994,Produtos!$A$2:$A$71,0)),0)</f>
        <v/>
      </c>
      <c r="R3994" s="23">
        <f>D3994*Q3994</f>
        <v/>
      </c>
      <c r="S3994" s="23">
        <f>R3994*E3994</f>
        <v/>
      </c>
      <c r="T3994" s="23">
        <f>(R3994-S3994)*M3994</f>
        <v/>
      </c>
      <c r="U3994" s="23">
        <f>R3994-S3994-T3994</f>
        <v/>
      </c>
      <c r="V3994" s="23">
        <f>D3994*P3994</f>
        <v/>
      </c>
      <c r="W3994" s="23">
        <f>U3994-V3994</f>
        <v/>
      </c>
      <c r="X3994" s="24">
        <f>IFERROR(W3994/U3994,0)</f>
        <v/>
      </c>
    </row>
    <row r="3995">
      <c r="A3995" s="25">
        <f>ItensPedido!A3995</f>
        <v/>
      </c>
      <c r="B3995" s="25">
        <f>ItensPedido!B3995</f>
        <v/>
      </c>
      <c r="C3995" s="25">
        <f>ItensPedido!C3995</f>
        <v/>
      </c>
      <c r="D3995" s="25">
        <f>ItensPedido!D3995</f>
        <v/>
      </c>
      <c r="E3995" s="26">
        <f>ItensPedido!E3995</f>
        <v/>
      </c>
      <c r="F3995" s="25">
        <f>IFERROR(INDEX(Pedidos!$B$2:$B$1801,MATCH(B3995,Pedidos!$A$2:$A$1801,0)),0)</f>
        <v/>
      </c>
      <c r="G3995" s="25">
        <f>IF(F3995=0,"",YEAR(F3995))</f>
        <v/>
      </c>
      <c r="H3995" s="25">
        <f>IF(F3995=0,"",MONTH(F3995))</f>
        <v/>
      </c>
      <c r="I3995" s="25">
        <f>IFERROR(INDEX(Pedidos!$E$2:$E$1801,MATCH(B3995,Pedidos!$A$2:$A$1801,0)),"")</f>
        <v/>
      </c>
      <c r="J3995" s="25">
        <f>IFERROR(INDEX(Pedidos!$C$2:$C$1801,MATCH(B3995,Pedidos!$A$2:$A$1801,0)),"")</f>
        <v/>
      </c>
      <c r="K3995" s="25">
        <f>IFERROR(INDEX(Pedidos!$D$2:$D$1801,MATCH(B3995,Pedidos!$A$2:$A$1801,0)),"")</f>
        <v/>
      </c>
      <c r="L3995" s="25">
        <f>IFERROR(INDEX(Pedidos!$F$2:$F$1801,MATCH(B3995,Pedidos!$A$2:$A$1801,0)),"")</f>
        <v/>
      </c>
      <c r="M3995" s="26">
        <f>IFERROR(INDEX(Pedidos!$G$2:$G$1801,MATCH(B3995,Pedidos!$A$2:$A$1801,0)),0)</f>
        <v/>
      </c>
      <c r="N3995" s="25">
        <f>IFERROR(INDEX(Produtos!$B$2:$B$71,MATCH(C3995,Produtos!$A$2:$A$71,0)),"")</f>
        <v/>
      </c>
      <c r="O3995" s="25">
        <f>IFERROR(INDEX(Produtos!$C$2:$C$71,MATCH(C3995,Produtos!$A$2:$A$71,0)),"")</f>
        <v/>
      </c>
      <c r="P3995" s="25">
        <f>IFERROR(INDEX(Produtos!$D$2:$D$71,MATCH(C3995,Produtos!$A$2:$A$71,0)),0)</f>
        <v/>
      </c>
      <c r="Q3995" s="25">
        <f>IFERROR(INDEX(Produtos!$E$2:$E$71,MATCH(C3995,Produtos!$A$2:$A$71,0)),0)</f>
        <v/>
      </c>
      <c r="R3995" s="27">
        <f>D3995*Q3995</f>
        <v/>
      </c>
      <c r="S3995" s="27">
        <f>R3995*E3995</f>
        <v/>
      </c>
      <c r="T3995" s="27">
        <f>(R3995-S3995)*M3995</f>
        <v/>
      </c>
      <c r="U3995" s="27">
        <f>R3995-S3995-T3995</f>
        <v/>
      </c>
      <c r="V3995" s="27">
        <f>D3995*P3995</f>
        <v/>
      </c>
      <c r="W3995" s="27">
        <f>U3995-V3995</f>
        <v/>
      </c>
      <c r="X3995" s="28">
        <f>IFERROR(W3995/U3995,0)</f>
        <v/>
      </c>
    </row>
    <row r="3996">
      <c r="A3996" s="21">
        <f>ItensPedido!A3996</f>
        <v/>
      </c>
      <c r="B3996" s="21">
        <f>ItensPedido!B3996</f>
        <v/>
      </c>
      <c r="C3996" s="21">
        <f>ItensPedido!C3996</f>
        <v/>
      </c>
      <c r="D3996" s="21">
        <f>ItensPedido!D3996</f>
        <v/>
      </c>
      <c r="E3996" s="22">
        <f>ItensPedido!E3996</f>
        <v/>
      </c>
      <c r="F3996" s="21">
        <f>IFERROR(INDEX(Pedidos!$B$2:$B$1801,MATCH(B3996,Pedidos!$A$2:$A$1801,0)),0)</f>
        <v/>
      </c>
      <c r="G3996" s="21">
        <f>IF(F3996=0,"",YEAR(F3996))</f>
        <v/>
      </c>
      <c r="H3996" s="21">
        <f>IF(F3996=0,"",MONTH(F3996))</f>
        <v/>
      </c>
      <c r="I3996" s="21">
        <f>IFERROR(INDEX(Pedidos!$E$2:$E$1801,MATCH(B3996,Pedidos!$A$2:$A$1801,0)),"")</f>
        <v/>
      </c>
      <c r="J3996" s="21">
        <f>IFERROR(INDEX(Pedidos!$C$2:$C$1801,MATCH(B3996,Pedidos!$A$2:$A$1801,0)),"")</f>
        <v/>
      </c>
      <c r="K3996" s="21">
        <f>IFERROR(INDEX(Pedidos!$D$2:$D$1801,MATCH(B3996,Pedidos!$A$2:$A$1801,0)),"")</f>
        <v/>
      </c>
      <c r="L3996" s="21">
        <f>IFERROR(INDEX(Pedidos!$F$2:$F$1801,MATCH(B3996,Pedidos!$A$2:$A$1801,0)),"")</f>
        <v/>
      </c>
      <c r="M3996" s="22">
        <f>IFERROR(INDEX(Pedidos!$G$2:$G$1801,MATCH(B3996,Pedidos!$A$2:$A$1801,0)),0)</f>
        <v/>
      </c>
      <c r="N3996" s="21">
        <f>IFERROR(INDEX(Produtos!$B$2:$B$71,MATCH(C3996,Produtos!$A$2:$A$71,0)),"")</f>
        <v/>
      </c>
      <c r="O3996" s="21">
        <f>IFERROR(INDEX(Produtos!$C$2:$C$71,MATCH(C3996,Produtos!$A$2:$A$71,0)),"")</f>
        <v/>
      </c>
      <c r="P3996" s="21">
        <f>IFERROR(INDEX(Produtos!$D$2:$D$71,MATCH(C3996,Produtos!$A$2:$A$71,0)),0)</f>
        <v/>
      </c>
      <c r="Q3996" s="21">
        <f>IFERROR(INDEX(Produtos!$E$2:$E$71,MATCH(C3996,Produtos!$A$2:$A$71,0)),0)</f>
        <v/>
      </c>
      <c r="R3996" s="23">
        <f>D3996*Q3996</f>
        <v/>
      </c>
      <c r="S3996" s="23">
        <f>R3996*E3996</f>
        <v/>
      </c>
      <c r="T3996" s="23">
        <f>(R3996-S3996)*M3996</f>
        <v/>
      </c>
      <c r="U3996" s="23">
        <f>R3996-S3996-T3996</f>
        <v/>
      </c>
      <c r="V3996" s="23">
        <f>D3996*P3996</f>
        <v/>
      </c>
      <c r="W3996" s="23">
        <f>U3996-V3996</f>
        <v/>
      </c>
      <c r="X3996" s="24">
        <f>IFERROR(W3996/U3996,0)</f>
        <v/>
      </c>
    </row>
    <row r="3997">
      <c r="A3997" s="25">
        <f>ItensPedido!A3997</f>
        <v/>
      </c>
      <c r="B3997" s="25">
        <f>ItensPedido!B3997</f>
        <v/>
      </c>
      <c r="C3997" s="25">
        <f>ItensPedido!C3997</f>
        <v/>
      </c>
      <c r="D3997" s="25">
        <f>ItensPedido!D3997</f>
        <v/>
      </c>
      <c r="E3997" s="26">
        <f>ItensPedido!E3997</f>
        <v/>
      </c>
      <c r="F3997" s="25">
        <f>IFERROR(INDEX(Pedidos!$B$2:$B$1801,MATCH(B3997,Pedidos!$A$2:$A$1801,0)),0)</f>
        <v/>
      </c>
      <c r="G3997" s="25">
        <f>IF(F3997=0,"",YEAR(F3997))</f>
        <v/>
      </c>
      <c r="H3997" s="25">
        <f>IF(F3997=0,"",MONTH(F3997))</f>
        <v/>
      </c>
      <c r="I3997" s="25">
        <f>IFERROR(INDEX(Pedidos!$E$2:$E$1801,MATCH(B3997,Pedidos!$A$2:$A$1801,0)),"")</f>
        <v/>
      </c>
      <c r="J3997" s="25">
        <f>IFERROR(INDEX(Pedidos!$C$2:$C$1801,MATCH(B3997,Pedidos!$A$2:$A$1801,0)),"")</f>
        <v/>
      </c>
      <c r="K3997" s="25">
        <f>IFERROR(INDEX(Pedidos!$D$2:$D$1801,MATCH(B3997,Pedidos!$A$2:$A$1801,0)),"")</f>
        <v/>
      </c>
      <c r="L3997" s="25">
        <f>IFERROR(INDEX(Pedidos!$F$2:$F$1801,MATCH(B3997,Pedidos!$A$2:$A$1801,0)),"")</f>
        <v/>
      </c>
      <c r="M3997" s="26">
        <f>IFERROR(INDEX(Pedidos!$G$2:$G$1801,MATCH(B3997,Pedidos!$A$2:$A$1801,0)),0)</f>
        <v/>
      </c>
      <c r="N3997" s="25">
        <f>IFERROR(INDEX(Produtos!$B$2:$B$71,MATCH(C3997,Produtos!$A$2:$A$71,0)),"")</f>
        <v/>
      </c>
      <c r="O3997" s="25">
        <f>IFERROR(INDEX(Produtos!$C$2:$C$71,MATCH(C3997,Produtos!$A$2:$A$71,0)),"")</f>
        <v/>
      </c>
      <c r="P3997" s="25">
        <f>IFERROR(INDEX(Produtos!$D$2:$D$71,MATCH(C3997,Produtos!$A$2:$A$71,0)),0)</f>
        <v/>
      </c>
      <c r="Q3997" s="25">
        <f>IFERROR(INDEX(Produtos!$E$2:$E$71,MATCH(C3997,Produtos!$A$2:$A$71,0)),0)</f>
        <v/>
      </c>
      <c r="R3997" s="27">
        <f>D3997*Q3997</f>
        <v/>
      </c>
      <c r="S3997" s="27">
        <f>R3997*E3997</f>
        <v/>
      </c>
      <c r="T3997" s="27">
        <f>(R3997-S3997)*M3997</f>
        <v/>
      </c>
      <c r="U3997" s="27">
        <f>R3997-S3997-T3997</f>
        <v/>
      </c>
      <c r="V3997" s="27">
        <f>D3997*P3997</f>
        <v/>
      </c>
      <c r="W3997" s="27">
        <f>U3997-V3997</f>
        <v/>
      </c>
      <c r="X3997" s="28">
        <f>IFERROR(W3997/U3997,0)</f>
        <v/>
      </c>
    </row>
    <row r="3998">
      <c r="A3998" s="21">
        <f>ItensPedido!A3998</f>
        <v/>
      </c>
      <c r="B3998" s="21">
        <f>ItensPedido!B3998</f>
        <v/>
      </c>
      <c r="C3998" s="21">
        <f>ItensPedido!C3998</f>
        <v/>
      </c>
      <c r="D3998" s="21">
        <f>ItensPedido!D3998</f>
        <v/>
      </c>
      <c r="E3998" s="22">
        <f>ItensPedido!E3998</f>
        <v/>
      </c>
      <c r="F3998" s="21">
        <f>IFERROR(INDEX(Pedidos!$B$2:$B$1801,MATCH(B3998,Pedidos!$A$2:$A$1801,0)),0)</f>
        <v/>
      </c>
      <c r="G3998" s="21">
        <f>IF(F3998=0,"",YEAR(F3998))</f>
        <v/>
      </c>
      <c r="H3998" s="21">
        <f>IF(F3998=0,"",MONTH(F3998))</f>
        <v/>
      </c>
      <c r="I3998" s="21">
        <f>IFERROR(INDEX(Pedidos!$E$2:$E$1801,MATCH(B3998,Pedidos!$A$2:$A$1801,0)),"")</f>
        <v/>
      </c>
      <c r="J3998" s="21">
        <f>IFERROR(INDEX(Pedidos!$C$2:$C$1801,MATCH(B3998,Pedidos!$A$2:$A$1801,0)),"")</f>
        <v/>
      </c>
      <c r="K3998" s="21">
        <f>IFERROR(INDEX(Pedidos!$D$2:$D$1801,MATCH(B3998,Pedidos!$A$2:$A$1801,0)),"")</f>
        <v/>
      </c>
      <c r="L3998" s="21">
        <f>IFERROR(INDEX(Pedidos!$F$2:$F$1801,MATCH(B3998,Pedidos!$A$2:$A$1801,0)),"")</f>
        <v/>
      </c>
      <c r="M3998" s="22">
        <f>IFERROR(INDEX(Pedidos!$G$2:$G$1801,MATCH(B3998,Pedidos!$A$2:$A$1801,0)),0)</f>
        <v/>
      </c>
      <c r="N3998" s="21">
        <f>IFERROR(INDEX(Produtos!$B$2:$B$71,MATCH(C3998,Produtos!$A$2:$A$71,0)),"")</f>
        <v/>
      </c>
      <c r="O3998" s="21">
        <f>IFERROR(INDEX(Produtos!$C$2:$C$71,MATCH(C3998,Produtos!$A$2:$A$71,0)),"")</f>
        <v/>
      </c>
      <c r="P3998" s="21">
        <f>IFERROR(INDEX(Produtos!$D$2:$D$71,MATCH(C3998,Produtos!$A$2:$A$71,0)),0)</f>
        <v/>
      </c>
      <c r="Q3998" s="21">
        <f>IFERROR(INDEX(Produtos!$E$2:$E$71,MATCH(C3998,Produtos!$A$2:$A$71,0)),0)</f>
        <v/>
      </c>
      <c r="R3998" s="23">
        <f>D3998*Q3998</f>
        <v/>
      </c>
      <c r="S3998" s="23">
        <f>R3998*E3998</f>
        <v/>
      </c>
      <c r="T3998" s="23">
        <f>(R3998-S3998)*M3998</f>
        <v/>
      </c>
      <c r="U3998" s="23">
        <f>R3998-S3998-T3998</f>
        <v/>
      </c>
      <c r="V3998" s="23">
        <f>D3998*P3998</f>
        <v/>
      </c>
      <c r="W3998" s="23">
        <f>U3998-V3998</f>
        <v/>
      </c>
      <c r="X3998" s="24">
        <f>IFERROR(W3998/U3998,0)</f>
        <v/>
      </c>
    </row>
    <row r="3999">
      <c r="A3999" s="25">
        <f>ItensPedido!A3999</f>
        <v/>
      </c>
      <c r="B3999" s="25">
        <f>ItensPedido!B3999</f>
        <v/>
      </c>
      <c r="C3999" s="25">
        <f>ItensPedido!C3999</f>
        <v/>
      </c>
      <c r="D3999" s="25">
        <f>ItensPedido!D3999</f>
        <v/>
      </c>
      <c r="E3999" s="26">
        <f>ItensPedido!E3999</f>
        <v/>
      </c>
      <c r="F3999" s="25">
        <f>IFERROR(INDEX(Pedidos!$B$2:$B$1801,MATCH(B3999,Pedidos!$A$2:$A$1801,0)),0)</f>
        <v/>
      </c>
      <c r="G3999" s="25">
        <f>IF(F3999=0,"",YEAR(F3999))</f>
        <v/>
      </c>
      <c r="H3999" s="25">
        <f>IF(F3999=0,"",MONTH(F3999))</f>
        <v/>
      </c>
      <c r="I3999" s="25">
        <f>IFERROR(INDEX(Pedidos!$E$2:$E$1801,MATCH(B3999,Pedidos!$A$2:$A$1801,0)),"")</f>
        <v/>
      </c>
      <c r="J3999" s="25">
        <f>IFERROR(INDEX(Pedidos!$C$2:$C$1801,MATCH(B3999,Pedidos!$A$2:$A$1801,0)),"")</f>
        <v/>
      </c>
      <c r="K3999" s="25">
        <f>IFERROR(INDEX(Pedidos!$D$2:$D$1801,MATCH(B3999,Pedidos!$A$2:$A$1801,0)),"")</f>
        <v/>
      </c>
      <c r="L3999" s="25">
        <f>IFERROR(INDEX(Pedidos!$F$2:$F$1801,MATCH(B3999,Pedidos!$A$2:$A$1801,0)),"")</f>
        <v/>
      </c>
      <c r="M3999" s="26">
        <f>IFERROR(INDEX(Pedidos!$G$2:$G$1801,MATCH(B3999,Pedidos!$A$2:$A$1801,0)),0)</f>
        <v/>
      </c>
      <c r="N3999" s="25">
        <f>IFERROR(INDEX(Produtos!$B$2:$B$71,MATCH(C3999,Produtos!$A$2:$A$71,0)),"")</f>
        <v/>
      </c>
      <c r="O3999" s="25">
        <f>IFERROR(INDEX(Produtos!$C$2:$C$71,MATCH(C3999,Produtos!$A$2:$A$71,0)),"")</f>
        <v/>
      </c>
      <c r="P3999" s="25">
        <f>IFERROR(INDEX(Produtos!$D$2:$D$71,MATCH(C3999,Produtos!$A$2:$A$71,0)),0)</f>
        <v/>
      </c>
      <c r="Q3999" s="25">
        <f>IFERROR(INDEX(Produtos!$E$2:$E$71,MATCH(C3999,Produtos!$A$2:$A$71,0)),0)</f>
        <v/>
      </c>
      <c r="R3999" s="27">
        <f>D3999*Q3999</f>
        <v/>
      </c>
      <c r="S3999" s="27">
        <f>R3999*E3999</f>
        <v/>
      </c>
      <c r="T3999" s="27">
        <f>(R3999-S3999)*M3999</f>
        <v/>
      </c>
      <c r="U3999" s="27">
        <f>R3999-S3999-T3999</f>
        <v/>
      </c>
      <c r="V3999" s="27">
        <f>D3999*P3999</f>
        <v/>
      </c>
      <c r="W3999" s="27">
        <f>U3999-V3999</f>
        <v/>
      </c>
      <c r="X3999" s="28">
        <f>IFERROR(W3999/U3999,0)</f>
        <v/>
      </c>
    </row>
    <row r="4000">
      <c r="A4000" s="21">
        <f>ItensPedido!A4000</f>
        <v/>
      </c>
      <c r="B4000" s="21">
        <f>ItensPedido!B4000</f>
        <v/>
      </c>
      <c r="C4000" s="21">
        <f>ItensPedido!C4000</f>
        <v/>
      </c>
      <c r="D4000" s="21">
        <f>ItensPedido!D4000</f>
        <v/>
      </c>
      <c r="E4000" s="22">
        <f>ItensPedido!E4000</f>
        <v/>
      </c>
      <c r="F4000" s="21">
        <f>IFERROR(INDEX(Pedidos!$B$2:$B$1801,MATCH(B4000,Pedidos!$A$2:$A$1801,0)),0)</f>
        <v/>
      </c>
      <c r="G4000" s="21">
        <f>IF(F4000=0,"",YEAR(F4000))</f>
        <v/>
      </c>
      <c r="H4000" s="21">
        <f>IF(F4000=0,"",MONTH(F4000))</f>
        <v/>
      </c>
      <c r="I4000" s="21">
        <f>IFERROR(INDEX(Pedidos!$E$2:$E$1801,MATCH(B4000,Pedidos!$A$2:$A$1801,0)),"")</f>
        <v/>
      </c>
      <c r="J4000" s="21">
        <f>IFERROR(INDEX(Pedidos!$C$2:$C$1801,MATCH(B4000,Pedidos!$A$2:$A$1801,0)),"")</f>
        <v/>
      </c>
      <c r="K4000" s="21">
        <f>IFERROR(INDEX(Pedidos!$D$2:$D$1801,MATCH(B4000,Pedidos!$A$2:$A$1801,0)),"")</f>
        <v/>
      </c>
      <c r="L4000" s="21">
        <f>IFERROR(INDEX(Pedidos!$F$2:$F$1801,MATCH(B4000,Pedidos!$A$2:$A$1801,0)),"")</f>
        <v/>
      </c>
      <c r="M4000" s="22">
        <f>IFERROR(INDEX(Pedidos!$G$2:$G$1801,MATCH(B4000,Pedidos!$A$2:$A$1801,0)),0)</f>
        <v/>
      </c>
      <c r="N4000" s="21">
        <f>IFERROR(INDEX(Produtos!$B$2:$B$71,MATCH(C4000,Produtos!$A$2:$A$71,0)),"")</f>
        <v/>
      </c>
      <c r="O4000" s="21">
        <f>IFERROR(INDEX(Produtos!$C$2:$C$71,MATCH(C4000,Produtos!$A$2:$A$71,0)),"")</f>
        <v/>
      </c>
      <c r="P4000" s="21">
        <f>IFERROR(INDEX(Produtos!$D$2:$D$71,MATCH(C4000,Produtos!$A$2:$A$71,0)),0)</f>
        <v/>
      </c>
      <c r="Q4000" s="21">
        <f>IFERROR(INDEX(Produtos!$E$2:$E$71,MATCH(C4000,Produtos!$A$2:$A$71,0)),0)</f>
        <v/>
      </c>
      <c r="R4000" s="23">
        <f>D4000*Q4000</f>
        <v/>
      </c>
      <c r="S4000" s="23">
        <f>R4000*E4000</f>
        <v/>
      </c>
      <c r="T4000" s="23">
        <f>(R4000-S4000)*M4000</f>
        <v/>
      </c>
      <c r="U4000" s="23">
        <f>R4000-S4000-T4000</f>
        <v/>
      </c>
      <c r="V4000" s="23">
        <f>D4000*P4000</f>
        <v/>
      </c>
      <c r="W4000" s="23">
        <f>U4000-V4000</f>
        <v/>
      </c>
      <c r="X4000" s="24">
        <f>IFERROR(W4000/U4000,0)</f>
        <v/>
      </c>
    </row>
    <row r="4001">
      <c r="A4001" s="25">
        <f>ItensPedido!A4001</f>
        <v/>
      </c>
      <c r="B4001" s="25">
        <f>ItensPedido!B4001</f>
        <v/>
      </c>
      <c r="C4001" s="25">
        <f>ItensPedido!C4001</f>
        <v/>
      </c>
      <c r="D4001" s="25">
        <f>ItensPedido!D4001</f>
        <v/>
      </c>
      <c r="E4001" s="26">
        <f>ItensPedido!E4001</f>
        <v/>
      </c>
      <c r="F4001" s="25">
        <f>IFERROR(INDEX(Pedidos!$B$2:$B$1801,MATCH(B4001,Pedidos!$A$2:$A$1801,0)),0)</f>
        <v/>
      </c>
      <c r="G4001" s="25">
        <f>IF(F4001=0,"",YEAR(F4001))</f>
        <v/>
      </c>
      <c r="H4001" s="25">
        <f>IF(F4001=0,"",MONTH(F4001))</f>
        <v/>
      </c>
      <c r="I4001" s="25">
        <f>IFERROR(INDEX(Pedidos!$E$2:$E$1801,MATCH(B4001,Pedidos!$A$2:$A$1801,0)),"")</f>
        <v/>
      </c>
      <c r="J4001" s="25">
        <f>IFERROR(INDEX(Pedidos!$C$2:$C$1801,MATCH(B4001,Pedidos!$A$2:$A$1801,0)),"")</f>
        <v/>
      </c>
      <c r="K4001" s="25">
        <f>IFERROR(INDEX(Pedidos!$D$2:$D$1801,MATCH(B4001,Pedidos!$A$2:$A$1801,0)),"")</f>
        <v/>
      </c>
      <c r="L4001" s="25">
        <f>IFERROR(INDEX(Pedidos!$F$2:$F$1801,MATCH(B4001,Pedidos!$A$2:$A$1801,0)),"")</f>
        <v/>
      </c>
      <c r="M4001" s="26">
        <f>IFERROR(INDEX(Pedidos!$G$2:$G$1801,MATCH(B4001,Pedidos!$A$2:$A$1801,0)),0)</f>
        <v/>
      </c>
      <c r="N4001" s="25">
        <f>IFERROR(INDEX(Produtos!$B$2:$B$71,MATCH(C4001,Produtos!$A$2:$A$71,0)),"")</f>
        <v/>
      </c>
      <c r="O4001" s="25">
        <f>IFERROR(INDEX(Produtos!$C$2:$C$71,MATCH(C4001,Produtos!$A$2:$A$71,0)),"")</f>
        <v/>
      </c>
      <c r="P4001" s="25">
        <f>IFERROR(INDEX(Produtos!$D$2:$D$71,MATCH(C4001,Produtos!$A$2:$A$71,0)),0)</f>
        <v/>
      </c>
      <c r="Q4001" s="25">
        <f>IFERROR(INDEX(Produtos!$E$2:$E$71,MATCH(C4001,Produtos!$A$2:$A$71,0)),0)</f>
        <v/>
      </c>
      <c r="R4001" s="27">
        <f>D4001*Q4001</f>
        <v/>
      </c>
      <c r="S4001" s="27">
        <f>R4001*E4001</f>
        <v/>
      </c>
      <c r="T4001" s="27">
        <f>(R4001-S4001)*M4001</f>
        <v/>
      </c>
      <c r="U4001" s="27">
        <f>R4001-S4001-T4001</f>
        <v/>
      </c>
      <c r="V4001" s="27">
        <f>D4001*P4001</f>
        <v/>
      </c>
      <c r="W4001" s="27">
        <f>U4001-V4001</f>
        <v/>
      </c>
      <c r="X4001" s="28">
        <f>IFERROR(W4001/U4001,0)</f>
        <v/>
      </c>
    </row>
    <row r="4002">
      <c r="A4002" s="21">
        <f>ItensPedido!A4002</f>
        <v/>
      </c>
      <c r="B4002" s="21">
        <f>ItensPedido!B4002</f>
        <v/>
      </c>
      <c r="C4002" s="21">
        <f>ItensPedido!C4002</f>
        <v/>
      </c>
      <c r="D4002" s="21">
        <f>ItensPedido!D4002</f>
        <v/>
      </c>
      <c r="E4002" s="22">
        <f>ItensPedido!E4002</f>
        <v/>
      </c>
      <c r="F4002" s="21">
        <f>IFERROR(INDEX(Pedidos!$B$2:$B$1801,MATCH(B4002,Pedidos!$A$2:$A$1801,0)),0)</f>
        <v/>
      </c>
      <c r="G4002" s="21">
        <f>IF(F4002=0,"",YEAR(F4002))</f>
        <v/>
      </c>
      <c r="H4002" s="21">
        <f>IF(F4002=0,"",MONTH(F4002))</f>
        <v/>
      </c>
      <c r="I4002" s="21">
        <f>IFERROR(INDEX(Pedidos!$E$2:$E$1801,MATCH(B4002,Pedidos!$A$2:$A$1801,0)),"")</f>
        <v/>
      </c>
      <c r="J4002" s="21">
        <f>IFERROR(INDEX(Pedidos!$C$2:$C$1801,MATCH(B4002,Pedidos!$A$2:$A$1801,0)),"")</f>
        <v/>
      </c>
      <c r="K4002" s="21">
        <f>IFERROR(INDEX(Pedidos!$D$2:$D$1801,MATCH(B4002,Pedidos!$A$2:$A$1801,0)),"")</f>
        <v/>
      </c>
      <c r="L4002" s="21">
        <f>IFERROR(INDEX(Pedidos!$F$2:$F$1801,MATCH(B4002,Pedidos!$A$2:$A$1801,0)),"")</f>
        <v/>
      </c>
      <c r="M4002" s="22">
        <f>IFERROR(INDEX(Pedidos!$G$2:$G$1801,MATCH(B4002,Pedidos!$A$2:$A$1801,0)),0)</f>
        <v/>
      </c>
      <c r="N4002" s="21">
        <f>IFERROR(INDEX(Produtos!$B$2:$B$71,MATCH(C4002,Produtos!$A$2:$A$71,0)),"")</f>
        <v/>
      </c>
      <c r="O4002" s="21">
        <f>IFERROR(INDEX(Produtos!$C$2:$C$71,MATCH(C4002,Produtos!$A$2:$A$71,0)),"")</f>
        <v/>
      </c>
      <c r="P4002" s="21">
        <f>IFERROR(INDEX(Produtos!$D$2:$D$71,MATCH(C4002,Produtos!$A$2:$A$71,0)),0)</f>
        <v/>
      </c>
      <c r="Q4002" s="21">
        <f>IFERROR(INDEX(Produtos!$E$2:$E$71,MATCH(C4002,Produtos!$A$2:$A$71,0)),0)</f>
        <v/>
      </c>
      <c r="R4002" s="23">
        <f>D4002*Q4002</f>
        <v/>
      </c>
      <c r="S4002" s="23">
        <f>R4002*E4002</f>
        <v/>
      </c>
      <c r="T4002" s="23">
        <f>(R4002-S4002)*M4002</f>
        <v/>
      </c>
      <c r="U4002" s="23">
        <f>R4002-S4002-T4002</f>
        <v/>
      </c>
      <c r="V4002" s="23">
        <f>D4002*P4002</f>
        <v/>
      </c>
      <c r="W4002" s="23">
        <f>U4002-V4002</f>
        <v/>
      </c>
      <c r="X4002" s="24">
        <f>IFERROR(W4002/U4002,0)</f>
        <v/>
      </c>
    </row>
    <row r="4003">
      <c r="A4003" s="25">
        <f>ItensPedido!A4003</f>
        <v/>
      </c>
      <c r="B4003" s="25">
        <f>ItensPedido!B4003</f>
        <v/>
      </c>
      <c r="C4003" s="25">
        <f>ItensPedido!C4003</f>
        <v/>
      </c>
      <c r="D4003" s="25">
        <f>ItensPedido!D4003</f>
        <v/>
      </c>
      <c r="E4003" s="26">
        <f>ItensPedido!E4003</f>
        <v/>
      </c>
      <c r="F4003" s="25">
        <f>IFERROR(INDEX(Pedidos!$B$2:$B$1801,MATCH(B4003,Pedidos!$A$2:$A$1801,0)),0)</f>
        <v/>
      </c>
      <c r="G4003" s="25">
        <f>IF(F4003=0,"",YEAR(F4003))</f>
        <v/>
      </c>
      <c r="H4003" s="25">
        <f>IF(F4003=0,"",MONTH(F4003))</f>
        <v/>
      </c>
      <c r="I4003" s="25">
        <f>IFERROR(INDEX(Pedidos!$E$2:$E$1801,MATCH(B4003,Pedidos!$A$2:$A$1801,0)),"")</f>
        <v/>
      </c>
      <c r="J4003" s="25">
        <f>IFERROR(INDEX(Pedidos!$C$2:$C$1801,MATCH(B4003,Pedidos!$A$2:$A$1801,0)),"")</f>
        <v/>
      </c>
      <c r="K4003" s="25">
        <f>IFERROR(INDEX(Pedidos!$D$2:$D$1801,MATCH(B4003,Pedidos!$A$2:$A$1801,0)),"")</f>
        <v/>
      </c>
      <c r="L4003" s="25">
        <f>IFERROR(INDEX(Pedidos!$F$2:$F$1801,MATCH(B4003,Pedidos!$A$2:$A$1801,0)),"")</f>
        <v/>
      </c>
      <c r="M4003" s="26">
        <f>IFERROR(INDEX(Pedidos!$G$2:$G$1801,MATCH(B4003,Pedidos!$A$2:$A$1801,0)),0)</f>
        <v/>
      </c>
      <c r="N4003" s="25">
        <f>IFERROR(INDEX(Produtos!$B$2:$B$71,MATCH(C4003,Produtos!$A$2:$A$71,0)),"")</f>
        <v/>
      </c>
      <c r="O4003" s="25">
        <f>IFERROR(INDEX(Produtos!$C$2:$C$71,MATCH(C4003,Produtos!$A$2:$A$71,0)),"")</f>
        <v/>
      </c>
      <c r="P4003" s="25">
        <f>IFERROR(INDEX(Produtos!$D$2:$D$71,MATCH(C4003,Produtos!$A$2:$A$71,0)),0)</f>
        <v/>
      </c>
      <c r="Q4003" s="25">
        <f>IFERROR(INDEX(Produtos!$E$2:$E$71,MATCH(C4003,Produtos!$A$2:$A$71,0)),0)</f>
        <v/>
      </c>
      <c r="R4003" s="27">
        <f>D4003*Q4003</f>
        <v/>
      </c>
      <c r="S4003" s="27">
        <f>R4003*E4003</f>
        <v/>
      </c>
      <c r="T4003" s="27">
        <f>(R4003-S4003)*M4003</f>
        <v/>
      </c>
      <c r="U4003" s="27">
        <f>R4003-S4003-T4003</f>
        <v/>
      </c>
      <c r="V4003" s="27">
        <f>D4003*P4003</f>
        <v/>
      </c>
      <c r="W4003" s="27">
        <f>U4003-V4003</f>
        <v/>
      </c>
      <c r="X4003" s="28">
        <f>IFERROR(W4003/U4003,0)</f>
        <v/>
      </c>
    </row>
    <row r="4004">
      <c r="A4004" s="21">
        <f>ItensPedido!A4004</f>
        <v/>
      </c>
      <c r="B4004" s="21">
        <f>ItensPedido!B4004</f>
        <v/>
      </c>
      <c r="C4004" s="21">
        <f>ItensPedido!C4004</f>
        <v/>
      </c>
      <c r="D4004" s="21">
        <f>ItensPedido!D4004</f>
        <v/>
      </c>
      <c r="E4004" s="22">
        <f>ItensPedido!E4004</f>
        <v/>
      </c>
      <c r="F4004" s="21">
        <f>IFERROR(INDEX(Pedidos!$B$2:$B$1801,MATCH(B4004,Pedidos!$A$2:$A$1801,0)),0)</f>
        <v/>
      </c>
      <c r="G4004" s="21">
        <f>IF(F4004=0,"",YEAR(F4004))</f>
        <v/>
      </c>
      <c r="H4004" s="21">
        <f>IF(F4004=0,"",MONTH(F4004))</f>
        <v/>
      </c>
      <c r="I4004" s="21">
        <f>IFERROR(INDEX(Pedidos!$E$2:$E$1801,MATCH(B4004,Pedidos!$A$2:$A$1801,0)),"")</f>
        <v/>
      </c>
      <c r="J4004" s="21">
        <f>IFERROR(INDEX(Pedidos!$C$2:$C$1801,MATCH(B4004,Pedidos!$A$2:$A$1801,0)),"")</f>
        <v/>
      </c>
      <c r="K4004" s="21">
        <f>IFERROR(INDEX(Pedidos!$D$2:$D$1801,MATCH(B4004,Pedidos!$A$2:$A$1801,0)),"")</f>
        <v/>
      </c>
      <c r="L4004" s="21">
        <f>IFERROR(INDEX(Pedidos!$F$2:$F$1801,MATCH(B4004,Pedidos!$A$2:$A$1801,0)),"")</f>
        <v/>
      </c>
      <c r="M4004" s="22">
        <f>IFERROR(INDEX(Pedidos!$G$2:$G$1801,MATCH(B4004,Pedidos!$A$2:$A$1801,0)),0)</f>
        <v/>
      </c>
      <c r="N4004" s="21">
        <f>IFERROR(INDEX(Produtos!$B$2:$B$71,MATCH(C4004,Produtos!$A$2:$A$71,0)),"")</f>
        <v/>
      </c>
      <c r="O4004" s="21">
        <f>IFERROR(INDEX(Produtos!$C$2:$C$71,MATCH(C4004,Produtos!$A$2:$A$71,0)),"")</f>
        <v/>
      </c>
      <c r="P4004" s="21">
        <f>IFERROR(INDEX(Produtos!$D$2:$D$71,MATCH(C4004,Produtos!$A$2:$A$71,0)),0)</f>
        <v/>
      </c>
      <c r="Q4004" s="21">
        <f>IFERROR(INDEX(Produtos!$E$2:$E$71,MATCH(C4004,Produtos!$A$2:$A$71,0)),0)</f>
        <v/>
      </c>
      <c r="R4004" s="23">
        <f>D4004*Q4004</f>
        <v/>
      </c>
      <c r="S4004" s="23">
        <f>R4004*E4004</f>
        <v/>
      </c>
      <c r="T4004" s="23">
        <f>(R4004-S4004)*M4004</f>
        <v/>
      </c>
      <c r="U4004" s="23">
        <f>R4004-S4004-T4004</f>
        <v/>
      </c>
      <c r="V4004" s="23">
        <f>D4004*P4004</f>
        <v/>
      </c>
      <c r="W4004" s="23">
        <f>U4004-V4004</f>
        <v/>
      </c>
      <c r="X4004" s="24">
        <f>IFERROR(W4004/U4004,0)</f>
        <v/>
      </c>
    </row>
    <row r="4005">
      <c r="A4005" s="25">
        <f>ItensPedido!A4005</f>
        <v/>
      </c>
      <c r="B4005" s="25">
        <f>ItensPedido!B4005</f>
        <v/>
      </c>
      <c r="C4005" s="25">
        <f>ItensPedido!C4005</f>
        <v/>
      </c>
      <c r="D4005" s="25">
        <f>ItensPedido!D4005</f>
        <v/>
      </c>
      <c r="E4005" s="26">
        <f>ItensPedido!E4005</f>
        <v/>
      </c>
      <c r="F4005" s="25">
        <f>IFERROR(INDEX(Pedidos!$B$2:$B$1801,MATCH(B4005,Pedidos!$A$2:$A$1801,0)),0)</f>
        <v/>
      </c>
      <c r="G4005" s="25">
        <f>IF(F4005=0,"",YEAR(F4005))</f>
        <v/>
      </c>
      <c r="H4005" s="25">
        <f>IF(F4005=0,"",MONTH(F4005))</f>
        <v/>
      </c>
      <c r="I4005" s="25">
        <f>IFERROR(INDEX(Pedidos!$E$2:$E$1801,MATCH(B4005,Pedidos!$A$2:$A$1801,0)),"")</f>
        <v/>
      </c>
      <c r="J4005" s="25">
        <f>IFERROR(INDEX(Pedidos!$C$2:$C$1801,MATCH(B4005,Pedidos!$A$2:$A$1801,0)),"")</f>
        <v/>
      </c>
      <c r="K4005" s="25">
        <f>IFERROR(INDEX(Pedidos!$D$2:$D$1801,MATCH(B4005,Pedidos!$A$2:$A$1801,0)),"")</f>
        <v/>
      </c>
      <c r="L4005" s="25">
        <f>IFERROR(INDEX(Pedidos!$F$2:$F$1801,MATCH(B4005,Pedidos!$A$2:$A$1801,0)),"")</f>
        <v/>
      </c>
      <c r="M4005" s="26">
        <f>IFERROR(INDEX(Pedidos!$G$2:$G$1801,MATCH(B4005,Pedidos!$A$2:$A$1801,0)),0)</f>
        <v/>
      </c>
      <c r="N4005" s="25">
        <f>IFERROR(INDEX(Produtos!$B$2:$B$71,MATCH(C4005,Produtos!$A$2:$A$71,0)),"")</f>
        <v/>
      </c>
      <c r="O4005" s="25">
        <f>IFERROR(INDEX(Produtos!$C$2:$C$71,MATCH(C4005,Produtos!$A$2:$A$71,0)),"")</f>
        <v/>
      </c>
      <c r="P4005" s="25">
        <f>IFERROR(INDEX(Produtos!$D$2:$D$71,MATCH(C4005,Produtos!$A$2:$A$71,0)),0)</f>
        <v/>
      </c>
      <c r="Q4005" s="25">
        <f>IFERROR(INDEX(Produtos!$E$2:$E$71,MATCH(C4005,Produtos!$A$2:$A$71,0)),0)</f>
        <v/>
      </c>
      <c r="R4005" s="27">
        <f>D4005*Q4005</f>
        <v/>
      </c>
      <c r="S4005" s="27">
        <f>R4005*E4005</f>
        <v/>
      </c>
      <c r="T4005" s="27">
        <f>(R4005-S4005)*M4005</f>
        <v/>
      </c>
      <c r="U4005" s="27">
        <f>R4005-S4005-T4005</f>
        <v/>
      </c>
      <c r="V4005" s="27">
        <f>D4005*P4005</f>
        <v/>
      </c>
      <c r="W4005" s="27">
        <f>U4005-V4005</f>
        <v/>
      </c>
      <c r="X4005" s="28">
        <f>IFERROR(W4005/U4005,0)</f>
        <v/>
      </c>
    </row>
    <row r="4006">
      <c r="A4006" s="21">
        <f>ItensPedido!A4006</f>
        <v/>
      </c>
      <c r="B4006" s="21">
        <f>ItensPedido!B4006</f>
        <v/>
      </c>
      <c r="C4006" s="21">
        <f>ItensPedido!C4006</f>
        <v/>
      </c>
      <c r="D4006" s="21">
        <f>ItensPedido!D4006</f>
        <v/>
      </c>
      <c r="E4006" s="22">
        <f>ItensPedido!E4006</f>
        <v/>
      </c>
      <c r="F4006" s="21">
        <f>IFERROR(INDEX(Pedidos!$B$2:$B$1801,MATCH(B4006,Pedidos!$A$2:$A$1801,0)),0)</f>
        <v/>
      </c>
      <c r="G4006" s="21">
        <f>IF(F4006=0,"",YEAR(F4006))</f>
        <v/>
      </c>
      <c r="H4006" s="21">
        <f>IF(F4006=0,"",MONTH(F4006))</f>
        <v/>
      </c>
      <c r="I4006" s="21">
        <f>IFERROR(INDEX(Pedidos!$E$2:$E$1801,MATCH(B4006,Pedidos!$A$2:$A$1801,0)),"")</f>
        <v/>
      </c>
      <c r="J4006" s="21">
        <f>IFERROR(INDEX(Pedidos!$C$2:$C$1801,MATCH(B4006,Pedidos!$A$2:$A$1801,0)),"")</f>
        <v/>
      </c>
      <c r="K4006" s="21">
        <f>IFERROR(INDEX(Pedidos!$D$2:$D$1801,MATCH(B4006,Pedidos!$A$2:$A$1801,0)),"")</f>
        <v/>
      </c>
      <c r="L4006" s="21">
        <f>IFERROR(INDEX(Pedidos!$F$2:$F$1801,MATCH(B4006,Pedidos!$A$2:$A$1801,0)),"")</f>
        <v/>
      </c>
      <c r="M4006" s="22">
        <f>IFERROR(INDEX(Pedidos!$G$2:$G$1801,MATCH(B4006,Pedidos!$A$2:$A$1801,0)),0)</f>
        <v/>
      </c>
      <c r="N4006" s="21">
        <f>IFERROR(INDEX(Produtos!$B$2:$B$71,MATCH(C4006,Produtos!$A$2:$A$71,0)),"")</f>
        <v/>
      </c>
      <c r="O4006" s="21">
        <f>IFERROR(INDEX(Produtos!$C$2:$C$71,MATCH(C4006,Produtos!$A$2:$A$71,0)),"")</f>
        <v/>
      </c>
      <c r="P4006" s="21">
        <f>IFERROR(INDEX(Produtos!$D$2:$D$71,MATCH(C4006,Produtos!$A$2:$A$71,0)),0)</f>
        <v/>
      </c>
      <c r="Q4006" s="21">
        <f>IFERROR(INDEX(Produtos!$E$2:$E$71,MATCH(C4006,Produtos!$A$2:$A$71,0)),0)</f>
        <v/>
      </c>
      <c r="R4006" s="23">
        <f>D4006*Q4006</f>
        <v/>
      </c>
      <c r="S4006" s="23">
        <f>R4006*E4006</f>
        <v/>
      </c>
      <c r="T4006" s="23">
        <f>(R4006-S4006)*M4006</f>
        <v/>
      </c>
      <c r="U4006" s="23">
        <f>R4006-S4006-T4006</f>
        <v/>
      </c>
      <c r="V4006" s="23">
        <f>D4006*P4006</f>
        <v/>
      </c>
      <c r="W4006" s="23">
        <f>U4006-V4006</f>
        <v/>
      </c>
      <c r="X4006" s="24">
        <f>IFERROR(W4006/U4006,0)</f>
        <v/>
      </c>
    </row>
    <row r="4007">
      <c r="A4007" s="25">
        <f>ItensPedido!A4007</f>
        <v/>
      </c>
      <c r="B4007" s="25">
        <f>ItensPedido!B4007</f>
        <v/>
      </c>
      <c r="C4007" s="25">
        <f>ItensPedido!C4007</f>
        <v/>
      </c>
      <c r="D4007" s="25">
        <f>ItensPedido!D4007</f>
        <v/>
      </c>
      <c r="E4007" s="26">
        <f>ItensPedido!E4007</f>
        <v/>
      </c>
      <c r="F4007" s="25">
        <f>IFERROR(INDEX(Pedidos!$B$2:$B$1801,MATCH(B4007,Pedidos!$A$2:$A$1801,0)),0)</f>
        <v/>
      </c>
      <c r="G4007" s="25">
        <f>IF(F4007=0,"",YEAR(F4007))</f>
        <v/>
      </c>
      <c r="H4007" s="25">
        <f>IF(F4007=0,"",MONTH(F4007))</f>
        <v/>
      </c>
      <c r="I4007" s="25">
        <f>IFERROR(INDEX(Pedidos!$E$2:$E$1801,MATCH(B4007,Pedidos!$A$2:$A$1801,0)),"")</f>
        <v/>
      </c>
      <c r="J4007" s="25">
        <f>IFERROR(INDEX(Pedidos!$C$2:$C$1801,MATCH(B4007,Pedidos!$A$2:$A$1801,0)),"")</f>
        <v/>
      </c>
      <c r="K4007" s="25">
        <f>IFERROR(INDEX(Pedidos!$D$2:$D$1801,MATCH(B4007,Pedidos!$A$2:$A$1801,0)),"")</f>
        <v/>
      </c>
      <c r="L4007" s="25">
        <f>IFERROR(INDEX(Pedidos!$F$2:$F$1801,MATCH(B4007,Pedidos!$A$2:$A$1801,0)),"")</f>
        <v/>
      </c>
      <c r="M4007" s="26">
        <f>IFERROR(INDEX(Pedidos!$G$2:$G$1801,MATCH(B4007,Pedidos!$A$2:$A$1801,0)),0)</f>
        <v/>
      </c>
      <c r="N4007" s="25">
        <f>IFERROR(INDEX(Produtos!$B$2:$B$71,MATCH(C4007,Produtos!$A$2:$A$71,0)),"")</f>
        <v/>
      </c>
      <c r="O4007" s="25">
        <f>IFERROR(INDEX(Produtos!$C$2:$C$71,MATCH(C4007,Produtos!$A$2:$A$71,0)),"")</f>
        <v/>
      </c>
      <c r="P4007" s="25">
        <f>IFERROR(INDEX(Produtos!$D$2:$D$71,MATCH(C4007,Produtos!$A$2:$A$71,0)),0)</f>
        <v/>
      </c>
      <c r="Q4007" s="25">
        <f>IFERROR(INDEX(Produtos!$E$2:$E$71,MATCH(C4007,Produtos!$A$2:$A$71,0)),0)</f>
        <v/>
      </c>
      <c r="R4007" s="27">
        <f>D4007*Q4007</f>
        <v/>
      </c>
      <c r="S4007" s="27">
        <f>R4007*E4007</f>
        <v/>
      </c>
      <c r="T4007" s="27">
        <f>(R4007-S4007)*M4007</f>
        <v/>
      </c>
      <c r="U4007" s="27">
        <f>R4007-S4007-T4007</f>
        <v/>
      </c>
      <c r="V4007" s="27">
        <f>D4007*P4007</f>
        <v/>
      </c>
      <c r="W4007" s="27">
        <f>U4007-V4007</f>
        <v/>
      </c>
      <c r="X4007" s="28">
        <f>IFERROR(W4007/U4007,0)</f>
        <v/>
      </c>
    </row>
    <row r="4008">
      <c r="A4008" s="21">
        <f>ItensPedido!A4008</f>
        <v/>
      </c>
      <c r="B4008" s="21">
        <f>ItensPedido!B4008</f>
        <v/>
      </c>
      <c r="C4008" s="21">
        <f>ItensPedido!C4008</f>
        <v/>
      </c>
      <c r="D4008" s="21">
        <f>ItensPedido!D4008</f>
        <v/>
      </c>
      <c r="E4008" s="22">
        <f>ItensPedido!E4008</f>
        <v/>
      </c>
      <c r="F4008" s="21">
        <f>IFERROR(INDEX(Pedidos!$B$2:$B$1801,MATCH(B4008,Pedidos!$A$2:$A$1801,0)),0)</f>
        <v/>
      </c>
      <c r="G4008" s="21">
        <f>IF(F4008=0,"",YEAR(F4008))</f>
        <v/>
      </c>
      <c r="H4008" s="21">
        <f>IF(F4008=0,"",MONTH(F4008))</f>
        <v/>
      </c>
      <c r="I4008" s="21">
        <f>IFERROR(INDEX(Pedidos!$E$2:$E$1801,MATCH(B4008,Pedidos!$A$2:$A$1801,0)),"")</f>
        <v/>
      </c>
      <c r="J4008" s="21">
        <f>IFERROR(INDEX(Pedidos!$C$2:$C$1801,MATCH(B4008,Pedidos!$A$2:$A$1801,0)),"")</f>
        <v/>
      </c>
      <c r="K4008" s="21">
        <f>IFERROR(INDEX(Pedidos!$D$2:$D$1801,MATCH(B4008,Pedidos!$A$2:$A$1801,0)),"")</f>
        <v/>
      </c>
      <c r="L4008" s="21">
        <f>IFERROR(INDEX(Pedidos!$F$2:$F$1801,MATCH(B4008,Pedidos!$A$2:$A$1801,0)),"")</f>
        <v/>
      </c>
      <c r="M4008" s="22">
        <f>IFERROR(INDEX(Pedidos!$G$2:$G$1801,MATCH(B4008,Pedidos!$A$2:$A$1801,0)),0)</f>
        <v/>
      </c>
      <c r="N4008" s="21">
        <f>IFERROR(INDEX(Produtos!$B$2:$B$71,MATCH(C4008,Produtos!$A$2:$A$71,0)),"")</f>
        <v/>
      </c>
      <c r="O4008" s="21">
        <f>IFERROR(INDEX(Produtos!$C$2:$C$71,MATCH(C4008,Produtos!$A$2:$A$71,0)),"")</f>
        <v/>
      </c>
      <c r="P4008" s="21">
        <f>IFERROR(INDEX(Produtos!$D$2:$D$71,MATCH(C4008,Produtos!$A$2:$A$71,0)),0)</f>
        <v/>
      </c>
      <c r="Q4008" s="21">
        <f>IFERROR(INDEX(Produtos!$E$2:$E$71,MATCH(C4008,Produtos!$A$2:$A$71,0)),0)</f>
        <v/>
      </c>
      <c r="R4008" s="23">
        <f>D4008*Q4008</f>
        <v/>
      </c>
      <c r="S4008" s="23">
        <f>R4008*E4008</f>
        <v/>
      </c>
      <c r="T4008" s="23">
        <f>(R4008-S4008)*M4008</f>
        <v/>
      </c>
      <c r="U4008" s="23">
        <f>R4008-S4008-T4008</f>
        <v/>
      </c>
      <c r="V4008" s="23">
        <f>D4008*P4008</f>
        <v/>
      </c>
      <c r="W4008" s="23">
        <f>U4008-V4008</f>
        <v/>
      </c>
      <c r="X4008" s="24">
        <f>IFERROR(W4008/U4008,0)</f>
        <v/>
      </c>
    </row>
    <row r="4009">
      <c r="A4009" s="25">
        <f>ItensPedido!A4009</f>
        <v/>
      </c>
      <c r="B4009" s="25">
        <f>ItensPedido!B4009</f>
        <v/>
      </c>
      <c r="C4009" s="25">
        <f>ItensPedido!C4009</f>
        <v/>
      </c>
      <c r="D4009" s="25">
        <f>ItensPedido!D4009</f>
        <v/>
      </c>
      <c r="E4009" s="26">
        <f>ItensPedido!E4009</f>
        <v/>
      </c>
      <c r="F4009" s="25">
        <f>IFERROR(INDEX(Pedidos!$B$2:$B$1801,MATCH(B4009,Pedidos!$A$2:$A$1801,0)),0)</f>
        <v/>
      </c>
      <c r="G4009" s="25">
        <f>IF(F4009=0,"",YEAR(F4009))</f>
        <v/>
      </c>
      <c r="H4009" s="25">
        <f>IF(F4009=0,"",MONTH(F4009))</f>
        <v/>
      </c>
      <c r="I4009" s="25">
        <f>IFERROR(INDEX(Pedidos!$E$2:$E$1801,MATCH(B4009,Pedidos!$A$2:$A$1801,0)),"")</f>
        <v/>
      </c>
      <c r="J4009" s="25">
        <f>IFERROR(INDEX(Pedidos!$C$2:$C$1801,MATCH(B4009,Pedidos!$A$2:$A$1801,0)),"")</f>
        <v/>
      </c>
      <c r="K4009" s="25">
        <f>IFERROR(INDEX(Pedidos!$D$2:$D$1801,MATCH(B4009,Pedidos!$A$2:$A$1801,0)),"")</f>
        <v/>
      </c>
      <c r="L4009" s="25">
        <f>IFERROR(INDEX(Pedidos!$F$2:$F$1801,MATCH(B4009,Pedidos!$A$2:$A$1801,0)),"")</f>
        <v/>
      </c>
      <c r="M4009" s="26">
        <f>IFERROR(INDEX(Pedidos!$G$2:$G$1801,MATCH(B4009,Pedidos!$A$2:$A$1801,0)),0)</f>
        <v/>
      </c>
      <c r="N4009" s="25">
        <f>IFERROR(INDEX(Produtos!$B$2:$B$71,MATCH(C4009,Produtos!$A$2:$A$71,0)),"")</f>
        <v/>
      </c>
      <c r="O4009" s="25">
        <f>IFERROR(INDEX(Produtos!$C$2:$C$71,MATCH(C4009,Produtos!$A$2:$A$71,0)),"")</f>
        <v/>
      </c>
      <c r="P4009" s="25">
        <f>IFERROR(INDEX(Produtos!$D$2:$D$71,MATCH(C4009,Produtos!$A$2:$A$71,0)),0)</f>
        <v/>
      </c>
      <c r="Q4009" s="25">
        <f>IFERROR(INDEX(Produtos!$E$2:$E$71,MATCH(C4009,Produtos!$A$2:$A$71,0)),0)</f>
        <v/>
      </c>
      <c r="R4009" s="27">
        <f>D4009*Q4009</f>
        <v/>
      </c>
      <c r="S4009" s="27">
        <f>R4009*E4009</f>
        <v/>
      </c>
      <c r="T4009" s="27">
        <f>(R4009-S4009)*M4009</f>
        <v/>
      </c>
      <c r="U4009" s="27">
        <f>R4009-S4009-T4009</f>
        <v/>
      </c>
      <c r="V4009" s="27">
        <f>D4009*P4009</f>
        <v/>
      </c>
      <c r="W4009" s="27">
        <f>U4009-V4009</f>
        <v/>
      </c>
      <c r="X4009" s="28">
        <f>IFERROR(W4009/U4009,0)</f>
        <v/>
      </c>
    </row>
    <row r="4010">
      <c r="A4010" s="21">
        <f>ItensPedido!A4010</f>
        <v/>
      </c>
      <c r="B4010" s="21">
        <f>ItensPedido!B4010</f>
        <v/>
      </c>
      <c r="C4010" s="21">
        <f>ItensPedido!C4010</f>
        <v/>
      </c>
      <c r="D4010" s="21">
        <f>ItensPedido!D4010</f>
        <v/>
      </c>
      <c r="E4010" s="22">
        <f>ItensPedido!E4010</f>
        <v/>
      </c>
      <c r="F4010" s="21">
        <f>IFERROR(INDEX(Pedidos!$B$2:$B$1801,MATCH(B4010,Pedidos!$A$2:$A$1801,0)),0)</f>
        <v/>
      </c>
      <c r="G4010" s="21">
        <f>IF(F4010=0,"",YEAR(F4010))</f>
        <v/>
      </c>
      <c r="H4010" s="21">
        <f>IF(F4010=0,"",MONTH(F4010))</f>
        <v/>
      </c>
      <c r="I4010" s="21">
        <f>IFERROR(INDEX(Pedidos!$E$2:$E$1801,MATCH(B4010,Pedidos!$A$2:$A$1801,0)),"")</f>
        <v/>
      </c>
      <c r="J4010" s="21">
        <f>IFERROR(INDEX(Pedidos!$C$2:$C$1801,MATCH(B4010,Pedidos!$A$2:$A$1801,0)),"")</f>
        <v/>
      </c>
      <c r="K4010" s="21">
        <f>IFERROR(INDEX(Pedidos!$D$2:$D$1801,MATCH(B4010,Pedidos!$A$2:$A$1801,0)),"")</f>
        <v/>
      </c>
      <c r="L4010" s="21">
        <f>IFERROR(INDEX(Pedidos!$F$2:$F$1801,MATCH(B4010,Pedidos!$A$2:$A$1801,0)),"")</f>
        <v/>
      </c>
      <c r="M4010" s="22">
        <f>IFERROR(INDEX(Pedidos!$G$2:$G$1801,MATCH(B4010,Pedidos!$A$2:$A$1801,0)),0)</f>
        <v/>
      </c>
      <c r="N4010" s="21">
        <f>IFERROR(INDEX(Produtos!$B$2:$B$71,MATCH(C4010,Produtos!$A$2:$A$71,0)),"")</f>
        <v/>
      </c>
      <c r="O4010" s="21">
        <f>IFERROR(INDEX(Produtos!$C$2:$C$71,MATCH(C4010,Produtos!$A$2:$A$71,0)),"")</f>
        <v/>
      </c>
      <c r="P4010" s="21">
        <f>IFERROR(INDEX(Produtos!$D$2:$D$71,MATCH(C4010,Produtos!$A$2:$A$71,0)),0)</f>
        <v/>
      </c>
      <c r="Q4010" s="21">
        <f>IFERROR(INDEX(Produtos!$E$2:$E$71,MATCH(C4010,Produtos!$A$2:$A$71,0)),0)</f>
        <v/>
      </c>
      <c r="R4010" s="23">
        <f>D4010*Q4010</f>
        <v/>
      </c>
      <c r="S4010" s="23">
        <f>R4010*E4010</f>
        <v/>
      </c>
      <c r="T4010" s="23">
        <f>(R4010-S4010)*M4010</f>
        <v/>
      </c>
      <c r="U4010" s="23">
        <f>R4010-S4010-T4010</f>
        <v/>
      </c>
      <c r="V4010" s="23">
        <f>D4010*P4010</f>
        <v/>
      </c>
      <c r="W4010" s="23">
        <f>U4010-V4010</f>
        <v/>
      </c>
      <c r="X4010" s="24">
        <f>IFERROR(W4010/U4010,0)</f>
        <v/>
      </c>
    </row>
    <row r="4011">
      <c r="A4011" s="25">
        <f>ItensPedido!A4011</f>
        <v/>
      </c>
      <c r="B4011" s="25">
        <f>ItensPedido!B4011</f>
        <v/>
      </c>
      <c r="C4011" s="25">
        <f>ItensPedido!C4011</f>
        <v/>
      </c>
      <c r="D4011" s="25">
        <f>ItensPedido!D4011</f>
        <v/>
      </c>
      <c r="E4011" s="26">
        <f>ItensPedido!E4011</f>
        <v/>
      </c>
      <c r="F4011" s="25">
        <f>IFERROR(INDEX(Pedidos!$B$2:$B$1801,MATCH(B4011,Pedidos!$A$2:$A$1801,0)),0)</f>
        <v/>
      </c>
      <c r="G4011" s="25">
        <f>IF(F4011=0,"",YEAR(F4011))</f>
        <v/>
      </c>
      <c r="H4011" s="25">
        <f>IF(F4011=0,"",MONTH(F4011))</f>
        <v/>
      </c>
      <c r="I4011" s="25">
        <f>IFERROR(INDEX(Pedidos!$E$2:$E$1801,MATCH(B4011,Pedidos!$A$2:$A$1801,0)),"")</f>
        <v/>
      </c>
      <c r="J4011" s="25">
        <f>IFERROR(INDEX(Pedidos!$C$2:$C$1801,MATCH(B4011,Pedidos!$A$2:$A$1801,0)),"")</f>
        <v/>
      </c>
      <c r="K4011" s="25">
        <f>IFERROR(INDEX(Pedidos!$D$2:$D$1801,MATCH(B4011,Pedidos!$A$2:$A$1801,0)),"")</f>
        <v/>
      </c>
      <c r="L4011" s="25">
        <f>IFERROR(INDEX(Pedidos!$F$2:$F$1801,MATCH(B4011,Pedidos!$A$2:$A$1801,0)),"")</f>
        <v/>
      </c>
      <c r="M4011" s="26">
        <f>IFERROR(INDEX(Pedidos!$G$2:$G$1801,MATCH(B4011,Pedidos!$A$2:$A$1801,0)),0)</f>
        <v/>
      </c>
      <c r="N4011" s="25">
        <f>IFERROR(INDEX(Produtos!$B$2:$B$71,MATCH(C4011,Produtos!$A$2:$A$71,0)),"")</f>
        <v/>
      </c>
      <c r="O4011" s="25">
        <f>IFERROR(INDEX(Produtos!$C$2:$C$71,MATCH(C4011,Produtos!$A$2:$A$71,0)),"")</f>
        <v/>
      </c>
      <c r="P4011" s="25">
        <f>IFERROR(INDEX(Produtos!$D$2:$D$71,MATCH(C4011,Produtos!$A$2:$A$71,0)),0)</f>
        <v/>
      </c>
      <c r="Q4011" s="25">
        <f>IFERROR(INDEX(Produtos!$E$2:$E$71,MATCH(C4011,Produtos!$A$2:$A$71,0)),0)</f>
        <v/>
      </c>
      <c r="R4011" s="27">
        <f>D4011*Q4011</f>
        <v/>
      </c>
      <c r="S4011" s="27">
        <f>R4011*E4011</f>
        <v/>
      </c>
      <c r="T4011" s="27">
        <f>(R4011-S4011)*M4011</f>
        <v/>
      </c>
      <c r="U4011" s="27">
        <f>R4011-S4011-T4011</f>
        <v/>
      </c>
      <c r="V4011" s="27">
        <f>D4011*P4011</f>
        <v/>
      </c>
      <c r="W4011" s="27">
        <f>U4011-V4011</f>
        <v/>
      </c>
      <c r="X4011" s="28">
        <f>IFERROR(W4011/U4011,0)</f>
        <v/>
      </c>
    </row>
    <row r="4012">
      <c r="A4012" s="21">
        <f>ItensPedido!A4012</f>
        <v/>
      </c>
      <c r="B4012" s="21">
        <f>ItensPedido!B4012</f>
        <v/>
      </c>
      <c r="C4012" s="21">
        <f>ItensPedido!C4012</f>
        <v/>
      </c>
      <c r="D4012" s="21">
        <f>ItensPedido!D4012</f>
        <v/>
      </c>
      <c r="E4012" s="22">
        <f>ItensPedido!E4012</f>
        <v/>
      </c>
      <c r="F4012" s="21">
        <f>IFERROR(INDEX(Pedidos!$B$2:$B$1801,MATCH(B4012,Pedidos!$A$2:$A$1801,0)),0)</f>
        <v/>
      </c>
      <c r="G4012" s="21">
        <f>IF(F4012=0,"",YEAR(F4012))</f>
        <v/>
      </c>
      <c r="H4012" s="21">
        <f>IF(F4012=0,"",MONTH(F4012))</f>
        <v/>
      </c>
      <c r="I4012" s="21">
        <f>IFERROR(INDEX(Pedidos!$E$2:$E$1801,MATCH(B4012,Pedidos!$A$2:$A$1801,0)),"")</f>
        <v/>
      </c>
      <c r="J4012" s="21">
        <f>IFERROR(INDEX(Pedidos!$C$2:$C$1801,MATCH(B4012,Pedidos!$A$2:$A$1801,0)),"")</f>
        <v/>
      </c>
      <c r="K4012" s="21">
        <f>IFERROR(INDEX(Pedidos!$D$2:$D$1801,MATCH(B4012,Pedidos!$A$2:$A$1801,0)),"")</f>
        <v/>
      </c>
      <c r="L4012" s="21">
        <f>IFERROR(INDEX(Pedidos!$F$2:$F$1801,MATCH(B4012,Pedidos!$A$2:$A$1801,0)),"")</f>
        <v/>
      </c>
      <c r="M4012" s="22">
        <f>IFERROR(INDEX(Pedidos!$G$2:$G$1801,MATCH(B4012,Pedidos!$A$2:$A$1801,0)),0)</f>
        <v/>
      </c>
      <c r="N4012" s="21">
        <f>IFERROR(INDEX(Produtos!$B$2:$B$71,MATCH(C4012,Produtos!$A$2:$A$71,0)),"")</f>
        <v/>
      </c>
      <c r="O4012" s="21">
        <f>IFERROR(INDEX(Produtos!$C$2:$C$71,MATCH(C4012,Produtos!$A$2:$A$71,0)),"")</f>
        <v/>
      </c>
      <c r="P4012" s="21">
        <f>IFERROR(INDEX(Produtos!$D$2:$D$71,MATCH(C4012,Produtos!$A$2:$A$71,0)),0)</f>
        <v/>
      </c>
      <c r="Q4012" s="21">
        <f>IFERROR(INDEX(Produtos!$E$2:$E$71,MATCH(C4012,Produtos!$A$2:$A$71,0)),0)</f>
        <v/>
      </c>
      <c r="R4012" s="23">
        <f>D4012*Q4012</f>
        <v/>
      </c>
      <c r="S4012" s="23">
        <f>R4012*E4012</f>
        <v/>
      </c>
      <c r="T4012" s="23">
        <f>(R4012-S4012)*M4012</f>
        <v/>
      </c>
      <c r="U4012" s="23">
        <f>R4012-S4012-T4012</f>
        <v/>
      </c>
      <c r="V4012" s="23">
        <f>D4012*P4012</f>
        <v/>
      </c>
      <c r="W4012" s="23">
        <f>U4012-V4012</f>
        <v/>
      </c>
      <c r="X4012" s="24">
        <f>IFERROR(W4012/U4012,0)</f>
        <v/>
      </c>
    </row>
    <row r="4013">
      <c r="A4013" s="25">
        <f>ItensPedido!A4013</f>
        <v/>
      </c>
      <c r="B4013" s="25">
        <f>ItensPedido!B4013</f>
        <v/>
      </c>
      <c r="C4013" s="25">
        <f>ItensPedido!C4013</f>
        <v/>
      </c>
      <c r="D4013" s="25">
        <f>ItensPedido!D4013</f>
        <v/>
      </c>
      <c r="E4013" s="26">
        <f>ItensPedido!E4013</f>
        <v/>
      </c>
      <c r="F4013" s="25">
        <f>IFERROR(INDEX(Pedidos!$B$2:$B$1801,MATCH(B4013,Pedidos!$A$2:$A$1801,0)),0)</f>
        <v/>
      </c>
      <c r="G4013" s="25">
        <f>IF(F4013=0,"",YEAR(F4013))</f>
        <v/>
      </c>
      <c r="H4013" s="25">
        <f>IF(F4013=0,"",MONTH(F4013))</f>
        <v/>
      </c>
      <c r="I4013" s="25">
        <f>IFERROR(INDEX(Pedidos!$E$2:$E$1801,MATCH(B4013,Pedidos!$A$2:$A$1801,0)),"")</f>
        <v/>
      </c>
      <c r="J4013" s="25">
        <f>IFERROR(INDEX(Pedidos!$C$2:$C$1801,MATCH(B4013,Pedidos!$A$2:$A$1801,0)),"")</f>
        <v/>
      </c>
      <c r="K4013" s="25">
        <f>IFERROR(INDEX(Pedidos!$D$2:$D$1801,MATCH(B4013,Pedidos!$A$2:$A$1801,0)),"")</f>
        <v/>
      </c>
      <c r="L4013" s="25">
        <f>IFERROR(INDEX(Pedidos!$F$2:$F$1801,MATCH(B4013,Pedidos!$A$2:$A$1801,0)),"")</f>
        <v/>
      </c>
      <c r="M4013" s="26">
        <f>IFERROR(INDEX(Pedidos!$G$2:$G$1801,MATCH(B4013,Pedidos!$A$2:$A$1801,0)),0)</f>
        <v/>
      </c>
      <c r="N4013" s="25">
        <f>IFERROR(INDEX(Produtos!$B$2:$B$71,MATCH(C4013,Produtos!$A$2:$A$71,0)),"")</f>
        <v/>
      </c>
      <c r="O4013" s="25">
        <f>IFERROR(INDEX(Produtos!$C$2:$C$71,MATCH(C4013,Produtos!$A$2:$A$71,0)),"")</f>
        <v/>
      </c>
      <c r="P4013" s="25">
        <f>IFERROR(INDEX(Produtos!$D$2:$D$71,MATCH(C4013,Produtos!$A$2:$A$71,0)),0)</f>
        <v/>
      </c>
      <c r="Q4013" s="25">
        <f>IFERROR(INDEX(Produtos!$E$2:$E$71,MATCH(C4013,Produtos!$A$2:$A$71,0)),0)</f>
        <v/>
      </c>
      <c r="R4013" s="27">
        <f>D4013*Q4013</f>
        <v/>
      </c>
      <c r="S4013" s="27">
        <f>R4013*E4013</f>
        <v/>
      </c>
      <c r="T4013" s="27">
        <f>(R4013-S4013)*M4013</f>
        <v/>
      </c>
      <c r="U4013" s="27">
        <f>R4013-S4013-T4013</f>
        <v/>
      </c>
      <c r="V4013" s="27">
        <f>D4013*P4013</f>
        <v/>
      </c>
      <c r="W4013" s="27">
        <f>U4013-V4013</f>
        <v/>
      </c>
      <c r="X4013" s="28">
        <f>IFERROR(W4013/U4013,0)</f>
        <v/>
      </c>
    </row>
    <row r="4014">
      <c r="A4014" s="21">
        <f>ItensPedido!A4014</f>
        <v/>
      </c>
      <c r="B4014" s="21">
        <f>ItensPedido!B4014</f>
        <v/>
      </c>
      <c r="C4014" s="21">
        <f>ItensPedido!C4014</f>
        <v/>
      </c>
      <c r="D4014" s="21">
        <f>ItensPedido!D4014</f>
        <v/>
      </c>
      <c r="E4014" s="22">
        <f>ItensPedido!E4014</f>
        <v/>
      </c>
      <c r="F4014" s="21">
        <f>IFERROR(INDEX(Pedidos!$B$2:$B$1801,MATCH(B4014,Pedidos!$A$2:$A$1801,0)),0)</f>
        <v/>
      </c>
      <c r="G4014" s="21">
        <f>IF(F4014=0,"",YEAR(F4014))</f>
        <v/>
      </c>
      <c r="H4014" s="21">
        <f>IF(F4014=0,"",MONTH(F4014))</f>
        <v/>
      </c>
      <c r="I4014" s="21">
        <f>IFERROR(INDEX(Pedidos!$E$2:$E$1801,MATCH(B4014,Pedidos!$A$2:$A$1801,0)),"")</f>
        <v/>
      </c>
      <c r="J4014" s="21">
        <f>IFERROR(INDEX(Pedidos!$C$2:$C$1801,MATCH(B4014,Pedidos!$A$2:$A$1801,0)),"")</f>
        <v/>
      </c>
      <c r="K4014" s="21">
        <f>IFERROR(INDEX(Pedidos!$D$2:$D$1801,MATCH(B4014,Pedidos!$A$2:$A$1801,0)),"")</f>
        <v/>
      </c>
      <c r="L4014" s="21">
        <f>IFERROR(INDEX(Pedidos!$F$2:$F$1801,MATCH(B4014,Pedidos!$A$2:$A$1801,0)),"")</f>
        <v/>
      </c>
      <c r="M4014" s="22">
        <f>IFERROR(INDEX(Pedidos!$G$2:$G$1801,MATCH(B4014,Pedidos!$A$2:$A$1801,0)),0)</f>
        <v/>
      </c>
      <c r="N4014" s="21">
        <f>IFERROR(INDEX(Produtos!$B$2:$B$71,MATCH(C4014,Produtos!$A$2:$A$71,0)),"")</f>
        <v/>
      </c>
      <c r="O4014" s="21">
        <f>IFERROR(INDEX(Produtos!$C$2:$C$71,MATCH(C4014,Produtos!$A$2:$A$71,0)),"")</f>
        <v/>
      </c>
      <c r="P4014" s="21">
        <f>IFERROR(INDEX(Produtos!$D$2:$D$71,MATCH(C4014,Produtos!$A$2:$A$71,0)),0)</f>
        <v/>
      </c>
      <c r="Q4014" s="21">
        <f>IFERROR(INDEX(Produtos!$E$2:$E$71,MATCH(C4014,Produtos!$A$2:$A$71,0)),0)</f>
        <v/>
      </c>
      <c r="R4014" s="23">
        <f>D4014*Q4014</f>
        <v/>
      </c>
      <c r="S4014" s="23">
        <f>R4014*E4014</f>
        <v/>
      </c>
      <c r="T4014" s="23">
        <f>(R4014-S4014)*M4014</f>
        <v/>
      </c>
      <c r="U4014" s="23">
        <f>R4014-S4014-T4014</f>
        <v/>
      </c>
      <c r="V4014" s="23">
        <f>D4014*P4014</f>
        <v/>
      </c>
      <c r="W4014" s="23">
        <f>U4014-V4014</f>
        <v/>
      </c>
      <c r="X4014" s="24">
        <f>IFERROR(W4014/U4014,0)</f>
        <v/>
      </c>
    </row>
    <row r="4015">
      <c r="A4015" s="25">
        <f>ItensPedido!A4015</f>
        <v/>
      </c>
      <c r="B4015" s="25">
        <f>ItensPedido!B4015</f>
        <v/>
      </c>
      <c r="C4015" s="25">
        <f>ItensPedido!C4015</f>
        <v/>
      </c>
      <c r="D4015" s="25">
        <f>ItensPedido!D4015</f>
        <v/>
      </c>
      <c r="E4015" s="26">
        <f>ItensPedido!E4015</f>
        <v/>
      </c>
      <c r="F4015" s="25">
        <f>IFERROR(INDEX(Pedidos!$B$2:$B$1801,MATCH(B4015,Pedidos!$A$2:$A$1801,0)),0)</f>
        <v/>
      </c>
      <c r="G4015" s="25">
        <f>IF(F4015=0,"",YEAR(F4015))</f>
        <v/>
      </c>
      <c r="H4015" s="25">
        <f>IF(F4015=0,"",MONTH(F4015))</f>
        <v/>
      </c>
      <c r="I4015" s="25">
        <f>IFERROR(INDEX(Pedidos!$E$2:$E$1801,MATCH(B4015,Pedidos!$A$2:$A$1801,0)),"")</f>
        <v/>
      </c>
      <c r="J4015" s="25">
        <f>IFERROR(INDEX(Pedidos!$C$2:$C$1801,MATCH(B4015,Pedidos!$A$2:$A$1801,0)),"")</f>
        <v/>
      </c>
      <c r="K4015" s="25">
        <f>IFERROR(INDEX(Pedidos!$D$2:$D$1801,MATCH(B4015,Pedidos!$A$2:$A$1801,0)),"")</f>
        <v/>
      </c>
      <c r="L4015" s="25">
        <f>IFERROR(INDEX(Pedidos!$F$2:$F$1801,MATCH(B4015,Pedidos!$A$2:$A$1801,0)),"")</f>
        <v/>
      </c>
      <c r="M4015" s="26">
        <f>IFERROR(INDEX(Pedidos!$G$2:$G$1801,MATCH(B4015,Pedidos!$A$2:$A$1801,0)),0)</f>
        <v/>
      </c>
      <c r="N4015" s="25">
        <f>IFERROR(INDEX(Produtos!$B$2:$B$71,MATCH(C4015,Produtos!$A$2:$A$71,0)),"")</f>
        <v/>
      </c>
      <c r="O4015" s="25">
        <f>IFERROR(INDEX(Produtos!$C$2:$C$71,MATCH(C4015,Produtos!$A$2:$A$71,0)),"")</f>
        <v/>
      </c>
      <c r="P4015" s="25">
        <f>IFERROR(INDEX(Produtos!$D$2:$D$71,MATCH(C4015,Produtos!$A$2:$A$71,0)),0)</f>
        <v/>
      </c>
      <c r="Q4015" s="25">
        <f>IFERROR(INDEX(Produtos!$E$2:$E$71,MATCH(C4015,Produtos!$A$2:$A$71,0)),0)</f>
        <v/>
      </c>
      <c r="R4015" s="27">
        <f>D4015*Q4015</f>
        <v/>
      </c>
      <c r="S4015" s="27">
        <f>R4015*E4015</f>
        <v/>
      </c>
      <c r="T4015" s="27">
        <f>(R4015-S4015)*M4015</f>
        <v/>
      </c>
      <c r="U4015" s="27">
        <f>R4015-S4015-T4015</f>
        <v/>
      </c>
      <c r="V4015" s="27">
        <f>D4015*P4015</f>
        <v/>
      </c>
      <c r="W4015" s="27">
        <f>U4015-V4015</f>
        <v/>
      </c>
      <c r="X4015" s="28">
        <f>IFERROR(W4015/U4015,0)</f>
        <v/>
      </c>
    </row>
    <row r="4016">
      <c r="A4016" s="21">
        <f>ItensPedido!A4016</f>
        <v/>
      </c>
      <c r="B4016" s="21">
        <f>ItensPedido!B4016</f>
        <v/>
      </c>
      <c r="C4016" s="21">
        <f>ItensPedido!C4016</f>
        <v/>
      </c>
      <c r="D4016" s="21">
        <f>ItensPedido!D4016</f>
        <v/>
      </c>
      <c r="E4016" s="22">
        <f>ItensPedido!E4016</f>
        <v/>
      </c>
      <c r="F4016" s="21">
        <f>IFERROR(INDEX(Pedidos!$B$2:$B$1801,MATCH(B4016,Pedidos!$A$2:$A$1801,0)),0)</f>
        <v/>
      </c>
      <c r="G4016" s="21">
        <f>IF(F4016=0,"",YEAR(F4016))</f>
        <v/>
      </c>
      <c r="H4016" s="21">
        <f>IF(F4016=0,"",MONTH(F4016))</f>
        <v/>
      </c>
      <c r="I4016" s="21">
        <f>IFERROR(INDEX(Pedidos!$E$2:$E$1801,MATCH(B4016,Pedidos!$A$2:$A$1801,0)),"")</f>
        <v/>
      </c>
      <c r="J4016" s="21">
        <f>IFERROR(INDEX(Pedidos!$C$2:$C$1801,MATCH(B4016,Pedidos!$A$2:$A$1801,0)),"")</f>
        <v/>
      </c>
      <c r="K4016" s="21">
        <f>IFERROR(INDEX(Pedidos!$D$2:$D$1801,MATCH(B4016,Pedidos!$A$2:$A$1801,0)),"")</f>
        <v/>
      </c>
      <c r="L4016" s="21">
        <f>IFERROR(INDEX(Pedidos!$F$2:$F$1801,MATCH(B4016,Pedidos!$A$2:$A$1801,0)),"")</f>
        <v/>
      </c>
      <c r="M4016" s="22">
        <f>IFERROR(INDEX(Pedidos!$G$2:$G$1801,MATCH(B4016,Pedidos!$A$2:$A$1801,0)),0)</f>
        <v/>
      </c>
      <c r="N4016" s="21">
        <f>IFERROR(INDEX(Produtos!$B$2:$B$71,MATCH(C4016,Produtos!$A$2:$A$71,0)),"")</f>
        <v/>
      </c>
      <c r="O4016" s="21">
        <f>IFERROR(INDEX(Produtos!$C$2:$C$71,MATCH(C4016,Produtos!$A$2:$A$71,0)),"")</f>
        <v/>
      </c>
      <c r="P4016" s="21">
        <f>IFERROR(INDEX(Produtos!$D$2:$D$71,MATCH(C4016,Produtos!$A$2:$A$71,0)),0)</f>
        <v/>
      </c>
      <c r="Q4016" s="21">
        <f>IFERROR(INDEX(Produtos!$E$2:$E$71,MATCH(C4016,Produtos!$A$2:$A$71,0)),0)</f>
        <v/>
      </c>
      <c r="R4016" s="23">
        <f>D4016*Q4016</f>
        <v/>
      </c>
      <c r="S4016" s="23">
        <f>R4016*E4016</f>
        <v/>
      </c>
      <c r="T4016" s="23">
        <f>(R4016-S4016)*M4016</f>
        <v/>
      </c>
      <c r="U4016" s="23">
        <f>R4016-S4016-T4016</f>
        <v/>
      </c>
      <c r="V4016" s="23">
        <f>D4016*P4016</f>
        <v/>
      </c>
      <c r="W4016" s="23">
        <f>U4016-V4016</f>
        <v/>
      </c>
      <c r="X4016" s="24">
        <f>IFERROR(W4016/U4016,0)</f>
        <v/>
      </c>
    </row>
    <row r="4017">
      <c r="A4017" s="25">
        <f>ItensPedido!A4017</f>
        <v/>
      </c>
      <c r="B4017" s="25">
        <f>ItensPedido!B4017</f>
        <v/>
      </c>
      <c r="C4017" s="25">
        <f>ItensPedido!C4017</f>
        <v/>
      </c>
      <c r="D4017" s="25">
        <f>ItensPedido!D4017</f>
        <v/>
      </c>
      <c r="E4017" s="26">
        <f>ItensPedido!E4017</f>
        <v/>
      </c>
      <c r="F4017" s="25">
        <f>IFERROR(INDEX(Pedidos!$B$2:$B$1801,MATCH(B4017,Pedidos!$A$2:$A$1801,0)),0)</f>
        <v/>
      </c>
      <c r="G4017" s="25">
        <f>IF(F4017=0,"",YEAR(F4017))</f>
        <v/>
      </c>
      <c r="H4017" s="25">
        <f>IF(F4017=0,"",MONTH(F4017))</f>
        <v/>
      </c>
      <c r="I4017" s="25">
        <f>IFERROR(INDEX(Pedidos!$E$2:$E$1801,MATCH(B4017,Pedidos!$A$2:$A$1801,0)),"")</f>
        <v/>
      </c>
      <c r="J4017" s="25">
        <f>IFERROR(INDEX(Pedidos!$C$2:$C$1801,MATCH(B4017,Pedidos!$A$2:$A$1801,0)),"")</f>
        <v/>
      </c>
      <c r="K4017" s="25">
        <f>IFERROR(INDEX(Pedidos!$D$2:$D$1801,MATCH(B4017,Pedidos!$A$2:$A$1801,0)),"")</f>
        <v/>
      </c>
      <c r="L4017" s="25">
        <f>IFERROR(INDEX(Pedidos!$F$2:$F$1801,MATCH(B4017,Pedidos!$A$2:$A$1801,0)),"")</f>
        <v/>
      </c>
      <c r="M4017" s="26">
        <f>IFERROR(INDEX(Pedidos!$G$2:$G$1801,MATCH(B4017,Pedidos!$A$2:$A$1801,0)),0)</f>
        <v/>
      </c>
      <c r="N4017" s="25">
        <f>IFERROR(INDEX(Produtos!$B$2:$B$71,MATCH(C4017,Produtos!$A$2:$A$71,0)),"")</f>
        <v/>
      </c>
      <c r="O4017" s="25">
        <f>IFERROR(INDEX(Produtos!$C$2:$C$71,MATCH(C4017,Produtos!$A$2:$A$71,0)),"")</f>
        <v/>
      </c>
      <c r="P4017" s="25">
        <f>IFERROR(INDEX(Produtos!$D$2:$D$71,MATCH(C4017,Produtos!$A$2:$A$71,0)),0)</f>
        <v/>
      </c>
      <c r="Q4017" s="25">
        <f>IFERROR(INDEX(Produtos!$E$2:$E$71,MATCH(C4017,Produtos!$A$2:$A$71,0)),0)</f>
        <v/>
      </c>
      <c r="R4017" s="27">
        <f>D4017*Q4017</f>
        <v/>
      </c>
      <c r="S4017" s="27">
        <f>R4017*E4017</f>
        <v/>
      </c>
      <c r="T4017" s="27">
        <f>(R4017-S4017)*M4017</f>
        <v/>
      </c>
      <c r="U4017" s="27">
        <f>R4017-S4017-T4017</f>
        <v/>
      </c>
      <c r="V4017" s="27">
        <f>D4017*P4017</f>
        <v/>
      </c>
      <c r="W4017" s="27">
        <f>U4017-V4017</f>
        <v/>
      </c>
      <c r="X4017" s="28">
        <f>IFERROR(W4017/U4017,0)</f>
        <v/>
      </c>
    </row>
    <row r="4018">
      <c r="A4018" s="21">
        <f>ItensPedido!A4018</f>
        <v/>
      </c>
      <c r="B4018" s="21">
        <f>ItensPedido!B4018</f>
        <v/>
      </c>
      <c r="C4018" s="21">
        <f>ItensPedido!C4018</f>
        <v/>
      </c>
      <c r="D4018" s="21">
        <f>ItensPedido!D4018</f>
        <v/>
      </c>
      <c r="E4018" s="22">
        <f>ItensPedido!E4018</f>
        <v/>
      </c>
      <c r="F4018" s="21">
        <f>IFERROR(INDEX(Pedidos!$B$2:$B$1801,MATCH(B4018,Pedidos!$A$2:$A$1801,0)),0)</f>
        <v/>
      </c>
      <c r="G4018" s="21">
        <f>IF(F4018=0,"",YEAR(F4018))</f>
        <v/>
      </c>
      <c r="H4018" s="21">
        <f>IF(F4018=0,"",MONTH(F4018))</f>
        <v/>
      </c>
      <c r="I4018" s="21">
        <f>IFERROR(INDEX(Pedidos!$E$2:$E$1801,MATCH(B4018,Pedidos!$A$2:$A$1801,0)),"")</f>
        <v/>
      </c>
      <c r="J4018" s="21">
        <f>IFERROR(INDEX(Pedidos!$C$2:$C$1801,MATCH(B4018,Pedidos!$A$2:$A$1801,0)),"")</f>
        <v/>
      </c>
      <c r="K4018" s="21">
        <f>IFERROR(INDEX(Pedidos!$D$2:$D$1801,MATCH(B4018,Pedidos!$A$2:$A$1801,0)),"")</f>
        <v/>
      </c>
      <c r="L4018" s="21">
        <f>IFERROR(INDEX(Pedidos!$F$2:$F$1801,MATCH(B4018,Pedidos!$A$2:$A$1801,0)),"")</f>
        <v/>
      </c>
      <c r="M4018" s="22">
        <f>IFERROR(INDEX(Pedidos!$G$2:$G$1801,MATCH(B4018,Pedidos!$A$2:$A$1801,0)),0)</f>
        <v/>
      </c>
      <c r="N4018" s="21">
        <f>IFERROR(INDEX(Produtos!$B$2:$B$71,MATCH(C4018,Produtos!$A$2:$A$71,0)),"")</f>
        <v/>
      </c>
      <c r="O4018" s="21">
        <f>IFERROR(INDEX(Produtos!$C$2:$C$71,MATCH(C4018,Produtos!$A$2:$A$71,0)),"")</f>
        <v/>
      </c>
      <c r="P4018" s="21">
        <f>IFERROR(INDEX(Produtos!$D$2:$D$71,MATCH(C4018,Produtos!$A$2:$A$71,0)),0)</f>
        <v/>
      </c>
      <c r="Q4018" s="21">
        <f>IFERROR(INDEX(Produtos!$E$2:$E$71,MATCH(C4018,Produtos!$A$2:$A$71,0)),0)</f>
        <v/>
      </c>
      <c r="R4018" s="23">
        <f>D4018*Q4018</f>
        <v/>
      </c>
      <c r="S4018" s="23">
        <f>R4018*E4018</f>
        <v/>
      </c>
      <c r="T4018" s="23">
        <f>(R4018-S4018)*M4018</f>
        <v/>
      </c>
      <c r="U4018" s="23">
        <f>R4018-S4018-T4018</f>
        <v/>
      </c>
      <c r="V4018" s="23">
        <f>D4018*P4018</f>
        <v/>
      </c>
      <c r="W4018" s="23">
        <f>U4018-V4018</f>
        <v/>
      </c>
      <c r="X4018" s="24">
        <f>IFERROR(W4018/U4018,0)</f>
        <v/>
      </c>
    </row>
    <row r="4019">
      <c r="A4019" s="25">
        <f>ItensPedido!A4019</f>
        <v/>
      </c>
      <c r="B4019" s="25">
        <f>ItensPedido!B4019</f>
        <v/>
      </c>
      <c r="C4019" s="25">
        <f>ItensPedido!C4019</f>
        <v/>
      </c>
      <c r="D4019" s="25">
        <f>ItensPedido!D4019</f>
        <v/>
      </c>
      <c r="E4019" s="26">
        <f>ItensPedido!E4019</f>
        <v/>
      </c>
      <c r="F4019" s="25">
        <f>IFERROR(INDEX(Pedidos!$B$2:$B$1801,MATCH(B4019,Pedidos!$A$2:$A$1801,0)),0)</f>
        <v/>
      </c>
      <c r="G4019" s="25">
        <f>IF(F4019=0,"",YEAR(F4019))</f>
        <v/>
      </c>
      <c r="H4019" s="25">
        <f>IF(F4019=0,"",MONTH(F4019))</f>
        <v/>
      </c>
      <c r="I4019" s="25">
        <f>IFERROR(INDEX(Pedidos!$E$2:$E$1801,MATCH(B4019,Pedidos!$A$2:$A$1801,0)),"")</f>
        <v/>
      </c>
      <c r="J4019" s="25">
        <f>IFERROR(INDEX(Pedidos!$C$2:$C$1801,MATCH(B4019,Pedidos!$A$2:$A$1801,0)),"")</f>
        <v/>
      </c>
      <c r="K4019" s="25">
        <f>IFERROR(INDEX(Pedidos!$D$2:$D$1801,MATCH(B4019,Pedidos!$A$2:$A$1801,0)),"")</f>
        <v/>
      </c>
      <c r="L4019" s="25">
        <f>IFERROR(INDEX(Pedidos!$F$2:$F$1801,MATCH(B4019,Pedidos!$A$2:$A$1801,0)),"")</f>
        <v/>
      </c>
      <c r="M4019" s="26">
        <f>IFERROR(INDEX(Pedidos!$G$2:$G$1801,MATCH(B4019,Pedidos!$A$2:$A$1801,0)),0)</f>
        <v/>
      </c>
      <c r="N4019" s="25">
        <f>IFERROR(INDEX(Produtos!$B$2:$B$71,MATCH(C4019,Produtos!$A$2:$A$71,0)),"")</f>
        <v/>
      </c>
      <c r="O4019" s="25">
        <f>IFERROR(INDEX(Produtos!$C$2:$C$71,MATCH(C4019,Produtos!$A$2:$A$71,0)),"")</f>
        <v/>
      </c>
      <c r="P4019" s="25">
        <f>IFERROR(INDEX(Produtos!$D$2:$D$71,MATCH(C4019,Produtos!$A$2:$A$71,0)),0)</f>
        <v/>
      </c>
      <c r="Q4019" s="25">
        <f>IFERROR(INDEX(Produtos!$E$2:$E$71,MATCH(C4019,Produtos!$A$2:$A$71,0)),0)</f>
        <v/>
      </c>
      <c r="R4019" s="27">
        <f>D4019*Q4019</f>
        <v/>
      </c>
      <c r="S4019" s="27">
        <f>R4019*E4019</f>
        <v/>
      </c>
      <c r="T4019" s="27">
        <f>(R4019-S4019)*M4019</f>
        <v/>
      </c>
      <c r="U4019" s="27">
        <f>R4019-S4019-T4019</f>
        <v/>
      </c>
      <c r="V4019" s="27">
        <f>D4019*P4019</f>
        <v/>
      </c>
      <c r="W4019" s="27">
        <f>U4019-V4019</f>
        <v/>
      </c>
      <c r="X4019" s="28">
        <f>IFERROR(W4019/U4019,0)</f>
        <v/>
      </c>
    </row>
    <row r="4020">
      <c r="A4020" s="21">
        <f>ItensPedido!A4020</f>
        <v/>
      </c>
      <c r="B4020" s="21">
        <f>ItensPedido!B4020</f>
        <v/>
      </c>
      <c r="C4020" s="21">
        <f>ItensPedido!C4020</f>
        <v/>
      </c>
      <c r="D4020" s="21">
        <f>ItensPedido!D4020</f>
        <v/>
      </c>
      <c r="E4020" s="22">
        <f>ItensPedido!E4020</f>
        <v/>
      </c>
      <c r="F4020" s="21">
        <f>IFERROR(INDEX(Pedidos!$B$2:$B$1801,MATCH(B4020,Pedidos!$A$2:$A$1801,0)),0)</f>
        <v/>
      </c>
      <c r="G4020" s="21">
        <f>IF(F4020=0,"",YEAR(F4020))</f>
        <v/>
      </c>
      <c r="H4020" s="21">
        <f>IF(F4020=0,"",MONTH(F4020))</f>
        <v/>
      </c>
      <c r="I4020" s="21">
        <f>IFERROR(INDEX(Pedidos!$E$2:$E$1801,MATCH(B4020,Pedidos!$A$2:$A$1801,0)),"")</f>
        <v/>
      </c>
      <c r="J4020" s="21">
        <f>IFERROR(INDEX(Pedidos!$C$2:$C$1801,MATCH(B4020,Pedidos!$A$2:$A$1801,0)),"")</f>
        <v/>
      </c>
      <c r="K4020" s="21">
        <f>IFERROR(INDEX(Pedidos!$D$2:$D$1801,MATCH(B4020,Pedidos!$A$2:$A$1801,0)),"")</f>
        <v/>
      </c>
      <c r="L4020" s="21">
        <f>IFERROR(INDEX(Pedidos!$F$2:$F$1801,MATCH(B4020,Pedidos!$A$2:$A$1801,0)),"")</f>
        <v/>
      </c>
      <c r="M4020" s="22">
        <f>IFERROR(INDEX(Pedidos!$G$2:$G$1801,MATCH(B4020,Pedidos!$A$2:$A$1801,0)),0)</f>
        <v/>
      </c>
      <c r="N4020" s="21">
        <f>IFERROR(INDEX(Produtos!$B$2:$B$71,MATCH(C4020,Produtos!$A$2:$A$71,0)),"")</f>
        <v/>
      </c>
      <c r="O4020" s="21">
        <f>IFERROR(INDEX(Produtos!$C$2:$C$71,MATCH(C4020,Produtos!$A$2:$A$71,0)),"")</f>
        <v/>
      </c>
      <c r="P4020" s="21">
        <f>IFERROR(INDEX(Produtos!$D$2:$D$71,MATCH(C4020,Produtos!$A$2:$A$71,0)),0)</f>
        <v/>
      </c>
      <c r="Q4020" s="21">
        <f>IFERROR(INDEX(Produtos!$E$2:$E$71,MATCH(C4020,Produtos!$A$2:$A$71,0)),0)</f>
        <v/>
      </c>
      <c r="R4020" s="23">
        <f>D4020*Q4020</f>
        <v/>
      </c>
      <c r="S4020" s="23">
        <f>R4020*E4020</f>
        <v/>
      </c>
      <c r="T4020" s="23">
        <f>(R4020-S4020)*M4020</f>
        <v/>
      </c>
      <c r="U4020" s="23">
        <f>R4020-S4020-T4020</f>
        <v/>
      </c>
      <c r="V4020" s="23">
        <f>D4020*P4020</f>
        <v/>
      </c>
      <c r="W4020" s="23">
        <f>U4020-V4020</f>
        <v/>
      </c>
      <c r="X4020" s="24">
        <f>IFERROR(W4020/U4020,0)</f>
        <v/>
      </c>
    </row>
    <row r="4021">
      <c r="A4021" s="25">
        <f>ItensPedido!A4021</f>
        <v/>
      </c>
      <c r="B4021" s="25">
        <f>ItensPedido!B4021</f>
        <v/>
      </c>
      <c r="C4021" s="25">
        <f>ItensPedido!C4021</f>
        <v/>
      </c>
      <c r="D4021" s="25">
        <f>ItensPedido!D4021</f>
        <v/>
      </c>
      <c r="E4021" s="26">
        <f>ItensPedido!E4021</f>
        <v/>
      </c>
      <c r="F4021" s="25">
        <f>IFERROR(INDEX(Pedidos!$B$2:$B$1801,MATCH(B4021,Pedidos!$A$2:$A$1801,0)),0)</f>
        <v/>
      </c>
      <c r="G4021" s="25">
        <f>IF(F4021=0,"",YEAR(F4021))</f>
        <v/>
      </c>
      <c r="H4021" s="25">
        <f>IF(F4021=0,"",MONTH(F4021))</f>
        <v/>
      </c>
      <c r="I4021" s="25">
        <f>IFERROR(INDEX(Pedidos!$E$2:$E$1801,MATCH(B4021,Pedidos!$A$2:$A$1801,0)),"")</f>
        <v/>
      </c>
      <c r="J4021" s="25">
        <f>IFERROR(INDEX(Pedidos!$C$2:$C$1801,MATCH(B4021,Pedidos!$A$2:$A$1801,0)),"")</f>
        <v/>
      </c>
      <c r="K4021" s="25">
        <f>IFERROR(INDEX(Pedidos!$D$2:$D$1801,MATCH(B4021,Pedidos!$A$2:$A$1801,0)),"")</f>
        <v/>
      </c>
      <c r="L4021" s="25">
        <f>IFERROR(INDEX(Pedidos!$F$2:$F$1801,MATCH(B4021,Pedidos!$A$2:$A$1801,0)),"")</f>
        <v/>
      </c>
      <c r="M4021" s="26">
        <f>IFERROR(INDEX(Pedidos!$G$2:$G$1801,MATCH(B4021,Pedidos!$A$2:$A$1801,0)),0)</f>
        <v/>
      </c>
      <c r="N4021" s="25">
        <f>IFERROR(INDEX(Produtos!$B$2:$B$71,MATCH(C4021,Produtos!$A$2:$A$71,0)),"")</f>
        <v/>
      </c>
      <c r="O4021" s="25">
        <f>IFERROR(INDEX(Produtos!$C$2:$C$71,MATCH(C4021,Produtos!$A$2:$A$71,0)),"")</f>
        <v/>
      </c>
      <c r="P4021" s="25">
        <f>IFERROR(INDEX(Produtos!$D$2:$D$71,MATCH(C4021,Produtos!$A$2:$A$71,0)),0)</f>
        <v/>
      </c>
      <c r="Q4021" s="25">
        <f>IFERROR(INDEX(Produtos!$E$2:$E$71,MATCH(C4021,Produtos!$A$2:$A$71,0)),0)</f>
        <v/>
      </c>
      <c r="R4021" s="27">
        <f>D4021*Q4021</f>
        <v/>
      </c>
      <c r="S4021" s="27">
        <f>R4021*E4021</f>
        <v/>
      </c>
      <c r="T4021" s="27">
        <f>(R4021-S4021)*M4021</f>
        <v/>
      </c>
      <c r="U4021" s="27">
        <f>R4021-S4021-T4021</f>
        <v/>
      </c>
      <c r="V4021" s="27">
        <f>D4021*P4021</f>
        <v/>
      </c>
      <c r="W4021" s="27">
        <f>U4021-V4021</f>
        <v/>
      </c>
      <c r="X4021" s="28">
        <f>IFERROR(W4021/U4021,0)</f>
        <v/>
      </c>
    </row>
    <row r="4022">
      <c r="A4022" s="21">
        <f>ItensPedido!A4022</f>
        <v/>
      </c>
      <c r="B4022" s="21">
        <f>ItensPedido!B4022</f>
        <v/>
      </c>
      <c r="C4022" s="21">
        <f>ItensPedido!C4022</f>
        <v/>
      </c>
      <c r="D4022" s="21">
        <f>ItensPedido!D4022</f>
        <v/>
      </c>
      <c r="E4022" s="22">
        <f>ItensPedido!E4022</f>
        <v/>
      </c>
      <c r="F4022" s="21">
        <f>IFERROR(INDEX(Pedidos!$B$2:$B$1801,MATCH(B4022,Pedidos!$A$2:$A$1801,0)),0)</f>
        <v/>
      </c>
      <c r="G4022" s="21">
        <f>IF(F4022=0,"",YEAR(F4022))</f>
        <v/>
      </c>
      <c r="H4022" s="21">
        <f>IF(F4022=0,"",MONTH(F4022))</f>
        <v/>
      </c>
      <c r="I4022" s="21">
        <f>IFERROR(INDEX(Pedidos!$E$2:$E$1801,MATCH(B4022,Pedidos!$A$2:$A$1801,0)),"")</f>
        <v/>
      </c>
      <c r="J4022" s="21">
        <f>IFERROR(INDEX(Pedidos!$C$2:$C$1801,MATCH(B4022,Pedidos!$A$2:$A$1801,0)),"")</f>
        <v/>
      </c>
      <c r="K4022" s="21">
        <f>IFERROR(INDEX(Pedidos!$D$2:$D$1801,MATCH(B4022,Pedidos!$A$2:$A$1801,0)),"")</f>
        <v/>
      </c>
      <c r="L4022" s="21">
        <f>IFERROR(INDEX(Pedidos!$F$2:$F$1801,MATCH(B4022,Pedidos!$A$2:$A$1801,0)),"")</f>
        <v/>
      </c>
      <c r="M4022" s="22">
        <f>IFERROR(INDEX(Pedidos!$G$2:$G$1801,MATCH(B4022,Pedidos!$A$2:$A$1801,0)),0)</f>
        <v/>
      </c>
      <c r="N4022" s="21">
        <f>IFERROR(INDEX(Produtos!$B$2:$B$71,MATCH(C4022,Produtos!$A$2:$A$71,0)),"")</f>
        <v/>
      </c>
      <c r="O4022" s="21">
        <f>IFERROR(INDEX(Produtos!$C$2:$C$71,MATCH(C4022,Produtos!$A$2:$A$71,0)),"")</f>
        <v/>
      </c>
      <c r="P4022" s="21">
        <f>IFERROR(INDEX(Produtos!$D$2:$D$71,MATCH(C4022,Produtos!$A$2:$A$71,0)),0)</f>
        <v/>
      </c>
      <c r="Q4022" s="21">
        <f>IFERROR(INDEX(Produtos!$E$2:$E$71,MATCH(C4022,Produtos!$A$2:$A$71,0)),0)</f>
        <v/>
      </c>
      <c r="R4022" s="23">
        <f>D4022*Q4022</f>
        <v/>
      </c>
      <c r="S4022" s="23">
        <f>R4022*E4022</f>
        <v/>
      </c>
      <c r="T4022" s="23">
        <f>(R4022-S4022)*M4022</f>
        <v/>
      </c>
      <c r="U4022" s="23">
        <f>R4022-S4022-T4022</f>
        <v/>
      </c>
      <c r="V4022" s="23">
        <f>D4022*P4022</f>
        <v/>
      </c>
      <c r="W4022" s="23">
        <f>U4022-V4022</f>
        <v/>
      </c>
      <c r="X4022" s="24">
        <f>IFERROR(W4022/U4022,0)</f>
        <v/>
      </c>
    </row>
    <row r="4023">
      <c r="A4023" s="25">
        <f>ItensPedido!A4023</f>
        <v/>
      </c>
      <c r="B4023" s="25">
        <f>ItensPedido!B4023</f>
        <v/>
      </c>
      <c r="C4023" s="25">
        <f>ItensPedido!C4023</f>
        <v/>
      </c>
      <c r="D4023" s="25">
        <f>ItensPedido!D4023</f>
        <v/>
      </c>
      <c r="E4023" s="26">
        <f>ItensPedido!E4023</f>
        <v/>
      </c>
      <c r="F4023" s="25">
        <f>IFERROR(INDEX(Pedidos!$B$2:$B$1801,MATCH(B4023,Pedidos!$A$2:$A$1801,0)),0)</f>
        <v/>
      </c>
      <c r="G4023" s="25">
        <f>IF(F4023=0,"",YEAR(F4023))</f>
        <v/>
      </c>
      <c r="H4023" s="25">
        <f>IF(F4023=0,"",MONTH(F4023))</f>
        <v/>
      </c>
      <c r="I4023" s="25">
        <f>IFERROR(INDEX(Pedidos!$E$2:$E$1801,MATCH(B4023,Pedidos!$A$2:$A$1801,0)),"")</f>
        <v/>
      </c>
      <c r="J4023" s="25">
        <f>IFERROR(INDEX(Pedidos!$C$2:$C$1801,MATCH(B4023,Pedidos!$A$2:$A$1801,0)),"")</f>
        <v/>
      </c>
      <c r="K4023" s="25">
        <f>IFERROR(INDEX(Pedidos!$D$2:$D$1801,MATCH(B4023,Pedidos!$A$2:$A$1801,0)),"")</f>
        <v/>
      </c>
      <c r="L4023" s="25">
        <f>IFERROR(INDEX(Pedidos!$F$2:$F$1801,MATCH(B4023,Pedidos!$A$2:$A$1801,0)),"")</f>
        <v/>
      </c>
      <c r="M4023" s="26">
        <f>IFERROR(INDEX(Pedidos!$G$2:$G$1801,MATCH(B4023,Pedidos!$A$2:$A$1801,0)),0)</f>
        <v/>
      </c>
      <c r="N4023" s="25">
        <f>IFERROR(INDEX(Produtos!$B$2:$B$71,MATCH(C4023,Produtos!$A$2:$A$71,0)),"")</f>
        <v/>
      </c>
      <c r="O4023" s="25">
        <f>IFERROR(INDEX(Produtos!$C$2:$C$71,MATCH(C4023,Produtos!$A$2:$A$71,0)),"")</f>
        <v/>
      </c>
      <c r="P4023" s="25">
        <f>IFERROR(INDEX(Produtos!$D$2:$D$71,MATCH(C4023,Produtos!$A$2:$A$71,0)),0)</f>
        <v/>
      </c>
      <c r="Q4023" s="25">
        <f>IFERROR(INDEX(Produtos!$E$2:$E$71,MATCH(C4023,Produtos!$A$2:$A$71,0)),0)</f>
        <v/>
      </c>
      <c r="R4023" s="27">
        <f>D4023*Q4023</f>
        <v/>
      </c>
      <c r="S4023" s="27">
        <f>R4023*E4023</f>
        <v/>
      </c>
      <c r="T4023" s="27">
        <f>(R4023-S4023)*M4023</f>
        <v/>
      </c>
      <c r="U4023" s="27">
        <f>R4023-S4023-T4023</f>
        <v/>
      </c>
      <c r="V4023" s="27">
        <f>D4023*P4023</f>
        <v/>
      </c>
      <c r="W4023" s="27">
        <f>U4023-V4023</f>
        <v/>
      </c>
      <c r="X4023" s="28">
        <f>IFERROR(W4023/U4023,0)</f>
        <v/>
      </c>
    </row>
    <row r="4024">
      <c r="A4024" s="21">
        <f>ItensPedido!A4024</f>
        <v/>
      </c>
      <c r="B4024" s="21">
        <f>ItensPedido!B4024</f>
        <v/>
      </c>
      <c r="C4024" s="21">
        <f>ItensPedido!C4024</f>
        <v/>
      </c>
      <c r="D4024" s="21">
        <f>ItensPedido!D4024</f>
        <v/>
      </c>
      <c r="E4024" s="22">
        <f>ItensPedido!E4024</f>
        <v/>
      </c>
      <c r="F4024" s="21">
        <f>IFERROR(INDEX(Pedidos!$B$2:$B$1801,MATCH(B4024,Pedidos!$A$2:$A$1801,0)),0)</f>
        <v/>
      </c>
      <c r="G4024" s="21">
        <f>IF(F4024=0,"",YEAR(F4024))</f>
        <v/>
      </c>
      <c r="H4024" s="21">
        <f>IF(F4024=0,"",MONTH(F4024))</f>
        <v/>
      </c>
      <c r="I4024" s="21">
        <f>IFERROR(INDEX(Pedidos!$E$2:$E$1801,MATCH(B4024,Pedidos!$A$2:$A$1801,0)),"")</f>
        <v/>
      </c>
      <c r="J4024" s="21">
        <f>IFERROR(INDEX(Pedidos!$C$2:$C$1801,MATCH(B4024,Pedidos!$A$2:$A$1801,0)),"")</f>
        <v/>
      </c>
      <c r="K4024" s="21">
        <f>IFERROR(INDEX(Pedidos!$D$2:$D$1801,MATCH(B4024,Pedidos!$A$2:$A$1801,0)),"")</f>
        <v/>
      </c>
      <c r="L4024" s="21">
        <f>IFERROR(INDEX(Pedidos!$F$2:$F$1801,MATCH(B4024,Pedidos!$A$2:$A$1801,0)),"")</f>
        <v/>
      </c>
      <c r="M4024" s="22">
        <f>IFERROR(INDEX(Pedidos!$G$2:$G$1801,MATCH(B4024,Pedidos!$A$2:$A$1801,0)),0)</f>
        <v/>
      </c>
      <c r="N4024" s="21">
        <f>IFERROR(INDEX(Produtos!$B$2:$B$71,MATCH(C4024,Produtos!$A$2:$A$71,0)),"")</f>
        <v/>
      </c>
      <c r="O4024" s="21">
        <f>IFERROR(INDEX(Produtos!$C$2:$C$71,MATCH(C4024,Produtos!$A$2:$A$71,0)),"")</f>
        <v/>
      </c>
      <c r="P4024" s="21">
        <f>IFERROR(INDEX(Produtos!$D$2:$D$71,MATCH(C4024,Produtos!$A$2:$A$71,0)),0)</f>
        <v/>
      </c>
      <c r="Q4024" s="21">
        <f>IFERROR(INDEX(Produtos!$E$2:$E$71,MATCH(C4024,Produtos!$A$2:$A$71,0)),0)</f>
        <v/>
      </c>
      <c r="R4024" s="23">
        <f>D4024*Q4024</f>
        <v/>
      </c>
      <c r="S4024" s="23">
        <f>R4024*E4024</f>
        <v/>
      </c>
      <c r="T4024" s="23">
        <f>(R4024-S4024)*M4024</f>
        <v/>
      </c>
      <c r="U4024" s="23">
        <f>R4024-S4024-T4024</f>
        <v/>
      </c>
      <c r="V4024" s="23">
        <f>D4024*P4024</f>
        <v/>
      </c>
      <c r="W4024" s="23">
        <f>U4024-V4024</f>
        <v/>
      </c>
      <c r="X4024" s="24">
        <f>IFERROR(W4024/U4024,0)</f>
        <v/>
      </c>
    </row>
    <row r="4025">
      <c r="A4025" s="25">
        <f>ItensPedido!A4025</f>
        <v/>
      </c>
      <c r="B4025" s="25">
        <f>ItensPedido!B4025</f>
        <v/>
      </c>
      <c r="C4025" s="25">
        <f>ItensPedido!C4025</f>
        <v/>
      </c>
      <c r="D4025" s="25">
        <f>ItensPedido!D4025</f>
        <v/>
      </c>
      <c r="E4025" s="26">
        <f>ItensPedido!E4025</f>
        <v/>
      </c>
      <c r="F4025" s="25">
        <f>IFERROR(INDEX(Pedidos!$B$2:$B$1801,MATCH(B4025,Pedidos!$A$2:$A$1801,0)),0)</f>
        <v/>
      </c>
      <c r="G4025" s="25">
        <f>IF(F4025=0,"",YEAR(F4025))</f>
        <v/>
      </c>
      <c r="H4025" s="25">
        <f>IF(F4025=0,"",MONTH(F4025))</f>
        <v/>
      </c>
      <c r="I4025" s="25">
        <f>IFERROR(INDEX(Pedidos!$E$2:$E$1801,MATCH(B4025,Pedidos!$A$2:$A$1801,0)),"")</f>
        <v/>
      </c>
      <c r="J4025" s="25">
        <f>IFERROR(INDEX(Pedidos!$C$2:$C$1801,MATCH(B4025,Pedidos!$A$2:$A$1801,0)),"")</f>
        <v/>
      </c>
      <c r="K4025" s="25">
        <f>IFERROR(INDEX(Pedidos!$D$2:$D$1801,MATCH(B4025,Pedidos!$A$2:$A$1801,0)),"")</f>
        <v/>
      </c>
      <c r="L4025" s="25">
        <f>IFERROR(INDEX(Pedidos!$F$2:$F$1801,MATCH(B4025,Pedidos!$A$2:$A$1801,0)),"")</f>
        <v/>
      </c>
      <c r="M4025" s="26">
        <f>IFERROR(INDEX(Pedidos!$G$2:$G$1801,MATCH(B4025,Pedidos!$A$2:$A$1801,0)),0)</f>
        <v/>
      </c>
      <c r="N4025" s="25">
        <f>IFERROR(INDEX(Produtos!$B$2:$B$71,MATCH(C4025,Produtos!$A$2:$A$71,0)),"")</f>
        <v/>
      </c>
      <c r="O4025" s="25">
        <f>IFERROR(INDEX(Produtos!$C$2:$C$71,MATCH(C4025,Produtos!$A$2:$A$71,0)),"")</f>
        <v/>
      </c>
      <c r="P4025" s="25">
        <f>IFERROR(INDEX(Produtos!$D$2:$D$71,MATCH(C4025,Produtos!$A$2:$A$71,0)),0)</f>
        <v/>
      </c>
      <c r="Q4025" s="25">
        <f>IFERROR(INDEX(Produtos!$E$2:$E$71,MATCH(C4025,Produtos!$A$2:$A$71,0)),0)</f>
        <v/>
      </c>
      <c r="R4025" s="27">
        <f>D4025*Q4025</f>
        <v/>
      </c>
      <c r="S4025" s="27">
        <f>R4025*E4025</f>
        <v/>
      </c>
      <c r="T4025" s="27">
        <f>(R4025-S4025)*M4025</f>
        <v/>
      </c>
      <c r="U4025" s="27">
        <f>R4025-S4025-T4025</f>
        <v/>
      </c>
      <c r="V4025" s="27">
        <f>D4025*P4025</f>
        <v/>
      </c>
      <c r="W4025" s="27">
        <f>U4025-V4025</f>
        <v/>
      </c>
      <c r="X4025" s="28">
        <f>IFERROR(W4025/U4025,0)</f>
        <v/>
      </c>
    </row>
    <row r="4026">
      <c r="A4026" s="21">
        <f>ItensPedido!A4026</f>
        <v/>
      </c>
      <c r="B4026" s="21">
        <f>ItensPedido!B4026</f>
        <v/>
      </c>
      <c r="C4026" s="21">
        <f>ItensPedido!C4026</f>
        <v/>
      </c>
      <c r="D4026" s="21">
        <f>ItensPedido!D4026</f>
        <v/>
      </c>
      <c r="E4026" s="22">
        <f>ItensPedido!E4026</f>
        <v/>
      </c>
      <c r="F4026" s="21">
        <f>IFERROR(INDEX(Pedidos!$B$2:$B$1801,MATCH(B4026,Pedidos!$A$2:$A$1801,0)),0)</f>
        <v/>
      </c>
      <c r="G4026" s="21">
        <f>IF(F4026=0,"",YEAR(F4026))</f>
        <v/>
      </c>
      <c r="H4026" s="21">
        <f>IF(F4026=0,"",MONTH(F4026))</f>
        <v/>
      </c>
      <c r="I4026" s="21">
        <f>IFERROR(INDEX(Pedidos!$E$2:$E$1801,MATCH(B4026,Pedidos!$A$2:$A$1801,0)),"")</f>
        <v/>
      </c>
      <c r="J4026" s="21">
        <f>IFERROR(INDEX(Pedidos!$C$2:$C$1801,MATCH(B4026,Pedidos!$A$2:$A$1801,0)),"")</f>
        <v/>
      </c>
      <c r="K4026" s="21">
        <f>IFERROR(INDEX(Pedidos!$D$2:$D$1801,MATCH(B4026,Pedidos!$A$2:$A$1801,0)),"")</f>
        <v/>
      </c>
      <c r="L4026" s="21">
        <f>IFERROR(INDEX(Pedidos!$F$2:$F$1801,MATCH(B4026,Pedidos!$A$2:$A$1801,0)),"")</f>
        <v/>
      </c>
      <c r="M4026" s="22">
        <f>IFERROR(INDEX(Pedidos!$G$2:$G$1801,MATCH(B4026,Pedidos!$A$2:$A$1801,0)),0)</f>
        <v/>
      </c>
      <c r="N4026" s="21">
        <f>IFERROR(INDEX(Produtos!$B$2:$B$71,MATCH(C4026,Produtos!$A$2:$A$71,0)),"")</f>
        <v/>
      </c>
      <c r="O4026" s="21">
        <f>IFERROR(INDEX(Produtos!$C$2:$C$71,MATCH(C4026,Produtos!$A$2:$A$71,0)),"")</f>
        <v/>
      </c>
      <c r="P4026" s="21">
        <f>IFERROR(INDEX(Produtos!$D$2:$D$71,MATCH(C4026,Produtos!$A$2:$A$71,0)),0)</f>
        <v/>
      </c>
      <c r="Q4026" s="21">
        <f>IFERROR(INDEX(Produtos!$E$2:$E$71,MATCH(C4026,Produtos!$A$2:$A$71,0)),0)</f>
        <v/>
      </c>
      <c r="R4026" s="23">
        <f>D4026*Q4026</f>
        <v/>
      </c>
      <c r="S4026" s="23">
        <f>R4026*E4026</f>
        <v/>
      </c>
      <c r="T4026" s="23">
        <f>(R4026-S4026)*M4026</f>
        <v/>
      </c>
      <c r="U4026" s="23">
        <f>R4026-S4026-T4026</f>
        <v/>
      </c>
      <c r="V4026" s="23">
        <f>D4026*P4026</f>
        <v/>
      </c>
      <c r="W4026" s="23">
        <f>U4026-V4026</f>
        <v/>
      </c>
      <c r="X4026" s="24">
        <f>IFERROR(W4026/U4026,0)</f>
        <v/>
      </c>
    </row>
    <row r="4027">
      <c r="A4027" s="25">
        <f>ItensPedido!A4027</f>
        <v/>
      </c>
      <c r="B4027" s="25">
        <f>ItensPedido!B4027</f>
        <v/>
      </c>
      <c r="C4027" s="25">
        <f>ItensPedido!C4027</f>
        <v/>
      </c>
      <c r="D4027" s="25">
        <f>ItensPedido!D4027</f>
        <v/>
      </c>
      <c r="E4027" s="26">
        <f>ItensPedido!E4027</f>
        <v/>
      </c>
      <c r="F4027" s="25">
        <f>IFERROR(INDEX(Pedidos!$B$2:$B$1801,MATCH(B4027,Pedidos!$A$2:$A$1801,0)),0)</f>
        <v/>
      </c>
      <c r="G4027" s="25">
        <f>IF(F4027=0,"",YEAR(F4027))</f>
        <v/>
      </c>
      <c r="H4027" s="25">
        <f>IF(F4027=0,"",MONTH(F4027))</f>
        <v/>
      </c>
      <c r="I4027" s="25">
        <f>IFERROR(INDEX(Pedidos!$E$2:$E$1801,MATCH(B4027,Pedidos!$A$2:$A$1801,0)),"")</f>
        <v/>
      </c>
      <c r="J4027" s="25">
        <f>IFERROR(INDEX(Pedidos!$C$2:$C$1801,MATCH(B4027,Pedidos!$A$2:$A$1801,0)),"")</f>
        <v/>
      </c>
      <c r="K4027" s="25">
        <f>IFERROR(INDEX(Pedidos!$D$2:$D$1801,MATCH(B4027,Pedidos!$A$2:$A$1801,0)),"")</f>
        <v/>
      </c>
      <c r="L4027" s="25">
        <f>IFERROR(INDEX(Pedidos!$F$2:$F$1801,MATCH(B4027,Pedidos!$A$2:$A$1801,0)),"")</f>
        <v/>
      </c>
      <c r="M4027" s="26">
        <f>IFERROR(INDEX(Pedidos!$G$2:$G$1801,MATCH(B4027,Pedidos!$A$2:$A$1801,0)),0)</f>
        <v/>
      </c>
      <c r="N4027" s="25">
        <f>IFERROR(INDEX(Produtos!$B$2:$B$71,MATCH(C4027,Produtos!$A$2:$A$71,0)),"")</f>
        <v/>
      </c>
      <c r="O4027" s="25">
        <f>IFERROR(INDEX(Produtos!$C$2:$C$71,MATCH(C4027,Produtos!$A$2:$A$71,0)),"")</f>
        <v/>
      </c>
      <c r="P4027" s="25">
        <f>IFERROR(INDEX(Produtos!$D$2:$D$71,MATCH(C4027,Produtos!$A$2:$A$71,0)),0)</f>
        <v/>
      </c>
      <c r="Q4027" s="25">
        <f>IFERROR(INDEX(Produtos!$E$2:$E$71,MATCH(C4027,Produtos!$A$2:$A$71,0)),0)</f>
        <v/>
      </c>
      <c r="R4027" s="27">
        <f>D4027*Q4027</f>
        <v/>
      </c>
      <c r="S4027" s="27">
        <f>R4027*E4027</f>
        <v/>
      </c>
      <c r="T4027" s="27">
        <f>(R4027-S4027)*M4027</f>
        <v/>
      </c>
      <c r="U4027" s="27">
        <f>R4027-S4027-T4027</f>
        <v/>
      </c>
      <c r="V4027" s="27">
        <f>D4027*P4027</f>
        <v/>
      </c>
      <c r="W4027" s="27">
        <f>U4027-V4027</f>
        <v/>
      </c>
      <c r="X4027" s="28">
        <f>IFERROR(W4027/U4027,0)</f>
        <v/>
      </c>
    </row>
    <row r="4028">
      <c r="A4028" s="21">
        <f>ItensPedido!A4028</f>
        <v/>
      </c>
      <c r="B4028" s="21">
        <f>ItensPedido!B4028</f>
        <v/>
      </c>
      <c r="C4028" s="21">
        <f>ItensPedido!C4028</f>
        <v/>
      </c>
      <c r="D4028" s="21">
        <f>ItensPedido!D4028</f>
        <v/>
      </c>
      <c r="E4028" s="22">
        <f>ItensPedido!E4028</f>
        <v/>
      </c>
      <c r="F4028" s="21">
        <f>IFERROR(INDEX(Pedidos!$B$2:$B$1801,MATCH(B4028,Pedidos!$A$2:$A$1801,0)),0)</f>
        <v/>
      </c>
      <c r="G4028" s="21">
        <f>IF(F4028=0,"",YEAR(F4028))</f>
        <v/>
      </c>
      <c r="H4028" s="21">
        <f>IF(F4028=0,"",MONTH(F4028))</f>
        <v/>
      </c>
      <c r="I4028" s="21">
        <f>IFERROR(INDEX(Pedidos!$E$2:$E$1801,MATCH(B4028,Pedidos!$A$2:$A$1801,0)),"")</f>
        <v/>
      </c>
      <c r="J4028" s="21">
        <f>IFERROR(INDEX(Pedidos!$C$2:$C$1801,MATCH(B4028,Pedidos!$A$2:$A$1801,0)),"")</f>
        <v/>
      </c>
      <c r="K4028" s="21">
        <f>IFERROR(INDEX(Pedidos!$D$2:$D$1801,MATCH(B4028,Pedidos!$A$2:$A$1801,0)),"")</f>
        <v/>
      </c>
      <c r="L4028" s="21">
        <f>IFERROR(INDEX(Pedidos!$F$2:$F$1801,MATCH(B4028,Pedidos!$A$2:$A$1801,0)),"")</f>
        <v/>
      </c>
      <c r="M4028" s="22">
        <f>IFERROR(INDEX(Pedidos!$G$2:$G$1801,MATCH(B4028,Pedidos!$A$2:$A$1801,0)),0)</f>
        <v/>
      </c>
      <c r="N4028" s="21">
        <f>IFERROR(INDEX(Produtos!$B$2:$B$71,MATCH(C4028,Produtos!$A$2:$A$71,0)),"")</f>
        <v/>
      </c>
      <c r="O4028" s="21">
        <f>IFERROR(INDEX(Produtos!$C$2:$C$71,MATCH(C4028,Produtos!$A$2:$A$71,0)),"")</f>
        <v/>
      </c>
      <c r="P4028" s="21">
        <f>IFERROR(INDEX(Produtos!$D$2:$D$71,MATCH(C4028,Produtos!$A$2:$A$71,0)),0)</f>
        <v/>
      </c>
      <c r="Q4028" s="21">
        <f>IFERROR(INDEX(Produtos!$E$2:$E$71,MATCH(C4028,Produtos!$A$2:$A$71,0)),0)</f>
        <v/>
      </c>
      <c r="R4028" s="23">
        <f>D4028*Q4028</f>
        <v/>
      </c>
      <c r="S4028" s="23">
        <f>R4028*E4028</f>
        <v/>
      </c>
      <c r="T4028" s="23">
        <f>(R4028-S4028)*M4028</f>
        <v/>
      </c>
      <c r="U4028" s="23">
        <f>R4028-S4028-T4028</f>
        <v/>
      </c>
      <c r="V4028" s="23">
        <f>D4028*P4028</f>
        <v/>
      </c>
      <c r="W4028" s="23">
        <f>U4028-V4028</f>
        <v/>
      </c>
      <c r="X4028" s="24">
        <f>IFERROR(W4028/U4028,0)</f>
        <v/>
      </c>
    </row>
    <row r="4029">
      <c r="A4029" s="25">
        <f>ItensPedido!A4029</f>
        <v/>
      </c>
      <c r="B4029" s="25">
        <f>ItensPedido!B4029</f>
        <v/>
      </c>
      <c r="C4029" s="25">
        <f>ItensPedido!C4029</f>
        <v/>
      </c>
      <c r="D4029" s="25">
        <f>ItensPedido!D4029</f>
        <v/>
      </c>
      <c r="E4029" s="26">
        <f>ItensPedido!E4029</f>
        <v/>
      </c>
      <c r="F4029" s="25">
        <f>IFERROR(INDEX(Pedidos!$B$2:$B$1801,MATCH(B4029,Pedidos!$A$2:$A$1801,0)),0)</f>
        <v/>
      </c>
      <c r="G4029" s="25">
        <f>IF(F4029=0,"",YEAR(F4029))</f>
        <v/>
      </c>
      <c r="H4029" s="25">
        <f>IF(F4029=0,"",MONTH(F4029))</f>
        <v/>
      </c>
      <c r="I4029" s="25">
        <f>IFERROR(INDEX(Pedidos!$E$2:$E$1801,MATCH(B4029,Pedidos!$A$2:$A$1801,0)),"")</f>
        <v/>
      </c>
      <c r="J4029" s="25">
        <f>IFERROR(INDEX(Pedidos!$C$2:$C$1801,MATCH(B4029,Pedidos!$A$2:$A$1801,0)),"")</f>
        <v/>
      </c>
      <c r="K4029" s="25">
        <f>IFERROR(INDEX(Pedidos!$D$2:$D$1801,MATCH(B4029,Pedidos!$A$2:$A$1801,0)),"")</f>
        <v/>
      </c>
      <c r="L4029" s="25">
        <f>IFERROR(INDEX(Pedidos!$F$2:$F$1801,MATCH(B4029,Pedidos!$A$2:$A$1801,0)),"")</f>
        <v/>
      </c>
      <c r="M4029" s="26">
        <f>IFERROR(INDEX(Pedidos!$G$2:$G$1801,MATCH(B4029,Pedidos!$A$2:$A$1801,0)),0)</f>
        <v/>
      </c>
      <c r="N4029" s="25">
        <f>IFERROR(INDEX(Produtos!$B$2:$B$71,MATCH(C4029,Produtos!$A$2:$A$71,0)),"")</f>
        <v/>
      </c>
      <c r="O4029" s="25">
        <f>IFERROR(INDEX(Produtos!$C$2:$C$71,MATCH(C4029,Produtos!$A$2:$A$71,0)),"")</f>
        <v/>
      </c>
      <c r="P4029" s="25">
        <f>IFERROR(INDEX(Produtos!$D$2:$D$71,MATCH(C4029,Produtos!$A$2:$A$71,0)),0)</f>
        <v/>
      </c>
      <c r="Q4029" s="25">
        <f>IFERROR(INDEX(Produtos!$E$2:$E$71,MATCH(C4029,Produtos!$A$2:$A$71,0)),0)</f>
        <v/>
      </c>
      <c r="R4029" s="27">
        <f>D4029*Q4029</f>
        <v/>
      </c>
      <c r="S4029" s="27">
        <f>R4029*E4029</f>
        <v/>
      </c>
      <c r="T4029" s="27">
        <f>(R4029-S4029)*M4029</f>
        <v/>
      </c>
      <c r="U4029" s="27">
        <f>R4029-S4029-T4029</f>
        <v/>
      </c>
      <c r="V4029" s="27">
        <f>D4029*P4029</f>
        <v/>
      </c>
      <c r="W4029" s="27">
        <f>U4029-V4029</f>
        <v/>
      </c>
      <c r="X4029" s="28">
        <f>IFERROR(W4029/U4029,0)</f>
        <v/>
      </c>
    </row>
    <row r="4030">
      <c r="A4030" s="21">
        <f>ItensPedido!A4030</f>
        <v/>
      </c>
      <c r="B4030" s="21">
        <f>ItensPedido!B4030</f>
        <v/>
      </c>
      <c r="C4030" s="21">
        <f>ItensPedido!C4030</f>
        <v/>
      </c>
      <c r="D4030" s="21">
        <f>ItensPedido!D4030</f>
        <v/>
      </c>
      <c r="E4030" s="22">
        <f>ItensPedido!E4030</f>
        <v/>
      </c>
      <c r="F4030" s="21">
        <f>IFERROR(INDEX(Pedidos!$B$2:$B$1801,MATCH(B4030,Pedidos!$A$2:$A$1801,0)),0)</f>
        <v/>
      </c>
      <c r="G4030" s="21">
        <f>IF(F4030=0,"",YEAR(F4030))</f>
        <v/>
      </c>
      <c r="H4030" s="21">
        <f>IF(F4030=0,"",MONTH(F4030))</f>
        <v/>
      </c>
      <c r="I4030" s="21">
        <f>IFERROR(INDEX(Pedidos!$E$2:$E$1801,MATCH(B4030,Pedidos!$A$2:$A$1801,0)),"")</f>
        <v/>
      </c>
      <c r="J4030" s="21">
        <f>IFERROR(INDEX(Pedidos!$C$2:$C$1801,MATCH(B4030,Pedidos!$A$2:$A$1801,0)),"")</f>
        <v/>
      </c>
      <c r="K4030" s="21">
        <f>IFERROR(INDEX(Pedidos!$D$2:$D$1801,MATCH(B4030,Pedidos!$A$2:$A$1801,0)),"")</f>
        <v/>
      </c>
      <c r="L4030" s="21">
        <f>IFERROR(INDEX(Pedidos!$F$2:$F$1801,MATCH(B4030,Pedidos!$A$2:$A$1801,0)),"")</f>
        <v/>
      </c>
      <c r="M4030" s="22">
        <f>IFERROR(INDEX(Pedidos!$G$2:$G$1801,MATCH(B4030,Pedidos!$A$2:$A$1801,0)),0)</f>
        <v/>
      </c>
      <c r="N4030" s="21">
        <f>IFERROR(INDEX(Produtos!$B$2:$B$71,MATCH(C4030,Produtos!$A$2:$A$71,0)),"")</f>
        <v/>
      </c>
      <c r="O4030" s="21">
        <f>IFERROR(INDEX(Produtos!$C$2:$C$71,MATCH(C4030,Produtos!$A$2:$A$71,0)),"")</f>
        <v/>
      </c>
      <c r="P4030" s="21">
        <f>IFERROR(INDEX(Produtos!$D$2:$D$71,MATCH(C4030,Produtos!$A$2:$A$71,0)),0)</f>
        <v/>
      </c>
      <c r="Q4030" s="21">
        <f>IFERROR(INDEX(Produtos!$E$2:$E$71,MATCH(C4030,Produtos!$A$2:$A$71,0)),0)</f>
        <v/>
      </c>
      <c r="R4030" s="23">
        <f>D4030*Q4030</f>
        <v/>
      </c>
      <c r="S4030" s="23">
        <f>R4030*E4030</f>
        <v/>
      </c>
      <c r="T4030" s="23">
        <f>(R4030-S4030)*M4030</f>
        <v/>
      </c>
      <c r="U4030" s="23">
        <f>R4030-S4030-T4030</f>
        <v/>
      </c>
      <c r="V4030" s="23">
        <f>D4030*P4030</f>
        <v/>
      </c>
      <c r="W4030" s="23">
        <f>U4030-V4030</f>
        <v/>
      </c>
      <c r="X4030" s="24">
        <f>IFERROR(W4030/U4030,0)</f>
        <v/>
      </c>
    </row>
    <row r="4031">
      <c r="A4031" s="25">
        <f>ItensPedido!A4031</f>
        <v/>
      </c>
      <c r="B4031" s="25">
        <f>ItensPedido!B4031</f>
        <v/>
      </c>
      <c r="C4031" s="25">
        <f>ItensPedido!C4031</f>
        <v/>
      </c>
      <c r="D4031" s="25">
        <f>ItensPedido!D4031</f>
        <v/>
      </c>
      <c r="E4031" s="26">
        <f>ItensPedido!E4031</f>
        <v/>
      </c>
      <c r="F4031" s="25">
        <f>IFERROR(INDEX(Pedidos!$B$2:$B$1801,MATCH(B4031,Pedidos!$A$2:$A$1801,0)),0)</f>
        <v/>
      </c>
      <c r="G4031" s="25">
        <f>IF(F4031=0,"",YEAR(F4031))</f>
        <v/>
      </c>
      <c r="H4031" s="25">
        <f>IF(F4031=0,"",MONTH(F4031))</f>
        <v/>
      </c>
      <c r="I4031" s="25">
        <f>IFERROR(INDEX(Pedidos!$E$2:$E$1801,MATCH(B4031,Pedidos!$A$2:$A$1801,0)),"")</f>
        <v/>
      </c>
      <c r="J4031" s="25">
        <f>IFERROR(INDEX(Pedidos!$C$2:$C$1801,MATCH(B4031,Pedidos!$A$2:$A$1801,0)),"")</f>
        <v/>
      </c>
      <c r="K4031" s="25">
        <f>IFERROR(INDEX(Pedidos!$D$2:$D$1801,MATCH(B4031,Pedidos!$A$2:$A$1801,0)),"")</f>
        <v/>
      </c>
      <c r="L4031" s="25">
        <f>IFERROR(INDEX(Pedidos!$F$2:$F$1801,MATCH(B4031,Pedidos!$A$2:$A$1801,0)),"")</f>
        <v/>
      </c>
      <c r="M4031" s="26">
        <f>IFERROR(INDEX(Pedidos!$G$2:$G$1801,MATCH(B4031,Pedidos!$A$2:$A$1801,0)),0)</f>
        <v/>
      </c>
      <c r="N4031" s="25">
        <f>IFERROR(INDEX(Produtos!$B$2:$B$71,MATCH(C4031,Produtos!$A$2:$A$71,0)),"")</f>
        <v/>
      </c>
      <c r="O4031" s="25">
        <f>IFERROR(INDEX(Produtos!$C$2:$C$71,MATCH(C4031,Produtos!$A$2:$A$71,0)),"")</f>
        <v/>
      </c>
      <c r="P4031" s="25">
        <f>IFERROR(INDEX(Produtos!$D$2:$D$71,MATCH(C4031,Produtos!$A$2:$A$71,0)),0)</f>
        <v/>
      </c>
      <c r="Q4031" s="25">
        <f>IFERROR(INDEX(Produtos!$E$2:$E$71,MATCH(C4031,Produtos!$A$2:$A$71,0)),0)</f>
        <v/>
      </c>
      <c r="R4031" s="27">
        <f>D4031*Q4031</f>
        <v/>
      </c>
      <c r="S4031" s="27">
        <f>R4031*E4031</f>
        <v/>
      </c>
      <c r="T4031" s="27">
        <f>(R4031-S4031)*M4031</f>
        <v/>
      </c>
      <c r="U4031" s="27">
        <f>R4031-S4031-T4031</f>
        <v/>
      </c>
      <c r="V4031" s="27">
        <f>D4031*P4031</f>
        <v/>
      </c>
      <c r="W4031" s="27">
        <f>U4031-V4031</f>
        <v/>
      </c>
      <c r="X4031" s="28">
        <f>IFERROR(W4031/U4031,0)</f>
        <v/>
      </c>
    </row>
    <row r="4032">
      <c r="A4032" s="21">
        <f>ItensPedido!A4032</f>
        <v/>
      </c>
      <c r="B4032" s="21">
        <f>ItensPedido!B4032</f>
        <v/>
      </c>
      <c r="C4032" s="21">
        <f>ItensPedido!C4032</f>
        <v/>
      </c>
      <c r="D4032" s="21">
        <f>ItensPedido!D4032</f>
        <v/>
      </c>
      <c r="E4032" s="22">
        <f>ItensPedido!E4032</f>
        <v/>
      </c>
      <c r="F4032" s="21">
        <f>IFERROR(INDEX(Pedidos!$B$2:$B$1801,MATCH(B4032,Pedidos!$A$2:$A$1801,0)),0)</f>
        <v/>
      </c>
      <c r="G4032" s="21">
        <f>IF(F4032=0,"",YEAR(F4032))</f>
        <v/>
      </c>
      <c r="H4032" s="21">
        <f>IF(F4032=0,"",MONTH(F4032))</f>
        <v/>
      </c>
      <c r="I4032" s="21">
        <f>IFERROR(INDEX(Pedidos!$E$2:$E$1801,MATCH(B4032,Pedidos!$A$2:$A$1801,0)),"")</f>
        <v/>
      </c>
      <c r="J4032" s="21">
        <f>IFERROR(INDEX(Pedidos!$C$2:$C$1801,MATCH(B4032,Pedidos!$A$2:$A$1801,0)),"")</f>
        <v/>
      </c>
      <c r="K4032" s="21">
        <f>IFERROR(INDEX(Pedidos!$D$2:$D$1801,MATCH(B4032,Pedidos!$A$2:$A$1801,0)),"")</f>
        <v/>
      </c>
      <c r="L4032" s="21">
        <f>IFERROR(INDEX(Pedidos!$F$2:$F$1801,MATCH(B4032,Pedidos!$A$2:$A$1801,0)),"")</f>
        <v/>
      </c>
      <c r="M4032" s="22">
        <f>IFERROR(INDEX(Pedidos!$G$2:$G$1801,MATCH(B4032,Pedidos!$A$2:$A$1801,0)),0)</f>
        <v/>
      </c>
      <c r="N4032" s="21">
        <f>IFERROR(INDEX(Produtos!$B$2:$B$71,MATCH(C4032,Produtos!$A$2:$A$71,0)),"")</f>
        <v/>
      </c>
      <c r="O4032" s="21">
        <f>IFERROR(INDEX(Produtos!$C$2:$C$71,MATCH(C4032,Produtos!$A$2:$A$71,0)),"")</f>
        <v/>
      </c>
      <c r="P4032" s="21">
        <f>IFERROR(INDEX(Produtos!$D$2:$D$71,MATCH(C4032,Produtos!$A$2:$A$71,0)),0)</f>
        <v/>
      </c>
      <c r="Q4032" s="21">
        <f>IFERROR(INDEX(Produtos!$E$2:$E$71,MATCH(C4032,Produtos!$A$2:$A$71,0)),0)</f>
        <v/>
      </c>
      <c r="R4032" s="23">
        <f>D4032*Q4032</f>
        <v/>
      </c>
      <c r="S4032" s="23">
        <f>R4032*E4032</f>
        <v/>
      </c>
      <c r="T4032" s="23">
        <f>(R4032-S4032)*M4032</f>
        <v/>
      </c>
      <c r="U4032" s="23">
        <f>R4032-S4032-T4032</f>
        <v/>
      </c>
      <c r="V4032" s="23">
        <f>D4032*P4032</f>
        <v/>
      </c>
      <c r="W4032" s="23">
        <f>U4032-V4032</f>
        <v/>
      </c>
      <c r="X4032" s="24">
        <f>IFERROR(W4032/U4032,0)</f>
        <v/>
      </c>
    </row>
    <row r="4033">
      <c r="A4033" s="25">
        <f>ItensPedido!A4033</f>
        <v/>
      </c>
      <c r="B4033" s="25">
        <f>ItensPedido!B4033</f>
        <v/>
      </c>
      <c r="C4033" s="25">
        <f>ItensPedido!C4033</f>
        <v/>
      </c>
      <c r="D4033" s="25">
        <f>ItensPedido!D4033</f>
        <v/>
      </c>
      <c r="E4033" s="26">
        <f>ItensPedido!E4033</f>
        <v/>
      </c>
      <c r="F4033" s="25">
        <f>IFERROR(INDEX(Pedidos!$B$2:$B$1801,MATCH(B4033,Pedidos!$A$2:$A$1801,0)),0)</f>
        <v/>
      </c>
      <c r="G4033" s="25">
        <f>IF(F4033=0,"",YEAR(F4033))</f>
        <v/>
      </c>
      <c r="H4033" s="25">
        <f>IF(F4033=0,"",MONTH(F4033))</f>
        <v/>
      </c>
      <c r="I4033" s="25">
        <f>IFERROR(INDEX(Pedidos!$E$2:$E$1801,MATCH(B4033,Pedidos!$A$2:$A$1801,0)),"")</f>
        <v/>
      </c>
      <c r="J4033" s="25">
        <f>IFERROR(INDEX(Pedidos!$C$2:$C$1801,MATCH(B4033,Pedidos!$A$2:$A$1801,0)),"")</f>
        <v/>
      </c>
      <c r="K4033" s="25">
        <f>IFERROR(INDEX(Pedidos!$D$2:$D$1801,MATCH(B4033,Pedidos!$A$2:$A$1801,0)),"")</f>
        <v/>
      </c>
      <c r="L4033" s="25">
        <f>IFERROR(INDEX(Pedidos!$F$2:$F$1801,MATCH(B4033,Pedidos!$A$2:$A$1801,0)),"")</f>
        <v/>
      </c>
      <c r="M4033" s="26">
        <f>IFERROR(INDEX(Pedidos!$G$2:$G$1801,MATCH(B4033,Pedidos!$A$2:$A$1801,0)),0)</f>
        <v/>
      </c>
      <c r="N4033" s="25">
        <f>IFERROR(INDEX(Produtos!$B$2:$B$71,MATCH(C4033,Produtos!$A$2:$A$71,0)),"")</f>
        <v/>
      </c>
      <c r="O4033" s="25">
        <f>IFERROR(INDEX(Produtos!$C$2:$C$71,MATCH(C4033,Produtos!$A$2:$A$71,0)),"")</f>
        <v/>
      </c>
      <c r="P4033" s="25">
        <f>IFERROR(INDEX(Produtos!$D$2:$D$71,MATCH(C4033,Produtos!$A$2:$A$71,0)),0)</f>
        <v/>
      </c>
      <c r="Q4033" s="25">
        <f>IFERROR(INDEX(Produtos!$E$2:$E$71,MATCH(C4033,Produtos!$A$2:$A$71,0)),0)</f>
        <v/>
      </c>
      <c r="R4033" s="27">
        <f>D4033*Q4033</f>
        <v/>
      </c>
      <c r="S4033" s="27">
        <f>R4033*E4033</f>
        <v/>
      </c>
      <c r="T4033" s="27">
        <f>(R4033-S4033)*M4033</f>
        <v/>
      </c>
      <c r="U4033" s="27">
        <f>R4033-S4033-T4033</f>
        <v/>
      </c>
      <c r="V4033" s="27">
        <f>D4033*P4033</f>
        <v/>
      </c>
      <c r="W4033" s="27">
        <f>U4033-V4033</f>
        <v/>
      </c>
      <c r="X4033" s="28">
        <f>IFERROR(W4033/U4033,0)</f>
        <v/>
      </c>
    </row>
    <row r="4034">
      <c r="A4034" s="21">
        <f>ItensPedido!A4034</f>
        <v/>
      </c>
      <c r="B4034" s="21">
        <f>ItensPedido!B4034</f>
        <v/>
      </c>
      <c r="C4034" s="21">
        <f>ItensPedido!C4034</f>
        <v/>
      </c>
      <c r="D4034" s="21">
        <f>ItensPedido!D4034</f>
        <v/>
      </c>
      <c r="E4034" s="22">
        <f>ItensPedido!E4034</f>
        <v/>
      </c>
      <c r="F4034" s="21">
        <f>IFERROR(INDEX(Pedidos!$B$2:$B$1801,MATCH(B4034,Pedidos!$A$2:$A$1801,0)),0)</f>
        <v/>
      </c>
      <c r="G4034" s="21">
        <f>IF(F4034=0,"",YEAR(F4034))</f>
        <v/>
      </c>
      <c r="H4034" s="21">
        <f>IF(F4034=0,"",MONTH(F4034))</f>
        <v/>
      </c>
      <c r="I4034" s="21">
        <f>IFERROR(INDEX(Pedidos!$E$2:$E$1801,MATCH(B4034,Pedidos!$A$2:$A$1801,0)),"")</f>
        <v/>
      </c>
      <c r="J4034" s="21">
        <f>IFERROR(INDEX(Pedidos!$C$2:$C$1801,MATCH(B4034,Pedidos!$A$2:$A$1801,0)),"")</f>
        <v/>
      </c>
      <c r="K4034" s="21">
        <f>IFERROR(INDEX(Pedidos!$D$2:$D$1801,MATCH(B4034,Pedidos!$A$2:$A$1801,0)),"")</f>
        <v/>
      </c>
      <c r="L4034" s="21">
        <f>IFERROR(INDEX(Pedidos!$F$2:$F$1801,MATCH(B4034,Pedidos!$A$2:$A$1801,0)),"")</f>
        <v/>
      </c>
      <c r="M4034" s="22">
        <f>IFERROR(INDEX(Pedidos!$G$2:$G$1801,MATCH(B4034,Pedidos!$A$2:$A$1801,0)),0)</f>
        <v/>
      </c>
      <c r="N4034" s="21">
        <f>IFERROR(INDEX(Produtos!$B$2:$B$71,MATCH(C4034,Produtos!$A$2:$A$71,0)),"")</f>
        <v/>
      </c>
      <c r="O4034" s="21">
        <f>IFERROR(INDEX(Produtos!$C$2:$C$71,MATCH(C4034,Produtos!$A$2:$A$71,0)),"")</f>
        <v/>
      </c>
      <c r="P4034" s="21">
        <f>IFERROR(INDEX(Produtos!$D$2:$D$71,MATCH(C4034,Produtos!$A$2:$A$71,0)),0)</f>
        <v/>
      </c>
      <c r="Q4034" s="21">
        <f>IFERROR(INDEX(Produtos!$E$2:$E$71,MATCH(C4034,Produtos!$A$2:$A$71,0)),0)</f>
        <v/>
      </c>
      <c r="R4034" s="23">
        <f>D4034*Q4034</f>
        <v/>
      </c>
      <c r="S4034" s="23">
        <f>R4034*E4034</f>
        <v/>
      </c>
      <c r="T4034" s="23">
        <f>(R4034-S4034)*M4034</f>
        <v/>
      </c>
      <c r="U4034" s="23">
        <f>R4034-S4034-T4034</f>
        <v/>
      </c>
      <c r="V4034" s="23">
        <f>D4034*P4034</f>
        <v/>
      </c>
      <c r="W4034" s="23">
        <f>U4034-V4034</f>
        <v/>
      </c>
      <c r="X4034" s="24">
        <f>IFERROR(W4034/U4034,0)</f>
        <v/>
      </c>
    </row>
    <row r="4035">
      <c r="A4035" s="25">
        <f>ItensPedido!A4035</f>
        <v/>
      </c>
      <c r="B4035" s="25">
        <f>ItensPedido!B4035</f>
        <v/>
      </c>
      <c r="C4035" s="25">
        <f>ItensPedido!C4035</f>
        <v/>
      </c>
      <c r="D4035" s="25">
        <f>ItensPedido!D4035</f>
        <v/>
      </c>
      <c r="E4035" s="26">
        <f>ItensPedido!E4035</f>
        <v/>
      </c>
      <c r="F4035" s="25">
        <f>IFERROR(INDEX(Pedidos!$B$2:$B$1801,MATCH(B4035,Pedidos!$A$2:$A$1801,0)),0)</f>
        <v/>
      </c>
      <c r="G4035" s="25">
        <f>IF(F4035=0,"",YEAR(F4035))</f>
        <v/>
      </c>
      <c r="H4035" s="25">
        <f>IF(F4035=0,"",MONTH(F4035))</f>
        <v/>
      </c>
      <c r="I4035" s="25">
        <f>IFERROR(INDEX(Pedidos!$E$2:$E$1801,MATCH(B4035,Pedidos!$A$2:$A$1801,0)),"")</f>
        <v/>
      </c>
      <c r="J4035" s="25">
        <f>IFERROR(INDEX(Pedidos!$C$2:$C$1801,MATCH(B4035,Pedidos!$A$2:$A$1801,0)),"")</f>
        <v/>
      </c>
      <c r="K4035" s="25">
        <f>IFERROR(INDEX(Pedidos!$D$2:$D$1801,MATCH(B4035,Pedidos!$A$2:$A$1801,0)),"")</f>
        <v/>
      </c>
      <c r="L4035" s="25">
        <f>IFERROR(INDEX(Pedidos!$F$2:$F$1801,MATCH(B4035,Pedidos!$A$2:$A$1801,0)),"")</f>
        <v/>
      </c>
      <c r="M4035" s="26">
        <f>IFERROR(INDEX(Pedidos!$G$2:$G$1801,MATCH(B4035,Pedidos!$A$2:$A$1801,0)),0)</f>
        <v/>
      </c>
      <c r="N4035" s="25">
        <f>IFERROR(INDEX(Produtos!$B$2:$B$71,MATCH(C4035,Produtos!$A$2:$A$71,0)),"")</f>
        <v/>
      </c>
      <c r="O4035" s="25">
        <f>IFERROR(INDEX(Produtos!$C$2:$C$71,MATCH(C4035,Produtos!$A$2:$A$71,0)),"")</f>
        <v/>
      </c>
      <c r="P4035" s="25">
        <f>IFERROR(INDEX(Produtos!$D$2:$D$71,MATCH(C4035,Produtos!$A$2:$A$71,0)),0)</f>
        <v/>
      </c>
      <c r="Q4035" s="25">
        <f>IFERROR(INDEX(Produtos!$E$2:$E$71,MATCH(C4035,Produtos!$A$2:$A$71,0)),0)</f>
        <v/>
      </c>
      <c r="R4035" s="27">
        <f>D4035*Q4035</f>
        <v/>
      </c>
      <c r="S4035" s="27">
        <f>R4035*E4035</f>
        <v/>
      </c>
      <c r="T4035" s="27">
        <f>(R4035-S4035)*M4035</f>
        <v/>
      </c>
      <c r="U4035" s="27">
        <f>R4035-S4035-T4035</f>
        <v/>
      </c>
      <c r="V4035" s="27">
        <f>D4035*P4035</f>
        <v/>
      </c>
      <c r="W4035" s="27">
        <f>U4035-V4035</f>
        <v/>
      </c>
      <c r="X4035" s="28">
        <f>IFERROR(W4035/U4035,0)</f>
        <v/>
      </c>
    </row>
    <row r="4036">
      <c r="A4036" s="21">
        <f>ItensPedido!A4036</f>
        <v/>
      </c>
      <c r="B4036" s="21">
        <f>ItensPedido!B4036</f>
        <v/>
      </c>
      <c r="C4036" s="21">
        <f>ItensPedido!C4036</f>
        <v/>
      </c>
      <c r="D4036" s="21">
        <f>ItensPedido!D4036</f>
        <v/>
      </c>
      <c r="E4036" s="22">
        <f>ItensPedido!E4036</f>
        <v/>
      </c>
      <c r="F4036" s="21">
        <f>IFERROR(INDEX(Pedidos!$B$2:$B$1801,MATCH(B4036,Pedidos!$A$2:$A$1801,0)),0)</f>
        <v/>
      </c>
      <c r="G4036" s="21">
        <f>IF(F4036=0,"",YEAR(F4036))</f>
        <v/>
      </c>
      <c r="H4036" s="21">
        <f>IF(F4036=0,"",MONTH(F4036))</f>
        <v/>
      </c>
      <c r="I4036" s="21">
        <f>IFERROR(INDEX(Pedidos!$E$2:$E$1801,MATCH(B4036,Pedidos!$A$2:$A$1801,0)),"")</f>
        <v/>
      </c>
      <c r="J4036" s="21">
        <f>IFERROR(INDEX(Pedidos!$C$2:$C$1801,MATCH(B4036,Pedidos!$A$2:$A$1801,0)),"")</f>
        <v/>
      </c>
      <c r="K4036" s="21">
        <f>IFERROR(INDEX(Pedidos!$D$2:$D$1801,MATCH(B4036,Pedidos!$A$2:$A$1801,0)),"")</f>
        <v/>
      </c>
      <c r="L4036" s="21">
        <f>IFERROR(INDEX(Pedidos!$F$2:$F$1801,MATCH(B4036,Pedidos!$A$2:$A$1801,0)),"")</f>
        <v/>
      </c>
      <c r="M4036" s="22">
        <f>IFERROR(INDEX(Pedidos!$G$2:$G$1801,MATCH(B4036,Pedidos!$A$2:$A$1801,0)),0)</f>
        <v/>
      </c>
      <c r="N4036" s="21">
        <f>IFERROR(INDEX(Produtos!$B$2:$B$71,MATCH(C4036,Produtos!$A$2:$A$71,0)),"")</f>
        <v/>
      </c>
      <c r="O4036" s="21">
        <f>IFERROR(INDEX(Produtos!$C$2:$C$71,MATCH(C4036,Produtos!$A$2:$A$71,0)),"")</f>
        <v/>
      </c>
      <c r="P4036" s="21">
        <f>IFERROR(INDEX(Produtos!$D$2:$D$71,MATCH(C4036,Produtos!$A$2:$A$71,0)),0)</f>
        <v/>
      </c>
      <c r="Q4036" s="21">
        <f>IFERROR(INDEX(Produtos!$E$2:$E$71,MATCH(C4036,Produtos!$A$2:$A$71,0)),0)</f>
        <v/>
      </c>
      <c r="R4036" s="23">
        <f>D4036*Q4036</f>
        <v/>
      </c>
      <c r="S4036" s="23">
        <f>R4036*E4036</f>
        <v/>
      </c>
      <c r="T4036" s="23">
        <f>(R4036-S4036)*M4036</f>
        <v/>
      </c>
      <c r="U4036" s="23">
        <f>R4036-S4036-T4036</f>
        <v/>
      </c>
      <c r="V4036" s="23">
        <f>D4036*P4036</f>
        <v/>
      </c>
      <c r="W4036" s="23">
        <f>U4036-V4036</f>
        <v/>
      </c>
      <c r="X4036" s="24">
        <f>IFERROR(W4036/U4036,0)</f>
        <v/>
      </c>
    </row>
    <row r="4037">
      <c r="A4037" s="25">
        <f>ItensPedido!A4037</f>
        <v/>
      </c>
      <c r="B4037" s="25">
        <f>ItensPedido!B4037</f>
        <v/>
      </c>
      <c r="C4037" s="25">
        <f>ItensPedido!C4037</f>
        <v/>
      </c>
      <c r="D4037" s="25">
        <f>ItensPedido!D4037</f>
        <v/>
      </c>
      <c r="E4037" s="26">
        <f>ItensPedido!E4037</f>
        <v/>
      </c>
      <c r="F4037" s="25">
        <f>IFERROR(INDEX(Pedidos!$B$2:$B$1801,MATCH(B4037,Pedidos!$A$2:$A$1801,0)),0)</f>
        <v/>
      </c>
      <c r="G4037" s="25">
        <f>IF(F4037=0,"",YEAR(F4037))</f>
        <v/>
      </c>
      <c r="H4037" s="25">
        <f>IF(F4037=0,"",MONTH(F4037))</f>
        <v/>
      </c>
      <c r="I4037" s="25">
        <f>IFERROR(INDEX(Pedidos!$E$2:$E$1801,MATCH(B4037,Pedidos!$A$2:$A$1801,0)),"")</f>
        <v/>
      </c>
      <c r="J4037" s="25">
        <f>IFERROR(INDEX(Pedidos!$C$2:$C$1801,MATCH(B4037,Pedidos!$A$2:$A$1801,0)),"")</f>
        <v/>
      </c>
      <c r="K4037" s="25">
        <f>IFERROR(INDEX(Pedidos!$D$2:$D$1801,MATCH(B4037,Pedidos!$A$2:$A$1801,0)),"")</f>
        <v/>
      </c>
      <c r="L4037" s="25">
        <f>IFERROR(INDEX(Pedidos!$F$2:$F$1801,MATCH(B4037,Pedidos!$A$2:$A$1801,0)),"")</f>
        <v/>
      </c>
      <c r="M4037" s="26">
        <f>IFERROR(INDEX(Pedidos!$G$2:$G$1801,MATCH(B4037,Pedidos!$A$2:$A$1801,0)),0)</f>
        <v/>
      </c>
      <c r="N4037" s="25">
        <f>IFERROR(INDEX(Produtos!$B$2:$B$71,MATCH(C4037,Produtos!$A$2:$A$71,0)),"")</f>
        <v/>
      </c>
      <c r="O4037" s="25">
        <f>IFERROR(INDEX(Produtos!$C$2:$C$71,MATCH(C4037,Produtos!$A$2:$A$71,0)),"")</f>
        <v/>
      </c>
      <c r="P4037" s="25">
        <f>IFERROR(INDEX(Produtos!$D$2:$D$71,MATCH(C4037,Produtos!$A$2:$A$71,0)),0)</f>
        <v/>
      </c>
      <c r="Q4037" s="25">
        <f>IFERROR(INDEX(Produtos!$E$2:$E$71,MATCH(C4037,Produtos!$A$2:$A$71,0)),0)</f>
        <v/>
      </c>
      <c r="R4037" s="27">
        <f>D4037*Q4037</f>
        <v/>
      </c>
      <c r="S4037" s="27">
        <f>R4037*E4037</f>
        <v/>
      </c>
      <c r="T4037" s="27">
        <f>(R4037-S4037)*M4037</f>
        <v/>
      </c>
      <c r="U4037" s="27">
        <f>R4037-S4037-T4037</f>
        <v/>
      </c>
      <c r="V4037" s="27">
        <f>D4037*P4037</f>
        <v/>
      </c>
      <c r="W4037" s="27">
        <f>U4037-V4037</f>
        <v/>
      </c>
      <c r="X4037" s="28">
        <f>IFERROR(W4037/U4037,0)</f>
        <v/>
      </c>
    </row>
    <row r="4038">
      <c r="A4038" s="21">
        <f>ItensPedido!A4038</f>
        <v/>
      </c>
      <c r="B4038" s="21">
        <f>ItensPedido!B4038</f>
        <v/>
      </c>
      <c r="C4038" s="21">
        <f>ItensPedido!C4038</f>
        <v/>
      </c>
      <c r="D4038" s="21">
        <f>ItensPedido!D4038</f>
        <v/>
      </c>
      <c r="E4038" s="22">
        <f>ItensPedido!E4038</f>
        <v/>
      </c>
      <c r="F4038" s="21">
        <f>IFERROR(INDEX(Pedidos!$B$2:$B$1801,MATCH(B4038,Pedidos!$A$2:$A$1801,0)),0)</f>
        <v/>
      </c>
      <c r="G4038" s="21">
        <f>IF(F4038=0,"",YEAR(F4038))</f>
        <v/>
      </c>
      <c r="H4038" s="21">
        <f>IF(F4038=0,"",MONTH(F4038))</f>
        <v/>
      </c>
      <c r="I4038" s="21">
        <f>IFERROR(INDEX(Pedidos!$E$2:$E$1801,MATCH(B4038,Pedidos!$A$2:$A$1801,0)),"")</f>
        <v/>
      </c>
      <c r="J4038" s="21">
        <f>IFERROR(INDEX(Pedidos!$C$2:$C$1801,MATCH(B4038,Pedidos!$A$2:$A$1801,0)),"")</f>
        <v/>
      </c>
      <c r="K4038" s="21">
        <f>IFERROR(INDEX(Pedidos!$D$2:$D$1801,MATCH(B4038,Pedidos!$A$2:$A$1801,0)),"")</f>
        <v/>
      </c>
      <c r="L4038" s="21">
        <f>IFERROR(INDEX(Pedidos!$F$2:$F$1801,MATCH(B4038,Pedidos!$A$2:$A$1801,0)),"")</f>
        <v/>
      </c>
      <c r="M4038" s="22">
        <f>IFERROR(INDEX(Pedidos!$G$2:$G$1801,MATCH(B4038,Pedidos!$A$2:$A$1801,0)),0)</f>
        <v/>
      </c>
      <c r="N4038" s="21">
        <f>IFERROR(INDEX(Produtos!$B$2:$B$71,MATCH(C4038,Produtos!$A$2:$A$71,0)),"")</f>
        <v/>
      </c>
      <c r="O4038" s="21">
        <f>IFERROR(INDEX(Produtos!$C$2:$C$71,MATCH(C4038,Produtos!$A$2:$A$71,0)),"")</f>
        <v/>
      </c>
      <c r="P4038" s="21">
        <f>IFERROR(INDEX(Produtos!$D$2:$D$71,MATCH(C4038,Produtos!$A$2:$A$71,0)),0)</f>
        <v/>
      </c>
      <c r="Q4038" s="21">
        <f>IFERROR(INDEX(Produtos!$E$2:$E$71,MATCH(C4038,Produtos!$A$2:$A$71,0)),0)</f>
        <v/>
      </c>
      <c r="R4038" s="23">
        <f>D4038*Q4038</f>
        <v/>
      </c>
      <c r="S4038" s="23">
        <f>R4038*E4038</f>
        <v/>
      </c>
      <c r="T4038" s="23">
        <f>(R4038-S4038)*M4038</f>
        <v/>
      </c>
      <c r="U4038" s="23">
        <f>R4038-S4038-T4038</f>
        <v/>
      </c>
      <c r="V4038" s="23">
        <f>D4038*P4038</f>
        <v/>
      </c>
      <c r="W4038" s="23">
        <f>U4038-V4038</f>
        <v/>
      </c>
      <c r="X4038" s="24">
        <f>IFERROR(W4038/U4038,0)</f>
        <v/>
      </c>
    </row>
    <row r="4039">
      <c r="A4039" s="25">
        <f>ItensPedido!A4039</f>
        <v/>
      </c>
      <c r="B4039" s="25">
        <f>ItensPedido!B4039</f>
        <v/>
      </c>
      <c r="C4039" s="25">
        <f>ItensPedido!C4039</f>
        <v/>
      </c>
      <c r="D4039" s="25">
        <f>ItensPedido!D4039</f>
        <v/>
      </c>
      <c r="E4039" s="26">
        <f>ItensPedido!E4039</f>
        <v/>
      </c>
      <c r="F4039" s="25">
        <f>IFERROR(INDEX(Pedidos!$B$2:$B$1801,MATCH(B4039,Pedidos!$A$2:$A$1801,0)),0)</f>
        <v/>
      </c>
      <c r="G4039" s="25">
        <f>IF(F4039=0,"",YEAR(F4039))</f>
        <v/>
      </c>
      <c r="H4039" s="25">
        <f>IF(F4039=0,"",MONTH(F4039))</f>
        <v/>
      </c>
      <c r="I4039" s="25">
        <f>IFERROR(INDEX(Pedidos!$E$2:$E$1801,MATCH(B4039,Pedidos!$A$2:$A$1801,0)),"")</f>
        <v/>
      </c>
      <c r="J4039" s="25">
        <f>IFERROR(INDEX(Pedidos!$C$2:$C$1801,MATCH(B4039,Pedidos!$A$2:$A$1801,0)),"")</f>
        <v/>
      </c>
      <c r="K4039" s="25">
        <f>IFERROR(INDEX(Pedidos!$D$2:$D$1801,MATCH(B4039,Pedidos!$A$2:$A$1801,0)),"")</f>
        <v/>
      </c>
      <c r="L4039" s="25">
        <f>IFERROR(INDEX(Pedidos!$F$2:$F$1801,MATCH(B4039,Pedidos!$A$2:$A$1801,0)),"")</f>
        <v/>
      </c>
      <c r="M4039" s="26">
        <f>IFERROR(INDEX(Pedidos!$G$2:$G$1801,MATCH(B4039,Pedidos!$A$2:$A$1801,0)),0)</f>
        <v/>
      </c>
      <c r="N4039" s="25">
        <f>IFERROR(INDEX(Produtos!$B$2:$B$71,MATCH(C4039,Produtos!$A$2:$A$71,0)),"")</f>
        <v/>
      </c>
      <c r="O4039" s="25">
        <f>IFERROR(INDEX(Produtos!$C$2:$C$71,MATCH(C4039,Produtos!$A$2:$A$71,0)),"")</f>
        <v/>
      </c>
      <c r="P4039" s="25">
        <f>IFERROR(INDEX(Produtos!$D$2:$D$71,MATCH(C4039,Produtos!$A$2:$A$71,0)),0)</f>
        <v/>
      </c>
      <c r="Q4039" s="25">
        <f>IFERROR(INDEX(Produtos!$E$2:$E$71,MATCH(C4039,Produtos!$A$2:$A$71,0)),0)</f>
        <v/>
      </c>
      <c r="R4039" s="27">
        <f>D4039*Q4039</f>
        <v/>
      </c>
      <c r="S4039" s="27">
        <f>R4039*E4039</f>
        <v/>
      </c>
      <c r="T4039" s="27">
        <f>(R4039-S4039)*M4039</f>
        <v/>
      </c>
      <c r="U4039" s="27">
        <f>R4039-S4039-T4039</f>
        <v/>
      </c>
      <c r="V4039" s="27">
        <f>D4039*P4039</f>
        <v/>
      </c>
      <c r="W4039" s="27">
        <f>U4039-V4039</f>
        <v/>
      </c>
      <c r="X4039" s="28">
        <f>IFERROR(W4039/U4039,0)</f>
        <v/>
      </c>
    </row>
    <row r="4040">
      <c r="A4040" s="21">
        <f>ItensPedido!A4040</f>
        <v/>
      </c>
      <c r="B4040" s="21">
        <f>ItensPedido!B4040</f>
        <v/>
      </c>
      <c r="C4040" s="21">
        <f>ItensPedido!C4040</f>
        <v/>
      </c>
      <c r="D4040" s="21">
        <f>ItensPedido!D4040</f>
        <v/>
      </c>
      <c r="E4040" s="22">
        <f>ItensPedido!E4040</f>
        <v/>
      </c>
      <c r="F4040" s="21">
        <f>IFERROR(INDEX(Pedidos!$B$2:$B$1801,MATCH(B4040,Pedidos!$A$2:$A$1801,0)),0)</f>
        <v/>
      </c>
      <c r="G4040" s="21">
        <f>IF(F4040=0,"",YEAR(F4040))</f>
        <v/>
      </c>
      <c r="H4040" s="21">
        <f>IF(F4040=0,"",MONTH(F4040))</f>
        <v/>
      </c>
      <c r="I4040" s="21">
        <f>IFERROR(INDEX(Pedidos!$E$2:$E$1801,MATCH(B4040,Pedidos!$A$2:$A$1801,0)),"")</f>
        <v/>
      </c>
      <c r="J4040" s="21">
        <f>IFERROR(INDEX(Pedidos!$C$2:$C$1801,MATCH(B4040,Pedidos!$A$2:$A$1801,0)),"")</f>
        <v/>
      </c>
      <c r="K4040" s="21">
        <f>IFERROR(INDEX(Pedidos!$D$2:$D$1801,MATCH(B4040,Pedidos!$A$2:$A$1801,0)),"")</f>
        <v/>
      </c>
      <c r="L4040" s="21">
        <f>IFERROR(INDEX(Pedidos!$F$2:$F$1801,MATCH(B4040,Pedidos!$A$2:$A$1801,0)),"")</f>
        <v/>
      </c>
      <c r="M4040" s="22">
        <f>IFERROR(INDEX(Pedidos!$G$2:$G$1801,MATCH(B4040,Pedidos!$A$2:$A$1801,0)),0)</f>
        <v/>
      </c>
      <c r="N4040" s="21">
        <f>IFERROR(INDEX(Produtos!$B$2:$B$71,MATCH(C4040,Produtos!$A$2:$A$71,0)),"")</f>
        <v/>
      </c>
      <c r="O4040" s="21">
        <f>IFERROR(INDEX(Produtos!$C$2:$C$71,MATCH(C4040,Produtos!$A$2:$A$71,0)),"")</f>
        <v/>
      </c>
      <c r="P4040" s="21">
        <f>IFERROR(INDEX(Produtos!$D$2:$D$71,MATCH(C4040,Produtos!$A$2:$A$71,0)),0)</f>
        <v/>
      </c>
      <c r="Q4040" s="21">
        <f>IFERROR(INDEX(Produtos!$E$2:$E$71,MATCH(C4040,Produtos!$A$2:$A$71,0)),0)</f>
        <v/>
      </c>
      <c r="R4040" s="23">
        <f>D4040*Q4040</f>
        <v/>
      </c>
      <c r="S4040" s="23">
        <f>R4040*E4040</f>
        <v/>
      </c>
      <c r="T4040" s="23">
        <f>(R4040-S4040)*M4040</f>
        <v/>
      </c>
      <c r="U4040" s="23">
        <f>R4040-S4040-T4040</f>
        <v/>
      </c>
      <c r="V4040" s="23">
        <f>D4040*P4040</f>
        <v/>
      </c>
      <c r="W4040" s="23">
        <f>U4040-V4040</f>
        <v/>
      </c>
      <c r="X4040" s="24">
        <f>IFERROR(W4040/U4040,0)</f>
        <v/>
      </c>
    </row>
    <row r="4041">
      <c r="A4041" s="25">
        <f>ItensPedido!A4041</f>
        <v/>
      </c>
      <c r="B4041" s="25">
        <f>ItensPedido!B4041</f>
        <v/>
      </c>
      <c r="C4041" s="25">
        <f>ItensPedido!C4041</f>
        <v/>
      </c>
      <c r="D4041" s="25">
        <f>ItensPedido!D4041</f>
        <v/>
      </c>
      <c r="E4041" s="26">
        <f>ItensPedido!E4041</f>
        <v/>
      </c>
      <c r="F4041" s="25">
        <f>IFERROR(INDEX(Pedidos!$B$2:$B$1801,MATCH(B4041,Pedidos!$A$2:$A$1801,0)),0)</f>
        <v/>
      </c>
      <c r="G4041" s="25">
        <f>IF(F4041=0,"",YEAR(F4041))</f>
        <v/>
      </c>
      <c r="H4041" s="25">
        <f>IF(F4041=0,"",MONTH(F4041))</f>
        <v/>
      </c>
      <c r="I4041" s="25">
        <f>IFERROR(INDEX(Pedidos!$E$2:$E$1801,MATCH(B4041,Pedidos!$A$2:$A$1801,0)),"")</f>
        <v/>
      </c>
      <c r="J4041" s="25">
        <f>IFERROR(INDEX(Pedidos!$C$2:$C$1801,MATCH(B4041,Pedidos!$A$2:$A$1801,0)),"")</f>
        <v/>
      </c>
      <c r="K4041" s="25">
        <f>IFERROR(INDEX(Pedidos!$D$2:$D$1801,MATCH(B4041,Pedidos!$A$2:$A$1801,0)),"")</f>
        <v/>
      </c>
      <c r="L4041" s="25">
        <f>IFERROR(INDEX(Pedidos!$F$2:$F$1801,MATCH(B4041,Pedidos!$A$2:$A$1801,0)),"")</f>
        <v/>
      </c>
      <c r="M4041" s="26">
        <f>IFERROR(INDEX(Pedidos!$G$2:$G$1801,MATCH(B4041,Pedidos!$A$2:$A$1801,0)),0)</f>
        <v/>
      </c>
      <c r="N4041" s="25">
        <f>IFERROR(INDEX(Produtos!$B$2:$B$71,MATCH(C4041,Produtos!$A$2:$A$71,0)),"")</f>
        <v/>
      </c>
      <c r="O4041" s="25">
        <f>IFERROR(INDEX(Produtos!$C$2:$C$71,MATCH(C4041,Produtos!$A$2:$A$71,0)),"")</f>
        <v/>
      </c>
      <c r="P4041" s="25">
        <f>IFERROR(INDEX(Produtos!$D$2:$D$71,MATCH(C4041,Produtos!$A$2:$A$71,0)),0)</f>
        <v/>
      </c>
      <c r="Q4041" s="25">
        <f>IFERROR(INDEX(Produtos!$E$2:$E$71,MATCH(C4041,Produtos!$A$2:$A$71,0)),0)</f>
        <v/>
      </c>
      <c r="R4041" s="27">
        <f>D4041*Q4041</f>
        <v/>
      </c>
      <c r="S4041" s="27">
        <f>R4041*E4041</f>
        <v/>
      </c>
      <c r="T4041" s="27">
        <f>(R4041-S4041)*M4041</f>
        <v/>
      </c>
      <c r="U4041" s="27">
        <f>R4041-S4041-T4041</f>
        <v/>
      </c>
      <c r="V4041" s="27">
        <f>D4041*P4041</f>
        <v/>
      </c>
      <c r="W4041" s="27">
        <f>U4041-V4041</f>
        <v/>
      </c>
      <c r="X4041" s="28">
        <f>IFERROR(W4041/U4041,0)</f>
        <v/>
      </c>
    </row>
    <row r="4042">
      <c r="A4042" s="21">
        <f>ItensPedido!A4042</f>
        <v/>
      </c>
      <c r="B4042" s="21">
        <f>ItensPedido!B4042</f>
        <v/>
      </c>
      <c r="C4042" s="21">
        <f>ItensPedido!C4042</f>
        <v/>
      </c>
      <c r="D4042" s="21">
        <f>ItensPedido!D4042</f>
        <v/>
      </c>
      <c r="E4042" s="22">
        <f>ItensPedido!E4042</f>
        <v/>
      </c>
      <c r="F4042" s="21">
        <f>IFERROR(INDEX(Pedidos!$B$2:$B$1801,MATCH(B4042,Pedidos!$A$2:$A$1801,0)),0)</f>
        <v/>
      </c>
      <c r="G4042" s="21">
        <f>IF(F4042=0,"",YEAR(F4042))</f>
        <v/>
      </c>
      <c r="H4042" s="21">
        <f>IF(F4042=0,"",MONTH(F4042))</f>
        <v/>
      </c>
      <c r="I4042" s="21">
        <f>IFERROR(INDEX(Pedidos!$E$2:$E$1801,MATCH(B4042,Pedidos!$A$2:$A$1801,0)),"")</f>
        <v/>
      </c>
      <c r="J4042" s="21">
        <f>IFERROR(INDEX(Pedidos!$C$2:$C$1801,MATCH(B4042,Pedidos!$A$2:$A$1801,0)),"")</f>
        <v/>
      </c>
      <c r="K4042" s="21">
        <f>IFERROR(INDEX(Pedidos!$D$2:$D$1801,MATCH(B4042,Pedidos!$A$2:$A$1801,0)),"")</f>
        <v/>
      </c>
      <c r="L4042" s="21">
        <f>IFERROR(INDEX(Pedidos!$F$2:$F$1801,MATCH(B4042,Pedidos!$A$2:$A$1801,0)),"")</f>
        <v/>
      </c>
      <c r="M4042" s="22">
        <f>IFERROR(INDEX(Pedidos!$G$2:$G$1801,MATCH(B4042,Pedidos!$A$2:$A$1801,0)),0)</f>
        <v/>
      </c>
      <c r="N4042" s="21">
        <f>IFERROR(INDEX(Produtos!$B$2:$B$71,MATCH(C4042,Produtos!$A$2:$A$71,0)),"")</f>
        <v/>
      </c>
      <c r="O4042" s="21">
        <f>IFERROR(INDEX(Produtos!$C$2:$C$71,MATCH(C4042,Produtos!$A$2:$A$71,0)),"")</f>
        <v/>
      </c>
      <c r="P4042" s="21">
        <f>IFERROR(INDEX(Produtos!$D$2:$D$71,MATCH(C4042,Produtos!$A$2:$A$71,0)),0)</f>
        <v/>
      </c>
      <c r="Q4042" s="21">
        <f>IFERROR(INDEX(Produtos!$E$2:$E$71,MATCH(C4042,Produtos!$A$2:$A$71,0)),0)</f>
        <v/>
      </c>
      <c r="R4042" s="23">
        <f>D4042*Q4042</f>
        <v/>
      </c>
      <c r="S4042" s="23">
        <f>R4042*E4042</f>
        <v/>
      </c>
      <c r="T4042" s="23">
        <f>(R4042-S4042)*M4042</f>
        <v/>
      </c>
      <c r="U4042" s="23">
        <f>R4042-S4042-T4042</f>
        <v/>
      </c>
      <c r="V4042" s="23">
        <f>D4042*P4042</f>
        <v/>
      </c>
      <c r="W4042" s="23">
        <f>U4042-V4042</f>
        <v/>
      </c>
      <c r="X4042" s="24">
        <f>IFERROR(W4042/U4042,0)</f>
        <v/>
      </c>
    </row>
    <row r="4043">
      <c r="A4043" s="25">
        <f>ItensPedido!A4043</f>
        <v/>
      </c>
      <c r="B4043" s="25">
        <f>ItensPedido!B4043</f>
        <v/>
      </c>
      <c r="C4043" s="25">
        <f>ItensPedido!C4043</f>
        <v/>
      </c>
      <c r="D4043" s="25">
        <f>ItensPedido!D4043</f>
        <v/>
      </c>
      <c r="E4043" s="26">
        <f>ItensPedido!E4043</f>
        <v/>
      </c>
      <c r="F4043" s="25">
        <f>IFERROR(INDEX(Pedidos!$B$2:$B$1801,MATCH(B4043,Pedidos!$A$2:$A$1801,0)),0)</f>
        <v/>
      </c>
      <c r="G4043" s="25">
        <f>IF(F4043=0,"",YEAR(F4043))</f>
        <v/>
      </c>
      <c r="H4043" s="25">
        <f>IF(F4043=0,"",MONTH(F4043))</f>
        <v/>
      </c>
      <c r="I4043" s="25">
        <f>IFERROR(INDEX(Pedidos!$E$2:$E$1801,MATCH(B4043,Pedidos!$A$2:$A$1801,0)),"")</f>
        <v/>
      </c>
      <c r="J4043" s="25">
        <f>IFERROR(INDEX(Pedidos!$C$2:$C$1801,MATCH(B4043,Pedidos!$A$2:$A$1801,0)),"")</f>
        <v/>
      </c>
      <c r="K4043" s="25">
        <f>IFERROR(INDEX(Pedidos!$D$2:$D$1801,MATCH(B4043,Pedidos!$A$2:$A$1801,0)),"")</f>
        <v/>
      </c>
      <c r="L4043" s="25">
        <f>IFERROR(INDEX(Pedidos!$F$2:$F$1801,MATCH(B4043,Pedidos!$A$2:$A$1801,0)),"")</f>
        <v/>
      </c>
      <c r="M4043" s="26">
        <f>IFERROR(INDEX(Pedidos!$G$2:$G$1801,MATCH(B4043,Pedidos!$A$2:$A$1801,0)),0)</f>
        <v/>
      </c>
      <c r="N4043" s="25">
        <f>IFERROR(INDEX(Produtos!$B$2:$B$71,MATCH(C4043,Produtos!$A$2:$A$71,0)),"")</f>
        <v/>
      </c>
      <c r="O4043" s="25">
        <f>IFERROR(INDEX(Produtos!$C$2:$C$71,MATCH(C4043,Produtos!$A$2:$A$71,0)),"")</f>
        <v/>
      </c>
      <c r="P4043" s="25">
        <f>IFERROR(INDEX(Produtos!$D$2:$D$71,MATCH(C4043,Produtos!$A$2:$A$71,0)),0)</f>
        <v/>
      </c>
      <c r="Q4043" s="25">
        <f>IFERROR(INDEX(Produtos!$E$2:$E$71,MATCH(C4043,Produtos!$A$2:$A$71,0)),0)</f>
        <v/>
      </c>
      <c r="R4043" s="27">
        <f>D4043*Q4043</f>
        <v/>
      </c>
      <c r="S4043" s="27">
        <f>R4043*E4043</f>
        <v/>
      </c>
      <c r="T4043" s="27">
        <f>(R4043-S4043)*M4043</f>
        <v/>
      </c>
      <c r="U4043" s="27">
        <f>R4043-S4043-T4043</f>
        <v/>
      </c>
      <c r="V4043" s="27">
        <f>D4043*P4043</f>
        <v/>
      </c>
      <c r="W4043" s="27">
        <f>U4043-V4043</f>
        <v/>
      </c>
      <c r="X4043" s="28">
        <f>IFERROR(W4043/U4043,0)</f>
        <v/>
      </c>
    </row>
    <row r="4044">
      <c r="A4044" s="21">
        <f>ItensPedido!A4044</f>
        <v/>
      </c>
      <c r="B4044" s="21">
        <f>ItensPedido!B4044</f>
        <v/>
      </c>
      <c r="C4044" s="21">
        <f>ItensPedido!C4044</f>
        <v/>
      </c>
      <c r="D4044" s="21">
        <f>ItensPedido!D4044</f>
        <v/>
      </c>
      <c r="E4044" s="22">
        <f>ItensPedido!E4044</f>
        <v/>
      </c>
      <c r="F4044" s="21">
        <f>IFERROR(INDEX(Pedidos!$B$2:$B$1801,MATCH(B4044,Pedidos!$A$2:$A$1801,0)),0)</f>
        <v/>
      </c>
      <c r="G4044" s="21">
        <f>IF(F4044=0,"",YEAR(F4044))</f>
        <v/>
      </c>
      <c r="H4044" s="21">
        <f>IF(F4044=0,"",MONTH(F4044))</f>
        <v/>
      </c>
      <c r="I4044" s="21">
        <f>IFERROR(INDEX(Pedidos!$E$2:$E$1801,MATCH(B4044,Pedidos!$A$2:$A$1801,0)),"")</f>
        <v/>
      </c>
      <c r="J4044" s="21">
        <f>IFERROR(INDEX(Pedidos!$C$2:$C$1801,MATCH(B4044,Pedidos!$A$2:$A$1801,0)),"")</f>
        <v/>
      </c>
      <c r="K4044" s="21">
        <f>IFERROR(INDEX(Pedidos!$D$2:$D$1801,MATCH(B4044,Pedidos!$A$2:$A$1801,0)),"")</f>
        <v/>
      </c>
      <c r="L4044" s="21">
        <f>IFERROR(INDEX(Pedidos!$F$2:$F$1801,MATCH(B4044,Pedidos!$A$2:$A$1801,0)),"")</f>
        <v/>
      </c>
      <c r="M4044" s="22">
        <f>IFERROR(INDEX(Pedidos!$G$2:$G$1801,MATCH(B4044,Pedidos!$A$2:$A$1801,0)),0)</f>
        <v/>
      </c>
      <c r="N4044" s="21">
        <f>IFERROR(INDEX(Produtos!$B$2:$B$71,MATCH(C4044,Produtos!$A$2:$A$71,0)),"")</f>
        <v/>
      </c>
      <c r="O4044" s="21">
        <f>IFERROR(INDEX(Produtos!$C$2:$C$71,MATCH(C4044,Produtos!$A$2:$A$71,0)),"")</f>
        <v/>
      </c>
      <c r="P4044" s="21">
        <f>IFERROR(INDEX(Produtos!$D$2:$D$71,MATCH(C4044,Produtos!$A$2:$A$71,0)),0)</f>
        <v/>
      </c>
      <c r="Q4044" s="21">
        <f>IFERROR(INDEX(Produtos!$E$2:$E$71,MATCH(C4044,Produtos!$A$2:$A$71,0)),0)</f>
        <v/>
      </c>
      <c r="R4044" s="23">
        <f>D4044*Q4044</f>
        <v/>
      </c>
      <c r="S4044" s="23">
        <f>R4044*E4044</f>
        <v/>
      </c>
      <c r="T4044" s="23">
        <f>(R4044-S4044)*M4044</f>
        <v/>
      </c>
      <c r="U4044" s="23">
        <f>R4044-S4044-T4044</f>
        <v/>
      </c>
      <c r="V4044" s="23">
        <f>D4044*P4044</f>
        <v/>
      </c>
      <c r="W4044" s="23">
        <f>U4044-V4044</f>
        <v/>
      </c>
      <c r="X4044" s="24">
        <f>IFERROR(W4044/U4044,0)</f>
        <v/>
      </c>
    </row>
    <row r="4045">
      <c r="A4045" s="25">
        <f>ItensPedido!A4045</f>
        <v/>
      </c>
      <c r="B4045" s="25">
        <f>ItensPedido!B4045</f>
        <v/>
      </c>
      <c r="C4045" s="25">
        <f>ItensPedido!C4045</f>
        <v/>
      </c>
      <c r="D4045" s="25">
        <f>ItensPedido!D4045</f>
        <v/>
      </c>
      <c r="E4045" s="26">
        <f>ItensPedido!E4045</f>
        <v/>
      </c>
      <c r="F4045" s="25">
        <f>IFERROR(INDEX(Pedidos!$B$2:$B$1801,MATCH(B4045,Pedidos!$A$2:$A$1801,0)),0)</f>
        <v/>
      </c>
      <c r="G4045" s="25">
        <f>IF(F4045=0,"",YEAR(F4045))</f>
        <v/>
      </c>
      <c r="H4045" s="25">
        <f>IF(F4045=0,"",MONTH(F4045))</f>
        <v/>
      </c>
      <c r="I4045" s="25">
        <f>IFERROR(INDEX(Pedidos!$E$2:$E$1801,MATCH(B4045,Pedidos!$A$2:$A$1801,0)),"")</f>
        <v/>
      </c>
      <c r="J4045" s="25">
        <f>IFERROR(INDEX(Pedidos!$C$2:$C$1801,MATCH(B4045,Pedidos!$A$2:$A$1801,0)),"")</f>
        <v/>
      </c>
      <c r="K4045" s="25">
        <f>IFERROR(INDEX(Pedidos!$D$2:$D$1801,MATCH(B4045,Pedidos!$A$2:$A$1801,0)),"")</f>
        <v/>
      </c>
      <c r="L4045" s="25">
        <f>IFERROR(INDEX(Pedidos!$F$2:$F$1801,MATCH(B4045,Pedidos!$A$2:$A$1801,0)),"")</f>
        <v/>
      </c>
      <c r="M4045" s="26">
        <f>IFERROR(INDEX(Pedidos!$G$2:$G$1801,MATCH(B4045,Pedidos!$A$2:$A$1801,0)),0)</f>
        <v/>
      </c>
      <c r="N4045" s="25">
        <f>IFERROR(INDEX(Produtos!$B$2:$B$71,MATCH(C4045,Produtos!$A$2:$A$71,0)),"")</f>
        <v/>
      </c>
      <c r="O4045" s="25">
        <f>IFERROR(INDEX(Produtos!$C$2:$C$71,MATCH(C4045,Produtos!$A$2:$A$71,0)),"")</f>
        <v/>
      </c>
      <c r="P4045" s="25">
        <f>IFERROR(INDEX(Produtos!$D$2:$D$71,MATCH(C4045,Produtos!$A$2:$A$71,0)),0)</f>
        <v/>
      </c>
      <c r="Q4045" s="25">
        <f>IFERROR(INDEX(Produtos!$E$2:$E$71,MATCH(C4045,Produtos!$A$2:$A$71,0)),0)</f>
        <v/>
      </c>
      <c r="R4045" s="27">
        <f>D4045*Q4045</f>
        <v/>
      </c>
      <c r="S4045" s="27">
        <f>R4045*E4045</f>
        <v/>
      </c>
      <c r="T4045" s="27">
        <f>(R4045-S4045)*M4045</f>
        <v/>
      </c>
      <c r="U4045" s="27">
        <f>R4045-S4045-T4045</f>
        <v/>
      </c>
      <c r="V4045" s="27">
        <f>D4045*P4045</f>
        <v/>
      </c>
      <c r="W4045" s="27">
        <f>U4045-V4045</f>
        <v/>
      </c>
      <c r="X4045" s="28">
        <f>IFERROR(W4045/U4045,0)</f>
        <v/>
      </c>
    </row>
    <row r="4046">
      <c r="A4046" s="21">
        <f>ItensPedido!A4046</f>
        <v/>
      </c>
      <c r="B4046" s="21">
        <f>ItensPedido!B4046</f>
        <v/>
      </c>
      <c r="C4046" s="21">
        <f>ItensPedido!C4046</f>
        <v/>
      </c>
      <c r="D4046" s="21">
        <f>ItensPedido!D4046</f>
        <v/>
      </c>
      <c r="E4046" s="22">
        <f>ItensPedido!E4046</f>
        <v/>
      </c>
      <c r="F4046" s="21">
        <f>IFERROR(INDEX(Pedidos!$B$2:$B$1801,MATCH(B4046,Pedidos!$A$2:$A$1801,0)),0)</f>
        <v/>
      </c>
      <c r="G4046" s="21">
        <f>IF(F4046=0,"",YEAR(F4046))</f>
        <v/>
      </c>
      <c r="H4046" s="21">
        <f>IF(F4046=0,"",MONTH(F4046))</f>
        <v/>
      </c>
      <c r="I4046" s="21">
        <f>IFERROR(INDEX(Pedidos!$E$2:$E$1801,MATCH(B4046,Pedidos!$A$2:$A$1801,0)),"")</f>
        <v/>
      </c>
      <c r="J4046" s="21">
        <f>IFERROR(INDEX(Pedidos!$C$2:$C$1801,MATCH(B4046,Pedidos!$A$2:$A$1801,0)),"")</f>
        <v/>
      </c>
      <c r="K4046" s="21">
        <f>IFERROR(INDEX(Pedidos!$D$2:$D$1801,MATCH(B4046,Pedidos!$A$2:$A$1801,0)),"")</f>
        <v/>
      </c>
      <c r="L4046" s="21">
        <f>IFERROR(INDEX(Pedidos!$F$2:$F$1801,MATCH(B4046,Pedidos!$A$2:$A$1801,0)),"")</f>
        <v/>
      </c>
      <c r="M4046" s="22">
        <f>IFERROR(INDEX(Pedidos!$G$2:$G$1801,MATCH(B4046,Pedidos!$A$2:$A$1801,0)),0)</f>
        <v/>
      </c>
      <c r="N4046" s="21">
        <f>IFERROR(INDEX(Produtos!$B$2:$B$71,MATCH(C4046,Produtos!$A$2:$A$71,0)),"")</f>
        <v/>
      </c>
      <c r="O4046" s="21">
        <f>IFERROR(INDEX(Produtos!$C$2:$C$71,MATCH(C4046,Produtos!$A$2:$A$71,0)),"")</f>
        <v/>
      </c>
      <c r="P4046" s="21">
        <f>IFERROR(INDEX(Produtos!$D$2:$D$71,MATCH(C4046,Produtos!$A$2:$A$71,0)),0)</f>
        <v/>
      </c>
      <c r="Q4046" s="21">
        <f>IFERROR(INDEX(Produtos!$E$2:$E$71,MATCH(C4046,Produtos!$A$2:$A$71,0)),0)</f>
        <v/>
      </c>
      <c r="R4046" s="23">
        <f>D4046*Q4046</f>
        <v/>
      </c>
      <c r="S4046" s="23">
        <f>R4046*E4046</f>
        <v/>
      </c>
      <c r="T4046" s="23">
        <f>(R4046-S4046)*M4046</f>
        <v/>
      </c>
      <c r="U4046" s="23">
        <f>R4046-S4046-T4046</f>
        <v/>
      </c>
      <c r="V4046" s="23">
        <f>D4046*P4046</f>
        <v/>
      </c>
      <c r="W4046" s="23">
        <f>U4046-V4046</f>
        <v/>
      </c>
      <c r="X4046" s="24">
        <f>IFERROR(W4046/U4046,0)</f>
        <v/>
      </c>
    </row>
    <row r="4047">
      <c r="A4047" s="25">
        <f>ItensPedido!A4047</f>
        <v/>
      </c>
      <c r="B4047" s="25">
        <f>ItensPedido!B4047</f>
        <v/>
      </c>
      <c r="C4047" s="25">
        <f>ItensPedido!C4047</f>
        <v/>
      </c>
      <c r="D4047" s="25">
        <f>ItensPedido!D4047</f>
        <v/>
      </c>
      <c r="E4047" s="26">
        <f>ItensPedido!E4047</f>
        <v/>
      </c>
      <c r="F4047" s="25">
        <f>IFERROR(INDEX(Pedidos!$B$2:$B$1801,MATCH(B4047,Pedidos!$A$2:$A$1801,0)),0)</f>
        <v/>
      </c>
      <c r="G4047" s="25">
        <f>IF(F4047=0,"",YEAR(F4047))</f>
        <v/>
      </c>
      <c r="H4047" s="25">
        <f>IF(F4047=0,"",MONTH(F4047))</f>
        <v/>
      </c>
      <c r="I4047" s="25">
        <f>IFERROR(INDEX(Pedidos!$E$2:$E$1801,MATCH(B4047,Pedidos!$A$2:$A$1801,0)),"")</f>
        <v/>
      </c>
      <c r="J4047" s="25">
        <f>IFERROR(INDEX(Pedidos!$C$2:$C$1801,MATCH(B4047,Pedidos!$A$2:$A$1801,0)),"")</f>
        <v/>
      </c>
      <c r="K4047" s="25">
        <f>IFERROR(INDEX(Pedidos!$D$2:$D$1801,MATCH(B4047,Pedidos!$A$2:$A$1801,0)),"")</f>
        <v/>
      </c>
      <c r="L4047" s="25">
        <f>IFERROR(INDEX(Pedidos!$F$2:$F$1801,MATCH(B4047,Pedidos!$A$2:$A$1801,0)),"")</f>
        <v/>
      </c>
      <c r="M4047" s="26">
        <f>IFERROR(INDEX(Pedidos!$G$2:$G$1801,MATCH(B4047,Pedidos!$A$2:$A$1801,0)),0)</f>
        <v/>
      </c>
      <c r="N4047" s="25">
        <f>IFERROR(INDEX(Produtos!$B$2:$B$71,MATCH(C4047,Produtos!$A$2:$A$71,0)),"")</f>
        <v/>
      </c>
      <c r="O4047" s="25">
        <f>IFERROR(INDEX(Produtos!$C$2:$C$71,MATCH(C4047,Produtos!$A$2:$A$71,0)),"")</f>
        <v/>
      </c>
      <c r="P4047" s="25">
        <f>IFERROR(INDEX(Produtos!$D$2:$D$71,MATCH(C4047,Produtos!$A$2:$A$71,0)),0)</f>
        <v/>
      </c>
      <c r="Q4047" s="25">
        <f>IFERROR(INDEX(Produtos!$E$2:$E$71,MATCH(C4047,Produtos!$A$2:$A$71,0)),0)</f>
        <v/>
      </c>
      <c r="R4047" s="27">
        <f>D4047*Q4047</f>
        <v/>
      </c>
      <c r="S4047" s="27">
        <f>R4047*E4047</f>
        <v/>
      </c>
      <c r="T4047" s="27">
        <f>(R4047-S4047)*M4047</f>
        <v/>
      </c>
      <c r="U4047" s="27">
        <f>R4047-S4047-T4047</f>
        <v/>
      </c>
      <c r="V4047" s="27">
        <f>D4047*P4047</f>
        <v/>
      </c>
      <c r="W4047" s="27">
        <f>U4047-V4047</f>
        <v/>
      </c>
      <c r="X4047" s="28">
        <f>IFERROR(W4047/U4047,0)</f>
        <v/>
      </c>
    </row>
    <row r="4048">
      <c r="A4048" s="21">
        <f>ItensPedido!A4048</f>
        <v/>
      </c>
      <c r="B4048" s="21">
        <f>ItensPedido!B4048</f>
        <v/>
      </c>
      <c r="C4048" s="21">
        <f>ItensPedido!C4048</f>
        <v/>
      </c>
      <c r="D4048" s="21">
        <f>ItensPedido!D4048</f>
        <v/>
      </c>
      <c r="E4048" s="22">
        <f>ItensPedido!E4048</f>
        <v/>
      </c>
      <c r="F4048" s="21">
        <f>IFERROR(INDEX(Pedidos!$B$2:$B$1801,MATCH(B4048,Pedidos!$A$2:$A$1801,0)),0)</f>
        <v/>
      </c>
      <c r="G4048" s="21">
        <f>IF(F4048=0,"",YEAR(F4048))</f>
        <v/>
      </c>
      <c r="H4048" s="21">
        <f>IF(F4048=0,"",MONTH(F4048))</f>
        <v/>
      </c>
      <c r="I4048" s="21">
        <f>IFERROR(INDEX(Pedidos!$E$2:$E$1801,MATCH(B4048,Pedidos!$A$2:$A$1801,0)),"")</f>
        <v/>
      </c>
      <c r="J4048" s="21">
        <f>IFERROR(INDEX(Pedidos!$C$2:$C$1801,MATCH(B4048,Pedidos!$A$2:$A$1801,0)),"")</f>
        <v/>
      </c>
      <c r="K4048" s="21">
        <f>IFERROR(INDEX(Pedidos!$D$2:$D$1801,MATCH(B4048,Pedidos!$A$2:$A$1801,0)),"")</f>
        <v/>
      </c>
      <c r="L4048" s="21">
        <f>IFERROR(INDEX(Pedidos!$F$2:$F$1801,MATCH(B4048,Pedidos!$A$2:$A$1801,0)),"")</f>
        <v/>
      </c>
      <c r="M4048" s="22">
        <f>IFERROR(INDEX(Pedidos!$G$2:$G$1801,MATCH(B4048,Pedidos!$A$2:$A$1801,0)),0)</f>
        <v/>
      </c>
      <c r="N4048" s="21">
        <f>IFERROR(INDEX(Produtos!$B$2:$B$71,MATCH(C4048,Produtos!$A$2:$A$71,0)),"")</f>
        <v/>
      </c>
      <c r="O4048" s="21">
        <f>IFERROR(INDEX(Produtos!$C$2:$C$71,MATCH(C4048,Produtos!$A$2:$A$71,0)),"")</f>
        <v/>
      </c>
      <c r="P4048" s="21">
        <f>IFERROR(INDEX(Produtos!$D$2:$D$71,MATCH(C4048,Produtos!$A$2:$A$71,0)),0)</f>
        <v/>
      </c>
      <c r="Q4048" s="21">
        <f>IFERROR(INDEX(Produtos!$E$2:$E$71,MATCH(C4048,Produtos!$A$2:$A$71,0)),0)</f>
        <v/>
      </c>
      <c r="R4048" s="23">
        <f>D4048*Q4048</f>
        <v/>
      </c>
      <c r="S4048" s="23">
        <f>R4048*E4048</f>
        <v/>
      </c>
      <c r="T4048" s="23">
        <f>(R4048-S4048)*M4048</f>
        <v/>
      </c>
      <c r="U4048" s="23">
        <f>R4048-S4048-T4048</f>
        <v/>
      </c>
      <c r="V4048" s="23">
        <f>D4048*P4048</f>
        <v/>
      </c>
      <c r="W4048" s="23">
        <f>U4048-V4048</f>
        <v/>
      </c>
      <c r="X4048" s="24">
        <f>IFERROR(W4048/U4048,0)</f>
        <v/>
      </c>
    </row>
    <row r="4049">
      <c r="A4049" s="25">
        <f>ItensPedido!A4049</f>
        <v/>
      </c>
      <c r="B4049" s="25">
        <f>ItensPedido!B4049</f>
        <v/>
      </c>
      <c r="C4049" s="25">
        <f>ItensPedido!C4049</f>
        <v/>
      </c>
      <c r="D4049" s="25">
        <f>ItensPedido!D4049</f>
        <v/>
      </c>
      <c r="E4049" s="26">
        <f>ItensPedido!E4049</f>
        <v/>
      </c>
      <c r="F4049" s="25">
        <f>IFERROR(INDEX(Pedidos!$B$2:$B$1801,MATCH(B4049,Pedidos!$A$2:$A$1801,0)),0)</f>
        <v/>
      </c>
      <c r="G4049" s="25">
        <f>IF(F4049=0,"",YEAR(F4049))</f>
        <v/>
      </c>
      <c r="H4049" s="25">
        <f>IF(F4049=0,"",MONTH(F4049))</f>
        <v/>
      </c>
      <c r="I4049" s="25">
        <f>IFERROR(INDEX(Pedidos!$E$2:$E$1801,MATCH(B4049,Pedidos!$A$2:$A$1801,0)),"")</f>
        <v/>
      </c>
      <c r="J4049" s="25">
        <f>IFERROR(INDEX(Pedidos!$C$2:$C$1801,MATCH(B4049,Pedidos!$A$2:$A$1801,0)),"")</f>
        <v/>
      </c>
      <c r="K4049" s="25">
        <f>IFERROR(INDEX(Pedidos!$D$2:$D$1801,MATCH(B4049,Pedidos!$A$2:$A$1801,0)),"")</f>
        <v/>
      </c>
      <c r="L4049" s="25">
        <f>IFERROR(INDEX(Pedidos!$F$2:$F$1801,MATCH(B4049,Pedidos!$A$2:$A$1801,0)),"")</f>
        <v/>
      </c>
      <c r="M4049" s="26">
        <f>IFERROR(INDEX(Pedidos!$G$2:$G$1801,MATCH(B4049,Pedidos!$A$2:$A$1801,0)),0)</f>
        <v/>
      </c>
      <c r="N4049" s="25">
        <f>IFERROR(INDEX(Produtos!$B$2:$B$71,MATCH(C4049,Produtos!$A$2:$A$71,0)),"")</f>
        <v/>
      </c>
      <c r="O4049" s="25">
        <f>IFERROR(INDEX(Produtos!$C$2:$C$71,MATCH(C4049,Produtos!$A$2:$A$71,0)),"")</f>
        <v/>
      </c>
      <c r="P4049" s="25">
        <f>IFERROR(INDEX(Produtos!$D$2:$D$71,MATCH(C4049,Produtos!$A$2:$A$71,0)),0)</f>
        <v/>
      </c>
      <c r="Q4049" s="25">
        <f>IFERROR(INDEX(Produtos!$E$2:$E$71,MATCH(C4049,Produtos!$A$2:$A$71,0)),0)</f>
        <v/>
      </c>
      <c r="R4049" s="27">
        <f>D4049*Q4049</f>
        <v/>
      </c>
      <c r="S4049" s="27">
        <f>R4049*E4049</f>
        <v/>
      </c>
      <c r="T4049" s="27">
        <f>(R4049-S4049)*M4049</f>
        <v/>
      </c>
      <c r="U4049" s="27">
        <f>R4049-S4049-T4049</f>
        <v/>
      </c>
      <c r="V4049" s="27">
        <f>D4049*P4049</f>
        <v/>
      </c>
      <c r="W4049" s="27">
        <f>U4049-V4049</f>
        <v/>
      </c>
      <c r="X4049" s="28">
        <f>IFERROR(W4049/U4049,0)</f>
        <v/>
      </c>
    </row>
    <row r="4050">
      <c r="A4050" s="21">
        <f>ItensPedido!A4050</f>
        <v/>
      </c>
      <c r="B4050" s="21">
        <f>ItensPedido!B4050</f>
        <v/>
      </c>
      <c r="C4050" s="21">
        <f>ItensPedido!C4050</f>
        <v/>
      </c>
      <c r="D4050" s="21">
        <f>ItensPedido!D4050</f>
        <v/>
      </c>
      <c r="E4050" s="22">
        <f>ItensPedido!E4050</f>
        <v/>
      </c>
      <c r="F4050" s="21">
        <f>IFERROR(INDEX(Pedidos!$B$2:$B$1801,MATCH(B4050,Pedidos!$A$2:$A$1801,0)),0)</f>
        <v/>
      </c>
      <c r="G4050" s="21">
        <f>IF(F4050=0,"",YEAR(F4050))</f>
        <v/>
      </c>
      <c r="H4050" s="21">
        <f>IF(F4050=0,"",MONTH(F4050))</f>
        <v/>
      </c>
      <c r="I4050" s="21">
        <f>IFERROR(INDEX(Pedidos!$E$2:$E$1801,MATCH(B4050,Pedidos!$A$2:$A$1801,0)),"")</f>
        <v/>
      </c>
      <c r="J4050" s="21">
        <f>IFERROR(INDEX(Pedidos!$C$2:$C$1801,MATCH(B4050,Pedidos!$A$2:$A$1801,0)),"")</f>
        <v/>
      </c>
      <c r="K4050" s="21">
        <f>IFERROR(INDEX(Pedidos!$D$2:$D$1801,MATCH(B4050,Pedidos!$A$2:$A$1801,0)),"")</f>
        <v/>
      </c>
      <c r="L4050" s="21">
        <f>IFERROR(INDEX(Pedidos!$F$2:$F$1801,MATCH(B4050,Pedidos!$A$2:$A$1801,0)),"")</f>
        <v/>
      </c>
      <c r="M4050" s="22">
        <f>IFERROR(INDEX(Pedidos!$G$2:$G$1801,MATCH(B4050,Pedidos!$A$2:$A$1801,0)),0)</f>
        <v/>
      </c>
      <c r="N4050" s="21">
        <f>IFERROR(INDEX(Produtos!$B$2:$B$71,MATCH(C4050,Produtos!$A$2:$A$71,0)),"")</f>
        <v/>
      </c>
      <c r="O4050" s="21">
        <f>IFERROR(INDEX(Produtos!$C$2:$C$71,MATCH(C4050,Produtos!$A$2:$A$71,0)),"")</f>
        <v/>
      </c>
      <c r="P4050" s="21">
        <f>IFERROR(INDEX(Produtos!$D$2:$D$71,MATCH(C4050,Produtos!$A$2:$A$71,0)),0)</f>
        <v/>
      </c>
      <c r="Q4050" s="21">
        <f>IFERROR(INDEX(Produtos!$E$2:$E$71,MATCH(C4050,Produtos!$A$2:$A$71,0)),0)</f>
        <v/>
      </c>
      <c r="R4050" s="23">
        <f>D4050*Q4050</f>
        <v/>
      </c>
      <c r="S4050" s="23">
        <f>R4050*E4050</f>
        <v/>
      </c>
      <c r="T4050" s="23">
        <f>(R4050-S4050)*M4050</f>
        <v/>
      </c>
      <c r="U4050" s="23">
        <f>R4050-S4050-T4050</f>
        <v/>
      </c>
      <c r="V4050" s="23">
        <f>D4050*P4050</f>
        <v/>
      </c>
      <c r="W4050" s="23">
        <f>U4050-V4050</f>
        <v/>
      </c>
      <c r="X4050" s="24">
        <f>IFERROR(W4050/U4050,0)</f>
        <v/>
      </c>
    </row>
    <row r="4051">
      <c r="A4051" s="25">
        <f>ItensPedido!A4051</f>
        <v/>
      </c>
      <c r="B4051" s="25">
        <f>ItensPedido!B4051</f>
        <v/>
      </c>
      <c r="C4051" s="25">
        <f>ItensPedido!C4051</f>
        <v/>
      </c>
      <c r="D4051" s="25">
        <f>ItensPedido!D4051</f>
        <v/>
      </c>
      <c r="E4051" s="26">
        <f>ItensPedido!E4051</f>
        <v/>
      </c>
      <c r="F4051" s="25">
        <f>IFERROR(INDEX(Pedidos!$B$2:$B$1801,MATCH(B4051,Pedidos!$A$2:$A$1801,0)),0)</f>
        <v/>
      </c>
      <c r="G4051" s="25">
        <f>IF(F4051=0,"",YEAR(F4051))</f>
        <v/>
      </c>
      <c r="H4051" s="25">
        <f>IF(F4051=0,"",MONTH(F4051))</f>
        <v/>
      </c>
      <c r="I4051" s="25">
        <f>IFERROR(INDEX(Pedidos!$E$2:$E$1801,MATCH(B4051,Pedidos!$A$2:$A$1801,0)),"")</f>
        <v/>
      </c>
      <c r="J4051" s="25">
        <f>IFERROR(INDEX(Pedidos!$C$2:$C$1801,MATCH(B4051,Pedidos!$A$2:$A$1801,0)),"")</f>
        <v/>
      </c>
      <c r="K4051" s="25">
        <f>IFERROR(INDEX(Pedidos!$D$2:$D$1801,MATCH(B4051,Pedidos!$A$2:$A$1801,0)),"")</f>
        <v/>
      </c>
      <c r="L4051" s="25">
        <f>IFERROR(INDEX(Pedidos!$F$2:$F$1801,MATCH(B4051,Pedidos!$A$2:$A$1801,0)),"")</f>
        <v/>
      </c>
      <c r="M4051" s="26">
        <f>IFERROR(INDEX(Pedidos!$G$2:$G$1801,MATCH(B4051,Pedidos!$A$2:$A$1801,0)),0)</f>
        <v/>
      </c>
      <c r="N4051" s="25">
        <f>IFERROR(INDEX(Produtos!$B$2:$B$71,MATCH(C4051,Produtos!$A$2:$A$71,0)),"")</f>
        <v/>
      </c>
      <c r="O4051" s="25">
        <f>IFERROR(INDEX(Produtos!$C$2:$C$71,MATCH(C4051,Produtos!$A$2:$A$71,0)),"")</f>
        <v/>
      </c>
      <c r="P4051" s="25">
        <f>IFERROR(INDEX(Produtos!$D$2:$D$71,MATCH(C4051,Produtos!$A$2:$A$71,0)),0)</f>
        <v/>
      </c>
      <c r="Q4051" s="25">
        <f>IFERROR(INDEX(Produtos!$E$2:$E$71,MATCH(C4051,Produtos!$A$2:$A$71,0)),0)</f>
        <v/>
      </c>
      <c r="R4051" s="27">
        <f>D4051*Q4051</f>
        <v/>
      </c>
      <c r="S4051" s="27">
        <f>R4051*E4051</f>
        <v/>
      </c>
      <c r="T4051" s="27">
        <f>(R4051-S4051)*M4051</f>
        <v/>
      </c>
      <c r="U4051" s="27">
        <f>R4051-S4051-T4051</f>
        <v/>
      </c>
      <c r="V4051" s="27">
        <f>D4051*P4051</f>
        <v/>
      </c>
      <c r="W4051" s="27">
        <f>U4051-V4051</f>
        <v/>
      </c>
      <c r="X4051" s="28">
        <f>IFERROR(W4051/U4051,0)</f>
        <v/>
      </c>
    </row>
    <row r="4052">
      <c r="A4052" s="21">
        <f>ItensPedido!A4052</f>
        <v/>
      </c>
      <c r="B4052" s="21">
        <f>ItensPedido!B4052</f>
        <v/>
      </c>
      <c r="C4052" s="21">
        <f>ItensPedido!C4052</f>
        <v/>
      </c>
      <c r="D4052" s="21">
        <f>ItensPedido!D4052</f>
        <v/>
      </c>
      <c r="E4052" s="22">
        <f>ItensPedido!E4052</f>
        <v/>
      </c>
      <c r="F4052" s="21">
        <f>IFERROR(INDEX(Pedidos!$B$2:$B$1801,MATCH(B4052,Pedidos!$A$2:$A$1801,0)),0)</f>
        <v/>
      </c>
      <c r="G4052" s="21">
        <f>IF(F4052=0,"",YEAR(F4052))</f>
        <v/>
      </c>
      <c r="H4052" s="21">
        <f>IF(F4052=0,"",MONTH(F4052))</f>
        <v/>
      </c>
      <c r="I4052" s="21">
        <f>IFERROR(INDEX(Pedidos!$E$2:$E$1801,MATCH(B4052,Pedidos!$A$2:$A$1801,0)),"")</f>
        <v/>
      </c>
      <c r="J4052" s="21">
        <f>IFERROR(INDEX(Pedidos!$C$2:$C$1801,MATCH(B4052,Pedidos!$A$2:$A$1801,0)),"")</f>
        <v/>
      </c>
      <c r="K4052" s="21">
        <f>IFERROR(INDEX(Pedidos!$D$2:$D$1801,MATCH(B4052,Pedidos!$A$2:$A$1801,0)),"")</f>
        <v/>
      </c>
      <c r="L4052" s="21">
        <f>IFERROR(INDEX(Pedidos!$F$2:$F$1801,MATCH(B4052,Pedidos!$A$2:$A$1801,0)),"")</f>
        <v/>
      </c>
      <c r="M4052" s="22">
        <f>IFERROR(INDEX(Pedidos!$G$2:$G$1801,MATCH(B4052,Pedidos!$A$2:$A$1801,0)),0)</f>
        <v/>
      </c>
      <c r="N4052" s="21">
        <f>IFERROR(INDEX(Produtos!$B$2:$B$71,MATCH(C4052,Produtos!$A$2:$A$71,0)),"")</f>
        <v/>
      </c>
      <c r="O4052" s="21">
        <f>IFERROR(INDEX(Produtos!$C$2:$C$71,MATCH(C4052,Produtos!$A$2:$A$71,0)),"")</f>
        <v/>
      </c>
      <c r="P4052" s="21">
        <f>IFERROR(INDEX(Produtos!$D$2:$D$71,MATCH(C4052,Produtos!$A$2:$A$71,0)),0)</f>
        <v/>
      </c>
      <c r="Q4052" s="21">
        <f>IFERROR(INDEX(Produtos!$E$2:$E$71,MATCH(C4052,Produtos!$A$2:$A$71,0)),0)</f>
        <v/>
      </c>
      <c r="R4052" s="23">
        <f>D4052*Q4052</f>
        <v/>
      </c>
      <c r="S4052" s="23">
        <f>R4052*E4052</f>
        <v/>
      </c>
      <c r="T4052" s="23">
        <f>(R4052-S4052)*M4052</f>
        <v/>
      </c>
      <c r="U4052" s="23">
        <f>R4052-S4052-T4052</f>
        <v/>
      </c>
      <c r="V4052" s="23">
        <f>D4052*P4052</f>
        <v/>
      </c>
      <c r="W4052" s="23">
        <f>U4052-V4052</f>
        <v/>
      </c>
      <c r="X4052" s="24">
        <f>IFERROR(W4052/U4052,0)</f>
        <v/>
      </c>
    </row>
    <row r="4053">
      <c r="A4053" s="25">
        <f>ItensPedido!A4053</f>
        <v/>
      </c>
      <c r="B4053" s="25">
        <f>ItensPedido!B4053</f>
        <v/>
      </c>
      <c r="C4053" s="25">
        <f>ItensPedido!C4053</f>
        <v/>
      </c>
      <c r="D4053" s="25">
        <f>ItensPedido!D4053</f>
        <v/>
      </c>
      <c r="E4053" s="26">
        <f>ItensPedido!E4053</f>
        <v/>
      </c>
      <c r="F4053" s="25">
        <f>IFERROR(INDEX(Pedidos!$B$2:$B$1801,MATCH(B4053,Pedidos!$A$2:$A$1801,0)),0)</f>
        <v/>
      </c>
      <c r="G4053" s="25">
        <f>IF(F4053=0,"",YEAR(F4053))</f>
        <v/>
      </c>
      <c r="H4053" s="25">
        <f>IF(F4053=0,"",MONTH(F4053))</f>
        <v/>
      </c>
      <c r="I4053" s="25">
        <f>IFERROR(INDEX(Pedidos!$E$2:$E$1801,MATCH(B4053,Pedidos!$A$2:$A$1801,0)),"")</f>
        <v/>
      </c>
      <c r="J4053" s="25">
        <f>IFERROR(INDEX(Pedidos!$C$2:$C$1801,MATCH(B4053,Pedidos!$A$2:$A$1801,0)),"")</f>
        <v/>
      </c>
      <c r="K4053" s="25">
        <f>IFERROR(INDEX(Pedidos!$D$2:$D$1801,MATCH(B4053,Pedidos!$A$2:$A$1801,0)),"")</f>
        <v/>
      </c>
      <c r="L4053" s="25">
        <f>IFERROR(INDEX(Pedidos!$F$2:$F$1801,MATCH(B4053,Pedidos!$A$2:$A$1801,0)),"")</f>
        <v/>
      </c>
      <c r="M4053" s="26">
        <f>IFERROR(INDEX(Pedidos!$G$2:$G$1801,MATCH(B4053,Pedidos!$A$2:$A$1801,0)),0)</f>
        <v/>
      </c>
      <c r="N4053" s="25">
        <f>IFERROR(INDEX(Produtos!$B$2:$B$71,MATCH(C4053,Produtos!$A$2:$A$71,0)),"")</f>
        <v/>
      </c>
      <c r="O4053" s="25">
        <f>IFERROR(INDEX(Produtos!$C$2:$C$71,MATCH(C4053,Produtos!$A$2:$A$71,0)),"")</f>
        <v/>
      </c>
      <c r="P4053" s="25">
        <f>IFERROR(INDEX(Produtos!$D$2:$D$71,MATCH(C4053,Produtos!$A$2:$A$71,0)),0)</f>
        <v/>
      </c>
      <c r="Q4053" s="25">
        <f>IFERROR(INDEX(Produtos!$E$2:$E$71,MATCH(C4053,Produtos!$A$2:$A$71,0)),0)</f>
        <v/>
      </c>
      <c r="R4053" s="27">
        <f>D4053*Q4053</f>
        <v/>
      </c>
      <c r="S4053" s="27">
        <f>R4053*E4053</f>
        <v/>
      </c>
      <c r="T4053" s="27">
        <f>(R4053-S4053)*M4053</f>
        <v/>
      </c>
      <c r="U4053" s="27">
        <f>R4053-S4053-T4053</f>
        <v/>
      </c>
      <c r="V4053" s="27">
        <f>D4053*P4053</f>
        <v/>
      </c>
      <c r="W4053" s="27">
        <f>U4053-V4053</f>
        <v/>
      </c>
      <c r="X4053" s="28">
        <f>IFERROR(W4053/U4053,0)</f>
        <v/>
      </c>
    </row>
    <row r="4054">
      <c r="A4054" s="21">
        <f>ItensPedido!A4054</f>
        <v/>
      </c>
      <c r="B4054" s="21">
        <f>ItensPedido!B4054</f>
        <v/>
      </c>
      <c r="C4054" s="21">
        <f>ItensPedido!C4054</f>
        <v/>
      </c>
      <c r="D4054" s="21">
        <f>ItensPedido!D4054</f>
        <v/>
      </c>
      <c r="E4054" s="22">
        <f>ItensPedido!E4054</f>
        <v/>
      </c>
      <c r="F4054" s="21">
        <f>IFERROR(INDEX(Pedidos!$B$2:$B$1801,MATCH(B4054,Pedidos!$A$2:$A$1801,0)),0)</f>
        <v/>
      </c>
      <c r="G4054" s="21">
        <f>IF(F4054=0,"",YEAR(F4054))</f>
        <v/>
      </c>
      <c r="H4054" s="21">
        <f>IF(F4054=0,"",MONTH(F4054))</f>
        <v/>
      </c>
      <c r="I4054" s="21">
        <f>IFERROR(INDEX(Pedidos!$E$2:$E$1801,MATCH(B4054,Pedidos!$A$2:$A$1801,0)),"")</f>
        <v/>
      </c>
      <c r="J4054" s="21">
        <f>IFERROR(INDEX(Pedidos!$C$2:$C$1801,MATCH(B4054,Pedidos!$A$2:$A$1801,0)),"")</f>
        <v/>
      </c>
      <c r="K4054" s="21">
        <f>IFERROR(INDEX(Pedidos!$D$2:$D$1801,MATCH(B4054,Pedidos!$A$2:$A$1801,0)),"")</f>
        <v/>
      </c>
      <c r="L4054" s="21">
        <f>IFERROR(INDEX(Pedidos!$F$2:$F$1801,MATCH(B4054,Pedidos!$A$2:$A$1801,0)),"")</f>
        <v/>
      </c>
      <c r="M4054" s="22">
        <f>IFERROR(INDEX(Pedidos!$G$2:$G$1801,MATCH(B4054,Pedidos!$A$2:$A$1801,0)),0)</f>
        <v/>
      </c>
      <c r="N4054" s="21">
        <f>IFERROR(INDEX(Produtos!$B$2:$B$71,MATCH(C4054,Produtos!$A$2:$A$71,0)),"")</f>
        <v/>
      </c>
      <c r="O4054" s="21">
        <f>IFERROR(INDEX(Produtos!$C$2:$C$71,MATCH(C4054,Produtos!$A$2:$A$71,0)),"")</f>
        <v/>
      </c>
      <c r="P4054" s="21">
        <f>IFERROR(INDEX(Produtos!$D$2:$D$71,MATCH(C4054,Produtos!$A$2:$A$71,0)),0)</f>
        <v/>
      </c>
      <c r="Q4054" s="21">
        <f>IFERROR(INDEX(Produtos!$E$2:$E$71,MATCH(C4054,Produtos!$A$2:$A$71,0)),0)</f>
        <v/>
      </c>
      <c r="R4054" s="23">
        <f>D4054*Q4054</f>
        <v/>
      </c>
      <c r="S4054" s="23">
        <f>R4054*E4054</f>
        <v/>
      </c>
      <c r="T4054" s="23">
        <f>(R4054-S4054)*M4054</f>
        <v/>
      </c>
      <c r="U4054" s="23">
        <f>R4054-S4054-T4054</f>
        <v/>
      </c>
      <c r="V4054" s="23">
        <f>D4054*P4054</f>
        <v/>
      </c>
      <c r="W4054" s="23">
        <f>U4054-V4054</f>
        <v/>
      </c>
      <c r="X4054" s="24">
        <f>IFERROR(W4054/U4054,0)</f>
        <v/>
      </c>
    </row>
    <row r="4055">
      <c r="A4055" s="25">
        <f>ItensPedido!A4055</f>
        <v/>
      </c>
      <c r="B4055" s="25">
        <f>ItensPedido!B4055</f>
        <v/>
      </c>
      <c r="C4055" s="25">
        <f>ItensPedido!C4055</f>
        <v/>
      </c>
      <c r="D4055" s="25">
        <f>ItensPedido!D4055</f>
        <v/>
      </c>
      <c r="E4055" s="26">
        <f>ItensPedido!E4055</f>
        <v/>
      </c>
      <c r="F4055" s="25">
        <f>IFERROR(INDEX(Pedidos!$B$2:$B$1801,MATCH(B4055,Pedidos!$A$2:$A$1801,0)),0)</f>
        <v/>
      </c>
      <c r="G4055" s="25">
        <f>IF(F4055=0,"",YEAR(F4055))</f>
        <v/>
      </c>
      <c r="H4055" s="25">
        <f>IF(F4055=0,"",MONTH(F4055))</f>
        <v/>
      </c>
      <c r="I4055" s="25">
        <f>IFERROR(INDEX(Pedidos!$E$2:$E$1801,MATCH(B4055,Pedidos!$A$2:$A$1801,0)),"")</f>
        <v/>
      </c>
      <c r="J4055" s="25">
        <f>IFERROR(INDEX(Pedidos!$C$2:$C$1801,MATCH(B4055,Pedidos!$A$2:$A$1801,0)),"")</f>
        <v/>
      </c>
      <c r="K4055" s="25">
        <f>IFERROR(INDEX(Pedidos!$D$2:$D$1801,MATCH(B4055,Pedidos!$A$2:$A$1801,0)),"")</f>
        <v/>
      </c>
      <c r="L4055" s="25">
        <f>IFERROR(INDEX(Pedidos!$F$2:$F$1801,MATCH(B4055,Pedidos!$A$2:$A$1801,0)),"")</f>
        <v/>
      </c>
      <c r="M4055" s="26">
        <f>IFERROR(INDEX(Pedidos!$G$2:$G$1801,MATCH(B4055,Pedidos!$A$2:$A$1801,0)),0)</f>
        <v/>
      </c>
      <c r="N4055" s="25">
        <f>IFERROR(INDEX(Produtos!$B$2:$B$71,MATCH(C4055,Produtos!$A$2:$A$71,0)),"")</f>
        <v/>
      </c>
      <c r="O4055" s="25">
        <f>IFERROR(INDEX(Produtos!$C$2:$C$71,MATCH(C4055,Produtos!$A$2:$A$71,0)),"")</f>
        <v/>
      </c>
      <c r="P4055" s="25">
        <f>IFERROR(INDEX(Produtos!$D$2:$D$71,MATCH(C4055,Produtos!$A$2:$A$71,0)),0)</f>
        <v/>
      </c>
      <c r="Q4055" s="25">
        <f>IFERROR(INDEX(Produtos!$E$2:$E$71,MATCH(C4055,Produtos!$A$2:$A$71,0)),0)</f>
        <v/>
      </c>
      <c r="R4055" s="27">
        <f>D4055*Q4055</f>
        <v/>
      </c>
      <c r="S4055" s="27">
        <f>R4055*E4055</f>
        <v/>
      </c>
      <c r="T4055" s="27">
        <f>(R4055-S4055)*M4055</f>
        <v/>
      </c>
      <c r="U4055" s="27">
        <f>R4055-S4055-T4055</f>
        <v/>
      </c>
      <c r="V4055" s="27">
        <f>D4055*P4055</f>
        <v/>
      </c>
      <c r="W4055" s="27">
        <f>U4055-V4055</f>
        <v/>
      </c>
      <c r="X4055" s="28">
        <f>IFERROR(W4055/U4055,0)</f>
        <v/>
      </c>
    </row>
    <row r="4056">
      <c r="A4056" s="21">
        <f>ItensPedido!A4056</f>
        <v/>
      </c>
      <c r="B4056" s="21">
        <f>ItensPedido!B4056</f>
        <v/>
      </c>
      <c r="C4056" s="21">
        <f>ItensPedido!C4056</f>
        <v/>
      </c>
      <c r="D4056" s="21">
        <f>ItensPedido!D4056</f>
        <v/>
      </c>
      <c r="E4056" s="22">
        <f>ItensPedido!E4056</f>
        <v/>
      </c>
      <c r="F4056" s="21">
        <f>IFERROR(INDEX(Pedidos!$B$2:$B$1801,MATCH(B4056,Pedidos!$A$2:$A$1801,0)),0)</f>
        <v/>
      </c>
      <c r="G4056" s="21">
        <f>IF(F4056=0,"",YEAR(F4056))</f>
        <v/>
      </c>
      <c r="H4056" s="21">
        <f>IF(F4056=0,"",MONTH(F4056))</f>
        <v/>
      </c>
      <c r="I4056" s="21">
        <f>IFERROR(INDEX(Pedidos!$E$2:$E$1801,MATCH(B4056,Pedidos!$A$2:$A$1801,0)),"")</f>
        <v/>
      </c>
      <c r="J4056" s="21">
        <f>IFERROR(INDEX(Pedidos!$C$2:$C$1801,MATCH(B4056,Pedidos!$A$2:$A$1801,0)),"")</f>
        <v/>
      </c>
      <c r="K4056" s="21">
        <f>IFERROR(INDEX(Pedidos!$D$2:$D$1801,MATCH(B4056,Pedidos!$A$2:$A$1801,0)),"")</f>
        <v/>
      </c>
      <c r="L4056" s="21">
        <f>IFERROR(INDEX(Pedidos!$F$2:$F$1801,MATCH(B4056,Pedidos!$A$2:$A$1801,0)),"")</f>
        <v/>
      </c>
      <c r="M4056" s="22">
        <f>IFERROR(INDEX(Pedidos!$G$2:$G$1801,MATCH(B4056,Pedidos!$A$2:$A$1801,0)),0)</f>
        <v/>
      </c>
      <c r="N4056" s="21">
        <f>IFERROR(INDEX(Produtos!$B$2:$B$71,MATCH(C4056,Produtos!$A$2:$A$71,0)),"")</f>
        <v/>
      </c>
      <c r="O4056" s="21">
        <f>IFERROR(INDEX(Produtos!$C$2:$C$71,MATCH(C4056,Produtos!$A$2:$A$71,0)),"")</f>
        <v/>
      </c>
      <c r="P4056" s="21">
        <f>IFERROR(INDEX(Produtos!$D$2:$D$71,MATCH(C4056,Produtos!$A$2:$A$71,0)),0)</f>
        <v/>
      </c>
      <c r="Q4056" s="21">
        <f>IFERROR(INDEX(Produtos!$E$2:$E$71,MATCH(C4056,Produtos!$A$2:$A$71,0)),0)</f>
        <v/>
      </c>
      <c r="R4056" s="23">
        <f>D4056*Q4056</f>
        <v/>
      </c>
      <c r="S4056" s="23">
        <f>R4056*E4056</f>
        <v/>
      </c>
      <c r="T4056" s="23">
        <f>(R4056-S4056)*M4056</f>
        <v/>
      </c>
      <c r="U4056" s="23">
        <f>R4056-S4056-T4056</f>
        <v/>
      </c>
      <c r="V4056" s="23">
        <f>D4056*P4056</f>
        <v/>
      </c>
      <c r="W4056" s="23">
        <f>U4056-V4056</f>
        <v/>
      </c>
      <c r="X4056" s="24">
        <f>IFERROR(W4056/U4056,0)</f>
        <v/>
      </c>
    </row>
    <row r="4057">
      <c r="A4057" s="25">
        <f>ItensPedido!A4057</f>
        <v/>
      </c>
      <c r="B4057" s="25">
        <f>ItensPedido!B4057</f>
        <v/>
      </c>
      <c r="C4057" s="25">
        <f>ItensPedido!C4057</f>
        <v/>
      </c>
      <c r="D4057" s="25">
        <f>ItensPedido!D4057</f>
        <v/>
      </c>
      <c r="E4057" s="26">
        <f>ItensPedido!E4057</f>
        <v/>
      </c>
      <c r="F4057" s="25">
        <f>IFERROR(INDEX(Pedidos!$B$2:$B$1801,MATCH(B4057,Pedidos!$A$2:$A$1801,0)),0)</f>
        <v/>
      </c>
      <c r="G4057" s="25">
        <f>IF(F4057=0,"",YEAR(F4057))</f>
        <v/>
      </c>
      <c r="H4057" s="25">
        <f>IF(F4057=0,"",MONTH(F4057))</f>
        <v/>
      </c>
      <c r="I4057" s="25">
        <f>IFERROR(INDEX(Pedidos!$E$2:$E$1801,MATCH(B4057,Pedidos!$A$2:$A$1801,0)),"")</f>
        <v/>
      </c>
      <c r="J4057" s="25">
        <f>IFERROR(INDEX(Pedidos!$C$2:$C$1801,MATCH(B4057,Pedidos!$A$2:$A$1801,0)),"")</f>
        <v/>
      </c>
      <c r="K4057" s="25">
        <f>IFERROR(INDEX(Pedidos!$D$2:$D$1801,MATCH(B4057,Pedidos!$A$2:$A$1801,0)),"")</f>
        <v/>
      </c>
      <c r="L4057" s="25">
        <f>IFERROR(INDEX(Pedidos!$F$2:$F$1801,MATCH(B4057,Pedidos!$A$2:$A$1801,0)),"")</f>
        <v/>
      </c>
      <c r="M4057" s="26">
        <f>IFERROR(INDEX(Pedidos!$G$2:$G$1801,MATCH(B4057,Pedidos!$A$2:$A$1801,0)),0)</f>
        <v/>
      </c>
      <c r="N4057" s="25">
        <f>IFERROR(INDEX(Produtos!$B$2:$B$71,MATCH(C4057,Produtos!$A$2:$A$71,0)),"")</f>
        <v/>
      </c>
      <c r="O4057" s="25">
        <f>IFERROR(INDEX(Produtos!$C$2:$C$71,MATCH(C4057,Produtos!$A$2:$A$71,0)),"")</f>
        <v/>
      </c>
      <c r="P4057" s="25">
        <f>IFERROR(INDEX(Produtos!$D$2:$D$71,MATCH(C4057,Produtos!$A$2:$A$71,0)),0)</f>
        <v/>
      </c>
      <c r="Q4057" s="25">
        <f>IFERROR(INDEX(Produtos!$E$2:$E$71,MATCH(C4057,Produtos!$A$2:$A$71,0)),0)</f>
        <v/>
      </c>
      <c r="R4057" s="27">
        <f>D4057*Q4057</f>
        <v/>
      </c>
      <c r="S4057" s="27">
        <f>R4057*E4057</f>
        <v/>
      </c>
      <c r="T4057" s="27">
        <f>(R4057-S4057)*M4057</f>
        <v/>
      </c>
      <c r="U4057" s="27">
        <f>R4057-S4057-T4057</f>
        <v/>
      </c>
      <c r="V4057" s="27">
        <f>D4057*P4057</f>
        <v/>
      </c>
      <c r="W4057" s="27">
        <f>U4057-V4057</f>
        <v/>
      </c>
      <c r="X4057" s="28">
        <f>IFERROR(W4057/U4057,0)</f>
        <v/>
      </c>
    </row>
    <row r="4058">
      <c r="A4058" s="21">
        <f>ItensPedido!A4058</f>
        <v/>
      </c>
      <c r="B4058" s="21">
        <f>ItensPedido!B4058</f>
        <v/>
      </c>
      <c r="C4058" s="21">
        <f>ItensPedido!C4058</f>
        <v/>
      </c>
      <c r="D4058" s="21">
        <f>ItensPedido!D4058</f>
        <v/>
      </c>
      <c r="E4058" s="22">
        <f>ItensPedido!E4058</f>
        <v/>
      </c>
      <c r="F4058" s="21">
        <f>IFERROR(INDEX(Pedidos!$B$2:$B$1801,MATCH(B4058,Pedidos!$A$2:$A$1801,0)),0)</f>
        <v/>
      </c>
      <c r="G4058" s="21">
        <f>IF(F4058=0,"",YEAR(F4058))</f>
        <v/>
      </c>
      <c r="H4058" s="21">
        <f>IF(F4058=0,"",MONTH(F4058))</f>
        <v/>
      </c>
      <c r="I4058" s="21">
        <f>IFERROR(INDEX(Pedidos!$E$2:$E$1801,MATCH(B4058,Pedidos!$A$2:$A$1801,0)),"")</f>
        <v/>
      </c>
      <c r="J4058" s="21">
        <f>IFERROR(INDEX(Pedidos!$C$2:$C$1801,MATCH(B4058,Pedidos!$A$2:$A$1801,0)),"")</f>
        <v/>
      </c>
      <c r="K4058" s="21">
        <f>IFERROR(INDEX(Pedidos!$D$2:$D$1801,MATCH(B4058,Pedidos!$A$2:$A$1801,0)),"")</f>
        <v/>
      </c>
      <c r="L4058" s="21">
        <f>IFERROR(INDEX(Pedidos!$F$2:$F$1801,MATCH(B4058,Pedidos!$A$2:$A$1801,0)),"")</f>
        <v/>
      </c>
      <c r="M4058" s="22">
        <f>IFERROR(INDEX(Pedidos!$G$2:$G$1801,MATCH(B4058,Pedidos!$A$2:$A$1801,0)),0)</f>
        <v/>
      </c>
      <c r="N4058" s="21">
        <f>IFERROR(INDEX(Produtos!$B$2:$B$71,MATCH(C4058,Produtos!$A$2:$A$71,0)),"")</f>
        <v/>
      </c>
      <c r="O4058" s="21">
        <f>IFERROR(INDEX(Produtos!$C$2:$C$71,MATCH(C4058,Produtos!$A$2:$A$71,0)),"")</f>
        <v/>
      </c>
      <c r="P4058" s="21">
        <f>IFERROR(INDEX(Produtos!$D$2:$D$71,MATCH(C4058,Produtos!$A$2:$A$71,0)),0)</f>
        <v/>
      </c>
      <c r="Q4058" s="21">
        <f>IFERROR(INDEX(Produtos!$E$2:$E$71,MATCH(C4058,Produtos!$A$2:$A$71,0)),0)</f>
        <v/>
      </c>
      <c r="R4058" s="23">
        <f>D4058*Q4058</f>
        <v/>
      </c>
      <c r="S4058" s="23">
        <f>R4058*E4058</f>
        <v/>
      </c>
      <c r="T4058" s="23">
        <f>(R4058-S4058)*M4058</f>
        <v/>
      </c>
      <c r="U4058" s="23">
        <f>R4058-S4058-T4058</f>
        <v/>
      </c>
      <c r="V4058" s="23">
        <f>D4058*P4058</f>
        <v/>
      </c>
      <c r="W4058" s="23">
        <f>U4058-V4058</f>
        <v/>
      </c>
      <c r="X4058" s="24">
        <f>IFERROR(W4058/U4058,0)</f>
        <v/>
      </c>
    </row>
    <row r="4059">
      <c r="A4059" s="25">
        <f>ItensPedido!A4059</f>
        <v/>
      </c>
      <c r="B4059" s="25">
        <f>ItensPedido!B4059</f>
        <v/>
      </c>
      <c r="C4059" s="25">
        <f>ItensPedido!C4059</f>
        <v/>
      </c>
      <c r="D4059" s="25">
        <f>ItensPedido!D4059</f>
        <v/>
      </c>
      <c r="E4059" s="26">
        <f>ItensPedido!E4059</f>
        <v/>
      </c>
      <c r="F4059" s="25">
        <f>IFERROR(INDEX(Pedidos!$B$2:$B$1801,MATCH(B4059,Pedidos!$A$2:$A$1801,0)),0)</f>
        <v/>
      </c>
      <c r="G4059" s="25">
        <f>IF(F4059=0,"",YEAR(F4059))</f>
        <v/>
      </c>
      <c r="H4059" s="25">
        <f>IF(F4059=0,"",MONTH(F4059))</f>
        <v/>
      </c>
      <c r="I4059" s="25">
        <f>IFERROR(INDEX(Pedidos!$E$2:$E$1801,MATCH(B4059,Pedidos!$A$2:$A$1801,0)),"")</f>
        <v/>
      </c>
      <c r="J4059" s="25">
        <f>IFERROR(INDEX(Pedidos!$C$2:$C$1801,MATCH(B4059,Pedidos!$A$2:$A$1801,0)),"")</f>
        <v/>
      </c>
      <c r="K4059" s="25">
        <f>IFERROR(INDEX(Pedidos!$D$2:$D$1801,MATCH(B4059,Pedidos!$A$2:$A$1801,0)),"")</f>
        <v/>
      </c>
      <c r="L4059" s="25">
        <f>IFERROR(INDEX(Pedidos!$F$2:$F$1801,MATCH(B4059,Pedidos!$A$2:$A$1801,0)),"")</f>
        <v/>
      </c>
      <c r="M4059" s="26">
        <f>IFERROR(INDEX(Pedidos!$G$2:$G$1801,MATCH(B4059,Pedidos!$A$2:$A$1801,0)),0)</f>
        <v/>
      </c>
      <c r="N4059" s="25">
        <f>IFERROR(INDEX(Produtos!$B$2:$B$71,MATCH(C4059,Produtos!$A$2:$A$71,0)),"")</f>
        <v/>
      </c>
      <c r="O4059" s="25">
        <f>IFERROR(INDEX(Produtos!$C$2:$C$71,MATCH(C4059,Produtos!$A$2:$A$71,0)),"")</f>
        <v/>
      </c>
      <c r="P4059" s="25">
        <f>IFERROR(INDEX(Produtos!$D$2:$D$71,MATCH(C4059,Produtos!$A$2:$A$71,0)),0)</f>
        <v/>
      </c>
      <c r="Q4059" s="25">
        <f>IFERROR(INDEX(Produtos!$E$2:$E$71,MATCH(C4059,Produtos!$A$2:$A$71,0)),0)</f>
        <v/>
      </c>
      <c r="R4059" s="27">
        <f>D4059*Q4059</f>
        <v/>
      </c>
      <c r="S4059" s="27">
        <f>R4059*E4059</f>
        <v/>
      </c>
      <c r="T4059" s="27">
        <f>(R4059-S4059)*M4059</f>
        <v/>
      </c>
      <c r="U4059" s="27">
        <f>R4059-S4059-T4059</f>
        <v/>
      </c>
      <c r="V4059" s="27">
        <f>D4059*P4059</f>
        <v/>
      </c>
      <c r="W4059" s="27">
        <f>U4059-V4059</f>
        <v/>
      </c>
      <c r="X4059" s="28">
        <f>IFERROR(W4059/U4059,0)</f>
        <v/>
      </c>
    </row>
    <row r="4060">
      <c r="A4060" s="21">
        <f>ItensPedido!A4060</f>
        <v/>
      </c>
      <c r="B4060" s="21">
        <f>ItensPedido!B4060</f>
        <v/>
      </c>
      <c r="C4060" s="21">
        <f>ItensPedido!C4060</f>
        <v/>
      </c>
      <c r="D4060" s="21">
        <f>ItensPedido!D4060</f>
        <v/>
      </c>
      <c r="E4060" s="22">
        <f>ItensPedido!E4060</f>
        <v/>
      </c>
      <c r="F4060" s="21">
        <f>IFERROR(INDEX(Pedidos!$B$2:$B$1801,MATCH(B4060,Pedidos!$A$2:$A$1801,0)),0)</f>
        <v/>
      </c>
      <c r="G4060" s="21">
        <f>IF(F4060=0,"",YEAR(F4060))</f>
        <v/>
      </c>
      <c r="H4060" s="21">
        <f>IF(F4060=0,"",MONTH(F4060))</f>
        <v/>
      </c>
      <c r="I4060" s="21">
        <f>IFERROR(INDEX(Pedidos!$E$2:$E$1801,MATCH(B4060,Pedidos!$A$2:$A$1801,0)),"")</f>
        <v/>
      </c>
      <c r="J4060" s="21">
        <f>IFERROR(INDEX(Pedidos!$C$2:$C$1801,MATCH(B4060,Pedidos!$A$2:$A$1801,0)),"")</f>
        <v/>
      </c>
      <c r="K4060" s="21">
        <f>IFERROR(INDEX(Pedidos!$D$2:$D$1801,MATCH(B4060,Pedidos!$A$2:$A$1801,0)),"")</f>
        <v/>
      </c>
      <c r="L4060" s="21">
        <f>IFERROR(INDEX(Pedidos!$F$2:$F$1801,MATCH(B4060,Pedidos!$A$2:$A$1801,0)),"")</f>
        <v/>
      </c>
      <c r="M4060" s="22">
        <f>IFERROR(INDEX(Pedidos!$G$2:$G$1801,MATCH(B4060,Pedidos!$A$2:$A$1801,0)),0)</f>
        <v/>
      </c>
      <c r="N4060" s="21">
        <f>IFERROR(INDEX(Produtos!$B$2:$B$71,MATCH(C4060,Produtos!$A$2:$A$71,0)),"")</f>
        <v/>
      </c>
      <c r="O4060" s="21">
        <f>IFERROR(INDEX(Produtos!$C$2:$C$71,MATCH(C4060,Produtos!$A$2:$A$71,0)),"")</f>
        <v/>
      </c>
      <c r="P4060" s="21">
        <f>IFERROR(INDEX(Produtos!$D$2:$D$71,MATCH(C4060,Produtos!$A$2:$A$71,0)),0)</f>
        <v/>
      </c>
      <c r="Q4060" s="21">
        <f>IFERROR(INDEX(Produtos!$E$2:$E$71,MATCH(C4060,Produtos!$A$2:$A$71,0)),0)</f>
        <v/>
      </c>
      <c r="R4060" s="23">
        <f>D4060*Q4060</f>
        <v/>
      </c>
      <c r="S4060" s="23">
        <f>R4060*E4060</f>
        <v/>
      </c>
      <c r="T4060" s="23">
        <f>(R4060-S4060)*M4060</f>
        <v/>
      </c>
      <c r="U4060" s="23">
        <f>R4060-S4060-T4060</f>
        <v/>
      </c>
      <c r="V4060" s="23">
        <f>D4060*P4060</f>
        <v/>
      </c>
      <c r="W4060" s="23">
        <f>U4060-V4060</f>
        <v/>
      </c>
      <c r="X4060" s="24">
        <f>IFERROR(W4060/U4060,0)</f>
        <v/>
      </c>
    </row>
    <row r="4061">
      <c r="A4061" s="25">
        <f>ItensPedido!A4061</f>
        <v/>
      </c>
      <c r="B4061" s="25">
        <f>ItensPedido!B4061</f>
        <v/>
      </c>
      <c r="C4061" s="25">
        <f>ItensPedido!C4061</f>
        <v/>
      </c>
      <c r="D4061" s="25">
        <f>ItensPedido!D4061</f>
        <v/>
      </c>
      <c r="E4061" s="26">
        <f>ItensPedido!E4061</f>
        <v/>
      </c>
      <c r="F4061" s="25">
        <f>IFERROR(INDEX(Pedidos!$B$2:$B$1801,MATCH(B4061,Pedidos!$A$2:$A$1801,0)),0)</f>
        <v/>
      </c>
      <c r="G4061" s="25">
        <f>IF(F4061=0,"",YEAR(F4061))</f>
        <v/>
      </c>
      <c r="H4061" s="25">
        <f>IF(F4061=0,"",MONTH(F4061))</f>
        <v/>
      </c>
      <c r="I4061" s="25">
        <f>IFERROR(INDEX(Pedidos!$E$2:$E$1801,MATCH(B4061,Pedidos!$A$2:$A$1801,0)),"")</f>
        <v/>
      </c>
      <c r="J4061" s="25">
        <f>IFERROR(INDEX(Pedidos!$C$2:$C$1801,MATCH(B4061,Pedidos!$A$2:$A$1801,0)),"")</f>
        <v/>
      </c>
      <c r="K4061" s="25">
        <f>IFERROR(INDEX(Pedidos!$D$2:$D$1801,MATCH(B4061,Pedidos!$A$2:$A$1801,0)),"")</f>
        <v/>
      </c>
      <c r="L4061" s="25">
        <f>IFERROR(INDEX(Pedidos!$F$2:$F$1801,MATCH(B4061,Pedidos!$A$2:$A$1801,0)),"")</f>
        <v/>
      </c>
      <c r="M4061" s="26">
        <f>IFERROR(INDEX(Pedidos!$G$2:$G$1801,MATCH(B4061,Pedidos!$A$2:$A$1801,0)),0)</f>
        <v/>
      </c>
      <c r="N4061" s="25">
        <f>IFERROR(INDEX(Produtos!$B$2:$B$71,MATCH(C4061,Produtos!$A$2:$A$71,0)),"")</f>
        <v/>
      </c>
      <c r="O4061" s="25">
        <f>IFERROR(INDEX(Produtos!$C$2:$C$71,MATCH(C4061,Produtos!$A$2:$A$71,0)),"")</f>
        <v/>
      </c>
      <c r="P4061" s="25">
        <f>IFERROR(INDEX(Produtos!$D$2:$D$71,MATCH(C4061,Produtos!$A$2:$A$71,0)),0)</f>
        <v/>
      </c>
      <c r="Q4061" s="25">
        <f>IFERROR(INDEX(Produtos!$E$2:$E$71,MATCH(C4061,Produtos!$A$2:$A$71,0)),0)</f>
        <v/>
      </c>
      <c r="R4061" s="27">
        <f>D4061*Q4061</f>
        <v/>
      </c>
      <c r="S4061" s="27">
        <f>R4061*E4061</f>
        <v/>
      </c>
      <c r="T4061" s="27">
        <f>(R4061-S4061)*M4061</f>
        <v/>
      </c>
      <c r="U4061" s="27">
        <f>R4061-S4061-T4061</f>
        <v/>
      </c>
      <c r="V4061" s="27">
        <f>D4061*P4061</f>
        <v/>
      </c>
      <c r="W4061" s="27">
        <f>U4061-V4061</f>
        <v/>
      </c>
      <c r="X4061" s="28">
        <f>IFERROR(W4061/U4061,0)</f>
        <v/>
      </c>
    </row>
    <row r="4062">
      <c r="A4062" s="21">
        <f>ItensPedido!A4062</f>
        <v/>
      </c>
      <c r="B4062" s="21">
        <f>ItensPedido!B4062</f>
        <v/>
      </c>
      <c r="C4062" s="21">
        <f>ItensPedido!C4062</f>
        <v/>
      </c>
      <c r="D4062" s="21">
        <f>ItensPedido!D4062</f>
        <v/>
      </c>
      <c r="E4062" s="22">
        <f>ItensPedido!E4062</f>
        <v/>
      </c>
      <c r="F4062" s="21">
        <f>IFERROR(INDEX(Pedidos!$B$2:$B$1801,MATCH(B4062,Pedidos!$A$2:$A$1801,0)),0)</f>
        <v/>
      </c>
      <c r="G4062" s="21">
        <f>IF(F4062=0,"",YEAR(F4062))</f>
        <v/>
      </c>
      <c r="H4062" s="21">
        <f>IF(F4062=0,"",MONTH(F4062))</f>
        <v/>
      </c>
      <c r="I4062" s="21">
        <f>IFERROR(INDEX(Pedidos!$E$2:$E$1801,MATCH(B4062,Pedidos!$A$2:$A$1801,0)),"")</f>
        <v/>
      </c>
      <c r="J4062" s="21">
        <f>IFERROR(INDEX(Pedidos!$C$2:$C$1801,MATCH(B4062,Pedidos!$A$2:$A$1801,0)),"")</f>
        <v/>
      </c>
      <c r="K4062" s="21">
        <f>IFERROR(INDEX(Pedidos!$D$2:$D$1801,MATCH(B4062,Pedidos!$A$2:$A$1801,0)),"")</f>
        <v/>
      </c>
      <c r="L4062" s="21">
        <f>IFERROR(INDEX(Pedidos!$F$2:$F$1801,MATCH(B4062,Pedidos!$A$2:$A$1801,0)),"")</f>
        <v/>
      </c>
      <c r="M4062" s="22">
        <f>IFERROR(INDEX(Pedidos!$G$2:$G$1801,MATCH(B4062,Pedidos!$A$2:$A$1801,0)),0)</f>
        <v/>
      </c>
      <c r="N4062" s="21">
        <f>IFERROR(INDEX(Produtos!$B$2:$B$71,MATCH(C4062,Produtos!$A$2:$A$71,0)),"")</f>
        <v/>
      </c>
      <c r="O4062" s="21">
        <f>IFERROR(INDEX(Produtos!$C$2:$C$71,MATCH(C4062,Produtos!$A$2:$A$71,0)),"")</f>
        <v/>
      </c>
      <c r="P4062" s="21">
        <f>IFERROR(INDEX(Produtos!$D$2:$D$71,MATCH(C4062,Produtos!$A$2:$A$71,0)),0)</f>
        <v/>
      </c>
      <c r="Q4062" s="21">
        <f>IFERROR(INDEX(Produtos!$E$2:$E$71,MATCH(C4062,Produtos!$A$2:$A$71,0)),0)</f>
        <v/>
      </c>
      <c r="R4062" s="23">
        <f>D4062*Q4062</f>
        <v/>
      </c>
      <c r="S4062" s="23">
        <f>R4062*E4062</f>
        <v/>
      </c>
      <c r="T4062" s="23">
        <f>(R4062-S4062)*M4062</f>
        <v/>
      </c>
      <c r="U4062" s="23">
        <f>R4062-S4062-T4062</f>
        <v/>
      </c>
      <c r="V4062" s="23">
        <f>D4062*P4062</f>
        <v/>
      </c>
      <c r="W4062" s="23">
        <f>U4062-V4062</f>
        <v/>
      </c>
      <c r="X4062" s="24">
        <f>IFERROR(W4062/U4062,0)</f>
        <v/>
      </c>
    </row>
    <row r="4063">
      <c r="A4063" s="25">
        <f>ItensPedido!A4063</f>
        <v/>
      </c>
      <c r="B4063" s="25">
        <f>ItensPedido!B4063</f>
        <v/>
      </c>
      <c r="C4063" s="25">
        <f>ItensPedido!C4063</f>
        <v/>
      </c>
      <c r="D4063" s="25">
        <f>ItensPedido!D4063</f>
        <v/>
      </c>
      <c r="E4063" s="26">
        <f>ItensPedido!E4063</f>
        <v/>
      </c>
      <c r="F4063" s="25">
        <f>IFERROR(INDEX(Pedidos!$B$2:$B$1801,MATCH(B4063,Pedidos!$A$2:$A$1801,0)),0)</f>
        <v/>
      </c>
      <c r="G4063" s="25">
        <f>IF(F4063=0,"",YEAR(F4063))</f>
        <v/>
      </c>
      <c r="H4063" s="25">
        <f>IF(F4063=0,"",MONTH(F4063))</f>
        <v/>
      </c>
      <c r="I4063" s="25">
        <f>IFERROR(INDEX(Pedidos!$E$2:$E$1801,MATCH(B4063,Pedidos!$A$2:$A$1801,0)),"")</f>
        <v/>
      </c>
      <c r="J4063" s="25">
        <f>IFERROR(INDEX(Pedidos!$C$2:$C$1801,MATCH(B4063,Pedidos!$A$2:$A$1801,0)),"")</f>
        <v/>
      </c>
      <c r="K4063" s="25">
        <f>IFERROR(INDEX(Pedidos!$D$2:$D$1801,MATCH(B4063,Pedidos!$A$2:$A$1801,0)),"")</f>
        <v/>
      </c>
      <c r="L4063" s="25">
        <f>IFERROR(INDEX(Pedidos!$F$2:$F$1801,MATCH(B4063,Pedidos!$A$2:$A$1801,0)),"")</f>
        <v/>
      </c>
      <c r="M4063" s="26">
        <f>IFERROR(INDEX(Pedidos!$G$2:$G$1801,MATCH(B4063,Pedidos!$A$2:$A$1801,0)),0)</f>
        <v/>
      </c>
      <c r="N4063" s="25">
        <f>IFERROR(INDEX(Produtos!$B$2:$B$71,MATCH(C4063,Produtos!$A$2:$A$71,0)),"")</f>
        <v/>
      </c>
      <c r="O4063" s="25">
        <f>IFERROR(INDEX(Produtos!$C$2:$C$71,MATCH(C4063,Produtos!$A$2:$A$71,0)),"")</f>
        <v/>
      </c>
      <c r="P4063" s="25">
        <f>IFERROR(INDEX(Produtos!$D$2:$D$71,MATCH(C4063,Produtos!$A$2:$A$71,0)),0)</f>
        <v/>
      </c>
      <c r="Q4063" s="25">
        <f>IFERROR(INDEX(Produtos!$E$2:$E$71,MATCH(C4063,Produtos!$A$2:$A$71,0)),0)</f>
        <v/>
      </c>
      <c r="R4063" s="27">
        <f>D4063*Q4063</f>
        <v/>
      </c>
      <c r="S4063" s="27">
        <f>R4063*E4063</f>
        <v/>
      </c>
      <c r="T4063" s="27">
        <f>(R4063-S4063)*M4063</f>
        <v/>
      </c>
      <c r="U4063" s="27">
        <f>R4063-S4063-T4063</f>
        <v/>
      </c>
      <c r="V4063" s="27">
        <f>D4063*P4063</f>
        <v/>
      </c>
      <c r="W4063" s="27">
        <f>U4063-V4063</f>
        <v/>
      </c>
      <c r="X4063" s="28">
        <f>IFERROR(W4063/U4063,0)</f>
        <v/>
      </c>
    </row>
    <row r="4064">
      <c r="A4064" s="21">
        <f>ItensPedido!A4064</f>
        <v/>
      </c>
      <c r="B4064" s="21">
        <f>ItensPedido!B4064</f>
        <v/>
      </c>
      <c r="C4064" s="21">
        <f>ItensPedido!C4064</f>
        <v/>
      </c>
      <c r="D4064" s="21">
        <f>ItensPedido!D4064</f>
        <v/>
      </c>
      <c r="E4064" s="22">
        <f>ItensPedido!E4064</f>
        <v/>
      </c>
      <c r="F4064" s="21">
        <f>IFERROR(INDEX(Pedidos!$B$2:$B$1801,MATCH(B4064,Pedidos!$A$2:$A$1801,0)),0)</f>
        <v/>
      </c>
      <c r="G4064" s="21">
        <f>IF(F4064=0,"",YEAR(F4064))</f>
        <v/>
      </c>
      <c r="H4064" s="21">
        <f>IF(F4064=0,"",MONTH(F4064))</f>
        <v/>
      </c>
      <c r="I4064" s="21">
        <f>IFERROR(INDEX(Pedidos!$E$2:$E$1801,MATCH(B4064,Pedidos!$A$2:$A$1801,0)),"")</f>
        <v/>
      </c>
      <c r="J4064" s="21">
        <f>IFERROR(INDEX(Pedidos!$C$2:$C$1801,MATCH(B4064,Pedidos!$A$2:$A$1801,0)),"")</f>
        <v/>
      </c>
      <c r="K4064" s="21">
        <f>IFERROR(INDEX(Pedidos!$D$2:$D$1801,MATCH(B4064,Pedidos!$A$2:$A$1801,0)),"")</f>
        <v/>
      </c>
      <c r="L4064" s="21">
        <f>IFERROR(INDEX(Pedidos!$F$2:$F$1801,MATCH(B4064,Pedidos!$A$2:$A$1801,0)),"")</f>
        <v/>
      </c>
      <c r="M4064" s="22">
        <f>IFERROR(INDEX(Pedidos!$G$2:$G$1801,MATCH(B4064,Pedidos!$A$2:$A$1801,0)),0)</f>
        <v/>
      </c>
      <c r="N4064" s="21">
        <f>IFERROR(INDEX(Produtos!$B$2:$B$71,MATCH(C4064,Produtos!$A$2:$A$71,0)),"")</f>
        <v/>
      </c>
      <c r="O4064" s="21">
        <f>IFERROR(INDEX(Produtos!$C$2:$C$71,MATCH(C4064,Produtos!$A$2:$A$71,0)),"")</f>
        <v/>
      </c>
      <c r="P4064" s="21">
        <f>IFERROR(INDEX(Produtos!$D$2:$D$71,MATCH(C4064,Produtos!$A$2:$A$71,0)),0)</f>
        <v/>
      </c>
      <c r="Q4064" s="21">
        <f>IFERROR(INDEX(Produtos!$E$2:$E$71,MATCH(C4064,Produtos!$A$2:$A$71,0)),0)</f>
        <v/>
      </c>
      <c r="R4064" s="23">
        <f>D4064*Q4064</f>
        <v/>
      </c>
      <c r="S4064" s="23">
        <f>R4064*E4064</f>
        <v/>
      </c>
      <c r="T4064" s="23">
        <f>(R4064-S4064)*M4064</f>
        <v/>
      </c>
      <c r="U4064" s="23">
        <f>R4064-S4064-T4064</f>
        <v/>
      </c>
      <c r="V4064" s="23">
        <f>D4064*P4064</f>
        <v/>
      </c>
      <c r="W4064" s="23">
        <f>U4064-V4064</f>
        <v/>
      </c>
      <c r="X4064" s="24">
        <f>IFERROR(W4064/U4064,0)</f>
        <v/>
      </c>
    </row>
    <row r="4065">
      <c r="A4065" s="25">
        <f>ItensPedido!A4065</f>
        <v/>
      </c>
      <c r="B4065" s="25">
        <f>ItensPedido!B4065</f>
        <v/>
      </c>
      <c r="C4065" s="25">
        <f>ItensPedido!C4065</f>
        <v/>
      </c>
      <c r="D4065" s="25">
        <f>ItensPedido!D4065</f>
        <v/>
      </c>
      <c r="E4065" s="26">
        <f>ItensPedido!E4065</f>
        <v/>
      </c>
      <c r="F4065" s="25">
        <f>IFERROR(INDEX(Pedidos!$B$2:$B$1801,MATCH(B4065,Pedidos!$A$2:$A$1801,0)),0)</f>
        <v/>
      </c>
      <c r="G4065" s="25">
        <f>IF(F4065=0,"",YEAR(F4065))</f>
        <v/>
      </c>
      <c r="H4065" s="25">
        <f>IF(F4065=0,"",MONTH(F4065))</f>
        <v/>
      </c>
      <c r="I4065" s="25">
        <f>IFERROR(INDEX(Pedidos!$E$2:$E$1801,MATCH(B4065,Pedidos!$A$2:$A$1801,0)),"")</f>
        <v/>
      </c>
      <c r="J4065" s="25">
        <f>IFERROR(INDEX(Pedidos!$C$2:$C$1801,MATCH(B4065,Pedidos!$A$2:$A$1801,0)),"")</f>
        <v/>
      </c>
      <c r="K4065" s="25">
        <f>IFERROR(INDEX(Pedidos!$D$2:$D$1801,MATCH(B4065,Pedidos!$A$2:$A$1801,0)),"")</f>
        <v/>
      </c>
      <c r="L4065" s="25">
        <f>IFERROR(INDEX(Pedidos!$F$2:$F$1801,MATCH(B4065,Pedidos!$A$2:$A$1801,0)),"")</f>
        <v/>
      </c>
      <c r="M4065" s="26">
        <f>IFERROR(INDEX(Pedidos!$G$2:$G$1801,MATCH(B4065,Pedidos!$A$2:$A$1801,0)),0)</f>
        <v/>
      </c>
      <c r="N4065" s="25">
        <f>IFERROR(INDEX(Produtos!$B$2:$B$71,MATCH(C4065,Produtos!$A$2:$A$71,0)),"")</f>
        <v/>
      </c>
      <c r="O4065" s="25">
        <f>IFERROR(INDEX(Produtos!$C$2:$C$71,MATCH(C4065,Produtos!$A$2:$A$71,0)),"")</f>
        <v/>
      </c>
      <c r="P4065" s="25">
        <f>IFERROR(INDEX(Produtos!$D$2:$D$71,MATCH(C4065,Produtos!$A$2:$A$71,0)),0)</f>
        <v/>
      </c>
      <c r="Q4065" s="25">
        <f>IFERROR(INDEX(Produtos!$E$2:$E$71,MATCH(C4065,Produtos!$A$2:$A$71,0)),0)</f>
        <v/>
      </c>
      <c r="R4065" s="27">
        <f>D4065*Q4065</f>
        <v/>
      </c>
      <c r="S4065" s="27">
        <f>R4065*E4065</f>
        <v/>
      </c>
      <c r="T4065" s="27">
        <f>(R4065-S4065)*M4065</f>
        <v/>
      </c>
      <c r="U4065" s="27">
        <f>R4065-S4065-T4065</f>
        <v/>
      </c>
      <c r="V4065" s="27">
        <f>D4065*P4065</f>
        <v/>
      </c>
      <c r="W4065" s="27">
        <f>U4065-V4065</f>
        <v/>
      </c>
      <c r="X4065" s="28">
        <f>IFERROR(W4065/U4065,0)</f>
        <v/>
      </c>
    </row>
    <row r="4066">
      <c r="A4066" s="21">
        <f>ItensPedido!A4066</f>
        <v/>
      </c>
      <c r="B4066" s="21">
        <f>ItensPedido!B4066</f>
        <v/>
      </c>
      <c r="C4066" s="21">
        <f>ItensPedido!C4066</f>
        <v/>
      </c>
      <c r="D4066" s="21">
        <f>ItensPedido!D4066</f>
        <v/>
      </c>
      <c r="E4066" s="22">
        <f>ItensPedido!E4066</f>
        <v/>
      </c>
      <c r="F4066" s="21">
        <f>IFERROR(INDEX(Pedidos!$B$2:$B$1801,MATCH(B4066,Pedidos!$A$2:$A$1801,0)),0)</f>
        <v/>
      </c>
      <c r="G4066" s="21">
        <f>IF(F4066=0,"",YEAR(F4066))</f>
        <v/>
      </c>
      <c r="H4066" s="21">
        <f>IF(F4066=0,"",MONTH(F4066))</f>
        <v/>
      </c>
      <c r="I4066" s="21">
        <f>IFERROR(INDEX(Pedidos!$E$2:$E$1801,MATCH(B4066,Pedidos!$A$2:$A$1801,0)),"")</f>
        <v/>
      </c>
      <c r="J4066" s="21">
        <f>IFERROR(INDEX(Pedidos!$C$2:$C$1801,MATCH(B4066,Pedidos!$A$2:$A$1801,0)),"")</f>
        <v/>
      </c>
      <c r="K4066" s="21">
        <f>IFERROR(INDEX(Pedidos!$D$2:$D$1801,MATCH(B4066,Pedidos!$A$2:$A$1801,0)),"")</f>
        <v/>
      </c>
      <c r="L4066" s="21">
        <f>IFERROR(INDEX(Pedidos!$F$2:$F$1801,MATCH(B4066,Pedidos!$A$2:$A$1801,0)),"")</f>
        <v/>
      </c>
      <c r="M4066" s="22">
        <f>IFERROR(INDEX(Pedidos!$G$2:$G$1801,MATCH(B4066,Pedidos!$A$2:$A$1801,0)),0)</f>
        <v/>
      </c>
      <c r="N4066" s="21">
        <f>IFERROR(INDEX(Produtos!$B$2:$B$71,MATCH(C4066,Produtos!$A$2:$A$71,0)),"")</f>
        <v/>
      </c>
      <c r="O4066" s="21">
        <f>IFERROR(INDEX(Produtos!$C$2:$C$71,MATCH(C4066,Produtos!$A$2:$A$71,0)),"")</f>
        <v/>
      </c>
      <c r="P4066" s="21">
        <f>IFERROR(INDEX(Produtos!$D$2:$D$71,MATCH(C4066,Produtos!$A$2:$A$71,0)),0)</f>
        <v/>
      </c>
      <c r="Q4066" s="21">
        <f>IFERROR(INDEX(Produtos!$E$2:$E$71,MATCH(C4066,Produtos!$A$2:$A$71,0)),0)</f>
        <v/>
      </c>
      <c r="R4066" s="23">
        <f>D4066*Q4066</f>
        <v/>
      </c>
      <c r="S4066" s="23">
        <f>R4066*E4066</f>
        <v/>
      </c>
      <c r="T4066" s="23">
        <f>(R4066-S4066)*M4066</f>
        <v/>
      </c>
      <c r="U4066" s="23">
        <f>R4066-S4066-T4066</f>
        <v/>
      </c>
      <c r="V4066" s="23">
        <f>D4066*P4066</f>
        <v/>
      </c>
      <c r="W4066" s="23">
        <f>U4066-V4066</f>
        <v/>
      </c>
      <c r="X4066" s="24">
        <f>IFERROR(W4066/U4066,0)</f>
        <v/>
      </c>
    </row>
    <row r="4067">
      <c r="A4067" s="25">
        <f>ItensPedido!A4067</f>
        <v/>
      </c>
      <c r="B4067" s="25">
        <f>ItensPedido!B4067</f>
        <v/>
      </c>
      <c r="C4067" s="25">
        <f>ItensPedido!C4067</f>
        <v/>
      </c>
      <c r="D4067" s="25">
        <f>ItensPedido!D4067</f>
        <v/>
      </c>
      <c r="E4067" s="26">
        <f>ItensPedido!E4067</f>
        <v/>
      </c>
      <c r="F4067" s="25">
        <f>IFERROR(INDEX(Pedidos!$B$2:$B$1801,MATCH(B4067,Pedidos!$A$2:$A$1801,0)),0)</f>
        <v/>
      </c>
      <c r="G4067" s="25">
        <f>IF(F4067=0,"",YEAR(F4067))</f>
        <v/>
      </c>
      <c r="H4067" s="25">
        <f>IF(F4067=0,"",MONTH(F4067))</f>
        <v/>
      </c>
      <c r="I4067" s="25">
        <f>IFERROR(INDEX(Pedidos!$E$2:$E$1801,MATCH(B4067,Pedidos!$A$2:$A$1801,0)),"")</f>
        <v/>
      </c>
      <c r="J4067" s="25">
        <f>IFERROR(INDEX(Pedidos!$C$2:$C$1801,MATCH(B4067,Pedidos!$A$2:$A$1801,0)),"")</f>
        <v/>
      </c>
      <c r="K4067" s="25">
        <f>IFERROR(INDEX(Pedidos!$D$2:$D$1801,MATCH(B4067,Pedidos!$A$2:$A$1801,0)),"")</f>
        <v/>
      </c>
      <c r="L4067" s="25">
        <f>IFERROR(INDEX(Pedidos!$F$2:$F$1801,MATCH(B4067,Pedidos!$A$2:$A$1801,0)),"")</f>
        <v/>
      </c>
      <c r="M4067" s="26">
        <f>IFERROR(INDEX(Pedidos!$G$2:$G$1801,MATCH(B4067,Pedidos!$A$2:$A$1801,0)),0)</f>
        <v/>
      </c>
      <c r="N4067" s="25">
        <f>IFERROR(INDEX(Produtos!$B$2:$B$71,MATCH(C4067,Produtos!$A$2:$A$71,0)),"")</f>
        <v/>
      </c>
      <c r="O4067" s="25">
        <f>IFERROR(INDEX(Produtos!$C$2:$C$71,MATCH(C4067,Produtos!$A$2:$A$71,0)),"")</f>
        <v/>
      </c>
      <c r="P4067" s="25">
        <f>IFERROR(INDEX(Produtos!$D$2:$D$71,MATCH(C4067,Produtos!$A$2:$A$71,0)),0)</f>
        <v/>
      </c>
      <c r="Q4067" s="25">
        <f>IFERROR(INDEX(Produtos!$E$2:$E$71,MATCH(C4067,Produtos!$A$2:$A$71,0)),0)</f>
        <v/>
      </c>
      <c r="R4067" s="27">
        <f>D4067*Q4067</f>
        <v/>
      </c>
      <c r="S4067" s="27">
        <f>R4067*E4067</f>
        <v/>
      </c>
      <c r="T4067" s="27">
        <f>(R4067-S4067)*M4067</f>
        <v/>
      </c>
      <c r="U4067" s="27">
        <f>R4067-S4067-T4067</f>
        <v/>
      </c>
      <c r="V4067" s="27">
        <f>D4067*P4067</f>
        <v/>
      </c>
      <c r="W4067" s="27">
        <f>U4067-V4067</f>
        <v/>
      </c>
      <c r="X4067" s="28">
        <f>IFERROR(W4067/U4067,0)</f>
        <v/>
      </c>
    </row>
    <row r="4068">
      <c r="A4068" s="21">
        <f>ItensPedido!A4068</f>
        <v/>
      </c>
      <c r="B4068" s="21">
        <f>ItensPedido!B4068</f>
        <v/>
      </c>
      <c r="C4068" s="21">
        <f>ItensPedido!C4068</f>
        <v/>
      </c>
      <c r="D4068" s="21">
        <f>ItensPedido!D4068</f>
        <v/>
      </c>
      <c r="E4068" s="22">
        <f>ItensPedido!E4068</f>
        <v/>
      </c>
      <c r="F4068" s="21">
        <f>IFERROR(INDEX(Pedidos!$B$2:$B$1801,MATCH(B4068,Pedidos!$A$2:$A$1801,0)),0)</f>
        <v/>
      </c>
      <c r="G4068" s="21">
        <f>IF(F4068=0,"",YEAR(F4068))</f>
        <v/>
      </c>
      <c r="H4068" s="21">
        <f>IF(F4068=0,"",MONTH(F4068))</f>
        <v/>
      </c>
      <c r="I4068" s="21">
        <f>IFERROR(INDEX(Pedidos!$E$2:$E$1801,MATCH(B4068,Pedidos!$A$2:$A$1801,0)),"")</f>
        <v/>
      </c>
      <c r="J4068" s="21">
        <f>IFERROR(INDEX(Pedidos!$C$2:$C$1801,MATCH(B4068,Pedidos!$A$2:$A$1801,0)),"")</f>
        <v/>
      </c>
      <c r="K4068" s="21">
        <f>IFERROR(INDEX(Pedidos!$D$2:$D$1801,MATCH(B4068,Pedidos!$A$2:$A$1801,0)),"")</f>
        <v/>
      </c>
      <c r="L4068" s="21">
        <f>IFERROR(INDEX(Pedidos!$F$2:$F$1801,MATCH(B4068,Pedidos!$A$2:$A$1801,0)),"")</f>
        <v/>
      </c>
      <c r="M4068" s="22">
        <f>IFERROR(INDEX(Pedidos!$G$2:$G$1801,MATCH(B4068,Pedidos!$A$2:$A$1801,0)),0)</f>
        <v/>
      </c>
      <c r="N4068" s="21">
        <f>IFERROR(INDEX(Produtos!$B$2:$B$71,MATCH(C4068,Produtos!$A$2:$A$71,0)),"")</f>
        <v/>
      </c>
      <c r="O4068" s="21">
        <f>IFERROR(INDEX(Produtos!$C$2:$C$71,MATCH(C4068,Produtos!$A$2:$A$71,0)),"")</f>
        <v/>
      </c>
      <c r="P4068" s="21">
        <f>IFERROR(INDEX(Produtos!$D$2:$D$71,MATCH(C4068,Produtos!$A$2:$A$71,0)),0)</f>
        <v/>
      </c>
      <c r="Q4068" s="21">
        <f>IFERROR(INDEX(Produtos!$E$2:$E$71,MATCH(C4068,Produtos!$A$2:$A$71,0)),0)</f>
        <v/>
      </c>
      <c r="R4068" s="23">
        <f>D4068*Q4068</f>
        <v/>
      </c>
      <c r="S4068" s="23">
        <f>R4068*E4068</f>
        <v/>
      </c>
      <c r="T4068" s="23">
        <f>(R4068-S4068)*M4068</f>
        <v/>
      </c>
      <c r="U4068" s="23">
        <f>R4068-S4068-T4068</f>
        <v/>
      </c>
      <c r="V4068" s="23">
        <f>D4068*P4068</f>
        <v/>
      </c>
      <c r="W4068" s="23">
        <f>U4068-V4068</f>
        <v/>
      </c>
      <c r="X4068" s="24">
        <f>IFERROR(W4068/U4068,0)</f>
        <v/>
      </c>
    </row>
    <row r="4069">
      <c r="A4069" s="25">
        <f>ItensPedido!A4069</f>
        <v/>
      </c>
      <c r="B4069" s="25">
        <f>ItensPedido!B4069</f>
        <v/>
      </c>
      <c r="C4069" s="25">
        <f>ItensPedido!C4069</f>
        <v/>
      </c>
      <c r="D4069" s="25">
        <f>ItensPedido!D4069</f>
        <v/>
      </c>
      <c r="E4069" s="26">
        <f>ItensPedido!E4069</f>
        <v/>
      </c>
      <c r="F4069" s="25">
        <f>IFERROR(INDEX(Pedidos!$B$2:$B$1801,MATCH(B4069,Pedidos!$A$2:$A$1801,0)),0)</f>
        <v/>
      </c>
      <c r="G4069" s="25">
        <f>IF(F4069=0,"",YEAR(F4069))</f>
        <v/>
      </c>
      <c r="H4069" s="25">
        <f>IF(F4069=0,"",MONTH(F4069))</f>
        <v/>
      </c>
      <c r="I4069" s="25">
        <f>IFERROR(INDEX(Pedidos!$E$2:$E$1801,MATCH(B4069,Pedidos!$A$2:$A$1801,0)),"")</f>
        <v/>
      </c>
      <c r="J4069" s="25">
        <f>IFERROR(INDEX(Pedidos!$C$2:$C$1801,MATCH(B4069,Pedidos!$A$2:$A$1801,0)),"")</f>
        <v/>
      </c>
      <c r="K4069" s="25">
        <f>IFERROR(INDEX(Pedidos!$D$2:$D$1801,MATCH(B4069,Pedidos!$A$2:$A$1801,0)),"")</f>
        <v/>
      </c>
      <c r="L4069" s="25">
        <f>IFERROR(INDEX(Pedidos!$F$2:$F$1801,MATCH(B4069,Pedidos!$A$2:$A$1801,0)),"")</f>
        <v/>
      </c>
      <c r="M4069" s="26">
        <f>IFERROR(INDEX(Pedidos!$G$2:$G$1801,MATCH(B4069,Pedidos!$A$2:$A$1801,0)),0)</f>
        <v/>
      </c>
      <c r="N4069" s="25">
        <f>IFERROR(INDEX(Produtos!$B$2:$B$71,MATCH(C4069,Produtos!$A$2:$A$71,0)),"")</f>
        <v/>
      </c>
      <c r="O4069" s="25">
        <f>IFERROR(INDEX(Produtos!$C$2:$C$71,MATCH(C4069,Produtos!$A$2:$A$71,0)),"")</f>
        <v/>
      </c>
      <c r="P4069" s="25">
        <f>IFERROR(INDEX(Produtos!$D$2:$D$71,MATCH(C4069,Produtos!$A$2:$A$71,0)),0)</f>
        <v/>
      </c>
      <c r="Q4069" s="25">
        <f>IFERROR(INDEX(Produtos!$E$2:$E$71,MATCH(C4069,Produtos!$A$2:$A$71,0)),0)</f>
        <v/>
      </c>
      <c r="R4069" s="27">
        <f>D4069*Q4069</f>
        <v/>
      </c>
      <c r="S4069" s="27">
        <f>R4069*E4069</f>
        <v/>
      </c>
      <c r="T4069" s="27">
        <f>(R4069-S4069)*M4069</f>
        <v/>
      </c>
      <c r="U4069" s="27">
        <f>R4069-S4069-T4069</f>
        <v/>
      </c>
      <c r="V4069" s="27">
        <f>D4069*P4069</f>
        <v/>
      </c>
      <c r="W4069" s="27">
        <f>U4069-V4069</f>
        <v/>
      </c>
      <c r="X4069" s="28">
        <f>IFERROR(W4069/U4069,0)</f>
        <v/>
      </c>
    </row>
    <row r="4070">
      <c r="A4070" s="21">
        <f>ItensPedido!A4070</f>
        <v/>
      </c>
      <c r="B4070" s="21">
        <f>ItensPedido!B4070</f>
        <v/>
      </c>
      <c r="C4070" s="21">
        <f>ItensPedido!C4070</f>
        <v/>
      </c>
      <c r="D4070" s="21">
        <f>ItensPedido!D4070</f>
        <v/>
      </c>
      <c r="E4070" s="22">
        <f>ItensPedido!E4070</f>
        <v/>
      </c>
      <c r="F4070" s="21">
        <f>IFERROR(INDEX(Pedidos!$B$2:$B$1801,MATCH(B4070,Pedidos!$A$2:$A$1801,0)),0)</f>
        <v/>
      </c>
      <c r="G4070" s="21">
        <f>IF(F4070=0,"",YEAR(F4070))</f>
        <v/>
      </c>
      <c r="H4070" s="21">
        <f>IF(F4070=0,"",MONTH(F4070))</f>
        <v/>
      </c>
      <c r="I4070" s="21">
        <f>IFERROR(INDEX(Pedidos!$E$2:$E$1801,MATCH(B4070,Pedidos!$A$2:$A$1801,0)),"")</f>
        <v/>
      </c>
      <c r="J4070" s="21">
        <f>IFERROR(INDEX(Pedidos!$C$2:$C$1801,MATCH(B4070,Pedidos!$A$2:$A$1801,0)),"")</f>
        <v/>
      </c>
      <c r="K4070" s="21">
        <f>IFERROR(INDEX(Pedidos!$D$2:$D$1801,MATCH(B4070,Pedidos!$A$2:$A$1801,0)),"")</f>
        <v/>
      </c>
      <c r="L4070" s="21">
        <f>IFERROR(INDEX(Pedidos!$F$2:$F$1801,MATCH(B4070,Pedidos!$A$2:$A$1801,0)),"")</f>
        <v/>
      </c>
      <c r="M4070" s="22">
        <f>IFERROR(INDEX(Pedidos!$G$2:$G$1801,MATCH(B4070,Pedidos!$A$2:$A$1801,0)),0)</f>
        <v/>
      </c>
      <c r="N4070" s="21">
        <f>IFERROR(INDEX(Produtos!$B$2:$B$71,MATCH(C4070,Produtos!$A$2:$A$71,0)),"")</f>
        <v/>
      </c>
      <c r="O4070" s="21">
        <f>IFERROR(INDEX(Produtos!$C$2:$C$71,MATCH(C4070,Produtos!$A$2:$A$71,0)),"")</f>
        <v/>
      </c>
      <c r="P4070" s="21">
        <f>IFERROR(INDEX(Produtos!$D$2:$D$71,MATCH(C4070,Produtos!$A$2:$A$71,0)),0)</f>
        <v/>
      </c>
      <c r="Q4070" s="21">
        <f>IFERROR(INDEX(Produtos!$E$2:$E$71,MATCH(C4070,Produtos!$A$2:$A$71,0)),0)</f>
        <v/>
      </c>
      <c r="R4070" s="23">
        <f>D4070*Q4070</f>
        <v/>
      </c>
      <c r="S4070" s="23">
        <f>R4070*E4070</f>
        <v/>
      </c>
      <c r="T4070" s="23">
        <f>(R4070-S4070)*M4070</f>
        <v/>
      </c>
      <c r="U4070" s="23">
        <f>R4070-S4070-T4070</f>
        <v/>
      </c>
      <c r="V4070" s="23">
        <f>D4070*P4070</f>
        <v/>
      </c>
      <c r="W4070" s="23">
        <f>U4070-V4070</f>
        <v/>
      </c>
      <c r="X4070" s="24">
        <f>IFERROR(W4070/U4070,0)</f>
        <v/>
      </c>
    </row>
    <row r="4071">
      <c r="A4071" s="25">
        <f>ItensPedido!A4071</f>
        <v/>
      </c>
      <c r="B4071" s="25">
        <f>ItensPedido!B4071</f>
        <v/>
      </c>
      <c r="C4071" s="25">
        <f>ItensPedido!C4071</f>
        <v/>
      </c>
      <c r="D4071" s="25">
        <f>ItensPedido!D4071</f>
        <v/>
      </c>
      <c r="E4071" s="26">
        <f>ItensPedido!E4071</f>
        <v/>
      </c>
      <c r="F4071" s="25">
        <f>IFERROR(INDEX(Pedidos!$B$2:$B$1801,MATCH(B4071,Pedidos!$A$2:$A$1801,0)),0)</f>
        <v/>
      </c>
      <c r="G4071" s="25">
        <f>IF(F4071=0,"",YEAR(F4071))</f>
        <v/>
      </c>
      <c r="H4071" s="25">
        <f>IF(F4071=0,"",MONTH(F4071))</f>
        <v/>
      </c>
      <c r="I4071" s="25">
        <f>IFERROR(INDEX(Pedidos!$E$2:$E$1801,MATCH(B4071,Pedidos!$A$2:$A$1801,0)),"")</f>
        <v/>
      </c>
      <c r="J4071" s="25">
        <f>IFERROR(INDEX(Pedidos!$C$2:$C$1801,MATCH(B4071,Pedidos!$A$2:$A$1801,0)),"")</f>
        <v/>
      </c>
      <c r="K4071" s="25">
        <f>IFERROR(INDEX(Pedidos!$D$2:$D$1801,MATCH(B4071,Pedidos!$A$2:$A$1801,0)),"")</f>
        <v/>
      </c>
      <c r="L4071" s="25">
        <f>IFERROR(INDEX(Pedidos!$F$2:$F$1801,MATCH(B4071,Pedidos!$A$2:$A$1801,0)),"")</f>
        <v/>
      </c>
      <c r="M4071" s="26">
        <f>IFERROR(INDEX(Pedidos!$G$2:$G$1801,MATCH(B4071,Pedidos!$A$2:$A$1801,0)),0)</f>
        <v/>
      </c>
      <c r="N4071" s="25">
        <f>IFERROR(INDEX(Produtos!$B$2:$B$71,MATCH(C4071,Produtos!$A$2:$A$71,0)),"")</f>
        <v/>
      </c>
      <c r="O4071" s="25">
        <f>IFERROR(INDEX(Produtos!$C$2:$C$71,MATCH(C4071,Produtos!$A$2:$A$71,0)),"")</f>
        <v/>
      </c>
      <c r="P4071" s="25">
        <f>IFERROR(INDEX(Produtos!$D$2:$D$71,MATCH(C4071,Produtos!$A$2:$A$71,0)),0)</f>
        <v/>
      </c>
      <c r="Q4071" s="25">
        <f>IFERROR(INDEX(Produtos!$E$2:$E$71,MATCH(C4071,Produtos!$A$2:$A$71,0)),0)</f>
        <v/>
      </c>
      <c r="R4071" s="27">
        <f>D4071*Q4071</f>
        <v/>
      </c>
      <c r="S4071" s="27">
        <f>R4071*E4071</f>
        <v/>
      </c>
      <c r="T4071" s="27">
        <f>(R4071-S4071)*M4071</f>
        <v/>
      </c>
      <c r="U4071" s="27">
        <f>R4071-S4071-T4071</f>
        <v/>
      </c>
      <c r="V4071" s="27">
        <f>D4071*P4071</f>
        <v/>
      </c>
      <c r="W4071" s="27">
        <f>U4071-V4071</f>
        <v/>
      </c>
      <c r="X4071" s="28">
        <f>IFERROR(W4071/U4071,0)</f>
        <v/>
      </c>
    </row>
    <row r="4072">
      <c r="A4072" s="21">
        <f>ItensPedido!A4072</f>
        <v/>
      </c>
      <c r="B4072" s="21">
        <f>ItensPedido!B4072</f>
        <v/>
      </c>
      <c r="C4072" s="21">
        <f>ItensPedido!C4072</f>
        <v/>
      </c>
      <c r="D4072" s="21">
        <f>ItensPedido!D4072</f>
        <v/>
      </c>
      <c r="E4072" s="22">
        <f>ItensPedido!E4072</f>
        <v/>
      </c>
      <c r="F4072" s="21">
        <f>IFERROR(INDEX(Pedidos!$B$2:$B$1801,MATCH(B4072,Pedidos!$A$2:$A$1801,0)),0)</f>
        <v/>
      </c>
      <c r="G4072" s="21">
        <f>IF(F4072=0,"",YEAR(F4072))</f>
        <v/>
      </c>
      <c r="H4072" s="21">
        <f>IF(F4072=0,"",MONTH(F4072))</f>
        <v/>
      </c>
      <c r="I4072" s="21">
        <f>IFERROR(INDEX(Pedidos!$E$2:$E$1801,MATCH(B4072,Pedidos!$A$2:$A$1801,0)),"")</f>
        <v/>
      </c>
      <c r="J4072" s="21">
        <f>IFERROR(INDEX(Pedidos!$C$2:$C$1801,MATCH(B4072,Pedidos!$A$2:$A$1801,0)),"")</f>
        <v/>
      </c>
      <c r="K4072" s="21">
        <f>IFERROR(INDEX(Pedidos!$D$2:$D$1801,MATCH(B4072,Pedidos!$A$2:$A$1801,0)),"")</f>
        <v/>
      </c>
      <c r="L4072" s="21">
        <f>IFERROR(INDEX(Pedidos!$F$2:$F$1801,MATCH(B4072,Pedidos!$A$2:$A$1801,0)),"")</f>
        <v/>
      </c>
      <c r="M4072" s="22">
        <f>IFERROR(INDEX(Pedidos!$G$2:$G$1801,MATCH(B4072,Pedidos!$A$2:$A$1801,0)),0)</f>
        <v/>
      </c>
      <c r="N4072" s="21">
        <f>IFERROR(INDEX(Produtos!$B$2:$B$71,MATCH(C4072,Produtos!$A$2:$A$71,0)),"")</f>
        <v/>
      </c>
      <c r="O4072" s="21">
        <f>IFERROR(INDEX(Produtos!$C$2:$C$71,MATCH(C4072,Produtos!$A$2:$A$71,0)),"")</f>
        <v/>
      </c>
      <c r="P4072" s="21">
        <f>IFERROR(INDEX(Produtos!$D$2:$D$71,MATCH(C4072,Produtos!$A$2:$A$71,0)),0)</f>
        <v/>
      </c>
      <c r="Q4072" s="21">
        <f>IFERROR(INDEX(Produtos!$E$2:$E$71,MATCH(C4072,Produtos!$A$2:$A$71,0)),0)</f>
        <v/>
      </c>
      <c r="R4072" s="23">
        <f>D4072*Q4072</f>
        <v/>
      </c>
      <c r="S4072" s="23">
        <f>R4072*E4072</f>
        <v/>
      </c>
      <c r="T4072" s="23">
        <f>(R4072-S4072)*M4072</f>
        <v/>
      </c>
      <c r="U4072" s="23">
        <f>R4072-S4072-T4072</f>
        <v/>
      </c>
      <c r="V4072" s="23">
        <f>D4072*P4072</f>
        <v/>
      </c>
      <c r="W4072" s="23">
        <f>U4072-V4072</f>
        <v/>
      </c>
      <c r="X4072" s="24">
        <f>IFERROR(W4072/U4072,0)</f>
        <v/>
      </c>
    </row>
    <row r="4073">
      <c r="A4073" s="25">
        <f>ItensPedido!A4073</f>
        <v/>
      </c>
      <c r="B4073" s="25">
        <f>ItensPedido!B4073</f>
        <v/>
      </c>
      <c r="C4073" s="25">
        <f>ItensPedido!C4073</f>
        <v/>
      </c>
      <c r="D4073" s="25">
        <f>ItensPedido!D4073</f>
        <v/>
      </c>
      <c r="E4073" s="26">
        <f>ItensPedido!E4073</f>
        <v/>
      </c>
      <c r="F4073" s="25">
        <f>IFERROR(INDEX(Pedidos!$B$2:$B$1801,MATCH(B4073,Pedidos!$A$2:$A$1801,0)),0)</f>
        <v/>
      </c>
      <c r="G4073" s="25">
        <f>IF(F4073=0,"",YEAR(F4073))</f>
        <v/>
      </c>
      <c r="H4073" s="25">
        <f>IF(F4073=0,"",MONTH(F4073))</f>
        <v/>
      </c>
      <c r="I4073" s="25">
        <f>IFERROR(INDEX(Pedidos!$E$2:$E$1801,MATCH(B4073,Pedidos!$A$2:$A$1801,0)),"")</f>
        <v/>
      </c>
      <c r="J4073" s="25">
        <f>IFERROR(INDEX(Pedidos!$C$2:$C$1801,MATCH(B4073,Pedidos!$A$2:$A$1801,0)),"")</f>
        <v/>
      </c>
      <c r="K4073" s="25">
        <f>IFERROR(INDEX(Pedidos!$D$2:$D$1801,MATCH(B4073,Pedidos!$A$2:$A$1801,0)),"")</f>
        <v/>
      </c>
      <c r="L4073" s="25">
        <f>IFERROR(INDEX(Pedidos!$F$2:$F$1801,MATCH(B4073,Pedidos!$A$2:$A$1801,0)),"")</f>
        <v/>
      </c>
      <c r="M4073" s="26">
        <f>IFERROR(INDEX(Pedidos!$G$2:$G$1801,MATCH(B4073,Pedidos!$A$2:$A$1801,0)),0)</f>
        <v/>
      </c>
      <c r="N4073" s="25">
        <f>IFERROR(INDEX(Produtos!$B$2:$B$71,MATCH(C4073,Produtos!$A$2:$A$71,0)),"")</f>
        <v/>
      </c>
      <c r="O4073" s="25">
        <f>IFERROR(INDEX(Produtos!$C$2:$C$71,MATCH(C4073,Produtos!$A$2:$A$71,0)),"")</f>
        <v/>
      </c>
      <c r="P4073" s="25">
        <f>IFERROR(INDEX(Produtos!$D$2:$D$71,MATCH(C4073,Produtos!$A$2:$A$71,0)),0)</f>
        <v/>
      </c>
      <c r="Q4073" s="25">
        <f>IFERROR(INDEX(Produtos!$E$2:$E$71,MATCH(C4073,Produtos!$A$2:$A$71,0)),0)</f>
        <v/>
      </c>
      <c r="R4073" s="27">
        <f>D4073*Q4073</f>
        <v/>
      </c>
      <c r="S4073" s="27">
        <f>R4073*E4073</f>
        <v/>
      </c>
      <c r="T4073" s="27">
        <f>(R4073-S4073)*M4073</f>
        <v/>
      </c>
      <c r="U4073" s="27">
        <f>R4073-S4073-T4073</f>
        <v/>
      </c>
      <c r="V4073" s="27">
        <f>D4073*P4073</f>
        <v/>
      </c>
      <c r="W4073" s="27">
        <f>U4073-V4073</f>
        <v/>
      </c>
      <c r="X4073" s="28">
        <f>IFERROR(W4073/U4073,0)</f>
        <v/>
      </c>
    </row>
    <row r="4074">
      <c r="A4074" s="21">
        <f>ItensPedido!A4074</f>
        <v/>
      </c>
      <c r="B4074" s="21">
        <f>ItensPedido!B4074</f>
        <v/>
      </c>
      <c r="C4074" s="21">
        <f>ItensPedido!C4074</f>
        <v/>
      </c>
      <c r="D4074" s="21">
        <f>ItensPedido!D4074</f>
        <v/>
      </c>
      <c r="E4074" s="22">
        <f>ItensPedido!E4074</f>
        <v/>
      </c>
      <c r="F4074" s="21">
        <f>IFERROR(INDEX(Pedidos!$B$2:$B$1801,MATCH(B4074,Pedidos!$A$2:$A$1801,0)),0)</f>
        <v/>
      </c>
      <c r="G4074" s="21">
        <f>IF(F4074=0,"",YEAR(F4074))</f>
        <v/>
      </c>
      <c r="H4074" s="21">
        <f>IF(F4074=0,"",MONTH(F4074))</f>
        <v/>
      </c>
      <c r="I4074" s="21">
        <f>IFERROR(INDEX(Pedidos!$E$2:$E$1801,MATCH(B4074,Pedidos!$A$2:$A$1801,0)),"")</f>
        <v/>
      </c>
      <c r="J4074" s="21">
        <f>IFERROR(INDEX(Pedidos!$C$2:$C$1801,MATCH(B4074,Pedidos!$A$2:$A$1801,0)),"")</f>
        <v/>
      </c>
      <c r="K4074" s="21">
        <f>IFERROR(INDEX(Pedidos!$D$2:$D$1801,MATCH(B4074,Pedidos!$A$2:$A$1801,0)),"")</f>
        <v/>
      </c>
      <c r="L4074" s="21">
        <f>IFERROR(INDEX(Pedidos!$F$2:$F$1801,MATCH(B4074,Pedidos!$A$2:$A$1801,0)),"")</f>
        <v/>
      </c>
      <c r="M4074" s="22">
        <f>IFERROR(INDEX(Pedidos!$G$2:$G$1801,MATCH(B4074,Pedidos!$A$2:$A$1801,0)),0)</f>
        <v/>
      </c>
      <c r="N4074" s="21">
        <f>IFERROR(INDEX(Produtos!$B$2:$B$71,MATCH(C4074,Produtos!$A$2:$A$71,0)),"")</f>
        <v/>
      </c>
      <c r="O4074" s="21">
        <f>IFERROR(INDEX(Produtos!$C$2:$C$71,MATCH(C4074,Produtos!$A$2:$A$71,0)),"")</f>
        <v/>
      </c>
      <c r="P4074" s="21">
        <f>IFERROR(INDEX(Produtos!$D$2:$D$71,MATCH(C4074,Produtos!$A$2:$A$71,0)),0)</f>
        <v/>
      </c>
      <c r="Q4074" s="21">
        <f>IFERROR(INDEX(Produtos!$E$2:$E$71,MATCH(C4074,Produtos!$A$2:$A$71,0)),0)</f>
        <v/>
      </c>
      <c r="R4074" s="23">
        <f>D4074*Q4074</f>
        <v/>
      </c>
      <c r="S4074" s="23">
        <f>R4074*E4074</f>
        <v/>
      </c>
      <c r="T4074" s="23">
        <f>(R4074-S4074)*M4074</f>
        <v/>
      </c>
      <c r="U4074" s="23">
        <f>R4074-S4074-T4074</f>
        <v/>
      </c>
      <c r="V4074" s="23">
        <f>D4074*P4074</f>
        <v/>
      </c>
      <c r="W4074" s="23">
        <f>U4074-V4074</f>
        <v/>
      </c>
      <c r="X4074" s="24">
        <f>IFERROR(W4074/U4074,0)</f>
        <v/>
      </c>
    </row>
    <row r="4075">
      <c r="A4075" s="25">
        <f>ItensPedido!A4075</f>
        <v/>
      </c>
      <c r="B4075" s="25">
        <f>ItensPedido!B4075</f>
        <v/>
      </c>
      <c r="C4075" s="25">
        <f>ItensPedido!C4075</f>
        <v/>
      </c>
      <c r="D4075" s="25">
        <f>ItensPedido!D4075</f>
        <v/>
      </c>
      <c r="E4075" s="26">
        <f>ItensPedido!E4075</f>
        <v/>
      </c>
      <c r="F4075" s="25">
        <f>IFERROR(INDEX(Pedidos!$B$2:$B$1801,MATCH(B4075,Pedidos!$A$2:$A$1801,0)),0)</f>
        <v/>
      </c>
      <c r="G4075" s="25">
        <f>IF(F4075=0,"",YEAR(F4075))</f>
        <v/>
      </c>
      <c r="H4075" s="25">
        <f>IF(F4075=0,"",MONTH(F4075))</f>
        <v/>
      </c>
      <c r="I4075" s="25">
        <f>IFERROR(INDEX(Pedidos!$E$2:$E$1801,MATCH(B4075,Pedidos!$A$2:$A$1801,0)),"")</f>
        <v/>
      </c>
      <c r="J4075" s="25">
        <f>IFERROR(INDEX(Pedidos!$C$2:$C$1801,MATCH(B4075,Pedidos!$A$2:$A$1801,0)),"")</f>
        <v/>
      </c>
      <c r="K4075" s="25">
        <f>IFERROR(INDEX(Pedidos!$D$2:$D$1801,MATCH(B4075,Pedidos!$A$2:$A$1801,0)),"")</f>
        <v/>
      </c>
      <c r="L4075" s="25">
        <f>IFERROR(INDEX(Pedidos!$F$2:$F$1801,MATCH(B4075,Pedidos!$A$2:$A$1801,0)),"")</f>
        <v/>
      </c>
      <c r="M4075" s="26">
        <f>IFERROR(INDEX(Pedidos!$G$2:$G$1801,MATCH(B4075,Pedidos!$A$2:$A$1801,0)),0)</f>
        <v/>
      </c>
      <c r="N4075" s="25">
        <f>IFERROR(INDEX(Produtos!$B$2:$B$71,MATCH(C4075,Produtos!$A$2:$A$71,0)),"")</f>
        <v/>
      </c>
      <c r="O4075" s="25">
        <f>IFERROR(INDEX(Produtos!$C$2:$C$71,MATCH(C4075,Produtos!$A$2:$A$71,0)),"")</f>
        <v/>
      </c>
      <c r="P4075" s="25">
        <f>IFERROR(INDEX(Produtos!$D$2:$D$71,MATCH(C4075,Produtos!$A$2:$A$71,0)),0)</f>
        <v/>
      </c>
      <c r="Q4075" s="25">
        <f>IFERROR(INDEX(Produtos!$E$2:$E$71,MATCH(C4075,Produtos!$A$2:$A$71,0)),0)</f>
        <v/>
      </c>
      <c r="R4075" s="27">
        <f>D4075*Q4075</f>
        <v/>
      </c>
      <c r="S4075" s="27">
        <f>R4075*E4075</f>
        <v/>
      </c>
      <c r="T4075" s="27">
        <f>(R4075-S4075)*M4075</f>
        <v/>
      </c>
      <c r="U4075" s="27">
        <f>R4075-S4075-T4075</f>
        <v/>
      </c>
      <c r="V4075" s="27">
        <f>D4075*P4075</f>
        <v/>
      </c>
      <c r="W4075" s="27">
        <f>U4075-V4075</f>
        <v/>
      </c>
      <c r="X4075" s="28">
        <f>IFERROR(W4075/U4075,0)</f>
        <v/>
      </c>
    </row>
    <row r="4076">
      <c r="A4076" s="21">
        <f>ItensPedido!A4076</f>
        <v/>
      </c>
      <c r="B4076" s="21">
        <f>ItensPedido!B4076</f>
        <v/>
      </c>
      <c r="C4076" s="21">
        <f>ItensPedido!C4076</f>
        <v/>
      </c>
      <c r="D4076" s="21">
        <f>ItensPedido!D4076</f>
        <v/>
      </c>
      <c r="E4076" s="22">
        <f>ItensPedido!E4076</f>
        <v/>
      </c>
      <c r="F4076" s="21">
        <f>IFERROR(INDEX(Pedidos!$B$2:$B$1801,MATCH(B4076,Pedidos!$A$2:$A$1801,0)),0)</f>
        <v/>
      </c>
      <c r="G4076" s="21">
        <f>IF(F4076=0,"",YEAR(F4076))</f>
        <v/>
      </c>
      <c r="H4076" s="21">
        <f>IF(F4076=0,"",MONTH(F4076))</f>
        <v/>
      </c>
      <c r="I4076" s="21">
        <f>IFERROR(INDEX(Pedidos!$E$2:$E$1801,MATCH(B4076,Pedidos!$A$2:$A$1801,0)),"")</f>
        <v/>
      </c>
      <c r="J4076" s="21">
        <f>IFERROR(INDEX(Pedidos!$C$2:$C$1801,MATCH(B4076,Pedidos!$A$2:$A$1801,0)),"")</f>
        <v/>
      </c>
      <c r="K4076" s="21">
        <f>IFERROR(INDEX(Pedidos!$D$2:$D$1801,MATCH(B4076,Pedidos!$A$2:$A$1801,0)),"")</f>
        <v/>
      </c>
      <c r="L4076" s="21">
        <f>IFERROR(INDEX(Pedidos!$F$2:$F$1801,MATCH(B4076,Pedidos!$A$2:$A$1801,0)),"")</f>
        <v/>
      </c>
      <c r="M4076" s="22">
        <f>IFERROR(INDEX(Pedidos!$G$2:$G$1801,MATCH(B4076,Pedidos!$A$2:$A$1801,0)),0)</f>
        <v/>
      </c>
      <c r="N4076" s="21">
        <f>IFERROR(INDEX(Produtos!$B$2:$B$71,MATCH(C4076,Produtos!$A$2:$A$71,0)),"")</f>
        <v/>
      </c>
      <c r="O4076" s="21">
        <f>IFERROR(INDEX(Produtos!$C$2:$C$71,MATCH(C4076,Produtos!$A$2:$A$71,0)),"")</f>
        <v/>
      </c>
      <c r="P4076" s="21">
        <f>IFERROR(INDEX(Produtos!$D$2:$D$71,MATCH(C4076,Produtos!$A$2:$A$71,0)),0)</f>
        <v/>
      </c>
      <c r="Q4076" s="21">
        <f>IFERROR(INDEX(Produtos!$E$2:$E$71,MATCH(C4076,Produtos!$A$2:$A$71,0)),0)</f>
        <v/>
      </c>
      <c r="R4076" s="23">
        <f>D4076*Q4076</f>
        <v/>
      </c>
      <c r="S4076" s="23">
        <f>R4076*E4076</f>
        <v/>
      </c>
      <c r="T4076" s="23">
        <f>(R4076-S4076)*M4076</f>
        <v/>
      </c>
      <c r="U4076" s="23">
        <f>R4076-S4076-T4076</f>
        <v/>
      </c>
      <c r="V4076" s="23">
        <f>D4076*P4076</f>
        <v/>
      </c>
      <c r="W4076" s="23">
        <f>U4076-V4076</f>
        <v/>
      </c>
      <c r="X4076" s="24">
        <f>IFERROR(W4076/U4076,0)</f>
        <v/>
      </c>
    </row>
    <row r="4077">
      <c r="A4077" s="25">
        <f>ItensPedido!A4077</f>
        <v/>
      </c>
      <c r="B4077" s="25">
        <f>ItensPedido!B4077</f>
        <v/>
      </c>
      <c r="C4077" s="25">
        <f>ItensPedido!C4077</f>
        <v/>
      </c>
      <c r="D4077" s="25">
        <f>ItensPedido!D4077</f>
        <v/>
      </c>
      <c r="E4077" s="26">
        <f>ItensPedido!E4077</f>
        <v/>
      </c>
      <c r="F4077" s="25">
        <f>IFERROR(INDEX(Pedidos!$B$2:$B$1801,MATCH(B4077,Pedidos!$A$2:$A$1801,0)),0)</f>
        <v/>
      </c>
      <c r="G4077" s="25">
        <f>IF(F4077=0,"",YEAR(F4077))</f>
        <v/>
      </c>
      <c r="H4077" s="25">
        <f>IF(F4077=0,"",MONTH(F4077))</f>
        <v/>
      </c>
      <c r="I4077" s="25">
        <f>IFERROR(INDEX(Pedidos!$E$2:$E$1801,MATCH(B4077,Pedidos!$A$2:$A$1801,0)),"")</f>
        <v/>
      </c>
      <c r="J4077" s="25">
        <f>IFERROR(INDEX(Pedidos!$C$2:$C$1801,MATCH(B4077,Pedidos!$A$2:$A$1801,0)),"")</f>
        <v/>
      </c>
      <c r="K4077" s="25">
        <f>IFERROR(INDEX(Pedidos!$D$2:$D$1801,MATCH(B4077,Pedidos!$A$2:$A$1801,0)),"")</f>
        <v/>
      </c>
      <c r="L4077" s="25">
        <f>IFERROR(INDEX(Pedidos!$F$2:$F$1801,MATCH(B4077,Pedidos!$A$2:$A$1801,0)),"")</f>
        <v/>
      </c>
      <c r="M4077" s="26">
        <f>IFERROR(INDEX(Pedidos!$G$2:$G$1801,MATCH(B4077,Pedidos!$A$2:$A$1801,0)),0)</f>
        <v/>
      </c>
      <c r="N4077" s="25">
        <f>IFERROR(INDEX(Produtos!$B$2:$B$71,MATCH(C4077,Produtos!$A$2:$A$71,0)),"")</f>
        <v/>
      </c>
      <c r="O4077" s="25">
        <f>IFERROR(INDEX(Produtos!$C$2:$C$71,MATCH(C4077,Produtos!$A$2:$A$71,0)),"")</f>
        <v/>
      </c>
      <c r="P4077" s="25">
        <f>IFERROR(INDEX(Produtos!$D$2:$D$71,MATCH(C4077,Produtos!$A$2:$A$71,0)),0)</f>
        <v/>
      </c>
      <c r="Q4077" s="25">
        <f>IFERROR(INDEX(Produtos!$E$2:$E$71,MATCH(C4077,Produtos!$A$2:$A$71,0)),0)</f>
        <v/>
      </c>
      <c r="R4077" s="27">
        <f>D4077*Q4077</f>
        <v/>
      </c>
      <c r="S4077" s="27">
        <f>R4077*E4077</f>
        <v/>
      </c>
      <c r="T4077" s="27">
        <f>(R4077-S4077)*M4077</f>
        <v/>
      </c>
      <c r="U4077" s="27">
        <f>R4077-S4077-T4077</f>
        <v/>
      </c>
      <c r="V4077" s="27">
        <f>D4077*P4077</f>
        <v/>
      </c>
      <c r="W4077" s="27">
        <f>U4077-V4077</f>
        <v/>
      </c>
      <c r="X4077" s="28">
        <f>IFERROR(W4077/U4077,0)</f>
        <v/>
      </c>
    </row>
    <row r="4078">
      <c r="A4078" s="21">
        <f>ItensPedido!A4078</f>
        <v/>
      </c>
      <c r="B4078" s="21">
        <f>ItensPedido!B4078</f>
        <v/>
      </c>
      <c r="C4078" s="21">
        <f>ItensPedido!C4078</f>
        <v/>
      </c>
      <c r="D4078" s="21">
        <f>ItensPedido!D4078</f>
        <v/>
      </c>
      <c r="E4078" s="22">
        <f>ItensPedido!E4078</f>
        <v/>
      </c>
      <c r="F4078" s="21">
        <f>IFERROR(INDEX(Pedidos!$B$2:$B$1801,MATCH(B4078,Pedidos!$A$2:$A$1801,0)),0)</f>
        <v/>
      </c>
      <c r="G4078" s="21">
        <f>IF(F4078=0,"",YEAR(F4078))</f>
        <v/>
      </c>
      <c r="H4078" s="21">
        <f>IF(F4078=0,"",MONTH(F4078))</f>
        <v/>
      </c>
      <c r="I4078" s="21">
        <f>IFERROR(INDEX(Pedidos!$E$2:$E$1801,MATCH(B4078,Pedidos!$A$2:$A$1801,0)),"")</f>
        <v/>
      </c>
      <c r="J4078" s="21">
        <f>IFERROR(INDEX(Pedidos!$C$2:$C$1801,MATCH(B4078,Pedidos!$A$2:$A$1801,0)),"")</f>
        <v/>
      </c>
      <c r="K4078" s="21">
        <f>IFERROR(INDEX(Pedidos!$D$2:$D$1801,MATCH(B4078,Pedidos!$A$2:$A$1801,0)),"")</f>
        <v/>
      </c>
      <c r="L4078" s="21">
        <f>IFERROR(INDEX(Pedidos!$F$2:$F$1801,MATCH(B4078,Pedidos!$A$2:$A$1801,0)),"")</f>
        <v/>
      </c>
      <c r="M4078" s="22">
        <f>IFERROR(INDEX(Pedidos!$G$2:$G$1801,MATCH(B4078,Pedidos!$A$2:$A$1801,0)),0)</f>
        <v/>
      </c>
      <c r="N4078" s="21">
        <f>IFERROR(INDEX(Produtos!$B$2:$B$71,MATCH(C4078,Produtos!$A$2:$A$71,0)),"")</f>
        <v/>
      </c>
      <c r="O4078" s="21">
        <f>IFERROR(INDEX(Produtos!$C$2:$C$71,MATCH(C4078,Produtos!$A$2:$A$71,0)),"")</f>
        <v/>
      </c>
      <c r="P4078" s="21">
        <f>IFERROR(INDEX(Produtos!$D$2:$D$71,MATCH(C4078,Produtos!$A$2:$A$71,0)),0)</f>
        <v/>
      </c>
      <c r="Q4078" s="21">
        <f>IFERROR(INDEX(Produtos!$E$2:$E$71,MATCH(C4078,Produtos!$A$2:$A$71,0)),0)</f>
        <v/>
      </c>
      <c r="R4078" s="23">
        <f>D4078*Q4078</f>
        <v/>
      </c>
      <c r="S4078" s="23">
        <f>R4078*E4078</f>
        <v/>
      </c>
      <c r="T4078" s="23">
        <f>(R4078-S4078)*M4078</f>
        <v/>
      </c>
      <c r="U4078" s="23">
        <f>R4078-S4078-T4078</f>
        <v/>
      </c>
      <c r="V4078" s="23">
        <f>D4078*P4078</f>
        <v/>
      </c>
      <c r="W4078" s="23">
        <f>U4078-V4078</f>
        <v/>
      </c>
      <c r="X4078" s="24">
        <f>IFERROR(W4078/U4078,0)</f>
        <v/>
      </c>
    </row>
    <row r="4079">
      <c r="A4079" s="25">
        <f>ItensPedido!A4079</f>
        <v/>
      </c>
      <c r="B4079" s="25">
        <f>ItensPedido!B4079</f>
        <v/>
      </c>
      <c r="C4079" s="25">
        <f>ItensPedido!C4079</f>
        <v/>
      </c>
      <c r="D4079" s="25">
        <f>ItensPedido!D4079</f>
        <v/>
      </c>
      <c r="E4079" s="26">
        <f>ItensPedido!E4079</f>
        <v/>
      </c>
      <c r="F4079" s="25">
        <f>IFERROR(INDEX(Pedidos!$B$2:$B$1801,MATCH(B4079,Pedidos!$A$2:$A$1801,0)),0)</f>
        <v/>
      </c>
      <c r="G4079" s="25">
        <f>IF(F4079=0,"",YEAR(F4079))</f>
        <v/>
      </c>
      <c r="H4079" s="25">
        <f>IF(F4079=0,"",MONTH(F4079))</f>
        <v/>
      </c>
      <c r="I4079" s="25">
        <f>IFERROR(INDEX(Pedidos!$E$2:$E$1801,MATCH(B4079,Pedidos!$A$2:$A$1801,0)),"")</f>
        <v/>
      </c>
      <c r="J4079" s="25">
        <f>IFERROR(INDEX(Pedidos!$C$2:$C$1801,MATCH(B4079,Pedidos!$A$2:$A$1801,0)),"")</f>
        <v/>
      </c>
      <c r="K4079" s="25">
        <f>IFERROR(INDEX(Pedidos!$D$2:$D$1801,MATCH(B4079,Pedidos!$A$2:$A$1801,0)),"")</f>
        <v/>
      </c>
      <c r="L4079" s="25">
        <f>IFERROR(INDEX(Pedidos!$F$2:$F$1801,MATCH(B4079,Pedidos!$A$2:$A$1801,0)),"")</f>
        <v/>
      </c>
      <c r="M4079" s="26">
        <f>IFERROR(INDEX(Pedidos!$G$2:$G$1801,MATCH(B4079,Pedidos!$A$2:$A$1801,0)),0)</f>
        <v/>
      </c>
      <c r="N4079" s="25">
        <f>IFERROR(INDEX(Produtos!$B$2:$B$71,MATCH(C4079,Produtos!$A$2:$A$71,0)),"")</f>
        <v/>
      </c>
      <c r="O4079" s="25">
        <f>IFERROR(INDEX(Produtos!$C$2:$C$71,MATCH(C4079,Produtos!$A$2:$A$71,0)),"")</f>
        <v/>
      </c>
      <c r="P4079" s="25">
        <f>IFERROR(INDEX(Produtos!$D$2:$D$71,MATCH(C4079,Produtos!$A$2:$A$71,0)),0)</f>
        <v/>
      </c>
      <c r="Q4079" s="25">
        <f>IFERROR(INDEX(Produtos!$E$2:$E$71,MATCH(C4079,Produtos!$A$2:$A$71,0)),0)</f>
        <v/>
      </c>
      <c r="R4079" s="27">
        <f>D4079*Q4079</f>
        <v/>
      </c>
      <c r="S4079" s="27">
        <f>R4079*E4079</f>
        <v/>
      </c>
      <c r="T4079" s="27">
        <f>(R4079-S4079)*M4079</f>
        <v/>
      </c>
      <c r="U4079" s="27">
        <f>R4079-S4079-T4079</f>
        <v/>
      </c>
      <c r="V4079" s="27">
        <f>D4079*P4079</f>
        <v/>
      </c>
      <c r="W4079" s="27">
        <f>U4079-V4079</f>
        <v/>
      </c>
      <c r="X4079" s="28">
        <f>IFERROR(W4079/U4079,0)</f>
        <v/>
      </c>
    </row>
    <row r="4080">
      <c r="A4080" s="21">
        <f>ItensPedido!A4080</f>
        <v/>
      </c>
      <c r="B4080" s="21">
        <f>ItensPedido!B4080</f>
        <v/>
      </c>
      <c r="C4080" s="21">
        <f>ItensPedido!C4080</f>
        <v/>
      </c>
      <c r="D4080" s="21">
        <f>ItensPedido!D4080</f>
        <v/>
      </c>
      <c r="E4080" s="22">
        <f>ItensPedido!E4080</f>
        <v/>
      </c>
      <c r="F4080" s="21">
        <f>IFERROR(INDEX(Pedidos!$B$2:$B$1801,MATCH(B4080,Pedidos!$A$2:$A$1801,0)),0)</f>
        <v/>
      </c>
      <c r="G4080" s="21">
        <f>IF(F4080=0,"",YEAR(F4080))</f>
        <v/>
      </c>
      <c r="H4080" s="21">
        <f>IF(F4080=0,"",MONTH(F4080))</f>
        <v/>
      </c>
      <c r="I4080" s="21">
        <f>IFERROR(INDEX(Pedidos!$E$2:$E$1801,MATCH(B4080,Pedidos!$A$2:$A$1801,0)),"")</f>
        <v/>
      </c>
      <c r="J4080" s="21">
        <f>IFERROR(INDEX(Pedidos!$C$2:$C$1801,MATCH(B4080,Pedidos!$A$2:$A$1801,0)),"")</f>
        <v/>
      </c>
      <c r="K4080" s="21">
        <f>IFERROR(INDEX(Pedidos!$D$2:$D$1801,MATCH(B4080,Pedidos!$A$2:$A$1801,0)),"")</f>
        <v/>
      </c>
      <c r="L4080" s="21">
        <f>IFERROR(INDEX(Pedidos!$F$2:$F$1801,MATCH(B4080,Pedidos!$A$2:$A$1801,0)),"")</f>
        <v/>
      </c>
      <c r="M4080" s="22">
        <f>IFERROR(INDEX(Pedidos!$G$2:$G$1801,MATCH(B4080,Pedidos!$A$2:$A$1801,0)),0)</f>
        <v/>
      </c>
      <c r="N4080" s="21">
        <f>IFERROR(INDEX(Produtos!$B$2:$B$71,MATCH(C4080,Produtos!$A$2:$A$71,0)),"")</f>
        <v/>
      </c>
      <c r="O4080" s="21">
        <f>IFERROR(INDEX(Produtos!$C$2:$C$71,MATCH(C4080,Produtos!$A$2:$A$71,0)),"")</f>
        <v/>
      </c>
      <c r="P4080" s="21">
        <f>IFERROR(INDEX(Produtos!$D$2:$D$71,MATCH(C4080,Produtos!$A$2:$A$71,0)),0)</f>
        <v/>
      </c>
      <c r="Q4080" s="21">
        <f>IFERROR(INDEX(Produtos!$E$2:$E$71,MATCH(C4080,Produtos!$A$2:$A$71,0)),0)</f>
        <v/>
      </c>
      <c r="R4080" s="23">
        <f>D4080*Q4080</f>
        <v/>
      </c>
      <c r="S4080" s="23">
        <f>R4080*E4080</f>
        <v/>
      </c>
      <c r="T4080" s="23">
        <f>(R4080-S4080)*M4080</f>
        <v/>
      </c>
      <c r="U4080" s="23">
        <f>R4080-S4080-T4080</f>
        <v/>
      </c>
      <c r="V4080" s="23">
        <f>D4080*P4080</f>
        <v/>
      </c>
      <c r="W4080" s="23">
        <f>U4080-V4080</f>
        <v/>
      </c>
      <c r="X4080" s="24">
        <f>IFERROR(W4080/U4080,0)</f>
        <v/>
      </c>
    </row>
    <row r="4081">
      <c r="A4081" s="25">
        <f>ItensPedido!A4081</f>
        <v/>
      </c>
      <c r="B4081" s="25">
        <f>ItensPedido!B4081</f>
        <v/>
      </c>
      <c r="C4081" s="25">
        <f>ItensPedido!C4081</f>
        <v/>
      </c>
      <c r="D4081" s="25">
        <f>ItensPedido!D4081</f>
        <v/>
      </c>
      <c r="E4081" s="26">
        <f>ItensPedido!E4081</f>
        <v/>
      </c>
      <c r="F4081" s="25">
        <f>IFERROR(INDEX(Pedidos!$B$2:$B$1801,MATCH(B4081,Pedidos!$A$2:$A$1801,0)),0)</f>
        <v/>
      </c>
      <c r="G4081" s="25">
        <f>IF(F4081=0,"",YEAR(F4081))</f>
        <v/>
      </c>
      <c r="H4081" s="25">
        <f>IF(F4081=0,"",MONTH(F4081))</f>
        <v/>
      </c>
      <c r="I4081" s="25">
        <f>IFERROR(INDEX(Pedidos!$E$2:$E$1801,MATCH(B4081,Pedidos!$A$2:$A$1801,0)),"")</f>
        <v/>
      </c>
      <c r="J4081" s="25">
        <f>IFERROR(INDEX(Pedidos!$C$2:$C$1801,MATCH(B4081,Pedidos!$A$2:$A$1801,0)),"")</f>
        <v/>
      </c>
      <c r="K4081" s="25">
        <f>IFERROR(INDEX(Pedidos!$D$2:$D$1801,MATCH(B4081,Pedidos!$A$2:$A$1801,0)),"")</f>
        <v/>
      </c>
      <c r="L4081" s="25">
        <f>IFERROR(INDEX(Pedidos!$F$2:$F$1801,MATCH(B4081,Pedidos!$A$2:$A$1801,0)),"")</f>
        <v/>
      </c>
      <c r="M4081" s="26">
        <f>IFERROR(INDEX(Pedidos!$G$2:$G$1801,MATCH(B4081,Pedidos!$A$2:$A$1801,0)),0)</f>
        <v/>
      </c>
      <c r="N4081" s="25">
        <f>IFERROR(INDEX(Produtos!$B$2:$B$71,MATCH(C4081,Produtos!$A$2:$A$71,0)),"")</f>
        <v/>
      </c>
      <c r="O4081" s="25">
        <f>IFERROR(INDEX(Produtos!$C$2:$C$71,MATCH(C4081,Produtos!$A$2:$A$71,0)),"")</f>
        <v/>
      </c>
      <c r="P4081" s="25">
        <f>IFERROR(INDEX(Produtos!$D$2:$D$71,MATCH(C4081,Produtos!$A$2:$A$71,0)),0)</f>
        <v/>
      </c>
      <c r="Q4081" s="25">
        <f>IFERROR(INDEX(Produtos!$E$2:$E$71,MATCH(C4081,Produtos!$A$2:$A$71,0)),0)</f>
        <v/>
      </c>
      <c r="R4081" s="27">
        <f>D4081*Q4081</f>
        <v/>
      </c>
      <c r="S4081" s="27">
        <f>R4081*E4081</f>
        <v/>
      </c>
      <c r="T4081" s="27">
        <f>(R4081-S4081)*M4081</f>
        <v/>
      </c>
      <c r="U4081" s="27">
        <f>R4081-S4081-T4081</f>
        <v/>
      </c>
      <c r="V4081" s="27">
        <f>D4081*P4081</f>
        <v/>
      </c>
      <c r="W4081" s="27">
        <f>U4081-V4081</f>
        <v/>
      </c>
      <c r="X4081" s="28">
        <f>IFERROR(W4081/U4081,0)</f>
        <v/>
      </c>
    </row>
    <row r="4082">
      <c r="A4082" s="21">
        <f>ItensPedido!A4082</f>
        <v/>
      </c>
      <c r="B4082" s="21">
        <f>ItensPedido!B4082</f>
        <v/>
      </c>
      <c r="C4082" s="21">
        <f>ItensPedido!C4082</f>
        <v/>
      </c>
      <c r="D4082" s="21">
        <f>ItensPedido!D4082</f>
        <v/>
      </c>
      <c r="E4082" s="22">
        <f>ItensPedido!E4082</f>
        <v/>
      </c>
      <c r="F4082" s="21">
        <f>IFERROR(INDEX(Pedidos!$B$2:$B$1801,MATCH(B4082,Pedidos!$A$2:$A$1801,0)),0)</f>
        <v/>
      </c>
      <c r="G4082" s="21">
        <f>IF(F4082=0,"",YEAR(F4082))</f>
        <v/>
      </c>
      <c r="H4082" s="21">
        <f>IF(F4082=0,"",MONTH(F4082))</f>
        <v/>
      </c>
      <c r="I4082" s="21">
        <f>IFERROR(INDEX(Pedidos!$E$2:$E$1801,MATCH(B4082,Pedidos!$A$2:$A$1801,0)),"")</f>
        <v/>
      </c>
      <c r="J4082" s="21">
        <f>IFERROR(INDEX(Pedidos!$C$2:$C$1801,MATCH(B4082,Pedidos!$A$2:$A$1801,0)),"")</f>
        <v/>
      </c>
      <c r="K4082" s="21">
        <f>IFERROR(INDEX(Pedidos!$D$2:$D$1801,MATCH(B4082,Pedidos!$A$2:$A$1801,0)),"")</f>
        <v/>
      </c>
      <c r="L4082" s="21">
        <f>IFERROR(INDEX(Pedidos!$F$2:$F$1801,MATCH(B4082,Pedidos!$A$2:$A$1801,0)),"")</f>
        <v/>
      </c>
      <c r="M4082" s="22">
        <f>IFERROR(INDEX(Pedidos!$G$2:$G$1801,MATCH(B4082,Pedidos!$A$2:$A$1801,0)),0)</f>
        <v/>
      </c>
      <c r="N4082" s="21">
        <f>IFERROR(INDEX(Produtos!$B$2:$B$71,MATCH(C4082,Produtos!$A$2:$A$71,0)),"")</f>
        <v/>
      </c>
      <c r="O4082" s="21">
        <f>IFERROR(INDEX(Produtos!$C$2:$C$71,MATCH(C4082,Produtos!$A$2:$A$71,0)),"")</f>
        <v/>
      </c>
      <c r="P4082" s="21">
        <f>IFERROR(INDEX(Produtos!$D$2:$D$71,MATCH(C4082,Produtos!$A$2:$A$71,0)),0)</f>
        <v/>
      </c>
      <c r="Q4082" s="21">
        <f>IFERROR(INDEX(Produtos!$E$2:$E$71,MATCH(C4082,Produtos!$A$2:$A$71,0)),0)</f>
        <v/>
      </c>
      <c r="R4082" s="23">
        <f>D4082*Q4082</f>
        <v/>
      </c>
      <c r="S4082" s="23">
        <f>R4082*E4082</f>
        <v/>
      </c>
      <c r="T4082" s="23">
        <f>(R4082-S4082)*M4082</f>
        <v/>
      </c>
      <c r="U4082" s="23">
        <f>R4082-S4082-T4082</f>
        <v/>
      </c>
      <c r="V4082" s="23">
        <f>D4082*P4082</f>
        <v/>
      </c>
      <c r="W4082" s="23">
        <f>U4082-V4082</f>
        <v/>
      </c>
      <c r="X4082" s="24">
        <f>IFERROR(W4082/U4082,0)</f>
        <v/>
      </c>
    </row>
    <row r="4083">
      <c r="A4083" s="25">
        <f>ItensPedido!A4083</f>
        <v/>
      </c>
      <c r="B4083" s="25">
        <f>ItensPedido!B4083</f>
        <v/>
      </c>
      <c r="C4083" s="25">
        <f>ItensPedido!C4083</f>
        <v/>
      </c>
      <c r="D4083" s="25">
        <f>ItensPedido!D4083</f>
        <v/>
      </c>
      <c r="E4083" s="26">
        <f>ItensPedido!E4083</f>
        <v/>
      </c>
      <c r="F4083" s="25">
        <f>IFERROR(INDEX(Pedidos!$B$2:$B$1801,MATCH(B4083,Pedidos!$A$2:$A$1801,0)),0)</f>
        <v/>
      </c>
      <c r="G4083" s="25">
        <f>IF(F4083=0,"",YEAR(F4083))</f>
        <v/>
      </c>
      <c r="H4083" s="25">
        <f>IF(F4083=0,"",MONTH(F4083))</f>
        <v/>
      </c>
      <c r="I4083" s="25">
        <f>IFERROR(INDEX(Pedidos!$E$2:$E$1801,MATCH(B4083,Pedidos!$A$2:$A$1801,0)),"")</f>
        <v/>
      </c>
      <c r="J4083" s="25">
        <f>IFERROR(INDEX(Pedidos!$C$2:$C$1801,MATCH(B4083,Pedidos!$A$2:$A$1801,0)),"")</f>
        <v/>
      </c>
      <c r="K4083" s="25">
        <f>IFERROR(INDEX(Pedidos!$D$2:$D$1801,MATCH(B4083,Pedidos!$A$2:$A$1801,0)),"")</f>
        <v/>
      </c>
      <c r="L4083" s="25">
        <f>IFERROR(INDEX(Pedidos!$F$2:$F$1801,MATCH(B4083,Pedidos!$A$2:$A$1801,0)),"")</f>
        <v/>
      </c>
      <c r="M4083" s="26">
        <f>IFERROR(INDEX(Pedidos!$G$2:$G$1801,MATCH(B4083,Pedidos!$A$2:$A$1801,0)),0)</f>
        <v/>
      </c>
      <c r="N4083" s="25">
        <f>IFERROR(INDEX(Produtos!$B$2:$B$71,MATCH(C4083,Produtos!$A$2:$A$71,0)),"")</f>
        <v/>
      </c>
      <c r="O4083" s="25">
        <f>IFERROR(INDEX(Produtos!$C$2:$C$71,MATCH(C4083,Produtos!$A$2:$A$71,0)),"")</f>
        <v/>
      </c>
      <c r="P4083" s="25">
        <f>IFERROR(INDEX(Produtos!$D$2:$D$71,MATCH(C4083,Produtos!$A$2:$A$71,0)),0)</f>
        <v/>
      </c>
      <c r="Q4083" s="25">
        <f>IFERROR(INDEX(Produtos!$E$2:$E$71,MATCH(C4083,Produtos!$A$2:$A$71,0)),0)</f>
        <v/>
      </c>
      <c r="R4083" s="27">
        <f>D4083*Q4083</f>
        <v/>
      </c>
      <c r="S4083" s="27">
        <f>R4083*E4083</f>
        <v/>
      </c>
      <c r="T4083" s="27">
        <f>(R4083-S4083)*M4083</f>
        <v/>
      </c>
      <c r="U4083" s="27">
        <f>R4083-S4083-T4083</f>
        <v/>
      </c>
      <c r="V4083" s="27">
        <f>D4083*P4083</f>
        <v/>
      </c>
      <c r="W4083" s="27">
        <f>U4083-V4083</f>
        <v/>
      </c>
      <c r="X4083" s="28">
        <f>IFERROR(W4083/U4083,0)</f>
        <v/>
      </c>
    </row>
    <row r="4084">
      <c r="A4084" s="21">
        <f>ItensPedido!A4084</f>
        <v/>
      </c>
      <c r="B4084" s="21">
        <f>ItensPedido!B4084</f>
        <v/>
      </c>
      <c r="C4084" s="21">
        <f>ItensPedido!C4084</f>
        <v/>
      </c>
      <c r="D4084" s="21">
        <f>ItensPedido!D4084</f>
        <v/>
      </c>
      <c r="E4084" s="22">
        <f>ItensPedido!E4084</f>
        <v/>
      </c>
      <c r="F4084" s="21">
        <f>IFERROR(INDEX(Pedidos!$B$2:$B$1801,MATCH(B4084,Pedidos!$A$2:$A$1801,0)),0)</f>
        <v/>
      </c>
      <c r="G4084" s="21">
        <f>IF(F4084=0,"",YEAR(F4084))</f>
        <v/>
      </c>
      <c r="H4084" s="21">
        <f>IF(F4084=0,"",MONTH(F4084))</f>
        <v/>
      </c>
      <c r="I4084" s="21">
        <f>IFERROR(INDEX(Pedidos!$E$2:$E$1801,MATCH(B4084,Pedidos!$A$2:$A$1801,0)),"")</f>
        <v/>
      </c>
      <c r="J4084" s="21">
        <f>IFERROR(INDEX(Pedidos!$C$2:$C$1801,MATCH(B4084,Pedidos!$A$2:$A$1801,0)),"")</f>
        <v/>
      </c>
      <c r="K4084" s="21">
        <f>IFERROR(INDEX(Pedidos!$D$2:$D$1801,MATCH(B4084,Pedidos!$A$2:$A$1801,0)),"")</f>
        <v/>
      </c>
      <c r="L4084" s="21">
        <f>IFERROR(INDEX(Pedidos!$F$2:$F$1801,MATCH(B4084,Pedidos!$A$2:$A$1801,0)),"")</f>
        <v/>
      </c>
      <c r="M4084" s="22">
        <f>IFERROR(INDEX(Pedidos!$G$2:$G$1801,MATCH(B4084,Pedidos!$A$2:$A$1801,0)),0)</f>
        <v/>
      </c>
      <c r="N4084" s="21">
        <f>IFERROR(INDEX(Produtos!$B$2:$B$71,MATCH(C4084,Produtos!$A$2:$A$71,0)),"")</f>
        <v/>
      </c>
      <c r="O4084" s="21">
        <f>IFERROR(INDEX(Produtos!$C$2:$C$71,MATCH(C4084,Produtos!$A$2:$A$71,0)),"")</f>
        <v/>
      </c>
      <c r="P4084" s="21">
        <f>IFERROR(INDEX(Produtos!$D$2:$D$71,MATCH(C4084,Produtos!$A$2:$A$71,0)),0)</f>
        <v/>
      </c>
      <c r="Q4084" s="21">
        <f>IFERROR(INDEX(Produtos!$E$2:$E$71,MATCH(C4084,Produtos!$A$2:$A$71,0)),0)</f>
        <v/>
      </c>
      <c r="R4084" s="23">
        <f>D4084*Q4084</f>
        <v/>
      </c>
      <c r="S4084" s="23">
        <f>R4084*E4084</f>
        <v/>
      </c>
      <c r="T4084" s="23">
        <f>(R4084-S4084)*M4084</f>
        <v/>
      </c>
      <c r="U4084" s="23">
        <f>R4084-S4084-T4084</f>
        <v/>
      </c>
      <c r="V4084" s="23">
        <f>D4084*P4084</f>
        <v/>
      </c>
      <c r="W4084" s="23">
        <f>U4084-V4084</f>
        <v/>
      </c>
      <c r="X4084" s="24">
        <f>IFERROR(W4084/U4084,0)</f>
        <v/>
      </c>
    </row>
    <row r="4085">
      <c r="A4085" s="25">
        <f>ItensPedido!A4085</f>
        <v/>
      </c>
      <c r="B4085" s="25">
        <f>ItensPedido!B4085</f>
        <v/>
      </c>
      <c r="C4085" s="25">
        <f>ItensPedido!C4085</f>
        <v/>
      </c>
      <c r="D4085" s="25">
        <f>ItensPedido!D4085</f>
        <v/>
      </c>
      <c r="E4085" s="26">
        <f>ItensPedido!E4085</f>
        <v/>
      </c>
      <c r="F4085" s="25">
        <f>IFERROR(INDEX(Pedidos!$B$2:$B$1801,MATCH(B4085,Pedidos!$A$2:$A$1801,0)),0)</f>
        <v/>
      </c>
      <c r="G4085" s="25">
        <f>IF(F4085=0,"",YEAR(F4085))</f>
        <v/>
      </c>
      <c r="H4085" s="25">
        <f>IF(F4085=0,"",MONTH(F4085))</f>
        <v/>
      </c>
      <c r="I4085" s="25">
        <f>IFERROR(INDEX(Pedidos!$E$2:$E$1801,MATCH(B4085,Pedidos!$A$2:$A$1801,0)),"")</f>
        <v/>
      </c>
      <c r="J4085" s="25">
        <f>IFERROR(INDEX(Pedidos!$C$2:$C$1801,MATCH(B4085,Pedidos!$A$2:$A$1801,0)),"")</f>
        <v/>
      </c>
      <c r="K4085" s="25">
        <f>IFERROR(INDEX(Pedidos!$D$2:$D$1801,MATCH(B4085,Pedidos!$A$2:$A$1801,0)),"")</f>
        <v/>
      </c>
      <c r="L4085" s="25">
        <f>IFERROR(INDEX(Pedidos!$F$2:$F$1801,MATCH(B4085,Pedidos!$A$2:$A$1801,0)),"")</f>
        <v/>
      </c>
      <c r="M4085" s="26">
        <f>IFERROR(INDEX(Pedidos!$G$2:$G$1801,MATCH(B4085,Pedidos!$A$2:$A$1801,0)),0)</f>
        <v/>
      </c>
      <c r="N4085" s="25">
        <f>IFERROR(INDEX(Produtos!$B$2:$B$71,MATCH(C4085,Produtos!$A$2:$A$71,0)),"")</f>
        <v/>
      </c>
      <c r="O4085" s="25">
        <f>IFERROR(INDEX(Produtos!$C$2:$C$71,MATCH(C4085,Produtos!$A$2:$A$71,0)),"")</f>
        <v/>
      </c>
      <c r="P4085" s="25">
        <f>IFERROR(INDEX(Produtos!$D$2:$D$71,MATCH(C4085,Produtos!$A$2:$A$71,0)),0)</f>
        <v/>
      </c>
      <c r="Q4085" s="25">
        <f>IFERROR(INDEX(Produtos!$E$2:$E$71,MATCH(C4085,Produtos!$A$2:$A$71,0)),0)</f>
        <v/>
      </c>
      <c r="R4085" s="27">
        <f>D4085*Q4085</f>
        <v/>
      </c>
      <c r="S4085" s="27">
        <f>R4085*E4085</f>
        <v/>
      </c>
      <c r="T4085" s="27">
        <f>(R4085-S4085)*M4085</f>
        <v/>
      </c>
      <c r="U4085" s="27">
        <f>R4085-S4085-T4085</f>
        <v/>
      </c>
      <c r="V4085" s="27">
        <f>D4085*P4085</f>
        <v/>
      </c>
      <c r="W4085" s="27">
        <f>U4085-V4085</f>
        <v/>
      </c>
      <c r="X4085" s="28">
        <f>IFERROR(W4085/U4085,0)</f>
        <v/>
      </c>
    </row>
    <row r="4086">
      <c r="A4086" s="21">
        <f>ItensPedido!A4086</f>
        <v/>
      </c>
      <c r="B4086" s="21">
        <f>ItensPedido!B4086</f>
        <v/>
      </c>
      <c r="C4086" s="21">
        <f>ItensPedido!C4086</f>
        <v/>
      </c>
      <c r="D4086" s="21">
        <f>ItensPedido!D4086</f>
        <v/>
      </c>
      <c r="E4086" s="22">
        <f>ItensPedido!E4086</f>
        <v/>
      </c>
      <c r="F4086" s="21">
        <f>IFERROR(INDEX(Pedidos!$B$2:$B$1801,MATCH(B4086,Pedidos!$A$2:$A$1801,0)),0)</f>
        <v/>
      </c>
      <c r="G4086" s="21">
        <f>IF(F4086=0,"",YEAR(F4086))</f>
        <v/>
      </c>
      <c r="H4086" s="21">
        <f>IF(F4086=0,"",MONTH(F4086))</f>
        <v/>
      </c>
      <c r="I4086" s="21">
        <f>IFERROR(INDEX(Pedidos!$E$2:$E$1801,MATCH(B4086,Pedidos!$A$2:$A$1801,0)),"")</f>
        <v/>
      </c>
      <c r="J4086" s="21">
        <f>IFERROR(INDEX(Pedidos!$C$2:$C$1801,MATCH(B4086,Pedidos!$A$2:$A$1801,0)),"")</f>
        <v/>
      </c>
      <c r="K4086" s="21">
        <f>IFERROR(INDEX(Pedidos!$D$2:$D$1801,MATCH(B4086,Pedidos!$A$2:$A$1801,0)),"")</f>
        <v/>
      </c>
      <c r="L4086" s="21">
        <f>IFERROR(INDEX(Pedidos!$F$2:$F$1801,MATCH(B4086,Pedidos!$A$2:$A$1801,0)),"")</f>
        <v/>
      </c>
      <c r="M4086" s="22">
        <f>IFERROR(INDEX(Pedidos!$G$2:$G$1801,MATCH(B4086,Pedidos!$A$2:$A$1801,0)),0)</f>
        <v/>
      </c>
      <c r="N4086" s="21">
        <f>IFERROR(INDEX(Produtos!$B$2:$B$71,MATCH(C4086,Produtos!$A$2:$A$71,0)),"")</f>
        <v/>
      </c>
      <c r="O4086" s="21">
        <f>IFERROR(INDEX(Produtos!$C$2:$C$71,MATCH(C4086,Produtos!$A$2:$A$71,0)),"")</f>
        <v/>
      </c>
      <c r="P4086" s="21">
        <f>IFERROR(INDEX(Produtos!$D$2:$D$71,MATCH(C4086,Produtos!$A$2:$A$71,0)),0)</f>
        <v/>
      </c>
      <c r="Q4086" s="21">
        <f>IFERROR(INDEX(Produtos!$E$2:$E$71,MATCH(C4086,Produtos!$A$2:$A$71,0)),0)</f>
        <v/>
      </c>
      <c r="R4086" s="23">
        <f>D4086*Q4086</f>
        <v/>
      </c>
      <c r="S4086" s="23">
        <f>R4086*E4086</f>
        <v/>
      </c>
      <c r="T4086" s="23">
        <f>(R4086-S4086)*M4086</f>
        <v/>
      </c>
      <c r="U4086" s="23">
        <f>R4086-S4086-T4086</f>
        <v/>
      </c>
      <c r="V4086" s="23">
        <f>D4086*P4086</f>
        <v/>
      </c>
      <c r="W4086" s="23">
        <f>U4086-V4086</f>
        <v/>
      </c>
      <c r="X4086" s="24">
        <f>IFERROR(W4086/U4086,0)</f>
        <v/>
      </c>
    </row>
    <row r="4087">
      <c r="A4087" s="25">
        <f>ItensPedido!A4087</f>
        <v/>
      </c>
      <c r="B4087" s="25">
        <f>ItensPedido!B4087</f>
        <v/>
      </c>
      <c r="C4087" s="25">
        <f>ItensPedido!C4087</f>
        <v/>
      </c>
      <c r="D4087" s="25">
        <f>ItensPedido!D4087</f>
        <v/>
      </c>
      <c r="E4087" s="26">
        <f>ItensPedido!E4087</f>
        <v/>
      </c>
      <c r="F4087" s="25">
        <f>IFERROR(INDEX(Pedidos!$B$2:$B$1801,MATCH(B4087,Pedidos!$A$2:$A$1801,0)),0)</f>
        <v/>
      </c>
      <c r="G4087" s="25">
        <f>IF(F4087=0,"",YEAR(F4087))</f>
        <v/>
      </c>
      <c r="H4087" s="25">
        <f>IF(F4087=0,"",MONTH(F4087))</f>
        <v/>
      </c>
      <c r="I4087" s="25">
        <f>IFERROR(INDEX(Pedidos!$E$2:$E$1801,MATCH(B4087,Pedidos!$A$2:$A$1801,0)),"")</f>
        <v/>
      </c>
      <c r="J4087" s="25">
        <f>IFERROR(INDEX(Pedidos!$C$2:$C$1801,MATCH(B4087,Pedidos!$A$2:$A$1801,0)),"")</f>
        <v/>
      </c>
      <c r="K4087" s="25">
        <f>IFERROR(INDEX(Pedidos!$D$2:$D$1801,MATCH(B4087,Pedidos!$A$2:$A$1801,0)),"")</f>
        <v/>
      </c>
      <c r="L4087" s="25">
        <f>IFERROR(INDEX(Pedidos!$F$2:$F$1801,MATCH(B4087,Pedidos!$A$2:$A$1801,0)),"")</f>
        <v/>
      </c>
      <c r="M4087" s="26">
        <f>IFERROR(INDEX(Pedidos!$G$2:$G$1801,MATCH(B4087,Pedidos!$A$2:$A$1801,0)),0)</f>
        <v/>
      </c>
      <c r="N4087" s="25">
        <f>IFERROR(INDEX(Produtos!$B$2:$B$71,MATCH(C4087,Produtos!$A$2:$A$71,0)),"")</f>
        <v/>
      </c>
      <c r="O4087" s="25">
        <f>IFERROR(INDEX(Produtos!$C$2:$C$71,MATCH(C4087,Produtos!$A$2:$A$71,0)),"")</f>
        <v/>
      </c>
      <c r="P4087" s="25">
        <f>IFERROR(INDEX(Produtos!$D$2:$D$71,MATCH(C4087,Produtos!$A$2:$A$71,0)),0)</f>
        <v/>
      </c>
      <c r="Q4087" s="25">
        <f>IFERROR(INDEX(Produtos!$E$2:$E$71,MATCH(C4087,Produtos!$A$2:$A$71,0)),0)</f>
        <v/>
      </c>
      <c r="R4087" s="27">
        <f>D4087*Q4087</f>
        <v/>
      </c>
      <c r="S4087" s="27">
        <f>R4087*E4087</f>
        <v/>
      </c>
      <c r="T4087" s="27">
        <f>(R4087-S4087)*M4087</f>
        <v/>
      </c>
      <c r="U4087" s="27">
        <f>R4087-S4087-T4087</f>
        <v/>
      </c>
      <c r="V4087" s="27">
        <f>D4087*P4087</f>
        <v/>
      </c>
      <c r="W4087" s="27">
        <f>U4087-V4087</f>
        <v/>
      </c>
      <c r="X4087" s="28">
        <f>IFERROR(W4087/U4087,0)</f>
        <v/>
      </c>
    </row>
    <row r="4088">
      <c r="A4088" s="21">
        <f>ItensPedido!A4088</f>
        <v/>
      </c>
      <c r="B4088" s="21">
        <f>ItensPedido!B4088</f>
        <v/>
      </c>
      <c r="C4088" s="21">
        <f>ItensPedido!C4088</f>
        <v/>
      </c>
      <c r="D4088" s="21">
        <f>ItensPedido!D4088</f>
        <v/>
      </c>
      <c r="E4088" s="22">
        <f>ItensPedido!E4088</f>
        <v/>
      </c>
      <c r="F4088" s="21">
        <f>IFERROR(INDEX(Pedidos!$B$2:$B$1801,MATCH(B4088,Pedidos!$A$2:$A$1801,0)),0)</f>
        <v/>
      </c>
      <c r="G4088" s="21">
        <f>IF(F4088=0,"",YEAR(F4088))</f>
        <v/>
      </c>
      <c r="H4088" s="21">
        <f>IF(F4088=0,"",MONTH(F4088))</f>
        <v/>
      </c>
      <c r="I4088" s="21">
        <f>IFERROR(INDEX(Pedidos!$E$2:$E$1801,MATCH(B4088,Pedidos!$A$2:$A$1801,0)),"")</f>
        <v/>
      </c>
      <c r="J4088" s="21">
        <f>IFERROR(INDEX(Pedidos!$C$2:$C$1801,MATCH(B4088,Pedidos!$A$2:$A$1801,0)),"")</f>
        <v/>
      </c>
      <c r="K4088" s="21">
        <f>IFERROR(INDEX(Pedidos!$D$2:$D$1801,MATCH(B4088,Pedidos!$A$2:$A$1801,0)),"")</f>
        <v/>
      </c>
      <c r="L4088" s="21">
        <f>IFERROR(INDEX(Pedidos!$F$2:$F$1801,MATCH(B4088,Pedidos!$A$2:$A$1801,0)),"")</f>
        <v/>
      </c>
      <c r="M4088" s="22">
        <f>IFERROR(INDEX(Pedidos!$G$2:$G$1801,MATCH(B4088,Pedidos!$A$2:$A$1801,0)),0)</f>
        <v/>
      </c>
      <c r="N4088" s="21">
        <f>IFERROR(INDEX(Produtos!$B$2:$B$71,MATCH(C4088,Produtos!$A$2:$A$71,0)),"")</f>
        <v/>
      </c>
      <c r="O4088" s="21">
        <f>IFERROR(INDEX(Produtos!$C$2:$C$71,MATCH(C4088,Produtos!$A$2:$A$71,0)),"")</f>
        <v/>
      </c>
      <c r="P4088" s="21">
        <f>IFERROR(INDEX(Produtos!$D$2:$D$71,MATCH(C4088,Produtos!$A$2:$A$71,0)),0)</f>
        <v/>
      </c>
      <c r="Q4088" s="21">
        <f>IFERROR(INDEX(Produtos!$E$2:$E$71,MATCH(C4088,Produtos!$A$2:$A$71,0)),0)</f>
        <v/>
      </c>
      <c r="R4088" s="23">
        <f>D4088*Q4088</f>
        <v/>
      </c>
      <c r="S4088" s="23">
        <f>R4088*E4088</f>
        <v/>
      </c>
      <c r="T4088" s="23">
        <f>(R4088-S4088)*M4088</f>
        <v/>
      </c>
      <c r="U4088" s="23">
        <f>R4088-S4088-T4088</f>
        <v/>
      </c>
      <c r="V4088" s="23">
        <f>D4088*P4088</f>
        <v/>
      </c>
      <c r="W4088" s="23">
        <f>U4088-V4088</f>
        <v/>
      </c>
      <c r="X4088" s="24">
        <f>IFERROR(W4088/U4088,0)</f>
        <v/>
      </c>
    </row>
    <row r="4089">
      <c r="A4089" s="25">
        <f>ItensPedido!A4089</f>
        <v/>
      </c>
      <c r="B4089" s="25">
        <f>ItensPedido!B4089</f>
        <v/>
      </c>
      <c r="C4089" s="25">
        <f>ItensPedido!C4089</f>
        <v/>
      </c>
      <c r="D4089" s="25">
        <f>ItensPedido!D4089</f>
        <v/>
      </c>
      <c r="E4089" s="26">
        <f>ItensPedido!E4089</f>
        <v/>
      </c>
      <c r="F4089" s="25">
        <f>IFERROR(INDEX(Pedidos!$B$2:$B$1801,MATCH(B4089,Pedidos!$A$2:$A$1801,0)),0)</f>
        <v/>
      </c>
      <c r="G4089" s="25">
        <f>IF(F4089=0,"",YEAR(F4089))</f>
        <v/>
      </c>
      <c r="H4089" s="25">
        <f>IF(F4089=0,"",MONTH(F4089))</f>
        <v/>
      </c>
      <c r="I4089" s="25">
        <f>IFERROR(INDEX(Pedidos!$E$2:$E$1801,MATCH(B4089,Pedidos!$A$2:$A$1801,0)),"")</f>
        <v/>
      </c>
      <c r="J4089" s="25">
        <f>IFERROR(INDEX(Pedidos!$C$2:$C$1801,MATCH(B4089,Pedidos!$A$2:$A$1801,0)),"")</f>
        <v/>
      </c>
      <c r="K4089" s="25">
        <f>IFERROR(INDEX(Pedidos!$D$2:$D$1801,MATCH(B4089,Pedidos!$A$2:$A$1801,0)),"")</f>
        <v/>
      </c>
      <c r="L4089" s="25">
        <f>IFERROR(INDEX(Pedidos!$F$2:$F$1801,MATCH(B4089,Pedidos!$A$2:$A$1801,0)),"")</f>
        <v/>
      </c>
      <c r="M4089" s="26">
        <f>IFERROR(INDEX(Pedidos!$G$2:$G$1801,MATCH(B4089,Pedidos!$A$2:$A$1801,0)),0)</f>
        <v/>
      </c>
      <c r="N4089" s="25">
        <f>IFERROR(INDEX(Produtos!$B$2:$B$71,MATCH(C4089,Produtos!$A$2:$A$71,0)),"")</f>
        <v/>
      </c>
      <c r="O4089" s="25">
        <f>IFERROR(INDEX(Produtos!$C$2:$C$71,MATCH(C4089,Produtos!$A$2:$A$71,0)),"")</f>
        <v/>
      </c>
      <c r="P4089" s="25">
        <f>IFERROR(INDEX(Produtos!$D$2:$D$71,MATCH(C4089,Produtos!$A$2:$A$71,0)),0)</f>
        <v/>
      </c>
      <c r="Q4089" s="25">
        <f>IFERROR(INDEX(Produtos!$E$2:$E$71,MATCH(C4089,Produtos!$A$2:$A$71,0)),0)</f>
        <v/>
      </c>
      <c r="R4089" s="27">
        <f>D4089*Q4089</f>
        <v/>
      </c>
      <c r="S4089" s="27">
        <f>R4089*E4089</f>
        <v/>
      </c>
      <c r="T4089" s="27">
        <f>(R4089-S4089)*M4089</f>
        <v/>
      </c>
      <c r="U4089" s="27">
        <f>R4089-S4089-T4089</f>
        <v/>
      </c>
      <c r="V4089" s="27">
        <f>D4089*P4089</f>
        <v/>
      </c>
      <c r="W4089" s="27">
        <f>U4089-V4089</f>
        <v/>
      </c>
      <c r="X4089" s="28">
        <f>IFERROR(W4089/U4089,0)</f>
        <v/>
      </c>
    </row>
    <row r="4090">
      <c r="A4090" s="21">
        <f>ItensPedido!A4090</f>
        <v/>
      </c>
      <c r="B4090" s="21">
        <f>ItensPedido!B4090</f>
        <v/>
      </c>
      <c r="C4090" s="21">
        <f>ItensPedido!C4090</f>
        <v/>
      </c>
      <c r="D4090" s="21">
        <f>ItensPedido!D4090</f>
        <v/>
      </c>
      <c r="E4090" s="22">
        <f>ItensPedido!E4090</f>
        <v/>
      </c>
      <c r="F4090" s="21">
        <f>IFERROR(INDEX(Pedidos!$B$2:$B$1801,MATCH(B4090,Pedidos!$A$2:$A$1801,0)),0)</f>
        <v/>
      </c>
      <c r="G4090" s="21">
        <f>IF(F4090=0,"",YEAR(F4090))</f>
        <v/>
      </c>
      <c r="H4090" s="21">
        <f>IF(F4090=0,"",MONTH(F4090))</f>
        <v/>
      </c>
      <c r="I4090" s="21">
        <f>IFERROR(INDEX(Pedidos!$E$2:$E$1801,MATCH(B4090,Pedidos!$A$2:$A$1801,0)),"")</f>
        <v/>
      </c>
      <c r="J4090" s="21">
        <f>IFERROR(INDEX(Pedidos!$C$2:$C$1801,MATCH(B4090,Pedidos!$A$2:$A$1801,0)),"")</f>
        <v/>
      </c>
      <c r="K4090" s="21">
        <f>IFERROR(INDEX(Pedidos!$D$2:$D$1801,MATCH(B4090,Pedidos!$A$2:$A$1801,0)),"")</f>
        <v/>
      </c>
      <c r="L4090" s="21">
        <f>IFERROR(INDEX(Pedidos!$F$2:$F$1801,MATCH(B4090,Pedidos!$A$2:$A$1801,0)),"")</f>
        <v/>
      </c>
      <c r="M4090" s="22">
        <f>IFERROR(INDEX(Pedidos!$G$2:$G$1801,MATCH(B4090,Pedidos!$A$2:$A$1801,0)),0)</f>
        <v/>
      </c>
      <c r="N4090" s="21">
        <f>IFERROR(INDEX(Produtos!$B$2:$B$71,MATCH(C4090,Produtos!$A$2:$A$71,0)),"")</f>
        <v/>
      </c>
      <c r="O4090" s="21">
        <f>IFERROR(INDEX(Produtos!$C$2:$C$71,MATCH(C4090,Produtos!$A$2:$A$71,0)),"")</f>
        <v/>
      </c>
      <c r="P4090" s="21">
        <f>IFERROR(INDEX(Produtos!$D$2:$D$71,MATCH(C4090,Produtos!$A$2:$A$71,0)),0)</f>
        <v/>
      </c>
      <c r="Q4090" s="21">
        <f>IFERROR(INDEX(Produtos!$E$2:$E$71,MATCH(C4090,Produtos!$A$2:$A$71,0)),0)</f>
        <v/>
      </c>
      <c r="R4090" s="23">
        <f>D4090*Q4090</f>
        <v/>
      </c>
      <c r="S4090" s="23">
        <f>R4090*E4090</f>
        <v/>
      </c>
      <c r="T4090" s="23">
        <f>(R4090-S4090)*M4090</f>
        <v/>
      </c>
      <c r="U4090" s="23">
        <f>R4090-S4090-T4090</f>
        <v/>
      </c>
      <c r="V4090" s="23">
        <f>D4090*P4090</f>
        <v/>
      </c>
      <c r="W4090" s="23">
        <f>U4090-V4090</f>
        <v/>
      </c>
      <c r="X4090" s="24">
        <f>IFERROR(W4090/U4090,0)</f>
        <v/>
      </c>
    </row>
    <row r="4091">
      <c r="A4091" s="25">
        <f>ItensPedido!A4091</f>
        <v/>
      </c>
      <c r="B4091" s="25">
        <f>ItensPedido!B4091</f>
        <v/>
      </c>
      <c r="C4091" s="25">
        <f>ItensPedido!C4091</f>
        <v/>
      </c>
      <c r="D4091" s="25">
        <f>ItensPedido!D4091</f>
        <v/>
      </c>
      <c r="E4091" s="26">
        <f>ItensPedido!E4091</f>
        <v/>
      </c>
      <c r="F4091" s="25">
        <f>IFERROR(INDEX(Pedidos!$B$2:$B$1801,MATCH(B4091,Pedidos!$A$2:$A$1801,0)),0)</f>
        <v/>
      </c>
      <c r="G4091" s="25">
        <f>IF(F4091=0,"",YEAR(F4091))</f>
        <v/>
      </c>
      <c r="H4091" s="25">
        <f>IF(F4091=0,"",MONTH(F4091))</f>
        <v/>
      </c>
      <c r="I4091" s="25">
        <f>IFERROR(INDEX(Pedidos!$E$2:$E$1801,MATCH(B4091,Pedidos!$A$2:$A$1801,0)),"")</f>
        <v/>
      </c>
      <c r="J4091" s="25">
        <f>IFERROR(INDEX(Pedidos!$C$2:$C$1801,MATCH(B4091,Pedidos!$A$2:$A$1801,0)),"")</f>
        <v/>
      </c>
      <c r="K4091" s="25">
        <f>IFERROR(INDEX(Pedidos!$D$2:$D$1801,MATCH(B4091,Pedidos!$A$2:$A$1801,0)),"")</f>
        <v/>
      </c>
      <c r="L4091" s="25">
        <f>IFERROR(INDEX(Pedidos!$F$2:$F$1801,MATCH(B4091,Pedidos!$A$2:$A$1801,0)),"")</f>
        <v/>
      </c>
      <c r="M4091" s="26">
        <f>IFERROR(INDEX(Pedidos!$G$2:$G$1801,MATCH(B4091,Pedidos!$A$2:$A$1801,0)),0)</f>
        <v/>
      </c>
      <c r="N4091" s="25">
        <f>IFERROR(INDEX(Produtos!$B$2:$B$71,MATCH(C4091,Produtos!$A$2:$A$71,0)),"")</f>
        <v/>
      </c>
      <c r="O4091" s="25">
        <f>IFERROR(INDEX(Produtos!$C$2:$C$71,MATCH(C4091,Produtos!$A$2:$A$71,0)),"")</f>
        <v/>
      </c>
      <c r="P4091" s="25">
        <f>IFERROR(INDEX(Produtos!$D$2:$D$71,MATCH(C4091,Produtos!$A$2:$A$71,0)),0)</f>
        <v/>
      </c>
      <c r="Q4091" s="25">
        <f>IFERROR(INDEX(Produtos!$E$2:$E$71,MATCH(C4091,Produtos!$A$2:$A$71,0)),0)</f>
        <v/>
      </c>
      <c r="R4091" s="27">
        <f>D4091*Q4091</f>
        <v/>
      </c>
      <c r="S4091" s="27">
        <f>R4091*E4091</f>
        <v/>
      </c>
      <c r="T4091" s="27">
        <f>(R4091-S4091)*M4091</f>
        <v/>
      </c>
      <c r="U4091" s="27">
        <f>R4091-S4091-T4091</f>
        <v/>
      </c>
      <c r="V4091" s="27">
        <f>D4091*P4091</f>
        <v/>
      </c>
      <c r="W4091" s="27">
        <f>U4091-V4091</f>
        <v/>
      </c>
      <c r="X4091" s="28">
        <f>IFERROR(W4091/U4091,0)</f>
        <v/>
      </c>
    </row>
    <row r="4092">
      <c r="A4092" s="21">
        <f>ItensPedido!A4092</f>
        <v/>
      </c>
      <c r="B4092" s="21">
        <f>ItensPedido!B4092</f>
        <v/>
      </c>
      <c r="C4092" s="21">
        <f>ItensPedido!C4092</f>
        <v/>
      </c>
      <c r="D4092" s="21">
        <f>ItensPedido!D4092</f>
        <v/>
      </c>
      <c r="E4092" s="22">
        <f>ItensPedido!E4092</f>
        <v/>
      </c>
      <c r="F4092" s="21">
        <f>IFERROR(INDEX(Pedidos!$B$2:$B$1801,MATCH(B4092,Pedidos!$A$2:$A$1801,0)),0)</f>
        <v/>
      </c>
      <c r="G4092" s="21">
        <f>IF(F4092=0,"",YEAR(F4092))</f>
        <v/>
      </c>
      <c r="H4092" s="21">
        <f>IF(F4092=0,"",MONTH(F4092))</f>
        <v/>
      </c>
      <c r="I4092" s="21">
        <f>IFERROR(INDEX(Pedidos!$E$2:$E$1801,MATCH(B4092,Pedidos!$A$2:$A$1801,0)),"")</f>
        <v/>
      </c>
      <c r="J4092" s="21">
        <f>IFERROR(INDEX(Pedidos!$C$2:$C$1801,MATCH(B4092,Pedidos!$A$2:$A$1801,0)),"")</f>
        <v/>
      </c>
      <c r="K4092" s="21">
        <f>IFERROR(INDEX(Pedidos!$D$2:$D$1801,MATCH(B4092,Pedidos!$A$2:$A$1801,0)),"")</f>
        <v/>
      </c>
      <c r="L4092" s="21">
        <f>IFERROR(INDEX(Pedidos!$F$2:$F$1801,MATCH(B4092,Pedidos!$A$2:$A$1801,0)),"")</f>
        <v/>
      </c>
      <c r="M4092" s="22">
        <f>IFERROR(INDEX(Pedidos!$G$2:$G$1801,MATCH(B4092,Pedidos!$A$2:$A$1801,0)),0)</f>
        <v/>
      </c>
      <c r="N4092" s="21">
        <f>IFERROR(INDEX(Produtos!$B$2:$B$71,MATCH(C4092,Produtos!$A$2:$A$71,0)),"")</f>
        <v/>
      </c>
      <c r="O4092" s="21">
        <f>IFERROR(INDEX(Produtos!$C$2:$C$71,MATCH(C4092,Produtos!$A$2:$A$71,0)),"")</f>
        <v/>
      </c>
      <c r="P4092" s="21">
        <f>IFERROR(INDEX(Produtos!$D$2:$D$71,MATCH(C4092,Produtos!$A$2:$A$71,0)),0)</f>
        <v/>
      </c>
      <c r="Q4092" s="21">
        <f>IFERROR(INDEX(Produtos!$E$2:$E$71,MATCH(C4092,Produtos!$A$2:$A$71,0)),0)</f>
        <v/>
      </c>
      <c r="R4092" s="23">
        <f>D4092*Q4092</f>
        <v/>
      </c>
      <c r="S4092" s="23">
        <f>R4092*E4092</f>
        <v/>
      </c>
      <c r="T4092" s="23">
        <f>(R4092-S4092)*M4092</f>
        <v/>
      </c>
      <c r="U4092" s="23">
        <f>R4092-S4092-T4092</f>
        <v/>
      </c>
      <c r="V4092" s="23">
        <f>D4092*P4092</f>
        <v/>
      </c>
      <c r="W4092" s="23">
        <f>U4092-V4092</f>
        <v/>
      </c>
      <c r="X4092" s="24">
        <f>IFERROR(W4092/U4092,0)</f>
        <v/>
      </c>
    </row>
    <row r="4093">
      <c r="A4093" s="25">
        <f>ItensPedido!A4093</f>
        <v/>
      </c>
      <c r="B4093" s="25">
        <f>ItensPedido!B4093</f>
        <v/>
      </c>
      <c r="C4093" s="25">
        <f>ItensPedido!C4093</f>
        <v/>
      </c>
      <c r="D4093" s="25">
        <f>ItensPedido!D4093</f>
        <v/>
      </c>
      <c r="E4093" s="26">
        <f>ItensPedido!E4093</f>
        <v/>
      </c>
      <c r="F4093" s="25">
        <f>IFERROR(INDEX(Pedidos!$B$2:$B$1801,MATCH(B4093,Pedidos!$A$2:$A$1801,0)),0)</f>
        <v/>
      </c>
      <c r="G4093" s="25">
        <f>IF(F4093=0,"",YEAR(F4093))</f>
        <v/>
      </c>
      <c r="H4093" s="25">
        <f>IF(F4093=0,"",MONTH(F4093))</f>
        <v/>
      </c>
      <c r="I4093" s="25">
        <f>IFERROR(INDEX(Pedidos!$E$2:$E$1801,MATCH(B4093,Pedidos!$A$2:$A$1801,0)),"")</f>
        <v/>
      </c>
      <c r="J4093" s="25">
        <f>IFERROR(INDEX(Pedidos!$C$2:$C$1801,MATCH(B4093,Pedidos!$A$2:$A$1801,0)),"")</f>
        <v/>
      </c>
      <c r="K4093" s="25">
        <f>IFERROR(INDEX(Pedidos!$D$2:$D$1801,MATCH(B4093,Pedidos!$A$2:$A$1801,0)),"")</f>
        <v/>
      </c>
      <c r="L4093" s="25">
        <f>IFERROR(INDEX(Pedidos!$F$2:$F$1801,MATCH(B4093,Pedidos!$A$2:$A$1801,0)),"")</f>
        <v/>
      </c>
      <c r="M4093" s="26">
        <f>IFERROR(INDEX(Pedidos!$G$2:$G$1801,MATCH(B4093,Pedidos!$A$2:$A$1801,0)),0)</f>
        <v/>
      </c>
      <c r="N4093" s="25">
        <f>IFERROR(INDEX(Produtos!$B$2:$B$71,MATCH(C4093,Produtos!$A$2:$A$71,0)),"")</f>
        <v/>
      </c>
      <c r="O4093" s="25">
        <f>IFERROR(INDEX(Produtos!$C$2:$C$71,MATCH(C4093,Produtos!$A$2:$A$71,0)),"")</f>
        <v/>
      </c>
      <c r="P4093" s="25">
        <f>IFERROR(INDEX(Produtos!$D$2:$D$71,MATCH(C4093,Produtos!$A$2:$A$71,0)),0)</f>
        <v/>
      </c>
      <c r="Q4093" s="25">
        <f>IFERROR(INDEX(Produtos!$E$2:$E$71,MATCH(C4093,Produtos!$A$2:$A$71,0)),0)</f>
        <v/>
      </c>
      <c r="R4093" s="27">
        <f>D4093*Q4093</f>
        <v/>
      </c>
      <c r="S4093" s="27">
        <f>R4093*E4093</f>
        <v/>
      </c>
      <c r="T4093" s="27">
        <f>(R4093-S4093)*M4093</f>
        <v/>
      </c>
      <c r="U4093" s="27">
        <f>R4093-S4093-T4093</f>
        <v/>
      </c>
      <c r="V4093" s="27">
        <f>D4093*P4093</f>
        <v/>
      </c>
      <c r="W4093" s="27">
        <f>U4093-V4093</f>
        <v/>
      </c>
      <c r="X4093" s="28">
        <f>IFERROR(W4093/U4093,0)</f>
        <v/>
      </c>
    </row>
    <row r="4094">
      <c r="A4094" s="21">
        <f>ItensPedido!A4094</f>
        <v/>
      </c>
      <c r="B4094" s="21">
        <f>ItensPedido!B4094</f>
        <v/>
      </c>
      <c r="C4094" s="21">
        <f>ItensPedido!C4094</f>
        <v/>
      </c>
      <c r="D4094" s="21">
        <f>ItensPedido!D4094</f>
        <v/>
      </c>
      <c r="E4094" s="22">
        <f>ItensPedido!E4094</f>
        <v/>
      </c>
      <c r="F4094" s="21">
        <f>IFERROR(INDEX(Pedidos!$B$2:$B$1801,MATCH(B4094,Pedidos!$A$2:$A$1801,0)),0)</f>
        <v/>
      </c>
      <c r="G4094" s="21">
        <f>IF(F4094=0,"",YEAR(F4094))</f>
        <v/>
      </c>
      <c r="H4094" s="21">
        <f>IF(F4094=0,"",MONTH(F4094))</f>
        <v/>
      </c>
      <c r="I4094" s="21">
        <f>IFERROR(INDEX(Pedidos!$E$2:$E$1801,MATCH(B4094,Pedidos!$A$2:$A$1801,0)),"")</f>
        <v/>
      </c>
      <c r="J4094" s="21">
        <f>IFERROR(INDEX(Pedidos!$C$2:$C$1801,MATCH(B4094,Pedidos!$A$2:$A$1801,0)),"")</f>
        <v/>
      </c>
      <c r="K4094" s="21">
        <f>IFERROR(INDEX(Pedidos!$D$2:$D$1801,MATCH(B4094,Pedidos!$A$2:$A$1801,0)),"")</f>
        <v/>
      </c>
      <c r="L4094" s="21">
        <f>IFERROR(INDEX(Pedidos!$F$2:$F$1801,MATCH(B4094,Pedidos!$A$2:$A$1801,0)),"")</f>
        <v/>
      </c>
      <c r="M4094" s="22">
        <f>IFERROR(INDEX(Pedidos!$G$2:$G$1801,MATCH(B4094,Pedidos!$A$2:$A$1801,0)),0)</f>
        <v/>
      </c>
      <c r="N4094" s="21">
        <f>IFERROR(INDEX(Produtos!$B$2:$B$71,MATCH(C4094,Produtos!$A$2:$A$71,0)),"")</f>
        <v/>
      </c>
      <c r="O4094" s="21">
        <f>IFERROR(INDEX(Produtos!$C$2:$C$71,MATCH(C4094,Produtos!$A$2:$A$71,0)),"")</f>
        <v/>
      </c>
      <c r="P4094" s="21">
        <f>IFERROR(INDEX(Produtos!$D$2:$D$71,MATCH(C4094,Produtos!$A$2:$A$71,0)),0)</f>
        <v/>
      </c>
      <c r="Q4094" s="21">
        <f>IFERROR(INDEX(Produtos!$E$2:$E$71,MATCH(C4094,Produtos!$A$2:$A$71,0)),0)</f>
        <v/>
      </c>
      <c r="R4094" s="23">
        <f>D4094*Q4094</f>
        <v/>
      </c>
      <c r="S4094" s="23">
        <f>R4094*E4094</f>
        <v/>
      </c>
      <c r="T4094" s="23">
        <f>(R4094-S4094)*M4094</f>
        <v/>
      </c>
      <c r="U4094" s="23">
        <f>R4094-S4094-T4094</f>
        <v/>
      </c>
      <c r="V4094" s="23">
        <f>D4094*P4094</f>
        <v/>
      </c>
      <c r="W4094" s="23">
        <f>U4094-V4094</f>
        <v/>
      </c>
      <c r="X4094" s="24">
        <f>IFERROR(W4094/U4094,0)</f>
        <v/>
      </c>
    </row>
    <row r="4095">
      <c r="A4095" s="25">
        <f>ItensPedido!A4095</f>
        <v/>
      </c>
      <c r="B4095" s="25">
        <f>ItensPedido!B4095</f>
        <v/>
      </c>
      <c r="C4095" s="25">
        <f>ItensPedido!C4095</f>
        <v/>
      </c>
      <c r="D4095" s="25">
        <f>ItensPedido!D4095</f>
        <v/>
      </c>
      <c r="E4095" s="26">
        <f>ItensPedido!E4095</f>
        <v/>
      </c>
      <c r="F4095" s="25">
        <f>IFERROR(INDEX(Pedidos!$B$2:$B$1801,MATCH(B4095,Pedidos!$A$2:$A$1801,0)),0)</f>
        <v/>
      </c>
      <c r="G4095" s="25">
        <f>IF(F4095=0,"",YEAR(F4095))</f>
        <v/>
      </c>
      <c r="H4095" s="25">
        <f>IF(F4095=0,"",MONTH(F4095))</f>
        <v/>
      </c>
      <c r="I4095" s="25">
        <f>IFERROR(INDEX(Pedidos!$E$2:$E$1801,MATCH(B4095,Pedidos!$A$2:$A$1801,0)),"")</f>
        <v/>
      </c>
      <c r="J4095" s="25">
        <f>IFERROR(INDEX(Pedidos!$C$2:$C$1801,MATCH(B4095,Pedidos!$A$2:$A$1801,0)),"")</f>
        <v/>
      </c>
      <c r="K4095" s="25">
        <f>IFERROR(INDEX(Pedidos!$D$2:$D$1801,MATCH(B4095,Pedidos!$A$2:$A$1801,0)),"")</f>
        <v/>
      </c>
      <c r="L4095" s="25">
        <f>IFERROR(INDEX(Pedidos!$F$2:$F$1801,MATCH(B4095,Pedidos!$A$2:$A$1801,0)),"")</f>
        <v/>
      </c>
      <c r="M4095" s="26">
        <f>IFERROR(INDEX(Pedidos!$G$2:$G$1801,MATCH(B4095,Pedidos!$A$2:$A$1801,0)),0)</f>
        <v/>
      </c>
      <c r="N4095" s="25">
        <f>IFERROR(INDEX(Produtos!$B$2:$B$71,MATCH(C4095,Produtos!$A$2:$A$71,0)),"")</f>
        <v/>
      </c>
      <c r="O4095" s="25">
        <f>IFERROR(INDEX(Produtos!$C$2:$C$71,MATCH(C4095,Produtos!$A$2:$A$71,0)),"")</f>
        <v/>
      </c>
      <c r="P4095" s="25">
        <f>IFERROR(INDEX(Produtos!$D$2:$D$71,MATCH(C4095,Produtos!$A$2:$A$71,0)),0)</f>
        <v/>
      </c>
      <c r="Q4095" s="25">
        <f>IFERROR(INDEX(Produtos!$E$2:$E$71,MATCH(C4095,Produtos!$A$2:$A$71,0)),0)</f>
        <v/>
      </c>
      <c r="R4095" s="27">
        <f>D4095*Q4095</f>
        <v/>
      </c>
      <c r="S4095" s="27">
        <f>R4095*E4095</f>
        <v/>
      </c>
      <c r="T4095" s="27">
        <f>(R4095-S4095)*M4095</f>
        <v/>
      </c>
      <c r="U4095" s="27">
        <f>R4095-S4095-T4095</f>
        <v/>
      </c>
      <c r="V4095" s="27">
        <f>D4095*P4095</f>
        <v/>
      </c>
      <c r="W4095" s="27">
        <f>U4095-V4095</f>
        <v/>
      </c>
      <c r="X4095" s="28">
        <f>IFERROR(W4095/U4095,0)</f>
        <v/>
      </c>
    </row>
    <row r="4096">
      <c r="A4096" s="21">
        <f>ItensPedido!A4096</f>
        <v/>
      </c>
      <c r="B4096" s="21">
        <f>ItensPedido!B4096</f>
        <v/>
      </c>
      <c r="C4096" s="21">
        <f>ItensPedido!C4096</f>
        <v/>
      </c>
      <c r="D4096" s="21">
        <f>ItensPedido!D4096</f>
        <v/>
      </c>
      <c r="E4096" s="22">
        <f>ItensPedido!E4096</f>
        <v/>
      </c>
      <c r="F4096" s="21">
        <f>IFERROR(INDEX(Pedidos!$B$2:$B$1801,MATCH(B4096,Pedidos!$A$2:$A$1801,0)),0)</f>
        <v/>
      </c>
      <c r="G4096" s="21">
        <f>IF(F4096=0,"",YEAR(F4096))</f>
        <v/>
      </c>
      <c r="H4096" s="21">
        <f>IF(F4096=0,"",MONTH(F4096))</f>
        <v/>
      </c>
      <c r="I4096" s="21">
        <f>IFERROR(INDEX(Pedidos!$E$2:$E$1801,MATCH(B4096,Pedidos!$A$2:$A$1801,0)),"")</f>
        <v/>
      </c>
      <c r="J4096" s="21">
        <f>IFERROR(INDEX(Pedidos!$C$2:$C$1801,MATCH(B4096,Pedidos!$A$2:$A$1801,0)),"")</f>
        <v/>
      </c>
      <c r="K4096" s="21">
        <f>IFERROR(INDEX(Pedidos!$D$2:$D$1801,MATCH(B4096,Pedidos!$A$2:$A$1801,0)),"")</f>
        <v/>
      </c>
      <c r="L4096" s="21">
        <f>IFERROR(INDEX(Pedidos!$F$2:$F$1801,MATCH(B4096,Pedidos!$A$2:$A$1801,0)),"")</f>
        <v/>
      </c>
      <c r="M4096" s="22">
        <f>IFERROR(INDEX(Pedidos!$G$2:$G$1801,MATCH(B4096,Pedidos!$A$2:$A$1801,0)),0)</f>
        <v/>
      </c>
      <c r="N4096" s="21">
        <f>IFERROR(INDEX(Produtos!$B$2:$B$71,MATCH(C4096,Produtos!$A$2:$A$71,0)),"")</f>
        <v/>
      </c>
      <c r="O4096" s="21">
        <f>IFERROR(INDEX(Produtos!$C$2:$C$71,MATCH(C4096,Produtos!$A$2:$A$71,0)),"")</f>
        <v/>
      </c>
      <c r="P4096" s="21">
        <f>IFERROR(INDEX(Produtos!$D$2:$D$71,MATCH(C4096,Produtos!$A$2:$A$71,0)),0)</f>
        <v/>
      </c>
      <c r="Q4096" s="21">
        <f>IFERROR(INDEX(Produtos!$E$2:$E$71,MATCH(C4096,Produtos!$A$2:$A$71,0)),0)</f>
        <v/>
      </c>
      <c r="R4096" s="23">
        <f>D4096*Q4096</f>
        <v/>
      </c>
      <c r="S4096" s="23">
        <f>R4096*E4096</f>
        <v/>
      </c>
      <c r="T4096" s="23">
        <f>(R4096-S4096)*M4096</f>
        <v/>
      </c>
      <c r="U4096" s="23">
        <f>R4096-S4096-T4096</f>
        <v/>
      </c>
      <c r="V4096" s="23">
        <f>D4096*P4096</f>
        <v/>
      </c>
      <c r="W4096" s="23">
        <f>U4096-V4096</f>
        <v/>
      </c>
      <c r="X4096" s="24">
        <f>IFERROR(W4096/U4096,0)</f>
        <v/>
      </c>
    </row>
    <row r="4097">
      <c r="A4097" s="25">
        <f>ItensPedido!A4097</f>
        <v/>
      </c>
      <c r="B4097" s="25">
        <f>ItensPedido!B4097</f>
        <v/>
      </c>
      <c r="C4097" s="25">
        <f>ItensPedido!C4097</f>
        <v/>
      </c>
      <c r="D4097" s="25">
        <f>ItensPedido!D4097</f>
        <v/>
      </c>
      <c r="E4097" s="26">
        <f>ItensPedido!E4097</f>
        <v/>
      </c>
      <c r="F4097" s="25">
        <f>IFERROR(INDEX(Pedidos!$B$2:$B$1801,MATCH(B4097,Pedidos!$A$2:$A$1801,0)),0)</f>
        <v/>
      </c>
      <c r="G4097" s="25">
        <f>IF(F4097=0,"",YEAR(F4097))</f>
        <v/>
      </c>
      <c r="H4097" s="25">
        <f>IF(F4097=0,"",MONTH(F4097))</f>
        <v/>
      </c>
      <c r="I4097" s="25">
        <f>IFERROR(INDEX(Pedidos!$E$2:$E$1801,MATCH(B4097,Pedidos!$A$2:$A$1801,0)),"")</f>
        <v/>
      </c>
      <c r="J4097" s="25">
        <f>IFERROR(INDEX(Pedidos!$C$2:$C$1801,MATCH(B4097,Pedidos!$A$2:$A$1801,0)),"")</f>
        <v/>
      </c>
      <c r="K4097" s="25">
        <f>IFERROR(INDEX(Pedidos!$D$2:$D$1801,MATCH(B4097,Pedidos!$A$2:$A$1801,0)),"")</f>
        <v/>
      </c>
      <c r="L4097" s="25">
        <f>IFERROR(INDEX(Pedidos!$F$2:$F$1801,MATCH(B4097,Pedidos!$A$2:$A$1801,0)),"")</f>
        <v/>
      </c>
      <c r="M4097" s="26">
        <f>IFERROR(INDEX(Pedidos!$G$2:$G$1801,MATCH(B4097,Pedidos!$A$2:$A$1801,0)),0)</f>
        <v/>
      </c>
      <c r="N4097" s="25">
        <f>IFERROR(INDEX(Produtos!$B$2:$B$71,MATCH(C4097,Produtos!$A$2:$A$71,0)),"")</f>
        <v/>
      </c>
      <c r="O4097" s="25">
        <f>IFERROR(INDEX(Produtos!$C$2:$C$71,MATCH(C4097,Produtos!$A$2:$A$71,0)),"")</f>
        <v/>
      </c>
      <c r="P4097" s="25">
        <f>IFERROR(INDEX(Produtos!$D$2:$D$71,MATCH(C4097,Produtos!$A$2:$A$71,0)),0)</f>
        <v/>
      </c>
      <c r="Q4097" s="25">
        <f>IFERROR(INDEX(Produtos!$E$2:$E$71,MATCH(C4097,Produtos!$A$2:$A$71,0)),0)</f>
        <v/>
      </c>
      <c r="R4097" s="27">
        <f>D4097*Q4097</f>
        <v/>
      </c>
      <c r="S4097" s="27">
        <f>R4097*E4097</f>
        <v/>
      </c>
      <c r="T4097" s="27">
        <f>(R4097-S4097)*M4097</f>
        <v/>
      </c>
      <c r="U4097" s="27">
        <f>R4097-S4097-T4097</f>
        <v/>
      </c>
      <c r="V4097" s="27">
        <f>D4097*P4097</f>
        <v/>
      </c>
      <c r="W4097" s="27">
        <f>U4097-V4097</f>
        <v/>
      </c>
      <c r="X4097" s="28">
        <f>IFERROR(W4097/U4097,0)</f>
        <v/>
      </c>
    </row>
    <row r="4098">
      <c r="A4098" s="21">
        <f>ItensPedido!A4098</f>
        <v/>
      </c>
      <c r="B4098" s="21">
        <f>ItensPedido!B4098</f>
        <v/>
      </c>
      <c r="C4098" s="21">
        <f>ItensPedido!C4098</f>
        <v/>
      </c>
      <c r="D4098" s="21">
        <f>ItensPedido!D4098</f>
        <v/>
      </c>
      <c r="E4098" s="22">
        <f>ItensPedido!E4098</f>
        <v/>
      </c>
      <c r="F4098" s="21">
        <f>IFERROR(INDEX(Pedidos!$B$2:$B$1801,MATCH(B4098,Pedidos!$A$2:$A$1801,0)),0)</f>
        <v/>
      </c>
      <c r="G4098" s="21">
        <f>IF(F4098=0,"",YEAR(F4098))</f>
        <v/>
      </c>
      <c r="H4098" s="21">
        <f>IF(F4098=0,"",MONTH(F4098))</f>
        <v/>
      </c>
      <c r="I4098" s="21">
        <f>IFERROR(INDEX(Pedidos!$E$2:$E$1801,MATCH(B4098,Pedidos!$A$2:$A$1801,0)),"")</f>
        <v/>
      </c>
      <c r="J4098" s="21">
        <f>IFERROR(INDEX(Pedidos!$C$2:$C$1801,MATCH(B4098,Pedidos!$A$2:$A$1801,0)),"")</f>
        <v/>
      </c>
      <c r="K4098" s="21">
        <f>IFERROR(INDEX(Pedidos!$D$2:$D$1801,MATCH(B4098,Pedidos!$A$2:$A$1801,0)),"")</f>
        <v/>
      </c>
      <c r="L4098" s="21">
        <f>IFERROR(INDEX(Pedidos!$F$2:$F$1801,MATCH(B4098,Pedidos!$A$2:$A$1801,0)),"")</f>
        <v/>
      </c>
      <c r="M4098" s="22">
        <f>IFERROR(INDEX(Pedidos!$G$2:$G$1801,MATCH(B4098,Pedidos!$A$2:$A$1801,0)),0)</f>
        <v/>
      </c>
      <c r="N4098" s="21">
        <f>IFERROR(INDEX(Produtos!$B$2:$B$71,MATCH(C4098,Produtos!$A$2:$A$71,0)),"")</f>
        <v/>
      </c>
      <c r="O4098" s="21">
        <f>IFERROR(INDEX(Produtos!$C$2:$C$71,MATCH(C4098,Produtos!$A$2:$A$71,0)),"")</f>
        <v/>
      </c>
      <c r="P4098" s="21">
        <f>IFERROR(INDEX(Produtos!$D$2:$D$71,MATCH(C4098,Produtos!$A$2:$A$71,0)),0)</f>
        <v/>
      </c>
      <c r="Q4098" s="21">
        <f>IFERROR(INDEX(Produtos!$E$2:$E$71,MATCH(C4098,Produtos!$A$2:$A$71,0)),0)</f>
        <v/>
      </c>
      <c r="R4098" s="23">
        <f>D4098*Q4098</f>
        <v/>
      </c>
      <c r="S4098" s="23">
        <f>R4098*E4098</f>
        <v/>
      </c>
      <c r="T4098" s="23">
        <f>(R4098-S4098)*M4098</f>
        <v/>
      </c>
      <c r="U4098" s="23">
        <f>R4098-S4098-T4098</f>
        <v/>
      </c>
      <c r="V4098" s="23">
        <f>D4098*P4098</f>
        <v/>
      </c>
      <c r="W4098" s="23">
        <f>U4098-V4098</f>
        <v/>
      </c>
      <c r="X4098" s="24">
        <f>IFERROR(W4098/U4098,0)</f>
        <v/>
      </c>
    </row>
    <row r="4099">
      <c r="A4099" s="25">
        <f>ItensPedido!A4099</f>
        <v/>
      </c>
      <c r="B4099" s="25">
        <f>ItensPedido!B4099</f>
        <v/>
      </c>
      <c r="C4099" s="25">
        <f>ItensPedido!C4099</f>
        <v/>
      </c>
      <c r="D4099" s="25">
        <f>ItensPedido!D4099</f>
        <v/>
      </c>
      <c r="E4099" s="26">
        <f>ItensPedido!E4099</f>
        <v/>
      </c>
      <c r="F4099" s="25">
        <f>IFERROR(INDEX(Pedidos!$B$2:$B$1801,MATCH(B4099,Pedidos!$A$2:$A$1801,0)),0)</f>
        <v/>
      </c>
      <c r="G4099" s="25">
        <f>IF(F4099=0,"",YEAR(F4099))</f>
        <v/>
      </c>
      <c r="H4099" s="25">
        <f>IF(F4099=0,"",MONTH(F4099))</f>
        <v/>
      </c>
      <c r="I4099" s="25">
        <f>IFERROR(INDEX(Pedidos!$E$2:$E$1801,MATCH(B4099,Pedidos!$A$2:$A$1801,0)),"")</f>
        <v/>
      </c>
      <c r="J4099" s="25">
        <f>IFERROR(INDEX(Pedidos!$C$2:$C$1801,MATCH(B4099,Pedidos!$A$2:$A$1801,0)),"")</f>
        <v/>
      </c>
      <c r="K4099" s="25">
        <f>IFERROR(INDEX(Pedidos!$D$2:$D$1801,MATCH(B4099,Pedidos!$A$2:$A$1801,0)),"")</f>
        <v/>
      </c>
      <c r="L4099" s="25">
        <f>IFERROR(INDEX(Pedidos!$F$2:$F$1801,MATCH(B4099,Pedidos!$A$2:$A$1801,0)),"")</f>
        <v/>
      </c>
      <c r="M4099" s="26">
        <f>IFERROR(INDEX(Pedidos!$G$2:$G$1801,MATCH(B4099,Pedidos!$A$2:$A$1801,0)),0)</f>
        <v/>
      </c>
      <c r="N4099" s="25">
        <f>IFERROR(INDEX(Produtos!$B$2:$B$71,MATCH(C4099,Produtos!$A$2:$A$71,0)),"")</f>
        <v/>
      </c>
      <c r="O4099" s="25">
        <f>IFERROR(INDEX(Produtos!$C$2:$C$71,MATCH(C4099,Produtos!$A$2:$A$71,0)),"")</f>
        <v/>
      </c>
      <c r="P4099" s="25">
        <f>IFERROR(INDEX(Produtos!$D$2:$D$71,MATCH(C4099,Produtos!$A$2:$A$71,0)),0)</f>
        <v/>
      </c>
      <c r="Q4099" s="25">
        <f>IFERROR(INDEX(Produtos!$E$2:$E$71,MATCH(C4099,Produtos!$A$2:$A$71,0)),0)</f>
        <v/>
      </c>
      <c r="R4099" s="27">
        <f>D4099*Q4099</f>
        <v/>
      </c>
      <c r="S4099" s="27">
        <f>R4099*E4099</f>
        <v/>
      </c>
      <c r="T4099" s="27">
        <f>(R4099-S4099)*M4099</f>
        <v/>
      </c>
      <c r="U4099" s="27">
        <f>R4099-S4099-T4099</f>
        <v/>
      </c>
      <c r="V4099" s="27">
        <f>D4099*P4099</f>
        <v/>
      </c>
      <c r="W4099" s="27">
        <f>U4099-V4099</f>
        <v/>
      </c>
      <c r="X4099" s="28">
        <f>IFERROR(W4099/U4099,0)</f>
        <v/>
      </c>
    </row>
    <row r="4100">
      <c r="A4100" s="21">
        <f>ItensPedido!A4100</f>
        <v/>
      </c>
      <c r="B4100" s="21">
        <f>ItensPedido!B4100</f>
        <v/>
      </c>
      <c r="C4100" s="21">
        <f>ItensPedido!C4100</f>
        <v/>
      </c>
      <c r="D4100" s="21">
        <f>ItensPedido!D4100</f>
        <v/>
      </c>
      <c r="E4100" s="22">
        <f>ItensPedido!E4100</f>
        <v/>
      </c>
      <c r="F4100" s="21">
        <f>IFERROR(INDEX(Pedidos!$B$2:$B$1801,MATCH(B4100,Pedidos!$A$2:$A$1801,0)),0)</f>
        <v/>
      </c>
      <c r="G4100" s="21">
        <f>IF(F4100=0,"",YEAR(F4100))</f>
        <v/>
      </c>
      <c r="H4100" s="21">
        <f>IF(F4100=0,"",MONTH(F4100))</f>
        <v/>
      </c>
      <c r="I4100" s="21">
        <f>IFERROR(INDEX(Pedidos!$E$2:$E$1801,MATCH(B4100,Pedidos!$A$2:$A$1801,0)),"")</f>
        <v/>
      </c>
      <c r="J4100" s="21">
        <f>IFERROR(INDEX(Pedidos!$C$2:$C$1801,MATCH(B4100,Pedidos!$A$2:$A$1801,0)),"")</f>
        <v/>
      </c>
      <c r="K4100" s="21">
        <f>IFERROR(INDEX(Pedidos!$D$2:$D$1801,MATCH(B4100,Pedidos!$A$2:$A$1801,0)),"")</f>
        <v/>
      </c>
      <c r="L4100" s="21">
        <f>IFERROR(INDEX(Pedidos!$F$2:$F$1801,MATCH(B4100,Pedidos!$A$2:$A$1801,0)),"")</f>
        <v/>
      </c>
      <c r="M4100" s="22">
        <f>IFERROR(INDEX(Pedidos!$G$2:$G$1801,MATCH(B4100,Pedidos!$A$2:$A$1801,0)),0)</f>
        <v/>
      </c>
      <c r="N4100" s="21">
        <f>IFERROR(INDEX(Produtos!$B$2:$B$71,MATCH(C4100,Produtos!$A$2:$A$71,0)),"")</f>
        <v/>
      </c>
      <c r="O4100" s="21">
        <f>IFERROR(INDEX(Produtos!$C$2:$C$71,MATCH(C4100,Produtos!$A$2:$A$71,0)),"")</f>
        <v/>
      </c>
      <c r="P4100" s="21">
        <f>IFERROR(INDEX(Produtos!$D$2:$D$71,MATCH(C4100,Produtos!$A$2:$A$71,0)),0)</f>
        <v/>
      </c>
      <c r="Q4100" s="21">
        <f>IFERROR(INDEX(Produtos!$E$2:$E$71,MATCH(C4100,Produtos!$A$2:$A$71,0)),0)</f>
        <v/>
      </c>
      <c r="R4100" s="23">
        <f>D4100*Q4100</f>
        <v/>
      </c>
      <c r="S4100" s="23">
        <f>R4100*E4100</f>
        <v/>
      </c>
      <c r="T4100" s="23">
        <f>(R4100-S4100)*M4100</f>
        <v/>
      </c>
      <c r="U4100" s="23">
        <f>R4100-S4100-T4100</f>
        <v/>
      </c>
      <c r="V4100" s="23">
        <f>D4100*P4100</f>
        <v/>
      </c>
      <c r="W4100" s="23">
        <f>U4100-V4100</f>
        <v/>
      </c>
      <c r="X4100" s="24">
        <f>IFERROR(W4100/U4100,0)</f>
        <v/>
      </c>
    </row>
    <row r="4101">
      <c r="A4101" s="25">
        <f>ItensPedido!A4101</f>
        <v/>
      </c>
      <c r="B4101" s="25">
        <f>ItensPedido!B4101</f>
        <v/>
      </c>
      <c r="C4101" s="25">
        <f>ItensPedido!C4101</f>
        <v/>
      </c>
      <c r="D4101" s="25">
        <f>ItensPedido!D4101</f>
        <v/>
      </c>
      <c r="E4101" s="26">
        <f>ItensPedido!E4101</f>
        <v/>
      </c>
      <c r="F4101" s="25">
        <f>IFERROR(INDEX(Pedidos!$B$2:$B$1801,MATCH(B4101,Pedidos!$A$2:$A$1801,0)),0)</f>
        <v/>
      </c>
      <c r="G4101" s="25">
        <f>IF(F4101=0,"",YEAR(F4101))</f>
        <v/>
      </c>
      <c r="H4101" s="25">
        <f>IF(F4101=0,"",MONTH(F4101))</f>
        <v/>
      </c>
      <c r="I4101" s="25">
        <f>IFERROR(INDEX(Pedidos!$E$2:$E$1801,MATCH(B4101,Pedidos!$A$2:$A$1801,0)),"")</f>
        <v/>
      </c>
      <c r="J4101" s="25">
        <f>IFERROR(INDEX(Pedidos!$C$2:$C$1801,MATCH(B4101,Pedidos!$A$2:$A$1801,0)),"")</f>
        <v/>
      </c>
      <c r="K4101" s="25">
        <f>IFERROR(INDEX(Pedidos!$D$2:$D$1801,MATCH(B4101,Pedidos!$A$2:$A$1801,0)),"")</f>
        <v/>
      </c>
      <c r="L4101" s="25">
        <f>IFERROR(INDEX(Pedidos!$F$2:$F$1801,MATCH(B4101,Pedidos!$A$2:$A$1801,0)),"")</f>
        <v/>
      </c>
      <c r="M4101" s="26">
        <f>IFERROR(INDEX(Pedidos!$G$2:$G$1801,MATCH(B4101,Pedidos!$A$2:$A$1801,0)),0)</f>
        <v/>
      </c>
      <c r="N4101" s="25">
        <f>IFERROR(INDEX(Produtos!$B$2:$B$71,MATCH(C4101,Produtos!$A$2:$A$71,0)),"")</f>
        <v/>
      </c>
      <c r="O4101" s="25">
        <f>IFERROR(INDEX(Produtos!$C$2:$C$71,MATCH(C4101,Produtos!$A$2:$A$71,0)),"")</f>
        <v/>
      </c>
      <c r="P4101" s="25">
        <f>IFERROR(INDEX(Produtos!$D$2:$D$71,MATCH(C4101,Produtos!$A$2:$A$71,0)),0)</f>
        <v/>
      </c>
      <c r="Q4101" s="25">
        <f>IFERROR(INDEX(Produtos!$E$2:$E$71,MATCH(C4101,Produtos!$A$2:$A$71,0)),0)</f>
        <v/>
      </c>
      <c r="R4101" s="27">
        <f>D4101*Q4101</f>
        <v/>
      </c>
      <c r="S4101" s="27">
        <f>R4101*E4101</f>
        <v/>
      </c>
      <c r="T4101" s="27">
        <f>(R4101-S4101)*M4101</f>
        <v/>
      </c>
      <c r="U4101" s="27">
        <f>R4101-S4101-T4101</f>
        <v/>
      </c>
      <c r="V4101" s="27">
        <f>D4101*P4101</f>
        <v/>
      </c>
      <c r="W4101" s="27">
        <f>U4101-V4101</f>
        <v/>
      </c>
      <c r="X4101" s="28">
        <f>IFERROR(W4101/U4101,0)</f>
        <v/>
      </c>
    </row>
    <row r="4102">
      <c r="A4102" s="21">
        <f>ItensPedido!A4102</f>
        <v/>
      </c>
      <c r="B4102" s="21">
        <f>ItensPedido!B4102</f>
        <v/>
      </c>
      <c r="C4102" s="21">
        <f>ItensPedido!C4102</f>
        <v/>
      </c>
      <c r="D4102" s="21">
        <f>ItensPedido!D4102</f>
        <v/>
      </c>
      <c r="E4102" s="22">
        <f>ItensPedido!E4102</f>
        <v/>
      </c>
      <c r="F4102" s="21">
        <f>IFERROR(INDEX(Pedidos!$B$2:$B$1801,MATCH(B4102,Pedidos!$A$2:$A$1801,0)),0)</f>
        <v/>
      </c>
      <c r="G4102" s="21">
        <f>IF(F4102=0,"",YEAR(F4102))</f>
        <v/>
      </c>
      <c r="H4102" s="21">
        <f>IF(F4102=0,"",MONTH(F4102))</f>
        <v/>
      </c>
      <c r="I4102" s="21">
        <f>IFERROR(INDEX(Pedidos!$E$2:$E$1801,MATCH(B4102,Pedidos!$A$2:$A$1801,0)),"")</f>
        <v/>
      </c>
      <c r="J4102" s="21">
        <f>IFERROR(INDEX(Pedidos!$C$2:$C$1801,MATCH(B4102,Pedidos!$A$2:$A$1801,0)),"")</f>
        <v/>
      </c>
      <c r="K4102" s="21">
        <f>IFERROR(INDEX(Pedidos!$D$2:$D$1801,MATCH(B4102,Pedidos!$A$2:$A$1801,0)),"")</f>
        <v/>
      </c>
      <c r="L4102" s="21">
        <f>IFERROR(INDEX(Pedidos!$F$2:$F$1801,MATCH(B4102,Pedidos!$A$2:$A$1801,0)),"")</f>
        <v/>
      </c>
      <c r="M4102" s="22">
        <f>IFERROR(INDEX(Pedidos!$G$2:$G$1801,MATCH(B4102,Pedidos!$A$2:$A$1801,0)),0)</f>
        <v/>
      </c>
      <c r="N4102" s="21">
        <f>IFERROR(INDEX(Produtos!$B$2:$B$71,MATCH(C4102,Produtos!$A$2:$A$71,0)),"")</f>
        <v/>
      </c>
      <c r="O4102" s="21">
        <f>IFERROR(INDEX(Produtos!$C$2:$C$71,MATCH(C4102,Produtos!$A$2:$A$71,0)),"")</f>
        <v/>
      </c>
      <c r="P4102" s="21">
        <f>IFERROR(INDEX(Produtos!$D$2:$D$71,MATCH(C4102,Produtos!$A$2:$A$71,0)),0)</f>
        <v/>
      </c>
      <c r="Q4102" s="21">
        <f>IFERROR(INDEX(Produtos!$E$2:$E$71,MATCH(C4102,Produtos!$A$2:$A$71,0)),0)</f>
        <v/>
      </c>
      <c r="R4102" s="23">
        <f>D4102*Q4102</f>
        <v/>
      </c>
      <c r="S4102" s="23">
        <f>R4102*E4102</f>
        <v/>
      </c>
      <c r="T4102" s="23">
        <f>(R4102-S4102)*M4102</f>
        <v/>
      </c>
      <c r="U4102" s="23">
        <f>R4102-S4102-T4102</f>
        <v/>
      </c>
      <c r="V4102" s="23">
        <f>D4102*P4102</f>
        <v/>
      </c>
      <c r="W4102" s="23">
        <f>U4102-V4102</f>
        <v/>
      </c>
      <c r="X4102" s="24">
        <f>IFERROR(W4102/U4102,0)</f>
        <v/>
      </c>
    </row>
    <row r="4103">
      <c r="A4103" s="25">
        <f>ItensPedido!A4103</f>
        <v/>
      </c>
      <c r="B4103" s="25">
        <f>ItensPedido!B4103</f>
        <v/>
      </c>
      <c r="C4103" s="25">
        <f>ItensPedido!C4103</f>
        <v/>
      </c>
      <c r="D4103" s="25">
        <f>ItensPedido!D4103</f>
        <v/>
      </c>
      <c r="E4103" s="26">
        <f>ItensPedido!E4103</f>
        <v/>
      </c>
      <c r="F4103" s="25">
        <f>IFERROR(INDEX(Pedidos!$B$2:$B$1801,MATCH(B4103,Pedidos!$A$2:$A$1801,0)),0)</f>
        <v/>
      </c>
      <c r="G4103" s="25">
        <f>IF(F4103=0,"",YEAR(F4103))</f>
        <v/>
      </c>
      <c r="H4103" s="25">
        <f>IF(F4103=0,"",MONTH(F4103))</f>
        <v/>
      </c>
      <c r="I4103" s="25">
        <f>IFERROR(INDEX(Pedidos!$E$2:$E$1801,MATCH(B4103,Pedidos!$A$2:$A$1801,0)),"")</f>
        <v/>
      </c>
      <c r="J4103" s="25">
        <f>IFERROR(INDEX(Pedidos!$C$2:$C$1801,MATCH(B4103,Pedidos!$A$2:$A$1801,0)),"")</f>
        <v/>
      </c>
      <c r="K4103" s="25">
        <f>IFERROR(INDEX(Pedidos!$D$2:$D$1801,MATCH(B4103,Pedidos!$A$2:$A$1801,0)),"")</f>
        <v/>
      </c>
      <c r="L4103" s="25">
        <f>IFERROR(INDEX(Pedidos!$F$2:$F$1801,MATCH(B4103,Pedidos!$A$2:$A$1801,0)),"")</f>
        <v/>
      </c>
      <c r="M4103" s="26">
        <f>IFERROR(INDEX(Pedidos!$G$2:$G$1801,MATCH(B4103,Pedidos!$A$2:$A$1801,0)),0)</f>
        <v/>
      </c>
      <c r="N4103" s="25">
        <f>IFERROR(INDEX(Produtos!$B$2:$B$71,MATCH(C4103,Produtos!$A$2:$A$71,0)),"")</f>
        <v/>
      </c>
      <c r="O4103" s="25">
        <f>IFERROR(INDEX(Produtos!$C$2:$C$71,MATCH(C4103,Produtos!$A$2:$A$71,0)),"")</f>
        <v/>
      </c>
      <c r="P4103" s="25">
        <f>IFERROR(INDEX(Produtos!$D$2:$D$71,MATCH(C4103,Produtos!$A$2:$A$71,0)),0)</f>
        <v/>
      </c>
      <c r="Q4103" s="25">
        <f>IFERROR(INDEX(Produtos!$E$2:$E$71,MATCH(C4103,Produtos!$A$2:$A$71,0)),0)</f>
        <v/>
      </c>
      <c r="R4103" s="27">
        <f>D4103*Q4103</f>
        <v/>
      </c>
      <c r="S4103" s="27">
        <f>R4103*E4103</f>
        <v/>
      </c>
      <c r="T4103" s="27">
        <f>(R4103-S4103)*M4103</f>
        <v/>
      </c>
      <c r="U4103" s="27">
        <f>R4103-S4103-T4103</f>
        <v/>
      </c>
      <c r="V4103" s="27">
        <f>D4103*P4103</f>
        <v/>
      </c>
      <c r="W4103" s="27">
        <f>U4103-V4103</f>
        <v/>
      </c>
      <c r="X4103" s="28">
        <f>IFERROR(W4103/U4103,0)</f>
        <v/>
      </c>
    </row>
    <row r="4104">
      <c r="A4104" s="21">
        <f>ItensPedido!A4104</f>
        <v/>
      </c>
      <c r="B4104" s="21">
        <f>ItensPedido!B4104</f>
        <v/>
      </c>
      <c r="C4104" s="21">
        <f>ItensPedido!C4104</f>
        <v/>
      </c>
      <c r="D4104" s="21">
        <f>ItensPedido!D4104</f>
        <v/>
      </c>
      <c r="E4104" s="22">
        <f>ItensPedido!E4104</f>
        <v/>
      </c>
      <c r="F4104" s="21">
        <f>IFERROR(INDEX(Pedidos!$B$2:$B$1801,MATCH(B4104,Pedidos!$A$2:$A$1801,0)),0)</f>
        <v/>
      </c>
      <c r="G4104" s="21">
        <f>IF(F4104=0,"",YEAR(F4104))</f>
        <v/>
      </c>
      <c r="H4104" s="21">
        <f>IF(F4104=0,"",MONTH(F4104))</f>
        <v/>
      </c>
      <c r="I4104" s="21">
        <f>IFERROR(INDEX(Pedidos!$E$2:$E$1801,MATCH(B4104,Pedidos!$A$2:$A$1801,0)),"")</f>
        <v/>
      </c>
      <c r="J4104" s="21">
        <f>IFERROR(INDEX(Pedidos!$C$2:$C$1801,MATCH(B4104,Pedidos!$A$2:$A$1801,0)),"")</f>
        <v/>
      </c>
      <c r="K4104" s="21">
        <f>IFERROR(INDEX(Pedidos!$D$2:$D$1801,MATCH(B4104,Pedidos!$A$2:$A$1801,0)),"")</f>
        <v/>
      </c>
      <c r="L4104" s="21">
        <f>IFERROR(INDEX(Pedidos!$F$2:$F$1801,MATCH(B4104,Pedidos!$A$2:$A$1801,0)),"")</f>
        <v/>
      </c>
      <c r="M4104" s="22">
        <f>IFERROR(INDEX(Pedidos!$G$2:$G$1801,MATCH(B4104,Pedidos!$A$2:$A$1801,0)),0)</f>
        <v/>
      </c>
      <c r="N4104" s="21">
        <f>IFERROR(INDEX(Produtos!$B$2:$B$71,MATCH(C4104,Produtos!$A$2:$A$71,0)),"")</f>
        <v/>
      </c>
      <c r="O4104" s="21">
        <f>IFERROR(INDEX(Produtos!$C$2:$C$71,MATCH(C4104,Produtos!$A$2:$A$71,0)),"")</f>
        <v/>
      </c>
      <c r="P4104" s="21">
        <f>IFERROR(INDEX(Produtos!$D$2:$D$71,MATCH(C4104,Produtos!$A$2:$A$71,0)),0)</f>
        <v/>
      </c>
      <c r="Q4104" s="21">
        <f>IFERROR(INDEX(Produtos!$E$2:$E$71,MATCH(C4104,Produtos!$A$2:$A$71,0)),0)</f>
        <v/>
      </c>
      <c r="R4104" s="23">
        <f>D4104*Q4104</f>
        <v/>
      </c>
      <c r="S4104" s="23">
        <f>R4104*E4104</f>
        <v/>
      </c>
      <c r="T4104" s="23">
        <f>(R4104-S4104)*M4104</f>
        <v/>
      </c>
      <c r="U4104" s="23">
        <f>R4104-S4104-T4104</f>
        <v/>
      </c>
      <c r="V4104" s="23">
        <f>D4104*P4104</f>
        <v/>
      </c>
      <c r="W4104" s="23">
        <f>U4104-V4104</f>
        <v/>
      </c>
      <c r="X4104" s="24">
        <f>IFERROR(W4104/U4104,0)</f>
        <v/>
      </c>
    </row>
    <row r="4105">
      <c r="A4105" s="25">
        <f>ItensPedido!A4105</f>
        <v/>
      </c>
      <c r="B4105" s="25">
        <f>ItensPedido!B4105</f>
        <v/>
      </c>
      <c r="C4105" s="25">
        <f>ItensPedido!C4105</f>
        <v/>
      </c>
      <c r="D4105" s="25">
        <f>ItensPedido!D4105</f>
        <v/>
      </c>
      <c r="E4105" s="26">
        <f>ItensPedido!E4105</f>
        <v/>
      </c>
      <c r="F4105" s="25">
        <f>IFERROR(INDEX(Pedidos!$B$2:$B$1801,MATCH(B4105,Pedidos!$A$2:$A$1801,0)),0)</f>
        <v/>
      </c>
      <c r="G4105" s="25">
        <f>IF(F4105=0,"",YEAR(F4105))</f>
        <v/>
      </c>
      <c r="H4105" s="25">
        <f>IF(F4105=0,"",MONTH(F4105))</f>
        <v/>
      </c>
      <c r="I4105" s="25">
        <f>IFERROR(INDEX(Pedidos!$E$2:$E$1801,MATCH(B4105,Pedidos!$A$2:$A$1801,0)),"")</f>
        <v/>
      </c>
      <c r="J4105" s="25">
        <f>IFERROR(INDEX(Pedidos!$C$2:$C$1801,MATCH(B4105,Pedidos!$A$2:$A$1801,0)),"")</f>
        <v/>
      </c>
      <c r="K4105" s="25">
        <f>IFERROR(INDEX(Pedidos!$D$2:$D$1801,MATCH(B4105,Pedidos!$A$2:$A$1801,0)),"")</f>
        <v/>
      </c>
      <c r="L4105" s="25">
        <f>IFERROR(INDEX(Pedidos!$F$2:$F$1801,MATCH(B4105,Pedidos!$A$2:$A$1801,0)),"")</f>
        <v/>
      </c>
      <c r="M4105" s="26">
        <f>IFERROR(INDEX(Pedidos!$G$2:$G$1801,MATCH(B4105,Pedidos!$A$2:$A$1801,0)),0)</f>
        <v/>
      </c>
      <c r="N4105" s="25">
        <f>IFERROR(INDEX(Produtos!$B$2:$B$71,MATCH(C4105,Produtos!$A$2:$A$71,0)),"")</f>
        <v/>
      </c>
      <c r="O4105" s="25">
        <f>IFERROR(INDEX(Produtos!$C$2:$C$71,MATCH(C4105,Produtos!$A$2:$A$71,0)),"")</f>
        <v/>
      </c>
      <c r="P4105" s="25">
        <f>IFERROR(INDEX(Produtos!$D$2:$D$71,MATCH(C4105,Produtos!$A$2:$A$71,0)),0)</f>
        <v/>
      </c>
      <c r="Q4105" s="25">
        <f>IFERROR(INDEX(Produtos!$E$2:$E$71,MATCH(C4105,Produtos!$A$2:$A$71,0)),0)</f>
        <v/>
      </c>
      <c r="R4105" s="27">
        <f>D4105*Q4105</f>
        <v/>
      </c>
      <c r="S4105" s="27">
        <f>R4105*E4105</f>
        <v/>
      </c>
      <c r="T4105" s="27">
        <f>(R4105-S4105)*M4105</f>
        <v/>
      </c>
      <c r="U4105" s="27">
        <f>R4105-S4105-T4105</f>
        <v/>
      </c>
      <c r="V4105" s="27">
        <f>D4105*P4105</f>
        <v/>
      </c>
      <c r="W4105" s="27">
        <f>U4105-V4105</f>
        <v/>
      </c>
      <c r="X4105" s="28">
        <f>IFERROR(W4105/U4105,0)</f>
        <v/>
      </c>
    </row>
    <row r="4106">
      <c r="A4106" s="21">
        <f>ItensPedido!A4106</f>
        <v/>
      </c>
      <c r="B4106" s="21">
        <f>ItensPedido!B4106</f>
        <v/>
      </c>
      <c r="C4106" s="21">
        <f>ItensPedido!C4106</f>
        <v/>
      </c>
      <c r="D4106" s="21">
        <f>ItensPedido!D4106</f>
        <v/>
      </c>
      <c r="E4106" s="22">
        <f>ItensPedido!E4106</f>
        <v/>
      </c>
      <c r="F4106" s="21">
        <f>IFERROR(INDEX(Pedidos!$B$2:$B$1801,MATCH(B4106,Pedidos!$A$2:$A$1801,0)),0)</f>
        <v/>
      </c>
      <c r="G4106" s="21">
        <f>IF(F4106=0,"",YEAR(F4106))</f>
        <v/>
      </c>
      <c r="H4106" s="21">
        <f>IF(F4106=0,"",MONTH(F4106))</f>
        <v/>
      </c>
      <c r="I4106" s="21">
        <f>IFERROR(INDEX(Pedidos!$E$2:$E$1801,MATCH(B4106,Pedidos!$A$2:$A$1801,0)),"")</f>
        <v/>
      </c>
      <c r="J4106" s="21">
        <f>IFERROR(INDEX(Pedidos!$C$2:$C$1801,MATCH(B4106,Pedidos!$A$2:$A$1801,0)),"")</f>
        <v/>
      </c>
      <c r="K4106" s="21">
        <f>IFERROR(INDEX(Pedidos!$D$2:$D$1801,MATCH(B4106,Pedidos!$A$2:$A$1801,0)),"")</f>
        <v/>
      </c>
      <c r="L4106" s="21">
        <f>IFERROR(INDEX(Pedidos!$F$2:$F$1801,MATCH(B4106,Pedidos!$A$2:$A$1801,0)),"")</f>
        <v/>
      </c>
      <c r="M4106" s="22">
        <f>IFERROR(INDEX(Pedidos!$G$2:$G$1801,MATCH(B4106,Pedidos!$A$2:$A$1801,0)),0)</f>
        <v/>
      </c>
      <c r="N4106" s="21">
        <f>IFERROR(INDEX(Produtos!$B$2:$B$71,MATCH(C4106,Produtos!$A$2:$A$71,0)),"")</f>
        <v/>
      </c>
      <c r="O4106" s="21">
        <f>IFERROR(INDEX(Produtos!$C$2:$C$71,MATCH(C4106,Produtos!$A$2:$A$71,0)),"")</f>
        <v/>
      </c>
      <c r="P4106" s="21">
        <f>IFERROR(INDEX(Produtos!$D$2:$D$71,MATCH(C4106,Produtos!$A$2:$A$71,0)),0)</f>
        <v/>
      </c>
      <c r="Q4106" s="21">
        <f>IFERROR(INDEX(Produtos!$E$2:$E$71,MATCH(C4106,Produtos!$A$2:$A$71,0)),0)</f>
        <v/>
      </c>
      <c r="R4106" s="23">
        <f>D4106*Q4106</f>
        <v/>
      </c>
      <c r="S4106" s="23">
        <f>R4106*E4106</f>
        <v/>
      </c>
      <c r="T4106" s="23">
        <f>(R4106-S4106)*M4106</f>
        <v/>
      </c>
      <c r="U4106" s="23">
        <f>R4106-S4106-T4106</f>
        <v/>
      </c>
      <c r="V4106" s="23">
        <f>D4106*P4106</f>
        <v/>
      </c>
      <c r="W4106" s="23">
        <f>U4106-V4106</f>
        <v/>
      </c>
      <c r="X4106" s="24">
        <f>IFERROR(W4106/U4106,0)</f>
        <v/>
      </c>
    </row>
    <row r="4107">
      <c r="A4107" s="25">
        <f>ItensPedido!A4107</f>
        <v/>
      </c>
      <c r="B4107" s="25">
        <f>ItensPedido!B4107</f>
        <v/>
      </c>
      <c r="C4107" s="25">
        <f>ItensPedido!C4107</f>
        <v/>
      </c>
      <c r="D4107" s="25">
        <f>ItensPedido!D4107</f>
        <v/>
      </c>
      <c r="E4107" s="26">
        <f>ItensPedido!E4107</f>
        <v/>
      </c>
      <c r="F4107" s="25">
        <f>IFERROR(INDEX(Pedidos!$B$2:$B$1801,MATCH(B4107,Pedidos!$A$2:$A$1801,0)),0)</f>
        <v/>
      </c>
      <c r="G4107" s="25">
        <f>IF(F4107=0,"",YEAR(F4107))</f>
        <v/>
      </c>
      <c r="H4107" s="25">
        <f>IF(F4107=0,"",MONTH(F4107))</f>
        <v/>
      </c>
      <c r="I4107" s="25">
        <f>IFERROR(INDEX(Pedidos!$E$2:$E$1801,MATCH(B4107,Pedidos!$A$2:$A$1801,0)),"")</f>
        <v/>
      </c>
      <c r="J4107" s="25">
        <f>IFERROR(INDEX(Pedidos!$C$2:$C$1801,MATCH(B4107,Pedidos!$A$2:$A$1801,0)),"")</f>
        <v/>
      </c>
      <c r="K4107" s="25">
        <f>IFERROR(INDEX(Pedidos!$D$2:$D$1801,MATCH(B4107,Pedidos!$A$2:$A$1801,0)),"")</f>
        <v/>
      </c>
      <c r="L4107" s="25">
        <f>IFERROR(INDEX(Pedidos!$F$2:$F$1801,MATCH(B4107,Pedidos!$A$2:$A$1801,0)),"")</f>
        <v/>
      </c>
      <c r="M4107" s="26">
        <f>IFERROR(INDEX(Pedidos!$G$2:$G$1801,MATCH(B4107,Pedidos!$A$2:$A$1801,0)),0)</f>
        <v/>
      </c>
      <c r="N4107" s="25">
        <f>IFERROR(INDEX(Produtos!$B$2:$B$71,MATCH(C4107,Produtos!$A$2:$A$71,0)),"")</f>
        <v/>
      </c>
      <c r="O4107" s="25">
        <f>IFERROR(INDEX(Produtos!$C$2:$C$71,MATCH(C4107,Produtos!$A$2:$A$71,0)),"")</f>
        <v/>
      </c>
      <c r="P4107" s="25">
        <f>IFERROR(INDEX(Produtos!$D$2:$D$71,MATCH(C4107,Produtos!$A$2:$A$71,0)),0)</f>
        <v/>
      </c>
      <c r="Q4107" s="25">
        <f>IFERROR(INDEX(Produtos!$E$2:$E$71,MATCH(C4107,Produtos!$A$2:$A$71,0)),0)</f>
        <v/>
      </c>
      <c r="R4107" s="27">
        <f>D4107*Q4107</f>
        <v/>
      </c>
      <c r="S4107" s="27">
        <f>R4107*E4107</f>
        <v/>
      </c>
      <c r="T4107" s="27">
        <f>(R4107-S4107)*M4107</f>
        <v/>
      </c>
      <c r="U4107" s="27">
        <f>R4107-S4107-T4107</f>
        <v/>
      </c>
      <c r="V4107" s="27">
        <f>D4107*P4107</f>
        <v/>
      </c>
      <c r="W4107" s="27">
        <f>U4107-V4107</f>
        <v/>
      </c>
      <c r="X4107" s="28">
        <f>IFERROR(W4107/U4107,0)</f>
        <v/>
      </c>
    </row>
    <row r="4108">
      <c r="A4108" s="21">
        <f>ItensPedido!A4108</f>
        <v/>
      </c>
      <c r="B4108" s="21">
        <f>ItensPedido!B4108</f>
        <v/>
      </c>
      <c r="C4108" s="21">
        <f>ItensPedido!C4108</f>
        <v/>
      </c>
      <c r="D4108" s="21">
        <f>ItensPedido!D4108</f>
        <v/>
      </c>
      <c r="E4108" s="22">
        <f>ItensPedido!E4108</f>
        <v/>
      </c>
      <c r="F4108" s="21">
        <f>IFERROR(INDEX(Pedidos!$B$2:$B$1801,MATCH(B4108,Pedidos!$A$2:$A$1801,0)),0)</f>
        <v/>
      </c>
      <c r="G4108" s="21">
        <f>IF(F4108=0,"",YEAR(F4108))</f>
        <v/>
      </c>
      <c r="H4108" s="21">
        <f>IF(F4108=0,"",MONTH(F4108))</f>
        <v/>
      </c>
      <c r="I4108" s="21">
        <f>IFERROR(INDEX(Pedidos!$E$2:$E$1801,MATCH(B4108,Pedidos!$A$2:$A$1801,0)),"")</f>
        <v/>
      </c>
      <c r="J4108" s="21">
        <f>IFERROR(INDEX(Pedidos!$C$2:$C$1801,MATCH(B4108,Pedidos!$A$2:$A$1801,0)),"")</f>
        <v/>
      </c>
      <c r="K4108" s="21">
        <f>IFERROR(INDEX(Pedidos!$D$2:$D$1801,MATCH(B4108,Pedidos!$A$2:$A$1801,0)),"")</f>
        <v/>
      </c>
      <c r="L4108" s="21">
        <f>IFERROR(INDEX(Pedidos!$F$2:$F$1801,MATCH(B4108,Pedidos!$A$2:$A$1801,0)),"")</f>
        <v/>
      </c>
      <c r="M4108" s="22">
        <f>IFERROR(INDEX(Pedidos!$G$2:$G$1801,MATCH(B4108,Pedidos!$A$2:$A$1801,0)),0)</f>
        <v/>
      </c>
      <c r="N4108" s="21">
        <f>IFERROR(INDEX(Produtos!$B$2:$B$71,MATCH(C4108,Produtos!$A$2:$A$71,0)),"")</f>
        <v/>
      </c>
      <c r="O4108" s="21">
        <f>IFERROR(INDEX(Produtos!$C$2:$C$71,MATCH(C4108,Produtos!$A$2:$A$71,0)),"")</f>
        <v/>
      </c>
      <c r="P4108" s="21">
        <f>IFERROR(INDEX(Produtos!$D$2:$D$71,MATCH(C4108,Produtos!$A$2:$A$71,0)),0)</f>
        <v/>
      </c>
      <c r="Q4108" s="21">
        <f>IFERROR(INDEX(Produtos!$E$2:$E$71,MATCH(C4108,Produtos!$A$2:$A$71,0)),0)</f>
        <v/>
      </c>
      <c r="R4108" s="23">
        <f>D4108*Q4108</f>
        <v/>
      </c>
      <c r="S4108" s="23">
        <f>R4108*E4108</f>
        <v/>
      </c>
      <c r="T4108" s="23">
        <f>(R4108-S4108)*M4108</f>
        <v/>
      </c>
      <c r="U4108" s="23">
        <f>R4108-S4108-T4108</f>
        <v/>
      </c>
      <c r="V4108" s="23">
        <f>D4108*P4108</f>
        <v/>
      </c>
      <c r="W4108" s="23">
        <f>U4108-V4108</f>
        <v/>
      </c>
      <c r="X4108" s="24">
        <f>IFERROR(W4108/U4108,0)</f>
        <v/>
      </c>
    </row>
    <row r="4109">
      <c r="A4109" s="25">
        <f>ItensPedido!A4109</f>
        <v/>
      </c>
      <c r="B4109" s="25">
        <f>ItensPedido!B4109</f>
        <v/>
      </c>
      <c r="C4109" s="25">
        <f>ItensPedido!C4109</f>
        <v/>
      </c>
      <c r="D4109" s="25">
        <f>ItensPedido!D4109</f>
        <v/>
      </c>
      <c r="E4109" s="26">
        <f>ItensPedido!E4109</f>
        <v/>
      </c>
      <c r="F4109" s="25">
        <f>IFERROR(INDEX(Pedidos!$B$2:$B$1801,MATCH(B4109,Pedidos!$A$2:$A$1801,0)),0)</f>
        <v/>
      </c>
      <c r="G4109" s="25">
        <f>IF(F4109=0,"",YEAR(F4109))</f>
        <v/>
      </c>
      <c r="H4109" s="25">
        <f>IF(F4109=0,"",MONTH(F4109))</f>
        <v/>
      </c>
      <c r="I4109" s="25">
        <f>IFERROR(INDEX(Pedidos!$E$2:$E$1801,MATCH(B4109,Pedidos!$A$2:$A$1801,0)),"")</f>
        <v/>
      </c>
      <c r="J4109" s="25">
        <f>IFERROR(INDEX(Pedidos!$C$2:$C$1801,MATCH(B4109,Pedidos!$A$2:$A$1801,0)),"")</f>
        <v/>
      </c>
      <c r="K4109" s="25">
        <f>IFERROR(INDEX(Pedidos!$D$2:$D$1801,MATCH(B4109,Pedidos!$A$2:$A$1801,0)),"")</f>
        <v/>
      </c>
      <c r="L4109" s="25">
        <f>IFERROR(INDEX(Pedidos!$F$2:$F$1801,MATCH(B4109,Pedidos!$A$2:$A$1801,0)),"")</f>
        <v/>
      </c>
      <c r="M4109" s="26">
        <f>IFERROR(INDEX(Pedidos!$G$2:$G$1801,MATCH(B4109,Pedidos!$A$2:$A$1801,0)),0)</f>
        <v/>
      </c>
      <c r="N4109" s="25">
        <f>IFERROR(INDEX(Produtos!$B$2:$B$71,MATCH(C4109,Produtos!$A$2:$A$71,0)),"")</f>
        <v/>
      </c>
      <c r="O4109" s="25">
        <f>IFERROR(INDEX(Produtos!$C$2:$C$71,MATCH(C4109,Produtos!$A$2:$A$71,0)),"")</f>
        <v/>
      </c>
      <c r="P4109" s="25">
        <f>IFERROR(INDEX(Produtos!$D$2:$D$71,MATCH(C4109,Produtos!$A$2:$A$71,0)),0)</f>
        <v/>
      </c>
      <c r="Q4109" s="25">
        <f>IFERROR(INDEX(Produtos!$E$2:$E$71,MATCH(C4109,Produtos!$A$2:$A$71,0)),0)</f>
        <v/>
      </c>
      <c r="R4109" s="27">
        <f>D4109*Q4109</f>
        <v/>
      </c>
      <c r="S4109" s="27">
        <f>R4109*E4109</f>
        <v/>
      </c>
      <c r="T4109" s="27">
        <f>(R4109-S4109)*M4109</f>
        <v/>
      </c>
      <c r="U4109" s="27">
        <f>R4109-S4109-T4109</f>
        <v/>
      </c>
      <c r="V4109" s="27">
        <f>D4109*P4109</f>
        <v/>
      </c>
      <c r="W4109" s="27">
        <f>U4109-V4109</f>
        <v/>
      </c>
      <c r="X4109" s="28">
        <f>IFERROR(W4109/U4109,0)</f>
        <v/>
      </c>
    </row>
    <row r="4110">
      <c r="A4110" s="21">
        <f>ItensPedido!A4110</f>
        <v/>
      </c>
      <c r="B4110" s="21">
        <f>ItensPedido!B4110</f>
        <v/>
      </c>
      <c r="C4110" s="21">
        <f>ItensPedido!C4110</f>
        <v/>
      </c>
      <c r="D4110" s="21">
        <f>ItensPedido!D4110</f>
        <v/>
      </c>
      <c r="E4110" s="22">
        <f>ItensPedido!E4110</f>
        <v/>
      </c>
      <c r="F4110" s="21">
        <f>IFERROR(INDEX(Pedidos!$B$2:$B$1801,MATCH(B4110,Pedidos!$A$2:$A$1801,0)),0)</f>
        <v/>
      </c>
      <c r="G4110" s="21">
        <f>IF(F4110=0,"",YEAR(F4110))</f>
        <v/>
      </c>
      <c r="H4110" s="21">
        <f>IF(F4110=0,"",MONTH(F4110))</f>
        <v/>
      </c>
      <c r="I4110" s="21">
        <f>IFERROR(INDEX(Pedidos!$E$2:$E$1801,MATCH(B4110,Pedidos!$A$2:$A$1801,0)),"")</f>
        <v/>
      </c>
      <c r="J4110" s="21">
        <f>IFERROR(INDEX(Pedidos!$C$2:$C$1801,MATCH(B4110,Pedidos!$A$2:$A$1801,0)),"")</f>
        <v/>
      </c>
      <c r="K4110" s="21">
        <f>IFERROR(INDEX(Pedidos!$D$2:$D$1801,MATCH(B4110,Pedidos!$A$2:$A$1801,0)),"")</f>
        <v/>
      </c>
      <c r="L4110" s="21">
        <f>IFERROR(INDEX(Pedidos!$F$2:$F$1801,MATCH(B4110,Pedidos!$A$2:$A$1801,0)),"")</f>
        <v/>
      </c>
      <c r="M4110" s="22">
        <f>IFERROR(INDEX(Pedidos!$G$2:$G$1801,MATCH(B4110,Pedidos!$A$2:$A$1801,0)),0)</f>
        <v/>
      </c>
      <c r="N4110" s="21">
        <f>IFERROR(INDEX(Produtos!$B$2:$B$71,MATCH(C4110,Produtos!$A$2:$A$71,0)),"")</f>
        <v/>
      </c>
      <c r="O4110" s="21">
        <f>IFERROR(INDEX(Produtos!$C$2:$C$71,MATCH(C4110,Produtos!$A$2:$A$71,0)),"")</f>
        <v/>
      </c>
      <c r="P4110" s="21">
        <f>IFERROR(INDEX(Produtos!$D$2:$D$71,MATCH(C4110,Produtos!$A$2:$A$71,0)),0)</f>
        <v/>
      </c>
      <c r="Q4110" s="21">
        <f>IFERROR(INDEX(Produtos!$E$2:$E$71,MATCH(C4110,Produtos!$A$2:$A$71,0)),0)</f>
        <v/>
      </c>
      <c r="R4110" s="23">
        <f>D4110*Q4110</f>
        <v/>
      </c>
      <c r="S4110" s="23">
        <f>R4110*E4110</f>
        <v/>
      </c>
      <c r="T4110" s="23">
        <f>(R4110-S4110)*M4110</f>
        <v/>
      </c>
      <c r="U4110" s="23">
        <f>R4110-S4110-T4110</f>
        <v/>
      </c>
      <c r="V4110" s="23">
        <f>D4110*P4110</f>
        <v/>
      </c>
      <c r="W4110" s="23">
        <f>U4110-V4110</f>
        <v/>
      </c>
      <c r="X4110" s="24">
        <f>IFERROR(W4110/U4110,0)</f>
        <v/>
      </c>
    </row>
    <row r="4111">
      <c r="A4111" s="25">
        <f>ItensPedido!A4111</f>
        <v/>
      </c>
      <c r="B4111" s="25">
        <f>ItensPedido!B4111</f>
        <v/>
      </c>
      <c r="C4111" s="25">
        <f>ItensPedido!C4111</f>
        <v/>
      </c>
      <c r="D4111" s="25">
        <f>ItensPedido!D4111</f>
        <v/>
      </c>
      <c r="E4111" s="26">
        <f>ItensPedido!E4111</f>
        <v/>
      </c>
      <c r="F4111" s="25">
        <f>IFERROR(INDEX(Pedidos!$B$2:$B$1801,MATCH(B4111,Pedidos!$A$2:$A$1801,0)),0)</f>
        <v/>
      </c>
      <c r="G4111" s="25">
        <f>IF(F4111=0,"",YEAR(F4111))</f>
        <v/>
      </c>
      <c r="H4111" s="25">
        <f>IF(F4111=0,"",MONTH(F4111))</f>
        <v/>
      </c>
      <c r="I4111" s="25">
        <f>IFERROR(INDEX(Pedidos!$E$2:$E$1801,MATCH(B4111,Pedidos!$A$2:$A$1801,0)),"")</f>
        <v/>
      </c>
      <c r="J4111" s="25">
        <f>IFERROR(INDEX(Pedidos!$C$2:$C$1801,MATCH(B4111,Pedidos!$A$2:$A$1801,0)),"")</f>
        <v/>
      </c>
      <c r="K4111" s="25">
        <f>IFERROR(INDEX(Pedidos!$D$2:$D$1801,MATCH(B4111,Pedidos!$A$2:$A$1801,0)),"")</f>
        <v/>
      </c>
      <c r="L4111" s="25">
        <f>IFERROR(INDEX(Pedidos!$F$2:$F$1801,MATCH(B4111,Pedidos!$A$2:$A$1801,0)),"")</f>
        <v/>
      </c>
      <c r="M4111" s="26">
        <f>IFERROR(INDEX(Pedidos!$G$2:$G$1801,MATCH(B4111,Pedidos!$A$2:$A$1801,0)),0)</f>
        <v/>
      </c>
      <c r="N4111" s="25">
        <f>IFERROR(INDEX(Produtos!$B$2:$B$71,MATCH(C4111,Produtos!$A$2:$A$71,0)),"")</f>
        <v/>
      </c>
      <c r="O4111" s="25">
        <f>IFERROR(INDEX(Produtos!$C$2:$C$71,MATCH(C4111,Produtos!$A$2:$A$71,0)),"")</f>
        <v/>
      </c>
      <c r="P4111" s="25">
        <f>IFERROR(INDEX(Produtos!$D$2:$D$71,MATCH(C4111,Produtos!$A$2:$A$71,0)),0)</f>
        <v/>
      </c>
      <c r="Q4111" s="25">
        <f>IFERROR(INDEX(Produtos!$E$2:$E$71,MATCH(C4111,Produtos!$A$2:$A$71,0)),0)</f>
        <v/>
      </c>
      <c r="R4111" s="27">
        <f>D4111*Q4111</f>
        <v/>
      </c>
      <c r="S4111" s="27">
        <f>R4111*E4111</f>
        <v/>
      </c>
      <c r="T4111" s="27">
        <f>(R4111-S4111)*M4111</f>
        <v/>
      </c>
      <c r="U4111" s="27">
        <f>R4111-S4111-T4111</f>
        <v/>
      </c>
      <c r="V4111" s="27">
        <f>D4111*P4111</f>
        <v/>
      </c>
      <c r="W4111" s="27">
        <f>U4111-V4111</f>
        <v/>
      </c>
      <c r="X4111" s="28">
        <f>IFERROR(W4111/U4111,0)</f>
        <v/>
      </c>
    </row>
    <row r="4112">
      <c r="A4112" s="21">
        <f>ItensPedido!A4112</f>
        <v/>
      </c>
      <c r="B4112" s="21">
        <f>ItensPedido!B4112</f>
        <v/>
      </c>
      <c r="C4112" s="21">
        <f>ItensPedido!C4112</f>
        <v/>
      </c>
      <c r="D4112" s="21">
        <f>ItensPedido!D4112</f>
        <v/>
      </c>
      <c r="E4112" s="22">
        <f>ItensPedido!E4112</f>
        <v/>
      </c>
      <c r="F4112" s="21">
        <f>IFERROR(INDEX(Pedidos!$B$2:$B$1801,MATCH(B4112,Pedidos!$A$2:$A$1801,0)),0)</f>
        <v/>
      </c>
      <c r="G4112" s="21">
        <f>IF(F4112=0,"",YEAR(F4112))</f>
        <v/>
      </c>
      <c r="H4112" s="21">
        <f>IF(F4112=0,"",MONTH(F4112))</f>
        <v/>
      </c>
      <c r="I4112" s="21">
        <f>IFERROR(INDEX(Pedidos!$E$2:$E$1801,MATCH(B4112,Pedidos!$A$2:$A$1801,0)),"")</f>
        <v/>
      </c>
      <c r="J4112" s="21">
        <f>IFERROR(INDEX(Pedidos!$C$2:$C$1801,MATCH(B4112,Pedidos!$A$2:$A$1801,0)),"")</f>
        <v/>
      </c>
      <c r="K4112" s="21">
        <f>IFERROR(INDEX(Pedidos!$D$2:$D$1801,MATCH(B4112,Pedidos!$A$2:$A$1801,0)),"")</f>
        <v/>
      </c>
      <c r="L4112" s="21">
        <f>IFERROR(INDEX(Pedidos!$F$2:$F$1801,MATCH(B4112,Pedidos!$A$2:$A$1801,0)),"")</f>
        <v/>
      </c>
      <c r="M4112" s="22">
        <f>IFERROR(INDEX(Pedidos!$G$2:$G$1801,MATCH(B4112,Pedidos!$A$2:$A$1801,0)),0)</f>
        <v/>
      </c>
      <c r="N4112" s="21">
        <f>IFERROR(INDEX(Produtos!$B$2:$B$71,MATCH(C4112,Produtos!$A$2:$A$71,0)),"")</f>
        <v/>
      </c>
      <c r="O4112" s="21">
        <f>IFERROR(INDEX(Produtos!$C$2:$C$71,MATCH(C4112,Produtos!$A$2:$A$71,0)),"")</f>
        <v/>
      </c>
      <c r="P4112" s="21">
        <f>IFERROR(INDEX(Produtos!$D$2:$D$71,MATCH(C4112,Produtos!$A$2:$A$71,0)),0)</f>
        <v/>
      </c>
      <c r="Q4112" s="21">
        <f>IFERROR(INDEX(Produtos!$E$2:$E$71,MATCH(C4112,Produtos!$A$2:$A$71,0)),0)</f>
        <v/>
      </c>
      <c r="R4112" s="23">
        <f>D4112*Q4112</f>
        <v/>
      </c>
      <c r="S4112" s="23">
        <f>R4112*E4112</f>
        <v/>
      </c>
      <c r="T4112" s="23">
        <f>(R4112-S4112)*M4112</f>
        <v/>
      </c>
      <c r="U4112" s="23">
        <f>R4112-S4112-T4112</f>
        <v/>
      </c>
      <c r="V4112" s="23">
        <f>D4112*P4112</f>
        <v/>
      </c>
      <c r="W4112" s="23">
        <f>U4112-V4112</f>
        <v/>
      </c>
      <c r="X4112" s="24">
        <f>IFERROR(W4112/U4112,0)</f>
        <v/>
      </c>
    </row>
    <row r="4113">
      <c r="A4113" s="25">
        <f>ItensPedido!A4113</f>
        <v/>
      </c>
      <c r="B4113" s="25">
        <f>ItensPedido!B4113</f>
        <v/>
      </c>
      <c r="C4113" s="25">
        <f>ItensPedido!C4113</f>
        <v/>
      </c>
      <c r="D4113" s="25">
        <f>ItensPedido!D4113</f>
        <v/>
      </c>
      <c r="E4113" s="26">
        <f>ItensPedido!E4113</f>
        <v/>
      </c>
      <c r="F4113" s="25">
        <f>IFERROR(INDEX(Pedidos!$B$2:$B$1801,MATCH(B4113,Pedidos!$A$2:$A$1801,0)),0)</f>
        <v/>
      </c>
      <c r="G4113" s="25">
        <f>IF(F4113=0,"",YEAR(F4113))</f>
        <v/>
      </c>
      <c r="H4113" s="25">
        <f>IF(F4113=0,"",MONTH(F4113))</f>
        <v/>
      </c>
      <c r="I4113" s="25">
        <f>IFERROR(INDEX(Pedidos!$E$2:$E$1801,MATCH(B4113,Pedidos!$A$2:$A$1801,0)),"")</f>
        <v/>
      </c>
      <c r="J4113" s="25">
        <f>IFERROR(INDEX(Pedidos!$C$2:$C$1801,MATCH(B4113,Pedidos!$A$2:$A$1801,0)),"")</f>
        <v/>
      </c>
      <c r="K4113" s="25">
        <f>IFERROR(INDEX(Pedidos!$D$2:$D$1801,MATCH(B4113,Pedidos!$A$2:$A$1801,0)),"")</f>
        <v/>
      </c>
      <c r="L4113" s="25">
        <f>IFERROR(INDEX(Pedidos!$F$2:$F$1801,MATCH(B4113,Pedidos!$A$2:$A$1801,0)),"")</f>
        <v/>
      </c>
      <c r="M4113" s="26">
        <f>IFERROR(INDEX(Pedidos!$G$2:$G$1801,MATCH(B4113,Pedidos!$A$2:$A$1801,0)),0)</f>
        <v/>
      </c>
      <c r="N4113" s="25">
        <f>IFERROR(INDEX(Produtos!$B$2:$B$71,MATCH(C4113,Produtos!$A$2:$A$71,0)),"")</f>
        <v/>
      </c>
      <c r="O4113" s="25">
        <f>IFERROR(INDEX(Produtos!$C$2:$C$71,MATCH(C4113,Produtos!$A$2:$A$71,0)),"")</f>
        <v/>
      </c>
      <c r="P4113" s="25">
        <f>IFERROR(INDEX(Produtos!$D$2:$D$71,MATCH(C4113,Produtos!$A$2:$A$71,0)),0)</f>
        <v/>
      </c>
      <c r="Q4113" s="25">
        <f>IFERROR(INDEX(Produtos!$E$2:$E$71,MATCH(C4113,Produtos!$A$2:$A$71,0)),0)</f>
        <v/>
      </c>
      <c r="R4113" s="27">
        <f>D4113*Q4113</f>
        <v/>
      </c>
      <c r="S4113" s="27">
        <f>R4113*E4113</f>
        <v/>
      </c>
      <c r="T4113" s="27">
        <f>(R4113-S4113)*M4113</f>
        <v/>
      </c>
      <c r="U4113" s="27">
        <f>R4113-S4113-T4113</f>
        <v/>
      </c>
      <c r="V4113" s="27">
        <f>D4113*P4113</f>
        <v/>
      </c>
      <c r="W4113" s="27">
        <f>U4113-V4113</f>
        <v/>
      </c>
      <c r="X4113" s="28">
        <f>IFERROR(W4113/U4113,0)</f>
        <v/>
      </c>
    </row>
    <row r="4114">
      <c r="A4114" s="21">
        <f>ItensPedido!A4114</f>
        <v/>
      </c>
      <c r="B4114" s="21">
        <f>ItensPedido!B4114</f>
        <v/>
      </c>
      <c r="C4114" s="21">
        <f>ItensPedido!C4114</f>
        <v/>
      </c>
      <c r="D4114" s="21">
        <f>ItensPedido!D4114</f>
        <v/>
      </c>
      <c r="E4114" s="22">
        <f>ItensPedido!E4114</f>
        <v/>
      </c>
      <c r="F4114" s="21">
        <f>IFERROR(INDEX(Pedidos!$B$2:$B$1801,MATCH(B4114,Pedidos!$A$2:$A$1801,0)),0)</f>
        <v/>
      </c>
      <c r="G4114" s="21">
        <f>IF(F4114=0,"",YEAR(F4114))</f>
        <v/>
      </c>
      <c r="H4114" s="21">
        <f>IF(F4114=0,"",MONTH(F4114))</f>
        <v/>
      </c>
      <c r="I4114" s="21">
        <f>IFERROR(INDEX(Pedidos!$E$2:$E$1801,MATCH(B4114,Pedidos!$A$2:$A$1801,0)),"")</f>
        <v/>
      </c>
      <c r="J4114" s="21">
        <f>IFERROR(INDEX(Pedidos!$C$2:$C$1801,MATCH(B4114,Pedidos!$A$2:$A$1801,0)),"")</f>
        <v/>
      </c>
      <c r="K4114" s="21">
        <f>IFERROR(INDEX(Pedidos!$D$2:$D$1801,MATCH(B4114,Pedidos!$A$2:$A$1801,0)),"")</f>
        <v/>
      </c>
      <c r="L4114" s="21">
        <f>IFERROR(INDEX(Pedidos!$F$2:$F$1801,MATCH(B4114,Pedidos!$A$2:$A$1801,0)),"")</f>
        <v/>
      </c>
      <c r="M4114" s="22">
        <f>IFERROR(INDEX(Pedidos!$G$2:$G$1801,MATCH(B4114,Pedidos!$A$2:$A$1801,0)),0)</f>
        <v/>
      </c>
      <c r="N4114" s="21">
        <f>IFERROR(INDEX(Produtos!$B$2:$B$71,MATCH(C4114,Produtos!$A$2:$A$71,0)),"")</f>
        <v/>
      </c>
      <c r="O4114" s="21">
        <f>IFERROR(INDEX(Produtos!$C$2:$C$71,MATCH(C4114,Produtos!$A$2:$A$71,0)),"")</f>
        <v/>
      </c>
      <c r="P4114" s="21">
        <f>IFERROR(INDEX(Produtos!$D$2:$D$71,MATCH(C4114,Produtos!$A$2:$A$71,0)),0)</f>
        <v/>
      </c>
      <c r="Q4114" s="21">
        <f>IFERROR(INDEX(Produtos!$E$2:$E$71,MATCH(C4114,Produtos!$A$2:$A$71,0)),0)</f>
        <v/>
      </c>
      <c r="R4114" s="23">
        <f>D4114*Q4114</f>
        <v/>
      </c>
      <c r="S4114" s="23">
        <f>R4114*E4114</f>
        <v/>
      </c>
      <c r="T4114" s="23">
        <f>(R4114-S4114)*M4114</f>
        <v/>
      </c>
      <c r="U4114" s="23">
        <f>R4114-S4114-T4114</f>
        <v/>
      </c>
      <c r="V4114" s="23">
        <f>D4114*P4114</f>
        <v/>
      </c>
      <c r="W4114" s="23">
        <f>U4114-V4114</f>
        <v/>
      </c>
      <c r="X4114" s="24">
        <f>IFERROR(W4114/U4114,0)</f>
        <v/>
      </c>
    </row>
    <row r="4115">
      <c r="A4115" s="25">
        <f>ItensPedido!A4115</f>
        <v/>
      </c>
      <c r="B4115" s="25">
        <f>ItensPedido!B4115</f>
        <v/>
      </c>
      <c r="C4115" s="25">
        <f>ItensPedido!C4115</f>
        <v/>
      </c>
      <c r="D4115" s="25">
        <f>ItensPedido!D4115</f>
        <v/>
      </c>
      <c r="E4115" s="26">
        <f>ItensPedido!E4115</f>
        <v/>
      </c>
      <c r="F4115" s="25">
        <f>IFERROR(INDEX(Pedidos!$B$2:$B$1801,MATCH(B4115,Pedidos!$A$2:$A$1801,0)),0)</f>
        <v/>
      </c>
      <c r="G4115" s="25">
        <f>IF(F4115=0,"",YEAR(F4115))</f>
        <v/>
      </c>
      <c r="H4115" s="25">
        <f>IF(F4115=0,"",MONTH(F4115))</f>
        <v/>
      </c>
      <c r="I4115" s="25">
        <f>IFERROR(INDEX(Pedidos!$E$2:$E$1801,MATCH(B4115,Pedidos!$A$2:$A$1801,0)),"")</f>
        <v/>
      </c>
      <c r="J4115" s="25">
        <f>IFERROR(INDEX(Pedidos!$C$2:$C$1801,MATCH(B4115,Pedidos!$A$2:$A$1801,0)),"")</f>
        <v/>
      </c>
      <c r="K4115" s="25">
        <f>IFERROR(INDEX(Pedidos!$D$2:$D$1801,MATCH(B4115,Pedidos!$A$2:$A$1801,0)),"")</f>
        <v/>
      </c>
      <c r="L4115" s="25">
        <f>IFERROR(INDEX(Pedidos!$F$2:$F$1801,MATCH(B4115,Pedidos!$A$2:$A$1801,0)),"")</f>
        <v/>
      </c>
      <c r="M4115" s="26">
        <f>IFERROR(INDEX(Pedidos!$G$2:$G$1801,MATCH(B4115,Pedidos!$A$2:$A$1801,0)),0)</f>
        <v/>
      </c>
      <c r="N4115" s="25">
        <f>IFERROR(INDEX(Produtos!$B$2:$B$71,MATCH(C4115,Produtos!$A$2:$A$71,0)),"")</f>
        <v/>
      </c>
      <c r="O4115" s="25">
        <f>IFERROR(INDEX(Produtos!$C$2:$C$71,MATCH(C4115,Produtos!$A$2:$A$71,0)),"")</f>
        <v/>
      </c>
      <c r="P4115" s="25">
        <f>IFERROR(INDEX(Produtos!$D$2:$D$71,MATCH(C4115,Produtos!$A$2:$A$71,0)),0)</f>
        <v/>
      </c>
      <c r="Q4115" s="25">
        <f>IFERROR(INDEX(Produtos!$E$2:$E$71,MATCH(C4115,Produtos!$A$2:$A$71,0)),0)</f>
        <v/>
      </c>
      <c r="R4115" s="27">
        <f>D4115*Q4115</f>
        <v/>
      </c>
      <c r="S4115" s="27">
        <f>R4115*E4115</f>
        <v/>
      </c>
      <c r="T4115" s="27">
        <f>(R4115-S4115)*M4115</f>
        <v/>
      </c>
      <c r="U4115" s="27">
        <f>R4115-S4115-T4115</f>
        <v/>
      </c>
      <c r="V4115" s="27">
        <f>D4115*P4115</f>
        <v/>
      </c>
      <c r="W4115" s="27">
        <f>U4115-V4115</f>
        <v/>
      </c>
      <c r="X4115" s="28">
        <f>IFERROR(W4115/U4115,0)</f>
        <v/>
      </c>
    </row>
    <row r="4116">
      <c r="A4116" s="21">
        <f>ItensPedido!A4116</f>
        <v/>
      </c>
      <c r="B4116" s="21">
        <f>ItensPedido!B4116</f>
        <v/>
      </c>
      <c r="C4116" s="21">
        <f>ItensPedido!C4116</f>
        <v/>
      </c>
      <c r="D4116" s="21">
        <f>ItensPedido!D4116</f>
        <v/>
      </c>
      <c r="E4116" s="22">
        <f>ItensPedido!E4116</f>
        <v/>
      </c>
      <c r="F4116" s="21">
        <f>IFERROR(INDEX(Pedidos!$B$2:$B$1801,MATCH(B4116,Pedidos!$A$2:$A$1801,0)),0)</f>
        <v/>
      </c>
      <c r="G4116" s="21">
        <f>IF(F4116=0,"",YEAR(F4116))</f>
        <v/>
      </c>
      <c r="H4116" s="21">
        <f>IF(F4116=0,"",MONTH(F4116))</f>
        <v/>
      </c>
      <c r="I4116" s="21">
        <f>IFERROR(INDEX(Pedidos!$E$2:$E$1801,MATCH(B4116,Pedidos!$A$2:$A$1801,0)),"")</f>
        <v/>
      </c>
      <c r="J4116" s="21">
        <f>IFERROR(INDEX(Pedidos!$C$2:$C$1801,MATCH(B4116,Pedidos!$A$2:$A$1801,0)),"")</f>
        <v/>
      </c>
      <c r="K4116" s="21">
        <f>IFERROR(INDEX(Pedidos!$D$2:$D$1801,MATCH(B4116,Pedidos!$A$2:$A$1801,0)),"")</f>
        <v/>
      </c>
      <c r="L4116" s="21">
        <f>IFERROR(INDEX(Pedidos!$F$2:$F$1801,MATCH(B4116,Pedidos!$A$2:$A$1801,0)),"")</f>
        <v/>
      </c>
      <c r="M4116" s="22">
        <f>IFERROR(INDEX(Pedidos!$G$2:$G$1801,MATCH(B4116,Pedidos!$A$2:$A$1801,0)),0)</f>
        <v/>
      </c>
      <c r="N4116" s="21">
        <f>IFERROR(INDEX(Produtos!$B$2:$B$71,MATCH(C4116,Produtos!$A$2:$A$71,0)),"")</f>
        <v/>
      </c>
      <c r="O4116" s="21">
        <f>IFERROR(INDEX(Produtos!$C$2:$C$71,MATCH(C4116,Produtos!$A$2:$A$71,0)),"")</f>
        <v/>
      </c>
      <c r="P4116" s="21">
        <f>IFERROR(INDEX(Produtos!$D$2:$D$71,MATCH(C4116,Produtos!$A$2:$A$71,0)),0)</f>
        <v/>
      </c>
      <c r="Q4116" s="21">
        <f>IFERROR(INDEX(Produtos!$E$2:$E$71,MATCH(C4116,Produtos!$A$2:$A$71,0)),0)</f>
        <v/>
      </c>
      <c r="R4116" s="23">
        <f>D4116*Q4116</f>
        <v/>
      </c>
      <c r="S4116" s="23">
        <f>R4116*E4116</f>
        <v/>
      </c>
      <c r="T4116" s="23">
        <f>(R4116-S4116)*M4116</f>
        <v/>
      </c>
      <c r="U4116" s="23">
        <f>R4116-S4116-T4116</f>
        <v/>
      </c>
      <c r="V4116" s="23">
        <f>D4116*P4116</f>
        <v/>
      </c>
      <c r="W4116" s="23">
        <f>U4116-V4116</f>
        <v/>
      </c>
      <c r="X4116" s="24">
        <f>IFERROR(W4116/U4116,0)</f>
        <v/>
      </c>
    </row>
    <row r="4117">
      <c r="A4117" s="25">
        <f>ItensPedido!A4117</f>
        <v/>
      </c>
      <c r="B4117" s="25">
        <f>ItensPedido!B4117</f>
        <v/>
      </c>
      <c r="C4117" s="25">
        <f>ItensPedido!C4117</f>
        <v/>
      </c>
      <c r="D4117" s="25">
        <f>ItensPedido!D4117</f>
        <v/>
      </c>
      <c r="E4117" s="26">
        <f>ItensPedido!E4117</f>
        <v/>
      </c>
      <c r="F4117" s="25">
        <f>IFERROR(INDEX(Pedidos!$B$2:$B$1801,MATCH(B4117,Pedidos!$A$2:$A$1801,0)),0)</f>
        <v/>
      </c>
      <c r="G4117" s="25">
        <f>IF(F4117=0,"",YEAR(F4117))</f>
        <v/>
      </c>
      <c r="H4117" s="25">
        <f>IF(F4117=0,"",MONTH(F4117))</f>
        <v/>
      </c>
      <c r="I4117" s="25">
        <f>IFERROR(INDEX(Pedidos!$E$2:$E$1801,MATCH(B4117,Pedidos!$A$2:$A$1801,0)),"")</f>
        <v/>
      </c>
      <c r="J4117" s="25">
        <f>IFERROR(INDEX(Pedidos!$C$2:$C$1801,MATCH(B4117,Pedidos!$A$2:$A$1801,0)),"")</f>
        <v/>
      </c>
      <c r="K4117" s="25">
        <f>IFERROR(INDEX(Pedidos!$D$2:$D$1801,MATCH(B4117,Pedidos!$A$2:$A$1801,0)),"")</f>
        <v/>
      </c>
      <c r="L4117" s="25">
        <f>IFERROR(INDEX(Pedidos!$F$2:$F$1801,MATCH(B4117,Pedidos!$A$2:$A$1801,0)),"")</f>
        <v/>
      </c>
      <c r="M4117" s="26">
        <f>IFERROR(INDEX(Pedidos!$G$2:$G$1801,MATCH(B4117,Pedidos!$A$2:$A$1801,0)),0)</f>
        <v/>
      </c>
      <c r="N4117" s="25">
        <f>IFERROR(INDEX(Produtos!$B$2:$B$71,MATCH(C4117,Produtos!$A$2:$A$71,0)),"")</f>
        <v/>
      </c>
      <c r="O4117" s="25">
        <f>IFERROR(INDEX(Produtos!$C$2:$C$71,MATCH(C4117,Produtos!$A$2:$A$71,0)),"")</f>
        <v/>
      </c>
      <c r="P4117" s="25">
        <f>IFERROR(INDEX(Produtos!$D$2:$D$71,MATCH(C4117,Produtos!$A$2:$A$71,0)),0)</f>
        <v/>
      </c>
      <c r="Q4117" s="25">
        <f>IFERROR(INDEX(Produtos!$E$2:$E$71,MATCH(C4117,Produtos!$A$2:$A$71,0)),0)</f>
        <v/>
      </c>
      <c r="R4117" s="27">
        <f>D4117*Q4117</f>
        <v/>
      </c>
      <c r="S4117" s="27">
        <f>R4117*E4117</f>
        <v/>
      </c>
      <c r="T4117" s="27">
        <f>(R4117-S4117)*M4117</f>
        <v/>
      </c>
      <c r="U4117" s="27">
        <f>R4117-S4117-T4117</f>
        <v/>
      </c>
      <c r="V4117" s="27">
        <f>D4117*P4117</f>
        <v/>
      </c>
      <c r="W4117" s="27">
        <f>U4117-V4117</f>
        <v/>
      </c>
      <c r="X4117" s="28">
        <f>IFERROR(W4117/U4117,0)</f>
        <v/>
      </c>
    </row>
    <row r="4118">
      <c r="A4118" s="21">
        <f>ItensPedido!A4118</f>
        <v/>
      </c>
      <c r="B4118" s="21">
        <f>ItensPedido!B4118</f>
        <v/>
      </c>
      <c r="C4118" s="21">
        <f>ItensPedido!C4118</f>
        <v/>
      </c>
      <c r="D4118" s="21">
        <f>ItensPedido!D4118</f>
        <v/>
      </c>
      <c r="E4118" s="22">
        <f>ItensPedido!E4118</f>
        <v/>
      </c>
      <c r="F4118" s="21">
        <f>IFERROR(INDEX(Pedidos!$B$2:$B$1801,MATCH(B4118,Pedidos!$A$2:$A$1801,0)),0)</f>
        <v/>
      </c>
      <c r="G4118" s="21">
        <f>IF(F4118=0,"",YEAR(F4118))</f>
        <v/>
      </c>
      <c r="H4118" s="21">
        <f>IF(F4118=0,"",MONTH(F4118))</f>
        <v/>
      </c>
      <c r="I4118" s="21">
        <f>IFERROR(INDEX(Pedidos!$E$2:$E$1801,MATCH(B4118,Pedidos!$A$2:$A$1801,0)),"")</f>
        <v/>
      </c>
      <c r="J4118" s="21">
        <f>IFERROR(INDEX(Pedidos!$C$2:$C$1801,MATCH(B4118,Pedidos!$A$2:$A$1801,0)),"")</f>
        <v/>
      </c>
      <c r="K4118" s="21">
        <f>IFERROR(INDEX(Pedidos!$D$2:$D$1801,MATCH(B4118,Pedidos!$A$2:$A$1801,0)),"")</f>
        <v/>
      </c>
      <c r="L4118" s="21">
        <f>IFERROR(INDEX(Pedidos!$F$2:$F$1801,MATCH(B4118,Pedidos!$A$2:$A$1801,0)),"")</f>
        <v/>
      </c>
      <c r="M4118" s="22">
        <f>IFERROR(INDEX(Pedidos!$G$2:$G$1801,MATCH(B4118,Pedidos!$A$2:$A$1801,0)),0)</f>
        <v/>
      </c>
      <c r="N4118" s="21">
        <f>IFERROR(INDEX(Produtos!$B$2:$B$71,MATCH(C4118,Produtos!$A$2:$A$71,0)),"")</f>
        <v/>
      </c>
      <c r="O4118" s="21">
        <f>IFERROR(INDEX(Produtos!$C$2:$C$71,MATCH(C4118,Produtos!$A$2:$A$71,0)),"")</f>
        <v/>
      </c>
      <c r="P4118" s="21">
        <f>IFERROR(INDEX(Produtos!$D$2:$D$71,MATCH(C4118,Produtos!$A$2:$A$71,0)),0)</f>
        <v/>
      </c>
      <c r="Q4118" s="21">
        <f>IFERROR(INDEX(Produtos!$E$2:$E$71,MATCH(C4118,Produtos!$A$2:$A$71,0)),0)</f>
        <v/>
      </c>
      <c r="R4118" s="23">
        <f>D4118*Q4118</f>
        <v/>
      </c>
      <c r="S4118" s="23">
        <f>R4118*E4118</f>
        <v/>
      </c>
      <c r="T4118" s="23">
        <f>(R4118-S4118)*M4118</f>
        <v/>
      </c>
      <c r="U4118" s="23">
        <f>R4118-S4118-T4118</f>
        <v/>
      </c>
      <c r="V4118" s="23">
        <f>D4118*P4118</f>
        <v/>
      </c>
      <c r="W4118" s="23">
        <f>U4118-V4118</f>
        <v/>
      </c>
      <c r="X4118" s="24">
        <f>IFERROR(W4118/U4118,0)</f>
        <v/>
      </c>
    </row>
    <row r="4119">
      <c r="A4119" s="25">
        <f>ItensPedido!A4119</f>
        <v/>
      </c>
      <c r="B4119" s="25">
        <f>ItensPedido!B4119</f>
        <v/>
      </c>
      <c r="C4119" s="25">
        <f>ItensPedido!C4119</f>
        <v/>
      </c>
      <c r="D4119" s="25">
        <f>ItensPedido!D4119</f>
        <v/>
      </c>
      <c r="E4119" s="26">
        <f>ItensPedido!E4119</f>
        <v/>
      </c>
      <c r="F4119" s="25">
        <f>IFERROR(INDEX(Pedidos!$B$2:$B$1801,MATCH(B4119,Pedidos!$A$2:$A$1801,0)),0)</f>
        <v/>
      </c>
      <c r="G4119" s="25">
        <f>IF(F4119=0,"",YEAR(F4119))</f>
        <v/>
      </c>
      <c r="H4119" s="25">
        <f>IF(F4119=0,"",MONTH(F4119))</f>
        <v/>
      </c>
      <c r="I4119" s="25">
        <f>IFERROR(INDEX(Pedidos!$E$2:$E$1801,MATCH(B4119,Pedidos!$A$2:$A$1801,0)),"")</f>
        <v/>
      </c>
      <c r="J4119" s="25">
        <f>IFERROR(INDEX(Pedidos!$C$2:$C$1801,MATCH(B4119,Pedidos!$A$2:$A$1801,0)),"")</f>
        <v/>
      </c>
      <c r="K4119" s="25">
        <f>IFERROR(INDEX(Pedidos!$D$2:$D$1801,MATCH(B4119,Pedidos!$A$2:$A$1801,0)),"")</f>
        <v/>
      </c>
      <c r="L4119" s="25">
        <f>IFERROR(INDEX(Pedidos!$F$2:$F$1801,MATCH(B4119,Pedidos!$A$2:$A$1801,0)),"")</f>
        <v/>
      </c>
      <c r="M4119" s="26">
        <f>IFERROR(INDEX(Pedidos!$G$2:$G$1801,MATCH(B4119,Pedidos!$A$2:$A$1801,0)),0)</f>
        <v/>
      </c>
      <c r="N4119" s="25">
        <f>IFERROR(INDEX(Produtos!$B$2:$B$71,MATCH(C4119,Produtos!$A$2:$A$71,0)),"")</f>
        <v/>
      </c>
      <c r="O4119" s="25">
        <f>IFERROR(INDEX(Produtos!$C$2:$C$71,MATCH(C4119,Produtos!$A$2:$A$71,0)),"")</f>
        <v/>
      </c>
      <c r="P4119" s="25">
        <f>IFERROR(INDEX(Produtos!$D$2:$D$71,MATCH(C4119,Produtos!$A$2:$A$71,0)),0)</f>
        <v/>
      </c>
      <c r="Q4119" s="25">
        <f>IFERROR(INDEX(Produtos!$E$2:$E$71,MATCH(C4119,Produtos!$A$2:$A$71,0)),0)</f>
        <v/>
      </c>
      <c r="R4119" s="27">
        <f>D4119*Q4119</f>
        <v/>
      </c>
      <c r="S4119" s="27">
        <f>R4119*E4119</f>
        <v/>
      </c>
      <c r="T4119" s="27">
        <f>(R4119-S4119)*M4119</f>
        <v/>
      </c>
      <c r="U4119" s="27">
        <f>R4119-S4119-T4119</f>
        <v/>
      </c>
      <c r="V4119" s="27">
        <f>D4119*P4119</f>
        <v/>
      </c>
      <c r="W4119" s="27">
        <f>U4119-V4119</f>
        <v/>
      </c>
      <c r="X4119" s="28">
        <f>IFERROR(W4119/U4119,0)</f>
        <v/>
      </c>
    </row>
    <row r="4120">
      <c r="A4120" s="21">
        <f>ItensPedido!A4120</f>
        <v/>
      </c>
      <c r="B4120" s="21">
        <f>ItensPedido!B4120</f>
        <v/>
      </c>
      <c r="C4120" s="21">
        <f>ItensPedido!C4120</f>
        <v/>
      </c>
      <c r="D4120" s="21">
        <f>ItensPedido!D4120</f>
        <v/>
      </c>
      <c r="E4120" s="22">
        <f>ItensPedido!E4120</f>
        <v/>
      </c>
      <c r="F4120" s="21">
        <f>IFERROR(INDEX(Pedidos!$B$2:$B$1801,MATCH(B4120,Pedidos!$A$2:$A$1801,0)),0)</f>
        <v/>
      </c>
      <c r="G4120" s="21">
        <f>IF(F4120=0,"",YEAR(F4120))</f>
        <v/>
      </c>
      <c r="H4120" s="21">
        <f>IF(F4120=0,"",MONTH(F4120))</f>
        <v/>
      </c>
      <c r="I4120" s="21">
        <f>IFERROR(INDEX(Pedidos!$E$2:$E$1801,MATCH(B4120,Pedidos!$A$2:$A$1801,0)),"")</f>
        <v/>
      </c>
      <c r="J4120" s="21">
        <f>IFERROR(INDEX(Pedidos!$C$2:$C$1801,MATCH(B4120,Pedidos!$A$2:$A$1801,0)),"")</f>
        <v/>
      </c>
      <c r="K4120" s="21">
        <f>IFERROR(INDEX(Pedidos!$D$2:$D$1801,MATCH(B4120,Pedidos!$A$2:$A$1801,0)),"")</f>
        <v/>
      </c>
      <c r="L4120" s="21">
        <f>IFERROR(INDEX(Pedidos!$F$2:$F$1801,MATCH(B4120,Pedidos!$A$2:$A$1801,0)),"")</f>
        <v/>
      </c>
      <c r="M4120" s="22">
        <f>IFERROR(INDEX(Pedidos!$G$2:$G$1801,MATCH(B4120,Pedidos!$A$2:$A$1801,0)),0)</f>
        <v/>
      </c>
      <c r="N4120" s="21">
        <f>IFERROR(INDEX(Produtos!$B$2:$B$71,MATCH(C4120,Produtos!$A$2:$A$71,0)),"")</f>
        <v/>
      </c>
      <c r="O4120" s="21">
        <f>IFERROR(INDEX(Produtos!$C$2:$C$71,MATCH(C4120,Produtos!$A$2:$A$71,0)),"")</f>
        <v/>
      </c>
      <c r="P4120" s="21">
        <f>IFERROR(INDEX(Produtos!$D$2:$D$71,MATCH(C4120,Produtos!$A$2:$A$71,0)),0)</f>
        <v/>
      </c>
      <c r="Q4120" s="21">
        <f>IFERROR(INDEX(Produtos!$E$2:$E$71,MATCH(C4120,Produtos!$A$2:$A$71,0)),0)</f>
        <v/>
      </c>
      <c r="R4120" s="23">
        <f>D4120*Q4120</f>
        <v/>
      </c>
      <c r="S4120" s="23">
        <f>R4120*E4120</f>
        <v/>
      </c>
      <c r="T4120" s="23">
        <f>(R4120-S4120)*M4120</f>
        <v/>
      </c>
      <c r="U4120" s="23">
        <f>R4120-S4120-T4120</f>
        <v/>
      </c>
      <c r="V4120" s="23">
        <f>D4120*P4120</f>
        <v/>
      </c>
      <c r="W4120" s="23">
        <f>U4120-V4120</f>
        <v/>
      </c>
      <c r="X4120" s="24">
        <f>IFERROR(W4120/U4120,0)</f>
        <v/>
      </c>
    </row>
    <row r="4121">
      <c r="A4121" s="25">
        <f>ItensPedido!A4121</f>
        <v/>
      </c>
      <c r="B4121" s="25">
        <f>ItensPedido!B4121</f>
        <v/>
      </c>
      <c r="C4121" s="25">
        <f>ItensPedido!C4121</f>
        <v/>
      </c>
      <c r="D4121" s="25">
        <f>ItensPedido!D4121</f>
        <v/>
      </c>
      <c r="E4121" s="26">
        <f>ItensPedido!E4121</f>
        <v/>
      </c>
      <c r="F4121" s="25">
        <f>IFERROR(INDEX(Pedidos!$B$2:$B$1801,MATCH(B4121,Pedidos!$A$2:$A$1801,0)),0)</f>
        <v/>
      </c>
      <c r="G4121" s="25">
        <f>IF(F4121=0,"",YEAR(F4121))</f>
        <v/>
      </c>
      <c r="H4121" s="25">
        <f>IF(F4121=0,"",MONTH(F4121))</f>
        <v/>
      </c>
      <c r="I4121" s="25">
        <f>IFERROR(INDEX(Pedidos!$E$2:$E$1801,MATCH(B4121,Pedidos!$A$2:$A$1801,0)),"")</f>
        <v/>
      </c>
      <c r="J4121" s="25">
        <f>IFERROR(INDEX(Pedidos!$C$2:$C$1801,MATCH(B4121,Pedidos!$A$2:$A$1801,0)),"")</f>
        <v/>
      </c>
      <c r="K4121" s="25">
        <f>IFERROR(INDEX(Pedidos!$D$2:$D$1801,MATCH(B4121,Pedidos!$A$2:$A$1801,0)),"")</f>
        <v/>
      </c>
      <c r="L4121" s="25">
        <f>IFERROR(INDEX(Pedidos!$F$2:$F$1801,MATCH(B4121,Pedidos!$A$2:$A$1801,0)),"")</f>
        <v/>
      </c>
      <c r="M4121" s="26">
        <f>IFERROR(INDEX(Pedidos!$G$2:$G$1801,MATCH(B4121,Pedidos!$A$2:$A$1801,0)),0)</f>
        <v/>
      </c>
      <c r="N4121" s="25">
        <f>IFERROR(INDEX(Produtos!$B$2:$B$71,MATCH(C4121,Produtos!$A$2:$A$71,0)),"")</f>
        <v/>
      </c>
      <c r="O4121" s="25">
        <f>IFERROR(INDEX(Produtos!$C$2:$C$71,MATCH(C4121,Produtos!$A$2:$A$71,0)),"")</f>
        <v/>
      </c>
      <c r="P4121" s="25">
        <f>IFERROR(INDEX(Produtos!$D$2:$D$71,MATCH(C4121,Produtos!$A$2:$A$71,0)),0)</f>
        <v/>
      </c>
      <c r="Q4121" s="25">
        <f>IFERROR(INDEX(Produtos!$E$2:$E$71,MATCH(C4121,Produtos!$A$2:$A$71,0)),0)</f>
        <v/>
      </c>
      <c r="R4121" s="27">
        <f>D4121*Q4121</f>
        <v/>
      </c>
      <c r="S4121" s="27">
        <f>R4121*E4121</f>
        <v/>
      </c>
      <c r="T4121" s="27">
        <f>(R4121-S4121)*M4121</f>
        <v/>
      </c>
      <c r="U4121" s="27">
        <f>R4121-S4121-T4121</f>
        <v/>
      </c>
      <c r="V4121" s="27">
        <f>D4121*P4121</f>
        <v/>
      </c>
      <c r="W4121" s="27">
        <f>U4121-V4121</f>
        <v/>
      </c>
      <c r="X4121" s="28">
        <f>IFERROR(W4121/U4121,0)</f>
        <v/>
      </c>
    </row>
    <row r="4122">
      <c r="A4122" s="21">
        <f>ItensPedido!A4122</f>
        <v/>
      </c>
      <c r="B4122" s="21">
        <f>ItensPedido!B4122</f>
        <v/>
      </c>
      <c r="C4122" s="21">
        <f>ItensPedido!C4122</f>
        <v/>
      </c>
      <c r="D4122" s="21">
        <f>ItensPedido!D4122</f>
        <v/>
      </c>
      <c r="E4122" s="22">
        <f>ItensPedido!E4122</f>
        <v/>
      </c>
      <c r="F4122" s="21">
        <f>IFERROR(INDEX(Pedidos!$B$2:$B$1801,MATCH(B4122,Pedidos!$A$2:$A$1801,0)),0)</f>
        <v/>
      </c>
      <c r="G4122" s="21">
        <f>IF(F4122=0,"",YEAR(F4122))</f>
        <v/>
      </c>
      <c r="H4122" s="21">
        <f>IF(F4122=0,"",MONTH(F4122))</f>
        <v/>
      </c>
      <c r="I4122" s="21">
        <f>IFERROR(INDEX(Pedidos!$E$2:$E$1801,MATCH(B4122,Pedidos!$A$2:$A$1801,0)),"")</f>
        <v/>
      </c>
      <c r="J4122" s="21">
        <f>IFERROR(INDEX(Pedidos!$C$2:$C$1801,MATCH(B4122,Pedidos!$A$2:$A$1801,0)),"")</f>
        <v/>
      </c>
      <c r="K4122" s="21">
        <f>IFERROR(INDEX(Pedidos!$D$2:$D$1801,MATCH(B4122,Pedidos!$A$2:$A$1801,0)),"")</f>
        <v/>
      </c>
      <c r="L4122" s="21">
        <f>IFERROR(INDEX(Pedidos!$F$2:$F$1801,MATCH(B4122,Pedidos!$A$2:$A$1801,0)),"")</f>
        <v/>
      </c>
      <c r="M4122" s="22">
        <f>IFERROR(INDEX(Pedidos!$G$2:$G$1801,MATCH(B4122,Pedidos!$A$2:$A$1801,0)),0)</f>
        <v/>
      </c>
      <c r="N4122" s="21">
        <f>IFERROR(INDEX(Produtos!$B$2:$B$71,MATCH(C4122,Produtos!$A$2:$A$71,0)),"")</f>
        <v/>
      </c>
      <c r="O4122" s="21">
        <f>IFERROR(INDEX(Produtos!$C$2:$C$71,MATCH(C4122,Produtos!$A$2:$A$71,0)),"")</f>
        <v/>
      </c>
      <c r="P4122" s="21">
        <f>IFERROR(INDEX(Produtos!$D$2:$D$71,MATCH(C4122,Produtos!$A$2:$A$71,0)),0)</f>
        <v/>
      </c>
      <c r="Q4122" s="21">
        <f>IFERROR(INDEX(Produtos!$E$2:$E$71,MATCH(C4122,Produtos!$A$2:$A$71,0)),0)</f>
        <v/>
      </c>
      <c r="R4122" s="23">
        <f>D4122*Q4122</f>
        <v/>
      </c>
      <c r="S4122" s="23">
        <f>R4122*E4122</f>
        <v/>
      </c>
      <c r="T4122" s="23">
        <f>(R4122-S4122)*M4122</f>
        <v/>
      </c>
      <c r="U4122" s="23">
        <f>R4122-S4122-T4122</f>
        <v/>
      </c>
      <c r="V4122" s="23">
        <f>D4122*P4122</f>
        <v/>
      </c>
      <c r="W4122" s="23">
        <f>U4122-V4122</f>
        <v/>
      </c>
      <c r="X4122" s="24">
        <f>IFERROR(W4122/U4122,0)</f>
        <v/>
      </c>
    </row>
    <row r="4123">
      <c r="A4123" s="25">
        <f>ItensPedido!A4123</f>
        <v/>
      </c>
      <c r="B4123" s="25">
        <f>ItensPedido!B4123</f>
        <v/>
      </c>
      <c r="C4123" s="25">
        <f>ItensPedido!C4123</f>
        <v/>
      </c>
      <c r="D4123" s="25">
        <f>ItensPedido!D4123</f>
        <v/>
      </c>
      <c r="E4123" s="26">
        <f>ItensPedido!E4123</f>
        <v/>
      </c>
      <c r="F4123" s="25">
        <f>IFERROR(INDEX(Pedidos!$B$2:$B$1801,MATCH(B4123,Pedidos!$A$2:$A$1801,0)),0)</f>
        <v/>
      </c>
      <c r="G4123" s="25">
        <f>IF(F4123=0,"",YEAR(F4123))</f>
        <v/>
      </c>
      <c r="H4123" s="25">
        <f>IF(F4123=0,"",MONTH(F4123))</f>
        <v/>
      </c>
      <c r="I4123" s="25">
        <f>IFERROR(INDEX(Pedidos!$E$2:$E$1801,MATCH(B4123,Pedidos!$A$2:$A$1801,0)),"")</f>
        <v/>
      </c>
      <c r="J4123" s="25">
        <f>IFERROR(INDEX(Pedidos!$C$2:$C$1801,MATCH(B4123,Pedidos!$A$2:$A$1801,0)),"")</f>
        <v/>
      </c>
      <c r="K4123" s="25">
        <f>IFERROR(INDEX(Pedidos!$D$2:$D$1801,MATCH(B4123,Pedidos!$A$2:$A$1801,0)),"")</f>
        <v/>
      </c>
      <c r="L4123" s="25">
        <f>IFERROR(INDEX(Pedidos!$F$2:$F$1801,MATCH(B4123,Pedidos!$A$2:$A$1801,0)),"")</f>
        <v/>
      </c>
      <c r="M4123" s="26">
        <f>IFERROR(INDEX(Pedidos!$G$2:$G$1801,MATCH(B4123,Pedidos!$A$2:$A$1801,0)),0)</f>
        <v/>
      </c>
      <c r="N4123" s="25">
        <f>IFERROR(INDEX(Produtos!$B$2:$B$71,MATCH(C4123,Produtos!$A$2:$A$71,0)),"")</f>
        <v/>
      </c>
      <c r="O4123" s="25">
        <f>IFERROR(INDEX(Produtos!$C$2:$C$71,MATCH(C4123,Produtos!$A$2:$A$71,0)),"")</f>
        <v/>
      </c>
      <c r="P4123" s="25">
        <f>IFERROR(INDEX(Produtos!$D$2:$D$71,MATCH(C4123,Produtos!$A$2:$A$71,0)),0)</f>
        <v/>
      </c>
      <c r="Q4123" s="25">
        <f>IFERROR(INDEX(Produtos!$E$2:$E$71,MATCH(C4123,Produtos!$A$2:$A$71,0)),0)</f>
        <v/>
      </c>
      <c r="R4123" s="27">
        <f>D4123*Q4123</f>
        <v/>
      </c>
      <c r="S4123" s="27">
        <f>R4123*E4123</f>
        <v/>
      </c>
      <c r="T4123" s="27">
        <f>(R4123-S4123)*M4123</f>
        <v/>
      </c>
      <c r="U4123" s="27">
        <f>R4123-S4123-T4123</f>
        <v/>
      </c>
      <c r="V4123" s="27">
        <f>D4123*P4123</f>
        <v/>
      </c>
      <c r="W4123" s="27">
        <f>U4123-V4123</f>
        <v/>
      </c>
      <c r="X4123" s="28">
        <f>IFERROR(W4123/U4123,0)</f>
        <v/>
      </c>
    </row>
    <row r="4124">
      <c r="A4124" s="21">
        <f>ItensPedido!A4124</f>
        <v/>
      </c>
      <c r="B4124" s="21">
        <f>ItensPedido!B4124</f>
        <v/>
      </c>
      <c r="C4124" s="21">
        <f>ItensPedido!C4124</f>
        <v/>
      </c>
      <c r="D4124" s="21">
        <f>ItensPedido!D4124</f>
        <v/>
      </c>
      <c r="E4124" s="22">
        <f>ItensPedido!E4124</f>
        <v/>
      </c>
      <c r="F4124" s="21">
        <f>IFERROR(INDEX(Pedidos!$B$2:$B$1801,MATCH(B4124,Pedidos!$A$2:$A$1801,0)),0)</f>
        <v/>
      </c>
      <c r="G4124" s="21">
        <f>IF(F4124=0,"",YEAR(F4124))</f>
        <v/>
      </c>
      <c r="H4124" s="21">
        <f>IF(F4124=0,"",MONTH(F4124))</f>
        <v/>
      </c>
      <c r="I4124" s="21">
        <f>IFERROR(INDEX(Pedidos!$E$2:$E$1801,MATCH(B4124,Pedidos!$A$2:$A$1801,0)),"")</f>
        <v/>
      </c>
      <c r="J4124" s="21">
        <f>IFERROR(INDEX(Pedidos!$C$2:$C$1801,MATCH(B4124,Pedidos!$A$2:$A$1801,0)),"")</f>
        <v/>
      </c>
      <c r="K4124" s="21">
        <f>IFERROR(INDEX(Pedidos!$D$2:$D$1801,MATCH(B4124,Pedidos!$A$2:$A$1801,0)),"")</f>
        <v/>
      </c>
      <c r="L4124" s="21">
        <f>IFERROR(INDEX(Pedidos!$F$2:$F$1801,MATCH(B4124,Pedidos!$A$2:$A$1801,0)),"")</f>
        <v/>
      </c>
      <c r="M4124" s="22">
        <f>IFERROR(INDEX(Pedidos!$G$2:$G$1801,MATCH(B4124,Pedidos!$A$2:$A$1801,0)),0)</f>
        <v/>
      </c>
      <c r="N4124" s="21">
        <f>IFERROR(INDEX(Produtos!$B$2:$B$71,MATCH(C4124,Produtos!$A$2:$A$71,0)),"")</f>
        <v/>
      </c>
      <c r="O4124" s="21">
        <f>IFERROR(INDEX(Produtos!$C$2:$C$71,MATCH(C4124,Produtos!$A$2:$A$71,0)),"")</f>
        <v/>
      </c>
      <c r="P4124" s="21">
        <f>IFERROR(INDEX(Produtos!$D$2:$D$71,MATCH(C4124,Produtos!$A$2:$A$71,0)),0)</f>
        <v/>
      </c>
      <c r="Q4124" s="21">
        <f>IFERROR(INDEX(Produtos!$E$2:$E$71,MATCH(C4124,Produtos!$A$2:$A$71,0)),0)</f>
        <v/>
      </c>
      <c r="R4124" s="23">
        <f>D4124*Q4124</f>
        <v/>
      </c>
      <c r="S4124" s="23">
        <f>R4124*E4124</f>
        <v/>
      </c>
      <c r="T4124" s="23">
        <f>(R4124-S4124)*M4124</f>
        <v/>
      </c>
      <c r="U4124" s="23">
        <f>R4124-S4124-T4124</f>
        <v/>
      </c>
      <c r="V4124" s="23">
        <f>D4124*P4124</f>
        <v/>
      </c>
      <c r="W4124" s="23">
        <f>U4124-V4124</f>
        <v/>
      </c>
      <c r="X4124" s="24">
        <f>IFERROR(W4124/U4124,0)</f>
        <v/>
      </c>
    </row>
    <row r="4125">
      <c r="A4125" s="25">
        <f>ItensPedido!A4125</f>
        <v/>
      </c>
      <c r="B4125" s="25">
        <f>ItensPedido!B4125</f>
        <v/>
      </c>
      <c r="C4125" s="25">
        <f>ItensPedido!C4125</f>
        <v/>
      </c>
      <c r="D4125" s="25">
        <f>ItensPedido!D4125</f>
        <v/>
      </c>
      <c r="E4125" s="26">
        <f>ItensPedido!E4125</f>
        <v/>
      </c>
      <c r="F4125" s="25">
        <f>IFERROR(INDEX(Pedidos!$B$2:$B$1801,MATCH(B4125,Pedidos!$A$2:$A$1801,0)),0)</f>
        <v/>
      </c>
      <c r="G4125" s="25">
        <f>IF(F4125=0,"",YEAR(F4125))</f>
        <v/>
      </c>
      <c r="H4125" s="25">
        <f>IF(F4125=0,"",MONTH(F4125))</f>
        <v/>
      </c>
      <c r="I4125" s="25">
        <f>IFERROR(INDEX(Pedidos!$E$2:$E$1801,MATCH(B4125,Pedidos!$A$2:$A$1801,0)),"")</f>
        <v/>
      </c>
      <c r="J4125" s="25">
        <f>IFERROR(INDEX(Pedidos!$C$2:$C$1801,MATCH(B4125,Pedidos!$A$2:$A$1801,0)),"")</f>
        <v/>
      </c>
      <c r="K4125" s="25">
        <f>IFERROR(INDEX(Pedidos!$D$2:$D$1801,MATCH(B4125,Pedidos!$A$2:$A$1801,0)),"")</f>
        <v/>
      </c>
      <c r="L4125" s="25">
        <f>IFERROR(INDEX(Pedidos!$F$2:$F$1801,MATCH(B4125,Pedidos!$A$2:$A$1801,0)),"")</f>
        <v/>
      </c>
      <c r="M4125" s="26">
        <f>IFERROR(INDEX(Pedidos!$G$2:$G$1801,MATCH(B4125,Pedidos!$A$2:$A$1801,0)),0)</f>
        <v/>
      </c>
      <c r="N4125" s="25">
        <f>IFERROR(INDEX(Produtos!$B$2:$B$71,MATCH(C4125,Produtos!$A$2:$A$71,0)),"")</f>
        <v/>
      </c>
      <c r="O4125" s="25">
        <f>IFERROR(INDEX(Produtos!$C$2:$C$71,MATCH(C4125,Produtos!$A$2:$A$71,0)),"")</f>
        <v/>
      </c>
      <c r="P4125" s="25">
        <f>IFERROR(INDEX(Produtos!$D$2:$D$71,MATCH(C4125,Produtos!$A$2:$A$71,0)),0)</f>
        <v/>
      </c>
      <c r="Q4125" s="25">
        <f>IFERROR(INDEX(Produtos!$E$2:$E$71,MATCH(C4125,Produtos!$A$2:$A$71,0)),0)</f>
        <v/>
      </c>
      <c r="R4125" s="27">
        <f>D4125*Q4125</f>
        <v/>
      </c>
      <c r="S4125" s="27">
        <f>R4125*E4125</f>
        <v/>
      </c>
      <c r="T4125" s="27">
        <f>(R4125-S4125)*M4125</f>
        <v/>
      </c>
      <c r="U4125" s="27">
        <f>R4125-S4125-T4125</f>
        <v/>
      </c>
      <c r="V4125" s="27">
        <f>D4125*P4125</f>
        <v/>
      </c>
      <c r="W4125" s="27">
        <f>U4125-V4125</f>
        <v/>
      </c>
      <c r="X4125" s="28">
        <f>IFERROR(W4125/U4125,0)</f>
        <v/>
      </c>
    </row>
    <row r="4126">
      <c r="A4126" s="21">
        <f>ItensPedido!A4126</f>
        <v/>
      </c>
      <c r="B4126" s="21">
        <f>ItensPedido!B4126</f>
        <v/>
      </c>
      <c r="C4126" s="21">
        <f>ItensPedido!C4126</f>
        <v/>
      </c>
      <c r="D4126" s="21">
        <f>ItensPedido!D4126</f>
        <v/>
      </c>
      <c r="E4126" s="22">
        <f>ItensPedido!E4126</f>
        <v/>
      </c>
      <c r="F4126" s="21">
        <f>IFERROR(INDEX(Pedidos!$B$2:$B$1801,MATCH(B4126,Pedidos!$A$2:$A$1801,0)),0)</f>
        <v/>
      </c>
      <c r="G4126" s="21">
        <f>IF(F4126=0,"",YEAR(F4126))</f>
        <v/>
      </c>
      <c r="H4126" s="21">
        <f>IF(F4126=0,"",MONTH(F4126))</f>
        <v/>
      </c>
      <c r="I4126" s="21">
        <f>IFERROR(INDEX(Pedidos!$E$2:$E$1801,MATCH(B4126,Pedidos!$A$2:$A$1801,0)),"")</f>
        <v/>
      </c>
      <c r="J4126" s="21">
        <f>IFERROR(INDEX(Pedidos!$C$2:$C$1801,MATCH(B4126,Pedidos!$A$2:$A$1801,0)),"")</f>
        <v/>
      </c>
      <c r="K4126" s="21">
        <f>IFERROR(INDEX(Pedidos!$D$2:$D$1801,MATCH(B4126,Pedidos!$A$2:$A$1801,0)),"")</f>
        <v/>
      </c>
      <c r="L4126" s="21">
        <f>IFERROR(INDEX(Pedidos!$F$2:$F$1801,MATCH(B4126,Pedidos!$A$2:$A$1801,0)),"")</f>
        <v/>
      </c>
      <c r="M4126" s="22">
        <f>IFERROR(INDEX(Pedidos!$G$2:$G$1801,MATCH(B4126,Pedidos!$A$2:$A$1801,0)),0)</f>
        <v/>
      </c>
      <c r="N4126" s="21">
        <f>IFERROR(INDEX(Produtos!$B$2:$B$71,MATCH(C4126,Produtos!$A$2:$A$71,0)),"")</f>
        <v/>
      </c>
      <c r="O4126" s="21">
        <f>IFERROR(INDEX(Produtos!$C$2:$C$71,MATCH(C4126,Produtos!$A$2:$A$71,0)),"")</f>
        <v/>
      </c>
      <c r="P4126" s="21">
        <f>IFERROR(INDEX(Produtos!$D$2:$D$71,MATCH(C4126,Produtos!$A$2:$A$71,0)),0)</f>
        <v/>
      </c>
      <c r="Q4126" s="21">
        <f>IFERROR(INDEX(Produtos!$E$2:$E$71,MATCH(C4126,Produtos!$A$2:$A$71,0)),0)</f>
        <v/>
      </c>
      <c r="R4126" s="23">
        <f>D4126*Q4126</f>
        <v/>
      </c>
      <c r="S4126" s="23">
        <f>R4126*E4126</f>
        <v/>
      </c>
      <c r="T4126" s="23">
        <f>(R4126-S4126)*M4126</f>
        <v/>
      </c>
      <c r="U4126" s="23">
        <f>R4126-S4126-T4126</f>
        <v/>
      </c>
      <c r="V4126" s="23">
        <f>D4126*P4126</f>
        <v/>
      </c>
      <c r="W4126" s="23">
        <f>U4126-V4126</f>
        <v/>
      </c>
      <c r="X4126" s="24">
        <f>IFERROR(W4126/U4126,0)</f>
        <v/>
      </c>
    </row>
    <row r="4127">
      <c r="A4127" s="25">
        <f>ItensPedido!A4127</f>
        <v/>
      </c>
      <c r="B4127" s="25">
        <f>ItensPedido!B4127</f>
        <v/>
      </c>
      <c r="C4127" s="25">
        <f>ItensPedido!C4127</f>
        <v/>
      </c>
      <c r="D4127" s="25">
        <f>ItensPedido!D4127</f>
        <v/>
      </c>
      <c r="E4127" s="26">
        <f>ItensPedido!E4127</f>
        <v/>
      </c>
      <c r="F4127" s="25">
        <f>IFERROR(INDEX(Pedidos!$B$2:$B$1801,MATCH(B4127,Pedidos!$A$2:$A$1801,0)),0)</f>
        <v/>
      </c>
      <c r="G4127" s="25">
        <f>IF(F4127=0,"",YEAR(F4127))</f>
        <v/>
      </c>
      <c r="H4127" s="25">
        <f>IF(F4127=0,"",MONTH(F4127))</f>
        <v/>
      </c>
      <c r="I4127" s="25">
        <f>IFERROR(INDEX(Pedidos!$E$2:$E$1801,MATCH(B4127,Pedidos!$A$2:$A$1801,0)),"")</f>
        <v/>
      </c>
      <c r="J4127" s="25">
        <f>IFERROR(INDEX(Pedidos!$C$2:$C$1801,MATCH(B4127,Pedidos!$A$2:$A$1801,0)),"")</f>
        <v/>
      </c>
      <c r="K4127" s="25">
        <f>IFERROR(INDEX(Pedidos!$D$2:$D$1801,MATCH(B4127,Pedidos!$A$2:$A$1801,0)),"")</f>
        <v/>
      </c>
      <c r="L4127" s="25">
        <f>IFERROR(INDEX(Pedidos!$F$2:$F$1801,MATCH(B4127,Pedidos!$A$2:$A$1801,0)),"")</f>
        <v/>
      </c>
      <c r="M4127" s="26">
        <f>IFERROR(INDEX(Pedidos!$G$2:$G$1801,MATCH(B4127,Pedidos!$A$2:$A$1801,0)),0)</f>
        <v/>
      </c>
      <c r="N4127" s="25">
        <f>IFERROR(INDEX(Produtos!$B$2:$B$71,MATCH(C4127,Produtos!$A$2:$A$71,0)),"")</f>
        <v/>
      </c>
      <c r="O4127" s="25">
        <f>IFERROR(INDEX(Produtos!$C$2:$C$71,MATCH(C4127,Produtos!$A$2:$A$71,0)),"")</f>
        <v/>
      </c>
      <c r="P4127" s="25">
        <f>IFERROR(INDEX(Produtos!$D$2:$D$71,MATCH(C4127,Produtos!$A$2:$A$71,0)),0)</f>
        <v/>
      </c>
      <c r="Q4127" s="25">
        <f>IFERROR(INDEX(Produtos!$E$2:$E$71,MATCH(C4127,Produtos!$A$2:$A$71,0)),0)</f>
        <v/>
      </c>
      <c r="R4127" s="27">
        <f>D4127*Q4127</f>
        <v/>
      </c>
      <c r="S4127" s="27">
        <f>R4127*E4127</f>
        <v/>
      </c>
      <c r="T4127" s="27">
        <f>(R4127-S4127)*M4127</f>
        <v/>
      </c>
      <c r="U4127" s="27">
        <f>R4127-S4127-T4127</f>
        <v/>
      </c>
      <c r="V4127" s="27">
        <f>D4127*P4127</f>
        <v/>
      </c>
      <c r="W4127" s="27">
        <f>U4127-V4127</f>
        <v/>
      </c>
      <c r="X4127" s="28">
        <f>IFERROR(W4127/U4127,0)</f>
        <v/>
      </c>
    </row>
    <row r="4128">
      <c r="A4128" s="21">
        <f>ItensPedido!A4128</f>
        <v/>
      </c>
      <c r="B4128" s="21">
        <f>ItensPedido!B4128</f>
        <v/>
      </c>
      <c r="C4128" s="21">
        <f>ItensPedido!C4128</f>
        <v/>
      </c>
      <c r="D4128" s="21">
        <f>ItensPedido!D4128</f>
        <v/>
      </c>
      <c r="E4128" s="22">
        <f>ItensPedido!E4128</f>
        <v/>
      </c>
      <c r="F4128" s="21">
        <f>IFERROR(INDEX(Pedidos!$B$2:$B$1801,MATCH(B4128,Pedidos!$A$2:$A$1801,0)),0)</f>
        <v/>
      </c>
      <c r="G4128" s="21">
        <f>IF(F4128=0,"",YEAR(F4128))</f>
        <v/>
      </c>
      <c r="H4128" s="21">
        <f>IF(F4128=0,"",MONTH(F4128))</f>
        <v/>
      </c>
      <c r="I4128" s="21">
        <f>IFERROR(INDEX(Pedidos!$E$2:$E$1801,MATCH(B4128,Pedidos!$A$2:$A$1801,0)),"")</f>
        <v/>
      </c>
      <c r="J4128" s="21">
        <f>IFERROR(INDEX(Pedidos!$C$2:$C$1801,MATCH(B4128,Pedidos!$A$2:$A$1801,0)),"")</f>
        <v/>
      </c>
      <c r="K4128" s="21">
        <f>IFERROR(INDEX(Pedidos!$D$2:$D$1801,MATCH(B4128,Pedidos!$A$2:$A$1801,0)),"")</f>
        <v/>
      </c>
      <c r="L4128" s="21">
        <f>IFERROR(INDEX(Pedidos!$F$2:$F$1801,MATCH(B4128,Pedidos!$A$2:$A$1801,0)),"")</f>
        <v/>
      </c>
      <c r="M4128" s="22">
        <f>IFERROR(INDEX(Pedidos!$G$2:$G$1801,MATCH(B4128,Pedidos!$A$2:$A$1801,0)),0)</f>
        <v/>
      </c>
      <c r="N4128" s="21">
        <f>IFERROR(INDEX(Produtos!$B$2:$B$71,MATCH(C4128,Produtos!$A$2:$A$71,0)),"")</f>
        <v/>
      </c>
      <c r="O4128" s="21">
        <f>IFERROR(INDEX(Produtos!$C$2:$C$71,MATCH(C4128,Produtos!$A$2:$A$71,0)),"")</f>
        <v/>
      </c>
      <c r="P4128" s="21">
        <f>IFERROR(INDEX(Produtos!$D$2:$D$71,MATCH(C4128,Produtos!$A$2:$A$71,0)),0)</f>
        <v/>
      </c>
      <c r="Q4128" s="21">
        <f>IFERROR(INDEX(Produtos!$E$2:$E$71,MATCH(C4128,Produtos!$A$2:$A$71,0)),0)</f>
        <v/>
      </c>
      <c r="R4128" s="23">
        <f>D4128*Q4128</f>
        <v/>
      </c>
      <c r="S4128" s="23">
        <f>R4128*E4128</f>
        <v/>
      </c>
      <c r="T4128" s="23">
        <f>(R4128-S4128)*M4128</f>
        <v/>
      </c>
      <c r="U4128" s="23">
        <f>R4128-S4128-T4128</f>
        <v/>
      </c>
      <c r="V4128" s="23">
        <f>D4128*P4128</f>
        <v/>
      </c>
      <c r="W4128" s="23">
        <f>U4128-V4128</f>
        <v/>
      </c>
      <c r="X4128" s="24">
        <f>IFERROR(W4128/U4128,0)</f>
        <v/>
      </c>
    </row>
    <row r="4129">
      <c r="A4129" s="25">
        <f>ItensPedido!A4129</f>
        <v/>
      </c>
      <c r="B4129" s="25">
        <f>ItensPedido!B4129</f>
        <v/>
      </c>
      <c r="C4129" s="25">
        <f>ItensPedido!C4129</f>
        <v/>
      </c>
      <c r="D4129" s="25">
        <f>ItensPedido!D4129</f>
        <v/>
      </c>
      <c r="E4129" s="26">
        <f>ItensPedido!E4129</f>
        <v/>
      </c>
      <c r="F4129" s="25">
        <f>IFERROR(INDEX(Pedidos!$B$2:$B$1801,MATCH(B4129,Pedidos!$A$2:$A$1801,0)),0)</f>
        <v/>
      </c>
      <c r="G4129" s="25">
        <f>IF(F4129=0,"",YEAR(F4129))</f>
        <v/>
      </c>
      <c r="H4129" s="25">
        <f>IF(F4129=0,"",MONTH(F4129))</f>
        <v/>
      </c>
      <c r="I4129" s="25">
        <f>IFERROR(INDEX(Pedidos!$E$2:$E$1801,MATCH(B4129,Pedidos!$A$2:$A$1801,0)),"")</f>
        <v/>
      </c>
      <c r="J4129" s="25">
        <f>IFERROR(INDEX(Pedidos!$C$2:$C$1801,MATCH(B4129,Pedidos!$A$2:$A$1801,0)),"")</f>
        <v/>
      </c>
      <c r="K4129" s="25">
        <f>IFERROR(INDEX(Pedidos!$D$2:$D$1801,MATCH(B4129,Pedidos!$A$2:$A$1801,0)),"")</f>
        <v/>
      </c>
      <c r="L4129" s="25">
        <f>IFERROR(INDEX(Pedidos!$F$2:$F$1801,MATCH(B4129,Pedidos!$A$2:$A$1801,0)),"")</f>
        <v/>
      </c>
      <c r="M4129" s="26">
        <f>IFERROR(INDEX(Pedidos!$G$2:$G$1801,MATCH(B4129,Pedidos!$A$2:$A$1801,0)),0)</f>
        <v/>
      </c>
      <c r="N4129" s="25">
        <f>IFERROR(INDEX(Produtos!$B$2:$B$71,MATCH(C4129,Produtos!$A$2:$A$71,0)),"")</f>
        <v/>
      </c>
      <c r="O4129" s="25">
        <f>IFERROR(INDEX(Produtos!$C$2:$C$71,MATCH(C4129,Produtos!$A$2:$A$71,0)),"")</f>
        <v/>
      </c>
      <c r="P4129" s="25">
        <f>IFERROR(INDEX(Produtos!$D$2:$D$71,MATCH(C4129,Produtos!$A$2:$A$71,0)),0)</f>
        <v/>
      </c>
      <c r="Q4129" s="25">
        <f>IFERROR(INDEX(Produtos!$E$2:$E$71,MATCH(C4129,Produtos!$A$2:$A$71,0)),0)</f>
        <v/>
      </c>
      <c r="R4129" s="27">
        <f>D4129*Q4129</f>
        <v/>
      </c>
      <c r="S4129" s="27">
        <f>R4129*E4129</f>
        <v/>
      </c>
      <c r="T4129" s="27">
        <f>(R4129-S4129)*M4129</f>
        <v/>
      </c>
      <c r="U4129" s="27">
        <f>R4129-S4129-T4129</f>
        <v/>
      </c>
      <c r="V4129" s="27">
        <f>D4129*P4129</f>
        <v/>
      </c>
      <c r="W4129" s="27">
        <f>U4129-V4129</f>
        <v/>
      </c>
      <c r="X4129" s="28">
        <f>IFERROR(W4129/U4129,0)</f>
        <v/>
      </c>
    </row>
    <row r="4130">
      <c r="A4130" s="21">
        <f>ItensPedido!A4130</f>
        <v/>
      </c>
      <c r="B4130" s="21">
        <f>ItensPedido!B4130</f>
        <v/>
      </c>
      <c r="C4130" s="21">
        <f>ItensPedido!C4130</f>
        <v/>
      </c>
      <c r="D4130" s="21">
        <f>ItensPedido!D4130</f>
        <v/>
      </c>
      <c r="E4130" s="22">
        <f>ItensPedido!E4130</f>
        <v/>
      </c>
      <c r="F4130" s="21">
        <f>IFERROR(INDEX(Pedidos!$B$2:$B$1801,MATCH(B4130,Pedidos!$A$2:$A$1801,0)),0)</f>
        <v/>
      </c>
      <c r="G4130" s="21">
        <f>IF(F4130=0,"",YEAR(F4130))</f>
        <v/>
      </c>
      <c r="H4130" s="21">
        <f>IF(F4130=0,"",MONTH(F4130))</f>
        <v/>
      </c>
      <c r="I4130" s="21">
        <f>IFERROR(INDEX(Pedidos!$E$2:$E$1801,MATCH(B4130,Pedidos!$A$2:$A$1801,0)),"")</f>
        <v/>
      </c>
      <c r="J4130" s="21">
        <f>IFERROR(INDEX(Pedidos!$C$2:$C$1801,MATCH(B4130,Pedidos!$A$2:$A$1801,0)),"")</f>
        <v/>
      </c>
      <c r="K4130" s="21">
        <f>IFERROR(INDEX(Pedidos!$D$2:$D$1801,MATCH(B4130,Pedidos!$A$2:$A$1801,0)),"")</f>
        <v/>
      </c>
      <c r="L4130" s="21">
        <f>IFERROR(INDEX(Pedidos!$F$2:$F$1801,MATCH(B4130,Pedidos!$A$2:$A$1801,0)),"")</f>
        <v/>
      </c>
      <c r="M4130" s="22">
        <f>IFERROR(INDEX(Pedidos!$G$2:$G$1801,MATCH(B4130,Pedidos!$A$2:$A$1801,0)),0)</f>
        <v/>
      </c>
      <c r="N4130" s="21">
        <f>IFERROR(INDEX(Produtos!$B$2:$B$71,MATCH(C4130,Produtos!$A$2:$A$71,0)),"")</f>
        <v/>
      </c>
      <c r="O4130" s="21">
        <f>IFERROR(INDEX(Produtos!$C$2:$C$71,MATCH(C4130,Produtos!$A$2:$A$71,0)),"")</f>
        <v/>
      </c>
      <c r="P4130" s="21">
        <f>IFERROR(INDEX(Produtos!$D$2:$D$71,MATCH(C4130,Produtos!$A$2:$A$71,0)),0)</f>
        <v/>
      </c>
      <c r="Q4130" s="21">
        <f>IFERROR(INDEX(Produtos!$E$2:$E$71,MATCH(C4130,Produtos!$A$2:$A$71,0)),0)</f>
        <v/>
      </c>
      <c r="R4130" s="23">
        <f>D4130*Q4130</f>
        <v/>
      </c>
      <c r="S4130" s="23">
        <f>R4130*E4130</f>
        <v/>
      </c>
      <c r="T4130" s="23">
        <f>(R4130-S4130)*M4130</f>
        <v/>
      </c>
      <c r="U4130" s="23">
        <f>R4130-S4130-T4130</f>
        <v/>
      </c>
      <c r="V4130" s="23">
        <f>D4130*P4130</f>
        <v/>
      </c>
      <c r="W4130" s="23">
        <f>U4130-V4130</f>
        <v/>
      </c>
      <c r="X4130" s="24">
        <f>IFERROR(W4130/U4130,0)</f>
        <v/>
      </c>
    </row>
    <row r="4131">
      <c r="A4131" s="25">
        <f>ItensPedido!A4131</f>
        <v/>
      </c>
      <c r="B4131" s="25">
        <f>ItensPedido!B4131</f>
        <v/>
      </c>
      <c r="C4131" s="25">
        <f>ItensPedido!C4131</f>
        <v/>
      </c>
      <c r="D4131" s="25">
        <f>ItensPedido!D4131</f>
        <v/>
      </c>
      <c r="E4131" s="26">
        <f>ItensPedido!E4131</f>
        <v/>
      </c>
      <c r="F4131" s="25">
        <f>IFERROR(INDEX(Pedidos!$B$2:$B$1801,MATCH(B4131,Pedidos!$A$2:$A$1801,0)),0)</f>
        <v/>
      </c>
      <c r="G4131" s="25">
        <f>IF(F4131=0,"",YEAR(F4131))</f>
        <v/>
      </c>
      <c r="H4131" s="25">
        <f>IF(F4131=0,"",MONTH(F4131))</f>
        <v/>
      </c>
      <c r="I4131" s="25">
        <f>IFERROR(INDEX(Pedidos!$E$2:$E$1801,MATCH(B4131,Pedidos!$A$2:$A$1801,0)),"")</f>
        <v/>
      </c>
      <c r="J4131" s="25">
        <f>IFERROR(INDEX(Pedidos!$C$2:$C$1801,MATCH(B4131,Pedidos!$A$2:$A$1801,0)),"")</f>
        <v/>
      </c>
      <c r="K4131" s="25">
        <f>IFERROR(INDEX(Pedidos!$D$2:$D$1801,MATCH(B4131,Pedidos!$A$2:$A$1801,0)),"")</f>
        <v/>
      </c>
      <c r="L4131" s="25">
        <f>IFERROR(INDEX(Pedidos!$F$2:$F$1801,MATCH(B4131,Pedidos!$A$2:$A$1801,0)),"")</f>
        <v/>
      </c>
      <c r="M4131" s="26">
        <f>IFERROR(INDEX(Pedidos!$G$2:$G$1801,MATCH(B4131,Pedidos!$A$2:$A$1801,0)),0)</f>
        <v/>
      </c>
      <c r="N4131" s="25">
        <f>IFERROR(INDEX(Produtos!$B$2:$B$71,MATCH(C4131,Produtos!$A$2:$A$71,0)),"")</f>
        <v/>
      </c>
      <c r="O4131" s="25">
        <f>IFERROR(INDEX(Produtos!$C$2:$C$71,MATCH(C4131,Produtos!$A$2:$A$71,0)),"")</f>
        <v/>
      </c>
      <c r="P4131" s="25">
        <f>IFERROR(INDEX(Produtos!$D$2:$D$71,MATCH(C4131,Produtos!$A$2:$A$71,0)),0)</f>
        <v/>
      </c>
      <c r="Q4131" s="25">
        <f>IFERROR(INDEX(Produtos!$E$2:$E$71,MATCH(C4131,Produtos!$A$2:$A$71,0)),0)</f>
        <v/>
      </c>
      <c r="R4131" s="27">
        <f>D4131*Q4131</f>
        <v/>
      </c>
      <c r="S4131" s="27">
        <f>R4131*E4131</f>
        <v/>
      </c>
      <c r="T4131" s="27">
        <f>(R4131-S4131)*M4131</f>
        <v/>
      </c>
      <c r="U4131" s="27">
        <f>R4131-S4131-T4131</f>
        <v/>
      </c>
      <c r="V4131" s="27">
        <f>D4131*P4131</f>
        <v/>
      </c>
      <c r="W4131" s="27">
        <f>U4131-V4131</f>
        <v/>
      </c>
      <c r="X4131" s="28">
        <f>IFERROR(W4131/U4131,0)</f>
        <v/>
      </c>
    </row>
    <row r="4132">
      <c r="A4132" s="21">
        <f>ItensPedido!A4132</f>
        <v/>
      </c>
      <c r="B4132" s="21">
        <f>ItensPedido!B4132</f>
        <v/>
      </c>
      <c r="C4132" s="21">
        <f>ItensPedido!C4132</f>
        <v/>
      </c>
      <c r="D4132" s="21">
        <f>ItensPedido!D4132</f>
        <v/>
      </c>
      <c r="E4132" s="22">
        <f>ItensPedido!E4132</f>
        <v/>
      </c>
      <c r="F4132" s="21">
        <f>IFERROR(INDEX(Pedidos!$B$2:$B$1801,MATCH(B4132,Pedidos!$A$2:$A$1801,0)),0)</f>
        <v/>
      </c>
      <c r="G4132" s="21">
        <f>IF(F4132=0,"",YEAR(F4132))</f>
        <v/>
      </c>
      <c r="H4132" s="21">
        <f>IF(F4132=0,"",MONTH(F4132))</f>
        <v/>
      </c>
      <c r="I4132" s="21">
        <f>IFERROR(INDEX(Pedidos!$E$2:$E$1801,MATCH(B4132,Pedidos!$A$2:$A$1801,0)),"")</f>
        <v/>
      </c>
      <c r="J4132" s="21">
        <f>IFERROR(INDEX(Pedidos!$C$2:$C$1801,MATCH(B4132,Pedidos!$A$2:$A$1801,0)),"")</f>
        <v/>
      </c>
      <c r="K4132" s="21">
        <f>IFERROR(INDEX(Pedidos!$D$2:$D$1801,MATCH(B4132,Pedidos!$A$2:$A$1801,0)),"")</f>
        <v/>
      </c>
      <c r="L4132" s="21">
        <f>IFERROR(INDEX(Pedidos!$F$2:$F$1801,MATCH(B4132,Pedidos!$A$2:$A$1801,0)),"")</f>
        <v/>
      </c>
      <c r="M4132" s="22">
        <f>IFERROR(INDEX(Pedidos!$G$2:$G$1801,MATCH(B4132,Pedidos!$A$2:$A$1801,0)),0)</f>
        <v/>
      </c>
      <c r="N4132" s="21">
        <f>IFERROR(INDEX(Produtos!$B$2:$B$71,MATCH(C4132,Produtos!$A$2:$A$71,0)),"")</f>
        <v/>
      </c>
      <c r="O4132" s="21">
        <f>IFERROR(INDEX(Produtos!$C$2:$C$71,MATCH(C4132,Produtos!$A$2:$A$71,0)),"")</f>
        <v/>
      </c>
      <c r="P4132" s="21">
        <f>IFERROR(INDEX(Produtos!$D$2:$D$71,MATCH(C4132,Produtos!$A$2:$A$71,0)),0)</f>
        <v/>
      </c>
      <c r="Q4132" s="21">
        <f>IFERROR(INDEX(Produtos!$E$2:$E$71,MATCH(C4132,Produtos!$A$2:$A$71,0)),0)</f>
        <v/>
      </c>
      <c r="R4132" s="23">
        <f>D4132*Q4132</f>
        <v/>
      </c>
      <c r="S4132" s="23">
        <f>R4132*E4132</f>
        <v/>
      </c>
      <c r="T4132" s="23">
        <f>(R4132-S4132)*M4132</f>
        <v/>
      </c>
      <c r="U4132" s="23">
        <f>R4132-S4132-T4132</f>
        <v/>
      </c>
      <c r="V4132" s="23">
        <f>D4132*P4132</f>
        <v/>
      </c>
      <c r="W4132" s="23">
        <f>U4132-V4132</f>
        <v/>
      </c>
      <c r="X4132" s="24">
        <f>IFERROR(W4132/U4132,0)</f>
        <v/>
      </c>
    </row>
    <row r="4133">
      <c r="A4133" s="25">
        <f>ItensPedido!A4133</f>
        <v/>
      </c>
      <c r="B4133" s="25">
        <f>ItensPedido!B4133</f>
        <v/>
      </c>
      <c r="C4133" s="25">
        <f>ItensPedido!C4133</f>
        <v/>
      </c>
      <c r="D4133" s="25">
        <f>ItensPedido!D4133</f>
        <v/>
      </c>
      <c r="E4133" s="26">
        <f>ItensPedido!E4133</f>
        <v/>
      </c>
      <c r="F4133" s="25">
        <f>IFERROR(INDEX(Pedidos!$B$2:$B$1801,MATCH(B4133,Pedidos!$A$2:$A$1801,0)),0)</f>
        <v/>
      </c>
      <c r="G4133" s="25">
        <f>IF(F4133=0,"",YEAR(F4133))</f>
        <v/>
      </c>
      <c r="H4133" s="25">
        <f>IF(F4133=0,"",MONTH(F4133))</f>
        <v/>
      </c>
      <c r="I4133" s="25">
        <f>IFERROR(INDEX(Pedidos!$E$2:$E$1801,MATCH(B4133,Pedidos!$A$2:$A$1801,0)),"")</f>
        <v/>
      </c>
      <c r="J4133" s="25">
        <f>IFERROR(INDEX(Pedidos!$C$2:$C$1801,MATCH(B4133,Pedidos!$A$2:$A$1801,0)),"")</f>
        <v/>
      </c>
      <c r="K4133" s="25">
        <f>IFERROR(INDEX(Pedidos!$D$2:$D$1801,MATCH(B4133,Pedidos!$A$2:$A$1801,0)),"")</f>
        <v/>
      </c>
      <c r="L4133" s="25">
        <f>IFERROR(INDEX(Pedidos!$F$2:$F$1801,MATCH(B4133,Pedidos!$A$2:$A$1801,0)),"")</f>
        <v/>
      </c>
      <c r="M4133" s="26">
        <f>IFERROR(INDEX(Pedidos!$G$2:$G$1801,MATCH(B4133,Pedidos!$A$2:$A$1801,0)),0)</f>
        <v/>
      </c>
      <c r="N4133" s="25">
        <f>IFERROR(INDEX(Produtos!$B$2:$B$71,MATCH(C4133,Produtos!$A$2:$A$71,0)),"")</f>
        <v/>
      </c>
      <c r="O4133" s="25">
        <f>IFERROR(INDEX(Produtos!$C$2:$C$71,MATCH(C4133,Produtos!$A$2:$A$71,0)),"")</f>
        <v/>
      </c>
      <c r="P4133" s="25">
        <f>IFERROR(INDEX(Produtos!$D$2:$D$71,MATCH(C4133,Produtos!$A$2:$A$71,0)),0)</f>
        <v/>
      </c>
      <c r="Q4133" s="25">
        <f>IFERROR(INDEX(Produtos!$E$2:$E$71,MATCH(C4133,Produtos!$A$2:$A$71,0)),0)</f>
        <v/>
      </c>
      <c r="R4133" s="27">
        <f>D4133*Q4133</f>
        <v/>
      </c>
      <c r="S4133" s="27">
        <f>R4133*E4133</f>
        <v/>
      </c>
      <c r="T4133" s="27">
        <f>(R4133-S4133)*M4133</f>
        <v/>
      </c>
      <c r="U4133" s="27">
        <f>R4133-S4133-T4133</f>
        <v/>
      </c>
      <c r="V4133" s="27">
        <f>D4133*P4133</f>
        <v/>
      </c>
      <c r="W4133" s="27">
        <f>U4133-V4133</f>
        <v/>
      </c>
      <c r="X4133" s="28">
        <f>IFERROR(W4133/U4133,0)</f>
        <v/>
      </c>
    </row>
    <row r="4134">
      <c r="A4134" s="21">
        <f>ItensPedido!A4134</f>
        <v/>
      </c>
      <c r="B4134" s="21">
        <f>ItensPedido!B4134</f>
        <v/>
      </c>
      <c r="C4134" s="21">
        <f>ItensPedido!C4134</f>
        <v/>
      </c>
      <c r="D4134" s="21">
        <f>ItensPedido!D4134</f>
        <v/>
      </c>
      <c r="E4134" s="22">
        <f>ItensPedido!E4134</f>
        <v/>
      </c>
      <c r="F4134" s="21">
        <f>IFERROR(INDEX(Pedidos!$B$2:$B$1801,MATCH(B4134,Pedidos!$A$2:$A$1801,0)),0)</f>
        <v/>
      </c>
      <c r="G4134" s="21">
        <f>IF(F4134=0,"",YEAR(F4134))</f>
        <v/>
      </c>
      <c r="H4134" s="21">
        <f>IF(F4134=0,"",MONTH(F4134))</f>
        <v/>
      </c>
      <c r="I4134" s="21">
        <f>IFERROR(INDEX(Pedidos!$E$2:$E$1801,MATCH(B4134,Pedidos!$A$2:$A$1801,0)),"")</f>
        <v/>
      </c>
      <c r="J4134" s="21">
        <f>IFERROR(INDEX(Pedidos!$C$2:$C$1801,MATCH(B4134,Pedidos!$A$2:$A$1801,0)),"")</f>
        <v/>
      </c>
      <c r="K4134" s="21">
        <f>IFERROR(INDEX(Pedidos!$D$2:$D$1801,MATCH(B4134,Pedidos!$A$2:$A$1801,0)),"")</f>
        <v/>
      </c>
      <c r="L4134" s="21">
        <f>IFERROR(INDEX(Pedidos!$F$2:$F$1801,MATCH(B4134,Pedidos!$A$2:$A$1801,0)),"")</f>
        <v/>
      </c>
      <c r="M4134" s="22">
        <f>IFERROR(INDEX(Pedidos!$G$2:$G$1801,MATCH(B4134,Pedidos!$A$2:$A$1801,0)),0)</f>
        <v/>
      </c>
      <c r="N4134" s="21">
        <f>IFERROR(INDEX(Produtos!$B$2:$B$71,MATCH(C4134,Produtos!$A$2:$A$71,0)),"")</f>
        <v/>
      </c>
      <c r="O4134" s="21">
        <f>IFERROR(INDEX(Produtos!$C$2:$C$71,MATCH(C4134,Produtos!$A$2:$A$71,0)),"")</f>
        <v/>
      </c>
      <c r="P4134" s="21">
        <f>IFERROR(INDEX(Produtos!$D$2:$D$71,MATCH(C4134,Produtos!$A$2:$A$71,0)),0)</f>
        <v/>
      </c>
      <c r="Q4134" s="21">
        <f>IFERROR(INDEX(Produtos!$E$2:$E$71,MATCH(C4134,Produtos!$A$2:$A$71,0)),0)</f>
        <v/>
      </c>
      <c r="R4134" s="23">
        <f>D4134*Q4134</f>
        <v/>
      </c>
      <c r="S4134" s="23">
        <f>R4134*E4134</f>
        <v/>
      </c>
      <c r="T4134" s="23">
        <f>(R4134-S4134)*M4134</f>
        <v/>
      </c>
      <c r="U4134" s="23">
        <f>R4134-S4134-T4134</f>
        <v/>
      </c>
      <c r="V4134" s="23">
        <f>D4134*P4134</f>
        <v/>
      </c>
      <c r="W4134" s="23">
        <f>U4134-V4134</f>
        <v/>
      </c>
      <c r="X4134" s="24">
        <f>IFERROR(W4134/U4134,0)</f>
        <v/>
      </c>
    </row>
    <row r="4135">
      <c r="A4135" s="25">
        <f>ItensPedido!A4135</f>
        <v/>
      </c>
      <c r="B4135" s="25">
        <f>ItensPedido!B4135</f>
        <v/>
      </c>
      <c r="C4135" s="25">
        <f>ItensPedido!C4135</f>
        <v/>
      </c>
      <c r="D4135" s="25">
        <f>ItensPedido!D4135</f>
        <v/>
      </c>
      <c r="E4135" s="26">
        <f>ItensPedido!E4135</f>
        <v/>
      </c>
      <c r="F4135" s="25">
        <f>IFERROR(INDEX(Pedidos!$B$2:$B$1801,MATCH(B4135,Pedidos!$A$2:$A$1801,0)),0)</f>
        <v/>
      </c>
      <c r="G4135" s="25">
        <f>IF(F4135=0,"",YEAR(F4135))</f>
        <v/>
      </c>
      <c r="H4135" s="25">
        <f>IF(F4135=0,"",MONTH(F4135))</f>
        <v/>
      </c>
      <c r="I4135" s="25">
        <f>IFERROR(INDEX(Pedidos!$E$2:$E$1801,MATCH(B4135,Pedidos!$A$2:$A$1801,0)),"")</f>
        <v/>
      </c>
      <c r="J4135" s="25">
        <f>IFERROR(INDEX(Pedidos!$C$2:$C$1801,MATCH(B4135,Pedidos!$A$2:$A$1801,0)),"")</f>
        <v/>
      </c>
      <c r="K4135" s="25">
        <f>IFERROR(INDEX(Pedidos!$D$2:$D$1801,MATCH(B4135,Pedidos!$A$2:$A$1801,0)),"")</f>
        <v/>
      </c>
      <c r="L4135" s="25">
        <f>IFERROR(INDEX(Pedidos!$F$2:$F$1801,MATCH(B4135,Pedidos!$A$2:$A$1801,0)),"")</f>
        <v/>
      </c>
      <c r="M4135" s="26">
        <f>IFERROR(INDEX(Pedidos!$G$2:$G$1801,MATCH(B4135,Pedidos!$A$2:$A$1801,0)),0)</f>
        <v/>
      </c>
      <c r="N4135" s="25">
        <f>IFERROR(INDEX(Produtos!$B$2:$B$71,MATCH(C4135,Produtos!$A$2:$A$71,0)),"")</f>
        <v/>
      </c>
      <c r="O4135" s="25">
        <f>IFERROR(INDEX(Produtos!$C$2:$C$71,MATCH(C4135,Produtos!$A$2:$A$71,0)),"")</f>
        <v/>
      </c>
      <c r="P4135" s="25">
        <f>IFERROR(INDEX(Produtos!$D$2:$D$71,MATCH(C4135,Produtos!$A$2:$A$71,0)),0)</f>
        <v/>
      </c>
      <c r="Q4135" s="25">
        <f>IFERROR(INDEX(Produtos!$E$2:$E$71,MATCH(C4135,Produtos!$A$2:$A$71,0)),0)</f>
        <v/>
      </c>
      <c r="R4135" s="27">
        <f>D4135*Q4135</f>
        <v/>
      </c>
      <c r="S4135" s="27">
        <f>R4135*E4135</f>
        <v/>
      </c>
      <c r="T4135" s="27">
        <f>(R4135-S4135)*M4135</f>
        <v/>
      </c>
      <c r="U4135" s="27">
        <f>R4135-S4135-T4135</f>
        <v/>
      </c>
      <c r="V4135" s="27">
        <f>D4135*P4135</f>
        <v/>
      </c>
      <c r="W4135" s="27">
        <f>U4135-V4135</f>
        <v/>
      </c>
      <c r="X4135" s="28">
        <f>IFERROR(W4135/U4135,0)</f>
        <v/>
      </c>
    </row>
    <row r="4136">
      <c r="A4136" s="21">
        <f>ItensPedido!A4136</f>
        <v/>
      </c>
      <c r="B4136" s="21">
        <f>ItensPedido!B4136</f>
        <v/>
      </c>
      <c r="C4136" s="21">
        <f>ItensPedido!C4136</f>
        <v/>
      </c>
      <c r="D4136" s="21">
        <f>ItensPedido!D4136</f>
        <v/>
      </c>
      <c r="E4136" s="22">
        <f>ItensPedido!E4136</f>
        <v/>
      </c>
      <c r="F4136" s="21">
        <f>IFERROR(INDEX(Pedidos!$B$2:$B$1801,MATCH(B4136,Pedidos!$A$2:$A$1801,0)),0)</f>
        <v/>
      </c>
      <c r="G4136" s="21">
        <f>IF(F4136=0,"",YEAR(F4136))</f>
        <v/>
      </c>
      <c r="H4136" s="21">
        <f>IF(F4136=0,"",MONTH(F4136))</f>
        <v/>
      </c>
      <c r="I4136" s="21">
        <f>IFERROR(INDEX(Pedidos!$E$2:$E$1801,MATCH(B4136,Pedidos!$A$2:$A$1801,0)),"")</f>
        <v/>
      </c>
      <c r="J4136" s="21">
        <f>IFERROR(INDEX(Pedidos!$C$2:$C$1801,MATCH(B4136,Pedidos!$A$2:$A$1801,0)),"")</f>
        <v/>
      </c>
      <c r="K4136" s="21">
        <f>IFERROR(INDEX(Pedidos!$D$2:$D$1801,MATCH(B4136,Pedidos!$A$2:$A$1801,0)),"")</f>
        <v/>
      </c>
      <c r="L4136" s="21">
        <f>IFERROR(INDEX(Pedidos!$F$2:$F$1801,MATCH(B4136,Pedidos!$A$2:$A$1801,0)),"")</f>
        <v/>
      </c>
      <c r="M4136" s="22">
        <f>IFERROR(INDEX(Pedidos!$G$2:$G$1801,MATCH(B4136,Pedidos!$A$2:$A$1801,0)),0)</f>
        <v/>
      </c>
      <c r="N4136" s="21">
        <f>IFERROR(INDEX(Produtos!$B$2:$B$71,MATCH(C4136,Produtos!$A$2:$A$71,0)),"")</f>
        <v/>
      </c>
      <c r="O4136" s="21">
        <f>IFERROR(INDEX(Produtos!$C$2:$C$71,MATCH(C4136,Produtos!$A$2:$A$71,0)),"")</f>
        <v/>
      </c>
      <c r="P4136" s="21">
        <f>IFERROR(INDEX(Produtos!$D$2:$D$71,MATCH(C4136,Produtos!$A$2:$A$71,0)),0)</f>
        <v/>
      </c>
      <c r="Q4136" s="21">
        <f>IFERROR(INDEX(Produtos!$E$2:$E$71,MATCH(C4136,Produtos!$A$2:$A$71,0)),0)</f>
        <v/>
      </c>
      <c r="R4136" s="23">
        <f>D4136*Q4136</f>
        <v/>
      </c>
      <c r="S4136" s="23">
        <f>R4136*E4136</f>
        <v/>
      </c>
      <c r="T4136" s="23">
        <f>(R4136-S4136)*M4136</f>
        <v/>
      </c>
      <c r="U4136" s="23">
        <f>R4136-S4136-T4136</f>
        <v/>
      </c>
      <c r="V4136" s="23">
        <f>D4136*P4136</f>
        <v/>
      </c>
      <c r="W4136" s="23">
        <f>U4136-V4136</f>
        <v/>
      </c>
      <c r="X4136" s="24">
        <f>IFERROR(W4136/U4136,0)</f>
        <v/>
      </c>
    </row>
    <row r="4137">
      <c r="A4137" s="25">
        <f>ItensPedido!A4137</f>
        <v/>
      </c>
      <c r="B4137" s="25">
        <f>ItensPedido!B4137</f>
        <v/>
      </c>
      <c r="C4137" s="25">
        <f>ItensPedido!C4137</f>
        <v/>
      </c>
      <c r="D4137" s="25">
        <f>ItensPedido!D4137</f>
        <v/>
      </c>
      <c r="E4137" s="26">
        <f>ItensPedido!E4137</f>
        <v/>
      </c>
      <c r="F4137" s="25">
        <f>IFERROR(INDEX(Pedidos!$B$2:$B$1801,MATCH(B4137,Pedidos!$A$2:$A$1801,0)),0)</f>
        <v/>
      </c>
      <c r="G4137" s="25">
        <f>IF(F4137=0,"",YEAR(F4137))</f>
        <v/>
      </c>
      <c r="H4137" s="25">
        <f>IF(F4137=0,"",MONTH(F4137))</f>
        <v/>
      </c>
      <c r="I4137" s="25">
        <f>IFERROR(INDEX(Pedidos!$E$2:$E$1801,MATCH(B4137,Pedidos!$A$2:$A$1801,0)),"")</f>
        <v/>
      </c>
      <c r="J4137" s="25">
        <f>IFERROR(INDEX(Pedidos!$C$2:$C$1801,MATCH(B4137,Pedidos!$A$2:$A$1801,0)),"")</f>
        <v/>
      </c>
      <c r="K4137" s="25">
        <f>IFERROR(INDEX(Pedidos!$D$2:$D$1801,MATCH(B4137,Pedidos!$A$2:$A$1801,0)),"")</f>
        <v/>
      </c>
      <c r="L4137" s="25">
        <f>IFERROR(INDEX(Pedidos!$F$2:$F$1801,MATCH(B4137,Pedidos!$A$2:$A$1801,0)),"")</f>
        <v/>
      </c>
      <c r="M4137" s="26">
        <f>IFERROR(INDEX(Pedidos!$G$2:$G$1801,MATCH(B4137,Pedidos!$A$2:$A$1801,0)),0)</f>
        <v/>
      </c>
      <c r="N4137" s="25">
        <f>IFERROR(INDEX(Produtos!$B$2:$B$71,MATCH(C4137,Produtos!$A$2:$A$71,0)),"")</f>
        <v/>
      </c>
      <c r="O4137" s="25">
        <f>IFERROR(INDEX(Produtos!$C$2:$C$71,MATCH(C4137,Produtos!$A$2:$A$71,0)),"")</f>
        <v/>
      </c>
      <c r="P4137" s="25">
        <f>IFERROR(INDEX(Produtos!$D$2:$D$71,MATCH(C4137,Produtos!$A$2:$A$71,0)),0)</f>
        <v/>
      </c>
      <c r="Q4137" s="25">
        <f>IFERROR(INDEX(Produtos!$E$2:$E$71,MATCH(C4137,Produtos!$A$2:$A$71,0)),0)</f>
        <v/>
      </c>
      <c r="R4137" s="27">
        <f>D4137*Q4137</f>
        <v/>
      </c>
      <c r="S4137" s="27">
        <f>R4137*E4137</f>
        <v/>
      </c>
      <c r="T4137" s="27">
        <f>(R4137-S4137)*M4137</f>
        <v/>
      </c>
      <c r="U4137" s="27">
        <f>R4137-S4137-T4137</f>
        <v/>
      </c>
      <c r="V4137" s="27">
        <f>D4137*P4137</f>
        <v/>
      </c>
      <c r="W4137" s="27">
        <f>U4137-V4137</f>
        <v/>
      </c>
      <c r="X4137" s="28">
        <f>IFERROR(W4137/U4137,0)</f>
        <v/>
      </c>
    </row>
    <row r="4138">
      <c r="A4138" s="21">
        <f>ItensPedido!A4138</f>
        <v/>
      </c>
      <c r="B4138" s="21">
        <f>ItensPedido!B4138</f>
        <v/>
      </c>
      <c r="C4138" s="21">
        <f>ItensPedido!C4138</f>
        <v/>
      </c>
      <c r="D4138" s="21">
        <f>ItensPedido!D4138</f>
        <v/>
      </c>
      <c r="E4138" s="22">
        <f>ItensPedido!E4138</f>
        <v/>
      </c>
      <c r="F4138" s="21">
        <f>IFERROR(INDEX(Pedidos!$B$2:$B$1801,MATCH(B4138,Pedidos!$A$2:$A$1801,0)),0)</f>
        <v/>
      </c>
      <c r="G4138" s="21">
        <f>IF(F4138=0,"",YEAR(F4138))</f>
        <v/>
      </c>
      <c r="H4138" s="21">
        <f>IF(F4138=0,"",MONTH(F4138))</f>
        <v/>
      </c>
      <c r="I4138" s="21">
        <f>IFERROR(INDEX(Pedidos!$E$2:$E$1801,MATCH(B4138,Pedidos!$A$2:$A$1801,0)),"")</f>
        <v/>
      </c>
      <c r="J4138" s="21">
        <f>IFERROR(INDEX(Pedidos!$C$2:$C$1801,MATCH(B4138,Pedidos!$A$2:$A$1801,0)),"")</f>
        <v/>
      </c>
      <c r="K4138" s="21">
        <f>IFERROR(INDEX(Pedidos!$D$2:$D$1801,MATCH(B4138,Pedidos!$A$2:$A$1801,0)),"")</f>
        <v/>
      </c>
      <c r="L4138" s="21">
        <f>IFERROR(INDEX(Pedidos!$F$2:$F$1801,MATCH(B4138,Pedidos!$A$2:$A$1801,0)),"")</f>
        <v/>
      </c>
      <c r="M4138" s="22">
        <f>IFERROR(INDEX(Pedidos!$G$2:$G$1801,MATCH(B4138,Pedidos!$A$2:$A$1801,0)),0)</f>
        <v/>
      </c>
      <c r="N4138" s="21">
        <f>IFERROR(INDEX(Produtos!$B$2:$B$71,MATCH(C4138,Produtos!$A$2:$A$71,0)),"")</f>
        <v/>
      </c>
      <c r="O4138" s="21">
        <f>IFERROR(INDEX(Produtos!$C$2:$C$71,MATCH(C4138,Produtos!$A$2:$A$71,0)),"")</f>
        <v/>
      </c>
      <c r="P4138" s="21">
        <f>IFERROR(INDEX(Produtos!$D$2:$D$71,MATCH(C4138,Produtos!$A$2:$A$71,0)),0)</f>
        <v/>
      </c>
      <c r="Q4138" s="21">
        <f>IFERROR(INDEX(Produtos!$E$2:$E$71,MATCH(C4138,Produtos!$A$2:$A$71,0)),0)</f>
        <v/>
      </c>
      <c r="R4138" s="23">
        <f>D4138*Q4138</f>
        <v/>
      </c>
      <c r="S4138" s="23">
        <f>R4138*E4138</f>
        <v/>
      </c>
      <c r="T4138" s="23">
        <f>(R4138-S4138)*M4138</f>
        <v/>
      </c>
      <c r="U4138" s="23">
        <f>R4138-S4138-T4138</f>
        <v/>
      </c>
      <c r="V4138" s="23">
        <f>D4138*P4138</f>
        <v/>
      </c>
      <c r="W4138" s="23">
        <f>U4138-V4138</f>
        <v/>
      </c>
      <c r="X4138" s="24">
        <f>IFERROR(W4138/U4138,0)</f>
        <v/>
      </c>
    </row>
    <row r="4139">
      <c r="A4139" s="25">
        <f>ItensPedido!A4139</f>
        <v/>
      </c>
      <c r="B4139" s="25">
        <f>ItensPedido!B4139</f>
        <v/>
      </c>
      <c r="C4139" s="25">
        <f>ItensPedido!C4139</f>
        <v/>
      </c>
      <c r="D4139" s="25">
        <f>ItensPedido!D4139</f>
        <v/>
      </c>
      <c r="E4139" s="26">
        <f>ItensPedido!E4139</f>
        <v/>
      </c>
      <c r="F4139" s="25">
        <f>IFERROR(INDEX(Pedidos!$B$2:$B$1801,MATCH(B4139,Pedidos!$A$2:$A$1801,0)),0)</f>
        <v/>
      </c>
      <c r="G4139" s="25">
        <f>IF(F4139=0,"",YEAR(F4139))</f>
        <v/>
      </c>
      <c r="H4139" s="25">
        <f>IF(F4139=0,"",MONTH(F4139))</f>
        <v/>
      </c>
      <c r="I4139" s="25">
        <f>IFERROR(INDEX(Pedidos!$E$2:$E$1801,MATCH(B4139,Pedidos!$A$2:$A$1801,0)),"")</f>
        <v/>
      </c>
      <c r="J4139" s="25">
        <f>IFERROR(INDEX(Pedidos!$C$2:$C$1801,MATCH(B4139,Pedidos!$A$2:$A$1801,0)),"")</f>
        <v/>
      </c>
      <c r="K4139" s="25">
        <f>IFERROR(INDEX(Pedidos!$D$2:$D$1801,MATCH(B4139,Pedidos!$A$2:$A$1801,0)),"")</f>
        <v/>
      </c>
      <c r="L4139" s="25">
        <f>IFERROR(INDEX(Pedidos!$F$2:$F$1801,MATCH(B4139,Pedidos!$A$2:$A$1801,0)),"")</f>
        <v/>
      </c>
      <c r="M4139" s="26">
        <f>IFERROR(INDEX(Pedidos!$G$2:$G$1801,MATCH(B4139,Pedidos!$A$2:$A$1801,0)),0)</f>
        <v/>
      </c>
      <c r="N4139" s="25">
        <f>IFERROR(INDEX(Produtos!$B$2:$B$71,MATCH(C4139,Produtos!$A$2:$A$71,0)),"")</f>
        <v/>
      </c>
      <c r="O4139" s="25">
        <f>IFERROR(INDEX(Produtos!$C$2:$C$71,MATCH(C4139,Produtos!$A$2:$A$71,0)),"")</f>
        <v/>
      </c>
      <c r="P4139" s="25">
        <f>IFERROR(INDEX(Produtos!$D$2:$D$71,MATCH(C4139,Produtos!$A$2:$A$71,0)),0)</f>
        <v/>
      </c>
      <c r="Q4139" s="25">
        <f>IFERROR(INDEX(Produtos!$E$2:$E$71,MATCH(C4139,Produtos!$A$2:$A$71,0)),0)</f>
        <v/>
      </c>
      <c r="R4139" s="27">
        <f>D4139*Q4139</f>
        <v/>
      </c>
      <c r="S4139" s="27">
        <f>R4139*E4139</f>
        <v/>
      </c>
      <c r="T4139" s="27">
        <f>(R4139-S4139)*M4139</f>
        <v/>
      </c>
      <c r="U4139" s="27">
        <f>R4139-S4139-T4139</f>
        <v/>
      </c>
      <c r="V4139" s="27">
        <f>D4139*P4139</f>
        <v/>
      </c>
      <c r="W4139" s="27">
        <f>U4139-V4139</f>
        <v/>
      </c>
      <c r="X4139" s="28">
        <f>IFERROR(W4139/U4139,0)</f>
        <v/>
      </c>
    </row>
    <row r="4140">
      <c r="A4140" s="21">
        <f>ItensPedido!A4140</f>
        <v/>
      </c>
      <c r="B4140" s="21">
        <f>ItensPedido!B4140</f>
        <v/>
      </c>
      <c r="C4140" s="21">
        <f>ItensPedido!C4140</f>
        <v/>
      </c>
      <c r="D4140" s="21">
        <f>ItensPedido!D4140</f>
        <v/>
      </c>
      <c r="E4140" s="22">
        <f>ItensPedido!E4140</f>
        <v/>
      </c>
      <c r="F4140" s="21">
        <f>IFERROR(INDEX(Pedidos!$B$2:$B$1801,MATCH(B4140,Pedidos!$A$2:$A$1801,0)),0)</f>
        <v/>
      </c>
      <c r="G4140" s="21">
        <f>IF(F4140=0,"",YEAR(F4140))</f>
        <v/>
      </c>
      <c r="H4140" s="21">
        <f>IF(F4140=0,"",MONTH(F4140))</f>
        <v/>
      </c>
      <c r="I4140" s="21">
        <f>IFERROR(INDEX(Pedidos!$E$2:$E$1801,MATCH(B4140,Pedidos!$A$2:$A$1801,0)),"")</f>
        <v/>
      </c>
      <c r="J4140" s="21">
        <f>IFERROR(INDEX(Pedidos!$C$2:$C$1801,MATCH(B4140,Pedidos!$A$2:$A$1801,0)),"")</f>
        <v/>
      </c>
      <c r="K4140" s="21">
        <f>IFERROR(INDEX(Pedidos!$D$2:$D$1801,MATCH(B4140,Pedidos!$A$2:$A$1801,0)),"")</f>
        <v/>
      </c>
      <c r="L4140" s="21">
        <f>IFERROR(INDEX(Pedidos!$F$2:$F$1801,MATCH(B4140,Pedidos!$A$2:$A$1801,0)),"")</f>
        <v/>
      </c>
      <c r="M4140" s="22">
        <f>IFERROR(INDEX(Pedidos!$G$2:$G$1801,MATCH(B4140,Pedidos!$A$2:$A$1801,0)),0)</f>
        <v/>
      </c>
      <c r="N4140" s="21">
        <f>IFERROR(INDEX(Produtos!$B$2:$B$71,MATCH(C4140,Produtos!$A$2:$A$71,0)),"")</f>
        <v/>
      </c>
      <c r="O4140" s="21">
        <f>IFERROR(INDEX(Produtos!$C$2:$C$71,MATCH(C4140,Produtos!$A$2:$A$71,0)),"")</f>
        <v/>
      </c>
      <c r="P4140" s="21">
        <f>IFERROR(INDEX(Produtos!$D$2:$D$71,MATCH(C4140,Produtos!$A$2:$A$71,0)),0)</f>
        <v/>
      </c>
      <c r="Q4140" s="21">
        <f>IFERROR(INDEX(Produtos!$E$2:$E$71,MATCH(C4140,Produtos!$A$2:$A$71,0)),0)</f>
        <v/>
      </c>
      <c r="R4140" s="23">
        <f>D4140*Q4140</f>
        <v/>
      </c>
      <c r="S4140" s="23">
        <f>R4140*E4140</f>
        <v/>
      </c>
      <c r="T4140" s="23">
        <f>(R4140-S4140)*M4140</f>
        <v/>
      </c>
      <c r="U4140" s="23">
        <f>R4140-S4140-T4140</f>
        <v/>
      </c>
      <c r="V4140" s="23">
        <f>D4140*P4140</f>
        <v/>
      </c>
      <c r="W4140" s="23">
        <f>U4140-V4140</f>
        <v/>
      </c>
      <c r="X4140" s="24">
        <f>IFERROR(W4140/U4140,0)</f>
        <v/>
      </c>
    </row>
    <row r="4141">
      <c r="A4141" s="25">
        <f>ItensPedido!A4141</f>
        <v/>
      </c>
      <c r="B4141" s="25">
        <f>ItensPedido!B4141</f>
        <v/>
      </c>
      <c r="C4141" s="25">
        <f>ItensPedido!C4141</f>
        <v/>
      </c>
      <c r="D4141" s="25">
        <f>ItensPedido!D4141</f>
        <v/>
      </c>
      <c r="E4141" s="26">
        <f>ItensPedido!E4141</f>
        <v/>
      </c>
      <c r="F4141" s="25">
        <f>IFERROR(INDEX(Pedidos!$B$2:$B$1801,MATCH(B4141,Pedidos!$A$2:$A$1801,0)),0)</f>
        <v/>
      </c>
      <c r="G4141" s="25">
        <f>IF(F4141=0,"",YEAR(F4141))</f>
        <v/>
      </c>
      <c r="H4141" s="25">
        <f>IF(F4141=0,"",MONTH(F4141))</f>
        <v/>
      </c>
      <c r="I4141" s="25">
        <f>IFERROR(INDEX(Pedidos!$E$2:$E$1801,MATCH(B4141,Pedidos!$A$2:$A$1801,0)),"")</f>
        <v/>
      </c>
      <c r="J4141" s="25">
        <f>IFERROR(INDEX(Pedidos!$C$2:$C$1801,MATCH(B4141,Pedidos!$A$2:$A$1801,0)),"")</f>
        <v/>
      </c>
      <c r="K4141" s="25">
        <f>IFERROR(INDEX(Pedidos!$D$2:$D$1801,MATCH(B4141,Pedidos!$A$2:$A$1801,0)),"")</f>
        <v/>
      </c>
      <c r="L4141" s="25">
        <f>IFERROR(INDEX(Pedidos!$F$2:$F$1801,MATCH(B4141,Pedidos!$A$2:$A$1801,0)),"")</f>
        <v/>
      </c>
      <c r="M4141" s="26">
        <f>IFERROR(INDEX(Pedidos!$G$2:$G$1801,MATCH(B4141,Pedidos!$A$2:$A$1801,0)),0)</f>
        <v/>
      </c>
      <c r="N4141" s="25">
        <f>IFERROR(INDEX(Produtos!$B$2:$B$71,MATCH(C4141,Produtos!$A$2:$A$71,0)),"")</f>
        <v/>
      </c>
      <c r="O4141" s="25">
        <f>IFERROR(INDEX(Produtos!$C$2:$C$71,MATCH(C4141,Produtos!$A$2:$A$71,0)),"")</f>
        <v/>
      </c>
      <c r="P4141" s="25">
        <f>IFERROR(INDEX(Produtos!$D$2:$D$71,MATCH(C4141,Produtos!$A$2:$A$71,0)),0)</f>
        <v/>
      </c>
      <c r="Q4141" s="25">
        <f>IFERROR(INDEX(Produtos!$E$2:$E$71,MATCH(C4141,Produtos!$A$2:$A$71,0)),0)</f>
        <v/>
      </c>
      <c r="R4141" s="27">
        <f>D4141*Q4141</f>
        <v/>
      </c>
      <c r="S4141" s="27">
        <f>R4141*E4141</f>
        <v/>
      </c>
      <c r="T4141" s="27">
        <f>(R4141-S4141)*M4141</f>
        <v/>
      </c>
      <c r="U4141" s="27">
        <f>R4141-S4141-T4141</f>
        <v/>
      </c>
      <c r="V4141" s="27">
        <f>D4141*P4141</f>
        <v/>
      </c>
      <c r="W4141" s="27">
        <f>U4141-V4141</f>
        <v/>
      </c>
      <c r="X4141" s="28">
        <f>IFERROR(W4141/U4141,0)</f>
        <v/>
      </c>
    </row>
    <row r="4142">
      <c r="A4142" s="21">
        <f>ItensPedido!A4142</f>
        <v/>
      </c>
      <c r="B4142" s="21">
        <f>ItensPedido!B4142</f>
        <v/>
      </c>
      <c r="C4142" s="21">
        <f>ItensPedido!C4142</f>
        <v/>
      </c>
      <c r="D4142" s="21">
        <f>ItensPedido!D4142</f>
        <v/>
      </c>
      <c r="E4142" s="22">
        <f>ItensPedido!E4142</f>
        <v/>
      </c>
      <c r="F4142" s="21">
        <f>IFERROR(INDEX(Pedidos!$B$2:$B$1801,MATCH(B4142,Pedidos!$A$2:$A$1801,0)),0)</f>
        <v/>
      </c>
      <c r="G4142" s="21">
        <f>IF(F4142=0,"",YEAR(F4142))</f>
        <v/>
      </c>
      <c r="H4142" s="21">
        <f>IF(F4142=0,"",MONTH(F4142))</f>
        <v/>
      </c>
      <c r="I4142" s="21">
        <f>IFERROR(INDEX(Pedidos!$E$2:$E$1801,MATCH(B4142,Pedidos!$A$2:$A$1801,0)),"")</f>
        <v/>
      </c>
      <c r="J4142" s="21">
        <f>IFERROR(INDEX(Pedidos!$C$2:$C$1801,MATCH(B4142,Pedidos!$A$2:$A$1801,0)),"")</f>
        <v/>
      </c>
      <c r="K4142" s="21">
        <f>IFERROR(INDEX(Pedidos!$D$2:$D$1801,MATCH(B4142,Pedidos!$A$2:$A$1801,0)),"")</f>
        <v/>
      </c>
      <c r="L4142" s="21">
        <f>IFERROR(INDEX(Pedidos!$F$2:$F$1801,MATCH(B4142,Pedidos!$A$2:$A$1801,0)),"")</f>
        <v/>
      </c>
      <c r="M4142" s="22">
        <f>IFERROR(INDEX(Pedidos!$G$2:$G$1801,MATCH(B4142,Pedidos!$A$2:$A$1801,0)),0)</f>
        <v/>
      </c>
      <c r="N4142" s="21">
        <f>IFERROR(INDEX(Produtos!$B$2:$B$71,MATCH(C4142,Produtos!$A$2:$A$71,0)),"")</f>
        <v/>
      </c>
      <c r="O4142" s="21">
        <f>IFERROR(INDEX(Produtos!$C$2:$C$71,MATCH(C4142,Produtos!$A$2:$A$71,0)),"")</f>
        <v/>
      </c>
      <c r="P4142" s="21">
        <f>IFERROR(INDEX(Produtos!$D$2:$D$71,MATCH(C4142,Produtos!$A$2:$A$71,0)),0)</f>
        <v/>
      </c>
      <c r="Q4142" s="21">
        <f>IFERROR(INDEX(Produtos!$E$2:$E$71,MATCH(C4142,Produtos!$A$2:$A$71,0)),0)</f>
        <v/>
      </c>
      <c r="R4142" s="23">
        <f>D4142*Q4142</f>
        <v/>
      </c>
      <c r="S4142" s="23">
        <f>R4142*E4142</f>
        <v/>
      </c>
      <c r="T4142" s="23">
        <f>(R4142-S4142)*M4142</f>
        <v/>
      </c>
      <c r="U4142" s="23">
        <f>R4142-S4142-T4142</f>
        <v/>
      </c>
      <c r="V4142" s="23">
        <f>D4142*P4142</f>
        <v/>
      </c>
      <c r="W4142" s="23">
        <f>U4142-V4142</f>
        <v/>
      </c>
      <c r="X4142" s="24">
        <f>IFERROR(W4142/U4142,0)</f>
        <v/>
      </c>
    </row>
    <row r="4143">
      <c r="A4143" s="25">
        <f>ItensPedido!A4143</f>
        <v/>
      </c>
      <c r="B4143" s="25">
        <f>ItensPedido!B4143</f>
        <v/>
      </c>
      <c r="C4143" s="25">
        <f>ItensPedido!C4143</f>
        <v/>
      </c>
      <c r="D4143" s="25">
        <f>ItensPedido!D4143</f>
        <v/>
      </c>
      <c r="E4143" s="26">
        <f>ItensPedido!E4143</f>
        <v/>
      </c>
      <c r="F4143" s="25">
        <f>IFERROR(INDEX(Pedidos!$B$2:$B$1801,MATCH(B4143,Pedidos!$A$2:$A$1801,0)),0)</f>
        <v/>
      </c>
      <c r="G4143" s="25">
        <f>IF(F4143=0,"",YEAR(F4143))</f>
        <v/>
      </c>
      <c r="H4143" s="25">
        <f>IF(F4143=0,"",MONTH(F4143))</f>
        <v/>
      </c>
      <c r="I4143" s="25">
        <f>IFERROR(INDEX(Pedidos!$E$2:$E$1801,MATCH(B4143,Pedidos!$A$2:$A$1801,0)),"")</f>
        <v/>
      </c>
      <c r="J4143" s="25">
        <f>IFERROR(INDEX(Pedidos!$C$2:$C$1801,MATCH(B4143,Pedidos!$A$2:$A$1801,0)),"")</f>
        <v/>
      </c>
      <c r="K4143" s="25">
        <f>IFERROR(INDEX(Pedidos!$D$2:$D$1801,MATCH(B4143,Pedidos!$A$2:$A$1801,0)),"")</f>
        <v/>
      </c>
      <c r="L4143" s="25">
        <f>IFERROR(INDEX(Pedidos!$F$2:$F$1801,MATCH(B4143,Pedidos!$A$2:$A$1801,0)),"")</f>
        <v/>
      </c>
      <c r="M4143" s="26">
        <f>IFERROR(INDEX(Pedidos!$G$2:$G$1801,MATCH(B4143,Pedidos!$A$2:$A$1801,0)),0)</f>
        <v/>
      </c>
      <c r="N4143" s="25">
        <f>IFERROR(INDEX(Produtos!$B$2:$B$71,MATCH(C4143,Produtos!$A$2:$A$71,0)),"")</f>
        <v/>
      </c>
      <c r="O4143" s="25">
        <f>IFERROR(INDEX(Produtos!$C$2:$C$71,MATCH(C4143,Produtos!$A$2:$A$71,0)),"")</f>
        <v/>
      </c>
      <c r="P4143" s="25">
        <f>IFERROR(INDEX(Produtos!$D$2:$D$71,MATCH(C4143,Produtos!$A$2:$A$71,0)),0)</f>
        <v/>
      </c>
      <c r="Q4143" s="25">
        <f>IFERROR(INDEX(Produtos!$E$2:$E$71,MATCH(C4143,Produtos!$A$2:$A$71,0)),0)</f>
        <v/>
      </c>
      <c r="R4143" s="27">
        <f>D4143*Q4143</f>
        <v/>
      </c>
      <c r="S4143" s="27">
        <f>R4143*E4143</f>
        <v/>
      </c>
      <c r="T4143" s="27">
        <f>(R4143-S4143)*M4143</f>
        <v/>
      </c>
      <c r="U4143" s="27">
        <f>R4143-S4143-T4143</f>
        <v/>
      </c>
      <c r="V4143" s="27">
        <f>D4143*P4143</f>
        <v/>
      </c>
      <c r="W4143" s="27">
        <f>U4143-V4143</f>
        <v/>
      </c>
      <c r="X4143" s="28">
        <f>IFERROR(W4143/U4143,0)</f>
        <v/>
      </c>
    </row>
    <row r="4144">
      <c r="A4144" s="21">
        <f>ItensPedido!A4144</f>
        <v/>
      </c>
      <c r="B4144" s="21">
        <f>ItensPedido!B4144</f>
        <v/>
      </c>
      <c r="C4144" s="21">
        <f>ItensPedido!C4144</f>
        <v/>
      </c>
      <c r="D4144" s="21">
        <f>ItensPedido!D4144</f>
        <v/>
      </c>
      <c r="E4144" s="22">
        <f>ItensPedido!E4144</f>
        <v/>
      </c>
      <c r="F4144" s="21">
        <f>IFERROR(INDEX(Pedidos!$B$2:$B$1801,MATCH(B4144,Pedidos!$A$2:$A$1801,0)),0)</f>
        <v/>
      </c>
      <c r="G4144" s="21">
        <f>IF(F4144=0,"",YEAR(F4144))</f>
        <v/>
      </c>
      <c r="H4144" s="21">
        <f>IF(F4144=0,"",MONTH(F4144))</f>
        <v/>
      </c>
      <c r="I4144" s="21">
        <f>IFERROR(INDEX(Pedidos!$E$2:$E$1801,MATCH(B4144,Pedidos!$A$2:$A$1801,0)),"")</f>
        <v/>
      </c>
      <c r="J4144" s="21">
        <f>IFERROR(INDEX(Pedidos!$C$2:$C$1801,MATCH(B4144,Pedidos!$A$2:$A$1801,0)),"")</f>
        <v/>
      </c>
      <c r="K4144" s="21">
        <f>IFERROR(INDEX(Pedidos!$D$2:$D$1801,MATCH(B4144,Pedidos!$A$2:$A$1801,0)),"")</f>
        <v/>
      </c>
      <c r="L4144" s="21">
        <f>IFERROR(INDEX(Pedidos!$F$2:$F$1801,MATCH(B4144,Pedidos!$A$2:$A$1801,0)),"")</f>
        <v/>
      </c>
      <c r="M4144" s="22">
        <f>IFERROR(INDEX(Pedidos!$G$2:$G$1801,MATCH(B4144,Pedidos!$A$2:$A$1801,0)),0)</f>
        <v/>
      </c>
      <c r="N4144" s="21">
        <f>IFERROR(INDEX(Produtos!$B$2:$B$71,MATCH(C4144,Produtos!$A$2:$A$71,0)),"")</f>
        <v/>
      </c>
      <c r="O4144" s="21">
        <f>IFERROR(INDEX(Produtos!$C$2:$C$71,MATCH(C4144,Produtos!$A$2:$A$71,0)),"")</f>
        <v/>
      </c>
      <c r="P4144" s="21">
        <f>IFERROR(INDEX(Produtos!$D$2:$D$71,MATCH(C4144,Produtos!$A$2:$A$71,0)),0)</f>
        <v/>
      </c>
      <c r="Q4144" s="21">
        <f>IFERROR(INDEX(Produtos!$E$2:$E$71,MATCH(C4144,Produtos!$A$2:$A$71,0)),0)</f>
        <v/>
      </c>
      <c r="R4144" s="23">
        <f>D4144*Q4144</f>
        <v/>
      </c>
      <c r="S4144" s="23">
        <f>R4144*E4144</f>
        <v/>
      </c>
      <c r="T4144" s="23">
        <f>(R4144-S4144)*M4144</f>
        <v/>
      </c>
      <c r="U4144" s="23">
        <f>R4144-S4144-T4144</f>
        <v/>
      </c>
      <c r="V4144" s="23">
        <f>D4144*P4144</f>
        <v/>
      </c>
      <c r="W4144" s="23">
        <f>U4144-V4144</f>
        <v/>
      </c>
      <c r="X4144" s="24">
        <f>IFERROR(W4144/U4144,0)</f>
        <v/>
      </c>
    </row>
    <row r="4145">
      <c r="A4145" s="25">
        <f>ItensPedido!A4145</f>
        <v/>
      </c>
      <c r="B4145" s="25">
        <f>ItensPedido!B4145</f>
        <v/>
      </c>
      <c r="C4145" s="25">
        <f>ItensPedido!C4145</f>
        <v/>
      </c>
      <c r="D4145" s="25">
        <f>ItensPedido!D4145</f>
        <v/>
      </c>
      <c r="E4145" s="26">
        <f>ItensPedido!E4145</f>
        <v/>
      </c>
      <c r="F4145" s="25">
        <f>IFERROR(INDEX(Pedidos!$B$2:$B$1801,MATCH(B4145,Pedidos!$A$2:$A$1801,0)),0)</f>
        <v/>
      </c>
      <c r="G4145" s="25">
        <f>IF(F4145=0,"",YEAR(F4145))</f>
        <v/>
      </c>
      <c r="H4145" s="25">
        <f>IF(F4145=0,"",MONTH(F4145))</f>
        <v/>
      </c>
      <c r="I4145" s="25">
        <f>IFERROR(INDEX(Pedidos!$E$2:$E$1801,MATCH(B4145,Pedidos!$A$2:$A$1801,0)),"")</f>
        <v/>
      </c>
      <c r="J4145" s="25">
        <f>IFERROR(INDEX(Pedidos!$C$2:$C$1801,MATCH(B4145,Pedidos!$A$2:$A$1801,0)),"")</f>
        <v/>
      </c>
      <c r="K4145" s="25">
        <f>IFERROR(INDEX(Pedidos!$D$2:$D$1801,MATCH(B4145,Pedidos!$A$2:$A$1801,0)),"")</f>
        <v/>
      </c>
      <c r="L4145" s="25">
        <f>IFERROR(INDEX(Pedidos!$F$2:$F$1801,MATCH(B4145,Pedidos!$A$2:$A$1801,0)),"")</f>
        <v/>
      </c>
      <c r="M4145" s="26">
        <f>IFERROR(INDEX(Pedidos!$G$2:$G$1801,MATCH(B4145,Pedidos!$A$2:$A$1801,0)),0)</f>
        <v/>
      </c>
      <c r="N4145" s="25">
        <f>IFERROR(INDEX(Produtos!$B$2:$B$71,MATCH(C4145,Produtos!$A$2:$A$71,0)),"")</f>
        <v/>
      </c>
      <c r="O4145" s="25">
        <f>IFERROR(INDEX(Produtos!$C$2:$C$71,MATCH(C4145,Produtos!$A$2:$A$71,0)),"")</f>
        <v/>
      </c>
      <c r="P4145" s="25">
        <f>IFERROR(INDEX(Produtos!$D$2:$D$71,MATCH(C4145,Produtos!$A$2:$A$71,0)),0)</f>
        <v/>
      </c>
      <c r="Q4145" s="25">
        <f>IFERROR(INDEX(Produtos!$E$2:$E$71,MATCH(C4145,Produtos!$A$2:$A$71,0)),0)</f>
        <v/>
      </c>
      <c r="R4145" s="27">
        <f>D4145*Q4145</f>
        <v/>
      </c>
      <c r="S4145" s="27">
        <f>R4145*E4145</f>
        <v/>
      </c>
      <c r="T4145" s="27">
        <f>(R4145-S4145)*M4145</f>
        <v/>
      </c>
      <c r="U4145" s="27">
        <f>R4145-S4145-T4145</f>
        <v/>
      </c>
      <c r="V4145" s="27">
        <f>D4145*P4145</f>
        <v/>
      </c>
      <c r="W4145" s="27">
        <f>U4145-V4145</f>
        <v/>
      </c>
      <c r="X4145" s="28">
        <f>IFERROR(W4145/U4145,0)</f>
        <v/>
      </c>
    </row>
    <row r="4146">
      <c r="A4146" s="21">
        <f>ItensPedido!A4146</f>
        <v/>
      </c>
      <c r="B4146" s="21">
        <f>ItensPedido!B4146</f>
        <v/>
      </c>
      <c r="C4146" s="21">
        <f>ItensPedido!C4146</f>
        <v/>
      </c>
      <c r="D4146" s="21">
        <f>ItensPedido!D4146</f>
        <v/>
      </c>
      <c r="E4146" s="22">
        <f>ItensPedido!E4146</f>
        <v/>
      </c>
      <c r="F4146" s="21">
        <f>IFERROR(INDEX(Pedidos!$B$2:$B$1801,MATCH(B4146,Pedidos!$A$2:$A$1801,0)),0)</f>
        <v/>
      </c>
      <c r="G4146" s="21">
        <f>IF(F4146=0,"",YEAR(F4146))</f>
        <v/>
      </c>
      <c r="H4146" s="21">
        <f>IF(F4146=0,"",MONTH(F4146))</f>
        <v/>
      </c>
      <c r="I4146" s="21">
        <f>IFERROR(INDEX(Pedidos!$E$2:$E$1801,MATCH(B4146,Pedidos!$A$2:$A$1801,0)),"")</f>
        <v/>
      </c>
      <c r="J4146" s="21">
        <f>IFERROR(INDEX(Pedidos!$C$2:$C$1801,MATCH(B4146,Pedidos!$A$2:$A$1801,0)),"")</f>
        <v/>
      </c>
      <c r="K4146" s="21">
        <f>IFERROR(INDEX(Pedidos!$D$2:$D$1801,MATCH(B4146,Pedidos!$A$2:$A$1801,0)),"")</f>
        <v/>
      </c>
      <c r="L4146" s="21">
        <f>IFERROR(INDEX(Pedidos!$F$2:$F$1801,MATCH(B4146,Pedidos!$A$2:$A$1801,0)),"")</f>
        <v/>
      </c>
      <c r="M4146" s="22">
        <f>IFERROR(INDEX(Pedidos!$G$2:$G$1801,MATCH(B4146,Pedidos!$A$2:$A$1801,0)),0)</f>
        <v/>
      </c>
      <c r="N4146" s="21">
        <f>IFERROR(INDEX(Produtos!$B$2:$B$71,MATCH(C4146,Produtos!$A$2:$A$71,0)),"")</f>
        <v/>
      </c>
      <c r="O4146" s="21">
        <f>IFERROR(INDEX(Produtos!$C$2:$C$71,MATCH(C4146,Produtos!$A$2:$A$71,0)),"")</f>
        <v/>
      </c>
      <c r="P4146" s="21">
        <f>IFERROR(INDEX(Produtos!$D$2:$D$71,MATCH(C4146,Produtos!$A$2:$A$71,0)),0)</f>
        <v/>
      </c>
      <c r="Q4146" s="21">
        <f>IFERROR(INDEX(Produtos!$E$2:$E$71,MATCH(C4146,Produtos!$A$2:$A$71,0)),0)</f>
        <v/>
      </c>
      <c r="R4146" s="23">
        <f>D4146*Q4146</f>
        <v/>
      </c>
      <c r="S4146" s="23">
        <f>R4146*E4146</f>
        <v/>
      </c>
      <c r="T4146" s="23">
        <f>(R4146-S4146)*M4146</f>
        <v/>
      </c>
      <c r="U4146" s="23">
        <f>R4146-S4146-T4146</f>
        <v/>
      </c>
      <c r="V4146" s="23">
        <f>D4146*P4146</f>
        <v/>
      </c>
      <c r="W4146" s="23">
        <f>U4146-V4146</f>
        <v/>
      </c>
      <c r="X4146" s="24">
        <f>IFERROR(W4146/U4146,0)</f>
        <v/>
      </c>
    </row>
    <row r="4147">
      <c r="A4147" s="25">
        <f>ItensPedido!A4147</f>
        <v/>
      </c>
      <c r="B4147" s="25">
        <f>ItensPedido!B4147</f>
        <v/>
      </c>
      <c r="C4147" s="25">
        <f>ItensPedido!C4147</f>
        <v/>
      </c>
      <c r="D4147" s="25">
        <f>ItensPedido!D4147</f>
        <v/>
      </c>
      <c r="E4147" s="26">
        <f>ItensPedido!E4147</f>
        <v/>
      </c>
      <c r="F4147" s="25">
        <f>IFERROR(INDEX(Pedidos!$B$2:$B$1801,MATCH(B4147,Pedidos!$A$2:$A$1801,0)),0)</f>
        <v/>
      </c>
      <c r="G4147" s="25">
        <f>IF(F4147=0,"",YEAR(F4147))</f>
        <v/>
      </c>
      <c r="H4147" s="25">
        <f>IF(F4147=0,"",MONTH(F4147))</f>
        <v/>
      </c>
      <c r="I4147" s="25">
        <f>IFERROR(INDEX(Pedidos!$E$2:$E$1801,MATCH(B4147,Pedidos!$A$2:$A$1801,0)),"")</f>
        <v/>
      </c>
      <c r="J4147" s="25">
        <f>IFERROR(INDEX(Pedidos!$C$2:$C$1801,MATCH(B4147,Pedidos!$A$2:$A$1801,0)),"")</f>
        <v/>
      </c>
      <c r="K4147" s="25">
        <f>IFERROR(INDEX(Pedidos!$D$2:$D$1801,MATCH(B4147,Pedidos!$A$2:$A$1801,0)),"")</f>
        <v/>
      </c>
      <c r="L4147" s="25">
        <f>IFERROR(INDEX(Pedidos!$F$2:$F$1801,MATCH(B4147,Pedidos!$A$2:$A$1801,0)),"")</f>
        <v/>
      </c>
      <c r="M4147" s="26">
        <f>IFERROR(INDEX(Pedidos!$G$2:$G$1801,MATCH(B4147,Pedidos!$A$2:$A$1801,0)),0)</f>
        <v/>
      </c>
      <c r="N4147" s="25">
        <f>IFERROR(INDEX(Produtos!$B$2:$B$71,MATCH(C4147,Produtos!$A$2:$A$71,0)),"")</f>
        <v/>
      </c>
      <c r="O4147" s="25">
        <f>IFERROR(INDEX(Produtos!$C$2:$C$71,MATCH(C4147,Produtos!$A$2:$A$71,0)),"")</f>
        <v/>
      </c>
      <c r="P4147" s="25">
        <f>IFERROR(INDEX(Produtos!$D$2:$D$71,MATCH(C4147,Produtos!$A$2:$A$71,0)),0)</f>
        <v/>
      </c>
      <c r="Q4147" s="25">
        <f>IFERROR(INDEX(Produtos!$E$2:$E$71,MATCH(C4147,Produtos!$A$2:$A$71,0)),0)</f>
        <v/>
      </c>
      <c r="R4147" s="27">
        <f>D4147*Q4147</f>
        <v/>
      </c>
      <c r="S4147" s="27">
        <f>R4147*E4147</f>
        <v/>
      </c>
      <c r="T4147" s="27">
        <f>(R4147-S4147)*M4147</f>
        <v/>
      </c>
      <c r="U4147" s="27">
        <f>R4147-S4147-T4147</f>
        <v/>
      </c>
      <c r="V4147" s="27">
        <f>D4147*P4147</f>
        <v/>
      </c>
      <c r="W4147" s="27">
        <f>U4147-V4147</f>
        <v/>
      </c>
      <c r="X4147" s="28">
        <f>IFERROR(W4147/U4147,0)</f>
        <v/>
      </c>
    </row>
    <row r="4148">
      <c r="A4148" s="21">
        <f>ItensPedido!A4148</f>
        <v/>
      </c>
      <c r="B4148" s="21">
        <f>ItensPedido!B4148</f>
        <v/>
      </c>
      <c r="C4148" s="21">
        <f>ItensPedido!C4148</f>
        <v/>
      </c>
      <c r="D4148" s="21">
        <f>ItensPedido!D4148</f>
        <v/>
      </c>
      <c r="E4148" s="22">
        <f>ItensPedido!E4148</f>
        <v/>
      </c>
      <c r="F4148" s="21">
        <f>IFERROR(INDEX(Pedidos!$B$2:$B$1801,MATCH(B4148,Pedidos!$A$2:$A$1801,0)),0)</f>
        <v/>
      </c>
      <c r="G4148" s="21">
        <f>IF(F4148=0,"",YEAR(F4148))</f>
        <v/>
      </c>
      <c r="H4148" s="21">
        <f>IF(F4148=0,"",MONTH(F4148))</f>
        <v/>
      </c>
      <c r="I4148" s="21">
        <f>IFERROR(INDEX(Pedidos!$E$2:$E$1801,MATCH(B4148,Pedidos!$A$2:$A$1801,0)),"")</f>
        <v/>
      </c>
      <c r="J4148" s="21">
        <f>IFERROR(INDEX(Pedidos!$C$2:$C$1801,MATCH(B4148,Pedidos!$A$2:$A$1801,0)),"")</f>
        <v/>
      </c>
      <c r="K4148" s="21">
        <f>IFERROR(INDEX(Pedidos!$D$2:$D$1801,MATCH(B4148,Pedidos!$A$2:$A$1801,0)),"")</f>
        <v/>
      </c>
      <c r="L4148" s="21">
        <f>IFERROR(INDEX(Pedidos!$F$2:$F$1801,MATCH(B4148,Pedidos!$A$2:$A$1801,0)),"")</f>
        <v/>
      </c>
      <c r="M4148" s="22">
        <f>IFERROR(INDEX(Pedidos!$G$2:$G$1801,MATCH(B4148,Pedidos!$A$2:$A$1801,0)),0)</f>
        <v/>
      </c>
      <c r="N4148" s="21">
        <f>IFERROR(INDEX(Produtos!$B$2:$B$71,MATCH(C4148,Produtos!$A$2:$A$71,0)),"")</f>
        <v/>
      </c>
      <c r="O4148" s="21">
        <f>IFERROR(INDEX(Produtos!$C$2:$C$71,MATCH(C4148,Produtos!$A$2:$A$71,0)),"")</f>
        <v/>
      </c>
      <c r="P4148" s="21">
        <f>IFERROR(INDEX(Produtos!$D$2:$D$71,MATCH(C4148,Produtos!$A$2:$A$71,0)),0)</f>
        <v/>
      </c>
      <c r="Q4148" s="21">
        <f>IFERROR(INDEX(Produtos!$E$2:$E$71,MATCH(C4148,Produtos!$A$2:$A$71,0)),0)</f>
        <v/>
      </c>
      <c r="R4148" s="23">
        <f>D4148*Q4148</f>
        <v/>
      </c>
      <c r="S4148" s="23">
        <f>R4148*E4148</f>
        <v/>
      </c>
      <c r="T4148" s="23">
        <f>(R4148-S4148)*M4148</f>
        <v/>
      </c>
      <c r="U4148" s="23">
        <f>R4148-S4148-T4148</f>
        <v/>
      </c>
      <c r="V4148" s="23">
        <f>D4148*P4148</f>
        <v/>
      </c>
      <c r="W4148" s="23">
        <f>U4148-V4148</f>
        <v/>
      </c>
      <c r="X4148" s="24">
        <f>IFERROR(W4148/U4148,0)</f>
        <v/>
      </c>
    </row>
    <row r="4149">
      <c r="A4149" s="25">
        <f>ItensPedido!A4149</f>
        <v/>
      </c>
      <c r="B4149" s="25">
        <f>ItensPedido!B4149</f>
        <v/>
      </c>
      <c r="C4149" s="25">
        <f>ItensPedido!C4149</f>
        <v/>
      </c>
      <c r="D4149" s="25">
        <f>ItensPedido!D4149</f>
        <v/>
      </c>
      <c r="E4149" s="26">
        <f>ItensPedido!E4149</f>
        <v/>
      </c>
      <c r="F4149" s="25">
        <f>IFERROR(INDEX(Pedidos!$B$2:$B$1801,MATCH(B4149,Pedidos!$A$2:$A$1801,0)),0)</f>
        <v/>
      </c>
      <c r="G4149" s="25">
        <f>IF(F4149=0,"",YEAR(F4149))</f>
        <v/>
      </c>
      <c r="H4149" s="25">
        <f>IF(F4149=0,"",MONTH(F4149))</f>
        <v/>
      </c>
      <c r="I4149" s="25">
        <f>IFERROR(INDEX(Pedidos!$E$2:$E$1801,MATCH(B4149,Pedidos!$A$2:$A$1801,0)),"")</f>
        <v/>
      </c>
      <c r="J4149" s="25">
        <f>IFERROR(INDEX(Pedidos!$C$2:$C$1801,MATCH(B4149,Pedidos!$A$2:$A$1801,0)),"")</f>
        <v/>
      </c>
      <c r="K4149" s="25">
        <f>IFERROR(INDEX(Pedidos!$D$2:$D$1801,MATCH(B4149,Pedidos!$A$2:$A$1801,0)),"")</f>
        <v/>
      </c>
      <c r="L4149" s="25">
        <f>IFERROR(INDEX(Pedidos!$F$2:$F$1801,MATCH(B4149,Pedidos!$A$2:$A$1801,0)),"")</f>
        <v/>
      </c>
      <c r="M4149" s="26">
        <f>IFERROR(INDEX(Pedidos!$G$2:$G$1801,MATCH(B4149,Pedidos!$A$2:$A$1801,0)),0)</f>
        <v/>
      </c>
      <c r="N4149" s="25">
        <f>IFERROR(INDEX(Produtos!$B$2:$B$71,MATCH(C4149,Produtos!$A$2:$A$71,0)),"")</f>
        <v/>
      </c>
      <c r="O4149" s="25">
        <f>IFERROR(INDEX(Produtos!$C$2:$C$71,MATCH(C4149,Produtos!$A$2:$A$71,0)),"")</f>
        <v/>
      </c>
      <c r="P4149" s="25">
        <f>IFERROR(INDEX(Produtos!$D$2:$D$71,MATCH(C4149,Produtos!$A$2:$A$71,0)),0)</f>
        <v/>
      </c>
      <c r="Q4149" s="25">
        <f>IFERROR(INDEX(Produtos!$E$2:$E$71,MATCH(C4149,Produtos!$A$2:$A$71,0)),0)</f>
        <v/>
      </c>
      <c r="R4149" s="27">
        <f>D4149*Q4149</f>
        <v/>
      </c>
      <c r="S4149" s="27">
        <f>R4149*E4149</f>
        <v/>
      </c>
      <c r="T4149" s="27">
        <f>(R4149-S4149)*M4149</f>
        <v/>
      </c>
      <c r="U4149" s="27">
        <f>R4149-S4149-T4149</f>
        <v/>
      </c>
      <c r="V4149" s="27">
        <f>D4149*P4149</f>
        <v/>
      </c>
      <c r="W4149" s="27">
        <f>U4149-V4149</f>
        <v/>
      </c>
      <c r="X4149" s="28">
        <f>IFERROR(W4149/U4149,0)</f>
        <v/>
      </c>
    </row>
    <row r="4150">
      <c r="A4150" s="21">
        <f>ItensPedido!A4150</f>
        <v/>
      </c>
      <c r="B4150" s="21">
        <f>ItensPedido!B4150</f>
        <v/>
      </c>
      <c r="C4150" s="21">
        <f>ItensPedido!C4150</f>
        <v/>
      </c>
      <c r="D4150" s="21">
        <f>ItensPedido!D4150</f>
        <v/>
      </c>
      <c r="E4150" s="22">
        <f>ItensPedido!E4150</f>
        <v/>
      </c>
      <c r="F4150" s="21">
        <f>IFERROR(INDEX(Pedidos!$B$2:$B$1801,MATCH(B4150,Pedidos!$A$2:$A$1801,0)),0)</f>
        <v/>
      </c>
      <c r="G4150" s="21">
        <f>IF(F4150=0,"",YEAR(F4150))</f>
        <v/>
      </c>
      <c r="H4150" s="21">
        <f>IF(F4150=0,"",MONTH(F4150))</f>
        <v/>
      </c>
      <c r="I4150" s="21">
        <f>IFERROR(INDEX(Pedidos!$E$2:$E$1801,MATCH(B4150,Pedidos!$A$2:$A$1801,0)),"")</f>
        <v/>
      </c>
      <c r="J4150" s="21">
        <f>IFERROR(INDEX(Pedidos!$C$2:$C$1801,MATCH(B4150,Pedidos!$A$2:$A$1801,0)),"")</f>
        <v/>
      </c>
      <c r="K4150" s="21">
        <f>IFERROR(INDEX(Pedidos!$D$2:$D$1801,MATCH(B4150,Pedidos!$A$2:$A$1801,0)),"")</f>
        <v/>
      </c>
      <c r="L4150" s="21">
        <f>IFERROR(INDEX(Pedidos!$F$2:$F$1801,MATCH(B4150,Pedidos!$A$2:$A$1801,0)),"")</f>
        <v/>
      </c>
      <c r="M4150" s="22">
        <f>IFERROR(INDEX(Pedidos!$G$2:$G$1801,MATCH(B4150,Pedidos!$A$2:$A$1801,0)),0)</f>
        <v/>
      </c>
      <c r="N4150" s="21">
        <f>IFERROR(INDEX(Produtos!$B$2:$B$71,MATCH(C4150,Produtos!$A$2:$A$71,0)),"")</f>
        <v/>
      </c>
      <c r="O4150" s="21">
        <f>IFERROR(INDEX(Produtos!$C$2:$C$71,MATCH(C4150,Produtos!$A$2:$A$71,0)),"")</f>
        <v/>
      </c>
      <c r="P4150" s="21">
        <f>IFERROR(INDEX(Produtos!$D$2:$D$71,MATCH(C4150,Produtos!$A$2:$A$71,0)),0)</f>
        <v/>
      </c>
      <c r="Q4150" s="21">
        <f>IFERROR(INDEX(Produtos!$E$2:$E$71,MATCH(C4150,Produtos!$A$2:$A$71,0)),0)</f>
        <v/>
      </c>
      <c r="R4150" s="23">
        <f>D4150*Q4150</f>
        <v/>
      </c>
      <c r="S4150" s="23">
        <f>R4150*E4150</f>
        <v/>
      </c>
      <c r="T4150" s="23">
        <f>(R4150-S4150)*M4150</f>
        <v/>
      </c>
      <c r="U4150" s="23">
        <f>R4150-S4150-T4150</f>
        <v/>
      </c>
      <c r="V4150" s="23">
        <f>D4150*P4150</f>
        <v/>
      </c>
      <c r="W4150" s="23">
        <f>U4150-V4150</f>
        <v/>
      </c>
      <c r="X4150" s="24">
        <f>IFERROR(W4150/U4150,0)</f>
        <v/>
      </c>
    </row>
    <row r="4151">
      <c r="A4151" s="25">
        <f>ItensPedido!A4151</f>
        <v/>
      </c>
      <c r="B4151" s="25">
        <f>ItensPedido!B4151</f>
        <v/>
      </c>
      <c r="C4151" s="25">
        <f>ItensPedido!C4151</f>
        <v/>
      </c>
      <c r="D4151" s="25">
        <f>ItensPedido!D4151</f>
        <v/>
      </c>
      <c r="E4151" s="26">
        <f>ItensPedido!E4151</f>
        <v/>
      </c>
      <c r="F4151" s="25">
        <f>IFERROR(INDEX(Pedidos!$B$2:$B$1801,MATCH(B4151,Pedidos!$A$2:$A$1801,0)),0)</f>
        <v/>
      </c>
      <c r="G4151" s="25">
        <f>IF(F4151=0,"",YEAR(F4151))</f>
        <v/>
      </c>
      <c r="H4151" s="25">
        <f>IF(F4151=0,"",MONTH(F4151))</f>
        <v/>
      </c>
      <c r="I4151" s="25">
        <f>IFERROR(INDEX(Pedidos!$E$2:$E$1801,MATCH(B4151,Pedidos!$A$2:$A$1801,0)),"")</f>
        <v/>
      </c>
      <c r="J4151" s="25">
        <f>IFERROR(INDEX(Pedidos!$C$2:$C$1801,MATCH(B4151,Pedidos!$A$2:$A$1801,0)),"")</f>
        <v/>
      </c>
      <c r="K4151" s="25">
        <f>IFERROR(INDEX(Pedidos!$D$2:$D$1801,MATCH(B4151,Pedidos!$A$2:$A$1801,0)),"")</f>
        <v/>
      </c>
      <c r="L4151" s="25">
        <f>IFERROR(INDEX(Pedidos!$F$2:$F$1801,MATCH(B4151,Pedidos!$A$2:$A$1801,0)),"")</f>
        <v/>
      </c>
      <c r="M4151" s="26">
        <f>IFERROR(INDEX(Pedidos!$G$2:$G$1801,MATCH(B4151,Pedidos!$A$2:$A$1801,0)),0)</f>
        <v/>
      </c>
      <c r="N4151" s="25">
        <f>IFERROR(INDEX(Produtos!$B$2:$B$71,MATCH(C4151,Produtos!$A$2:$A$71,0)),"")</f>
        <v/>
      </c>
      <c r="O4151" s="25">
        <f>IFERROR(INDEX(Produtos!$C$2:$C$71,MATCH(C4151,Produtos!$A$2:$A$71,0)),"")</f>
        <v/>
      </c>
      <c r="P4151" s="25">
        <f>IFERROR(INDEX(Produtos!$D$2:$D$71,MATCH(C4151,Produtos!$A$2:$A$71,0)),0)</f>
        <v/>
      </c>
      <c r="Q4151" s="25">
        <f>IFERROR(INDEX(Produtos!$E$2:$E$71,MATCH(C4151,Produtos!$A$2:$A$71,0)),0)</f>
        <v/>
      </c>
      <c r="R4151" s="27">
        <f>D4151*Q4151</f>
        <v/>
      </c>
      <c r="S4151" s="27">
        <f>R4151*E4151</f>
        <v/>
      </c>
      <c r="T4151" s="27">
        <f>(R4151-S4151)*M4151</f>
        <v/>
      </c>
      <c r="U4151" s="27">
        <f>R4151-S4151-T4151</f>
        <v/>
      </c>
      <c r="V4151" s="27">
        <f>D4151*P4151</f>
        <v/>
      </c>
      <c r="W4151" s="27">
        <f>U4151-V4151</f>
        <v/>
      </c>
      <c r="X4151" s="28">
        <f>IFERROR(W4151/U4151,0)</f>
        <v/>
      </c>
    </row>
    <row r="4152">
      <c r="A4152" s="21">
        <f>ItensPedido!A4152</f>
        <v/>
      </c>
      <c r="B4152" s="21">
        <f>ItensPedido!B4152</f>
        <v/>
      </c>
      <c r="C4152" s="21">
        <f>ItensPedido!C4152</f>
        <v/>
      </c>
      <c r="D4152" s="21">
        <f>ItensPedido!D4152</f>
        <v/>
      </c>
      <c r="E4152" s="22">
        <f>ItensPedido!E4152</f>
        <v/>
      </c>
      <c r="F4152" s="21">
        <f>IFERROR(INDEX(Pedidos!$B$2:$B$1801,MATCH(B4152,Pedidos!$A$2:$A$1801,0)),0)</f>
        <v/>
      </c>
      <c r="G4152" s="21">
        <f>IF(F4152=0,"",YEAR(F4152))</f>
        <v/>
      </c>
      <c r="H4152" s="21">
        <f>IF(F4152=0,"",MONTH(F4152))</f>
        <v/>
      </c>
      <c r="I4152" s="21">
        <f>IFERROR(INDEX(Pedidos!$E$2:$E$1801,MATCH(B4152,Pedidos!$A$2:$A$1801,0)),"")</f>
        <v/>
      </c>
      <c r="J4152" s="21">
        <f>IFERROR(INDEX(Pedidos!$C$2:$C$1801,MATCH(B4152,Pedidos!$A$2:$A$1801,0)),"")</f>
        <v/>
      </c>
      <c r="K4152" s="21">
        <f>IFERROR(INDEX(Pedidos!$D$2:$D$1801,MATCH(B4152,Pedidos!$A$2:$A$1801,0)),"")</f>
        <v/>
      </c>
      <c r="L4152" s="21">
        <f>IFERROR(INDEX(Pedidos!$F$2:$F$1801,MATCH(B4152,Pedidos!$A$2:$A$1801,0)),"")</f>
        <v/>
      </c>
      <c r="M4152" s="22">
        <f>IFERROR(INDEX(Pedidos!$G$2:$G$1801,MATCH(B4152,Pedidos!$A$2:$A$1801,0)),0)</f>
        <v/>
      </c>
      <c r="N4152" s="21">
        <f>IFERROR(INDEX(Produtos!$B$2:$B$71,MATCH(C4152,Produtos!$A$2:$A$71,0)),"")</f>
        <v/>
      </c>
      <c r="O4152" s="21">
        <f>IFERROR(INDEX(Produtos!$C$2:$C$71,MATCH(C4152,Produtos!$A$2:$A$71,0)),"")</f>
        <v/>
      </c>
      <c r="P4152" s="21">
        <f>IFERROR(INDEX(Produtos!$D$2:$D$71,MATCH(C4152,Produtos!$A$2:$A$71,0)),0)</f>
        <v/>
      </c>
      <c r="Q4152" s="21">
        <f>IFERROR(INDEX(Produtos!$E$2:$E$71,MATCH(C4152,Produtos!$A$2:$A$71,0)),0)</f>
        <v/>
      </c>
      <c r="R4152" s="23">
        <f>D4152*Q4152</f>
        <v/>
      </c>
      <c r="S4152" s="23">
        <f>R4152*E4152</f>
        <v/>
      </c>
      <c r="T4152" s="23">
        <f>(R4152-S4152)*M4152</f>
        <v/>
      </c>
      <c r="U4152" s="23">
        <f>R4152-S4152-T4152</f>
        <v/>
      </c>
      <c r="V4152" s="23">
        <f>D4152*P4152</f>
        <v/>
      </c>
      <c r="W4152" s="23">
        <f>U4152-V4152</f>
        <v/>
      </c>
      <c r="X4152" s="24">
        <f>IFERROR(W4152/U4152,0)</f>
        <v/>
      </c>
    </row>
    <row r="4153">
      <c r="A4153" s="25">
        <f>ItensPedido!A4153</f>
        <v/>
      </c>
      <c r="B4153" s="25">
        <f>ItensPedido!B4153</f>
        <v/>
      </c>
      <c r="C4153" s="25">
        <f>ItensPedido!C4153</f>
        <v/>
      </c>
      <c r="D4153" s="25">
        <f>ItensPedido!D4153</f>
        <v/>
      </c>
      <c r="E4153" s="26">
        <f>ItensPedido!E4153</f>
        <v/>
      </c>
      <c r="F4153" s="25">
        <f>IFERROR(INDEX(Pedidos!$B$2:$B$1801,MATCH(B4153,Pedidos!$A$2:$A$1801,0)),0)</f>
        <v/>
      </c>
      <c r="G4153" s="25">
        <f>IF(F4153=0,"",YEAR(F4153))</f>
        <v/>
      </c>
      <c r="H4153" s="25">
        <f>IF(F4153=0,"",MONTH(F4153))</f>
        <v/>
      </c>
      <c r="I4153" s="25">
        <f>IFERROR(INDEX(Pedidos!$E$2:$E$1801,MATCH(B4153,Pedidos!$A$2:$A$1801,0)),"")</f>
        <v/>
      </c>
      <c r="J4153" s="25">
        <f>IFERROR(INDEX(Pedidos!$C$2:$C$1801,MATCH(B4153,Pedidos!$A$2:$A$1801,0)),"")</f>
        <v/>
      </c>
      <c r="K4153" s="25">
        <f>IFERROR(INDEX(Pedidos!$D$2:$D$1801,MATCH(B4153,Pedidos!$A$2:$A$1801,0)),"")</f>
        <v/>
      </c>
      <c r="L4153" s="25">
        <f>IFERROR(INDEX(Pedidos!$F$2:$F$1801,MATCH(B4153,Pedidos!$A$2:$A$1801,0)),"")</f>
        <v/>
      </c>
      <c r="M4153" s="26">
        <f>IFERROR(INDEX(Pedidos!$G$2:$G$1801,MATCH(B4153,Pedidos!$A$2:$A$1801,0)),0)</f>
        <v/>
      </c>
      <c r="N4153" s="25">
        <f>IFERROR(INDEX(Produtos!$B$2:$B$71,MATCH(C4153,Produtos!$A$2:$A$71,0)),"")</f>
        <v/>
      </c>
      <c r="O4153" s="25">
        <f>IFERROR(INDEX(Produtos!$C$2:$C$71,MATCH(C4153,Produtos!$A$2:$A$71,0)),"")</f>
        <v/>
      </c>
      <c r="P4153" s="25">
        <f>IFERROR(INDEX(Produtos!$D$2:$D$71,MATCH(C4153,Produtos!$A$2:$A$71,0)),0)</f>
        <v/>
      </c>
      <c r="Q4153" s="25">
        <f>IFERROR(INDEX(Produtos!$E$2:$E$71,MATCH(C4153,Produtos!$A$2:$A$71,0)),0)</f>
        <v/>
      </c>
      <c r="R4153" s="27">
        <f>D4153*Q4153</f>
        <v/>
      </c>
      <c r="S4153" s="27">
        <f>R4153*E4153</f>
        <v/>
      </c>
      <c r="T4153" s="27">
        <f>(R4153-S4153)*M4153</f>
        <v/>
      </c>
      <c r="U4153" s="27">
        <f>R4153-S4153-T4153</f>
        <v/>
      </c>
      <c r="V4153" s="27">
        <f>D4153*P4153</f>
        <v/>
      </c>
      <c r="W4153" s="27">
        <f>U4153-V4153</f>
        <v/>
      </c>
      <c r="X4153" s="28">
        <f>IFERROR(W4153/U4153,0)</f>
        <v/>
      </c>
    </row>
    <row r="4154">
      <c r="A4154" s="21">
        <f>ItensPedido!A4154</f>
        <v/>
      </c>
      <c r="B4154" s="21">
        <f>ItensPedido!B4154</f>
        <v/>
      </c>
      <c r="C4154" s="21">
        <f>ItensPedido!C4154</f>
        <v/>
      </c>
      <c r="D4154" s="21">
        <f>ItensPedido!D4154</f>
        <v/>
      </c>
      <c r="E4154" s="22">
        <f>ItensPedido!E4154</f>
        <v/>
      </c>
      <c r="F4154" s="21">
        <f>IFERROR(INDEX(Pedidos!$B$2:$B$1801,MATCH(B4154,Pedidos!$A$2:$A$1801,0)),0)</f>
        <v/>
      </c>
      <c r="G4154" s="21">
        <f>IF(F4154=0,"",YEAR(F4154))</f>
        <v/>
      </c>
      <c r="H4154" s="21">
        <f>IF(F4154=0,"",MONTH(F4154))</f>
        <v/>
      </c>
      <c r="I4154" s="21">
        <f>IFERROR(INDEX(Pedidos!$E$2:$E$1801,MATCH(B4154,Pedidos!$A$2:$A$1801,0)),"")</f>
        <v/>
      </c>
      <c r="J4154" s="21">
        <f>IFERROR(INDEX(Pedidos!$C$2:$C$1801,MATCH(B4154,Pedidos!$A$2:$A$1801,0)),"")</f>
        <v/>
      </c>
      <c r="K4154" s="21">
        <f>IFERROR(INDEX(Pedidos!$D$2:$D$1801,MATCH(B4154,Pedidos!$A$2:$A$1801,0)),"")</f>
        <v/>
      </c>
      <c r="L4154" s="21">
        <f>IFERROR(INDEX(Pedidos!$F$2:$F$1801,MATCH(B4154,Pedidos!$A$2:$A$1801,0)),"")</f>
        <v/>
      </c>
      <c r="M4154" s="22">
        <f>IFERROR(INDEX(Pedidos!$G$2:$G$1801,MATCH(B4154,Pedidos!$A$2:$A$1801,0)),0)</f>
        <v/>
      </c>
      <c r="N4154" s="21">
        <f>IFERROR(INDEX(Produtos!$B$2:$B$71,MATCH(C4154,Produtos!$A$2:$A$71,0)),"")</f>
        <v/>
      </c>
      <c r="O4154" s="21">
        <f>IFERROR(INDEX(Produtos!$C$2:$C$71,MATCH(C4154,Produtos!$A$2:$A$71,0)),"")</f>
        <v/>
      </c>
      <c r="P4154" s="21">
        <f>IFERROR(INDEX(Produtos!$D$2:$D$71,MATCH(C4154,Produtos!$A$2:$A$71,0)),0)</f>
        <v/>
      </c>
      <c r="Q4154" s="21">
        <f>IFERROR(INDEX(Produtos!$E$2:$E$71,MATCH(C4154,Produtos!$A$2:$A$71,0)),0)</f>
        <v/>
      </c>
      <c r="R4154" s="23">
        <f>D4154*Q4154</f>
        <v/>
      </c>
      <c r="S4154" s="23">
        <f>R4154*E4154</f>
        <v/>
      </c>
      <c r="T4154" s="23">
        <f>(R4154-S4154)*M4154</f>
        <v/>
      </c>
      <c r="U4154" s="23">
        <f>R4154-S4154-T4154</f>
        <v/>
      </c>
      <c r="V4154" s="23">
        <f>D4154*P4154</f>
        <v/>
      </c>
      <c r="W4154" s="23">
        <f>U4154-V4154</f>
        <v/>
      </c>
      <c r="X4154" s="24">
        <f>IFERROR(W4154/U4154,0)</f>
        <v/>
      </c>
    </row>
    <row r="4155">
      <c r="A4155" s="25">
        <f>ItensPedido!A4155</f>
        <v/>
      </c>
      <c r="B4155" s="25">
        <f>ItensPedido!B4155</f>
        <v/>
      </c>
      <c r="C4155" s="25">
        <f>ItensPedido!C4155</f>
        <v/>
      </c>
      <c r="D4155" s="25">
        <f>ItensPedido!D4155</f>
        <v/>
      </c>
      <c r="E4155" s="26">
        <f>ItensPedido!E4155</f>
        <v/>
      </c>
      <c r="F4155" s="25">
        <f>IFERROR(INDEX(Pedidos!$B$2:$B$1801,MATCH(B4155,Pedidos!$A$2:$A$1801,0)),0)</f>
        <v/>
      </c>
      <c r="G4155" s="25">
        <f>IF(F4155=0,"",YEAR(F4155))</f>
        <v/>
      </c>
      <c r="H4155" s="25">
        <f>IF(F4155=0,"",MONTH(F4155))</f>
        <v/>
      </c>
      <c r="I4155" s="25">
        <f>IFERROR(INDEX(Pedidos!$E$2:$E$1801,MATCH(B4155,Pedidos!$A$2:$A$1801,0)),"")</f>
        <v/>
      </c>
      <c r="J4155" s="25">
        <f>IFERROR(INDEX(Pedidos!$C$2:$C$1801,MATCH(B4155,Pedidos!$A$2:$A$1801,0)),"")</f>
        <v/>
      </c>
      <c r="K4155" s="25">
        <f>IFERROR(INDEX(Pedidos!$D$2:$D$1801,MATCH(B4155,Pedidos!$A$2:$A$1801,0)),"")</f>
        <v/>
      </c>
      <c r="L4155" s="25">
        <f>IFERROR(INDEX(Pedidos!$F$2:$F$1801,MATCH(B4155,Pedidos!$A$2:$A$1801,0)),"")</f>
        <v/>
      </c>
      <c r="M4155" s="26">
        <f>IFERROR(INDEX(Pedidos!$G$2:$G$1801,MATCH(B4155,Pedidos!$A$2:$A$1801,0)),0)</f>
        <v/>
      </c>
      <c r="N4155" s="25">
        <f>IFERROR(INDEX(Produtos!$B$2:$B$71,MATCH(C4155,Produtos!$A$2:$A$71,0)),"")</f>
        <v/>
      </c>
      <c r="O4155" s="25">
        <f>IFERROR(INDEX(Produtos!$C$2:$C$71,MATCH(C4155,Produtos!$A$2:$A$71,0)),"")</f>
        <v/>
      </c>
      <c r="P4155" s="25">
        <f>IFERROR(INDEX(Produtos!$D$2:$D$71,MATCH(C4155,Produtos!$A$2:$A$71,0)),0)</f>
        <v/>
      </c>
      <c r="Q4155" s="25">
        <f>IFERROR(INDEX(Produtos!$E$2:$E$71,MATCH(C4155,Produtos!$A$2:$A$71,0)),0)</f>
        <v/>
      </c>
      <c r="R4155" s="27">
        <f>D4155*Q4155</f>
        <v/>
      </c>
      <c r="S4155" s="27">
        <f>R4155*E4155</f>
        <v/>
      </c>
      <c r="T4155" s="27">
        <f>(R4155-S4155)*M4155</f>
        <v/>
      </c>
      <c r="U4155" s="27">
        <f>R4155-S4155-T4155</f>
        <v/>
      </c>
      <c r="V4155" s="27">
        <f>D4155*P4155</f>
        <v/>
      </c>
      <c r="W4155" s="27">
        <f>U4155-V4155</f>
        <v/>
      </c>
      <c r="X4155" s="28">
        <f>IFERROR(W4155/U4155,0)</f>
        <v/>
      </c>
    </row>
    <row r="4156">
      <c r="A4156" s="21">
        <f>ItensPedido!A4156</f>
        <v/>
      </c>
      <c r="B4156" s="21">
        <f>ItensPedido!B4156</f>
        <v/>
      </c>
      <c r="C4156" s="21">
        <f>ItensPedido!C4156</f>
        <v/>
      </c>
      <c r="D4156" s="21">
        <f>ItensPedido!D4156</f>
        <v/>
      </c>
      <c r="E4156" s="22">
        <f>ItensPedido!E4156</f>
        <v/>
      </c>
      <c r="F4156" s="21">
        <f>IFERROR(INDEX(Pedidos!$B$2:$B$1801,MATCH(B4156,Pedidos!$A$2:$A$1801,0)),0)</f>
        <v/>
      </c>
      <c r="G4156" s="21">
        <f>IF(F4156=0,"",YEAR(F4156))</f>
        <v/>
      </c>
      <c r="H4156" s="21">
        <f>IF(F4156=0,"",MONTH(F4156))</f>
        <v/>
      </c>
      <c r="I4156" s="21">
        <f>IFERROR(INDEX(Pedidos!$E$2:$E$1801,MATCH(B4156,Pedidos!$A$2:$A$1801,0)),"")</f>
        <v/>
      </c>
      <c r="J4156" s="21">
        <f>IFERROR(INDEX(Pedidos!$C$2:$C$1801,MATCH(B4156,Pedidos!$A$2:$A$1801,0)),"")</f>
        <v/>
      </c>
      <c r="K4156" s="21">
        <f>IFERROR(INDEX(Pedidos!$D$2:$D$1801,MATCH(B4156,Pedidos!$A$2:$A$1801,0)),"")</f>
        <v/>
      </c>
      <c r="L4156" s="21">
        <f>IFERROR(INDEX(Pedidos!$F$2:$F$1801,MATCH(B4156,Pedidos!$A$2:$A$1801,0)),"")</f>
        <v/>
      </c>
      <c r="M4156" s="22">
        <f>IFERROR(INDEX(Pedidos!$G$2:$G$1801,MATCH(B4156,Pedidos!$A$2:$A$1801,0)),0)</f>
        <v/>
      </c>
      <c r="N4156" s="21">
        <f>IFERROR(INDEX(Produtos!$B$2:$B$71,MATCH(C4156,Produtos!$A$2:$A$71,0)),"")</f>
        <v/>
      </c>
      <c r="O4156" s="21">
        <f>IFERROR(INDEX(Produtos!$C$2:$C$71,MATCH(C4156,Produtos!$A$2:$A$71,0)),"")</f>
        <v/>
      </c>
      <c r="P4156" s="21">
        <f>IFERROR(INDEX(Produtos!$D$2:$D$71,MATCH(C4156,Produtos!$A$2:$A$71,0)),0)</f>
        <v/>
      </c>
      <c r="Q4156" s="21">
        <f>IFERROR(INDEX(Produtos!$E$2:$E$71,MATCH(C4156,Produtos!$A$2:$A$71,0)),0)</f>
        <v/>
      </c>
      <c r="R4156" s="23">
        <f>D4156*Q4156</f>
        <v/>
      </c>
      <c r="S4156" s="23">
        <f>R4156*E4156</f>
        <v/>
      </c>
      <c r="T4156" s="23">
        <f>(R4156-S4156)*M4156</f>
        <v/>
      </c>
      <c r="U4156" s="23">
        <f>R4156-S4156-T4156</f>
        <v/>
      </c>
      <c r="V4156" s="23">
        <f>D4156*P4156</f>
        <v/>
      </c>
      <c r="W4156" s="23">
        <f>U4156-V4156</f>
        <v/>
      </c>
      <c r="X4156" s="24">
        <f>IFERROR(W4156/U4156,0)</f>
        <v/>
      </c>
    </row>
    <row r="4157">
      <c r="A4157" s="25">
        <f>ItensPedido!A4157</f>
        <v/>
      </c>
      <c r="B4157" s="25">
        <f>ItensPedido!B4157</f>
        <v/>
      </c>
      <c r="C4157" s="25">
        <f>ItensPedido!C4157</f>
        <v/>
      </c>
      <c r="D4157" s="25">
        <f>ItensPedido!D4157</f>
        <v/>
      </c>
      <c r="E4157" s="26">
        <f>ItensPedido!E4157</f>
        <v/>
      </c>
      <c r="F4157" s="25">
        <f>IFERROR(INDEX(Pedidos!$B$2:$B$1801,MATCH(B4157,Pedidos!$A$2:$A$1801,0)),0)</f>
        <v/>
      </c>
      <c r="G4157" s="25">
        <f>IF(F4157=0,"",YEAR(F4157))</f>
        <v/>
      </c>
      <c r="H4157" s="25">
        <f>IF(F4157=0,"",MONTH(F4157))</f>
        <v/>
      </c>
      <c r="I4157" s="25">
        <f>IFERROR(INDEX(Pedidos!$E$2:$E$1801,MATCH(B4157,Pedidos!$A$2:$A$1801,0)),"")</f>
        <v/>
      </c>
      <c r="J4157" s="25">
        <f>IFERROR(INDEX(Pedidos!$C$2:$C$1801,MATCH(B4157,Pedidos!$A$2:$A$1801,0)),"")</f>
        <v/>
      </c>
      <c r="K4157" s="25">
        <f>IFERROR(INDEX(Pedidos!$D$2:$D$1801,MATCH(B4157,Pedidos!$A$2:$A$1801,0)),"")</f>
        <v/>
      </c>
      <c r="L4157" s="25">
        <f>IFERROR(INDEX(Pedidos!$F$2:$F$1801,MATCH(B4157,Pedidos!$A$2:$A$1801,0)),"")</f>
        <v/>
      </c>
      <c r="M4157" s="26">
        <f>IFERROR(INDEX(Pedidos!$G$2:$G$1801,MATCH(B4157,Pedidos!$A$2:$A$1801,0)),0)</f>
        <v/>
      </c>
      <c r="N4157" s="25">
        <f>IFERROR(INDEX(Produtos!$B$2:$B$71,MATCH(C4157,Produtos!$A$2:$A$71,0)),"")</f>
        <v/>
      </c>
      <c r="O4157" s="25">
        <f>IFERROR(INDEX(Produtos!$C$2:$C$71,MATCH(C4157,Produtos!$A$2:$A$71,0)),"")</f>
        <v/>
      </c>
      <c r="P4157" s="25">
        <f>IFERROR(INDEX(Produtos!$D$2:$D$71,MATCH(C4157,Produtos!$A$2:$A$71,0)),0)</f>
        <v/>
      </c>
      <c r="Q4157" s="25">
        <f>IFERROR(INDEX(Produtos!$E$2:$E$71,MATCH(C4157,Produtos!$A$2:$A$71,0)),0)</f>
        <v/>
      </c>
      <c r="R4157" s="27">
        <f>D4157*Q4157</f>
        <v/>
      </c>
      <c r="S4157" s="27">
        <f>R4157*E4157</f>
        <v/>
      </c>
      <c r="T4157" s="27">
        <f>(R4157-S4157)*M4157</f>
        <v/>
      </c>
      <c r="U4157" s="27">
        <f>R4157-S4157-T4157</f>
        <v/>
      </c>
      <c r="V4157" s="27">
        <f>D4157*P4157</f>
        <v/>
      </c>
      <c r="W4157" s="27">
        <f>U4157-V4157</f>
        <v/>
      </c>
      <c r="X4157" s="28">
        <f>IFERROR(W4157/U4157,0)</f>
        <v/>
      </c>
    </row>
    <row r="4158">
      <c r="A4158" s="21">
        <f>ItensPedido!A4158</f>
        <v/>
      </c>
      <c r="B4158" s="21">
        <f>ItensPedido!B4158</f>
        <v/>
      </c>
      <c r="C4158" s="21">
        <f>ItensPedido!C4158</f>
        <v/>
      </c>
      <c r="D4158" s="21">
        <f>ItensPedido!D4158</f>
        <v/>
      </c>
      <c r="E4158" s="22">
        <f>ItensPedido!E4158</f>
        <v/>
      </c>
      <c r="F4158" s="21">
        <f>IFERROR(INDEX(Pedidos!$B$2:$B$1801,MATCH(B4158,Pedidos!$A$2:$A$1801,0)),0)</f>
        <v/>
      </c>
      <c r="G4158" s="21">
        <f>IF(F4158=0,"",YEAR(F4158))</f>
        <v/>
      </c>
      <c r="H4158" s="21">
        <f>IF(F4158=0,"",MONTH(F4158))</f>
        <v/>
      </c>
      <c r="I4158" s="21">
        <f>IFERROR(INDEX(Pedidos!$E$2:$E$1801,MATCH(B4158,Pedidos!$A$2:$A$1801,0)),"")</f>
        <v/>
      </c>
      <c r="J4158" s="21">
        <f>IFERROR(INDEX(Pedidos!$C$2:$C$1801,MATCH(B4158,Pedidos!$A$2:$A$1801,0)),"")</f>
        <v/>
      </c>
      <c r="K4158" s="21">
        <f>IFERROR(INDEX(Pedidos!$D$2:$D$1801,MATCH(B4158,Pedidos!$A$2:$A$1801,0)),"")</f>
        <v/>
      </c>
      <c r="L4158" s="21">
        <f>IFERROR(INDEX(Pedidos!$F$2:$F$1801,MATCH(B4158,Pedidos!$A$2:$A$1801,0)),"")</f>
        <v/>
      </c>
      <c r="M4158" s="22">
        <f>IFERROR(INDEX(Pedidos!$G$2:$G$1801,MATCH(B4158,Pedidos!$A$2:$A$1801,0)),0)</f>
        <v/>
      </c>
      <c r="N4158" s="21">
        <f>IFERROR(INDEX(Produtos!$B$2:$B$71,MATCH(C4158,Produtos!$A$2:$A$71,0)),"")</f>
        <v/>
      </c>
      <c r="O4158" s="21">
        <f>IFERROR(INDEX(Produtos!$C$2:$C$71,MATCH(C4158,Produtos!$A$2:$A$71,0)),"")</f>
        <v/>
      </c>
      <c r="P4158" s="21">
        <f>IFERROR(INDEX(Produtos!$D$2:$D$71,MATCH(C4158,Produtos!$A$2:$A$71,0)),0)</f>
        <v/>
      </c>
      <c r="Q4158" s="21">
        <f>IFERROR(INDEX(Produtos!$E$2:$E$71,MATCH(C4158,Produtos!$A$2:$A$71,0)),0)</f>
        <v/>
      </c>
      <c r="R4158" s="23">
        <f>D4158*Q4158</f>
        <v/>
      </c>
      <c r="S4158" s="23">
        <f>R4158*E4158</f>
        <v/>
      </c>
      <c r="T4158" s="23">
        <f>(R4158-S4158)*M4158</f>
        <v/>
      </c>
      <c r="U4158" s="23">
        <f>R4158-S4158-T4158</f>
        <v/>
      </c>
      <c r="V4158" s="23">
        <f>D4158*P4158</f>
        <v/>
      </c>
      <c r="W4158" s="23">
        <f>U4158-V4158</f>
        <v/>
      </c>
      <c r="X4158" s="24">
        <f>IFERROR(W4158/U4158,0)</f>
        <v/>
      </c>
    </row>
    <row r="4159">
      <c r="A4159" s="25">
        <f>ItensPedido!A4159</f>
        <v/>
      </c>
      <c r="B4159" s="25">
        <f>ItensPedido!B4159</f>
        <v/>
      </c>
      <c r="C4159" s="25">
        <f>ItensPedido!C4159</f>
        <v/>
      </c>
      <c r="D4159" s="25">
        <f>ItensPedido!D4159</f>
        <v/>
      </c>
      <c r="E4159" s="26">
        <f>ItensPedido!E4159</f>
        <v/>
      </c>
      <c r="F4159" s="25">
        <f>IFERROR(INDEX(Pedidos!$B$2:$B$1801,MATCH(B4159,Pedidos!$A$2:$A$1801,0)),0)</f>
        <v/>
      </c>
      <c r="G4159" s="25">
        <f>IF(F4159=0,"",YEAR(F4159))</f>
        <v/>
      </c>
      <c r="H4159" s="25">
        <f>IF(F4159=0,"",MONTH(F4159))</f>
        <v/>
      </c>
      <c r="I4159" s="25">
        <f>IFERROR(INDEX(Pedidos!$E$2:$E$1801,MATCH(B4159,Pedidos!$A$2:$A$1801,0)),"")</f>
        <v/>
      </c>
      <c r="J4159" s="25">
        <f>IFERROR(INDEX(Pedidos!$C$2:$C$1801,MATCH(B4159,Pedidos!$A$2:$A$1801,0)),"")</f>
        <v/>
      </c>
      <c r="K4159" s="25">
        <f>IFERROR(INDEX(Pedidos!$D$2:$D$1801,MATCH(B4159,Pedidos!$A$2:$A$1801,0)),"")</f>
        <v/>
      </c>
      <c r="L4159" s="25">
        <f>IFERROR(INDEX(Pedidos!$F$2:$F$1801,MATCH(B4159,Pedidos!$A$2:$A$1801,0)),"")</f>
        <v/>
      </c>
      <c r="M4159" s="26">
        <f>IFERROR(INDEX(Pedidos!$G$2:$G$1801,MATCH(B4159,Pedidos!$A$2:$A$1801,0)),0)</f>
        <v/>
      </c>
      <c r="N4159" s="25">
        <f>IFERROR(INDEX(Produtos!$B$2:$B$71,MATCH(C4159,Produtos!$A$2:$A$71,0)),"")</f>
        <v/>
      </c>
      <c r="O4159" s="25">
        <f>IFERROR(INDEX(Produtos!$C$2:$C$71,MATCH(C4159,Produtos!$A$2:$A$71,0)),"")</f>
        <v/>
      </c>
      <c r="P4159" s="25">
        <f>IFERROR(INDEX(Produtos!$D$2:$D$71,MATCH(C4159,Produtos!$A$2:$A$71,0)),0)</f>
        <v/>
      </c>
      <c r="Q4159" s="25">
        <f>IFERROR(INDEX(Produtos!$E$2:$E$71,MATCH(C4159,Produtos!$A$2:$A$71,0)),0)</f>
        <v/>
      </c>
      <c r="R4159" s="27">
        <f>D4159*Q4159</f>
        <v/>
      </c>
      <c r="S4159" s="27">
        <f>R4159*E4159</f>
        <v/>
      </c>
      <c r="T4159" s="27">
        <f>(R4159-S4159)*M4159</f>
        <v/>
      </c>
      <c r="U4159" s="27">
        <f>R4159-S4159-T4159</f>
        <v/>
      </c>
      <c r="V4159" s="27">
        <f>D4159*P4159</f>
        <v/>
      </c>
      <c r="W4159" s="27">
        <f>U4159-V4159</f>
        <v/>
      </c>
      <c r="X4159" s="28">
        <f>IFERROR(W4159/U4159,0)</f>
        <v/>
      </c>
    </row>
    <row r="4160">
      <c r="A4160" s="21">
        <f>ItensPedido!A4160</f>
        <v/>
      </c>
      <c r="B4160" s="21">
        <f>ItensPedido!B4160</f>
        <v/>
      </c>
      <c r="C4160" s="21">
        <f>ItensPedido!C4160</f>
        <v/>
      </c>
      <c r="D4160" s="21">
        <f>ItensPedido!D4160</f>
        <v/>
      </c>
      <c r="E4160" s="22">
        <f>ItensPedido!E4160</f>
        <v/>
      </c>
      <c r="F4160" s="21">
        <f>IFERROR(INDEX(Pedidos!$B$2:$B$1801,MATCH(B4160,Pedidos!$A$2:$A$1801,0)),0)</f>
        <v/>
      </c>
      <c r="G4160" s="21">
        <f>IF(F4160=0,"",YEAR(F4160))</f>
        <v/>
      </c>
      <c r="H4160" s="21">
        <f>IF(F4160=0,"",MONTH(F4160))</f>
        <v/>
      </c>
      <c r="I4160" s="21">
        <f>IFERROR(INDEX(Pedidos!$E$2:$E$1801,MATCH(B4160,Pedidos!$A$2:$A$1801,0)),"")</f>
        <v/>
      </c>
      <c r="J4160" s="21">
        <f>IFERROR(INDEX(Pedidos!$C$2:$C$1801,MATCH(B4160,Pedidos!$A$2:$A$1801,0)),"")</f>
        <v/>
      </c>
      <c r="K4160" s="21">
        <f>IFERROR(INDEX(Pedidos!$D$2:$D$1801,MATCH(B4160,Pedidos!$A$2:$A$1801,0)),"")</f>
        <v/>
      </c>
      <c r="L4160" s="21">
        <f>IFERROR(INDEX(Pedidos!$F$2:$F$1801,MATCH(B4160,Pedidos!$A$2:$A$1801,0)),"")</f>
        <v/>
      </c>
      <c r="M4160" s="22">
        <f>IFERROR(INDEX(Pedidos!$G$2:$G$1801,MATCH(B4160,Pedidos!$A$2:$A$1801,0)),0)</f>
        <v/>
      </c>
      <c r="N4160" s="21">
        <f>IFERROR(INDEX(Produtos!$B$2:$B$71,MATCH(C4160,Produtos!$A$2:$A$71,0)),"")</f>
        <v/>
      </c>
      <c r="O4160" s="21">
        <f>IFERROR(INDEX(Produtos!$C$2:$C$71,MATCH(C4160,Produtos!$A$2:$A$71,0)),"")</f>
        <v/>
      </c>
      <c r="P4160" s="21">
        <f>IFERROR(INDEX(Produtos!$D$2:$D$71,MATCH(C4160,Produtos!$A$2:$A$71,0)),0)</f>
        <v/>
      </c>
      <c r="Q4160" s="21">
        <f>IFERROR(INDEX(Produtos!$E$2:$E$71,MATCH(C4160,Produtos!$A$2:$A$71,0)),0)</f>
        <v/>
      </c>
      <c r="R4160" s="23">
        <f>D4160*Q4160</f>
        <v/>
      </c>
      <c r="S4160" s="23">
        <f>R4160*E4160</f>
        <v/>
      </c>
      <c r="T4160" s="23">
        <f>(R4160-S4160)*M4160</f>
        <v/>
      </c>
      <c r="U4160" s="23">
        <f>R4160-S4160-T4160</f>
        <v/>
      </c>
      <c r="V4160" s="23">
        <f>D4160*P4160</f>
        <v/>
      </c>
      <c r="W4160" s="23">
        <f>U4160-V4160</f>
        <v/>
      </c>
      <c r="X4160" s="24">
        <f>IFERROR(W4160/U4160,0)</f>
        <v/>
      </c>
    </row>
    <row r="4161">
      <c r="A4161" s="25">
        <f>ItensPedido!A4161</f>
        <v/>
      </c>
      <c r="B4161" s="25">
        <f>ItensPedido!B4161</f>
        <v/>
      </c>
      <c r="C4161" s="25">
        <f>ItensPedido!C4161</f>
        <v/>
      </c>
      <c r="D4161" s="25">
        <f>ItensPedido!D4161</f>
        <v/>
      </c>
      <c r="E4161" s="26">
        <f>ItensPedido!E4161</f>
        <v/>
      </c>
      <c r="F4161" s="25">
        <f>IFERROR(INDEX(Pedidos!$B$2:$B$1801,MATCH(B4161,Pedidos!$A$2:$A$1801,0)),0)</f>
        <v/>
      </c>
      <c r="G4161" s="25">
        <f>IF(F4161=0,"",YEAR(F4161))</f>
        <v/>
      </c>
      <c r="H4161" s="25">
        <f>IF(F4161=0,"",MONTH(F4161))</f>
        <v/>
      </c>
      <c r="I4161" s="25">
        <f>IFERROR(INDEX(Pedidos!$E$2:$E$1801,MATCH(B4161,Pedidos!$A$2:$A$1801,0)),"")</f>
        <v/>
      </c>
      <c r="J4161" s="25">
        <f>IFERROR(INDEX(Pedidos!$C$2:$C$1801,MATCH(B4161,Pedidos!$A$2:$A$1801,0)),"")</f>
        <v/>
      </c>
      <c r="K4161" s="25">
        <f>IFERROR(INDEX(Pedidos!$D$2:$D$1801,MATCH(B4161,Pedidos!$A$2:$A$1801,0)),"")</f>
        <v/>
      </c>
      <c r="L4161" s="25">
        <f>IFERROR(INDEX(Pedidos!$F$2:$F$1801,MATCH(B4161,Pedidos!$A$2:$A$1801,0)),"")</f>
        <v/>
      </c>
      <c r="M4161" s="26">
        <f>IFERROR(INDEX(Pedidos!$G$2:$G$1801,MATCH(B4161,Pedidos!$A$2:$A$1801,0)),0)</f>
        <v/>
      </c>
      <c r="N4161" s="25">
        <f>IFERROR(INDEX(Produtos!$B$2:$B$71,MATCH(C4161,Produtos!$A$2:$A$71,0)),"")</f>
        <v/>
      </c>
      <c r="O4161" s="25">
        <f>IFERROR(INDEX(Produtos!$C$2:$C$71,MATCH(C4161,Produtos!$A$2:$A$71,0)),"")</f>
        <v/>
      </c>
      <c r="P4161" s="25">
        <f>IFERROR(INDEX(Produtos!$D$2:$D$71,MATCH(C4161,Produtos!$A$2:$A$71,0)),0)</f>
        <v/>
      </c>
      <c r="Q4161" s="25">
        <f>IFERROR(INDEX(Produtos!$E$2:$E$71,MATCH(C4161,Produtos!$A$2:$A$71,0)),0)</f>
        <v/>
      </c>
      <c r="R4161" s="27">
        <f>D4161*Q4161</f>
        <v/>
      </c>
      <c r="S4161" s="27">
        <f>R4161*E4161</f>
        <v/>
      </c>
      <c r="T4161" s="27">
        <f>(R4161-S4161)*M4161</f>
        <v/>
      </c>
      <c r="U4161" s="27">
        <f>R4161-S4161-T4161</f>
        <v/>
      </c>
      <c r="V4161" s="27">
        <f>D4161*P4161</f>
        <v/>
      </c>
      <c r="W4161" s="27">
        <f>U4161-V4161</f>
        <v/>
      </c>
      <c r="X4161" s="28">
        <f>IFERROR(W4161/U4161,0)</f>
        <v/>
      </c>
    </row>
    <row r="4162">
      <c r="A4162" s="21">
        <f>ItensPedido!A4162</f>
        <v/>
      </c>
      <c r="B4162" s="21">
        <f>ItensPedido!B4162</f>
        <v/>
      </c>
      <c r="C4162" s="21">
        <f>ItensPedido!C4162</f>
        <v/>
      </c>
      <c r="D4162" s="21">
        <f>ItensPedido!D4162</f>
        <v/>
      </c>
      <c r="E4162" s="22">
        <f>ItensPedido!E4162</f>
        <v/>
      </c>
      <c r="F4162" s="21">
        <f>IFERROR(INDEX(Pedidos!$B$2:$B$1801,MATCH(B4162,Pedidos!$A$2:$A$1801,0)),0)</f>
        <v/>
      </c>
      <c r="G4162" s="21">
        <f>IF(F4162=0,"",YEAR(F4162))</f>
        <v/>
      </c>
      <c r="H4162" s="21">
        <f>IF(F4162=0,"",MONTH(F4162))</f>
        <v/>
      </c>
      <c r="I4162" s="21">
        <f>IFERROR(INDEX(Pedidos!$E$2:$E$1801,MATCH(B4162,Pedidos!$A$2:$A$1801,0)),"")</f>
        <v/>
      </c>
      <c r="J4162" s="21">
        <f>IFERROR(INDEX(Pedidos!$C$2:$C$1801,MATCH(B4162,Pedidos!$A$2:$A$1801,0)),"")</f>
        <v/>
      </c>
      <c r="K4162" s="21">
        <f>IFERROR(INDEX(Pedidos!$D$2:$D$1801,MATCH(B4162,Pedidos!$A$2:$A$1801,0)),"")</f>
        <v/>
      </c>
      <c r="L4162" s="21">
        <f>IFERROR(INDEX(Pedidos!$F$2:$F$1801,MATCH(B4162,Pedidos!$A$2:$A$1801,0)),"")</f>
        <v/>
      </c>
      <c r="M4162" s="22">
        <f>IFERROR(INDEX(Pedidos!$G$2:$G$1801,MATCH(B4162,Pedidos!$A$2:$A$1801,0)),0)</f>
        <v/>
      </c>
      <c r="N4162" s="21">
        <f>IFERROR(INDEX(Produtos!$B$2:$B$71,MATCH(C4162,Produtos!$A$2:$A$71,0)),"")</f>
        <v/>
      </c>
      <c r="O4162" s="21">
        <f>IFERROR(INDEX(Produtos!$C$2:$C$71,MATCH(C4162,Produtos!$A$2:$A$71,0)),"")</f>
        <v/>
      </c>
      <c r="P4162" s="21">
        <f>IFERROR(INDEX(Produtos!$D$2:$D$71,MATCH(C4162,Produtos!$A$2:$A$71,0)),0)</f>
        <v/>
      </c>
      <c r="Q4162" s="21">
        <f>IFERROR(INDEX(Produtos!$E$2:$E$71,MATCH(C4162,Produtos!$A$2:$A$71,0)),0)</f>
        <v/>
      </c>
      <c r="R4162" s="23">
        <f>D4162*Q4162</f>
        <v/>
      </c>
      <c r="S4162" s="23">
        <f>R4162*E4162</f>
        <v/>
      </c>
      <c r="T4162" s="23">
        <f>(R4162-S4162)*M4162</f>
        <v/>
      </c>
      <c r="U4162" s="23">
        <f>R4162-S4162-T4162</f>
        <v/>
      </c>
      <c r="V4162" s="23">
        <f>D4162*P4162</f>
        <v/>
      </c>
      <c r="W4162" s="23">
        <f>U4162-V4162</f>
        <v/>
      </c>
      <c r="X4162" s="24">
        <f>IFERROR(W4162/U4162,0)</f>
        <v/>
      </c>
    </row>
    <row r="4163">
      <c r="A4163" s="25">
        <f>ItensPedido!A4163</f>
        <v/>
      </c>
      <c r="B4163" s="25">
        <f>ItensPedido!B4163</f>
        <v/>
      </c>
      <c r="C4163" s="25">
        <f>ItensPedido!C4163</f>
        <v/>
      </c>
      <c r="D4163" s="25">
        <f>ItensPedido!D4163</f>
        <v/>
      </c>
      <c r="E4163" s="26">
        <f>ItensPedido!E4163</f>
        <v/>
      </c>
      <c r="F4163" s="25">
        <f>IFERROR(INDEX(Pedidos!$B$2:$B$1801,MATCH(B4163,Pedidos!$A$2:$A$1801,0)),0)</f>
        <v/>
      </c>
      <c r="G4163" s="25">
        <f>IF(F4163=0,"",YEAR(F4163))</f>
        <v/>
      </c>
      <c r="H4163" s="25">
        <f>IF(F4163=0,"",MONTH(F4163))</f>
        <v/>
      </c>
      <c r="I4163" s="25">
        <f>IFERROR(INDEX(Pedidos!$E$2:$E$1801,MATCH(B4163,Pedidos!$A$2:$A$1801,0)),"")</f>
        <v/>
      </c>
      <c r="J4163" s="25">
        <f>IFERROR(INDEX(Pedidos!$C$2:$C$1801,MATCH(B4163,Pedidos!$A$2:$A$1801,0)),"")</f>
        <v/>
      </c>
      <c r="K4163" s="25">
        <f>IFERROR(INDEX(Pedidos!$D$2:$D$1801,MATCH(B4163,Pedidos!$A$2:$A$1801,0)),"")</f>
        <v/>
      </c>
      <c r="L4163" s="25">
        <f>IFERROR(INDEX(Pedidos!$F$2:$F$1801,MATCH(B4163,Pedidos!$A$2:$A$1801,0)),"")</f>
        <v/>
      </c>
      <c r="M4163" s="26">
        <f>IFERROR(INDEX(Pedidos!$G$2:$G$1801,MATCH(B4163,Pedidos!$A$2:$A$1801,0)),0)</f>
        <v/>
      </c>
      <c r="N4163" s="25">
        <f>IFERROR(INDEX(Produtos!$B$2:$B$71,MATCH(C4163,Produtos!$A$2:$A$71,0)),"")</f>
        <v/>
      </c>
      <c r="O4163" s="25">
        <f>IFERROR(INDEX(Produtos!$C$2:$C$71,MATCH(C4163,Produtos!$A$2:$A$71,0)),"")</f>
        <v/>
      </c>
      <c r="P4163" s="25">
        <f>IFERROR(INDEX(Produtos!$D$2:$D$71,MATCH(C4163,Produtos!$A$2:$A$71,0)),0)</f>
        <v/>
      </c>
      <c r="Q4163" s="25">
        <f>IFERROR(INDEX(Produtos!$E$2:$E$71,MATCH(C4163,Produtos!$A$2:$A$71,0)),0)</f>
        <v/>
      </c>
      <c r="R4163" s="27">
        <f>D4163*Q4163</f>
        <v/>
      </c>
      <c r="S4163" s="27">
        <f>R4163*E4163</f>
        <v/>
      </c>
      <c r="T4163" s="27">
        <f>(R4163-S4163)*M4163</f>
        <v/>
      </c>
      <c r="U4163" s="27">
        <f>R4163-S4163-T4163</f>
        <v/>
      </c>
      <c r="V4163" s="27">
        <f>D4163*P4163</f>
        <v/>
      </c>
      <c r="W4163" s="27">
        <f>U4163-V4163</f>
        <v/>
      </c>
      <c r="X4163" s="28">
        <f>IFERROR(W4163/U4163,0)</f>
        <v/>
      </c>
    </row>
    <row r="4164">
      <c r="A4164" s="21">
        <f>ItensPedido!A4164</f>
        <v/>
      </c>
      <c r="B4164" s="21">
        <f>ItensPedido!B4164</f>
        <v/>
      </c>
      <c r="C4164" s="21">
        <f>ItensPedido!C4164</f>
        <v/>
      </c>
      <c r="D4164" s="21">
        <f>ItensPedido!D4164</f>
        <v/>
      </c>
      <c r="E4164" s="22">
        <f>ItensPedido!E4164</f>
        <v/>
      </c>
      <c r="F4164" s="21">
        <f>IFERROR(INDEX(Pedidos!$B$2:$B$1801,MATCH(B4164,Pedidos!$A$2:$A$1801,0)),0)</f>
        <v/>
      </c>
      <c r="G4164" s="21">
        <f>IF(F4164=0,"",YEAR(F4164))</f>
        <v/>
      </c>
      <c r="H4164" s="21">
        <f>IF(F4164=0,"",MONTH(F4164))</f>
        <v/>
      </c>
      <c r="I4164" s="21">
        <f>IFERROR(INDEX(Pedidos!$E$2:$E$1801,MATCH(B4164,Pedidos!$A$2:$A$1801,0)),"")</f>
        <v/>
      </c>
      <c r="J4164" s="21">
        <f>IFERROR(INDEX(Pedidos!$C$2:$C$1801,MATCH(B4164,Pedidos!$A$2:$A$1801,0)),"")</f>
        <v/>
      </c>
      <c r="K4164" s="21">
        <f>IFERROR(INDEX(Pedidos!$D$2:$D$1801,MATCH(B4164,Pedidos!$A$2:$A$1801,0)),"")</f>
        <v/>
      </c>
      <c r="L4164" s="21">
        <f>IFERROR(INDEX(Pedidos!$F$2:$F$1801,MATCH(B4164,Pedidos!$A$2:$A$1801,0)),"")</f>
        <v/>
      </c>
      <c r="M4164" s="22">
        <f>IFERROR(INDEX(Pedidos!$G$2:$G$1801,MATCH(B4164,Pedidos!$A$2:$A$1801,0)),0)</f>
        <v/>
      </c>
      <c r="N4164" s="21">
        <f>IFERROR(INDEX(Produtos!$B$2:$B$71,MATCH(C4164,Produtos!$A$2:$A$71,0)),"")</f>
        <v/>
      </c>
      <c r="O4164" s="21">
        <f>IFERROR(INDEX(Produtos!$C$2:$C$71,MATCH(C4164,Produtos!$A$2:$A$71,0)),"")</f>
        <v/>
      </c>
      <c r="P4164" s="21">
        <f>IFERROR(INDEX(Produtos!$D$2:$D$71,MATCH(C4164,Produtos!$A$2:$A$71,0)),0)</f>
        <v/>
      </c>
      <c r="Q4164" s="21">
        <f>IFERROR(INDEX(Produtos!$E$2:$E$71,MATCH(C4164,Produtos!$A$2:$A$71,0)),0)</f>
        <v/>
      </c>
      <c r="R4164" s="23">
        <f>D4164*Q4164</f>
        <v/>
      </c>
      <c r="S4164" s="23">
        <f>R4164*E4164</f>
        <v/>
      </c>
      <c r="T4164" s="23">
        <f>(R4164-S4164)*M4164</f>
        <v/>
      </c>
      <c r="U4164" s="23">
        <f>R4164-S4164-T4164</f>
        <v/>
      </c>
      <c r="V4164" s="23">
        <f>D4164*P4164</f>
        <v/>
      </c>
      <c r="W4164" s="23">
        <f>U4164-V4164</f>
        <v/>
      </c>
      <c r="X4164" s="24">
        <f>IFERROR(W4164/U4164,0)</f>
        <v/>
      </c>
    </row>
    <row r="4165">
      <c r="A4165" s="25">
        <f>ItensPedido!A4165</f>
        <v/>
      </c>
      <c r="B4165" s="25">
        <f>ItensPedido!B4165</f>
        <v/>
      </c>
      <c r="C4165" s="25">
        <f>ItensPedido!C4165</f>
        <v/>
      </c>
      <c r="D4165" s="25">
        <f>ItensPedido!D4165</f>
        <v/>
      </c>
      <c r="E4165" s="26">
        <f>ItensPedido!E4165</f>
        <v/>
      </c>
      <c r="F4165" s="25">
        <f>IFERROR(INDEX(Pedidos!$B$2:$B$1801,MATCH(B4165,Pedidos!$A$2:$A$1801,0)),0)</f>
        <v/>
      </c>
      <c r="G4165" s="25">
        <f>IF(F4165=0,"",YEAR(F4165))</f>
        <v/>
      </c>
      <c r="H4165" s="25">
        <f>IF(F4165=0,"",MONTH(F4165))</f>
        <v/>
      </c>
      <c r="I4165" s="25">
        <f>IFERROR(INDEX(Pedidos!$E$2:$E$1801,MATCH(B4165,Pedidos!$A$2:$A$1801,0)),"")</f>
        <v/>
      </c>
      <c r="J4165" s="25">
        <f>IFERROR(INDEX(Pedidos!$C$2:$C$1801,MATCH(B4165,Pedidos!$A$2:$A$1801,0)),"")</f>
        <v/>
      </c>
      <c r="K4165" s="25">
        <f>IFERROR(INDEX(Pedidos!$D$2:$D$1801,MATCH(B4165,Pedidos!$A$2:$A$1801,0)),"")</f>
        <v/>
      </c>
      <c r="L4165" s="25">
        <f>IFERROR(INDEX(Pedidos!$F$2:$F$1801,MATCH(B4165,Pedidos!$A$2:$A$1801,0)),"")</f>
        <v/>
      </c>
      <c r="M4165" s="26">
        <f>IFERROR(INDEX(Pedidos!$G$2:$G$1801,MATCH(B4165,Pedidos!$A$2:$A$1801,0)),0)</f>
        <v/>
      </c>
      <c r="N4165" s="25">
        <f>IFERROR(INDEX(Produtos!$B$2:$B$71,MATCH(C4165,Produtos!$A$2:$A$71,0)),"")</f>
        <v/>
      </c>
      <c r="O4165" s="25">
        <f>IFERROR(INDEX(Produtos!$C$2:$C$71,MATCH(C4165,Produtos!$A$2:$A$71,0)),"")</f>
        <v/>
      </c>
      <c r="P4165" s="25">
        <f>IFERROR(INDEX(Produtos!$D$2:$D$71,MATCH(C4165,Produtos!$A$2:$A$71,0)),0)</f>
        <v/>
      </c>
      <c r="Q4165" s="25">
        <f>IFERROR(INDEX(Produtos!$E$2:$E$71,MATCH(C4165,Produtos!$A$2:$A$71,0)),0)</f>
        <v/>
      </c>
      <c r="R4165" s="27">
        <f>D4165*Q4165</f>
        <v/>
      </c>
      <c r="S4165" s="27">
        <f>R4165*E4165</f>
        <v/>
      </c>
      <c r="T4165" s="27">
        <f>(R4165-S4165)*M4165</f>
        <v/>
      </c>
      <c r="U4165" s="27">
        <f>R4165-S4165-T4165</f>
        <v/>
      </c>
      <c r="V4165" s="27">
        <f>D4165*P4165</f>
        <v/>
      </c>
      <c r="W4165" s="27">
        <f>U4165-V4165</f>
        <v/>
      </c>
      <c r="X4165" s="28">
        <f>IFERROR(W4165/U4165,0)</f>
        <v/>
      </c>
    </row>
    <row r="4166">
      <c r="A4166" s="21">
        <f>ItensPedido!A4166</f>
        <v/>
      </c>
      <c r="B4166" s="21">
        <f>ItensPedido!B4166</f>
        <v/>
      </c>
      <c r="C4166" s="21">
        <f>ItensPedido!C4166</f>
        <v/>
      </c>
      <c r="D4166" s="21">
        <f>ItensPedido!D4166</f>
        <v/>
      </c>
      <c r="E4166" s="22">
        <f>ItensPedido!E4166</f>
        <v/>
      </c>
      <c r="F4166" s="21">
        <f>IFERROR(INDEX(Pedidos!$B$2:$B$1801,MATCH(B4166,Pedidos!$A$2:$A$1801,0)),0)</f>
        <v/>
      </c>
      <c r="G4166" s="21">
        <f>IF(F4166=0,"",YEAR(F4166))</f>
        <v/>
      </c>
      <c r="H4166" s="21">
        <f>IF(F4166=0,"",MONTH(F4166))</f>
        <v/>
      </c>
      <c r="I4166" s="21">
        <f>IFERROR(INDEX(Pedidos!$E$2:$E$1801,MATCH(B4166,Pedidos!$A$2:$A$1801,0)),"")</f>
        <v/>
      </c>
      <c r="J4166" s="21">
        <f>IFERROR(INDEX(Pedidos!$C$2:$C$1801,MATCH(B4166,Pedidos!$A$2:$A$1801,0)),"")</f>
        <v/>
      </c>
      <c r="K4166" s="21">
        <f>IFERROR(INDEX(Pedidos!$D$2:$D$1801,MATCH(B4166,Pedidos!$A$2:$A$1801,0)),"")</f>
        <v/>
      </c>
      <c r="L4166" s="21">
        <f>IFERROR(INDEX(Pedidos!$F$2:$F$1801,MATCH(B4166,Pedidos!$A$2:$A$1801,0)),"")</f>
        <v/>
      </c>
      <c r="M4166" s="22">
        <f>IFERROR(INDEX(Pedidos!$G$2:$G$1801,MATCH(B4166,Pedidos!$A$2:$A$1801,0)),0)</f>
        <v/>
      </c>
      <c r="N4166" s="21">
        <f>IFERROR(INDEX(Produtos!$B$2:$B$71,MATCH(C4166,Produtos!$A$2:$A$71,0)),"")</f>
        <v/>
      </c>
      <c r="O4166" s="21">
        <f>IFERROR(INDEX(Produtos!$C$2:$C$71,MATCH(C4166,Produtos!$A$2:$A$71,0)),"")</f>
        <v/>
      </c>
      <c r="P4166" s="21">
        <f>IFERROR(INDEX(Produtos!$D$2:$D$71,MATCH(C4166,Produtos!$A$2:$A$71,0)),0)</f>
        <v/>
      </c>
      <c r="Q4166" s="21">
        <f>IFERROR(INDEX(Produtos!$E$2:$E$71,MATCH(C4166,Produtos!$A$2:$A$71,0)),0)</f>
        <v/>
      </c>
      <c r="R4166" s="23">
        <f>D4166*Q4166</f>
        <v/>
      </c>
      <c r="S4166" s="23">
        <f>R4166*E4166</f>
        <v/>
      </c>
      <c r="T4166" s="23">
        <f>(R4166-S4166)*M4166</f>
        <v/>
      </c>
      <c r="U4166" s="23">
        <f>R4166-S4166-T4166</f>
        <v/>
      </c>
      <c r="V4166" s="23">
        <f>D4166*P4166</f>
        <v/>
      </c>
      <c r="W4166" s="23">
        <f>U4166-V4166</f>
        <v/>
      </c>
      <c r="X4166" s="24">
        <f>IFERROR(W4166/U4166,0)</f>
        <v/>
      </c>
    </row>
    <row r="4167">
      <c r="A4167" s="25">
        <f>ItensPedido!A4167</f>
        <v/>
      </c>
      <c r="B4167" s="25">
        <f>ItensPedido!B4167</f>
        <v/>
      </c>
      <c r="C4167" s="25">
        <f>ItensPedido!C4167</f>
        <v/>
      </c>
      <c r="D4167" s="25">
        <f>ItensPedido!D4167</f>
        <v/>
      </c>
      <c r="E4167" s="26">
        <f>ItensPedido!E4167</f>
        <v/>
      </c>
      <c r="F4167" s="25">
        <f>IFERROR(INDEX(Pedidos!$B$2:$B$1801,MATCH(B4167,Pedidos!$A$2:$A$1801,0)),0)</f>
        <v/>
      </c>
      <c r="G4167" s="25">
        <f>IF(F4167=0,"",YEAR(F4167))</f>
        <v/>
      </c>
      <c r="H4167" s="25">
        <f>IF(F4167=0,"",MONTH(F4167))</f>
        <v/>
      </c>
      <c r="I4167" s="25">
        <f>IFERROR(INDEX(Pedidos!$E$2:$E$1801,MATCH(B4167,Pedidos!$A$2:$A$1801,0)),"")</f>
        <v/>
      </c>
      <c r="J4167" s="25">
        <f>IFERROR(INDEX(Pedidos!$C$2:$C$1801,MATCH(B4167,Pedidos!$A$2:$A$1801,0)),"")</f>
        <v/>
      </c>
      <c r="K4167" s="25">
        <f>IFERROR(INDEX(Pedidos!$D$2:$D$1801,MATCH(B4167,Pedidos!$A$2:$A$1801,0)),"")</f>
        <v/>
      </c>
      <c r="L4167" s="25">
        <f>IFERROR(INDEX(Pedidos!$F$2:$F$1801,MATCH(B4167,Pedidos!$A$2:$A$1801,0)),"")</f>
        <v/>
      </c>
      <c r="M4167" s="26">
        <f>IFERROR(INDEX(Pedidos!$G$2:$G$1801,MATCH(B4167,Pedidos!$A$2:$A$1801,0)),0)</f>
        <v/>
      </c>
      <c r="N4167" s="25">
        <f>IFERROR(INDEX(Produtos!$B$2:$B$71,MATCH(C4167,Produtos!$A$2:$A$71,0)),"")</f>
        <v/>
      </c>
      <c r="O4167" s="25">
        <f>IFERROR(INDEX(Produtos!$C$2:$C$71,MATCH(C4167,Produtos!$A$2:$A$71,0)),"")</f>
        <v/>
      </c>
      <c r="P4167" s="25">
        <f>IFERROR(INDEX(Produtos!$D$2:$D$71,MATCH(C4167,Produtos!$A$2:$A$71,0)),0)</f>
        <v/>
      </c>
      <c r="Q4167" s="25">
        <f>IFERROR(INDEX(Produtos!$E$2:$E$71,MATCH(C4167,Produtos!$A$2:$A$71,0)),0)</f>
        <v/>
      </c>
      <c r="R4167" s="27">
        <f>D4167*Q4167</f>
        <v/>
      </c>
      <c r="S4167" s="27">
        <f>R4167*E4167</f>
        <v/>
      </c>
      <c r="T4167" s="27">
        <f>(R4167-S4167)*M4167</f>
        <v/>
      </c>
      <c r="U4167" s="27">
        <f>R4167-S4167-T4167</f>
        <v/>
      </c>
      <c r="V4167" s="27">
        <f>D4167*P4167</f>
        <v/>
      </c>
      <c r="W4167" s="27">
        <f>U4167-V4167</f>
        <v/>
      </c>
      <c r="X4167" s="28">
        <f>IFERROR(W4167/U4167,0)</f>
        <v/>
      </c>
    </row>
    <row r="4168">
      <c r="A4168" s="21">
        <f>ItensPedido!A4168</f>
        <v/>
      </c>
      <c r="B4168" s="21">
        <f>ItensPedido!B4168</f>
        <v/>
      </c>
      <c r="C4168" s="21">
        <f>ItensPedido!C4168</f>
        <v/>
      </c>
      <c r="D4168" s="21">
        <f>ItensPedido!D4168</f>
        <v/>
      </c>
      <c r="E4168" s="22">
        <f>ItensPedido!E4168</f>
        <v/>
      </c>
      <c r="F4168" s="21">
        <f>IFERROR(INDEX(Pedidos!$B$2:$B$1801,MATCH(B4168,Pedidos!$A$2:$A$1801,0)),0)</f>
        <v/>
      </c>
      <c r="G4168" s="21">
        <f>IF(F4168=0,"",YEAR(F4168))</f>
        <v/>
      </c>
      <c r="H4168" s="21">
        <f>IF(F4168=0,"",MONTH(F4168))</f>
        <v/>
      </c>
      <c r="I4168" s="21">
        <f>IFERROR(INDEX(Pedidos!$E$2:$E$1801,MATCH(B4168,Pedidos!$A$2:$A$1801,0)),"")</f>
        <v/>
      </c>
      <c r="J4168" s="21">
        <f>IFERROR(INDEX(Pedidos!$C$2:$C$1801,MATCH(B4168,Pedidos!$A$2:$A$1801,0)),"")</f>
        <v/>
      </c>
      <c r="K4168" s="21">
        <f>IFERROR(INDEX(Pedidos!$D$2:$D$1801,MATCH(B4168,Pedidos!$A$2:$A$1801,0)),"")</f>
        <v/>
      </c>
      <c r="L4168" s="21">
        <f>IFERROR(INDEX(Pedidos!$F$2:$F$1801,MATCH(B4168,Pedidos!$A$2:$A$1801,0)),"")</f>
        <v/>
      </c>
      <c r="M4168" s="22">
        <f>IFERROR(INDEX(Pedidos!$G$2:$G$1801,MATCH(B4168,Pedidos!$A$2:$A$1801,0)),0)</f>
        <v/>
      </c>
      <c r="N4168" s="21">
        <f>IFERROR(INDEX(Produtos!$B$2:$B$71,MATCH(C4168,Produtos!$A$2:$A$71,0)),"")</f>
        <v/>
      </c>
      <c r="O4168" s="21">
        <f>IFERROR(INDEX(Produtos!$C$2:$C$71,MATCH(C4168,Produtos!$A$2:$A$71,0)),"")</f>
        <v/>
      </c>
      <c r="P4168" s="21">
        <f>IFERROR(INDEX(Produtos!$D$2:$D$71,MATCH(C4168,Produtos!$A$2:$A$71,0)),0)</f>
        <v/>
      </c>
      <c r="Q4168" s="21">
        <f>IFERROR(INDEX(Produtos!$E$2:$E$71,MATCH(C4168,Produtos!$A$2:$A$71,0)),0)</f>
        <v/>
      </c>
      <c r="R4168" s="23">
        <f>D4168*Q4168</f>
        <v/>
      </c>
      <c r="S4168" s="23">
        <f>R4168*E4168</f>
        <v/>
      </c>
      <c r="T4168" s="23">
        <f>(R4168-S4168)*M4168</f>
        <v/>
      </c>
      <c r="U4168" s="23">
        <f>R4168-S4168-T4168</f>
        <v/>
      </c>
      <c r="V4168" s="23">
        <f>D4168*P4168</f>
        <v/>
      </c>
      <c r="W4168" s="23">
        <f>U4168-V4168</f>
        <v/>
      </c>
      <c r="X4168" s="24">
        <f>IFERROR(W4168/U4168,0)</f>
        <v/>
      </c>
    </row>
    <row r="4169">
      <c r="A4169" s="25">
        <f>ItensPedido!A4169</f>
        <v/>
      </c>
      <c r="B4169" s="25">
        <f>ItensPedido!B4169</f>
        <v/>
      </c>
      <c r="C4169" s="25">
        <f>ItensPedido!C4169</f>
        <v/>
      </c>
      <c r="D4169" s="25">
        <f>ItensPedido!D4169</f>
        <v/>
      </c>
      <c r="E4169" s="26">
        <f>ItensPedido!E4169</f>
        <v/>
      </c>
      <c r="F4169" s="25">
        <f>IFERROR(INDEX(Pedidos!$B$2:$B$1801,MATCH(B4169,Pedidos!$A$2:$A$1801,0)),0)</f>
        <v/>
      </c>
      <c r="G4169" s="25">
        <f>IF(F4169=0,"",YEAR(F4169))</f>
        <v/>
      </c>
      <c r="H4169" s="25">
        <f>IF(F4169=0,"",MONTH(F4169))</f>
        <v/>
      </c>
      <c r="I4169" s="25">
        <f>IFERROR(INDEX(Pedidos!$E$2:$E$1801,MATCH(B4169,Pedidos!$A$2:$A$1801,0)),"")</f>
        <v/>
      </c>
      <c r="J4169" s="25">
        <f>IFERROR(INDEX(Pedidos!$C$2:$C$1801,MATCH(B4169,Pedidos!$A$2:$A$1801,0)),"")</f>
        <v/>
      </c>
      <c r="K4169" s="25">
        <f>IFERROR(INDEX(Pedidos!$D$2:$D$1801,MATCH(B4169,Pedidos!$A$2:$A$1801,0)),"")</f>
        <v/>
      </c>
      <c r="L4169" s="25">
        <f>IFERROR(INDEX(Pedidos!$F$2:$F$1801,MATCH(B4169,Pedidos!$A$2:$A$1801,0)),"")</f>
        <v/>
      </c>
      <c r="M4169" s="26">
        <f>IFERROR(INDEX(Pedidos!$G$2:$G$1801,MATCH(B4169,Pedidos!$A$2:$A$1801,0)),0)</f>
        <v/>
      </c>
      <c r="N4169" s="25">
        <f>IFERROR(INDEX(Produtos!$B$2:$B$71,MATCH(C4169,Produtos!$A$2:$A$71,0)),"")</f>
        <v/>
      </c>
      <c r="O4169" s="25">
        <f>IFERROR(INDEX(Produtos!$C$2:$C$71,MATCH(C4169,Produtos!$A$2:$A$71,0)),"")</f>
        <v/>
      </c>
      <c r="P4169" s="25">
        <f>IFERROR(INDEX(Produtos!$D$2:$D$71,MATCH(C4169,Produtos!$A$2:$A$71,0)),0)</f>
        <v/>
      </c>
      <c r="Q4169" s="25">
        <f>IFERROR(INDEX(Produtos!$E$2:$E$71,MATCH(C4169,Produtos!$A$2:$A$71,0)),0)</f>
        <v/>
      </c>
      <c r="R4169" s="27">
        <f>D4169*Q4169</f>
        <v/>
      </c>
      <c r="S4169" s="27">
        <f>R4169*E4169</f>
        <v/>
      </c>
      <c r="T4169" s="27">
        <f>(R4169-S4169)*M4169</f>
        <v/>
      </c>
      <c r="U4169" s="27">
        <f>R4169-S4169-T4169</f>
        <v/>
      </c>
      <c r="V4169" s="27">
        <f>D4169*P4169</f>
        <v/>
      </c>
      <c r="W4169" s="27">
        <f>U4169-V4169</f>
        <v/>
      </c>
      <c r="X4169" s="28">
        <f>IFERROR(W4169/U4169,0)</f>
        <v/>
      </c>
    </row>
    <row r="4170">
      <c r="A4170" s="21">
        <f>ItensPedido!A4170</f>
        <v/>
      </c>
      <c r="B4170" s="21">
        <f>ItensPedido!B4170</f>
        <v/>
      </c>
      <c r="C4170" s="21">
        <f>ItensPedido!C4170</f>
        <v/>
      </c>
      <c r="D4170" s="21">
        <f>ItensPedido!D4170</f>
        <v/>
      </c>
      <c r="E4170" s="22">
        <f>ItensPedido!E4170</f>
        <v/>
      </c>
      <c r="F4170" s="21">
        <f>IFERROR(INDEX(Pedidos!$B$2:$B$1801,MATCH(B4170,Pedidos!$A$2:$A$1801,0)),0)</f>
        <v/>
      </c>
      <c r="G4170" s="21">
        <f>IF(F4170=0,"",YEAR(F4170))</f>
        <v/>
      </c>
      <c r="H4170" s="21">
        <f>IF(F4170=0,"",MONTH(F4170))</f>
        <v/>
      </c>
      <c r="I4170" s="21">
        <f>IFERROR(INDEX(Pedidos!$E$2:$E$1801,MATCH(B4170,Pedidos!$A$2:$A$1801,0)),"")</f>
        <v/>
      </c>
      <c r="J4170" s="21">
        <f>IFERROR(INDEX(Pedidos!$C$2:$C$1801,MATCH(B4170,Pedidos!$A$2:$A$1801,0)),"")</f>
        <v/>
      </c>
      <c r="K4170" s="21">
        <f>IFERROR(INDEX(Pedidos!$D$2:$D$1801,MATCH(B4170,Pedidos!$A$2:$A$1801,0)),"")</f>
        <v/>
      </c>
      <c r="L4170" s="21">
        <f>IFERROR(INDEX(Pedidos!$F$2:$F$1801,MATCH(B4170,Pedidos!$A$2:$A$1801,0)),"")</f>
        <v/>
      </c>
      <c r="M4170" s="22">
        <f>IFERROR(INDEX(Pedidos!$G$2:$G$1801,MATCH(B4170,Pedidos!$A$2:$A$1801,0)),0)</f>
        <v/>
      </c>
      <c r="N4170" s="21">
        <f>IFERROR(INDEX(Produtos!$B$2:$B$71,MATCH(C4170,Produtos!$A$2:$A$71,0)),"")</f>
        <v/>
      </c>
      <c r="O4170" s="21">
        <f>IFERROR(INDEX(Produtos!$C$2:$C$71,MATCH(C4170,Produtos!$A$2:$A$71,0)),"")</f>
        <v/>
      </c>
      <c r="P4170" s="21">
        <f>IFERROR(INDEX(Produtos!$D$2:$D$71,MATCH(C4170,Produtos!$A$2:$A$71,0)),0)</f>
        <v/>
      </c>
      <c r="Q4170" s="21">
        <f>IFERROR(INDEX(Produtos!$E$2:$E$71,MATCH(C4170,Produtos!$A$2:$A$71,0)),0)</f>
        <v/>
      </c>
      <c r="R4170" s="23">
        <f>D4170*Q4170</f>
        <v/>
      </c>
      <c r="S4170" s="23">
        <f>R4170*E4170</f>
        <v/>
      </c>
      <c r="T4170" s="23">
        <f>(R4170-S4170)*M4170</f>
        <v/>
      </c>
      <c r="U4170" s="23">
        <f>R4170-S4170-T4170</f>
        <v/>
      </c>
      <c r="V4170" s="23">
        <f>D4170*P4170</f>
        <v/>
      </c>
      <c r="W4170" s="23">
        <f>U4170-V4170</f>
        <v/>
      </c>
      <c r="X4170" s="24">
        <f>IFERROR(W4170/U4170,0)</f>
        <v/>
      </c>
    </row>
    <row r="4171">
      <c r="A4171" s="25">
        <f>ItensPedido!A4171</f>
        <v/>
      </c>
      <c r="B4171" s="25">
        <f>ItensPedido!B4171</f>
        <v/>
      </c>
      <c r="C4171" s="25">
        <f>ItensPedido!C4171</f>
        <v/>
      </c>
      <c r="D4171" s="25">
        <f>ItensPedido!D4171</f>
        <v/>
      </c>
      <c r="E4171" s="26">
        <f>ItensPedido!E4171</f>
        <v/>
      </c>
      <c r="F4171" s="25">
        <f>IFERROR(INDEX(Pedidos!$B$2:$B$1801,MATCH(B4171,Pedidos!$A$2:$A$1801,0)),0)</f>
        <v/>
      </c>
      <c r="G4171" s="25">
        <f>IF(F4171=0,"",YEAR(F4171))</f>
        <v/>
      </c>
      <c r="H4171" s="25">
        <f>IF(F4171=0,"",MONTH(F4171))</f>
        <v/>
      </c>
      <c r="I4171" s="25">
        <f>IFERROR(INDEX(Pedidos!$E$2:$E$1801,MATCH(B4171,Pedidos!$A$2:$A$1801,0)),"")</f>
        <v/>
      </c>
      <c r="J4171" s="25">
        <f>IFERROR(INDEX(Pedidos!$C$2:$C$1801,MATCH(B4171,Pedidos!$A$2:$A$1801,0)),"")</f>
        <v/>
      </c>
      <c r="K4171" s="25">
        <f>IFERROR(INDEX(Pedidos!$D$2:$D$1801,MATCH(B4171,Pedidos!$A$2:$A$1801,0)),"")</f>
        <v/>
      </c>
      <c r="L4171" s="25">
        <f>IFERROR(INDEX(Pedidos!$F$2:$F$1801,MATCH(B4171,Pedidos!$A$2:$A$1801,0)),"")</f>
        <v/>
      </c>
      <c r="M4171" s="26">
        <f>IFERROR(INDEX(Pedidos!$G$2:$G$1801,MATCH(B4171,Pedidos!$A$2:$A$1801,0)),0)</f>
        <v/>
      </c>
      <c r="N4171" s="25">
        <f>IFERROR(INDEX(Produtos!$B$2:$B$71,MATCH(C4171,Produtos!$A$2:$A$71,0)),"")</f>
        <v/>
      </c>
      <c r="O4171" s="25">
        <f>IFERROR(INDEX(Produtos!$C$2:$C$71,MATCH(C4171,Produtos!$A$2:$A$71,0)),"")</f>
        <v/>
      </c>
      <c r="P4171" s="25">
        <f>IFERROR(INDEX(Produtos!$D$2:$D$71,MATCH(C4171,Produtos!$A$2:$A$71,0)),0)</f>
        <v/>
      </c>
      <c r="Q4171" s="25">
        <f>IFERROR(INDEX(Produtos!$E$2:$E$71,MATCH(C4171,Produtos!$A$2:$A$71,0)),0)</f>
        <v/>
      </c>
      <c r="R4171" s="27">
        <f>D4171*Q4171</f>
        <v/>
      </c>
      <c r="S4171" s="27">
        <f>R4171*E4171</f>
        <v/>
      </c>
      <c r="T4171" s="27">
        <f>(R4171-S4171)*M4171</f>
        <v/>
      </c>
      <c r="U4171" s="27">
        <f>R4171-S4171-T4171</f>
        <v/>
      </c>
      <c r="V4171" s="27">
        <f>D4171*P4171</f>
        <v/>
      </c>
      <c r="W4171" s="27">
        <f>U4171-V4171</f>
        <v/>
      </c>
      <c r="X4171" s="28">
        <f>IFERROR(W4171/U4171,0)</f>
        <v/>
      </c>
    </row>
    <row r="4172">
      <c r="A4172" s="21">
        <f>ItensPedido!A4172</f>
        <v/>
      </c>
      <c r="B4172" s="21">
        <f>ItensPedido!B4172</f>
        <v/>
      </c>
      <c r="C4172" s="21">
        <f>ItensPedido!C4172</f>
        <v/>
      </c>
      <c r="D4172" s="21">
        <f>ItensPedido!D4172</f>
        <v/>
      </c>
      <c r="E4172" s="22">
        <f>ItensPedido!E4172</f>
        <v/>
      </c>
      <c r="F4172" s="21">
        <f>IFERROR(INDEX(Pedidos!$B$2:$B$1801,MATCH(B4172,Pedidos!$A$2:$A$1801,0)),0)</f>
        <v/>
      </c>
      <c r="G4172" s="21">
        <f>IF(F4172=0,"",YEAR(F4172))</f>
        <v/>
      </c>
      <c r="H4172" s="21">
        <f>IF(F4172=0,"",MONTH(F4172))</f>
        <v/>
      </c>
      <c r="I4172" s="21">
        <f>IFERROR(INDEX(Pedidos!$E$2:$E$1801,MATCH(B4172,Pedidos!$A$2:$A$1801,0)),"")</f>
        <v/>
      </c>
      <c r="J4172" s="21">
        <f>IFERROR(INDEX(Pedidos!$C$2:$C$1801,MATCH(B4172,Pedidos!$A$2:$A$1801,0)),"")</f>
        <v/>
      </c>
      <c r="K4172" s="21">
        <f>IFERROR(INDEX(Pedidos!$D$2:$D$1801,MATCH(B4172,Pedidos!$A$2:$A$1801,0)),"")</f>
        <v/>
      </c>
      <c r="L4172" s="21">
        <f>IFERROR(INDEX(Pedidos!$F$2:$F$1801,MATCH(B4172,Pedidos!$A$2:$A$1801,0)),"")</f>
        <v/>
      </c>
      <c r="M4172" s="22">
        <f>IFERROR(INDEX(Pedidos!$G$2:$G$1801,MATCH(B4172,Pedidos!$A$2:$A$1801,0)),0)</f>
        <v/>
      </c>
      <c r="N4172" s="21">
        <f>IFERROR(INDEX(Produtos!$B$2:$B$71,MATCH(C4172,Produtos!$A$2:$A$71,0)),"")</f>
        <v/>
      </c>
      <c r="O4172" s="21">
        <f>IFERROR(INDEX(Produtos!$C$2:$C$71,MATCH(C4172,Produtos!$A$2:$A$71,0)),"")</f>
        <v/>
      </c>
      <c r="P4172" s="21">
        <f>IFERROR(INDEX(Produtos!$D$2:$D$71,MATCH(C4172,Produtos!$A$2:$A$71,0)),0)</f>
        <v/>
      </c>
      <c r="Q4172" s="21">
        <f>IFERROR(INDEX(Produtos!$E$2:$E$71,MATCH(C4172,Produtos!$A$2:$A$71,0)),0)</f>
        <v/>
      </c>
      <c r="R4172" s="23">
        <f>D4172*Q4172</f>
        <v/>
      </c>
      <c r="S4172" s="23">
        <f>R4172*E4172</f>
        <v/>
      </c>
      <c r="T4172" s="23">
        <f>(R4172-S4172)*M4172</f>
        <v/>
      </c>
      <c r="U4172" s="23">
        <f>R4172-S4172-T4172</f>
        <v/>
      </c>
      <c r="V4172" s="23">
        <f>D4172*P4172</f>
        <v/>
      </c>
      <c r="W4172" s="23">
        <f>U4172-V4172</f>
        <v/>
      </c>
      <c r="X4172" s="24">
        <f>IFERROR(W4172/U4172,0)</f>
        <v/>
      </c>
    </row>
    <row r="4173">
      <c r="A4173" s="25">
        <f>ItensPedido!A4173</f>
        <v/>
      </c>
      <c r="B4173" s="25">
        <f>ItensPedido!B4173</f>
        <v/>
      </c>
      <c r="C4173" s="25">
        <f>ItensPedido!C4173</f>
        <v/>
      </c>
      <c r="D4173" s="25">
        <f>ItensPedido!D4173</f>
        <v/>
      </c>
      <c r="E4173" s="26">
        <f>ItensPedido!E4173</f>
        <v/>
      </c>
      <c r="F4173" s="25">
        <f>IFERROR(INDEX(Pedidos!$B$2:$B$1801,MATCH(B4173,Pedidos!$A$2:$A$1801,0)),0)</f>
        <v/>
      </c>
      <c r="G4173" s="25">
        <f>IF(F4173=0,"",YEAR(F4173))</f>
        <v/>
      </c>
      <c r="H4173" s="25">
        <f>IF(F4173=0,"",MONTH(F4173))</f>
        <v/>
      </c>
      <c r="I4173" s="25">
        <f>IFERROR(INDEX(Pedidos!$E$2:$E$1801,MATCH(B4173,Pedidos!$A$2:$A$1801,0)),"")</f>
        <v/>
      </c>
      <c r="J4173" s="25">
        <f>IFERROR(INDEX(Pedidos!$C$2:$C$1801,MATCH(B4173,Pedidos!$A$2:$A$1801,0)),"")</f>
        <v/>
      </c>
      <c r="K4173" s="25">
        <f>IFERROR(INDEX(Pedidos!$D$2:$D$1801,MATCH(B4173,Pedidos!$A$2:$A$1801,0)),"")</f>
        <v/>
      </c>
      <c r="L4173" s="25">
        <f>IFERROR(INDEX(Pedidos!$F$2:$F$1801,MATCH(B4173,Pedidos!$A$2:$A$1801,0)),"")</f>
        <v/>
      </c>
      <c r="M4173" s="26">
        <f>IFERROR(INDEX(Pedidos!$G$2:$G$1801,MATCH(B4173,Pedidos!$A$2:$A$1801,0)),0)</f>
        <v/>
      </c>
      <c r="N4173" s="25">
        <f>IFERROR(INDEX(Produtos!$B$2:$B$71,MATCH(C4173,Produtos!$A$2:$A$71,0)),"")</f>
        <v/>
      </c>
      <c r="O4173" s="25">
        <f>IFERROR(INDEX(Produtos!$C$2:$C$71,MATCH(C4173,Produtos!$A$2:$A$71,0)),"")</f>
        <v/>
      </c>
      <c r="P4173" s="25">
        <f>IFERROR(INDEX(Produtos!$D$2:$D$71,MATCH(C4173,Produtos!$A$2:$A$71,0)),0)</f>
        <v/>
      </c>
      <c r="Q4173" s="25">
        <f>IFERROR(INDEX(Produtos!$E$2:$E$71,MATCH(C4173,Produtos!$A$2:$A$71,0)),0)</f>
        <v/>
      </c>
      <c r="R4173" s="27">
        <f>D4173*Q4173</f>
        <v/>
      </c>
      <c r="S4173" s="27">
        <f>R4173*E4173</f>
        <v/>
      </c>
      <c r="T4173" s="27">
        <f>(R4173-S4173)*M4173</f>
        <v/>
      </c>
      <c r="U4173" s="27">
        <f>R4173-S4173-T4173</f>
        <v/>
      </c>
      <c r="V4173" s="27">
        <f>D4173*P4173</f>
        <v/>
      </c>
      <c r="W4173" s="27">
        <f>U4173-V4173</f>
        <v/>
      </c>
      <c r="X4173" s="28">
        <f>IFERROR(W4173/U4173,0)</f>
        <v/>
      </c>
    </row>
    <row r="4174">
      <c r="A4174" s="21">
        <f>ItensPedido!A4174</f>
        <v/>
      </c>
      <c r="B4174" s="21">
        <f>ItensPedido!B4174</f>
        <v/>
      </c>
      <c r="C4174" s="21">
        <f>ItensPedido!C4174</f>
        <v/>
      </c>
      <c r="D4174" s="21">
        <f>ItensPedido!D4174</f>
        <v/>
      </c>
      <c r="E4174" s="22">
        <f>ItensPedido!E4174</f>
        <v/>
      </c>
      <c r="F4174" s="21">
        <f>IFERROR(INDEX(Pedidos!$B$2:$B$1801,MATCH(B4174,Pedidos!$A$2:$A$1801,0)),0)</f>
        <v/>
      </c>
      <c r="G4174" s="21">
        <f>IF(F4174=0,"",YEAR(F4174))</f>
        <v/>
      </c>
      <c r="H4174" s="21">
        <f>IF(F4174=0,"",MONTH(F4174))</f>
        <v/>
      </c>
      <c r="I4174" s="21">
        <f>IFERROR(INDEX(Pedidos!$E$2:$E$1801,MATCH(B4174,Pedidos!$A$2:$A$1801,0)),"")</f>
        <v/>
      </c>
      <c r="J4174" s="21">
        <f>IFERROR(INDEX(Pedidos!$C$2:$C$1801,MATCH(B4174,Pedidos!$A$2:$A$1801,0)),"")</f>
        <v/>
      </c>
      <c r="K4174" s="21">
        <f>IFERROR(INDEX(Pedidos!$D$2:$D$1801,MATCH(B4174,Pedidos!$A$2:$A$1801,0)),"")</f>
        <v/>
      </c>
      <c r="L4174" s="21">
        <f>IFERROR(INDEX(Pedidos!$F$2:$F$1801,MATCH(B4174,Pedidos!$A$2:$A$1801,0)),"")</f>
        <v/>
      </c>
      <c r="M4174" s="22">
        <f>IFERROR(INDEX(Pedidos!$G$2:$G$1801,MATCH(B4174,Pedidos!$A$2:$A$1801,0)),0)</f>
        <v/>
      </c>
      <c r="N4174" s="21">
        <f>IFERROR(INDEX(Produtos!$B$2:$B$71,MATCH(C4174,Produtos!$A$2:$A$71,0)),"")</f>
        <v/>
      </c>
      <c r="O4174" s="21">
        <f>IFERROR(INDEX(Produtos!$C$2:$C$71,MATCH(C4174,Produtos!$A$2:$A$71,0)),"")</f>
        <v/>
      </c>
      <c r="P4174" s="21">
        <f>IFERROR(INDEX(Produtos!$D$2:$D$71,MATCH(C4174,Produtos!$A$2:$A$71,0)),0)</f>
        <v/>
      </c>
      <c r="Q4174" s="21">
        <f>IFERROR(INDEX(Produtos!$E$2:$E$71,MATCH(C4174,Produtos!$A$2:$A$71,0)),0)</f>
        <v/>
      </c>
      <c r="R4174" s="23">
        <f>D4174*Q4174</f>
        <v/>
      </c>
      <c r="S4174" s="23">
        <f>R4174*E4174</f>
        <v/>
      </c>
      <c r="T4174" s="23">
        <f>(R4174-S4174)*M4174</f>
        <v/>
      </c>
      <c r="U4174" s="23">
        <f>R4174-S4174-T4174</f>
        <v/>
      </c>
      <c r="V4174" s="23">
        <f>D4174*P4174</f>
        <v/>
      </c>
      <c r="W4174" s="23">
        <f>U4174-V4174</f>
        <v/>
      </c>
      <c r="X4174" s="24">
        <f>IFERROR(W4174/U4174,0)</f>
        <v/>
      </c>
    </row>
    <row r="4175">
      <c r="A4175" s="25">
        <f>ItensPedido!A4175</f>
        <v/>
      </c>
      <c r="B4175" s="25">
        <f>ItensPedido!B4175</f>
        <v/>
      </c>
      <c r="C4175" s="25">
        <f>ItensPedido!C4175</f>
        <v/>
      </c>
      <c r="D4175" s="25">
        <f>ItensPedido!D4175</f>
        <v/>
      </c>
      <c r="E4175" s="26">
        <f>ItensPedido!E4175</f>
        <v/>
      </c>
      <c r="F4175" s="25">
        <f>IFERROR(INDEX(Pedidos!$B$2:$B$1801,MATCH(B4175,Pedidos!$A$2:$A$1801,0)),0)</f>
        <v/>
      </c>
      <c r="G4175" s="25">
        <f>IF(F4175=0,"",YEAR(F4175))</f>
        <v/>
      </c>
      <c r="H4175" s="25">
        <f>IF(F4175=0,"",MONTH(F4175))</f>
        <v/>
      </c>
      <c r="I4175" s="25">
        <f>IFERROR(INDEX(Pedidos!$E$2:$E$1801,MATCH(B4175,Pedidos!$A$2:$A$1801,0)),"")</f>
        <v/>
      </c>
      <c r="J4175" s="25">
        <f>IFERROR(INDEX(Pedidos!$C$2:$C$1801,MATCH(B4175,Pedidos!$A$2:$A$1801,0)),"")</f>
        <v/>
      </c>
      <c r="K4175" s="25">
        <f>IFERROR(INDEX(Pedidos!$D$2:$D$1801,MATCH(B4175,Pedidos!$A$2:$A$1801,0)),"")</f>
        <v/>
      </c>
      <c r="L4175" s="25">
        <f>IFERROR(INDEX(Pedidos!$F$2:$F$1801,MATCH(B4175,Pedidos!$A$2:$A$1801,0)),"")</f>
        <v/>
      </c>
      <c r="M4175" s="26">
        <f>IFERROR(INDEX(Pedidos!$G$2:$G$1801,MATCH(B4175,Pedidos!$A$2:$A$1801,0)),0)</f>
        <v/>
      </c>
      <c r="N4175" s="25">
        <f>IFERROR(INDEX(Produtos!$B$2:$B$71,MATCH(C4175,Produtos!$A$2:$A$71,0)),"")</f>
        <v/>
      </c>
      <c r="O4175" s="25">
        <f>IFERROR(INDEX(Produtos!$C$2:$C$71,MATCH(C4175,Produtos!$A$2:$A$71,0)),"")</f>
        <v/>
      </c>
      <c r="P4175" s="25">
        <f>IFERROR(INDEX(Produtos!$D$2:$D$71,MATCH(C4175,Produtos!$A$2:$A$71,0)),0)</f>
        <v/>
      </c>
      <c r="Q4175" s="25">
        <f>IFERROR(INDEX(Produtos!$E$2:$E$71,MATCH(C4175,Produtos!$A$2:$A$71,0)),0)</f>
        <v/>
      </c>
      <c r="R4175" s="27">
        <f>D4175*Q4175</f>
        <v/>
      </c>
      <c r="S4175" s="27">
        <f>R4175*E4175</f>
        <v/>
      </c>
      <c r="T4175" s="27">
        <f>(R4175-S4175)*M4175</f>
        <v/>
      </c>
      <c r="U4175" s="27">
        <f>R4175-S4175-T4175</f>
        <v/>
      </c>
      <c r="V4175" s="27">
        <f>D4175*P4175</f>
        <v/>
      </c>
      <c r="W4175" s="27">
        <f>U4175-V4175</f>
        <v/>
      </c>
      <c r="X4175" s="28">
        <f>IFERROR(W4175/U4175,0)</f>
        <v/>
      </c>
    </row>
    <row r="4176">
      <c r="A4176" s="21">
        <f>ItensPedido!A4176</f>
        <v/>
      </c>
      <c r="B4176" s="21">
        <f>ItensPedido!B4176</f>
        <v/>
      </c>
      <c r="C4176" s="21">
        <f>ItensPedido!C4176</f>
        <v/>
      </c>
      <c r="D4176" s="21">
        <f>ItensPedido!D4176</f>
        <v/>
      </c>
      <c r="E4176" s="22">
        <f>ItensPedido!E4176</f>
        <v/>
      </c>
      <c r="F4176" s="21">
        <f>IFERROR(INDEX(Pedidos!$B$2:$B$1801,MATCH(B4176,Pedidos!$A$2:$A$1801,0)),0)</f>
        <v/>
      </c>
      <c r="G4176" s="21">
        <f>IF(F4176=0,"",YEAR(F4176))</f>
        <v/>
      </c>
      <c r="H4176" s="21">
        <f>IF(F4176=0,"",MONTH(F4176))</f>
        <v/>
      </c>
      <c r="I4176" s="21">
        <f>IFERROR(INDEX(Pedidos!$E$2:$E$1801,MATCH(B4176,Pedidos!$A$2:$A$1801,0)),"")</f>
        <v/>
      </c>
      <c r="J4176" s="21">
        <f>IFERROR(INDEX(Pedidos!$C$2:$C$1801,MATCH(B4176,Pedidos!$A$2:$A$1801,0)),"")</f>
        <v/>
      </c>
      <c r="K4176" s="21">
        <f>IFERROR(INDEX(Pedidos!$D$2:$D$1801,MATCH(B4176,Pedidos!$A$2:$A$1801,0)),"")</f>
        <v/>
      </c>
      <c r="L4176" s="21">
        <f>IFERROR(INDEX(Pedidos!$F$2:$F$1801,MATCH(B4176,Pedidos!$A$2:$A$1801,0)),"")</f>
        <v/>
      </c>
      <c r="M4176" s="22">
        <f>IFERROR(INDEX(Pedidos!$G$2:$G$1801,MATCH(B4176,Pedidos!$A$2:$A$1801,0)),0)</f>
        <v/>
      </c>
      <c r="N4176" s="21">
        <f>IFERROR(INDEX(Produtos!$B$2:$B$71,MATCH(C4176,Produtos!$A$2:$A$71,0)),"")</f>
        <v/>
      </c>
      <c r="O4176" s="21">
        <f>IFERROR(INDEX(Produtos!$C$2:$C$71,MATCH(C4176,Produtos!$A$2:$A$71,0)),"")</f>
        <v/>
      </c>
      <c r="P4176" s="21">
        <f>IFERROR(INDEX(Produtos!$D$2:$D$71,MATCH(C4176,Produtos!$A$2:$A$71,0)),0)</f>
        <v/>
      </c>
      <c r="Q4176" s="21">
        <f>IFERROR(INDEX(Produtos!$E$2:$E$71,MATCH(C4176,Produtos!$A$2:$A$71,0)),0)</f>
        <v/>
      </c>
      <c r="R4176" s="23">
        <f>D4176*Q4176</f>
        <v/>
      </c>
      <c r="S4176" s="23">
        <f>R4176*E4176</f>
        <v/>
      </c>
      <c r="T4176" s="23">
        <f>(R4176-S4176)*M4176</f>
        <v/>
      </c>
      <c r="U4176" s="23">
        <f>R4176-S4176-T4176</f>
        <v/>
      </c>
      <c r="V4176" s="23">
        <f>D4176*P4176</f>
        <v/>
      </c>
      <c r="W4176" s="23">
        <f>U4176-V4176</f>
        <v/>
      </c>
      <c r="X4176" s="24">
        <f>IFERROR(W4176/U4176,0)</f>
        <v/>
      </c>
    </row>
    <row r="4177">
      <c r="A4177" s="25">
        <f>ItensPedido!A4177</f>
        <v/>
      </c>
      <c r="B4177" s="25">
        <f>ItensPedido!B4177</f>
        <v/>
      </c>
      <c r="C4177" s="25">
        <f>ItensPedido!C4177</f>
        <v/>
      </c>
      <c r="D4177" s="25">
        <f>ItensPedido!D4177</f>
        <v/>
      </c>
      <c r="E4177" s="26">
        <f>ItensPedido!E4177</f>
        <v/>
      </c>
      <c r="F4177" s="25">
        <f>IFERROR(INDEX(Pedidos!$B$2:$B$1801,MATCH(B4177,Pedidos!$A$2:$A$1801,0)),0)</f>
        <v/>
      </c>
      <c r="G4177" s="25">
        <f>IF(F4177=0,"",YEAR(F4177))</f>
        <v/>
      </c>
      <c r="H4177" s="25">
        <f>IF(F4177=0,"",MONTH(F4177))</f>
        <v/>
      </c>
      <c r="I4177" s="25">
        <f>IFERROR(INDEX(Pedidos!$E$2:$E$1801,MATCH(B4177,Pedidos!$A$2:$A$1801,0)),"")</f>
        <v/>
      </c>
      <c r="J4177" s="25">
        <f>IFERROR(INDEX(Pedidos!$C$2:$C$1801,MATCH(B4177,Pedidos!$A$2:$A$1801,0)),"")</f>
        <v/>
      </c>
      <c r="K4177" s="25">
        <f>IFERROR(INDEX(Pedidos!$D$2:$D$1801,MATCH(B4177,Pedidos!$A$2:$A$1801,0)),"")</f>
        <v/>
      </c>
      <c r="L4177" s="25">
        <f>IFERROR(INDEX(Pedidos!$F$2:$F$1801,MATCH(B4177,Pedidos!$A$2:$A$1801,0)),"")</f>
        <v/>
      </c>
      <c r="M4177" s="26">
        <f>IFERROR(INDEX(Pedidos!$G$2:$G$1801,MATCH(B4177,Pedidos!$A$2:$A$1801,0)),0)</f>
        <v/>
      </c>
      <c r="N4177" s="25">
        <f>IFERROR(INDEX(Produtos!$B$2:$B$71,MATCH(C4177,Produtos!$A$2:$A$71,0)),"")</f>
        <v/>
      </c>
      <c r="O4177" s="25">
        <f>IFERROR(INDEX(Produtos!$C$2:$C$71,MATCH(C4177,Produtos!$A$2:$A$71,0)),"")</f>
        <v/>
      </c>
      <c r="P4177" s="25">
        <f>IFERROR(INDEX(Produtos!$D$2:$D$71,MATCH(C4177,Produtos!$A$2:$A$71,0)),0)</f>
        <v/>
      </c>
      <c r="Q4177" s="25">
        <f>IFERROR(INDEX(Produtos!$E$2:$E$71,MATCH(C4177,Produtos!$A$2:$A$71,0)),0)</f>
        <v/>
      </c>
      <c r="R4177" s="27">
        <f>D4177*Q4177</f>
        <v/>
      </c>
      <c r="S4177" s="27">
        <f>R4177*E4177</f>
        <v/>
      </c>
      <c r="T4177" s="27">
        <f>(R4177-S4177)*M4177</f>
        <v/>
      </c>
      <c r="U4177" s="27">
        <f>R4177-S4177-T4177</f>
        <v/>
      </c>
      <c r="V4177" s="27">
        <f>D4177*P4177</f>
        <v/>
      </c>
      <c r="W4177" s="27">
        <f>U4177-V4177</f>
        <v/>
      </c>
      <c r="X4177" s="28">
        <f>IFERROR(W4177/U4177,0)</f>
        <v/>
      </c>
    </row>
    <row r="4178">
      <c r="A4178" s="21">
        <f>ItensPedido!A4178</f>
        <v/>
      </c>
      <c r="B4178" s="21">
        <f>ItensPedido!B4178</f>
        <v/>
      </c>
      <c r="C4178" s="21">
        <f>ItensPedido!C4178</f>
        <v/>
      </c>
      <c r="D4178" s="21">
        <f>ItensPedido!D4178</f>
        <v/>
      </c>
      <c r="E4178" s="22">
        <f>ItensPedido!E4178</f>
        <v/>
      </c>
      <c r="F4178" s="21">
        <f>IFERROR(INDEX(Pedidos!$B$2:$B$1801,MATCH(B4178,Pedidos!$A$2:$A$1801,0)),0)</f>
        <v/>
      </c>
      <c r="G4178" s="21">
        <f>IF(F4178=0,"",YEAR(F4178))</f>
        <v/>
      </c>
      <c r="H4178" s="21">
        <f>IF(F4178=0,"",MONTH(F4178))</f>
        <v/>
      </c>
      <c r="I4178" s="21">
        <f>IFERROR(INDEX(Pedidos!$E$2:$E$1801,MATCH(B4178,Pedidos!$A$2:$A$1801,0)),"")</f>
        <v/>
      </c>
      <c r="J4178" s="21">
        <f>IFERROR(INDEX(Pedidos!$C$2:$C$1801,MATCH(B4178,Pedidos!$A$2:$A$1801,0)),"")</f>
        <v/>
      </c>
      <c r="K4178" s="21">
        <f>IFERROR(INDEX(Pedidos!$D$2:$D$1801,MATCH(B4178,Pedidos!$A$2:$A$1801,0)),"")</f>
        <v/>
      </c>
      <c r="L4178" s="21">
        <f>IFERROR(INDEX(Pedidos!$F$2:$F$1801,MATCH(B4178,Pedidos!$A$2:$A$1801,0)),"")</f>
        <v/>
      </c>
      <c r="M4178" s="22">
        <f>IFERROR(INDEX(Pedidos!$G$2:$G$1801,MATCH(B4178,Pedidos!$A$2:$A$1801,0)),0)</f>
        <v/>
      </c>
      <c r="N4178" s="21">
        <f>IFERROR(INDEX(Produtos!$B$2:$B$71,MATCH(C4178,Produtos!$A$2:$A$71,0)),"")</f>
        <v/>
      </c>
      <c r="O4178" s="21">
        <f>IFERROR(INDEX(Produtos!$C$2:$C$71,MATCH(C4178,Produtos!$A$2:$A$71,0)),"")</f>
        <v/>
      </c>
      <c r="P4178" s="21">
        <f>IFERROR(INDEX(Produtos!$D$2:$D$71,MATCH(C4178,Produtos!$A$2:$A$71,0)),0)</f>
        <v/>
      </c>
      <c r="Q4178" s="21">
        <f>IFERROR(INDEX(Produtos!$E$2:$E$71,MATCH(C4178,Produtos!$A$2:$A$71,0)),0)</f>
        <v/>
      </c>
      <c r="R4178" s="23">
        <f>D4178*Q4178</f>
        <v/>
      </c>
      <c r="S4178" s="23">
        <f>R4178*E4178</f>
        <v/>
      </c>
      <c r="T4178" s="23">
        <f>(R4178-S4178)*M4178</f>
        <v/>
      </c>
      <c r="U4178" s="23">
        <f>R4178-S4178-T4178</f>
        <v/>
      </c>
      <c r="V4178" s="23">
        <f>D4178*P4178</f>
        <v/>
      </c>
      <c r="W4178" s="23">
        <f>U4178-V4178</f>
        <v/>
      </c>
      <c r="X4178" s="24">
        <f>IFERROR(W4178/U4178,0)</f>
        <v/>
      </c>
    </row>
    <row r="4179">
      <c r="A4179" s="25">
        <f>ItensPedido!A4179</f>
        <v/>
      </c>
      <c r="B4179" s="25">
        <f>ItensPedido!B4179</f>
        <v/>
      </c>
      <c r="C4179" s="25">
        <f>ItensPedido!C4179</f>
        <v/>
      </c>
      <c r="D4179" s="25">
        <f>ItensPedido!D4179</f>
        <v/>
      </c>
      <c r="E4179" s="26">
        <f>ItensPedido!E4179</f>
        <v/>
      </c>
      <c r="F4179" s="25">
        <f>IFERROR(INDEX(Pedidos!$B$2:$B$1801,MATCH(B4179,Pedidos!$A$2:$A$1801,0)),0)</f>
        <v/>
      </c>
      <c r="G4179" s="25">
        <f>IF(F4179=0,"",YEAR(F4179))</f>
        <v/>
      </c>
      <c r="H4179" s="25">
        <f>IF(F4179=0,"",MONTH(F4179))</f>
        <v/>
      </c>
      <c r="I4179" s="25">
        <f>IFERROR(INDEX(Pedidos!$E$2:$E$1801,MATCH(B4179,Pedidos!$A$2:$A$1801,0)),"")</f>
        <v/>
      </c>
      <c r="J4179" s="25">
        <f>IFERROR(INDEX(Pedidos!$C$2:$C$1801,MATCH(B4179,Pedidos!$A$2:$A$1801,0)),"")</f>
        <v/>
      </c>
      <c r="K4179" s="25">
        <f>IFERROR(INDEX(Pedidos!$D$2:$D$1801,MATCH(B4179,Pedidos!$A$2:$A$1801,0)),"")</f>
        <v/>
      </c>
      <c r="L4179" s="25">
        <f>IFERROR(INDEX(Pedidos!$F$2:$F$1801,MATCH(B4179,Pedidos!$A$2:$A$1801,0)),"")</f>
        <v/>
      </c>
      <c r="M4179" s="26">
        <f>IFERROR(INDEX(Pedidos!$G$2:$G$1801,MATCH(B4179,Pedidos!$A$2:$A$1801,0)),0)</f>
        <v/>
      </c>
      <c r="N4179" s="25">
        <f>IFERROR(INDEX(Produtos!$B$2:$B$71,MATCH(C4179,Produtos!$A$2:$A$71,0)),"")</f>
        <v/>
      </c>
      <c r="O4179" s="25">
        <f>IFERROR(INDEX(Produtos!$C$2:$C$71,MATCH(C4179,Produtos!$A$2:$A$71,0)),"")</f>
        <v/>
      </c>
      <c r="P4179" s="25">
        <f>IFERROR(INDEX(Produtos!$D$2:$D$71,MATCH(C4179,Produtos!$A$2:$A$71,0)),0)</f>
        <v/>
      </c>
      <c r="Q4179" s="25">
        <f>IFERROR(INDEX(Produtos!$E$2:$E$71,MATCH(C4179,Produtos!$A$2:$A$71,0)),0)</f>
        <v/>
      </c>
      <c r="R4179" s="27">
        <f>D4179*Q4179</f>
        <v/>
      </c>
      <c r="S4179" s="27">
        <f>R4179*E4179</f>
        <v/>
      </c>
      <c r="T4179" s="27">
        <f>(R4179-S4179)*M4179</f>
        <v/>
      </c>
      <c r="U4179" s="27">
        <f>R4179-S4179-T4179</f>
        <v/>
      </c>
      <c r="V4179" s="27">
        <f>D4179*P4179</f>
        <v/>
      </c>
      <c r="W4179" s="27">
        <f>U4179-V4179</f>
        <v/>
      </c>
      <c r="X4179" s="28">
        <f>IFERROR(W4179/U4179,0)</f>
        <v/>
      </c>
    </row>
    <row r="4180">
      <c r="A4180" s="21">
        <f>ItensPedido!A4180</f>
        <v/>
      </c>
      <c r="B4180" s="21">
        <f>ItensPedido!B4180</f>
        <v/>
      </c>
      <c r="C4180" s="21">
        <f>ItensPedido!C4180</f>
        <v/>
      </c>
      <c r="D4180" s="21">
        <f>ItensPedido!D4180</f>
        <v/>
      </c>
      <c r="E4180" s="22">
        <f>ItensPedido!E4180</f>
        <v/>
      </c>
      <c r="F4180" s="21">
        <f>IFERROR(INDEX(Pedidos!$B$2:$B$1801,MATCH(B4180,Pedidos!$A$2:$A$1801,0)),0)</f>
        <v/>
      </c>
      <c r="G4180" s="21">
        <f>IF(F4180=0,"",YEAR(F4180))</f>
        <v/>
      </c>
      <c r="H4180" s="21">
        <f>IF(F4180=0,"",MONTH(F4180))</f>
        <v/>
      </c>
      <c r="I4180" s="21">
        <f>IFERROR(INDEX(Pedidos!$E$2:$E$1801,MATCH(B4180,Pedidos!$A$2:$A$1801,0)),"")</f>
        <v/>
      </c>
      <c r="J4180" s="21">
        <f>IFERROR(INDEX(Pedidos!$C$2:$C$1801,MATCH(B4180,Pedidos!$A$2:$A$1801,0)),"")</f>
        <v/>
      </c>
      <c r="K4180" s="21">
        <f>IFERROR(INDEX(Pedidos!$D$2:$D$1801,MATCH(B4180,Pedidos!$A$2:$A$1801,0)),"")</f>
        <v/>
      </c>
      <c r="L4180" s="21">
        <f>IFERROR(INDEX(Pedidos!$F$2:$F$1801,MATCH(B4180,Pedidos!$A$2:$A$1801,0)),"")</f>
        <v/>
      </c>
      <c r="M4180" s="22">
        <f>IFERROR(INDEX(Pedidos!$G$2:$G$1801,MATCH(B4180,Pedidos!$A$2:$A$1801,0)),0)</f>
        <v/>
      </c>
      <c r="N4180" s="21">
        <f>IFERROR(INDEX(Produtos!$B$2:$B$71,MATCH(C4180,Produtos!$A$2:$A$71,0)),"")</f>
        <v/>
      </c>
      <c r="O4180" s="21">
        <f>IFERROR(INDEX(Produtos!$C$2:$C$71,MATCH(C4180,Produtos!$A$2:$A$71,0)),"")</f>
        <v/>
      </c>
      <c r="P4180" s="21">
        <f>IFERROR(INDEX(Produtos!$D$2:$D$71,MATCH(C4180,Produtos!$A$2:$A$71,0)),0)</f>
        <v/>
      </c>
      <c r="Q4180" s="21">
        <f>IFERROR(INDEX(Produtos!$E$2:$E$71,MATCH(C4180,Produtos!$A$2:$A$71,0)),0)</f>
        <v/>
      </c>
      <c r="R4180" s="23">
        <f>D4180*Q4180</f>
        <v/>
      </c>
      <c r="S4180" s="23">
        <f>R4180*E4180</f>
        <v/>
      </c>
      <c r="T4180" s="23">
        <f>(R4180-S4180)*M4180</f>
        <v/>
      </c>
      <c r="U4180" s="23">
        <f>R4180-S4180-T4180</f>
        <v/>
      </c>
      <c r="V4180" s="23">
        <f>D4180*P4180</f>
        <v/>
      </c>
      <c r="W4180" s="23">
        <f>U4180-V4180</f>
        <v/>
      </c>
      <c r="X4180" s="24">
        <f>IFERROR(W4180/U4180,0)</f>
        <v/>
      </c>
    </row>
    <row r="4181">
      <c r="A4181" s="25">
        <f>ItensPedido!A4181</f>
        <v/>
      </c>
      <c r="B4181" s="25">
        <f>ItensPedido!B4181</f>
        <v/>
      </c>
      <c r="C4181" s="25">
        <f>ItensPedido!C4181</f>
        <v/>
      </c>
      <c r="D4181" s="25">
        <f>ItensPedido!D4181</f>
        <v/>
      </c>
      <c r="E4181" s="26">
        <f>ItensPedido!E4181</f>
        <v/>
      </c>
      <c r="F4181" s="25">
        <f>IFERROR(INDEX(Pedidos!$B$2:$B$1801,MATCH(B4181,Pedidos!$A$2:$A$1801,0)),0)</f>
        <v/>
      </c>
      <c r="G4181" s="25">
        <f>IF(F4181=0,"",YEAR(F4181))</f>
        <v/>
      </c>
      <c r="H4181" s="25">
        <f>IF(F4181=0,"",MONTH(F4181))</f>
        <v/>
      </c>
      <c r="I4181" s="25">
        <f>IFERROR(INDEX(Pedidos!$E$2:$E$1801,MATCH(B4181,Pedidos!$A$2:$A$1801,0)),"")</f>
        <v/>
      </c>
      <c r="J4181" s="25">
        <f>IFERROR(INDEX(Pedidos!$C$2:$C$1801,MATCH(B4181,Pedidos!$A$2:$A$1801,0)),"")</f>
        <v/>
      </c>
      <c r="K4181" s="25">
        <f>IFERROR(INDEX(Pedidos!$D$2:$D$1801,MATCH(B4181,Pedidos!$A$2:$A$1801,0)),"")</f>
        <v/>
      </c>
      <c r="L4181" s="25">
        <f>IFERROR(INDEX(Pedidos!$F$2:$F$1801,MATCH(B4181,Pedidos!$A$2:$A$1801,0)),"")</f>
        <v/>
      </c>
      <c r="M4181" s="26">
        <f>IFERROR(INDEX(Pedidos!$G$2:$G$1801,MATCH(B4181,Pedidos!$A$2:$A$1801,0)),0)</f>
        <v/>
      </c>
      <c r="N4181" s="25">
        <f>IFERROR(INDEX(Produtos!$B$2:$B$71,MATCH(C4181,Produtos!$A$2:$A$71,0)),"")</f>
        <v/>
      </c>
      <c r="O4181" s="25">
        <f>IFERROR(INDEX(Produtos!$C$2:$C$71,MATCH(C4181,Produtos!$A$2:$A$71,0)),"")</f>
        <v/>
      </c>
      <c r="P4181" s="25">
        <f>IFERROR(INDEX(Produtos!$D$2:$D$71,MATCH(C4181,Produtos!$A$2:$A$71,0)),0)</f>
        <v/>
      </c>
      <c r="Q4181" s="25">
        <f>IFERROR(INDEX(Produtos!$E$2:$E$71,MATCH(C4181,Produtos!$A$2:$A$71,0)),0)</f>
        <v/>
      </c>
      <c r="R4181" s="27">
        <f>D4181*Q4181</f>
        <v/>
      </c>
      <c r="S4181" s="27">
        <f>R4181*E4181</f>
        <v/>
      </c>
      <c r="T4181" s="27">
        <f>(R4181-S4181)*M4181</f>
        <v/>
      </c>
      <c r="U4181" s="27">
        <f>R4181-S4181-T4181</f>
        <v/>
      </c>
      <c r="V4181" s="27">
        <f>D4181*P4181</f>
        <v/>
      </c>
      <c r="W4181" s="27">
        <f>U4181-V4181</f>
        <v/>
      </c>
      <c r="X4181" s="28">
        <f>IFERROR(W4181/U4181,0)</f>
        <v/>
      </c>
    </row>
    <row r="4182">
      <c r="A4182" s="21">
        <f>ItensPedido!A4182</f>
        <v/>
      </c>
      <c r="B4182" s="21">
        <f>ItensPedido!B4182</f>
        <v/>
      </c>
      <c r="C4182" s="21">
        <f>ItensPedido!C4182</f>
        <v/>
      </c>
      <c r="D4182" s="21">
        <f>ItensPedido!D4182</f>
        <v/>
      </c>
      <c r="E4182" s="22">
        <f>ItensPedido!E4182</f>
        <v/>
      </c>
      <c r="F4182" s="21">
        <f>IFERROR(INDEX(Pedidos!$B$2:$B$1801,MATCH(B4182,Pedidos!$A$2:$A$1801,0)),0)</f>
        <v/>
      </c>
      <c r="G4182" s="21">
        <f>IF(F4182=0,"",YEAR(F4182))</f>
        <v/>
      </c>
      <c r="H4182" s="21">
        <f>IF(F4182=0,"",MONTH(F4182))</f>
        <v/>
      </c>
      <c r="I4182" s="21">
        <f>IFERROR(INDEX(Pedidos!$E$2:$E$1801,MATCH(B4182,Pedidos!$A$2:$A$1801,0)),"")</f>
        <v/>
      </c>
      <c r="J4182" s="21">
        <f>IFERROR(INDEX(Pedidos!$C$2:$C$1801,MATCH(B4182,Pedidos!$A$2:$A$1801,0)),"")</f>
        <v/>
      </c>
      <c r="K4182" s="21">
        <f>IFERROR(INDEX(Pedidos!$D$2:$D$1801,MATCH(B4182,Pedidos!$A$2:$A$1801,0)),"")</f>
        <v/>
      </c>
      <c r="L4182" s="21">
        <f>IFERROR(INDEX(Pedidos!$F$2:$F$1801,MATCH(B4182,Pedidos!$A$2:$A$1801,0)),"")</f>
        <v/>
      </c>
      <c r="M4182" s="22">
        <f>IFERROR(INDEX(Pedidos!$G$2:$G$1801,MATCH(B4182,Pedidos!$A$2:$A$1801,0)),0)</f>
        <v/>
      </c>
      <c r="N4182" s="21">
        <f>IFERROR(INDEX(Produtos!$B$2:$B$71,MATCH(C4182,Produtos!$A$2:$A$71,0)),"")</f>
        <v/>
      </c>
      <c r="O4182" s="21">
        <f>IFERROR(INDEX(Produtos!$C$2:$C$71,MATCH(C4182,Produtos!$A$2:$A$71,0)),"")</f>
        <v/>
      </c>
      <c r="P4182" s="21">
        <f>IFERROR(INDEX(Produtos!$D$2:$D$71,MATCH(C4182,Produtos!$A$2:$A$71,0)),0)</f>
        <v/>
      </c>
      <c r="Q4182" s="21">
        <f>IFERROR(INDEX(Produtos!$E$2:$E$71,MATCH(C4182,Produtos!$A$2:$A$71,0)),0)</f>
        <v/>
      </c>
      <c r="R4182" s="23">
        <f>D4182*Q4182</f>
        <v/>
      </c>
      <c r="S4182" s="23">
        <f>R4182*E4182</f>
        <v/>
      </c>
      <c r="T4182" s="23">
        <f>(R4182-S4182)*M4182</f>
        <v/>
      </c>
      <c r="U4182" s="23">
        <f>R4182-S4182-T4182</f>
        <v/>
      </c>
      <c r="V4182" s="23">
        <f>D4182*P4182</f>
        <v/>
      </c>
      <c r="W4182" s="23">
        <f>U4182-V4182</f>
        <v/>
      </c>
      <c r="X4182" s="24">
        <f>IFERROR(W4182/U4182,0)</f>
        <v/>
      </c>
    </row>
    <row r="4183">
      <c r="A4183" s="25">
        <f>ItensPedido!A4183</f>
        <v/>
      </c>
      <c r="B4183" s="25">
        <f>ItensPedido!B4183</f>
        <v/>
      </c>
      <c r="C4183" s="25">
        <f>ItensPedido!C4183</f>
        <v/>
      </c>
      <c r="D4183" s="25">
        <f>ItensPedido!D4183</f>
        <v/>
      </c>
      <c r="E4183" s="26">
        <f>ItensPedido!E4183</f>
        <v/>
      </c>
      <c r="F4183" s="25">
        <f>IFERROR(INDEX(Pedidos!$B$2:$B$1801,MATCH(B4183,Pedidos!$A$2:$A$1801,0)),0)</f>
        <v/>
      </c>
      <c r="G4183" s="25">
        <f>IF(F4183=0,"",YEAR(F4183))</f>
        <v/>
      </c>
      <c r="H4183" s="25">
        <f>IF(F4183=0,"",MONTH(F4183))</f>
        <v/>
      </c>
      <c r="I4183" s="25">
        <f>IFERROR(INDEX(Pedidos!$E$2:$E$1801,MATCH(B4183,Pedidos!$A$2:$A$1801,0)),"")</f>
        <v/>
      </c>
      <c r="J4183" s="25">
        <f>IFERROR(INDEX(Pedidos!$C$2:$C$1801,MATCH(B4183,Pedidos!$A$2:$A$1801,0)),"")</f>
        <v/>
      </c>
      <c r="K4183" s="25">
        <f>IFERROR(INDEX(Pedidos!$D$2:$D$1801,MATCH(B4183,Pedidos!$A$2:$A$1801,0)),"")</f>
        <v/>
      </c>
      <c r="L4183" s="25">
        <f>IFERROR(INDEX(Pedidos!$F$2:$F$1801,MATCH(B4183,Pedidos!$A$2:$A$1801,0)),"")</f>
        <v/>
      </c>
      <c r="M4183" s="26">
        <f>IFERROR(INDEX(Pedidos!$G$2:$G$1801,MATCH(B4183,Pedidos!$A$2:$A$1801,0)),0)</f>
        <v/>
      </c>
      <c r="N4183" s="25">
        <f>IFERROR(INDEX(Produtos!$B$2:$B$71,MATCH(C4183,Produtos!$A$2:$A$71,0)),"")</f>
        <v/>
      </c>
      <c r="O4183" s="25">
        <f>IFERROR(INDEX(Produtos!$C$2:$C$71,MATCH(C4183,Produtos!$A$2:$A$71,0)),"")</f>
        <v/>
      </c>
      <c r="P4183" s="25">
        <f>IFERROR(INDEX(Produtos!$D$2:$D$71,MATCH(C4183,Produtos!$A$2:$A$71,0)),0)</f>
        <v/>
      </c>
      <c r="Q4183" s="25">
        <f>IFERROR(INDEX(Produtos!$E$2:$E$71,MATCH(C4183,Produtos!$A$2:$A$71,0)),0)</f>
        <v/>
      </c>
      <c r="R4183" s="27">
        <f>D4183*Q4183</f>
        <v/>
      </c>
      <c r="S4183" s="27">
        <f>R4183*E4183</f>
        <v/>
      </c>
      <c r="T4183" s="27">
        <f>(R4183-S4183)*M4183</f>
        <v/>
      </c>
      <c r="U4183" s="27">
        <f>R4183-S4183-T4183</f>
        <v/>
      </c>
      <c r="V4183" s="27">
        <f>D4183*P4183</f>
        <v/>
      </c>
      <c r="W4183" s="27">
        <f>U4183-V4183</f>
        <v/>
      </c>
      <c r="X4183" s="28">
        <f>IFERROR(W4183/U4183,0)</f>
        <v/>
      </c>
    </row>
    <row r="4184">
      <c r="A4184" s="21">
        <f>ItensPedido!A4184</f>
        <v/>
      </c>
      <c r="B4184" s="21">
        <f>ItensPedido!B4184</f>
        <v/>
      </c>
      <c r="C4184" s="21">
        <f>ItensPedido!C4184</f>
        <v/>
      </c>
      <c r="D4184" s="21">
        <f>ItensPedido!D4184</f>
        <v/>
      </c>
      <c r="E4184" s="22">
        <f>ItensPedido!E4184</f>
        <v/>
      </c>
      <c r="F4184" s="21">
        <f>IFERROR(INDEX(Pedidos!$B$2:$B$1801,MATCH(B4184,Pedidos!$A$2:$A$1801,0)),0)</f>
        <v/>
      </c>
      <c r="G4184" s="21">
        <f>IF(F4184=0,"",YEAR(F4184))</f>
        <v/>
      </c>
      <c r="H4184" s="21">
        <f>IF(F4184=0,"",MONTH(F4184))</f>
        <v/>
      </c>
      <c r="I4184" s="21">
        <f>IFERROR(INDEX(Pedidos!$E$2:$E$1801,MATCH(B4184,Pedidos!$A$2:$A$1801,0)),"")</f>
        <v/>
      </c>
      <c r="J4184" s="21">
        <f>IFERROR(INDEX(Pedidos!$C$2:$C$1801,MATCH(B4184,Pedidos!$A$2:$A$1801,0)),"")</f>
        <v/>
      </c>
      <c r="K4184" s="21">
        <f>IFERROR(INDEX(Pedidos!$D$2:$D$1801,MATCH(B4184,Pedidos!$A$2:$A$1801,0)),"")</f>
        <v/>
      </c>
      <c r="L4184" s="21">
        <f>IFERROR(INDEX(Pedidos!$F$2:$F$1801,MATCH(B4184,Pedidos!$A$2:$A$1801,0)),"")</f>
        <v/>
      </c>
      <c r="M4184" s="22">
        <f>IFERROR(INDEX(Pedidos!$G$2:$G$1801,MATCH(B4184,Pedidos!$A$2:$A$1801,0)),0)</f>
        <v/>
      </c>
      <c r="N4184" s="21">
        <f>IFERROR(INDEX(Produtos!$B$2:$B$71,MATCH(C4184,Produtos!$A$2:$A$71,0)),"")</f>
        <v/>
      </c>
      <c r="O4184" s="21">
        <f>IFERROR(INDEX(Produtos!$C$2:$C$71,MATCH(C4184,Produtos!$A$2:$A$71,0)),"")</f>
        <v/>
      </c>
      <c r="P4184" s="21">
        <f>IFERROR(INDEX(Produtos!$D$2:$D$71,MATCH(C4184,Produtos!$A$2:$A$71,0)),0)</f>
        <v/>
      </c>
      <c r="Q4184" s="21">
        <f>IFERROR(INDEX(Produtos!$E$2:$E$71,MATCH(C4184,Produtos!$A$2:$A$71,0)),0)</f>
        <v/>
      </c>
      <c r="R4184" s="23">
        <f>D4184*Q4184</f>
        <v/>
      </c>
      <c r="S4184" s="23">
        <f>R4184*E4184</f>
        <v/>
      </c>
      <c r="T4184" s="23">
        <f>(R4184-S4184)*M4184</f>
        <v/>
      </c>
      <c r="U4184" s="23">
        <f>R4184-S4184-T4184</f>
        <v/>
      </c>
      <c r="V4184" s="23">
        <f>D4184*P4184</f>
        <v/>
      </c>
      <c r="W4184" s="23">
        <f>U4184-V4184</f>
        <v/>
      </c>
      <c r="X4184" s="24">
        <f>IFERROR(W4184/U4184,0)</f>
        <v/>
      </c>
    </row>
    <row r="4185">
      <c r="A4185" s="25">
        <f>ItensPedido!A4185</f>
        <v/>
      </c>
      <c r="B4185" s="25">
        <f>ItensPedido!B4185</f>
        <v/>
      </c>
      <c r="C4185" s="25">
        <f>ItensPedido!C4185</f>
        <v/>
      </c>
      <c r="D4185" s="25">
        <f>ItensPedido!D4185</f>
        <v/>
      </c>
      <c r="E4185" s="26">
        <f>ItensPedido!E4185</f>
        <v/>
      </c>
      <c r="F4185" s="25">
        <f>IFERROR(INDEX(Pedidos!$B$2:$B$1801,MATCH(B4185,Pedidos!$A$2:$A$1801,0)),0)</f>
        <v/>
      </c>
      <c r="G4185" s="25">
        <f>IF(F4185=0,"",YEAR(F4185))</f>
        <v/>
      </c>
      <c r="H4185" s="25">
        <f>IF(F4185=0,"",MONTH(F4185))</f>
        <v/>
      </c>
      <c r="I4185" s="25">
        <f>IFERROR(INDEX(Pedidos!$E$2:$E$1801,MATCH(B4185,Pedidos!$A$2:$A$1801,0)),"")</f>
        <v/>
      </c>
      <c r="J4185" s="25">
        <f>IFERROR(INDEX(Pedidos!$C$2:$C$1801,MATCH(B4185,Pedidos!$A$2:$A$1801,0)),"")</f>
        <v/>
      </c>
      <c r="K4185" s="25">
        <f>IFERROR(INDEX(Pedidos!$D$2:$D$1801,MATCH(B4185,Pedidos!$A$2:$A$1801,0)),"")</f>
        <v/>
      </c>
      <c r="L4185" s="25">
        <f>IFERROR(INDEX(Pedidos!$F$2:$F$1801,MATCH(B4185,Pedidos!$A$2:$A$1801,0)),"")</f>
        <v/>
      </c>
      <c r="M4185" s="26">
        <f>IFERROR(INDEX(Pedidos!$G$2:$G$1801,MATCH(B4185,Pedidos!$A$2:$A$1801,0)),0)</f>
        <v/>
      </c>
      <c r="N4185" s="25">
        <f>IFERROR(INDEX(Produtos!$B$2:$B$71,MATCH(C4185,Produtos!$A$2:$A$71,0)),"")</f>
        <v/>
      </c>
      <c r="O4185" s="25">
        <f>IFERROR(INDEX(Produtos!$C$2:$C$71,MATCH(C4185,Produtos!$A$2:$A$71,0)),"")</f>
        <v/>
      </c>
      <c r="P4185" s="25">
        <f>IFERROR(INDEX(Produtos!$D$2:$D$71,MATCH(C4185,Produtos!$A$2:$A$71,0)),0)</f>
        <v/>
      </c>
      <c r="Q4185" s="25">
        <f>IFERROR(INDEX(Produtos!$E$2:$E$71,MATCH(C4185,Produtos!$A$2:$A$71,0)),0)</f>
        <v/>
      </c>
      <c r="R4185" s="27">
        <f>D4185*Q4185</f>
        <v/>
      </c>
      <c r="S4185" s="27">
        <f>R4185*E4185</f>
        <v/>
      </c>
      <c r="T4185" s="27">
        <f>(R4185-S4185)*M4185</f>
        <v/>
      </c>
      <c r="U4185" s="27">
        <f>R4185-S4185-T4185</f>
        <v/>
      </c>
      <c r="V4185" s="27">
        <f>D4185*P4185</f>
        <v/>
      </c>
      <c r="W4185" s="27">
        <f>U4185-V4185</f>
        <v/>
      </c>
      <c r="X4185" s="28">
        <f>IFERROR(W4185/U4185,0)</f>
        <v/>
      </c>
    </row>
    <row r="4186">
      <c r="A4186" s="21">
        <f>ItensPedido!A4186</f>
        <v/>
      </c>
      <c r="B4186" s="21">
        <f>ItensPedido!B4186</f>
        <v/>
      </c>
      <c r="C4186" s="21">
        <f>ItensPedido!C4186</f>
        <v/>
      </c>
      <c r="D4186" s="21">
        <f>ItensPedido!D4186</f>
        <v/>
      </c>
      <c r="E4186" s="22">
        <f>ItensPedido!E4186</f>
        <v/>
      </c>
      <c r="F4186" s="21">
        <f>IFERROR(INDEX(Pedidos!$B$2:$B$1801,MATCH(B4186,Pedidos!$A$2:$A$1801,0)),0)</f>
        <v/>
      </c>
      <c r="G4186" s="21">
        <f>IF(F4186=0,"",YEAR(F4186))</f>
        <v/>
      </c>
      <c r="H4186" s="21">
        <f>IF(F4186=0,"",MONTH(F4186))</f>
        <v/>
      </c>
      <c r="I4186" s="21">
        <f>IFERROR(INDEX(Pedidos!$E$2:$E$1801,MATCH(B4186,Pedidos!$A$2:$A$1801,0)),"")</f>
        <v/>
      </c>
      <c r="J4186" s="21">
        <f>IFERROR(INDEX(Pedidos!$C$2:$C$1801,MATCH(B4186,Pedidos!$A$2:$A$1801,0)),"")</f>
        <v/>
      </c>
      <c r="K4186" s="21">
        <f>IFERROR(INDEX(Pedidos!$D$2:$D$1801,MATCH(B4186,Pedidos!$A$2:$A$1801,0)),"")</f>
        <v/>
      </c>
      <c r="L4186" s="21">
        <f>IFERROR(INDEX(Pedidos!$F$2:$F$1801,MATCH(B4186,Pedidos!$A$2:$A$1801,0)),"")</f>
        <v/>
      </c>
      <c r="M4186" s="22">
        <f>IFERROR(INDEX(Pedidos!$G$2:$G$1801,MATCH(B4186,Pedidos!$A$2:$A$1801,0)),0)</f>
        <v/>
      </c>
      <c r="N4186" s="21">
        <f>IFERROR(INDEX(Produtos!$B$2:$B$71,MATCH(C4186,Produtos!$A$2:$A$71,0)),"")</f>
        <v/>
      </c>
      <c r="O4186" s="21">
        <f>IFERROR(INDEX(Produtos!$C$2:$C$71,MATCH(C4186,Produtos!$A$2:$A$71,0)),"")</f>
        <v/>
      </c>
      <c r="P4186" s="21">
        <f>IFERROR(INDEX(Produtos!$D$2:$D$71,MATCH(C4186,Produtos!$A$2:$A$71,0)),0)</f>
        <v/>
      </c>
      <c r="Q4186" s="21">
        <f>IFERROR(INDEX(Produtos!$E$2:$E$71,MATCH(C4186,Produtos!$A$2:$A$71,0)),0)</f>
        <v/>
      </c>
      <c r="R4186" s="23">
        <f>D4186*Q4186</f>
        <v/>
      </c>
      <c r="S4186" s="23">
        <f>R4186*E4186</f>
        <v/>
      </c>
      <c r="T4186" s="23">
        <f>(R4186-S4186)*M4186</f>
        <v/>
      </c>
      <c r="U4186" s="23">
        <f>R4186-S4186-T4186</f>
        <v/>
      </c>
      <c r="V4186" s="23">
        <f>D4186*P4186</f>
        <v/>
      </c>
      <c r="W4186" s="23">
        <f>U4186-V4186</f>
        <v/>
      </c>
      <c r="X4186" s="24">
        <f>IFERROR(W4186/U4186,0)</f>
        <v/>
      </c>
    </row>
    <row r="4187">
      <c r="A4187" s="25">
        <f>ItensPedido!A4187</f>
        <v/>
      </c>
      <c r="B4187" s="25">
        <f>ItensPedido!B4187</f>
        <v/>
      </c>
      <c r="C4187" s="25">
        <f>ItensPedido!C4187</f>
        <v/>
      </c>
      <c r="D4187" s="25">
        <f>ItensPedido!D4187</f>
        <v/>
      </c>
      <c r="E4187" s="26">
        <f>ItensPedido!E4187</f>
        <v/>
      </c>
      <c r="F4187" s="25">
        <f>IFERROR(INDEX(Pedidos!$B$2:$B$1801,MATCH(B4187,Pedidos!$A$2:$A$1801,0)),0)</f>
        <v/>
      </c>
      <c r="G4187" s="25">
        <f>IF(F4187=0,"",YEAR(F4187))</f>
        <v/>
      </c>
      <c r="H4187" s="25">
        <f>IF(F4187=0,"",MONTH(F4187))</f>
        <v/>
      </c>
      <c r="I4187" s="25">
        <f>IFERROR(INDEX(Pedidos!$E$2:$E$1801,MATCH(B4187,Pedidos!$A$2:$A$1801,0)),"")</f>
        <v/>
      </c>
      <c r="J4187" s="25">
        <f>IFERROR(INDEX(Pedidos!$C$2:$C$1801,MATCH(B4187,Pedidos!$A$2:$A$1801,0)),"")</f>
        <v/>
      </c>
      <c r="K4187" s="25">
        <f>IFERROR(INDEX(Pedidos!$D$2:$D$1801,MATCH(B4187,Pedidos!$A$2:$A$1801,0)),"")</f>
        <v/>
      </c>
      <c r="L4187" s="25">
        <f>IFERROR(INDEX(Pedidos!$F$2:$F$1801,MATCH(B4187,Pedidos!$A$2:$A$1801,0)),"")</f>
        <v/>
      </c>
      <c r="M4187" s="26">
        <f>IFERROR(INDEX(Pedidos!$G$2:$G$1801,MATCH(B4187,Pedidos!$A$2:$A$1801,0)),0)</f>
        <v/>
      </c>
      <c r="N4187" s="25">
        <f>IFERROR(INDEX(Produtos!$B$2:$B$71,MATCH(C4187,Produtos!$A$2:$A$71,0)),"")</f>
        <v/>
      </c>
      <c r="O4187" s="25">
        <f>IFERROR(INDEX(Produtos!$C$2:$C$71,MATCH(C4187,Produtos!$A$2:$A$71,0)),"")</f>
        <v/>
      </c>
      <c r="P4187" s="25">
        <f>IFERROR(INDEX(Produtos!$D$2:$D$71,MATCH(C4187,Produtos!$A$2:$A$71,0)),0)</f>
        <v/>
      </c>
      <c r="Q4187" s="25">
        <f>IFERROR(INDEX(Produtos!$E$2:$E$71,MATCH(C4187,Produtos!$A$2:$A$71,0)),0)</f>
        <v/>
      </c>
      <c r="R4187" s="27">
        <f>D4187*Q4187</f>
        <v/>
      </c>
      <c r="S4187" s="27">
        <f>R4187*E4187</f>
        <v/>
      </c>
      <c r="T4187" s="27">
        <f>(R4187-S4187)*M4187</f>
        <v/>
      </c>
      <c r="U4187" s="27">
        <f>R4187-S4187-T4187</f>
        <v/>
      </c>
      <c r="V4187" s="27">
        <f>D4187*P4187</f>
        <v/>
      </c>
      <c r="W4187" s="27">
        <f>U4187-V4187</f>
        <v/>
      </c>
      <c r="X4187" s="28">
        <f>IFERROR(W4187/U4187,0)</f>
        <v/>
      </c>
    </row>
    <row r="4188">
      <c r="A4188" s="21">
        <f>ItensPedido!A4188</f>
        <v/>
      </c>
      <c r="B4188" s="21">
        <f>ItensPedido!B4188</f>
        <v/>
      </c>
      <c r="C4188" s="21">
        <f>ItensPedido!C4188</f>
        <v/>
      </c>
      <c r="D4188" s="21">
        <f>ItensPedido!D4188</f>
        <v/>
      </c>
      <c r="E4188" s="22">
        <f>ItensPedido!E4188</f>
        <v/>
      </c>
      <c r="F4188" s="21">
        <f>IFERROR(INDEX(Pedidos!$B$2:$B$1801,MATCH(B4188,Pedidos!$A$2:$A$1801,0)),0)</f>
        <v/>
      </c>
      <c r="G4188" s="21">
        <f>IF(F4188=0,"",YEAR(F4188))</f>
        <v/>
      </c>
      <c r="H4188" s="21">
        <f>IF(F4188=0,"",MONTH(F4188))</f>
        <v/>
      </c>
      <c r="I4188" s="21">
        <f>IFERROR(INDEX(Pedidos!$E$2:$E$1801,MATCH(B4188,Pedidos!$A$2:$A$1801,0)),"")</f>
        <v/>
      </c>
      <c r="J4188" s="21">
        <f>IFERROR(INDEX(Pedidos!$C$2:$C$1801,MATCH(B4188,Pedidos!$A$2:$A$1801,0)),"")</f>
        <v/>
      </c>
      <c r="K4188" s="21">
        <f>IFERROR(INDEX(Pedidos!$D$2:$D$1801,MATCH(B4188,Pedidos!$A$2:$A$1801,0)),"")</f>
        <v/>
      </c>
      <c r="L4188" s="21">
        <f>IFERROR(INDEX(Pedidos!$F$2:$F$1801,MATCH(B4188,Pedidos!$A$2:$A$1801,0)),"")</f>
        <v/>
      </c>
      <c r="M4188" s="22">
        <f>IFERROR(INDEX(Pedidos!$G$2:$G$1801,MATCH(B4188,Pedidos!$A$2:$A$1801,0)),0)</f>
        <v/>
      </c>
      <c r="N4188" s="21">
        <f>IFERROR(INDEX(Produtos!$B$2:$B$71,MATCH(C4188,Produtos!$A$2:$A$71,0)),"")</f>
        <v/>
      </c>
      <c r="O4188" s="21">
        <f>IFERROR(INDEX(Produtos!$C$2:$C$71,MATCH(C4188,Produtos!$A$2:$A$71,0)),"")</f>
        <v/>
      </c>
      <c r="P4188" s="21">
        <f>IFERROR(INDEX(Produtos!$D$2:$D$71,MATCH(C4188,Produtos!$A$2:$A$71,0)),0)</f>
        <v/>
      </c>
      <c r="Q4188" s="21">
        <f>IFERROR(INDEX(Produtos!$E$2:$E$71,MATCH(C4188,Produtos!$A$2:$A$71,0)),0)</f>
        <v/>
      </c>
      <c r="R4188" s="23">
        <f>D4188*Q4188</f>
        <v/>
      </c>
      <c r="S4188" s="23">
        <f>R4188*E4188</f>
        <v/>
      </c>
      <c r="T4188" s="23">
        <f>(R4188-S4188)*M4188</f>
        <v/>
      </c>
      <c r="U4188" s="23">
        <f>R4188-S4188-T4188</f>
        <v/>
      </c>
      <c r="V4188" s="23">
        <f>D4188*P4188</f>
        <v/>
      </c>
      <c r="W4188" s="23">
        <f>U4188-V4188</f>
        <v/>
      </c>
      <c r="X4188" s="24">
        <f>IFERROR(W4188/U4188,0)</f>
        <v/>
      </c>
    </row>
    <row r="4189">
      <c r="A4189" s="25">
        <f>ItensPedido!A4189</f>
        <v/>
      </c>
      <c r="B4189" s="25">
        <f>ItensPedido!B4189</f>
        <v/>
      </c>
      <c r="C4189" s="25">
        <f>ItensPedido!C4189</f>
        <v/>
      </c>
      <c r="D4189" s="25">
        <f>ItensPedido!D4189</f>
        <v/>
      </c>
      <c r="E4189" s="26">
        <f>ItensPedido!E4189</f>
        <v/>
      </c>
      <c r="F4189" s="25">
        <f>IFERROR(INDEX(Pedidos!$B$2:$B$1801,MATCH(B4189,Pedidos!$A$2:$A$1801,0)),0)</f>
        <v/>
      </c>
      <c r="G4189" s="25">
        <f>IF(F4189=0,"",YEAR(F4189))</f>
        <v/>
      </c>
      <c r="H4189" s="25">
        <f>IF(F4189=0,"",MONTH(F4189))</f>
        <v/>
      </c>
      <c r="I4189" s="25">
        <f>IFERROR(INDEX(Pedidos!$E$2:$E$1801,MATCH(B4189,Pedidos!$A$2:$A$1801,0)),"")</f>
        <v/>
      </c>
      <c r="J4189" s="25">
        <f>IFERROR(INDEX(Pedidos!$C$2:$C$1801,MATCH(B4189,Pedidos!$A$2:$A$1801,0)),"")</f>
        <v/>
      </c>
      <c r="K4189" s="25">
        <f>IFERROR(INDEX(Pedidos!$D$2:$D$1801,MATCH(B4189,Pedidos!$A$2:$A$1801,0)),"")</f>
        <v/>
      </c>
      <c r="L4189" s="25">
        <f>IFERROR(INDEX(Pedidos!$F$2:$F$1801,MATCH(B4189,Pedidos!$A$2:$A$1801,0)),"")</f>
        <v/>
      </c>
      <c r="M4189" s="26">
        <f>IFERROR(INDEX(Pedidos!$G$2:$G$1801,MATCH(B4189,Pedidos!$A$2:$A$1801,0)),0)</f>
        <v/>
      </c>
      <c r="N4189" s="25">
        <f>IFERROR(INDEX(Produtos!$B$2:$B$71,MATCH(C4189,Produtos!$A$2:$A$71,0)),"")</f>
        <v/>
      </c>
      <c r="O4189" s="25">
        <f>IFERROR(INDEX(Produtos!$C$2:$C$71,MATCH(C4189,Produtos!$A$2:$A$71,0)),"")</f>
        <v/>
      </c>
      <c r="P4189" s="25">
        <f>IFERROR(INDEX(Produtos!$D$2:$D$71,MATCH(C4189,Produtos!$A$2:$A$71,0)),0)</f>
        <v/>
      </c>
      <c r="Q4189" s="25">
        <f>IFERROR(INDEX(Produtos!$E$2:$E$71,MATCH(C4189,Produtos!$A$2:$A$71,0)),0)</f>
        <v/>
      </c>
      <c r="R4189" s="27">
        <f>D4189*Q4189</f>
        <v/>
      </c>
      <c r="S4189" s="27">
        <f>R4189*E4189</f>
        <v/>
      </c>
      <c r="T4189" s="27">
        <f>(R4189-S4189)*M4189</f>
        <v/>
      </c>
      <c r="U4189" s="27">
        <f>R4189-S4189-T4189</f>
        <v/>
      </c>
      <c r="V4189" s="27">
        <f>D4189*P4189</f>
        <v/>
      </c>
      <c r="W4189" s="27">
        <f>U4189-V4189</f>
        <v/>
      </c>
      <c r="X4189" s="28">
        <f>IFERROR(W4189/U4189,0)</f>
        <v/>
      </c>
    </row>
    <row r="4190">
      <c r="A4190" s="21">
        <f>ItensPedido!A4190</f>
        <v/>
      </c>
      <c r="B4190" s="21">
        <f>ItensPedido!B4190</f>
        <v/>
      </c>
      <c r="C4190" s="21">
        <f>ItensPedido!C4190</f>
        <v/>
      </c>
      <c r="D4190" s="21">
        <f>ItensPedido!D4190</f>
        <v/>
      </c>
      <c r="E4190" s="22">
        <f>ItensPedido!E4190</f>
        <v/>
      </c>
      <c r="F4190" s="21">
        <f>IFERROR(INDEX(Pedidos!$B$2:$B$1801,MATCH(B4190,Pedidos!$A$2:$A$1801,0)),0)</f>
        <v/>
      </c>
      <c r="G4190" s="21">
        <f>IF(F4190=0,"",YEAR(F4190))</f>
        <v/>
      </c>
      <c r="H4190" s="21">
        <f>IF(F4190=0,"",MONTH(F4190))</f>
        <v/>
      </c>
      <c r="I4190" s="21">
        <f>IFERROR(INDEX(Pedidos!$E$2:$E$1801,MATCH(B4190,Pedidos!$A$2:$A$1801,0)),"")</f>
        <v/>
      </c>
      <c r="J4190" s="21">
        <f>IFERROR(INDEX(Pedidos!$C$2:$C$1801,MATCH(B4190,Pedidos!$A$2:$A$1801,0)),"")</f>
        <v/>
      </c>
      <c r="K4190" s="21">
        <f>IFERROR(INDEX(Pedidos!$D$2:$D$1801,MATCH(B4190,Pedidos!$A$2:$A$1801,0)),"")</f>
        <v/>
      </c>
      <c r="L4190" s="21">
        <f>IFERROR(INDEX(Pedidos!$F$2:$F$1801,MATCH(B4190,Pedidos!$A$2:$A$1801,0)),"")</f>
        <v/>
      </c>
      <c r="M4190" s="22">
        <f>IFERROR(INDEX(Pedidos!$G$2:$G$1801,MATCH(B4190,Pedidos!$A$2:$A$1801,0)),0)</f>
        <v/>
      </c>
      <c r="N4190" s="21">
        <f>IFERROR(INDEX(Produtos!$B$2:$B$71,MATCH(C4190,Produtos!$A$2:$A$71,0)),"")</f>
        <v/>
      </c>
      <c r="O4190" s="21">
        <f>IFERROR(INDEX(Produtos!$C$2:$C$71,MATCH(C4190,Produtos!$A$2:$A$71,0)),"")</f>
        <v/>
      </c>
      <c r="P4190" s="21">
        <f>IFERROR(INDEX(Produtos!$D$2:$D$71,MATCH(C4190,Produtos!$A$2:$A$71,0)),0)</f>
        <v/>
      </c>
      <c r="Q4190" s="21">
        <f>IFERROR(INDEX(Produtos!$E$2:$E$71,MATCH(C4190,Produtos!$A$2:$A$71,0)),0)</f>
        <v/>
      </c>
      <c r="R4190" s="23">
        <f>D4190*Q4190</f>
        <v/>
      </c>
      <c r="S4190" s="23">
        <f>R4190*E4190</f>
        <v/>
      </c>
      <c r="T4190" s="23">
        <f>(R4190-S4190)*M4190</f>
        <v/>
      </c>
      <c r="U4190" s="23">
        <f>R4190-S4190-T4190</f>
        <v/>
      </c>
      <c r="V4190" s="23">
        <f>D4190*P4190</f>
        <v/>
      </c>
      <c r="W4190" s="23">
        <f>U4190-V4190</f>
        <v/>
      </c>
      <c r="X4190" s="24">
        <f>IFERROR(W4190/U4190,0)</f>
        <v/>
      </c>
    </row>
    <row r="4191">
      <c r="A4191" s="25">
        <f>ItensPedido!A4191</f>
        <v/>
      </c>
      <c r="B4191" s="25">
        <f>ItensPedido!B4191</f>
        <v/>
      </c>
      <c r="C4191" s="25">
        <f>ItensPedido!C4191</f>
        <v/>
      </c>
      <c r="D4191" s="25">
        <f>ItensPedido!D4191</f>
        <v/>
      </c>
      <c r="E4191" s="26">
        <f>ItensPedido!E4191</f>
        <v/>
      </c>
      <c r="F4191" s="25">
        <f>IFERROR(INDEX(Pedidos!$B$2:$B$1801,MATCH(B4191,Pedidos!$A$2:$A$1801,0)),0)</f>
        <v/>
      </c>
      <c r="G4191" s="25">
        <f>IF(F4191=0,"",YEAR(F4191))</f>
        <v/>
      </c>
      <c r="H4191" s="25">
        <f>IF(F4191=0,"",MONTH(F4191))</f>
        <v/>
      </c>
      <c r="I4191" s="25">
        <f>IFERROR(INDEX(Pedidos!$E$2:$E$1801,MATCH(B4191,Pedidos!$A$2:$A$1801,0)),"")</f>
        <v/>
      </c>
      <c r="J4191" s="25">
        <f>IFERROR(INDEX(Pedidos!$C$2:$C$1801,MATCH(B4191,Pedidos!$A$2:$A$1801,0)),"")</f>
        <v/>
      </c>
      <c r="K4191" s="25">
        <f>IFERROR(INDEX(Pedidos!$D$2:$D$1801,MATCH(B4191,Pedidos!$A$2:$A$1801,0)),"")</f>
        <v/>
      </c>
      <c r="L4191" s="25">
        <f>IFERROR(INDEX(Pedidos!$F$2:$F$1801,MATCH(B4191,Pedidos!$A$2:$A$1801,0)),"")</f>
        <v/>
      </c>
      <c r="M4191" s="26">
        <f>IFERROR(INDEX(Pedidos!$G$2:$G$1801,MATCH(B4191,Pedidos!$A$2:$A$1801,0)),0)</f>
        <v/>
      </c>
      <c r="N4191" s="25">
        <f>IFERROR(INDEX(Produtos!$B$2:$B$71,MATCH(C4191,Produtos!$A$2:$A$71,0)),"")</f>
        <v/>
      </c>
      <c r="O4191" s="25">
        <f>IFERROR(INDEX(Produtos!$C$2:$C$71,MATCH(C4191,Produtos!$A$2:$A$71,0)),"")</f>
        <v/>
      </c>
      <c r="P4191" s="25">
        <f>IFERROR(INDEX(Produtos!$D$2:$D$71,MATCH(C4191,Produtos!$A$2:$A$71,0)),0)</f>
        <v/>
      </c>
      <c r="Q4191" s="25">
        <f>IFERROR(INDEX(Produtos!$E$2:$E$71,MATCH(C4191,Produtos!$A$2:$A$71,0)),0)</f>
        <v/>
      </c>
      <c r="R4191" s="27">
        <f>D4191*Q4191</f>
        <v/>
      </c>
      <c r="S4191" s="27">
        <f>R4191*E4191</f>
        <v/>
      </c>
      <c r="T4191" s="27">
        <f>(R4191-S4191)*M4191</f>
        <v/>
      </c>
      <c r="U4191" s="27">
        <f>R4191-S4191-T4191</f>
        <v/>
      </c>
      <c r="V4191" s="27">
        <f>D4191*P4191</f>
        <v/>
      </c>
      <c r="W4191" s="27">
        <f>U4191-V4191</f>
        <v/>
      </c>
      <c r="X4191" s="28">
        <f>IFERROR(W4191/U4191,0)</f>
        <v/>
      </c>
    </row>
    <row r="4192">
      <c r="A4192" s="21">
        <f>ItensPedido!A4192</f>
        <v/>
      </c>
      <c r="B4192" s="21">
        <f>ItensPedido!B4192</f>
        <v/>
      </c>
      <c r="C4192" s="21">
        <f>ItensPedido!C4192</f>
        <v/>
      </c>
      <c r="D4192" s="21">
        <f>ItensPedido!D4192</f>
        <v/>
      </c>
      <c r="E4192" s="22">
        <f>ItensPedido!E4192</f>
        <v/>
      </c>
      <c r="F4192" s="21">
        <f>IFERROR(INDEX(Pedidos!$B$2:$B$1801,MATCH(B4192,Pedidos!$A$2:$A$1801,0)),0)</f>
        <v/>
      </c>
      <c r="G4192" s="21">
        <f>IF(F4192=0,"",YEAR(F4192))</f>
        <v/>
      </c>
      <c r="H4192" s="21">
        <f>IF(F4192=0,"",MONTH(F4192))</f>
        <v/>
      </c>
      <c r="I4192" s="21">
        <f>IFERROR(INDEX(Pedidos!$E$2:$E$1801,MATCH(B4192,Pedidos!$A$2:$A$1801,0)),"")</f>
        <v/>
      </c>
      <c r="J4192" s="21">
        <f>IFERROR(INDEX(Pedidos!$C$2:$C$1801,MATCH(B4192,Pedidos!$A$2:$A$1801,0)),"")</f>
        <v/>
      </c>
      <c r="K4192" s="21">
        <f>IFERROR(INDEX(Pedidos!$D$2:$D$1801,MATCH(B4192,Pedidos!$A$2:$A$1801,0)),"")</f>
        <v/>
      </c>
      <c r="L4192" s="21">
        <f>IFERROR(INDEX(Pedidos!$F$2:$F$1801,MATCH(B4192,Pedidos!$A$2:$A$1801,0)),"")</f>
        <v/>
      </c>
      <c r="M4192" s="22">
        <f>IFERROR(INDEX(Pedidos!$G$2:$G$1801,MATCH(B4192,Pedidos!$A$2:$A$1801,0)),0)</f>
        <v/>
      </c>
      <c r="N4192" s="21">
        <f>IFERROR(INDEX(Produtos!$B$2:$B$71,MATCH(C4192,Produtos!$A$2:$A$71,0)),"")</f>
        <v/>
      </c>
      <c r="O4192" s="21">
        <f>IFERROR(INDEX(Produtos!$C$2:$C$71,MATCH(C4192,Produtos!$A$2:$A$71,0)),"")</f>
        <v/>
      </c>
      <c r="P4192" s="21">
        <f>IFERROR(INDEX(Produtos!$D$2:$D$71,MATCH(C4192,Produtos!$A$2:$A$71,0)),0)</f>
        <v/>
      </c>
      <c r="Q4192" s="21">
        <f>IFERROR(INDEX(Produtos!$E$2:$E$71,MATCH(C4192,Produtos!$A$2:$A$71,0)),0)</f>
        <v/>
      </c>
      <c r="R4192" s="23">
        <f>D4192*Q4192</f>
        <v/>
      </c>
      <c r="S4192" s="23">
        <f>R4192*E4192</f>
        <v/>
      </c>
      <c r="T4192" s="23">
        <f>(R4192-S4192)*M4192</f>
        <v/>
      </c>
      <c r="U4192" s="23">
        <f>R4192-S4192-T4192</f>
        <v/>
      </c>
      <c r="V4192" s="23">
        <f>D4192*P4192</f>
        <v/>
      </c>
      <c r="W4192" s="23">
        <f>U4192-V4192</f>
        <v/>
      </c>
      <c r="X4192" s="24">
        <f>IFERROR(W4192/U4192,0)</f>
        <v/>
      </c>
    </row>
    <row r="4193">
      <c r="A4193" s="25">
        <f>ItensPedido!A4193</f>
        <v/>
      </c>
      <c r="B4193" s="25">
        <f>ItensPedido!B4193</f>
        <v/>
      </c>
      <c r="C4193" s="25">
        <f>ItensPedido!C4193</f>
        <v/>
      </c>
      <c r="D4193" s="25">
        <f>ItensPedido!D4193</f>
        <v/>
      </c>
      <c r="E4193" s="26">
        <f>ItensPedido!E4193</f>
        <v/>
      </c>
      <c r="F4193" s="25">
        <f>IFERROR(INDEX(Pedidos!$B$2:$B$1801,MATCH(B4193,Pedidos!$A$2:$A$1801,0)),0)</f>
        <v/>
      </c>
      <c r="G4193" s="25">
        <f>IF(F4193=0,"",YEAR(F4193))</f>
        <v/>
      </c>
      <c r="H4193" s="25">
        <f>IF(F4193=0,"",MONTH(F4193))</f>
        <v/>
      </c>
      <c r="I4193" s="25">
        <f>IFERROR(INDEX(Pedidos!$E$2:$E$1801,MATCH(B4193,Pedidos!$A$2:$A$1801,0)),"")</f>
        <v/>
      </c>
      <c r="J4193" s="25">
        <f>IFERROR(INDEX(Pedidos!$C$2:$C$1801,MATCH(B4193,Pedidos!$A$2:$A$1801,0)),"")</f>
        <v/>
      </c>
      <c r="K4193" s="25">
        <f>IFERROR(INDEX(Pedidos!$D$2:$D$1801,MATCH(B4193,Pedidos!$A$2:$A$1801,0)),"")</f>
        <v/>
      </c>
      <c r="L4193" s="25">
        <f>IFERROR(INDEX(Pedidos!$F$2:$F$1801,MATCH(B4193,Pedidos!$A$2:$A$1801,0)),"")</f>
        <v/>
      </c>
      <c r="M4193" s="26">
        <f>IFERROR(INDEX(Pedidos!$G$2:$G$1801,MATCH(B4193,Pedidos!$A$2:$A$1801,0)),0)</f>
        <v/>
      </c>
      <c r="N4193" s="25">
        <f>IFERROR(INDEX(Produtos!$B$2:$B$71,MATCH(C4193,Produtos!$A$2:$A$71,0)),"")</f>
        <v/>
      </c>
      <c r="O4193" s="25">
        <f>IFERROR(INDEX(Produtos!$C$2:$C$71,MATCH(C4193,Produtos!$A$2:$A$71,0)),"")</f>
        <v/>
      </c>
      <c r="P4193" s="25">
        <f>IFERROR(INDEX(Produtos!$D$2:$D$71,MATCH(C4193,Produtos!$A$2:$A$71,0)),0)</f>
        <v/>
      </c>
      <c r="Q4193" s="25">
        <f>IFERROR(INDEX(Produtos!$E$2:$E$71,MATCH(C4193,Produtos!$A$2:$A$71,0)),0)</f>
        <v/>
      </c>
      <c r="R4193" s="27">
        <f>D4193*Q4193</f>
        <v/>
      </c>
      <c r="S4193" s="27">
        <f>R4193*E4193</f>
        <v/>
      </c>
      <c r="T4193" s="27">
        <f>(R4193-S4193)*M4193</f>
        <v/>
      </c>
      <c r="U4193" s="27">
        <f>R4193-S4193-T4193</f>
        <v/>
      </c>
      <c r="V4193" s="27">
        <f>D4193*P4193</f>
        <v/>
      </c>
      <c r="W4193" s="27">
        <f>U4193-V4193</f>
        <v/>
      </c>
      <c r="X4193" s="28">
        <f>IFERROR(W4193/U4193,0)</f>
        <v/>
      </c>
    </row>
    <row r="4194">
      <c r="A4194" s="21">
        <f>ItensPedido!A4194</f>
        <v/>
      </c>
      <c r="B4194" s="21">
        <f>ItensPedido!B4194</f>
        <v/>
      </c>
      <c r="C4194" s="21">
        <f>ItensPedido!C4194</f>
        <v/>
      </c>
      <c r="D4194" s="21">
        <f>ItensPedido!D4194</f>
        <v/>
      </c>
      <c r="E4194" s="22">
        <f>ItensPedido!E4194</f>
        <v/>
      </c>
      <c r="F4194" s="21">
        <f>IFERROR(INDEX(Pedidos!$B$2:$B$1801,MATCH(B4194,Pedidos!$A$2:$A$1801,0)),0)</f>
        <v/>
      </c>
      <c r="G4194" s="21">
        <f>IF(F4194=0,"",YEAR(F4194))</f>
        <v/>
      </c>
      <c r="H4194" s="21">
        <f>IF(F4194=0,"",MONTH(F4194))</f>
        <v/>
      </c>
      <c r="I4194" s="21">
        <f>IFERROR(INDEX(Pedidos!$E$2:$E$1801,MATCH(B4194,Pedidos!$A$2:$A$1801,0)),"")</f>
        <v/>
      </c>
      <c r="J4194" s="21">
        <f>IFERROR(INDEX(Pedidos!$C$2:$C$1801,MATCH(B4194,Pedidos!$A$2:$A$1801,0)),"")</f>
        <v/>
      </c>
      <c r="K4194" s="21">
        <f>IFERROR(INDEX(Pedidos!$D$2:$D$1801,MATCH(B4194,Pedidos!$A$2:$A$1801,0)),"")</f>
        <v/>
      </c>
      <c r="L4194" s="21">
        <f>IFERROR(INDEX(Pedidos!$F$2:$F$1801,MATCH(B4194,Pedidos!$A$2:$A$1801,0)),"")</f>
        <v/>
      </c>
      <c r="M4194" s="22">
        <f>IFERROR(INDEX(Pedidos!$G$2:$G$1801,MATCH(B4194,Pedidos!$A$2:$A$1801,0)),0)</f>
        <v/>
      </c>
      <c r="N4194" s="21">
        <f>IFERROR(INDEX(Produtos!$B$2:$B$71,MATCH(C4194,Produtos!$A$2:$A$71,0)),"")</f>
        <v/>
      </c>
      <c r="O4194" s="21">
        <f>IFERROR(INDEX(Produtos!$C$2:$C$71,MATCH(C4194,Produtos!$A$2:$A$71,0)),"")</f>
        <v/>
      </c>
      <c r="P4194" s="21">
        <f>IFERROR(INDEX(Produtos!$D$2:$D$71,MATCH(C4194,Produtos!$A$2:$A$71,0)),0)</f>
        <v/>
      </c>
      <c r="Q4194" s="21">
        <f>IFERROR(INDEX(Produtos!$E$2:$E$71,MATCH(C4194,Produtos!$A$2:$A$71,0)),0)</f>
        <v/>
      </c>
      <c r="R4194" s="23">
        <f>D4194*Q4194</f>
        <v/>
      </c>
      <c r="S4194" s="23">
        <f>R4194*E4194</f>
        <v/>
      </c>
      <c r="T4194" s="23">
        <f>(R4194-S4194)*M4194</f>
        <v/>
      </c>
      <c r="U4194" s="23">
        <f>R4194-S4194-T4194</f>
        <v/>
      </c>
      <c r="V4194" s="23">
        <f>D4194*P4194</f>
        <v/>
      </c>
      <c r="W4194" s="23">
        <f>U4194-V4194</f>
        <v/>
      </c>
      <c r="X4194" s="24">
        <f>IFERROR(W4194/U4194,0)</f>
        <v/>
      </c>
    </row>
    <row r="4195">
      <c r="A4195" s="25">
        <f>ItensPedido!A4195</f>
        <v/>
      </c>
      <c r="B4195" s="25">
        <f>ItensPedido!B4195</f>
        <v/>
      </c>
      <c r="C4195" s="25">
        <f>ItensPedido!C4195</f>
        <v/>
      </c>
      <c r="D4195" s="25">
        <f>ItensPedido!D4195</f>
        <v/>
      </c>
      <c r="E4195" s="26">
        <f>ItensPedido!E4195</f>
        <v/>
      </c>
      <c r="F4195" s="25">
        <f>IFERROR(INDEX(Pedidos!$B$2:$B$1801,MATCH(B4195,Pedidos!$A$2:$A$1801,0)),0)</f>
        <v/>
      </c>
      <c r="G4195" s="25">
        <f>IF(F4195=0,"",YEAR(F4195))</f>
        <v/>
      </c>
      <c r="H4195" s="25">
        <f>IF(F4195=0,"",MONTH(F4195))</f>
        <v/>
      </c>
      <c r="I4195" s="25">
        <f>IFERROR(INDEX(Pedidos!$E$2:$E$1801,MATCH(B4195,Pedidos!$A$2:$A$1801,0)),"")</f>
        <v/>
      </c>
      <c r="J4195" s="25">
        <f>IFERROR(INDEX(Pedidos!$C$2:$C$1801,MATCH(B4195,Pedidos!$A$2:$A$1801,0)),"")</f>
        <v/>
      </c>
      <c r="K4195" s="25">
        <f>IFERROR(INDEX(Pedidos!$D$2:$D$1801,MATCH(B4195,Pedidos!$A$2:$A$1801,0)),"")</f>
        <v/>
      </c>
      <c r="L4195" s="25">
        <f>IFERROR(INDEX(Pedidos!$F$2:$F$1801,MATCH(B4195,Pedidos!$A$2:$A$1801,0)),"")</f>
        <v/>
      </c>
      <c r="M4195" s="26">
        <f>IFERROR(INDEX(Pedidos!$G$2:$G$1801,MATCH(B4195,Pedidos!$A$2:$A$1801,0)),0)</f>
        <v/>
      </c>
      <c r="N4195" s="25">
        <f>IFERROR(INDEX(Produtos!$B$2:$B$71,MATCH(C4195,Produtos!$A$2:$A$71,0)),"")</f>
        <v/>
      </c>
      <c r="O4195" s="25">
        <f>IFERROR(INDEX(Produtos!$C$2:$C$71,MATCH(C4195,Produtos!$A$2:$A$71,0)),"")</f>
        <v/>
      </c>
      <c r="P4195" s="25">
        <f>IFERROR(INDEX(Produtos!$D$2:$D$71,MATCH(C4195,Produtos!$A$2:$A$71,0)),0)</f>
        <v/>
      </c>
      <c r="Q4195" s="25">
        <f>IFERROR(INDEX(Produtos!$E$2:$E$71,MATCH(C4195,Produtos!$A$2:$A$71,0)),0)</f>
        <v/>
      </c>
      <c r="R4195" s="27">
        <f>D4195*Q4195</f>
        <v/>
      </c>
      <c r="S4195" s="27">
        <f>R4195*E4195</f>
        <v/>
      </c>
      <c r="T4195" s="27">
        <f>(R4195-S4195)*M4195</f>
        <v/>
      </c>
      <c r="U4195" s="27">
        <f>R4195-S4195-T4195</f>
        <v/>
      </c>
      <c r="V4195" s="27">
        <f>D4195*P4195</f>
        <v/>
      </c>
      <c r="W4195" s="27">
        <f>U4195-V4195</f>
        <v/>
      </c>
      <c r="X4195" s="28">
        <f>IFERROR(W4195/U4195,0)</f>
        <v/>
      </c>
    </row>
    <row r="4196">
      <c r="A4196" s="21">
        <f>ItensPedido!A4196</f>
        <v/>
      </c>
      <c r="B4196" s="21">
        <f>ItensPedido!B4196</f>
        <v/>
      </c>
      <c r="C4196" s="21">
        <f>ItensPedido!C4196</f>
        <v/>
      </c>
      <c r="D4196" s="21">
        <f>ItensPedido!D4196</f>
        <v/>
      </c>
      <c r="E4196" s="22">
        <f>ItensPedido!E4196</f>
        <v/>
      </c>
      <c r="F4196" s="21">
        <f>IFERROR(INDEX(Pedidos!$B$2:$B$1801,MATCH(B4196,Pedidos!$A$2:$A$1801,0)),0)</f>
        <v/>
      </c>
      <c r="G4196" s="21">
        <f>IF(F4196=0,"",YEAR(F4196))</f>
        <v/>
      </c>
      <c r="H4196" s="21">
        <f>IF(F4196=0,"",MONTH(F4196))</f>
        <v/>
      </c>
      <c r="I4196" s="21">
        <f>IFERROR(INDEX(Pedidos!$E$2:$E$1801,MATCH(B4196,Pedidos!$A$2:$A$1801,0)),"")</f>
        <v/>
      </c>
      <c r="J4196" s="21">
        <f>IFERROR(INDEX(Pedidos!$C$2:$C$1801,MATCH(B4196,Pedidos!$A$2:$A$1801,0)),"")</f>
        <v/>
      </c>
      <c r="K4196" s="21">
        <f>IFERROR(INDEX(Pedidos!$D$2:$D$1801,MATCH(B4196,Pedidos!$A$2:$A$1801,0)),"")</f>
        <v/>
      </c>
      <c r="L4196" s="21">
        <f>IFERROR(INDEX(Pedidos!$F$2:$F$1801,MATCH(B4196,Pedidos!$A$2:$A$1801,0)),"")</f>
        <v/>
      </c>
      <c r="M4196" s="22">
        <f>IFERROR(INDEX(Pedidos!$G$2:$G$1801,MATCH(B4196,Pedidos!$A$2:$A$1801,0)),0)</f>
        <v/>
      </c>
      <c r="N4196" s="21">
        <f>IFERROR(INDEX(Produtos!$B$2:$B$71,MATCH(C4196,Produtos!$A$2:$A$71,0)),"")</f>
        <v/>
      </c>
      <c r="O4196" s="21">
        <f>IFERROR(INDEX(Produtos!$C$2:$C$71,MATCH(C4196,Produtos!$A$2:$A$71,0)),"")</f>
        <v/>
      </c>
      <c r="P4196" s="21">
        <f>IFERROR(INDEX(Produtos!$D$2:$D$71,MATCH(C4196,Produtos!$A$2:$A$71,0)),0)</f>
        <v/>
      </c>
      <c r="Q4196" s="21">
        <f>IFERROR(INDEX(Produtos!$E$2:$E$71,MATCH(C4196,Produtos!$A$2:$A$71,0)),0)</f>
        <v/>
      </c>
      <c r="R4196" s="23">
        <f>D4196*Q4196</f>
        <v/>
      </c>
      <c r="S4196" s="23">
        <f>R4196*E4196</f>
        <v/>
      </c>
      <c r="T4196" s="23">
        <f>(R4196-S4196)*M4196</f>
        <v/>
      </c>
      <c r="U4196" s="23">
        <f>R4196-S4196-T4196</f>
        <v/>
      </c>
      <c r="V4196" s="23">
        <f>D4196*P4196</f>
        <v/>
      </c>
      <c r="W4196" s="23">
        <f>U4196-V4196</f>
        <v/>
      </c>
      <c r="X4196" s="24">
        <f>IFERROR(W4196/U4196,0)</f>
        <v/>
      </c>
    </row>
    <row r="4197">
      <c r="A4197" s="25">
        <f>ItensPedido!A4197</f>
        <v/>
      </c>
      <c r="B4197" s="25">
        <f>ItensPedido!B4197</f>
        <v/>
      </c>
      <c r="C4197" s="25">
        <f>ItensPedido!C4197</f>
        <v/>
      </c>
      <c r="D4197" s="25">
        <f>ItensPedido!D4197</f>
        <v/>
      </c>
      <c r="E4197" s="26">
        <f>ItensPedido!E4197</f>
        <v/>
      </c>
      <c r="F4197" s="25">
        <f>IFERROR(INDEX(Pedidos!$B$2:$B$1801,MATCH(B4197,Pedidos!$A$2:$A$1801,0)),0)</f>
        <v/>
      </c>
      <c r="G4197" s="25">
        <f>IF(F4197=0,"",YEAR(F4197))</f>
        <v/>
      </c>
      <c r="H4197" s="25">
        <f>IF(F4197=0,"",MONTH(F4197))</f>
        <v/>
      </c>
      <c r="I4197" s="25">
        <f>IFERROR(INDEX(Pedidos!$E$2:$E$1801,MATCH(B4197,Pedidos!$A$2:$A$1801,0)),"")</f>
        <v/>
      </c>
      <c r="J4197" s="25">
        <f>IFERROR(INDEX(Pedidos!$C$2:$C$1801,MATCH(B4197,Pedidos!$A$2:$A$1801,0)),"")</f>
        <v/>
      </c>
      <c r="K4197" s="25">
        <f>IFERROR(INDEX(Pedidos!$D$2:$D$1801,MATCH(B4197,Pedidos!$A$2:$A$1801,0)),"")</f>
        <v/>
      </c>
      <c r="L4197" s="25">
        <f>IFERROR(INDEX(Pedidos!$F$2:$F$1801,MATCH(B4197,Pedidos!$A$2:$A$1801,0)),"")</f>
        <v/>
      </c>
      <c r="M4197" s="26">
        <f>IFERROR(INDEX(Pedidos!$G$2:$G$1801,MATCH(B4197,Pedidos!$A$2:$A$1801,0)),0)</f>
        <v/>
      </c>
      <c r="N4197" s="25">
        <f>IFERROR(INDEX(Produtos!$B$2:$B$71,MATCH(C4197,Produtos!$A$2:$A$71,0)),"")</f>
        <v/>
      </c>
      <c r="O4197" s="25">
        <f>IFERROR(INDEX(Produtos!$C$2:$C$71,MATCH(C4197,Produtos!$A$2:$A$71,0)),"")</f>
        <v/>
      </c>
      <c r="P4197" s="25">
        <f>IFERROR(INDEX(Produtos!$D$2:$D$71,MATCH(C4197,Produtos!$A$2:$A$71,0)),0)</f>
        <v/>
      </c>
      <c r="Q4197" s="25">
        <f>IFERROR(INDEX(Produtos!$E$2:$E$71,MATCH(C4197,Produtos!$A$2:$A$71,0)),0)</f>
        <v/>
      </c>
      <c r="R4197" s="27">
        <f>D4197*Q4197</f>
        <v/>
      </c>
      <c r="S4197" s="27">
        <f>R4197*E4197</f>
        <v/>
      </c>
      <c r="T4197" s="27">
        <f>(R4197-S4197)*M4197</f>
        <v/>
      </c>
      <c r="U4197" s="27">
        <f>R4197-S4197-T4197</f>
        <v/>
      </c>
      <c r="V4197" s="27">
        <f>D4197*P4197</f>
        <v/>
      </c>
      <c r="W4197" s="27">
        <f>U4197-V4197</f>
        <v/>
      </c>
      <c r="X4197" s="28">
        <f>IFERROR(W4197/U4197,0)</f>
        <v/>
      </c>
    </row>
    <row r="4198">
      <c r="A4198" s="21">
        <f>ItensPedido!A4198</f>
        <v/>
      </c>
      <c r="B4198" s="21">
        <f>ItensPedido!B4198</f>
        <v/>
      </c>
      <c r="C4198" s="21">
        <f>ItensPedido!C4198</f>
        <v/>
      </c>
      <c r="D4198" s="21">
        <f>ItensPedido!D4198</f>
        <v/>
      </c>
      <c r="E4198" s="22">
        <f>ItensPedido!E4198</f>
        <v/>
      </c>
      <c r="F4198" s="21">
        <f>IFERROR(INDEX(Pedidos!$B$2:$B$1801,MATCH(B4198,Pedidos!$A$2:$A$1801,0)),0)</f>
        <v/>
      </c>
      <c r="G4198" s="21">
        <f>IF(F4198=0,"",YEAR(F4198))</f>
        <v/>
      </c>
      <c r="H4198" s="21">
        <f>IF(F4198=0,"",MONTH(F4198))</f>
        <v/>
      </c>
      <c r="I4198" s="21">
        <f>IFERROR(INDEX(Pedidos!$E$2:$E$1801,MATCH(B4198,Pedidos!$A$2:$A$1801,0)),"")</f>
        <v/>
      </c>
      <c r="J4198" s="21">
        <f>IFERROR(INDEX(Pedidos!$C$2:$C$1801,MATCH(B4198,Pedidos!$A$2:$A$1801,0)),"")</f>
        <v/>
      </c>
      <c r="K4198" s="21">
        <f>IFERROR(INDEX(Pedidos!$D$2:$D$1801,MATCH(B4198,Pedidos!$A$2:$A$1801,0)),"")</f>
        <v/>
      </c>
      <c r="L4198" s="21">
        <f>IFERROR(INDEX(Pedidos!$F$2:$F$1801,MATCH(B4198,Pedidos!$A$2:$A$1801,0)),"")</f>
        <v/>
      </c>
      <c r="M4198" s="22">
        <f>IFERROR(INDEX(Pedidos!$G$2:$G$1801,MATCH(B4198,Pedidos!$A$2:$A$1801,0)),0)</f>
        <v/>
      </c>
      <c r="N4198" s="21">
        <f>IFERROR(INDEX(Produtos!$B$2:$B$71,MATCH(C4198,Produtos!$A$2:$A$71,0)),"")</f>
        <v/>
      </c>
      <c r="O4198" s="21">
        <f>IFERROR(INDEX(Produtos!$C$2:$C$71,MATCH(C4198,Produtos!$A$2:$A$71,0)),"")</f>
        <v/>
      </c>
      <c r="P4198" s="21">
        <f>IFERROR(INDEX(Produtos!$D$2:$D$71,MATCH(C4198,Produtos!$A$2:$A$71,0)),0)</f>
        <v/>
      </c>
      <c r="Q4198" s="21">
        <f>IFERROR(INDEX(Produtos!$E$2:$E$71,MATCH(C4198,Produtos!$A$2:$A$71,0)),0)</f>
        <v/>
      </c>
      <c r="R4198" s="23">
        <f>D4198*Q4198</f>
        <v/>
      </c>
      <c r="S4198" s="23">
        <f>R4198*E4198</f>
        <v/>
      </c>
      <c r="T4198" s="23">
        <f>(R4198-S4198)*M4198</f>
        <v/>
      </c>
      <c r="U4198" s="23">
        <f>R4198-S4198-T4198</f>
        <v/>
      </c>
      <c r="V4198" s="23">
        <f>D4198*P4198</f>
        <v/>
      </c>
      <c r="W4198" s="23">
        <f>U4198-V4198</f>
        <v/>
      </c>
      <c r="X4198" s="24">
        <f>IFERROR(W4198/U4198,0)</f>
        <v/>
      </c>
    </row>
    <row r="4199">
      <c r="A4199" s="25">
        <f>ItensPedido!A4199</f>
        <v/>
      </c>
      <c r="B4199" s="25">
        <f>ItensPedido!B4199</f>
        <v/>
      </c>
      <c r="C4199" s="25">
        <f>ItensPedido!C4199</f>
        <v/>
      </c>
      <c r="D4199" s="25">
        <f>ItensPedido!D4199</f>
        <v/>
      </c>
      <c r="E4199" s="26">
        <f>ItensPedido!E4199</f>
        <v/>
      </c>
      <c r="F4199" s="25">
        <f>IFERROR(INDEX(Pedidos!$B$2:$B$1801,MATCH(B4199,Pedidos!$A$2:$A$1801,0)),0)</f>
        <v/>
      </c>
      <c r="G4199" s="25">
        <f>IF(F4199=0,"",YEAR(F4199))</f>
        <v/>
      </c>
      <c r="H4199" s="25">
        <f>IF(F4199=0,"",MONTH(F4199))</f>
        <v/>
      </c>
      <c r="I4199" s="25">
        <f>IFERROR(INDEX(Pedidos!$E$2:$E$1801,MATCH(B4199,Pedidos!$A$2:$A$1801,0)),"")</f>
        <v/>
      </c>
      <c r="J4199" s="25">
        <f>IFERROR(INDEX(Pedidos!$C$2:$C$1801,MATCH(B4199,Pedidos!$A$2:$A$1801,0)),"")</f>
        <v/>
      </c>
      <c r="K4199" s="25">
        <f>IFERROR(INDEX(Pedidos!$D$2:$D$1801,MATCH(B4199,Pedidos!$A$2:$A$1801,0)),"")</f>
        <v/>
      </c>
      <c r="L4199" s="25">
        <f>IFERROR(INDEX(Pedidos!$F$2:$F$1801,MATCH(B4199,Pedidos!$A$2:$A$1801,0)),"")</f>
        <v/>
      </c>
      <c r="M4199" s="26">
        <f>IFERROR(INDEX(Pedidos!$G$2:$G$1801,MATCH(B4199,Pedidos!$A$2:$A$1801,0)),0)</f>
        <v/>
      </c>
      <c r="N4199" s="25">
        <f>IFERROR(INDEX(Produtos!$B$2:$B$71,MATCH(C4199,Produtos!$A$2:$A$71,0)),"")</f>
        <v/>
      </c>
      <c r="O4199" s="25">
        <f>IFERROR(INDEX(Produtos!$C$2:$C$71,MATCH(C4199,Produtos!$A$2:$A$71,0)),"")</f>
        <v/>
      </c>
      <c r="P4199" s="25">
        <f>IFERROR(INDEX(Produtos!$D$2:$D$71,MATCH(C4199,Produtos!$A$2:$A$71,0)),0)</f>
        <v/>
      </c>
      <c r="Q4199" s="25">
        <f>IFERROR(INDEX(Produtos!$E$2:$E$71,MATCH(C4199,Produtos!$A$2:$A$71,0)),0)</f>
        <v/>
      </c>
      <c r="R4199" s="27">
        <f>D4199*Q4199</f>
        <v/>
      </c>
      <c r="S4199" s="27">
        <f>R4199*E4199</f>
        <v/>
      </c>
      <c r="T4199" s="27">
        <f>(R4199-S4199)*M4199</f>
        <v/>
      </c>
      <c r="U4199" s="27">
        <f>R4199-S4199-T4199</f>
        <v/>
      </c>
      <c r="V4199" s="27">
        <f>D4199*P4199</f>
        <v/>
      </c>
      <c r="W4199" s="27">
        <f>U4199-V4199</f>
        <v/>
      </c>
      <c r="X4199" s="28">
        <f>IFERROR(W4199/U4199,0)</f>
        <v/>
      </c>
    </row>
    <row r="4200">
      <c r="A4200" s="21">
        <f>ItensPedido!A4200</f>
        <v/>
      </c>
      <c r="B4200" s="21">
        <f>ItensPedido!B4200</f>
        <v/>
      </c>
      <c r="C4200" s="21">
        <f>ItensPedido!C4200</f>
        <v/>
      </c>
      <c r="D4200" s="21">
        <f>ItensPedido!D4200</f>
        <v/>
      </c>
      <c r="E4200" s="22">
        <f>ItensPedido!E4200</f>
        <v/>
      </c>
      <c r="F4200" s="21">
        <f>IFERROR(INDEX(Pedidos!$B$2:$B$1801,MATCH(B4200,Pedidos!$A$2:$A$1801,0)),0)</f>
        <v/>
      </c>
      <c r="G4200" s="21">
        <f>IF(F4200=0,"",YEAR(F4200))</f>
        <v/>
      </c>
      <c r="H4200" s="21">
        <f>IF(F4200=0,"",MONTH(F4200))</f>
        <v/>
      </c>
      <c r="I4200" s="21">
        <f>IFERROR(INDEX(Pedidos!$E$2:$E$1801,MATCH(B4200,Pedidos!$A$2:$A$1801,0)),"")</f>
        <v/>
      </c>
      <c r="J4200" s="21">
        <f>IFERROR(INDEX(Pedidos!$C$2:$C$1801,MATCH(B4200,Pedidos!$A$2:$A$1801,0)),"")</f>
        <v/>
      </c>
      <c r="K4200" s="21">
        <f>IFERROR(INDEX(Pedidos!$D$2:$D$1801,MATCH(B4200,Pedidos!$A$2:$A$1801,0)),"")</f>
        <v/>
      </c>
      <c r="L4200" s="21">
        <f>IFERROR(INDEX(Pedidos!$F$2:$F$1801,MATCH(B4200,Pedidos!$A$2:$A$1801,0)),"")</f>
        <v/>
      </c>
      <c r="M4200" s="22">
        <f>IFERROR(INDEX(Pedidos!$G$2:$G$1801,MATCH(B4200,Pedidos!$A$2:$A$1801,0)),0)</f>
        <v/>
      </c>
      <c r="N4200" s="21">
        <f>IFERROR(INDEX(Produtos!$B$2:$B$71,MATCH(C4200,Produtos!$A$2:$A$71,0)),"")</f>
        <v/>
      </c>
      <c r="O4200" s="21">
        <f>IFERROR(INDEX(Produtos!$C$2:$C$71,MATCH(C4200,Produtos!$A$2:$A$71,0)),"")</f>
        <v/>
      </c>
      <c r="P4200" s="21">
        <f>IFERROR(INDEX(Produtos!$D$2:$D$71,MATCH(C4200,Produtos!$A$2:$A$71,0)),0)</f>
        <v/>
      </c>
      <c r="Q4200" s="21">
        <f>IFERROR(INDEX(Produtos!$E$2:$E$71,MATCH(C4200,Produtos!$A$2:$A$71,0)),0)</f>
        <v/>
      </c>
      <c r="R4200" s="23">
        <f>D4200*Q4200</f>
        <v/>
      </c>
      <c r="S4200" s="23">
        <f>R4200*E4200</f>
        <v/>
      </c>
      <c r="T4200" s="23">
        <f>(R4200-S4200)*M4200</f>
        <v/>
      </c>
      <c r="U4200" s="23">
        <f>R4200-S4200-T4200</f>
        <v/>
      </c>
      <c r="V4200" s="23">
        <f>D4200*P4200</f>
        <v/>
      </c>
      <c r="W4200" s="23">
        <f>U4200-V4200</f>
        <v/>
      </c>
      <c r="X4200" s="24">
        <f>IFERROR(W4200/U4200,0)</f>
        <v/>
      </c>
    </row>
    <row r="4201">
      <c r="A4201" s="25">
        <f>ItensPedido!A4201</f>
        <v/>
      </c>
      <c r="B4201" s="25">
        <f>ItensPedido!B4201</f>
        <v/>
      </c>
      <c r="C4201" s="25">
        <f>ItensPedido!C4201</f>
        <v/>
      </c>
      <c r="D4201" s="25">
        <f>ItensPedido!D4201</f>
        <v/>
      </c>
      <c r="E4201" s="26">
        <f>ItensPedido!E4201</f>
        <v/>
      </c>
      <c r="F4201" s="25">
        <f>IFERROR(INDEX(Pedidos!$B$2:$B$1801,MATCH(B4201,Pedidos!$A$2:$A$1801,0)),0)</f>
        <v/>
      </c>
      <c r="G4201" s="25">
        <f>IF(F4201=0,"",YEAR(F4201))</f>
        <v/>
      </c>
      <c r="H4201" s="25">
        <f>IF(F4201=0,"",MONTH(F4201))</f>
        <v/>
      </c>
      <c r="I4201" s="25">
        <f>IFERROR(INDEX(Pedidos!$E$2:$E$1801,MATCH(B4201,Pedidos!$A$2:$A$1801,0)),"")</f>
        <v/>
      </c>
      <c r="J4201" s="25">
        <f>IFERROR(INDEX(Pedidos!$C$2:$C$1801,MATCH(B4201,Pedidos!$A$2:$A$1801,0)),"")</f>
        <v/>
      </c>
      <c r="K4201" s="25">
        <f>IFERROR(INDEX(Pedidos!$D$2:$D$1801,MATCH(B4201,Pedidos!$A$2:$A$1801,0)),"")</f>
        <v/>
      </c>
      <c r="L4201" s="25">
        <f>IFERROR(INDEX(Pedidos!$F$2:$F$1801,MATCH(B4201,Pedidos!$A$2:$A$1801,0)),"")</f>
        <v/>
      </c>
      <c r="M4201" s="26">
        <f>IFERROR(INDEX(Pedidos!$G$2:$G$1801,MATCH(B4201,Pedidos!$A$2:$A$1801,0)),0)</f>
        <v/>
      </c>
      <c r="N4201" s="25">
        <f>IFERROR(INDEX(Produtos!$B$2:$B$71,MATCH(C4201,Produtos!$A$2:$A$71,0)),"")</f>
        <v/>
      </c>
      <c r="O4201" s="25">
        <f>IFERROR(INDEX(Produtos!$C$2:$C$71,MATCH(C4201,Produtos!$A$2:$A$71,0)),"")</f>
        <v/>
      </c>
      <c r="P4201" s="25">
        <f>IFERROR(INDEX(Produtos!$D$2:$D$71,MATCH(C4201,Produtos!$A$2:$A$71,0)),0)</f>
        <v/>
      </c>
      <c r="Q4201" s="25">
        <f>IFERROR(INDEX(Produtos!$E$2:$E$71,MATCH(C4201,Produtos!$A$2:$A$71,0)),0)</f>
        <v/>
      </c>
      <c r="R4201" s="27">
        <f>D4201*Q4201</f>
        <v/>
      </c>
      <c r="S4201" s="27">
        <f>R4201*E4201</f>
        <v/>
      </c>
      <c r="T4201" s="27">
        <f>(R4201-S4201)*M4201</f>
        <v/>
      </c>
      <c r="U4201" s="27">
        <f>R4201-S4201-T4201</f>
        <v/>
      </c>
      <c r="V4201" s="27">
        <f>D4201*P4201</f>
        <v/>
      </c>
      <c r="W4201" s="27">
        <f>U4201-V4201</f>
        <v/>
      </c>
      <c r="X4201" s="28">
        <f>IFERROR(W4201/U4201,0)</f>
        <v/>
      </c>
    </row>
    <row r="4202">
      <c r="A4202" s="21">
        <f>ItensPedido!A4202</f>
        <v/>
      </c>
      <c r="B4202" s="21">
        <f>ItensPedido!B4202</f>
        <v/>
      </c>
      <c r="C4202" s="21">
        <f>ItensPedido!C4202</f>
        <v/>
      </c>
      <c r="D4202" s="21">
        <f>ItensPedido!D4202</f>
        <v/>
      </c>
      <c r="E4202" s="22">
        <f>ItensPedido!E4202</f>
        <v/>
      </c>
      <c r="F4202" s="21">
        <f>IFERROR(INDEX(Pedidos!$B$2:$B$1801,MATCH(B4202,Pedidos!$A$2:$A$1801,0)),0)</f>
        <v/>
      </c>
      <c r="G4202" s="21">
        <f>IF(F4202=0,"",YEAR(F4202))</f>
        <v/>
      </c>
      <c r="H4202" s="21">
        <f>IF(F4202=0,"",MONTH(F4202))</f>
        <v/>
      </c>
      <c r="I4202" s="21">
        <f>IFERROR(INDEX(Pedidos!$E$2:$E$1801,MATCH(B4202,Pedidos!$A$2:$A$1801,0)),"")</f>
        <v/>
      </c>
      <c r="J4202" s="21">
        <f>IFERROR(INDEX(Pedidos!$C$2:$C$1801,MATCH(B4202,Pedidos!$A$2:$A$1801,0)),"")</f>
        <v/>
      </c>
      <c r="K4202" s="21">
        <f>IFERROR(INDEX(Pedidos!$D$2:$D$1801,MATCH(B4202,Pedidos!$A$2:$A$1801,0)),"")</f>
        <v/>
      </c>
      <c r="L4202" s="21">
        <f>IFERROR(INDEX(Pedidos!$F$2:$F$1801,MATCH(B4202,Pedidos!$A$2:$A$1801,0)),"")</f>
        <v/>
      </c>
      <c r="M4202" s="22">
        <f>IFERROR(INDEX(Pedidos!$G$2:$G$1801,MATCH(B4202,Pedidos!$A$2:$A$1801,0)),0)</f>
        <v/>
      </c>
      <c r="N4202" s="21">
        <f>IFERROR(INDEX(Produtos!$B$2:$B$71,MATCH(C4202,Produtos!$A$2:$A$71,0)),"")</f>
        <v/>
      </c>
      <c r="O4202" s="21">
        <f>IFERROR(INDEX(Produtos!$C$2:$C$71,MATCH(C4202,Produtos!$A$2:$A$71,0)),"")</f>
        <v/>
      </c>
      <c r="P4202" s="21">
        <f>IFERROR(INDEX(Produtos!$D$2:$D$71,MATCH(C4202,Produtos!$A$2:$A$71,0)),0)</f>
        <v/>
      </c>
      <c r="Q4202" s="21">
        <f>IFERROR(INDEX(Produtos!$E$2:$E$71,MATCH(C4202,Produtos!$A$2:$A$71,0)),0)</f>
        <v/>
      </c>
      <c r="R4202" s="23">
        <f>D4202*Q4202</f>
        <v/>
      </c>
      <c r="S4202" s="23">
        <f>R4202*E4202</f>
        <v/>
      </c>
      <c r="T4202" s="23">
        <f>(R4202-S4202)*M4202</f>
        <v/>
      </c>
      <c r="U4202" s="23">
        <f>R4202-S4202-T4202</f>
        <v/>
      </c>
      <c r="V4202" s="23">
        <f>D4202*P4202</f>
        <v/>
      </c>
      <c r="W4202" s="23">
        <f>U4202-V4202</f>
        <v/>
      </c>
      <c r="X4202" s="24">
        <f>IFERROR(W4202/U4202,0)</f>
        <v/>
      </c>
    </row>
    <row r="4203">
      <c r="A4203" s="25">
        <f>ItensPedido!A4203</f>
        <v/>
      </c>
      <c r="B4203" s="25">
        <f>ItensPedido!B4203</f>
        <v/>
      </c>
      <c r="C4203" s="25">
        <f>ItensPedido!C4203</f>
        <v/>
      </c>
      <c r="D4203" s="25">
        <f>ItensPedido!D4203</f>
        <v/>
      </c>
      <c r="E4203" s="26">
        <f>ItensPedido!E4203</f>
        <v/>
      </c>
      <c r="F4203" s="25">
        <f>IFERROR(INDEX(Pedidos!$B$2:$B$1801,MATCH(B4203,Pedidos!$A$2:$A$1801,0)),0)</f>
        <v/>
      </c>
      <c r="G4203" s="25">
        <f>IF(F4203=0,"",YEAR(F4203))</f>
        <v/>
      </c>
      <c r="H4203" s="25">
        <f>IF(F4203=0,"",MONTH(F4203))</f>
        <v/>
      </c>
      <c r="I4203" s="25">
        <f>IFERROR(INDEX(Pedidos!$E$2:$E$1801,MATCH(B4203,Pedidos!$A$2:$A$1801,0)),"")</f>
        <v/>
      </c>
      <c r="J4203" s="25">
        <f>IFERROR(INDEX(Pedidos!$C$2:$C$1801,MATCH(B4203,Pedidos!$A$2:$A$1801,0)),"")</f>
        <v/>
      </c>
      <c r="K4203" s="25">
        <f>IFERROR(INDEX(Pedidos!$D$2:$D$1801,MATCH(B4203,Pedidos!$A$2:$A$1801,0)),"")</f>
        <v/>
      </c>
      <c r="L4203" s="25">
        <f>IFERROR(INDEX(Pedidos!$F$2:$F$1801,MATCH(B4203,Pedidos!$A$2:$A$1801,0)),"")</f>
        <v/>
      </c>
      <c r="M4203" s="26">
        <f>IFERROR(INDEX(Pedidos!$G$2:$G$1801,MATCH(B4203,Pedidos!$A$2:$A$1801,0)),0)</f>
        <v/>
      </c>
      <c r="N4203" s="25">
        <f>IFERROR(INDEX(Produtos!$B$2:$B$71,MATCH(C4203,Produtos!$A$2:$A$71,0)),"")</f>
        <v/>
      </c>
      <c r="O4203" s="25">
        <f>IFERROR(INDEX(Produtos!$C$2:$C$71,MATCH(C4203,Produtos!$A$2:$A$71,0)),"")</f>
        <v/>
      </c>
      <c r="P4203" s="25">
        <f>IFERROR(INDEX(Produtos!$D$2:$D$71,MATCH(C4203,Produtos!$A$2:$A$71,0)),0)</f>
        <v/>
      </c>
      <c r="Q4203" s="25">
        <f>IFERROR(INDEX(Produtos!$E$2:$E$71,MATCH(C4203,Produtos!$A$2:$A$71,0)),0)</f>
        <v/>
      </c>
      <c r="R4203" s="27">
        <f>D4203*Q4203</f>
        <v/>
      </c>
      <c r="S4203" s="27">
        <f>R4203*E4203</f>
        <v/>
      </c>
      <c r="T4203" s="27">
        <f>(R4203-S4203)*M4203</f>
        <v/>
      </c>
      <c r="U4203" s="27">
        <f>R4203-S4203-T4203</f>
        <v/>
      </c>
      <c r="V4203" s="27">
        <f>D4203*P4203</f>
        <v/>
      </c>
      <c r="W4203" s="27">
        <f>U4203-V4203</f>
        <v/>
      </c>
      <c r="X4203" s="28">
        <f>IFERROR(W4203/U4203,0)</f>
        <v/>
      </c>
    </row>
    <row r="4204">
      <c r="A4204" s="21">
        <f>ItensPedido!A4204</f>
        <v/>
      </c>
      <c r="B4204" s="21">
        <f>ItensPedido!B4204</f>
        <v/>
      </c>
      <c r="C4204" s="21">
        <f>ItensPedido!C4204</f>
        <v/>
      </c>
      <c r="D4204" s="21">
        <f>ItensPedido!D4204</f>
        <v/>
      </c>
      <c r="E4204" s="22">
        <f>ItensPedido!E4204</f>
        <v/>
      </c>
      <c r="F4204" s="21">
        <f>IFERROR(INDEX(Pedidos!$B$2:$B$1801,MATCH(B4204,Pedidos!$A$2:$A$1801,0)),0)</f>
        <v/>
      </c>
      <c r="G4204" s="21">
        <f>IF(F4204=0,"",YEAR(F4204))</f>
        <v/>
      </c>
      <c r="H4204" s="21">
        <f>IF(F4204=0,"",MONTH(F4204))</f>
        <v/>
      </c>
      <c r="I4204" s="21">
        <f>IFERROR(INDEX(Pedidos!$E$2:$E$1801,MATCH(B4204,Pedidos!$A$2:$A$1801,0)),"")</f>
        <v/>
      </c>
      <c r="J4204" s="21">
        <f>IFERROR(INDEX(Pedidos!$C$2:$C$1801,MATCH(B4204,Pedidos!$A$2:$A$1801,0)),"")</f>
        <v/>
      </c>
      <c r="K4204" s="21">
        <f>IFERROR(INDEX(Pedidos!$D$2:$D$1801,MATCH(B4204,Pedidos!$A$2:$A$1801,0)),"")</f>
        <v/>
      </c>
      <c r="L4204" s="21">
        <f>IFERROR(INDEX(Pedidos!$F$2:$F$1801,MATCH(B4204,Pedidos!$A$2:$A$1801,0)),"")</f>
        <v/>
      </c>
      <c r="M4204" s="22">
        <f>IFERROR(INDEX(Pedidos!$G$2:$G$1801,MATCH(B4204,Pedidos!$A$2:$A$1801,0)),0)</f>
        <v/>
      </c>
      <c r="N4204" s="21">
        <f>IFERROR(INDEX(Produtos!$B$2:$B$71,MATCH(C4204,Produtos!$A$2:$A$71,0)),"")</f>
        <v/>
      </c>
      <c r="O4204" s="21">
        <f>IFERROR(INDEX(Produtos!$C$2:$C$71,MATCH(C4204,Produtos!$A$2:$A$71,0)),"")</f>
        <v/>
      </c>
      <c r="P4204" s="21">
        <f>IFERROR(INDEX(Produtos!$D$2:$D$71,MATCH(C4204,Produtos!$A$2:$A$71,0)),0)</f>
        <v/>
      </c>
      <c r="Q4204" s="21">
        <f>IFERROR(INDEX(Produtos!$E$2:$E$71,MATCH(C4204,Produtos!$A$2:$A$71,0)),0)</f>
        <v/>
      </c>
      <c r="R4204" s="23">
        <f>D4204*Q4204</f>
        <v/>
      </c>
      <c r="S4204" s="23">
        <f>R4204*E4204</f>
        <v/>
      </c>
      <c r="T4204" s="23">
        <f>(R4204-S4204)*M4204</f>
        <v/>
      </c>
      <c r="U4204" s="23">
        <f>R4204-S4204-T4204</f>
        <v/>
      </c>
      <c r="V4204" s="23">
        <f>D4204*P4204</f>
        <v/>
      </c>
      <c r="W4204" s="23">
        <f>U4204-V4204</f>
        <v/>
      </c>
      <c r="X4204" s="24">
        <f>IFERROR(W4204/U4204,0)</f>
        <v/>
      </c>
    </row>
    <row r="4205">
      <c r="A4205" s="25">
        <f>ItensPedido!A4205</f>
        <v/>
      </c>
      <c r="B4205" s="25">
        <f>ItensPedido!B4205</f>
        <v/>
      </c>
      <c r="C4205" s="25">
        <f>ItensPedido!C4205</f>
        <v/>
      </c>
      <c r="D4205" s="25">
        <f>ItensPedido!D4205</f>
        <v/>
      </c>
      <c r="E4205" s="26">
        <f>ItensPedido!E4205</f>
        <v/>
      </c>
      <c r="F4205" s="25">
        <f>IFERROR(INDEX(Pedidos!$B$2:$B$1801,MATCH(B4205,Pedidos!$A$2:$A$1801,0)),0)</f>
        <v/>
      </c>
      <c r="G4205" s="25">
        <f>IF(F4205=0,"",YEAR(F4205))</f>
        <v/>
      </c>
      <c r="H4205" s="25">
        <f>IF(F4205=0,"",MONTH(F4205))</f>
        <v/>
      </c>
      <c r="I4205" s="25">
        <f>IFERROR(INDEX(Pedidos!$E$2:$E$1801,MATCH(B4205,Pedidos!$A$2:$A$1801,0)),"")</f>
        <v/>
      </c>
      <c r="J4205" s="25">
        <f>IFERROR(INDEX(Pedidos!$C$2:$C$1801,MATCH(B4205,Pedidos!$A$2:$A$1801,0)),"")</f>
        <v/>
      </c>
      <c r="K4205" s="25">
        <f>IFERROR(INDEX(Pedidos!$D$2:$D$1801,MATCH(B4205,Pedidos!$A$2:$A$1801,0)),"")</f>
        <v/>
      </c>
      <c r="L4205" s="25">
        <f>IFERROR(INDEX(Pedidos!$F$2:$F$1801,MATCH(B4205,Pedidos!$A$2:$A$1801,0)),"")</f>
        <v/>
      </c>
      <c r="M4205" s="26">
        <f>IFERROR(INDEX(Pedidos!$G$2:$G$1801,MATCH(B4205,Pedidos!$A$2:$A$1801,0)),0)</f>
        <v/>
      </c>
      <c r="N4205" s="25">
        <f>IFERROR(INDEX(Produtos!$B$2:$B$71,MATCH(C4205,Produtos!$A$2:$A$71,0)),"")</f>
        <v/>
      </c>
      <c r="O4205" s="25">
        <f>IFERROR(INDEX(Produtos!$C$2:$C$71,MATCH(C4205,Produtos!$A$2:$A$71,0)),"")</f>
        <v/>
      </c>
      <c r="P4205" s="25">
        <f>IFERROR(INDEX(Produtos!$D$2:$D$71,MATCH(C4205,Produtos!$A$2:$A$71,0)),0)</f>
        <v/>
      </c>
      <c r="Q4205" s="25">
        <f>IFERROR(INDEX(Produtos!$E$2:$E$71,MATCH(C4205,Produtos!$A$2:$A$71,0)),0)</f>
        <v/>
      </c>
      <c r="R4205" s="27">
        <f>D4205*Q4205</f>
        <v/>
      </c>
      <c r="S4205" s="27">
        <f>R4205*E4205</f>
        <v/>
      </c>
      <c r="T4205" s="27">
        <f>(R4205-S4205)*M4205</f>
        <v/>
      </c>
      <c r="U4205" s="27">
        <f>R4205-S4205-T4205</f>
        <v/>
      </c>
      <c r="V4205" s="27">
        <f>D4205*P4205</f>
        <v/>
      </c>
      <c r="W4205" s="27">
        <f>U4205-V4205</f>
        <v/>
      </c>
      <c r="X4205" s="28">
        <f>IFERROR(W4205/U4205,0)</f>
        <v/>
      </c>
    </row>
    <row r="4206">
      <c r="A4206" s="21">
        <f>ItensPedido!A4206</f>
        <v/>
      </c>
      <c r="B4206" s="21">
        <f>ItensPedido!B4206</f>
        <v/>
      </c>
      <c r="C4206" s="21">
        <f>ItensPedido!C4206</f>
        <v/>
      </c>
      <c r="D4206" s="21">
        <f>ItensPedido!D4206</f>
        <v/>
      </c>
      <c r="E4206" s="22">
        <f>ItensPedido!E4206</f>
        <v/>
      </c>
      <c r="F4206" s="21">
        <f>IFERROR(INDEX(Pedidos!$B$2:$B$1801,MATCH(B4206,Pedidos!$A$2:$A$1801,0)),0)</f>
        <v/>
      </c>
      <c r="G4206" s="21">
        <f>IF(F4206=0,"",YEAR(F4206))</f>
        <v/>
      </c>
      <c r="H4206" s="21">
        <f>IF(F4206=0,"",MONTH(F4206))</f>
        <v/>
      </c>
      <c r="I4206" s="21">
        <f>IFERROR(INDEX(Pedidos!$E$2:$E$1801,MATCH(B4206,Pedidos!$A$2:$A$1801,0)),"")</f>
        <v/>
      </c>
      <c r="J4206" s="21">
        <f>IFERROR(INDEX(Pedidos!$C$2:$C$1801,MATCH(B4206,Pedidos!$A$2:$A$1801,0)),"")</f>
        <v/>
      </c>
      <c r="K4206" s="21">
        <f>IFERROR(INDEX(Pedidos!$D$2:$D$1801,MATCH(B4206,Pedidos!$A$2:$A$1801,0)),"")</f>
        <v/>
      </c>
      <c r="L4206" s="21">
        <f>IFERROR(INDEX(Pedidos!$F$2:$F$1801,MATCH(B4206,Pedidos!$A$2:$A$1801,0)),"")</f>
        <v/>
      </c>
      <c r="M4206" s="22">
        <f>IFERROR(INDEX(Pedidos!$G$2:$G$1801,MATCH(B4206,Pedidos!$A$2:$A$1801,0)),0)</f>
        <v/>
      </c>
      <c r="N4206" s="21">
        <f>IFERROR(INDEX(Produtos!$B$2:$B$71,MATCH(C4206,Produtos!$A$2:$A$71,0)),"")</f>
        <v/>
      </c>
      <c r="O4206" s="21">
        <f>IFERROR(INDEX(Produtos!$C$2:$C$71,MATCH(C4206,Produtos!$A$2:$A$71,0)),"")</f>
        <v/>
      </c>
      <c r="P4206" s="21">
        <f>IFERROR(INDEX(Produtos!$D$2:$D$71,MATCH(C4206,Produtos!$A$2:$A$71,0)),0)</f>
        <v/>
      </c>
      <c r="Q4206" s="21">
        <f>IFERROR(INDEX(Produtos!$E$2:$E$71,MATCH(C4206,Produtos!$A$2:$A$71,0)),0)</f>
        <v/>
      </c>
      <c r="R4206" s="23">
        <f>D4206*Q4206</f>
        <v/>
      </c>
      <c r="S4206" s="23">
        <f>R4206*E4206</f>
        <v/>
      </c>
      <c r="T4206" s="23">
        <f>(R4206-S4206)*M4206</f>
        <v/>
      </c>
      <c r="U4206" s="23">
        <f>R4206-S4206-T4206</f>
        <v/>
      </c>
      <c r="V4206" s="23">
        <f>D4206*P4206</f>
        <v/>
      </c>
      <c r="W4206" s="23">
        <f>U4206-V4206</f>
        <v/>
      </c>
      <c r="X4206" s="24">
        <f>IFERROR(W4206/U4206,0)</f>
        <v/>
      </c>
    </row>
    <row r="4207">
      <c r="A4207" s="25">
        <f>ItensPedido!A4207</f>
        <v/>
      </c>
      <c r="B4207" s="25">
        <f>ItensPedido!B4207</f>
        <v/>
      </c>
      <c r="C4207" s="25">
        <f>ItensPedido!C4207</f>
        <v/>
      </c>
      <c r="D4207" s="25">
        <f>ItensPedido!D4207</f>
        <v/>
      </c>
      <c r="E4207" s="26">
        <f>ItensPedido!E4207</f>
        <v/>
      </c>
      <c r="F4207" s="25">
        <f>IFERROR(INDEX(Pedidos!$B$2:$B$1801,MATCH(B4207,Pedidos!$A$2:$A$1801,0)),0)</f>
        <v/>
      </c>
      <c r="G4207" s="25">
        <f>IF(F4207=0,"",YEAR(F4207))</f>
        <v/>
      </c>
      <c r="H4207" s="25">
        <f>IF(F4207=0,"",MONTH(F4207))</f>
        <v/>
      </c>
      <c r="I4207" s="25">
        <f>IFERROR(INDEX(Pedidos!$E$2:$E$1801,MATCH(B4207,Pedidos!$A$2:$A$1801,0)),"")</f>
        <v/>
      </c>
      <c r="J4207" s="25">
        <f>IFERROR(INDEX(Pedidos!$C$2:$C$1801,MATCH(B4207,Pedidos!$A$2:$A$1801,0)),"")</f>
        <v/>
      </c>
      <c r="K4207" s="25">
        <f>IFERROR(INDEX(Pedidos!$D$2:$D$1801,MATCH(B4207,Pedidos!$A$2:$A$1801,0)),"")</f>
        <v/>
      </c>
      <c r="L4207" s="25">
        <f>IFERROR(INDEX(Pedidos!$F$2:$F$1801,MATCH(B4207,Pedidos!$A$2:$A$1801,0)),"")</f>
        <v/>
      </c>
      <c r="M4207" s="26">
        <f>IFERROR(INDEX(Pedidos!$G$2:$G$1801,MATCH(B4207,Pedidos!$A$2:$A$1801,0)),0)</f>
        <v/>
      </c>
      <c r="N4207" s="25">
        <f>IFERROR(INDEX(Produtos!$B$2:$B$71,MATCH(C4207,Produtos!$A$2:$A$71,0)),"")</f>
        <v/>
      </c>
      <c r="O4207" s="25">
        <f>IFERROR(INDEX(Produtos!$C$2:$C$71,MATCH(C4207,Produtos!$A$2:$A$71,0)),"")</f>
        <v/>
      </c>
      <c r="P4207" s="25">
        <f>IFERROR(INDEX(Produtos!$D$2:$D$71,MATCH(C4207,Produtos!$A$2:$A$71,0)),0)</f>
        <v/>
      </c>
      <c r="Q4207" s="25">
        <f>IFERROR(INDEX(Produtos!$E$2:$E$71,MATCH(C4207,Produtos!$A$2:$A$71,0)),0)</f>
        <v/>
      </c>
      <c r="R4207" s="27">
        <f>D4207*Q4207</f>
        <v/>
      </c>
      <c r="S4207" s="27">
        <f>R4207*E4207</f>
        <v/>
      </c>
      <c r="T4207" s="27">
        <f>(R4207-S4207)*M4207</f>
        <v/>
      </c>
      <c r="U4207" s="27">
        <f>R4207-S4207-T4207</f>
        <v/>
      </c>
      <c r="V4207" s="27">
        <f>D4207*P4207</f>
        <v/>
      </c>
      <c r="W4207" s="27">
        <f>U4207-V4207</f>
        <v/>
      </c>
      <c r="X4207" s="28">
        <f>IFERROR(W4207/U4207,0)</f>
        <v/>
      </c>
    </row>
    <row r="4208">
      <c r="A4208" s="21">
        <f>ItensPedido!A4208</f>
        <v/>
      </c>
      <c r="B4208" s="21">
        <f>ItensPedido!B4208</f>
        <v/>
      </c>
      <c r="C4208" s="21">
        <f>ItensPedido!C4208</f>
        <v/>
      </c>
      <c r="D4208" s="21">
        <f>ItensPedido!D4208</f>
        <v/>
      </c>
      <c r="E4208" s="22">
        <f>ItensPedido!E4208</f>
        <v/>
      </c>
      <c r="F4208" s="21">
        <f>IFERROR(INDEX(Pedidos!$B$2:$B$1801,MATCH(B4208,Pedidos!$A$2:$A$1801,0)),0)</f>
        <v/>
      </c>
      <c r="G4208" s="21">
        <f>IF(F4208=0,"",YEAR(F4208))</f>
        <v/>
      </c>
      <c r="H4208" s="21">
        <f>IF(F4208=0,"",MONTH(F4208))</f>
        <v/>
      </c>
      <c r="I4208" s="21">
        <f>IFERROR(INDEX(Pedidos!$E$2:$E$1801,MATCH(B4208,Pedidos!$A$2:$A$1801,0)),"")</f>
        <v/>
      </c>
      <c r="J4208" s="21">
        <f>IFERROR(INDEX(Pedidos!$C$2:$C$1801,MATCH(B4208,Pedidos!$A$2:$A$1801,0)),"")</f>
        <v/>
      </c>
      <c r="K4208" s="21">
        <f>IFERROR(INDEX(Pedidos!$D$2:$D$1801,MATCH(B4208,Pedidos!$A$2:$A$1801,0)),"")</f>
        <v/>
      </c>
      <c r="L4208" s="21">
        <f>IFERROR(INDEX(Pedidos!$F$2:$F$1801,MATCH(B4208,Pedidos!$A$2:$A$1801,0)),"")</f>
        <v/>
      </c>
      <c r="M4208" s="22">
        <f>IFERROR(INDEX(Pedidos!$G$2:$G$1801,MATCH(B4208,Pedidos!$A$2:$A$1801,0)),0)</f>
        <v/>
      </c>
      <c r="N4208" s="21">
        <f>IFERROR(INDEX(Produtos!$B$2:$B$71,MATCH(C4208,Produtos!$A$2:$A$71,0)),"")</f>
        <v/>
      </c>
      <c r="O4208" s="21">
        <f>IFERROR(INDEX(Produtos!$C$2:$C$71,MATCH(C4208,Produtos!$A$2:$A$71,0)),"")</f>
        <v/>
      </c>
      <c r="P4208" s="21">
        <f>IFERROR(INDEX(Produtos!$D$2:$D$71,MATCH(C4208,Produtos!$A$2:$A$71,0)),0)</f>
        <v/>
      </c>
      <c r="Q4208" s="21">
        <f>IFERROR(INDEX(Produtos!$E$2:$E$71,MATCH(C4208,Produtos!$A$2:$A$71,0)),0)</f>
        <v/>
      </c>
      <c r="R4208" s="23">
        <f>D4208*Q4208</f>
        <v/>
      </c>
      <c r="S4208" s="23">
        <f>R4208*E4208</f>
        <v/>
      </c>
      <c r="T4208" s="23">
        <f>(R4208-S4208)*M4208</f>
        <v/>
      </c>
      <c r="U4208" s="23">
        <f>R4208-S4208-T4208</f>
        <v/>
      </c>
      <c r="V4208" s="23">
        <f>D4208*P4208</f>
        <v/>
      </c>
      <c r="W4208" s="23">
        <f>U4208-V4208</f>
        <v/>
      </c>
      <c r="X4208" s="24">
        <f>IFERROR(W4208/U4208,0)</f>
        <v/>
      </c>
    </row>
    <row r="4209">
      <c r="A4209" s="25">
        <f>ItensPedido!A4209</f>
        <v/>
      </c>
      <c r="B4209" s="25">
        <f>ItensPedido!B4209</f>
        <v/>
      </c>
      <c r="C4209" s="25">
        <f>ItensPedido!C4209</f>
        <v/>
      </c>
      <c r="D4209" s="25">
        <f>ItensPedido!D4209</f>
        <v/>
      </c>
      <c r="E4209" s="26">
        <f>ItensPedido!E4209</f>
        <v/>
      </c>
      <c r="F4209" s="25">
        <f>IFERROR(INDEX(Pedidos!$B$2:$B$1801,MATCH(B4209,Pedidos!$A$2:$A$1801,0)),0)</f>
        <v/>
      </c>
      <c r="G4209" s="25">
        <f>IF(F4209=0,"",YEAR(F4209))</f>
        <v/>
      </c>
      <c r="H4209" s="25">
        <f>IF(F4209=0,"",MONTH(F4209))</f>
        <v/>
      </c>
      <c r="I4209" s="25">
        <f>IFERROR(INDEX(Pedidos!$E$2:$E$1801,MATCH(B4209,Pedidos!$A$2:$A$1801,0)),"")</f>
        <v/>
      </c>
      <c r="J4209" s="25">
        <f>IFERROR(INDEX(Pedidos!$C$2:$C$1801,MATCH(B4209,Pedidos!$A$2:$A$1801,0)),"")</f>
        <v/>
      </c>
      <c r="K4209" s="25">
        <f>IFERROR(INDEX(Pedidos!$D$2:$D$1801,MATCH(B4209,Pedidos!$A$2:$A$1801,0)),"")</f>
        <v/>
      </c>
      <c r="L4209" s="25">
        <f>IFERROR(INDEX(Pedidos!$F$2:$F$1801,MATCH(B4209,Pedidos!$A$2:$A$1801,0)),"")</f>
        <v/>
      </c>
      <c r="M4209" s="26">
        <f>IFERROR(INDEX(Pedidos!$G$2:$G$1801,MATCH(B4209,Pedidos!$A$2:$A$1801,0)),0)</f>
        <v/>
      </c>
      <c r="N4209" s="25">
        <f>IFERROR(INDEX(Produtos!$B$2:$B$71,MATCH(C4209,Produtos!$A$2:$A$71,0)),"")</f>
        <v/>
      </c>
      <c r="O4209" s="25">
        <f>IFERROR(INDEX(Produtos!$C$2:$C$71,MATCH(C4209,Produtos!$A$2:$A$71,0)),"")</f>
        <v/>
      </c>
      <c r="P4209" s="25">
        <f>IFERROR(INDEX(Produtos!$D$2:$D$71,MATCH(C4209,Produtos!$A$2:$A$71,0)),0)</f>
        <v/>
      </c>
      <c r="Q4209" s="25">
        <f>IFERROR(INDEX(Produtos!$E$2:$E$71,MATCH(C4209,Produtos!$A$2:$A$71,0)),0)</f>
        <v/>
      </c>
      <c r="R4209" s="27">
        <f>D4209*Q4209</f>
        <v/>
      </c>
      <c r="S4209" s="27">
        <f>R4209*E4209</f>
        <v/>
      </c>
      <c r="T4209" s="27">
        <f>(R4209-S4209)*M4209</f>
        <v/>
      </c>
      <c r="U4209" s="27">
        <f>R4209-S4209-T4209</f>
        <v/>
      </c>
      <c r="V4209" s="27">
        <f>D4209*P4209</f>
        <v/>
      </c>
      <c r="W4209" s="27">
        <f>U4209-V4209</f>
        <v/>
      </c>
      <c r="X4209" s="28">
        <f>IFERROR(W4209/U4209,0)</f>
        <v/>
      </c>
    </row>
    <row r="4210">
      <c r="A4210" s="21">
        <f>ItensPedido!A4210</f>
        <v/>
      </c>
      <c r="B4210" s="21">
        <f>ItensPedido!B4210</f>
        <v/>
      </c>
      <c r="C4210" s="21">
        <f>ItensPedido!C4210</f>
        <v/>
      </c>
      <c r="D4210" s="21">
        <f>ItensPedido!D4210</f>
        <v/>
      </c>
      <c r="E4210" s="22">
        <f>ItensPedido!E4210</f>
        <v/>
      </c>
      <c r="F4210" s="21">
        <f>IFERROR(INDEX(Pedidos!$B$2:$B$1801,MATCH(B4210,Pedidos!$A$2:$A$1801,0)),0)</f>
        <v/>
      </c>
      <c r="G4210" s="21">
        <f>IF(F4210=0,"",YEAR(F4210))</f>
        <v/>
      </c>
      <c r="H4210" s="21">
        <f>IF(F4210=0,"",MONTH(F4210))</f>
        <v/>
      </c>
      <c r="I4210" s="21">
        <f>IFERROR(INDEX(Pedidos!$E$2:$E$1801,MATCH(B4210,Pedidos!$A$2:$A$1801,0)),"")</f>
        <v/>
      </c>
      <c r="J4210" s="21">
        <f>IFERROR(INDEX(Pedidos!$C$2:$C$1801,MATCH(B4210,Pedidos!$A$2:$A$1801,0)),"")</f>
        <v/>
      </c>
      <c r="K4210" s="21">
        <f>IFERROR(INDEX(Pedidos!$D$2:$D$1801,MATCH(B4210,Pedidos!$A$2:$A$1801,0)),"")</f>
        <v/>
      </c>
      <c r="L4210" s="21">
        <f>IFERROR(INDEX(Pedidos!$F$2:$F$1801,MATCH(B4210,Pedidos!$A$2:$A$1801,0)),"")</f>
        <v/>
      </c>
      <c r="M4210" s="22">
        <f>IFERROR(INDEX(Pedidos!$G$2:$G$1801,MATCH(B4210,Pedidos!$A$2:$A$1801,0)),0)</f>
        <v/>
      </c>
      <c r="N4210" s="21">
        <f>IFERROR(INDEX(Produtos!$B$2:$B$71,MATCH(C4210,Produtos!$A$2:$A$71,0)),"")</f>
        <v/>
      </c>
      <c r="O4210" s="21">
        <f>IFERROR(INDEX(Produtos!$C$2:$C$71,MATCH(C4210,Produtos!$A$2:$A$71,0)),"")</f>
        <v/>
      </c>
      <c r="P4210" s="21">
        <f>IFERROR(INDEX(Produtos!$D$2:$D$71,MATCH(C4210,Produtos!$A$2:$A$71,0)),0)</f>
        <v/>
      </c>
      <c r="Q4210" s="21">
        <f>IFERROR(INDEX(Produtos!$E$2:$E$71,MATCH(C4210,Produtos!$A$2:$A$71,0)),0)</f>
        <v/>
      </c>
      <c r="R4210" s="23">
        <f>D4210*Q4210</f>
        <v/>
      </c>
      <c r="S4210" s="23">
        <f>R4210*E4210</f>
        <v/>
      </c>
      <c r="T4210" s="23">
        <f>(R4210-S4210)*M4210</f>
        <v/>
      </c>
      <c r="U4210" s="23">
        <f>R4210-S4210-T4210</f>
        <v/>
      </c>
      <c r="V4210" s="23">
        <f>D4210*P4210</f>
        <v/>
      </c>
      <c r="W4210" s="23">
        <f>U4210-V4210</f>
        <v/>
      </c>
      <c r="X4210" s="24">
        <f>IFERROR(W4210/U4210,0)</f>
        <v/>
      </c>
    </row>
    <row r="4211">
      <c r="A4211" s="25">
        <f>ItensPedido!A4211</f>
        <v/>
      </c>
      <c r="B4211" s="25">
        <f>ItensPedido!B4211</f>
        <v/>
      </c>
      <c r="C4211" s="25">
        <f>ItensPedido!C4211</f>
        <v/>
      </c>
      <c r="D4211" s="25">
        <f>ItensPedido!D4211</f>
        <v/>
      </c>
      <c r="E4211" s="26">
        <f>ItensPedido!E4211</f>
        <v/>
      </c>
      <c r="F4211" s="25">
        <f>IFERROR(INDEX(Pedidos!$B$2:$B$1801,MATCH(B4211,Pedidos!$A$2:$A$1801,0)),0)</f>
        <v/>
      </c>
      <c r="G4211" s="25">
        <f>IF(F4211=0,"",YEAR(F4211))</f>
        <v/>
      </c>
      <c r="H4211" s="25">
        <f>IF(F4211=0,"",MONTH(F4211))</f>
        <v/>
      </c>
      <c r="I4211" s="25">
        <f>IFERROR(INDEX(Pedidos!$E$2:$E$1801,MATCH(B4211,Pedidos!$A$2:$A$1801,0)),"")</f>
        <v/>
      </c>
      <c r="J4211" s="25">
        <f>IFERROR(INDEX(Pedidos!$C$2:$C$1801,MATCH(B4211,Pedidos!$A$2:$A$1801,0)),"")</f>
        <v/>
      </c>
      <c r="K4211" s="25">
        <f>IFERROR(INDEX(Pedidos!$D$2:$D$1801,MATCH(B4211,Pedidos!$A$2:$A$1801,0)),"")</f>
        <v/>
      </c>
      <c r="L4211" s="25">
        <f>IFERROR(INDEX(Pedidos!$F$2:$F$1801,MATCH(B4211,Pedidos!$A$2:$A$1801,0)),"")</f>
        <v/>
      </c>
      <c r="M4211" s="26">
        <f>IFERROR(INDEX(Pedidos!$G$2:$G$1801,MATCH(B4211,Pedidos!$A$2:$A$1801,0)),0)</f>
        <v/>
      </c>
      <c r="N4211" s="25">
        <f>IFERROR(INDEX(Produtos!$B$2:$B$71,MATCH(C4211,Produtos!$A$2:$A$71,0)),"")</f>
        <v/>
      </c>
      <c r="O4211" s="25">
        <f>IFERROR(INDEX(Produtos!$C$2:$C$71,MATCH(C4211,Produtos!$A$2:$A$71,0)),"")</f>
        <v/>
      </c>
      <c r="P4211" s="25">
        <f>IFERROR(INDEX(Produtos!$D$2:$D$71,MATCH(C4211,Produtos!$A$2:$A$71,0)),0)</f>
        <v/>
      </c>
      <c r="Q4211" s="25">
        <f>IFERROR(INDEX(Produtos!$E$2:$E$71,MATCH(C4211,Produtos!$A$2:$A$71,0)),0)</f>
        <v/>
      </c>
      <c r="R4211" s="27">
        <f>D4211*Q4211</f>
        <v/>
      </c>
      <c r="S4211" s="27">
        <f>R4211*E4211</f>
        <v/>
      </c>
      <c r="T4211" s="27">
        <f>(R4211-S4211)*M4211</f>
        <v/>
      </c>
      <c r="U4211" s="27">
        <f>R4211-S4211-T4211</f>
        <v/>
      </c>
      <c r="V4211" s="27">
        <f>D4211*P4211</f>
        <v/>
      </c>
      <c r="W4211" s="27">
        <f>U4211-V4211</f>
        <v/>
      </c>
      <c r="X4211" s="28">
        <f>IFERROR(W4211/U4211,0)</f>
        <v/>
      </c>
    </row>
    <row r="4212">
      <c r="A4212" s="21">
        <f>ItensPedido!A4212</f>
        <v/>
      </c>
      <c r="B4212" s="21">
        <f>ItensPedido!B4212</f>
        <v/>
      </c>
      <c r="C4212" s="21">
        <f>ItensPedido!C4212</f>
        <v/>
      </c>
      <c r="D4212" s="21">
        <f>ItensPedido!D4212</f>
        <v/>
      </c>
      <c r="E4212" s="22">
        <f>ItensPedido!E4212</f>
        <v/>
      </c>
      <c r="F4212" s="21">
        <f>IFERROR(INDEX(Pedidos!$B$2:$B$1801,MATCH(B4212,Pedidos!$A$2:$A$1801,0)),0)</f>
        <v/>
      </c>
      <c r="G4212" s="21">
        <f>IF(F4212=0,"",YEAR(F4212))</f>
        <v/>
      </c>
      <c r="H4212" s="21">
        <f>IF(F4212=0,"",MONTH(F4212))</f>
        <v/>
      </c>
      <c r="I4212" s="21">
        <f>IFERROR(INDEX(Pedidos!$E$2:$E$1801,MATCH(B4212,Pedidos!$A$2:$A$1801,0)),"")</f>
        <v/>
      </c>
      <c r="J4212" s="21">
        <f>IFERROR(INDEX(Pedidos!$C$2:$C$1801,MATCH(B4212,Pedidos!$A$2:$A$1801,0)),"")</f>
        <v/>
      </c>
      <c r="K4212" s="21">
        <f>IFERROR(INDEX(Pedidos!$D$2:$D$1801,MATCH(B4212,Pedidos!$A$2:$A$1801,0)),"")</f>
        <v/>
      </c>
      <c r="L4212" s="21">
        <f>IFERROR(INDEX(Pedidos!$F$2:$F$1801,MATCH(B4212,Pedidos!$A$2:$A$1801,0)),"")</f>
        <v/>
      </c>
      <c r="M4212" s="22">
        <f>IFERROR(INDEX(Pedidos!$G$2:$G$1801,MATCH(B4212,Pedidos!$A$2:$A$1801,0)),0)</f>
        <v/>
      </c>
      <c r="N4212" s="21">
        <f>IFERROR(INDEX(Produtos!$B$2:$B$71,MATCH(C4212,Produtos!$A$2:$A$71,0)),"")</f>
        <v/>
      </c>
      <c r="O4212" s="21">
        <f>IFERROR(INDEX(Produtos!$C$2:$C$71,MATCH(C4212,Produtos!$A$2:$A$71,0)),"")</f>
        <v/>
      </c>
      <c r="P4212" s="21">
        <f>IFERROR(INDEX(Produtos!$D$2:$D$71,MATCH(C4212,Produtos!$A$2:$A$71,0)),0)</f>
        <v/>
      </c>
      <c r="Q4212" s="21">
        <f>IFERROR(INDEX(Produtos!$E$2:$E$71,MATCH(C4212,Produtos!$A$2:$A$71,0)),0)</f>
        <v/>
      </c>
      <c r="R4212" s="23">
        <f>D4212*Q4212</f>
        <v/>
      </c>
      <c r="S4212" s="23">
        <f>R4212*E4212</f>
        <v/>
      </c>
      <c r="T4212" s="23">
        <f>(R4212-S4212)*M4212</f>
        <v/>
      </c>
      <c r="U4212" s="23">
        <f>R4212-S4212-T4212</f>
        <v/>
      </c>
      <c r="V4212" s="23">
        <f>D4212*P4212</f>
        <v/>
      </c>
      <c r="W4212" s="23">
        <f>U4212-V4212</f>
        <v/>
      </c>
      <c r="X4212" s="24">
        <f>IFERROR(W4212/U4212,0)</f>
        <v/>
      </c>
    </row>
    <row r="4213">
      <c r="A4213" s="25">
        <f>ItensPedido!A4213</f>
        <v/>
      </c>
      <c r="B4213" s="25">
        <f>ItensPedido!B4213</f>
        <v/>
      </c>
      <c r="C4213" s="25">
        <f>ItensPedido!C4213</f>
        <v/>
      </c>
      <c r="D4213" s="25">
        <f>ItensPedido!D4213</f>
        <v/>
      </c>
      <c r="E4213" s="26">
        <f>ItensPedido!E4213</f>
        <v/>
      </c>
      <c r="F4213" s="25">
        <f>IFERROR(INDEX(Pedidos!$B$2:$B$1801,MATCH(B4213,Pedidos!$A$2:$A$1801,0)),0)</f>
        <v/>
      </c>
      <c r="G4213" s="25">
        <f>IF(F4213=0,"",YEAR(F4213))</f>
        <v/>
      </c>
      <c r="H4213" s="25">
        <f>IF(F4213=0,"",MONTH(F4213))</f>
        <v/>
      </c>
      <c r="I4213" s="25">
        <f>IFERROR(INDEX(Pedidos!$E$2:$E$1801,MATCH(B4213,Pedidos!$A$2:$A$1801,0)),"")</f>
        <v/>
      </c>
      <c r="J4213" s="25">
        <f>IFERROR(INDEX(Pedidos!$C$2:$C$1801,MATCH(B4213,Pedidos!$A$2:$A$1801,0)),"")</f>
        <v/>
      </c>
      <c r="K4213" s="25">
        <f>IFERROR(INDEX(Pedidos!$D$2:$D$1801,MATCH(B4213,Pedidos!$A$2:$A$1801,0)),"")</f>
        <v/>
      </c>
      <c r="L4213" s="25">
        <f>IFERROR(INDEX(Pedidos!$F$2:$F$1801,MATCH(B4213,Pedidos!$A$2:$A$1801,0)),"")</f>
        <v/>
      </c>
      <c r="M4213" s="26">
        <f>IFERROR(INDEX(Pedidos!$G$2:$G$1801,MATCH(B4213,Pedidos!$A$2:$A$1801,0)),0)</f>
        <v/>
      </c>
      <c r="N4213" s="25">
        <f>IFERROR(INDEX(Produtos!$B$2:$B$71,MATCH(C4213,Produtos!$A$2:$A$71,0)),"")</f>
        <v/>
      </c>
      <c r="O4213" s="25">
        <f>IFERROR(INDEX(Produtos!$C$2:$C$71,MATCH(C4213,Produtos!$A$2:$A$71,0)),"")</f>
        <v/>
      </c>
      <c r="P4213" s="25">
        <f>IFERROR(INDEX(Produtos!$D$2:$D$71,MATCH(C4213,Produtos!$A$2:$A$71,0)),0)</f>
        <v/>
      </c>
      <c r="Q4213" s="25">
        <f>IFERROR(INDEX(Produtos!$E$2:$E$71,MATCH(C4213,Produtos!$A$2:$A$71,0)),0)</f>
        <v/>
      </c>
      <c r="R4213" s="27">
        <f>D4213*Q4213</f>
        <v/>
      </c>
      <c r="S4213" s="27">
        <f>R4213*E4213</f>
        <v/>
      </c>
      <c r="T4213" s="27">
        <f>(R4213-S4213)*M4213</f>
        <v/>
      </c>
      <c r="U4213" s="27">
        <f>R4213-S4213-T4213</f>
        <v/>
      </c>
      <c r="V4213" s="27">
        <f>D4213*P4213</f>
        <v/>
      </c>
      <c r="W4213" s="27">
        <f>U4213-V4213</f>
        <v/>
      </c>
      <c r="X4213" s="28">
        <f>IFERROR(W4213/U4213,0)</f>
        <v/>
      </c>
    </row>
    <row r="4214">
      <c r="A4214" s="21">
        <f>ItensPedido!A4214</f>
        <v/>
      </c>
      <c r="B4214" s="21">
        <f>ItensPedido!B4214</f>
        <v/>
      </c>
      <c r="C4214" s="21">
        <f>ItensPedido!C4214</f>
        <v/>
      </c>
      <c r="D4214" s="21">
        <f>ItensPedido!D4214</f>
        <v/>
      </c>
      <c r="E4214" s="22">
        <f>ItensPedido!E4214</f>
        <v/>
      </c>
      <c r="F4214" s="21">
        <f>IFERROR(INDEX(Pedidos!$B$2:$B$1801,MATCH(B4214,Pedidos!$A$2:$A$1801,0)),0)</f>
        <v/>
      </c>
      <c r="G4214" s="21">
        <f>IF(F4214=0,"",YEAR(F4214))</f>
        <v/>
      </c>
      <c r="H4214" s="21">
        <f>IF(F4214=0,"",MONTH(F4214))</f>
        <v/>
      </c>
      <c r="I4214" s="21">
        <f>IFERROR(INDEX(Pedidos!$E$2:$E$1801,MATCH(B4214,Pedidos!$A$2:$A$1801,0)),"")</f>
        <v/>
      </c>
      <c r="J4214" s="21">
        <f>IFERROR(INDEX(Pedidos!$C$2:$C$1801,MATCH(B4214,Pedidos!$A$2:$A$1801,0)),"")</f>
        <v/>
      </c>
      <c r="K4214" s="21">
        <f>IFERROR(INDEX(Pedidos!$D$2:$D$1801,MATCH(B4214,Pedidos!$A$2:$A$1801,0)),"")</f>
        <v/>
      </c>
      <c r="L4214" s="21">
        <f>IFERROR(INDEX(Pedidos!$F$2:$F$1801,MATCH(B4214,Pedidos!$A$2:$A$1801,0)),"")</f>
        <v/>
      </c>
      <c r="M4214" s="22">
        <f>IFERROR(INDEX(Pedidos!$G$2:$G$1801,MATCH(B4214,Pedidos!$A$2:$A$1801,0)),0)</f>
        <v/>
      </c>
      <c r="N4214" s="21">
        <f>IFERROR(INDEX(Produtos!$B$2:$B$71,MATCH(C4214,Produtos!$A$2:$A$71,0)),"")</f>
        <v/>
      </c>
      <c r="O4214" s="21">
        <f>IFERROR(INDEX(Produtos!$C$2:$C$71,MATCH(C4214,Produtos!$A$2:$A$71,0)),"")</f>
        <v/>
      </c>
      <c r="P4214" s="21">
        <f>IFERROR(INDEX(Produtos!$D$2:$D$71,MATCH(C4214,Produtos!$A$2:$A$71,0)),0)</f>
        <v/>
      </c>
      <c r="Q4214" s="21">
        <f>IFERROR(INDEX(Produtos!$E$2:$E$71,MATCH(C4214,Produtos!$A$2:$A$71,0)),0)</f>
        <v/>
      </c>
      <c r="R4214" s="23">
        <f>D4214*Q4214</f>
        <v/>
      </c>
      <c r="S4214" s="23">
        <f>R4214*E4214</f>
        <v/>
      </c>
      <c r="T4214" s="23">
        <f>(R4214-S4214)*M4214</f>
        <v/>
      </c>
      <c r="U4214" s="23">
        <f>R4214-S4214-T4214</f>
        <v/>
      </c>
      <c r="V4214" s="23">
        <f>D4214*P4214</f>
        <v/>
      </c>
      <c r="W4214" s="23">
        <f>U4214-V4214</f>
        <v/>
      </c>
      <c r="X4214" s="24">
        <f>IFERROR(W4214/U4214,0)</f>
        <v/>
      </c>
    </row>
    <row r="4215">
      <c r="A4215" s="25">
        <f>ItensPedido!A4215</f>
        <v/>
      </c>
      <c r="B4215" s="25">
        <f>ItensPedido!B4215</f>
        <v/>
      </c>
      <c r="C4215" s="25">
        <f>ItensPedido!C4215</f>
        <v/>
      </c>
      <c r="D4215" s="25">
        <f>ItensPedido!D4215</f>
        <v/>
      </c>
      <c r="E4215" s="26">
        <f>ItensPedido!E4215</f>
        <v/>
      </c>
      <c r="F4215" s="25">
        <f>IFERROR(INDEX(Pedidos!$B$2:$B$1801,MATCH(B4215,Pedidos!$A$2:$A$1801,0)),0)</f>
        <v/>
      </c>
      <c r="G4215" s="25">
        <f>IF(F4215=0,"",YEAR(F4215))</f>
        <v/>
      </c>
      <c r="H4215" s="25">
        <f>IF(F4215=0,"",MONTH(F4215))</f>
        <v/>
      </c>
      <c r="I4215" s="25">
        <f>IFERROR(INDEX(Pedidos!$E$2:$E$1801,MATCH(B4215,Pedidos!$A$2:$A$1801,0)),"")</f>
        <v/>
      </c>
      <c r="J4215" s="25">
        <f>IFERROR(INDEX(Pedidos!$C$2:$C$1801,MATCH(B4215,Pedidos!$A$2:$A$1801,0)),"")</f>
        <v/>
      </c>
      <c r="K4215" s="25">
        <f>IFERROR(INDEX(Pedidos!$D$2:$D$1801,MATCH(B4215,Pedidos!$A$2:$A$1801,0)),"")</f>
        <v/>
      </c>
      <c r="L4215" s="25">
        <f>IFERROR(INDEX(Pedidos!$F$2:$F$1801,MATCH(B4215,Pedidos!$A$2:$A$1801,0)),"")</f>
        <v/>
      </c>
      <c r="M4215" s="26">
        <f>IFERROR(INDEX(Pedidos!$G$2:$G$1801,MATCH(B4215,Pedidos!$A$2:$A$1801,0)),0)</f>
        <v/>
      </c>
      <c r="N4215" s="25">
        <f>IFERROR(INDEX(Produtos!$B$2:$B$71,MATCH(C4215,Produtos!$A$2:$A$71,0)),"")</f>
        <v/>
      </c>
      <c r="O4215" s="25">
        <f>IFERROR(INDEX(Produtos!$C$2:$C$71,MATCH(C4215,Produtos!$A$2:$A$71,0)),"")</f>
        <v/>
      </c>
      <c r="P4215" s="25">
        <f>IFERROR(INDEX(Produtos!$D$2:$D$71,MATCH(C4215,Produtos!$A$2:$A$71,0)),0)</f>
        <v/>
      </c>
      <c r="Q4215" s="25">
        <f>IFERROR(INDEX(Produtos!$E$2:$E$71,MATCH(C4215,Produtos!$A$2:$A$71,0)),0)</f>
        <v/>
      </c>
      <c r="R4215" s="27">
        <f>D4215*Q4215</f>
        <v/>
      </c>
      <c r="S4215" s="27">
        <f>R4215*E4215</f>
        <v/>
      </c>
      <c r="T4215" s="27">
        <f>(R4215-S4215)*M4215</f>
        <v/>
      </c>
      <c r="U4215" s="27">
        <f>R4215-S4215-T4215</f>
        <v/>
      </c>
      <c r="V4215" s="27">
        <f>D4215*P4215</f>
        <v/>
      </c>
      <c r="W4215" s="27">
        <f>U4215-V4215</f>
        <v/>
      </c>
      <c r="X4215" s="28">
        <f>IFERROR(W4215/U4215,0)</f>
        <v/>
      </c>
    </row>
    <row r="4216">
      <c r="A4216" s="21">
        <f>ItensPedido!A4216</f>
        <v/>
      </c>
      <c r="B4216" s="21">
        <f>ItensPedido!B4216</f>
        <v/>
      </c>
      <c r="C4216" s="21">
        <f>ItensPedido!C4216</f>
        <v/>
      </c>
      <c r="D4216" s="21">
        <f>ItensPedido!D4216</f>
        <v/>
      </c>
      <c r="E4216" s="22">
        <f>ItensPedido!E4216</f>
        <v/>
      </c>
      <c r="F4216" s="21">
        <f>IFERROR(INDEX(Pedidos!$B$2:$B$1801,MATCH(B4216,Pedidos!$A$2:$A$1801,0)),0)</f>
        <v/>
      </c>
      <c r="G4216" s="21">
        <f>IF(F4216=0,"",YEAR(F4216))</f>
        <v/>
      </c>
      <c r="H4216" s="21">
        <f>IF(F4216=0,"",MONTH(F4216))</f>
        <v/>
      </c>
      <c r="I4216" s="21">
        <f>IFERROR(INDEX(Pedidos!$E$2:$E$1801,MATCH(B4216,Pedidos!$A$2:$A$1801,0)),"")</f>
        <v/>
      </c>
      <c r="J4216" s="21">
        <f>IFERROR(INDEX(Pedidos!$C$2:$C$1801,MATCH(B4216,Pedidos!$A$2:$A$1801,0)),"")</f>
        <v/>
      </c>
      <c r="K4216" s="21">
        <f>IFERROR(INDEX(Pedidos!$D$2:$D$1801,MATCH(B4216,Pedidos!$A$2:$A$1801,0)),"")</f>
        <v/>
      </c>
      <c r="L4216" s="21">
        <f>IFERROR(INDEX(Pedidos!$F$2:$F$1801,MATCH(B4216,Pedidos!$A$2:$A$1801,0)),"")</f>
        <v/>
      </c>
      <c r="M4216" s="22">
        <f>IFERROR(INDEX(Pedidos!$G$2:$G$1801,MATCH(B4216,Pedidos!$A$2:$A$1801,0)),0)</f>
        <v/>
      </c>
      <c r="N4216" s="21">
        <f>IFERROR(INDEX(Produtos!$B$2:$B$71,MATCH(C4216,Produtos!$A$2:$A$71,0)),"")</f>
        <v/>
      </c>
      <c r="O4216" s="21">
        <f>IFERROR(INDEX(Produtos!$C$2:$C$71,MATCH(C4216,Produtos!$A$2:$A$71,0)),"")</f>
        <v/>
      </c>
      <c r="P4216" s="21">
        <f>IFERROR(INDEX(Produtos!$D$2:$D$71,MATCH(C4216,Produtos!$A$2:$A$71,0)),0)</f>
        <v/>
      </c>
      <c r="Q4216" s="21">
        <f>IFERROR(INDEX(Produtos!$E$2:$E$71,MATCH(C4216,Produtos!$A$2:$A$71,0)),0)</f>
        <v/>
      </c>
      <c r="R4216" s="23">
        <f>D4216*Q4216</f>
        <v/>
      </c>
      <c r="S4216" s="23">
        <f>R4216*E4216</f>
        <v/>
      </c>
      <c r="T4216" s="23">
        <f>(R4216-S4216)*M4216</f>
        <v/>
      </c>
      <c r="U4216" s="23">
        <f>R4216-S4216-T4216</f>
        <v/>
      </c>
      <c r="V4216" s="23">
        <f>D4216*P4216</f>
        <v/>
      </c>
      <c r="W4216" s="23">
        <f>U4216-V4216</f>
        <v/>
      </c>
      <c r="X4216" s="24">
        <f>IFERROR(W4216/U4216,0)</f>
        <v/>
      </c>
    </row>
    <row r="4217">
      <c r="A4217" s="25">
        <f>ItensPedido!A4217</f>
        <v/>
      </c>
      <c r="B4217" s="25">
        <f>ItensPedido!B4217</f>
        <v/>
      </c>
      <c r="C4217" s="25">
        <f>ItensPedido!C4217</f>
        <v/>
      </c>
      <c r="D4217" s="25">
        <f>ItensPedido!D4217</f>
        <v/>
      </c>
      <c r="E4217" s="26">
        <f>ItensPedido!E4217</f>
        <v/>
      </c>
      <c r="F4217" s="25">
        <f>IFERROR(INDEX(Pedidos!$B$2:$B$1801,MATCH(B4217,Pedidos!$A$2:$A$1801,0)),0)</f>
        <v/>
      </c>
      <c r="G4217" s="25">
        <f>IF(F4217=0,"",YEAR(F4217))</f>
        <v/>
      </c>
      <c r="H4217" s="25">
        <f>IF(F4217=0,"",MONTH(F4217))</f>
        <v/>
      </c>
      <c r="I4217" s="25">
        <f>IFERROR(INDEX(Pedidos!$E$2:$E$1801,MATCH(B4217,Pedidos!$A$2:$A$1801,0)),"")</f>
        <v/>
      </c>
      <c r="J4217" s="25">
        <f>IFERROR(INDEX(Pedidos!$C$2:$C$1801,MATCH(B4217,Pedidos!$A$2:$A$1801,0)),"")</f>
        <v/>
      </c>
      <c r="K4217" s="25">
        <f>IFERROR(INDEX(Pedidos!$D$2:$D$1801,MATCH(B4217,Pedidos!$A$2:$A$1801,0)),"")</f>
        <v/>
      </c>
      <c r="L4217" s="25">
        <f>IFERROR(INDEX(Pedidos!$F$2:$F$1801,MATCH(B4217,Pedidos!$A$2:$A$1801,0)),"")</f>
        <v/>
      </c>
      <c r="M4217" s="26">
        <f>IFERROR(INDEX(Pedidos!$G$2:$G$1801,MATCH(B4217,Pedidos!$A$2:$A$1801,0)),0)</f>
        <v/>
      </c>
      <c r="N4217" s="25">
        <f>IFERROR(INDEX(Produtos!$B$2:$B$71,MATCH(C4217,Produtos!$A$2:$A$71,0)),"")</f>
        <v/>
      </c>
      <c r="O4217" s="25">
        <f>IFERROR(INDEX(Produtos!$C$2:$C$71,MATCH(C4217,Produtos!$A$2:$A$71,0)),"")</f>
        <v/>
      </c>
      <c r="P4217" s="25">
        <f>IFERROR(INDEX(Produtos!$D$2:$D$71,MATCH(C4217,Produtos!$A$2:$A$71,0)),0)</f>
        <v/>
      </c>
      <c r="Q4217" s="25">
        <f>IFERROR(INDEX(Produtos!$E$2:$E$71,MATCH(C4217,Produtos!$A$2:$A$71,0)),0)</f>
        <v/>
      </c>
      <c r="R4217" s="27">
        <f>D4217*Q4217</f>
        <v/>
      </c>
      <c r="S4217" s="27">
        <f>R4217*E4217</f>
        <v/>
      </c>
      <c r="T4217" s="27">
        <f>(R4217-S4217)*M4217</f>
        <v/>
      </c>
      <c r="U4217" s="27">
        <f>R4217-S4217-T4217</f>
        <v/>
      </c>
      <c r="V4217" s="27">
        <f>D4217*P4217</f>
        <v/>
      </c>
      <c r="W4217" s="27">
        <f>U4217-V4217</f>
        <v/>
      </c>
      <c r="X4217" s="28">
        <f>IFERROR(W4217/U4217,0)</f>
        <v/>
      </c>
    </row>
    <row r="4218">
      <c r="A4218" s="21">
        <f>ItensPedido!A4218</f>
        <v/>
      </c>
      <c r="B4218" s="21">
        <f>ItensPedido!B4218</f>
        <v/>
      </c>
      <c r="C4218" s="21">
        <f>ItensPedido!C4218</f>
        <v/>
      </c>
      <c r="D4218" s="21">
        <f>ItensPedido!D4218</f>
        <v/>
      </c>
      <c r="E4218" s="22">
        <f>ItensPedido!E4218</f>
        <v/>
      </c>
      <c r="F4218" s="21">
        <f>IFERROR(INDEX(Pedidos!$B$2:$B$1801,MATCH(B4218,Pedidos!$A$2:$A$1801,0)),0)</f>
        <v/>
      </c>
      <c r="G4218" s="21">
        <f>IF(F4218=0,"",YEAR(F4218))</f>
        <v/>
      </c>
      <c r="H4218" s="21">
        <f>IF(F4218=0,"",MONTH(F4218))</f>
        <v/>
      </c>
      <c r="I4218" s="21">
        <f>IFERROR(INDEX(Pedidos!$E$2:$E$1801,MATCH(B4218,Pedidos!$A$2:$A$1801,0)),"")</f>
        <v/>
      </c>
      <c r="J4218" s="21">
        <f>IFERROR(INDEX(Pedidos!$C$2:$C$1801,MATCH(B4218,Pedidos!$A$2:$A$1801,0)),"")</f>
        <v/>
      </c>
      <c r="K4218" s="21">
        <f>IFERROR(INDEX(Pedidos!$D$2:$D$1801,MATCH(B4218,Pedidos!$A$2:$A$1801,0)),"")</f>
        <v/>
      </c>
      <c r="L4218" s="21">
        <f>IFERROR(INDEX(Pedidos!$F$2:$F$1801,MATCH(B4218,Pedidos!$A$2:$A$1801,0)),"")</f>
        <v/>
      </c>
      <c r="M4218" s="22">
        <f>IFERROR(INDEX(Pedidos!$G$2:$G$1801,MATCH(B4218,Pedidos!$A$2:$A$1801,0)),0)</f>
        <v/>
      </c>
      <c r="N4218" s="21">
        <f>IFERROR(INDEX(Produtos!$B$2:$B$71,MATCH(C4218,Produtos!$A$2:$A$71,0)),"")</f>
        <v/>
      </c>
      <c r="O4218" s="21">
        <f>IFERROR(INDEX(Produtos!$C$2:$C$71,MATCH(C4218,Produtos!$A$2:$A$71,0)),"")</f>
        <v/>
      </c>
      <c r="P4218" s="21">
        <f>IFERROR(INDEX(Produtos!$D$2:$D$71,MATCH(C4218,Produtos!$A$2:$A$71,0)),0)</f>
        <v/>
      </c>
      <c r="Q4218" s="21">
        <f>IFERROR(INDEX(Produtos!$E$2:$E$71,MATCH(C4218,Produtos!$A$2:$A$71,0)),0)</f>
        <v/>
      </c>
      <c r="R4218" s="23">
        <f>D4218*Q4218</f>
        <v/>
      </c>
      <c r="S4218" s="23">
        <f>R4218*E4218</f>
        <v/>
      </c>
      <c r="T4218" s="23">
        <f>(R4218-S4218)*M4218</f>
        <v/>
      </c>
      <c r="U4218" s="23">
        <f>R4218-S4218-T4218</f>
        <v/>
      </c>
      <c r="V4218" s="23">
        <f>D4218*P4218</f>
        <v/>
      </c>
      <c r="W4218" s="23">
        <f>U4218-V4218</f>
        <v/>
      </c>
      <c r="X4218" s="24">
        <f>IFERROR(W4218/U4218,0)</f>
        <v/>
      </c>
    </row>
    <row r="4219">
      <c r="A4219" s="25">
        <f>ItensPedido!A4219</f>
        <v/>
      </c>
      <c r="B4219" s="25">
        <f>ItensPedido!B4219</f>
        <v/>
      </c>
      <c r="C4219" s="25">
        <f>ItensPedido!C4219</f>
        <v/>
      </c>
      <c r="D4219" s="25">
        <f>ItensPedido!D4219</f>
        <v/>
      </c>
      <c r="E4219" s="26">
        <f>ItensPedido!E4219</f>
        <v/>
      </c>
      <c r="F4219" s="25">
        <f>IFERROR(INDEX(Pedidos!$B$2:$B$1801,MATCH(B4219,Pedidos!$A$2:$A$1801,0)),0)</f>
        <v/>
      </c>
      <c r="G4219" s="25">
        <f>IF(F4219=0,"",YEAR(F4219))</f>
        <v/>
      </c>
      <c r="H4219" s="25">
        <f>IF(F4219=0,"",MONTH(F4219))</f>
        <v/>
      </c>
      <c r="I4219" s="25">
        <f>IFERROR(INDEX(Pedidos!$E$2:$E$1801,MATCH(B4219,Pedidos!$A$2:$A$1801,0)),"")</f>
        <v/>
      </c>
      <c r="J4219" s="25">
        <f>IFERROR(INDEX(Pedidos!$C$2:$C$1801,MATCH(B4219,Pedidos!$A$2:$A$1801,0)),"")</f>
        <v/>
      </c>
      <c r="K4219" s="25">
        <f>IFERROR(INDEX(Pedidos!$D$2:$D$1801,MATCH(B4219,Pedidos!$A$2:$A$1801,0)),"")</f>
        <v/>
      </c>
      <c r="L4219" s="25">
        <f>IFERROR(INDEX(Pedidos!$F$2:$F$1801,MATCH(B4219,Pedidos!$A$2:$A$1801,0)),"")</f>
        <v/>
      </c>
      <c r="M4219" s="26">
        <f>IFERROR(INDEX(Pedidos!$G$2:$G$1801,MATCH(B4219,Pedidos!$A$2:$A$1801,0)),0)</f>
        <v/>
      </c>
      <c r="N4219" s="25">
        <f>IFERROR(INDEX(Produtos!$B$2:$B$71,MATCH(C4219,Produtos!$A$2:$A$71,0)),"")</f>
        <v/>
      </c>
      <c r="O4219" s="25">
        <f>IFERROR(INDEX(Produtos!$C$2:$C$71,MATCH(C4219,Produtos!$A$2:$A$71,0)),"")</f>
        <v/>
      </c>
      <c r="P4219" s="25">
        <f>IFERROR(INDEX(Produtos!$D$2:$D$71,MATCH(C4219,Produtos!$A$2:$A$71,0)),0)</f>
        <v/>
      </c>
      <c r="Q4219" s="25">
        <f>IFERROR(INDEX(Produtos!$E$2:$E$71,MATCH(C4219,Produtos!$A$2:$A$71,0)),0)</f>
        <v/>
      </c>
      <c r="R4219" s="27">
        <f>D4219*Q4219</f>
        <v/>
      </c>
      <c r="S4219" s="27">
        <f>R4219*E4219</f>
        <v/>
      </c>
      <c r="T4219" s="27">
        <f>(R4219-S4219)*M4219</f>
        <v/>
      </c>
      <c r="U4219" s="27">
        <f>R4219-S4219-T4219</f>
        <v/>
      </c>
      <c r="V4219" s="27">
        <f>D4219*P4219</f>
        <v/>
      </c>
      <c r="W4219" s="27">
        <f>U4219-V4219</f>
        <v/>
      </c>
      <c r="X4219" s="28">
        <f>IFERROR(W4219/U4219,0)</f>
        <v/>
      </c>
    </row>
    <row r="4220">
      <c r="A4220" s="21">
        <f>ItensPedido!A4220</f>
        <v/>
      </c>
      <c r="B4220" s="21">
        <f>ItensPedido!B4220</f>
        <v/>
      </c>
      <c r="C4220" s="21">
        <f>ItensPedido!C4220</f>
        <v/>
      </c>
      <c r="D4220" s="21">
        <f>ItensPedido!D4220</f>
        <v/>
      </c>
      <c r="E4220" s="22">
        <f>ItensPedido!E4220</f>
        <v/>
      </c>
      <c r="F4220" s="21">
        <f>IFERROR(INDEX(Pedidos!$B$2:$B$1801,MATCH(B4220,Pedidos!$A$2:$A$1801,0)),0)</f>
        <v/>
      </c>
      <c r="G4220" s="21">
        <f>IF(F4220=0,"",YEAR(F4220))</f>
        <v/>
      </c>
      <c r="H4220" s="21">
        <f>IF(F4220=0,"",MONTH(F4220))</f>
        <v/>
      </c>
      <c r="I4220" s="21">
        <f>IFERROR(INDEX(Pedidos!$E$2:$E$1801,MATCH(B4220,Pedidos!$A$2:$A$1801,0)),"")</f>
        <v/>
      </c>
      <c r="J4220" s="21">
        <f>IFERROR(INDEX(Pedidos!$C$2:$C$1801,MATCH(B4220,Pedidos!$A$2:$A$1801,0)),"")</f>
        <v/>
      </c>
      <c r="K4220" s="21">
        <f>IFERROR(INDEX(Pedidos!$D$2:$D$1801,MATCH(B4220,Pedidos!$A$2:$A$1801,0)),"")</f>
        <v/>
      </c>
      <c r="L4220" s="21">
        <f>IFERROR(INDEX(Pedidos!$F$2:$F$1801,MATCH(B4220,Pedidos!$A$2:$A$1801,0)),"")</f>
        <v/>
      </c>
      <c r="M4220" s="22">
        <f>IFERROR(INDEX(Pedidos!$G$2:$G$1801,MATCH(B4220,Pedidos!$A$2:$A$1801,0)),0)</f>
        <v/>
      </c>
      <c r="N4220" s="21">
        <f>IFERROR(INDEX(Produtos!$B$2:$B$71,MATCH(C4220,Produtos!$A$2:$A$71,0)),"")</f>
        <v/>
      </c>
      <c r="O4220" s="21">
        <f>IFERROR(INDEX(Produtos!$C$2:$C$71,MATCH(C4220,Produtos!$A$2:$A$71,0)),"")</f>
        <v/>
      </c>
      <c r="P4220" s="21">
        <f>IFERROR(INDEX(Produtos!$D$2:$D$71,MATCH(C4220,Produtos!$A$2:$A$71,0)),0)</f>
        <v/>
      </c>
      <c r="Q4220" s="21">
        <f>IFERROR(INDEX(Produtos!$E$2:$E$71,MATCH(C4220,Produtos!$A$2:$A$71,0)),0)</f>
        <v/>
      </c>
      <c r="R4220" s="23">
        <f>D4220*Q4220</f>
        <v/>
      </c>
      <c r="S4220" s="23">
        <f>R4220*E4220</f>
        <v/>
      </c>
      <c r="T4220" s="23">
        <f>(R4220-S4220)*M4220</f>
        <v/>
      </c>
      <c r="U4220" s="23">
        <f>R4220-S4220-T4220</f>
        <v/>
      </c>
      <c r="V4220" s="23">
        <f>D4220*P4220</f>
        <v/>
      </c>
      <c r="W4220" s="23">
        <f>U4220-V4220</f>
        <v/>
      </c>
      <c r="X4220" s="24">
        <f>IFERROR(W4220/U4220,0)</f>
        <v/>
      </c>
    </row>
    <row r="4221">
      <c r="A4221" s="25">
        <f>ItensPedido!A4221</f>
        <v/>
      </c>
      <c r="B4221" s="25">
        <f>ItensPedido!B4221</f>
        <v/>
      </c>
      <c r="C4221" s="25">
        <f>ItensPedido!C4221</f>
        <v/>
      </c>
      <c r="D4221" s="25">
        <f>ItensPedido!D4221</f>
        <v/>
      </c>
      <c r="E4221" s="26">
        <f>ItensPedido!E4221</f>
        <v/>
      </c>
      <c r="F4221" s="25">
        <f>IFERROR(INDEX(Pedidos!$B$2:$B$1801,MATCH(B4221,Pedidos!$A$2:$A$1801,0)),0)</f>
        <v/>
      </c>
      <c r="G4221" s="25">
        <f>IF(F4221=0,"",YEAR(F4221))</f>
        <v/>
      </c>
      <c r="H4221" s="25">
        <f>IF(F4221=0,"",MONTH(F4221))</f>
        <v/>
      </c>
      <c r="I4221" s="25">
        <f>IFERROR(INDEX(Pedidos!$E$2:$E$1801,MATCH(B4221,Pedidos!$A$2:$A$1801,0)),"")</f>
        <v/>
      </c>
      <c r="J4221" s="25">
        <f>IFERROR(INDEX(Pedidos!$C$2:$C$1801,MATCH(B4221,Pedidos!$A$2:$A$1801,0)),"")</f>
        <v/>
      </c>
      <c r="K4221" s="25">
        <f>IFERROR(INDEX(Pedidos!$D$2:$D$1801,MATCH(B4221,Pedidos!$A$2:$A$1801,0)),"")</f>
        <v/>
      </c>
      <c r="L4221" s="25">
        <f>IFERROR(INDEX(Pedidos!$F$2:$F$1801,MATCH(B4221,Pedidos!$A$2:$A$1801,0)),"")</f>
        <v/>
      </c>
      <c r="M4221" s="26">
        <f>IFERROR(INDEX(Pedidos!$G$2:$G$1801,MATCH(B4221,Pedidos!$A$2:$A$1801,0)),0)</f>
        <v/>
      </c>
      <c r="N4221" s="25">
        <f>IFERROR(INDEX(Produtos!$B$2:$B$71,MATCH(C4221,Produtos!$A$2:$A$71,0)),"")</f>
        <v/>
      </c>
      <c r="O4221" s="25">
        <f>IFERROR(INDEX(Produtos!$C$2:$C$71,MATCH(C4221,Produtos!$A$2:$A$71,0)),"")</f>
        <v/>
      </c>
      <c r="P4221" s="25">
        <f>IFERROR(INDEX(Produtos!$D$2:$D$71,MATCH(C4221,Produtos!$A$2:$A$71,0)),0)</f>
        <v/>
      </c>
      <c r="Q4221" s="25">
        <f>IFERROR(INDEX(Produtos!$E$2:$E$71,MATCH(C4221,Produtos!$A$2:$A$71,0)),0)</f>
        <v/>
      </c>
      <c r="R4221" s="27">
        <f>D4221*Q4221</f>
        <v/>
      </c>
      <c r="S4221" s="27">
        <f>R4221*E4221</f>
        <v/>
      </c>
      <c r="T4221" s="27">
        <f>(R4221-S4221)*M4221</f>
        <v/>
      </c>
      <c r="U4221" s="27">
        <f>R4221-S4221-T4221</f>
        <v/>
      </c>
      <c r="V4221" s="27">
        <f>D4221*P4221</f>
        <v/>
      </c>
      <c r="W4221" s="27">
        <f>U4221-V4221</f>
        <v/>
      </c>
      <c r="X4221" s="28">
        <f>IFERROR(W4221/U4221,0)</f>
        <v/>
      </c>
    </row>
    <row r="4222">
      <c r="A4222" s="21">
        <f>ItensPedido!A4222</f>
        <v/>
      </c>
      <c r="B4222" s="21">
        <f>ItensPedido!B4222</f>
        <v/>
      </c>
      <c r="C4222" s="21">
        <f>ItensPedido!C4222</f>
        <v/>
      </c>
      <c r="D4222" s="21">
        <f>ItensPedido!D4222</f>
        <v/>
      </c>
      <c r="E4222" s="22">
        <f>ItensPedido!E4222</f>
        <v/>
      </c>
      <c r="F4222" s="21">
        <f>IFERROR(INDEX(Pedidos!$B$2:$B$1801,MATCH(B4222,Pedidos!$A$2:$A$1801,0)),0)</f>
        <v/>
      </c>
      <c r="G4222" s="21">
        <f>IF(F4222=0,"",YEAR(F4222))</f>
        <v/>
      </c>
      <c r="H4222" s="21">
        <f>IF(F4222=0,"",MONTH(F4222))</f>
        <v/>
      </c>
      <c r="I4222" s="21">
        <f>IFERROR(INDEX(Pedidos!$E$2:$E$1801,MATCH(B4222,Pedidos!$A$2:$A$1801,0)),"")</f>
        <v/>
      </c>
      <c r="J4222" s="21">
        <f>IFERROR(INDEX(Pedidos!$C$2:$C$1801,MATCH(B4222,Pedidos!$A$2:$A$1801,0)),"")</f>
        <v/>
      </c>
      <c r="K4222" s="21">
        <f>IFERROR(INDEX(Pedidos!$D$2:$D$1801,MATCH(B4222,Pedidos!$A$2:$A$1801,0)),"")</f>
        <v/>
      </c>
      <c r="L4222" s="21">
        <f>IFERROR(INDEX(Pedidos!$F$2:$F$1801,MATCH(B4222,Pedidos!$A$2:$A$1801,0)),"")</f>
        <v/>
      </c>
      <c r="M4222" s="22">
        <f>IFERROR(INDEX(Pedidos!$G$2:$G$1801,MATCH(B4222,Pedidos!$A$2:$A$1801,0)),0)</f>
        <v/>
      </c>
      <c r="N4222" s="21">
        <f>IFERROR(INDEX(Produtos!$B$2:$B$71,MATCH(C4222,Produtos!$A$2:$A$71,0)),"")</f>
        <v/>
      </c>
      <c r="O4222" s="21">
        <f>IFERROR(INDEX(Produtos!$C$2:$C$71,MATCH(C4222,Produtos!$A$2:$A$71,0)),"")</f>
        <v/>
      </c>
      <c r="P4222" s="21">
        <f>IFERROR(INDEX(Produtos!$D$2:$D$71,MATCH(C4222,Produtos!$A$2:$A$71,0)),0)</f>
        <v/>
      </c>
      <c r="Q4222" s="21">
        <f>IFERROR(INDEX(Produtos!$E$2:$E$71,MATCH(C4222,Produtos!$A$2:$A$71,0)),0)</f>
        <v/>
      </c>
      <c r="R4222" s="23">
        <f>D4222*Q4222</f>
        <v/>
      </c>
      <c r="S4222" s="23">
        <f>R4222*E4222</f>
        <v/>
      </c>
      <c r="T4222" s="23">
        <f>(R4222-S4222)*M4222</f>
        <v/>
      </c>
      <c r="U4222" s="23">
        <f>R4222-S4222-T4222</f>
        <v/>
      </c>
      <c r="V4222" s="23">
        <f>D4222*P4222</f>
        <v/>
      </c>
      <c r="W4222" s="23">
        <f>U4222-V4222</f>
        <v/>
      </c>
      <c r="X4222" s="24">
        <f>IFERROR(W4222/U4222,0)</f>
        <v/>
      </c>
    </row>
    <row r="4223">
      <c r="A4223" s="25">
        <f>ItensPedido!A4223</f>
        <v/>
      </c>
      <c r="B4223" s="25">
        <f>ItensPedido!B4223</f>
        <v/>
      </c>
      <c r="C4223" s="25">
        <f>ItensPedido!C4223</f>
        <v/>
      </c>
      <c r="D4223" s="25">
        <f>ItensPedido!D4223</f>
        <v/>
      </c>
      <c r="E4223" s="26">
        <f>ItensPedido!E4223</f>
        <v/>
      </c>
      <c r="F4223" s="25">
        <f>IFERROR(INDEX(Pedidos!$B$2:$B$1801,MATCH(B4223,Pedidos!$A$2:$A$1801,0)),0)</f>
        <v/>
      </c>
      <c r="G4223" s="25">
        <f>IF(F4223=0,"",YEAR(F4223))</f>
        <v/>
      </c>
      <c r="H4223" s="25">
        <f>IF(F4223=0,"",MONTH(F4223))</f>
        <v/>
      </c>
      <c r="I4223" s="25">
        <f>IFERROR(INDEX(Pedidos!$E$2:$E$1801,MATCH(B4223,Pedidos!$A$2:$A$1801,0)),"")</f>
        <v/>
      </c>
      <c r="J4223" s="25">
        <f>IFERROR(INDEX(Pedidos!$C$2:$C$1801,MATCH(B4223,Pedidos!$A$2:$A$1801,0)),"")</f>
        <v/>
      </c>
      <c r="K4223" s="25">
        <f>IFERROR(INDEX(Pedidos!$D$2:$D$1801,MATCH(B4223,Pedidos!$A$2:$A$1801,0)),"")</f>
        <v/>
      </c>
      <c r="L4223" s="25">
        <f>IFERROR(INDEX(Pedidos!$F$2:$F$1801,MATCH(B4223,Pedidos!$A$2:$A$1801,0)),"")</f>
        <v/>
      </c>
      <c r="M4223" s="26">
        <f>IFERROR(INDEX(Pedidos!$G$2:$G$1801,MATCH(B4223,Pedidos!$A$2:$A$1801,0)),0)</f>
        <v/>
      </c>
      <c r="N4223" s="25">
        <f>IFERROR(INDEX(Produtos!$B$2:$B$71,MATCH(C4223,Produtos!$A$2:$A$71,0)),"")</f>
        <v/>
      </c>
      <c r="O4223" s="25">
        <f>IFERROR(INDEX(Produtos!$C$2:$C$71,MATCH(C4223,Produtos!$A$2:$A$71,0)),"")</f>
        <v/>
      </c>
      <c r="P4223" s="25">
        <f>IFERROR(INDEX(Produtos!$D$2:$D$71,MATCH(C4223,Produtos!$A$2:$A$71,0)),0)</f>
        <v/>
      </c>
      <c r="Q4223" s="25">
        <f>IFERROR(INDEX(Produtos!$E$2:$E$71,MATCH(C4223,Produtos!$A$2:$A$71,0)),0)</f>
        <v/>
      </c>
      <c r="R4223" s="27">
        <f>D4223*Q4223</f>
        <v/>
      </c>
      <c r="S4223" s="27">
        <f>R4223*E4223</f>
        <v/>
      </c>
      <c r="T4223" s="27">
        <f>(R4223-S4223)*M4223</f>
        <v/>
      </c>
      <c r="U4223" s="27">
        <f>R4223-S4223-T4223</f>
        <v/>
      </c>
      <c r="V4223" s="27">
        <f>D4223*P4223</f>
        <v/>
      </c>
      <c r="W4223" s="27">
        <f>U4223-V4223</f>
        <v/>
      </c>
      <c r="X4223" s="28">
        <f>IFERROR(W4223/U4223,0)</f>
        <v/>
      </c>
    </row>
    <row r="4224">
      <c r="A4224" s="21">
        <f>ItensPedido!A4224</f>
        <v/>
      </c>
      <c r="B4224" s="21">
        <f>ItensPedido!B4224</f>
        <v/>
      </c>
      <c r="C4224" s="21">
        <f>ItensPedido!C4224</f>
        <v/>
      </c>
      <c r="D4224" s="21">
        <f>ItensPedido!D4224</f>
        <v/>
      </c>
      <c r="E4224" s="22">
        <f>ItensPedido!E4224</f>
        <v/>
      </c>
      <c r="F4224" s="21">
        <f>IFERROR(INDEX(Pedidos!$B$2:$B$1801,MATCH(B4224,Pedidos!$A$2:$A$1801,0)),0)</f>
        <v/>
      </c>
      <c r="G4224" s="21">
        <f>IF(F4224=0,"",YEAR(F4224))</f>
        <v/>
      </c>
      <c r="H4224" s="21">
        <f>IF(F4224=0,"",MONTH(F4224))</f>
        <v/>
      </c>
      <c r="I4224" s="21">
        <f>IFERROR(INDEX(Pedidos!$E$2:$E$1801,MATCH(B4224,Pedidos!$A$2:$A$1801,0)),"")</f>
        <v/>
      </c>
      <c r="J4224" s="21">
        <f>IFERROR(INDEX(Pedidos!$C$2:$C$1801,MATCH(B4224,Pedidos!$A$2:$A$1801,0)),"")</f>
        <v/>
      </c>
      <c r="K4224" s="21">
        <f>IFERROR(INDEX(Pedidos!$D$2:$D$1801,MATCH(B4224,Pedidos!$A$2:$A$1801,0)),"")</f>
        <v/>
      </c>
      <c r="L4224" s="21">
        <f>IFERROR(INDEX(Pedidos!$F$2:$F$1801,MATCH(B4224,Pedidos!$A$2:$A$1801,0)),"")</f>
        <v/>
      </c>
      <c r="M4224" s="22">
        <f>IFERROR(INDEX(Pedidos!$G$2:$G$1801,MATCH(B4224,Pedidos!$A$2:$A$1801,0)),0)</f>
        <v/>
      </c>
      <c r="N4224" s="21">
        <f>IFERROR(INDEX(Produtos!$B$2:$B$71,MATCH(C4224,Produtos!$A$2:$A$71,0)),"")</f>
        <v/>
      </c>
      <c r="O4224" s="21">
        <f>IFERROR(INDEX(Produtos!$C$2:$C$71,MATCH(C4224,Produtos!$A$2:$A$71,0)),"")</f>
        <v/>
      </c>
      <c r="P4224" s="21">
        <f>IFERROR(INDEX(Produtos!$D$2:$D$71,MATCH(C4224,Produtos!$A$2:$A$71,0)),0)</f>
        <v/>
      </c>
      <c r="Q4224" s="21">
        <f>IFERROR(INDEX(Produtos!$E$2:$E$71,MATCH(C4224,Produtos!$A$2:$A$71,0)),0)</f>
        <v/>
      </c>
      <c r="R4224" s="23">
        <f>D4224*Q4224</f>
        <v/>
      </c>
      <c r="S4224" s="23">
        <f>R4224*E4224</f>
        <v/>
      </c>
      <c r="T4224" s="23">
        <f>(R4224-S4224)*M4224</f>
        <v/>
      </c>
      <c r="U4224" s="23">
        <f>R4224-S4224-T4224</f>
        <v/>
      </c>
      <c r="V4224" s="23">
        <f>D4224*P4224</f>
        <v/>
      </c>
      <c r="W4224" s="23">
        <f>U4224-V4224</f>
        <v/>
      </c>
      <c r="X4224" s="24">
        <f>IFERROR(W4224/U4224,0)</f>
        <v/>
      </c>
    </row>
    <row r="4225">
      <c r="A4225" s="25">
        <f>ItensPedido!A4225</f>
        <v/>
      </c>
      <c r="B4225" s="25">
        <f>ItensPedido!B4225</f>
        <v/>
      </c>
      <c r="C4225" s="25">
        <f>ItensPedido!C4225</f>
        <v/>
      </c>
      <c r="D4225" s="25">
        <f>ItensPedido!D4225</f>
        <v/>
      </c>
      <c r="E4225" s="26">
        <f>ItensPedido!E4225</f>
        <v/>
      </c>
      <c r="F4225" s="25">
        <f>IFERROR(INDEX(Pedidos!$B$2:$B$1801,MATCH(B4225,Pedidos!$A$2:$A$1801,0)),0)</f>
        <v/>
      </c>
      <c r="G4225" s="25">
        <f>IF(F4225=0,"",YEAR(F4225))</f>
        <v/>
      </c>
      <c r="H4225" s="25">
        <f>IF(F4225=0,"",MONTH(F4225))</f>
        <v/>
      </c>
      <c r="I4225" s="25">
        <f>IFERROR(INDEX(Pedidos!$E$2:$E$1801,MATCH(B4225,Pedidos!$A$2:$A$1801,0)),"")</f>
        <v/>
      </c>
      <c r="J4225" s="25">
        <f>IFERROR(INDEX(Pedidos!$C$2:$C$1801,MATCH(B4225,Pedidos!$A$2:$A$1801,0)),"")</f>
        <v/>
      </c>
      <c r="K4225" s="25">
        <f>IFERROR(INDEX(Pedidos!$D$2:$D$1801,MATCH(B4225,Pedidos!$A$2:$A$1801,0)),"")</f>
        <v/>
      </c>
      <c r="L4225" s="25">
        <f>IFERROR(INDEX(Pedidos!$F$2:$F$1801,MATCH(B4225,Pedidos!$A$2:$A$1801,0)),"")</f>
        <v/>
      </c>
      <c r="M4225" s="26">
        <f>IFERROR(INDEX(Pedidos!$G$2:$G$1801,MATCH(B4225,Pedidos!$A$2:$A$1801,0)),0)</f>
        <v/>
      </c>
      <c r="N4225" s="25">
        <f>IFERROR(INDEX(Produtos!$B$2:$B$71,MATCH(C4225,Produtos!$A$2:$A$71,0)),"")</f>
        <v/>
      </c>
      <c r="O4225" s="25">
        <f>IFERROR(INDEX(Produtos!$C$2:$C$71,MATCH(C4225,Produtos!$A$2:$A$71,0)),"")</f>
        <v/>
      </c>
      <c r="P4225" s="25">
        <f>IFERROR(INDEX(Produtos!$D$2:$D$71,MATCH(C4225,Produtos!$A$2:$A$71,0)),0)</f>
        <v/>
      </c>
      <c r="Q4225" s="25">
        <f>IFERROR(INDEX(Produtos!$E$2:$E$71,MATCH(C4225,Produtos!$A$2:$A$71,0)),0)</f>
        <v/>
      </c>
      <c r="R4225" s="27">
        <f>D4225*Q4225</f>
        <v/>
      </c>
      <c r="S4225" s="27">
        <f>R4225*E4225</f>
        <v/>
      </c>
      <c r="T4225" s="27">
        <f>(R4225-S4225)*M4225</f>
        <v/>
      </c>
      <c r="U4225" s="27">
        <f>R4225-S4225-T4225</f>
        <v/>
      </c>
      <c r="V4225" s="27">
        <f>D4225*P4225</f>
        <v/>
      </c>
      <c r="W4225" s="27">
        <f>U4225-V4225</f>
        <v/>
      </c>
      <c r="X4225" s="28">
        <f>IFERROR(W4225/U4225,0)</f>
        <v/>
      </c>
    </row>
    <row r="4226">
      <c r="A4226" s="21">
        <f>ItensPedido!A4226</f>
        <v/>
      </c>
      <c r="B4226" s="21">
        <f>ItensPedido!B4226</f>
        <v/>
      </c>
      <c r="C4226" s="21">
        <f>ItensPedido!C4226</f>
        <v/>
      </c>
      <c r="D4226" s="21">
        <f>ItensPedido!D4226</f>
        <v/>
      </c>
      <c r="E4226" s="22">
        <f>ItensPedido!E4226</f>
        <v/>
      </c>
      <c r="F4226" s="21">
        <f>IFERROR(INDEX(Pedidos!$B$2:$B$1801,MATCH(B4226,Pedidos!$A$2:$A$1801,0)),0)</f>
        <v/>
      </c>
      <c r="G4226" s="21">
        <f>IF(F4226=0,"",YEAR(F4226))</f>
        <v/>
      </c>
      <c r="H4226" s="21">
        <f>IF(F4226=0,"",MONTH(F4226))</f>
        <v/>
      </c>
      <c r="I4226" s="21">
        <f>IFERROR(INDEX(Pedidos!$E$2:$E$1801,MATCH(B4226,Pedidos!$A$2:$A$1801,0)),"")</f>
        <v/>
      </c>
      <c r="J4226" s="21">
        <f>IFERROR(INDEX(Pedidos!$C$2:$C$1801,MATCH(B4226,Pedidos!$A$2:$A$1801,0)),"")</f>
        <v/>
      </c>
      <c r="K4226" s="21">
        <f>IFERROR(INDEX(Pedidos!$D$2:$D$1801,MATCH(B4226,Pedidos!$A$2:$A$1801,0)),"")</f>
        <v/>
      </c>
      <c r="L4226" s="21">
        <f>IFERROR(INDEX(Pedidos!$F$2:$F$1801,MATCH(B4226,Pedidos!$A$2:$A$1801,0)),"")</f>
        <v/>
      </c>
      <c r="M4226" s="22">
        <f>IFERROR(INDEX(Pedidos!$G$2:$G$1801,MATCH(B4226,Pedidos!$A$2:$A$1801,0)),0)</f>
        <v/>
      </c>
      <c r="N4226" s="21">
        <f>IFERROR(INDEX(Produtos!$B$2:$B$71,MATCH(C4226,Produtos!$A$2:$A$71,0)),"")</f>
        <v/>
      </c>
      <c r="O4226" s="21">
        <f>IFERROR(INDEX(Produtos!$C$2:$C$71,MATCH(C4226,Produtos!$A$2:$A$71,0)),"")</f>
        <v/>
      </c>
      <c r="P4226" s="21">
        <f>IFERROR(INDEX(Produtos!$D$2:$D$71,MATCH(C4226,Produtos!$A$2:$A$71,0)),0)</f>
        <v/>
      </c>
      <c r="Q4226" s="21">
        <f>IFERROR(INDEX(Produtos!$E$2:$E$71,MATCH(C4226,Produtos!$A$2:$A$71,0)),0)</f>
        <v/>
      </c>
      <c r="R4226" s="23">
        <f>D4226*Q4226</f>
        <v/>
      </c>
      <c r="S4226" s="23">
        <f>R4226*E4226</f>
        <v/>
      </c>
      <c r="T4226" s="23">
        <f>(R4226-S4226)*M4226</f>
        <v/>
      </c>
      <c r="U4226" s="23">
        <f>R4226-S4226-T4226</f>
        <v/>
      </c>
      <c r="V4226" s="23">
        <f>D4226*P4226</f>
        <v/>
      </c>
      <c r="W4226" s="23">
        <f>U4226-V4226</f>
        <v/>
      </c>
      <c r="X4226" s="24">
        <f>IFERROR(W4226/U4226,0)</f>
        <v/>
      </c>
    </row>
    <row r="4227">
      <c r="A4227" s="25">
        <f>ItensPedido!A4227</f>
        <v/>
      </c>
      <c r="B4227" s="25">
        <f>ItensPedido!B4227</f>
        <v/>
      </c>
      <c r="C4227" s="25">
        <f>ItensPedido!C4227</f>
        <v/>
      </c>
      <c r="D4227" s="25">
        <f>ItensPedido!D4227</f>
        <v/>
      </c>
      <c r="E4227" s="26">
        <f>ItensPedido!E4227</f>
        <v/>
      </c>
      <c r="F4227" s="25">
        <f>IFERROR(INDEX(Pedidos!$B$2:$B$1801,MATCH(B4227,Pedidos!$A$2:$A$1801,0)),0)</f>
        <v/>
      </c>
      <c r="G4227" s="25">
        <f>IF(F4227=0,"",YEAR(F4227))</f>
        <v/>
      </c>
      <c r="H4227" s="25">
        <f>IF(F4227=0,"",MONTH(F4227))</f>
        <v/>
      </c>
      <c r="I4227" s="25">
        <f>IFERROR(INDEX(Pedidos!$E$2:$E$1801,MATCH(B4227,Pedidos!$A$2:$A$1801,0)),"")</f>
        <v/>
      </c>
      <c r="J4227" s="25">
        <f>IFERROR(INDEX(Pedidos!$C$2:$C$1801,MATCH(B4227,Pedidos!$A$2:$A$1801,0)),"")</f>
        <v/>
      </c>
      <c r="K4227" s="25">
        <f>IFERROR(INDEX(Pedidos!$D$2:$D$1801,MATCH(B4227,Pedidos!$A$2:$A$1801,0)),"")</f>
        <v/>
      </c>
      <c r="L4227" s="25">
        <f>IFERROR(INDEX(Pedidos!$F$2:$F$1801,MATCH(B4227,Pedidos!$A$2:$A$1801,0)),"")</f>
        <v/>
      </c>
      <c r="M4227" s="26">
        <f>IFERROR(INDEX(Pedidos!$G$2:$G$1801,MATCH(B4227,Pedidos!$A$2:$A$1801,0)),0)</f>
        <v/>
      </c>
      <c r="N4227" s="25">
        <f>IFERROR(INDEX(Produtos!$B$2:$B$71,MATCH(C4227,Produtos!$A$2:$A$71,0)),"")</f>
        <v/>
      </c>
      <c r="O4227" s="25">
        <f>IFERROR(INDEX(Produtos!$C$2:$C$71,MATCH(C4227,Produtos!$A$2:$A$71,0)),"")</f>
        <v/>
      </c>
      <c r="P4227" s="25">
        <f>IFERROR(INDEX(Produtos!$D$2:$D$71,MATCH(C4227,Produtos!$A$2:$A$71,0)),0)</f>
        <v/>
      </c>
      <c r="Q4227" s="25">
        <f>IFERROR(INDEX(Produtos!$E$2:$E$71,MATCH(C4227,Produtos!$A$2:$A$71,0)),0)</f>
        <v/>
      </c>
      <c r="R4227" s="27">
        <f>D4227*Q4227</f>
        <v/>
      </c>
      <c r="S4227" s="27">
        <f>R4227*E4227</f>
        <v/>
      </c>
      <c r="T4227" s="27">
        <f>(R4227-S4227)*M4227</f>
        <v/>
      </c>
      <c r="U4227" s="27">
        <f>R4227-S4227-T4227</f>
        <v/>
      </c>
      <c r="V4227" s="27">
        <f>D4227*P4227</f>
        <v/>
      </c>
      <c r="W4227" s="27">
        <f>U4227-V4227</f>
        <v/>
      </c>
      <c r="X4227" s="28">
        <f>IFERROR(W4227/U4227,0)</f>
        <v/>
      </c>
    </row>
    <row r="4228">
      <c r="A4228" s="21">
        <f>ItensPedido!A4228</f>
        <v/>
      </c>
      <c r="B4228" s="21">
        <f>ItensPedido!B4228</f>
        <v/>
      </c>
      <c r="C4228" s="21">
        <f>ItensPedido!C4228</f>
        <v/>
      </c>
      <c r="D4228" s="21">
        <f>ItensPedido!D4228</f>
        <v/>
      </c>
      <c r="E4228" s="22">
        <f>ItensPedido!E4228</f>
        <v/>
      </c>
      <c r="F4228" s="21">
        <f>IFERROR(INDEX(Pedidos!$B$2:$B$1801,MATCH(B4228,Pedidos!$A$2:$A$1801,0)),0)</f>
        <v/>
      </c>
      <c r="G4228" s="21">
        <f>IF(F4228=0,"",YEAR(F4228))</f>
        <v/>
      </c>
      <c r="H4228" s="21">
        <f>IF(F4228=0,"",MONTH(F4228))</f>
        <v/>
      </c>
      <c r="I4228" s="21">
        <f>IFERROR(INDEX(Pedidos!$E$2:$E$1801,MATCH(B4228,Pedidos!$A$2:$A$1801,0)),"")</f>
        <v/>
      </c>
      <c r="J4228" s="21">
        <f>IFERROR(INDEX(Pedidos!$C$2:$C$1801,MATCH(B4228,Pedidos!$A$2:$A$1801,0)),"")</f>
        <v/>
      </c>
      <c r="K4228" s="21">
        <f>IFERROR(INDEX(Pedidos!$D$2:$D$1801,MATCH(B4228,Pedidos!$A$2:$A$1801,0)),"")</f>
        <v/>
      </c>
      <c r="L4228" s="21">
        <f>IFERROR(INDEX(Pedidos!$F$2:$F$1801,MATCH(B4228,Pedidos!$A$2:$A$1801,0)),"")</f>
        <v/>
      </c>
      <c r="M4228" s="22">
        <f>IFERROR(INDEX(Pedidos!$G$2:$G$1801,MATCH(B4228,Pedidos!$A$2:$A$1801,0)),0)</f>
        <v/>
      </c>
      <c r="N4228" s="21">
        <f>IFERROR(INDEX(Produtos!$B$2:$B$71,MATCH(C4228,Produtos!$A$2:$A$71,0)),"")</f>
        <v/>
      </c>
      <c r="O4228" s="21">
        <f>IFERROR(INDEX(Produtos!$C$2:$C$71,MATCH(C4228,Produtos!$A$2:$A$71,0)),"")</f>
        <v/>
      </c>
      <c r="P4228" s="21">
        <f>IFERROR(INDEX(Produtos!$D$2:$D$71,MATCH(C4228,Produtos!$A$2:$A$71,0)),0)</f>
        <v/>
      </c>
      <c r="Q4228" s="21">
        <f>IFERROR(INDEX(Produtos!$E$2:$E$71,MATCH(C4228,Produtos!$A$2:$A$71,0)),0)</f>
        <v/>
      </c>
      <c r="R4228" s="23">
        <f>D4228*Q4228</f>
        <v/>
      </c>
      <c r="S4228" s="23">
        <f>R4228*E4228</f>
        <v/>
      </c>
      <c r="T4228" s="23">
        <f>(R4228-S4228)*M4228</f>
        <v/>
      </c>
      <c r="U4228" s="23">
        <f>R4228-S4228-T4228</f>
        <v/>
      </c>
      <c r="V4228" s="23">
        <f>D4228*P4228</f>
        <v/>
      </c>
      <c r="W4228" s="23">
        <f>U4228-V4228</f>
        <v/>
      </c>
      <c r="X4228" s="24">
        <f>IFERROR(W4228/U4228,0)</f>
        <v/>
      </c>
    </row>
    <row r="4229">
      <c r="A4229" s="25">
        <f>ItensPedido!A4229</f>
        <v/>
      </c>
      <c r="B4229" s="25">
        <f>ItensPedido!B4229</f>
        <v/>
      </c>
      <c r="C4229" s="25">
        <f>ItensPedido!C4229</f>
        <v/>
      </c>
      <c r="D4229" s="25">
        <f>ItensPedido!D4229</f>
        <v/>
      </c>
      <c r="E4229" s="26">
        <f>ItensPedido!E4229</f>
        <v/>
      </c>
      <c r="F4229" s="25">
        <f>IFERROR(INDEX(Pedidos!$B$2:$B$1801,MATCH(B4229,Pedidos!$A$2:$A$1801,0)),0)</f>
        <v/>
      </c>
      <c r="G4229" s="25">
        <f>IF(F4229=0,"",YEAR(F4229))</f>
        <v/>
      </c>
      <c r="H4229" s="25">
        <f>IF(F4229=0,"",MONTH(F4229))</f>
        <v/>
      </c>
      <c r="I4229" s="25">
        <f>IFERROR(INDEX(Pedidos!$E$2:$E$1801,MATCH(B4229,Pedidos!$A$2:$A$1801,0)),"")</f>
        <v/>
      </c>
      <c r="J4229" s="25">
        <f>IFERROR(INDEX(Pedidos!$C$2:$C$1801,MATCH(B4229,Pedidos!$A$2:$A$1801,0)),"")</f>
        <v/>
      </c>
      <c r="K4229" s="25">
        <f>IFERROR(INDEX(Pedidos!$D$2:$D$1801,MATCH(B4229,Pedidos!$A$2:$A$1801,0)),"")</f>
        <v/>
      </c>
      <c r="L4229" s="25">
        <f>IFERROR(INDEX(Pedidos!$F$2:$F$1801,MATCH(B4229,Pedidos!$A$2:$A$1801,0)),"")</f>
        <v/>
      </c>
      <c r="M4229" s="26">
        <f>IFERROR(INDEX(Pedidos!$G$2:$G$1801,MATCH(B4229,Pedidos!$A$2:$A$1801,0)),0)</f>
        <v/>
      </c>
      <c r="N4229" s="25">
        <f>IFERROR(INDEX(Produtos!$B$2:$B$71,MATCH(C4229,Produtos!$A$2:$A$71,0)),"")</f>
        <v/>
      </c>
      <c r="O4229" s="25">
        <f>IFERROR(INDEX(Produtos!$C$2:$C$71,MATCH(C4229,Produtos!$A$2:$A$71,0)),"")</f>
        <v/>
      </c>
      <c r="P4229" s="25">
        <f>IFERROR(INDEX(Produtos!$D$2:$D$71,MATCH(C4229,Produtos!$A$2:$A$71,0)),0)</f>
        <v/>
      </c>
      <c r="Q4229" s="25">
        <f>IFERROR(INDEX(Produtos!$E$2:$E$71,MATCH(C4229,Produtos!$A$2:$A$71,0)),0)</f>
        <v/>
      </c>
      <c r="R4229" s="27">
        <f>D4229*Q4229</f>
        <v/>
      </c>
      <c r="S4229" s="27">
        <f>R4229*E4229</f>
        <v/>
      </c>
      <c r="T4229" s="27">
        <f>(R4229-S4229)*M4229</f>
        <v/>
      </c>
      <c r="U4229" s="27">
        <f>R4229-S4229-T4229</f>
        <v/>
      </c>
      <c r="V4229" s="27">
        <f>D4229*P4229</f>
        <v/>
      </c>
      <c r="W4229" s="27">
        <f>U4229-V4229</f>
        <v/>
      </c>
      <c r="X4229" s="28">
        <f>IFERROR(W4229/U4229,0)</f>
        <v/>
      </c>
    </row>
    <row r="4230">
      <c r="A4230" s="21">
        <f>ItensPedido!A4230</f>
        <v/>
      </c>
      <c r="B4230" s="21">
        <f>ItensPedido!B4230</f>
        <v/>
      </c>
      <c r="C4230" s="21">
        <f>ItensPedido!C4230</f>
        <v/>
      </c>
      <c r="D4230" s="21">
        <f>ItensPedido!D4230</f>
        <v/>
      </c>
      <c r="E4230" s="22">
        <f>ItensPedido!E4230</f>
        <v/>
      </c>
      <c r="F4230" s="21">
        <f>IFERROR(INDEX(Pedidos!$B$2:$B$1801,MATCH(B4230,Pedidos!$A$2:$A$1801,0)),0)</f>
        <v/>
      </c>
      <c r="G4230" s="21">
        <f>IF(F4230=0,"",YEAR(F4230))</f>
        <v/>
      </c>
      <c r="H4230" s="21">
        <f>IF(F4230=0,"",MONTH(F4230))</f>
        <v/>
      </c>
      <c r="I4230" s="21">
        <f>IFERROR(INDEX(Pedidos!$E$2:$E$1801,MATCH(B4230,Pedidos!$A$2:$A$1801,0)),"")</f>
        <v/>
      </c>
      <c r="J4230" s="21">
        <f>IFERROR(INDEX(Pedidos!$C$2:$C$1801,MATCH(B4230,Pedidos!$A$2:$A$1801,0)),"")</f>
        <v/>
      </c>
      <c r="K4230" s="21">
        <f>IFERROR(INDEX(Pedidos!$D$2:$D$1801,MATCH(B4230,Pedidos!$A$2:$A$1801,0)),"")</f>
        <v/>
      </c>
      <c r="L4230" s="21">
        <f>IFERROR(INDEX(Pedidos!$F$2:$F$1801,MATCH(B4230,Pedidos!$A$2:$A$1801,0)),"")</f>
        <v/>
      </c>
      <c r="M4230" s="22">
        <f>IFERROR(INDEX(Pedidos!$G$2:$G$1801,MATCH(B4230,Pedidos!$A$2:$A$1801,0)),0)</f>
        <v/>
      </c>
      <c r="N4230" s="21">
        <f>IFERROR(INDEX(Produtos!$B$2:$B$71,MATCH(C4230,Produtos!$A$2:$A$71,0)),"")</f>
        <v/>
      </c>
      <c r="O4230" s="21">
        <f>IFERROR(INDEX(Produtos!$C$2:$C$71,MATCH(C4230,Produtos!$A$2:$A$71,0)),"")</f>
        <v/>
      </c>
      <c r="P4230" s="21">
        <f>IFERROR(INDEX(Produtos!$D$2:$D$71,MATCH(C4230,Produtos!$A$2:$A$71,0)),0)</f>
        <v/>
      </c>
      <c r="Q4230" s="21">
        <f>IFERROR(INDEX(Produtos!$E$2:$E$71,MATCH(C4230,Produtos!$A$2:$A$71,0)),0)</f>
        <v/>
      </c>
      <c r="R4230" s="23">
        <f>D4230*Q4230</f>
        <v/>
      </c>
      <c r="S4230" s="23">
        <f>R4230*E4230</f>
        <v/>
      </c>
      <c r="T4230" s="23">
        <f>(R4230-S4230)*M4230</f>
        <v/>
      </c>
      <c r="U4230" s="23">
        <f>R4230-S4230-T4230</f>
        <v/>
      </c>
      <c r="V4230" s="23">
        <f>D4230*P4230</f>
        <v/>
      </c>
      <c r="W4230" s="23">
        <f>U4230-V4230</f>
        <v/>
      </c>
      <c r="X4230" s="24">
        <f>IFERROR(W4230/U4230,0)</f>
        <v/>
      </c>
    </row>
    <row r="4231">
      <c r="A4231" s="25">
        <f>ItensPedido!A4231</f>
        <v/>
      </c>
      <c r="B4231" s="25">
        <f>ItensPedido!B4231</f>
        <v/>
      </c>
      <c r="C4231" s="25">
        <f>ItensPedido!C4231</f>
        <v/>
      </c>
      <c r="D4231" s="25">
        <f>ItensPedido!D4231</f>
        <v/>
      </c>
      <c r="E4231" s="26">
        <f>ItensPedido!E4231</f>
        <v/>
      </c>
      <c r="F4231" s="25">
        <f>IFERROR(INDEX(Pedidos!$B$2:$B$1801,MATCH(B4231,Pedidos!$A$2:$A$1801,0)),0)</f>
        <v/>
      </c>
      <c r="G4231" s="25">
        <f>IF(F4231=0,"",YEAR(F4231))</f>
        <v/>
      </c>
      <c r="H4231" s="25">
        <f>IF(F4231=0,"",MONTH(F4231))</f>
        <v/>
      </c>
      <c r="I4231" s="25">
        <f>IFERROR(INDEX(Pedidos!$E$2:$E$1801,MATCH(B4231,Pedidos!$A$2:$A$1801,0)),"")</f>
        <v/>
      </c>
      <c r="J4231" s="25">
        <f>IFERROR(INDEX(Pedidos!$C$2:$C$1801,MATCH(B4231,Pedidos!$A$2:$A$1801,0)),"")</f>
        <v/>
      </c>
      <c r="K4231" s="25">
        <f>IFERROR(INDEX(Pedidos!$D$2:$D$1801,MATCH(B4231,Pedidos!$A$2:$A$1801,0)),"")</f>
        <v/>
      </c>
      <c r="L4231" s="25">
        <f>IFERROR(INDEX(Pedidos!$F$2:$F$1801,MATCH(B4231,Pedidos!$A$2:$A$1801,0)),"")</f>
        <v/>
      </c>
      <c r="M4231" s="26">
        <f>IFERROR(INDEX(Pedidos!$G$2:$G$1801,MATCH(B4231,Pedidos!$A$2:$A$1801,0)),0)</f>
        <v/>
      </c>
      <c r="N4231" s="25">
        <f>IFERROR(INDEX(Produtos!$B$2:$B$71,MATCH(C4231,Produtos!$A$2:$A$71,0)),"")</f>
        <v/>
      </c>
      <c r="O4231" s="25">
        <f>IFERROR(INDEX(Produtos!$C$2:$C$71,MATCH(C4231,Produtos!$A$2:$A$71,0)),"")</f>
        <v/>
      </c>
      <c r="P4231" s="25">
        <f>IFERROR(INDEX(Produtos!$D$2:$D$71,MATCH(C4231,Produtos!$A$2:$A$71,0)),0)</f>
        <v/>
      </c>
      <c r="Q4231" s="25">
        <f>IFERROR(INDEX(Produtos!$E$2:$E$71,MATCH(C4231,Produtos!$A$2:$A$71,0)),0)</f>
        <v/>
      </c>
      <c r="R4231" s="27">
        <f>D4231*Q4231</f>
        <v/>
      </c>
      <c r="S4231" s="27">
        <f>R4231*E4231</f>
        <v/>
      </c>
      <c r="T4231" s="27">
        <f>(R4231-S4231)*M4231</f>
        <v/>
      </c>
      <c r="U4231" s="27">
        <f>R4231-S4231-T4231</f>
        <v/>
      </c>
      <c r="V4231" s="27">
        <f>D4231*P4231</f>
        <v/>
      </c>
      <c r="W4231" s="27">
        <f>U4231-V4231</f>
        <v/>
      </c>
      <c r="X4231" s="28">
        <f>IFERROR(W4231/U4231,0)</f>
        <v/>
      </c>
    </row>
    <row r="4232">
      <c r="A4232" s="21">
        <f>ItensPedido!A4232</f>
        <v/>
      </c>
      <c r="B4232" s="21">
        <f>ItensPedido!B4232</f>
        <v/>
      </c>
      <c r="C4232" s="21">
        <f>ItensPedido!C4232</f>
        <v/>
      </c>
      <c r="D4232" s="21">
        <f>ItensPedido!D4232</f>
        <v/>
      </c>
      <c r="E4232" s="22">
        <f>ItensPedido!E4232</f>
        <v/>
      </c>
      <c r="F4232" s="21">
        <f>IFERROR(INDEX(Pedidos!$B$2:$B$1801,MATCH(B4232,Pedidos!$A$2:$A$1801,0)),0)</f>
        <v/>
      </c>
      <c r="G4232" s="21">
        <f>IF(F4232=0,"",YEAR(F4232))</f>
        <v/>
      </c>
      <c r="H4232" s="21">
        <f>IF(F4232=0,"",MONTH(F4232))</f>
        <v/>
      </c>
      <c r="I4232" s="21">
        <f>IFERROR(INDEX(Pedidos!$E$2:$E$1801,MATCH(B4232,Pedidos!$A$2:$A$1801,0)),"")</f>
        <v/>
      </c>
      <c r="J4232" s="21">
        <f>IFERROR(INDEX(Pedidos!$C$2:$C$1801,MATCH(B4232,Pedidos!$A$2:$A$1801,0)),"")</f>
        <v/>
      </c>
      <c r="K4232" s="21">
        <f>IFERROR(INDEX(Pedidos!$D$2:$D$1801,MATCH(B4232,Pedidos!$A$2:$A$1801,0)),"")</f>
        <v/>
      </c>
      <c r="L4232" s="21">
        <f>IFERROR(INDEX(Pedidos!$F$2:$F$1801,MATCH(B4232,Pedidos!$A$2:$A$1801,0)),"")</f>
        <v/>
      </c>
      <c r="M4232" s="22">
        <f>IFERROR(INDEX(Pedidos!$G$2:$G$1801,MATCH(B4232,Pedidos!$A$2:$A$1801,0)),0)</f>
        <v/>
      </c>
      <c r="N4232" s="21">
        <f>IFERROR(INDEX(Produtos!$B$2:$B$71,MATCH(C4232,Produtos!$A$2:$A$71,0)),"")</f>
        <v/>
      </c>
      <c r="O4232" s="21">
        <f>IFERROR(INDEX(Produtos!$C$2:$C$71,MATCH(C4232,Produtos!$A$2:$A$71,0)),"")</f>
        <v/>
      </c>
      <c r="P4232" s="21">
        <f>IFERROR(INDEX(Produtos!$D$2:$D$71,MATCH(C4232,Produtos!$A$2:$A$71,0)),0)</f>
        <v/>
      </c>
      <c r="Q4232" s="21">
        <f>IFERROR(INDEX(Produtos!$E$2:$E$71,MATCH(C4232,Produtos!$A$2:$A$71,0)),0)</f>
        <v/>
      </c>
      <c r="R4232" s="23">
        <f>D4232*Q4232</f>
        <v/>
      </c>
      <c r="S4232" s="23">
        <f>R4232*E4232</f>
        <v/>
      </c>
      <c r="T4232" s="23">
        <f>(R4232-S4232)*M4232</f>
        <v/>
      </c>
      <c r="U4232" s="23">
        <f>R4232-S4232-T4232</f>
        <v/>
      </c>
      <c r="V4232" s="23">
        <f>D4232*P4232</f>
        <v/>
      </c>
      <c r="W4232" s="23">
        <f>U4232-V4232</f>
        <v/>
      </c>
      <c r="X4232" s="24">
        <f>IFERROR(W4232/U4232,0)</f>
        <v/>
      </c>
    </row>
    <row r="4233">
      <c r="A4233" s="25">
        <f>ItensPedido!A4233</f>
        <v/>
      </c>
      <c r="B4233" s="25">
        <f>ItensPedido!B4233</f>
        <v/>
      </c>
      <c r="C4233" s="25">
        <f>ItensPedido!C4233</f>
        <v/>
      </c>
      <c r="D4233" s="25">
        <f>ItensPedido!D4233</f>
        <v/>
      </c>
      <c r="E4233" s="26">
        <f>ItensPedido!E4233</f>
        <v/>
      </c>
      <c r="F4233" s="25">
        <f>IFERROR(INDEX(Pedidos!$B$2:$B$1801,MATCH(B4233,Pedidos!$A$2:$A$1801,0)),0)</f>
        <v/>
      </c>
      <c r="G4233" s="25">
        <f>IF(F4233=0,"",YEAR(F4233))</f>
        <v/>
      </c>
      <c r="H4233" s="25">
        <f>IF(F4233=0,"",MONTH(F4233))</f>
        <v/>
      </c>
      <c r="I4233" s="25">
        <f>IFERROR(INDEX(Pedidos!$E$2:$E$1801,MATCH(B4233,Pedidos!$A$2:$A$1801,0)),"")</f>
        <v/>
      </c>
      <c r="J4233" s="25">
        <f>IFERROR(INDEX(Pedidos!$C$2:$C$1801,MATCH(B4233,Pedidos!$A$2:$A$1801,0)),"")</f>
        <v/>
      </c>
      <c r="K4233" s="25">
        <f>IFERROR(INDEX(Pedidos!$D$2:$D$1801,MATCH(B4233,Pedidos!$A$2:$A$1801,0)),"")</f>
        <v/>
      </c>
      <c r="L4233" s="25">
        <f>IFERROR(INDEX(Pedidos!$F$2:$F$1801,MATCH(B4233,Pedidos!$A$2:$A$1801,0)),"")</f>
        <v/>
      </c>
      <c r="M4233" s="26">
        <f>IFERROR(INDEX(Pedidos!$G$2:$G$1801,MATCH(B4233,Pedidos!$A$2:$A$1801,0)),0)</f>
        <v/>
      </c>
      <c r="N4233" s="25">
        <f>IFERROR(INDEX(Produtos!$B$2:$B$71,MATCH(C4233,Produtos!$A$2:$A$71,0)),"")</f>
        <v/>
      </c>
      <c r="O4233" s="25">
        <f>IFERROR(INDEX(Produtos!$C$2:$C$71,MATCH(C4233,Produtos!$A$2:$A$71,0)),"")</f>
        <v/>
      </c>
      <c r="P4233" s="25">
        <f>IFERROR(INDEX(Produtos!$D$2:$D$71,MATCH(C4233,Produtos!$A$2:$A$71,0)),0)</f>
        <v/>
      </c>
      <c r="Q4233" s="25">
        <f>IFERROR(INDEX(Produtos!$E$2:$E$71,MATCH(C4233,Produtos!$A$2:$A$71,0)),0)</f>
        <v/>
      </c>
      <c r="R4233" s="27">
        <f>D4233*Q4233</f>
        <v/>
      </c>
      <c r="S4233" s="27">
        <f>R4233*E4233</f>
        <v/>
      </c>
      <c r="T4233" s="27">
        <f>(R4233-S4233)*M4233</f>
        <v/>
      </c>
      <c r="U4233" s="27">
        <f>R4233-S4233-T4233</f>
        <v/>
      </c>
      <c r="V4233" s="27">
        <f>D4233*P4233</f>
        <v/>
      </c>
      <c r="W4233" s="27">
        <f>U4233-V4233</f>
        <v/>
      </c>
      <c r="X4233" s="28">
        <f>IFERROR(W4233/U4233,0)</f>
        <v/>
      </c>
    </row>
    <row r="4234">
      <c r="A4234" s="21">
        <f>ItensPedido!A4234</f>
        <v/>
      </c>
      <c r="B4234" s="21">
        <f>ItensPedido!B4234</f>
        <v/>
      </c>
      <c r="C4234" s="21">
        <f>ItensPedido!C4234</f>
        <v/>
      </c>
      <c r="D4234" s="21">
        <f>ItensPedido!D4234</f>
        <v/>
      </c>
      <c r="E4234" s="22">
        <f>ItensPedido!E4234</f>
        <v/>
      </c>
      <c r="F4234" s="21">
        <f>IFERROR(INDEX(Pedidos!$B$2:$B$1801,MATCH(B4234,Pedidos!$A$2:$A$1801,0)),0)</f>
        <v/>
      </c>
      <c r="G4234" s="21">
        <f>IF(F4234=0,"",YEAR(F4234))</f>
        <v/>
      </c>
      <c r="H4234" s="21">
        <f>IF(F4234=0,"",MONTH(F4234))</f>
        <v/>
      </c>
      <c r="I4234" s="21">
        <f>IFERROR(INDEX(Pedidos!$E$2:$E$1801,MATCH(B4234,Pedidos!$A$2:$A$1801,0)),"")</f>
        <v/>
      </c>
      <c r="J4234" s="21">
        <f>IFERROR(INDEX(Pedidos!$C$2:$C$1801,MATCH(B4234,Pedidos!$A$2:$A$1801,0)),"")</f>
        <v/>
      </c>
      <c r="K4234" s="21">
        <f>IFERROR(INDEX(Pedidos!$D$2:$D$1801,MATCH(B4234,Pedidos!$A$2:$A$1801,0)),"")</f>
        <v/>
      </c>
      <c r="L4234" s="21">
        <f>IFERROR(INDEX(Pedidos!$F$2:$F$1801,MATCH(B4234,Pedidos!$A$2:$A$1801,0)),"")</f>
        <v/>
      </c>
      <c r="M4234" s="22">
        <f>IFERROR(INDEX(Pedidos!$G$2:$G$1801,MATCH(B4234,Pedidos!$A$2:$A$1801,0)),0)</f>
        <v/>
      </c>
      <c r="N4234" s="21">
        <f>IFERROR(INDEX(Produtos!$B$2:$B$71,MATCH(C4234,Produtos!$A$2:$A$71,0)),"")</f>
        <v/>
      </c>
      <c r="O4234" s="21">
        <f>IFERROR(INDEX(Produtos!$C$2:$C$71,MATCH(C4234,Produtos!$A$2:$A$71,0)),"")</f>
        <v/>
      </c>
      <c r="P4234" s="21">
        <f>IFERROR(INDEX(Produtos!$D$2:$D$71,MATCH(C4234,Produtos!$A$2:$A$71,0)),0)</f>
        <v/>
      </c>
      <c r="Q4234" s="21">
        <f>IFERROR(INDEX(Produtos!$E$2:$E$71,MATCH(C4234,Produtos!$A$2:$A$71,0)),0)</f>
        <v/>
      </c>
      <c r="R4234" s="23">
        <f>D4234*Q4234</f>
        <v/>
      </c>
      <c r="S4234" s="23">
        <f>R4234*E4234</f>
        <v/>
      </c>
      <c r="T4234" s="23">
        <f>(R4234-S4234)*M4234</f>
        <v/>
      </c>
      <c r="U4234" s="23">
        <f>R4234-S4234-T4234</f>
        <v/>
      </c>
      <c r="V4234" s="23">
        <f>D4234*P4234</f>
        <v/>
      </c>
      <c r="W4234" s="23">
        <f>U4234-V4234</f>
        <v/>
      </c>
      <c r="X4234" s="24">
        <f>IFERROR(W4234/U4234,0)</f>
        <v/>
      </c>
    </row>
    <row r="4235">
      <c r="A4235" s="25">
        <f>ItensPedido!A4235</f>
        <v/>
      </c>
      <c r="B4235" s="25">
        <f>ItensPedido!B4235</f>
        <v/>
      </c>
      <c r="C4235" s="25">
        <f>ItensPedido!C4235</f>
        <v/>
      </c>
      <c r="D4235" s="25">
        <f>ItensPedido!D4235</f>
        <v/>
      </c>
      <c r="E4235" s="26">
        <f>ItensPedido!E4235</f>
        <v/>
      </c>
      <c r="F4235" s="25">
        <f>IFERROR(INDEX(Pedidos!$B$2:$B$1801,MATCH(B4235,Pedidos!$A$2:$A$1801,0)),0)</f>
        <v/>
      </c>
      <c r="G4235" s="25">
        <f>IF(F4235=0,"",YEAR(F4235))</f>
        <v/>
      </c>
      <c r="H4235" s="25">
        <f>IF(F4235=0,"",MONTH(F4235))</f>
        <v/>
      </c>
      <c r="I4235" s="25">
        <f>IFERROR(INDEX(Pedidos!$E$2:$E$1801,MATCH(B4235,Pedidos!$A$2:$A$1801,0)),"")</f>
        <v/>
      </c>
      <c r="J4235" s="25">
        <f>IFERROR(INDEX(Pedidos!$C$2:$C$1801,MATCH(B4235,Pedidos!$A$2:$A$1801,0)),"")</f>
        <v/>
      </c>
      <c r="K4235" s="25">
        <f>IFERROR(INDEX(Pedidos!$D$2:$D$1801,MATCH(B4235,Pedidos!$A$2:$A$1801,0)),"")</f>
        <v/>
      </c>
      <c r="L4235" s="25">
        <f>IFERROR(INDEX(Pedidos!$F$2:$F$1801,MATCH(B4235,Pedidos!$A$2:$A$1801,0)),"")</f>
        <v/>
      </c>
      <c r="M4235" s="26">
        <f>IFERROR(INDEX(Pedidos!$G$2:$G$1801,MATCH(B4235,Pedidos!$A$2:$A$1801,0)),0)</f>
        <v/>
      </c>
      <c r="N4235" s="25">
        <f>IFERROR(INDEX(Produtos!$B$2:$B$71,MATCH(C4235,Produtos!$A$2:$A$71,0)),"")</f>
        <v/>
      </c>
      <c r="O4235" s="25">
        <f>IFERROR(INDEX(Produtos!$C$2:$C$71,MATCH(C4235,Produtos!$A$2:$A$71,0)),"")</f>
        <v/>
      </c>
      <c r="P4235" s="25">
        <f>IFERROR(INDEX(Produtos!$D$2:$D$71,MATCH(C4235,Produtos!$A$2:$A$71,0)),0)</f>
        <v/>
      </c>
      <c r="Q4235" s="25">
        <f>IFERROR(INDEX(Produtos!$E$2:$E$71,MATCH(C4235,Produtos!$A$2:$A$71,0)),0)</f>
        <v/>
      </c>
      <c r="R4235" s="27">
        <f>D4235*Q4235</f>
        <v/>
      </c>
      <c r="S4235" s="27">
        <f>R4235*E4235</f>
        <v/>
      </c>
      <c r="T4235" s="27">
        <f>(R4235-S4235)*M4235</f>
        <v/>
      </c>
      <c r="U4235" s="27">
        <f>R4235-S4235-T4235</f>
        <v/>
      </c>
      <c r="V4235" s="27">
        <f>D4235*P4235</f>
        <v/>
      </c>
      <c r="W4235" s="27">
        <f>U4235-V4235</f>
        <v/>
      </c>
      <c r="X4235" s="28">
        <f>IFERROR(W4235/U4235,0)</f>
        <v/>
      </c>
    </row>
    <row r="4236">
      <c r="A4236" s="21">
        <f>ItensPedido!A4236</f>
        <v/>
      </c>
      <c r="B4236" s="21">
        <f>ItensPedido!B4236</f>
        <v/>
      </c>
      <c r="C4236" s="21">
        <f>ItensPedido!C4236</f>
        <v/>
      </c>
      <c r="D4236" s="21">
        <f>ItensPedido!D4236</f>
        <v/>
      </c>
      <c r="E4236" s="22">
        <f>ItensPedido!E4236</f>
        <v/>
      </c>
      <c r="F4236" s="21">
        <f>IFERROR(INDEX(Pedidos!$B$2:$B$1801,MATCH(B4236,Pedidos!$A$2:$A$1801,0)),0)</f>
        <v/>
      </c>
      <c r="G4236" s="21">
        <f>IF(F4236=0,"",YEAR(F4236))</f>
        <v/>
      </c>
      <c r="H4236" s="21">
        <f>IF(F4236=0,"",MONTH(F4236))</f>
        <v/>
      </c>
      <c r="I4236" s="21">
        <f>IFERROR(INDEX(Pedidos!$E$2:$E$1801,MATCH(B4236,Pedidos!$A$2:$A$1801,0)),"")</f>
        <v/>
      </c>
      <c r="J4236" s="21">
        <f>IFERROR(INDEX(Pedidos!$C$2:$C$1801,MATCH(B4236,Pedidos!$A$2:$A$1801,0)),"")</f>
        <v/>
      </c>
      <c r="K4236" s="21">
        <f>IFERROR(INDEX(Pedidos!$D$2:$D$1801,MATCH(B4236,Pedidos!$A$2:$A$1801,0)),"")</f>
        <v/>
      </c>
      <c r="L4236" s="21">
        <f>IFERROR(INDEX(Pedidos!$F$2:$F$1801,MATCH(B4236,Pedidos!$A$2:$A$1801,0)),"")</f>
        <v/>
      </c>
      <c r="M4236" s="22">
        <f>IFERROR(INDEX(Pedidos!$G$2:$G$1801,MATCH(B4236,Pedidos!$A$2:$A$1801,0)),0)</f>
        <v/>
      </c>
      <c r="N4236" s="21">
        <f>IFERROR(INDEX(Produtos!$B$2:$B$71,MATCH(C4236,Produtos!$A$2:$A$71,0)),"")</f>
        <v/>
      </c>
      <c r="O4236" s="21">
        <f>IFERROR(INDEX(Produtos!$C$2:$C$71,MATCH(C4236,Produtos!$A$2:$A$71,0)),"")</f>
        <v/>
      </c>
      <c r="P4236" s="21">
        <f>IFERROR(INDEX(Produtos!$D$2:$D$71,MATCH(C4236,Produtos!$A$2:$A$71,0)),0)</f>
        <v/>
      </c>
      <c r="Q4236" s="21">
        <f>IFERROR(INDEX(Produtos!$E$2:$E$71,MATCH(C4236,Produtos!$A$2:$A$71,0)),0)</f>
        <v/>
      </c>
      <c r="R4236" s="23">
        <f>D4236*Q4236</f>
        <v/>
      </c>
      <c r="S4236" s="23">
        <f>R4236*E4236</f>
        <v/>
      </c>
      <c r="T4236" s="23">
        <f>(R4236-S4236)*M4236</f>
        <v/>
      </c>
      <c r="U4236" s="23">
        <f>R4236-S4236-T4236</f>
        <v/>
      </c>
      <c r="V4236" s="23">
        <f>D4236*P4236</f>
        <v/>
      </c>
      <c r="W4236" s="23">
        <f>U4236-V4236</f>
        <v/>
      </c>
      <c r="X4236" s="24">
        <f>IFERROR(W4236/U4236,0)</f>
        <v/>
      </c>
    </row>
    <row r="4237">
      <c r="A4237" s="25">
        <f>ItensPedido!A4237</f>
        <v/>
      </c>
      <c r="B4237" s="25">
        <f>ItensPedido!B4237</f>
        <v/>
      </c>
      <c r="C4237" s="25">
        <f>ItensPedido!C4237</f>
        <v/>
      </c>
      <c r="D4237" s="25">
        <f>ItensPedido!D4237</f>
        <v/>
      </c>
      <c r="E4237" s="26">
        <f>ItensPedido!E4237</f>
        <v/>
      </c>
      <c r="F4237" s="25">
        <f>IFERROR(INDEX(Pedidos!$B$2:$B$1801,MATCH(B4237,Pedidos!$A$2:$A$1801,0)),0)</f>
        <v/>
      </c>
      <c r="G4237" s="25">
        <f>IF(F4237=0,"",YEAR(F4237))</f>
        <v/>
      </c>
      <c r="H4237" s="25">
        <f>IF(F4237=0,"",MONTH(F4237))</f>
        <v/>
      </c>
      <c r="I4237" s="25">
        <f>IFERROR(INDEX(Pedidos!$E$2:$E$1801,MATCH(B4237,Pedidos!$A$2:$A$1801,0)),"")</f>
        <v/>
      </c>
      <c r="J4237" s="25">
        <f>IFERROR(INDEX(Pedidos!$C$2:$C$1801,MATCH(B4237,Pedidos!$A$2:$A$1801,0)),"")</f>
        <v/>
      </c>
      <c r="K4237" s="25">
        <f>IFERROR(INDEX(Pedidos!$D$2:$D$1801,MATCH(B4237,Pedidos!$A$2:$A$1801,0)),"")</f>
        <v/>
      </c>
      <c r="L4237" s="25">
        <f>IFERROR(INDEX(Pedidos!$F$2:$F$1801,MATCH(B4237,Pedidos!$A$2:$A$1801,0)),"")</f>
        <v/>
      </c>
      <c r="M4237" s="26">
        <f>IFERROR(INDEX(Pedidos!$G$2:$G$1801,MATCH(B4237,Pedidos!$A$2:$A$1801,0)),0)</f>
        <v/>
      </c>
      <c r="N4237" s="25">
        <f>IFERROR(INDEX(Produtos!$B$2:$B$71,MATCH(C4237,Produtos!$A$2:$A$71,0)),"")</f>
        <v/>
      </c>
      <c r="O4237" s="25">
        <f>IFERROR(INDEX(Produtos!$C$2:$C$71,MATCH(C4237,Produtos!$A$2:$A$71,0)),"")</f>
        <v/>
      </c>
      <c r="P4237" s="25">
        <f>IFERROR(INDEX(Produtos!$D$2:$D$71,MATCH(C4237,Produtos!$A$2:$A$71,0)),0)</f>
        <v/>
      </c>
      <c r="Q4237" s="25">
        <f>IFERROR(INDEX(Produtos!$E$2:$E$71,MATCH(C4237,Produtos!$A$2:$A$71,0)),0)</f>
        <v/>
      </c>
      <c r="R4237" s="27">
        <f>D4237*Q4237</f>
        <v/>
      </c>
      <c r="S4237" s="27">
        <f>R4237*E4237</f>
        <v/>
      </c>
      <c r="T4237" s="27">
        <f>(R4237-S4237)*M4237</f>
        <v/>
      </c>
      <c r="U4237" s="27">
        <f>R4237-S4237-T4237</f>
        <v/>
      </c>
      <c r="V4237" s="27">
        <f>D4237*P4237</f>
        <v/>
      </c>
      <c r="W4237" s="27">
        <f>U4237-V4237</f>
        <v/>
      </c>
      <c r="X4237" s="28">
        <f>IFERROR(W4237/U4237,0)</f>
        <v/>
      </c>
    </row>
    <row r="4238">
      <c r="A4238" s="21">
        <f>ItensPedido!A4238</f>
        <v/>
      </c>
      <c r="B4238" s="21">
        <f>ItensPedido!B4238</f>
        <v/>
      </c>
      <c r="C4238" s="21">
        <f>ItensPedido!C4238</f>
        <v/>
      </c>
      <c r="D4238" s="21">
        <f>ItensPedido!D4238</f>
        <v/>
      </c>
      <c r="E4238" s="22">
        <f>ItensPedido!E4238</f>
        <v/>
      </c>
      <c r="F4238" s="21">
        <f>IFERROR(INDEX(Pedidos!$B$2:$B$1801,MATCH(B4238,Pedidos!$A$2:$A$1801,0)),0)</f>
        <v/>
      </c>
      <c r="G4238" s="21">
        <f>IF(F4238=0,"",YEAR(F4238))</f>
        <v/>
      </c>
      <c r="H4238" s="21">
        <f>IF(F4238=0,"",MONTH(F4238))</f>
        <v/>
      </c>
      <c r="I4238" s="21">
        <f>IFERROR(INDEX(Pedidos!$E$2:$E$1801,MATCH(B4238,Pedidos!$A$2:$A$1801,0)),"")</f>
        <v/>
      </c>
      <c r="J4238" s="21">
        <f>IFERROR(INDEX(Pedidos!$C$2:$C$1801,MATCH(B4238,Pedidos!$A$2:$A$1801,0)),"")</f>
        <v/>
      </c>
      <c r="K4238" s="21">
        <f>IFERROR(INDEX(Pedidos!$D$2:$D$1801,MATCH(B4238,Pedidos!$A$2:$A$1801,0)),"")</f>
        <v/>
      </c>
      <c r="L4238" s="21">
        <f>IFERROR(INDEX(Pedidos!$F$2:$F$1801,MATCH(B4238,Pedidos!$A$2:$A$1801,0)),"")</f>
        <v/>
      </c>
      <c r="M4238" s="22">
        <f>IFERROR(INDEX(Pedidos!$G$2:$G$1801,MATCH(B4238,Pedidos!$A$2:$A$1801,0)),0)</f>
        <v/>
      </c>
      <c r="N4238" s="21">
        <f>IFERROR(INDEX(Produtos!$B$2:$B$71,MATCH(C4238,Produtos!$A$2:$A$71,0)),"")</f>
        <v/>
      </c>
      <c r="O4238" s="21">
        <f>IFERROR(INDEX(Produtos!$C$2:$C$71,MATCH(C4238,Produtos!$A$2:$A$71,0)),"")</f>
        <v/>
      </c>
      <c r="P4238" s="21">
        <f>IFERROR(INDEX(Produtos!$D$2:$D$71,MATCH(C4238,Produtos!$A$2:$A$71,0)),0)</f>
        <v/>
      </c>
      <c r="Q4238" s="21">
        <f>IFERROR(INDEX(Produtos!$E$2:$E$71,MATCH(C4238,Produtos!$A$2:$A$71,0)),0)</f>
        <v/>
      </c>
      <c r="R4238" s="23">
        <f>D4238*Q4238</f>
        <v/>
      </c>
      <c r="S4238" s="23">
        <f>R4238*E4238</f>
        <v/>
      </c>
      <c r="T4238" s="23">
        <f>(R4238-S4238)*M4238</f>
        <v/>
      </c>
      <c r="U4238" s="23">
        <f>R4238-S4238-T4238</f>
        <v/>
      </c>
      <c r="V4238" s="23">
        <f>D4238*P4238</f>
        <v/>
      </c>
      <c r="W4238" s="23">
        <f>U4238-V4238</f>
        <v/>
      </c>
      <c r="X4238" s="24">
        <f>IFERROR(W4238/U4238,0)</f>
        <v/>
      </c>
    </row>
    <row r="4239">
      <c r="A4239" s="25">
        <f>ItensPedido!A4239</f>
        <v/>
      </c>
      <c r="B4239" s="25">
        <f>ItensPedido!B4239</f>
        <v/>
      </c>
      <c r="C4239" s="25">
        <f>ItensPedido!C4239</f>
        <v/>
      </c>
      <c r="D4239" s="25">
        <f>ItensPedido!D4239</f>
        <v/>
      </c>
      <c r="E4239" s="26">
        <f>ItensPedido!E4239</f>
        <v/>
      </c>
      <c r="F4239" s="25">
        <f>IFERROR(INDEX(Pedidos!$B$2:$B$1801,MATCH(B4239,Pedidos!$A$2:$A$1801,0)),0)</f>
        <v/>
      </c>
      <c r="G4239" s="25">
        <f>IF(F4239=0,"",YEAR(F4239))</f>
        <v/>
      </c>
      <c r="H4239" s="25">
        <f>IF(F4239=0,"",MONTH(F4239))</f>
        <v/>
      </c>
      <c r="I4239" s="25">
        <f>IFERROR(INDEX(Pedidos!$E$2:$E$1801,MATCH(B4239,Pedidos!$A$2:$A$1801,0)),"")</f>
        <v/>
      </c>
      <c r="J4239" s="25">
        <f>IFERROR(INDEX(Pedidos!$C$2:$C$1801,MATCH(B4239,Pedidos!$A$2:$A$1801,0)),"")</f>
        <v/>
      </c>
      <c r="K4239" s="25">
        <f>IFERROR(INDEX(Pedidos!$D$2:$D$1801,MATCH(B4239,Pedidos!$A$2:$A$1801,0)),"")</f>
        <v/>
      </c>
      <c r="L4239" s="25">
        <f>IFERROR(INDEX(Pedidos!$F$2:$F$1801,MATCH(B4239,Pedidos!$A$2:$A$1801,0)),"")</f>
        <v/>
      </c>
      <c r="M4239" s="26">
        <f>IFERROR(INDEX(Pedidos!$G$2:$G$1801,MATCH(B4239,Pedidos!$A$2:$A$1801,0)),0)</f>
        <v/>
      </c>
      <c r="N4239" s="25">
        <f>IFERROR(INDEX(Produtos!$B$2:$B$71,MATCH(C4239,Produtos!$A$2:$A$71,0)),"")</f>
        <v/>
      </c>
      <c r="O4239" s="25">
        <f>IFERROR(INDEX(Produtos!$C$2:$C$71,MATCH(C4239,Produtos!$A$2:$A$71,0)),"")</f>
        <v/>
      </c>
      <c r="P4239" s="25">
        <f>IFERROR(INDEX(Produtos!$D$2:$D$71,MATCH(C4239,Produtos!$A$2:$A$71,0)),0)</f>
        <v/>
      </c>
      <c r="Q4239" s="25">
        <f>IFERROR(INDEX(Produtos!$E$2:$E$71,MATCH(C4239,Produtos!$A$2:$A$71,0)),0)</f>
        <v/>
      </c>
      <c r="R4239" s="27">
        <f>D4239*Q4239</f>
        <v/>
      </c>
      <c r="S4239" s="27">
        <f>R4239*E4239</f>
        <v/>
      </c>
      <c r="T4239" s="27">
        <f>(R4239-S4239)*M4239</f>
        <v/>
      </c>
      <c r="U4239" s="27">
        <f>R4239-S4239-T4239</f>
        <v/>
      </c>
      <c r="V4239" s="27">
        <f>D4239*P4239</f>
        <v/>
      </c>
      <c r="W4239" s="27">
        <f>U4239-V4239</f>
        <v/>
      </c>
      <c r="X4239" s="28">
        <f>IFERROR(W4239/U4239,0)</f>
        <v/>
      </c>
    </row>
    <row r="4240">
      <c r="A4240" s="21">
        <f>ItensPedido!A4240</f>
        <v/>
      </c>
      <c r="B4240" s="21">
        <f>ItensPedido!B4240</f>
        <v/>
      </c>
      <c r="C4240" s="21">
        <f>ItensPedido!C4240</f>
        <v/>
      </c>
      <c r="D4240" s="21">
        <f>ItensPedido!D4240</f>
        <v/>
      </c>
      <c r="E4240" s="22">
        <f>ItensPedido!E4240</f>
        <v/>
      </c>
      <c r="F4240" s="21">
        <f>IFERROR(INDEX(Pedidos!$B$2:$B$1801,MATCH(B4240,Pedidos!$A$2:$A$1801,0)),0)</f>
        <v/>
      </c>
      <c r="G4240" s="21">
        <f>IF(F4240=0,"",YEAR(F4240))</f>
        <v/>
      </c>
      <c r="H4240" s="21">
        <f>IF(F4240=0,"",MONTH(F4240))</f>
        <v/>
      </c>
      <c r="I4240" s="21">
        <f>IFERROR(INDEX(Pedidos!$E$2:$E$1801,MATCH(B4240,Pedidos!$A$2:$A$1801,0)),"")</f>
        <v/>
      </c>
      <c r="J4240" s="21">
        <f>IFERROR(INDEX(Pedidos!$C$2:$C$1801,MATCH(B4240,Pedidos!$A$2:$A$1801,0)),"")</f>
        <v/>
      </c>
      <c r="K4240" s="21">
        <f>IFERROR(INDEX(Pedidos!$D$2:$D$1801,MATCH(B4240,Pedidos!$A$2:$A$1801,0)),"")</f>
        <v/>
      </c>
      <c r="L4240" s="21">
        <f>IFERROR(INDEX(Pedidos!$F$2:$F$1801,MATCH(B4240,Pedidos!$A$2:$A$1801,0)),"")</f>
        <v/>
      </c>
      <c r="M4240" s="22">
        <f>IFERROR(INDEX(Pedidos!$G$2:$G$1801,MATCH(B4240,Pedidos!$A$2:$A$1801,0)),0)</f>
        <v/>
      </c>
      <c r="N4240" s="21">
        <f>IFERROR(INDEX(Produtos!$B$2:$B$71,MATCH(C4240,Produtos!$A$2:$A$71,0)),"")</f>
        <v/>
      </c>
      <c r="O4240" s="21">
        <f>IFERROR(INDEX(Produtos!$C$2:$C$71,MATCH(C4240,Produtos!$A$2:$A$71,0)),"")</f>
        <v/>
      </c>
      <c r="P4240" s="21">
        <f>IFERROR(INDEX(Produtos!$D$2:$D$71,MATCH(C4240,Produtos!$A$2:$A$71,0)),0)</f>
        <v/>
      </c>
      <c r="Q4240" s="21">
        <f>IFERROR(INDEX(Produtos!$E$2:$E$71,MATCH(C4240,Produtos!$A$2:$A$71,0)),0)</f>
        <v/>
      </c>
      <c r="R4240" s="23">
        <f>D4240*Q4240</f>
        <v/>
      </c>
      <c r="S4240" s="23">
        <f>R4240*E4240</f>
        <v/>
      </c>
      <c r="T4240" s="23">
        <f>(R4240-S4240)*M4240</f>
        <v/>
      </c>
      <c r="U4240" s="23">
        <f>R4240-S4240-T4240</f>
        <v/>
      </c>
      <c r="V4240" s="23">
        <f>D4240*P4240</f>
        <v/>
      </c>
      <c r="W4240" s="23">
        <f>U4240-V4240</f>
        <v/>
      </c>
      <c r="X4240" s="24">
        <f>IFERROR(W4240/U4240,0)</f>
        <v/>
      </c>
    </row>
    <row r="4241">
      <c r="A4241" s="25">
        <f>ItensPedido!A4241</f>
        <v/>
      </c>
      <c r="B4241" s="25">
        <f>ItensPedido!B4241</f>
        <v/>
      </c>
      <c r="C4241" s="25">
        <f>ItensPedido!C4241</f>
        <v/>
      </c>
      <c r="D4241" s="25">
        <f>ItensPedido!D4241</f>
        <v/>
      </c>
      <c r="E4241" s="26">
        <f>ItensPedido!E4241</f>
        <v/>
      </c>
      <c r="F4241" s="25">
        <f>IFERROR(INDEX(Pedidos!$B$2:$B$1801,MATCH(B4241,Pedidos!$A$2:$A$1801,0)),0)</f>
        <v/>
      </c>
      <c r="G4241" s="25">
        <f>IF(F4241=0,"",YEAR(F4241))</f>
        <v/>
      </c>
      <c r="H4241" s="25">
        <f>IF(F4241=0,"",MONTH(F4241))</f>
        <v/>
      </c>
      <c r="I4241" s="25">
        <f>IFERROR(INDEX(Pedidos!$E$2:$E$1801,MATCH(B4241,Pedidos!$A$2:$A$1801,0)),"")</f>
        <v/>
      </c>
      <c r="J4241" s="25">
        <f>IFERROR(INDEX(Pedidos!$C$2:$C$1801,MATCH(B4241,Pedidos!$A$2:$A$1801,0)),"")</f>
        <v/>
      </c>
      <c r="K4241" s="25">
        <f>IFERROR(INDEX(Pedidos!$D$2:$D$1801,MATCH(B4241,Pedidos!$A$2:$A$1801,0)),"")</f>
        <v/>
      </c>
      <c r="L4241" s="25">
        <f>IFERROR(INDEX(Pedidos!$F$2:$F$1801,MATCH(B4241,Pedidos!$A$2:$A$1801,0)),"")</f>
        <v/>
      </c>
      <c r="M4241" s="26">
        <f>IFERROR(INDEX(Pedidos!$G$2:$G$1801,MATCH(B4241,Pedidos!$A$2:$A$1801,0)),0)</f>
        <v/>
      </c>
      <c r="N4241" s="25">
        <f>IFERROR(INDEX(Produtos!$B$2:$B$71,MATCH(C4241,Produtos!$A$2:$A$71,0)),"")</f>
        <v/>
      </c>
      <c r="O4241" s="25">
        <f>IFERROR(INDEX(Produtos!$C$2:$C$71,MATCH(C4241,Produtos!$A$2:$A$71,0)),"")</f>
        <v/>
      </c>
      <c r="P4241" s="25">
        <f>IFERROR(INDEX(Produtos!$D$2:$D$71,MATCH(C4241,Produtos!$A$2:$A$71,0)),0)</f>
        <v/>
      </c>
      <c r="Q4241" s="25">
        <f>IFERROR(INDEX(Produtos!$E$2:$E$71,MATCH(C4241,Produtos!$A$2:$A$71,0)),0)</f>
        <v/>
      </c>
      <c r="R4241" s="27">
        <f>D4241*Q4241</f>
        <v/>
      </c>
      <c r="S4241" s="27">
        <f>R4241*E4241</f>
        <v/>
      </c>
      <c r="T4241" s="27">
        <f>(R4241-S4241)*M4241</f>
        <v/>
      </c>
      <c r="U4241" s="27">
        <f>R4241-S4241-T4241</f>
        <v/>
      </c>
      <c r="V4241" s="27">
        <f>D4241*P4241</f>
        <v/>
      </c>
      <c r="W4241" s="27">
        <f>U4241-V4241</f>
        <v/>
      </c>
      <c r="X4241" s="28">
        <f>IFERROR(W4241/U4241,0)</f>
        <v/>
      </c>
    </row>
    <row r="4242">
      <c r="A4242" s="21">
        <f>ItensPedido!A4242</f>
        <v/>
      </c>
      <c r="B4242" s="21">
        <f>ItensPedido!B4242</f>
        <v/>
      </c>
      <c r="C4242" s="21">
        <f>ItensPedido!C4242</f>
        <v/>
      </c>
      <c r="D4242" s="21">
        <f>ItensPedido!D4242</f>
        <v/>
      </c>
      <c r="E4242" s="22">
        <f>ItensPedido!E4242</f>
        <v/>
      </c>
      <c r="F4242" s="21">
        <f>IFERROR(INDEX(Pedidos!$B$2:$B$1801,MATCH(B4242,Pedidos!$A$2:$A$1801,0)),0)</f>
        <v/>
      </c>
      <c r="G4242" s="21">
        <f>IF(F4242=0,"",YEAR(F4242))</f>
        <v/>
      </c>
      <c r="H4242" s="21">
        <f>IF(F4242=0,"",MONTH(F4242))</f>
        <v/>
      </c>
      <c r="I4242" s="21">
        <f>IFERROR(INDEX(Pedidos!$E$2:$E$1801,MATCH(B4242,Pedidos!$A$2:$A$1801,0)),"")</f>
        <v/>
      </c>
      <c r="J4242" s="21">
        <f>IFERROR(INDEX(Pedidos!$C$2:$C$1801,MATCH(B4242,Pedidos!$A$2:$A$1801,0)),"")</f>
        <v/>
      </c>
      <c r="K4242" s="21">
        <f>IFERROR(INDEX(Pedidos!$D$2:$D$1801,MATCH(B4242,Pedidos!$A$2:$A$1801,0)),"")</f>
        <v/>
      </c>
      <c r="L4242" s="21">
        <f>IFERROR(INDEX(Pedidos!$F$2:$F$1801,MATCH(B4242,Pedidos!$A$2:$A$1801,0)),"")</f>
        <v/>
      </c>
      <c r="M4242" s="22">
        <f>IFERROR(INDEX(Pedidos!$G$2:$G$1801,MATCH(B4242,Pedidos!$A$2:$A$1801,0)),0)</f>
        <v/>
      </c>
      <c r="N4242" s="21">
        <f>IFERROR(INDEX(Produtos!$B$2:$B$71,MATCH(C4242,Produtos!$A$2:$A$71,0)),"")</f>
        <v/>
      </c>
      <c r="O4242" s="21">
        <f>IFERROR(INDEX(Produtos!$C$2:$C$71,MATCH(C4242,Produtos!$A$2:$A$71,0)),"")</f>
        <v/>
      </c>
      <c r="P4242" s="21">
        <f>IFERROR(INDEX(Produtos!$D$2:$D$71,MATCH(C4242,Produtos!$A$2:$A$71,0)),0)</f>
        <v/>
      </c>
      <c r="Q4242" s="21">
        <f>IFERROR(INDEX(Produtos!$E$2:$E$71,MATCH(C4242,Produtos!$A$2:$A$71,0)),0)</f>
        <v/>
      </c>
      <c r="R4242" s="23">
        <f>D4242*Q4242</f>
        <v/>
      </c>
      <c r="S4242" s="23">
        <f>R4242*E4242</f>
        <v/>
      </c>
      <c r="T4242" s="23">
        <f>(R4242-S4242)*M4242</f>
        <v/>
      </c>
      <c r="U4242" s="23">
        <f>R4242-S4242-T4242</f>
        <v/>
      </c>
      <c r="V4242" s="23">
        <f>D4242*P4242</f>
        <v/>
      </c>
      <c r="W4242" s="23">
        <f>U4242-V4242</f>
        <v/>
      </c>
      <c r="X4242" s="24">
        <f>IFERROR(W4242/U4242,0)</f>
        <v/>
      </c>
    </row>
    <row r="4243">
      <c r="A4243" s="25">
        <f>ItensPedido!A4243</f>
        <v/>
      </c>
      <c r="B4243" s="25">
        <f>ItensPedido!B4243</f>
        <v/>
      </c>
      <c r="C4243" s="25">
        <f>ItensPedido!C4243</f>
        <v/>
      </c>
      <c r="D4243" s="25">
        <f>ItensPedido!D4243</f>
        <v/>
      </c>
      <c r="E4243" s="26">
        <f>ItensPedido!E4243</f>
        <v/>
      </c>
      <c r="F4243" s="25">
        <f>IFERROR(INDEX(Pedidos!$B$2:$B$1801,MATCH(B4243,Pedidos!$A$2:$A$1801,0)),0)</f>
        <v/>
      </c>
      <c r="G4243" s="25">
        <f>IF(F4243=0,"",YEAR(F4243))</f>
        <v/>
      </c>
      <c r="H4243" s="25">
        <f>IF(F4243=0,"",MONTH(F4243))</f>
        <v/>
      </c>
      <c r="I4243" s="25">
        <f>IFERROR(INDEX(Pedidos!$E$2:$E$1801,MATCH(B4243,Pedidos!$A$2:$A$1801,0)),"")</f>
        <v/>
      </c>
      <c r="J4243" s="25">
        <f>IFERROR(INDEX(Pedidos!$C$2:$C$1801,MATCH(B4243,Pedidos!$A$2:$A$1801,0)),"")</f>
        <v/>
      </c>
      <c r="K4243" s="25">
        <f>IFERROR(INDEX(Pedidos!$D$2:$D$1801,MATCH(B4243,Pedidos!$A$2:$A$1801,0)),"")</f>
        <v/>
      </c>
      <c r="L4243" s="25">
        <f>IFERROR(INDEX(Pedidos!$F$2:$F$1801,MATCH(B4243,Pedidos!$A$2:$A$1801,0)),"")</f>
        <v/>
      </c>
      <c r="M4243" s="26">
        <f>IFERROR(INDEX(Pedidos!$G$2:$G$1801,MATCH(B4243,Pedidos!$A$2:$A$1801,0)),0)</f>
        <v/>
      </c>
      <c r="N4243" s="25">
        <f>IFERROR(INDEX(Produtos!$B$2:$B$71,MATCH(C4243,Produtos!$A$2:$A$71,0)),"")</f>
        <v/>
      </c>
      <c r="O4243" s="25">
        <f>IFERROR(INDEX(Produtos!$C$2:$C$71,MATCH(C4243,Produtos!$A$2:$A$71,0)),"")</f>
        <v/>
      </c>
      <c r="P4243" s="25">
        <f>IFERROR(INDEX(Produtos!$D$2:$D$71,MATCH(C4243,Produtos!$A$2:$A$71,0)),0)</f>
        <v/>
      </c>
      <c r="Q4243" s="25">
        <f>IFERROR(INDEX(Produtos!$E$2:$E$71,MATCH(C4243,Produtos!$A$2:$A$71,0)),0)</f>
        <v/>
      </c>
      <c r="R4243" s="27">
        <f>D4243*Q4243</f>
        <v/>
      </c>
      <c r="S4243" s="27">
        <f>R4243*E4243</f>
        <v/>
      </c>
      <c r="T4243" s="27">
        <f>(R4243-S4243)*M4243</f>
        <v/>
      </c>
      <c r="U4243" s="27">
        <f>R4243-S4243-T4243</f>
        <v/>
      </c>
      <c r="V4243" s="27">
        <f>D4243*P4243</f>
        <v/>
      </c>
      <c r="W4243" s="27">
        <f>U4243-V4243</f>
        <v/>
      </c>
      <c r="X4243" s="28">
        <f>IFERROR(W4243/U4243,0)</f>
        <v/>
      </c>
    </row>
    <row r="4244">
      <c r="A4244" s="21">
        <f>ItensPedido!A4244</f>
        <v/>
      </c>
      <c r="B4244" s="21">
        <f>ItensPedido!B4244</f>
        <v/>
      </c>
      <c r="C4244" s="21">
        <f>ItensPedido!C4244</f>
        <v/>
      </c>
      <c r="D4244" s="21">
        <f>ItensPedido!D4244</f>
        <v/>
      </c>
      <c r="E4244" s="22">
        <f>ItensPedido!E4244</f>
        <v/>
      </c>
      <c r="F4244" s="21">
        <f>IFERROR(INDEX(Pedidos!$B$2:$B$1801,MATCH(B4244,Pedidos!$A$2:$A$1801,0)),0)</f>
        <v/>
      </c>
      <c r="G4244" s="21">
        <f>IF(F4244=0,"",YEAR(F4244))</f>
        <v/>
      </c>
      <c r="H4244" s="21">
        <f>IF(F4244=0,"",MONTH(F4244))</f>
        <v/>
      </c>
      <c r="I4244" s="21">
        <f>IFERROR(INDEX(Pedidos!$E$2:$E$1801,MATCH(B4244,Pedidos!$A$2:$A$1801,0)),"")</f>
        <v/>
      </c>
      <c r="J4244" s="21">
        <f>IFERROR(INDEX(Pedidos!$C$2:$C$1801,MATCH(B4244,Pedidos!$A$2:$A$1801,0)),"")</f>
        <v/>
      </c>
      <c r="K4244" s="21">
        <f>IFERROR(INDEX(Pedidos!$D$2:$D$1801,MATCH(B4244,Pedidos!$A$2:$A$1801,0)),"")</f>
        <v/>
      </c>
      <c r="L4244" s="21">
        <f>IFERROR(INDEX(Pedidos!$F$2:$F$1801,MATCH(B4244,Pedidos!$A$2:$A$1801,0)),"")</f>
        <v/>
      </c>
      <c r="M4244" s="22">
        <f>IFERROR(INDEX(Pedidos!$G$2:$G$1801,MATCH(B4244,Pedidos!$A$2:$A$1801,0)),0)</f>
        <v/>
      </c>
      <c r="N4244" s="21">
        <f>IFERROR(INDEX(Produtos!$B$2:$B$71,MATCH(C4244,Produtos!$A$2:$A$71,0)),"")</f>
        <v/>
      </c>
      <c r="O4244" s="21">
        <f>IFERROR(INDEX(Produtos!$C$2:$C$71,MATCH(C4244,Produtos!$A$2:$A$71,0)),"")</f>
        <v/>
      </c>
      <c r="P4244" s="21">
        <f>IFERROR(INDEX(Produtos!$D$2:$D$71,MATCH(C4244,Produtos!$A$2:$A$71,0)),0)</f>
        <v/>
      </c>
      <c r="Q4244" s="21">
        <f>IFERROR(INDEX(Produtos!$E$2:$E$71,MATCH(C4244,Produtos!$A$2:$A$71,0)),0)</f>
        <v/>
      </c>
      <c r="R4244" s="23">
        <f>D4244*Q4244</f>
        <v/>
      </c>
      <c r="S4244" s="23">
        <f>R4244*E4244</f>
        <v/>
      </c>
      <c r="T4244" s="23">
        <f>(R4244-S4244)*M4244</f>
        <v/>
      </c>
      <c r="U4244" s="23">
        <f>R4244-S4244-T4244</f>
        <v/>
      </c>
      <c r="V4244" s="23">
        <f>D4244*P4244</f>
        <v/>
      </c>
      <c r="W4244" s="23">
        <f>U4244-V4244</f>
        <v/>
      </c>
      <c r="X4244" s="24">
        <f>IFERROR(W4244/U4244,0)</f>
        <v/>
      </c>
    </row>
    <row r="4245">
      <c r="A4245" s="25">
        <f>ItensPedido!A4245</f>
        <v/>
      </c>
      <c r="B4245" s="25">
        <f>ItensPedido!B4245</f>
        <v/>
      </c>
      <c r="C4245" s="25">
        <f>ItensPedido!C4245</f>
        <v/>
      </c>
      <c r="D4245" s="25">
        <f>ItensPedido!D4245</f>
        <v/>
      </c>
      <c r="E4245" s="26">
        <f>ItensPedido!E4245</f>
        <v/>
      </c>
      <c r="F4245" s="25">
        <f>IFERROR(INDEX(Pedidos!$B$2:$B$1801,MATCH(B4245,Pedidos!$A$2:$A$1801,0)),0)</f>
        <v/>
      </c>
      <c r="G4245" s="25">
        <f>IF(F4245=0,"",YEAR(F4245))</f>
        <v/>
      </c>
      <c r="H4245" s="25">
        <f>IF(F4245=0,"",MONTH(F4245))</f>
        <v/>
      </c>
      <c r="I4245" s="25">
        <f>IFERROR(INDEX(Pedidos!$E$2:$E$1801,MATCH(B4245,Pedidos!$A$2:$A$1801,0)),"")</f>
        <v/>
      </c>
      <c r="J4245" s="25">
        <f>IFERROR(INDEX(Pedidos!$C$2:$C$1801,MATCH(B4245,Pedidos!$A$2:$A$1801,0)),"")</f>
        <v/>
      </c>
      <c r="K4245" s="25">
        <f>IFERROR(INDEX(Pedidos!$D$2:$D$1801,MATCH(B4245,Pedidos!$A$2:$A$1801,0)),"")</f>
        <v/>
      </c>
      <c r="L4245" s="25">
        <f>IFERROR(INDEX(Pedidos!$F$2:$F$1801,MATCH(B4245,Pedidos!$A$2:$A$1801,0)),"")</f>
        <v/>
      </c>
      <c r="M4245" s="26">
        <f>IFERROR(INDEX(Pedidos!$G$2:$G$1801,MATCH(B4245,Pedidos!$A$2:$A$1801,0)),0)</f>
        <v/>
      </c>
      <c r="N4245" s="25">
        <f>IFERROR(INDEX(Produtos!$B$2:$B$71,MATCH(C4245,Produtos!$A$2:$A$71,0)),"")</f>
        <v/>
      </c>
      <c r="O4245" s="25">
        <f>IFERROR(INDEX(Produtos!$C$2:$C$71,MATCH(C4245,Produtos!$A$2:$A$71,0)),"")</f>
        <v/>
      </c>
      <c r="P4245" s="25">
        <f>IFERROR(INDEX(Produtos!$D$2:$D$71,MATCH(C4245,Produtos!$A$2:$A$71,0)),0)</f>
        <v/>
      </c>
      <c r="Q4245" s="25">
        <f>IFERROR(INDEX(Produtos!$E$2:$E$71,MATCH(C4245,Produtos!$A$2:$A$71,0)),0)</f>
        <v/>
      </c>
      <c r="R4245" s="27">
        <f>D4245*Q4245</f>
        <v/>
      </c>
      <c r="S4245" s="27">
        <f>R4245*E4245</f>
        <v/>
      </c>
      <c r="T4245" s="27">
        <f>(R4245-S4245)*M4245</f>
        <v/>
      </c>
      <c r="U4245" s="27">
        <f>R4245-S4245-T4245</f>
        <v/>
      </c>
      <c r="V4245" s="27">
        <f>D4245*P4245</f>
        <v/>
      </c>
      <c r="W4245" s="27">
        <f>U4245-V4245</f>
        <v/>
      </c>
      <c r="X4245" s="28">
        <f>IFERROR(W4245/U4245,0)</f>
        <v/>
      </c>
    </row>
    <row r="4246">
      <c r="A4246" s="21">
        <f>ItensPedido!A4246</f>
        <v/>
      </c>
      <c r="B4246" s="21">
        <f>ItensPedido!B4246</f>
        <v/>
      </c>
      <c r="C4246" s="21">
        <f>ItensPedido!C4246</f>
        <v/>
      </c>
      <c r="D4246" s="21">
        <f>ItensPedido!D4246</f>
        <v/>
      </c>
      <c r="E4246" s="22">
        <f>ItensPedido!E4246</f>
        <v/>
      </c>
      <c r="F4246" s="21">
        <f>IFERROR(INDEX(Pedidos!$B$2:$B$1801,MATCH(B4246,Pedidos!$A$2:$A$1801,0)),0)</f>
        <v/>
      </c>
      <c r="G4246" s="21">
        <f>IF(F4246=0,"",YEAR(F4246))</f>
        <v/>
      </c>
      <c r="H4246" s="21">
        <f>IF(F4246=0,"",MONTH(F4246))</f>
        <v/>
      </c>
      <c r="I4246" s="21">
        <f>IFERROR(INDEX(Pedidos!$E$2:$E$1801,MATCH(B4246,Pedidos!$A$2:$A$1801,0)),"")</f>
        <v/>
      </c>
      <c r="J4246" s="21">
        <f>IFERROR(INDEX(Pedidos!$C$2:$C$1801,MATCH(B4246,Pedidos!$A$2:$A$1801,0)),"")</f>
        <v/>
      </c>
      <c r="K4246" s="21">
        <f>IFERROR(INDEX(Pedidos!$D$2:$D$1801,MATCH(B4246,Pedidos!$A$2:$A$1801,0)),"")</f>
        <v/>
      </c>
      <c r="L4246" s="21">
        <f>IFERROR(INDEX(Pedidos!$F$2:$F$1801,MATCH(B4246,Pedidos!$A$2:$A$1801,0)),"")</f>
        <v/>
      </c>
      <c r="M4246" s="22">
        <f>IFERROR(INDEX(Pedidos!$G$2:$G$1801,MATCH(B4246,Pedidos!$A$2:$A$1801,0)),0)</f>
        <v/>
      </c>
      <c r="N4246" s="21">
        <f>IFERROR(INDEX(Produtos!$B$2:$B$71,MATCH(C4246,Produtos!$A$2:$A$71,0)),"")</f>
        <v/>
      </c>
      <c r="O4246" s="21">
        <f>IFERROR(INDEX(Produtos!$C$2:$C$71,MATCH(C4246,Produtos!$A$2:$A$71,0)),"")</f>
        <v/>
      </c>
      <c r="P4246" s="21">
        <f>IFERROR(INDEX(Produtos!$D$2:$D$71,MATCH(C4246,Produtos!$A$2:$A$71,0)),0)</f>
        <v/>
      </c>
      <c r="Q4246" s="21">
        <f>IFERROR(INDEX(Produtos!$E$2:$E$71,MATCH(C4246,Produtos!$A$2:$A$71,0)),0)</f>
        <v/>
      </c>
      <c r="R4246" s="23">
        <f>D4246*Q4246</f>
        <v/>
      </c>
      <c r="S4246" s="23">
        <f>R4246*E4246</f>
        <v/>
      </c>
      <c r="T4246" s="23">
        <f>(R4246-S4246)*M4246</f>
        <v/>
      </c>
      <c r="U4246" s="23">
        <f>R4246-S4246-T4246</f>
        <v/>
      </c>
      <c r="V4246" s="23">
        <f>D4246*P4246</f>
        <v/>
      </c>
      <c r="W4246" s="23">
        <f>U4246-V4246</f>
        <v/>
      </c>
      <c r="X4246" s="24">
        <f>IFERROR(W4246/U4246,0)</f>
        <v/>
      </c>
    </row>
    <row r="4247">
      <c r="A4247" s="25">
        <f>ItensPedido!A4247</f>
        <v/>
      </c>
      <c r="B4247" s="25">
        <f>ItensPedido!B4247</f>
        <v/>
      </c>
      <c r="C4247" s="25">
        <f>ItensPedido!C4247</f>
        <v/>
      </c>
      <c r="D4247" s="25">
        <f>ItensPedido!D4247</f>
        <v/>
      </c>
      <c r="E4247" s="26">
        <f>ItensPedido!E4247</f>
        <v/>
      </c>
      <c r="F4247" s="25">
        <f>IFERROR(INDEX(Pedidos!$B$2:$B$1801,MATCH(B4247,Pedidos!$A$2:$A$1801,0)),0)</f>
        <v/>
      </c>
      <c r="G4247" s="25">
        <f>IF(F4247=0,"",YEAR(F4247))</f>
        <v/>
      </c>
      <c r="H4247" s="25">
        <f>IF(F4247=0,"",MONTH(F4247))</f>
        <v/>
      </c>
      <c r="I4247" s="25">
        <f>IFERROR(INDEX(Pedidos!$E$2:$E$1801,MATCH(B4247,Pedidos!$A$2:$A$1801,0)),"")</f>
        <v/>
      </c>
      <c r="J4247" s="25">
        <f>IFERROR(INDEX(Pedidos!$C$2:$C$1801,MATCH(B4247,Pedidos!$A$2:$A$1801,0)),"")</f>
        <v/>
      </c>
      <c r="K4247" s="25">
        <f>IFERROR(INDEX(Pedidos!$D$2:$D$1801,MATCH(B4247,Pedidos!$A$2:$A$1801,0)),"")</f>
        <v/>
      </c>
      <c r="L4247" s="25">
        <f>IFERROR(INDEX(Pedidos!$F$2:$F$1801,MATCH(B4247,Pedidos!$A$2:$A$1801,0)),"")</f>
        <v/>
      </c>
      <c r="M4247" s="26">
        <f>IFERROR(INDEX(Pedidos!$G$2:$G$1801,MATCH(B4247,Pedidos!$A$2:$A$1801,0)),0)</f>
        <v/>
      </c>
      <c r="N4247" s="25">
        <f>IFERROR(INDEX(Produtos!$B$2:$B$71,MATCH(C4247,Produtos!$A$2:$A$71,0)),"")</f>
        <v/>
      </c>
      <c r="O4247" s="25">
        <f>IFERROR(INDEX(Produtos!$C$2:$C$71,MATCH(C4247,Produtos!$A$2:$A$71,0)),"")</f>
        <v/>
      </c>
      <c r="P4247" s="25">
        <f>IFERROR(INDEX(Produtos!$D$2:$D$71,MATCH(C4247,Produtos!$A$2:$A$71,0)),0)</f>
        <v/>
      </c>
      <c r="Q4247" s="25">
        <f>IFERROR(INDEX(Produtos!$E$2:$E$71,MATCH(C4247,Produtos!$A$2:$A$71,0)),0)</f>
        <v/>
      </c>
      <c r="R4247" s="27">
        <f>D4247*Q4247</f>
        <v/>
      </c>
      <c r="S4247" s="27">
        <f>R4247*E4247</f>
        <v/>
      </c>
      <c r="T4247" s="27">
        <f>(R4247-S4247)*M4247</f>
        <v/>
      </c>
      <c r="U4247" s="27">
        <f>R4247-S4247-T4247</f>
        <v/>
      </c>
      <c r="V4247" s="27">
        <f>D4247*P4247</f>
        <v/>
      </c>
      <c r="W4247" s="27">
        <f>U4247-V4247</f>
        <v/>
      </c>
      <c r="X4247" s="28">
        <f>IFERROR(W4247/U4247,0)</f>
        <v/>
      </c>
    </row>
    <row r="4248">
      <c r="A4248" s="21">
        <f>ItensPedido!A4248</f>
        <v/>
      </c>
      <c r="B4248" s="21">
        <f>ItensPedido!B4248</f>
        <v/>
      </c>
      <c r="C4248" s="21">
        <f>ItensPedido!C4248</f>
        <v/>
      </c>
      <c r="D4248" s="21">
        <f>ItensPedido!D4248</f>
        <v/>
      </c>
      <c r="E4248" s="22">
        <f>ItensPedido!E4248</f>
        <v/>
      </c>
      <c r="F4248" s="21">
        <f>IFERROR(INDEX(Pedidos!$B$2:$B$1801,MATCH(B4248,Pedidos!$A$2:$A$1801,0)),0)</f>
        <v/>
      </c>
      <c r="G4248" s="21">
        <f>IF(F4248=0,"",YEAR(F4248))</f>
        <v/>
      </c>
      <c r="H4248" s="21">
        <f>IF(F4248=0,"",MONTH(F4248))</f>
        <v/>
      </c>
      <c r="I4248" s="21">
        <f>IFERROR(INDEX(Pedidos!$E$2:$E$1801,MATCH(B4248,Pedidos!$A$2:$A$1801,0)),"")</f>
        <v/>
      </c>
      <c r="J4248" s="21">
        <f>IFERROR(INDEX(Pedidos!$C$2:$C$1801,MATCH(B4248,Pedidos!$A$2:$A$1801,0)),"")</f>
        <v/>
      </c>
      <c r="K4248" s="21">
        <f>IFERROR(INDEX(Pedidos!$D$2:$D$1801,MATCH(B4248,Pedidos!$A$2:$A$1801,0)),"")</f>
        <v/>
      </c>
      <c r="L4248" s="21">
        <f>IFERROR(INDEX(Pedidos!$F$2:$F$1801,MATCH(B4248,Pedidos!$A$2:$A$1801,0)),"")</f>
        <v/>
      </c>
      <c r="M4248" s="22">
        <f>IFERROR(INDEX(Pedidos!$G$2:$G$1801,MATCH(B4248,Pedidos!$A$2:$A$1801,0)),0)</f>
        <v/>
      </c>
      <c r="N4248" s="21">
        <f>IFERROR(INDEX(Produtos!$B$2:$B$71,MATCH(C4248,Produtos!$A$2:$A$71,0)),"")</f>
        <v/>
      </c>
      <c r="O4248" s="21">
        <f>IFERROR(INDEX(Produtos!$C$2:$C$71,MATCH(C4248,Produtos!$A$2:$A$71,0)),"")</f>
        <v/>
      </c>
      <c r="P4248" s="21">
        <f>IFERROR(INDEX(Produtos!$D$2:$D$71,MATCH(C4248,Produtos!$A$2:$A$71,0)),0)</f>
        <v/>
      </c>
      <c r="Q4248" s="21">
        <f>IFERROR(INDEX(Produtos!$E$2:$E$71,MATCH(C4248,Produtos!$A$2:$A$71,0)),0)</f>
        <v/>
      </c>
      <c r="R4248" s="23">
        <f>D4248*Q4248</f>
        <v/>
      </c>
      <c r="S4248" s="23">
        <f>R4248*E4248</f>
        <v/>
      </c>
      <c r="T4248" s="23">
        <f>(R4248-S4248)*M4248</f>
        <v/>
      </c>
      <c r="U4248" s="23">
        <f>R4248-S4248-T4248</f>
        <v/>
      </c>
      <c r="V4248" s="23">
        <f>D4248*P4248</f>
        <v/>
      </c>
      <c r="W4248" s="23">
        <f>U4248-V4248</f>
        <v/>
      </c>
      <c r="X4248" s="24">
        <f>IFERROR(W4248/U4248,0)</f>
        <v/>
      </c>
    </row>
    <row r="4249">
      <c r="A4249" s="25">
        <f>ItensPedido!A4249</f>
        <v/>
      </c>
      <c r="B4249" s="25">
        <f>ItensPedido!B4249</f>
        <v/>
      </c>
      <c r="C4249" s="25">
        <f>ItensPedido!C4249</f>
        <v/>
      </c>
      <c r="D4249" s="25">
        <f>ItensPedido!D4249</f>
        <v/>
      </c>
      <c r="E4249" s="26">
        <f>ItensPedido!E4249</f>
        <v/>
      </c>
      <c r="F4249" s="25">
        <f>IFERROR(INDEX(Pedidos!$B$2:$B$1801,MATCH(B4249,Pedidos!$A$2:$A$1801,0)),0)</f>
        <v/>
      </c>
      <c r="G4249" s="25">
        <f>IF(F4249=0,"",YEAR(F4249))</f>
        <v/>
      </c>
      <c r="H4249" s="25">
        <f>IF(F4249=0,"",MONTH(F4249))</f>
        <v/>
      </c>
      <c r="I4249" s="25">
        <f>IFERROR(INDEX(Pedidos!$E$2:$E$1801,MATCH(B4249,Pedidos!$A$2:$A$1801,0)),"")</f>
        <v/>
      </c>
      <c r="J4249" s="25">
        <f>IFERROR(INDEX(Pedidos!$C$2:$C$1801,MATCH(B4249,Pedidos!$A$2:$A$1801,0)),"")</f>
        <v/>
      </c>
      <c r="K4249" s="25">
        <f>IFERROR(INDEX(Pedidos!$D$2:$D$1801,MATCH(B4249,Pedidos!$A$2:$A$1801,0)),"")</f>
        <v/>
      </c>
      <c r="L4249" s="25">
        <f>IFERROR(INDEX(Pedidos!$F$2:$F$1801,MATCH(B4249,Pedidos!$A$2:$A$1801,0)),"")</f>
        <v/>
      </c>
      <c r="M4249" s="26">
        <f>IFERROR(INDEX(Pedidos!$G$2:$G$1801,MATCH(B4249,Pedidos!$A$2:$A$1801,0)),0)</f>
        <v/>
      </c>
      <c r="N4249" s="25">
        <f>IFERROR(INDEX(Produtos!$B$2:$B$71,MATCH(C4249,Produtos!$A$2:$A$71,0)),"")</f>
        <v/>
      </c>
      <c r="O4249" s="25">
        <f>IFERROR(INDEX(Produtos!$C$2:$C$71,MATCH(C4249,Produtos!$A$2:$A$71,0)),"")</f>
        <v/>
      </c>
      <c r="P4249" s="25">
        <f>IFERROR(INDEX(Produtos!$D$2:$D$71,MATCH(C4249,Produtos!$A$2:$A$71,0)),0)</f>
        <v/>
      </c>
      <c r="Q4249" s="25">
        <f>IFERROR(INDEX(Produtos!$E$2:$E$71,MATCH(C4249,Produtos!$A$2:$A$71,0)),0)</f>
        <v/>
      </c>
      <c r="R4249" s="27">
        <f>D4249*Q4249</f>
        <v/>
      </c>
      <c r="S4249" s="27">
        <f>R4249*E4249</f>
        <v/>
      </c>
      <c r="T4249" s="27">
        <f>(R4249-S4249)*M4249</f>
        <v/>
      </c>
      <c r="U4249" s="27">
        <f>R4249-S4249-T4249</f>
        <v/>
      </c>
      <c r="V4249" s="27">
        <f>D4249*P4249</f>
        <v/>
      </c>
      <c r="W4249" s="27">
        <f>U4249-V4249</f>
        <v/>
      </c>
      <c r="X4249" s="28">
        <f>IFERROR(W4249/U4249,0)</f>
        <v/>
      </c>
    </row>
    <row r="4250">
      <c r="A4250" s="21">
        <f>ItensPedido!A4250</f>
        <v/>
      </c>
      <c r="B4250" s="21">
        <f>ItensPedido!B4250</f>
        <v/>
      </c>
      <c r="C4250" s="21">
        <f>ItensPedido!C4250</f>
        <v/>
      </c>
      <c r="D4250" s="21">
        <f>ItensPedido!D4250</f>
        <v/>
      </c>
      <c r="E4250" s="22">
        <f>ItensPedido!E4250</f>
        <v/>
      </c>
      <c r="F4250" s="21">
        <f>IFERROR(INDEX(Pedidos!$B$2:$B$1801,MATCH(B4250,Pedidos!$A$2:$A$1801,0)),0)</f>
        <v/>
      </c>
      <c r="G4250" s="21">
        <f>IF(F4250=0,"",YEAR(F4250))</f>
        <v/>
      </c>
      <c r="H4250" s="21">
        <f>IF(F4250=0,"",MONTH(F4250))</f>
        <v/>
      </c>
      <c r="I4250" s="21">
        <f>IFERROR(INDEX(Pedidos!$E$2:$E$1801,MATCH(B4250,Pedidos!$A$2:$A$1801,0)),"")</f>
        <v/>
      </c>
      <c r="J4250" s="21">
        <f>IFERROR(INDEX(Pedidos!$C$2:$C$1801,MATCH(B4250,Pedidos!$A$2:$A$1801,0)),"")</f>
        <v/>
      </c>
      <c r="K4250" s="21">
        <f>IFERROR(INDEX(Pedidos!$D$2:$D$1801,MATCH(B4250,Pedidos!$A$2:$A$1801,0)),"")</f>
        <v/>
      </c>
      <c r="L4250" s="21">
        <f>IFERROR(INDEX(Pedidos!$F$2:$F$1801,MATCH(B4250,Pedidos!$A$2:$A$1801,0)),"")</f>
        <v/>
      </c>
      <c r="M4250" s="22">
        <f>IFERROR(INDEX(Pedidos!$G$2:$G$1801,MATCH(B4250,Pedidos!$A$2:$A$1801,0)),0)</f>
        <v/>
      </c>
      <c r="N4250" s="21">
        <f>IFERROR(INDEX(Produtos!$B$2:$B$71,MATCH(C4250,Produtos!$A$2:$A$71,0)),"")</f>
        <v/>
      </c>
      <c r="O4250" s="21">
        <f>IFERROR(INDEX(Produtos!$C$2:$C$71,MATCH(C4250,Produtos!$A$2:$A$71,0)),"")</f>
        <v/>
      </c>
      <c r="P4250" s="21">
        <f>IFERROR(INDEX(Produtos!$D$2:$D$71,MATCH(C4250,Produtos!$A$2:$A$71,0)),0)</f>
        <v/>
      </c>
      <c r="Q4250" s="21">
        <f>IFERROR(INDEX(Produtos!$E$2:$E$71,MATCH(C4250,Produtos!$A$2:$A$71,0)),0)</f>
        <v/>
      </c>
      <c r="R4250" s="23">
        <f>D4250*Q4250</f>
        <v/>
      </c>
      <c r="S4250" s="23">
        <f>R4250*E4250</f>
        <v/>
      </c>
      <c r="T4250" s="23">
        <f>(R4250-S4250)*M4250</f>
        <v/>
      </c>
      <c r="U4250" s="23">
        <f>R4250-S4250-T4250</f>
        <v/>
      </c>
      <c r="V4250" s="23">
        <f>D4250*P4250</f>
        <v/>
      </c>
      <c r="W4250" s="23">
        <f>U4250-V4250</f>
        <v/>
      </c>
      <c r="X4250" s="24">
        <f>IFERROR(W4250/U4250,0)</f>
        <v/>
      </c>
    </row>
    <row r="4251">
      <c r="A4251" s="25">
        <f>ItensPedido!A4251</f>
        <v/>
      </c>
      <c r="B4251" s="25">
        <f>ItensPedido!B4251</f>
        <v/>
      </c>
      <c r="C4251" s="25">
        <f>ItensPedido!C4251</f>
        <v/>
      </c>
      <c r="D4251" s="25">
        <f>ItensPedido!D4251</f>
        <v/>
      </c>
      <c r="E4251" s="26">
        <f>ItensPedido!E4251</f>
        <v/>
      </c>
      <c r="F4251" s="25">
        <f>IFERROR(INDEX(Pedidos!$B$2:$B$1801,MATCH(B4251,Pedidos!$A$2:$A$1801,0)),0)</f>
        <v/>
      </c>
      <c r="G4251" s="25">
        <f>IF(F4251=0,"",YEAR(F4251))</f>
        <v/>
      </c>
      <c r="H4251" s="25">
        <f>IF(F4251=0,"",MONTH(F4251))</f>
        <v/>
      </c>
      <c r="I4251" s="25">
        <f>IFERROR(INDEX(Pedidos!$E$2:$E$1801,MATCH(B4251,Pedidos!$A$2:$A$1801,0)),"")</f>
        <v/>
      </c>
      <c r="J4251" s="25">
        <f>IFERROR(INDEX(Pedidos!$C$2:$C$1801,MATCH(B4251,Pedidos!$A$2:$A$1801,0)),"")</f>
        <v/>
      </c>
      <c r="K4251" s="25">
        <f>IFERROR(INDEX(Pedidos!$D$2:$D$1801,MATCH(B4251,Pedidos!$A$2:$A$1801,0)),"")</f>
        <v/>
      </c>
      <c r="L4251" s="25">
        <f>IFERROR(INDEX(Pedidos!$F$2:$F$1801,MATCH(B4251,Pedidos!$A$2:$A$1801,0)),"")</f>
        <v/>
      </c>
      <c r="M4251" s="26">
        <f>IFERROR(INDEX(Pedidos!$G$2:$G$1801,MATCH(B4251,Pedidos!$A$2:$A$1801,0)),0)</f>
        <v/>
      </c>
      <c r="N4251" s="25">
        <f>IFERROR(INDEX(Produtos!$B$2:$B$71,MATCH(C4251,Produtos!$A$2:$A$71,0)),"")</f>
        <v/>
      </c>
      <c r="O4251" s="25">
        <f>IFERROR(INDEX(Produtos!$C$2:$C$71,MATCH(C4251,Produtos!$A$2:$A$71,0)),"")</f>
        <v/>
      </c>
      <c r="P4251" s="25">
        <f>IFERROR(INDEX(Produtos!$D$2:$D$71,MATCH(C4251,Produtos!$A$2:$A$71,0)),0)</f>
        <v/>
      </c>
      <c r="Q4251" s="25">
        <f>IFERROR(INDEX(Produtos!$E$2:$E$71,MATCH(C4251,Produtos!$A$2:$A$71,0)),0)</f>
        <v/>
      </c>
      <c r="R4251" s="27">
        <f>D4251*Q4251</f>
        <v/>
      </c>
      <c r="S4251" s="27">
        <f>R4251*E4251</f>
        <v/>
      </c>
      <c r="T4251" s="27">
        <f>(R4251-S4251)*M4251</f>
        <v/>
      </c>
      <c r="U4251" s="27">
        <f>R4251-S4251-T4251</f>
        <v/>
      </c>
      <c r="V4251" s="27">
        <f>D4251*P4251</f>
        <v/>
      </c>
      <c r="W4251" s="27">
        <f>U4251-V4251</f>
        <v/>
      </c>
      <c r="X4251" s="28">
        <f>IFERROR(W4251/U4251,0)</f>
        <v/>
      </c>
    </row>
    <row r="4252">
      <c r="A4252" s="21">
        <f>ItensPedido!A4252</f>
        <v/>
      </c>
      <c r="B4252" s="21">
        <f>ItensPedido!B4252</f>
        <v/>
      </c>
      <c r="C4252" s="21">
        <f>ItensPedido!C4252</f>
        <v/>
      </c>
      <c r="D4252" s="21">
        <f>ItensPedido!D4252</f>
        <v/>
      </c>
      <c r="E4252" s="22">
        <f>ItensPedido!E4252</f>
        <v/>
      </c>
      <c r="F4252" s="21">
        <f>IFERROR(INDEX(Pedidos!$B$2:$B$1801,MATCH(B4252,Pedidos!$A$2:$A$1801,0)),0)</f>
        <v/>
      </c>
      <c r="G4252" s="21">
        <f>IF(F4252=0,"",YEAR(F4252))</f>
        <v/>
      </c>
      <c r="H4252" s="21">
        <f>IF(F4252=0,"",MONTH(F4252))</f>
        <v/>
      </c>
      <c r="I4252" s="21">
        <f>IFERROR(INDEX(Pedidos!$E$2:$E$1801,MATCH(B4252,Pedidos!$A$2:$A$1801,0)),"")</f>
        <v/>
      </c>
      <c r="J4252" s="21">
        <f>IFERROR(INDEX(Pedidos!$C$2:$C$1801,MATCH(B4252,Pedidos!$A$2:$A$1801,0)),"")</f>
        <v/>
      </c>
      <c r="K4252" s="21">
        <f>IFERROR(INDEX(Pedidos!$D$2:$D$1801,MATCH(B4252,Pedidos!$A$2:$A$1801,0)),"")</f>
        <v/>
      </c>
      <c r="L4252" s="21">
        <f>IFERROR(INDEX(Pedidos!$F$2:$F$1801,MATCH(B4252,Pedidos!$A$2:$A$1801,0)),"")</f>
        <v/>
      </c>
      <c r="M4252" s="22">
        <f>IFERROR(INDEX(Pedidos!$G$2:$G$1801,MATCH(B4252,Pedidos!$A$2:$A$1801,0)),0)</f>
        <v/>
      </c>
      <c r="N4252" s="21">
        <f>IFERROR(INDEX(Produtos!$B$2:$B$71,MATCH(C4252,Produtos!$A$2:$A$71,0)),"")</f>
        <v/>
      </c>
      <c r="O4252" s="21">
        <f>IFERROR(INDEX(Produtos!$C$2:$C$71,MATCH(C4252,Produtos!$A$2:$A$71,0)),"")</f>
        <v/>
      </c>
      <c r="P4252" s="21">
        <f>IFERROR(INDEX(Produtos!$D$2:$D$71,MATCH(C4252,Produtos!$A$2:$A$71,0)),0)</f>
        <v/>
      </c>
      <c r="Q4252" s="21">
        <f>IFERROR(INDEX(Produtos!$E$2:$E$71,MATCH(C4252,Produtos!$A$2:$A$71,0)),0)</f>
        <v/>
      </c>
      <c r="R4252" s="23">
        <f>D4252*Q4252</f>
        <v/>
      </c>
      <c r="S4252" s="23">
        <f>R4252*E4252</f>
        <v/>
      </c>
      <c r="T4252" s="23">
        <f>(R4252-S4252)*M4252</f>
        <v/>
      </c>
      <c r="U4252" s="23">
        <f>R4252-S4252-T4252</f>
        <v/>
      </c>
      <c r="V4252" s="23">
        <f>D4252*P4252</f>
        <v/>
      </c>
      <c r="W4252" s="23">
        <f>U4252-V4252</f>
        <v/>
      </c>
      <c r="X4252" s="24">
        <f>IFERROR(W4252/U4252,0)</f>
        <v/>
      </c>
    </row>
    <row r="4253">
      <c r="A4253" s="25">
        <f>ItensPedido!A4253</f>
        <v/>
      </c>
      <c r="B4253" s="25">
        <f>ItensPedido!B4253</f>
        <v/>
      </c>
      <c r="C4253" s="25">
        <f>ItensPedido!C4253</f>
        <v/>
      </c>
      <c r="D4253" s="25">
        <f>ItensPedido!D4253</f>
        <v/>
      </c>
      <c r="E4253" s="26">
        <f>ItensPedido!E4253</f>
        <v/>
      </c>
      <c r="F4253" s="25">
        <f>IFERROR(INDEX(Pedidos!$B$2:$B$1801,MATCH(B4253,Pedidos!$A$2:$A$1801,0)),0)</f>
        <v/>
      </c>
      <c r="G4253" s="25">
        <f>IF(F4253=0,"",YEAR(F4253))</f>
        <v/>
      </c>
      <c r="H4253" s="25">
        <f>IF(F4253=0,"",MONTH(F4253))</f>
        <v/>
      </c>
      <c r="I4253" s="25">
        <f>IFERROR(INDEX(Pedidos!$E$2:$E$1801,MATCH(B4253,Pedidos!$A$2:$A$1801,0)),"")</f>
        <v/>
      </c>
      <c r="J4253" s="25">
        <f>IFERROR(INDEX(Pedidos!$C$2:$C$1801,MATCH(B4253,Pedidos!$A$2:$A$1801,0)),"")</f>
        <v/>
      </c>
      <c r="K4253" s="25">
        <f>IFERROR(INDEX(Pedidos!$D$2:$D$1801,MATCH(B4253,Pedidos!$A$2:$A$1801,0)),"")</f>
        <v/>
      </c>
      <c r="L4253" s="25">
        <f>IFERROR(INDEX(Pedidos!$F$2:$F$1801,MATCH(B4253,Pedidos!$A$2:$A$1801,0)),"")</f>
        <v/>
      </c>
      <c r="M4253" s="26">
        <f>IFERROR(INDEX(Pedidos!$G$2:$G$1801,MATCH(B4253,Pedidos!$A$2:$A$1801,0)),0)</f>
        <v/>
      </c>
      <c r="N4253" s="25">
        <f>IFERROR(INDEX(Produtos!$B$2:$B$71,MATCH(C4253,Produtos!$A$2:$A$71,0)),"")</f>
        <v/>
      </c>
      <c r="O4253" s="25">
        <f>IFERROR(INDEX(Produtos!$C$2:$C$71,MATCH(C4253,Produtos!$A$2:$A$71,0)),"")</f>
        <v/>
      </c>
      <c r="P4253" s="25">
        <f>IFERROR(INDEX(Produtos!$D$2:$D$71,MATCH(C4253,Produtos!$A$2:$A$71,0)),0)</f>
        <v/>
      </c>
      <c r="Q4253" s="25">
        <f>IFERROR(INDEX(Produtos!$E$2:$E$71,MATCH(C4253,Produtos!$A$2:$A$71,0)),0)</f>
        <v/>
      </c>
      <c r="R4253" s="27">
        <f>D4253*Q4253</f>
        <v/>
      </c>
      <c r="S4253" s="27">
        <f>R4253*E4253</f>
        <v/>
      </c>
      <c r="T4253" s="27">
        <f>(R4253-S4253)*M4253</f>
        <v/>
      </c>
      <c r="U4253" s="27">
        <f>R4253-S4253-T4253</f>
        <v/>
      </c>
      <c r="V4253" s="27">
        <f>D4253*P4253</f>
        <v/>
      </c>
      <c r="W4253" s="27">
        <f>U4253-V4253</f>
        <v/>
      </c>
      <c r="X4253" s="28">
        <f>IFERROR(W4253/U4253,0)</f>
        <v/>
      </c>
    </row>
    <row r="4254">
      <c r="A4254" s="21">
        <f>ItensPedido!A4254</f>
        <v/>
      </c>
      <c r="B4254" s="21">
        <f>ItensPedido!B4254</f>
        <v/>
      </c>
      <c r="C4254" s="21">
        <f>ItensPedido!C4254</f>
        <v/>
      </c>
      <c r="D4254" s="21">
        <f>ItensPedido!D4254</f>
        <v/>
      </c>
      <c r="E4254" s="22">
        <f>ItensPedido!E4254</f>
        <v/>
      </c>
      <c r="F4254" s="21">
        <f>IFERROR(INDEX(Pedidos!$B$2:$B$1801,MATCH(B4254,Pedidos!$A$2:$A$1801,0)),0)</f>
        <v/>
      </c>
      <c r="G4254" s="21">
        <f>IF(F4254=0,"",YEAR(F4254))</f>
        <v/>
      </c>
      <c r="H4254" s="21">
        <f>IF(F4254=0,"",MONTH(F4254))</f>
        <v/>
      </c>
      <c r="I4254" s="21">
        <f>IFERROR(INDEX(Pedidos!$E$2:$E$1801,MATCH(B4254,Pedidos!$A$2:$A$1801,0)),"")</f>
        <v/>
      </c>
      <c r="J4254" s="21">
        <f>IFERROR(INDEX(Pedidos!$C$2:$C$1801,MATCH(B4254,Pedidos!$A$2:$A$1801,0)),"")</f>
        <v/>
      </c>
      <c r="K4254" s="21">
        <f>IFERROR(INDEX(Pedidos!$D$2:$D$1801,MATCH(B4254,Pedidos!$A$2:$A$1801,0)),"")</f>
        <v/>
      </c>
      <c r="L4254" s="21">
        <f>IFERROR(INDEX(Pedidos!$F$2:$F$1801,MATCH(B4254,Pedidos!$A$2:$A$1801,0)),"")</f>
        <v/>
      </c>
      <c r="M4254" s="22">
        <f>IFERROR(INDEX(Pedidos!$G$2:$G$1801,MATCH(B4254,Pedidos!$A$2:$A$1801,0)),0)</f>
        <v/>
      </c>
      <c r="N4254" s="21">
        <f>IFERROR(INDEX(Produtos!$B$2:$B$71,MATCH(C4254,Produtos!$A$2:$A$71,0)),"")</f>
        <v/>
      </c>
      <c r="O4254" s="21">
        <f>IFERROR(INDEX(Produtos!$C$2:$C$71,MATCH(C4254,Produtos!$A$2:$A$71,0)),"")</f>
        <v/>
      </c>
      <c r="P4254" s="21">
        <f>IFERROR(INDEX(Produtos!$D$2:$D$71,MATCH(C4254,Produtos!$A$2:$A$71,0)),0)</f>
        <v/>
      </c>
      <c r="Q4254" s="21">
        <f>IFERROR(INDEX(Produtos!$E$2:$E$71,MATCH(C4254,Produtos!$A$2:$A$71,0)),0)</f>
        <v/>
      </c>
      <c r="R4254" s="23">
        <f>D4254*Q4254</f>
        <v/>
      </c>
      <c r="S4254" s="23">
        <f>R4254*E4254</f>
        <v/>
      </c>
      <c r="T4254" s="23">
        <f>(R4254-S4254)*M4254</f>
        <v/>
      </c>
      <c r="U4254" s="23">
        <f>R4254-S4254-T4254</f>
        <v/>
      </c>
      <c r="V4254" s="23">
        <f>D4254*P4254</f>
        <v/>
      </c>
      <c r="W4254" s="23">
        <f>U4254-V4254</f>
        <v/>
      </c>
      <c r="X4254" s="24">
        <f>IFERROR(W4254/U4254,0)</f>
        <v/>
      </c>
    </row>
    <row r="4255">
      <c r="A4255" s="25">
        <f>ItensPedido!A4255</f>
        <v/>
      </c>
      <c r="B4255" s="25">
        <f>ItensPedido!B4255</f>
        <v/>
      </c>
      <c r="C4255" s="25">
        <f>ItensPedido!C4255</f>
        <v/>
      </c>
      <c r="D4255" s="25">
        <f>ItensPedido!D4255</f>
        <v/>
      </c>
      <c r="E4255" s="26">
        <f>ItensPedido!E4255</f>
        <v/>
      </c>
      <c r="F4255" s="25">
        <f>IFERROR(INDEX(Pedidos!$B$2:$B$1801,MATCH(B4255,Pedidos!$A$2:$A$1801,0)),0)</f>
        <v/>
      </c>
      <c r="G4255" s="25">
        <f>IF(F4255=0,"",YEAR(F4255))</f>
        <v/>
      </c>
      <c r="H4255" s="25">
        <f>IF(F4255=0,"",MONTH(F4255))</f>
        <v/>
      </c>
      <c r="I4255" s="25">
        <f>IFERROR(INDEX(Pedidos!$E$2:$E$1801,MATCH(B4255,Pedidos!$A$2:$A$1801,0)),"")</f>
        <v/>
      </c>
      <c r="J4255" s="25">
        <f>IFERROR(INDEX(Pedidos!$C$2:$C$1801,MATCH(B4255,Pedidos!$A$2:$A$1801,0)),"")</f>
        <v/>
      </c>
      <c r="K4255" s="25">
        <f>IFERROR(INDEX(Pedidos!$D$2:$D$1801,MATCH(B4255,Pedidos!$A$2:$A$1801,0)),"")</f>
        <v/>
      </c>
      <c r="L4255" s="25">
        <f>IFERROR(INDEX(Pedidos!$F$2:$F$1801,MATCH(B4255,Pedidos!$A$2:$A$1801,0)),"")</f>
        <v/>
      </c>
      <c r="M4255" s="26">
        <f>IFERROR(INDEX(Pedidos!$G$2:$G$1801,MATCH(B4255,Pedidos!$A$2:$A$1801,0)),0)</f>
        <v/>
      </c>
      <c r="N4255" s="25">
        <f>IFERROR(INDEX(Produtos!$B$2:$B$71,MATCH(C4255,Produtos!$A$2:$A$71,0)),"")</f>
        <v/>
      </c>
      <c r="O4255" s="25">
        <f>IFERROR(INDEX(Produtos!$C$2:$C$71,MATCH(C4255,Produtos!$A$2:$A$71,0)),"")</f>
        <v/>
      </c>
      <c r="P4255" s="25">
        <f>IFERROR(INDEX(Produtos!$D$2:$D$71,MATCH(C4255,Produtos!$A$2:$A$71,0)),0)</f>
        <v/>
      </c>
      <c r="Q4255" s="25">
        <f>IFERROR(INDEX(Produtos!$E$2:$E$71,MATCH(C4255,Produtos!$A$2:$A$71,0)),0)</f>
        <v/>
      </c>
      <c r="R4255" s="27">
        <f>D4255*Q4255</f>
        <v/>
      </c>
      <c r="S4255" s="27">
        <f>R4255*E4255</f>
        <v/>
      </c>
      <c r="T4255" s="27">
        <f>(R4255-S4255)*M4255</f>
        <v/>
      </c>
      <c r="U4255" s="27">
        <f>R4255-S4255-T4255</f>
        <v/>
      </c>
      <c r="V4255" s="27">
        <f>D4255*P4255</f>
        <v/>
      </c>
      <c r="W4255" s="27">
        <f>U4255-V4255</f>
        <v/>
      </c>
      <c r="X4255" s="28">
        <f>IFERROR(W4255/U4255,0)</f>
        <v/>
      </c>
    </row>
    <row r="4256">
      <c r="A4256" s="21">
        <f>ItensPedido!A4256</f>
        <v/>
      </c>
      <c r="B4256" s="21">
        <f>ItensPedido!B4256</f>
        <v/>
      </c>
      <c r="C4256" s="21">
        <f>ItensPedido!C4256</f>
        <v/>
      </c>
      <c r="D4256" s="21">
        <f>ItensPedido!D4256</f>
        <v/>
      </c>
      <c r="E4256" s="22">
        <f>ItensPedido!E4256</f>
        <v/>
      </c>
      <c r="F4256" s="21">
        <f>IFERROR(INDEX(Pedidos!$B$2:$B$1801,MATCH(B4256,Pedidos!$A$2:$A$1801,0)),0)</f>
        <v/>
      </c>
      <c r="G4256" s="21">
        <f>IF(F4256=0,"",YEAR(F4256))</f>
        <v/>
      </c>
      <c r="H4256" s="21">
        <f>IF(F4256=0,"",MONTH(F4256))</f>
        <v/>
      </c>
      <c r="I4256" s="21">
        <f>IFERROR(INDEX(Pedidos!$E$2:$E$1801,MATCH(B4256,Pedidos!$A$2:$A$1801,0)),"")</f>
        <v/>
      </c>
      <c r="J4256" s="21">
        <f>IFERROR(INDEX(Pedidos!$C$2:$C$1801,MATCH(B4256,Pedidos!$A$2:$A$1801,0)),"")</f>
        <v/>
      </c>
      <c r="K4256" s="21">
        <f>IFERROR(INDEX(Pedidos!$D$2:$D$1801,MATCH(B4256,Pedidos!$A$2:$A$1801,0)),"")</f>
        <v/>
      </c>
      <c r="L4256" s="21">
        <f>IFERROR(INDEX(Pedidos!$F$2:$F$1801,MATCH(B4256,Pedidos!$A$2:$A$1801,0)),"")</f>
        <v/>
      </c>
      <c r="M4256" s="22">
        <f>IFERROR(INDEX(Pedidos!$G$2:$G$1801,MATCH(B4256,Pedidos!$A$2:$A$1801,0)),0)</f>
        <v/>
      </c>
      <c r="N4256" s="21">
        <f>IFERROR(INDEX(Produtos!$B$2:$B$71,MATCH(C4256,Produtos!$A$2:$A$71,0)),"")</f>
        <v/>
      </c>
      <c r="O4256" s="21">
        <f>IFERROR(INDEX(Produtos!$C$2:$C$71,MATCH(C4256,Produtos!$A$2:$A$71,0)),"")</f>
        <v/>
      </c>
      <c r="P4256" s="21">
        <f>IFERROR(INDEX(Produtos!$D$2:$D$71,MATCH(C4256,Produtos!$A$2:$A$71,0)),0)</f>
        <v/>
      </c>
      <c r="Q4256" s="21">
        <f>IFERROR(INDEX(Produtos!$E$2:$E$71,MATCH(C4256,Produtos!$A$2:$A$71,0)),0)</f>
        <v/>
      </c>
      <c r="R4256" s="23">
        <f>D4256*Q4256</f>
        <v/>
      </c>
      <c r="S4256" s="23">
        <f>R4256*E4256</f>
        <v/>
      </c>
      <c r="T4256" s="23">
        <f>(R4256-S4256)*M4256</f>
        <v/>
      </c>
      <c r="U4256" s="23">
        <f>R4256-S4256-T4256</f>
        <v/>
      </c>
      <c r="V4256" s="23">
        <f>D4256*P4256</f>
        <v/>
      </c>
      <c r="W4256" s="23">
        <f>U4256-V4256</f>
        <v/>
      </c>
      <c r="X4256" s="24">
        <f>IFERROR(W4256/U4256,0)</f>
        <v/>
      </c>
    </row>
    <row r="4257">
      <c r="A4257" s="25">
        <f>ItensPedido!A4257</f>
        <v/>
      </c>
      <c r="B4257" s="25">
        <f>ItensPedido!B4257</f>
        <v/>
      </c>
      <c r="C4257" s="25">
        <f>ItensPedido!C4257</f>
        <v/>
      </c>
      <c r="D4257" s="25">
        <f>ItensPedido!D4257</f>
        <v/>
      </c>
      <c r="E4257" s="26">
        <f>ItensPedido!E4257</f>
        <v/>
      </c>
      <c r="F4257" s="25">
        <f>IFERROR(INDEX(Pedidos!$B$2:$B$1801,MATCH(B4257,Pedidos!$A$2:$A$1801,0)),0)</f>
        <v/>
      </c>
      <c r="G4257" s="25">
        <f>IF(F4257=0,"",YEAR(F4257))</f>
        <v/>
      </c>
      <c r="H4257" s="25">
        <f>IF(F4257=0,"",MONTH(F4257))</f>
        <v/>
      </c>
      <c r="I4257" s="25">
        <f>IFERROR(INDEX(Pedidos!$E$2:$E$1801,MATCH(B4257,Pedidos!$A$2:$A$1801,0)),"")</f>
        <v/>
      </c>
      <c r="J4257" s="25">
        <f>IFERROR(INDEX(Pedidos!$C$2:$C$1801,MATCH(B4257,Pedidos!$A$2:$A$1801,0)),"")</f>
        <v/>
      </c>
      <c r="K4257" s="25">
        <f>IFERROR(INDEX(Pedidos!$D$2:$D$1801,MATCH(B4257,Pedidos!$A$2:$A$1801,0)),"")</f>
        <v/>
      </c>
      <c r="L4257" s="25">
        <f>IFERROR(INDEX(Pedidos!$F$2:$F$1801,MATCH(B4257,Pedidos!$A$2:$A$1801,0)),"")</f>
        <v/>
      </c>
      <c r="M4257" s="26">
        <f>IFERROR(INDEX(Pedidos!$G$2:$G$1801,MATCH(B4257,Pedidos!$A$2:$A$1801,0)),0)</f>
        <v/>
      </c>
      <c r="N4257" s="25">
        <f>IFERROR(INDEX(Produtos!$B$2:$B$71,MATCH(C4257,Produtos!$A$2:$A$71,0)),"")</f>
        <v/>
      </c>
      <c r="O4257" s="25">
        <f>IFERROR(INDEX(Produtos!$C$2:$C$71,MATCH(C4257,Produtos!$A$2:$A$71,0)),"")</f>
        <v/>
      </c>
      <c r="P4257" s="25">
        <f>IFERROR(INDEX(Produtos!$D$2:$D$71,MATCH(C4257,Produtos!$A$2:$A$71,0)),0)</f>
        <v/>
      </c>
      <c r="Q4257" s="25">
        <f>IFERROR(INDEX(Produtos!$E$2:$E$71,MATCH(C4257,Produtos!$A$2:$A$71,0)),0)</f>
        <v/>
      </c>
      <c r="R4257" s="27">
        <f>D4257*Q4257</f>
        <v/>
      </c>
      <c r="S4257" s="27">
        <f>R4257*E4257</f>
        <v/>
      </c>
      <c r="T4257" s="27">
        <f>(R4257-S4257)*M4257</f>
        <v/>
      </c>
      <c r="U4257" s="27">
        <f>R4257-S4257-T4257</f>
        <v/>
      </c>
      <c r="V4257" s="27">
        <f>D4257*P4257</f>
        <v/>
      </c>
      <c r="W4257" s="27">
        <f>U4257-V4257</f>
        <v/>
      </c>
      <c r="X4257" s="28">
        <f>IFERROR(W4257/U4257,0)</f>
        <v/>
      </c>
    </row>
    <row r="4258">
      <c r="A4258" s="21">
        <f>ItensPedido!A4258</f>
        <v/>
      </c>
      <c r="B4258" s="21">
        <f>ItensPedido!B4258</f>
        <v/>
      </c>
      <c r="C4258" s="21">
        <f>ItensPedido!C4258</f>
        <v/>
      </c>
      <c r="D4258" s="21">
        <f>ItensPedido!D4258</f>
        <v/>
      </c>
      <c r="E4258" s="22">
        <f>ItensPedido!E4258</f>
        <v/>
      </c>
      <c r="F4258" s="21">
        <f>IFERROR(INDEX(Pedidos!$B$2:$B$1801,MATCH(B4258,Pedidos!$A$2:$A$1801,0)),0)</f>
        <v/>
      </c>
      <c r="G4258" s="21">
        <f>IF(F4258=0,"",YEAR(F4258))</f>
        <v/>
      </c>
      <c r="H4258" s="21">
        <f>IF(F4258=0,"",MONTH(F4258))</f>
        <v/>
      </c>
      <c r="I4258" s="21">
        <f>IFERROR(INDEX(Pedidos!$E$2:$E$1801,MATCH(B4258,Pedidos!$A$2:$A$1801,0)),"")</f>
        <v/>
      </c>
      <c r="J4258" s="21">
        <f>IFERROR(INDEX(Pedidos!$C$2:$C$1801,MATCH(B4258,Pedidos!$A$2:$A$1801,0)),"")</f>
        <v/>
      </c>
      <c r="K4258" s="21">
        <f>IFERROR(INDEX(Pedidos!$D$2:$D$1801,MATCH(B4258,Pedidos!$A$2:$A$1801,0)),"")</f>
        <v/>
      </c>
      <c r="L4258" s="21">
        <f>IFERROR(INDEX(Pedidos!$F$2:$F$1801,MATCH(B4258,Pedidos!$A$2:$A$1801,0)),"")</f>
        <v/>
      </c>
      <c r="M4258" s="22">
        <f>IFERROR(INDEX(Pedidos!$G$2:$G$1801,MATCH(B4258,Pedidos!$A$2:$A$1801,0)),0)</f>
        <v/>
      </c>
      <c r="N4258" s="21">
        <f>IFERROR(INDEX(Produtos!$B$2:$B$71,MATCH(C4258,Produtos!$A$2:$A$71,0)),"")</f>
        <v/>
      </c>
      <c r="O4258" s="21">
        <f>IFERROR(INDEX(Produtos!$C$2:$C$71,MATCH(C4258,Produtos!$A$2:$A$71,0)),"")</f>
        <v/>
      </c>
      <c r="P4258" s="21">
        <f>IFERROR(INDEX(Produtos!$D$2:$D$71,MATCH(C4258,Produtos!$A$2:$A$71,0)),0)</f>
        <v/>
      </c>
      <c r="Q4258" s="21">
        <f>IFERROR(INDEX(Produtos!$E$2:$E$71,MATCH(C4258,Produtos!$A$2:$A$71,0)),0)</f>
        <v/>
      </c>
      <c r="R4258" s="23">
        <f>D4258*Q4258</f>
        <v/>
      </c>
      <c r="S4258" s="23">
        <f>R4258*E4258</f>
        <v/>
      </c>
      <c r="T4258" s="23">
        <f>(R4258-S4258)*M4258</f>
        <v/>
      </c>
      <c r="U4258" s="23">
        <f>R4258-S4258-T4258</f>
        <v/>
      </c>
      <c r="V4258" s="23">
        <f>D4258*P4258</f>
        <v/>
      </c>
      <c r="W4258" s="23">
        <f>U4258-V4258</f>
        <v/>
      </c>
      <c r="X4258" s="24">
        <f>IFERROR(W4258/U4258,0)</f>
        <v/>
      </c>
    </row>
    <row r="4259">
      <c r="A4259" s="25">
        <f>ItensPedido!A4259</f>
        <v/>
      </c>
      <c r="B4259" s="25">
        <f>ItensPedido!B4259</f>
        <v/>
      </c>
      <c r="C4259" s="25">
        <f>ItensPedido!C4259</f>
        <v/>
      </c>
      <c r="D4259" s="25">
        <f>ItensPedido!D4259</f>
        <v/>
      </c>
      <c r="E4259" s="26">
        <f>ItensPedido!E4259</f>
        <v/>
      </c>
      <c r="F4259" s="25">
        <f>IFERROR(INDEX(Pedidos!$B$2:$B$1801,MATCH(B4259,Pedidos!$A$2:$A$1801,0)),0)</f>
        <v/>
      </c>
      <c r="G4259" s="25">
        <f>IF(F4259=0,"",YEAR(F4259))</f>
        <v/>
      </c>
      <c r="H4259" s="25">
        <f>IF(F4259=0,"",MONTH(F4259))</f>
        <v/>
      </c>
      <c r="I4259" s="25">
        <f>IFERROR(INDEX(Pedidos!$E$2:$E$1801,MATCH(B4259,Pedidos!$A$2:$A$1801,0)),"")</f>
        <v/>
      </c>
      <c r="J4259" s="25">
        <f>IFERROR(INDEX(Pedidos!$C$2:$C$1801,MATCH(B4259,Pedidos!$A$2:$A$1801,0)),"")</f>
        <v/>
      </c>
      <c r="K4259" s="25">
        <f>IFERROR(INDEX(Pedidos!$D$2:$D$1801,MATCH(B4259,Pedidos!$A$2:$A$1801,0)),"")</f>
        <v/>
      </c>
      <c r="L4259" s="25">
        <f>IFERROR(INDEX(Pedidos!$F$2:$F$1801,MATCH(B4259,Pedidos!$A$2:$A$1801,0)),"")</f>
        <v/>
      </c>
      <c r="M4259" s="26">
        <f>IFERROR(INDEX(Pedidos!$G$2:$G$1801,MATCH(B4259,Pedidos!$A$2:$A$1801,0)),0)</f>
        <v/>
      </c>
      <c r="N4259" s="25">
        <f>IFERROR(INDEX(Produtos!$B$2:$B$71,MATCH(C4259,Produtos!$A$2:$A$71,0)),"")</f>
        <v/>
      </c>
      <c r="O4259" s="25">
        <f>IFERROR(INDEX(Produtos!$C$2:$C$71,MATCH(C4259,Produtos!$A$2:$A$71,0)),"")</f>
        <v/>
      </c>
      <c r="P4259" s="25">
        <f>IFERROR(INDEX(Produtos!$D$2:$D$71,MATCH(C4259,Produtos!$A$2:$A$71,0)),0)</f>
        <v/>
      </c>
      <c r="Q4259" s="25">
        <f>IFERROR(INDEX(Produtos!$E$2:$E$71,MATCH(C4259,Produtos!$A$2:$A$71,0)),0)</f>
        <v/>
      </c>
      <c r="R4259" s="27">
        <f>D4259*Q4259</f>
        <v/>
      </c>
      <c r="S4259" s="27">
        <f>R4259*E4259</f>
        <v/>
      </c>
      <c r="T4259" s="27">
        <f>(R4259-S4259)*M4259</f>
        <v/>
      </c>
      <c r="U4259" s="27">
        <f>R4259-S4259-T4259</f>
        <v/>
      </c>
      <c r="V4259" s="27">
        <f>D4259*P4259</f>
        <v/>
      </c>
      <c r="W4259" s="27">
        <f>U4259-V4259</f>
        <v/>
      </c>
      <c r="X4259" s="28">
        <f>IFERROR(W4259/U4259,0)</f>
        <v/>
      </c>
    </row>
    <row r="4260">
      <c r="A4260" s="21">
        <f>ItensPedido!A4260</f>
        <v/>
      </c>
      <c r="B4260" s="21">
        <f>ItensPedido!B4260</f>
        <v/>
      </c>
      <c r="C4260" s="21">
        <f>ItensPedido!C4260</f>
        <v/>
      </c>
      <c r="D4260" s="21">
        <f>ItensPedido!D4260</f>
        <v/>
      </c>
      <c r="E4260" s="22">
        <f>ItensPedido!E4260</f>
        <v/>
      </c>
      <c r="F4260" s="21">
        <f>IFERROR(INDEX(Pedidos!$B$2:$B$1801,MATCH(B4260,Pedidos!$A$2:$A$1801,0)),0)</f>
        <v/>
      </c>
      <c r="G4260" s="21">
        <f>IF(F4260=0,"",YEAR(F4260))</f>
        <v/>
      </c>
      <c r="H4260" s="21">
        <f>IF(F4260=0,"",MONTH(F4260))</f>
        <v/>
      </c>
      <c r="I4260" s="21">
        <f>IFERROR(INDEX(Pedidos!$E$2:$E$1801,MATCH(B4260,Pedidos!$A$2:$A$1801,0)),"")</f>
        <v/>
      </c>
      <c r="J4260" s="21">
        <f>IFERROR(INDEX(Pedidos!$C$2:$C$1801,MATCH(B4260,Pedidos!$A$2:$A$1801,0)),"")</f>
        <v/>
      </c>
      <c r="K4260" s="21">
        <f>IFERROR(INDEX(Pedidos!$D$2:$D$1801,MATCH(B4260,Pedidos!$A$2:$A$1801,0)),"")</f>
        <v/>
      </c>
      <c r="L4260" s="21">
        <f>IFERROR(INDEX(Pedidos!$F$2:$F$1801,MATCH(B4260,Pedidos!$A$2:$A$1801,0)),"")</f>
        <v/>
      </c>
      <c r="M4260" s="22">
        <f>IFERROR(INDEX(Pedidos!$G$2:$G$1801,MATCH(B4260,Pedidos!$A$2:$A$1801,0)),0)</f>
        <v/>
      </c>
      <c r="N4260" s="21">
        <f>IFERROR(INDEX(Produtos!$B$2:$B$71,MATCH(C4260,Produtos!$A$2:$A$71,0)),"")</f>
        <v/>
      </c>
      <c r="O4260" s="21">
        <f>IFERROR(INDEX(Produtos!$C$2:$C$71,MATCH(C4260,Produtos!$A$2:$A$71,0)),"")</f>
        <v/>
      </c>
      <c r="P4260" s="21">
        <f>IFERROR(INDEX(Produtos!$D$2:$D$71,MATCH(C4260,Produtos!$A$2:$A$71,0)),0)</f>
        <v/>
      </c>
      <c r="Q4260" s="21">
        <f>IFERROR(INDEX(Produtos!$E$2:$E$71,MATCH(C4260,Produtos!$A$2:$A$71,0)),0)</f>
        <v/>
      </c>
      <c r="R4260" s="23">
        <f>D4260*Q4260</f>
        <v/>
      </c>
      <c r="S4260" s="23">
        <f>R4260*E4260</f>
        <v/>
      </c>
      <c r="T4260" s="23">
        <f>(R4260-S4260)*M4260</f>
        <v/>
      </c>
      <c r="U4260" s="23">
        <f>R4260-S4260-T4260</f>
        <v/>
      </c>
      <c r="V4260" s="23">
        <f>D4260*P4260</f>
        <v/>
      </c>
      <c r="W4260" s="23">
        <f>U4260-V4260</f>
        <v/>
      </c>
      <c r="X4260" s="24">
        <f>IFERROR(W4260/U4260,0)</f>
        <v/>
      </c>
    </row>
    <row r="4261">
      <c r="A4261" s="25">
        <f>ItensPedido!A4261</f>
        <v/>
      </c>
      <c r="B4261" s="25">
        <f>ItensPedido!B4261</f>
        <v/>
      </c>
      <c r="C4261" s="25">
        <f>ItensPedido!C4261</f>
        <v/>
      </c>
      <c r="D4261" s="25">
        <f>ItensPedido!D4261</f>
        <v/>
      </c>
      <c r="E4261" s="26">
        <f>ItensPedido!E4261</f>
        <v/>
      </c>
      <c r="F4261" s="25">
        <f>IFERROR(INDEX(Pedidos!$B$2:$B$1801,MATCH(B4261,Pedidos!$A$2:$A$1801,0)),0)</f>
        <v/>
      </c>
      <c r="G4261" s="25">
        <f>IF(F4261=0,"",YEAR(F4261))</f>
        <v/>
      </c>
      <c r="H4261" s="25">
        <f>IF(F4261=0,"",MONTH(F4261))</f>
        <v/>
      </c>
      <c r="I4261" s="25">
        <f>IFERROR(INDEX(Pedidos!$E$2:$E$1801,MATCH(B4261,Pedidos!$A$2:$A$1801,0)),"")</f>
        <v/>
      </c>
      <c r="J4261" s="25">
        <f>IFERROR(INDEX(Pedidos!$C$2:$C$1801,MATCH(B4261,Pedidos!$A$2:$A$1801,0)),"")</f>
        <v/>
      </c>
      <c r="K4261" s="25">
        <f>IFERROR(INDEX(Pedidos!$D$2:$D$1801,MATCH(B4261,Pedidos!$A$2:$A$1801,0)),"")</f>
        <v/>
      </c>
      <c r="L4261" s="25">
        <f>IFERROR(INDEX(Pedidos!$F$2:$F$1801,MATCH(B4261,Pedidos!$A$2:$A$1801,0)),"")</f>
        <v/>
      </c>
      <c r="M4261" s="26">
        <f>IFERROR(INDEX(Pedidos!$G$2:$G$1801,MATCH(B4261,Pedidos!$A$2:$A$1801,0)),0)</f>
        <v/>
      </c>
      <c r="N4261" s="25">
        <f>IFERROR(INDEX(Produtos!$B$2:$B$71,MATCH(C4261,Produtos!$A$2:$A$71,0)),"")</f>
        <v/>
      </c>
      <c r="O4261" s="25">
        <f>IFERROR(INDEX(Produtos!$C$2:$C$71,MATCH(C4261,Produtos!$A$2:$A$71,0)),"")</f>
        <v/>
      </c>
      <c r="P4261" s="25">
        <f>IFERROR(INDEX(Produtos!$D$2:$D$71,MATCH(C4261,Produtos!$A$2:$A$71,0)),0)</f>
        <v/>
      </c>
      <c r="Q4261" s="25">
        <f>IFERROR(INDEX(Produtos!$E$2:$E$71,MATCH(C4261,Produtos!$A$2:$A$71,0)),0)</f>
        <v/>
      </c>
      <c r="R4261" s="27">
        <f>D4261*Q4261</f>
        <v/>
      </c>
      <c r="S4261" s="27">
        <f>R4261*E4261</f>
        <v/>
      </c>
      <c r="T4261" s="27">
        <f>(R4261-S4261)*M4261</f>
        <v/>
      </c>
      <c r="U4261" s="27">
        <f>R4261-S4261-T4261</f>
        <v/>
      </c>
      <c r="V4261" s="27">
        <f>D4261*P4261</f>
        <v/>
      </c>
      <c r="W4261" s="27">
        <f>U4261-V4261</f>
        <v/>
      </c>
      <c r="X4261" s="28">
        <f>IFERROR(W4261/U4261,0)</f>
        <v/>
      </c>
    </row>
    <row r="4262">
      <c r="A4262" s="21">
        <f>ItensPedido!A4262</f>
        <v/>
      </c>
      <c r="B4262" s="21">
        <f>ItensPedido!B4262</f>
        <v/>
      </c>
      <c r="C4262" s="21">
        <f>ItensPedido!C4262</f>
        <v/>
      </c>
      <c r="D4262" s="21">
        <f>ItensPedido!D4262</f>
        <v/>
      </c>
      <c r="E4262" s="22">
        <f>ItensPedido!E4262</f>
        <v/>
      </c>
      <c r="F4262" s="21">
        <f>IFERROR(INDEX(Pedidos!$B$2:$B$1801,MATCH(B4262,Pedidos!$A$2:$A$1801,0)),0)</f>
        <v/>
      </c>
      <c r="G4262" s="21">
        <f>IF(F4262=0,"",YEAR(F4262))</f>
        <v/>
      </c>
      <c r="H4262" s="21">
        <f>IF(F4262=0,"",MONTH(F4262))</f>
        <v/>
      </c>
      <c r="I4262" s="21">
        <f>IFERROR(INDEX(Pedidos!$E$2:$E$1801,MATCH(B4262,Pedidos!$A$2:$A$1801,0)),"")</f>
        <v/>
      </c>
      <c r="J4262" s="21">
        <f>IFERROR(INDEX(Pedidos!$C$2:$C$1801,MATCH(B4262,Pedidos!$A$2:$A$1801,0)),"")</f>
        <v/>
      </c>
      <c r="K4262" s="21">
        <f>IFERROR(INDEX(Pedidos!$D$2:$D$1801,MATCH(B4262,Pedidos!$A$2:$A$1801,0)),"")</f>
        <v/>
      </c>
      <c r="L4262" s="21">
        <f>IFERROR(INDEX(Pedidos!$F$2:$F$1801,MATCH(B4262,Pedidos!$A$2:$A$1801,0)),"")</f>
        <v/>
      </c>
      <c r="M4262" s="22">
        <f>IFERROR(INDEX(Pedidos!$G$2:$G$1801,MATCH(B4262,Pedidos!$A$2:$A$1801,0)),0)</f>
        <v/>
      </c>
      <c r="N4262" s="21">
        <f>IFERROR(INDEX(Produtos!$B$2:$B$71,MATCH(C4262,Produtos!$A$2:$A$71,0)),"")</f>
        <v/>
      </c>
      <c r="O4262" s="21">
        <f>IFERROR(INDEX(Produtos!$C$2:$C$71,MATCH(C4262,Produtos!$A$2:$A$71,0)),"")</f>
        <v/>
      </c>
      <c r="P4262" s="21">
        <f>IFERROR(INDEX(Produtos!$D$2:$D$71,MATCH(C4262,Produtos!$A$2:$A$71,0)),0)</f>
        <v/>
      </c>
      <c r="Q4262" s="21">
        <f>IFERROR(INDEX(Produtos!$E$2:$E$71,MATCH(C4262,Produtos!$A$2:$A$71,0)),0)</f>
        <v/>
      </c>
      <c r="R4262" s="23">
        <f>D4262*Q4262</f>
        <v/>
      </c>
      <c r="S4262" s="23">
        <f>R4262*E4262</f>
        <v/>
      </c>
      <c r="T4262" s="23">
        <f>(R4262-S4262)*M4262</f>
        <v/>
      </c>
      <c r="U4262" s="23">
        <f>R4262-S4262-T4262</f>
        <v/>
      </c>
      <c r="V4262" s="23">
        <f>D4262*P4262</f>
        <v/>
      </c>
      <c r="W4262" s="23">
        <f>U4262-V4262</f>
        <v/>
      </c>
      <c r="X4262" s="24">
        <f>IFERROR(W4262/U4262,0)</f>
        <v/>
      </c>
    </row>
    <row r="4263">
      <c r="A4263" s="25">
        <f>ItensPedido!A4263</f>
        <v/>
      </c>
      <c r="B4263" s="25">
        <f>ItensPedido!B4263</f>
        <v/>
      </c>
      <c r="C4263" s="25">
        <f>ItensPedido!C4263</f>
        <v/>
      </c>
      <c r="D4263" s="25">
        <f>ItensPedido!D4263</f>
        <v/>
      </c>
      <c r="E4263" s="26">
        <f>ItensPedido!E4263</f>
        <v/>
      </c>
      <c r="F4263" s="25">
        <f>IFERROR(INDEX(Pedidos!$B$2:$B$1801,MATCH(B4263,Pedidos!$A$2:$A$1801,0)),0)</f>
        <v/>
      </c>
      <c r="G4263" s="25">
        <f>IF(F4263=0,"",YEAR(F4263))</f>
        <v/>
      </c>
      <c r="H4263" s="25">
        <f>IF(F4263=0,"",MONTH(F4263))</f>
        <v/>
      </c>
      <c r="I4263" s="25">
        <f>IFERROR(INDEX(Pedidos!$E$2:$E$1801,MATCH(B4263,Pedidos!$A$2:$A$1801,0)),"")</f>
        <v/>
      </c>
      <c r="J4263" s="25">
        <f>IFERROR(INDEX(Pedidos!$C$2:$C$1801,MATCH(B4263,Pedidos!$A$2:$A$1801,0)),"")</f>
        <v/>
      </c>
      <c r="K4263" s="25">
        <f>IFERROR(INDEX(Pedidos!$D$2:$D$1801,MATCH(B4263,Pedidos!$A$2:$A$1801,0)),"")</f>
        <v/>
      </c>
      <c r="L4263" s="25">
        <f>IFERROR(INDEX(Pedidos!$F$2:$F$1801,MATCH(B4263,Pedidos!$A$2:$A$1801,0)),"")</f>
        <v/>
      </c>
      <c r="M4263" s="26">
        <f>IFERROR(INDEX(Pedidos!$G$2:$G$1801,MATCH(B4263,Pedidos!$A$2:$A$1801,0)),0)</f>
        <v/>
      </c>
      <c r="N4263" s="25">
        <f>IFERROR(INDEX(Produtos!$B$2:$B$71,MATCH(C4263,Produtos!$A$2:$A$71,0)),"")</f>
        <v/>
      </c>
      <c r="O4263" s="25">
        <f>IFERROR(INDEX(Produtos!$C$2:$C$71,MATCH(C4263,Produtos!$A$2:$A$71,0)),"")</f>
        <v/>
      </c>
      <c r="P4263" s="25">
        <f>IFERROR(INDEX(Produtos!$D$2:$D$71,MATCH(C4263,Produtos!$A$2:$A$71,0)),0)</f>
        <v/>
      </c>
      <c r="Q4263" s="25">
        <f>IFERROR(INDEX(Produtos!$E$2:$E$71,MATCH(C4263,Produtos!$A$2:$A$71,0)),0)</f>
        <v/>
      </c>
      <c r="R4263" s="27">
        <f>D4263*Q4263</f>
        <v/>
      </c>
      <c r="S4263" s="27">
        <f>R4263*E4263</f>
        <v/>
      </c>
      <c r="T4263" s="27">
        <f>(R4263-S4263)*M4263</f>
        <v/>
      </c>
      <c r="U4263" s="27">
        <f>R4263-S4263-T4263</f>
        <v/>
      </c>
      <c r="V4263" s="27">
        <f>D4263*P4263</f>
        <v/>
      </c>
      <c r="W4263" s="27">
        <f>U4263-V4263</f>
        <v/>
      </c>
      <c r="X4263" s="28">
        <f>IFERROR(W4263/U4263,0)</f>
        <v/>
      </c>
    </row>
    <row r="4264">
      <c r="A4264" s="21">
        <f>ItensPedido!A4264</f>
        <v/>
      </c>
      <c r="B4264" s="21">
        <f>ItensPedido!B4264</f>
        <v/>
      </c>
      <c r="C4264" s="21">
        <f>ItensPedido!C4264</f>
        <v/>
      </c>
      <c r="D4264" s="21">
        <f>ItensPedido!D4264</f>
        <v/>
      </c>
      <c r="E4264" s="22">
        <f>ItensPedido!E4264</f>
        <v/>
      </c>
      <c r="F4264" s="21">
        <f>IFERROR(INDEX(Pedidos!$B$2:$B$1801,MATCH(B4264,Pedidos!$A$2:$A$1801,0)),0)</f>
        <v/>
      </c>
      <c r="G4264" s="21">
        <f>IF(F4264=0,"",YEAR(F4264))</f>
        <v/>
      </c>
      <c r="H4264" s="21">
        <f>IF(F4264=0,"",MONTH(F4264))</f>
        <v/>
      </c>
      <c r="I4264" s="21">
        <f>IFERROR(INDEX(Pedidos!$E$2:$E$1801,MATCH(B4264,Pedidos!$A$2:$A$1801,0)),"")</f>
        <v/>
      </c>
      <c r="J4264" s="21">
        <f>IFERROR(INDEX(Pedidos!$C$2:$C$1801,MATCH(B4264,Pedidos!$A$2:$A$1801,0)),"")</f>
        <v/>
      </c>
      <c r="K4264" s="21">
        <f>IFERROR(INDEX(Pedidos!$D$2:$D$1801,MATCH(B4264,Pedidos!$A$2:$A$1801,0)),"")</f>
        <v/>
      </c>
      <c r="L4264" s="21">
        <f>IFERROR(INDEX(Pedidos!$F$2:$F$1801,MATCH(B4264,Pedidos!$A$2:$A$1801,0)),"")</f>
        <v/>
      </c>
      <c r="M4264" s="22">
        <f>IFERROR(INDEX(Pedidos!$G$2:$G$1801,MATCH(B4264,Pedidos!$A$2:$A$1801,0)),0)</f>
        <v/>
      </c>
      <c r="N4264" s="21">
        <f>IFERROR(INDEX(Produtos!$B$2:$B$71,MATCH(C4264,Produtos!$A$2:$A$71,0)),"")</f>
        <v/>
      </c>
      <c r="O4264" s="21">
        <f>IFERROR(INDEX(Produtos!$C$2:$C$71,MATCH(C4264,Produtos!$A$2:$A$71,0)),"")</f>
        <v/>
      </c>
      <c r="P4264" s="21">
        <f>IFERROR(INDEX(Produtos!$D$2:$D$71,MATCH(C4264,Produtos!$A$2:$A$71,0)),0)</f>
        <v/>
      </c>
      <c r="Q4264" s="21">
        <f>IFERROR(INDEX(Produtos!$E$2:$E$71,MATCH(C4264,Produtos!$A$2:$A$71,0)),0)</f>
        <v/>
      </c>
      <c r="R4264" s="23">
        <f>D4264*Q4264</f>
        <v/>
      </c>
      <c r="S4264" s="23">
        <f>R4264*E4264</f>
        <v/>
      </c>
      <c r="T4264" s="23">
        <f>(R4264-S4264)*M4264</f>
        <v/>
      </c>
      <c r="U4264" s="23">
        <f>R4264-S4264-T4264</f>
        <v/>
      </c>
      <c r="V4264" s="23">
        <f>D4264*P4264</f>
        <v/>
      </c>
      <c r="W4264" s="23">
        <f>U4264-V4264</f>
        <v/>
      </c>
      <c r="X4264" s="24">
        <f>IFERROR(W4264/U4264,0)</f>
        <v/>
      </c>
    </row>
    <row r="4265">
      <c r="A4265" s="25">
        <f>ItensPedido!A4265</f>
        <v/>
      </c>
      <c r="B4265" s="25">
        <f>ItensPedido!B4265</f>
        <v/>
      </c>
      <c r="C4265" s="25">
        <f>ItensPedido!C4265</f>
        <v/>
      </c>
      <c r="D4265" s="25">
        <f>ItensPedido!D4265</f>
        <v/>
      </c>
      <c r="E4265" s="26">
        <f>ItensPedido!E4265</f>
        <v/>
      </c>
      <c r="F4265" s="25">
        <f>IFERROR(INDEX(Pedidos!$B$2:$B$1801,MATCH(B4265,Pedidos!$A$2:$A$1801,0)),0)</f>
        <v/>
      </c>
      <c r="G4265" s="25">
        <f>IF(F4265=0,"",YEAR(F4265))</f>
        <v/>
      </c>
      <c r="H4265" s="25">
        <f>IF(F4265=0,"",MONTH(F4265))</f>
        <v/>
      </c>
      <c r="I4265" s="25">
        <f>IFERROR(INDEX(Pedidos!$E$2:$E$1801,MATCH(B4265,Pedidos!$A$2:$A$1801,0)),"")</f>
        <v/>
      </c>
      <c r="J4265" s="25">
        <f>IFERROR(INDEX(Pedidos!$C$2:$C$1801,MATCH(B4265,Pedidos!$A$2:$A$1801,0)),"")</f>
        <v/>
      </c>
      <c r="K4265" s="25">
        <f>IFERROR(INDEX(Pedidos!$D$2:$D$1801,MATCH(B4265,Pedidos!$A$2:$A$1801,0)),"")</f>
        <v/>
      </c>
      <c r="L4265" s="25">
        <f>IFERROR(INDEX(Pedidos!$F$2:$F$1801,MATCH(B4265,Pedidos!$A$2:$A$1801,0)),"")</f>
        <v/>
      </c>
      <c r="M4265" s="26">
        <f>IFERROR(INDEX(Pedidos!$G$2:$G$1801,MATCH(B4265,Pedidos!$A$2:$A$1801,0)),0)</f>
        <v/>
      </c>
      <c r="N4265" s="25">
        <f>IFERROR(INDEX(Produtos!$B$2:$B$71,MATCH(C4265,Produtos!$A$2:$A$71,0)),"")</f>
        <v/>
      </c>
      <c r="O4265" s="25">
        <f>IFERROR(INDEX(Produtos!$C$2:$C$71,MATCH(C4265,Produtos!$A$2:$A$71,0)),"")</f>
        <v/>
      </c>
      <c r="P4265" s="25">
        <f>IFERROR(INDEX(Produtos!$D$2:$D$71,MATCH(C4265,Produtos!$A$2:$A$71,0)),0)</f>
        <v/>
      </c>
      <c r="Q4265" s="25">
        <f>IFERROR(INDEX(Produtos!$E$2:$E$71,MATCH(C4265,Produtos!$A$2:$A$71,0)),0)</f>
        <v/>
      </c>
      <c r="R4265" s="27">
        <f>D4265*Q4265</f>
        <v/>
      </c>
      <c r="S4265" s="27">
        <f>R4265*E4265</f>
        <v/>
      </c>
      <c r="T4265" s="27">
        <f>(R4265-S4265)*M4265</f>
        <v/>
      </c>
      <c r="U4265" s="27">
        <f>R4265-S4265-T4265</f>
        <v/>
      </c>
      <c r="V4265" s="27">
        <f>D4265*P4265</f>
        <v/>
      </c>
      <c r="W4265" s="27">
        <f>U4265-V4265</f>
        <v/>
      </c>
      <c r="X4265" s="28">
        <f>IFERROR(W4265/U4265,0)</f>
        <v/>
      </c>
    </row>
    <row r="4266">
      <c r="A4266" s="21">
        <f>ItensPedido!A4266</f>
        <v/>
      </c>
      <c r="B4266" s="21">
        <f>ItensPedido!B4266</f>
        <v/>
      </c>
      <c r="C4266" s="21">
        <f>ItensPedido!C4266</f>
        <v/>
      </c>
      <c r="D4266" s="21">
        <f>ItensPedido!D4266</f>
        <v/>
      </c>
      <c r="E4266" s="22">
        <f>ItensPedido!E4266</f>
        <v/>
      </c>
      <c r="F4266" s="21">
        <f>IFERROR(INDEX(Pedidos!$B$2:$B$1801,MATCH(B4266,Pedidos!$A$2:$A$1801,0)),0)</f>
        <v/>
      </c>
      <c r="G4266" s="21">
        <f>IF(F4266=0,"",YEAR(F4266))</f>
        <v/>
      </c>
      <c r="H4266" s="21">
        <f>IF(F4266=0,"",MONTH(F4266))</f>
        <v/>
      </c>
      <c r="I4266" s="21">
        <f>IFERROR(INDEX(Pedidos!$E$2:$E$1801,MATCH(B4266,Pedidos!$A$2:$A$1801,0)),"")</f>
        <v/>
      </c>
      <c r="J4266" s="21">
        <f>IFERROR(INDEX(Pedidos!$C$2:$C$1801,MATCH(B4266,Pedidos!$A$2:$A$1801,0)),"")</f>
        <v/>
      </c>
      <c r="K4266" s="21">
        <f>IFERROR(INDEX(Pedidos!$D$2:$D$1801,MATCH(B4266,Pedidos!$A$2:$A$1801,0)),"")</f>
        <v/>
      </c>
      <c r="L4266" s="21">
        <f>IFERROR(INDEX(Pedidos!$F$2:$F$1801,MATCH(B4266,Pedidos!$A$2:$A$1801,0)),"")</f>
        <v/>
      </c>
      <c r="M4266" s="22">
        <f>IFERROR(INDEX(Pedidos!$G$2:$G$1801,MATCH(B4266,Pedidos!$A$2:$A$1801,0)),0)</f>
        <v/>
      </c>
      <c r="N4266" s="21">
        <f>IFERROR(INDEX(Produtos!$B$2:$B$71,MATCH(C4266,Produtos!$A$2:$A$71,0)),"")</f>
        <v/>
      </c>
      <c r="O4266" s="21">
        <f>IFERROR(INDEX(Produtos!$C$2:$C$71,MATCH(C4266,Produtos!$A$2:$A$71,0)),"")</f>
        <v/>
      </c>
      <c r="P4266" s="21">
        <f>IFERROR(INDEX(Produtos!$D$2:$D$71,MATCH(C4266,Produtos!$A$2:$A$71,0)),0)</f>
        <v/>
      </c>
      <c r="Q4266" s="21">
        <f>IFERROR(INDEX(Produtos!$E$2:$E$71,MATCH(C4266,Produtos!$A$2:$A$71,0)),0)</f>
        <v/>
      </c>
      <c r="R4266" s="23">
        <f>D4266*Q4266</f>
        <v/>
      </c>
      <c r="S4266" s="23">
        <f>R4266*E4266</f>
        <v/>
      </c>
      <c r="T4266" s="23">
        <f>(R4266-S4266)*M4266</f>
        <v/>
      </c>
      <c r="U4266" s="23">
        <f>R4266-S4266-T4266</f>
        <v/>
      </c>
      <c r="V4266" s="23">
        <f>D4266*P4266</f>
        <v/>
      </c>
      <c r="W4266" s="23">
        <f>U4266-V4266</f>
        <v/>
      </c>
      <c r="X4266" s="24">
        <f>IFERROR(W4266/U4266,0)</f>
        <v/>
      </c>
    </row>
    <row r="4267">
      <c r="A4267" s="25">
        <f>ItensPedido!A4267</f>
        <v/>
      </c>
      <c r="B4267" s="25">
        <f>ItensPedido!B4267</f>
        <v/>
      </c>
      <c r="C4267" s="25">
        <f>ItensPedido!C4267</f>
        <v/>
      </c>
      <c r="D4267" s="25">
        <f>ItensPedido!D4267</f>
        <v/>
      </c>
      <c r="E4267" s="26">
        <f>ItensPedido!E4267</f>
        <v/>
      </c>
      <c r="F4267" s="25">
        <f>IFERROR(INDEX(Pedidos!$B$2:$B$1801,MATCH(B4267,Pedidos!$A$2:$A$1801,0)),0)</f>
        <v/>
      </c>
      <c r="G4267" s="25">
        <f>IF(F4267=0,"",YEAR(F4267))</f>
        <v/>
      </c>
      <c r="H4267" s="25">
        <f>IF(F4267=0,"",MONTH(F4267))</f>
        <v/>
      </c>
      <c r="I4267" s="25">
        <f>IFERROR(INDEX(Pedidos!$E$2:$E$1801,MATCH(B4267,Pedidos!$A$2:$A$1801,0)),"")</f>
        <v/>
      </c>
      <c r="J4267" s="25">
        <f>IFERROR(INDEX(Pedidos!$C$2:$C$1801,MATCH(B4267,Pedidos!$A$2:$A$1801,0)),"")</f>
        <v/>
      </c>
      <c r="K4267" s="25">
        <f>IFERROR(INDEX(Pedidos!$D$2:$D$1801,MATCH(B4267,Pedidos!$A$2:$A$1801,0)),"")</f>
        <v/>
      </c>
      <c r="L4267" s="25">
        <f>IFERROR(INDEX(Pedidos!$F$2:$F$1801,MATCH(B4267,Pedidos!$A$2:$A$1801,0)),"")</f>
        <v/>
      </c>
      <c r="M4267" s="26">
        <f>IFERROR(INDEX(Pedidos!$G$2:$G$1801,MATCH(B4267,Pedidos!$A$2:$A$1801,0)),0)</f>
        <v/>
      </c>
      <c r="N4267" s="25">
        <f>IFERROR(INDEX(Produtos!$B$2:$B$71,MATCH(C4267,Produtos!$A$2:$A$71,0)),"")</f>
        <v/>
      </c>
      <c r="O4267" s="25">
        <f>IFERROR(INDEX(Produtos!$C$2:$C$71,MATCH(C4267,Produtos!$A$2:$A$71,0)),"")</f>
        <v/>
      </c>
      <c r="P4267" s="25">
        <f>IFERROR(INDEX(Produtos!$D$2:$D$71,MATCH(C4267,Produtos!$A$2:$A$71,0)),0)</f>
        <v/>
      </c>
      <c r="Q4267" s="25">
        <f>IFERROR(INDEX(Produtos!$E$2:$E$71,MATCH(C4267,Produtos!$A$2:$A$71,0)),0)</f>
        <v/>
      </c>
      <c r="R4267" s="27">
        <f>D4267*Q4267</f>
        <v/>
      </c>
      <c r="S4267" s="27">
        <f>R4267*E4267</f>
        <v/>
      </c>
      <c r="T4267" s="27">
        <f>(R4267-S4267)*M4267</f>
        <v/>
      </c>
      <c r="U4267" s="27">
        <f>R4267-S4267-T4267</f>
        <v/>
      </c>
      <c r="V4267" s="27">
        <f>D4267*P4267</f>
        <v/>
      </c>
      <c r="W4267" s="27">
        <f>U4267-V4267</f>
        <v/>
      </c>
      <c r="X4267" s="28">
        <f>IFERROR(W4267/U4267,0)</f>
        <v/>
      </c>
    </row>
    <row r="4268">
      <c r="A4268" s="21">
        <f>ItensPedido!A4268</f>
        <v/>
      </c>
      <c r="B4268" s="21">
        <f>ItensPedido!B4268</f>
        <v/>
      </c>
      <c r="C4268" s="21">
        <f>ItensPedido!C4268</f>
        <v/>
      </c>
      <c r="D4268" s="21">
        <f>ItensPedido!D4268</f>
        <v/>
      </c>
      <c r="E4268" s="22">
        <f>ItensPedido!E4268</f>
        <v/>
      </c>
      <c r="F4268" s="21">
        <f>IFERROR(INDEX(Pedidos!$B$2:$B$1801,MATCH(B4268,Pedidos!$A$2:$A$1801,0)),0)</f>
        <v/>
      </c>
      <c r="G4268" s="21">
        <f>IF(F4268=0,"",YEAR(F4268))</f>
        <v/>
      </c>
      <c r="H4268" s="21">
        <f>IF(F4268=0,"",MONTH(F4268))</f>
        <v/>
      </c>
      <c r="I4268" s="21">
        <f>IFERROR(INDEX(Pedidos!$E$2:$E$1801,MATCH(B4268,Pedidos!$A$2:$A$1801,0)),"")</f>
        <v/>
      </c>
      <c r="J4268" s="21">
        <f>IFERROR(INDEX(Pedidos!$C$2:$C$1801,MATCH(B4268,Pedidos!$A$2:$A$1801,0)),"")</f>
        <v/>
      </c>
      <c r="K4268" s="21">
        <f>IFERROR(INDEX(Pedidos!$D$2:$D$1801,MATCH(B4268,Pedidos!$A$2:$A$1801,0)),"")</f>
        <v/>
      </c>
      <c r="L4268" s="21">
        <f>IFERROR(INDEX(Pedidos!$F$2:$F$1801,MATCH(B4268,Pedidos!$A$2:$A$1801,0)),"")</f>
        <v/>
      </c>
      <c r="M4268" s="22">
        <f>IFERROR(INDEX(Pedidos!$G$2:$G$1801,MATCH(B4268,Pedidos!$A$2:$A$1801,0)),0)</f>
        <v/>
      </c>
      <c r="N4268" s="21">
        <f>IFERROR(INDEX(Produtos!$B$2:$B$71,MATCH(C4268,Produtos!$A$2:$A$71,0)),"")</f>
        <v/>
      </c>
      <c r="O4268" s="21">
        <f>IFERROR(INDEX(Produtos!$C$2:$C$71,MATCH(C4268,Produtos!$A$2:$A$71,0)),"")</f>
        <v/>
      </c>
      <c r="P4268" s="21">
        <f>IFERROR(INDEX(Produtos!$D$2:$D$71,MATCH(C4268,Produtos!$A$2:$A$71,0)),0)</f>
        <v/>
      </c>
      <c r="Q4268" s="21">
        <f>IFERROR(INDEX(Produtos!$E$2:$E$71,MATCH(C4268,Produtos!$A$2:$A$71,0)),0)</f>
        <v/>
      </c>
      <c r="R4268" s="23">
        <f>D4268*Q4268</f>
        <v/>
      </c>
      <c r="S4268" s="23">
        <f>R4268*E4268</f>
        <v/>
      </c>
      <c r="T4268" s="23">
        <f>(R4268-S4268)*M4268</f>
        <v/>
      </c>
      <c r="U4268" s="23">
        <f>R4268-S4268-T4268</f>
        <v/>
      </c>
      <c r="V4268" s="23">
        <f>D4268*P4268</f>
        <v/>
      </c>
      <c r="W4268" s="23">
        <f>U4268-V4268</f>
        <v/>
      </c>
      <c r="X4268" s="24">
        <f>IFERROR(W4268/U4268,0)</f>
        <v/>
      </c>
    </row>
    <row r="4269">
      <c r="A4269" s="25">
        <f>ItensPedido!A4269</f>
        <v/>
      </c>
      <c r="B4269" s="25">
        <f>ItensPedido!B4269</f>
        <v/>
      </c>
      <c r="C4269" s="25">
        <f>ItensPedido!C4269</f>
        <v/>
      </c>
      <c r="D4269" s="25">
        <f>ItensPedido!D4269</f>
        <v/>
      </c>
      <c r="E4269" s="26">
        <f>ItensPedido!E4269</f>
        <v/>
      </c>
      <c r="F4269" s="25">
        <f>IFERROR(INDEX(Pedidos!$B$2:$B$1801,MATCH(B4269,Pedidos!$A$2:$A$1801,0)),0)</f>
        <v/>
      </c>
      <c r="G4269" s="25">
        <f>IF(F4269=0,"",YEAR(F4269))</f>
        <v/>
      </c>
      <c r="H4269" s="25">
        <f>IF(F4269=0,"",MONTH(F4269))</f>
        <v/>
      </c>
      <c r="I4269" s="25">
        <f>IFERROR(INDEX(Pedidos!$E$2:$E$1801,MATCH(B4269,Pedidos!$A$2:$A$1801,0)),"")</f>
        <v/>
      </c>
      <c r="J4269" s="25">
        <f>IFERROR(INDEX(Pedidos!$C$2:$C$1801,MATCH(B4269,Pedidos!$A$2:$A$1801,0)),"")</f>
        <v/>
      </c>
      <c r="K4269" s="25">
        <f>IFERROR(INDEX(Pedidos!$D$2:$D$1801,MATCH(B4269,Pedidos!$A$2:$A$1801,0)),"")</f>
        <v/>
      </c>
      <c r="L4269" s="25">
        <f>IFERROR(INDEX(Pedidos!$F$2:$F$1801,MATCH(B4269,Pedidos!$A$2:$A$1801,0)),"")</f>
        <v/>
      </c>
      <c r="M4269" s="26">
        <f>IFERROR(INDEX(Pedidos!$G$2:$G$1801,MATCH(B4269,Pedidos!$A$2:$A$1801,0)),0)</f>
        <v/>
      </c>
      <c r="N4269" s="25">
        <f>IFERROR(INDEX(Produtos!$B$2:$B$71,MATCH(C4269,Produtos!$A$2:$A$71,0)),"")</f>
        <v/>
      </c>
      <c r="O4269" s="25">
        <f>IFERROR(INDEX(Produtos!$C$2:$C$71,MATCH(C4269,Produtos!$A$2:$A$71,0)),"")</f>
        <v/>
      </c>
      <c r="P4269" s="25">
        <f>IFERROR(INDEX(Produtos!$D$2:$D$71,MATCH(C4269,Produtos!$A$2:$A$71,0)),0)</f>
        <v/>
      </c>
      <c r="Q4269" s="25">
        <f>IFERROR(INDEX(Produtos!$E$2:$E$71,MATCH(C4269,Produtos!$A$2:$A$71,0)),0)</f>
        <v/>
      </c>
      <c r="R4269" s="27">
        <f>D4269*Q4269</f>
        <v/>
      </c>
      <c r="S4269" s="27">
        <f>R4269*E4269</f>
        <v/>
      </c>
      <c r="T4269" s="27">
        <f>(R4269-S4269)*M4269</f>
        <v/>
      </c>
      <c r="U4269" s="27">
        <f>R4269-S4269-T4269</f>
        <v/>
      </c>
      <c r="V4269" s="27">
        <f>D4269*P4269</f>
        <v/>
      </c>
      <c r="W4269" s="27">
        <f>U4269-V4269</f>
        <v/>
      </c>
      <c r="X4269" s="28">
        <f>IFERROR(W4269/U4269,0)</f>
        <v/>
      </c>
    </row>
    <row r="4270">
      <c r="A4270" s="21">
        <f>ItensPedido!A4270</f>
        <v/>
      </c>
      <c r="B4270" s="21">
        <f>ItensPedido!B4270</f>
        <v/>
      </c>
      <c r="C4270" s="21">
        <f>ItensPedido!C4270</f>
        <v/>
      </c>
      <c r="D4270" s="21">
        <f>ItensPedido!D4270</f>
        <v/>
      </c>
      <c r="E4270" s="22">
        <f>ItensPedido!E4270</f>
        <v/>
      </c>
      <c r="F4270" s="21">
        <f>IFERROR(INDEX(Pedidos!$B$2:$B$1801,MATCH(B4270,Pedidos!$A$2:$A$1801,0)),0)</f>
        <v/>
      </c>
      <c r="G4270" s="21">
        <f>IF(F4270=0,"",YEAR(F4270))</f>
        <v/>
      </c>
      <c r="H4270" s="21">
        <f>IF(F4270=0,"",MONTH(F4270))</f>
        <v/>
      </c>
      <c r="I4270" s="21">
        <f>IFERROR(INDEX(Pedidos!$E$2:$E$1801,MATCH(B4270,Pedidos!$A$2:$A$1801,0)),"")</f>
        <v/>
      </c>
      <c r="J4270" s="21">
        <f>IFERROR(INDEX(Pedidos!$C$2:$C$1801,MATCH(B4270,Pedidos!$A$2:$A$1801,0)),"")</f>
        <v/>
      </c>
      <c r="K4270" s="21">
        <f>IFERROR(INDEX(Pedidos!$D$2:$D$1801,MATCH(B4270,Pedidos!$A$2:$A$1801,0)),"")</f>
        <v/>
      </c>
      <c r="L4270" s="21">
        <f>IFERROR(INDEX(Pedidos!$F$2:$F$1801,MATCH(B4270,Pedidos!$A$2:$A$1801,0)),"")</f>
        <v/>
      </c>
      <c r="M4270" s="22">
        <f>IFERROR(INDEX(Pedidos!$G$2:$G$1801,MATCH(B4270,Pedidos!$A$2:$A$1801,0)),0)</f>
        <v/>
      </c>
      <c r="N4270" s="21">
        <f>IFERROR(INDEX(Produtos!$B$2:$B$71,MATCH(C4270,Produtos!$A$2:$A$71,0)),"")</f>
        <v/>
      </c>
      <c r="O4270" s="21">
        <f>IFERROR(INDEX(Produtos!$C$2:$C$71,MATCH(C4270,Produtos!$A$2:$A$71,0)),"")</f>
        <v/>
      </c>
      <c r="P4270" s="21">
        <f>IFERROR(INDEX(Produtos!$D$2:$D$71,MATCH(C4270,Produtos!$A$2:$A$71,0)),0)</f>
        <v/>
      </c>
      <c r="Q4270" s="21">
        <f>IFERROR(INDEX(Produtos!$E$2:$E$71,MATCH(C4270,Produtos!$A$2:$A$71,0)),0)</f>
        <v/>
      </c>
      <c r="R4270" s="23">
        <f>D4270*Q4270</f>
        <v/>
      </c>
      <c r="S4270" s="23">
        <f>R4270*E4270</f>
        <v/>
      </c>
      <c r="T4270" s="23">
        <f>(R4270-S4270)*M4270</f>
        <v/>
      </c>
      <c r="U4270" s="23">
        <f>R4270-S4270-T4270</f>
        <v/>
      </c>
      <c r="V4270" s="23">
        <f>D4270*P4270</f>
        <v/>
      </c>
      <c r="W4270" s="23">
        <f>U4270-V4270</f>
        <v/>
      </c>
      <c r="X4270" s="24">
        <f>IFERROR(W4270/U4270,0)</f>
        <v/>
      </c>
    </row>
    <row r="4271">
      <c r="A4271" s="25">
        <f>ItensPedido!A4271</f>
        <v/>
      </c>
      <c r="B4271" s="25">
        <f>ItensPedido!B4271</f>
        <v/>
      </c>
      <c r="C4271" s="25">
        <f>ItensPedido!C4271</f>
        <v/>
      </c>
      <c r="D4271" s="25">
        <f>ItensPedido!D4271</f>
        <v/>
      </c>
      <c r="E4271" s="26">
        <f>ItensPedido!E4271</f>
        <v/>
      </c>
      <c r="F4271" s="25">
        <f>IFERROR(INDEX(Pedidos!$B$2:$B$1801,MATCH(B4271,Pedidos!$A$2:$A$1801,0)),0)</f>
        <v/>
      </c>
      <c r="G4271" s="25">
        <f>IF(F4271=0,"",YEAR(F4271))</f>
        <v/>
      </c>
      <c r="H4271" s="25">
        <f>IF(F4271=0,"",MONTH(F4271))</f>
        <v/>
      </c>
      <c r="I4271" s="25">
        <f>IFERROR(INDEX(Pedidos!$E$2:$E$1801,MATCH(B4271,Pedidos!$A$2:$A$1801,0)),"")</f>
        <v/>
      </c>
      <c r="J4271" s="25">
        <f>IFERROR(INDEX(Pedidos!$C$2:$C$1801,MATCH(B4271,Pedidos!$A$2:$A$1801,0)),"")</f>
        <v/>
      </c>
      <c r="K4271" s="25">
        <f>IFERROR(INDEX(Pedidos!$D$2:$D$1801,MATCH(B4271,Pedidos!$A$2:$A$1801,0)),"")</f>
        <v/>
      </c>
      <c r="L4271" s="25">
        <f>IFERROR(INDEX(Pedidos!$F$2:$F$1801,MATCH(B4271,Pedidos!$A$2:$A$1801,0)),"")</f>
        <v/>
      </c>
      <c r="M4271" s="26">
        <f>IFERROR(INDEX(Pedidos!$G$2:$G$1801,MATCH(B4271,Pedidos!$A$2:$A$1801,0)),0)</f>
        <v/>
      </c>
      <c r="N4271" s="25">
        <f>IFERROR(INDEX(Produtos!$B$2:$B$71,MATCH(C4271,Produtos!$A$2:$A$71,0)),"")</f>
        <v/>
      </c>
      <c r="O4271" s="25">
        <f>IFERROR(INDEX(Produtos!$C$2:$C$71,MATCH(C4271,Produtos!$A$2:$A$71,0)),"")</f>
        <v/>
      </c>
      <c r="P4271" s="25">
        <f>IFERROR(INDEX(Produtos!$D$2:$D$71,MATCH(C4271,Produtos!$A$2:$A$71,0)),0)</f>
        <v/>
      </c>
      <c r="Q4271" s="25">
        <f>IFERROR(INDEX(Produtos!$E$2:$E$71,MATCH(C4271,Produtos!$A$2:$A$71,0)),0)</f>
        <v/>
      </c>
      <c r="R4271" s="27">
        <f>D4271*Q4271</f>
        <v/>
      </c>
      <c r="S4271" s="27">
        <f>R4271*E4271</f>
        <v/>
      </c>
      <c r="T4271" s="27">
        <f>(R4271-S4271)*M4271</f>
        <v/>
      </c>
      <c r="U4271" s="27">
        <f>R4271-S4271-T4271</f>
        <v/>
      </c>
      <c r="V4271" s="27">
        <f>D4271*P4271</f>
        <v/>
      </c>
      <c r="W4271" s="27">
        <f>U4271-V4271</f>
        <v/>
      </c>
      <c r="X4271" s="28">
        <f>IFERROR(W4271/U4271,0)</f>
        <v/>
      </c>
    </row>
    <row r="4272">
      <c r="A4272" s="21">
        <f>ItensPedido!A4272</f>
        <v/>
      </c>
      <c r="B4272" s="21">
        <f>ItensPedido!B4272</f>
        <v/>
      </c>
      <c r="C4272" s="21">
        <f>ItensPedido!C4272</f>
        <v/>
      </c>
      <c r="D4272" s="21">
        <f>ItensPedido!D4272</f>
        <v/>
      </c>
      <c r="E4272" s="22">
        <f>ItensPedido!E4272</f>
        <v/>
      </c>
      <c r="F4272" s="21">
        <f>IFERROR(INDEX(Pedidos!$B$2:$B$1801,MATCH(B4272,Pedidos!$A$2:$A$1801,0)),0)</f>
        <v/>
      </c>
      <c r="G4272" s="21">
        <f>IF(F4272=0,"",YEAR(F4272))</f>
        <v/>
      </c>
      <c r="H4272" s="21">
        <f>IF(F4272=0,"",MONTH(F4272))</f>
        <v/>
      </c>
      <c r="I4272" s="21">
        <f>IFERROR(INDEX(Pedidos!$E$2:$E$1801,MATCH(B4272,Pedidos!$A$2:$A$1801,0)),"")</f>
        <v/>
      </c>
      <c r="J4272" s="21">
        <f>IFERROR(INDEX(Pedidos!$C$2:$C$1801,MATCH(B4272,Pedidos!$A$2:$A$1801,0)),"")</f>
        <v/>
      </c>
      <c r="K4272" s="21">
        <f>IFERROR(INDEX(Pedidos!$D$2:$D$1801,MATCH(B4272,Pedidos!$A$2:$A$1801,0)),"")</f>
        <v/>
      </c>
      <c r="L4272" s="21">
        <f>IFERROR(INDEX(Pedidos!$F$2:$F$1801,MATCH(B4272,Pedidos!$A$2:$A$1801,0)),"")</f>
        <v/>
      </c>
      <c r="M4272" s="22">
        <f>IFERROR(INDEX(Pedidos!$G$2:$G$1801,MATCH(B4272,Pedidos!$A$2:$A$1801,0)),0)</f>
        <v/>
      </c>
      <c r="N4272" s="21">
        <f>IFERROR(INDEX(Produtos!$B$2:$B$71,MATCH(C4272,Produtos!$A$2:$A$71,0)),"")</f>
        <v/>
      </c>
      <c r="O4272" s="21">
        <f>IFERROR(INDEX(Produtos!$C$2:$C$71,MATCH(C4272,Produtos!$A$2:$A$71,0)),"")</f>
        <v/>
      </c>
      <c r="P4272" s="21">
        <f>IFERROR(INDEX(Produtos!$D$2:$D$71,MATCH(C4272,Produtos!$A$2:$A$71,0)),0)</f>
        <v/>
      </c>
      <c r="Q4272" s="21">
        <f>IFERROR(INDEX(Produtos!$E$2:$E$71,MATCH(C4272,Produtos!$A$2:$A$71,0)),0)</f>
        <v/>
      </c>
      <c r="R4272" s="23">
        <f>D4272*Q4272</f>
        <v/>
      </c>
      <c r="S4272" s="23">
        <f>R4272*E4272</f>
        <v/>
      </c>
      <c r="T4272" s="23">
        <f>(R4272-S4272)*M4272</f>
        <v/>
      </c>
      <c r="U4272" s="23">
        <f>R4272-S4272-T4272</f>
        <v/>
      </c>
      <c r="V4272" s="23">
        <f>D4272*P4272</f>
        <v/>
      </c>
      <c r="W4272" s="23">
        <f>U4272-V4272</f>
        <v/>
      </c>
      <c r="X4272" s="24">
        <f>IFERROR(W4272/U4272,0)</f>
        <v/>
      </c>
    </row>
    <row r="4273">
      <c r="A4273" s="25">
        <f>ItensPedido!A4273</f>
        <v/>
      </c>
      <c r="B4273" s="25">
        <f>ItensPedido!B4273</f>
        <v/>
      </c>
      <c r="C4273" s="25">
        <f>ItensPedido!C4273</f>
        <v/>
      </c>
      <c r="D4273" s="25">
        <f>ItensPedido!D4273</f>
        <v/>
      </c>
      <c r="E4273" s="26">
        <f>ItensPedido!E4273</f>
        <v/>
      </c>
      <c r="F4273" s="25">
        <f>IFERROR(INDEX(Pedidos!$B$2:$B$1801,MATCH(B4273,Pedidos!$A$2:$A$1801,0)),0)</f>
        <v/>
      </c>
      <c r="G4273" s="25">
        <f>IF(F4273=0,"",YEAR(F4273))</f>
        <v/>
      </c>
      <c r="H4273" s="25">
        <f>IF(F4273=0,"",MONTH(F4273))</f>
        <v/>
      </c>
      <c r="I4273" s="25">
        <f>IFERROR(INDEX(Pedidos!$E$2:$E$1801,MATCH(B4273,Pedidos!$A$2:$A$1801,0)),"")</f>
        <v/>
      </c>
      <c r="J4273" s="25">
        <f>IFERROR(INDEX(Pedidos!$C$2:$C$1801,MATCH(B4273,Pedidos!$A$2:$A$1801,0)),"")</f>
        <v/>
      </c>
      <c r="K4273" s="25">
        <f>IFERROR(INDEX(Pedidos!$D$2:$D$1801,MATCH(B4273,Pedidos!$A$2:$A$1801,0)),"")</f>
        <v/>
      </c>
      <c r="L4273" s="25">
        <f>IFERROR(INDEX(Pedidos!$F$2:$F$1801,MATCH(B4273,Pedidos!$A$2:$A$1801,0)),"")</f>
        <v/>
      </c>
      <c r="M4273" s="26">
        <f>IFERROR(INDEX(Pedidos!$G$2:$G$1801,MATCH(B4273,Pedidos!$A$2:$A$1801,0)),0)</f>
        <v/>
      </c>
      <c r="N4273" s="25">
        <f>IFERROR(INDEX(Produtos!$B$2:$B$71,MATCH(C4273,Produtos!$A$2:$A$71,0)),"")</f>
        <v/>
      </c>
      <c r="O4273" s="25">
        <f>IFERROR(INDEX(Produtos!$C$2:$C$71,MATCH(C4273,Produtos!$A$2:$A$71,0)),"")</f>
        <v/>
      </c>
      <c r="P4273" s="25">
        <f>IFERROR(INDEX(Produtos!$D$2:$D$71,MATCH(C4273,Produtos!$A$2:$A$71,0)),0)</f>
        <v/>
      </c>
      <c r="Q4273" s="25">
        <f>IFERROR(INDEX(Produtos!$E$2:$E$71,MATCH(C4273,Produtos!$A$2:$A$71,0)),0)</f>
        <v/>
      </c>
      <c r="R4273" s="27">
        <f>D4273*Q4273</f>
        <v/>
      </c>
      <c r="S4273" s="27">
        <f>R4273*E4273</f>
        <v/>
      </c>
      <c r="T4273" s="27">
        <f>(R4273-S4273)*M4273</f>
        <v/>
      </c>
      <c r="U4273" s="27">
        <f>R4273-S4273-T4273</f>
        <v/>
      </c>
      <c r="V4273" s="27">
        <f>D4273*P4273</f>
        <v/>
      </c>
      <c r="W4273" s="27">
        <f>U4273-V4273</f>
        <v/>
      </c>
      <c r="X4273" s="28">
        <f>IFERROR(W4273/U4273,0)</f>
        <v/>
      </c>
    </row>
    <row r="4274">
      <c r="A4274" s="21">
        <f>ItensPedido!A4274</f>
        <v/>
      </c>
      <c r="B4274" s="21">
        <f>ItensPedido!B4274</f>
        <v/>
      </c>
      <c r="C4274" s="21">
        <f>ItensPedido!C4274</f>
        <v/>
      </c>
      <c r="D4274" s="21">
        <f>ItensPedido!D4274</f>
        <v/>
      </c>
      <c r="E4274" s="22">
        <f>ItensPedido!E4274</f>
        <v/>
      </c>
      <c r="F4274" s="21">
        <f>IFERROR(INDEX(Pedidos!$B$2:$B$1801,MATCH(B4274,Pedidos!$A$2:$A$1801,0)),0)</f>
        <v/>
      </c>
      <c r="G4274" s="21">
        <f>IF(F4274=0,"",YEAR(F4274))</f>
        <v/>
      </c>
      <c r="H4274" s="21">
        <f>IF(F4274=0,"",MONTH(F4274))</f>
        <v/>
      </c>
      <c r="I4274" s="21">
        <f>IFERROR(INDEX(Pedidos!$E$2:$E$1801,MATCH(B4274,Pedidos!$A$2:$A$1801,0)),"")</f>
        <v/>
      </c>
      <c r="J4274" s="21">
        <f>IFERROR(INDEX(Pedidos!$C$2:$C$1801,MATCH(B4274,Pedidos!$A$2:$A$1801,0)),"")</f>
        <v/>
      </c>
      <c r="K4274" s="21">
        <f>IFERROR(INDEX(Pedidos!$D$2:$D$1801,MATCH(B4274,Pedidos!$A$2:$A$1801,0)),"")</f>
        <v/>
      </c>
      <c r="L4274" s="21">
        <f>IFERROR(INDEX(Pedidos!$F$2:$F$1801,MATCH(B4274,Pedidos!$A$2:$A$1801,0)),"")</f>
        <v/>
      </c>
      <c r="M4274" s="22">
        <f>IFERROR(INDEX(Pedidos!$G$2:$G$1801,MATCH(B4274,Pedidos!$A$2:$A$1801,0)),0)</f>
        <v/>
      </c>
      <c r="N4274" s="21">
        <f>IFERROR(INDEX(Produtos!$B$2:$B$71,MATCH(C4274,Produtos!$A$2:$A$71,0)),"")</f>
        <v/>
      </c>
      <c r="O4274" s="21">
        <f>IFERROR(INDEX(Produtos!$C$2:$C$71,MATCH(C4274,Produtos!$A$2:$A$71,0)),"")</f>
        <v/>
      </c>
      <c r="P4274" s="21">
        <f>IFERROR(INDEX(Produtos!$D$2:$D$71,MATCH(C4274,Produtos!$A$2:$A$71,0)),0)</f>
        <v/>
      </c>
      <c r="Q4274" s="21">
        <f>IFERROR(INDEX(Produtos!$E$2:$E$71,MATCH(C4274,Produtos!$A$2:$A$71,0)),0)</f>
        <v/>
      </c>
      <c r="R4274" s="23">
        <f>D4274*Q4274</f>
        <v/>
      </c>
      <c r="S4274" s="23">
        <f>R4274*E4274</f>
        <v/>
      </c>
      <c r="T4274" s="23">
        <f>(R4274-S4274)*M4274</f>
        <v/>
      </c>
      <c r="U4274" s="23">
        <f>R4274-S4274-T4274</f>
        <v/>
      </c>
      <c r="V4274" s="23">
        <f>D4274*P4274</f>
        <v/>
      </c>
      <c r="W4274" s="23">
        <f>U4274-V4274</f>
        <v/>
      </c>
      <c r="X4274" s="24">
        <f>IFERROR(W4274/U4274,0)</f>
        <v/>
      </c>
    </row>
    <row r="4275">
      <c r="A4275" s="25">
        <f>ItensPedido!A4275</f>
        <v/>
      </c>
      <c r="B4275" s="25">
        <f>ItensPedido!B4275</f>
        <v/>
      </c>
      <c r="C4275" s="25">
        <f>ItensPedido!C4275</f>
        <v/>
      </c>
      <c r="D4275" s="25">
        <f>ItensPedido!D4275</f>
        <v/>
      </c>
      <c r="E4275" s="26">
        <f>ItensPedido!E4275</f>
        <v/>
      </c>
      <c r="F4275" s="25">
        <f>IFERROR(INDEX(Pedidos!$B$2:$B$1801,MATCH(B4275,Pedidos!$A$2:$A$1801,0)),0)</f>
        <v/>
      </c>
      <c r="G4275" s="25">
        <f>IF(F4275=0,"",YEAR(F4275))</f>
        <v/>
      </c>
      <c r="H4275" s="25">
        <f>IF(F4275=0,"",MONTH(F4275))</f>
        <v/>
      </c>
      <c r="I4275" s="25">
        <f>IFERROR(INDEX(Pedidos!$E$2:$E$1801,MATCH(B4275,Pedidos!$A$2:$A$1801,0)),"")</f>
        <v/>
      </c>
      <c r="J4275" s="25">
        <f>IFERROR(INDEX(Pedidos!$C$2:$C$1801,MATCH(B4275,Pedidos!$A$2:$A$1801,0)),"")</f>
        <v/>
      </c>
      <c r="K4275" s="25">
        <f>IFERROR(INDEX(Pedidos!$D$2:$D$1801,MATCH(B4275,Pedidos!$A$2:$A$1801,0)),"")</f>
        <v/>
      </c>
      <c r="L4275" s="25">
        <f>IFERROR(INDEX(Pedidos!$F$2:$F$1801,MATCH(B4275,Pedidos!$A$2:$A$1801,0)),"")</f>
        <v/>
      </c>
      <c r="M4275" s="26">
        <f>IFERROR(INDEX(Pedidos!$G$2:$G$1801,MATCH(B4275,Pedidos!$A$2:$A$1801,0)),0)</f>
        <v/>
      </c>
      <c r="N4275" s="25">
        <f>IFERROR(INDEX(Produtos!$B$2:$B$71,MATCH(C4275,Produtos!$A$2:$A$71,0)),"")</f>
        <v/>
      </c>
      <c r="O4275" s="25">
        <f>IFERROR(INDEX(Produtos!$C$2:$C$71,MATCH(C4275,Produtos!$A$2:$A$71,0)),"")</f>
        <v/>
      </c>
      <c r="P4275" s="25">
        <f>IFERROR(INDEX(Produtos!$D$2:$D$71,MATCH(C4275,Produtos!$A$2:$A$71,0)),0)</f>
        <v/>
      </c>
      <c r="Q4275" s="25">
        <f>IFERROR(INDEX(Produtos!$E$2:$E$71,MATCH(C4275,Produtos!$A$2:$A$71,0)),0)</f>
        <v/>
      </c>
      <c r="R4275" s="27">
        <f>D4275*Q4275</f>
        <v/>
      </c>
      <c r="S4275" s="27">
        <f>R4275*E4275</f>
        <v/>
      </c>
      <c r="T4275" s="27">
        <f>(R4275-S4275)*M4275</f>
        <v/>
      </c>
      <c r="U4275" s="27">
        <f>R4275-S4275-T4275</f>
        <v/>
      </c>
      <c r="V4275" s="27">
        <f>D4275*P4275</f>
        <v/>
      </c>
      <c r="W4275" s="27">
        <f>U4275-V4275</f>
        <v/>
      </c>
      <c r="X4275" s="28">
        <f>IFERROR(W4275/U4275,0)</f>
        <v/>
      </c>
    </row>
    <row r="4276">
      <c r="A4276" s="21">
        <f>ItensPedido!A4276</f>
        <v/>
      </c>
      <c r="B4276" s="21">
        <f>ItensPedido!B4276</f>
        <v/>
      </c>
      <c r="C4276" s="21">
        <f>ItensPedido!C4276</f>
        <v/>
      </c>
      <c r="D4276" s="21">
        <f>ItensPedido!D4276</f>
        <v/>
      </c>
      <c r="E4276" s="22">
        <f>ItensPedido!E4276</f>
        <v/>
      </c>
      <c r="F4276" s="21">
        <f>IFERROR(INDEX(Pedidos!$B$2:$B$1801,MATCH(B4276,Pedidos!$A$2:$A$1801,0)),0)</f>
        <v/>
      </c>
      <c r="G4276" s="21">
        <f>IF(F4276=0,"",YEAR(F4276))</f>
        <v/>
      </c>
      <c r="H4276" s="21">
        <f>IF(F4276=0,"",MONTH(F4276))</f>
        <v/>
      </c>
      <c r="I4276" s="21">
        <f>IFERROR(INDEX(Pedidos!$E$2:$E$1801,MATCH(B4276,Pedidos!$A$2:$A$1801,0)),"")</f>
        <v/>
      </c>
      <c r="J4276" s="21">
        <f>IFERROR(INDEX(Pedidos!$C$2:$C$1801,MATCH(B4276,Pedidos!$A$2:$A$1801,0)),"")</f>
        <v/>
      </c>
      <c r="K4276" s="21">
        <f>IFERROR(INDEX(Pedidos!$D$2:$D$1801,MATCH(B4276,Pedidos!$A$2:$A$1801,0)),"")</f>
        <v/>
      </c>
      <c r="L4276" s="21">
        <f>IFERROR(INDEX(Pedidos!$F$2:$F$1801,MATCH(B4276,Pedidos!$A$2:$A$1801,0)),"")</f>
        <v/>
      </c>
      <c r="M4276" s="22">
        <f>IFERROR(INDEX(Pedidos!$G$2:$G$1801,MATCH(B4276,Pedidos!$A$2:$A$1801,0)),0)</f>
        <v/>
      </c>
      <c r="N4276" s="21">
        <f>IFERROR(INDEX(Produtos!$B$2:$B$71,MATCH(C4276,Produtos!$A$2:$A$71,0)),"")</f>
        <v/>
      </c>
      <c r="O4276" s="21">
        <f>IFERROR(INDEX(Produtos!$C$2:$C$71,MATCH(C4276,Produtos!$A$2:$A$71,0)),"")</f>
        <v/>
      </c>
      <c r="P4276" s="21">
        <f>IFERROR(INDEX(Produtos!$D$2:$D$71,MATCH(C4276,Produtos!$A$2:$A$71,0)),0)</f>
        <v/>
      </c>
      <c r="Q4276" s="21">
        <f>IFERROR(INDEX(Produtos!$E$2:$E$71,MATCH(C4276,Produtos!$A$2:$A$71,0)),0)</f>
        <v/>
      </c>
      <c r="R4276" s="23">
        <f>D4276*Q4276</f>
        <v/>
      </c>
      <c r="S4276" s="23">
        <f>R4276*E4276</f>
        <v/>
      </c>
      <c r="T4276" s="23">
        <f>(R4276-S4276)*M4276</f>
        <v/>
      </c>
      <c r="U4276" s="23">
        <f>R4276-S4276-T4276</f>
        <v/>
      </c>
      <c r="V4276" s="23">
        <f>D4276*P4276</f>
        <v/>
      </c>
      <c r="W4276" s="23">
        <f>U4276-V4276</f>
        <v/>
      </c>
      <c r="X4276" s="24">
        <f>IFERROR(W4276/U4276,0)</f>
        <v/>
      </c>
    </row>
    <row r="4277">
      <c r="A4277" s="25">
        <f>ItensPedido!A4277</f>
        <v/>
      </c>
      <c r="B4277" s="25">
        <f>ItensPedido!B4277</f>
        <v/>
      </c>
      <c r="C4277" s="25">
        <f>ItensPedido!C4277</f>
        <v/>
      </c>
      <c r="D4277" s="25">
        <f>ItensPedido!D4277</f>
        <v/>
      </c>
      <c r="E4277" s="26">
        <f>ItensPedido!E4277</f>
        <v/>
      </c>
      <c r="F4277" s="25">
        <f>IFERROR(INDEX(Pedidos!$B$2:$B$1801,MATCH(B4277,Pedidos!$A$2:$A$1801,0)),0)</f>
        <v/>
      </c>
      <c r="G4277" s="25">
        <f>IF(F4277=0,"",YEAR(F4277))</f>
        <v/>
      </c>
      <c r="H4277" s="25">
        <f>IF(F4277=0,"",MONTH(F4277))</f>
        <v/>
      </c>
      <c r="I4277" s="25">
        <f>IFERROR(INDEX(Pedidos!$E$2:$E$1801,MATCH(B4277,Pedidos!$A$2:$A$1801,0)),"")</f>
        <v/>
      </c>
      <c r="J4277" s="25">
        <f>IFERROR(INDEX(Pedidos!$C$2:$C$1801,MATCH(B4277,Pedidos!$A$2:$A$1801,0)),"")</f>
        <v/>
      </c>
      <c r="K4277" s="25">
        <f>IFERROR(INDEX(Pedidos!$D$2:$D$1801,MATCH(B4277,Pedidos!$A$2:$A$1801,0)),"")</f>
        <v/>
      </c>
      <c r="L4277" s="25">
        <f>IFERROR(INDEX(Pedidos!$F$2:$F$1801,MATCH(B4277,Pedidos!$A$2:$A$1801,0)),"")</f>
        <v/>
      </c>
      <c r="M4277" s="26">
        <f>IFERROR(INDEX(Pedidos!$G$2:$G$1801,MATCH(B4277,Pedidos!$A$2:$A$1801,0)),0)</f>
        <v/>
      </c>
      <c r="N4277" s="25">
        <f>IFERROR(INDEX(Produtos!$B$2:$B$71,MATCH(C4277,Produtos!$A$2:$A$71,0)),"")</f>
        <v/>
      </c>
      <c r="O4277" s="25">
        <f>IFERROR(INDEX(Produtos!$C$2:$C$71,MATCH(C4277,Produtos!$A$2:$A$71,0)),"")</f>
        <v/>
      </c>
      <c r="P4277" s="25">
        <f>IFERROR(INDEX(Produtos!$D$2:$D$71,MATCH(C4277,Produtos!$A$2:$A$71,0)),0)</f>
        <v/>
      </c>
      <c r="Q4277" s="25">
        <f>IFERROR(INDEX(Produtos!$E$2:$E$71,MATCH(C4277,Produtos!$A$2:$A$71,0)),0)</f>
        <v/>
      </c>
      <c r="R4277" s="27">
        <f>D4277*Q4277</f>
        <v/>
      </c>
      <c r="S4277" s="27">
        <f>R4277*E4277</f>
        <v/>
      </c>
      <c r="T4277" s="27">
        <f>(R4277-S4277)*M4277</f>
        <v/>
      </c>
      <c r="U4277" s="27">
        <f>R4277-S4277-T4277</f>
        <v/>
      </c>
      <c r="V4277" s="27">
        <f>D4277*P4277</f>
        <v/>
      </c>
      <c r="W4277" s="27">
        <f>U4277-V4277</f>
        <v/>
      </c>
      <c r="X4277" s="28">
        <f>IFERROR(W4277/U4277,0)</f>
        <v/>
      </c>
    </row>
    <row r="4278">
      <c r="A4278" s="21">
        <f>ItensPedido!A4278</f>
        <v/>
      </c>
      <c r="B4278" s="21">
        <f>ItensPedido!B4278</f>
        <v/>
      </c>
      <c r="C4278" s="21">
        <f>ItensPedido!C4278</f>
        <v/>
      </c>
      <c r="D4278" s="21">
        <f>ItensPedido!D4278</f>
        <v/>
      </c>
      <c r="E4278" s="22">
        <f>ItensPedido!E4278</f>
        <v/>
      </c>
      <c r="F4278" s="21">
        <f>IFERROR(INDEX(Pedidos!$B$2:$B$1801,MATCH(B4278,Pedidos!$A$2:$A$1801,0)),0)</f>
        <v/>
      </c>
      <c r="G4278" s="21">
        <f>IF(F4278=0,"",YEAR(F4278))</f>
        <v/>
      </c>
      <c r="H4278" s="21">
        <f>IF(F4278=0,"",MONTH(F4278))</f>
        <v/>
      </c>
      <c r="I4278" s="21">
        <f>IFERROR(INDEX(Pedidos!$E$2:$E$1801,MATCH(B4278,Pedidos!$A$2:$A$1801,0)),"")</f>
        <v/>
      </c>
      <c r="J4278" s="21">
        <f>IFERROR(INDEX(Pedidos!$C$2:$C$1801,MATCH(B4278,Pedidos!$A$2:$A$1801,0)),"")</f>
        <v/>
      </c>
      <c r="K4278" s="21">
        <f>IFERROR(INDEX(Pedidos!$D$2:$D$1801,MATCH(B4278,Pedidos!$A$2:$A$1801,0)),"")</f>
        <v/>
      </c>
      <c r="L4278" s="21">
        <f>IFERROR(INDEX(Pedidos!$F$2:$F$1801,MATCH(B4278,Pedidos!$A$2:$A$1801,0)),"")</f>
        <v/>
      </c>
      <c r="M4278" s="22">
        <f>IFERROR(INDEX(Pedidos!$G$2:$G$1801,MATCH(B4278,Pedidos!$A$2:$A$1801,0)),0)</f>
        <v/>
      </c>
      <c r="N4278" s="21">
        <f>IFERROR(INDEX(Produtos!$B$2:$B$71,MATCH(C4278,Produtos!$A$2:$A$71,0)),"")</f>
        <v/>
      </c>
      <c r="O4278" s="21">
        <f>IFERROR(INDEX(Produtos!$C$2:$C$71,MATCH(C4278,Produtos!$A$2:$A$71,0)),"")</f>
        <v/>
      </c>
      <c r="P4278" s="21">
        <f>IFERROR(INDEX(Produtos!$D$2:$D$71,MATCH(C4278,Produtos!$A$2:$A$71,0)),0)</f>
        <v/>
      </c>
      <c r="Q4278" s="21">
        <f>IFERROR(INDEX(Produtos!$E$2:$E$71,MATCH(C4278,Produtos!$A$2:$A$71,0)),0)</f>
        <v/>
      </c>
      <c r="R4278" s="23">
        <f>D4278*Q4278</f>
        <v/>
      </c>
      <c r="S4278" s="23">
        <f>R4278*E4278</f>
        <v/>
      </c>
      <c r="T4278" s="23">
        <f>(R4278-S4278)*M4278</f>
        <v/>
      </c>
      <c r="U4278" s="23">
        <f>R4278-S4278-T4278</f>
        <v/>
      </c>
      <c r="V4278" s="23">
        <f>D4278*P4278</f>
        <v/>
      </c>
      <c r="W4278" s="23">
        <f>U4278-V4278</f>
        <v/>
      </c>
      <c r="X4278" s="24">
        <f>IFERROR(W4278/U4278,0)</f>
        <v/>
      </c>
    </row>
    <row r="4279">
      <c r="A4279" s="25">
        <f>ItensPedido!A4279</f>
        <v/>
      </c>
      <c r="B4279" s="25">
        <f>ItensPedido!B4279</f>
        <v/>
      </c>
      <c r="C4279" s="25">
        <f>ItensPedido!C4279</f>
        <v/>
      </c>
      <c r="D4279" s="25">
        <f>ItensPedido!D4279</f>
        <v/>
      </c>
      <c r="E4279" s="26">
        <f>ItensPedido!E4279</f>
        <v/>
      </c>
      <c r="F4279" s="25">
        <f>IFERROR(INDEX(Pedidos!$B$2:$B$1801,MATCH(B4279,Pedidos!$A$2:$A$1801,0)),0)</f>
        <v/>
      </c>
      <c r="G4279" s="25">
        <f>IF(F4279=0,"",YEAR(F4279))</f>
        <v/>
      </c>
      <c r="H4279" s="25">
        <f>IF(F4279=0,"",MONTH(F4279))</f>
        <v/>
      </c>
      <c r="I4279" s="25">
        <f>IFERROR(INDEX(Pedidos!$E$2:$E$1801,MATCH(B4279,Pedidos!$A$2:$A$1801,0)),"")</f>
        <v/>
      </c>
      <c r="J4279" s="25">
        <f>IFERROR(INDEX(Pedidos!$C$2:$C$1801,MATCH(B4279,Pedidos!$A$2:$A$1801,0)),"")</f>
        <v/>
      </c>
      <c r="K4279" s="25">
        <f>IFERROR(INDEX(Pedidos!$D$2:$D$1801,MATCH(B4279,Pedidos!$A$2:$A$1801,0)),"")</f>
        <v/>
      </c>
      <c r="L4279" s="25">
        <f>IFERROR(INDEX(Pedidos!$F$2:$F$1801,MATCH(B4279,Pedidos!$A$2:$A$1801,0)),"")</f>
        <v/>
      </c>
      <c r="M4279" s="26">
        <f>IFERROR(INDEX(Pedidos!$G$2:$G$1801,MATCH(B4279,Pedidos!$A$2:$A$1801,0)),0)</f>
        <v/>
      </c>
      <c r="N4279" s="25">
        <f>IFERROR(INDEX(Produtos!$B$2:$B$71,MATCH(C4279,Produtos!$A$2:$A$71,0)),"")</f>
        <v/>
      </c>
      <c r="O4279" s="25">
        <f>IFERROR(INDEX(Produtos!$C$2:$C$71,MATCH(C4279,Produtos!$A$2:$A$71,0)),"")</f>
        <v/>
      </c>
      <c r="P4279" s="25">
        <f>IFERROR(INDEX(Produtos!$D$2:$D$71,MATCH(C4279,Produtos!$A$2:$A$71,0)),0)</f>
        <v/>
      </c>
      <c r="Q4279" s="25">
        <f>IFERROR(INDEX(Produtos!$E$2:$E$71,MATCH(C4279,Produtos!$A$2:$A$71,0)),0)</f>
        <v/>
      </c>
      <c r="R4279" s="27">
        <f>D4279*Q4279</f>
        <v/>
      </c>
      <c r="S4279" s="27">
        <f>R4279*E4279</f>
        <v/>
      </c>
      <c r="T4279" s="27">
        <f>(R4279-S4279)*M4279</f>
        <v/>
      </c>
      <c r="U4279" s="27">
        <f>R4279-S4279-T4279</f>
        <v/>
      </c>
      <c r="V4279" s="27">
        <f>D4279*P4279</f>
        <v/>
      </c>
      <c r="W4279" s="27">
        <f>U4279-V4279</f>
        <v/>
      </c>
      <c r="X4279" s="28">
        <f>IFERROR(W4279/U4279,0)</f>
        <v/>
      </c>
    </row>
    <row r="4280">
      <c r="A4280" s="21">
        <f>ItensPedido!A4280</f>
        <v/>
      </c>
      <c r="B4280" s="21">
        <f>ItensPedido!B4280</f>
        <v/>
      </c>
      <c r="C4280" s="21">
        <f>ItensPedido!C4280</f>
        <v/>
      </c>
      <c r="D4280" s="21">
        <f>ItensPedido!D4280</f>
        <v/>
      </c>
      <c r="E4280" s="22">
        <f>ItensPedido!E4280</f>
        <v/>
      </c>
      <c r="F4280" s="21">
        <f>IFERROR(INDEX(Pedidos!$B$2:$B$1801,MATCH(B4280,Pedidos!$A$2:$A$1801,0)),0)</f>
        <v/>
      </c>
      <c r="G4280" s="21">
        <f>IF(F4280=0,"",YEAR(F4280))</f>
        <v/>
      </c>
      <c r="H4280" s="21">
        <f>IF(F4280=0,"",MONTH(F4280))</f>
        <v/>
      </c>
      <c r="I4280" s="21">
        <f>IFERROR(INDEX(Pedidos!$E$2:$E$1801,MATCH(B4280,Pedidos!$A$2:$A$1801,0)),"")</f>
        <v/>
      </c>
      <c r="J4280" s="21">
        <f>IFERROR(INDEX(Pedidos!$C$2:$C$1801,MATCH(B4280,Pedidos!$A$2:$A$1801,0)),"")</f>
        <v/>
      </c>
      <c r="K4280" s="21">
        <f>IFERROR(INDEX(Pedidos!$D$2:$D$1801,MATCH(B4280,Pedidos!$A$2:$A$1801,0)),"")</f>
        <v/>
      </c>
      <c r="L4280" s="21">
        <f>IFERROR(INDEX(Pedidos!$F$2:$F$1801,MATCH(B4280,Pedidos!$A$2:$A$1801,0)),"")</f>
        <v/>
      </c>
      <c r="M4280" s="22">
        <f>IFERROR(INDEX(Pedidos!$G$2:$G$1801,MATCH(B4280,Pedidos!$A$2:$A$1801,0)),0)</f>
        <v/>
      </c>
      <c r="N4280" s="21">
        <f>IFERROR(INDEX(Produtos!$B$2:$B$71,MATCH(C4280,Produtos!$A$2:$A$71,0)),"")</f>
        <v/>
      </c>
      <c r="O4280" s="21">
        <f>IFERROR(INDEX(Produtos!$C$2:$C$71,MATCH(C4280,Produtos!$A$2:$A$71,0)),"")</f>
        <v/>
      </c>
      <c r="P4280" s="21">
        <f>IFERROR(INDEX(Produtos!$D$2:$D$71,MATCH(C4280,Produtos!$A$2:$A$71,0)),0)</f>
        <v/>
      </c>
      <c r="Q4280" s="21">
        <f>IFERROR(INDEX(Produtos!$E$2:$E$71,MATCH(C4280,Produtos!$A$2:$A$71,0)),0)</f>
        <v/>
      </c>
      <c r="R4280" s="23">
        <f>D4280*Q4280</f>
        <v/>
      </c>
      <c r="S4280" s="23">
        <f>R4280*E4280</f>
        <v/>
      </c>
      <c r="T4280" s="23">
        <f>(R4280-S4280)*M4280</f>
        <v/>
      </c>
      <c r="U4280" s="23">
        <f>R4280-S4280-T4280</f>
        <v/>
      </c>
      <c r="V4280" s="23">
        <f>D4280*P4280</f>
        <v/>
      </c>
      <c r="W4280" s="23">
        <f>U4280-V4280</f>
        <v/>
      </c>
      <c r="X4280" s="24">
        <f>IFERROR(W4280/U4280,0)</f>
        <v/>
      </c>
    </row>
    <row r="4281">
      <c r="A4281" s="25">
        <f>ItensPedido!A4281</f>
        <v/>
      </c>
      <c r="B4281" s="25">
        <f>ItensPedido!B4281</f>
        <v/>
      </c>
      <c r="C4281" s="25">
        <f>ItensPedido!C4281</f>
        <v/>
      </c>
      <c r="D4281" s="25">
        <f>ItensPedido!D4281</f>
        <v/>
      </c>
      <c r="E4281" s="26">
        <f>ItensPedido!E4281</f>
        <v/>
      </c>
      <c r="F4281" s="25">
        <f>IFERROR(INDEX(Pedidos!$B$2:$B$1801,MATCH(B4281,Pedidos!$A$2:$A$1801,0)),0)</f>
        <v/>
      </c>
      <c r="G4281" s="25">
        <f>IF(F4281=0,"",YEAR(F4281))</f>
        <v/>
      </c>
      <c r="H4281" s="25">
        <f>IF(F4281=0,"",MONTH(F4281))</f>
        <v/>
      </c>
      <c r="I4281" s="25">
        <f>IFERROR(INDEX(Pedidos!$E$2:$E$1801,MATCH(B4281,Pedidos!$A$2:$A$1801,0)),"")</f>
        <v/>
      </c>
      <c r="J4281" s="25">
        <f>IFERROR(INDEX(Pedidos!$C$2:$C$1801,MATCH(B4281,Pedidos!$A$2:$A$1801,0)),"")</f>
        <v/>
      </c>
      <c r="K4281" s="25">
        <f>IFERROR(INDEX(Pedidos!$D$2:$D$1801,MATCH(B4281,Pedidos!$A$2:$A$1801,0)),"")</f>
        <v/>
      </c>
      <c r="L4281" s="25">
        <f>IFERROR(INDEX(Pedidos!$F$2:$F$1801,MATCH(B4281,Pedidos!$A$2:$A$1801,0)),"")</f>
        <v/>
      </c>
      <c r="M4281" s="26">
        <f>IFERROR(INDEX(Pedidos!$G$2:$G$1801,MATCH(B4281,Pedidos!$A$2:$A$1801,0)),0)</f>
        <v/>
      </c>
      <c r="N4281" s="25">
        <f>IFERROR(INDEX(Produtos!$B$2:$B$71,MATCH(C4281,Produtos!$A$2:$A$71,0)),"")</f>
        <v/>
      </c>
      <c r="O4281" s="25">
        <f>IFERROR(INDEX(Produtos!$C$2:$C$71,MATCH(C4281,Produtos!$A$2:$A$71,0)),"")</f>
        <v/>
      </c>
      <c r="P4281" s="25">
        <f>IFERROR(INDEX(Produtos!$D$2:$D$71,MATCH(C4281,Produtos!$A$2:$A$71,0)),0)</f>
        <v/>
      </c>
      <c r="Q4281" s="25">
        <f>IFERROR(INDEX(Produtos!$E$2:$E$71,MATCH(C4281,Produtos!$A$2:$A$71,0)),0)</f>
        <v/>
      </c>
      <c r="R4281" s="27">
        <f>D4281*Q4281</f>
        <v/>
      </c>
      <c r="S4281" s="27">
        <f>R4281*E4281</f>
        <v/>
      </c>
      <c r="T4281" s="27">
        <f>(R4281-S4281)*M4281</f>
        <v/>
      </c>
      <c r="U4281" s="27">
        <f>R4281-S4281-T4281</f>
        <v/>
      </c>
      <c r="V4281" s="27">
        <f>D4281*P4281</f>
        <v/>
      </c>
      <c r="W4281" s="27">
        <f>U4281-V4281</f>
        <v/>
      </c>
      <c r="X4281" s="28">
        <f>IFERROR(W4281/U4281,0)</f>
        <v/>
      </c>
    </row>
    <row r="4282">
      <c r="A4282" s="21">
        <f>ItensPedido!A4282</f>
        <v/>
      </c>
      <c r="B4282" s="21">
        <f>ItensPedido!B4282</f>
        <v/>
      </c>
      <c r="C4282" s="21">
        <f>ItensPedido!C4282</f>
        <v/>
      </c>
      <c r="D4282" s="21">
        <f>ItensPedido!D4282</f>
        <v/>
      </c>
      <c r="E4282" s="22">
        <f>ItensPedido!E4282</f>
        <v/>
      </c>
      <c r="F4282" s="21">
        <f>IFERROR(INDEX(Pedidos!$B$2:$B$1801,MATCH(B4282,Pedidos!$A$2:$A$1801,0)),0)</f>
        <v/>
      </c>
      <c r="G4282" s="21">
        <f>IF(F4282=0,"",YEAR(F4282))</f>
        <v/>
      </c>
      <c r="H4282" s="21">
        <f>IF(F4282=0,"",MONTH(F4282))</f>
        <v/>
      </c>
      <c r="I4282" s="21">
        <f>IFERROR(INDEX(Pedidos!$E$2:$E$1801,MATCH(B4282,Pedidos!$A$2:$A$1801,0)),"")</f>
        <v/>
      </c>
      <c r="J4282" s="21">
        <f>IFERROR(INDEX(Pedidos!$C$2:$C$1801,MATCH(B4282,Pedidos!$A$2:$A$1801,0)),"")</f>
        <v/>
      </c>
      <c r="K4282" s="21">
        <f>IFERROR(INDEX(Pedidos!$D$2:$D$1801,MATCH(B4282,Pedidos!$A$2:$A$1801,0)),"")</f>
        <v/>
      </c>
      <c r="L4282" s="21">
        <f>IFERROR(INDEX(Pedidos!$F$2:$F$1801,MATCH(B4282,Pedidos!$A$2:$A$1801,0)),"")</f>
        <v/>
      </c>
      <c r="M4282" s="22">
        <f>IFERROR(INDEX(Pedidos!$G$2:$G$1801,MATCH(B4282,Pedidos!$A$2:$A$1801,0)),0)</f>
        <v/>
      </c>
      <c r="N4282" s="21">
        <f>IFERROR(INDEX(Produtos!$B$2:$B$71,MATCH(C4282,Produtos!$A$2:$A$71,0)),"")</f>
        <v/>
      </c>
      <c r="O4282" s="21">
        <f>IFERROR(INDEX(Produtos!$C$2:$C$71,MATCH(C4282,Produtos!$A$2:$A$71,0)),"")</f>
        <v/>
      </c>
      <c r="P4282" s="21">
        <f>IFERROR(INDEX(Produtos!$D$2:$D$71,MATCH(C4282,Produtos!$A$2:$A$71,0)),0)</f>
        <v/>
      </c>
      <c r="Q4282" s="21">
        <f>IFERROR(INDEX(Produtos!$E$2:$E$71,MATCH(C4282,Produtos!$A$2:$A$71,0)),0)</f>
        <v/>
      </c>
      <c r="R4282" s="23">
        <f>D4282*Q4282</f>
        <v/>
      </c>
      <c r="S4282" s="23">
        <f>R4282*E4282</f>
        <v/>
      </c>
      <c r="T4282" s="23">
        <f>(R4282-S4282)*M4282</f>
        <v/>
      </c>
      <c r="U4282" s="23">
        <f>R4282-S4282-T4282</f>
        <v/>
      </c>
      <c r="V4282" s="23">
        <f>D4282*P4282</f>
        <v/>
      </c>
      <c r="W4282" s="23">
        <f>U4282-V4282</f>
        <v/>
      </c>
      <c r="X4282" s="24">
        <f>IFERROR(W4282/U4282,0)</f>
        <v/>
      </c>
    </row>
    <row r="4283">
      <c r="A4283" s="25">
        <f>ItensPedido!A4283</f>
        <v/>
      </c>
      <c r="B4283" s="25">
        <f>ItensPedido!B4283</f>
        <v/>
      </c>
      <c r="C4283" s="25">
        <f>ItensPedido!C4283</f>
        <v/>
      </c>
      <c r="D4283" s="25">
        <f>ItensPedido!D4283</f>
        <v/>
      </c>
      <c r="E4283" s="26">
        <f>ItensPedido!E4283</f>
        <v/>
      </c>
      <c r="F4283" s="25">
        <f>IFERROR(INDEX(Pedidos!$B$2:$B$1801,MATCH(B4283,Pedidos!$A$2:$A$1801,0)),0)</f>
        <v/>
      </c>
      <c r="G4283" s="25">
        <f>IF(F4283=0,"",YEAR(F4283))</f>
        <v/>
      </c>
      <c r="H4283" s="25">
        <f>IF(F4283=0,"",MONTH(F4283))</f>
        <v/>
      </c>
      <c r="I4283" s="25">
        <f>IFERROR(INDEX(Pedidos!$E$2:$E$1801,MATCH(B4283,Pedidos!$A$2:$A$1801,0)),"")</f>
        <v/>
      </c>
      <c r="J4283" s="25">
        <f>IFERROR(INDEX(Pedidos!$C$2:$C$1801,MATCH(B4283,Pedidos!$A$2:$A$1801,0)),"")</f>
        <v/>
      </c>
      <c r="K4283" s="25">
        <f>IFERROR(INDEX(Pedidos!$D$2:$D$1801,MATCH(B4283,Pedidos!$A$2:$A$1801,0)),"")</f>
        <v/>
      </c>
      <c r="L4283" s="25">
        <f>IFERROR(INDEX(Pedidos!$F$2:$F$1801,MATCH(B4283,Pedidos!$A$2:$A$1801,0)),"")</f>
        <v/>
      </c>
      <c r="M4283" s="26">
        <f>IFERROR(INDEX(Pedidos!$G$2:$G$1801,MATCH(B4283,Pedidos!$A$2:$A$1801,0)),0)</f>
        <v/>
      </c>
      <c r="N4283" s="25">
        <f>IFERROR(INDEX(Produtos!$B$2:$B$71,MATCH(C4283,Produtos!$A$2:$A$71,0)),"")</f>
        <v/>
      </c>
      <c r="O4283" s="25">
        <f>IFERROR(INDEX(Produtos!$C$2:$C$71,MATCH(C4283,Produtos!$A$2:$A$71,0)),"")</f>
        <v/>
      </c>
      <c r="P4283" s="25">
        <f>IFERROR(INDEX(Produtos!$D$2:$D$71,MATCH(C4283,Produtos!$A$2:$A$71,0)),0)</f>
        <v/>
      </c>
      <c r="Q4283" s="25">
        <f>IFERROR(INDEX(Produtos!$E$2:$E$71,MATCH(C4283,Produtos!$A$2:$A$71,0)),0)</f>
        <v/>
      </c>
      <c r="R4283" s="27">
        <f>D4283*Q4283</f>
        <v/>
      </c>
      <c r="S4283" s="27">
        <f>R4283*E4283</f>
        <v/>
      </c>
      <c r="T4283" s="27">
        <f>(R4283-S4283)*M4283</f>
        <v/>
      </c>
      <c r="U4283" s="27">
        <f>R4283-S4283-T4283</f>
        <v/>
      </c>
      <c r="V4283" s="27">
        <f>D4283*P4283</f>
        <v/>
      </c>
      <c r="W4283" s="27">
        <f>U4283-V4283</f>
        <v/>
      </c>
      <c r="X4283" s="28">
        <f>IFERROR(W4283/U4283,0)</f>
        <v/>
      </c>
    </row>
    <row r="4284">
      <c r="A4284" s="21">
        <f>ItensPedido!A4284</f>
        <v/>
      </c>
      <c r="B4284" s="21">
        <f>ItensPedido!B4284</f>
        <v/>
      </c>
      <c r="C4284" s="21">
        <f>ItensPedido!C4284</f>
        <v/>
      </c>
      <c r="D4284" s="21">
        <f>ItensPedido!D4284</f>
        <v/>
      </c>
      <c r="E4284" s="22">
        <f>ItensPedido!E4284</f>
        <v/>
      </c>
      <c r="F4284" s="21">
        <f>IFERROR(INDEX(Pedidos!$B$2:$B$1801,MATCH(B4284,Pedidos!$A$2:$A$1801,0)),0)</f>
        <v/>
      </c>
      <c r="G4284" s="21">
        <f>IF(F4284=0,"",YEAR(F4284))</f>
        <v/>
      </c>
      <c r="H4284" s="21">
        <f>IF(F4284=0,"",MONTH(F4284))</f>
        <v/>
      </c>
      <c r="I4284" s="21">
        <f>IFERROR(INDEX(Pedidos!$E$2:$E$1801,MATCH(B4284,Pedidos!$A$2:$A$1801,0)),"")</f>
        <v/>
      </c>
      <c r="J4284" s="21">
        <f>IFERROR(INDEX(Pedidos!$C$2:$C$1801,MATCH(B4284,Pedidos!$A$2:$A$1801,0)),"")</f>
        <v/>
      </c>
      <c r="K4284" s="21">
        <f>IFERROR(INDEX(Pedidos!$D$2:$D$1801,MATCH(B4284,Pedidos!$A$2:$A$1801,0)),"")</f>
        <v/>
      </c>
      <c r="L4284" s="21">
        <f>IFERROR(INDEX(Pedidos!$F$2:$F$1801,MATCH(B4284,Pedidos!$A$2:$A$1801,0)),"")</f>
        <v/>
      </c>
      <c r="M4284" s="22">
        <f>IFERROR(INDEX(Pedidos!$G$2:$G$1801,MATCH(B4284,Pedidos!$A$2:$A$1801,0)),0)</f>
        <v/>
      </c>
      <c r="N4284" s="21">
        <f>IFERROR(INDEX(Produtos!$B$2:$B$71,MATCH(C4284,Produtos!$A$2:$A$71,0)),"")</f>
        <v/>
      </c>
      <c r="O4284" s="21">
        <f>IFERROR(INDEX(Produtos!$C$2:$C$71,MATCH(C4284,Produtos!$A$2:$A$71,0)),"")</f>
        <v/>
      </c>
      <c r="P4284" s="21">
        <f>IFERROR(INDEX(Produtos!$D$2:$D$71,MATCH(C4284,Produtos!$A$2:$A$71,0)),0)</f>
        <v/>
      </c>
      <c r="Q4284" s="21">
        <f>IFERROR(INDEX(Produtos!$E$2:$E$71,MATCH(C4284,Produtos!$A$2:$A$71,0)),0)</f>
        <v/>
      </c>
      <c r="R4284" s="23">
        <f>D4284*Q4284</f>
        <v/>
      </c>
      <c r="S4284" s="23">
        <f>R4284*E4284</f>
        <v/>
      </c>
      <c r="T4284" s="23">
        <f>(R4284-S4284)*M4284</f>
        <v/>
      </c>
      <c r="U4284" s="23">
        <f>R4284-S4284-T4284</f>
        <v/>
      </c>
      <c r="V4284" s="23">
        <f>D4284*P4284</f>
        <v/>
      </c>
      <c r="W4284" s="23">
        <f>U4284-V4284</f>
        <v/>
      </c>
      <c r="X4284" s="24">
        <f>IFERROR(W4284/U4284,0)</f>
        <v/>
      </c>
    </row>
    <row r="4285">
      <c r="A4285" s="25">
        <f>ItensPedido!A4285</f>
        <v/>
      </c>
      <c r="B4285" s="25">
        <f>ItensPedido!B4285</f>
        <v/>
      </c>
      <c r="C4285" s="25">
        <f>ItensPedido!C4285</f>
        <v/>
      </c>
      <c r="D4285" s="25">
        <f>ItensPedido!D4285</f>
        <v/>
      </c>
      <c r="E4285" s="26">
        <f>ItensPedido!E4285</f>
        <v/>
      </c>
      <c r="F4285" s="25">
        <f>IFERROR(INDEX(Pedidos!$B$2:$B$1801,MATCH(B4285,Pedidos!$A$2:$A$1801,0)),0)</f>
        <v/>
      </c>
      <c r="G4285" s="25">
        <f>IF(F4285=0,"",YEAR(F4285))</f>
        <v/>
      </c>
      <c r="H4285" s="25">
        <f>IF(F4285=0,"",MONTH(F4285))</f>
        <v/>
      </c>
      <c r="I4285" s="25">
        <f>IFERROR(INDEX(Pedidos!$E$2:$E$1801,MATCH(B4285,Pedidos!$A$2:$A$1801,0)),"")</f>
        <v/>
      </c>
      <c r="J4285" s="25">
        <f>IFERROR(INDEX(Pedidos!$C$2:$C$1801,MATCH(B4285,Pedidos!$A$2:$A$1801,0)),"")</f>
        <v/>
      </c>
      <c r="K4285" s="25">
        <f>IFERROR(INDEX(Pedidos!$D$2:$D$1801,MATCH(B4285,Pedidos!$A$2:$A$1801,0)),"")</f>
        <v/>
      </c>
      <c r="L4285" s="25">
        <f>IFERROR(INDEX(Pedidos!$F$2:$F$1801,MATCH(B4285,Pedidos!$A$2:$A$1801,0)),"")</f>
        <v/>
      </c>
      <c r="M4285" s="26">
        <f>IFERROR(INDEX(Pedidos!$G$2:$G$1801,MATCH(B4285,Pedidos!$A$2:$A$1801,0)),0)</f>
        <v/>
      </c>
      <c r="N4285" s="25">
        <f>IFERROR(INDEX(Produtos!$B$2:$B$71,MATCH(C4285,Produtos!$A$2:$A$71,0)),"")</f>
        <v/>
      </c>
      <c r="O4285" s="25">
        <f>IFERROR(INDEX(Produtos!$C$2:$C$71,MATCH(C4285,Produtos!$A$2:$A$71,0)),"")</f>
        <v/>
      </c>
      <c r="P4285" s="25">
        <f>IFERROR(INDEX(Produtos!$D$2:$D$71,MATCH(C4285,Produtos!$A$2:$A$71,0)),0)</f>
        <v/>
      </c>
      <c r="Q4285" s="25">
        <f>IFERROR(INDEX(Produtos!$E$2:$E$71,MATCH(C4285,Produtos!$A$2:$A$71,0)),0)</f>
        <v/>
      </c>
      <c r="R4285" s="27">
        <f>D4285*Q4285</f>
        <v/>
      </c>
      <c r="S4285" s="27">
        <f>R4285*E4285</f>
        <v/>
      </c>
      <c r="T4285" s="27">
        <f>(R4285-S4285)*M4285</f>
        <v/>
      </c>
      <c r="U4285" s="27">
        <f>R4285-S4285-T4285</f>
        <v/>
      </c>
      <c r="V4285" s="27">
        <f>D4285*P4285</f>
        <v/>
      </c>
      <c r="W4285" s="27">
        <f>U4285-V4285</f>
        <v/>
      </c>
      <c r="X4285" s="28">
        <f>IFERROR(W4285/U4285,0)</f>
        <v/>
      </c>
    </row>
    <row r="4286">
      <c r="A4286" s="21">
        <f>ItensPedido!A4286</f>
        <v/>
      </c>
      <c r="B4286" s="21">
        <f>ItensPedido!B4286</f>
        <v/>
      </c>
      <c r="C4286" s="21">
        <f>ItensPedido!C4286</f>
        <v/>
      </c>
      <c r="D4286" s="21">
        <f>ItensPedido!D4286</f>
        <v/>
      </c>
      <c r="E4286" s="22">
        <f>ItensPedido!E4286</f>
        <v/>
      </c>
      <c r="F4286" s="21">
        <f>IFERROR(INDEX(Pedidos!$B$2:$B$1801,MATCH(B4286,Pedidos!$A$2:$A$1801,0)),0)</f>
        <v/>
      </c>
      <c r="G4286" s="21">
        <f>IF(F4286=0,"",YEAR(F4286))</f>
        <v/>
      </c>
      <c r="H4286" s="21">
        <f>IF(F4286=0,"",MONTH(F4286))</f>
        <v/>
      </c>
      <c r="I4286" s="21">
        <f>IFERROR(INDEX(Pedidos!$E$2:$E$1801,MATCH(B4286,Pedidos!$A$2:$A$1801,0)),"")</f>
        <v/>
      </c>
      <c r="J4286" s="21">
        <f>IFERROR(INDEX(Pedidos!$C$2:$C$1801,MATCH(B4286,Pedidos!$A$2:$A$1801,0)),"")</f>
        <v/>
      </c>
      <c r="K4286" s="21">
        <f>IFERROR(INDEX(Pedidos!$D$2:$D$1801,MATCH(B4286,Pedidos!$A$2:$A$1801,0)),"")</f>
        <v/>
      </c>
      <c r="L4286" s="21">
        <f>IFERROR(INDEX(Pedidos!$F$2:$F$1801,MATCH(B4286,Pedidos!$A$2:$A$1801,0)),"")</f>
        <v/>
      </c>
      <c r="M4286" s="22">
        <f>IFERROR(INDEX(Pedidos!$G$2:$G$1801,MATCH(B4286,Pedidos!$A$2:$A$1801,0)),0)</f>
        <v/>
      </c>
      <c r="N4286" s="21">
        <f>IFERROR(INDEX(Produtos!$B$2:$B$71,MATCH(C4286,Produtos!$A$2:$A$71,0)),"")</f>
        <v/>
      </c>
      <c r="O4286" s="21">
        <f>IFERROR(INDEX(Produtos!$C$2:$C$71,MATCH(C4286,Produtos!$A$2:$A$71,0)),"")</f>
        <v/>
      </c>
      <c r="P4286" s="21">
        <f>IFERROR(INDEX(Produtos!$D$2:$D$71,MATCH(C4286,Produtos!$A$2:$A$71,0)),0)</f>
        <v/>
      </c>
      <c r="Q4286" s="21">
        <f>IFERROR(INDEX(Produtos!$E$2:$E$71,MATCH(C4286,Produtos!$A$2:$A$71,0)),0)</f>
        <v/>
      </c>
      <c r="R4286" s="23">
        <f>D4286*Q4286</f>
        <v/>
      </c>
      <c r="S4286" s="23">
        <f>R4286*E4286</f>
        <v/>
      </c>
      <c r="T4286" s="23">
        <f>(R4286-S4286)*M4286</f>
        <v/>
      </c>
      <c r="U4286" s="23">
        <f>R4286-S4286-T4286</f>
        <v/>
      </c>
      <c r="V4286" s="23">
        <f>D4286*P4286</f>
        <v/>
      </c>
      <c r="W4286" s="23">
        <f>U4286-V4286</f>
        <v/>
      </c>
      <c r="X4286" s="24">
        <f>IFERROR(W4286/U4286,0)</f>
        <v/>
      </c>
    </row>
    <row r="4287">
      <c r="A4287" s="25">
        <f>ItensPedido!A4287</f>
        <v/>
      </c>
      <c r="B4287" s="25">
        <f>ItensPedido!B4287</f>
        <v/>
      </c>
      <c r="C4287" s="25">
        <f>ItensPedido!C4287</f>
        <v/>
      </c>
      <c r="D4287" s="25">
        <f>ItensPedido!D4287</f>
        <v/>
      </c>
      <c r="E4287" s="26">
        <f>ItensPedido!E4287</f>
        <v/>
      </c>
      <c r="F4287" s="25">
        <f>IFERROR(INDEX(Pedidos!$B$2:$B$1801,MATCH(B4287,Pedidos!$A$2:$A$1801,0)),0)</f>
        <v/>
      </c>
      <c r="G4287" s="25">
        <f>IF(F4287=0,"",YEAR(F4287))</f>
        <v/>
      </c>
      <c r="H4287" s="25">
        <f>IF(F4287=0,"",MONTH(F4287))</f>
        <v/>
      </c>
      <c r="I4287" s="25">
        <f>IFERROR(INDEX(Pedidos!$E$2:$E$1801,MATCH(B4287,Pedidos!$A$2:$A$1801,0)),"")</f>
        <v/>
      </c>
      <c r="J4287" s="25">
        <f>IFERROR(INDEX(Pedidos!$C$2:$C$1801,MATCH(B4287,Pedidos!$A$2:$A$1801,0)),"")</f>
        <v/>
      </c>
      <c r="K4287" s="25">
        <f>IFERROR(INDEX(Pedidos!$D$2:$D$1801,MATCH(B4287,Pedidos!$A$2:$A$1801,0)),"")</f>
        <v/>
      </c>
      <c r="L4287" s="25">
        <f>IFERROR(INDEX(Pedidos!$F$2:$F$1801,MATCH(B4287,Pedidos!$A$2:$A$1801,0)),"")</f>
        <v/>
      </c>
      <c r="M4287" s="26">
        <f>IFERROR(INDEX(Pedidos!$G$2:$G$1801,MATCH(B4287,Pedidos!$A$2:$A$1801,0)),0)</f>
        <v/>
      </c>
      <c r="N4287" s="25">
        <f>IFERROR(INDEX(Produtos!$B$2:$B$71,MATCH(C4287,Produtos!$A$2:$A$71,0)),"")</f>
        <v/>
      </c>
      <c r="O4287" s="25">
        <f>IFERROR(INDEX(Produtos!$C$2:$C$71,MATCH(C4287,Produtos!$A$2:$A$71,0)),"")</f>
        <v/>
      </c>
      <c r="P4287" s="25">
        <f>IFERROR(INDEX(Produtos!$D$2:$D$71,MATCH(C4287,Produtos!$A$2:$A$71,0)),0)</f>
        <v/>
      </c>
      <c r="Q4287" s="25">
        <f>IFERROR(INDEX(Produtos!$E$2:$E$71,MATCH(C4287,Produtos!$A$2:$A$71,0)),0)</f>
        <v/>
      </c>
      <c r="R4287" s="27">
        <f>D4287*Q4287</f>
        <v/>
      </c>
      <c r="S4287" s="27">
        <f>R4287*E4287</f>
        <v/>
      </c>
      <c r="T4287" s="27">
        <f>(R4287-S4287)*M4287</f>
        <v/>
      </c>
      <c r="U4287" s="27">
        <f>R4287-S4287-T4287</f>
        <v/>
      </c>
      <c r="V4287" s="27">
        <f>D4287*P4287</f>
        <v/>
      </c>
      <c r="W4287" s="27">
        <f>U4287-V4287</f>
        <v/>
      </c>
      <c r="X4287" s="28">
        <f>IFERROR(W4287/U4287,0)</f>
        <v/>
      </c>
    </row>
    <row r="4288">
      <c r="A4288" s="21">
        <f>ItensPedido!A4288</f>
        <v/>
      </c>
      <c r="B4288" s="21">
        <f>ItensPedido!B4288</f>
        <v/>
      </c>
      <c r="C4288" s="21">
        <f>ItensPedido!C4288</f>
        <v/>
      </c>
      <c r="D4288" s="21">
        <f>ItensPedido!D4288</f>
        <v/>
      </c>
      <c r="E4288" s="22">
        <f>ItensPedido!E4288</f>
        <v/>
      </c>
      <c r="F4288" s="21">
        <f>IFERROR(INDEX(Pedidos!$B$2:$B$1801,MATCH(B4288,Pedidos!$A$2:$A$1801,0)),0)</f>
        <v/>
      </c>
      <c r="G4288" s="21">
        <f>IF(F4288=0,"",YEAR(F4288))</f>
        <v/>
      </c>
      <c r="H4288" s="21">
        <f>IF(F4288=0,"",MONTH(F4288))</f>
        <v/>
      </c>
      <c r="I4288" s="21">
        <f>IFERROR(INDEX(Pedidos!$E$2:$E$1801,MATCH(B4288,Pedidos!$A$2:$A$1801,0)),"")</f>
        <v/>
      </c>
      <c r="J4288" s="21">
        <f>IFERROR(INDEX(Pedidos!$C$2:$C$1801,MATCH(B4288,Pedidos!$A$2:$A$1801,0)),"")</f>
        <v/>
      </c>
      <c r="K4288" s="21">
        <f>IFERROR(INDEX(Pedidos!$D$2:$D$1801,MATCH(B4288,Pedidos!$A$2:$A$1801,0)),"")</f>
        <v/>
      </c>
      <c r="L4288" s="21">
        <f>IFERROR(INDEX(Pedidos!$F$2:$F$1801,MATCH(B4288,Pedidos!$A$2:$A$1801,0)),"")</f>
        <v/>
      </c>
      <c r="M4288" s="22">
        <f>IFERROR(INDEX(Pedidos!$G$2:$G$1801,MATCH(B4288,Pedidos!$A$2:$A$1801,0)),0)</f>
        <v/>
      </c>
      <c r="N4288" s="21">
        <f>IFERROR(INDEX(Produtos!$B$2:$B$71,MATCH(C4288,Produtos!$A$2:$A$71,0)),"")</f>
        <v/>
      </c>
      <c r="O4288" s="21">
        <f>IFERROR(INDEX(Produtos!$C$2:$C$71,MATCH(C4288,Produtos!$A$2:$A$71,0)),"")</f>
        <v/>
      </c>
      <c r="P4288" s="21">
        <f>IFERROR(INDEX(Produtos!$D$2:$D$71,MATCH(C4288,Produtos!$A$2:$A$71,0)),0)</f>
        <v/>
      </c>
      <c r="Q4288" s="21">
        <f>IFERROR(INDEX(Produtos!$E$2:$E$71,MATCH(C4288,Produtos!$A$2:$A$71,0)),0)</f>
        <v/>
      </c>
      <c r="R4288" s="23">
        <f>D4288*Q4288</f>
        <v/>
      </c>
      <c r="S4288" s="23">
        <f>R4288*E4288</f>
        <v/>
      </c>
      <c r="T4288" s="23">
        <f>(R4288-S4288)*M4288</f>
        <v/>
      </c>
      <c r="U4288" s="23">
        <f>R4288-S4288-T4288</f>
        <v/>
      </c>
      <c r="V4288" s="23">
        <f>D4288*P4288</f>
        <v/>
      </c>
      <c r="W4288" s="23">
        <f>U4288-V4288</f>
        <v/>
      </c>
      <c r="X4288" s="24">
        <f>IFERROR(W4288/U4288,0)</f>
        <v/>
      </c>
    </row>
    <row r="4289">
      <c r="A4289" s="25">
        <f>ItensPedido!A4289</f>
        <v/>
      </c>
      <c r="B4289" s="25">
        <f>ItensPedido!B4289</f>
        <v/>
      </c>
      <c r="C4289" s="25">
        <f>ItensPedido!C4289</f>
        <v/>
      </c>
      <c r="D4289" s="25">
        <f>ItensPedido!D4289</f>
        <v/>
      </c>
      <c r="E4289" s="26">
        <f>ItensPedido!E4289</f>
        <v/>
      </c>
      <c r="F4289" s="25">
        <f>IFERROR(INDEX(Pedidos!$B$2:$B$1801,MATCH(B4289,Pedidos!$A$2:$A$1801,0)),0)</f>
        <v/>
      </c>
      <c r="G4289" s="25">
        <f>IF(F4289=0,"",YEAR(F4289))</f>
        <v/>
      </c>
      <c r="H4289" s="25">
        <f>IF(F4289=0,"",MONTH(F4289))</f>
        <v/>
      </c>
      <c r="I4289" s="25">
        <f>IFERROR(INDEX(Pedidos!$E$2:$E$1801,MATCH(B4289,Pedidos!$A$2:$A$1801,0)),"")</f>
        <v/>
      </c>
      <c r="J4289" s="25">
        <f>IFERROR(INDEX(Pedidos!$C$2:$C$1801,MATCH(B4289,Pedidos!$A$2:$A$1801,0)),"")</f>
        <v/>
      </c>
      <c r="K4289" s="25">
        <f>IFERROR(INDEX(Pedidos!$D$2:$D$1801,MATCH(B4289,Pedidos!$A$2:$A$1801,0)),"")</f>
        <v/>
      </c>
      <c r="L4289" s="25">
        <f>IFERROR(INDEX(Pedidos!$F$2:$F$1801,MATCH(B4289,Pedidos!$A$2:$A$1801,0)),"")</f>
        <v/>
      </c>
      <c r="M4289" s="26">
        <f>IFERROR(INDEX(Pedidos!$G$2:$G$1801,MATCH(B4289,Pedidos!$A$2:$A$1801,0)),0)</f>
        <v/>
      </c>
      <c r="N4289" s="25">
        <f>IFERROR(INDEX(Produtos!$B$2:$B$71,MATCH(C4289,Produtos!$A$2:$A$71,0)),"")</f>
        <v/>
      </c>
      <c r="O4289" s="25">
        <f>IFERROR(INDEX(Produtos!$C$2:$C$71,MATCH(C4289,Produtos!$A$2:$A$71,0)),"")</f>
        <v/>
      </c>
      <c r="P4289" s="25">
        <f>IFERROR(INDEX(Produtos!$D$2:$D$71,MATCH(C4289,Produtos!$A$2:$A$71,0)),0)</f>
        <v/>
      </c>
      <c r="Q4289" s="25">
        <f>IFERROR(INDEX(Produtos!$E$2:$E$71,MATCH(C4289,Produtos!$A$2:$A$71,0)),0)</f>
        <v/>
      </c>
      <c r="R4289" s="27">
        <f>D4289*Q4289</f>
        <v/>
      </c>
      <c r="S4289" s="27">
        <f>R4289*E4289</f>
        <v/>
      </c>
      <c r="T4289" s="27">
        <f>(R4289-S4289)*M4289</f>
        <v/>
      </c>
      <c r="U4289" s="27">
        <f>R4289-S4289-T4289</f>
        <v/>
      </c>
      <c r="V4289" s="27">
        <f>D4289*P4289</f>
        <v/>
      </c>
      <c r="W4289" s="27">
        <f>U4289-V4289</f>
        <v/>
      </c>
      <c r="X4289" s="28">
        <f>IFERROR(W4289/U4289,0)</f>
        <v/>
      </c>
    </row>
    <row r="4290">
      <c r="A4290" s="21">
        <f>ItensPedido!A4290</f>
        <v/>
      </c>
      <c r="B4290" s="21">
        <f>ItensPedido!B4290</f>
        <v/>
      </c>
      <c r="C4290" s="21">
        <f>ItensPedido!C4290</f>
        <v/>
      </c>
      <c r="D4290" s="21">
        <f>ItensPedido!D4290</f>
        <v/>
      </c>
      <c r="E4290" s="22">
        <f>ItensPedido!E4290</f>
        <v/>
      </c>
      <c r="F4290" s="21">
        <f>IFERROR(INDEX(Pedidos!$B$2:$B$1801,MATCH(B4290,Pedidos!$A$2:$A$1801,0)),0)</f>
        <v/>
      </c>
      <c r="G4290" s="21">
        <f>IF(F4290=0,"",YEAR(F4290))</f>
        <v/>
      </c>
      <c r="H4290" s="21">
        <f>IF(F4290=0,"",MONTH(F4290))</f>
        <v/>
      </c>
      <c r="I4290" s="21">
        <f>IFERROR(INDEX(Pedidos!$E$2:$E$1801,MATCH(B4290,Pedidos!$A$2:$A$1801,0)),"")</f>
        <v/>
      </c>
      <c r="J4290" s="21">
        <f>IFERROR(INDEX(Pedidos!$C$2:$C$1801,MATCH(B4290,Pedidos!$A$2:$A$1801,0)),"")</f>
        <v/>
      </c>
      <c r="K4290" s="21">
        <f>IFERROR(INDEX(Pedidos!$D$2:$D$1801,MATCH(B4290,Pedidos!$A$2:$A$1801,0)),"")</f>
        <v/>
      </c>
      <c r="L4290" s="21">
        <f>IFERROR(INDEX(Pedidos!$F$2:$F$1801,MATCH(B4290,Pedidos!$A$2:$A$1801,0)),"")</f>
        <v/>
      </c>
      <c r="M4290" s="22">
        <f>IFERROR(INDEX(Pedidos!$G$2:$G$1801,MATCH(B4290,Pedidos!$A$2:$A$1801,0)),0)</f>
        <v/>
      </c>
      <c r="N4290" s="21">
        <f>IFERROR(INDEX(Produtos!$B$2:$B$71,MATCH(C4290,Produtos!$A$2:$A$71,0)),"")</f>
        <v/>
      </c>
      <c r="O4290" s="21">
        <f>IFERROR(INDEX(Produtos!$C$2:$C$71,MATCH(C4290,Produtos!$A$2:$A$71,0)),"")</f>
        <v/>
      </c>
      <c r="P4290" s="21">
        <f>IFERROR(INDEX(Produtos!$D$2:$D$71,MATCH(C4290,Produtos!$A$2:$A$71,0)),0)</f>
        <v/>
      </c>
      <c r="Q4290" s="21">
        <f>IFERROR(INDEX(Produtos!$E$2:$E$71,MATCH(C4290,Produtos!$A$2:$A$71,0)),0)</f>
        <v/>
      </c>
      <c r="R4290" s="23">
        <f>D4290*Q4290</f>
        <v/>
      </c>
      <c r="S4290" s="23">
        <f>R4290*E4290</f>
        <v/>
      </c>
      <c r="T4290" s="23">
        <f>(R4290-S4290)*M4290</f>
        <v/>
      </c>
      <c r="U4290" s="23">
        <f>R4290-S4290-T4290</f>
        <v/>
      </c>
      <c r="V4290" s="23">
        <f>D4290*P4290</f>
        <v/>
      </c>
      <c r="W4290" s="23">
        <f>U4290-V4290</f>
        <v/>
      </c>
      <c r="X4290" s="24">
        <f>IFERROR(W4290/U4290,0)</f>
        <v/>
      </c>
    </row>
    <row r="4291">
      <c r="A4291" s="25">
        <f>ItensPedido!A4291</f>
        <v/>
      </c>
      <c r="B4291" s="25">
        <f>ItensPedido!B4291</f>
        <v/>
      </c>
      <c r="C4291" s="25">
        <f>ItensPedido!C4291</f>
        <v/>
      </c>
      <c r="D4291" s="25">
        <f>ItensPedido!D4291</f>
        <v/>
      </c>
      <c r="E4291" s="26">
        <f>ItensPedido!E4291</f>
        <v/>
      </c>
      <c r="F4291" s="25">
        <f>IFERROR(INDEX(Pedidos!$B$2:$B$1801,MATCH(B4291,Pedidos!$A$2:$A$1801,0)),0)</f>
        <v/>
      </c>
      <c r="G4291" s="25">
        <f>IF(F4291=0,"",YEAR(F4291))</f>
        <v/>
      </c>
      <c r="H4291" s="25">
        <f>IF(F4291=0,"",MONTH(F4291))</f>
        <v/>
      </c>
      <c r="I4291" s="25">
        <f>IFERROR(INDEX(Pedidos!$E$2:$E$1801,MATCH(B4291,Pedidos!$A$2:$A$1801,0)),"")</f>
        <v/>
      </c>
      <c r="J4291" s="25">
        <f>IFERROR(INDEX(Pedidos!$C$2:$C$1801,MATCH(B4291,Pedidos!$A$2:$A$1801,0)),"")</f>
        <v/>
      </c>
      <c r="K4291" s="25">
        <f>IFERROR(INDEX(Pedidos!$D$2:$D$1801,MATCH(B4291,Pedidos!$A$2:$A$1801,0)),"")</f>
        <v/>
      </c>
      <c r="L4291" s="25">
        <f>IFERROR(INDEX(Pedidos!$F$2:$F$1801,MATCH(B4291,Pedidos!$A$2:$A$1801,0)),"")</f>
        <v/>
      </c>
      <c r="M4291" s="26">
        <f>IFERROR(INDEX(Pedidos!$G$2:$G$1801,MATCH(B4291,Pedidos!$A$2:$A$1801,0)),0)</f>
        <v/>
      </c>
      <c r="N4291" s="25">
        <f>IFERROR(INDEX(Produtos!$B$2:$B$71,MATCH(C4291,Produtos!$A$2:$A$71,0)),"")</f>
        <v/>
      </c>
      <c r="O4291" s="25">
        <f>IFERROR(INDEX(Produtos!$C$2:$C$71,MATCH(C4291,Produtos!$A$2:$A$71,0)),"")</f>
        <v/>
      </c>
      <c r="P4291" s="25">
        <f>IFERROR(INDEX(Produtos!$D$2:$D$71,MATCH(C4291,Produtos!$A$2:$A$71,0)),0)</f>
        <v/>
      </c>
      <c r="Q4291" s="25">
        <f>IFERROR(INDEX(Produtos!$E$2:$E$71,MATCH(C4291,Produtos!$A$2:$A$71,0)),0)</f>
        <v/>
      </c>
      <c r="R4291" s="27">
        <f>D4291*Q4291</f>
        <v/>
      </c>
      <c r="S4291" s="27">
        <f>R4291*E4291</f>
        <v/>
      </c>
      <c r="T4291" s="27">
        <f>(R4291-S4291)*M4291</f>
        <v/>
      </c>
      <c r="U4291" s="27">
        <f>R4291-S4291-T4291</f>
        <v/>
      </c>
      <c r="V4291" s="27">
        <f>D4291*P4291</f>
        <v/>
      </c>
      <c r="W4291" s="27">
        <f>U4291-V4291</f>
        <v/>
      </c>
      <c r="X4291" s="28">
        <f>IFERROR(W4291/U4291,0)</f>
        <v/>
      </c>
    </row>
    <row r="4292">
      <c r="A4292" s="21">
        <f>ItensPedido!A4292</f>
        <v/>
      </c>
      <c r="B4292" s="21">
        <f>ItensPedido!B4292</f>
        <v/>
      </c>
      <c r="C4292" s="21">
        <f>ItensPedido!C4292</f>
        <v/>
      </c>
      <c r="D4292" s="21">
        <f>ItensPedido!D4292</f>
        <v/>
      </c>
      <c r="E4292" s="22">
        <f>ItensPedido!E4292</f>
        <v/>
      </c>
      <c r="F4292" s="21">
        <f>IFERROR(INDEX(Pedidos!$B$2:$B$1801,MATCH(B4292,Pedidos!$A$2:$A$1801,0)),0)</f>
        <v/>
      </c>
      <c r="G4292" s="21">
        <f>IF(F4292=0,"",YEAR(F4292))</f>
        <v/>
      </c>
      <c r="H4292" s="21">
        <f>IF(F4292=0,"",MONTH(F4292))</f>
        <v/>
      </c>
      <c r="I4292" s="21">
        <f>IFERROR(INDEX(Pedidos!$E$2:$E$1801,MATCH(B4292,Pedidos!$A$2:$A$1801,0)),"")</f>
        <v/>
      </c>
      <c r="J4292" s="21">
        <f>IFERROR(INDEX(Pedidos!$C$2:$C$1801,MATCH(B4292,Pedidos!$A$2:$A$1801,0)),"")</f>
        <v/>
      </c>
      <c r="K4292" s="21">
        <f>IFERROR(INDEX(Pedidos!$D$2:$D$1801,MATCH(B4292,Pedidos!$A$2:$A$1801,0)),"")</f>
        <v/>
      </c>
      <c r="L4292" s="21">
        <f>IFERROR(INDEX(Pedidos!$F$2:$F$1801,MATCH(B4292,Pedidos!$A$2:$A$1801,0)),"")</f>
        <v/>
      </c>
      <c r="M4292" s="22">
        <f>IFERROR(INDEX(Pedidos!$G$2:$G$1801,MATCH(B4292,Pedidos!$A$2:$A$1801,0)),0)</f>
        <v/>
      </c>
      <c r="N4292" s="21">
        <f>IFERROR(INDEX(Produtos!$B$2:$B$71,MATCH(C4292,Produtos!$A$2:$A$71,0)),"")</f>
        <v/>
      </c>
      <c r="O4292" s="21">
        <f>IFERROR(INDEX(Produtos!$C$2:$C$71,MATCH(C4292,Produtos!$A$2:$A$71,0)),"")</f>
        <v/>
      </c>
      <c r="P4292" s="21">
        <f>IFERROR(INDEX(Produtos!$D$2:$D$71,MATCH(C4292,Produtos!$A$2:$A$71,0)),0)</f>
        <v/>
      </c>
      <c r="Q4292" s="21">
        <f>IFERROR(INDEX(Produtos!$E$2:$E$71,MATCH(C4292,Produtos!$A$2:$A$71,0)),0)</f>
        <v/>
      </c>
      <c r="R4292" s="23">
        <f>D4292*Q4292</f>
        <v/>
      </c>
      <c r="S4292" s="23">
        <f>R4292*E4292</f>
        <v/>
      </c>
      <c r="T4292" s="23">
        <f>(R4292-S4292)*M4292</f>
        <v/>
      </c>
      <c r="U4292" s="23">
        <f>R4292-S4292-T4292</f>
        <v/>
      </c>
      <c r="V4292" s="23">
        <f>D4292*P4292</f>
        <v/>
      </c>
      <c r="W4292" s="23">
        <f>U4292-V4292</f>
        <v/>
      </c>
      <c r="X4292" s="24">
        <f>IFERROR(W4292/U4292,0)</f>
        <v/>
      </c>
    </row>
    <row r="4293">
      <c r="A4293" s="25">
        <f>ItensPedido!A4293</f>
        <v/>
      </c>
      <c r="B4293" s="25">
        <f>ItensPedido!B4293</f>
        <v/>
      </c>
      <c r="C4293" s="25">
        <f>ItensPedido!C4293</f>
        <v/>
      </c>
      <c r="D4293" s="25">
        <f>ItensPedido!D4293</f>
        <v/>
      </c>
      <c r="E4293" s="26">
        <f>ItensPedido!E4293</f>
        <v/>
      </c>
      <c r="F4293" s="25">
        <f>IFERROR(INDEX(Pedidos!$B$2:$B$1801,MATCH(B4293,Pedidos!$A$2:$A$1801,0)),0)</f>
        <v/>
      </c>
      <c r="G4293" s="25">
        <f>IF(F4293=0,"",YEAR(F4293))</f>
        <v/>
      </c>
      <c r="H4293" s="25">
        <f>IF(F4293=0,"",MONTH(F4293))</f>
        <v/>
      </c>
      <c r="I4293" s="25">
        <f>IFERROR(INDEX(Pedidos!$E$2:$E$1801,MATCH(B4293,Pedidos!$A$2:$A$1801,0)),"")</f>
        <v/>
      </c>
      <c r="J4293" s="25">
        <f>IFERROR(INDEX(Pedidos!$C$2:$C$1801,MATCH(B4293,Pedidos!$A$2:$A$1801,0)),"")</f>
        <v/>
      </c>
      <c r="K4293" s="25">
        <f>IFERROR(INDEX(Pedidos!$D$2:$D$1801,MATCH(B4293,Pedidos!$A$2:$A$1801,0)),"")</f>
        <v/>
      </c>
      <c r="L4293" s="25">
        <f>IFERROR(INDEX(Pedidos!$F$2:$F$1801,MATCH(B4293,Pedidos!$A$2:$A$1801,0)),"")</f>
        <v/>
      </c>
      <c r="M4293" s="26">
        <f>IFERROR(INDEX(Pedidos!$G$2:$G$1801,MATCH(B4293,Pedidos!$A$2:$A$1801,0)),0)</f>
        <v/>
      </c>
      <c r="N4293" s="25">
        <f>IFERROR(INDEX(Produtos!$B$2:$B$71,MATCH(C4293,Produtos!$A$2:$A$71,0)),"")</f>
        <v/>
      </c>
      <c r="O4293" s="25">
        <f>IFERROR(INDEX(Produtos!$C$2:$C$71,MATCH(C4293,Produtos!$A$2:$A$71,0)),"")</f>
        <v/>
      </c>
      <c r="P4293" s="25">
        <f>IFERROR(INDEX(Produtos!$D$2:$D$71,MATCH(C4293,Produtos!$A$2:$A$71,0)),0)</f>
        <v/>
      </c>
      <c r="Q4293" s="25">
        <f>IFERROR(INDEX(Produtos!$E$2:$E$71,MATCH(C4293,Produtos!$A$2:$A$71,0)),0)</f>
        <v/>
      </c>
      <c r="R4293" s="27">
        <f>D4293*Q4293</f>
        <v/>
      </c>
      <c r="S4293" s="27">
        <f>R4293*E4293</f>
        <v/>
      </c>
      <c r="T4293" s="27">
        <f>(R4293-S4293)*M4293</f>
        <v/>
      </c>
      <c r="U4293" s="27">
        <f>R4293-S4293-T4293</f>
        <v/>
      </c>
      <c r="V4293" s="27">
        <f>D4293*P4293</f>
        <v/>
      </c>
      <c r="W4293" s="27">
        <f>U4293-V4293</f>
        <v/>
      </c>
      <c r="X4293" s="28">
        <f>IFERROR(W4293/U4293,0)</f>
        <v/>
      </c>
    </row>
    <row r="4294">
      <c r="A4294" s="21">
        <f>ItensPedido!A4294</f>
        <v/>
      </c>
      <c r="B4294" s="21">
        <f>ItensPedido!B4294</f>
        <v/>
      </c>
      <c r="C4294" s="21">
        <f>ItensPedido!C4294</f>
        <v/>
      </c>
      <c r="D4294" s="21">
        <f>ItensPedido!D4294</f>
        <v/>
      </c>
      <c r="E4294" s="22">
        <f>ItensPedido!E4294</f>
        <v/>
      </c>
      <c r="F4294" s="21">
        <f>IFERROR(INDEX(Pedidos!$B$2:$B$1801,MATCH(B4294,Pedidos!$A$2:$A$1801,0)),0)</f>
        <v/>
      </c>
      <c r="G4294" s="21">
        <f>IF(F4294=0,"",YEAR(F4294))</f>
        <v/>
      </c>
      <c r="H4294" s="21">
        <f>IF(F4294=0,"",MONTH(F4294))</f>
        <v/>
      </c>
      <c r="I4294" s="21">
        <f>IFERROR(INDEX(Pedidos!$E$2:$E$1801,MATCH(B4294,Pedidos!$A$2:$A$1801,0)),"")</f>
        <v/>
      </c>
      <c r="J4294" s="21">
        <f>IFERROR(INDEX(Pedidos!$C$2:$C$1801,MATCH(B4294,Pedidos!$A$2:$A$1801,0)),"")</f>
        <v/>
      </c>
      <c r="K4294" s="21">
        <f>IFERROR(INDEX(Pedidos!$D$2:$D$1801,MATCH(B4294,Pedidos!$A$2:$A$1801,0)),"")</f>
        <v/>
      </c>
      <c r="L4294" s="21">
        <f>IFERROR(INDEX(Pedidos!$F$2:$F$1801,MATCH(B4294,Pedidos!$A$2:$A$1801,0)),"")</f>
        <v/>
      </c>
      <c r="M4294" s="22">
        <f>IFERROR(INDEX(Pedidos!$G$2:$G$1801,MATCH(B4294,Pedidos!$A$2:$A$1801,0)),0)</f>
        <v/>
      </c>
      <c r="N4294" s="21">
        <f>IFERROR(INDEX(Produtos!$B$2:$B$71,MATCH(C4294,Produtos!$A$2:$A$71,0)),"")</f>
        <v/>
      </c>
      <c r="O4294" s="21">
        <f>IFERROR(INDEX(Produtos!$C$2:$C$71,MATCH(C4294,Produtos!$A$2:$A$71,0)),"")</f>
        <v/>
      </c>
      <c r="P4294" s="21">
        <f>IFERROR(INDEX(Produtos!$D$2:$D$71,MATCH(C4294,Produtos!$A$2:$A$71,0)),0)</f>
        <v/>
      </c>
      <c r="Q4294" s="21">
        <f>IFERROR(INDEX(Produtos!$E$2:$E$71,MATCH(C4294,Produtos!$A$2:$A$71,0)),0)</f>
        <v/>
      </c>
      <c r="R4294" s="23">
        <f>D4294*Q4294</f>
        <v/>
      </c>
      <c r="S4294" s="23">
        <f>R4294*E4294</f>
        <v/>
      </c>
      <c r="T4294" s="23">
        <f>(R4294-S4294)*M4294</f>
        <v/>
      </c>
      <c r="U4294" s="23">
        <f>R4294-S4294-T4294</f>
        <v/>
      </c>
      <c r="V4294" s="23">
        <f>D4294*P4294</f>
        <v/>
      </c>
      <c r="W4294" s="23">
        <f>U4294-V4294</f>
        <v/>
      </c>
      <c r="X4294" s="24">
        <f>IFERROR(W4294/U4294,0)</f>
        <v/>
      </c>
    </row>
    <row r="4295">
      <c r="A4295" s="25">
        <f>ItensPedido!A4295</f>
        <v/>
      </c>
      <c r="B4295" s="25">
        <f>ItensPedido!B4295</f>
        <v/>
      </c>
      <c r="C4295" s="25">
        <f>ItensPedido!C4295</f>
        <v/>
      </c>
      <c r="D4295" s="25">
        <f>ItensPedido!D4295</f>
        <v/>
      </c>
      <c r="E4295" s="26">
        <f>ItensPedido!E4295</f>
        <v/>
      </c>
      <c r="F4295" s="25">
        <f>IFERROR(INDEX(Pedidos!$B$2:$B$1801,MATCH(B4295,Pedidos!$A$2:$A$1801,0)),0)</f>
        <v/>
      </c>
      <c r="G4295" s="25">
        <f>IF(F4295=0,"",YEAR(F4295))</f>
        <v/>
      </c>
      <c r="H4295" s="25">
        <f>IF(F4295=0,"",MONTH(F4295))</f>
        <v/>
      </c>
      <c r="I4295" s="25">
        <f>IFERROR(INDEX(Pedidos!$E$2:$E$1801,MATCH(B4295,Pedidos!$A$2:$A$1801,0)),"")</f>
        <v/>
      </c>
      <c r="J4295" s="25">
        <f>IFERROR(INDEX(Pedidos!$C$2:$C$1801,MATCH(B4295,Pedidos!$A$2:$A$1801,0)),"")</f>
        <v/>
      </c>
      <c r="K4295" s="25">
        <f>IFERROR(INDEX(Pedidos!$D$2:$D$1801,MATCH(B4295,Pedidos!$A$2:$A$1801,0)),"")</f>
        <v/>
      </c>
      <c r="L4295" s="25">
        <f>IFERROR(INDEX(Pedidos!$F$2:$F$1801,MATCH(B4295,Pedidos!$A$2:$A$1801,0)),"")</f>
        <v/>
      </c>
      <c r="M4295" s="26">
        <f>IFERROR(INDEX(Pedidos!$G$2:$G$1801,MATCH(B4295,Pedidos!$A$2:$A$1801,0)),0)</f>
        <v/>
      </c>
      <c r="N4295" s="25">
        <f>IFERROR(INDEX(Produtos!$B$2:$B$71,MATCH(C4295,Produtos!$A$2:$A$71,0)),"")</f>
        <v/>
      </c>
      <c r="O4295" s="25">
        <f>IFERROR(INDEX(Produtos!$C$2:$C$71,MATCH(C4295,Produtos!$A$2:$A$71,0)),"")</f>
        <v/>
      </c>
      <c r="P4295" s="25">
        <f>IFERROR(INDEX(Produtos!$D$2:$D$71,MATCH(C4295,Produtos!$A$2:$A$71,0)),0)</f>
        <v/>
      </c>
      <c r="Q4295" s="25">
        <f>IFERROR(INDEX(Produtos!$E$2:$E$71,MATCH(C4295,Produtos!$A$2:$A$71,0)),0)</f>
        <v/>
      </c>
      <c r="R4295" s="27">
        <f>D4295*Q4295</f>
        <v/>
      </c>
      <c r="S4295" s="27">
        <f>R4295*E4295</f>
        <v/>
      </c>
      <c r="T4295" s="27">
        <f>(R4295-S4295)*M4295</f>
        <v/>
      </c>
      <c r="U4295" s="27">
        <f>R4295-S4295-T4295</f>
        <v/>
      </c>
      <c r="V4295" s="27">
        <f>D4295*P4295</f>
        <v/>
      </c>
      <c r="W4295" s="27">
        <f>U4295-V4295</f>
        <v/>
      </c>
      <c r="X4295" s="28">
        <f>IFERROR(W4295/U4295,0)</f>
        <v/>
      </c>
    </row>
    <row r="4296">
      <c r="A4296" s="21">
        <f>ItensPedido!A4296</f>
        <v/>
      </c>
      <c r="B4296" s="21">
        <f>ItensPedido!B4296</f>
        <v/>
      </c>
      <c r="C4296" s="21">
        <f>ItensPedido!C4296</f>
        <v/>
      </c>
      <c r="D4296" s="21">
        <f>ItensPedido!D4296</f>
        <v/>
      </c>
      <c r="E4296" s="22">
        <f>ItensPedido!E4296</f>
        <v/>
      </c>
      <c r="F4296" s="21">
        <f>IFERROR(INDEX(Pedidos!$B$2:$B$1801,MATCH(B4296,Pedidos!$A$2:$A$1801,0)),0)</f>
        <v/>
      </c>
      <c r="G4296" s="21">
        <f>IF(F4296=0,"",YEAR(F4296))</f>
        <v/>
      </c>
      <c r="H4296" s="21">
        <f>IF(F4296=0,"",MONTH(F4296))</f>
        <v/>
      </c>
      <c r="I4296" s="21">
        <f>IFERROR(INDEX(Pedidos!$E$2:$E$1801,MATCH(B4296,Pedidos!$A$2:$A$1801,0)),"")</f>
        <v/>
      </c>
      <c r="J4296" s="21">
        <f>IFERROR(INDEX(Pedidos!$C$2:$C$1801,MATCH(B4296,Pedidos!$A$2:$A$1801,0)),"")</f>
        <v/>
      </c>
      <c r="K4296" s="21">
        <f>IFERROR(INDEX(Pedidos!$D$2:$D$1801,MATCH(B4296,Pedidos!$A$2:$A$1801,0)),"")</f>
        <v/>
      </c>
      <c r="L4296" s="21">
        <f>IFERROR(INDEX(Pedidos!$F$2:$F$1801,MATCH(B4296,Pedidos!$A$2:$A$1801,0)),"")</f>
        <v/>
      </c>
      <c r="M4296" s="22">
        <f>IFERROR(INDEX(Pedidos!$G$2:$G$1801,MATCH(B4296,Pedidos!$A$2:$A$1801,0)),0)</f>
        <v/>
      </c>
      <c r="N4296" s="21">
        <f>IFERROR(INDEX(Produtos!$B$2:$B$71,MATCH(C4296,Produtos!$A$2:$A$71,0)),"")</f>
        <v/>
      </c>
      <c r="O4296" s="21">
        <f>IFERROR(INDEX(Produtos!$C$2:$C$71,MATCH(C4296,Produtos!$A$2:$A$71,0)),"")</f>
        <v/>
      </c>
      <c r="P4296" s="21">
        <f>IFERROR(INDEX(Produtos!$D$2:$D$71,MATCH(C4296,Produtos!$A$2:$A$71,0)),0)</f>
        <v/>
      </c>
      <c r="Q4296" s="21">
        <f>IFERROR(INDEX(Produtos!$E$2:$E$71,MATCH(C4296,Produtos!$A$2:$A$71,0)),0)</f>
        <v/>
      </c>
      <c r="R4296" s="23">
        <f>D4296*Q4296</f>
        <v/>
      </c>
      <c r="S4296" s="23">
        <f>R4296*E4296</f>
        <v/>
      </c>
      <c r="T4296" s="23">
        <f>(R4296-S4296)*M4296</f>
        <v/>
      </c>
      <c r="U4296" s="23">
        <f>R4296-S4296-T4296</f>
        <v/>
      </c>
      <c r="V4296" s="23">
        <f>D4296*P4296</f>
        <v/>
      </c>
      <c r="W4296" s="23">
        <f>U4296-V4296</f>
        <v/>
      </c>
      <c r="X4296" s="24">
        <f>IFERROR(W4296/U4296,0)</f>
        <v/>
      </c>
    </row>
    <row r="4297">
      <c r="A4297" s="25">
        <f>ItensPedido!A4297</f>
        <v/>
      </c>
      <c r="B4297" s="25">
        <f>ItensPedido!B4297</f>
        <v/>
      </c>
      <c r="C4297" s="25">
        <f>ItensPedido!C4297</f>
        <v/>
      </c>
      <c r="D4297" s="25">
        <f>ItensPedido!D4297</f>
        <v/>
      </c>
      <c r="E4297" s="26">
        <f>ItensPedido!E4297</f>
        <v/>
      </c>
      <c r="F4297" s="25">
        <f>IFERROR(INDEX(Pedidos!$B$2:$B$1801,MATCH(B4297,Pedidos!$A$2:$A$1801,0)),0)</f>
        <v/>
      </c>
      <c r="G4297" s="25">
        <f>IF(F4297=0,"",YEAR(F4297))</f>
        <v/>
      </c>
      <c r="H4297" s="25">
        <f>IF(F4297=0,"",MONTH(F4297))</f>
        <v/>
      </c>
      <c r="I4297" s="25">
        <f>IFERROR(INDEX(Pedidos!$E$2:$E$1801,MATCH(B4297,Pedidos!$A$2:$A$1801,0)),"")</f>
        <v/>
      </c>
      <c r="J4297" s="25">
        <f>IFERROR(INDEX(Pedidos!$C$2:$C$1801,MATCH(B4297,Pedidos!$A$2:$A$1801,0)),"")</f>
        <v/>
      </c>
      <c r="K4297" s="25">
        <f>IFERROR(INDEX(Pedidos!$D$2:$D$1801,MATCH(B4297,Pedidos!$A$2:$A$1801,0)),"")</f>
        <v/>
      </c>
      <c r="L4297" s="25">
        <f>IFERROR(INDEX(Pedidos!$F$2:$F$1801,MATCH(B4297,Pedidos!$A$2:$A$1801,0)),"")</f>
        <v/>
      </c>
      <c r="M4297" s="26">
        <f>IFERROR(INDEX(Pedidos!$G$2:$G$1801,MATCH(B4297,Pedidos!$A$2:$A$1801,0)),0)</f>
        <v/>
      </c>
      <c r="N4297" s="25">
        <f>IFERROR(INDEX(Produtos!$B$2:$B$71,MATCH(C4297,Produtos!$A$2:$A$71,0)),"")</f>
        <v/>
      </c>
      <c r="O4297" s="25">
        <f>IFERROR(INDEX(Produtos!$C$2:$C$71,MATCH(C4297,Produtos!$A$2:$A$71,0)),"")</f>
        <v/>
      </c>
      <c r="P4297" s="25">
        <f>IFERROR(INDEX(Produtos!$D$2:$D$71,MATCH(C4297,Produtos!$A$2:$A$71,0)),0)</f>
        <v/>
      </c>
      <c r="Q4297" s="25">
        <f>IFERROR(INDEX(Produtos!$E$2:$E$71,MATCH(C4297,Produtos!$A$2:$A$71,0)),0)</f>
        <v/>
      </c>
      <c r="R4297" s="27">
        <f>D4297*Q4297</f>
        <v/>
      </c>
      <c r="S4297" s="27">
        <f>R4297*E4297</f>
        <v/>
      </c>
      <c r="T4297" s="27">
        <f>(R4297-S4297)*M4297</f>
        <v/>
      </c>
      <c r="U4297" s="27">
        <f>R4297-S4297-T4297</f>
        <v/>
      </c>
      <c r="V4297" s="27">
        <f>D4297*P4297</f>
        <v/>
      </c>
      <c r="W4297" s="27">
        <f>U4297-V4297</f>
        <v/>
      </c>
      <c r="X4297" s="28">
        <f>IFERROR(W4297/U4297,0)</f>
        <v/>
      </c>
    </row>
    <row r="4298">
      <c r="A4298" s="21">
        <f>ItensPedido!A4298</f>
        <v/>
      </c>
      <c r="B4298" s="21">
        <f>ItensPedido!B4298</f>
        <v/>
      </c>
      <c r="C4298" s="21">
        <f>ItensPedido!C4298</f>
        <v/>
      </c>
      <c r="D4298" s="21">
        <f>ItensPedido!D4298</f>
        <v/>
      </c>
      <c r="E4298" s="22">
        <f>ItensPedido!E4298</f>
        <v/>
      </c>
      <c r="F4298" s="21">
        <f>IFERROR(INDEX(Pedidos!$B$2:$B$1801,MATCH(B4298,Pedidos!$A$2:$A$1801,0)),0)</f>
        <v/>
      </c>
      <c r="G4298" s="21">
        <f>IF(F4298=0,"",YEAR(F4298))</f>
        <v/>
      </c>
      <c r="H4298" s="21">
        <f>IF(F4298=0,"",MONTH(F4298))</f>
        <v/>
      </c>
      <c r="I4298" s="21">
        <f>IFERROR(INDEX(Pedidos!$E$2:$E$1801,MATCH(B4298,Pedidos!$A$2:$A$1801,0)),"")</f>
        <v/>
      </c>
      <c r="J4298" s="21">
        <f>IFERROR(INDEX(Pedidos!$C$2:$C$1801,MATCH(B4298,Pedidos!$A$2:$A$1801,0)),"")</f>
        <v/>
      </c>
      <c r="K4298" s="21">
        <f>IFERROR(INDEX(Pedidos!$D$2:$D$1801,MATCH(B4298,Pedidos!$A$2:$A$1801,0)),"")</f>
        <v/>
      </c>
      <c r="L4298" s="21">
        <f>IFERROR(INDEX(Pedidos!$F$2:$F$1801,MATCH(B4298,Pedidos!$A$2:$A$1801,0)),"")</f>
        <v/>
      </c>
      <c r="M4298" s="22">
        <f>IFERROR(INDEX(Pedidos!$G$2:$G$1801,MATCH(B4298,Pedidos!$A$2:$A$1801,0)),0)</f>
        <v/>
      </c>
      <c r="N4298" s="21">
        <f>IFERROR(INDEX(Produtos!$B$2:$B$71,MATCH(C4298,Produtos!$A$2:$A$71,0)),"")</f>
        <v/>
      </c>
      <c r="O4298" s="21">
        <f>IFERROR(INDEX(Produtos!$C$2:$C$71,MATCH(C4298,Produtos!$A$2:$A$71,0)),"")</f>
        <v/>
      </c>
      <c r="P4298" s="21">
        <f>IFERROR(INDEX(Produtos!$D$2:$D$71,MATCH(C4298,Produtos!$A$2:$A$71,0)),0)</f>
        <v/>
      </c>
      <c r="Q4298" s="21">
        <f>IFERROR(INDEX(Produtos!$E$2:$E$71,MATCH(C4298,Produtos!$A$2:$A$71,0)),0)</f>
        <v/>
      </c>
      <c r="R4298" s="23">
        <f>D4298*Q4298</f>
        <v/>
      </c>
      <c r="S4298" s="23">
        <f>R4298*E4298</f>
        <v/>
      </c>
      <c r="T4298" s="23">
        <f>(R4298-S4298)*M4298</f>
        <v/>
      </c>
      <c r="U4298" s="23">
        <f>R4298-S4298-T4298</f>
        <v/>
      </c>
      <c r="V4298" s="23">
        <f>D4298*P4298</f>
        <v/>
      </c>
      <c r="W4298" s="23">
        <f>U4298-V4298</f>
        <v/>
      </c>
      <c r="X4298" s="24">
        <f>IFERROR(W4298/U4298,0)</f>
        <v/>
      </c>
    </row>
    <row r="4299">
      <c r="A4299" s="25">
        <f>ItensPedido!A4299</f>
        <v/>
      </c>
      <c r="B4299" s="25">
        <f>ItensPedido!B4299</f>
        <v/>
      </c>
      <c r="C4299" s="25">
        <f>ItensPedido!C4299</f>
        <v/>
      </c>
      <c r="D4299" s="25">
        <f>ItensPedido!D4299</f>
        <v/>
      </c>
      <c r="E4299" s="26">
        <f>ItensPedido!E4299</f>
        <v/>
      </c>
      <c r="F4299" s="25">
        <f>IFERROR(INDEX(Pedidos!$B$2:$B$1801,MATCH(B4299,Pedidos!$A$2:$A$1801,0)),0)</f>
        <v/>
      </c>
      <c r="G4299" s="25">
        <f>IF(F4299=0,"",YEAR(F4299))</f>
        <v/>
      </c>
      <c r="H4299" s="25">
        <f>IF(F4299=0,"",MONTH(F4299))</f>
        <v/>
      </c>
      <c r="I4299" s="25">
        <f>IFERROR(INDEX(Pedidos!$E$2:$E$1801,MATCH(B4299,Pedidos!$A$2:$A$1801,0)),"")</f>
        <v/>
      </c>
      <c r="J4299" s="25">
        <f>IFERROR(INDEX(Pedidos!$C$2:$C$1801,MATCH(B4299,Pedidos!$A$2:$A$1801,0)),"")</f>
        <v/>
      </c>
      <c r="K4299" s="25">
        <f>IFERROR(INDEX(Pedidos!$D$2:$D$1801,MATCH(B4299,Pedidos!$A$2:$A$1801,0)),"")</f>
        <v/>
      </c>
      <c r="L4299" s="25">
        <f>IFERROR(INDEX(Pedidos!$F$2:$F$1801,MATCH(B4299,Pedidos!$A$2:$A$1801,0)),"")</f>
        <v/>
      </c>
      <c r="M4299" s="26">
        <f>IFERROR(INDEX(Pedidos!$G$2:$G$1801,MATCH(B4299,Pedidos!$A$2:$A$1801,0)),0)</f>
        <v/>
      </c>
      <c r="N4299" s="25">
        <f>IFERROR(INDEX(Produtos!$B$2:$B$71,MATCH(C4299,Produtos!$A$2:$A$71,0)),"")</f>
        <v/>
      </c>
      <c r="O4299" s="25">
        <f>IFERROR(INDEX(Produtos!$C$2:$C$71,MATCH(C4299,Produtos!$A$2:$A$71,0)),"")</f>
        <v/>
      </c>
      <c r="P4299" s="25">
        <f>IFERROR(INDEX(Produtos!$D$2:$D$71,MATCH(C4299,Produtos!$A$2:$A$71,0)),0)</f>
        <v/>
      </c>
      <c r="Q4299" s="25">
        <f>IFERROR(INDEX(Produtos!$E$2:$E$71,MATCH(C4299,Produtos!$A$2:$A$71,0)),0)</f>
        <v/>
      </c>
      <c r="R4299" s="27">
        <f>D4299*Q4299</f>
        <v/>
      </c>
      <c r="S4299" s="27">
        <f>R4299*E4299</f>
        <v/>
      </c>
      <c r="T4299" s="27">
        <f>(R4299-S4299)*M4299</f>
        <v/>
      </c>
      <c r="U4299" s="27">
        <f>R4299-S4299-T4299</f>
        <v/>
      </c>
      <c r="V4299" s="27">
        <f>D4299*P4299</f>
        <v/>
      </c>
      <c r="W4299" s="27">
        <f>U4299-V4299</f>
        <v/>
      </c>
      <c r="X4299" s="28">
        <f>IFERROR(W4299/U4299,0)</f>
        <v/>
      </c>
    </row>
    <row r="4300">
      <c r="A4300" s="21">
        <f>ItensPedido!A4300</f>
        <v/>
      </c>
      <c r="B4300" s="21">
        <f>ItensPedido!B4300</f>
        <v/>
      </c>
      <c r="C4300" s="21">
        <f>ItensPedido!C4300</f>
        <v/>
      </c>
      <c r="D4300" s="21">
        <f>ItensPedido!D4300</f>
        <v/>
      </c>
      <c r="E4300" s="22">
        <f>ItensPedido!E4300</f>
        <v/>
      </c>
      <c r="F4300" s="21">
        <f>IFERROR(INDEX(Pedidos!$B$2:$B$1801,MATCH(B4300,Pedidos!$A$2:$A$1801,0)),0)</f>
        <v/>
      </c>
      <c r="G4300" s="21">
        <f>IF(F4300=0,"",YEAR(F4300))</f>
        <v/>
      </c>
      <c r="H4300" s="21">
        <f>IF(F4300=0,"",MONTH(F4300))</f>
        <v/>
      </c>
      <c r="I4300" s="21">
        <f>IFERROR(INDEX(Pedidos!$E$2:$E$1801,MATCH(B4300,Pedidos!$A$2:$A$1801,0)),"")</f>
        <v/>
      </c>
      <c r="J4300" s="21">
        <f>IFERROR(INDEX(Pedidos!$C$2:$C$1801,MATCH(B4300,Pedidos!$A$2:$A$1801,0)),"")</f>
        <v/>
      </c>
      <c r="K4300" s="21">
        <f>IFERROR(INDEX(Pedidos!$D$2:$D$1801,MATCH(B4300,Pedidos!$A$2:$A$1801,0)),"")</f>
        <v/>
      </c>
      <c r="L4300" s="21">
        <f>IFERROR(INDEX(Pedidos!$F$2:$F$1801,MATCH(B4300,Pedidos!$A$2:$A$1801,0)),"")</f>
        <v/>
      </c>
      <c r="M4300" s="22">
        <f>IFERROR(INDEX(Pedidos!$G$2:$G$1801,MATCH(B4300,Pedidos!$A$2:$A$1801,0)),0)</f>
        <v/>
      </c>
      <c r="N4300" s="21">
        <f>IFERROR(INDEX(Produtos!$B$2:$B$71,MATCH(C4300,Produtos!$A$2:$A$71,0)),"")</f>
        <v/>
      </c>
      <c r="O4300" s="21">
        <f>IFERROR(INDEX(Produtos!$C$2:$C$71,MATCH(C4300,Produtos!$A$2:$A$71,0)),"")</f>
        <v/>
      </c>
      <c r="P4300" s="21">
        <f>IFERROR(INDEX(Produtos!$D$2:$D$71,MATCH(C4300,Produtos!$A$2:$A$71,0)),0)</f>
        <v/>
      </c>
      <c r="Q4300" s="21">
        <f>IFERROR(INDEX(Produtos!$E$2:$E$71,MATCH(C4300,Produtos!$A$2:$A$71,0)),0)</f>
        <v/>
      </c>
      <c r="R4300" s="23">
        <f>D4300*Q4300</f>
        <v/>
      </c>
      <c r="S4300" s="23">
        <f>R4300*E4300</f>
        <v/>
      </c>
      <c r="T4300" s="23">
        <f>(R4300-S4300)*M4300</f>
        <v/>
      </c>
      <c r="U4300" s="23">
        <f>R4300-S4300-T4300</f>
        <v/>
      </c>
      <c r="V4300" s="23">
        <f>D4300*P4300</f>
        <v/>
      </c>
      <c r="W4300" s="23">
        <f>U4300-V4300</f>
        <v/>
      </c>
      <c r="X4300" s="24">
        <f>IFERROR(W4300/U4300,0)</f>
        <v/>
      </c>
    </row>
    <row r="4301">
      <c r="A4301" s="25">
        <f>ItensPedido!A4301</f>
        <v/>
      </c>
      <c r="B4301" s="25">
        <f>ItensPedido!B4301</f>
        <v/>
      </c>
      <c r="C4301" s="25">
        <f>ItensPedido!C4301</f>
        <v/>
      </c>
      <c r="D4301" s="25">
        <f>ItensPedido!D4301</f>
        <v/>
      </c>
      <c r="E4301" s="26">
        <f>ItensPedido!E4301</f>
        <v/>
      </c>
      <c r="F4301" s="25">
        <f>IFERROR(INDEX(Pedidos!$B$2:$B$1801,MATCH(B4301,Pedidos!$A$2:$A$1801,0)),0)</f>
        <v/>
      </c>
      <c r="G4301" s="25">
        <f>IF(F4301=0,"",YEAR(F4301))</f>
        <v/>
      </c>
      <c r="H4301" s="25">
        <f>IF(F4301=0,"",MONTH(F4301))</f>
        <v/>
      </c>
      <c r="I4301" s="25">
        <f>IFERROR(INDEX(Pedidos!$E$2:$E$1801,MATCH(B4301,Pedidos!$A$2:$A$1801,0)),"")</f>
        <v/>
      </c>
      <c r="J4301" s="25">
        <f>IFERROR(INDEX(Pedidos!$C$2:$C$1801,MATCH(B4301,Pedidos!$A$2:$A$1801,0)),"")</f>
        <v/>
      </c>
      <c r="K4301" s="25">
        <f>IFERROR(INDEX(Pedidos!$D$2:$D$1801,MATCH(B4301,Pedidos!$A$2:$A$1801,0)),"")</f>
        <v/>
      </c>
      <c r="L4301" s="25">
        <f>IFERROR(INDEX(Pedidos!$F$2:$F$1801,MATCH(B4301,Pedidos!$A$2:$A$1801,0)),"")</f>
        <v/>
      </c>
      <c r="M4301" s="26">
        <f>IFERROR(INDEX(Pedidos!$G$2:$G$1801,MATCH(B4301,Pedidos!$A$2:$A$1801,0)),0)</f>
        <v/>
      </c>
      <c r="N4301" s="25">
        <f>IFERROR(INDEX(Produtos!$B$2:$B$71,MATCH(C4301,Produtos!$A$2:$A$71,0)),"")</f>
        <v/>
      </c>
      <c r="O4301" s="25">
        <f>IFERROR(INDEX(Produtos!$C$2:$C$71,MATCH(C4301,Produtos!$A$2:$A$71,0)),"")</f>
        <v/>
      </c>
      <c r="P4301" s="25">
        <f>IFERROR(INDEX(Produtos!$D$2:$D$71,MATCH(C4301,Produtos!$A$2:$A$71,0)),0)</f>
        <v/>
      </c>
      <c r="Q4301" s="25">
        <f>IFERROR(INDEX(Produtos!$E$2:$E$71,MATCH(C4301,Produtos!$A$2:$A$71,0)),0)</f>
        <v/>
      </c>
      <c r="R4301" s="27">
        <f>D4301*Q4301</f>
        <v/>
      </c>
      <c r="S4301" s="27">
        <f>R4301*E4301</f>
        <v/>
      </c>
      <c r="T4301" s="27">
        <f>(R4301-S4301)*M4301</f>
        <v/>
      </c>
      <c r="U4301" s="27">
        <f>R4301-S4301-T4301</f>
        <v/>
      </c>
      <c r="V4301" s="27">
        <f>D4301*P4301</f>
        <v/>
      </c>
      <c r="W4301" s="27">
        <f>U4301-V4301</f>
        <v/>
      </c>
      <c r="X4301" s="28">
        <f>IFERROR(W4301/U4301,0)</f>
        <v/>
      </c>
    </row>
    <row r="4302">
      <c r="A4302" s="21">
        <f>ItensPedido!A4302</f>
        <v/>
      </c>
      <c r="B4302" s="21">
        <f>ItensPedido!B4302</f>
        <v/>
      </c>
      <c r="C4302" s="21">
        <f>ItensPedido!C4302</f>
        <v/>
      </c>
      <c r="D4302" s="21">
        <f>ItensPedido!D4302</f>
        <v/>
      </c>
      <c r="E4302" s="22">
        <f>ItensPedido!E4302</f>
        <v/>
      </c>
      <c r="F4302" s="21">
        <f>IFERROR(INDEX(Pedidos!$B$2:$B$1801,MATCH(B4302,Pedidos!$A$2:$A$1801,0)),0)</f>
        <v/>
      </c>
      <c r="G4302" s="21">
        <f>IF(F4302=0,"",YEAR(F4302))</f>
        <v/>
      </c>
      <c r="H4302" s="21">
        <f>IF(F4302=0,"",MONTH(F4302))</f>
        <v/>
      </c>
      <c r="I4302" s="21">
        <f>IFERROR(INDEX(Pedidos!$E$2:$E$1801,MATCH(B4302,Pedidos!$A$2:$A$1801,0)),"")</f>
        <v/>
      </c>
      <c r="J4302" s="21">
        <f>IFERROR(INDEX(Pedidos!$C$2:$C$1801,MATCH(B4302,Pedidos!$A$2:$A$1801,0)),"")</f>
        <v/>
      </c>
      <c r="K4302" s="21">
        <f>IFERROR(INDEX(Pedidos!$D$2:$D$1801,MATCH(B4302,Pedidos!$A$2:$A$1801,0)),"")</f>
        <v/>
      </c>
      <c r="L4302" s="21">
        <f>IFERROR(INDEX(Pedidos!$F$2:$F$1801,MATCH(B4302,Pedidos!$A$2:$A$1801,0)),"")</f>
        <v/>
      </c>
      <c r="M4302" s="22">
        <f>IFERROR(INDEX(Pedidos!$G$2:$G$1801,MATCH(B4302,Pedidos!$A$2:$A$1801,0)),0)</f>
        <v/>
      </c>
      <c r="N4302" s="21">
        <f>IFERROR(INDEX(Produtos!$B$2:$B$71,MATCH(C4302,Produtos!$A$2:$A$71,0)),"")</f>
        <v/>
      </c>
      <c r="O4302" s="21">
        <f>IFERROR(INDEX(Produtos!$C$2:$C$71,MATCH(C4302,Produtos!$A$2:$A$71,0)),"")</f>
        <v/>
      </c>
      <c r="P4302" s="21">
        <f>IFERROR(INDEX(Produtos!$D$2:$D$71,MATCH(C4302,Produtos!$A$2:$A$71,0)),0)</f>
        <v/>
      </c>
      <c r="Q4302" s="21">
        <f>IFERROR(INDEX(Produtos!$E$2:$E$71,MATCH(C4302,Produtos!$A$2:$A$71,0)),0)</f>
        <v/>
      </c>
      <c r="R4302" s="23">
        <f>D4302*Q4302</f>
        <v/>
      </c>
      <c r="S4302" s="23">
        <f>R4302*E4302</f>
        <v/>
      </c>
      <c r="T4302" s="23">
        <f>(R4302-S4302)*M4302</f>
        <v/>
      </c>
      <c r="U4302" s="23">
        <f>R4302-S4302-T4302</f>
        <v/>
      </c>
      <c r="V4302" s="23">
        <f>D4302*P4302</f>
        <v/>
      </c>
      <c r="W4302" s="23">
        <f>U4302-V4302</f>
        <v/>
      </c>
      <c r="X4302" s="24">
        <f>IFERROR(W4302/U4302,0)</f>
        <v/>
      </c>
    </row>
    <row r="4303">
      <c r="A4303" s="25">
        <f>ItensPedido!A4303</f>
        <v/>
      </c>
      <c r="B4303" s="25">
        <f>ItensPedido!B4303</f>
        <v/>
      </c>
      <c r="C4303" s="25">
        <f>ItensPedido!C4303</f>
        <v/>
      </c>
      <c r="D4303" s="25">
        <f>ItensPedido!D4303</f>
        <v/>
      </c>
      <c r="E4303" s="26">
        <f>ItensPedido!E4303</f>
        <v/>
      </c>
      <c r="F4303" s="25">
        <f>IFERROR(INDEX(Pedidos!$B$2:$B$1801,MATCH(B4303,Pedidos!$A$2:$A$1801,0)),0)</f>
        <v/>
      </c>
      <c r="G4303" s="25">
        <f>IF(F4303=0,"",YEAR(F4303))</f>
        <v/>
      </c>
      <c r="H4303" s="25">
        <f>IF(F4303=0,"",MONTH(F4303))</f>
        <v/>
      </c>
      <c r="I4303" s="25">
        <f>IFERROR(INDEX(Pedidos!$E$2:$E$1801,MATCH(B4303,Pedidos!$A$2:$A$1801,0)),"")</f>
        <v/>
      </c>
      <c r="J4303" s="25">
        <f>IFERROR(INDEX(Pedidos!$C$2:$C$1801,MATCH(B4303,Pedidos!$A$2:$A$1801,0)),"")</f>
        <v/>
      </c>
      <c r="K4303" s="25">
        <f>IFERROR(INDEX(Pedidos!$D$2:$D$1801,MATCH(B4303,Pedidos!$A$2:$A$1801,0)),"")</f>
        <v/>
      </c>
      <c r="L4303" s="25">
        <f>IFERROR(INDEX(Pedidos!$F$2:$F$1801,MATCH(B4303,Pedidos!$A$2:$A$1801,0)),"")</f>
        <v/>
      </c>
      <c r="M4303" s="26">
        <f>IFERROR(INDEX(Pedidos!$G$2:$G$1801,MATCH(B4303,Pedidos!$A$2:$A$1801,0)),0)</f>
        <v/>
      </c>
      <c r="N4303" s="25">
        <f>IFERROR(INDEX(Produtos!$B$2:$B$71,MATCH(C4303,Produtos!$A$2:$A$71,0)),"")</f>
        <v/>
      </c>
      <c r="O4303" s="25">
        <f>IFERROR(INDEX(Produtos!$C$2:$C$71,MATCH(C4303,Produtos!$A$2:$A$71,0)),"")</f>
        <v/>
      </c>
      <c r="P4303" s="25">
        <f>IFERROR(INDEX(Produtos!$D$2:$D$71,MATCH(C4303,Produtos!$A$2:$A$71,0)),0)</f>
        <v/>
      </c>
      <c r="Q4303" s="25">
        <f>IFERROR(INDEX(Produtos!$E$2:$E$71,MATCH(C4303,Produtos!$A$2:$A$71,0)),0)</f>
        <v/>
      </c>
      <c r="R4303" s="27">
        <f>D4303*Q4303</f>
        <v/>
      </c>
      <c r="S4303" s="27">
        <f>R4303*E4303</f>
        <v/>
      </c>
      <c r="T4303" s="27">
        <f>(R4303-S4303)*M4303</f>
        <v/>
      </c>
      <c r="U4303" s="27">
        <f>R4303-S4303-T4303</f>
        <v/>
      </c>
      <c r="V4303" s="27">
        <f>D4303*P4303</f>
        <v/>
      </c>
      <c r="W4303" s="27">
        <f>U4303-V4303</f>
        <v/>
      </c>
      <c r="X4303" s="28">
        <f>IFERROR(W4303/U4303,0)</f>
        <v/>
      </c>
    </row>
    <row r="4304">
      <c r="A4304" s="21">
        <f>ItensPedido!A4304</f>
        <v/>
      </c>
      <c r="B4304" s="21">
        <f>ItensPedido!B4304</f>
        <v/>
      </c>
      <c r="C4304" s="21">
        <f>ItensPedido!C4304</f>
        <v/>
      </c>
      <c r="D4304" s="21">
        <f>ItensPedido!D4304</f>
        <v/>
      </c>
      <c r="E4304" s="22">
        <f>ItensPedido!E4304</f>
        <v/>
      </c>
      <c r="F4304" s="21">
        <f>IFERROR(INDEX(Pedidos!$B$2:$B$1801,MATCH(B4304,Pedidos!$A$2:$A$1801,0)),0)</f>
        <v/>
      </c>
      <c r="G4304" s="21">
        <f>IF(F4304=0,"",YEAR(F4304))</f>
        <v/>
      </c>
      <c r="H4304" s="21">
        <f>IF(F4304=0,"",MONTH(F4304))</f>
        <v/>
      </c>
      <c r="I4304" s="21">
        <f>IFERROR(INDEX(Pedidos!$E$2:$E$1801,MATCH(B4304,Pedidos!$A$2:$A$1801,0)),"")</f>
        <v/>
      </c>
      <c r="J4304" s="21">
        <f>IFERROR(INDEX(Pedidos!$C$2:$C$1801,MATCH(B4304,Pedidos!$A$2:$A$1801,0)),"")</f>
        <v/>
      </c>
      <c r="K4304" s="21">
        <f>IFERROR(INDEX(Pedidos!$D$2:$D$1801,MATCH(B4304,Pedidos!$A$2:$A$1801,0)),"")</f>
        <v/>
      </c>
      <c r="L4304" s="21">
        <f>IFERROR(INDEX(Pedidos!$F$2:$F$1801,MATCH(B4304,Pedidos!$A$2:$A$1801,0)),"")</f>
        <v/>
      </c>
      <c r="M4304" s="22">
        <f>IFERROR(INDEX(Pedidos!$G$2:$G$1801,MATCH(B4304,Pedidos!$A$2:$A$1801,0)),0)</f>
        <v/>
      </c>
      <c r="N4304" s="21">
        <f>IFERROR(INDEX(Produtos!$B$2:$B$71,MATCH(C4304,Produtos!$A$2:$A$71,0)),"")</f>
        <v/>
      </c>
      <c r="O4304" s="21">
        <f>IFERROR(INDEX(Produtos!$C$2:$C$71,MATCH(C4304,Produtos!$A$2:$A$71,0)),"")</f>
        <v/>
      </c>
      <c r="P4304" s="21">
        <f>IFERROR(INDEX(Produtos!$D$2:$D$71,MATCH(C4304,Produtos!$A$2:$A$71,0)),0)</f>
        <v/>
      </c>
      <c r="Q4304" s="21">
        <f>IFERROR(INDEX(Produtos!$E$2:$E$71,MATCH(C4304,Produtos!$A$2:$A$71,0)),0)</f>
        <v/>
      </c>
      <c r="R4304" s="23">
        <f>D4304*Q4304</f>
        <v/>
      </c>
      <c r="S4304" s="23">
        <f>R4304*E4304</f>
        <v/>
      </c>
      <c r="T4304" s="23">
        <f>(R4304-S4304)*M4304</f>
        <v/>
      </c>
      <c r="U4304" s="23">
        <f>R4304-S4304-T4304</f>
        <v/>
      </c>
      <c r="V4304" s="23">
        <f>D4304*P4304</f>
        <v/>
      </c>
      <c r="W4304" s="23">
        <f>U4304-V4304</f>
        <v/>
      </c>
      <c r="X4304" s="24">
        <f>IFERROR(W4304/U4304,0)</f>
        <v/>
      </c>
    </row>
    <row r="4305">
      <c r="A4305" s="25">
        <f>ItensPedido!A4305</f>
        <v/>
      </c>
      <c r="B4305" s="25">
        <f>ItensPedido!B4305</f>
        <v/>
      </c>
      <c r="C4305" s="25">
        <f>ItensPedido!C4305</f>
        <v/>
      </c>
      <c r="D4305" s="25">
        <f>ItensPedido!D4305</f>
        <v/>
      </c>
      <c r="E4305" s="26">
        <f>ItensPedido!E4305</f>
        <v/>
      </c>
      <c r="F4305" s="25">
        <f>IFERROR(INDEX(Pedidos!$B$2:$B$1801,MATCH(B4305,Pedidos!$A$2:$A$1801,0)),0)</f>
        <v/>
      </c>
      <c r="G4305" s="25">
        <f>IF(F4305=0,"",YEAR(F4305))</f>
        <v/>
      </c>
      <c r="H4305" s="25">
        <f>IF(F4305=0,"",MONTH(F4305))</f>
        <v/>
      </c>
      <c r="I4305" s="25">
        <f>IFERROR(INDEX(Pedidos!$E$2:$E$1801,MATCH(B4305,Pedidos!$A$2:$A$1801,0)),"")</f>
        <v/>
      </c>
      <c r="J4305" s="25">
        <f>IFERROR(INDEX(Pedidos!$C$2:$C$1801,MATCH(B4305,Pedidos!$A$2:$A$1801,0)),"")</f>
        <v/>
      </c>
      <c r="K4305" s="25">
        <f>IFERROR(INDEX(Pedidos!$D$2:$D$1801,MATCH(B4305,Pedidos!$A$2:$A$1801,0)),"")</f>
        <v/>
      </c>
      <c r="L4305" s="25">
        <f>IFERROR(INDEX(Pedidos!$F$2:$F$1801,MATCH(B4305,Pedidos!$A$2:$A$1801,0)),"")</f>
        <v/>
      </c>
      <c r="M4305" s="26">
        <f>IFERROR(INDEX(Pedidos!$G$2:$G$1801,MATCH(B4305,Pedidos!$A$2:$A$1801,0)),0)</f>
        <v/>
      </c>
      <c r="N4305" s="25">
        <f>IFERROR(INDEX(Produtos!$B$2:$B$71,MATCH(C4305,Produtos!$A$2:$A$71,0)),"")</f>
        <v/>
      </c>
      <c r="O4305" s="25">
        <f>IFERROR(INDEX(Produtos!$C$2:$C$71,MATCH(C4305,Produtos!$A$2:$A$71,0)),"")</f>
        <v/>
      </c>
      <c r="P4305" s="25">
        <f>IFERROR(INDEX(Produtos!$D$2:$D$71,MATCH(C4305,Produtos!$A$2:$A$71,0)),0)</f>
        <v/>
      </c>
      <c r="Q4305" s="25">
        <f>IFERROR(INDEX(Produtos!$E$2:$E$71,MATCH(C4305,Produtos!$A$2:$A$71,0)),0)</f>
        <v/>
      </c>
      <c r="R4305" s="27">
        <f>D4305*Q4305</f>
        <v/>
      </c>
      <c r="S4305" s="27">
        <f>R4305*E4305</f>
        <v/>
      </c>
      <c r="T4305" s="27">
        <f>(R4305-S4305)*M4305</f>
        <v/>
      </c>
      <c r="U4305" s="27">
        <f>R4305-S4305-T4305</f>
        <v/>
      </c>
      <c r="V4305" s="27">
        <f>D4305*P4305</f>
        <v/>
      </c>
      <c r="W4305" s="27">
        <f>U4305-V4305</f>
        <v/>
      </c>
      <c r="X4305" s="28">
        <f>IFERROR(W4305/U4305,0)</f>
        <v/>
      </c>
    </row>
    <row r="4306">
      <c r="A4306" s="21">
        <f>ItensPedido!A4306</f>
        <v/>
      </c>
      <c r="B4306" s="21">
        <f>ItensPedido!B4306</f>
        <v/>
      </c>
      <c r="C4306" s="21">
        <f>ItensPedido!C4306</f>
        <v/>
      </c>
      <c r="D4306" s="21">
        <f>ItensPedido!D4306</f>
        <v/>
      </c>
      <c r="E4306" s="22">
        <f>ItensPedido!E4306</f>
        <v/>
      </c>
      <c r="F4306" s="21">
        <f>IFERROR(INDEX(Pedidos!$B$2:$B$1801,MATCH(B4306,Pedidos!$A$2:$A$1801,0)),0)</f>
        <v/>
      </c>
      <c r="G4306" s="21">
        <f>IF(F4306=0,"",YEAR(F4306))</f>
        <v/>
      </c>
      <c r="H4306" s="21">
        <f>IF(F4306=0,"",MONTH(F4306))</f>
        <v/>
      </c>
      <c r="I4306" s="21">
        <f>IFERROR(INDEX(Pedidos!$E$2:$E$1801,MATCH(B4306,Pedidos!$A$2:$A$1801,0)),"")</f>
        <v/>
      </c>
      <c r="J4306" s="21">
        <f>IFERROR(INDEX(Pedidos!$C$2:$C$1801,MATCH(B4306,Pedidos!$A$2:$A$1801,0)),"")</f>
        <v/>
      </c>
      <c r="K4306" s="21">
        <f>IFERROR(INDEX(Pedidos!$D$2:$D$1801,MATCH(B4306,Pedidos!$A$2:$A$1801,0)),"")</f>
        <v/>
      </c>
      <c r="L4306" s="21">
        <f>IFERROR(INDEX(Pedidos!$F$2:$F$1801,MATCH(B4306,Pedidos!$A$2:$A$1801,0)),"")</f>
        <v/>
      </c>
      <c r="M4306" s="22">
        <f>IFERROR(INDEX(Pedidos!$G$2:$G$1801,MATCH(B4306,Pedidos!$A$2:$A$1801,0)),0)</f>
        <v/>
      </c>
      <c r="N4306" s="21">
        <f>IFERROR(INDEX(Produtos!$B$2:$B$71,MATCH(C4306,Produtos!$A$2:$A$71,0)),"")</f>
        <v/>
      </c>
      <c r="O4306" s="21">
        <f>IFERROR(INDEX(Produtos!$C$2:$C$71,MATCH(C4306,Produtos!$A$2:$A$71,0)),"")</f>
        <v/>
      </c>
      <c r="P4306" s="21">
        <f>IFERROR(INDEX(Produtos!$D$2:$D$71,MATCH(C4306,Produtos!$A$2:$A$71,0)),0)</f>
        <v/>
      </c>
      <c r="Q4306" s="21">
        <f>IFERROR(INDEX(Produtos!$E$2:$E$71,MATCH(C4306,Produtos!$A$2:$A$71,0)),0)</f>
        <v/>
      </c>
      <c r="R4306" s="23">
        <f>D4306*Q4306</f>
        <v/>
      </c>
      <c r="S4306" s="23">
        <f>R4306*E4306</f>
        <v/>
      </c>
      <c r="T4306" s="23">
        <f>(R4306-S4306)*M4306</f>
        <v/>
      </c>
      <c r="U4306" s="23">
        <f>R4306-S4306-T4306</f>
        <v/>
      </c>
      <c r="V4306" s="23">
        <f>D4306*P4306</f>
        <v/>
      </c>
      <c r="W4306" s="23">
        <f>U4306-V4306</f>
        <v/>
      </c>
      <c r="X4306" s="24">
        <f>IFERROR(W4306/U4306,0)</f>
        <v/>
      </c>
    </row>
    <row r="4307">
      <c r="A4307" s="25">
        <f>ItensPedido!A4307</f>
        <v/>
      </c>
      <c r="B4307" s="25">
        <f>ItensPedido!B4307</f>
        <v/>
      </c>
      <c r="C4307" s="25">
        <f>ItensPedido!C4307</f>
        <v/>
      </c>
      <c r="D4307" s="25">
        <f>ItensPedido!D4307</f>
        <v/>
      </c>
      <c r="E4307" s="26">
        <f>ItensPedido!E4307</f>
        <v/>
      </c>
      <c r="F4307" s="25">
        <f>IFERROR(INDEX(Pedidos!$B$2:$B$1801,MATCH(B4307,Pedidos!$A$2:$A$1801,0)),0)</f>
        <v/>
      </c>
      <c r="G4307" s="25">
        <f>IF(F4307=0,"",YEAR(F4307))</f>
        <v/>
      </c>
      <c r="H4307" s="25">
        <f>IF(F4307=0,"",MONTH(F4307))</f>
        <v/>
      </c>
      <c r="I4307" s="25">
        <f>IFERROR(INDEX(Pedidos!$E$2:$E$1801,MATCH(B4307,Pedidos!$A$2:$A$1801,0)),"")</f>
        <v/>
      </c>
      <c r="J4307" s="25">
        <f>IFERROR(INDEX(Pedidos!$C$2:$C$1801,MATCH(B4307,Pedidos!$A$2:$A$1801,0)),"")</f>
        <v/>
      </c>
      <c r="K4307" s="25">
        <f>IFERROR(INDEX(Pedidos!$D$2:$D$1801,MATCH(B4307,Pedidos!$A$2:$A$1801,0)),"")</f>
        <v/>
      </c>
      <c r="L4307" s="25">
        <f>IFERROR(INDEX(Pedidos!$F$2:$F$1801,MATCH(B4307,Pedidos!$A$2:$A$1801,0)),"")</f>
        <v/>
      </c>
      <c r="M4307" s="26">
        <f>IFERROR(INDEX(Pedidos!$G$2:$G$1801,MATCH(B4307,Pedidos!$A$2:$A$1801,0)),0)</f>
        <v/>
      </c>
      <c r="N4307" s="25">
        <f>IFERROR(INDEX(Produtos!$B$2:$B$71,MATCH(C4307,Produtos!$A$2:$A$71,0)),"")</f>
        <v/>
      </c>
      <c r="O4307" s="25">
        <f>IFERROR(INDEX(Produtos!$C$2:$C$71,MATCH(C4307,Produtos!$A$2:$A$71,0)),"")</f>
        <v/>
      </c>
      <c r="P4307" s="25">
        <f>IFERROR(INDEX(Produtos!$D$2:$D$71,MATCH(C4307,Produtos!$A$2:$A$71,0)),0)</f>
        <v/>
      </c>
      <c r="Q4307" s="25">
        <f>IFERROR(INDEX(Produtos!$E$2:$E$71,MATCH(C4307,Produtos!$A$2:$A$71,0)),0)</f>
        <v/>
      </c>
      <c r="R4307" s="27">
        <f>D4307*Q4307</f>
        <v/>
      </c>
      <c r="S4307" s="27">
        <f>R4307*E4307</f>
        <v/>
      </c>
      <c r="T4307" s="27">
        <f>(R4307-S4307)*M4307</f>
        <v/>
      </c>
      <c r="U4307" s="27">
        <f>R4307-S4307-T4307</f>
        <v/>
      </c>
      <c r="V4307" s="27">
        <f>D4307*P4307</f>
        <v/>
      </c>
      <c r="W4307" s="27">
        <f>U4307-V4307</f>
        <v/>
      </c>
      <c r="X4307" s="28">
        <f>IFERROR(W4307/U4307,0)</f>
        <v/>
      </c>
    </row>
    <row r="4308">
      <c r="A4308" s="21">
        <f>ItensPedido!A4308</f>
        <v/>
      </c>
      <c r="B4308" s="21">
        <f>ItensPedido!B4308</f>
        <v/>
      </c>
      <c r="C4308" s="21">
        <f>ItensPedido!C4308</f>
        <v/>
      </c>
      <c r="D4308" s="21">
        <f>ItensPedido!D4308</f>
        <v/>
      </c>
      <c r="E4308" s="22">
        <f>ItensPedido!E4308</f>
        <v/>
      </c>
      <c r="F4308" s="21">
        <f>IFERROR(INDEX(Pedidos!$B$2:$B$1801,MATCH(B4308,Pedidos!$A$2:$A$1801,0)),0)</f>
        <v/>
      </c>
      <c r="G4308" s="21">
        <f>IF(F4308=0,"",YEAR(F4308))</f>
        <v/>
      </c>
      <c r="H4308" s="21">
        <f>IF(F4308=0,"",MONTH(F4308))</f>
        <v/>
      </c>
      <c r="I4308" s="21">
        <f>IFERROR(INDEX(Pedidos!$E$2:$E$1801,MATCH(B4308,Pedidos!$A$2:$A$1801,0)),"")</f>
        <v/>
      </c>
      <c r="J4308" s="21">
        <f>IFERROR(INDEX(Pedidos!$C$2:$C$1801,MATCH(B4308,Pedidos!$A$2:$A$1801,0)),"")</f>
        <v/>
      </c>
      <c r="K4308" s="21">
        <f>IFERROR(INDEX(Pedidos!$D$2:$D$1801,MATCH(B4308,Pedidos!$A$2:$A$1801,0)),"")</f>
        <v/>
      </c>
      <c r="L4308" s="21">
        <f>IFERROR(INDEX(Pedidos!$F$2:$F$1801,MATCH(B4308,Pedidos!$A$2:$A$1801,0)),"")</f>
        <v/>
      </c>
      <c r="M4308" s="22">
        <f>IFERROR(INDEX(Pedidos!$G$2:$G$1801,MATCH(B4308,Pedidos!$A$2:$A$1801,0)),0)</f>
        <v/>
      </c>
      <c r="N4308" s="21">
        <f>IFERROR(INDEX(Produtos!$B$2:$B$71,MATCH(C4308,Produtos!$A$2:$A$71,0)),"")</f>
        <v/>
      </c>
      <c r="O4308" s="21">
        <f>IFERROR(INDEX(Produtos!$C$2:$C$71,MATCH(C4308,Produtos!$A$2:$A$71,0)),"")</f>
        <v/>
      </c>
      <c r="P4308" s="21">
        <f>IFERROR(INDEX(Produtos!$D$2:$D$71,MATCH(C4308,Produtos!$A$2:$A$71,0)),0)</f>
        <v/>
      </c>
      <c r="Q4308" s="21">
        <f>IFERROR(INDEX(Produtos!$E$2:$E$71,MATCH(C4308,Produtos!$A$2:$A$71,0)),0)</f>
        <v/>
      </c>
      <c r="R4308" s="23">
        <f>D4308*Q4308</f>
        <v/>
      </c>
      <c r="S4308" s="23">
        <f>R4308*E4308</f>
        <v/>
      </c>
      <c r="T4308" s="23">
        <f>(R4308-S4308)*M4308</f>
        <v/>
      </c>
      <c r="U4308" s="23">
        <f>R4308-S4308-T4308</f>
        <v/>
      </c>
      <c r="V4308" s="23">
        <f>D4308*P4308</f>
        <v/>
      </c>
      <c r="W4308" s="23">
        <f>U4308-V4308</f>
        <v/>
      </c>
      <c r="X4308" s="24">
        <f>IFERROR(W4308/U4308,0)</f>
        <v/>
      </c>
    </row>
    <row r="4309">
      <c r="A4309" s="25">
        <f>ItensPedido!A4309</f>
        <v/>
      </c>
      <c r="B4309" s="25">
        <f>ItensPedido!B4309</f>
        <v/>
      </c>
      <c r="C4309" s="25">
        <f>ItensPedido!C4309</f>
        <v/>
      </c>
      <c r="D4309" s="25">
        <f>ItensPedido!D4309</f>
        <v/>
      </c>
      <c r="E4309" s="26">
        <f>ItensPedido!E4309</f>
        <v/>
      </c>
      <c r="F4309" s="25">
        <f>IFERROR(INDEX(Pedidos!$B$2:$B$1801,MATCH(B4309,Pedidos!$A$2:$A$1801,0)),0)</f>
        <v/>
      </c>
      <c r="G4309" s="25">
        <f>IF(F4309=0,"",YEAR(F4309))</f>
        <v/>
      </c>
      <c r="H4309" s="25">
        <f>IF(F4309=0,"",MONTH(F4309))</f>
        <v/>
      </c>
      <c r="I4309" s="25">
        <f>IFERROR(INDEX(Pedidos!$E$2:$E$1801,MATCH(B4309,Pedidos!$A$2:$A$1801,0)),"")</f>
        <v/>
      </c>
      <c r="J4309" s="25">
        <f>IFERROR(INDEX(Pedidos!$C$2:$C$1801,MATCH(B4309,Pedidos!$A$2:$A$1801,0)),"")</f>
        <v/>
      </c>
      <c r="K4309" s="25">
        <f>IFERROR(INDEX(Pedidos!$D$2:$D$1801,MATCH(B4309,Pedidos!$A$2:$A$1801,0)),"")</f>
        <v/>
      </c>
      <c r="L4309" s="25">
        <f>IFERROR(INDEX(Pedidos!$F$2:$F$1801,MATCH(B4309,Pedidos!$A$2:$A$1801,0)),"")</f>
        <v/>
      </c>
      <c r="M4309" s="26">
        <f>IFERROR(INDEX(Pedidos!$G$2:$G$1801,MATCH(B4309,Pedidos!$A$2:$A$1801,0)),0)</f>
        <v/>
      </c>
      <c r="N4309" s="25">
        <f>IFERROR(INDEX(Produtos!$B$2:$B$71,MATCH(C4309,Produtos!$A$2:$A$71,0)),"")</f>
        <v/>
      </c>
      <c r="O4309" s="25">
        <f>IFERROR(INDEX(Produtos!$C$2:$C$71,MATCH(C4309,Produtos!$A$2:$A$71,0)),"")</f>
        <v/>
      </c>
      <c r="P4309" s="25">
        <f>IFERROR(INDEX(Produtos!$D$2:$D$71,MATCH(C4309,Produtos!$A$2:$A$71,0)),0)</f>
        <v/>
      </c>
      <c r="Q4309" s="25">
        <f>IFERROR(INDEX(Produtos!$E$2:$E$71,MATCH(C4309,Produtos!$A$2:$A$71,0)),0)</f>
        <v/>
      </c>
      <c r="R4309" s="27">
        <f>D4309*Q4309</f>
        <v/>
      </c>
      <c r="S4309" s="27">
        <f>R4309*E4309</f>
        <v/>
      </c>
      <c r="T4309" s="27">
        <f>(R4309-S4309)*M4309</f>
        <v/>
      </c>
      <c r="U4309" s="27">
        <f>R4309-S4309-T4309</f>
        <v/>
      </c>
      <c r="V4309" s="27">
        <f>D4309*P4309</f>
        <v/>
      </c>
      <c r="W4309" s="27">
        <f>U4309-V4309</f>
        <v/>
      </c>
      <c r="X4309" s="28">
        <f>IFERROR(W4309/U4309,0)</f>
        <v/>
      </c>
    </row>
    <row r="4310">
      <c r="A4310" s="21">
        <f>ItensPedido!A4310</f>
        <v/>
      </c>
      <c r="B4310" s="21">
        <f>ItensPedido!B4310</f>
        <v/>
      </c>
      <c r="C4310" s="21">
        <f>ItensPedido!C4310</f>
        <v/>
      </c>
      <c r="D4310" s="21">
        <f>ItensPedido!D4310</f>
        <v/>
      </c>
      <c r="E4310" s="22">
        <f>ItensPedido!E4310</f>
        <v/>
      </c>
      <c r="F4310" s="21">
        <f>IFERROR(INDEX(Pedidos!$B$2:$B$1801,MATCH(B4310,Pedidos!$A$2:$A$1801,0)),0)</f>
        <v/>
      </c>
      <c r="G4310" s="21">
        <f>IF(F4310=0,"",YEAR(F4310))</f>
        <v/>
      </c>
      <c r="H4310" s="21">
        <f>IF(F4310=0,"",MONTH(F4310))</f>
        <v/>
      </c>
      <c r="I4310" s="21">
        <f>IFERROR(INDEX(Pedidos!$E$2:$E$1801,MATCH(B4310,Pedidos!$A$2:$A$1801,0)),"")</f>
        <v/>
      </c>
      <c r="J4310" s="21">
        <f>IFERROR(INDEX(Pedidos!$C$2:$C$1801,MATCH(B4310,Pedidos!$A$2:$A$1801,0)),"")</f>
        <v/>
      </c>
      <c r="K4310" s="21">
        <f>IFERROR(INDEX(Pedidos!$D$2:$D$1801,MATCH(B4310,Pedidos!$A$2:$A$1801,0)),"")</f>
        <v/>
      </c>
      <c r="L4310" s="21">
        <f>IFERROR(INDEX(Pedidos!$F$2:$F$1801,MATCH(B4310,Pedidos!$A$2:$A$1801,0)),"")</f>
        <v/>
      </c>
      <c r="M4310" s="22">
        <f>IFERROR(INDEX(Pedidos!$G$2:$G$1801,MATCH(B4310,Pedidos!$A$2:$A$1801,0)),0)</f>
        <v/>
      </c>
      <c r="N4310" s="21">
        <f>IFERROR(INDEX(Produtos!$B$2:$B$71,MATCH(C4310,Produtos!$A$2:$A$71,0)),"")</f>
        <v/>
      </c>
      <c r="O4310" s="21">
        <f>IFERROR(INDEX(Produtos!$C$2:$C$71,MATCH(C4310,Produtos!$A$2:$A$71,0)),"")</f>
        <v/>
      </c>
      <c r="P4310" s="21">
        <f>IFERROR(INDEX(Produtos!$D$2:$D$71,MATCH(C4310,Produtos!$A$2:$A$71,0)),0)</f>
        <v/>
      </c>
      <c r="Q4310" s="21">
        <f>IFERROR(INDEX(Produtos!$E$2:$E$71,MATCH(C4310,Produtos!$A$2:$A$71,0)),0)</f>
        <v/>
      </c>
      <c r="R4310" s="23">
        <f>D4310*Q4310</f>
        <v/>
      </c>
      <c r="S4310" s="23">
        <f>R4310*E4310</f>
        <v/>
      </c>
      <c r="T4310" s="23">
        <f>(R4310-S4310)*M4310</f>
        <v/>
      </c>
      <c r="U4310" s="23">
        <f>R4310-S4310-T4310</f>
        <v/>
      </c>
      <c r="V4310" s="23">
        <f>D4310*P4310</f>
        <v/>
      </c>
      <c r="W4310" s="23">
        <f>U4310-V4310</f>
        <v/>
      </c>
      <c r="X4310" s="24">
        <f>IFERROR(W4310/U4310,0)</f>
        <v/>
      </c>
    </row>
    <row r="4311">
      <c r="A4311" s="25">
        <f>ItensPedido!A4311</f>
        <v/>
      </c>
      <c r="B4311" s="25">
        <f>ItensPedido!B4311</f>
        <v/>
      </c>
      <c r="C4311" s="25">
        <f>ItensPedido!C4311</f>
        <v/>
      </c>
      <c r="D4311" s="25">
        <f>ItensPedido!D4311</f>
        <v/>
      </c>
      <c r="E4311" s="26">
        <f>ItensPedido!E4311</f>
        <v/>
      </c>
      <c r="F4311" s="25">
        <f>IFERROR(INDEX(Pedidos!$B$2:$B$1801,MATCH(B4311,Pedidos!$A$2:$A$1801,0)),0)</f>
        <v/>
      </c>
      <c r="G4311" s="25">
        <f>IF(F4311=0,"",YEAR(F4311))</f>
        <v/>
      </c>
      <c r="H4311" s="25">
        <f>IF(F4311=0,"",MONTH(F4311))</f>
        <v/>
      </c>
      <c r="I4311" s="25">
        <f>IFERROR(INDEX(Pedidos!$E$2:$E$1801,MATCH(B4311,Pedidos!$A$2:$A$1801,0)),"")</f>
        <v/>
      </c>
      <c r="J4311" s="25">
        <f>IFERROR(INDEX(Pedidos!$C$2:$C$1801,MATCH(B4311,Pedidos!$A$2:$A$1801,0)),"")</f>
        <v/>
      </c>
      <c r="K4311" s="25">
        <f>IFERROR(INDEX(Pedidos!$D$2:$D$1801,MATCH(B4311,Pedidos!$A$2:$A$1801,0)),"")</f>
        <v/>
      </c>
      <c r="L4311" s="25">
        <f>IFERROR(INDEX(Pedidos!$F$2:$F$1801,MATCH(B4311,Pedidos!$A$2:$A$1801,0)),"")</f>
        <v/>
      </c>
      <c r="M4311" s="26">
        <f>IFERROR(INDEX(Pedidos!$G$2:$G$1801,MATCH(B4311,Pedidos!$A$2:$A$1801,0)),0)</f>
        <v/>
      </c>
      <c r="N4311" s="25">
        <f>IFERROR(INDEX(Produtos!$B$2:$B$71,MATCH(C4311,Produtos!$A$2:$A$71,0)),"")</f>
        <v/>
      </c>
      <c r="O4311" s="25">
        <f>IFERROR(INDEX(Produtos!$C$2:$C$71,MATCH(C4311,Produtos!$A$2:$A$71,0)),"")</f>
        <v/>
      </c>
      <c r="P4311" s="25">
        <f>IFERROR(INDEX(Produtos!$D$2:$D$71,MATCH(C4311,Produtos!$A$2:$A$71,0)),0)</f>
        <v/>
      </c>
      <c r="Q4311" s="25">
        <f>IFERROR(INDEX(Produtos!$E$2:$E$71,MATCH(C4311,Produtos!$A$2:$A$71,0)),0)</f>
        <v/>
      </c>
      <c r="R4311" s="27">
        <f>D4311*Q4311</f>
        <v/>
      </c>
      <c r="S4311" s="27">
        <f>R4311*E4311</f>
        <v/>
      </c>
      <c r="T4311" s="27">
        <f>(R4311-S4311)*M4311</f>
        <v/>
      </c>
      <c r="U4311" s="27">
        <f>R4311-S4311-T4311</f>
        <v/>
      </c>
      <c r="V4311" s="27">
        <f>D4311*P4311</f>
        <v/>
      </c>
      <c r="W4311" s="27">
        <f>U4311-V4311</f>
        <v/>
      </c>
      <c r="X4311" s="28">
        <f>IFERROR(W4311/U4311,0)</f>
        <v/>
      </c>
    </row>
    <row r="4312">
      <c r="A4312" s="21">
        <f>ItensPedido!A4312</f>
        <v/>
      </c>
      <c r="B4312" s="21">
        <f>ItensPedido!B4312</f>
        <v/>
      </c>
      <c r="C4312" s="21">
        <f>ItensPedido!C4312</f>
        <v/>
      </c>
      <c r="D4312" s="21">
        <f>ItensPedido!D4312</f>
        <v/>
      </c>
      <c r="E4312" s="22">
        <f>ItensPedido!E4312</f>
        <v/>
      </c>
      <c r="F4312" s="21">
        <f>IFERROR(INDEX(Pedidos!$B$2:$B$1801,MATCH(B4312,Pedidos!$A$2:$A$1801,0)),0)</f>
        <v/>
      </c>
      <c r="G4312" s="21">
        <f>IF(F4312=0,"",YEAR(F4312))</f>
        <v/>
      </c>
      <c r="H4312" s="21">
        <f>IF(F4312=0,"",MONTH(F4312))</f>
        <v/>
      </c>
      <c r="I4312" s="21">
        <f>IFERROR(INDEX(Pedidos!$E$2:$E$1801,MATCH(B4312,Pedidos!$A$2:$A$1801,0)),"")</f>
        <v/>
      </c>
      <c r="J4312" s="21">
        <f>IFERROR(INDEX(Pedidos!$C$2:$C$1801,MATCH(B4312,Pedidos!$A$2:$A$1801,0)),"")</f>
        <v/>
      </c>
      <c r="K4312" s="21">
        <f>IFERROR(INDEX(Pedidos!$D$2:$D$1801,MATCH(B4312,Pedidos!$A$2:$A$1801,0)),"")</f>
        <v/>
      </c>
      <c r="L4312" s="21">
        <f>IFERROR(INDEX(Pedidos!$F$2:$F$1801,MATCH(B4312,Pedidos!$A$2:$A$1801,0)),"")</f>
        <v/>
      </c>
      <c r="M4312" s="22">
        <f>IFERROR(INDEX(Pedidos!$G$2:$G$1801,MATCH(B4312,Pedidos!$A$2:$A$1801,0)),0)</f>
        <v/>
      </c>
      <c r="N4312" s="21">
        <f>IFERROR(INDEX(Produtos!$B$2:$B$71,MATCH(C4312,Produtos!$A$2:$A$71,0)),"")</f>
        <v/>
      </c>
      <c r="O4312" s="21">
        <f>IFERROR(INDEX(Produtos!$C$2:$C$71,MATCH(C4312,Produtos!$A$2:$A$71,0)),"")</f>
        <v/>
      </c>
      <c r="P4312" s="21">
        <f>IFERROR(INDEX(Produtos!$D$2:$D$71,MATCH(C4312,Produtos!$A$2:$A$71,0)),0)</f>
        <v/>
      </c>
      <c r="Q4312" s="21">
        <f>IFERROR(INDEX(Produtos!$E$2:$E$71,MATCH(C4312,Produtos!$A$2:$A$71,0)),0)</f>
        <v/>
      </c>
      <c r="R4312" s="23">
        <f>D4312*Q4312</f>
        <v/>
      </c>
      <c r="S4312" s="23">
        <f>R4312*E4312</f>
        <v/>
      </c>
      <c r="T4312" s="23">
        <f>(R4312-S4312)*M4312</f>
        <v/>
      </c>
      <c r="U4312" s="23">
        <f>R4312-S4312-T4312</f>
        <v/>
      </c>
      <c r="V4312" s="23">
        <f>D4312*P4312</f>
        <v/>
      </c>
      <c r="W4312" s="23">
        <f>U4312-V4312</f>
        <v/>
      </c>
      <c r="X4312" s="24">
        <f>IFERROR(W4312/U4312,0)</f>
        <v/>
      </c>
    </row>
    <row r="4313">
      <c r="A4313" s="25">
        <f>ItensPedido!A4313</f>
        <v/>
      </c>
      <c r="B4313" s="25">
        <f>ItensPedido!B4313</f>
        <v/>
      </c>
      <c r="C4313" s="25">
        <f>ItensPedido!C4313</f>
        <v/>
      </c>
      <c r="D4313" s="25">
        <f>ItensPedido!D4313</f>
        <v/>
      </c>
      <c r="E4313" s="26">
        <f>ItensPedido!E4313</f>
        <v/>
      </c>
      <c r="F4313" s="25">
        <f>IFERROR(INDEX(Pedidos!$B$2:$B$1801,MATCH(B4313,Pedidos!$A$2:$A$1801,0)),0)</f>
        <v/>
      </c>
      <c r="G4313" s="25">
        <f>IF(F4313=0,"",YEAR(F4313))</f>
        <v/>
      </c>
      <c r="H4313" s="25">
        <f>IF(F4313=0,"",MONTH(F4313))</f>
        <v/>
      </c>
      <c r="I4313" s="25">
        <f>IFERROR(INDEX(Pedidos!$E$2:$E$1801,MATCH(B4313,Pedidos!$A$2:$A$1801,0)),"")</f>
        <v/>
      </c>
      <c r="J4313" s="25">
        <f>IFERROR(INDEX(Pedidos!$C$2:$C$1801,MATCH(B4313,Pedidos!$A$2:$A$1801,0)),"")</f>
        <v/>
      </c>
      <c r="K4313" s="25">
        <f>IFERROR(INDEX(Pedidos!$D$2:$D$1801,MATCH(B4313,Pedidos!$A$2:$A$1801,0)),"")</f>
        <v/>
      </c>
      <c r="L4313" s="25">
        <f>IFERROR(INDEX(Pedidos!$F$2:$F$1801,MATCH(B4313,Pedidos!$A$2:$A$1801,0)),"")</f>
        <v/>
      </c>
      <c r="M4313" s="26">
        <f>IFERROR(INDEX(Pedidos!$G$2:$G$1801,MATCH(B4313,Pedidos!$A$2:$A$1801,0)),0)</f>
        <v/>
      </c>
      <c r="N4313" s="25">
        <f>IFERROR(INDEX(Produtos!$B$2:$B$71,MATCH(C4313,Produtos!$A$2:$A$71,0)),"")</f>
        <v/>
      </c>
      <c r="O4313" s="25">
        <f>IFERROR(INDEX(Produtos!$C$2:$C$71,MATCH(C4313,Produtos!$A$2:$A$71,0)),"")</f>
        <v/>
      </c>
      <c r="P4313" s="25">
        <f>IFERROR(INDEX(Produtos!$D$2:$D$71,MATCH(C4313,Produtos!$A$2:$A$71,0)),0)</f>
        <v/>
      </c>
      <c r="Q4313" s="25">
        <f>IFERROR(INDEX(Produtos!$E$2:$E$71,MATCH(C4313,Produtos!$A$2:$A$71,0)),0)</f>
        <v/>
      </c>
      <c r="R4313" s="27">
        <f>D4313*Q4313</f>
        <v/>
      </c>
      <c r="S4313" s="27">
        <f>R4313*E4313</f>
        <v/>
      </c>
      <c r="T4313" s="27">
        <f>(R4313-S4313)*M4313</f>
        <v/>
      </c>
      <c r="U4313" s="27">
        <f>R4313-S4313-T4313</f>
        <v/>
      </c>
      <c r="V4313" s="27">
        <f>D4313*P4313</f>
        <v/>
      </c>
      <c r="W4313" s="27">
        <f>U4313-V4313</f>
        <v/>
      </c>
      <c r="X4313" s="28">
        <f>IFERROR(W4313/U4313,0)</f>
        <v/>
      </c>
    </row>
    <row r="4314">
      <c r="A4314" s="21">
        <f>ItensPedido!A4314</f>
        <v/>
      </c>
      <c r="B4314" s="21">
        <f>ItensPedido!B4314</f>
        <v/>
      </c>
      <c r="C4314" s="21">
        <f>ItensPedido!C4314</f>
        <v/>
      </c>
      <c r="D4314" s="21">
        <f>ItensPedido!D4314</f>
        <v/>
      </c>
      <c r="E4314" s="22">
        <f>ItensPedido!E4314</f>
        <v/>
      </c>
      <c r="F4314" s="21">
        <f>IFERROR(INDEX(Pedidos!$B$2:$B$1801,MATCH(B4314,Pedidos!$A$2:$A$1801,0)),0)</f>
        <v/>
      </c>
      <c r="G4314" s="21">
        <f>IF(F4314=0,"",YEAR(F4314))</f>
        <v/>
      </c>
      <c r="H4314" s="21">
        <f>IF(F4314=0,"",MONTH(F4314))</f>
        <v/>
      </c>
      <c r="I4314" s="21">
        <f>IFERROR(INDEX(Pedidos!$E$2:$E$1801,MATCH(B4314,Pedidos!$A$2:$A$1801,0)),"")</f>
        <v/>
      </c>
      <c r="J4314" s="21">
        <f>IFERROR(INDEX(Pedidos!$C$2:$C$1801,MATCH(B4314,Pedidos!$A$2:$A$1801,0)),"")</f>
        <v/>
      </c>
      <c r="K4314" s="21">
        <f>IFERROR(INDEX(Pedidos!$D$2:$D$1801,MATCH(B4314,Pedidos!$A$2:$A$1801,0)),"")</f>
        <v/>
      </c>
      <c r="L4314" s="21">
        <f>IFERROR(INDEX(Pedidos!$F$2:$F$1801,MATCH(B4314,Pedidos!$A$2:$A$1801,0)),"")</f>
        <v/>
      </c>
      <c r="M4314" s="22">
        <f>IFERROR(INDEX(Pedidos!$G$2:$G$1801,MATCH(B4314,Pedidos!$A$2:$A$1801,0)),0)</f>
        <v/>
      </c>
      <c r="N4314" s="21">
        <f>IFERROR(INDEX(Produtos!$B$2:$B$71,MATCH(C4314,Produtos!$A$2:$A$71,0)),"")</f>
        <v/>
      </c>
      <c r="O4314" s="21">
        <f>IFERROR(INDEX(Produtos!$C$2:$C$71,MATCH(C4314,Produtos!$A$2:$A$71,0)),"")</f>
        <v/>
      </c>
      <c r="P4314" s="21">
        <f>IFERROR(INDEX(Produtos!$D$2:$D$71,MATCH(C4314,Produtos!$A$2:$A$71,0)),0)</f>
        <v/>
      </c>
      <c r="Q4314" s="21">
        <f>IFERROR(INDEX(Produtos!$E$2:$E$71,MATCH(C4314,Produtos!$A$2:$A$71,0)),0)</f>
        <v/>
      </c>
      <c r="R4314" s="23">
        <f>D4314*Q4314</f>
        <v/>
      </c>
      <c r="S4314" s="23">
        <f>R4314*E4314</f>
        <v/>
      </c>
      <c r="T4314" s="23">
        <f>(R4314-S4314)*M4314</f>
        <v/>
      </c>
      <c r="U4314" s="23">
        <f>R4314-S4314-T4314</f>
        <v/>
      </c>
      <c r="V4314" s="23">
        <f>D4314*P4314</f>
        <v/>
      </c>
      <c r="W4314" s="23">
        <f>U4314-V4314</f>
        <v/>
      </c>
      <c r="X4314" s="24">
        <f>IFERROR(W4314/U4314,0)</f>
        <v/>
      </c>
    </row>
    <row r="4315">
      <c r="A4315" s="25">
        <f>ItensPedido!A4315</f>
        <v/>
      </c>
      <c r="B4315" s="25">
        <f>ItensPedido!B4315</f>
        <v/>
      </c>
      <c r="C4315" s="25">
        <f>ItensPedido!C4315</f>
        <v/>
      </c>
      <c r="D4315" s="25">
        <f>ItensPedido!D4315</f>
        <v/>
      </c>
      <c r="E4315" s="26">
        <f>ItensPedido!E4315</f>
        <v/>
      </c>
      <c r="F4315" s="25">
        <f>IFERROR(INDEX(Pedidos!$B$2:$B$1801,MATCH(B4315,Pedidos!$A$2:$A$1801,0)),0)</f>
        <v/>
      </c>
      <c r="G4315" s="25">
        <f>IF(F4315=0,"",YEAR(F4315))</f>
        <v/>
      </c>
      <c r="H4315" s="25">
        <f>IF(F4315=0,"",MONTH(F4315))</f>
        <v/>
      </c>
      <c r="I4315" s="25">
        <f>IFERROR(INDEX(Pedidos!$E$2:$E$1801,MATCH(B4315,Pedidos!$A$2:$A$1801,0)),"")</f>
        <v/>
      </c>
      <c r="J4315" s="25">
        <f>IFERROR(INDEX(Pedidos!$C$2:$C$1801,MATCH(B4315,Pedidos!$A$2:$A$1801,0)),"")</f>
        <v/>
      </c>
      <c r="K4315" s="25">
        <f>IFERROR(INDEX(Pedidos!$D$2:$D$1801,MATCH(B4315,Pedidos!$A$2:$A$1801,0)),"")</f>
        <v/>
      </c>
      <c r="L4315" s="25">
        <f>IFERROR(INDEX(Pedidos!$F$2:$F$1801,MATCH(B4315,Pedidos!$A$2:$A$1801,0)),"")</f>
        <v/>
      </c>
      <c r="M4315" s="26">
        <f>IFERROR(INDEX(Pedidos!$G$2:$G$1801,MATCH(B4315,Pedidos!$A$2:$A$1801,0)),0)</f>
        <v/>
      </c>
      <c r="N4315" s="25">
        <f>IFERROR(INDEX(Produtos!$B$2:$B$71,MATCH(C4315,Produtos!$A$2:$A$71,0)),"")</f>
        <v/>
      </c>
      <c r="O4315" s="25">
        <f>IFERROR(INDEX(Produtos!$C$2:$C$71,MATCH(C4315,Produtos!$A$2:$A$71,0)),"")</f>
        <v/>
      </c>
      <c r="P4315" s="25">
        <f>IFERROR(INDEX(Produtos!$D$2:$D$71,MATCH(C4315,Produtos!$A$2:$A$71,0)),0)</f>
        <v/>
      </c>
      <c r="Q4315" s="25">
        <f>IFERROR(INDEX(Produtos!$E$2:$E$71,MATCH(C4315,Produtos!$A$2:$A$71,0)),0)</f>
        <v/>
      </c>
      <c r="R4315" s="27">
        <f>D4315*Q4315</f>
        <v/>
      </c>
      <c r="S4315" s="27">
        <f>R4315*E4315</f>
        <v/>
      </c>
      <c r="T4315" s="27">
        <f>(R4315-S4315)*M4315</f>
        <v/>
      </c>
      <c r="U4315" s="27">
        <f>R4315-S4315-T4315</f>
        <v/>
      </c>
      <c r="V4315" s="27">
        <f>D4315*P4315</f>
        <v/>
      </c>
      <c r="W4315" s="27">
        <f>U4315-V4315</f>
        <v/>
      </c>
      <c r="X4315" s="28">
        <f>IFERROR(W4315/U4315,0)</f>
        <v/>
      </c>
    </row>
    <row r="4316">
      <c r="A4316" s="21">
        <f>ItensPedido!A4316</f>
        <v/>
      </c>
      <c r="B4316" s="21">
        <f>ItensPedido!B4316</f>
        <v/>
      </c>
      <c r="C4316" s="21">
        <f>ItensPedido!C4316</f>
        <v/>
      </c>
      <c r="D4316" s="21">
        <f>ItensPedido!D4316</f>
        <v/>
      </c>
      <c r="E4316" s="22">
        <f>ItensPedido!E4316</f>
        <v/>
      </c>
      <c r="F4316" s="21">
        <f>IFERROR(INDEX(Pedidos!$B$2:$B$1801,MATCH(B4316,Pedidos!$A$2:$A$1801,0)),0)</f>
        <v/>
      </c>
      <c r="G4316" s="21">
        <f>IF(F4316=0,"",YEAR(F4316))</f>
        <v/>
      </c>
      <c r="H4316" s="21">
        <f>IF(F4316=0,"",MONTH(F4316))</f>
        <v/>
      </c>
      <c r="I4316" s="21">
        <f>IFERROR(INDEX(Pedidos!$E$2:$E$1801,MATCH(B4316,Pedidos!$A$2:$A$1801,0)),"")</f>
        <v/>
      </c>
      <c r="J4316" s="21">
        <f>IFERROR(INDEX(Pedidos!$C$2:$C$1801,MATCH(B4316,Pedidos!$A$2:$A$1801,0)),"")</f>
        <v/>
      </c>
      <c r="K4316" s="21">
        <f>IFERROR(INDEX(Pedidos!$D$2:$D$1801,MATCH(B4316,Pedidos!$A$2:$A$1801,0)),"")</f>
        <v/>
      </c>
      <c r="L4316" s="21">
        <f>IFERROR(INDEX(Pedidos!$F$2:$F$1801,MATCH(B4316,Pedidos!$A$2:$A$1801,0)),"")</f>
        <v/>
      </c>
      <c r="M4316" s="22">
        <f>IFERROR(INDEX(Pedidos!$G$2:$G$1801,MATCH(B4316,Pedidos!$A$2:$A$1801,0)),0)</f>
        <v/>
      </c>
      <c r="N4316" s="21">
        <f>IFERROR(INDEX(Produtos!$B$2:$B$71,MATCH(C4316,Produtos!$A$2:$A$71,0)),"")</f>
        <v/>
      </c>
      <c r="O4316" s="21">
        <f>IFERROR(INDEX(Produtos!$C$2:$C$71,MATCH(C4316,Produtos!$A$2:$A$71,0)),"")</f>
        <v/>
      </c>
      <c r="P4316" s="21">
        <f>IFERROR(INDEX(Produtos!$D$2:$D$71,MATCH(C4316,Produtos!$A$2:$A$71,0)),0)</f>
        <v/>
      </c>
      <c r="Q4316" s="21">
        <f>IFERROR(INDEX(Produtos!$E$2:$E$71,MATCH(C4316,Produtos!$A$2:$A$71,0)),0)</f>
        <v/>
      </c>
      <c r="R4316" s="23">
        <f>D4316*Q4316</f>
        <v/>
      </c>
      <c r="S4316" s="23">
        <f>R4316*E4316</f>
        <v/>
      </c>
      <c r="T4316" s="23">
        <f>(R4316-S4316)*M4316</f>
        <v/>
      </c>
      <c r="U4316" s="23">
        <f>R4316-S4316-T4316</f>
        <v/>
      </c>
      <c r="V4316" s="23">
        <f>D4316*P4316</f>
        <v/>
      </c>
      <c r="W4316" s="23">
        <f>U4316-V4316</f>
        <v/>
      </c>
      <c r="X4316" s="24">
        <f>IFERROR(W4316/U4316,0)</f>
        <v/>
      </c>
    </row>
    <row r="4317">
      <c r="A4317" s="25">
        <f>ItensPedido!A4317</f>
        <v/>
      </c>
      <c r="B4317" s="25">
        <f>ItensPedido!B4317</f>
        <v/>
      </c>
      <c r="C4317" s="25">
        <f>ItensPedido!C4317</f>
        <v/>
      </c>
      <c r="D4317" s="25">
        <f>ItensPedido!D4317</f>
        <v/>
      </c>
      <c r="E4317" s="26">
        <f>ItensPedido!E4317</f>
        <v/>
      </c>
      <c r="F4317" s="25">
        <f>IFERROR(INDEX(Pedidos!$B$2:$B$1801,MATCH(B4317,Pedidos!$A$2:$A$1801,0)),0)</f>
        <v/>
      </c>
      <c r="G4317" s="25">
        <f>IF(F4317=0,"",YEAR(F4317))</f>
        <v/>
      </c>
      <c r="H4317" s="25">
        <f>IF(F4317=0,"",MONTH(F4317))</f>
        <v/>
      </c>
      <c r="I4317" s="25">
        <f>IFERROR(INDEX(Pedidos!$E$2:$E$1801,MATCH(B4317,Pedidos!$A$2:$A$1801,0)),"")</f>
        <v/>
      </c>
      <c r="J4317" s="25">
        <f>IFERROR(INDEX(Pedidos!$C$2:$C$1801,MATCH(B4317,Pedidos!$A$2:$A$1801,0)),"")</f>
        <v/>
      </c>
      <c r="K4317" s="25">
        <f>IFERROR(INDEX(Pedidos!$D$2:$D$1801,MATCH(B4317,Pedidos!$A$2:$A$1801,0)),"")</f>
        <v/>
      </c>
      <c r="L4317" s="25">
        <f>IFERROR(INDEX(Pedidos!$F$2:$F$1801,MATCH(B4317,Pedidos!$A$2:$A$1801,0)),"")</f>
        <v/>
      </c>
      <c r="M4317" s="26">
        <f>IFERROR(INDEX(Pedidos!$G$2:$G$1801,MATCH(B4317,Pedidos!$A$2:$A$1801,0)),0)</f>
        <v/>
      </c>
      <c r="N4317" s="25">
        <f>IFERROR(INDEX(Produtos!$B$2:$B$71,MATCH(C4317,Produtos!$A$2:$A$71,0)),"")</f>
        <v/>
      </c>
      <c r="O4317" s="25">
        <f>IFERROR(INDEX(Produtos!$C$2:$C$71,MATCH(C4317,Produtos!$A$2:$A$71,0)),"")</f>
        <v/>
      </c>
      <c r="P4317" s="25">
        <f>IFERROR(INDEX(Produtos!$D$2:$D$71,MATCH(C4317,Produtos!$A$2:$A$71,0)),0)</f>
        <v/>
      </c>
      <c r="Q4317" s="25">
        <f>IFERROR(INDEX(Produtos!$E$2:$E$71,MATCH(C4317,Produtos!$A$2:$A$71,0)),0)</f>
        <v/>
      </c>
      <c r="R4317" s="27">
        <f>D4317*Q4317</f>
        <v/>
      </c>
      <c r="S4317" s="27">
        <f>R4317*E4317</f>
        <v/>
      </c>
      <c r="T4317" s="27">
        <f>(R4317-S4317)*M4317</f>
        <v/>
      </c>
      <c r="U4317" s="27">
        <f>R4317-S4317-T4317</f>
        <v/>
      </c>
      <c r="V4317" s="27">
        <f>D4317*P4317</f>
        <v/>
      </c>
      <c r="W4317" s="27">
        <f>U4317-V4317</f>
        <v/>
      </c>
      <c r="X4317" s="28">
        <f>IFERROR(W4317/U4317,0)</f>
        <v/>
      </c>
    </row>
    <row r="4318">
      <c r="A4318" s="21">
        <f>ItensPedido!A4318</f>
        <v/>
      </c>
      <c r="B4318" s="21">
        <f>ItensPedido!B4318</f>
        <v/>
      </c>
      <c r="C4318" s="21">
        <f>ItensPedido!C4318</f>
        <v/>
      </c>
      <c r="D4318" s="21">
        <f>ItensPedido!D4318</f>
        <v/>
      </c>
      <c r="E4318" s="22">
        <f>ItensPedido!E4318</f>
        <v/>
      </c>
      <c r="F4318" s="21">
        <f>IFERROR(INDEX(Pedidos!$B$2:$B$1801,MATCH(B4318,Pedidos!$A$2:$A$1801,0)),0)</f>
        <v/>
      </c>
      <c r="G4318" s="21">
        <f>IF(F4318=0,"",YEAR(F4318))</f>
        <v/>
      </c>
      <c r="H4318" s="21">
        <f>IF(F4318=0,"",MONTH(F4318))</f>
        <v/>
      </c>
      <c r="I4318" s="21">
        <f>IFERROR(INDEX(Pedidos!$E$2:$E$1801,MATCH(B4318,Pedidos!$A$2:$A$1801,0)),"")</f>
        <v/>
      </c>
      <c r="J4318" s="21">
        <f>IFERROR(INDEX(Pedidos!$C$2:$C$1801,MATCH(B4318,Pedidos!$A$2:$A$1801,0)),"")</f>
        <v/>
      </c>
      <c r="K4318" s="21">
        <f>IFERROR(INDEX(Pedidos!$D$2:$D$1801,MATCH(B4318,Pedidos!$A$2:$A$1801,0)),"")</f>
        <v/>
      </c>
      <c r="L4318" s="21">
        <f>IFERROR(INDEX(Pedidos!$F$2:$F$1801,MATCH(B4318,Pedidos!$A$2:$A$1801,0)),"")</f>
        <v/>
      </c>
      <c r="M4318" s="22">
        <f>IFERROR(INDEX(Pedidos!$G$2:$G$1801,MATCH(B4318,Pedidos!$A$2:$A$1801,0)),0)</f>
        <v/>
      </c>
      <c r="N4318" s="21">
        <f>IFERROR(INDEX(Produtos!$B$2:$B$71,MATCH(C4318,Produtos!$A$2:$A$71,0)),"")</f>
        <v/>
      </c>
      <c r="O4318" s="21">
        <f>IFERROR(INDEX(Produtos!$C$2:$C$71,MATCH(C4318,Produtos!$A$2:$A$71,0)),"")</f>
        <v/>
      </c>
      <c r="P4318" s="21">
        <f>IFERROR(INDEX(Produtos!$D$2:$D$71,MATCH(C4318,Produtos!$A$2:$A$71,0)),0)</f>
        <v/>
      </c>
      <c r="Q4318" s="21">
        <f>IFERROR(INDEX(Produtos!$E$2:$E$71,MATCH(C4318,Produtos!$A$2:$A$71,0)),0)</f>
        <v/>
      </c>
      <c r="R4318" s="23">
        <f>D4318*Q4318</f>
        <v/>
      </c>
      <c r="S4318" s="23">
        <f>R4318*E4318</f>
        <v/>
      </c>
      <c r="T4318" s="23">
        <f>(R4318-S4318)*M4318</f>
        <v/>
      </c>
      <c r="U4318" s="23">
        <f>R4318-S4318-T4318</f>
        <v/>
      </c>
      <c r="V4318" s="23">
        <f>D4318*P4318</f>
        <v/>
      </c>
      <c r="W4318" s="23">
        <f>U4318-V4318</f>
        <v/>
      </c>
      <c r="X4318" s="24">
        <f>IFERROR(W4318/U4318,0)</f>
        <v/>
      </c>
    </row>
    <row r="4319">
      <c r="A4319" s="25">
        <f>ItensPedido!A4319</f>
        <v/>
      </c>
      <c r="B4319" s="25">
        <f>ItensPedido!B4319</f>
        <v/>
      </c>
      <c r="C4319" s="25">
        <f>ItensPedido!C4319</f>
        <v/>
      </c>
      <c r="D4319" s="25">
        <f>ItensPedido!D4319</f>
        <v/>
      </c>
      <c r="E4319" s="26">
        <f>ItensPedido!E4319</f>
        <v/>
      </c>
      <c r="F4319" s="25">
        <f>IFERROR(INDEX(Pedidos!$B$2:$B$1801,MATCH(B4319,Pedidos!$A$2:$A$1801,0)),0)</f>
        <v/>
      </c>
      <c r="G4319" s="25">
        <f>IF(F4319=0,"",YEAR(F4319))</f>
        <v/>
      </c>
      <c r="H4319" s="25">
        <f>IF(F4319=0,"",MONTH(F4319))</f>
        <v/>
      </c>
      <c r="I4319" s="25">
        <f>IFERROR(INDEX(Pedidos!$E$2:$E$1801,MATCH(B4319,Pedidos!$A$2:$A$1801,0)),"")</f>
        <v/>
      </c>
      <c r="J4319" s="25">
        <f>IFERROR(INDEX(Pedidos!$C$2:$C$1801,MATCH(B4319,Pedidos!$A$2:$A$1801,0)),"")</f>
        <v/>
      </c>
      <c r="K4319" s="25">
        <f>IFERROR(INDEX(Pedidos!$D$2:$D$1801,MATCH(B4319,Pedidos!$A$2:$A$1801,0)),"")</f>
        <v/>
      </c>
      <c r="L4319" s="25">
        <f>IFERROR(INDEX(Pedidos!$F$2:$F$1801,MATCH(B4319,Pedidos!$A$2:$A$1801,0)),"")</f>
        <v/>
      </c>
      <c r="M4319" s="26">
        <f>IFERROR(INDEX(Pedidos!$G$2:$G$1801,MATCH(B4319,Pedidos!$A$2:$A$1801,0)),0)</f>
        <v/>
      </c>
      <c r="N4319" s="25">
        <f>IFERROR(INDEX(Produtos!$B$2:$B$71,MATCH(C4319,Produtos!$A$2:$A$71,0)),"")</f>
        <v/>
      </c>
      <c r="O4319" s="25">
        <f>IFERROR(INDEX(Produtos!$C$2:$C$71,MATCH(C4319,Produtos!$A$2:$A$71,0)),"")</f>
        <v/>
      </c>
      <c r="P4319" s="25">
        <f>IFERROR(INDEX(Produtos!$D$2:$D$71,MATCH(C4319,Produtos!$A$2:$A$71,0)),0)</f>
        <v/>
      </c>
      <c r="Q4319" s="25">
        <f>IFERROR(INDEX(Produtos!$E$2:$E$71,MATCH(C4319,Produtos!$A$2:$A$71,0)),0)</f>
        <v/>
      </c>
      <c r="R4319" s="27">
        <f>D4319*Q4319</f>
        <v/>
      </c>
      <c r="S4319" s="27">
        <f>R4319*E4319</f>
        <v/>
      </c>
      <c r="T4319" s="27">
        <f>(R4319-S4319)*M4319</f>
        <v/>
      </c>
      <c r="U4319" s="27">
        <f>R4319-S4319-T4319</f>
        <v/>
      </c>
      <c r="V4319" s="27">
        <f>D4319*P4319</f>
        <v/>
      </c>
      <c r="W4319" s="27">
        <f>U4319-V4319</f>
        <v/>
      </c>
      <c r="X4319" s="28">
        <f>IFERROR(W4319/U4319,0)</f>
        <v/>
      </c>
    </row>
    <row r="4320">
      <c r="A4320" s="21">
        <f>ItensPedido!A4320</f>
        <v/>
      </c>
      <c r="B4320" s="21">
        <f>ItensPedido!B4320</f>
        <v/>
      </c>
      <c r="C4320" s="21">
        <f>ItensPedido!C4320</f>
        <v/>
      </c>
      <c r="D4320" s="21">
        <f>ItensPedido!D4320</f>
        <v/>
      </c>
      <c r="E4320" s="22">
        <f>ItensPedido!E4320</f>
        <v/>
      </c>
      <c r="F4320" s="21">
        <f>IFERROR(INDEX(Pedidos!$B$2:$B$1801,MATCH(B4320,Pedidos!$A$2:$A$1801,0)),0)</f>
        <v/>
      </c>
      <c r="G4320" s="21">
        <f>IF(F4320=0,"",YEAR(F4320))</f>
        <v/>
      </c>
      <c r="H4320" s="21">
        <f>IF(F4320=0,"",MONTH(F4320))</f>
        <v/>
      </c>
      <c r="I4320" s="21">
        <f>IFERROR(INDEX(Pedidos!$E$2:$E$1801,MATCH(B4320,Pedidos!$A$2:$A$1801,0)),"")</f>
        <v/>
      </c>
      <c r="J4320" s="21">
        <f>IFERROR(INDEX(Pedidos!$C$2:$C$1801,MATCH(B4320,Pedidos!$A$2:$A$1801,0)),"")</f>
        <v/>
      </c>
      <c r="K4320" s="21">
        <f>IFERROR(INDEX(Pedidos!$D$2:$D$1801,MATCH(B4320,Pedidos!$A$2:$A$1801,0)),"")</f>
        <v/>
      </c>
      <c r="L4320" s="21">
        <f>IFERROR(INDEX(Pedidos!$F$2:$F$1801,MATCH(B4320,Pedidos!$A$2:$A$1801,0)),"")</f>
        <v/>
      </c>
      <c r="M4320" s="22">
        <f>IFERROR(INDEX(Pedidos!$G$2:$G$1801,MATCH(B4320,Pedidos!$A$2:$A$1801,0)),0)</f>
        <v/>
      </c>
      <c r="N4320" s="21">
        <f>IFERROR(INDEX(Produtos!$B$2:$B$71,MATCH(C4320,Produtos!$A$2:$A$71,0)),"")</f>
        <v/>
      </c>
      <c r="O4320" s="21">
        <f>IFERROR(INDEX(Produtos!$C$2:$C$71,MATCH(C4320,Produtos!$A$2:$A$71,0)),"")</f>
        <v/>
      </c>
      <c r="P4320" s="21">
        <f>IFERROR(INDEX(Produtos!$D$2:$D$71,MATCH(C4320,Produtos!$A$2:$A$71,0)),0)</f>
        <v/>
      </c>
      <c r="Q4320" s="21">
        <f>IFERROR(INDEX(Produtos!$E$2:$E$71,MATCH(C4320,Produtos!$A$2:$A$71,0)),0)</f>
        <v/>
      </c>
      <c r="R4320" s="23">
        <f>D4320*Q4320</f>
        <v/>
      </c>
      <c r="S4320" s="23">
        <f>R4320*E4320</f>
        <v/>
      </c>
      <c r="T4320" s="23">
        <f>(R4320-S4320)*M4320</f>
        <v/>
      </c>
      <c r="U4320" s="23">
        <f>R4320-S4320-T4320</f>
        <v/>
      </c>
      <c r="V4320" s="23">
        <f>D4320*P4320</f>
        <v/>
      </c>
      <c r="W4320" s="23">
        <f>U4320-V4320</f>
        <v/>
      </c>
      <c r="X4320" s="24">
        <f>IFERROR(W4320/U4320,0)</f>
        <v/>
      </c>
    </row>
    <row r="4321">
      <c r="A4321" s="25">
        <f>ItensPedido!A4321</f>
        <v/>
      </c>
      <c r="B4321" s="25">
        <f>ItensPedido!B4321</f>
        <v/>
      </c>
      <c r="C4321" s="25">
        <f>ItensPedido!C4321</f>
        <v/>
      </c>
      <c r="D4321" s="25">
        <f>ItensPedido!D4321</f>
        <v/>
      </c>
      <c r="E4321" s="26">
        <f>ItensPedido!E4321</f>
        <v/>
      </c>
      <c r="F4321" s="25">
        <f>IFERROR(INDEX(Pedidos!$B$2:$B$1801,MATCH(B4321,Pedidos!$A$2:$A$1801,0)),0)</f>
        <v/>
      </c>
      <c r="G4321" s="25">
        <f>IF(F4321=0,"",YEAR(F4321))</f>
        <v/>
      </c>
      <c r="H4321" s="25">
        <f>IF(F4321=0,"",MONTH(F4321))</f>
        <v/>
      </c>
      <c r="I4321" s="25">
        <f>IFERROR(INDEX(Pedidos!$E$2:$E$1801,MATCH(B4321,Pedidos!$A$2:$A$1801,0)),"")</f>
        <v/>
      </c>
      <c r="J4321" s="25">
        <f>IFERROR(INDEX(Pedidos!$C$2:$C$1801,MATCH(B4321,Pedidos!$A$2:$A$1801,0)),"")</f>
        <v/>
      </c>
      <c r="K4321" s="25">
        <f>IFERROR(INDEX(Pedidos!$D$2:$D$1801,MATCH(B4321,Pedidos!$A$2:$A$1801,0)),"")</f>
        <v/>
      </c>
      <c r="L4321" s="25">
        <f>IFERROR(INDEX(Pedidos!$F$2:$F$1801,MATCH(B4321,Pedidos!$A$2:$A$1801,0)),"")</f>
        <v/>
      </c>
      <c r="M4321" s="26">
        <f>IFERROR(INDEX(Pedidos!$G$2:$G$1801,MATCH(B4321,Pedidos!$A$2:$A$1801,0)),0)</f>
        <v/>
      </c>
      <c r="N4321" s="25">
        <f>IFERROR(INDEX(Produtos!$B$2:$B$71,MATCH(C4321,Produtos!$A$2:$A$71,0)),"")</f>
        <v/>
      </c>
      <c r="O4321" s="25">
        <f>IFERROR(INDEX(Produtos!$C$2:$C$71,MATCH(C4321,Produtos!$A$2:$A$71,0)),"")</f>
        <v/>
      </c>
      <c r="P4321" s="25">
        <f>IFERROR(INDEX(Produtos!$D$2:$D$71,MATCH(C4321,Produtos!$A$2:$A$71,0)),0)</f>
        <v/>
      </c>
      <c r="Q4321" s="25">
        <f>IFERROR(INDEX(Produtos!$E$2:$E$71,MATCH(C4321,Produtos!$A$2:$A$71,0)),0)</f>
        <v/>
      </c>
      <c r="R4321" s="27">
        <f>D4321*Q4321</f>
        <v/>
      </c>
      <c r="S4321" s="27">
        <f>R4321*E4321</f>
        <v/>
      </c>
      <c r="T4321" s="27">
        <f>(R4321-S4321)*M4321</f>
        <v/>
      </c>
      <c r="U4321" s="27">
        <f>R4321-S4321-T4321</f>
        <v/>
      </c>
      <c r="V4321" s="27">
        <f>D4321*P4321</f>
        <v/>
      </c>
      <c r="W4321" s="27">
        <f>U4321-V4321</f>
        <v/>
      </c>
      <c r="X4321" s="28">
        <f>IFERROR(W4321/U4321,0)</f>
        <v/>
      </c>
    </row>
    <row r="4322">
      <c r="A4322" s="21">
        <f>ItensPedido!A4322</f>
        <v/>
      </c>
      <c r="B4322" s="21">
        <f>ItensPedido!B4322</f>
        <v/>
      </c>
      <c r="C4322" s="21">
        <f>ItensPedido!C4322</f>
        <v/>
      </c>
      <c r="D4322" s="21">
        <f>ItensPedido!D4322</f>
        <v/>
      </c>
      <c r="E4322" s="22">
        <f>ItensPedido!E4322</f>
        <v/>
      </c>
      <c r="F4322" s="21">
        <f>IFERROR(INDEX(Pedidos!$B$2:$B$1801,MATCH(B4322,Pedidos!$A$2:$A$1801,0)),0)</f>
        <v/>
      </c>
      <c r="G4322" s="21">
        <f>IF(F4322=0,"",YEAR(F4322))</f>
        <v/>
      </c>
      <c r="H4322" s="21">
        <f>IF(F4322=0,"",MONTH(F4322))</f>
        <v/>
      </c>
      <c r="I4322" s="21">
        <f>IFERROR(INDEX(Pedidos!$E$2:$E$1801,MATCH(B4322,Pedidos!$A$2:$A$1801,0)),"")</f>
        <v/>
      </c>
      <c r="J4322" s="21">
        <f>IFERROR(INDEX(Pedidos!$C$2:$C$1801,MATCH(B4322,Pedidos!$A$2:$A$1801,0)),"")</f>
        <v/>
      </c>
      <c r="K4322" s="21">
        <f>IFERROR(INDEX(Pedidos!$D$2:$D$1801,MATCH(B4322,Pedidos!$A$2:$A$1801,0)),"")</f>
        <v/>
      </c>
      <c r="L4322" s="21">
        <f>IFERROR(INDEX(Pedidos!$F$2:$F$1801,MATCH(B4322,Pedidos!$A$2:$A$1801,0)),"")</f>
        <v/>
      </c>
      <c r="M4322" s="22">
        <f>IFERROR(INDEX(Pedidos!$G$2:$G$1801,MATCH(B4322,Pedidos!$A$2:$A$1801,0)),0)</f>
        <v/>
      </c>
      <c r="N4322" s="21">
        <f>IFERROR(INDEX(Produtos!$B$2:$B$71,MATCH(C4322,Produtos!$A$2:$A$71,0)),"")</f>
        <v/>
      </c>
      <c r="O4322" s="21">
        <f>IFERROR(INDEX(Produtos!$C$2:$C$71,MATCH(C4322,Produtos!$A$2:$A$71,0)),"")</f>
        <v/>
      </c>
      <c r="P4322" s="21">
        <f>IFERROR(INDEX(Produtos!$D$2:$D$71,MATCH(C4322,Produtos!$A$2:$A$71,0)),0)</f>
        <v/>
      </c>
      <c r="Q4322" s="21">
        <f>IFERROR(INDEX(Produtos!$E$2:$E$71,MATCH(C4322,Produtos!$A$2:$A$71,0)),0)</f>
        <v/>
      </c>
      <c r="R4322" s="23">
        <f>D4322*Q4322</f>
        <v/>
      </c>
      <c r="S4322" s="23">
        <f>R4322*E4322</f>
        <v/>
      </c>
      <c r="T4322" s="23">
        <f>(R4322-S4322)*M4322</f>
        <v/>
      </c>
      <c r="U4322" s="23">
        <f>R4322-S4322-T4322</f>
        <v/>
      </c>
      <c r="V4322" s="23">
        <f>D4322*P4322</f>
        <v/>
      </c>
      <c r="W4322" s="23">
        <f>U4322-V4322</f>
        <v/>
      </c>
      <c r="X4322" s="24">
        <f>IFERROR(W4322/U4322,0)</f>
        <v/>
      </c>
    </row>
    <row r="4323">
      <c r="A4323" s="25">
        <f>ItensPedido!A4323</f>
        <v/>
      </c>
      <c r="B4323" s="25">
        <f>ItensPedido!B4323</f>
        <v/>
      </c>
      <c r="C4323" s="25">
        <f>ItensPedido!C4323</f>
        <v/>
      </c>
      <c r="D4323" s="25">
        <f>ItensPedido!D4323</f>
        <v/>
      </c>
      <c r="E4323" s="26">
        <f>ItensPedido!E4323</f>
        <v/>
      </c>
      <c r="F4323" s="25">
        <f>IFERROR(INDEX(Pedidos!$B$2:$B$1801,MATCH(B4323,Pedidos!$A$2:$A$1801,0)),0)</f>
        <v/>
      </c>
      <c r="G4323" s="25">
        <f>IF(F4323=0,"",YEAR(F4323))</f>
        <v/>
      </c>
      <c r="H4323" s="25">
        <f>IF(F4323=0,"",MONTH(F4323))</f>
        <v/>
      </c>
      <c r="I4323" s="25">
        <f>IFERROR(INDEX(Pedidos!$E$2:$E$1801,MATCH(B4323,Pedidos!$A$2:$A$1801,0)),"")</f>
        <v/>
      </c>
      <c r="J4323" s="25">
        <f>IFERROR(INDEX(Pedidos!$C$2:$C$1801,MATCH(B4323,Pedidos!$A$2:$A$1801,0)),"")</f>
        <v/>
      </c>
      <c r="K4323" s="25">
        <f>IFERROR(INDEX(Pedidos!$D$2:$D$1801,MATCH(B4323,Pedidos!$A$2:$A$1801,0)),"")</f>
        <v/>
      </c>
      <c r="L4323" s="25">
        <f>IFERROR(INDEX(Pedidos!$F$2:$F$1801,MATCH(B4323,Pedidos!$A$2:$A$1801,0)),"")</f>
        <v/>
      </c>
      <c r="M4323" s="26">
        <f>IFERROR(INDEX(Pedidos!$G$2:$G$1801,MATCH(B4323,Pedidos!$A$2:$A$1801,0)),0)</f>
        <v/>
      </c>
      <c r="N4323" s="25">
        <f>IFERROR(INDEX(Produtos!$B$2:$B$71,MATCH(C4323,Produtos!$A$2:$A$71,0)),"")</f>
        <v/>
      </c>
      <c r="O4323" s="25">
        <f>IFERROR(INDEX(Produtos!$C$2:$C$71,MATCH(C4323,Produtos!$A$2:$A$71,0)),"")</f>
        <v/>
      </c>
      <c r="P4323" s="25">
        <f>IFERROR(INDEX(Produtos!$D$2:$D$71,MATCH(C4323,Produtos!$A$2:$A$71,0)),0)</f>
        <v/>
      </c>
      <c r="Q4323" s="25">
        <f>IFERROR(INDEX(Produtos!$E$2:$E$71,MATCH(C4323,Produtos!$A$2:$A$71,0)),0)</f>
        <v/>
      </c>
      <c r="R4323" s="27">
        <f>D4323*Q4323</f>
        <v/>
      </c>
      <c r="S4323" s="27">
        <f>R4323*E4323</f>
        <v/>
      </c>
      <c r="T4323" s="27">
        <f>(R4323-S4323)*M4323</f>
        <v/>
      </c>
      <c r="U4323" s="27">
        <f>R4323-S4323-T4323</f>
        <v/>
      </c>
      <c r="V4323" s="27">
        <f>D4323*P4323</f>
        <v/>
      </c>
      <c r="W4323" s="27">
        <f>U4323-V4323</f>
        <v/>
      </c>
      <c r="X4323" s="28">
        <f>IFERROR(W4323/U4323,0)</f>
        <v/>
      </c>
    </row>
    <row r="4324">
      <c r="A4324" s="21">
        <f>ItensPedido!A4324</f>
        <v/>
      </c>
      <c r="B4324" s="21">
        <f>ItensPedido!B4324</f>
        <v/>
      </c>
      <c r="C4324" s="21">
        <f>ItensPedido!C4324</f>
        <v/>
      </c>
      <c r="D4324" s="21">
        <f>ItensPedido!D4324</f>
        <v/>
      </c>
      <c r="E4324" s="22">
        <f>ItensPedido!E4324</f>
        <v/>
      </c>
      <c r="F4324" s="21">
        <f>IFERROR(INDEX(Pedidos!$B$2:$B$1801,MATCH(B4324,Pedidos!$A$2:$A$1801,0)),0)</f>
        <v/>
      </c>
      <c r="G4324" s="21">
        <f>IF(F4324=0,"",YEAR(F4324))</f>
        <v/>
      </c>
      <c r="H4324" s="21">
        <f>IF(F4324=0,"",MONTH(F4324))</f>
        <v/>
      </c>
      <c r="I4324" s="21">
        <f>IFERROR(INDEX(Pedidos!$E$2:$E$1801,MATCH(B4324,Pedidos!$A$2:$A$1801,0)),"")</f>
        <v/>
      </c>
      <c r="J4324" s="21">
        <f>IFERROR(INDEX(Pedidos!$C$2:$C$1801,MATCH(B4324,Pedidos!$A$2:$A$1801,0)),"")</f>
        <v/>
      </c>
      <c r="K4324" s="21">
        <f>IFERROR(INDEX(Pedidos!$D$2:$D$1801,MATCH(B4324,Pedidos!$A$2:$A$1801,0)),"")</f>
        <v/>
      </c>
      <c r="L4324" s="21">
        <f>IFERROR(INDEX(Pedidos!$F$2:$F$1801,MATCH(B4324,Pedidos!$A$2:$A$1801,0)),"")</f>
        <v/>
      </c>
      <c r="M4324" s="22">
        <f>IFERROR(INDEX(Pedidos!$G$2:$G$1801,MATCH(B4324,Pedidos!$A$2:$A$1801,0)),0)</f>
        <v/>
      </c>
      <c r="N4324" s="21">
        <f>IFERROR(INDEX(Produtos!$B$2:$B$71,MATCH(C4324,Produtos!$A$2:$A$71,0)),"")</f>
        <v/>
      </c>
      <c r="O4324" s="21">
        <f>IFERROR(INDEX(Produtos!$C$2:$C$71,MATCH(C4324,Produtos!$A$2:$A$71,0)),"")</f>
        <v/>
      </c>
      <c r="P4324" s="21">
        <f>IFERROR(INDEX(Produtos!$D$2:$D$71,MATCH(C4324,Produtos!$A$2:$A$71,0)),0)</f>
        <v/>
      </c>
      <c r="Q4324" s="21">
        <f>IFERROR(INDEX(Produtos!$E$2:$E$71,MATCH(C4324,Produtos!$A$2:$A$71,0)),0)</f>
        <v/>
      </c>
      <c r="R4324" s="23">
        <f>D4324*Q4324</f>
        <v/>
      </c>
      <c r="S4324" s="23">
        <f>R4324*E4324</f>
        <v/>
      </c>
      <c r="T4324" s="23">
        <f>(R4324-S4324)*M4324</f>
        <v/>
      </c>
      <c r="U4324" s="23">
        <f>R4324-S4324-T4324</f>
        <v/>
      </c>
      <c r="V4324" s="23">
        <f>D4324*P4324</f>
        <v/>
      </c>
      <c r="W4324" s="23">
        <f>U4324-V4324</f>
        <v/>
      </c>
      <c r="X4324" s="24">
        <f>IFERROR(W4324/U4324,0)</f>
        <v/>
      </c>
    </row>
    <row r="4325">
      <c r="A4325" s="25">
        <f>ItensPedido!A4325</f>
        <v/>
      </c>
      <c r="B4325" s="25">
        <f>ItensPedido!B4325</f>
        <v/>
      </c>
      <c r="C4325" s="25">
        <f>ItensPedido!C4325</f>
        <v/>
      </c>
      <c r="D4325" s="25">
        <f>ItensPedido!D4325</f>
        <v/>
      </c>
      <c r="E4325" s="26">
        <f>ItensPedido!E4325</f>
        <v/>
      </c>
      <c r="F4325" s="25">
        <f>IFERROR(INDEX(Pedidos!$B$2:$B$1801,MATCH(B4325,Pedidos!$A$2:$A$1801,0)),0)</f>
        <v/>
      </c>
      <c r="G4325" s="25">
        <f>IF(F4325=0,"",YEAR(F4325))</f>
        <v/>
      </c>
      <c r="H4325" s="25">
        <f>IF(F4325=0,"",MONTH(F4325))</f>
        <v/>
      </c>
      <c r="I4325" s="25">
        <f>IFERROR(INDEX(Pedidos!$E$2:$E$1801,MATCH(B4325,Pedidos!$A$2:$A$1801,0)),"")</f>
        <v/>
      </c>
      <c r="J4325" s="25">
        <f>IFERROR(INDEX(Pedidos!$C$2:$C$1801,MATCH(B4325,Pedidos!$A$2:$A$1801,0)),"")</f>
        <v/>
      </c>
      <c r="K4325" s="25">
        <f>IFERROR(INDEX(Pedidos!$D$2:$D$1801,MATCH(B4325,Pedidos!$A$2:$A$1801,0)),"")</f>
        <v/>
      </c>
      <c r="L4325" s="25">
        <f>IFERROR(INDEX(Pedidos!$F$2:$F$1801,MATCH(B4325,Pedidos!$A$2:$A$1801,0)),"")</f>
        <v/>
      </c>
      <c r="M4325" s="26">
        <f>IFERROR(INDEX(Pedidos!$G$2:$G$1801,MATCH(B4325,Pedidos!$A$2:$A$1801,0)),0)</f>
        <v/>
      </c>
      <c r="N4325" s="25">
        <f>IFERROR(INDEX(Produtos!$B$2:$B$71,MATCH(C4325,Produtos!$A$2:$A$71,0)),"")</f>
        <v/>
      </c>
      <c r="O4325" s="25">
        <f>IFERROR(INDEX(Produtos!$C$2:$C$71,MATCH(C4325,Produtos!$A$2:$A$71,0)),"")</f>
        <v/>
      </c>
      <c r="P4325" s="25">
        <f>IFERROR(INDEX(Produtos!$D$2:$D$71,MATCH(C4325,Produtos!$A$2:$A$71,0)),0)</f>
        <v/>
      </c>
      <c r="Q4325" s="25">
        <f>IFERROR(INDEX(Produtos!$E$2:$E$71,MATCH(C4325,Produtos!$A$2:$A$71,0)),0)</f>
        <v/>
      </c>
      <c r="R4325" s="27">
        <f>D4325*Q4325</f>
        <v/>
      </c>
      <c r="S4325" s="27">
        <f>R4325*E4325</f>
        <v/>
      </c>
      <c r="T4325" s="27">
        <f>(R4325-S4325)*M4325</f>
        <v/>
      </c>
      <c r="U4325" s="27">
        <f>R4325-S4325-T4325</f>
        <v/>
      </c>
      <c r="V4325" s="27">
        <f>D4325*P4325</f>
        <v/>
      </c>
      <c r="W4325" s="27">
        <f>U4325-V4325</f>
        <v/>
      </c>
      <c r="X4325" s="28">
        <f>IFERROR(W4325/U4325,0)</f>
        <v/>
      </c>
    </row>
    <row r="4326">
      <c r="A4326" s="21">
        <f>ItensPedido!A4326</f>
        <v/>
      </c>
      <c r="B4326" s="21">
        <f>ItensPedido!B4326</f>
        <v/>
      </c>
      <c r="C4326" s="21">
        <f>ItensPedido!C4326</f>
        <v/>
      </c>
      <c r="D4326" s="21">
        <f>ItensPedido!D4326</f>
        <v/>
      </c>
      <c r="E4326" s="22">
        <f>ItensPedido!E4326</f>
        <v/>
      </c>
      <c r="F4326" s="21">
        <f>IFERROR(INDEX(Pedidos!$B$2:$B$1801,MATCH(B4326,Pedidos!$A$2:$A$1801,0)),0)</f>
        <v/>
      </c>
      <c r="G4326" s="21">
        <f>IF(F4326=0,"",YEAR(F4326))</f>
        <v/>
      </c>
      <c r="H4326" s="21">
        <f>IF(F4326=0,"",MONTH(F4326))</f>
        <v/>
      </c>
      <c r="I4326" s="21">
        <f>IFERROR(INDEX(Pedidos!$E$2:$E$1801,MATCH(B4326,Pedidos!$A$2:$A$1801,0)),"")</f>
        <v/>
      </c>
      <c r="J4326" s="21">
        <f>IFERROR(INDEX(Pedidos!$C$2:$C$1801,MATCH(B4326,Pedidos!$A$2:$A$1801,0)),"")</f>
        <v/>
      </c>
      <c r="K4326" s="21">
        <f>IFERROR(INDEX(Pedidos!$D$2:$D$1801,MATCH(B4326,Pedidos!$A$2:$A$1801,0)),"")</f>
        <v/>
      </c>
      <c r="L4326" s="21">
        <f>IFERROR(INDEX(Pedidos!$F$2:$F$1801,MATCH(B4326,Pedidos!$A$2:$A$1801,0)),"")</f>
        <v/>
      </c>
      <c r="M4326" s="22">
        <f>IFERROR(INDEX(Pedidos!$G$2:$G$1801,MATCH(B4326,Pedidos!$A$2:$A$1801,0)),0)</f>
        <v/>
      </c>
      <c r="N4326" s="21">
        <f>IFERROR(INDEX(Produtos!$B$2:$B$71,MATCH(C4326,Produtos!$A$2:$A$71,0)),"")</f>
        <v/>
      </c>
      <c r="O4326" s="21">
        <f>IFERROR(INDEX(Produtos!$C$2:$C$71,MATCH(C4326,Produtos!$A$2:$A$71,0)),"")</f>
        <v/>
      </c>
      <c r="P4326" s="21">
        <f>IFERROR(INDEX(Produtos!$D$2:$D$71,MATCH(C4326,Produtos!$A$2:$A$71,0)),0)</f>
        <v/>
      </c>
      <c r="Q4326" s="21">
        <f>IFERROR(INDEX(Produtos!$E$2:$E$71,MATCH(C4326,Produtos!$A$2:$A$71,0)),0)</f>
        <v/>
      </c>
      <c r="R4326" s="23">
        <f>D4326*Q4326</f>
        <v/>
      </c>
      <c r="S4326" s="23">
        <f>R4326*E4326</f>
        <v/>
      </c>
      <c r="T4326" s="23">
        <f>(R4326-S4326)*M4326</f>
        <v/>
      </c>
      <c r="U4326" s="23">
        <f>R4326-S4326-T4326</f>
        <v/>
      </c>
      <c r="V4326" s="23">
        <f>D4326*P4326</f>
        <v/>
      </c>
      <c r="W4326" s="23">
        <f>U4326-V4326</f>
        <v/>
      </c>
      <c r="X4326" s="24">
        <f>IFERROR(W4326/U4326,0)</f>
        <v/>
      </c>
    </row>
    <row r="4327">
      <c r="A4327" s="25">
        <f>ItensPedido!A4327</f>
        <v/>
      </c>
      <c r="B4327" s="25">
        <f>ItensPedido!B4327</f>
        <v/>
      </c>
      <c r="C4327" s="25">
        <f>ItensPedido!C4327</f>
        <v/>
      </c>
      <c r="D4327" s="25">
        <f>ItensPedido!D4327</f>
        <v/>
      </c>
      <c r="E4327" s="26">
        <f>ItensPedido!E4327</f>
        <v/>
      </c>
      <c r="F4327" s="25">
        <f>IFERROR(INDEX(Pedidos!$B$2:$B$1801,MATCH(B4327,Pedidos!$A$2:$A$1801,0)),0)</f>
        <v/>
      </c>
      <c r="G4327" s="25">
        <f>IF(F4327=0,"",YEAR(F4327))</f>
        <v/>
      </c>
      <c r="H4327" s="25">
        <f>IF(F4327=0,"",MONTH(F4327))</f>
        <v/>
      </c>
      <c r="I4327" s="25">
        <f>IFERROR(INDEX(Pedidos!$E$2:$E$1801,MATCH(B4327,Pedidos!$A$2:$A$1801,0)),"")</f>
        <v/>
      </c>
      <c r="J4327" s="25">
        <f>IFERROR(INDEX(Pedidos!$C$2:$C$1801,MATCH(B4327,Pedidos!$A$2:$A$1801,0)),"")</f>
        <v/>
      </c>
      <c r="K4327" s="25">
        <f>IFERROR(INDEX(Pedidos!$D$2:$D$1801,MATCH(B4327,Pedidos!$A$2:$A$1801,0)),"")</f>
        <v/>
      </c>
      <c r="L4327" s="25">
        <f>IFERROR(INDEX(Pedidos!$F$2:$F$1801,MATCH(B4327,Pedidos!$A$2:$A$1801,0)),"")</f>
        <v/>
      </c>
      <c r="M4327" s="26">
        <f>IFERROR(INDEX(Pedidos!$G$2:$G$1801,MATCH(B4327,Pedidos!$A$2:$A$1801,0)),0)</f>
        <v/>
      </c>
      <c r="N4327" s="25">
        <f>IFERROR(INDEX(Produtos!$B$2:$B$71,MATCH(C4327,Produtos!$A$2:$A$71,0)),"")</f>
        <v/>
      </c>
      <c r="O4327" s="25">
        <f>IFERROR(INDEX(Produtos!$C$2:$C$71,MATCH(C4327,Produtos!$A$2:$A$71,0)),"")</f>
        <v/>
      </c>
      <c r="P4327" s="25">
        <f>IFERROR(INDEX(Produtos!$D$2:$D$71,MATCH(C4327,Produtos!$A$2:$A$71,0)),0)</f>
        <v/>
      </c>
      <c r="Q4327" s="25">
        <f>IFERROR(INDEX(Produtos!$E$2:$E$71,MATCH(C4327,Produtos!$A$2:$A$71,0)),0)</f>
        <v/>
      </c>
      <c r="R4327" s="27">
        <f>D4327*Q4327</f>
        <v/>
      </c>
      <c r="S4327" s="27">
        <f>R4327*E4327</f>
        <v/>
      </c>
      <c r="T4327" s="27">
        <f>(R4327-S4327)*M4327</f>
        <v/>
      </c>
      <c r="U4327" s="27">
        <f>R4327-S4327-T4327</f>
        <v/>
      </c>
      <c r="V4327" s="27">
        <f>D4327*P4327</f>
        <v/>
      </c>
      <c r="W4327" s="27">
        <f>U4327-V4327</f>
        <v/>
      </c>
      <c r="X4327" s="28">
        <f>IFERROR(W4327/U4327,0)</f>
        <v/>
      </c>
    </row>
    <row r="4328">
      <c r="A4328" s="21">
        <f>ItensPedido!A4328</f>
        <v/>
      </c>
      <c r="B4328" s="21">
        <f>ItensPedido!B4328</f>
        <v/>
      </c>
      <c r="C4328" s="21">
        <f>ItensPedido!C4328</f>
        <v/>
      </c>
      <c r="D4328" s="21">
        <f>ItensPedido!D4328</f>
        <v/>
      </c>
      <c r="E4328" s="22">
        <f>ItensPedido!E4328</f>
        <v/>
      </c>
      <c r="F4328" s="21">
        <f>IFERROR(INDEX(Pedidos!$B$2:$B$1801,MATCH(B4328,Pedidos!$A$2:$A$1801,0)),0)</f>
        <v/>
      </c>
      <c r="G4328" s="21">
        <f>IF(F4328=0,"",YEAR(F4328))</f>
        <v/>
      </c>
      <c r="H4328" s="21">
        <f>IF(F4328=0,"",MONTH(F4328))</f>
        <v/>
      </c>
      <c r="I4328" s="21">
        <f>IFERROR(INDEX(Pedidos!$E$2:$E$1801,MATCH(B4328,Pedidos!$A$2:$A$1801,0)),"")</f>
        <v/>
      </c>
      <c r="J4328" s="21">
        <f>IFERROR(INDEX(Pedidos!$C$2:$C$1801,MATCH(B4328,Pedidos!$A$2:$A$1801,0)),"")</f>
        <v/>
      </c>
      <c r="K4328" s="21">
        <f>IFERROR(INDEX(Pedidos!$D$2:$D$1801,MATCH(B4328,Pedidos!$A$2:$A$1801,0)),"")</f>
        <v/>
      </c>
      <c r="L4328" s="21">
        <f>IFERROR(INDEX(Pedidos!$F$2:$F$1801,MATCH(B4328,Pedidos!$A$2:$A$1801,0)),"")</f>
        <v/>
      </c>
      <c r="M4328" s="22">
        <f>IFERROR(INDEX(Pedidos!$G$2:$G$1801,MATCH(B4328,Pedidos!$A$2:$A$1801,0)),0)</f>
        <v/>
      </c>
      <c r="N4328" s="21">
        <f>IFERROR(INDEX(Produtos!$B$2:$B$71,MATCH(C4328,Produtos!$A$2:$A$71,0)),"")</f>
        <v/>
      </c>
      <c r="O4328" s="21">
        <f>IFERROR(INDEX(Produtos!$C$2:$C$71,MATCH(C4328,Produtos!$A$2:$A$71,0)),"")</f>
        <v/>
      </c>
      <c r="P4328" s="21">
        <f>IFERROR(INDEX(Produtos!$D$2:$D$71,MATCH(C4328,Produtos!$A$2:$A$71,0)),0)</f>
        <v/>
      </c>
      <c r="Q4328" s="21">
        <f>IFERROR(INDEX(Produtos!$E$2:$E$71,MATCH(C4328,Produtos!$A$2:$A$71,0)),0)</f>
        <v/>
      </c>
      <c r="R4328" s="23">
        <f>D4328*Q4328</f>
        <v/>
      </c>
      <c r="S4328" s="23">
        <f>R4328*E4328</f>
        <v/>
      </c>
      <c r="T4328" s="23">
        <f>(R4328-S4328)*M4328</f>
        <v/>
      </c>
      <c r="U4328" s="23">
        <f>R4328-S4328-T4328</f>
        <v/>
      </c>
      <c r="V4328" s="23">
        <f>D4328*P4328</f>
        <v/>
      </c>
      <c r="W4328" s="23">
        <f>U4328-V4328</f>
        <v/>
      </c>
      <c r="X4328" s="24">
        <f>IFERROR(W4328/U4328,0)</f>
        <v/>
      </c>
    </row>
    <row r="4329">
      <c r="A4329" s="25">
        <f>ItensPedido!A4329</f>
        <v/>
      </c>
      <c r="B4329" s="25">
        <f>ItensPedido!B4329</f>
        <v/>
      </c>
      <c r="C4329" s="25">
        <f>ItensPedido!C4329</f>
        <v/>
      </c>
      <c r="D4329" s="25">
        <f>ItensPedido!D4329</f>
        <v/>
      </c>
      <c r="E4329" s="26">
        <f>ItensPedido!E4329</f>
        <v/>
      </c>
      <c r="F4329" s="25">
        <f>IFERROR(INDEX(Pedidos!$B$2:$B$1801,MATCH(B4329,Pedidos!$A$2:$A$1801,0)),0)</f>
        <v/>
      </c>
      <c r="G4329" s="25">
        <f>IF(F4329=0,"",YEAR(F4329))</f>
        <v/>
      </c>
      <c r="H4329" s="25">
        <f>IF(F4329=0,"",MONTH(F4329))</f>
        <v/>
      </c>
      <c r="I4329" s="25">
        <f>IFERROR(INDEX(Pedidos!$E$2:$E$1801,MATCH(B4329,Pedidos!$A$2:$A$1801,0)),"")</f>
        <v/>
      </c>
      <c r="J4329" s="25">
        <f>IFERROR(INDEX(Pedidos!$C$2:$C$1801,MATCH(B4329,Pedidos!$A$2:$A$1801,0)),"")</f>
        <v/>
      </c>
      <c r="K4329" s="25">
        <f>IFERROR(INDEX(Pedidos!$D$2:$D$1801,MATCH(B4329,Pedidos!$A$2:$A$1801,0)),"")</f>
        <v/>
      </c>
      <c r="L4329" s="25">
        <f>IFERROR(INDEX(Pedidos!$F$2:$F$1801,MATCH(B4329,Pedidos!$A$2:$A$1801,0)),"")</f>
        <v/>
      </c>
      <c r="M4329" s="26">
        <f>IFERROR(INDEX(Pedidos!$G$2:$G$1801,MATCH(B4329,Pedidos!$A$2:$A$1801,0)),0)</f>
        <v/>
      </c>
      <c r="N4329" s="25">
        <f>IFERROR(INDEX(Produtos!$B$2:$B$71,MATCH(C4329,Produtos!$A$2:$A$71,0)),"")</f>
        <v/>
      </c>
      <c r="O4329" s="25">
        <f>IFERROR(INDEX(Produtos!$C$2:$C$71,MATCH(C4329,Produtos!$A$2:$A$71,0)),"")</f>
        <v/>
      </c>
      <c r="P4329" s="25">
        <f>IFERROR(INDEX(Produtos!$D$2:$D$71,MATCH(C4329,Produtos!$A$2:$A$71,0)),0)</f>
        <v/>
      </c>
      <c r="Q4329" s="25">
        <f>IFERROR(INDEX(Produtos!$E$2:$E$71,MATCH(C4329,Produtos!$A$2:$A$71,0)),0)</f>
        <v/>
      </c>
      <c r="R4329" s="27">
        <f>D4329*Q4329</f>
        <v/>
      </c>
      <c r="S4329" s="27">
        <f>R4329*E4329</f>
        <v/>
      </c>
      <c r="T4329" s="27">
        <f>(R4329-S4329)*M4329</f>
        <v/>
      </c>
      <c r="U4329" s="27">
        <f>R4329-S4329-T4329</f>
        <v/>
      </c>
      <c r="V4329" s="27">
        <f>D4329*P4329</f>
        <v/>
      </c>
      <c r="W4329" s="27">
        <f>U4329-V4329</f>
        <v/>
      </c>
      <c r="X4329" s="28">
        <f>IFERROR(W4329/U4329,0)</f>
        <v/>
      </c>
    </row>
    <row r="4330">
      <c r="A4330" s="21">
        <f>ItensPedido!A4330</f>
        <v/>
      </c>
      <c r="B4330" s="21">
        <f>ItensPedido!B4330</f>
        <v/>
      </c>
      <c r="C4330" s="21">
        <f>ItensPedido!C4330</f>
        <v/>
      </c>
      <c r="D4330" s="21">
        <f>ItensPedido!D4330</f>
        <v/>
      </c>
      <c r="E4330" s="22">
        <f>ItensPedido!E4330</f>
        <v/>
      </c>
      <c r="F4330" s="21">
        <f>IFERROR(INDEX(Pedidos!$B$2:$B$1801,MATCH(B4330,Pedidos!$A$2:$A$1801,0)),0)</f>
        <v/>
      </c>
      <c r="G4330" s="21">
        <f>IF(F4330=0,"",YEAR(F4330))</f>
        <v/>
      </c>
      <c r="H4330" s="21">
        <f>IF(F4330=0,"",MONTH(F4330))</f>
        <v/>
      </c>
      <c r="I4330" s="21">
        <f>IFERROR(INDEX(Pedidos!$E$2:$E$1801,MATCH(B4330,Pedidos!$A$2:$A$1801,0)),"")</f>
        <v/>
      </c>
      <c r="J4330" s="21">
        <f>IFERROR(INDEX(Pedidos!$C$2:$C$1801,MATCH(B4330,Pedidos!$A$2:$A$1801,0)),"")</f>
        <v/>
      </c>
      <c r="K4330" s="21">
        <f>IFERROR(INDEX(Pedidos!$D$2:$D$1801,MATCH(B4330,Pedidos!$A$2:$A$1801,0)),"")</f>
        <v/>
      </c>
      <c r="L4330" s="21">
        <f>IFERROR(INDEX(Pedidos!$F$2:$F$1801,MATCH(B4330,Pedidos!$A$2:$A$1801,0)),"")</f>
        <v/>
      </c>
      <c r="M4330" s="22">
        <f>IFERROR(INDEX(Pedidos!$G$2:$G$1801,MATCH(B4330,Pedidos!$A$2:$A$1801,0)),0)</f>
        <v/>
      </c>
      <c r="N4330" s="21">
        <f>IFERROR(INDEX(Produtos!$B$2:$B$71,MATCH(C4330,Produtos!$A$2:$A$71,0)),"")</f>
        <v/>
      </c>
      <c r="O4330" s="21">
        <f>IFERROR(INDEX(Produtos!$C$2:$C$71,MATCH(C4330,Produtos!$A$2:$A$71,0)),"")</f>
        <v/>
      </c>
      <c r="P4330" s="21">
        <f>IFERROR(INDEX(Produtos!$D$2:$D$71,MATCH(C4330,Produtos!$A$2:$A$71,0)),0)</f>
        <v/>
      </c>
      <c r="Q4330" s="21">
        <f>IFERROR(INDEX(Produtos!$E$2:$E$71,MATCH(C4330,Produtos!$A$2:$A$71,0)),0)</f>
        <v/>
      </c>
      <c r="R4330" s="23">
        <f>D4330*Q4330</f>
        <v/>
      </c>
      <c r="S4330" s="23">
        <f>R4330*E4330</f>
        <v/>
      </c>
      <c r="T4330" s="23">
        <f>(R4330-S4330)*M4330</f>
        <v/>
      </c>
      <c r="U4330" s="23">
        <f>R4330-S4330-T4330</f>
        <v/>
      </c>
      <c r="V4330" s="23">
        <f>D4330*P4330</f>
        <v/>
      </c>
      <c r="W4330" s="23">
        <f>U4330-V4330</f>
        <v/>
      </c>
      <c r="X4330" s="24">
        <f>IFERROR(W4330/U4330,0)</f>
        <v/>
      </c>
    </row>
    <row r="4331">
      <c r="A4331" s="25">
        <f>ItensPedido!A4331</f>
        <v/>
      </c>
      <c r="B4331" s="25">
        <f>ItensPedido!B4331</f>
        <v/>
      </c>
      <c r="C4331" s="25">
        <f>ItensPedido!C4331</f>
        <v/>
      </c>
      <c r="D4331" s="25">
        <f>ItensPedido!D4331</f>
        <v/>
      </c>
      <c r="E4331" s="26">
        <f>ItensPedido!E4331</f>
        <v/>
      </c>
      <c r="F4331" s="25">
        <f>IFERROR(INDEX(Pedidos!$B$2:$B$1801,MATCH(B4331,Pedidos!$A$2:$A$1801,0)),0)</f>
        <v/>
      </c>
      <c r="G4331" s="25">
        <f>IF(F4331=0,"",YEAR(F4331))</f>
        <v/>
      </c>
      <c r="H4331" s="25">
        <f>IF(F4331=0,"",MONTH(F4331))</f>
        <v/>
      </c>
      <c r="I4331" s="25">
        <f>IFERROR(INDEX(Pedidos!$E$2:$E$1801,MATCH(B4331,Pedidos!$A$2:$A$1801,0)),"")</f>
        <v/>
      </c>
      <c r="J4331" s="25">
        <f>IFERROR(INDEX(Pedidos!$C$2:$C$1801,MATCH(B4331,Pedidos!$A$2:$A$1801,0)),"")</f>
        <v/>
      </c>
      <c r="K4331" s="25">
        <f>IFERROR(INDEX(Pedidos!$D$2:$D$1801,MATCH(B4331,Pedidos!$A$2:$A$1801,0)),"")</f>
        <v/>
      </c>
      <c r="L4331" s="25">
        <f>IFERROR(INDEX(Pedidos!$F$2:$F$1801,MATCH(B4331,Pedidos!$A$2:$A$1801,0)),"")</f>
        <v/>
      </c>
      <c r="M4331" s="26">
        <f>IFERROR(INDEX(Pedidos!$G$2:$G$1801,MATCH(B4331,Pedidos!$A$2:$A$1801,0)),0)</f>
        <v/>
      </c>
      <c r="N4331" s="25">
        <f>IFERROR(INDEX(Produtos!$B$2:$B$71,MATCH(C4331,Produtos!$A$2:$A$71,0)),"")</f>
        <v/>
      </c>
      <c r="O4331" s="25">
        <f>IFERROR(INDEX(Produtos!$C$2:$C$71,MATCH(C4331,Produtos!$A$2:$A$71,0)),"")</f>
        <v/>
      </c>
      <c r="P4331" s="25">
        <f>IFERROR(INDEX(Produtos!$D$2:$D$71,MATCH(C4331,Produtos!$A$2:$A$71,0)),0)</f>
        <v/>
      </c>
      <c r="Q4331" s="25">
        <f>IFERROR(INDEX(Produtos!$E$2:$E$71,MATCH(C4331,Produtos!$A$2:$A$71,0)),0)</f>
        <v/>
      </c>
      <c r="R4331" s="27">
        <f>D4331*Q4331</f>
        <v/>
      </c>
      <c r="S4331" s="27">
        <f>R4331*E4331</f>
        <v/>
      </c>
      <c r="T4331" s="27">
        <f>(R4331-S4331)*M4331</f>
        <v/>
      </c>
      <c r="U4331" s="27">
        <f>R4331-S4331-T4331</f>
        <v/>
      </c>
      <c r="V4331" s="27">
        <f>D4331*P4331</f>
        <v/>
      </c>
      <c r="W4331" s="27">
        <f>U4331-V4331</f>
        <v/>
      </c>
      <c r="X4331" s="28">
        <f>IFERROR(W4331/U4331,0)</f>
        <v/>
      </c>
    </row>
    <row r="4332">
      <c r="A4332" s="21">
        <f>ItensPedido!A4332</f>
        <v/>
      </c>
      <c r="B4332" s="21">
        <f>ItensPedido!B4332</f>
        <v/>
      </c>
      <c r="C4332" s="21">
        <f>ItensPedido!C4332</f>
        <v/>
      </c>
      <c r="D4332" s="21">
        <f>ItensPedido!D4332</f>
        <v/>
      </c>
      <c r="E4332" s="22">
        <f>ItensPedido!E4332</f>
        <v/>
      </c>
      <c r="F4332" s="21">
        <f>IFERROR(INDEX(Pedidos!$B$2:$B$1801,MATCH(B4332,Pedidos!$A$2:$A$1801,0)),0)</f>
        <v/>
      </c>
      <c r="G4332" s="21">
        <f>IF(F4332=0,"",YEAR(F4332))</f>
        <v/>
      </c>
      <c r="H4332" s="21">
        <f>IF(F4332=0,"",MONTH(F4332))</f>
        <v/>
      </c>
      <c r="I4332" s="21">
        <f>IFERROR(INDEX(Pedidos!$E$2:$E$1801,MATCH(B4332,Pedidos!$A$2:$A$1801,0)),"")</f>
        <v/>
      </c>
      <c r="J4332" s="21">
        <f>IFERROR(INDEX(Pedidos!$C$2:$C$1801,MATCH(B4332,Pedidos!$A$2:$A$1801,0)),"")</f>
        <v/>
      </c>
      <c r="K4332" s="21">
        <f>IFERROR(INDEX(Pedidos!$D$2:$D$1801,MATCH(B4332,Pedidos!$A$2:$A$1801,0)),"")</f>
        <v/>
      </c>
      <c r="L4332" s="21">
        <f>IFERROR(INDEX(Pedidos!$F$2:$F$1801,MATCH(B4332,Pedidos!$A$2:$A$1801,0)),"")</f>
        <v/>
      </c>
      <c r="M4332" s="22">
        <f>IFERROR(INDEX(Pedidos!$G$2:$G$1801,MATCH(B4332,Pedidos!$A$2:$A$1801,0)),0)</f>
        <v/>
      </c>
      <c r="N4332" s="21">
        <f>IFERROR(INDEX(Produtos!$B$2:$B$71,MATCH(C4332,Produtos!$A$2:$A$71,0)),"")</f>
        <v/>
      </c>
      <c r="O4332" s="21">
        <f>IFERROR(INDEX(Produtos!$C$2:$C$71,MATCH(C4332,Produtos!$A$2:$A$71,0)),"")</f>
        <v/>
      </c>
      <c r="P4332" s="21">
        <f>IFERROR(INDEX(Produtos!$D$2:$D$71,MATCH(C4332,Produtos!$A$2:$A$71,0)),0)</f>
        <v/>
      </c>
      <c r="Q4332" s="21">
        <f>IFERROR(INDEX(Produtos!$E$2:$E$71,MATCH(C4332,Produtos!$A$2:$A$71,0)),0)</f>
        <v/>
      </c>
      <c r="R4332" s="23">
        <f>D4332*Q4332</f>
        <v/>
      </c>
      <c r="S4332" s="23">
        <f>R4332*E4332</f>
        <v/>
      </c>
      <c r="T4332" s="23">
        <f>(R4332-S4332)*M4332</f>
        <v/>
      </c>
      <c r="U4332" s="23">
        <f>R4332-S4332-T4332</f>
        <v/>
      </c>
      <c r="V4332" s="23">
        <f>D4332*P4332</f>
        <v/>
      </c>
      <c r="W4332" s="23">
        <f>U4332-V4332</f>
        <v/>
      </c>
      <c r="X4332" s="24">
        <f>IFERROR(W4332/U4332,0)</f>
        <v/>
      </c>
    </row>
    <row r="4333">
      <c r="A4333" s="25">
        <f>ItensPedido!A4333</f>
        <v/>
      </c>
      <c r="B4333" s="25">
        <f>ItensPedido!B4333</f>
        <v/>
      </c>
      <c r="C4333" s="25">
        <f>ItensPedido!C4333</f>
        <v/>
      </c>
      <c r="D4333" s="25">
        <f>ItensPedido!D4333</f>
        <v/>
      </c>
      <c r="E4333" s="26">
        <f>ItensPedido!E4333</f>
        <v/>
      </c>
      <c r="F4333" s="25">
        <f>IFERROR(INDEX(Pedidos!$B$2:$B$1801,MATCH(B4333,Pedidos!$A$2:$A$1801,0)),0)</f>
        <v/>
      </c>
      <c r="G4333" s="25">
        <f>IF(F4333=0,"",YEAR(F4333))</f>
        <v/>
      </c>
      <c r="H4333" s="25">
        <f>IF(F4333=0,"",MONTH(F4333))</f>
        <v/>
      </c>
      <c r="I4333" s="25">
        <f>IFERROR(INDEX(Pedidos!$E$2:$E$1801,MATCH(B4333,Pedidos!$A$2:$A$1801,0)),"")</f>
        <v/>
      </c>
      <c r="J4333" s="25">
        <f>IFERROR(INDEX(Pedidos!$C$2:$C$1801,MATCH(B4333,Pedidos!$A$2:$A$1801,0)),"")</f>
        <v/>
      </c>
      <c r="K4333" s="25">
        <f>IFERROR(INDEX(Pedidos!$D$2:$D$1801,MATCH(B4333,Pedidos!$A$2:$A$1801,0)),"")</f>
        <v/>
      </c>
      <c r="L4333" s="25">
        <f>IFERROR(INDEX(Pedidos!$F$2:$F$1801,MATCH(B4333,Pedidos!$A$2:$A$1801,0)),"")</f>
        <v/>
      </c>
      <c r="M4333" s="26">
        <f>IFERROR(INDEX(Pedidos!$G$2:$G$1801,MATCH(B4333,Pedidos!$A$2:$A$1801,0)),0)</f>
        <v/>
      </c>
      <c r="N4333" s="25">
        <f>IFERROR(INDEX(Produtos!$B$2:$B$71,MATCH(C4333,Produtos!$A$2:$A$71,0)),"")</f>
        <v/>
      </c>
      <c r="O4333" s="25">
        <f>IFERROR(INDEX(Produtos!$C$2:$C$71,MATCH(C4333,Produtos!$A$2:$A$71,0)),"")</f>
        <v/>
      </c>
      <c r="P4333" s="25">
        <f>IFERROR(INDEX(Produtos!$D$2:$D$71,MATCH(C4333,Produtos!$A$2:$A$71,0)),0)</f>
        <v/>
      </c>
      <c r="Q4333" s="25">
        <f>IFERROR(INDEX(Produtos!$E$2:$E$71,MATCH(C4333,Produtos!$A$2:$A$71,0)),0)</f>
        <v/>
      </c>
      <c r="R4333" s="27">
        <f>D4333*Q4333</f>
        <v/>
      </c>
      <c r="S4333" s="27">
        <f>R4333*E4333</f>
        <v/>
      </c>
      <c r="T4333" s="27">
        <f>(R4333-S4333)*M4333</f>
        <v/>
      </c>
      <c r="U4333" s="27">
        <f>R4333-S4333-T4333</f>
        <v/>
      </c>
      <c r="V4333" s="27">
        <f>D4333*P4333</f>
        <v/>
      </c>
      <c r="W4333" s="27">
        <f>U4333-V4333</f>
        <v/>
      </c>
      <c r="X4333" s="28">
        <f>IFERROR(W4333/U4333,0)</f>
        <v/>
      </c>
    </row>
    <row r="4334">
      <c r="A4334" s="21">
        <f>ItensPedido!A4334</f>
        <v/>
      </c>
      <c r="B4334" s="21">
        <f>ItensPedido!B4334</f>
        <v/>
      </c>
      <c r="C4334" s="21">
        <f>ItensPedido!C4334</f>
        <v/>
      </c>
      <c r="D4334" s="21">
        <f>ItensPedido!D4334</f>
        <v/>
      </c>
      <c r="E4334" s="22">
        <f>ItensPedido!E4334</f>
        <v/>
      </c>
      <c r="F4334" s="21">
        <f>IFERROR(INDEX(Pedidos!$B$2:$B$1801,MATCH(B4334,Pedidos!$A$2:$A$1801,0)),0)</f>
        <v/>
      </c>
      <c r="G4334" s="21">
        <f>IF(F4334=0,"",YEAR(F4334))</f>
        <v/>
      </c>
      <c r="H4334" s="21">
        <f>IF(F4334=0,"",MONTH(F4334))</f>
        <v/>
      </c>
      <c r="I4334" s="21">
        <f>IFERROR(INDEX(Pedidos!$E$2:$E$1801,MATCH(B4334,Pedidos!$A$2:$A$1801,0)),"")</f>
        <v/>
      </c>
      <c r="J4334" s="21">
        <f>IFERROR(INDEX(Pedidos!$C$2:$C$1801,MATCH(B4334,Pedidos!$A$2:$A$1801,0)),"")</f>
        <v/>
      </c>
      <c r="K4334" s="21">
        <f>IFERROR(INDEX(Pedidos!$D$2:$D$1801,MATCH(B4334,Pedidos!$A$2:$A$1801,0)),"")</f>
        <v/>
      </c>
      <c r="L4334" s="21">
        <f>IFERROR(INDEX(Pedidos!$F$2:$F$1801,MATCH(B4334,Pedidos!$A$2:$A$1801,0)),"")</f>
        <v/>
      </c>
      <c r="M4334" s="22">
        <f>IFERROR(INDEX(Pedidos!$G$2:$G$1801,MATCH(B4334,Pedidos!$A$2:$A$1801,0)),0)</f>
        <v/>
      </c>
      <c r="N4334" s="21">
        <f>IFERROR(INDEX(Produtos!$B$2:$B$71,MATCH(C4334,Produtos!$A$2:$A$71,0)),"")</f>
        <v/>
      </c>
      <c r="O4334" s="21">
        <f>IFERROR(INDEX(Produtos!$C$2:$C$71,MATCH(C4334,Produtos!$A$2:$A$71,0)),"")</f>
        <v/>
      </c>
      <c r="P4334" s="21">
        <f>IFERROR(INDEX(Produtos!$D$2:$D$71,MATCH(C4334,Produtos!$A$2:$A$71,0)),0)</f>
        <v/>
      </c>
      <c r="Q4334" s="21">
        <f>IFERROR(INDEX(Produtos!$E$2:$E$71,MATCH(C4334,Produtos!$A$2:$A$71,0)),0)</f>
        <v/>
      </c>
      <c r="R4334" s="23">
        <f>D4334*Q4334</f>
        <v/>
      </c>
      <c r="S4334" s="23">
        <f>R4334*E4334</f>
        <v/>
      </c>
      <c r="T4334" s="23">
        <f>(R4334-S4334)*M4334</f>
        <v/>
      </c>
      <c r="U4334" s="23">
        <f>R4334-S4334-T4334</f>
        <v/>
      </c>
      <c r="V4334" s="23">
        <f>D4334*P4334</f>
        <v/>
      </c>
      <c r="W4334" s="23">
        <f>U4334-V4334</f>
        <v/>
      </c>
      <c r="X4334" s="24">
        <f>IFERROR(W4334/U4334,0)</f>
        <v/>
      </c>
    </row>
    <row r="4335">
      <c r="A4335" s="25">
        <f>ItensPedido!A4335</f>
        <v/>
      </c>
      <c r="B4335" s="25">
        <f>ItensPedido!B4335</f>
        <v/>
      </c>
      <c r="C4335" s="25">
        <f>ItensPedido!C4335</f>
        <v/>
      </c>
      <c r="D4335" s="25">
        <f>ItensPedido!D4335</f>
        <v/>
      </c>
      <c r="E4335" s="26">
        <f>ItensPedido!E4335</f>
        <v/>
      </c>
      <c r="F4335" s="25">
        <f>IFERROR(INDEX(Pedidos!$B$2:$B$1801,MATCH(B4335,Pedidos!$A$2:$A$1801,0)),0)</f>
        <v/>
      </c>
      <c r="G4335" s="25">
        <f>IF(F4335=0,"",YEAR(F4335))</f>
        <v/>
      </c>
      <c r="H4335" s="25">
        <f>IF(F4335=0,"",MONTH(F4335))</f>
        <v/>
      </c>
      <c r="I4335" s="25">
        <f>IFERROR(INDEX(Pedidos!$E$2:$E$1801,MATCH(B4335,Pedidos!$A$2:$A$1801,0)),"")</f>
        <v/>
      </c>
      <c r="J4335" s="25">
        <f>IFERROR(INDEX(Pedidos!$C$2:$C$1801,MATCH(B4335,Pedidos!$A$2:$A$1801,0)),"")</f>
        <v/>
      </c>
      <c r="K4335" s="25">
        <f>IFERROR(INDEX(Pedidos!$D$2:$D$1801,MATCH(B4335,Pedidos!$A$2:$A$1801,0)),"")</f>
        <v/>
      </c>
      <c r="L4335" s="25">
        <f>IFERROR(INDEX(Pedidos!$F$2:$F$1801,MATCH(B4335,Pedidos!$A$2:$A$1801,0)),"")</f>
        <v/>
      </c>
      <c r="M4335" s="26">
        <f>IFERROR(INDEX(Pedidos!$G$2:$G$1801,MATCH(B4335,Pedidos!$A$2:$A$1801,0)),0)</f>
        <v/>
      </c>
      <c r="N4335" s="25">
        <f>IFERROR(INDEX(Produtos!$B$2:$B$71,MATCH(C4335,Produtos!$A$2:$A$71,0)),"")</f>
        <v/>
      </c>
      <c r="O4335" s="25">
        <f>IFERROR(INDEX(Produtos!$C$2:$C$71,MATCH(C4335,Produtos!$A$2:$A$71,0)),"")</f>
        <v/>
      </c>
      <c r="P4335" s="25">
        <f>IFERROR(INDEX(Produtos!$D$2:$D$71,MATCH(C4335,Produtos!$A$2:$A$71,0)),0)</f>
        <v/>
      </c>
      <c r="Q4335" s="25">
        <f>IFERROR(INDEX(Produtos!$E$2:$E$71,MATCH(C4335,Produtos!$A$2:$A$71,0)),0)</f>
        <v/>
      </c>
      <c r="R4335" s="27">
        <f>D4335*Q4335</f>
        <v/>
      </c>
      <c r="S4335" s="27">
        <f>R4335*E4335</f>
        <v/>
      </c>
      <c r="T4335" s="27">
        <f>(R4335-S4335)*M4335</f>
        <v/>
      </c>
      <c r="U4335" s="27">
        <f>R4335-S4335-T4335</f>
        <v/>
      </c>
      <c r="V4335" s="27">
        <f>D4335*P4335</f>
        <v/>
      </c>
      <c r="W4335" s="27">
        <f>U4335-V4335</f>
        <v/>
      </c>
      <c r="X4335" s="28">
        <f>IFERROR(W4335/U4335,0)</f>
        <v/>
      </c>
    </row>
    <row r="4336">
      <c r="A4336" s="21">
        <f>ItensPedido!A4336</f>
        <v/>
      </c>
      <c r="B4336" s="21">
        <f>ItensPedido!B4336</f>
        <v/>
      </c>
      <c r="C4336" s="21">
        <f>ItensPedido!C4336</f>
        <v/>
      </c>
      <c r="D4336" s="21">
        <f>ItensPedido!D4336</f>
        <v/>
      </c>
      <c r="E4336" s="22">
        <f>ItensPedido!E4336</f>
        <v/>
      </c>
      <c r="F4336" s="21">
        <f>IFERROR(INDEX(Pedidos!$B$2:$B$1801,MATCH(B4336,Pedidos!$A$2:$A$1801,0)),0)</f>
        <v/>
      </c>
      <c r="G4336" s="21">
        <f>IF(F4336=0,"",YEAR(F4336))</f>
        <v/>
      </c>
      <c r="H4336" s="21">
        <f>IF(F4336=0,"",MONTH(F4336))</f>
        <v/>
      </c>
      <c r="I4336" s="21">
        <f>IFERROR(INDEX(Pedidos!$E$2:$E$1801,MATCH(B4336,Pedidos!$A$2:$A$1801,0)),"")</f>
        <v/>
      </c>
      <c r="J4336" s="21">
        <f>IFERROR(INDEX(Pedidos!$C$2:$C$1801,MATCH(B4336,Pedidos!$A$2:$A$1801,0)),"")</f>
        <v/>
      </c>
      <c r="K4336" s="21">
        <f>IFERROR(INDEX(Pedidos!$D$2:$D$1801,MATCH(B4336,Pedidos!$A$2:$A$1801,0)),"")</f>
        <v/>
      </c>
      <c r="L4336" s="21">
        <f>IFERROR(INDEX(Pedidos!$F$2:$F$1801,MATCH(B4336,Pedidos!$A$2:$A$1801,0)),"")</f>
        <v/>
      </c>
      <c r="M4336" s="22">
        <f>IFERROR(INDEX(Pedidos!$G$2:$G$1801,MATCH(B4336,Pedidos!$A$2:$A$1801,0)),0)</f>
        <v/>
      </c>
      <c r="N4336" s="21">
        <f>IFERROR(INDEX(Produtos!$B$2:$B$71,MATCH(C4336,Produtos!$A$2:$A$71,0)),"")</f>
        <v/>
      </c>
      <c r="O4336" s="21">
        <f>IFERROR(INDEX(Produtos!$C$2:$C$71,MATCH(C4336,Produtos!$A$2:$A$71,0)),"")</f>
        <v/>
      </c>
      <c r="P4336" s="21">
        <f>IFERROR(INDEX(Produtos!$D$2:$D$71,MATCH(C4336,Produtos!$A$2:$A$71,0)),0)</f>
        <v/>
      </c>
      <c r="Q4336" s="21">
        <f>IFERROR(INDEX(Produtos!$E$2:$E$71,MATCH(C4336,Produtos!$A$2:$A$71,0)),0)</f>
        <v/>
      </c>
      <c r="R4336" s="23">
        <f>D4336*Q4336</f>
        <v/>
      </c>
      <c r="S4336" s="23">
        <f>R4336*E4336</f>
        <v/>
      </c>
      <c r="T4336" s="23">
        <f>(R4336-S4336)*M4336</f>
        <v/>
      </c>
      <c r="U4336" s="23">
        <f>R4336-S4336-T4336</f>
        <v/>
      </c>
      <c r="V4336" s="23">
        <f>D4336*P4336</f>
        <v/>
      </c>
      <c r="W4336" s="23">
        <f>U4336-V4336</f>
        <v/>
      </c>
      <c r="X4336" s="24">
        <f>IFERROR(W4336/U4336,0)</f>
        <v/>
      </c>
    </row>
    <row r="4337">
      <c r="A4337" s="25">
        <f>ItensPedido!A4337</f>
        <v/>
      </c>
      <c r="B4337" s="25">
        <f>ItensPedido!B4337</f>
        <v/>
      </c>
      <c r="C4337" s="25">
        <f>ItensPedido!C4337</f>
        <v/>
      </c>
      <c r="D4337" s="25">
        <f>ItensPedido!D4337</f>
        <v/>
      </c>
      <c r="E4337" s="26">
        <f>ItensPedido!E4337</f>
        <v/>
      </c>
      <c r="F4337" s="25">
        <f>IFERROR(INDEX(Pedidos!$B$2:$B$1801,MATCH(B4337,Pedidos!$A$2:$A$1801,0)),0)</f>
        <v/>
      </c>
      <c r="G4337" s="25">
        <f>IF(F4337=0,"",YEAR(F4337))</f>
        <v/>
      </c>
      <c r="H4337" s="25">
        <f>IF(F4337=0,"",MONTH(F4337))</f>
        <v/>
      </c>
      <c r="I4337" s="25">
        <f>IFERROR(INDEX(Pedidos!$E$2:$E$1801,MATCH(B4337,Pedidos!$A$2:$A$1801,0)),"")</f>
        <v/>
      </c>
      <c r="J4337" s="25">
        <f>IFERROR(INDEX(Pedidos!$C$2:$C$1801,MATCH(B4337,Pedidos!$A$2:$A$1801,0)),"")</f>
        <v/>
      </c>
      <c r="K4337" s="25">
        <f>IFERROR(INDEX(Pedidos!$D$2:$D$1801,MATCH(B4337,Pedidos!$A$2:$A$1801,0)),"")</f>
        <v/>
      </c>
      <c r="L4337" s="25">
        <f>IFERROR(INDEX(Pedidos!$F$2:$F$1801,MATCH(B4337,Pedidos!$A$2:$A$1801,0)),"")</f>
        <v/>
      </c>
      <c r="M4337" s="26">
        <f>IFERROR(INDEX(Pedidos!$G$2:$G$1801,MATCH(B4337,Pedidos!$A$2:$A$1801,0)),0)</f>
        <v/>
      </c>
      <c r="N4337" s="25">
        <f>IFERROR(INDEX(Produtos!$B$2:$B$71,MATCH(C4337,Produtos!$A$2:$A$71,0)),"")</f>
        <v/>
      </c>
      <c r="O4337" s="25">
        <f>IFERROR(INDEX(Produtos!$C$2:$C$71,MATCH(C4337,Produtos!$A$2:$A$71,0)),"")</f>
        <v/>
      </c>
      <c r="P4337" s="25">
        <f>IFERROR(INDEX(Produtos!$D$2:$D$71,MATCH(C4337,Produtos!$A$2:$A$71,0)),0)</f>
        <v/>
      </c>
      <c r="Q4337" s="25">
        <f>IFERROR(INDEX(Produtos!$E$2:$E$71,MATCH(C4337,Produtos!$A$2:$A$71,0)),0)</f>
        <v/>
      </c>
      <c r="R4337" s="27">
        <f>D4337*Q4337</f>
        <v/>
      </c>
      <c r="S4337" s="27">
        <f>R4337*E4337</f>
        <v/>
      </c>
      <c r="T4337" s="27">
        <f>(R4337-S4337)*M4337</f>
        <v/>
      </c>
      <c r="U4337" s="27">
        <f>R4337-S4337-T4337</f>
        <v/>
      </c>
      <c r="V4337" s="27">
        <f>D4337*P4337</f>
        <v/>
      </c>
      <c r="W4337" s="27">
        <f>U4337-V4337</f>
        <v/>
      </c>
      <c r="X4337" s="28">
        <f>IFERROR(W4337/U4337,0)</f>
        <v/>
      </c>
    </row>
    <row r="4338">
      <c r="A4338" s="21">
        <f>ItensPedido!A4338</f>
        <v/>
      </c>
      <c r="B4338" s="21">
        <f>ItensPedido!B4338</f>
        <v/>
      </c>
      <c r="C4338" s="21">
        <f>ItensPedido!C4338</f>
        <v/>
      </c>
      <c r="D4338" s="21">
        <f>ItensPedido!D4338</f>
        <v/>
      </c>
      <c r="E4338" s="22">
        <f>ItensPedido!E4338</f>
        <v/>
      </c>
      <c r="F4338" s="21">
        <f>IFERROR(INDEX(Pedidos!$B$2:$B$1801,MATCH(B4338,Pedidos!$A$2:$A$1801,0)),0)</f>
        <v/>
      </c>
      <c r="G4338" s="21">
        <f>IF(F4338=0,"",YEAR(F4338))</f>
        <v/>
      </c>
      <c r="H4338" s="21">
        <f>IF(F4338=0,"",MONTH(F4338))</f>
        <v/>
      </c>
      <c r="I4338" s="21">
        <f>IFERROR(INDEX(Pedidos!$E$2:$E$1801,MATCH(B4338,Pedidos!$A$2:$A$1801,0)),"")</f>
        <v/>
      </c>
      <c r="J4338" s="21">
        <f>IFERROR(INDEX(Pedidos!$C$2:$C$1801,MATCH(B4338,Pedidos!$A$2:$A$1801,0)),"")</f>
        <v/>
      </c>
      <c r="K4338" s="21">
        <f>IFERROR(INDEX(Pedidos!$D$2:$D$1801,MATCH(B4338,Pedidos!$A$2:$A$1801,0)),"")</f>
        <v/>
      </c>
      <c r="L4338" s="21">
        <f>IFERROR(INDEX(Pedidos!$F$2:$F$1801,MATCH(B4338,Pedidos!$A$2:$A$1801,0)),"")</f>
        <v/>
      </c>
      <c r="M4338" s="22">
        <f>IFERROR(INDEX(Pedidos!$G$2:$G$1801,MATCH(B4338,Pedidos!$A$2:$A$1801,0)),0)</f>
        <v/>
      </c>
      <c r="N4338" s="21">
        <f>IFERROR(INDEX(Produtos!$B$2:$B$71,MATCH(C4338,Produtos!$A$2:$A$71,0)),"")</f>
        <v/>
      </c>
      <c r="O4338" s="21">
        <f>IFERROR(INDEX(Produtos!$C$2:$C$71,MATCH(C4338,Produtos!$A$2:$A$71,0)),"")</f>
        <v/>
      </c>
      <c r="P4338" s="21">
        <f>IFERROR(INDEX(Produtos!$D$2:$D$71,MATCH(C4338,Produtos!$A$2:$A$71,0)),0)</f>
        <v/>
      </c>
      <c r="Q4338" s="21">
        <f>IFERROR(INDEX(Produtos!$E$2:$E$71,MATCH(C4338,Produtos!$A$2:$A$71,0)),0)</f>
        <v/>
      </c>
      <c r="R4338" s="23">
        <f>D4338*Q4338</f>
        <v/>
      </c>
      <c r="S4338" s="23">
        <f>R4338*E4338</f>
        <v/>
      </c>
      <c r="T4338" s="23">
        <f>(R4338-S4338)*M4338</f>
        <v/>
      </c>
      <c r="U4338" s="23">
        <f>R4338-S4338-T4338</f>
        <v/>
      </c>
      <c r="V4338" s="23">
        <f>D4338*P4338</f>
        <v/>
      </c>
      <c r="W4338" s="23">
        <f>U4338-V4338</f>
        <v/>
      </c>
      <c r="X4338" s="24">
        <f>IFERROR(W4338/U4338,0)</f>
        <v/>
      </c>
    </row>
    <row r="4339">
      <c r="A4339" s="25">
        <f>ItensPedido!A4339</f>
        <v/>
      </c>
      <c r="B4339" s="25">
        <f>ItensPedido!B4339</f>
        <v/>
      </c>
      <c r="C4339" s="25">
        <f>ItensPedido!C4339</f>
        <v/>
      </c>
      <c r="D4339" s="25">
        <f>ItensPedido!D4339</f>
        <v/>
      </c>
      <c r="E4339" s="26">
        <f>ItensPedido!E4339</f>
        <v/>
      </c>
      <c r="F4339" s="25">
        <f>IFERROR(INDEX(Pedidos!$B$2:$B$1801,MATCH(B4339,Pedidos!$A$2:$A$1801,0)),0)</f>
        <v/>
      </c>
      <c r="G4339" s="25">
        <f>IF(F4339=0,"",YEAR(F4339))</f>
        <v/>
      </c>
      <c r="H4339" s="25">
        <f>IF(F4339=0,"",MONTH(F4339))</f>
        <v/>
      </c>
      <c r="I4339" s="25">
        <f>IFERROR(INDEX(Pedidos!$E$2:$E$1801,MATCH(B4339,Pedidos!$A$2:$A$1801,0)),"")</f>
        <v/>
      </c>
      <c r="J4339" s="25">
        <f>IFERROR(INDEX(Pedidos!$C$2:$C$1801,MATCH(B4339,Pedidos!$A$2:$A$1801,0)),"")</f>
        <v/>
      </c>
      <c r="K4339" s="25">
        <f>IFERROR(INDEX(Pedidos!$D$2:$D$1801,MATCH(B4339,Pedidos!$A$2:$A$1801,0)),"")</f>
        <v/>
      </c>
      <c r="L4339" s="25">
        <f>IFERROR(INDEX(Pedidos!$F$2:$F$1801,MATCH(B4339,Pedidos!$A$2:$A$1801,0)),"")</f>
        <v/>
      </c>
      <c r="M4339" s="26">
        <f>IFERROR(INDEX(Pedidos!$G$2:$G$1801,MATCH(B4339,Pedidos!$A$2:$A$1801,0)),0)</f>
        <v/>
      </c>
      <c r="N4339" s="25">
        <f>IFERROR(INDEX(Produtos!$B$2:$B$71,MATCH(C4339,Produtos!$A$2:$A$71,0)),"")</f>
        <v/>
      </c>
      <c r="O4339" s="25">
        <f>IFERROR(INDEX(Produtos!$C$2:$C$71,MATCH(C4339,Produtos!$A$2:$A$71,0)),"")</f>
        <v/>
      </c>
      <c r="P4339" s="25">
        <f>IFERROR(INDEX(Produtos!$D$2:$D$71,MATCH(C4339,Produtos!$A$2:$A$71,0)),0)</f>
        <v/>
      </c>
      <c r="Q4339" s="25">
        <f>IFERROR(INDEX(Produtos!$E$2:$E$71,MATCH(C4339,Produtos!$A$2:$A$71,0)),0)</f>
        <v/>
      </c>
      <c r="R4339" s="27">
        <f>D4339*Q4339</f>
        <v/>
      </c>
      <c r="S4339" s="27">
        <f>R4339*E4339</f>
        <v/>
      </c>
      <c r="T4339" s="27">
        <f>(R4339-S4339)*M4339</f>
        <v/>
      </c>
      <c r="U4339" s="27">
        <f>R4339-S4339-T4339</f>
        <v/>
      </c>
      <c r="V4339" s="27">
        <f>D4339*P4339</f>
        <v/>
      </c>
      <c r="W4339" s="27">
        <f>U4339-V4339</f>
        <v/>
      </c>
      <c r="X4339" s="28">
        <f>IFERROR(W4339/U4339,0)</f>
        <v/>
      </c>
    </row>
    <row r="4340">
      <c r="A4340" s="21">
        <f>ItensPedido!A4340</f>
        <v/>
      </c>
      <c r="B4340" s="21">
        <f>ItensPedido!B4340</f>
        <v/>
      </c>
      <c r="C4340" s="21">
        <f>ItensPedido!C4340</f>
        <v/>
      </c>
      <c r="D4340" s="21">
        <f>ItensPedido!D4340</f>
        <v/>
      </c>
      <c r="E4340" s="22">
        <f>ItensPedido!E4340</f>
        <v/>
      </c>
      <c r="F4340" s="21">
        <f>IFERROR(INDEX(Pedidos!$B$2:$B$1801,MATCH(B4340,Pedidos!$A$2:$A$1801,0)),0)</f>
        <v/>
      </c>
      <c r="G4340" s="21">
        <f>IF(F4340=0,"",YEAR(F4340))</f>
        <v/>
      </c>
      <c r="H4340" s="21">
        <f>IF(F4340=0,"",MONTH(F4340))</f>
        <v/>
      </c>
      <c r="I4340" s="21">
        <f>IFERROR(INDEX(Pedidos!$E$2:$E$1801,MATCH(B4340,Pedidos!$A$2:$A$1801,0)),"")</f>
        <v/>
      </c>
      <c r="J4340" s="21">
        <f>IFERROR(INDEX(Pedidos!$C$2:$C$1801,MATCH(B4340,Pedidos!$A$2:$A$1801,0)),"")</f>
        <v/>
      </c>
      <c r="K4340" s="21">
        <f>IFERROR(INDEX(Pedidos!$D$2:$D$1801,MATCH(B4340,Pedidos!$A$2:$A$1801,0)),"")</f>
        <v/>
      </c>
      <c r="L4340" s="21">
        <f>IFERROR(INDEX(Pedidos!$F$2:$F$1801,MATCH(B4340,Pedidos!$A$2:$A$1801,0)),"")</f>
        <v/>
      </c>
      <c r="M4340" s="22">
        <f>IFERROR(INDEX(Pedidos!$G$2:$G$1801,MATCH(B4340,Pedidos!$A$2:$A$1801,0)),0)</f>
        <v/>
      </c>
      <c r="N4340" s="21">
        <f>IFERROR(INDEX(Produtos!$B$2:$B$71,MATCH(C4340,Produtos!$A$2:$A$71,0)),"")</f>
        <v/>
      </c>
      <c r="O4340" s="21">
        <f>IFERROR(INDEX(Produtos!$C$2:$C$71,MATCH(C4340,Produtos!$A$2:$A$71,0)),"")</f>
        <v/>
      </c>
      <c r="P4340" s="21">
        <f>IFERROR(INDEX(Produtos!$D$2:$D$71,MATCH(C4340,Produtos!$A$2:$A$71,0)),0)</f>
        <v/>
      </c>
      <c r="Q4340" s="21">
        <f>IFERROR(INDEX(Produtos!$E$2:$E$71,MATCH(C4340,Produtos!$A$2:$A$71,0)),0)</f>
        <v/>
      </c>
      <c r="R4340" s="23">
        <f>D4340*Q4340</f>
        <v/>
      </c>
      <c r="S4340" s="23">
        <f>R4340*E4340</f>
        <v/>
      </c>
      <c r="T4340" s="23">
        <f>(R4340-S4340)*M4340</f>
        <v/>
      </c>
      <c r="U4340" s="23">
        <f>R4340-S4340-T4340</f>
        <v/>
      </c>
      <c r="V4340" s="23">
        <f>D4340*P4340</f>
        <v/>
      </c>
      <c r="W4340" s="23">
        <f>U4340-V4340</f>
        <v/>
      </c>
      <c r="X4340" s="24">
        <f>IFERROR(W4340/U4340,0)</f>
        <v/>
      </c>
    </row>
    <row r="4341">
      <c r="A4341" s="25">
        <f>ItensPedido!A4341</f>
        <v/>
      </c>
      <c r="B4341" s="25">
        <f>ItensPedido!B4341</f>
        <v/>
      </c>
      <c r="C4341" s="25">
        <f>ItensPedido!C4341</f>
        <v/>
      </c>
      <c r="D4341" s="25">
        <f>ItensPedido!D4341</f>
        <v/>
      </c>
      <c r="E4341" s="26">
        <f>ItensPedido!E4341</f>
        <v/>
      </c>
      <c r="F4341" s="25">
        <f>IFERROR(INDEX(Pedidos!$B$2:$B$1801,MATCH(B4341,Pedidos!$A$2:$A$1801,0)),0)</f>
        <v/>
      </c>
      <c r="G4341" s="25">
        <f>IF(F4341=0,"",YEAR(F4341))</f>
        <v/>
      </c>
      <c r="H4341" s="25">
        <f>IF(F4341=0,"",MONTH(F4341))</f>
        <v/>
      </c>
      <c r="I4341" s="25">
        <f>IFERROR(INDEX(Pedidos!$E$2:$E$1801,MATCH(B4341,Pedidos!$A$2:$A$1801,0)),"")</f>
        <v/>
      </c>
      <c r="J4341" s="25">
        <f>IFERROR(INDEX(Pedidos!$C$2:$C$1801,MATCH(B4341,Pedidos!$A$2:$A$1801,0)),"")</f>
        <v/>
      </c>
      <c r="K4341" s="25">
        <f>IFERROR(INDEX(Pedidos!$D$2:$D$1801,MATCH(B4341,Pedidos!$A$2:$A$1801,0)),"")</f>
        <v/>
      </c>
      <c r="L4341" s="25">
        <f>IFERROR(INDEX(Pedidos!$F$2:$F$1801,MATCH(B4341,Pedidos!$A$2:$A$1801,0)),"")</f>
        <v/>
      </c>
      <c r="M4341" s="26">
        <f>IFERROR(INDEX(Pedidos!$G$2:$G$1801,MATCH(B4341,Pedidos!$A$2:$A$1801,0)),0)</f>
        <v/>
      </c>
      <c r="N4341" s="25">
        <f>IFERROR(INDEX(Produtos!$B$2:$B$71,MATCH(C4341,Produtos!$A$2:$A$71,0)),"")</f>
        <v/>
      </c>
      <c r="O4341" s="25">
        <f>IFERROR(INDEX(Produtos!$C$2:$C$71,MATCH(C4341,Produtos!$A$2:$A$71,0)),"")</f>
        <v/>
      </c>
      <c r="P4341" s="25">
        <f>IFERROR(INDEX(Produtos!$D$2:$D$71,MATCH(C4341,Produtos!$A$2:$A$71,0)),0)</f>
        <v/>
      </c>
      <c r="Q4341" s="25">
        <f>IFERROR(INDEX(Produtos!$E$2:$E$71,MATCH(C4341,Produtos!$A$2:$A$71,0)),0)</f>
        <v/>
      </c>
      <c r="R4341" s="27">
        <f>D4341*Q4341</f>
        <v/>
      </c>
      <c r="S4341" s="27">
        <f>R4341*E4341</f>
        <v/>
      </c>
      <c r="T4341" s="27">
        <f>(R4341-S4341)*M4341</f>
        <v/>
      </c>
      <c r="U4341" s="27">
        <f>R4341-S4341-T4341</f>
        <v/>
      </c>
      <c r="V4341" s="27">
        <f>D4341*P4341</f>
        <v/>
      </c>
      <c r="W4341" s="27">
        <f>U4341-V4341</f>
        <v/>
      </c>
      <c r="X4341" s="28">
        <f>IFERROR(W4341/U4341,0)</f>
        <v/>
      </c>
    </row>
    <row r="4342">
      <c r="A4342" s="21">
        <f>ItensPedido!A4342</f>
        <v/>
      </c>
      <c r="B4342" s="21">
        <f>ItensPedido!B4342</f>
        <v/>
      </c>
      <c r="C4342" s="21">
        <f>ItensPedido!C4342</f>
        <v/>
      </c>
      <c r="D4342" s="21">
        <f>ItensPedido!D4342</f>
        <v/>
      </c>
      <c r="E4342" s="22">
        <f>ItensPedido!E4342</f>
        <v/>
      </c>
      <c r="F4342" s="21">
        <f>IFERROR(INDEX(Pedidos!$B$2:$B$1801,MATCH(B4342,Pedidos!$A$2:$A$1801,0)),0)</f>
        <v/>
      </c>
      <c r="G4342" s="21">
        <f>IF(F4342=0,"",YEAR(F4342))</f>
        <v/>
      </c>
      <c r="H4342" s="21">
        <f>IF(F4342=0,"",MONTH(F4342))</f>
        <v/>
      </c>
      <c r="I4342" s="21">
        <f>IFERROR(INDEX(Pedidos!$E$2:$E$1801,MATCH(B4342,Pedidos!$A$2:$A$1801,0)),"")</f>
        <v/>
      </c>
      <c r="J4342" s="21">
        <f>IFERROR(INDEX(Pedidos!$C$2:$C$1801,MATCH(B4342,Pedidos!$A$2:$A$1801,0)),"")</f>
        <v/>
      </c>
      <c r="K4342" s="21">
        <f>IFERROR(INDEX(Pedidos!$D$2:$D$1801,MATCH(B4342,Pedidos!$A$2:$A$1801,0)),"")</f>
        <v/>
      </c>
      <c r="L4342" s="21">
        <f>IFERROR(INDEX(Pedidos!$F$2:$F$1801,MATCH(B4342,Pedidos!$A$2:$A$1801,0)),"")</f>
        <v/>
      </c>
      <c r="M4342" s="22">
        <f>IFERROR(INDEX(Pedidos!$G$2:$G$1801,MATCH(B4342,Pedidos!$A$2:$A$1801,0)),0)</f>
        <v/>
      </c>
      <c r="N4342" s="21">
        <f>IFERROR(INDEX(Produtos!$B$2:$B$71,MATCH(C4342,Produtos!$A$2:$A$71,0)),"")</f>
        <v/>
      </c>
      <c r="O4342" s="21">
        <f>IFERROR(INDEX(Produtos!$C$2:$C$71,MATCH(C4342,Produtos!$A$2:$A$71,0)),"")</f>
        <v/>
      </c>
      <c r="P4342" s="21">
        <f>IFERROR(INDEX(Produtos!$D$2:$D$71,MATCH(C4342,Produtos!$A$2:$A$71,0)),0)</f>
        <v/>
      </c>
      <c r="Q4342" s="21">
        <f>IFERROR(INDEX(Produtos!$E$2:$E$71,MATCH(C4342,Produtos!$A$2:$A$71,0)),0)</f>
        <v/>
      </c>
      <c r="R4342" s="23">
        <f>D4342*Q4342</f>
        <v/>
      </c>
      <c r="S4342" s="23">
        <f>R4342*E4342</f>
        <v/>
      </c>
      <c r="T4342" s="23">
        <f>(R4342-S4342)*M4342</f>
        <v/>
      </c>
      <c r="U4342" s="23">
        <f>R4342-S4342-T4342</f>
        <v/>
      </c>
      <c r="V4342" s="23">
        <f>D4342*P4342</f>
        <v/>
      </c>
      <c r="W4342" s="23">
        <f>U4342-V4342</f>
        <v/>
      </c>
      <c r="X4342" s="24">
        <f>IFERROR(W4342/U4342,0)</f>
        <v/>
      </c>
    </row>
    <row r="4343">
      <c r="A4343" s="25">
        <f>ItensPedido!A4343</f>
        <v/>
      </c>
      <c r="B4343" s="25">
        <f>ItensPedido!B4343</f>
        <v/>
      </c>
      <c r="C4343" s="25">
        <f>ItensPedido!C4343</f>
        <v/>
      </c>
      <c r="D4343" s="25">
        <f>ItensPedido!D4343</f>
        <v/>
      </c>
      <c r="E4343" s="26">
        <f>ItensPedido!E4343</f>
        <v/>
      </c>
      <c r="F4343" s="25">
        <f>IFERROR(INDEX(Pedidos!$B$2:$B$1801,MATCH(B4343,Pedidos!$A$2:$A$1801,0)),0)</f>
        <v/>
      </c>
      <c r="G4343" s="25">
        <f>IF(F4343=0,"",YEAR(F4343))</f>
        <v/>
      </c>
      <c r="H4343" s="25">
        <f>IF(F4343=0,"",MONTH(F4343))</f>
        <v/>
      </c>
      <c r="I4343" s="25">
        <f>IFERROR(INDEX(Pedidos!$E$2:$E$1801,MATCH(B4343,Pedidos!$A$2:$A$1801,0)),"")</f>
        <v/>
      </c>
      <c r="J4343" s="25">
        <f>IFERROR(INDEX(Pedidos!$C$2:$C$1801,MATCH(B4343,Pedidos!$A$2:$A$1801,0)),"")</f>
        <v/>
      </c>
      <c r="K4343" s="25">
        <f>IFERROR(INDEX(Pedidos!$D$2:$D$1801,MATCH(B4343,Pedidos!$A$2:$A$1801,0)),"")</f>
        <v/>
      </c>
      <c r="L4343" s="25">
        <f>IFERROR(INDEX(Pedidos!$F$2:$F$1801,MATCH(B4343,Pedidos!$A$2:$A$1801,0)),"")</f>
        <v/>
      </c>
      <c r="M4343" s="26">
        <f>IFERROR(INDEX(Pedidos!$G$2:$G$1801,MATCH(B4343,Pedidos!$A$2:$A$1801,0)),0)</f>
        <v/>
      </c>
      <c r="N4343" s="25">
        <f>IFERROR(INDEX(Produtos!$B$2:$B$71,MATCH(C4343,Produtos!$A$2:$A$71,0)),"")</f>
        <v/>
      </c>
      <c r="O4343" s="25">
        <f>IFERROR(INDEX(Produtos!$C$2:$C$71,MATCH(C4343,Produtos!$A$2:$A$71,0)),"")</f>
        <v/>
      </c>
      <c r="P4343" s="25">
        <f>IFERROR(INDEX(Produtos!$D$2:$D$71,MATCH(C4343,Produtos!$A$2:$A$71,0)),0)</f>
        <v/>
      </c>
      <c r="Q4343" s="25">
        <f>IFERROR(INDEX(Produtos!$E$2:$E$71,MATCH(C4343,Produtos!$A$2:$A$71,0)),0)</f>
        <v/>
      </c>
      <c r="R4343" s="27">
        <f>D4343*Q4343</f>
        <v/>
      </c>
      <c r="S4343" s="27">
        <f>R4343*E4343</f>
        <v/>
      </c>
      <c r="T4343" s="27">
        <f>(R4343-S4343)*M4343</f>
        <v/>
      </c>
      <c r="U4343" s="27">
        <f>R4343-S4343-T4343</f>
        <v/>
      </c>
      <c r="V4343" s="27">
        <f>D4343*P4343</f>
        <v/>
      </c>
      <c r="W4343" s="27">
        <f>U4343-V4343</f>
        <v/>
      </c>
      <c r="X4343" s="28">
        <f>IFERROR(W4343/U4343,0)</f>
        <v/>
      </c>
    </row>
    <row r="4344">
      <c r="A4344" s="21">
        <f>ItensPedido!A4344</f>
        <v/>
      </c>
      <c r="B4344" s="21">
        <f>ItensPedido!B4344</f>
        <v/>
      </c>
      <c r="C4344" s="21">
        <f>ItensPedido!C4344</f>
        <v/>
      </c>
      <c r="D4344" s="21">
        <f>ItensPedido!D4344</f>
        <v/>
      </c>
      <c r="E4344" s="22">
        <f>ItensPedido!E4344</f>
        <v/>
      </c>
      <c r="F4344" s="21">
        <f>IFERROR(INDEX(Pedidos!$B$2:$B$1801,MATCH(B4344,Pedidos!$A$2:$A$1801,0)),0)</f>
        <v/>
      </c>
      <c r="G4344" s="21">
        <f>IF(F4344=0,"",YEAR(F4344))</f>
        <v/>
      </c>
      <c r="H4344" s="21">
        <f>IF(F4344=0,"",MONTH(F4344))</f>
        <v/>
      </c>
      <c r="I4344" s="21">
        <f>IFERROR(INDEX(Pedidos!$E$2:$E$1801,MATCH(B4344,Pedidos!$A$2:$A$1801,0)),"")</f>
        <v/>
      </c>
      <c r="J4344" s="21">
        <f>IFERROR(INDEX(Pedidos!$C$2:$C$1801,MATCH(B4344,Pedidos!$A$2:$A$1801,0)),"")</f>
        <v/>
      </c>
      <c r="K4344" s="21">
        <f>IFERROR(INDEX(Pedidos!$D$2:$D$1801,MATCH(B4344,Pedidos!$A$2:$A$1801,0)),"")</f>
        <v/>
      </c>
      <c r="L4344" s="21">
        <f>IFERROR(INDEX(Pedidos!$F$2:$F$1801,MATCH(B4344,Pedidos!$A$2:$A$1801,0)),"")</f>
        <v/>
      </c>
      <c r="M4344" s="22">
        <f>IFERROR(INDEX(Pedidos!$G$2:$G$1801,MATCH(B4344,Pedidos!$A$2:$A$1801,0)),0)</f>
        <v/>
      </c>
      <c r="N4344" s="21">
        <f>IFERROR(INDEX(Produtos!$B$2:$B$71,MATCH(C4344,Produtos!$A$2:$A$71,0)),"")</f>
        <v/>
      </c>
      <c r="O4344" s="21">
        <f>IFERROR(INDEX(Produtos!$C$2:$C$71,MATCH(C4344,Produtos!$A$2:$A$71,0)),"")</f>
        <v/>
      </c>
      <c r="P4344" s="21">
        <f>IFERROR(INDEX(Produtos!$D$2:$D$71,MATCH(C4344,Produtos!$A$2:$A$71,0)),0)</f>
        <v/>
      </c>
      <c r="Q4344" s="21">
        <f>IFERROR(INDEX(Produtos!$E$2:$E$71,MATCH(C4344,Produtos!$A$2:$A$71,0)),0)</f>
        <v/>
      </c>
      <c r="R4344" s="23">
        <f>D4344*Q4344</f>
        <v/>
      </c>
      <c r="S4344" s="23">
        <f>R4344*E4344</f>
        <v/>
      </c>
      <c r="T4344" s="23">
        <f>(R4344-S4344)*M4344</f>
        <v/>
      </c>
      <c r="U4344" s="23">
        <f>R4344-S4344-T4344</f>
        <v/>
      </c>
      <c r="V4344" s="23">
        <f>D4344*P4344</f>
        <v/>
      </c>
      <c r="W4344" s="23">
        <f>U4344-V4344</f>
        <v/>
      </c>
      <c r="X4344" s="24">
        <f>IFERROR(W4344/U4344,0)</f>
        <v/>
      </c>
    </row>
    <row r="4345">
      <c r="A4345" s="25">
        <f>ItensPedido!A4345</f>
        <v/>
      </c>
      <c r="B4345" s="25">
        <f>ItensPedido!B4345</f>
        <v/>
      </c>
      <c r="C4345" s="25">
        <f>ItensPedido!C4345</f>
        <v/>
      </c>
      <c r="D4345" s="25">
        <f>ItensPedido!D4345</f>
        <v/>
      </c>
      <c r="E4345" s="26">
        <f>ItensPedido!E4345</f>
        <v/>
      </c>
      <c r="F4345" s="25">
        <f>IFERROR(INDEX(Pedidos!$B$2:$B$1801,MATCH(B4345,Pedidos!$A$2:$A$1801,0)),0)</f>
        <v/>
      </c>
      <c r="G4345" s="25">
        <f>IF(F4345=0,"",YEAR(F4345))</f>
        <v/>
      </c>
      <c r="H4345" s="25">
        <f>IF(F4345=0,"",MONTH(F4345))</f>
        <v/>
      </c>
      <c r="I4345" s="25">
        <f>IFERROR(INDEX(Pedidos!$E$2:$E$1801,MATCH(B4345,Pedidos!$A$2:$A$1801,0)),"")</f>
        <v/>
      </c>
      <c r="J4345" s="25">
        <f>IFERROR(INDEX(Pedidos!$C$2:$C$1801,MATCH(B4345,Pedidos!$A$2:$A$1801,0)),"")</f>
        <v/>
      </c>
      <c r="K4345" s="25">
        <f>IFERROR(INDEX(Pedidos!$D$2:$D$1801,MATCH(B4345,Pedidos!$A$2:$A$1801,0)),"")</f>
        <v/>
      </c>
      <c r="L4345" s="25">
        <f>IFERROR(INDEX(Pedidos!$F$2:$F$1801,MATCH(B4345,Pedidos!$A$2:$A$1801,0)),"")</f>
        <v/>
      </c>
      <c r="M4345" s="26">
        <f>IFERROR(INDEX(Pedidos!$G$2:$G$1801,MATCH(B4345,Pedidos!$A$2:$A$1801,0)),0)</f>
        <v/>
      </c>
      <c r="N4345" s="25">
        <f>IFERROR(INDEX(Produtos!$B$2:$B$71,MATCH(C4345,Produtos!$A$2:$A$71,0)),"")</f>
        <v/>
      </c>
      <c r="O4345" s="25">
        <f>IFERROR(INDEX(Produtos!$C$2:$C$71,MATCH(C4345,Produtos!$A$2:$A$71,0)),"")</f>
        <v/>
      </c>
      <c r="P4345" s="25">
        <f>IFERROR(INDEX(Produtos!$D$2:$D$71,MATCH(C4345,Produtos!$A$2:$A$71,0)),0)</f>
        <v/>
      </c>
      <c r="Q4345" s="25">
        <f>IFERROR(INDEX(Produtos!$E$2:$E$71,MATCH(C4345,Produtos!$A$2:$A$71,0)),0)</f>
        <v/>
      </c>
      <c r="R4345" s="27">
        <f>D4345*Q4345</f>
        <v/>
      </c>
      <c r="S4345" s="27">
        <f>R4345*E4345</f>
        <v/>
      </c>
      <c r="T4345" s="27">
        <f>(R4345-S4345)*M4345</f>
        <v/>
      </c>
      <c r="U4345" s="27">
        <f>R4345-S4345-T4345</f>
        <v/>
      </c>
      <c r="V4345" s="27">
        <f>D4345*P4345</f>
        <v/>
      </c>
      <c r="W4345" s="27">
        <f>U4345-V4345</f>
        <v/>
      </c>
      <c r="X4345" s="28">
        <f>IFERROR(W4345/U4345,0)</f>
        <v/>
      </c>
    </row>
    <row r="4346">
      <c r="A4346" s="21">
        <f>ItensPedido!A4346</f>
        <v/>
      </c>
      <c r="B4346" s="21">
        <f>ItensPedido!B4346</f>
        <v/>
      </c>
      <c r="C4346" s="21">
        <f>ItensPedido!C4346</f>
        <v/>
      </c>
      <c r="D4346" s="21">
        <f>ItensPedido!D4346</f>
        <v/>
      </c>
      <c r="E4346" s="22">
        <f>ItensPedido!E4346</f>
        <v/>
      </c>
      <c r="F4346" s="21">
        <f>IFERROR(INDEX(Pedidos!$B$2:$B$1801,MATCH(B4346,Pedidos!$A$2:$A$1801,0)),0)</f>
        <v/>
      </c>
      <c r="G4346" s="21">
        <f>IF(F4346=0,"",YEAR(F4346))</f>
        <v/>
      </c>
      <c r="H4346" s="21">
        <f>IF(F4346=0,"",MONTH(F4346))</f>
        <v/>
      </c>
      <c r="I4346" s="21">
        <f>IFERROR(INDEX(Pedidos!$E$2:$E$1801,MATCH(B4346,Pedidos!$A$2:$A$1801,0)),"")</f>
        <v/>
      </c>
      <c r="J4346" s="21">
        <f>IFERROR(INDEX(Pedidos!$C$2:$C$1801,MATCH(B4346,Pedidos!$A$2:$A$1801,0)),"")</f>
        <v/>
      </c>
      <c r="K4346" s="21">
        <f>IFERROR(INDEX(Pedidos!$D$2:$D$1801,MATCH(B4346,Pedidos!$A$2:$A$1801,0)),"")</f>
        <v/>
      </c>
      <c r="L4346" s="21">
        <f>IFERROR(INDEX(Pedidos!$F$2:$F$1801,MATCH(B4346,Pedidos!$A$2:$A$1801,0)),"")</f>
        <v/>
      </c>
      <c r="M4346" s="22">
        <f>IFERROR(INDEX(Pedidos!$G$2:$G$1801,MATCH(B4346,Pedidos!$A$2:$A$1801,0)),0)</f>
        <v/>
      </c>
      <c r="N4346" s="21">
        <f>IFERROR(INDEX(Produtos!$B$2:$B$71,MATCH(C4346,Produtos!$A$2:$A$71,0)),"")</f>
        <v/>
      </c>
      <c r="O4346" s="21">
        <f>IFERROR(INDEX(Produtos!$C$2:$C$71,MATCH(C4346,Produtos!$A$2:$A$71,0)),"")</f>
        <v/>
      </c>
      <c r="P4346" s="21">
        <f>IFERROR(INDEX(Produtos!$D$2:$D$71,MATCH(C4346,Produtos!$A$2:$A$71,0)),0)</f>
        <v/>
      </c>
      <c r="Q4346" s="21">
        <f>IFERROR(INDEX(Produtos!$E$2:$E$71,MATCH(C4346,Produtos!$A$2:$A$71,0)),0)</f>
        <v/>
      </c>
      <c r="R4346" s="23">
        <f>D4346*Q4346</f>
        <v/>
      </c>
      <c r="S4346" s="23">
        <f>R4346*E4346</f>
        <v/>
      </c>
      <c r="T4346" s="23">
        <f>(R4346-S4346)*M4346</f>
        <v/>
      </c>
      <c r="U4346" s="23">
        <f>R4346-S4346-T4346</f>
        <v/>
      </c>
      <c r="V4346" s="23">
        <f>D4346*P4346</f>
        <v/>
      </c>
      <c r="W4346" s="23">
        <f>U4346-V4346</f>
        <v/>
      </c>
      <c r="X4346" s="24">
        <f>IFERROR(W4346/U4346,0)</f>
        <v/>
      </c>
    </row>
    <row r="4347">
      <c r="A4347" s="25">
        <f>ItensPedido!A4347</f>
        <v/>
      </c>
      <c r="B4347" s="25">
        <f>ItensPedido!B4347</f>
        <v/>
      </c>
      <c r="C4347" s="25">
        <f>ItensPedido!C4347</f>
        <v/>
      </c>
      <c r="D4347" s="25">
        <f>ItensPedido!D4347</f>
        <v/>
      </c>
      <c r="E4347" s="26">
        <f>ItensPedido!E4347</f>
        <v/>
      </c>
      <c r="F4347" s="25">
        <f>IFERROR(INDEX(Pedidos!$B$2:$B$1801,MATCH(B4347,Pedidos!$A$2:$A$1801,0)),0)</f>
        <v/>
      </c>
      <c r="G4347" s="25">
        <f>IF(F4347=0,"",YEAR(F4347))</f>
        <v/>
      </c>
      <c r="H4347" s="25">
        <f>IF(F4347=0,"",MONTH(F4347))</f>
        <v/>
      </c>
      <c r="I4347" s="25">
        <f>IFERROR(INDEX(Pedidos!$E$2:$E$1801,MATCH(B4347,Pedidos!$A$2:$A$1801,0)),"")</f>
        <v/>
      </c>
      <c r="J4347" s="25">
        <f>IFERROR(INDEX(Pedidos!$C$2:$C$1801,MATCH(B4347,Pedidos!$A$2:$A$1801,0)),"")</f>
        <v/>
      </c>
      <c r="K4347" s="25">
        <f>IFERROR(INDEX(Pedidos!$D$2:$D$1801,MATCH(B4347,Pedidos!$A$2:$A$1801,0)),"")</f>
        <v/>
      </c>
      <c r="L4347" s="25">
        <f>IFERROR(INDEX(Pedidos!$F$2:$F$1801,MATCH(B4347,Pedidos!$A$2:$A$1801,0)),"")</f>
        <v/>
      </c>
      <c r="M4347" s="26">
        <f>IFERROR(INDEX(Pedidos!$G$2:$G$1801,MATCH(B4347,Pedidos!$A$2:$A$1801,0)),0)</f>
        <v/>
      </c>
      <c r="N4347" s="25">
        <f>IFERROR(INDEX(Produtos!$B$2:$B$71,MATCH(C4347,Produtos!$A$2:$A$71,0)),"")</f>
        <v/>
      </c>
      <c r="O4347" s="25">
        <f>IFERROR(INDEX(Produtos!$C$2:$C$71,MATCH(C4347,Produtos!$A$2:$A$71,0)),"")</f>
        <v/>
      </c>
      <c r="P4347" s="25">
        <f>IFERROR(INDEX(Produtos!$D$2:$D$71,MATCH(C4347,Produtos!$A$2:$A$71,0)),0)</f>
        <v/>
      </c>
      <c r="Q4347" s="25">
        <f>IFERROR(INDEX(Produtos!$E$2:$E$71,MATCH(C4347,Produtos!$A$2:$A$71,0)),0)</f>
        <v/>
      </c>
      <c r="R4347" s="27">
        <f>D4347*Q4347</f>
        <v/>
      </c>
      <c r="S4347" s="27">
        <f>R4347*E4347</f>
        <v/>
      </c>
      <c r="T4347" s="27">
        <f>(R4347-S4347)*M4347</f>
        <v/>
      </c>
      <c r="U4347" s="27">
        <f>R4347-S4347-T4347</f>
        <v/>
      </c>
      <c r="V4347" s="27">
        <f>D4347*P4347</f>
        <v/>
      </c>
      <c r="W4347" s="27">
        <f>U4347-V4347</f>
        <v/>
      </c>
      <c r="X4347" s="28">
        <f>IFERROR(W4347/U4347,0)</f>
        <v/>
      </c>
    </row>
    <row r="4348">
      <c r="A4348" s="21">
        <f>ItensPedido!A4348</f>
        <v/>
      </c>
      <c r="B4348" s="21">
        <f>ItensPedido!B4348</f>
        <v/>
      </c>
      <c r="C4348" s="21">
        <f>ItensPedido!C4348</f>
        <v/>
      </c>
      <c r="D4348" s="21">
        <f>ItensPedido!D4348</f>
        <v/>
      </c>
      <c r="E4348" s="22">
        <f>ItensPedido!E4348</f>
        <v/>
      </c>
      <c r="F4348" s="21">
        <f>IFERROR(INDEX(Pedidos!$B$2:$B$1801,MATCH(B4348,Pedidos!$A$2:$A$1801,0)),0)</f>
        <v/>
      </c>
      <c r="G4348" s="21">
        <f>IF(F4348=0,"",YEAR(F4348))</f>
        <v/>
      </c>
      <c r="H4348" s="21">
        <f>IF(F4348=0,"",MONTH(F4348))</f>
        <v/>
      </c>
      <c r="I4348" s="21">
        <f>IFERROR(INDEX(Pedidos!$E$2:$E$1801,MATCH(B4348,Pedidos!$A$2:$A$1801,0)),"")</f>
        <v/>
      </c>
      <c r="J4348" s="21">
        <f>IFERROR(INDEX(Pedidos!$C$2:$C$1801,MATCH(B4348,Pedidos!$A$2:$A$1801,0)),"")</f>
        <v/>
      </c>
      <c r="K4348" s="21">
        <f>IFERROR(INDEX(Pedidos!$D$2:$D$1801,MATCH(B4348,Pedidos!$A$2:$A$1801,0)),"")</f>
        <v/>
      </c>
      <c r="L4348" s="21">
        <f>IFERROR(INDEX(Pedidos!$F$2:$F$1801,MATCH(B4348,Pedidos!$A$2:$A$1801,0)),"")</f>
        <v/>
      </c>
      <c r="M4348" s="22">
        <f>IFERROR(INDEX(Pedidos!$G$2:$G$1801,MATCH(B4348,Pedidos!$A$2:$A$1801,0)),0)</f>
        <v/>
      </c>
      <c r="N4348" s="21">
        <f>IFERROR(INDEX(Produtos!$B$2:$B$71,MATCH(C4348,Produtos!$A$2:$A$71,0)),"")</f>
        <v/>
      </c>
      <c r="O4348" s="21">
        <f>IFERROR(INDEX(Produtos!$C$2:$C$71,MATCH(C4348,Produtos!$A$2:$A$71,0)),"")</f>
        <v/>
      </c>
      <c r="P4348" s="21">
        <f>IFERROR(INDEX(Produtos!$D$2:$D$71,MATCH(C4348,Produtos!$A$2:$A$71,0)),0)</f>
        <v/>
      </c>
      <c r="Q4348" s="21">
        <f>IFERROR(INDEX(Produtos!$E$2:$E$71,MATCH(C4348,Produtos!$A$2:$A$71,0)),0)</f>
        <v/>
      </c>
      <c r="R4348" s="23">
        <f>D4348*Q4348</f>
        <v/>
      </c>
      <c r="S4348" s="23">
        <f>R4348*E4348</f>
        <v/>
      </c>
      <c r="T4348" s="23">
        <f>(R4348-S4348)*M4348</f>
        <v/>
      </c>
      <c r="U4348" s="23">
        <f>R4348-S4348-T4348</f>
        <v/>
      </c>
      <c r="V4348" s="23">
        <f>D4348*P4348</f>
        <v/>
      </c>
      <c r="W4348" s="23">
        <f>U4348-V4348</f>
        <v/>
      </c>
      <c r="X4348" s="24">
        <f>IFERROR(W4348/U4348,0)</f>
        <v/>
      </c>
    </row>
    <row r="4349">
      <c r="A4349" s="25">
        <f>ItensPedido!A4349</f>
        <v/>
      </c>
      <c r="B4349" s="25">
        <f>ItensPedido!B4349</f>
        <v/>
      </c>
      <c r="C4349" s="25">
        <f>ItensPedido!C4349</f>
        <v/>
      </c>
      <c r="D4349" s="25">
        <f>ItensPedido!D4349</f>
        <v/>
      </c>
      <c r="E4349" s="26">
        <f>ItensPedido!E4349</f>
        <v/>
      </c>
      <c r="F4349" s="25">
        <f>IFERROR(INDEX(Pedidos!$B$2:$B$1801,MATCH(B4349,Pedidos!$A$2:$A$1801,0)),0)</f>
        <v/>
      </c>
      <c r="G4349" s="25">
        <f>IF(F4349=0,"",YEAR(F4349))</f>
        <v/>
      </c>
      <c r="H4349" s="25">
        <f>IF(F4349=0,"",MONTH(F4349))</f>
        <v/>
      </c>
      <c r="I4349" s="25">
        <f>IFERROR(INDEX(Pedidos!$E$2:$E$1801,MATCH(B4349,Pedidos!$A$2:$A$1801,0)),"")</f>
        <v/>
      </c>
      <c r="J4349" s="25">
        <f>IFERROR(INDEX(Pedidos!$C$2:$C$1801,MATCH(B4349,Pedidos!$A$2:$A$1801,0)),"")</f>
        <v/>
      </c>
      <c r="K4349" s="25">
        <f>IFERROR(INDEX(Pedidos!$D$2:$D$1801,MATCH(B4349,Pedidos!$A$2:$A$1801,0)),"")</f>
        <v/>
      </c>
      <c r="L4349" s="25">
        <f>IFERROR(INDEX(Pedidos!$F$2:$F$1801,MATCH(B4349,Pedidos!$A$2:$A$1801,0)),"")</f>
        <v/>
      </c>
      <c r="M4349" s="26">
        <f>IFERROR(INDEX(Pedidos!$G$2:$G$1801,MATCH(B4349,Pedidos!$A$2:$A$1801,0)),0)</f>
        <v/>
      </c>
      <c r="N4349" s="25">
        <f>IFERROR(INDEX(Produtos!$B$2:$B$71,MATCH(C4349,Produtos!$A$2:$A$71,0)),"")</f>
        <v/>
      </c>
      <c r="O4349" s="25">
        <f>IFERROR(INDEX(Produtos!$C$2:$C$71,MATCH(C4349,Produtos!$A$2:$A$71,0)),"")</f>
        <v/>
      </c>
      <c r="P4349" s="25">
        <f>IFERROR(INDEX(Produtos!$D$2:$D$71,MATCH(C4349,Produtos!$A$2:$A$71,0)),0)</f>
        <v/>
      </c>
      <c r="Q4349" s="25">
        <f>IFERROR(INDEX(Produtos!$E$2:$E$71,MATCH(C4349,Produtos!$A$2:$A$71,0)),0)</f>
        <v/>
      </c>
      <c r="R4349" s="27">
        <f>D4349*Q4349</f>
        <v/>
      </c>
      <c r="S4349" s="27">
        <f>R4349*E4349</f>
        <v/>
      </c>
      <c r="T4349" s="27">
        <f>(R4349-S4349)*M4349</f>
        <v/>
      </c>
      <c r="U4349" s="27">
        <f>R4349-S4349-T4349</f>
        <v/>
      </c>
      <c r="V4349" s="27">
        <f>D4349*P4349</f>
        <v/>
      </c>
      <c r="W4349" s="27">
        <f>U4349-V4349</f>
        <v/>
      </c>
      <c r="X4349" s="28">
        <f>IFERROR(W4349/U4349,0)</f>
        <v/>
      </c>
    </row>
    <row r="4350">
      <c r="A4350" s="21">
        <f>ItensPedido!A4350</f>
        <v/>
      </c>
      <c r="B4350" s="21">
        <f>ItensPedido!B4350</f>
        <v/>
      </c>
      <c r="C4350" s="21">
        <f>ItensPedido!C4350</f>
        <v/>
      </c>
      <c r="D4350" s="21">
        <f>ItensPedido!D4350</f>
        <v/>
      </c>
      <c r="E4350" s="22">
        <f>ItensPedido!E4350</f>
        <v/>
      </c>
      <c r="F4350" s="21">
        <f>IFERROR(INDEX(Pedidos!$B$2:$B$1801,MATCH(B4350,Pedidos!$A$2:$A$1801,0)),0)</f>
        <v/>
      </c>
      <c r="G4350" s="21">
        <f>IF(F4350=0,"",YEAR(F4350))</f>
        <v/>
      </c>
      <c r="H4350" s="21">
        <f>IF(F4350=0,"",MONTH(F4350))</f>
        <v/>
      </c>
      <c r="I4350" s="21">
        <f>IFERROR(INDEX(Pedidos!$E$2:$E$1801,MATCH(B4350,Pedidos!$A$2:$A$1801,0)),"")</f>
        <v/>
      </c>
      <c r="J4350" s="21">
        <f>IFERROR(INDEX(Pedidos!$C$2:$C$1801,MATCH(B4350,Pedidos!$A$2:$A$1801,0)),"")</f>
        <v/>
      </c>
      <c r="K4350" s="21">
        <f>IFERROR(INDEX(Pedidos!$D$2:$D$1801,MATCH(B4350,Pedidos!$A$2:$A$1801,0)),"")</f>
        <v/>
      </c>
      <c r="L4350" s="21">
        <f>IFERROR(INDEX(Pedidos!$F$2:$F$1801,MATCH(B4350,Pedidos!$A$2:$A$1801,0)),"")</f>
        <v/>
      </c>
      <c r="M4350" s="22">
        <f>IFERROR(INDEX(Pedidos!$G$2:$G$1801,MATCH(B4350,Pedidos!$A$2:$A$1801,0)),0)</f>
        <v/>
      </c>
      <c r="N4350" s="21">
        <f>IFERROR(INDEX(Produtos!$B$2:$B$71,MATCH(C4350,Produtos!$A$2:$A$71,0)),"")</f>
        <v/>
      </c>
      <c r="O4350" s="21">
        <f>IFERROR(INDEX(Produtos!$C$2:$C$71,MATCH(C4350,Produtos!$A$2:$A$71,0)),"")</f>
        <v/>
      </c>
      <c r="P4350" s="21">
        <f>IFERROR(INDEX(Produtos!$D$2:$D$71,MATCH(C4350,Produtos!$A$2:$A$71,0)),0)</f>
        <v/>
      </c>
      <c r="Q4350" s="21">
        <f>IFERROR(INDEX(Produtos!$E$2:$E$71,MATCH(C4350,Produtos!$A$2:$A$71,0)),0)</f>
        <v/>
      </c>
      <c r="R4350" s="23">
        <f>D4350*Q4350</f>
        <v/>
      </c>
      <c r="S4350" s="23">
        <f>R4350*E4350</f>
        <v/>
      </c>
      <c r="T4350" s="23">
        <f>(R4350-S4350)*M4350</f>
        <v/>
      </c>
      <c r="U4350" s="23">
        <f>R4350-S4350-T4350</f>
        <v/>
      </c>
      <c r="V4350" s="23">
        <f>D4350*P4350</f>
        <v/>
      </c>
      <c r="W4350" s="23">
        <f>U4350-V4350</f>
        <v/>
      </c>
      <c r="X4350" s="24">
        <f>IFERROR(W4350/U4350,0)</f>
        <v/>
      </c>
    </row>
    <row r="4351">
      <c r="A4351" s="25">
        <f>ItensPedido!A4351</f>
        <v/>
      </c>
      <c r="B4351" s="25">
        <f>ItensPedido!B4351</f>
        <v/>
      </c>
      <c r="C4351" s="25">
        <f>ItensPedido!C4351</f>
        <v/>
      </c>
      <c r="D4351" s="25">
        <f>ItensPedido!D4351</f>
        <v/>
      </c>
      <c r="E4351" s="26">
        <f>ItensPedido!E4351</f>
        <v/>
      </c>
      <c r="F4351" s="25">
        <f>IFERROR(INDEX(Pedidos!$B$2:$B$1801,MATCH(B4351,Pedidos!$A$2:$A$1801,0)),0)</f>
        <v/>
      </c>
      <c r="G4351" s="25">
        <f>IF(F4351=0,"",YEAR(F4351))</f>
        <v/>
      </c>
      <c r="H4351" s="25">
        <f>IF(F4351=0,"",MONTH(F4351))</f>
        <v/>
      </c>
      <c r="I4351" s="25">
        <f>IFERROR(INDEX(Pedidos!$E$2:$E$1801,MATCH(B4351,Pedidos!$A$2:$A$1801,0)),"")</f>
        <v/>
      </c>
      <c r="J4351" s="25">
        <f>IFERROR(INDEX(Pedidos!$C$2:$C$1801,MATCH(B4351,Pedidos!$A$2:$A$1801,0)),"")</f>
        <v/>
      </c>
      <c r="K4351" s="25">
        <f>IFERROR(INDEX(Pedidos!$D$2:$D$1801,MATCH(B4351,Pedidos!$A$2:$A$1801,0)),"")</f>
        <v/>
      </c>
      <c r="L4351" s="25">
        <f>IFERROR(INDEX(Pedidos!$F$2:$F$1801,MATCH(B4351,Pedidos!$A$2:$A$1801,0)),"")</f>
        <v/>
      </c>
      <c r="M4351" s="26">
        <f>IFERROR(INDEX(Pedidos!$G$2:$G$1801,MATCH(B4351,Pedidos!$A$2:$A$1801,0)),0)</f>
        <v/>
      </c>
      <c r="N4351" s="25">
        <f>IFERROR(INDEX(Produtos!$B$2:$B$71,MATCH(C4351,Produtos!$A$2:$A$71,0)),"")</f>
        <v/>
      </c>
      <c r="O4351" s="25">
        <f>IFERROR(INDEX(Produtos!$C$2:$C$71,MATCH(C4351,Produtos!$A$2:$A$71,0)),"")</f>
        <v/>
      </c>
      <c r="P4351" s="25">
        <f>IFERROR(INDEX(Produtos!$D$2:$D$71,MATCH(C4351,Produtos!$A$2:$A$71,0)),0)</f>
        <v/>
      </c>
      <c r="Q4351" s="25">
        <f>IFERROR(INDEX(Produtos!$E$2:$E$71,MATCH(C4351,Produtos!$A$2:$A$71,0)),0)</f>
        <v/>
      </c>
      <c r="R4351" s="27">
        <f>D4351*Q4351</f>
        <v/>
      </c>
      <c r="S4351" s="27">
        <f>R4351*E4351</f>
        <v/>
      </c>
      <c r="T4351" s="27">
        <f>(R4351-S4351)*M4351</f>
        <v/>
      </c>
      <c r="U4351" s="27">
        <f>R4351-S4351-T4351</f>
        <v/>
      </c>
      <c r="V4351" s="27">
        <f>D4351*P4351</f>
        <v/>
      </c>
      <c r="W4351" s="27">
        <f>U4351-V4351</f>
        <v/>
      </c>
      <c r="X4351" s="28">
        <f>IFERROR(W4351/U4351,0)</f>
        <v/>
      </c>
    </row>
    <row r="4352">
      <c r="A4352" s="21">
        <f>ItensPedido!A4352</f>
        <v/>
      </c>
      <c r="B4352" s="21">
        <f>ItensPedido!B4352</f>
        <v/>
      </c>
      <c r="C4352" s="21">
        <f>ItensPedido!C4352</f>
        <v/>
      </c>
      <c r="D4352" s="21">
        <f>ItensPedido!D4352</f>
        <v/>
      </c>
      <c r="E4352" s="22">
        <f>ItensPedido!E4352</f>
        <v/>
      </c>
      <c r="F4352" s="21">
        <f>IFERROR(INDEX(Pedidos!$B$2:$B$1801,MATCH(B4352,Pedidos!$A$2:$A$1801,0)),0)</f>
        <v/>
      </c>
      <c r="G4352" s="21">
        <f>IF(F4352=0,"",YEAR(F4352))</f>
        <v/>
      </c>
      <c r="H4352" s="21">
        <f>IF(F4352=0,"",MONTH(F4352))</f>
        <v/>
      </c>
      <c r="I4352" s="21">
        <f>IFERROR(INDEX(Pedidos!$E$2:$E$1801,MATCH(B4352,Pedidos!$A$2:$A$1801,0)),"")</f>
        <v/>
      </c>
      <c r="J4352" s="21">
        <f>IFERROR(INDEX(Pedidos!$C$2:$C$1801,MATCH(B4352,Pedidos!$A$2:$A$1801,0)),"")</f>
        <v/>
      </c>
      <c r="K4352" s="21">
        <f>IFERROR(INDEX(Pedidos!$D$2:$D$1801,MATCH(B4352,Pedidos!$A$2:$A$1801,0)),"")</f>
        <v/>
      </c>
      <c r="L4352" s="21">
        <f>IFERROR(INDEX(Pedidos!$F$2:$F$1801,MATCH(B4352,Pedidos!$A$2:$A$1801,0)),"")</f>
        <v/>
      </c>
      <c r="M4352" s="22">
        <f>IFERROR(INDEX(Pedidos!$G$2:$G$1801,MATCH(B4352,Pedidos!$A$2:$A$1801,0)),0)</f>
        <v/>
      </c>
      <c r="N4352" s="21">
        <f>IFERROR(INDEX(Produtos!$B$2:$B$71,MATCH(C4352,Produtos!$A$2:$A$71,0)),"")</f>
        <v/>
      </c>
      <c r="O4352" s="21">
        <f>IFERROR(INDEX(Produtos!$C$2:$C$71,MATCH(C4352,Produtos!$A$2:$A$71,0)),"")</f>
        <v/>
      </c>
      <c r="P4352" s="21">
        <f>IFERROR(INDEX(Produtos!$D$2:$D$71,MATCH(C4352,Produtos!$A$2:$A$71,0)),0)</f>
        <v/>
      </c>
      <c r="Q4352" s="21">
        <f>IFERROR(INDEX(Produtos!$E$2:$E$71,MATCH(C4352,Produtos!$A$2:$A$71,0)),0)</f>
        <v/>
      </c>
      <c r="R4352" s="23">
        <f>D4352*Q4352</f>
        <v/>
      </c>
      <c r="S4352" s="23">
        <f>R4352*E4352</f>
        <v/>
      </c>
      <c r="T4352" s="23">
        <f>(R4352-S4352)*M4352</f>
        <v/>
      </c>
      <c r="U4352" s="23">
        <f>R4352-S4352-T4352</f>
        <v/>
      </c>
      <c r="V4352" s="23">
        <f>D4352*P4352</f>
        <v/>
      </c>
      <c r="W4352" s="23">
        <f>U4352-V4352</f>
        <v/>
      </c>
      <c r="X4352" s="24">
        <f>IFERROR(W4352/U4352,0)</f>
        <v/>
      </c>
    </row>
    <row r="4353">
      <c r="A4353" s="25">
        <f>ItensPedido!A4353</f>
        <v/>
      </c>
      <c r="B4353" s="25">
        <f>ItensPedido!B4353</f>
        <v/>
      </c>
      <c r="C4353" s="25">
        <f>ItensPedido!C4353</f>
        <v/>
      </c>
      <c r="D4353" s="25">
        <f>ItensPedido!D4353</f>
        <v/>
      </c>
      <c r="E4353" s="26">
        <f>ItensPedido!E4353</f>
        <v/>
      </c>
      <c r="F4353" s="25">
        <f>IFERROR(INDEX(Pedidos!$B$2:$B$1801,MATCH(B4353,Pedidos!$A$2:$A$1801,0)),0)</f>
        <v/>
      </c>
      <c r="G4353" s="25">
        <f>IF(F4353=0,"",YEAR(F4353))</f>
        <v/>
      </c>
      <c r="H4353" s="25">
        <f>IF(F4353=0,"",MONTH(F4353))</f>
        <v/>
      </c>
      <c r="I4353" s="25">
        <f>IFERROR(INDEX(Pedidos!$E$2:$E$1801,MATCH(B4353,Pedidos!$A$2:$A$1801,0)),"")</f>
        <v/>
      </c>
      <c r="J4353" s="25">
        <f>IFERROR(INDEX(Pedidos!$C$2:$C$1801,MATCH(B4353,Pedidos!$A$2:$A$1801,0)),"")</f>
        <v/>
      </c>
      <c r="K4353" s="25">
        <f>IFERROR(INDEX(Pedidos!$D$2:$D$1801,MATCH(B4353,Pedidos!$A$2:$A$1801,0)),"")</f>
        <v/>
      </c>
      <c r="L4353" s="25">
        <f>IFERROR(INDEX(Pedidos!$F$2:$F$1801,MATCH(B4353,Pedidos!$A$2:$A$1801,0)),"")</f>
        <v/>
      </c>
      <c r="M4353" s="26">
        <f>IFERROR(INDEX(Pedidos!$G$2:$G$1801,MATCH(B4353,Pedidos!$A$2:$A$1801,0)),0)</f>
        <v/>
      </c>
      <c r="N4353" s="25">
        <f>IFERROR(INDEX(Produtos!$B$2:$B$71,MATCH(C4353,Produtos!$A$2:$A$71,0)),"")</f>
        <v/>
      </c>
      <c r="O4353" s="25">
        <f>IFERROR(INDEX(Produtos!$C$2:$C$71,MATCH(C4353,Produtos!$A$2:$A$71,0)),"")</f>
        <v/>
      </c>
      <c r="P4353" s="25">
        <f>IFERROR(INDEX(Produtos!$D$2:$D$71,MATCH(C4353,Produtos!$A$2:$A$71,0)),0)</f>
        <v/>
      </c>
      <c r="Q4353" s="25">
        <f>IFERROR(INDEX(Produtos!$E$2:$E$71,MATCH(C4353,Produtos!$A$2:$A$71,0)),0)</f>
        <v/>
      </c>
      <c r="R4353" s="27">
        <f>D4353*Q4353</f>
        <v/>
      </c>
      <c r="S4353" s="27">
        <f>R4353*E4353</f>
        <v/>
      </c>
      <c r="T4353" s="27">
        <f>(R4353-S4353)*M4353</f>
        <v/>
      </c>
      <c r="U4353" s="27">
        <f>R4353-S4353-T4353</f>
        <v/>
      </c>
      <c r="V4353" s="27">
        <f>D4353*P4353</f>
        <v/>
      </c>
      <c r="W4353" s="27">
        <f>U4353-V4353</f>
        <v/>
      </c>
      <c r="X4353" s="28">
        <f>IFERROR(W4353/U4353,0)</f>
        <v/>
      </c>
    </row>
    <row r="4354">
      <c r="A4354" s="21">
        <f>ItensPedido!A4354</f>
        <v/>
      </c>
      <c r="B4354" s="21">
        <f>ItensPedido!B4354</f>
        <v/>
      </c>
      <c r="C4354" s="21">
        <f>ItensPedido!C4354</f>
        <v/>
      </c>
      <c r="D4354" s="21">
        <f>ItensPedido!D4354</f>
        <v/>
      </c>
      <c r="E4354" s="22">
        <f>ItensPedido!E4354</f>
        <v/>
      </c>
      <c r="F4354" s="21">
        <f>IFERROR(INDEX(Pedidos!$B$2:$B$1801,MATCH(B4354,Pedidos!$A$2:$A$1801,0)),0)</f>
        <v/>
      </c>
      <c r="G4354" s="21">
        <f>IF(F4354=0,"",YEAR(F4354))</f>
        <v/>
      </c>
      <c r="H4354" s="21">
        <f>IF(F4354=0,"",MONTH(F4354))</f>
        <v/>
      </c>
      <c r="I4354" s="21">
        <f>IFERROR(INDEX(Pedidos!$E$2:$E$1801,MATCH(B4354,Pedidos!$A$2:$A$1801,0)),"")</f>
        <v/>
      </c>
      <c r="J4354" s="21">
        <f>IFERROR(INDEX(Pedidos!$C$2:$C$1801,MATCH(B4354,Pedidos!$A$2:$A$1801,0)),"")</f>
        <v/>
      </c>
      <c r="K4354" s="21">
        <f>IFERROR(INDEX(Pedidos!$D$2:$D$1801,MATCH(B4354,Pedidos!$A$2:$A$1801,0)),"")</f>
        <v/>
      </c>
      <c r="L4354" s="21">
        <f>IFERROR(INDEX(Pedidos!$F$2:$F$1801,MATCH(B4354,Pedidos!$A$2:$A$1801,0)),"")</f>
        <v/>
      </c>
      <c r="M4354" s="22">
        <f>IFERROR(INDEX(Pedidos!$G$2:$G$1801,MATCH(B4354,Pedidos!$A$2:$A$1801,0)),0)</f>
        <v/>
      </c>
      <c r="N4354" s="21">
        <f>IFERROR(INDEX(Produtos!$B$2:$B$71,MATCH(C4354,Produtos!$A$2:$A$71,0)),"")</f>
        <v/>
      </c>
      <c r="O4354" s="21">
        <f>IFERROR(INDEX(Produtos!$C$2:$C$71,MATCH(C4354,Produtos!$A$2:$A$71,0)),"")</f>
        <v/>
      </c>
      <c r="P4354" s="21">
        <f>IFERROR(INDEX(Produtos!$D$2:$D$71,MATCH(C4354,Produtos!$A$2:$A$71,0)),0)</f>
        <v/>
      </c>
      <c r="Q4354" s="21">
        <f>IFERROR(INDEX(Produtos!$E$2:$E$71,MATCH(C4354,Produtos!$A$2:$A$71,0)),0)</f>
        <v/>
      </c>
      <c r="R4354" s="23">
        <f>D4354*Q4354</f>
        <v/>
      </c>
      <c r="S4354" s="23">
        <f>R4354*E4354</f>
        <v/>
      </c>
      <c r="T4354" s="23">
        <f>(R4354-S4354)*M4354</f>
        <v/>
      </c>
      <c r="U4354" s="23">
        <f>R4354-S4354-T4354</f>
        <v/>
      </c>
      <c r="V4354" s="23">
        <f>D4354*P4354</f>
        <v/>
      </c>
      <c r="W4354" s="23">
        <f>U4354-V4354</f>
        <v/>
      </c>
      <c r="X4354" s="24">
        <f>IFERROR(W4354/U4354,0)</f>
        <v/>
      </c>
    </row>
    <row r="4355">
      <c r="A4355" s="25">
        <f>ItensPedido!A4355</f>
        <v/>
      </c>
      <c r="B4355" s="25">
        <f>ItensPedido!B4355</f>
        <v/>
      </c>
      <c r="C4355" s="25">
        <f>ItensPedido!C4355</f>
        <v/>
      </c>
      <c r="D4355" s="25">
        <f>ItensPedido!D4355</f>
        <v/>
      </c>
      <c r="E4355" s="26">
        <f>ItensPedido!E4355</f>
        <v/>
      </c>
      <c r="F4355" s="25">
        <f>IFERROR(INDEX(Pedidos!$B$2:$B$1801,MATCH(B4355,Pedidos!$A$2:$A$1801,0)),0)</f>
        <v/>
      </c>
      <c r="G4355" s="25">
        <f>IF(F4355=0,"",YEAR(F4355))</f>
        <v/>
      </c>
      <c r="H4355" s="25">
        <f>IF(F4355=0,"",MONTH(F4355))</f>
        <v/>
      </c>
      <c r="I4355" s="25">
        <f>IFERROR(INDEX(Pedidos!$E$2:$E$1801,MATCH(B4355,Pedidos!$A$2:$A$1801,0)),"")</f>
        <v/>
      </c>
      <c r="J4355" s="25">
        <f>IFERROR(INDEX(Pedidos!$C$2:$C$1801,MATCH(B4355,Pedidos!$A$2:$A$1801,0)),"")</f>
        <v/>
      </c>
      <c r="K4355" s="25">
        <f>IFERROR(INDEX(Pedidos!$D$2:$D$1801,MATCH(B4355,Pedidos!$A$2:$A$1801,0)),"")</f>
        <v/>
      </c>
      <c r="L4355" s="25">
        <f>IFERROR(INDEX(Pedidos!$F$2:$F$1801,MATCH(B4355,Pedidos!$A$2:$A$1801,0)),"")</f>
        <v/>
      </c>
      <c r="M4355" s="26">
        <f>IFERROR(INDEX(Pedidos!$G$2:$G$1801,MATCH(B4355,Pedidos!$A$2:$A$1801,0)),0)</f>
        <v/>
      </c>
      <c r="N4355" s="25">
        <f>IFERROR(INDEX(Produtos!$B$2:$B$71,MATCH(C4355,Produtos!$A$2:$A$71,0)),"")</f>
        <v/>
      </c>
      <c r="O4355" s="25">
        <f>IFERROR(INDEX(Produtos!$C$2:$C$71,MATCH(C4355,Produtos!$A$2:$A$71,0)),"")</f>
        <v/>
      </c>
      <c r="P4355" s="25">
        <f>IFERROR(INDEX(Produtos!$D$2:$D$71,MATCH(C4355,Produtos!$A$2:$A$71,0)),0)</f>
        <v/>
      </c>
      <c r="Q4355" s="25">
        <f>IFERROR(INDEX(Produtos!$E$2:$E$71,MATCH(C4355,Produtos!$A$2:$A$71,0)),0)</f>
        <v/>
      </c>
      <c r="R4355" s="27">
        <f>D4355*Q4355</f>
        <v/>
      </c>
      <c r="S4355" s="27">
        <f>R4355*E4355</f>
        <v/>
      </c>
      <c r="T4355" s="27">
        <f>(R4355-S4355)*M4355</f>
        <v/>
      </c>
      <c r="U4355" s="27">
        <f>R4355-S4355-T4355</f>
        <v/>
      </c>
      <c r="V4355" s="27">
        <f>D4355*P4355</f>
        <v/>
      </c>
      <c r="W4355" s="27">
        <f>U4355-V4355</f>
        <v/>
      </c>
      <c r="X4355" s="28">
        <f>IFERROR(W4355/U4355,0)</f>
        <v/>
      </c>
    </row>
    <row r="4356">
      <c r="A4356" s="21">
        <f>ItensPedido!A4356</f>
        <v/>
      </c>
      <c r="B4356" s="21">
        <f>ItensPedido!B4356</f>
        <v/>
      </c>
      <c r="C4356" s="21">
        <f>ItensPedido!C4356</f>
        <v/>
      </c>
      <c r="D4356" s="21">
        <f>ItensPedido!D4356</f>
        <v/>
      </c>
      <c r="E4356" s="22">
        <f>ItensPedido!E4356</f>
        <v/>
      </c>
      <c r="F4356" s="21">
        <f>IFERROR(INDEX(Pedidos!$B$2:$B$1801,MATCH(B4356,Pedidos!$A$2:$A$1801,0)),0)</f>
        <v/>
      </c>
      <c r="G4356" s="21">
        <f>IF(F4356=0,"",YEAR(F4356))</f>
        <v/>
      </c>
      <c r="H4356" s="21">
        <f>IF(F4356=0,"",MONTH(F4356))</f>
        <v/>
      </c>
      <c r="I4356" s="21">
        <f>IFERROR(INDEX(Pedidos!$E$2:$E$1801,MATCH(B4356,Pedidos!$A$2:$A$1801,0)),"")</f>
        <v/>
      </c>
      <c r="J4356" s="21">
        <f>IFERROR(INDEX(Pedidos!$C$2:$C$1801,MATCH(B4356,Pedidos!$A$2:$A$1801,0)),"")</f>
        <v/>
      </c>
      <c r="K4356" s="21">
        <f>IFERROR(INDEX(Pedidos!$D$2:$D$1801,MATCH(B4356,Pedidos!$A$2:$A$1801,0)),"")</f>
        <v/>
      </c>
      <c r="L4356" s="21">
        <f>IFERROR(INDEX(Pedidos!$F$2:$F$1801,MATCH(B4356,Pedidos!$A$2:$A$1801,0)),"")</f>
        <v/>
      </c>
      <c r="M4356" s="22">
        <f>IFERROR(INDEX(Pedidos!$G$2:$G$1801,MATCH(B4356,Pedidos!$A$2:$A$1801,0)),0)</f>
        <v/>
      </c>
      <c r="N4356" s="21">
        <f>IFERROR(INDEX(Produtos!$B$2:$B$71,MATCH(C4356,Produtos!$A$2:$A$71,0)),"")</f>
        <v/>
      </c>
      <c r="O4356" s="21">
        <f>IFERROR(INDEX(Produtos!$C$2:$C$71,MATCH(C4356,Produtos!$A$2:$A$71,0)),"")</f>
        <v/>
      </c>
      <c r="P4356" s="21">
        <f>IFERROR(INDEX(Produtos!$D$2:$D$71,MATCH(C4356,Produtos!$A$2:$A$71,0)),0)</f>
        <v/>
      </c>
      <c r="Q4356" s="21">
        <f>IFERROR(INDEX(Produtos!$E$2:$E$71,MATCH(C4356,Produtos!$A$2:$A$71,0)),0)</f>
        <v/>
      </c>
      <c r="R4356" s="23">
        <f>D4356*Q4356</f>
        <v/>
      </c>
      <c r="S4356" s="23">
        <f>R4356*E4356</f>
        <v/>
      </c>
      <c r="T4356" s="23">
        <f>(R4356-S4356)*M4356</f>
        <v/>
      </c>
      <c r="U4356" s="23">
        <f>R4356-S4356-T4356</f>
        <v/>
      </c>
      <c r="V4356" s="23">
        <f>D4356*P4356</f>
        <v/>
      </c>
      <c r="W4356" s="23">
        <f>U4356-V4356</f>
        <v/>
      </c>
      <c r="X4356" s="24">
        <f>IFERROR(W4356/U4356,0)</f>
        <v/>
      </c>
    </row>
    <row r="4357">
      <c r="A4357" s="25">
        <f>ItensPedido!A4357</f>
        <v/>
      </c>
      <c r="B4357" s="25">
        <f>ItensPedido!B4357</f>
        <v/>
      </c>
      <c r="C4357" s="25">
        <f>ItensPedido!C4357</f>
        <v/>
      </c>
      <c r="D4357" s="25">
        <f>ItensPedido!D4357</f>
        <v/>
      </c>
      <c r="E4357" s="26">
        <f>ItensPedido!E4357</f>
        <v/>
      </c>
      <c r="F4357" s="25">
        <f>IFERROR(INDEX(Pedidos!$B$2:$B$1801,MATCH(B4357,Pedidos!$A$2:$A$1801,0)),0)</f>
        <v/>
      </c>
      <c r="G4357" s="25">
        <f>IF(F4357=0,"",YEAR(F4357))</f>
        <v/>
      </c>
      <c r="H4357" s="25">
        <f>IF(F4357=0,"",MONTH(F4357))</f>
        <v/>
      </c>
      <c r="I4357" s="25">
        <f>IFERROR(INDEX(Pedidos!$E$2:$E$1801,MATCH(B4357,Pedidos!$A$2:$A$1801,0)),"")</f>
        <v/>
      </c>
      <c r="J4357" s="25">
        <f>IFERROR(INDEX(Pedidos!$C$2:$C$1801,MATCH(B4357,Pedidos!$A$2:$A$1801,0)),"")</f>
        <v/>
      </c>
      <c r="K4357" s="25">
        <f>IFERROR(INDEX(Pedidos!$D$2:$D$1801,MATCH(B4357,Pedidos!$A$2:$A$1801,0)),"")</f>
        <v/>
      </c>
      <c r="L4357" s="25">
        <f>IFERROR(INDEX(Pedidos!$F$2:$F$1801,MATCH(B4357,Pedidos!$A$2:$A$1801,0)),"")</f>
        <v/>
      </c>
      <c r="M4357" s="26">
        <f>IFERROR(INDEX(Pedidos!$G$2:$G$1801,MATCH(B4357,Pedidos!$A$2:$A$1801,0)),0)</f>
        <v/>
      </c>
      <c r="N4357" s="25">
        <f>IFERROR(INDEX(Produtos!$B$2:$B$71,MATCH(C4357,Produtos!$A$2:$A$71,0)),"")</f>
        <v/>
      </c>
      <c r="O4357" s="25">
        <f>IFERROR(INDEX(Produtos!$C$2:$C$71,MATCH(C4357,Produtos!$A$2:$A$71,0)),"")</f>
        <v/>
      </c>
      <c r="P4357" s="25">
        <f>IFERROR(INDEX(Produtos!$D$2:$D$71,MATCH(C4357,Produtos!$A$2:$A$71,0)),0)</f>
        <v/>
      </c>
      <c r="Q4357" s="25">
        <f>IFERROR(INDEX(Produtos!$E$2:$E$71,MATCH(C4357,Produtos!$A$2:$A$71,0)),0)</f>
        <v/>
      </c>
      <c r="R4357" s="27">
        <f>D4357*Q4357</f>
        <v/>
      </c>
      <c r="S4357" s="27">
        <f>R4357*E4357</f>
        <v/>
      </c>
      <c r="T4357" s="27">
        <f>(R4357-S4357)*M4357</f>
        <v/>
      </c>
      <c r="U4357" s="27">
        <f>R4357-S4357-T4357</f>
        <v/>
      </c>
      <c r="V4357" s="27">
        <f>D4357*P4357</f>
        <v/>
      </c>
      <c r="W4357" s="27">
        <f>U4357-V4357</f>
        <v/>
      </c>
      <c r="X4357" s="28">
        <f>IFERROR(W4357/U4357,0)</f>
        <v/>
      </c>
    </row>
    <row r="4358">
      <c r="A4358" s="21">
        <f>ItensPedido!A4358</f>
        <v/>
      </c>
      <c r="B4358" s="21">
        <f>ItensPedido!B4358</f>
        <v/>
      </c>
      <c r="C4358" s="21">
        <f>ItensPedido!C4358</f>
        <v/>
      </c>
      <c r="D4358" s="21">
        <f>ItensPedido!D4358</f>
        <v/>
      </c>
      <c r="E4358" s="22">
        <f>ItensPedido!E4358</f>
        <v/>
      </c>
      <c r="F4358" s="21">
        <f>IFERROR(INDEX(Pedidos!$B$2:$B$1801,MATCH(B4358,Pedidos!$A$2:$A$1801,0)),0)</f>
        <v/>
      </c>
      <c r="G4358" s="21">
        <f>IF(F4358=0,"",YEAR(F4358))</f>
        <v/>
      </c>
      <c r="H4358" s="21">
        <f>IF(F4358=0,"",MONTH(F4358))</f>
        <v/>
      </c>
      <c r="I4358" s="21">
        <f>IFERROR(INDEX(Pedidos!$E$2:$E$1801,MATCH(B4358,Pedidos!$A$2:$A$1801,0)),"")</f>
        <v/>
      </c>
      <c r="J4358" s="21">
        <f>IFERROR(INDEX(Pedidos!$C$2:$C$1801,MATCH(B4358,Pedidos!$A$2:$A$1801,0)),"")</f>
        <v/>
      </c>
      <c r="K4358" s="21">
        <f>IFERROR(INDEX(Pedidos!$D$2:$D$1801,MATCH(B4358,Pedidos!$A$2:$A$1801,0)),"")</f>
        <v/>
      </c>
      <c r="L4358" s="21">
        <f>IFERROR(INDEX(Pedidos!$F$2:$F$1801,MATCH(B4358,Pedidos!$A$2:$A$1801,0)),"")</f>
        <v/>
      </c>
      <c r="M4358" s="22">
        <f>IFERROR(INDEX(Pedidos!$G$2:$G$1801,MATCH(B4358,Pedidos!$A$2:$A$1801,0)),0)</f>
        <v/>
      </c>
      <c r="N4358" s="21">
        <f>IFERROR(INDEX(Produtos!$B$2:$B$71,MATCH(C4358,Produtos!$A$2:$A$71,0)),"")</f>
        <v/>
      </c>
      <c r="O4358" s="21">
        <f>IFERROR(INDEX(Produtos!$C$2:$C$71,MATCH(C4358,Produtos!$A$2:$A$71,0)),"")</f>
        <v/>
      </c>
      <c r="P4358" s="21">
        <f>IFERROR(INDEX(Produtos!$D$2:$D$71,MATCH(C4358,Produtos!$A$2:$A$71,0)),0)</f>
        <v/>
      </c>
      <c r="Q4358" s="21">
        <f>IFERROR(INDEX(Produtos!$E$2:$E$71,MATCH(C4358,Produtos!$A$2:$A$71,0)),0)</f>
        <v/>
      </c>
      <c r="R4358" s="23">
        <f>D4358*Q4358</f>
        <v/>
      </c>
      <c r="S4358" s="23">
        <f>R4358*E4358</f>
        <v/>
      </c>
      <c r="T4358" s="23">
        <f>(R4358-S4358)*M4358</f>
        <v/>
      </c>
      <c r="U4358" s="23">
        <f>R4358-S4358-T4358</f>
        <v/>
      </c>
      <c r="V4358" s="23">
        <f>D4358*P4358</f>
        <v/>
      </c>
      <c r="W4358" s="23">
        <f>U4358-V4358</f>
        <v/>
      </c>
      <c r="X4358" s="24">
        <f>IFERROR(W4358/U4358,0)</f>
        <v/>
      </c>
    </row>
    <row r="4359">
      <c r="A4359" s="25">
        <f>ItensPedido!A4359</f>
        <v/>
      </c>
      <c r="B4359" s="25">
        <f>ItensPedido!B4359</f>
        <v/>
      </c>
      <c r="C4359" s="25">
        <f>ItensPedido!C4359</f>
        <v/>
      </c>
      <c r="D4359" s="25">
        <f>ItensPedido!D4359</f>
        <v/>
      </c>
      <c r="E4359" s="26">
        <f>ItensPedido!E4359</f>
        <v/>
      </c>
      <c r="F4359" s="25">
        <f>IFERROR(INDEX(Pedidos!$B$2:$B$1801,MATCH(B4359,Pedidos!$A$2:$A$1801,0)),0)</f>
        <v/>
      </c>
      <c r="G4359" s="25">
        <f>IF(F4359=0,"",YEAR(F4359))</f>
        <v/>
      </c>
      <c r="H4359" s="25">
        <f>IF(F4359=0,"",MONTH(F4359))</f>
        <v/>
      </c>
      <c r="I4359" s="25">
        <f>IFERROR(INDEX(Pedidos!$E$2:$E$1801,MATCH(B4359,Pedidos!$A$2:$A$1801,0)),"")</f>
        <v/>
      </c>
      <c r="J4359" s="25">
        <f>IFERROR(INDEX(Pedidos!$C$2:$C$1801,MATCH(B4359,Pedidos!$A$2:$A$1801,0)),"")</f>
        <v/>
      </c>
      <c r="K4359" s="25">
        <f>IFERROR(INDEX(Pedidos!$D$2:$D$1801,MATCH(B4359,Pedidos!$A$2:$A$1801,0)),"")</f>
        <v/>
      </c>
      <c r="L4359" s="25">
        <f>IFERROR(INDEX(Pedidos!$F$2:$F$1801,MATCH(B4359,Pedidos!$A$2:$A$1801,0)),"")</f>
        <v/>
      </c>
      <c r="M4359" s="26">
        <f>IFERROR(INDEX(Pedidos!$G$2:$G$1801,MATCH(B4359,Pedidos!$A$2:$A$1801,0)),0)</f>
        <v/>
      </c>
      <c r="N4359" s="25">
        <f>IFERROR(INDEX(Produtos!$B$2:$B$71,MATCH(C4359,Produtos!$A$2:$A$71,0)),"")</f>
        <v/>
      </c>
      <c r="O4359" s="25">
        <f>IFERROR(INDEX(Produtos!$C$2:$C$71,MATCH(C4359,Produtos!$A$2:$A$71,0)),"")</f>
        <v/>
      </c>
      <c r="P4359" s="25">
        <f>IFERROR(INDEX(Produtos!$D$2:$D$71,MATCH(C4359,Produtos!$A$2:$A$71,0)),0)</f>
        <v/>
      </c>
      <c r="Q4359" s="25">
        <f>IFERROR(INDEX(Produtos!$E$2:$E$71,MATCH(C4359,Produtos!$A$2:$A$71,0)),0)</f>
        <v/>
      </c>
      <c r="R4359" s="27">
        <f>D4359*Q4359</f>
        <v/>
      </c>
      <c r="S4359" s="27">
        <f>R4359*E4359</f>
        <v/>
      </c>
      <c r="T4359" s="27">
        <f>(R4359-S4359)*M4359</f>
        <v/>
      </c>
      <c r="U4359" s="27">
        <f>R4359-S4359-T4359</f>
        <v/>
      </c>
      <c r="V4359" s="27">
        <f>D4359*P4359</f>
        <v/>
      </c>
      <c r="W4359" s="27">
        <f>U4359-V4359</f>
        <v/>
      </c>
      <c r="X4359" s="28">
        <f>IFERROR(W4359/U4359,0)</f>
        <v/>
      </c>
    </row>
    <row r="4360">
      <c r="A4360" s="21">
        <f>ItensPedido!A4360</f>
        <v/>
      </c>
      <c r="B4360" s="21">
        <f>ItensPedido!B4360</f>
        <v/>
      </c>
      <c r="C4360" s="21">
        <f>ItensPedido!C4360</f>
        <v/>
      </c>
      <c r="D4360" s="21">
        <f>ItensPedido!D4360</f>
        <v/>
      </c>
      <c r="E4360" s="22">
        <f>ItensPedido!E4360</f>
        <v/>
      </c>
      <c r="F4360" s="21">
        <f>IFERROR(INDEX(Pedidos!$B$2:$B$1801,MATCH(B4360,Pedidos!$A$2:$A$1801,0)),0)</f>
        <v/>
      </c>
      <c r="G4360" s="21">
        <f>IF(F4360=0,"",YEAR(F4360))</f>
        <v/>
      </c>
      <c r="H4360" s="21">
        <f>IF(F4360=0,"",MONTH(F4360))</f>
        <v/>
      </c>
      <c r="I4360" s="21">
        <f>IFERROR(INDEX(Pedidos!$E$2:$E$1801,MATCH(B4360,Pedidos!$A$2:$A$1801,0)),"")</f>
        <v/>
      </c>
      <c r="J4360" s="21">
        <f>IFERROR(INDEX(Pedidos!$C$2:$C$1801,MATCH(B4360,Pedidos!$A$2:$A$1801,0)),"")</f>
        <v/>
      </c>
      <c r="K4360" s="21">
        <f>IFERROR(INDEX(Pedidos!$D$2:$D$1801,MATCH(B4360,Pedidos!$A$2:$A$1801,0)),"")</f>
        <v/>
      </c>
      <c r="L4360" s="21">
        <f>IFERROR(INDEX(Pedidos!$F$2:$F$1801,MATCH(B4360,Pedidos!$A$2:$A$1801,0)),"")</f>
        <v/>
      </c>
      <c r="M4360" s="22">
        <f>IFERROR(INDEX(Pedidos!$G$2:$G$1801,MATCH(B4360,Pedidos!$A$2:$A$1801,0)),0)</f>
        <v/>
      </c>
      <c r="N4360" s="21">
        <f>IFERROR(INDEX(Produtos!$B$2:$B$71,MATCH(C4360,Produtos!$A$2:$A$71,0)),"")</f>
        <v/>
      </c>
      <c r="O4360" s="21">
        <f>IFERROR(INDEX(Produtos!$C$2:$C$71,MATCH(C4360,Produtos!$A$2:$A$71,0)),"")</f>
        <v/>
      </c>
      <c r="P4360" s="21">
        <f>IFERROR(INDEX(Produtos!$D$2:$D$71,MATCH(C4360,Produtos!$A$2:$A$71,0)),0)</f>
        <v/>
      </c>
      <c r="Q4360" s="21">
        <f>IFERROR(INDEX(Produtos!$E$2:$E$71,MATCH(C4360,Produtos!$A$2:$A$71,0)),0)</f>
        <v/>
      </c>
      <c r="R4360" s="23">
        <f>D4360*Q4360</f>
        <v/>
      </c>
      <c r="S4360" s="23">
        <f>R4360*E4360</f>
        <v/>
      </c>
      <c r="T4360" s="23">
        <f>(R4360-S4360)*M4360</f>
        <v/>
      </c>
      <c r="U4360" s="23">
        <f>R4360-S4360-T4360</f>
        <v/>
      </c>
      <c r="V4360" s="23">
        <f>D4360*P4360</f>
        <v/>
      </c>
      <c r="W4360" s="23">
        <f>U4360-V4360</f>
        <v/>
      </c>
      <c r="X4360" s="24">
        <f>IFERROR(W4360/U4360,0)</f>
        <v/>
      </c>
    </row>
    <row r="4361">
      <c r="A4361" s="25">
        <f>ItensPedido!A4361</f>
        <v/>
      </c>
      <c r="B4361" s="25">
        <f>ItensPedido!B4361</f>
        <v/>
      </c>
      <c r="C4361" s="25">
        <f>ItensPedido!C4361</f>
        <v/>
      </c>
      <c r="D4361" s="25">
        <f>ItensPedido!D4361</f>
        <v/>
      </c>
      <c r="E4361" s="26">
        <f>ItensPedido!E4361</f>
        <v/>
      </c>
      <c r="F4361" s="25">
        <f>IFERROR(INDEX(Pedidos!$B$2:$B$1801,MATCH(B4361,Pedidos!$A$2:$A$1801,0)),0)</f>
        <v/>
      </c>
      <c r="G4361" s="25">
        <f>IF(F4361=0,"",YEAR(F4361))</f>
        <v/>
      </c>
      <c r="H4361" s="25">
        <f>IF(F4361=0,"",MONTH(F4361))</f>
        <v/>
      </c>
      <c r="I4361" s="25">
        <f>IFERROR(INDEX(Pedidos!$E$2:$E$1801,MATCH(B4361,Pedidos!$A$2:$A$1801,0)),"")</f>
        <v/>
      </c>
      <c r="J4361" s="25">
        <f>IFERROR(INDEX(Pedidos!$C$2:$C$1801,MATCH(B4361,Pedidos!$A$2:$A$1801,0)),"")</f>
        <v/>
      </c>
      <c r="K4361" s="25">
        <f>IFERROR(INDEX(Pedidos!$D$2:$D$1801,MATCH(B4361,Pedidos!$A$2:$A$1801,0)),"")</f>
        <v/>
      </c>
      <c r="L4361" s="25">
        <f>IFERROR(INDEX(Pedidos!$F$2:$F$1801,MATCH(B4361,Pedidos!$A$2:$A$1801,0)),"")</f>
        <v/>
      </c>
      <c r="M4361" s="26">
        <f>IFERROR(INDEX(Pedidos!$G$2:$G$1801,MATCH(B4361,Pedidos!$A$2:$A$1801,0)),0)</f>
        <v/>
      </c>
      <c r="N4361" s="25">
        <f>IFERROR(INDEX(Produtos!$B$2:$B$71,MATCH(C4361,Produtos!$A$2:$A$71,0)),"")</f>
        <v/>
      </c>
      <c r="O4361" s="25">
        <f>IFERROR(INDEX(Produtos!$C$2:$C$71,MATCH(C4361,Produtos!$A$2:$A$71,0)),"")</f>
        <v/>
      </c>
      <c r="P4361" s="25">
        <f>IFERROR(INDEX(Produtos!$D$2:$D$71,MATCH(C4361,Produtos!$A$2:$A$71,0)),0)</f>
        <v/>
      </c>
      <c r="Q4361" s="25">
        <f>IFERROR(INDEX(Produtos!$E$2:$E$71,MATCH(C4361,Produtos!$A$2:$A$71,0)),0)</f>
        <v/>
      </c>
      <c r="R4361" s="27">
        <f>D4361*Q4361</f>
        <v/>
      </c>
      <c r="S4361" s="27">
        <f>R4361*E4361</f>
        <v/>
      </c>
      <c r="T4361" s="27">
        <f>(R4361-S4361)*M4361</f>
        <v/>
      </c>
      <c r="U4361" s="27">
        <f>R4361-S4361-T4361</f>
        <v/>
      </c>
      <c r="V4361" s="27">
        <f>D4361*P4361</f>
        <v/>
      </c>
      <c r="W4361" s="27">
        <f>U4361-V4361</f>
        <v/>
      </c>
      <c r="X4361" s="28">
        <f>IFERROR(W4361/U4361,0)</f>
        <v/>
      </c>
    </row>
    <row r="4362">
      <c r="A4362" s="21">
        <f>ItensPedido!A4362</f>
        <v/>
      </c>
      <c r="B4362" s="21">
        <f>ItensPedido!B4362</f>
        <v/>
      </c>
      <c r="C4362" s="21">
        <f>ItensPedido!C4362</f>
        <v/>
      </c>
      <c r="D4362" s="21">
        <f>ItensPedido!D4362</f>
        <v/>
      </c>
      <c r="E4362" s="22">
        <f>ItensPedido!E4362</f>
        <v/>
      </c>
      <c r="F4362" s="21">
        <f>IFERROR(INDEX(Pedidos!$B$2:$B$1801,MATCH(B4362,Pedidos!$A$2:$A$1801,0)),0)</f>
        <v/>
      </c>
      <c r="G4362" s="21">
        <f>IF(F4362=0,"",YEAR(F4362))</f>
        <v/>
      </c>
      <c r="H4362" s="21">
        <f>IF(F4362=0,"",MONTH(F4362))</f>
        <v/>
      </c>
      <c r="I4362" s="21">
        <f>IFERROR(INDEX(Pedidos!$E$2:$E$1801,MATCH(B4362,Pedidos!$A$2:$A$1801,0)),"")</f>
        <v/>
      </c>
      <c r="J4362" s="21">
        <f>IFERROR(INDEX(Pedidos!$C$2:$C$1801,MATCH(B4362,Pedidos!$A$2:$A$1801,0)),"")</f>
        <v/>
      </c>
      <c r="K4362" s="21">
        <f>IFERROR(INDEX(Pedidos!$D$2:$D$1801,MATCH(B4362,Pedidos!$A$2:$A$1801,0)),"")</f>
        <v/>
      </c>
      <c r="L4362" s="21">
        <f>IFERROR(INDEX(Pedidos!$F$2:$F$1801,MATCH(B4362,Pedidos!$A$2:$A$1801,0)),"")</f>
        <v/>
      </c>
      <c r="M4362" s="22">
        <f>IFERROR(INDEX(Pedidos!$G$2:$G$1801,MATCH(B4362,Pedidos!$A$2:$A$1801,0)),0)</f>
        <v/>
      </c>
      <c r="N4362" s="21">
        <f>IFERROR(INDEX(Produtos!$B$2:$B$71,MATCH(C4362,Produtos!$A$2:$A$71,0)),"")</f>
        <v/>
      </c>
      <c r="O4362" s="21">
        <f>IFERROR(INDEX(Produtos!$C$2:$C$71,MATCH(C4362,Produtos!$A$2:$A$71,0)),"")</f>
        <v/>
      </c>
      <c r="P4362" s="21">
        <f>IFERROR(INDEX(Produtos!$D$2:$D$71,MATCH(C4362,Produtos!$A$2:$A$71,0)),0)</f>
        <v/>
      </c>
      <c r="Q4362" s="21">
        <f>IFERROR(INDEX(Produtos!$E$2:$E$71,MATCH(C4362,Produtos!$A$2:$A$71,0)),0)</f>
        <v/>
      </c>
      <c r="R4362" s="23">
        <f>D4362*Q4362</f>
        <v/>
      </c>
      <c r="S4362" s="23">
        <f>R4362*E4362</f>
        <v/>
      </c>
      <c r="T4362" s="23">
        <f>(R4362-S4362)*M4362</f>
        <v/>
      </c>
      <c r="U4362" s="23">
        <f>R4362-S4362-T4362</f>
        <v/>
      </c>
      <c r="V4362" s="23">
        <f>D4362*P4362</f>
        <v/>
      </c>
      <c r="W4362" s="23">
        <f>U4362-V4362</f>
        <v/>
      </c>
      <c r="X4362" s="24">
        <f>IFERROR(W4362/U4362,0)</f>
        <v/>
      </c>
    </row>
    <row r="4363">
      <c r="A4363" s="25">
        <f>ItensPedido!A4363</f>
        <v/>
      </c>
      <c r="B4363" s="25">
        <f>ItensPedido!B4363</f>
        <v/>
      </c>
      <c r="C4363" s="25">
        <f>ItensPedido!C4363</f>
        <v/>
      </c>
      <c r="D4363" s="25">
        <f>ItensPedido!D4363</f>
        <v/>
      </c>
      <c r="E4363" s="26">
        <f>ItensPedido!E4363</f>
        <v/>
      </c>
      <c r="F4363" s="25">
        <f>IFERROR(INDEX(Pedidos!$B$2:$B$1801,MATCH(B4363,Pedidos!$A$2:$A$1801,0)),0)</f>
        <v/>
      </c>
      <c r="G4363" s="25">
        <f>IF(F4363=0,"",YEAR(F4363))</f>
        <v/>
      </c>
      <c r="H4363" s="25">
        <f>IF(F4363=0,"",MONTH(F4363))</f>
        <v/>
      </c>
      <c r="I4363" s="25">
        <f>IFERROR(INDEX(Pedidos!$E$2:$E$1801,MATCH(B4363,Pedidos!$A$2:$A$1801,0)),"")</f>
        <v/>
      </c>
      <c r="J4363" s="25">
        <f>IFERROR(INDEX(Pedidos!$C$2:$C$1801,MATCH(B4363,Pedidos!$A$2:$A$1801,0)),"")</f>
        <v/>
      </c>
      <c r="K4363" s="25">
        <f>IFERROR(INDEX(Pedidos!$D$2:$D$1801,MATCH(B4363,Pedidos!$A$2:$A$1801,0)),"")</f>
        <v/>
      </c>
      <c r="L4363" s="25">
        <f>IFERROR(INDEX(Pedidos!$F$2:$F$1801,MATCH(B4363,Pedidos!$A$2:$A$1801,0)),"")</f>
        <v/>
      </c>
      <c r="M4363" s="26">
        <f>IFERROR(INDEX(Pedidos!$G$2:$G$1801,MATCH(B4363,Pedidos!$A$2:$A$1801,0)),0)</f>
        <v/>
      </c>
      <c r="N4363" s="25">
        <f>IFERROR(INDEX(Produtos!$B$2:$B$71,MATCH(C4363,Produtos!$A$2:$A$71,0)),"")</f>
        <v/>
      </c>
      <c r="O4363" s="25">
        <f>IFERROR(INDEX(Produtos!$C$2:$C$71,MATCH(C4363,Produtos!$A$2:$A$71,0)),"")</f>
        <v/>
      </c>
      <c r="P4363" s="25">
        <f>IFERROR(INDEX(Produtos!$D$2:$D$71,MATCH(C4363,Produtos!$A$2:$A$71,0)),0)</f>
        <v/>
      </c>
      <c r="Q4363" s="25">
        <f>IFERROR(INDEX(Produtos!$E$2:$E$71,MATCH(C4363,Produtos!$A$2:$A$71,0)),0)</f>
        <v/>
      </c>
      <c r="R4363" s="27">
        <f>D4363*Q4363</f>
        <v/>
      </c>
      <c r="S4363" s="27">
        <f>R4363*E4363</f>
        <v/>
      </c>
      <c r="T4363" s="27">
        <f>(R4363-S4363)*M4363</f>
        <v/>
      </c>
      <c r="U4363" s="27">
        <f>R4363-S4363-T4363</f>
        <v/>
      </c>
      <c r="V4363" s="27">
        <f>D4363*P4363</f>
        <v/>
      </c>
      <c r="W4363" s="27">
        <f>U4363-V4363</f>
        <v/>
      </c>
      <c r="X4363" s="28">
        <f>IFERROR(W4363/U4363,0)</f>
        <v/>
      </c>
    </row>
    <row r="4364">
      <c r="A4364" s="21">
        <f>ItensPedido!A4364</f>
        <v/>
      </c>
      <c r="B4364" s="21">
        <f>ItensPedido!B4364</f>
        <v/>
      </c>
      <c r="C4364" s="21">
        <f>ItensPedido!C4364</f>
        <v/>
      </c>
      <c r="D4364" s="21">
        <f>ItensPedido!D4364</f>
        <v/>
      </c>
      <c r="E4364" s="22">
        <f>ItensPedido!E4364</f>
        <v/>
      </c>
      <c r="F4364" s="21">
        <f>IFERROR(INDEX(Pedidos!$B$2:$B$1801,MATCH(B4364,Pedidos!$A$2:$A$1801,0)),0)</f>
        <v/>
      </c>
      <c r="G4364" s="21">
        <f>IF(F4364=0,"",YEAR(F4364))</f>
        <v/>
      </c>
      <c r="H4364" s="21">
        <f>IF(F4364=0,"",MONTH(F4364))</f>
        <v/>
      </c>
      <c r="I4364" s="21">
        <f>IFERROR(INDEX(Pedidos!$E$2:$E$1801,MATCH(B4364,Pedidos!$A$2:$A$1801,0)),"")</f>
        <v/>
      </c>
      <c r="J4364" s="21">
        <f>IFERROR(INDEX(Pedidos!$C$2:$C$1801,MATCH(B4364,Pedidos!$A$2:$A$1801,0)),"")</f>
        <v/>
      </c>
      <c r="K4364" s="21">
        <f>IFERROR(INDEX(Pedidos!$D$2:$D$1801,MATCH(B4364,Pedidos!$A$2:$A$1801,0)),"")</f>
        <v/>
      </c>
      <c r="L4364" s="21">
        <f>IFERROR(INDEX(Pedidos!$F$2:$F$1801,MATCH(B4364,Pedidos!$A$2:$A$1801,0)),"")</f>
        <v/>
      </c>
      <c r="M4364" s="22">
        <f>IFERROR(INDEX(Pedidos!$G$2:$G$1801,MATCH(B4364,Pedidos!$A$2:$A$1801,0)),0)</f>
        <v/>
      </c>
      <c r="N4364" s="21">
        <f>IFERROR(INDEX(Produtos!$B$2:$B$71,MATCH(C4364,Produtos!$A$2:$A$71,0)),"")</f>
        <v/>
      </c>
      <c r="O4364" s="21">
        <f>IFERROR(INDEX(Produtos!$C$2:$C$71,MATCH(C4364,Produtos!$A$2:$A$71,0)),"")</f>
        <v/>
      </c>
      <c r="P4364" s="21">
        <f>IFERROR(INDEX(Produtos!$D$2:$D$71,MATCH(C4364,Produtos!$A$2:$A$71,0)),0)</f>
        <v/>
      </c>
      <c r="Q4364" s="21">
        <f>IFERROR(INDEX(Produtos!$E$2:$E$71,MATCH(C4364,Produtos!$A$2:$A$71,0)),0)</f>
        <v/>
      </c>
      <c r="R4364" s="23">
        <f>D4364*Q4364</f>
        <v/>
      </c>
      <c r="S4364" s="23">
        <f>R4364*E4364</f>
        <v/>
      </c>
      <c r="T4364" s="23">
        <f>(R4364-S4364)*M4364</f>
        <v/>
      </c>
      <c r="U4364" s="23">
        <f>R4364-S4364-T4364</f>
        <v/>
      </c>
      <c r="V4364" s="23">
        <f>D4364*P4364</f>
        <v/>
      </c>
      <c r="W4364" s="23">
        <f>U4364-V4364</f>
        <v/>
      </c>
      <c r="X4364" s="24">
        <f>IFERROR(W4364/U4364,0)</f>
        <v/>
      </c>
    </row>
    <row r="4365">
      <c r="A4365" s="25">
        <f>ItensPedido!A4365</f>
        <v/>
      </c>
      <c r="B4365" s="25">
        <f>ItensPedido!B4365</f>
        <v/>
      </c>
      <c r="C4365" s="25">
        <f>ItensPedido!C4365</f>
        <v/>
      </c>
      <c r="D4365" s="25">
        <f>ItensPedido!D4365</f>
        <v/>
      </c>
      <c r="E4365" s="26">
        <f>ItensPedido!E4365</f>
        <v/>
      </c>
      <c r="F4365" s="25">
        <f>IFERROR(INDEX(Pedidos!$B$2:$B$1801,MATCH(B4365,Pedidos!$A$2:$A$1801,0)),0)</f>
        <v/>
      </c>
      <c r="G4365" s="25">
        <f>IF(F4365=0,"",YEAR(F4365))</f>
        <v/>
      </c>
      <c r="H4365" s="25">
        <f>IF(F4365=0,"",MONTH(F4365))</f>
        <v/>
      </c>
      <c r="I4365" s="25">
        <f>IFERROR(INDEX(Pedidos!$E$2:$E$1801,MATCH(B4365,Pedidos!$A$2:$A$1801,0)),"")</f>
        <v/>
      </c>
      <c r="J4365" s="25">
        <f>IFERROR(INDEX(Pedidos!$C$2:$C$1801,MATCH(B4365,Pedidos!$A$2:$A$1801,0)),"")</f>
        <v/>
      </c>
      <c r="K4365" s="25">
        <f>IFERROR(INDEX(Pedidos!$D$2:$D$1801,MATCH(B4365,Pedidos!$A$2:$A$1801,0)),"")</f>
        <v/>
      </c>
      <c r="L4365" s="25">
        <f>IFERROR(INDEX(Pedidos!$F$2:$F$1801,MATCH(B4365,Pedidos!$A$2:$A$1801,0)),"")</f>
        <v/>
      </c>
      <c r="M4365" s="26">
        <f>IFERROR(INDEX(Pedidos!$G$2:$G$1801,MATCH(B4365,Pedidos!$A$2:$A$1801,0)),0)</f>
        <v/>
      </c>
      <c r="N4365" s="25">
        <f>IFERROR(INDEX(Produtos!$B$2:$B$71,MATCH(C4365,Produtos!$A$2:$A$71,0)),"")</f>
        <v/>
      </c>
      <c r="O4365" s="25">
        <f>IFERROR(INDEX(Produtos!$C$2:$C$71,MATCH(C4365,Produtos!$A$2:$A$71,0)),"")</f>
        <v/>
      </c>
      <c r="P4365" s="25">
        <f>IFERROR(INDEX(Produtos!$D$2:$D$71,MATCH(C4365,Produtos!$A$2:$A$71,0)),0)</f>
        <v/>
      </c>
      <c r="Q4365" s="25">
        <f>IFERROR(INDEX(Produtos!$E$2:$E$71,MATCH(C4365,Produtos!$A$2:$A$71,0)),0)</f>
        <v/>
      </c>
      <c r="R4365" s="27">
        <f>D4365*Q4365</f>
        <v/>
      </c>
      <c r="S4365" s="27">
        <f>R4365*E4365</f>
        <v/>
      </c>
      <c r="T4365" s="27">
        <f>(R4365-S4365)*M4365</f>
        <v/>
      </c>
      <c r="U4365" s="27">
        <f>R4365-S4365-T4365</f>
        <v/>
      </c>
      <c r="V4365" s="27">
        <f>D4365*P4365</f>
        <v/>
      </c>
      <c r="W4365" s="27">
        <f>U4365-V4365</f>
        <v/>
      </c>
      <c r="X4365" s="28">
        <f>IFERROR(W4365/U4365,0)</f>
        <v/>
      </c>
    </row>
    <row r="4366">
      <c r="A4366" s="21">
        <f>ItensPedido!A4366</f>
        <v/>
      </c>
      <c r="B4366" s="21">
        <f>ItensPedido!B4366</f>
        <v/>
      </c>
      <c r="C4366" s="21">
        <f>ItensPedido!C4366</f>
        <v/>
      </c>
      <c r="D4366" s="21">
        <f>ItensPedido!D4366</f>
        <v/>
      </c>
      <c r="E4366" s="22">
        <f>ItensPedido!E4366</f>
        <v/>
      </c>
      <c r="F4366" s="21">
        <f>IFERROR(INDEX(Pedidos!$B$2:$B$1801,MATCH(B4366,Pedidos!$A$2:$A$1801,0)),0)</f>
        <v/>
      </c>
      <c r="G4366" s="21">
        <f>IF(F4366=0,"",YEAR(F4366))</f>
        <v/>
      </c>
      <c r="H4366" s="21">
        <f>IF(F4366=0,"",MONTH(F4366))</f>
        <v/>
      </c>
      <c r="I4366" s="21">
        <f>IFERROR(INDEX(Pedidos!$E$2:$E$1801,MATCH(B4366,Pedidos!$A$2:$A$1801,0)),"")</f>
        <v/>
      </c>
      <c r="J4366" s="21">
        <f>IFERROR(INDEX(Pedidos!$C$2:$C$1801,MATCH(B4366,Pedidos!$A$2:$A$1801,0)),"")</f>
        <v/>
      </c>
      <c r="K4366" s="21">
        <f>IFERROR(INDEX(Pedidos!$D$2:$D$1801,MATCH(B4366,Pedidos!$A$2:$A$1801,0)),"")</f>
        <v/>
      </c>
      <c r="L4366" s="21">
        <f>IFERROR(INDEX(Pedidos!$F$2:$F$1801,MATCH(B4366,Pedidos!$A$2:$A$1801,0)),"")</f>
        <v/>
      </c>
      <c r="M4366" s="22">
        <f>IFERROR(INDEX(Pedidos!$G$2:$G$1801,MATCH(B4366,Pedidos!$A$2:$A$1801,0)),0)</f>
        <v/>
      </c>
      <c r="N4366" s="21">
        <f>IFERROR(INDEX(Produtos!$B$2:$B$71,MATCH(C4366,Produtos!$A$2:$A$71,0)),"")</f>
        <v/>
      </c>
      <c r="O4366" s="21">
        <f>IFERROR(INDEX(Produtos!$C$2:$C$71,MATCH(C4366,Produtos!$A$2:$A$71,0)),"")</f>
        <v/>
      </c>
      <c r="P4366" s="21">
        <f>IFERROR(INDEX(Produtos!$D$2:$D$71,MATCH(C4366,Produtos!$A$2:$A$71,0)),0)</f>
        <v/>
      </c>
      <c r="Q4366" s="21">
        <f>IFERROR(INDEX(Produtos!$E$2:$E$71,MATCH(C4366,Produtos!$A$2:$A$71,0)),0)</f>
        <v/>
      </c>
      <c r="R4366" s="23">
        <f>D4366*Q4366</f>
        <v/>
      </c>
      <c r="S4366" s="23">
        <f>R4366*E4366</f>
        <v/>
      </c>
      <c r="T4366" s="23">
        <f>(R4366-S4366)*M4366</f>
        <v/>
      </c>
      <c r="U4366" s="23">
        <f>R4366-S4366-T4366</f>
        <v/>
      </c>
      <c r="V4366" s="23">
        <f>D4366*P4366</f>
        <v/>
      </c>
      <c r="W4366" s="23">
        <f>U4366-V4366</f>
        <v/>
      </c>
      <c r="X4366" s="24">
        <f>IFERROR(W4366/U4366,0)</f>
        <v/>
      </c>
    </row>
    <row r="4367">
      <c r="A4367" s="25">
        <f>ItensPedido!A4367</f>
        <v/>
      </c>
      <c r="B4367" s="25">
        <f>ItensPedido!B4367</f>
        <v/>
      </c>
      <c r="C4367" s="25">
        <f>ItensPedido!C4367</f>
        <v/>
      </c>
      <c r="D4367" s="25">
        <f>ItensPedido!D4367</f>
        <v/>
      </c>
      <c r="E4367" s="26">
        <f>ItensPedido!E4367</f>
        <v/>
      </c>
      <c r="F4367" s="25">
        <f>IFERROR(INDEX(Pedidos!$B$2:$B$1801,MATCH(B4367,Pedidos!$A$2:$A$1801,0)),0)</f>
        <v/>
      </c>
      <c r="G4367" s="25">
        <f>IF(F4367=0,"",YEAR(F4367))</f>
        <v/>
      </c>
      <c r="H4367" s="25">
        <f>IF(F4367=0,"",MONTH(F4367))</f>
        <v/>
      </c>
      <c r="I4367" s="25">
        <f>IFERROR(INDEX(Pedidos!$E$2:$E$1801,MATCH(B4367,Pedidos!$A$2:$A$1801,0)),"")</f>
        <v/>
      </c>
      <c r="J4367" s="25">
        <f>IFERROR(INDEX(Pedidos!$C$2:$C$1801,MATCH(B4367,Pedidos!$A$2:$A$1801,0)),"")</f>
        <v/>
      </c>
      <c r="K4367" s="25">
        <f>IFERROR(INDEX(Pedidos!$D$2:$D$1801,MATCH(B4367,Pedidos!$A$2:$A$1801,0)),"")</f>
        <v/>
      </c>
      <c r="L4367" s="25">
        <f>IFERROR(INDEX(Pedidos!$F$2:$F$1801,MATCH(B4367,Pedidos!$A$2:$A$1801,0)),"")</f>
        <v/>
      </c>
      <c r="M4367" s="26">
        <f>IFERROR(INDEX(Pedidos!$G$2:$G$1801,MATCH(B4367,Pedidos!$A$2:$A$1801,0)),0)</f>
        <v/>
      </c>
      <c r="N4367" s="25">
        <f>IFERROR(INDEX(Produtos!$B$2:$B$71,MATCH(C4367,Produtos!$A$2:$A$71,0)),"")</f>
        <v/>
      </c>
      <c r="O4367" s="25">
        <f>IFERROR(INDEX(Produtos!$C$2:$C$71,MATCH(C4367,Produtos!$A$2:$A$71,0)),"")</f>
        <v/>
      </c>
      <c r="P4367" s="25">
        <f>IFERROR(INDEX(Produtos!$D$2:$D$71,MATCH(C4367,Produtos!$A$2:$A$71,0)),0)</f>
        <v/>
      </c>
      <c r="Q4367" s="25">
        <f>IFERROR(INDEX(Produtos!$E$2:$E$71,MATCH(C4367,Produtos!$A$2:$A$71,0)),0)</f>
        <v/>
      </c>
      <c r="R4367" s="27">
        <f>D4367*Q4367</f>
        <v/>
      </c>
      <c r="S4367" s="27">
        <f>R4367*E4367</f>
        <v/>
      </c>
      <c r="T4367" s="27">
        <f>(R4367-S4367)*M4367</f>
        <v/>
      </c>
      <c r="U4367" s="27">
        <f>R4367-S4367-T4367</f>
        <v/>
      </c>
      <c r="V4367" s="27">
        <f>D4367*P4367</f>
        <v/>
      </c>
      <c r="W4367" s="27">
        <f>U4367-V4367</f>
        <v/>
      </c>
      <c r="X4367" s="28">
        <f>IFERROR(W4367/U4367,0)</f>
        <v/>
      </c>
    </row>
    <row r="4368">
      <c r="A4368" s="21">
        <f>ItensPedido!A4368</f>
        <v/>
      </c>
      <c r="B4368" s="21">
        <f>ItensPedido!B4368</f>
        <v/>
      </c>
      <c r="C4368" s="21">
        <f>ItensPedido!C4368</f>
        <v/>
      </c>
      <c r="D4368" s="21">
        <f>ItensPedido!D4368</f>
        <v/>
      </c>
      <c r="E4368" s="22">
        <f>ItensPedido!E4368</f>
        <v/>
      </c>
      <c r="F4368" s="21">
        <f>IFERROR(INDEX(Pedidos!$B$2:$B$1801,MATCH(B4368,Pedidos!$A$2:$A$1801,0)),0)</f>
        <v/>
      </c>
      <c r="G4368" s="21">
        <f>IF(F4368=0,"",YEAR(F4368))</f>
        <v/>
      </c>
      <c r="H4368" s="21">
        <f>IF(F4368=0,"",MONTH(F4368))</f>
        <v/>
      </c>
      <c r="I4368" s="21">
        <f>IFERROR(INDEX(Pedidos!$E$2:$E$1801,MATCH(B4368,Pedidos!$A$2:$A$1801,0)),"")</f>
        <v/>
      </c>
      <c r="J4368" s="21">
        <f>IFERROR(INDEX(Pedidos!$C$2:$C$1801,MATCH(B4368,Pedidos!$A$2:$A$1801,0)),"")</f>
        <v/>
      </c>
      <c r="K4368" s="21">
        <f>IFERROR(INDEX(Pedidos!$D$2:$D$1801,MATCH(B4368,Pedidos!$A$2:$A$1801,0)),"")</f>
        <v/>
      </c>
      <c r="L4368" s="21">
        <f>IFERROR(INDEX(Pedidos!$F$2:$F$1801,MATCH(B4368,Pedidos!$A$2:$A$1801,0)),"")</f>
        <v/>
      </c>
      <c r="M4368" s="22">
        <f>IFERROR(INDEX(Pedidos!$G$2:$G$1801,MATCH(B4368,Pedidos!$A$2:$A$1801,0)),0)</f>
        <v/>
      </c>
      <c r="N4368" s="21">
        <f>IFERROR(INDEX(Produtos!$B$2:$B$71,MATCH(C4368,Produtos!$A$2:$A$71,0)),"")</f>
        <v/>
      </c>
      <c r="O4368" s="21">
        <f>IFERROR(INDEX(Produtos!$C$2:$C$71,MATCH(C4368,Produtos!$A$2:$A$71,0)),"")</f>
        <v/>
      </c>
      <c r="P4368" s="21">
        <f>IFERROR(INDEX(Produtos!$D$2:$D$71,MATCH(C4368,Produtos!$A$2:$A$71,0)),0)</f>
        <v/>
      </c>
      <c r="Q4368" s="21">
        <f>IFERROR(INDEX(Produtos!$E$2:$E$71,MATCH(C4368,Produtos!$A$2:$A$71,0)),0)</f>
        <v/>
      </c>
      <c r="R4368" s="23">
        <f>D4368*Q4368</f>
        <v/>
      </c>
      <c r="S4368" s="23">
        <f>R4368*E4368</f>
        <v/>
      </c>
      <c r="T4368" s="23">
        <f>(R4368-S4368)*M4368</f>
        <v/>
      </c>
      <c r="U4368" s="23">
        <f>R4368-S4368-T4368</f>
        <v/>
      </c>
      <c r="V4368" s="23">
        <f>D4368*P4368</f>
        <v/>
      </c>
      <c r="W4368" s="23">
        <f>U4368-V4368</f>
        <v/>
      </c>
      <c r="X4368" s="24">
        <f>IFERROR(W4368/U4368,0)</f>
        <v/>
      </c>
    </row>
    <row r="4369">
      <c r="A4369" s="25">
        <f>ItensPedido!A4369</f>
        <v/>
      </c>
      <c r="B4369" s="25">
        <f>ItensPedido!B4369</f>
        <v/>
      </c>
      <c r="C4369" s="25">
        <f>ItensPedido!C4369</f>
        <v/>
      </c>
      <c r="D4369" s="25">
        <f>ItensPedido!D4369</f>
        <v/>
      </c>
      <c r="E4369" s="26">
        <f>ItensPedido!E4369</f>
        <v/>
      </c>
      <c r="F4369" s="25">
        <f>IFERROR(INDEX(Pedidos!$B$2:$B$1801,MATCH(B4369,Pedidos!$A$2:$A$1801,0)),0)</f>
        <v/>
      </c>
      <c r="G4369" s="25">
        <f>IF(F4369=0,"",YEAR(F4369))</f>
        <v/>
      </c>
      <c r="H4369" s="25">
        <f>IF(F4369=0,"",MONTH(F4369))</f>
        <v/>
      </c>
      <c r="I4369" s="25">
        <f>IFERROR(INDEX(Pedidos!$E$2:$E$1801,MATCH(B4369,Pedidos!$A$2:$A$1801,0)),"")</f>
        <v/>
      </c>
      <c r="J4369" s="25">
        <f>IFERROR(INDEX(Pedidos!$C$2:$C$1801,MATCH(B4369,Pedidos!$A$2:$A$1801,0)),"")</f>
        <v/>
      </c>
      <c r="K4369" s="25">
        <f>IFERROR(INDEX(Pedidos!$D$2:$D$1801,MATCH(B4369,Pedidos!$A$2:$A$1801,0)),"")</f>
        <v/>
      </c>
      <c r="L4369" s="25">
        <f>IFERROR(INDEX(Pedidos!$F$2:$F$1801,MATCH(B4369,Pedidos!$A$2:$A$1801,0)),"")</f>
        <v/>
      </c>
      <c r="M4369" s="26">
        <f>IFERROR(INDEX(Pedidos!$G$2:$G$1801,MATCH(B4369,Pedidos!$A$2:$A$1801,0)),0)</f>
        <v/>
      </c>
      <c r="N4369" s="25">
        <f>IFERROR(INDEX(Produtos!$B$2:$B$71,MATCH(C4369,Produtos!$A$2:$A$71,0)),"")</f>
        <v/>
      </c>
      <c r="O4369" s="25">
        <f>IFERROR(INDEX(Produtos!$C$2:$C$71,MATCH(C4369,Produtos!$A$2:$A$71,0)),"")</f>
        <v/>
      </c>
      <c r="P4369" s="25">
        <f>IFERROR(INDEX(Produtos!$D$2:$D$71,MATCH(C4369,Produtos!$A$2:$A$71,0)),0)</f>
        <v/>
      </c>
      <c r="Q4369" s="25">
        <f>IFERROR(INDEX(Produtos!$E$2:$E$71,MATCH(C4369,Produtos!$A$2:$A$71,0)),0)</f>
        <v/>
      </c>
      <c r="R4369" s="27">
        <f>D4369*Q4369</f>
        <v/>
      </c>
      <c r="S4369" s="27">
        <f>R4369*E4369</f>
        <v/>
      </c>
      <c r="T4369" s="27">
        <f>(R4369-S4369)*M4369</f>
        <v/>
      </c>
      <c r="U4369" s="27">
        <f>R4369-S4369-T4369</f>
        <v/>
      </c>
      <c r="V4369" s="27">
        <f>D4369*P4369</f>
        <v/>
      </c>
      <c r="W4369" s="27">
        <f>U4369-V4369</f>
        <v/>
      </c>
      <c r="X4369" s="28">
        <f>IFERROR(W4369/U4369,0)</f>
        <v/>
      </c>
    </row>
    <row r="4370">
      <c r="A4370" s="21">
        <f>ItensPedido!A4370</f>
        <v/>
      </c>
      <c r="B4370" s="21">
        <f>ItensPedido!B4370</f>
        <v/>
      </c>
      <c r="C4370" s="21">
        <f>ItensPedido!C4370</f>
        <v/>
      </c>
      <c r="D4370" s="21">
        <f>ItensPedido!D4370</f>
        <v/>
      </c>
      <c r="E4370" s="22">
        <f>ItensPedido!E4370</f>
        <v/>
      </c>
      <c r="F4370" s="21">
        <f>IFERROR(INDEX(Pedidos!$B$2:$B$1801,MATCH(B4370,Pedidos!$A$2:$A$1801,0)),0)</f>
        <v/>
      </c>
      <c r="G4370" s="21">
        <f>IF(F4370=0,"",YEAR(F4370))</f>
        <v/>
      </c>
      <c r="H4370" s="21">
        <f>IF(F4370=0,"",MONTH(F4370))</f>
        <v/>
      </c>
      <c r="I4370" s="21">
        <f>IFERROR(INDEX(Pedidos!$E$2:$E$1801,MATCH(B4370,Pedidos!$A$2:$A$1801,0)),"")</f>
        <v/>
      </c>
      <c r="J4370" s="21">
        <f>IFERROR(INDEX(Pedidos!$C$2:$C$1801,MATCH(B4370,Pedidos!$A$2:$A$1801,0)),"")</f>
        <v/>
      </c>
      <c r="K4370" s="21">
        <f>IFERROR(INDEX(Pedidos!$D$2:$D$1801,MATCH(B4370,Pedidos!$A$2:$A$1801,0)),"")</f>
        <v/>
      </c>
      <c r="L4370" s="21">
        <f>IFERROR(INDEX(Pedidos!$F$2:$F$1801,MATCH(B4370,Pedidos!$A$2:$A$1801,0)),"")</f>
        <v/>
      </c>
      <c r="M4370" s="22">
        <f>IFERROR(INDEX(Pedidos!$G$2:$G$1801,MATCH(B4370,Pedidos!$A$2:$A$1801,0)),0)</f>
        <v/>
      </c>
      <c r="N4370" s="21">
        <f>IFERROR(INDEX(Produtos!$B$2:$B$71,MATCH(C4370,Produtos!$A$2:$A$71,0)),"")</f>
        <v/>
      </c>
      <c r="O4370" s="21">
        <f>IFERROR(INDEX(Produtos!$C$2:$C$71,MATCH(C4370,Produtos!$A$2:$A$71,0)),"")</f>
        <v/>
      </c>
      <c r="P4370" s="21">
        <f>IFERROR(INDEX(Produtos!$D$2:$D$71,MATCH(C4370,Produtos!$A$2:$A$71,0)),0)</f>
        <v/>
      </c>
      <c r="Q4370" s="21">
        <f>IFERROR(INDEX(Produtos!$E$2:$E$71,MATCH(C4370,Produtos!$A$2:$A$71,0)),0)</f>
        <v/>
      </c>
      <c r="R4370" s="23">
        <f>D4370*Q4370</f>
        <v/>
      </c>
      <c r="S4370" s="23">
        <f>R4370*E4370</f>
        <v/>
      </c>
      <c r="T4370" s="23">
        <f>(R4370-S4370)*M4370</f>
        <v/>
      </c>
      <c r="U4370" s="23">
        <f>R4370-S4370-T4370</f>
        <v/>
      </c>
      <c r="V4370" s="23">
        <f>D4370*P4370</f>
        <v/>
      </c>
      <c r="W4370" s="23">
        <f>U4370-V4370</f>
        <v/>
      </c>
      <c r="X4370" s="24">
        <f>IFERROR(W4370/U4370,0)</f>
        <v/>
      </c>
    </row>
    <row r="4371">
      <c r="A4371" s="25">
        <f>ItensPedido!A4371</f>
        <v/>
      </c>
      <c r="B4371" s="25">
        <f>ItensPedido!B4371</f>
        <v/>
      </c>
      <c r="C4371" s="25">
        <f>ItensPedido!C4371</f>
        <v/>
      </c>
      <c r="D4371" s="25">
        <f>ItensPedido!D4371</f>
        <v/>
      </c>
      <c r="E4371" s="26">
        <f>ItensPedido!E4371</f>
        <v/>
      </c>
      <c r="F4371" s="25">
        <f>IFERROR(INDEX(Pedidos!$B$2:$B$1801,MATCH(B4371,Pedidos!$A$2:$A$1801,0)),0)</f>
        <v/>
      </c>
      <c r="G4371" s="25">
        <f>IF(F4371=0,"",YEAR(F4371))</f>
        <v/>
      </c>
      <c r="H4371" s="25">
        <f>IF(F4371=0,"",MONTH(F4371))</f>
        <v/>
      </c>
      <c r="I4371" s="25">
        <f>IFERROR(INDEX(Pedidos!$E$2:$E$1801,MATCH(B4371,Pedidos!$A$2:$A$1801,0)),"")</f>
        <v/>
      </c>
      <c r="J4371" s="25">
        <f>IFERROR(INDEX(Pedidos!$C$2:$C$1801,MATCH(B4371,Pedidos!$A$2:$A$1801,0)),"")</f>
        <v/>
      </c>
      <c r="K4371" s="25">
        <f>IFERROR(INDEX(Pedidos!$D$2:$D$1801,MATCH(B4371,Pedidos!$A$2:$A$1801,0)),"")</f>
        <v/>
      </c>
      <c r="L4371" s="25">
        <f>IFERROR(INDEX(Pedidos!$F$2:$F$1801,MATCH(B4371,Pedidos!$A$2:$A$1801,0)),"")</f>
        <v/>
      </c>
      <c r="M4371" s="26">
        <f>IFERROR(INDEX(Pedidos!$G$2:$G$1801,MATCH(B4371,Pedidos!$A$2:$A$1801,0)),0)</f>
        <v/>
      </c>
      <c r="N4371" s="25">
        <f>IFERROR(INDEX(Produtos!$B$2:$B$71,MATCH(C4371,Produtos!$A$2:$A$71,0)),"")</f>
        <v/>
      </c>
      <c r="O4371" s="25">
        <f>IFERROR(INDEX(Produtos!$C$2:$C$71,MATCH(C4371,Produtos!$A$2:$A$71,0)),"")</f>
        <v/>
      </c>
      <c r="P4371" s="25">
        <f>IFERROR(INDEX(Produtos!$D$2:$D$71,MATCH(C4371,Produtos!$A$2:$A$71,0)),0)</f>
        <v/>
      </c>
      <c r="Q4371" s="25">
        <f>IFERROR(INDEX(Produtos!$E$2:$E$71,MATCH(C4371,Produtos!$A$2:$A$71,0)),0)</f>
        <v/>
      </c>
      <c r="R4371" s="27">
        <f>D4371*Q4371</f>
        <v/>
      </c>
      <c r="S4371" s="27">
        <f>R4371*E4371</f>
        <v/>
      </c>
      <c r="T4371" s="27">
        <f>(R4371-S4371)*M4371</f>
        <v/>
      </c>
      <c r="U4371" s="27">
        <f>R4371-S4371-T4371</f>
        <v/>
      </c>
      <c r="V4371" s="27">
        <f>D4371*P4371</f>
        <v/>
      </c>
      <c r="W4371" s="27">
        <f>U4371-V4371</f>
        <v/>
      </c>
      <c r="X4371" s="28">
        <f>IFERROR(W4371/U4371,0)</f>
        <v/>
      </c>
    </row>
    <row r="4372">
      <c r="A4372" s="21">
        <f>ItensPedido!A4372</f>
        <v/>
      </c>
      <c r="B4372" s="21">
        <f>ItensPedido!B4372</f>
        <v/>
      </c>
      <c r="C4372" s="21">
        <f>ItensPedido!C4372</f>
        <v/>
      </c>
      <c r="D4372" s="21">
        <f>ItensPedido!D4372</f>
        <v/>
      </c>
      <c r="E4372" s="22">
        <f>ItensPedido!E4372</f>
        <v/>
      </c>
      <c r="F4372" s="21">
        <f>IFERROR(INDEX(Pedidos!$B$2:$B$1801,MATCH(B4372,Pedidos!$A$2:$A$1801,0)),0)</f>
        <v/>
      </c>
      <c r="G4372" s="21">
        <f>IF(F4372=0,"",YEAR(F4372))</f>
        <v/>
      </c>
      <c r="H4372" s="21">
        <f>IF(F4372=0,"",MONTH(F4372))</f>
        <v/>
      </c>
      <c r="I4372" s="21">
        <f>IFERROR(INDEX(Pedidos!$E$2:$E$1801,MATCH(B4372,Pedidos!$A$2:$A$1801,0)),"")</f>
        <v/>
      </c>
      <c r="J4372" s="21">
        <f>IFERROR(INDEX(Pedidos!$C$2:$C$1801,MATCH(B4372,Pedidos!$A$2:$A$1801,0)),"")</f>
        <v/>
      </c>
      <c r="K4372" s="21">
        <f>IFERROR(INDEX(Pedidos!$D$2:$D$1801,MATCH(B4372,Pedidos!$A$2:$A$1801,0)),"")</f>
        <v/>
      </c>
      <c r="L4372" s="21">
        <f>IFERROR(INDEX(Pedidos!$F$2:$F$1801,MATCH(B4372,Pedidos!$A$2:$A$1801,0)),"")</f>
        <v/>
      </c>
      <c r="M4372" s="22">
        <f>IFERROR(INDEX(Pedidos!$G$2:$G$1801,MATCH(B4372,Pedidos!$A$2:$A$1801,0)),0)</f>
        <v/>
      </c>
      <c r="N4372" s="21">
        <f>IFERROR(INDEX(Produtos!$B$2:$B$71,MATCH(C4372,Produtos!$A$2:$A$71,0)),"")</f>
        <v/>
      </c>
      <c r="O4372" s="21">
        <f>IFERROR(INDEX(Produtos!$C$2:$C$71,MATCH(C4372,Produtos!$A$2:$A$71,0)),"")</f>
        <v/>
      </c>
      <c r="P4372" s="21">
        <f>IFERROR(INDEX(Produtos!$D$2:$D$71,MATCH(C4372,Produtos!$A$2:$A$71,0)),0)</f>
        <v/>
      </c>
      <c r="Q4372" s="21">
        <f>IFERROR(INDEX(Produtos!$E$2:$E$71,MATCH(C4372,Produtos!$A$2:$A$71,0)),0)</f>
        <v/>
      </c>
      <c r="R4372" s="23">
        <f>D4372*Q4372</f>
        <v/>
      </c>
      <c r="S4372" s="23">
        <f>R4372*E4372</f>
        <v/>
      </c>
      <c r="T4372" s="23">
        <f>(R4372-S4372)*M4372</f>
        <v/>
      </c>
      <c r="U4372" s="23">
        <f>R4372-S4372-T4372</f>
        <v/>
      </c>
      <c r="V4372" s="23">
        <f>D4372*P4372</f>
        <v/>
      </c>
      <c r="W4372" s="23">
        <f>U4372-V4372</f>
        <v/>
      </c>
      <c r="X4372" s="24">
        <f>IFERROR(W4372/U4372,0)</f>
        <v/>
      </c>
    </row>
    <row r="4373">
      <c r="A4373" s="25">
        <f>ItensPedido!A4373</f>
        <v/>
      </c>
      <c r="B4373" s="25">
        <f>ItensPedido!B4373</f>
        <v/>
      </c>
      <c r="C4373" s="25">
        <f>ItensPedido!C4373</f>
        <v/>
      </c>
      <c r="D4373" s="25">
        <f>ItensPedido!D4373</f>
        <v/>
      </c>
      <c r="E4373" s="26">
        <f>ItensPedido!E4373</f>
        <v/>
      </c>
      <c r="F4373" s="25">
        <f>IFERROR(INDEX(Pedidos!$B$2:$B$1801,MATCH(B4373,Pedidos!$A$2:$A$1801,0)),0)</f>
        <v/>
      </c>
      <c r="G4373" s="25">
        <f>IF(F4373=0,"",YEAR(F4373))</f>
        <v/>
      </c>
      <c r="H4373" s="25">
        <f>IF(F4373=0,"",MONTH(F4373))</f>
        <v/>
      </c>
      <c r="I4373" s="25">
        <f>IFERROR(INDEX(Pedidos!$E$2:$E$1801,MATCH(B4373,Pedidos!$A$2:$A$1801,0)),"")</f>
        <v/>
      </c>
      <c r="J4373" s="25">
        <f>IFERROR(INDEX(Pedidos!$C$2:$C$1801,MATCH(B4373,Pedidos!$A$2:$A$1801,0)),"")</f>
        <v/>
      </c>
      <c r="K4373" s="25">
        <f>IFERROR(INDEX(Pedidos!$D$2:$D$1801,MATCH(B4373,Pedidos!$A$2:$A$1801,0)),"")</f>
        <v/>
      </c>
      <c r="L4373" s="25">
        <f>IFERROR(INDEX(Pedidos!$F$2:$F$1801,MATCH(B4373,Pedidos!$A$2:$A$1801,0)),"")</f>
        <v/>
      </c>
      <c r="M4373" s="26">
        <f>IFERROR(INDEX(Pedidos!$G$2:$G$1801,MATCH(B4373,Pedidos!$A$2:$A$1801,0)),0)</f>
        <v/>
      </c>
      <c r="N4373" s="25">
        <f>IFERROR(INDEX(Produtos!$B$2:$B$71,MATCH(C4373,Produtos!$A$2:$A$71,0)),"")</f>
        <v/>
      </c>
      <c r="O4373" s="25">
        <f>IFERROR(INDEX(Produtos!$C$2:$C$71,MATCH(C4373,Produtos!$A$2:$A$71,0)),"")</f>
        <v/>
      </c>
      <c r="P4373" s="25">
        <f>IFERROR(INDEX(Produtos!$D$2:$D$71,MATCH(C4373,Produtos!$A$2:$A$71,0)),0)</f>
        <v/>
      </c>
      <c r="Q4373" s="25">
        <f>IFERROR(INDEX(Produtos!$E$2:$E$71,MATCH(C4373,Produtos!$A$2:$A$71,0)),0)</f>
        <v/>
      </c>
      <c r="R4373" s="27">
        <f>D4373*Q4373</f>
        <v/>
      </c>
      <c r="S4373" s="27">
        <f>R4373*E4373</f>
        <v/>
      </c>
      <c r="T4373" s="27">
        <f>(R4373-S4373)*M4373</f>
        <v/>
      </c>
      <c r="U4373" s="27">
        <f>R4373-S4373-T4373</f>
        <v/>
      </c>
      <c r="V4373" s="27">
        <f>D4373*P4373</f>
        <v/>
      </c>
      <c r="W4373" s="27">
        <f>U4373-V4373</f>
        <v/>
      </c>
      <c r="X4373" s="28">
        <f>IFERROR(W4373/U4373,0)</f>
        <v/>
      </c>
    </row>
    <row r="4374">
      <c r="A4374" s="21">
        <f>ItensPedido!A4374</f>
        <v/>
      </c>
      <c r="B4374" s="21">
        <f>ItensPedido!B4374</f>
        <v/>
      </c>
      <c r="C4374" s="21">
        <f>ItensPedido!C4374</f>
        <v/>
      </c>
      <c r="D4374" s="21">
        <f>ItensPedido!D4374</f>
        <v/>
      </c>
      <c r="E4374" s="22">
        <f>ItensPedido!E4374</f>
        <v/>
      </c>
      <c r="F4374" s="21">
        <f>IFERROR(INDEX(Pedidos!$B$2:$B$1801,MATCH(B4374,Pedidos!$A$2:$A$1801,0)),0)</f>
        <v/>
      </c>
      <c r="G4374" s="21">
        <f>IF(F4374=0,"",YEAR(F4374))</f>
        <v/>
      </c>
      <c r="H4374" s="21">
        <f>IF(F4374=0,"",MONTH(F4374))</f>
        <v/>
      </c>
      <c r="I4374" s="21">
        <f>IFERROR(INDEX(Pedidos!$E$2:$E$1801,MATCH(B4374,Pedidos!$A$2:$A$1801,0)),"")</f>
        <v/>
      </c>
      <c r="J4374" s="21">
        <f>IFERROR(INDEX(Pedidos!$C$2:$C$1801,MATCH(B4374,Pedidos!$A$2:$A$1801,0)),"")</f>
        <v/>
      </c>
      <c r="K4374" s="21">
        <f>IFERROR(INDEX(Pedidos!$D$2:$D$1801,MATCH(B4374,Pedidos!$A$2:$A$1801,0)),"")</f>
        <v/>
      </c>
      <c r="L4374" s="21">
        <f>IFERROR(INDEX(Pedidos!$F$2:$F$1801,MATCH(B4374,Pedidos!$A$2:$A$1801,0)),"")</f>
        <v/>
      </c>
      <c r="M4374" s="22">
        <f>IFERROR(INDEX(Pedidos!$G$2:$G$1801,MATCH(B4374,Pedidos!$A$2:$A$1801,0)),0)</f>
        <v/>
      </c>
      <c r="N4374" s="21">
        <f>IFERROR(INDEX(Produtos!$B$2:$B$71,MATCH(C4374,Produtos!$A$2:$A$71,0)),"")</f>
        <v/>
      </c>
      <c r="O4374" s="21">
        <f>IFERROR(INDEX(Produtos!$C$2:$C$71,MATCH(C4374,Produtos!$A$2:$A$71,0)),"")</f>
        <v/>
      </c>
      <c r="P4374" s="21">
        <f>IFERROR(INDEX(Produtos!$D$2:$D$71,MATCH(C4374,Produtos!$A$2:$A$71,0)),0)</f>
        <v/>
      </c>
      <c r="Q4374" s="21">
        <f>IFERROR(INDEX(Produtos!$E$2:$E$71,MATCH(C4374,Produtos!$A$2:$A$71,0)),0)</f>
        <v/>
      </c>
      <c r="R4374" s="23">
        <f>D4374*Q4374</f>
        <v/>
      </c>
      <c r="S4374" s="23">
        <f>R4374*E4374</f>
        <v/>
      </c>
      <c r="T4374" s="23">
        <f>(R4374-S4374)*M4374</f>
        <v/>
      </c>
      <c r="U4374" s="23">
        <f>R4374-S4374-T4374</f>
        <v/>
      </c>
      <c r="V4374" s="23">
        <f>D4374*P4374</f>
        <v/>
      </c>
      <c r="W4374" s="23">
        <f>U4374-V4374</f>
        <v/>
      </c>
      <c r="X4374" s="24">
        <f>IFERROR(W4374/U4374,0)</f>
        <v/>
      </c>
    </row>
    <row r="4375">
      <c r="A4375" s="25">
        <f>ItensPedido!A4375</f>
        <v/>
      </c>
      <c r="B4375" s="25">
        <f>ItensPedido!B4375</f>
        <v/>
      </c>
      <c r="C4375" s="25">
        <f>ItensPedido!C4375</f>
        <v/>
      </c>
      <c r="D4375" s="25">
        <f>ItensPedido!D4375</f>
        <v/>
      </c>
      <c r="E4375" s="26">
        <f>ItensPedido!E4375</f>
        <v/>
      </c>
      <c r="F4375" s="25">
        <f>IFERROR(INDEX(Pedidos!$B$2:$B$1801,MATCH(B4375,Pedidos!$A$2:$A$1801,0)),0)</f>
        <v/>
      </c>
      <c r="G4375" s="25">
        <f>IF(F4375=0,"",YEAR(F4375))</f>
        <v/>
      </c>
      <c r="H4375" s="25">
        <f>IF(F4375=0,"",MONTH(F4375))</f>
        <v/>
      </c>
      <c r="I4375" s="25">
        <f>IFERROR(INDEX(Pedidos!$E$2:$E$1801,MATCH(B4375,Pedidos!$A$2:$A$1801,0)),"")</f>
        <v/>
      </c>
      <c r="J4375" s="25">
        <f>IFERROR(INDEX(Pedidos!$C$2:$C$1801,MATCH(B4375,Pedidos!$A$2:$A$1801,0)),"")</f>
        <v/>
      </c>
      <c r="K4375" s="25">
        <f>IFERROR(INDEX(Pedidos!$D$2:$D$1801,MATCH(B4375,Pedidos!$A$2:$A$1801,0)),"")</f>
        <v/>
      </c>
      <c r="L4375" s="25">
        <f>IFERROR(INDEX(Pedidos!$F$2:$F$1801,MATCH(B4375,Pedidos!$A$2:$A$1801,0)),"")</f>
        <v/>
      </c>
      <c r="M4375" s="26">
        <f>IFERROR(INDEX(Pedidos!$G$2:$G$1801,MATCH(B4375,Pedidos!$A$2:$A$1801,0)),0)</f>
        <v/>
      </c>
      <c r="N4375" s="25">
        <f>IFERROR(INDEX(Produtos!$B$2:$B$71,MATCH(C4375,Produtos!$A$2:$A$71,0)),"")</f>
        <v/>
      </c>
      <c r="O4375" s="25">
        <f>IFERROR(INDEX(Produtos!$C$2:$C$71,MATCH(C4375,Produtos!$A$2:$A$71,0)),"")</f>
        <v/>
      </c>
      <c r="P4375" s="25">
        <f>IFERROR(INDEX(Produtos!$D$2:$D$71,MATCH(C4375,Produtos!$A$2:$A$71,0)),0)</f>
        <v/>
      </c>
      <c r="Q4375" s="25">
        <f>IFERROR(INDEX(Produtos!$E$2:$E$71,MATCH(C4375,Produtos!$A$2:$A$71,0)),0)</f>
        <v/>
      </c>
      <c r="R4375" s="27">
        <f>D4375*Q4375</f>
        <v/>
      </c>
      <c r="S4375" s="27">
        <f>R4375*E4375</f>
        <v/>
      </c>
      <c r="T4375" s="27">
        <f>(R4375-S4375)*M4375</f>
        <v/>
      </c>
      <c r="U4375" s="27">
        <f>R4375-S4375-T4375</f>
        <v/>
      </c>
      <c r="V4375" s="27">
        <f>D4375*P4375</f>
        <v/>
      </c>
      <c r="W4375" s="27">
        <f>U4375-V4375</f>
        <v/>
      </c>
      <c r="X4375" s="28">
        <f>IFERROR(W4375/U4375,0)</f>
        <v/>
      </c>
    </row>
    <row r="4376">
      <c r="A4376" s="21">
        <f>ItensPedido!A4376</f>
        <v/>
      </c>
      <c r="B4376" s="21">
        <f>ItensPedido!B4376</f>
        <v/>
      </c>
      <c r="C4376" s="21">
        <f>ItensPedido!C4376</f>
        <v/>
      </c>
      <c r="D4376" s="21">
        <f>ItensPedido!D4376</f>
        <v/>
      </c>
      <c r="E4376" s="22">
        <f>ItensPedido!E4376</f>
        <v/>
      </c>
      <c r="F4376" s="21">
        <f>IFERROR(INDEX(Pedidos!$B$2:$B$1801,MATCH(B4376,Pedidos!$A$2:$A$1801,0)),0)</f>
        <v/>
      </c>
      <c r="G4376" s="21">
        <f>IF(F4376=0,"",YEAR(F4376))</f>
        <v/>
      </c>
      <c r="H4376" s="21">
        <f>IF(F4376=0,"",MONTH(F4376))</f>
        <v/>
      </c>
      <c r="I4376" s="21">
        <f>IFERROR(INDEX(Pedidos!$E$2:$E$1801,MATCH(B4376,Pedidos!$A$2:$A$1801,0)),"")</f>
        <v/>
      </c>
      <c r="J4376" s="21">
        <f>IFERROR(INDEX(Pedidos!$C$2:$C$1801,MATCH(B4376,Pedidos!$A$2:$A$1801,0)),"")</f>
        <v/>
      </c>
      <c r="K4376" s="21">
        <f>IFERROR(INDEX(Pedidos!$D$2:$D$1801,MATCH(B4376,Pedidos!$A$2:$A$1801,0)),"")</f>
        <v/>
      </c>
      <c r="L4376" s="21">
        <f>IFERROR(INDEX(Pedidos!$F$2:$F$1801,MATCH(B4376,Pedidos!$A$2:$A$1801,0)),"")</f>
        <v/>
      </c>
      <c r="M4376" s="22">
        <f>IFERROR(INDEX(Pedidos!$G$2:$G$1801,MATCH(B4376,Pedidos!$A$2:$A$1801,0)),0)</f>
        <v/>
      </c>
      <c r="N4376" s="21">
        <f>IFERROR(INDEX(Produtos!$B$2:$B$71,MATCH(C4376,Produtos!$A$2:$A$71,0)),"")</f>
        <v/>
      </c>
      <c r="O4376" s="21">
        <f>IFERROR(INDEX(Produtos!$C$2:$C$71,MATCH(C4376,Produtos!$A$2:$A$71,0)),"")</f>
        <v/>
      </c>
      <c r="P4376" s="21">
        <f>IFERROR(INDEX(Produtos!$D$2:$D$71,MATCH(C4376,Produtos!$A$2:$A$71,0)),0)</f>
        <v/>
      </c>
      <c r="Q4376" s="21">
        <f>IFERROR(INDEX(Produtos!$E$2:$E$71,MATCH(C4376,Produtos!$A$2:$A$71,0)),0)</f>
        <v/>
      </c>
      <c r="R4376" s="23">
        <f>D4376*Q4376</f>
        <v/>
      </c>
      <c r="S4376" s="23">
        <f>R4376*E4376</f>
        <v/>
      </c>
      <c r="T4376" s="23">
        <f>(R4376-S4376)*M4376</f>
        <v/>
      </c>
      <c r="U4376" s="23">
        <f>R4376-S4376-T4376</f>
        <v/>
      </c>
      <c r="V4376" s="23">
        <f>D4376*P4376</f>
        <v/>
      </c>
      <c r="W4376" s="23">
        <f>U4376-V4376</f>
        <v/>
      </c>
      <c r="X4376" s="24">
        <f>IFERROR(W4376/U4376,0)</f>
        <v/>
      </c>
    </row>
    <row r="4377">
      <c r="A4377" s="25">
        <f>ItensPedido!A4377</f>
        <v/>
      </c>
      <c r="B4377" s="25">
        <f>ItensPedido!B4377</f>
        <v/>
      </c>
      <c r="C4377" s="25">
        <f>ItensPedido!C4377</f>
        <v/>
      </c>
      <c r="D4377" s="25">
        <f>ItensPedido!D4377</f>
        <v/>
      </c>
      <c r="E4377" s="26">
        <f>ItensPedido!E4377</f>
        <v/>
      </c>
      <c r="F4377" s="25">
        <f>IFERROR(INDEX(Pedidos!$B$2:$B$1801,MATCH(B4377,Pedidos!$A$2:$A$1801,0)),0)</f>
        <v/>
      </c>
      <c r="G4377" s="25">
        <f>IF(F4377=0,"",YEAR(F4377))</f>
        <v/>
      </c>
      <c r="H4377" s="25">
        <f>IF(F4377=0,"",MONTH(F4377))</f>
        <v/>
      </c>
      <c r="I4377" s="25">
        <f>IFERROR(INDEX(Pedidos!$E$2:$E$1801,MATCH(B4377,Pedidos!$A$2:$A$1801,0)),"")</f>
        <v/>
      </c>
      <c r="J4377" s="25">
        <f>IFERROR(INDEX(Pedidos!$C$2:$C$1801,MATCH(B4377,Pedidos!$A$2:$A$1801,0)),"")</f>
        <v/>
      </c>
      <c r="K4377" s="25">
        <f>IFERROR(INDEX(Pedidos!$D$2:$D$1801,MATCH(B4377,Pedidos!$A$2:$A$1801,0)),"")</f>
        <v/>
      </c>
      <c r="L4377" s="25">
        <f>IFERROR(INDEX(Pedidos!$F$2:$F$1801,MATCH(B4377,Pedidos!$A$2:$A$1801,0)),"")</f>
        <v/>
      </c>
      <c r="M4377" s="26">
        <f>IFERROR(INDEX(Pedidos!$G$2:$G$1801,MATCH(B4377,Pedidos!$A$2:$A$1801,0)),0)</f>
        <v/>
      </c>
      <c r="N4377" s="25">
        <f>IFERROR(INDEX(Produtos!$B$2:$B$71,MATCH(C4377,Produtos!$A$2:$A$71,0)),"")</f>
        <v/>
      </c>
      <c r="O4377" s="25">
        <f>IFERROR(INDEX(Produtos!$C$2:$C$71,MATCH(C4377,Produtos!$A$2:$A$71,0)),"")</f>
        <v/>
      </c>
      <c r="P4377" s="25">
        <f>IFERROR(INDEX(Produtos!$D$2:$D$71,MATCH(C4377,Produtos!$A$2:$A$71,0)),0)</f>
        <v/>
      </c>
      <c r="Q4377" s="25">
        <f>IFERROR(INDEX(Produtos!$E$2:$E$71,MATCH(C4377,Produtos!$A$2:$A$71,0)),0)</f>
        <v/>
      </c>
      <c r="R4377" s="27">
        <f>D4377*Q4377</f>
        <v/>
      </c>
      <c r="S4377" s="27">
        <f>R4377*E4377</f>
        <v/>
      </c>
      <c r="T4377" s="27">
        <f>(R4377-S4377)*M4377</f>
        <v/>
      </c>
      <c r="U4377" s="27">
        <f>R4377-S4377-T4377</f>
        <v/>
      </c>
      <c r="V4377" s="27">
        <f>D4377*P4377</f>
        <v/>
      </c>
      <c r="W4377" s="27">
        <f>U4377-V4377</f>
        <v/>
      </c>
      <c r="X4377" s="28">
        <f>IFERROR(W4377/U4377,0)</f>
        <v/>
      </c>
    </row>
    <row r="4378">
      <c r="A4378" s="21">
        <f>ItensPedido!A4378</f>
        <v/>
      </c>
      <c r="B4378" s="21">
        <f>ItensPedido!B4378</f>
        <v/>
      </c>
      <c r="C4378" s="21">
        <f>ItensPedido!C4378</f>
        <v/>
      </c>
      <c r="D4378" s="21">
        <f>ItensPedido!D4378</f>
        <v/>
      </c>
      <c r="E4378" s="22">
        <f>ItensPedido!E4378</f>
        <v/>
      </c>
      <c r="F4378" s="21">
        <f>IFERROR(INDEX(Pedidos!$B$2:$B$1801,MATCH(B4378,Pedidos!$A$2:$A$1801,0)),0)</f>
        <v/>
      </c>
      <c r="G4378" s="21">
        <f>IF(F4378=0,"",YEAR(F4378))</f>
        <v/>
      </c>
      <c r="H4378" s="21">
        <f>IF(F4378=0,"",MONTH(F4378))</f>
        <v/>
      </c>
      <c r="I4378" s="21">
        <f>IFERROR(INDEX(Pedidos!$E$2:$E$1801,MATCH(B4378,Pedidos!$A$2:$A$1801,0)),"")</f>
        <v/>
      </c>
      <c r="J4378" s="21">
        <f>IFERROR(INDEX(Pedidos!$C$2:$C$1801,MATCH(B4378,Pedidos!$A$2:$A$1801,0)),"")</f>
        <v/>
      </c>
      <c r="K4378" s="21">
        <f>IFERROR(INDEX(Pedidos!$D$2:$D$1801,MATCH(B4378,Pedidos!$A$2:$A$1801,0)),"")</f>
        <v/>
      </c>
      <c r="L4378" s="21">
        <f>IFERROR(INDEX(Pedidos!$F$2:$F$1801,MATCH(B4378,Pedidos!$A$2:$A$1801,0)),"")</f>
        <v/>
      </c>
      <c r="M4378" s="22">
        <f>IFERROR(INDEX(Pedidos!$G$2:$G$1801,MATCH(B4378,Pedidos!$A$2:$A$1801,0)),0)</f>
        <v/>
      </c>
      <c r="N4378" s="21">
        <f>IFERROR(INDEX(Produtos!$B$2:$B$71,MATCH(C4378,Produtos!$A$2:$A$71,0)),"")</f>
        <v/>
      </c>
      <c r="O4378" s="21">
        <f>IFERROR(INDEX(Produtos!$C$2:$C$71,MATCH(C4378,Produtos!$A$2:$A$71,0)),"")</f>
        <v/>
      </c>
      <c r="P4378" s="21">
        <f>IFERROR(INDEX(Produtos!$D$2:$D$71,MATCH(C4378,Produtos!$A$2:$A$71,0)),0)</f>
        <v/>
      </c>
      <c r="Q4378" s="21">
        <f>IFERROR(INDEX(Produtos!$E$2:$E$71,MATCH(C4378,Produtos!$A$2:$A$71,0)),0)</f>
        <v/>
      </c>
      <c r="R4378" s="23">
        <f>D4378*Q4378</f>
        <v/>
      </c>
      <c r="S4378" s="23">
        <f>R4378*E4378</f>
        <v/>
      </c>
      <c r="T4378" s="23">
        <f>(R4378-S4378)*M4378</f>
        <v/>
      </c>
      <c r="U4378" s="23">
        <f>R4378-S4378-T4378</f>
        <v/>
      </c>
      <c r="V4378" s="23">
        <f>D4378*P4378</f>
        <v/>
      </c>
      <c r="W4378" s="23">
        <f>U4378-V4378</f>
        <v/>
      </c>
      <c r="X4378" s="24">
        <f>IFERROR(W4378/U4378,0)</f>
        <v/>
      </c>
    </row>
    <row r="4379">
      <c r="A4379" s="25">
        <f>ItensPedido!A4379</f>
        <v/>
      </c>
      <c r="B4379" s="25">
        <f>ItensPedido!B4379</f>
        <v/>
      </c>
      <c r="C4379" s="25">
        <f>ItensPedido!C4379</f>
        <v/>
      </c>
      <c r="D4379" s="25">
        <f>ItensPedido!D4379</f>
        <v/>
      </c>
      <c r="E4379" s="26">
        <f>ItensPedido!E4379</f>
        <v/>
      </c>
      <c r="F4379" s="25">
        <f>IFERROR(INDEX(Pedidos!$B$2:$B$1801,MATCH(B4379,Pedidos!$A$2:$A$1801,0)),0)</f>
        <v/>
      </c>
      <c r="G4379" s="25">
        <f>IF(F4379=0,"",YEAR(F4379))</f>
        <v/>
      </c>
      <c r="H4379" s="25">
        <f>IF(F4379=0,"",MONTH(F4379))</f>
        <v/>
      </c>
      <c r="I4379" s="25">
        <f>IFERROR(INDEX(Pedidos!$E$2:$E$1801,MATCH(B4379,Pedidos!$A$2:$A$1801,0)),"")</f>
        <v/>
      </c>
      <c r="J4379" s="25">
        <f>IFERROR(INDEX(Pedidos!$C$2:$C$1801,MATCH(B4379,Pedidos!$A$2:$A$1801,0)),"")</f>
        <v/>
      </c>
      <c r="K4379" s="25">
        <f>IFERROR(INDEX(Pedidos!$D$2:$D$1801,MATCH(B4379,Pedidos!$A$2:$A$1801,0)),"")</f>
        <v/>
      </c>
      <c r="L4379" s="25">
        <f>IFERROR(INDEX(Pedidos!$F$2:$F$1801,MATCH(B4379,Pedidos!$A$2:$A$1801,0)),"")</f>
        <v/>
      </c>
      <c r="M4379" s="26">
        <f>IFERROR(INDEX(Pedidos!$G$2:$G$1801,MATCH(B4379,Pedidos!$A$2:$A$1801,0)),0)</f>
        <v/>
      </c>
      <c r="N4379" s="25">
        <f>IFERROR(INDEX(Produtos!$B$2:$B$71,MATCH(C4379,Produtos!$A$2:$A$71,0)),"")</f>
        <v/>
      </c>
      <c r="O4379" s="25">
        <f>IFERROR(INDEX(Produtos!$C$2:$C$71,MATCH(C4379,Produtos!$A$2:$A$71,0)),"")</f>
        <v/>
      </c>
      <c r="P4379" s="25">
        <f>IFERROR(INDEX(Produtos!$D$2:$D$71,MATCH(C4379,Produtos!$A$2:$A$71,0)),0)</f>
        <v/>
      </c>
      <c r="Q4379" s="25">
        <f>IFERROR(INDEX(Produtos!$E$2:$E$71,MATCH(C4379,Produtos!$A$2:$A$71,0)),0)</f>
        <v/>
      </c>
      <c r="R4379" s="27">
        <f>D4379*Q4379</f>
        <v/>
      </c>
      <c r="S4379" s="27">
        <f>R4379*E4379</f>
        <v/>
      </c>
      <c r="T4379" s="27">
        <f>(R4379-S4379)*M4379</f>
        <v/>
      </c>
      <c r="U4379" s="27">
        <f>R4379-S4379-T4379</f>
        <v/>
      </c>
      <c r="V4379" s="27">
        <f>D4379*P4379</f>
        <v/>
      </c>
      <c r="W4379" s="27">
        <f>U4379-V4379</f>
        <v/>
      </c>
      <c r="X4379" s="28">
        <f>IFERROR(W4379/U4379,0)</f>
        <v/>
      </c>
    </row>
    <row r="4380">
      <c r="A4380" s="21">
        <f>ItensPedido!A4380</f>
        <v/>
      </c>
      <c r="B4380" s="21">
        <f>ItensPedido!B4380</f>
        <v/>
      </c>
      <c r="C4380" s="21">
        <f>ItensPedido!C4380</f>
        <v/>
      </c>
      <c r="D4380" s="21">
        <f>ItensPedido!D4380</f>
        <v/>
      </c>
      <c r="E4380" s="22">
        <f>ItensPedido!E4380</f>
        <v/>
      </c>
      <c r="F4380" s="21">
        <f>IFERROR(INDEX(Pedidos!$B$2:$B$1801,MATCH(B4380,Pedidos!$A$2:$A$1801,0)),0)</f>
        <v/>
      </c>
      <c r="G4380" s="21">
        <f>IF(F4380=0,"",YEAR(F4380))</f>
        <v/>
      </c>
      <c r="H4380" s="21">
        <f>IF(F4380=0,"",MONTH(F4380))</f>
        <v/>
      </c>
      <c r="I4380" s="21">
        <f>IFERROR(INDEX(Pedidos!$E$2:$E$1801,MATCH(B4380,Pedidos!$A$2:$A$1801,0)),"")</f>
        <v/>
      </c>
      <c r="J4380" s="21">
        <f>IFERROR(INDEX(Pedidos!$C$2:$C$1801,MATCH(B4380,Pedidos!$A$2:$A$1801,0)),"")</f>
        <v/>
      </c>
      <c r="K4380" s="21">
        <f>IFERROR(INDEX(Pedidos!$D$2:$D$1801,MATCH(B4380,Pedidos!$A$2:$A$1801,0)),"")</f>
        <v/>
      </c>
      <c r="L4380" s="21">
        <f>IFERROR(INDEX(Pedidos!$F$2:$F$1801,MATCH(B4380,Pedidos!$A$2:$A$1801,0)),"")</f>
        <v/>
      </c>
      <c r="M4380" s="22">
        <f>IFERROR(INDEX(Pedidos!$G$2:$G$1801,MATCH(B4380,Pedidos!$A$2:$A$1801,0)),0)</f>
        <v/>
      </c>
      <c r="N4380" s="21">
        <f>IFERROR(INDEX(Produtos!$B$2:$B$71,MATCH(C4380,Produtos!$A$2:$A$71,0)),"")</f>
        <v/>
      </c>
      <c r="O4380" s="21">
        <f>IFERROR(INDEX(Produtos!$C$2:$C$71,MATCH(C4380,Produtos!$A$2:$A$71,0)),"")</f>
        <v/>
      </c>
      <c r="P4380" s="21">
        <f>IFERROR(INDEX(Produtos!$D$2:$D$71,MATCH(C4380,Produtos!$A$2:$A$71,0)),0)</f>
        <v/>
      </c>
      <c r="Q4380" s="21">
        <f>IFERROR(INDEX(Produtos!$E$2:$E$71,MATCH(C4380,Produtos!$A$2:$A$71,0)),0)</f>
        <v/>
      </c>
      <c r="R4380" s="23">
        <f>D4380*Q4380</f>
        <v/>
      </c>
      <c r="S4380" s="23">
        <f>R4380*E4380</f>
        <v/>
      </c>
      <c r="T4380" s="23">
        <f>(R4380-S4380)*M4380</f>
        <v/>
      </c>
      <c r="U4380" s="23">
        <f>R4380-S4380-T4380</f>
        <v/>
      </c>
      <c r="V4380" s="23">
        <f>D4380*P4380</f>
        <v/>
      </c>
      <c r="W4380" s="23">
        <f>U4380-V4380</f>
        <v/>
      </c>
      <c r="X4380" s="24">
        <f>IFERROR(W4380/U4380,0)</f>
        <v/>
      </c>
    </row>
    <row r="4381">
      <c r="A4381" s="25">
        <f>ItensPedido!A4381</f>
        <v/>
      </c>
      <c r="B4381" s="25">
        <f>ItensPedido!B4381</f>
        <v/>
      </c>
      <c r="C4381" s="25">
        <f>ItensPedido!C4381</f>
        <v/>
      </c>
      <c r="D4381" s="25">
        <f>ItensPedido!D4381</f>
        <v/>
      </c>
      <c r="E4381" s="26">
        <f>ItensPedido!E4381</f>
        <v/>
      </c>
      <c r="F4381" s="25">
        <f>IFERROR(INDEX(Pedidos!$B$2:$B$1801,MATCH(B4381,Pedidos!$A$2:$A$1801,0)),0)</f>
        <v/>
      </c>
      <c r="G4381" s="25">
        <f>IF(F4381=0,"",YEAR(F4381))</f>
        <v/>
      </c>
      <c r="H4381" s="25">
        <f>IF(F4381=0,"",MONTH(F4381))</f>
        <v/>
      </c>
      <c r="I4381" s="25">
        <f>IFERROR(INDEX(Pedidos!$E$2:$E$1801,MATCH(B4381,Pedidos!$A$2:$A$1801,0)),"")</f>
        <v/>
      </c>
      <c r="J4381" s="25">
        <f>IFERROR(INDEX(Pedidos!$C$2:$C$1801,MATCH(B4381,Pedidos!$A$2:$A$1801,0)),"")</f>
        <v/>
      </c>
      <c r="K4381" s="25">
        <f>IFERROR(INDEX(Pedidos!$D$2:$D$1801,MATCH(B4381,Pedidos!$A$2:$A$1801,0)),"")</f>
        <v/>
      </c>
      <c r="L4381" s="25">
        <f>IFERROR(INDEX(Pedidos!$F$2:$F$1801,MATCH(B4381,Pedidos!$A$2:$A$1801,0)),"")</f>
        <v/>
      </c>
      <c r="M4381" s="26">
        <f>IFERROR(INDEX(Pedidos!$G$2:$G$1801,MATCH(B4381,Pedidos!$A$2:$A$1801,0)),0)</f>
        <v/>
      </c>
      <c r="N4381" s="25">
        <f>IFERROR(INDEX(Produtos!$B$2:$B$71,MATCH(C4381,Produtos!$A$2:$A$71,0)),"")</f>
        <v/>
      </c>
      <c r="O4381" s="25">
        <f>IFERROR(INDEX(Produtos!$C$2:$C$71,MATCH(C4381,Produtos!$A$2:$A$71,0)),"")</f>
        <v/>
      </c>
      <c r="P4381" s="25">
        <f>IFERROR(INDEX(Produtos!$D$2:$D$71,MATCH(C4381,Produtos!$A$2:$A$71,0)),0)</f>
        <v/>
      </c>
      <c r="Q4381" s="25">
        <f>IFERROR(INDEX(Produtos!$E$2:$E$71,MATCH(C4381,Produtos!$A$2:$A$71,0)),0)</f>
        <v/>
      </c>
      <c r="R4381" s="27">
        <f>D4381*Q4381</f>
        <v/>
      </c>
      <c r="S4381" s="27">
        <f>R4381*E4381</f>
        <v/>
      </c>
      <c r="T4381" s="27">
        <f>(R4381-S4381)*M4381</f>
        <v/>
      </c>
      <c r="U4381" s="27">
        <f>R4381-S4381-T4381</f>
        <v/>
      </c>
      <c r="V4381" s="27">
        <f>D4381*P4381</f>
        <v/>
      </c>
      <c r="W4381" s="27">
        <f>U4381-V4381</f>
        <v/>
      </c>
      <c r="X4381" s="28">
        <f>IFERROR(W4381/U4381,0)</f>
        <v/>
      </c>
    </row>
    <row r="4382">
      <c r="A4382" s="21">
        <f>ItensPedido!A4382</f>
        <v/>
      </c>
      <c r="B4382" s="21">
        <f>ItensPedido!B4382</f>
        <v/>
      </c>
      <c r="C4382" s="21">
        <f>ItensPedido!C4382</f>
        <v/>
      </c>
      <c r="D4382" s="21">
        <f>ItensPedido!D4382</f>
        <v/>
      </c>
      <c r="E4382" s="22">
        <f>ItensPedido!E4382</f>
        <v/>
      </c>
      <c r="F4382" s="21">
        <f>IFERROR(INDEX(Pedidos!$B$2:$B$1801,MATCH(B4382,Pedidos!$A$2:$A$1801,0)),0)</f>
        <v/>
      </c>
      <c r="G4382" s="21">
        <f>IF(F4382=0,"",YEAR(F4382))</f>
        <v/>
      </c>
      <c r="H4382" s="21">
        <f>IF(F4382=0,"",MONTH(F4382))</f>
        <v/>
      </c>
      <c r="I4382" s="21">
        <f>IFERROR(INDEX(Pedidos!$E$2:$E$1801,MATCH(B4382,Pedidos!$A$2:$A$1801,0)),"")</f>
        <v/>
      </c>
      <c r="J4382" s="21">
        <f>IFERROR(INDEX(Pedidos!$C$2:$C$1801,MATCH(B4382,Pedidos!$A$2:$A$1801,0)),"")</f>
        <v/>
      </c>
      <c r="K4382" s="21">
        <f>IFERROR(INDEX(Pedidos!$D$2:$D$1801,MATCH(B4382,Pedidos!$A$2:$A$1801,0)),"")</f>
        <v/>
      </c>
      <c r="L4382" s="21">
        <f>IFERROR(INDEX(Pedidos!$F$2:$F$1801,MATCH(B4382,Pedidos!$A$2:$A$1801,0)),"")</f>
        <v/>
      </c>
      <c r="M4382" s="22">
        <f>IFERROR(INDEX(Pedidos!$G$2:$G$1801,MATCH(B4382,Pedidos!$A$2:$A$1801,0)),0)</f>
        <v/>
      </c>
      <c r="N4382" s="21">
        <f>IFERROR(INDEX(Produtos!$B$2:$B$71,MATCH(C4382,Produtos!$A$2:$A$71,0)),"")</f>
        <v/>
      </c>
      <c r="O4382" s="21">
        <f>IFERROR(INDEX(Produtos!$C$2:$C$71,MATCH(C4382,Produtos!$A$2:$A$71,0)),"")</f>
        <v/>
      </c>
      <c r="P4382" s="21">
        <f>IFERROR(INDEX(Produtos!$D$2:$D$71,MATCH(C4382,Produtos!$A$2:$A$71,0)),0)</f>
        <v/>
      </c>
      <c r="Q4382" s="21">
        <f>IFERROR(INDEX(Produtos!$E$2:$E$71,MATCH(C4382,Produtos!$A$2:$A$71,0)),0)</f>
        <v/>
      </c>
      <c r="R4382" s="23">
        <f>D4382*Q4382</f>
        <v/>
      </c>
      <c r="S4382" s="23">
        <f>R4382*E4382</f>
        <v/>
      </c>
      <c r="T4382" s="23">
        <f>(R4382-S4382)*M4382</f>
        <v/>
      </c>
      <c r="U4382" s="23">
        <f>R4382-S4382-T4382</f>
        <v/>
      </c>
      <c r="V4382" s="23">
        <f>D4382*P4382</f>
        <v/>
      </c>
      <c r="W4382" s="23">
        <f>U4382-V4382</f>
        <v/>
      </c>
      <c r="X4382" s="24">
        <f>IFERROR(W4382/U4382,0)</f>
        <v/>
      </c>
    </row>
    <row r="4383">
      <c r="A4383" s="25">
        <f>ItensPedido!A4383</f>
        <v/>
      </c>
      <c r="B4383" s="25">
        <f>ItensPedido!B4383</f>
        <v/>
      </c>
      <c r="C4383" s="25">
        <f>ItensPedido!C4383</f>
        <v/>
      </c>
      <c r="D4383" s="25">
        <f>ItensPedido!D4383</f>
        <v/>
      </c>
      <c r="E4383" s="26">
        <f>ItensPedido!E4383</f>
        <v/>
      </c>
      <c r="F4383" s="25">
        <f>IFERROR(INDEX(Pedidos!$B$2:$B$1801,MATCH(B4383,Pedidos!$A$2:$A$1801,0)),0)</f>
        <v/>
      </c>
      <c r="G4383" s="25">
        <f>IF(F4383=0,"",YEAR(F4383))</f>
        <v/>
      </c>
      <c r="H4383" s="25">
        <f>IF(F4383=0,"",MONTH(F4383))</f>
        <v/>
      </c>
      <c r="I4383" s="25">
        <f>IFERROR(INDEX(Pedidos!$E$2:$E$1801,MATCH(B4383,Pedidos!$A$2:$A$1801,0)),"")</f>
        <v/>
      </c>
      <c r="J4383" s="25">
        <f>IFERROR(INDEX(Pedidos!$C$2:$C$1801,MATCH(B4383,Pedidos!$A$2:$A$1801,0)),"")</f>
        <v/>
      </c>
      <c r="K4383" s="25">
        <f>IFERROR(INDEX(Pedidos!$D$2:$D$1801,MATCH(B4383,Pedidos!$A$2:$A$1801,0)),"")</f>
        <v/>
      </c>
      <c r="L4383" s="25">
        <f>IFERROR(INDEX(Pedidos!$F$2:$F$1801,MATCH(B4383,Pedidos!$A$2:$A$1801,0)),"")</f>
        <v/>
      </c>
      <c r="M4383" s="26">
        <f>IFERROR(INDEX(Pedidos!$G$2:$G$1801,MATCH(B4383,Pedidos!$A$2:$A$1801,0)),0)</f>
        <v/>
      </c>
      <c r="N4383" s="25">
        <f>IFERROR(INDEX(Produtos!$B$2:$B$71,MATCH(C4383,Produtos!$A$2:$A$71,0)),"")</f>
        <v/>
      </c>
      <c r="O4383" s="25">
        <f>IFERROR(INDEX(Produtos!$C$2:$C$71,MATCH(C4383,Produtos!$A$2:$A$71,0)),"")</f>
        <v/>
      </c>
      <c r="P4383" s="25">
        <f>IFERROR(INDEX(Produtos!$D$2:$D$71,MATCH(C4383,Produtos!$A$2:$A$71,0)),0)</f>
        <v/>
      </c>
      <c r="Q4383" s="25">
        <f>IFERROR(INDEX(Produtos!$E$2:$E$71,MATCH(C4383,Produtos!$A$2:$A$71,0)),0)</f>
        <v/>
      </c>
      <c r="R4383" s="27">
        <f>D4383*Q4383</f>
        <v/>
      </c>
      <c r="S4383" s="27">
        <f>R4383*E4383</f>
        <v/>
      </c>
      <c r="T4383" s="27">
        <f>(R4383-S4383)*M4383</f>
        <v/>
      </c>
      <c r="U4383" s="27">
        <f>R4383-S4383-T4383</f>
        <v/>
      </c>
      <c r="V4383" s="27">
        <f>D4383*P4383</f>
        <v/>
      </c>
      <c r="W4383" s="27">
        <f>U4383-V4383</f>
        <v/>
      </c>
      <c r="X4383" s="28">
        <f>IFERROR(W4383/U4383,0)</f>
        <v/>
      </c>
    </row>
    <row r="4384">
      <c r="A4384" s="21">
        <f>ItensPedido!A4384</f>
        <v/>
      </c>
      <c r="B4384" s="21">
        <f>ItensPedido!B4384</f>
        <v/>
      </c>
      <c r="C4384" s="21">
        <f>ItensPedido!C4384</f>
        <v/>
      </c>
      <c r="D4384" s="21">
        <f>ItensPedido!D4384</f>
        <v/>
      </c>
      <c r="E4384" s="22">
        <f>ItensPedido!E4384</f>
        <v/>
      </c>
      <c r="F4384" s="21">
        <f>IFERROR(INDEX(Pedidos!$B$2:$B$1801,MATCH(B4384,Pedidos!$A$2:$A$1801,0)),0)</f>
        <v/>
      </c>
      <c r="G4384" s="21">
        <f>IF(F4384=0,"",YEAR(F4384))</f>
        <v/>
      </c>
      <c r="H4384" s="21">
        <f>IF(F4384=0,"",MONTH(F4384))</f>
        <v/>
      </c>
      <c r="I4384" s="21">
        <f>IFERROR(INDEX(Pedidos!$E$2:$E$1801,MATCH(B4384,Pedidos!$A$2:$A$1801,0)),"")</f>
        <v/>
      </c>
      <c r="J4384" s="21">
        <f>IFERROR(INDEX(Pedidos!$C$2:$C$1801,MATCH(B4384,Pedidos!$A$2:$A$1801,0)),"")</f>
        <v/>
      </c>
      <c r="K4384" s="21">
        <f>IFERROR(INDEX(Pedidos!$D$2:$D$1801,MATCH(B4384,Pedidos!$A$2:$A$1801,0)),"")</f>
        <v/>
      </c>
      <c r="L4384" s="21">
        <f>IFERROR(INDEX(Pedidos!$F$2:$F$1801,MATCH(B4384,Pedidos!$A$2:$A$1801,0)),"")</f>
        <v/>
      </c>
      <c r="M4384" s="22">
        <f>IFERROR(INDEX(Pedidos!$G$2:$G$1801,MATCH(B4384,Pedidos!$A$2:$A$1801,0)),0)</f>
        <v/>
      </c>
      <c r="N4384" s="21">
        <f>IFERROR(INDEX(Produtos!$B$2:$B$71,MATCH(C4384,Produtos!$A$2:$A$71,0)),"")</f>
        <v/>
      </c>
      <c r="O4384" s="21">
        <f>IFERROR(INDEX(Produtos!$C$2:$C$71,MATCH(C4384,Produtos!$A$2:$A$71,0)),"")</f>
        <v/>
      </c>
      <c r="P4384" s="21">
        <f>IFERROR(INDEX(Produtos!$D$2:$D$71,MATCH(C4384,Produtos!$A$2:$A$71,0)),0)</f>
        <v/>
      </c>
      <c r="Q4384" s="21">
        <f>IFERROR(INDEX(Produtos!$E$2:$E$71,MATCH(C4384,Produtos!$A$2:$A$71,0)),0)</f>
        <v/>
      </c>
      <c r="R4384" s="23">
        <f>D4384*Q4384</f>
        <v/>
      </c>
      <c r="S4384" s="23">
        <f>R4384*E4384</f>
        <v/>
      </c>
      <c r="T4384" s="23">
        <f>(R4384-S4384)*M4384</f>
        <v/>
      </c>
      <c r="U4384" s="23">
        <f>R4384-S4384-T4384</f>
        <v/>
      </c>
      <c r="V4384" s="23">
        <f>D4384*P4384</f>
        <v/>
      </c>
      <c r="W4384" s="23">
        <f>U4384-V4384</f>
        <v/>
      </c>
      <c r="X4384" s="24">
        <f>IFERROR(W4384/U4384,0)</f>
        <v/>
      </c>
    </row>
    <row r="4385">
      <c r="A4385" s="25">
        <f>ItensPedido!A4385</f>
        <v/>
      </c>
      <c r="B4385" s="25">
        <f>ItensPedido!B4385</f>
        <v/>
      </c>
      <c r="C4385" s="25">
        <f>ItensPedido!C4385</f>
        <v/>
      </c>
      <c r="D4385" s="25">
        <f>ItensPedido!D4385</f>
        <v/>
      </c>
      <c r="E4385" s="26">
        <f>ItensPedido!E4385</f>
        <v/>
      </c>
      <c r="F4385" s="25">
        <f>IFERROR(INDEX(Pedidos!$B$2:$B$1801,MATCH(B4385,Pedidos!$A$2:$A$1801,0)),0)</f>
        <v/>
      </c>
      <c r="G4385" s="25">
        <f>IF(F4385=0,"",YEAR(F4385))</f>
        <v/>
      </c>
      <c r="H4385" s="25">
        <f>IF(F4385=0,"",MONTH(F4385))</f>
        <v/>
      </c>
      <c r="I4385" s="25">
        <f>IFERROR(INDEX(Pedidos!$E$2:$E$1801,MATCH(B4385,Pedidos!$A$2:$A$1801,0)),"")</f>
        <v/>
      </c>
      <c r="J4385" s="25">
        <f>IFERROR(INDEX(Pedidos!$C$2:$C$1801,MATCH(B4385,Pedidos!$A$2:$A$1801,0)),"")</f>
        <v/>
      </c>
      <c r="K4385" s="25">
        <f>IFERROR(INDEX(Pedidos!$D$2:$D$1801,MATCH(B4385,Pedidos!$A$2:$A$1801,0)),"")</f>
        <v/>
      </c>
      <c r="L4385" s="25">
        <f>IFERROR(INDEX(Pedidos!$F$2:$F$1801,MATCH(B4385,Pedidos!$A$2:$A$1801,0)),"")</f>
        <v/>
      </c>
      <c r="M4385" s="26">
        <f>IFERROR(INDEX(Pedidos!$G$2:$G$1801,MATCH(B4385,Pedidos!$A$2:$A$1801,0)),0)</f>
        <v/>
      </c>
      <c r="N4385" s="25">
        <f>IFERROR(INDEX(Produtos!$B$2:$B$71,MATCH(C4385,Produtos!$A$2:$A$71,0)),"")</f>
        <v/>
      </c>
      <c r="O4385" s="25">
        <f>IFERROR(INDEX(Produtos!$C$2:$C$71,MATCH(C4385,Produtos!$A$2:$A$71,0)),"")</f>
        <v/>
      </c>
      <c r="P4385" s="25">
        <f>IFERROR(INDEX(Produtos!$D$2:$D$71,MATCH(C4385,Produtos!$A$2:$A$71,0)),0)</f>
        <v/>
      </c>
      <c r="Q4385" s="25">
        <f>IFERROR(INDEX(Produtos!$E$2:$E$71,MATCH(C4385,Produtos!$A$2:$A$71,0)),0)</f>
        <v/>
      </c>
      <c r="R4385" s="27">
        <f>D4385*Q4385</f>
        <v/>
      </c>
      <c r="S4385" s="27">
        <f>R4385*E4385</f>
        <v/>
      </c>
      <c r="T4385" s="27">
        <f>(R4385-S4385)*M4385</f>
        <v/>
      </c>
      <c r="U4385" s="27">
        <f>R4385-S4385-T4385</f>
        <v/>
      </c>
      <c r="V4385" s="27">
        <f>D4385*P4385</f>
        <v/>
      </c>
      <c r="W4385" s="27">
        <f>U4385-V4385</f>
        <v/>
      </c>
      <c r="X4385" s="28">
        <f>IFERROR(W4385/U4385,0)</f>
        <v/>
      </c>
    </row>
    <row r="4386">
      <c r="A4386" s="21">
        <f>ItensPedido!A4386</f>
        <v/>
      </c>
      <c r="B4386" s="21">
        <f>ItensPedido!B4386</f>
        <v/>
      </c>
      <c r="C4386" s="21">
        <f>ItensPedido!C4386</f>
        <v/>
      </c>
      <c r="D4386" s="21">
        <f>ItensPedido!D4386</f>
        <v/>
      </c>
      <c r="E4386" s="22">
        <f>ItensPedido!E4386</f>
        <v/>
      </c>
      <c r="F4386" s="21">
        <f>IFERROR(INDEX(Pedidos!$B$2:$B$1801,MATCH(B4386,Pedidos!$A$2:$A$1801,0)),0)</f>
        <v/>
      </c>
      <c r="G4386" s="21">
        <f>IF(F4386=0,"",YEAR(F4386))</f>
        <v/>
      </c>
      <c r="H4386" s="21">
        <f>IF(F4386=0,"",MONTH(F4386))</f>
        <v/>
      </c>
      <c r="I4386" s="21">
        <f>IFERROR(INDEX(Pedidos!$E$2:$E$1801,MATCH(B4386,Pedidos!$A$2:$A$1801,0)),"")</f>
        <v/>
      </c>
      <c r="J4386" s="21">
        <f>IFERROR(INDEX(Pedidos!$C$2:$C$1801,MATCH(B4386,Pedidos!$A$2:$A$1801,0)),"")</f>
        <v/>
      </c>
      <c r="K4386" s="21">
        <f>IFERROR(INDEX(Pedidos!$D$2:$D$1801,MATCH(B4386,Pedidos!$A$2:$A$1801,0)),"")</f>
        <v/>
      </c>
      <c r="L4386" s="21">
        <f>IFERROR(INDEX(Pedidos!$F$2:$F$1801,MATCH(B4386,Pedidos!$A$2:$A$1801,0)),"")</f>
        <v/>
      </c>
      <c r="M4386" s="22">
        <f>IFERROR(INDEX(Pedidos!$G$2:$G$1801,MATCH(B4386,Pedidos!$A$2:$A$1801,0)),0)</f>
        <v/>
      </c>
      <c r="N4386" s="21">
        <f>IFERROR(INDEX(Produtos!$B$2:$B$71,MATCH(C4386,Produtos!$A$2:$A$71,0)),"")</f>
        <v/>
      </c>
      <c r="O4386" s="21">
        <f>IFERROR(INDEX(Produtos!$C$2:$C$71,MATCH(C4386,Produtos!$A$2:$A$71,0)),"")</f>
        <v/>
      </c>
      <c r="P4386" s="21">
        <f>IFERROR(INDEX(Produtos!$D$2:$D$71,MATCH(C4386,Produtos!$A$2:$A$71,0)),0)</f>
        <v/>
      </c>
      <c r="Q4386" s="21">
        <f>IFERROR(INDEX(Produtos!$E$2:$E$71,MATCH(C4386,Produtos!$A$2:$A$71,0)),0)</f>
        <v/>
      </c>
      <c r="R4386" s="23">
        <f>D4386*Q4386</f>
        <v/>
      </c>
      <c r="S4386" s="23">
        <f>R4386*E4386</f>
        <v/>
      </c>
      <c r="T4386" s="23">
        <f>(R4386-S4386)*M4386</f>
        <v/>
      </c>
      <c r="U4386" s="23">
        <f>R4386-S4386-T4386</f>
        <v/>
      </c>
      <c r="V4386" s="23">
        <f>D4386*P4386</f>
        <v/>
      </c>
      <c r="W4386" s="23">
        <f>U4386-V4386</f>
        <v/>
      </c>
      <c r="X4386" s="24">
        <f>IFERROR(W4386/U4386,0)</f>
        <v/>
      </c>
    </row>
    <row r="4387">
      <c r="A4387" s="25">
        <f>ItensPedido!A4387</f>
        <v/>
      </c>
      <c r="B4387" s="25">
        <f>ItensPedido!B4387</f>
        <v/>
      </c>
      <c r="C4387" s="25">
        <f>ItensPedido!C4387</f>
        <v/>
      </c>
      <c r="D4387" s="25">
        <f>ItensPedido!D4387</f>
        <v/>
      </c>
      <c r="E4387" s="26">
        <f>ItensPedido!E4387</f>
        <v/>
      </c>
      <c r="F4387" s="25">
        <f>IFERROR(INDEX(Pedidos!$B$2:$B$1801,MATCH(B4387,Pedidos!$A$2:$A$1801,0)),0)</f>
        <v/>
      </c>
      <c r="G4387" s="25">
        <f>IF(F4387=0,"",YEAR(F4387))</f>
        <v/>
      </c>
      <c r="H4387" s="25">
        <f>IF(F4387=0,"",MONTH(F4387))</f>
        <v/>
      </c>
      <c r="I4387" s="25">
        <f>IFERROR(INDEX(Pedidos!$E$2:$E$1801,MATCH(B4387,Pedidos!$A$2:$A$1801,0)),"")</f>
        <v/>
      </c>
      <c r="J4387" s="25">
        <f>IFERROR(INDEX(Pedidos!$C$2:$C$1801,MATCH(B4387,Pedidos!$A$2:$A$1801,0)),"")</f>
        <v/>
      </c>
      <c r="K4387" s="25">
        <f>IFERROR(INDEX(Pedidos!$D$2:$D$1801,MATCH(B4387,Pedidos!$A$2:$A$1801,0)),"")</f>
        <v/>
      </c>
      <c r="L4387" s="25">
        <f>IFERROR(INDEX(Pedidos!$F$2:$F$1801,MATCH(B4387,Pedidos!$A$2:$A$1801,0)),"")</f>
        <v/>
      </c>
      <c r="M4387" s="26">
        <f>IFERROR(INDEX(Pedidos!$G$2:$G$1801,MATCH(B4387,Pedidos!$A$2:$A$1801,0)),0)</f>
        <v/>
      </c>
      <c r="N4387" s="25">
        <f>IFERROR(INDEX(Produtos!$B$2:$B$71,MATCH(C4387,Produtos!$A$2:$A$71,0)),"")</f>
        <v/>
      </c>
      <c r="O4387" s="25">
        <f>IFERROR(INDEX(Produtos!$C$2:$C$71,MATCH(C4387,Produtos!$A$2:$A$71,0)),"")</f>
        <v/>
      </c>
      <c r="P4387" s="25">
        <f>IFERROR(INDEX(Produtos!$D$2:$D$71,MATCH(C4387,Produtos!$A$2:$A$71,0)),0)</f>
        <v/>
      </c>
      <c r="Q4387" s="25">
        <f>IFERROR(INDEX(Produtos!$E$2:$E$71,MATCH(C4387,Produtos!$A$2:$A$71,0)),0)</f>
        <v/>
      </c>
      <c r="R4387" s="27">
        <f>D4387*Q4387</f>
        <v/>
      </c>
      <c r="S4387" s="27">
        <f>R4387*E4387</f>
        <v/>
      </c>
      <c r="T4387" s="27">
        <f>(R4387-S4387)*M4387</f>
        <v/>
      </c>
      <c r="U4387" s="27">
        <f>R4387-S4387-T4387</f>
        <v/>
      </c>
      <c r="V4387" s="27">
        <f>D4387*P4387</f>
        <v/>
      </c>
      <c r="W4387" s="27">
        <f>U4387-V4387</f>
        <v/>
      </c>
      <c r="X4387" s="28">
        <f>IFERROR(W4387/U4387,0)</f>
        <v/>
      </c>
    </row>
    <row r="4388">
      <c r="A4388" s="21">
        <f>ItensPedido!A4388</f>
        <v/>
      </c>
      <c r="B4388" s="21">
        <f>ItensPedido!B4388</f>
        <v/>
      </c>
      <c r="C4388" s="21">
        <f>ItensPedido!C4388</f>
        <v/>
      </c>
      <c r="D4388" s="21">
        <f>ItensPedido!D4388</f>
        <v/>
      </c>
      <c r="E4388" s="22">
        <f>ItensPedido!E4388</f>
        <v/>
      </c>
      <c r="F4388" s="21">
        <f>IFERROR(INDEX(Pedidos!$B$2:$B$1801,MATCH(B4388,Pedidos!$A$2:$A$1801,0)),0)</f>
        <v/>
      </c>
      <c r="G4388" s="21">
        <f>IF(F4388=0,"",YEAR(F4388))</f>
        <v/>
      </c>
      <c r="H4388" s="21">
        <f>IF(F4388=0,"",MONTH(F4388))</f>
        <v/>
      </c>
      <c r="I4388" s="21">
        <f>IFERROR(INDEX(Pedidos!$E$2:$E$1801,MATCH(B4388,Pedidos!$A$2:$A$1801,0)),"")</f>
        <v/>
      </c>
      <c r="J4388" s="21">
        <f>IFERROR(INDEX(Pedidos!$C$2:$C$1801,MATCH(B4388,Pedidos!$A$2:$A$1801,0)),"")</f>
        <v/>
      </c>
      <c r="K4388" s="21">
        <f>IFERROR(INDEX(Pedidos!$D$2:$D$1801,MATCH(B4388,Pedidos!$A$2:$A$1801,0)),"")</f>
        <v/>
      </c>
      <c r="L4388" s="21">
        <f>IFERROR(INDEX(Pedidos!$F$2:$F$1801,MATCH(B4388,Pedidos!$A$2:$A$1801,0)),"")</f>
        <v/>
      </c>
      <c r="M4388" s="22">
        <f>IFERROR(INDEX(Pedidos!$G$2:$G$1801,MATCH(B4388,Pedidos!$A$2:$A$1801,0)),0)</f>
        <v/>
      </c>
      <c r="N4388" s="21">
        <f>IFERROR(INDEX(Produtos!$B$2:$B$71,MATCH(C4388,Produtos!$A$2:$A$71,0)),"")</f>
        <v/>
      </c>
      <c r="O4388" s="21">
        <f>IFERROR(INDEX(Produtos!$C$2:$C$71,MATCH(C4388,Produtos!$A$2:$A$71,0)),"")</f>
        <v/>
      </c>
      <c r="P4388" s="21">
        <f>IFERROR(INDEX(Produtos!$D$2:$D$71,MATCH(C4388,Produtos!$A$2:$A$71,0)),0)</f>
        <v/>
      </c>
      <c r="Q4388" s="21">
        <f>IFERROR(INDEX(Produtos!$E$2:$E$71,MATCH(C4388,Produtos!$A$2:$A$71,0)),0)</f>
        <v/>
      </c>
      <c r="R4388" s="23">
        <f>D4388*Q4388</f>
        <v/>
      </c>
      <c r="S4388" s="23">
        <f>R4388*E4388</f>
        <v/>
      </c>
      <c r="T4388" s="23">
        <f>(R4388-S4388)*M4388</f>
        <v/>
      </c>
      <c r="U4388" s="23">
        <f>R4388-S4388-T4388</f>
        <v/>
      </c>
      <c r="V4388" s="23">
        <f>D4388*P4388</f>
        <v/>
      </c>
      <c r="W4388" s="23">
        <f>U4388-V4388</f>
        <v/>
      </c>
      <c r="X4388" s="24">
        <f>IFERROR(W4388/U4388,0)</f>
        <v/>
      </c>
    </row>
    <row r="4389">
      <c r="A4389" s="25">
        <f>ItensPedido!A4389</f>
        <v/>
      </c>
      <c r="B4389" s="25">
        <f>ItensPedido!B4389</f>
        <v/>
      </c>
      <c r="C4389" s="25">
        <f>ItensPedido!C4389</f>
        <v/>
      </c>
      <c r="D4389" s="25">
        <f>ItensPedido!D4389</f>
        <v/>
      </c>
      <c r="E4389" s="26">
        <f>ItensPedido!E4389</f>
        <v/>
      </c>
      <c r="F4389" s="25">
        <f>IFERROR(INDEX(Pedidos!$B$2:$B$1801,MATCH(B4389,Pedidos!$A$2:$A$1801,0)),0)</f>
        <v/>
      </c>
      <c r="G4389" s="25">
        <f>IF(F4389=0,"",YEAR(F4389))</f>
        <v/>
      </c>
      <c r="H4389" s="25">
        <f>IF(F4389=0,"",MONTH(F4389))</f>
        <v/>
      </c>
      <c r="I4389" s="25">
        <f>IFERROR(INDEX(Pedidos!$E$2:$E$1801,MATCH(B4389,Pedidos!$A$2:$A$1801,0)),"")</f>
        <v/>
      </c>
      <c r="J4389" s="25">
        <f>IFERROR(INDEX(Pedidos!$C$2:$C$1801,MATCH(B4389,Pedidos!$A$2:$A$1801,0)),"")</f>
        <v/>
      </c>
      <c r="K4389" s="25">
        <f>IFERROR(INDEX(Pedidos!$D$2:$D$1801,MATCH(B4389,Pedidos!$A$2:$A$1801,0)),"")</f>
        <v/>
      </c>
      <c r="L4389" s="25">
        <f>IFERROR(INDEX(Pedidos!$F$2:$F$1801,MATCH(B4389,Pedidos!$A$2:$A$1801,0)),"")</f>
        <v/>
      </c>
      <c r="M4389" s="26">
        <f>IFERROR(INDEX(Pedidos!$G$2:$G$1801,MATCH(B4389,Pedidos!$A$2:$A$1801,0)),0)</f>
        <v/>
      </c>
      <c r="N4389" s="25">
        <f>IFERROR(INDEX(Produtos!$B$2:$B$71,MATCH(C4389,Produtos!$A$2:$A$71,0)),"")</f>
        <v/>
      </c>
      <c r="O4389" s="25">
        <f>IFERROR(INDEX(Produtos!$C$2:$C$71,MATCH(C4389,Produtos!$A$2:$A$71,0)),"")</f>
        <v/>
      </c>
      <c r="P4389" s="25">
        <f>IFERROR(INDEX(Produtos!$D$2:$D$71,MATCH(C4389,Produtos!$A$2:$A$71,0)),0)</f>
        <v/>
      </c>
      <c r="Q4389" s="25">
        <f>IFERROR(INDEX(Produtos!$E$2:$E$71,MATCH(C4389,Produtos!$A$2:$A$71,0)),0)</f>
        <v/>
      </c>
      <c r="R4389" s="27">
        <f>D4389*Q4389</f>
        <v/>
      </c>
      <c r="S4389" s="27">
        <f>R4389*E4389</f>
        <v/>
      </c>
      <c r="T4389" s="27">
        <f>(R4389-S4389)*M4389</f>
        <v/>
      </c>
      <c r="U4389" s="27">
        <f>R4389-S4389-T4389</f>
        <v/>
      </c>
      <c r="V4389" s="27">
        <f>D4389*P4389</f>
        <v/>
      </c>
      <c r="W4389" s="27">
        <f>U4389-V4389</f>
        <v/>
      </c>
      <c r="X4389" s="28">
        <f>IFERROR(W4389/U4389,0)</f>
        <v/>
      </c>
    </row>
    <row r="4390">
      <c r="A4390" s="21">
        <f>ItensPedido!A4390</f>
        <v/>
      </c>
      <c r="B4390" s="21">
        <f>ItensPedido!B4390</f>
        <v/>
      </c>
      <c r="C4390" s="21">
        <f>ItensPedido!C4390</f>
        <v/>
      </c>
      <c r="D4390" s="21">
        <f>ItensPedido!D4390</f>
        <v/>
      </c>
      <c r="E4390" s="22">
        <f>ItensPedido!E4390</f>
        <v/>
      </c>
      <c r="F4390" s="21">
        <f>IFERROR(INDEX(Pedidos!$B$2:$B$1801,MATCH(B4390,Pedidos!$A$2:$A$1801,0)),0)</f>
        <v/>
      </c>
      <c r="G4390" s="21">
        <f>IF(F4390=0,"",YEAR(F4390))</f>
        <v/>
      </c>
      <c r="H4390" s="21">
        <f>IF(F4390=0,"",MONTH(F4390))</f>
        <v/>
      </c>
      <c r="I4390" s="21">
        <f>IFERROR(INDEX(Pedidos!$E$2:$E$1801,MATCH(B4390,Pedidos!$A$2:$A$1801,0)),"")</f>
        <v/>
      </c>
      <c r="J4390" s="21">
        <f>IFERROR(INDEX(Pedidos!$C$2:$C$1801,MATCH(B4390,Pedidos!$A$2:$A$1801,0)),"")</f>
        <v/>
      </c>
      <c r="K4390" s="21">
        <f>IFERROR(INDEX(Pedidos!$D$2:$D$1801,MATCH(B4390,Pedidos!$A$2:$A$1801,0)),"")</f>
        <v/>
      </c>
      <c r="L4390" s="21">
        <f>IFERROR(INDEX(Pedidos!$F$2:$F$1801,MATCH(B4390,Pedidos!$A$2:$A$1801,0)),"")</f>
        <v/>
      </c>
      <c r="M4390" s="22">
        <f>IFERROR(INDEX(Pedidos!$G$2:$G$1801,MATCH(B4390,Pedidos!$A$2:$A$1801,0)),0)</f>
        <v/>
      </c>
      <c r="N4390" s="21">
        <f>IFERROR(INDEX(Produtos!$B$2:$B$71,MATCH(C4390,Produtos!$A$2:$A$71,0)),"")</f>
        <v/>
      </c>
      <c r="O4390" s="21">
        <f>IFERROR(INDEX(Produtos!$C$2:$C$71,MATCH(C4390,Produtos!$A$2:$A$71,0)),"")</f>
        <v/>
      </c>
      <c r="P4390" s="21">
        <f>IFERROR(INDEX(Produtos!$D$2:$D$71,MATCH(C4390,Produtos!$A$2:$A$71,0)),0)</f>
        <v/>
      </c>
      <c r="Q4390" s="21">
        <f>IFERROR(INDEX(Produtos!$E$2:$E$71,MATCH(C4390,Produtos!$A$2:$A$71,0)),0)</f>
        <v/>
      </c>
      <c r="R4390" s="23">
        <f>D4390*Q4390</f>
        <v/>
      </c>
      <c r="S4390" s="23">
        <f>R4390*E4390</f>
        <v/>
      </c>
      <c r="T4390" s="23">
        <f>(R4390-S4390)*M4390</f>
        <v/>
      </c>
      <c r="U4390" s="23">
        <f>R4390-S4390-T4390</f>
        <v/>
      </c>
      <c r="V4390" s="23">
        <f>D4390*P4390</f>
        <v/>
      </c>
      <c r="W4390" s="23">
        <f>U4390-V4390</f>
        <v/>
      </c>
      <c r="X4390" s="24">
        <f>IFERROR(W4390/U4390,0)</f>
        <v/>
      </c>
    </row>
    <row r="4391">
      <c r="A4391" s="25">
        <f>ItensPedido!A4391</f>
        <v/>
      </c>
      <c r="B4391" s="25">
        <f>ItensPedido!B4391</f>
        <v/>
      </c>
      <c r="C4391" s="25">
        <f>ItensPedido!C4391</f>
        <v/>
      </c>
      <c r="D4391" s="25">
        <f>ItensPedido!D4391</f>
        <v/>
      </c>
      <c r="E4391" s="26">
        <f>ItensPedido!E4391</f>
        <v/>
      </c>
      <c r="F4391" s="25">
        <f>IFERROR(INDEX(Pedidos!$B$2:$B$1801,MATCH(B4391,Pedidos!$A$2:$A$1801,0)),0)</f>
        <v/>
      </c>
      <c r="G4391" s="25">
        <f>IF(F4391=0,"",YEAR(F4391))</f>
        <v/>
      </c>
      <c r="H4391" s="25">
        <f>IF(F4391=0,"",MONTH(F4391))</f>
        <v/>
      </c>
      <c r="I4391" s="25">
        <f>IFERROR(INDEX(Pedidos!$E$2:$E$1801,MATCH(B4391,Pedidos!$A$2:$A$1801,0)),"")</f>
        <v/>
      </c>
      <c r="J4391" s="25">
        <f>IFERROR(INDEX(Pedidos!$C$2:$C$1801,MATCH(B4391,Pedidos!$A$2:$A$1801,0)),"")</f>
        <v/>
      </c>
      <c r="K4391" s="25">
        <f>IFERROR(INDEX(Pedidos!$D$2:$D$1801,MATCH(B4391,Pedidos!$A$2:$A$1801,0)),"")</f>
        <v/>
      </c>
      <c r="L4391" s="25">
        <f>IFERROR(INDEX(Pedidos!$F$2:$F$1801,MATCH(B4391,Pedidos!$A$2:$A$1801,0)),"")</f>
        <v/>
      </c>
      <c r="M4391" s="26">
        <f>IFERROR(INDEX(Pedidos!$G$2:$G$1801,MATCH(B4391,Pedidos!$A$2:$A$1801,0)),0)</f>
        <v/>
      </c>
      <c r="N4391" s="25">
        <f>IFERROR(INDEX(Produtos!$B$2:$B$71,MATCH(C4391,Produtos!$A$2:$A$71,0)),"")</f>
        <v/>
      </c>
      <c r="O4391" s="25">
        <f>IFERROR(INDEX(Produtos!$C$2:$C$71,MATCH(C4391,Produtos!$A$2:$A$71,0)),"")</f>
        <v/>
      </c>
      <c r="P4391" s="25">
        <f>IFERROR(INDEX(Produtos!$D$2:$D$71,MATCH(C4391,Produtos!$A$2:$A$71,0)),0)</f>
        <v/>
      </c>
      <c r="Q4391" s="25">
        <f>IFERROR(INDEX(Produtos!$E$2:$E$71,MATCH(C4391,Produtos!$A$2:$A$71,0)),0)</f>
        <v/>
      </c>
      <c r="R4391" s="27">
        <f>D4391*Q4391</f>
        <v/>
      </c>
      <c r="S4391" s="27">
        <f>R4391*E4391</f>
        <v/>
      </c>
      <c r="T4391" s="27">
        <f>(R4391-S4391)*M4391</f>
        <v/>
      </c>
      <c r="U4391" s="27">
        <f>R4391-S4391-T4391</f>
        <v/>
      </c>
      <c r="V4391" s="27">
        <f>D4391*P4391</f>
        <v/>
      </c>
      <c r="W4391" s="27">
        <f>U4391-V4391</f>
        <v/>
      </c>
      <c r="X4391" s="28">
        <f>IFERROR(W4391/U4391,0)</f>
        <v/>
      </c>
    </row>
    <row r="4392">
      <c r="A4392" s="21">
        <f>ItensPedido!A4392</f>
        <v/>
      </c>
      <c r="B4392" s="21">
        <f>ItensPedido!B4392</f>
        <v/>
      </c>
      <c r="C4392" s="21">
        <f>ItensPedido!C4392</f>
        <v/>
      </c>
      <c r="D4392" s="21">
        <f>ItensPedido!D4392</f>
        <v/>
      </c>
      <c r="E4392" s="22">
        <f>ItensPedido!E4392</f>
        <v/>
      </c>
      <c r="F4392" s="21">
        <f>IFERROR(INDEX(Pedidos!$B$2:$B$1801,MATCH(B4392,Pedidos!$A$2:$A$1801,0)),0)</f>
        <v/>
      </c>
      <c r="G4392" s="21">
        <f>IF(F4392=0,"",YEAR(F4392))</f>
        <v/>
      </c>
      <c r="H4392" s="21">
        <f>IF(F4392=0,"",MONTH(F4392))</f>
        <v/>
      </c>
      <c r="I4392" s="21">
        <f>IFERROR(INDEX(Pedidos!$E$2:$E$1801,MATCH(B4392,Pedidos!$A$2:$A$1801,0)),"")</f>
        <v/>
      </c>
      <c r="J4392" s="21">
        <f>IFERROR(INDEX(Pedidos!$C$2:$C$1801,MATCH(B4392,Pedidos!$A$2:$A$1801,0)),"")</f>
        <v/>
      </c>
      <c r="K4392" s="21">
        <f>IFERROR(INDEX(Pedidos!$D$2:$D$1801,MATCH(B4392,Pedidos!$A$2:$A$1801,0)),"")</f>
        <v/>
      </c>
      <c r="L4392" s="21">
        <f>IFERROR(INDEX(Pedidos!$F$2:$F$1801,MATCH(B4392,Pedidos!$A$2:$A$1801,0)),"")</f>
        <v/>
      </c>
      <c r="M4392" s="22">
        <f>IFERROR(INDEX(Pedidos!$G$2:$G$1801,MATCH(B4392,Pedidos!$A$2:$A$1801,0)),0)</f>
        <v/>
      </c>
      <c r="N4392" s="21">
        <f>IFERROR(INDEX(Produtos!$B$2:$B$71,MATCH(C4392,Produtos!$A$2:$A$71,0)),"")</f>
        <v/>
      </c>
      <c r="O4392" s="21">
        <f>IFERROR(INDEX(Produtos!$C$2:$C$71,MATCH(C4392,Produtos!$A$2:$A$71,0)),"")</f>
        <v/>
      </c>
      <c r="P4392" s="21">
        <f>IFERROR(INDEX(Produtos!$D$2:$D$71,MATCH(C4392,Produtos!$A$2:$A$71,0)),0)</f>
        <v/>
      </c>
      <c r="Q4392" s="21">
        <f>IFERROR(INDEX(Produtos!$E$2:$E$71,MATCH(C4392,Produtos!$A$2:$A$71,0)),0)</f>
        <v/>
      </c>
      <c r="R4392" s="23">
        <f>D4392*Q4392</f>
        <v/>
      </c>
      <c r="S4392" s="23">
        <f>R4392*E4392</f>
        <v/>
      </c>
      <c r="T4392" s="23">
        <f>(R4392-S4392)*M4392</f>
        <v/>
      </c>
      <c r="U4392" s="23">
        <f>R4392-S4392-T4392</f>
        <v/>
      </c>
      <c r="V4392" s="23">
        <f>D4392*P4392</f>
        <v/>
      </c>
      <c r="W4392" s="23">
        <f>U4392-V4392</f>
        <v/>
      </c>
      <c r="X4392" s="24">
        <f>IFERROR(W4392/U4392,0)</f>
        <v/>
      </c>
    </row>
    <row r="4393">
      <c r="A4393" s="25">
        <f>ItensPedido!A4393</f>
        <v/>
      </c>
      <c r="B4393" s="25">
        <f>ItensPedido!B4393</f>
        <v/>
      </c>
      <c r="C4393" s="25">
        <f>ItensPedido!C4393</f>
        <v/>
      </c>
      <c r="D4393" s="25">
        <f>ItensPedido!D4393</f>
        <v/>
      </c>
      <c r="E4393" s="26">
        <f>ItensPedido!E4393</f>
        <v/>
      </c>
      <c r="F4393" s="25">
        <f>IFERROR(INDEX(Pedidos!$B$2:$B$1801,MATCH(B4393,Pedidos!$A$2:$A$1801,0)),0)</f>
        <v/>
      </c>
      <c r="G4393" s="25">
        <f>IF(F4393=0,"",YEAR(F4393))</f>
        <v/>
      </c>
      <c r="H4393" s="25">
        <f>IF(F4393=0,"",MONTH(F4393))</f>
        <v/>
      </c>
      <c r="I4393" s="25">
        <f>IFERROR(INDEX(Pedidos!$E$2:$E$1801,MATCH(B4393,Pedidos!$A$2:$A$1801,0)),"")</f>
        <v/>
      </c>
      <c r="J4393" s="25">
        <f>IFERROR(INDEX(Pedidos!$C$2:$C$1801,MATCH(B4393,Pedidos!$A$2:$A$1801,0)),"")</f>
        <v/>
      </c>
      <c r="K4393" s="25">
        <f>IFERROR(INDEX(Pedidos!$D$2:$D$1801,MATCH(B4393,Pedidos!$A$2:$A$1801,0)),"")</f>
        <v/>
      </c>
      <c r="L4393" s="25">
        <f>IFERROR(INDEX(Pedidos!$F$2:$F$1801,MATCH(B4393,Pedidos!$A$2:$A$1801,0)),"")</f>
        <v/>
      </c>
      <c r="M4393" s="26">
        <f>IFERROR(INDEX(Pedidos!$G$2:$G$1801,MATCH(B4393,Pedidos!$A$2:$A$1801,0)),0)</f>
        <v/>
      </c>
      <c r="N4393" s="25">
        <f>IFERROR(INDEX(Produtos!$B$2:$B$71,MATCH(C4393,Produtos!$A$2:$A$71,0)),"")</f>
        <v/>
      </c>
      <c r="O4393" s="25">
        <f>IFERROR(INDEX(Produtos!$C$2:$C$71,MATCH(C4393,Produtos!$A$2:$A$71,0)),"")</f>
        <v/>
      </c>
      <c r="P4393" s="25">
        <f>IFERROR(INDEX(Produtos!$D$2:$D$71,MATCH(C4393,Produtos!$A$2:$A$71,0)),0)</f>
        <v/>
      </c>
      <c r="Q4393" s="25">
        <f>IFERROR(INDEX(Produtos!$E$2:$E$71,MATCH(C4393,Produtos!$A$2:$A$71,0)),0)</f>
        <v/>
      </c>
      <c r="R4393" s="27">
        <f>D4393*Q4393</f>
        <v/>
      </c>
      <c r="S4393" s="27">
        <f>R4393*E4393</f>
        <v/>
      </c>
      <c r="T4393" s="27">
        <f>(R4393-S4393)*M4393</f>
        <v/>
      </c>
      <c r="U4393" s="27">
        <f>R4393-S4393-T4393</f>
        <v/>
      </c>
      <c r="V4393" s="27">
        <f>D4393*P4393</f>
        <v/>
      </c>
      <c r="W4393" s="27">
        <f>U4393-V4393</f>
        <v/>
      </c>
      <c r="X4393" s="28">
        <f>IFERROR(W4393/U4393,0)</f>
        <v/>
      </c>
    </row>
    <row r="4394">
      <c r="A4394" s="21">
        <f>ItensPedido!A4394</f>
        <v/>
      </c>
      <c r="B4394" s="21">
        <f>ItensPedido!B4394</f>
        <v/>
      </c>
      <c r="C4394" s="21">
        <f>ItensPedido!C4394</f>
        <v/>
      </c>
      <c r="D4394" s="21">
        <f>ItensPedido!D4394</f>
        <v/>
      </c>
      <c r="E4394" s="22">
        <f>ItensPedido!E4394</f>
        <v/>
      </c>
      <c r="F4394" s="21">
        <f>IFERROR(INDEX(Pedidos!$B$2:$B$1801,MATCH(B4394,Pedidos!$A$2:$A$1801,0)),0)</f>
        <v/>
      </c>
      <c r="G4394" s="21">
        <f>IF(F4394=0,"",YEAR(F4394))</f>
        <v/>
      </c>
      <c r="H4394" s="21">
        <f>IF(F4394=0,"",MONTH(F4394))</f>
        <v/>
      </c>
      <c r="I4394" s="21">
        <f>IFERROR(INDEX(Pedidos!$E$2:$E$1801,MATCH(B4394,Pedidos!$A$2:$A$1801,0)),"")</f>
        <v/>
      </c>
      <c r="J4394" s="21">
        <f>IFERROR(INDEX(Pedidos!$C$2:$C$1801,MATCH(B4394,Pedidos!$A$2:$A$1801,0)),"")</f>
        <v/>
      </c>
      <c r="K4394" s="21">
        <f>IFERROR(INDEX(Pedidos!$D$2:$D$1801,MATCH(B4394,Pedidos!$A$2:$A$1801,0)),"")</f>
        <v/>
      </c>
      <c r="L4394" s="21">
        <f>IFERROR(INDEX(Pedidos!$F$2:$F$1801,MATCH(B4394,Pedidos!$A$2:$A$1801,0)),"")</f>
        <v/>
      </c>
      <c r="M4394" s="22">
        <f>IFERROR(INDEX(Pedidos!$G$2:$G$1801,MATCH(B4394,Pedidos!$A$2:$A$1801,0)),0)</f>
        <v/>
      </c>
      <c r="N4394" s="21">
        <f>IFERROR(INDEX(Produtos!$B$2:$B$71,MATCH(C4394,Produtos!$A$2:$A$71,0)),"")</f>
        <v/>
      </c>
      <c r="O4394" s="21">
        <f>IFERROR(INDEX(Produtos!$C$2:$C$71,MATCH(C4394,Produtos!$A$2:$A$71,0)),"")</f>
        <v/>
      </c>
      <c r="P4394" s="21">
        <f>IFERROR(INDEX(Produtos!$D$2:$D$71,MATCH(C4394,Produtos!$A$2:$A$71,0)),0)</f>
        <v/>
      </c>
      <c r="Q4394" s="21">
        <f>IFERROR(INDEX(Produtos!$E$2:$E$71,MATCH(C4394,Produtos!$A$2:$A$71,0)),0)</f>
        <v/>
      </c>
      <c r="R4394" s="23">
        <f>D4394*Q4394</f>
        <v/>
      </c>
      <c r="S4394" s="23">
        <f>R4394*E4394</f>
        <v/>
      </c>
      <c r="T4394" s="23">
        <f>(R4394-S4394)*M4394</f>
        <v/>
      </c>
      <c r="U4394" s="23">
        <f>R4394-S4394-T4394</f>
        <v/>
      </c>
      <c r="V4394" s="23">
        <f>D4394*P4394</f>
        <v/>
      </c>
      <c r="W4394" s="23">
        <f>U4394-V4394</f>
        <v/>
      </c>
      <c r="X4394" s="24">
        <f>IFERROR(W4394/U4394,0)</f>
        <v/>
      </c>
    </row>
    <row r="4395">
      <c r="A4395" s="25">
        <f>ItensPedido!A4395</f>
        <v/>
      </c>
      <c r="B4395" s="25">
        <f>ItensPedido!B4395</f>
        <v/>
      </c>
      <c r="C4395" s="25">
        <f>ItensPedido!C4395</f>
        <v/>
      </c>
      <c r="D4395" s="25">
        <f>ItensPedido!D4395</f>
        <v/>
      </c>
      <c r="E4395" s="26">
        <f>ItensPedido!E4395</f>
        <v/>
      </c>
      <c r="F4395" s="25">
        <f>IFERROR(INDEX(Pedidos!$B$2:$B$1801,MATCH(B4395,Pedidos!$A$2:$A$1801,0)),0)</f>
        <v/>
      </c>
      <c r="G4395" s="25">
        <f>IF(F4395=0,"",YEAR(F4395))</f>
        <v/>
      </c>
      <c r="H4395" s="25">
        <f>IF(F4395=0,"",MONTH(F4395))</f>
        <v/>
      </c>
      <c r="I4395" s="25">
        <f>IFERROR(INDEX(Pedidos!$E$2:$E$1801,MATCH(B4395,Pedidos!$A$2:$A$1801,0)),"")</f>
        <v/>
      </c>
      <c r="J4395" s="25">
        <f>IFERROR(INDEX(Pedidos!$C$2:$C$1801,MATCH(B4395,Pedidos!$A$2:$A$1801,0)),"")</f>
        <v/>
      </c>
      <c r="K4395" s="25">
        <f>IFERROR(INDEX(Pedidos!$D$2:$D$1801,MATCH(B4395,Pedidos!$A$2:$A$1801,0)),"")</f>
        <v/>
      </c>
      <c r="L4395" s="25">
        <f>IFERROR(INDEX(Pedidos!$F$2:$F$1801,MATCH(B4395,Pedidos!$A$2:$A$1801,0)),"")</f>
        <v/>
      </c>
      <c r="M4395" s="26">
        <f>IFERROR(INDEX(Pedidos!$G$2:$G$1801,MATCH(B4395,Pedidos!$A$2:$A$1801,0)),0)</f>
        <v/>
      </c>
      <c r="N4395" s="25">
        <f>IFERROR(INDEX(Produtos!$B$2:$B$71,MATCH(C4395,Produtos!$A$2:$A$71,0)),"")</f>
        <v/>
      </c>
      <c r="O4395" s="25">
        <f>IFERROR(INDEX(Produtos!$C$2:$C$71,MATCH(C4395,Produtos!$A$2:$A$71,0)),"")</f>
        <v/>
      </c>
      <c r="P4395" s="25">
        <f>IFERROR(INDEX(Produtos!$D$2:$D$71,MATCH(C4395,Produtos!$A$2:$A$71,0)),0)</f>
        <v/>
      </c>
      <c r="Q4395" s="25">
        <f>IFERROR(INDEX(Produtos!$E$2:$E$71,MATCH(C4395,Produtos!$A$2:$A$71,0)),0)</f>
        <v/>
      </c>
      <c r="R4395" s="27">
        <f>D4395*Q4395</f>
        <v/>
      </c>
      <c r="S4395" s="27">
        <f>R4395*E4395</f>
        <v/>
      </c>
      <c r="T4395" s="27">
        <f>(R4395-S4395)*M4395</f>
        <v/>
      </c>
      <c r="U4395" s="27">
        <f>R4395-S4395-T4395</f>
        <v/>
      </c>
      <c r="V4395" s="27">
        <f>D4395*P4395</f>
        <v/>
      </c>
      <c r="W4395" s="27">
        <f>U4395-V4395</f>
        <v/>
      </c>
      <c r="X4395" s="28">
        <f>IFERROR(W4395/U4395,0)</f>
        <v/>
      </c>
    </row>
    <row r="4396">
      <c r="A4396" s="21">
        <f>ItensPedido!A4396</f>
        <v/>
      </c>
      <c r="B4396" s="21">
        <f>ItensPedido!B4396</f>
        <v/>
      </c>
      <c r="C4396" s="21">
        <f>ItensPedido!C4396</f>
        <v/>
      </c>
      <c r="D4396" s="21">
        <f>ItensPedido!D4396</f>
        <v/>
      </c>
      <c r="E4396" s="22">
        <f>ItensPedido!E4396</f>
        <v/>
      </c>
      <c r="F4396" s="21">
        <f>IFERROR(INDEX(Pedidos!$B$2:$B$1801,MATCH(B4396,Pedidos!$A$2:$A$1801,0)),0)</f>
        <v/>
      </c>
      <c r="G4396" s="21">
        <f>IF(F4396=0,"",YEAR(F4396))</f>
        <v/>
      </c>
      <c r="H4396" s="21">
        <f>IF(F4396=0,"",MONTH(F4396))</f>
        <v/>
      </c>
      <c r="I4396" s="21">
        <f>IFERROR(INDEX(Pedidos!$E$2:$E$1801,MATCH(B4396,Pedidos!$A$2:$A$1801,0)),"")</f>
        <v/>
      </c>
      <c r="J4396" s="21">
        <f>IFERROR(INDEX(Pedidos!$C$2:$C$1801,MATCH(B4396,Pedidos!$A$2:$A$1801,0)),"")</f>
        <v/>
      </c>
      <c r="K4396" s="21">
        <f>IFERROR(INDEX(Pedidos!$D$2:$D$1801,MATCH(B4396,Pedidos!$A$2:$A$1801,0)),"")</f>
        <v/>
      </c>
      <c r="L4396" s="21">
        <f>IFERROR(INDEX(Pedidos!$F$2:$F$1801,MATCH(B4396,Pedidos!$A$2:$A$1801,0)),"")</f>
        <v/>
      </c>
      <c r="M4396" s="22">
        <f>IFERROR(INDEX(Pedidos!$G$2:$G$1801,MATCH(B4396,Pedidos!$A$2:$A$1801,0)),0)</f>
        <v/>
      </c>
      <c r="N4396" s="21">
        <f>IFERROR(INDEX(Produtos!$B$2:$B$71,MATCH(C4396,Produtos!$A$2:$A$71,0)),"")</f>
        <v/>
      </c>
      <c r="O4396" s="21">
        <f>IFERROR(INDEX(Produtos!$C$2:$C$71,MATCH(C4396,Produtos!$A$2:$A$71,0)),"")</f>
        <v/>
      </c>
      <c r="P4396" s="21">
        <f>IFERROR(INDEX(Produtos!$D$2:$D$71,MATCH(C4396,Produtos!$A$2:$A$71,0)),0)</f>
        <v/>
      </c>
      <c r="Q4396" s="21">
        <f>IFERROR(INDEX(Produtos!$E$2:$E$71,MATCH(C4396,Produtos!$A$2:$A$71,0)),0)</f>
        <v/>
      </c>
      <c r="R4396" s="23">
        <f>D4396*Q4396</f>
        <v/>
      </c>
      <c r="S4396" s="23">
        <f>R4396*E4396</f>
        <v/>
      </c>
      <c r="T4396" s="23">
        <f>(R4396-S4396)*M4396</f>
        <v/>
      </c>
      <c r="U4396" s="23">
        <f>R4396-S4396-T4396</f>
        <v/>
      </c>
      <c r="V4396" s="23">
        <f>D4396*P4396</f>
        <v/>
      </c>
      <c r="W4396" s="23">
        <f>U4396-V4396</f>
        <v/>
      </c>
      <c r="X4396" s="24">
        <f>IFERROR(W4396/U4396,0)</f>
        <v/>
      </c>
    </row>
    <row r="4397">
      <c r="A4397" s="25">
        <f>ItensPedido!A4397</f>
        <v/>
      </c>
      <c r="B4397" s="25">
        <f>ItensPedido!B4397</f>
        <v/>
      </c>
      <c r="C4397" s="25">
        <f>ItensPedido!C4397</f>
        <v/>
      </c>
      <c r="D4397" s="25">
        <f>ItensPedido!D4397</f>
        <v/>
      </c>
      <c r="E4397" s="26">
        <f>ItensPedido!E4397</f>
        <v/>
      </c>
      <c r="F4397" s="25">
        <f>IFERROR(INDEX(Pedidos!$B$2:$B$1801,MATCH(B4397,Pedidos!$A$2:$A$1801,0)),0)</f>
        <v/>
      </c>
      <c r="G4397" s="25">
        <f>IF(F4397=0,"",YEAR(F4397))</f>
        <v/>
      </c>
      <c r="H4397" s="25">
        <f>IF(F4397=0,"",MONTH(F4397))</f>
        <v/>
      </c>
      <c r="I4397" s="25">
        <f>IFERROR(INDEX(Pedidos!$E$2:$E$1801,MATCH(B4397,Pedidos!$A$2:$A$1801,0)),"")</f>
        <v/>
      </c>
      <c r="J4397" s="25">
        <f>IFERROR(INDEX(Pedidos!$C$2:$C$1801,MATCH(B4397,Pedidos!$A$2:$A$1801,0)),"")</f>
        <v/>
      </c>
      <c r="K4397" s="25">
        <f>IFERROR(INDEX(Pedidos!$D$2:$D$1801,MATCH(B4397,Pedidos!$A$2:$A$1801,0)),"")</f>
        <v/>
      </c>
      <c r="L4397" s="25">
        <f>IFERROR(INDEX(Pedidos!$F$2:$F$1801,MATCH(B4397,Pedidos!$A$2:$A$1801,0)),"")</f>
        <v/>
      </c>
      <c r="M4397" s="26">
        <f>IFERROR(INDEX(Pedidos!$G$2:$G$1801,MATCH(B4397,Pedidos!$A$2:$A$1801,0)),0)</f>
        <v/>
      </c>
      <c r="N4397" s="25">
        <f>IFERROR(INDEX(Produtos!$B$2:$B$71,MATCH(C4397,Produtos!$A$2:$A$71,0)),"")</f>
        <v/>
      </c>
      <c r="O4397" s="25">
        <f>IFERROR(INDEX(Produtos!$C$2:$C$71,MATCH(C4397,Produtos!$A$2:$A$71,0)),"")</f>
        <v/>
      </c>
      <c r="P4397" s="25">
        <f>IFERROR(INDEX(Produtos!$D$2:$D$71,MATCH(C4397,Produtos!$A$2:$A$71,0)),0)</f>
        <v/>
      </c>
      <c r="Q4397" s="25">
        <f>IFERROR(INDEX(Produtos!$E$2:$E$71,MATCH(C4397,Produtos!$A$2:$A$71,0)),0)</f>
        <v/>
      </c>
      <c r="R4397" s="27">
        <f>D4397*Q4397</f>
        <v/>
      </c>
      <c r="S4397" s="27">
        <f>R4397*E4397</f>
        <v/>
      </c>
      <c r="T4397" s="27">
        <f>(R4397-S4397)*M4397</f>
        <v/>
      </c>
      <c r="U4397" s="27">
        <f>R4397-S4397-T4397</f>
        <v/>
      </c>
      <c r="V4397" s="27">
        <f>D4397*P4397</f>
        <v/>
      </c>
      <c r="W4397" s="27">
        <f>U4397-V4397</f>
        <v/>
      </c>
      <c r="X4397" s="28">
        <f>IFERROR(W4397/U4397,0)</f>
        <v/>
      </c>
    </row>
    <row r="4398">
      <c r="A4398" s="21">
        <f>ItensPedido!A4398</f>
        <v/>
      </c>
      <c r="B4398" s="21">
        <f>ItensPedido!B4398</f>
        <v/>
      </c>
      <c r="C4398" s="21">
        <f>ItensPedido!C4398</f>
        <v/>
      </c>
      <c r="D4398" s="21">
        <f>ItensPedido!D4398</f>
        <v/>
      </c>
      <c r="E4398" s="22">
        <f>ItensPedido!E4398</f>
        <v/>
      </c>
      <c r="F4398" s="21">
        <f>IFERROR(INDEX(Pedidos!$B$2:$B$1801,MATCH(B4398,Pedidos!$A$2:$A$1801,0)),0)</f>
        <v/>
      </c>
      <c r="G4398" s="21">
        <f>IF(F4398=0,"",YEAR(F4398))</f>
        <v/>
      </c>
      <c r="H4398" s="21">
        <f>IF(F4398=0,"",MONTH(F4398))</f>
        <v/>
      </c>
      <c r="I4398" s="21">
        <f>IFERROR(INDEX(Pedidos!$E$2:$E$1801,MATCH(B4398,Pedidos!$A$2:$A$1801,0)),"")</f>
        <v/>
      </c>
      <c r="J4398" s="21">
        <f>IFERROR(INDEX(Pedidos!$C$2:$C$1801,MATCH(B4398,Pedidos!$A$2:$A$1801,0)),"")</f>
        <v/>
      </c>
      <c r="K4398" s="21">
        <f>IFERROR(INDEX(Pedidos!$D$2:$D$1801,MATCH(B4398,Pedidos!$A$2:$A$1801,0)),"")</f>
        <v/>
      </c>
      <c r="L4398" s="21">
        <f>IFERROR(INDEX(Pedidos!$F$2:$F$1801,MATCH(B4398,Pedidos!$A$2:$A$1801,0)),"")</f>
        <v/>
      </c>
      <c r="M4398" s="22">
        <f>IFERROR(INDEX(Pedidos!$G$2:$G$1801,MATCH(B4398,Pedidos!$A$2:$A$1801,0)),0)</f>
        <v/>
      </c>
      <c r="N4398" s="21">
        <f>IFERROR(INDEX(Produtos!$B$2:$B$71,MATCH(C4398,Produtos!$A$2:$A$71,0)),"")</f>
        <v/>
      </c>
      <c r="O4398" s="21">
        <f>IFERROR(INDEX(Produtos!$C$2:$C$71,MATCH(C4398,Produtos!$A$2:$A$71,0)),"")</f>
        <v/>
      </c>
      <c r="P4398" s="21">
        <f>IFERROR(INDEX(Produtos!$D$2:$D$71,MATCH(C4398,Produtos!$A$2:$A$71,0)),0)</f>
        <v/>
      </c>
      <c r="Q4398" s="21">
        <f>IFERROR(INDEX(Produtos!$E$2:$E$71,MATCH(C4398,Produtos!$A$2:$A$71,0)),0)</f>
        <v/>
      </c>
      <c r="R4398" s="23">
        <f>D4398*Q4398</f>
        <v/>
      </c>
      <c r="S4398" s="23">
        <f>R4398*E4398</f>
        <v/>
      </c>
      <c r="T4398" s="23">
        <f>(R4398-S4398)*M4398</f>
        <v/>
      </c>
      <c r="U4398" s="23">
        <f>R4398-S4398-T4398</f>
        <v/>
      </c>
      <c r="V4398" s="23">
        <f>D4398*P4398</f>
        <v/>
      </c>
      <c r="W4398" s="23">
        <f>U4398-V4398</f>
        <v/>
      </c>
      <c r="X4398" s="24">
        <f>IFERROR(W4398/U4398,0)</f>
        <v/>
      </c>
    </row>
    <row r="4399">
      <c r="A4399" s="25">
        <f>ItensPedido!A4399</f>
        <v/>
      </c>
      <c r="B4399" s="25">
        <f>ItensPedido!B4399</f>
        <v/>
      </c>
      <c r="C4399" s="25">
        <f>ItensPedido!C4399</f>
        <v/>
      </c>
      <c r="D4399" s="25">
        <f>ItensPedido!D4399</f>
        <v/>
      </c>
      <c r="E4399" s="26">
        <f>ItensPedido!E4399</f>
        <v/>
      </c>
      <c r="F4399" s="25">
        <f>IFERROR(INDEX(Pedidos!$B$2:$B$1801,MATCH(B4399,Pedidos!$A$2:$A$1801,0)),0)</f>
        <v/>
      </c>
      <c r="G4399" s="25">
        <f>IF(F4399=0,"",YEAR(F4399))</f>
        <v/>
      </c>
      <c r="H4399" s="25">
        <f>IF(F4399=0,"",MONTH(F4399))</f>
        <v/>
      </c>
      <c r="I4399" s="25">
        <f>IFERROR(INDEX(Pedidos!$E$2:$E$1801,MATCH(B4399,Pedidos!$A$2:$A$1801,0)),"")</f>
        <v/>
      </c>
      <c r="J4399" s="25">
        <f>IFERROR(INDEX(Pedidos!$C$2:$C$1801,MATCH(B4399,Pedidos!$A$2:$A$1801,0)),"")</f>
        <v/>
      </c>
      <c r="K4399" s="25">
        <f>IFERROR(INDEX(Pedidos!$D$2:$D$1801,MATCH(B4399,Pedidos!$A$2:$A$1801,0)),"")</f>
        <v/>
      </c>
      <c r="L4399" s="25">
        <f>IFERROR(INDEX(Pedidos!$F$2:$F$1801,MATCH(B4399,Pedidos!$A$2:$A$1801,0)),"")</f>
        <v/>
      </c>
      <c r="M4399" s="26">
        <f>IFERROR(INDEX(Pedidos!$G$2:$G$1801,MATCH(B4399,Pedidos!$A$2:$A$1801,0)),0)</f>
        <v/>
      </c>
      <c r="N4399" s="25">
        <f>IFERROR(INDEX(Produtos!$B$2:$B$71,MATCH(C4399,Produtos!$A$2:$A$71,0)),"")</f>
        <v/>
      </c>
      <c r="O4399" s="25">
        <f>IFERROR(INDEX(Produtos!$C$2:$C$71,MATCH(C4399,Produtos!$A$2:$A$71,0)),"")</f>
        <v/>
      </c>
      <c r="P4399" s="25">
        <f>IFERROR(INDEX(Produtos!$D$2:$D$71,MATCH(C4399,Produtos!$A$2:$A$71,0)),0)</f>
        <v/>
      </c>
      <c r="Q4399" s="25">
        <f>IFERROR(INDEX(Produtos!$E$2:$E$71,MATCH(C4399,Produtos!$A$2:$A$71,0)),0)</f>
        <v/>
      </c>
      <c r="R4399" s="27">
        <f>D4399*Q4399</f>
        <v/>
      </c>
      <c r="S4399" s="27">
        <f>R4399*E4399</f>
        <v/>
      </c>
      <c r="T4399" s="27">
        <f>(R4399-S4399)*M4399</f>
        <v/>
      </c>
      <c r="U4399" s="27">
        <f>R4399-S4399-T4399</f>
        <v/>
      </c>
      <c r="V4399" s="27">
        <f>D4399*P4399</f>
        <v/>
      </c>
      <c r="W4399" s="27">
        <f>U4399-V4399</f>
        <v/>
      </c>
      <c r="X4399" s="28">
        <f>IFERROR(W4399/U4399,0)</f>
        <v/>
      </c>
    </row>
    <row r="4400">
      <c r="A4400" s="21">
        <f>ItensPedido!A4400</f>
        <v/>
      </c>
      <c r="B4400" s="21">
        <f>ItensPedido!B4400</f>
        <v/>
      </c>
      <c r="C4400" s="21">
        <f>ItensPedido!C4400</f>
        <v/>
      </c>
      <c r="D4400" s="21">
        <f>ItensPedido!D4400</f>
        <v/>
      </c>
      <c r="E4400" s="22">
        <f>ItensPedido!E4400</f>
        <v/>
      </c>
      <c r="F4400" s="21">
        <f>IFERROR(INDEX(Pedidos!$B$2:$B$1801,MATCH(B4400,Pedidos!$A$2:$A$1801,0)),0)</f>
        <v/>
      </c>
      <c r="G4400" s="21">
        <f>IF(F4400=0,"",YEAR(F4400))</f>
        <v/>
      </c>
      <c r="H4400" s="21">
        <f>IF(F4400=0,"",MONTH(F4400))</f>
        <v/>
      </c>
      <c r="I4400" s="21">
        <f>IFERROR(INDEX(Pedidos!$E$2:$E$1801,MATCH(B4400,Pedidos!$A$2:$A$1801,0)),"")</f>
        <v/>
      </c>
      <c r="J4400" s="21">
        <f>IFERROR(INDEX(Pedidos!$C$2:$C$1801,MATCH(B4400,Pedidos!$A$2:$A$1801,0)),"")</f>
        <v/>
      </c>
      <c r="K4400" s="21">
        <f>IFERROR(INDEX(Pedidos!$D$2:$D$1801,MATCH(B4400,Pedidos!$A$2:$A$1801,0)),"")</f>
        <v/>
      </c>
      <c r="L4400" s="21">
        <f>IFERROR(INDEX(Pedidos!$F$2:$F$1801,MATCH(B4400,Pedidos!$A$2:$A$1801,0)),"")</f>
        <v/>
      </c>
      <c r="M4400" s="22">
        <f>IFERROR(INDEX(Pedidos!$G$2:$G$1801,MATCH(B4400,Pedidos!$A$2:$A$1801,0)),0)</f>
        <v/>
      </c>
      <c r="N4400" s="21">
        <f>IFERROR(INDEX(Produtos!$B$2:$B$71,MATCH(C4400,Produtos!$A$2:$A$71,0)),"")</f>
        <v/>
      </c>
      <c r="O4400" s="21">
        <f>IFERROR(INDEX(Produtos!$C$2:$C$71,MATCH(C4400,Produtos!$A$2:$A$71,0)),"")</f>
        <v/>
      </c>
      <c r="P4400" s="21">
        <f>IFERROR(INDEX(Produtos!$D$2:$D$71,MATCH(C4400,Produtos!$A$2:$A$71,0)),0)</f>
        <v/>
      </c>
      <c r="Q4400" s="21">
        <f>IFERROR(INDEX(Produtos!$E$2:$E$71,MATCH(C4400,Produtos!$A$2:$A$71,0)),0)</f>
        <v/>
      </c>
      <c r="R4400" s="23">
        <f>D4400*Q4400</f>
        <v/>
      </c>
      <c r="S4400" s="23">
        <f>R4400*E4400</f>
        <v/>
      </c>
      <c r="T4400" s="23">
        <f>(R4400-S4400)*M4400</f>
        <v/>
      </c>
      <c r="U4400" s="23">
        <f>R4400-S4400-T4400</f>
        <v/>
      </c>
      <c r="V4400" s="23">
        <f>D4400*P4400</f>
        <v/>
      </c>
      <c r="W4400" s="23">
        <f>U4400-V4400</f>
        <v/>
      </c>
      <c r="X4400" s="24">
        <f>IFERROR(W4400/U4400,0)</f>
        <v/>
      </c>
    </row>
    <row r="4401">
      <c r="A4401" s="25">
        <f>ItensPedido!A4401</f>
        <v/>
      </c>
      <c r="B4401" s="25">
        <f>ItensPedido!B4401</f>
        <v/>
      </c>
      <c r="C4401" s="25">
        <f>ItensPedido!C4401</f>
        <v/>
      </c>
      <c r="D4401" s="25">
        <f>ItensPedido!D4401</f>
        <v/>
      </c>
      <c r="E4401" s="26">
        <f>ItensPedido!E4401</f>
        <v/>
      </c>
      <c r="F4401" s="25">
        <f>IFERROR(INDEX(Pedidos!$B$2:$B$1801,MATCH(B4401,Pedidos!$A$2:$A$1801,0)),0)</f>
        <v/>
      </c>
      <c r="G4401" s="25">
        <f>IF(F4401=0,"",YEAR(F4401))</f>
        <v/>
      </c>
      <c r="H4401" s="25">
        <f>IF(F4401=0,"",MONTH(F4401))</f>
        <v/>
      </c>
      <c r="I4401" s="25">
        <f>IFERROR(INDEX(Pedidos!$E$2:$E$1801,MATCH(B4401,Pedidos!$A$2:$A$1801,0)),"")</f>
        <v/>
      </c>
      <c r="J4401" s="25">
        <f>IFERROR(INDEX(Pedidos!$C$2:$C$1801,MATCH(B4401,Pedidos!$A$2:$A$1801,0)),"")</f>
        <v/>
      </c>
      <c r="K4401" s="25">
        <f>IFERROR(INDEX(Pedidos!$D$2:$D$1801,MATCH(B4401,Pedidos!$A$2:$A$1801,0)),"")</f>
        <v/>
      </c>
      <c r="L4401" s="25">
        <f>IFERROR(INDEX(Pedidos!$F$2:$F$1801,MATCH(B4401,Pedidos!$A$2:$A$1801,0)),"")</f>
        <v/>
      </c>
      <c r="M4401" s="26">
        <f>IFERROR(INDEX(Pedidos!$G$2:$G$1801,MATCH(B4401,Pedidos!$A$2:$A$1801,0)),0)</f>
        <v/>
      </c>
      <c r="N4401" s="25">
        <f>IFERROR(INDEX(Produtos!$B$2:$B$71,MATCH(C4401,Produtos!$A$2:$A$71,0)),"")</f>
        <v/>
      </c>
      <c r="O4401" s="25">
        <f>IFERROR(INDEX(Produtos!$C$2:$C$71,MATCH(C4401,Produtos!$A$2:$A$71,0)),"")</f>
        <v/>
      </c>
      <c r="P4401" s="25">
        <f>IFERROR(INDEX(Produtos!$D$2:$D$71,MATCH(C4401,Produtos!$A$2:$A$71,0)),0)</f>
        <v/>
      </c>
      <c r="Q4401" s="25">
        <f>IFERROR(INDEX(Produtos!$E$2:$E$71,MATCH(C4401,Produtos!$A$2:$A$71,0)),0)</f>
        <v/>
      </c>
      <c r="R4401" s="27">
        <f>D4401*Q4401</f>
        <v/>
      </c>
      <c r="S4401" s="27">
        <f>R4401*E4401</f>
        <v/>
      </c>
      <c r="T4401" s="27">
        <f>(R4401-S4401)*M4401</f>
        <v/>
      </c>
      <c r="U4401" s="27">
        <f>R4401-S4401-T4401</f>
        <v/>
      </c>
      <c r="V4401" s="27">
        <f>D4401*P4401</f>
        <v/>
      </c>
      <c r="W4401" s="27">
        <f>U4401-V4401</f>
        <v/>
      </c>
      <c r="X4401" s="28">
        <f>IFERROR(W4401/U4401,0)</f>
        <v/>
      </c>
    </row>
    <row r="4402">
      <c r="A4402" s="21">
        <f>ItensPedido!A4402</f>
        <v/>
      </c>
      <c r="B4402" s="21">
        <f>ItensPedido!B4402</f>
        <v/>
      </c>
      <c r="C4402" s="21">
        <f>ItensPedido!C4402</f>
        <v/>
      </c>
      <c r="D4402" s="21">
        <f>ItensPedido!D4402</f>
        <v/>
      </c>
      <c r="E4402" s="22">
        <f>ItensPedido!E4402</f>
        <v/>
      </c>
      <c r="F4402" s="21">
        <f>IFERROR(INDEX(Pedidos!$B$2:$B$1801,MATCH(B4402,Pedidos!$A$2:$A$1801,0)),0)</f>
        <v/>
      </c>
      <c r="G4402" s="21">
        <f>IF(F4402=0,"",YEAR(F4402))</f>
        <v/>
      </c>
      <c r="H4402" s="21">
        <f>IF(F4402=0,"",MONTH(F4402))</f>
        <v/>
      </c>
      <c r="I4402" s="21">
        <f>IFERROR(INDEX(Pedidos!$E$2:$E$1801,MATCH(B4402,Pedidos!$A$2:$A$1801,0)),"")</f>
        <v/>
      </c>
      <c r="J4402" s="21">
        <f>IFERROR(INDEX(Pedidos!$C$2:$C$1801,MATCH(B4402,Pedidos!$A$2:$A$1801,0)),"")</f>
        <v/>
      </c>
      <c r="K4402" s="21">
        <f>IFERROR(INDEX(Pedidos!$D$2:$D$1801,MATCH(B4402,Pedidos!$A$2:$A$1801,0)),"")</f>
        <v/>
      </c>
      <c r="L4402" s="21">
        <f>IFERROR(INDEX(Pedidos!$F$2:$F$1801,MATCH(B4402,Pedidos!$A$2:$A$1801,0)),"")</f>
        <v/>
      </c>
      <c r="M4402" s="22">
        <f>IFERROR(INDEX(Pedidos!$G$2:$G$1801,MATCH(B4402,Pedidos!$A$2:$A$1801,0)),0)</f>
        <v/>
      </c>
      <c r="N4402" s="21">
        <f>IFERROR(INDEX(Produtos!$B$2:$B$71,MATCH(C4402,Produtos!$A$2:$A$71,0)),"")</f>
        <v/>
      </c>
      <c r="O4402" s="21">
        <f>IFERROR(INDEX(Produtos!$C$2:$C$71,MATCH(C4402,Produtos!$A$2:$A$71,0)),"")</f>
        <v/>
      </c>
      <c r="P4402" s="21">
        <f>IFERROR(INDEX(Produtos!$D$2:$D$71,MATCH(C4402,Produtos!$A$2:$A$71,0)),0)</f>
        <v/>
      </c>
      <c r="Q4402" s="21">
        <f>IFERROR(INDEX(Produtos!$E$2:$E$71,MATCH(C4402,Produtos!$A$2:$A$71,0)),0)</f>
        <v/>
      </c>
      <c r="R4402" s="23">
        <f>D4402*Q4402</f>
        <v/>
      </c>
      <c r="S4402" s="23">
        <f>R4402*E4402</f>
        <v/>
      </c>
      <c r="T4402" s="23">
        <f>(R4402-S4402)*M4402</f>
        <v/>
      </c>
      <c r="U4402" s="23">
        <f>R4402-S4402-T4402</f>
        <v/>
      </c>
      <c r="V4402" s="23">
        <f>D4402*P4402</f>
        <v/>
      </c>
      <c r="W4402" s="23">
        <f>U4402-V4402</f>
        <v/>
      </c>
      <c r="X4402" s="24">
        <f>IFERROR(W4402/U4402,0)</f>
        <v/>
      </c>
    </row>
    <row r="4403">
      <c r="A4403" s="25">
        <f>ItensPedido!A4403</f>
        <v/>
      </c>
      <c r="B4403" s="25">
        <f>ItensPedido!B4403</f>
        <v/>
      </c>
      <c r="C4403" s="25">
        <f>ItensPedido!C4403</f>
        <v/>
      </c>
      <c r="D4403" s="25">
        <f>ItensPedido!D4403</f>
        <v/>
      </c>
      <c r="E4403" s="26">
        <f>ItensPedido!E4403</f>
        <v/>
      </c>
      <c r="F4403" s="25">
        <f>IFERROR(INDEX(Pedidos!$B$2:$B$1801,MATCH(B4403,Pedidos!$A$2:$A$1801,0)),0)</f>
        <v/>
      </c>
      <c r="G4403" s="25">
        <f>IF(F4403=0,"",YEAR(F4403))</f>
        <v/>
      </c>
      <c r="H4403" s="25">
        <f>IF(F4403=0,"",MONTH(F4403))</f>
        <v/>
      </c>
      <c r="I4403" s="25">
        <f>IFERROR(INDEX(Pedidos!$E$2:$E$1801,MATCH(B4403,Pedidos!$A$2:$A$1801,0)),"")</f>
        <v/>
      </c>
      <c r="J4403" s="25">
        <f>IFERROR(INDEX(Pedidos!$C$2:$C$1801,MATCH(B4403,Pedidos!$A$2:$A$1801,0)),"")</f>
        <v/>
      </c>
      <c r="K4403" s="25">
        <f>IFERROR(INDEX(Pedidos!$D$2:$D$1801,MATCH(B4403,Pedidos!$A$2:$A$1801,0)),"")</f>
        <v/>
      </c>
      <c r="L4403" s="25">
        <f>IFERROR(INDEX(Pedidos!$F$2:$F$1801,MATCH(B4403,Pedidos!$A$2:$A$1801,0)),"")</f>
        <v/>
      </c>
      <c r="M4403" s="26">
        <f>IFERROR(INDEX(Pedidos!$G$2:$G$1801,MATCH(B4403,Pedidos!$A$2:$A$1801,0)),0)</f>
        <v/>
      </c>
      <c r="N4403" s="25">
        <f>IFERROR(INDEX(Produtos!$B$2:$B$71,MATCH(C4403,Produtos!$A$2:$A$71,0)),"")</f>
        <v/>
      </c>
      <c r="O4403" s="25">
        <f>IFERROR(INDEX(Produtos!$C$2:$C$71,MATCH(C4403,Produtos!$A$2:$A$71,0)),"")</f>
        <v/>
      </c>
      <c r="P4403" s="25">
        <f>IFERROR(INDEX(Produtos!$D$2:$D$71,MATCH(C4403,Produtos!$A$2:$A$71,0)),0)</f>
        <v/>
      </c>
      <c r="Q4403" s="25">
        <f>IFERROR(INDEX(Produtos!$E$2:$E$71,MATCH(C4403,Produtos!$A$2:$A$71,0)),0)</f>
        <v/>
      </c>
      <c r="R4403" s="27">
        <f>D4403*Q4403</f>
        <v/>
      </c>
      <c r="S4403" s="27">
        <f>R4403*E4403</f>
        <v/>
      </c>
      <c r="T4403" s="27">
        <f>(R4403-S4403)*M4403</f>
        <v/>
      </c>
      <c r="U4403" s="27">
        <f>R4403-S4403-T4403</f>
        <v/>
      </c>
      <c r="V4403" s="27">
        <f>D4403*P4403</f>
        <v/>
      </c>
      <c r="W4403" s="27">
        <f>U4403-V4403</f>
        <v/>
      </c>
      <c r="X4403" s="28">
        <f>IFERROR(W4403/U4403,0)</f>
        <v/>
      </c>
    </row>
    <row r="4404">
      <c r="A4404" s="21">
        <f>ItensPedido!A4404</f>
        <v/>
      </c>
      <c r="B4404" s="21">
        <f>ItensPedido!B4404</f>
        <v/>
      </c>
      <c r="C4404" s="21">
        <f>ItensPedido!C4404</f>
        <v/>
      </c>
      <c r="D4404" s="21">
        <f>ItensPedido!D4404</f>
        <v/>
      </c>
      <c r="E4404" s="22">
        <f>ItensPedido!E4404</f>
        <v/>
      </c>
      <c r="F4404" s="21">
        <f>IFERROR(INDEX(Pedidos!$B$2:$B$1801,MATCH(B4404,Pedidos!$A$2:$A$1801,0)),0)</f>
        <v/>
      </c>
      <c r="G4404" s="21">
        <f>IF(F4404=0,"",YEAR(F4404))</f>
        <v/>
      </c>
      <c r="H4404" s="21">
        <f>IF(F4404=0,"",MONTH(F4404))</f>
        <v/>
      </c>
      <c r="I4404" s="21">
        <f>IFERROR(INDEX(Pedidos!$E$2:$E$1801,MATCH(B4404,Pedidos!$A$2:$A$1801,0)),"")</f>
        <v/>
      </c>
      <c r="J4404" s="21">
        <f>IFERROR(INDEX(Pedidos!$C$2:$C$1801,MATCH(B4404,Pedidos!$A$2:$A$1801,0)),"")</f>
        <v/>
      </c>
      <c r="K4404" s="21">
        <f>IFERROR(INDEX(Pedidos!$D$2:$D$1801,MATCH(B4404,Pedidos!$A$2:$A$1801,0)),"")</f>
        <v/>
      </c>
      <c r="L4404" s="21">
        <f>IFERROR(INDEX(Pedidos!$F$2:$F$1801,MATCH(B4404,Pedidos!$A$2:$A$1801,0)),"")</f>
        <v/>
      </c>
      <c r="M4404" s="22">
        <f>IFERROR(INDEX(Pedidos!$G$2:$G$1801,MATCH(B4404,Pedidos!$A$2:$A$1801,0)),0)</f>
        <v/>
      </c>
      <c r="N4404" s="21">
        <f>IFERROR(INDEX(Produtos!$B$2:$B$71,MATCH(C4404,Produtos!$A$2:$A$71,0)),"")</f>
        <v/>
      </c>
      <c r="O4404" s="21">
        <f>IFERROR(INDEX(Produtos!$C$2:$C$71,MATCH(C4404,Produtos!$A$2:$A$71,0)),"")</f>
        <v/>
      </c>
      <c r="P4404" s="21">
        <f>IFERROR(INDEX(Produtos!$D$2:$D$71,MATCH(C4404,Produtos!$A$2:$A$71,0)),0)</f>
        <v/>
      </c>
      <c r="Q4404" s="21">
        <f>IFERROR(INDEX(Produtos!$E$2:$E$71,MATCH(C4404,Produtos!$A$2:$A$71,0)),0)</f>
        <v/>
      </c>
      <c r="R4404" s="23">
        <f>D4404*Q4404</f>
        <v/>
      </c>
      <c r="S4404" s="23">
        <f>R4404*E4404</f>
        <v/>
      </c>
      <c r="T4404" s="23">
        <f>(R4404-S4404)*M4404</f>
        <v/>
      </c>
      <c r="U4404" s="23">
        <f>R4404-S4404-T4404</f>
        <v/>
      </c>
      <c r="V4404" s="23">
        <f>D4404*P4404</f>
        <v/>
      </c>
      <c r="W4404" s="23">
        <f>U4404-V4404</f>
        <v/>
      </c>
      <c r="X4404" s="24">
        <f>IFERROR(W4404/U4404,0)</f>
        <v/>
      </c>
    </row>
    <row r="4405">
      <c r="A4405" s="25">
        <f>ItensPedido!A4405</f>
        <v/>
      </c>
      <c r="B4405" s="25">
        <f>ItensPedido!B4405</f>
        <v/>
      </c>
      <c r="C4405" s="25">
        <f>ItensPedido!C4405</f>
        <v/>
      </c>
      <c r="D4405" s="25">
        <f>ItensPedido!D4405</f>
        <v/>
      </c>
      <c r="E4405" s="26">
        <f>ItensPedido!E4405</f>
        <v/>
      </c>
      <c r="F4405" s="25">
        <f>IFERROR(INDEX(Pedidos!$B$2:$B$1801,MATCH(B4405,Pedidos!$A$2:$A$1801,0)),0)</f>
        <v/>
      </c>
      <c r="G4405" s="25">
        <f>IF(F4405=0,"",YEAR(F4405))</f>
        <v/>
      </c>
      <c r="H4405" s="25">
        <f>IF(F4405=0,"",MONTH(F4405))</f>
        <v/>
      </c>
      <c r="I4405" s="25">
        <f>IFERROR(INDEX(Pedidos!$E$2:$E$1801,MATCH(B4405,Pedidos!$A$2:$A$1801,0)),"")</f>
        <v/>
      </c>
      <c r="J4405" s="25">
        <f>IFERROR(INDEX(Pedidos!$C$2:$C$1801,MATCH(B4405,Pedidos!$A$2:$A$1801,0)),"")</f>
        <v/>
      </c>
      <c r="K4405" s="25">
        <f>IFERROR(INDEX(Pedidos!$D$2:$D$1801,MATCH(B4405,Pedidos!$A$2:$A$1801,0)),"")</f>
        <v/>
      </c>
      <c r="L4405" s="25">
        <f>IFERROR(INDEX(Pedidos!$F$2:$F$1801,MATCH(B4405,Pedidos!$A$2:$A$1801,0)),"")</f>
        <v/>
      </c>
      <c r="M4405" s="26">
        <f>IFERROR(INDEX(Pedidos!$G$2:$G$1801,MATCH(B4405,Pedidos!$A$2:$A$1801,0)),0)</f>
        <v/>
      </c>
      <c r="N4405" s="25">
        <f>IFERROR(INDEX(Produtos!$B$2:$B$71,MATCH(C4405,Produtos!$A$2:$A$71,0)),"")</f>
        <v/>
      </c>
      <c r="O4405" s="25">
        <f>IFERROR(INDEX(Produtos!$C$2:$C$71,MATCH(C4405,Produtos!$A$2:$A$71,0)),"")</f>
        <v/>
      </c>
      <c r="P4405" s="25">
        <f>IFERROR(INDEX(Produtos!$D$2:$D$71,MATCH(C4405,Produtos!$A$2:$A$71,0)),0)</f>
        <v/>
      </c>
      <c r="Q4405" s="25">
        <f>IFERROR(INDEX(Produtos!$E$2:$E$71,MATCH(C4405,Produtos!$A$2:$A$71,0)),0)</f>
        <v/>
      </c>
      <c r="R4405" s="27">
        <f>D4405*Q4405</f>
        <v/>
      </c>
      <c r="S4405" s="27">
        <f>R4405*E4405</f>
        <v/>
      </c>
      <c r="T4405" s="27">
        <f>(R4405-S4405)*M4405</f>
        <v/>
      </c>
      <c r="U4405" s="27">
        <f>R4405-S4405-T4405</f>
        <v/>
      </c>
      <c r="V4405" s="27">
        <f>D4405*P4405</f>
        <v/>
      </c>
      <c r="W4405" s="27">
        <f>U4405-V4405</f>
        <v/>
      </c>
      <c r="X4405" s="28">
        <f>IFERROR(W4405/U4405,0)</f>
        <v/>
      </c>
    </row>
    <row r="4406">
      <c r="A4406" s="21">
        <f>ItensPedido!A4406</f>
        <v/>
      </c>
      <c r="B4406" s="21">
        <f>ItensPedido!B4406</f>
        <v/>
      </c>
      <c r="C4406" s="21">
        <f>ItensPedido!C4406</f>
        <v/>
      </c>
      <c r="D4406" s="21">
        <f>ItensPedido!D4406</f>
        <v/>
      </c>
      <c r="E4406" s="22">
        <f>ItensPedido!E4406</f>
        <v/>
      </c>
      <c r="F4406" s="21">
        <f>IFERROR(INDEX(Pedidos!$B$2:$B$1801,MATCH(B4406,Pedidos!$A$2:$A$1801,0)),0)</f>
        <v/>
      </c>
      <c r="G4406" s="21">
        <f>IF(F4406=0,"",YEAR(F4406))</f>
        <v/>
      </c>
      <c r="H4406" s="21">
        <f>IF(F4406=0,"",MONTH(F4406))</f>
        <v/>
      </c>
      <c r="I4406" s="21">
        <f>IFERROR(INDEX(Pedidos!$E$2:$E$1801,MATCH(B4406,Pedidos!$A$2:$A$1801,0)),"")</f>
        <v/>
      </c>
      <c r="J4406" s="21">
        <f>IFERROR(INDEX(Pedidos!$C$2:$C$1801,MATCH(B4406,Pedidos!$A$2:$A$1801,0)),"")</f>
        <v/>
      </c>
      <c r="K4406" s="21">
        <f>IFERROR(INDEX(Pedidos!$D$2:$D$1801,MATCH(B4406,Pedidos!$A$2:$A$1801,0)),"")</f>
        <v/>
      </c>
      <c r="L4406" s="21">
        <f>IFERROR(INDEX(Pedidos!$F$2:$F$1801,MATCH(B4406,Pedidos!$A$2:$A$1801,0)),"")</f>
        <v/>
      </c>
      <c r="M4406" s="22">
        <f>IFERROR(INDEX(Pedidos!$G$2:$G$1801,MATCH(B4406,Pedidos!$A$2:$A$1801,0)),0)</f>
        <v/>
      </c>
      <c r="N4406" s="21">
        <f>IFERROR(INDEX(Produtos!$B$2:$B$71,MATCH(C4406,Produtos!$A$2:$A$71,0)),"")</f>
        <v/>
      </c>
      <c r="O4406" s="21">
        <f>IFERROR(INDEX(Produtos!$C$2:$C$71,MATCH(C4406,Produtos!$A$2:$A$71,0)),"")</f>
        <v/>
      </c>
      <c r="P4406" s="21">
        <f>IFERROR(INDEX(Produtos!$D$2:$D$71,MATCH(C4406,Produtos!$A$2:$A$71,0)),0)</f>
        <v/>
      </c>
      <c r="Q4406" s="21">
        <f>IFERROR(INDEX(Produtos!$E$2:$E$71,MATCH(C4406,Produtos!$A$2:$A$71,0)),0)</f>
        <v/>
      </c>
      <c r="R4406" s="23">
        <f>D4406*Q4406</f>
        <v/>
      </c>
      <c r="S4406" s="23">
        <f>R4406*E4406</f>
        <v/>
      </c>
      <c r="T4406" s="23">
        <f>(R4406-S4406)*M4406</f>
        <v/>
      </c>
      <c r="U4406" s="23">
        <f>R4406-S4406-T4406</f>
        <v/>
      </c>
      <c r="V4406" s="23">
        <f>D4406*P4406</f>
        <v/>
      </c>
      <c r="W4406" s="23">
        <f>U4406-V4406</f>
        <v/>
      </c>
      <c r="X4406" s="24">
        <f>IFERROR(W4406/U4406,0)</f>
        <v/>
      </c>
    </row>
    <row r="4407">
      <c r="A4407" s="25">
        <f>ItensPedido!A4407</f>
        <v/>
      </c>
      <c r="B4407" s="25">
        <f>ItensPedido!B4407</f>
        <v/>
      </c>
      <c r="C4407" s="25">
        <f>ItensPedido!C4407</f>
        <v/>
      </c>
      <c r="D4407" s="25">
        <f>ItensPedido!D4407</f>
        <v/>
      </c>
      <c r="E4407" s="26">
        <f>ItensPedido!E4407</f>
        <v/>
      </c>
      <c r="F4407" s="25">
        <f>IFERROR(INDEX(Pedidos!$B$2:$B$1801,MATCH(B4407,Pedidos!$A$2:$A$1801,0)),0)</f>
        <v/>
      </c>
      <c r="G4407" s="25">
        <f>IF(F4407=0,"",YEAR(F4407))</f>
        <v/>
      </c>
      <c r="H4407" s="25">
        <f>IF(F4407=0,"",MONTH(F4407))</f>
        <v/>
      </c>
      <c r="I4407" s="25">
        <f>IFERROR(INDEX(Pedidos!$E$2:$E$1801,MATCH(B4407,Pedidos!$A$2:$A$1801,0)),"")</f>
        <v/>
      </c>
      <c r="J4407" s="25">
        <f>IFERROR(INDEX(Pedidos!$C$2:$C$1801,MATCH(B4407,Pedidos!$A$2:$A$1801,0)),"")</f>
        <v/>
      </c>
      <c r="K4407" s="25">
        <f>IFERROR(INDEX(Pedidos!$D$2:$D$1801,MATCH(B4407,Pedidos!$A$2:$A$1801,0)),"")</f>
        <v/>
      </c>
      <c r="L4407" s="25">
        <f>IFERROR(INDEX(Pedidos!$F$2:$F$1801,MATCH(B4407,Pedidos!$A$2:$A$1801,0)),"")</f>
        <v/>
      </c>
      <c r="M4407" s="26">
        <f>IFERROR(INDEX(Pedidos!$G$2:$G$1801,MATCH(B4407,Pedidos!$A$2:$A$1801,0)),0)</f>
        <v/>
      </c>
      <c r="N4407" s="25">
        <f>IFERROR(INDEX(Produtos!$B$2:$B$71,MATCH(C4407,Produtos!$A$2:$A$71,0)),"")</f>
        <v/>
      </c>
      <c r="O4407" s="25">
        <f>IFERROR(INDEX(Produtos!$C$2:$C$71,MATCH(C4407,Produtos!$A$2:$A$71,0)),"")</f>
        <v/>
      </c>
      <c r="P4407" s="25">
        <f>IFERROR(INDEX(Produtos!$D$2:$D$71,MATCH(C4407,Produtos!$A$2:$A$71,0)),0)</f>
        <v/>
      </c>
      <c r="Q4407" s="25">
        <f>IFERROR(INDEX(Produtos!$E$2:$E$71,MATCH(C4407,Produtos!$A$2:$A$71,0)),0)</f>
        <v/>
      </c>
      <c r="R4407" s="27">
        <f>D4407*Q4407</f>
        <v/>
      </c>
      <c r="S4407" s="27">
        <f>R4407*E4407</f>
        <v/>
      </c>
      <c r="T4407" s="27">
        <f>(R4407-S4407)*M4407</f>
        <v/>
      </c>
      <c r="U4407" s="27">
        <f>R4407-S4407-T4407</f>
        <v/>
      </c>
      <c r="V4407" s="27">
        <f>D4407*P4407</f>
        <v/>
      </c>
      <c r="W4407" s="27">
        <f>U4407-V4407</f>
        <v/>
      </c>
      <c r="X4407" s="28">
        <f>IFERROR(W4407/U4407,0)</f>
        <v/>
      </c>
    </row>
    <row r="4408">
      <c r="A4408" s="21">
        <f>ItensPedido!A4408</f>
        <v/>
      </c>
      <c r="B4408" s="21">
        <f>ItensPedido!B4408</f>
        <v/>
      </c>
      <c r="C4408" s="21">
        <f>ItensPedido!C4408</f>
        <v/>
      </c>
      <c r="D4408" s="21">
        <f>ItensPedido!D4408</f>
        <v/>
      </c>
      <c r="E4408" s="22">
        <f>ItensPedido!E4408</f>
        <v/>
      </c>
      <c r="F4408" s="21">
        <f>IFERROR(INDEX(Pedidos!$B$2:$B$1801,MATCH(B4408,Pedidos!$A$2:$A$1801,0)),0)</f>
        <v/>
      </c>
      <c r="G4408" s="21">
        <f>IF(F4408=0,"",YEAR(F4408))</f>
        <v/>
      </c>
      <c r="H4408" s="21">
        <f>IF(F4408=0,"",MONTH(F4408))</f>
        <v/>
      </c>
      <c r="I4408" s="21">
        <f>IFERROR(INDEX(Pedidos!$E$2:$E$1801,MATCH(B4408,Pedidos!$A$2:$A$1801,0)),"")</f>
        <v/>
      </c>
      <c r="J4408" s="21">
        <f>IFERROR(INDEX(Pedidos!$C$2:$C$1801,MATCH(B4408,Pedidos!$A$2:$A$1801,0)),"")</f>
        <v/>
      </c>
      <c r="K4408" s="21">
        <f>IFERROR(INDEX(Pedidos!$D$2:$D$1801,MATCH(B4408,Pedidos!$A$2:$A$1801,0)),"")</f>
        <v/>
      </c>
      <c r="L4408" s="21">
        <f>IFERROR(INDEX(Pedidos!$F$2:$F$1801,MATCH(B4408,Pedidos!$A$2:$A$1801,0)),"")</f>
        <v/>
      </c>
      <c r="M4408" s="22">
        <f>IFERROR(INDEX(Pedidos!$G$2:$G$1801,MATCH(B4408,Pedidos!$A$2:$A$1801,0)),0)</f>
        <v/>
      </c>
      <c r="N4408" s="21">
        <f>IFERROR(INDEX(Produtos!$B$2:$B$71,MATCH(C4408,Produtos!$A$2:$A$71,0)),"")</f>
        <v/>
      </c>
      <c r="O4408" s="21">
        <f>IFERROR(INDEX(Produtos!$C$2:$C$71,MATCH(C4408,Produtos!$A$2:$A$71,0)),"")</f>
        <v/>
      </c>
      <c r="P4408" s="21">
        <f>IFERROR(INDEX(Produtos!$D$2:$D$71,MATCH(C4408,Produtos!$A$2:$A$71,0)),0)</f>
        <v/>
      </c>
      <c r="Q4408" s="21">
        <f>IFERROR(INDEX(Produtos!$E$2:$E$71,MATCH(C4408,Produtos!$A$2:$A$71,0)),0)</f>
        <v/>
      </c>
      <c r="R4408" s="23">
        <f>D4408*Q4408</f>
        <v/>
      </c>
      <c r="S4408" s="23">
        <f>R4408*E4408</f>
        <v/>
      </c>
      <c r="T4408" s="23">
        <f>(R4408-S4408)*M4408</f>
        <v/>
      </c>
      <c r="U4408" s="23">
        <f>R4408-S4408-T4408</f>
        <v/>
      </c>
      <c r="V4408" s="23">
        <f>D4408*P4408</f>
        <v/>
      </c>
      <c r="W4408" s="23">
        <f>U4408-V4408</f>
        <v/>
      </c>
      <c r="X4408" s="24">
        <f>IFERROR(W4408/U4408,0)</f>
        <v/>
      </c>
    </row>
    <row r="4409">
      <c r="A4409" s="25">
        <f>ItensPedido!A4409</f>
        <v/>
      </c>
      <c r="B4409" s="25">
        <f>ItensPedido!B4409</f>
        <v/>
      </c>
      <c r="C4409" s="25">
        <f>ItensPedido!C4409</f>
        <v/>
      </c>
      <c r="D4409" s="25">
        <f>ItensPedido!D4409</f>
        <v/>
      </c>
      <c r="E4409" s="26">
        <f>ItensPedido!E4409</f>
        <v/>
      </c>
      <c r="F4409" s="25">
        <f>IFERROR(INDEX(Pedidos!$B$2:$B$1801,MATCH(B4409,Pedidos!$A$2:$A$1801,0)),0)</f>
        <v/>
      </c>
      <c r="G4409" s="25">
        <f>IF(F4409=0,"",YEAR(F4409))</f>
        <v/>
      </c>
      <c r="H4409" s="25">
        <f>IF(F4409=0,"",MONTH(F4409))</f>
        <v/>
      </c>
      <c r="I4409" s="25">
        <f>IFERROR(INDEX(Pedidos!$E$2:$E$1801,MATCH(B4409,Pedidos!$A$2:$A$1801,0)),"")</f>
        <v/>
      </c>
      <c r="J4409" s="25">
        <f>IFERROR(INDEX(Pedidos!$C$2:$C$1801,MATCH(B4409,Pedidos!$A$2:$A$1801,0)),"")</f>
        <v/>
      </c>
      <c r="K4409" s="25">
        <f>IFERROR(INDEX(Pedidos!$D$2:$D$1801,MATCH(B4409,Pedidos!$A$2:$A$1801,0)),"")</f>
        <v/>
      </c>
      <c r="L4409" s="25">
        <f>IFERROR(INDEX(Pedidos!$F$2:$F$1801,MATCH(B4409,Pedidos!$A$2:$A$1801,0)),"")</f>
        <v/>
      </c>
      <c r="M4409" s="26">
        <f>IFERROR(INDEX(Pedidos!$G$2:$G$1801,MATCH(B4409,Pedidos!$A$2:$A$1801,0)),0)</f>
        <v/>
      </c>
      <c r="N4409" s="25">
        <f>IFERROR(INDEX(Produtos!$B$2:$B$71,MATCH(C4409,Produtos!$A$2:$A$71,0)),"")</f>
        <v/>
      </c>
      <c r="O4409" s="25">
        <f>IFERROR(INDEX(Produtos!$C$2:$C$71,MATCH(C4409,Produtos!$A$2:$A$71,0)),"")</f>
        <v/>
      </c>
      <c r="P4409" s="25">
        <f>IFERROR(INDEX(Produtos!$D$2:$D$71,MATCH(C4409,Produtos!$A$2:$A$71,0)),0)</f>
        <v/>
      </c>
      <c r="Q4409" s="25">
        <f>IFERROR(INDEX(Produtos!$E$2:$E$71,MATCH(C4409,Produtos!$A$2:$A$71,0)),0)</f>
        <v/>
      </c>
      <c r="R4409" s="27">
        <f>D4409*Q4409</f>
        <v/>
      </c>
      <c r="S4409" s="27">
        <f>R4409*E4409</f>
        <v/>
      </c>
      <c r="T4409" s="27">
        <f>(R4409-S4409)*M4409</f>
        <v/>
      </c>
      <c r="U4409" s="27">
        <f>R4409-S4409-T4409</f>
        <v/>
      </c>
      <c r="V4409" s="27">
        <f>D4409*P4409</f>
        <v/>
      </c>
      <c r="W4409" s="27">
        <f>U4409-V4409</f>
        <v/>
      </c>
      <c r="X4409" s="28">
        <f>IFERROR(W4409/U4409,0)</f>
        <v/>
      </c>
    </row>
    <row r="4410">
      <c r="A4410" s="21">
        <f>ItensPedido!A4410</f>
        <v/>
      </c>
      <c r="B4410" s="21">
        <f>ItensPedido!B4410</f>
        <v/>
      </c>
      <c r="C4410" s="21">
        <f>ItensPedido!C4410</f>
        <v/>
      </c>
      <c r="D4410" s="21">
        <f>ItensPedido!D4410</f>
        <v/>
      </c>
      <c r="E4410" s="22">
        <f>ItensPedido!E4410</f>
        <v/>
      </c>
      <c r="F4410" s="21">
        <f>IFERROR(INDEX(Pedidos!$B$2:$B$1801,MATCH(B4410,Pedidos!$A$2:$A$1801,0)),0)</f>
        <v/>
      </c>
      <c r="G4410" s="21">
        <f>IF(F4410=0,"",YEAR(F4410))</f>
        <v/>
      </c>
      <c r="H4410" s="21">
        <f>IF(F4410=0,"",MONTH(F4410))</f>
        <v/>
      </c>
      <c r="I4410" s="21">
        <f>IFERROR(INDEX(Pedidos!$E$2:$E$1801,MATCH(B4410,Pedidos!$A$2:$A$1801,0)),"")</f>
        <v/>
      </c>
      <c r="J4410" s="21">
        <f>IFERROR(INDEX(Pedidos!$C$2:$C$1801,MATCH(B4410,Pedidos!$A$2:$A$1801,0)),"")</f>
        <v/>
      </c>
      <c r="K4410" s="21">
        <f>IFERROR(INDEX(Pedidos!$D$2:$D$1801,MATCH(B4410,Pedidos!$A$2:$A$1801,0)),"")</f>
        <v/>
      </c>
      <c r="L4410" s="21">
        <f>IFERROR(INDEX(Pedidos!$F$2:$F$1801,MATCH(B4410,Pedidos!$A$2:$A$1801,0)),"")</f>
        <v/>
      </c>
      <c r="M4410" s="22">
        <f>IFERROR(INDEX(Pedidos!$G$2:$G$1801,MATCH(B4410,Pedidos!$A$2:$A$1801,0)),0)</f>
        <v/>
      </c>
      <c r="N4410" s="21">
        <f>IFERROR(INDEX(Produtos!$B$2:$B$71,MATCH(C4410,Produtos!$A$2:$A$71,0)),"")</f>
        <v/>
      </c>
      <c r="O4410" s="21">
        <f>IFERROR(INDEX(Produtos!$C$2:$C$71,MATCH(C4410,Produtos!$A$2:$A$71,0)),"")</f>
        <v/>
      </c>
      <c r="P4410" s="21">
        <f>IFERROR(INDEX(Produtos!$D$2:$D$71,MATCH(C4410,Produtos!$A$2:$A$71,0)),0)</f>
        <v/>
      </c>
      <c r="Q4410" s="21">
        <f>IFERROR(INDEX(Produtos!$E$2:$E$71,MATCH(C4410,Produtos!$A$2:$A$71,0)),0)</f>
        <v/>
      </c>
      <c r="R4410" s="23">
        <f>D4410*Q4410</f>
        <v/>
      </c>
      <c r="S4410" s="23">
        <f>R4410*E4410</f>
        <v/>
      </c>
      <c r="T4410" s="23">
        <f>(R4410-S4410)*M4410</f>
        <v/>
      </c>
      <c r="U4410" s="23">
        <f>R4410-S4410-T4410</f>
        <v/>
      </c>
      <c r="V4410" s="23">
        <f>D4410*P4410</f>
        <v/>
      </c>
      <c r="W4410" s="23">
        <f>U4410-V4410</f>
        <v/>
      </c>
      <c r="X4410" s="24">
        <f>IFERROR(W4410/U4410,0)</f>
        <v/>
      </c>
    </row>
    <row r="4411">
      <c r="A4411" s="25">
        <f>ItensPedido!A4411</f>
        <v/>
      </c>
      <c r="B4411" s="25">
        <f>ItensPedido!B4411</f>
        <v/>
      </c>
      <c r="C4411" s="25">
        <f>ItensPedido!C4411</f>
        <v/>
      </c>
      <c r="D4411" s="25">
        <f>ItensPedido!D4411</f>
        <v/>
      </c>
      <c r="E4411" s="26">
        <f>ItensPedido!E4411</f>
        <v/>
      </c>
      <c r="F4411" s="25">
        <f>IFERROR(INDEX(Pedidos!$B$2:$B$1801,MATCH(B4411,Pedidos!$A$2:$A$1801,0)),0)</f>
        <v/>
      </c>
      <c r="G4411" s="25">
        <f>IF(F4411=0,"",YEAR(F4411))</f>
        <v/>
      </c>
      <c r="H4411" s="25">
        <f>IF(F4411=0,"",MONTH(F4411))</f>
        <v/>
      </c>
      <c r="I4411" s="25">
        <f>IFERROR(INDEX(Pedidos!$E$2:$E$1801,MATCH(B4411,Pedidos!$A$2:$A$1801,0)),"")</f>
        <v/>
      </c>
      <c r="J4411" s="25">
        <f>IFERROR(INDEX(Pedidos!$C$2:$C$1801,MATCH(B4411,Pedidos!$A$2:$A$1801,0)),"")</f>
        <v/>
      </c>
      <c r="K4411" s="25">
        <f>IFERROR(INDEX(Pedidos!$D$2:$D$1801,MATCH(B4411,Pedidos!$A$2:$A$1801,0)),"")</f>
        <v/>
      </c>
      <c r="L4411" s="25">
        <f>IFERROR(INDEX(Pedidos!$F$2:$F$1801,MATCH(B4411,Pedidos!$A$2:$A$1801,0)),"")</f>
        <v/>
      </c>
      <c r="M4411" s="26">
        <f>IFERROR(INDEX(Pedidos!$G$2:$G$1801,MATCH(B4411,Pedidos!$A$2:$A$1801,0)),0)</f>
        <v/>
      </c>
      <c r="N4411" s="25">
        <f>IFERROR(INDEX(Produtos!$B$2:$B$71,MATCH(C4411,Produtos!$A$2:$A$71,0)),"")</f>
        <v/>
      </c>
      <c r="O4411" s="25">
        <f>IFERROR(INDEX(Produtos!$C$2:$C$71,MATCH(C4411,Produtos!$A$2:$A$71,0)),"")</f>
        <v/>
      </c>
      <c r="P4411" s="25">
        <f>IFERROR(INDEX(Produtos!$D$2:$D$71,MATCH(C4411,Produtos!$A$2:$A$71,0)),0)</f>
        <v/>
      </c>
      <c r="Q4411" s="25">
        <f>IFERROR(INDEX(Produtos!$E$2:$E$71,MATCH(C4411,Produtos!$A$2:$A$71,0)),0)</f>
        <v/>
      </c>
      <c r="R4411" s="27">
        <f>D4411*Q4411</f>
        <v/>
      </c>
      <c r="S4411" s="27">
        <f>R4411*E4411</f>
        <v/>
      </c>
      <c r="T4411" s="27">
        <f>(R4411-S4411)*M4411</f>
        <v/>
      </c>
      <c r="U4411" s="27">
        <f>R4411-S4411-T4411</f>
        <v/>
      </c>
      <c r="V4411" s="27">
        <f>D4411*P4411</f>
        <v/>
      </c>
      <c r="W4411" s="27">
        <f>U4411-V4411</f>
        <v/>
      </c>
      <c r="X4411" s="28">
        <f>IFERROR(W4411/U4411,0)</f>
        <v/>
      </c>
    </row>
    <row r="4412">
      <c r="A4412" s="21">
        <f>ItensPedido!A4412</f>
        <v/>
      </c>
      <c r="B4412" s="21">
        <f>ItensPedido!B4412</f>
        <v/>
      </c>
      <c r="C4412" s="21">
        <f>ItensPedido!C4412</f>
        <v/>
      </c>
      <c r="D4412" s="21">
        <f>ItensPedido!D4412</f>
        <v/>
      </c>
      <c r="E4412" s="22">
        <f>ItensPedido!E4412</f>
        <v/>
      </c>
      <c r="F4412" s="21">
        <f>IFERROR(INDEX(Pedidos!$B$2:$B$1801,MATCH(B4412,Pedidos!$A$2:$A$1801,0)),0)</f>
        <v/>
      </c>
      <c r="G4412" s="21">
        <f>IF(F4412=0,"",YEAR(F4412))</f>
        <v/>
      </c>
      <c r="H4412" s="21">
        <f>IF(F4412=0,"",MONTH(F4412))</f>
        <v/>
      </c>
      <c r="I4412" s="21">
        <f>IFERROR(INDEX(Pedidos!$E$2:$E$1801,MATCH(B4412,Pedidos!$A$2:$A$1801,0)),"")</f>
        <v/>
      </c>
      <c r="J4412" s="21">
        <f>IFERROR(INDEX(Pedidos!$C$2:$C$1801,MATCH(B4412,Pedidos!$A$2:$A$1801,0)),"")</f>
        <v/>
      </c>
      <c r="K4412" s="21">
        <f>IFERROR(INDEX(Pedidos!$D$2:$D$1801,MATCH(B4412,Pedidos!$A$2:$A$1801,0)),"")</f>
        <v/>
      </c>
      <c r="L4412" s="21">
        <f>IFERROR(INDEX(Pedidos!$F$2:$F$1801,MATCH(B4412,Pedidos!$A$2:$A$1801,0)),"")</f>
        <v/>
      </c>
      <c r="M4412" s="22">
        <f>IFERROR(INDEX(Pedidos!$G$2:$G$1801,MATCH(B4412,Pedidos!$A$2:$A$1801,0)),0)</f>
        <v/>
      </c>
      <c r="N4412" s="21">
        <f>IFERROR(INDEX(Produtos!$B$2:$B$71,MATCH(C4412,Produtos!$A$2:$A$71,0)),"")</f>
        <v/>
      </c>
      <c r="O4412" s="21">
        <f>IFERROR(INDEX(Produtos!$C$2:$C$71,MATCH(C4412,Produtos!$A$2:$A$71,0)),"")</f>
        <v/>
      </c>
      <c r="P4412" s="21">
        <f>IFERROR(INDEX(Produtos!$D$2:$D$71,MATCH(C4412,Produtos!$A$2:$A$71,0)),0)</f>
        <v/>
      </c>
      <c r="Q4412" s="21">
        <f>IFERROR(INDEX(Produtos!$E$2:$E$71,MATCH(C4412,Produtos!$A$2:$A$71,0)),0)</f>
        <v/>
      </c>
      <c r="R4412" s="23">
        <f>D4412*Q4412</f>
        <v/>
      </c>
      <c r="S4412" s="23">
        <f>R4412*E4412</f>
        <v/>
      </c>
      <c r="T4412" s="23">
        <f>(R4412-S4412)*M4412</f>
        <v/>
      </c>
      <c r="U4412" s="23">
        <f>R4412-S4412-T4412</f>
        <v/>
      </c>
      <c r="V4412" s="23">
        <f>D4412*P4412</f>
        <v/>
      </c>
      <c r="W4412" s="23">
        <f>U4412-V4412</f>
        <v/>
      </c>
      <c r="X4412" s="24">
        <f>IFERROR(W4412/U4412,0)</f>
        <v/>
      </c>
    </row>
    <row r="4413">
      <c r="A4413" s="25">
        <f>ItensPedido!A4413</f>
        <v/>
      </c>
      <c r="B4413" s="25">
        <f>ItensPedido!B4413</f>
        <v/>
      </c>
      <c r="C4413" s="25">
        <f>ItensPedido!C4413</f>
        <v/>
      </c>
      <c r="D4413" s="25">
        <f>ItensPedido!D4413</f>
        <v/>
      </c>
      <c r="E4413" s="26">
        <f>ItensPedido!E4413</f>
        <v/>
      </c>
      <c r="F4413" s="25">
        <f>IFERROR(INDEX(Pedidos!$B$2:$B$1801,MATCH(B4413,Pedidos!$A$2:$A$1801,0)),0)</f>
        <v/>
      </c>
      <c r="G4413" s="25">
        <f>IF(F4413=0,"",YEAR(F4413))</f>
        <v/>
      </c>
      <c r="H4413" s="25">
        <f>IF(F4413=0,"",MONTH(F4413))</f>
        <v/>
      </c>
      <c r="I4413" s="25">
        <f>IFERROR(INDEX(Pedidos!$E$2:$E$1801,MATCH(B4413,Pedidos!$A$2:$A$1801,0)),"")</f>
        <v/>
      </c>
      <c r="J4413" s="25">
        <f>IFERROR(INDEX(Pedidos!$C$2:$C$1801,MATCH(B4413,Pedidos!$A$2:$A$1801,0)),"")</f>
        <v/>
      </c>
      <c r="K4413" s="25">
        <f>IFERROR(INDEX(Pedidos!$D$2:$D$1801,MATCH(B4413,Pedidos!$A$2:$A$1801,0)),"")</f>
        <v/>
      </c>
      <c r="L4413" s="25">
        <f>IFERROR(INDEX(Pedidos!$F$2:$F$1801,MATCH(B4413,Pedidos!$A$2:$A$1801,0)),"")</f>
        <v/>
      </c>
      <c r="M4413" s="26">
        <f>IFERROR(INDEX(Pedidos!$G$2:$G$1801,MATCH(B4413,Pedidos!$A$2:$A$1801,0)),0)</f>
        <v/>
      </c>
      <c r="N4413" s="25">
        <f>IFERROR(INDEX(Produtos!$B$2:$B$71,MATCH(C4413,Produtos!$A$2:$A$71,0)),"")</f>
        <v/>
      </c>
      <c r="O4413" s="25">
        <f>IFERROR(INDEX(Produtos!$C$2:$C$71,MATCH(C4413,Produtos!$A$2:$A$71,0)),"")</f>
        <v/>
      </c>
      <c r="P4413" s="25">
        <f>IFERROR(INDEX(Produtos!$D$2:$D$71,MATCH(C4413,Produtos!$A$2:$A$71,0)),0)</f>
        <v/>
      </c>
      <c r="Q4413" s="25">
        <f>IFERROR(INDEX(Produtos!$E$2:$E$71,MATCH(C4413,Produtos!$A$2:$A$71,0)),0)</f>
        <v/>
      </c>
      <c r="R4413" s="27">
        <f>D4413*Q4413</f>
        <v/>
      </c>
      <c r="S4413" s="27">
        <f>R4413*E4413</f>
        <v/>
      </c>
      <c r="T4413" s="27">
        <f>(R4413-S4413)*M4413</f>
        <v/>
      </c>
      <c r="U4413" s="27">
        <f>R4413-S4413-T4413</f>
        <v/>
      </c>
      <c r="V4413" s="27">
        <f>D4413*P4413</f>
        <v/>
      </c>
      <c r="W4413" s="27">
        <f>U4413-V4413</f>
        <v/>
      </c>
      <c r="X4413" s="28">
        <f>IFERROR(W4413/U4413,0)</f>
        <v/>
      </c>
    </row>
    <row r="4414">
      <c r="A4414" s="21">
        <f>ItensPedido!A4414</f>
        <v/>
      </c>
      <c r="B4414" s="21">
        <f>ItensPedido!B4414</f>
        <v/>
      </c>
      <c r="C4414" s="21">
        <f>ItensPedido!C4414</f>
        <v/>
      </c>
      <c r="D4414" s="21">
        <f>ItensPedido!D4414</f>
        <v/>
      </c>
      <c r="E4414" s="22">
        <f>ItensPedido!E4414</f>
        <v/>
      </c>
      <c r="F4414" s="21">
        <f>IFERROR(INDEX(Pedidos!$B$2:$B$1801,MATCH(B4414,Pedidos!$A$2:$A$1801,0)),0)</f>
        <v/>
      </c>
      <c r="G4414" s="21">
        <f>IF(F4414=0,"",YEAR(F4414))</f>
        <v/>
      </c>
      <c r="H4414" s="21">
        <f>IF(F4414=0,"",MONTH(F4414))</f>
        <v/>
      </c>
      <c r="I4414" s="21">
        <f>IFERROR(INDEX(Pedidos!$E$2:$E$1801,MATCH(B4414,Pedidos!$A$2:$A$1801,0)),"")</f>
        <v/>
      </c>
      <c r="J4414" s="21">
        <f>IFERROR(INDEX(Pedidos!$C$2:$C$1801,MATCH(B4414,Pedidos!$A$2:$A$1801,0)),"")</f>
        <v/>
      </c>
      <c r="K4414" s="21">
        <f>IFERROR(INDEX(Pedidos!$D$2:$D$1801,MATCH(B4414,Pedidos!$A$2:$A$1801,0)),"")</f>
        <v/>
      </c>
      <c r="L4414" s="21">
        <f>IFERROR(INDEX(Pedidos!$F$2:$F$1801,MATCH(B4414,Pedidos!$A$2:$A$1801,0)),"")</f>
        <v/>
      </c>
      <c r="M4414" s="22">
        <f>IFERROR(INDEX(Pedidos!$G$2:$G$1801,MATCH(B4414,Pedidos!$A$2:$A$1801,0)),0)</f>
        <v/>
      </c>
      <c r="N4414" s="21">
        <f>IFERROR(INDEX(Produtos!$B$2:$B$71,MATCH(C4414,Produtos!$A$2:$A$71,0)),"")</f>
        <v/>
      </c>
      <c r="O4414" s="21">
        <f>IFERROR(INDEX(Produtos!$C$2:$C$71,MATCH(C4414,Produtos!$A$2:$A$71,0)),"")</f>
        <v/>
      </c>
      <c r="P4414" s="21">
        <f>IFERROR(INDEX(Produtos!$D$2:$D$71,MATCH(C4414,Produtos!$A$2:$A$71,0)),0)</f>
        <v/>
      </c>
      <c r="Q4414" s="21">
        <f>IFERROR(INDEX(Produtos!$E$2:$E$71,MATCH(C4414,Produtos!$A$2:$A$71,0)),0)</f>
        <v/>
      </c>
      <c r="R4414" s="23">
        <f>D4414*Q4414</f>
        <v/>
      </c>
      <c r="S4414" s="23">
        <f>R4414*E4414</f>
        <v/>
      </c>
      <c r="T4414" s="23">
        <f>(R4414-S4414)*M4414</f>
        <v/>
      </c>
      <c r="U4414" s="23">
        <f>R4414-S4414-T4414</f>
        <v/>
      </c>
      <c r="V4414" s="23">
        <f>D4414*P4414</f>
        <v/>
      </c>
      <c r="W4414" s="23">
        <f>U4414-V4414</f>
        <v/>
      </c>
      <c r="X4414" s="24">
        <f>IFERROR(W4414/U4414,0)</f>
        <v/>
      </c>
    </row>
    <row r="4415">
      <c r="A4415" s="25">
        <f>ItensPedido!A4415</f>
        <v/>
      </c>
      <c r="B4415" s="25">
        <f>ItensPedido!B4415</f>
        <v/>
      </c>
      <c r="C4415" s="25">
        <f>ItensPedido!C4415</f>
        <v/>
      </c>
      <c r="D4415" s="25">
        <f>ItensPedido!D4415</f>
        <v/>
      </c>
      <c r="E4415" s="26">
        <f>ItensPedido!E4415</f>
        <v/>
      </c>
      <c r="F4415" s="25">
        <f>IFERROR(INDEX(Pedidos!$B$2:$B$1801,MATCH(B4415,Pedidos!$A$2:$A$1801,0)),0)</f>
        <v/>
      </c>
      <c r="G4415" s="25">
        <f>IF(F4415=0,"",YEAR(F4415))</f>
        <v/>
      </c>
      <c r="H4415" s="25">
        <f>IF(F4415=0,"",MONTH(F4415))</f>
        <v/>
      </c>
      <c r="I4415" s="25">
        <f>IFERROR(INDEX(Pedidos!$E$2:$E$1801,MATCH(B4415,Pedidos!$A$2:$A$1801,0)),"")</f>
        <v/>
      </c>
      <c r="J4415" s="25">
        <f>IFERROR(INDEX(Pedidos!$C$2:$C$1801,MATCH(B4415,Pedidos!$A$2:$A$1801,0)),"")</f>
        <v/>
      </c>
      <c r="K4415" s="25">
        <f>IFERROR(INDEX(Pedidos!$D$2:$D$1801,MATCH(B4415,Pedidos!$A$2:$A$1801,0)),"")</f>
        <v/>
      </c>
      <c r="L4415" s="25">
        <f>IFERROR(INDEX(Pedidos!$F$2:$F$1801,MATCH(B4415,Pedidos!$A$2:$A$1801,0)),"")</f>
        <v/>
      </c>
      <c r="M4415" s="26">
        <f>IFERROR(INDEX(Pedidos!$G$2:$G$1801,MATCH(B4415,Pedidos!$A$2:$A$1801,0)),0)</f>
        <v/>
      </c>
      <c r="N4415" s="25">
        <f>IFERROR(INDEX(Produtos!$B$2:$B$71,MATCH(C4415,Produtos!$A$2:$A$71,0)),"")</f>
        <v/>
      </c>
      <c r="O4415" s="25">
        <f>IFERROR(INDEX(Produtos!$C$2:$C$71,MATCH(C4415,Produtos!$A$2:$A$71,0)),"")</f>
        <v/>
      </c>
      <c r="P4415" s="25">
        <f>IFERROR(INDEX(Produtos!$D$2:$D$71,MATCH(C4415,Produtos!$A$2:$A$71,0)),0)</f>
        <v/>
      </c>
      <c r="Q4415" s="25">
        <f>IFERROR(INDEX(Produtos!$E$2:$E$71,MATCH(C4415,Produtos!$A$2:$A$71,0)),0)</f>
        <v/>
      </c>
      <c r="R4415" s="27">
        <f>D4415*Q4415</f>
        <v/>
      </c>
      <c r="S4415" s="27">
        <f>R4415*E4415</f>
        <v/>
      </c>
      <c r="T4415" s="27">
        <f>(R4415-S4415)*M4415</f>
        <v/>
      </c>
      <c r="U4415" s="27">
        <f>R4415-S4415-T4415</f>
        <v/>
      </c>
      <c r="V4415" s="27">
        <f>D4415*P4415</f>
        <v/>
      </c>
      <c r="W4415" s="27">
        <f>U4415-V4415</f>
        <v/>
      </c>
      <c r="X4415" s="28">
        <f>IFERROR(W4415/U4415,0)</f>
        <v/>
      </c>
    </row>
    <row r="4416">
      <c r="A4416" s="21">
        <f>ItensPedido!A4416</f>
        <v/>
      </c>
      <c r="B4416" s="21">
        <f>ItensPedido!B4416</f>
        <v/>
      </c>
      <c r="C4416" s="21">
        <f>ItensPedido!C4416</f>
        <v/>
      </c>
      <c r="D4416" s="21">
        <f>ItensPedido!D4416</f>
        <v/>
      </c>
      <c r="E4416" s="22">
        <f>ItensPedido!E4416</f>
        <v/>
      </c>
      <c r="F4416" s="21">
        <f>IFERROR(INDEX(Pedidos!$B$2:$B$1801,MATCH(B4416,Pedidos!$A$2:$A$1801,0)),0)</f>
        <v/>
      </c>
      <c r="G4416" s="21">
        <f>IF(F4416=0,"",YEAR(F4416))</f>
        <v/>
      </c>
      <c r="H4416" s="21">
        <f>IF(F4416=0,"",MONTH(F4416))</f>
        <v/>
      </c>
      <c r="I4416" s="21">
        <f>IFERROR(INDEX(Pedidos!$E$2:$E$1801,MATCH(B4416,Pedidos!$A$2:$A$1801,0)),"")</f>
        <v/>
      </c>
      <c r="J4416" s="21">
        <f>IFERROR(INDEX(Pedidos!$C$2:$C$1801,MATCH(B4416,Pedidos!$A$2:$A$1801,0)),"")</f>
        <v/>
      </c>
      <c r="K4416" s="21">
        <f>IFERROR(INDEX(Pedidos!$D$2:$D$1801,MATCH(B4416,Pedidos!$A$2:$A$1801,0)),"")</f>
        <v/>
      </c>
      <c r="L4416" s="21">
        <f>IFERROR(INDEX(Pedidos!$F$2:$F$1801,MATCH(B4416,Pedidos!$A$2:$A$1801,0)),"")</f>
        <v/>
      </c>
      <c r="M4416" s="22">
        <f>IFERROR(INDEX(Pedidos!$G$2:$G$1801,MATCH(B4416,Pedidos!$A$2:$A$1801,0)),0)</f>
        <v/>
      </c>
      <c r="N4416" s="21">
        <f>IFERROR(INDEX(Produtos!$B$2:$B$71,MATCH(C4416,Produtos!$A$2:$A$71,0)),"")</f>
        <v/>
      </c>
      <c r="O4416" s="21">
        <f>IFERROR(INDEX(Produtos!$C$2:$C$71,MATCH(C4416,Produtos!$A$2:$A$71,0)),"")</f>
        <v/>
      </c>
      <c r="P4416" s="21">
        <f>IFERROR(INDEX(Produtos!$D$2:$D$71,MATCH(C4416,Produtos!$A$2:$A$71,0)),0)</f>
        <v/>
      </c>
      <c r="Q4416" s="21">
        <f>IFERROR(INDEX(Produtos!$E$2:$E$71,MATCH(C4416,Produtos!$A$2:$A$71,0)),0)</f>
        <v/>
      </c>
      <c r="R4416" s="23">
        <f>D4416*Q4416</f>
        <v/>
      </c>
      <c r="S4416" s="23">
        <f>R4416*E4416</f>
        <v/>
      </c>
      <c r="T4416" s="23">
        <f>(R4416-S4416)*M4416</f>
        <v/>
      </c>
      <c r="U4416" s="23">
        <f>R4416-S4416-T4416</f>
        <v/>
      </c>
      <c r="V4416" s="23">
        <f>D4416*P4416</f>
        <v/>
      </c>
      <c r="W4416" s="23">
        <f>U4416-V4416</f>
        <v/>
      </c>
      <c r="X4416" s="24">
        <f>IFERROR(W4416/U4416,0)</f>
        <v/>
      </c>
    </row>
    <row r="4417">
      <c r="A4417" s="25">
        <f>ItensPedido!A4417</f>
        <v/>
      </c>
      <c r="B4417" s="25">
        <f>ItensPedido!B4417</f>
        <v/>
      </c>
      <c r="C4417" s="25">
        <f>ItensPedido!C4417</f>
        <v/>
      </c>
      <c r="D4417" s="25">
        <f>ItensPedido!D4417</f>
        <v/>
      </c>
      <c r="E4417" s="26">
        <f>ItensPedido!E4417</f>
        <v/>
      </c>
      <c r="F4417" s="25">
        <f>IFERROR(INDEX(Pedidos!$B$2:$B$1801,MATCH(B4417,Pedidos!$A$2:$A$1801,0)),0)</f>
        <v/>
      </c>
      <c r="G4417" s="25">
        <f>IF(F4417=0,"",YEAR(F4417))</f>
        <v/>
      </c>
      <c r="H4417" s="25">
        <f>IF(F4417=0,"",MONTH(F4417))</f>
        <v/>
      </c>
      <c r="I4417" s="25">
        <f>IFERROR(INDEX(Pedidos!$E$2:$E$1801,MATCH(B4417,Pedidos!$A$2:$A$1801,0)),"")</f>
        <v/>
      </c>
      <c r="J4417" s="25">
        <f>IFERROR(INDEX(Pedidos!$C$2:$C$1801,MATCH(B4417,Pedidos!$A$2:$A$1801,0)),"")</f>
        <v/>
      </c>
      <c r="K4417" s="25">
        <f>IFERROR(INDEX(Pedidos!$D$2:$D$1801,MATCH(B4417,Pedidos!$A$2:$A$1801,0)),"")</f>
        <v/>
      </c>
      <c r="L4417" s="25">
        <f>IFERROR(INDEX(Pedidos!$F$2:$F$1801,MATCH(B4417,Pedidos!$A$2:$A$1801,0)),"")</f>
        <v/>
      </c>
      <c r="M4417" s="26">
        <f>IFERROR(INDEX(Pedidos!$G$2:$G$1801,MATCH(B4417,Pedidos!$A$2:$A$1801,0)),0)</f>
        <v/>
      </c>
      <c r="N4417" s="25">
        <f>IFERROR(INDEX(Produtos!$B$2:$B$71,MATCH(C4417,Produtos!$A$2:$A$71,0)),"")</f>
        <v/>
      </c>
      <c r="O4417" s="25">
        <f>IFERROR(INDEX(Produtos!$C$2:$C$71,MATCH(C4417,Produtos!$A$2:$A$71,0)),"")</f>
        <v/>
      </c>
      <c r="P4417" s="25">
        <f>IFERROR(INDEX(Produtos!$D$2:$D$71,MATCH(C4417,Produtos!$A$2:$A$71,0)),0)</f>
        <v/>
      </c>
      <c r="Q4417" s="25">
        <f>IFERROR(INDEX(Produtos!$E$2:$E$71,MATCH(C4417,Produtos!$A$2:$A$71,0)),0)</f>
        <v/>
      </c>
      <c r="R4417" s="27">
        <f>D4417*Q4417</f>
        <v/>
      </c>
      <c r="S4417" s="27">
        <f>R4417*E4417</f>
        <v/>
      </c>
      <c r="T4417" s="27">
        <f>(R4417-S4417)*M4417</f>
        <v/>
      </c>
      <c r="U4417" s="27">
        <f>R4417-S4417-T4417</f>
        <v/>
      </c>
      <c r="V4417" s="27">
        <f>D4417*P4417</f>
        <v/>
      </c>
      <c r="W4417" s="27">
        <f>U4417-V4417</f>
        <v/>
      </c>
      <c r="X4417" s="28">
        <f>IFERROR(W4417/U4417,0)</f>
        <v/>
      </c>
    </row>
    <row r="4418">
      <c r="A4418" s="21">
        <f>ItensPedido!A4418</f>
        <v/>
      </c>
      <c r="B4418" s="21">
        <f>ItensPedido!B4418</f>
        <v/>
      </c>
      <c r="C4418" s="21">
        <f>ItensPedido!C4418</f>
        <v/>
      </c>
      <c r="D4418" s="21">
        <f>ItensPedido!D4418</f>
        <v/>
      </c>
      <c r="E4418" s="22">
        <f>ItensPedido!E4418</f>
        <v/>
      </c>
      <c r="F4418" s="21">
        <f>IFERROR(INDEX(Pedidos!$B$2:$B$1801,MATCH(B4418,Pedidos!$A$2:$A$1801,0)),0)</f>
        <v/>
      </c>
      <c r="G4418" s="21">
        <f>IF(F4418=0,"",YEAR(F4418))</f>
        <v/>
      </c>
      <c r="H4418" s="21">
        <f>IF(F4418=0,"",MONTH(F4418))</f>
        <v/>
      </c>
      <c r="I4418" s="21">
        <f>IFERROR(INDEX(Pedidos!$E$2:$E$1801,MATCH(B4418,Pedidos!$A$2:$A$1801,0)),"")</f>
        <v/>
      </c>
      <c r="J4418" s="21">
        <f>IFERROR(INDEX(Pedidos!$C$2:$C$1801,MATCH(B4418,Pedidos!$A$2:$A$1801,0)),"")</f>
        <v/>
      </c>
      <c r="K4418" s="21">
        <f>IFERROR(INDEX(Pedidos!$D$2:$D$1801,MATCH(B4418,Pedidos!$A$2:$A$1801,0)),"")</f>
        <v/>
      </c>
      <c r="L4418" s="21">
        <f>IFERROR(INDEX(Pedidos!$F$2:$F$1801,MATCH(B4418,Pedidos!$A$2:$A$1801,0)),"")</f>
        <v/>
      </c>
      <c r="M4418" s="22">
        <f>IFERROR(INDEX(Pedidos!$G$2:$G$1801,MATCH(B4418,Pedidos!$A$2:$A$1801,0)),0)</f>
        <v/>
      </c>
      <c r="N4418" s="21">
        <f>IFERROR(INDEX(Produtos!$B$2:$B$71,MATCH(C4418,Produtos!$A$2:$A$71,0)),"")</f>
        <v/>
      </c>
      <c r="O4418" s="21">
        <f>IFERROR(INDEX(Produtos!$C$2:$C$71,MATCH(C4418,Produtos!$A$2:$A$71,0)),"")</f>
        <v/>
      </c>
      <c r="P4418" s="21">
        <f>IFERROR(INDEX(Produtos!$D$2:$D$71,MATCH(C4418,Produtos!$A$2:$A$71,0)),0)</f>
        <v/>
      </c>
      <c r="Q4418" s="21">
        <f>IFERROR(INDEX(Produtos!$E$2:$E$71,MATCH(C4418,Produtos!$A$2:$A$71,0)),0)</f>
        <v/>
      </c>
      <c r="R4418" s="23">
        <f>D4418*Q4418</f>
        <v/>
      </c>
      <c r="S4418" s="23">
        <f>R4418*E4418</f>
        <v/>
      </c>
      <c r="T4418" s="23">
        <f>(R4418-S4418)*M4418</f>
        <v/>
      </c>
      <c r="U4418" s="23">
        <f>R4418-S4418-T4418</f>
        <v/>
      </c>
      <c r="V4418" s="23">
        <f>D4418*P4418</f>
        <v/>
      </c>
      <c r="W4418" s="23">
        <f>U4418-V4418</f>
        <v/>
      </c>
      <c r="X4418" s="24">
        <f>IFERROR(W4418/U4418,0)</f>
        <v/>
      </c>
    </row>
    <row r="4419">
      <c r="A4419" s="25">
        <f>ItensPedido!A4419</f>
        <v/>
      </c>
      <c r="B4419" s="25">
        <f>ItensPedido!B4419</f>
        <v/>
      </c>
      <c r="C4419" s="25">
        <f>ItensPedido!C4419</f>
        <v/>
      </c>
      <c r="D4419" s="25">
        <f>ItensPedido!D4419</f>
        <v/>
      </c>
      <c r="E4419" s="26">
        <f>ItensPedido!E4419</f>
        <v/>
      </c>
      <c r="F4419" s="25">
        <f>IFERROR(INDEX(Pedidos!$B$2:$B$1801,MATCH(B4419,Pedidos!$A$2:$A$1801,0)),0)</f>
        <v/>
      </c>
      <c r="G4419" s="25">
        <f>IF(F4419=0,"",YEAR(F4419))</f>
        <v/>
      </c>
      <c r="H4419" s="25">
        <f>IF(F4419=0,"",MONTH(F4419))</f>
        <v/>
      </c>
      <c r="I4419" s="25">
        <f>IFERROR(INDEX(Pedidos!$E$2:$E$1801,MATCH(B4419,Pedidos!$A$2:$A$1801,0)),"")</f>
        <v/>
      </c>
      <c r="J4419" s="25">
        <f>IFERROR(INDEX(Pedidos!$C$2:$C$1801,MATCH(B4419,Pedidos!$A$2:$A$1801,0)),"")</f>
        <v/>
      </c>
      <c r="K4419" s="25">
        <f>IFERROR(INDEX(Pedidos!$D$2:$D$1801,MATCH(B4419,Pedidos!$A$2:$A$1801,0)),"")</f>
        <v/>
      </c>
      <c r="L4419" s="25">
        <f>IFERROR(INDEX(Pedidos!$F$2:$F$1801,MATCH(B4419,Pedidos!$A$2:$A$1801,0)),"")</f>
        <v/>
      </c>
      <c r="M4419" s="26">
        <f>IFERROR(INDEX(Pedidos!$G$2:$G$1801,MATCH(B4419,Pedidos!$A$2:$A$1801,0)),0)</f>
        <v/>
      </c>
      <c r="N4419" s="25">
        <f>IFERROR(INDEX(Produtos!$B$2:$B$71,MATCH(C4419,Produtos!$A$2:$A$71,0)),"")</f>
        <v/>
      </c>
      <c r="O4419" s="25">
        <f>IFERROR(INDEX(Produtos!$C$2:$C$71,MATCH(C4419,Produtos!$A$2:$A$71,0)),"")</f>
        <v/>
      </c>
      <c r="P4419" s="25">
        <f>IFERROR(INDEX(Produtos!$D$2:$D$71,MATCH(C4419,Produtos!$A$2:$A$71,0)),0)</f>
        <v/>
      </c>
      <c r="Q4419" s="25">
        <f>IFERROR(INDEX(Produtos!$E$2:$E$71,MATCH(C4419,Produtos!$A$2:$A$71,0)),0)</f>
        <v/>
      </c>
      <c r="R4419" s="27">
        <f>D4419*Q4419</f>
        <v/>
      </c>
      <c r="S4419" s="27">
        <f>R4419*E4419</f>
        <v/>
      </c>
      <c r="T4419" s="27">
        <f>(R4419-S4419)*M4419</f>
        <v/>
      </c>
      <c r="U4419" s="27">
        <f>R4419-S4419-T4419</f>
        <v/>
      </c>
      <c r="V4419" s="27">
        <f>D4419*P4419</f>
        <v/>
      </c>
      <c r="W4419" s="27">
        <f>U4419-V4419</f>
        <v/>
      </c>
      <c r="X4419" s="28">
        <f>IFERROR(W4419/U4419,0)</f>
        <v/>
      </c>
    </row>
    <row r="4420">
      <c r="A4420" s="21">
        <f>ItensPedido!A4420</f>
        <v/>
      </c>
      <c r="B4420" s="21">
        <f>ItensPedido!B4420</f>
        <v/>
      </c>
      <c r="C4420" s="21">
        <f>ItensPedido!C4420</f>
        <v/>
      </c>
      <c r="D4420" s="21">
        <f>ItensPedido!D4420</f>
        <v/>
      </c>
      <c r="E4420" s="22">
        <f>ItensPedido!E4420</f>
        <v/>
      </c>
      <c r="F4420" s="21">
        <f>IFERROR(INDEX(Pedidos!$B$2:$B$1801,MATCH(B4420,Pedidos!$A$2:$A$1801,0)),0)</f>
        <v/>
      </c>
      <c r="G4420" s="21">
        <f>IF(F4420=0,"",YEAR(F4420))</f>
        <v/>
      </c>
      <c r="H4420" s="21">
        <f>IF(F4420=0,"",MONTH(F4420))</f>
        <v/>
      </c>
      <c r="I4420" s="21">
        <f>IFERROR(INDEX(Pedidos!$E$2:$E$1801,MATCH(B4420,Pedidos!$A$2:$A$1801,0)),"")</f>
        <v/>
      </c>
      <c r="J4420" s="21">
        <f>IFERROR(INDEX(Pedidos!$C$2:$C$1801,MATCH(B4420,Pedidos!$A$2:$A$1801,0)),"")</f>
        <v/>
      </c>
      <c r="K4420" s="21">
        <f>IFERROR(INDEX(Pedidos!$D$2:$D$1801,MATCH(B4420,Pedidos!$A$2:$A$1801,0)),"")</f>
        <v/>
      </c>
      <c r="L4420" s="21">
        <f>IFERROR(INDEX(Pedidos!$F$2:$F$1801,MATCH(B4420,Pedidos!$A$2:$A$1801,0)),"")</f>
        <v/>
      </c>
      <c r="M4420" s="22">
        <f>IFERROR(INDEX(Pedidos!$G$2:$G$1801,MATCH(B4420,Pedidos!$A$2:$A$1801,0)),0)</f>
        <v/>
      </c>
      <c r="N4420" s="21">
        <f>IFERROR(INDEX(Produtos!$B$2:$B$71,MATCH(C4420,Produtos!$A$2:$A$71,0)),"")</f>
        <v/>
      </c>
      <c r="O4420" s="21">
        <f>IFERROR(INDEX(Produtos!$C$2:$C$71,MATCH(C4420,Produtos!$A$2:$A$71,0)),"")</f>
        <v/>
      </c>
      <c r="P4420" s="21">
        <f>IFERROR(INDEX(Produtos!$D$2:$D$71,MATCH(C4420,Produtos!$A$2:$A$71,0)),0)</f>
        <v/>
      </c>
      <c r="Q4420" s="21">
        <f>IFERROR(INDEX(Produtos!$E$2:$E$71,MATCH(C4420,Produtos!$A$2:$A$71,0)),0)</f>
        <v/>
      </c>
      <c r="R4420" s="23">
        <f>D4420*Q4420</f>
        <v/>
      </c>
      <c r="S4420" s="23">
        <f>R4420*E4420</f>
        <v/>
      </c>
      <c r="T4420" s="23">
        <f>(R4420-S4420)*M4420</f>
        <v/>
      </c>
      <c r="U4420" s="23">
        <f>R4420-S4420-T4420</f>
        <v/>
      </c>
      <c r="V4420" s="23">
        <f>D4420*P4420</f>
        <v/>
      </c>
      <c r="W4420" s="23">
        <f>U4420-V4420</f>
        <v/>
      </c>
      <c r="X4420" s="24">
        <f>IFERROR(W4420/U4420,0)</f>
        <v/>
      </c>
    </row>
    <row r="4421">
      <c r="A4421" s="25">
        <f>ItensPedido!A4421</f>
        <v/>
      </c>
      <c r="B4421" s="25">
        <f>ItensPedido!B4421</f>
        <v/>
      </c>
      <c r="C4421" s="25">
        <f>ItensPedido!C4421</f>
        <v/>
      </c>
      <c r="D4421" s="25">
        <f>ItensPedido!D4421</f>
        <v/>
      </c>
      <c r="E4421" s="26">
        <f>ItensPedido!E4421</f>
        <v/>
      </c>
      <c r="F4421" s="25">
        <f>IFERROR(INDEX(Pedidos!$B$2:$B$1801,MATCH(B4421,Pedidos!$A$2:$A$1801,0)),0)</f>
        <v/>
      </c>
      <c r="G4421" s="25">
        <f>IF(F4421=0,"",YEAR(F4421))</f>
        <v/>
      </c>
      <c r="H4421" s="25">
        <f>IF(F4421=0,"",MONTH(F4421))</f>
        <v/>
      </c>
      <c r="I4421" s="25">
        <f>IFERROR(INDEX(Pedidos!$E$2:$E$1801,MATCH(B4421,Pedidos!$A$2:$A$1801,0)),"")</f>
        <v/>
      </c>
      <c r="J4421" s="25">
        <f>IFERROR(INDEX(Pedidos!$C$2:$C$1801,MATCH(B4421,Pedidos!$A$2:$A$1801,0)),"")</f>
        <v/>
      </c>
      <c r="K4421" s="25">
        <f>IFERROR(INDEX(Pedidos!$D$2:$D$1801,MATCH(B4421,Pedidos!$A$2:$A$1801,0)),"")</f>
        <v/>
      </c>
      <c r="L4421" s="25">
        <f>IFERROR(INDEX(Pedidos!$F$2:$F$1801,MATCH(B4421,Pedidos!$A$2:$A$1801,0)),"")</f>
        <v/>
      </c>
      <c r="M4421" s="26">
        <f>IFERROR(INDEX(Pedidos!$G$2:$G$1801,MATCH(B4421,Pedidos!$A$2:$A$1801,0)),0)</f>
        <v/>
      </c>
      <c r="N4421" s="25">
        <f>IFERROR(INDEX(Produtos!$B$2:$B$71,MATCH(C4421,Produtos!$A$2:$A$71,0)),"")</f>
        <v/>
      </c>
      <c r="O4421" s="25">
        <f>IFERROR(INDEX(Produtos!$C$2:$C$71,MATCH(C4421,Produtos!$A$2:$A$71,0)),"")</f>
        <v/>
      </c>
      <c r="P4421" s="25">
        <f>IFERROR(INDEX(Produtos!$D$2:$D$71,MATCH(C4421,Produtos!$A$2:$A$71,0)),0)</f>
        <v/>
      </c>
      <c r="Q4421" s="25">
        <f>IFERROR(INDEX(Produtos!$E$2:$E$71,MATCH(C4421,Produtos!$A$2:$A$71,0)),0)</f>
        <v/>
      </c>
      <c r="R4421" s="27">
        <f>D4421*Q4421</f>
        <v/>
      </c>
      <c r="S4421" s="27">
        <f>R4421*E4421</f>
        <v/>
      </c>
      <c r="T4421" s="27">
        <f>(R4421-S4421)*M4421</f>
        <v/>
      </c>
      <c r="U4421" s="27">
        <f>R4421-S4421-T4421</f>
        <v/>
      </c>
      <c r="V4421" s="27">
        <f>D4421*P4421</f>
        <v/>
      </c>
      <c r="W4421" s="27">
        <f>U4421-V4421</f>
        <v/>
      </c>
      <c r="X4421" s="28">
        <f>IFERROR(W4421/U4421,0)</f>
        <v/>
      </c>
    </row>
    <row r="4422">
      <c r="A4422" s="21">
        <f>ItensPedido!A4422</f>
        <v/>
      </c>
      <c r="B4422" s="21">
        <f>ItensPedido!B4422</f>
        <v/>
      </c>
      <c r="C4422" s="21">
        <f>ItensPedido!C4422</f>
        <v/>
      </c>
      <c r="D4422" s="21">
        <f>ItensPedido!D4422</f>
        <v/>
      </c>
      <c r="E4422" s="22">
        <f>ItensPedido!E4422</f>
        <v/>
      </c>
      <c r="F4422" s="21">
        <f>IFERROR(INDEX(Pedidos!$B$2:$B$1801,MATCH(B4422,Pedidos!$A$2:$A$1801,0)),0)</f>
        <v/>
      </c>
      <c r="G4422" s="21">
        <f>IF(F4422=0,"",YEAR(F4422))</f>
        <v/>
      </c>
      <c r="H4422" s="21">
        <f>IF(F4422=0,"",MONTH(F4422))</f>
        <v/>
      </c>
      <c r="I4422" s="21">
        <f>IFERROR(INDEX(Pedidos!$E$2:$E$1801,MATCH(B4422,Pedidos!$A$2:$A$1801,0)),"")</f>
        <v/>
      </c>
      <c r="J4422" s="21">
        <f>IFERROR(INDEX(Pedidos!$C$2:$C$1801,MATCH(B4422,Pedidos!$A$2:$A$1801,0)),"")</f>
        <v/>
      </c>
      <c r="K4422" s="21">
        <f>IFERROR(INDEX(Pedidos!$D$2:$D$1801,MATCH(B4422,Pedidos!$A$2:$A$1801,0)),"")</f>
        <v/>
      </c>
      <c r="L4422" s="21">
        <f>IFERROR(INDEX(Pedidos!$F$2:$F$1801,MATCH(B4422,Pedidos!$A$2:$A$1801,0)),"")</f>
        <v/>
      </c>
      <c r="M4422" s="22">
        <f>IFERROR(INDEX(Pedidos!$G$2:$G$1801,MATCH(B4422,Pedidos!$A$2:$A$1801,0)),0)</f>
        <v/>
      </c>
      <c r="N4422" s="21">
        <f>IFERROR(INDEX(Produtos!$B$2:$B$71,MATCH(C4422,Produtos!$A$2:$A$71,0)),"")</f>
        <v/>
      </c>
      <c r="O4422" s="21">
        <f>IFERROR(INDEX(Produtos!$C$2:$C$71,MATCH(C4422,Produtos!$A$2:$A$71,0)),"")</f>
        <v/>
      </c>
      <c r="P4422" s="21">
        <f>IFERROR(INDEX(Produtos!$D$2:$D$71,MATCH(C4422,Produtos!$A$2:$A$71,0)),0)</f>
        <v/>
      </c>
      <c r="Q4422" s="21">
        <f>IFERROR(INDEX(Produtos!$E$2:$E$71,MATCH(C4422,Produtos!$A$2:$A$71,0)),0)</f>
        <v/>
      </c>
      <c r="R4422" s="23">
        <f>D4422*Q4422</f>
        <v/>
      </c>
      <c r="S4422" s="23">
        <f>R4422*E4422</f>
        <v/>
      </c>
      <c r="T4422" s="23">
        <f>(R4422-S4422)*M4422</f>
        <v/>
      </c>
      <c r="U4422" s="23">
        <f>R4422-S4422-T4422</f>
        <v/>
      </c>
      <c r="V4422" s="23">
        <f>D4422*P4422</f>
        <v/>
      </c>
      <c r="W4422" s="23">
        <f>U4422-V4422</f>
        <v/>
      </c>
      <c r="X4422" s="24">
        <f>IFERROR(W4422/U4422,0)</f>
        <v/>
      </c>
    </row>
    <row r="4423">
      <c r="A4423" s="25">
        <f>ItensPedido!A4423</f>
        <v/>
      </c>
      <c r="B4423" s="25">
        <f>ItensPedido!B4423</f>
        <v/>
      </c>
      <c r="C4423" s="25">
        <f>ItensPedido!C4423</f>
        <v/>
      </c>
      <c r="D4423" s="25">
        <f>ItensPedido!D4423</f>
        <v/>
      </c>
      <c r="E4423" s="26">
        <f>ItensPedido!E4423</f>
        <v/>
      </c>
      <c r="F4423" s="25">
        <f>IFERROR(INDEX(Pedidos!$B$2:$B$1801,MATCH(B4423,Pedidos!$A$2:$A$1801,0)),0)</f>
        <v/>
      </c>
      <c r="G4423" s="25">
        <f>IF(F4423=0,"",YEAR(F4423))</f>
        <v/>
      </c>
      <c r="H4423" s="25">
        <f>IF(F4423=0,"",MONTH(F4423))</f>
        <v/>
      </c>
      <c r="I4423" s="25">
        <f>IFERROR(INDEX(Pedidos!$E$2:$E$1801,MATCH(B4423,Pedidos!$A$2:$A$1801,0)),"")</f>
        <v/>
      </c>
      <c r="J4423" s="25">
        <f>IFERROR(INDEX(Pedidos!$C$2:$C$1801,MATCH(B4423,Pedidos!$A$2:$A$1801,0)),"")</f>
        <v/>
      </c>
      <c r="K4423" s="25">
        <f>IFERROR(INDEX(Pedidos!$D$2:$D$1801,MATCH(B4423,Pedidos!$A$2:$A$1801,0)),"")</f>
        <v/>
      </c>
      <c r="L4423" s="25">
        <f>IFERROR(INDEX(Pedidos!$F$2:$F$1801,MATCH(B4423,Pedidos!$A$2:$A$1801,0)),"")</f>
        <v/>
      </c>
      <c r="M4423" s="26">
        <f>IFERROR(INDEX(Pedidos!$G$2:$G$1801,MATCH(B4423,Pedidos!$A$2:$A$1801,0)),0)</f>
        <v/>
      </c>
      <c r="N4423" s="25">
        <f>IFERROR(INDEX(Produtos!$B$2:$B$71,MATCH(C4423,Produtos!$A$2:$A$71,0)),"")</f>
        <v/>
      </c>
      <c r="O4423" s="25">
        <f>IFERROR(INDEX(Produtos!$C$2:$C$71,MATCH(C4423,Produtos!$A$2:$A$71,0)),"")</f>
        <v/>
      </c>
      <c r="P4423" s="25">
        <f>IFERROR(INDEX(Produtos!$D$2:$D$71,MATCH(C4423,Produtos!$A$2:$A$71,0)),0)</f>
        <v/>
      </c>
      <c r="Q4423" s="25">
        <f>IFERROR(INDEX(Produtos!$E$2:$E$71,MATCH(C4423,Produtos!$A$2:$A$71,0)),0)</f>
        <v/>
      </c>
      <c r="R4423" s="27">
        <f>D4423*Q4423</f>
        <v/>
      </c>
      <c r="S4423" s="27">
        <f>R4423*E4423</f>
        <v/>
      </c>
      <c r="T4423" s="27">
        <f>(R4423-S4423)*M4423</f>
        <v/>
      </c>
      <c r="U4423" s="27">
        <f>R4423-S4423-T4423</f>
        <v/>
      </c>
      <c r="V4423" s="27">
        <f>D4423*P4423</f>
        <v/>
      </c>
      <c r="W4423" s="27">
        <f>U4423-V4423</f>
        <v/>
      </c>
      <c r="X4423" s="28">
        <f>IFERROR(W4423/U4423,0)</f>
        <v/>
      </c>
    </row>
    <row r="4424">
      <c r="A4424" s="21">
        <f>ItensPedido!A4424</f>
        <v/>
      </c>
      <c r="B4424" s="21">
        <f>ItensPedido!B4424</f>
        <v/>
      </c>
      <c r="C4424" s="21">
        <f>ItensPedido!C4424</f>
        <v/>
      </c>
      <c r="D4424" s="21">
        <f>ItensPedido!D4424</f>
        <v/>
      </c>
      <c r="E4424" s="22">
        <f>ItensPedido!E4424</f>
        <v/>
      </c>
      <c r="F4424" s="21">
        <f>IFERROR(INDEX(Pedidos!$B$2:$B$1801,MATCH(B4424,Pedidos!$A$2:$A$1801,0)),0)</f>
        <v/>
      </c>
      <c r="G4424" s="21">
        <f>IF(F4424=0,"",YEAR(F4424))</f>
        <v/>
      </c>
      <c r="H4424" s="21">
        <f>IF(F4424=0,"",MONTH(F4424))</f>
        <v/>
      </c>
      <c r="I4424" s="21">
        <f>IFERROR(INDEX(Pedidos!$E$2:$E$1801,MATCH(B4424,Pedidos!$A$2:$A$1801,0)),"")</f>
        <v/>
      </c>
      <c r="J4424" s="21">
        <f>IFERROR(INDEX(Pedidos!$C$2:$C$1801,MATCH(B4424,Pedidos!$A$2:$A$1801,0)),"")</f>
        <v/>
      </c>
      <c r="K4424" s="21">
        <f>IFERROR(INDEX(Pedidos!$D$2:$D$1801,MATCH(B4424,Pedidos!$A$2:$A$1801,0)),"")</f>
        <v/>
      </c>
      <c r="L4424" s="21">
        <f>IFERROR(INDEX(Pedidos!$F$2:$F$1801,MATCH(B4424,Pedidos!$A$2:$A$1801,0)),"")</f>
        <v/>
      </c>
      <c r="M4424" s="22">
        <f>IFERROR(INDEX(Pedidos!$G$2:$G$1801,MATCH(B4424,Pedidos!$A$2:$A$1801,0)),0)</f>
        <v/>
      </c>
      <c r="N4424" s="21">
        <f>IFERROR(INDEX(Produtos!$B$2:$B$71,MATCH(C4424,Produtos!$A$2:$A$71,0)),"")</f>
        <v/>
      </c>
      <c r="O4424" s="21">
        <f>IFERROR(INDEX(Produtos!$C$2:$C$71,MATCH(C4424,Produtos!$A$2:$A$71,0)),"")</f>
        <v/>
      </c>
      <c r="P4424" s="21">
        <f>IFERROR(INDEX(Produtos!$D$2:$D$71,MATCH(C4424,Produtos!$A$2:$A$71,0)),0)</f>
        <v/>
      </c>
      <c r="Q4424" s="21">
        <f>IFERROR(INDEX(Produtos!$E$2:$E$71,MATCH(C4424,Produtos!$A$2:$A$71,0)),0)</f>
        <v/>
      </c>
      <c r="R4424" s="23">
        <f>D4424*Q4424</f>
        <v/>
      </c>
      <c r="S4424" s="23">
        <f>R4424*E4424</f>
        <v/>
      </c>
      <c r="T4424" s="23">
        <f>(R4424-S4424)*M4424</f>
        <v/>
      </c>
      <c r="U4424" s="23">
        <f>R4424-S4424-T4424</f>
        <v/>
      </c>
      <c r="V4424" s="23">
        <f>D4424*P4424</f>
        <v/>
      </c>
      <c r="W4424" s="23">
        <f>U4424-V4424</f>
        <v/>
      </c>
      <c r="X4424" s="24">
        <f>IFERROR(W4424/U4424,0)</f>
        <v/>
      </c>
    </row>
    <row r="4425">
      <c r="A4425" s="25">
        <f>ItensPedido!A4425</f>
        <v/>
      </c>
      <c r="B4425" s="25">
        <f>ItensPedido!B4425</f>
        <v/>
      </c>
      <c r="C4425" s="25">
        <f>ItensPedido!C4425</f>
        <v/>
      </c>
      <c r="D4425" s="25">
        <f>ItensPedido!D4425</f>
        <v/>
      </c>
      <c r="E4425" s="26">
        <f>ItensPedido!E4425</f>
        <v/>
      </c>
      <c r="F4425" s="25">
        <f>IFERROR(INDEX(Pedidos!$B$2:$B$1801,MATCH(B4425,Pedidos!$A$2:$A$1801,0)),0)</f>
        <v/>
      </c>
      <c r="G4425" s="25">
        <f>IF(F4425=0,"",YEAR(F4425))</f>
        <v/>
      </c>
      <c r="H4425" s="25">
        <f>IF(F4425=0,"",MONTH(F4425))</f>
        <v/>
      </c>
      <c r="I4425" s="25">
        <f>IFERROR(INDEX(Pedidos!$E$2:$E$1801,MATCH(B4425,Pedidos!$A$2:$A$1801,0)),"")</f>
        <v/>
      </c>
      <c r="J4425" s="25">
        <f>IFERROR(INDEX(Pedidos!$C$2:$C$1801,MATCH(B4425,Pedidos!$A$2:$A$1801,0)),"")</f>
        <v/>
      </c>
      <c r="K4425" s="25">
        <f>IFERROR(INDEX(Pedidos!$D$2:$D$1801,MATCH(B4425,Pedidos!$A$2:$A$1801,0)),"")</f>
        <v/>
      </c>
      <c r="L4425" s="25">
        <f>IFERROR(INDEX(Pedidos!$F$2:$F$1801,MATCH(B4425,Pedidos!$A$2:$A$1801,0)),"")</f>
        <v/>
      </c>
      <c r="M4425" s="26">
        <f>IFERROR(INDEX(Pedidos!$G$2:$G$1801,MATCH(B4425,Pedidos!$A$2:$A$1801,0)),0)</f>
        <v/>
      </c>
      <c r="N4425" s="25">
        <f>IFERROR(INDEX(Produtos!$B$2:$B$71,MATCH(C4425,Produtos!$A$2:$A$71,0)),"")</f>
        <v/>
      </c>
      <c r="O4425" s="25">
        <f>IFERROR(INDEX(Produtos!$C$2:$C$71,MATCH(C4425,Produtos!$A$2:$A$71,0)),"")</f>
        <v/>
      </c>
      <c r="P4425" s="25">
        <f>IFERROR(INDEX(Produtos!$D$2:$D$71,MATCH(C4425,Produtos!$A$2:$A$71,0)),0)</f>
        <v/>
      </c>
      <c r="Q4425" s="25">
        <f>IFERROR(INDEX(Produtos!$E$2:$E$71,MATCH(C4425,Produtos!$A$2:$A$71,0)),0)</f>
        <v/>
      </c>
      <c r="R4425" s="27">
        <f>D4425*Q4425</f>
        <v/>
      </c>
      <c r="S4425" s="27">
        <f>R4425*E4425</f>
        <v/>
      </c>
      <c r="T4425" s="27">
        <f>(R4425-S4425)*M4425</f>
        <v/>
      </c>
      <c r="U4425" s="27">
        <f>R4425-S4425-T4425</f>
        <v/>
      </c>
      <c r="V4425" s="27">
        <f>D4425*P4425</f>
        <v/>
      </c>
      <c r="W4425" s="27">
        <f>U4425-V4425</f>
        <v/>
      </c>
      <c r="X4425" s="28">
        <f>IFERROR(W4425/U4425,0)</f>
        <v/>
      </c>
    </row>
    <row r="4426">
      <c r="A4426" s="21">
        <f>ItensPedido!A4426</f>
        <v/>
      </c>
      <c r="B4426" s="21">
        <f>ItensPedido!B4426</f>
        <v/>
      </c>
      <c r="C4426" s="21">
        <f>ItensPedido!C4426</f>
        <v/>
      </c>
      <c r="D4426" s="21">
        <f>ItensPedido!D4426</f>
        <v/>
      </c>
      <c r="E4426" s="22">
        <f>ItensPedido!E4426</f>
        <v/>
      </c>
      <c r="F4426" s="21">
        <f>IFERROR(INDEX(Pedidos!$B$2:$B$1801,MATCH(B4426,Pedidos!$A$2:$A$1801,0)),0)</f>
        <v/>
      </c>
      <c r="G4426" s="21">
        <f>IF(F4426=0,"",YEAR(F4426))</f>
        <v/>
      </c>
      <c r="H4426" s="21">
        <f>IF(F4426=0,"",MONTH(F4426))</f>
        <v/>
      </c>
      <c r="I4426" s="21">
        <f>IFERROR(INDEX(Pedidos!$E$2:$E$1801,MATCH(B4426,Pedidos!$A$2:$A$1801,0)),"")</f>
        <v/>
      </c>
      <c r="J4426" s="21">
        <f>IFERROR(INDEX(Pedidos!$C$2:$C$1801,MATCH(B4426,Pedidos!$A$2:$A$1801,0)),"")</f>
        <v/>
      </c>
      <c r="K4426" s="21">
        <f>IFERROR(INDEX(Pedidos!$D$2:$D$1801,MATCH(B4426,Pedidos!$A$2:$A$1801,0)),"")</f>
        <v/>
      </c>
      <c r="L4426" s="21">
        <f>IFERROR(INDEX(Pedidos!$F$2:$F$1801,MATCH(B4426,Pedidos!$A$2:$A$1801,0)),"")</f>
        <v/>
      </c>
      <c r="M4426" s="22">
        <f>IFERROR(INDEX(Pedidos!$G$2:$G$1801,MATCH(B4426,Pedidos!$A$2:$A$1801,0)),0)</f>
        <v/>
      </c>
      <c r="N4426" s="21">
        <f>IFERROR(INDEX(Produtos!$B$2:$B$71,MATCH(C4426,Produtos!$A$2:$A$71,0)),"")</f>
        <v/>
      </c>
      <c r="O4426" s="21">
        <f>IFERROR(INDEX(Produtos!$C$2:$C$71,MATCH(C4426,Produtos!$A$2:$A$71,0)),"")</f>
        <v/>
      </c>
      <c r="P4426" s="21">
        <f>IFERROR(INDEX(Produtos!$D$2:$D$71,MATCH(C4426,Produtos!$A$2:$A$71,0)),0)</f>
        <v/>
      </c>
      <c r="Q4426" s="21">
        <f>IFERROR(INDEX(Produtos!$E$2:$E$71,MATCH(C4426,Produtos!$A$2:$A$71,0)),0)</f>
        <v/>
      </c>
      <c r="R4426" s="23">
        <f>D4426*Q4426</f>
        <v/>
      </c>
      <c r="S4426" s="23">
        <f>R4426*E4426</f>
        <v/>
      </c>
      <c r="T4426" s="23">
        <f>(R4426-S4426)*M4426</f>
        <v/>
      </c>
      <c r="U4426" s="23">
        <f>R4426-S4426-T4426</f>
        <v/>
      </c>
      <c r="V4426" s="23">
        <f>D4426*P4426</f>
        <v/>
      </c>
      <c r="W4426" s="23">
        <f>U4426-V4426</f>
        <v/>
      </c>
      <c r="X4426" s="24">
        <f>IFERROR(W4426/U4426,0)</f>
        <v/>
      </c>
    </row>
    <row r="4427">
      <c r="A4427" s="25">
        <f>ItensPedido!A4427</f>
        <v/>
      </c>
      <c r="B4427" s="25">
        <f>ItensPedido!B4427</f>
        <v/>
      </c>
      <c r="C4427" s="25">
        <f>ItensPedido!C4427</f>
        <v/>
      </c>
      <c r="D4427" s="25">
        <f>ItensPedido!D4427</f>
        <v/>
      </c>
      <c r="E4427" s="26">
        <f>ItensPedido!E4427</f>
        <v/>
      </c>
      <c r="F4427" s="25">
        <f>IFERROR(INDEX(Pedidos!$B$2:$B$1801,MATCH(B4427,Pedidos!$A$2:$A$1801,0)),0)</f>
        <v/>
      </c>
      <c r="G4427" s="25">
        <f>IF(F4427=0,"",YEAR(F4427))</f>
        <v/>
      </c>
      <c r="H4427" s="25">
        <f>IF(F4427=0,"",MONTH(F4427))</f>
        <v/>
      </c>
      <c r="I4427" s="25">
        <f>IFERROR(INDEX(Pedidos!$E$2:$E$1801,MATCH(B4427,Pedidos!$A$2:$A$1801,0)),"")</f>
        <v/>
      </c>
      <c r="J4427" s="25">
        <f>IFERROR(INDEX(Pedidos!$C$2:$C$1801,MATCH(B4427,Pedidos!$A$2:$A$1801,0)),"")</f>
        <v/>
      </c>
      <c r="K4427" s="25">
        <f>IFERROR(INDEX(Pedidos!$D$2:$D$1801,MATCH(B4427,Pedidos!$A$2:$A$1801,0)),"")</f>
        <v/>
      </c>
      <c r="L4427" s="25">
        <f>IFERROR(INDEX(Pedidos!$F$2:$F$1801,MATCH(B4427,Pedidos!$A$2:$A$1801,0)),"")</f>
        <v/>
      </c>
      <c r="M4427" s="26">
        <f>IFERROR(INDEX(Pedidos!$G$2:$G$1801,MATCH(B4427,Pedidos!$A$2:$A$1801,0)),0)</f>
        <v/>
      </c>
      <c r="N4427" s="25">
        <f>IFERROR(INDEX(Produtos!$B$2:$B$71,MATCH(C4427,Produtos!$A$2:$A$71,0)),"")</f>
        <v/>
      </c>
      <c r="O4427" s="25">
        <f>IFERROR(INDEX(Produtos!$C$2:$C$71,MATCH(C4427,Produtos!$A$2:$A$71,0)),"")</f>
        <v/>
      </c>
      <c r="P4427" s="25">
        <f>IFERROR(INDEX(Produtos!$D$2:$D$71,MATCH(C4427,Produtos!$A$2:$A$71,0)),0)</f>
        <v/>
      </c>
      <c r="Q4427" s="25">
        <f>IFERROR(INDEX(Produtos!$E$2:$E$71,MATCH(C4427,Produtos!$A$2:$A$71,0)),0)</f>
        <v/>
      </c>
      <c r="R4427" s="27">
        <f>D4427*Q4427</f>
        <v/>
      </c>
      <c r="S4427" s="27">
        <f>R4427*E4427</f>
        <v/>
      </c>
      <c r="T4427" s="27">
        <f>(R4427-S4427)*M4427</f>
        <v/>
      </c>
      <c r="U4427" s="27">
        <f>R4427-S4427-T4427</f>
        <v/>
      </c>
      <c r="V4427" s="27">
        <f>D4427*P4427</f>
        <v/>
      </c>
      <c r="W4427" s="27">
        <f>U4427-V4427</f>
        <v/>
      </c>
      <c r="X4427" s="28">
        <f>IFERROR(W4427/U4427,0)</f>
        <v/>
      </c>
    </row>
    <row r="4428">
      <c r="A4428" s="21">
        <f>ItensPedido!A4428</f>
        <v/>
      </c>
      <c r="B4428" s="21">
        <f>ItensPedido!B4428</f>
        <v/>
      </c>
      <c r="C4428" s="21">
        <f>ItensPedido!C4428</f>
        <v/>
      </c>
      <c r="D4428" s="21">
        <f>ItensPedido!D4428</f>
        <v/>
      </c>
      <c r="E4428" s="22">
        <f>ItensPedido!E4428</f>
        <v/>
      </c>
      <c r="F4428" s="21">
        <f>IFERROR(INDEX(Pedidos!$B$2:$B$1801,MATCH(B4428,Pedidos!$A$2:$A$1801,0)),0)</f>
        <v/>
      </c>
      <c r="G4428" s="21">
        <f>IF(F4428=0,"",YEAR(F4428))</f>
        <v/>
      </c>
      <c r="H4428" s="21">
        <f>IF(F4428=0,"",MONTH(F4428))</f>
        <v/>
      </c>
      <c r="I4428" s="21">
        <f>IFERROR(INDEX(Pedidos!$E$2:$E$1801,MATCH(B4428,Pedidos!$A$2:$A$1801,0)),"")</f>
        <v/>
      </c>
      <c r="J4428" s="21">
        <f>IFERROR(INDEX(Pedidos!$C$2:$C$1801,MATCH(B4428,Pedidos!$A$2:$A$1801,0)),"")</f>
        <v/>
      </c>
      <c r="K4428" s="21">
        <f>IFERROR(INDEX(Pedidos!$D$2:$D$1801,MATCH(B4428,Pedidos!$A$2:$A$1801,0)),"")</f>
        <v/>
      </c>
      <c r="L4428" s="21">
        <f>IFERROR(INDEX(Pedidos!$F$2:$F$1801,MATCH(B4428,Pedidos!$A$2:$A$1801,0)),"")</f>
        <v/>
      </c>
      <c r="M4428" s="22">
        <f>IFERROR(INDEX(Pedidos!$G$2:$G$1801,MATCH(B4428,Pedidos!$A$2:$A$1801,0)),0)</f>
        <v/>
      </c>
      <c r="N4428" s="21">
        <f>IFERROR(INDEX(Produtos!$B$2:$B$71,MATCH(C4428,Produtos!$A$2:$A$71,0)),"")</f>
        <v/>
      </c>
      <c r="O4428" s="21">
        <f>IFERROR(INDEX(Produtos!$C$2:$C$71,MATCH(C4428,Produtos!$A$2:$A$71,0)),"")</f>
        <v/>
      </c>
      <c r="P4428" s="21">
        <f>IFERROR(INDEX(Produtos!$D$2:$D$71,MATCH(C4428,Produtos!$A$2:$A$71,0)),0)</f>
        <v/>
      </c>
      <c r="Q4428" s="21">
        <f>IFERROR(INDEX(Produtos!$E$2:$E$71,MATCH(C4428,Produtos!$A$2:$A$71,0)),0)</f>
        <v/>
      </c>
      <c r="R4428" s="23">
        <f>D4428*Q4428</f>
        <v/>
      </c>
      <c r="S4428" s="23">
        <f>R4428*E4428</f>
        <v/>
      </c>
      <c r="T4428" s="23">
        <f>(R4428-S4428)*M4428</f>
        <v/>
      </c>
      <c r="U4428" s="23">
        <f>R4428-S4428-T4428</f>
        <v/>
      </c>
      <c r="V4428" s="23">
        <f>D4428*P4428</f>
        <v/>
      </c>
      <c r="W4428" s="23">
        <f>U4428-V4428</f>
        <v/>
      </c>
      <c r="X4428" s="24">
        <f>IFERROR(W4428/U4428,0)</f>
        <v/>
      </c>
    </row>
    <row r="4429">
      <c r="A4429" s="25">
        <f>ItensPedido!A4429</f>
        <v/>
      </c>
      <c r="B4429" s="25">
        <f>ItensPedido!B4429</f>
        <v/>
      </c>
      <c r="C4429" s="25">
        <f>ItensPedido!C4429</f>
        <v/>
      </c>
      <c r="D4429" s="25">
        <f>ItensPedido!D4429</f>
        <v/>
      </c>
      <c r="E4429" s="26">
        <f>ItensPedido!E4429</f>
        <v/>
      </c>
      <c r="F4429" s="25">
        <f>IFERROR(INDEX(Pedidos!$B$2:$B$1801,MATCH(B4429,Pedidos!$A$2:$A$1801,0)),0)</f>
        <v/>
      </c>
      <c r="G4429" s="25">
        <f>IF(F4429=0,"",YEAR(F4429))</f>
        <v/>
      </c>
      <c r="H4429" s="25">
        <f>IF(F4429=0,"",MONTH(F4429))</f>
        <v/>
      </c>
      <c r="I4429" s="25">
        <f>IFERROR(INDEX(Pedidos!$E$2:$E$1801,MATCH(B4429,Pedidos!$A$2:$A$1801,0)),"")</f>
        <v/>
      </c>
      <c r="J4429" s="25">
        <f>IFERROR(INDEX(Pedidos!$C$2:$C$1801,MATCH(B4429,Pedidos!$A$2:$A$1801,0)),"")</f>
        <v/>
      </c>
      <c r="K4429" s="25">
        <f>IFERROR(INDEX(Pedidos!$D$2:$D$1801,MATCH(B4429,Pedidos!$A$2:$A$1801,0)),"")</f>
        <v/>
      </c>
      <c r="L4429" s="25">
        <f>IFERROR(INDEX(Pedidos!$F$2:$F$1801,MATCH(B4429,Pedidos!$A$2:$A$1801,0)),"")</f>
        <v/>
      </c>
      <c r="M4429" s="26">
        <f>IFERROR(INDEX(Pedidos!$G$2:$G$1801,MATCH(B4429,Pedidos!$A$2:$A$1801,0)),0)</f>
        <v/>
      </c>
      <c r="N4429" s="25">
        <f>IFERROR(INDEX(Produtos!$B$2:$B$71,MATCH(C4429,Produtos!$A$2:$A$71,0)),"")</f>
        <v/>
      </c>
      <c r="O4429" s="25">
        <f>IFERROR(INDEX(Produtos!$C$2:$C$71,MATCH(C4429,Produtos!$A$2:$A$71,0)),"")</f>
        <v/>
      </c>
      <c r="P4429" s="25">
        <f>IFERROR(INDEX(Produtos!$D$2:$D$71,MATCH(C4429,Produtos!$A$2:$A$71,0)),0)</f>
        <v/>
      </c>
      <c r="Q4429" s="25">
        <f>IFERROR(INDEX(Produtos!$E$2:$E$71,MATCH(C4429,Produtos!$A$2:$A$71,0)),0)</f>
        <v/>
      </c>
      <c r="R4429" s="27">
        <f>D4429*Q4429</f>
        <v/>
      </c>
      <c r="S4429" s="27">
        <f>R4429*E4429</f>
        <v/>
      </c>
      <c r="T4429" s="27">
        <f>(R4429-S4429)*M4429</f>
        <v/>
      </c>
      <c r="U4429" s="27">
        <f>R4429-S4429-T4429</f>
        <v/>
      </c>
      <c r="V4429" s="27">
        <f>D4429*P4429</f>
        <v/>
      </c>
      <c r="W4429" s="27">
        <f>U4429-V4429</f>
        <v/>
      </c>
      <c r="X4429" s="28">
        <f>IFERROR(W4429/U4429,0)</f>
        <v/>
      </c>
    </row>
    <row r="4430">
      <c r="A4430" s="21">
        <f>ItensPedido!A4430</f>
        <v/>
      </c>
      <c r="B4430" s="21">
        <f>ItensPedido!B4430</f>
        <v/>
      </c>
      <c r="C4430" s="21">
        <f>ItensPedido!C4430</f>
        <v/>
      </c>
      <c r="D4430" s="21">
        <f>ItensPedido!D4430</f>
        <v/>
      </c>
      <c r="E4430" s="22">
        <f>ItensPedido!E4430</f>
        <v/>
      </c>
      <c r="F4430" s="21">
        <f>IFERROR(INDEX(Pedidos!$B$2:$B$1801,MATCH(B4430,Pedidos!$A$2:$A$1801,0)),0)</f>
        <v/>
      </c>
      <c r="G4430" s="21">
        <f>IF(F4430=0,"",YEAR(F4430))</f>
        <v/>
      </c>
      <c r="H4430" s="21">
        <f>IF(F4430=0,"",MONTH(F4430))</f>
        <v/>
      </c>
      <c r="I4430" s="21">
        <f>IFERROR(INDEX(Pedidos!$E$2:$E$1801,MATCH(B4430,Pedidos!$A$2:$A$1801,0)),"")</f>
        <v/>
      </c>
      <c r="J4430" s="21">
        <f>IFERROR(INDEX(Pedidos!$C$2:$C$1801,MATCH(B4430,Pedidos!$A$2:$A$1801,0)),"")</f>
        <v/>
      </c>
      <c r="K4430" s="21">
        <f>IFERROR(INDEX(Pedidos!$D$2:$D$1801,MATCH(B4430,Pedidos!$A$2:$A$1801,0)),"")</f>
        <v/>
      </c>
      <c r="L4430" s="21">
        <f>IFERROR(INDEX(Pedidos!$F$2:$F$1801,MATCH(B4430,Pedidos!$A$2:$A$1801,0)),"")</f>
        <v/>
      </c>
      <c r="M4430" s="22">
        <f>IFERROR(INDEX(Pedidos!$G$2:$G$1801,MATCH(B4430,Pedidos!$A$2:$A$1801,0)),0)</f>
        <v/>
      </c>
      <c r="N4430" s="21">
        <f>IFERROR(INDEX(Produtos!$B$2:$B$71,MATCH(C4430,Produtos!$A$2:$A$71,0)),"")</f>
        <v/>
      </c>
      <c r="O4430" s="21">
        <f>IFERROR(INDEX(Produtos!$C$2:$C$71,MATCH(C4430,Produtos!$A$2:$A$71,0)),"")</f>
        <v/>
      </c>
      <c r="P4430" s="21">
        <f>IFERROR(INDEX(Produtos!$D$2:$D$71,MATCH(C4430,Produtos!$A$2:$A$71,0)),0)</f>
        <v/>
      </c>
      <c r="Q4430" s="21">
        <f>IFERROR(INDEX(Produtos!$E$2:$E$71,MATCH(C4430,Produtos!$A$2:$A$71,0)),0)</f>
        <v/>
      </c>
      <c r="R4430" s="23">
        <f>D4430*Q4430</f>
        <v/>
      </c>
      <c r="S4430" s="23">
        <f>R4430*E4430</f>
        <v/>
      </c>
      <c r="T4430" s="23">
        <f>(R4430-S4430)*M4430</f>
        <v/>
      </c>
      <c r="U4430" s="23">
        <f>R4430-S4430-T4430</f>
        <v/>
      </c>
      <c r="V4430" s="23">
        <f>D4430*P4430</f>
        <v/>
      </c>
      <c r="W4430" s="23">
        <f>U4430-V4430</f>
        <v/>
      </c>
      <c r="X4430" s="24">
        <f>IFERROR(W4430/U4430,0)</f>
        <v/>
      </c>
    </row>
    <row r="4431">
      <c r="A4431" s="25">
        <f>ItensPedido!A4431</f>
        <v/>
      </c>
      <c r="B4431" s="25">
        <f>ItensPedido!B4431</f>
        <v/>
      </c>
      <c r="C4431" s="25">
        <f>ItensPedido!C4431</f>
        <v/>
      </c>
      <c r="D4431" s="25">
        <f>ItensPedido!D4431</f>
        <v/>
      </c>
      <c r="E4431" s="26">
        <f>ItensPedido!E4431</f>
        <v/>
      </c>
      <c r="F4431" s="25">
        <f>IFERROR(INDEX(Pedidos!$B$2:$B$1801,MATCH(B4431,Pedidos!$A$2:$A$1801,0)),0)</f>
        <v/>
      </c>
      <c r="G4431" s="25">
        <f>IF(F4431=0,"",YEAR(F4431))</f>
        <v/>
      </c>
      <c r="H4431" s="25">
        <f>IF(F4431=0,"",MONTH(F4431))</f>
        <v/>
      </c>
      <c r="I4431" s="25">
        <f>IFERROR(INDEX(Pedidos!$E$2:$E$1801,MATCH(B4431,Pedidos!$A$2:$A$1801,0)),"")</f>
        <v/>
      </c>
      <c r="J4431" s="25">
        <f>IFERROR(INDEX(Pedidos!$C$2:$C$1801,MATCH(B4431,Pedidos!$A$2:$A$1801,0)),"")</f>
        <v/>
      </c>
      <c r="K4431" s="25">
        <f>IFERROR(INDEX(Pedidos!$D$2:$D$1801,MATCH(B4431,Pedidos!$A$2:$A$1801,0)),"")</f>
        <v/>
      </c>
      <c r="L4431" s="25">
        <f>IFERROR(INDEX(Pedidos!$F$2:$F$1801,MATCH(B4431,Pedidos!$A$2:$A$1801,0)),"")</f>
        <v/>
      </c>
      <c r="M4431" s="26">
        <f>IFERROR(INDEX(Pedidos!$G$2:$G$1801,MATCH(B4431,Pedidos!$A$2:$A$1801,0)),0)</f>
        <v/>
      </c>
      <c r="N4431" s="25">
        <f>IFERROR(INDEX(Produtos!$B$2:$B$71,MATCH(C4431,Produtos!$A$2:$A$71,0)),"")</f>
        <v/>
      </c>
      <c r="O4431" s="25">
        <f>IFERROR(INDEX(Produtos!$C$2:$C$71,MATCH(C4431,Produtos!$A$2:$A$71,0)),"")</f>
        <v/>
      </c>
      <c r="P4431" s="25">
        <f>IFERROR(INDEX(Produtos!$D$2:$D$71,MATCH(C4431,Produtos!$A$2:$A$71,0)),0)</f>
        <v/>
      </c>
      <c r="Q4431" s="25">
        <f>IFERROR(INDEX(Produtos!$E$2:$E$71,MATCH(C4431,Produtos!$A$2:$A$71,0)),0)</f>
        <v/>
      </c>
      <c r="R4431" s="27">
        <f>D4431*Q4431</f>
        <v/>
      </c>
      <c r="S4431" s="27">
        <f>R4431*E4431</f>
        <v/>
      </c>
      <c r="T4431" s="27">
        <f>(R4431-S4431)*M4431</f>
        <v/>
      </c>
      <c r="U4431" s="27">
        <f>R4431-S4431-T4431</f>
        <v/>
      </c>
      <c r="V4431" s="27">
        <f>D4431*P4431</f>
        <v/>
      </c>
      <c r="W4431" s="27">
        <f>U4431-V4431</f>
        <v/>
      </c>
      <c r="X4431" s="28">
        <f>IFERROR(W4431/U4431,0)</f>
        <v/>
      </c>
    </row>
    <row r="4432">
      <c r="A4432" s="21">
        <f>ItensPedido!A4432</f>
        <v/>
      </c>
      <c r="B4432" s="21">
        <f>ItensPedido!B4432</f>
        <v/>
      </c>
      <c r="C4432" s="21">
        <f>ItensPedido!C4432</f>
        <v/>
      </c>
      <c r="D4432" s="21">
        <f>ItensPedido!D4432</f>
        <v/>
      </c>
      <c r="E4432" s="22">
        <f>ItensPedido!E4432</f>
        <v/>
      </c>
      <c r="F4432" s="21">
        <f>IFERROR(INDEX(Pedidos!$B$2:$B$1801,MATCH(B4432,Pedidos!$A$2:$A$1801,0)),0)</f>
        <v/>
      </c>
      <c r="G4432" s="21">
        <f>IF(F4432=0,"",YEAR(F4432))</f>
        <v/>
      </c>
      <c r="H4432" s="21">
        <f>IF(F4432=0,"",MONTH(F4432))</f>
        <v/>
      </c>
      <c r="I4432" s="21">
        <f>IFERROR(INDEX(Pedidos!$E$2:$E$1801,MATCH(B4432,Pedidos!$A$2:$A$1801,0)),"")</f>
        <v/>
      </c>
      <c r="J4432" s="21">
        <f>IFERROR(INDEX(Pedidos!$C$2:$C$1801,MATCH(B4432,Pedidos!$A$2:$A$1801,0)),"")</f>
        <v/>
      </c>
      <c r="K4432" s="21">
        <f>IFERROR(INDEX(Pedidos!$D$2:$D$1801,MATCH(B4432,Pedidos!$A$2:$A$1801,0)),"")</f>
        <v/>
      </c>
      <c r="L4432" s="21">
        <f>IFERROR(INDEX(Pedidos!$F$2:$F$1801,MATCH(B4432,Pedidos!$A$2:$A$1801,0)),"")</f>
        <v/>
      </c>
      <c r="M4432" s="22">
        <f>IFERROR(INDEX(Pedidos!$G$2:$G$1801,MATCH(B4432,Pedidos!$A$2:$A$1801,0)),0)</f>
        <v/>
      </c>
      <c r="N4432" s="21">
        <f>IFERROR(INDEX(Produtos!$B$2:$B$71,MATCH(C4432,Produtos!$A$2:$A$71,0)),"")</f>
        <v/>
      </c>
      <c r="O4432" s="21">
        <f>IFERROR(INDEX(Produtos!$C$2:$C$71,MATCH(C4432,Produtos!$A$2:$A$71,0)),"")</f>
        <v/>
      </c>
      <c r="P4432" s="21">
        <f>IFERROR(INDEX(Produtos!$D$2:$D$71,MATCH(C4432,Produtos!$A$2:$A$71,0)),0)</f>
        <v/>
      </c>
      <c r="Q4432" s="21">
        <f>IFERROR(INDEX(Produtos!$E$2:$E$71,MATCH(C4432,Produtos!$A$2:$A$71,0)),0)</f>
        <v/>
      </c>
      <c r="R4432" s="23">
        <f>D4432*Q4432</f>
        <v/>
      </c>
      <c r="S4432" s="23">
        <f>R4432*E4432</f>
        <v/>
      </c>
      <c r="T4432" s="23">
        <f>(R4432-S4432)*M4432</f>
        <v/>
      </c>
      <c r="U4432" s="23">
        <f>R4432-S4432-T4432</f>
        <v/>
      </c>
      <c r="V4432" s="23">
        <f>D4432*P4432</f>
        <v/>
      </c>
      <c r="W4432" s="23">
        <f>U4432-V4432</f>
        <v/>
      </c>
      <c r="X4432" s="24">
        <f>IFERROR(W4432/U4432,0)</f>
        <v/>
      </c>
    </row>
    <row r="4433">
      <c r="A4433" s="25">
        <f>ItensPedido!A4433</f>
        <v/>
      </c>
      <c r="B4433" s="25">
        <f>ItensPedido!B4433</f>
        <v/>
      </c>
      <c r="C4433" s="25">
        <f>ItensPedido!C4433</f>
        <v/>
      </c>
      <c r="D4433" s="25">
        <f>ItensPedido!D4433</f>
        <v/>
      </c>
      <c r="E4433" s="26">
        <f>ItensPedido!E4433</f>
        <v/>
      </c>
      <c r="F4433" s="25">
        <f>IFERROR(INDEX(Pedidos!$B$2:$B$1801,MATCH(B4433,Pedidos!$A$2:$A$1801,0)),0)</f>
        <v/>
      </c>
      <c r="G4433" s="25">
        <f>IF(F4433=0,"",YEAR(F4433))</f>
        <v/>
      </c>
      <c r="H4433" s="25">
        <f>IF(F4433=0,"",MONTH(F4433))</f>
        <v/>
      </c>
      <c r="I4433" s="25">
        <f>IFERROR(INDEX(Pedidos!$E$2:$E$1801,MATCH(B4433,Pedidos!$A$2:$A$1801,0)),"")</f>
        <v/>
      </c>
      <c r="J4433" s="25">
        <f>IFERROR(INDEX(Pedidos!$C$2:$C$1801,MATCH(B4433,Pedidos!$A$2:$A$1801,0)),"")</f>
        <v/>
      </c>
      <c r="K4433" s="25">
        <f>IFERROR(INDEX(Pedidos!$D$2:$D$1801,MATCH(B4433,Pedidos!$A$2:$A$1801,0)),"")</f>
        <v/>
      </c>
      <c r="L4433" s="25">
        <f>IFERROR(INDEX(Pedidos!$F$2:$F$1801,MATCH(B4433,Pedidos!$A$2:$A$1801,0)),"")</f>
        <v/>
      </c>
      <c r="M4433" s="26">
        <f>IFERROR(INDEX(Pedidos!$G$2:$G$1801,MATCH(B4433,Pedidos!$A$2:$A$1801,0)),0)</f>
        <v/>
      </c>
      <c r="N4433" s="25">
        <f>IFERROR(INDEX(Produtos!$B$2:$B$71,MATCH(C4433,Produtos!$A$2:$A$71,0)),"")</f>
        <v/>
      </c>
      <c r="O4433" s="25">
        <f>IFERROR(INDEX(Produtos!$C$2:$C$71,MATCH(C4433,Produtos!$A$2:$A$71,0)),"")</f>
        <v/>
      </c>
      <c r="P4433" s="25">
        <f>IFERROR(INDEX(Produtos!$D$2:$D$71,MATCH(C4433,Produtos!$A$2:$A$71,0)),0)</f>
        <v/>
      </c>
      <c r="Q4433" s="25">
        <f>IFERROR(INDEX(Produtos!$E$2:$E$71,MATCH(C4433,Produtos!$A$2:$A$71,0)),0)</f>
        <v/>
      </c>
      <c r="R4433" s="27">
        <f>D4433*Q4433</f>
        <v/>
      </c>
      <c r="S4433" s="27">
        <f>R4433*E4433</f>
        <v/>
      </c>
      <c r="T4433" s="27">
        <f>(R4433-S4433)*M4433</f>
        <v/>
      </c>
      <c r="U4433" s="27">
        <f>R4433-S4433-T4433</f>
        <v/>
      </c>
      <c r="V4433" s="27">
        <f>D4433*P4433</f>
        <v/>
      </c>
      <c r="W4433" s="27">
        <f>U4433-V4433</f>
        <v/>
      </c>
      <c r="X4433" s="28">
        <f>IFERROR(W4433/U4433,0)</f>
        <v/>
      </c>
    </row>
    <row r="4434">
      <c r="A4434" s="21">
        <f>ItensPedido!A4434</f>
        <v/>
      </c>
      <c r="B4434" s="21">
        <f>ItensPedido!B4434</f>
        <v/>
      </c>
      <c r="C4434" s="21">
        <f>ItensPedido!C4434</f>
        <v/>
      </c>
      <c r="D4434" s="21">
        <f>ItensPedido!D4434</f>
        <v/>
      </c>
      <c r="E4434" s="22">
        <f>ItensPedido!E4434</f>
        <v/>
      </c>
      <c r="F4434" s="21">
        <f>IFERROR(INDEX(Pedidos!$B$2:$B$1801,MATCH(B4434,Pedidos!$A$2:$A$1801,0)),0)</f>
        <v/>
      </c>
      <c r="G4434" s="21">
        <f>IF(F4434=0,"",YEAR(F4434))</f>
        <v/>
      </c>
      <c r="H4434" s="21">
        <f>IF(F4434=0,"",MONTH(F4434))</f>
        <v/>
      </c>
      <c r="I4434" s="21">
        <f>IFERROR(INDEX(Pedidos!$E$2:$E$1801,MATCH(B4434,Pedidos!$A$2:$A$1801,0)),"")</f>
        <v/>
      </c>
      <c r="J4434" s="21">
        <f>IFERROR(INDEX(Pedidos!$C$2:$C$1801,MATCH(B4434,Pedidos!$A$2:$A$1801,0)),"")</f>
        <v/>
      </c>
      <c r="K4434" s="21">
        <f>IFERROR(INDEX(Pedidos!$D$2:$D$1801,MATCH(B4434,Pedidos!$A$2:$A$1801,0)),"")</f>
        <v/>
      </c>
      <c r="L4434" s="21">
        <f>IFERROR(INDEX(Pedidos!$F$2:$F$1801,MATCH(B4434,Pedidos!$A$2:$A$1801,0)),"")</f>
        <v/>
      </c>
      <c r="M4434" s="22">
        <f>IFERROR(INDEX(Pedidos!$G$2:$G$1801,MATCH(B4434,Pedidos!$A$2:$A$1801,0)),0)</f>
        <v/>
      </c>
      <c r="N4434" s="21">
        <f>IFERROR(INDEX(Produtos!$B$2:$B$71,MATCH(C4434,Produtos!$A$2:$A$71,0)),"")</f>
        <v/>
      </c>
      <c r="O4434" s="21">
        <f>IFERROR(INDEX(Produtos!$C$2:$C$71,MATCH(C4434,Produtos!$A$2:$A$71,0)),"")</f>
        <v/>
      </c>
      <c r="P4434" s="21">
        <f>IFERROR(INDEX(Produtos!$D$2:$D$71,MATCH(C4434,Produtos!$A$2:$A$71,0)),0)</f>
        <v/>
      </c>
      <c r="Q4434" s="21">
        <f>IFERROR(INDEX(Produtos!$E$2:$E$71,MATCH(C4434,Produtos!$A$2:$A$71,0)),0)</f>
        <v/>
      </c>
      <c r="R4434" s="23">
        <f>D4434*Q4434</f>
        <v/>
      </c>
      <c r="S4434" s="23">
        <f>R4434*E4434</f>
        <v/>
      </c>
      <c r="T4434" s="23">
        <f>(R4434-S4434)*M4434</f>
        <v/>
      </c>
      <c r="U4434" s="23">
        <f>R4434-S4434-T4434</f>
        <v/>
      </c>
      <c r="V4434" s="23">
        <f>D4434*P4434</f>
        <v/>
      </c>
      <c r="W4434" s="23">
        <f>U4434-V4434</f>
        <v/>
      </c>
      <c r="X4434" s="24">
        <f>IFERROR(W4434/U4434,0)</f>
        <v/>
      </c>
    </row>
    <row r="4435">
      <c r="A4435" s="25">
        <f>ItensPedido!A4435</f>
        <v/>
      </c>
      <c r="B4435" s="25">
        <f>ItensPedido!B4435</f>
        <v/>
      </c>
      <c r="C4435" s="25">
        <f>ItensPedido!C4435</f>
        <v/>
      </c>
      <c r="D4435" s="25">
        <f>ItensPedido!D4435</f>
        <v/>
      </c>
      <c r="E4435" s="26">
        <f>ItensPedido!E4435</f>
        <v/>
      </c>
      <c r="F4435" s="25">
        <f>IFERROR(INDEX(Pedidos!$B$2:$B$1801,MATCH(B4435,Pedidos!$A$2:$A$1801,0)),0)</f>
        <v/>
      </c>
      <c r="G4435" s="25">
        <f>IF(F4435=0,"",YEAR(F4435))</f>
        <v/>
      </c>
      <c r="H4435" s="25">
        <f>IF(F4435=0,"",MONTH(F4435))</f>
        <v/>
      </c>
      <c r="I4435" s="25">
        <f>IFERROR(INDEX(Pedidos!$E$2:$E$1801,MATCH(B4435,Pedidos!$A$2:$A$1801,0)),"")</f>
        <v/>
      </c>
      <c r="J4435" s="25">
        <f>IFERROR(INDEX(Pedidos!$C$2:$C$1801,MATCH(B4435,Pedidos!$A$2:$A$1801,0)),"")</f>
        <v/>
      </c>
      <c r="K4435" s="25">
        <f>IFERROR(INDEX(Pedidos!$D$2:$D$1801,MATCH(B4435,Pedidos!$A$2:$A$1801,0)),"")</f>
        <v/>
      </c>
      <c r="L4435" s="25">
        <f>IFERROR(INDEX(Pedidos!$F$2:$F$1801,MATCH(B4435,Pedidos!$A$2:$A$1801,0)),"")</f>
        <v/>
      </c>
      <c r="M4435" s="26">
        <f>IFERROR(INDEX(Pedidos!$G$2:$G$1801,MATCH(B4435,Pedidos!$A$2:$A$1801,0)),0)</f>
        <v/>
      </c>
      <c r="N4435" s="25">
        <f>IFERROR(INDEX(Produtos!$B$2:$B$71,MATCH(C4435,Produtos!$A$2:$A$71,0)),"")</f>
        <v/>
      </c>
      <c r="O4435" s="25">
        <f>IFERROR(INDEX(Produtos!$C$2:$C$71,MATCH(C4435,Produtos!$A$2:$A$71,0)),"")</f>
        <v/>
      </c>
      <c r="P4435" s="25">
        <f>IFERROR(INDEX(Produtos!$D$2:$D$71,MATCH(C4435,Produtos!$A$2:$A$71,0)),0)</f>
        <v/>
      </c>
      <c r="Q4435" s="25">
        <f>IFERROR(INDEX(Produtos!$E$2:$E$71,MATCH(C4435,Produtos!$A$2:$A$71,0)),0)</f>
        <v/>
      </c>
      <c r="R4435" s="27">
        <f>D4435*Q4435</f>
        <v/>
      </c>
      <c r="S4435" s="27">
        <f>R4435*E4435</f>
        <v/>
      </c>
      <c r="T4435" s="27">
        <f>(R4435-S4435)*M4435</f>
        <v/>
      </c>
      <c r="U4435" s="27">
        <f>R4435-S4435-T4435</f>
        <v/>
      </c>
      <c r="V4435" s="27">
        <f>D4435*P4435</f>
        <v/>
      </c>
      <c r="W4435" s="27">
        <f>U4435-V4435</f>
        <v/>
      </c>
      <c r="X4435" s="28">
        <f>IFERROR(W4435/U4435,0)</f>
        <v/>
      </c>
    </row>
    <row r="4436">
      <c r="A4436" s="21">
        <f>ItensPedido!A4436</f>
        <v/>
      </c>
      <c r="B4436" s="21">
        <f>ItensPedido!B4436</f>
        <v/>
      </c>
      <c r="C4436" s="21">
        <f>ItensPedido!C4436</f>
        <v/>
      </c>
      <c r="D4436" s="21">
        <f>ItensPedido!D4436</f>
        <v/>
      </c>
      <c r="E4436" s="22">
        <f>ItensPedido!E4436</f>
        <v/>
      </c>
      <c r="F4436" s="21">
        <f>IFERROR(INDEX(Pedidos!$B$2:$B$1801,MATCH(B4436,Pedidos!$A$2:$A$1801,0)),0)</f>
        <v/>
      </c>
      <c r="G4436" s="21">
        <f>IF(F4436=0,"",YEAR(F4436))</f>
        <v/>
      </c>
      <c r="H4436" s="21">
        <f>IF(F4436=0,"",MONTH(F4436))</f>
        <v/>
      </c>
      <c r="I4436" s="21">
        <f>IFERROR(INDEX(Pedidos!$E$2:$E$1801,MATCH(B4436,Pedidos!$A$2:$A$1801,0)),"")</f>
        <v/>
      </c>
      <c r="J4436" s="21">
        <f>IFERROR(INDEX(Pedidos!$C$2:$C$1801,MATCH(B4436,Pedidos!$A$2:$A$1801,0)),"")</f>
        <v/>
      </c>
      <c r="K4436" s="21">
        <f>IFERROR(INDEX(Pedidos!$D$2:$D$1801,MATCH(B4436,Pedidos!$A$2:$A$1801,0)),"")</f>
        <v/>
      </c>
      <c r="L4436" s="21">
        <f>IFERROR(INDEX(Pedidos!$F$2:$F$1801,MATCH(B4436,Pedidos!$A$2:$A$1801,0)),"")</f>
        <v/>
      </c>
      <c r="M4436" s="22">
        <f>IFERROR(INDEX(Pedidos!$G$2:$G$1801,MATCH(B4436,Pedidos!$A$2:$A$1801,0)),0)</f>
        <v/>
      </c>
      <c r="N4436" s="21">
        <f>IFERROR(INDEX(Produtos!$B$2:$B$71,MATCH(C4436,Produtos!$A$2:$A$71,0)),"")</f>
        <v/>
      </c>
      <c r="O4436" s="21">
        <f>IFERROR(INDEX(Produtos!$C$2:$C$71,MATCH(C4436,Produtos!$A$2:$A$71,0)),"")</f>
        <v/>
      </c>
      <c r="P4436" s="21">
        <f>IFERROR(INDEX(Produtos!$D$2:$D$71,MATCH(C4436,Produtos!$A$2:$A$71,0)),0)</f>
        <v/>
      </c>
      <c r="Q4436" s="21">
        <f>IFERROR(INDEX(Produtos!$E$2:$E$71,MATCH(C4436,Produtos!$A$2:$A$71,0)),0)</f>
        <v/>
      </c>
      <c r="R4436" s="23">
        <f>D4436*Q4436</f>
        <v/>
      </c>
      <c r="S4436" s="23">
        <f>R4436*E4436</f>
        <v/>
      </c>
      <c r="T4436" s="23">
        <f>(R4436-S4436)*M4436</f>
        <v/>
      </c>
      <c r="U4436" s="23">
        <f>R4436-S4436-T4436</f>
        <v/>
      </c>
      <c r="V4436" s="23">
        <f>D4436*P4436</f>
        <v/>
      </c>
      <c r="W4436" s="23">
        <f>U4436-V4436</f>
        <v/>
      </c>
      <c r="X4436" s="24">
        <f>IFERROR(W4436/U4436,0)</f>
        <v/>
      </c>
    </row>
    <row r="4437">
      <c r="A4437" s="25">
        <f>ItensPedido!A4437</f>
        <v/>
      </c>
      <c r="B4437" s="25">
        <f>ItensPedido!B4437</f>
        <v/>
      </c>
      <c r="C4437" s="25">
        <f>ItensPedido!C4437</f>
        <v/>
      </c>
      <c r="D4437" s="25">
        <f>ItensPedido!D4437</f>
        <v/>
      </c>
      <c r="E4437" s="26">
        <f>ItensPedido!E4437</f>
        <v/>
      </c>
      <c r="F4437" s="25">
        <f>IFERROR(INDEX(Pedidos!$B$2:$B$1801,MATCH(B4437,Pedidos!$A$2:$A$1801,0)),0)</f>
        <v/>
      </c>
      <c r="G4437" s="25">
        <f>IF(F4437=0,"",YEAR(F4437))</f>
        <v/>
      </c>
      <c r="H4437" s="25">
        <f>IF(F4437=0,"",MONTH(F4437))</f>
        <v/>
      </c>
      <c r="I4437" s="25">
        <f>IFERROR(INDEX(Pedidos!$E$2:$E$1801,MATCH(B4437,Pedidos!$A$2:$A$1801,0)),"")</f>
        <v/>
      </c>
      <c r="J4437" s="25">
        <f>IFERROR(INDEX(Pedidos!$C$2:$C$1801,MATCH(B4437,Pedidos!$A$2:$A$1801,0)),"")</f>
        <v/>
      </c>
      <c r="K4437" s="25">
        <f>IFERROR(INDEX(Pedidos!$D$2:$D$1801,MATCH(B4437,Pedidos!$A$2:$A$1801,0)),"")</f>
        <v/>
      </c>
      <c r="L4437" s="25">
        <f>IFERROR(INDEX(Pedidos!$F$2:$F$1801,MATCH(B4437,Pedidos!$A$2:$A$1801,0)),"")</f>
        <v/>
      </c>
      <c r="M4437" s="26">
        <f>IFERROR(INDEX(Pedidos!$G$2:$G$1801,MATCH(B4437,Pedidos!$A$2:$A$1801,0)),0)</f>
        <v/>
      </c>
      <c r="N4437" s="25">
        <f>IFERROR(INDEX(Produtos!$B$2:$B$71,MATCH(C4437,Produtos!$A$2:$A$71,0)),"")</f>
        <v/>
      </c>
      <c r="O4437" s="25">
        <f>IFERROR(INDEX(Produtos!$C$2:$C$71,MATCH(C4437,Produtos!$A$2:$A$71,0)),"")</f>
        <v/>
      </c>
      <c r="P4437" s="25">
        <f>IFERROR(INDEX(Produtos!$D$2:$D$71,MATCH(C4437,Produtos!$A$2:$A$71,0)),0)</f>
        <v/>
      </c>
      <c r="Q4437" s="25">
        <f>IFERROR(INDEX(Produtos!$E$2:$E$71,MATCH(C4437,Produtos!$A$2:$A$71,0)),0)</f>
        <v/>
      </c>
      <c r="R4437" s="27">
        <f>D4437*Q4437</f>
        <v/>
      </c>
      <c r="S4437" s="27">
        <f>R4437*E4437</f>
        <v/>
      </c>
      <c r="T4437" s="27">
        <f>(R4437-S4437)*M4437</f>
        <v/>
      </c>
      <c r="U4437" s="27">
        <f>R4437-S4437-T4437</f>
        <v/>
      </c>
      <c r="V4437" s="27">
        <f>D4437*P4437</f>
        <v/>
      </c>
      <c r="W4437" s="27">
        <f>U4437-V4437</f>
        <v/>
      </c>
      <c r="X4437" s="28">
        <f>IFERROR(W4437/U4437,0)</f>
        <v/>
      </c>
    </row>
    <row r="4438">
      <c r="A4438" s="21">
        <f>ItensPedido!A4438</f>
        <v/>
      </c>
      <c r="B4438" s="21">
        <f>ItensPedido!B4438</f>
        <v/>
      </c>
      <c r="C4438" s="21">
        <f>ItensPedido!C4438</f>
        <v/>
      </c>
      <c r="D4438" s="21">
        <f>ItensPedido!D4438</f>
        <v/>
      </c>
      <c r="E4438" s="22">
        <f>ItensPedido!E4438</f>
        <v/>
      </c>
      <c r="F4438" s="21">
        <f>IFERROR(INDEX(Pedidos!$B$2:$B$1801,MATCH(B4438,Pedidos!$A$2:$A$1801,0)),0)</f>
        <v/>
      </c>
      <c r="G4438" s="21">
        <f>IF(F4438=0,"",YEAR(F4438))</f>
        <v/>
      </c>
      <c r="H4438" s="21">
        <f>IF(F4438=0,"",MONTH(F4438))</f>
        <v/>
      </c>
      <c r="I4438" s="21">
        <f>IFERROR(INDEX(Pedidos!$E$2:$E$1801,MATCH(B4438,Pedidos!$A$2:$A$1801,0)),"")</f>
        <v/>
      </c>
      <c r="J4438" s="21">
        <f>IFERROR(INDEX(Pedidos!$C$2:$C$1801,MATCH(B4438,Pedidos!$A$2:$A$1801,0)),"")</f>
        <v/>
      </c>
      <c r="K4438" s="21">
        <f>IFERROR(INDEX(Pedidos!$D$2:$D$1801,MATCH(B4438,Pedidos!$A$2:$A$1801,0)),"")</f>
        <v/>
      </c>
      <c r="L4438" s="21">
        <f>IFERROR(INDEX(Pedidos!$F$2:$F$1801,MATCH(B4438,Pedidos!$A$2:$A$1801,0)),"")</f>
        <v/>
      </c>
      <c r="M4438" s="22">
        <f>IFERROR(INDEX(Pedidos!$G$2:$G$1801,MATCH(B4438,Pedidos!$A$2:$A$1801,0)),0)</f>
        <v/>
      </c>
      <c r="N4438" s="21">
        <f>IFERROR(INDEX(Produtos!$B$2:$B$71,MATCH(C4438,Produtos!$A$2:$A$71,0)),"")</f>
        <v/>
      </c>
      <c r="O4438" s="21">
        <f>IFERROR(INDEX(Produtos!$C$2:$C$71,MATCH(C4438,Produtos!$A$2:$A$71,0)),"")</f>
        <v/>
      </c>
      <c r="P4438" s="21">
        <f>IFERROR(INDEX(Produtos!$D$2:$D$71,MATCH(C4438,Produtos!$A$2:$A$71,0)),0)</f>
        <v/>
      </c>
      <c r="Q4438" s="21">
        <f>IFERROR(INDEX(Produtos!$E$2:$E$71,MATCH(C4438,Produtos!$A$2:$A$71,0)),0)</f>
        <v/>
      </c>
      <c r="R4438" s="23">
        <f>D4438*Q4438</f>
        <v/>
      </c>
      <c r="S4438" s="23">
        <f>R4438*E4438</f>
        <v/>
      </c>
      <c r="T4438" s="23">
        <f>(R4438-S4438)*M4438</f>
        <v/>
      </c>
      <c r="U4438" s="23">
        <f>R4438-S4438-T4438</f>
        <v/>
      </c>
      <c r="V4438" s="23">
        <f>D4438*P4438</f>
        <v/>
      </c>
      <c r="W4438" s="23">
        <f>U4438-V4438</f>
        <v/>
      </c>
      <c r="X4438" s="24">
        <f>IFERROR(W4438/U4438,0)</f>
        <v/>
      </c>
    </row>
    <row r="4439">
      <c r="A4439" s="25">
        <f>ItensPedido!A4439</f>
        <v/>
      </c>
      <c r="B4439" s="25">
        <f>ItensPedido!B4439</f>
        <v/>
      </c>
      <c r="C4439" s="25">
        <f>ItensPedido!C4439</f>
        <v/>
      </c>
      <c r="D4439" s="25">
        <f>ItensPedido!D4439</f>
        <v/>
      </c>
      <c r="E4439" s="26">
        <f>ItensPedido!E4439</f>
        <v/>
      </c>
      <c r="F4439" s="25">
        <f>IFERROR(INDEX(Pedidos!$B$2:$B$1801,MATCH(B4439,Pedidos!$A$2:$A$1801,0)),0)</f>
        <v/>
      </c>
      <c r="G4439" s="25">
        <f>IF(F4439=0,"",YEAR(F4439))</f>
        <v/>
      </c>
      <c r="H4439" s="25">
        <f>IF(F4439=0,"",MONTH(F4439))</f>
        <v/>
      </c>
      <c r="I4439" s="25">
        <f>IFERROR(INDEX(Pedidos!$E$2:$E$1801,MATCH(B4439,Pedidos!$A$2:$A$1801,0)),"")</f>
        <v/>
      </c>
      <c r="J4439" s="25">
        <f>IFERROR(INDEX(Pedidos!$C$2:$C$1801,MATCH(B4439,Pedidos!$A$2:$A$1801,0)),"")</f>
        <v/>
      </c>
      <c r="K4439" s="25">
        <f>IFERROR(INDEX(Pedidos!$D$2:$D$1801,MATCH(B4439,Pedidos!$A$2:$A$1801,0)),"")</f>
        <v/>
      </c>
      <c r="L4439" s="25">
        <f>IFERROR(INDEX(Pedidos!$F$2:$F$1801,MATCH(B4439,Pedidos!$A$2:$A$1801,0)),"")</f>
        <v/>
      </c>
      <c r="M4439" s="26">
        <f>IFERROR(INDEX(Pedidos!$G$2:$G$1801,MATCH(B4439,Pedidos!$A$2:$A$1801,0)),0)</f>
        <v/>
      </c>
      <c r="N4439" s="25">
        <f>IFERROR(INDEX(Produtos!$B$2:$B$71,MATCH(C4439,Produtos!$A$2:$A$71,0)),"")</f>
        <v/>
      </c>
      <c r="O4439" s="25">
        <f>IFERROR(INDEX(Produtos!$C$2:$C$71,MATCH(C4439,Produtos!$A$2:$A$71,0)),"")</f>
        <v/>
      </c>
      <c r="P4439" s="25">
        <f>IFERROR(INDEX(Produtos!$D$2:$D$71,MATCH(C4439,Produtos!$A$2:$A$71,0)),0)</f>
        <v/>
      </c>
      <c r="Q4439" s="25">
        <f>IFERROR(INDEX(Produtos!$E$2:$E$71,MATCH(C4439,Produtos!$A$2:$A$71,0)),0)</f>
        <v/>
      </c>
      <c r="R4439" s="27">
        <f>D4439*Q4439</f>
        <v/>
      </c>
      <c r="S4439" s="27">
        <f>R4439*E4439</f>
        <v/>
      </c>
      <c r="T4439" s="27">
        <f>(R4439-S4439)*M4439</f>
        <v/>
      </c>
      <c r="U4439" s="27">
        <f>R4439-S4439-T4439</f>
        <v/>
      </c>
      <c r="V4439" s="27">
        <f>D4439*P4439</f>
        <v/>
      </c>
      <c r="W4439" s="27">
        <f>U4439-V4439</f>
        <v/>
      </c>
      <c r="X4439" s="28">
        <f>IFERROR(W4439/U4439,0)</f>
        <v/>
      </c>
    </row>
    <row r="4440">
      <c r="A4440" s="21">
        <f>ItensPedido!A4440</f>
        <v/>
      </c>
      <c r="B4440" s="21">
        <f>ItensPedido!B4440</f>
        <v/>
      </c>
      <c r="C4440" s="21">
        <f>ItensPedido!C4440</f>
        <v/>
      </c>
      <c r="D4440" s="21">
        <f>ItensPedido!D4440</f>
        <v/>
      </c>
      <c r="E4440" s="22">
        <f>ItensPedido!E4440</f>
        <v/>
      </c>
      <c r="F4440" s="21">
        <f>IFERROR(INDEX(Pedidos!$B$2:$B$1801,MATCH(B4440,Pedidos!$A$2:$A$1801,0)),0)</f>
        <v/>
      </c>
      <c r="G4440" s="21">
        <f>IF(F4440=0,"",YEAR(F4440))</f>
        <v/>
      </c>
      <c r="H4440" s="21">
        <f>IF(F4440=0,"",MONTH(F4440))</f>
        <v/>
      </c>
      <c r="I4440" s="21">
        <f>IFERROR(INDEX(Pedidos!$E$2:$E$1801,MATCH(B4440,Pedidos!$A$2:$A$1801,0)),"")</f>
        <v/>
      </c>
      <c r="J4440" s="21">
        <f>IFERROR(INDEX(Pedidos!$C$2:$C$1801,MATCH(B4440,Pedidos!$A$2:$A$1801,0)),"")</f>
        <v/>
      </c>
      <c r="K4440" s="21">
        <f>IFERROR(INDEX(Pedidos!$D$2:$D$1801,MATCH(B4440,Pedidos!$A$2:$A$1801,0)),"")</f>
        <v/>
      </c>
      <c r="L4440" s="21">
        <f>IFERROR(INDEX(Pedidos!$F$2:$F$1801,MATCH(B4440,Pedidos!$A$2:$A$1801,0)),"")</f>
        <v/>
      </c>
      <c r="M4440" s="22">
        <f>IFERROR(INDEX(Pedidos!$G$2:$G$1801,MATCH(B4440,Pedidos!$A$2:$A$1801,0)),0)</f>
        <v/>
      </c>
      <c r="N4440" s="21">
        <f>IFERROR(INDEX(Produtos!$B$2:$B$71,MATCH(C4440,Produtos!$A$2:$A$71,0)),"")</f>
        <v/>
      </c>
      <c r="O4440" s="21">
        <f>IFERROR(INDEX(Produtos!$C$2:$C$71,MATCH(C4440,Produtos!$A$2:$A$71,0)),"")</f>
        <v/>
      </c>
      <c r="P4440" s="21">
        <f>IFERROR(INDEX(Produtos!$D$2:$D$71,MATCH(C4440,Produtos!$A$2:$A$71,0)),0)</f>
        <v/>
      </c>
      <c r="Q4440" s="21">
        <f>IFERROR(INDEX(Produtos!$E$2:$E$71,MATCH(C4440,Produtos!$A$2:$A$71,0)),0)</f>
        <v/>
      </c>
      <c r="R4440" s="23">
        <f>D4440*Q4440</f>
        <v/>
      </c>
      <c r="S4440" s="23">
        <f>R4440*E4440</f>
        <v/>
      </c>
      <c r="T4440" s="23">
        <f>(R4440-S4440)*M4440</f>
        <v/>
      </c>
      <c r="U4440" s="23">
        <f>R4440-S4440-T4440</f>
        <v/>
      </c>
      <c r="V4440" s="23">
        <f>D4440*P4440</f>
        <v/>
      </c>
      <c r="W4440" s="23">
        <f>U4440-V4440</f>
        <v/>
      </c>
      <c r="X4440" s="24">
        <f>IFERROR(W4440/U4440,0)</f>
        <v/>
      </c>
    </row>
    <row r="4441">
      <c r="A4441" s="25">
        <f>ItensPedido!A4441</f>
        <v/>
      </c>
      <c r="B4441" s="25">
        <f>ItensPedido!B4441</f>
        <v/>
      </c>
      <c r="C4441" s="25">
        <f>ItensPedido!C4441</f>
        <v/>
      </c>
      <c r="D4441" s="25">
        <f>ItensPedido!D4441</f>
        <v/>
      </c>
      <c r="E4441" s="26">
        <f>ItensPedido!E4441</f>
        <v/>
      </c>
      <c r="F4441" s="25">
        <f>IFERROR(INDEX(Pedidos!$B$2:$B$1801,MATCH(B4441,Pedidos!$A$2:$A$1801,0)),0)</f>
        <v/>
      </c>
      <c r="G4441" s="25">
        <f>IF(F4441=0,"",YEAR(F4441))</f>
        <v/>
      </c>
      <c r="H4441" s="25">
        <f>IF(F4441=0,"",MONTH(F4441))</f>
        <v/>
      </c>
      <c r="I4441" s="25">
        <f>IFERROR(INDEX(Pedidos!$E$2:$E$1801,MATCH(B4441,Pedidos!$A$2:$A$1801,0)),"")</f>
        <v/>
      </c>
      <c r="J4441" s="25">
        <f>IFERROR(INDEX(Pedidos!$C$2:$C$1801,MATCH(B4441,Pedidos!$A$2:$A$1801,0)),"")</f>
        <v/>
      </c>
      <c r="K4441" s="25">
        <f>IFERROR(INDEX(Pedidos!$D$2:$D$1801,MATCH(B4441,Pedidos!$A$2:$A$1801,0)),"")</f>
        <v/>
      </c>
      <c r="L4441" s="25">
        <f>IFERROR(INDEX(Pedidos!$F$2:$F$1801,MATCH(B4441,Pedidos!$A$2:$A$1801,0)),"")</f>
        <v/>
      </c>
      <c r="M4441" s="26">
        <f>IFERROR(INDEX(Pedidos!$G$2:$G$1801,MATCH(B4441,Pedidos!$A$2:$A$1801,0)),0)</f>
        <v/>
      </c>
      <c r="N4441" s="25">
        <f>IFERROR(INDEX(Produtos!$B$2:$B$71,MATCH(C4441,Produtos!$A$2:$A$71,0)),"")</f>
        <v/>
      </c>
      <c r="O4441" s="25">
        <f>IFERROR(INDEX(Produtos!$C$2:$C$71,MATCH(C4441,Produtos!$A$2:$A$71,0)),"")</f>
        <v/>
      </c>
      <c r="P4441" s="25">
        <f>IFERROR(INDEX(Produtos!$D$2:$D$71,MATCH(C4441,Produtos!$A$2:$A$71,0)),0)</f>
        <v/>
      </c>
      <c r="Q4441" s="25">
        <f>IFERROR(INDEX(Produtos!$E$2:$E$71,MATCH(C4441,Produtos!$A$2:$A$71,0)),0)</f>
        <v/>
      </c>
      <c r="R4441" s="27">
        <f>D4441*Q4441</f>
        <v/>
      </c>
      <c r="S4441" s="27">
        <f>R4441*E4441</f>
        <v/>
      </c>
      <c r="T4441" s="27">
        <f>(R4441-S4441)*M4441</f>
        <v/>
      </c>
      <c r="U4441" s="27">
        <f>R4441-S4441-T4441</f>
        <v/>
      </c>
      <c r="V4441" s="27">
        <f>D4441*P4441</f>
        <v/>
      </c>
      <c r="W4441" s="27">
        <f>U4441-V4441</f>
        <v/>
      </c>
      <c r="X4441" s="28">
        <f>IFERROR(W4441/U4441,0)</f>
        <v/>
      </c>
    </row>
    <row r="4442">
      <c r="A4442" s="21">
        <f>ItensPedido!A4442</f>
        <v/>
      </c>
      <c r="B4442" s="21">
        <f>ItensPedido!B4442</f>
        <v/>
      </c>
      <c r="C4442" s="21">
        <f>ItensPedido!C4442</f>
        <v/>
      </c>
      <c r="D4442" s="21">
        <f>ItensPedido!D4442</f>
        <v/>
      </c>
      <c r="E4442" s="22">
        <f>ItensPedido!E4442</f>
        <v/>
      </c>
      <c r="F4442" s="21">
        <f>IFERROR(INDEX(Pedidos!$B$2:$B$1801,MATCH(B4442,Pedidos!$A$2:$A$1801,0)),0)</f>
        <v/>
      </c>
      <c r="G4442" s="21">
        <f>IF(F4442=0,"",YEAR(F4442))</f>
        <v/>
      </c>
      <c r="H4442" s="21">
        <f>IF(F4442=0,"",MONTH(F4442))</f>
        <v/>
      </c>
      <c r="I4442" s="21">
        <f>IFERROR(INDEX(Pedidos!$E$2:$E$1801,MATCH(B4442,Pedidos!$A$2:$A$1801,0)),"")</f>
        <v/>
      </c>
      <c r="J4442" s="21">
        <f>IFERROR(INDEX(Pedidos!$C$2:$C$1801,MATCH(B4442,Pedidos!$A$2:$A$1801,0)),"")</f>
        <v/>
      </c>
      <c r="K4442" s="21">
        <f>IFERROR(INDEX(Pedidos!$D$2:$D$1801,MATCH(B4442,Pedidos!$A$2:$A$1801,0)),"")</f>
        <v/>
      </c>
      <c r="L4442" s="21">
        <f>IFERROR(INDEX(Pedidos!$F$2:$F$1801,MATCH(B4442,Pedidos!$A$2:$A$1801,0)),"")</f>
        <v/>
      </c>
      <c r="M4442" s="22">
        <f>IFERROR(INDEX(Pedidos!$G$2:$G$1801,MATCH(B4442,Pedidos!$A$2:$A$1801,0)),0)</f>
        <v/>
      </c>
      <c r="N4442" s="21">
        <f>IFERROR(INDEX(Produtos!$B$2:$B$71,MATCH(C4442,Produtos!$A$2:$A$71,0)),"")</f>
        <v/>
      </c>
      <c r="O4442" s="21">
        <f>IFERROR(INDEX(Produtos!$C$2:$C$71,MATCH(C4442,Produtos!$A$2:$A$71,0)),"")</f>
        <v/>
      </c>
      <c r="P4442" s="21">
        <f>IFERROR(INDEX(Produtos!$D$2:$D$71,MATCH(C4442,Produtos!$A$2:$A$71,0)),0)</f>
        <v/>
      </c>
      <c r="Q4442" s="21">
        <f>IFERROR(INDEX(Produtos!$E$2:$E$71,MATCH(C4442,Produtos!$A$2:$A$71,0)),0)</f>
        <v/>
      </c>
      <c r="R4442" s="23">
        <f>D4442*Q4442</f>
        <v/>
      </c>
      <c r="S4442" s="23">
        <f>R4442*E4442</f>
        <v/>
      </c>
      <c r="T4442" s="23">
        <f>(R4442-S4442)*M4442</f>
        <v/>
      </c>
      <c r="U4442" s="23">
        <f>R4442-S4442-T4442</f>
        <v/>
      </c>
      <c r="V4442" s="23">
        <f>D4442*P4442</f>
        <v/>
      </c>
      <c r="W4442" s="23">
        <f>U4442-V4442</f>
        <v/>
      </c>
      <c r="X4442" s="24">
        <f>IFERROR(W4442/U4442,0)</f>
        <v/>
      </c>
    </row>
    <row r="4443">
      <c r="A4443" s="25">
        <f>ItensPedido!A4443</f>
        <v/>
      </c>
      <c r="B4443" s="25">
        <f>ItensPedido!B4443</f>
        <v/>
      </c>
      <c r="C4443" s="25">
        <f>ItensPedido!C4443</f>
        <v/>
      </c>
      <c r="D4443" s="25">
        <f>ItensPedido!D4443</f>
        <v/>
      </c>
      <c r="E4443" s="26">
        <f>ItensPedido!E4443</f>
        <v/>
      </c>
      <c r="F4443" s="25">
        <f>IFERROR(INDEX(Pedidos!$B$2:$B$1801,MATCH(B4443,Pedidos!$A$2:$A$1801,0)),0)</f>
        <v/>
      </c>
      <c r="G4443" s="25">
        <f>IF(F4443=0,"",YEAR(F4443))</f>
        <v/>
      </c>
      <c r="H4443" s="25">
        <f>IF(F4443=0,"",MONTH(F4443))</f>
        <v/>
      </c>
      <c r="I4443" s="25">
        <f>IFERROR(INDEX(Pedidos!$E$2:$E$1801,MATCH(B4443,Pedidos!$A$2:$A$1801,0)),"")</f>
        <v/>
      </c>
      <c r="J4443" s="25">
        <f>IFERROR(INDEX(Pedidos!$C$2:$C$1801,MATCH(B4443,Pedidos!$A$2:$A$1801,0)),"")</f>
        <v/>
      </c>
      <c r="K4443" s="25">
        <f>IFERROR(INDEX(Pedidos!$D$2:$D$1801,MATCH(B4443,Pedidos!$A$2:$A$1801,0)),"")</f>
        <v/>
      </c>
      <c r="L4443" s="25">
        <f>IFERROR(INDEX(Pedidos!$F$2:$F$1801,MATCH(B4443,Pedidos!$A$2:$A$1801,0)),"")</f>
        <v/>
      </c>
      <c r="M4443" s="26">
        <f>IFERROR(INDEX(Pedidos!$G$2:$G$1801,MATCH(B4443,Pedidos!$A$2:$A$1801,0)),0)</f>
        <v/>
      </c>
      <c r="N4443" s="25">
        <f>IFERROR(INDEX(Produtos!$B$2:$B$71,MATCH(C4443,Produtos!$A$2:$A$71,0)),"")</f>
        <v/>
      </c>
      <c r="O4443" s="25">
        <f>IFERROR(INDEX(Produtos!$C$2:$C$71,MATCH(C4443,Produtos!$A$2:$A$71,0)),"")</f>
        <v/>
      </c>
      <c r="P4443" s="25">
        <f>IFERROR(INDEX(Produtos!$D$2:$D$71,MATCH(C4443,Produtos!$A$2:$A$71,0)),0)</f>
        <v/>
      </c>
      <c r="Q4443" s="25">
        <f>IFERROR(INDEX(Produtos!$E$2:$E$71,MATCH(C4443,Produtos!$A$2:$A$71,0)),0)</f>
        <v/>
      </c>
      <c r="R4443" s="27">
        <f>D4443*Q4443</f>
        <v/>
      </c>
      <c r="S4443" s="27">
        <f>R4443*E4443</f>
        <v/>
      </c>
      <c r="T4443" s="27">
        <f>(R4443-S4443)*M4443</f>
        <v/>
      </c>
      <c r="U4443" s="27">
        <f>R4443-S4443-T4443</f>
        <v/>
      </c>
      <c r="V4443" s="27">
        <f>D4443*P4443</f>
        <v/>
      </c>
      <c r="W4443" s="27">
        <f>U4443-V4443</f>
        <v/>
      </c>
      <c r="X4443" s="28">
        <f>IFERROR(W4443/U4443,0)</f>
        <v/>
      </c>
    </row>
    <row r="4444">
      <c r="A4444" s="21">
        <f>ItensPedido!A4444</f>
        <v/>
      </c>
      <c r="B4444" s="21">
        <f>ItensPedido!B4444</f>
        <v/>
      </c>
      <c r="C4444" s="21">
        <f>ItensPedido!C4444</f>
        <v/>
      </c>
      <c r="D4444" s="21">
        <f>ItensPedido!D4444</f>
        <v/>
      </c>
      <c r="E4444" s="22">
        <f>ItensPedido!E4444</f>
        <v/>
      </c>
      <c r="F4444" s="21">
        <f>IFERROR(INDEX(Pedidos!$B$2:$B$1801,MATCH(B4444,Pedidos!$A$2:$A$1801,0)),0)</f>
        <v/>
      </c>
      <c r="G4444" s="21">
        <f>IF(F4444=0,"",YEAR(F4444))</f>
        <v/>
      </c>
      <c r="H4444" s="21">
        <f>IF(F4444=0,"",MONTH(F4444))</f>
        <v/>
      </c>
      <c r="I4444" s="21">
        <f>IFERROR(INDEX(Pedidos!$E$2:$E$1801,MATCH(B4444,Pedidos!$A$2:$A$1801,0)),"")</f>
        <v/>
      </c>
      <c r="J4444" s="21">
        <f>IFERROR(INDEX(Pedidos!$C$2:$C$1801,MATCH(B4444,Pedidos!$A$2:$A$1801,0)),"")</f>
        <v/>
      </c>
      <c r="K4444" s="21">
        <f>IFERROR(INDEX(Pedidos!$D$2:$D$1801,MATCH(B4444,Pedidos!$A$2:$A$1801,0)),"")</f>
        <v/>
      </c>
      <c r="L4444" s="21">
        <f>IFERROR(INDEX(Pedidos!$F$2:$F$1801,MATCH(B4444,Pedidos!$A$2:$A$1801,0)),"")</f>
        <v/>
      </c>
      <c r="M4444" s="22">
        <f>IFERROR(INDEX(Pedidos!$G$2:$G$1801,MATCH(B4444,Pedidos!$A$2:$A$1801,0)),0)</f>
        <v/>
      </c>
      <c r="N4444" s="21">
        <f>IFERROR(INDEX(Produtos!$B$2:$B$71,MATCH(C4444,Produtos!$A$2:$A$71,0)),"")</f>
        <v/>
      </c>
      <c r="O4444" s="21">
        <f>IFERROR(INDEX(Produtos!$C$2:$C$71,MATCH(C4444,Produtos!$A$2:$A$71,0)),"")</f>
        <v/>
      </c>
      <c r="P4444" s="21">
        <f>IFERROR(INDEX(Produtos!$D$2:$D$71,MATCH(C4444,Produtos!$A$2:$A$71,0)),0)</f>
        <v/>
      </c>
      <c r="Q4444" s="21">
        <f>IFERROR(INDEX(Produtos!$E$2:$E$71,MATCH(C4444,Produtos!$A$2:$A$71,0)),0)</f>
        <v/>
      </c>
      <c r="R4444" s="23">
        <f>D4444*Q4444</f>
        <v/>
      </c>
      <c r="S4444" s="23">
        <f>R4444*E4444</f>
        <v/>
      </c>
      <c r="T4444" s="23">
        <f>(R4444-S4444)*M4444</f>
        <v/>
      </c>
      <c r="U4444" s="23">
        <f>R4444-S4444-T4444</f>
        <v/>
      </c>
      <c r="V4444" s="23">
        <f>D4444*P4444</f>
        <v/>
      </c>
      <c r="W4444" s="23">
        <f>U4444-V4444</f>
        <v/>
      </c>
      <c r="X4444" s="24">
        <f>IFERROR(W4444/U4444,0)</f>
        <v/>
      </c>
    </row>
    <row r="4445">
      <c r="A4445" s="25">
        <f>ItensPedido!A4445</f>
        <v/>
      </c>
      <c r="B4445" s="25">
        <f>ItensPedido!B4445</f>
        <v/>
      </c>
      <c r="C4445" s="25">
        <f>ItensPedido!C4445</f>
        <v/>
      </c>
      <c r="D4445" s="25">
        <f>ItensPedido!D4445</f>
        <v/>
      </c>
      <c r="E4445" s="26">
        <f>ItensPedido!E4445</f>
        <v/>
      </c>
      <c r="F4445" s="25">
        <f>IFERROR(INDEX(Pedidos!$B$2:$B$1801,MATCH(B4445,Pedidos!$A$2:$A$1801,0)),0)</f>
        <v/>
      </c>
      <c r="G4445" s="25">
        <f>IF(F4445=0,"",YEAR(F4445))</f>
        <v/>
      </c>
      <c r="H4445" s="25">
        <f>IF(F4445=0,"",MONTH(F4445))</f>
        <v/>
      </c>
      <c r="I4445" s="25">
        <f>IFERROR(INDEX(Pedidos!$E$2:$E$1801,MATCH(B4445,Pedidos!$A$2:$A$1801,0)),"")</f>
        <v/>
      </c>
      <c r="J4445" s="25">
        <f>IFERROR(INDEX(Pedidos!$C$2:$C$1801,MATCH(B4445,Pedidos!$A$2:$A$1801,0)),"")</f>
        <v/>
      </c>
      <c r="K4445" s="25">
        <f>IFERROR(INDEX(Pedidos!$D$2:$D$1801,MATCH(B4445,Pedidos!$A$2:$A$1801,0)),"")</f>
        <v/>
      </c>
      <c r="L4445" s="25">
        <f>IFERROR(INDEX(Pedidos!$F$2:$F$1801,MATCH(B4445,Pedidos!$A$2:$A$1801,0)),"")</f>
        <v/>
      </c>
      <c r="M4445" s="26">
        <f>IFERROR(INDEX(Pedidos!$G$2:$G$1801,MATCH(B4445,Pedidos!$A$2:$A$1801,0)),0)</f>
        <v/>
      </c>
      <c r="N4445" s="25">
        <f>IFERROR(INDEX(Produtos!$B$2:$B$71,MATCH(C4445,Produtos!$A$2:$A$71,0)),"")</f>
        <v/>
      </c>
      <c r="O4445" s="25">
        <f>IFERROR(INDEX(Produtos!$C$2:$C$71,MATCH(C4445,Produtos!$A$2:$A$71,0)),"")</f>
        <v/>
      </c>
      <c r="P4445" s="25">
        <f>IFERROR(INDEX(Produtos!$D$2:$D$71,MATCH(C4445,Produtos!$A$2:$A$71,0)),0)</f>
        <v/>
      </c>
      <c r="Q4445" s="25">
        <f>IFERROR(INDEX(Produtos!$E$2:$E$71,MATCH(C4445,Produtos!$A$2:$A$71,0)),0)</f>
        <v/>
      </c>
      <c r="R4445" s="27">
        <f>D4445*Q4445</f>
        <v/>
      </c>
      <c r="S4445" s="27">
        <f>R4445*E4445</f>
        <v/>
      </c>
      <c r="T4445" s="27">
        <f>(R4445-S4445)*M4445</f>
        <v/>
      </c>
      <c r="U4445" s="27">
        <f>R4445-S4445-T4445</f>
        <v/>
      </c>
      <c r="V4445" s="27">
        <f>D4445*P4445</f>
        <v/>
      </c>
      <c r="W4445" s="27">
        <f>U4445-V4445</f>
        <v/>
      </c>
      <c r="X4445" s="28">
        <f>IFERROR(W4445/U4445,0)</f>
        <v/>
      </c>
    </row>
    <row r="4446">
      <c r="A4446" s="21">
        <f>ItensPedido!A4446</f>
        <v/>
      </c>
      <c r="B4446" s="21">
        <f>ItensPedido!B4446</f>
        <v/>
      </c>
      <c r="C4446" s="21">
        <f>ItensPedido!C4446</f>
        <v/>
      </c>
      <c r="D4446" s="21">
        <f>ItensPedido!D4446</f>
        <v/>
      </c>
      <c r="E4446" s="22">
        <f>ItensPedido!E4446</f>
        <v/>
      </c>
      <c r="F4446" s="21">
        <f>IFERROR(INDEX(Pedidos!$B$2:$B$1801,MATCH(B4446,Pedidos!$A$2:$A$1801,0)),0)</f>
        <v/>
      </c>
      <c r="G4446" s="21">
        <f>IF(F4446=0,"",YEAR(F4446))</f>
        <v/>
      </c>
      <c r="H4446" s="21">
        <f>IF(F4446=0,"",MONTH(F4446))</f>
        <v/>
      </c>
      <c r="I4446" s="21">
        <f>IFERROR(INDEX(Pedidos!$E$2:$E$1801,MATCH(B4446,Pedidos!$A$2:$A$1801,0)),"")</f>
        <v/>
      </c>
      <c r="J4446" s="21">
        <f>IFERROR(INDEX(Pedidos!$C$2:$C$1801,MATCH(B4446,Pedidos!$A$2:$A$1801,0)),"")</f>
        <v/>
      </c>
      <c r="K4446" s="21">
        <f>IFERROR(INDEX(Pedidos!$D$2:$D$1801,MATCH(B4446,Pedidos!$A$2:$A$1801,0)),"")</f>
        <v/>
      </c>
      <c r="L4446" s="21">
        <f>IFERROR(INDEX(Pedidos!$F$2:$F$1801,MATCH(B4446,Pedidos!$A$2:$A$1801,0)),"")</f>
        <v/>
      </c>
      <c r="M4446" s="22">
        <f>IFERROR(INDEX(Pedidos!$G$2:$G$1801,MATCH(B4446,Pedidos!$A$2:$A$1801,0)),0)</f>
        <v/>
      </c>
      <c r="N4446" s="21">
        <f>IFERROR(INDEX(Produtos!$B$2:$B$71,MATCH(C4446,Produtos!$A$2:$A$71,0)),"")</f>
        <v/>
      </c>
      <c r="O4446" s="21">
        <f>IFERROR(INDEX(Produtos!$C$2:$C$71,MATCH(C4446,Produtos!$A$2:$A$71,0)),"")</f>
        <v/>
      </c>
      <c r="P4446" s="21">
        <f>IFERROR(INDEX(Produtos!$D$2:$D$71,MATCH(C4446,Produtos!$A$2:$A$71,0)),0)</f>
        <v/>
      </c>
      <c r="Q4446" s="21">
        <f>IFERROR(INDEX(Produtos!$E$2:$E$71,MATCH(C4446,Produtos!$A$2:$A$71,0)),0)</f>
        <v/>
      </c>
      <c r="R4446" s="23">
        <f>D4446*Q4446</f>
        <v/>
      </c>
      <c r="S4446" s="23">
        <f>R4446*E4446</f>
        <v/>
      </c>
      <c r="T4446" s="23">
        <f>(R4446-S4446)*M4446</f>
        <v/>
      </c>
      <c r="U4446" s="23">
        <f>R4446-S4446-T4446</f>
        <v/>
      </c>
      <c r="V4446" s="23">
        <f>D4446*P4446</f>
        <v/>
      </c>
      <c r="W4446" s="23">
        <f>U4446-V4446</f>
        <v/>
      </c>
      <c r="X4446" s="24">
        <f>IFERROR(W4446/U4446,0)</f>
        <v/>
      </c>
    </row>
    <row r="4447">
      <c r="A4447" s="25">
        <f>ItensPedido!A4447</f>
        <v/>
      </c>
      <c r="B4447" s="25">
        <f>ItensPedido!B4447</f>
        <v/>
      </c>
      <c r="C4447" s="25">
        <f>ItensPedido!C4447</f>
        <v/>
      </c>
      <c r="D4447" s="25">
        <f>ItensPedido!D4447</f>
        <v/>
      </c>
      <c r="E4447" s="26">
        <f>ItensPedido!E4447</f>
        <v/>
      </c>
      <c r="F4447" s="25">
        <f>IFERROR(INDEX(Pedidos!$B$2:$B$1801,MATCH(B4447,Pedidos!$A$2:$A$1801,0)),0)</f>
        <v/>
      </c>
      <c r="G4447" s="25">
        <f>IF(F4447=0,"",YEAR(F4447))</f>
        <v/>
      </c>
      <c r="H4447" s="25">
        <f>IF(F4447=0,"",MONTH(F4447))</f>
        <v/>
      </c>
      <c r="I4447" s="25">
        <f>IFERROR(INDEX(Pedidos!$E$2:$E$1801,MATCH(B4447,Pedidos!$A$2:$A$1801,0)),"")</f>
        <v/>
      </c>
      <c r="J4447" s="25">
        <f>IFERROR(INDEX(Pedidos!$C$2:$C$1801,MATCH(B4447,Pedidos!$A$2:$A$1801,0)),"")</f>
        <v/>
      </c>
      <c r="K4447" s="25">
        <f>IFERROR(INDEX(Pedidos!$D$2:$D$1801,MATCH(B4447,Pedidos!$A$2:$A$1801,0)),"")</f>
        <v/>
      </c>
      <c r="L4447" s="25">
        <f>IFERROR(INDEX(Pedidos!$F$2:$F$1801,MATCH(B4447,Pedidos!$A$2:$A$1801,0)),"")</f>
        <v/>
      </c>
      <c r="M4447" s="26">
        <f>IFERROR(INDEX(Pedidos!$G$2:$G$1801,MATCH(B4447,Pedidos!$A$2:$A$1801,0)),0)</f>
        <v/>
      </c>
      <c r="N4447" s="25">
        <f>IFERROR(INDEX(Produtos!$B$2:$B$71,MATCH(C4447,Produtos!$A$2:$A$71,0)),"")</f>
        <v/>
      </c>
      <c r="O4447" s="25">
        <f>IFERROR(INDEX(Produtos!$C$2:$C$71,MATCH(C4447,Produtos!$A$2:$A$71,0)),"")</f>
        <v/>
      </c>
      <c r="P4447" s="25">
        <f>IFERROR(INDEX(Produtos!$D$2:$D$71,MATCH(C4447,Produtos!$A$2:$A$71,0)),0)</f>
        <v/>
      </c>
      <c r="Q4447" s="25">
        <f>IFERROR(INDEX(Produtos!$E$2:$E$71,MATCH(C4447,Produtos!$A$2:$A$71,0)),0)</f>
        <v/>
      </c>
      <c r="R4447" s="27">
        <f>D4447*Q4447</f>
        <v/>
      </c>
      <c r="S4447" s="27">
        <f>R4447*E4447</f>
        <v/>
      </c>
      <c r="T4447" s="27">
        <f>(R4447-S4447)*M4447</f>
        <v/>
      </c>
      <c r="U4447" s="27">
        <f>R4447-S4447-T4447</f>
        <v/>
      </c>
      <c r="V4447" s="27">
        <f>D4447*P4447</f>
        <v/>
      </c>
      <c r="W4447" s="27">
        <f>U4447-V4447</f>
        <v/>
      </c>
      <c r="X4447" s="28">
        <f>IFERROR(W4447/U4447,0)</f>
        <v/>
      </c>
    </row>
    <row r="4448">
      <c r="A4448" s="21">
        <f>ItensPedido!A4448</f>
        <v/>
      </c>
      <c r="B4448" s="21">
        <f>ItensPedido!B4448</f>
        <v/>
      </c>
      <c r="C4448" s="21">
        <f>ItensPedido!C4448</f>
        <v/>
      </c>
      <c r="D4448" s="21">
        <f>ItensPedido!D4448</f>
        <v/>
      </c>
      <c r="E4448" s="22">
        <f>ItensPedido!E4448</f>
        <v/>
      </c>
      <c r="F4448" s="21">
        <f>IFERROR(INDEX(Pedidos!$B$2:$B$1801,MATCH(B4448,Pedidos!$A$2:$A$1801,0)),0)</f>
        <v/>
      </c>
      <c r="G4448" s="21">
        <f>IF(F4448=0,"",YEAR(F4448))</f>
        <v/>
      </c>
      <c r="H4448" s="21">
        <f>IF(F4448=0,"",MONTH(F4448))</f>
        <v/>
      </c>
      <c r="I4448" s="21">
        <f>IFERROR(INDEX(Pedidos!$E$2:$E$1801,MATCH(B4448,Pedidos!$A$2:$A$1801,0)),"")</f>
        <v/>
      </c>
      <c r="J4448" s="21">
        <f>IFERROR(INDEX(Pedidos!$C$2:$C$1801,MATCH(B4448,Pedidos!$A$2:$A$1801,0)),"")</f>
        <v/>
      </c>
      <c r="K4448" s="21">
        <f>IFERROR(INDEX(Pedidos!$D$2:$D$1801,MATCH(B4448,Pedidos!$A$2:$A$1801,0)),"")</f>
        <v/>
      </c>
      <c r="L4448" s="21">
        <f>IFERROR(INDEX(Pedidos!$F$2:$F$1801,MATCH(B4448,Pedidos!$A$2:$A$1801,0)),"")</f>
        <v/>
      </c>
      <c r="M4448" s="22">
        <f>IFERROR(INDEX(Pedidos!$G$2:$G$1801,MATCH(B4448,Pedidos!$A$2:$A$1801,0)),0)</f>
        <v/>
      </c>
      <c r="N4448" s="21">
        <f>IFERROR(INDEX(Produtos!$B$2:$B$71,MATCH(C4448,Produtos!$A$2:$A$71,0)),"")</f>
        <v/>
      </c>
      <c r="O4448" s="21">
        <f>IFERROR(INDEX(Produtos!$C$2:$C$71,MATCH(C4448,Produtos!$A$2:$A$71,0)),"")</f>
        <v/>
      </c>
      <c r="P4448" s="21">
        <f>IFERROR(INDEX(Produtos!$D$2:$D$71,MATCH(C4448,Produtos!$A$2:$A$71,0)),0)</f>
        <v/>
      </c>
      <c r="Q4448" s="21">
        <f>IFERROR(INDEX(Produtos!$E$2:$E$71,MATCH(C4448,Produtos!$A$2:$A$71,0)),0)</f>
        <v/>
      </c>
      <c r="R4448" s="23">
        <f>D4448*Q4448</f>
        <v/>
      </c>
      <c r="S4448" s="23">
        <f>R4448*E4448</f>
        <v/>
      </c>
      <c r="T4448" s="23">
        <f>(R4448-S4448)*M4448</f>
        <v/>
      </c>
      <c r="U4448" s="23">
        <f>R4448-S4448-T4448</f>
        <v/>
      </c>
      <c r="V4448" s="23">
        <f>D4448*P4448</f>
        <v/>
      </c>
      <c r="W4448" s="23">
        <f>U4448-V4448</f>
        <v/>
      </c>
      <c r="X4448" s="24">
        <f>IFERROR(W4448/U4448,0)</f>
        <v/>
      </c>
    </row>
    <row r="4449">
      <c r="A4449" s="25">
        <f>ItensPedido!A4449</f>
        <v/>
      </c>
      <c r="B4449" s="25">
        <f>ItensPedido!B4449</f>
        <v/>
      </c>
      <c r="C4449" s="25">
        <f>ItensPedido!C4449</f>
        <v/>
      </c>
      <c r="D4449" s="25">
        <f>ItensPedido!D4449</f>
        <v/>
      </c>
      <c r="E4449" s="26">
        <f>ItensPedido!E4449</f>
        <v/>
      </c>
      <c r="F4449" s="25">
        <f>IFERROR(INDEX(Pedidos!$B$2:$B$1801,MATCH(B4449,Pedidos!$A$2:$A$1801,0)),0)</f>
        <v/>
      </c>
      <c r="G4449" s="25">
        <f>IF(F4449=0,"",YEAR(F4449))</f>
        <v/>
      </c>
      <c r="H4449" s="25">
        <f>IF(F4449=0,"",MONTH(F4449))</f>
        <v/>
      </c>
      <c r="I4449" s="25">
        <f>IFERROR(INDEX(Pedidos!$E$2:$E$1801,MATCH(B4449,Pedidos!$A$2:$A$1801,0)),"")</f>
        <v/>
      </c>
      <c r="J4449" s="25">
        <f>IFERROR(INDEX(Pedidos!$C$2:$C$1801,MATCH(B4449,Pedidos!$A$2:$A$1801,0)),"")</f>
        <v/>
      </c>
      <c r="K4449" s="25">
        <f>IFERROR(INDEX(Pedidos!$D$2:$D$1801,MATCH(B4449,Pedidos!$A$2:$A$1801,0)),"")</f>
        <v/>
      </c>
      <c r="L4449" s="25">
        <f>IFERROR(INDEX(Pedidos!$F$2:$F$1801,MATCH(B4449,Pedidos!$A$2:$A$1801,0)),"")</f>
        <v/>
      </c>
      <c r="M4449" s="26">
        <f>IFERROR(INDEX(Pedidos!$G$2:$G$1801,MATCH(B4449,Pedidos!$A$2:$A$1801,0)),0)</f>
        <v/>
      </c>
      <c r="N4449" s="25">
        <f>IFERROR(INDEX(Produtos!$B$2:$B$71,MATCH(C4449,Produtos!$A$2:$A$71,0)),"")</f>
        <v/>
      </c>
      <c r="O4449" s="25">
        <f>IFERROR(INDEX(Produtos!$C$2:$C$71,MATCH(C4449,Produtos!$A$2:$A$71,0)),"")</f>
        <v/>
      </c>
      <c r="P4449" s="25">
        <f>IFERROR(INDEX(Produtos!$D$2:$D$71,MATCH(C4449,Produtos!$A$2:$A$71,0)),0)</f>
        <v/>
      </c>
      <c r="Q4449" s="25">
        <f>IFERROR(INDEX(Produtos!$E$2:$E$71,MATCH(C4449,Produtos!$A$2:$A$71,0)),0)</f>
        <v/>
      </c>
      <c r="R4449" s="27">
        <f>D4449*Q4449</f>
        <v/>
      </c>
      <c r="S4449" s="27">
        <f>R4449*E4449</f>
        <v/>
      </c>
      <c r="T4449" s="27">
        <f>(R4449-S4449)*M4449</f>
        <v/>
      </c>
      <c r="U4449" s="27">
        <f>R4449-S4449-T4449</f>
        <v/>
      </c>
      <c r="V4449" s="27">
        <f>D4449*P4449</f>
        <v/>
      </c>
      <c r="W4449" s="27">
        <f>U4449-V4449</f>
        <v/>
      </c>
      <c r="X4449" s="28">
        <f>IFERROR(W4449/U4449,0)</f>
        <v/>
      </c>
    </row>
    <row r="4450">
      <c r="A4450" s="21">
        <f>ItensPedido!A4450</f>
        <v/>
      </c>
      <c r="B4450" s="21">
        <f>ItensPedido!B4450</f>
        <v/>
      </c>
      <c r="C4450" s="21">
        <f>ItensPedido!C4450</f>
        <v/>
      </c>
      <c r="D4450" s="21">
        <f>ItensPedido!D4450</f>
        <v/>
      </c>
      <c r="E4450" s="22">
        <f>ItensPedido!E4450</f>
        <v/>
      </c>
      <c r="F4450" s="21">
        <f>IFERROR(INDEX(Pedidos!$B$2:$B$1801,MATCH(B4450,Pedidos!$A$2:$A$1801,0)),0)</f>
        <v/>
      </c>
      <c r="G4450" s="21">
        <f>IF(F4450=0,"",YEAR(F4450))</f>
        <v/>
      </c>
      <c r="H4450" s="21">
        <f>IF(F4450=0,"",MONTH(F4450))</f>
        <v/>
      </c>
      <c r="I4450" s="21">
        <f>IFERROR(INDEX(Pedidos!$E$2:$E$1801,MATCH(B4450,Pedidos!$A$2:$A$1801,0)),"")</f>
        <v/>
      </c>
      <c r="J4450" s="21">
        <f>IFERROR(INDEX(Pedidos!$C$2:$C$1801,MATCH(B4450,Pedidos!$A$2:$A$1801,0)),"")</f>
        <v/>
      </c>
      <c r="K4450" s="21">
        <f>IFERROR(INDEX(Pedidos!$D$2:$D$1801,MATCH(B4450,Pedidos!$A$2:$A$1801,0)),"")</f>
        <v/>
      </c>
      <c r="L4450" s="21">
        <f>IFERROR(INDEX(Pedidos!$F$2:$F$1801,MATCH(B4450,Pedidos!$A$2:$A$1801,0)),"")</f>
        <v/>
      </c>
      <c r="M4450" s="22">
        <f>IFERROR(INDEX(Pedidos!$G$2:$G$1801,MATCH(B4450,Pedidos!$A$2:$A$1801,0)),0)</f>
        <v/>
      </c>
      <c r="N4450" s="21">
        <f>IFERROR(INDEX(Produtos!$B$2:$B$71,MATCH(C4450,Produtos!$A$2:$A$71,0)),"")</f>
        <v/>
      </c>
      <c r="O4450" s="21">
        <f>IFERROR(INDEX(Produtos!$C$2:$C$71,MATCH(C4450,Produtos!$A$2:$A$71,0)),"")</f>
        <v/>
      </c>
      <c r="P4450" s="21">
        <f>IFERROR(INDEX(Produtos!$D$2:$D$71,MATCH(C4450,Produtos!$A$2:$A$71,0)),0)</f>
        <v/>
      </c>
      <c r="Q4450" s="21">
        <f>IFERROR(INDEX(Produtos!$E$2:$E$71,MATCH(C4450,Produtos!$A$2:$A$71,0)),0)</f>
        <v/>
      </c>
      <c r="R4450" s="23">
        <f>D4450*Q4450</f>
        <v/>
      </c>
      <c r="S4450" s="23">
        <f>R4450*E4450</f>
        <v/>
      </c>
      <c r="T4450" s="23">
        <f>(R4450-S4450)*M4450</f>
        <v/>
      </c>
      <c r="U4450" s="23">
        <f>R4450-S4450-T4450</f>
        <v/>
      </c>
      <c r="V4450" s="23">
        <f>D4450*P4450</f>
        <v/>
      </c>
      <c r="W4450" s="23">
        <f>U4450-V4450</f>
        <v/>
      </c>
      <c r="X4450" s="24">
        <f>IFERROR(W4450/U4450,0)</f>
        <v/>
      </c>
    </row>
    <row r="4451">
      <c r="A4451" s="25">
        <f>ItensPedido!A4451</f>
        <v/>
      </c>
      <c r="B4451" s="25">
        <f>ItensPedido!B4451</f>
        <v/>
      </c>
      <c r="C4451" s="25">
        <f>ItensPedido!C4451</f>
        <v/>
      </c>
      <c r="D4451" s="25">
        <f>ItensPedido!D4451</f>
        <v/>
      </c>
      <c r="E4451" s="26">
        <f>ItensPedido!E4451</f>
        <v/>
      </c>
      <c r="F4451" s="25">
        <f>IFERROR(INDEX(Pedidos!$B$2:$B$1801,MATCH(B4451,Pedidos!$A$2:$A$1801,0)),0)</f>
        <v/>
      </c>
      <c r="G4451" s="25">
        <f>IF(F4451=0,"",YEAR(F4451))</f>
        <v/>
      </c>
      <c r="H4451" s="25">
        <f>IF(F4451=0,"",MONTH(F4451))</f>
        <v/>
      </c>
      <c r="I4451" s="25">
        <f>IFERROR(INDEX(Pedidos!$E$2:$E$1801,MATCH(B4451,Pedidos!$A$2:$A$1801,0)),"")</f>
        <v/>
      </c>
      <c r="J4451" s="25">
        <f>IFERROR(INDEX(Pedidos!$C$2:$C$1801,MATCH(B4451,Pedidos!$A$2:$A$1801,0)),"")</f>
        <v/>
      </c>
      <c r="K4451" s="25">
        <f>IFERROR(INDEX(Pedidos!$D$2:$D$1801,MATCH(B4451,Pedidos!$A$2:$A$1801,0)),"")</f>
        <v/>
      </c>
      <c r="L4451" s="25">
        <f>IFERROR(INDEX(Pedidos!$F$2:$F$1801,MATCH(B4451,Pedidos!$A$2:$A$1801,0)),"")</f>
        <v/>
      </c>
      <c r="M4451" s="26">
        <f>IFERROR(INDEX(Pedidos!$G$2:$G$1801,MATCH(B4451,Pedidos!$A$2:$A$1801,0)),0)</f>
        <v/>
      </c>
      <c r="N4451" s="25">
        <f>IFERROR(INDEX(Produtos!$B$2:$B$71,MATCH(C4451,Produtos!$A$2:$A$71,0)),"")</f>
        <v/>
      </c>
      <c r="O4451" s="25">
        <f>IFERROR(INDEX(Produtos!$C$2:$C$71,MATCH(C4451,Produtos!$A$2:$A$71,0)),"")</f>
        <v/>
      </c>
      <c r="P4451" s="25">
        <f>IFERROR(INDEX(Produtos!$D$2:$D$71,MATCH(C4451,Produtos!$A$2:$A$71,0)),0)</f>
        <v/>
      </c>
      <c r="Q4451" s="25">
        <f>IFERROR(INDEX(Produtos!$E$2:$E$71,MATCH(C4451,Produtos!$A$2:$A$71,0)),0)</f>
        <v/>
      </c>
      <c r="R4451" s="27">
        <f>D4451*Q4451</f>
        <v/>
      </c>
      <c r="S4451" s="27">
        <f>R4451*E4451</f>
        <v/>
      </c>
      <c r="T4451" s="27">
        <f>(R4451-S4451)*M4451</f>
        <v/>
      </c>
      <c r="U4451" s="27">
        <f>R4451-S4451-T4451</f>
        <v/>
      </c>
      <c r="V4451" s="27">
        <f>D4451*P4451</f>
        <v/>
      </c>
      <c r="W4451" s="27">
        <f>U4451-V4451</f>
        <v/>
      </c>
      <c r="X4451" s="28">
        <f>IFERROR(W4451/U4451,0)</f>
        <v/>
      </c>
    </row>
    <row r="4452">
      <c r="A4452" s="21">
        <f>ItensPedido!A4452</f>
        <v/>
      </c>
      <c r="B4452" s="21">
        <f>ItensPedido!B4452</f>
        <v/>
      </c>
      <c r="C4452" s="21">
        <f>ItensPedido!C4452</f>
        <v/>
      </c>
      <c r="D4452" s="21">
        <f>ItensPedido!D4452</f>
        <v/>
      </c>
      <c r="E4452" s="22">
        <f>ItensPedido!E4452</f>
        <v/>
      </c>
      <c r="F4452" s="21">
        <f>IFERROR(INDEX(Pedidos!$B$2:$B$1801,MATCH(B4452,Pedidos!$A$2:$A$1801,0)),0)</f>
        <v/>
      </c>
      <c r="G4452" s="21">
        <f>IF(F4452=0,"",YEAR(F4452))</f>
        <v/>
      </c>
      <c r="H4452" s="21">
        <f>IF(F4452=0,"",MONTH(F4452))</f>
        <v/>
      </c>
      <c r="I4452" s="21">
        <f>IFERROR(INDEX(Pedidos!$E$2:$E$1801,MATCH(B4452,Pedidos!$A$2:$A$1801,0)),"")</f>
        <v/>
      </c>
      <c r="J4452" s="21">
        <f>IFERROR(INDEX(Pedidos!$C$2:$C$1801,MATCH(B4452,Pedidos!$A$2:$A$1801,0)),"")</f>
        <v/>
      </c>
      <c r="K4452" s="21">
        <f>IFERROR(INDEX(Pedidos!$D$2:$D$1801,MATCH(B4452,Pedidos!$A$2:$A$1801,0)),"")</f>
        <v/>
      </c>
      <c r="L4452" s="21">
        <f>IFERROR(INDEX(Pedidos!$F$2:$F$1801,MATCH(B4452,Pedidos!$A$2:$A$1801,0)),"")</f>
        <v/>
      </c>
      <c r="M4452" s="22">
        <f>IFERROR(INDEX(Pedidos!$G$2:$G$1801,MATCH(B4452,Pedidos!$A$2:$A$1801,0)),0)</f>
        <v/>
      </c>
      <c r="N4452" s="21">
        <f>IFERROR(INDEX(Produtos!$B$2:$B$71,MATCH(C4452,Produtos!$A$2:$A$71,0)),"")</f>
        <v/>
      </c>
      <c r="O4452" s="21">
        <f>IFERROR(INDEX(Produtos!$C$2:$C$71,MATCH(C4452,Produtos!$A$2:$A$71,0)),"")</f>
        <v/>
      </c>
      <c r="P4452" s="21">
        <f>IFERROR(INDEX(Produtos!$D$2:$D$71,MATCH(C4452,Produtos!$A$2:$A$71,0)),0)</f>
        <v/>
      </c>
      <c r="Q4452" s="21">
        <f>IFERROR(INDEX(Produtos!$E$2:$E$71,MATCH(C4452,Produtos!$A$2:$A$71,0)),0)</f>
        <v/>
      </c>
      <c r="R4452" s="23">
        <f>D4452*Q4452</f>
        <v/>
      </c>
      <c r="S4452" s="23">
        <f>R4452*E4452</f>
        <v/>
      </c>
      <c r="T4452" s="23">
        <f>(R4452-S4452)*M4452</f>
        <v/>
      </c>
      <c r="U4452" s="23">
        <f>R4452-S4452-T4452</f>
        <v/>
      </c>
      <c r="V4452" s="23">
        <f>D4452*P4452</f>
        <v/>
      </c>
      <c r="W4452" s="23">
        <f>U4452-V4452</f>
        <v/>
      </c>
      <c r="X4452" s="24">
        <f>IFERROR(W4452/U4452,0)</f>
        <v/>
      </c>
    </row>
    <row r="4453">
      <c r="A4453" s="25">
        <f>ItensPedido!A4453</f>
        <v/>
      </c>
      <c r="B4453" s="25">
        <f>ItensPedido!B4453</f>
        <v/>
      </c>
      <c r="C4453" s="25">
        <f>ItensPedido!C4453</f>
        <v/>
      </c>
      <c r="D4453" s="25">
        <f>ItensPedido!D4453</f>
        <v/>
      </c>
      <c r="E4453" s="26">
        <f>ItensPedido!E4453</f>
        <v/>
      </c>
      <c r="F4453" s="25">
        <f>IFERROR(INDEX(Pedidos!$B$2:$B$1801,MATCH(B4453,Pedidos!$A$2:$A$1801,0)),0)</f>
        <v/>
      </c>
      <c r="G4453" s="25">
        <f>IF(F4453=0,"",YEAR(F4453))</f>
        <v/>
      </c>
      <c r="H4453" s="25">
        <f>IF(F4453=0,"",MONTH(F4453))</f>
        <v/>
      </c>
      <c r="I4453" s="25">
        <f>IFERROR(INDEX(Pedidos!$E$2:$E$1801,MATCH(B4453,Pedidos!$A$2:$A$1801,0)),"")</f>
        <v/>
      </c>
      <c r="J4453" s="25">
        <f>IFERROR(INDEX(Pedidos!$C$2:$C$1801,MATCH(B4453,Pedidos!$A$2:$A$1801,0)),"")</f>
        <v/>
      </c>
      <c r="K4453" s="25">
        <f>IFERROR(INDEX(Pedidos!$D$2:$D$1801,MATCH(B4453,Pedidos!$A$2:$A$1801,0)),"")</f>
        <v/>
      </c>
      <c r="L4453" s="25">
        <f>IFERROR(INDEX(Pedidos!$F$2:$F$1801,MATCH(B4453,Pedidos!$A$2:$A$1801,0)),"")</f>
        <v/>
      </c>
      <c r="M4453" s="26">
        <f>IFERROR(INDEX(Pedidos!$G$2:$G$1801,MATCH(B4453,Pedidos!$A$2:$A$1801,0)),0)</f>
        <v/>
      </c>
      <c r="N4453" s="25">
        <f>IFERROR(INDEX(Produtos!$B$2:$B$71,MATCH(C4453,Produtos!$A$2:$A$71,0)),"")</f>
        <v/>
      </c>
      <c r="O4453" s="25">
        <f>IFERROR(INDEX(Produtos!$C$2:$C$71,MATCH(C4453,Produtos!$A$2:$A$71,0)),"")</f>
        <v/>
      </c>
      <c r="P4453" s="25">
        <f>IFERROR(INDEX(Produtos!$D$2:$D$71,MATCH(C4453,Produtos!$A$2:$A$71,0)),0)</f>
        <v/>
      </c>
      <c r="Q4453" s="25">
        <f>IFERROR(INDEX(Produtos!$E$2:$E$71,MATCH(C4453,Produtos!$A$2:$A$71,0)),0)</f>
        <v/>
      </c>
      <c r="R4453" s="27">
        <f>D4453*Q4453</f>
        <v/>
      </c>
      <c r="S4453" s="27">
        <f>R4453*E4453</f>
        <v/>
      </c>
      <c r="T4453" s="27">
        <f>(R4453-S4453)*M4453</f>
        <v/>
      </c>
      <c r="U4453" s="27">
        <f>R4453-S4453-T4453</f>
        <v/>
      </c>
      <c r="V4453" s="27">
        <f>D4453*P4453</f>
        <v/>
      </c>
      <c r="W4453" s="27">
        <f>U4453-V4453</f>
        <v/>
      </c>
      <c r="X4453" s="28">
        <f>IFERROR(W4453/U4453,0)</f>
        <v/>
      </c>
    </row>
    <row r="4454">
      <c r="A4454" s="21">
        <f>ItensPedido!A4454</f>
        <v/>
      </c>
      <c r="B4454" s="21">
        <f>ItensPedido!B4454</f>
        <v/>
      </c>
      <c r="C4454" s="21">
        <f>ItensPedido!C4454</f>
        <v/>
      </c>
      <c r="D4454" s="21">
        <f>ItensPedido!D4454</f>
        <v/>
      </c>
      <c r="E4454" s="22">
        <f>ItensPedido!E4454</f>
        <v/>
      </c>
      <c r="F4454" s="21">
        <f>IFERROR(INDEX(Pedidos!$B$2:$B$1801,MATCH(B4454,Pedidos!$A$2:$A$1801,0)),0)</f>
        <v/>
      </c>
      <c r="G4454" s="21">
        <f>IF(F4454=0,"",YEAR(F4454))</f>
        <v/>
      </c>
      <c r="H4454" s="21">
        <f>IF(F4454=0,"",MONTH(F4454))</f>
        <v/>
      </c>
      <c r="I4454" s="21">
        <f>IFERROR(INDEX(Pedidos!$E$2:$E$1801,MATCH(B4454,Pedidos!$A$2:$A$1801,0)),"")</f>
        <v/>
      </c>
      <c r="J4454" s="21">
        <f>IFERROR(INDEX(Pedidos!$C$2:$C$1801,MATCH(B4454,Pedidos!$A$2:$A$1801,0)),"")</f>
        <v/>
      </c>
      <c r="K4454" s="21">
        <f>IFERROR(INDEX(Pedidos!$D$2:$D$1801,MATCH(B4454,Pedidos!$A$2:$A$1801,0)),"")</f>
        <v/>
      </c>
      <c r="L4454" s="21">
        <f>IFERROR(INDEX(Pedidos!$F$2:$F$1801,MATCH(B4454,Pedidos!$A$2:$A$1801,0)),"")</f>
        <v/>
      </c>
      <c r="M4454" s="22">
        <f>IFERROR(INDEX(Pedidos!$G$2:$G$1801,MATCH(B4454,Pedidos!$A$2:$A$1801,0)),0)</f>
        <v/>
      </c>
      <c r="N4454" s="21">
        <f>IFERROR(INDEX(Produtos!$B$2:$B$71,MATCH(C4454,Produtos!$A$2:$A$71,0)),"")</f>
        <v/>
      </c>
      <c r="O4454" s="21">
        <f>IFERROR(INDEX(Produtos!$C$2:$C$71,MATCH(C4454,Produtos!$A$2:$A$71,0)),"")</f>
        <v/>
      </c>
      <c r="P4454" s="21">
        <f>IFERROR(INDEX(Produtos!$D$2:$D$71,MATCH(C4454,Produtos!$A$2:$A$71,0)),0)</f>
        <v/>
      </c>
      <c r="Q4454" s="21">
        <f>IFERROR(INDEX(Produtos!$E$2:$E$71,MATCH(C4454,Produtos!$A$2:$A$71,0)),0)</f>
        <v/>
      </c>
      <c r="R4454" s="23">
        <f>D4454*Q4454</f>
        <v/>
      </c>
      <c r="S4454" s="23">
        <f>R4454*E4454</f>
        <v/>
      </c>
      <c r="T4454" s="23">
        <f>(R4454-S4454)*M4454</f>
        <v/>
      </c>
      <c r="U4454" s="23">
        <f>R4454-S4454-T4454</f>
        <v/>
      </c>
      <c r="V4454" s="23">
        <f>D4454*P4454</f>
        <v/>
      </c>
      <c r="W4454" s="23">
        <f>U4454-V4454</f>
        <v/>
      </c>
      <c r="X4454" s="24">
        <f>IFERROR(W4454/U4454,0)</f>
        <v/>
      </c>
    </row>
    <row r="4455">
      <c r="A4455" s="25">
        <f>ItensPedido!A4455</f>
        <v/>
      </c>
      <c r="B4455" s="25">
        <f>ItensPedido!B4455</f>
        <v/>
      </c>
      <c r="C4455" s="25">
        <f>ItensPedido!C4455</f>
        <v/>
      </c>
      <c r="D4455" s="25">
        <f>ItensPedido!D4455</f>
        <v/>
      </c>
      <c r="E4455" s="26">
        <f>ItensPedido!E4455</f>
        <v/>
      </c>
      <c r="F4455" s="25">
        <f>IFERROR(INDEX(Pedidos!$B$2:$B$1801,MATCH(B4455,Pedidos!$A$2:$A$1801,0)),0)</f>
        <v/>
      </c>
      <c r="G4455" s="25">
        <f>IF(F4455=0,"",YEAR(F4455))</f>
        <v/>
      </c>
      <c r="H4455" s="25">
        <f>IF(F4455=0,"",MONTH(F4455))</f>
        <v/>
      </c>
      <c r="I4455" s="25">
        <f>IFERROR(INDEX(Pedidos!$E$2:$E$1801,MATCH(B4455,Pedidos!$A$2:$A$1801,0)),"")</f>
        <v/>
      </c>
      <c r="J4455" s="25">
        <f>IFERROR(INDEX(Pedidos!$C$2:$C$1801,MATCH(B4455,Pedidos!$A$2:$A$1801,0)),"")</f>
        <v/>
      </c>
      <c r="K4455" s="25">
        <f>IFERROR(INDEX(Pedidos!$D$2:$D$1801,MATCH(B4455,Pedidos!$A$2:$A$1801,0)),"")</f>
        <v/>
      </c>
      <c r="L4455" s="25">
        <f>IFERROR(INDEX(Pedidos!$F$2:$F$1801,MATCH(B4455,Pedidos!$A$2:$A$1801,0)),"")</f>
        <v/>
      </c>
      <c r="M4455" s="26">
        <f>IFERROR(INDEX(Pedidos!$G$2:$G$1801,MATCH(B4455,Pedidos!$A$2:$A$1801,0)),0)</f>
        <v/>
      </c>
      <c r="N4455" s="25">
        <f>IFERROR(INDEX(Produtos!$B$2:$B$71,MATCH(C4455,Produtos!$A$2:$A$71,0)),"")</f>
        <v/>
      </c>
      <c r="O4455" s="25">
        <f>IFERROR(INDEX(Produtos!$C$2:$C$71,MATCH(C4455,Produtos!$A$2:$A$71,0)),"")</f>
        <v/>
      </c>
      <c r="P4455" s="25">
        <f>IFERROR(INDEX(Produtos!$D$2:$D$71,MATCH(C4455,Produtos!$A$2:$A$71,0)),0)</f>
        <v/>
      </c>
      <c r="Q4455" s="25">
        <f>IFERROR(INDEX(Produtos!$E$2:$E$71,MATCH(C4455,Produtos!$A$2:$A$71,0)),0)</f>
        <v/>
      </c>
      <c r="R4455" s="27">
        <f>D4455*Q4455</f>
        <v/>
      </c>
      <c r="S4455" s="27">
        <f>R4455*E4455</f>
        <v/>
      </c>
      <c r="T4455" s="27">
        <f>(R4455-S4455)*M4455</f>
        <v/>
      </c>
      <c r="U4455" s="27">
        <f>R4455-S4455-T4455</f>
        <v/>
      </c>
      <c r="V4455" s="27">
        <f>D4455*P4455</f>
        <v/>
      </c>
      <c r="W4455" s="27">
        <f>U4455-V4455</f>
        <v/>
      </c>
      <c r="X4455" s="28">
        <f>IFERROR(W4455/U4455,0)</f>
        <v/>
      </c>
    </row>
    <row r="4456">
      <c r="A4456" s="21">
        <f>ItensPedido!A4456</f>
        <v/>
      </c>
      <c r="B4456" s="21">
        <f>ItensPedido!B4456</f>
        <v/>
      </c>
      <c r="C4456" s="21">
        <f>ItensPedido!C4456</f>
        <v/>
      </c>
      <c r="D4456" s="21">
        <f>ItensPedido!D4456</f>
        <v/>
      </c>
      <c r="E4456" s="22">
        <f>ItensPedido!E4456</f>
        <v/>
      </c>
      <c r="F4456" s="21">
        <f>IFERROR(INDEX(Pedidos!$B$2:$B$1801,MATCH(B4456,Pedidos!$A$2:$A$1801,0)),0)</f>
        <v/>
      </c>
      <c r="G4456" s="21">
        <f>IF(F4456=0,"",YEAR(F4456))</f>
        <v/>
      </c>
      <c r="H4456" s="21">
        <f>IF(F4456=0,"",MONTH(F4456))</f>
        <v/>
      </c>
      <c r="I4456" s="21">
        <f>IFERROR(INDEX(Pedidos!$E$2:$E$1801,MATCH(B4456,Pedidos!$A$2:$A$1801,0)),"")</f>
        <v/>
      </c>
      <c r="J4456" s="21">
        <f>IFERROR(INDEX(Pedidos!$C$2:$C$1801,MATCH(B4456,Pedidos!$A$2:$A$1801,0)),"")</f>
        <v/>
      </c>
      <c r="K4456" s="21">
        <f>IFERROR(INDEX(Pedidos!$D$2:$D$1801,MATCH(B4456,Pedidos!$A$2:$A$1801,0)),"")</f>
        <v/>
      </c>
      <c r="L4456" s="21">
        <f>IFERROR(INDEX(Pedidos!$F$2:$F$1801,MATCH(B4456,Pedidos!$A$2:$A$1801,0)),"")</f>
        <v/>
      </c>
      <c r="M4456" s="22">
        <f>IFERROR(INDEX(Pedidos!$G$2:$G$1801,MATCH(B4456,Pedidos!$A$2:$A$1801,0)),0)</f>
        <v/>
      </c>
      <c r="N4456" s="21">
        <f>IFERROR(INDEX(Produtos!$B$2:$B$71,MATCH(C4456,Produtos!$A$2:$A$71,0)),"")</f>
        <v/>
      </c>
      <c r="O4456" s="21">
        <f>IFERROR(INDEX(Produtos!$C$2:$C$71,MATCH(C4456,Produtos!$A$2:$A$71,0)),"")</f>
        <v/>
      </c>
      <c r="P4456" s="21">
        <f>IFERROR(INDEX(Produtos!$D$2:$D$71,MATCH(C4456,Produtos!$A$2:$A$71,0)),0)</f>
        <v/>
      </c>
      <c r="Q4456" s="21">
        <f>IFERROR(INDEX(Produtos!$E$2:$E$71,MATCH(C4456,Produtos!$A$2:$A$71,0)),0)</f>
        <v/>
      </c>
      <c r="R4456" s="23">
        <f>D4456*Q4456</f>
        <v/>
      </c>
      <c r="S4456" s="23">
        <f>R4456*E4456</f>
        <v/>
      </c>
      <c r="T4456" s="23">
        <f>(R4456-S4456)*M4456</f>
        <v/>
      </c>
      <c r="U4456" s="23">
        <f>R4456-S4456-T4456</f>
        <v/>
      </c>
      <c r="V4456" s="23">
        <f>D4456*P4456</f>
        <v/>
      </c>
      <c r="W4456" s="23">
        <f>U4456-V4456</f>
        <v/>
      </c>
      <c r="X4456" s="24">
        <f>IFERROR(W4456/U4456,0)</f>
        <v/>
      </c>
    </row>
    <row r="4457">
      <c r="A4457" s="25">
        <f>ItensPedido!A4457</f>
        <v/>
      </c>
      <c r="B4457" s="25">
        <f>ItensPedido!B4457</f>
        <v/>
      </c>
      <c r="C4457" s="25">
        <f>ItensPedido!C4457</f>
        <v/>
      </c>
      <c r="D4457" s="25">
        <f>ItensPedido!D4457</f>
        <v/>
      </c>
      <c r="E4457" s="26">
        <f>ItensPedido!E4457</f>
        <v/>
      </c>
      <c r="F4457" s="25">
        <f>IFERROR(INDEX(Pedidos!$B$2:$B$1801,MATCH(B4457,Pedidos!$A$2:$A$1801,0)),0)</f>
        <v/>
      </c>
      <c r="G4457" s="25">
        <f>IF(F4457=0,"",YEAR(F4457))</f>
        <v/>
      </c>
      <c r="H4457" s="25">
        <f>IF(F4457=0,"",MONTH(F4457))</f>
        <v/>
      </c>
      <c r="I4457" s="25">
        <f>IFERROR(INDEX(Pedidos!$E$2:$E$1801,MATCH(B4457,Pedidos!$A$2:$A$1801,0)),"")</f>
        <v/>
      </c>
      <c r="J4457" s="25">
        <f>IFERROR(INDEX(Pedidos!$C$2:$C$1801,MATCH(B4457,Pedidos!$A$2:$A$1801,0)),"")</f>
        <v/>
      </c>
      <c r="K4457" s="25">
        <f>IFERROR(INDEX(Pedidos!$D$2:$D$1801,MATCH(B4457,Pedidos!$A$2:$A$1801,0)),"")</f>
        <v/>
      </c>
      <c r="L4457" s="25">
        <f>IFERROR(INDEX(Pedidos!$F$2:$F$1801,MATCH(B4457,Pedidos!$A$2:$A$1801,0)),"")</f>
        <v/>
      </c>
      <c r="M4457" s="26">
        <f>IFERROR(INDEX(Pedidos!$G$2:$G$1801,MATCH(B4457,Pedidos!$A$2:$A$1801,0)),0)</f>
        <v/>
      </c>
      <c r="N4457" s="25">
        <f>IFERROR(INDEX(Produtos!$B$2:$B$71,MATCH(C4457,Produtos!$A$2:$A$71,0)),"")</f>
        <v/>
      </c>
      <c r="O4457" s="25">
        <f>IFERROR(INDEX(Produtos!$C$2:$C$71,MATCH(C4457,Produtos!$A$2:$A$71,0)),"")</f>
        <v/>
      </c>
      <c r="P4457" s="25">
        <f>IFERROR(INDEX(Produtos!$D$2:$D$71,MATCH(C4457,Produtos!$A$2:$A$71,0)),0)</f>
        <v/>
      </c>
      <c r="Q4457" s="25">
        <f>IFERROR(INDEX(Produtos!$E$2:$E$71,MATCH(C4457,Produtos!$A$2:$A$71,0)),0)</f>
        <v/>
      </c>
      <c r="R4457" s="27">
        <f>D4457*Q4457</f>
        <v/>
      </c>
      <c r="S4457" s="27">
        <f>R4457*E4457</f>
        <v/>
      </c>
      <c r="T4457" s="27">
        <f>(R4457-S4457)*M4457</f>
        <v/>
      </c>
      <c r="U4457" s="27">
        <f>R4457-S4457-T4457</f>
        <v/>
      </c>
      <c r="V4457" s="27">
        <f>D4457*P4457</f>
        <v/>
      </c>
      <c r="W4457" s="27">
        <f>U4457-V4457</f>
        <v/>
      </c>
      <c r="X4457" s="28">
        <f>IFERROR(W4457/U4457,0)</f>
        <v/>
      </c>
    </row>
    <row r="4458">
      <c r="A4458" s="21">
        <f>ItensPedido!A4458</f>
        <v/>
      </c>
      <c r="B4458" s="21">
        <f>ItensPedido!B4458</f>
        <v/>
      </c>
      <c r="C4458" s="21">
        <f>ItensPedido!C4458</f>
        <v/>
      </c>
      <c r="D4458" s="21">
        <f>ItensPedido!D4458</f>
        <v/>
      </c>
      <c r="E4458" s="22">
        <f>ItensPedido!E4458</f>
        <v/>
      </c>
      <c r="F4458" s="21">
        <f>IFERROR(INDEX(Pedidos!$B$2:$B$1801,MATCH(B4458,Pedidos!$A$2:$A$1801,0)),0)</f>
        <v/>
      </c>
      <c r="G4458" s="21">
        <f>IF(F4458=0,"",YEAR(F4458))</f>
        <v/>
      </c>
      <c r="H4458" s="21">
        <f>IF(F4458=0,"",MONTH(F4458))</f>
        <v/>
      </c>
      <c r="I4458" s="21">
        <f>IFERROR(INDEX(Pedidos!$E$2:$E$1801,MATCH(B4458,Pedidos!$A$2:$A$1801,0)),"")</f>
        <v/>
      </c>
      <c r="J4458" s="21">
        <f>IFERROR(INDEX(Pedidos!$C$2:$C$1801,MATCH(B4458,Pedidos!$A$2:$A$1801,0)),"")</f>
        <v/>
      </c>
      <c r="K4458" s="21">
        <f>IFERROR(INDEX(Pedidos!$D$2:$D$1801,MATCH(B4458,Pedidos!$A$2:$A$1801,0)),"")</f>
        <v/>
      </c>
      <c r="L4458" s="21">
        <f>IFERROR(INDEX(Pedidos!$F$2:$F$1801,MATCH(B4458,Pedidos!$A$2:$A$1801,0)),"")</f>
        <v/>
      </c>
      <c r="M4458" s="22">
        <f>IFERROR(INDEX(Pedidos!$G$2:$G$1801,MATCH(B4458,Pedidos!$A$2:$A$1801,0)),0)</f>
        <v/>
      </c>
      <c r="N4458" s="21">
        <f>IFERROR(INDEX(Produtos!$B$2:$B$71,MATCH(C4458,Produtos!$A$2:$A$71,0)),"")</f>
        <v/>
      </c>
      <c r="O4458" s="21">
        <f>IFERROR(INDEX(Produtos!$C$2:$C$71,MATCH(C4458,Produtos!$A$2:$A$71,0)),"")</f>
        <v/>
      </c>
      <c r="P4458" s="21">
        <f>IFERROR(INDEX(Produtos!$D$2:$D$71,MATCH(C4458,Produtos!$A$2:$A$71,0)),0)</f>
        <v/>
      </c>
      <c r="Q4458" s="21">
        <f>IFERROR(INDEX(Produtos!$E$2:$E$71,MATCH(C4458,Produtos!$A$2:$A$71,0)),0)</f>
        <v/>
      </c>
      <c r="R4458" s="23">
        <f>D4458*Q4458</f>
        <v/>
      </c>
      <c r="S4458" s="23">
        <f>R4458*E4458</f>
        <v/>
      </c>
      <c r="T4458" s="23">
        <f>(R4458-S4458)*M4458</f>
        <v/>
      </c>
      <c r="U4458" s="23">
        <f>R4458-S4458-T4458</f>
        <v/>
      </c>
      <c r="V4458" s="23">
        <f>D4458*P4458</f>
        <v/>
      </c>
      <c r="W4458" s="23">
        <f>U4458-V4458</f>
        <v/>
      </c>
      <c r="X4458" s="24">
        <f>IFERROR(W4458/U4458,0)</f>
        <v/>
      </c>
    </row>
    <row r="4459">
      <c r="A4459" s="25">
        <f>ItensPedido!A4459</f>
        <v/>
      </c>
      <c r="B4459" s="25">
        <f>ItensPedido!B4459</f>
        <v/>
      </c>
      <c r="C4459" s="25">
        <f>ItensPedido!C4459</f>
        <v/>
      </c>
      <c r="D4459" s="25">
        <f>ItensPedido!D4459</f>
        <v/>
      </c>
      <c r="E4459" s="26">
        <f>ItensPedido!E4459</f>
        <v/>
      </c>
      <c r="F4459" s="25">
        <f>IFERROR(INDEX(Pedidos!$B$2:$B$1801,MATCH(B4459,Pedidos!$A$2:$A$1801,0)),0)</f>
        <v/>
      </c>
      <c r="G4459" s="25">
        <f>IF(F4459=0,"",YEAR(F4459))</f>
        <v/>
      </c>
      <c r="H4459" s="25">
        <f>IF(F4459=0,"",MONTH(F4459))</f>
        <v/>
      </c>
      <c r="I4459" s="25">
        <f>IFERROR(INDEX(Pedidos!$E$2:$E$1801,MATCH(B4459,Pedidos!$A$2:$A$1801,0)),"")</f>
        <v/>
      </c>
      <c r="J4459" s="25">
        <f>IFERROR(INDEX(Pedidos!$C$2:$C$1801,MATCH(B4459,Pedidos!$A$2:$A$1801,0)),"")</f>
        <v/>
      </c>
      <c r="K4459" s="25">
        <f>IFERROR(INDEX(Pedidos!$D$2:$D$1801,MATCH(B4459,Pedidos!$A$2:$A$1801,0)),"")</f>
        <v/>
      </c>
      <c r="L4459" s="25">
        <f>IFERROR(INDEX(Pedidos!$F$2:$F$1801,MATCH(B4459,Pedidos!$A$2:$A$1801,0)),"")</f>
        <v/>
      </c>
      <c r="M4459" s="26">
        <f>IFERROR(INDEX(Pedidos!$G$2:$G$1801,MATCH(B4459,Pedidos!$A$2:$A$1801,0)),0)</f>
        <v/>
      </c>
      <c r="N4459" s="25">
        <f>IFERROR(INDEX(Produtos!$B$2:$B$71,MATCH(C4459,Produtos!$A$2:$A$71,0)),"")</f>
        <v/>
      </c>
      <c r="O4459" s="25">
        <f>IFERROR(INDEX(Produtos!$C$2:$C$71,MATCH(C4459,Produtos!$A$2:$A$71,0)),"")</f>
        <v/>
      </c>
      <c r="P4459" s="25">
        <f>IFERROR(INDEX(Produtos!$D$2:$D$71,MATCH(C4459,Produtos!$A$2:$A$71,0)),0)</f>
        <v/>
      </c>
      <c r="Q4459" s="25">
        <f>IFERROR(INDEX(Produtos!$E$2:$E$71,MATCH(C4459,Produtos!$A$2:$A$71,0)),0)</f>
        <v/>
      </c>
      <c r="R4459" s="27">
        <f>D4459*Q4459</f>
        <v/>
      </c>
      <c r="S4459" s="27">
        <f>R4459*E4459</f>
        <v/>
      </c>
      <c r="T4459" s="27">
        <f>(R4459-S4459)*M4459</f>
        <v/>
      </c>
      <c r="U4459" s="27">
        <f>R4459-S4459-T4459</f>
        <v/>
      </c>
      <c r="V4459" s="27">
        <f>D4459*P4459</f>
        <v/>
      </c>
      <c r="W4459" s="27">
        <f>U4459-V4459</f>
        <v/>
      </c>
      <c r="X4459" s="28">
        <f>IFERROR(W4459/U4459,0)</f>
        <v/>
      </c>
    </row>
    <row r="4460">
      <c r="A4460" s="21">
        <f>ItensPedido!A4460</f>
        <v/>
      </c>
      <c r="B4460" s="21">
        <f>ItensPedido!B4460</f>
        <v/>
      </c>
      <c r="C4460" s="21">
        <f>ItensPedido!C4460</f>
        <v/>
      </c>
      <c r="D4460" s="21">
        <f>ItensPedido!D4460</f>
        <v/>
      </c>
      <c r="E4460" s="22">
        <f>ItensPedido!E4460</f>
        <v/>
      </c>
      <c r="F4460" s="21">
        <f>IFERROR(INDEX(Pedidos!$B$2:$B$1801,MATCH(B4460,Pedidos!$A$2:$A$1801,0)),0)</f>
        <v/>
      </c>
      <c r="G4460" s="21">
        <f>IF(F4460=0,"",YEAR(F4460))</f>
        <v/>
      </c>
      <c r="H4460" s="21">
        <f>IF(F4460=0,"",MONTH(F4460))</f>
        <v/>
      </c>
      <c r="I4460" s="21">
        <f>IFERROR(INDEX(Pedidos!$E$2:$E$1801,MATCH(B4460,Pedidos!$A$2:$A$1801,0)),"")</f>
        <v/>
      </c>
      <c r="J4460" s="21">
        <f>IFERROR(INDEX(Pedidos!$C$2:$C$1801,MATCH(B4460,Pedidos!$A$2:$A$1801,0)),"")</f>
        <v/>
      </c>
      <c r="K4460" s="21">
        <f>IFERROR(INDEX(Pedidos!$D$2:$D$1801,MATCH(B4460,Pedidos!$A$2:$A$1801,0)),"")</f>
        <v/>
      </c>
      <c r="L4460" s="21">
        <f>IFERROR(INDEX(Pedidos!$F$2:$F$1801,MATCH(B4460,Pedidos!$A$2:$A$1801,0)),"")</f>
        <v/>
      </c>
      <c r="M4460" s="22">
        <f>IFERROR(INDEX(Pedidos!$G$2:$G$1801,MATCH(B4460,Pedidos!$A$2:$A$1801,0)),0)</f>
        <v/>
      </c>
      <c r="N4460" s="21">
        <f>IFERROR(INDEX(Produtos!$B$2:$B$71,MATCH(C4460,Produtos!$A$2:$A$71,0)),"")</f>
        <v/>
      </c>
      <c r="O4460" s="21">
        <f>IFERROR(INDEX(Produtos!$C$2:$C$71,MATCH(C4460,Produtos!$A$2:$A$71,0)),"")</f>
        <v/>
      </c>
      <c r="P4460" s="21">
        <f>IFERROR(INDEX(Produtos!$D$2:$D$71,MATCH(C4460,Produtos!$A$2:$A$71,0)),0)</f>
        <v/>
      </c>
      <c r="Q4460" s="21">
        <f>IFERROR(INDEX(Produtos!$E$2:$E$71,MATCH(C4460,Produtos!$A$2:$A$71,0)),0)</f>
        <v/>
      </c>
      <c r="R4460" s="23">
        <f>D4460*Q4460</f>
        <v/>
      </c>
      <c r="S4460" s="23">
        <f>R4460*E4460</f>
        <v/>
      </c>
      <c r="T4460" s="23">
        <f>(R4460-S4460)*M4460</f>
        <v/>
      </c>
      <c r="U4460" s="23">
        <f>R4460-S4460-T4460</f>
        <v/>
      </c>
      <c r="V4460" s="23">
        <f>D4460*P4460</f>
        <v/>
      </c>
      <c r="W4460" s="23">
        <f>U4460-V4460</f>
        <v/>
      </c>
      <c r="X4460" s="24">
        <f>IFERROR(W4460/U4460,0)</f>
        <v/>
      </c>
    </row>
    <row r="4461">
      <c r="A4461" s="25">
        <f>ItensPedido!A4461</f>
        <v/>
      </c>
      <c r="B4461" s="25">
        <f>ItensPedido!B4461</f>
        <v/>
      </c>
      <c r="C4461" s="25">
        <f>ItensPedido!C4461</f>
        <v/>
      </c>
      <c r="D4461" s="25">
        <f>ItensPedido!D4461</f>
        <v/>
      </c>
      <c r="E4461" s="26">
        <f>ItensPedido!E4461</f>
        <v/>
      </c>
      <c r="F4461" s="25">
        <f>IFERROR(INDEX(Pedidos!$B$2:$B$1801,MATCH(B4461,Pedidos!$A$2:$A$1801,0)),0)</f>
        <v/>
      </c>
      <c r="G4461" s="25">
        <f>IF(F4461=0,"",YEAR(F4461))</f>
        <v/>
      </c>
      <c r="H4461" s="25">
        <f>IF(F4461=0,"",MONTH(F4461))</f>
        <v/>
      </c>
      <c r="I4461" s="25">
        <f>IFERROR(INDEX(Pedidos!$E$2:$E$1801,MATCH(B4461,Pedidos!$A$2:$A$1801,0)),"")</f>
        <v/>
      </c>
      <c r="J4461" s="25">
        <f>IFERROR(INDEX(Pedidos!$C$2:$C$1801,MATCH(B4461,Pedidos!$A$2:$A$1801,0)),"")</f>
        <v/>
      </c>
      <c r="K4461" s="25">
        <f>IFERROR(INDEX(Pedidos!$D$2:$D$1801,MATCH(B4461,Pedidos!$A$2:$A$1801,0)),"")</f>
        <v/>
      </c>
      <c r="L4461" s="25">
        <f>IFERROR(INDEX(Pedidos!$F$2:$F$1801,MATCH(B4461,Pedidos!$A$2:$A$1801,0)),"")</f>
        <v/>
      </c>
      <c r="M4461" s="26">
        <f>IFERROR(INDEX(Pedidos!$G$2:$G$1801,MATCH(B4461,Pedidos!$A$2:$A$1801,0)),0)</f>
        <v/>
      </c>
      <c r="N4461" s="25">
        <f>IFERROR(INDEX(Produtos!$B$2:$B$71,MATCH(C4461,Produtos!$A$2:$A$71,0)),"")</f>
        <v/>
      </c>
      <c r="O4461" s="25">
        <f>IFERROR(INDEX(Produtos!$C$2:$C$71,MATCH(C4461,Produtos!$A$2:$A$71,0)),"")</f>
        <v/>
      </c>
      <c r="P4461" s="25">
        <f>IFERROR(INDEX(Produtos!$D$2:$D$71,MATCH(C4461,Produtos!$A$2:$A$71,0)),0)</f>
        <v/>
      </c>
      <c r="Q4461" s="25">
        <f>IFERROR(INDEX(Produtos!$E$2:$E$71,MATCH(C4461,Produtos!$A$2:$A$71,0)),0)</f>
        <v/>
      </c>
      <c r="R4461" s="27">
        <f>D4461*Q4461</f>
        <v/>
      </c>
      <c r="S4461" s="27">
        <f>R4461*E4461</f>
        <v/>
      </c>
      <c r="T4461" s="27">
        <f>(R4461-S4461)*M4461</f>
        <v/>
      </c>
      <c r="U4461" s="27">
        <f>R4461-S4461-T4461</f>
        <v/>
      </c>
      <c r="V4461" s="27">
        <f>D4461*P4461</f>
        <v/>
      </c>
      <c r="W4461" s="27">
        <f>U4461-V4461</f>
        <v/>
      </c>
      <c r="X4461" s="28">
        <f>IFERROR(W4461/U4461,0)</f>
        <v/>
      </c>
    </row>
    <row r="4462">
      <c r="A4462" s="21">
        <f>ItensPedido!A4462</f>
        <v/>
      </c>
      <c r="B4462" s="21">
        <f>ItensPedido!B4462</f>
        <v/>
      </c>
      <c r="C4462" s="21">
        <f>ItensPedido!C4462</f>
        <v/>
      </c>
      <c r="D4462" s="21">
        <f>ItensPedido!D4462</f>
        <v/>
      </c>
      <c r="E4462" s="22">
        <f>ItensPedido!E4462</f>
        <v/>
      </c>
      <c r="F4462" s="21">
        <f>IFERROR(INDEX(Pedidos!$B$2:$B$1801,MATCH(B4462,Pedidos!$A$2:$A$1801,0)),0)</f>
        <v/>
      </c>
      <c r="G4462" s="21">
        <f>IF(F4462=0,"",YEAR(F4462))</f>
        <v/>
      </c>
      <c r="H4462" s="21">
        <f>IF(F4462=0,"",MONTH(F4462))</f>
        <v/>
      </c>
      <c r="I4462" s="21">
        <f>IFERROR(INDEX(Pedidos!$E$2:$E$1801,MATCH(B4462,Pedidos!$A$2:$A$1801,0)),"")</f>
        <v/>
      </c>
      <c r="J4462" s="21">
        <f>IFERROR(INDEX(Pedidos!$C$2:$C$1801,MATCH(B4462,Pedidos!$A$2:$A$1801,0)),"")</f>
        <v/>
      </c>
      <c r="K4462" s="21">
        <f>IFERROR(INDEX(Pedidos!$D$2:$D$1801,MATCH(B4462,Pedidos!$A$2:$A$1801,0)),"")</f>
        <v/>
      </c>
      <c r="L4462" s="21">
        <f>IFERROR(INDEX(Pedidos!$F$2:$F$1801,MATCH(B4462,Pedidos!$A$2:$A$1801,0)),"")</f>
        <v/>
      </c>
      <c r="M4462" s="22">
        <f>IFERROR(INDEX(Pedidos!$G$2:$G$1801,MATCH(B4462,Pedidos!$A$2:$A$1801,0)),0)</f>
        <v/>
      </c>
      <c r="N4462" s="21">
        <f>IFERROR(INDEX(Produtos!$B$2:$B$71,MATCH(C4462,Produtos!$A$2:$A$71,0)),"")</f>
        <v/>
      </c>
      <c r="O4462" s="21">
        <f>IFERROR(INDEX(Produtos!$C$2:$C$71,MATCH(C4462,Produtos!$A$2:$A$71,0)),"")</f>
        <v/>
      </c>
      <c r="P4462" s="21">
        <f>IFERROR(INDEX(Produtos!$D$2:$D$71,MATCH(C4462,Produtos!$A$2:$A$71,0)),0)</f>
        <v/>
      </c>
      <c r="Q4462" s="21">
        <f>IFERROR(INDEX(Produtos!$E$2:$E$71,MATCH(C4462,Produtos!$A$2:$A$71,0)),0)</f>
        <v/>
      </c>
      <c r="R4462" s="23">
        <f>D4462*Q4462</f>
        <v/>
      </c>
      <c r="S4462" s="23">
        <f>R4462*E4462</f>
        <v/>
      </c>
      <c r="T4462" s="23">
        <f>(R4462-S4462)*M4462</f>
        <v/>
      </c>
      <c r="U4462" s="23">
        <f>R4462-S4462-T4462</f>
        <v/>
      </c>
      <c r="V4462" s="23">
        <f>D4462*P4462</f>
        <v/>
      </c>
      <c r="W4462" s="23">
        <f>U4462-V4462</f>
        <v/>
      </c>
      <c r="X4462" s="24">
        <f>IFERROR(W4462/U4462,0)</f>
        <v/>
      </c>
    </row>
    <row r="4463">
      <c r="A4463" s="25">
        <f>ItensPedido!A4463</f>
        <v/>
      </c>
      <c r="B4463" s="25">
        <f>ItensPedido!B4463</f>
        <v/>
      </c>
      <c r="C4463" s="25">
        <f>ItensPedido!C4463</f>
        <v/>
      </c>
      <c r="D4463" s="25">
        <f>ItensPedido!D4463</f>
        <v/>
      </c>
      <c r="E4463" s="26">
        <f>ItensPedido!E4463</f>
        <v/>
      </c>
      <c r="F4463" s="25">
        <f>IFERROR(INDEX(Pedidos!$B$2:$B$1801,MATCH(B4463,Pedidos!$A$2:$A$1801,0)),0)</f>
        <v/>
      </c>
      <c r="G4463" s="25">
        <f>IF(F4463=0,"",YEAR(F4463))</f>
        <v/>
      </c>
      <c r="H4463" s="25">
        <f>IF(F4463=0,"",MONTH(F4463))</f>
        <v/>
      </c>
      <c r="I4463" s="25">
        <f>IFERROR(INDEX(Pedidos!$E$2:$E$1801,MATCH(B4463,Pedidos!$A$2:$A$1801,0)),"")</f>
        <v/>
      </c>
      <c r="J4463" s="25">
        <f>IFERROR(INDEX(Pedidos!$C$2:$C$1801,MATCH(B4463,Pedidos!$A$2:$A$1801,0)),"")</f>
        <v/>
      </c>
      <c r="K4463" s="25">
        <f>IFERROR(INDEX(Pedidos!$D$2:$D$1801,MATCH(B4463,Pedidos!$A$2:$A$1801,0)),"")</f>
        <v/>
      </c>
      <c r="L4463" s="25">
        <f>IFERROR(INDEX(Pedidos!$F$2:$F$1801,MATCH(B4463,Pedidos!$A$2:$A$1801,0)),"")</f>
        <v/>
      </c>
      <c r="M4463" s="26">
        <f>IFERROR(INDEX(Pedidos!$G$2:$G$1801,MATCH(B4463,Pedidos!$A$2:$A$1801,0)),0)</f>
        <v/>
      </c>
      <c r="N4463" s="25">
        <f>IFERROR(INDEX(Produtos!$B$2:$B$71,MATCH(C4463,Produtos!$A$2:$A$71,0)),"")</f>
        <v/>
      </c>
      <c r="O4463" s="25">
        <f>IFERROR(INDEX(Produtos!$C$2:$C$71,MATCH(C4463,Produtos!$A$2:$A$71,0)),"")</f>
        <v/>
      </c>
      <c r="P4463" s="25">
        <f>IFERROR(INDEX(Produtos!$D$2:$D$71,MATCH(C4463,Produtos!$A$2:$A$71,0)),0)</f>
        <v/>
      </c>
      <c r="Q4463" s="25">
        <f>IFERROR(INDEX(Produtos!$E$2:$E$71,MATCH(C4463,Produtos!$A$2:$A$71,0)),0)</f>
        <v/>
      </c>
      <c r="R4463" s="27">
        <f>D4463*Q4463</f>
        <v/>
      </c>
      <c r="S4463" s="27">
        <f>R4463*E4463</f>
        <v/>
      </c>
      <c r="T4463" s="27">
        <f>(R4463-S4463)*M4463</f>
        <v/>
      </c>
      <c r="U4463" s="27">
        <f>R4463-S4463-T4463</f>
        <v/>
      </c>
      <c r="V4463" s="27">
        <f>D4463*P4463</f>
        <v/>
      </c>
      <c r="W4463" s="27">
        <f>U4463-V4463</f>
        <v/>
      </c>
      <c r="X4463" s="28">
        <f>IFERROR(W4463/U4463,0)</f>
        <v/>
      </c>
    </row>
    <row r="4464">
      <c r="A4464" s="21">
        <f>ItensPedido!A4464</f>
        <v/>
      </c>
      <c r="B4464" s="21">
        <f>ItensPedido!B4464</f>
        <v/>
      </c>
      <c r="C4464" s="21">
        <f>ItensPedido!C4464</f>
        <v/>
      </c>
      <c r="D4464" s="21">
        <f>ItensPedido!D4464</f>
        <v/>
      </c>
      <c r="E4464" s="22">
        <f>ItensPedido!E4464</f>
        <v/>
      </c>
      <c r="F4464" s="21">
        <f>IFERROR(INDEX(Pedidos!$B$2:$B$1801,MATCH(B4464,Pedidos!$A$2:$A$1801,0)),0)</f>
        <v/>
      </c>
      <c r="G4464" s="21">
        <f>IF(F4464=0,"",YEAR(F4464))</f>
        <v/>
      </c>
      <c r="H4464" s="21">
        <f>IF(F4464=0,"",MONTH(F4464))</f>
        <v/>
      </c>
      <c r="I4464" s="21">
        <f>IFERROR(INDEX(Pedidos!$E$2:$E$1801,MATCH(B4464,Pedidos!$A$2:$A$1801,0)),"")</f>
        <v/>
      </c>
      <c r="J4464" s="21">
        <f>IFERROR(INDEX(Pedidos!$C$2:$C$1801,MATCH(B4464,Pedidos!$A$2:$A$1801,0)),"")</f>
        <v/>
      </c>
      <c r="K4464" s="21">
        <f>IFERROR(INDEX(Pedidos!$D$2:$D$1801,MATCH(B4464,Pedidos!$A$2:$A$1801,0)),"")</f>
        <v/>
      </c>
      <c r="L4464" s="21">
        <f>IFERROR(INDEX(Pedidos!$F$2:$F$1801,MATCH(B4464,Pedidos!$A$2:$A$1801,0)),"")</f>
        <v/>
      </c>
      <c r="M4464" s="22">
        <f>IFERROR(INDEX(Pedidos!$G$2:$G$1801,MATCH(B4464,Pedidos!$A$2:$A$1801,0)),0)</f>
        <v/>
      </c>
      <c r="N4464" s="21">
        <f>IFERROR(INDEX(Produtos!$B$2:$B$71,MATCH(C4464,Produtos!$A$2:$A$71,0)),"")</f>
        <v/>
      </c>
      <c r="O4464" s="21">
        <f>IFERROR(INDEX(Produtos!$C$2:$C$71,MATCH(C4464,Produtos!$A$2:$A$71,0)),"")</f>
        <v/>
      </c>
      <c r="P4464" s="21">
        <f>IFERROR(INDEX(Produtos!$D$2:$D$71,MATCH(C4464,Produtos!$A$2:$A$71,0)),0)</f>
        <v/>
      </c>
      <c r="Q4464" s="21">
        <f>IFERROR(INDEX(Produtos!$E$2:$E$71,MATCH(C4464,Produtos!$A$2:$A$71,0)),0)</f>
        <v/>
      </c>
      <c r="R4464" s="23">
        <f>D4464*Q4464</f>
        <v/>
      </c>
      <c r="S4464" s="23">
        <f>R4464*E4464</f>
        <v/>
      </c>
      <c r="T4464" s="23">
        <f>(R4464-S4464)*M4464</f>
        <v/>
      </c>
      <c r="U4464" s="23">
        <f>R4464-S4464-T4464</f>
        <v/>
      </c>
      <c r="V4464" s="23">
        <f>D4464*P4464</f>
        <v/>
      </c>
      <c r="W4464" s="23">
        <f>U4464-V4464</f>
        <v/>
      </c>
      <c r="X4464" s="24">
        <f>IFERROR(W4464/U4464,0)</f>
        <v/>
      </c>
    </row>
    <row r="4465">
      <c r="A4465" s="25">
        <f>ItensPedido!A4465</f>
        <v/>
      </c>
      <c r="B4465" s="25">
        <f>ItensPedido!B4465</f>
        <v/>
      </c>
      <c r="C4465" s="25">
        <f>ItensPedido!C4465</f>
        <v/>
      </c>
      <c r="D4465" s="25">
        <f>ItensPedido!D4465</f>
        <v/>
      </c>
      <c r="E4465" s="26">
        <f>ItensPedido!E4465</f>
        <v/>
      </c>
      <c r="F4465" s="25">
        <f>IFERROR(INDEX(Pedidos!$B$2:$B$1801,MATCH(B4465,Pedidos!$A$2:$A$1801,0)),0)</f>
        <v/>
      </c>
      <c r="G4465" s="25">
        <f>IF(F4465=0,"",YEAR(F4465))</f>
        <v/>
      </c>
      <c r="H4465" s="25">
        <f>IF(F4465=0,"",MONTH(F4465))</f>
        <v/>
      </c>
      <c r="I4465" s="25">
        <f>IFERROR(INDEX(Pedidos!$E$2:$E$1801,MATCH(B4465,Pedidos!$A$2:$A$1801,0)),"")</f>
        <v/>
      </c>
      <c r="J4465" s="25">
        <f>IFERROR(INDEX(Pedidos!$C$2:$C$1801,MATCH(B4465,Pedidos!$A$2:$A$1801,0)),"")</f>
        <v/>
      </c>
      <c r="K4465" s="25">
        <f>IFERROR(INDEX(Pedidos!$D$2:$D$1801,MATCH(B4465,Pedidos!$A$2:$A$1801,0)),"")</f>
        <v/>
      </c>
      <c r="L4465" s="25">
        <f>IFERROR(INDEX(Pedidos!$F$2:$F$1801,MATCH(B4465,Pedidos!$A$2:$A$1801,0)),"")</f>
        <v/>
      </c>
      <c r="M4465" s="26">
        <f>IFERROR(INDEX(Pedidos!$G$2:$G$1801,MATCH(B4465,Pedidos!$A$2:$A$1801,0)),0)</f>
        <v/>
      </c>
      <c r="N4465" s="25">
        <f>IFERROR(INDEX(Produtos!$B$2:$B$71,MATCH(C4465,Produtos!$A$2:$A$71,0)),"")</f>
        <v/>
      </c>
      <c r="O4465" s="25">
        <f>IFERROR(INDEX(Produtos!$C$2:$C$71,MATCH(C4465,Produtos!$A$2:$A$71,0)),"")</f>
        <v/>
      </c>
      <c r="P4465" s="25">
        <f>IFERROR(INDEX(Produtos!$D$2:$D$71,MATCH(C4465,Produtos!$A$2:$A$71,0)),0)</f>
        <v/>
      </c>
      <c r="Q4465" s="25">
        <f>IFERROR(INDEX(Produtos!$E$2:$E$71,MATCH(C4465,Produtos!$A$2:$A$71,0)),0)</f>
        <v/>
      </c>
      <c r="R4465" s="27">
        <f>D4465*Q4465</f>
        <v/>
      </c>
      <c r="S4465" s="27">
        <f>R4465*E4465</f>
        <v/>
      </c>
      <c r="T4465" s="27">
        <f>(R4465-S4465)*M4465</f>
        <v/>
      </c>
      <c r="U4465" s="27">
        <f>R4465-S4465-T4465</f>
        <v/>
      </c>
      <c r="V4465" s="27">
        <f>D4465*P4465</f>
        <v/>
      </c>
      <c r="W4465" s="27">
        <f>U4465-V4465</f>
        <v/>
      </c>
      <c r="X4465" s="28">
        <f>IFERROR(W4465/U4465,0)</f>
        <v/>
      </c>
    </row>
    <row r="4466">
      <c r="A4466" s="21">
        <f>ItensPedido!A4466</f>
        <v/>
      </c>
      <c r="B4466" s="21">
        <f>ItensPedido!B4466</f>
        <v/>
      </c>
      <c r="C4466" s="21">
        <f>ItensPedido!C4466</f>
        <v/>
      </c>
      <c r="D4466" s="21">
        <f>ItensPedido!D4466</f>
        <v/>
      </c>
      <c r="E4466" s="22">
        <f>ItensPedido!E4466</f>
        <v/>
      </c>
      <c r="F4466" s="21">
        <f>IFERROR(INDEX(Pedidos!$B$2:$B$1801,MATCH(B4466,Pedidos!$A$2:$A$1801,0)),0)</f>
        <v/>
      </c>
      <c r="G4466" s="21">
        <f>IF(F4466=0,"",YEAR(F4466))</f>
        <v/>
      </c>
      <c r="H4466" s="21">
        <f>IF(F4466=0,"",MONTH(F4466))</f>
        <v/>
      </c>
      <c r="I4466" s="21">
        <f>IFERROR(INDEX(Pedidos!$E$2:$E$1801,MATCH(B4466,Pedidos!$A$2:$A$1801,0)),"")</f>
        <v/>
      </c>
      <c r="J4466" s="21">
        <f>IFERROR(INDEX(Pedidos!$C$2:$C$1801,MATCH(B4466,Pedidos!$A$2:$A$1801,0)),"")</f>
        <v/>
      </c>
      <c r="K4466" s="21">
        <f>IFERROR(INDEX(Pedidos!$D$2:$D$1801,MATCH(B4466,Pedidos!$A$2:$A$1801,0)),"")</f>
        <v/>
      </c>
      <c r="L4466" s="21">
        <f>IFERROR(INDEX(Pedidos!$F$2:$F$1801,MATCH(B4466,Pedidos!$A$2:$A$1801,0)),"")</f>
        <v/>
      </c>
      <c r="M4466" s="22">
        <f>IFERROR(INDEX(Pedidos!$G$2:$G$1801,MATCH(B4466,Pedidos!$A$2:$A$1801,0)),0)</f>
        <v/>
      </c>
      <c r="N4466" s="21">
        <f>IFERROR(INDEX(Produtos!$B$2:$B$71,MATCH(C4466,Produtos!$A$2:$A$71,0)),"")</f>
        <v/>
      </c>
      <c r="O4466" s="21">
        <f>IFERROR(INDEX(Produtos!$C$2:$C$71,MATCH(C4466,Produtos!$A$2:$A$71,0)),"")</f>
        <v/>
      </c>
      <c r="P4466" s="21">
        <f>IFERROR(INDEX(Produtos!$D$2:$D$71,MATCH(C4466,Produtos!$A$2:$A$71,0)),0)</f>
        <v/>
      </c>
      <c r="Q4466" s="21">
        <f>IFERROR(INDEX(Produtos!$E$2:$E$71,MATCH(C4466,Produtos!$A$2:$A$71,0)),0)</f>
        <v/>
      </c>
      <c r="R4466" s="23">
        <f>D4466*Q4466</f>
        <v/>
      </c>
      <c r="S4466" s="23">
        <f>R4466*E4466</f>
        <v/>
      </c>
      <c r="T4466" s="23">
        <f>(R4466-S4466)*M4466</f>
        <v/>
      </c>
      <c r="U4466" s="23">
        <f>R4466-S4466-T4466</f>
        <v/>
      </c>
      <c r="V4466" s="23">
        <f>D4466*P4466</f>
        <v/>
      </c>
      <c r="W4466" s="23">
        <f>U4466-V4466</f>
        <v/>
      </c>
      <c r="X4466" s="24">
        <f>IFERROR(W4466/U4466,0)</f>
        <v/>
      </c>
    </row>
    <row r="4467">
      <c r="A4467" s="25">
        <f>ItensPedido!A4467</f>
        <v/>
      </c>
      <c r="B4467" s="25">
        <f>ItensPedido!B4467</f>
        <v/>
      </c>
      <c r="C4467" s="25">
        <f>ItensPedido!C4467</f>
        <v/>
      </c>
      <c r="D4467" s="25">
        <f>ItensPedido!D4467</f>
        <v/>
      </c>
      <c r="E4467" s="26">
        <f>ItensPedido!E4467</f>
        <v/>
      </c>
      <c r="F4467" s="25">
        <f>IFERROR(INDEX(Pedidos!$B$2:$B$1801,MATCH(B4467,Pedidos!$A$2:$A$1801,0)),0)</f>
        <v/>
      </c>
      <c r="G4467" s="25">
        <f>IF(F4467=0,"",YEAR(F4467))</f>
        <v/>
      </c>
      <c r="H4467" s="25">
        <f>IF(F4467=0,"",MONTH(F4467))</f>
        <v/>
      </c>
      <c r="I4467" s="25">
        <f>IFERROR(INDEX(Pedidos!$E$2:$E$1801,MATCH(B4467,Pedidos!$A$2:$A$1801,0)),"")</f>
        <v/>
      </c>
      <c r="J4467" s="25">
        <f>IFERROR(INDEX(Pedidos!$C$2:$C$1801,MATCH(B4467,Pedidos!$A$2:$A$1801,0)),"")</f>
        <v/>
      </c>
      <c r="K4467" s="25">
        <f>IFERROR(INDEX(Pedidos!$D$2:$D$1801,MATCH(B4467,Pedidos!$A$2:$A$1801,0)),"")</f>
        <v/>
      </c>
      <c r="L4467" s="25">
        <f>IFERROR(INDEX(Pedidos!$F$2:$F$1801,MATCH(B4467,Pedidos!$A$2:$A$1801,0)),"")</f>
        <v/>
      </c>
      <c r="M4467" s="26">
        <f>IFERROR(INDEX(Pedidos!$G$2:$G$1801,MATCH(B4467,Pedidos!$A$2:$A$1801,0)),0)</f>
        <v/>
      </c>
      <c r="N4467" s="25">
        <f>IFERROR(INDEX(Produtos!$B$2:$B$71,MATCH(C4467,Produtos!$A$2:$A$71,0)),"")</f>
        <v/>
      </c>
      <c r="O4467" s="25">
        <f>IFERROR(INDEX(Produtos!$C$2:$C$71,MATCH(C4467,Produtos!$A$2:$A$71,0)),"")</f>
        <v/>
      </c>
      <c r="P4467" s="25">
        <f>IFERROR(INDEX(Produtos!$D$2:$D$71,MATCH(C4467,Produtos!$A$2:$A$71,0)),0)</f>
        <v/>
      </c>
      <c r="Q4467" s="25">
        <f>IFERROR(INDEX(Produtos!$E$2:$E$71,MATCH(C4467,Produtos!$A$2:$A$71,0)),0)</f>
        <v/>
      </c>
      <c r="R4467" s="27">
        <f>D4467*Q4467</f>
        <v/>
      </c>
      <c r="S4467" s="27">
        <f>R4467*E4467</f>
        <v/>
      </c>
      <c r="T4467" s="27">
        <f>(R4467-S4467)*M4467</f>
        <v/>
      </c>
      <c r="U4467" s="27">
        <f>R4467-S4467-T4467</f>
        <v/>
      </c>
      <c r="V4467" s="27">
        <f>D4467*P4467</f>
        <v/>
      </c>
      <c r="W4467" s="27">
        <f>U4467-V4467</f>
        <v/>
      </c>
      <c r="X4467" s="28">
        <f>IFERROR(W4467/U4467,0)</f>
        <v/>
      </c>
    </row>
    <row r="4468">
      <c r="A4468" s="21">
        <f>ItensPedido!A4468</f>
        <v/>
      </c>
      <c r="B4468" s="21">
        <f>ItensPedido!B4468</f>
        <v/>
      </c>
      <c r="C4468" s="21">
        <f>ItensPedido!C4468</f>
        <v/>
      </c>
      <c r="D4468" s="21">
        <f>ItensPedido!D4468</f>
        <v/>
      </c>
      <c r="E4468" s="22">
        <f>ItensPedido!E4468</f>
        <v/>
      </c>
      <c r="F4468" s="21">
        <f>IFERROR(INDEX(Pedidos!$B$2:$B$1801,MATCH(B4468,Pedidos!$A$2:$A$1801,0)),0)</f>
        <v/>
      </c>
      <c r="G4468" s="21">
        <f>IF(F4468=0,"",YEAR(F4468))</f>
        <v/>
      </c>
      <c r="H4468" s="21">
        <f>IF(F4468=0,"",MONTH(F4468))</f>
        <v/>
      </c>
      <c r="I4468" s="21">
        <f>IFERROR(INDEX(Pedidos!$E$2:$E$1801,MATCH(B4468,Pedidos!$A$2:$A$1801,0)),"")</f>
        <v/>
      </c>
      <c r="J4468" s="21">
        <f>IFERROR(INDEX(Pedidos!$C$2:$C$1801,MATCH(B4468,Pedidos!$A$2:$A$1801,0)),"")</f>
        <v/>
      </c>
      <c r="K4468" s="21">
        <f>IFERROR(INDEX(Pedidos!$D$2:$D$1801,MATCH(B4468,Pedidos!$A$2:$A$1801,0)),"")</f>
        <v/>
      </c>
      <c r="L4468" s="21">
        <f>IFERROR(INDEX(Pedidos!$F$2:$F$1801,MATCH(B4468,Pedidos!$A$2:$A$1801,0)),"")</f>
        <v/>
      </c>
      <c r="M4468" s="22">
        <f>IFERROR(INDEX(Pedidos!$G$2:$G$1801,MATCH(B4468,Pedidos!$A$2:$A$1801,0)),0)</f>
        <v/>
      </c>
      <c r="N4468" s="21">
        <f>IFERROR(INDEX(Produtos!$B$2:$B$71,MATCH(C4468,Produtos!$A$2:$A$71,0)),"")</f>
        <v/>
      </c>
      <c r="O4468" s="21">
        <f>IFERROR(INDEX(Produtos!$C$2:$C$71,MATCH(C4468,Produtos!$A$2:$A$71,0)),"")</f>
        <v/>
      </c>
      <c r="P4468" s="21">
        <f>IFERROR(INDEX(Produtos!$D$2:$D$71,MATCH(C4468,Produtos!$A$2:$A$71,0)),0)</f>
        <v/>
      </c>
      <c r="Q4468" s="21">
        <f>IFERROR(INDEX(Produtos!$E$2:$E$71,MATCH(C4468,Produtos!$A$2:$A$71,0)),0)</f>
        <v/>
      </c>
      <c r="R4468" s="23">
        <f>D4468*Q4468</f>
        <v/>
      </c>
      <c r="S4468" s="23">
        <f>R4468*E4468</f>
        <v/>
      </c>
      <c r="T4468" s="23">
        <f>(R4468-S4468)*M4468</f>
        <v/>
      </c>
      <c r="U4468" s="23">
        <f>R4468-S4468-T4468</f>
        <v/>
      </c>
      <c r="V4468" s="23">
        <f>D4468*P4468</f>
        <v/>
      </c>
      <c r="W4468" s="23">
        <f>U4468-V4468</f>
        <v/>
      </c>
      <c r="X4468" s="24">
        <f>IFERROR(W4468/U4468,0)</f>
        <v/>
      </c>
    </row>
    <row r="4469">
      <c r="A4469" s="25">
        <f>ItensPedido!A4469</f>
        <v/>
      </c>
      <c r="B4469" s="25">
        <f>ItensPedido!B4469</f>
        <v/>
      </c>
      <c r="C4469" s="25">
        <f>ItensPedido!C4469</f>
        <v/>
      </c>
      <c r="D4469" s="25">
        <f>ItensPedido!D4469</f>
        <v/>
      </c>
      <c r="E4469" s="26">
        <f>ItensPedido!E4469</f>
        <v/>
      </c>
      <c r="F4469" s="25">
        <f>IFERROR(INDEX(Pedidos!$B$2:$B$1801,MATCH(B4469,Pedidos!$A$2:$A$1801,0)),0)</f>
        <v/>
      </c>
      <c r="G4469" s="25">
        <f>IF(F4469=0,"",YEAR(F4469))</f>
        <v/>
      </c>
      <c r="H4469" s="25">
        <f>IF(F4469=0,"",MONTH(F4469))</f>
        <v/>
      </c>
      <c r="I4469" s="25">
        <f>IFERROR(INDEX(Pedidos!$E$2:$E$1801,MATCH(B4469,Pedidos!$A$2:$A$1801,0)),"")</f>
        <v/>
      </c>
      <c r="J4469" s="25">
        <f>IFERROR(INDEX(Pedidos!$C$2:$C$1801,MATCH(B4469,Pedidos!$A$2:$A$1801,0)),"")</f>
        <v/>
      </c>
      <c r="K4469" s="25">
        <f>IFERROR(INDEX(Pedidos!$D$2:$D$1801,MATCH(B4469,Pedidos!$A$2:$A$1801,0)),"")</f>
        <v/>
      </c>
      <c r="L4469" s="25">
        <f>IFERROR(INDEX(Pedidos!$F$2:$F$1801,MATCH(B4469,Pedidos!$A$2:$A$1801,0)),"")</f>
        <v/>
      </c>
      <c r="M4469" s="26">
        <f>IFERROR(INDEX(Pedidos!$G$2:$G$1801,MATCH(B4469,Pedidos!$A$2:$A$1801,0)),0)</f>
        <v/>
      </c>
      <c r="N4469" s="25">
        <f>IFERROR(INDEX(Produtos!$B$2:$B$71,MATCH(C4469,Produtos!$A$2:$A$71,0)),"")</f>
        <v/>
      </c>
      <c r="O4469" s="25">
        <f>IFERROR(INDEX(Produtos!$C$2:$C$71,MATCH(C4469,Produtos!$A$2:$A$71,0)),"")</f>
        <v/>
      </c>
      <c r="P4469" s="25">
        <f>IFERROR(INDEX(Produtos!$D$2:$D$71,MATCH(C4469,Produtos!$A$2:$A$71,0)),0)</f>
        <v/>
      </c>
      <c r="Q4469" s="25">
        <f>IFERROR(INDEX(Produtos!$E$2:$E$71,MATCH(C4469,Produtos!$A$2:$A$71,0)),0)</f>
        <v/>
      </c>
      <c r="R4469" s="27">
        <f>D4469*Q4469</f>
        <v/>
      </c>
      <c r="S4469" s="27">
        <f>R4469*E4469</f>
        <v/>
      </c>
      <c r="T4469" s="27">
        <f>(R4469-S4469)*M4469</f>
        <v/>
      </c>
      <c r="U4469" s="27">
        <f>R4469-S4469-T4469</f>
        <v/>
      </c>
      <c r="V4469" s="27">
        <f>D4469*P4469</f>
        <v/>
      </c>
      <c r="W4469" s="27">
        <f>U4469-V4469</f>
        <v/>
      </c>
      <c r="X4469" s="28">
        <f>IFERROR(W4469/U4469,0)</f>
        <v/>
      </c>
    </row>
    <row r="4470">
      <c r="A4470" s="21">
        <f>ItensPedido!A4470</f>
        <v/>
      </c>
      <c r="B4470" s="21">
        <f>ItensPedido!B4470</f>
        <v/>
      </c>
      <c r="C4470" s="21">
        <f>ItensPedido!C4470</f>
        <v/>
      </c>
      <c r="D4470" s="21">
        <f>ItensPedido!D4470</f>
        <v/>
      </c>
      <c r="E4470" s="22">
        <f>ItensPedido!E4470</f>
        <v/>
      </c>
      <c r="F4470" s="21">
        <f>IFERROR(INDEX(Pedidos!$B$2:$B$1801,MATCH(B4470,Pedidos!$A$2:$A$1801,0)),0)</f>
        <v/>
      </c>
      <c r="G4470" s="21">
        <f>IF(F4470=0,"",YEAR(F4470))</f>
        <v/>
      </c>
      <c r="H4470" s="21">
        <f>IF(F4470=0,"",MONTH(F4470))</f>
        <v/>
      </c>
      <c r="I4470" s="21">
        <f>IFERROR(INDEX(Pedidos!$E$2:$E$1801,MATCH(B4470,Pedidos!$A$2:$A$1801,0)),"")</f>
        <v/>
      </c>
      <c r="J4470" s="21">
        <f>IFERROR(INDEX(Pedidos!$C$2:$C$1801,MATCH(B4470,Pedidos!$A$2:$A$1801,0)),"")</f>
        <v/>
      </c>
      <c r="K4470" s="21">
        <f>IFERROR(INDEX(Pedidos!$D$2:$D$1801,MATCH(B4470,Pedidos!$A$2:$A$1801,0)),"")</f>
        <v/>
      </c>
      <c r="L4470" s="21">
        <f>IFERROR(INDEX(Pedidos!$F$2:$F$1801,MATCH(B4470,Pedidos!$A$2:$A$1801,0)),"")</f>
        <v/>
      </c>
      <c r="M4470" s="22">
        <f>IFERROR(INDEX(Pedidos!$G$2:$G$1801,MATCH(B4470,Pedidos!$A$2:$A$1801,0)),0)</f>
        <v/>
      </c>
      <c r="N4470" s="21">
        <f>IFERROR(INDEX(Produtos!$B$2:$B$71,MATCH(C4470,Produtos!$A$2:$A$71,0)),"")</f>
        <v/>
      </c>
      <c r="O4470" s="21">
        <f>IFERROR(INDEX(Produtos!$C$2:$C$71,MATCH(C4470,Produtos!$A$2:$A$71,0)),"")</f>
        <v/>
      </c>
      <c r="P4470" s="21">
        <f>IFERROR(INDEX(Produtos!$D$2:$D$71,MATCH(C4470,Produtos!$A$2:$A$71,0)),0)</f>
        <v/>
      </c>
      <c r="Q4470" s="21">
        <f>IFERROR(INDEX(Produtos!$E$2:$E$71,MATCH(C4470,Produtos!$A$2:$A$71,0)),0)</f>
        <v/>
      </c>
      <c r="R4470" s="23">
        <f>D4470*Q4470</f>
        <v/>
      </c>
      <c r="S4470" s="23">
        <f>R4470*E4470</f>
        <v/>
      </c>
      <c r="T4470" s="23">
        <f>(R4470-S4470)*M4470</f>
        <v/>
      </c>
      <c r="U4470" s="23">
        <f>R4470-S4470-T4470</f>
        <v/>
      </c>
      <c r="V4470" s="23">
        <f>D4470*P4470</f>
        <v/>
      </c>
      <c r="W4470" s="23">
        <f>U4470-V4470</f>
        <v/>
      </c>
      <c r="X4470" s="24">
        <f>IFERROR(W4470/U4470,0)</f>
        <v/>
      </c>
    </row>
    <row r="4471">
      <c r="A4471" s="25">
        <f>ItensPedido!A4471</f>
        <v/>
      </c>
      <c r="B4471" s="25">
        <f>ItensPedido!B4471</f>
        <v/>
      </c>
      <c r="C4471" s="25">
        <f>ItensPedido!C4471</f>
        <v/>
      </c>
      <c r="D4471" s="25">
        <f>ItensPedido!D4471</f>
        <v/>
      </c>
      <c r="E4471" s="26">
        <f>ItensPedido!E4471</f>
        <v/>
      </c>
      <c r="F4471" s="25">
        <f>IFERROR(INDEX(Pedidos!$B$2:$B$1801,MATCH(B4471,Pedidos!$A$2:$A$1801,0)),0)</f>
        <v/>
      </c>
      <c r="G4471" s="25">
        <f>IF(F4471=0,"",YEAR(F4471))</f>
        <v/>
      </c>
      <c r="H4471" s="25">
        <f>IF(F4471=0,"",MONTH(F4471))</f>
        <v/>
      </c>
      <c r="I4471" s="25">
        <f>IFERROR(INDEX(Pedidos!$E$2:$E$1801,MATCH(B4471,Pedidos!$A$2:$A$1801,0)),"")</f>
        <v/>
      </c>
      <c r="J4471" s="25">
        <f>IFERROR(INDEX(Pedidos!$C$2:$C$1801,MATCH(B4471,Pedidos!$A$2:$A$1801,0)),"")</f>
        <v/>
      </c>
      <c r="K4471" s="25">
        <f>IFERROR(INDEX(Pedidos!$D$2:$D$1801,MATCH(B4471,Pedidos!$A$2:$A$1801,0)),"")</f>
        <v/>
      </c>
      <c r="L4471" s="25">
        <f>IFERROR(INDEX(Pedidos!$F$2:$F$1801,MATCH(B4471,Pedidos!$A$2:$A$1801,0)),"")</f>
        <v/>
      </c>
      <c r="M4471" s="26">
        <f>IFERROR(INDEX(Pedidos!$G$2:$G$1801,MATCH(B4471,Pedidos!$A$2:$A$1801,0)),0)</f>
        <v/>
      </c>
      <c r="N4471" s="25">
        <f>IFERROR(INDEX(Produtos!$B$2:$B$71,MATCH(C4471,Produtos!$A$2:$A$71,0)),"")</f>
        <v/>
      </c>
      <c r="O4471" s="25">
        <f>IFERROR(INDEX(Produtos!$C$2:$C$71,MATCH(C4471,Produtos!$A$2:$A$71,0)),"")</f>
        <v/>
      </c>
      <c r="P4471" s="25">
        <f>IFERROR(INDEX(Produtos!$D$2:$D$71,MATCH(C4471,Produtos!$A$2:$A$71,0)),0)</f>
        <v/>
      </c>
      <c r="Q4471" s="25">
        <f>IFERROR(INDEX(Produtos!$E$2:$E$71,MATCH(C4471,Produtos!$A$2:$A$71,0)),0)</f>
        <v/>
      </c>
      <c r="R4471" s="27">
        <f>D4471*Q4471</f>
        <v/>
      </c>
      <c r="S4471" s="27">
        <f>R4471*E4471</f>
        <v/>
      </c>
      <c r="T4471" s="27">
        <f>(R4471-S4471)*M4471</f>
        <v/>
      </c>
      <c r="U4471" s="27">
        <f>R4471-S4471-T4471</f>
        <v/>
      </c>
      <c r="V4471" s="27">
        <f>D4471*P4471</f>
        <v/>
      </c>
      <c r="W4471" s="27">
        <f>U4471-V4471</f>
        <v/>
      </c>
      <c r="X4471" s="28">
        <f>IFERROR(W4471/U4471,0)</f>
        <v/>
      </c>
    </row>
    <row r="4472">
      <c r="A4472" s="21">
        <f>ItensPedido!A4472</f>
        <v/>
      </c>
      <c r="B4472" s="21">
        <f>ItensPedido!B4472</f>
        <v/>
      </c>
      <c r="C4472" s="21">
        <f>ItensPedido!C4472</f>
        <v/>
      </c>
      <c r="D4472" s="21">
        <f>ItensPedido!D4472</f>
        <v/>
      </c>
      <c r="E4472" s="22">
        <f>ItensPedido!E4472</f>
        <v/>
      </c>
      <c r="F4472" s="21">
        <f>IFERROR(INDEX(Pedidos!$B$2:$B$1801,MATCH(B4472,Pedidos!$A$2:$A$1801,0)),0)</f>
        <v/>
      </c>
      <c r="G4472" s="21">
        <f>IF(F4472=0,"",YEAR(F4472))</f>
        <v/>
      </c>
      <c r="H4472" s="21">
        <f>IF(F4472=0,"",MONTH(F4472))</f>
        <v/>
      </c>
      <c r="I4472" s="21">
        <f>IFERROR(INDEX(Pedidos!$E$2:$E$1801,MATCH(B4472,Pedidos!$A$2:$A$1801,0)),"")</f>
        <v/>
      </c>
      <c r="J4472" s="21">
        <f>IFERROR(INDEX(Pedidos!$C$2:$C$1801,MATCH(B4472,Pedidos!$A$2:$A$1801,0)),"")</f>
        <v/>
      </c>
      <c r="K4472" s="21">
        <f>IFERROR(INDEX(Pedidos!$D$2:$D$1801,MATCH(B4472,Pedidos!$A$2:$A$1801,0)),"")</f>
        <v/>
      </c>
      <c r="L4472" s="21">
        <f>IFERROR(INDEX(Pedidos!$F$2:$F$1801,MATCH(B4472,Pedidos!$A$2:$A$1801,0)),"")</f>
        <v/>
      </c>
      <c r="M4472" s="22">
        <f>IFERROR(INDEX(Pedidos!$G$2:$G$1801,MATCH(B4472,Pedidos!$A$2:$A$1801,0)),0)</f>
        <v/>
      </c>
      <c r="N4472" s="21">
        <f>IFERROR(INDEX(Produtos!$B$2:$B$71,MATCH(C4472,Produtos!$A$2:$A$71,0)),"")</f>
        <v/>
      </c>
      <c r="O4472" s="21">
        <f>IFERROR(INDEX(Produtos!$C$2:$C$71,MATCH(C4472,Produtos!$A$2:$A$71,0)),"")</f>
        <v/>
      </c>
      <c r="P4472" s="21">
        <f>IFERROR(INDEX(Produtos!$D$2:$D$71,MATCH(C4472,Produtos!$A$2:$A$71,0)),0)</f>
        <v/>
      </c>
      <c r="Q4472" s="21">
        <f>IFERROR(INDEX(Produtos!$E$2:$E$71,MATCH(C4472,Produtos!$A$2:$A$71,0)),0)</f>
        <v/>
      </c>
      <c r="R4472" s="23">
        <f>D4472*Q4472</f>
        <v/>
      </c>
      <c r="S4472" s="23">
        <f>R4472*E4472</f>
        <v/>
      </c>
      <c r="T4472" s="23">
        <f>(R4472-S4472)*M4472</f>
        <v/>
      </c>
      <c r="U4472" s="23">
        <f>R4472-S4472-T4472</f>
        <v/>
      </c>
      <c r="V4472" s="23">
        <f>D4472*P4472</f>
        <v/>
      </c>
      <c r="W4472" s="23">
        <f>U4472-V4472</f>
        <v/>
      </c>
      <c r="X4472" s="24">
        <f>IFERROR(W4472/U4472,0)</f>
        <v/>
      </c>
    </row>
    <row r="4473">
      <c r="A4473" s="25">
        <f>ItensPedido!A4473</f>
        <v/>
      </c>
      <c r="B4473" s="25">
        <f>ItensPedido!B4473</f>
        <v/>
      </c>
      <c r="C4473" s="25">
        <f>ItensPedido!C4473</f>
        <v/>
      </c>
      <c r="D4473" s="25">
        <f>ItensPedido!D4473</f>
        <v/>
      </c>
      <c r="E4473" s="26">
        <f>ItensPedido!E4473</f>
        <v/>
      </c>
      <c r="F4473" s="25">
        <f>IFERROR(INDEX(Pedidos!$B$2:$B$1801,MATCH(B4473,Pedidos!$A$2:$A$1801,0)),0)</f>
        <v/>
      </c>
      <c r="G4473" s="25">
        <f>IF(F4473=0,"",YEAR(F4473))</f>
        <v/>
      </c>
      <c r="H4473" s="25">
        <f>IF(F4473=0,"",MONTH(F4473))</f>
        <v/>
      </c>
      <c r="I4473" s="25">
        <f>IFERROR(INDEX(Pedidos!$E$2:$E$1801,MATCH(B4473,Pedidos!$A$2:$A$1801,0)),"")</f>
        <v/>
      </c>
      <c r="J4473" s="25">
        <f>IFERROR(INDEX(Pedidos!$C$2:$C$1801,MATCH(B4473,Pedidos!$A$2:$A$1801,0)),"")</f>
        <v/>
      </c>
      <c r="K4473" s="25">
        <f>IFERROR(INDEX(Pedidos!$D$2:$D$1801,MATCH(B4473,Pedidos!$A$2:$A$1801,0)),"")</f>
        <v/>
      </c>
      <c r="L4473" s="25">
        <f>IFERROR(INDEX(Pedidos!$F$2:$F$1801,MATCH(B4473,Pedidos!$A$2:$A$1801,0)),"")</f>
        <v/>
      </c>
      <c r="M4473" s="26">
        <f>IFERROR(INDEX(Pedidos!$G$2:$G$1801,MATCH(B4473,Pedidos!$A$2:$A$1801,0)),0)</f>
        <v/>
      </c>
      <c r="N4473" s="25">
        <f>IFERROR(INDEX(Produtos!$B$2:$B$71,MATCH(C4473,Produtos!$A$2:$A$71,0)),"")</f>
        <v/>
      </c>
      <c r="O4473" s="25">
        <f>IFERROR(INDEX(Produtos!$C$2:$C$71,MATCH(C4473,Produtos!$A$2:$A$71,0)),"")</f>
        <v/>
      </c>
      <c r="P4473" s="25">
        <f>IFERROR(INDEX(Produtos!$D$2:$D$71,MATCH(C4473,Produtos!$A$2:$A$71,0)),0)</f>
        <v/>
      </c>
      <c r="Q4473" s="25">
        <f>IFERROR(INDEX(Produtos!$E$2:$E$71,MATCH(C4473,Produtos!$A$2:$A$71,0)),0)</f>
        <v/>
      </c>
      <c r="R4473" s="27">
        <f>D4473*Q4473</f>
        <v/>
      </c>
      <c r="S4473" s="27">
        <f>R4473*E4473</f>
        <v/>
      </c>
      <c r="T4473" s="27">
        <f>(R4473-S4473)*M4473</f>
        <v/>
      </c>
      <c r="U4473" s="27">
        <f>R4473-S4473-T4473</f>
        <v/>
      </c>
      <c r="V4473" s="27">
        <f>D4473*P4473</f>
        <v/>
      </c>
      <c r="W4473" s="27">
        <f>U4473-V4473</f>
        <v/>
      </c>
      <c r="X4473" s="28">
        <f>IFERROR(W4473/U4473,0)</f>
        <v/>
      </c>
    </row>
    <row r="4474">
      <c r="A4474" s="21">
        <f>ItensPedido!A4474</f>
        <v/>
      </c>
      <c r="B4474" s="21">
        <f>ItensPedido!B4474</f>
        <v/>
      </c>
      <c r="C4474" s="21">
        <f>ItensPedido!C4474</f>
        <v/>
      </c>
      <c r="D4474" s="21">
        <f>ItensPedido!D4474</f>
        <v/>
      </c>
      <c r="E4474" s="22">
        <f>ItensPedido!E4474</f>
        <v/>
      </c>
      <c r="F4474" s="21">
        <f>IFERROR(INDEX(Pedidos!$B$2:$B$1801,MATCH(B4474,Pedidos!$A$2:$A$1801,0)),0)</f>
        <v/>
      </c>
      <c r="G4474" s="21">
        <f>IF(F4474=0,"",YEAR(F4474))</f>
        <v/>
      </c>
      <c r="H4474" s="21">
        <f>IF(F4474=0,"",MONTH(F4474))</f>
        <v/>
      </c>
      <c r="I4474" s="21">
        <f>IFERROR(INDEX(Pedidos!$E$2:$E$1801,MATCH(B4474,Pedidos!$A$2:$A$1801,0)),"")</f>
        <v/>
      </c>
      <c r="J4474" s="21">
        <f>IFERROR(INDEX(Pedidos!$C$2:$C$1801,MATCH(B4474,Pedidos!$A$2:$A$1801,0)),"")</f>
        <v/>
      </c>
      <c r="K4474" s="21">
        <f>IFERROR(INDEX(Pedidos!$D$2:$D$1801,MATCH(B4474,Pedidos!$A$2:$A$1801,0)),"")</f>
        <v/>
      </c>
      <c r="L4474" s="21">
        <f>IFERROR(INDEX(Pedidos!$F$2:$F$1801,MATCH(B4474,Pedidos!$A$2:$A$1801,0)),"")</f>
        <v/>
      </c>
      <c r="M4474" s="22">
        <f>IFERROR(INDEX(Pedidos!$G$2:$G$1801,MATCH(B4474,Pedidos!$A$2:$A$1801,0)),0)</f>
        <v/>
      </c>
      <c r="N4474" s="21">
        <f>IFERROR(INDEX(Produtos!$B$2:$B$71,MATCH(C4474,Produtos!$A$2:$A$71,0)),"")</f>
        <v/>
      </c>
      <c r="O4474" s="21">
        <f>IFERROR(INDEX(Produtos!$C$2:$C$71,MATCH(C4474,Produtos!$A$2:$A$71,0)),"")</f>
        <v/>
      </c>
      <c r="P4474" s="21">
        <f>IFERROR(INDEX(Produtos!$D$2:$D$71,MATCH(C4474,Produtos!$A$2:$A$71,0)),0)</f>
        <v/>
      </c>
      <c r="Q4474" s="21">
        <f>IFERROR(INDEX(Produtos!$E$2:$E$71,MATCH(C4474,Produtos!$A$2:$A$71,0)),0)</f>
        <v/>
      </c>
      <c r="R4474" s="23">
        <f>D4474*Q4474</f>
        <v/>
      </c>
      <c r="S4474" s="23">
        <f>R4474*E4474</f>
        <v/>
      </c>
      <c r="T4474" s="23">
        <f>(R4474-S4474)*M4474</f>
        <v/>
      </c>
      <c r="U4474" s="23">
        <f>R4474-S4474-T4474</f>
        <v/>
      </c>
      <c r="V4474" s="23">
        <f>D4474*P4474</f>
        <v/>
      </c>
      <c r="W4474" s="23">
        <f>U4474-V4474</f>
        <v/>
      </c>
      <c r="X4474" s="24">
        <f>IFERROR(W4474/U4474,0)</f>
        <v/>
      </c>
    </row>
    <row r="4475">
      <c r="A4475" s="25">
        <f>ItensPedido!A4475</f>
        <v/>
      </c>
      <c r="B4475" s="25">
        <f>ItensPedido!B4475</f>
        <v/>
      </c>
      <c r="C4475" s="25">
        <f>ItensPedido!C4475</f>
        <v/>
      </c>
      <c r="D4475" s="25">
        <f>ItensPedido!D4475</f>
        <v/>
      </c>
      <c r="E4475" s="26">
        <f>ItensPedido!E4475</f>
        <v/>
      </c>
      <c r="F4475" s="25">
        <f>IFERROR(INDEX(Pedidos!$B$2:$B$1801,MATCH(B4475,Pedidos!$A$2:$A$1801,0)),0)</f>
        <v/>
      </c>
      <c r="G4475" s="25">
        <f>IF(F4475=0,"",YEAR(F4475))</f>
        <v/>
      </c>
      <c r="H4475" s="25">
        <f>IF(F4475=0,"",MONTH(F4475))</f>
        <v/>
      </c>
      <c r="I4475" s="25">
        <f>IFERROR(INDEX(Pedidos!$E$2:$E$1801,MATCH(B4475,Pedidos!$A$2:$A$1801,0)),"")</f>
        <v/>
      </c>
      <c r="J4475" s="25">
        <f>IFERROR(INDEX(Pedidos!$C$2:$C$1801,MATCH(B4475,Pedidos!$A$2:$A$1801,0)),"")</f>
        <v/>
      </c>
      <c r="K4475" s="25">
        <f>IFERROR(INDEX(Pedidos!$D$2:$D$1801,MATCH(B4475,Pedidos!$A$2:$A$1801,0)),"")</f>
        <v/>
      </c>
      <c r="L4475" s="25">
        <f>IFERROR(INDEX(Pedidos!$F$2:$F$1801,MATCH(B4475,Pedidos!$A$2:$A$1801,0)),"")</f>
        <v/>
      </c>
      <c r="M4475" s="26">
        <f>IFERROR(INDEX(Pedidos!$G$2:$G$1801,MATCH(B4475,Pedidos!$A$2:$A$1801,0)),0)</f>
        <v/>
      </c>
      <c r="N4475" s="25">
        <f>IFERROR(INDEX(Produtos!$B$2:$B$71,MATCH(C4475,Produtos!$A$2:$A$71,0)),"")</f>
        <v/>
      </c>
      <c r="O4475" s="25">
        <f>IFERROR(INDEX(Produtos!$C$2:$C$71,MATCH(C4475,Produtos!$A$2:$A$71,0)),"")</f>
        <v/>
      </c>
      <c r="P4475" s="25">
        <f>IFERROR(INDEX(Produtos!$D$2:$D$71,MATCH(C4475,Produtos!$A$2:$A$71,0)),0)</f>
        <v/>
      </c>
      <c r="Q4475" s="25">
        <f>IFERROR(INDEX(Produtos!$E$2:$E$71,MATCH(C4475,Produtos!$A$2:$A$71,0)),0)</f>
        <v/>
      </c>
      <c r="R4475" s="27">
        <f>D4475*Q4475</f>
        <v/>
      </c>
      <c r="S4475" s="27">
        <f>R4475*E4475</f>
        <v/>
      </c>
      <c r="T4475" s="27">
        <f>(R4475-S4475)*M4475</f>
        <v/>
      </c>
      <c r="U4475" s="27">
        <f>R4475-S4475-T4475</f>
        <v/>
      </c>
      <c r="V4475" s="27">
        <f>D4475*P4475</f>
        <v/>
      </c>
      <c r="W4475" s="27">
        <f>U4475-V4475</f>
        <v/>
      </c>
      <c r="X4475" s="28">
        <f>IFERROR(W4475/U4475,0)</f>
        <v/>
      </c>
    </row>
    <row r="4476">
      <c r="A4476" s="21">
        <f>ItensPedido!A4476</f>
        <v/>
      </c>
      <c r="B4476" s="21">
        <f>ItensPedido!B4476</f>
        <v/>
      </c>
      <c r="C4476" s="21">
        <f>ItensPedido!C4476</f>
        <v/>
      </c>
      <c r="D4476" s="21">
        <f>ItensPedido!D4476</f>
        <v/>
      </c>
      <c r="E4476" s="22">
        <f>ItensPedido!E4476</f>
        <v/>
      </c>
      <c r="F4476" s="21">
        <f>IFERROR(INDEX(Pedidos!$B$2:$B$1801,MATCH(B4476,Pedidos!$A$2:$A$1801,0)),0)</f>
        <v/>
      </c>
      <c r="G4476" s="21">
        <f>IF(F4476=0,"",YEAR(F4476))</f>
        <v/>
      </c>
      <c r="H4476" s="21">
        <f>IF(F4476=0,"",MONTH(F4476))</f>
        <v/>
      </c>
      <c r="I4476" s="21">
        <f>IFERROR(INDEX(Pedidos!$E$2:$E$1801,MATCH(B4476,Pedidos!$A$2:$A$1801,0)),"")</f>
        <v/>
      </c>
      <c r="J4476" s="21">
        <f>IFERROR(INDEX(Pedidos!$C$2:$C$1801,MATCH(B4476,Pedidos!$A$2:$A$1801,0)),"")</f>
        <v/>
      </c>
      <c r="K4476" s="21">
        <f>IFERROR(INDEX(Pedidos!$D$2:$D$1801,MATCH(B4476,Pedidos!$A$2:$A$1801,0)),"")</f>
        <v/>
      </c>
      <c r="L4476" s="21">
        <f>IFERROR(INDEX(Pedidos!$F$2:$F$1801,MATCH(B4476,Pedidos!$A$2:$A$1801,0)),"")</f>
        <v/>
      </c>
      <c r="M4476" s="22">
        <f>IFERROR(INDEX(Pedidos!$G$2:$G$1801,MATCH(B4476,Pedidos!$A$2:$A$1801,0)),0)</f>
        <v/>
      </c>
      <c r="N4476" s="21">
        <f>IFERROR(INDEX(Produtos!$B$2:$B$71,MATCH(C4476,Produtos!$A$2:$A$71,0)),"")</f>
        <v/>
      </c>
      <c r="O4476" s="21">
        <f>IFERROR(INDEX(Produtos!$C$2:$C$71,MATCH(C4476,Produtos!$A$2:$A$71,0)),"")</f>
        <v/>
      </c>
      <c r="P4476" s="21">
        <f>IFERROR(INDEX(Produtos!$D$2:$D$71,MATCH(C4476,Produtos!$A$2:$A$71,0)),0)</f>
        <v/>
      </c>
      <c r="Q4476" s="21">
        <f>IFERROR(INDEX(Produtos!$E$2:$E$71,MATCH(C4476,Produtos!$A$2:$A$71,0)),0)</f>
        <v/>
      </c>
      <c r="R4476" s="23">
        <f>D4476*Q4476</f>
        <v/>
      </c>
      <c r="S4476" s="23">
        <f>R4476*E4476</f>
        <v/>
      </c>
      <c r="T4476" s="23">
        <f>(R4476-S4476)*M4476</f>
        <v/>
      </c>
      <c r="U4476" s="23">
        <f>R4476-S4476-T4476</f>
        <v/>
      </c>
      <c r="V4476" s="23">
        <f>D4476*P4476</f>
        <v/>
      </c>
      <c r="W4476" s="23">
        <f>U4476-V4476</f>
        <v/>
      </c>
      <c r="X4476" s="24">
        <f>IFERROR(W4476/U4476,0)</f>
        <v/>
      </c>
    </row>
    <row r="4477">
      <c r="A4477" s="25">
        <f>ItensPedido!A4477</f>
        <v/>
      </c>
      <c r="B4477" s="25">
        <f>ItensPedido!B4477</f>
        <v/>
      </c>
      <c r="C4477" s="25">
        <f>ItensPedido!C4477</f>
        <v/>
      </c>
      <c r="D4477" s="25">
        <f>ItensPedido!D4477</f>
        <v/>
      </c>
      <c r="E4477" s="26">
        <f>ItensPedido!E4477</f>
        <v/>
      </c>
      <c r="F4477" s="25">
        <f>IFERROR(INDEX(Pedidos!$B$2:$B$1801,MATCH(B4477,Pedidos!$A$2:$A$1801,0)),0)</f>
        <v/>
      </c>
      <c r="G4477" s="25">
        <f>IF(F4477=0,"",YEAR(F4477))</f>
        <v/>
      </c>
      <c r="H4477" s="25">
        <f>IF(F4477=0,"",MONTH(F4477))</f>
        <v/>
      </c>
      <c r="I4477" s="25">
        <f>IFERROR(INDEX(Pedidos!$E$2:$E$1801,MATCH(B4477,Pedidos!$A$2:$A$1801,0)),"")</f>
        <v/>
      </c>
      <c r="J4477" s="25">
        <f>IFERROR(INDEX(Pedidos!$C$2:$C$1801,MATCH(B4477,Pedidos!$A$2:$A$1801,0)),"")</f>
        <v/>
      </c>
      <c r="K4477" s="25">
        <f>IFERROR(INDEX(Pedidos!$D$2:$D$1801,MATCH(B4477,Pedidos!$A$2:$A$1801,0)),"")</f>
        <v/>
      </c>
      <c r="L4477" s="25">
        <f>IFERROR(INDEX(Pedidos!$F$2:$F$1801,MATCH(B4477,Pedidos!$A$2:$A$1801,0)),"")</f>
        <v/>
      </c>
      <c r="M4477" s="26">
        <f>IFERROR(INDEX(Pedidos!$G$2:$G$1801,MATCH(B4477,Pedidos!$A$2:$A$1801,0)),0)</f>
        <v/>
      </c>
      <c r="N4477" s="25">
        <f>IFERROR(INDEX(Produtos!$B$2:$B$71,MATCH(C4477,Produtos!$A$2:$A$71,0)),"")</f>
        <v/>
      </c>
      <c r="O4477" s="25">
        <f>IFERROR(INDEX(Produtos!$C$2:$C$71,MATCH(C4477,Produtos!$A$2:$A$71,0)),"")</f>
        <v/>
      </c>
      <c r="P4477" s="25">
        <f>IFERROR(INDEX(Produtos!$D$2:$D$71,MATCH(C4477,Produtos!$A$2:$A$71,0)),0)</f>
        <v/>
      </c>
      <c r="Q4477" s="25">
        <f>IFERROR(INDEX(Produtos!$E$2:$E$71,MATCH(C4477,Produtos!$A$2:$A$71,0)),0)</f>
        <v/>
      </c>
      <c r="R4477" s="27">
        <f>D4477*Q4477</f>
        <v/>
      </c>
      <c r="S4477" s="27">
        <f>R4477*E4477</f>
        <v/>
      </c>
      <c r="T4477" s="27">
        <f>(R4477-S4477)*M4477</f>
        <v/>
      </c>
      <c r="U4477" s="27">
        <f>R4477-S4477-T4477</f>
        <v/>
      </c>
      <c r="V4477" s="27">
        <f>D4477*P4477</f>
        <v/>
      </c>
      <c r="W4477" s="27">
        <f>U4477-V4477</f>
        <v/>
      </c>
      <c r="X4477" s="28">
        <f>IFERROR(W4477/U4477,0)</f>
        <v/>
      </c>
    </row>
    <row r="4478">
      <c r="A4478" s="21">
        <f>ItensPedido!A4478</f>
        <v/>
      </c>
      <c r="B4478" s="21">
        <f>ItensPedido!B4478</f>
        <v/>
      </c>
      <c r="C4478" s="21">
        <f>ItensPedido!C4478</f>
        <v/>
      </c>
      <c r="D4478" s="21">
        <f>ItensPedido!D4478</f>
        <v/>
      </c>
      <c r="E4478" s="22">
        <f>ItensPedido!E4478</f>
        <v/>
      </c>
      <c r="F4478" s="21">
        <f>IFERROR(INDEX(Pedidos!$B$2:$B$1801,MATCH(B4478,Pedidos!$A$2:$A$1801,0)),0)</f>
        <v/>
      </c>
      <c r="G4478" s="21">
        <f>IF(F4478=0,"",YEAR(F4478))</f>
        <v/>
      </c>
      <c r="H4478" s="21">
        <f>IF(F4478=0,"",MONTH(F4478))</f>
        <v/>
      </c>
      <c r="I4478" s="21">
        <f>IFERROR(INDEX(Pedidos!$E$2:$E$1801,MATCH(B4478,Pedidos!$A$2:$A$1801,0)),"")</f>
        <v/>
      </c>
      <c r="J4478" s="21">
        <f>IFERROR(INDEX(Pedidos!$C$2:$C$1801,MATCH(B4478,Pedidos!$A$2:$A$1801,0)),"")</f>
        <v/>
      </c>
      <c r="K4478" s="21">
        <f>IFERROR(INDEX(Pedidos!$D$2:$D$1801,MATCH(B4478,Pedidos!$A$2:$A$1801,0)),"")</f>
        <v/>
      </c>
      <c r="L4478" s="21">
        <f>IFERROR(INDEX(Pedidos!$F$2:$F$1801,MATCH(B4478,Pedidos!$A$2:$A$1801,0)),"")</f>
        <v/>
      </c>
      <c r="M4478" s="22">
        <f>IFERROR(INDEX(Pedidos!$G$2:$G$1801,MATCH(B4478,Pedidos!$A$2:$A$1801,0)),0)</f>
        <v/>
      </c>
      <c r="N4478" s="21">
        <f>IFERROR(INDEX(Produtos!$B$2:$B$71,MATCH(C4478,Produtos!$A$2:$A$71,0)),"")</f>
        <v/>
      </c>
      <c r="O4478" s="21">
        <f>IFERROR(INDEX(Produtos!$C$2:$C$71,MATCH(C4478,Produtos!$A$2:$A$71,0)),"")</f>
        <v/>
      </c>
      <c r="P4478" s="21">
        <f>IFERROR(INDEX(Produtos!$D$2:$D$71,MATCH(C4478,Produtos!$A$2:$A$71,0)),0)</f>
        <v/>
      </c>
      <c r="Q4478" s="21">
        <f>IFERROR(INDEX(Produtos!$E$2:$E$71,MATCH(C4478,Produtos!$A$2:$A$71,0)),0)</f>
        <v/>
      </c>
      <c r="R4478" s="23">
        <f>D4478*Q4478</f>
        <v/>
      </c>
      <c r="S4478" s="23">
        <f>R4478*E4478</f>
        <v/>
      </c>
      <c r="T4478" s="23">
        <f>(R4478-S4478)*M4478</f>
        <v/>
      </c>
      <c r="U4478" s="23">
        <f>R4478-S4478-T4478</f>
        <v/>
      </c>
      <c r="V4478" s="23">
        <f>D4478*P4478</f>
        <v/>
      </c>
      <c r="W4478" s="23">
        <f>U4478-V4478</f>
        <v/>
      </c>
      <c r="X4478" s="24">
        <f>IFERROR(W4478/U4478,0)</f>
        <v/>
      </c>
    </row>
    <row r="4479">
      <c r="A4479" s="25">
        <f>ItensPedido!A4479</f>
        <v/>
      </c>
      <c r="B4479" s="25">
        <f>ItensPedido!B4479</f>
        <v/>
      </c>
      <c r="C4479" s="25">
        <f>ItensPedido!C4479</f>
        <v/>
      </c>
      <c r="D4479" s="25">
        <f>ItensPedido!D4479</f>
        <v/>
      </c>
      <c r="E4479" s="26">
        <f>ItensPedido!E4479</f>
        <v/>
      </c>
      <c r="F4479" s="25">
        <f>IFERROR(INDEX(Pedidos!$B$2:$B$1801,MATCH(B4479,Pedidos!$A$2:$A$1801,0)),0)</f>
        <v/>
      </c>
      <c r="G4479" s="25">
        <f>IF(F4479=0,"",YEAR(F4479))</f>
        <v/>
      </c>
      <c r="H4479" s="25">
        <f>IF(F4479=0,"",MONTH(F4479))</f>
        <v/>
      </c>
      <c r="I4479" s="25">
        <f>IFERROR(INDEX(Pedidos!$E$2:$E$1801,MATCH(B4479,Pedidos!$A$2:$A$1801,0)),"")</f>
        <v/>
      </c>
      <c r="J4479" s="25">
        <f>IFERROR(INDEX(Pedidos!$C$2:$C$1801,MATCH(B4479,Pedidos!$A$2:$A$1801,0)),"")</f>
        <v/>
      </c>
      <c r="K4479" s="25">
        <f>IFERROR(INDEX(Pedidos!$D$2:$D$1801,MATCH(B4479,Pedidos!$A$2:$A$1801,0)),"")</f>
        <v/>
      </c>
      <c r="L4479" s="25">
        <f>IFERROR(INDEX(Pedidos!$F$2:$F$1801,MATCH(B4479,Pedidos!$A$2:$A$1801,0)),"")</f>
        <v/>
      </c>
      <c r="M4479" s="26">
        <f>IFERROR(INDEX(Pedidos!$G$2:$G$1801,MATCH(B4479,Pedidos!$A$2:$A$1801,0)),0)</f>
        <v/>
      </c>
      <c r="N4479" s="25">
        <f>IFERROR(INDEX(Produtos!$B$2:$B$71,MATCH(C4479,Produtos!$A$2:$A$71,0)),"")</f>
        <v/>
      </c>
      <c r="O4479" s="25">
        <f>IFERROR(INDEX(Produtos!$C$2:$C$71,MATCH(C4479,Produtos!$A$2:$A$71,0)),"")</f>
        <v/>
      </c>
      <c r="P4479" s="25">
        <f>IFERROR(INDEX(Produtos!$D$2:$D$71,MATCH(C4479,Produtos!$A$2:$A$71,0)),0)</f>
        <v/>
      </c>
      <c r="Q4479" s="25">
        <f>IFERROR(INDEX(Produtos!$E$2:$E$71,MATCH(C4479,Produtos!$A$2:$A$71,0)),0)</f>
        <v/>
      </c>
      <c r="R4479" s="27">
        <f>D4479*Q4479</f>
        <v/>
      </c>
      <c r="S4479" s="27">
        <f>R4479*E4479</f>
        <v/>
      </c>
      <c r="T4479" s="27">
        <f>(R4479-S4479)*M4479</f>
        <v/>
      </c>
      <c r="U4479" s="27">
        <f>R4479-S4479-T4479</f>
        <v/>
      </c>
      <c r="V4479" s="27">
        <f>D4479*P4479</f>
        <v/>
      </c>
      <c r="W4479" s="27">
        <f>U4479-V4479</f>
        <v/>
      </c>
      <c r="X4479" s="28">
        <f>IFERROR(W4479/U4479,0)</f>
        <v/>
      </c>
    </row>
    <row r="4480">
      <c r="A4480" s="21">
        <f>ItensPedido!A4480</f>
        <v/>
      </c>
      <c r="B4480" s="21">
        <f>ItensPedido!B4480</f>
        <v/>
      </c>
      <c r="C4480" s="21">
        <f>ItensPedido!C4480</f>
        <v/>
      </c>
      <c r="D4480" s="21">
        <f>ItensPedido!D4480</f>
        <v/>
      </c>
      <c r="E4480" s="22">
        <f>ItensPedido!E4480</f>
        <v/>
      </c>
      <c r="F4480" s="21">
        <f>IFERROR(INDEX(Pedidos!$B$2:$B$1801,MATCH(B4480,Pedidos!$A$2:$A$1801,0)),0)</f>
        <v/>
      </c>
      <c r="G4480" s="21">
        <f>IF(F4480=0,"",YEAR(F4480))</f>
        <v/>
      </c>
      <c r="H4480" s="21">
        <f>IF(F4480=0,"",MONTH(F4480))</f>
        <v/>
      </c>
      <c r="I4480" s="21">
        <f>IFERROR(INDEX(Pedidos!$E$2:$E$1801,MATCH(B4480,Pedidos!$A$2:$A$1801,0)),"")</f>
        <v/>
      </c>
      <c r="J4480" s="21">
        <f>IFERROR(INDEX(Pedidos!$C$2:$C$1801,MATCH(B4480,Pedidos!$A$2:$A$1801,0)),"")</f>
        <v/>
      </c>
      <c r="K4480" s="21">
        <f>IFERROR(INDEX(Pedidos!$D$2:$D$1801,MATCH(B4480,Pedidos!$A$2:$A$1801,0)),"")</f>
        <v/>
      </c>
      <c r="L4480" s="21">
        <f>IFERROR(INDEX(Pedidos!$F$2:$F$1801,MATCH(B4480,Pedidos!$A$2:$A$1801,0)),"")</f>
        <v/>
      </c>
      <c r="M4480" s="22">
        <f>IFERROR(INDEX(Pedidos!$G$2:$G$1801,MATCH(B4480,Pedidos!$A$2:$A$1801,0)),0)</f>
        <v/>
      </c>
      <c r="N4480" s="21">
        <f>IFERROR(INDEX(Produtos!$B$2:$B$71,MATCH(C4480,Produtos!$A$2:$A$71,0)),"")</f>
        <v/>
      </c>
      <c r="O4480" s="21">
        <f>IFERROR(INDEX(Produtos!$C$2:$C$71,MATCH(C4480,Produtos!$A$2:$A$71,0)),"")</f>
        <v/>
      </c>
      <c r="P4480" s="21">
        <f>IFERROR(INDEX(Produtos!$D$2:$D$71,MATCH(C4480,Produtos!$A$2:$A$71,0)),0)</f>
        <v/>
      </c>
      <c r="Q4480" s="21">
        <f>IFERROR(INDEX(Produtos!$E$2:$E$71,MATCH(C4480,Produtos!$A$2:$A$71,0)),0)</f>
        <v/>
      </c>
      <c r="R4480" s="23">
        <f>D4480*Q4480</f>
        <v/>
      </c>
      <c r="S4480" s="23">
        <f>R4480*E4480</f>
        <v/>
      </c>
      <c r="T4480" s="23">
        <f>(R4480-S4480)*M4480</f>
        <v/>
      </c>
      <c r="U4480" s="23">
        <f>R4480-S4480-T4480</f>
        <v/>
      </c>
      <c r="V4480" s="23">
        <f>D4480*P4480</f>
        <v/>
      </c>
      <c r="W4480" s="23">
        <f>U4480-V4480</f>
        <v/>
      </c>
      <c r="X4480" s="24">
        <f>IFERROR(W4480/U4480,0)</f>
        <v/>
      </c>
    </row>
    <row r="4481">
      <c r="A4481" s="25">
        <f>ItensPedido!A4481</f>
        <v/>
      </c>
      <c r="B4481" s="25">
        <f>ItensPedido!B4481</f>
        <v/>
      </c>
      <c r="C4481" s="25">
        <f>ItensPedido!C4481</f>
        <v/>
      </c>
      <c r="D4481" s="25">
        <f>ItensPedido!D4481</f>
        <v/>
      </c>
      <c r="E4481" s="26">
        <f>ItensPedido!E4481</f>
        <v/>
      </c>
      <c r="F4481" s="25">
        <f>IFERROR(INDEX(Pedidos!$B$2:$B$1801,MATCH(B4481,Pedidos!$A$2:$A$1801,0)),0)</f>
        <v/>
      </c>
      <c r="G4481" s="25">
        <f>IF(F4481=0,"",YEAR(F4481))</f>
        <v/>
      </c>
      <c r="H4481" s="25">
        <f>IF(F4481=0,"",MONTH(F4481))</f>
        <v/>
      </c>
      <c r="I4481" s="25">
        <f>IFERROR(INDEX(Pedidos!$E$2:$E$1801,MATCH(B4481,Pedidos!$A$2:$A$1801,0)),"")</f>
        <v/>
      </c>
      <c r="J4481" s="25">
        <f>IFERROR(INDEX(Pedidos!$C$2:$C$1801,MATCH(B4481,Pedidos!$A$2:$A$1801,0)),"")</f>
        <v/>
      </c>
      <c r="K4481" s="25">
        <f>IFERROR(INDEX(Pedidos!$D$2:$D$1801,MATCH(B4481,Pedidos!$A$2:$A$1801,0)),"")</f>
        <v/>
      </c>
      <c r="L4481" s="25">
        <f>IFERROR(INDEX(Pedidos!$F$2:$F$1801,MATCH(B4481,Pedidos!$A$2:$A$1801,0)),"")</f>
        <v/>
      </c>
      <c r="M4481" s="26">
        <f>IFERROR(INDEX(Pedidos!$G$2:$G$1801,MATCH(B4481,Pedidos!$A$2:$A$1801,0)),0)</f>
        <v/>
      </c>
      <c r="N4481" s="25">
        <f>IFERROR(INDEX(Produtos!$B$2:$B$71,MATCH(C4481,Produtos!$A$2:$A$71,0)),"")</f>
        <v/>
      </c>
      <c r="O4481" s="25">
        <f>IFERROR(INDEX(Produtos!$C$2:$C$71,MATCH(C4481,Produtos!$A$2:$A$71,0)),"")</f>
        <v/>
      </c>
      <c r="P4481" s="25">
        <f>IFERROR(INDEX(Produtos!$D$2:$D$71,MATCH(C4481,Produtos!$A$2:$A$71,0)),0)</f>
        <v/>
      </c>
      <c r="Q4481" s="25">
        <f>IFERROR(INDEX(Produtos!$E$2:$E$71,MATCH(C4481,Produtos!$A$2:$A$71,0)),0)</f>
        <v/>
      </c>
      <c r="R4481" s="27">
        <f>D4481*Q4481</f>
        <v/>
      </c>
      <c r="S4481" s="27">
        <f>R4481*E4481</f>
        <v/>
      </c>
      <c r="T4481" s="27">
        <f>(R4481-S4481)*M4481</f>
        <v/>
      </c>
      <c r="U4481" s="27">
        <f>R4481-S4481-T4481</f>
        <v/>
      </c>
      <c r="V4481" s="27">
        <f>D4481*P4481</f>
        <v/>
      </c>
      <c r="W4481" s="27">
        <f>U4481-V4481</f>
        <v/>
      </c>
      <c r="X4481" s="28">
        <f>IFERROR(W4481/U4481,0)</f>
        <v/>
      </c>
    </row>
    <row r="4482">
      <c r="A4482" s="21">
        <f>ItensPedido!A4482</f>
        <v/>
      </c>
      <c r="B4482" s="21">
        <f>ItensPedido!B4482</f>
        <v/>
      </c>
      <c r="C4482" s="21">
        <f>ItensPedido!C4482</f>
        <v/>
      </c>
      <c r="D4482" s="21">
        <f>ItensPedido!D4482</f>
        <v/>
      </c>
      <c r="E4482" s="22">
        <f>ItensPedido!E4482</f>
        <v/>
      </c>
      <c r="F4482" s="21">
        <f>IFERROR(INDEX(Pedidos!$B$2:$B$1801,MATCH(B4482,Pedidos!$A$2:$A$1801,0)),0)</f>
        <v/>
      </c>
      <c r="G4482" s="21">
        <f>IF(F4482=0,"",YEAR(F4482))</f>
        <v/>
      </c>
      <c r="H4482" s="21">
        <f>IF(F4482=0,"",MONTH(F4482))</f>
        <v/>
      </c>
      <c r="I4482" s="21">
        <f>IFERROR(INDEX(Pedidos!$E$2:$E$1801,MATCH(B4482,Pedidos!$A$2:$A$1801,0)),"")</f>
        <v/>
      </c>
      <c r="J4482" s="21">
        <f>IFERROR(INDEX(Pedidos!$C$2:$C$1801,MATCH(B4482,Pedidos!$A$2:$A$1801,0)),"")</f>
        <v/>
      </c>
      <c r="K4482" s="21">
        <f>IFERROR(INDEX(Pedidos!$D$2:$D$1801,MATCH(B4482,Pedidos!$A$2:$A$1801,0)),"")</f>
        <v/>
      </c>
      <c r="L4482" s="21">
        <f>IFERROR(INDEX(Pedidos!$F$2:$F$1801,MATCH(B4482,Pedidos!$A$2:$A$1801,0)),"")</f>
        <v/>
      </c>
      <c r="M4482" s="22">
        <f>IFERROR(INDEX(Pedidos!$G$2:$G$1801,MATCH(B4482,Pedidos!$A$2:$A$1801,0)),0)</f>
        <v/>
      </c>
      <c r="N4482" s="21">
        <f>IFERROR(INDEX(Produtos!$B$2:$B$71,MATCH(C4482,Produtos!$A$2:$A$71,0)),"")</f>
        <v/>
      </c>
      <c r="O4482" s="21">
        <f>IFERROR(INDEX(Produtos!$C$2:$C$71,MATCH(C4482,Produtos!$A$2:$A$71,0)),"")</f>
        <v/>
      </c>
      <c r="P4482" s="21">
        <f>IFERROR(INDEX(Produtos!$D$2:$D$71,MATCH(C4482,Produtos!$A$2:$A$71,0)),0)</f>
        <v/>
      </c>
      <c r="Q4482" s="21">
        <f>IFERROR(INDEX(Produtos!$E$2:$E$71,MATCH(C4482,Produtos!$A$2:$A$71,0)),0)</f>
        <v/>
      </c>
      <c r="R4482" s="23">
        <f>D4482*Q4482</f>
        <v/>
      </c>
      <c r="S4482" s="23">
        <f>R4482*E4482</f>
        <v/>
      </c>
      <c r="T4482" s="23">
        <f>(R4482-S4482)*M4482</f>
        <v/>
      </c>
      <c r="U4482" s="23">
        <f>R4482-S4482-T4482</f>
        <v/>
      </c>
      <c r="V4482" s="23">
        <f>D4482*P4482</f>
        <v/>
      </c>
      <c r="W4482" s="23">
        <f>U4482-V4482</f>
        <v/>
      </c>
      <c r="X4482" s="24">
        <f>IFERROR(W4482/U4482,0)</f>
        <v/>
      </c>
    </row>
    <row r="4483">
      <c r="A4483" s="25">
        <f>ItensPedido!A4483</f>
        <v/>
      </c>
      <c r="B4483" s="25">
        <f>ItensPedido!B4483</f>
        <v/>
      </c>
      <c r="C4483" s="25">
        <f>ItensPedido!C4483</f>
        <v/>
      </c>
      <c r="D4483" s="25">
        <f>ItensPedido!D4483</f>
        <v/>
      </c>
      <c r="E4483" s="26">
        <f>ItensPedido!E4483</f>
        <v/>
      </c>
      <c r="F4483" s="25">
        <f>IFERROR(INDEX(Pedidos!$B$2:$B$1801,MATCH(B4483,Pedidos!$A$2:$A$1801,0)),0)</f>
        <v/>
      </c>
      <c r="G4483" s="25">
        <f>IF(F4483=0,"",YEAR(F4483))</f>
        <v/>
      </c>
      <c r="H4483" s="25">
        <f>IF(F4483=0,"",MONTH(F4483))</f>
        <v/>
      </c>
      <c r="I4483" s="25">
        <f>IFERROR(INDEX(Pedidos!$E$2:$E$1801,MATCH(B4483,Pedidos!$A$2:$A$1801,0)),"")</f>
        <v/>
      </c>
      <c r="J4483" s="25">
        <f>IFERROR(INDEX(Pedidos!$C$2:$C$1801,MATCH(B4483,Pedidos!$A$2:$A$1801,0)),"")</f>
        <v/>
      </c>
      <c r="K4483" s="25">
        <f>IFERROR(INDEX(Pedidos!$D$2:$D$1801,MATCH(B4483,Pedidos!$A$2:$A$1801,0)),"")</f>
        <v/>
      </c>
      <c r="L4483" s="25">
        <f>IFERROR(INDEX(Pedidos!$F$2:$F$1801,MATCH(B4483,Pedidos!$A$2:$A$1801,0)),"")</f>
        <v/>
      </c>
      <c r="M4483" s="26">
        <f>IFERROR(INDEX(Pedidos!$G$2:$G$1801,MATCH(B4483,Pedidos!$A$2:$A$1801,0)),0)</f>
        <v/>
      </c>
      <c r="N4483" s="25">
        <f>IFERROR(INDEX(Produtos!$B$2:$B$71,MATCH(C4483,Produtos!$A$2:$A$71,0)),"")</f>
        <v/>
      </c>
      <c r="O4483" s="25">
        <f>IFERROR(INDEX(Produtos!$C$2:$C$71,MATCH(C4483,Produtos!$A$2:$A$71,0)),"")</f>
        <v/>
      </c>
      <c r="P4483" s="25">
        <f>IFERROR(INDEX(Produtos!$D$2:$D$71,MATCH(C4483,Produtos!$A$2:$A$71,0)),0)</f>
        <v/>
      </c>
      <c r="Q4483" s="25">
        <f>IFERROR(INDEX(Produtos!$E$2:$E$71,MATCH(C4483,Produtos!$A$2:$A$71,0)),0)</f>
        <v/>
      </c>
      <c r="R4483" s="27">
        <f>D4483*Q4483</f>
        <v/>
      </c>
      <c r="S4483" s="27">
        <f>R4483*E4483</f>
        <v/>
      </c>
      <c r="T4483" s="27">
        <f>(R4483-S4483)*M4483</f>
        <v/>
      </c>
      <c r="U4483" s="27">
        <f>R4483-S4483-T4483</f>
        <v/>
      </c>
      <c r="V4483" s="27">
        <f>D4483*P4483</f>
        <v/>
      </c>
      <c r="W4483" s="27">
        <f>U4483-V4483</f>
        <v/>
      </c>
      <c r="X4483" s="28">
        <f>IFERROR(W4483/U4483,0)</f>
        <v/>
      </c>
    </row>
    <row r="4484">
      <c r="A4484" s="21">
        <f>ItensPedido!A4484</f>
        <v/>
      </c>
      <c r="B4484" s="21">
        <f>ItensPedido!B4484</f>
        <v/>
      </c>
      <c r="C4484" s="21">
        <f>ItensPedido!C4484</f>
        <v/>
      </c>
      <c r="D4484" s="21">
        <f>ItensPedido!D4484</f>
        <v/>
      </c>
      <c r="E4484" s="22">
        <f>ItensPedido!E4484</f>
        <v/>
      </c>
      <c r="F4484" s="21">
        <f>IFERROR(INDEX(Pedidos!$B$2:$B$1801,MATCH(B4484,Pedidos!$A$2:$A$1801,0)),0)</f>
        <v/>
      </c>
      <c r="G4484" s="21">
        <f>IF(F4484=0,"",YEAR(F4484))</f>
        <v/>
      </c>
      <c r="H4484" s="21">
        <f>IF(F4484=0,"",MONTH(F4484))</f>
        <v/>
      </c>
      <c r="I4484" s="21">
        <f>IFERROR(INDEX(Pedidos!$E$2:$E$1801,MATCH(B4484,Pedidos!$A$2:$A$1801,0)),"")</f>
        <v/>
      </c>
      <c r="J4484" s="21">
        <f>IFERROR(INDEX(Pedidos!$C$2:$C$1801,MATCH(B4484,Pedidos!$A$2:$A$1801,0)),"")</f>
        <v/>
      </c>
      <c r="K4484" s="21">
        <f>IFERROR(INDEX(Pedidos!$D$2:$D$1801,MATCH(B4484,Pedidos!$A$2:$A$1801,0)),"")</f>
        <v/>
      </c>
      <c r="L4484" s="21">
        <f>IFERROR(INDEX(Pedidos!$F$2:$F$1801,MATCH(B4484,Pedidos!$A$2:$A$1801,0)),"")</f>
        <v/>
      </c>
      <c r="M4484" s="22">
        <f>IFERROR(INDEX(Pedidos!$G$2:$G$1801,MATCH(B4484,Pedidos!$A$2:$A$1801,0)),0)</f>
        <v/>
      </c>
      <c r="N4484" s="21">
        <f>IFERROR(INDEX(Produtos!$B$2:$B$71,MATCH(C4484,Produtos!$A$2:$A$71,0)),"")</f>
        <v/>
      </c>
      <c r="O4484" s="21">
        <f>IFERROR(INDEX(Produtos!$C$2:$C$71,MATCH(C4484,Produtos!$A$2:$A$71,0)),"")</f>
        <v/>
      </c>
      <c r="P4484" s="21">
        <f>IFERROR(INDEX(Produtos!$D$2:$D$71,MATCH(C4484,Produtos!$A$2:$A$71,0)),0)</f>
        <v/>
      </c>
      <c r="Q4484" s="21">
        <f>IFERROR(INDEX(Produtos!$E$2:$E$71,MATCH(C4484,Produtos!$A$2:$A$71,0)),0)</f>
        <v/>
      </c>
      <c r="R4484" s="23">
        <f>D4484*Q4484</f>
        <v/>
      </c>
      <c r="S4484" s="23">
        <f>R4484*E4484</f>
        <v/>
      </c>
      <c r="T4484" s="23">
        <f>(R4484-S4484)*M4484</f>
        <v/>
      </c>
      <c r="U4484" s="23">
        <f>R4484-S4484-T4484</f>
        <v/>
      </c>
      <c r="V4484" s="23">
        <f>D4484*P4484</f>
        <v/>
      </c>
      <c r="W4484" s="23">
        <f>U4484-V4484</f>
        <v/>
      </c>
      <c r="X4484" s="24">
        <f>IFERROR(W4484/U4484,0)</f>
        <v/>
      </c>
    </row>
    <row r="4485">
      <c r="A4485" s="25">
        <f>ItensPedido!A4485</f>
        <v/>
      </c>
      <c r="B4485" s="25">
        <f>ItensPedido!B4485</f>
        <v/>
      </c>
      <c r="C4485" s="25">
        <f>ItensPedido!C4485</f>
        <v/>
      </c>
      <c r="D4485" s="25">
        <f>ItensPedido!D4485</f>
        <v/>
      </c>
      <c r="E4485" s="26">
        <f>ItensPedido!E4485</f>
        <v/>
      </c>
      <c r="F4485" s="25">
        <f>IFERROR(INDEX(Pedidos!$B$2:$B$1801,MATCH(B4485,Pedidos!$A$2:$A$1801,0)),0)</f>
        <v/>
      </c>
      <c r="G4485" s="25">
        <f>IF(F4485=0,"",YEAR(F4485))</f>
        <v/>
      </c>
      <c r="H4485" s="25">
        <f>IF(F4485=0,"",MONTH(F4485))</f>
        <v/>
      </c>
      <c r="I4485" s="25">
        <f>IFERROR(INDEX(Pedidos!$E$2:$E$1801,MATCH(B4485,Pedidos!$A$2:$A$1801,0)),"")</f>
        <v/>
      </c>
      <c r="J4485" s="25">
        <f>IFERROR(INDEX(Pedidos!$C$2:$C$1801,MATCH(B4485,Pedidos!$A$2:$A$1801,0)),"")</f>
        <v/>
      </c>
      <c r="K4485" s="25">
        <f>IFERROR(INDEX(Pedidos!$D$2:$D$1801,MATCH(B4485,Pedidos!$A$2:$A$1801,0)),"")</f>
        <v/>
      </c>
      <c r="L4485" s="25">
        <f>IFERROR(INDEX(Pedidos!$F$2:$F$1801,MATCH(B4485,Pedidos!$A$2:$A$1801,0)),"")</f>
        <v/>
      </c>
      <c r="M4485" s="26">
        <f>IFERROR(INDEX(Pedidos!$G$2:$G$1801,MATCH(B4485,Pedidos!$A$2:$A$1801,0)),0)</f>
        <v/>
      </c>
      <c r="N4485" s="25">
        <f>IFERROR(INDEX(Produtos!$B$2:$B$71,MATCH(C4485,Produtos!$A$2:$A$71,0)),"")</f>
        <v/>
      </c>
      <c r="O4485" s="25">
        <f>IFERROR(INDEX(Produtos!$C$2:$C$71,MATCH(C4485,Produtos!$A$2:$A$71,0)),"")</f>
        <v/>
      </c>
      <c r="P4485" s="25">
        <f>IFERROR(INDEX(Produtos!$D$2:$D$71,MATCH(C4485,Produtos!$A$2:$A$71,0)),0)</f>
        <v/>
      </c>
      <c r="Q4485" s="25">
        <f>IFERROR(INDEX(Produtos!$E$2:$E$71,MATCH(C4485,Produtos!$A$2:$A$71,0)),0)</f>
        <v/>
      </c>
      <c r="R4485" s="27">
        <f>D4485*Q4485</f>
        <v/>
      </c>
      <c r="S4485" s="27">
        <f>R4485*E4485</f>
        <v/>
      </c>
      <c r="T4485" s="27">
        <f>(R4485-S4485)*M4485</f>
        <v/>
      </c>
      <c r="U4485" s="27">
        <f>R4485-S4485-T4485</f>
        <v/>
      </c>
      <c r="V4485" s="27">
        <f>D4485*P4485</f>
        <v/>
      </c>
      <c r="W4485" s="27">
        <f>U4485-V4485</f>
        <v/>
      </c>
      <c r="X4485" s="28">
        <f>IFERROR(W4485/U4485,0)</f>
        <v/>
      </c>
    </row>
    <row r="4486">
      <c r="A4486" s="21">
        <f>ItensPedido!A4486</f>
        <v/>
      </c>
      <c r="B4486" s="21">
        <f>ItensPedido!B4486</f>
        <v/>
      </c>
      <c r="C4486" s="21">
        <f>ItensPedido!C4486</f>
        <v/>
      </c>
      <c r="D4486" s="21">
        <f>ItensPedido!D4486</f>
        <v/>
      </c>
      <c r="E4486" s="22">
        <f>ItensPedido!E4486</f>
        <v/>
      </c>
      <c r="F4486" s="21">
        <f>IFERROR(INDEX(Pedidos!$B$2:$B$1801,MATCH(B4486,Pedidos!$A$2:$A$1801,0)),0)</f>
        <v/>
      </c>
      <c r="G4486" s="21">
        <f>IF(F4486=0,"",YEAR(F4486))</f>
        <v/>
      </c>
      <c r="H4486" s="21">
        <f>IF(F4486=0,"",MONTH(F4486))</f>
        <v/>
      </c>
      <c r="I4486" s="21">
        <f>IFERROR(INDEX(Pedidos!$E$2:$E$1801,MATCH(B4486,Pedidos!$A$2:$A$1801,0)),"")</f>
        <v/>
      </c>
      <c r="J4486" s="21">
        <f>IFERROR(INDEX(Pedidos!$C$2:$C$1801,MATCH(B4486,Pedidos!$A$2:$A$1801,0)),"")</f>
        <v/>
      </c>
      <c r="K4486" s="21">
        <f>IFERROR(INDEX(Pedidos!$D$2:$D$1801,MATCH(B4486,Pedidos!$A$2:$A$1801,0)),"")</f>
        <v/>
      </c>
      <c r="L4486" s="21">
        <f>IFERROR(INDEX(Pedidos!$F$2:$F$1801,MATCH(B4486,Pedidos!$A$2:$A$1801,0)),"")</f>
        <v/>
      </c>
      <c r="M4486" s="22">
        <f>IFERROR(INDEX(Pedidos!$G$2:$G$1801,MATCH(B4486,Pedidos!$A$2:$A$1801,0)),0)</f>
        <v/>
      </c>
      <c r="N4486" s="21">
        <f>IFERROR(INDEX(Produtos!$B$2:$B$71,MATCH(C4486,Produtos!$A$2:$A$71,0)),"")</f>
        <v/>
      </c>
      <c r="O4486" s="21">
        <f>IFERROR(INDEX(Produtos!$C$2:$C$71,MATCH(C4486,Produtos!$A$2:$A$71,0)),"")</f>
        <v/>
      </c>
      <c r="P4486" s="21">
        <f>IFERROR(INDEX(Produtos!$D$2:$D$71,MATCH(C4486,Produtos!$A$2:$A$71,0)),0)</f>
        <v/>
      </c>
      <c r="Q4486" s="21">
        <f>IFERROR(INDEX(Produtos!$E$2:$E$71,MATCH(C4486,Produtos!$A$2:$A$71,0)),0)</f>
        <v/>
      </c>
      <c r="R4486" s="23">
        <f>D4486*Q4486</f>
        <v/>
      </c>
      <c r="S4486" s="23">
        <f>R4486*E4486</f>
        <v/>
      </c>
      <c r="T4486" s="23">
        <f>(R4486-S4486)*M4486</f>
        <v/>
      </c>
      <c r="U4486" s="23">
        <f>R4486-S4486-T4486</f>
        <v/>
      </c>
      <c r="V4486" s="23">
        <f>D4486*P4486</f>
        <v/>
      </c>
      <c r="W4486" s="23">
        <f>U4486-V4486</f>
        <v/>
      </c>
      <c r="X4486" s="24">
        <f>IFERROR(W4486/U4486,0)</f>
        <v/>
      </c>
    </row>
    <row r="4487">
      <c r="A4487" s="25">
        <f>ItensPedido!A4487</f>
        <v/>
      </c>
      <c r="B4487" s="25">
        <f>ItensPedido!B4487</f>
        <v/>
      </c>
      <c r="C4487" s="25">
        <f>ItensPedido!C4487</f>
        <v/>
      </c>
      <c r="D4487" s="25">
        <f>ItensPedido!D4487</f>
        <v/>
      </c>
      <c r="E4487" s="26">
        <f>ItensPedido!E4487</f>
        <v/>
      </c>
      <c r="F4487" s="25">
        <f>IFERROR(INDEX(Pedidos!$B$2:$B$1801,MATCH(B4487,Pedidos!$A$2:$A$1801,0)),0)</f>
        <v/>
      </c>
      <c r="G4487" s="25">
        <f>IF(F4487=0,"",YEAR(F4487))</f>
        <v/>
      </c>
      <c r="H4487" s="25">
        <f>IF(F4487=0,"",MONTH(F4487))</f>
        <v/>
      </c>
      <c r="I4487" s="25">
        <f>IFERROR(INDEX(Pedidos!$E$2:$E$1801,MATCH(B4487,Pedidos!$A$2:$A$1801,0)),"")</f>
        <v/>
      </c>
      <c r="J4487" s="25">
        <f>IFERROR(INDEX(Pedidos!$C$2:$C$1801,MATCH(B4487,Pedidos!$A$2:$A$1801,0)),"")</f>
        <v/>
      </c>
      <c r="K4487" s="25">
        <f>IFERROR(INDEX(Pedidos!$D$2:$D$1801,MATCH(B4487,Pedidos!$A$2:$A$1801,0)),"")</f>
        <v/>
      </c>
      <c r="L4487" s="25">
        <f>IFERROR(INDEX(Pedidos!$F$2:$F$1801,MATCH(B4487,Pedidos!$A$2:$A$1801,0)),"")</f>
        <v/>
      </c>
      <c r="M4487" s="26">
        <f>IFERROR(INDEX(Pedidos!$G$2:$G$1801,MATCH(B4487,Pedidos!$A$2:$A$1801,0)),0)</f>
        <v/>
      </c>
      <c r="N4487" s="25">
        <f>IFERROR(INDEX(Produtos!$B$2:$B$71,MATCH(C4487,Produtos!$A$2:$A$71,0)),"")</f>
        <v/>
      </c>
      <c r="O4487" s="25">
        <f>IFERROR(INDEX(Produtos!$C$2:$C$71,MATCH(C4487,Produtos!$A$2:$A$71,0)),"")</f>
        <v/>
      </c>
      <c r="P4487" s="25">
        <f>IFERROR(INDEX(Produtos!$D$2:$D$71,MATCH(C4487,Produtos!$A$2:$A$71,0)),0)</f>
        <v/>
      </c>
      <c r="Q4487" s="25">
        <f>IFERROR(INDEX(Produtos!$E$2:$E$71,MATCH(C4487,Produtos!$A$2:$A$71,0)),0)</f>
        <v/>
      </c>
      <c r="R4487" s="27">
        <f>D4487*Q4487</f>
        <v/>
      </c>
      <c r="S4487" s="27">
        <f>R4487*E4487</f>
        <v/>
      </c>
      <c r="T4487" s="27">
        <f>(R4487-S4487)*M4487</f>
        <v/>
      </c>
      <c r="U4487" s="27">
        <f>R4487-S4487-T4487</f>
        <v/>
      </c>
      <c r="V4487" s="27">
        <f>D4487*P4487</f>
        <v/>
      </c>
      <c r="W4487" s="27">
        <f>U4487-V4487</f>
        <v/>
      </c>
      <c r="X4487" s="28">
        <f>IFERROR(W4487/U4487,0)</f>
        <v/>
      </c>
    </row>
    <row r="4488">
      <c r="A4488" s="21">
        <f>ItensPedido!A4488</f>
        <v/>
      </c>
      <c r="B4488" s="21">
        <f>ItensPedido!B4488</f>
        <v/>
      </c>
      <c r="C4488" s="21">
        <f>ItensPedido!C4488</f>
        <v/>
      </c>
      <c r="D4488" s="21">
        <f>ItensPedido!D4488</f>
        <v/>
      </c>
      <c r="E4488" s="22">
        <f>ItensPedido!E4488</f>
        <v/>
      </c>
      <c r="F4488" s="21">
        <f>IFERROR(INDEX(Pedidos!$B$2:$B$1801,MATCH(B4488,Pedidos!$A$2:$A$1801,0)),0)</f>
        <v/>
      </c>
      <c r="G4488" s="21">
        <f>IF(F4488=0,"",YEAR(F4488))</f>
        <v/>
      </c>
      <c r="H4488" s="21">
        <f>IF(F4488=0,"",MONTH(F4488))</f>
        <v/>
      </c>
      <c r="I4488" s="21">
        <f>IFERROR(INDEX(Pedidos!$E$2:$E$1801,MATCH(B4488,Pedidos!$A$2:$A$1801,0)),"")</f>
        <v/>
      </c>
      <c r="J4488" s="21">
        <f>IFERROR(INDEX(Pedidos!$C$2:$C$1801,MATCH(B4488,Pedidos!$A$2:$A$1801,0)),"")</f>
        <v/>
      </c>
      <c r="K4488" s="21">
        <f>IFERROR(INDEX(Pedidos!$D$2:$D$1801,MATCH(B4488,Pedidos!$A$2:$A$1801,0)),"")</f>
        <v/>
      </c>
      <c r="L4488" s="21">
        <f>IFERROR(INDEX(Pedidos!$F$2:$F$1801,MATCH(B4488,Pedidos!$A$2:$A$1801,0)),"")</f>
        <v/>
      </c>
      <c r="M4488" s="22">
        <f>IFERROR(INDEX(Pedidos!$G$2:$G$1801,MATCH(B4488,Pedidos!$A$2:$A$1801,0)),0)</f>
        <v/>
      </c>
      <c r="N4488" s="21">
        <f>IFERROR(INDEX(Produtos!$B$2:$B$71,MATCH(C4488,Produtos!$A$2:$A$71,0)),"")</f>
        <v/>
      </c>
      <c r="O4488" s="21">
        <f>IFERROR(INDEX(Produtos!$C$2:$C$71,MATCH(C4488,Produtos!$A$2:$A$71,0)),"")</f>
        <v/>
      </c>
      <c r="P4488" s="21">
        <f>IFERROR(INDEX(Produtos!$D$2:$D$71,MATCH(C4488,Produtos!$A$2:$A$71,0)),0)</f>
        <v/>
      </c>
      <c r="Q4488" s="21">
        <f>IFERROR(INDEX(Produtos!$E$2:$E$71,MATCH(C4488,Produtos!$A$2:$A$71,0)),0)</f>
        <v/>
      </c>
      <c r="R4488" s="23">
        <f>D4488*Q4488</f>
        <v/>
      </c>
      <c r="S4488" s="23">
        <f>R4488*E4488</f>
        <v/>
      </c>
      <c r="T4488" s="23">
        <f>(R4488-S4488)*M4488</f>
        <v/>
      </c>
      <c r="U4488" s="23">
        <f>R4488-S4488-T4488</f>
        <v/>
      </c>
      <c r="V4488" s="23">
        <f>D4488*P4488</f>
        <v/>
      </c>
      <c r="W4488" s="23">
        <f>U4488-V4488</f>
        <v/>
      </c>
      <c r="X4488" s="24">
        <f>IFERROR(W4488/U4488,0)</f>
        <v/>
      </c>
    </row>
    <row r="4489">
      <c r="A4489" s="25">
        <f>ItensPedido!A4489</f>
        <v/>
      </c>
      <c r="B4489" s="25">
        <f>ItensPedido!B4489</f>
        <v/>
      </c>
      <c r="C4489" s="25">
        <f>ItensPedido!C4489</f>
        <v/>
      </c>
      <c r="D4489" s="25">
        <f>ItensPedido!D4489</f>
        <v/>
      </c>
      <c r="E4489" s="26">
        <f>ItensPedido!E4489</f>
        <v/>
      </c>
      <c r="F4489" s="25">
        <f>IFERROR(INDEX(Pedidos!$B$2:$B$1801,MATCH(B4489,Pedidos!$A$2:$A$1801,0)),0)</f>
        <v/>
      </c>
      <c r="G4489" s="25">
        <f>IF(F4489=0,"",YEAR(F4489))</f>
        <v/>
      </c>
      <c r="H4489" s="25">
        <f>IF(F4489=0,"",MONTH(F4489))</f>
        <v/>
      </c>
      <c r="I4489" s="25">
        <f>IFERROR(INDEX(Pedidos!$E$2:$E$1801,MATCH(B4489,Pedidos!$A$2:$A$1801,0)),"")</f>
        <v/>
      </c>
      <c r="J4489" s="25">
        <f>IFERROR(INDEX(Pedidos!$C$2:$C$1801,MATCH(B4489,Pedidos!$A$2:$A$1801,0)),"")</f>
        <v/>
      </c>
      <c r="K4489" s="25">
        <f>IFERROR(INDEX(Pedidos!$D$2:$D$1801,MATCH(B4489,Pedidos!$A$2:$A$1801,0)),"")</f>
        <v/>
      </c>
      <c r="L4489" s="25">
        <f>IFERROR(INDEX(Pedidos!$F$2:$F$1801,MATCH(B4489,Pedidos!$A$2:$A$1801,0)),"")</f>
        <v/>
      </c>
      <c r="M4489" s="26">
        <f>IFERROR(INDEX(Pedidos!$G$2:$G$1801,MATCH(B4489,Pedidos!$A$2:$A$1801,0)),0)</f>
        <v/>
      </c>
      <c r="N4489" s="25">
        <f>IFERROR(INDEX(Produtos!$B$2:$B$71,MATCH(C4489,Produtos!$A$2:$A$71,0)),"")</f>
        <v/>
      </c>
      <c r="O4489" s="25">
        <f>IFERROR(INDEX(Produtos!$C$2:$C$71,MATCH(C4489,Produtos!$A$2:$A$71,0)),"")</f>
        <v/>
      </c>
      <c r="P4489" s="25">
        <f>IFERROR(INDEX(Produtos!$D$2:$D$71,MATCH(C4489,Produtos!$A$2:$A$71,0)),0)</f>
        <v/>
      </c>
      <c r="Q4489" s="25">
        <f>IFERROR(INDEX(Produtos!$E$2:$E$71,MATCH(C4489,Produtos!$A$2:$A$71,0)),0)</f>
        <v/>
      </c>
      <c r="R4489" s="27">
        <f>D4489*Q4489</f>
        <v/>
      </c>
      <c r="S4489" s="27">
        <f>R4489*E4489</f>
        <v/>
      </c>
      <c r="T4489" s="27">
        <f>(R4489-S4489)*M4489</f>
        <v/>
      </c>
      <c r="U4489" s="27">
        <f>R4489-S4489-T4489</f>
        <v/>
      </c>
      <c r="V4489" s="27">
        <f>D4489*P4489</f>
        <v/>
      </c>
      <c r="W4489" s="27">
        <f>U4489-V4489</f>
        <v/>
      </c>
      <c r="X4489" s="28">
        <f>IFERROR(W4489/U4489,0)</f>
        <v/>
      </c>
    </row>
    <row r="4490">
      <c r="A4490" s="21">
        <f>ItensPedido!A4490</f>
        <v/>
      </c>
      <c r="B4490" s="21">
        <f>ItensPedido!B4490</f>
        <v/>
      </c>
      <c r="C4490" s="21">
        <f>ItensPedido!C4490</f>
        <v/>
      </c>
      <c r="D4490" s="21">
        <f>ItensPedido!D4490</f>
        <v/>
      </c>
      <c r="E4490" s="22">
        <f>ItensPedido!E4490</f>
        <v/>
      </c>
      <c r="F4490" s="21">
        <f>IFERROR(INDEX(Pedidos!$B$2:$B$1801,MATCH(B4490,Pedidos!$A$2:$A$1801,0)),0)</f>
        <v/>
      </c>
      <c r="G4490" s="21">
        <f>IF(F4490=0,"",YEAR(F4490))</f>
        <v/>
      </c>
      <c r="H4490" s="21">
        <f>IF(F4490=0,"",MONTH(F4490))</f>
        <v/>
      </c>
      <c r="I4490" s="21">
        <f>IFERROR(INDEX(Pedidos!$E$2:$E$1801,MATCH(B4490,Pedidos!$A$2:$A$1801,0)),"")</f>
        <v/>
      </c>
      <c r="J4490" s="21">
        <f>IFERROR(INDEX(Pedidos!$C$2:$C$1801,MATCH(B4490,Pedidos!$A$2:$A$1801,0)),"")</f>
        <v/>
      </c>
      <c r="K4490" s="21">
        <f>IFERROR(INDEX(Pedidos!$D$2:$D$1801,MATCH(B4490,Pedidos!$A$2:$A$1801,0)),"")</f>
        <v/>
      </c>
      <c r="L4490" s="21">
        <f>IFERROR(INDEX(Pedidos!$F$2:$F$1801,MATCH(B4490,Pedidos!$A$2:$A$1801,0)),"")</f>
        <v/>
      </c>
      <c r="M4490" s="22">
        <f>IFERROR(INDEX(Pedidos!$G$2:$G$1801,MATCH(B4490,Pedidos!$A$2:$A$1801,0)),0)</f>
        <v/>
      </c>
      <c r="N4490" s="21">
        <f>IFERROR(INDEX(Produtos!$B$2:$B$71,MATCH(C4490,Produtos!$A$2:$A$71,0)),"")</f>
        <v/>
      </c>
      <c r="O4490" s="21">
        <f>IFERROR(INDEX(Produtos!$C$2:$C$71,MATCH(C4490,Produtos!$A$2:$A$71,0)),"")</f>
        <v/>
      </c>
      <c r="P4490" s="21">
        <f>IFERROR(INDEX(Produtos!$D$2:$D$71,MATCH(C4490,Produtos!$A$2:$A$71,0)),0)</f>
        <v/>
      </c>
      <c r="Q4490" s="21">
        <f>IFERROR(INDEX(Produtos!$E$2:$E$71,MATCH(C4490,Produtos!$A$2:$A$71,0)),0)</f>
        <v/>
      </c>
      <c r="R4490" s="23">
        <f>D4490*Q4490</f>
        <v/>
      </c>
      <c r="S4490" s="23">
        <f>R4490*E4490</f>
        <v/>
      </c>
      <c r="T4490" s="23">
        <f>(R4490-S4490)*M4490</f>
        <v/>
      </c>
      <c r="U4490" s="23">
        <f>R4490-S4490-T4490</f>
        <v/>
      </c>
      <c r="V4490" s="23">
        <f>D4490*P4490</f>
        <v/>
      </c>
      <c r="W4490" s="23">
        <f>U4490-V4490</f>
        <v/>
      </c>
      <c r="X4490" s="24">
        <f>IFERROR(W4490/U4490,0)</f>
        <v/>
      </c>
    </row>
    <row r="4491">
      <c r="A4491" s="25">
        <f>ItensPedido!A4491</f>
        <v/>
      </c>
      <c r="B4491" s="25">
        <f>ItensPedido!B4491</f>
        <v/>
      </c>
      <c r="C4491" s="25">
        <f>ItensPedido!C4491</f>
        <v/>
      </c>
      <c r="D4491" s="25">
        <f>ItensPedido!D4491</f>
        <v/>
      </c>
      <c r="E4491" s="26">
        <f>ItensPedido!E4491</f>
        <v/>
      </c>
      <c r="F4491" s="25">
        <f>IFERROR(INDEX(Pedidos!$B$2:$B$1801,MATCH(B4491,Pedidos!$A$2:$A$1801,0)),0)</f>
        <v/>
      </c>
      <c r="G4491" s="25">
        <f>IF(F4491=0,"",YEAR(F4491))</f>
        <v/>
      </c>
      <c r="H4491" s="25">
        <f>IF(F4491=0,"",MONTH(F4491))</f>
        <v/>
      </c>
      <c r="I4491" s="25">
        <f>IFERROR(INDEX(Pedidos!$E$2:$E$1801,MATCH(B4491,Pedidos!$A$2:$A$1801,0)),"")</f>
        <v/>
      </c>
      <c r="J4491" s="25">
        <f>IFERROR(INDEX(Pedidos!$C$2:$C$1801,MATCH(B4491,Pedidos!$A$2:$A$1801,0)),"")</f>
        <v/>
      </c>
      <c r="K4491" s="25">
        <f>IFERROR(INDEX(Pedidos!$D$2:$D$1801,MATCH(B4491,Pedidos!$A$2:$A$1801,0)),"")</f>
        <v/>
      </c>
      <c r="L4491" s="25">
        <f>IFERROR(INDEX(Pedidos!$F$2:$F$1801,MATCH(B4491,Pedidos!$A$2:$A$1801,0)),"")</f>
        <v/>
      </c>
      <c r="M4491" s="26">
        <f>IFERROR(INDEX(Pedidos!$G$2:$G$1801,MATCH(B4491,Pedidos!$A$2:$A$1801,0)),0)</f>
        <v/>
      </c>
      <c r="N4491" s="25">
        <f>IFERROR(INDEX(Produtos!$B$2:$B$71,MATCH(C4491,Produtos!$A$2:$A$71,0)),"")</f>
        <v/>
      </c>
      <c r="O4491" s="25">
        <f>IFERROR(INDEX(Produtos!$C$2:$C$71,MATCH(C4491,Produtos!$A$2:$A$71,0)),"")</f>
        <v/>
      </c>
      <c r="P4491" s="25">
        <f>IFERROR(INDEX(Produtos!$D$2:$D$71,MATCH(C4491,Produtos!$A$2:$A$71,0)),0)</f>
        <v/>
      </c>
      <c r="Q4491" s="25">
        <f>IFERROR(INDEX(Produtos!$E$2:$E$71,MATCH(C4491,Produtos!$A$2:$A$71,0)),0)</f>
        <v/>
      </c>
      <c r="R4491" s="27">
        <f>D4491*Q4491</f>
        <v/>
      </c>
      <c r="S4491" s="27">
        <f>R4491*E4491</f>
        <v/>
      </c>
      <c r="T4491" s="27">
        <f>(R4491-S4491)*M4491</f>
        <v/>
      </c>
      <c r="U4491" s="27">
        <f>R4491-S4491-T4491</f>
        <v/>
      </c>
      <c r="V4491" s="27">
        <f>D4491*P4491</f>
        <v/>
      </c>
      <c r="W4491" s="27">
        <f>U4491-V4491</f>
        <v/>
      </c>
      <c r="X4491" s="28">
        <f>IFERROR(W4491/U4491,0)</f>
        <v/>
      </c>
    </row>
    <row r="4492">
      <c r="A4492" s="21">
        <f>ItensPedido!A4492</f>
        <v/>
      </c>
      <c r="B4492" s="21">
        <f>ItensPedido!B4492</f>
        <v/>
      </c>
      <c r="C4492" s="21">
        <f>ItensPedido!C4492</f>
        <v/>
      </c>
      <c r="D4492" s="21">
        <f>ItensPedido!D4492</f>
        <v/>
      </c>
      <c r="E4492" s="22">
        <f>ItensPedido!E4492</f>
        <v/>
      </c>
      <c r="F4492" s="21">
        <f>IFERROR(INDEX(Pedidos!$B$2:$B$1801,MATCH(B4492,Pedidos!$A$2:$A$1801,0)),0)</f>
        <v/>
      </c>
      <c r="G4492" s="21">
        <f>IF(F4492=0,"",YEAR(F4492))</f>
        <v/>
      </c>
      <c r="H4492" s="21">
        <f>IF(F4492=0,"",MONTH(F4492))</f>
        <v/>
      </c>
      <c r="I4492" s="21">
        <f>IFERROR(INDEX(Pedidos!$E$2:$E$1801,MATCH(B4492,Pedidos!$A$2:$A$1801,0)),"")</f>
        <v/>
      </c>
      <c r="J4492" s="21">
        <f>IFERROR(INDEX(Pedidos!$C$2:$C$1801,MATCH(B4492,Pedidos!$A$2:$A$1801,0)),"")</f>
        <v/>
      </c>
      <c r="K4492" s="21">
        <f>IFERROR(INDEX(Pedidos!$D$2:$D$1801,MATCH(B4492,Pedidos!$A$2:$A$1801,0)),"")</f>
        <v/>
      </c>
      <c r="L4492" s="21">
        <f>IFERROR(INDEX(Pedidos!$F$2:$F$1801,MATCH(B4492,Pedidos!$A$2:$A$1801,0)),"")</f>
        <v/>
      </c>
      <c r="M4492" s="22">
        <f>IFERROR(INDEX(Pedidos!$G$2:$G$1801,MATCH(B4492,Pedidos!$A$2:$A$1801,0)),0)</f>
        <v/>
      </c>
      <c r="N4492" s="21">
        <f>IFERROR(INDEX(Produtos!$B$2:$B$71,MATCH(C4492,Produtos!$A$2:$A$71,0)),"")</f>
        <v/>
      </c>
      <c r="O4492" s="21">
        <f>IFERROR(INDEX(Produtos!$C$2:$C$71,MATCH(C4492,Produtos!$A$2:$A$71,0)),"")</f>
        <v/>
      </c>
      <c r="P4492" s="21">
        <f>IFERROR(INDEX(Produtos!$D$2:$D$71,MATCH(C4492,Produtos!$A$2:$A$71,0)),0)</f>
        <v/>
      </c>
      <c r="Q4492" s="21">
        <f>IFERROR(INDEX(Produtos!$E$2:$E$71,MATCH(C4492,Produtos!$A$2:$A$71,0)),0)</f>
        <v/>
      </c>
      <c r="R4492" s="23">
        <f>D4492*Q4492</f>
        <v/>
      </c>
      <c r="S4492" s="23">
        <f>R4492*E4492</f>
        <v/>
      </c>
      <c r="T4492" s="23">
        <f>(R4492-S4492)*M4492</f>
        <v/>
      </c>
      <c r="U4492" s="23">
        <f>R4492-S4492-T4492</f>
        <v/>
      </c>
      <c r="V4492" s="23">
        <f>D4492*P4492</f>
        <v/>
      </c>
      <c r="W4492" s="23">
        <f>U4492-V4492</f>
        <v/>
      </c>
      <c r="X4492" s="24">
        <f>IFERROR(W4492/U4492,0)</f>
        <v/>
      </c>
    </row>
    <row r="4493">
      <c r="A4493" s="25">
        <f>ItensPedido!A4493</f>
        <v/>
      </c>
      <c r="B4493" s="25">
        <f>ItensPedido!B4493</f>
        <v/>
      </c>
      <c r="C4493" s="25">
        <f>ItensPedido!C4493</f>
        <v/>
      </c>
      <c r="D4493" s="25">
        <f>ItensPedido!D4493</f>
        <v/>
      </c>
      <c r="E4493" s="26">
        <f>ItensPedido!E4493</f>
        <v/>
      </c>
      <c r="F4493" s="25">
        <f>IFERROR(INDEX(Pedidos!$B$2:$B$1801,MATCH(B4493,Pedidos!$A$2:$A$1801,0)),0)</f>
        <v/>
      </c>
      <c r="G4493" s="25">
        <f>IF(F4493=0,"",YEAR(F4493))</f>
        <v/>
      </c>
      <c r="H4493" s="25">
        <f>IF(F4493=0,"",MONTH(F4493))</f>
        <v/>
      </c>
      <c r="I4493" s="25">
        <f>IFERROR(INDEX(Pedidos!$E$2:$E$1801,MATCH(B4493,Pedidos!$A$2:$A$1801,0)),"")</f>
        <v/>
      </c>
      <c r="J4493" s="25">
        <f>IFERROR(INDEX(Pedidos!$C$2:$C$1801,MATCH(B4493,Pedidos!$A$2:$A$1801,0)),"")</f>
        <v/>
      </c>
      <c r="K4493" s="25">
        <f>IFERROR(INDEX(Pedidos!$D$2:$D$1801,MATCH(B4493,Pedidos!$A$2:$A$1801,0)),"")</f>
        <v/>
      </c>
      <c r="L4493" s="25">
        <f>IFERROR(INDEX(Pedidos!$F$2:$F$1801,MATCH(B4493,Pedidos!$A$2:$A$1801,0)),"")</f>
        <v/>
      </c>
      <c r="M4493" s="26">
        <f>IFERROR(INDEX(Pedidos!$G$2:$G$1801,MATCH(B4493,Pedidos!$A$2:$A$1801,0)),0)</f>
        <v/>
      </c>
      <c r="N4493" s="25">
        <f>IFERROR(INDEX(Produtos!$B$2:$B$71,MATCH(C4493,Produtos!$A$2:$A$71,0)),"")</f>
        <v/>
      </c>
      <c r="O4493" s="25">
        <f>IFERROR(INDEX(Produtos!$C$2:$C$71,MATCH(C4493,Produtos!$A$2:$A$71,0)),"")</f>
        <v/>
      </c>
      <c r="P4493" s="25">
        <f>IFERROR(INDEX(Produtos!$D$2:$D$71,MATCH(C4493,Produtos!$A$2:$A$71,0)),0)</f>
        <v/>
      </c>
      <c r="Q4493" s="25">
        <f>IFERROR(INDEX(Produtos!$E$2:$E$71,MATCH(C4493,Produtos!$A$2:$A$71,0)),0)</f>
        <v/>
      </c>
      <c r="R4493" s="27">
        <f>D4493*Q4493</f>
        <v/>
      </c>
      <c r="S4493" s="27">
        <f>R4493*E4493</f>
        <v/>
      </c>
      <c r="T4493" s="27">
        <f>(R4493-S4493)*M4493</f>
        <v/>
      </c>
      <c r="U4493" s="27">
        <f>R4493-S4493-T4493</f>
        <v/>
      </c>
      <c r="V4493" s="27">
        <f>D4493*P4493</f>
        <v/>
      </c>
      <c r="W4493" s="27">
        <f>U4493-V4493</f>
        <v/>
      </c>
      <c r="X4493" s="28">
        <f>IFERROR(W4493/U4493,0)</f>
        <v/>
      </c>
    </row>
    <row r="4494">
      <c r="A4494" s="21">
        <f>ItensPedido!A4494</f>
        <v/>
      </c>
      <c r="B4494" s="21">
        <f>ItensPedido!B4494</f>
        <v/>
      </c>
      <c r="C4494" s="21">
        <f>ItensPedido!C4494</f>
        <v/>
      </c>
      <c r="D4494" s="21">
        <f>ItensPedido!D4494</f>
        <v/>
      </c>
      <c r="E4494" s="22">
        <f>ItensPedido!E4494</f>
        <v/>
      </c>
      <c r="F4494" s="21">
        <f>IFERROR(INDEX(Pedidos!$B$2:$B$1801,MATCH(B4494,Pedidos!$A$2:$A$1801,0)),0)</f>
        <v/>
      </c>
      <c r="G4494" s="21">
        <f>IF(F4494=0,"",YEAR(F4494))</f>
        <v/>
      </c>
      <c r="H4494" s="21">
        <f>IF(F4494=0,"",MONTH(F4494))</f>
        <v/>
      </c>
      <c r="I4494" s="21">
        <f>IFERROR(INDEX(Pedidos!$E$2:$E$1801,MATCH(B4494,Pedidos!$A$2:$A$1801,0)),"")</f>
        <v/>
      </c>
      <c r="J4494" s="21">
        <f>IFERROR(INDEX(Pedidos!$C$2:$C$1801,MATCH(B4494,Pedidos!$A$2:$A$1801,0)),"")</f>
        <v/>
      </c>
      <c r="K4494" s="21">
        <f>IFERROR(INDEX(Pedidos!$D$2:$D$1801,MATCH(B4494,Pedidos!$A$2:$A$1801,0)),"")</f>
        <v/>
      </c>
      <c r="L4494" s="21">
        <f>IFERROR(INDEX(Pedidos!$F$2:$F$1801,MATCH(B4494,Pedidos!$A$2:$A$1801,0)),"")</f>
        <v/>
      </c>
      <c r="M4494" s="22">
        <f>IFERROR(INDEX(Pedidos!$G$2:$G$1801,MATCH(B4494,Pedidos!$A$2:$A$1801,0)),0)</f>
        <v/>
      </c>
      <c r="N4494" s="21">
        <f>IFERROR(INDEX(Produtos!$B$2:$B$71,MATCH(C4494,Produtos!$A$2:$A$71,0)),"")</f>
        <v/>
      </c>
      <c r="O4494" s="21">
        <f>IFERROR(INDEX(Produtos!$C$2:$C$71,MATCH(C4494,Produtos!$A$2:$A$71,0)),"")</f>
        <v/>
      </c>
      <c r="P4494" s="21">
        <f>IFERROR(INDEX(Produtos!$D$2:$D$71,MATCH(C4494,Produtos!$A$2:$A$71,0)),0)</f>
        <v/>
      </c>
      <c r="Q4494" s="21">
        <f>IFERROR(INDEX(Produtos!$E$2:$E$71,MATCH(C4494,Produtos!$A$2:$A$71,0)),0)</f>
        <v/>
      </c>
      <c r="R4494" s="23">
        <f>D4494*Q4494</f>
        <v/>
      </c>
      <c r="S4494" s="23">
        <f>R4494*E4494</f>
        <v/>
      </c>
      <c r="T4494" s="23">
        <f>(R4494-S4494)*M4494</f>
        <v/>
      </c>
      <c r="U4494" s="23">
        <f>R4494-S4494-T4494</f>
        <v/>
      </c>
      <c r="V4494" s="23">
        <f>D4494*P4494</f>
        <v/>
      </c>
      <c r="W4494" s="23">
        <f>U4494-V4494</f>
        <v/>
      </c>
      <c r="X4494" s="24">
        <f>IFERROR(W4494/U4494,0)</f>
        <v/>
      </c>
    </row>
    <row r="4495">
      <c r="A4495" s="25">
        <f>ItensPedido!A4495</f>
        <v/>
      </c>
      <c r="B4495" s="25">
        <f>ItensPedido!B4495</f>
        <v/>
      </c>
      <c r="C4495" s="25">
        <f>ItensPedido!C4495</f>
        <v/>
      </c>
      <c r="D4495" s="25">
        <f>ItensPedido!D4495</f>
        <v/>
      </c>
      <c r="E4495" s="26">
        <f>ItensPedido!E4495</f>
        <v/>
      </c>
      <c r="F4495" s="25">
        <f>IFERROR(INDEX(Pedidos!$B$2:$B$1801,MATCH(B4495,Pedidos!$A$2:$A$1801,0)),0)</f>
        <v/>
      </c>
      <c r="G4495" s="25">
        <f>IF(F4495=0,"",YEAR(F4495))</f>
        <v/>
      </c>
      <c r="H4495" s="25">
        <f>IF(F4495=0,"",MONTH(F4495))</f>
        <v/>
      </c>
      <c r="I4495" s="25">
        <f>IFERROR(INDEX(Pedidos!$E$2:$E$1801,MATCH(B4495,Pedidos!$A$2:$A$1801,0)),"")</f>
        <v/>
      </c>
      <c r="J4495" s="25">
        <f>IFERROR(INDEX(Pedidos!$C$2:$C$1801,MATCH(B4495,Pedidos!$A$2:$A$1801,0)),"")</f>
        <v/>
      </c>
      <c r="K4495" s="25">
        <f>IFERROR(INDEX(Pedidos!$D$2:$D$1801,MATCH(B4495,Pedidos!$A$2:$A$1801,0)),"")</f>
        <v/>
      </c>
      <c r="L4495" s="25">
        <f>IFERROR(INDEX(Pedidos!$F$2:$F$1801,MATCH(B4495,Pedidos!$A$2:$A$1801,0)),"")</f>
        <v/>
      </c>
      <c r="M4495" s="26">
        <f>IFERROR(INDEX(Pedidos!$G$2:$G$1801,MATCH(B4495,Pedidos!$A$2:$A$1801,0)),0)</f>
        <v/>
      </c>
      <c r="N4495" s="25">
        <f>IFERROR(INDEX(Produtos!$B$2:$B$71,MATCH(C4495,Produtos!$A$2:$A$71,0)),"")</f>
        <v/>
      </c>
      <c r="O4495" s="25">
        <f>IFERROR(INDEX(Produtos!$C$2:$C$71,MATCH(C4495,Produtos!$A$2:$A$71,0)),"")</f>
        <v/>
      </c>
      <c r="P4495" s="25">
        <f>IFERROR(INDEX(Produtos!$D$2:$D$71,MATCH(C4495,Produtos!$A$2:$A$71,0)),0)</f>
        <v/>
      </c>
      <c r="Q4495" s="25">
        <f>IFERROR(INDEX(Produtos!$E$2:$E$71,MATCH(C4495,Produtos!$A$2:$A$71,0)),0)</f>
        <v/>
      </c>
      <c r="R4495" s="27">
        <f>D4495*Q4495</f>
        <v/>
      </c>
      <c r="S4495" s="27">
        <f>R4495*E4495</f>
        <v/>
      </c>
      <c r="T4495" s="27">
        <f>(R4495-S4495)*M4495</f>
        <v/>
      </c>
      <c r="U4495" s="27">
        <f>R4495-S4495-T4495</f>
        <v/>
      </c>
      <c r="V4495" s="27">
        <f>D4495*P4495</f>
        <v/>
      </c>
      <c r="W4495" s="27">
        <f>U4495-V4495</f>
        <v/>
      </c>
      <c r="X4495" s="28">
        <f>IFERROR(W4495/U4495,0)</f>
        <v/>
      </c>
    </row>
    <row r="4496">
      <c r="A4496" s="21">
        <f>ItensPedido!A4496</f>
        <v/>
      </c>
      <c r="B4496" s="21">
        <f>ItensPedido!B4496</f>
        <v/>
      </c>
      <c r="C4496" s="21">
        <f>ItensPedido!C4496</f>
        <v/>
      </c>
      <c r="D4496" s="21">
        <f>ItensPedido!D4496</f>
        <v/>
      </c>
      <c r="E4496" s="22">
        <f>ItensPedido!E4496</f>
        <v/>
      </c>
      <c r="F4496" s="21">
        <f>IFERROR(INDEX(Pedidos!$B$2:$B$1801,MATCH(B4496,Pedidos!$A$2:$A$1801,0)),0)</f>
        <v/>
      </c>
      <c r="G4496" s="21">
        <f>IF(F4496=0,"",YEAR(F4496))</f>
        <v/>
      </c>
      <c r="H4496" s="21">
        <f>IF(F4496=0,"",MONTH(F4496))</f>
        <v/>
      </c>
      <c r="I4496" s="21">
        <f>IFERROR(INDEX(Pedidos!$E$2:$E$1801,MATCH(B4496,Pedidos!$A$2:$A$1801,0)),"")</f>
        <v/>
      </c>
      <c r="J4496" s="21">
        <f>IFERROR(INDEX(Pedidos!$C$2:$C$1801,MATCH(B4496,Pedidos!$A$2:$A$1801,0)),"")</f>
        <v/>
      </c>
      <c r="K4496" s="21">
        <f>IFERROR(INDEX(Pedidos!$D$2:$D$1801,MATCH(B4496,Pedidos!$A$2:$A$1801,0)),"")</f>
        <v/>
      </c>
      <c r="L4496" s="21">
        <f>IFERROR(INDEX(Pedidos!$F$2:$F$1801,MATCH(B4496,Pedidos!$A$2:$A$1801,0)),"")</f>
        <v/>
      </c>
      <c r="M4496" s="22">
        <f>IFERROR(INDEX(Pedidos!$G$2:$G$1801,MATCH(B4496,Pedidos!$A$2:$A$1801,0)),0)</f>
        <v/>
      </c>
      <c r="N4496" s="21">
        <f>IFERROR(INDEX(Produtos!$B$2:$B$71,MATCH(C4496,Produtos!$A$2:$A$71,0)),"")</f>
        <v/>
      </c>
      <c r="O4496" s="21">
        <f>IFERROR(INDEX(Produtos!$C$2:$C$71,MATCH(C4496,Produtos!$A$2:$A$71,0)),"")</f>
        <v/>
      </c>
      <c r="P4496" s="21">
        <f>IFERROR(INDEX(Produtos!$D$2:$D$71,MATCH(C4496,Produtos!$A$2:$A$71,0)),0)</f>
        <v/>
      </c>
      <c r="Q4496" s="21">
        <f>IFERROR(INDEX(Produtos!$E$2:$E$71,MATCH(C4496,Produtos!$A$2:$A$71,0)),0)</f>
        <v/>
      </c>
      <c r="R4496" s="23">
        <f>D4496*Q4496</f>
        <v/>
      </c>
      <c r="S4496" s="23">
        <f>R4496*E4496</f>
        <v/>
      </c>
      <c r="T4496" s="23">
        <f>(R4496-S4496)*M4496</f>
        <v/>
      </c>
      <c r="U4496" s="23">
        <f>R4496-S4496-T4496</f>
        <v/>
      </c>
      <c r="V4496" s="23">
        <f>D4496*P4496</f>
        <v/>
      </c>
      <c r="W4496" s="23">
        <f>U4496-V4496</f>
        <v/>
      </c>
      <c r="X4496" s="24">
        <f>IFERROR(W4496/U4496,0)</f>
        <v/>
      </c>
    </row>
    <row r="4497">
      <c r="A4497" s="25">
        <f>ItensPedido!A4497</f>
        <v/>
      </c>
      <c r="B4497" s="25">
        <f>ItensPedido!B4497</f>
        <v/>
      </c>
      <c r="C4497" s="25">
        <f>ItensPedido!C4497</f>
        <v/>
      </c>
      <c r="D4497" s="25">
        <f>ItensPedido!D4497</f>
        <v/>
      </c>
      <c r="E4497" s="26">
        <f>ItensPedido!E4497</f>
        <v/>
      </c>
      <c r="F4497" s="25">
        <f>IFERROR(INDEX(Pedidos!$B$2:$B$1801,MATCH(B4497,Pedidos!$A$2:$A$1801,0)),0)</f>
        <v/>
      </c>
      <c r="G4497" s="25">
        <f>IF(F4497=0,"",YEAR(F4497))</f>
        <v/>
      </c>
      <c r="H4497" s="25">
        <f>IF(F4497=0,"",MONTH(F4497))</f>
        <v/>
      </c>
      <c r="I4497" s="25">
        <f>IFERROR(INDEX(Pedidos!$E$2:$E$1801,MATCH(B4497,Pedidos!$A$2:$A$1801,0)),"")</f>
        <v/>
      </c>
      <c r="J4497" s="25">
        <f>IFERROR(INDEX(Pedidos!$C$2:$C$1801,MATCH(B4497,Pedidos!$A$2:$A$1801,0)),"")</f>
        <v/>
      </c>
      <c r="K4497" s="25">
        <f>IFERROR(INDEX(Pedidos!$D$2:$D$1801,MATCH(B4497,Pedidos!$A$2:$A$1801,0)),"")</f>
        <v/>
      </c>
      <c r="L4497" s="25">
        <f>IFERROR(INDEX(Pedidos!$F$2:$F$1801,MATCH(B4497,Pedidos!$A$2:$A$1801,0)),"")</f>
        <v/>
      </c>
      <c r="M4497" s="26">
        <f>IFERROR(INDEX(Pedidos!$G$2:$G$1801,MATCH(B4497,Pedidos!$A$2:$A$1801,0)),0)</f>
        <v/>
      </c>
      <c r="N4497" s="25">
        <f>IFERROR(INDEX(Produtos!$B$2:$B$71,MATCH(C4497,Produtos!$A$2:$A$71,0)),"")</f>
        <v/>
      </c>
      <c r="O4497" s="25">
        <f>IFERROR(INDEX(Produtos!$C$2:$C$71,MATCH(C4497,Produtos!$A$2:$A$71,0)),"")</f>
        <v/>
      </c>
      <c r="P4497" s="25">
        <f>IFERROR(INDEX(Produtos!$D$2:$D$71,MATCH(C4497,Produtos!$A$2:$A$71,0)),0)</f>
        <v/>
      </c>
      <c r="Q4497" s="25">
        <f>IFERROR(INDEX(Produtos!$E$2:$E$71,MATCH(C4497,Produtos!$A$2:$A$71,0)),0)</f>
        <v/>
      </c>
      <c r="R4497" s="27">
        <f>D4497*Q4497</f>
        <v/>
      </c>
      <c r="S4497" s="27">
        <f>R4497*E4497</f>
        <v/>
      </c>
      <c r="T4497" s="27">
        <f>(R4497-S4497)*M4497</f>
        <v/>
      </c>
      <c r="U4497" s="27">
        <f>R4497-S4497-T4497</f>
        <v/>
      </c>
      <c r="V4497" s="27">
        <f>D4497*P4497</f>
        <v/>
      </c>
      <c r="W4497" s="27">
        <f>U4497-V4497</f>
        <v/>
      </c>
      <c r="X4497" s="28">
        <f>IFERROR(W4497/U4497,0)</f>
        <v/>
      </c>
    </row>
    <row r="4498">
      <c r="A4498" s="21">
        <f>ItensPedido!A4498</f>
        <v/>
      </c>
      <c r="B4498" s="21">
        <f>ItensPedido!B4498</f>
        <v/>
      </c>
      <c r="C4498" s="21">
        <f>ItensPedido!C4498</f>
        <v/>
      </c>
      <c r="D4498" s="21">
        <f>ItensPedido!D4498</f>
        <v/>
      </c>
      <c r="E4498" s="22">
        <f>ItensPedido!E4498</f>
        <v/>
      </c>
      <c r="F4498" s="21">
        <f>IFERROR(INDEX(Pedidos!$B$2:$B$1801,MATCH(B4498,Pedidos!$A$2:$A$1801,0)),0)</f>
        <v/>
      </c>
      <c r="G4498" s="21">
        <f>IF(F4498=0,"",YEAR(F4498))</f>
        <v/>
      </c>
      <c r="H4498" s="21">
        <f>IF(F4498=0,"",MONTH(F4498))</f>
        <v/>
      </c>
      <c r="I4498" s="21">
        <f>IFERROR(INDEX(Pedidos!$E$2:$E$1801,MATCH(B4498,Pedidos!$A$2:$A$1801,0)),"")</f>
        <v/>
      </c>
      <c r="J4498" s="21">
        <f>IFERROR(INDEX(Pedidos!$C$2:$C$1801,MATCH(B4498,Pedidos!$A$2:$A$1801,0)),"")</f>
        <v/>
      </c>
      <c r="K4498" s="21">
        <f>IFERROR(INDEX(Pedidos!$D$2:$D$1801,MATCH(B4498,Pedidos!$A$2:$A$1801,0)),"")</f>
        <v/>
      </c>
      <c r="L4498" s="21">
        <f>IFERROR(INDEX(Pedidos!$F$2:$F$1801,MATCH(B4498,Pedidos!$A$2:$A$1801,0)),"")</f>
        <v/>
      </c>
      <c r="M4498" s="22">
        <f>IFERROR(INDEX(Pedidos!$G$2:$G$1801,MATCH(B4498,Pedidos!$A$2:$A$1801,0)),0)</f>
        <v/>
      </c>
      <c r="N4498" s="21">
        <f>IFERROR(INDEX(Produtos!$B$2:$B$71,MATCH(C4498,Produtos!$A$2:$A$71,0)),"")</f>
        <v/>
      </c>
      <c r="O4498" s="21">
        <f>IFERROR(INDEX(Produtos!$C$2:$C$71,MATCH(C4498,Produtos!$A$2:$A$71,0)),"")</f>
        <v/>
      </c>
      <c r="P4498" s="21">
        <f>IFERROR(INDEX(Produtos!$D$2:$D$71,MATCH(C4498,Produtos!$A$2:$A$71,0)),0)</f>
        <v/>
      </c>
      <c r="Q4498" s="21">
        <f>IFERROR(INDEX(Produtos!$E$2:$E$71,MATCH(C4498,Produtos!$A$2:$A$71,0)),0)</f>
        <v/>
      </c>
      <c r="R4498" s="23">
        <f>D4498*Q4498</f>
        <v/>
      </c>
      <c r="S4498" s="23">
        <f>R4498*E4498</f>
        <v/>
      </c>
      <c r="T4498" s="23">
        <f>(R4498-S4498)*M4498</f>
        <v/>
      </c>
      <c r="U4498" s="23">
        <f>R4498-S4498-T4498</f>
        <v/>
      </c>
      <c r="V4498" s="23">
        <f>D4498*P4498</f>
        <v/>
      </c>
      <c r="W4498" s="23">
        <f>U4498-V4498</f>
        <v/>
      </c>
      <c r="X4498" s="24">
        <f>IFERROR(W4498/U4498,0)</f>
        <v/>
      </c>
    </row>
    <row r="4499">
      <c r="A4499" s="25">
        <f>ItensPedido!A4499</f>
        <v/>
      </c>
      <c r="B4499" s="25">
        <f>ItensPedido!B4499</f>
        <v/>
      </c>
      <c r="C4499" s="25">
        <f>ItensPedido!C4499</f>
        <v/>
      </c>
      <c r="D4499" s="25">
        <f>ItensPedido!D4499</f>
        <v/>
      </c>
      <c r="E4499" s="26">
        <f>ItensPedido!E4499</f>
        <v/>
      </c>
      <c r="F4499" s="25">
        <f>IFERROR(INDEX(Pedidos!$B$2:$B$1801,MATCH(B4499,Pedidos!$A$2:$A$1801,0)),0)</f>
        <v/>
      </c>
      <c r="G4499" s="25">
        <f>IF(F4499=0,"",YEAR(F4499))</f>
        <v/>
      </c>
      <c r="H4499" s="25">
        <f>IF(F4499=0,"",MONTH(F4499))</f>
        <v/>
      </c>
      <c r="I4499" s="25">
        <f>IFERROR(INDEX(Pedidos!$E$2:$E$1801,MATCH(B4499,Pedidos!$A$2:$A$1801,0)),"")</f>
        <v/>
      </c>
      <c r="J4499" s="25">
        <f>IFERROR(INDEX(Pedidos!$C$2:$C$1801,MATCH(B4499,Pedidos!$A$2:$A$1801,0)),"")</f>
        <v/>
      </c>
      <c r="K4499" s="25">
        <f>IFERROR(INDEX(Pedidos!$D$2:$D$1801,MATCH(B4499,Pedidos!$A$2:$A$1801,0)),"")</f>
        <v/>
      </c>
      <c r="L4499" s="25">
        <f>IFERROR(INDEX(Pedidos!$F$2:$F$1801,MATCH(B4499,Pedidos!$A$2:$A$1801,0)),"")</f>
        <v/>
      </c>
      <c r="M4499" s="26">
        <f>IFERROR(INDEX(Pedidos!$G$2:$G$1801,MATCH(B4499,Pedidos!$A$2:$A$1801,0)),0)</f>
        <v/>
      </c>
      <c r="N4499" s="25">
        <f>IFERROR(INDEX(Produtos!$B$2:$B$71,MATCH(C4499,Produtos!$A$2:$A$71,0)),"")</f>
        <v/>
      </c>
      <c r="O4499" s="25">
        <f>IFERROR(INDEX(Produtos!$C$2:$C$71,MATCH(C4499,Produtos!$A$2:$A$71,0)),"")</f>
        <v/>
      </c>
      <c r="P4499" s="25">
        <f>IFERROR(INDEX(Produtos!$D$2:$D$71,MATCH(C4499,Produtos!$A$2:$A$71,0)),0)</f>
        <v/>
      </c>
      <c r="Q4499" s="25">
        <f>IFERROR(INDEX(Produtos!$E$2:$E$71,MATCH(C4499,Produtos!$A$2:$A$71,0)),0)</f>
        <v/>
      </c>
      <c r="R4499" s="27">
        <f>D4499*Q4499</f>
        <v/>
      </c>
      <c r="S4499" s="27">
        <f>R4499*E4499</f>
        <v/>
      </c>
      <c r="T4499" s="27">
        <f>(R4499-S4499)*M4499</f>
        <v/>
      </c>
      <c r="U4499" s="27">
        <f>R4499-S4499-T4499</f>
        <v/>
      </c>
      <c r="V4499" s="27">
        <f>D4499*P4499</f>
        <v/>
      </c>
      <c r="W4499" s="27">
        <f>U4499-V4499</f>
        <v/>
      </c>
      <c r="X4499" s="28">
        <f>IFERROR(W4499/U4499,0)</f>
        <v/>
      </c>
    </row>
    <row r="4500">
      <c r="A4500" s="21">
        <f>ItensPedido!A4500</f>
        <v/>
      </c>
      <c r="B4500" s="21">
        <f>ItensPedido!B4500</f>
        <v/>
      </c>
      <c r="C4500" s="21">
        <f>ItensPedido!C4500</f>
        <v/>
      </c>
      <c r="D4500" s="21">
        <f>ItensPedido!D4500</f>
        <v/>
      </c>
      <c r="E4500" s="22">
        <f>ItensPedido!E4500</f>
        <v/>
      </c>
      <c r="F4500" s="21">
        <f>IFERROR(INDEX(Pedidos!$B$2:$B$1801,MATCH(B4500,Pedidos!$A$2:$A$1801,0)),0)</f>
        <v/>
      </c>
      <c r="G4500" s="21">
        <f>IF(F4500=0,"",YEAR(F4500))</f>
        <v/>
      </c>
      <c r="H4500" s="21">
        <f>IF(F4500=0,"",MONTH(F4500))</f>
        <v/>
      </c>
      <c r="I4500" s="21">
        <f>IFERROR(INDEX(Pedidos!$E$2:$E$1801,MATCH(B4500,Pedidos!$A$2:$A$1801,0)),"")</f>
        <v/>
      </c>
      <c r="J4500" s="21">
        <f>IFERROR(INDEX(Pedidos!$C$2:$C$1801,MATCH(B4500,Pedidos!$A$2:$A$1801,0)),"")</f>
        <v/>
      </c>
      <c r="K4500" s="21">
        <f>IFERROR(INDEX(Pedidos!$D$2:$D$1801,MATCH(B4500,Pedidos!$A$2:$A$1801,0)),"")</f>
        <v/>
      </c>
      <c r="L4500" s="21">
        <f>IFERROR(INDEX(Pedidos!$F$2:$F$1801,MATCH(B4500,Pedidos!$A$2:$A$1801,0)),"")</f>
        <v/>
      </c>
      <c r="M4500" s="22">
        <f>IFERROR(INDEX(Pedidos!$G$2:$G$1801,MATCH(B4500,Pedidos!$A$2:$A$1801,0)),0)</f>
        <v/>
      </c>
      <c r="N4500" s="21">
        <f>IFERROR(INDEX(Produtos!$B$2:$B$71,MATCH(C4500,Produtos!$A$2:$A$71,0)),"")</f>
        <v/>
      </c>
      <c r="O4500" s="21">
        <f>IFERROR(INDEX(Produtos!$C$2:$C$71,MATCH(C4500,Produtos!$A$2:$A$71,0)),"")</f>
        <v/>
      </c>
      <c r="P4500" s="21">
        <f>IFERROR(INDEX(Produtos!$D$2:$D$71,MATCH(C4500,Produtos!$A$2:$A$71,0)),0)</f>
        <v/>
      </c>
      <c r="Q4500" s="21">
        <f>IFERROR(INDEX(Produtos!$E$2:$E$71,MATCH(C4500,Produtos!$A$2:$A$71,0)),0)</f>
        <v/>
      </c>
      <c r="R4500" s="23">
        <f>D4500*Q4500</f>
        <v/>
      </c>
      <c r="S4500" s="23">
        <f>R4500*E4500</f>
        <v/>
      </c>
      <c r="T4500" s="23">
        <f>(R4500-S4500)*M4500</f>
        <v/>
      </c>
      <c r="U4500" s="23">
        <f>R4500-S4500-T4500</f>
        <v/>
      </c>
      <c r="V4500" s="23">
        <f>D4500*P4500</f>
        <v/>
      </c>
      <c r="W4500" s="23">
        <f>U4500-V4500</f>
        <v/>
      </c>
      <c r="X4500" s="24">
        <f>IFERROR(W4500/U4500,0)</f>
        <v/>
      </c>
    </row>
    <row r="4501">
      <c r="A4501" s="25">
        <f>ItensPedido!A4501</f>
        <v/>
      </c>
      <c r="B4501" s="25">
        <f>ItensPedido!B4501</f>
        <v/>
      </c>
      <c r="C4501" s="25">
        <f>ItensPedido!C4501</f>
        <v/>
      </c>
      <c r="D4501" s="25">
        <f>ItensPedido!D4501</f>
        <v/>
      </c>
      <c r="E4501" s="26">
        <f>ItensPedido!E4501</f>
        <v/>
      </c>
      <c r="F4501" s="25">
        <f>IFERROR(INDEX(Pedidos!$B$2:$B$1801,MATCH(B4501,Pedidos!$A$2:$A$1801,0)),0)</f>
        <v/>
      </c>
      <c r="G4501" s="25">
        <f>IF(F4501=0,"",YEAR(F4501))</f>
        <v/>
      </c>
      <c r="H4501" s="25">
        <f>IF(F4501=0,"",MONTH(F4501))</f>
        <v/>
      </c>
      <c r="I4501" s="25">
        <f>IFERROR(INDEX(Pedidos!$E$2:$E$1801,MATCH(B4501,Pedidos!$A$2:$A$1801,0)),"")</f>
        <v/>
      </c>
      <c r="J4501" s="25">
        <f>IFERROR(INDEX(Pedidos!$C$2:$C$1801,MATCH(B4501,Pedidos!$A$2:$A$1801,0)),"")</f>
        <v/>
      </c>
      <c r="K4501" s="25">
        <f>IFERROR(INDEX(Pedidos!$D$2:$D$1801,MATCH(B4501,Pedidos!$A$2:$A$1801,0)),"")</f>
        <v/>
      </c>
      <c r="L4501" s="25">
        <f>IFERROR(INDEX(Pedidos!$F$2:$F$1801,MATCH(B4501,Pedidos!$A$2:$A$1801,0)),"")</f>
        <v/>
      </c>
      <c r="M4501" s="26">
        <f>IFERROR(INDEX(Pedidos!$G$2:$G$1801,MATCH(B4501,Pedidos!$A$2:$A$1801,0)),0)</f>
        <v/>
      </c>
      <c r="N4501" s="25">
        <f>IFERROR(INDEX(Produtos!$B$2:$B$71,MATCH(C4501,Produtos!$A$2:$A$71,0)),"")</f>
        <v/>
      </c>
      <c r="O4501" s="25">
        <f>IFERROR(INDEX(Produtos!$C$2:$C$71,MATCH(C4501,Produtos!$A$2:$A$71,0)),"")</f>
        <v/>
      </c>
      <c r="P4501" s="25">
        <f>IFERROR(INDEX(Produtos!$D$2:$D$71,MATCH(C4501,Produtos!$A$2:$A$71,0)),0)</f>
        <v/>
      </c>
      <c r="Q4501" s="25">
        <f>IFERROR(INDEX(Produtos!$E$2:$E$71,MATCH(C4501,Produtos!$A$2:$A$71,0)),0)</f>
        <v/>
      </c>
      <c r="R4501" s="27">
        <f>D4501*Q4501</f>
        <v/>
      </c>
      <c r="S4501" s="27">
        <f>R4501*E4501</f>
        <v/>
      </c>
      <c r="T4501" s="27">
        <f>(R4501-S4501)*M4501</f>
        <v/>
      </c>
      <c r="U4501" s="27">
        <f>R4501-S4501-T4501</f>
        <v/>
      </c>
      <c r="V4501" s="27">
        <f>D4501*P4501</f>
        <v/>
      </c>
      <c r="W4501" s="27">
        <f>U4501-V4501</f>
        <v/>
      </c>
      <c r="X4501" s="28">
        <f>IFERROR(W4501/U4501,0)</f>
        <v/>
      </c>
    </row>
    <row r="4502">
      <c r="A4502" s="21">
        <f>ItensPedido!A4502</f>
        <v/>
      </c>
      <c r="B4502" s="21">
        <f>ItensPedido!B4502</f>
        <v/>
      </c>
      <c r="C4502" s="21">
        <f>ItensPedido!C4502</f>
        <v/>
      </c>
      <c r="D4502" s="21">
        <f>ItensPedido!D4502</f>
        <v/>
      </c>
      <c r="E4502" s="22">
        <f>ItensPedido!E4502</f>
        <v/>
      </c>
      <c r="F4502" s="21">
        <f>IFERROR(INDEX(Pedidos!$B$2:$B$1801,MATCH(B4502,Pedidos!$A$2:$A$1801,0)),0)</f>
        <v/>
      </c>
      <c r="G4502" s="21">
        <f>IF(F4502=0,"",YEAR(F4502))</f>
        <v/>
      </c>
      <c r="H4502" s="21">
        <f>IF(F4502=0,"",MONTH(F4502))</f>
        <v/>
      </c>
      <c r="I4502" s="21">
        <f>IFERROR(INDEX(Pedidos!$E$2:$E$1801,MATCH(B4502,Pedidos!$A$2:$A$1801,0)),"")</f>
        <v/>
      </c>
      <c r="J4502" s="21">
        <f>IFERROR(INDEX(Pedidos!$C$2:$C$1801,MATCH(B4502,Pedidos!$A$2:$A$1801,0)),"")</f>
        <v/>
      </c>
      <c r="K4502" s="21">
        <f>IFERROR(INDEX(Pedidos!$D$2:$D$1801,MATCH(B4502,Pedidos!$A$2:$A$1801,0)),"")</f>
        <v/>
      </c>
      <c r="L4502" s="21">
        <f>IFERROR(INDEX(Pedidos!$F$2:$F$1801,MATCH(B4502,Pedidos!$A$2:$A$1801,0)),"")</f>
        <v/>
      </c>
      <c r="M4502" s="22">
        <f>IFERROR(INDEX(Pedidos!$G$2:$G$1801,MATCH(B4502,Pedidos!$A$2:$A$1801,0)),0)</f>
        <v/>
      </c>
      <c r="N4502" s="21">
        <f>IFERROR(INDEX(Produtos!$B$2:$B$71,MATCH(C4502,Produtos!$A$2:$A$71,0)),"")</f>
        <v/>
      </c>
      <c r="O4502" s="21">
        <f>IFERROR(INDEX(Produtos!$C$2:$C$71,MATCH(C4502,Produtos!$A$2:$A$71,0)),"")</f>
        <v/>
      </c>
      <c r="P4502" s="21">
        <f>IFERROR(INDEX(Produtos!$D$2:$D$71,MATCH(C4502,Produtos!$A$2:$A$71,0)),0)</f>
        <v/>
      </c>
      <c r="Q4502" s="21">
        <f>IFERROR(INDEX(Produtos!$E$2:$E$71,MATCH(C4502,Produtos!$A$2:$A$71,0)),0)</f>
        <v/>
      </c>
      <c r="R4502" s="23">
        <f>D4502*Q4502</f>
        <v/>
      </c>
      <c r="S4502" s="23">
        <f>R4502*E4502</f>
        <v/>
      </c>
      <c r="T4502" s="23">
        <f>(R4502-S4502)*M4502</f>
        <v/>
      </c>
      <c r="U4502" s="23">
        <f>R4502-S4502-T4502</f>
        <v/>
      </c>
      <c r="V4502" s="23">
        <f>D4502*P4502</f>
        <v/>
      </c>
      <c r="W4502" s="23">
        <f>U4502-V4502</f>
        <v/>
      </c>
      <c r="X4502" s="24">
        <f>IFERROR(W4502/U4502,0)</f>
        <v/>
      </c>
    </row>
    <row r="4503">
      <c r="A4503" s="25">
        <f>ItensPedido!A4503</f>
        <v/>
      </c>
      <c r="B4503" s="25">
        <f>ItensPedido!B4503</f>
        <v/>
      </c>
      <c r="C4503" s="25">
        <f>ItensPedido!C4503</f>
        <v/>
      </c>
      <c r="D4503" s="25">
        <f>ItensPedido!D4503</f>
        <v/>
      </c>
      <c r="E4503" s="26">
        <f>ItensPedido!E4503</f>
        <v/>
      </c>
      <c r="F4503" s="25">
        <f>IFERROR(INDEX(Pedidos!$B$2:$B$1801,MATCH(B4503,Pedidos!$A$2:$A$1801,0)),0)</f>
        <v/>
      </c>
      <c r="G4503" s="25">
        <f>IF(F4503=0,"",YEAR(F4503))</f>
        <v/>
      </c>
      <c r="H4503" s="25">
        <f>IF(F4503=0,"",MONTH(F4503))</f>
        <v/>
      </c>
      <c r="I4503" s="25">
        <f>IFERROR(INDEX(Pedidos!$E$2:$E$1801,MATCH(B4503,Pedidos!$A$2:$A$1801,0)),"")</f>
        <v/>
      </c>
      <c r="J4503" s="25">
        <f>IFERROR(INDEX(Pedidos!$C$2:$C$1801,MATCH(B4503,Pedidos!$A$2:$A$1801,0)),"")</f>
        <v/>
      </c>
      <c r="K4503" s="25">
        <f>IFERROR(INDEX(Pedidos!$D$2:$D$1801,MATCH(B4503,Pedidos!$A$2:$A$1801,0)),"")</f>
        <v/>
      </c>
      <c r="L4503" s="25">
        <f>IFERROR(INDEX(Pedidos!$F$2:$F$1801,MATCH(B4503,Pedidos!$A$2:$A$1801,0)),"")</f>
        <v/>
      </c>
      <c r="M4503" s="26">
        <f>IFERROR(INDEX(Pedidos!$G$2:$G$1801,MATCH(B4503,Pedidos!$A$2:$A$1801,0)),0)</f>
        <v/>
      </c>
      <c r="N4503" s="25">
        <f>IFERROR(INDEX(Produtos!$B$2:$B$71,MATCH(C4503,Produtos!$A$2:$A$71,0)),"")</f>
        <v/>
      </c>
      <c r="O4503" s="25">
        <f>IFERROR(INDEX(Produtos!$C$2:$C$71,MATCH(C4503,Produtos!$A$2:$A$71,0)),"")</f>
        <v/>
      </c>
      <c r="P4503" s="25">
        <f>IFERROR(INDEX(Produtos!$D$2:$D$71,MATCH(C4503,Produtos!$A$2:$A$71,0)),0)</f>
        <v/>
      </c>
      <c r="Q4503" s="25">
        <f>IFERROR(INDEX(Produtos!$E$2:$E$71,MATCH(C4503,Produtos!$A$2:$A$71,0)),0)</f>
        <v/>
      </c>
      <c r="R4503" s="27">
        <f>D4503*Q4503</f>
        <v/>
      </c>
      <c r="S4503" s="27">
        <f>R4503*E4503</f>
        <v/>
      </c>
      <c r="T4503" s="27">
        <f>(R4503-S4503)*M4503</f>
        <v/>
      </c>
      <c r="U4503" s="27">
        <f>R4503-S4503-T4503</f>
        <v/>
      </c>
      <c r="V4503" s="27">
        <f>D4503*P4503</f>
        <v/>
      </c>
      <c r="W4503" s="27">
        <f>U4503-V4503</f>
        <v/>
      </c>
      <c r="X4503" s="28">
        <f>IFERROR(W4503/U4503,0)</f>
        <v/>
      </c>
    </row>
    <row r="4504">
      <c r="A4504" s="21">
        <f>ItensPedido!A4504</f>
        <v/>
      </c>
      <c r="B4504" s="21">
        <f>ItensPedido!B4504</f>
        <v/>
      </c>
      <c r="C4504" s="21">
        <f>ItensPedido!C4504</f>
        <v/>
      </c>
      <c r="D4504" s="21">
        <f>ItensPedido!D4504</f>
        <v/>
      </c>
      <c r="E4504" s="22">
        <f>ItensPedido!E4504</f>
        <v/>
      </c>
      <c r="F4504" s="21">
        <f>IFERROR(INDEX(Pedidos!$B$2:$B$1801,MATCH(B4504,Pedidos!$A$2:$A$1801,0)),0)</f>
        <v/>
      </c>
      <c r="G4504" s="21">
        <f>IF(F4504=0,"",YEAR(F4504))</f>
        <v/>
      </c>
      <c r="H4504" s="21">
        <f>IF(F4504=0,"",MONTH(F4504))</f>
        <v/>
      </c>
      <c r="I4504" s="21">
        <f>IFERROR(INDEX(Pedidos!$E$2:$E$1801,MATCH(B4504,Pedidos!$A$2:$A$1801,0)),"")</f>
        <v/>
      </c>
      <c r="J4504" s="21">
        <f>IFERROR(INDEX(Pedidos!$C$2:$C$1801,MATCH(B4504,Pedidos!$A$2:$A$1801,0)),"")</f>
        <v/>
      </c>
      <c r="K4504" s="21">
        <f>IFERROR(INDEX(Pedidos!$D$2:$D$1801,MATCH(B4504,Pedidos!$A$2:$A$1801,0)),"")</f>
        <v/>
      </c>
      <c r="L4504" s="21">
        <f>IFERROR(INDEX(Pedidos!$F$2:$F$1801,MATCH(B4504,Pedidos!$A$2:$A$1801,0)),"")</f>
        <v/>
      </c>
      <c r="M4504" s="22">
        <f>IFERROR(INDEX(Pedidos!$G$2:$G$1801,MATCH(B4504,Pedidos!$A$2:$A$1801,0)),0)</f>
        <v/>
      </c>
      <c r="N4504" s="21">
        <f>IFERROR(INDEX(Produtos!$B$2:$B$71,MATCH(C4504,Produtos!$A$2:$A$71,0)),"")</f>
        <v/>
      </c>
      <c r="O4504" s="21">
        <f>IFERROR(INDEX(Produtos!$C$2:$C$71,MATCH(C4504,Produtos!$A$2:$A$71,0)),"")</f>
        <v/>
      </c>
      <c r="P4504" s="21">
        <f>IFERROR(INDEX(Produtos!$D$2:$D$71,MATCH(C4504,Produtos!$A$2:$A$71,0)),0)</f>
        <v/>
      </c>
      <c r="Q4504" s="21">
        <f>IFERROR(INDEX(Produtos!$E$2:$E$71,MATCH(C4504,Produtos!$A$2:$A$71,0)),0)</f>
        <v/>
      </c>
      <c r="R4504" s="23">
        <f>D4504*Q4504</f>
        <v/>
      </c>
      <c r="S4504" s="23">
        <f>R4504*E4504</f>
        <v/>
      </c>
      <c r="T4504" s="23">
        <f>(R4504-S4504)*M4504</f>
        <v/>
      </c>
      <c r="U4504" s="23">
        <f>R4504-S4504-T4504</f>
        <v/>
      </c>
      <c r="V4504" s="23">
        <f>D4504*P4504</f>
        <v/>
      </c>
      <c r="W4504" s="23">
        <f>U4504-V4504</f>
        <v/>
      </c>
      <c r="X4504" s="24">
        <f>IFERROR(W4504/U4504,0)</f>
        <v/>
      </c>
    </row>
    <row r="4505">
      <c r="A4505" s="25">
        <f>ItensPedido!A4505</f>
        <v/>
      </c>
      <c r="B4505" s="25">
        <f>ItensPedido!B4505</f>
        <v/>
      </c>
      <c r="C4505" s="25">
        <f>ItensPedido!C4505</f>
        <v/>
      </c>
      <c r="D4505" s="25">
        <f>ItensPedido!D4505</f>
        <v/>
      </c>
      <c r="E4505" s="26">
        <f>ItensPedido!E4505</f>
        <v/>
      </c>
      <c r="F4505" s="25">
        <f>IFERROR(INDEX(Pedidos!$B$2:$B$1801,MATCH(B4505,Pedidos!$A$2:$A$1801,0)),0)</f>
        <v/>
      </c>
      <c r="G4505" s="25">
        <f>IF(F4505=0,"",YEAR(F4505))</f>
        <v/>
      </c>
      <c r="H4505" s="25">
        <f>IF(F4505=0,"",MONTH(F4505))</f>
        <v/>
      </c>
      <c r="I4505" s="25">
        <f>IFERROR(INDEX(Pedidos!$E$2:$E$1801,MATCH(B4505,Pedidos!$A$2:$A$1801,0)),"")</f>
        <v/>
      </c>
      <c r="J4505" s="25">
        <f>IFERROR(INDEX(Pedidos!$C$2:$C$1801,MATCH(B4505,Pedidos!$A$2:$A$1801,0)),"")</f>
        <v/>
      </c>
      <c r="K4505" s="25">
        <f>IFERROR(INDEX(Pedidos!$D$2:$D$1801,MATCH(B4505,Pedidos!$A$2:$A$1801,0)),"")</f>
        <v/>
      </c>
      <c r="L4505" s="25">
        <f>IFERROR(INDEX(Pedidos!$F$2:$F$1801,MATCH(B4505,Pedidos!$A$2:$A$1801,0)),"")</f>
        <v/>
      </c>
      <c r="M4505" s="26">
        <f>IFERROR(INDEX(Pedidos!$G$2:$G$1801,MATCH(B4505,Pedidos!$A$2:$A$1801,0)),0)</f>
        <v/>
      </c>
      <c r="N4505" s="25">
        <f>IFERROR(INDEX(Produtos!$B$2:$B$71,MATCH(C4505,Produtos!$A$2:$A$71,0)),"")</f>
        <v/>
      </c>
      <c r="O4505" s="25">
        <f>IFERROR(INDEX(Produtos!$C$2:$C$71,MATCH(C4505,Produtos!$A$2:$A$71,0)),"")</f>
        <v/>
      </c>
      <c r="P4505" s="25">
        <f>IFERROR(INDEX(Produtos!$D$2:$D$71,MATCH(C4505,Produtos!$A$2:$A$71,0)),0)</f>
        <v/>
      </c>
      <c r="Q4505" s="25">
        <f>IFERROR(INDEX(Produtos!$E$2:$E$71,MATCH(C4505,Produtos!$A$2:$A$71,0)),0)</f>
        <v/>
      </c>
      <c r="R4505" s="27">
        <f>D4505*Q4505</f>
        <v/>
      </c>
      <c r="S4505" s="27">
        <f>R4505*E4505</f>
        <v/>
      </c>
      <c r="T4505" s="27">
        <f>(R4505-S4505)*M4505</f>
        <v/>
      </c>
      <c r="U4505" s="27">
        <f>R4505-S4505-T4505</f>
        <v/>
      </c>
      <c r="V4505" s="27">
        <f>D4505*P4505</f>
        <v/>
      </c>
      <c r="W4505" s="27">
        <f>U4505-V4505</f>
        <v/>
      </c>
      <c r="X4505" s="28">
        <f>IFERROR(W4505/U4505,0)</f>
        <v/>
      </c>
    </row>
    <row r="4506">
      <c r="A4506" s="21">
        <f>ItensPedido!A4506</f>
        <v/>
      </c>
      <c r="B4506" s="21">
        <f>ItensPedido!B4506</f>
        <v/>
      </c>
      <c r="C4506" s="21">
        <f>ItensPedido!C4506</f>
        <v/>
      </c>
      <c r="D4506" s="21">
        <f>ItensPedido!D4506</f>
        <v/>
      </c>
      <c r="E4506" s="22">
        <f>ItensPedido!E4506</f>
        <v/>
      </c>
      <c r="F4506" s="21">
        <f>IFERROR(INDEX(Pedidos!$B$2:$B$1801,MATCH(B4506,Pedidos!$A$2:$A$1801,0)),0)</f>
        <v/>
      </c>
      <c r="G4506" s="21">
        <f>IF(F4506=0,"",YEAR(F4506))</f>
        <v/>
      </c>
      <c r="H4506" s="21">
        <f>IF(F4506=0,"",MONTH(F4506))</f>
        <v/>
      </c>
      <c r="I4506" s="21">
        <f>IFERROR(INDEX(Pedidos!$E$2:$E$1801,MATCH(B4506,Pedidos!$A$2:$A$1801,0)),"")</f>
        <v/>
      </c>
      <c r="J4506" s="21">
        <f>IFERROR(INDEX(Pedidos!$C$2:$C$1801,MATCH(B4506,Pedidos!$A$2:$A$1801,0)),"")</f>
        <v/>
      </c>
      <c r="K4506" s="21">
        <f>IFERROR(INDEX(Pedidos!$D$2:$D$1801,MATCH(B4506,Pedidos!$A$2:$A$1801,0)),"")</f>
        <v/>
      </c>
      <c r="L4506" s="21">
        <f>IFERROR(INDEX(Pedidos!$F$2:$F$1801,MATCH(B4506,Pedidos!$A$2:$A$1801,0)),"")</f>
        <v/>
      </c>
      <c r="M4506" s="22">
        <f>IFERROR(INDEX(Pedidos!$G$2:$G$1801,MATCH(B4506,Pedidos!$A$2:$A$1801,0)),0)</f>
        <v/>
      </c>
      <c r="N4506" s="21">
        <f>IFERROR(INDEX(Produtos!$B$2:$B$71,MATCH(C4506,Produtos!$A$2:$A$71,0)),"")</f>
        <v/>
      </c>
      <c r="O4506" s="21">
        <f>IFERROR(INDEX(Produtos!$C$2:$C$71,MATCH(C4506,Produtos!$A$2:$A$71,0)),"")</f>
        <v/>
      </c>
      <c r="P4506" s="21">
        <f>IFERROR(INDEX(Produtos!$D$2:$D$71,MATCH(C4506,Produtos!$A$2:$A$71,0)),0)</f>
        <v/>
      </c>
      <c r="Q4506" s="21">
        <f>IFERROR(INDEX(Produtos!$E$2:$E$71,MATCH(C4506,Produtos!$A$2:$A$71,0)),0)</f>
        <v/>
      </c>
      <c r="R4506" s="23">
        <f>D4506*Q4506</f>
        <v/>
      </c>
      <c r="S4506" s="23">
        <f>R4506*E4506</f>
        <v/>
      </c>
      <c r="T4506" s="23">
        <f>(R4506-S4506)*M4506</f>
        <v/>
      </c>
      <c r="U4506" s="23">
        <f>R4506-S4506-T4506</f>
        <v/>
      </c>
      <c r="V4506" s="23">
        <f>D4506*P4506</f>
        <v/>
      </c>
      <c r="W4506" s="23">
        <f>U4506-V4506</f>
        <v/>
      </c>
      <c r="X4506" s="24">
        <f>IFERROR(W4506/U4506,0)</f>
        <v/>
      </c>
    </row>
    <row r="4507">
      <c r="A4507" s="25">
        <f>ItensPedido!A4507</f>
        <v/>
      </c>
      <c r="B4507" s="25">
        <f>ItensPedido!B4507</f>
        <v/>
      </c>
      <c r="C4507" s="25">
        <f>ItensPedido!C4507</f>
        <v/>
      </c>
      <c r="D4507" s="25">
        <f>ItensPedido!D4507</f>
        <v/>
      </c>
      <c r="E4507" s="26">
        <f>ItensPedido!E4507</f>
        <v/>
      </c>
      <c r="F4507" s="25">
        <f>IFERROR(INDEX(Pedidos!$B$2:$B$1801,MATCH(B4507,Pedidos!$A$2:$A$1801,0)),0)</f>
        <v/>
      </c>
      <c r="G4507" s="25">
        <f>IF(F4507=0,"",YEAR(F4507))</f>
        <v/>
      </c>
      <c r="H4507" s="25">
        <f>IF(F4507=0,"",MONTH(F4507))</f>
        <v/>
      </c>
      <c r="I4507" s="25">
        <f>IFERROR(INDEX(Pedidos!$E$2:$E$1801,MATCH(B4507,Pedidos!$A$2:$A$1801,0)),"")</f>
        <v/>
      </c>
      <c r="J4507" s="25">
        <f>IFERROR(INDEX(Pedidos!$C$2:$C$1801,MATCH(B4507,Pedidos!$A$2:$A$1801,0)),"")</f>
        <v/>
      </c>
      <c r="K4507" s="25">
        <f>IFERROR(INDEX(Pedidos!$D$2:$D$1801,MATCH(B4507,Pedidos!$A$2:$A$1801,0)),"")</f>
        <v/>
      </c>
      <c r="L4507" s="25">
        <f>IFERROR(INDEX(Pedidos!$F$2:$F$1801,MATCH(B4507,Pedidos!$A$2:$A$1801,0)),"")</f>
        <v/>
      </c>
      <c r="M4507" s="26">
        <f>IFERROR(INDEX(Pedidos!$G$2:$G$1801,MATCH(B4507,Pedidos!$A$2:$A$1801,0)),0)</f>
        <v/>
      </c>
      <c r="N4507" s="25">
        <f>IFERROR(INDEX(Produtos!$B$2:$B$71,MATCH(C4507,Produtos!$A$2:$A$71,0)),"")</f>
        <v/>
      </c>
      <c r="O4507" s="25">
        <f>IFERROR(INDEX(Produtos!$C$2:$C$71,MATCH(C4507,Produtos!$A$2:$A$71,0)),"")</f>
        <v/>
      </c>
      <c r="P4507" s="25">
        <f>IFERROR(INDEX(Produtos!$D$2:$D$71,MATCH(C4507,Produtos!$A$2:$A$71,0)),0)</f>
        <v/>
      </c>
      <c r="Q4507" s="25">
        <f>IFERROR(INDEX(Produtos!$E$2:$E$71,MATCH(C4507,Produtos!$A$2:$A$71,0)),0)</f>
        <v/>
      </c>
      <c r="R4507" s="27">
        <f>D4507*Q4507</f>
        <v/>
      </c>
      <c r="S4507" s="27">
        <f>R4507*E4507</f>
        <v/>
      </c>
      <c r="T4507" s="27">
        <f>(R4507-S4507)*M4507</f>
        <v/>
      </c>
      <c r="U4507" s="27">
        <f>R4507-S4507-T4507</f>
        <v/>
      </c>
      <c r="V4507" s="27">
        <f>D4507*P4507</f>
        <v/>
      </c>
      <c r="W4507" s="27">
        <f>U4507-V4507</f>
        <v/>
      </c>
      <c r="X4507" s="28">
        <f>IFERROR(W4507/U4507,0)</f>
        <v/>
      </c>
    </row>
    <row r="4508">
      <c r="A4508" s="21">
        <f>ItensPedido!A4508</f>
        <v/>
      </c>
      <c r="B4508" s="21">
        <f>ItensPedido!B4508</f>
        <v/>
      </c>
      <c r="C4508" s="21">
        <f>ItensPedido!C4508</f>
        <v/>
      </c>
      <c r="D4508" s="21">
        <f>ItensPedido!D4508</f>
        <v/>
      </c>
      <c r="E4508" s="22">
        <f>ItensPedido!E4508</f>
        <v/>
      </c>
      <c r="F4508" s="21">
        <f>IFERROR(INDEX(Pedidos!$B$2:$B$1801,MATCH(B4508,Pedidos!$A$2:$A$1801,0)),0)</f>
        <v/>
      </c>
      <c r="G4508" s="21">
        <f>IF(F4508=0,"",YEAR(F4508))</f>
        <v/>
      </c>
      <c r="H4508" s="21">
        <f>IF(F4508=0,"",MONTH(F4508))</f>
        <v/>
      </c>
      <c r="I4508" s="21">
        <f>IFERROR(INDEX(Pedidos!$E$2:$E$1801,MATCH(B4508,Pedidos!$A$2:$A$1801,0)),"")</f>
        <v/>
      </c>
      <c r="J4508" s="21">
        <f>IFERROR(INDEX(Pedidos!$C$2:$C$1801,MATCH(B4508,Pedidos!$A$2:$A$1801,0)),"")</f>
        <v/>
      </c>
      <c r="K4508" s="21">
        <f>IFERROR(INDEX(Pedidos!$D$2:$D$1801,MATCH(B4508,Pedidos!$A$2:$A$1801,0)),"")</f>
        <v/>
      </c>
      <c r="L4508" s="21">
        <f>IFERROR(INDEX(Pedidos!$F$2:$F$1801,MATCH(B4508,Pedidos!$A$2:$A$1801,0)),"")</f>
        <v/>
      </c>
      <c r="M4508" s="22">
        <f>IFERROR(INDEX(Pedidos!$G$2:$G$1801,MATCH(B4508,Pedidos!$A$2:$A$1801,0)),0)</f>
        <v/>
      </c>
      <c r="N4508" s="21">
        <f>IFERROR(INDEX(Produtos!$B$2:$B$71,MATCH(C4508,Produtos!$A$2:$A$71,0)),"")</f>
        <v/>
      </c>
      <c r="O4508" s="21">
        <f>IFERROR(INDEX(Produtos!$C$2:$C$71,MATCH(C4508,Produtos!$A$2:$A$71,0)),"")</f>
        <v/>
      </c>
      <c r="P4508" s="21">
        <f>IFERROR(INDEX(Produtos!$D$2:$D$71,MATCH(C4508,Produtos!$A$2:$A$71,0)),0)</f>
        <v/>
      </c>
      <c r="Q4508" s="21">
        <f>IFERROR(INDEX(Produtos!$E$2:$E$71,MATCH(C4508,Produtos!$A$2:$A$71,0)),0)</f>
        <v/>
      </c>
      <c r="R4508" s="23">
        <f>D4508*Q4508</f>
        <v/>
      </c>
      <c r="S4508" s="23">
        <f>R4508*E4508</f>
        <v/>
      </c>
      <c r="T4508" s="23">
        <f>(R4508-S4508)*M4508</f>
        <v/>
      </c>
      <c r="U4508" s="23">
        <f>R4508-S4508-T4508</f>
        <v/>
      </c>
      <c r="V4508" s="23">
        <f>D4508*P4508</f>
        <v/>
      </c>
      <c r="W4508" s="23">
        <f>U4508-V4508</f>
        <v/>
      </c>
      <c r="X4508" s="24">
        <f>IFERROR(W4508/U4508,0)</f>
        <v/>
      </c>
    </row>
    <row r="4509">
      <c r="A4509" s="25">
        <f>ItensPedido!A4509</f>
        <v/>
      </c>
      <c r="B4509" s="25">
        <f>ItensPedido!B4509</f>
        <v/>
      </c>
      <c r="C4509" s="25">
        <f>ItensPedido!C4509</f>
        <v/>
      </c>
      <c r="D4509" s="25">
        <f>ItensPedido!D4509</f>
        <v/>
      </c>
      <c r="E4509" s="26">
        <f>ItensPedido!E4509</f>
        <v/>
      </c>
      <c r="F4509" s="25">
        <f>IFERROR(INDEX(Pedidos!$B$2:$B$1801,MATCH(B4509,Pedidos!$A$2:$A$1801,0)),0)</f>
        <v/>
      </c>
      <c r="G4509" s="25">
        <f>IF(F4509=0,"",YEAR(F4509))</f>
        <v/>
      </c>
      <c r="H4509" s="25">
        <f>IF(F4509=0,"",MONTH(F4509))</f>
        <v/>
      </c>
      <c r="I4509" s="25">
        <f>IFERROR(INDEX(Pedidos!$E$2:$E$1801,MATCH(B4509,Pedidos!$A$2:$A$1801,0)),"")</f>
        <v/>
      </c>
      <c r="J4509" s="25">
        <f>IFERROR(INDEX(Pedidos!$C$2:$C$1801,MATCH(B4509,Pedidos!$A$2:$A$1801,0)),"")</f>
        <v/>
      </c>
      <c r="K4509" s="25">
        <f>IFERROR(INDEX(Pedidos!$D$2:$D$1801,MATCH(B4509,Pedidos!$A$2:$A$1801,0)),"")</f>
        <v/>
      </c>
      <c r="L4509" s="25">
        <f>IFERROR(INDEX(Pedidos!$F$2:$F$1801,MATCH(B4509,Pedidos!$A$2:$A$1801,0)),"")</f>
        <v/>
      </c>
      <c r="M4509" s="26">
        <f>IFERROR(INDEX(Pedidos!$G$2:$G$1801,MATCH(B4509,Pedidos!$A$2:$A$1801,0)),0)</f>
        <v/>
      </c>
      <c r="N4509" s="25">
        <f>IFERROR(INDEX(Produtos!$B$2:$B$71,MATCH(C4509,Produtos!$A$2:$A$71,0)),"")</f>
        <v/>
      </c>
      <c r="O4509" s="25">
        <f>IFERROR(INDEX(Produtos!$C$2:$C$71,MATCH(C4509,Produtos!$A$2:$A$71,0)),"")</f>
        <v/>
      </c>
      <c r="P4509" s="25">
        <f>IFERROR(INDEX(Produtos!$D$2:$D$71,MATCH(C4509,Produtos!$A$2:$A$71,0)),0)</f>
        <v/>
      </c>
      <c r="Q4509" s="25">
        <f>IFERROR(INDEX(Produtos!$E$2:$E$71,MATCH(C4509,Produtos!$A$2:$A$71,0)),0)</f>
        <v/>
      </c>
      <c r="R4509" s="27">
        <f>D4509*Q4509</f>
        <v/>
      </c>
      <c r="S4509" s="27">
        <f>R4509*E4509</f>
        <v/>
      </c>
      <c r="T4509" s="27">
        <f>(R4509-S4509)*M4509</f>
        <v/>
      </c>
      <c r="U4509" s="27">
        <f>R4509-S4509-T4509</f>
        <v/>
      </c>
      <c r="V4509" s="27">
        <f>D4509*P4509</f>
        <v/>
      </c>
      <c r="W4509" s="27">
        <f>U4509-V4509</f>
        <v/>
      </c>
      <c r="X4509" s="28">
        <f>IFERROR(W4509/U4509,0)</f>
        <v/>
      </c>
    </row>
    <row r="4510">
      <c r="A4510" s="21">
        <f>ItensPedido!A4510</f>
        <v/>
      </c>
      <c r="B4510" s="21">
        <f>ItensPedido!B4510</f>
        <v/>
      </c>
      <c r="C4510" s="21">
        <f>ItensPedido!C4510</f>
        <v/>
      </c>
      <c r="D4510" s="21">
        <f>ItensPedido!D4510</f>
        <v/>
      </c>
      <c r="E4510" s="22">
        <f>ItensPedido!E4510</f>
        <v/>
      </c>
      <c r="F4510" s="21">
        <f>IFERROR(INDEX(Pedidos!$B$2:$B$1801,MATCH(B4510,Pedidos!$A$2:$A$1801,0)),0)</f>
        <v/>
      </c>
      <c r="G4510" s="21">
        <f>IF(F4510=0,"",YEAR(F4510))</f>
        <v/>
      </c>
      <c r="H4510" s="21">
        <f>IF(F4510=0,"",MONTH(F4510))</f>
        <v/>
      </c>
      <c r="I4510" s="21">
        <f>IFERROR(INDEX(Pedidos!$E$2:$E$1801,MATCH(B4510,Pedidos!$A$2:$A$1801,0)),"")</f>
        <v/>
      </c>
      <c r="J4510" s="21">
        <f>IFERROR(INDEX(Pedidos!$C$2:$C$1801,MATCH(B4510,Pedidos!$A$2:$A$1801,0)),"")</f>
        <v/>
      </c>
      <c r="K4510" s="21">
        <f>IFERROR(INDEX(Pedidos!$D$2:$D$1801,MATCH(B4510,Pedidos!$A$2:$A$1801,0)),"")</f>
        <v/>
      </c>
      <c r="L4510" s="21">
        <f>IFERROR(INDEX(Pedidos!$F$2:$F$1801,MATCH(B4510,Pedidos!$A$2:$A$1801,0)),"")</f>
        <v/>
      </c>
      <c r="M4510" s="22">
        <f>IFERROR(INDEX(Pedidos!$G$2:$G$1801,MATCH(B4510,Pedidos!$A$2:$A$1801,0)),0)</f>
        <v/>
      </c>
      <c r="N4510" s="21">
        <f>IFERROR(INDEX(Produtos!$B$2:$B$71,MATCH(C4510,Produtos!$A$2:$A$71,0)),"")</f>
        <v/>
      </c>
      <c r="O4510" s="21">
        <f>IFERROR(INDEX(Produtos!$C$2:$C$71,MATCH(C4510,Produtos!$A$2:$A$71,0)),"")</f>
        <v/>
      </c>
      <c r="P4510" s="21">
        <f>IFERROR(INDEX(Produtos!$D$2:$D$71,MATCH(C4510,Produtos!$A$2:$A$71,0)),0)</f>
        <v/>
      </c>
      <c r="Q4510" s="21">
        <f>IFERROR(INDEX(Produtos!$E$2:$E$71,MATCH(C4510,Produtos!$A$2:$A$71,0)),0)</f>
        <v/>
      </c>
      <c r="R4510" s="23">
        <f>D4510*Q4510</f>
        <v/>
      </c>
      <c r="S4510" s="23">
        <f>R4510*E4510</f>
        <v/>
      </c>
      <c r="T4510" s="23">
        <f>(R4510-S4510)*M4510</f>
        <v/>
      </c>
      <c r="U4510" s="23">
        <f>R4510-S4510-T4510</f>
        <v/>
      </c>
      <c r="V4510" s="23">
        <f>D4510*P4510</f>
        <v/>
      </c>
      <c r="W4510" s="23">
        <f>U4510-V4510</f>
        <v/>
      </c>
      <c r="X4510" s="24">
        <f>IFERROR(W4510/U4510,0)</f>
        <v/>
      </c>
    </row>
    <row r="4511">
      <c r="A4511" s="25">
        <f>ItensPedido!A4511</f>
        <v/>
      </c>
      <c r="B4511" s="25">
        <f>ItensPedido!B4511</f>
        <v/>
      </c>
      <c r="C4511" s="25">
        <f>ItensPedido!C4511</f>
        <v/>
      </c>
      <c r="D4511" s="25">
        <f>ItensPedido!D4511</f>
        <v/>
      </c>
      <c r="E4511" s="26">
        <f>ItensPedido!E4511</f>
        <v/>
      </c>
      <c r="F4511" s="25">
        <f>IFERROR(INDEX(Pedidos!$B$2:$B$1801,MATCH(B4511,Pedidos!$A$2:$A$1801,0)),0)</f>
        <v/>
      </c>
      <c r="G4511" s="25">
        <f>IF(F4511=0,"",YEAR(F4511))</f>
        <v/>
      </c>
      <c r="H4511" s="25">
        <f>IF(F4511=0,"",MONTH(F4511))</f>
        <v/>
      </c>
      <c r="I4511" s="25">
        <f>IFERROR(INDEX(Pedidos!$E$2:$E$1801,MATCH(B4511,Pedidos!$A$2:$A$1801,0)),"")</f>
        <v/>
      </c>
      <c r="J4511" s="25">
        <f>IFERROR(INDEX(Pedidos!$C$2:$C$1801,MATCH(B4511,Pedidos!$A$2:$A$1801,0)),"")</f>
        <v/>
      </c>
      <c r="K4511" s="25">
        <f>IFERROR(INDEX(Pedidos!$D$2:$D$1801,MATCH(B4511,Pedidos!$A$2:$A$1801,0)),"")</f>
        <v/>
      </c>
      <c r="L4511" s="25">
        <f>IFERROR(INDEX(Pedidos!$F$2:$F$1801,MATCH(B4511,Pedidos!$A$2:$A$1801,0)),"")</f>
        <v/>
      </c>
      <c r="M4511" s="26">
        <f>IFERROR(INDEX(Pedidos!$G$2:$G$1801,MATCH(B4511,Pedidos!$A$2:$A$1801,0)),0)</f>
        <v/>
      </c>
      <c r="N4511" s="25">
        <f>IFERROR(INDEX(Produtos!$B$2:$B$71,MATCH(C4511,Produtos!$A$2:$A$71,0)),"")</f>
        <v/>
      </c>
      <c r="O4511" s="25">
        <f>IFERROR(INDEX(Produtos!$C$2:$C$71,MATCH(C4511,Produtos!$A$2:$A$71,0)),"")</f>
        <v/>
      </c>
      <c r="P4511" s="25">
        <f>IFERROR(INDEX(Produtos!$D$2:$D$71,MATCH(C4511,Produtos!$A$2:$A$71,0)),0)</f>
        <v/>
      </c>
      <c r="Q4511" s="25">
        <f>IFERROR(INDEX(Produtos!$E$2:$E$71,MATCH(C4511,Produtos!$A$2:$A$71,0)),0)</f>
        <v/>
      </c>
      <c r="R4511" s="27">
        <f>D4511*Q4511</f>
        <v/>
      </c>
      <c r="S4511" s="27">
        <f>R4511*E4511</f>
        <v/>
      </c>
      <c r="T4511" s="27">
        <f>(R4511-S4511)*M4511</f>
        <v/>
      </c>
      <c r="U4511" s="27">
        <f>R4511-S4511-T4511</f>
        <v/>
      </c>
      <c r="V4511" s="27">
        <f>D4511*P4511</f>
        <v/>
      </c>
      <c r="W4511" s="27">
        <f>U4511-V4511</f>
        <v/>
      </c>
      <c r="X4511" s="28">
        <f>IFERROR(W4511/U4511,0)</f>
        <v/>
      </c>
    </row>
    <row r="4512">
      <c r="A4512" s="21">
        <f>ItensPedido!A4512</f>
        <v/>
      </c>
      <c r="B4512" s="21">
        <f>ItensPedido!B4512</f>
        <v/>
      </c>
      <c r="C4512" s="21">
        <f>ItensPedido!C4512</f>
        <v/>
      </c>
      <c r="D4512" s="21">
        <f>ItensPedido!D4512</f>
        <v/>
      </c>
      <c r="E4512" s="22">
        <f>ItensPedido!E4512</f>
        <v/>
      </c>
      <c r="F4512" s="21">
        <f>IFERROR(INDEX(Pedidos!$B$2:$B$1801,MATCH(B4512,Pedidos!$A$2:$A$1801,0)),0)</f>
        <v/>
      </c>
      <c r="G4512" s="21">
        <f>IF(F4512=0,"",YEAR(F4512))</f>
        <v/>
      </c>
      <c r="H4512" s="21">
        <f>IF(F4512=0,"",MONTH(F4512))</f>
        <v/>
      </c>
      <c r="I4512" s="21">
        <f>IFERROR(INDEX(Pedidos!$E$2:$E$1801,MATCH(B4512,Pedidos!$A$2:$A$1801,0)),"")</f>
        <v/>
      </c>
      <c r="J4512" s="21">
        <f>IFERROR(INDEX(Pedidos!$C$2:$C$1801,MATCH(B4512,Pedidos!$A$2:$A$1801,0)),"")</f>
        <v/>
      </c>
      <c r="K4512" s="21">
        <f>IFERROR(INDEX(Pedidos!$D$2:$D$1801,MATCH(B4512,Pedidos!$A$2:$A$1801,0)),"")</f>
        <v/>
      </c>
      <c r="L4512" s="21">
        <f>IFERROR(INDEX(Pedidos!$F$2:$F$1801,MATCH(B4512,Pedidos!$A$2:$A$1801,0)),"")</f>
        <v/>
      </c>
      <c r="M4512" s="22">
        <f>IFERROR(INDEX(Pedidos!$G$2:$G$1801,MATCH(B4512,Pedidos!$A$2:$A$1801,0)),0)</f>
        <v/>
      </c>
      <c r="N4512" s="21">
        <f>IFERROR(INDEX(Produtos!$B$2:$B$71,MATCH(C4512,Produtos!$A$2:$A$71,0)),"")</f>
        <v/>
      </c>
      <c r="O4512" s="21">
        <f>IFERROR(INDEX(Produtos!$C$2:$C$71,MATCH(C4512,Produtos!$A$2:$A$71,0)),"")</f>
        <v/>
      </c>
      <c r="P4512" s="21">
        <f>IFERROR(INDEX(Produtos!$D$2:$D$71,MATCH(C4512,Produtos!$A$2:$A$71,0)),0)</f>
        <v/>
      </c>
      <c r="Q4512" s="21">
        <f>IFERROR(INDEX(Produtos!$E$2:$E$71,MATCH(C4512,Produtos!$A$2:$A$71,0)),0)</f>
        <v/>
      </c>
      <c r="R4512" s="23">
        <f>D4512*Q4512</f>
        <v/>
      </c>
      <c r="S4512" s="23">
        <f>R4512*E4512</f>
        <v/>
      </c>
      <c r="T4512" s="23">
        <f>(R4512-S4512)*M4512</f>
        <v/>
      </c>
      <c r="U4512" s="23">
        <f>R4512-S4512-T4512</f>
        <v/>
      </c>
      <c r="V4512" s="23">
        <f>D4512*P4512</f>
        <v/>
      </c>
      <c r="W4512" s="23">
        <f>U4512-V4512</f>
        <v/>
      </c>
      <c r="X4512" s="24">
        <f>IFERROR(W4512/U4512,0)</f>
        <v/>
      </c>
    </row>
    <row r="4513">
      <c r="A4513" s="25">
        <f>ItensPedido!A4513</f>
        <v/>
      </c>
      <c r="B4513" s="25">
        <f>ItensPedido!B4513</f>
        <v/>
      </c>
      <c r="C4513" s="25">
        <f>ItensPedido!C4513</f>
        <v/>
      </c>
      <c r="D4513" s="25">
        <f>ItensPedido!D4513</f>
        <v/>
      </c>
      <c r="E4513" s="26">
        <f>ItensPedido!E4513</f>
        <v/>
      </c>
      <c r="F4513" s="25">
        <f>IFERROR(INDEX(Pedidos!$B$2:$B$1801,MATCH(B4513,Pedidos!$A$2:$A$1801,0)),0)</f>
        <v/>
      </c>
      <c r="G4513" s="25">
        <f>IF(F4513=0,"",YEAR(F4513))</f>
        <v/>
      </c>
      <c r="H4513" s="25">
        <f>IF(F4513=0,"",MONTH(F4513))</f>
        <v/>
      </c>
      <c r="I4513" s="25">
        <f>IFERROR(INDEX(Pedidos!$E$2:$E$1801,MATCH(B4513,Pedidos!$A$2:$A$1801,0)),"")</f>
        <v/>
      </c>
      <c r="J4513" s="25">
        <f>IFERROR(INDEX(Pedidos!$C$2:$C$1801,MATCH(B4513,Pedidos!$A$2:$A$1801,0)),"")</f>
        <v/>
      </c>
      <c r="K4513" s="25">
        <f>IFERROR(INDEX(Pedidos!$D$2:$D$1801,MATCH(B4513,Pedidos!$A$2:$A$1801,0)),"")</f>
        <v/>
      </c>
      <c r="L4513" s="25">
        <f>IFERROR(INDEX(Pedidos!$F$2:$F$1801,MATCH(B4513,Pedidos!$A$2:$A$1801,0)),"")</f>
        <v/>
      </c>
      <c r="M4513" s="26">
        <f>IFERROR(INDEX(Pedidos!$G$2:$G$1801,MATCH(B4513,Pedidos!$A$2:$A$1801,0)),0)</f>
        <v/>
      </c>
      <c r="N4513" s="25">
        <f>IFERROR(INDEX(Produtos!$B$2:$B$71,MATCH(C4513,Produtos!$A$2:$A$71,0)),"")</f>
        <v/>
      </c>
      <c r="O4513" s="25">
        <f>IFERROR(INDEX(Produtos!$C$2:$C$71,MATCH(C4513,Produtos!$A$2:$A$71,0)),"")</f>
        <v/>
      </c>
      <c r="P4513" s="25">
        <f>IFERROR(INDEX(Produtos!$D$2:$D$71,MATCH(C4513,Produtos!$A$2:$A$71,0)),0)</f>
        <v/>
      </c>
      <c r="Q4513" s="25">
        <f>IFERROR(INDEX(Produtos!$E$2:$E$71,MATCH(C4513,Produtos!$A$2:$A$71,0)),0)</f>
        <v/>
      </c>
      <c r="R4513" s="27">
        <f>D4513*Q4513</f>
        <v/>
      </c>
      <c r="S4513" s="27">
        <f>R4513*E4513</f>
        <v/>
      </c>
      <c r="T4513" s="27">
        <f>(R4513-S4513)*M4513</f>
        <v/>
      </c>
      <c r="U4513" s="27">
        <f>R4513-S4513-T4513</f>
        <v/>
      </c>
      <c r="V4513" s="27">
        <f>D4513*P4513</f>
        <v/>
      </c>
      <c r="W4513" s="27">
        <f>U4513-V4513</f>
        <v/>
      </c>
      <c r="X4513" s="28">
        <f>IFERROR(W4513/U4513,0)</f>
        <v/>
      </c>
    </row>
    <row r="4514">
      <c r="A4514" s="21">
        <f>ItensPedido!A4514</f>
        <v/>
      </c>
      <c r="B4514" s="21">
        <f>ItensPedido!B4514</f>
        <v/>
      </c>
      <c r="C4514" s="21">
        <f>ItensPedido!C4514</f>
        <v/>
      </c>
      <c r="D4514" s="21">
        <f>ItensPedido!D4514</f>
        <v/>
      </c>
      <c r="E4514" s="22">
        <f>ItensPedido!E4514</f>
        <v/>
      </c>
      <c r="F4514" s="21">
        <f>IFERROR(INDEX(Pedidos!$B$2:$B$1801,MATCH(B4514,Pedidos!$A$2:$A$1801,0)),0)</f>
        <v/>
      </c>
      <c r="G4514" s="21">
        <f>IF(F4514=0,"",YEAR(F4514))</f>
        <v/>
      </c>
      <c r="H4514" s="21">
        <f>IF(F4514=0,"",MONTH(F4514))</f>
        <v/>
      </c>
      <c r="I4514" s="21">
        <f>IFERROR(INDEX(Pedidos!$E$2:$E$1801,MATCH(B4514,Pedidos!$A$2:$A$1801,0)),"")</f>
        <v/>
      </c>
      <c r="J4514" s="21">
        <f>IFERROR(INDEX(Pedidos!$C$2:$C$1801,MATCH(B4514,Pedidos!$A$2:$A$1801,0)),"")</f>
        <v/>
      </c>
      <c r="K4514" s="21">
        <f>IFERROR(INDEX(Pedidos!$D$2:$D$1801,MATCH(B4514,Pedidos!$A$2:$A$1801,0)),"")</f>
        <v/>
      </c>
      <c r="L4514" s="21">
        <f>IFERROR(INDEX(Pedidos!$F$2:$F$1801,MATCH(B4514,Pedidos!$A$2:$A$1801,0)),"")</f>
        <v/>
      </c>
      <c r="M4514" s="22">
        <f>IFERROR(INDEX(Pedidos!$G$2:$G$1801,MATCH(B4514,Pedidos!$A$2:$A$1801,0)),0)</f>
        <v/>
      </c>
      <c r="N4514" s="21">
        <f>IFERROR(INDEX(Produtos!$B$2:$B$71,MATCH(C4514,Produtos!$A$2:$A$71,0)),"")</f>
        <v/>
      </c>
      <c r="O4514" s="21">
        <f>IFERROR(INDEX(Produtos!$C$2:$C$71,MATCH(C4514,Produtos!$A$2:$A$71,0)),"")</f>
        <v/>
      </c>
      <c r="P4514" s="21">
        <f>IFERROR(INDEX(Produtos!$D$2:$D$71,MATCH(C4514,Produtos!$A$2:$A$71,0)),0)</f>
        <v/>
      </c>
      <c r="Q4514" s="21">
        <f>IFERROR(INDEX(Produtos!$E$2:$E$71,MATCH(C4514,Produtos!$A$2:$A$71,0)),0)</f>
        <v/>
      </c>
      <c r="R4514" s="23">
        <f>D4514*Q4514</f>
        <v/>
      </c>
      <c r="S4514" s="23">
        <f>R4514*E4514</f>
        <v/>
      </c>
      <c r="T4514" s="23">
        <f>(R4514-S4514)*M4514</f>
        <v/>
      </c>
      <c r="U4514" s="23">
        <f>R4514-S4514-T4514</f>
        <v/>
      </c>
      <c r="V4514" s="23">
        <f>D4514*P4514</f>
        <v/>
      </c>
      <c r="W4514" s="23">
        <f>U4514-V4514</f>
        <v/>
      </c>
      <c r="X4514" s="24">
        <f>IFERROR(W4514/U4514,0)</f>
        <v/>
      </c>
    </row>
    <row r="4515">
      <c r="A4515" s="25">
        <f>ItensPedido!A4515</f>
        <v/>
      </c>
      <c r="B4515" s="25">
        <f>ItensPedido!B4515</f>
        <v/>
      </c>
      <c r="C4515" s="25">
        <f>ItensPedido!C4515</f>
        <v/>
      </c>
      <c r="D4515" s="25">
        <f>ItensPedido!D4515</f>
        <v/>
      </c>
      <c r="E4515" s="26">
        <f>ItensPedido!E4515</f>
        <v/>
      </c>
      <c r="F4515" s="25">
        <f>IFERROR(INDEX(Pedidos!$B$2:$B$1801,MATCH(B4515,Pedidos!$A$2:$A$1801,0)),0)</f>
        <v/>
      </c>
      <c r="G4515" s="25">
        <f>IF(F4515=0,"",YEAR(F4515))</f>
        <v/>
      </c>
      <c r="H4515" s="25">
        <f>IF(F4515=0,"",MONTH(F4515))</f>
        <v/>
      </c>
      <c r="I4515" s="25">
        <f>IFERROR(INDEX(Pedidos!$E$2:$E$1801,MATCH(B4515,Pedidos!$A$2:$A$1801,0)),"")</f>
        <v/>
      </c>
      <c r="J4515" s="25">
        <f>IFERROR(INDEX(Pedidos!$C$2:$C$1801,MATCH(B4515,Pedidos!$A$2:$A$1801,0)),"")</f>
        <v/>
      </c>
      <c r="K4515" s="25">
        <f>IFERROR(INDEX(Pedidos!$D$2:$D$1801,MATCH(B4515,Pedidos!$A$2:$A$1801,0)),"")</f>
        <v/>
      </c>
      <c r="L4515" s="25">
        <f>IFERROR(INDEX(Pedidos!$F$2:$F$1801,MATCH(B4515,Pedidos!$A$2:$A$1801,0)),"")</f>
        <v/>
      </c>
      <c r="M4515" s="26">
        <f>IFERROR(INDEX(Pedidos!$G$2:$G$1801,MATCH(B4515,Pedidos!$A$2:$A$1801,0)),0)</f>
        <v/>
      </c>
      <c r="N4515" s="25">
        <f>IFERROR(INDEX(Produtos!$B$2:$B$71,MATCH(C4515,Produtos!$A$2:$A$71,0)),"")</f>
        <v/>
      </c>
      <c r="O4515" s="25">
        <f>IFERROR(INDEX(Produtos!$C$2:$C$71,MATCH(C4515,Produtos!$A$2:$A$71,0)),"")</f>
        <v/>
      </c>
      <c r="P4515" s="25">
        <f>IFERROR(INDEX(Produtos!$D$2:$D$71,MATCH(C4515,Produtos!$A$2:$A$71,0)),0)</f>
        <v/>
      </c>
      <c r="Q4515" s="25">
        <f>IFERROR(INDEX(Produtos!$E$2:$E$71,MATCH(C4515,Produtos!$A$2:$A$71,0)),0)</f>
        <v/>
      </c>
      <c r="R4515" s="27">
        <f>D4515*Q4515</f>
        <v/>
      </c>
      <c r="S4515" s="27">
        <f>R4515*E4515</f>
        <v/>
      </c>
      <c r="T4515" s="27">
        <f>(R4515-S4515)*M4515</f>
        <v/>
      </c>
      <c r="U4515" s="27">
        <f>R4515-S4515-T4515</f>
        <v/>
      </c>
      <c r="V4515" s="27">
        <f>D4515*P4515</f>
        <v/>
      </c>
      <c r="W4515" s="27">
        <f>U4515-V4515</f>
        <v/>
      </c>
      <c r="X4515" s="28">
        <f>IFERROR(W4515/U4515,0)</f>
        <v/>
      </c>
    </row>
    <row r="4516">
      <c r="A4516" s="21">
        <f>ItensPedido!A4516</f>
        <v/>
      </c>
      <c r="B4516" s="21">
        <f>ItensPedido!B4516</f>
        <v/>
      </c>
      <c r="C4516" s="21">
        <f>ItensPedido!C4516</f>
        <v/>
      </c>
      <c r="D4516" s="21">
        <f>ItensPedido!D4516</f>
        <v/>
      </c>
      <c r="E4516" s="22">
        <f>ItensPedido!E4516</f>
        <v/>
      </c>
      <c r="F4516" s="21">
        <f>IFERROR(INDEX(Pedidos!$B$2:$B$1801,MATCH(B4516,Pedidos!$A$2:$A$1801,0)),0)</f>
        <v/>
      </c>
      <c r="G4516" s="21">
        <f>IF(F4516=0,"",YEAR(F4516))</f>
        <v/>
      </c>
      <c r="H4516" s="21">
        <f>IF(F4516=0,"",MONTH(F4516))</f>
        <v/>
      </c>
      <c r="I4516" s="21">
        <f>IFERROR(INDEX(Pedidos!$E$2:$E$1801,MATCH(B4516,Pedidos!$A$2:$A$1801,0)),"")</f>
        <v/>
      </c>
      <c r="J4516" s="21">
        <f>IFERROR(INDEX(Pedidos!$C$2:$C$1801,MATCH(B4516,Pedidos!$A$2:$A$1801,0)),"")</f>
        <v/>
      </c>
      <c r="K4516" s="21">
        <f>IFERROR(INDEX(Pedidos!$D$2:$D$1801,MATCH(B4516,Pedidos!$A$2:$A$1801,0)),"")</f>
        <v/>
      </c>
      <c r="L4516" s="21">
        <f>IFERROR(INDEX(Pedidos!$F$2:$F$1801,MATCH(B4516,Pedidos!$A$2:$A$1801,0)),"")</f>
        <v/>
      </c>
      <c r="M4516" s="22">
        <f>IFERROR(INDEX(Pedidos!$G$2:$G$1801,MATCH(B4516,Pedidos!$A$2:$A$1801,0)),0)</f>
        <v/>
      </c>
      <c r="N4516" s="21">
        <f>IFERROR(INDEX(Produtos!$B$2:$B$71,MATCH(C4516,Produtos!$A$2:$A$71,0)),"")</f>
        <v/>
      </c>
      <c r="O4516" s="21">
        <f>IFERROR(INDEX(Produtos!$C$2:$C$71,MATCH(C4516,Produtos!$A$2:$A$71,0)),"")</f>
        <v/>
      </c>
      <c r="P4516" s="21">
        <f>IFERROR(INDEX(Produtos!$D$2:$D$71,MATCH(C4516,Produtos!$A$2:$A$71,0)),0)</f>
        <v/>
      </c>
      <c r="Q4516" s="21">
        <f>IFERROR(INDEX(Produtos!$E$2:$E$71,MATCH(C4516,Produtos!$A$2:$A$71,0)),0)</f>
        <v/>
      </c>
      <c r="R4516" s="23">
        <f>D4516*Q4516</f>
        <v/>
      </c>
      <c r="S4516" s="23">
        <f>R4516*E4516</f>
        <v/>
      </c>
      <c r="T4516" s="23">
        <f>(R4516-S4516)*M4516</f>
        <v/>
      </c>
      <c r="U4516" s="23">
        <f>R4516-S4516-T4516</f>
        <v/>
      </c>
      <c r="V4516" s="23">
        <f>D4516*P4516</f>
        <v/>
      </c>
      <c r="W4516" s="23">
        <f>U4516-V4516</f>
        <v/>
      </c>
      <c r="X4516" s="24">
        <f>IFERROR(W4516/U4516,0)</f>
        <v/>
      </c>
    </row>
    <row r="4517">
      <c r="A4517" s="25">
        <f>ItensPedido!A4517</f>
        <v/>
      </c>
      <c r="B4517" s="25">
        <f>ItensPedido!B4517</f>
        <v/>
      </c>
      <c r="C4517" s="25">
        <f>ItensPedido!C4517</f>
        <v/>
      </c>
      <c r="D4517" s="25">
        <f>ItensPedido!D4517</f>
        <v/>
      </c>
      <c r="E4517" s="26">
        <f>ItensPedido!E4517</f>
        <v/>
      </c>
      <c r="F4517" s="25">
        <f>IFERROR(INDEX(Pedidos!$B$2:$B$1801,MATCH(B4517,Pedidos!$A$2:$A$1801,0)),0)</f>
        <v/>
      </c>
      <c r="G4517" s="25">
        <f>IF(F4517=0,"",YEAR(F4517))</f>
        <v/>
      </c>
      <c r="H4517" s="25">
        <f>IF(F4517=0,"",MONTH(F4517))</f>
        <v/>
      </c>
      <c r="I4517" s="25">
        <f>IFERROR(INDEX(Pedidos!$E$2:$E$1801,MATCH(B4517,Pedidos!$A$2:$A$1801,0)),"")</f>
        <v/>
      </c>
      <c r="J4517" s="25">
        <f>IFERROR(INDEX(Pedidos!$C$2:$C$1801,MATCH(B4517,Pedidos!$A$2:$A$1801,0)),"")</f>
        <v/>
      </c>
      <c r="K4517" s="25">
        <f>IFERROR(INDEX(Pedidos!$D$2:$D$1801,MATCH(B4517,Pedidos!$A$2:$A$1801,0)),"")</f>
        <v/>
      </c>
      <c r="L4517" s="25">
        <f>IFERROR(INDEX(Pedidos!$F$2:$F$1801,MATCH(B4517,Pedidos!$A$2:$A$1801,0)),"")</f>
        <v/>
      </c>
      <c r="M4517" s="26">
        <f>IFERROR(INDEX(Pedidos!$G$2:$G$1801,MATCH(B4517,Pedidos!$A$2:$A$1801,0)),0)</f>
        <v/>
      </c>
      <c r="N4517" s="25">
        <f>IFERROR(INDEX(Produtos!$B$2:$B$71,MATCH(C4517,Produtos!$A$2:$A$71,0)),"")</f>
        <v/>
      </c>
      <c r="O4517" s="25">
        <f>IFERROR(INDEX(Produtos!$C$2:$C$71,MATCH(C4517,Produtos!$A$2:$A$71,0)),"")</f>
        <v/>
      </c>
      <c r="P4517" s="25">
        <f>IFERROR(INDEX(Produtos!$D$2:$D$71,MATCH(C4517,Produtos!$A$2:$A$71,0)),0)</f>
        <v/>
      </c>
      <c r="Q4517" s="25">
        <f>IFERROR(INDEX(Produtos!$E$2:$E$71,MATCH(C4517,Produtos!$A$2:$A$71,0)),0)</f>
        <v/>
      </c>
      <c r="R4517" s="27">
        <f>D4517*Q4517</f>
        <v/>
      </c>
      <c r="S4517" s="27">
        <f>R4517*E4517</f>
        <v/>
      </c>
      <c r="T4517" s="27">
        <f>(R4517-S4517)*M4517</f>
        <v/>
      </c>
      <c r="U4517" s="27">
        <f>R4517-S4517-T4517</f>
        <v/>
      </c>
      <c r="V4517" s="27">
        <f>D4517*P4517</f>
        <v/>
      </c>
      <c r="W4517" s="27">
        <f>U4517-V4517</f>
        <v/>
      </c>
      <c r="X4517" s="28">
        <f>IFERROR(W4517/U4517,0)</f>
        <v/>
      </c>
    </row>
    <row r="4518">
      <c r="A4518" s="21">
        <f>ItensPedido!A4518</f>
        <v/>
      </c>
      <c r="B4518" s="21">
        <f>ItensPedido!B4518</f>
        <v/>
      </c>
      <c r="C4518" s="21">
        <f>ItensPedido!C4518</f>
        <v/>
      </c>
      <c r="D4518" s="21">
        <f>ItensPedido!D4518</f>
        <v/>
      </c>
      <c r="E4518" s="22">
        <f>ItensPedido!E4518</f>
        <v/>
      </c>
      <c r="F4518" s="21">
        <f>IFERROR(INDEX(Pedidos!$B$2:$B$1801,MATCH(B4518,Pedidos!$A$2:$A$1801,0)),0)</f>
        <v/>
      </c>
      <c r="G4518" s="21">
        <f>IF(F4518=0,"",YEAR(F4518))</f>
        <v/>
      </c>
      <c r="H4518" s="21">
        <f>IF(F4518=0,"",MONTH(F4518))</f>
        <v/>
      </c>
      <c r="I4518" s="21">
        <f>IFERROR(INDEX(Pedidos!$E$2:$E$1801,MATCH(B4518,Pedidos!$A$2:$A$1801,0)),"")</f>
        <v/>
      </c>
      <c r="J4518" s="21">
        <f>IFERROR(INDEX(Pedidos!$C$2:$C$1801,MATCH(B4518,Pedidos!$A$2:$A$1801,0)),"")</f>
        <v/>
      </c>
      <c r="K4518" s="21">
        <f>IFERROR(INDEX(Pedidos!$D$2:$D$1801,MATCH(B4518,Pedidos!$A$2:$A$1801,0)),"")</f>
        <v/>
      </c>
      <c r="L4518" s="21">
        <f>IFERROR(INDEX(Pedidos!$F$2:$F$1801,MATCH(B4518,Pedidos!$A$2:$A$1801,0)),"")</f>
        <v/>
      </c>
      <c r="M4518" s="22">
        <f>IFERROR(INDEX(Pedidos!$G$2:$G$1801,MATCH(B4518,Pedidos!$A$2:$A$1801,0)),0)</f>
        <v/>
      </c>
      <c r="N4518" s="21">
        <f>IFERROR(INDEX(Produtos!$B$2:$B$71,MATCH(C4518,Produtos!$A$2:$A$71,0)),"")</f>
        <v/>
      </c>
      <c r="O4518" s="21">
        <f>IFERROR(INDEX(Produtos!$C$2:$C$71,MATCH(C4518,Produtos!$A$2:$A$71,0)),"")</f>
        <v/>
      </c>
      <c r="P4518" s="21">
        <f>IFERROR(INDEX(Produtos!$D$2:$D$71,MATCH(C4518,Produtos!$A$2:$A$71,0)),0)</f>
        <v/>
      </c>
      <c r="Q4518" s="21">
        <f>IFERROR(INDEX(Produtos!$E$2:$E$71,MATCH(C4518,Produtos!$A$2:$A$71,0)),0)</f>
        <v/>
      </c>
      <c r="R4518" s="23">
        <f>D4518*Q4518</f>
        <v/>
      </c>
      <c r="S4518" s="23">
        <f>R4518*E4518</f>
        <v/>
      </c>
      <c r="T4518" s="23">
        <f>(R4518-S4518)*M4518</f>
        <v/>
      </c>
      <c r="U4518" s="23">
        <f>R4518-S4518-T4518</f>
        <v/>
      </c>
      <c r="V4518" s="23">
        <f>D4518*P4518</f>
        <v/>
      </c>
      <c r="W4518" s="23">
        <f>U4518-V4518</f>
        <v/>
      </c>
      <c r="X4518" s="24">
        <f>IFERROR(W4518/U4518,0)</f>
        <v/>
      </c>
    </row>
    <row r="4519">
      <c r="A4519" s="25">
        <f>ItensPedido!A4519</f>
        <v/>
      </c>
      <c r="B4519" s="25">
        <f>ItensPedido!B4519</f>
        <v/>
      </c>
      <c r="C4519" s="25">
        <f>ItensPedido!C4519</f>
        <v/>
      </c>
      <c r="D4519" s="25">
        <f>ItensPedido!D4519</f>
        <v/>
      </c>
      <c r="E4519" s="26">
        <f>ItensPedido!E4519</f>
        <v/>
      </c>
      <c r="F4519" s="25">
        <f>IFERROR(INDEX(Pedidos!$B$2:$B$1801,MATCH(B4519,Pedidos!$A$2:$A$1801,0)),0)</f>
        <v/>
      </c>
      <c r="G4519" s="25">
        <f>IF(F4519=0,"",YEAR(F4519))</f>
        <v/>
      </c>
      <c r="H4519" s="25">
        <f>IF(F4519=0,"",MONTH(F4519))</f>
        <v/>
      </c>
      <c r="I4519" s="25">
        <f>IFERROR(INDEX(Pedidos!$E$2:$E$1801,MATCH(B4519,Pedidos!$A$2:$A$1801,0)),"")</f>
        <v/>
      </c>
      <c r="J4519" s="25">
        <f>IFERROR(INDEX(Pedidos!$C$2:$C$1801,MATCH(B4519,Pedidos!$A$2:$A$1801,0)),"")</f>
        <v/>
      </c>
      <c r="K4519" s="25">
        <f>IFERROR(INDEX(Pedidos!$D$2:$D$1801,MATCH(B4519,Pedidos!$A$2:$A$1801,0)),"")</f>
        <v/>
      </c>
      <c r="L4519" s="25">
        <f>IFERROR(INDEX(Pedidos!$F$2:$F$1801,MATCH(B4519,Pedidos!$A$2:$A$1801,0)),"")</f>
        <v/>
      </c>
      <c r="M4519" s="26">
        <f>IFERROR(INDEX(Pedidos!$G$2:$G$1801,MATCH(B4519,Pedidos!$A$2:$A$1801,0)),0)</f>
        <v/>
      </c>
      <c r="N4519" s="25">
        <f>IFERROR(INDEX(Produtos!$B$2:$B$71,MATCH(C4519,Produtos!$A$2:$A$71,0)),"")</f>
        <v/>
      </c>
      <c r="O4519" s="25">
        <f>IFERROR(INDEX(Produtos!$C$2:$C$71,MATCH(C4519,Produtos!$A$2:$A$71,0)),"")</f>
        <v/>
      </c>
      <c r="P4519" s="25">
        <f>IFERROR(INDEX(Produtos!$D$2:$D$71,MATCH(C4519,Produtos!$A$2:$A$71,0)),0)</f>
        <v/>
      </c>
      <c r="Q4519" s="25">
        <f>IFERROR(INDEX(Produtos!$E$2:$E$71,MATCH(C4519,Produtos!$A$2:$A$71,0)),0)</f>
        <v/>
      </c>
      <c r="R4519" s="27">
        <f>D4519*Q4519</f>
        <v/>
      </c>
      <c r="S4519" s="27">
        <f>R4519*E4519</f>
        <v/>
      </c>
      <c r="T4519" s="27">
        <f>(R4519-S4519)*M4519</f>
        <v/>
      </c>
      <c r="U4519" s="27">
        <f>R4519-S4519-T4519</f>
        <v/>
      </c>
      <c r="V4519" s="27">
        <f>D4519*P4519</f>
        <v/>
      </c>
      <c r="W4519" s="27">
        <f>U4519-V4519</f>
        <v/>
      </c>
      <c r="X4519" s="28">
        <f>IFERROR(W4519/U4519,0)</f>
        <v/>
      </c>
    </row>
    <row r="4520">
      <c r="A4520" s="21">
        <f>ItensPedido!A4520</f>
        <v/>
      </c>
      <c r="B4520" s="21">
        <f>ItensPedido!B4520</f>
        <v/>
      </c>
      <c r="C4520" s="21">
        <f>ItensPedido!C4520</f>
        <v/>
      </c>
      <c r="D4520" s="21">
        <f>ItensPedido!D4520</f>
        <v/>
      </c>
      <c r="E4520" s="22">
        <f>ItensPedido!E4520</f>
        <v/>
      </c>
      <c r="F4520" s="21">
        <f>IFERROR(INDEX(Pedidos!$B$2:$B$1801,MATCH(B4520,Pedidos!$A$2:$A$1801,0)),0)</f>
        <v/>
      </c>
      <c r="G4520" s="21">
        <f>IF(F4520=0,"",YEAR(F4520))</f>
        <v/>
      </c>
      <c r="H4520" s="21">
        <f>IF(F4520=0,"",MONTH(F4520))</f>
        <v/>
      </c>
      <c r="I4520" s="21">
        <f>IFERROR(INDEX(Pedidos!$E$2:$E$1801,MATCH(B4520,Pedidos!$A$2:$A$1801,0)),"")</f>
        <v/>
      </c>
      <c r="J4520" s="21">
        <f>IFERROR(INDEX(Pedidos!$C$2:$C$1801,MATCH(B4520,Pedidos!$A$2:$A$1801,0)),"")</f>
        <v/>
      </c>
      <c r="K4520" s="21">
        <f>IFERROR(INDEX(Pedidos!$D$2:$D$1801,MATCH(B4520,Pedidos!$A$2:$A$1801,0)),"")</f>
        <v/>
      </c>
      <c r="L4520" s="21">
        <f>IFERROR(INDEX(Pedidos!$F$2:$F$1801,MATCH(B4520,Pedidos!$A$2:$A$1801,0)),"")</f>
        <v/>
      </c>
      <c r="M4520" s="22">
        <f>IFERROR(INDEX(Pedidos!$G$2:$G$1801,MATCH(B4520,Pedidos!$A$2:$A$1801,0)),0)</f>
        <v/>
      </c>
      <c r="N4520" s="21">
        <f>IFERROR(INDEX(Produtos!$B$2:$B$71,MATCH(C4520,Produtos!$A$2:$A$71,0)),"")</f>
        <v/>
      </c>
      <c r="O4520" s="21">
        <f>IFERROR(INDEX(Produtos!$C$2:$C$71,MATCH(C4520,Produtos!$A$2:$A$71,0)),"")</f>
        <v/>
      </c>
      <c r="P4520" s="21">
        <f>IFERROR(INDEX(Produtos!$D$2:$D$71,MATCH(C4520,Produtos!$A$2:$A$71,0)),0)</f>
        <v/>
      </c>
      <c r="Q4520" s="21">
        <f>IFERROR(INDEX(Produtos!$E$2:$E$71,MATCH(C4520,Produtos!$A$2:$A$71,0)),0)</f>
        <v/>
      </c>
      <c r="R4520" s="23">
        <f>D4520*Q4520</f>
        <v/>
      </c>
      <c r="S4520" s="23">
        <f>R4520*E4520</f>
        <v/>
      </c>
      <c r="T4520" s="23">
        <f>(R4520-S4520)*M4520</f>
        <v/>
      </c>
      <c r="U4520" s="23">
        <f>R4520-S4520-T4520</f>
        <v/>
      </c>
      <c r="V4520" s="23">
        <f>D4520*P4520</f>
        <v/>
      </c>
      <c r="W4520" s="23">
        <f>U4520-V4520</f>
        <v/>
      </c>
      <c r="X4520" s="24">
        <f>IFERROR(W4520/U4520,0)</f>
        <v/>
      </c>
    </row>
    <row r="4521">
      <c r="A4521" s="25">
        <f>ItensPedido!A4521</f>
        <v/>
      </c>
      <c r="B4521" s="25">
        <f>ItensPedido!B4521</f>
        <v/>
      </c>
      <c r="C4521" s="25">
        <f>ItensPedido!C4521</f>
        <v/>
      </c>
      <c r="D4521" s="25">
        <f>ItensPedido!D4521</f>
        <v/>
      </c>
      <c r="E4521" s="26">
        <f>ItensPedido!E4521</f>
        <v/>
      </c>
      <c r="F4521" s="25">
        <f>IFERROR(INDEX(Pedidos!$B$2:$B$1801,MATCH(B4521,Pedidos!$A$2:$A$1801,0)),0)</f>
        <v/>
      </c>
      <c r="G4521" s="25">
        <f>IF(F4521=0,"",YEAR(F4521))</f>
        <v/>
      </c>
      <c r="H4521" s="25">
        <f>IF(F4521=0,"",MONTH(F4521))</f>
        <v/>
      </c>
      <c r="I4521" s="25">
        <f>IFERROR(INDEX(Pedidos!$E$2:$E$1801,MATCH(B4521,Pedidos!$A$2:$A$1801,0)),"")</f>
        <v/>
      </c>
      <c r="J4521" s="25">
        <f>IFERROR(INDEX(Pedidos!$C$2:$C$1801,MATCH(B4521,Pedidos!$A$2:$A$1801,0)),"")</f>
        <v/>
      </c>
      <c r="K4521" s="25">
        <f>IFERROR(INDEX(Pedidos!$D$2:$D$1801,MATCH(B4521,Pedidos!$A$2:$A$1801,0)),"")</f>
        <v/>
      </c>
      <c r="L4521" s="25">
        <f>IFERROR(INDEX(Pedidos!$F$2:$F$1801,MATCH(B4521,Pedidos!$A$2:$A$1801,0)),"")</f>
        <v/>
      </c>
      <c r="M4521" s="26">
        <f>IFERROR(INDEX(Pedidos!$G$2:$G$1801,MATCH(B4521,Pedidos!$A$2:$A$1801,0)),0)</f>
        <v/>
      </c>
      <c r="N4521" s="25">
        <f>IFERROR(INDEX(Produtos!$B$2:$B$71,MATCH(C4521,Produtos!$A$2:$A$71,0)),"")</f>
        <v/>
      </c>
      <c r="O4521" s="25">
        <f>IFERROR(INDEX(Produtos!$C$2:$C$71,MATCH(C4521,Produtos!$A$2:$A$71,0)),"")</f>
        <v/>
      </c>
      <c r="P4521" s="25">
        <f>IFERROR(INDEX(Produtos!$D$2:$D$71,MATCH(C4521,Produtos!$A$2:$A$71,0)),0)</f>
        <v/>
      </c>
      <c r="Q4521" s="25">
        <f>IFERROR(INDEX(Produtos!$E$2:$E$71,MATCH(C4521,Produtos!$A$2:$A$71,0)),0)</f>
        <v/>
      </c>
      <c r="R4521" s="27">
        <f>D4521*Q4521</f>
        <v/>
      </c>
      <c r="S4521" s="27">
        <f>R4521*E4521</f>
        <v/>
      </c>
      <c r="T4521" s="27">
        <f>(R4521-S4521)*M4521</f>
        <v/>
      </c>
      <c r="U4521" s="27">
        <f>R4521-S4521-T4521</f>
        <v/>
      </c>
      <c r="V4521" s="27">
        <f>D4521*P4521</f>
        <v/>
      </c>
      <c r="W4521" s="27">
        <f>U4521-V4521</f>
        <v/>
      </c>
      <c r="X4521" s="28">
        <f>IFERROR(W4521/U4521,0)</f>
        <v/>
      </c>
    </row>
    <row r="4522">
      <c r="A4522" s="21">
        <f>ItensPedido!A4522</f>
        <v/>
      </c>
      <c r="B4522" s="21">
        <f>ItensPedido!B4522</f>
        <v/>
      </c>
      <c r="C4522" s="21">
        <f>ItensPedido!C4522</f>
        <v/>
      </c>
      <c r="D4522" s="21">
        <f>ItensPedido!D4522</f>
        <v/>
      </c>
      <c r="E4522" s="22">
        <f>ItensPedido!E4522</f>
        <v/>
      </c>
      <c r="F4522" s="21">
        <f>IFERROR(INDEX(Pedidos!$B$2:$B$1801,MATCH(B4522,Pedidos!$A$2:$A$1801,0)),0)</f>
        <v/>
      </c>
      <c r="G4522" s="21">
        <f>IF(F4522=0,"",YEAR(F4522))</f>
        <v/>
      </c>
      <c r="H4522" s="21">
        <f>IF(F4522=0,"",MONTH(F4522))</f>
        <v/>
      </c>
      <c r="I4522" s="21">
        <f>IFERROR(INDEX(Pedidos!$E$2:$E$1801,MATCH(B4522,Pedidos!$A$2:$A$1801,0)),"")</f>
        <v/>
      </c>
      <c r="J4522" s="21">
        <f>IFERROR(INDEX(Pedidos!$C$2:$C$1801,MATCH(B4522,Pedidos!$A$2:$A$1801,0)),"")</f>
        <v/>
      </c>
      <c r="K4522" s="21">
        <f>IFERROR(INDEX(Pedidos!$D$2:$D$1801,MATCH(B4522,Pedidos!$A$2:$A$1801,0)),"")</f>
        <v/>
      </c>
      <c r="L4522" s="21">
        <f>IFERROR(INDEX(Pedidos!$F$2:$F$1801,MATCH(B4522,Pedidos!$A$2:$A$1801,0)),"")</f>
        <v/>
      </c>
      <c r="M4522" s="22">
        <f>IFERROR(INDEX(Pedidos!$G$2:$G$1801,MATCH(B4522,Pedidos!$A$2:$A$1801,0)),0)</f>
        <v/>
      </c>
      <c r="N4522" s="21">
        <f>IFERROR(INDEX(Produtos!$B$2:$B$71,MATCH(C4522,Produtos!$A$2:$A$71,0)),"")</f>
        <v/>
      </c>
      <c r="O4522" s="21">
        <f>IFERROR(INDEX(Produtos!$C$2:$C$71,MATCH(C4522,Produtos!$A$2:$A$71,0)),"")</f>
        <v/>
      </c>
      <c r="P4522" s="21">
        <f>IFERROR(INDEX(Produtos!$D$2:$D$71,MATCH(C4522,Produtos!$A$2:$A$71,0)),0)</f>
        <v/>
      </c>
      <c r="Q4522" s="21">
        <f>IFERROR(INDEX(Produtos!$E$2:$E$71,MATCH(C4522,Produtos!$A$2:$A$71,0)),0)</f>
        <v/>
      </c>
      <c r="R4522" s="23">
        <f>D4522*Q4522</f>
        <v/>
      </c>
      <c r="S4522" s="23">
        <f>R4522*E4522</f>
        <v/>
      </c>
      <c r="T4522" s="23">
        <f>(R4522-S4522)*M4522</f>
        <v/>
      </c>
      <c r="U4522" s="23">
        <f>R4522-S4522-T4522</f>
        <v/>
      </c>
      <c r="V4522" s="23">
        <f>D4522*P4522</f>
        <v/>
      </c>
      <c r="W4522" s="23">
        <f>U4522-V4522</f>
        <v/>
      </c>
      <c r="X4522" s="24">
        <f>IFERROR(W4522/U4522,0)</f>
        <v/>
      </c>
    </row>
    <row r="4523">
      <c r="A4523" s="25">
        <f>ItensPedido!A4523</f>
        <v/>
      </c>
      <c r="B4523" s="25">
        <f>ItensPedido!B4523</f>
        <v/>
      </c>
      <c r="C4523" s="25">
        <f>ItensPedido!C4523</f>
        <v/>
      </c>
      <c r="D4523" s="25">
        <f>ItensPedido!D4523</f>
        <v/>
      </c>
      <c r="E4523" s="26">
        <f>ItensPedido!E4523</f>
        <v/>
      </c>
      <c r="F4523" s="25">
        <f>IFERROR(INDEX(Pedidos!$B$2:$B$1801,MATCH(B4523,Pedidos!$A$2:$A$1801,0)),0)</f>
        <v/>
      </c>
      <c r="G4523" s="25">
        <f>IF(F4523=0,"",YEAR(F4523))</f>
        <v/>
      </c>
      <c r="H4523" s="25">
        <f>IF(F4523=0,"",MONTH(F4523))</f>
        <v/>
      </c>
      <c r="I4523" s="25">
        <f>IFERROR(INDEX(Pedidos!$E$2:$E$1801,MATCH(B4523,Pedidos!$A$2:$A$1801,0)),"")</f>
        <v/>
      </c>
      <c r="J4523" s="25">
        <f>IFERROR(INDEX(Pedidos!$C$2:$C$1801,MATCH(B4523,Pedidos!$A$2:$A$1801,0)),"")</f>
        <v/>
      </c>
      <c r="K4523" s="25">
        <f>IFERROR(INDEX(Pedidos!$D$2:$D$1801,MATCH(B4523,Pedidos!$A$2:$A$1801,0)),"")</f>
        <v/>
      </c>
      <c r="L4523" s="25">
        <f>IFERROR(INDEX(Pedidos!$F$2:$F$1801,MATCH(B4523,Pedidos!$A$2:$A$1801,0)),"")</f>
        <v/>
      </c>
      <c r="M4523" s="26">
        <f>IFERROR(INDEX(Pedidos!$G$2:$G$1801,MATCH(B4523,Pedidos!$A$2:$A$1801,0)),0)</f>
        <v/>
      </c>
      <c r="N4523" s="25">
        <f>IFERROR(INDEX(Produtos!$B$2:$B$71,MATCH(C4523,Produtos!$A$2:$A$71,0)),"")</f>
        <v/>
      </c>
      <c r="O4523" s="25">
        <f>IFERROR(INDEX(Produtos!$C$2:$C$71,MATCH(C4523,Produtos!$A$2:$A$71,0)),"")</f>
        <v/>
      </c>
      <c r="P4523" s="25">
        <f>IFERROR(INDEX(Produtos!$D$2:$D$71,MATCH(C4523,Produtos!$A$2:$A$71,0)),0)</f>
        <v/>
      </c>
      <c r="Q4523" s="25">
        <f>IFERROR(INDEX(Produtos!$E$2:$E$71,MATCH(C4523,Produtos!$A$2:$A$71,0)),0)</f>
        <v/>
      </c>
      <c r="R4523" s="27">
        <f>D4523*Q4523</f>
        <v/>
      </c>
      <c r="S4523" s="27">
        <f>R4523*E4523</f>
        <v/>
      </c>
      <c r="T4523" s="27">
        <f>(R4523-S4523)*M4523</f>
        <v/>
      </c>
      <c r="U4523" s="27">
        <f>R4523-S4523-T4523</f>
        <v/>
      </c>
      <c r="V4523" s="27">
        <f>D4523*P4523</f>
        <v/>
      </c>
      <c r="W4523" s="27">
        <f>U4523-V4523</f>
        <v/>
      </c>
      <c r="X4523" s="28">
        <f>IFERROR(W4523/U4523,0)</f>
        <v/>
      </c>
    </row>
    <row r="4524">
      <c r="A4524" s="21">
        <f>ItensPedido!A4524</f>
        <v/>
      </c>
      <c r="B4524" s="21">
        <f>ItensPedido!B4524</f>
        <v/>
      </c>
      <c r="C4524" s="21">
        <f>ItensPedido!C4524</f>
        <v/>
      </c>
      <c r="D4524" s="21">
        <f>ItensPedido!D4524</f>
        <v/>
      </c>
      <c r="E4524" s="22">
        <f>ItensPedido!E4524</f>
        <v/>
      </c>
      <c r="F4524" s="21">
        <f>IFERROR(INDEX(Pedidos!$B$2:$B$1801,MATCH(B4524,Pedidos!$A$2:$A$1801,0)),0)</f>
        <v/>
      </c>
      <c r="G4524" s="21">
        <f>IF(F4524=0,"",YEAR(F4524))</f>
        <v/>
      </c>
      <c r="H4524" s="21">
        <f>IF(F4524=0,"",MONTH(F4524))</f>
        <v/>
      </c>
      <c r="I4524" s="21">
        <f>IFERROR(INDEX(Pedidos!$E$2:$E$1801,MATCH(B4524,Pedidos!$A$2:$A$1801,0)),"")</f>
        <v/>
      </c>
      <c r="J4524" s="21">
        <f>IFERROR(INDEX(Pedidos!$C$2:$C$1801,MATCH(B4524,Pedidos!$A$2:$A$1801,0)),"")</f>
        <v/>
      </c>
      <c r="K4524" s="21">
        <f>IFERROR(INDEX(Pedidos!$D$2:$D$1801,MATCH(B4524,Pedidos!$A$2:$A$1801,0)),"")</f>
        <v/>
      </c>
      <c r="L4524" s="21">
        <f>IFERROR(INDEX(Pedidos!$F$2:$F$1801,MATCH(B4524,Pedidos!$A$2:$A$1801,0)),"")</f>
        <v/>
      </c>
      <c r="M4524" s="22">
        <f>IFERROR(INDEX(Pedidos!$G$2:$G$1801,MATCH(B4524,Pedidos!$A$2:$A$1801,0)),0)</f>
        <v/>
      </c>
      <c r="N4524" s="21">
        <f>IFERROR(INDEX(Produtos!$B$2:$B$71,MATCH(C4524,Produtos!$A$2:$A$71,0)),"")</f>
        <v/>
      </c>
      <c r="O4524" s="21">
        <f>IFERROR(INDEX(Produtos!$C$2:$C$71,MATCH(C4524,Produtos!$A$2:$A$71,0)),"")</f>
        <v/>
      </c>
      <c r="P4524" s="21">
        <f>IFERROR(INDEX(Produtos!$D$2:$D$71,MATCH(C4524,Produtos!$A$2:$A$71,0)),0)</f>
        <v/>
      </c>
      <c r="Q4524" s="21">
        <f>IFERROR(INDEX(Produtos!$E$2:$E$71,MATCH(C4524,Produtos!$A$2:$A$71,0)),0)</f>
        <v/>
      </c>
      <c r="R4524" s="23">
        <f>D4524*Q4524</f>
        <v/>
      </c>
      <c r="S4524" s="23">
        <f>R4524*E4524</f>
        <v/>
      </c>
      <c r="T4524" s="23">
        <f>(R4524-S4524)*M4524</f>
        <v/>
      </c>
      <c r="U4524" s="23">
        <f>R4524-S4524-T4524</f>
        <v/>
      </c>
      <c r="V4524" s="23">
        <f>D4524*P4524</f>
        <v/>
      </c>
      <c r="W4524" s="23">
        <f>U4524-V4524</f>
        <v/>
      </c>
      <c r="X4524" s="24">
        <f>IFERROR(W4524/U4524,0)</f>
        <v/>
      </c>
    </row>
    <row r="4525">
      <c r="A4525" s="25">
        <f>ItensPedido!A4525</f>
        <v/>
      </c>
      <c r="B4525" s="25">
        <f>ItensPedido!B4525</f>
        <v/>
      </c>
      <c r="C4525" s="25">
        <f>ItensPedido!C4525</f>
        <v/>
      </c>
      <c r="D4525" s="25">
        <f>ItensPedido!D4525</f>
        <v/>
      </c>
      <c r="E4525" s="26">
        <f>ItensPedido!E4525</f>
        <v/>
      </c>
      <c r="F4525" s="25">
        <f>IFERROR(INDEX(Pedidos!$B$2:$B$1801,MATCH(B4525,Pedidos!$A$2:$A$1801,0)),0)</f>
        <v/>
      </c>
      <c r="G4525" s="25">
        <f>IF(F4525=0,"",YEAR(F4525))</f>
        <v/>
      </c>
      <c r="H4525" s="25">
        <f>IF(F4525=0,"",MONTH(F4525))</f>
        <v/>
      </c>
      <c r="I4525" s="25">
        <f>IFERROR(INDEX(Pedidos!$E$2:$E$1801,MATCH(B4525,Pedidos!$A$2:$A$1801,0)),"")</f>
        <v/>
      </c>
      <c r="J4525" s="25">
        <f>IFERROR(INDEX(Pedidos!$C$2:$C$1801,MATCH(B4525,Pedidos!$A$2:$A$1801,0)),"")</f>
        <v/>
      </c>
      <c r="K4525" s="25">
        <f>IFERROR(INDEX(Pedidos!$D$2:$D$1801,MATCH(B4525,Pedidos!$A$2:$A$1801,0)),"")</f>
        <v/>
      </c>
      <c r="L4525" s="25">
        <f>IFERROR(INDEX(Pedidos!$F$2:$F$1801,MATCH(B4525,Pedidos!$A$2:$A$1801,0)),"")</f>
        <v/>
      </c>
      <c r="M4525" s="26">
        <f>IFERROR(INDEX(Pedidos!$G$2:$G$1801,MATCH(B4525,Pedidos!$A$2:$A$1801,0)),0)</f>
        <v/>
      </c>
      <c r="N4525" s="25">
        <f>IFERROR(INDEX(Produtos!$B$2:$B$71,MATCH(C4525,Produtos!$A$2:$A$71,0)),"")</f>
        <v/>
      </c>
      <c r="O4525" s="25">
        <f>IFERROR(INDEX(Produtos!$C$2:$C$71,MATCH(C4525,Produtos!$A$2:$A$71,0)),"")</f>
        <v/>
      </c>
      <c r="P4525" s="25">
        <f>IFERROR(INDEX(Produtos!$D$2:$D$71,MATCH(C4525,Produtos!$A$2:$A$71,0)),0)</f>
        <v/>
      </c>
      <c r="Q4525" s="25">
        <f>IFERROR(INDEX(Produtos!$E$2:$E$71,MATCH(C4525,Produtos!$A$2:$A$71,0)),0)</f>
        <v/>
      </c>
      <c r="R4525" s="27">
        <f>D4525*Q4525</f>
        <v/>
      </c>
      <c r="S4525" s="27">
        <f>R4525*E4525</f>
        <v/>
      </c>
      <c r="T4525" s="27">
        <f>(R4525-S4525)*M4525</f>
        <v/>
      </c>
      <c r="U4525" s="27">
        <f>R4525-S4525-T4525</f>
        <v/>
      </c>
      <c r="V4525" s="27">
        <f>D4525*P4525</f>
        <v/>
      </c>
      <c r="W4525" s="27">
        <f>U4525-V4525</f>
        <v/>
      </c>
      <c r="X4525" s="28">
        <f>IFERROR(W4525/U4525,0)</f>
        <v/>
      </c>
    </row>
    <row r="4526">
      <c r="A4526" s="21">
        <f>ItensPedido!A4526</f>
        <v/>
      </c>
      <c r="B4526" s="21">
        <f>ItensPedido!B4526</f>
        <v/>
      </c>
      <c r="C4526" s="21">
        <f>ItensPedido!C4526</f>
        <v/>
      </c>
      <c r="D4526" s="21">
        <f>ItensPedido!D4526</f>
        <v/>
      </c>
      <c r="E4526" s="22">
        <f>ItensPedido!E4526</f>
        <v/>
      </c>
      <c r="F4526" s="21">
        <f>IFERROR(INDEX(Pedidos!$B$2:$B$1801,MATCH(B4526,Pedidos!$A$2:$A$1801,0)),0)</f>
        <v/>
      </c>
      <c r="G4526" s="21">
        <f>IF(F4526=0,"",YEAR(F4526))</f>
        <v/>
      </c>
      <c r="H4526" s="21">
        <f>IF(F4526=0,"",MONTH(F4526))</f>
        <v/>
      </c>
      <c r="I4526" s="21">
        <f>IFERROR(INDEX(Pedidos!$E$2:$E$1801,MATCH(B4526,Pedidos!$A$2:$A$1801,0)),"")</f>
        <v/>
      </c>
      <c r="J4526" s="21">
        <f>IFERROR(INDEX(Pedidos!$C$2:$C$1801,MATCH(B4526,Pedidos!$A$2:$A$1801,0)),"")</f>
        <v/>
      </c>
      <c r="K4526" s="21">
        <f>IFERROR(INDEX(Pedidos!$D$2:$D$1801,MATCH(B4526,Pedidos!$A$2:$A$1801,0)),"")</f>
        <v/>
      </c>
      <c r="L4526" s="21">
        <f>IFERROR(INDEX(Pedidos!$F$2:$F$1801,MATCH(B4526,Pedidos!$A$2:$A$1801,0)),"")</f>
        <v/>
      </c>
      <c r="M4526" s="22">
        <f>IFERROR(INDEX(Pedidos!$G$2:$G$1801,MATCH(B4526,Pedidos!$A$2:$A$1801,0)),0)</f>
        <v/>
      </c>
      <c r="N4526" s="21">
        <f>IFERROR(INDEX(Produtos!$B$2:$B$71,MATCH(C4526,Produtos!$A$2:$A$71,0)),"")</f>
        <v/>
      </c>
      <c r="O4526" s="21">
        <f>IFERROR(INDEX(Produtos!$C$2:$C$71,MATCH(C4526,Produtos!$A$2:$A$71,0)),"")</f>
        <v/>
      </c>
      <c r="P4526" s="21">
        <f>IFERROR(INDEX(Produtos!$D$2:$D$71,MATCH(C4526,Produtos!$A$2:$A$71,0)),0)</f>
        <v/>
      </c>
      <c r="Q4526" s="21">
        <f>IFERROR(INDEX(Produtos!$E$2:$E$71,MATCH(C4526,Produtos!$A$2:$A$71,0)),0)</f>
        <v/>
      </c>
      <c r="R4526" s="23">
        <f>D4526*Q4526</f>
        <v/>
      </c>
      <c r="S4526" s="23">
        <f>R4526*E4526</f>
        <v/>
      </c>
      <c r="T4526" s="23">
        <f>(R4526-S4526)*M4526</f>
        <v/>
      </c>
      <c r="U4526" s="23">
        <f>R4526-S4526-T4526</f>
        <v/>
      </c>
      <c r="V4526" s="23">
        <f>D4526*P4526</f>
        <v/>
      </c>
      <c r="W4526" s="23">
        <f>U4526-V4526</f>
        <v/>
      </c>
      <c r="X4526" s="24">
        <f>IFERROR(W4526/U4526,0)</f>
        <v/>
      </c>
    </row>
    <row r="4527">
      <c r="A4527" s="25">
        <f>ItensPedido!A4527</f>
        <v/>
      </c>
      <c r="B4527" s="25">
        <f>ItensPedido!B4527</f>
        <v/>
      </c>
      <c r="C4527" s="25">
        <f>ItensPedido!C4527</f>
        <v/>
      </c>
      <c r="D4527" s="25">
        <f>ItensPedido!D4527</f>
        <v/>
      </c>
      <c r="E4527" s="26">
        <f>ItensPedido!E4527</f>
        <v/>
      </c>
      <c r="F4527" s="25">
        <f>IFERROR(INDEX(Pedidos!$B$2:$B$1801,MATCH(B4527,Pedidos!$A$2:$A$1801,0)),0)</f>
        <v/>
      </c>
      <c r="G4527" s="25">
        <f>IF(F4527=0,"",YEAR(F4527))</f>
        <v/>
      </c>
      <c r="H4527" s="25">
        <f>IF(F4527=0,"",MONTH(F4527))</f>
        <v/>
      </c>
      <c r="I4527" s="25">
        <f>IFERROR(INDEX(Pedidos!$E$2:$E$1801,MATCH(B4527,Pedidos!$A$2:$A$1801,0)),"")</f>
        <v/>
      </c>
      <c r="J4527" s="25">
        <f>IFERROR(INDEX(Pedidos!$C$2:$C$1801,MATCH(B4527,Pedidos!$A$2:$A$1801,0)),"")</f>
        <v/>
      </c>
      <c r="K4527" s="25">
        <f>IFERROR(INDEX(Pedidos!$D$2:$D$1801,MATCH(B4527,Pedidos!$A$2:$A$1801,0)),"")</f>
        <v/>
      </c>
      <c r="L4527" s="25">
        <f>IFERROR(INDEX(Pedidos!$F$2:$F$1801,MATCH(B4527,Pedidos!$A$2:$A$1801,0)),"")</f>
        <v/>
      </c>
      <c r="M4527" s="26">
        <f>IFERROR(INDEX(Pedidos!$G$2:$G$1801,MATCH(B4527,Pedidos!$A$2:$A$1801,0)),0)</f>
        <v/>
      </c>
      <c r="N4527" s="25">
        <f>IFERROR(INDEX(Produtos!$B$2:$B$71,MATCH(C4527,Produtos!$A$2:$A$71,0)),"")</f>
        <v/>
      </c>
      <c r="O4527" s="25">
        <f>IFERROR(INDEX(Produtos!$C$2:$C$71,MATCH(C4527,Produtos!$A$2:$A$71,0)),"")</f>
        <v/>
      </c>
      <c r="P4527" s="25">
        <f>IFERROR(INDEX(Produtos!$D$2:$D$71,MATCH(C4527,Produtos!$A$2:$A$71,0)),0)</f>
        <v/>
      </c>
      <c r="Q4527" s="25">
        <f>IFERROR(INDEX(Produtos!$E$2:$E$71,MATCH(C4527,Produtos!$A$2:$A$71,0)),0)</f>
        <v/>
      </c>
      <c r="R4527" s="27">
        <f>D4527*Q4527</f>
        <v/>
      </c>
      <c r="S4527" s="27">
        <f>R4527*E4527</f>
        <v/>
      </c>
      <c r="T4527" s="27">
        <f>(R4527-S4527)*M4527</f>
        <v/>
      </c>
      <c r="U4527" s="27">
        <f>R4527-S4527-T4527</f>
        <v/>
      </c>
      <c r="V4527" s="27">
        <f>D4527*P4527</f>
        <v/>
      </c>
      <c r="W4527" s="27">
        <f>U4527-V4527</f>
        <v/>
      </c>
      <c r="X4527" s="28">
        <f>IFERROR(W4527/U4527,0)</f>
        <v/>
      </c>
    </row>
    <row r="4528">
      <c r="A4528" s="21">
        <f>ItensPedido!A4528</f>
        <v/>
      </c>
      <c r="B4528" s="21">
        <f>ItensPedido!B4528</f>
        <v/>
      </c>
      <c r="C4528" s="21">
        <f>ItensPedido!C4528</f>
        <v/>
      </c>
      <c r="D4528" s="21">
        <f>ItensPedido!D4528</f>
        <v/>
      </c>
      <c r="E4528" s="22">
        <f>ItensPedido!E4528</f>
        <v/>
      </c>
      <c r="F4528" s="21">
        <f>IFERROR(INDEX(Pedidos!$B$2:$B$1801,MATCH(B4528,Pedidos!$A$2:$A$1801,0)),0)</f>
        <v/>
      </c>
      <c r="G4528" s="21">
        <f>IF(F4528=0,"",YEAR(F4528))</f>
        <v/>
      </c>
      <c r="H4528" s="21">
        <f>IF(F4528=0,"",MONTH(F4528))</f>
        <v/>
      </c>
      <c r="I4528" s="21">
        <f>IFERROR(INDEX(Pedidos!$E$2:$E$1801,MATCH(B4528,Pedidos!$A$2:$A$1801,0)),"")</f>
        <v/>
      </c>
      <c r="J4528" s="21">
        <f>IFERROR(INDEX(Pedidos!$C$2:$C$1801,MATCH(B4528,Pedidos!$A$2:$A$1801,0)),"")</f>
        <v/>
      </c>
      <c r="K4528" s="21">
        <f>IFERROR(INDEX(Pedidos!$D$2:$D$1801,MATCH(B4528,Pedidos!$A$2:$A$1801,0)),"")</f>
        <v/>
      </c>
      <c r="L4528" s="21">
        <f>IFERROR(INDEX(Pedidos!$F$2:$F$1801,MATCH(B4528,Pedidos!$A$2:$A$1801,0)),"")</f>
        <v/>
      </c>
      <c r="M4528" s="22">
        <f>IFERROR(INDEX(Pedidos!$G$2:$G$1801,MATCH(B4528,Pedidos!$A$2:$A$1801,0)),0)</f>
        <v/>
      </c>
      <c r="N4528" s="21">
        <f>IFERROR(INDEX(Produtos!$B$2:$B$71,MATCH(C4528,Produtos!$A$2:$A$71,0)),"")</f>
        <v/>
      </c>
      <c r="O4528" s="21">
        <f>IFERROR(INDEX(Produtos!$C$2:$C$71,MATCH(C4528,Produtos!$A$2:$A$71,0)),"")</f>
        <v/>
      </c>
      <c r="P4528" s="21">
        <f>IFERROR(INDEX(Produtos!$D$2:$D$71,MATCH(C4528,Produtos!$A$2:$A$71,0)),0)</f>
        <v/>
      </c>
      <c r="Q4528" s="21">
        <f>IFERROR(INDEX(Produtos!$E$2:$E$71,MATCH(C4528,Produtos!$A$2:$A$71,0)),0)</f>
        <v/>
      </c>
      <c r="R4528" s="23">
        <f>D4528*Q4528</f>
        <v/>
      </c>
      <c r="S4528" s="23">
        <f>R4528*E4528</f>
        <v/>
      </c>
      <c r="T4528" s="23">
        <f>(R4528-S4528)*M4528</f>
        <v/>
      </c>
      <c r="U4528" s="23">
        <f>R4528-S4528-T4528</f>
        <v/>
      </c>
      <c r="V4528" s="23">
        <f>D4528*P4528</f>
        <v/>
      </c>
      <c r="W4528" s="23">
        <f>U4528-V4528</f>
        <v/>
      </c>
      <c r="X4528" s="24">
        <f>IFERROR(W4528/U4528,0)</f>
        <v/>
      </c>
    </row>
    <row r="4529">
      <c r="A4529" s="25">
        <f>ItensPedido!A4529</f>
        <v/>
      </c>
      <c r="B4529" s="25">
        <f>ItensPedido!B4529</f>
        <v/>
      </c>
      <c r="C4529" s="25">
        <f>ItensPedido!C4529</f>
        <v/>
      </c>
      <c r="D4529" s="25">
        <f>ItensPedido!D4529</f>
        <v/>
      </c>
      <c r="E4529" s="26">
        <f>ItensPedido!E4529</f>
        <v/>
      </c>
      <c r="F4529" s="25">
        <f>IFERROR(INDEX(Pedidos!$B$2:$B$1801,MATCH(B4529,Pedidos!$A$2:$A$1801,0)),0)</f>
        <v/>
      </c>
      <c r="G4529" s="25">
        <f>IF(F4529=0,"",YEAR(F4529))</f>
        <v/>
      </c>
      <c r="H4529" s="25">
        <f>IF(F4529=0,"",MONTH(F4529))</f>
        <v/>
      </c>
      <c r="I4529" s="25">
        <f>IFERROR(INDEX(Pedidos!$E$2:$E$1801,MATCH(B4529,Pedidos!$A$2:$A$1801,0)),"")</f>
        <v/>
      </c>
      <c r="J4529" s="25">
        <f>IFERROR(INDEX(Pedidos!$C$2:$C$1801,MATCH(B4529,Pedidos!$A$2:$A$1801,0)),"")</f>
        <v/>
      </c>
      <c r="K4529" s="25">
        <f>IFERROR(INDEX(Pedidos!$D$2:$D$1801,MATCH(B4529,Pedidos!$A$2:$A$1801,0)),"")</f>
        <v/>
      </c>
      <c r="L4529" s="25">
        <f>IFERROR(INDEX(Pedidos!$F$2:$F$1801,MATCH(B4529,Pedidos!$A$2:$A$1801,0)),"")</f>
        <v/>
      </c>
      <c r="M4529" s="26">
        <f>IFERROR(INDEX(Pedidos!$G$2:$G$1801,MATCH(B4529,Pedidos!$A$2:$A$1801,0)),0)</f>
        <v/>
      </c>
      <c r="N4529" s="25">
        <f>IFERROR(INDEX(Produtos!$B$2:$B$71,MATCH(C4529,Produtos!$A$2:$A$71,0)),"")</f>
        <v/>
      </c>
      <c r="O4529" s="25">
        <f>IFERROR(INDEX(Produtos!$C$2:$C$71,MATCH(C4529,Produtos!$A$2:$A$71,0)),"")</f>
        <v/>
      </c>
      <c r="P4529" s="25">
        <f>IFERROR(INDEX(Produtos!$D$2:$D$71,MATCH(C4529,Produtos!$A$2:$A$71,0)),0)</f>
        <v/>
      </c>
      <c r="Q4529" s="25">
        <f>IFERROR(INDEX(Produtos!$E$2:$E$71,MATCH(C4529,Produtos!$A$2:$A$71,0)),0)</f>
        <v/>
      </c>
      <c r="R4529" s="27">
        <f>D4529*Q4529</f>
        <v/>
      </c>
      <c r="S4529" s="27">
        <f>R4529*E4529</f>
        <v/>
      </c>
      <c r="T4529" s="27">
        <f>(R4529-S4529)*M4529</f>
        <v/>
      </c>
      <c r="U4529" s="27">
        <f>R4529-S4529-T4529</f>
        <v/>
      </c>
      <c r="V4529" s="27">
        <f>D4529*P4529</f>
        <v/>
      </c>
      <c r="W4529" s="27">
        <f>U4529-V4529</f>
        <v/>
      </c>
      <c r="X4529" s="28">
        <f>IFERROR(W4529/U4529,0)</f>
        <v/>
      </c>
    </row>
    <row r="4530">
      <c r="A4530" s="21">
        <f>ItensPedido!A4530</f>
        <v/>
      </c>
      <c r="B4530" s="21">
        <f>ItensPedido!B4530</f>
        <v/>
      </c>
      <c r="C4530" s="21">
        <f>ItensPedido!C4530</f>
        <v/>
      </c>
      <c r="D4530" s="21">
        <f>ItensPedido!D4530</f>
        <v/>
      </c>
      <c r="E4530" s="22">
        <f>ItensPedido!E4530</f>
        <v/>
      </c>
      <c r="F4530" s="21">
        <f>IFERROR(INDEX(Pedidos!$B$2:$B$1801,MATCH(B4530,Pedidos!$A$2:$A$1801,0)),0)</f>
        <v/>
      </c>
      <c r="G4530" s="21">
        <f>IF(F4530=0,"",YEAR(F4530))</f>
        <v/>
      </c>
      <c r="H4530" s="21">
        <f>IF(F4530=0,"",MONTH(F4530))</f>
        <v/>
      </c>
      <c r="I4530" s="21">
        <f>IFERROR(INDEX(Pedidos!$E$2:$E$1801,MATCH(B4530,Pedidos!$A$2:$A$1801,0)),"")</f>
        <v/>
      </c>
      <c r="J4530" s="21">
        <f>IFERROR(INDEX(Pedidos!$C$2:$C$1801,MATCH(B4530,Pedidos!$A$2:$A$1801,0)),"")</f>
        <v/>
      </c>
      <c r="K4530" s="21">
        <f>IFERROR(INDEX(Pedidos!$D$2:$D$1801,MATCH(B4530,Pedidos!$A$2:$A$1801,0)),"")</f>
        <v/>
      </c>
      <c r="L4530" s="21">
        <f>IFERROR(INDEX(Pedidos!$F$2:$F$1801,MATCH(B4530,Pedidos!$A$2:$A$1801,0)),"")</f>
        <v/>
      </c>
      <c r="M4530" s="22">
        <f>IFERROR(INDEX(Pedidos!$G$2:$G$1801,MATCH(B4530,Pedidos!$A$2:$A$1801,0)),0)</f>
        <v/>
      </c>
      <c r="N4530" s="21">
        <f>IFERROR(INDEX(Produtos!$B$2:$B$71,MATCH(C4530,Produtos!$A$2:$A$71,0)),"")</f>
        <v/>
      </c>
      <c r="O4530" s="21">
        <f>IFERROR(INDEX(Produtos!$C$2:$C$71,MATCH(C4530,Produtos!$A$2:$A$71,0)),"")</f>
        <v/>
      </c>
      <c r="P4530" s="21">
        <f>IFERROR(INDEX(Produtos!$D$2:$D$71,MATCH(C4530,Produtos!$A$2:$A$71,0)),0)</f>
        <v/>
      </c>
      <c r="Q4530" s="21">
        <f>IFERROR(INDEX(Produtos!$E$2:$E$71,MATCH(C4530,Produtos!$A$2:$A$71,0)),0)</f>
        <v/>
      </c>
      <c r="R4530" s="23">
        <f>D4530*Q4530</f>
        <v/>
      </c>
      <c r="S4530" s="23">
        <f>R4530*E4530</f>
        <v/>
      </c>
      <c r="T4530" s="23">
        <f>(R4530-S4530)*M4530</f>
        <v/>
      </c>
      <c r="U4530" s="23">
        <f>R4530-S4530-T4530</f>
        <v/>
      </c>
      <c r="V4530" s="23">
        <f>D4530*P4530</f>
        <v/>
      </c>
      <c r="W4530" s="23">
        <f>U4530-V4530</f>
        <v/>
      </c>
      <c r="X4530" s="24">
        <f>IFERROR(W4530/U4530,0)</f>
        <v/>
      </c>
    </row>
    <row r="4531">
      <c r="A4531" s="25">
        <f>ItensPedido!A4531</f>
        <v/>
      </c>
      <c r="B4531" s="25">
        <f>ItensPedido!B4531</f>
        <v/>
      </c>
      <c r="C4531" s="25">
        <f>ItensPedido!C4531</f>
        <v/>
      </c>
      <c r="D4531" s="25">
        <f>ItensPedido!D4531</f>
        <v/>
      </c>
      <c r="E4531" s="26">
        <f>ItensPedido!E4531</f>
        <v/>
      </c>
      <c r="F4531" s="25">
        <f>IFERROR(INDEX(Pedidos!$B$2:$B$1801,MATCH(B4531,Pedidos!$A$2:$A$1801,0)),0)</f>
        <v/>
      </c>
      <c r="G4531" s="25">
        <f>IF(F4531=0,"",YEAR(F4531))</f>
        <v/>
      </c>
      <c r="H4531" s="25">
        <f>IF(F4531=0,"",MONTH(F4531))</f>
        <v/>
      </c>
      <c r="I4531" s="25">
        <f>IFERROR(INDEX(Pedidos!$E$2:$E$1801,MATCH(B4531,Pedidos!$A$2:$A$1801,0)),"")</f>
        <v/>
      </c>
      <c r="J4531" s="25">
        <f>IFERROR(INDEX(Pedidos!$C$2:$C$1801,MATCH(B4531,Pedidos!$A$2:$A$1801,0)),"")</f>
        <v/>
      </c>
      <c r="K4531" s="25">
        <f>IFERROR(INDEX(Pedidos!$D$2:$D$1801,MATCH(B4531,Pedidos!$A$2:$A$1801,0)),"")</f>
        <v/>
      </c>
      <c r="L4531" s="25">
        <f>IFERROR(INDEX(Pedidos!$F$2:$F$1801,MATCH(B4531,Pedidos!$A$2:$A$1801,0)),"")</f>
        <v/>
      </c>
      <c r="M4531" s="26">
        <f>IFERROR(INDEX(Pedidos!$G$2:$G$1801,MATCH(B4531,Pedidos!$A$2:$A$1801,0)),0)</f>
        <v/>
      </c>
      <c r="N4531" s="25">
        <f>IFERROR(INDEX(Produtos!$B$2:$B$71,MATCH(C4531,Produtos!$A$2:$A$71,0)),"")</f>
        <v/>
      </c>
      <c r="O4531" s="25">
        <f>IFERROR(INDEX(Produtos!$C$2:$C$71,MATCH(C4531,Produtos!$A$2:$A$71,0)),"")</f>
        <v/>
      </c>
      <c r="P4531" s="25">
        <f>IFERROR(INDEX(Produtos!$D$2:$D$71,MATCH(C4531,Produtos!$A$2:$A$71,0)),0)</f>
        <v/>
      </c>
      <c r="Q4531" s="25">
        <f>IFERROR(INDEX(Produtos!$E$2:$E$71,MATCH(C4531,Produtos!$A$2:$A$71,0)),0)</f>
        <v/>
      </c>
      <c r="R4531" s="27">
        <f>D4531*Q4531</f>
        <v/>
      </c>
      <c r="S4531" s="27">
        <f>R4531*E4531</f>
        <v/>
      </c>
      <c r="T4531" s="27">
        <f>(R4531-S4531)*M4531</f>
        <v/>
      </c>
      <c r="U4531" s="27">
        <f>R4531-S4531-T4531</f>
        <v/>
      </c>
      <c r="V4531" s="27">
        <f>D4531*P4531</f>
        <v/>
      </c>
      <c r="W4531" s="27">
        <f>U4531-V4531</f>
        <v/>
      </c>
      <c r="X4531" s="28">
        <f>IFERROR(W4531/U4531,0)</f>
        <v/>
      </c>
    </row>
    <row r="4532">
      <c r="A4532" s="21">
        <f>ItensPedido!A4532</f>
        <v/>
      </c>
      <c r="B4532" s="21">
        <f>ItensPedido!B4532</f>
        <v/>
      </c>
      <c r="C4532" s="21">
        <f>ItensPedido!C4532</f>
        <v/>
      </c>
      <c r="D4532" s="21">
        <f>ItensPedido!D4532</f>
        <v/>
      </c>
      <c r="E4532" s="22">
        <f>ItensPedido!E4532</f>
        <v/>
      </c>
      <c r="F4532" s="21">
        <f>IFERROR(INDEX(Pedidos!$B$2:$B$1801,MATCH(B4532,Pedidos!$A$2:$A$1801,0)),0)</f>
        <v/>
      </c>
      <c r="G4532" s="21">
        <f>IF(F4532=0,"",YEAR(F4532))</f>
        <v/>
      </c>
      <c r="H4532" s="21">
        <f>IF(F4532=0,"",MONTH(F4532))</f>
        <v/>
      </c>
      <c r="I4532" s="21">
        <f>IFERROR(INDEX(Pedidos!$E$2:$E$1801,MATCH(B4532,Pedidos!$A$2:$A$1801,0)),"")</f>
        <v/>
      </c>
      <c r="J4532" s="21">
        <f>IFERROR(INDEX(Pedidos!$C$2:$C$1801,MATCH(B4532,Pedidos!$A$2:$A$1801,0)),"")</f>
        <v/>
      </c>
      <c r="K4532" s="21">
        <f>IFERROR(INDEX(Pedidos!$D$2:$D$1801,MATCH(B4532,Pedidos!$A$2:$A$1801,0)),"")</f>
        <v/>
      </c>
      <c r="L4532" s="21">
        <f>IFERROR(INDEX(Pedidos!$F$2:$F$1801,MATCH(B4532,Pedidos!$A$2:$A$1801,0)),"")</f>
        <v/>
      </c>
      <c r="M4532" s="22">
        <f>IFERROR(INDEX(Pedidos!$G$2:$G$1801,MATCH(B4532,Pedidos!$A$2:$A$1801,0)),0)</f>
        <v/>
      </c>
      <c r="N4532" s="21">
        <f>IFERROR(INDEX(Produtos!$B$2:$B$71,MATCH(C4532,Produtos!$A$2:$A$71,0)),"")</f>
        <v/>
      </c>
      <c r="O4532" s="21">
        <f>IFERROR(INDEX(Produtos!$C$2:$C$71,MATCH(C4532,Produtos!$A$2:$A$71,0)),"")</f>
        <v/>
      </c>
      <c r="P4532" s="21">
        <f>IFERROR(INDEX(Produtos!$D$2:$D$71,MATCH(C4532,Produtos!$A$2:$A$71,0)),0)</f>
        <v/>
      </c>
      <c r="Q4532" s="21">
        <f>IFERROR(INDEX(Produtos!$E$2:$E$71,MATCH(C4532,Produtos!$A$2:$A$71,0)),0)</f>
        <v/>
      </c>
      <c r="R4532" s="23">
        <f>D4532*Q4532</f>
        <v/>
      </c>
      <c r="S4532" s="23">
        <f>R4532*E4532</f>
        <v/>
      </c>
      <c r="T4532" s="23">
        <f>(R4532-S4532)*M4532</f>
        <v/>
      </c>
      <c r="U4532" s="23">
        <f>R4532-S4532-T4532</f>
        <v/>
      </c>
      <c r="V4532" s="23">
        <f>D4532*P4532</f>
        <v/>
      </c>
      <c r="W4532" s="23">
        <f>U4532-V4532</f>
        <v/>
      </c>
      <c r="X4532" s="24">
        <f>IFERROR(W4532/U4532,0)</f>
        <v/>
      </c>
    </row>
    <row r="4533">
      <c r="A4533" s="25">
        <f>ItensPedido!A4533</f>
        <v/>
      </c>
      <c r="B4533" s="25">
        <f>ItensPedido!B4533</f>
        <v/>
      </c>
      <c r="C4533" s="25">
        <f>ItensPedido!C4533</f>
        <v/>
      </c>
      <c r="D4533" s="25">
        <f>ItensPedido!D4533</f>
        <v/>
      </c>
      <c r="E4533" s="26">
        <f>ItensPedido!E4533</f>
        <v/>
      </c>
      <c r="F4533" s="25">
        <f>IFERROR(INDEX(Pedidos!$B$2:$B$1801,MATCH(B4533,Pedidos!$A$2:$A$1801,0)),0)</f>
        <v/>
      </c>
      <c r="G4533" s="25">
        <f>IF(F4533=0,"",YEAR(F4533))</f>
        <v/>
      </c>
      <c r="H4533" s="25">
        <f>IF(F4533=0,"",MONTH(F4533))</f>
        <v/>
      </c>
      <c r="I4533" s="25">
        <f>IFERROR(INDEX(Pedidos!$E$2:$E$1801,MATCH(B4533,Pedidos!$A$2:$A$1801,0)),"")</f>
        <v/>
      </c>
      <c r="J4533" s="25">
        <f>IFERROR(INDEX(Pedidos!$C$2:$C$1801,MATCH(B4533,Pedidos!$A$2:$A$1801,0)),"")</f>
        <v/>
      </c>
      <c r="K4533" s="25">
        <f>IFERROR(INDEX(Pedidos!$D$2:$D$1801,MATCH(B4533,Pedidos!$A$2:$A$1801,0)),"")</f>
        <v/>
      </c>
      <c r="L4533" s="25">
        <f>IFERROR(INDEX(Pedidos!$F$2:$F$1801,MATCH(B4533,Pedidos!$A$2:$A$1801,0)),"")</f>
        <v/>
      </c>
      <c r="M4533" s="26">
        <f>IFERROR(INDEX(Pedidos!$G$2:$G$1801,MATCH(B4533,Pedidos!$A$2:$A$1801,0)),0)</f>
        <v/>
      </c>
      <c r="N4533" s="25">
        <f>IFERROR(INDEX(Produtos!$B$2:$B$71,MATCH(C4533,Produtos!$A$2:$A$71,0)),"")</f>
        <v/>
      </c>
      <c r="O4533" s="25">
        <f>IFERROR(INDEX(Produtos!$C$2:$C$71,MATCH(C4533,Produtos!$A$2:$A$71,0)),"")</f>
        <v/>
      </c>
      <c r="P4533" s="25">
        <f>IFERROR(INDEX(Produtos!$D$2:$D$71,MATCH(C4533,Produtos!$A$2:$A$71,0)),0)</f>
        <v/>
      </c>
      <c r="Q4533" s="25">
        <f>IFERROR(INDEX(Produtos!$E$2:$E$71,MATCH(C4533,Produtos!$A$2:$A$71,0)),0)</f>
        <v/>
      </c>
      <c r="R4533" s="27">
        <f>D4533*Q4533</f>
        <v/>
      </c>
      <c r="S4533" s="27">
        <f>R4533*E4533</f>
        <v/>
      </c>
      <c r="T4533" s="27">
        <f>(R4533-S4533)*M4533</f>
        <v/>
      </c>
      <c r="U4533" s="27">
        <f>R4533-S4533-T4533</f>
        <v/>
      </c>
      <c r="V4533" s="27">
        <f>D4533*P4533</f>
        <v/>
      </c>
      <c r="W4533" s="27">
        <f>U4533-V4533</f>
        <v/>
      </c>
      <c r="X4533" s="28">
        <f>IFERROR(W4533/U4533,0)</f>
        <v/>
      </c>
    </row>
    <row r="4534">
      <c r="A4534" s="21">
        <f>ItensPedido!A4534</f>
        <v/>
      </c>
      <c r="B4534" s="21">
        <f>ItensPedido!B4534</f>
        <v/>
      </c>
      <c r="C4534" s="21">
        <f>ItensPedido!C4534</f>
        <v/>
      </c>
      <c r="D4534" s="21">
        <f>ItensPedido!D4534</f>
        <v/>
      </c>
      <c r="E4534" s="22">
        <f>ItensPedido!E4534</f>
        <v/>
      </c>
      <c r="F4534" s="21">
        <f>IFERROR(INDEX(Pedidos!$B$2:$B$1801,MATCH(B4534,Pedidos!$A$2:$A$1801,0)),0)</f>
        <v/>
      </c>
      <c r="G4534" s="21">
        <f>IF(F4534=0,"",YEAR(F4534))</f>
        <v/>
      </c>
      <c r="H4534" s="21">
        <f>IF(F4534=0,"",MONTH(F4534))</f>
        <v/>
      </c>
      <c r="I4534" s="21">
        <f>IFERROR(INDEX(Pedidos!$E$2:$E$1801,MATCH(B4534,Pedidos!$A$2:$A$1801,0)),"")</f>
        <v/>
      </c>
      <c r="J4534" s="21">
        <f>IFERROR(INDEX(Pedidos!$C$2:$C$1801,MATCH(B4534,Pedidos!$A$2:$A$1801,0)),"")</f>
        <v/>
      </c>
      <c r="K4534" s="21">
        <f>IFERROR(INDEX(Pedidos!$D$2:$D$1801,MATCH(B4534,Pedidos!$A$2:$A$1801,0)),"")</f>
        <v/>
      </c>
      <c r="L4534" s="21">
        <f>IFERROR(INDEX(Pedidos!$F$2:$F$1801,MATCH(B4534,Pedidos!$A$2:$A$1801,0)),"")</f>
        <v/>
      </c>
      <c r="M4534" s="22">
        <f>IFERROR(INDEX(Pedidos!$G$2:$G$1801,MATCH(B4534,Pedidos!$A$2:$A$1801,0)),0)</f>
        <v/>
      </c>
      <c r="N4534" s="21">
        <f>IFERROR(INDEX(Produtos!$B$2:$B$71,MATCH(C4534,Produtos!$A$2:$A$71,0)),"")</f>
        <v/>
      </c>
      <c r="O4534" s="21">
        <f>IFERROR(INDEX(Produtos!$C$2:$C$71,MATCH(C4534,Produtos!$A$2:$A$71,0)),"")</f>
        <v/>
      </c>
      <c r="P4534" s="21">
        <f>IFERROR(INDEX(Produtos!$D$2:$D$71,MATCH(C4534,Produtos!$A$2:$A$71,0)),0)</f>
        <v/>
      </c>
      <c r="Q4534" s="21">
        <f>IFERROR(INDEX(Produtos!$E$2:$E$71,MATCH(C4534,Produtos!$A$2:$A$71,0)),0)</f>
        <v/>
      </c>
      <c r="R4534" s="23">
        <f>D4534*Q4534</f>
        <v/>
      </c>
      <c r="S4534" s="23">
        <f>R4534*E4534</f>
        <v/>
      </c>
      <c r="T4534" s="23">
        <f>(R4534-S4534)*M4534</f>
        <v/>
      </c>
      <c r="U4534" s="23">
        <f>R4534-S4534-T4534</f>
        <v/>
      </c>
      <c r="V4534" s="23">
        <f>D4534*P4534</f>
        <v/>
      </c>
      <c r="W4534" s="23">
        <f>U4534-V4534</f>
        <v/>
      </c>
      <c r="X4534" s="24">
        <f>IFERROR(W4534/U4534,0)</f>
        <v/>
      </c>
    </row>
    <row r="4535">
      <c r="A4535" s="25">
        <f>ItensPedido!A4535</f>
        <v/>
      </c>
      <c r="B4535" s="25">
        <f>ItensPedido!B4535</f>
        <v/>
      </c>
      <c r="C4535" s="25">
        <f>ItensPedido!C4535</f>
        <v/>
      </c>
      <c r="D4535" s="25">
        <f>ItensPedido!D4535</f>
        <v/>
      </c>
      <c r="E4535" s="26">
        <f>ItensPedido!E4535</f>
        <v/>
      </c>
      <c r="F4535" s="25">
        <f>IFERROR(INDEX(Pedidos!$B$2:$B$1801,MATCH(B4535,Pedidos!$A$2:$A$1801,0)),0)</f>
        <v/>
      </c>
      <c r="G4535" s="25">
        <f>IF(F4535=0,"",YEAR(F4535))</f>
        <v/>
      </c>
      <c r="H4535" s="25">
        <f>IF(F4535=0,"",MONTH(F4535))</f>
        <v/>
      </c>
      <c r="I4535" s="25">
        <f>IFERROR(INDEX(Pedidos!$E$2:$E$1801,MATCH(B4535,Pedidos!$A$2:$A$1801,0)),"")</f>
        <v/>
      </c>
      <c r="J4535" s="25">
        <f>IFERROR(INDEX(Pedidos!$C$2:$C$1801,MATCH(B4535,Pedidos!$A$2:$A$1801,0)),"")</f>
        <v/>
      </c>
      <c r="K4535" s="25">
        <f>IFERROR(INDEX(Pedidos!$D$2:$D$1801,MATCH(B4535,Pedidos!$A$2:$A$1801,0)),"")</f>
        <v/>
      </c>
      <c r="L4535" s="25">
        <f>IFERROR(INDEX(Pedidos!$F$2:$F$1801,MATCH(B4535,Pedidos!$A$2:$A$1801,0)),"")</f>
        <v/>
      </c>
      <c r="M4535" s="26">
        <f>IFERROR(INDEX(Pedidos!$G$2:$G$1801,MATCH(B4535,Pedidos!$A$2:$A$1801,0)),0)</f>
        <v/>
      </c>
      <c r="N4535" s="25">
        <f>IFERROR(INDEX(Produtos!$B$2:$B$71,MATCH(C4535,Produtos!$A$2:$A$71,0)),"")</f>
        <v/>
      </c>
      <c r="O4535" s="25">
        <f>IFERROR(INDEX(Produtos!$C$2:$C$71,MATCH(C4535,Produtos!$A$2:$A$71,0)),"")</f>
        <v/>
      </c>
      <c r="P4535" s="25">
        <f>IFERROR(INDEX(Produtos!$D$2:$D$71,MATCH(C4535,Produtos!$A$2:$A$71,0)),0)</f>
        <v/>
      </c>
      <c r="Q4535" s="25">
        <f>IFERROR(INDEX(Produtos!$E$2:$E$71,MATCH(C4535,Produtos!$A$2:$A$71,0)),0)</f>
        <v/>
      </c>
      <c r="R4535" s="27">
        <f>D4535*Q4535</f>
        <v/>
      </c>
      <c r="S4535" s="27">
        <f>R4535*E4535</f>
        <v/>
      </c>
      <c r="T4535" s="27">
        <f>(R4535-S4535)*M4535</f>
        <v/>
      </c>
      <c r="U4535" s="27">
        <f>R4535-S4535-T4535</f>
        <v/>
      </c>
      <c r="V4535" s="27">
        <f>D4535*P4535</f>
        <v/>
      </c>
      <c r="W4535" s="27">
        <f>U4535-V4535</f>
        <v/>
      </c>
      <c r="X4535" s="28">
        <f>IFERROR(W4535/U4535,0)</f>
        <v/>
      </c>
    </row>
    <row r="4536">
      <c r="A4536" s="21">
        <f>ItensPedido!A4536</f>
        <v/>
      </c>
      <c r="B4536" s="21">
        <f>ItensPedido!B4536</f>
        <v/>
      </c>
      <c r="C4536" s="21">
        <f>ItensPedido!C4536</f>
        <v/>
      </c>
      <c r="D4536" s="21">
        <f>ItensPedido!D4536</f>
        <v/>
      </c>
      <c r="E4536" s="22">
        <f>ItensPedido!E4536</f>
        <v/>
      </c>
      <c r="F4536" s="21">
        <f>IFERROR(INDEX(Pedidos!$B$2:$B$1801,MATCH(B4536,Pedidos!$A$2:$A$1801,0)),0)</f>
        <v/>
      </c>
      <c r="G4536" s="21">
        <f>IF(F4536=0,"",YEAR(F4536))</f>
        <v/>
      </c>
      <c r="H4536" s="21">
        <f>IF(F4536=0,"",MONTH(F4536))</f>
        <v/>
      </c>
      <c r="I4536" s="21">
        <f>IFERROR(INDEX(Pedidos!$E$2:$E$1801,MATCH(B4536,Pedidos!$A$2:$A$1801,0)),"")</f>
        <v/>
      </c>
      <c r="J4536" s="21">
        <f>IFERROR(INDEX(Pedidos!$C$2:$C$1801,MATCH(B4536,Pedidos!$A$2:$A$1801,0)),"")</f>
        <v/>
      </c>
      <c r="K4536" s="21">
        <f>IFERROR(INDEX(Pedidos!$D$2:$D$1801,MATCH(B4536,Pedidos!$A$2:$A$1801,0)),"")</f>
        <v/>
      </c>
      <c r="L4536" s="21">
        <f>IFERROR(INDEX(Pedidos!$F$2:$F$1801,MATCH(B4536,Pedidos!$A$2:$A$1801,0)),"")</f>
        <v/>
      </c>
      <c r="M4536" s="22">
        <f>IFERROR(INDEX(Pedidos!$G$2:$G$1801,MATCH(B4536,Pedidos!$A$2:$A$1801,0)),0)</f>
        <v/>
      </c>
      <c r="N4536" s="21">
        <f>IFERROR(INDEX(Produtos!$B$2:$B$71,MATCH(C4536,Produtos!$A$2:$A$71,0)),"")</f>
        <v/>
      </c>
      <c r="O4536" s="21">
        <f>IFERROR(INDEX(Produtos!$C$2:$C$71,MATCH(C4536,Produtos!$A$2:$A$71,0)),"")</f>
        <v/>
      </c>
      <c r="P4536" s="21">
        <f>IFERROR(INDEX(Produtos!$D$2:$D$71,MATCH(C4536,Produtos!$A$2:$A$71,0)),0)</f>
        <v/>
      </c>
      <c r="Q4536" s="21">
        <f>IFERROR(INDEX(Produtos!$E$2:$E$71,MATCH(C4536,Produtos!$A$2:$A$71,0)),0)</f>
        <v/>
      </c>
      <c r="R4536" s="23">
        <f>D4536*Q4536</f>
        <v/>
      </c>
      <c r="S4536" s="23">
        <f>R4536*E4536</f>
        <v/>
      </c>
      <c r="T4536" s="23">
        <f>(R4536-S4536)*M4536</f>
        <v/>
      </c>
      <c r="U4536" s="23">
        <f>R4536-S4536-T4536</f>
        <v/>
      </c>
      <c r="V4536" s="23">
        <f>D4536*P4536</f>
        <v/>
      </c>
      <c r="W4536" s="23">
        <f>U4536-V4536</f>
        <v/>
      </c>
      <c r="X4536" s="24">
        <f>IFERROR(W4536/U4536,0)</f>
        <v/>
      </c>
    </row>
    <row r="4537">
      <c r="A4537" s="25">
        <f>ItensPedido!A4537</f>
        <v/>
      </c>
      <c r="B4537" s="25">
        <f>ItensPedido!B4537</f>
        <v/>
      </c>
      <c r="C4537" s="25">
        <f>ItensPedido!C4537</f>
        <v/>
      </c>
      <c r="D4537" s="25">
        <f>ItensPedido!D4537</f>
        <v/>
      </c>
      <c r="E4537" s="26">
        <f>ItensPedido!E4537</f>
        <v/>
      </c>
      <c r="F4537" s="25">
        <f>IFERROR(INDEX(Pedidos!$B$2:$B$1801,MATCH(B4537,Pedidos!$A$2:$A$1801,0)),0)</f>
        <v/>
      </c>
      <c r="G4537" s="25">
        <f>IF(F4537=0,"",YEAR(F4537))</f>
        <v/>
      </c>
      <c r="H4537" s="25">
        <f>IF(F4537=0,"",MONTH(F4537))</f>
        <v/>
      </c>
      <c r="I4537" s="25">
        <f>IFERROR(INDEX(Pedidos!$E$2:$E$1801,MATCH(B4537,Pedidos!$A$2:$A$1801,0)),"")</f>
        <v/>
      </c>
      <c r="J4537" s="25">
        <f>IFERROR(INDEX(Pedidos!$C$2:$C$1801,MATCH(B4537,Pedidos!$A$2:$A$1801,0)),"")</f>
        <v/>
      </c>
      <c r="K4537" s="25">
        <f>IFERROR(INDEX(Pedidos!$D$2:$D$1801,MATCH(B4537,Pedidos!$A$2:$A$1801,0)),"")</f>
        <v/>
      </c>
      <c r="L4537" s="25">
        <f>IFERROR(INDEX(Pedidos!$F$2:$F$1801,MATCH(B4537,Pedidos!$A$2:$A$1801,0)),"")</f>
        <v/>
      </c>
      <c r="M4537" s="26">
        <f>IFERROR(INDEX(Pedidos!$G$2:$G$1801,MATCH(B4537,Pedidos!$A$2:$A$1801,0)),0)</f>
        <v/>
      </c>
      <c r="N4537" s="25">
        <f>IFERROR(INDEX(Produtos!$B$2:$B$71,MATCH(C4537,Produtos!$A$2:$A$71,0)),"")</f>
        <v/>
      </c>
      <c r="O4537" s="25">
        <f>IFERROR(INDEX(Produtos!$C$2:$C$71,MATCH(C4537,Produtos!$A$2:$A$71,0)),"")</f>
        <v/>
      </c>
      <c r="P4537" s="25">
        <f>IFERROR(INDEX(Produtos!$D$2:$D$71,MATCH(C4537,Produtos!$A$2:$A$71,0)),0)</f>
        <v/>
      </c>
      <c r="Q4537" s="25">
        <f>IFERROR(INDEX(Produtos!$E$2:$E$71,MATCH(C4537,Produtos!$A$2:$A$71,0)),0)</f>
        <v/>
      </c>
      <c r="R4537" s="27">
        <f>D4537*Q4537</f>
        <v/>
      </c>
      <c r="S4537" s="27">
        <f>R4537*E4537</f>
        <v/>
      </c>
      <c r="T4537" s="27">
        <f>(R4537-S4537)*M4537</f>
        <v/>
      </c>
      <c r="U4537" s="27">
        <f>R4537-S4537-T4537</f>
        <v/>
      </c>
      <c r="V4537" s="27">
        <f>D4537*P4537</f>
        <v/>
      </c>
      <c r="W4537" s="27">
        <f>U4537-V4537</f>
        <v/>
      </c>
      <c r="X4537" s="28">
        <f>IFERROR(W4537/U4537,0)</f>
        <v/>
      </c>
    </row>
    <row r="4538">
      <c r="A4538" s="21">
        <f>ItensPedido!A4538</f>
        <v/>
      </c>
      <c r="B4538" s="21">
        <f>ItensPedido!B4538</f>
        <v/>
      </c>
      <c r="C4538" s="21">
        <f>ItensPedido!C4538</f>
        <v/>
      </c>
      <c r="D4538" s="21">
        <f>ItensPedido!D4538</f>
        <v/>
      </c>
      <c r="E4538" s="22">
        <f>ItensPedido!E4538</f>
        <v/>
      </c>
      <c r="F4538" s="21">
        <f>IFERROR(INDEX(Pedidos!$B$2:$B$1801,MATCH(B4538,Pedidos!$A$2:$A$1801,0)),0)</f>
        <v/>
      </c>
      <c r="G4538" s="21">
        <f>IF(F4538=0,"",YEAR(F4538))</f>
        <v/>
      </c>
      <c r="H4538" s="21">
        <f>IF(F4538=0,"",MONTH(F4538))</f>
        <v/>
      </c>
      <c r="I4538" s="21">
        <f>IFERROR(INDEX(Pedidos!$E$2:$E$1801,MATCH(B4538,Pedidos!$A$2:$A$1801,0)),"")</f>
        <v/>
      </c>
      <c r="J4538" s="21">
        <f>IFERROR(INDEX(Pedidos!$C$2:$C$1801,MATCH(B4538,Pedidos!$A$2:$A$1801,0)),"")</f>
        <v/>
      </c>
      <c r="K4538" s="21">
        <f>IFERROR(INDEX(Pedidos!$D$2:$D$1801,MATCH(B4538,Pedidos!$A$2:$A$1801,0)),"")</f>
        <v/>
      </c>
      <c r="L4538" s="21">
        <f>IFERROR(INDEX(Pedidos!$F$2:$F$1801,MATCH(B4538,Pedidos!$A$2:$A$1801,0)),"")</f>
        <v/>
      </c>
      <c r="M4538" s="22">
        <f>IFERROR(INDEX(Pedidos!$G$2:$G$1801,MATCH(B4538,Pedidos!$A$2:$A$1801,0)),0)</f>
        <v/>
      </c>
      <c r="N4538" s="21">
        <f>IFERROR(INDEX(Produtos!$B$2:$B$71,MATCH(C4538,Produtos!$A$2:$A$71,0)),"")</f>
        <v/>
      </c>
      <c r="O4538" s="21">
        <f>IFERROR(INDEX(Produtos!$C$2:$C$71,MATCH(C4538,Produtos!$A$2:$A$71,0)),"")</f>
        <v/>
      </c>
      <c r="P4538" s="21">
        <f>IFERROR(INDEX(Produtos!$D$2:$D$71,MATCH(C4538,Produtos!$A$2:$A$71,0)),0)</f>
        <v/>
      </c>
      <c r="Q4538" s="21">
        <f>IFERROR(INDEX(Produtos!$E$2:$E$71,MATCH(C4538,Produtos!$A$2:$A$71,0)),0)</f>
        <v/>
      </c>
      <c r="R4538" s="23">
        <f>D4538*Q4538</f>
        <v/>
      </c>
      <c r="S4538" s="23">
        <f>R4538*E4538</f>
        <v/>
      </c>
      <c r="T4538" s="23">
        <f>(R4538-S4538)*M4538</f>
        <v/>
      </c>
      <c r="U4538" s="23">
        <f>R4538-S4538-T4538</f>
        <v/>
      </c>
      <c r="V4538" s="23">
        <f>D4538*P4538</f>
        <v/>
      </c>
      <c r="W4538" s="23">
        <f>U4538-V4538</f>
        <v/>
      </c>
      <c r="X4538" s="24">
        <f>IFERROR(W4538/U4538,0)</f>
        <v/>
      </c>
    </row>
    <row r="4539">
      <c r="A4539" s="25">
        <f>ItensPedido!A4539</f>
        <v/>
      </c>
      <c r="B4539" s="25">
        <f>ItensPedido!B4539</f>
        <v/>
      </c>
      <c r="C4539" s="25">
        <f>ItensPedido!C4539</f>
        <v/>
      </c>
      <c r="D4539" s="25">
        <f>ItensPedido!D4539</f>
        <v/>
      </c>
      <c r="E4539" s="26">
        <f>ItensPedido!E4539</f>
        <v/>
      </c>
      <c r="F4539" s="25">
        <f>IFERROR(INDEX(Pedidos!$B$2:$B$1801,MATCH(B4539,Pedidos!$A$2:$A$1801,0)),0)</f>
        <v/>
      </c>
      <c r="G4539" s="25">
        <f>IF(F4539=0,"",YEAR(F4539))</f>
        <v/>
      </c>
      <c r="H4539" s="25">
        <f>IF(F4539=0,"",MONTH(F4539))</f>
        <v/>
      </c>
      <c r="I4539" s="25">
        <f>IFERROR(INDEX(Pedidos!$E$2:$E$1801,MATCH(B4539,Pedidos!$A$2:$A$1801,0)),"")</f>
        <v/>
      </c>
      <c r="J4539" s="25">
        <f>IFERROR(INDEX(Pedidos!$C$2:$C$1801,MATCH(B4539,Pedidos!$A$2:$A$1801,0)),"")</f>
        <v/>
      </c>
      <c r="K4539" s="25">
        <f>IFERROR(INDEX(Pedidos!$D$2:$D$1801,MATCH(B4539,Pedidos!$A$2:$A$1801,0)),"")</f>
        <v/>
      </c>
      <c r="L4539" s="25">
        <f>IFERROR(INDEX(Pedidos!$F$2:$F$1801,MATCH(B4539,Pedidos!$A$2:$A$1801,0)),"")</f>
        <v/>
      </c>
      <c r="M4539" s="26">
        <f>IFERROR(INDEX(Pedidos!$G$2:$G$1801,MATCH(B4539,Pedidos!$A$2:$A$1801,0)),0)</f>
        <v/>
      </c>
      <c r="N4539" s="25">
        <f>IFERROR(INDEX(Produtos!$B$2:$B$71,MATCH(C4539,Produtos!$A$2:$A$71,0)),"")</f>
        <v/>
      </c>
      <c r="O4539" s="25">
        <f>IFERROR(INDEX(Produtos!$C$2:$C$71,MATCH(C4539,Produtos!$A$2:$A$71,0)),"")</f>
        <v/>
      </c>
      <c r="P4539" s="25">
        <f>IFERROR(INDEX(Produtos!$D$2:$D$71,MATCH(C4539,Produtos!$A$2:$A$71,0)),0)</f>
        <v/>
      </c>
      <c r="Q4539" s="25">
        <f>IFERROR(INDEX(Produtos!$E$2:$E$71,MATCH(C4539,Produtos!$A$2:$A$71,0)),0)</f>
        <v/>
      </c>
      <c r="R4539" s="27">
        <f>D4539*Q4539</f>
        <v/>
      </c>
      <c r="S4539" s="27">
        <f>R4539*E4539</f>
        <v/>
      </c>
      <c r="T4539" s="27">
        <f>(R4539-S4539)*M4539</f>
        <v/>
      </c>
      <c r="U4539" s="27">
        <f>R4539-S4539-T4539</f>
        <v/>
      </c>
      <c r="V4539" s="27">
        <f>D4539*P4539</f>
        <v/>
      </c>
      <c r="W4539" s="27">
        <f>U4539-V4539</f>
        <v/>
      </c>
      <c r="X4539" s="28">
        <f>IFERROR(W4539/U4539,0)</f>
        <v/>
      </c>
    </row>
    <row r="4540">
      <c r="A4540" s="21">
        <f>ItensPedido!A4540</f>
        <v/>
      </c>
      <c r="B4540" s="21">
        <f>ItensPedido!B4540</f>
        <v/>
      </c>
      <c r="C4540" s="21">
        <f>ItensPedido!C4540</f>
        <v/>
      </c>
      <c r="D4540" s="21">
        <f>ItensPedido!D4540</f>
        <v/>
      </c>
      <c r="E4540" s="22">
        <f>ItensPedido!E4540</f>
        <v/>
      </c>
      <c r="F4540" s="21">
        <f>IFERROR(INDEX(Pedidos!$B$2:$B$1801,MATCH(B4540,Pedidos!$A$2:$A$1801,0)),0)</f>
        <v/>
      </c>
      <c r="G4540" s="21">
        <f>IF(F4540=0,"",YEAR(F4540))</f>
        <v/>
      </c>
      <c r="H4540" s="21">
        <f>IF(F4540=0,"",MONTH(F4540))</f>
        <v/>
      </c>
      <c r="I4540" s="21">
        <f>IFERROR(INDEX(Pedidos!$E$2:$E$1801,MATCH(B4540,Pedidos!$A$2:$A$1801,0)),"")</f>
        <v/>
      </c>
      <c r="J4540" s="21">
        <f>IFERROR(INDEX(Pedidos!$C$2:$C$1801,MATCH(B4540,Pedidos!$A$2:$A$1801,0)),"")</f>
        <v/>
      </c>
      <c r="K4540" s="21">
        <f>IFERROR(INDEX(Pedidos!$D$2:$D$1801,MATCH(B4540,Pedidos!$A$2:$A$1801,0)),"")</f>
        <v/>
      </c>
      <c r="L4540" s="21">
        <f>IFERROR(INDEX(Pedidos!$F$2:$F$1801,MATCH(B4540,Pedidos!$A$2:$A$1801,0)),"")</f>
        <v/>
      </c>
      <c r="M4540" s="22">
        <f>IFERROR(INDEX(Pedidos!$G$2:$G$1801,MATCH(B4540,Pedidos!$A$2:$A$1801,0)),0)</f>
        <v/>
      </c>
      <c r="N4540" s="21">
        <f>IFERROR(INDEX(Produtos!$B$2:$B$71,MATCH(C4540,Produtos!$A$2:$A$71,0)),"")</f>
        <v/>
      </c>
      <c r="O4540" s="21">
        <f>IFERROR(INDEX(Produtos!$C$2:$C$71,MATCH(C4540,Produtos!$A$2:$A$71,0)),"")</f>
        <v/>
      </c>
      <c r="P4540" s="21">
        <f>IFERROR(INDEX(Produtos!$D$2:$D$71,MATCH(C4540,Produtos!$A$2:$A$71,0)),0)</f>
        <v/>
      </c>
      <c r="Q4540" s="21">
        <f>IFERROR(INDEX(Produtos!$E$2:$E$71,MATCH(C4540,Produtos!$A$2:$A$71,0)),0)</f>
        <v/>
      </c>
      <c r="R4540" s="23">
        <f>D4540*Q4540</f>
        <v/>
      </c>
      <c r="S4540" s="23">
        <f>R4540*E4540</f>
        <v/>
      </c>
      <c r="T4540" s="23">
        <f>(R4540-S4540)*M4540</f>
        <v/>
      </c>
      <c r="U4540" s="23">
        <f>R4540-S4540-T4540</f>
        <v/>
      </c>
      <c r="V4540" s="23">
        <f>D4540*P4540</f>
        <v/>
      </c>
      <c r="W4540" s="23">
        <f>U4540-V4540</f>
        <v/>
      </c>
      <c r="X4540" s="24">
        <f>IFERROR(W4540/U4540,0)</f>
        <v/>
      </c>
    </row>
    <row r="4541">
      <c r="A4541" s="25">
        <f>ItensPedido!A4541</f>
        <v/>
      </c>
      <c r="B4541" s="25">
        <f>ItensPedido!B4541</f>
        <v/>
      </c>
      <c r="C4541" s="25">
        <f>ItensPedido!C4541</f>
        <v/>
      </c>
      <c r="D4541" s="25">
        <f>ItensPedido!D4541</f>
        <v/>
      </c>
      <c r="E4541" s="26">
        <f>ItensPedido!E4541</f>
        <v/>
      </c>
      <c r="F4541" s="25">
        <f>IFERROR(INDEX(Pedidos!$B$2:$B$1801,MATCH(B4541,Pedidos!$A$2:$A$1801,0)),0)</f>
        <v/>
      </c>
      <c r="G4541" s="25">
        <f>IF(F4541=0,"",YEAR(F4541))</f>
        <v/>
      </c>
      <c r="H4541" s="25">
        <f>IF(F4541=0,"",MONTH(F4541))</f>
        <v/>
      </c>
      <c r="I4541" s="25">
        <f>IFERROR(INDEX(Pedidos!$E$2:$E$1801,MATCH(B4541,Pedidos!$A$2:$A$1801,0)),"")</f>
        <v/>
      </c>
      <c r="J4541" s="25">
        <f>IFERROR(INDEX(Pedidos!$C$2:$C$1801,MATCH(B4541,Pedidos!$A$2:$A$1801,0)),"")</f>
        <v/>
      </c>
      <c r="K4541" s="25">
        <f>IFERROR(INDEX(Pedidos!$D$2:$D$1801,MATCH(B4541,Pedidos!$A$2:$A$1801,0)),"")</f>
        <v/>
      </c>
      <c r="L4541" s="25">
        <f>IFERROR(INDEX(Pedidos!$F$2:$F$1801,MATCH(B4541,Pedidos!$A$2:$A$1801,0)),"")</f>
        <v/>
      </c>
      <c r="M4541" s="26">
        <f>IFERROR(INDEX(Pedidos!$G$2:$G$1801,MATCH(B4541,Pedidos!$A$2:$A$1801,0)),0)</f>
        <v/>
      </c>
      <c r="N4541" s="25">
        <f>IFERROR(INDEX(Produtos!$B$2:$B$71,MATCH(C4541,Produtos!$A$2:$A$71,0)),"")</f>
        <v/>
      </c>
      <c r="O4541" s="25">
        <f>IFERROR(INDEX(Produtos!$C$2:$C$71,MATCH(C4541,Produtos!$A$2:$A$71,0)),"")</f>
        <v/>
      </c>
      <c r="P4541" s="25">
        <f>IFERROR(INDEX(Produtos!$D$2:$D$71,MATCH(C4541,Produtos!$A$2:$A$71,0)),0)</f>
        <v/>
      </c>
      <c r="Q4541" s="25">
        <f>IFERROR(INDEX(Produtos!$E$2:$E$71,MATCH(C4541,Produtos!$A$2:$A$71,0)),0)</f>
        <v/>
      </c>
      <c r="R4541" s="27">
        <f>D4541*Q4541</f>
        <v/>
      </c>
      <c r="S4541" s="27">
        <f>R4541*E4541</f>
        <v/>
      </c>
      <c r="T4541" s="27">
        <f>(R4541-S4541)*M4541</f>
        <v/>
      </c>
      <c r="U4541" s="27">
        <f>R4541-S4541-T4541</f>
        <v/>
      </c>
      <c r="V4541" s="27">
        <f>D4541*P4541</f>
        <v/>
      </c>
      <c r="W4541" s="27">
        <f>U4541-V4541</f>
        <v/>
      </c>
      <c r="X4541" s="28">
        <f>IFERROR(W4541/U4541,0)</f>
        <v/>
      </c>
    </row>
    <row r="4542">
      <c r="A4542" s="21">
        <f>ItensPedido!A4542</f>
        <v/>
      </c>
      <c r="B4542" s="21">
        <f>ItensPedido!B4542</f>
        <v/>
      </c>
      <c r="C4542" s="21">
        <f>ItensPedido!C4542</f>
        <v/>
      </c>
      <c r="D4542" s="21">
        <f>ItensPedido!D4542</f>
        <v/>
      </c>
      <c r="E4542" s="22">
        <f>ItensPedido!E4542</f>
        <v/>
      </c>
      <c r="F4542" s="21">
        <f>IFERROR(INDEX(Pedidos!$B$2:$B$1801,MATCH(B4542,Pedidos!$A$2:$A$1801,0)),0)</f>
        <v/>
      </c>
      <c r="G4542" s="21">
        <f>IF(F4542=0,"",YEAR(F4542))</f>
        <v/>
      </c>
      <c r="H4542" s="21">
        <f>IF(F4542=0,"",MONTH(F4542))</f>
        <v/>
      </c>
      <c r="I4542" s="21">
        <f>IFERROR(INDEX(Pedidos!$E$2:$E$1801,MATCH(B4542,Pedidos!$A$2:$A$1801,0)),"")</f>
        <v/>
      </c>
      <c r="J4542" s="21">
        <f>IFERROR(INDEX(Pedidos!$C$2:$C$1801,MATCH(B4542,Pedidos!$A$2:$A$1801,0)),"")</f>
        <v/>
      </c>
      <c r="K4542" s="21">
        <f>IFERROR(INDEX(Pedidos!$D$2:$D$1801,MATCH(B4542,Pedidos!$A$2:$A$1801,0)),"")</f>
        <v/>
      </c>
      <c r="L4542" s="21">
        <f>IFERROR(INDEX(Pedidos!$F$2:$F$1801,MATCH(B4542,Pedidos!$A$2:$A$1801,0)),"")</f>
        <v/>
      </c>
      <c r="M4542" s="22">
        <f>IFERROR(INDEX(Pedidos!$G$2:$G$1801,MATCH(B4542,Pedidos!$A$2:$A$1801,0)),0)</f>
        <v/>
      </c>
      <c r="N4542" s="21">
        <f>IFERROR(INDEX(Produtos!$B$2:$B$71,MATCH(C4542,Produtos!$A$2:$A$71,0)),"")</f>
        <v/>
      </c>
      <c r="O4542" s="21">
        <f>IFERROR(INDEX(Produtos!$C$2:$C$71,MATCH(C4542,Produtos!$A$2:$A$71,0)),"")</f>
        <v/>
      </c>
      <c r="P4542" s="21">
        <f>IFERROR(INDEX(Produtos!$D$2:$D$71,MATCH(C4542,Produtos!$A$2:$A$71,0)),0)</f>
        <v/>
      </c>
      <c r="Q4542" s="21">
        <f>IFERROR(INDEX(Produtos!$E$2:$E$71,MATCH(C4542,Produtos!$A$2:$A$71,0)),0)</f>
        <v/>
      </c>
      <c r="R4542" s="23">
        <f>D4542*Q4542</f>
        <v/>
      </c>
      <c r="S4542" s="23">
        <f>R4542*E4542</f>
        <v/>
      </c>
      <c r="T4542" s="23">
        <f>(R4542-S4542)*M4542</f>
        <v/>
      </c>
      <c r="U4542" s="23">
        <f>R4542-S4542-T4542</f>
        <v/>
      </c>
      <c r="V4542" s="23">
        <f>D4542*P4542</f>
        <v/>
      </c>
      <c r="W4542" s="23">
        <f>U4542-V4542</f>
        <v/>
      </c>
      <c r="X4542" s="24">
        <f>IFERROR(W4542/U4542,0)</f>
        <v/>
      </c>
    </row>
    <row r="4543">
      <c r="A4543" s="25">
        <f>ItensPedido!A4543</f>
        <v/>
      </c>
      <c r="B4543" s="25">
        <f>ItensPedido!B4543</f>
        <v/>
      </c>
      <c r="C4543" s="25">
        <f>ItensPedido!C4543</f>
        <v/>
      </c>
      <c r="D4543" s="25">
        <f>ItensPedido!D4543</f>
        <v/>
      </c>
      <c r="E4543" s="26">
        <f>ItensPedido!E4543</f>
        <v/>
      </c>
      <c r="F4543" s="25">
        <f>IFERROR(INDEX(Pedidos!$B$2:$B$1801,MATCH(B4543,Pedidos!$A$2:$A$1801,0)),0)</f>
        <v/>
      </c>
      <c r="G4543" s="25">
        <f>IF(F4543=0,"",YEAR(F4543))</f>
        <v/>
      </c>
      <c r="H4543" s="25">
        <f>IF(F4543=0,"",MONTH(F4543))</f>
        <v/>
      </c>
      <c r="I4543" s="25">
        <f>IFERROR(INDEX(Pedidos!$E$2:$E$1801,MATCH(B4543,Pedidos!$A$2:$A$1801,0)),"")</f>
        <v/>
      </c>
      <c r="J4543" s="25">
        <f>IFERROR(INDEX(Pedidos!$C$2:$C$1801,MATCH(B4543,Pedidos!$A$2:$A$1801,0)),"")</f>
        <v/>
      </c>
      <c r="K4543" s="25">
        <f>IFERROR(INDEX(Pedidos!$D$2:$D$1801,MATCH(B4543,Pedidos!$A$2:$A$1801,0)),"")</f>
        <v/>
      </c>
      <c r="L4543" s="25">
        <f>IFERROR(INDEX(Pedidos!$F$2:$F$1801,MATCH(B4543,Pedidos!$A$2:$A$1801,0)),"")</f>
        <v/>
      </c>
      <c r="M4543" s="26">
        <f>IFERROR(INDEX(Pedidos!$G$2:$G$1801,MATCH(B4543,Pedidos!$A$2:$A$1801,0)),0)</f>
        <v/>
      </c>
      <c r="N4543" s="25">
        <f>IFERROR(INDEX(Produtos!$B$2:$B$71,MATCH(C4543,Produtos!$A$2:$A$71,0)),"")</f>
        <v/>
      </c>
      <c r="O4543" s="25">
        <f>IFERROR(INDEX(Produtos!$C$2:$C$71,MATCH(C4543,Produtos!$A$2:$A$71,0)),"")</f>
        <v/>
      </c>
      <c r="P4543" s="25">
        <f>IFERROR(INDEX(Produtos!$D$2:$D$71,MATCH(C4543,Produtos!$A$2:$A$71,0)),0)</f>
        <v/>
      </c>
      <c r="Q4543" s="25">
        <f>IFERROR(INDEX(Produtos!$E$2:$E$71,MATCH(C4543,Produtos!$A$2:$A$71,0)),0)</f>
        <v/>
      </c>
      <c r="R4543" s="27">
        <f>D4543*Q4543</f>
        <v/>
      </c>
      <c r="S4543" s="27">
        <f>R4543*E4543</f>
        <v/>
      </c>
      <c r="T4543" s="27">
        <f>(R4543-S4543)*M4543</f>
        <v/>
      </c>
      <c r="U4543" s="27">
        <f>R4543-S4543-T4543</f>
        <v/>
      </c>
      <c r="V4543" s="27">
        <f>D4543*P4543</f>
        <v/>
      </c>
      <c r="W4543" s="27">
        <f>U4543-V4543</f>
        <v/>
      </c>
      <c r="X4543" s="28">
        <f>IFERROR(W4543/U4543,0)</f>
        <v/>
      </c>
    </row>
    <row r="4544">
      <c r="A4544" s="21">
        <f>ItensPedido!A4544</f>
        <v/>
      </c>
      <c r="B4544" s="21">
        <f>ItensPedido!B4544</f>
        <v/>
      </c>
      <c r="C4544" s="21">
        <f>ItensPedido!C4544</f>
        <v/>
      </c>
      <c r="D4544" s="21">
        <f>ItensPedido!D4544</f>
        <v/>
      </c>
      <c r="E4544" s="22">
        <f>ItensPedido!E4544</f>
        <v/>
      </c>
      <c r="F4544" s="21">
        <f>IFERROR(INDEX(Pedidos!$B$2:$B$1801,MATCH(B4544,Pedidos!$A$2:$A$1801,0)),0)</f>
        <v/>
      </c>
      <c r="G4544" s="21">
        <f>IF(F4544=0,"",YEAR(F4544))</f>
        <v/>
      </c>
      <c r="H4544" s="21">
        <f>IF(F4544=0,"",MONTH(F4544))</f>
        <v/>
      </c>
      <c r="I4544" s="21">
        <f>IFERROR(INDEX(Pedidos!$E$2:$E$1801,MATCH(B4544,Pedidos!$A$2:$A$1801,0)),"")</f>
        <v/>
      </c>
      <c r="J4544" s="21">
        <f>IFERROR(INDEX(Pedidos!$C$2:$C$1801,MATCH(B4544,Pedidos!$A$2:$A$1801,0)),"")</f>
        <v/>
      </c>
      <c r="K4544" s="21">
        <f>IFERROR(INDEX(Pedidos!$D$2:$D$1801,MATCH(B4544,Pedidos!$A$2:$A$1801,0)),"")</f>
        <v/>
      </c>
      <c r="L4544" s="21">
        <f>IFERROR(INDEX(Pedidos!$F$2:$F$1801,MATCH(B4544,Pedidos!$A$2:$A$1801,0)),"")</f>
        <v/>
      </c>
      <c r="M4544" s="22">
        <f>IFERROR(INDEX(Pedidos!$G$2:$G$1801,MATCH(B4544,Pedidos!$A$2:$A$1801,0)),0)</f>
        <v/>
      </c>
      <c r="N4544" s="21">
        <f>IFERROR(INDEX(Produtos!$B$2:$B$71,MATCH(C4544,Produtos!$A$2:$A$71,0)),"")</f>
        <v/>
      </c>
      <c r="O4544" s="21">
        <f>IFERROR(INDEX(Produtos!$C$2:$C$71,MATCH(C4544,Produtos!$A$2:$A$71,0)),"")</f>
        <v/>
      </c>
      <c r="P4544" s="21">
        <f>IFERROR(INDEX(Produtos!$D$2:$D$71,MATCH(C4544,Produtos!$A$2:$A$71,0)),0)</f>
        <v/>
      </c>
      <c r="Q4544" s="21">
        <f>IFERROR(INDEX(Produtos!$E$2:$E$71,MATCH(C4544,Produtos!$A$2:$A$71,0)),0)</f>
        <v/>
      </c>
      <c r="R4544" s="23">
        <f>D4544*Q4544</f>
        <v/>
      </c>
      <c r="S4544" s="23">
        <f>R4544*E4544</f>
        <v/>
      </c>
      <c r="T4544" s="23">
        <f>(R4544-S4544)*M4544</f>
        <v/>
      </c>
      <c r="U4544" s="23">
        <f>R4544-S4544-T4544</f>
        <v/>
      </c>
      <c r="V4544" s="23">
        <f>D4544*P4544</f>
        <v/>
      </c>
      <c r="W4544" s="23">
        <f>U4544-V4544</f>
        <v/>
      </c>
      <c r="X4544" s="24">
        <f>IFERROR(W4544/U4544,0)</f>
        <v/>
      </c>
    </row>
    <row r="4545">
      <c r="A4545" s="25">
        <f>ItensPedido!A4545</f>
        <v/>
      </c>
      <c r="B4545" s="25">
        <f>ItensPedido!B4545</f>
        <v/>
      </c>
      <c r="C4545" s="25">
        <f>ItensPedido!C4545</f>
        <v/>
      </c>
      <c r="D4545" s="25">
        <f>ItensPedido!D4545</f>
        <v/>
      </c>
      <c r="E4545" s="26">
        <f>ItensPedido!E4545</f>
        <v/>
      </c>
      <c r="F4545" s="25">
        <f>IFERROR(INDEX(Pedidos!$B$2:$B$1801,MATCH(B4545,Pedidos!$A$2:$A$1801,0)),0)</f>
        <v/>
      </c>
      <c r="G4545" s="25">
        <f>IF(F4545=0,"",YEAR(F4545))</f>
        <v/>
      </c>
      <c r="H4545" s="25">
        <f>IF(F4545=0,"",MONTH(F4545))</f>
        <v/>
      </c>
      <c r="I4545" s="25">
        <f>IFERROR(INDEX(Pedidos!$E$2:$E$1801,MATCH(B4545,Pedidos!$A$2:$A$1801,0)),"")</f>
        <v/>
      </c>
      <c r="J4545" s="25">
        <f>IFERROR(INDEX(Pedidos!$C$2:$C$1801,MATCH(B4545,Pedidos!$A$2:$A$1801,0)),"")</f>
        <v/>
      </c>
      <c r="K4545" s="25">
        <f>IFERROR(INDEX(Pedidos!$D$2:$D$1801,MATCH(B4545,Pedidos!$A$2:$A$1801,0)),"")</f>
        <v/>
      </c>
      <c r="L4545" s="25">
        <f>IFERROR(INDEX(Pedidos!$F$2:$F$1801,MATCH(B4545,Pedidos!$A$2:$A$1801,0)),"")</f>
        <v/>
      </c>
      <c r="M4545" s="26">
        <f>IFERROR(INDEX(Pedidos!$G$2:$G$1801,MATCH(B4545,Pedidos!$A$2:$A$1801,0)),0)</f>
        <v/>
      </c>
      <c r="N4545" s="25">
        <f>IFERROR(INDEX(Produtos!$B$2:$B$71,MATCH(C4545,Produtos!$A$2:$A$71,0)),"")</f>
        <v/>
      </c>
      <c r="O4545" s="25">
        <f>IFERROR(INDEX(Produtos!$C$2:$C$71,MATCH(C4545,Produtos!$A$2:$A$71,0)),"")</f>
        <v/>
      </c>
      <c r="P4545" s="25">
        <f>IFERROR(INDEX(Produtos!$D$2:$D$71,MATCH(C4545,Produtos!$A$2:$A$71,0)),0)</f>
        <v/>
      </c>
      <c r="Q4545" s="25">
        <f>IFERROR(INDEX(Produtos!$E$2:$E$71,MATCH(C4545,Produtos!$A$2:$A$71,0)),0)</f>
        <v/>
      </c>
      <c r="R4545" s="27">
        <f>D4545*Q4545</f>
        <v/>
      </c>
      <c r="S4545" s="27">
        <f>R4545*E4545</f>
        <v/>
      </c>
      <c r="T4545" s="27">
        <f>(R4545-S4545)*M4545</f>
        <v/>
      </c>
      <c r="U4545" s="27">
        <f>R4545-S4545-T4545</f>
        <v/>
      </c>
      <c r="V4545" s="27">
        <f>D4545*P4545</f>
        <v/>
      </c>
      <c r="W4545" s="27">
        <f>U4545-V4545</f>
        <v/>
      </c>
      <c r="X4545" s="28">
        <f>IFERROR(W4545/U4545,0)</f>
        <v/>
      </c>
    </row>
    <row r="4546">
      <c r="A4546" s="21">
        <f>ItensPedido!A4546</f>
        <v/>
      </c>
      <c r="B4546" s="21">
        <f>ItensPedido!B4546</f>
        <v/>
      </c>
      <c r="C4546" s="21">
        <f>ItensPedido!C4546</f>
        <v/>
      </c>
      <c r="D4546" s="21">
        <f>ItensPedido!D4546</f>
        <v/>
      </c>
      <c r="E4546" s="22">
        <f>ItensPedido!E4546</f>
        <v/>
      </c>
      <c r="F4546" s="21">
        <f>IFERROR(INDEX(Pedidos!$B$2:$B$1801,MATCH(B4546,Pedidos!$A$2:$A$1801,0)),0)</f>
        <v/>
      </c>
      <c r="G4546" s="21">
        <f>IF(F4546=0,"",YEAR(F4546))</f>
        <v/>
      </c>
      <c r="H4546" s="21">
        <f>IF(F4546=0,"",MONTH(F4546))</f>
        <v/>
      </c>
      <c r="I4546" s="21">
        <f>IFERROR(INDEX(Pedidos!$E$2:$E$1801,MATCH(B4546,Pedidos!$A$2:$A$1801,0)),"")</f>
        <v/>
      </c>
      <c r="J4546" s="21">
        <f>IFERROR(INDEX(Pedidos!$C$2:$C$1801,MATCH(B4546,Pedidos!$A$2:$A$1801,0)),"")</f>
        <v/>
      </c>
      <c r="K4546" s="21">
        <f>IFERROR(INDEX(Pedidos!$D$2:$D$1801,MATCH(B4546,Pedidos!$A$2:$A$1801,0)),"")</f>
        <v/>
      </c>
      <c r="L4546" s="21">
        <f>IFERROR(INDEX(Pedidos!$F$2:$F$1801,MATCH(B4546,Pedidos!$A$2:$A$1801,0)),"")</f>
        <v/>
      </c>
      <c r="M4546" s="22">
        <f>IFERROR(INDEX(Pedidos!$G$2:$G$1801,MATCH(B4546,Pedidos!$A$2:$A$1801,0)),0)</f>
        <v/>
      </c>
      <c r="N4546" s="21">
        <f>IFERROR(INDEX(Produtos!$B$2:$B$71,MATCH(C4546,Produtos!$A$2:$A$71,0)),"")</f>
        <v/>
      </c>
      <c r="O4546" s="21">
        <f>IFERROR(INDEX(Produtos!$C$2:$C$71,MATCH(C4546,Produtos!$A$2:$A$71,0)),"")</f>
        <v/>
      </c>
      <c r="P4546" s="21">
        <f>IFERROR(INDEX(Produtos!$D$2:$D$71,MATCH(C4546,Produtos!$A$2:$A$71,0)),0)</f>
        <v/>
      </c>
      <c r="Q4546" s="21">
        <f>IFERROR(INDEX(Produtos!$E$2:$E$71,MATCH(C4546,Produtos!$A$2:$A$71,0)),0)</f>
        <v/>
      </c>
      <c r="R4546" s="23">
        <f>D4546*Q4546</f>
        <v/>
      </c>
      <c r="S4546" s="23">
        <f>R4546*E4546</f>
        <v/>
      </c>
      <c r="T4546" s="23">
        <f>(R4546-S4546)*M4546</f>
        <v/>
      </c>
      <c r="U4546" s="23">
        <f>R4546-S4546-T4546</f>
        <v/>
      </c>
      <c r="V4546" s="23">
        <f>D4546*P4546</f>
        <v/>
      </c>
      <c r="W4546" s="23">
        <f>U4546-V4546</f>
        <v/>
      </c>
      <c r="X4546" s="24">
        <f>IFERROR(W4546/U4546,0)</f>
        <v/>
      </c>
    </row>
  </sheetData>
  <autoFilter ref="A1:X45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9" customWidth="1" min="4" max="4"/>
    <col width="18" customWidth="1" min="5" max="5"/>
    <col width="23" customWidth="1" min="6" max="6"/>
    <col width="17" customWidth="1" min="7" max="7"/>
    <col width="20" customWidth="1" min="8" max="8"/>
    <col hidden="1" width="14" customWidth="1" min="9" max="9"/>
  </cols>
  <sheetData>
    <row r="1" ht="36" customHeight="1">
      <c r="A1" s="8" t="inlineStr">
        <is>
          <t>EVOLUÇÃO MENSAL</t>
        </is>
      </c>
    </row>
    <row r="2" ht="24" customHeight="1">
      <c r="A2" s="9" t="inlineStr">
        <is>
          <t>Faturamento bruto, descontos, receita líquida, lucro e ticket médio por mês.</t>
        </is>
      </c>
    </row>
    <row r="4" ht="30" customHeight="1">
      <c r="A4" s="20" t="inlineStr">
        <is>
          <t>Ano</t>
        </is>
      </c>
      <c r="B4" s="20" t="inlineStr">
        <is>
          <t>Mês Nº</t>
        </is>
      </c>
      <c r="C4" s="20" t="inlineStr">
        <is>
          <t>Faturamento Bruto</t>
        </is>
      </c>
      <c r="D4" s="20" t="inlineStr">
        <is>
          <t>Descontos Totais</t>
        </is>
      </c>
      <c r="E4" s="20" t="inlineStr">
        <is>
          <t>Receita Líquida</t>
        </is>
      </c>
      <c r="F4" s="20" t="inlineStr">
        <is>
          <t>Lucro Após Descontos</t>
        </is>
      </c>
      <c r="G4" s="20" t="inlineStr">
        <is>
          <t>Margem Líquida</t>
        </is>
      </c>
      <c r="H4" s="20" t="inlineStr">
        <is>
          <t>Pedidos Entregues</t>
        </is>
      </c>
      <c r="I4" s="20" t="inlineStr">
        <is>
          <t>Data Mês</t>
        </is>
      </c>
    </row>
    <row r="5">
      <c r="A5" s="25" t="n">
        <v>2024</v>
      </c>
      <c r="B5" s="25" t="n">
        <v>1</v>
      </c>
      <c r="C5" s="27">
        <f>SUMIFS(Base_Analise!$R$2:$R$4546,Base_Analise!$G$2:$G$4546,A5,Base_Analise!$H$2:$H$4546,B5,Base_Analise!$I$2:$I$4546,"Entregue")</f>
        <v/>
      </c>
      <c r="D5" s="27">
        <f>SUMIFS(Base_Analise!$S$2:$S$4546,Base_Analise!$G$2:$G$4546,A5,Base_Analise!$H$2:$H$4546,B5,Base_Analise!$I$2:$I$4546,"Entregue")+SUMIFS(Base_Analise!$T$2:$T$4546,Base_Analise!$G$2:$G$4546,A5,Base_Analise!$H$2:$H$4546,B5,Base_Analise!$I$2:$I$4546,"Entregue")</f>
        <v/>
      </c>
      <c r="E5" s="27">
        <f>SUMIFS(Base_Analise!$U$2:$U$4546,Base_Analise!$G$2:$G$4546,A5,Base_Analise!$H$2:$H$4546,B5,Base_Analise!$I$2:$I$4546,"Entregue")</f>
        <v/>
      </c>
      <c r="F5" s="27">
        <f>SUMIFS(Base_Analise!$W$2:$W$4546,Base_Analise!$G$2:$G$4546,A5,Base_Analise!$H$2:$H$4546,B5,Base_Analise!$I$2:$I$4546,"Entregue")</f>
        <v/>
      </c>
      <c r="G5" s="28">
        <f>IFERROR(F5/C5,0)</f>
        <v/>
      </c>
      <c r="H5" s="25">
        <f>COUNTIFS(Pedidos!$E$2:$E$1801,"Entregue",Pedidos!$B$2:$B$1801,"&gt;="&amp;DATE(A5,B5,1),Pedidos!$B$2:$B$1801,"&lt;"&amp;EDATE(DATE(A5,B5,1),1))</f>
        <v/>
      </c>
      <c r="I5" s="29">
        <f>DATE(A5,B5,1)</f>
        <v/>
      </c>
    </row>
    <row r="6">
      <c r="A6" s="21" t="n">
        <v>2024</v>
      </c>
      <c r="B6" s="21" t="n">
        <v>2</v>
      </c>
      <c r="C6" s="23">
        <f>SUMIFS(Base_Analise!$R$2:$R$4546,Base_Analise!$G$2:$G$4546,A6,Base_Analise!$H$2:$H$4546,B6,Base_Analise!$I$2:$I$4546,"Entregue")</f>
        <v/>
      </c>
      <c r="D6" s="23">
        <f>SUMIFS(Base_Analise!$S$2:$S$4546,Base_Analise!$G$2:$G$4546,A6,Base_Analise!$H$2:$H$4546,B6,Base_Analise!$I$2:$I$4546,"Entregue")+SUMIFS(Base_Analise!$T$2:$T$4546,Base_Analise!$G$2:$G$4546,A6,Base_Analise!$H$2:$H$4546,B6,Base_Analise!$I$2:$I$4546,"Entregue")</f>
        <v/>
      </c>
      <c r="E6" s="23">
        <f>SUMIFS(Base_Analise!$U$2:$U$4546,Base_Analise!$G$2:$G$4546,A6,Base_Analise!$H$2:$H$4546,B6,Base_Analise!$I$2:$I$4546,"Entregue")</f>
        <v/>
      </c>
      <c r="F6" s="23">
        <f>SUMIFS(Base_Analise!$W$2:$W$4546,Base_Analise!$G$2:$G$4546,A6,Base_Analise!$H$2:$H$4546,B6,Base_Analise!$I$2:$I$4546,"Entregue")</f>
        <v/>
      </c>
      <c r="G6" s="24">
        <f>IFERROR(F6/C6,0)</f>
        <v/>
      </c>
      <c r="H6" s="21">
        <f>COUNTIFS(Pedidos!$E$2:$E$1801,"Entregue",Pedidos!$B$2:$B$1801,"&gt;="&amp;DATE(A6,B6,1),Pedidos!$B$2:$B$1801,"&lt;"&amp;EDATE(DATE(A6,B6,1),1))</f>
        <v/>
      </c>
      <c r="I6" s="30">
        <f>DATE(A6,B6,1)</f>
        <v/>
      </c>
    </row>
    <row r="7">
      <c r="A7" s="25" t="n">
        <v>2024</v>
      </c>
      <c r="B7" s="25" t="n">
        <v>3</v>
      </c>
      <c r="C7" s="27">
        <f>SUMIFS(Base_Analise!$R$2:$R$4546,Base_Analise!$G$2:$G$4546,A7,Base_Analise!$H$2:$H$4546,B7,Base_Analise!$I$2:$I$4546,"Entregue")</f>
        <v/>
      </c>
      <c r="D7" s="27">
        <f>SUMIFS(Base_Analise!$S$2:$S$4546,Base_Analise!$G$2:$G$4546,A7,Base_Analise!$H$2:$H$4546,B7,Base_Analise!$I$2:$I$4546,"Entregue")+SUMIFS(Base_Analise!$T$2:$T$4546,Base_Analise!$G$2:$G$4546,A7,Base_Analise!$H$2:$H$4546,B7,Base_Analise!$I$2:$I$4546,"Entregue")</f>
        <v/>
      </c>
      <c r="E7" s="27">
        <f>SUMIFS(Base_Analise!$U$2:$U$4546,Base_Analise!$G$2:$G$4546,A7,Base_Analise!$H$2:$H$4546,B7,Base_Analise!$I$2:$I$4546,"Entregue")</f>
        <v/>
      </c>
      <c r="F7" s="27">
        <f>SUMIFS(Base_Analise!$W$2:$W$4546,Base_Analise!$G$2:$G$4546,A7,Base_Analise!$H$2:$H$4546,B7,Base_Analise!$I$2:$I$4546,"Entregue")</f>
        <v/>
      </c>
      <c r="G7" s="28">
        <f>IFERROR(F7/C7,0)</f>
        <v/>
      </c>
      <c r="H7" s="25">
        <f>COUNTIFS(Pedidos!$E$2:$E$1801,"Entregue",Pedidos!$B$2:$B$1801,"&gt;="&amp;DATE(A7,B7,1),Pedidos!$B$2:$B$1801,"&lt;"&amp;EDATE(DATE(A7,B7,1),1))</f>
        <v/>
      </c>
      <c r="I7" s="29">
        <f>DATE(A7,B7,1)</f>
        <v/>
      </c>
    </row>
    <row r="8">
      <c r="A8" s="21" t="n">
        <v>2024</v>
      </c>
      <c r="B8" s="21" t="n">
        <v>4</v>
      </c>
      <c r="C8" s="23">
        <f>SUMIFS(Base_Analise!$R$2:$R$4546,Base_Analise!$G$2:$G$4546,A8,Base_Analise!$H$2:$H$4546,B8,Base_Analise!$I$2:$I$4546,"Entregue")</f>
        <v/>
      </c>
      <c r="D8" s="23">
        <f>SUMIFS(Base_Analise!$S$2:$S$4546,Base_Analise!$G$2:$G$4546,A8,Base_Analise!$H$2:$H$4546,B8,Base_Analise!$I$2:$I$4546,"Entregue")+SUMIFS(Base_Analise!$T$2:$T$4546,Base_Analise!$G$2:$G$4546,A8,Base_Analise!$H$2:$H$4546,B8,Base_Analise!$I$2:$I$4546,"Entregue")</f>
        <v/>
      </c>
      <c r="E8" s="23">
        <f>SUMIFS(Base_Analise!$U$2:$U$4546,Base_Analise!$G$2:$G$4546,A8,Base_Analise!$H$2:$H$4546,B8,Base_Analise!$I$2:$I$4546,"Entregue")</f>
        <v/>
      </c>
      <c r="F8" s="23">
        <f>SUMIFS(Base_Analise!$W$2:$W$4546,Base_Analise!$G$2:$G$4546,A8,Base_Analise!$H$2:$H$4546,B8,Base_Analise!$I$2:$I$4546,"Entregue")</f>
        <v/>
      </c>
      <c r="G8" s="24">
        <f>IFERROR(F8/C8,0)</f>
        <v/>
      </c>
      <c r="H8" s="21">
        <f>COUNTIFS(Pedidos!$E$2:$E$1801,"Entregue",Pedidos!$B$2:$B$1801,"&gt;="&amp;DATE(A8,B8,1),Pedidos!$B$2:$B$1801,"&lt;"&amp;EDATE(DATE(A8,B8,1),1))</f>
        <v/>
      </c>
      <c r="I8" s="30">
        <f>DATE(A8,B8,1)</f>
        <v/>
      </c>
    </row>
    <row r="9">
      <c r="A9" s="25" t="n">
        <v>2024</v>
      </c>
      <c r="B9" s="25" t="n">
        <v>5</v>
      </c>
      <c r="C9" s="27">
        <f>SUMIFS(Base_Analise!$R$2:$R$4546,Base_Analise!$G$2:$G$4546,A9,Base_Analise!$H$2:$H$4546,B9,Base_Analise!$I$2:$I$4546,"Entregue")</f>
        <v/>
      </c>
      <c r="D9" s="27">
        <f>SUMIFS(Base_Analise!$S$2:$S$4546,Base_Analise!$G$2:$G$4546,A9,Base_Analise!$H$2:$H$4546,B9,Base_Analise!$I$2:$I$4546,"Entregue")+SUMIFS(Base_Analise!$T$2:$T$4546,Base_Analise!$G$2:$G$4546,A9,Base_Analise!$H$2:$H$4546,B9,Base_Analise!$I$2:$I$4546,"Entregue")</f>
        <v/>
      </c>
      <c r="E9" s="27">
        <f>SUMIFS(Base_Analise!$U$2:$U$4546,Base_Analise!$G$2:$G$4546,A9,Base_Analise!$H$2:$H$4546,B9,Base_Analise!$I$2:$I$4546,"Entregue")</f>
        <v/>
      </c>
      <c r="F9" s="27">
        <f>SUMIFS(Base_Analise!$W$2:$W$4546,Base_Analise!$G$2:$G$4546,A9,Base_Analise!$H$2:$H$4546,B9,Base_Analise!$I$2:$I$4546,"Entregue")</f>
        <v/>
      </c>
      <c r="G9" s="28">
        <f>IFERROR(F9/C9,0)</f>
        <v/>
      </c>
      <c r="H9" s="25">
        <f>COUNTIFS(Pedidos!$E$2:$E$1801,"Entregue",Pedidos!$B$2:$B$1801,"&gt;="&amp;DATE(A9,B9,1),Pedidos!$B$2:$B$1801,"&lt;"&amp;EDATE(DATE(A9,B9,1),1))</f>
        <v/>
      </c>
      <c r="I9" s="29">
        <f>DATE(A9,B9,1)</f>
        <v/>
      </c>
    </row>
    <row r="10">
      <c r="A10" s="21" t="n">
        <v>2024</v>
      </c>
      <c r="B10" s="21" t="n">
        <v>6</v>
      </c>
      <c r="C10" s="23">
        <f>SUMIFS(Base_Analise!$R$2:$R$4546,Base_Analise!$G$2:$G$4546,A10,Base_Analise!$H$2:$H$4546,B10,Base_Analise!$I$2:$I$4546,"Entregue")</f>
        <v/>
      </c>
      <c r="D10" s="23">
        <f>SUMIFS(Base_Analise!$S$2:$S$4546,Base_Analise!$G$2:$G$4546,A10,Base_Analise!$H$2:$H$4546,B10,Base_Analise!$I$2:$I$4546,"Entregue")+SUMIFS(Base_Analise!$T$2:$T$4546,Base_Analise!$G$2:$G$4546,A10,Base_Analise!$H$2:$H$4546,B10,Base_Analise!$I$2:$I$4546,"Entregue")</f>
        <v/>
      </c>
      <c r="E10" s="23">
        <f>SUMIFS(Base_Analise!$U$2:$U$4546,Base_Analise!$G$2:$G$4546,A10,Base_Analise!$H$2:$H$4546,B10,Base_Analise!$I$2:$I$4546,"Entregue")</f>
        <v/>
      </c>
      <c r="F10" s="23">
        <f>SUMIFS(Base_Analise!$W$2:$W$4546,Base_Analise!$G$2:$G$4546,A10,Base_Analise!$H$2:$H$4546,B10,Base_Analise!$I$2:$I$4546,"Entregue")</f>
        <v/>
      </c>
      <c r="G10" s="24">
        <f>IFERROR(F10/C10,0)</f>
        <v/>
      </c>
      <c r="H10" s="21">
        <f>COUNTIFS(Pedidos!$E$2:$E$1801,"Entregue",Pedidos!$B$2:$B$1801,"&gt;="&amp;DATE(A10,B10,1),Pedidos!$B$2:$B$1801,"&lt;"&amp;EDATE(DATE(A10,B10,1),1))</f>
        <v/>
      </c>
      <c r="I10" s="30">
        <f>DATE(A10,B10,1)</f>
        <v/>
      </c>
    </row>
    <row r="11">
      <c r="A11" s="25" t="n">
        <v>2024</v>
      </c>
      <c r="B11" s="25" t="n">
        <v>7</v>
      </c>
      <c r="C11" s="27">
        <f>SUMIFS(Base_Analise!$R$2:$R$4546,Base_Analise!$G$2:$G$4546,A11,Base_Analise!$H$2:$H$4546,B11,Base_Analise!$I$2:$I$4546,"Entregue")</f>
        <v/>
      </c>
      <c r="D11" s="27">
        <f>SUMIFS(Base_Analise!$S$2:$S$4546,Base_Analise!$G$2:$G$4546,A11,Base_Analise!$H$2:$H$4546,B11,Base_Analise!$I$2:$I$4546,"Entregue")+SUMIFS(Base_Analise!$T$2:$T$4546,Base_Analise!$G$2:$G$4546,A11,Base_Analise!$H$2:$H$4546,B11,Base_Analise!$I$2:$I$4546,"Entregue")</f>
        <v/>
      </c>
      <c r="E11" s="27">
        <f>SUMIFS(Base_Analise!$U$2:$U$4546,Base_Analise!$G$2:$G$4546,A11,Base_Analise!$H$2:$H$4546,B11,Base_Analise!$I$2:$I$4546,"Entregue")</f>
        <v/>
      </c>
      <c r="F11" s="27">
        <f>SUMIFS(Base_Analise!$W$2:$W$4546,Base_Analise!$G$2:$G$4546,A11,Base_Analise!$H$2:$H$4546,B11,Base_Analise!$I$2:$I$4546,"Entregue")</f>
        <v/>
      </c>
      <c r="G11" s="28">
        <f>IFERROR(F11/C11,0)</f>
        <v/>
      </c>
      <c r="H11" s="25">
        <f>COUNTIFS(Pedidos!$E$2:$E$1801,"Entregue",Pedidos!$B$2:$B$1801,"&gt;="&amp;DATE(A11,B11,1),Pedidos!$B$2:$B$1801,"&lt;"&amp;EDATE(DATE(A11,B11,1),1))</f>
        <v/>
      </c>
      <c r="I11" s="29">
        <f>DATE(A11,B11,1)</f>
        <v/>
      </c>
    </row>
    <row r="12">
      <c r="A12" s="21" t="n">
        <v>2024</v>
      </c>
      <c r="B12" s="21" t="n">
        <v>8</v>
      </c>
      <c r="C12" s="23">
        <f>SUMIFS(Base_Analise!$R$2:$R$4546,Base_Analise!$G$2:$G$4546,A12,Base_Analise!$H$2:$H$4546,B12,Base_Analise!$I$2:$I$4546,"Entregue")</f>
        <v/>
      </c>
      <c r="D12" s="23">
        <f>SUMIFS(Base_Analise!$S$2:$S$4546,Base_Analise!$G$2:$G$4546,A12,Base_Analise!$H$2:$H$4546,B12,Base_Analise!$I$2:$I$4546,"Entregue")+SUMIFS(Base_Analise!$T$2:$T$4546,Base_Analise!$G$2:$G$4546,A12,Base_Analise!$H$2:$H$4546,B12,Base_Analise!$I$2:$I$4546,"Entregue")</f>
        <v/>
      </c>
      <c r="E12" s="23">
        <f>SUMIFS(Base_Analise!$U$2:$U$4546,Base_Analise!$G$2:$G$4546,A12,Base_Analise!$H$2:$H$4546,B12,Base_Analise!$I$2:$I$4546,"Entregue")</f>
        <v/>
      </c>
      <c r="F12" s="23">
        <f>SUMIFS(Base_Analise!$W$2:$W$4546,Base_Analise!$G$2:$G$4546,A12,Base_Analise!$H$2:$H$4546,B12,Base_Analise!$I$2:$I$4546,"Entregue")</f>
        <v/>
      </c>
      <c r="G12" s="24">
        <f>IFERROR(F12/C12,0)</f>
        <v/>
      </c>
      <c r="H12" s="21">
        <f>COUNTIFS(Pedidos!$E$2:$E$1801,"Entregue",Pedidos!$B$2:$B$1801,"&gt;="&amp;DATE(A12,B12,1),Pedidos!$B$2:$B$1801,"&lt;"&amp;EDATE(DATE(A12,B12,1),1))</f>
        <v/>
      </c>
      <c r="I12" s="30">
        <f>DATE(A12,B12,1)</f>
        <v/>
      </c>
    </row>
    <row r="13">
      <c r="A13" s="25" t="n">
        <v>2024</v>
      </c>
      <c r="B13" s="25" t="n">
        <v>9</v>
      </c>
      <c r="C13" s="27">
        <f>SUMIFS(Base_Analise!$R$2:$R$4546,Base_Analise!$G$2:$G$4546,A13,Base_Analise!$H$2:$H$4546,B13,Base_Analise!$I$2:$I$4546,"Entregue")</f>
        <v/>
      </c>
      <c r="D13" s="27">
        <f>SUMIFS(Base_Analise!$S$2:$S$4546,Base_Analise!$G$2:$G$4546,A13,Base_Analise!$H$2:$H$4546,B13,Base_Analise!$I$2:$I$4546,"Entregue")+SUMIFS(Base_Analise!$T$2:$T$4546,Base_Analise!$G$2:$G$4546,A13,Base_Analise!$H$2:$H$4546,B13,Base_Analise!$I$2:$I$4546,"Entregue")</f>
        <v/>
      </c>
      <c r="E13" s="27">
        <f>SUMIFS(Base_Analise!$U$2:$U$4546,Base_Analise!$G$2:$G$4546,A13,Base_Analise!$H$2:$H$4546,B13,Base_Analise!$I$2:$I$4546,"Entregue")</f>
        <v/>
      </c>
      <c r="F13" s="27">
        <f>SUMIFS(Base_Analise!$W$2:$W$4546,Base_Analise!$G$2:$G$4546,A13,Base_Analise!$H$2:$H$4546,B13,Base_Analise!$I$2:$I$4546,"Entregue")</f>
        <v/>
      </c>
      <c r="G13" s="28">
        <f>IFERROR(F13/C13,0)</f>
        <v/>
      </c>
      <c r="H13" s="25">
        <f>COUNTIFS(Pedidos!$E$2:$E$1801,"Entregue",Pedidos!$B$2:$B$1801,"&gt;="&amp;DATE(A13,B13,1),Pedidos!$B$2:$B$1801,"&lt;"&amp;EDATE(DATE(A13,B13,1),1))</f>
        <v/>
      </c>
      <c r="I13" s="29">
        <f>DATE(A13,B13,1)</f>
        <v/>
      </c>
    </row>
    <row r="14">
      <c r="A14" s="21" t="n">
        <v>2024</v>
      </c>
      <c r="B14" s="21" t="n">
        <v>10</v>
      </c>
      <c r="C14" s="23">
        <f>SUMIFS(Base_Analise!$R$2:$R$4546,Base_Analise!$G$2:$G$4546,A14,Base_Analise!$H$2:$H$4546,B14,Base_Analise!$I$2:$I$4546,"Entregue")</f>
        <v/>
      </c>
      <c r="D14" s="23">
        <f>SUMIFS(Base_Analise!$S$2:$S$4546,Base_Analise!$G$2:$G$4546,A14,Base_Analise!$H$2:$H$4546,B14,Base_Analise!$I$2:$I$4546,"Entregue")+SUMIFS(Base_Analise!$T$2:$T$4546,Base_Analise!$G$2:$G$4546,A14,Base_Analise!$H$2:$H$4546,B14,Base_Analise!$I$2:$I$4546,"Entregue")</f>
        <v/>
      </c>
      <c r="E14" s="23">
        <f>SUMIFS(Base_Analise!$U$2:$U$4546,Base_Analise!$G$2:$G$4546,A14,Base_Analise!$H$2:$H$4546,B14,Base_Analise!$I$2:$I$4546,"Entregue")</f>
        <v/>
      </c>
      <c r="F14" s="23">
        <f>SUMIFS(Base_Analise!$W$2:$W$4546,Base_Analise!$G$2:$G$4546,A14,Base_Analise!$H$2:$H$4546,B14,Base_Analise!$I$2:$I$4546,"Entregue")</f>
        <v/>
      </c>
      <c r="G14" s="24">
        <f>IFERROR(F14/C14,0)</f>
        <v/>
      </c>
      <c r="H14" s="21">
        <f>COUNTIFS(Pedidos!$E$2:$E$1801,"Entregue",Pedidos!$B$2:$B$1801,"&gt;="&amp;DATE(A14,B14,1),Pedidos!$B$2:$B$1801,"&lt;"&amp;EDATE(DATE(A14,B14,1),1))</f>
        <v/>
      </c>
      <c r="I14" s="30">
        <f>DATE(A14,B14,1)</f>
        <v/>
      </c>
    </row>
    <row r="15">
      <c r="A15" s="25" t="n">
        <v>2024</v>
      </c>
      <c r="B15" s="25" t="n">
        <v>11</v>
      </c>
      <c r="C15" s="27">
        <f>SUMIFS(Base_Analise!$R$2:$R$4546,Base_Analise!$G$2:$G$4546,A15,Base_Analise!$H$2:$H$4546,B15,Base_Analise!$I$2:$I$4546,"Entregue")</f>
        <v/>
      </c>
      <c r="D15" s="27">
        <f>SUMIFS(Base_Analise!$S$2:$S$4546,Base_Analise!$G$2:$G$4546,A15,Base_Analise!$H$2:$H$4546,B15,Base_Analise!$I$2:$I$4546,"Entregue")+SUMIFS(Base_Analise!$T$2:$T$4546,Base_Analise!$G$2:$G$4546,A15,Base_Analise!$H$2:$H$4546,B15,Base_Analise!$I$2:$I$4546,"Entregue")</f>
        <v/>
      </c>
      <c r="E15" s="27">
        <f>SUMIFS(Base_Analise!$U$2:$U$4546,Base_Analise!$G$2:$G$4546,A15,Base_Analise!$H$2:$H$4546,B15,Base_Analise!$I$2:$I$4546,"Entregue")</f>
        <v/>
      </c>
      <c r="F15" s="27">
        <f>SUMIFS(Base_Analise!$W$2:$W$4546,Base_Analise!$G$2:$G$4546,A15,Base_Analise!$H$2:$H$4546,B15,Base_Analise!$I$2:$I$4546,"Entregue")</f>
        <v/>
      </c>
      <c r="G15" s="28">
        <f>IFERROR(F15/C15,0)</f>
        <v/>
      </c>
      <c r="H15" s="25">
        <f>COUNTIFS(Pedidos!$E$2:$E$1801,"Entregue",Pedidos!$B$2:$B$1801,"&gt;="&amp;DATE(A15,B15,1),Pedidos!$B$2:$B$1801,"&lt;"&amp;EDATE(DATE(A15,B15,1),1))</f>
        <v/>
      </c>
      <c r="I15" s="29">
        <f>DATE(A15,B15,1)</f>
        <v/>
      </c>
    </row>
    <row r="16">
      <c r="A16" s="21" t="n">
        <v>2024</v>
      </c>
      <c r="B16" s="21" t="n">
        <v>12</v>
      </c>
      <c r="C16" s="23">
        <f>SUMIFS(Base_Analise!$R$2:$R$4546,Base_Analise!$G$2:$G$4546,A16,Base_Analise!$H$2:$H$4546,B16,Base_Analise!$I$2:$I$4546,"Entregue")</f>
        <v/>
      </c>
      <c r="D16" s="23">
        <f>SUMIFS(Base_Analise!$S$2:$S$4546,Base_Analise!$G$2:$G$4546,A16,Base_Analise!$H$2:$H$4546,B16,Base_Analise!$I$2:$I$4546,"Entregue")+SUMIFS(Base_Analise!$T$2:$T$4546,Base_Analise!$G$2:$G$4546,A16,Base_Analise!$H$2:$H$4546,B16,Base_Analise!$I$2:$I$4546,"Entregue")</f>
        <v/>
      </c>
      <c r="E16" s="23">
        <f>SUMIFS(Base_Analise!$U$2:$U$4546,Base_Analise!$G$2:$G$4546,A16,Base_Analise!$H$2:$H$4546,B16,Base_Analise!$I$2:$I$4546,"Entregue")</f>
        <v/>
      </c>
      <c r="F16" s="23">
        <f>SUMIFS(Base_Analise!$W$2:$W$4546,Base_Analise!$G$2:$G$4546,A16,Base_Analise!$H$2:$H$4546,B16,Base_Analise!$I$2:$I$4546,"Entregue")</f>
        <v/>
      </c>
      <c r="G16" s="24">
        <f>IFERROR(F16/C16,0)</f>
        <v/>
      </c>
      <c r="H16" s="21">
        <f>COUNTIFS(Pedidos!$E$2:$E$1801,"Entregue",Pedidos!$B$2:$B$1801,"&gt;="&amp;DATE(A16,B16,1),Pedidos!$B$2:$B$1801,"&lt;"&amp;EDATE(DATE(A16,B16,1),1))</f>
        <v/>
      </c>
      <c r="I16" s="30">
        <f>DATE(A16,B16,1)</f>
        <v/>
      </c>
    </row>
    <row r="17">
      <c r="A17" s="25" t="n">
        <v>2025</v>
      </c>
      <c r="B17" s="25" t="n">
        <v>1</v>
      </c>
      <c r="C17" s="27">
        <f>SUMIFS(Base_Analise!$R$2:$R$4546,Base_Analise!$G$2:$G$4546,A17,Base_Analise!$H$2:$H$4546,B17,Base_Analise!$I$2:$I$4546,"Entregue")</f>
        <v/>
      </c>
      <c r="D17" s="27">
        <f>SUMIFS(Base_Analise!$S$2:$S$4546,Base_Analise!$G$2:$G$4546,A17,Base_Analise!$H$2:$H$4546,B17,Base_Analise!$I$2:$I$4546,"Entregue")+SUMIFS(Base_Analise!$T$2:$T$4546,Base_Analise!$G$2:$G$4546,A17,Base_Analise!$H$2:$H$4546,B17,Base_Analise!$I$2:$I$4546,"Entregue")</f>
        <v/>
      </c>
      <c r="E17" s="27">
        <f>SUMIFS(Base_Analise!$U$2:$U$4546,Base_Analise!$G$2:$G$4546,A17,Base_Analise!$H$2:$H$4546,B17,Base_Analise!$I$2:$I$4546,"Entregue")</f>
        <v/>
      </c>
      <c r="F17" s="27">
        <f>SUMIFS(Base_Analise!$W$2:$W$4546,Base_Analise!$G$2:$G$4546,A17,Base_Analise!$H$2:$H$4546,B17,Base_Analise!$I$2:$I$4546,"Entregue")</f>
        <v/>
      </c>
      <c r="G17" s="28">
        <f>IFERROR(F17/C17,0)</f>
        <v/>
      </c>
      <c r="H17" s="25">
        <f>COUNTIFS(Pedidos!$E$2:$E$1801,"Entregue",Pedidos!$B$2:$B$1801,"&gt;="&amp;DATE(A17,B17,1),Pedidos!$B$2:$B$1801,"&lt;"&amp;EDATE(DATE(A17,B17,1),1))</f>
        <v/>
      </c>
      <c r="I17" s="29">
        <f>DATE(A17,B17,1)</f>
        <v/>
      </c>
    </row>
    <row r="18">
      <c r="A18" s="21" t="n">
        <v>2025</v>
      </c>
      <c r="B18" s="21" t="n">
        <v>2</v>
      </c>
      <c r="C18" s="23">
        <f>SUMIFS(Base_Analise!$R$2:$R$4546,Base_Analise!$G$2:$G$4546,A18,Base_Analise!$H$2:$H$4546,B18,Base_Analise!$I$2:$I$4546,"Entregue")</f>
        <v/>
      </c>
      <c r="D18" s="23">
        <f>SUMIFS(Base_Analise!$S$2:$S$4546,Base_Analise!$G$2:$G$4546,A18,Base_Analise!$H$2:$H$4546,B18,Base_Analise!$I$2:$I$4546,"Entregue")+SUMIFS(Base_Analise!$T$2:$T$4546,Base_Analise!$G$2:$G$4546,A18,Base_Analise!$H$2:$H$4546,B18,Base_Analise!$I$2:$I$4546,"Entregue")</f>
        <v/>
      </c>
      <c r="E18" s="23">
        <f>SUMIFS(Base_Analise!$U$2:$U$4546,Base_Analise!$G$2:$G$4546,A18,Base_Analise!$H$2:$H$4546,B18,Base_Analise!$I$2:$I$4546,"Entregue")</f>
        <v/>
      </c>
      <c r="F18" s="23">
        <f>SUMIFS(Base_Analise!$W$2:$W$4546,Base_Analise!$G$2:$G$4546,A18,Base_Analise!$H$2:$H$4546,B18,Base_Analise!$I$2:$I$4546,"Entregue")</f>
        <v/>
      </c>
      <c r="G18" s="24">
        <f>IFERROR(F18/C18,0)</f>
        <v/>
      </c>
      <c r="H18" s="21">
        <f>COUNTIFS(Pedidos!$E$2:$E$1801,"Entregue",Pedidos!$B$2:$B$1801,"&gt;="&amp;DATE(A18,B18,1),Pedidos!$B$2:$B$1801,"&lt;"&amp;EDATE(DATE(A18,B18,1),1))</f>
        <v/>
      </c>
      <c r="I18" s="30">
        <f>DATE(A18,B18,1)</f>
        <v/>
      </c>
    </row>
    <row r="19">
      <c r="A19" s="25" t="n">
        <v>2025</v>
      </c>
      <c r="B19" s="25" t="n">
        <v>3</v>
      </c>
      <c r="C19" s="27">
        <f>SUMIFS(Base_Analise!$R$2:$R$4546,Base_Analise!$G$2:$G$4546,A19,Base_Analise!$H$2:$H$4546,B19,Base_Analise!$I$2:$I$4546,"Entregue")</f>
        <v/>
      </c>
      <c r="D19" s="27">
        <f>SUMIFS(Base_Analise!$S$2:$S$4546,Base_Analise!$G$2:$G$4546,A19,Base_Analise!$H$2:$H$4546,B19,Base_Analise!$I$2:$I$4546,"Entregue")+SUMIFS(Base_Analise!$T$2:$T$4546,Base_Analise!$G$2:$G$4546,A19,Base_Analise!$H$2:$H$4546,B19,Base_Analise!$I$2:$I$4546,"Entregue")</f>
        <v/>
      </c>
      <c r="E19" s="27">
        <f>SUMIFS(Base_Analise!$U$2:$U$4546,Base_Analise!$G$2:$G$4546,A19,Base_Analise!$H$2:$H$4546,B19,Base_Analise!$I$2:$I$4546,"Entregue")</f>
        <v/>
      </c>
      <c r="F19" s="27">
        <f>SUMIFS(Base_Analise!$W$2:$W$4546,Base_Analise!$G$2:$G$4546,A19,Base_Analise!$H$2:$H$4546,B19,Base_Analise!$I$2:$I$4546,"Entregue")</f>
        <v/>
      </c>
      <c r="G19" s="28">
        <f>IFERROR(F19/C19,0)</f>
        <v/>
      </c>
      <c r="H19" s="25">
        <f>COUNTIFS(Pedidos!$E$2:$E$1801,"Entregue",Pedidos!$B$2:$B$1801,"&gt;="&amp;DATE(A19,B19,1),Pedidos!$B$2:$B$1801,"&lt;"&amp;EDATE(DATE(A19,B19,1),1))</f>
        <v/>
      </c>
      <c r="I19" s="29">
        <f>DATE(A19,B19,1)</f>
        <v/>
      </c>
    </row>
    <row r="20">
      <c r="A20" s="21" t="n">
        <v>2025</v>
      </c>
      <c r="B20" s="21" t="n">
        <v>4</v>
      </c>
      <c r="C20" s="23">
        <f>SUMIFS(Base_Analise!$R$2:$R$4546,Base_Analise!$G$2:$G$4546,A20,Base_Analise!$H$2:$H$4546,B20,Base_Analise!$I$2:$I$4546,"Entregue")</f>
        <v/>
      </c>
      <c r="D20" s="23">
        <f>SUMIFS(Base_Analise!$S$2:$S$4546,Base_Analise!$G$2:$G$4546,A20,Base_Analise!$H$2:$H$4546,B20,Base_Analise!$I$2:$I$4546,"Entregue")+SUMIFS(Base_Analise!$T$2:$T$4546,Base_Analise!$G$2:$G$4546,A20,Base_Analise!$H$2:$H$4546,B20,Base_Analise!$I$2:$I$4546,"Entregue")</f>
        <v/>
      </c>
      <c r="E20" s="23">
        <f>SUMIFS(Base_Analise!$U$2:$U$4546,Base_Analise!$G$2:$G$4546,A20,Base_Analise!$H$2:$H$4546,B20,Base_Analise!$I$2:$I$4546,"Entregue")</f>
        <v/>
      </c>
      <c r="F20" s="23">
        <f>SUMIFS(Base_Analise!$W$2:$W$4546,Base_Analise!$G$2:$G$4546,A20,Base_Analise!$H$2:$H$4546,B20,Base_Analise!$I$2:$I$4546,"Entregue")</f>
        <v/>
      </c>
      <c r="G20" s="24">
        <f>IFERROR(F20/C20,0)</f>
        <v/>
      </c>
      <c r="H20" s="21">
        <f>COUNTIFS(Pedidos!$E$2:$E$1801,"Entregue",Pedidos!$B$2:$B$1801,"&gt;="&amp;DATE(A20,B20,1),Pedidos!$B$2:$B$1801,"&lt;"&amp;EDATE(DATE(A20,B20,1),1))</f>
        <v/>
      </c>
      <c r="I20" s="30">
        <f>DATE(A20,B20,1)</f>
        <v/>
      </c>
    </row>
    <row r="21">
      <c r="A21" s="25" t="n">
        <v>2025</v>
      </c>
      <c r="B21" s="25" t="n">
        <v>5</v>
      </c>
      <c r="C21" s="27">
        <f>SUMIFS(Base_Analise!$R$2:$R$4546,Base_Analise!$G$2:$G$4546,A21,Base_Analise!$H$2:$H$4546,B21,Base_Analise!$I$2:$I$4546,"Entregue")</f>
        <v/>
      </c>
      <c r="D21" s="27">
        <f>SUMIFS(Base_Analise!$S$2:$S$4546,Base_Analise!$G$2:$G$4546,A21,Base_Analise!$H$2:$H$4546,B21,Base_Analise!$I$2:$I$4546,"Entregue")+SUMIFS(Base_Analise!$T$2:$T$4546,Base_Analise!$G$2:$G$4546,A21,Base_Analise!$H$2:$H$4546,B21,Base_Analise!$I$2:$I$4546,"Entregue")</f>
        <v/>
      </c>
      <c r="E21" s="27">
        <f>SUMIFS(Base_Analise!$U$2:$U$4546,Base_Analise!$G$2:$G$4546,A21,Base_Analise!$H$2:$H$4546,B21,Base_Analise!$I$2:$I$4546,"Entregue")</f>
        <v/>
      </c>
      <c r="F21" s="27">
        <f>SUMIFS(Base_Analise!$W$2:$W$4546,Base_Analise!$G$2:$G$4546,A21,Base_Analise!$H$2:$H$4546,B21,Base_Analise!$I$2:$I$4546,"Entregue")</f>
        <v/>
      </c>
      <c r="G21" s="28">
        <f>IFERROR(F21/C21,0)</f>
        <v/>
      </c>
      <c r="H21" s="25">
        <f>COUNTIFS(Pedidos!$E$2:$E$1801,"Entregue",Pedidos!$B$2:$B$1801,"&gt;="&amp;DATE(A21,B21,1),Pedidos!$B$2:$B$1801,"&lt;"&amp;EDATE(DATE(A21,B21,1),1))</f>
        <v/>
      </c>
      <c r="I21" s="29">
        <f>DATE(A21,B21,1)</f>
        <v/>
      </c>
    </row>
    <row r="22">
      <c r="A22" s="21" t="n">
        <v>2025</v>
      </c>
      <c r="B22" s="21" t="n">
        <v>6</v>
      </c>
      <c r="C22" s="23">
        <f>SUMIFS(Base_Analise!$R$2:$R$4546,Base_Analise!$G$2:$G$4546,A22,Base_Analise!$H$2:$H$4546,B22,Base_Analise!$I$2:$I$4546,"Entregue")</f>
        <v/>
      </c>
      <c r="D22" s="23">
        <f>SUMIFS(Base_Analise!$S$2:$S$4546,Base_Analise!$G$2:$G$4546,A22,Base_Analise!$H$2:$H$4546,B22,Base_Analise!$I$2:$I$4546,"Entregue")+SUMIFS(Base_Analise!$T$2:$T$4546,Base_Analise!$G$2:$G$4546,A22,Base_Analise!$H$2:$H$4546,B22,Base_Analise!$I$2:$I$4546,"Entregue")</f>
        <v/>
      </c>
      <c r="E22" s="23">
        <f>SUMIFS(Base_Analise!$U$2:$U$4546,Base_Analise!$G$2:$G$4546,A22,Base_Analise!$H$2:$H$4546,B22,Base_Analise!$I$2:$I$4546,"Entregue")</f>
        <v/>
      </c>
      <c r="F22" s="23">
        <f>SUMIFS(Base_Analise!$W$2:$W$4546,Base_Analise!$G$2:$G$4546,A22,Base_Analise!$H$2:$H$4546,B22,Base_Analise!$I$2:$I$4546,"Entregue")</f>
        <v/>
      </c>
      <c r="G22" s="24">
        <f>IFERROR(F22/C22,0)</f>
        <v/>
      </c>
      <c r="H22" s="21">
        <f>COUNTIFS(Pedidos!$E$2:$E$1801,"Entregue",Pedidos!$B$2:$B$1801,"&gt;="&amp;DATE(A22,B22,1),Pedidos!$B$2:$B$1801,"&lt;"&amp;EDATE(DATE(A22,B22,1),1))</f>
        <v/>
      </c>
      <c r="I22" s="30">
        <f>DATE(A22,B22,1)</f>
        <v/>
      </c>
    </row>
    <row r="23">
      <c r="A23" s="25" t="n">
        <v>2025</v>
      </c>
      <c r="B23" s="25" t="n">
        <v>7</v>
      </c>
      <c r="C23" s="27">
        <f>SUMIFS(Base_Analise!$R$2:$R$4546,Base_Analise!$G$2:$G$4546,A23,Base_Analise!$H$2:$H$4546,B23,Base_Analise!$I$2:$I$4546,"Entregue")</f>
        <v/>
      </c>
      <c r="D23" s="27">
        <f>SUMIFS(Base_Analise!$S$2:$S$4546,Base_Analise!$G$2:$G$4546,A23,Base_Analise!$H$2:$H$4546,B23,Base_Analise!$I$2:$I$4546,"Entregue")+SUMIFS(Base_Analise!$T$2:$T$4546,Base_Analise!$G$2:$G$4546,A23,Base_Analise!$H$2:$H$4546,B23,Base_Analise!$I$2:$I$4546,"Entregue")</f>
        <v/>
      </c>
      <c r="E23" s="27">
        <f>SUMIFS(Base_Analise!$U$2:$U$4546,Base_Analise!$G$2:$G$4546,A23,Base_Analise!$H$2:$H$4546,B23,Base_Analise!$I$2:$I$4546,"Entregue")</f>
        <v/>
      </c>
      <c r="F23" s="27">
        <f>SUMIFS(Base_Analise!$W$2:$W$4546,Base_Analise!$G$2:$G$4546,A23,Base_Analise!$H$2:$H$4546,B23,Base_Analise!$I$2:$I$4546,"Entregue")</f>
        <v/>
      </c>
      <c r="G23" s="28">
        <f>IFERROR(F23/C23,0)</f>
        <v/>
      </c>
      <c r="H23" s="25">
        <f>COUNTIFS(Pedidos!$E$2:$E$1801,"Entregue",Pedidos!$B$2:$B$1801,"&gt;="&amp;DATE(A23,B23,1),Pedidos!$B$2:$B$1801,"&lt;"&amp;EDATE(DATE(A23,B23,1),1))</f>
        <v/>
      </c>
      <c r="I23" s="29">
        <f>DATE(A23,B23,1)</f>
        <v/>
      </c>
    </row>
    <row r="24">
      <c r="A24" s="21" t="n">
        <v>2025</v>
      </c>
      <c r="B24" s="21" t="n">
        <v>8</v>
      </c>
      <c r="C24" s="23">
        <f>SUMIFS(Base_Analise!$R$2:$R$4546,Base_Analise!$G$2:$G$4546,A24,Base_Analise!$H$2:$H$4546,B24,Base_Analise!$I$2:$I$4546,"Entregue")</f>
        <v/>
      </c>
      <c r="D24" s="23">
        <f>SUMIFS(Base_Analise!$S$2:$S$4546,Base_Analise!$G$2:$G$4546,A24,Base_Analise!$H$2:$H$4546,B24,Base_Analise!$I$2:$I$4546,"Entregue")+SUMIFS(Base_Analise!$T$2:$T$4546,Base_Analise!$G$2:$G$4546,A24,Base_Analise!$H$2:$H$4546,B24,Base_Analise!$I$2:$I$4546,"Entregue")</f>
        <v/>
      </c>
      <c r="E24" s="23">
        <f>SUMIFS(Base_Analise!$U$2:$U$4546,Base_Analise!$G$2:$G$4546,A24,Base_Analise!$H$2:$H$4546,B24,Base_Analise!$I$2:$I$4546,"Entregue")</f>
        <v/>
      </c>
      <c r="F24" s="23">
        <f>SUMIFS(Base_Analise!$W$2:$W$4546,Base_Analise!$G$2:$G$4546,A24,Base_Analise!$H$2:$H$4546,B24,Base_Analise!$I$2:$I$4546,"Entregue")</f>
        <v/>
      </c>
      <c r="G24" s="24">
        <f>IFERROR(F24/C24,0)</f>
        <v/>
      </c>
      <c r="H24" s="21">
        <f>COUNTIFS(Pedidos!$E$2:$E$1801,"Entregue",Pedidos!$B$2:$B$1801,"&gt;="&amp;DATE(A24,B24,1),Pedidos!$B$2:$B$1801,"&lt;"&amp;EDATE(DATE(A24,B24,1),1))</f>
        <v/>
      </c>
      <c r="I24" s="30">
        <f>DATE(A24,B24,1)</f>
        <v/>
      </c>
    </row>
    <row r="25">
      <c r="A25" s="25" t="n">
        <v>2025</v>
      </c>
      <c r="B25" s="25" t="n">
        <v>9</v>
      </c>
      <c r="C25" s="27">
        <f>SUMIFS(Base_Analise!$R$2:$R$4546,Base_Analise!$G$2:$G$4546,A25,Base_Analise!$H$2:$H$4546,B25,Base_Analise!$I$2:$I$4546,"Entregue")</f>
        <v/>
      </c>
      <c r="D25" s="27">
        <f>SUMIFS(Base_Analise!$S$2:$S$4546,Base_Analise!$G$2:$G$4546,A25,Base_Analise!$H$2:$H$4546,B25,Base_Analise!$I$2:$I$4546,"Entregue")+SUMIFS(Base_Analise!$T$2:$T$4546,Base_Analise!$G$2:$G$4546,A25,Base_Analise!$H$2:$H$4546,B25,Base_Analise!$I$2:$I$4546,"Entregue")</f>
        <v/>
      </c>
      <c r="E25" s="27">
        <f>SUMIFS(Base_Analise!$U$2:$U$4546,Base_Analise!$G$2:$G$4546,A25,Base_Analise!$H$2:$H$4546,B25,Base_Analise!$I$2:$I$4546,"Entregue")</f>
        <v/>
      </c>
      <c r="F25" s="27">
        <f>SUMIFS(Base_Analise!$W$2:$W$4546,Base_Analise!$G$2:$G$4546,A25,Base_Analise!$H$2:$H$4546,B25,Base_Analise!$I$2:$I$4546,"Entregue")</f>
        <v/>
      </c>
      <c r="G25" s="28">
        <f>IFERROR(F25/C25,0)</f>
        <v/>
      </c>
      <c r="H25" s="25">
        <f>COUNTIFS(Pedidos!$E$2:$E$1801,"Entregue",Pedidos!$B$2:$B$1801,"&gt;="&amp;DATE(A25,B25,1),Pedidos!$B$2:$B$1801,"&lt;"&amp;EDATE(DATE(A25,B25,1),1))</f>
        <v/>
      </c>
      <c r="I25" s="29">
        <f>DATE(A25,B25,1)</f>
        <v/>
      </c>
    </row>
    <row r="26">
      <c r="A26" s="21" t="n">
        <v>2025</v>
      </c>
      <c r="B26" s="21" t="n">
        <v>10</v>
      </c>
      <c r="C26" s="23">
        <f>SUMIFS(Base_Analise!$R$2:$R$4546,Base_Analise!$G$2:$G$4546,A26,Base_Analise!$H$2:$H$4546,B26,Base_Analise!$I$2:$I$4546,"Entregue")</f>
        <v/>
      </c>
      <c r="D26" s="23">
        <f>SUMIFS(Base_Analise!$S$2:$S$4546,Base_Analise!$G$2:$G$4546,A26,Base_Analise!$H$2:$H$4546,B26,Base_Analise!$I$2:$I$4546,"Entregue")+SUMIFS(Base_Analise!$T$2:$T$4546,Base_Analise!$G$2:$G$4546,A26,Base_Analise!$H$2:$H$4546,B26,Base_Analise!$I$2:$I$4546,"Entregue")</f>
        <v/>
      </c>
      <c r="E26" s="23">
        <f>SUMIFS(Base_Analise!$U$2:$U$4546,Base_Analise!$G$2:$G$4546,A26,Base_Analise!$H$2:$H$4546,B26,Base_Analise!$I$2:$I$4546,"Entregue")</f>
        <v/>
      </c>
      <c r="F26" s="23">
        <f>SUMIFS(Base_Analise!$W$2:$W$4546,Base_Analise!$G$2:$G$4546,A26,Base_Analise!$H$2:$H$4546,B26,Base_Analise!$I$2:$I$4546,"Entregue")</f>
        <v/>
      </c>
      <c r="G26" s="24">
        <f>IFERROR(F26/C26,0)</f>
        <v/>
      </c>
      <c r="H26" s="21">
        <f>COUNTIFS(Pedidos!$E$2:$E$1801,"Entregue",Pedidos!$B$2:$B$1801,"&gt;="&amp;DATE(A26,B26,1),Pedidos!$B$2:$B$1801,"&lt;"&amp;EDATE(DATE(A26,B26,1),1))</f>
        <v/>
      </c>
      <c r="I26" s="30">
        <f>DATE(A26,B26,1)</f>
        <v/>
      </c>
    </row>
    <row r="27">
      <c r="A27" s="25" t="n">
        <v>2025</v>
      </c>
      <c r="B27" s="25" t="n">
        <v>11</v>
      </c>
      <c r="C27" s="27">
        <f>SUMIFS(Base_Analise!$R$2:$R$4546,Base_Analise!$G$2:$G$4546,A27,Base_Analise!$H$2:$H$4546,B27,Base_Analise!$I$2:$I$4546,"Entregue")</f>
        <v/>
      </c>
      <c r="D27" s="27">
        <f>SUMIFS(Base_Analise!$S$2:$S$4546,Base_Analise!$G$2:$G$4546,A27,Base_Analise!$H$2:$H$4546,B27,Base_Analise!$I$2:$I$4546,"Entregue")+SUMIFS(Base_Analise!$T$2:$T$4546,Base_Analise!$G$2:$G$4546,A27,Base_Analise!$H$2:$H$4546,B27,Base_Analise!$I$2:$I$4546,"Entregue")</f>
        <v/>
      </c>
      <c r="E27" s="27">
        <f>SUMIFS(Base_Analise!$U$2:$U$4546,Base_Analise!$G$2:$G$4546,A27,Base_Analise!$H$2:$H$4546,B27,Base_Analise!$I$2:$I$4546,"Entregue")</f>
        <v/>
      </c>
      <c r="F27" s="27">
        <f>SUMIFS(Base_Analise!$W$2:$W$4546,Base_Analise!$G$2:$G$4546,A27,Base_Analise!$H$2:$H$4546,B27,Base_Analise!$I$2:$I$4546,"Entregue")</f>
        <v/>
      </c>
      <c r="G27" s="28">
        <f>IFERROR(F27/C27,0)</f>
        <v/>
      </c>
      <c r="H27" s="25">
        <f>COUNTIFS(Pedidos!$E$2:$E$1801,"Entregue",Pedidos!$B$2:$B$1801,"&gt;="&amp;DATE(A27,B27,1),Pedidos!$B$2:$B$1801,"&lt;"&amp;EDATE(DATE(A27,B27,1),1))</f>
        <v/>
      </c>
      <c r="I27" s="29">
        <f>DATE(A27,B27,1)</f>
        <v/>
      </c>
    </row>
    <row r="28">
      <c r="A28" s="21" t="n">
        <v>2025</v>
      </c>
      <c r="B28" s="21" t="n">
        <v>12</v>
      </c>
      <c r="C28" s="23">
        <f>SUMIFS(Base_Analise!$R$2:$R$4546,Base_Analise!$G$2:$G$4546,A28,Base_Analise!$H$2:$H$4546,B28,Base_Analise!$I$2:$I$4546,"Entregue")</f>
        <v/>
      </c>
      <c r="D28" s="23">
        <f>SUMIFS(Base_Analise!$S$2:$S$4546,Base_Analise!$G$2:$G$4546,A28,Base_Analise!$H$2:$H$4546,B28,Base_Analise!$I$2:$I$4546,"Entregue")+SUMIFS(Base_Analise!$T$2:$T$4546,Base_Analise!$G$2:$G$4546,A28,Base_Analise!$H$2:$H$4546,B28,Base_Analise!$I$2:$I$4546,"Entregue")</f>
        <v/>
      </c>
      <c r="E28" s="23">
        <f>SUMIFS(Base_Analise!$U$2:$U$4546,Base_Analise!$G$2:$G$4546,A28,Base_Analise!$H$2:$H$4546,B28,Base_Analise!$I$2:$I$4546,"Entregue")</f>
        <v/>
      </c>
      <c r="F28" s="23">
        <f>SUMIFS(Base_Analise!$W$2:$W$4546,Base_Analise!$G$2:$G$4546,A28,Base_Analise!$H$2:$H$4546,B28,Base_Analise!$I$2:$I$4546,"Entregue")</f>
        <v/>
      </c>
      <c r="G28" s="24">
        <f>IFERROR(F28/C28,0)</f>
        <v/>
      </c>
      <c r="H28" s="21">
        <f>COUNTIFS(Pedidos!$E$2:$E$1801,"Entregue",Pedidos!$B$2:$B$1801,"&gt;="&amp;DATE(A28,B28,1),Pedidos!$B$2:$B$1801,"&lt;"&amp;EDATE(DATE(A28,B28,1),1))</f>
        <v/>
      </c>
      <c r="I28" s="30">
        <f>DATE(A28,B28,1)</f>
        <v/>
      </c>
    </row>
  </sheetData>
  <autoFilter ref="A4:I28"/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19" customWidth="1" min="6" max="6"/>
    <col width="14" customWidth="1" min="7" max="7"/>
  </cols>
  <sheetData>
    <row r="1" ht="36" customHeight="1">
      <c r="A1" s="8" t="inlineStr">
        <is>
          <t>DESEMPENHO DAS LOJAS</t>
        </is>
      </c>
    </row>
    <row r="2" ht="24" customHeight="1">
      <c r="A2" s="9" t="inlineStr">
        <is>
          <t>Receita líquida e lucro por loja; metas somadas para todo o período disponível.</t>
        </is>
      </c>
    </row>
    <row r="4" ht="30" customHeight="1">
      <c r="A4" s="20" t="inlineStr">
        <is>
          <t>LojaID</t>
        </is>
      </c>
      <c r="B4" s="20" t="inlineStr">
        <is>
          <t>NomeLoja</t>
        </is>
      </c>
      <c r="C4" s="20" t="inlineStr">
        <is>
          <t>Receita Líquida</t>
        </is>
      </c>
      <c r="D4" s="20" t="inlineStr">
        <is>
          <t>Lucro Após Descontos</t>
        </is>
      </c>
      <c r="E4" s="20" t="inlineStr">
        <is>
          <t>Margem</t>
        </is>
      </c>
      <c r="F4" s="20" t="inlineStr">
        <is>
          <t>Metas Acumuladas</t>
        </is>
      </c>
      <c r="G4" s="20" t="inlineStr">
        <is>
          <t>Atingimento</t>
        </is>
      </c>
    </row>
    <row r="5">
      <c r="A5" s="25" t="inlineStr">
        <is>
          <t>L01</t>
        </is>
      </c>
      <c r="B5" s="25" t="inlineStr">
        <is>
          <t>Loja Paulista</t>
        </is>
      </c>
      <c r="C5" s="27">
        <f>SUMIFS(Base_Analise!$U$2:$U$4546,Base_Analise!$K$2:$K$4546,A5,Base_Analise!$I$2:$I$4546,"Entregue")</f>
        <v/>
      </c>
      <c r="D5" s="27">
        <f>SUMIFS(Base_Analise!$W$2:$W$4546,Base_Analise!$K$2:$K$4546,A5,Base_Analise!$I$2:$I$4546,"Entregue")</f>
        <v/>
      </c>
      <c r="E5" s="28">
        <f>IFERROR(D5/C5,0)</f>
        <v/>
      </c>
      <c r="F5" s="27">
        <f>SUMIFS(MetasMensais!$C$2:$C$193,MetasMensais!$A$2:$A$193,A5)</f>
        <v/>
      </c>
      <c r="G5" s="28">
        <f>IFERROR(C5/F5,0)</f>
        <v/>
      </c>
    </row>
    <row r="6">
      <c r="A6" s="21" t="inlineStr">
        <is>
          <t>L02</t>
        </is>
      </c>
      <c r="B6" s="21" t="inlineStr">
        <is>
          <t>Loja Campinas</t>
        </is>
      </c>
      <c r="C6" s="23">
        <f>SUMIFS(Base_Analise!$U$2:$U$4546,Base_Analise!$K$2:$K$4546,A6,Base_Analise!$I$2:$I$4546,"Entregue")</f>
        <v/>
      </c>
      <c r="D6" s="23">
        <f>SUMIFS(Base_Analise!$W$2:$W$4546,Base_Analise!$K$2:$K$4546,A6,Base_Analise!$I$2:$I$4546,"Entregue")</f>
        <v/>
      </c>
      <c r="E6" s="24">
        <f>IFERROR(D6/C6,0)</f>
        <v/>
      </c>
      <c r="F6" s="23">
        <f>SUMIFS(MetasMensais!$C$2:$C$193,MetasMensais!$A$2:$A$193,A6)</f>
        <v/>
      </c>
      <c r="G6" s="24">
        <f>IFERROR(C6/F6,0)</f>
        <v/>
      </c>
    </row>
    <row r="7">
      <c r="A7" s="25" t="inlineStr">
        <is>
          <t>L03</t>
        </is>
      </c>
      <c r="B7" s="25" t="inlineStr">
        <is>
          <t>Loja Carioca</t>
        </is>
      </c>
      <c r="C7" s="27">
        <f>SUMIFS(Base_Analise!$U$2:$U$4546,Base_Analise!$K$2:$K$4546,A7,Base_Analise!$I$2:$I$4546,"Entregue")</f>
        <v/>
      </c>
      <c r="D7" s="27">
        <f>SUMIFS(Base_Analise!$W$2:$W$4546,Base_Analise!$K$2:$K$4546,A7,Base_Analise!$I$2:$I$4546,"Entregue")</f>
        <v/>
      </c>
      <c r="E7" s="28">
        <f>IFERROR(D7/C7,0)</f>
        <v/>
      </c>
      <c r="F7" s="27">
        <f>SUMIFS(MetasMensais!$C$2:$C$193,MetasMensais!$A$2:$A$193,A7)</f>
        <v/>
      </c>
      <c r="G7" s="28">
        <f>IFERROR(C7/F7,0)</f>
        <v/>
      </c>
    </row>
    <row r="8">
      <c r="A8" s="21" t="inlineStr">
        <is>
          <t>L04</t>
        </is>
      </c>
      <c r="B8" s="21" t="inlineStr">
        <is>
          <t>Loja Minas</t>
        </is>
      </c>
      <c r="C8" s="23">
        <f>SUMIFS(Base_Analise!$U$2:$U$4546,Base_Analise!$K$2:$K$4546,A8,Base_Analise!$I$2:$I$4546,"Entregue")</f>
        <v/>
      </c>
      <c r="D8" s="23">
        <f>SUMIFS(Base_Analise!$W$2:$W$4546,Base_Analise!$K$2:$K$4546,A8,Base_Analise!$I$2:$I$4546,"Entregue")</f>
        <v/>
      </c>
      <c r="E8" s="24">
        <f>IFERROR(D8/C8,0)</f>
        <v/>
      </c>
      <c r="F8" s="23">
        <f>SUMIFS(MetasMensais!$C$2:$C$193,MetasMensais!$A$2:$A$193,A8)</f>
        <v/>
      </c>
      <c r="G8" s="24">
        <f>IFERROR(C8/F8,0)</f>
        <v/>
      </c>
    </row>
    <row r="9">
      <c r="A9" s="25" t="inlineStr">
        <is>
          <t>L05</t>
        </is>
      </c>
      <c r="B9" s="25" t="inlineStr">
        <is>
          <t>Loja Curitiba</t>
        </is>
      </c>
      <c r="C9" s="27">
        <f>SUMIFS(Base_Analise!$U$2:$U$4546,Base_Analise!$K$2:$K$4546,A9,Base_Analise!$I$2:$I$4546,"Entregue")</f>
        <v/>
      </c>
      <c r="D9" s="27">
        <f>SUMIFS(Base_Analise!$W$2:$W$4546,Base_Analise!$K$2:$K$4546,A9,Base_Analise!$I$2:$I$4546,"Entregue")</f>
        <v/>
      </c>
      <c r="E9" s="28">
        <f>IFERROR(D9/C9,0)</f>
        <v/>
      </c>
      <c r="F9" s="27">
        <f>SUMIFS(MetasMensais!$C$2:$C$193,MetasMensais!$A$2:$A$193,A9)</f>
        <v/>
      </c>
      <c r="G9" s="28">
        <f>IFERROR(C9/F9,0)</f>
        <v/>
      </c>
    </row>
    <row r="10">
      <c r="A10" s="21" t="inlineStr">
        <is>
          <t>L06</t>
        </is>
      </c>
      <c r="B10" s="21" t="inlineStr">
        <is>
          <t>Loja Gaúcha</t>
        </is>
      </c>
      <c r="C10" s="23">
        <f>SUMIFS(Base_Analise!$U$2:$U$4546,Base_Analise!$K$2:$K$4546,A10,Base_Analise!$I$2:$I$4546,"Entregue")</f>
        <v/>
      </c>
      <c r="D10" s="23">
        <f>SUMIFS(Base_Analise!$W$2:$W$4546,Base_Analise!$K$2:$K$4546,A10,Base_Analise!$I$2:$I$4546,"Entregue")</f>
        <v/>
      </c>
      <c r="E10" s="24">
        <f>IFERROR(D10/C10,0)</f>
        <v/>
      </c>
      <c r="F10" s="23">
        <f>SUMIFS(MetasMensais!$C$2:$C$193,MetasMensais!$A$2:$A$193,A10)</f>
        <v/>
      </c>
      <c r="G10" s="24">
        <f>IFERROR(C10/F10,0)</f>
        <v/>
      </c>
    </row>
    <row r="11">
      <c r="A11" s="25" t="inlineStr">
        <is>
          <t>L07</t>
        </is>
      </c>
      <c r="B11" s="25" t="inlineStr">
        <is>
          <t>Loja Capital</t>
        </is>
      </c>
      <c r="C11" s="27">
        <f>SUMIFS(Base_Analise!$U$2:$U$4546,Base_Analise!$K$2:$K$4546,A11,Base_Analise!$I$2:$I$4546,"Entregue")</f>
        <v/>
      </c>
      <c r="D11" s="27">
        <f>SUMIFS(Base_Analise!$W$2:$W$4546,Base_Analise!$K$2:$K$4546,A11,Base_Analise!$I$2:$I$4546,"Entregue")</f>
        <v/>
      </c>
      <c r="E11" s="28">
        <f>IFERROR(D11/C11,0)</f>
        <v/>
      </c>
      <c r="F11" s="27">
        <f>SUMIFS(MetasMensais!$C$2:$C$193,MetasMensais!$A$2:$A$193,A11)</f>
        <v/>
      </c>
      <c r="G11" s="28">
        <f>IFERROR(C11/F11,0)</f>
        <v/>
      </c>
    </row>
    <row r="12">
      <c r="A12" s="21" t="inlineStr">
        <is>
          <t>L08</t>
        </is>
      </c>
      <c r="B12" s="21" t="inlineStr">
        <is>
          <t>Loja Recife</t>
        </is>
      </c>
      <c r="C12" s="23">
        <f>SUMIFS(Base_Analise!$U$2:$U$4546,Base_Analise!$K$2:$K$4546,A12,Base_Analise!$I$2:$I$4546,"Entregue")</f>
        <v/>
      </c>
      <c r="D12" s="23">
        <f>SUMIFS(Base_Analise!$W$2:$W$4546,Base_Analise!$K$2:$K$4546,A12,Base_Analise!$I$2:$I$4546,"Entregue")</f>
        <v/>
      </c>
      <c r="E12" s="24">
        <f>IFERROR(D12/C12,0)</f>
        <v/>
      </c>
      <c r="F12" s="23">
        <f>SUMIFS(MetasMensais!$C$2:$C$193,MetasMensais!$A$2:$A$193,A12)</f>
        <v/>
      </c>
      <c r="G12" s="24">
        <f>IFERROR(C12/F12,0)</f>
        <v/>
      </c>
    </row>
  </sheetData>
  <autoFilter ref="A4:G12"/>
  <mergeCells count="2">
    <mergeCell ref="A2:G2"/>
    <mergeCell ref="A1:G1"/>
  </mergeCells>
  <conditionalFormatting sqref="G5:G12">
    <cfRule type="cellIs" priority="1" operator="greaterThanOr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0" customWidth="1" min="4" max="4"/>
    <col width="14" customWidth="1" min="5" max="5"/>
    <col width="17" customWidth="1" min="6" max="6"/>
  </cols>
  <sheetData>
    <row r="1" ht="36" customHeight="1">
      <c r="A1" s="8" t="inlineStr">
        <is>
          <t>METAS MENSAIS POR LOJA</t>
        </is>
      </c>
    </row>
    <row r="2" ht="24" customHeight="1">
      <c r="A2" s="9" t="inlineStr">
        <is>
          <t>Compara a receita líquida entregue com a meta da loja em cada mês.</t>
        </is>
      </c>
    </row>
    <row r="4" ht="30" customHeight="1">
      <c r="A4" s="20" t="inlineStr">
        <is>
          <t>LojaID</t>
        </is>
      </c>
      <c r="B4" s="20" t="inlineStr">
        <is>
          <t>Mês Referência</t>
        </is>
      </c>
      <c r="C4" s="20" t="inlineStr">
        <is>
          <t>Receita Líquida</t>
        </is>
      </c>
      <c r="D4" s="20" t="inlineStr">
        <is>
          <t>Diferença vs Meta</t>
        </is>
      </c>
      <c r="E4" s="20" t="inlineStr">
        <is>
          <t>Atingimento</t>
        </is>
      </c>
      <c r="F4" s="20" t="inlineStr">
        <is>
          <t>Status da Meta</t>
        </is>
      </c>
    </row>
    <row r="5">
      <c r="A5" s="25" t="inlineStr">
        <is>
          <t>L01</t>
        </is>
      </c>
      <c r="B5" s="31" t="n">
        <v>45292</v>
      </c>
      <c r="C5" s="27">
        <f>SUMIFS(Base_Analise!$U$2:$U$4546,Base_Analise!$K$2:$K$4546,A5,Base_Analise!$F$2:$F$4546,"&gt;="&amp;B5,Base_Analise!$F$2:$F$4546,"&lt;"&amp;EDATE(B5,1),Base_Analise!$I$2:$I$4546,"Entregue")</f>
        <v/>
      </c>
      <c r="D5" s="27">
        <f>C5-MetasMensais!C2</f>
        <v/>
      </c>
      <c r="E5" s="28">
        <f>IFERROR(C5/MetasMensais!C2,0)</f>
        <v/>
      </c>
      <c r="F5" s="25">
        <f>IF(C5&gt;=MetasMensais!C2,"Atingida","Não atingida")</f>
        <v/>
      </c>
    </row>
    <row r="6">
      <c r="A6" s="21" t="inlineStr">
        <is>
          <t>L01</t>
        </is>
      </c>
      <c r="B6" s="32" t="n">
        <v>45323</v>
      </c>
      <c r="C6" s="23">
        <f>SUMIFS(Base_Analise!$U$2:$U$4546,Base_Analise!$K$2:$K$4546,A6,Base_Analise!$F$2:$F$4546,"&gt;="&amp;B6,Base_Analise!$F$2:$F$4546,"&lt;"&amp;EDATE(B6,1),Base_Analise!$I$2:$I$4546,"Entregue")</f>
        <v/>
      </c>
      <c r="D6" s="23">
        <f>C6-MetasMensais!C3</f>
        <v/>
      </c>
      <c r="E6" s="24">
        <f>IFERROR(C6/MetasMensais!C3,0)</f>
        <v/>
      </c>
      <c r="F6" s="21">
        <f>IF(C6&gt;=MetasMensais!C3,"Atingida","Não atingida")</f>
        <v/>
      </c>
    </row>
    <row r="7">
      <c r="A7" s="25" t="inlineStr">
        <is>
          <t>L01</t>
        </is>
      </c>
      <c r="B7" s="31" t="n">
        <v>45352</v>
      </c>
      <c r="C7" s="27">
        <f>SUMIFS(Base_Analise!$U$2:$U$4546,Base_Analise!$K$2:$K$4546,A7,Base_Analise!$F$2:$F$4546,"&gt;="&amp;B7,Base_Analise!$F$2:$F$4546,"&lt;"&amp;EDATE(B7,1),Base_Analise!$I$2:$I$4546,"Entregue")</f>
        <v/>
      </c>
      <c r="D7" s="27">
        <f>C7-MetasMensais!C4</f>
        <v/>
      </c>
      <c r="E7" s="28">
        <f>IFERROR(C7/MetasMensais!C4,0)</f>
        <v/>
      </c>
      <c r="F7" s="25">
        <f>IF(C7&gt;=MetasMensais!C4,"Atingida","Não atingida")</f>
        <v/>
      </c>
    </row>
    <row r="8">
      <c r="A8" s="21" t="inlineStr">
        <is>
          <t>L01</t>
        </is>
      </c>
      <c r="B8" s="32" t="n">
        <v>45383</v>
      </c>
      <c r="C8" s="23">
        <f>SUMIFS(Base_Analise!$U$2:$U$4546,Base_Analise!$K$2:$K$4546,A8,Base_Analise!$F$2:$F$4546,"&gt;="&amp;B8,Base_Analise!$F$2:$F$4546,"&lt;"&amp;EDATE(B8,1),Base_Analise!$I$2:$I$4546,"Entregue")</f>
        <v/>
      </c>
      <c r="D8" s="23">
        <f>C8-MetasMensais!C5</f>
        <v/>
      </c>
      <c r="E8" s="24">
        <f>IFERROR(C8/MetasMensais!C5,0)</f>
        <v/>
      </c>
      <c r="F8" s="21">
        <f>IF(C8&gt;=MetasMensais!C5,"Atingida","Não atingida")</f>
        <v/>
      </c>
    </row>
    <row r="9">
      <c r="A9" s="25" t="inlineStr">
        <is>
          <t>L01</t>
        </is>
      </c>
      <c r="B9" s="31" t="n">
        <v>45413</v>
      </c>
      <c r="C9" s="27">
        <f>SUMIFS(Base_Analise!$U$2:$U$4546,Base_Analise!$K$2:$K$4546,A9,Base_Analise!$F$2:$F$4546,"&gt;="&amp;B9,Base_Analise!$F$2:$F$4546,"&lt;"&amp;EDATE(B9,1),Base_Analise!$I$2:$I$4546,"Entregue")</f>
        <v/>
      </c>
      <c r="D9" s="27">
        <f>C9-MetasMensais!C6</f>
        <v/>
      </c>
      <c r="E9" s="28">
        <f>IFERROR(C9/MetasMensais!C6,0)</f>
        <v/>
      </c>
      <c r="F9" s="25">
        <f>IF(C9&gt;=MetasMensais!C6,"Atingida","Não atingida")</f>
        <v/>
      </c>
    </row>
    <row r="10">
      <c r="A10" s="21" t="inlineStr">
        <is>
          <t>L01</t>
        </is>
      </c>
      <c r="B10" s="32" t="n">
        <v>45444</v>
      </c>
      <c r="C10" s="23">
        <f>SUMIFS(Base_Analise!$U$2:$U$4546,Base_Analise!$K$2:$K$4546,A10,Base_Analise!$F$2:$F$4546,"&gt;="&amp;B10,Base_Analise!$F$2:$F$4546,"&lt;"&amp;EDATE(B10,1),Base_Analise!$I$2:$I$4546,"Entregue")</f>
        <v/>
      </c>
      <c r="D10" s="23">
        <f>C10-MetasMensais!C7</f>
        <v/>
      </c>
      <c r="E10" s="24">
        <f>IFERROR(C10/MetasMensais!C7,0)</f>
        <v/>
      </c>
      <c r="F10" s="21">
        <f>IF(C10&gt;=MetasMensais!C7,"Atingida","Não atingida")</f>
        <v/>
      </c>
    </row>
    <row r="11">
      <c r="A11" s="25" t="inlineStr">
        <is>
          <t>L01</t>
        </is>
      </c>
      <c r="B11" s="31" t="n">
        <v>45474</v>
      </c>
      <c r="C11" s="27">
        <f>SUMIFS(Base_Analise!$U$2:$U$4546,Base_Analise!$K$2:$K$4546,A11,Base_Analise!$F$2:$F$4546,"&gt;="&amp;B11,Base_Analise!$F$2:$F$4546,"&lt;"&amp;EDATE(B11,1),Base_Analise!$I$2:$I$4546,"Entregue")</f>
        <v/>
      </c>
      <c r="D11" s="27">
        <f>C11-MetasMensais!C8</f>
        <v/>
      </c>
      <c r="E11" s="28">
        <f>IFERROR(C11/MetasMensais!C8,0)</f>
        <v/>
      </c>
      <c r="F11" s="25">
        <f>IF(C11&gt;=MetasMensais!C8,"Atingida","Não atingida")</f>
        <v/>
      </c>
    </row>
    <row r="12">
      <c r="A12" s="21" t="inlineStr">
        <is>
          <t>L01</t>
        </is>
      </c>
      <c r="B12" s="32" t="n">
        <v>45505</v>
      </c>
      <c r="C12" s="23">
        <f>SUMIFS(Base_Analise!$U$2:$U$4546,Base_Analise!$K$2:$K$4546,A12,Base_Analise!$F$2:$F$4546,"&gt;="&amp;B12,Base_Analise!$F$2:$F$4546,"&lt;"&amp;EDATE(B12,1),Base_Analise!$I$2:$I$4546,"Entregue")</f>
        <v/>
      </c>
      <c r="D12" s="23">
        <f>C12-MetasMensais!C9</f>
        <v/>
      </c>
      <c r="E12" s="24">
        <f>IFERROR(C12/MetasMensais!C9,0)</f>
        <v/>
      </c>
      <c r="F12" s="21">
        <f>IF(C12&gt;=MetasMensais!C9,"Atingida","Não atingida")</f>
        <v/>
      </c>
    </row>
    <row r="13">
      <c r="A13" s="25" t="inlineStr">
        <is>
          <t>L01</t>
        </is>
      </c>
      <c r="B13" s="31" t="n">
        <v>45536</v>
      </c>
      <c r="C13" s="27">
        <f>SUMIFS(Base_Analise!$U$2:$U$4546,Base_Analise!$K$2:$K$4546,A13,Base_Analise!$F$2:$F$4546,"&gt;="&amp;B13,Base_Analise!$F$2:$F$4546,"&lt;"&amp;EDATE(B13,1),Base_Analise!$I$2:$I$4546,"Entregue")</f>
        <v/>
      </c>
      <c r="D13" s="27">
        <f>C13-MetasMensais!C10</f>
        <v/>
      </c>
      <c r="E13" s="28">
        <f>IFERROR(C13/MetasMensais!C10,0)</f>
        <v/>
      </c>
      <c r="F13" s="25">
        <f>IF(C13&gt;=MetasMensais!C10,"Atingida","Não atingida")</f>
        <v/>
      </c>
    </row>
    <row r="14">
      <c r="A14" s="21" t="inlineStr">
        <is>
          <t>L01</t>
        </is>
      </c>
      <c r="B14" s="32" t="n">
        <v>45566</v>
      </c>
      <c r="C14" s="23">
        <f>SUMIFS(Base_Analise!$U$2:$U$4546,Base_Analise!$K$2:$K$4546,A14,Base_Analise!$F$2:$F$4546,"&gt;="&amp;B14,Base_Analise!$F$2:$F$4546,"&lt;"&amp;EDATE(B14,1),Base_Analise!$I$2:$I$4546,"Entregue")</f>
        <v/>
      </c>
      <c r="D14" s="23">
        <f>C14-MetasMensais!C11</f>
        <v/>
      </c>
      <c r="E14" s="24">
        <f>IFERROR(C14/MetasMensais!C11,0)</f>
        <v/>
      </c>
      <c r="F14" s="21">
        <f>IF(C14&gt;=MetasMensais!C11,"Atingida","Não atingida")</f>
        <v/>
      </c>
    </row>
    <row r="15">
      <c r="A15" s="25" t="inlineStr">
        <is>
          <t>L01</t>
        </is>
      </c>
      <c r="B15" s="31" t="n">
        <v>45597</v>
      </c>
      <c r="C15" s="27">
        <f>SUMIFS(Base_Analise!$U$2:$U$4546,Base_Analise!$K$2:$K$4546,A15,Base_Analise!$F$2:$F$4546,"&gt;="&amp;B15,Base_Analise!$F$2:$F$4546,"&lt;"&amp;EDATE(B15,1),Base_Analise!$I$2:$I$4546,"Entregue")</f>
        <v/>
      </c>
      <c r="D15" s="27">
        <f>C15-MetasMensais!C12</f>
        <v/>
      </c>
      <c r="E15" s="28">
        <f>IFERROR(C15/MetasMensais!C12,0)</f>
        <v/>
      </c>
      <c r="F15" s="25">
        <f>IF(C15&gt;=MetasMensais!C12,"Atingida","Não atingida")</f>
        <v/>
      </c>
    </row>
    <row r="16">
      <c r="A16" s="21" t="inlineStr">
        <is>
          <t>L01</t>
        </is>
      </c>
      <c r="B16" s="32" t="n">
        <v>45627</v>
      </c>
      <c r="C16" s="23">
        <f>SUMIFS(Base_Analise!$U$2:$U$4546,Base_Analise!$K$2:$K$4546,A16,Base_Analise!$F$2:$F$4546,"&gt;="&amp;B16,Base_Analise!$F$2:$F$4546,"&lt;"&amp;EDATE(B16,1),Base_Analise!$I$2:$I$4546,"Entregue")</f>
        <v/>
      </c>
      <c r="D16" s="23">
        <f>C16-MetasMensais!C13</f>
        <v/>
      </c>
      <c r="E16" s="24">
        <f>IFERROR(C16/MetasMensais!C13,0)</f>
        <v/>
      </c>
      <c r="F16" s="21">
        <f>IF(C16&gt;=MetasMensais!C13,"Atingida","Não atingida")</f>
        <v/>
      </c>
    </row>
    <row r="17">
      <c r="A17" s="25" t="inlineStr">
        <is>
          <t>L01</t>
        </is>
      </c>
      <c r="B17" s="31" t="n">
        <v>45658</v>
      </c>
      <c r="C17" s="27">
        <f>SUMIFS(Base_Analise!$U$2:$U$4546,Base_Analise!$K$2:$K$4546,A17,Base_Analise!$F$2:$F$4546,"&gt;="&amp;B17,Base_Analise!$F$2:$F$4546,"&lt;"&amp;EDATE(B17,1),Base_Analise!$I$2:$I$4546,"Entregue")</f>
        <v/>
      </c>
      <c r="D17" s="27">
        <f>C17-MetasMensais!C14</f>
        <v/>
      </c>
      <c r="E17" s="28">
        <f>IFERROR(C17/MetasMensais!C14,0)</f>
        <v/>
      </c>
      <c r="F17" s="25">
        <f>IF(C17&gt;=MetasMensais!C14,"Atingida","Não atingida")</f>
        <v/>
      </c>
    </row>
    <row r="18">
      <c r="A18" s="21" t="inlineStr">
        <is>
          <t>L01</t>
        </is>
      </c>
      <c r="B18" s="32" t="n">
        <v>45689</v>
      </c>
      <c r="C18" s="23">
        <f>SUMIFS(Base_Analise!$U$2:$U$4546,Base_Analise!$K$2:$K$4546,A18,Base_Analise!$F$2:$F$4546,"&gt;="&amp;B18,Base_Analise!$F$2:$F$4546,"&lt;"&amp;EDATE(B18,1),Base_Analise!$I$2:$I$4546,"Entregue")</f>
        <v/>
      </c>
      <c r="D18" s="23">
        <f>C18-MetasMensais!C15</f>
        <v/>
      </c>
      <c r="E18" s="24">
        <f>IFERROR(C18/MetasMensais!C15,0)</f>
        <v/>
      </c>
      <c r="F18" s="21">
        <f>IF(C18&gt;=MetasMensais!C15,"Atingida","Não atingida")</f>
        <v/>
      </c>
    </row>
    <row r="19">
      <c r="A19" s="25" t="inlineStr">
        <is>
          <t>L01</t>
        </is>
      </c>
      <c r="B19" s="31" t="n">
        <v>45717</v>
      </c>
      <c r="C19" s="27">
        <f>SUMIFS(Base_Analise!$U$2:$U$4546,Base_Analise!$K$2:$K$4546,A19,Base_Analise!$F$2:$F$4546,"&gt;="&amp;B19,Base_Analise!$F$2:$F$4546,"&lt;"&amp;EDATE(B19,1),Base_Analise!$I$2:$I$4546,"Entregue")</f>
        <v/>
      </c>
      <c r="D19" s="27">
        <f>C19-MetasMensais!C16</f>
        <v/>
      </c>
      <c r="E19" s="28">
        <f>IFERROR(C19/MetasMensais!C16,0)</f>
        <v/>
      </c>
      <c r="F19" s="25">
        <f>IF(C19&gt;=MetasMensais!C16,"Atingida","Não atingida")</f>
        <v/>
      </c>
    </row>
    <row r="20">
      <c r="A20" s="21" t="inlineStr">
        <is>
          <t>L01</t>
        </is>
      </c>
      <c r="B20" s="32" t="n">
        <v>45748</v>
      </c>
      <c r="C20" s="23">
        <f>SUMIFS(Base_Analise!$U$2:$U$4546,Base_Analise!$K$2:$K$4546,A20,Base_Analise!$F$2:$F$4546,"&gt;="&amp;B20,Base_Analise!$F$2:$F$4546,"&lt;"&amp;EDATE(B20,1),Base_Analise!$I$2:$I$4546,"Entregue")</f>
        <v/>
      </c>
      <c r="D20" s="23">
        <f>C20-MetasMensais!C17</f>
        <v/>
      </c>
      <c r="E20" s="24">
        <f>IFERROR(C20/MetasMensais!C17,0)</f>
        <v/>
      </c>
      <c r="F20" s="21">
        <f>IF(C20&gt;=MetasMensais!C17,"Atingida","Não atingida")</f>
        <v/>
      </c>
    </row>
    <row r="21">
      <c r="A21" s="25" t="inlineStr">
        <is>
          <t>L01</t>
        </is>
      </c>
      <c r="B21" s="31" t="n">
        <v>45778</v>
      </c>
      <c r="C21" s="27">
        <f>SUMIFS(Base_Analise!$U$2:$U$4546,Base_Analise!$K$2:$K$4546,A21,Base_Analise!$F$2:$F$4546,"&gt;="&amp;B21,Base_Analise!$F$2:$F$4546,"&lt;"&amp;EDATE(B21,1),Base_Analise!$I$2:$I$4546,"Entregue")</f>
        <v/>
      </c>
      <c r="D21" s="27">
        <f>C21-MetasMensais!C18</f>
        <v/>
      </c>
      <c r="E21" s="28">
        <f>IFERROR(C21/MetasMensais!C18,0)</f>
        <v/>
      </c>
      <c r="F21" s="25">
        <f>IF(C21&gt;=MetasMensais!C18,"Atingida","Não atingida")</f>
        <v/>
      </c>
    </row>
    <row r="22">
      <c r="A22" s="21" t="inlineStr">
        <is>
          <t>L01</t>
        </is>
      </c>
      <c r="B22" s="32" t="n">
        <v>45809</v>
      </c>
      <c r="C22" s="23">
        <f>SUMIFS(Base_Analise!$U$2:$U$4546,Base_Analise!$K$2:$K$4546,A22,Base_Analise!$F$2:$F$4546,"&gt;="&amp;B22,Base_Analise!$F$2:$F$4546,"&lt;"&amp;EDATE(B22,1),Base_Analise!$I$2:$I$4546,"Entregue")</f>
        <v/>
      </c>
      <c r="D22" s="23">
        <f>C22-MetasMensais!C19</f>
        <v/>
      </c>
      <c r="E22" s="24">
        <f>IFERROR(C22/MetasMensais!C19,0)</f>
        <v/>
      </c>
      <c r="F22" s="21">
        <f>IF(C22&gt;=MetasMensais!C19,"Atingida","Não atingida")</f>
        <v/>
      </c>
    </row>
    <row r="23">
      <c r="A23" s="25" t="inlineStr">
        <is>
          <t>L01</t>
        </is>
      </c>
      <c r="B23" s="31" t="n">
        <v>45839</v>
      </c>
      <c r="C23" s="27">
        <f>SUMIFS(Base_Analise!$U$2:$U$4546,Base_Analise!$K$2:$K$4546,A23,Base_Analise!$F$2:$F$4546,"&gt;="&amp;B23,Base_Analise!$F$2:$F$4546,"&lt;"&amp;EDATE(B23,1),Base_Analise!$I$2:$I$4546,"Entregue")</f>
        <v/>
      </c>
      <c r="D23" s="27">
        <f>C23-MetasMensais!C20</f>
        <v/>
      </c>
      <c r="E23" s="28">
        <f>IFERROR(C23/MetasMensais!C20,0)</f>
        <v/>
      </c>
      <c r="F23" s="25">
        <f>IF(C23&gt;=MetasMensais!C20,"Atingida","Não atingida")</f>
        <v/>
      </c>
    </row>
    <row r="24">
      <c r="A24" s="21" t="inlineStr">
        <is>
          <t>L01</t>
        </is>
      </c>
      <c r="B24" s="32" t="n">
        <v>45870</v>
      </c>
      <c r="C24" s="23">
        <f>SUMIFS(Base_Analise!$U$2:$U$4546,Base_Analise!$K$2:$K$4546,A24,Base_Analise!$F$2:$F$4546,"&gt;="&amp;B24,Base_Analise!$F$2:$F$4546,"&lt;"&amp;EDATE(B24,1),Base_Analise!$I$2:$I$4546,"Entregue")</f>
        <v/>
      </c>
      <c r="D24" s="23">
        <f>C24-MetasMensais!C21</f>
        <v/>
      </c>
      <c r="E24" s="24">
        <f>IFERROR(C24/MetasMensais!C21,0)</f>
        <v/>
      </c>
      <c r="F24" s="21">
        <f>IF(C24&gt;=MetasMensais!C21,"Atingida","Não atingida")</f>
        <v/>
      </c>
    </row>
    <row r="25">
      <c r="A25" s="25" t="inlineStr">
        <is>
          <t>L01</t>
        </is>
      </c>
      <c r="B25" s="31" t="n">
        <v>45901</v>
      </c>
      <c r="C25" s="27">
        <f>SUMIFS(Base_Analise!$U$2:$U$4546,Base_Analise!$K$2:$K$4546,A25,Base_Analise!$F$2:$F$4546,"&gt;="&amp;B25,Base_Analise!$F$2:$F$4546,"&lt;"&amp;EDATE(B25,1),Base_Analise!$I$2:$I$4546,"Entregue")</f>
        <v/>
      </c>
      <c r="D25" s="27">
        <f>C25-MetasMensais!C22</f>
        <v/>
      </c>
      <c r="E25" s="28">
        <f>IFERROR(C25/MetasMensais!C22,0)</f>
        <v/>
      </c>
      <c r="F25" s="25">
        <f>IF(C25&gt;=MetasMensais!C22,"Atingida","Não atingida")</f>
        <v/>
      </c>
    </row>
    <row r="26">
      <c r="A26" s="21" t="inlineStr">
        <is>
          <t>L01</t>
        </is>
      </c>
      <c r="B26" s="32" t="n">
        <v>45931</v>
      </c>
      <c r="C26" s="23">
        <f>SUMIFS(Base_Analise!$U$2:$U$4546,Base_Analise!$K$2:$K$4546,A26,Base_Analise!$F$2:$F$4546,"&gt;="&amp;B26,Base_Analise!$F$2:$F$4546,"&lt;"&amp;EDATE(B26,1),Base_Analise!$I$2:$I$4546,"Entregue")</f>
        <v/>
      </c>
      <c r="D26" s="23">
        <f>C26-MetasMensais!C23</f>
        <v/>
      </c>
      <c r="E26" s="24">
        <f>IFERROR(C26/MetasMensais!C23,0)</f>
        <v/>
      </c>
      <c r="F26" s="21">
        <f>IF(C26&gt;=MetasMensais!C23,"Atingida","Não atingida")</f>
        <v/>
      </c>
    </row>
    <row r="27">
      <c r="A27" s="25" t="inlineStr">
        <is>
          <t>L01</t>
        </is>
      </c>
      <c r="B27" s="31" t="n">
        <v>45962</v>
      </c>
      <c r="C27" s="27">
        <f>SUMIFS(Base_Analise!$U$2:$U$4546,Base_Analise!$K$2:$K$4546,A27,Base_Analise!$F$2:$F$4546,"&gt;="&amp;B27,Base_Analise!$F$2:$F$4546,"&lt;"&amp;EDATE(B27,1),Base_Analise!$I$2:$I$4546,"Entregue")</f>
        <v/>
      </c>
      <c r="D27" s="27">
        <f>C27-MetasMensais!C24</f>
        <v/>
      </c>
      <c r="E27" s="28">
        <f>IFERROR(C27/MetasMensais!C24,0)</f>
        <v/>
      </c>
      <c r="F27" s="25">
        <f>IF(C27&gt;=MetasMensais!C24,"Atingida","Não atingida")</f>
        <v/>
      </c>
    </row>
    <row r="28">
      <c r="A28" s="21" t="inlineStr">
        <is>
          <t>L01</t>
        </is>
      </c>
      <c r="B28" s="32" t="n">
        <v>45992</v>
      </c>
      <c r="C28" s="23">
        <f>SUMIFS(Base_Analise!$U$2:$U$4546,Base_Analise!$K$2:$K$4546,A28,Base_Analise!$F$2:$F$4546,"&gt;="&amp;B28,Base_Analise!$F$2:$F$4546,"&lt;"&amp;EDATE(B28,1),Base_Analise!$I$2:$I$4546,"Entregue")</f>
        <v/>
      </c>
      <c r="D28" s="23">
        <f>C28-MetasMensais!C25</f>
        <v/>
      </c>
      <c r="E28" s="24">
        <f>IFERROR(C28/MetasMensais!C25,0)</f>
        <v/>
      </c>
      <c r="F28" s="21">
        <f>IF(C28&gt;=MetasMensais!C25,"Atingida","Não atingida")</f>
        <v/>
      </c>
    </row>
    <row r="29">
      <c r="A29" s="25" t="inlineStr">
        <is>
          <t>L02</t>
        </is>
      </c>
      <c r="B29" s="31" t="n">
        <v>45292</v>
      </c>
      <c r="C29" s="27">
        <f>SUMIFS(Base_Analise!$U$2:$U$4546,Base_Analise!$K$2:$K$4546,A29,Base_Analise!$F$2:$F$4546,"&gt;="&amp;B29,Base_Analise!$F$2:$F$4546,"&lt;"&amp;EDATE(B29,1),Base_Analise!$I$2:$I$4546,"Entregue")</f>
        <v/>
      </c>
      <c r="D29" s="27">
        <f>C29-MetasMensais!C26</f>
        <v/>
      </c>
      <c r="E29" s="28">
        <f>IFERROR(C29/MetasMensais!C26,0)</f>
        <v/>
      </c>
      <c r="F29" s="25">
        <f>IF(C29&gt;=MetasMensais!C26,"Atingida","Não atingida")</f>
        <v/>
      </c>
    </row>
    <row r="30">
      <c r="A30" s="21" t="inlineStr">
        <is>
          <t>L02</t>
        </is>
      </c>
      <c r="B30" s="32" t="n">
        <v>45323</v>
      </c>
      <c r="C30" s="23">
        <f>SUMIFS(Base_Analise!$U$2:$U$4546,Base_Analise!$K$2:$K$4546,A30,Base_Analise!$F$2:$F$4546,"&gt;="&amp;B30,Base_Analise!$F$2:$F$4546,"&lt;"&amp;EDATE(B30,1),Base_Analise!$I$2:$I$4546,"Entregue")</f>
        <v/>
      </c>
      <c r="D30" s="23">
        <f>C30-MetasMensais!C27</f>
        <v/>
      </c>
      <c r="E30" s="24">
        <f>IFERROR(C30/MetasMensais!C27,0)</f>
        <v/>
      </c>
      <c r="F30" s="21">
        <f>IF(C30&gt;=MetasMensais!C27,"Atingida","Não atingida")</f>
        <v/>
      </c>
    </row>
    <row r="31">
      <c r="A31" s="25" t="inlineStr">
        <is>
          <t>L02</t>
        </is>
      </c>
      <c r="B31" s="31" t="n">
        <v>45352</v>
      </c>
      <c r="C31" s="27">
        <f>SUMIFS(Base_Analise!$U$2:$U$4546,Base_Analise!$K$2:$K$4546,A31,Base_Analise!$F$2:$F$4546,"&gt;="&amp;B31,Base_Analise!$F$2:$F$4546,"&lt;"&amp;EDATE(B31,1),Base_Analise!$I$2:$I$4546,"Entregue")</f>
        <v/>
      </c>
      <c r="D31" s="27">
        <f>C31-MetasMensais!C28</f>
        <v/>
      </c>
      <c r="E31" s="28">
        <f>IFERROR(C31/MetasMensais!C28,0)</f>
        <v/>
      </c>
      <c r="F31" s="25">
        <f>IF(C31&gt;=MetasMensais!C28,"Atingida","Não atingida")</f>
        <v/>
      </c>
    </row>
    <row r="32">
      <c r="A32" s="21" t="inlineStr">
        <is>
          <t>L02</t>
        </is>
      </c>
      <c r="B32" s="32" t="n">
        <v>45383</v>
      </c>
      <c r="C32" s="23">
        <f>SUMIFS(Base_Analise!$U$2:$U$4546,Base_Analise!$K$2:$K$4546,A32,Base_Analise!$F$2:$F$4546,"&gt;="&amp;B32,Base_Analise!$F$2:$F$4546,"&lt;"&amp;EDATE(B32,1),Base_Analise!$I$2:$I$4546,"Entregue")</f>
        <v/>
      </c>
      <c r="D32" s="23">
        <f>C32-MetasMensais!C29</f>
        <v/>
      </c>
      <c r="E32" s="24">
        <f>IFERROR(C32/MetasMensais!C29,0)</f>
        <v/>
      </c>
      <c r="F32" s="21">
        <f>IF(C32&gt;=MetasMensais!C29,"Atingida","Não atingida")</f>
        <v/>
      </c>
    </row>
    <row r="33">
      <c r="A33" s="25" t="inlineStr">
        <is>
          <t>L02</t>
        </is>
      </c>
      <c r="B33" s="31" t="n">
        <v>45413</v>
      </c>
      <c r="C33" s="27">
        <f>SUMIFS(Base_Analise!$U$2:$U$4546,Base_Analise!$K$2:$K$4546,A33,Base_Analise!$F$2:$F$4546,"&gt;="&amp;B33,Base_Analise!$F$2:$F$4546,"&lt;"&amp;EDATE(B33,1),Base_Analise!$I$2:$I$4546,"Entregue")</f>
        <v/>
      </c>
      <c r="D33" s="27">
        <f>C33-MetasMensais!C30</f>
        <v/>
      </c>
      <c r="E33" s="28">
        <f>IFERROR(C33/MetasMensais!C30,0)</f>
        <v/>
      </c>
      <c r="F33" s="25">
        <f>IF(C33&gt;=MetasMensais!C30,"Atingida","Não atingida")</f>
        <v/>
      </c>
    </row>
    <row r="34">
      <c r="A34" s="21" t="inlineStr">
        <is>
          <t>L02</t>
        </is>
      </c>
      <c r="B34" s="32" t="n">
        <v>45444</v>
      </c>
      <c r="C34" s="23">
        <f>SUMIFS(Base_Analise!$U$2:$U$4546,Base_Analise!$K$2:$K$4546,A34,Base_Analise!$F$2:$F$4546,"&gt;="&amp;B34,Base_Analise!$F$2:$F$4546,"&lt;"&amp;EDATE(B34,1),Base_Analise!$I$2:$I$4546,"Entregue")</f>
        <v/>
      </c>
      <c r="D34" s="23">
        <f>C34-MetasMensais!C31</f>
        <v/>
      </c>
      <c r="E34" s="24">
        <f>IFERROR(C34/MetasMensais!C31,0)</f>
        <v/>
      </c>
      <c r="F34" s="21">
        <f>IF(C34&gt;=MetasMensais!C31,"Atingida","Não atingida")</f>
        <v/>
      </c>
    </row>
    <row r="35">
      <c r="A35" s="25" t="inlineStr">
        <is>
          <t>L02</t>
        </is>
      </c>
      <c r="B35" s="31" t="n">
        <v>45474</v>
      </c>
      <c r="C35" s="27">
        <f>SUMIFS(Base_Analise!$U$2:$U$4546,Base_Analise!$K$2:$K$4546,A35,Base_Analise!$F$2:$F$4546,"&gt;="&amp;B35,Base_Analise!$F$2:$F$4546,"&lt;"&amp;EDATE(B35,1),Base_Analise!$I$2:$I$4546,"Entregue")</f>
        <v/>
      </c>
      <c r="D35" s="27">
        <f>C35-MetasMensais!C32</f>
        <v/>
      </c>
      <c r="E35" s="28">
        <f>IFERROR(C35/MetasMensais!C32,0)</f>
        <v/>
      </c>
      <c r="F35" s="25">
        <f>IF(C35&gt;=MetasMensais!C32,"Atingida","Não atingida")</f>
        <v/>
      </c>
    </row>
    <row r="36">
      <c r="A36" s="21" t="inlineStr">
        <is>
          <t>L02</t>
        </is>
      </c>
      <c r="B36" s="32" t="n">
        <v>45505</v>
      </c>
      <c r="C36" s="23">
        <f>SUMIFS(Base_Analise!$U$2:$U$4546,Base_Analise!$K$2:$K$4546,A36,Base_Analise!$F$2:$F$4546,"&gt;="&amp;B36,Base_Analise!$F$2:$F$4546,"&lt;"&amp;EDATE(B36,1),Base_Analise!$I$2:$I$4546,"Entregue")</f>
        <v/>
      </c>
      <c r="D36" s="23">
        <f>C36-MetasMensais!C33</f>
        <v/>
      </c>
      <c r="E36" s="24">
        <f>IFERROR(C36/MetasMensais!C33,0)</f>
        <v/>
      </c>
      <c r="F36" s="21">
        <f>IF(C36&gt;=MetasMensais!C33,"Atingida","Não atingida")</f>
        <v/>
      </c>
    </row>
    <row r="37">
      <c r="A37" s="25" t="inlineStr">
        <is>
          <t>L02</t>
        </is>
      </c>
      <c r="B37" s="31" t="n">
        <v>45536</v>
      </c>
      <c r="C37" s="27">
        <f>SUMIFS(Base_Analise!$U$2:$U$4546,Base_Analise!$K$2:$K$4546,A37,Base_Analise!$F$2:$F$4546,"&gt;="&amp;B37,Base_Analise!$F$2:$F$4546,"&lt;"&amp;EDATE(B37,1),Base_Analise!$I$2:$I$4546,"Entregue")</f>
        <v/>
      </c>
      <c r="D37" s="27">
        <f>C37-MetasMensais!C34</f>
        <v/>
      </c>
      <c r="E37" s="28">
        <f>IFERROR(C37/MetasMensais!C34,0)</f>
        <v/>
      </c>
      <c r="F37" s="25">
        <f>IF(C37&gt;=MetasMensais!C34,"Atingida","Não atingida")</f>
        <v/>
      </c>
    </row>
    <row r="38">
      <c r="A38" s="21" t="inlineStr">
        <is>
          <t>L02</t>
        </is>
      </c>
      <c r="B38" s="32" t="n">
        <v>45566</v>
      </c>
      <c r="C38" s="23">
        <f>SUMIFS(Base_Analise!$U$2:$U$4546,Base_Analise!$K$2:$K$4546,A38,Base_Analise!$F$2:$F$4546,"&gt;="&amp;B38,Base_Analise!$F$2:$F$4546,"&lt;"&amp;EDATE(B38,1),Base_Analise!$I$2:$I$4546,"Entregue")</f>
        <v/>
      </c>
      <c r="D38" s="23">
        <f>C38-MetasMensais!C35</f>
        <v/>
      </c>
      <c r="E38" s="24">
        <f>IFERROR(C38/MetasMensais!C35,0)</f>
        <v/>
      </c>
      <c r="F38" s="21">
        <f>IF(C38&gt;=MetasMensais!C35,"Atingida","Não atingida")</f>
        <v/>
      </c>
    </row>
    <row r="39">
      <c r="A39" s="25" t="inlineStr">
        <is>
          <t>L02</t>
        </is>
      </c>
      <c r="B39" s="31" t="n">
        <v>45597</v>
      </c>
      <c r="C39" s="27">
        <f>SUMIFS(Base_Analise!$U$2:$U$4546,Base_Analise!$K$2:$K$4546,A39,Base_Analise!$F$2:$F$4546,"&gt;="&amp;B39,Base_Analise!$F$2:$F$4546,"&lt;"&amp;EDATE(B39,1),Base_Analise!$I$2:$I$4546,"Entregue")</f>
        <v/>
      </c>
      <c r="D39" s="27">
        <f>C39-MetasMensais!C36</f>
        <v/>
      </c>
      <c r="E39" s="28">
        <f>IFERROR(C39/MetasMensais!C36,0)</f>
        <v/>
      </c>
      <c r="F39" s="25">
        <f>IF(C39&gt;=MetasMensais!C36,"Atingida","Não atingida")</f>
        <v/>
      </c>
    </row>
    <row r="40">
      <c r="A40" s="21" t="inlineStr">
        <is>
          <t>L02</t>
        </is>
      </c>
      <c r="B40" s="32" t="n">
        <v>45627</v>
      </c>
      <c r="C40" s="23">
        <f>SUMIFS(Base_Analise!$U$2:$U$4546,Base_Analise!$K$2:$K$4546,A40,Base_Analise!$F$2:$F$4546,"&gt;="&amp;B40,Base_Analise!$F$2:$F$4546,"&lt;"&amp;EDATE(B40,1),Base_Analise!$I$2:$I$4546,"Entregue")</f>
        <v/>
      </c>
      <c r="D40" s="23">
        <f>C40-MetasMensais!C37</f>
        <v/>
      </c>
      <c r="E40" s="24">
        <f>IFERROR(C40/MetasMensais!C37,0)</f>
        <v/>
      </c>
      <c r="F40" s="21">
        <f>IF(C40&gt;=MetasMensais!C37,"Atingida","Não atingida")</f>
        <v/>
      </c>
    </row>
    <row r="41">
      <c r="A41" s="25" t="inlineStr">
        <is>
          <t>L02</t>
        </is>
      </c>
      <c r="B41" s="31" t="n">
        <v>45658</v>
      </c>
      <c r="C41" s="27">
        <f>SUMIFS(Base_Analise!$U$2:$U$4546,Base_Analise!$K$2:$K$4546,A41,Base_Analise!$F$2:$F$4546,"&gt;="&amp;B41,Base_Analise!$F$2:$F$4546,"&lt;"&amp;EDATE(B41,1),Base_Analise!$I$2:$I$4546,"Entregue")</f>
        <v/>
      </c>
      <c r="D41" s="27">
        <f>C41-MetasMensais!C38</f>
        <v/>
      </c>
      <c r="E41" s="28">
        <f>IFERROR(C41/MetasMensais!C38,0)</f>
        <v/>
      </c>
      <c r="F41" s="25">
        <f>IF(C41&gt;=MetasMensais!C38,"Atingida","Não atingida")</f>
        <v/>
      </c>
    </row>
    <row r="42">
      <c r="A42" s="21" t="inlineStr">
        <is>
          <t>L02</t>
        </is>
      </c>
      <c r="B42" s="32" t="n">
        <v>45689</v>
      </c>
      <c r="C42" s="23">
        <f>SUMIFS(Base_Analise!$U$2:$U$4546,Base_Analise!$K$2:$K$4546,A42,Base_Analise!$F$2:$F$4546,"&gt;="&amp;B42,Base_Analise!$F$2:$F$4546,"&lt;"&amp;EDATE(B42,1),Base_Analise!$I$2:$I$4546,"Entregue")</f>
        <v/>
      </c>
      <c r="D42" s="23">
        <f>C42-MetasMensais!C39</f>
        <v/>
      </c>
      <c r="E42" s="24">
        <f>IFERROR(C42/MetasMensais!C39,0)</f>
        <v/>
      </c>
      <c r="F42" s="21">
        <f>IF(C42&gt;=MetasMensais!C39,"Atingida","Não atingida")</f>
        <v/>
      </c>
    </row>
    <row r="43">
      <c r="A43" s="25" t="inlineStr">
        <is>
          <t>L02</t>
        </is>
      </c>
      <c r="B43" s="31" t="n">
        <v>45717</v>
      </c>
      <c r="C43" s="27">
        <f>SUMIFS(Base_Analise!$U$2:$U$4546,Base_Analise!$K$2:$K$4546,A43,Base_Analise!$F$2:$F$4546,"&gt;="&amp;B43,Base_Analise!$F$2:$F$4546,"&lt;"&amp;EDATE(B43,1),Base_Analise!$I$2:$I$4546,"Entregue")</f>
        <v/>
      </c>
      <c r="D43" s="27">
        <f>C43-MetasMensais!C40</f>
        <v/>
      </c>
      <c r="E43" s="28">
        <f>IFERROR(C43/MetasMensais!C40,0)</f>
        <v/>
      </c>
      <c r="F43" s="25">
        <f>IF(C43&gt;=MetasMensais!C40,"Atingida","Não atingida")</f>
        <v/>
      </c>
    </row>
    <row r="44">
      <c r="A44" s="21" t="inlineStr">
        <is>
          <t>L02</t>
        </is>
      </c>
      <c r="B44" s="32" t="n">
        <v>45748</v>
      </c>
      <c r="C44" s="23">
        <f>SUMIFS(Base_Analise!$U$2:$U$4546,Base_Analise!$K$2:$K$4546,A44,Base_Analise!$F$2:$F$4546,"&gt;="&amp;B44,Base_Analise!$F$2:$F$4546,"&lt;"&amp;EDATE(B44,1),Base_Analise!$I$2:$I$4546,"Entregue")</f>
        <v/>
      </c>
      <c r="D44" s="23">
        <f>C44-MetasMensais!C41</f>
        <v/>
      </c>
      <c r="E44" s="24">
        <f>IFERROR(C44/MetasMensais!C41,0)</f>
        <v/>
      </c>
      <c r="F44" s="21">
        <f>IF(C44&gt;=MetasMensais!C41,"Atingida","Não atingida")</f>
        <v/>
      </c>
    </row>
    <row r="45">
      <c r="A45" s="25" t="inlineStr">
        <is>
          <t>L02</t>
        </is>
      </c>
      <c r="B45" s="31" t="n">
        <v>45778</v>
      </c>
      <c r="C45" s="27">
        <f>SUMIFS(Base_Analise!$U$2:$U$4546,Base_Analise!$K$2:$K$4546,A45,Base_Analise!$F$2:$F$4546,"&gt;="&amp;B45,Base_Analise!$F$2:$F$4546,"&lt;"&amp;EDATE(B45,1),Base_Analise!$I$2:$I$4546,"Entregue")</f>
        <v/>
      </c>
      <c r="D45" s="27">
        <f>C45-MetasMensais!C42</f>
        <v/>
      </c>
      <c r="E45" s="28">
        <f>IFERROR(C45/MetasMensais!C42,0)</f>
        <v/>
      </c>
      <c r="F45" s="25">
        <f>IF(C45&gt;=MetasMensais!C42,"Atingida","Não atingida")</f>
        <v/>
      </c>
    </row>
    <row r="46">
      <c r="A46" s="21" t="inlineStr">
        <is>
          <t>L02</t>
        </is>
      </c>
      <c r="B46" s="32" t="n">
        <v>45809</v>
      </c>
      <c r="C46" s="23">
        <f>SUMIFS(Base_Analise!$U$2:$U$4546,Base_Analise!$K$2:$K$4546,A46,Base_Analise!$F$2:$F$4546,"&gt;="&amp;B46,Base_Analise!$F$2:$F$4546,"&lt;"&amp;EDATE(B46,1),Base_Analise!$I$2:$I$4546,"Entregue")</f>
        <v/>
      </c>
      <c r="D46" s="23">
        <f>C46-MetasMensais!C43</f>
        <v/>
      </c>
      <c r="E46" s="24">
        <f>IFERROR(C46/MetasMensais!C43,0)</f>
        <v/>
      </c>
      <c r="F46" s="21">
        <f>IF(C46&gt;=MetasMensais!C43,"Atingida","Não atingida")</f>
        <v/>
      </c>
    </row>
    <row r="47">
      <c r="A47" s="25" t="inlineStr">
        <is>
          <t>L02</t>
        </is>
      </c>
      <c r="B47" s="31" t="n">
        <v>45839</v>
      </c>
      <c r="C47" s="27">
        <f>SUMIFS(Base_Analise!$U$2:$U$4546,Base_Analise!$K$2:$K$4546,A47,Base_Analise!$F$2:$F$4546,"&gt;="&amp;B47,Base_Analise!$F$2:$F$4546,"&lt;"&amp;EDATE(B47,1),Base_Analise!$I$2:$I$4546,"Entregue")</f>
        <v/>
      </c>
      <c r="D47" s="27">
        <f>C47-MetasMensais!C44</f>
        <v/>
      </c>
      <c r="E47" s="28">
        <f>IFERROR(C47/MetasMensais!C44,0)</f>
        <v/>
      </c>
      <c r="F47" s="25">
        <f>IF(C47&gt;=MetasMensais!C44,"Atingida","Não atingida")</f>
        <v/>
      </c>
    </row>
    <row r="48">
      <c r="A48" s="21" t="inlineStr">
        <is>
          <t>L02</t>
        </is>
      </c>
      <c r="B48" s="32" t="n">
        <v>45870</v>
      </c>
      <c r="C48" s="23">
        <f>SUMIFS(Base_Analise!$U$2:$U$4546,Base_Analise!$K$2:$K$4546,A48,Base_Analise!$F$2:$F$4546,"&gt;="&amp;B48,Base_Analise!$F$2:$F$4546,"&lt;"&amp;EDATE(B48,1),Base_Analise!$I$2:$I$4546,"Entregue")</f>
        <v/>
      </c>
      <c r="D48" s="23">
        <f>C48-MetasMensais!C45</f>
        <v/>
      </c>
      <c r="E48" s="24">
        <f>IFERROR(C48/MetasMensais!C45,0)</f>
        <v/>
      </c>
      <c r="F48" s="21">
        <f>IF(C48&gt;=MetasMensais!C45,"Atingida","Não atingida")</f>
        <v/>
      </c>
    </row>
    <row r="49">
      <c r="A49" s="25" t="inlineStr">
        <is>
          <t>L02</t>
        </is>
      </c>
      <c r="B49" s="31" t="n">
        <v>45901</v>
      </c>
      <c r="C49" s="27">
        <f>SUMIFS(Base_Analise!$U$2:$U$4546,Base_Analise!$K$2:$K$4546,A49,Base_Analise!$F$2:$F$4546,"&gt;="&amp;B49,Base_Analise!$F$2:$F$4546,"&lt;"&amp;EDATE(B49,1),Base_Analise!$I$2:$I$4546,"Entregue")</f>
        <v/>
      </c>
      <c r="D49" s="27">
        <f>C49-MetasMensais!C46</f>
        <v/>
      </c>
      <c r="E49" s="28">
        <f>IFERROR(C49/MetasMensais!C46,0)</f>
        <v/>
      </c>
      <c r="F49" s="25">
        <f>IF(C49&gt;=MetasMensais!C46,"Atingida","Não atingida")</f>
        <v/>
      </c>
    </row>
    <row r="50">
      <c r="A50" s="21" t="inlineStr">
        <is>
          <t>L02</t>
        </is>
      </c>
      <c r="B50" s="32" t="n">
        <v>45931</v>
      </c>
      <c r="C50" s="23">
        <f>SUMIFS(Base_Analise!$U$2:$U$4546,Base_Analise!$K$2:$K$4546,A50,Base_Analise!$F$2:$F$4546,"&gt;="&amp;B50,Base_Analise!$F$2:$F$4546,"&lt;"&amp;EDATE(B50,1),Base_Analise!$I$2:$I$4546,"Entregue")</f>
        <v/>
      </c>
      <c r="D50" s="23">
        <f>C50-MetasMensais!C47</f>
        <v/>
      </c>
      <c r="E50" s="24">
        <f>IFERROR(C50/MetasMensais!C47,0)</f>
        <v/>
      </c>
      <c r="F50" s="21">
        <f>IF(C50&gt;=MetasMensais!C47,"Atingida","Não atingida")</f>
        <v/>
      </c>
    </row>
    <row r="51">
      <c r="A51" s="25" t="inlineStr">
        <is>
          <t>L02</t>
        </is>
      </c>
      <c r="B51" s="31" t="n">
        <v>45962</v>
      </c>
      <c r="C51" s="27">
        <f>SUMIFS(Base_Analise!$U$2:$U$4546,Base_Analise!$K$2:$K$4546,A51,Base_Analise!$F$2:$F$4546,"&gt;="&amp;B51,Base_Analise!$F$2:$F$4546,"&lt;"&amp;EDATE(B51,1),Base_Analise!$I$2:$I$4546,"Entregue")</f>
        <v/>
      </c>
      <c r="D51" s="27">
        <f>C51-MetasMensais!C48</f>
        <v/>
      </c>
      <c r="E51" s="28">
        <f>IFERROR(C51/MetasMensais!C48,0)</f>
        <v/>
      </c>
      <c r="F51" s="25">
        <f>IF(C51&gt;=MetasMensais!C48,"Atingida","Não atingida")</f>
        <v/>
      </c>
    </row>
    <row r="52">
      <c r="A52" s="21" t="inlineStr">
        <is>
          <t>L02</t>
        </is>
      </c>
      <c r="B52" s="32" t="n">
        <v>45992</v>
      </c>
      <c r="C52" s="23">
        <f>SUMIFS(Base_Analise!$U$2:$U$4546,Base_Analise!$K$2:$K$4546,A52,Base_Analise!$F$2:$F$4546,"&gt;="&amp;B52,Base_Analise!$F$2:$F$4546,"&lt;"&amp;EDATE(B52,1),Base_Analise!$I$2:$I$4546,"Entregue")</f>
        <v/>
      </c>
      <c r="D52" s="23">
        <f>C52-MetasMensais!C49</f>
        <v/>
      </c>
      <c r="E52" s="24">
        <f>IFERROR(C52/MetasMensais!C49,0)</f>
        <v/>
      </c>
      <c r="F52" s="21">
        <f>IF(C52&gt;=MetasMensais!C49,"Atingida","Não atingida")</f>
        <v/>
      </c>
    </row>
    <row r="53">
      <c r="A53" s="25" t="inlineStr">
        <is>
          <t>L03</t>
        </is>
      </c>
      <c r="B53" s="31" t="n">
        <v>45292</v>
      </c>
      <c r="C53" s="27">
        <f>SUMIFS(Base_Analise!$U$2:$U$4546,Base_Analise!$K$2:$K$4546,A53,Base_Analise!$F$2:$F$4546,"&gt;="&amp;B53,Base_Analise!$F$2:$F$4546,"&lt;"&amp;EDATE(B53,1),Base_Analise!$I$2:$I$4546,"Entregue")</f>
        <v/>
      </c>
      <c r="D53" s="27">
        <f>C53-MetasMensais!C50</f>
        <v/>
      </c>
      <c r="E53" s="28">
        <f>IFERROR(C53/MetasMensais!C50,0)</f>
        <v/>
      </c>
      <c r="F53" s="25">
        <f>IF(C53&gt;=MetasMensais!C50,"Atingida","Não atingida")</f>
        <v/>
      </c>
    </row>
    <row r="54">
      <c r="A54" s="21" t="inlineStr">
        <is>
          <t>L03</t>
        </is>
      </c>
      <c r="B54" s="32" t="n">
        <v>45323</v>
      </c>
      <c r="C54" s="23">
        <f>SUMIFS(Base_Analise!$U$2:$U$4546,Base_Analise!$K$2:$K$4546,A54,Base_Analise!$F$2:$F$4546,"&gt;="&amp;B54,Base_Analise!$F$2:$F$4546,"&lt;"&amp;EDATE(B54,1),Base_Analise!$I$2:$I$4546,"Entregue")</f>
        <v/>
      </c>
      <c r="D54" s="23">
        <f>C54-MetasMensais!C51</f>
        <v/>
      </c>
      <c r="E54" s="24">
        <f>IFERROR(C54/MetasMensais!C51,0)</f>
        <v/>
      </c>
      <c r="F54" s="21">
        <f>IF(C54&gt;=MetasMensais!C51,"Atingida","Não atingida")</f>
        <v/>
      </c>
    </row>
    <row r="55">
      <c r="A55" s="25" t="inlineStr">
        <is>
          <t>L03</t>
        </is>
      </c>
      <c r="B55" s="31" t="n">
        <v>45352</v>
      </c>
      <c r="C55" s="27">
        <f>SUMIFS(Base_Analise!$U$2:$U$4546,Base_Analise!$K$2:$K$4546,A55,Base_Analise!$F$2:$F$4546,"&gt;="&amp;B55,Base_Analise!$F$2:$F$4546,"&lt;"&amp;EDATE(B55,1),Base_Analise!$I$2:$I$4546,"Entregue")</f>
        <v/>
      </c>
      <c r="D55" s="27">
        <f>C55-MetasMensais!C52</f>
        <v/>
      </c>
      <c r="E55" s="28">
        <f>IFERROR(C55/MetasMensais!C52,0)</f>
        <v/>
      </c>
      <c r="F55" s="25">
        <f>IF(C55&gt;=MetasMensais!C52,"Atingida","Não atingida")</f>
        <v/>
      </c>
    </row>
    <row r="56">
      <c r="A56" s="21" t="inlineStr">
        <is>
          <t>L03</t>
        </is>
      </c>
      <c r="B56" s="32" t="n">
        <v>45383</v>
      </c>
      <c r="C56" s="23">
        <f>SUMIFS(Base_Analise!$U$2:$U$4546,Base_Analise!$K$2:$K$4546,A56,Base_Analise!$F$2:$F$4546,"&gt;="&amp;B56,Base_Analise!$F$2:$F$4546,"&lt;"&amp;EDATE(B56,1),Base_Analise!$I$2:$I$4546,"Entregue")</f>
        <v/>
      </c>
      <c r="D56" s="23">
        <f>C56-MetasMensais!C53</f>
        <v/>
      </c>
      <c r="E56" s="24">
        <f>IFERROR(C56/MetasMensais!C53,0)</f>
        <v/>
      </c>
      <c r="F56" s="21">
        <f>IF(C56&gt;=MetasMensais!C53,"Atingida","Não atingida")</f>
        <v/>
      </c>
    </row>
    <row r="57">
      <c r="A57" s="25" t="inlineStr">
        <is>
          <t>L03</t>
        </is>
      </c>
      <c r="B57" s="31" t="n">
        <v>45413</v>
      </c>
      <c r="C57" s="27">
        <f>SUMIFS(Base_Analise!$U$2:$U$4546,Base_Analise!$K$2:$K$4546,A57,Base_Analise!$F$2:$F$4546,"&gt;="&amp;B57,Base_Analise!$F$2:$F$4546,"&lt;"&amp;EDATE(B57,1),Base_Analise!$I$2:$I$4546,"Entregue")</f>
        <v/>
      </c>
      <c r="D57" s="27">
        <f>C57-MetasMensais!C54</f>
        <v/>
      </c>
      <c r="E57" s="28">
        <f>IFERROR(C57/MetasMensais!C54,0)</f>
        <v/>
      </c>
      <c r="F57" s="25">
        <f>IF(C57&gt;=MetasMensais!C54,"Atingida","Não atingida")</f>
        <v/>
      </c>
    </row>
    <row r="58">
      <c r="A58" s="21" t="inlineStr">
        <is>
          <t>L03</t>
        </is>
      </c>
      <c r="B58" s="32" t="n">
        <v>45444</v>
      </c>
      <c r="C58" s="23">
        <f>SUMIFS(Base_Analise!$U$2:$U$4546,Base_Analise!$K$2:$K$4546,A58,Base_Analise!$F$2:$F$4546,"&gt;="&amp;B58,Base_Analise!$F$2:$F$4546,"&lt;"&amp;EDATE(B58,1),Base_Analise!$I$2:$I$4546,"Entregue")</f>
        <v/>
      </c>
      <c r="D58" s="23">
        <f>C58-MetasMensais!C55</f>
        <v/>
      </c>
      <c r="E58" s="24">
        <f>IFERROR(C58/MetasMensais!C55,0)</f>
        <v/>
      </c>
      <c r="F58" s="21">
        <f>IF(C58&gt;=MetasMensais!C55,"Atingida","Não atingida")</f>
        <v/>
      </c>
    </row>
    <row r="59">
      <c r="A59" s="25" t="inlineStr">
        <is>
          <t>L03</t>
        </is>
      </c>
      <c r="B59" s="31" t="n">
        <v>45474</v>
      </c>
      <c r="C59" s="27">
        <f>SUMIFS(Base_Analise!$U$2:$U$4546,Base_Analise!$K$2:$K$4546,A59,Base_Analise!$F$2:$F$4546,"&gt;="&amp;B59,Base_Analise!$F$2:$F$4546,"&lt;"&amp;EDATE(B59,1),Base_Analise!$I$2:$I$4546,"Entregue")</f>
        <v/>
      </c>
      <c r="D59" s="27">
        <f>C59-MetasMensais!C56</f>
        <v/>
      </c>
      <c r="E59" s="28">
        <f>IFERROR(C59/MetasMensais!C56,0)</f>
        <v/>
      </c>
      <c r="F59" s="25">
        <f>IF(C59&gt;=MetasMensais!C56,"Atingida","Não atingida")</f>
        <v/>
      </c>
    </row>
    <row r="60">
      <c r="A60" s="21" t="inlineStr">
        <is>
          <t>L03</t>
        </is>
      </c>
      <c r="B60" s="32" t="n">
        <v>45505</v>
      </c>
      <c r="C60" s="23">
        <f>SUMIFS(Base_Analise!$U$2:$U$4546,Base_Analise!$K$2:$K$4546,A60,Base_Analise!$F$2:$F$4546,"&gt;="&amp;B60,Base_Analise!$F$2:$F$4546,"&lt;"&amp;EDATE(B60,1),Base_Analise!$I$2:$I$4546,"Entregue")</f>
        <v/>
      </c>
      <c r="D60" s="23">
        <f>C60-MetasMensais!C57</f>
        <v/>
      </c>
      <c r="E60" s="24">
        <f>IFERROR(C60/MetasMensais!C57,0)</f>
        <v/>
      </c>
      <c r="F60" s="21">
        <f>IF(C60&gt;=MetasMensais!C57,"Atingida","Não atingida")</f>
        <v/>
      </c>
    </row>
    <row r="61">
      <c r="A61" s="25" t="inlineStr">
        <is>
          <t>L03</t>
        </is>
      </c>
      <c r="B61" s="31" t="n">
        <v>45536</v>
      </c>
      <c r="C61" s="27">
        <f>SUMIFS(Base_Analise!$U$2:$U$4546,Base_Analise!$K$2:$K$4546,A61,Base_Analise!$F$2:$F$4546,"&gt;="&amp;B61,Base_Analise!$F$2:$F$4546,"&lt;"&amp;EDATE(B61,1),Base_Analise!$I$2:$I$4546,"Entregue")</f>
        <v/>
      </c>
      <c r="D61" s="27">
        <f>C61-MetasMensais!C58</f>
        <v/>
      </c>
      <c r="E61" s="28">
        <f>IFERROR(C61/MetasMensais!C58,0)</f>
        <v/>
      </c>
      <c r="F61" s="25">
        <f>IF(C61&gt;=MetasMensais!C58,"Atingida","Não atingida")</f>
        <v/>
      </c>
    </row>
    <row r="62">
      <c r="A62" s="21" t="inlineStr">
        <is>
          <t>L03</t>
        </is>
      </c>
      <c r="B62" s="32" t="n">
        <v>45566</v>
      </c>
      <c r="C62" s="23">
        <f>SUMIFS(Base_Analise!$U$2:$U$4546,Base_Analise!$K$2:$K$4546,A62,Base_Analise!$F$2:$F$4546,"&gt;="&amp;B62,Base_Analise!$F$2:$F$4546,"&lt;"&amp;EDATE(B62,1),Base_Analise!$I$2:$I$4546,"Entregue")</f>
        <v/>
      </c>
      <c r="D62" s="23">
        <f>C62-MetasMensais!C59</f>
        <v/>
      </c>
      <c r="E62" s="24">
        <f>IFERROR(C62/MetasMensais!C59,0)</f>
        <v/>
      </c>
      <c r="F62" s="21">
        <f>IF(C62&gt;=MetasMensais!C59,"Atingida","Não atingida")</f>
        <v/>
      </c>
    </row>
    <row r="63">
      <c r="A63" s="25" t="inlineStr">
        <is>
          <t>L03</t>
        </is>
      </c>
      <c r="B63" s="31" t="n">
        <v>45597</v>
      </c>
      <c r="C63" s="27">
        <f>SUMIFS(Base_Analise!$U$2:$U$4546,Base_Analise!$K$2:$K$4546,A63,Base_Analise!$F$2:$F$4546,"&gt;="&amp;B63,Base_Analise!$F$2:$F$4546,"&lt;"&amp;EDATE(B63,1),Base_Analise!$I$2:$I$4546,"Entregue")</f>
        <v/>
      </c>
      <c r="D63" s="27">
        <f>C63-MetasMensais!C60</f>
        <v/>
      </c>
      <c r="E63" s="28">
        <f>IFERROR(C63/MetasMensais!C60,0)</f>
        <v/>
      </c>
      <c r="F63" s="25">
        <f>IF(C63&gt;=MetasMensais!C60,"Atingida","Não atingida")</f>
        <v/>
      </c>
    </row>
    <row r="64">
      <c r="A64" s="21" t="inlineStr">
        <is>
          <t>L03</t>
        </is>
      </c>
      <c r="B64" s="32" t="n">
        <v>45627</v>
      </c>
      <c r="C64" s="23">
        <f>SUMIFS(Base_Analise!$U$2:$U$4546,Base_Analise!$K$2:$K$4546,A64,Base_Analise!$F$2:$F$4546,"&gt;="&amp;B64,Base_Analise!$F$2:$F$4546,"&lt;"&amp;EDATE(B64,1),Base_Analise!$I$2:$I$4546,"Entregue")</f>
        <v/>
      </c>
      <c r="D64" s="23">
        <f>C64-MetasMensais!C61</f>
        <v/>
      </c>
      <c r="E64" s="24">
        <f>IFERROR(C64/MetasMensais!C61,0)</f>
        <v/>
      </c>
      <c r="F64" s="21">
        <f>IF(C64&gt;=MetasMensais!C61,"Atingida","Não atingida")</f>
        <v/>
      </c>
    </row>
    <row r="65">
      <c r="A65" s="25" t="inlineStr">
        <is>
          <t>L03</t>
        </is>
      </c>
      <c r="B65" s="31" t="n">
        <v>45658</v>
      </c>
      <c r="C65" s="27">
        <f>SUMIFS(Base_Analise!$U$2:$U$4546,Base_Analise!$K$2:$K$4546,A65,Base_Analise!$F$2:$F$4546,"&gt;="&amp;B65,Base_Analise!$F$2:$F$4546,"&lt;"&amp;EDATE(B65,1),Base_Analise!$I$2:$I$4546,"Entregue")</f>
        <v/>
      </c>
      <c r="D65" s="27">
        <f>C65-MetasMensais!C62</f>
        <v/>
      </c>
      <c r="E65" s="28">
        <f>IFERROR(C65/MetasMensais!C62,0)</f>
        <v/>
      </c>
      <c r="F65" s="25">
        <f>IF(C65&gt;=MetasMensais!C62,"Atingida","Não atingida")</f>
        <v/>
      </c>
    </row>
    <row r="66">
      <c r="A66" s="21" t="inlineStr">
        <is>
          <t>L03</t>
        </is>
      </c>
      <c r="B66" s="32" t="n">
        <v>45689</v>
      </c>
      <c r="C66" s="23">
        <f>SUMIFS(Base_Analise!$U$2:$U$4546,Base_Analise!$K$2:$K$4546,A66,Base_Analise!$F$2:$F$4546,"&gt;="&amp;B66,Base_Analise!$F$2:$F$4546,"&lt;"&amp;EDATE(B66,1),Base_Analise!$I$2:$I$4546,"Entregue")</f>
        <v/>
      </c>
      <c r="D66" s="23">
        <f>C66-MetasMensais!C63</f>
        <v/>
      </c>
      <c r="E66" s="24">
        <f>IFERROR(C66/MetasMensais!C63,0)</f>
        <v/>
      </c>
      <c r="F66" s="21">
        <f>IF(C66&gt;=MetasMensais!C63,"Atingida","Não atingida")</f>
        <v/>
      </c>
    </row>
    <row r="67">
      <c r="A67" s="25" t="inlineStr">
        <is>
          <t>L03</t>
        </is>
      </c>
      <c r="B67" s="31" t="n">
        <v>45717</v>
      </c>
      <c r="C67" s="27">
        <f>SUMIFS(Base_Analise!$U$2:$U$4546,Base_Analise!$K$2:$K$4546,A67,Base_Analise!$F$2:$F$4546,"&gt;="&amp;B67,Base_Analise!$F$2:$F$4546,"&lt;"&amp;EDATE(B67,1),Base_Analise!$I$2:$I$4546,"Entregue")</f>
        <v/>
      </c>
      <c r="D67" s="27">
        <f>C67-MetasMensais!C64</f>
        <v/>
      </c>
      <c r="E67" s="28">
        <f>IFERROR(C67/MetasMensais!C64,0)</f>
        <v/>
      </c>
      <c r="F67" s="25">
        <f>IF(C67&gt;=MetasMensais!C64,"Atingida","Não atingida")</f>
        <v/>
      </c>
    </row>
    <row r="68">
      <c r="A68" s="21" t="inlineStr">
        <is>
          <t>L03</t>
        </is>
      </c>
      <c r="B68" s="32" t="n">
        <v>45748</v>
      </c>
      <c r="C68" s="23">
        <f>SUMIFS(Base_Analise!$U$2:$U$4546,Base_Analise!$K$2:$K$4546,A68,Base_Analise!$F$2:$F$4546,"&gt;="&amp;B68,Base_Analise!$F$2:$F$4546,"&lt;"&amp;EDATE(B68,1),Base_Analise!$I$2:$I$4546,"Entregue")</f>
        <v/>
      </c>
      <c r="D68" s="23">
        <f>C68-MetasMensais!C65</f>
        <v/>
      </c>
      <c r="E68" s="24">
        <f>IFERROR(C68/MetasMensais!C65,0)</f>
        <v/>
      </c>
      <c r="F68" s="21">
        <f>IF(C68&gt;=MetasMensais!C65,"Atingida","Não atingida")</f>
        <v/>
      </c>
    </row>
    <row r="69">
      <c r="A69" s="25" t="inlineStr">
        <is>
          <t>L03</t>
        </is>
      </c>
      <c r="B69" s="31" t="n">
        <v>45778</v>
      </c>
      <c r="C69" s="27">
        <f>SUMIFS(Base_Analise!$U$2:$U$4546,Base_Analise!$K$2:$K$4546,A69,Base_Analise!$F$2:$F$4546,"&gt;="&amp;B69,Base_Analise!$F$2:$F$4546,"&lt;"&amp;EDATE(B69,1),Base_Analise!$I$2:$I$4546,"Entregue")</f>
        <v/>
      </c>
      <c r="D69" s="27">
        <f>C69-MetasMensais!C66</f>
        <v/>
      </c>
      <c r="E69" s="28">
        <f>IFERROR(C69/MetasMensais!C66,0)</f>
        <v/>
      </c>
      <c r="F69" s="25">
        <f>IF(C69&gt;=MetasMensais!C66,"Atingida","Não atingida")</f>
        <v/>
      </c>
    </row>
    <row r="70">
      <c r="A70" s="21" t="inlineStr">
        <is>
          <t>L03</t>
        </is>
      </c>
      <c r="B70" s="32" t="n">
        <v>45809</v>
      </c>
      <c r="C70" s="23">
        <f>SUMIFS(Base_Analise!$U$2:$U$4546,Base_Analise!$K$2:$K$4546,A70,Base_Analise!$F$2:$F$4546,"&gt;="&amp;B70,Base_Analise!$F$2:$F$4546,"&lt;"&amp;EDATE(B70,1),Base_Analise!$I$2:$I$4546,"Entregue")</f>
        <v/>
      </c>
      <c r="D70" s="23">
        <f>C70-MetasMensais!C67</f>
        <v/>
      </c>
      <c r="E70" s="24">
        <f>IFERROR(C70/MetasMensais!C67,0)</f>
        <v/>
      </c>
      <c r="F70" s="21">
        <f>IF(C70&gt;=MetasMensais!C67,"Atingida","Não atingida")</f>
        <v/>
      </c>
    </row>
    <row r="71">
      <c r="A71" s="25" t="inlineStr">
        <is>
          <t>L03</t>
        </is>
      </c>
      <c r="B71" s="31" t="n">
        <v>45839</v>
      </c>
      <c r="C71" s="27">
        <f>SUMIFS(Base_Analise!$U$2:$U$4546,Base_Analise!$K$2:$K$4546,A71,Base_Analise!$F$2:$F$4546,"&gt;="&amp;B71,Base_Analise!$F$2:$F$4546,"&lt;"&amp;EDATE(B71,1),Base_Analise!$I$2:$I$4546,"Entregue")</f>
        <v/>
      </c>
      <c r="D71" s="27">
        <f>C71-MetasMensais!C68</f>
        <v/>
      </c>
      <c r="E71" s="28">
        <f>IFERROR(C71/MetasMensais!C68,0)</f>
        <v/>
      </c>
      <c r="F71" s="25">
        <f>IF(C71&gt;=MetasMensais!C68,"Atingida","Não atingida")</f>
        <v/>
      </c>
    </row>
    <row r="72">
      <c r="A72" s="21" t="inlineStr">
        <is>
          <t>L03</t>
        </is>
      </c>
      <c r="B72" s="32" t="n">
        <v>45870</v>
      </c>
      <c r="C72" s="23">
        <f>SUMIFS(Base_Analise!$U$2:$U$4546,Base_Analise!$K$2:$K$4546,A72,Base_Analise!$F$2:$F$4546,"&gt;="&amp;B72,Base_Analise!$F$2:$F$4546,"&lt;"&amp;EDATE(B72,1),Base_Analise!$I$2:$I$4546,"Entregue")</f>
        <v/>
      </c>
      <c r="D72" s="23">
        <f>C72-MetasMensais!C69</f>
        <v/>
      </c>
      <c r="E72" s="24">
        <f>IFERROR(C72/MetasMensais!C69,0)</f>
        <v/>
      </c>
      <c r="F72" s="21">
        <f>IF(C72&gt;=MetasMensais!C69,"Atingida","Não atingida")</f>
        <v/>
      </c>
    </row>
    <row r="73">
      <c r="A73" s="25" t="inlineStr">
        <is>
          <t>L03</t>
        </is>
      </c>
      <c r="B73" s="31" t="n">
        <v>45901</v>
      </c>
      <c r="C73" s="27">
        <f>SUMIFS(Base_Analise!$U$2:$U$4546,Base_Analise!$K$2:$K$4546,A73,Base_Analise!$F$2:$F$4546,"&gt;="&amp;B73,Base_Analise!$F$2:$F$4546,"&lt;"&amp;EDATE(B73,1),Base_Analise!$I$2:$I$4546,"Entregue")</f>
        <v/>
      </c>
      <c r="D73" s="27">
        <f>C73-MetasMensais!C70</f>
        <v/>
      </c>
      <c r="E73" s="28">
        <f>IFERROR(C73/MetasMensais!C70,0)</f>
        <v/>
      </c>
      <c r="F73" s="25">
        <f>IF(C73&gt;=MetasMensais!C70,"Atingida","Não atingida")</f>
        <v/>
      </c>
    </row>
    <row r="74">
      <c r="A74" s="21" t="inlineStr">
        <is>
          <t>L03</t>
        </is>
      </c>
      <c r="B74" s="32" t="n">
        <v>45931</v>
      </c>
      <c r="C74" s="23">
        <f>SUMIFS(Base_Analise!$U$2:$U$4546,Base_Analise!$K$2:$K$4546,A74,Base_Analise!$F$2:$F$4546,"&gt;="&amp;B74,Base_Analise!$F$2:$F$4546,"&lt;"&amp;EDATE(B74,1),Base_Analise!$I$2:$I$4546,"Entregue")</f>
        <v/>
      </c>
      <c r="D74" s="23">
        <f>C74-MetasMensais!C71</f>
        <v/>
      </c>
      <c r="E74" s="24">
        <f>IFERROR(C74/MetasMensais!C71,0)</f>
        <v/>
      </c>
      <c r="F74" s="21">
        <f>IF(C74&gt;=MetasMensais!C71,"Atingida","Não atingida")</f>
        <v/>
      </c>
    </row>
    <row r="75">
      <c r="A75" s="25" t="inlineStr">
        <is>
          <t>L03</t>
        </is>
      </c>
      <c r="B75" s="31" t="n">
        <v>45962</v>
      </c>
      <c r="C75" s="27">
        <f>SUMIFS(Base_Analise!$U$2:$U$4546,Base_Analise!$K$2:$K$4546,A75,Base_Analise!$F$2:$F$4546,"&gt;="&amp;B75,Base_Analise!$F$2:$F$4546,"&lt;"&amp;EDATE(B75,1),Base_Analise!$I$2:$I$4546,"Entregue")</f>
        <v/>
      </c>
      <c r="D75" s="27">
        <f>C75-MetasMensais!C72</f>
        <v/>
      </c>
      <c r="E75" s="28">
        <f>IFERROR(C75/MetasMensais!C72,0)</f>
        <v/>
      </c>
      <c r="F75" s="25">
        <f>IF(C75&gt;=MetasMensais!C72,"Atingida","Não atingida")</f>
        <v/>
      </c>
    </row>
    <row r="76">
      <c r="A76" s="21" t="inlineStr">
        <is>
          <t>L03</t>
        </is>
      </c>
      <c r="B76" s="32" t="n">
        <v>45992</v>
      </c>
      <c r="C76" s="23">
        <f>SUMIFS(Base_Analise!$U$2:$U$4546,Base_Analise!$K$2:$K$4546,A76,Base_Analise!$F$2:$F$4546,"&gt;="&amp;B76,Base_Analise!$F$2:$F$4546,"&lt;"&amp;EDATE(B76,1),Base_Analise!$I$2:$I$4546,"Entregue")</f>
        <v/>
      </c>
      <c r="D76" s="23">
        <f>C76-MetasMensais!C73</f>
        <v/>
      </c>
      <c r="E76" s="24">
        <f>IFERROR(C76/MetasMensais!C73,0)</f>
        <v/>
      </c>
      <c r="F76" s="21">
        <f>IF(C76&gt;=MetasMensais!C73,"Atingida","Não atingida")</f>
        <v/>
      </c>
    </row>
    <row r="77">
      <c r="A77" s="25" t="inlineStr">
        <is>
          <t>L04</t>
        </is>
      </c>
      <c r="B77" s="31" t="n">
        <v>45292</v>
      </c>
      <c r="C77" s="27">
        <f>SUMIFS(Base_Analise!$U$2:$U$4546,Base_Analise!$K$2:$K$4546,A77,Base_Analise!$F$2:$F$4546,"&gt;="&amp;B77,Base_Analise!$F$2:$F$4546,"&lt;"&amp;EDATE(B77,1),Base_Analise!$I$2:$I$4546,"Entregue")</f>
        <v/>
      </c>
      <c r="D77" s="27">
        <f>C77-MetasMensais!C74</f>
        <v/>
      </c>
      <c r="E77" s="28">
        <f>IFERROR(C77/MetasMensais!C74,0)</f>
        <v/>
      </c>
      <c r="F77" s="25">
        <f>IF(C77&gt;=MetasMensais!C74,"Atingida","Não atingida")</f>
        <v/>
      </c>
    </row>
    <row r="78">
      <c r="A78" s="21" t="inlineStr">
        <is>
          <t>L04</t>
        </is>
      </c>
      <c r="B78" s="32" t="n">
        <v>45323</v>
      </c>
      <c r="C78" s="23">
        <f>SUMIFS(Base_Analise!$U$2:$U$4546,Base_Analise!$K$2:$K$4546,A78,Base_Analise!$F$2:$F$4546,"&gt;="&amp;B78,Base_Analise!$F$2:$F$4546,"&lt;"&amp;EDATE(B78,1),Base_Analise!$I$2:$I$4546,"Entregue")</f>
        <v/>
      </c>
      <c r="D78" s="23">
        <f>C78-MetasMensais!C75</f>
        <v/>
      </c>
      <c r="E78" s="24">
        <f>IFERROR(C78/MetasMensais!C75,0)</f>
        <v/>
      </c>
      <c r="F78" s="21">
        <f>IF(C78&gt;=MetasMensais!C75,"Atingida","Não atingida")</f>
        <v/>
      </c>
    </row>
    <row r="79">
      <c r="A79" s="25" t="inlineStr">
        <is>
          <t>L04</t>
        </is>
      </c>
      <c r="B79" s="31" t="n">
        <v>45352</v>
      </c>
      <c r="C79" s="27">
        <f>SUMIFS(Base_Analise!$U$2:$U$4546,Base_Analise!$K$2:$K$4546,A79,Base_Analise!$F$2:$F$4546,"&gt;="&amp;B79,Base_Analise!$F$2:$F$4546,"&lt;"&amp;EDATE(B79,1),Base_Analise!$I$2:$I$4546,"Entregue")</f>
        <v/>
      </c>
      <c r="D79" s="27">
        <f>C79-MetasMensais!C76</f>
        <v/>
      </c>
      <c r="E79" s="28">
        <f>IFERROR(C79/MetasMensais!C76,0)</f>
        <v/>
      </c>
      <c r="F79" s="25">
        <f>IF(C79&gt;=MetasMensais!C76,"Atingida","Não atingida")</f>
        <v/>
      </c>
    </row>
    <row r="80">
      <c r="A80" s="21" t="inlineStr">
        <is>
          <t>L04</t>
        </is>
      </c>
      <c r="B80" s="32" t="n">
        <v>45383</v>
      </c>
      <c r="C80" s="23">
        <f>SUMIFS(Base_Analise!$U$2:$U$4546,Base_Analise!$K$2:$K$4546,A80,Base_Analise!$F$2:$F$4546,"&gt;="&amp;B80,Base_Analise!$F$2:$F$4546,"&lt;"&amp;EDATE(B80,1),Base_Analise!$I$2:$I$4546,"Entregue")</f>
        <v/>
      </c>
      <c r="D80" s="23">
        <f>C80-MetasMensais!C77</f>
        <v/>
      </c>
      <c r="E80" s="24">
        <f>IFERROR(C80/MetasMensais!C77,0)</f>
        <v/>
      </c>
      <c r="F80" s="21">
        <f>IF(C80&gt;=MetasMensais!C77,"Atingida","Não atingida")</f>
        <v/>
      </c>
    </row>
    <row r="81">
      <c r="A81" s="25" t="inlineStr">
        <is>
          <t>L04</t>
        </is>
      </c>
      <c r="B81" s="31" t="n">
        <v>45413</v>
      </c>
      <c r="C81" s="27">
        <f>SUMIFS(Base_Analise!$U$2:$U$4546,Base_Analise!$K$2:$K$4546,A81,Base_Analise!$F$2:$F$4546,"&gt;="&amp;B81,Base_Analise!$F$2:$F$4546,"&lt;"&amp;EDATE(B81,1),Base_Analise!$I$2:$I$4546,"Entregue")</f>
        <v/>
      </c>
      <c r="D81" s="27">
        <f>C81-MetasMensais!C78</f>
        <v/>
      </c>
      <c r="E81" s="28">
        <f>IFERROR(C81/MetasMensais!C78,0)</f>
        <v/>
      </c>
      <c r="F81" s="25">
        <f>IF(C81&gt;=MetasMensais!C78,"Atingida","Não atingida")</f>
        <v/>
      </c>
    </row>
    <row r="82">
      <c r="A82" s="21" t="inlineStr">
        <is>
          <t>L04</t>
        </is>
      </c>
      <c r="B82" s="32" t="n">
        <v>45444</v>
      </c>
      <c r="C82" s="23">
        <f>SUMIFS(Base_Analise!$U$2:$U$4546,Base_Analise!$K$2:$K$4546,A82,Base_Analise!$F$2:$F$4546,"&gt;="&amp;B82,Base_Analise!$F$2:$F$4546,"&lt;"&amp;EDATE(B82,1),Base_Analise!$I$2:$I$4546,"Entregue")</f>
        <v/>
      </c>
      <c r="D82" s="23">
        <f>C82-MetasMensais!C79</f>
        <v/>
      </c>
      <c r="E82" s="24">
        <f>IFERROR(C82/MetasMensais!C79,0)</f>
        <v/>
      </c>
      <c r="F82" s="21">
        <f>IF(C82&gt;=MetasMensais!C79,"Atingida","Não atingida")</f>
        <v/>
      </c>
    </row>
    <row r="83">
      <c r="A83" s="25" t="inlineStr">
        <is>
          <t>L04</t>
        </is>
      </c>
      <c r="B83" s="31" t="n">
        <v>45474</v>
      </c>
      <c r="C83" s="27">
        <f>SUMIFS(Base_Analise!$U$2:$U$4546,Base_Analise!$K$2:$K$4546,A83,Base_Analise!$F$2:$F$4546,"&gt;="&amp;B83,Base_Analise!$F$2:$F$4546,"&lt;"&amp;EDATE(B83,1),Base_Analise!$I$2:$I$4546,"Entregue")</f>
        <v/>
      </c>
      <c r="D83" s="27">
        <f>C83-MetasMensais!C80</f>
        <v/>
      </c>
      <c r="E83" s="28">
        <f>IFERROR(C83/MetasMensais!C80,0)</f>
        <v/>
      </c>
      <c r="F83" s="25">
        <f>IF(C83&gt;=MetasMensais!C80,"Atingida","Não atingida")</f>
        <v/>
      </c>
    </row>
    <row r="84">
      <c r="A84" s="21" t="inlineStr">
        <is>
          <t>L04</t>
        </is>
      </c>
      <c r="B84" s="32" t="n">
        <v>45505</v>
      </c>
      <c r="C84" s="23">
        <f>SUMIFS(Base_Analise!$U$2:$U$4546,Base_Analise!$K$2:$K$4546,A84,Base_Analise!$F$2:$F$4546,"&gt;="&amp;B84,Base_Analise!$F$2:$F$4546,"&lt;"&amp;EDATE(B84,1),Base_Analise!$I$2:$I$4546,"Entregue")</f>
        <v/>
      </c>
      <c r="D84" s="23">
        <f>C84-MetasMensais!C81</f>
        <v/>
      </c>
      <c r="E84" s="24">
        <f>IFERROR(C84/MetasMensais!C81,0)</f>
        <v/>
      </c>
      <c r="F84" s="21">
        <f>IF(C84&gt;=MetasMensais!C81,"Atingida","Não atingida")</f>
        <v/>
      </c>
    </row>
    <row r="85">
      <c r="A85" s="25" t="inlineStr">
        <is>
          <t>L04</t>
        </is>
      </c>
      <c r="B85" s="31" t="n">
        <v>45536</v>
      </c>
      <c r="C85" s="27">
        <f>SUMIFS(Base_Analise!$U$2:$U$4546,Base_Analise!$K$2:$K$4546,A85,Base_Analise!$F$2:$F$4546,"&gt;="&amp;B85,Base_Analise!$F$2:$F$4546,"&lt;"&amp;EDATE(B85,1),Base_Analise!$I$2:$I$4546,"Entregue")</f>
        <v/>
      </c>
      <c r="D85" s="27">
        <f>C85-MetasMensais!C82</f>
        <v/>
      </c>
      <c r="E85" s="28">
        <f>IFERROR(C85/MetasMensais!C82,0)</f>
        <v/>
      </c>
      <c r="F85" s="25">
        <f>IF(C85&gt;=MetasMensais!C82,"Atingida","Não atingida")</f>
        <v/>
      </c>
    </row>
    <row r="86">
      <c r="A86" s="21" t="inlineStr">
        <is>
          <t>L04</t>
        </is>
      </c>
      <c r="B86" s="32" t="n">
        <v>45566</v>
      </c>
      <c r="C86" s="23">
        <f>SUMIFS(Base_Analise!$U$2:$U$4546,Base_Analise!$K$2:$K$4546,A86,Base_Analise!$F$2:$F$4546,"&gt;="&amp;B86,Base_Analise!$F$2:$F$4546,"&lt;"&amp;EDATE(B86,1),Base_Analise!$I$2:$I$4546,"Entregue")</f>
        <v/>
      </c>
      <c r="D86" s="23">
        <f>C86-MetasMensais!C83</f>
        <v/>
      </c>
      <c r="E86" s="24">
        <f>IFERROR(C86/MetasMensais!C83,0)</f>
        <v/>
      </c>
      <c r="F86" s="21">
        <f>IF(C86&gt;=MetasMensais!C83,"Atingida","Não atingida")</f>
        <v/>
      </c>
    </row>
    <row r="87">
      <c r="A87" s="25" t="inlineStr">
        <is>
          <t>L04</t>
        </is>
      </c>
      <c r="B87" s="31" t="n">
        <v>45597</v>
      </c>
      <c r="C87" s="27">
        <f>SUMIFS(Base_Analise!$U$2:$U$4546,Base_Analise!$K$2:$K$4546,A87,Base_Analise!$F$2:$F$4546,"&gt;="&amp;B87,Base_Analise!$F$2:$F$4546,"&lt;"&amp;EDATE(B87,1),Base_Analise!$I$2:$I$4546,"Entregue")</f>
        <v/>
      </c>
      <c r="D87" s="27">
        <f>C87-MetasMensais!C84</f>
        <v/>
      </c>
      <c r="E87" s="28">
        <f>IFERROR(C87/MetasMensais!C84,0)</f>
        <v/>
      </c>
      <c r="F87" s="25">
        <f>IF(C87&gt;=MetasMensais!C84,"Atingida","Não atingida")</f>
        <v/>
      </c>
    </row>
    <row r="88">
      <c r="A88" s="21" t="inlineStr">
        <is>
          <t>L04</t>
        </is>
      </c>
      <c r="B88" s="32" t="n">
        <v>45627</v>
      </c>
      <c r="C88" s="23">
        <f>SUMIFS(Base_Analise!$U$2:$U$4546,Base_Analise!$K$2:$K$4546,A88,Base_Analise!$F$2:$F$4546,"&gt;="&amp;B88,Base_Analise!$F$2:$F$4546,"&lt;"&amp;EDATE(B88,1),Base_Analise!$I$2:$I$4546,"Entregue")</f>
        <v/>
      </c>
      <c r="D88" s="23">
        <f>C88-MetasMensais!C85</f>
        <v/>
      </c>
      <c r="E88" s="24">
        <f>IFERROR(C88/MetasMensais!C85,0)</f>
        <v/>
      </c>
      <c r="F88" s="21">
        <f>IF(C88&gt;=MetasMensais!C85,"Atingida","Não atingida")</f>
        <v/>
      </c>
    </row>
    <row r="89">
      <c r="A89" s="25" t="inlineStr">
        <is>
          <t>L04</t>
        </is>
      </c>
      <c r="B89" s="31" t="n">
        <v>45658</v>
      </c>
      <c r="C89" s="27">
        <f>SUMIFS(Base_Analise!$U$2:$U$4546,Base_Analise!$K$2:$K$4546,A89,Base_Analise!$F$2:$F$4546,"&gt;="&amp;B89,Base_Analise!$F$2:$F$4546,"&lt;"&amp;EDATE(B89,1),Base_Analise!$I$2:$I$4546,"Entregue")</f>
        <v/>
      </c>
      <c r="D89" s="27">
        <f>C89-MetasMensais!C86</f>
        <v/>
      </c>
      <c r="E89" s="28">
        <f>IFERROR(C89/MetasMensais!C86,0)</f>
        <v/>
      </c>
      <c r="F89" s="25">
        <f>IF(C89&gt;=MetasMensais!C86,"Atingida","Não atingida")</f>
        <v/>
      </c>
    </row>
    <row r="90">
      <c r="A90" s="21" t="inlineStr">
        <is>
          <t>L04</t>
        </is>
      </c>
      <c r="B90" s="32" t="n">
        <v>45689</v>
      </c>
      <c r="C90" s="23">
        <f>SUMIFS(Base_Analise!$U$2:$U$4546,Base_Analise!$K$2:$K$4546,A90,Base_Analise!$F$2:$F$4546,"&gt;="&amp;B90,Base_Analise!$F$2:$F$4546,"&lt;"&amp;EDATE(B90,1),Base_Analise!$I$2:$I$4546,"Entregue")</f>
        <v/>
      </c>
      <c r="D90" s="23">
        <f>C90-MetasMensais!C87</f>
        <v/>
      </c>
      <c r="E90" s="24">
        <f>IFERROR(C90/MetasMensais!C87,0)</f>
        <v/>
      </c>
      <c r="F90" s="21">
        <f>IF(C90&gt;=MetasMensais!C87,"Atingida","Não atingida")</f>
        <v/>
      </c>
    </row>
    <row r="91">
      <c r="A91" s="25" t="inlineStr">
        <is>
          <t>L04</t>
        </is>
      </c>
      <c r="B91" s="31" t="n">
        <v>45717</v>
      </c>
      <c r="C91" s="27">
        <f>SUMIFS(Base_Analise!$U$2:$U$4546,Base_Analise!$K$2:$K$4546,A91,Base_Analise!$F$2:$F$4546,"&gt;="&amp;B91,Base_Analise!$F$2:$F$4546,"&lt;"&amp;EDATE(B91,1),Base_Analise!$I$2:$I$4546,"Entregue")</f>
        <v/>
      </c>
      <c r="D91" s="27">
        <f>C91-MetasMensais!C88</f>
        <v/>
      </c>
      <c r="E91" s="28">
        <f>IFERROR(C91/MetasMensais!C88,0)</f>
        <v/>
      </c>
      <c r="F91" s="25">
        <f>IF(C91&gt;=MetasMensais!C88,"Atingida","Não atingida")</f>
        <v/>
      </c>
    </row>
    <row r="92">
      <c r="A92" s="21" t="inlineStr">
        <is>
          <t>L04</t>
        </is>
      </c>
      <c r="B92" s="32" t="n">
        <v>45748</v>
      </c>
      <c r="C92" s="23">
        <f>SUMIFS(Base_Analise!$U$2:$U$4546,Base_Analise!$K$2:$K$4546,A92,Base_Analise!$F$2:$F$4546,"&gt;="&amp;B92,Base_Analise!$F$2:$F$4546,"&lt;"&amp;EDATE(B92,1),Base_Analise!$I$2:$I$4546,"Entregue")</f>
        <v/>
      </c>
      <c r="D92" s="23">
        <f>C92-MetasMensais!C89</f>
        <v/>
      </c>
      <c r="E92" s="24">
        <f>IFERROR(C92/MetasMensais!C89,0)</f>
        <v/>
      </c>
      <c r="F92" s="21">
        <f>IF(C92&gt;=MetasMensais!C89,"Atingida","Não atingida")</f>
        <v/>
      </c>
    </row>
    <row r="93">
      <c r="A93" s="25" t="inlineStr">
        <is>
          <t>L04</t>
        </is>
      </c>
      <c r="B93" s="31" t="n">
        <v>45778</v>
      </c>
      <c r="C93" s="27">
        <f>SUMIFS(Base_Analise!$U$2:$U$4546,Base_Analise!$K$2:$K$4546,A93,Base_Analise!$F$2:$F$4546,"&gt;="&amp;B93,Base_Analise!$F$2:$F$4546,"&lt;"&amp;EDATE(B93,1),Base_Analise!$I$2:$I$4546,"Entregue")</f>
        <v/>
      </c>
      <c r="D93" s="27">
        <f>C93-MetasMensais!C90</f>
        <v/>
      </c>
      <c r="E93" s="28">
        <f>IFERROR(C93/MetasMensais!C90,0)</f>
        <v/>
      </c>
      <c r="F93" s="25">
        <f>IF(C93&gt;=MetasMensais!C90,"Atingida","Não atingida")</f>
        <v/>
      </c>
    </row>
    <row r="94">
      <c r="A94" s="21" t="inlineStr">
        <is>
          <t>L04</t>
        </is>
      </c>
      <c r="B94" s="32" t="n">
        <v>45809</v>
      </c>
      <c r="C94" s="23">
        <f>SUMIFS(Base_Analise!$U$2:$U$4546,Base_Analise!$K$2:$K$4546,A94,Base_Analise!$F$2:$F$4546,"&gt;="&amp;B94,Base_Analise!$F$2:$F$4546,"&lt;"&amp;EDATE(B94,1),Base_Analise!$I$2:$I$4546,"Entregue")</f>
        <v/>
      </c>
      <c r="D94" s="23">
        <f>C94-MetasMensais!C91</f>
        <v/>
      </c>
      <c r="E94" s="24">
        <f>IFERROR(C94/MetasMensais!C91,0)</f>
        <v/>
      </c>
      <c r="F94" s="21">
        <f>IF(C94&gt;=MetasMensais!C91,"Atingida","Não atingida")</f>
        <v/>
      </c>
    </row>
    <row r="95">
      <c r="A95" s="25" t="inlineStr">
        <is>
          <t>L04</t>
        </is>
      </c>
      <c r="B95" s="31" t="n">
        <v>45839</v>
      </c>
      <c r="C95" s="27">
        <f>SUMIFS(Base_Analise!$U$2:$U$4546,Base_Analise!$K$2:$K$4546,A95,Base_Analise!$F$2:$F$4546,"&gt;="&amp;B95,Base_Analise!$F$2:$F$4546,"&lt;"&amp;EDATE(B95,1),Base_Analise!$I$2:$I$4546,"Entregue")</f>
        <v/>
      </c>
      <c r="D95" s="27">
        <f>C95-MetasMensais!C92</f>
        <v/>
      </c>
      <c r="E95" s="28">
        <f>IFERROR(C95/MetasMensais!C92,0)</f>
        <v/>
      </c>
      <c r="F95" s="25">
        <f>IF(C95&gt;=MetasMensais!C92,"Atingida","Não atingida")</f>
        <v/>
      </c>
    </row>
    <row r="96">
      <c r="A96" s="21" t="inlineStr">
        <is>
          <t>L04</t>
        </is>
      </c>
      <c r="B96" s="32" t="n">
        <v>45870</v>
      </c>
      <c r="C96" s="23">
        <f>SUMIFS(Base_Analise!$U$2:$U$4546,Base_Analise!$K$2:$K$4546,A96,Base_Analise!$F$2:$F$4546,"&gt;="&amp;B96,Base_Analise!$F$2:$F$4546,"&lt;"&amp;EDATE(B96,1),Base_Analise!$I$2:$I$4546,"Entregue")</f>
        <v/>
      </c>
      <c r="D96" s="23">
        <f>C96-MetasMensais!C93</f>
        <v/>
      </c>
      <c r="E96" s="24">
        <f>IFERROR(C96/MetasMensais!C93,0)</f>
        <v/>
      </c>
      <c r="F96" s="21">
        <f>IF(C96&gt;=MetasMensais!C93,"Atingida","Não atingida")</f>
        <v/>
      </c>
    </row>
    <row r="97">
      <c r="A97" s="25" t="inlineStr">
        <is>
          <t>L04</t>
        </is>
      </c>
      <c r="B97" s="31" t="n">
        <v>45901</v>
      </c>
      <c r="C97" s="27">
        <f>SUMIFS(Base_Analise!$U$2:$U$4546,Base_Analise!$K$2:$K$4546,A97,Base_Analise!$F$2:$F$4546,"&gt;="&amp;B97,Base_Analise!$F$2:$F$4546,"&lt;"&amp;EDATE(B97,1),Base_Analise!$I$2:$I$4546,"Entregue")</f>
        <v/>
      </c>
      <c r="D97" s="27">
        <f>C97-MetasMensais!C94</f>
        <v/>
      </c>
      <c r="E97" s="28">
        <f>IFERROR(C97/MetasMensais!C94,0)</f>
        <v/>
      </c>
      <c r="F97" s="25">
        <f>IF(C97&gt;=MetasMensais!C94,"Atingida","Não atingida")</f>
        <v/>
      </c>
    </row>
    <row r="98">
      <c r="A98" s="21" t="inlineStr">
        <is>
          <t>L04</t>
        </is>
      </c>
      <c r="B98" s="32" t="n">
        <v>45931</v>
      </c>
      <c r="C98" s="23">
        <f>SUMIFS(Base_Analise!$U$2:$U$4546,Base_Analise!$K$2:$K$4546,A98,Base_Analise!$F$2:$F$4546,"&gt;="&amp;B98,Base_Analise!$F$2:$F$4546,"&lt;"&amp;EDATE(B98,1),Base_Analise!$I$2:$I$4546,"Entregue")</f>
        <v/>
      </c>
      <c r="D98" s="23">
        <f>C98-MetasMensais!C95</f>
        <v/>
      </c>
      <c r="E98" s="24">
        <f>IFERROR(C98/MetasMensais!C95,0)</f>
        <v/>
      </c>
      <c r="F98" s="21">
        <f>IF(C98&gt;=MetasMensais!C95,"Atingida","Não atingida")</f>
        <v/>
      </c>
    </row>
    <row r="99">
      <c r="A99" s="25" t="inlineStr">
        <is>
          <t>L04</t>
        </is>
      </c>
      <c r="B99" s="31" t="n">
        <v>45962</v>
      </c>
      <c r="C99" s="27">
        <f>SUMIFS(Base_Analise!$U$2:$U$4546,Base_Analise!$K$2:$K$4546,A99,Base_Analise!$F$2:$F$4546,"&gt;="&amp;B99,Base_Analise!$F$2:$F$4546,"&lt;"&amp;EDATE(B99,1),Base_Analise!$I$2:$I$4546,"Entregue")</f>
        <v/>
      </c>
      <c r="D99" s="27">
        <f>C99-MetasMensais!C96</f>
        <v/>
      </c>
      <c r="E99" s="28">
        <f>IFERROR(C99/MetasMensais!C96,0)</f>
        <v/>
      </c>
      <c r="F99" s="25">
        <f>IF(C99&gt;=MetasMensais!C96,"Atingida","Não atingida")</f>
        <v/>
      </c>
    </row>
    <row r="100">
      <c r="A100" s="21" t="inlineStr">
        <is>
          <t>L04</t>
        </is>
      </c>
      <c r="B100" s="32" t="n">
        <v>45992</v>
      </c>
      <c r="C100" s="23">
        <f>SUMIFS(Base_Analise!$U$2:$U$4546,Base_Analise!$K$2:$K$4546,A100,Base_Analise!$F$2:$F$4546,"&gt;="&amp;B100,Base_Analise!$F$2:$F$4546,"&lt;"&amp;EDATE(B100,1),Base_Analise!$I$2:$I$4546,"Entregue")</f>
        <v/>
      </c>
      <c r="D100" s="23">
        <f>C100-MetasMensais!C97</f>
        <v/>
      </c>
      <c r="E100" s="24">
        <f>IFERROR(C100/MetasMensais!C97,0)</f>
        <v/>
      </c>
      <c r="F100" s="21">
        <f>IF(C100&gt;=MetasMensais!C97,"Atingida","Não atingida")</f>
        <v/>
      </c>
    </row>
    <row r="101">
      <c r="A101" s="25" t="inlineStr">
        <is>
          <t>L05</t>
        </is>
      </c>
      <c r="B101" s="31" t="n">
        <v>45292</v>
      </c>
      <c r="C101" s="27">
        <f>SUMIFS(Base_Analise!$U$2:$U$4546,Base_Analise!$K$2:$K$4546,A101,Base_Analise!$F$2:$F$4546,"&gt;="&amp;B101,Base_Analise!$F$2:$F$4546,"&lt;"&amp;EDATE(B101,1),Base_Analise!$I$2:$I$4546,"Entregue")</f>
        <v/>
      </c>
      <c r="D101" s="27">
        <f>C101-MetasMensais!C98</f>
        <v/>
      </c>
      <c r="E101" s="28">
        <f>IFERROR(C101/MetasMensais!C98,0)</f>
        <v/>
      </c>
      <c r="F101" s="25">
        <f>IF(C101&gt;=MetasMensais!C98,"Atingida","Não atingida")</f>
        <v/>
      </c>
    </row>
    <row r="102">
      <c r="A102" s="21" t="inlineStr">
        <is>
          <t>L05</t>
        </is>
      </c>
      <c r="B102" s="32" t="n">
        <v>45323</v>
      </c>
      <c r="C102" s="23">
        <f>SUMIFS(Base_Analise!$U$2:$U$4546,Base_Analise!$K$2:$K$4546,A102,Base_Analise!$F$2:$F$4546,"&gt;="&amp;B102,Base_Analise!$F$2:$F$4546,"&lt;"&amp;EDATE(B102,1),Base_Analise!$I$2:$I$4546,"Entregue")</f>
        <v/>
      </c>
      <c r="D102" s="23">
        <f>C102-MetasMensais!C99</f>
        <v/>
      </c>
      <c r="E102" s="24">
        <f>IFERROR(C102/MetasMensais!C99,0)</f>
        <v/>
      </c>
      <c r="F102" s="21">
        <f>IF(C102&gt;=MetasMensais!C99,"Atingida","Não atingida")</f>
        <v/>
      </c>
    </row>
    <row r="103">
      <c r="A103" s="25" t="inlineStr">
        <is>
          <t>L05</t>
        </is>
      </c>
      <c r="B103" s="31" t="n">
        <v>45352</v>
      </c>
      <c r="C103" s="27">
        <f>SUMIFS(Base_Analise!$U$2:$U$4546,Base_Analise!$K$2:$K$4546,A103,Base_Analise!$F$2:$F$4546,"&gt;="&amp;B103,Base_Analise!$F$2:$F$4546,"&lt;"&amp;EDATE(B103,1),Base_Analise!$I$2:$I$4546,"Entregue")</f>
        <v/>
      </c>
      <c r="D103" s="27">
        <f>C103-MetasMensais!C100</f>
        <v/>
      </c>
      <c r="E103" s="28">
        <f>IFERROR(C103/MetasMensais!C100,0)</f>
        <v/>
      </c>
      <c r="F103" s="25">
        <f>IF(C103&gt;=MetasMensais!C100,"Atingida","Não atingida")</f>
        <v/>
      </c>
    </row>
    <row r="104">
      <c r="A104" s="21" t="inlineStr">
        <is>
          <t>L05</t>
        </is>
      </c>
      <c r="B104" s="32" t="n">
        <v>45383</v>
      </c>
      <c r="C104" s="23">
        <f>SUMIFS(Base_Analise!$U$2:$U$4546,Base_Analise!$K$2:$K$4546,A104,Base_Analise!$F$2:$F$4546,"&gt;="&amp;B104,Base_Analise!$F$2:$F$4546,"&lt;"&amp;EDATE(B104,1),Base_Analise!$I$2:$I$4546,"Entregue")</f>
        <v/>
      </c>
      <c r="D104" s="23">
        <f>C104-MetasMensais!C101</f>
        <v/>
      </c>
      <c r="E104" s="24">
        <f>IFERROR(C104/MetasMensais!C101,0)</f>
        <v/>
      </c>
      <c r="F104" s="21">
        <f>IF(C104&gt;=MetasMensais!C101,"Atingida","Não atingida")</f>
        <v/>
      </c>
    </row>
    <row r="105">
      <c r="A105" s="25" t="inlineStr">
        <is>
          <t>L05</t>
        </is>
      </c>
      <c r="B105" s="31" t="n">
        <v>45413</v>
      </c>
      <c r="C105" s="27">
        <f>SUMIFS(Base_Analise!$U$2:$U$4546,Base_Analise!$K$2:$K$4546,A105,Base_Analise!$F$2:$F$4546,"&gt;="&amp;B105,Base_Analise!$F$2:$F$4546,"&lt;"&amp;EDATE(B105,1),Base_Analise!$I$2:$I$4546,"Entregue")</f>
        <v/>
      </c>
      <c r="D105" s="27">
        <f>C105-MetasMensais!C102</f>
        <v/>
      </c>
      <c r="E105" s="28">
        <f>IFERROR(C105/MetasMensais!C102,0)</f>
        <v/>
      </c>
      <c r="F105" s="25">
        <f>IF(C105&gt;=MetasMensais!C102,"Atingida","Não atingida")</f>
        <v/>
      </c>
    </row>
    <row r="106">
      <c r="A106" s="21" t="inlineStr">
        <is>
          <t>L05</t>
        </is>
      </c>
      <c r="B106" s="32" t="n">
        <v>45444</v>
      </c>
      <c r="C106" s="23">
        <f>SUMIFS(Base_Analise!$U$2:$U$4546,Base_Analise!$K$2:$K$4546,A106,Base_Analise!$F$2:$F$4546,"&gt;="&amp;B106,Base_Analise!$F$2:$F$4546,"&lt;"&amp;EDATE(B106,1),Base_Analise!$I$2:$I$4546,"Entregue")</f>
        <v/>
      </c>
      <c r="D106" s="23">
        <f>C106-MetasMensais!C103</f>
        <v/>
      </c>
      <c r="E106" s="24">
        <f>IFERROR(C106/MetasMensais!C103,0)</f>
        <v/>
      </c>
      <c r="F106" s="21">
        <f>IF(C106&gt;=MetasMensais!C103,"Atingida","Não atingida")</f>
        <v/>
      </c>
    </row>
    <row r="107">
      <c r="A107" s="25" t="inlineStr">
        <is>
          <t>L05</t>
        </is>
      </c>
      <c r="B107" s="31" t="n">
        <v>45474</v>
      </c>
      <c r="C107" s="27">
        <f>SUMIFS(Base_Analise!$U$2:$U$4546,Base_Analise!$K$2:$K$4546,A107,Base_Analise!$F$2:$F$4546,"&gt;="&amp;B107,Base_Analise!$F$2:$F$4546,"&lt;"&amp;EDATE(B107,1),Base_Analise!$I$2:$I$4546,"Entregue")</f>
        <v/>
      </c>
      <c r="D107" s="27">
        <f>C107-MetasMensais!C104</f>
        <v/>
      </c>
      <c r="E107" s="28">
        <f>IFERROR(C107/MetasMensais!C104,0)</f>
        <v/>
      </c>
      <c r="F107" s="25">
        <f>IF(C107&gt;=MetasMensais!C104,"Atingida","Não atingida")</f>
        <v/>
      </c>
    </row>
    <row r="108">
      <c r="A108" s="21" t="inlineStr">
        <is>
          <t>L05</t>
        </is>
      </c>
      <c r="B108" s="32" t="n">
        <v>45505</v>
      </c>
      <c r="C108" s="23">
        <f>SUMIFS(Base_Analise!$U$2:$U$4546,Base_Analise!$K$2:$K$4546,A108,Base_Analise!$F$2:$F$4546,"&gt;="&amp;B108,Base_Analise!$F$2:$F$4546,"&lt;"&amp;EDATE(B108,1),Base_Analise!$I$2:$I$4546,"Entregue")</f>
        <v/>
      </c>
      <c r="D108" s="23">
        <f>C108-MetasMensais!C105</f>
        <v/>
      </c>
      <c r="E108" s="24">
        <f>IFERROR(C108/MetasMensais!C105,0)</f>
        <v/>
      </c>
      <c r="F108" s="21">
        <f>IF(C108&gt;=MetasMensais!C105,"Atingida","Não atingida")</f>
        <v/>
      </c>
    </row>
    <row r="109">
      <c r="A109" s="25" t="inlineStr">
        <is>
          <t>L05</t>
        </is>
      </c>
      <c r="B109" s="31" t="n">
        <v>45536</v>
      </c>
      <c r="C109" s="27">
        <f>SUMIFS(Base_Analise!$U$2:$U$4546,Base_Analise!$K$2:$K$4546,A109,Base_Analise!$F$2:$F$4546,"&gt;="&amp;B109,Base_Analise!$F$2:$F$4546,"&lt;"&amp;EDATE(B109,1),Base_Analise!$I$2:$I$4546,"Entregue")</f>
        <v/>
      </c>
      <c r="D109" s="27">
        <f>C109-MetasMensais!C106</f>
        <v/>
      </c>
      <c r="E109" s="28">
        <f>IFERROR(C109/MetasMensais!C106,0)</f>
        <v/>
      </c>
      <c r="F109" s="25">
        <f>IF(C109&gt;=MetasMensais!C106,"Atingida","Não atingida")</f>
        <v/>
      </c>
    </row>
    <row r="110">
      <c r="A110" s="21" t="inlineStr">
        <is>
          <t>L05</t>
        </is>
      </c>
      <c r="B110" s="32" t="n">
        <v>45566</v>
      </c>
      <c r="C110" s="23">
        <f>SUMIFS(Base_Analise!$U$2:$U$4546,Base_Analise!$K$2:$K$4546,A110,Base_Analise!$F$2:$F$4546,"&gt;="&amp;B110,Base_Analise!$F$2:$F$4546,"&lt;"&amp;EDATE(B110,1),Base_Analise!$I$2:$I$4546,"Entregue")</f>
        <v/>
      </c>
      <c r="D110" s="23">
        <f>C110-MetasMensais!C107</f>
        <v/>
      </c>
      <c r="E110" s="24">
        <f>IFERROR(C110/MetasMensais!C107,0)</f>
        <v/>
      </c>
      <c r="F110" s="21">
        <f>IF(C110&gt;=MetasMensais!C107,"Atingida","Não atingida")</f>
        <v/>
      </c>
    </row>
    <row r="111">
      <c r="A111" s="25" t="inlineStr">
        <is>
          <t>L05</t>
        </is>
      </c>
      <c r="B111" s="31" t="n">
        <v>45597</v>
      </c>
      <c r="C111" s="27">
        <f>SUMIFS(Base_Analise!$U$2:$U$4546,Base_Analise!$K$2:$K$4546,A111,Base_Analise!$F$2:$F$4546,"&gt;="&amp;B111,Base_Analise!$F$2:$F$4546,"&lt;"&amp;EDATE(B111,1),Base_Analise!$I$2:$I$4546,"Entregue")</f>
        <v/>
      </c>
      <c r="D111" s="27">
        <f>C111-MetasMensais!C108</f>
        <v/>
      </c>
      <c r="E111" s="28">
        <f>IFERROR(C111/MetasMensais!C108,0)</f>
        <v/>
      </c>
      <c r="F111" s="25">
        <f>IF(C111&gt;=MetasMensais!C108,"Atingida","Não atingida")</f>
        <v/>
      </c>
    </row>
    <row r="112">
      <c r="A112" s="21" t="inlineStr">
        <is>
          <t>L05</t>
        </is>
      </c>
      <c r="B112" s="32" t="n">
        <v>45627</v>
      </c>
      <c r="C112" s="23">
        <f>SUMIFS(Base_Analise!$U$2:$U$4546,Base_Analise!$K$2:$K$4546,A112,Base_Analise!$F$2:$F$4546,"&gt;="&amp;B112,Base_Analise!$F$2:$F$4546,"&lt;"&amp;EDATE(B112,1),Base_Analise!$I$2:$I$4546,"Entregue")</f>
        <v/>
      </c>
      <c r="D112" s="23">
        <f>C112-MetasMensais!C109</f>
        <v/>
      </c>
      <c r="E112" s="24">
        <f>IFERROR(C112/MetasMensais!C109,0)</f>
        <v/>
      </c>
      <c r="F112" s="21">
        <f>IF(C112&gt;=MetasMensais!C109,"Atingida","Não atingida")</f>
        <v/>
      </c>
    </row>
    <row r="113">
      <c r="A113" s="25" t="inlineStr">
        <is>
          <t>L05</t>
        </is>
      </c>
      <c r="B113" s="31" t="n">
        <v>45658</v>
      </c>
      <c r="C113" s="27">
        <f>SUMIFS(Base_Analise!$U$2:$U$4546,Base_Analise!$K$2:$K$4546,A113,Base_Analise!$F$2:$F$4546,"&gt;="&amp;B113,Base_Analise!$F$2:$F$4546,"&lt;"&amp;EDATE(B113,1),Base_Analise!$I$2:$I$4546,"Entregue")</f>
        <v/>
      </c>
      <c r="D113" s="27">
        <f>C113-MetasMensais!C110</f>
        <v/>
      </c>
      <c r="E113" s="28">
        <f>IFERROR(C113/MetasMensais!C110,0)</f>
        <v/>
      </c>
      <c r="F113" s="25">
        <f>IF(C113&gt;=MetasMensais!C110,"Atingida","Não atingida")</f>
        <v/>
      </c>
    </row>
    <row r="114">
      <c r="A114" s="21" t="inlineStr">
        <is>
          <t>L05</t>
        </is>
      </c>
      <c r="B114" s="32" t="n">
        <v>45689</v>
      </c>
      <c r="C114" s="23">
        <f>SUMIFS(Base_Analise!$U$2:$U$4546,Base_Analise!$K$2:$K$4546,A114,Base_Analise!$F$2:$F$4546,"&gt;="&amp;B114,Base_Analise!$F$2:$F$4546,"&lt;"&amp;EDATE(B114,1),Base_Analise!$I$2:$I$4546,"Entregue")</f>
        <v/>
      </c>
      <c r="D114" s="23">
        <f>C114-MetasMensais!C111</f>
        <v/>
      </c>
      <c r="E114" s="24">
        <f>IFERROR(C114/MetasMensais!C111,0)</f>
        <v/>
      </c>
      <c r="F114" s="21">
        <f>IF(C114&gt;=MetasMensais!C111,"Atingida","Não atingida")</f>
        <v/>
      </c>
    </row>
    <row r="115">
      <c r="A115" s="25" t="inlineStr">
        <is>
          <t>L05</t>
        </is>
      </c>
      <c r="B115" s="31" t="n">
        <v>45717</v>
      </c>
      <c r="C115" s="27">
        <f>SUMIFS(Base_Analise!$U$2:$U$4546,Base_Analise!$K$2:$K$4546,A115,Base_Analise!$F$2:$F$4546,"&gt;="&amp;B115,Base_Analise!$F$2:$F$4546,"&lt;"&amp;EDATE(B115,1),Base_Analise!$I$2:$I$4546,"Entregue")</f>
        <v/>
      </c>
      <c r="D115" s="27">
        <f>C115-MetasMensais!C112</f>
        <v/>
      </c>
      <c r="E115" s="28">
        <f>IFERROR(C115/MetasMensais!C112,0)</f>
        <v/>
      </c>
      <c r="F115" s="25">
        <f>IF(C115&gt;=MetasMensais!C112,"Atingida","Não atingida")</f>
        <v/>
      </c>
    </row>
    <row r="116">
      <c r="A116" s="21" t="inlineStr">
        <is>
          <t>L05</t>
        </is>
      </c>
      <c r="B116" s="32" t="n">
        <v>45748</v>
      </c>
      <c r="C116" s="23">
        <f>SUMIFS(Base_Analise!$U$2:$U$4546,Base_Analise!$K$2:$K$4546,A116,Base_Analise!$F$2:$F$4546,"&gt;="&amp;B116,Base_Analise!$F$2:$F$4546,"&lt;"&amp;EDATE(B116,1),Base_Analise!$I$2:$I$4546,"Entregue")</f>
        <v/>
      </c>
      <c r="D116" s="23">
        <f>C116-MetasMensais!C113</f>
        <v/>
      </c>
      <c r="E116" s="24">
        <f>IFERROR(C116/MetasMensais!C113,0)</f>
        <v/>
      </c>
      <c r="F116" s="21">
        <f>IF(C116&gt;=MetasMensais!C113,"Atingida","Não atingida")</f>
        <v/>
      </c>
    </row>
    <row r="117">
      <c r="A117" s="25" t="inlineStr">
        <is>
          <t>L05</t>
        </is>
      </c>
      <c r="B117" s="31" t="n">
        <v>45778</v>
      </c>
      <c r="C117" s="27">
        <f>SUMIFS(Base_Analise!$U$2:$U$4546,Base_Analise!$K$2:$K$4546,A117,Base_Analise!$F$2:$F$4546,"&gt;="&amp;B117,Base_Analise!$F$2:$F$4546,"&lt;"&amp;EDATE(B117,1),Base_Analise!$I$2:$I$4546,"Entregue")</f>
        <v/>
      </c>
      <c r="D117" s="27">
        <f>C117-MetasMensais!C114</f>
        <v/>
      </c>
      <c r="E117" s="28">
        <f>IFERROR(C117/MetasMensais!C114,0)</f>
        <v/>
      </c>
      <c r="F117" s="25">
        <f>IF(C117&gt;=MetasMensais!C114,"Atingida","Não atingida")</f>
        <v/>
      </c>
    </row>
    <row r="118">
      <c r="A118" s="21" t="inlineStr">
        <is>
          <t>L05</t>
        </is>
      </c>
      <c r="B118" s="32" t="n">
        <v>45809</v>
      </c>
      <c r="C118" s="23">
        <f>SUMIFS(Base_Analise!$U$2:$U$4546,Base_Analise!$K$2:$K$4546,A118,Base_Analise!$F$2:$F$4546,"&gt;="&amp;B118,Base_Analise!$F$2:$F$4546,"&lt;"&amp;EDATE(B118,1),Base_Analise!$I$2:$I$4546,"Entregue")</f>
        <v/>
      </c>
      <c r="D118" s="23">
        <f>C118-MetasMensais!C115</f>
        <v/>
      </c>
      <c r="E118" s="24">
        <f>IFERROR(C118/MetasMensais!C115,0)</f>
        <v/>
      </c>
      <c r="F118" s="21">
        <f>IF(C118&gt;=MetasMensais!C115,"Atingida","Não atingida")</f>
        <v/>
      </c>
    </row>
    <row r="119">
      <c r="A119" s="25" t="inlineStr">
        <is>
          <t>L05</t>
        </is>
      </c>
      <c r="B119" s="31" t="n">
        <v>45839</v>
      </c>
      <c r="C119" s="27">
        <f>SUMIFS(Base_Analise!$U$2:$U$4546,Base_Analise!$K$2:$K$4546,A119,Base_Analise!$F$2:$F$4546,"&gt;="&amp;B119,Base_Analise!$F$2:$F$4546,"&lt;"&amp;EDATE(B119,1),Base_Analise!$I$2:$I$4546,"Entregue")</f>
        <v/>
      </c>
      <c r="D119" s="27">
        <f>C119-MetasMensais!C116</f>
        <v/>
      </c>
      <c r="E119" s="28">
        <f>IFERROR(C119/MetasMensais!C116,0)</f>
        <v/>
      </c>
      <c r="F119" s="25">
        <f>IF(C119&gt;=MetasMensais!C116,"Atingida","Não atingida")</f>
        <v/>
      </c>
    </row>
    <row r="120">
      <c r="A120" s="21" t="inlineStr">
        <is>
          <t>L05</t>
        </is>
      </c>
      <c r="B120" s="32" t="n">
        <v>45870</v>
      </c>
      <c r="C120" s="23">
        <f>SUMIFS(Base_Analise!$U$2:$U$4546,Base_Analise!$K$2:$K$4546,A120,Base_Analise!$F$2:$F$4546,"&gt;="&amp;B120,Base_Analise!$F$2:$F$4546,"&lt;"&amp;EDATE(B120,1),Base_Analise!$I$2:$I$4546,"Entregue")</f>
        <v/>
      </c>
      <c r="D120" s="23">
        <f>C120-MetasMensais!C117</f>
        <v/>
      </c>
      <c r="E120" s="24">
        <f>IFERROR(C120/MetasMensais!C117,0)</f>
        <v/>
      </c>
      <c r="F120" s="21">
        <f>IF(C120&gt;=MetasMensais!C117,"Atingida","Não atingida")</f>
        <v/>
      </c>
    </row>
    <row r="121">
      <c r="A121" s="25" t="inlineStr">
        <is>
          <t>L05</t>
        </is>
      </c>
      <c r="B121" s="31" t="n">
        <v>45901</v>
      </c>
      <c r="C121" s="27">
        <f>SUMIFS(Base_Analise!$U$2:$U$4546,Base_Analise!$K$2:$K$4546,A121,Base_Analise!$F$2:$F$4546,"&gt;="&amp;B121,Base_Analise!$F$2:$F$4546,"&lt;"&amp;EDATE(B121,1),Base_Analise!$I$2:$I$4546,"Entregue")</f>
        <v/>
      </c>
      <c r="D121" s="27">
        <f>C121-MetasMensais!C118</f>
        <v/>
      </c>
      <c r="E121" s="28">
        <f>IFERROR(C121/MetasMensais!C118,0)</f>
        <v/>
      </c>
      <c r="F121" s="25">
        <f>IF(C121&gt;=MetasMensais!C118,"Atingida","Não atingida")</f>
        <v/>
      </c>
    </row>
    <row r="122">
      <c r="A122" s="21" t="inlineStr">
        <is>
          <t>L05</t>
        </is>
      </c>
      <c r="B122" s="32" t="n">
        <v>45931</v>
      </c>
      <c r="C122" s="23">
        <f>SUMIFS(Base_Analise!$U$2:$U$4546,Base_Analise!$K$2:$K$4546,A122,Base_Analise!$F$2:$F$4546,"&gt;="&amp;B122,Base_Analise!$F$2:$F$4546,"&lt;"&amp;EDATE(B122,1),Base_Analise!$I$2:$I$4546,"Entregue")</f>
        <v/>
      </c>
      <c r="D122" s="23">
        <f>C122-MetasMensais!C119</f>
        <v/>
      </c>
      <c r="E122" s="24">
        <f>IFERROR(C122/MetasMensais!C119,0)</f>
        <v/>
      </c>
      <c r="F122" s="21">
        <f>IF(C122&gt;=MetasMensais!C119,"Atingida","Não atingida")</f>
        <v/>
      </c>
    </row>
    <row r="123">
      <c r="A123" s="25" t="inlineStr">
        <is>
          <t>L05</t>
        </is>
      </c>
      <c r="B123" s="31" t="n">
        <v>45962</v>
      </c>
      <c r="C123" s="27">
        <f>SUMIFS(Base_Analise!$U$2:$U$4546,Base_Analise!$K$2:$K$4546,A123,Base_Analise!$F$2:$F$4546,"&gt;="&amp;B123,Base_Analise!$F$2:$F$4546,"&lt;"&amp;EDATE(B123,1),Base_Analise!$I$2:$I$4546,"Entregue")</f>
        <v/>
      </c>
      <c r="D123" s="27">
        <f>C123-MetasMensais!C120</f>
        <v/>
      </c>
      <c r="E123" s="28">
        <f>IFERROR(C123/MetasMensais!C120,0)</f>
        <v/>
      </c>
      <c r="F123" s="25">
        <f>IF(C123&gt;=MetasMensais!C120,"Atingida","Não atingida")</f>
        <v/>
      </c>
    </row>
    <row r="124">
      <c r="A124" s="21" t="inlineStr">
        <is>
          <t>L05</t>
        </is>
      </c>
      <c r="B124" s="32" t="n">
        <v>45992</v>
      </c>
      <c r="C124" s="23">
        <f>SUMIFS(Base_Analise!$U$2:$U$4546,Base_Analise!$K$2:$K$4546,A124,Base_Analise!$F$2:$F$4546,"&gt;="&amp;B124,Base_Analise!$F$2:$F$4546,"&lt;"&amp;EDATE(B124,1),Base_Analise!$I$2:$I$4546,"Entregue")</f>
        <v/>
      </c>
      <c r="D124" s="23">
        <f>C124-MetasMensais!C121</f>
        <v/>
      </c>
      <c r="E124" s="24">
        <f>IFERROR(C124/MetasMensais!C121,0)</f>
        <v/>
      </c>
      <c r="F124" s="21">
        <f>IF(C124&gt;=MetasMensais!C121,"Atingida","Não atingida")</f>
        <v/>
      </c>
    </row>
    <row r="125">
      <c r="A125" s="25" t="inlineStr">
        <is>
          <t>L06</t>
        </is>
      </c>
      <c r="B125" s="31" t="n">
        <v>45292</v>
      </c>
      <c r="C125" s="27">
        <f>SUMIFS(Base_Analise!$U$2:$U$4546,Base_Analise!$K$2:$K$4546,A125,Base_Analise!$F$2:$F$4546,"&gt;="&amp;B125,Base_Analise!$F$2:$F$4546,"&lt;"&amp;EDATE(B125,1),Base_Analise!$I$2:$I$4546,"Entregue")</f>
        <v/>
      </c>
      <c r="D125" s="27">
        <f>C125-MetasMensais!C122</f>
        <v/>
      </c>
      <c r="E125" s="28">
        <f>IFERROR(C125/MetasMensais!C122,0)</f>
        <v/>
      </c>
      <c r="F125" s="25">
        <f>IF(C125&gt;=MetasMensais!C122,"Atingida","Não atingida")</f>
        <v/>
      </c>
    </row>
    <row r="126">
      <c r="A126" s="21" t="inlineStr">
        <is>
          <t>L06</t>
        </is>
      </c>
      <c r="B126" s="32" t="n">
        <v>45323</v>
      </c>
      <c r="C126" s="23">
        <f>SUMIFS(Base_Analise!$U$2:$U$4546,Base_Analise!$K$2:$K$4546,A126,Base_Analise!$F$2:$F$4546,"&gt;="&amp;B126,Base_Analise!$F$2:$F$4546,"&lt;"&amp;EDATE(B126,1),Base_Analise!$I$2:$I$4546,"Entregue")</f>
        <v/>
      </c>
      <c r="D126" s="23">
        <f>C126-MetasMensais!C123</f>
        <v/>
      </c>
      <c r="E126" s="24">
        <f>IFERROR(C126/MetasMensais!C123,0)</f>
        <v/>
      </c>
      <c r="F126" s="21">
        <f>IF(C126&gt;=MetasMensais!C123,"Atingida","Não atingida")</f>
        <v/>
      </c>
    </row>
    <row r="127">
      <c r="A127" s="25" t="inlineStr">
        <is>
          <t>L06</t>
        </is>
      </c>
      <c r="B127" s="31" t="n">
        <v>45352</v>
      </c>
      <c r="C127" s="27">
        <f>SUMIFS(Base_Analise!$U$2:$U$4546,Base_Analise!$K$2:$K$4546,A127,Base_Analise!$F$2:$F$4546,"&gt;="&amp;B127,Base_Analise!$F$2:$F$4546,"&lt;"&amp;EDATE(B127,1),Base_Analise!$I$2:$I$4546,"Entregue")</f>
        <v/>
      </c>
      <c r="D127" s="27">
        <f>C127-MetasMensais!C124</f>
        <v/>
      </c>
      <c r="E127" s="28">
        <f>IFERROR(C127/MetasMensais!C124,0)</f>
        <v/>
      </c>
      <c r="F127" s="25">
        <f>IF(C127&gt;=MetasMensais!C124,"Atingida","Não atingida")</f>
        <v/>
      </c>
    </row>
    <row r="128">
      <c r="A128" s="21" t="inlineStr">
        <is>
          <t>L06</t>
        </is>
      </c>
      <c r="B128" s="32" t="n">
        <v>45383</v>
      </c>
      <c r="C128" s="23">
        <f>SUMIFS(Base_Analise!$U$2:$U$4546,Base_Analise!$K$2:$K$4546,A128,Base_Analise!$F$2:$F$4546,"&gt;="&amp;B128,Base_Analise!$F$2:$F$4546,"&lt;"&amp;EDATE(B128,1),Base_Analise!$I$2:$I$4546,"Entregue")</f>
        <v/>
      </c>
      <c r="D128" s="23">
        <f>C128-MetasMensais!C125</f>
        <v/>
      </c>
      <c r="E128" s="24">
        <f>IFERROR(C128/MetasMensais!C125,0)</f>
        <v/>
      </c>
      <c r="F128" s="21">
        <f>IF(C128&gt;=MetasMensais!C125,"Atingida","Não atingida")</f>
        <v/>
      </c>
    </row>
    <row r="129">
      <c r="A129" s="25" t="inlineStr">
        <is>
          <t>L06</t>
        </is>
      </c>
      <c r="B129" s="31" t="n">
        <v>45413</v>
      </c>
      <c r="C129" s="27">
        <f>SUMIFS(Base_Analise!$U$2:$U$4546,Base_Analise!$K$2:$K$4546,A129,Base_Analise!$F$2:$F$4546,"&gt;="&amp;B129,Base_Analise!$F$2:$F$4546,"&lt;"&amp;EDATE(B129,1),Base_Analise!$I$2:$I$4546,"Entregue")</f>
        <v/>
      </c>
      <c r="D129" s="27">
        <f>C129-MetasMensais!C126</f>
        <v/>
      </c>
      <c r="E129" s="28">
        <f>IFERROR(C129/MetasMensais!C126,0)</f>
        <v/>
      </c>
      <c r="F129" s="25">
        <f>IF(C129&gt;=MetasMensais!C126,"Atingida","Não atingida")</f>
        <v/>
      </c>
    </row>
    <row r="130">
      <c r="A130" s="21" t="inlineStr">
        <is>
          <t>L06</t>
        </is>
      </c>
      <c r="B130" s="32" t="n">
        <v>45444</v>
      </c>
      <c r="C130" s="23">
        <f>SUMIFS(Base_Analise!$U$2:$U$4546,Base_Analise!$K$2:$K$4546,A130,Base_Analise!$F$2:$F$4546,"&gt;="&amp;B130,Base_Analise!$F$2:$F$4546,"&lt;"&amp;EDATE(B130,1),Base_Analise!$I$2:$I$4546,"Entregue")</f>
        <v/>
      </c>
      <c r="D130" s="23">
        <f>C130-MetasMensais!C127</f>
        <v/>
      </c>
      <c r="E130" s="24">
        <f>IFERROR(C130/MetasMensais!C127,0)</f>
        <v/>
      </c>
      <c r="F130" s="21">
        <f>IF(C130&gt;=MetasMensais!C127,"Atingida","Não atingida")</f>
        <v/>
      </c>
    </row>
    <row r="131">
      <c r="A131" s="25" t="inlineStr">
        <is>
          <t>L06</t>
        </is>
      </c>
      <c r="B131" s="31" t="n">
        <v>45474</v>
      </c>
      <c r="C131" s="27">
        <f>SUMIFS(Base_Analise!$U$2:$U$4546,Base_Analise!$K$2:$K$4546,A131,Base_Analise!$F$2:$F$4546,"&gt;="&amp;B131,Base_Analise!$F$2:$F$4546,"&lt;"&amp;EDATE(B131,1),Base_Analise!$I$2:$I$4546,"Entregue")</f>
        <v/>
      </c>
      <c r="D131" s="27">
        <f>C131-MetasMensais!C128</f>
        <v/>
      </c>
      <c r="E131" s="28">
        <f>IFERROR(C131/MetasMensais!C128,0)</f>
        <v/>
      </c>
      <c r="F131" s="25">
        <f>IF(C131&gt;=MetasMensais!C128,"Atingida","Não atingida")</f>
        <v/>
      </c>
    </row>
    <row r="132">
      <c r="A132" s="21" t="inlineStr">
        <is>
          <t>L06</t>
        </is>
      </c>
      <c r="B132" s="32" t="n">
        <v>45505</v>
      </c>
      <c r="C132" s="23">
        <f>SUMIFS(Base_Analise!$U$2:$U$4546,Base_Analise!$K$2:$K$4546,A132,Base_Analise!$F$2:$F$4546,"&gt;="&amp;B132,Base_Analise!$F$2:$F$4546,"&lt;"&amp;EDATE(B132,1),Base_Analise!$I$2:$I$4546,"Entregue")</f>
        <v/>
      </c>
      <c r="D132" s="23">
        <f>C132-MetasMensais!C129</f>
        <v/>
      </c>
      <c r="E132" s="24">
        <f>IFERROR(C132/MetasMensais!C129,0)</f>
        <v/>
      </c>
      <c r="F132" s="21">
        <f>IF(C132&gt;=MetasMensais!C129,"Atingida","Não atingida")</f>
        <v/>
      </c>
    </row>
    <row r="133">
      <c r="A133" s="25" t="inlineStr">
        <is>
          <t>L06</t>
        </is>
      </c>
      <c r="B133" s="31" t="n">
        <v>45536</v>
      </c>
      <c r="C133" s="27">
        <f>SUMIFS(Base_Analise!$U$2:$U$4546,Base_Analise!$K$2:$K$4546,A133,Base_Analise!$F$2:$F$4546,"&gt;="&amp;B133,Base_Analise!$F$2:$F$4546,"&lt;"&amp;EDATE(B133,1),Base_Analise!$I$2:$I$4546,"Entregue")</f>
        <v/>
      </c>
      <c r="D133" s="27">
        <f>C133-MetasMensais!C130</f>
        <v/>
      </c>
      <c r="E133" s="28">
        <f>IFERROR(C133/MetasMensais!C130,0)</f>
        <v/>
      </c>
      <c r="F133" s="25">
        <f>IF(C133&gt;=MetasMensais!C130,"Atingida","Não atingida")</f>
        <v/>
      </c>
    </row>
    <row r="134">
      <c r="A134" s="21" t="inlineStr">
        <is>
          <t>L06</t>
        </is>
      </c>
      <c r="B134" s="32" t="n">
        <v>45566</v>
      </c>
      <c r="C134" s="23">
        <f>SUMIFS(Base_Analise!$U$2:$U$4546,Base_Analise!$K$2:$K$4546,A134,Base_Analise!$F$2:$F$4546,"&gt;="&amp;B134,Base_Analise!$F$2:$F$4546,"&lt;"&amp;EDATE(B134,1),Base_Analise!$I$2:$I$4546,"Entregue")</f>
        <v/>
      </c>
      <c r="D134" s="23">
        <f>C134-MetasMensais!C131</f>
        <v/>
      </c>
      <c r="E134" s="24">
        <f>IFERROR(C134/MetasMensais!C131,0)</f>
        <v/>
      </c>
      <c r="F134" s="21">
        <f>IF(C134&gt;=MetasMensais!C131,"Atingida","Não atingida")</f>
        <v/>
      </c>
    </row>
    <row r="135">
      <c r="A135" s="25" t="inlineStr">
        <is>
          <t>L06</t>
        </is>
      </c>
      <c r="B135" s="31" t="n">
        <v>45597</v>
      </c>
      <c r="C135" s="27">
        <f>SUMIFS(Base_Analise!$U$2:$U$4546,Base_Analise!$K$2:$K$4546,A135,Base_Analise!$F$2:$F$4546,"&gt;="&amp;B135,Base_Analise!$F$2:$F$4546,"&lt;"&amp;EDATE(B135,1),Base_Analise!$I$2:$I$4546,"Entregue")</f>
        <v/>
      </c>
      <c r="D135" s="27">
        <f>C135-MetasMensais!C132</f>
        <v/>
      </c>
      <c r="E135" s="28">
        <f>IFERROR(C135/MetasMensais!C132,0)</f>
        <v/>
      </c>
      <c r="F135" s="25">
        <f>IF(C135&gt;=MetasMensais!C132,"Atingida","Não atingida")</f>
        <v/>
      </c>
    </row>
    <row r="136">
      <c r="A136" s="21" t="inlineStr">
        <is>
          <t>L06</t>
        </is>
      </c>
      <c r="B136" s="32" t="n">
        <v>45627</v>
      </c>
      <c r="C136" s="23">
        <f>SUMIFS(Base_Analise!$U$2:$U$4546,Base_Analise!$K$2:$K$4546,A136,Base_Analise!$F$2:$F$4546,"&gt;="&amp;B136,Base_Analise!$F$2:$F$4546,"&lt;"&amp;EDATE(B136,1),Base_Analise!$I$2:$I$4546,"Entregue")</f>
        <v/>
      </c>
      <c r="D136" s="23">
        <f>C136-MetasMensais!C133</f>
        <v/>
      </c>
      <c r="E136" s="24">
        <f>IFERROR(C136/MetasMensais!C133,0)</f>
        <v/>
      </c>
      <c r="F136" s="21">
        <f>IF(C136&gt;=MetasMensais!C133,"Atingida","Não atingida")</f>
        <v/>
      </c>
    </row>
    <row r="137">
      <c r="A137" s="25" t="inlineStr">
        <is>
          <t>L06</t>
        </is>
      </c>
      <c r="B137" s="31" t="n">
        <v>45658</v>
      </c>
      <c r="C137" s="27">
        <f>SUMIFS(Base_Analise!$U$2:$U$4546,Base_Analise!$K$2:$K$4546,A137,Base_Analise!$F$2:$F$4546,"&gt;="&amp;B137,Base_Analise!$F$2:$F$4546,"&lt;"&amp;EDATE(B137,1),Base_Analise!$I$2:$I$4546,"Entregue")</f>
        <v/>
      </c>
      <c r="D137" s="27">
        <f>C137-MetasMensais!C134</f>
        <v/>
      </c>
      <c r="E137" s="28">
        <f>IFERROR(C137/MetasMensais!C134,0)</f>
        <v/>
      </c>
      <c r="F137" s="25">
        <f>IF(C137&gt;=MetasMensais!C134,"Atingida","Não atingida")</f>
        <v/>
      </c>
    </row>
    <row r="138">
      <c r="A138" s="21" t="inlineStr">
        <is>
          <t>L06</t>
        </is>
      </c>
      <c r="B138" s="32" t="n">
        <v>45689</v>
      </c>
      <c r="C138" s="23">
        <f>SUMIFS(Base_Analise!$U$2:$U$4546,Base_Analise!$K$2:$K$4546,A138,Base_Analise!$F$2:$F$4546,"&gt;="&amp;B138,Base_Analise!$F$2:$F$4546,"&lt;"&amp;EDATE(B138,1),Base_Analise!$I$2:$I$4546,"Entregue")</f>
        <v/>
      </c>
      <c r="D138" s="23">
        <f>C138-MetasMensais!C135</f>
        <v/>
      </c>
      <c r="E138" s="24">
        <f>IFERROR(C138/MetasMensais!C135,0)</f>
        <v/>
      </c>
      <c r="F138" s="21">
        <f>IF(C138&gt;=MetasMensais!C135,"Atingida","Não atingida")</f>
        <v/>
      </c>
    </row>
    <row r="139">
      <c r="A139" s="25" t="inlineStr">
        <is>
          <t>L06</t>
        </is>
      </c>
      <c r="B139" s="31" t="n">
        <v>45717</v>
      </c>
      <c r="C139" s="27">
        <f>SUMIFS(Base_Analise!$U$2:$U$4546,Base_Analise!$K$2:$K$4546,A139,Base_Analise!$F$2:$F$4546,"&gt;="&amp;B139,Base_Analise!$F$2:$F$4546,"&lt;"&amp;EDATE(B139,1),Base_Analise!$I$2:$I$4546,"Entregue")</f>
        <v/>
      </c>
      <c r="D139" s="27">
        <f>C139-MetasMensais!C136</f>
        <v/>
      </c>
      <c r="E139" s="28">
        <f>IFERROR(C139/MetasMensais!C136,0)</f>
        <v/>
      </c>
      <c r="F139" s="25">
        <f>IF(C139&gt;=MetasMensais!C136,"Atingida","Não atingida")</f>
        <v/>
      </c>
    </row>
    <row r="140">
      <c r="A140" s="21" t="inlineStr">
        <is>
          <t>L06</t>
        </is>
      </c>
      <c r="B140" s="32" t="n">
        <v>45748</v>
      </c>
      <c r="C140" s="23">
        <f>SUMIFS(Base_Analise!$U$2:$U$4546,Base_Analise!$K$2:$K$4546,A140,Base_Analise!$F$2:$F$4546,"&gt;="&amp;B140,Base_Analise!$F$2:$F$4546,"&lt;"&amp;EDATE(B140,1),Base_Analise!$I$2:$I$4546,"Entregue")</f>
        <v/>
      </c>
      <c r="D140" s="23">
        <f>C140-MetasMensais!C137</f>
        <v/>
      </c>
      <c r="E140" s="24">
        <f>IFERROR(C140/MetasMensais!C137,0)</f>
        <v/>
      </c>
      <c r="F140" s="21">
        <f>IF(C140&gt;=MetasMensais!C137,"Atingida","Não atingida")</f>
        <v/>
      </c>
    </row>
    <row r="141">
      <c r="A141" s="25" t="inlineStr">
        <is>
          <t>L06</t>
        </is>
      </c>
      <c r="B141" s="31" t="n">
        <v>45778</v>
      </c>
      <c r="C141" s="27">
        <f>SUMIFS(Base_Analise!$U$2:$U$4546,Base_Analise!$K$2:$K$4546,A141,Base_Analise!$F$2:$F$4546,"&gt;="&amp;B141,Base_Analise!$F$2:$F$4546,"&lt;"&amp;EDATE(B141,1),Base_Analise!$I$2:$I$4546,"Entregue")</f>
        <v/>
      </c>
      <c r="D141" s="27">
        <f>C141-MetasMensais!C138</f>
        <v/>
      </c>
      <c r="E141" s="28">
        <f>IFERROR(C141/MetasMensais!C138,0)</f>
        <v/>
      </c>
      <c r="F141" s="25">
        <f>IF(C141&gt;=MetasMensais!C138,"Atingida","Não atingida")</f>
        <v/>
      </c>
    </row>
    <row r="142">
      <c r="A142" s="21" t="inlineStr">
        <is>
          <t>L06</t>
        </is>
      </c>
      <c r="B142" s="32" t="n">
        <v>45809</v>
      </c>
      <c r="C142" s="23">
        <f>SUMIFS(Base_Analise!$U$2:$U$4546,Base_Analise!$K$2:$K$4546,A142,Base_Analise!$F$2:$F$4546,"&gt;="&amp;B142,Base_Analise!$F$2:$F$4546,"&lt;"&amp;EDATE(B142,1),Base_Analise!$I$2:$I$4546,"Entregue")</f>
        <v/>
      </c>
      <c r="D142" s="23">
        <f>C142-MetasMensais!C139</f>
        <v/>
      </c>
      <c r="E142" s="24">
        <f>IFERROR(C142/MetasMensais!C139,0)</f>
        <v/>
      </c>
      <c r="F142" s="21">
        <f>IF(C142&gt;=MetasMensais!C139,"Atingida","Não atingida")</f>
        <v/>
      </c>
    </row>
    <row r="143">
      <c r="A143" s="25" t="inlineStr">
        <is>
          <t>L06</t>
        </is>
      </c>
      <c r="B143" s="31" t="n">
        <v>45839</v>
      </c>
      <c r="C143" s="27">
        <f>SUMIFS(Base_Analise!$U$2:$U$4546,Base_Analise!$K$2:$K$4546,A143,Base_Analise!$F$2:$F$4546,"&gt;="&amp;B143,Base_Analise!$F$2:$F$4546,"&lt;"&amp;EDATE(B143,1),Base_Analise!$I$2:$I$4546,"Entregue")</f>
        <v/>
      </c>
      <c r="D143" s="27">
        <f>C143-MetasMensais!C140</f>
        <v/>
      </c>
      <c r="E143" s="28">
        <f>IFERROR(C143/MetasMensais!C140,0)</f>
        <v/>
      </c>
      <c r="F143" s="25">
        <f>IF(C143&gt;=MetasMensais!C140,"Atingida","Não atingida")</f>
        <v/>
      </c>
    </row>
    <row r="144">
      <c r="A144" s="21" t="inlineStr">
        <is>
          <t>L06</t>
        </is>
      </c>
      <c r="B144" s="32" t="n">
        <v>45870</v>
      </c>
      <c r="C144" s="23">
        <f>SUMIFS(Base_Analise!$U$2:$U$4546,Base_Analise!$K$2:$K$4546,A144,Base_Analise!$F$2:$F$4546,"&gt;="&amp;B144,Base_Analise!$F$2:$F$4546,"&lt;"&amp;EDATE(B144,1),Base_Analise!$I$2:$I$4546,"Entregue")</f>
        <v/>
      </c>
      <c r="D144" s="23">
        <f>C144-MetasMensais!C141</f>
        <v/>
      </c>
      <c r="E144" s="24">
        <f>IFERROR(C144/MetasMensais!C141,0)</f>
        <v/>
      </c>
      <c r="F144" s="21">
        <f>IF(C144&gt;=MetasMensais!C141,"Atingida","Não atingida")</f>
        <v/>
      </c>
    </row>
    <row r="145">
      <c r="A145" s="25" t="inlineStr">
        <is>
          <t>L06</t>
        </is>
      </c>
      <c r="B145" s="31" t="n">
        <v>45901</v>
      </c>
      <c r="C145" s="27">
        <f>SUMIFS(Base_Analise!$U$2:$U$4546,Base_Analise!$K$2:$K$4546,A145,Base_Analise!$F$2:$F$4546,"&gt;="&amp;B145,Base_Analise!$F$2:$F$4546,"&lt;"&amp;EDATE(B145,1),Base_Analise!$I$2:$I$4546,"Entregue")</f>
        <v/>
      </c>
      <c r="D145" s="27">
        <f>C145-MetasMensais!C142</f>
        <v/>
      </c>
      <c r="E145" s="28">
        <f>IFERROR(C145/MetasMensais!C142,0)</f>
        <v/>
      </c>
      <c r="F145" s="25">
        <f>IF(C145&gt;=MetasMensais!C142,"Atingida","Não atingida")</f>
        <v/>
      </c>
    </row>
    <row r="146">
      <c r="A146" s="21" t="inlineStr">
        <is>
          <t>L06</t>
        </is>
      </c>
      <c r="B146" s="32" t="n">
        <v>45931</v>
      </c>
      <c r="C146" s="23">
        <f>SUMIFS(Base_Analise!$U$2:$U$4546,Base_Analise!$K$2:$K$4546,A146,Base_Analise!$F$2:$F$4546,"&gt;="&amp;B146,Base_Analise!$F$2:$F$4546,"&lt;"&amp;EDATE(B146,1),Base_Analise!$I$2:$I$4546,"Entregue")</f>
        <v/>
      </c>
      <c r="D146" s="23">
        <f>C146-MetasMensais!C143</f>
        <v/>
      </c>
      <c r="E146" s="24">
        <f>IFERROR(C146/MetasMensais!C143,0)</f>
        <v/>
      </c>
      <c r="F146" s="21">
        <f>IF(C146&gt;=MetasMensais!C143,"Atingida","Não atingida")</f>
        <v/>
      </c>
    </row>
    <row r="147">
      <c r="A147" s="25" t="inlineStr">
        <is>
          <t>L06</t>
        </is>
      </c>
      <c r="B147" s="31" t="n">
        <v>45962</v>
      </c>
      <c r="C147" s="27">
        <f>SUMIFS(Base_Analise!$U$2:$U$4546,Base_Analise!$K$2:$K$4546,A147,Base_Analise!$F$2:$F$4546,"&gt;="&amp;B147,Base_Analise!$F$2:$F$4546,"&lt;"&amp;EDATE(B147,1),Base_Analise!$I$2:$I$4546,"Entregue")</f>
        <v/>
      </c>
      <c r="D147" s="27">
        <f>C147-MetasMensais!C144</f>
        <v/>
      </c>
      <c r="E147" s="28">
        <f>IFERROR(C147/MetasMensais!C144,0)</f>
        <v/>
      </c>
      <c r="F147" s="25">
        <f>IF(C147&gt;=MetasMensais!C144,"Atingida","Não atingida")</f>
        <v/>
      </c>
    </row>
    <row r="148">
      <c r="A148" s="21" t="inlineStr">
        <is>
          <t>L06</t>
        </is>
      </c>
      <c r="B148" s="32" t="n">
        <v>45992</v>
      </c>
      <c r="C148" s="23">
        <f>SUMIFS(Base_Analise!$U$2:$U$4546,Base_Analise!$K$2:$K$4546,A148,Base_Analise!$F$2:$F$4546,"&gt;="&amp;B148,Base_Analise!$F$2:$F$4546,"&lt;"&amp;EDATE(B148,1),Base_Analise!$I$2:$I$4546,"Entregue")</f>
        <v/>
      </c>
      <c r="D148" s="23">
        <f>C148-MetasMensais!C145</f>
        <v/>
      </c>
      <c r="E148" s="24">
        <f>IFERROR(C148/MetasMensais!C145,0)</f>
        <v/>
      </c>
      <c r="F148" s="21">
        <f>IF(C148&gt;=MetasMensais!C145,"Atingida","Não atingida")</f>
        <v/>
      </c>
    </row>
    <row r="149">
      <c r="A149" s="25" t="inlineStr">
        <is>
          <t>L07</t>
        </is>
      </c>
      <c r="B149" s="31" t="n">
        <v>45292</v>
      </c>
      <c r="C149" s="27">
        <f>SUMIFS(Base_Analise!$U$2:$U$4546,Base_Analise!$K$2:$K$4546,A149,Base_Analise!$F$2:$F$4546,"&gt;="&amp;B149,Base_Analise!$F$2:$F$4546,"&lt;"&amp;EDATE(B149,1),Base_Analise!$I$2:$I$4546,"Entregue")</f>
        <v/>
      </c>
      <c r="D149" s="27">
        <f>C149-MetasMensais!C146</f>
        <v/>
      </c>
      <c r="E149" s="28">
        <f>IFERROR(C149/MetasMensais!C146,0)</f>
        <v/>
      </c>
      <c r="F149" s="25">
        <f>IF(C149&gt;=MetasMensais!C146,"Atingida","Não atingida")</f>
        <v/>
      </c>
    </row>
    <row r="150">
      <c r="A150" s="21" t="inlineStr">
        <is>
          <t>L07</t>
        </is>
      </c>
      <c r="B150" s="32" t="n">
        <v>45323</v>
      </c>
      <c r="C150" s="23">
        <f>SUMIFS(Base_Analise!$U$2:$U$4546,Base_Analise!$K$2:$K$4546,A150,Base_Analise!$F$2:$F$4546,"&gt;="&amp;B150,Base_Analise!$F$2:$F$4546,"&lt;"&amp;EDATE(B150,1),Base_Analise!$I$2:$I$4546,"Entregue")</f>
        <v/>
      </c>
      <c r="D150" s="23">
        <f>C150-MetasMensais!C147</f>
        <v/>
      </c>
      <c r="E150" s="24">
        <f>IFERROR(C150/MetasMensais!C147,0)</f>
        <v/>
      </c>
      <c r="F150" s="21">
        <f>IF(C150&gt;=MetasMensais!C147,"Atingida","Não atingida")</f>
        <v/>
      </c>
    </row>
    <row r="151">
      <c r="A151" s="25" t="inlineStr">
        <is>
          <t>L07</t>
        </is>
      </c>
      <c r="B151" s="31" t="n">
        <v>45352</v>
      </c>
      <c r="C151" s="27">
        <f>SUMIFS(Base_Analise!$U$2:$U$4546,Base_Analise!$K$2:$K$4546,A151,Base_Analise!$F$2:$F$4546,"&gt;="&amp;B151,Base_Analise!$F$2:$F$4546,"&lt;"&amp;EDATE(B151,1),Base_Analise!$I$2:$I$4546,"Entregue")</f>
        <v/>
      </c>
      <c r="D151" s="27">
        <f>C151-MetasMensais!C148</f>
        <v/>
      </c>
      <c r="E151" s="28">
        <f>IFERROR(C151/MetasMensais!C148,0)</f>
        <v/>
      </c>
      <c r="F151" s="25">
        <f>IF(C151&gt;=MetasMensais!C148,"Atingida","Não atingida")</f>
        <v/>
      </c>
    </row>
    <row r="152">
      <c r="A152" s="21" t="inlineStr">
        <is>
          <t>L07</t>
        </is>
      </c>
      <c r="B152" s="32" t="n">
        <v>45383</v>
      </c>
      <c r="C152" s="23">
        <f>SUMIFS(Base_Analise!$U$2:$U$4546,Base_Analise!$K$2:$K$4546,A152,Base_Analise!$F$2:$F$4546,"&gt;="&amp;B152,Base_Analise!$F$2:$F$4546,"&lt;"&amp;EDATE(B152,1),Base_Analise!$I$2:$I$4546,"Entregue")</f>
        <v/>
      </c>
      <c r="D152" s="23">
        <f>C152-MetasMensais!C149</f>
        <v/>
      </c>
      <c r="E152" s="24">
        <f>IFERROR(C152/MetasMensais!C149,0)</f>
        <v/>
      </c>
      <c r="F152" s="21">
        <f>IF(C152&gt;=MetasMensais!C149,"Atingida","Não atingida")</f>
        <v/>
      </c>
    </row>
    <row r="153">
      <c r="A153" s="25" t="inlineStr">
        <is>
          <t>L07</t>
        </is>
      </c>
      <c r="B153" s="31" t="n">
        <v>45413</v>
      </c>
      <c r="C153" s="27">
        <f>SUMIFS(Base_Analise!$U$2:$U$4546,Base_Analise!$K$2:$K$4546,A153,Base_Analise!$F$2:$F$4546,"&gt;="&amp;B153,Base_Analise!$F$2:$F$4546,"&lt;"&amp;EDATE(B153,1),Base_Analise!$I$2:$I$4546,"Entregue")</f>
        <v/>
      </c>
      <c r="D153" s="27">
        <f>C153-MetasMensais!C150</f>
        <v/>
      </c>
      <c r="E153" s="28">
        <f>IFERROR(C153/MetasMensais!C150,0)</f>
        <v/>
      </c>
      <c r="F153" s="25">
        <f>IF(C153&gt;=MetasMensais!C150,"Atingida","Não atingida")</f>
        <v/>
      </c>
    </row>
    <row r="154">
      <c r="A154" s="21" t="inlineStr">
        <is>
          <t>L07</t>
        </is>
      </c>
      <c r="B154" s="32" t="n">
        <v>45444</v>
      </c>
      <c r="C154" s="23">
        <f>SUMIFS(Base_Analise!$U$2:$U$4546,Base_Analise!$K$2:$K$4546,A154,Base_Analise!$F$2:$F$4546,"&gt;="&amp;B154,Base_Analise!$F$2:$F$4546,"&lt;"&amp;EDATE(B154,1),Base_Analise!$I$2:$I$4546,"Entregue")</f>
        <v/>
      </c>
      <c r="D154" s="23">
        <f>C154-MetasMensais!C151</f>
        <v/>
      </c>
      <c r="E154" s="24">
        <f>IFERROR(C154/MetasMensais!C151,0)</f>
        <v/>
      </c>
      <c r="F154" s="21">
        <f>IF(C154&gt;=MetasMensais!C151,"Atingida","Não atingida")</f>
        <v/>
      </c>
    </row>
    <row r="155">
      <c r="A155" s="25" t="inlineStr">
        <is>
          <t>L07</t>
        </is>
      </c>
      <c r="B155" s="31" t="n">
        <v>45474</v>
      </c>
      <c r="C155" s="27">
        <f>SUMIFS(Base_Analise!$U$2:$U$4546,Base_Analise!$K$2:$K$4546,A155,Base_Analise!$F$2:$F$4546,"&gt;="&amp;B155,Base_Analise!$F$2:$F$4546,"&lt;"&amp;EDATE(B155,1),Base_Analise!$I$2:$I$4546,"Entregue")</f>
        <v/>
      </c>
      <c r="D155" s="27">
        <f>C155-MetasMensais!C152</f>
        <v/>
      </c>
      <c r="E155" s="28">
        <f>IFERROR(C155/MetasMensais!C152,0)</f>
        <v/>
      </c>
      <c r="F155" s="25">
        <f>IF(C155&gt;=MetasMensais!C152,"Atingida","Não atingida")</f>
        <v/>
      </c>
    </row>
    <row r="156">
      <c r="A156" s="21" t="inlineStr">
        <is>
          <t>L07</t>
        </is>
      </c>
      <c r="B156" s="32" t="n">
        <v>45505</v>
      </c>
      <c r="C156" s="23">
        <f>SUMIFS(Base_Analise!$U$2:$U$4546,Base_Analise!$K$2:$K$4546,A156,Base_Analise!$F$2:$F$4546,"&gt;="&amp;B156,Base_Analise!$F$2:$F$4546,"&lt;"&amp;EDATE(B156,1),Base_Analise!$I$2:$I$4546,"Entregue")</f>
        <v/>
      </c>
      <c r="D156" s="23">
        <f>C156-MetasMensais!C153</f>
        <v/>
      </c>
      <c r="E156" s="24">
        <f>IFERROR(C156/MetasMensais!C153,0)</f>
        <v/>
      </c>
      <c r="F156" s="21">
        <f>IF(C156&gt;=MetasMensais!C153,"Atingida","Não atingida")</f>
        <v/>
      </c>
    </row>
    <row r="157">
      <c r="A157" s="25" t="inlineStr">
        <is>
          <t>L07</t>
        </is>
      </c>
      <c r="B157" s="31" t="n">
        <v>45536</v>
      </c>
      <c r="C157" s="27">
        <f>SUMIFS(Base_Analise!$U$2:$U$4546,Base_Analise!$K$2:$K$4546,A157,Base_Analise!$F$2:$F$4546,"&gt;="&amp;B157,Base_Analise!$F$2:$F$4546,"&lt;"&amp;EDATE(B157,1),Base_Analise!$I$2:$I$4546,"Entregue")</f>
        <v/>
      </c>
      <c r="D157" s="27">
        <f>C157-MetasMensais!C154</f>
        <v/>
      </c>
      <c r="E157" s="28">
        <f>IFERROR(C157/MetasMensais!C154,0)</f>
        <v/>
      </c>
      <c r="F157" s="25">
        <f>IF(C157&gt;=MetasMensais!C154,"Atingida","Não atingida")</f>
        <v/>
      </c>
    </row>
    <row r="158">
      <c r="A158" s="21" t="inlineStr">
        <is>
          <t>L07</t>
        </is>
      </c>
      <c r="B158" s="32" t="n">
        <v>45566</v>
      </c>
      <c r="C158" s="23">
        <f>SUMIFS(Base_Analise!$U$2:$U$4546,Base_Analise!$K$2:$K$4546,A158,Base_Analise!$F$2:$F$4546,"&gt;="&amp;B158,Base_Analise!$F$2:$F$4546,"&lt;"&amp;EDATE(B158,1),Base_Analise!$I$2:$I$4546,"Entregue")</f>
        <v/>
      </c>
      <c r="D158" s="23">
        <f>C158-MetasMensais!C155</f>
        <v/>
      </c>
      <c r="E158" s="24">
        <f>IFERROR(C158/MetasMensais!C155,0)</f>
        <v/>
      </c>
      <c r="F158" s="21">
        <f>IF(C158&gt;=MetasMensais!C155,"Atingida","Não atingida")</f>
        <v/>
      </c>
    </row>
    <row r="159">
      <c r="A159" s="25" t="inlineStr">
        <is>
          <t>L07</t>
        </is>
      </c>
      <c r="B159" s="31" t="n">
        <v>45597</v>
      </c>
      <c r="C159" s="27">
        <f>SUMIFS(Base_Analise!$U$2:$U$4546,Base_Analise!$K$2:$K$4546,A159,Base_Analise!$F$2:$F$4546,"&gt;="&amp;B159,Base_Analise!$F$2:$F$4546,"&lt;"&amp;EDATE(B159,1),Base_Analise!$I$2:$I$4546,"Entregue")</f>
        <v/>
      </c>
      <c r="D159" s="27">
        <f>C159-MetasMensais!C156</f>
        <v/>
      </c>
      <c r="E159" s="28">
        <f>IFERROR(C159/MetasMensais!C156,0)</f>
        <v/>
      </c>
      <c r="F159" s="25">
        <f>IF(C159&gt;=MetasMensais!C156,"Atingida","Não atingida")</f>
        <v/>
      </c>
    </row>
    <row r="160">
      <c r="A160" s="21" t="inlineStr">
        <is>
          <t>L07</t>
        </is>
      </c>
      <c r="B160" s="32" t="n">
        <v>45627</v>
      </c>
      <c r="C160" s="23">
        <f>SUMIFS(Base_Analise!$U$2:$U$4546,Base_Analise!$K$2:$K$4546,A160,Base_Analise!$F$2:$F$4546,"&gt;="&amp;B160,Base_Analise!$F$2:$F$4546,"&lt;"&amp;EDATE(B160,1),Base_Analise!$I$2:$I$4546,"Entregue")</f>
        <v/>
      </c>
      <c r="D160" s="23">
        <f>C160-MetasMensais!C157</f>
        <v/>
      </c>
      <c r="E160" s="24">
        <f>IFERROR(C160/MetasMensais!C157,0)</f>
        <v/>
      </c>
      <c r="F160" s="21">
        <f>IF(C160&gt;=MetasMensais!C157,"Atingida","Não atingida")</f>
        <v/>
      </c>
    </row>
    <row r="161">
      <c r="A161" s="25" t="inlineStr">
        <is>
          <t>L07</t>
        </is>
      </c>
      <c r="B161" s="31" t="n">
        <v>45658</v>
      </c>
      <c r="C161" s="27">
        <f>SUMIFS(Base_Analise!$U$2:$U$4546,Base_Analise!$K$2:$K$4546,A161,Base_Analise!$F$2:$F$4546,"&gt;="&amp;B161,Base_Analise!$F$2:$F$4546,"&lt;"&amp;EDATE(B161,1),Base_Analise!$I$2:$I$4546,"Entregue")</f>
        <v/>
      </c>
      <c r="D161" s="27">
        <f>C161-MetasMensais!C158</f>
        <v/>
      </c>
      <c r="E161" s="28">
        <f>IFERROR(C161/MetasMensais!C158,0)</f>
        <v/>
      </c>
      <c r="F161" s="25">
        <f>IF(C161&gt;=MetasMensais!C158,"Atingida","Não atingida")</f>
        <v/>
      </c>
    </row>
    <row r="162">
      <c r="A162" s="21" t="inlineStr">
        <is>
          <t>L07</t>
        </is>
      </c>
      <c r="B162" s="32" t="n">
        <v>45689</v>
      </c>
      <c r="C162" s="23">
        <f>SUMIFS(Base_Analise!$U$2:$U$4546,Base_Analise!$K$2:$K$4546,A162,Base_Analise!$F$2:$F$4546,"&gt;="&amp;B162,Base_Analise!$F$2:$F$4546,"&lt;"&amp;EDATE(B162,1),Base_Analise!$I$2:$I$4546,"Entregue")</f>
        <v/>
      </c>
      <c r="D162" s="23">
        <f>C162-MetasMensais!C159</f>
        <v/>
      </c>
      <c r="E162" s="24">
        <f>IFERROR(C162/MetasMensais!C159,0)</f>
        <v/>
      </c>
      <c r="F162" s="21">
        <f>IF(C162&gt;=MetasMensais!C159,"Atingida","Não atingida")</f>
        <v/>
      </c>
    </row>
    <row r="163">
      <c r="A163" s="25" t="inlineStr">
        <is>
          <t>L07</t>
        </is>
      </c>
      <c r="B163" s="31" t="n">
        <v>45717</v>
      </c>
      <c r="C163" s="27">
        <f>SUMIFS(Base_Analise!$U$2:$U$4546,Base_Analise!$K$2:$K$4546,A163,Base_Analise!$F$2:$F$4546,"&gt;="&amp;B163,Base_Analise!$F$2:$F$4546,"&lt;"&amp;EDATE(B163,1),Base_Analise!$I$2:$I$4546,"Entregue")</f>
        <v/>
      </c>
      <c r="D163" s="27">
        <f>C163-MetasMensais!C160</f>
        <v/>
      </c>
      <c r="E163" s="28">
        <f>IFERROR(C163/MetasMensais!C160,0)</f>
        <v/>
      </c>
      <c r="F163" s="25">
        <f>IF(C163&gt;=MetasMensais!C160,"Atingida","Não atingida")</f>
        <v/>
      </c>
    </row>
    <row r="164">
      <c r="A164" s="21" t="inlineStr">
        <is>
          <t>L07</t>
        </is>
      </c>
      <c r="B164" s="32" t="n">
        <v>45748</v>
      </c>
      <c r="C164" s="23">
        <f>SUMIFS(Base_Analise!$U$2:$U$4546,Base_Analise!$K$2:$K$4546,A164,Base_Analise!$F$2:$F$4546,"&gt;="&amp;B164,Base_Analise!$F$2:$F$4546,"&lt;"&amp;EDATE(B164,1),Base_Analise!$I$2:$I$4546,"Entregue")</f>
        <v/>
      </c>
      <c r="D164" s="23">
        <f>C164-MetasMensais!C161</f>
        <v/>
      </c>
      <c r="E164" s="24">
        <f>IFERROR(C164/MetasMensais!C161,0)</f>
        <v/>
      </c>
      <c r="F164" s="21">
        <f>IF(C164&gt;=MetasMensais!C161,"Atingida","Não atingida")</f>
        <v/>
      </c>
    </row>
    <row r="165">
      <c r="A165" s="25" t="inlineStr">
        <is>
          <t>L07</t>
        </is>
      </c>
      <c r="B165" s="31" t="n">
        <v>45778</v>
      </c>
      <c r="C165" s="27">
        <f>SUMIFS(Base_Analise!$U$2:$U$4546,Base_Analise!$K$2:$K$4546,A165,Base_Analise!$F$2:$F$4546,"&gt;="&amp;B165,Base_Analise!$F$2:$F$4546,"&lt;"&amp;EDATE(B165,1),Base_Analise!$I$2:$I$4546,"Entregue")</f>
        <v/>
      </c>
      <c r="D165" s="27">
        <f>C165-MetasMensais!C162</f>
        <v/>
      </c>
      <c r="E165" s="28">
        <f>IFERROR(C165/MetasMensais!C162,0)</f>
        <v/>
      </c>
      <c r="F165" s="25">
        <f>IF(C165&gt;=MetasMensais!C162,"Atingida","Não atingida")</f>
        <v/>
      </c>
    </row>
    <row r="166">
      <c r="A166" s="21" t="inlineStr">
        <is>
          <t>L07</t>
        </is>
      </c>
      <c r="B166" s="32" t="n">
        <v>45809</v>
      </c>
      <c r="C166" s="23">
        <f>SUMIFS(Base_Analise!$U$2:$U$4546,Base_Analise!$K$2:$K$4546,A166,Base_Analise!$F$2:$F$4546,"&gt;="&amp;B166,Base_Analise!$F$2:$F$4546,"&lt;"&amp;EDATE(B166,1),Base_Analise!$I$2:$I$4546,"Entregue")</f>
        <v/>
      </c>
      <c r="D166" s="23">
        <f>C166-MetasMensais!C163</f>
        <v/>
      </c>
      <c r="E166" s="24">
        <f>IFERROR(C166/MetasMensais!C163,0)</f>
        <v/>
      </c>
      <c r="F166" s="21">
        <f>IF(C166&gt;=MetasMensais!C163,"Atingida","Não atingida")</f>
        <v/>
      </c>
    </row>
    <row r="167">
      <c r="A167" s="25" t="inlineStr">
        <is>
          <t>L07</t>
        </is>
      </c>
      <c r="B167" s="31" t="n">
        <v>45839</v>
      </c>
      <c r="C167" s="27">
        <f>SUMIFS(Base_Analise!$U$2:$U$4546,Base_Analise!$K$2:$K$4546,A167,Base_Analise!$F$2:$F$4546,"&gt;="&amp;B167,Base_Analise!$F$2:$F$4546,"&lt;"&amp;EDATE(B167,1),Base_Analise!$I$2:$I$4546,"Entregue")</f>
        <v/>
      </c>
      <c r="D167" s="27">
        <f>C167-MetasMensais!C164</f>
        <v/>
      </c>
      <c r="E167" s="28">
        <f>IFERROR(C167/MetasMensais!C164,0)</f>
        <v/>
      </c>
      <c r="F167" s="25">
        <f>IF(C167&gt;=MetasMensais!C164,"Atingida","Não atingida")</f>
        <v/>
      </c>
    </row>
    <row r="168">
      <c r="A168" s="21" t="inlineStr">
        <is>
          <t>L07</t>
        </is>
      </c>
      <c r="B168" s="32" t="n">
        <v>45870</v>
      </c>
      <c r="C168" s="23">
        <f>SUMIFS(Base_Analise!$U$2:$U$4546,Base_Analise!$K$2:$K$4546,A168,Base_Analise!$F$2:$F$4546,"&gt;="&amp;B168,Base_Analise!$F$2:$F$4546,"&lt;"&amp;EDATE(B168,1),Base_Analise!$I$2:$I$4546,"Entregue")</f>
        <v/>
      </c>
      <c r="D168" s="23">
        <f>C168-MetasMensais!C165</f>
        <v/>
      </c>
      <c r="E168" s="24">
        <f>IFERROR(C168/MetasMensais!C165,0)</f>
        <v/>
      </c>
      <c r="F168" s="21">
        <f>IF(C168&gt;=MetasMensais!C165,"Atingida","Não atingida")</f>
        <v/>
      </c>
    </row>
    <row r="169">
      <c r="A169" s="25" t="inlineStr">
        <is>
          <t>L07</t>
        </is>
      </c>
      <c r="B169" s="31" t="n">
        <v>45901</v>
      </c>
      <c r="C169" s="27">
        <f>SUMIFS(Base_Analise!$U$2:$U$4546,Base_Analise!$K$2:$K$4546,A169,Base_Analise!$F$2:$F$4546,"&gt;="&amp;B169,Base_Analise!$F$2:$F$4546,"&lt;"&amp;EDATE(B169,1),Base_Analise!$I$2:$I$4546,"Entregue")</f>
        <v/>
      </c>
      <c r="D169" s="27">
        <f>C169-MetasMensais!C166</f>
        <v/>
      </c>
      <c r="E169" s="28">
        <f>IFERROR(C169/MetasMensais!C166,0)</f>
        <v/>
      </c>
      <c r="F169" s="25">
        <f>IF(C169&gt;=MetasMensais!C166,"Atingida","Não atingida")</f>
        <v/>
      </c>
    </row>
    <row r="170">
      <c r="A170" s="21" t="inlineStr">
        <is>
          <t>L07</t>
        </is>
      </c>
      <c r="B170" s="32" t="n">
        <v>45931</v>
      </c>
      <c r="C170" s="23">
        <f>SUMIFS(Base_Analise!$U$2:$U$4546,Base_Analise!$K$2:$K$4546,A170,Base_Analise!$F$2:$F$4546,"&gt;="&amp;B170,Base_Analise!$F$2:$F$4546,"&lt;"&amp;EDATE(B170,1),Base_Analise!$I$2:$I$4546,"Entregue")</f>
        <v/>
      </c>
      <c r="D170" s="23">
        <f>C170-MetasMensais!C167</f>
        <v/>
      </c>
      <c r="E170" s="24">
        <f>IFERROR(C170/MetasMensais!C167,0)</f>
        <v/>
      </c>
      <c r="F170" s="21">
        <f>IF(C170&gt;=MetasMensais!C167,"Atingida","Não atingida")</f>
        <v/>
      </c>
    </row>
    <row r="171">
      <c r="A171" s="25" t="inlineStr">
        <is>
          <t>L07</t>
        </is>
      </c>
      <c r="B171" s="31" t="n">
        <v>45962</v>
      </c>
      <c r="C171" s="27">
        <f>SUMIFS(Base_Analise!$U$2:$U$4546,Base_Analise!$K$2:$K$4546,A171,Base_Analise!$F$2:$F$4546,"&gt;="&amp;B171,Base_Analise!$F$2:$F$4546,"&lt;"&amp;EDATE(B171,1),Base_Analise!$I$2:$I$4546,"Entregue")</f>
        <v/>
      </c>
      <c r="D171" s="27">
        <f>C171-MetasMensais!C168</f>
        <v/>
      </c>
      <c r="E171" s="28">
        <f>IFERROR(C171/MetasMensais!C168,0)</f>
        <v/>
      </c>
      <c r="F171" s="25">
        <f>IF(C171&gt;=MetasMensais!C168,"Atingida","Não atingida")</f>
        <v/>
      </c>
    </row>
    <row r="172">
      <c r="A172" s="21" t="inlineStr">
        <is>
          <t>L07</t>
        </is>
      </c>
      <c r="B172" s="32" t="n">
        <v>45992</v>
      </c>
      <c r="C172" s="23">
        <f>SUMIFS(Base_Analise!$U$2:$U$4546,Base_Analise!$K$2:$K$4546,A172,Base_Analise!$F$2:$F$4546,"&gt;="&amp;B172,Base_Analise!$F$2:$F$4546,"&lt;"&amp;EDATE(B172,1),Base_Analise!$I$2:$I$4546,"Entregue")</f>
        <v/>
      </c>
      <c r="D172" s="23">
        <f>C172-MetasMensais!C169</f>
        <v/>
      </c>
      <c r="E172" s="24">
        <f>IFERROR(C172/MetasMensais!C169,0)</f>
        <v/>
      </c>
      <c r="F172" s="21">
        <f>IF(C172&gt;=MetasMensais!C169,"Atingida","Não atingida")</f>
        <v/>
      </c>
    </row>
    <row r="173">
      <c r="A173" s="25" t="inlineStr">
        <is>
          <t>L08</t>
        </is>
      </c>
      <c r="B173" s="31" t="n">
        <v>45292</v>
      </c>
      <c r="C173" s="27">
        <f>SUMIFS(Base_Analise!$U$2:$U$4546,Base_Analise!$K$2:$K$4546,A173,Base_Analise!$F$2:$F$4546,"&gt;="&amp;B173,Base_Analise!$F$2:$F$4546,"&lt;"&amp;EDATE(B173,1),Base_Analise!$I$2:$I$4546,"Entregue")</f>
        <v/>
      </c>
      <c r="D173" s="27">
        <f>C173-MetasMensais!C170</f>
        <v/>
      </c>
      <c r="E173" s="28">
        <f>IFERROR(C173/MetasMensais!C170,0)</f>
        <v/>
      </c>
      <c r="F173" s="25">
        <f>IF(C173&gt;=MetasMensais!C170,"Atingida","Não atingida")</f>
        <v/>
      </c>
    </row>
    <row r="174">
      <c r="A174" s="21" t="inlineStr">
        <is>
          <t>L08</t>
        </is>
      </c>
      <c r="B174" s="32" t="n">
        <v>45323</v>
      </c>
      <c r="C174" s="23">
        <f>SUMIFS(Base_Analise!$U$2:$U$4546,Base_Analise!$K$2:$K$4546,A174,Base_Analise!$F$2:$F$4546,"&gt;="&amp;B174,Base_Analise!$F$2:$F$4546,"&lt;"&amp;EDATE(B174,1),Base_Analise!$I$2:$I$4546,"Entregue")</f>
        <v/>
      </c>
      <c r="D174" s="23">
        <f>C174-MetasMensais!C171</f>
        <v/>
      </c>
      <c r="E174" s="24">
        <f>IFERROR(C174/MetasMensais!C171,0)</f>
        <v/>
      </c>
      <c r="F174" s="21">
        <f>IF(C174&gt;=MetasMensais!C171,"Atingida","Não atingida")</f>
        <v/>
      </c>
    </row>
    <row r="175">
      <c r="A175" s="25" t="inlineStr">
        <is>
          <t>L08</t>
        </is>
      </c>
      <c r="B175" s="31" t="n">
        <v>45352</v>
      </c>
      <c r="C175" s="27">
        <f>SUMIFS(Base_Analise!$U$2:$U$4546,Base_Analise!$K$2:$K$4546,A175,Base_Analise!$F$2:$F$4546,"&gt;="&amp;B175,Base_Analise!$F$2:$F$4546,"&lt;"&amp;EDATE(B175,1),Base_Analise!$I$2:$I$4546,"Entregue")</f>
        <v/>
      </c>
      <c r="D175" s="27">
        <f>C175-MetasMensais!C172</f>
        <v/>
      </c>
      <c r="E175" s="28">
        <f>IFERROR(C175/MetasMensais!C172,0)</f>
        <v/>
      </c>
      <c r="F175" s="25">
        <f>IF(C175&gt;=MetasMensais!C172,"Atingida","Não atingida")</f>
        <v/>
      </c>
    </row>
    <row r="176">
      <c r="A176" s="21" t="inlineStr">
        <is>
          <t>L08</t>
        </is>
      </c>
      <c r="B176" s="32" t="n">
        <v>45383</v>
      </c>
      <c r="C176" s="23">
        <f>SUMIFS(Base_Analise!$U$2:$U$4546,Base_Analise!$K$2:$K$4546,A176,Base_Analise!$F$2:$F$4546,"&gt;="&amp;B176,Base_Analise!$F$2:$F$4546,"&lt;"&amp;EDATE(B176,1),Base_Analise!$I$2:$I$4546,"Entregue")</f>
        <v/>
      </c>
      <c r="D176" s="23">
        <f>C176-MetasMensais!C173</f>
        <v/>
      </c>
      <c r="E176" s="24">
        <f>IFERROR(C176/MetasMensais!C173,0)</f>
        <v/>
      </c>
      <c r="F176" s="21">
        <f>IF(C176&gt;=MetasMensais!C173,"Atingida","Não atingida")</f>
        <v/>
      </c>
    </row>
    <row r="177">
      <c r="A177" s="25" t="inlineStr">
        <is>
          <t>L08</t>
        </is>
      </c>
      <c r="B177" s="31" t="n">
        <v>45413</v>
      </c>
      <c r="C177" s="27">
        <f>SUMIFS(Base_Analise!$U$2:$U$4546,Base_Analise!$K$2:$K$4546,A177,Base_Analise!$F$2:$F$4546,"&gt;="&amp;B177,Base_Analise!$F$2:$F$4546,"&lt;"&amp;EDATE(B177,1),Base_Analise!$I$2:$I$4546,"Entregue")</f>
        <v/>
      </c>
      <c r="D177" s="27">
        <f>C177-MetasMensais!C174</f>
        <v/>
      </c>
      <c r="E177" s="28">
        <f>IFERROR(C177/MetasMensais!C174,0)</f>
        <v/>
      </c>
      <c r="F177" s="25">
        <f>IF(C177&gt;=MetasMensais!C174,"Atingida","Não atingida")</f>
        <v/>
      </c>
    </row>
    <row r="178">
      <c r="A178" s="21" t="inlineStr">
        <is>
          <t>L08</t>
        </is>
      </c>
      <c r="B178" s="32" t="n">
        <v>45444</v>
      </c>
      <c r="C178" s="23">
        <f>SUMIFS(Base_Analise!$U$2:$U$4546,Base_Analise!$K$2:$K$4546,A178,Base_Analise!$F$2:$F$4546,"&gt;="&amp;B178,Base_Analise!$F$2:$F$4546,"&lt;"&amp;EDATE(B178,1),Base_Analise!$I$2:$I$4546,"Entregue")</f>
        <v/>
      </c>
      <c r="D178" s="23">
        <f>C178-MetasMensais!C175</f>
        <v/>
      </c>
      <c r="E178" s="24">
        <f>IFERROR(C178/MetasMensais!C175,0)</f>
        <v/>
      </c>
      <c r="F178" s="21">
        <f>IF(C178&gt;=MetasMensais!C175,"Atingida","Não atingida")</f>
        <v/>
      </c>
    </row>
    <row r="179">
      <c r="A179" s="25" t="inlineStr">
        <is>
          <t>L08</t>
        </is>
      </c>
      <c r="B179" s="31" t="n">
        <v>45474</v>
      </c>
      <c r="C179" s="27">
        <f>SUMIFS(Base_Analise!$U$2:$U$4546,Base_Analise!$K$2:$K$4546,A179,Base_Analise!$F$2:$F$4546,"&gt;="&amp;B179,Base_Analise!$F$2:$F$4546,"&lt;"&amp;EDATE(B179,1),Base_Analise!$I$2:$I$4546,"Entregue")</f>
        <v/>
      </c>
      <c r="D179" s="27">
        <f>C179-MetasMensais!C176</f>
        <v/>
      </c>
      <c r="E179" s="28">
        <f>IFERROR(C179/MetasMensais!C176,0)</f>
        <v/>
      </c>
      <c r="F179" s="25">
        <f>IF(C179&gt;=MetasMensais!C176,"Atingida","Não atingida")</f>
        <v/>
      </c>
    </row>
    <row r="180">
      <c r="A180" s="21" t="inlineStr">
        <is>
          <t>L08</t>
        </is>
      </c>
      <c r="B180" s="32" t="n">
        <v>45505</v>
      </c>
      <c r="C180" s="23">
        <f>SUMIFS(Base_Analise!$U$2:$U$4546,Base_Analise!$K$2:$K$4546,A180,Base_Analise!$F$2:$F$4546,"&gt;="&amp;B180,Base_Analise!$F$2:$F$4546,"&lt;"&amp;EDATE(B180,1),Base_Analise!$I$2:$I$4546,"Entregue")</f>
        <v/>
      </c>
      <c r="D180" s="23">
        <f>C180-MetasMensais!C177</f>
        <v/>
      </c>
      <c r="E180" s="24">
        <f>IFERROR(C180/MetasMensais!C177,0)</f>
        <v/>
      </c>
      <c r="F180" s="21">
        <f>IF(C180&gt;=MetasMensais!C177,"Atingida","Não atingida")</f>
        <v/>
      </c>
    </row>
    <row r="181">
      <c r="A181" s="25" t="inlineStr">
        <is>
          <t>L08</t>
        </is>
      </c>
      <c r="B181" s="31" t="n">
        <v>45536</v>
      </c>
      <c r="C181" s="27">
        <f>SUMIFS(Base_Analise!$U$2:$U$4546,Base_Analise!$K$2:$K$4546,A181,Base_Analise!$F$2:$F$4546,"&gt;="&amp;B181,Base_Analise!$F$2:$F$4546,"&lt;"&amp;EDATE(B181,1),Base_Analise!$I$2:$I$4546,"Entregue")</f>
        <v/>
      </c>
      <c r="D181" s="27">
        <f>C181-MetasMensais!C178</f>
        <v/>
      </c>
      <c r="E181" s="28">
        <f>IFERROR(C181/MetasMensais!C178,0)</f>
        <v/>
      </c>
      <c r="F181" s="25">
        <f>IF(C181&gt;=MetasMensais!C178,"Atingida","Não atingida")</f>
        <v/>
      </c>
    </row>
    <row r="182">
      <c r="A182" s="21" t="inlineStr">
        <is>
          <t>L08</t>
        </is>
      </c>
      <c r="B182" s="32" t="n">
        <v>45566</v>
      </c>
      <c r="C182" s="23">
        <f>SUMIFS(Base_Analise!$U$2:$U$4546,Base_Analise!$K$2:$K$4546,A182,Base_Analise!$F$2:$F$4546,"&gt;="&amp;B182,Base_Analise!$F$2:$F$4546,"&lt;"&amp;EDATE(B182,1),Base_Analise!$I$2:$I$4546,"Entregue")</f>
        <v/>
      </c>
      <c r="D182" s="23">
        <f>C182-MetasMensais!C179</f>
        <v/>
      </c>
      <c r="E182" s="24">
        <f>IFERROR(C182/MetasMensais!C179,0)</f>
        <v/>
      </c>
      <c r="F182" s="21">
        <f>IF(C182&gt;=MetasMensais!C179,"Atingida","Não atingida")</f>
        <v/>
      </c>
    </row>
    <row r="183">
      <c r="A183" s="25" t="inlineStr">
        <is>
          <t>L08</t>
        </is>
      </c>
      <c r="B183" s="31" t="n">
        <v>45597</v>
      </c>
      <c r="C183" s="27">
        <f>SUMIFS(Base_Analise!$U$2:$U$4546,Base_Analise!$K$2:$K$4546,A183,Base_Analise!$F$2:$F$4546,"&gt;="&amp;B183,Base_Analise!$F$2:$F$4546,"&lt;"&amp;EDATE(B183,1),Base_Analise!$I$2:$I$4546,"Entregue")</f>
        <v/>
      </c>
      <c r="D183" s="27">
        <f>C183-MetasMensais!C180</f>
        <v/>
      </c>
      <c r="E183" s="28">
        <f>IFERROR(C183/MetasMensais!C180,0)</f>
        <v/>
      </c>
      <c r="F183" s="25">
        <f>IF(C183&gt;=MetasMensais!C180,"Atingida","Não atingida")</f>
        <v/>
      </c>
    </row>
    <row r="184">
      <c r="A184" s="21" t="inlineStr">
        <is>
          <t>L08</t>
        </is>
      </c>
      <c r="B184" s="32" t="n">
        <v>45627</v>
      </c>
      <c r="C184" s="23">
        <f>SUMIFS(Base_Analise!$U$2:$U$4546,Base_Analise!$K$2:$K$4546,A184,Base_Analise!$F$2:$F$4546,"&gt;="&amp;B184,Base_Analise!$F$2:$F$4546,"&lt;"&amp;EDATE(B184,1),Base_Analise!$I$2:$I$4546,"Entregue")</f>
        <v/>
      </c>
      <c r="D184" s="23">
        <f>C184-MetasMensais!C181</f>
        <v/>
      </c>
      <c r="E184" s="24">
        <f>IFERROR(C184/MetasMensais!C181,0)</f>
        <v/>
      </c>
      <c r="F184" s="21">
        <f>IF(C184&gt;=MetasMensais!C181,"Atingida","Não atingida")</f>
        <v/>
      </c>
    </row>
    <row r="185">
      <c r="A185" s="25" t="inlineStr">
        <is>
          <t>L08</t>
        </is>
      </c>
      <c r="B185" s="31" t="n">
        <v>45658</v>
      </c>
      <c r="C185" s="27">
        <f>SUMIFS(Base_Analise!$U$2:$U$4546,Base_Analise!$K$2:$K$4546,A185,Base_Analise!$F$2:$F$4546,"&gt;="&amp;B185,Base_Analise!$F$2:$F$4546,"&lt;"&amp;EDATE(B185,1),Base_Analise!$I$2:$I$4546,"Entregue")</f>
        <v/>
      </c>
      <c r="D185" s="27">
        <f>C185-MetasMensais!C182</f>
        <v/>
      </c>
      <c r="E185" s="28">
        <f>IFERROR(C185/MetasMensais!C182,0)</f>
        <v/>
      </c>
      <c r="F185" s="25">
        <f>IF(C185&gt;=MetasMensais!C182,"Atingida","Não atingida")</f>
        <v/>
      </c>
    </row>
    <row r="186">
      <c r="A186" s="21" t="inlineStr">
        <is>
          <t>L08</t>
        </is>
      </c>
      <c r="B186" s="32" t="n">
        <v>45689</v>
      </c>
      <c r="C186" s="23">
        <f>SUMIFS(Base_Analise!$U$2:$U$4546,Base_Analise!$K$2:$K$4546,A186,Base_Analise!$F$2:$F$4546,"&gt;="&amp;B186,Base_Analise!$F$2:$F$4546,"&lt;"&amp;EDATE(B186,1),Base_Analise!$I$2:$I$4546,"Entregue")</f>
        <v/>
      </c>
      <c r="D186" s="23">
        <f>C186-MetasMensais!C183</f>
        <v/>
      </c>
      <c r="E186" s="24">
        <f>IFERROR(C186/MetasMensais!C183,0)</f>
        <v/>
      </c>
      <c r="F186" s="21">
        <f>IF(C186&gt;=MetasMensais!C183,"Atingida","Não atingida")</f>
        <v/>
      </c>
    </row>
    <row r="187">
      <c r="A187" s="25" t="inlineStr">
        <is>
          <t>L08</t>
        </is>
      </c>
      <c r="B187" s="31" t="n">
        <v>45717</v>
      </c>
      <c r="C187" s="27">
        <f>SUMIFS(Base_Analise!$U$2:$U$4546,Base_Analise!$K$2:$K$4546,A187,Base_Analise!$F$2:$F$4546,"&gt;="&amp;B187,Base_Analise!$F$2:$F$4546,"&lt;"&amp;EDATE(B187,1),Base_Analise!$I$2:$I$4546,"Entregue")</f>
        <v/>
      </c>
      <c r="D187" s="27">
        <f>C187-MetasMensais!C184</f>
        <v/>
      </c>
      <c r="E187" s="28">
        <f>IFERROR(C187/MetasMensais!C184,0)</f>
        <v/>
      </c>
      <c r="F187" s="25">
        <f>IF(C187&gt;=MetasMensais!C184,"Atingida","Não atingida")</f>
        <v/>
      </c>
    </row>
    <row r="188">
      <c r="A188" s="21" t="inlineStr">
        <is>
          <t>L08</t>
        </is>
      </c>
      <c r="B188" s="32" t="n">
        <v>45748</v>
      </c>
      <c r="C188" s="23">
        <f>SUMIFS(Base_Analise!$U$2:$U$4546,Base_Analise!$K$2:$K$4546,A188,Base_Analise!$F$2:$F$4546,"&gt;="&amp;B188,Base_Analise!$F$2:$F$4546,"&lt;"&amp;EDATE(B188,1),Base_Analise!$I$2:$I$4546,"Entregue")</f>
        <v/>
      </c>
      <c r="D188" s="23">
        <f>C188-MetasMensais!C185</f>
        <v/>
      </c>
      <c r="E188" s="24">
        <f>IFERROR(C188/MetasMensais!C185,0)</f>
        <v/>
      </c>
      <c r="F188" s="21">
        <f>IF(C188&gt;=MetasMensais!C185,"Atingida","Não atingida")</f>
        <v/>
      </c>
    </row>
    <row r="189">
      <c r="A189" s="25" t="inlineStr">
        <is>
          <t>L08</t>
        </is>
      </c>
      <c r="B189" s="31" t="n">
        <v>45778</v>
      </c>
      <c r="C189" s="27">
        <f>SUMIFS(Base_Analise!$U$2:$U$4546,Base_Analise!$K$2:$K$4546,A189,Base_Analise!$F$2:$F$4546,"&gt;="&amp;B189,Base_Analise!$F$2:$F$4546,"&lt;"&amp;EDATE(B189,1),Base_Analise!$I$2:$I$4546,"Entregue")</f>
        <v/>
      </c>
      <c r="D189" s="27">
        <f>C189-MetasMensais!C186</f>
        <v/>
      </c>
      <c r="E189" s="28">
        <f>IFERROR(C189/MetasMensais!C186,0)</f>
        <v/>
      </c>
      <c r="F189" s="25">
        <f>IF(C189&gt;=MetasMensais!C186,"Atingida","Não atingida")</f>
        <v/>
      </c>
    </row>
    <row r="190">
      <c r="A190" s="21" t="inlineStr">
        <is>
          <t>L08</t>
        </is>
      </c>
      <c r="B190" s="32" t="n">
        <v>45809</v>
      </c>
      <c r="C190" s="23">
        <f>SUMIFS(Base_Analise!$U$2:$U$4546,Base_Analise!$K$2:$K$4546,A190,Base_Analise!$F$2:$F$4546,"&gt;="&amp;B190,Base_Analise!$F$2:$F$4546,"&lt;"&amp;EDATE(B190,1),Base_Analise!$I$2:$I$4546,"Entregue")</f>
        <v/>
      </c>
      <c r="D190" s="23">
        <f>C190-MetasMensais!C187</f>
        <v/>
      </c>
      <c r="E190" s="24">
        <f>IFERROR(C190/MetasMensais!C187,0)</f>
        <v/>
      </c>
      <c r="F190" s="21">
        <f>IF(C190&gt;=MetasMensais!C187,"Atingida","Não atingida")</f>
        <v/>
      </c>
    </row>
    <row r="191">
      <c r="A191" s="25" t="inlineStr">
        <is>
          <t>L08</t>
        </is>
      </c>
      <c r="B191" s="31" t="n">
        <v>45839</v>
      </c>
      <c r="C191" s="27">
        <f>SUMIFS(Base_Analise!$U$2:$U$4546,Base_Analise!$K$2:$K$4546,A191,Base_Analise!$F$2:$F$4546,"&gt;="&amp;B191,Base_Analise!$F$2:$F$4546,"&lt;"&amp;EDATE(B191,1),Base_Analise!$I$2:$I$4546,"Entregue")</f>
        <v/>
      </c>
      <c r="D191" s="27">
        <f>C191-MetasMensais!C188</f>
        <v/>
      </c>
      <c r="E191" s="28">
        <f>IFERROR(C191/MetasMensais!C188,0)</f>
        <v/>
      </c>
      <c r="F191" s="25">
        <f>IF(C191&gt;=MetasMensais!C188,"Atingida","Não atingida")</f>
        <v/>
      </c>
    </row>
    <row r="192">
      <c r="A192" s="21" t="inlineStr">
        <is>
          <t>L08</t>
        </is>
      </c>
      <c r="B192" s="32" t="n">
        <v>45870</v>
      </c>
      <c r="C192" s="23">
        <f>SUMIFS(Base_Analise!$U$2:$U$4546,Base_Analise!$K$2:$K$4546,A192,Base_Analise!$F$2:$F$4546,"&gt;="&amp;B192,Base_Analise!$F$2:$F$4546,"&lt;"&amp;EDATE(B192,1),Base_Analise!$I$2:$I$4546,"Entregue")</f>
        <v/>
      </c>
      <c r="D192" s="23">
        <f>C192-MetasMensais!C189</f>
        <v/>
      </c>
      <c r="E192" s="24">
        <f>IFERROR(C192/MetasMensais!C189,0)</f>
        <v/>
      </c>
      <c r="F192" s="21">
        <f>IF(C192&gt;=MetasMensais!C189,"Atingida","Não atingida")</f>
        <v/>
      </c>
    </row>
    <row r="193">
      <c r="A193" s="25" t="inlineStr">
        <is>
          <t>L08</t>
        </is>
      </c>
      <c r="B193" s="31" t="n">
        <v>45901</v>
      </c>
      <c r="C193" s="27">
        <f>SUMIFS(Base_Analise!$U$2:$U$4546,Base_Analise!$K$2:$K$4546,A193,Base_Analise!$F$2:$F$4546,"&gt;="&amp;B193,Base_Analise!$F$2:$F$4546,"&lt;"&amp;EDATE(B193,1),Base_Analise!$I$2:$I$4546,"Entregue")</f>
        <v/>
      </c>
      <c r="D193" s="27">
        <f>C193-MetasMensais!C190</f>
        <v/>
      </c>
      <c r="E193" s="28">
        <f>IFERROR(C193/MetasMensais!C190,0)</f>
        <v/>
      </c>
      <c r="F193" s="25">
        <f>IF(C193&gt;=MetasMensais!C190,"Atingida","Não atingida")</f>
        <v/>
      </c>
    </row>
    <row r="194">
      <c r="A194" s="21" t="inlineStr">
        <is>
          <t>L08</t>
        </is>
      </c>
      <c r="B194" s="32" t="n">
        <v>45931</v>
      </c>
      <c r="C194" s="23">
        <f>SUMIFS(Base_Analise!$U$2:$U$4546,Base_Analise!$K$2:$K$4546,A194,Base_Analise!$F$2:$F$4546,"&gt;="&amp;B194,Base_Analise!$F$2:$F$4546,"&lt;"&amp;EDATE(B194,1),Base_Analise!$I$2:$I$4546,"Entregue")</f>
        <v/>
      </c>
      <c r="D194" s="23">
        <f>C194-MetasMensais!C191</f>
        <v/>
      </c>
      <c r="E194" s="24">
        <f>IFERROR(C194/MetasMensais!C191,0)</f>
        <v/>
      </c>
      <c r="F194" s="21">
        <f>IF(C194&gt;=MetasMensais!C191,"Atingida","Não atingida")</f>
        <v/>
      </c>
    </row>
    <row r="195">
      <c r="A195" s="25" t="inlineStr">
        <is>
          <t>L08</t>
        </is>
      </c>
      <c r="B195" s="31" t="n">
        <v>45962</v>
      </c>
      <c r="C195" s="27">
        <f>SUMIFS(Base_Analise!$U$2:$U$4546,Base_Analise!$K$2:$K$4546,A195,Base_Analise!$F$2:$F$4546,"&gt;="&amp;B195,Base_Analise!$F$2:$F$4546,"&lt;"&amp;EDATE(B195,1),Base_Analise!$I$2:$I$4546,"Entregue")</f>
        <v/>
      </c>
      <c r="D195" s="27">
        <f>C195-MetasMensais!C192</f>
        <v/>
      </c>
      <c r="E195" s="28">
        <f>IFERROR(C195/MetasMensais!C192,0)</f>
        <v/>
      </c>
      <c r="F195" s="25">
        <f>IF(C195&gt;=MetasMensais!C192,"Atingida","Não atingida")</f>
        <v/>
      </c>
    </row>
    <row r="196">
      <c r="A196" s="21" t="inlineStr">
        <is>
          <t>L08</t>
        </is>
      </c>
      <c r="B196" s="32" t="n">
        <v>45992</v>
      </c>
      <c r="C196" s="23">
        <f>SUMIFS(Base_Analise!$U$2:$U$4546,Base_Analise!$K$2:$K$4546,A196,Base_Analise!$F$2:$F$4546,"&gt;="&amp;B196,Base_Analise!$F$2:$F$4546,"&lt;"&amp;EDATE(B196,1),Base_Analise!$I$2:$I$4546,"Entregue")</f>
        <v/>
      </c>
      <c r="D196" s="23">
        <f>C196-MetasMensais!C193</f>
        <v/>
      </c>
      <c r="E196" s="24">
        <f>IFERROR(C196/MetasMensais!C193,0)</f>
        <v/>
      </c>
      <c r="F196" s="21">
        <f>IF(C196&gt;=MetasMensais!C193,"Atingida","Não atingida")</f>
        <v/>
      </c>
    </row>
  </sheetData>
  <autoFilter ref="A4:F196"/>
  <mergeCells count="2">
    <mergeCell ref="A2:F2"/>
    <mergeCell ref="A1:F1"/>
  </mergeCells>
  <conditionalFormatting sqref="F5:F196">
    <cfRule type="cellIs" priority="1" operator="equal" dxfId="0">
      <formula>"Atingida"</formula>
    </cfRule>
    <cfRule type="cellIs" priority="2" operator="equal" dxfId="1">
      <formula>"Não atingida"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 ht="36" customHeight="1">
      <c r="A1" s="8" t="inlineStr">
        <is>
          <t>CATEGORIAS E PRODUTOS</t>
        </is>
      </c>
    </row>
    <row r="2" ht="24" customHeight="1">
      <c r="A2" s="9" t="inlineStr">
        <is>
          <t>Receita, receita líquida, lucro e margem por categoria e produto.</t>
        </is>
      </c>
    </row>
    <row r="4" ht="30" customHeight="1">
      <c r="A4" s="20" t="inlineStr">
        <is>
          <t>Categoria</t>
        </is>
      </c>
      <c r="B4" s="20" t="inlineStr">
        <is>
          <t>Faturamento Bruto</t>
        </is>
      </c>
      <c r="C4" s="20" t="inlineStr">
        <is>
          <t>Receita Líquida</t>
        </is>
      </c>
      <c r="D4" s="20" t="inlineStr">
        <is>
          <t>Lucro Após Descontos</t>
        </is>
      </c>
    </row>
    <row r="5">
      <c r="A5" s="25" t="inlineStr">
        <is>
          <t>Eletroportáteis</t>
        </is>
      </c>
      <c r="B5" s="27">
        <f>SUMIFS(Base_Analise!$R$2:$R$4546,Base_Analise!$O$2:$O$4546,A5,Base_Analise!$I$2:$I$4546,"Entregue")</f>
        <v/>
      </c>
      <c r="C5" s="27">
        <f>SUMIFS(Base_Analise!$U$2:$U$4546,Base_Analise!$O$2:$O$4546,A5,Base_Analise!$I$2:$I$4546,"Entregue")</f>
        <v/>
      </c>
      <c r="D5" s="27">
        <f>SUMIFS(Base_Analise!$W$2:$W$4546,Base_Analise!$O$2:$O$4546,A5,Base_Analise!$I$2:$I$4546,"Entregue")</f>
        <v/>
      </c>
    </row>
    <row r="6">
      <c r="A6" s="21" t="inlineStr">
        <is>
          <t>Informática</t>
        </is>
      </c>
      <c r="B6" s="23">
        <f>SUMIFS(Base_Analise!$R$2:$R$4546,Base_Analise!$O$2:$O$4546,A6,Base_Analise!$I$2:$I$4546,"Entregue")</f>
        <v/>
      </c>
      <c r="C6" s="23">
        <f>SUMIFS(Base_Analise!$U$2:$U$4546,Base_Analise!$O$2:$O$4546,A6,Base_Analise!$I$2:$I$4546,"Entregue")</f>
        <v/>
      </c>
      <c r="D6" s="23">
        <f>SUMIFS(Base_Analise!$W$2:$W$4546,Base_Analise!$O$2:$O$4546,A6,Base_Analise!$I$2:$I$4546,"Entregue")</f>
        <v/>
      </c>
    </row>
    <row r="7">
      <c r="A7" s="25" t="inlineStr">
        <is>
          <t>Móveis</t>
        </is>
      </c>
      <c r="B7" s="27">
        <f>SUMIFS(Base_Analise!$R$2:$R$4546,Base_Analise!$O$2:$O$4546,A7,Base_Analise!$I$2:$I$4546,"Entregue")</f>
        <v/>
      </c>
      <c r="C7" s="27">
        <f>SUMIFS(Base_Analise!$U$2:$U$4546,Base_Analise!$O$2:$O$4546,A7,Base_Analise!$I$2:$I$4546,"Entregue")</f>
        <v/>
      </c>
      <c r="D7" s="27">
        <f>SUMIFS(Base_Analise!$W$2:$W$4546,Base_Analise!$O$2:$O$4546,A7,Base_Analise!$I$2:$I$4546,"Entregue")</f>
        <v/>
      </c>
    </row>
    <row r="8">
      <c r="A8" s="21" t="inlineStr">
        <is>
          <t>Papelaria</t>
        </is>
      </c>
      <c r="B8" s="23">
        <f>SUMIFS(Base_Analise!$R$2:$R$4546,Base_Analise!$O$2:$O$4546,A8,Base_Analise!$I$2:$I$4546,"Entregue")</f>
        <v/>
      </c>
      <c r="C8" s="23">
        <f>SUMIFS(Base_Analise!$U$2:$U$4546,Base_Analise!$O$2:$O$4546,A8,Base_Analise!$I$2:$I$4546,"Entregue")</f>
        <v/>
      </c>
      <c r="D8" s="23">
        <f>SUMIFS(Base_Analise!$W$2:$W$4546,Base_Analise!$O$2:$O$4546,A8,Base_Analise!$I$2:$I$4546,"Entregue")</f>
        <v/>
      </c>
    </row>
    <row r="9">
      <c r="A9" s="25" t="inlineStr">
        <is>
          <t>Telefonia</t>
        </is>
      </c>
      <c r="B9" s="27">
        <f>SUMIFS(Base_Analise!$R$2:$R$4546,Base_Analise!$O$2:$O$4546,A9,Base_Analise!$I$2:$I$4546,"Entregue")</f>
        <v/>
      </c>
      <c r="C9" s="27">
        <f>SUMIFS(Base_Analise!$U$2:$U$4546,Base_Analise!$O$2:$O$4546,A9,Base_Analise!$I$2:$I$4546,"Entregue")</f>
        <v/>
      </c>
      <c r="D9" s="27">
        <f>SUMIFS(Base_Analise!$W$2:$W$4546,Base_Analise!$O$2:$O$4546,A9,Base_Analise!$I$2:$I$4546,"Entregue")</f>
        <v/>
      </c>
    </row>
    <row r="12" ht="30" customHeight="1">
      <c r="A12" s="20" t="inlineStr">
        <is>
          <t>Produto</t>
        </is>
      </c>
      <c r="B12" s="20" t="inlineStr">
        <is>
          <t>Categoria</t>
        </is>
      </c>
      <c r="C12" s="20" t="inlineStr">
        <is>
          <t>Faturamento Bruto</t>
        </is>
      </c>
      <c r="D12" s="20" t="inlineStr">
        <is>
          <t>Receita Líquida</t>
        </is>
      </c>
      <c r="E12" s="20" t="inlineStr">
        <is>
          <t>Lucro Após Descontos</t>
        </is>
      </c>
      <c r="F12" s="20" t="inlineStr">
        <is>
          <t>Margem</t>
        </is>
      </c>
    </row>
    <row r="13">
      <c r="A13" s="25">
        <f>Produtos!B2</f>
        <v/>
      </c>
      <c r="B13" s="25">
        <f>Produtos!C2</f>
        <v/>
      </c>
      <c r="C13" s="27">
        <f>SUMIFS(Base_Analise!$R$2:$R$4546,Base_Analise!$N$2:$N$4546,A13,Base_Analise!$I$2:$I$4546,"Entregue")</f>
        <v/>
      </c>
      <c r="D13" s="27">
        <f>SUMIFS(Base_Analise!$U$2:$U$4546,Base_Analise!$N$2:$N$4546,A13,Base_Analise!$I$2:$I$4546,"Entregue")</f>
        <v/>
      </c>
      <c r="E13" s="27">
        <f>SUMIFS(Base_Analise!$W$2:$W$4546,Base_Analise!$N$2:$N$4546,A13,Base_Analise!$I$2:$I$4546,"Entregue")</f>
        <v/>
      </c>
      <c r="F13" s="28">
        <f>IFERROR(E13/D13,0)</f>
        <v/>
      </c>
    </row>
    <row r="14">
      <c r="A14" s="21">
        <f>Produtos!B3</f>
        <v/>
      </c>
      <c r="B14" s="21">
        <f>Produtos!C3</f>
        <v/>
      </c>
      <c r="C14" s="23">
        <f>SUMIFS(Base_Analise!$R$2:$R$4546,Base_Analise!$N$2:$N$4546,A14,Base_Analise!$I$2:$I$4546,"Entregue")</f>
        <v/>
      </c>
      <c r="D14" s="23">
        <f>SUMIFS(Base_Analise!$U$2:$U$4546,Base_Analise!$N$2:$N$4546,A14,Base_Analise!$I$2:$I$4546,"Entregue")</f>
        <v/>
      </c>
      <c r="E14" s="23">
        <f>SUMIFS(Base_Analise!$W$2:$W$4546,Base_Analise!$N$2:$N$4546,A14,Base_Analise!$I$2:$I$4546,"Entregue")</f>
        <v/>
      </c>
      <c r="F14" s="24">
        <f>IFERROR(E14/D14,0)</f>
        <v/>
      </c>
    </row>
    <row r="15">
      <c r="A15" s="25">
        <f>Produtos!B4</f>
        <v/>
      </c>
      <c r="B15" s="25">
        <f>Produtos!C4</f>
        <v/>
      </c>
      <c r="C15" s="27">
        <f>SUMIFS(Base_Analise!$R$2:$R$4546,Base_Analise!$N$2:$N$4546,A15,Base_Analise!$I$2:$I$4546,"Entregue")</f>
        <v/>
      </c>
      <c r="D15" s="27">
        <f>SUMIFS(Base_Analise!$U$2:$U$4546,Base_Analise!$N$2:$N$4546,A15,Base_Analise!$I$2:$I$4546,"Entregue")</f>
        <v/>
      </c>
      <c r="E15" s="27">
        <f>SUMIFS(Base_Analise!$W$2:$W$4546,Base_Analise!$N$2:$N$4546,A15,Base_Analise!$I$2:$I$4546,"Entregue")</f>
        <v/>
      </c>
      <c r="F15" s="28">
        <f>IFERROR(E15/D15,0)</f>
        <v/>
      </c>
    </row>
    <row r="16">
      <c r="A16" s="21">
        <f>Produtos!B5</f>
        <v/>
      </c>
      <c r="B16" s="21">
        <f>Produtos!C5</f>
        <v/>
      </c>
      <c r="C16" s="23">
        <f>SUMIFS(Base_Analise!$R$2:$R$4546,Base_Analise!$N$2:$N$4546,A16,Base_Analise!$I$2:$I$4546,"Entregue")</f>
        <v/>
      </c>
      <c r="D16" s="23">
        <f>SUMIFS(Base_Analise!$U$2:$U$4546,Base_Analise!$N$2:$N$4546,A16,Base_Analise!$I$2:$I$4546,"Entregue")</f>
        <v/>
      </c>
      <c r="E16" s="23">
        <f>SUMIFS(Base_Analise!$W$2:$W$4546,Base_Analise!$N$2:$N$4546,A16,Base_Analise!$I$2:$I$4546,"Entregue")</f>
        <v/>
      </c>
      <c r="F16" s="24">
        <f>IFERROR(E16/D16,0)</f>
        <v/>
      </c>
    </row>
    <row r="17">
      <c r="A17" s="25">
        <f>Produtos!B6</f>
        <v/>
      </c>
      <c r="B17" s="25">
        <f>Produtos!C6</f>
        <v/>
      </c>
      <c r="C17" s="27">
        <f>SUMIFS(Base_Analise!$R$2:$R$4546,Base_Analise!$N$2:$N$4546,A17,Base_Analise!$I$2:$I$4546,"Entregue")</f>
        <v/>
      </c>
      <c r="D17" s="27">
        <f>SUMIFS(Base_Analise!$U$2:$U$4546,Base_Analise!$N$2:$N$4546,A17,Base_Analise!$I$2:$I$4546,"Entregue")</f>
        <v/>
      </c>
      <c r="E17" s="27">
        <f>SUMIFS(Base_Analise!$W$2:$W$4546,Base_Analise!$N$2:$N$4546,A17,Base_Analise!$I$2:$I$4546,"Entregue")</f>
        <v/>
      </c>
      <c r="F17" s="28">
        <f>IFERROR(E17/D17,0)</f>
        <v/>
      </c>
    </row>
    <row r="18">
      <c r="A18" s="21">
        <f>Produtos!B7</f>
        <v/>
      </c>
      <c r="B18" s="21">
        <f>Produtos!C7</f>
        <v/>
      </c>
      <c r="C18" s="23">
        <f>SUMIFS(Base_Analise!$R$2:$R$4546,Base_Analise!$N$2:$N$4546,A18,Base_Analise!$I$2:$I$4546,"Entregue")</f>
        <v/>
      </c>
      <c r="D18" s="23">
        <f>SUMIFS(Base_Analise!$U$2:$U$4546,Base_Analise!$N$2:$N$4546,A18,Base_Analise!$I$2:$I$4546,"Entregue")</f>
        <v/>
      </c>
      <c r="E18" s="23">
        <f>SUMIFS(Base_Analise!$W$2:$W$4546,Base_Analise!$N$2:$N$4546,A18,Base_Analise!$I$2:$I$4546,"Entregue")</f>
        <v/>
      </c>
      <c r="F18" s="24">
        <f>IFERROR(E18/D18,0)</f>
        <v/>
      </c>
    </row>
    <row r="19">
      <c r="A19" s="25">
        <f>Produtos!B8</f>
        <v/>
      </c>
      <c r="B19" s="25">
        <f>Produtos!C8</f>
        <v/>
      </c>
      <c r="C19" s="27">
        <f>SUMIFS(Base_Analise!$R$2:$R$4546,Base_Analise!$N$2:$N$4546,A19,Base_Analise!$I$2:$I$4546,"Entregue")</f>
        <v/>
      </c>
      <c r="D19" s="27">
        <f>SUMIFS(Base_Analise!$U$2:$U$4546,Base_Analise!$N$2:$N$4546,A19,Base_Analise!$I$2:$I$4546,"Entregue")</f>
        <v/>
      </c>
      <c r="E19" s="27">
        <f>SUMIFS(Base_Analise!$W$2:$W$4546,Base_Analise!$N$2:$N$4546,A19,Base_Analise!$I$2:$I$4546,"Entregue")</f>
        <v/>
      </c>
      <c r="F19" s="28">
        <f>IFERROR(E19/D19,0)</f>
        <v/>
      </c>
    </row>
    <row r="20">
      <c r="A20" s="21">
        <f>Produtos!B9</f>
        <v/>
      </c>
      <c r="B20" s="21">
        <f>Produtos!C9</f>
        <v/>
      </c>
      <c r="C20" s="23">
        <f>SUMIFS(Base_Analise!$R$2:$R$4546,Base_Analise!$N$2:$N$4546,A20,Base_Analise!$I$2:$I$4546,"Entregue")</f>
        <v/>
      </c>
      <c r="D20" s="23">
        <f>SUMIFS(Base_Analise!$U$2:$U$4546,Base_Analise!$N$2:$N$4546,A20,Base_Analise!$I$2:$I$4546,"Entregue")</f>
        <v/>
      </c>
      <c r="E20" s="23">
        <f>SUMIFS(Base_Analise!$W$2:$W$4546,Base_Analise!$N$2:$N$4546,A20,Base_Analise!$I$2:$I$4546,"Entregue")</f>
        <v/>
      </c>
      <c r="F20" s="24">
        <f>IFERROR(E20/D20,0)</f>
        <v/>
      </c>
    </row>
    <row r="21">
      <c r="A21" s="25">
        <f>Produtos!B10</f>
        <v/>
      </c>
      <c r="B21" s="25">
        <f>Produtos!C10</f>
        <v/>
      </c>
      <c r="C21" s="27">
        <f>SUMIFS(Base_Analise!$R$2:$R$4546,Base_Analise!$N$2:$N$4546,A21,Base_Analise!$I$2:$I$4546,"Entregue")</f>
        <v/>
      </c>
      <c r="D21" s="27">
        <f>SUMIFS(Base_Analise!$U$2:$U$4546,Base_Analise!$N$2:$N$4546,A21,Base_Analise!$I$2:$I$4546,"Entregue")</f>
        <v/>
      </c>
      <c r="E21" s="27">
        <f>SUMIFS(Base_Analise!$W$2:$W$4546,Base_Analise!$N$2:$N$4546,A21,Base_Analise!$I$2:$I$4546,"Entregue")</f>
        <v/>
      </c>
      <c r="F21" s="28">
        <f>IFERROR(E21/D21,0)</f>
        <v/>
      </c>
    </row>
    <row r="22">
      <c r="A22" s="21">
        <f>Produtos!B11</f>
        <v/>
      </c>
      <c r="B22" s="21">
        <f>Produtos!C11</f>
        <v/>
      </c>
      <c r="C22" s="23">
        <f>SUMIFS(Base_Analise!$R$2:$R$4546,Base_Analise!$N$2:$N$4546,A22,Base_Analise!$I$2:$I$4546,"Entregue")</f>
        <v/>
      </c>
      <c r="D22" s="23">
        <f>SUMIFS(Base_Analise!$U$2:$U$4546,Base_Analise!$N$2:$N$4546,A22,Base_Analise!$I$2:$I$4546,"Entregue")</f>
        <v/>
      </c>
      <c r="E22" s="23">
        <f>SUMIFS(Base_Analise!$W$2:$W$4546,Base_Analise!$N$2:$N$4546,A22,Base_Analise!$I$2:$I$4546,"Entregue")</f>
        <v/>
      </c>
      <c r="F22" s="24">
        <f>IFERROR(E22/D22,0)</f>
        <v/>
      </c>
    </row>
    <row r="23">
      <c r="A23" s="25">
        <f>Produtos!B12</f>
        <v/>
      </c>
      <c r="B23" s="25">
        <f>Produtos!C12</f>
        <v/>
      </c>
      <c r="C23" s="27">
        <f>SUMIFS(Base_Analise!$R$2:$R$4546,Base_Analise!$N$2:$N$4546,A23,Base_Analise!$I$2:$I$4546,"Entregue")</f>
        <v/>
      </c>
      <c r="D23" s="27">
        <f>SUMIFS(Base_Analise!$U$2:$U$4546,Base_Analise!$N$2:$N$4546,A23,Base_Analise!$I$2:$I$4546,"Entregue")</f>
        <v/>
      </c>
      <c r="E23" s="27">
        <f>SUMIFS(Base_Analise!$W$2:$W$4546,Base_Analise!$N$2:$N$4546,A23,Base_Analise!$I$2:$I$4546,"Entregue")</f>
        <v/>
      </c>
      <c r="F23" s="28">
        <f>IFERROR(E23/D23,0)</f>
        <v/>
      </c>
    </row>
    <row r="24">
      <c r="A24" s="21">
        <f>Produtos!B13</f>
        <v/>
      </c>
      <c r="B24" s="21">
        <f>Produtos!C13</f>
        <v/>
      </c>
      <c r="C24" s="23">
        <f>SUMIFS(Base_Analise!$R$2:$R$4546,Base_Analise!$N$2:$N$4546,A24,Base_Analise!$I$2:$I$4546,"Entregue")</f>
        <v/>
      </c>
      <c r="D24" s="23">
        <f>SUMIFS(Base_Analise!$U$2:$U$4546,Base_Analise!$N$2:$N$4546,A24,Base_Analise!$I$2:$I$4546,"Entregue")</f>
        <v/>
      </c>
      <c r="E24" s="23">
        <f>SUMIFS(Base_Analise!$W$2:$W$4546,Base_Analise!$N$2:$N$4546,A24,Base_Analise!$I$2:$I$4546,"Entregue")</f>
        <v/>
      </c>
      <c r="F24" s="24">
        <f>IFERROR(E24/D24,0)</f>
        <v/>
      </c>
    </row>
    <row r="25">
      <c r="A25" s="25">
        <f>Produtos!B14</f>
        <v/>
      </c>
      <c r="B25" s="25">
        <f>Produtos!C14</f>
        <v/>
      </c>
      <c r="C25" s="27">
        <f>SUMIFS(Base_Analise!$R$2:$R$4546,Base_Analise!$N$2:$N$4546,A25,Base_Analise!$I$2:$I$4546,"Entregue")</f>
        <v/>
      </c>
      <c r="D25" s="27">
        <f>SUMIFS(Base_Analise!$U$2:$U$4546,Base_Analise!$N$2:$N$4546,A25,Base_Analise!$I$2:$I$4546,"Entregue")</f>
        <v/>
      </c>
      <c r="E25" s="27">
        <f>SUMIFS(Base_Analise!$W$2:$W$4546,Base_Analise!$N$2:$N$4546,A25,Base_Analise!$I$2:$I$4546,"Entregue")</f>
        <v/>
      </c>
      <c r="F25" s="28">
        <f>IFERROR(E25/D25,0)</f>
        <v/>
      </c>
    </row>
    <row r="26">
      <c r="A26" s="21">
        <f>Produtos!B15</f>
        <v/>
      </c>
      <c r="B26" s="21">
        <f>Produtos!C15</f>
        <v/>
      </c>
      <c r="C26" s="23">
        <f>SUMIFS(Base_Analise!$R$2:$R$4546,Base_Analise!$N$2:$N$4546,A26,Base_Analise!$I$2:$I$4546,"Entregue")</f>
        <v/>
      </c>
      <c r="D26" s="23">
        <f>SUMIFS(Base_Analise!$U$2:$U$4546,Base_Analise!$N$2:$N$4546,A26,Base_Analise!$I$2:$I$4546,"Entregue")</f>
        <v/>
      </c>
      <c r="E26" s="23">
        <f>SUMIFS(Base_Analise!$W$2:$W$4546,Base_Analise!$N$2:$N$4546,A26,Base_Analise!$I$2:$I$4546,"Entregue")</f>
        <v/>
      </c>
      <c r="F26" s="24">
        <f>IFERROR(E26/D26,0)</f>
        <v/>
      </c>
    </row>
    <row r="27">
      <c r="A27" s="25">
        <f>Produtos!B16</f>
        <v/>
      </c>
      <c r="B27" s="25">
        <f>Produtos!C16</f>
        <v/>
      </c>
      <c r="C27" s="27">
        <f>SUMIFS(Base_Analise!$R$2:$R$4546,Base_Analise!$N$2:$N$4546,A27,Base_Analise!$I$2:$I$4546,"Entregue")</f>
        <v/>
      </c>
      <c r="D27" s="27">
        <f>SUMIFS(Base_Analise!$U$2:$U$4546,Base_Analise!$N$2:$N$4546,A27,Base_Analise!$I$2:$I$4546,"Entregue")</f>
        <v/>
      </c>
      <c r="E27" s="27">
        <f>SUMIFS(Base_Analise!$W$2:$W$4546,Base_Analise!$N$2:$N$4546,A27,Base_Analise!$I$2:$I$4546,"Entregue")</f>
        <v/>
      </c>
      <c r="F27" s="28">
        <f>IFERROR(E27/D27,0)</f>
        <v/>
      </c>
    </row>
    <row r="28">
      <c r="A28" s="21">
        <f>Produtos!B17</f>
        <v/>
      </c>
      <c r="B28" s="21">
        <f>Produtos!C17</f>
        <v/>
      </c>
      <c r="C28" s="23">
        <f>SUMIFS(Base_Analise!$R$2:$R$4546,Base_Analise!$N$2:$N$4546,A28,Base_Analise!$I$2:$I$4546,"Entregue")</f>
        <v/>
      </c>
      <c r="D28" s="23">
        <f>SUMIFS(Base_Analise!$U$2:$U$4546,Base_Analise!$N$2:$N$4546,A28,Base_Analise!$I$2:$I$4546,"Entregue")</f>
        <v/>
      </c>
      <c r="E28" s="23">
        <f>SUMIFS(Base_Analise!$W$2:$W$4546,Base_Analise!$N$2:$N$4546,A28,Base_Analise!$I$2:$I$4546,"Entregue")</f>
        <v/>
      </c>
      <c r="F28" s="24">
        <f>IFERROR(E28/D28,0)</f>
        <v/>
      </c>
    </row>
    <row r="29">
      <c r="A29" s="25">
        <f>Produtos!B18</f>
        <v/>
      </c>
      <c r="B29" s="25">
        <f>Produtos!C18</f>
        <v/>
      </c>
      <c r="C29" s="27">
        <f>SUMIFS(Base_Analise!$R$2:$R$4546,Base_Analise!$N$2:$N$4546,A29,Base_Analise!$I$2:$I$4546,"Entregue")</f>
        <v/>
      </c>
      <c r="D29" s="27">
        <f>SUMIFS(Base_Analise!$U$2:$U$4546,Base_Analise!$N$2:$N$4546,A29,Base_Analise!$I$2:$I$4546,"Entregue")</f>
        <v/>
      </c>
      <c r="E29" s="27">
        <f>SUMIFS(Base_Analise!$W$2:$W$4546,Base_Analise!$N$2:$N$4546,A29,Base_Analise!$I$2:$I$4546,"Entregue")</f>
        <v/>
      </c>
      <c r="F29" s="28">
        <f>IFERROR(E29/D29,0)</f>
        <v/>
      </c>
    </row>
    <row r="30">
      <c r="A30" s="21">
        <f>Produtos!B19</f>
        <v/>
      </c>
      <c r="B30" s="21">
        <f>Produtos!C19</f>
        <v/>
      </c>
      <c r="C30" s="23">
        <f>SUMIFS(Base_Analise!$R$2:$R$4546,Base_Analise!$N$2:$N$4546,A30,Base_Analise!$I$2:$I$4546,"Entregue")</f>
        <v/>
      </c>
      <c r="D30" s="23">
        <f>SUMIFS(Base_Analise!$U$2:$U$4546,Base_Analise!$N$2:$N$4546,A30,Base_Analise!$I$2:$I$4546,"Entregue")</f>
        <v/>
      </c>
      <c r="E30" s="23">
        <f>SUMIFS(Base_Analise!$W$2:$W$4546,Base_Analise!$N$2:$N$4546,A30,Base_Analise!$I$2:$I$4546,"Entregue")</f>
        <v/>
      </c>
      <c r="F30" s="24">
        <f>IFERROR(E30/D30,0)</f>
        <v/>
      </c>
    </row>
    <row r="31">
      <c r="A31" s="25">
        <f>Produtos!B20</f>
        <v/>
      </c>
      <c r="B31" s="25">
        <f>Produtos!C20</f>
        <v/>
      </c>
      <c r="C31" s="27">
        <f>SUMIFS(Base_Analise!$R$2:$R$4546,Base_Analise!$N$2:$N$4546,A31,Base_Analise!$I$2:$I$4546,"Entregue")</f>
        <v/>
      </c>
      <c r="D31" s="27">
        <f>SUMIFS(Base_Analise!$U$2:$U$4546,Base_Analise!$N$2:$N$4546,A31,Base_Analise!$I$2:$I$4546,"Entregue")</f>
        <v/>
      </c>
      <c r="E31" s="27">
        <f>SUMIFS(Base_Analise!$W$2:$W$4546,Base_Analise!$N$2:$N$4546,A31,Base_Analise!$I$2:$I$4546,"Entregue")</f>
        <v/>
      </c>
      <c r="F31" s="28">
        <f>IFERROR(E31/D31,0)</f>
        <v/>
      </c>
    </row>
    <row r="32">
      <c r="A32" s="21">
        <f>Produtos!B21</f>
        <v/>
      </c>
      <c r="B32" s="21">
        <f>Produtos!C21</f>
        <v/>
      </c>
      <c r="C32" s="23">
        <f>SUMIFS(Base_Analise!$R$2:$R$4546,Base_Analise!$N$2:$N$4546,A32,Base_Analise!$I$2:$I$4546,"Entregue")</f>
        <v/>
      </c>
      <c r="D32" s="23">
        <f>SUMIFS(Base_Analise!$U$2:$U$4546,Base_Analise!$N$2:$N$4546,A32,Base_Analise!$I$2:$I$4546,"Entregue")</f>
        <v/>
      </c>
      <c r="E32" s="23">
        <f>SUMIFS(Base_Analise!$W$2:$W$4546,Base_Analise!$N$2:$N$4546,A32,Base_Analise!$I$2:$I$4546,"Entregue")</f>
        <v/>
      </c>
      <c r="F32" s="24">
        <f>IFERROR(E32/D32,0)</f>
        <v/>
      </c>
    </row>
    <row r="33">
      <c r="A33" s="25">
        <f>Produtos!B22</f>
        <v/>
      </c>
      <c r="B33" s="25">
        <f>Produtos!C22</f>
        <v/>
      </c>
      <c r="C33" s="27">
        <f>SUMIFS(Base_Analise!$R$2:$R$4546,Base_Analise!$N$2:$N$4546,A33,Base_Analise!$I$2:$I$4546,"Entregue")</f>
        <v/>
      </c>
      <c r="D33" s="27">
        <f>SUMIFS(Base_Analise!$U$2:$U$4546,Base_Analise!$N$2:$N$4546,A33,Base_Analise!$I$2:$I$4546,"Entregue")</f>
        <v/>
      </c>
      <c r="E33" s="27">
        <f>SUMIFS(Base_Analise!$W$2:$W$4546,Base_Analise!$N$2:$N$4546,A33,Base_Analise!$I$2:$I$4546,"Entregue")</f>
        <v/>
      </c>
      <c r="F33" s="28">
        <f>IFERROR(E33/D33,0)</f>
        <v/>
      </c>
    </row>
    <row r="34">
      <c r="A34" s="21">
        <f>Produtos!B23</f>
        <v/>
      </c>
      <c r="B34" s="21">
        <f>Produtos!C23</f>
        <v/>
      </c>
      <c r="C34" s="23">
        <f>SUMIFS(Base_Analise!$R$2:$R$4546,Base_Analise!$N$2:$N$4546,A34,Base_Analise!$I$2:$I$4546,"Entregue")</f>
        <v/>
      </c>
      <c r="D34" s="23">
        <f>SUMIFS(Base_Analise!$U$2:$U$4546,Base_Analise!$N$2:$N$4546,A34,Base_Analise!$I$2:$I$4546,"Entregue")</f>
        <v/>
      </c>
      <c r="E34" s="23">
        <f>SUMIFS(Base_Analise!$W$2:$W$4546,Base_Analise!$N$2:$N$4546,A34,Base_Analise!$I$2:$I$4546,"Entregue")</f>
        <v/>
      </c>
      <c r="F34" s="24">
        <f>IFERROR(E34/D34,0)</f>
        <v/>
      </c>
    </row>
    <row r="35">
      <c r="A35" s="25">
        <f>Produtos!B24</f>
        <v/>
      </c>
      <c r="B35" s="25">
        <f>Produtos!C24</f>
        <v/>
      </c>
      <c r="C35" s="27">
        <f>SUMIFS(Base_Analise!$R$2:$R$4546,Base_Analise!$N$2:$N$4546,A35,Base_Analise!$I$2:$I$4546,"Entregue")</f>
        <v/>
      </c>
      <c r="D35" s="27">
        <f>SUMIFS(Base_Analise!$U$2:$U$4546,Base_Analise!$N$2:$N$4546,A35,Base_Analise!$I$2:$I$4546,"Entregue")</f>
        <v/>
      </c>
      <c r="E35" s="27">
        <f>SUMIFS(Base_Analise!$W$2:$W$4546,Base_Analise!$N$2:$N$4546,A35,Base_Analise!$I$2:$I$4546,"Entregue")</f>
        <v/>
      </c>
      <c r="F35" s="28">
        <f>IFERROR(E35/D35,0)</f>
        <v/>
      </c>
    </row>
    <row r="36">
      <c r="A36" s="21">
        <f>Produtos!B25</f>
        <v/>
      </c>
      <c r="B36" s="21">
        <f>Produtos!C25</f>
        <v/>
      </c>
      <c r="C36" s="23">
        <f>SUMIFS(Base_Analise!$R$2:$R$4546,Base_Analise!$N$2:$N$4546,A36,Base_Analise!$I$2:$I$4546,"Entregue")</f>
        <v/>
      </c>
      <c r="D36" s="23">
        <f>SUMIFS(Base_Analise!$U$2:$U$4546,Base_Analise!$N$2:$N$4546,A36,Base_Analise!$I$2:$I$4546,"Entregue")</f>
        <v/>
      </c>
      <c r="E36" s="23">
        <f>SUMIFS(Base_Analise!$W$2:$W$4546,Base_Analise!$N$2:$N$4546,A36,Base_Analise!$I$2:$I$4546,"Entregue")</f>
        <v/>
      </c>
      <c r="F36" s="24">
        <f>IFERROR(E36/D36,0)</f>
        <v/>
      </c>
    </row>
    <row r="37">
      <c r="A37" s="25">
        <f>Produtos!B26</f>
        <v/>
      </c>
      <c r="B37" s="25">
        <f>Produtos!C26</f>
        <v/>
      </c>
      <c r="C37" s="27">
        <f>SUMIFS(Base_Analise!$R$2:$R$4546,Base_Analise!$N$2:$N$4546,A37,Base_Analise!$I$2:$I$4546,"Entregue")</f>
        <v/>
      </c>
      <c r="D37" s="27">
        <f>SUMIFS(Base_Analise!$U$2:$U$4546,Base_Analise!$N$2:$N$4546,A37,Base_Analise!$I$2:$I$4546,"Entregue")</f>
        <v/>
      </c>
      <c r="E37" s="27">
        <f>SUMIFS(Base_Analise!$W$2:$W$4546,Base_Analise!$N$2:$N$4546,A37,Base_Analise!$I$2:$I$4546,"Entregue")</f>
        <v/>
      </c>
      <c r="F37" s="28">
        <f>IFERROR(E37/D37,0)</f>
        <v/>
      </c>
    </row>
    <row r="38">
      <c r="A38" s="21">
        <f>Produtos!B27</f>
        <v/>
      </c>
      <c r="B38" s="21">
        <f>Produtos!C27</f>
        <v/>
      </c>
      <c r="C38" s="23">
        <f>SUMIFS(Base_Analise!$R$2:$R$4546,Base_Analise!$N$2:$N$4546,A38,Base_Analise!$I$2:$I$4546,"Entregue")</f>
        <v/>
      </c>
      <c r="D38" s="23">
        <f>SUMIFS(Base_Analise!$U$2:$U$4546,Base_Analise!$N$2:$N$4546,A38,Base_Analise!$I$2:$I$4546,"Entregue")</f>
        <v/>
      </c>
      <c r="E38" s="23">
        <f>SUMIFS(Base_Analise!$W$2:$W$4546,Base_Analise!$N$2:$N$4546,A38,Base_Analise!$I$2:$I$4546,"Entregue")</f>
        <v/>
      </c>
      <c r="F38" s="24">
        <f>IFERROR(E38/D38,0)</f>
        <v/>
      </c>
    </row>
    <row r="39">
      <c r="A39" s="25">
        <f>Produtos!B28</f>
        <v/>
      </c>
      <c r="B39" s="25">
        <f>Produtos!C28</f>
        <v/>
      </c>
      <c r="C39" s="27">
        <f>SUMIFS(Base_Analise!$R$2:$R$4546,Base_Analise!$N$2:$N$4546,A39,Base_Analise!$I$2:$I$4546,"Entregue")</f>
        <v/>
      </c>
      <c r="D39" s="27">
        <f>SUMIFS(Base_Analise!$U$2:$U$4546,Base_Analise!$N$2:$N$4546,A39,Base_Analise!$I$2:$I$4546,"Entregue")</f>
        <v/>
      </c>
      <c r="E39" s="27">
        <f>SUMIFS(Base_Analise!$W$2:$W$4546,Base_Analise!$N$2:$N$4546,A39,Base_Analise!$I$2:$I$4546,"Entregue")</f>
        <v/>
      </c>
      <c r="F39" s="28">
        <f>IFERROR(E39/D39,0)</f>
        <v/>
      </c>
    </row>
    <row r="40">
      <c r="A40" s="21">
        <f>Produtos!B29</f>
        <v/>
      </c>
      <c r="B40" s="21">
        <f>Produtos!C29</f>
        <v/>
      </c>
      <c r="C40" s="23">
        <f>SUMIFS(Base_Analise!$R$2:$R$4546,Base_Analise!$N$2:$N$4546,A40,Base_Analise!$I$2:$I$4546,"Entregue")</f>
        <v/>
      </c>
      <c r="D40" s="23">
        <f>SUMIFS(Base_Analise!$U$2:$U$4546,Base_Analise!$N$2:$N$4546,A40,Base_Analise!$I$2:$I$4546,"Entregue")</f>
        <v/>
      </c>
      <c r="E40" s="23">
        <f>SUMIFS(Base_Analise!$W$2:$W$4546,Base_Analise!$N$2:$N$4546,A40,Base_Analise!$I$2:$I$4546,"Entregue")</f>
        <v/>
      </c>
      <c r="F40" s="24">
        <f>IFERROR(E40/D40,0)</f>
        <v/>
      </c>
    </row>
    <row r="41">
      <c r="A41" s="25">
        <f>Produtos!B30</f>
        <v/>
      </c>
      <c r="B41" s="25">
        <f>Produtos!C30</f>
        <v/>
      </c>
      <c r="C41" s="27">
        <f>SUMIFS(Base_Analise!$R$2:$R$4546,Base_Analise!$N$2:$N$4546,A41,Base_Analise!$I$2:$I$4546,"Entregue")</f>
        <v/>
      </c>
      <c r="D41" s="27">
        <f>SUMIFS(Base_Analise!$U$2:$U$4546,Base_Analise!$N$2:$N$4546,A41,Base_Analise!$I$2:$I$4546,"Entregue")</f>
        <v/>
      </c>
      <c r="E41" s="27">
        <f>SUMIFS(Base_Analise!$W$2:$W$4546,Base_Analise!$N$2:$N$4546,A41,Base_Analise!$I$2:$I$4546,"Entregue")</f>
        <v/>
      </c>
      <c r="F41" s="28">
        <f>IFERROR(E41/D41,0)</f>
        <v/>
      </c>
    </row>
    <row r="42">
      <c r="A42" s="21">
        <f>Produtos!B31</f>
        <v/>
      </c>
      <c r="B42" s="21">
        <f>Produtos!C31</f>
        <v/>
      </c>
      <c r="C42" s="23">
        <f>SUMIFS(Base_Analise!$R$2:$R$4546,Base_Analise!$N$2:$N$4546,A42,Base_Analise!$I$2:$I$4546,"Entregue")</f>
        <v/>
      </c>
      <c r="D42" s="23">
        <f>SUMIFS(Base_Analise!$U$2:$U$4546,Base_Analise!$N$2:$N$4546,A42,Base_Analise!$I$2:$I$4546,"Entregue")</f>
        <v/>
      </c>
      <c r="E42" s="23">
        <f>SUMIFS(Base_Analise!$W$2:$W$4546,Base_Analise!$N$2:$N$4546,A42,Base_Analise!$I$2:$I$4546,"Entregue")</f>
        <v/>
      </c>
      <c r="F42" s="24">
        <f>IFERROR(E42/D42,0)</f>
        <v/>
      </c>
    </row>
    <row r="43">
      <c r="A43" s="25">
        <f>Produtos!B32</f>
        <v/>
      </c>
      <c r="B43" s="25">
        <f>Produtos!C32</f>
        <v/>
      </c>
      <c r="C43" s="27">
        <f>SUMIFS(Base_Analise!$R$2:$R$4546,Base_Analise!$N$2:$N$4546,A43,Base_Analise!$I$2:$I$4546,"Entregue")</f>
        <v/>
      </c>
      <c r="D43" s="27">
        <f>SUMIFS(Base_Analise!$U$2:$U$4546,Base_Analise!$N$2:$N$4546,A43,Base_Analise!$I$2:$I$4546,"Entregue")</f>
        <v/>
      </c>
      <c r="E43" s="27">
        <f>SUMIFS(Base_Analise!$W$2:$W$4546,Base_Analise!$N$2:$N$4546,A43,Base_Analise!$I$2:$I$4546,"Entregue")</f>
        <v/>
      </c>
      <c r="F43" s="28">
        <f>IFERROR(E43/D43,0)</f>
        <v/>
      </c>
    </row>
    <row r="44">
      <c r="A44" s="21">
        <f>Produtos!B33</f>
        <v/>
      </c>
      <c r="B44" s="21">
        <f>Produtos!C33</f>
        <v/>
      </c>
      <c r="C44" s="23">
        <f>SUMIFS(Base_Analise!$R$2:$R$4546,Base_Analise!$N$2:$N$4546,A44,Base_Analise!$I$2:$I$4546,"Entregue")</f>
        <v/>
      </c>
      <c r="D44" s="23">
        <f>SUMIFS(Base_Analise!$U$2:$U$4546,Base_Analise!$N$2:$N$4546,A44,Base_Analise!$I$2:$I$4546,"Entregue")</f>
        <v/>
      </c>
      <c r="E44" s="23">
        <f>SUMIFS(Base_Analise!$W$2:$W$4546,Base_Analise!$N$2:$N$4546,A44,Base_Analise!$I$2:$I$4546,"Entregue")</f>
        <v/>
      </c>
      <c r="F44" s="24">
        <f>IFERROR(E44/D44,0)</f>
        <v/>
      </c>
    </row>
    <row r="45">
      <c r="A45" s="25">
        <f>Produtos!B34</f>
        <v/>
      </c>
      <c r="B45" s="25">
        <f>Produtos!C34</f>
        <v/>
      </c>
      <c r="C45" s="27">
        <f>SUMIFS(Base_Analise!$R$2:$R$4546,Base_Analise!$N$2:$N$4546,A45,Base_Analise!$I$2:$I$4546,"Entregue")</f>
        <v/>
      </c>
      <c r="D45" s="27">
        <f>SUMIFS(Base_Analise!$U$2:$U$4546,Base_Analise!$N$2:$N$4546,A45,Base_Analise!$I$2:$I$4546,"Entregue")</f>
        <v/>
      </c>
      <c r="E45" s="27">
        <f>SUMIFS(Base_Analise!$W$2:$W$4546,Base_Analise!$N$2:$N$4546,A45,Base_Analise!$I$2:$I$4546,"Entregue")</f>
        <v/>
      </c>
      <c r="F45" s="28">
        <f>IFERROR(E45/D45,0)</f>
        <v/>
      </c>
    </row>
    <row r="46">
      <c r="A46" s="21">
        <f>Produtos!B35</f>
        <v/>
      </c>
      <c r="B46" s="21">
        <f>Produtos!C35</f>
        <v/>
      </c>
      <c r="C46" s="23">
        <f>SUMIFS(Base_Analise!$R$2:$R$4546,Base_Analise!$N$2:$N$4546,A46,Base_Analise!$I$2:$I$4546,"Entregue")</f>
        <v/>
      </c>
      <c r="D46" s="23">
        <f>SUMIFS(Base_Analise!$U$2:$U$4546,Base_Analise!$N$2:$N$4546,A46,Base_Analise!$I$2:$I$4546,"Entregue")</f>
        <v/>
      </c>
      <c r="E46" s="23">
        <f>SUMIFS(Base_Analise!$W$2:$W$4546,Base_Analise!$N$2:$N$4546,A46,Base_Analise!$I$2:$I$4546,"Entregue")</f>
        <v/>
      </c>
      <c r="F46" s="24">
        <f>IFERROR(E46/D46,0)</f>
        <v/>
      </c>
    </row>
    <row r="47">
      <c r="A47" s="25">
        <f>Produtos!B36</f>
        <v/>
      </c>
      <c r="B47" s="25">
        <f>Produtos!C36</f>
        <v/>
      </c>
      <c r="C47" s="27">
        <f>SUMIFS(Base_Analise!$R$2:$R$4546,Base_Analise!$N$2:$N$4546,A47,Base_Analise!$I$2:$I$4546,"Entregue")</f>
        <v/>
      </c>
      <c r="D47" s="27">
        <f>SUMIFS(Base_Analise!$U$2:$U$4546,Base_Analise!$N$2:$N$4546,A47,Base_Analise!$I$2:$I$4546,"Entregue")</f>
        <v/>
      </c>
      <c r="E47" s="27">
        <f>SUMIFS(Base_Analise!$W$2:$W$4546,Base_Analise!$N$2:$N$4546,A47,Base_Analise!$I$2:$I$4546,"Entregue")</f>
        <v/>
      </c>
      <c r="F47" s="28">
        <f>IFERROR(E47/D47,0)</f>
        <v/>
      </c>
    </row>
    <row r="48">
      <c r="A48" s="21">
        <f>Produtos!B37</f>
        <v/>
      </c>
      <c r="B48" s="21">
        <f>Produtos!C37</f>
        <v/>
      </c>
      <c r="C48" s="23">
        <f>SUMIFS(Base_Analise!$R$2:$R$4546,Base_Analise!$N$2:$N$4546,A48,Base_Analise!$I$2:$I$4546,"Entregue")</f>
        <v/>
      </c>
      <c r="D48" s="23">
        <f>SUMIFS(Base_Analise!$U$2:$U$4546,Base_Analise!$N$2:$N$4546,A48,Base_Analise!$I$2:$I$4546,"Entregue")</f>
        <v/>
      </c>
      <c r="E48" s="23">
        <f>SUMIFS(Base_Analise!$W$2:$W$4546,Base_Analise!$N$2:$N$4546,A48,Base_Analise!$I$2:$I$4546,"Entregue")</f>
        <v/>
      </c>
      <c r="F48" s="24">
        <f>IFERROR(E48/D48,0)</f>
        <v/>
      </c>
    </row>
    <row r="49">
      <c r="A49" s="25">
        <f>Produtos!B38</f>
        <v/>
      </c>
      <c r="B49" s="25">
        <f>Produtos!C38</f>
        <v/>
      </c>
      <c r="C49" s="27">
        <f>SUMIFS(Base_Analise!$R$2:$R$4546,Base_Analise!$N$2:$N$4546,A49,Base_Analise!$I$2:$I$4546,"Entregue")</f>
        <v/>
      </c>
      <c r="D49" s="27">
        <f>SUMIFS(Base_Analise!$U$2:$U$4546,Base_Analise!$N$2:$N$4546,A49,Base_Analise!$I$2:$I$4546,"Entregue")</f>
        <v/>
      </c>
      <c r="E49" s="27">
        <f>SUMIFS(Base_Analise!$W$2:$W$4546,Base_Analise!$N$2:$N$4546,A49,Base_Analise!$I$2:$I$4546,"Entregue")</f>
        <v/>
      </c>
      <c r="F49" s="28">
        <f>IFERROR(E49/D49,0)</f>
        <v/>
      </c>
    </row>
    <row r="50">
      <c r="A50" s="21">
        <f>Produtos!B39</f>
        <v/>
      </c>
      <c r="B50" s="21">
        <f>Produtos!C39</f>
        <v/>
      </c>
      <c r="C50" s="23">
        <f>SUMIFS(Base_Analise!$R$2:$R$4546,Base_Analise!$N$2:$N$4546,A50,Base_Analise!$I$2:$I$4546,"Entregue")</f>
        <v/>
      </c>
      <c r="D50" s="23">
        <f>SUMIFS(Base_Analise!$U$2:$U$4546,Base_Analise!$N$2:$N$4546,A50,Base_Analise!$I$2:$I$4546,"Entregue")</f>
        <v/>
      </c>
      <c r="E50" s="23">
        <f>SUMIFS(Base_Analise!$W$2:$W$4546,Base_Analise!$N$2:$N$4546,A50,Base_Analise!$I$2:$I$4546,"Entregue")</f>
        <v/>
      </c>
      <c r="F50" s="24">
        <f>IFERROR(E50/D50,0)</f>
        <v/>
      </c>
    </row>
    <row r="51">
      <c r="A51" s="25">
        <f>Produtos!B40</f>
        <v/>
      </c>
      <c r="B51" s="25">
        <f>Produtos!C40</f>
        <v/>
      </c>
      <c r="C51" s="27">
        <f>SUMIFS(Base_Analise!$R$2:$R$4546,Base_Analise!$N$2:$N$4546,A51,Base_Analise!$I$2:$I$4546,"Entregue")</f>
        <v/>
      </c>
      <c r="D51" s="27">
        <f>SUMIFS(Base_Analise!$U$2:$U$4546,Base_Analise!$N$2:$N$4546,A51,Base_Analise!$I$2:$I$4546,"Entregue")</f>
        <v/>
      </c>
      <c r="E51" s="27">
        <f>SUMIFS(Base_Analise!$W$2:$W$4546,Base_Analise!$N$2:$N$4546,A51,Base_Analise!$I$2:$I$4546,"Entregue")</f>
        <v/>
      </c>
      <c r="F51" s="28">
        <f>IFERROR(E51/D51,0)</f>
        <v/>
      </c>
    </row>
    <row r="52">
      <c r="A52" s="21">
        <f>Produtos!B41</f>
        <v/>
      </c>
      <c r="B52" s="21">
        <f>Produtos!C41</f>
        <v/>
      </c>
      <c r="C52" s="23">
        <f>SUMIFS(Base_Analise!$R$2:$R$4546,Base_Analise!$N$2:$N$4546,A52,Base_Analise!$I$2:$I$4546,"Entregue")</f>
        <v/>
      </c>
      <c r="D52" s="23">
        <f>SUMIFS(Base_Analise!$U$2:$U$4546,Base_Analise!$N$2:$N$4546,A52,Base_Analise!$I$2:$I$4546,"Entregue")</f>
        <v/>
      </c>
      <c r="E52" s="23">
        <f>SUMIFS(Base_Analise!$W$2:$W$4546,Base_Analise!$N$2:$N$4546,A52,Base_Analise!$I$2:$I$4546,"Entregue")</f>
        <v/>
      </c>
      <c r="F52" s="24">
        <f>IFERROR(E52/D52,0)</f>
        <v/>
      </c>
    </row>
    <row r="53">
      <c r="A53" s="25">
        <f>Produtos!B42</f>
        <v/>
      </c>
      <c r="B53" s="25">
        <f>Produtos!C42</f>
        <v/>
      </c>
      <c r="C53" s="27">
        <f>SUMIFS(Base_Analise!$R$2:$R$4546,Base_Analise!$N$2:$N$4546,A53,Base_Analise!$I$2:$I$4546,"Entregue")</f>
        <v/>
      </c>
      <c r="D53" s="27">
        <f>SUMIFS(Base_Analise!$U$2:$U$4546,Base_Analise!$N$2:$N$4546,A53,Base_Analise!$I$2:$I$4546,"Entregue")</f>
        <v/>
      </c>
      <c r="E53" s="27">
        <f>SUMIFS(Base_Analise!$W$2:$W$4546,Base_Analise!$N$2:$N$4546,A53,Base_Analise!$I$2:$I$4546,"Entregue")</f>
        <v/>
      </c>
      <c r="F53" s="28">
        <f>IFERROR(E53/D53,0)</f>
        <v/>
      </c>
    </row>
    <row r="54">
      <c r="A54" s="21">
        <f>Produtos!B43</f>
        <v/>
      </c>
      <c r="B54" s="21">
        <f>Produtos!C43</f>
        <v/>
      </c>
      <c r="C54" s="23">
        <f>SUMIFS(Base_Analise!$R$2:$R$4546,Base_Analise!$N$2:$N$4546,A54,Base_Analise!$I$2:$I$4546,"Entregue")</f>
        <v/>
      </c>
      <c r="D54" s="23">
        <f>SUMIFS(Base_Analise!$U$2:$U$4546,Base_Analise!$N$2:$N$4546,A54,Base_Analise!$I$2:$I$4546,"Entregue")</f>
        <v/>
      </c>
      <c r="E54" s="23">
        <f>SUMIFS(Base_Analise!$W$2:$W$4546,Base_Analise!$N$2:$N$4546,A54,Base_Analise!$I$2:$I$4546,"Entregue")</f>
        <v/>
      </c>
      <c r="F54" s="24">
        <f>IFERROR(E54/D54,0)</f>
        <v/>
      </c>
    </row>
    <row r="55">
      <c r="A55" s="25">
        <f>Produtos!B44</f>
        <v/>
      </c>
      <c r="B55" s="25">
        <f>Produtos!C44</f>
        <v/>
      </c>
      <c r="C55" s="27">
        <f>SUMIFS(Base_Analise!$R$2:$R$4546,Base_Analise!$N$2:$N$4546,A55,Base_Analise!$I$2:$I$4546,"Entregue")</f>
        <v/>
      </c>
      <c r="D55" s="27">
        <f>SUMIFS(Base_Analise!$U$2:$U$4546,Base_Analise!$N$2:$N$4546,A55,Base_Analise!$I$2:$I$4546,"Entregue")</f>
        <v/>
      </c>
      <c r="E55" s="27">
        <f>SUMIFS(Base_Analise!$W$2:$W$4546,Base_Analise!$N$2:$N$4546,A55,Base_Analise!$I$2:$I$4546,"Entregue")</f>
        <v/>
      </c>
      <c r="F55" s="28">
        <f>IFERROR(E55/D55,0)</f>
        <v/>
      </c>
    </row>
    <row r="56">
      <c r="A56" s="21">
        <f>Produtos!B45</f>
        <v/>
      </c>
      <c r="B56" s="21">
        <f>Produtos!C45</f>
        <v/>
      </c>
      <c r="C56" s="23">
        <f>SUMIFS(Base_Analise!$R$2:$R$4546,Base_Analise!$N$2:$N$4546,A56,Base_Analise!$I$2:$I$4546,"Entregue")</f>
        <v/>
      </c>
      <c r="D56" s="23">
        <f>SUMIFS(Base_Analise!$U$2:$U$4546,Base_Analise!$N$2:$N$4546,A56,Base_Analise!$I$2:$I$4546,"Entregue")</f>
        <v/>
      </c>
      <c r="E56" s="23">
        <f>SUMIFS(Base_Analise!$W$2:$W$4546,Base_Analise!$N$2:$N$4546,A56,Base_Analise!$I$2:$I$4546,"Entregue")</f>
        <v/>
      </c>
      <c r="F56" s="24">
        <f>IFERROR(E56/D56,0)</f>
        <v/>
      </c>
    </row>
    <row r="57">
      <c r="A57" s="25">
        <f>Produtos!B46</f>
        <v/>
      </c>
      <c r="B57" s="25">
        <f>Produtos!C46</f>
        <v/>
      </c>
      <c r="C57" s="27">
        <f>SUMIFS(Base_Analise!$R$2:$R$4546,Base_Analise!$N$2:$N$4546,A57,Base_Analise!$I$2:$I$4546,"Entregue")</f>
        <v/>
      </c>
      <c r="D57" s="27">
        <f>SUMIFS(Base_Analise!$U$2:$U$4546,Base_Analise!$N$2:$N$4546,A57,Base_Analise!$I$2:$I$4546,"Entregue")</f>
        <v/>
      </c>
      <c r="E57" s="27">
        <f>SUMIFS(Base_Analise!$W$2:$W$4546,Base_Analise!$N$2:$N$4546,A57,Base_Analise!$I$2:$I$4546,"Entregue")</f>
        <v/>
      </c>
      <c r="F57" s="28">
        <f>IFERROR(E57/D57,0)</f>
        <v/>
      </c>
    </row>
    <row r="58">
      <c r="A58" s="21">
        <f>Produtos!B47</f>
        <v/>
      </c>
      <c r="B58" s="21">
        <f>Produtos!C47</f>
        <v/>
      </c>
      <c r="C58" s="23">
        <f>SUMIFS(Base_Analise!$R$2:$R$4546,Base_Analise!$N$2:$N$4546,A58,Base_Analise!$I$2:$I$4546,"Entregue")</f>
        <v/>
      </c>
      <c r="D58" s="23">
        <f>SUMIFS(Base_Analise!$U$2:$U$4546,Base_Analise!$N$2:$N$4546,A58,Base_Analise!$I$2:$I$4546,"Entregue")</f>
        <v/>
      </c>
      <c r="E58" s="23">
        <f>SUMIFS(Base_Analise!$W$2:$W$4546,Base_Analise!$N$2:$N$4546,A58,Base_Analise!$I$2:$I$4546,"Entregue")</f>
        <v/>
      </c>
      <c r="F58" s="24">
        <f>IFERROR(E58/D58,0)</f>
        <v/>
      </c>
    </row>
    <row r="59">
      <c r="A59" s="25">
        <f>Produtos!B48</f>
        <v/>
      </c>
      <c r="B59" s="25">
        <f>Produtos!C48</f>
        <v/>
      </c>
      <c r="C59" s="27">
        <f>SUMIFS(Base_Analise!$R$2:$R$4546,Base_Analise!$N$2:$N$4546,A59,Base_Analise!$I$2:$I$4546,"Entregue")</f>
        <v/>
      </c>
      <c r="D59" s="27">
        <f>SUMIFS(Base_Analise!$U$2:$U$4546,Base_Analise!$N$2:$N$4546,A59,Base_Analise!$I$2:$I$4546,"Entregue")</f>
        <v/>
      </c>
      <c r="E59" s="27">
        <f>SUMIFS(Base_Analise!$W$2:$W$4546,Base_Analise!$N$2:$N$4546,A59,Base_Analise!$I$2:$I$4546,"Entregue")</f>
        <v/>
      </c>
      <c r="F59" s="28">
        <f>IFERROR(E59/D59,0)</f>
        <v/>
      </c>
    </row>
    <row r="60">
      <c r="A60" s="21">
        <f>Produtos!B49</f>
        <v/>
      </c>
      <c r="B60" s="21">
        <f>Produtos!C49</f>
        <v/>
      </c>
      <c r="C60" s="23">
        <f>SUMIFS(Base_Analise!$R$2:$R$4546,Base_Analise!$N$2:$N$4546,A60,Base_Analise!$I$2:$I$4546,"Entregue")</f>
        <v/>
      </c>
      <c r="D60" s="23">
        <f>SUMIFS(Base_Analise!$U$2:$U$4546,Base_Analise!$N$2:$N$4546,A60,Base_Analise!$I$2:$I$4546,"Entregue")</f>
        <v/>
      </c>
      <c r="E60" s="23">
        <f>SUMIFS(Base_Analise!$W$2:$W$4546,Base_Analise!$N$2:$N$4546,A60,Base_Analise!$I$2:$I$4546,"Entregue")</f>
        <v/>
      </c>
      <c r="F60" s="24">
        <f>IFERROR(E60/D60,0)</f>
        <v/>
      </c>
    </row>
    <row r="61">
      <c r="A61" s="25">
        <f>Produtos!B50</f>
        <v/>
      </c>
      <c r="B61" s="25">
        <f>Produtos!C50</f>
        <v/>
      </c>
      <c r="C61" s="27">
        <f>SUMIFS(Base_Analise!$R$2:$R$4546,Base_Analise!$N$2:$N$4546,A61,Base_Analise!$I$2:$I$4546,"Entregue")</f>
        <v/>
      </c>
      <c r="D61" s="27">
        <f>SUMIFS(Base_Analise!$U$2:$U$4546,Base_Analise!$N$2:$N$4546,A61,Base_Analise!$I$2:$I$4546,"Entregue")</f>
        <v/>
      </c>
      <c r="E61" s="27">
        <f>SUMIFS(Base_Analise!$W$2:$W$4546,Base_Analise!$N$2:$N$4546,A61,Base_Analise!$I$2:$I$4546,"Entregue")</f>
        <v/>
      </c>
      <c r="F61" s="28">
        <f>IFERROR(E61/D61,0)</f>
        <v/>
      </c>
    </row>
    <row r="62">
      <c r="A62" s="21">
        <f>Produtos!B51</f>
        <v/>
      </c>
      <c r="B62" s="21">
        <f>Produtos!C51</f>
        <v/>
      </c>
      <c r="C62" s="23">
        <f>SUMIFS(Base_Analise!$R$2:$R$4546,Base_Analise!$N$2:$N$4546,A62,Base_Analise!$I$2:$I$4546,"Entregue")</f>
        <v/>
      </c>
      <c r="D62" s="23">
        <f>SUMIFS(Base_Analise!$U$2:$U$4546,Base_Analise!$N$2:$N$4546,A62,Base_Analise!$I$2:$I$4546,"Entregue")</f>
        <v/>
      </c>
      <c r="E62" s="23">
        <f>SUMIFS(Base_Analise!$W$2:$W$4546,Base_Analise!$N$2:$N$4546,A62,Base_Analise!$I$2:$I$4546,"Entregue")</f>
        <v/>
      </c>
      <c r="F62" s="24">
        <f>IFERROR(E62/D62,0)</f>
        <v/>
      </c>
    </row>
    <row r="63">
      <c r="A63" s="25">
        <f>Produtos!B52</f>
        <v/>
      </c>
      <c r="B63" s="25">
        <f>Produtos!C52</f>
        <v/>
      </c>
      <c r="C63" s="27">
        <f>SUMIFS(Base_Analise!$R$2:$R$4546,Base_Analise!$N$2:$N$4546,A63,Base_Analise!$I$2:$I$4546,"Entregue")</f>
        <v/>
      </c>
      <c r="D63" s="27">
        <f>SUMIFS(Base_Analise!$U$2:$U$4546,Base_Analise!$N$2:$N$4546,A63,Base_Analise!$I$2:$I$4546,"Entregue")</f>
        <v/>
      </c>
      <c r="E63" s="27">
        <f>SUMIFS(Base_Analise!$W$2:$W$4546,Base_Analise!$N$2:$N$4546,A63,Base_Analise!$I$2:$I$4546,"Entregue")</f>
        <v/>
      </c>
      <c r="F63" s="28">
        <f>IFERROR(E63/D63,0)</f>
        <v/>
      </c>
    </row>
    <row r="64">
      <c r="A64" s="21">
        <f>Produtos!B53</f>
        <v/>
      </c>
      <c r="B64" s="21">
        <f>Produtos!C53</f>
        <v/>
      </c>
      <c r="C64" s="23">
        <f>SUMIFS(Base_Analise!$R$2:$R$4546,Base_Analise!$N$2:$N$4546,A64,Base_Analise!$I$2:$I$4546,"Entregue")</f>
        <v/>
      </c>
      <c r="D64" s="23">
        <f>SUMIFS(Base_Analise!$U$2:$U$4546,Base_Analise!$N$2:$N$4546,A64,Base_Analise!$I$2:$I$4546,"Entregue")</f>
        <v/>
      </c>
      <c r="E64" s="23">
        <f>SUMIFS(Base_Analise!$W$2:$W$4546,Base_Analise!$N$2:$N$4546,A64,Base_Analise!$I$2:$I$4546,"Entregue")</f>
        <v/>
      </c>
      <c r="F64" s="24">
        <f>IFERROR(E64/D64,0)</f>
        <v/>
      </c>
    </row>
    <row r="65">
      <c r="A65" s="25">
        <f>Produtos!B54</f>
        <v/>
      </c>
      <c r="B65" s="25">
        <f>Produtos!C54</f>
        <v/>
      </c>
      <c r="C65" s="27">
        <f>SUMIFS(Base_Analise!$R$2:$R$4546,Base_Analise!$N$2:$N$4546,A65,Base_Analise!$I$2:$I$4546,"Entregue")</f>
        <v/>
      </c>
      <c r="D65" s="27">
        <f>SUMIFS(Base_Analise!$U$2:$U$4546,Base_Analise!$N$2:$N$4546,A65,Base_Analise!$I$2:$I$4546,"Entregue")</f>
        <v/>
      </c>
      <c r="E65" s="27">
        <f>SUMIFS(Base_Analise!$W$2:$W$4546,Base_Analise!$N$2:$N$4546,A65,Base_Analise!$I$2:$I$4546,"Entregue")</f>
        <v/>
      </c>
      <c r="F65" s="28">
        <f>IFERROR(E65/D65,0)</f>
        <v/>
      </c>
    </row>
    <row r="66">
      <c r="A66" s="21">
        <f>Produtos!B55</f>
        <v/>
      </c>
      <c r="B66" s="21">
        <f>Produtos!C55</f>
        <v/>
      </c>
      <c r="C66" s="23">
        <f>SUMIFS(Base_Analise!$R$2:$R$4546,Base_Analise!$N$2:$N$4546,A66,Base_Analise!$I$2:$I$4546,"Entregue")</f>
        <v/>
      </c>
      <c r="D66" s="23">
        <f>SUMIFS(Base_Analise!$U$2:$U$4546,Base_Analise!$N$2:$N$4546,A66,Base_Analise!$I$2:$I$4546,"Entregue")</f>
        <v/>
      </c>
      <c r="E66" s="23">
        <f>SUMIFS(Base_Analise!$W$2:$W$4546,Base_Analise!$N$2:$N$4546,A66,Base_Analise!$I$2:$I$4546,"Entregue")</f>
        <v/>
      </c>
      <c r="F66" s="24">
        <f>IFERROR(E66/D66,0)</f>
        <v/>
      </c>
    </row>
    <row r="67">
      <c r="A67" s="25">
        <f>Produtos!B56</f>
        <v/>
      </c>
      <c r="B67" s="25">
        <f>Produtos!C56</f>
        <v/>
      </c>
      <c r="C67" s="27">
        <f>SUMIFS(Base_Analise!$R$2:$R$4546,Base_Analise!$N$2:$N$4546,A67,Base_Analise!$I$2:$I$4546,"Entregue")</f>
        <v/>
      </c>
      <c r="D67" s="27">
        <f>SUMIFS(Base_Analise!$U$2:$U$4546,Base_Analise!$N$2:$N$4546,A67,Base_Analise!$I$2:$I$4546,"Entregue")</f>
        <v/>
      </c>
      <c r="E67" s="27">
        <f>SUMIFS(Base_Analise!$W$2:$W$4546,Base_Analise!$N$2:$N$4546,A67,Base_Analise!$I$2:$I$4546,"Entregue")</f>
        <v/>
      </c>
      <c r="F67" s="28">
        <f>IFERROR(E67/D67,0)</f>
        <v/>
      </c>
    </row>
    <row r="68">
      <c r="A68" s="21">
        <f>Produtos!B57</f>
        <v/>
      </c>
      <c r="B68" s="21">
        <f>Produtos!C57</f>
        <v/>
      </c>
      <c r="C68" s="23">
        <f>SUMIFS(Base_Analise!$R$2:$R$4546,Base_Analise!$N$2:$N$4546,A68,Base_Analise!$I$2:$I$4546,"Entregue")</f>
        <v/>
      </c>
      <c r="D68" s="23">
        <f>SUMIFS(Base_Analise!$U$2:$U$4546,Base_Analise!$N$2:$N$4546,A68,Base_Analise!$I$2:$I$4546,"Entregue")</f>
        <v/>
      </c>
      <c r="E68" s="23">
        <f>SUMIFS(Base_Analise!$W$2:$W$4546,Base_Analise!$N$2:$N$4546,A68,Base_Analise!$I$2:$I$4546,"Entregue")</f>
        <v/>
      </c>
      <c r="F68" s="24">
        <f>IFERROR(E68/D68,0)</f>
        <v/>
      </c>
    </row>
    <row r="69">
      <c r="A69" s="25">
        <f>Produtos!B58</f>
        <v/>
      </c>
      <c r="B69" s="25">
        <f>Produtos!C58</f>
        <v/>
      </c>
      <c r="C69" s="27">
        <f>SUMIFS(Base_Analise!$R$2:$R$4546,Base_Analise!$N$2:$N$4546,A69,Base_Analise!$I$2:$I$4546,"Entregue")</f>
        <v/>
      </c>
      <c r="D69" s="27">
        <f>SUMIFS(Base_Analise!$U$2:$U$4546,Base_Analise!$N$2:$N$4546,A69,Base_Analise!$I$2:$I$4546,"Entregue")</f>
        <v/>
      </c>
      <c r="E69" s="27">
        <f>SUMIFS(Base_Analise!$W$2:$W$4546,Base_Analise!$N$2:$N$4546,A69,Base_Analise!$I$2:$I$4546,"Entregue")</f>
        <v/>
      </c>
      <c r="F69" s="28">
        <f>IFERROR(E69/D69,0)</f>
        <v/>
      </c>
    </row>
    <row r="70">
      <c r="A70" s="21">
        <f>Produtos!B59</f>
        <v/>
      </c>
      <c r="B70" s="21">
        <f>Produtos!C59</f>
        <v/>
      </c>
      <c r="C70" s="23">
        <f>SUMIFS(Base_Analise!$R$2:$R$4546,Base_Analise!$N$2:$N$4546,A70,Base_Analise!$I$2:$I$4546,"Entregue")</f>
        <v/>
      </c>
      <c r="D70" s="23">
        <f>SUMIFS(Base_Analise!$U$2:$U$4546,Base_Analise!$N$2:$N$4546,A70,Base_Analise!$I$2:$I$4546,"Entregue")</f>
        <v/>
      </c>
      <c r="E70" s="23">
        <f>SUMIFS(Base_Analise!$W$2:$W$4546,Base_Analise!$N$2:$N$4546,A70,Base_Analise!$I$2:$I$4546,"Entregue")</f>
        <v/>
      </c>
      <c r="F70" s="24">
        <f>IFERROR(E70/D70,0)</f>
        <v/>
      </c>
    </row>
    <row r="71">
      <c r="A71" s="25">
        <f>Produtos!B60</f>
        <v/>
      </c>
      <c r="B71" s="25">
        <f>Produtos!C60</f>
        <v/>
      </c>
      <c r="C71" s="27">
        <f>SUMIFS(Base_Analise!$R$2:$R$4546,Base_Analise!$N$2:$N$4546,A71,Base_Analise!$I$2:$I$4546,"Entregue")</f>
        <v/>
      </c>
      <c r="D71" s="27">
        <f>SUMIFS(Base_Analise!$U$2:$U$4546,Base_Analise!$N$2:$N$4546,A71,Base_Analise!$I$2:$I$4546,"Entregue")</f>
        <v/>
      </c>
      <c r="E71" s="27">
        <f>SUMIFS(Base_Analise!$W$2:$W$4546,Base_Analise!$N$2:$N$4546,A71,Base_Analise!$I$2:$I$4546,"Entregue")</f>
        <v/>
      </c>
      <c r="F71" s="28">
        <f>IFERROR(E71/D71,0)</f>
        <v/>
      </c>
    </row>
    <row r="72">
      <c r="A72" s="21">
        <f>Produtos!B61</f>
        <v/>
      </c>
      <c r="B72" s="21">
        <f>Produtos!C61</f>
        <v/>
      </c>
      <c r="C72" s="23">
        <f>SUMIFS(Base_Analise!$R$2:$R$4546,Base_Analise!$N$2:$N$4546,A72,Base_Analise!$I$2:$I$4546,"Entregue")</f>
        <v/>
      </c>
      <c r="D72" s="23">
        <f>SUMIFS(Base_Analise!$U$2:$U$4546,Base_Analise!$N$2:$N$4546,A72,Base_Analise!$I$2:$I$4546,"Entregue")</f>
        <v/>
      </c>
      <c r="E72" s="23">
        <f>SUMIFS(Base_Analise!$W$2:$W$4546,Base_Analise!$N$2:$N$4546,A72,Base_Analise!$I$2:$I$4546,"Entregue")</f>
        <v/>
      </c>
      <c r="F72" s="24">
        <f>IFERROR(E72/D72,0)</f>
        <v/>
      </c>
    </row>
    <row r="73">
      <c r="A73" s="25">
        <f>Produtos!B62</f>
        <v/>
      </c>
      <c r="B73" s="25">
        <f>Produtos!C62</f>
        <v/>
      </c>
      <c r="C73" s="27">
        <f>SUMIFS(Base_Analise!$R$2:$R$4546,Base_Analise!$N$2:$N$4546,A73,Base_Analise!$I$2:$I$4546,"Entregue")</f>
        <v/>
      </c>
      <c r="D73" s="27">
        <f>SUMIFS(Base_Analise!$U$2:$U$4546,Base_Analise!$N$2:$N$4546,A73,Base_Analise!$I$2:$I$4546,"Entregue")</f>
        <v/>
      </c>
      <c r="E73" s="27">
        <f>SUMIFS(Base_Analise!$W$2:$W$4546,Base_Analise!$N$2:$N$4546,A73,Base_Analise!$I$2:$I$4546,"Entregue")</f>
        <v/>
      </c>
      <c r="F73" s="28">
        <f>IFERROR(E73/D73,0)</f>
        <v/>
      </c>
    </row>
    <row r="74">
      <c r="A74" s="21">
        <f>Produtos!B63</f>
        <v/>
      </c>
      <c r="B74" s="21">
        <f>Produtos!C63</f>
        <v/>
      </c>
      <c r="C74" s="23">
        <f>SUMIFS(Base_Analise!$R$2:$R$4546,Base_Analise!$N$2:$N$4546,A74,Base_Analise!$I$2:$I$4546,"Entregue")</f>
        <v/>
      </c>
      <c r="D74" s="23">
        <f>SUMIFS(Base_Analise!$U$2:$U$4546,Base_Analise!$N$2:$N$4546,A74,Base_Analise!$I$2:$I$4546,"Entregue")</f>
        <v/>
      </c>
      <c r="E74" s="23">
        <f>SUMIFS(Base_Analise!$W$2:$W$4546,Base_Analise!$N$2:$N$4546,A74,Base_Analise!$I$2:$I$4546,"Entregue")</f>
        <v/>
      </c>
      <c r="F74" s="24">
        <f>IFERROR(E74/D74,0)</f>
        <v/>
      </c>
    </row>
    <row r="75">
      <c r="A75" s="25">
        <f>Produtos!B64</f>
        <v/>
      </c>
      <c r="B75" s="25">
        <f>Produtos!C64</f>
        <v/>
      </c>
      <c r="C75" s="27">
        <f>SUMIFS(Base_Analise!$R$2:$R$4546,Base_Analise!$N$2:$N$4546,A75,Base_Analise!$I$2:$I$4546,"Entregue")</f>
        <v/>
      </c>
      <c r="D75" s="27">
        <f>SUMIFS(Base_Analise!$U$2:$U$4546,Base_Analise!$N$2:$N$4546,A75,Base_Analise!$I$2:$I$4546,"Entregue")</f>
        <v/>
      </c>
      <c r="E75" s="27">
        <f>SUMIFS(Base_Analise!$W$2:$W$4546,Base_Analise!$N$2:$N$4546,A75,Base_Analise!$I$2:$I$4546,"Entregue")</f>
        <v/>
      </c>
      <c r="F75" s="28">
        <f>IFERROR(E75/D75,0)</f>
        <v/>
      </c>
    </row>
    <row r="76">
      <c r="A76" s="21">
        <f>Produtos!B65</f>
        <v/>
      </c>
      <c r="B76" s="21">
        <f>Produtos!C65</f>
        <v/>
      </c>
      <c r="C76" s="23">
        <f>SUMIFS(Base_Analise!$R$2:$R$4546,Base_Analise!$N$2:$N$4546,A76,Base_Analise!$I$2:$I$4546,"Entregue")</f>
        <v/>
      </c>
      <c r="D76" s="23">
        <f>SUMIFS(Base_Analise!$U$2:$U$4546,Base_Analise!$N$2:$N$4546,A76,Base_Analise!$I$2:$I$4546,"Entregue")</f>
        <v/>
      </c>
      <c r="E76" s="23">
        <f>SUMIFS(Base_Analise!$W$2:$W$4546,Base_Analise!$N$2:$N$4546,A76,Base_Analise!$I$2:$I$4546,"Entregue")</f>
        <v/>
      </c>
      <c r="F76" s="24">
        <f>IFERROR(E76/D76,0)</f>
        <v/>
      </c>
    </row>
    <row r="77">
      <c r="A77" s="25">
        <f>Produtos!B66</f>
        <v/>
      </c>
      <c r="B77" s="25">
        <f>Produtos!C66</f>
        <v/>
      </c>
      <c r="C77" s="27">
        <f>SUMIFS(Base_Analise!$R$2:$R$4546,Base_Analise!$N$2:$N$4546,A77,Base_Analise!$I$2:$I$4546,"Entregue")</f>
        <v/>
      </c>
      <c r="D77" s="27">
        <f>SUMIFS(Base_Analise!$U$2:$U$4546,Base_Analise!$N$2:$N$4546,A77,Base_Analise!$I$2:$I$4546,"Entregue")</f>
        <v/>
      </c>
      <c r="E77" s="27">
        <f>SUMIFS(Base_Analise!$W$2:$W$4546,Base_Analise!$N$2:$N$4546,A77,Base_Analise!$I$2:$I$4546,"Entregue")</f>
        <v/>
      </c>
      <c r="F77" s="28">
        <f>IFERROR(E77/D77,0)</f>
        <v/>
      </c>
    </row>
    <row r="78">
      <c r="A78" s="21">
        <f>Produtos!B67</f>
        <v/>
      </c>
      <c r="B78" s="21">
        <f>Produtos!C67</f>
        <v/>
      </c>
      <c r="C78" s="23">
        <f>SUMIFS(Base_Analise!$R$2:$R$4546,Base_Analise!$N$2:$N$4546,A78,Base_Analise!$I$2:$I$4546,"Entregue")</f>
        <v/>
      </c>
      <c r="D78" s="23">
        <f>SUMIFS(Base_Analise!$U$2:$U$4546,Base_Analise!$N$2:$N$4546,A78,Base_Analise!$I$2:$I$4546,"Entregue")</f>
        <v/>
      </c>
      <c r="E78" s="23">
        <f>SUMIFS(Base_Analise!$W$2:$W$4546,Base_Analise!$N$2:$N$4546,A78,Base_Analise!$I$2:$I$4546,"Entregue")</f>
        <v/>
      </c>
      <c r="F78" s="24">
        <f>IFERROR(E78/D78,0)</f>
        <v/>
      </c>
    </row>
    <row r="79">
      <c r="A79" s="25">
        <f>Produtos!B68</f>
        <v/>
      </c>
      <c r="B79" s="25">
        <f>Produtos!C68</f>
        <v/>
      </c>
      <c r="C79" s="27">
        <f>SUMIFS(Base_Analise!$R$2:$R$4546,Base_Analise!$N$2:$N$4546,A79,Base_Analise!$I$2:$I$4546,"Entregue")</f>
        <v/>
      </c>
      <c r="D79" s="27">
        <f>SUMIFS(Base_Analise!$U$2:$U$4546,Base_Analise!$N$2:$N$4546,A79,Base_Analise!$I$2:$I$4546,"Entregue")</f>
        <v/>
      </c>
      <c r="E79" s="27">
        <f>SUMIFS(Base_Analise!$W$2:$W$4546,Base_Analise!$N$2:$N$4546,A79,Base_Analise!$I$2:$I$4546,"Entregue")</f>
        <v/>
      </c>
      <c r="F79" s="28">
        <f>IFERROR(E79/D79,0)</f>
        <v/>
      </c>
    </row>
    <row r="80">
      <c r="A80" s="21">
        <f>Produtos!B69</f>
        <v/>
      </c>
      <c r="B80" s="21">
        <f>Produtos!C69</f>
        <v/>
      </c>
      <c r="C80" s="23">
        <f>SUMIFS(Base_Analise!$R$2:$R$4546,Base_Analise!$N$2:$N$4546,A80,Base_Analise!$I$2:$I$4546,"Entregue")</f>
        <v/>
      </c>
      <c r="D80" s="23">
        <f>SUMIFS(Base_Analise!$U$2:$U$4546,Base_Analise!$N$2:$N$4546,A80,Base_Analise!$I$2:$I$4546,"Entregue")</f>
        <v/>
      </c>
      <c r="E80" s="23">
        <f>SUMIFS(Base_Analise!$W$2:$W$4546,Base_Analise!$N$2:$N$4546,A80,Base_Analise!$I$2:$I$4546,"Entregue")</f>
        <v/>
      </c>
      <c r="F80" s="24">
        <f>IFERROR(E80/D80,0)</f>
        <v/>
      </c>
    </row>
    <row r="81">
      <c r="A81" s="25">
        <f>Produtos!B70</f>
        <v/>
      </c>
      <c r="B81" s="25">
        <f>Produtos!C70</f>
        <v/>
      </c>
      <c r="C81" s="27">
        <f>SUMIFS(Base_Analise!$R$2:$R$4546,Base_Analise!$N$2:$N$4546,A81,Base_Analise!$I$2:$I$4546,"Entregue")</f>
        <v/>
      </c>
      <c r="D81" s="27">
        <f>SUMIFS(Base_Analise!$U$2:$U$4546,Base_Analise!$N$2:$N$4546,A81,Base_Analise!$I$2:$I$4546,"Entregue")</f>
        <v/>
      </c>
      <c r="E81" s="27">
        <f>SUMIFS(Base_Analise!$W$2:$W$4546,Base_Analise!$N$2:$N$4546,A81,Base_Analise!$I$2:$I$4546,"Entregue")</f>
        <v/>
      </c>
      <c r="F81" s="28">
        <f>IFERROR(E81/D81,0)</f>
        <v/>
      </c>
    </row>
    <row r="82">
      <c r="A82" s="21">
        <f>Produtos!B71</f>
        <v/>
      </c>
      <c r="B82" s="21">
        <f>Produtos!C71</f>
        <v/>
      </c>
      <c r="C82" s="23">
        <f>SUMIFS(Base_Analise!$R$2:$R$4546,Base_Analise!$N$2:$N$4546,A82,Base_Analise!$I$2:$I$4546,"Entregue")</f>
        <v/>
      </c>
      <c r="D82" s="23">
        <f>SUMIFS(Base_Analise!$U$2:$U$4546,Base_Analise!$N$2:$N$4546,A82,Base_Analise!$I$2:$I$4546,"Entregue")</f>
        <v/>
      </c>
      <c r="E82" s="23">
        <f>SUMIFS(Base_Analise!$W$2:$W$4546,Base_Analise!$N$2:$N$4546,A82,Base_Analise!$I$2:$I$4546,"Entregue")</f>
        <v/>
      </c>
      <c r="F82" s="24">
        <f>IFERROR(E82/D82,0)</f>
        <v/>
      </c>
    </row>
  </sheetData>
  <autoFilter ref="A12:F82"/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21" customWidth="1" min="4" max="4"/>
    <col width="23" customWidth="1" min="5" max="5"/>
  </cols>
  <sheetData>
    <row r="1" ht="36" customHeight="1">
      <c r="A1" s="8" t="inlineStr">
        <is>
          <t>CLIENTES E SEGMENTOS</t>
        </is>
      </c>
    </row>
    <row r="2" ht="24" customHeight="1">
      <c r="A2" s="9" t="inlineStr">
        <is>
          <t>Receita líquida e lucro por cliente; use filtros para analisar segmentos.</t>
        </is>
      </c>
    </row>
    <row r="4" ht="30" customHeight="1">
      <c r="A4" s="20" t="inlineStr">
        <is>
          <t>ClienteID</t>
        </is>
      </c>
      <c r="B4" s="20" t="inlineStr">
        <is>
          <t>NomeCliente</t>
        </is>
      </c>
      <c r="C4" s="20" t="inlineStr">
        <is>
          <t>Segmento</t>
        </is>
      </c>
      <c r="D4" s="20" t="inlineStr">
        <is>
          <t>Receita Líquida</t>
        </is>
      </c>
      <c r="E4" s="20" t="inlineStr">
        <is>
          <t>Lucro Após Descontos</t>
        </is>
      </c>
    </row>
    <row r="5">
      <c r="A5" s="25">
        <f>Clientes!A2</f>
        <v/>
      </c>
      <c r="B5" s="25">
        <f>Clientes!B2</f>
        <v/>
      </c>
      <c r="C5" s="25">
        <f>Clientes!C2</f>
        <v/>
      </c>
      <c r="D5" s="27">
        <f>SUMIFS(Base_Analise!$U$2:$U$4546,Base_Analise!$J$2:$J$4546,A5,Base_Analise!$I$2:$I$4546,"Entregue")</f>
        <v/>
      </c>
      <c r="E5" s="27">
        <f>SUMIFS(Base_Analise!$W$2:$W$4546,Base_Analise!$J$2:$J$4546,A5,Base_Analise!$I$2:$I$4546,"Entregue")</f>
        <v/>
      </c>
    </row>
    <row r="6">
      <c r="A6" s="21">
        <f>Clientes!A3</f>
        <v/>
      </c>
      <c r="B6" s="21">
        <f>Clientes!B3</f>
        <v/>
      </c>
      <c r="C6" s="21">
        <f>Clientes!C3</f>
        <v/>
      </c>
      <c r="D6" s="23">
        <f>SUMIFS(Base_Analise!$U$2:$U$4546,Base_Analise!$J$2:$J$4546,A6,Base_Analise!$I$2:$I$4546,"Entregue")</f>
        <v/>
      </c>
      <c r="E6" s="23">
        <f>SUMIFS(Base_Analise!$W$2:$W$4546,Base_Analise!$J$2:$J$4546,A6,Base_Analise!$I$2:$I$4546,"Entregue")</f>
        <v/>
      </c>
    </row>
    <row r="7">
      <c r="A7" s="25">
        <f>Clientes!A4</f>
        <v/>
      </c>
      <c r="B7" s="25">
        <f>Clientes!B4</f>
        <v/>
      </c>
      <c r="C7" s="25">
        <f>Clientes!C4</f>
        <v/>
      </c>
      <c r="D7" s="27">
        <f>SUMIFS(Base_Analise!$U$2:$U$4546,Base_Analise!$J$2:$J$4546,A7,Base_Analise!$I$2:$I$4546,"Entregue")</f>
        <v/>
      </c>
      <c r="E7" s="27">
        <f>SUMIFS(Base_Analise!$W$2:$W$4546,Base_Analise!$J$2:$J$4546,A7,Base_Analise!$I$2:$I$4546,"Entregue")</f>
        <v/>
      </c>
    </row>
    <row r="8">
      <c r="A8" s="21">
        <f>Clientes!A5</f>
        <v/>
      </c>
      <c r="B8" s="21">
        <f>Clientes!B5</f>
        <v/>
      </c>
      <c r="C8" s="21">
        <f>Clientes!C5</f>
        <v/>
      </c>
      <c r="D8" s="23">
        <f>SUMIFS(Base_Analise!$U$2:$U$4546,Base_Analise!$J$2:$J$4546,A8,Base_Analise!$I$2:$I$4546,"Entregue")</f>
        <v/>
      </c>
      <c r="E8" s="23">
        <f>SUMIFS(Base_Analise!$W$2:$W$4546,Base_Analise!$J$2:$J$4546,A8,Base_Analise!$I$2:$I$4546,"Entregue")</f>
        <v/>
      </c>
    </row>
    <row r="9">
      <c r="A9" s="25">
        <f>Clientes!A6</f>
        <v/>
      </c>
      <c r="B9" s="25">
        <f>Clientes!B6</f>
        <v/>
      </c>
      <c r="C9" s="25">
        <f>Clientes!C6</f>
        <v/>
      </c>
      <c r="D9" s="27">
        <f>SUMIFS(Base_Analise!$U$2:$U$4546,Base_Analise!$J$2:$J$4546,A9,Base_Analise!$I$2:$I$4546,"Entregue")</f>
        <v/>
      </c>
      <c r="E9" s="27">
        <f>SUMIFS(Base_Analise!$W$2:$W$4546,Base_Analise!$J$2:$J$4546,A9,Base_Analise!$I$2:$I$4546,"Entregue")</f>
        <v/>
      </c>
    </row>
    <row r="10">
      <c r="A10" s="21">
        <f>Clientes!A7</f>
        <v/>
      </c>
      <c r="B10" s="21">
        <f>Clientes!B7</f>
        <v/>
      </c>
      <c r="C10" s="21">
        <f>Clientes!C7</f>
        <v/>
      </c>
      <c r="D10" s="23">
        <f>SUMIFS(Base_Analise!$U$2:$U$4546,Base_Analise!$J$2:$J$4546,A10,Base_Analise!$I$2:$I$4546,"Entregue")</f>
        <v/>
      </c>
      <c r="E10" s="23">
        <f>SUMIFS(Base_Analise!$W$2:$W$4546,Base_Analise!$J$2:$J$4546,A10,Base_Analise!$I$2:$I$4546,"Entregue")</f>
        <v/>
      </c>
    </row>
    <row r="11">
      <c r="A11" s="25">
        <f>Clientes!A8</f>
        <v/>
      </c>
      <c r="B11" s="25">
        <f>Clientes!B8</f>
        <v/>
      </c>
      <c r="C11" s="25">
        <f>Clientes!C8</f>
        <v/>
      </c>
      <c r="D11" s="27">
        <f>SUMIFS(Base_Analise!$U$2:$U$4546,Base_Analise!$J$2:$J$4546,A11,Base_Analise!$I$2:$I$4546,"Entregue")</f>
        <v/>
      </c>
      <c r="E11" s="27">
        <f>SUMIFS(Base_Analise!$W$2:$W$4546,Base_Analise!$J$2:$J$4546,A11,Base_Analise!$I$2:$I$4546,"Entregue")</f>
        <v/>
      </c>
    </row>
    <row r="12">
      <c r="A12" s="21">
        <f>Clientes!A9</f>
        <v/>
      </c>
      <c r="B12" s="21">
        <f>Clientes!B9</f>
        <v/>
      </c>
      <c r="C12" s="21">
        <f>Clientes!C9</f>
        <v/>
      </c>
      <c r="D12" s="23">
        <f>SUMIFS(Base_Analise!$U$2:$U$4546,Base_Analise!$J$2:$J$4546,A12,Base_Analise!$I$2:$I$4546,"Entregue")</f>
        <v/>
      </c>
      <c r="E12" s="23">
        <f>SUMIFS(Base_Analise!$W$2:$W$4546,Base_Analise!$J$2:$J$4546,A12,Base_Analise!$I$2:$I$4546,"Entregue")</f>
        <v/>
      </c>
    </row>
    <row r="13">
      <c r="A13" s="25">
        <f>Clientes!A10</f>
        <v/>
      </c>
      <c r="B13" s="25">
        <f>Clientes!B10</f>
        <v/>
      </c>
      <c r="C13" s="25">
        <f>Clientes!C10</f>
        <v/>
      </c>
      <c r="D13" s="27">
        <f>SUMIFS(Base_Analise!$U$2:$U$4546,Base_Analise!$J$2:$J$4546,A13,Base_Analise!$I$2:$I$4546,"Entregue")</f>
        <v/>
      </c>
      <c r="E13" s="27">
        <f>SUMIFS(Base_Analise!$W$2:$W$4546,Base_Analise!$J$2:$J$4546,A13,Base_Analise!$I$2:$I$4546,"Entregue")</f>
        <v/>
      </c>
    </row>
    <row r="14">
      <c r="A14" s="21">
        <f>Clientes!A11</f>
        <v/>
      </c>
      <c r="B14" s="21">
        <f>Clientes!B11</f>
        <v/>
      </c>
      <c r="C14" s="21">
        <f>Clientes!C11</f>
        <v/>
      </c>
      <c r="D14" s="23">
        <f>SUMIFS(Base_Analise!$U$2:$U$4546,Base_Analise!$J$2:$J$4546,A14,Base_Analise!$I$2:$I$4546,"Entregue")</f>
        <v/>
      </c>
      <c r="E14" s="23">
        <f>SUMIFS(Base_Analise!$W$2:$W$4546,Base_Analise!$J$2:$J$4546,A14,Base_Analise!$I$2:$I$4546,"Entregue")</f>
        <v/>
      </c>
    </row>
    <row r="15">
      <c r="A15" s="25">
        <f>Clientes!A12</f>
        <v/>
      </c>
      <c r="B15" s="25">
        <f>Clientes!B12</f>
        <v/>
      </c>
      <c r="C15" s="25">
        <f>Clientes!C12</f>
        <v/>
      </c>
      <c r="D15" s="27">
        <f>SUMIFS(Base_Analise!$U$2:$U$4546,Base_Analise!$J$2:$J$4546,A15,Base_Analise!$I$2:$I$4546,"Entregue")</f>
        <v/>
      </c>
      <c r="E15" s="27">
        <f>SUMIFS(Base_Analise!$W$2:$W$4546,Base_Analise!$J$2:$J$4546,A15,Base_Analise!$I$2:$I$4546,"Entregue")</f>
        <v/>
      </c>
    </row>
    <row r="16">
      <c r="A16" s="21">
        <f>Clientes!A13</f>
        <v/>
      </c>
      <c r="B16" s="21">
        <f>Clientes!B13</f>
        <v/>
      </c>
      <c r="C16" s="21">
        <f>Clientes!C13</f>
        <v/>
      </c>
      <c r="D16" s="23">
        <f>SUMIFS(Base_Analise!$U$2:$U$4546,Base_Analise!$J$2:$J$4546,A16,Base_Analise!$I$2:$I$4546,"Entregue")</f>
        <v/>
      </c>
      <c r="E16" s="23">
        <f>SUMIFS(Base_Analise!$W$2:$W$4546,Base_Analise!$J$2:$J$4546,A16,Base_Analise!$I$2:$I$4546,"Entregue")</f>
        <v/>
      </c>
    </row>
    <row r="17">
      <c r="A17" s="25">
        <f>Clientes!A14</f>
        <v/>
      </c>
      <c r="B17" s="25">
        <f>Clientes!B14</f>
        <v/>
      </c>
      <c r="C17" s="25">
        <f>Clientes!C14</f>
        <v/>
      </c>
      <c r="D17" s="27">
        <f>SUMIFS(Base_Analise!$U$2:$U$4546,Base_Analise!$J$2:$J$4546,A17,Base_Analise!$I$2:$I$4546,"Entregue")</f>
        <v/>
      </c>
      <c r="E17" s="27">
        <f>SUMIFS(Base_Analise!$W$2:$W$4546,Base_Analise!$J$2:$J$4546,A17,Base_Analise!$I$2:$I$4546,"Entregue")</f>
        <v/>
      </c>
    </row>
    <row r="18">
      <c r="A18" s="21">
        <f>Clientes!A15</f>
        <v/>
      </c>
      <c r="B18" s="21">
        <f>Clientes!B15</f>
        <v/>
      </c>
      <c r="C18" s="21">
        <f>Clientes!C15</f>
        <v/>
      </c>
      <c r="D18" s="23">
        <f>SUMIFS(Base_Analise!$U$2:$U$4546,Base_Analise!$J$2:$J$4546,A18,Base_Analise!$I$2:$I$4546,"Entregue")</f>
        <v/>
      </c>
      <c r="E18" s="23">
        <f>SUMIFS(Base_Analise!$W$2:$W$4546,Base_Analise!$J$2:$J$4546,A18,Base_Analise!$I$2:$I$4546,"Entregue")</f>
        <v/>
      </c>
    </row>
    <row r="19">
      <c r="A19" s="25">
        <f>Clientes!A16</f>
        <v/>
      </c>
      <c r="B19" s="25">
        <f>Clientes!B16</f>
        <v/>
      </c>
      <c r="C19" s="25">
        <f>Clientes!C16</f>
        <v/>
      </c>
      <c r="D19" s="27">
        <f>SUMIFS(Base_Analise!$U$2:$U$4546,Base_Analise!$J$2:$J$4546,A19,Base_Analise!$I$2:$I$4546,"Entregue")</f>
        <v/>
      </c>
      <c r="E19" s="27">
        <f>SUMIFS(Base_Analise!$W$2:$W$4546,Base_Analise!$J$2:$J$4546,A19,Base_Analise!$I$2:$I$4546,"Entregue")</f>
        <v/>
      </c>
    </row>
    <row r="20">
      <c r="A20" s="21">
        <f>Clientes!A17</f>
        <v/>
      </c>
      <c r="B20" s="21">
        <f>Clientes!B17</f>
        <v/>
      </c>
      <c r="C20" s="21">
        <f>Clientes!C17</f>
        <v/>
      </c>
      <c r="D20" s="23">
        <f>SUMIFS(Base_Analise!$U$2:$U$4546,Base_Analise!$J$2:$J$4546,A20,Base_Analise!$I$2:$I$4546,"Entregue")</f>
        <v/>
      </c>
      <c r="E20" s="23">
        <f>SUMIFS(Base_Analise!$W$2:$W$4546,Base_Analise!$J$2:$J$4546,A20,Base_Analise!$I$2:$I$4546,"Entregue")</f>
        <v/>
      </c>
    </row>
    <row r="21">
      <c r="A21" s="25">
        <f>Clientes!A18</f>
        <v/>
      </c>
      <c r="B21" s="25">
        <f>Clientes!B18</f>
        <v/>
      </c>
      <c r="C21" s="25">
        <f>Clientes!C18</f>
        <v/>
      </c>
      <c r="D21" s="27">
        <f>SUMIFS(Base_Analise!$U$2:$U$4546,Base_Analise!$J$2:$J$4546,A21,Base_Analise!$I$2:$I$4546,"Entregue")</f>
        <v/>
      </c>
      <c r="E21" s="27">
        <f>SUMIFS(Base_Analise!$W$2:$W$4546,Base_Analise!$J$2:$J$4546,A21,Base_Analise!$I$2:$I$4546,"Entregue")</f>
        <v/>
      </c>
    </row>
    <row r="22">
      <c r="A22" s="21">
        <f>Clientes!A19</f>
        <v/>
      </c>
      <c r="B22" s="21">
        <f>Clientes!B19</f>
        <v/>
      </c>
      <c r="C22" s="21">
        <f>Clientes!C19</f>
        <v/>
      </c>
      <c r="D22" s="23">
        <f>SUMIFS(Base_Analise!$U$2:$U$4546,Base_Analise!$J$2:$J$4546,A22,Base_Analise!$I$2:$I$4546,"Entregue")</f>
        <v/>
      </c>
      <c r="E22" s="23">
        <f>SUMIFS(Base_Analise!$W$2:$W$4546,Base_Analise!$J$2:$J$4546,A22,Base_Analise!$I$2:$I$4546,"Entregue")</f>
        <v/>
      </c>
    </row>
    <row r="23">
      <c r="A23" s="25">
        <f>Clientes!A20</f>
        <v/>
      </c>
      <c r="B23" s="25">
        <f>Clientes!B20</f>
        <v/>
      </c>
      <c r="C23" s="25">
        <f>Clientes!C20</f>
        <v/>
      </c>
      <c r="D23" s="27">
        <f>SUMIFS(Base_Analise!$U$2:$U$4546,Base_Analise!$J$2:$J$4546,A23,Base_Analise!$I$2:$I$4546,"Entregue")</f>
        <v/>
      </c>
      <c r="E23" s="27">
        <f>SUMIFS(Base_Analise!$W$2:$W$4546,Base_Analise!$J$2:$J$4546,A23,Base_Analise!$I$2:$I$4546,"Entregue")</f>
        <v/>
      </c>
    </row>
    <row r="24">
      <c r="A24" s="21">
        <f>Clientes!A21</f>
        <v/>
      </c>
      <c r="B24" s="21">
        <f>Clientes!B21</f>
        <v/>
      </c>
      <c r="C24" s="21">
        <f>Clientes!C21</f>
        <v/>
      </c>
      <c r="D24" s="23">
        <f>SUMIFS(Base_Analise!$U$2:$U$4546,Base_Analise!$J$2:$J$4546,A24,Base_Analise!$I$2:$I$4546,"Entregue")</f>
        <v/>
      </c>
      <c r="E24" s="23">
        <f>SUMIFS(Base_Analise!$W$2:$W$4546,Base_Analise!$J$2:$J$4546,A24,Base_Analise!$I$2:$I$4546,"Entregue")</f>
        <v/>
      </c>
    </row>
    <row r="25">
      <c r="A25" s="25">
        <f>Clientes!A22</f>
        <v/>
      </c>
      <c r="B25" s="25">
        <f>Clientes!B22</f>
        <v/>
      </c>
      <c r="C25" s="25">
        <f>Clientes!C22</f>
        <v/>
      </c>
      <c r="D25" s="27">
        <f>SUMIFS(Base_Analise!$U$2:$U$4546,Base_Analise!$J$2:$J$4546,A25,Base_Analise!$I$2:$I$4546,"Entregue")</f>
        <v/>
      </c>
      <c r="E25" s="27">
        <f>SUMIFS(Base_Analise!$W$2:$W$4546,Base_Analise!$J$2:$J$4546,A25,Base_Analise!$I$2:$I$4546,"Entregue")</f>
        <v/>
      </c>
    </row>
    <row r="26">
      <c r="A26" s="21">
        <f>Clientes!A23</f>
        <v/>
      </c>
      <c r="B26" s="21">
        <f>Clientes!B23</f>
        <v/>
      </c>
      <c r="C26" s="21">
        <f>Clientes!C23</f>
        <v/>
      </c>
      <c r="D26" s="23">
        <f>SUMIFS(Base_Analise!$U$2:$U$4546,Base_Analise!$J$2:$J$4546,A26,Base_Analise!$I$2:$I$4546,"Entregue")</f>
        <v/>
      </c>
      <c r="E26" s="23">
        <f>SUMIFS(Base_Analise!$W$2:$W$4546,Base_Analise!$J$2:$J$4546,A26,Base_Analise!$I$2:$I$4546,"Entregue")</f>
        <v/>
      </c>
    </row>
    <row r="27">
      <c r="A27" s="25">
        <f>Clientes!A24</f>
        <v/>
      </c>
      <c r="B27" s="25">
        <f>Clientes!B24</f>
        <v/>
      </c>
      <c r="C27" s="25">
        <f>Clientes!C24</f>
        <v/>
      </c>
      <c r="D27" s="27">
        <f>SUMIFS(Base_Analise!$U$2:$U$4546,Base_Analise!$J$2:$J$4546,A27,Base_Analise!$I$2:$I$4546,"Entregue")</f>
        <v/>
      </c>
      <c r="E27" s="27">
        <f>SUMIFS(Base_Analise!$W$2:$W$4546,Base_Analise!$J$2:$J$4546,A27,Base_Analise!$I$2:$I$4546,"Entregue")</f>
        <v/>
      </c>
    </row>
    <row r="28">
      <c r="A28" s="21">
        <f>Clientes!A25</f>
        <v/>
      </c>
      <c r="B28" s="21">
        <f>Clientes!B25</f>
        <v/>
      </c>
      <c r="C28" s="21">
        <f>Clientes!C25</f>
        <v/>
      </c>
      <c r="D28" s="23">
        <f>SUMIFS(Base_Analise!$U$2:$U$4546,Base_Analise!$J$2:$J$4546,A28,Base_Analise!$I$2:$I$4546,"Entregue")</f>
        <v/>
      </c>
      <c r="E28" s="23">
        <f>SUMIFS(Base_Analise!$W$2:$W$4546,Base_Analise!$J$2:$J$4546,A28,Base_Analise!$I$2:$I$4546,"Entregue")</f>
        <v/>
      </c>
    </row>
    <row r="29">
      <c r="A29" s="25">
        <f>Clientes!A26</f>
        <v/>
      </c>
      <c r="B29" s="25">
        <f>Clientes!B26</f>
        <v/>
      </c>
      <c r="C29" s="25">
        <f>Clientes!C26</f>
        <v/>
      </c>
      <c r="D29" s="27">
        <f>SUMIFS(Base_Analise!$U$2:$U$4546,Base_Analise!$J$2:$J$4546,A29,Base_Analise!$I$2:$I$4546,"Entregue")</f>
        <v/>
      </c>
      <c r="E29" s="27">
        <f>SUMIFS(Base_Analise!$W$2:$W$4546,Base_Analise!$J$2:$J$4546,A29,Base_Analise!$I$2:$I$4546,"Entregue")</f>
        <v/>
      </c>
    </row>
    <row r="30">
      <c r="A30" s="21">
        <f>Clientes!A27</f>
        <v/>
      </c>
      <c r="B30" s="21">
        <f>Clientes!B27</f>
        <v/>
      </c>
      <c r="C30" s="21">
        <f>Clientes!C27</f>
        <v/>
      </c>
      <c r="D30" s="23">
        <f>SUMIFS(Base_Analise!$U$2:$U$4546,Base_Analise!$J$2:$J$4546,A30,Base_Analise!$I$2:$I$4546,"Entregue")</f>
        <v/>
      </c>
      <c r="E30" s="23">
        <f>SUMIFS(Base_Analise!$W$2:$W$4546,Base_Analise!$J$2:$J$4546,A30,Base_Analise!$I$2:$I$4546,"Entregue")</f>
        <v/>
      </c>
    </row>
    <row r="31">
      <c r="A31" s="25">
        <f>Clientes!A28</f>
        <v/>
      </c>
      <c r="B31" s="25">
        <f>Clientes!B28</f>
        <v/>
      </c>
      <c r="C31" s="25">
        <f>Clientes!C28</f>
        <v/>
      </c>
      <c r="D31" s="27">
        <f>SUMIFS(Base_Analise!$U$2:$U$4546,Base_Analise!$J$2:$J$4546,A31,Base_Analise!$I$2:$I$4546,"Entregue")</f>
        <v/>
      </c>
      <c r="E31" s="27">
        <f>SUMIFS(Base_Analise!$W$2:$W$4546,Base_Analise!$J$2:$J$4546,A31,Base_Analise!$I$2:$I$4546,"Entregue")</f>
        <v/>
      </c>
    </row>
    <row r="32">
      <c r="A32" s="21">
        <f>Clientes!A29</f>
        <v/>
      </c>
      <c r="B32" s="21">
        <f>Clientes!B29</f>
        <v/>
      </c>
      <c r="C32" s="21">
        <f>Clientes!C29</f>
        <v/>
      </c>
      <c r="D32" s="23">
        <f>SUMIFS(Base_Analise!$U$2:$U$4546,Base_Analise!$J$2:$J$4546,A32,Base_Analise!$I$2:$I$4546,"Entregue")</f>
        <v/>
      </c>
      <c r="E32" s="23">
        <f>SUMIFS(Base_Analise!$W$2:$W$4546,Base_Analise!$J$2:$J$4546,A32,Base_Analise!$I$2:$I$4546,"Entregue")</f>
        <v/>
      </c>
    </row>
    <row r="33">
      <c r="A33" s="25">
        <f>Clientes!A30</f>
        <v/>
      </c>
      <c r="B33" s="25">
        <f>Clientes!B30</f>
        <v/>
      </c>
      <c r="C33" s="25">
        <f>Clientes!C30</f>
        <v/>
      </c>
      <c r="D33" s="27">
        <f>SUMIFS(Base_Analise!$U$2:$U$4546,Base_Analise!$J$2:$J$4546,A33,Base_Analise!$I$2:$I$4546,"Entregue")</f>
        <v/>
      </c>
      <c r="E33" s="27">
        <f>SUMIFS(Base_Analise!$W$2:$W$4546,Base_Analise!$J$2:$J$4546,A33,Base_Analise!$I$2:$I$4546,"Entregue")</f>
        <v/>
      </c>
    </row>
    <row r="34">
      <c r="A34" s="21">
        <f>Clientes!A31</f>
        <v/>
      </c>
      <c r="B34" s="21">
        <f>Clientes!B31</f>
        <v/>
      </c>
      <c r="C34" s="21">
        <f>Clientes!C31</f>
        <v/>
      </c>
      <c r="D34" s="23">
        <f>SUMIFS(Base_Analise!$U$2:$U$4546,Base_Analise!$J$2:$J$4546,A34,Base_Analise!$I$2:$I$4546,"Entregue")</f>
        <v/>
      </c>
      <c r="E34" s="23">
        <f>SUMIFS(Base_Analise!$W$2:$W$4546,Base_Analise!$J$2:$J$4546,A34,Base_Analise!$I$2:$I$4546,"Entregue")</f>
        <v/>
      </c>
    </row>
    <row r="35">
      <c r="A35" s="25">
        <f>Clientes!A32</f>
        <v/>
      </c>
      <c r="B35" s="25">
        <f>Clientes!B32</f>
        <v/>
      </c>
      <c r="C35" s="25">
        <f>Clientes!C32</f>
        <v/>
      </c>
      <c r="D35" s="27">
        <f>SUMIFS(Base_Analise!$U$2:$U$4546,Base_Analise!$J$2:$J$4546,A35,Base_Analise!$I$2:$I$4546,"Entregue")</f>
        <v/>
      </c>
      <c r="E35" s="27">
        <f>SUMIFS(Base_Analise!$W$2:$W$4546,Base_Analise!$J$2:$J$4546,A35,Base_Analise!$I$2:$I$4546,"Entregue")</f>
        <v/>
      </c>
    </row>
    <row r="36">
      <c r="A36" s="21">
        <f>Clientes!A33</f>
        <v/>
      </c>
      <c r="B36" s="21">
        <f>Clientes!B33</f>
        <v/>
      </c>
      <c r="C36" s="21">
        <f>Clientes!C33</f>
        <v/>
      </c>
      <c r="D36" s="23">
        <f>SUMIFS(Base_Analise!$U$2:$U$4546,Base_Analise!$J$2:$J$4546,A36,Base_Analise!$I$2:$I$4546,"Entregue")</f>
        <v/>
      </c>
      <c r="E36" s="23">
        <f>SUMIFS(Base_Analise!$W$2:$W$4546,Base_Analise!$J$2:$J$4546,A36,Base_Analise!$I$2:$I$4546,"Entregue")</f>
        <v/>
      </c>
    </row>
    <row r="37">
      <c r="A37" s="25">
        <f>Clientes!A34</f>
        <v/>
      </c>
      <c r="B37" s="25">
        <f>Clientes!B34</f>
        <v/>
      </c>
      <c r="C37" s="25">
        <f>Clientes!C34</f>
        <v/>
      </c>
      <c r="D37" s="27">
        <f>SUMIFS(Base_Analise!$U$2:$U$4546,Base_Analise!$J$2:$J$4546,A37,Base_Analise!$I$2:$I$4546,"Entregue")</f>
        <v/>
      </c>
      <c r="E37" s="27">
        <f>SUMIFS(Base_Analise!$W$2:$W$4546,Base_Analise!$J$2:$J$4546,A37,Base_Analise!$I$2:$I$4546,"Entregue")</f>
        <v/>
      </c>
    </row>
    <row r="38">
      <c r="A38" s="21">
        <f>Clientes!A35</f>
        <v/>
      </c>
      <c r="B38" s="21">
        <f>Clientes!B35</f>
        <v/>
      </c>
      <c r="C38" s="21">
        <f>Clientes!C35</f>
        <v/>
      </c>
      <c r="D38" s="23">
        <f>SUMIFS(Base_Analise!$U$2:$U$4546,Base_Analise!$J$2:$J$4546,A38,Base_Analise!$I$2:$I$4546,"Entregue")</f>
        <v/>
      </c>
      <c r="E38" s="23">
        <f>SUMIFS(Base_Analise!$W$2:$W$4546,Base_Analise!$J$2:$J$4546,A38,Base_Analise!$I$2:$I$4546,"Entregue")</f>
        <v/>
      </c>
    </row>
    <row r="39">
      <c r="A39" s="25">
        <f>Clientes!A36</f>
        <v/>
      </c>
      <c r="B39" s="25">
        <f>Clientes!B36</f>
        <v/>
      </c>
      <c r="C39" s="25">
        <f>Clientes!C36</f>
        <v/>
      </c>
      <c r="D39" s="27">
        <f>SUMIFS(Base_Analise!$U$2:$U$4546,Base_Analise!$J$2:$J$4546,A39,Base_Analise!$I$2:$I$4546,"Entregue")</f>
        <v/>
      </c>
      <c r="E39" s="27">
        <f>SUMIFS(Base_Analise!$W$2:$W$4546,Base_Analise!$J$2:$J$4546,A39,Base_Analise!$I$2:$I$4546,"Entregue")</f>
        <v/>
      </c>
    </row>
    <row r="40">
      <c r="A40" s="21">
        <f>Clientes!A37</f>
        <v/>
      </c>
      <c r="B40" s="21">
        <f>Clientes!B37</f>
        <v/>
      </c>
      <c r="C40" s="21">
        <f>Clientes!C37</f>
        <v/>
      </c>
      <c r="D40" s="23">
        <f>SUMIFS(Base_Analise!$U$2:$U$4546,Base_Analise!$J$2:$J$4546,A40,Base_Analise!$I$2:$I$4546,"Entregue")</f>
        <v/>
      </c>
      <c r="E40" s="23">
        <f>SUMIFS(Base_Analise!$W$2:$W$4546,Base_Analise!$J$2:$J$4546,A40,Base_Analise!$I$2:$I$4546,"Entregue")</f>
        <v/>
      </c>
    </row>
    <row r="41">
      <c r="A41" s="25">
        <f>Clientes!A38</f>
        <v/>
      </c>
      <c r="B41" s="25">
        <f>Clientes!B38</f>
        <v/>
      </c>
      <c r="C41" s="25">
        <f>Clientes!C38</f>
        <v/>
      </c>
      <c r="D41" s="27">
        <f>SUMIFS(Base_Analise!$U$2:$U$4546,Base_Analise!$J$2:$J$4546,A41,Base_Analise!$I$2:$I$4546,"Entregue")</f>
        <v/>
      </c>
      <c r="E41" s="27">
        <f>SUMIFS(Base_Analise!$W$2:$W$4546,Base_Analise!$J$2:$J$4546,A41,Base_Analise!$I$2:$I$4546,"Entregue")</f>
        <v/>
      </c>
    </row>
    <row r="42">
      <c r="A42" s="21">
        <f>Clientes!A39</f>
        <v/>
      </c>
      <c r="B42" s="21">
        <f>Clientes!B39</f>
        <v/>
      </c>
      <c r="C42" s="21">
        <f>Clientes!C39</f>
        <v/>
      </c>
      <c r="D42" s="23">
        <f>SUMIFS(Base_Analise!$U$2:$U$4546,Base_Analise!$J$2:$J$4546,A42,Base_Analise!$I$2:$I$4546,"Entregue")</f>
        <v/>
      </c>
      <c r="E42" s="23">
        <f>SUMIFS(Base_Analise!$W$2:$W$4546,Base_Analise!$J$2:$J$4546,A42,Base_Analise!$I$2:$I$4546,"Entregue")</f>
        <v/>
      </c>
    </row>
    <row r="43">
      <c r="A43" s="25">
        <f>Clientes!A40</f>
        <v/>
      </c>
      <c r="B43" s="25">
        <f>Clientes!B40</f>
        <v/>
      </c>
      <c r="C43" s="25">
        <f>Clientes!C40</f>
        <v/>
      </c>
      <c r="D43" s="27">
        <f>SUMIFS(Base_Analise!$U$2:$U$4546,Base_Analise!$J$2:$J$4546,A43,Base_Analise!$I$2:$I$4546,"Entregue")</f>
        <v/>
      </c>
      <c r="E43" s="27">
        <f>SUMIFS(Base_Analise!$W$2:$W$4546,Base_Analise!$J$2:$J$4546,A43,Base_Analise!$I$2:$I$4546,"Entregue")</f>
        <v/>
      </c>
    </row>
    <row r="44">
      <c r="A44" s="21">
        <f>Clientes!A41</f>
        <v/>
      </c>
      <c r="B44" s="21">
        <f>Clientes!B41</f>
        <v/>
      </c>
      <c r="C44" s="21">
        <f>Clientes!C41</f>
        <v/>
      </c>
      <c r="D44" s="23">
        <f>SUMIFS(Base_Analise!$U$2:$U$4546,Base_Analise!$J$2:$J$4546,A44,Base_Analise!$I$2:$I$4546,"Entregue")</f>
        <v/>
      </c>
      <c r="E44" s="23">
        <f>SUMIFS(Base_Analise!$W$2:$W$4546,Base_Analise!$J$2:$J$4546,A44,Base_Analise!$I$2:$I$4546,"Entregue")</f>
        <v/>
      </c>
    </row>
    <row r="45">
      <c r="A45" s="25">
        <f>Clientes!A42</f>
        <v/>
      </c>
      <c r="B45" s="25">
        <f>Clientes!B42</f>
        <v/>
      </c>
      <c r="C45" s="25">
        <f>Clientes!C42</f>
        <v/>
      </c>
      <c r="D45" s="27">
        <f>SUMIFS(Base_Analise!$U$2:$U$4546,Base_Analise!$J$2:$J$4546,A45,Base_Analise!$I$2:$I$4546,"Entregue")</f>
        <v/>
      </c>
      <c r="E45" s="27">
        <f>SUMIFS(Base_Analise!$W$2:$W$4546,Base_Analise!$J$2:$J$4546,A45,Base_Analise!$I$2:$I$4546,"Entregue")</f>
        <v/>
      </c>
    </row>
    <row r="46">
      <c r="A46" s="21">
        <f>Clientes!A43</f>
        <v/>
      </c>
      <c r="B46" s="21">
        <f>Clientes!B43</f>
        <v/>
      </c>
      <c r="C46" s="21">
        <f>Clientes!C43</f>
        <v/>
      </c>
      <c r="D46" s="23">
        <f>SUMIFS(Base_Analise!$U$2:$U$4546,Base_Analise!$J$2:$J$4546,A46,Base_Analise!$I$2:$I$4546,"Entregue")</f>
        <v/>
      </c>
      <c r="E46" s="23">
        <f>SUMIFS(Base_Analise!$W$2:$W$4546,Base_Analise!$J$2:$J$4546,A46,Base_Analise!$I$2:$I$4546,"Entregue")</f>
        <v/>
      </c>
    </row>
    <row r="47">
      <c r="A47" s="25">
        <f>Clientes!A44</f>
        <v/>
      </c>
      <c r="B47" s="25">
        <f>Clientes!B44</f>
        <v/>
      </c>
      <c r="C47" s="25">
        <f>Clientes!C44</f>
        <v/>
      </c>
      <c r="D47" s="27">
        <f>SUMIFS(Base_Analise!$U$2:$U$4546,Base_Analise!$J$2:$J$4546,A47,Base_Analise!$I$2:$I$4546,"Entregue")</f>
        <v/>
      </c>
      <c r="E47" s="27">
        <f>SUMIFS(Base_Analise!$W$2:$W$4546,Base_Analise!$J$2:$J$4546,A47,Base_Analise!$I$2:$I$4546,"Entregue")</f>
        <v/>
      </c>
    </row>
    <row r="48">
      <c r="A48" s="21">
        <f>Clientes!A45</f>
        <v/>
      </c>
      <c r="B48" s="21">
        <f>Clientes!B45</f>
        <v/>
      </c>
      <c r="C48" s="21">
        <f>Clientes!C45</f>
        <v/>
      </c>
      <c r="D48" s="23">
        <f>SUMIFS(Base_Analise!$U$2:$U$4546,Base_Analise!$J$2:$J$4546,A48,Base_Analise!$I$2:$I$4546,"Entregue")</f>
        <v/>
      </c>
      <c r="E48" s="23">
        <f>SUMIFS(Base_Analise!$W$2:$W$4546,Base_Analise!$J$2:$J$4546,A48,Base_Analise!$I$2:$I$4546,"Entregue")</f>
        <v/>
      </c>
    </row>
    <row r="49">
      <c r="A49" s="25">
        <f>Clientes!A46</f>
        <v/>
      </c>
      <c r="B49" s="25">
        <f>Clientes!B46</f>
        <v/>
      </c>
      <c r="C49" s="25">
        <f>Clientes!C46</f>
        <v/>
      </c>
      <c r="D49" s="27">
        <f>SUMIFS(Base_Analise!$U$2:$U$4546,Base_Analise!$J$2:$J$4546,A49,Base_Analise!$I$2:$I$4546,"Entregue")</f>
        <v/>
      </c>
      <c r="E49" s="27">
        <f>SUMIFS(Base_Analise!$W$2:$W$4546,Base_Analise!$J$2:$J$4546,A49,Base_Analise!$I$2:$I$4546,"Entregue")</f>
        <v/>
      </c>
    </row>
    <row r="50">
      <c r="A50" s="21">
        <f>Clientes!A47</f>
        <v/>
      </c>
      <c r="B50" s="21">
        <f>Clientes!B47</f>
        <v/>
      </c>
      <c r="C50" s="21">
        <f>Clientes!C47</f>
        <v/>
      </c>
      <c r="D50" s="23">
        <f>SUMIFS(Base_Analise!$U$2:$U$4546,Base_Analise!$J$2:$J$4546,A50,Base_Analise!$I$2:$I$4546,"Entregue")</f>
        <v/>
      </c>
      <c r="E50" s="23">
        <f>SUMIFS(Base_Analise!$W$2:$W$4546,Base_Analise!$J$2:$J$4546,A50,Base_Analise!$I$2:$I$4546,"Entregue")</f>
        <v/>
      </c>
    </row>
    <row r="51">
      <c r="A51" s="25">
        <f>Clientes!A48</f>
        <v/>
      </c>
      <c r="B51" s="25">
        <f>Clientes!B48</f>
        <v/>
      </c>
      <c r="C51" s="25">
        <f>Clientes!C48</f>
        <v/>
      </c>
      <c r="D51" s="27">
        <f>SUMIFS(Base_Analise!$U$2:$U$4546,Base_Analise!$J$2:$J$4546,A51,Base_Analise!$I$2:$I$4546,"Entregue")</f>
        <v/>
      </c>
      <c r="E51" s="27">
        <f>SUMIFS(Base_Analise!$W$2:$W$4546,Base_Analise!$J$2:$J$4546,A51,Base_Analise!$I$2:$I$4546,"Entregue")</f>
        <v/>
      </c>
    </row>
    <row r="52">
      <c r="A52" s="21">
        <f>Clientes!A49</f>
        <v/>
      </c>
      <c r="B52" s="21">
        <f>Clientes!B49</f>
        <v/>
      </c>
      <c r="C52" s="21">
        <f>Clientes!C49</f>
        <v/>
      </c>
      <c r="D52" s="23">
        <f>SUMIFS(Base_Analise!$U$2:$U$4546,Base_Analise!$J$2:$J$4546,A52,Base_Analise!$I$2:$I$4546,"Entregue")</f>
        <v/>
      </c>
      <c r="E52" s="23">
        <f>SUMIFS(Base_Analise!$W$2:$W$4546,Base_Analise!$J$2:$J$4546,A52,Base_Analise!$I$2:$I$4546,"Entregue")</f>
        <v/>
      </c>
    </row>
    <row r="53">
      <c r="A53" s="25">
        <f>Clientes!A50</f>
        <v/>
      </c>
      <c r="B53" s="25">
        <f>Clientes!B50</f>
        <v/>
      </c>
      <c r="C53" s="25">
        <f>Clientes!C50</f>
        <v/>
      </c>
      <c r="D53" s="27">
        <f>SUMIFS(Base_Analise!$U$2:$U$4546,Base_Analise!$J$2:$J$4546,A53,Base_Analise!$I$2:$I$4546,"Entregue")</f>
        <v/>
      </c>
      <c r="E53" s="27">
        <f>SUMIFS(Base_Analise!$W$2:$W$4546,Base_Analise!$J$2:$J$4546,A53,Base_Analise!$I$2:$I$4546,"Entregue")</f>
        <v/>
      </c>
    </row>
    <row r="54">
      <c r="A54" s="21">
        <f>Clientes!A51</f>
        <v/>
      </c>
      <c r="B54" s="21">
        <f>Clientes!B51</f>
        <v/>
      </c>
      <c r="C54" s="21">
        <f>Clientes!C51</f>
        <v/>
      </c>
      <c r="D54" s="23">
        <f>SUMIFS(Base_Analise!$U$2:$U$4546,Base_Analise!$J$2:$J$4546,A54,Base_Analise!$I$2:$I$4546,"Entregue")</f>
        <v/>
      </c>
      <c r="E54" s="23">
        <f>SUMIFS(Base_Analise!$W$2:$W$4546,Base_Analise!$J$2:$J$4546,A54,Base_Analise!$I$2:$I$4546,"Entregue")</f>
        <v/>
      </c>
    </row>
    <row r="55">
      <c r="A55" s="25">
        <f>Clientes!A52</f>
        <v/>
      </c>
      <c r="B55" s="25">
        <f>Clientes!B52</f>
        <v/>
      </c>
      <c r="C55" s="25">
        <f>Clientes!C52</f>
        <v/>
      </c>
      <c r="D55" s="27">
        <f>SUMIFS(Base_Analise!$U$2:$U$4546,Base_Analise!$J$2:$J$4546,A55,Base_Analise!$I$2:$I$4546,"Entregue")</f>
        <v/>
      </c>
      <c r="E55" s="27">
        <f>SUMIFS(Base_Analise!$W$2:$W$4546,Base_Analise!$J$2:$J$4546,A55,Base_Analise!$I$2:$I$4546,"Entregue")</f>
        <v/>
      </c>
    </row>
    <row r="56">
      <c r="A56" s="21">
        <f>Clientes!A53</f>
        <v/>
      </c>
      <c r="B56" s="21">
        <f>Clientes!B53</f>
        <v/>
      </c>
      <c r="C56" s="21">
        <f>Clientes!C53</f>
        <v/>
      </c>
      <c r="D56" s="23">
        <f>SUMIFS(Base_Analise!$U$2:$U$4546,Base_Analise!$J$2:$J$4546,A56,Base_Analise!$I$2:$I$4546,"Entregue")</f>
        <v/>
      </c>
      <c r="E56" s="23">
        <f>SUMIFS(Base_Analise!$W$2:$W$4546,Base_Analise!$J$2:$J$4546,A56,Base_Analise!$I$2:$I$4546,"Entregue")</f>
        <v/>
      </c>
    </row>
    <row r="57">
      <c r="A57" s="25">
        <f>Clientes!A54</f>
        <v/>
      </c>
      <c r="B57" s="25">
        <f>Clientes!B54</f>
        <v/>
      </c>
      <c r="C57" s="25">
        <f>Clientes!C54</f>
        <v/>
      </c>
      <c r="D57" s="27">
        <f>SUMIFS(Base_Analise!$U$2:$U$4546,Base_Analise!$J$2:$J$4546,A57,Base_Analise!$I$2:$I$4546,"Entregue")</f>
        <v/>
      </c>
      <c r="E57" s="27">
        <f>SUMIFS(Base_Analise!$W$2:$W$4546,Base_Analise!$J$2:$J$4546,A57,Base_Analise!$I$2:$I$4546,"Entregue")</f>
        <v/>
      </c>
    </row>
    <row r="58">
      <c r="A58" s="21">
        <f>Clientes!A55</f>
        <v/>
      </c>
      <c r="B58" s="21">
        <f>Clientes!B55</f>
        <v/>
      </c>
      <c r="C58" s="21">
        <f>Clientes!C55</f>
        <v/>
      </c>
      <c r="D58" s="23">
        <f>SUMIFS(Base_Analise!$U$2:$U$4546,Base_Analise!$J$2:$J$4546,A58,Base_Analise!$I$2:$I$4546,"Entregue")</f>
        <v/>
      </c>
      <c r="E58" s="23">
        <f>SUMIFS(Base_Analise!$W$2:$W$4546,Base_Analise!$J$2:$J$4546,A58,Base_Analise!$I$2:$I$4546,"Entregue")</f>
        <v/>
      </c>
    </row>
    <row r="59">
      <c r="A59" s="25">
        <f>Clientes!A56</f>
        <v/>
      </c>
      <c r="B59" s="25">
        <f>Clientes!B56</f>
        <v/>
      </c>
      <c r="C59" s="25">
        <f>Clientes!C56</f>
        <v/>
      </c>
      <c r="D59" s="27">
        <f>SUMIFS(Base_Analise!$U$2:$U$4546,Base_Analise!$J$2:$J$4546,A59,Base_Analise!$I$2:$I$4546,"Entregue")</f>
        <v/>
      </c>
      <c r="E59" s="27">
        <f>SUMIFS(Base_Analise!$W$2:$W$4546,Base_Analise!$J$2:$J$4546,A59,Base_Analise!$I$2:$I$4546,"Entregue")</f>
        <v/>
      </c>
    </row>
    <row r="60">
      <c r="A60" s="21">
        <f>Clientes!A57</f>
        <v/>
      </c>
      <c r="B60" s="21">
        <f>Clientes!B57</f>
        <v/>
      </c>
      <c r="C60" s="21">
        <f>Clientes!C57</f>
        <v/>
      </c>
      <c r="D60" s="23">
        <f>SUMIFS(Base_Analise!$U$2:$U$4546,Base_Analise!$J$2:$J$4546,A60,Base_Analise!$I$2:$I$4546,"Entregue")</f>
        <v/>
      </c>
      <c r="E60" s="23">
        <f>SUMIFS(Base_Analise!$W$2:$W$4546,Base_Analise!$J$2:$J$4546,A60,Base_Analise!$I$2:$I$4546,"Entregue")</f>
        <v/>
      </c>
    </row>
    <row r="61">
      <c r="A61" s="25">
        <f>Clientes!A58</f>
        <v/>
      </c>
      <c r="B61" s="25">
        <f>Clientes!B58</f>
        <v/>
      </c>
      <c r="C61" s="25">
        <f>Clientes!C58</f>
        <v/>
      </c>
      <c r="D61" s="27">
        <f>SUMIFS(Base_Analise!$U$2:$U$4546,Base_Analise!$J$2:$J$4546,A61,Base_Analise!$I$2:$I$4546,"Entregue")</f>
        <v/>
      </c>
      <c r="E61" s="27">
        <f>SUMIFS(Base_Analise!$W$2:$W$4546,Base_Analise!$J$2:$J$4546,A61,Base_Analise!$I$2:$I$4546,"Entregue")</f>
        <v/>
      </c>
    </row>
    <row r="62">
      <c r="A62" s="21">
        <f>Clientes!A59</f>
        <v/>
      </c>
      <c r="B62" s="21">
        <f>Clientes!B59</f>
        <v/>
      </c>
      <c r="C62" s="21">
        <f>Clientes!C59</f>
        <v/>
      </c>
      <c r="D62" s="23">
        <f>SUMIFS(Base_Analise!$U$2:$U$4546,Base_Analise!$J$2:$J$4546,A62,Base_Analise!$I$2:$I$4546,"Entregue")</f>
        <v/>
      </c>
      <c r="E62" s="23">
        <f>SUMIFS(Base_Analise!$W$2:$W$4546,Base_Analise!$J$2:$J$4546,A62,Base_Analise!$I$2:$I$4546,"Entregue")</f>
        <v/>
      </c>
    </row>
    <row r="63">
      <c r="A63" s="25">
        <f>Clientes!A60</f>
        <v/>
      </c>
      <c r="B63" s="25">
        <f>Clientes!B60</f>
        <v/>
      </c>
      <c r="C63" s="25">
        <f>Clientes!C60</f>
        <v/>
      </c>
      <c r="D63" s="27">
        <f>SUMIFS(Base_Analise!$U$2:$U$4546,Base_Analise!$J$2:$J$4546,A63,Base_Analise!$I$2:$I$4546,"Entregue")</f>
        <v/>
      </c>
      <c r="E63" s="27">
        <f>SUMIFS(Base_Analise!$W$2:$W$4546,Base_Analise!$J$2:$J$4546,A63,Base_Analise!$I$2:$I$4546,"Entregue")</f>
        <v/>
      </c>
    </row>
    <row r="64">
      <c r="A64" s="21">
        <f>Clientes!A61</f>
        <v/>
      </c>
      <c r="B64" s="21">
        <f>Clientes!B61</f>
        <v/>
      </c>
      <c r="C64" s="21">
        <f>Clientes!C61</f>
        <v/>
      </c>
      <c r="D64" s="23">
        <f>SUMIFS(Base_Analise!$U$2:$U$4546,Base_Analise!$J$2:$J$4546,A64,Base_Analise!$I$2:$I$4546,"Entregue")</f>
        <v/>
      </c>
      <c r="E64" s="23">
        <f>SUMIFS(Base_Analise!$W$2:$W$4546,Base_Analise!$J$2:$J$4546,A64,Base_Analise!$I$2:$I$4546,"Entregue")</f>
        <v/>
      </c>
    </row>
    <row r="65">
      <c r="A65" s="25">
        <f>Clientes!A62</f>
        <v/>
      </c>
      <c r="B65" s="25">
        <f>Clientes!B62</f>
        <v/>
      </c>
      <c r="C65" s="25">
        <f>Clientes!C62</f>
        <v/>
      </c>
      <c r="D65" s="27">
        <f>SUMIFS(Base_Analise!$U$2:$U$4546,Base_Analise!$J$2:$J$4546,A65,Base_Analise!$I$2:$I$4546,"Entregue")</f>
        <v/>
      </c>
      <c r="E65" s="27">
        <f>SUMIFS(Base_Analise!$W$2:$W$4546,Base_Analise!$J$2:$J$4546,A65,Base_Analise!$I$2:$I$4546,"Entregue")</f>
        <v/>
      </c>
    </row>
    <row r="66">
      <c r="A66" s="21">
        <f>Clientes!A63</f>
        <v/>
      </c>
      <c r="B66" s="21">
        <f>Clientes!B63</f>
        <v/>
      </c>
      <c r="C66" s="21">
        <f>Clientes!C63</f>
        <v/>
      </c>
      <c r="D66" s="23">
        <f>SUMIFS(Base_Analise!$U$2:$U$4546,Base_Analise!$J$2:$J$4546,A66,Base_Analise!$I$2:$I$4546,"Entregue")</f>
        <v/>
      </c>
      <c r="E66" s="23">
        <f>SUMIFS(Base_Analise!$W$2:$W$4546,Base_Analise!$J$2:$J$4546,A66,Base_Analise!$I$2:$I$4546,"Entregue")</f>
        <v/>
      </c>
    </row>
    <row r="67">
      <c r="A67" s="25">
        <f>Clientes!A64</f>
        <v/>
      </c>
      <c r="B67" s="25">
        <f>Clientes!B64</f>
        <v/>
      </c>
      <c r="C67" s="25">
        <f>Clientes!C64</f>
        <v/>
      </c>
      <c r="D67" s="27">
        <f>SUMIFS(Base_Analise!$U$2:$U$4546,Base_Analise!$J$2:$J$4546,A67,Base_Analise!$I$2:$I$4546,"Entregue")</f>
        <v/>
      </c>
      <c r="E67" s="27">
        <f>SUMIFS(Base_Analise!$W$2:$W$4546,Base_Analise!$J$2:$J$4546,A67,Base_Analise!$I$2:$I$4546,"Entregue")</f>
        <v/>
      </c>
    </row>
    <row r="68">
      <c r="A68" s="21">
        <f>Clientes!A65</f>
        <v/>
      </c>
      <c r="B68" s="21">
        <f>Clientes!B65</f>
        <v/>
      </c>
      <c r="C68" s="21">
        <f>Clientes!C65</f>
        <v/>
      </c>
      <c r="D68" s="23">
        <f>SUMIFS(Base_Analise!$U$2:$U$4546,Base_Analise!$J$2:$J$4546,A68,Base_Analise!$I$2:$I$4546,"Entregue")</f>
        <v/>
      </c>
      <c r="E68" s="23">
        <f>SUMIFS(Base_Analise!$W$2:$W$4546,Base_Analise!$J$2:$J$4546,A68,Base_Analise!$I$2:$I$4546,"Entregue")</f>
        <v/>
      </c>
    </row>
    <row r="69">
      <c r="A69" s="25">
        <f>Clientes!A66</f>
        <v/>
      </c>
      <c r="B69" s="25">
        <f>Clientes!B66</f>
        <v/>
      </c>
      <c r="C69" s="25">
        <f>Clientes!C66</f>
        <v/>
      </c>
      <c r="D69" s="27">
        <f>SUMIFS(Base_Analise!$U$2:$U$4546,Base_Analise!$J$2:$J$4546,A69,Base_Analise!$I$2:$I$4546,"Entregue")</f>
        <v/>
      </c>
      <c r="E69" s="27">
        <f>SUMIFS(Base_Analise!$W$2:$W$4546,Base_Analise!$J$2:$J$4546,A69,Base_Analise!$I$2:$I$4546,"Entregue")</f>
        <v/>
      </c>
    </row>
    <row r="70">
      <c r="A70" s="21">
        <f>Clientes!A67</f>
        <v/>
      </c>
      <c r="B70" s="21">
        <f>Clientes!B67</f>
        <v/>
      </c>
      <c r="C70" s="21">
        <f>Clientes!C67</f>
        <v/>
      </c>
      <c r="D70" s="23">
        <f>SUMIFS(Base_Analise!$U$2:$U$4546,Base_Analise!$J$2:$J$4546,A70,Base_Analise!$I$2:$I$4546,"Entregue")</f>
        <v/>
      </c>
      <c r="E70" s="23">
        <f>SUMIFS(Base_Analise!$W$2:$W$4546,Base_Analise!$J$2:$J$4546,A70,Base_Analise!$I$2:$I$4546,"Entregue")</f>
        <v/>
      </c>
    </row>
    <row r="71">
      <c r="A71" s="25">
        <f>Clientes!A68</f>
        <v/>
      </c>
      <c r="B71" s="25">
        <f>Clientes!B68</f>
        <v/>
      </c>
      <c r="C71" s="25">
        <f>Clientes!C68</f>
        <v/>
      </c>
      <c r="D71" s="27">
        <f>SUMIFS(Base_Analise!$U$2:$U$4546,Base_Analise!$J$2:$J$4546,A71,Base_Analise!$I$2:$I$4546,"Entregue")</f>
        <v/>
      </c>
      <c r="E71" s="27">
        <f>SUMIFS(Base_Analise!$W$2:$W$4546,Base_Analise!$J$2:$J$4546,A71,Base_Analise!$I$2:$I$4546,"Entregue")</f>
        <v/>
      </c>
    </row>
    <row r="72">
      <c r="A72" s="21">
        <f>Clientes!A69</f>
        <v/>
      </c>
      <c r="B72" s="21">
        <f>Clientes!B69</f>
        <v/>
      </c>
      <c r="C72" s="21">
        <f>Clientes!C69</f>
        <v/>
      </c>
      <c r="D72" s="23">
        <f>SUMIFS(Base_Analise!$U$2:$U$4546,Base_Analise!$J$2:$J$4546,A72,Base_Analise!$I$2:$I$4546,"Entregue")</f>
        <v/>
      </c>
      <c r="E72" s="23">
        <f>SUMIFS(Base_Analise!$W$2:$W$4546,Base_Analise!$J$2:$J$4546,A72,Base_Analise!$I$2:$I$4546,"Entregue")</f>
        <v/>
      </c>
    </row>
    <row r="73">
      <c r="A73" s="25">
        <f>Clientes!A70</f>
        <v/>
      </c>
      <c r="B73" s="25">
        <f>Clientes!B70</f>
        <v/>
      </c>
      <c r="C73" s="25">
        <f>Clientes!C70</f>
        <v/>
      </c>
      <c r="D73" s="27">
        <f>SUMIFS(Base_Analise!$U$2:$U$4546,Base_Analise!$J$2:$J$4546,A73,Base_Analise!$I$2:$I$4546,"Entregue")</f>
        <v/>
      </c>
      <c r="E73" s="27">
        <f>SUMIFS(Base_Analise!$W$2:$W$4546,Base_Analise!$J$2:$J$4546,A73,Base_Analise!$I$2:$I$4546,"Entregue")</f>
        <v/>
      </c>
    </row>
    <row r="74">
      <c r="A74" s="21">
        <f>Clientes!A71</f>
        <v/>
      </c>
      <c r="B74" s="21">
        <f>Clientes!B71</f>
        <v/>
      </c>
      <c r="C74" s="21">
        <f>Clientes!C71</f>
        <v/>
      </c>
      <c r="D74" s="23">
        <f>SUMIFS(Base_Analise!$U$2:$U$4546,Base_Analise!$J$2:$J$4546,A74,Base_Analise!$I$2:$I$4546,"Entregue")</f>
        <v/>
      </c>
      <c r="E74" s="23">
        <f>SUMIFS(Base_Analise!$W$2:$W$4546,Base_Analise!$J$2:$J$4546,A74,Base_Analise!$I$2:$I$4546,"Entregue")</f>
        <v/>
      </c>
    </row>
    <row r="75">
      <c r="A75" s="25">
        <f>Clientes!A72</f>
        <v/>
      </c>
      <c r="B75" s="25">
        <f>Clientes!B72</f>
        <v/>
      </c>
      <c r="C75" s="25">
        <f>Clientes!C72</f>
        <v/>
      </c>
      <c r="D75" s="27">
        <f>SUMIFS(Base_Analise!$U$2:$U$4546,Base_Analise!$J$2:$J$4546,A75,Base_Analise!$I$2:$I$4546,"Entregue")</f>
        <v/>
      </c>
      <c r="E75" s="27">
        <f>SUMIFS(Base_Analise!$W$2:$W$4546,Base_Analise!$J$2:$J$4546,A75,Base_Analise!$I$2:$I$4546,"Entregue")</f>
        <v/>
      </c>
    </row>
    <row r="76">
      <c r="A76" s="21">
        <f>Clientes!A73</f>
        <v/>
      </c>
      <c r="B76" s="21">
        <f>Clientes!B73</f>
        <v/>
      </c>
      <c r="C76" s="21">
        <f>Clientes!C73</f>
        <v/>
      </c>
      <c r="D76" s="23">
        <f>SUMIFS(Base_Analise!$U$2:$U$4546,Base_Analise!$J$2:$J$4546,A76,Base_Analise!$I$2:$I$4546,"Entregue")</f>
        <v/>
      </c>
      <c r="E76" s="23">
        <f>SUMIFS(Base_Analise!$W$2:$W$4546,Base_Analise!$J$2:$J$4546,A76,Base_Analise!$I$2:$I$4546,"Entregue")</f>
        <v/>
      </c>
    </row>
    <row r="77">
      <c r="A77" s="25">
        <f>Clientes!A74</f>
        <v/>
      </c>
      <c r="B77" s="25">
        <f>Clientes!B74</f>
        <v/>
      </c>
      <c r="C77" s="25">
        <f>Clientes!C74</f>
        <v/>
      </c>
      <c r="D77" s="27">
        <f>SUMIFS(Base_Analise!$U$2:$U$4546,Base_Analise!$J$2:$J$4546,A77,Base_Analise!$I$2:$I$4546,"Entregue")</f>
        <v/>
      </c>
      <c r="E77" s="27">
        <f>SUMIFS(Base_Analise!$W$2:$W$4546,Base_Analise!$J$2:$J$4546,A77,Base_Analise!$I$2:$I$4546,"Entregue")</f>
        <v/>
      </c>
    </row>
    <row r="78">
      <c r="A78" s="21">
        <f>Clientes!A75</f>
        <v/>
      </c>
      <c r="B78" s="21">
        <f>Clientes!B75</f>
        <v/>
      </c>
      <c r="C78" s="21">
        <f>Clientes!C75</f>
        <v/>
      </c>
      <c r="D78" s="23">
        <f>SUMIFS(Base_Analise!$U$2:$U$4546,Base_Analise!$J$2:$J$4546,A78,Base_Analise!$I$2:$I$4546,"Entregue")</f>
        <v/>
      </c>
      <c r="E78" s="23">
        <f>SUMIFS(Base_Analise!$W$2:$W$4546,Base_Analise!$J$2:$J$4546,A78,Base_Analise!$I$2:$I$4546,"Entregue")</f>
        <v/>
      </c>
    </row>
    <row r="79">
      <c r="A79" s="25">
        <f>Clientes!A76</f>
        <v/>
      </c>
      <c r="B79" s="25">
        <f>Clientes!B76</f>
        <v/>
      </c>
      <c r="C79" s="25">
        <f>Clientes!C76</f>
        <v/>
      </c>
      <c r="D79" s="27">
        <f>SUMIFS(Base_Analise!$U$2:$U$4546,Base_Analise!$J$2:$J$4546,A79,Base_Analise!$I$2:$I$4546,"Entregue")</f>
        <v/>
      </c>
      <c r="E79" s="27">
        <f>SUMIFS(Base_Analise!$W$2:$W$4546,Base_Analise!$J$2:$J$4546,A79,Base_Analise!$I$2:$I$4546,"Entregue")</f>
        <v/>
      </c>
    </row>
    <row r="80">
      <c r="A80" s="21">
        <f>Clientes!A77</f>
        <v/>
      </c>
      <c r="B80" s="21">
        <f>Clientes!B77</f>
        <v/>
      </c>
      <c r="C80" s="21">
        <f>Clientes!C77</f>
        <v/>
      </c>
      <c r="D80" s="23">
        <f>SUMIFS(Base_Analise!$U$2:$U$4546,Base_Analise!$J$2:$J$4546,A80,Base_Analise!$I$2:$I$4546,"Entregue")</f>
        <v/>
      </c>
      <c r="E80" s="23">
        <f>SUMIFS(Base_Analise!$W$2:$W$4546,Base_Analise!$J$2:$J$4546,A80,Base_Analise!$I$2:$I$4546,"Entregue")</f>
        <v/>
      </c>
    </row>
    <row r="81">
      <c r="A81" s="25">
        <f>Clientes!A78</f>
        <v/>
      </c>
      <c r="B81" s="25">
        <f>Clientes!B78</f>
        <v/>
      </c>
      <c r="C81" s="25">
        <f>Clientes!C78</f>
        <v/>
      </c>
      <c r="D81" s="27">
        <f>SUMIFS(Base_Analise!$U$2:$U$4546,Base_Analise!$J$2:$J$4546,A81,Base_Analise!$I$2:$I$4546,"Entregue")</f>
        <v/>
      </c>
      <c r="E81" s="27">
        <f>SUMIFS(Base_Analise!$W$2:$W$4546,Base_Analise!$J$2:$J$4546,A81,Base_Analise!$I$2:$I$4546,"Entregue")</f>
        <v/>
      </c>
    </row>
    <row r="82">
      <c r="A82" s="21">
        <f>Clientes!A79</f>
        <v/>
      </c>
      <c r="B82" s="21">
        <f>Clientes!B79</f>
        <v/>
      </c>
      <c r="C82" s="21">
        <f>Clientes!C79</f>
        <v/>
      </c>
      <c r="D82" s="23">
        <f>SUMIFS(Base_Analise!$U$2:$U$4546,Base_Analise!$J$2:$J$4546,A82,Base_Analise!$I$2:$I$4546,"Entregue")</f>
        <v/>
      </c>
      <c r="E82" s="23">
        <f>SUMIFS(Base_Analise!$W$2:$W$4546,Base_Analise!$J$2:$J$4546,A82,Base_Analise!$I$2:$I$4546,"Entregue")</f>
        <v/>
      </c>
    </row>
    <row r="83">
      <c r="A83" s="25">
        <f>Clientes!A80</f>
        <v/>
      </c>
      <c r="B83" s="25">
        <f>Clientes!B80</f>
        <v/>
      </c>
      <c r="C83" s="25">
        <f>Clientes!C80</f>
        <v/>
      </c>
      <c r="D83" s="27">
        <f>SUMIFS(Base_Analise!$U$2:$U$4546,Base_Analise!$J$2:$J$4546,A83,Base_Analise!$I$2:$I$4546,"Entregue")</f>
        <v/>
      </c>
      <c r="E83" s="27">
        <f>SUMIFS(Base_Analise!$W$2:$W$4546,Base_Analise!$J$2:$J$4546,A83,Base_Analise!$I$2:$I$4546,"Entregue")</f>
        <v/>
      </c>
    </row>
    <row r="84">
      <c r="A84" s="21">
        <f>Clientes!A81</f>
        <v/>
      </c>
      <c r="B84" s="21">
        <f>Clientes!B81</f>
        <v/>
      </c>
      <c r="C84" s="21">
        <f>Clientes!C81</f>
        <v/>
      </c>
      <c r="D84" s="23">
        <f>SUMIFS(Base_Analise!$U$2:$U$4546,Base_Analise!$J$2:$J$4546,A84,Base_Analise!$I$2:$I$4546,"Entregue")</f>
        <v/>
      </c>
      <c r="E84" s="23">
        <f>SUMIFS(Base_Analise!$W$2:$W$4546,Base_Analise!$J$2:$J$4546,A84,Base_Analise!$I$2:$I$4546,"Entregue")</f>
        <v/>
      </c>
    </row>
    <row r="85">
      <c r="A85" s="25">
        <f>Clientes!A82</f>
        <v/>
      </c>
      <c r="B85" s="25">
        <f>Clientes!B82</f>
        <v/>
      </c>
      <c r="C85" s="25">
        <f>Clientes!C82</f>
        <v/>
      </c>
      <c r="D85" s="27">
        <f>SUMIFS(Base_Analise!$U$2:$U$4546,Base_Analise!$J$2:$J$4546,A85,Base_Analise!$I$2:$I$4546,"Entregue")</f>
        <v/>
      </c>
      <c r="E85" s="27">
        <f>SUMIFS(Base_Analise!$W$2:$W$4546,Base_Analise!$J$2:$J$4546,A85,Base_Analise!$I$2:$I$4546,"Entregue")</f>
        <v/>
      </c>
    </row>
    <row r="86">
      <c r="A86" s="21">
        <f>Clientes!A83</f>
        <v/>
      </c>
      <c r="B86" s="21">
        <f>Clientes!B83</f>
        <v/>
      </c>
      <c r="C86" s="21">
        <f>Clientes!C83</f>
        <v/>
      </c>
      <c r="D86" s="23">
        <f>SUMIFS(Base_Analise!$U$2:$U$4546,Base_Analise!$J$2:$J$4546,A86,Base_Analise!$I$2:$I$4546,"Entregue")</f>
        <v/>
      </c>
      <c r="E86" s="23">
        <f>SUMIFS(Base_Analise!$W$2:$W$4546,Base_Analise!$J$2:$J$4546,A86,Base_Analise!$I$2:$I$4546,"Entregue")</f>
        <v/>
      </c>
    </row>
    <row r="87">
      <c r="A87" s="25">
        <f>Clientes!A84</f>
        <v/>
      </c>
      <c r="B87" s="25">
        <f>Clientes!B84</f>
        <v/>
      </c>
      <c r="C87" s="25">
        <f>Clientes!C84</f>
        <v/>
      </c>
      <c r="D87" s="27">
        <f>SUMIFS(Base_Analise!$U$2:$U$4546,Base_Analise!$J$2:$J$4546,A87,Base_Analise!$I$2:$I$4546,"Entregue")</f>
        <v/>
      </c>
      <c r="E87" s="27">
        <f>SUMIFS(Base_Analise!$W$2:$W$4546,Base_Analise!$J$2:$J$4546,A87,Base_Analise!$I$2:$I$4546,"Entregue")</f>
        <v/>
      </c>
    </row>
    <row r="88">
      <c r="A88" s="21">
        <f>Clientes!A85</f>
        <v/>
      </c>
      <c r="B88" s="21">
        <f>Clientes!B85</f>
        <v/>
      </c>
      <c r="C88" s="21">
        <f>Clientes!C85</f>
        <v/>
      </c>
      <c r="D88" s="23">
        <f>SUMIFS(Base_Analise!$U$2:$U$4546,Base_Analise!$J$2:$J$4546,A88,Base_Analise!$I$2:$I$4546,"Entregue")</f>
        <v/>
      </c>
      <c r="E88" s="23">
        <f>SUMIFS(Base_Analise!$W$2:$W$4546,Base_Analise!$J$2:$J$4546,A88,Base_Analise!$I$2:$I$4546,"Entregue")</f>
        <v/>
      </c>
    </row>
    <row r="89">
      <c r="A89" s="25">
        <f>Clientes!A86</f>
        <v/>
      </c>
      <c r="B89" s="25">
        <f>Clientes!B86</f>
        <v/>
      </c>
      <c r="C89" s="25">
        <f>Clientes!C86</f>
        <v/>
      </c>
      <c r="D89" s="27">
        <f>SUMIFS(Base_Analise!$U$2:$U$4546,Base_Analise!$J$2:$J$4546,A89,Base_Analise!$I$2:$I$4546,"Entregue")</f>
        <v/>
      </c>
      <c r="E89" s="27">
        <f>SUMIFS(Base_Analise!$W$2:$W$4546,Base_Analise!$J$2:$J$4546,A89,Base_Analise!$I$2:$I$4546,"Entregue")</f>
        <v/>
      </c>
    </row>
    <row r="90">
      <c r="A90" s="21">
        <f>Clientes!A87</f>
        <v/>
      </c>
      <c r="B90" s="21">
        <f>Clientes!B87</f>
        <v/>
      </c>
      <c r="C90" s="21">
        <f>Clientes!C87</f>
        <v/>
      </c>
      <c r="D90" s="23">
        <f>SUMIFS(Base_Analise!$U$2:$U$4546,Base_Analise!$J$2:$J$4546,A90,Base_Analise!$I$2:$I$4546,"Entregue")</f>
        <v/>
      </c>
      <c r="E90" s="23">
        <f>SUMIFS(Base_Analise!$W$2:$W$4546,Base_Analise!$J$2:$J$4546,A90,Base_Analise!$I$2:$I$4546,"Entregue")</f>
        <v/>
      </c>
    </row>
    <row r="91">
      <c r="A91" s="25">
        <f>Clientes!A88</f>
        <v/>
      </c>
      <c r="B91" s="25">
        <f>Clientes!B88</f>
        <v/>
      </c>
      <c r="C91" s="25">
        <f>Clientes!C88</f>
        <v/>
      </c>
      <c r="D91" s="27">
        <f>SUMIFS(Base_Analise!$U$2:$U$4546,Base_Analise!$J$2:$J$4546,A91,Base_Analise!$I$2:$I$4546,"Entregue")</f>
        <v/>
      </c>
      <c r="E91" s="27">
        <f>SUMIFS(Base_Analise!$W$2:$W$4546,Base_Analise!$J$2:$J$4546,A91,Base_Analise!$I$2:$I$4546,"Entregue")</f>
        <v/>
      </c>
    </row>
    <row r="92">
      <c r="A92" s="21">
        <f>Clientes!A89</f>
        <v/>
      </c>
      <c r="B92" s="21">
        <f>Clientes!B89</f>
        <v/>
      </c>
      <c r="C92" s="21">
        <f>Clientes!C89</f>
        <v/>
      </c>
      <c r="D92" s="23">
        <f>SUMIFS(Base_Analise!$U$2:$U$4546,Base_Analise!$J$2:$J$4546,A92,Base_Analise!$I$2:$I$4546,"Entregue")</f>
        <v/>
      </c>
      <c r="E92" s="23">
        <f>SUMIFS(Base_Analise!$W$2:$W$4546,Base_Analise!$J$2:$J$4546,A92,Base_Analise!$I$2:$I$4546,"Entregue")</f>
        <v/>
      </c>
    </row>
    <row r="93">
      <c r="A93" s="25">
        <f>Clientes!A90</f>
        <v/>
      </c>
      <c r="B93" s="25">
        <f>Clientes!B90</f>
        <v/>
      </c>
      <c r="C93" s="25">
        <f>Clientes!C90</f>
        <v/>
      </c>
      <c r="D93" s="27">
        <f>SUMIFS(Base_Analise!$U$2:$U$4546,Base_Analise!$J$2:$J$4546,A93,Base_Analise!$I$2:$I$4546,"Entregue")</f>
        <v/>
      </c>
      <c r="E93" s="27">
        <f>SUMIFS(Base_Analise!$W$2:$W$4546,Base_Analise!$J$2:$J$4546,A93,Base_Analise!$I$2:$I$4546,"Entregue")</f>
        <v/>
      </c>
    </row>
    <row r="94">
      <c r="A94" s="21">
        <f>Clientes!A91</f>
        <v/>
      </c>
      <c r="B94" s="21">
        <f>Clientes!B91</f>
        <v/>
      </c>
      <c r="C94" s="21">
        <f>Clientes!C91</f>
        <v/>
      </c>
      <c r="D94" s="23">
        <f>SUMIFS(Base_Analise!$U$2:$U$4546,Base_Analise!$J$2:$J$4546,A94,Base_Analise!$I$2:$I$4546,"Entregue")</f>
        <v/>
      </c>
      <c r="E94" s="23">
        <f>SUMIFS(Base_Analise!$W$2:$W$4546,Base_Analise!$J$2:$J$4546,A94,Base_Analise!$I$2:$I$4546,"Entregue")</f>
        <v/>
      </c>
    </row>
    <row r="95">
      <c r="A95" s="25">
        <f>Clientes!A92</f>
        <v/>
      </c>
      <c r="B95" s="25">
        <f>Clientes!B92</f>
        <v/>
      </c>
      <c r="C95" s="25">
        <f>Clientes!C92</f>
        <v/>
      </c>
      <c r="D95" s="27">
        <f>SUMIFS(Base_Analise!$U$2:$U$4546,Base_Analise!$J$2:$J$4546,A95,Base_Analise!$I$2:$I$4546,"Entregue")</f>
        <v/>
      </c>
      <c r="E95" s="27">
        <f>SUMIFS(Base_Analise!$W$2:$W$4546,Base_Analise!$J$2:$J$4546,A95,Base_Analise!$I$2:$I$4546,"Entregue")</f>
        <v/>
      </c>
    </row>
    <row r="96">
      <c r="A96" s="21">
        <f>Clientes!A93</f>
        <v/>
      </c>
      <c r="B96" s="21">
        <f>Clientes!B93</f>
        <v/>
      </c>
      <c r="C96" s="21">
        <f>Clientes!C93</f>
        <v/>
      </c>
      <c r="D96" s="23">
        <f>SUMIFS(Base_Analise!$U$2:$U$4546,Base_Analise!$J$2:$J$4546,A96,Base_Analise!$I$2:$I$4546,"Entregue")</f>
        <v/>
      </c>
      <c r="E96" s="23">
        <f>SUMIFS(Base_Analise!$W$2:$W$4546,Base_Analise!$J$2:$J$4546,A96,Base_Analise!$I$2:$I$4546,"Entregue")</f>
        <v/>
      </c>
    </row>
    <row r="97">
      <c r="A97" s="25">
        <f>Clientes!A94</f>
        <v/>
      </c>
      <c r="B97" s="25">
        <f>Clientes!B94</f>
        <v/>
      </c>
      <c r="C97" s="25">
        <f>Clientes!C94</f>
        <v/>
      </c>
      <c r="D97" s="27">
        <f>SUMIFS(Base_Analise!$U$2:$U$4546,Base_Analise!$J$2:$J$4546,A97,Base_Analise!$I$2:$I$4546,"Entregue")</f>
        <v/>
      </c>
      <c r="E97" s="27">
        <f>SUMIFS(Base_Analise!$W$2:$W$4546,Base_Analise!$J$2:$J$4546,A97,Base_Analise!$I$2:$I$4546,"Entregue")</f>
        <v/>
      </c>
    </row>
    <row r="98">
      <c r="A98" s="21">
        <f>Clientes!A95</f>
        <v/>
      </c>
      <c r="B98" s="21">
        <f>Clientes!B95</f>
        <v/>
      </c>
      <c r="C98" s="21">
        <f>Clientes!C95</f>
        <v/>
      </c>
      <c r="D98" s="23">
        <f>SUMIFS(Base_Analise!$U$2:$U$4546,Base_Analise!$J$2:$J$4546,A98,Base_Analise!$I$2:$I$4546,"Entregue")</f>
        <v/>
      </c>
      <c r="E98" s="23">
        <f>SUMIFS(Base_Analise!$W$2:$W$4546,Base_Analise!$J$2:$J$4546,A98,Base_Analise!$I$2:$I$4546,"Entregue")</f>
        <v/>
      </c>
    </row>
    <row r="99">
      <c r="A99" s="25">
        <f>Clientes!A96</f>
        <v/>
      </c>
      <c r="B99" s="25">
        <f>Clientes!B96</f>
        <v/>
      </c>
      <c r="C99" s="25">
        <f>Clientes!C96</f>
        <v/>
      </c>
      <c r="D99" s="27">
        <f>SUMIFS(Base_Analise!$U$2:$U$4546,Base_Analise!$J$2:$J$4546,A99,Base_Analise!$I$2:$I$4546,"Entregue")</f>
        <v/>
      </c>
      <c r="E99" s="27">
        <f>SUMIFS(Base_Analise!$W$2:$W$4546,Base_Analise!$J$2:$J$4546,A99,Base_Analise!$I$2:$I$4546,"Entregue")</f>
        <v/>
      </c>
    </row>
    <row r="100">
      <c r="A100" s="21">
        <f>Clientes!A97</f>
        <v/>
      </c>
      <c r="B100" s="21">
        <f>Clientes!B97</f>
        <v/>
      </c>
      <c r="C100" s="21">
        <f>Clientes!C97</f>
        <v/>
      </c>
      <c r="D100" s="23">
        <f>SUMIFS(Base_Analise!$U$2:$U$4546,Base_Analise!$J$2:$J$4546,A100,Base_Analise!$I$2:$I$4546,"Entregue")</f>
        <v/>
      </c>
      <c r="E100" s="23">
        <f>SUMIFS(Base_Analise!$W$2:$W$4546,Base_Analise!$J$2:$J$4546,A100,Base_Analise!$I$2:$I$4546,"Entregue")</f>
        <v/>
      </c>
    </row>
    <row r="101">
      <c r="A101" s="25">
        <f>Clientes!A98</f>
        <v/>
      </c>
      <c r="B101" s="25">
        <f>Clientes!B98</f>
        <v/>
      </c>
      <c r="C101" s="25">
        <f>Clientes!C98</f>
        <v/>
      </c>
      <c r="D101" s="27">
        <f>SUMIFS(Base_Analise!$U$2:$U$4546,Base_Analise!$J$2:$J$4546,A101,Base_Analise!$I$2:$I$4546,"Entregue")</f>
        <v/>
      </c>
      <c r="E101" s="27">
        <f>SUMIFS(Base_Analise!$W$2:$W$4546,Base_Analise!$J$2:$J$4546,A101,Base_Analise!$I$2:$I$4546,"Entregue")</f>
        <v/>
      </c>
    </row>
    <row r="102">
      <c r="A102" s="21">
        <f>Clientes!A99</f>
        <v/>
      </c>
      <c r="B102" s="21">
        <f>Clientes!B99</f>
        <v/>
      </c>
      <c r="C102" s="21">
        <f>Clientes!C99</f>
        <v/>
      </c>
      <c r="D102" s="23">
        <f>SUMIFS(Base_Analise!$U$2:$U$4546,Base_Analise!$J$2:$J$4546,A102,Base_Analise!$I$2:$I$4546,"Entregue")</f>
        <v/>
      </c>
      <c r="E102" s="23">
        <f>SUMIFS(Base_Analise!$W$2:$W$4546,Base_Analise!$J$2:$J$4546,A102,Base_Analise!$I$2:$I$4546,"Entregue")</f>
        <v/>
      </c>
    </row>
    <row r="103">
      <c r="A103" s="25">
        <f>Clientes!A100</f>
        <v/>
      </c>
      <c r="B103" s="25">
        <f>Clientes!B100</f>
        <v/>
      </c>
      <c r="C103" s="25">
        <f>Clientes!C100</f>
        <v/>
      </c>
      <c r="D103" s="27">
        <f>SUMIFS(Base_Analise!$U$2:$U$4546,Base_Analise!$J$2:$J$4546,A103,Base_Analise!$I$2:$I$4546,"Entregue")</f>
        <v/>
      </c>
      <c r="E103" s="27">
        <f>SUMIFS(Base_Analise!$W$2:$W$4546,Base_Analise!$J$2:$J$4546,A103,Base_Analise!$I$2:$I$4546,"Entregue")</f>
        <v/>
      </c>
    </row>
    <row r="104">
      <c r="A104" s="21">
        <f>Clientes!A101</f>
        <v/>
      </c>
      <c r="B104" s="21">
        <f>Clientes!B101</f>
        <v/>
      </c>
      <c r="C104" s="21">
        <f>Clientes!C101</f>
        <v/>
      </c>
      <c r="D104" s="23">
        <f>SUMIFS(Base_Analise!$U$2:$U$4546,Base_Analise!$J$2:$J$4546,A104,Base_Analise!$I$2:$I$4546,"Entregue")</f>
        <v/>
      </c>
      <c r="E104" s="23">
        <f>SUMIFS(Base_Analise!$W$2:$W$4546,Base_Analise!$J$2:$J$4546,A104,Base_Analise!$I$2:$I$4546,"Entregue")</f>
        <v/>
      </c>
    </row>
    <row r="105">
      <c r="A105" s="25">
        <f>Clientes!A102</f>
        <v/>
      </c>
      <c r="B105" s="25">
        <f>Clientes!B102</f>
        <v/>
      </c>
      <c r="C105" s="25">
        <f>Clientes!C102</f>
        <v/>
      </c>
      <c r="D105" s="27">
        <f>SUMIFS(Base_Analise!$U$2:$U$4546,Base_Analise!$J$2:$J$4546,A105,Base_Analise!$I$2:$I$4546,"Entregue")</f>
        <v/>
      </c>
      <c r="E105" s="27">
        <f>SUMIFS(Base_Analise!$W$2:$W$4546,Base_Analise!$J$2:$J$4546,A105,Base_Analise!$I$2:$I$4546,"Entregue")</f>
        <v/>
      </c>
    </row>
    <row r="106">
      <c r="A106" s="21">
        <f>Clientes!A103</f>
        <v/>
      </c>
      <c r="B106" s="21">
        <f>Clientes!B103</f>
        <v/>
      </c>
      <c r="C106" s="21">
        <f>Clientes!C103</f>
        <v/>
      </c>
      <c r="D106" s="23">
        <f>SUMIFS(Base_Analise!$U$2:$U$4546,Base_Analise!$J$2:$J$4546,A106,Base_Analise!$I$2:$I$4546,"Entregue")</f>
        <v/>
      </c>
      <c r="E106" s="23">
        <f>SUMIFS(Base_Analise!$W$2:$W$4546,Base_Analise!$J$2:$J$4546,A106,Base_Analise!$I$2:$I$4546,"Entregue")</f>
        <v/>
      </c>
    </row>
    <row r="107">
      <c r="A107" s="25">
        <f>Clientes!A104</f>
        <v/>
      </c>
      <c r="B107" s="25">
        <f>Clientes!B104</f>
        <v/>
      </c>
      <c r="C107" s="25">
        <f>Clientes!C104</f>
        <v/>
      </c>
      <c r="D107" s="27">
        <f>SUMIFS(Base_Analise!$U$2:$U$4546,Base_Analise!$J$2:$J$4546,A107,Base_Analise!$I$2:$I$4546,"Entregue")</f>
        <v/>
      </c>
      <c r="E107" s="27">
        <f>SUMIFS(Base_Analise!$W$2:$W$4546,Base_Analise!$J$2:$J$4546,A107,Base_Analise!$I$2:$I$4546,"Entregue")</f>
        <v/>
      </c>
    </row>
    <row r="108">
      <c r="A108" s="21">
        <f>Clientes!A105</f>
        <v/>
      </c>
      <c r="B108" s="21">
        <f>Clientes!B105</f>
        <v/>
      </c>
      <c r="C108" s="21">
        <f>Clientes!C105</f>
        <v/>
      </c>
      <c r="D108" s="23">
        <f>SUMIFS(Base_Analise!$U$2:$U$4546,Base_Analise!$J$2:$J$4546,A108,Base_Analise!$I$2:$I$4546,"Entregue")</f>
        <v/>
      </c>
      <c r="E108" s="23">
        <f>SUMIFS(Base_Analise!$W$2:$W$4546,Base_Analise!$J$2:$J$4546,A108,Base_Analise!$I$2:$I$4546,"Entregue")</f>
        <v/>
      </c>
    </row>
    <row r="109">
      <c r="A109" s="25">
        <f>Clientes!A106</f>
        <v/>
      </c>
      <c r="B109" s="25">
        <f>Clientes!B106</f>
        <v/>
      </c>
      <c r="C109" s="25">
        <f>Clientes!C106</f>
        <v/>
      </c>
      <c r="D109" s="27">
        <f>SUMIFS(Base_Analise!$U$2:$U$4546,Base_Analise!$J$2:$J$4546,A109,Base_Analise!$I$2:$I$4546,"Entregue")</f>
        <v/>
      </c>
      <c r="E109" s="27">
        <f>SUMIFS(Base_Analise!$W$2:$W$4546,Base_Analise!$J$2:$J$4546,A109,Base_Analise!$I$2:$I$4546,"Entregue")</f>
        <v/>
      </c>
    </row>
    <row r="110">
      <c r="A110" s="21">
        <f>Clientes!A107</f>
        <v/>
      </c>
      <c r="B110" s="21">
        <f>Clientes!B107</f>
        <v/>
      </c>
      <c r="C110" s="21">
        <f>Clientes!C107</f>
        <v/>
      </c>
      <c r="D110" s="23">
        <f>SUMIFS(Base_Analise!$U$2:$U$4546,Base_Analise!$J$2:$J$4546,A110,Base_Analise!$I$2:$I$4546,"Entregue")</f>
        <v/>
      </c>
      <c r="E110" s="23">
        <f>SUMIFS(Base_Analise!$W$2:$W$4546,Base_Analise!$J$2:$J$4546,A110,Base_Analise!$I$2:$I$4546,"Entregue")</f>
        <v/>
      </c>
    </row>
    <row r="111">
      <c r="A111" s="25">
        <f>Clientes!A108</f>
        <v/>
      </c>
      <c r="B111" s="25">
        <f>Clientes!B108</f>
        <v/>
      </c>
      <c r="C111" s="25">
        <f>Clientes!C108</f>
        <v/>
      </c>
      <c r="D111" s="27">
        <f>SUMIFS(Base_Analise!$U$2:$U$4546,Base_Analise!$J$2:$J$4546,A111,Base_Analise!$I$2:$I$4546,"Entregue")</f>
        <v/>
      </c>
      <c r="E111" s="27">
        <f>SUMIFS(Base_Analise!$W$2:$W$4546,Base_Analise!$J$2:$J$4546,A111,Base_Analise!$I$2:$I$4546,"Entregue")</f>
        <v/>
      </c>
    </row>
    <row r="112">
      <c r="A112" s="21">
        <f>Clientes!A109</f>
        <v/>
      </c>
      <c r="B112" s="21">
        <f>Clientes!B109</f>
        <v/>
      </c>
      <c r="C112" s="21">
        <f>Clientes!C109</f>
        <v/>
      </c>
      <c r="D112" s="23">
        <f>SUMIFS(Base_Analise!$U$2:$U$4546,Base_Analise!$J$2:$J$4546,A112,Base_Analise!$I$2:$I$4546,"Entregue")</f>
        <v/>
      </c>
      <c r="E112" s="23">
        <f>SUMIFS(Base_Analise!$W$2:$W$4546,Base_Analise!$J$2:$J$4546,A112,Base_Analise!$I$2:$I$4546,"Entregue")</f>
        <v/>
      </c>
    </row>
    <row r="113">
      <c r="A113" s="25">
        <f>Clientes!A110</f>
        <v/>
      </c>
      <c r="B113" s="25">
        <f>Clientes!B110</f>
        <v/>
      </c>
      <c r="C113" s="25">
        <f>Clientes!C110</f>
        <v/>
      </c>
      <c r="D113" s="27">
        <f>SUMIFS(Base_Analise!$U$2:$U$4546,Base_Analise!$J$2:$J$4546,A113,Base_Analise!$I$2:$I$4546,"Entregue")</f>
        <v/>
      </c>
      <c r="E113" s="27">
        <f>SUMIFS(Base_Analise!$W$2:$W$4546,Base_Analise!$J$2:$J$4546,A113,Base_Analise!$I$2:$I$4546,"Entregue")</f>
        <v/>
      </c>
    </row>
    <row r="114">
      <c r="A114" s="21">
        <f>Clientes!A111</f>
        <v/>
      </c>
      <c r="B114" s="21">
        <f>Clientes!B111</f>
        <v/>
      </c>
      <c r="C114" s="21">
        <f>Clientes!C111</f>
        <v/>
      </c>
      <c r="D114" s="23">
        <f>SUMIFS(Base_Analise!$U$2:$U$4546,Base_Analise!$J$2:$J$4546,A114,Base_Analise!$I$2:$I$4546,"Entregue")</f>
        <v/>
      </c>
      <c r="E114" s="23">
        <f>SUMIFS(Base_Analise!$W$2:$W$4546,Base_Analise!$J$2:$J$4546,A114,Base_Analise!$I$2:$I$4546,"Entregue")</f>
        <v/>
      </c>
    </row>
    <row r="115">
      <c r="A115" s="25">
        <f>Clientes!A112</f>
        <v/>
      </c>
      <c r="B115" s="25">
        <f>Clientes!B112</f>
        <v/>
      </c>
      <c r="C115" s="25">
        <f>Clientes!C112</f>
        <v/>
      </c>
      <c r="D115" s="27">
        <f>SUMIFS(Base_Analise!$U$2:$U$4546,Base_Analise!$J$2:$J$4546,A115,Base_Analise!$I$2:$I$4546,"Entregue")</f>
        <v/>
      </c>
      <c r="E115" s="27">
        <f>SUMIFS(Base_Analise!$W$2:$W$4546,Base_Analise!$J$2:$J$4546,A115,Base_Analise!$I$2:$I$4546,"Entregue")</f>
        <v/>
      </c>
    </row>
    <row r="116">
      <c r="A116" s="21">
        <f>Clientes!A113</f>
        <v/>
      </c>
      <c r="B116" s="21">
        <f>Clientes!B113</f>
        <v/>
      </c>
      <c r="C116" s="21">
        <f>Clientes!C113</f>
        <v/>
      </c>
      <c r="D116" s="23">
        <f>SUMIFS(Base_Analise!$U$2:$U$4546,Base_Analise!$J$2:$J$4546,A116,Base_Analise!$I$2:$I$4546,"Entregue")</f>
        <v/>
      </c>
      <c r="E116" s="23">
        <f>SUMIFS(Base_Analise!$W$2:$W$4546,Base_Analise!$J$2:$J$4546,A116,Base_Analise!$I$2:$I$4546,"Entregue")</f>
        <v/>
      </c>
    </row>
    <row r="117">
      <c r="A117" s="25">
        <f>Clientes!A114</f>
        <v/>
      </c>
      <c r="B117" s="25">
        <f>Clientes!B114</f>
        <v/>
      </c>
      <c r="C117" s="25">
        <f>Clientes!C114</f>
        <v/>
      </c>
      <c r="D117" s="27">
        <f>SUMIFS(Base_Analise!$U$2:$U$4546,Base_Analise!$J$2:$J$4546,A117,Base_Analise!$I$2:$I$4546,"Entregue")</f>
        <v/>
      </c>
      <c r="E117" s="27">
        <f>SUMIFS(Base_Analise!$W$2:$W$4546,Base_Analise!$J$2:$J$4546,A117,Base_Analise!$I$2:$I$4546,"Entregue")</f>
        <v/>
      </c>
    </row>
    <row r="118">
      <c r="A118" s="21">
        <f>Clientes!A115</f>
        <v/>
      </c>
      <c r="B118" s="21">
        <f>Clientes!B115</f>
        <v/>
      </c>
      <c r="C118" s="21">
        <f>Clientes!C115</f>
        <v/>
      </c>
      <c r="D118" s="23">
        <f>SUMIFS(Base_Analise!$U$2:$U$4546,Base_Analise!$J$2:$J$4546,A118,Base_Analise!$I$2:$I$4546,"Entregue")</f>
        <v/>
      </c>
      <c r="E118" s="23">
        <f>SUMIFS(Base_Analise!$W$2:$W$4546,Base_Analise!$J$2:$J$4546,A118,Base_Analise!$I$2:$I$4546,"Entregue")</f>
        <v/>
      </c>
    </row>
    <row r="119">
      <c r="A119" s="25">
        <f>Clientes!A116</f>
        <v/>
      </c>
      <c r="B119" s="25">
        <f>Clientes!B116</f>
        <v/>
      </c>
      <c r="C119" s="25">
        <f>Clientes!C116</f>
        <v/>
      </c>
      <c r="D119" s="27">
        <f>SUMIFS(Base_Analise!$U$2:$U$4546,Base_Analise!$J$2:$J$4546,A119,Base_Analise!$I$2:$I$4546,"Entregue")</f>
        <v/>
      </c>
      <c r="E119" s="27">
        <f>SUMIFS(Base_Analise!$W$2:$W$4546,Base_Analise!$J$2:$J$4546,A119,Base_Analise!$I$2:$I$4546,"Entregue")</f>
        <v/>
      </c>
    </row>
    <row r="120">
      <c r="A120" s="21">
        <f>Clientes!A117</f>
        <v/>
      </c>
      <c r="B120" s="21">
        <f>Clientes!B117</f>
        <v/>
      </c>
      <c r="C120" s="21">
        <f>Clientes!C117</f>
        <v/>
      </c>
      <c r="D120" s="23">
        <f>SUMIFS(Base_Analise!$U$2:$U$4546,Base_Analise!$J$2:$J$4546,A120,Base_Analise!$I$2:$I$4546,"Entregue")</f>
        <v/>
      </c>
      <c r="E120" s="23">
        <f>SUMIFS(Base_Analise!$W$2:$W$4546,Base_Analise!$J$2:$J$4546,A120,Base_Analise!$I$2:$I$4546,"Entregue")</f>
        <v/>
      </c>
    </row>
    <row r="121">
      <c r="A121" s="25">
        <f>Clientes!A118</f>
        <v/>
      </c>
      <c r="B121" s="25">
        <f>Clientes!B118</f>
        <v/>
      </c>
      <c r="C121" s="25">
        <f>Clientes!C118</f>
        <v/>
      </c>
      <c r="D121" s="27">
        <f>SUMIFS(Base_Analise!$U$2:$U$4546,Base_Analise!$J$2:$J$4546,A121,Base_Analise!$I$2:$I$4546,"Entregue")</f>
        <v/>
      </c>
      <c r="E121" s="27">
        <f>SUMIFS(Base_Analise!$W$2:$W$4546,Base_Analise!$J$2:$J$4546,A121,Base_Analise!$I$2:$I$4546,"Entregue")</f>
        <v/>
      </c>
    </row>
    <row r="122">
      <c r="A122" s="21">
        <f>Clientes!A119</f>
        <v/>
      </c>
      <c r="B122" s="21">
        <f>Clientes!B119</f>
        <v/>
      </c>
      <c r="C122" s="21">
        <f>Clientes!C119</f>
        <v/>
      </c>
      <c r="D122" s="23">
        <f>SUMIFS(Base_Analise!$U$2:$U$4546,Base_Analise!$J$2:$J$4546,A122,Base_Analise!$I$2:$I$4546,"Entregue")</f>
        <v/>
      </c>
      <c r="E122" s="23">
        <f>SUMIFS(Base_Analise!$W$2:$W$4546,Base_Analise!$J$2:$J$4546,A122,Base_Analise!$I$2:$I$4546,"Entregue")</f>
        <v/>
      </c>
    </row>
    <row r="123">
      <c r="A123" s="25">
        <f>Clientes!A120</f>
        <v/>
      </c>
      <c r="B123" s="25">
        <f>Clientes!B120</f>
        <v/>
      </c>
      <c r="C123" s="25">
        <f>Clientes!C120</f>
        <v/>
      </c>
      <c r="D123" s="27">
        <f>SUMIFS(Base_Analise!$U$2:$U$4546,Base_Analise!$J$2:$J$4546,A123,Base_Analise!$I$2:$I$4546,"Entregue")</f>
        <v/>
      </c>
      <c r="E123" s="27">
        <f>SUMIFS(Base_Analise!$W$2:$W$4546,Base_Analise!$J$2:$J$4546,A123,Base_Analise!$I$2:$I$4546,"Entregue")</f>
        <v/>
      </c>
    </row>
    <row r="124">
      <c r="A124" s="21">
        <f>Clientes!A121</f>
        <v/>
      </c>
      <c r="B124" s="21">
        <f>Clientes!B121</f>
        <v/>
      </c>
      <c r="C124" s="21">
        <f>Clientes!C121</f>
        <v/>
      </c>
      <c r="D124" s="23">
        <f>SUMIFS(Base_Analise!$U$2:$U$4546,Base_Analise!$J$2:$J$4546,A124,Base_Analise!$I$2:$I$4546,"Entregue")</f>
        <v/>
      </c>
      <c r="E124" s="23">
        <f>SUMIFS(Base_Analise!$W$2:$W$4546,Base_Analise!$J$2:$J$4546,A124,Base_Analise!$I$2:$I$4546,"Entregue")</f>
        <v/>
      </c>
    </row>
    <row r="125">
      <c r="A125" s="25">
        <f>Clientes!A122</f>
        <v/>
      </c>
      <c r="B125" s="25">
        <f>Clientes!B122</f>
        <v/>
      </c>
      <c r="C125" s="25">
        <f>Clientes!C122</f>
        <v/>
      </c>
      <c r="D125" s="27">
        <f>SUMIFS(Base_Analise!$U$2:$U$4546,Base_Analise!$J$2:$J$4546,A125,Base_Analise!$I$2:$I$4546,"Entregue")</f>
        <v/>
      </c>
      <c r="E125" s="27">
        <f>SUMIFS(Base_Analise!$W$2:$W$4546,Base_Analise!$J$2:$J$4546,A125,Base_Analise!$I$2:$I$4546,"Entregue")</f>
        <v/>
      </c>
    </row>
    <row r="126">
      <c r="A126" s="21">
        <f>Clientes!A123</f>
        <v/>
      </c>
      <c r="B126" s="21">
        <f>Clientes!B123</f>
        <v/>
      </c>
      <c r="C126" s="21">
        <f>Clientes!C123</f>
        <v/>
      </c>
      <c r="D126" s="23">
        <f>SUMIFS(Base_Analise!$U$2:$U$4546,Base_Analise!$J$2:$J$4546,A126,Base_Analise!$I$2:$I$4546,"Entregue")</f>
        <v/>
      </c>
      <c r="E126" s="23">
        <f>SUMIFS(Base_Analise!$W$2:$W$4546,Base_Analise!$J$2:$J$4546,A126,Base_Analise!$I$2:$I$4546,"Entregue")</f>
        <v/>
      </c>
    </row>
    <row r="127">
      <c r="A127" s="25">
        <f>Clientes!A124</f>
        <v/>
      </c>
      <c r="B127" s="25">
        <f>Clientes!B124</f>
        <v/>
      </c>
      <c r="C127" s="25">
        <f>Clientes!C124</f>
        <v/>
      </c>
      <c r="D127" s="27">
        <f>SUMIFS(Base_Analise!$U$2:$U$4546,Base_Analise!$J$2:$J$4546,A127,Base_Analise!$I$2:$I$4546,"Entregue")</f>
        <v/>
      </c>
      <c r="E127" s="27">
        <f>SUMIFS(Base_Analise!$W$2:$W$4546,Base_Analise!$J$2:$J$4546,A127,Base_Analise!$I$2:$I$4546,"Entregue")</f>
        <v/>
      </c>
    </row>
    <row r="128">
      <c r="A128" s="21">
        <f>Clientes!A125</f>
        <v/>
      </c>
      <c r="B128" s="21">
        <f>Clientes!B125</f>
        <v/>
      </c>
      <c r="C128" s="21">
        <f>Clientes!C125</f>
        <v/>
      </c>
      <c r="D128" s="23">
        <f>SUMIFS(Base_Analise!$U$2:$U$4546,Base_Analise!$J$2:$J$4546,A128,Base_Analise!$I$2:$I$4546,"Entregue")</f>
        <v/>
      </c>
      <c r="E128" s="23">
        <f>SUMIFS(Base_Analise!$W$2:$W$4546,Base_Analise!$J$2:$J$4546,A128,Base_Analise!$I$2:$I$4546,"Entregue")</f>
        <v/>
      </c>
    </row>
    <row r="129">
      <c r="A129" s="25">
        <f>Clientes!A126</f>
        <v/>
      </c>
      <c r="B129" s="25">
        <f>Clientes!B126</f>
        <v/>
      </c>
      <c r="C129" s="25">
        <f>Clientes!C126</f>
        <v/>
      </c>
      <c r="D129" s="27">
        <f>SUMIFS(Base_Analise!$U$2:$U$4546,Base_Analise!$J$2:$J$4546,A129,Base_Analise!$I$2:$I$4546,"Entregue")</f>
        <v/>
      </c>
      <c r="E129" s="27">
        <f>SUMIFS(Base_Analise!$W$2:$W$4546,Base_Analise!$J$2:$J$4546,A129,Base_Analise!$I$2:$I$4546,"Entregue")</f>
        <v/>
      </c>
    </row>
    <row r="130">
      <c r="A130" s="21">
        <f>Clientes!A127</f>
        <v/>
      </c>
      <c r="B130" s="21">
        <f>Clientes!B127</f>
        <v/>
      </c>
      <c r="C130" s="21">
        <f>Clientes!C127</f>
        <v/>
      </c>
      <c r="D130" s="23">
        <f>SUMIFS(Base_Analise!$U$2:$U$4546,Base_Analise!$J$2:$J$4546,A130,Base_Analise!$I$2:$I$4546,"Entregue")</f>
        <v/>
      </c>
      <c r="E130" s="23">
        <f>SUMIFS(Base_Analise!$W$2:$W$4546,Base_Analise!$J$2:$J$4546,A130,Base_Analise!$I$2:$I$4546,"Entregue")</f>
        <v/>
      </c>
    </row>
    <row r="131">
      <c r="A131" s="25">
        <f>Clientes!A128</f>
        <v/>
      </c>
      <c r="B131" s="25">
        <f>Clientes!B128</f>
        <v/>
      </c>
      <c r="C131" s="25">
        <f>Clientes!C128</f>
        <v/>
      </c>
      <c r="D131" s="27">
        <f>SUMIFS(Base_Analise!$U$2:$U$4546,Base_Analise!$J$2:$J$4546,A131,Base_Analise!$I$2:$I$4546,"Entregue")</f>
        <v/>
      </c>
      <c r="E131" s="27">
        <f>SUMIFS(Base_Analise!$W$2:$W$4546,Base_Analise!$J$2:$J$4546,A131,Base_Analise!$I$2:$I$4546,"Entregue")</f>
        <v/>
      </c>
    </row>
    <row r="132">
      <c r="A132" s="21">
        <f>Clientes!A129</f>
        <v/>
      </c>
      <c r="B132" s="21">
        <f>Clientes!B129</f>
        <v/>
      </c>
      <c r="C132" s="21">
        <f>Clientes!C129</f>
        <v/>
      </c>
      <c r="D132" s="23">
        <f>SUMIFS(Base_Analise!$U$2:$U$4546,Base_Analise!$J$2:$J$4546,A132,Base_Analise!$I$2:$I$4546,"Entregue")</f>
        <v/>
      </c>
      <c r="E132" s="23">
        <f>SUMIFS(Base_Analise!$W$2:$W$4546,Base_Analise!$J$2:$J$4546,A132,Base_Analise!$I$2:$I$4546,"Entregue")</f>
        <v/>
      </c>
    </row>
    <row r="133">
      <c r="A133" s="25">
        <f>Clientes!A130</f>
        <v/>
      </c>
      <c r="B133" s="25">
        <f>Clientes!B130</f>
        <v/>
      </c>
      <c r="C133" s="25">
        <f>Clientes!C130</f>
        <v/>
      </c>
      <c r="D133" s="27">
        <f>SUMIFS(Base_Analise!$U$2:$U$4546,Base_Analise!$J$2:$J$4546,A133,Base_Analise!$I$2:$I$4546,"Entregue")</f>
        <v/>
      </c>
      <c r="E133" s="27">
        <f>SUMIFS(Base_Analise!$W$2:$W$4546,Base_Analise!$J$2:$J$4546,A133,Base_Analise!$I$2:$I$4546,"Entregue")</f>
        <v/>
      </c>
    </row>
    <row r="134">
      <c r="A134" s="21">
        <f>Clientes!A131</f>
        <v/>
      </c>
      <c r="B134" s="21">
        <f>Clientes!B131</f>
        <v/>
      </c>
      <c r="C134" s="21">
        <f>Clientes!C131</f>
        <v/>
      </c>
      <c r="D134" s="23">
        <f>SUMIFS(Base_Analise!$U$2:$U$4546,Base_Analise!$J$2:$J$4546,A134,Base_Analise!$I$2:$I$4546,"Entregue")</f>
        <v/>
      </c>
      <c r="E134" s="23">
        <f>SUMIFS(Base_Analise!$W$2:$W$4546,Base_Analise!$J$2:$J$4546,A134,Base_Analise!$I$2:$I$4546,"Entregue")</f>
        <v/>
      </c>
    </row>
    <row r="135">
      <c r="A135" s="25">
        <f>Clientes!A132</f>
        <v/>
      </c>
      <c r="B135" s="25">
        <f>Clientes!B132</f>
        <v/>
      </c>
      <c r="C135" s="25">
        <f>Clientes!C132</f>
        <v/>
      </c>
      <c r="D135" s="27">
        <f>SUMIFS(Base_Analise!$U$2:$U$4546,Base_Analise!$J$2:$J$4546,A135,Base_Analise!$I$2:$I$4546,"Entregue")</f>
        <v/>
      </c>
      <c r="E135" s="27">
        <f>SUMIFS(Base_Analise!$W$2:$W$4546,Base_Analise!$J$2:$J$4546,A135,Base_Analise!$I$2:$I$4546,"Entregue")</f>
        <v/>
      </c>
    </row>
    <row r="136">
      <c r="A136" s="21">
        <f>Clientes!A133</f>
        <v/>
      </c>
      <c r="B136" s="21">
        <f>Clientes!B133</f>
        <v/>
      </c>
      <c r="C136" s="21">
        <f>Clientes!C133</f>
        <v/>
      </c>
      <c r="D136" s="23">
        <f>SUMIFS(Base_Analise!$U$2:$U$4546,Base_Analise!$J$2:$J$4546,A136,Base_Analise!$I$2:$I$4546,"Entregue")</f>
        <v/>
      </c>
      <c r="E136" s="23">
        <f>SUMIFS(Base_Analise!$W$2:$W$4546,Base_Analise!$J$2:$J$4546,A136,Base_Analise!$I$2:$I$4546,"Entregue")</f>
        <v/>
      </c>
    </row>
    <row r="137">
      <c r="A137" s="25">
        <f>Clientes!A134</f>
        <v/>
      </c>
      <c r="B137" s="25">
        <f>Clientes!B134</f>
        <v/>
      </c>
      <c r="C137" s="25">
        <f>Clientes!C134</f>
        <v/>
      </c>
      <c r="D137" s="27">
        <f>SUMIFS(Base_Analise!$U$2:$U$4546,Base_Analise!$J$2:$J$4546,A137,Base_Analise!$I$2:$I$4546,"Entregue")</f>
        <v/>
      </c>
      <c r="E137" s="27">
        <f>SUMIFS(Base_Analise!$W$2:$W$4546,Base_Analise!$J$2:$J$4546,A137,Base_Analise!$I$2:$I$4546,"Entregue")</f>
        <v/>
      </c>
    </row>
    <row r="138">
      <c r="A138" s="21">
        <f>Clientes!A135</f>
        <v/>
      </c>
      <c r="B138" s="21">
        <f>Clientes!B135</f>
        <v/>
      </c>
      <c r="C138" s="21">
        <f>Clientes!C135</f>
        <v/>
      </c>
      <c r="D138" s="23">
        <f>SUMIFS(Base_Analise!$U$2:$U$4546,Base_Analise!$J$2:$J$4546,A138,Base_Analise!$I$2:$I$4546,"Entregue")</f>
        <v/>
      </c>
      <c r="E138" s="23">
        <f>SUMIFS(Base_Analise!$W$2:$W$4546,Base_Analise!$J$2:$J$4546,A138,Base_Analise!$I$2:$I$4546,"Entregue")</f>
        <v/>
      </c>
    </row>
    <row r="139">
      <c r="A139" s="25">
        <f>Clientes!A136</f>
        <v/>
      </c>
      <c r="B139" s="25">
        <f>Clientes!B136</f>
        <v/>
      </c>
      <c r="C139" s="25">
        <f>Clientes!C136</f>
        <v/>
      </c>
      <c r="D139" s="27">
        <f>SUMIFS(Base_Analise!$U$2:$U$4546,Base_Analise!$J$2:$J$4546,A139,Base_Analise!$I$2:$I$4546,"Entregue")</f>
        <v/>
      </c>
      <c r="E139" s="27">
        <f>SUMIFS(Base_Analise!$W$2:$W$4546,Base_Analise!$J$2:$J$4546,A139,Base_Analise!$I$2:$I$4546,"Entregue")</f>
        <v/>
      </c>
    </row>
    <row r="140">
      <c r="A140" s="21">
        <f>Clientes!A137</f>
        <v/>
      </c>
      <c r="B140" s="21">
        <f>Clientes!B137</f>
        <v/>
      </c>
      <c r="C140" s="21">
        <f>Clientes!C137</f>
        <v/>
      </c>
      <c r="D140" s="23">
        <f>SUMIFS(Base_Analise!$U$2:$U$4546,Base_Analise!$J$2:$J$4546,A140,Base_Analise!$I$2:$I$4546,"Entregue")</f>
        <v/>
      </c>
      <c r="E140" s="23">
        <f>SUMIFS(Base_Analise!$W$2:$W$4546,Base_Analise!$J$2:$J$4546,A140,Base_Analise!$I$2:$I$4546,"Entregue")</f>
        <v/>
      </c>
    </row>
    <row r="141">
      <c r="A141" s="25">
        <f>Clientes!A138</f>
        <v/>
      </c>
      <c r="B141" s="25">
        <f>Clientes!B138</f>
        <v/>
      </c>
      <c r="C141" s="25">
        <f>Clientes!C138</f>
        <v/>
      </c>
      <c r="D141" s="27">
        <f>SUMIFS(Base_Analise!$U$2:$U$4546,Base_Analise!$J$2:$J$4546,A141,Base_Analise!$I$2:$I$4546,"Entregue")</f>
        <v/>
      </c>
      <c r="E141" s="27">
        <f>SUMIFS(Base_Analise!$W$2:$W$4546,Base_Analise!$J$2:$J$4546,A141,Base_Analise!$I$2:$I$4546,"Entregue")</f>
        <v/>
      </c>
    </row>
    <row r="142">
      <c r="A142" s="21">
        <f>Clientes!A139</f>
        <v/>
      </c>
      <c r="B142" s="21">
        <f>Clientes!B139</f>
        <v/>
      </c>
      <c r="C142" s="21">
        <f>Clientes!C139</f>
        <v/>
      </c>
      <c r="D142" s="23">
        <f>SUMIFS(Base_Analise!$U$2:$U$4546,Base_Analise!$J$2:$J$4546,A142,Base_Analise!$I$2:$I$4546,"Entregue")</f>
        <v/>
      </c>
      <c r="E142" s="23">
        <f>SUMIFS(Base_Analise!$W$2:$W$4546,Base_Analise!$J$2:$J$4546,A142,Base_Analise!$I$2:$I$4546,"Entregue")</f>
        <v/>
      </c>
    </row>
    <row r="143">
      <c r="A143" s="25">
        <f>Clientes!A140</f>
        <v/>
      </c>
      <c r="B143" s="25">
        <f>Clientes!B140</f>
        <v/>
      </c>
      <c r="C143" s="25">
        <f>Clientes!C140</f>
        <v/>
      </c>
      <c r="D143" s="27">
        <f>SUMIFS(Base_Analise!$U$2:$U$4546,Base_Analise!$J$2:$J$4546,A143,Base_Analise!$I$2:$I$4546,"Entregue")</f>
        <v/>
      </c>
      <c r="E143" s="27">
        <f>SUMIFS(Base_Analise!$W$2:$W$4546,Base_Analise!$J$2:$J$4546,A143,Base_Analise!$I$2:$I$4546,"Entregue")</f>
        <v/>
      </c>
    </row>
    <row r="144">
      <c r="A144" s="21">
        <f>Clientes!A141</f>
        <v/>
      </c>
      <c r="B144" s="21">
        <f>Clientes!B141</f>
        <v/>
      </c>
      <c r="C144" s="21">
        <f>Clientes!C141</f>
        <v/>
      </c>
      <c r="D144" s="23">
        <f>SUMIFS(Base_Analise!$U$2:$U$4546,Base_Analise!$J$2:$J$4546,A144,Base_Analise!$I$2:$I$4546,"Entregue")</f>
        <v/>
      </c>
      <c r="E144" s="23">
        <f>SUMIFS(Base_Analise!$W$2:$W$4546,Base_Analise!$J$2:$J$4546,A144,Base_Analise!$I$2:$I$4546,"Entregue")</f>
        <v/>
      </c>
    </row>
    <row r="145">
      <c r="A145" s="25">
        <f>Clientes!A142</f>
        <v/>
      </c>
      <c r="B145" s="25">
        <f>Clientes!B142</f>
        <v/>
      </c>
      <c r="C145" s="25">
        <f>Clientes!C142</f>
        <v/>
      </c>
      <c r="D145" s="27">
        <f>SUMIFS(Base_Analise!$U$2:$U$4546,Base_Analise!$J$2:$J$4546,A145,Base_Analise!$I$2:$I$4546,"Entregue")</f>
        <v/>
      </c>
      <c r="E145" s="27">
        <f>SUMIFS(Base_Analise!$W$2:$W$4546,Base_Analise!$J$2:$J$4546,A145,Base_Analise!$I$2:$I$4546,"Entregue")</f>
        <v/>
      </c>
    </row>
    <row r="146">
      <c r="A146" s="21">
        <f>Clientes!A143</f>
        <v/>
      </c>
      <c r="B146" s="21">
        <f>Clientes!B143</f>
        <v/>
      </c>
      <c r="C146" s="21">
        <f>Clientes!C143</f>
        <v/>
      </c>
      <c r="D146" s="23">
        <f>SUMIFS(Base_Analise!$U$2:$U$4546,Base_Analise!$J$2:$J$4546,A146,Base_Analise!$I$2:$I$4546,"Entregue")</f>
        <v/>
      </c>
      <c r="E146" s="23">
        <f>SUMIFS(Base_Analise!$W$2:$W$4546,Base_Analise!$J$2:$J$4546,A146,Base_Analise!$I$2:$I$4546,"Entregue")</f>
        <v/>
      </c>
    </row>
    <row r="147">
      <c r="A147" s="25">
        <f>Clientes!A144</f>
        <v/>
      </c>
      <c r="B147" s="25">
        <f>Clientes!B144</f>
        <v/>
      </c>
      <c r="C147" s="25">
        <f>Clientes!C144</f>
        <v/>
      </c>
      <c r="D147" s="27">
        <f>SUMIFS(Base_Analise!$U$2:$U$4546,Base_Analise!$J$2:$J$4546,A147,Base_Analise!$I$2:$I$4546,"Entregue")</f>
        <v/>
      </c>
      <c r="E147" s="27">
        <f>SUMIFS(Base_Analise!$W$2:$W$4546,Base_Analise!$J$2:$J$4546,A147,Base_Analise!$I$2:$I$4546,"Entregue")</f>
        <v/>
      </c>
    </row>
    <row r="148">
      <c r="A148" s="21">
        <f>Clientes!A145</f>
        <v/>
      </c>
      <c r="B148" s="21">
        <f>Clientes!B145</f>
        <v/>
      </c>
      <c r="C148" s="21">
        <f>Clientes!C145</f>
        <v/>
      </c>
      <c r="D148" s="23">
        <f>SUMIFS(Base_Analise!$U$2:$U$4546,Base_Analise!$J$2:$J$4546,A148,Base_Analise!$I$2:$I$4546,"Entregue")</f>
        <v/>
      </c>
      <c r="E148" s="23">
        <f>SUMIFS(Base_Analise!$W$2:$W$4546,Base_Analise!$J$2:$J$4546,A148,Base_Analise!$I$2:$I$4546,"Entregue")</f>
        <v/>
      </c>
    </row>
    <row r="149">
      <c r="A149" s="25">
        <f>Clientes!A146</f>
        <v/>
      </c>
      <c r="B149" s="25">
        <f>Clientes!B146</f>
        <v/>
      </c>
      <c r="C149" s="25">
        <f>Clientes!C146</f>
        <v/>
      </c>
      <c r="D149" s="27">
        <f>SUMIFS(Base_Analise!$U$2:$U$4546,Base_Analise!$J$2:$J$4546,A149,Base_Analise!$I$2:$I$4546,"Entregue")</f>
        <v/>
      </c>
      <c r="E149" s="27">
        <f>SUMIFS(Base_Analise!$W$2:$W$4546,Base_Analise!$J$2:$J$4546,A149,Base_Analise!$I$2:$I$4546,"Entregue")</f>
        <v/>
      </c>
    </row>
    <row r="150">
      <c r="A150" s="21">
        <f>Clientes!A147</f>
        <v/>
      </c>
      <c r="B150" s="21">
        <f>Clientes!B147</f>
        <v/>
      </c>
      <c r="C150" s="21">
        <f>Clientes!C147</f>
        <v/>
      </c>
      <c r="D150" s="23">
        <f>SUMIFS(Base_Analise!$U$2:$U$4546,Base_Analise!$J$2:$J$4546,A150,Base_Analise!$I$2:$I$4546,"Entregue")</f>
        <v/>
      </c>
      <c r="E150" s="23">
        <f>SUMIFS(Base_Analise!$W$2:$W$4546,Base_Analise!$J$2:$J$4546,A150,Base_Analise!$I$2:$I$4546,"Entregue")</f>
        <v/>
      </c>
    </row>
    <row r="151">
      <c r="A151" s="25">
        <f>Clientes!A148</f>
        <v/>
      </c>
      <c r="B151" s="25">
        <f>Clientes!B148</f>
        <v/>
      </c>
      <c r="C151" s="25">
        <f>Clientes!C148</f>
        <v/>
      </c>
      <c r="D151" s="27">
        <f>SUMIFS(Base_Analise!$U$2:$U$4546,Base_Analise!$J$2:$J$4546,A151,Base_Analise!$I$2:$I$4546,"Entregue")</f>
        <v/>
      </c>
      <c r="E151" s="27">
        <f>SUMIFS(Base_Analise!$W$2:$W$4546,Base_Analise!$J$2:$J$4546,A151,Base_Analise!$I$2:$I$4546,"Entregue")</f>
        <v/>
      </c>
    </row>
    <row r="152">
      <c r="A152" s="21">
        <f>Clientes!A149</f>
        <v/>
      </c>
      <c r="B152" s="21">
        <f>Clientes!B149</f>
        <v/>
      </c>
      <c r="C152" s="21">
        <f>Clientes!C149</f>
        <v/>
      </c>
      <c r="D152" s="23">
        <f>SUMIFS(Base_Analise!$U$2:$U$4546,Base_Analise!$J$2:$J$4546,A152,Base_Analise!$I$2:$I$4546,"Entregue")</f>
        <v/>
      </c>
      <c r="E152" s="23">
        <f>SUMIFS(Base_Analise!$W$2:$W$4546,Base_Analise!$J$2:$J$4546,A152,Base_Analise!$I$2:$I$4546,"Entregue")</f>
        <v/>
      </c>
    </row>
    <row r="153">
      <c r="A153" s="25">
        <f>Clientes!A150</f>
        <v/>
      </c>
      <c r="B153" s="25">
        <f>Clientes!B150</f>
        <v/>
      </c>
      <c r="C153" s="25">
        <f>Clientes!C150</f>
        <v/>
      </c>
      <c r="D153" s="27">
        <f>SUMIFS(Base_Analise!$U$2:$U$4546,Base_Analise!$J$2:$J$4546,A153,Base_Analise!$I$2:$I$4546,"Entregue")</f>
        <v/>
      </c>
      <c r="E153" s="27">
        <f>SUMIFS(Base_Analise!$W$2:$W$4546,Base_Analise!$J$2:$J$4546,A153,Base_Analise!$I$2:$I$4546,"Entregue")</f>
        <v/>
      </c>
    </row>
    <row r="154">
      <c r="A154" s="21">
        <f>Clientes!A151</f>
        <v/>
      </c>
      <c r="B154" s="21">
        <f>Clientes!B151</f>
        <v/>
      </c>
      <c r="C154" s="21">
        <f>Clientes!C151</f>
        <v/>
      </c>
      <c r="D154" s="23">
        <f>SUMIFS(Base_Analise!$U$2:$U$4546,Base_Analise!$J$2:$J$4546,A154,Base_Analise!$I$2:$I$4546,"Entregue")</f>
        <v/>
      </c>
      <c r="E154" s="23">
        <f>SUMIFS(Base_Analise!$W$2:$W$4546,Base_Analise!$J$2:$J$4546,A154,Base_Analise!$I$2:$I$4546,"Entregue")</f>
        <v/>
      </c>
    </row>
    <row r="155">
      <c r="A155" s="25">
        <f>Clientes!A152</f>
        <v/>
      </c>
      <c r="B155" s="25">
        <f>Clientes!B152</f>
        <v/>
      </c>
      <c r="C155" s="25">
        <f>Clientes!C152</f>
        <v/>
      </c>
      <c r="D155" s="27">
        <f>SUMIFS(Base_Analise!$U$2:$U$4546,Base_Analise!$J$2:$J$4546,A155,Base_Analise!$I$2:$I$4546,"Entregue")</f>
        <v/>
      </c>
      <c r="E155" s="27">
        <f>SUMIFS(Base_Analise!$W$2:$W$4546,Base_Analise!$J$2:$J$4546,A155,Base_Analise!$I$2:$I$4546,"Entregue")</f>
        <v/>
      </c>
    </row>
    <row r="156">
      <c r="A156" s="21">
        <f>Clientes!A153</f>
        <v/>
      </c>
      <c r="B156" s="21">
        <f>Clientes!B153</f>
        <v/>
      </c>
      <c r="C156" s="21">
        <f>Clientes!C153</f>
        <v/>
      </c>
      <c r="D156" s="23">
        <f>SUMIFS(Base_Analise!$U$2:$U$4546,Base_Analise!$J$2:$J$4546,A156,Base_Analise!$I$2:$I$4546,"Entregue")</f>
        <v/>
      </c>
      <c r="E156" s="23">
        <f>SUMIFS(Base_Analise!$W$2:$W$4546,Base_Analise!$J$2:$J$4546,A156,Base_Analise!$I$2:$I$4546,"Entregue")</f>
        <v/>
      </c>
    </row>
    <row r="157">
      <c r="A157" s="25">
        <f>Clientes!A154</f>
        <v/>
      </c>
      <c r="B157" s="25">
        <f>Clientes!B154</f>
        <v/>
      </c>
      <c r="C157" s="25">
        <f>Clientes!C154</f>
        <v/>
      </c>
      <c r="D157" s="27">
        <f>SUMIFS(Base_Analise!$U$2:$U$4546,Base_Analise!$J$2:$J$4546,A157,Base_Analise!$I$2:$I$4546,"Entregue")</f>
        <v/>
      </c>
      <c r="E157" s="27">
        <f>SUMIFS(Base_Analise!$W$2:$W$4546,Base_Analise!$J$2:$J$4546,A157,Base_Analise!$I$2:$I$4546,"Entregue")</f>
        <v/>
      </c>
    </row>
    <row r="158">
      <c r="A158" s="21">
        <f>Clientes!A155</f>
        <v/>
      </c>
      <c r="B158" s="21">
        <f>Clientes!B155</f>
        <v/>
      </c>
      <c r="C158" s="21">
        <f>Clientes!C155</f>
        <v/>
      </c>
      <c r="D158" s="23">
        <f>SUMIFS(Base_Analise!$U$2:$U$4546,Base_Analise!$J$2:$J$4546,A158,Base_Analise!$I$2:$I$4546,"Entregue")</f>
        <v/>
      </c>
      <c r="E158" s="23">
        <f>SUMIFS(Base_Analise!$W$2:$W$4546,Base_Analise!$J$2:$J$4546,A158,Base_Analise!$I$2:$I$4546,"Entregue")</f>
        <v/>
      </c>
    </row>
    <row r="159">
      <c r="A159" s="25">
        <f>Clientes!A156</f>
        <v/>
      </c>
      <c r="B159" s="25">
        <f>Clientes!B156</f>
        <v/>
      </c>
      <c r="C159" s="25">
        <f>Clientes!C156</f>
        <v/>
      </c>
      <c r="D159" s="27">
        <f>SUMIFS(Base_Analise!$U$2:$U$4546,Base_Analise!$J$2:$J$4546,A159,Base_Analise!$I$2:$I$4546,"Entregue")</f>
        <v/>
      </c>
      <c r="E159" s="27">
        <f>SUMIFS(Base_Analise!$W$2:$W$4546,Base_Analise!$J$2:$J$4546,A159,Base_Analise!$I$2:$I$4546,"Entregue")</f>
        <v/>
      </c>
    </row>
    <row r="160">
      <c r="A160" s="21">
        <f>Clientes!A157</f>
        <v/>
      </c>
      <c r="B160" s="21">
        <f>Clientes!B157</f>
        <v/>
      </c>
      <c r="C160" s="21">
        <f>Clientes!C157</f>
        <v/>
      </c>
      <c r="D160" s="23">
        <f>SUMIFS(Base_Analise!$U$2:$U$4546,Base_Analise!$J$2:$J$4546,A160,Base_Analise!$I$2:$I$4546,"Entregue")</f>
        <v/>
      </c>
      <c r="E160" s="23">
        <f>SUMIFS(Base_Analise!$W$2:$W$4546,Base_Analise!$J$2:$J$4546,A160,Base_Analise!$I$2:$I$4546,"Entregue")</f>
        <v/>
      </c>
    </row>
    <row r="161">
      <c r="A161" s="25">
        <f>Clientes!A158</f>
        <v/>
      </c>
      <c r="B161" s="25">
        <f>Clientes!B158</f>
        <v/>
      </c>
      <c r="C161" s="25">
        <f>Clientes!C158</f>
        <v/>
      </c>
      <c r="D161" s="27">
        <f>SUMIFS(Base_Analise!$U$2:$U$4546,Base_Analise!$J$2:$J$4546,A161,Base_Analise!$I$2:$I$4546,"Entregue")</f>
        <v/>
      </c>
      <c r="E161" s="27">
        <f>SUMIFS(Base_Analise!$W$2:$W$4546,Base_Analise!$J$2:$J$4546,A161,Base_Analise!$I$2:$I$4546,"Entregue")</f>
        <v/>
      </c>
    </row>
    <row r="162">
      <c r="A162" s="21">
        <f>Clientes!A159</f>
        <v/>
      </c>
      <c r="B162" s="21">
        <f>Clientes!B159</f>
        <v/>
      </c>
      <c r="C162" s="21">
        <f>Clientes!C159</f>
        <v/>
      </c>
      <c r="D162" s="23">
        <f>SUMIFS(Base_Analise!$U$2:$U$4546,Base_Analise!$J$2:$J$4546,A162,Base_Analise!$I$2:$I$4546,"Entregue")</f>
        <v/>
      </c>
      <c r="E162" s="23">
        <f>SUMIFS(Base_Analise!$W$2:$W$4546,Base_Analise!$J$2:$J$4546,A162,Base_Analise!$I$2:$I$4546,"Entregue")</f>
        <v/>
      </c>
    </row>
    <row r="163">
      <c r="A163" s="25">
        <f>Clientes!A160</f>
        <v/>
      </c>
      <c r="B163" s="25">
        <f>Clientes!B160</f>
        <v/>
      </c>
      <c r="C163" s="25">
        <f>Clientes!C160</f>
        <v/>
      </c>
      <c r="D163" s="27">
        <f>SUMIFS(Base_Analise!$U$2:$U$4546,Base_Analise!$J$2:$J$4546,A163,Base_Analise!$I$2:$I$4546,"Entregue")</f>
        <v/>
      </c>
      <c r="E163" s="27">
        <f>SUMIFS(Base_Analise!$W$2:$W$4546,Base_Analise!$J$2:$J$4546,A163,Base_Analise!$I$2:$I$4546,"Entregue")</f>
        <v/>
      </c>
    </row>
    <row r="164">
      <c r="A164" s="21">
        <f>Clientes!A161</f>
        <v/>
      </c>
      <c r="B164" s="21">
        <f>Clientes!B161</f>
        <v/>
      </c>
      <c r="C164" s="21">
        <f>Clientes!C161</f>
        <v/>
      </c>
      <c r="D164" s="23">
        <f>SUMIFS(Base_Analise!$U$2:$U$4546,Base_Analise!$J$2:$J$4546,A164,Base_Analise!$I$2:$I$4546,"Entregue")</f>
        <v/>
      </c>
      <c r="E164" s="23">
        <f>SUMIFS(Base_Analise!$W$2:$W$4546,Base_Analise!$J$2:$J$4546,A164,Base_Analise!$I$2:$I$4546,"Entregue")</f>
        <v/>
      </c>
    </row>
    <row r="165">
      <c r="A165" s="25">
        <f>Clientes!A162</f>
        <v/>
      </c>
      <c r="B165" s="25">
        <f>Clientes!B162</f>
        <v/>
      </c>
      <c r="C165" s="25">
        <f>Clientes!C162</f>
        <v/>
      </c>
      <c r="D165" s="27">
        <f>SUMIFS(Base_Analise!$U$2:$U$4546,Base_Analise!$J$2:$J$4546,A165,Base_Analise!$I$2:$I$4546,"Entregue")</f>
        <v/>
      </c>
      <c r="E165" s="27">
        <f>SUMIFS(Base_Analise!$W$2:$W$4546,Base_Analise!$J$2:$J$4546,A165,Base_Analise!$I$2:$I$4546,"Entregue")</f>
        <v/>
      </c>
    </row>
    <row r="166">
      <c r="A166" s="21">
        <f>Clientes!A163</f>
        <v/>
      </c>
      <c r="B166" s="21">
        <f>Clientes!B163</f>
        <v/>
      </c>
      <c r="C166" s="21">
        <f>Clientes!C163</f>
        <v/>
      </c>
      <c r="D166" s="23">
        <f>SUMIFS(Base_Analise!$U$2:$U$4546,Base_Analise!$J$2:$J$4546,A166,Base_Analise!$I$2:$I$4546,"Entregue")</f>
        <v/>
      </c>
      <c r="E166" s="23">
        <f>SUMIFS(Base_Analise!$W$2:$W$4546,Base_Analise!$J$2:$J$4546,A166,Base_Analise!$I$2:$I$4546,"Entregue")</f>
        <v/>
      </c>
    </row>
    <row r="167">
      <c r="A167" s="25">
        <f>Clientes!A164</f>
        <v/>
      </c>
      <c r="B167" s="25">
        <f>Clientes!B164</f>
        <v/>
      </c>
      <c r="C167" s="25">
        <f>Clientes!C164</f>
        <v/>
      </c>
      <c r="D167" s="27">
        <f>SUMIFS(Base_Analise!$U$2:$U$4546,Base_Analise!$J$2:$J$4546,A167,Base_Analise!$I$2:$I$4546,"Entregue")</f>
        <v/>
      </c>
      <c r="E167" s="27">
        <f>SUMIFS(Base_Analise!$W$2:$W$4546,Base_Analise!$J$2:$J$4546,A167,Base_Analise!$I$2:$I$4546,"Entregue")</f>
        <v/>
      </c>
    </row>
    <row r="168">
      <c r="A168" s="21">
        <f>Clientes!A165</f>
        <v/>
      </c>
      <c r="B168" s="21">
        <f>Clientes!B165</f>
        <v/>
      </c>
      <c r="C168" s="21">
        <f>Clientes!C165</f>
        <v/>
      </c>
      <c r="D168" s="23">
        <f>SUMIFS(Base_Analise!$U$2:$U$4546,Base_Analise!$J$2:$J$4546,A168,Base_Analise!$I$2:$I$4546,"Entregue")</f>
        <v/>
      </c>
      <c r="E168" s="23">
        <f>SUMIFS(Base_Analise!$W$2:$W$4546,Base_Analise!$J$2:$J$4546,A168,Base_Analise!$I$2:$I$4546,"Entregue")</f>
        <v/>
      </c>
    </row>
    <row r="169">
      <c r="A169" s="25">
        <f>Clientes!A166</f>
        <v/>
      </c>
      <c r="B169" s="25">
        <f>Clientes!B166</f>
        <v/>
      </c>
      <c r="C169" s="25">
        <f>Clientes!C166</f>
        <v/>
      </c>
      <c r="D169" s="27">
        <f>SUMIFS(Base_Analise!$U$2:$U$4546,Base_Analise!$J$2:$J$4546,A169,Base_Analise!$I$2:$I$4546,"Entregue")</f>
        <v/>
      </c>
      <c r="E169" s="27">
        <f>SUMIFS(Base_Analise!$W$2:$W$4546,Base_Analise!$J$2:$J$4546,A169,Base_Analise!$I$2:$I$4546,"Entregue")</f>
        <v/>
      </c>
    </row>
    <row r="170">
      <c r="A170" s="21">
        <f>Clientes!A167</f>
        <v/>
      </c>
      <c r="B170" s="21">
        <f>Clientes!B167</f>
        <v/>
      </c>
      <c r="C170" s="21">
        <f>Clientes!C167</f>
        <v/>
      </c>
      <c r="D170" s="23">
        <f>SUMIFS(Base_Analise!$U$2:$U$4546,Base_Analise!$J$2:$J$4546,A170,Base_Analise!$I$2:$I$4546,"Entregue")</f>
        <v/>
      </c>
      <c r="E170" s="23">
        <f>SUMIFS(Base_Analise!$W$2:$W$4546,Base_Analise!$J$2:$J$4546,A170,Base_Analise!$I$2:$I$4546,"Entregue")</f>
        <v/>
      </c>
    </row>
    <row r="171">
      <c r="A171" s="25">
        <f>Clientes!A168</f>
        <v/>
      </c>
      <c r="B171" s="25">
        <f>Clientes!B168</f>
        <v/>
      </c>
      <c r="C171" s="25">
        <f>Clientes!C168</f>
        <v/>
      </c>
      <c r="D171" s="27">
        <f>SUMIFS(Base_Analise!$U$2:$U$4546,Base_Analise!$J$2:$J$4546,A171,Base_Analise!$I$2:$I$4546,"Entregue")</f>
        <v/>
      </c>
      <c r="E171" s="27">
        <f>SUMIFS(Base_Analise!$W$2:$W$4546,Base_Analise!$J$2:$J$4546,A171,Base_Analise!$I$2:$I$4546,"Entregue")</f>
        <v/>
      </c>
    </row>
    <row r="172">
      <c r="A172" s="21">
        <f>Clientes!A169</f>
        <v/>
      </c>
      <c r="B172" s="21">
        <f>Clientes!B169</f>
        <v/>
      </c>
      <c r="C172" s="21">
        <f>Clientes!C169</f>
        <v/>
      </c>
      <c r="D172" s="23">
        <f>SUMIFS(Base_Analise!$U$2:$U$4546,Base_Analise!$J$2:$J$4546,A172,Base_Analise!$I$2:$I$4546,"Entregue")</f>
        <v/>
      </c>
      <c r="E172" s="23">
        <f>SUMIFS(Base_Analise!$W$2:$W$4546,Base_Analise!$J$2:$J$4546,A172,Base_Analise!$I$2:$I$4546,"Entregue")</f>
        <v/>
      </c>
    </row>
    <row r="173">
      <c r="A173" s="25">
        <f>Clientes!A170</f>
        <v/>
      </c>
      <c r="B173" s="25">
        <f>Clientes!B170</f>
        <v/>
      </c>
      <c r="C173" s="25">
        <f>Clientes!C170</f>
        <v/>
      </c>
      <c r="D173" s="27">
        <f>SUMIFS(Base_Analise!$U$2:$U$4546,Base_Analise!$J$2:$J$4546,A173,Base_Analise!$I$2:$I$4546,"Entregue")</f>
        <v/>
      </c>
      <c r="E173" s="27">
        <f>SUMIFS(Base_Analise!$W$2:$W$4546,Base_Analise!$J$2:$J$4546,A173,Base_Analise!$I$2:$I$4546,"Entregue")</f>
        <v/>
      </c>
    </row>
    <row r="174">
      <c r="A174" s="21">
        <f>Clientes!A171</f>
        <v/>
      </c>
      <c r="B174" s="21">
        <f>Clientes!B171</f>
        <v/>
      </c>
      <c r="C174" s="21">
        <f>Clientes!C171</f>
        <v/>
      </c>
      <c r="D174" s="23">
        <f>SUMIFS(Base_Analise!$U$2:$U$4546,Base_Analise!$J$2:$J$4546,A174,Base_Analise!$I$2:$I$4546,"Entregue")</f>
        <v/>
      </c>
      <c r="E174" s="23">
        <f>SUMIFS(Base_Analise!$W$2:$W$4546,Base_Analise!$J$2:$J$4546,A174,Base_Analise!$I$2:$I$4546,"Entregue")</f>
        <v/>
      </c>
    </row>
    <row r="175">
      <c r="A175" s="25">
        <f>Clientes!A172</f>
        <v/>
      </c>
      <c r="B175" s="25">
        <f>Clientes!B172</f>
        <v/>
      </c>
      <c r="C175" s="25">
        <f>Clientes!C172</f>
        <v/>
      </c>
      <c r="D175" s="27">
        <f>SUMIFS(Base_Analise!$U$2:$U$4546,Base_Analise!$J$2:$J$4546,A175,Base_Analise!$I$2:$I$4546,"Entregue")</f>
        <v/>
      </c>
      <c r="E175" s="27">
        <f>SUMIFS(Base_Analise!$W$2:$W$4546,Base_Analise!$J$2:$J$4546,A175,Base_Analise!$I$2:$I$4546,"Entregue")</f>
        <v/>
      </c>
    </row>
    <row r="176">
      <c r="A176" s="21">
        <f>Clientes!A173</f>
        <v/>
      </c>
      <c r="B176" s="21">
        <f>Clientes!B173</f>
        <v/>
      </c>
      <c r="C176" s="21">
        <f>Clientes!C173</f>
        <v/>
      </c>
      <c r="D176" s="23">
        <f>SUMIFS(Base_Analise!$U$2:$U$4546,Base_Analise!$J$2:$J$4546,A176,Base_Analise!$I$2:$I$4546,"Entregue")</f>
        <v/>
      </c>
      <c r="E176" s="23">
        <f>SUMIFS(Base_Analise!$W$2:$W$4546,Base_Analise!$J$2:$J$4546,A176,Base_Analise!$I$2:$I$4546,"Entregue")</f>
        <v/>
      </c>
    </row>
    <row r="177">
      <c r="A177" s="25">
        <f>Clientes!A174</f>
        <v/>
      </c>
      <c r="B177" s="25">
        <f>Clientes!B174</f>
        <v/>
      </c>
      <c r="C177" s="25">
        <f>Clientes!C174</f>
        <v/>
      </c>
      <c r="D177" s="27">
        <f>SUMIFS(Base_Analise!$U$2:$U$4546,Base_Analise!$J$2:$J$4546,A177,Base_Analise!$I$2:$I$4546,"Entregue")</f>
        <v/>
      </c>
      <c r="E177" s="27">
        <f>SUMIFS(Base_Analise!$W$2:$W$4546,Base_Analise!$J$2:$J$4546,A177,Base_Analise!$I$2:$I$4546,"Entregue")</f>
        <v/>
      </c>
    </row>
    <row r="178">
      <c r="A178" s="21">
        <f>Clientes!A175</f>
        <v/>
      </c>
      <c r="B178" s="21">
        <f>Clientes!B175</f>
        <v/>
      </c>
      <c r="C178" s="21">
        <f>Clientes!C175</f>
        <v/>
      </c>
      <c r="D178" s="23">
        <f>SUMIFS(Base_Analise!$U$2:$U$4546,Base_Analise!$J$2:$J$4546,A178,Base_Analise!$I$2:$I$4546,"Entregue")</f>
        <v/>
      </c>
      <c r="E178" s="23">
        <f>SUMIFS(Base_Analise!$W$2:$W$4546,Base_Analise!$J$2:$J$4546,A178,Base_Analise!$I$2:$I$4546,"Entregue")</f>
        <v/>
      </c>
    </row>
    <row r="179">
      <c r="A179" s="25">
        <f>Clientes!A176</f>
        <v/>
      </c>
      <c r="B179" s="25">
        <f>Clientes!B176</f>
        <v/>
      </c>
      <c r="C179" s="25">
        <f>Clientes!C176</f>
        <v/>
      </c>
      <c r="D179" s="27">
        <f>SUMIFS(Base_Analise!$U$2:$U$4546,Base_Analise!$J$2:$J$4546,A179,Base_Analise!$I$2:$I$4546,"Entregue")</f>
        <v/>
      </c>
      <c r="E179" s="27">
        <f>SUMIFS(Base_Analise!$W$2:$W$4546,Base_Analise!$J$2:$J$4546,A179,Base_Analise!$I$2:$I$4546,"Entregue")</f>
        <v/>
      </c>
    </row>
    <row r="180">
      <c r="A180" s="21">
        <f>Clientes!A177</f>
        <v/>
      </c>
      <c r="B180" s="21">
        <f>Clientes!B177</f>
        <v/>
      </c>
      <c r="C180" s="21">
        <f>Clientes!C177</f>
        <v/>
      </c>
      <c r="D180" s="23">
        <f>SUMIFS(Base_Analise!$U$2:$U$4546,Base_Analise!$J$2:$J$4546,A180,Base_Analise!$I$2:$I$4546,"Entregue")</f>
        <v/>
      </c>
      <c r="E180" s="23">
        <f>SUMIFS(Base_Analise!$W$2:$W$4546,Base_Analise!$J$2:$J$4546,A180,Base_Analise!$I$2:$I$4546,"Entregue")</f>
        <v/>
      </c>
    </row>
    <row r="181">
      <c r="A181" s="25">
        <f>Clientes!A178</f>
        <v/>
      </c>
      <c r="B181" s="25">
        <f>Clientes!B178</f>
        <v/>
      </c>
      <c r="C181" s="25">
        <f>Clientes!C178</f>
        <v/>
      </c>
      <c r="D181" s="27">
        <f>SUMIFS(Base_Analise!$U$2:$U$4546,Base_Analise!$J$2:$J$4546,A181,Base_Analise!$I$2:$I$4546,"Entregue")</f>
        <v/>
      </c>
      <c r="E181" s="27">
        <f>SUMIFS(Base_Analise!$W$2:$W$4546,Base_Analise!$J$2:$J$4546,A181,Base_Analise!$I$2:$I$4546,"Entregue")</f>
        <v/>
      </c>
    </row>
    <row r="182">
      <c r="A182" s="21">
        <f>Clientes!A179</f>
        <v/>
      </c>
      <c r="B182" s="21">
        <f>Clientes!B179</f>
        <v/>
      </c>
      <c r="C182" s="21">
        <f>Clientes!C179</f>
        <v/>
      </c>
      <c r="D182" s="23">
        <f>SUMIFS(Base_Analise!$U$2:$U$4546,Base_Analise!$J$2:$J$4546,A182,Base_Analise!$I$2:$I$4546,"Entregue")</f>
        <v/>
      </c>
      <c r="E182" s="23">
        <f>SUMIFS(Base_Analise!$W$2:$W$4546,Base_Analise!$J$2:$J$4546,A182,Base_Analise!$I$2:$I$4546,"Entregue")</f>
        <v/>
      </c>
    </row>
    <row r="183">
      <c r="A183" s="25">
        <f>Clientes!A180</f>
        <v/>
      </c>
      <c r="B183" s="25">
        <f>Clientes!B180</f>
        <v/>
      </c>
      <c r="C183" s="25">
        <f>Clientes!C180</f>
        <v/>
      </c>
      <c r="D183" s="27">
        <f>SUMIFS(Base_Analise!$U$2:$U$4546,Base_Analise!$J$2:$J$4546,A183,Base_Analise!$I$2:$I$4546,"Entregue")</f>
        <v/>
      </c>
      <c r="E183" s="27">
        <f>SUMIFS(Base_Analise!$W$2:$W$4546,Base_Analise!$J$2:$J$4546,A183,Base_Analise!$I$2:$I$4546,"Entregue")</f>
        <v/>
      </c>
    </row>
    <row r="184">
      <c r="A184" s="21">
        <f>Clientes!A181</f>
        <v/>
      </c>
      <c r="B184" s="21">
        <f>Clientes!B181</f>
        <v/>
      </c>
      <c r="C184" s="21">
        <f>Clientes!C181</f>
        <v/>
      </c>
      <c r="D184" s="23">
        <f>SUMIFS(Base_Analise!$U$2:$U$4546,Base_Analise!$J$2:$J$4546,A184,Base_Analise!$I$2:$I$4546,"Entregue")</f>
        <v/>
      </c>
      <c r="E184" s="23">
        <f>SUMIFS(Base_Analise!$W$2:$W$4546,Base_Analise!$J$2:$J$4546,A184,Base_Analise!$I$2:$I$4546,"Entregue")</f>
        <v/>
      </c>
    </row>
    <row r="185">
      <c r="A185" s="25">
        <f>Clientes!A182</f>
        <v/>
      </c>
      <c r="B185" s="25">
        <f>Clientes!B182</f>
        <v/>
      </c>
      <c r="C185" s="25">
        <f>Clientes!C182</f>
        <v/>
      </c>
      <c r="D185" s="27">
        <f>SUMIFS(Base_Analise!$U$2:$U$4546,Base_Analise!$J$2:$J$4546,A185,Base_Analise!$I$2:$I$4546,"Entregue")</f>
        <v/>
      </c>
      <c r="E185" s="27">
        <f>SUMIFS(Base_Analise!$W$2:$W$4546,Base_Analise!$J$2:$J$4546,A185,Base_Analise!$I$2:$I$4546,"Entregue")</f>
        <v/>
      </c>
    </row>
    <row r="186">
      <c r="A186" s="21">
        <f>Clientes!A183</f>
        <v/>
      </c>
      <c r="B186" s="21">
        <f>Clientes!B183</f>
        <v/>
      </c>
      <c r="C186" s="21">
        <f>Clientes!C183</f>
        <v/>
      </c>
      <c r="D186" s="23">
        <f>SUMIFS(Base_Analise!$U$2:$U$4546,Base_Analise!$J$2:$J$4546,A186,Base_Analise!$I$2:$I$4546,"Entregue")</f>
        <v/>
      </c>
      <c r="E186" s="23">
        <f>SUMIFS(Base_Analise!$W$2:$W$4546,Base_Analise!$J$2:$J$4546,A186,Base_Analise!$I$2:$I$4546,"Entregue")</f>
        <v/>
      </c>
    </row>
    <row r="187">
      <c r="A187" s="25">
        <f>Clientes!A184</f>
        <v/>
      </c>
      <c r="B187" s="25">
        <f>Clientes!B184</f>
        <v/>
      </c>
      <c r="C187" s="25">
        <f>Clientes!C184</f>
        <v/>
      </c>
      <c r="D187" s="27">
        <f>SUMIFS(Base_Analise!$U$2:$U$4546,Base_Analise!$J$2:$J$4546,A187,Base_Analise!$I$2:$I$4546,"Entregue")</f>
        <v/>
      </c>
      <c r="E187" s="27">
        <f>SUMIFS(Base_Analise!$W$2:$W$4546,Base_Analise!$J$2:$J$4546,A187,Base_Analise!$I$2:$I$4546,"Entregue")</f>
        <v/>
      </c>
    </row>
    <row r="188">
      <c r="A188" s="21">
        <f>Clientes!A185</f>
        <v/>
      </c>
      <c r="B188" s="21">
        <f>Clientes!B185</f>
        <v/>
      </c>
      <c r="C188" s="21">
        <f>Clientes!C185</f>
        <v/>
      </c>
      <c r="D188" s="23">
        <f>SUMIFS(Base_Analise!$U$2:$U$4546,Base_Analise!$J$2:$J$4546,A188,Base_Analise!$I$2:$I$4546,"Entregue")</f>
        <v/>
      </c>
      <c r="E188" s="23">
        <f>SUMIFS(Base_Analise!$W$2:$W$4546,Base_Analise!$J$2:$J$4546,A188,Base_Analise!$I$2:$I$4546,"Entregue")</f>
        <v/>
      </c>
    </row>
    <row r="189">
      <c r="A189" s="25">
        <f>Clientes!A186</f>
        <v/>
      </c>
      <c r="B189" s="25">
        <f>Clientes!B186</f>
        <v/>
      </c>
      <c r="C189" s="25">
        <f>Clientes!C186</f>
        <v/>
      </c>
      <c r="D189" s="27">
        <f>SUMIFS(Base_Analise!$U$2:$U$4546,Base_Analise!$J$2:$J$4546,A189,Base_Analise!$I$2:$I$4546,"Entregue")</f>
        <v/>
      </c>
      <c r="E189" s="27">
        <f>SUMIFS(Base_Analise!$W$2:$W$4546,Base_Analise!$J$2:$J$4546,A189,Base_Analise!$I$2:$I$4546,"Entregue")</f>
        <v/>
      </c>
    </row>
    <row r="190">
      <c r="A190" s="21">
        <f>Clientes!A187</f>
        <v/>
      </c>
      <c r="B190" s="21">
        <f>Clientes!B187</f>
        <v/>
      </c>
      <c r="C190" s="21">
        <f>Clientes!C187</f>
        <v/>
      </c>
      <c r="D190" s="23">
        <f>SUMIFS(Base_Analise!$U$2:$U$4546,Base_Analise!$J$2:$J$4546,A190,Base_Analise!$I$2:$I$4546,"Entregue")</f>
        <v/>
      </c>
      <c r="E190" s="23">
        <f>SUMIFS(Base_Analise!$W$2:$W$4546,Base_Analise!$J$2:$J$4546,A190,Base_Analise!$I$2:$I$4546,"Entregue")</f>
        <v/>
      </c>
    </row>
    <row r="191">
      <c r="A191" s="25">
        <f>Clientes!A188</f>
        <v/>
      </c>
      <c r="B191" s="25">
        <f>Clientes!B188</f>
        <v/>
      </c>
      <c r="C191" s="25">
        <f>Clientes!C188</f>
        <v/>
      </c>
      <c r="D191" s="27">
        <f>SUMIFS(Base_Analise!$U$2:$U$4546,Base_Analise!$J$2:$J$4546,A191,Base_Analise!$I$2:$I$4546,"Entregue")</f>
        <v/>
      </c>
      <c r="E191" s="27">
        <f>SUMIFS(Base_Analise!$W$2:$W$4546,Base_Analise!$J$2:$J$4546,A191,Base_Analise!$I$2:$I$4546,"Entregue")</f>
        <v/>
      </c>
    </row>
    <row r="192">
      <c r="A192" s="21">
        <f>Clientes!A189</f>
        <v/>
      </c>
      <c r="B192" s="21">
        <f>Clientes!B189</f>
        <v/>
      </c>
      <c r="C192" s="21">
        <f>Clientes!C189</f>
        <v/>
      </c>
      <c r="D192" s="23">
        <f>SUMIFS(Base_Analise!$U$2:$U$4546,Base_Analise!$J$2:$J$4546,A192,Base_Analise!$I$2:$I$4546,"Entregue")</f>
        <v/>
      </c>
      <c r="E192" s="23">
        <f>SUMIFS(Base_Analise!$W$2:$W$4546,Base_Analise!$J$2:$J$4546,A192,Base_Analise!$I$2:$I$4546,"Entregue")</f>
        <v/>
      </c>
    </row>
    <row r="193">
      <c r="A193" s="25">
        <f>Clientes!A190</f>
        <v/>
      </c>
      <c r="B193" s="25">
        <f>Clientes!B190</f>
        <v/>
      </c>
      <c r="C193" s="25">
        <f>Clientes!C190</f>
        <v/>
      </c>
      <c r="D193" s="27">
        <f>SUMIFS(Base_Analise!$U$2:$U$4546,Base_Analise!$J$2:$J$4546,A193,Base_Analise!$I$2:$I$4546,"Entregue")</f>
        <v/>
      </c>
      <c r="E193" s="27">
        <f>SUMIFS(Base_Analise!$W$2:$W$4546,Base_Analise!$J$2:$J$4546,A193,Base_Analise!$I$2:$I$4546,"Entregue")</f>
        <v/>
      </c>
    </row>
    <row r="194">
      <c r="A194" s="21">
        <f>Clientes!A191</f>
        <v/>
      </c>
      <c r="B194" s="21">
        <f>Clientes!B191</f>
        <v/>
      </c>
      <c r="C194" s="21">
        <f>Clientes!C191</f>
        <v/>
      </c>
      <c r="D194" s="23">
        <f>SUMIFS(Base_Analise!$U$2:$U$4546,Base_Analise!$J$2:$J$4546,A194,Base_Analise!$I$2:$I$4546,"Entregue")</f>
        <v/>
      </c>
      <c r="E194" s="23">
        <f>SUMIFS(Base_Analise!$W$2:$W$4546,Base_Analise!$J$2:$J$4546,A194,Base_Analise!$I$2:$I$4546,"Entregue")</f>
        <v/>
      </c>
    </row>
    <row r="195">
      <c r="A195" s="25">
        <f>Clientes!A192</f>
        <v/>
      </c>
      <c r="B195" s="25">
        <f>Clientes!B192</f>
        <v/>
      </c>
      <c r="C195" s="25">
        <f>Clientes!C192</f>
        <v/>
      </c>
      <c r="D195" s="27">
        <f>SUMIFS(Base_Analise!$U$2:$U$4546,Base_Analise!$J$2:$J$4546,A195,Base_Analise!$I$2:$I$4546,"Entregue")</f>
        <v/>
      </c>
      <c r="E195" s="27">
        <f>SUMIFS(Base_Analise!$W$2:$W$4546,Base_Analise!$J$2:$J$4546,A195,Base_Analise!$I$2:$I$4546,"Entregue")</f>
        <v/>
      </c>
    </row>
    <row r="196">
      <c r="A196" s="21">
        <f>Clientes!A193</f>
        <v/>
      </c>
      <c r="B196" s="21">
        <f>Clientes!B193</f>
        <v/>
      </c>
      <c r="C196" s="21">
        <f>Clientes!C193</f>
        <v/>
      </c>
      <c r="D196" s="23">
        <f>SUMIFS(Base_Analise!$U$2:$U$4546,Base_Analise!$J$2:$J$4546,A196,Base_Analise!$I$2:$I$4546,"Entregue")</f>
        <v/>
      </c>
      <c r="E196" s="23">
        <f>SUMIFS(Base_Analise!$W$2:$W$4546,Base_Analise!$J$2:$J$4546,A196,Base_Analise!$I$2:$I$4546,"Entregue")</f>
        <v/>
      </c>
    </row>
    <row r="197">
      <c r="A197" s="25">
        <f>Clientes!A194</f>
        <v/>
      </c>
      <c r="B197" s="25">
        <f>Clientes!B194</f>
        <v/>
      </c>
      <c r="C197" s="25">
        <f>Clientes!C194</f>
        <v/>
      </c>
      <c r="D197" s="27">
        <f>SUMIFS(Base_Analise!$U$2:$U$4546,Base_Analise!$J$2:$J$4546,A197,Base_Analise!$I$2:$I$4546,"Entregue")</f>
        <v/>
      </c>
      <c r="E197" s="27">
        <f>SUMIFS(Base_Analise!$W$2:$W$4546,Base_Analise!$J$2:$J$4546,A197,Base_Analise!$I$2:$I$4546,"Entregue")</f>
        <v/>
      </c>
    </row>
    <row r="198">
      <c r="A198" s="21">
        <f>Clientes!A195</f>
        <v/>
      </c>
      <c r="B198" s="21">
        <f>Clientes!B195</f>
        <v/>
      </c>
      <c r="C198" s="21">
        <f>Clientes!C195</f>
        <v/>
      </c>
      <c r="D198" s="23">
        <f>SUMIFS(Base_Analise!$U$2:$U$4546,Base_Analise!$J$2:$J$4546,A198,Base_Analise!$I$2:$I$4546,"Entregue")</f>
        <v/>
      </c>
      <c r="E198" s="23">
        <f>SUMIFS(Base_Analise!$W$2:$W$4546,Base_Analise!$J$2:$J$4546,A198,Base_Analise!$I$2:$I$4546,"Entregue")</f>
        <v/>
      </c>
    </row>
    <row r="199">
      <c r="A199" s="25">
        <f>Clientes!A196</f>
        <v/>
      </c>
      <c r="B199" s="25">
        <f>Clientes!B196</f>
        <v/>
      </c>
      <c r="C199" s="25">
        <f>Clientes!C196</f>
        <v/>
      </c>
      <c r="D199" s="27">
        <f>SUMIFS(Base_Analise!$U$2:$U$4546,Base_Analise!$J$2:$J$4546,A199,Base_Analise!$I$2:$I$4546,"Entregue")</f>
        <v/>
      </c>
      <c r="E199" s="27">
        <f>SUMIFS(Base_Analise!$W$2:$W$4546,Base_Analise!$J$2:$J$4546,A199,Base_Analise!$I$2:$I$4546,"Entregue")</f>
        <v/>
      </c>
    </row>
    <row r="200">
      <c r="A200" s="21">
        <f>Clientes!A197</f>
        <v/>
      </c>
      <c r="B200" s="21">
        <f>Clientes!B197</f>
        <v/>
      </c>
      <c r="C200" s="21">
        <f>Clientes!C197</f>
        <v/>
      </c>
      <c r="D200" s="23">
        <f>SUMIFS(Base_Analise!$U$2:$U$4546,Base_Analise!$J$2:$J$4546,A200,Base_Analise!$I$2:$I$4546,"Entregue")</f>
        <v/>
      </c>
      <c r="E200" s="23">
        <f>SUMIFS(Base_Analise!$W$2:$W$4546,Base_Analise!$J$2:$J$4546,A200,Base_Analise!$I$2:$I$4546,"Entregue")</f>
        <v/>
      </c>
    </row>
    <row r="201">
      <c r="A201" s="25">
        <f>Clientes!A198</f>
        <v/>
      </c>
      <c r="B201" s="25">
        <f>Clientes!B198</f>
        <v/>
      </c>
      <c r="C201" s="25">
        <f>Clientes!C198</f>
        <v/>
      </c>
      <c r="D201" s="27">
        <f>SUMIFS(Base_Analise!$U$2:$U$4546,Base_Analise!$J$2:$J$4546,A201,Base_Analise!$I$2:$I$4546,"Entregue")</f>
        <v/>
      </c>
      <c r="E201" s="27">
        <f>SUMIFS(Base_Analise!$W$2:$W$4546,Base_Analise!$J$2:$J$4546,A201,Base_Analise!$I$2:$I$4546,"Entregue")</f>
        <v/>
      </c>
    </row>
    <row r="202">
      <c r="A202" s="21">
        <f>Clientes!A199</f>
        <v/>
      </c>
      <c r="B202" s="21">
        <f>Clientes!B199</f>
        <v/>
      </c>
      <c r="C202" s="21">
        <f>Clientes!C199</f>
        <v/>
      </c>
      <c r="D202" s="23">
        <f>SUMIFS(Base_Analise!$U$2:$U$4546,Base_Analise!$J$2:$J$4546,A202,Base_Analise!$I$2:$I$4546,"Entregue")</f>
        <v/>
      </c>
      <c r="E202" s="23">
        <f>SUMIFS(Base_Analise!$W$2:$W$4546,Base_Analise!$J$2:$J$4546,A202,Base_Analise!$I$2:$I$4546,"Entregue")</f>
        <v/>
      </c>
    </row>
    <row r="203">
      <c r="A203" s="25">
        <f>Clientes!A200</f>
        <v/>
      </c>
      <c r="B203" s="25">
        <f>Clientes!B200</f>
        <v/>
      </c>
      <c r="C203" s="25">
        <f>Clientes!C200</f>
        <v/>
      </c>
      <c r="D203" s="27">
        <f>SUMIFS(Base_Analise!$U$2:$U$4546,Base_Analise!$J$2:$J$4546,A203,Base_Analise!$I$2:$I$4546,"Entregue")</f>
        <v/>
      </c>
      <c r="E203" s="27">
        <f>SUMIFS(Base_Analise!$W$2:$W$4546,Base_Analise!$J$2:$J$4546,A203,Base_Analise!$I$2:$I$4546,"Entregue")</f>
        <v/>
      </c>
    </row>
    <row r="204">
      <c r="A204" s="21">
        <f>Clientes!A201</f>
        <v/>
      </c>
      <c r="B204" s="21">
        <f>Clientes!B201</f>
        <v/>
      </c>
      <c r="C204" s="21">
        <f>Clientes!C201</f>
        <v/>
      </c>
      <c r="D204" s="23">
        <f>SUMIFS(Base_Analise!$U$2:$U$4546,Base_Analise!$J$2:$J$4546,A204,Base_Analise!$I$2:$I$4546,"Entregue")</f>
        <v/>
      </c>
      <c r="E204" s="23">
        <f>SUMIFS(Base_Analise!$W$2:$W$4546,Base_Analise!$J$2:$J$4546,A204,Base_Analise!$I$2:$I$4546,"Entregue")</f>
        <v/>
      </c>
    </row>
    <row r="205">
      <c r="A205" s="25">
        <f>Clientes!A202</f>
        <v/>
      </c>
      <c r="B205" s="25">
        <f>Clientes!B202</f>
        <v/>
      </c>
      <c r="C205" s="25">
        <f>Clientes!C202</f>
        <v/>
      </c>
      <c r="D205" s="27">
        <f>SUMIFS(Base_Analise!$U$2:$U$4546,Base_Analise!$J$2:$J$4546,A205,Base_Analise!$I$2:$I$4546,"Entregue")</f>
        <v/>
      </c>
      <c r="E205" s="27">
        <f>SUMIFS(Base_Analise!$W$2:$W$4546,Base_Analise!$J$2:$J$4546,A205,Base_Analise!$I$2:$I$4546,"Entregue")</f>
        <v/>
      </c>
    </row>
    <row r="206">
      <c r="A206" s="21">
        <f>Clientes!A203</f>
        <v/>
      </c>
      <c r="B206" s="21">
        <f>Clientes!B203</f>
        <v/>
      </c>
      <c r="C206" s="21">
        <f>Clientes!C203</f>
        <v/>
      </c>
      <c r="D206" s="23">
        <f>SUMIFS(Base_Analise!$U$2:$U$4546,Base_Analise!$J$2:$J$4546,A206,Base_Analise!$I$2:$I$4546,"Entregue")</f>
        <v/>
      </c>
      <c r="E206" s="23">
        <f>SUMIFS(Base_Analise!$W$2:$W$4546,Base_Analise!$J$2:$J$4546,A206,Base_Analise!$I$2:$I$4546,"Entregue")</f>
        <v/>
      </c>
    </row>
    <row r="207">
      <c r="A207" s="25">
        <f>Clientes!A204</f>
        <v/>
      </c>
      <c r="B207" s="25">
        <f>Clientes!B204</f>
        <v/>
      </c>
      <c r="C207" s="25">
        <f>Clientes!C204</f>
        <v/>
      </c>
      <c r="D207" s="27">
        <f>SUMIFS(Base_Analise!$U$2:$U$4546,Base_Analise!$J$2:$J$4546,A207,Base_Analise!$I$2:$I$4546,"Entregue")</f>
        <v/>
      </c>
      <c r="E207" s="27">
        <f>SUMIFS(Base_Analise!$W$2:$W$4546,Base_Analise!$J$2:$J$4546,A207,Base_Analise!$I$2:$I$4546,"Entregue")</f>
        <v/>
      </c>
    </row>
    <row r="208">
      <c r="A208" s="21">
        <f>Clientes!A205</f>
        <v/>
      </c>
      <c r="B208" s="21">
        <f>Clientes!B205</f>
        <v/>
      </c>
      <c r="C208" s="21">
        <f>Clientes!C205</f>
        <v/>
      </c>
      <c r="D208" s="23">
        <f>SUMIFS(Base_Analise!$U$2:$U$4546,Base_Analise!$J$2:$J$4546,A208,Base_Analise!$I$2:$I$4546,"Entregue")</f>
        <v/>
      </c>
      <c r="E208" s="23">
        <f>SUMIFS(Base_Analise!$W$2:$W$4546,Base_Analise!$J$2:$J$4546,A208,Base_Analise!$I$2:$I$4546,"Entregue")</f>
        <v/>
      </c>
    </row>
    <row r="209">
      <c r="A209" s="25">
        <f>Clientes!A206</f>
        <v/>
      </c>
      <c r="B209" s="25">
        <f>Clientes!B206</f>
        <v/>
      </c>
      <c r="C209" s="25">
        <f>Clientes!C206</f>
        <v/>
      </c>
      <c r="D209" s="27">
        <f>SUMIFS(Base_Analise!$U$2:$U$4546,Base_Analise!$J$2:$J$4546,A209,Base_Analise!$I$2:$I$4546,"Entregue")</f>
        <v/>
      </c>
      <c r="E209" s="27">
        <f>SUMIFS(Base_Analise!$W$2:$W$4546,Base_Analise!$J$2:$J$4546,A209,Base_Analise!$I$2:$I$4546,"Entregue")</f>
        <v/>
      </c>
    </row>
    <row r="210">
      <c r="A210" s="21">
        <f>Clientes!A207</f>
        <v/>
      </c>
      <c r="B210" s="21">
        <f>Clientes!B207</f>
        <v/>
      </c>
      <c r="C210" s="21">
        <f>Clientes!C207</f>
        <v/>
      </c>
      <c r="D210" s="23">
        <f>SUMIFS(Base_Analise!$U$2:$U$4546,Base_Analise!$J$2:$J$4546,A210,Base_Analise!$I$2:$I$4546,"Entregue")</f>
        <v/>
      </c>
      <c r="E210" s="23">
        <f>SUMIFS(Base_Analise!$W$2:$W$4546,Base_Analise!$J$2:$J$4546,A210,Base_Analise!$I$2:$I$4546,"Entregue")</f>
        <v/>
      </c>
    </row>
    <row r="211">
      <c r="A211" s="25">
        <f>Clientes!A208</f>
        <v/>
      </c>
      <c r="B211" s="25">
        <f>Clientes!B208</f>
        <v/>
      </c>
      <c r="C211" s="25">
        <f>Clientes!C208</f>
        <v/>
      </c>
      <c r="D211" s="27">
        <f>SUMIFS(Base_Analise!$U$2:$U$4546,Base_Analise!$J$2:$J$4546,A211,Base_Analise!$I$2:$I$4546,"Entregue")</f>
        <v/>
      </c>
      <c r="E211" s="27">
        <f>SUMIFS(Base_Analise!$W$2:$W$4546,Base_Analise!$J$2:$J$4546,A211,Base_Analise!$I$2:$I$4546,"Entregue")</f>
        <v/>
      </c>
    </row>
    <row r="212">
      <c r="A212" s="21">
        <f>Clientes!A209</f>
        <v/>
      </c>
      <c r="B212" s="21">
        <f>Clientes!B209</f>
        <v/>
      </c>
      <c r="C212" s="21">
        <f>Clientes!C209</f>
        <v/>
      </c>
      <c r="D212" s="23">
        <f>SUMIFS(Base_Analise!$U$2:$U$4546,Base_Analise!$J$2:$J$4546,A212,Base_Analise!$I$2:$I$4546,"Entregue")</f>
        <v/>
      </c>
      <c r="E212" s="23">
        <f>SUMIFS(Base_Analise!$W$2:$W$4546,Base_Analise!$J$2:$J$4546,A212,Base_Analise!$I$2:$I$4546,"Entregue")</f>
        <v/>
      </c>
    </row>
    <row r="213">
      <c r="A213" s="25">
        <f>Clientes!A210</f>
        <v/>
      </c>
      <c r="B213" s="25">
        <f>Clientes!B210</f>
        <v/>
      </c>
      <c r="C213" s="25">
        <f>Clientes!C210</f>
        <v/>
      </c>
      <c r="D213" s="27">
        <f>SUMIFS(Base_Analise!$U$2:$U$4546,Base_Analise!$J$2:$J$4546,A213,Base_Analise!$I$2:$I$4546,"Entregue")</f>
        <v/>
      </c>
      <c r="E213" s="27">
        <f>SUMIFS(Base_Analise!$W$2:$W$4546,Base_Analise!$J$2:$J$4546,A213,Base_Analise!$I$2:$I$4546,"Entregue")</f>
        <v/>
      </c>
    </row>
    <row r="214">
      <c r="A214" s="21">
        <f>Clientes!A211</f>
        <v/>
      </c>
      <c r="B214" s="21">
        <f>Clientes!B211</f>
        <v/>
      </c>
      <c r="C214" s="21">
        <f>Clientes!C211</f>
        <v/>
      </c>
      <c r="D214" s="23">
        <f>SUMIFS(Base_Analise!$U$2:$U$4546,Base_Analise!$J$2:$J$4546,A214,Base_Analise!$I$2:$I$4546,"Entregue")</f>
        <v/>
      </c>
      <c r="E214" s="23">
        <f>SUMIFS(Base_Analise!$W$2:$W$4546,Base_Analise!$J$2:$J$4546,A214,Base_Analise!$I$2:$I$4546,"Entregue")</f>
        <v/>
      </c>
    </row>
    <row r="215">
      <c r="A215" s="25">
        <f>Clientes!A212</f>
        <v/>
      </c>
      <c r="B215" s="25">
        <f>Clientes!B212</f>
        <v/>
      </c>
      <c r="C215" s="25">
        <f>Clientes!C212</f>
        <v/>
      </c>
      <c r="D215" s="27">
        <f>SUMIFS(Base_Analise!$U$2:$U$4546,Base_Analise!$J$2:$J$4546,A215,Base_Analise!$I$2:$I$4546,"Entregue")</f>
        <v/>
      </c>
      <c r="E215" s="27">
        <f>SUMIFS(Base_Analise!$W$2:$W$4546,Base_Analise!$J$2:$J$4546,A215,Base_Analise!$I$2:$I$4546,"Entregue")</f>
        <v/>
      </c>
    </row>
    <row r="216">
      <c r="A216" s="21">
        <f>Clientes!A213</f>
        <v/>
      </c>
      <c r="B216" s="21">
        <f>Clientes!B213</f>
        <v/>
      </c>
      <c r="C216" s="21">
        <f>Clientes!C213</f>
        <v/>
      </c>
      <c r="D216" s="23">
        <f>SUMIFS(Base_Analise!$U$2:$U$4546,Base_Analise!$J$2:$J$4546,A216,Base_Analise!$I$2:$I$4546,"Entregue")</f>
        <v/>
      </c>
      <c r="E216" s="23">
        <f>SUMIFS(Base_Analise!$W$2:$W$4546,Base_Analise!$J$2:$J$4546,A216,Base_Analise!$I$2:$I$4546,"Entregue")</f>
        <v/>
      </c>
    </row>
    <row r="217">
      <c r="A217" s="25">
        <f>Clientes!A214</f>
        <v/>
      </c>
      <c r="B217" s="25">
        <f>Clientes!B214</f>
        <v/>
      </c>
      <c r="C217" s="25">
        <f>Clientes!C214</f>
        <v/>
      </c>
      <c r="D217" s="27">
        <f>SUMIFS(Base_Analise!$U$2:$U$4546,Base_Analise!$J$2:$J$4546,A217,Base_Analise!$I$2:$I$4546,"Entregue")</f>
        <v/>
      </c>
      <c r="E217" s="27">
        <f>SUMIFS(Base_Analise!$W$2:$W$4546,Base_Analise!$J$2:$J$4546,A217,Base_Analise!$I$2:$I$4546,"Entregue")</f>
        <v/>
      </c>
    </row>
    <row r="218">
      <c r="A218" s="21">
        <f>Clientes!A215</f>
        <v/>
      </c>
      <c r="B218" s="21">
        <f>Clientes!B215</f>
        <v/>
      </c>
      <c r="C218" s="21">
        <f>Clientes!C215</f>
        <v/>
      </c>
      <c r="D218" s="23">
        <f>SUMIFS(Base_Analise!$U$2:$U$4546,Base_Analise!$J$2:$J$4546,A218,Base_Analise!$I$2:$I$4546,"Entregue")</f>
        <v/>
      </c>
      <c r="E218" s="23">
        <f>SUMIFS(Base_Analise!$W$2:$W$4546,Base_Analise!$J$2:$J$4546,A218,Base_Analise!$I$2:$I$4546,"Entregue")</f>
        <v/>
      </c>
    </row>
    <row r="219">
      <c r="A219" s="25">
        <f>Clientes!A216</f>
        <v/>
      </c>
      <c r="B219" s="25">
        <f>Clientes!B216</f>
        <v/>
      </c>
      <c r="C219" s="25">
        <f>Clientes!C216</f>
        <v/>
      </c>
      <c r="D219" s="27">
        <f>SUMIFS(Base_Analise!$U$2:$U$4546,Base_Analise!$J$2:$J$4546,A219,Base_Analise!$I$2:$I$4546,"Entregue")</f>
        <v/>
      </c>
      <c r="E219" s="27">
        <f>SUMIFS(Base_Analise!$W$2:$W$4546,Base_Analise!$J$2:$J$4546,A219,Base_Analise!$I$2:$I$4546,"Entregue")</f>
        <v/>
      </c>
    </row>
    <row r="220">
      <c r="A220" s="21">
        <f>Clientes!A217</f>
        <v/>
      </c>
      <c r="B220" s="21">
        <f>Clientes!B217</f>
        <v/>
      </c>
      <c r="C220" s="21">
        <f>Clientes!C217</f>
        <v/>
      </c>
      <c r="D220" s="23">
        <f>SUMIFS(Base_Analise!$U$2:$U$4546,Base_Analise!$J$2:$J$4546,A220,Base_Analise!$I$2:$I$4546,"Entregue")</f>
        <v/>
      </c>
      <c r="E220" s="23">
        <f>SUMIFS(Base_Analise!$W$2:$W$4546,Base_Analise!$J$2:$J$4546,A220,Base_Analise!$I$2:$I$4546,"Entregue")</f>
        <v/>
      </c>
    </row>
    <row r="221">
      <c r="A221" s="25">
        <f>Clientes!A218</f>
        <v/>
      </c>
      <c r="B221" s="25">
        <f>Clientes!B218</f>
        <v/>
      </c>
      <c r="C221" s="25">
        <f>Clientes!C218</f>
        <v/>
      </c>
      <c r="D221" s="27">
        <f>SUMIFS(Base_Analise!$U$2:$U$4546,Base_Analise!$J$2:$J$4546,A221,Base_Analise!$I$2:$I$4546,"Entregue")</f>
        <v/>
      </c>
      <c r="E221" s="27">
        <f>SUMIFS(Base_Analise!$W$2:$W$4546,Base_Analise!$J$2:$J$4546,A221,Base_Analise!$I$2:$I$4546,"Entregue")</f>
        <v/>
      </c>
    </row>
    <row r="222">
      <c r="A222" s="21">
        <f>Clientes!A219</f>
        <v/>
      </c>
      <c r="B222" s="21">
        <f>Clientes!B219</f>
        <v/>
      </c>
      <c r="C222" s="21">
        <f>Clientes!C219</f>
        <v/>
      </c>
      <c r="D222" s="23">
        <f>SUMIFS(Base_Analise!$U$2:$U$4546,Base_Analise!$J$2:$J$4546,A222,Base_Analise!$I$2:$I$4546,"Entregue")</f>
        <v/>
      </c>
      <c r="E222" s="23">
        <f>SUMIFS(Base_Analise!$W$2:$W$4546,Base_Analise!$J$2:$J$4546,A222,Base_Analise!$I$2:$I$4546,"Entregue")</f>
        <v/>
      </c>
    </row>
    <row r="223">
      <c r="A223" s="25">
        <f>Clientes!A220</f>
        <v/>
      </c>
      <c r="B223" s="25">
        <f>Clientes!B220</f>
        <v/>
      </c>
      <c r="C223" s="25">
        <f>Clientes!C220</f>
        <v/>
      </c>
      <c r="D223" s="27">
        <f>SUMIFS(Base_Analise!$U$2:$U$4546,Base_Analise!$J$2:$J$4546,A223,Base_Analise!$I$2:$I$4546,"Entregue")</f>
        <v/>
      </c>
      <c r="E223" s="27">
        <f>SUMIFS(Base_Analise!$W$2:$W$4546,Base_Analise!$J$2:$J$4546,A223,Base_Analise!$I$2:$I$4546,"Entregue")</f>
        <v/>
      </c>
    </row>
    <row r="224">
      <c r="A224" s="21">
        <f>Clientes!A221</f>
        <v/>
      </c>
      <c r="B224" s="21">
        <f>Clientes!B221</f>
        <v/>
      </c>
      <c r="C224" s="21">
        <f>Clientes!C221</f>
        <v/>
      </c>
      <c r="D224" s="23">
        <f>SUMIFS(Base_Analise!$U$2:$U$4546,Base_Analise!$J$2:$J$4546,A224,Base_Analise!$I$2:$I$4546,"Entregue")</f>
        <v/>
      </c>
      <c r="E224" s="23">
        <f>SUMIFS(Base_Analise!$W$2:$W$4546,Base_Analise!$J$2:$J$4546,A224,Base_Analise!$I$2:$I$4546,"Entregue")</f>
        <v/>
      </c>
    </row>
    <row r="225">
      <c r="A225" s="25">
        <f>Clientes!A222</f>
        <v/>
      </c>
      <c r="B225" s="25">
        <f>Clientes!B222</f>
        <v/>
      </c>
      <c r="C225" s="25">
        <f>Clientes!C222</f>
        <v/>
      </c>
      <c r="D225" s="27">
        <f>SUMIFS(Base_Analise!$U$2:$U$4546,Base_Analise!$J$2:$J$4546,A225,Base_Analise!$I$2:$I$4546,"Entregue")</f>
        <v/>
      </c>
      <c r="E225" s="27">
        <f>SUMIFS(Base_Analise!$W$2:$W$4546,Base_Analise!$J$2:$J$4546,A225,Base_Analise!$I$2:$I$4546,"Entregue")</f>
        <v/>
      </c>
    </row>
    <row r="226">
      <c r="A226" s="21">
        <f>Clientes!A223</f>
        <v/>
      </c>
      <c r="B226" s="21">
        <f>Clientes!B223</f>
        <v/>
      </c>
      <c r="C226" s="21">
        <f>Clientes!C223</f>
        <v/>
      </c>
      <c r="D226" s="23">
        <f>SUMIFS(Base_Analise!$U$2:$U$4546,Base_Analise!$J$2:$J$4546,A226,Base_Analise!$I$2:$I$4546,"Entregue")</f>
        <v/>
      </c>
      <c r="E226" s="23">
        <f>SUMIFS(Base_Analise!$W$2:$W$4546,Base_Analise!$J$2:$J$4546,A226,Base_Analise!$I$2:$I$4546,"Entregue")</f>
        <v/>
      </c>
    </row>
    <row r="227">
      <c r="A227" s="25">
        <f>Clientes!A224</f>
        <v/>
      </c>
      <c r="B227" s="25">
        <f>Clientes!B224</f>
        <v/>
      </c>
      <c r="C227" s="25">
        <f>Clientes!C224</f>
        <v/>
      </c>
      <c r="D227" s="27">
        <f>SUMIFS(Base_Analise!$U$2:$U$4546,Base_Analise!$J$2:$J$4546,A227,Base_Analise!$I$2:$I$4546,"Entregue")</f>
        <v/>
      </c>
      <c r="E227" s="27">
        <f>SUMIFS(Base_Analise!$W$2:$W$4546,Base_Analise!$J$2:$J$4546,A227,Base_Analise!$I$2:$I$4546,"Entregue")</f>
        <v/>
      </c>
    </row>
    <row r="228">
      <c r="A228" s="21">
        <f>Clientes!A225</f>
        <v/>
      </c>
      <c r="B228" s="21">
        <f>Clientes!B225</f>
        <v/>
      </c>
      <c r="C228" s="21">
        <f>Clientes!C225</f>
        <v/>
      </c>
      <c r="D228" s="23">
        <f>SUMIFS(Base_Analise!$U$2:$U$4546,Base_Analise!$J$2:$J$4546,A228,Base_Analise!$I$2:$I$4546,"Entregue")</f>
        <v/>
      </c>
      <c r="E228" s="23">
        <f>SUMIFS(Base_Analise!$W$2:$W$4546,Base_Analise!$J$2:$J$4546,A228,Base_Analise!$I$2:$I$4546,"Entregue")</f>
        <v/>
      </c>
    </row>
    <row r="229">
      <c r="A229" s="25">
        <f>Clientes!A226</f>
        <v/>
      </c>
      <c r="B229" s="25">
        <f>Clientes!B226</f>
        <v/>
      </c>
      <c r="C229" s="25">
        <f>Clientes!C226</f>
        <v/>
      </c>
      <c r="D229" s="27">
        <f>SUMIFS(Base_Analise!$U$2:$U$4546,Base_Analise!$J$2:$J$4546,A229,Base_Analise!$I$2:$I$4546,"Entregue")</f>
        <v/>
      </c>
      <c r="E229" s="27">
        <f>SUMIFS(Base_Analise!$W$2:$W$4546,Base_Analise!$J$2:$J$4546,A229,Base_Analise!$I$2:$I$4546,"Entregue")</f>
        <v/>
      </c>
    </row>
    <row r="230">
      <c r="A230" s="21">
        <f>Clientes!A227</f>
        <v/>
      </c>
      <c r="B230" s="21">
        <f>Clientes!B227</f>
        <v/>
      </c>
      <c r="C230" s="21">
        <f>Clientes!C227</f>
        <v/>
      </c>
      <c r="D230" s="23">
        <f>SUMIFS(Base_Analise!$U$2:$U$4546,Base_Analise!$J$2:$J$4546,A230,Base_Analise!$I$2:$I$4546,"Entregue")</f>
        <v/>
      </c>
      <c r="E230" s="23">
        <f>SUMIFS(Base_Analise!$W$2:$W$4546,Base_Analise!$J$2:$J$4546,A230,Base_Analise!$I$2:$I$4546,"Entregue")</f>
        <v/>
      </c>
    </row>
    <row r="231">
      <c r="A231" s="25">
        <f>Clientes!A228</f>
        <v/>
      </c>
      <c r="B231" s="25">
        <f>Clientes!B228</f>
        <v/>
      </c>
      <c r="C231" s="25">
        <f>Clientes!C228</f>
        <v/>
      </c>
      <c r="D231" s="27">
        <f>SUMIFS(Base_Analise!$U$2:$U$4546,Base_Analise!$J$2:$J$4546,A231,Base_Analise!$I$2:$I$4546,"Entregue")</f>
        <v/>
      </c>
      <c r="E231" s="27">
        <f>SUMIFS(Base_Analise!$W$2:$W$4546,Base_Analise!$J$2:$J$4546,A231,Base_Analise!$I$2:$I$4546,"Entregue")</f>
        <v/>
      </c>
    </row>
    <row r="232">
      <c r="A232" s="21">
        <f>Clientes!A229</f>
        <v/>
      </c>
      <c r="B232" s="21">
        <f>Clientes!B229</f>
        <v/>
      </c>
      <c r="C232" s="21">
        <f>Clientes!C229</f>
        <v/>
      </c>
      <c r="D232" s="23">
        <f>SUMIFS(Base_Analise!$U$2:$U$4546,Base_Analise!$J$2:$J$4546,A232,Base_Analise!$I$2:$I$4546,"Entregue")</f>
        <v/>
      </c>
      <c r="E232" s="23">
        <f>SUMIFS(Base_Analise!$W$2:$W$4546,Base_Analise!$J$2:$J$4546,A232,Base_Analise!$I$2:$I$4546,"Entregue")</f>
        <v/>
      </c>
    </row>
    <row r="233">
      <c r="A233" s="25">
        <f>Clientes!A230</f>
        <v/>
      </c>
      <c r="B233" s="25">
        <f>Clientes!B230</f>
        <v/>
      </c>
      <c r="C233" s="25">
        <f>Clientes!C230</f>
        <v/>
      </c>
      <c r="D233" s="27">
        <f>SUMIFS(Base_Analise!$U$2:$U$4546,Base_Analise!$J$2:$J$4546,A233,Base_Analise!$I$2:$I$4546,"Entregue")</f>
        <v/>
      </c>
      <c r="E233" s="27">
        <f>SUMIFS(Base_Analise!$W$2:$W$4546,Base_Analise!$J$2:$J$4546,A233,Base_Analise!$I$2:$I$4546,"Entregue")</f>
        <v/>
      </c>
    </row>
    <row r="234">
      <c r="A234" s="21">
        <f>Clientes!A231</f>
        <v/>
      </c>
      <c r="B234" s="21">
        <f>Clientes!B231</f>
        <v/>
      </c>
      <c r="C234" s="21">
        <f>Clientes!C231</f>
        <v/>
      </c>
      <c r="D234" s="23">
        <f>SUMIFS(Base_Analise!$U$2:$U$4546,Base_Analise!$J$2:$J$4546,A234,Base_Analise!$I$2:$I$4546,"Entregue")</f>
        <v/>
      </c>
      <c r="E234" s="23">
        <f>SUMIFS(Base_Analise!$W$2:$W$4546,Base_Analise!$J$2:$J$4546,A234,Base_Analise!$I$2:$I$4546,"Entregue")</f>
        <v/>
      </c>
    </row>
    <row r="235">
      <c r="A235" s="25">
        <f>Clientes!A232</f>
        <v/>
      </c>
      <c r="B235" s="25">
        <f>Clientes!B232</f>
        <v/>
      </c>
      <c r="C235" s="25">
        <f>Clientes!C232</f>
        <v/>
      </c>
      <c r="D235" s="27">
        <f>SUMIFS(Base_Analise!$U$2:$U$4546,Base_Analise!$J$2:$J$4546,A235,Base_Analise!$I$2:$I$4546,"Entregue")</f>
        <v/>
      </c>
      <c r="E235" s="27">
        <f>SUMIFS(Base_Analise!$W$2:$W$4546,Base_Analise!$J$2:$J$4546,A235,Base_Analise!$I$2:$I$4546,"Entregue")</f>
        <v/>
      </c>
    </row>
    <row r="236">
      <c r="A236" s="21">
        <f>Clientes!A233</f>
        <v/>
      </c>
      <c r="B236" s="21">
        <f>Clientes!B233</f>
        <v/>
      </c>
      <c r="C236" s="21">
        <f>Clientes!C233</f>
        <v/>
      </c>
      <c r="D236" s="23">
        <f>SUMIFS(Base_Analise!$U$2:$U$4546,Base_Analise!$J$2:$J$4546,A236,Base_Analise!$I$2:$I$4546,"Entregue")</f>
        <v/>
      </c>
      <c r="E236" s="23">
        <f>SUMIFS(Base_Analise!$W$2:$W$4546,Base_Analise!$J$2:$J$4546,A236,Base_Analise!$I$2:$I$4546,"Entregue")</f>
        <v/>
      </c>
    </row>
    <row r="237">
      <c r="A237" s="25">
        <f>Clientes!A234</f>
        <v/>
      </c>
      <c r="B237" s="25">
        <f>Clientes!B234</f>
        <v/>
      </c>
      <c r="C237" s="25">
        <f>Clientes!C234</f>
        <v/>
      </c>
      <c r="D237" s="27">
        <f>SUMIFS(Base_Analise!$U$2:$U$4546,Base_Analise!$J$2:$J$4546,A237,Base_Analise!$I$2:$I$4546,"Entregue")</f>
        <v/>
      </c>
      <c r="E237" s="27">
        <f>SUMIFS(Base_Analise!$W$2:$W$4546,Base_Analise!$J$2:$J$4546,A237,Base_Analise!$I$2:$I$4546,"Entregue")</f>
        <v/>
      </c>
    </row>
    <row r="238">
      <c r="A238" s="21">
        <f>Clientes!A235</f>
        <v/>
      </c>
      <c r="B238" s="21">
        <f>Clientes!B235</f>
        <v/>
      </c>
      <c r="C238" s="21">
        <f>Clientes!C235</f>
        <v/>
      </c>
      <c r="D238" s="23">
        <f>SUMIFS(Base_Analise!$U$2:$U$4546,Base_Analise!$J$2:$J$4546,A238,Base_Analise!$I$2:$I$4546,"Entregue")</f>
        <v/>
      </c>
      <c r="E238" s="23">
        <f>SUMIFS(Base_Analise!$W$2:$W$4546,Base_Analise!$J$2:$J$4546,A238,Base_Analise!$I$2:$I$4546,"Entregue")</f>
        <v/>
      </c>
    </row>
    <row r="239">
      <c r="A239" s="25">
        <f>Clientes!A236</f>
        <v/>
      </c>
      <c r="B239" s="25">
        <f>Clientes!B236</f>
        <v/>
      </c>
      <c r="C239" s="25">
        <f>Clientes!C236</f>
        <v/>
      </c>
      <c r="D239" s="27">
        <f>SUMIFS(Base_Analise!$U$2:$U$4546,Base_Analise!$J$2:$J$4546,A239,Base_Analise!$I$2:$I$4546,"Entregue")</f>
        <v/>
      </c>
      <c r="E239" s="27">
        <f>SUMIFS(Base_Analise!$W$2:$W$4546,Base_Analise!$J$2:$J$4546,A239,Base_Analise!$I$2:$I$4546,"Entregue")</f>
        <v/>
      </c>
    </row>
    <row r="240">
      <c r="A240" s="21">
        <f>Clientes!A237</f>
        <v/>
      </c>
      <c r="B240" s="21">
        <f>Clientes!B237</f>
        <v/>
      </c>
      <c r="C240" s="21">
        <f>Clientes!C237</f>
        <v/>
      </c>
      <c r="D240" s="23">
        <f>SUMIFS(Base_Analise!$U$2:$U$4546,Base_Analise!$J$2:$J$4546,A240,Base_Analise!$I$2:$I$4546,"Entregue")</f>
        <v/>
      </c>
      <c r="E240" s="23">
        <f>SUMIFS(Base_Analise!$W$2:$W$4546,Base_Analise!$J$2:$J$4546,A240,Base_Analise!$I$2:$I$4546,"Entregue")</f>
        <v/>
      </c>
    </row>
    <row r="241">
      <c r="A241" s="25">
        <f>Clientes!A238</f>
        <v/>
      </c>
      <c r="B241" s="25">
        <f>Clientes!B238</f>
        <v/>
      </c>
      <c r="C241" s="25">
        <f>Clientes!C238</f>
        <v/>
      </c>
      <c r="D241" s="27">
        <f>SUMIFS(Base_Analise!$U$2:$U$4546,Base_Analise!$J$2:$J$4546,A241,Base_Analise!$I$2:$I$4546,"Entregue")</f>
        <v/>
      </c>
      <c r="E241" s="27">
        <f>SUMIFS(Base_Analise!$W$2:$W$4546,Base_Analise!$J$2:$J$4546,A241,Base_Analise!$I$2:$I$4546,"Entregue")</f>
        <v/>
      </c>
    </row>
    <row r="242">
      <c r="A242" s="21">
        <f>Clientes!A239</f>
        <v/>
      </c>
      <c r="B242" s="21">
        <f>Clientes!B239</f>
        <v/>
      </c>
      <c r="C242" s="21">
        <f>Clientes!C239</f>
        <v/>
      </c>
      <c r="D242" s="23">
        <f>SUMIFS(Base_Analise!$U$2:$U$4546,Base_Analise!$J$2:$J$4546,A242,Base_Analise!$I$2:$I$4546,"Entregue")</f>
        <v/>
      </c>
      <c r="E242" s="23">
        <f>SUMIFS(Base_Analise!$W$2:$W$4546,Base_Analise!$J$2:$J$4546,A242,Base_Analise!$I$2:$I$4546,"Entregue")</f>
        <v/>
      </c>
    </row>
    <row r="243">
      <c r="A243" s="25">
        <f>Clientes!A240</f>
        <v/>
      </c>
      <c r="B243" s="25">
        <f>Clientes!B240</f>
        <v/>
      </c>
      <c r="C243" s="25">
        <f>Clientes!C240</f>
        <v/>
      </c>
      <c r="D243" s="27">
        <f>SUMIFS(Base_Analise!$U$2:$U$4546,Base_Analise!$J$2:$J$4546,A243,Base_Analise!$I$2:$I$4546,"Entregue")</f>
        <v/>
      </c>
      <c r="E243" s="27">
        <f>SUMIFS(Base_Analise!$W$2:$W$4546,Base_Analise!$J$2:$J$4546,A243,Base_Analise!$I$2:$I$4546,"Entregue")</f>
        <v/>
      </c>
    </row>
    <row r="244">
      <c r="A244" s="21">
        <f>Clientes!A241</f>
        <v/>
      </c>
      <c r="B244" s="21">
        <f>Clientes!B241</f>
        <v/>
      </c>
      <c r="C244" s="21">
        <f>Clientes!C241</f>
        <v/>
      </c>
      <c r="D244" s="23">
        <f>SUMIFS(Base_Analise!$U$2:$U$4546,Base_Analise!$J$2:$J$4546,A244,Base_Analise!$I$2:$I$4546,"Entregue")</f>
        <v/>
      </c>
      <c r="E244" s="23">
        <f>SUMIFS(Base_Analise!$W$2:$W$4546,Base_Analise!$J$2:$J$4546,A244,Base_Analise!$I$2:$I$4546,"Entregue")</f>
        <v/>
      </c>
    </row>
    <row r="245">
      <c r="A245" s="25">
        <f>Clientes!A242</f>
        <v/>
      </c>
      <c r="B245" s="25">
        <f>Clientes!B242</f>
        <v/>
      </c>
      <c r="C245" s="25">
        <f>Clientes!C242</f>
        <v/>
      </c>
      <c r="D245" s="27">
        <f>SUMIFS(Base_Analise!$U$2:$U$4546,Base_Analise!$J$2:$J$4546,A245,Base_Analise!$I$2:$I$4546,"Entregue")</f>
        <v/>
      </c>
      <c r="E245" s="27">
        <f>SUMIFS(Base_Analise!$W$2:$W$4546,Base_Analise!$J$2:$J$4546,A245,Base_Analise!$I$2:$I$4546,"Entregue")</f>
        <v/>
      </c>
    </row>
    <row r="246">
      <c r="A246" s="21">
        <f>Clientes!A243</f>
        <v/>
      </c>
      <c r="B246" s="21">
        <f>Clientes!B243</f>
        <v/>
      </c>
      <c r="C246" s="21">
        <f>Clientes!C243</f>
        <v/>
      </c>
      <c r="D246" s="23">
        <f>SUMIFS(Base_Analise!$U$2:$U$4546,Base_Analise!$J$2:$J$4546,A246,Base_Analise!$I$2:$I$4546,"Entregue")</f>
        <v/>
      </c>
      <c r="E246" s="23">
        <f>SUMIFS(Base_Analise!$W$2:$W$4546,Base_Analise!$J$2:$J$4546,A246,Base_Analise!$I$2:$I$4546,"Entregue")</f>
        <v/>
      </c>
    </row>
    <row r="247">
      <c r="A247" s="25">
        <f>Clientes!A244</f>
        <v/>
      </c>
      <c r="B247" s="25">
        <f>Clientes!B244</f>
        <v/>
      </c>
      <c r="C247" s="25">
        <f>Clientes!C244</f>
        <v/>
      </c>
      <c r="D247" s="27">
        <f>SUMIFS(Base_Analise!$U$2:$U$4546,Base_Analise!$J$2:$J$4546,A247,Base_Analise!$I$2:$I$4546,"Entregue")</f>
        <v/>
      </c>
      <c r="E247" s="27">
        <f>SUMIFS(Base_Analise!$W$2:$W$4546,Base_Analise!$J$2:$J$4546,A247,Base_Analise!$I$2:$I$4546,"Entregue")</f>
        <v/>
      </c>
    </row>
    <row r="248">
      <c r="A248" s="21">
        <f>Clientes!A245</f>
        <v/>
      </c>
      <c r="B248" s="21">
        <f>Clientes!B245</f>
        <v/>
      </c>
      <c r="C248" s="21">
        <f>Clientes!C245</f>
        <v/>
      </c>
      <c r="D248" s="23">
        <f>SUMIFS(Base_Analise!$U$2:$U$4546,Base_Analise!$J$2:$J$4546,A248,Base_Analise!$I$2:$I$4546,"Entregue")</f>
        <v/>
      </c>
      <c r="E248" s="23">
        <f>SUMIFS(Base_Analise!$W$2:$W$4546,Base_Analise!$J$2:$J$4546,A248,Base_Analise!$I$2:$I$4546,"Entregue")</f>
        <v/>
      </c>
    </row>
    <row r="249">
      <c r="A249" s="25">
        <f>Clientes!A246</f>
        <v/>
      </c>
      <c r="B249" s="25">
        <f>Clientes!B246</f>
        <v/>
      </c>
      <c r="C249" s="25">
        <f>Clientes!C246</f>
        <v/>
      </c>
      <c r="D249" s="27">
        <f>SUMIFS(Base_Analise!$U$2:$U$4546,Base_Analise!$J$2:$J$4546,A249,Base_Analise!$I$2:$I$4546,"Entregue")</f>
        <v/>
      </c>
      <c r="E249" s="27">
        <f>SUMIFS(Base_Analise!$W$2:$W$4546,Base_Analise!$J$2:$J$4546,A249,Base_Analise!$I$2:$I$4546,"Entregue")</f>
        <v/>
      </c>
    </row>
    <row r="250">
      <c r="A250" s="21">
        <f>Clientes!A247</f>
        <v/>
      </c>
      <c r="B250" s="21">
        <f>Clientes!B247</f>
        <v/>
      </c>
      <c r="C250" s="21">
        <f>Clientes!C247</f>
        <v/>
      </c>
      <c r="D250" s="23">
        <f>SUMIFS(Base_Analise!$U$2:$U$4546,Base_Analise!$J$2:$J$4546,A250,Base_Analise!$I$2:$I$4546,"Entregue")</f>
        <v/>
      </c>
      <c r="E250" s="23">
        <f>SUMIFS(Base_Analise!$W$2:$W$4546,Base_Analise!$J$2:$J$4546,A250,Base_Analise!$I$2:$I$4546,"Entregue")</f>
        <v/>
      </c>
    </row>
    <row r="251">
      <c r="A251" s="25">
        <f>Clientes!A248</f>
        <v/>
      </c>
      <c r="B251" s="25">
        <f>Clientes!B248</f>
        <v/>
      </c>
      <c r="C251" s="25">
        <f>Clientes!C248</f>
        <v/>
      </c>
      <c r="D251" s="27">
        <f>SUMIFS(Base_Analise!$U$2:$U$4546,Base_Analise!$J$2:$J$4546,A251,Base_Analise!$I$2:$I$4546,"Entregue")</f>
        <v/>
      </c>
      <c r="E251" s="27">
        <f>SUMIFS(Base_Analise!$W$2:$W$4546,Base_Analise!$J$2:$J$4546,A251,Base_Analise!$I$2:$I$4546,"Entregue")</f>
        <v/>
      </c>
    </row>
    <row r="252">
      <c r="A252" s="21">
        <f>Clientes!A249</f>
        <v/>
      </c>
      <c r="B252" s="21">
        <f>Clientes!B249</f>
        <v/>
      </c>
      <c r="C252" s="21">
        <f>Clientes!C249</f>
        <v/>
      </c>
      <c r="D252" s="23">
        <f>SUMIFS(Base_Analise!$U$2:$U$4546,Base_Analise!$J$2:$J$4546,A252,Base_Analise!$I$2:$I$4546,"Entregue")</f>
        <v/>
      </c>
      <c r="E252" s="23">
        <f>SUMIFS(Base_Analise!$W$2:$W$4546,Base_Analise!$J$2:$J$4546,A252,Base_Analise!$I$2:$I$4546,"Entregue")</f>
        <v/>
      </c>
    </row>
    <row r="253">
      <c r="A253" s="25">
        <f>Clientes!A250</f>
        <v/>
      </c>
      <c r="B253" s="25">
        <f>Clientes!B250</f>
        <v/>
      </c>
      <c r="C253" s="25">
        <f>Clientes!C250</f>
        <v/>
      </c>
      <c r="D253" s="27">
        <f>SUMIFS(Base_Analise!$U$2:$U$4546,Base_Analise!$J$2:$J$4546,A253,Base_Analise!$I$2:$I$4546,"Entregue")</f>
        <v/>
      </c>
      <c r="E253" s="27">
        <f>SUMIFS(Base_Analise!$W$2:$W$4546,Base_Analise!$J$2:$J$4546,A253,Base_Analise!$I$2:$I$4546,"Entregue")</f>
        <v/>
      </c>
    </row>
    <row r="254">
      <c r="A254" s="21">
        <f>Clientes!A251</f>
        <v/>
      </c>
      <c r="B254" s="21">
        <f>Clientes!B251</f>
        <v/>
      </c>
      <c r="C254" s="21">
        <f>Clientes!C251</f>
        <v/>
      </c>
      <c r="D254" s="23">
        <f>SUMIFS(Base_Analise!$U$2:$U$4546,Base_Analise!$J$2:$J$4546,A254,Base_Analise!$I$2:$I$4546,"Entregue")</f>
        <v/>
      </c>
      <c r="E254" s="23">
        <f>SUMIFS(Base_Analise!$W$2:$W$4546,Base_Analise!$J$2:$J$4546,A254,Base_Analise!$I$2:$I$4546,"Entregue")</f>
        <v/>
      </c>
    </row>
    <row r="255">
      <c r="A255" s="25">
        <f>Clientes!A252</f>
        <v/>
      </c>
      <c r="B255" s="25">
        <f>Clientes!B252</f>
        <v/>
      </c>
      <c r="C255" s="25">
        <f>Clientes!C252</f>
        <v/>
      </c>
      <c r="D255" s="27">
        <f>SUMIFS(Base_Analise!$U$2:$U$4546,Base_Analise!$J$2:$J$4546,A255,Base_Analise!$I$2:$I$4546,"Entregue")</f>
        <v/>
      </c>
      <c r="E255" s="27">
        <f>SUMIFS(Base_Analise!$W$2:$W$4546,Base_Analise!$J$2:$J$4546,A255,Base_Analise!$I$2:$I$4546,"Entregue")</f>
        <v/>
      </c>
    </row>
    <row r="256">
      <c r="A256" s="21">
        <f>Clientes!A253</f>
        <v/>
      </c>
      <c r="B256" s="21">
        <f>Clientes!B253</f>
        <v/>
      </c>
      <c r="C256" s="21">
        <f>Clientes!C253</f>
        <v/>
      </c>
      <c r="D256" s="23">
        <f>SUMIFS(Base_Analise!$U$2:$U$4546,Base_Analise!$J$2:$J$4546,A256,Base_Analise!$I$2:$I$4546,"Entregue")</f>
        <v/>
      </c>
      <c r="E256" s="23">
        <f>SUMIFS(Base_Analise!$W$2:$W$4546,Base_Analise!$J$2:$J$4546,A256,Base_Analise!$I$2:$I$4546,"Entregue")</f>
        <v/>
      </c>
    </row>
    <row r="257">
      <c r="A257" s="25">
        <f>Clientes!A254</f>
        <v/>
      </c>
      <c r="B257" s="25">
        <f>Clientes!B254</f>
        <v/>
      </c>
      <c r="C257" s="25">
        <f>Clientes!C254</f>
        <v/>
      </c>
      <c r="D257" s="27">
        <f>SUMIFS(Base_Analise!$U$2:$U$4546,Base_Analise!$J$2:$J$4546,A257,Base_Analise!$I$2:$I$4546,"Entregue")</f>
        <v/>
      </c>
      <c r="E257" s="27">
        <f>SUMIFS(Base_Analise!$W$2:$W$4546,Base_Analise!$J$2:$J$4546,A257,Base_Analise!$I$2:$I$4546,"Entregue")</f>
        <v/>
      </c>
    </row>
    <row r="258">
      <c r="A258" s="21">
        <f>Clientes!A255</f>
        <v/>
      </c>
      <c r="B258" s="21">
        <f>Clientes!B255</f>
        <v/>
      </c>
      <c r="C258" s="21">
        <f>Clientes!C255</f>
        <v/>
      </c>
      <c r="D258" s="23">
        <f>SUMIFS(Base_Analise!$U$2:$U$4546,Base_Analise!$J$2:$J$4546,A258,Base_Analise!$I$2:$I$4546,"Entregue")</f>
        <v/>
      </c>
      <c r="E258" s="23">
        <f>SUMIFS(Base_Analise!$W$2:$W$4546,Base_Analise!$J$2:$J$4546,A258,Base_Analise!$I$2:$I$4546,"Entregue")</f>
        <v/>
      </c>
    </row>
    <row r="259">
      <c r="A259" s="25">
        <f>Clientes!A256</f>
        <v/>
      </c>
      <c r="B259" s="25">
        <f>Clientes!B256</f>
        <v/>
      </c>
      <c r="C259" s="25">
        <f>Clientes!C256</f>
        <v/>
      </c>
      <c r="D259" s="27">
        <f>SUMIFS(Base_Analise!$U$2:$U$4546,Base_Analise!$J$2:$J$4546,A259,Base_Analise!$I$2:$I$4546,"Entregue")</f>
        <v/>
      </c>
      <c r="E259" s="27">
        <f>SUMIFS(Base_Analise!$W$2:$W$4546,Base_Analise!$J$2:$J$4546,A259,Base_Analise!$I$2:$I$4546,"Entregue")</f>
        <v/>
      </c>
    </row>
    <row r="260">
      <c r="A260" s="21">
        <f>Clientes!A257</f>
        <v/>
      </c>
      <c r="B260" s="21">
        <f>Clientes!B257</f>
        <v/>
      </c>
      <c r="C260" s="21">
        <f>Clientes!C257</f>
        <v/>
      </c>
      <c r="D260" s="23">
        <f>SUMIFS(Base_Analise!$U$2:$U$4546,Base_Analise!$J$2:$J$4546,A260,Base_Analise!$I$2:$I$4546,"Entregue")</f>
        <v/>
      </c>
      <c r="E260" s="23">
        <f>SUMIFS(Base_Analise!$W$2:$W$4546,Base_Analise!$J$2:$J$4546,A260,Base_Analise!$I$2:$I$4546,"Entregue")</f>
        <v/>
      </c>
    </row>
    <row r="261">
      <c r="A261" s="25">
        <f>Clientes!A258</f>
        <v/>
      </c>
      <c r="B261" s="25">
        <f>Clientes!B258</f>
        <v/>
      </c>
      <c r="C261" s="25">
        <f>Clientes!C258</f>
        <v/>
      </c>
      <c r="D261" s="27">
        <f>SUMIFS(Base_Analise!$U$2:$U$4546,Base_Analise!$J$2:$J$4546,A261,Base_Analise!$I$2:$I$4546,"Entregue")</f>
        <v/>
      </c>
      <c r="E261" s="27">
        <f>SUMIFS(Base_Analise!$W$2:$W$4546,Base_Analise!$J$2:$J$4546,A261,Base_Analise!$I$2:$I$4546,"Entregue")</f>
        <v/>
      </c>
    </row>
    <row r="262">
      <c r="A262" s="21">
        <f>Clientes!A259</f>
        <v/>
      </c>
      <c r="B262" s="21">
        <f>Clientes!B259</f>
        <v/>
      </c>
      <c r="C262" s="21">
        <f>Clientes!C259</f>
        <v/>
      </c>
      <c r="D262" s="23">
        <f>SUMIFS(Base_Analise!$U$2:$U$4546,Base_Analise!$J$2:$J$4546,A262,Base_Analise!$I$2:$I$4546,"Entregue")</f>
        <v/>
      </c>
      <c r="E262" s="23">
        <f>SUMIFS(Base_Analise!$W$2:$W$4546,Base_Analise!$J$2:$J$4546,A262,Base_Analise!$I$2:$I$4546,"Entregue")</f>
        <v/>
      </c>
    </row>
    <row r="263">
      <c r="A263" s="25">
        <f>Clientes!A260</f>
        <v/>
      </c>
      <c r="B263" s="25">
        <f>Clientes!B260</f>
        <v/>
      </c>
      <c r="C263" s="25">
        <f>Clientes!C260</f>
        <v/>
      </c>
      <c r="D263" s="27">
        <f>SUMIFS(Base_Analise!$U$2:$U$4546,Base_Analise!$J$2:$J$4546,A263,Base_Analise!$I$2:$I$4546,"Entregue")</f>
        <v/>
      </c>
      <c r="E263" s="27">
        <f>SUMIFS(Base_Analise!$W$2:$W$4546,Base_Analise!$J$2:$J$4546,A263,Base_Analise!$I$2:$I$4546,"Entregue")</f>
        <v/>
      </c>
    </row>
    <row r="264">
      <c r="A264" s="21">
        <f>Clientes!A261</f>
        <v/>
      </c>
      <c r="B264" s="21">
        <f>Clientes!B261</f>
        <v/>
      </c>
      <c r="C264" s="21">
        <f>Clientes!C261</f>
        <v/>
      </c>
      <c r="D264" s="23">
        <f>SUMIFS(Base_Analise!$U$2:$U$4546,Base_Analise!$J$2:$J$4546,A264,Base_Analise!$I$2:$I$4546,"Entregue")</f>
        <v/>
      </c>
      <c r="E264" s="23">
        <f>SUMIFS(Base_Analise!$W$2:$W$4546,Base_Analise!$J$2:$J$4546,A264,Base_Analise!$I$2:$I$4546,"Entregue")</f>
        <v/>
      </c>
    </row>
    <row r="265">
      <c r="A265" s="25">
        <f>Clientes!A262</f>
        <v/>
      </c>
      <c r="B265" s="25">
        <f>Clientes!B262</f>
        <v/>
      </c>
      <c r="C265" s="25">
        <f>Clientes!C262</f>
        <v/>
      </c>
      <c r="D265" s="27">
        <f>SUMIFS(Base_Analise!$U$2:$U$4546,Base_Analise!$J$2:$J$4546,A265,Base_Analise!$I$2:$I$4546,"Entregue")</f>
        <v/>
      </c>
      <c r="E265" s="27">
        <f>SUMIFS(Base_Analise!$W$2:$W$4546,Base_Analise!$J$2:$J$4546,A265,Base_Analise!$I$2:$I$4546,"Entregue")</f>
        <v/>
      </c>
    </row>
    <row r="266">
      <c r="A266" s="21">
        <f>Clientes!A263</f>
        <v/>
      </c>
      <c r="B266" s="21">
        <f>Clientes!B263</f>
        <v/>
      </c>
      <c r="C266" s="21">
        <f>Clientes!C263</f>
        <v/>
      </c>
      <c r="D266" s="23">
        <f>SUMIFS(Base_Analise!$U$2:$U$4546,Base_Analise!$J$2:$J$4546,A266,Base_Analise!$I$2:$I$4546,"Entregue")</f>
        <v/>
      </c>
      <c r="E266" s="23">
        <f>SUMIFS(Base_Analise!$W$2:$W$4546,Base_Analise!$J$2:$J$4546,A266,Base_Analise!$I$2:$I$4546,"Entregue")</f>
        <v/>
      </c>
    </row>
    <row r="267">
      <c r="A267" s="25">
        <f>Clientes!A264</f>
        <v/>
      </c>
      <c r="B267" s="25">
        <f>Clientes!B264</f>
        <v/>
      </c>
      <c r="C267" s="25">
        <f>Clientes!C264</f>
        <v/>
      </c>
      <c r="D267" s="27">
        <f>SUMIFS(Base_Analise!$U$2:$U$4546,Base_Analise!$J$2:$J$4546,A267,Base_Analise!$I$2:$I$4546,"Entregue")</f>
        <v/>
      </c>
      <c r="E267" s="27">
        <f>SUMIFS(Base_Analise!$W$2:$W$4546,Base_Analise!$J$2:$J$4546,A267,Base_Analise!$I$2:$I$4546,"Entregue")</f>
        <v/>
      </c>
    </row>
    <row r="268">
      <c r="A268" s="21">
        <f>Clientes!A265</f>
        <v/>
      </c>
      <c r="B268" s="21">
        <f>Clientes!B265</f>
        <v/>
      </c>
      <c r="C268" s="21">
        <f>Clientes!C265</f>
        <v/>
      </c>
      <c r="D268" s="23">
        <f>SUMIFS(Base_Analise!$U$2:$U$4546,Base_Analise!$J$2:$J$4546,A268,Base_Analise!$I$2:$I$4546,"Entregue")</f>
        <v/>
      </c>
      <c r="E268" s="23">
        <f>SUMIFS(Base_Analise!$W$2:$W$4546,Base_Analise!$J$2:$J$4546,A268,Base_Analise!$I$2:$I$4546,"Entregue")</f>
        <v/>
      </c>
    </row>
    <row r="269">
      <c r="A269" s="25">
        <f>Clientes!A266</f>
        <v/>
      </c>
      <c r="B269" s="25">
        <f>Clientes!B266</f>
        <v/>
      </c>
      <c r="C269" s="25">
        <f>Clientes!C266</f>
        <v/>
      </c>
      <c r="D269" s="27">
        <f>SUMIFS(Base_Analise!$U$2:$U$4546,Base_Analise!$J$2:$J$4546,A269,Base_Analise!$I$2:$I$4546,"Entregue")</f>
        <v/>
      </c>
      <c r="E269" s="27">
        <f>SUMIFS(Base_Analise!$W$2:$W$4546,Base_Analise!$J$2:$J$4546,A269,Base_Analise!$I$2:$I$4546,"Entregue")</f>
        <v/>
      </c>
    </row>
    <row r="270">
      <c r="A270" s="21">
        <f>Clientes!A267</f>
        <v/>
      </c>
      <c r="B270" s="21">
        <f>Clientes!B267</f>
        <v/>
      </c>
      <c r="C270" s="21">
        <f>Clientes!C267</f>
        <v/>
      </c>
      <c r="D270" s="23">
        <f>SUMIFS(Base_Analise!$U$2:$U$4546,Base_Analise!$J$2:$J$4546,A270,Base_Analise!$I$2:$I$4546,"Entregue")</f>
        <v/>
      </c>
      <c r="E270" s="23">
        <f>SUMIFS(Base_Analise!$W$2:$W$4546,Base_Analise!$J$2:$J$4546,A270,Base_Analise!$I$2:$I$4546,"Entregue")</f>
        <v/>
      </c>
    </row>
    <row r="271">
      <c r="A271" s="25">
        <f>Clientes!A268</f>
        <v/>
      </c>
      <c r="B271" s="25">
        <f>Clientes!B268</f>
        <v/>
      </c>
      <c r="C271" s="25">
        <f>Clientes!C268</f>
        <v/>
      </c>
      <c r="D271" s="27">
        <f>SUMIFS(Base_Analise!$U$2:$U$4546,Base_Analise!$J$2:$J$4546,A271,Base_Analise!$I$2:$I$4546,"Entregue")</f>
        <v/>
      </c>
      <c r="E271" s="27">
        <f>SUMIFS(Base_Analise!$W$2:$W$4546,Base_Analise!$J$2:$J$4546,A271,Base_Analise!$I$2:$I$4546,"Entregue")</f>
        <v/>
      </c>
    </row>
    <row r="272">
      <c r="A272" s="21">
        <f>Clientes!A269</f>
        <v/>
      </c>
      <c r="B272" s="21">
        <f>Clientes!B269</f>
        <v/>
      </c>
      <c r="C272" s="21">
        <f>Clientes!C269</f>
        <v/>
      </c>
      <c r="D272" s="23">
        <f>SUMIFS(Base_Analise!$U$2:$U$4546,Base_Analise!$J$2:$J$4546,A272,Base_Analise!$I$2:$I$4546,"Entregue")</f>
        <v/>
      </c>
      <c r="E272" s="23">
        <f>SUMIFS(Base_Analise!$W$2:$W$4546,Base_Analise!$J$2:$J$4546,A272,Base_Analise!$I$2:$I$4546,"Entregue")</f>
        <v/>
      </c>
    </row>
    <row r="273">
      <c r="A273" s="25">
        <f>Clientes!A270</f>
        <v/>
      </c>
      <c r="B273" s="25">
        <f>Clientes!B270</f>
        <v/>
      </c>
      <c r="C273" s="25">
        <f>Clientes!C270</f>
        <v/>
      </c>
      <c r="D273" s="27">
        <f>SUMIFS(Base_Analise!$U$2:$U$4546,Base_Analise!$J$2:$J$4546,A273,Base_Analise!$I$2:$I$4546,"Entregue")</f>
        <v/>
      </c>
      <c r="E273" s="27">
        <f>SUMIFS(Base_Analise!$W$2:$W$4546,Base_Analise!$J$2:$J$4546,A273,Base_Analise!$I$2:$I$4546,"Entregue")</f>
        <v/>
      </c>
    </row>
    <row r="274">
      <c r="A274" s="21">
        <f>Clientes!A271</f>
        <v/>
      </c>
      <c r="B274" s="21">
        <f>Clientes!B271</f>
        <v/>
      </c>
      <c r="C274" s="21">
        <f>Clientes!C271</f>
        <v/>
      </c>
      <c r="D274" s="23">
        <f>SUMIFS(Base_Analise!$U$2:$U$4546,Base_Analise!$J$2:$J$4546,A274,Base_Analise!$I$2:$I$4546,"Entregue")</f>
        <v/>
      </c>
      <c r="E274" s="23">
        <f>SUMIFS(Base_Analise!$W$2:$W$4546,Base_Analise!$J$2:$J$4546,A274,Base_Analise!$I$2:$I$4546,"Entregue")</f>
        <v/>
      </c>
    </row>
    <row r="275">
      <c r="A275" s="25">
        <f>Clientes!A272</f>
        <v/>
      </c>
      <c r="B275" s="25">
        <f>Clientes!B272</f>
        <v/>
      </c>
      <c r="C275" s="25">
        <f>Clientes!C272</f>
        <v/>
      </c>
      <c r="D275" s="27">
        <f>SUMIFS(Base_Analise!$U$2:$U$4546,Base_Analise!$J$2:$J$4546,A275,Base_Analise!$I$2:$I$4546,"Entregue")</f>
        <v/>
      </c>
      <c r="E275" s="27">
        <f>SUMIFS(Base_Analise!$W$2:$W$4546,Base_Analise!$J$2:$J$4546,A275,Base_Analise!$I$2:$I$4546,"Entregue")</f>
        <v/>
      </c>
    </row>
    <row r="276">
      <c r="A276" s="21">
        <f>Clientes!A273</f>
        <v/>
      </c>
      <c r="B276" s="21">
        <f>Clientes!B273</f>
        <v/>
      </c>
      <c r="C276" s="21">
        <f>Clientes!C273</f>
        <v/>
      </c>
      <c r="D276" s="23">
        <f>SUMIFS(Base_Analise!$U$2:$U$4546,Base_Analise!$J$2:$J$4546,A276,Base_Analise!$I$2:$I$4546,"Entregue")</f>
        <v/>
      </c>
      <c r="E276" s="23">
        <f>SUMIFS(Base_Analise!$W$2:$W$4546,Base_Analise!$J$2:$J$4546,A276,Base_Analise!$I$2:$I$4546,"Entregue")</f>
        <v/>
      </c>
    </row>
    <row r="277">
      <c r="A277" s="25">
        <f>Clientes!A274</f>
        <v/>
      </c>
      <c r="B277" s="25">
        <f>Clientes!B274</f>
        <v/>
      </c>
      <c r="C277" s="25">
        <f>Clientes!C274</f>
        <v/>
      </c>
      <c r="D277" s="27">
        <f>SUMIFS(Base_Analise!$U$2:$U$4546,Base_Analise!$J$2:$J$4546,A277,Base_Analise!$I$2:$I$4546,"Entregue")</f>
        <v/>
      </c>
      <c r="E277" s="27">
        <f>SUMIFS(Base_Analise!$W$2:$W$4546,Base_Analise!$J$2:$J$4546,A277,Base_Analise!$I$2:$I$4546,"Entregue")</f>
        <v/>
      </c>
    </row>
    <row r="278">
      <c r="A278" s="21">
        <f>Clientes!A275</f>
        <v/>
      </c>
      <c r="B278" s="21">
        <f>Clientes!B275</f>
        <v/>
      </c>
      <c r="C278" s="21">
        <f>Clientes!C275</f>
        <v/>
      </c>
      <c r="D278" s="23">
        <f>SUMIFS(Base_Analise!$U$2:$U$4546,Base_Analise!$J$2:$J$4546,A278,Base_Analise!$I$2:$I$4546,"Entregue")</f>
        <v/>
      </c>
      <c r="E278" s="23">
        <f>SUMIFS(Base_Analise!$W$2:$W$4546,Base_Analise!$J$2:$J$4546,A278,Base_Analise!$I$2:$I$4546,"Entregue")</f>
        <v/>
      </c>
    </row>
    <row r="279">
      <c r="A279" s="25">
        <f>Clientes!A276</f>
        <v/>
      </c>
      <c r="B279" s="25">
        <f>Clientes!B276</f>
        <v/>
      </c>
      <c r="C279" s="25">
        <f>Clientes!C276</f>
        <v/>
      </c>
      <c r="D279" s="27">
        <f>SUMIFS(Base_Analise!$U$2:$U$4546,Base_Analise!$J$2:$J$4546,A279,Base_Analise!$I$2:$I$4546,"Entregue")</f>
        <v/>
      </c>
      <c r="E279" s="27">
        <f>SUMIFS(Base_Analise!$W$2:$W$4546,Base_Analise!$J$2:$J$4546,A279,Base_Analise!$I$2:$I$4546,"Entregue")</f>
        <v/>
      </c>
    </row>
    <row r="280">
      <c r="A280" s="21">
        <f>Clientes!A277</f>
        <v/>
      </c>
      <c r="B280" s="21">
        <f>Clientes!B277</f>
        <v/>
      </c>
      <c r="C280" s="21">
        <f>Clientes!C277</f>
        <v/>
      </c>
      <c r="D280" s="23">
        <f>SUMIFS(Base_Analise!$U$2:$U$4546,Base_Analise!$J$2:$J$4546,A280,Base_Analise!$I$2:$I$4546,"Entregue")</f>
        <v/>
      </c>
      <c r="E280" s="23">
        <f>SUMIFS(Base_Analise!$W$2:$W$4546,Base_Analise!$J$2:$J$4546,A280,Base_Analise!$I$2:$I$4546,"Entregue")</f>
        <v/>
      </c>
    </row>
    <row r="281">
      <c r="A281" s="25">
        <f>Clientes!A278</f>
        <v/>
      </c>
      <c r="B281" s="25">
        <f>Clientes!B278</f>
        <v/>
      </c>
      <c r="C281" s="25">
        <f>Clientes!C278</f>
        <v/>
      </c>
      <c r="D281" s="27">
        <f>SUMIFS(Base_Analise!$U$2:$U$4546,Base_Analise!$J$2:$J$4546,A281,Base_Analise!$I$2:$I$4546,"Entregue")</f>
        <v/>
      </c>
      <c r="E281" s="27">
        <f>SUMIFS(Base_Analise!$W$2:$W$4546,Base_Analise!$J$2:$J$4546,A281,Base_Analise!$I$2:$I$4546,"Entregue")</f>
        <v/>
      </c>
    </row>
    <row r="282">
      <c r="A282" s="21">
        <f>Clientes!A279</f>
        <v/>
      </c>
      <c r="B282" s="21">
        <f>Clientes!B279</f>
        <v/>
      </c>
      <c r="C282" s="21">
        <f>Clientes!C279</f>
        <v/>
      </c>
      <c r="D282" s="23">
        <f>SUMIFS(Base_Analise!$U$2:$U$4546,Base_Analise!$J$2:$J$4546,A282,Base_Analise!$I$2:$I$4546,"Entregue")</f>
        <v/>
      </c>
      <c r="E282" s="23">
        <f>SUMIFS(Base_Analise!$W$2:$W$4546,Base_Analise!$J$2:$J$4546,A282,Base_Analise!$I$2:$I$4546,"Entregue")</f>
        <v/>
      </c>
    </row>
    <row r="283">
      <c r="A283" s="25">
        <f>Clientes!A280</f>
        <v/>
      </c>
      <c r="B283" s="25">
        <f>Clientes!B280</f>
        <v/>
      </c>
      <c r="C283" s="25">
        <f>Clientes!C280</f>
        <v/>
      </c>
      <c r="D283" s="27">
        <f>SUMIFS(Base_Analise!$U$2:$U$4546,Base_Analise!$J$2:$J$4546,A283,Base_Analise!$I$2:$I$4546,"Entregue")</f>
        <v/>
      </c>
      <c r="E283" s="27">
        <f>SUMIFS(Base_Analise!$W$2:$W$4546,Base_Analise!$J$2:$J$4546,A283,Base_Analise!$I$2:$I$4546,"Entregue")</f>
        <v/>
      </c>
    </row>
    <row r="284">
      <c r="A284" s="21">
        <f>Clientes!A281</f>
        <v/>
      </c>
      <c r="B284" s="21">
        <f>Clientes!B281</f>
        <v/>
      </c>
      <c r="C284" s="21">
        <f>Clientes!C281</f>
        <v/>
      </c>
      <c r="D284" s="23">
        <f>SUMIFS(Base_Analise!$U$2:$U$4546,Base_Analise!$J$2:$J$4546,A284,Base_Analise!$I$2:$I$4546,"Entregue")</f>
        <v/>
      </c>
      <c r="E284" s="23">
        <f>SUMIFS(Base_Analise!$W$2:$W$4546,Base_Analise!$J$2:$J$4546,A284,Base_Analise!$I$2:$I$4546,"Entregue")</f>
        <v/>
      </c>
    </row>
    <row r="285">
      <c r="A285" s="25">
        <f>Clientes!A282</f>
        <v/>
      </c>
      <c r="B285" s="25">
        <f>Clientes!B282</f>
        <v/>
      </c>
      <c r="C285" s="25">
        <f>Clientes!C282</f>
        <v/>
      </c>
      <c r="D285" s="27">
        <f>SUMIFS(Base_Analise!$U$2:$U$4546,Base_Analise!$J$2:$J$4546,A285,Base_Analise!$I$2:$I$4546,"Entregue")</f>
        <v/>
      </c>
      <c r="E285" s="27">
        <f>SUMIFS(Base_Analise!$W$2:$W$4546,Base_Analise!$J$2:$J$4546,A285,Base_Analise!$I$2:$I$4546,"Entregue")</f>
        <v/>
      </c>
    </row>
    <row r="286">
      <c r="A286" s="21">
        <f>Clientes!A283</f>
        <v/>
      </c>
      <c r="B286" s="21">
        <f>Clientes!B283</f>
        <v/>
      </c>
      <c r="C286" s="21">
        <f>Clientes!C283</f>
        <v/>
      </c>
      <c r="D286" s="23">
        <f>SUMIFS(Base_Analise!$U$2:$U$4546,Base_Analise!$J$2:$J$4546,A286,Base_Analise!$I$2:$I$4546,"Entregue")</f>
        <v/>
      </c>
      <c r="E286" s="23">
        <f>SUMIFS(Base_Analise!$W$2:$W$4546,Base_Analise!$J$2:$J$4546,A286,Base_Analise!$I$2:$I$4546,"Entregue")</f>
        <v/>
      </c>
    </row>
    <row r="287">
      <c r="A287" s="25">
        <f>Clientes!A284</f>
        <v/>
      </c>
      <c r="B287" s="25">
        <f>Clientes!B284</f>
        <v/>
      </c>
      <c r="C287" s="25">
        <f>Clientes!C284</f>
        <v/>
      </c>
      <c r="D287" s="27">
        <f>SUMIFS(Base_Analise!$U$2:$U$4546,Base_Analise!$J$2:$J$4546,A287,Base_Analise!$I$2:$I$4546,"Entregue")</f>
        <v/>
      </c>
      <c r="E287" s="27">
        <f>SUMIFS(Base_Analise!$W$2:$W$4546,Base_Analise!$J$2:$J$4546,A287,Base_Analise!$I$2:$I$4546,"Entregue")</f>
        <v/>
      </c>
    </row>
    <row r="288">
      <c r="A288" s="21">
        <f>Clientes!A285</f>
        <v/>
      </c>
      <c r="B288" s="21">
        <f>Clientes!B285</f>
        <v/>
      </c>
      <c r="C288" s="21">
        <f>Clientes!C285</f>
        <v/>
      </c>
      <c r="D288" s="23">
        <f>SUMIFS(Base_Analise!$U$2:$U$4546,Base_Analise!$J$2:$J$4546,A288,Base_Analise!$I$2:$I$4546,"Entregue")</f>
        <v/>
      </c>
      <c r="E288" s="23">
        <f>SUMIFS(Base_Analise!$W$2:$W$4546,Base_Analise!$J$2:$J$4546,A288,Base_Analise!$I$2:$I$4546,"Entregue")</f>
        <v/>
      </c>
    </row>
    <row r="289">
      <c r="A289" s="25">
        <f>Clientes!A286</f>
        <v/>
      </c>
      <c r="B289" s="25">
        <f>Clientes!B286</f>
        <v/>
      </c>
      <c r="C289" s="25">
        <f>Clientes!C286</f>
        <v/>
      </c>
      <c r="D289" s="27">
        <f>SUMIFS(Base_Analise!$U$2:$U$4546,Base_Analise!$J$2:$J$4546,A289,Base_Analise!$I$2:$I$4546,"Entregue")</f>
        <v/>
      </c>
      <c r="E289" s="27">
        <f>SUMIFS(Base_Analise!$W$2:$W$4546,Base_Analise!$J$2:$J$4546,A289,Base_Analise!$I$2:$I$4546,"Entregue")</f>
        <v/>
      </c>
    </row>
    <row r="290">
      <c r="A290" s="21">
        <f>Clientes!A287</f>
        <v/>
      </c>
      <c r="B290" s="21">
        <f>Clientes!B287</f>
        <v/>
      </c>
      <c r="C290" s="21">
        <f>Clientes!C287</f>
        <v/>
      </c>
      <c r="D290" s="23">
        <f>SUMIFS(Base_Analise!$U$2:$U$4546,Base_Analise!$J$2:$J$4546,A290,Base_Analise!$I$2:$I$4546,"Entregue")</f>
        <v/>
      </c>
      <c r="E290" s="23">
        <f>SUMIFS(Base_Analise!$W$2:$W$4546,Base_Analise!$J$2:$J$4546,A290,Base_Analise!$I$2:$I$4546,"Entregue")</f>
        <v/>
      </c>
    </row>
    <row r="291">
      <c r="A291" s="25">
        <f>Clientes!A288</f>
        <v/>
      </c>
      <c r="B291" s="25">
        <f>Clientes!B288</f>
        <v/>
      </c>
      <c r="C291" s="25">
        <f>Clientes!C288</f>
        <v/>
      </c>
      <c r="D291" s="27">
        <f>SUMIFS(Base_Analise!$U$2:$U$4546,Base_Analise!$J$2:$J$4546,A291,Base_Analise!$I$2:$I$4546,"Entregue")</f>
        <v/>
      </c>
      <c r="E291" s="27">
        <f>SUMIFS(Base_Analise!$W$2:$W$4546,Base_Analise!$J$2:$J$4546,A291,Base_Analise!$I$2:$I$4546,"Entregue")</f>
        <v/>
      </c>
    </row>
    <row r="292">
      <c r="A292" s="21">
        <f>Clientes!A289</f>
        <v/>
      </c>
      <c r="B292" s="21">
        <f>Clientes!B289</f>
        <v/>
      </c>
      <c r="C292" s="21">
        <f>Clientes!C289</f>
        <v/>
      </c>
      <c r="D292" s="23">
        <f>SUMIFS(Base_Analise!$U$2:$U$4546,Base_Analise!$J$2:$J$4546,A292,Base_Analise!$I$2:$I$4546,"Entregue")</f>
        <v/>
      </c>
      <c r="E292" s="23">
        <f>SUMIFS(Base_Analise!$W$2:$W$4546,Base_Analise!$J$2:$J$4546,A292,Base_Analise!$I$2:$I$4546,"Entregue")</f>
        <v/>
      </c>
    </row>
    <row r="293">
      <c r="A293" s="25">
        <f>Clientes!A290</f>
        <v/>
      </c>
      <c r="B293" s="25">
        <f>Clientes!B290</f>
        <v/>
      </c>
      <c r="C293" s="25">
        <f>Clientes!C290</f>
        <v/>
      </c>
      <c r="D293" s="27">
        <f>SUMIFS(Base_Analise!$U$2:$U$4546,Base_Analise!$J$2:$J$4546,A293,Base_Analise!$I$2:$I$4546,"Entregue")</f>
        <v/>
      </c>
      <c r="E293" s="27">
        <f>SUMIFS(Base_Analise!$W$2:$W$4546,Base_Analise!$J$2:$J$4546,A293,Base_Analise!$I$2:$I$4546,"Entregue")</f>
        <v/>
      </c>
    </row>
    <row r="294">
      <c r="A294" s="21">
        <f>Clientes!A291</f>
        <v/>
      </c>
      <c r="B294" s="21">
        <f>Clientes!B291</f>
        <v/>
      </c>
      <c r="C294" s="21">
        <f>Clientes!C291</f>
        <v/>
      </c>
      <c r="D294" s="23">
        <f>SUMIFS(Base_Analise!$U$2:$U$4546,Base_Analise!$J$2:$J$4546,A294,Base_Analise!$I$2:$I$4546,"Entregue")</f>
        <v/>
      </c>
      <c r="E294" s="23">
        <f>SUMIFS(Base_Analise!$W$2:$W$4546,Base_Analise!$J$2:$J$4546,A294,Base_Analise!$I$2:$I$4546,"Entregue")</f>
        <v/>
      </c>
    </row>
    <row r="295">
      <c r="A295" s="25">
        <f>Clientes!A292</f>
        <v/>
      </c>
      <c r="B295" s="25">
        <f>Clientes!B292</f>
        <v/>
      </c>
      <c r="C295" s="25">
        <f>Clientes!C292</f>
        <v/>
      </c>
      <c r="D295" s="27">
        <f>SUMIFS(Base_Analise!$U$2:$U$4546,Base_Analise!$J$2:$J$4546,A295,Base_Analise!$I$2:$I$4546,"Entregue")</f>
        <v/>
      </c>
      <c r="E295" s="27">
        <f>SUMIFS(Base_Analise!$W$2:$W$4546,Base_Analise!$J$2:$J$4546,A295,Base_Analise!$I$2:$I$4546,"Entregue")</f>
        <v/>
      </c>
    </row>
    <row r="296">
      <c r="A296" s="21">
        <f>Clientes!A293</f>
        <v/>
      </c>
      <c r="B296" s="21">
        <f>Clientes!B293</f>
        <v/>
      </c>
      <c r="C296" s="21">
        <f>Clientes!C293</f>
        <v/>
      </c>
      <c r="D296" s="23">
        <f>SUMIFS(Base_Analise!$U$2:$U$4546,Base_Analise!$J$2:$J$4546,A296,Base_Analise!$I$2:$I$4546,"Entregue")</f>
        <v/>
      </c>
      <c r="E296" s="23">
        <f>SUMIFS(Base_Analise!$W$2:$W$4546,Base_Analise!$J$2:$J$4546,A296,Base_Analise!$I$2:$I$4546,"Entregue")</f>
        <v/>
      </c>
    </row>
    <row r="297">
      <c r="A297" s="25">
        <f>Clientes!A294</f>
        <v/>
      </c>
      <c r="B297" s="25">
        <f>Clientes!B294</f>
        <v/>
      </c>
      <c r="C297" s="25">
        <f>Clientes!C294</f>
        <v/>
      </c>
      <c r="D297" s="27">
        <f>SUMIFS(Base_Analise!$U$2:$U$4546,Base_Analise!$J$2:$J$4546,A297,Base_Analise!$I$2:$I$4546,"Entregue")</f>
        <v/>
      </c>
      <c r="E297" s="27">
        <f>SUMIFS(Base_Analise!$W$2:$W$4546,Base_Analise!$J$2:$J$4546,A297,Base_Analise!$I$2:$I$4546,"Entregue")</f>
        <v/>
      </c>
    </row>
    <row r="298">
      <c r="A298" s="21">
        <f>Clientes!A295</f>
        <v/>
      </c>
      <c r="B298" s="21">
        <f>Clientes!B295</f>
        <v/>
      </c>
      <c r="C298" s="21">
        <f>Clientes!C295</f>
        <v/>
      </c>
      <c r="D298" s="23">
        <f>SUMIFS(Base_Analise!$U$2:$U$4546,Base_Analise!$J$2:$J$4546,A298,Base_Analise!$I$2:$I$4546,"Entregue")</f>
        <v/>
      </c>
      <c r="E298" s="23">
        <f>SUMIFS(Base_Analise!$W$2:$W$4546,Base_Analise!$J$2:$J$4546,A298,Base_Analise!$I$2:$I$4546,"Entregue")</f>
        <v/>
      </c>
    </row>
    <row r="299">
      <c r="A299" s="25">
        <f>Clientes!A296</f>
        <v/>
      </c>
      <c r="B299" s="25">
        <f>Clientes!B296</f>
        <v/>
      </c>
      <c r="C299" s="25">
        <f>Clientes!C296</f>
        <v/>
      </c>
      <c r="D299" s="27">
        <f>SUMIFS(Base_Analise!$U$2:$U$4546,Base_Analise!$J$2:$J$4546,A299,Base_Analise!$I$2:$I$4546,"Entregue")</f>
        <v/>
      </c>
      <c r="E299" s="27">
        <f>SUMIFS(Base_Analise!$W$2:$W$4546,Base_Analise!$J$2:$J$4546,A299,Base_Analise!$I$2:$I$4546,"Entregue")</f>
        <v/>
      </c>
    </row>
    <row r="300">
      <c r="A300" s="21">
        <f>Clientes!A297</f>
        <v/>
      </c>
      <c r="B300" s="21">
        <f>Clientes!B297</f>
        <v/>
      </c>
      <c r="C300" s="21">
        <f>Clientes!C297</f>
        <v/>
      </c>
      <c r="D300" s="23">
        <f>SUMIFS(Base_Analise!$U$2:$U$4546,Base_Analise!$J$2:$J$4546,A300,Base_Analise!$I$2:$I$4546,"Entregue")</f>
        <v/>
      </c>
      <c r="E300" s="23">
        <f>SUMIFS(Base_Analise!$W$2:$W$4546,Base_Analise!$J$2:$J$4546,A300,Base_Analise!$I$2:$I$4546,"Entregue")</f>
        <v/>
      </c>
    </row>
    <row r="301">
      <c r="A301" s="25">
        <f>Clientes!A298</f>
        <v/>
      </c>
      <c r="B301" s="25">
        <f>Clientes!B298</f>
        <v/>
      </c>
      <c r="C301" s="25">
        <f>Clientes!C298</f>
        <v/>
      </c>
      <c r="D301" s="27">
        <f>SUMIFS(Base_Analise!$U$2:$U$4546,Base_Analise!$J$2:$J$4546,A301,Base_Analise!$I$2:$I$4546,"Entregue")</f>
        <v/>
      </c>
      <c r="E301" s="27">
        <f>SUMIFS(Base_Analise!$W$2:$W$4546,Base_Analise!$J$2:$J$4546,A301,Base_Analise!$I$2:$I$4546,"Entregue")</f>
        <v/>
      </c>
    </row>
    <row r="302">
      <c r="A302" s="21">
        <f>Clientes!A299</f>
        <v/>
      </c>
      <c r="B302" s="21">
        <f>Clientes!B299</f>
        <v/>
      </c>
      <c r="C302" s="21">
        <f>Clientes!C299</f>
        <v/>
      </c>
      <c r="D302" s="23">
        <f>SUMIFS(Base_Analise!$U$2:$U$4546,Base_Analise!$J$2:$J$4546,A302,Base_Analise!$I$2:$I$4546,"Entregue")</f>
        <v/>
      </c>
      <c r="E302" s="23">
        <f>SUMIFS(Base_Analise!$W$2:$W$4546,Base_Analise!$J$2:$J$4546,A302,Base_Analise!$I$2:$I$4546,"Entregue")</f>
        <v/>
      </c>
    </row>
    <row r="303">
      <c r="A303" s="25">
        <f>Clientes!A300</f>
        <v/>
      </c>
      <c r="B303" s="25">
        <f>Clientes!B300</f>
        <v/>
      </c>
      <c r="C303" s="25">
        <f>Clientes!C300</f>
        <v/>
      </c>
      <c r="D303" s="27">
        <f>SUMIFS(Base_Analise!$U$2:$U$4546,Base_Analise!$J$2:$J$4546,A303,Base_Analise!$I$2:$I$4546,"Entregue")</f>
        <v/>
      </c>
      <c r="E303" s="27">
        <f>SUMIFS(Base_Analise!$W$2:$W$4546,Base_Analise!$J$2:$J$4546,A303,Base_Analise!$I$2:$I$4546,"Entregue")</f>
        <v/>
      </c>
    </row>
    <row r="304">
      <c r="A304" s="21">
        <f>Clientes!A301</f>
        <v/>
      </c>
      <c r="B304" s="21">
        <f>Clientes!B301</f>
        <v/>
      </c>
      <c r="C304" s="21">
        <f>Clientes!C301</f>
        <v/>
      </c>
      <c r="D304" s="23">
        <f>SUMIFS(Base_Analise!$U$2:$U$4546,Base_Analise!$J$2:$J$4546,A304,Base_Analise!$I$2:$I$4546,"Entregue")</f>
        <v/>
      </c>
      <c r="E304" s="23">
        <f>SUMIFS(Base_Analise!$W$2:$W$4546,Base_Analise!$J$2:$J$4546,A304,Base_Analise!$I$2:$I$4546,"Entregue")</f>
        <v/>
      </c>
    </row>
    <row r="305">
      <c r="A305" s="25">
        <f>Clientes!A302</f>
        <v/>
      </c>
      <c r="B305" s="25">
        <f>Clientes!B302</f>
        <v/>
      </c>
      <c r="C305" s="25">
        <f>Clientes!C302</f>
        <v/>
      </c>
      <c r="D305" s="27">
        <f>SUMIFS(Base_Analise!$U$2:$U$4546,Base_Analise!$J$2:$J$4546,A305,Base_Analise!$I$2:$I$4546,"Entregue")</f>
        <v/>
      </c>
      <c r="E305" s="27">
        <f>SUMIFS(Base_Analise!$W$2:$W$4546,Base_Analise!$J$2:$J$4546,A305,Base_Analise!$I$2:$I$4546,"Entregue")</f>
        <v/>
      </c>
    </row>
    <row r="306">
      <c r="A306" s="21">
        <f>Clientes!A303</f>
        <v/>
      </c>
      <c r="B306" s="21">
        <f>Clientes!B303</f>
        <v/>
      </c>
      <c r="C306" s="21">
        <f>Clientes!C303</f>
        <v/>
      </c>
      <c r="D306" s="23">
        <f>SUMIFS(Base_Analise!$U$2:$U$4546,Base_Analise!$J$2:$J$4546,A306,Base_Analise!$I$2:$I$4546,"Entregue")</f>
        <v/>
      </c>
      <c r="E306" s="23">
        <f>SUMIFS(Base_Analise!$W$2:$W$4546,Base_Analise!$J$2:$J$4546,A306,Base_Analise!$I$2:$I$4546,"Entregue")</f>
        <v/>
      </c>
    </row>
    <row r="307">
      <c r="A307" s="25">
        <f>Clientes!A304</f>
        <v/>
      </c>
      <c r="B307" s="25">
        <f>Clientes!B304</f>
        <v/>
      </c>
      <c r="C307" s="25">
        <f>Clientes!C304</f>
        <v/>
      </c>
      <c r="D307" s="27">
        <f>SUMIFS(Base_Analise!$U$2:$U$4546,Base_Analise!$J$2:$J$4546,A307,Base_Analise!$I$2:$I$4546,"Entregue")</f>
        <v/>
      </c>
      <c r="E307" s="27">
        <f>SUMIFS(Base_Analise!$W$2:$W$4546,Base_Analise!$J$2:$J$4546,A307,Base_Analise!$I$2:$I$4546,"Entregue")</f>
        <v/>
      </c>
    </row>
    <row r="308">
      <c r="A308" s="21">
        <f>Clientes!A305</f>
        <v/>
      </c>
      <c r="B308" s="21">
        <f>Clientes!B305</f>
        <v/>
      </c>
      <c r="C308" s="21">
        <f>Clientes!C305</f>
        <v/>
      </c>
      <c r="D308" s="23">
        <f>SUMIFS(Base_Analise!$U$2:$U$4546,Base_Analise!$J$2:$J$4546,A308,Base_Analise!$I$2:$I$4546,"Entregue")</f>
        <v/>
      </c>
      <c r="E308" s="23">
        <f>SUMIFS(Base_Analise!$W$2:$W$4546,Base_Analise!$J$2:$J$4546,A308,Base_Analise!$I$2:$I$4546,"Entregue")</f>
        <v/>
      </c>
    </row>
    <row r="309">
      <c r="A309" s="25">
        <f>Clientes!A306</f>
        <v/>
      </c>
      <c r="B309" s="25">
        <f>Clientes!B306</f>
        <v/>
      </c>
      <c r="C309" s="25">
        <f>Clientes!C306</f>
        <v/>
      </c>
      <c r="D309" s="27">
        <f>SUMIFS(Base_Analise!$U$2:$U$4546,Base_Analise!$J$2:$J$4546,A309,Base_Analise!$I$2:$I$4546,"Entregue")</f>
        <v/>
      </c>
      <c r="E309" s="27">
        <f>SUMIFS(Base_Analise!$W$2:$W$4546,Base_Analise!$J$2:$J$4546,A309,Base_Analise!$I$2:$I$4546,"Entregue")</f>
        <v/>
      </c>
    </row>
    <row r="310">
      <c r="A310" s="21">
        <f>Clientes!A307</f>
        <v/>
      </c>
      <c r="B310" s="21">
        <f>Clientes!B307</f>
        <v/>
      </c>
      <c r="C310" s="21">
        <f>Clientes!C307</f>
        <v/>
      </c>
      <c r="D310" s="23">
        <f>SUMIFS(Base_Analise!$U$2:$U$4546,Base_Analise!$J$2:$J$4546,A310,Base_Analise!$I$2:$I$4546,"Entregue")</f>
        <v/>
      </c>
      <c r="E310" s="23">
        <f>SUMIFS(Base_Analise!$W$2:$W$4546,Base_Analise!$J$2:$J$4546,A310,Base_Analise!$I$2:$I$4546,"Entregue")</f>
        <v/>
      </c>
    </row>
    <row r="311">
      <c r="A311" s="25">
        <f>Clientes!A308</f>
        <v/>
      </c>
      <c r="B311" s="25">
        <f>Clientes!B308</f>
        <v/>
      </c>
      <c r="C311" s="25">
        <f>Clientes!C308</f>
        <v/>
      </c>
      <c r="D311" s="27">
        <f>SUMIFS(Base_Analise!$U$2:$U$4546,Base_Analise!$J$2:$J$4546,A311,Base_Analise!$I$2:$I$4546,"Entregue")</f>
        <v/>
      </c>
      <c r="E311" s="27">
        <f>SUMIFS(Base_Analise!$W$2:$W$4546,Base_Analise!$J$2:$J$4546,A311,Base_Analise!$I$2:$I$4546,"Entregue")</f>
        <v/>
      </c>
    </row>
    <row r="312">
      <c r="A312" s="21">
        <f>Clientes!A309</f>
        <v/>
      </c>
      <c r="B312" s="21">
        <f>Clientes!B309</f>
        <v/>
      </c>
      <c r="C312" s="21">
        <f>Clientes!C309</f>
        <v/>
      </c>
      <c r="D312" s="23">
        <f>SUMIFS(Base_Analise!$U$2:$U$4546,Base_Analise!$J$2:$J$4546,A312,Base_Analise!$I$2:$I$4546,"Entregue")</f>
        <v/>
      </c>
      <c r="E312" s="23">
        <f>SUMIFS(Base_Analise!$W$2:$W$4546,Base_Analise!$J$2:$J$4546,A312,Base_Analise!$I$2:$I$4546,"Entregue")</f>
        <v/>
      </c>
    </row>
    <row r="313">
      <c r="A313" s="25">
        <f>Clientes!A310</f>
        <v/>
      </c>
      <c r="B313" s="25">
        <f>Clientes!B310</f>
        <v/>
      </c>
      <c r="C313" s="25">
        <f>Clientes!C310</f>
        <v/>
      </c>
      <c r="D313" s="27">
        <f>SUMIFS(Base_Analise!$U$2:$U$4546,Base_Analise!$J$2:$J$4546,A313,Base_Analise!$I$2:$I$4546,"Entregue")</f>
        <v/>
      </c>
      <c r="E313" s="27">
        <f>SUMIFS(Base_Analise!$W$2:$W$4546,Base_Analise!$J$2:$J$4546,A313,Base_Analise!$I$2:$I$4546,"Entregue")</f>
        <v/>
      </c>
    </row>
    <row r="314">
      <c r="A314" s="21">
        <f>Clientes!A311</f>
        <v/>
      </c>
      <c r="B314" s="21">
        <f>Clientes!B311</f>
        <v/>
      </c>
      <c r="C314" s="21">
        <f>Clientes!C311</f>
        <v/>
      </c>
      <c r="D314" s="23">
        <f>SUMIFS(Base_Analise!$U$2:$U$4546,Base_Analise!$J$2:$J$4546,A314,Base_Analise!$I$2:$I$4546,"Entregue")</f>
        <v/>
      </c>
      <c r="E314" s="23">
        <f>SUMIFS(Base_Analise!$W$2:$W$4546,Base_Analise!$J$2:$J$4546,A314,Base_Analise!$I$2:$I$4546,"Entregue")</f>
        <v/>
      </c>
    </row>
    <row r="315">
      <c r="A315" s="25">
        <f>Clientes!A312</f>
        <v/>
      </c>
      <c r="B315" s="25">
        <f>Clientes!B312</f>
        <v/>
      </c>
      <c r="C315" s="25">
        <f>Clientes!C312</f>
        <v/>
      </c>
      <c r="D315" s="27">
        <f>SUMIFS(Base_Analise!$U$2:$U$4546,Base_Analise!$J$2:$J$4546,A315,Base_Analise!$I$2:$I$4546,"Entregue")</f>
        <v/>
      </c>
      <c r="E315" s="27">
        <f>SUMIFS(Base_Analise!$W$2:$W$4546,Base_Analise!$J$2:$J$4546,A315,Base_Analise!$I$2:$I$4546,"Entregue")</f>
        <v/>
      </c>
    </row>
    <row r="316">
      <c r="A316" s="21">
        <f>Clientes!A313</f>
        <v/>
      </c>
      <c r="B316" s="21">
        <f>Clientes!B313</f>
        <v/>
      </c>
      <c r="C316" s="21">
        <f>Clientes!C313</f>
        <v/>
      </c>
      <c r="D316" s="23">
        <f>SUMIFS(Base_Analise!$U$2:$U$4546,Base_Analise!$J$2:$J$4546,A316,Base_Analise!$I$2:$I$4546,"Entregue")</f>
        <v/>
      </c>
      <c r="E316" s="23">
        <f>SUMIFS(Base_Analise!$W$2:$W$4546,Base_Analise!$J$2:$J$4546,A316,Base_Analise!$I$2:$I$4546,"Entregue")</f>
        <v/>
      </c>
    </row>
    <row r="317">
      <c r="A317" s="25">
        <f>Clientes!A314</f>
        <v/>
      </c>
      <c r="B317" s="25">
        <f>Clientes!B314</f>
        <v/>
      </c>
      <c r="C317" s="25">
        <f>Clientes!C314</f>
        <v/>
      </c>
      <c r="D317" s="27">
        <f>SUMIFS(Base_Analise!$U$2:$U$4546,Base_Analise!$J$2:$J$4546,A317,Base_Analise!$I$2:$I$4546,"Entregue")</f>
        <v/>
      </c>
      <c r="E317" s="27">
        <f>SUMIFS(Base_Analise!$W$2:$W$4546,Base_Analise!$J$2:$J$4546,A317,Base_Analise!$I$2:$I$4546,"Entregue")</f>
        <v/>
      </c>
    </row>
    <row r="318">
      <c r="A318" s="21">
        <f>Clientes!A315</f>
        <v/>
      </c>
      <c r="B318" s="21">
        <f>Clientes!B315</f>
        <v/>
      </c>
      <c r="C318" s="21">
        <f>Clientes!C315</f>
        <v/>
      </c>
      <c r="D318" s="23">
        <f>SUMIFS(Base_Analise!$U$2:$U$4546,Base_Analise!$J$2:$J$4546,A318,Base_Analise!$I$2:$I$4546,"Entregue")</f>
        <v/>
      </c>
      <c r="E318" s="23">
        <f>SUMIFS(Base_Analise!$W$2:$W$4546,Base_Analise!$J$2:$J$4546,A318,Base_Analise!$I$2:$I$4546,"Entregue")</f>
        <v/>
      </c>
    </row>
    <row r="319">
      <c r="A319" s="25">
        <f>Clientes!A316</f>
        <v/>
      </c>
      <c r="B319" s="25">
        <f>Clientes!B316</f>
        <v/>
      </c>
      <c r="C319" s="25">
        <f>Clientes!C316</f>
        <v/>
      </c>
      <c r="D319" s="27">
        <f>SUMIFS(Base_Analise!$U$2:$U$4546,Base_Analise!$J$2:$J$4546,A319,Base_Analise!$I$2:$I$4546,"Entregue")</f>
        <v/>
      </c>
      <c r="E319" s="27">
        <f>SUMIFS(Base_Analise!$W$2:$W$4546,Base_Analise!$J$2:$J$4546,A319,Base_Analise!$I$2:$I$4546,"Entregue")</f>
        <v/>
      </c>
    </row>
    <row r="320">
      <c r="A320" s="21">
        <f>Clientes!A317</f>
        <v/>
      </c>
      <c r="B320" s="21">
        <f>Clientes!B317</f>
        <v/>
      </c>
      <c r="C320" s="21">
        <f>Clientes!C317</f>
        <v/>
      </c>
      <c r="D320" s="23">
        <f>SUMIFS(Base_Analise!$U$2:$U$4546,Base_Analise!$J$2:$J$4546,A320,Base_Analise!$I$2:$I$4546,"Entregue")</f>
        <v/>
      </c>
      <c r="E320" s="23">
        <f>SUMIFS(Base_Analise!$W$2:$W$4546,Base_Analise!$J$2:$J$4546,A320,Base_Analise!$I$2:$I$4546,"Entregue")</f>
        <v/>
      </c>
    </row>
    <row r="321">
      <c r="A321" s="25">
        <f>Clientes!A318</f>
        <v/>
      </c>
      <c r="B321" s="25">
        <f>Clientes!B318</f>
        <v/>
      </c>
      <c r="C321" s="25">
        <f>Clientes!C318</f>
        <v/>
      </c>
      <c r="D321" s="27">
        <f>SUMIFS(Base_Analise!$U$2:$U$4546,Base_Analise!$J$2:$J$4546,A321,Base_Analise!$I$2:$I$4546,"Entregue")</f>
        <v/>
      </c>
      <c r="E321" s="27">
        <f>SUMIFS(Base_Analise!$W$2:$W$4546,Base_Analise!$J$2:$J$4546,A321,Base_Analise!$I$2:$I$4546,"Entregue")</f>
        <v/>
      </c>
    </row>
    <row r="322">
      <c r="A322" s="21">
        <f>Clientes!A319</f>
        <v/>
      </c>
      <c r="B322" s="21">
        <f>Clientes!B319</f>
        <v/>
      </c>
      <c r="C322" s="21">
        <f>Clientes!C319</f>
        <v/>
      </c>
      <c r="D322" s="23">
        <f>SUMIFS(Base_Analise!$U$2:$U$4546,Base_Analise!$J$2:$J$4546,A322,Base_Analise!$I$2:$I$4546,"Entregue")</f>
        <v/>
      </c>
      <c r="E322" s="23">
        <f>SUMIFS(Base_Analise!$W$2:$W$4546,Base_Analise!$J$2:$J$4546,A322,Base_Analise!$I$2:$I$4546,"Entregue")</f>
        <v/>
      </c>
    </row>
    <row r="323">
      <c r="A323" s="25">
        <f>Clientes!A320</f>
        <v/>
      </c>
      <c r="B323" s="25">
        <f>Clientes!B320</f>
        <v/>
      </c>
      <c r="C323" s="25">
        <f>Clientes!C320</f>
        <v/>
      </c>
      <c r="D323" s="27">
        <f>SUMIFS(Base_Analise!$U$2:$U$4546,Base_Analise!$J$2:$J$4546,A323,Base_Analise!$I$2:$I$4546,"Entregue")</f>
        <v/>
      </c>
      <c r="E323" s="27">
        <f>SUMIFS(Base_Analise!$W$2:$W$4546,Base_Analise!$J$2:$J$4546,A323,Base_Analise!$I$2:$I$4546,"Entregue")</f>
        <v/>
      </c>
    </row>
    <row r="324">
      <c r="A324" s="21">
        <f>Clientes!A321</f>
        <v/>
      </c>
      <c r="B324" s="21">
        <f>Clientes!B321</f>
        <v/>
      </c>
      <c r="C324" s="21">
        <f>Clientes!C321</f>
        <v/>
      </c>
      <c r="D324" s="23">
        <f>SUMIFS(Base_Analise!$U$2:$U$4546,Base_Analise!$J$2:$J$4546,A324,Base_Analise!$I$2:$I$4546,"Entregue")</f>
        <v/>
      </c>
      <c r="E324" s="23">
        <f>SUMIFS(Base_Analise!$W$2:$W$4546,Base_Analise!$J$2:$J$4546,A324,Base_Analise!$I$2:$I$4546,"Entregue")</f>
        <v/>
      </c>
    </row>
    <row r="325">
      <c r="A325" s="25">
        <f>Clientes!A322</f>
        <v/>
      </c>
      <c r="B325" s="25">
        <f>Clientes!B322</f>
        <v/>
      </c>
      <c r="C325" s="25">
        <f>Clientes!C322</f>
        <v/>
      </c>
      <c r="D325" s="27">
        <f>SUMIFS(Base_Analise!$U$2:$U$4546,Base_Analise!$J$2:$J$4546,A325,Base_Analise!$I$2:$I$4546,"Entregue")</f>
        <v/>
      </c>
      <c r="E325" s="27">
        <f>SUMIFS(Base_Analise!$W$2:$W$4546,Base_Analise!$J$2:$J$4546,A325,Base_Analise!$I$2:$I$4546,"Entregue")</f>
        <v/>
      </c>
    </row>
    <row r="326">
      <c r="A326" s="21">
        <f>Clientes!A323</f>
        <v/>
      </c>
      <c r="B326" s="21">
        <f>Clientes!B323</f>
        <v/>
      </c>
      <c r="C326" s="21">
        <f>Clientes!C323</f>
        <v/>
      </c>
      <c r="D326" s="23">
        <f>SUMIFS(Base_Analise!$U$2:$U$4546,Base_Analise!$J$2:$J$4546,A326,Base_Analise!$I$2:$I$4546,"Entregue")</f>
        <v/>
      </c>
      <c r="E326" s="23">
        <f>SUMIFS(Base_Analise!$W$2:$W$4546,Base_Analise!$J$2:$J$4546,A326,Base_Analise!$I$2:$I$4546,"Entregue")</f>
        <v/>
      </c>
    </row>
    <row r="327">
      <c r="A327" s="25">
        <f>Clientes!A324</f>
        <v/>
      </c>
      <c r="B327" s="25">
        <f>Clientes!B324</f>
        <v/>
      </c>
      <c r="C327" s="25">
        <f>Clientes!C324</f>
        <v/>
      </c>
      <c r="D327" s="27">
        <f>SUMIFS(Base_Analise!$U$2:$U$4546,Base_Analise!$J$2:$J$4546,A327,Base_Analise!$I$2:$I$4546,"Entregue")</f>
        <v/>
      </c>
      <c r="E327" s="27">
        <f>SUMIFS(Base_Analise!$W$2:$W$4546,Base_Analise!$J$2:$J$4546,A327,Base_Analise!$I$2:$I$4546,"Entregue")</f>
        <v/>
      </c>
    </row>
    <row r="328">
      <c r="A328" s="21">
        <f>Clientes!A325</f>
        <v/>
      </c>
      <c r="B328" s="21">
        <f>Clientes!B325</f>
        <v/>
      </c>
      <c r="C328" s="21">
        <f>Clientes!C325</f>
        <v/>
      </c>
      <c r="D328" s="23">
        <f>SUMIFS(Base_Analise!$U$2:$U$4546,Base_Analise!$J$2:$J$4546,A328,Base_Analise!$I$2:$I$4546,"Entregue")</f>
        <v/>
      </c>
      <c r="E328" s="23">
        <f>SUMIFS(Base_Analise!$W$2:$W$4546,Base_Analise!$J$2:$J$4546,A328,Base_Analise!$I$2:$I$4546,"Entregue")</f>
        <v/>
      </c>
    </row>
    <row r="329">
      <c r="A329" s="25">
        <f>Clientes!A326</f>
        <v/>
      </c>
      <c r="B329" s="25">
        <f>Clientes!B326</f>
        <v/>
      </c>
      <c r="C329" s="25">
        <f>Clientes!C326</f>
        <v/>
      </c>
      <c r="D329" s="27">
        <f>SUMIFS(Base_Analise!$U$2:$U$4546,Base_Analise!$J$2:$J$4546,A329,Base_Analise!$I$2:$I$4546,"Entregue")</f>
        <v/>
      </c>
      <c r="E329" s="27">
        <f>SUMIFS(Base_Analise!$W$2:$W$4546,Base_Analise!$J$2:$J$4546,A329,Base_Analise!$I$2:$I$4546,"Entregue")</f>
        <v/>
      </c>
    </row>
    <row r="330">
      <c r="A330" s="21">
        <f>Clientes!A327</f>
        <v/>
      </c>
      <c r="B330" s="21">
        <f>Clientes!B327</f>
        <v/>
      </c>
      <c r="C330" s="21">
        <f>Clientes!C327</f>
        <v/>
      </c>
      <c r="D330" s="23">
        <f>SUMIFS(Base_Analise!$U$2:$U$4546,Base_Analise!$J$2:$J$4546,A330,Base_Analise!$I$2:$I$4546,"Entregue")</f>
        <v/>
      </c>
      <c r="E330" s="23">
        <f>SUMIFS(Base_Analise!$W$2:$W$4546,Base_Analise!$J$2:$J$4546,A330,Base_Analise!$I$2:$I$4546,"Entregue")</f>
        <v/>
      </c>
    </row>
    <row r="331">
      <c r="A331" s="25">
        <f>Clientes!A328</f>
        <v/>
      </c>
      <c r="B331" s="25">
        <f>Clientes!B328</f>
        <v/>
      </c>
      <c r="C331" s="25">
        <f>Clientes!C328</f>
        <v/>
      </c>
      <c r="D331" s="27">
        <f>SUMIFS(Base_Analise!$U$2:$U$4546,Base_Analise!$J$2:$J$4546,A331,Base_Analise!$I$2:$I$4546,"Entregue")</f>
        <v/>
      </c>
      <c r="E331" s="27">
        <f>SUMIFS(Base_Analise!$W$2:$W$4546,Base_Analise!$J$2:$J$4546,A331,Base_Analise!$I$2:$I$4546,"Entregue")</f>
        <v/>
      </c>
    </row>
    <row r="332">
      <c r="A332" s="21">
        <f>Clientes!A329</f>
        <v/>
      </c>
      <c r="B332" s="21">
        <f>Clientes!B329</f>
        <v/>
      </c>
      <c r="C332" s="21">
        <f>Clientes!C329</f>
        <v/>
      </c>
      <c r="D332" s="23">
        <f>SUMIFS(Base_Analise!$U$2:$U$4546,Base_Analise!$J$2:$J$4546,A332,Base_Analise!$I$2:$I$4546,"Entregue")</f>
        <v/>
      </c>
      <c r="E332" s="23">
        <f>SUMIFS(Base_Analise!$W$2:$W$4546,Base_Analise!$J$2:$J$4546,A332,Base_Analise!$I$2:$I$4546,"Entregue")</f>
        <v/>
      </c>
    </row>
    <row r="333">
      <c r="A333" s="25">
        <f>Clientes!A330</f>
        <v/>
      </c>
      <c r="B333" s="25">
        <f>Clientes!B330</f>
        <v/>
      </c>
      <c r="C333" s="25">
        <f>Clientes!C330</f>
        <v/>
      </c>
      <c r="D333" s="27">
        <f>SUMIFS(Base_Analise!$U$2:$U$4546,Base_Analise!$J$2:$J$4546,A333,Base_Analise!$I$2:$I$4546,"Entregue")</f>
        <v/>
      </c>
      <c r="E333" s="27">
        <f>SUMIFS(Base_Analise!$W$2:$W$4546,Base_Analise!$J$2:$J$4546,A333,Base_Analise!$I$2:$I$4546,"Entregue")</f>
        <v/>
      </c>
    </row>
    <row r="334">
      <c r="A334" s="21">
        <f>Clientes!A331</f>
        <v/>
      </c>
      <c r="B334" s="21">
        <f>Clientes!B331</f>
        <v/>
      </c>
      <c r="C334" s="21">
        <f>Clientes!C331</f>
        <v/>
      </c>
      <c r="D334" s="23">
        <f>SUMIFS(Base_Analise!$U$2:$U$4546,Base_Analise!$J$2:$J$4546,A334,Base_Analise!$I$2:$I$4546,"Entregue")</f>
        <v/>
      </c>
      <c r="E334" s="23">
        <f>SUMIFS(Base_Analise!$W$2:$W$4546,Base_Analise!$J$2:$J$4546,A334,Base_Analise!$I$2:$I$4546,"Entregue")</f>
        <v/>
      </c>
    </row>
    <row r="335">
      <c r="A335" s="25">
        <f>Clientes!A332</f>
        <v/>
      </c>
      <c r="B335" s="25">
        <f>Clientes!B332</f>
        <v/>
      </c>
      <c r="C335" s="25">
        <f>Clientes!C332</f>
        <v/>
      </c>
      <c r="D335" s="27">
        <f>SUMIFS(Base_Analise!$U$2:$U$4546,Base_Analise!$J$2:$J$4546,A335,Base_Analise!$I$2:$I$4546,"Entregue")</f>
        <v/>
      </c>
      <c r="E335" s="27">
        <f>SUMIFS(Base_Analise!$W$2:$W$4546,Base_Analise!$J$2:$J$4546,A335,Base_Analise!$I$2:$I$4546,"Entregue")</f>
        <v/>
      </c>
    </row>
    <row r="336">
      <c r="A336" s="21">
        <f>Clientes!A333</f>
        <v/>
      </c>
      <c r="B336" s="21">
        <f>Clientes!B333</f>
        <v/>
      </c>
      <c r="C336" s="21">
        <f>Clientes!C333</f>
        <v/>
      </c>
      <c r="D336" s="23">
        <f>SUMIFS(Base_Analise!$U$2:$U$4546,Base_Analise!$J$2:$J$4546,A336,Base_Analise!$I$2:$I$4546,"Entregue")</f>
        <v/>
      </c>
      <c r="E336" s="23">
        <f>SUMIFS(Base_Analise!$W$2:$W$4546,Base_Analise!$J$2:$J$4546,A336,Base_Analise!$I$2:$I$4546,"Entregue")</f>
        <v/>
      </c>
    </row>
    <row r="337">
      <c r="A337" s="25">
        <f>Clientes!A334</f>
        <v/>
      </c>
      <c r="B337" s="25">
        <f>Clientes!B334</f>
        <v/>
      </c>
      <c r="C337" s="25">
        <f>Clientes!C334</f>
        <v/>
      </c>
      <c r="D337" s="27">
        <f>SUMIFS(Base_Analise!$U$2:$U$4546,Base_Analise!$J$2:$J$4546,A337,Base_Analise!$I$2:$I$4546,"Entregue")</f>
        <v/>
      </c>
      <c r="E337" s="27">
        <f>SUMIFS(Base_Analise!$W$2:$W$4546,Base_Analise!$J$2:$J$4546,A337,Base_Analise!$I$2:$I$4546,"Entregue")</f>
        <v/>
      </c>
    </row>
    <row r="338">
      <c r="A338" s="21">
        <f>Clientes!A335</f>
        <v/>
      </c>
      <c r="B338" s="21">
        <f>Clientes!B335</f>
        <v/>
      </c>
      <c r="C338" s="21">
        <f>Clientes!C335</f>
        <v/>
      </c>
      <c r="D338" s="23">
        <f>SUMIFS(Base_Analise!$U$2:$U$4546,Base_Analise!$J$2:$J$4546,A338,Base_Analise!$I$2:$I$4546,"Entregue")</f>
        <v/>
      </c>
      <c r="E338" s="23">
        <f>SUMIFS(Base_Analise!$W$2:$W$4546,Base_Analise!$J$2:$J$4546,A338,Base_Analise!$I$2:$I$4546,"Entregue")</f>
        <v/>
      </c>
    </row>
    <row r="339">
      <c r="A339" s="25">
        <f>Clientes!A336</f>
        <v/>
      </c>
      <c r="B339" s="25">
        <f>Clientes!B336</f>
        <v/>
      </c>
      <c r="C339" s="25">
        <f>Clientes!C336</f>
        <v/>
      </c>
      <c r="D339" s="27">
        <f>SUMIFS(Base_Analise!$U$2:$U$4546,Base_Analise!$J$2:$J$4546,A339,Base_Analise!$I$2:$I$4546,"Entregue")</f>
        <v/>
      </c>
      <c r="E339" s="27">
        <f>SUMIFS(Base_Analise!$W$2:$W$4546,Base_Analise!$J$2:$J$4546,A339,Base_Analise!$I$2:$I$4546,"Entregue")</f>
        <v/>
      </c>
    </row>
    <row r="340">
      <c r="A340" s="21">
        <f>Clientes!A337</f>
        <v/>
      </c>
      <c r="B340" s="21">
        <f>Clientes!B337</f>
        <v/>
      </c>
      <c r="C340" s="21">
        <f>Clientes!C337</f>
        <v/>
      </c>
      <c r="D340" s="23">
        <f>SUMIFS(Base_Analise!$U$2:$U$4546,Base_Analise!$J$2:$J$4546,A340,Base_Analise!$I$2:$I$4546,"Entregue")</f>
        <v/>
      </c>
      <c r="E340" s="23">
        <f>SUMIFS(Base_Analise!$W$2:$W$4546,Base_Analise!$J$2:$J$4546,A340,Base_Analise!$I$2:$I$4546,"Entregue")</f>
        <v/>
      </c>
    </row>
    <row r="341">
      <c r="A341" s="25">
        <f>Clientes!A338</f>
        <v/>
      </c>
      <c r="B341" s="25">
        <f>Clientes!B338</f>
        <v/>
      </c>
      <c r="C341" s="25">
        <f>Clientes!C338</f>
        <v/>
      </c>
      <c r="D341" s="27">
        <f>SUMIFS(Base_Analise!$U$2:$U$4546,Base_Analise!$J$2:$J$4546,A341,Base_Analise!$I$2:$I$4546,"Entregue")</f>
        <v/>
      </c>
      <c r="E341" s="27">
        <f>SUMIFS(Base_Analise!$W$2:$W$4546,Base_Analise!$J$2:$J$4546,A341,Base_Analise!$I$2:$I$4546,"Entregue")</f>
        <v/>
      </c>
    </row>
    <row r="342">
      <c r="A342" s="21">
        <f>Clientes!A339</f>
        <v/>
      </c>
      <c r="B342" s="21">
        <f>Clientes!B339</f>
        <v/>
      </c>
      <c r="C342" s="21">
        <f>Clientes!C339</f>
        <v/>
      </c>
      <c r="D342" s="23">
        <f>SUMIFS(Base_Analise!$U$2:$U$4546,Base_Analise!$J$2:$J$4546,A342,Base_Analise!$I$2:$I$4546,"Entregue")</f>
        <v/>
      </c>
      <c r="E342" s="23">
        <f>SUMIFS(Base_Analise!$W$2:$W$4546,Base_Analise!$J$2:$J$4546,A342,Base_Analise!$I$2:$I$4546,"Entregue")</f>
        <v/>
      </c>
    </row>
    <row r="343">
      <c r="A343" s="25">
        <f>Clientes!A340</f>
        <v/>
      </c>
      <c r="B343" s="25">
        <f>Clientes!B340</f>
        <v/>
      </c>
      <c r="C343" s="25">
        <f>Clientes!C340</f>
        <v/>
      </c>
      <c r="D343" s="27">
        <f>SUMIFS(Base_Analise!$U$2:$U$4546,Base_Analise!$J$2:$J$4546,A343,Base_Analise!$I$2:$I$4546,"Entregue")</f>
        <v/>
      </c>
      <c r="E343" s="27">
        <f>SUMIFS(Base_Analise!$W$2:$W$4546,Base_Analise!$J$2:$J$4546,A343,Base_Analise!$I$2:$I$4546,"Entregue")</f>
        <v/>
      </c>
    </row>
    <row r="344">
      <c r="A344" s="21">
        <f>Clientes!A341</f>
        <v/>
      </c>
      <c r="B344" s="21">
        <f>Clientes!B341</f>
        <v/>
      </c>
      <c r="C344" s="21">
        <f>Clientes!C341</f>
        <v/>
      </c>
      <c r="D344" s="23">
        <f>SUMIFS(Base_Analise!$U$2:$U$4546,Base_Analise!$J$2:$J$4546,A344,Base_Analise!$I$2:$I$4546,"Entregue")</f>
        <v/>
      </c>
      <c r="E344" s="23">
        <f>SUMIFS(Base_Analise!$W$2:$W$4546,Base_Analise!$J$2:$J$4546,A344,Base_Analise!$I$2:$I$4546,"Entregue")</f>
        <v/>
      </c>
    </row>
    <row r="345">
      <c r="A345" s="25">
        <f>Clientes!A342</f>
        <v/>
      </c>
      <c r="B345" s="25">
        <f>Clientes!B342</f>
        <v/>
      </c>
      <c r="C345" s="25">
        <f>Clientes!C342</f>
        <v/>
      </c>
      <c r="D345" s="27">
        <f>SUMIFS(Base_Analise!$U$2:$U$4546,Base_Analise!$J$2:$J$4546,A345,Base_Analise!$I$2:$I$4546,"Entregue")</f>
        <v/>
      </c>
      <c r="E345" s="27">
        <f>SUMIFS(Base_Analise!$W$2:$W$4546,Base_Analise!$J$2:$J$4546,A345,Base_Analise!$I$2:$I$4546,"Entregue")</f>
        <v/>
      </c>
    </row>
    <row r="346">
      <c r="A346" s="21">
        <f>Clientes!A343</f>
        <v/>
      </c>
      <c r="B346" s="21">
        <f>Clientes!B343</f>
        <v/>
      </c>
      <c r="C346" s="21">
        <f>Clientes!C343</f>
        <v/>
      </c>
      <c r="D346" s="23">
        <f>SUMIFS(Base_Analise!$U$2:$U$4546,Base_Analise!$J$2:$J$4546,A346,Base_Analise!$I$2:$I$4546,"Entregue")</f>
        <v/>
      </c>
      <c r="E346" s="23">
        <f>SUMIFS(Base_Analise!$W$2:$W$4546,Base_Analise!$J$2:$J$4546,A346,Base_Analise!$I$2:$I$4546,"Entregue")</f>
        <v/>
      </c>
    </row>
    <row r="347">
      <c r="A347" s="25">
        <f>Clientes!A344</f>
        <v/>
      </c>
      <c r="B347" s="25">
        <f>Clientes!B344</f>
        <v/>
      </c>
      <c r="C347" s="25">
        <f>Clientes!C344</f>
        <v/>
      </c>
      <c r="D347" s="27">
        <f>SUMIFS(Base_Analise!$U$2:$U$4546,Base_Analise!$J$2:$J$4546,A347,Base_Analise!$I$2:$I$4546,"Entregue")</f>
        <v/>
      </c>
      <c r="E347" s="27">
        <f>SUMIFS(Base_Analise!$W$2:$W$4546,Base_Analise!$J$2:$J$4546,A347,Base_Analise!$I$2:$I$4546,"Entregue")</f>
        <v/>
      </c>
    </row>
    <row r="348">
      <c r="A348" s="21">
        <f>Clientes!A345</f>
        <v/>
      </c>
      <c r="B348" s="21">
        <f>Clientes!B345</f>
        <v/>
      </c>
      <c r="C348" s="21">
        <f>Clientes!C345</f>
        <v/>
      </c>
      <c r="D348" s="23">
        <f>SUMIFS(Base_Analise!$U$2:$U$4546,Base_Analise!$J$2:$J$4546,A348,Base_Analise!$I$2:$I$4546,"Entregue")</f>
        <v/>
      </c>
      <c r="E348" s="23">
        <f>SUMIFS(Base_Analise!$W$2:$W$4546,Base_Analise!$J$2:$J$4546,A348,Base_Analise!$I$2:$I$4546,"Entregue")</f>
        <v/>
      </c>
    </row>
    <row r="349">
      <c r="A349" s="25">
        <f>Clientes!A346</f>
        <v/>
      </c>
      <c r="B349" s="25">
        <f>Clientes!B346</f>
        <v/>
      </c>
      <c r="C349" s="25">
        <f>Clientes!C346</f>
        <v/>
      </c>
      <c r="D349" s="27">
        <f>SUMIFS(Base_Analise!$U$2:$U$4546,Base_Analise!$J$2:$J$4546,A349,Base_Analise!$I$2:$I$4546,"Entregue")</f>
        <v/>
      </c>
      <c r="E349" s="27">
        <f>SUMIFS(Base_Analise!$W$2:$W$4546,Base_Analise!$J$2:$J$4546,A349,Base_Analise!$I$2:$I$4546,"Entregue")</f>
        <v/>
      </c>
    </row>
    <row r="350">
      <c r="A350" s="21">
        <f>Clientes!A347</f>
        <v/>
      </c>
      <c r="B350" s="21">
        <f>Clientes!B347</f>
        <v/>
      </c>
      <c r="C350" s="21">
        <f>Clientes!C347</f>
        <v/>
      </c>
      <c r="D350" s="23">
        <f>SUMIFS(Base_Analise!$U$2:$U$4546,Base_Analise!$J$2:$J$4546,A350,Base_Analise!$I$2:$I$4546,"Entregue")</f>
        <v/>
      </c>
      <c r="E350" s="23">
        <f>SUMIFS(Base_Analise!$W$2:$W$4546,Base_Analise!$J$2:$J$4546,A350,Base_Analise!$I$2:$I$4546,"Entregue")</f>
        <v/>
      </c>
    </row>
    <row r="351">
      <c r="A351" s="25">
        <f>Clientes!A348</f>
        <v/>
      </c>
      <c r="B351" s="25">
        <f>Clientes!B348</f>
        <v/>
      </c>
      <c r="C351" s="25">
        <f>Clientes!C348</f>
        <v/>
      </c>
      <c r="D351" s="27">
        <f>SUMIFS(Base_Analise!$U$2:$U$4546,Base_Analise!$J$2:$J$4546,A351,Base_Analise!$I$2:$I$4546,"Entregue")</f>
        <v/>
      </c>
      <c r="E351" s="27">
        <f>SUMIFS(Base_Analise!$W$2:$W$4546,Base_Analise!$J$2:$J$4546,A351,Base_Analise!$I$2:$I$4546,"Entregue")</f>
        <v/>
      </c>
    </row>
    <row r="352">
      <c r="A352" s="21">
        <f>Clientes!A349</f>
        <v/>
      </c>
      <c r="B352" s="21">
        <f>Clientes!B349</f>
        <v/>
      </c>
      <c r="C352" s="21">
        <f>Clientes!C349</f>
        <v/>
      </c>
      <c r="D352" s="23">
        <f>SUMIFS(Base_Analise!$U$2:$U$4546,Base_Analise!$J$2:$J$4546,A352,Base_Analise!$I$2:$I$4546,"Entregue")</f>
        <v/>
      </c>
      <c r="E352" s="23">
        <f>SUMIFS(Base_Analise!$W$2:$W$4546,Base_Analise!$J$2:$J$4546,A352,Base_Analise!$I$2:$I$4546,"Entregue")</f>
        <v/>
      </c>
    </row>
    <row r="353">
      <c r="A353" s="25">
        <f>Clientes!A350</f>
        <v/>
      </c>
      <c r="B353" s="25">
        <f>Clientes!B350</f>
        <v/>
      </c>
      <c r="C353" s="25">
        <f>Clientes!C350</f>
        <v/>
      </c>
      <c r="D353" s="27">
        <f>SUMIFS(Base_Analise!$U$2:$U$4546,Base_Analise!$J$2:$J$4546,A353,Base_Analise!$I$2:$I$4546,"Entregue")</f>
        <v/>
      </c>
      <c r="E353" s="27">
        <f>SUMIFS(Base_Analise!$W$2:$W$4546,Base_Analise!$J$2:$J$4546,A353,Base_Analise!$I$2:$I$4546,"Entregue")</f>
        <v/>
      </c>
    </row>
    <row r="354">
      <c r="A354" s="21">
        <f>Clientes!A351</f>
        <v/>
      </c>
      <c r="B354" s="21">
        <f>Clientes!B351</f>
        <v/>
      </c>
      <c r="C354" s="21">
        <f>Clientes!C351</f>
        <v/>
      </c>
      <c r="D354" s="23">
        <f>SUMIFS(Base_Analise!$U$2:$U$4546,Base_Analise!$J$2:$J$4546,A354,Base_Analise!$I$2:$I$4546,"Entregue")</f>
        <v/>
      </c>
      <c r="E354" s="23">
        <f>SUMIFS(Base_Analise!$W$2:$W$4546,Base_Analise!$J$2:$J$4546,A354,Base_Analise!$I$2:$I$4546,"Entregue")</f>
        <v/>
      </c>
    </row>
  </sheetData>
  <autoFilter ref="A4:E354"/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20" customWidth="1" min="4" max="4"/>
  </cols>
  <sheetData>
    <row r="1" ht="36" customHeight="1">
      <c r="A1" s="8" t="inlineStr">
        <is>
          <t>PAGAMENTOS E DESCONTOS</t>
        </is>
      </c>
    </row>
    <row r="2" ht="24" customHeight="1">
      <c r="A2" s="9" t="inlineStr">
        <is>
          <t>Formas de pagamento e descontos por mês. Pedidos entregues são destacados separadamente.</t>
        </is>
      </c>
    </row>
    <row r="4" ht="30" customHeight="1">
      <c r="A4" s="20" t="inlineStr">
        <is>
          <t>Forma de Pagamento</t>
        </is>
      </c>
      <c r="B4" s="20" t="inlineStr">
        <is>
          <t>Todos os Pedidos</t>
        </is>
      </c>
      <c r="C4" s="20" t="inlineStr">
        <is>
          <t>Pedidos Entregues</t>
        </is>
      </c>
      <c r="D4" s="20" t="inlineStr">
        <is>
          <t>Receita Líquida Entregue</t>
        </is>
      </c>
    </row>
    <row r="5">
      <c r="A5" s="25" t="inlineStr">
        <is>
          <t>Boleto</t>
        </is>
      </c>
      <c r="B5" s="25">
        <f>COUNTIF(Pedidos!$F$2:$F$1801,A5)</f>
        <v/>
      </c>
      <c r="C5" s="25">
        <f>COUNTIFS(Pedidos!$F$2:$F$1801,A5,Pedidos!$E$2:$E$1801,"Entregue")</f>
        <v/>
      </c>
      <c r="D5" s="27">
        <f>SUMIFS(Base_Analise!$U$2:$U$4546,Base_Analise!$L$2:$L$4546,A5,Base_Analise!$I$2:$I$4546,"Entregue")</f>
        <v/>
      </c>
    </row>
    <row r="6">
      <c r="A6" s="21" t="inlineStr">
        <is>
          <t>Cartão de crédito</t>
        </is>
      </c>
      <c r="B6" s="21">
        <f>COUNTIF(Pedidos!$F$2:$F$1801,A6)</f>
        <v/>
      </c>
      <c r="C6" s="21">
        <f>COUNTIFS(Pedidos!$F$2:$F$1801,A6,Pedidos!$E$2:$E$1801,"Entregue")</f>
        <v/>
      </c>
      <c r="D6" s="23">
        <f>SUMIFS(Base_Analise!$U$2:$U$4546,Base_Analise!$L$2:$L$4546,A6,Base_Analise!$I$2:$I$4546,"Entregue")</f>
        <v/>
      </c>
    </row>
    <row r="7">
      <c r="A7" s="25" t="inlineStr">
        <is>
          <t>Cartão de débito</t>
        </is>
      </c>
      <c r="B7" s="25">
        <f>COUNTIF(Pedidos!$F$2:$F$1801,A7)</f>
        <v/>
      </c>
      <c r="C7" s="25">
        <f>COUNTIFS(Pedidos!$F$2:$F$1801,A7,Pedidos!$E$2:$E$1801,"Entregue")</f>
        <v/>
      </c>
      <c r="D7" s="27">
        <f>SUMIFS(Base_Analise!$U$2:$U$4546,Base_Analise!$L$2:$L$4546,A7,Base_Analise!$I$2:$I$4546,"Entregue")</f>
        <v/>
      </c>
    </row>
    <row r="8">
      <c r="A8" s="21" t="inlineStr">
        <is>
          <t>Pix</t>
        </is>
      </c>
      <c r="B8" s="21">
        <f>COUNTIF(Pedidos!$F$2:$F$1801,A8)</f>
        <v/>
      </c>
      <c r="C8" s="21">
        <f>COUNTIFS(Pedidos!$F$2:$F$1801,A8,Pedidos!$E$2:$E$1801,"Entregue")</f>
        <v/>
      </c>
      <c r="D8" s="23">
        <f>SUMIFS(Base_Analise!$U$2:$U$4546,Base_Analise!$L$2:$L$4546,A8,Base_Analise!$I$2:$I$4546,"Entregue")</f>
        <v/>
      </c>
    </row>
    <row r="9">
      <c r="A9" s="25" t="inlineStr">
        <is>
          <t>Transferência</t>
        </is>
      </c>
      <c r="B9" s="25">
        <f>COUNTIF(Pedidos!$F$2:$F$1801,A9)</f>
        <v/>
      </c>
      <c r="C9" s="25">
        <f>COUNTIFS(Pedidos!$F$2:$F$1801,A9,Pedidos!$E$2:$E$1801,"Entregue")</f>
        <v/>
      </c>
      <c r="D9" s="27">
        <f>SUMIFS(Base_Analise!$U$2:$U$4546,Base_Analise!$L$2:$L$4546,A9,Base_Analise!$I$2:$I$4546,"Entregue")</f>
        <v/>
      </c>
    </row>
    <row r="12" ht="30" customHeight="1">
      <c r="A12" s="20" t="inlineStr">
        <is>
          <t>Mês/Ano</t>
        </is>
      </c>
      <c r="B12" s="20" t="inlineStr">
        <is>
          <t>Desconto em Itens</t>
        </is>
      </c>
      <c r="C12" s="20" t="inlineStr">
        <is>
          <t>Desconto em Pedidos</t>
        </is>
      </c>
      <c r="D12" s="20" t="inlineStr">
        <is>
          <t>Descontos Totais</t>
        </is>
      </c>
      <c r="E12" s="20" t="inlineStr">
        <is>
          <t>Faturamento Bruto</t>
        </is>
      </c>
      <c r="F12" s="20" t="inlineStr">
        <is>
          <t>Receita Líquida</t>
        </is>
      </c>
    </row>
    <row r="13">
      <c r="A13" s="33">
        <f>Resumo_Mensal!I5</f>
        <v/>
      </c>
      <c r="B13" s="34">
        <f>SUMIFS(Base_Analise!$S$2:$S$4546,Base_Analise!$G$2:$G$4546,Resumo_Mensal!A5,Base_Analise!$H$2:$H$4546,Resumo_Mensal!B5,Base_Analise!$I$2:$I$4546,"Entregue")</f>
        <v/>
      </c>
      <c r="C13" s="34">
        <f>SUMIFS(Base_Analise!$T$2:$T$4546,Base_Analise!$G$2:$G$4546,Resumo_Mensal!A5,Base_Analise!$H$2:$H$4546,Resumo_Mensal!B5,Base_Analise!$I$2:$I$4546,"Entregue")</f>
        <v/>
      </c>
      <c r="D13" s="34">
        <f>B13+C13</f>
        <v/>
      </c>
      <c r="E13" s="34">
        <f>Resumo_Mensal!C5</f>
        <v/>
      </c>
      <c r="F13" s="34">
        <f>Resumo_Mensal!E5</f>
        <v/>
      </c>
    </row>
    <row r="14">
      <c r="A14" s="33">
        <f>Resumo_Mensal!I6</f>
        <v/>
      </c>
      <c r="B14" s="34">
        <f>SUMIFS(Base_Analise!$S$2:$S$4546,Base_Analise!$G$2:$G$4546,Resumo_Mensal!A6,Base_Analise!$H$2:$H$4546,Resumo_Mensal!B6,Base_Analise!$I$2:$I$4546,"Entregue")</f>
        <v/>
      </c>
      <c r="C14" s="34">
        <f>SUMIFS(Base_Analise!$T$2:$T$4546,Base_Analise!$G$2:$G$4546,Resumo_Mensal!A6,Base_Analise!$H$2:$H$4546,Resumo_Mensal!B6,Base_Analise!$I$2:$I$4546,"Entregue")</f>
        <v/>
      </c>
      <c r="D14" s="34">
        <f>B14+C14</f>
        <v/>
      </c>
      <c r="E14" s="34">
        <f>Resumo_Mensal!C6</f>
        <v/>
      </c>
      <c r="F14" s="34">
        <f>Resumo_Mensal!E6</f>
        <v/>
      </c>
    </row>
    <row r="15">
      <c r="A15" s="33">
        <f>Resumo_Mensal!I7</f>
        <v/>
      </c>
      <c r="B15" s="34">
        <f>SUMIFS(Base_Analise!$S$2:$S$4546,Base_Analise!$G$2:$G$4546,Resumo_Mensal!A7,Base_Analise!$H$2:$H$4546,Resumo_Mensal!B7,Base_Analise!$I$2:$I$4546,"Entregue")</f>
        <v/>
      </c>
      <c r="C15" s="34">
        <f>SUMIFS(Base_Analise!$T$2:$T$4546,Base_Analise!$G$2:$G$4546,Resumo_Mensal!A7,Base_Analise!$H$2:$H$4546,Resumo_Mensal!B7,Base_Analise!$I$2:$I$4546,"Entregue")</f>
        <v/>
      </c>
      <c r="D15" s="34">
        <f>B15+C15</f>
        <v/>
      </c>
      <c r="E15" s="34">
        <f>Resumo_Mensal!C7</f>
        <v/>
      </c>
      <c r="F15" s="34">
        <f>Resumo_Mensal!E7</f>
        <v/>
      </c>
    </row>
    <row r="16">
      <c r="A16" s="33">
        <f>Resumo_Mensal!I8</f>
        <v/>
      </c>
      <c r="B16" s="34">
        <f>SUMIFS(Base_Analise!$S$2:$S$4546,Base_Analise!$G$2:$G$4546,Resumo_Mensal!A8,Base_Analise!$H$2:$H$4546,Resumo_Mensal!B8,Base_Analise!$I$2:$I$4546,"Entregue")</f>
        <v/>
      </c>
      <c r="C16" s="34">
        <f>SUMIFS(Base_Analise!$T$2:$T$4546,Base_Analise!$G$2:$G$4546,Resumo_Mensal!A8,Base_Analise!$H$2:$H$4546,Resumo_Mensal!B8,Base_Analise!$I$2:$I$4546,"Entregue")</f>
        <v/>
      </c>
      <c r="D16" s="34">
        <f>B16+C16</f>
        <v/>
      </c>
      <c r="E16" s="34">
        <f>Resumo_Mensal!C8</f>
        <v/>
      </c>
      <c r="F16" s="34">
        <f>Resumo_Mensal!E8</f>
        <v/>
      </c>
    </row>
    <row r="17">
      <c r="A17" s="33">
        <f>Resumo_Mensal!I9</f>
        <v/>
      </c>
      <c r="B17" s="34">
        <f>SUMIFS(Base_Analise!$S$2:$S$4546,Base_Analise!$G$2:$G$4546,Resumo_Mensal!A9,Base_Analise!$H$2:$H$4546,Resumo_Mensal!B9,Base_Analise!$I$2:$I$4546,"Entregue")</f>
        <v/>
      </c>
      <c r="C17" s="34">
        <f>SUMIFS(Base_Analise!$T$2:$T$4546,Base_Analise!$G$2:$G$4546,Resumo_Mensal!A9,Base_Analise!$H$2:$H$4546,Resumo_Mensal!B9,Base_Analise!$I$2:$I$4546,"Entregue")</f>
        <v/>
      </c>
      <c r="D17" s="34">
        <f>B17+C17</f>
        <v/>
      </c>
      <c r="E17" s="34">
        <f>Resumo_Mensal!C9</f>
        <v/>
      </c>
      <c r="F17" s="34">
        <f>Resumo_Mensal!E9</f>
        <v/>
      </c>
    </row>
    <row r="18">
      <c r="A18" s="33">
        <f>Resumo_Mensal!I10</f>
        <v/>
      </c>
      <c r="B18" s="34">
        <f>SUMIFS(Base_Analise!$S$2:$S$4546,Base_Analise!$G$2:$G$4546,Resumo_Mensal!A10,Base_Analise!$H$2:$H$4546,Resumo_Mensal!B10,Base_Analise!$I$2:$I$4546,"Entregue")</f>
        <v/>
      </c>
      <c r="C18" s="34">
        <f>SUMIFS(Base_Analise!$T$2:$T$4546,Base_Analise!$G$2:$G$4546,Resumo_Mensal!A10,Base_Analise!$H$2:$H$4546,Resumo_Mensal!B10,Base_Analise!$I$2:$I$4546,"Entregue")</f>
        <v/>
      </c>
      <c r="D18" s="34">
        <f>B18+C18</f>
        <v/>
      </c>
      <c r="E18" s="34">
        <f>Resumo_Mensal!C10</f>
        <v/>
      </c>
      <c r="F18" s="34">
        <f>Resumo_Mensal!E10</f>
        <v/>
      </c>
    </row>
    <row r="19">
      <c r="A19" s="33">
        <f>Resumo_Mensal!I11</f>
        <v/>
      </c>
      <c r="B19" s="34">
        <f>SUMIFS(Base_Analise!$S$2:$S$4546,Base_Analise!$G$2:$G$4546,Resumo_Mensal!A11,Base_Analise!$H$2:$H$4546,Resumo_Mensal!B11,Base_Analise!$I$2:$I$4546,"Entregue")</f>
        <v/>
      </c>
      <c r="C19" s="34">
        <f>SUMIFS(Base_Analise!$T$2:$T$4546,Base_Analise!$G$2:$G$4546,Resumo_Mensal!A11,Base_Analise!$H$2:$H$4546,Resumo_Mensal!B11,Base_Analise!$I$2:$I$4546,"Entregue")</f>
        <v/>
      </c>
      <c r="D19" s="34">
        <f>B19+C19</f>
        <v/>
      </c>
      <c r="E19" s="34">
        <f>Resumo_Mensal!C11</f>
        <v/>
      </c>
      <c r="F19" s="34">
        <f>Resumo_Mensal!E11</f>
        <v/>
      </c>
    </row>
    <row r="20">
      <c r="A20" s="33">
        <f>Resumo_Mensal!I12</f>
        <v/>
      </c>
      <c r="B20" s="34">
        <f>SUMIFS(Base_Analise!$S$2:$S$4546,Base_Analise!$G$2:$G$4546,Resumo_Mensal!A12,Base_Analise!$H$2:$H$4546,Resumo_Mensal!B12,Base_Analise!$I$2:$I$4546,"Entregue")</f>
        <v/>
      </c>
      <c r="C20" s="34">
        <f>SUMIFS(Base_Analise!$T$2:$T$4546,Base_Analise!$G$2:$G$4546,Resumo_Mensal!A12,Base_Analise!$H$2:$H$4546,Resumo_Mensal!B12,Base_Analise!$I$2:$I$4546,"Entregue")</f>
        <v/>
      </c>
      <c r="D20" s="34">
        <f>B20+C20</f>
        <v/>
      </c>
      <c r="E20" s="34">
        <f>Resumo_Mensal!C12</f>
        <v/>
      </c>
      <c r="F20" s="34">
        <f>Resumo_Mensal!E12</f>
        <v/>
      </c>
    </row>
    <row r="21">
      <c r="A21" s="33">
        <f>Resumo_Mensal!I13</f>
        <v/>
      </c>
      <c r="B21" s="34">
        <f>SUMIFS(Base_Analise!$S$2:$S$4546,Base_Analise!$G$2:$G$4546,Resumo_Mensal!A13,Base_Analise!$H$2:$H$4546,Resumo_Mensal!B13,Base_Analise!$I$2:$I$4546,"Entregue")</f>
        <v/>
      </c>
      <c r="C21" s="34">
        <f>SUMIFS(Base_Analise!$T$2:$T$4546,Base_Analise!$G$2:$G$4546,Resumo_Mensal!A13,Base_Analise!$H$2:$H$4546,Resumo_Mensal!B13,Base_Analise!$I$2:$I$4546,"Entregue")</f>
        <v/>
      </c>
      <c r="D21" s="34">
        <f>B21+C21</f>
        <v/>
      </c>
      <c r="E21" s="34">
        <f>Resumo_Mensal!C13</f>
        <v/>
      </c>
      <c r="F21" s="34">
        <f>Resumo_Mensal!E13</f>
        <v/>
      </c>
    </row>
    <row r="22">
      <c r="A22" s="33">
        <f>Resumo_Mensal!I14</f>
        <v/>
      </c>
      <c r="B22" s="34">
        <f>SUMIFS(Base_Analise!$S$2:$S$4546,Base_Analise!$G$2:$G$4546,Resumo_Mensal!A14,Base_Analise!$H$2:$H$4546,Resumo_Mensal!B14,Base_Analise!$I$2:$I$4546,"Entregue")</f>
        <v/>
      </c>
      <c r="C22" s="34">
        <f>SUMIFS(Base_Analise!$T$2:$T$4546,Base_Analise!$G$2:$G$4546,Resumo_Mensal!A14,Base_Analise!$H$2:$H$4546,Resumo_Mensal!B14,Base_Analise!$I$2:$I$4546,"Entregue")</f>
        <v/>
      </c>
      <c r="D22" s="34">
        <f>B22+C22</f>
        <v/>
      </c>
      <c r="E22" s="34">
        <f>Resumo_Mensal!C14</f>
        <v/>
      </c>
      <c r="F22" s="34">
        <f>Resumo_Mensal!E14</f>
        <v/>
      </c>
    </row>
    <row r="23">
      <c r="A23" s="33">
        <f>Resumo_Mensal!I15</f>
        <v/>
      </c>
      <c r="B23" s="34">
        <f>SUMIFS(Base_Analise!$S$2:$S$4546,Base_Analise!$G$2:$G$4546,Resumo_Mensal!A15,Base_Analise!$H$2:$H$4546,Resumo_Mensal!B15,Base_Analise!$I$2:$I$4546,"Entregue")</f>
        <v/>
      </c>
      <c r="C23" s="34">
        <f>SUMIFS(Base_Analise!$T$2:$T$4546,Base_Analise!$G$2:$G$4546,Resumo_Mensal!A15,Base_Analise!$H$2:$H$4546,Resumo_Mensal!B15,Base_Analise!$I$2:$I$4546,"Entregue")</f>
        <v/>
      </c>
      <c r="D23" s="34">
        <f>B23+C23</f>
        <v/>
      </c>
      <c r="E23" s="34">
        <f>Resumo_Mensal!C15</f>
        <v/>
      </c>
      <c r="F23" s="34">
        <f>Resumo_Mensal!E15</f>
        <v/>
      </c>
    </row>
    <row r="24">
      <c r="A24" s="33">
        <f>Resumo_Mensal!I16</f>
        <v/>
      </c>
      <c r="B24" s="34">
        <f>SUMIFS(Base_Analise!$S$2:$S$4546,Base_Analise!$G$2:$G$4546,Resumo_Mensal!A16,Base_Analise!$H$2:$H$4546,Resumo_Mensal!B16,Base_Analise!$I$2:$I$4546,"Entregue")</f>
        <v/>
      </c>
      <c r="C24" s="34">
        <f>SUMIFS(Base_Analise!$T$2:$T$4546,Base_Analise!$G$2:$G$4546,Resumo_Mensal!A16,Base_Analise!$H$2:$H$4546,Resumo_Mensal!B16,Base_Analise!$I$2:$I$4546,"Entregue")</f>
        <v/>
      </c>
      <c r="D24" s="34">
        <f>B24+C24</f>
        <v/>
      </c>
      <c r="E24" s="34">
        <f>Resumo_Mensal!C16</f>
        <v/>
      </c>
      <c r="F24" s="34">
        <f>Resumo_Mensal!E16</f>
        <v/>
      </c>
    </row>
    <row r="25">
      <c r="A25" s="33">
        <f>Resumo_Mensal!I17</f>
        <v/>
      </c>
      <c r="B25" s="34">
        <f>SUMIFS(Base_Analise!$S$2:$S$4546,Base_Analise!$G$2:$G$4546,Resumo_Mensal!A17,Base_Analise!$H$2:$H$4546,Resumo_Mensal!B17,Base_Analise!$I$2:$I$4546,"Entregue")</f>
        <v/>
      </c>
      <c r="C25" s="34">
        <f>SUMIFS(Base_Analise!$T$2:$T$4546,Base_Analise!$G$2:$G$4546,Resumo_Mensal!A17,Base_Analise!$H$2:$H$4546,Resumo_Mensal!B17,Base_Analise!$I$2:$I$4546,"Entregue")</f>
        <v/>
      </c>
      <c r="D25" s="34">
        <f>B25+C25</f>
        <v/>
      </c>
      <c r="E25" s="34">
        <f>Resumo_Mensal!C17</f>
        <v/>
      </c>
      <c r="F25" s="34">
        <f>Resumo_Mensal!E17</f>
        <v/>
      </c>
    </row>
    <row r="26">
      <c r="A26" s="33">
        <f>Resumo_Mensal!I18</f>
        <v/>
      </c>
      <c r="B26" s="34">
        <f>SUMIFS(Base_Analise!$S$2:$S$4546,Base_Analise!$G$2:$G$4546,Resumo_Mensal!A18,Base_Analise!$H$2:$H$4546,Resumo_Mensal!B18,Base_Analise!$I$2:$I$4546,"Entregue")</f>
        <v/>
      </c>
      <c r="C26" s="34">
        <f>SUMIFS(Base_Analise!$T$2:$T$4546,Base_Analise!$G$2:$G$4546,Resumo_Mensal!A18,Base_Analise!$H$2:$H$4546,Resumo_Mensal!B18,Base_Analise!$I$2:$I$4546,"Entregue")</f>
        <v/>
      </c>
      <c r="D26" s="34">
        <f>B26+C26</f>
        <v/>
      </c>
      <c r="E26" s="34">
        <f>Resumo_Mensal!C18</f>
        <v/>
      </c>
      <c r="F26" s="34">
        <f>Resumo_Mensal!E18</f>
        <v/>
      </c>
    </row>
    <row r="27">
      <c r="A27" s="33">
        <f>Resumo_Mensal!I19</f>
        <v/>
      </c>
      <c r="B27" s="34">
        <f>SUMIFS(Base_Analise!$S$2:$S$4546,Base_Analise!$G$2:$G$4546,Resumo_Mensal!A19,Base_Analise!$H$2:$H$4546,Resumo_Mensal!B19,Base_Analise!$I$2:$I$4546,"Entregue")</f>
        <v/>
      </c>
      <c r="C27" s="34">
        <f>SUMIFS(Base_Analise!$T$2:$T$4546,Base_Analise!$G$2:$G$4546,Resumo_Mensal!A19,Base_Analise!$H$2:$H$4546,Resumo_Mensal!B19,Base_Analise!$I$2:$I$4546,"Entregue")</f>
        <v/>
      </c>
      <c r="D27" s="34">
        <f>B27+C27</f>
        <v/>
      </c>
      <c r="E27" s="34">
        <f>Resumo_Mensal!C19</f>
        <v/>
      </c>
      <c r="F27" s="34">
        <f>Resumo_Mensal!E19</f>
        <v/>
      </c>
    </row>
    <row r="28">
      <c r="A28" s="33">
        <f>Resumo_Mensal!I20</f>
        <v/>
      </c>
      <c r="B28" s="34">
        <f>SUMIFS(Base_Analise!$S$2:$S$4546,Base_Analise!$G$2:$G$4546,Resumo_Mensal!A20,Base_Analise!$H$2:$H$4546,Resumo_Mensal!B20,Base_Analise!$I$2:$I$4546,"Entregue")</f>
        <v/>
      </c>
      <c r="C28" s="34">
        <f>SUMIFS(Base_Analise!$T$2:$T$4546,Base_Analise!$G$2:$G$4546,Resumo_Mensal!A20,Base_Analise!$H$2:$H$4546,Resumo_Mensal!B20,Base_Analise!$I$2:$I$4546,"Entregue")</f>
        <v/>
      </c>
      <c r="D28" s="34">
        <f>B28+C28</f>
        <v/>
      </c>
      <c r="E28" s="34">
        <f>Resumo_Mensal!C20</f>
        <v/>
      </c>
      <c r="F28" s="34">
        <f>Resumo_Mensal!E20</f>
        <v/>
      </c>
    </row>
    <row r="29">
      <c r="A29" s="33">
        <f>Resumo_Mensal!I21</f>
        <v/>
      </c>
      <c r="B29" s="34">
        <f>SUMIFS(Base_Analise!$S$2:$S$4546,Base_Analise!$G$2:$G$4546,Resumo_Mensal!A21,Base_Analise!$H$2:$H$4546,Resumo_Mensal!B21,Base_Analise!$I$2:$I$4546,"Entregue")</f>
        <v/>
      </c>
      <c r="C29" s="34">
        <f>SUMIFS(Base_Analise!$T$2:$T$4546,Base_Analise!$G$2:$G$4546,Resumo_Mensal!A21,Base_Analise!$H$2:$H$4546,Resumo_Mensal!B21,Base_Analise!$I$2:$I$4546,"Entregue")</f>
        <v/>
      </c>
      <c r="D29" s="34">
        <f>B29+C29</f>
        <v/>
      </c>
      <c r="E29" s="34">
        <f>Resumo_Mensal!C21</f>
        <v/>
      </c>
      <c r="F29" s="34">
        <f>Resumo_Mensal!E21</f>
        <v/>
      </c>
    </row>
    <row r="30">
      <c r="A30" s="33">
        <f>Resumo_Mensal!I22</f>
        <v/>
      </c>
      <c r="B30" s="34">
        <f>SUMIFS(Base_Analise!$S$2:$S$4546,Base_Analise!$G$2:$G$4546,Resumo_Mensal!A22,Base_Analise!$H$2:$H$4546,Resumo_Mensal!B22,Base_Analise!$I$2:$I$4546,"Entregue")</f>
        <v/>
      </c>
      <c r="C30" s="34">
        <f>SUMIFS(Base_Analise!$T$2:$T$4546,Base_Analise!$G$2:$G$4546,Resumo_Mensal!A22,Base_Analise!$H$2:$H$4546,Resumo_Mensal!B22,Base_Analise!$I$2:$I$4546,"Entregue")</f>
        <v/>
      </c>
      <c r="D30" s="34">
        <f>B30+C30</f>
        <v/>
      </c>
      <c r="E30" s="34">
        <f>Resumo_Mensal!C22</f>
        <v/>
      </c>
      <c r="F30" s="34">
        <f>Resumo_Mensal!E22</f>
        <v/>
      </c>
    </row>
    <row r="31">
      <c r="A31" s="33">
        <f>Resumo_Mensal!I23</f>
        <v/>
      </c>
      <c r="B31" s="34">
        <f>SUMIFS(Base_Analise!$S$2:$S$4546,Base_Analise!$G$2:$G$4546,Resumo_Mensal!A23,Base_Analise!$H$2:$H$4546,Resumo_Mensal!B23,Base_Analise!$I$2:$I$4546,"Entregue")</f>
        <v/>
      </c>
      <c r="C31" s="34">
        <f>SUMIFS(Base_Analise!$T$2:$T$4546,Base_Analise!$G$2:$G$4546,Resumo_Mensal!A23,Base_Analise!$H$2:$H$4546,Resumo_Mensal!B23,Base_Analise!$I$2:$I$4546,"Entregue")</f>
        <v/>
      </c>
      <c r="D31" s="34">
        <f>B31+C31</f>
        <v/>
      </c>
      <c r="E31" s="34">
        <f>Resumo_Mensal!C23</f>
        <v/>
      </c>
      <c r="F31" s="34">
        <f>Resumo_Mensal!E23</f>
        <v/>
      </c>
    </row>
    <row r="32">
      <c r="A32" s="33">
        <f>Resumo_Mensal!I24</f>
        <v/>
      </c>
      <c r="B32" s="34">
        <f>SUMIFS(Base_Analise!$S$2:$S$4546,Base_Analise!$G$2:$G$4546,Resumo_Mensal!A24,Base_Analise!$H$2:$H$4546,Resumo_Mensal!B24,Base_Analise!$I$2:$I$4546,"Entregue")</f>
        <v/>
      </c>
      <c r="C32" s="34">
        <f>SUMIFS(Base_Analise!$T$2:$T$4546,Base_Analise!$G$2:$G$4546,Resumo_Mensal!A24,Base_Analise!$H$2:$H$4546,Resumo_Mensal!B24,Base_Analise!$I$2:$I$4546,"Entregue")</f>
        <v/>
      </c>
      <c r="D32" s="34">
        <f>B32+C32</f>
        <v/>
      </c>
      <c r="E32" s="34">
        <f>Resumo_Mensal!C24</f>
        <v/>
      </c>
      <c r="F32" s="34">
        <f>Resumo_Mensal!E24</f>
        <v/>
      </c>
    </row>
    <row r="33">
      <c r="A33" s="33">
        <f>Resumo_Mensal!I25</f>
        <v/>
      </c>
      <c r="B33" s="34">
        <f>SUMIFS(Base_Analise!$S$2:$S$4546,Base_Analise!$G$2:$G$4546,Resumo_Mensal!A25,Base_Analise!$H$2:$H$4546,Resumo_Mensal!B25,Base_Analise!$I$2:$I$4546,"Entregue")</f>
        <v/>
      </c>
      <c r="C33" s="34">
        <f>SUMIFS(Base_Analise!$T$2:$T$4546,Base_Analise!$G$2:$G$4546,Resumo_Mensal!A25,Base_Analise!$H$2:$H$4546,Resumo_Mensal!B25,Base_Analise!$I$2:$I$4546,"Entregue")</f>
        <v/>
      </c>
      <c r="D33" s="34">
        <f>B33+C33</f>
        <v/>
      </c>
      <c r="E33" s="34">
        <f>Resumo_Mensal!C25</f>
        <v/>
      </c>
      <c r="F33" s="34">
        <f>Resumo_Mensal!E25</f>
        <v/>
      </c>
    </row>
    <row r="34">
      <c r="A34" s="33">
        <f>Resumo_Mensal!I26</f>
        <v/>
      </c>
      <c r="B34" s="34">
        <f>SUMIFS(Base_Analise!$S$2:$S$4546,Base_Analise!$G$2:$G$4546,Resumo_Mensal!A26,Base_Analise!$H$2:$H$4546,Resumo_Mensal!B26,Base_Analise!$I$2:$I$4546,"Entregue")</f>
        <v/>
      </c>
      <c r="C34" s="34">
        <f>SUMIFS(Base_Analise!$T$2:$T$4546,Base_Analise!$G$2:$G$4546,Resumo_Mensal!A26,Base_Analise!$H$2:$H$4546,Resumo_Mensal!B26,Base_Analise!$I$2:$I$4546,"Entregue")</f>
        <v/>
      </c>
      <c r="D34" s="34">
        <f>B34+C34</f>
        <v/>
      </c>
      <c r="E34" s="34">
        <f>Resumo_Mensal!C26</f>
        <v/>
      </c>
      <c r="F34" s="34">
        <f>Resumo_Mensal!E26</f>
        <v/>
      </c>
    </row>
    <row r="35">
      <c r="A35" s="33">
        <f>Resumo_Mensal!I27</f>
        <v/>
      </c>
      <c r="B35" s="34">
        <f>SUMIFS(Base_Analise!$S$2:$S$4546,Base_Analise!$G$2:$G$4546,Resumo_Mensal!A27,Base_Analise!$H$2:$H$4546,Resumo_Mensal!B27,Base_Analise!$I$2:$I$4546,"Entregue")</f>
        <v/>
      </c>
      <c r="C35" s="34">
        <f>SUMIFS(Base_Analise!$T$2:$T$4546,Base_Analise!$G$2:$G$4546,Resumo_Mensal!A27,Base_Analise!$H$2:$H$4546,Resumo_Mensal!B27,Base_Analise!$I$2:$I$4546,"Entregue")</f>
        <v/>
      </c>
      <c r="D35" s="34">
        <f>B35+C35</f>
        <v/>
      </c>
      <c r="E35" s="34">
        <f>Resumo_Mensal!C27</f>
        <v/>
      </c>
      <c r="F35" s="34">
        <f>Resumo_Mensal!E27</f>
        <v/>
      </c>
    </row>
    <row r="36">
      <c r="A36" s="33">
        <f>Resumo_Mensal!I28</f>
        <v/>
      </c>
      <c r="B36" s="34">
        <f>SUMIFS(Base_Analise!$S$2:$S$4546,Base_Analise!$G$2:$G$4546,Resumo_Mensal!A28,Base_Analise!$H$2:$H$4546,Resumo_Mensal!B28,Base_Analise!$I$2:$I$4546,"Entregue")</f>
        <v/>
      </c>
      <c r="C36" s="34">
        <f>SUMIFS(Base_Analise!$T$2:$T$4546,Base_Analise!$G$2:$G$4546,Resumo_Mensal!A28,Base_Analise!$H$2:$H$4546,Resumo_Mensal!B28,Base_Analise!$I$2:$I$4546,"Entregue")</f>
        <v/>
      </c>
      <c r="D36" s="34">
        <f>B36+C36</f>
        <v/>
      </c>
      <c r="E36" s="34">
        <f>Resumo_Mensal!C28</f>
        <v/>
      </c>
      <c r="F36" s="34">
        <f>Resumo_Mensal!E28</f>
        <v/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8" t="inlineStr">
        <is>
          <t>CONCLUSÕES E OPORTUNIDADES</t>
        </is>
      </c>
    </row>
    <row r="2" ht="24" customHeight="1">
      <c r="A2" s="9" t="inlineStr">
        <is>
          <t>Use os resultados calculados nas abas anteriores para fundamentar as recomendações.</t>
        </is>
      </c>
    </row>
    <row r="4">
      <c r="A4" s="14" t="inlineStr">
        <is>
          <t>1. Evolução mensal</t>
        </is>
      </c>
    </row>
    <row r="5" ht="32" customHeight="1">
      <c r="A5" s="35" t="inlineStr">
        <is>
          <t>Compare Faturamento Bruto e Receita Líquida em Resumo_Mensal. Investigue meses de pico e queda antes de atribuir causas.</t>
        </is>
      </c>
    </row>
    <row r="7">
      <c r="A7" s="14" t="inlineStr">
        <is>
          <t>2. Lojas</t>
        </is>
      </c>
    </row>
    <row r="8" ht="32" customHeight="1">
      <c r="A8" s="35" t="inlineStr">
        <is>
          <t>Ordene Lojas_Metas por Receita Líquida para identificar lojas líderes e as que precisam de apoio.</t>
        </is>
      </c>
    </row>
    <row r="10">
      <c r="A10" s="14" t="inlineStr">
        <is>
          <t>3. Categorias e produtos</t>
        </is>
      </c>
    </row>
    <row r="11" ht="32" customHeight="1">
      <c r="A11" s="35" t="inlineStr">
        <is>
          <t>Ordene Categorias_Produtos por receita ou lucro; são critérios diferentes e devem ser avaliados separadamente.</t>
        </is>
      </c>
    </row>
    <row r="13">
      <c r="A13" s="14" t="inlineStr">
        <is>
          <t>4. Lucro e margem</t>
        </is>
      </c>
    </row>
    <row r="14" ht="32" customHeight="1">
      <c r="A14" s="35" t="inlineStr">
        <is>
          <t>Margem = Lucro Após Descontos ÷ Receita Líquida. Verifique se a margem alta também corresponde a lucro relevante.</t>
        </is>
      </c>
    </row>
    <row r="16">
      <c r="A16" s="14" t="inlineStr">
        <is>
          <t>5. Metas mensais</t>
        </is>
      </c>
    </row>
    <row r="17" ht="32" customHeight="1">
      <c r="A17" s="35" t="inlineStr">
        <is>
          <t>Na aba Metas_Mensais, filtre Status da Meta para Não atingida e identifique loja e mês.</t>
        </is>
      </c>
    </row>
    <row r="19">
      <c r="A19" s="14" t="inlineStr">
        <is>
          <t>6. Ticket médio</t>
        </is>
      </c>
    </row>
    <row r="20" ht="32" customHeight="1">
      <c r="A20" s="35" t="inlineStr">
        <is>
          <t>Use Receita Líquida ÷ Pedidos Entregues no mês. O total de pedidos é contado na tabela Pedidos, sem duplicar pedidos com vários itens.</t>
        </is>
      </c>
    </row>
    <row r="22">
      <c r="A22" s="14" t="inlineStr">
        <is>
          <t>7. Clientes e segmentos</t>
        </is>
      </c>
    </row>
    <row r="23" ht="32" customHeight="1">
      <c r="A23" s="35" t="inlineStr">
        <is>
          <t>Clientes_Receita inclui Segmento, pois essa coluna existe na base Excel. Ordene pela Receita Líquida.</t>
        </is>
      </c>
    </row>
    <row r="25">
      <c r="A25" s="14" t="inlineStr">
        <is>
          <t>8. Formas de pagamento</t>
        </is>
      </c>
    </row>
    <row r="26" ht="32" customHeight="1">
      <c r="A26" s="35" t="inlineStr">
        <is>
          <t>Pagamentos_Descontos compara todos os pedidos com pedidos entregues por forma de pagamento.</t>
        </is>
      </c>
    </row>
    <row r="28">
      <c r="A28" s="14" t="inlineStr">
        <is>
          <t>9. Descontos</t>
        </is>
      </c>
    </row>
    <row r="29" ht="32" customHeight="1">
      <c r="A29" s="35" t="inlineStr">
        <is>
          <t>Pagamentos_Descontos mostra descontos de item e de pedido separados. Receita líquida = faturamento bruto − descontos.</t>
        </is>
      </c>
    </row>
    <row r="31">
      <c r="A31" s="14" t="inlineStr">
        <is>
          <t>10. Próximas ações</t>
        </is>
      </c>
    </row>
    <row r="32" ht="32" customHeight="1">
      <c r="A32" s="35" t="inlineStr">
        <is>
          <t>Priorize lojas abaixo da meta, categorias com baixa contribuição, produtos com margem reduzida e meses com maiores descontos.</t>
        </is>
      </c>
    </row>
  </sheetData>
  <mergeCells count="22">
    <mergeCell ref="A26:F26"/>
    <mergeCell ref="A2:F2"/>
    <mergeCell ref="A16:B16"/>
    <mergeCell ref="A7:B7"/>
    <mergeCell ref="A25:B25"/>
    <mergeCell ref="A14:F14"/>
    <mergeCell ref="A5:F5"/>
    <mergeCell ref="A23:F23"/>
    <mergeCell ref="A32:F32"/>
    <mergeCell ref="A8:F8"/>
    <mergeCell ref="A17:F17"/>
    <mergeCell ref="A20:F20"/>
    <mergeCell ref="A29:F29"/>
    <mergeCell ref="A22:B22"/>
    <mergeCell ref="A4:B4"/>
    <mergeCell ref="A11:F11"/>
    <mergeCell ref="A19:B19"/>
    <mergeCell ref="A1:F1"/>
    <mergeCell ref="A10:B10"/>
    <mergeCell ref="A28:B28"/>
    <mergeCell ref="A13:B13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2026-10-19T19:03:11Z</dcterms:created>
  <dcterms:modified xmlns:dcterms="http://purl.org/dc/terms/" xmlns:xsi="http://www.w3.org/2001/XMLSchema-instance" xsi:type="dcterms:W3CDTF">2026-10-23T02:05:27Z</dcterms:modified>
  <cp:lastModifiedBy>Luana Gabriela</cp:lastModifiedBy>
</cp:coreProperties>
</file>